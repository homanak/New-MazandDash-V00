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" sheetId="1" state="visible" r:id="rId1"/>
    <sheet name="Balance" sheetId="2" state="visible" r:id="rId2"/>
    <sheet name="BalanceClassic" sheetId="3" state="visible" r:id="rId3"/>
    <sheet name="Control" sheetId="4" state="visible" r:id="rId4"/>
    <sheet name="Learn" sheetId="5" state="visible" r:id="rId5"/>
    <sheet name="Sync" sheetId="6" state="visible" r:id="rId6"/>
    <sheet name="Calc" sheetId="7" state="visible" r:id="rId7"/>
    <sheet name="Help" sheetId="8" state="visible" r:id="rId8"/>
  </sheets>
  <externalReferences>
    <externalReference r:id="rId11"/>
    <externalReference r:id="rId12"/>
    <externalReference r:id="rId13"/>
    <externalReference r:id="rId14"/>
  </externalReferences>
  <definedNames>
    <definedName name="SyncBankC">Sync!$C$6:$C$15</definedName>
    <definedName name="SyncBankD">Sync!$D$6:$D$15</definedName>
    <definedName name="AcctTblA">Sync!$F$6:$I$565</definedName>
    <definedName name="PkPartyA">Sync!$T$6:$T$565</definedName>
    <definedName name="NPartyA">Sync!$S$565</definedName>
    <definedName name="PkExpA">Sync!$X$6:$X$105</definedName>
    <definedName name="NExpA">Sync!$W$105</definedName>
    <definedName name="CalcDebit">Calc!$I$6:$I$2005</definedName>
    <definedName name="CalcCredit">Calc!$J$6:$J$2005</definedName>
    <definedName name="CalcAmt">Calc!$H$6:$H$2005</definedName>
    <definedName name="CalcDep">Calc!$F$6:$F$2005</definedName>
    <definedName name="CalcWit">Calc!$G$6:$G$2005</definedName>
    <definedName name="CalcGroup">Calc!$D$6:$D$2005</definedName>
    <definedName name="CalcDebit2">Calc!$O$6:$O$505</definedName>
    <definedName name="CalcCredit2">Calc!$P$6:$P$505</definedName>
    <definedName name="CalcAmt2">Calc!$M$6:$M$505</definedName>
    <definedName name="CalcAmt3">Calc!$X$6:$X$1005</definedName>
    <definedName name="CalcDebit3">Calc!$Z$6:$Z$1005</definedName>
    <definedName name="CalcCredit3">Calc!$AA$6:$AA$1005</definedName>
    <definedName name="AcctCodesA">Sync!$F$6:$F$565</definedName>
    <definedName name="IssueNosA">Sync!$AG$6:$AG$505</definedName>
    <definedName name="PkFixedA">Sync!$AO$6:$AO$565</definedName>
    <definedName name="NFixedA">Sync!$AN$565</definedName>
    <definedName name="PkLoanA">Sync!$AR$6:$AR$565</definedName>
    <definedName name="NLoanA">Sync!$AQ$565</definedName>
    <definedName name="PkCapA">Sync!$AU$6:$AU$565</definedName>
    <definedName name="NCapA">Sync!$AT$565</definedName>
    <definedName name="CalcProb1">Calc!$K$6:$K$2005</definedName>
    <definedName name="CalcRank1">Calc!$W$6:$W$2005</definedName>
    <definedName name="CalcProb2">Calc!$R$6:$R$505</definedName>
    <definedName name="CalcRank2">Calc!$T$6:$T$505</definedName>
    <definedName name="TrialType">Trial!$D$10:$D$2365</definedName>
    <definedName name="TrialDr">Trial!$E$10:$E$2365</definedName>
    <definedName name="TrialCr">Trial!$F$10:$F$2365</definedName>
    <definedName name="TrialBal">Trial!$G$10:$G$2365</definedName>
    <definedName name="_xlnm.Print_Titles" localSheetId="0">'Trial'!$7:$8</definedName>
    <definedName name="_xlnm.Print_Area" localSheetId="0">'Trial'!$A$1:$H$2366</definedName>
    <definedName name="_xlnm.Print_Area" localSheetId="1">'Balance'!$A$1:$H$30</definedName>
    <definedName name="_xlnm.Print_Area" localSheetId="2">'BalanceClassic'!$A$1:$H$24</definedName>
    <definedName name="_xlnm.Print_Titles" localSheetId="3">'Control'!$10:$11</definedName>
    <definedName name="_xlnm.Print_Area" localSheetId="3">'Control'!$A$1:$H$41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607D8B"/>
      <sz val="9"/>
    </font>
    <font>
      <name val="Tahoma"/>
      <color rgb="00263238"/>
      <sz val="9"/>
    </font>
    <font>
      <name val="Tahoma"/>
      <b val="1"/>
      <color rgb="001B5E20"/>
      <sz val="9"/>
    </font>
    <font>
      <name val="Tahoma"/>
      <b val="1"/>
      <color rgb="00263238"/>
      <sz val="9"/>
    </font>
    <font>
      <name val="Tahoma"/>
      <b val="1"/>
      <color rgb="00FFFFFF"/>
      <sz val="10"/>
    </font>
    <font>
      <name val="Tahoma"/>
      <b val="1"/>
      <color rgb="001B5E20"/>
      <sz val="10"/>
    </font>
    <font>
      <name val="Tahoma"/>
      <b val="1"/>
      <color rgb="002E7D32"/>
      <sz val="10"/>
    </font>
    <font>
      <name val="Tahoma"/>
      <b val="1"/>
      <color rgb="00FFFFFF"/>
      <sz val="9"/>
    </font>
    <font>
      <name val="Tahoma"/>
      <b val="1"/>
      <color rgb="00607D8B"/>
      <sz val="9"/>
    </font>
    <font>
      <name val="Tahoma"/>
      <color rgb="00263238"/>
      <sz val="9.5"/>
    </font>
    <font>
      <name val="Tahoma"/>
      <b val="1"/>
      <color rgb="00263238"/>
      <sz val="10"/>
    </font>
    <font>
      <name val="Tahoma"/>
      <b val="1"/>
      <color rgb="001B5E20"/>
      <sz val="11"/>
    </font>
    <font>
      <name val="Tahoma"/>
      <b val="1"/>
      <color rgb="00607D8B"/>
      <sz val="10"/>
    </font>
    <font>
      <name val="Tahoma"/>
      <b val="1"/>
      <color rgb="00FFFFFF"/>
      <sz val="10.5"/>
    </font>
    <font>
      <name val="Tahoma"/>
      <b val="1"/>
      <color rgb="00E65100"/>
      <sz val="10.5"/>
    </font>
    <font>
      <name val="Tahoma"/>
      <b val="1"/>
      <color rgb="001B5E20"/>
      <sz val="10.5"/>
    </font>
    <font>
      <name val="Tahoma"/>
      <b val="1"/>
      <color rgb="00E65100"/>
      <sz val="11"/>
    </font>
    <font>
      <name val="Tahoma"/>
      <b val="1"/>
      <color rgb="00E65100"/>
      <sz val="9"/>
    </font>
    <font>
      <name val="Tahoma"/>
      <b val="1"/>
      <color rgb="00E65100"/>
      <sz val="12"/>
    </font>
  </fonts>
  <fills count="1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607D8B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3F8F3"/>
      </patternFill>
    </fill>
    <fill>
      <patternFill patternType="solid">
        <fgColor rgb="00EEF3F1"/>
      </patternFill>
    </fill>
    <fill>
      <patternFill patternType="solid">
        <fgColor rgb="00FFF9C4"/>
      </patternFill>
    </fill>
    <fill>
      <patternFill patternType="solid">
        <fgColor rgb="00EF6C00"/>
      </patternFill>
    </fill>
    <fill>
      <patternFill patternType="solid">
        <fgColor rgb="00FFF3E0"/>
      </patternFill>
    </fill>
  </fills>
  <borders count="9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2E7D32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9" borderId="0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" fontId="8" fillId="9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3" fontId="14" fillId="9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3" fontId="14" fillId="11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3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2" fontId="8" fillId="9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3" fontId="2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3" fontId="20" fillId="13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right" vertical="center"/>
    </xf>
    <xf numFmtId="3" fontId="22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center" vertical="center"/>
    </xf>
    <xf numFmtId="3" fontId="23" fillId="10" borderId="1" applyAlignment="1" pivotButton="0" quotePrefix="0" xfId="0">
      <alignment horizontal="center" vertical="center"/>
    </xf>
    <xf numFmtId="3" fontId="19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 wrapText="1"/>
    </xf>
    <xf numFmtId="0" fontId="24" fillId="3" borderId="2" applyAlignment="1" pivotButton="0" quotePrefix="0" xfId="0">
      <alignment horizontal="center" vertical="center"/>
    </xf>
    <xf numFmtId="0" fontId="24" fillId="14" borderId="4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right" vertical="center"/>
    </xf>
    <xf numFmtId="3" fontId="21" fillId="11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right" vertical="center"/>
    </xf>
    <xf numFmtId="3" fontId="25" fillId="1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right" vertical="center"/>
    </xf>
    <xf numFmtId="3" fontId="26" fillId="10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right" vertical="center"/>
    </xf>
    <xf numFmtId="0" fontId="24" fillId="6" borderId="1" applyAlignment="1" pivotButton="0" quotePrefix="0" xfId="0">
      <alignment horizontal="right" vertical="center"/>
    </xf>
    <xf numFmtId="3" fontId="27" fillId="15" borderId="1" applyAlignment="1" pivotButton="0" quotePrefix="0" xfId="0">
      <alignment horizontal="center" vertical="center"/>
    </xf>
    <xf numFmtId="0" fontId="22" fillId="10" borderId="2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 wrapText="1"/>
    </xf>
    <xf numFmtId="0" fontId="16" fillId="10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29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right" vertical="center"/>
    </xf>
    <xf numFmtId="0" fontId="12" fillId="9" borderId="1" applyAlignment="1" pivotButton="0" quotePrefix="0" xfId="0">
      <alignment horizontal="right" vertical="center" wrapText="1"/>
    </xf>
    <xf numFmtId="0" fontId="12" fillId="11" borderId="1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Tahoma"/>
        <b val="1"/>
        <color rgb="00E65100"/>
        <sz val="9"/>
      </font>
    </dxf>
    <dxf>
      <font>
        <name val="Tahoma"/>
        <b val="1"/>
        <color rgb="00C62828"/>
        <sz val="9"/>
      </font>
    </dxf>
    <dxf>
      <font>
        <name val="Tahoma"/>
        <b val="1"/>
        <color rgb="00C62828"/>
        <sz val="10"/>
      </font>
    </dxf>
    <dxf>
      <fill>
        <patternFill patternType="solid">
          <fgColor rgb="00FFF9C4"/>
        </patternFill>
      </fill>
    </dxf>
    <dxf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externalLink" Target="externalLinks/externalLink1.xml"/><Relationship Id="rId12" Type="http://schemas.openxmlformats.org/officeDocument/2006/relationships/externalLink" Target="externalLinks/externalLink2.xml"/><Relationship Id="rId13" Type="http://schemas.openxmlformats.org/officeDocument/2006/relationships/externalLink" Target="externalLinks/externalLink3.xml"/><Relationship Id="rId14" Type="http://schemas.openxmlformats.org/officeDocument/2006/relationships/externalLink" Target="externalLinks/externalLink4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E6" authorId="0" shapeId="0">
      <text>
        <t>کنترل طلایی حسابداری: جمع کل بدهکار باید با جمع کل بستانکار برابر باشد (√).</t>
      </text>
    </comment>
    <comment ref="E7" authorId="0" shapeId="0">
      <text>
        <t>جمع بدهکار (Dr): جمع سمت بدهکار همه‌ی ثبت‌های این حساب.</t>
      </text>
    </comment>
    <comment ref="F7" authorId="0" shapeId="0">
      <text>
        <t>جمع بستانکار (Cr): جمع سمت بستانکار ثبت‌های این حساب.</t>
      </text>
    </comment>
    <comment ref="G7" authorId="0" shapeId="0">
      <text>
        <t>مانده = بدهکار − بستانکار. مثبت = بدهکار · منفی = بستانکار.</t>
      </text>
    </comment>
    <comment ref="H7" authorId="0" shapeId="0">
      <text>
        <t>وضعیت مانده حساب: بدهکار / بستانکار / تسویه.</t>
      </text>
    </comment>
  </commentList>
</comments>
</file>

<file path=xl/comments/comment2.xml><?xml version="1.0" encoding="utf-8"?>
<comments xmlns="http://schemas.openxmlformats.org/spreadsheetml/2006/main">
  <authors>
    <author>راهنمای مازندشت</author>
  </authors>
  <commentList>
    <comment ref="A6" authorId="0" shapeId="0">
      <text>
        <t>جمع همه دارایی‌ها: نقد بانک‌ها + طلب از اشخاص + سبد و ظروف + دارایی‌های ثابت (F…).</t>
      </text>
    </comment>
    <comment ref="C6" authorId="0" shapeId="0">
      <text>
        <t>جمع بدهی‌ها: دیون اشخاص + چک‌های پاس‌نشده + وام‌ها (L…) + متفرقه.</t>
      </text>
    </comment>
    <comment ref="E6" authorId="0" shapeId="0">
      <text>
        <t>حقوق صاحبان (مبنای نقدی): افتتاحیه + سرمایه و آورده (CAP…) − هزینه‌ها − تراکنش‌های شخصی.
درآمد فروش تا تطبیق با فاکتور در دیون اشخاص است و اینجا سود شناسایی نشده.</t>
      </text>
    </comment>
    <comment ref="G6" authorId="0" shapeId="0">
      <text>
        <t>کنترل معادله حسابداری: دارایی = بدهی + حقوق.
اگر ▲ مغایرت دیدید یعنی ردیفی دستی تغییر کرده — فرمول‌ها را برگردانید.</t>
      </text>
    </comment>
    <comment ref="I6" authorId="0" shapeId="0">
      <text>
        <t>نسبت جاری = (نقد + طلب) ÷ بدهی کوتاه‌مدت (بدون وام).
بیشتر از ۱ یعنی توان پرداخت بدهی‌های نزدیک؛ کمتر از ۱ یعنی ریسک کمبود نقدینگی.</t>
      </text>
    </comment>
    <comment ref="I9" authorId="0" shapeId="0">
      <text>
        <t>سود نقدی تقریبی = واریزهای فروش − پرداخت‌های خرید − هزینه‌ها (مبنای نقدی، بدون درآمد/هزینه تعهدی).</t>
      </text>
    </comment>
    <comment ref="A11" authorId="0" shapeId="0">
      <text>
        <t>جمع مانده آخرین وضعیت ۱۰ بانک (از تراز آزمایشی).</t>
      </text>
    </comment>
    <comment ref="F11" authorId="0" shapeId="0">
      <text>
        <t>سهم هر ردیف از جمع همان بخش.</t>
      </text>
    </comment>
    <comment ref="G11" authorId="0" shapeId="0">
      <text>
        <t>مبلغ هر ردیف از تراز آزمایشی (Trial) جمع می‌شود.</t>
      </text>
    </comment>
    <comment ref="H11" authorId="0" shapeId="0">
      <text>
        <t>اختلاف با دوره قبل — فقط اگر ستون «دوره قبل» را پر کنید محاسبه می‌شود (ترازنامه تطبیقی).</t>
      </text>
    </comment>
    <comment ref="A12" authorId="0" shapeId="0">
      <text>
        <t>جمع مانده‌های مثبت (بدهکار) اشخاص = طلب ما از مشتریان/تأمین‌کنندگان + پیش‌پرداخت‌ها.</t>
      </text>
    </comment>
    <comment ref="A13" authorId="0" shapeId="0">
      <text>
        <t>جمع خرید سبد (تعداد × فی) از دفتر Baskets — ظروف قابل استفاده مجدد شرکت.</t>
      </text>
    </comment>
    <comment ref="A14" authorId="0" shapeId="0">
      <text>
        <t>زمین، خودرو، ماشین‌آلات — حساب‌های F… در INFO ← Accounts با ماهیت «دارایی ثابت».</t>
      </text>
    </comment>
    <comment ref="A17" authorId="0" shapeId="0">
      <text>
        <t>چک‌های صادره‌ای که هنوز پاس نشده‌اند (از دفتر Cheques).</t>
      </text>
    </comment>
    <comment ref="A18" authorId="0" shapeId="0">
      <text>
        <t>مانده وام‌های دریافت‌شده (حساب‌های L…) — قسط پرداختی کمش می‌کند.</t>
      </text>
    </comment>
    <comment ref="A19" authorId="0" shapeId="0">
      <text>
        <t>حساب معلق: مبالغی که طرفشان هنوز تعریف نشده — شیت Control را ببینید و تعریفشان کنید.</t>
      </text>
    </comment>
    <comment ref="A23" authorId="0" shapeId="0">
      <text>
        <t>آورده نقدی صاحب (مثل فروش دارایی شخصی) — حساب‌های CAP… 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_rels/externalLink3.xml.rels><?xml version="1.0" encoding="UTF-8" standalone="yes"?>
<Relationships xmlns="http://schemas.openxmlformats.org/package/2006/relationships"><Relationship Id="rId1" Type="http://schemas.openxmlformats.org/officeDocument/2006/relationships/externalLinkPath" Target="Cheques.xlsx" TargetMode="External"/></Relationships>
</file>

<file path=xl/externalLinks/_rels/externalLink4.xml.rels><?xml version="1.0" encoding="UTF-8" standalone="yes"?>
<Relationships xmlns="http://schemas.openxmlformats.org/package/2006/relationships"><Relationship Id="rId1" Type="http://schemas.openxmlformats.org/officeDocument/2006/relationships/externalLinkPath" Target="Basket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>
  <externalBook r:id="rId1">
    <sheetNames>
      <sheetName val="Issues"/>
      <sheetName val="Month"/>
      <sheetName val="Unpaid"/>
      <sheetName val="Sync"/>
      <sheetName val="Calc"/>
      <sheetName val="Help"/>
    </sheetNames>
    <sheetDataSet>
      <sheetData sheetId="0">
        <row r="9">
          <cell r="B9" t="str">
            <v>24012345</v>
          </cell>
          <cell r="C9" t="str">
            <v>1405/07/10</v>
          </cell>
          <cell r="D9">
            <v>80000000</v>
          </cell>
          <cell r="E9" t="str">
            <v>S001</v>
          </cell>
        </row>
        <row r="10">
          <cell r="B10" t="str">
            <v>24012346</v>
          </cell>
          <cell r="C10" t="str">
            <v>1405/07/20</v>
          </cell>
          <cell r="D10">
            <v>45000000</v>
          </cell>
          <cell r="E10" t="str">
            <v>X002</v>
          </cell>
        </row>
        <row r="11">
          <cell r="B11" t="str">
            <v>24012347</v>
          </cell>
          <cell r="C11" t="str">
            <v>1405/08/02</v>
          </cell>
          <cell r="D11">
            <v>150000000</v>
          </cell>
          <cell r="E11" t="str">
            <v>S002</v>
          </cell>
        </row>
        <row r="12">
          <cell r="B12" t="str">
            <v>24012348</v>
          </cell>
          <cell r="C12" t="str">
            <v>1405/08/05</v>
          </cell>
          <cell r="D12">
            <v>60000000</v>
          </cell>
          <cell r="E12" t="str">
            <v>F001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Report"/>
      <sheetName val="Summary"/>
      <sheetName val="Sync"/>
      <sheetName val="Calc"/>
      <sheetName val="Help"/>
    </sheetNames>
    <sheetDataSet>
      <sheetData sheetId="0">
        <row r="9">
          <cell r="E9" t="str">
            <v>S004</v>
          </cell>
          <cell r="H9">
            <v>500</v>
          </cell>
          <cell r="I9">
            <v>45000</v>
          </cell>
        </row>
        <row r="10">
          <cell r="E10" t="str">
            <v>S004</v>
          </cell>
          <cell r="H10">
            <v>300</v>
          </cell>
          <cell r="I10">
            <v>80000</v>
          </cell>
        </row>
        <row r="11">
          <cell r="E11" t="str">
            <v>S004</v>
          </cell>
          <cell r="H11">
            <v>200</v>
          </cell>
          <cell r="I11">
            <v>60000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H2366"/>
  <sheetViews>
    <sheetView showGridLines="0" rightToLeft="1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6" customWidth="1" min="4" max="4"/>
    <col width="16" customWidth="1" min="5" max="5"/>
    <col width="16" customWidth="1" min="6" max="6"/>
    <col width="16" customWidth="1" min="7" max="7"/>
    <col width="10" customWidth="1" min="8" max="8"/>
  </cols>
  <sheetData>
    <row r="1" ht="26" customHeight="1">
      <c r="A1" s="1">
        <f>IF(Sync!$P$6="","مازندشت",Sync!$P$6)&amp;" — "&amp;IF(Sync!$P$9="","سورتینگ و بسته‌بندی مرکبات",Sync!$P$9)</f>
        <v/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>
        <f>IF(Sync!$P$7="","باغدشت، بخش مرکزی، شهرستان قائم‌شهر، استان مازندران، ایران",Sync!$P$7)&amp;"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تراز آزمایشی — تشخیص خودکار بدهکار/بستانکار از تراکنش‌ها و چک‌ها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هر تراکنش دوطرفه است: واریز ← بدهکار بانک / بستانکار طرف · برداشت هزینه ← بدهکار «هزینه: زیرگروه» / بستانکار بانک · برداشت خرید ← بدهکار طرف / بستانکار بانک · «پاس چک» ← بدهکار اسناد چک / بستانکار بانک · صدور چک ← بدهکار ذی‌نفع / بستانکار اسناد چک. طرف حساب با ماهیت «دارایی ثابت» در دارایی‌ها، «وام و تسهیلات» در بدهی‌ها و «سرمایه و آورده صاحبان» در حقوق ترازنامه می‌نشیند. کد طرفِ تعریف‌نشده یا بدون گروه، به «متفرقه» می‌رود و در شیت Control فهرست می‌شود. «شخصی قاسم» طبق تعریف شما خارج از حساب‌های شرکت است و فقط برای توازن نمایش داده می‌شود. خرید سبد (دفتر Baskets): بدهکار «سبد و ظروف» / بستانکار فروشنده سبد — پس مانده هر فروشنده سبد دقیقاً مطابق کارتکس فایل Baskets می‌شود.</t>
        </is>
      </c>
      <c r="B4" s="4" t="n"/>
      <c r="C4" s="4" t="n"/>
      <c r="D4" s="4" t="n"/>
      <c r="E4" s="4" t="n"/>
      <c r="F4" s="4" t="n"/>
      <c r="G4" s="4" t="n"/>
      <c r="H4" s="4" t="n"/>
    </row>
    <row r="5" ht="13" customHeight="1">
      <c r="A5" s="5" t="inlineStr">
        <is>
          <t>جمع کل بدهکار (ریال)</t>
        </is>
      </c>
      <c r="B5" s="5" t="n"/>
      <c r="C5" s="5" t="inlineStr">
        <is>
          <t>جمع کل بستانکار (ریال)</t>
        </is>
      </c>
      <c r="D5" s="5" t="n"/>
      <c r="E5" s="5" t="inlineStr">
        <is>
          <t>کنترل توازن</t>
        </is>
      </c>
      <c r="F5" s="5" t="n"/>
      <c r="G5" s="5" t="inlineStr">
        <is>
          <t>تعداد حساب‌های دارای گردش</t>
        </is>
      </c>
      <c r="H5" s="5" t="n"/>
    </row>
    <row r="6" ht="20" customHeight="1">
      <c r="A6" s="6">
        <f>E2366</f>
        <v/>
      </c>
      <c r="B6" s="6" t="n"/>
      <c r="C6" s="6">
        <f>F2366</f>
        <v/>
      </c>
      <c r="D6" s="6" t="n"/>
      <c r="E6" s="7">
        <f>IF(ROUND(E2366-F2366,0)=0,"√ تراز است","▲ مغایرت")</f>
        <v/>
      </c>
      <c r="F6" s="7" t="n"/>
      <c r="G6" s="8">
        <f>COUNTIF($G$10:$G$2365,"&lt;&gt;0")</f>
        <v/>
      </c>
      <c r="H6" s="8" t="n"/>
    </row>
    <row r="7" ht="30" customHeight="1">
      <c r="A7" s="9" t="inlineStr">
        <is>
          <t>ردیف</t>
        </is>
      </c>
      <c r="B7" s="9" t="inlineStr">
        <is>
          <t>حساب</t>
        </is>
      </c>
      <c r="C7" s="9" t="inlineStr">
        <is>
          <t>کد / کلید</t>
        </is>
      </c>
      <c r="D7" s="9" t="inlineStr">
        <is>
          <t>نوع</t>
        </is>
      </c>
      <c r="E7" s="9" t="inlineStr">
        <is>
          <t>جمع بدهکار (ریال)</t>
        </is>
      </c>
      <c r="F7" s="9" t="inlineStr">
        <is>
          <t>جمع بستانکار (ریال)</t>
        </is>
      </c>
      <c r="G7" s="9" t="inlineStr">
        <is>
          <t>مانده (ریال)</t>
        </is>
      </c>
      <c r="H7" s="9" t="inlineStr">
        <is>
          <t>وضعیت</t>
        </is>
      </c>
    </row>
    <row r="8" ht="13" customHeight="1">
      <c r="A8" s="10" t="inlineStr">
        <is>
          <t>No.</t>
        </is>
      </c>
      <c r="B8" s="10" t="inlineStr">
        <is>
          <t>Account</t>
        </is>
      </c>
      <c r="C8" s="10" t="inlineStr">
        <is>
          <t>Code / Key</t>
        </is>
      </c>
      <c r="D8" s="10" t="inlineStr">
        <is>
          <t>Type</t>
        </is>
      </c>
      <c r="E8" s="10" t="inlineStr">
        <is>
          <t>Total Debit</t>
        </is>
      </c>
      <c r="F8" s="10" t="inlineStr">
        <is>
          <t>Total Credit</t>
        </is>
      </c>
      <c r="G8" s="10" t="inlineStr">
        <is>
          <t>Balance</t>
        </is>
      </c>
      <c r="H8" s="10" t="inlineStr">
        <is>
          <t>State</t>
        </is>
      </c>
    </row>
    <row r="10">
      <c r="A10" s="11">
        <f>IF($B10="","",1)</f>
        <v/>
      </c>
      <c r="B10" s="12">
        <f>IF(Sync!$A6="","",Sync!$A6&amp;" — "&amp;Sync!$B6)</f>
        <v/>
      </c>
      <c r="C10" s="13">
        <f>IF($B10="","",Sync!$A6)</f>
        <v/>
      </c>
      <c r="D10" s="12">
        <f>IF($B10="","","b")</f>
        <v/>
      </c>
      <c r="E10" s="14">
        <f>IF($B10="","",SUMIF(CalcDebit,Sync!$A6,CalcAmt)+IF(Sync!$D6="بله",IF(Sync!$C6="",0,Sync!$C6),0))</f>
        <v/>
      </c>
      <c r="F10" s="14">
        <f>IF($B10="","",SUMIF(CalcCredit,Sync!$A6,CalcAmt))</f>
        <v/>
      </c>
      <c r="G10" s="15">
        <f>IF($B10="","",ROUND($E10-$F10,0))</f>
        <v/>
      </c>
      <c r="H10" s="12">
        <f>IF($B10="","",IF(ROUND($G10,0)&gt;0,"بدهکار",IF(ROUND($G10,0)&lt;0,"بستانکار","تسویه")))</f>
        <v/>
      </c>
    </row>
    <row r="11">
      <c r="A11" s="16">
        <f>IF($B11="","",2)</f>
        <v/>
      </c>
      <c r="B11" s="17">
        <f>IF(Sync!$A7="","",Sync!$A7&amp;" — "&amp;Sync!$B7)</f>
        <v/>
      </c>
      <c r="C11" s="18">
        <f>IF($B11="","",Sync!$A7)</f>
        <v/>
      </c>
      <c r="D11" s="17">
        <f>IF($B11="","","b")</f>
        <v/>
      </c>
      <c r="E11" s="19">
        <f>IF($B11="","",SUMIF(CalcDebit,Sync!$A7,CalcAmt)+IF(Sync!$D7="بله",IF(Sync!$C7="",0,Sync!$C7),0))</f>
        <v/>
      </c>
      <c r="F11" s="19">
        <f>IF($B11="","",SUMIF(CalcCredit,Sync!$A7,CalcAmt))</f>
        <v/>
      </c>
      <c r="G11" s="20">
        <f>IF($B11="","",ROUND($E11-$F11,0))</f>
        <v/>
      </c>
      <c r="H11" s="17">
        <f>IF($B11="","",IF(ROUND($G11,0)&gt;0,"بدهکار",IF(ROUND($G11,0)&lt;0,"بستانکار","تسویه")))</f>
        <v/>
      </c>
    </row>
    <row r="12">
      <c r="A12" s="11">
        <f>IF($B12="","",3)</f>
        <v/>
      </c>
      <c r="B12" s="12">
        <f>IF(Sync!$A8="","",Sync!$A8&amp;" — "&amp;Sync!$B8)</f>
        <v/>
      </c>
      <c r="C12" s="13">
        <f>IF($B12="","",Sync!$A8)</f>
        <v/>
      </c>
      <c r="D12" s="12">
        <f>IF($B12="","","b")</f>
        <v/>
      </c>
      <c r="E12" s="14">
        <f>IF($B12="","",SUMIF(CalcDebit,Sync!$A8,CalcAmt)+IF(Sync!$D8="بله",IF(Sync!$C8="",0,Sync!$C8),0))</f>
        <v/>
      </c>
      <c r="F12" s="14">
        <f>IF($B12="","",SUMIF(CalcCredit,Sync!$A8,CalcAmt))</f>
        <v/>
      </c>
      <c r="G12" s="15">
        <f>IF($B12="","",ROUND($E12-$F12,0))</f>
        <v/>
      </c>
      <c r="H12" s="12">
        <f>IF($B12="","",IF(ROUND($G12,0)&gt;0,"بدهکار",IF(ROUND($G12,0)&lt;0,"بستانکار","تسویه")))</f>
        <v/>
      </c>
    </row>
    <row r="13">
      <c r="A13" s="16">
        <f>IF($B13="","",4)</f>
        <v/>
      </c>
      <c r="B13" s="17">
        <f>IF(Sync!$A9="","",Sync!$A9&amp;" — "&amp;Sync!$B9)</f>
        <v/>
      </c>
      <c r="C13" s="18">
        <f>IF($B13="","",Sync!$A9)</f>
        <v/>
      </c>
      <c r="D13" s="17">
        <f>IF($B13="","","b")</f>
        <v/>
      </c>
      <c r="E13" s="19">
        <f>IF($B13="","",SUMIF(CalcDebit,Sync!$A9,CalcAmt)+IF(Sync!$D9="بله",IF(Sync!$C9="",0,Sync!$C9),0))</f>
        <v/>
      </c>
      <c r="F13" s="19">
        <f>IF($B13="","",SUMIF(CalcCredit,Sync!$A9,CalcAmt))</f>
        <v/>
      </c>
      <c r="G13" s="20">
        <f>IF($B13="","",ROUND($E13-$F13,0))</f>
        <v/>
      </c>
      <c r="H13" s="17">
        <f>IF($B13="","",IF(ROUND($G13,0)&gt;0,"بدهکار",IF(ROUND($G13,0)&lt;0,"بستانکار","تسویه")))</f>
        <v/>
      </c>
    </row>
    <row r="14">
      <c r="A14" s="11">
        <f>IF($B14="","",5)</f>
        <v/>
      </c>
      <c r="B14" s="12">
        <f>IF(Sync!$A10="","",Sync!$A10&amp;" — "&amp;Sync!$B10)</f>
        <v/>
      </c>
      <c r="C14" s="13">
        <f>IF($B14="","",Sync!$A10)</f>
        <v/>
      </c>
      <c r="D14" s="12">
        <f>IF($B14="","","b")</f>
        <v/>
      </c>
      <c r="E14" s="14">
        <f>IF($B14="","",SUMIF(CalcDebit,Sync!$A10,CalcAmt)+IF(Sync!$D10="بله",IF(Sync!$C10="",0,Sync!$C10),0))</f>
        <v/>
      </c>
      <c r="F14" s="14">
        <f>IF($B14="","",SUMIF(CalcCredit,Sync!$A10,CalcAmt))</f>
        <v/>
      </c>
      <c r="G14" s="15">
        <f>IF($B14="","",ROUND($E14-$F14,0))</f>
        <v/>
      </c>
      <c r="H14" s="12">
        <f>IF($B14="","",IF(ROUND($G14,0)&gt;0,"بدهکار",IF(ROUND($G14,0)&lt;0,"بستانکار","تسویه")))</f>
        <v/>
      </c>
    </row>
    <row r="15">
      <c r="A15" s="16">
        <f>IF($B15="","",6)</f>
        <v/>
      </c>
      <c r="B15" s="17">
        <f>IF(Sync!$A11="","",Sync!$A11&amp;" — "&amp;Sync!$B11)</f>
        <v/>
      </c>
      <c r="C15" s="18">
        <f>IF($B15="","",Sync!$A11)</f>
        <v/>
      </c>
      <c r="D15" s="17">
        <f>IF($B15="","","b")</f>
        <v/>
      </c>
      <c r="E15" s="19">
        <f>IF($B15="","",SUMIF(CalcDebit,Sync!$A11,CalcAmt)+IF(Sync!$D11="بله",IF(Sync!$C11="",0,Sync!$C11),0))</f>
        <v/>
      </c>
      <c r="F15" s="19">
        <f>IF($B15="","",SUMIF(CalcCredit,Sync!$A11,CalcAmt))</f>
        <v/>
      </c>
      <c r="G15" s="20">
        <f>IF($B15="","",ROUND($E15-$F15,0))</f>
        <v/>
      </c>
      <c r="H15" s="17">
        <f>IF($B15="","",IF(ROUND($G15,0)&gt;0,"بدهکار",IF(ROUND($G15,0)&lt;0,"بستانکار","تسویه")))</f>
        <v/>
      </c>
    </row>
    <row r="16">
      <c r="A16" s="11">
        <f>IF($B16="","",7)</f>
        <v/>
      </c>
      <c r="B16" s="12">
        <f>IF(Sync!$A12="","",Sync!$A12&amp;" — "&amp;Sync!$B12)</f>
        <v/>
      </c>
      <c r="C16" s="13">
        <f>IF($B16="","",Sync!$A12)</f>
        <v/>
      </c>
      <c r="D16" s="12">
        <f>IF($B16="","","b")</f>
        <v/>
      </c>
      <c r="E16" s="14">
        <f>IF($B16="","",SUMIF(CalcDebit,Sync!$A12,CalcAmt)+IF(Sync!$D12="بله",IF(Sync!$C12="",0,Sync!$C12),0))</f>
        <v/>
      </c>
      <c r="F16" s="14">
        <f>IF($B16="","",SUMIF(CalcCredit,Sync!$A12,CalcAmt))</f>
        <v/>
      </c>
      <c r="G16" s="15">
        <f>IF($B16="","",ROUND($E16-$F16,0))</f>
        <v/>
      </c>
      <c r="H16" s="12">
        <f>IF($B16="","",IF(ROUND($G16,0)&gt;0,"بدهکار",IF(ROUND($G16,0)&lt;0,"بستانکار","تسویه")))</f>
        <v/>
      </c>
    </row>
    <row r="17">
      <c r="A17" s="16">
        <f>IF($B17="","",8)</f>
        <v/>
      </c>
      <c r="B17" s="17">
        <f>IF(Sync!$A13="","",Sync!$A13&amp;" — "&amp;Sync!$B13)</f>
        <v/>
      </c>
      <c r="C17" s="18">
        <f>IF($B17="","",Sync!$A13)</f>
        <v/>
      </c>
      <c r="D17" s="17">
        <f>IF($B17="","","b")</f>
        <v/>
      </c>
      <c r="E17" s="19">
        <f>IF($B17="","",SUMIF(CalcDebit,Sync!$A13,CalcAmt)+IF(Sync!$D13="بله",IF(Sync!$C13="",0,Sync!$C13),0))</f>
        <v/>
      </c>
      <c r="F17" s="19">
        <f>IF($B17="","",SUMIF(CalcCredit,Sync!$A13,CalcAmt))</f>
        <v/>
      </c>
      <c r="G17" s="20">
        <f>IF($B17="","",ROUND($E17-$F17,0))</f>
        <v/>
      </c>
      <c r="H17" s="17">
        <f>IF($B17="","",IF(ROUND($G17,0)&gt;0,"بدهکار",IF(ROUND($G17,0)&lt;0,"بستانکار","تسویه")))</f>
        <v/>
      </c>
    </row>
    <row r="18">
      <c r="A18" s="11">
        <f>IF($B18="","",9)</f>
        <v/>
      </c>
      <c r="B18" s="12">
        <f>IF(Sync!$A14="","",Sync!$A14&amp;" — "&amp;Sync!$B14)</f>
        <v/>
      </c>
      <c r="C18" s="13">
        <f>IF($B18="","",Sync!$A14)</f>
        <v/>
      </c>
      <c r="D18" s="12">
        <f>IF($B18="","","b")</f>
        <v/>
      </c>
      <c r="E18" s="14">
        <f>IF($B18="","",SUMIF(CalcDebit,Sync!$A14,CalcAmt)+IF(Sync!$D14="بله",IF(Sync!$C14="",0,Sync!$C14),0))</f>
        <v/>
      </c>
      <c r="F18" s="14">
        <f>IF($B18="","",SUMIF(CalcCredit,Sync!$A14,CalcAmt))</f>
        <v/>
      </c>
      <c r="G18" s="15">
        <f>IF($B18="","",ROUND($E18-$F18,0))</f>
        <v/>
      </c>
      <c r="H18" s="12">
        <f>IF($B18="","",IF(ROUND($G18,0)&gt;0,"بدهکار",IF(ROUND($G18,0)&lt;0,"بستانکار","تسویه")))</f>
        <v/>
      </c>
    </row>
    <row r="19">
      <c r="A19" s="16">
        <f>IF($B19="","",10)</f>
        <v/>
      </c>
      <c r="B19" s="17">
        <f>IF(Sync!$A15="","",Sync!$A15&amp;" — "&amp;Sync!$B15)</f>
        <v/>
      </c>
      <c r="C19" s="18">
        <f>IF($B19="","",Sync!$A15)</f>
        <v/>
      </c>
      <c r="D19" s="17">
        <f>IF($B19="","","b")</f>
        <v/>
      </c>
      <c r="E19" s="19">
        <f>IF($B19="","",SUMIF(CalcDebit,Sync!$A15,CalcAmt)+IF(Sync!$D15="بله",IF(Sync!$C15="",0,Sync!$C15),0))</f>
        <v/>
      </c>
      <c r="F19" s="19">
        <f>IF($B19="","",SUMIF(CalcCredit,Sync!$A15,CalcAmt))</f>
        <v/>
      </c>
      <c r="G19" s="20">
        <f>IF($B19="","",ROUND($E19-$F19,0))</f>
        <v/>
      </c>
      <c r="H19" s="17">
        <f>IF($B19="","",IF(ROUND($G19,0)&gt;0,"بدهکار",IF(ROUND($G19,0)&lt;0,"بستانکار","تسویه")))</f>
        <v/>
      </c>
    </row>
    <row r="20">
      <c r="A20" s="11">
        <f>IF($B20="","",11)</f>
        <v/>
      </c>
      <c r="B20" s="12">
        <f>"اسناد چک پرداختی"</f>
        <v/>
      </c>
      <c r="C20" s="13">
        <f>IF($B20="","","چک پرداختی")</f>
        <v/>
      </c>
      <c r="D20" s="12">
        <f>IF($B20="","","q")</f>
        <v/>
      </c>
      <c r="E20" s="14">
        <f>IF($B20="","",SUMIF(CalcDebit,"چک پرداختی",CalcAmt))</f>
        <v/>
      </c>
      <c r="F20" s="14">
        <f>IF($B20="","",SUMIF(CalcCredit2,"چک پرداختی",CalcAmt2))</f>
        <v/>
      </c>
      <c r="G20" s="15">
        <f>IF($B20="","",ROUND($E20-$F20,0))</f>
        <v/>
      </c>
      <c r="H20" s="12">
        <f>IF($B20="","",IF(ROUND($G20,0)&gt;0,"بدهکار",IF(ROUND($G20,0)&lt;0,"بستانکار","تسویه")))</f>
        <v/>
      </c>
    </row>
    <row r="21">
      <c r="A21" s="16">
        <f>IF($B21="","",12)</f>
        <v/>
      </c>
      <c r="B21" s="17">
        <f>"افتتاحیه (مانده اولیه بانک‌ها)"</f>
        <v/>
      </c>
      <c r="C21" s="18">
        <f>IF($B21="","","افتتاحیه")</f>
        <v/>
      </c>
      <c r="D21" s="17">
        <f>IF($B21="","","o")</f>
        <v/>
      </c>
      <c r="E21" s="19">
        <f>IF($B21="","",0)</f>
        <v/>
      </c>
      <c r="F21" s="19">
        <f>IF($B21="","",SUMIFS(SyncBankC,SyncBankD,"بله"))</f>
        <v/>
      </c>
      <c r="G21" s="20">
        <f>IF($B21="","",ROUND($E21-$F21,0))</f>
        <v/>
      </c>
      <c r="H21" s="17">
        <f>IF($B21="","",IF(ROUND($G21,0)&gt;0,"بدهکار",IF(ROUND($G21,0)&lt;0,"بستانکار","تسویه")))</f>
        <v/>
      </c>
    </row>
    <row r="22">
      <c r="A22" s="11">
        <f>IF($B22="","",13)</f>
        <v/>
      </c>
      <c r="B22" s="12">
        <f>"متفرقه / بدون طبقه"</f>
        <v/>
      </c>
      <c r="C22" s="13">
        <f>IF($B22="","","متفرقه")</f>
        <v/>
      </c>
      <c r="D22" s="12">
        <f>IF($B22="","","m")</f>
        <v/>
      </c>
      <c r="E22" s="14">
        <f>IF($B22="","",SUMIF(CalcDebit,"متفرقه",CalcAmt)+SUMIF(CalcDebit2,"متفرقه",CalcAmt2)+SUMIF(CalcDebit3,"متفرقه",CalcAmt3))</f>
        <v/>
      </c>
      <c r="F22" s="14">
        <f>IF($B22="","",SUMIF(CalcCredit,"متفرقه",CalcAmt)+SUMIF(CalcCredit2,"متفرقه",CalcAmt2)+SUMIF(CalcCredit3,"متفرقه",CalcAmt3))</f>
        <v/>
      </c>
      <c r="G22" s="15">
        <f>IF($B22="","",ROUND($E22-$F22,0))</f>
        <v/>
      </c>
      <c r="H22" s="12">
        <f>IF($B22="","",IF(ROUND($G22,0)&gt;0,"بدهکار",IF(ROUND($G22,0)&lt;0,"بستانکار","تسویه")))</f>
        <v/>
      </c>
    </row>
    <row r="23">
      <c r="A23" s="16">
        <f>IF($B23="","",14)</f>
        <v/>
      </c>
      <c r="B23" s="17">
        <f>"شخصی قاسم (خارج از حساب‌های شرکت)"</f>
        <v/>
      </c>
      <c r="C23" s="18">
        <f>IF($B23="","","شخصی قاسم")</f>
        <v/>
      </c>
      <c r="D23" s="17">
        <f>IF($B23="","","x")</f>
        <v/>
      </c>
      <c r="E23" s="19">
        <f>IF($B23="","",SUMIF(CalcDebit,"شخصی قاسم",CalcAmt))</f>
        <v/>
      </c>
      <c r="F23" s="19">
        <f>IF($B23="","",SUMIF(CalcCredit,"شخصی قاسم",CalcAmt))</f>
        <v/>
      </c>
      <c r="G23" s="20">
        <f>IF($B23="","",ROUND($E23-$F23,0))</f>
        <v/>
      </c>
      <c r="H23" s="17">
        <f>IF($B23="","",IF(ROUND($G23,0)&gt;0,"بدهکار",IF(ROUND($G23,0)&lt;0,"بستانکار","تسویه")))</f>
        <v/>
      </c>
    </row>
    <row r="24">
      <c r="A24" s="11">
        <f>IF($B24="","",15)</f>
        <v/>
      </c>
      <c r="B24" s="12">
        <f>"سبد و ظروف — از دفتر Baskets"</f>
        <v/>
      </c>
      <c r="C24" s="13">
        <f>IF($B24="","","سبد و ظروف")</f>
        <v/>
      </c>
      <c r="D24" s="12">
        <f>IF($B24="","","s")</f>
        <v/>
      </c>
      <c r="E24" s="14">
        <f>IF($B24="","",SUMIF(CalcDebit3,"سبد و ظروف",CalcAmt3))</f>
        <v/>
      </c>
      <c r="F24" s="14">
        <f>IF($B24="","",0)</f>
        <v/>
      </c>
      <c r="G24" s="15">
        <f>IF($B24="","",ROUND($E24-$F24,0))</f>
        <v/>
      </c>
      <c r="H24" s="12">
        <f>IF($B24="","",IF(ROUND($G24,0)&gt;0,"بدهکار",IF(ROUND($G24,0)&lt;0,"بستانکار","تسویه")))</f>
        <v/>
      </c>
    </row>
    <row r="25">
      <c r="A25" s="16">
        <f>IF($B25="","",16)</f>
        <v/>
      </c>
      <c r="B25" s="17">
        <f>IF(1&gt;NPartyA,"",IFERROR(IF(VLOOKUP(INDEX(PkPartyA,1),AcctTblA,4,0)="","(بدون نام)",VLOOKUP(INDEX(PkPartyA,1),AcctTblA,4,0)),"—"))</f>
        <v/>
      </c>
      <c r="C25" s="18">
        <f>IF($B25="","",IF(1&gt;NPartyA,"",INDEX(PkPartyA,1)))</f>
        <v/>
      </c>
      <c r="D25" s="17">
        <f>IF($B25="","","p")</f>
        <v/>
      </c>
      <c r="E25" s="19">
        <f>IF($B25="","",IF(1&gt;NPartyA,0,SUMIF(CalcDebit,INDEX(PkPartyA,1),CalcAmt)+SUMIF(CalcDebit2,INDEX(PkPartyA,1),CalcAmt2)+SUMIF(CalcDebit3,INDEX(PkPartyA,1),CalcAmt3)))</f>
        <v/>
      </c>
      <c r="F25" s="19">
        <f>IF($B25="","",IF(1&gt;NPartyA,0,SUMIF(CalcCredit,INDEX(PkPartyA,1),CalcAmt)+SUMIF(CalcCredit2,INDEX(PkPartyA,1),CalcAmt2)+SUMIF(CalcCredit3,INDEX(PkPartyA,1),CalcAmt3)))</f>
        <v/>
      </c>
      <c r="G25" s="20">
        <f>IF($B25="","",ROUND($E25-$F25,0))</f>
        <v/>
      </c>
      <c r="H25" s="17">
        <f>IF($B25="","",IF(ROUND($G25,0)&gt;0,"بدهکار",IF(ROUND($G25,0)&lt;0,"بستانکار","تسویه")))</f>
        <v/>
      </c>
    </row>
    <row r="26">
      <c r="A26" s="11">
        <f>IF($B26="","",17)</f>
        <v/>
      </c>
      <c r="B26" s="12">
        <f>IF(2&gt;NPartyA,"",IFERROR(IF(VLOOKUP(INDEX(PkPartyA,2),AcctTblA,4,0)="","(بدون نام)",VLOOKUP(INDEX(PkPartyA,2),AcctTblA,4,0)),"—"))</f>
        <v/>
      </c>
      <c r="C26" s="13">
        <f>IF($B26="","",IF(2&gt;NPartyA,"",INDEX(PkPartyA,2)))</f>
        <v/>
      </c>
      <c r="D26" s="12">
        <f>IF($B26="","","p")</f>
        <v/>
      </c>
      <c r="E26" s="14">
        <f>IF($B26="","",IF(2&gt;NPartyA,0,SUMIF(CalcDebit,INDEX(PkPartyA,2),CalcAmt)+SUMIF(CalcDebit2,INDEX(PkPartyA,2),CalcAmt2)+SUMIF(CalcDebit3,INDEX(PkPartyA,2),CalcAmt3)))</f>
        <v/>
      </c>
      <c r="F26" s="14">
        <f>IF($B26="","",IF(2&gt;NPartyA,0,SUMIF(CalcCredit,INDEX(PkPartyA,2),CalcAmt)+SUMIF(CalcCredit2,INDEX(PkPartyA,2),CalcAmt2)+SUMIF(CalcCredit3,INDEX(PkPartyA,2),CalcAmt3)))</f>
        <v/>
      </c>
      <c r="G26" s="15">
        <f>IF($B26="","",ROUND($E26-$F26,0))</f>
        <v/>
      </c>
      <c r="H26" s="12">
        <f>IF($B26="","",IF(ROUND($G26,0)&gt;0,"بدهکار",IF(ROUND($G26,0)&lt;0,"بستانکار","تسویه")))</f>
        <v/>
      </c>
    </row>
    <row r="27">
      <c r="A27" s="16">
        <f>IF($B27="","",18)</f>
        <v/>
      </c>
      <c r="B27" s="17">
        <f>IF(3&gt;NPartyA,"",IFERROR(IF(VLOOKUP(INDEX(PkPartyA,3),AcctTblA,4,0)="","(بدون نام)",VLOOKUP(INDEX(PkPartyA,3),AcctTblA,4,0)),"—"))</f>
        <v/>
      </c>
      <c r="C27" s="18">
        <f>IF($B27="","",IF(3&gt;NPartyA,"",INDEX(PkPartyA,3)))</f>
        <v/>
      </c>
      <c r="D27" s="17">
        <f>IF($B27="","","p")</f>
        <v/>
      </c>
      <c r="E27" s="19">
        <f>IF($B27="","",IF(3&gt;NPartyA,0,SUMIF(CalcDebit,INDEX(PkPartyA,3),CalcAmt)+SUMIF(CalcDebit2,INDEX(PkPartyA,3),CalcAmt2)+SUMIF(CalcDebit3,INDEX(PkPartyA,3),CalcAmt3)))</f>
        <v/>
      </c>
      <c r="F27" s="19">
        <f>IF($B27="","",IF(3&gt;NPartyA,0,SUMIF(CalcCredit,INDEX(PkPartyA,3),CalcAmt)+SUMIF(CalcCredit2,INDEX(PkPartyA,3),CalcAmt2)+SUMIF(CalcCredit3,INDEX(PkPartyA,3),CalcAmt3)))</f>
        <v/>
      </c>
      <c r="G27" s="20">
        <f>IF($B27="","",ROUND($E27-$F27,0))</f>
        <v/>
      </c>
      <c r="H27" s="17">
        <f>IF($B27="","",IF(ROUND($G27,0)&gt;0,"بدهکار",IF(ROUND($G27,0)&lt;0,"بستانکار","تسویه")))</f>
        <v/>
      </c>
    </row>
    <row r="28">
      <c r="A28" s="11">
        <f>IF($B28="","",19)</f>
        <v/>
      </c>
      <c r="B28" s="12">
        <f>IF(4&gt;NPartyA,"",IFERROR(IF(VLOOKUP(INDEX(PkPartyA,4),AcctTblA,4,0)="","(بدون نام)",VLOOKUP(INDEX(PkPartyA,4),AcctTblA,4,0)),"—"))</f>
        <v/>
      </c>
      <c r="C28" s="13">
        <f>IF($B28="","",IF(4&gt;NPartyA,"",INDEX(PkPartyA,4)))</f>
        <v/>
      </c>
      <c r="D28" s="12">
        <f>IF($B28="","","p")</f>
        <v/>
      </c>
      <c r="E28" s="14">
        <f>IF($B28="","",IF(4&gt;NPartyA,0,SUMIF(CalcDebit,INDEX(PkPartyA,4),CalcAmt)+SUMIF(CalcDebit2,INDEX(PkPartyA,4),CalcAmt2)+SUMIF(CalcDebit3,INDEX(PkPartyA,4),CalcAmt3)))</f>
        <v/>
      </c>
      <c r="F28" s="14">
        <f>IF($B28="","",IF(4&gt;NPartyA,0,SUMIF(CalcCredit,INDEX(PkPartyA,4),CalcAmt)+SUMIF(CalcCredit2,INDEX(PkPartyA,4),CalcAmt2)+SUMIF(CalcCredit3,INDEX(PkPartyA,4),CalcAmt3)))</f>
        <v/>
      </c>
      <c r="G28" s="15">
        <f>IF($B28="","",ROUND($E28-$F28,0))</f>
        <v/>
      </c>
      <c r="H28" s="12">
        <f>IF($B28="","",IF(ROUND($G28,0)&gt;0,"بدهکار",IF(ROUND($G28,0)&lt;0,"بستانکار","تسویه")))</f>
        <v/>
      </c>
    </row>
    <row r="29">
      <c r="A29" s="16">
        <f>IF($B29="","",20)</f>
        <v/>
      </c>
      <c r="B29" s="17">
        <f>IF(5&gt;NPartyA,"",IFERROR(IF(VLOOKUP(INDEX(PkPartyA,5),AcctTblA,4,0)="","(بدون نام)",VLOOKUP(INDEX(PkPartyA,5),AcctTblA,4,0)),"—"))</f>
        <v/>
      </c>
      <c r="C29" s="18">
        <f>IF($B29="","",IF(5&gt;NPartyA,"",INDEX(PkPartyA,5)))</f>
        <v/>
      </c>
      <c r="D29" s="17">
        <f>IF($B29="","","p")</f>
        <v/>
      </c>
      <c r="E29" s="19">
        <f>IF($B29="","",IF(5&gt;NPartyA,0,SUMIF(CalcDebit,INDEX(PkPartyA,5),CalcAmt)+SUMIF(CalcDebit2,INDEX(PkPartyA,5),CalcAmt2)+SUMIF(CalcDebit3,INDEX(PkPartyA,5),CalcAmt3)))</f>
        <v/>
      </c>
      <c r="F29" s="19">
        <f>IF($B29="","",IF(5&gt;NPartyA,0,SUMIF(CalcCredit,INDEX(PkPartyA,5),CalcAmt)+SUMIF(CalcCredit2,INDEX(PkPartyA,5),CalcAmt2)+SUMIF(CalcCredit3,INDEX(PkPartyA,5),CalcAmt3)))</f>
        <v/>
      </c>
      <c r="G29" s="20">
        <f>IF($B29="","",ROUND($E29-$F29,0))</f>
        <v/>
      </c>
      <c r="H29" s="17">
        <f>IF($B29="","",IF(ROUND($G29,0)&gt;0,"بدهکار",IF(ROUND($G29,0)&lt;0,"بستانکار","تسویه")))</f>
        <v/>
      </c>
    </row>
    <row r="30">
      <c r="A30" s="11">
        <f>IF($B30="","",21)</f>
        <v/>
      </c>
      <c r="B30" s="12">
        <f>IF(6&gt;NPartyA,"",IFERROR(IF(VLOOKUP(INDEX(PkPartyA,6),AcctTblA,4,0)="","(بدون نام)",VLOOKUP(INDEX(PkPartyA,6),AcctTblA,4,0)),"—"))</f>
        <v/>
      </c>
      <c r="C30" s="13">
        <f>IF($B30="","",IF(6&gt;NPartyA,"",INDEX(PkPartyA,6)))</f>
        <v/>
      </c>
      <c r="D30" s="12">
        <f>IF($B30="","","p")</f>
        <v/>
      </c>
      <c r="E30" s="14">
        <f>IF($B30="","",IF(6&gt;NPartyA,0,SUMIF(CalcDebit,INDEX(PkPartyA,6),CalcAmt)+SUMIF(CalcDebit2,INDEX(PkPartyA,6),CalcAmt2)+SUMIF(CalcDebit3,INDEX(PkPartyA,6),CalcAmt3)))</f>
        <v/>
      </c>
      <c r="F30" s="14">
        <f>IF($B30="","",IF(6&gt;NPartyA,0,SUMIF(CalcCredit,INDEX(PkPartyA,6),CalcAmt)+SUMIF(CalcCredit2,INDEX(PkPartyA,6),CalcAmt2)+SUMIF(CalcCredit3,INDEX(PkPartyA,6),CalcAmt3)))</f>
        <v/>
      </c>
      <c r="G30" s="15">
        <f>IF($B30="","",ROUND($E30-$F30,0))</f>
        <v/>
      </c>
      <c r="H30" s="12">
        <f>IF($B30="","",IF(ROUND($G30,0)&gt;0,"بدهکار",IF(ROUND($G30,0)&lt;0,"بستانکار","تسویه")))</f>
        <v/>
      </c>
    </row>
    <row r="31">
      <c r="A31" s="16">
        <f>IF($B31="","",22)</f>
        <v/>
      </c>
      <c r="B31" s="17">
        <f>IF(7&gt;NPartyA,"",IFERROR(IF(VLOOKUP(INDEX(PkPartyA,7),AcctTblA,4,0)="","(بدون نام)",VLOOKUP(INDEX(PkPartyA,7),AcctTblA,4,0)),"—"))</f>
        <v/>
      </c>
      <c r="C31" s="18">
        <f>IF($B31="","",IF(7&gt;NPartyA,"",INDEX(PkPartyA,7)))</f>
        <v/>
      </c>
      <c r="D31" s="17">
        <f>IF($B31="","","p")</f>
        <v/>
      </c>
      <c r="E31" s="19">
        <f>IF($B31="","",IF(7&gt;NPartyA,0,SUMIF(CalcDebit,INDEX(PkPartyA,7),CalcAmt)+SUMIF(CalcDebit2,INDEX(PkPartyA,7),CalcAmt2)+SUMIF(CalcDebit3,INDEX(PkPartyA,7),CalcAmt3)))</f>
        <v/>
      </c>
      <c r="F31" s="19">
        <f>IF($B31="","",IF(7&gt;NPartyA,0,SUMIF(CalcCredit,INDEX(PkPartyA,7),CalcAmt)+SUMIF(CalcCredit2,INDEX(PkPartyA,7),CalcAmt2)+SUMIF(CalcCredit3,INDEX(PkPartyA,7),CalcAmt3)))</f>
        <v/>
      </c>
      <c r="G31" s="20">
        <f>IF($B31="","",ROUND($E31-$F31,0))</f>
        <v/>
      </c>
      <c r="H31" s="17">
        <f>IF($B31="","",IF(ROUND($G31,0)&gt;0,"بدهکار",IF(ROUND($G31,0)&lt;0,"بستانکار","تسویه")))</f>
        <v/>
      </c>
    </row>
    <row r="32">
      <c r="A32" s="11">
        <f>IF($B32="","",23)</f>
        <v/>
      </c>
      <c r="B32" s="12">
        <f>IF(8&gt;NPartyA,"",IFERROR(IF(VLOOKUP(INDEX(PkPartyA,8),AcctTblA,4,0)="","(بدون نام)",VLOOKUP(INDEX(PkPartyA,8),AcctTblA,4,0)),"—"))</f>
        <v/>
      </c>
      <c r="C32" s="13">
        <f>IF($B32="","",IF(8&gt;NPartyA,"",INDEX(PkPartyA,8)))</f>
        <v/>
      </c>
      <c r="D32" s="12">
        <f>IF($B32="","","p")</f>
        <v/>
      </c>
      <c r="E32" s="14">
        <f>IF($B32="","",IF(8&gt;NPartyA,0,SUMIF(CalcDebit,INDEX(PkPartyA,8),CalcAmt)+SUMIF(CalcDebit2,INDEX(PkPartyA,8),CalcAmt2)+SUMIF(CalcDebit3,INDEX(PkPartyA,8),CalcAmt3)))</f>
        <v/>
      </c>
      <c r="F32" s="14">
        <f>IF($B32="","",IF(8&gt;NPartyA,0,SUMIF(CalcCredit,INDEX(PkPartyA,8),CalcAmt)+SUMIF(CalcCredit2,INDEX(PkPartyA,8),CalcAmt2)+SUMIF(CalcCredit3,INDEX(PkPartyA,8),CalcAmt3)))</f>
        <v/>
      </c>
      <c r="G32" s="15">
        <f>IF($B32="","",ROUND($E32-$F32,0))</f>
        <v/>
      </c>
      <c r="H32" s="12">
        <f>IF($B32="","",IF(ROUND($G32,0)&gt;0,"بدهکار",IF(ROUND($G32,0)&lt;0,"بستانکار","تسویه")))</f>
        <v/>
      </c>
    </row>
    <row r="33">
      <c r="A33" s="16">
        <f>IF($B33="","",24)</f>
        <v/>
      </c>
      <c r="B33" s="17">
        <f>IF(9&gt;NPartyA,"",IFERROR(IF(VLOOKUP(INDEX(PkPartyA,9),AcctTblA,4,0)="","(بدون نام)",VLOOKUP(INDEX(PkPartyA,9),AcctTblA,4,0)),"—"))</f>
        <v/>
      </c>
      <c r="C33" s="18">
        <f>IF($B33="","",IF(9&gt;NPartyA,"",INDEX(PkPartyA,9)))</f>
        <v/>
      </c>
      <c r="D33" s="17">
        <f>IF($B33="","","p")</f>
        <v/>
      </c>
      <c r="E33" s="19">
        <f>IF($B33="","",IF(9&gt;NPartyA,0,SUMIF(CalcDebit,INDEX(PkPartyA,9),CalcAmt)+SUMIF(CalcDebit2,INDEX(PkPartyA,9),CalcAmt2)+SUMIF(CalcDebit3,INDEX(PkPartyA,9),CalcAmt3)))</f>
        <v/>
      </c>
      <c r="F33" s="19">
        <f>IF($B33="","",IF(9&gt;NPartyA,0,SUMIF(CalcCredit,INDEX(PkPartyA,9),CalcAmt)+SUMIF(CalcCredit2,INDEX(PkPartyA,9),CalcAmt2)+SUMIF(CalcCredit3,INDEX(PkPartyA,9),CalcAmt3)))</f>
        <v/>
      </c>
      <c r="G33" s="20">
        <f>IF($B33="","",ROUND($E33-$F33,0))</f>
        <v/>
      </c>
      <c r="H33" s="17">
        <f>IF($B33="","",IF(ROUND($G33,0)&gt;0,"بدهکار",IF(ROUND($G33,0)&lt;0,"بستانکار","تسویه")))</f>
        <v/>
      </c>
    </row>
    <row r="34">
      <c r="A34" s="11">
        <f>IF($B34="","",25)</f>
        <v/>
      </c>
      <c r="B34" s="12">
        <f>IF(10&gt;NPartyA,"",IFERROR(IF(VLOOKUP(INDEX(PkPartyA,10),AcctTblA,4,0)="","(بدون نام)",VLOOKUP(INDEX(PkPartyA,10),AcctTblA,4,0)),"—"))</f>
        <v/>
      </c>
      <c r="C34" s="13">
        <f>IF($B34="","",IF(10&gt;NPartyA,"",INDEX(PkPartyA,10)))</f>
        <v/>
      </c>
      <c r="D34" s="12">
        <f>IF($B34="","","p")</f>
        <v/>
      </c>
      <c r="E34" s="14">
        <f>IF($B34="","",IF(10&gt;NPartyA,0,SUMIF(CalcDebit,INDEX(PkPartyA,10),CalcAmt)+SUMIF(CalcDebit2,INDEX(PkPartyA,10),CalcAmt2)+SUMIF(CalcDebit3,INDEX(PkPartyA,10),CalcAmt3)))</f>
        <v/>
      </c>
      <c r="F34" s="14">
        <f>IF($B34="","",IF(10&gt;NPartyA,0,SUMIF(CalcCredit,INDEX(PkPartyA,10),CalcAmt)+SUMIF(CalcCredit2,INDEX(PkPartyA,10),CalcAmt2)+SUMIF(CalcCredit3,INDEX(PkPartyA,10),CalcAmt3)))</f>
        <v/>
      </c>
      <c r="G34" s="15">
        <f>IF($B34="","",ROUND($E34-$F34,0))</f>
        <v/>
      </c>
      <c r="H34" s="12">
        <f>IF($B34="","",IF(ROUND($G34,0)&gt;0,"بدهکار",IF(ROUND($G34,0)&lt;0,"بستانکار","تسویه")))</f>
        <v/>
      </c>
    </row>
    <row r="35">
      <c r="A35" s="16">
        <f>IF($B35="","",26)</f>
        <v/>
      </c>
      <c r="B35" s="17">
        <f>IF(11&gt;NPartyA,"",IFERROR(IF(VLOOKUP(INDEX(PkPartyA,11),AcctTblA,4,0)="","(بدون نام)",VLOOKUP(INDEX(PkPartyA,11),AcctTblA,4,0)),"—"))</f>
        <v/>
      </c>
      <c r="C35" s="18">
        <f>IF($B35="","",IF(11&gt;NPartyA,"",INDEX(PkPartyA,11)))</f>
        <v/>
      </c>
      <c r="D35" s="17">
        <f>IF($B35="","","p")</f>
        <v/>
      </c>
      <c r="E35" s="19">
        <f>IF($B35="","",IF(11&gt;NPartyA,0,SUMIF(CalcDebit,INDEX(PkPartyA,11),CalcAmt)+SUMIF(CalcDebit2,INDEX(PkPartyA,11),CalcAmt2)+SUMIF(CalcDebit3,INDEX(PkPartyA,11),CalcAmt3)))</f>
        <v/>
      </c>
      <c r="F35" s="19">
        <f>IF($B35="","",IF(11&gt;NPartyA,0,SUMIF(CalcCredit,INDEX(PkPartyA,11),CalcAmt)+SUMIF(CalcCredit2,INDEX(PkPartyA,11),CalcAmt2)+SUMIF(CalcCredit3,INDEX(PkPartyA,11),CalcAmt3)))</f>
        <v/>
      </c>
      <c r="G35" s="20">
        <f>IF($B35="","",ROUND($E35-$F35,0))</f>
        <v/>
      </c>
      <c r="H35" s="17">
        <f>IF($B35="","",IF(ROUND($G35,0)&gt;0,"بدهکار",IF(ROUND($G35,0)&lt;0,"بستانکار","تسویه")))</f>
        <v/>
      </c>
    </row>
    <row r="36">
      <c r="A36" s="11">
        <f>IF($B36="","",27)</f>
        <v/>
      </c>
      <c r="B36" s="12">
        <f>IF(12&gt;NPartyA,"",IFERROR(IF(VLOOKUP(INDEX(PkPartyA,12),AcctTblA,4,0)="","(بدون نام)",VLOOKUP(INDEX(PkPartyA,12),AcctTblA,4,0)),"—"))</f>
        <v/>
      </c>
      <c r="C36" s="13">
        <f>IF($B36="","",IF(12&gt;NPartyA,"",INDEX(PkPartyA,12)))</f>
        <v/>
      </c>
      <c r="D36" s="12">
        <f>IF($B36="","","p")</f>
        <v/>
      </c>
      <c r="E36" s="14">
        <f>IF($B36="","",IF(12&gt;NPartyA,0,SUMIF(CalcDebit,INDEX(PkPartyA,12),CalcAmt)+SUMIF(CalcDebit2,INDEX(PkPartyA,12),CalcAmt2)+SUMIF(CalcDebit3,INDEX(PkPartyA,12),CalcAmt3)))</f>
        <v/>
      </c>
      <c r="F36" s="14">
        <f>IF($B36="","",IF(12&gt;NPartyA,0,SUMIF(CalcCredit,INDEX(PkPartyA,12),CalcAmt)+SUMIF(CalcCredit2,INDEX(PkPartyA,12),CalcAmt2)+SUMIF(CalcCredit3,INDEX(PkPartyA,12),CalcAmt3)))</f>
        <v/>
      </c>
      <c r="G36" s="15">
        <f>IF($B36="","",ROUND($E36-$F36,0))</f>
        <v/>
      </c>
      <c r="H36" s="12">
        <f>IF($B36="","",IF(ROUND($G36,0)&gt;0,"بدهکار",IF(ROUND($G36,0)&lt;0,"بستانکار","تسویه")))</f>
        <v/>
      </c>
    </row>
    <row r="37">
      <c r="A37" s="16">
        <f>IF($B37="","",28)</f>
        <v/>
      </c>
      <c r="B37" s="17">
        <f>IF(13&gt;NPartyA,"",IFERROR(IF(VLOOKUP(INDEX(PkPartyA,13),AcctTblA,4,0)="","(بدون نام)",VLOOKUP(INDEX(PkPartyA,13),AcctTblA,4,0)),"—"))</f>
        <v/>
      </c>
      <c r="C37" s="18">
        <f>IF($B37="","",IF(13&gt;NPartyA,"",INDEX(PkPartyA,13)))</f>
        <v/>
      </c>
      <c r="D37" s="17">
        <f>IF($B37="","","p")</f>
        <v/>
      </c>
      <c r="E37" s="19">
        <f>IF($B37="","",IF(13&gt;NPartyA,0,SUMIF(CalcDebit,INDEX(PkPartyA,13),CalcAmt)+SUMIF(CalcDebit2,INDEX(PkPartyA,13),CalcAmt2)+SUMIF(CalcDebit3,INDEX(PkPartyA,13),CalcAmt3)))</f>
        <v/>
      </c>
      <c r="F37" s="19">
        <f>IF($B37="","",IF(13&gt;NPartyA,0,SUMIF(CalcCredit,INDEX(PkPartyA,13),CalcAmt)+SUMIF(CalcCredit2,INDEX(PkPartyA,13),CalcAmt2)+SUMIF(CalcCredit3,INDEX(PkPartyA,13),CalcAmt3)))</f>
        <v/>
      </c>
      <c r="G37" s="20">
        <f>IF($B37="","",ROUND($E37-$F37,0))</f>
        <v/>
      </c>
      <c r="H37" s="17">
        <f>IF($B37="","",IF(ROUND($G37,0)&gt;0,"بدهکار",IF(ROUND($G37,0)&lt;0,"بستانکار","تسویه")))</f>
        <v/>
      </c>
    </row>
    <row r="38">
      <c r="A38" s="11">
        <f>IF($B38="","",29)</f>
        <v/>
      </c>
      <c r="B38" s="12">
        <f>IF(14&gt;NPartyA,"",IFERROR(IF(VLOOKUP(INDEX(PkPartyA,14),AcctTblA,4,0)="","(بدون نام)",VLOOKUP(INDEX(PkPartyA,14),AcctTblA,4,0)),"—"))</f>
        <v/>
      </c>
      <c r="C38" s="13">
        <f>IF($B38="","",IF(14&gt;NPartyA,"",INDEX(PkPartyA,14)))</f>
        <v/>
      </c>
      <c r="D38" s="12">
        <f>IF($B38="","","p")</f>
        <v/>
      </c>
      <c r="E38" s="14">
        <f>IF($B38="","",IF(14&gt;NPartyA,0,SUMIF(CalcDebit,INDEX(PkPartyA,14),CalcAmt)+SUMIF(CalcDebit2,INDEX(PkPartyA,14),CalcAmt2)+SUMIF(CalcDebit3,INDEX(PkPartyA,14),CalcAmt3)))</f>
        <v/>
      </c>
      <c r="F38" s="14">
        <f>IF($B38="","",IF(14&gt;NPartyA,0,SUMIF(CalcCredit,INDEX(PkPartyA,14),CalcAmt)+SUMIF(CalcCredit2,INDEX(PkPartyA,14),CalcAmt2)+SUMIF(CalcCredit3,INDEX(PkPartyA,14),CalcAmt3)))</f>
        <v/>
      </c>
      <c r="G38" s="15">
        <f>IF($B38="","",ROUND($E38-$F38,0))</f>
        <v/>
      </c>
      <c r="H38" s="12">
        <f>IF($B38="","",IF(ROUND($G38,0)&gt;0,"بدهکار",IF(ROUND($G38,0)&lt;0,"بستانکار","تسویه")))</f>
        <v/>
      </c>
    </row>
    <row r="39">
      <c r="A39" s="16">
        <f>IF($B39="","",30)</f>
        <v/>
      </c>
      <c r="B39" s="17">
        <f>IF(15&gt;NPartyA,"",IFERROR(IF(VLOOKUP(INDEX(PkPartyA,15),AcctTblA,4,0)="","(بدون نام)",VLOOKUP(INDEX(PkPartyA,15),AcctTblA,4,0)),"—"))</f>
        <v/>
      </c>
      <c r="C39" s="18">
        <f>IF($B39="","",IF(15&gt;NPartyA,"",INDEX(PkPartyA,15)))</f>
        <v/>
      </c>
      <c r="D39" s="17">
        <f>IF($B39="","","p")</f>
        <v/>
      </c>
      <c r="E39" s="19">
        <f>IF($B39="","",IF(15&gt;NPartyA,0,SUMIF(CalcDebit,INDEX(PkPartyA,15),CalcAmt)+SUMIF(CalcDebit2,INDEX(PkPartyA,15),CalcAmt2)+SUMIF(CalcDebit3,INDEX(PkPartyA,15),CalcAmt3)))</f>
        <v/>
      </c>
      <c r="F39" s="19">
        <f>IF($B39="","",IF(15&gt;NPartyA,0,SUMIF(CalcCredit,INDEX(PkPartyA,15),CalcAmt)+SUMIF(CalcCredit2,INDEX(PkPartyA,15),CalcAmt2)+SUMIF(CalcCredit3,INDEX(PkPartyA,15),CalcAmt3)))</f>
        <v/>
      </c>
      <c r="G39" s="20">
        <f>IF($B39="","",ROUND($E39-$F39,0))</f>
        <v/>
      </c>
      <c r="H39" s="17">
        <f>IF($B39="","",IF(ROUND($G39,0)&gt;0,"بدهکار",IF(ROUND($G39,0)&lt;0,"بستانکار","تسویه")))</f>
        <v/>
      </c>
    </row>
    <row r="40">
      <c r="A40" s="11">
        <f>IF($B40="","",31)</f>
        <v/>
      </c>
      <c r="B40" s="12">
        <f>IF(16&gt;NPartyA,"",IFERROR(IF(VLOOKUP(INDEX(PkPartyA,16),AcctTblA,4,0)="","(بدون نام)",VLOOKUP(INDEX(PkPartyA,16),AcctTblA,4,0)),"—"))</f>
        <v/>
      </c>
      <c r="C40" s="13">
        <f>IF($B40="","",IF(16&gt;NPartyA,"",INDEX(PkPartyA,16)))</f>
        <v/>
      </c>
      <c r="D40" s="12">
        <f>IF($B40="","","p")</f>
        <v/>
      </c>
      <c r="E40" s="14">
        <f>IF($B40="","",IF(16&gt;NPartyA,0,SUMIF(CalcDebit,INDEX(PkPartyA,16),CalcAmt)+SUMIF(CalcDebit2,INDEX(PkPartyA,16),CalcAmt2)+SUMIF(CalcDebit3,INDEX(PkPartyA,16),CalcAmt3)))</f>
        <v/>
      </c>
      <c r="F40" s="14">
        <f>IF($B40="","",IF(16&gt;NPartyA,0,SUMIF(CalcCredit,INDEX(PkPartyA,16),CalcAmt)+SUMIF(CalcCredit2,INDEX(PkPartyA,16),CalcAmt2)+SUMIF(CalcCredit3,INDEX(PkPartyA,16),CalcAmt3)))</f>
        <v/>
      </c>
      <c r="G40" s="15">
        <f>IF($B40="","",ROUND($E40-$F40,0))</f>
        <v/>
      </c>
      <c r="H40" s="12">
        <f>IF($B40="","",IF(ROUND($G40,0)&gt;0,"بدهکار",IF(ROUND($G40,0)&lt;0,"بستانکار","تسویه")))</f>
        <v/>
      </c>
    </row>
    <row r="41">
      <c r="A41" s="16">
        <f>IF($B41="","",32)</f>
        <v/>
      </c>
      <c r="B41" s="17">
        <f>IF(17&gt;NPartyA,"",IFERROR(IF(VLOOKUP(INDEX(PkPartyA,17),AcctTblA,4,0)="","(بدون نام)",VLOOKUP(INDEX(PkPartyA,17),AcctTblA,4,0)),"—"))</f>
        <v/>
      </c>
      <c r="C41" s="18">
        <f>IF($B41="","",IF(17&gt;NPartyA,"",INDEX(PkPartyA,17)))</f>
        <v/>
      </c>
      <c r="D41" s="17">
        <f>IF($B41="","","p")</f>
        <v/>
      </c>
      <c r="E41" s="19">
        <f>IF($B41="","",IF(17&gt;NPartyA,0,SUMIF(CalcDebit,INDEX(PkPartyA,17),CalcAmt)+SUMIF(CalcDebit2,INDEX(PkPartyA,17),CalcAmt2)+SUMIF(CalcDebit3,INDEX(PkPartyA,17),CalcAmt3)))</f>
        <v/>
      </c>
      <c r="F41" s="19">
        <f>IF($B41="","",IF(17&gt;NPartyA,0,SUMIF(CalcCredit,INDEX(PkPartyA,17),CalcAmt)+SUMIF(CalcCredit2,INDEX(PkPartyA,17),CalcAmt2)+SUMIF(CalcCredit3,INDEX(PkPartyA,17),CalcAmt3)))</f>
        <v/>
      </c>
      <c r="G41" s="20">
        <f>IF($B41="","",ROUND($E41-$F41,0))</f>
        <v/>
      </c>
      <c r="H41" s="17">
        <f>IF($B41="","",IF(ROUND($G41,0)&gt;0,"بدهکار",IF(ROUND($G41,0)&lt;0,"بستانکار","تسویه")))</f>
        <v/>
      </c>
    </row>
    <row r="42">
      <c r="A42" s="11">
        <f>IF($B42="","",33)</f>
        <v/>
      </c>
      <c r="B42" s="12">
        <f>IF(18&gt;NPartyA,"",IFERROR(IF(VLOOKUP(INDEX(PkPartyA,18),AcctTblA,4,0)="","(بدون نام)",VLOOKUP(INDEX(PkPartyA,18),AcctTblA,4,0)),"—"))</f>
        <v/>
      </c>
      <c r="C42" s="13">
        <f>IF($B42="","",IF(18&gt;NPartyA,"",INDEX(PkPartyA,18)))</f>
        <v/>
      </c>
      <c r="D42" s="12">
        <f>IF($B42="","","p")</f>
        <v/>
      </c>
      <c r="E42" s="14">
        <f>IF($B42="","",IF(18&gt;NPartyA,0,SUMIF(CalcDebit,INDEX(PkPartyA,18),CalcAmt)+SUMIF(CalcDebit2,INDEX(PkPartyA,18),CalcAmt2)+SUMIF(CalcDebit3,INDEX(PkPartyA,18),CalcAmt3)))</f>
        <v/>
      </c>
      <c r="F42" s="14">
        <f>IF($B42="","",IF(18&gt;NPartyA,0,SUMIF(CalcCredit,INDEX(PkPartyA,18),CalcAmt)+SUMIF(CalcCredit2,INDEX(PkPartyA,18),CalcAmt2)+SUMIF(CalcCredit3,INDEX(PkPartyA,18),CalcAmt3)))</f>
        <v/>
      </c>
      <c r="G42" s="15">
        <f>IF($B42="","",ROUND($E42-$F42,0))</f>
        <v/>
      </c>
      <c r="H42" s="12">
        <f>IF($B42="","",IF(ROUND($G42,0)&gt;0,"بدهکار",IF(ROUND($G42,0)&lt;0,"بستانکار","تسویه")))</f>
        <v/>
      </c>
    </row>
    <row r="43">
      <c r="A43" s="16">
        <f>IF($B43="","",34)</f>
        <v/>
      </c>
      <c r="B43" s="17">
        <f>IF(19&gt;NPartyA,"",IFERROR(IF(VLOOKUP(INDEX(PkPartyA,19),AcctTblA,4,0)="","(بدون نام)",VLOOKUP(INDEX(PkPartyA,19),AcctTblA,4,0)),"—"))</f>
        <v/>
      </c>
      <c r="C43" s="18">
        <f>IF($B43="","",IF(19&gt;NPartyA,"",INDEX(PkPartyA,19)))</f>
        <v/>
      </c>
      <c r="D43" s="17">
        <f>IF($B43="","","p")</f>
        <v/>
      </c>
      <c r="E43" s="19">
        <f>IF($B43="","",IF(19&gt;NPartyA,0,SUMIF(CalcDebit,INDEX(PkPartyA,19),CalcAmt)+SUMIF(CalcDebit2,INDEX(PkPartyA,19),CalcAmt2)+SUMIF(CalcDebit3,INDEX(PkPartyA,19),CalcAmt3)))</f>
        <v/>
      </c>
      <c r="F43" s="19">
        <f>IF($B43="","",IF(19&gt;NPartyA,0,SUMIF(CalcCredit,INDEX(PkPartyA,19),CalcAmt)+SUMIF(CalcCredit2,INDEX(PkPartyA,19),CalcAmt2)+SUMIF(CalcCredit3,INDEX(PkPartyA,19),CalcAmt3)))</f>
        <v/>
      </c>
      <c r="G43" s="20">
        <f>IF($B43="","",ROUND($E43-$F43,0))</f>
        <v/>
      </c>
      <c r="H43" s="17">
        <f>IF($B43="","",IF(ROUND($G43,0)&gt;0,"بدهکار",IF(ROUND($G43,0)&lt;0,"بستانکار","تسویه")))</f>
        <v/>
      </c>
    </row>
    <row r="44">
      <c r="A44" s="11">
        <f>IF($B44="","",35)</f>
        <v/>
      </c>
      <c r="B44" s="12">
        <f>IF(20&gt;NPartyA,"",IFERROR(IF(VLOOKUP(INDEX(PkPartyA,20),AcctTblA,4,0)="","(بدون نام)",VLOOKUP(INDEX(PkPartyA,20),AcctTblA,4,0)),"—"))</f>
        <v/>
      </c>
      <c r="C44" s="13">
        <f>IF($B44="","",IF(20&gt;NPartyA,"",INDEX(PkPartyA,20)))</f>
        <v/>
      </c>
      <c r="D44" s="12">
        <f>IF($B44="","","p")</f>
        <v/>
      </c>
      <c r="E44" s="14">
        <f>IF($B44="","",IF(20&gt;NPartyA,0,SUMIF(CalcDebit,INDEX(PkPartyA,20),CalcAmt)+SUMIF(CalcDebit2,INDEX(PkPartyA,20),CalcAmt2)+SUMIF(CalcDebit3,INDEX(PkPartyA,20),CalcAmt3)))</f>
        <v/>
      </c>
      <c r="F44" s="14">
        <f>IF($B44="","",IF(20&gt;NPartyA,0,SUMIF(CalcCredit,INDEX(PkPartyA,20),CalcAmt)+SUMIF(CalcCredit2,INDEX(PkPartyA,20),CalcAmt2)+SUMIF(CalcCredit3,INDEX(PkPartyA,20),CalcAmt3)))</f>
        <v/>
      </c>
      <c r="G44" s="15">
        <f>IF($B44="","",ROUND($E44-$F44,0))</f>
        <v/>
      </c>
      <c r="H44" s="12">
        <f>IF($B44="","",IF(ROUND($G44,0)&gt;0,"بدهکار",IF(ROUND($G44,0)&lt;0,"بستانکار","تسویه")))</f>
        <v/>
      </c>
    </row>
    <row r="45">
      <c r="A45" s="16">
        <f>IF($B45="","",36)</f>
        <v/>
      </c>
      <c r="B45" s="17">
        <f>IF(21&gt;NPartyA,"",IFERROR(IF(VLOOKUP(INDEX(PkPartyA,21),AcctTblA,4,0)="","(بدون نام)",VLOOKUP(INDEX(PkPartyA,21),AcctTblA,4,0)),"—"))</f>
        <v/>
      </c>
      <c r="C45" s="18">
        <f>IF($B45="","",IF(21&gt;NPartyA,"",INDEX(PkPartyA,21)))</f>
        <v/>
      </c>
      <c r="D45" s="17">
        <f>IF($B45="","","p")</f>
        <v/>
      </c>
      <c r="E45" s="19">
        <f>IF($B45="","",IF(21&gt;NPartyA,0,SUMIF(CalcDebit,INDEX(PkPartyA,21),CalcAmt)+SUMIF(CalcDebit2,INDEX(PkPartyA,21),CalcAmt2)+SUMIF(CalcDebit3,INDEX(PkPartyA,21),CalcAmt3)))</f>
        <v/>
      </c>
      <c r="F45" s="19">
        <f>IF($B45="","",IF(21&gt;NPartyA,0,SUMIF(CalcCredit,INDEX(PkPartyA,21),CalcAmt)+SUMIF(CalcCredit2,INDEX(PkPartyA,21),CalcAmt2)+SUMIF(CalcCredit3,INDEX(PkPartyA,21),CalcAmt3)))</f>
        <v/>
      </c>
      <c r="G45" s="20">
        <f>IF($B45="","",ROUND($E45-$F45,0))</f>
        <v/>
      </c>
      <c r="H45" s="17">
        <f>IF($B45="","",IF(ROUND($G45,0)&gt;0,"بدهکار",IF(ROUND($G45,0)&lt;0,"بستانکار","تسویه")))</f>
        <v/>
      </c>
    </row>
    <row r="46">
      <c r="A46" s="11">
        <f>IF($B46="","",37)</f>
        <v/>
      </c>
      <c r="B46" s="12">
        <f>IF(22&gt;NPartyA,"",IFERROR(IF(VLOOKUP(INDEX(PkPartyA,22),AcctTblA,4,0)="","(بدون نام)",VLOOKUP(INDEX(PkPartyA,22),AcctTblA,4,0)),"—"))</f>
        <v/>
      </c>
      <c r="C46" s="13">
        <f>IF($B46="","",IF(22&gt;NPartyA,"",INDEX(PkPartyA,22)))</f>
        <v/>
      </c>
      <c r="D46" s="12">
        <f>IF($B46="","","p")</f>
        <v/>
      </c>
      <c r="E46" s="14">
        <f>IF($B46="","",IF(22&gt;NPartyA,0,SUMIF(CalcDebit,INDEX(PkPartyA,22),CalcAmt)+SUMIF(CalcDebit2,INDEX(PkPartyA,22),CalcAmt2)+SUMIF(CalcDebit3,INDEX(PkPartyA,22),CalcAmt3)))</f>
        <v/>
      </c>
      <c r="F46" s="14">
        <f>IF($B46="","",IF(22&gt;NPartyA,0,SUMIF(CalcCredit,INDEX(PkPartyA,22),CalcAmt)+SUMIF(CalcCredit2,INDEX(PkPartyA,22),CalcAmt2)+SUMIF(CalcCredit3,INDEX(PkPartyA,22),CalcAmt3)))</f>
        <v/>
      </c>
      <c r="G46" s="15">
        <f>IF($B46="","",ROUND($E46-$F46,0))</f>
        <v/>
      </c>
      <c r="H46" s="12">
        <f>IF($B46="","",IF(ROUND($G46,0)&gt;0,"بدهکار",IF(ROUND($G46,0)&lt;0,"بستانکار","تسویه")))</f>
        <v/>
      </c>
    </row>
    <row r="47">
      <c r="A47" s="16">
        <f>IF($B47="","",38)</f>
        <v/>
      </c>
      <c r="B47" s="17">
        <f>IF(23&gt;NPartyA,"",IFERROR(IF(VLOOKUP(INDEX(PkPartyA,23),AcctTblA,4,0)="","(بدون نام)",VLOOKUP(INDEX(PkPartyA,23),AcctTblA,4,0)),"—"))</f>
        <v/>
      </c>
      <c r="C47" s="18">
        <f>IF($B47="","",IF(23&gt;NPartyA,"",INDEX(PkPartyA,23)))</f>
        <v/>
      </c>
      <c r="D47" s="17">
        <f>IF($B47="","","p")</f>
        <v/>
      </c>
      <c r="E47" s="19">
        <f>IF($B47="","",IF(23&gt;NPartyA,0,SUMIF(CalcDebit,INDEX(PkPartyA,23),CalcAmt)+SUMIF(CalcDebit2,INDEX(PkPartyA,23),CalcAmt2)+SUMIF(CalcDebit3,INDEX(PkPartyA,23),CalcAmt3)))</f>
        <v/>
      </c>
      <c r="F47" s="19">
        <f>IF($B47="","",IF(23&gt;NPartyA,0,SUMIF(CalcCredit,INDEX(PkPartyA,23),CalcAmt)+SUMIF(CalcCredit2,INDEX(PkPartyA,23),CalcAmt2)+SUMIF(CalcCredit3,INDEX(PkPartyA,23),CalcAmt3)))</f>
        <v/>
      </c>
      <c r="G47" s="20">
        <f>IF($B47="","",ROUND($E47-$F47,0))</f>
        <v/>
      </c>
      <c r="H47" s="17">
        <f>IF($B47="","",IF(ROUND($G47,0)&gt;0,"بدهکار",IF(ROUND($G47,0)&lt;0,"بستانکار","تسویه")))</f>
        <v/>
      </c>
    </row>
    <row r="48">
      <c r="A48" s="11">
        <f>IF($B48="","",39)</f>
        <v/>
      </c>
      <c r="B48" s="12">
        <f>IF(24&gt;NPartyA,"",IFERROR(IF(VLOOKUP(INDEX(PkPartyA,24),AcctTblA,4,0)="","(بدون نام)",VLOOKUP(INDEX(PkPartyA,24),AcctTblA,4,0)),"—"))</f>
        <v/>
      </c>
      <c r="C48" s="13">
        <f>IF($B48="","",IF(24&gt;NPartyA,"",INDEX(PkPartyA,24)))</f>
        <v/>
      </c>
      <c r="D48" s="12">
        <f>IF($B48="","","p")</f>
        <v/>
      </c>
      <c r="E48" s="14">
        <f>IF($B48="","",IF(24&gt;NPartyA,0,SUMIF(CalcDebit,INDEX(PkPartyA,24),CalcAmt)+SUMIF(CalcDebit2,INDEX(PkPartyA,24),CalcAmt2)+SUMIF(CalcDebit3,INDEX(PkPartyA,24),CalcAmt3)))</f>
        <v/>
      </c>
      <c r="F48" s="14">
        <f>IF($B48="","",IF(24&gt;NPartyA,0,SUMIF(CalcCredit,INDEX(PkPartyA,24),CalcAmt)+SUMIF(CalcCredit2,INDEX(PkPartyA,24),CalcAmt2)+SUMIF(CalcCredit3,INDEX(PkPartyA,24),CalcAmt3)))</f>
        <v/>
      </c>
      <c r="G48" s="15">
        <f>IF($B48="","",ROUND($E48-$F48,0))</f>
        <v/>
      </c>
      <c r="H48" s="12">
        <f>IF($B48="","",IF(ROUND($G48,0)&gt;0,"بدهکار",IF(ROUND($G48,0)&lt;0,"بستانکار","تسویه")))</f>
        <v/>
      </c>
    </row>
    <row r="49">
      <c r="A49" s="16">
        <f>IF($B49="","",40)</f>
        <v/>
      </c>
      <c r="B49" s="17">
        <f>IF(25&gt;NPartyA,"",IFERROR(IF(VLOOKUP(INDEX(PkPartyA,25),AcctTblA,4,0)="","(بدون نام)",VLOOKUP(INDEX(PkPartyA,25),AcctTblA,4,0)),"—"))</f>
        <v/>
      </c>
      <c r="C49" s="18">
        <f>IF($B49="","",IF(25&gt;NPartyA,"",INDEX(PkPartyA,25)))</f>
        <v/>
      </c>
      <c r="D49" s="17">
        <f>IF($B49="","","p")</f>
        <v/>
      </c>
      <c r="E49" s="19">
        <f>IF($B49="","",IF(25&gt;NPartyA,0,SUMIF(CalcDebit,INDEX(PkPartyA,25),CalcAmt)+SUMIF(CalcDebit2,INDEX(PkPartyA,25),CalcAmt2)+SUMIF(CalcDebit3,INDEX(PkPartyA,25),CalcAmt3)))</f>
        <v/>
      </c>
      <c r="F49" s="19">
        <f>IF($B49="","",IF(25&gt;NPartyA,0,SUMIF(CalcCredit,INDEX(PkPartyA,25),CalcAmt)+SUMIF(CalcCredit2,INDEX(PkPartyA,25),CalcAmt2)+SUMIF(CalcCredit3,INDEX(PkPartyA,25),CalcAmt3)))</f>
        <v/>
      </c>
      <c r="G49" s="20">
        <f>IF($B49="","",ROUND($E49-$F49,0))</f>
        <v/>
      </c>
      <c r="H49" s="17">
        <f>IF($B49="","",IF(ROUND($G49,0)&gt;0,"بدهکار",IF(ROUND($G49,0)&lt;0,"بستانکار","تسویه")))</f>
        <v/>
      </c>
    </row>
    <row r="50">
      <c r="A50" s="11">
        <f>IF($B50="","",41)</f>
        <v/>
      </c>
      <c r="B50" s="12">
        <f>IF(26&gt;NPartyA,"",IFERROR(IF(VLOOKUP(INDEX(PkPartyA,26),AcctTblA,4,0)="","(بدون نام)",VLOOKUP(INDEX(PkPartyA,26),AcctTblA,4,0)),"—"))</f>
        <v/>
      </c>
      <c r="C50" s="13">
        <f>IF($B50="","",IF(26&gt;NPartyA,"",INDEX(PkPartyA,26)))</f>
        <v/>
      </c>
      <c r="D50" s="12">
        <f>IF($B50="","","p")</f>
        <v/>
      </c>
      <c r="E50" s="14">
        <f>IF($B50="","",IF(26&gt;NPartyA,0,SUMIF(CalcDebit,INDEX(PkPartyA,26),CalcAmt)+SUMIF(CalcDebit2,INDEX(PkPartyA,26),CalcAmt2)+SUMIF(CalcDebit3,INDEX(PkPartyA,26),CalcAmt3)))</f>
        <v/>
      </c>
      <c r="F50" s="14">
        <f>IF($B50="","",IF(26&gt;NPartyA,0,SUMIF(CalcCredit,INDEX(PkPartyA,26),CalcAmt)+SUMIF(CalcCredit2,INDEX(PkPartyA,26),CalcAmt2)+SUMIF(CalcCredit3,INDEX(PkPartyA,26),CalcAmt3)))</f>
        <v/>
      </c>
      <c r="G50" s="15">
        <f>IF($B50="","",ROUND($E50-$F50,0))</f>
        <v/>
      </c>
      <c r="H50" s="12">
        <f>IF($B50="","",IF(ROUND($G50,0)&gt;0,"بدهکار",IF(ROUND($G50,0)&lt;0,"بستانکار","تسویه")))</f>
        <v/>
      </c>
    </row>
    <row r="51">
      <c r="A51" s="16">
        <f>IF($B51="","",42)</f>
        <v/>
      </c>
      <c r="B51" s="17">
        <f>IF(27&gt;NPartyA,"",IFERROR(IF(VLOOKUP(INDEX(PkPartyA,27),AcctTblA,4,0)="","(بدون نام)",VLOOKUP(INDEX(PkPartyA,27),AcctTblA,4,0)),"—"))</f>
        <v/>
      </c>
      <c r="C51" s="18">
        <f>IF($B51="","",IF(27&gt;NPartyA,"",INDEX(PkPartyA,27)))</f>
        <v/>
      </c>
      <c r="D51" s="17">
        <f>IF($B51="","","p")</f>
        <v/>
      </c>
      <c r="E51" s="19">
        <f>IF($B51="","",IF(27&gt;NPartyA,0,SUMIF(CalcDebit,INDEX(PkPartyA,27),CalcAmt)+SUMIF(CalcDebit2,INDEX(PkPartyA,27),CalcAmt2)+SUMIF(CalcDebit3,INDEX(PkPartyA,27),CalcAmt3)))</f>
        <v/>
      </c>
      <c r="F51" s="19">
        <f>IF($B51="","",IF(27&gt;NPartyA,0,SUMIF(CalcCredit,INDEX(PkPartyA,27),CalcAmt)+SUMIF(CalcCredit2,INDEX(PkPartyA,27),CalcAmt2)+SUMIF(CalcCredit3,INDEX(PkPartyA,27),CalcAmt3)))</f>
        <v/>
      </c>
      <c r="G51" s="20">
        <f>IF($B51="","",ROUND($E51-$F51,0))</f>
        <v/>
      </c>
      <c r="H51" s="17">
        <f>IF($B51="","",IF(ROUND($G51,0)&gt;0,"بدهکار",IF(ROUND($G51,0)&lt;0,"بستانکار","تسویه")))</f>
        <v/>
      </c>
    </row>
    <row r="52">
      <c r="A52" s="11">
        <f>IF($B52="","",43)</f>
        <v/>
      </c>
      <c r="B52" s="12">
        <f>IF(28&gt;NPartyA,"",IFERROR(IF(VLOOKUP(INDEX(PkPartyA,28),AcctTblA,4,0)="","(بدون نام)",VLOOKUP(INDEX(PkPartyA,28),AcctTblA,4,0)),"—"))</f>
        <v/>
      </c>
      <c r="C52" s="13">
        <f>IF($B52="","",IF(28&gt;NPartyA,"",INDEX(PkPartyA,28)))</f>
        <v/>
      </c>
      <c r="D52" s="12">
        <f>IF($B52="","","p")</f>
        <v/>
      </c>
      <c r="E52" s="14">
        <f>IF($B52="","",IF(28&gt;NPartyA,0,SUMIF(CalcDebit,INDEX(PkPartyA,28),CalcAmt)+SUMIF(CalcDebit2,INDEX(PkPartyA,28),CalcAmt2)+SUMIF(CalcDebit3,INDEX(PkPartyA,28),CalcAmt3)))</f>
        <v/>
      </c>
      <c r="F52" s="14">
        <f>IF($B52="","",IF(28&gt;NPartyA,0,SUMIF(CalcCredit,INDEX(PkPartyA,28),CalcAmt)+SUMIF(CalcCredit2,INDEX(PkPartyA,28),CalcAmt2)+SUMIF(CalcCredit3,INDEX(PkPartyA,28),CalcAmt3)))</f>
        <v/>
      </c>
      <c r="G52" s="15">
        <f>IF($B52="","",ROUND($E52-$F52,0))</f>
        <v/>
      </c>
      <c r="H52" s="12">
        <f>IF($B52="","",IF(ROUND($G52,0)&gt;0,"بدهکار",IF(ROUND($G52,0)&lt;0,"بستانکار","تسویه")))</f>
        <v/>
      </c>
    </row>
    <row r="53">
      <c r="A53" s="16">
        <f>IF($B53="","",44)</f>
        <v/>
      </c>
      <c r="B53" s="17">
        <f>IF(29&gt;NPartyA,"",IFERROR(IF(VLOOKUP(INDEX(PkPartyA,29),AcctTblA,4,0)="","(بدون نام)",VLOOKUP(INDEX(PkPartyA,29),AcctTblA,4,0)),"—"))</f>
        <v/>
      </c>
      <c r="C53" s="18">
        <f>IF($B53="","",IF(29&gt;NPartyA,"",INDEX(PkPartyA,29)))</f>
        <v/>
      </c>
      <c r="D53" s="17">
        <f>IF($B53="","","p")</f>
        <v/>
      </c>
      <c r="E53" s="19">
        <f>IF($B53="","",IF(29&gt;NPartyA,0,SUMIF(CalcDebit,INDEX(PkPartyA,29),CalcAmt)+SUMIF(CalcDebit2,INDEX(PkPartyA,29),CalcAmt2)+SUMIF(CalcDebit3,INDEX(PkPartyA,29),CalcAmt3)))</f>
        <v/>
      </c>
      <c r="F53" s="19">
        <f>IF($B53="","",IF(29&gt;NPartyA,0,SUMIF(CalcCredit,INDEX(PkPartyA,29),CalcAmt)+SUMIF(CalcCredit2,INDEX(PkPartyA,29),CalcAmt2)+SUMIF(CalcCredit3,INDEX(PkPartyA,29),CalcAmt3)))</f>
        <v/>
      </c>
      <c r="G53" s="20">
        <f>IF($B53="","",ROUND($E53-$F53,0))</f>
        <v/>
      </c>
      <c r="H53" s="17">
        <f>IF($B53="","",IF(ROUND($G53,0)&gt;0,"بدهکار",IF(ROUND($G53,0)&lt;0,"بستانکار","تسویه")))</f>
        <v/>
      </c>
    </row>
    <row r="54">
      <c r="A54" s="11">
        <f>IF($B54="","",45)</f>
        <v/>
      </c>
      <c r="B54" s="12">
        <f>IF(30&gt;NPartyA,"",IFERROR(IF(VLOOKUP(INDEX(PkPartyA,30),AcctTblA,4,0)="","(بدون نام)",VLOOKUP(INDEX(PkPartyA,30),AcctTblA,4,0)),"—"))</f>
        <v/>
      </c>
      <c r="C54" s="13">
        <f>IF($B54="","",IF(30&gt;NPartyA,"",INDEX(PkPartyA,30)))</f>
        <v/>
      </c>
      <c r="D54" s="12">
        <f>IF($B54="","","p")</f>
        <v/>
      </c>
      <c r="E54" s="14">
        <f>IF($B54="","",IF(30&gt;NPartyA,0,SUMIF(CalcDebit,INDEX(PkPartyA,30),CalcAmt)+SUMIF(CalcDebit2,INDEX(PkPartyA,30),CalcAmt2)+SUMIF(CalcDebit3,INDEX(PkPartyA,30),CalcAmt3)))</f>
        <v/>
      </c>
      <c r="F54" s="14">
        <f>IF($B54="","",IF(30&gt;NPartyA,0,SUMIF(CalcCredit,INDEX(PkPartyA,30),CalcAmt)+SUMIF(CalcCredit2,INDEX(PkPartyA,30),CalcAmt2)+SUMIF(CalcCredit3,INDEX(PkPartyA,30),CalcAmt3)))</f>
        <v/>
      </c>
      <c r="G54" s="15">
        <f>IF($B54="","",ROUND($E54-$F54,0))</f>
        <v/>
      </c>
      <c r="H54" s="12">
        <f>IF($B54="","",IF(ROUND($G54,0)&gt;0,"بدهکار",IF(ROUND($G54,0)&lt;0,"بستانکار","تسویه")))</f>
        <v/>
      </c>
    </row>
    <row r="55">
      <c r="A55" s="16">
        <f>IF($B55="","",46)</f>
        <v/>
      </c>
      <c r="B55" s="17">
        <f>IF(31&gt;NPartyA,"",IFERROR(IF(VLOOKUP(INDEX(PkPartyA,31),AcctTblA,4,0)="","(بدون نام)",VLOOKUP(INDEX(PkPartyA,31),AcctTblA,4,0)),"—"))</f>
        <v/>
      </c>
      <c r="C55" s="18">
        <f>IF($B55="","",IF(31&gt;NPartyA,"",INDEX(PkPartyA,31)))</f>
        <v/>
      </c>
      <c r="D55" s="17">
        <f>IF($B55="","","p")</f>
        <v/>
      </c>
      <c r="E55" s="19">
        <f>IF($B55="","",IF(31&gt;NPartyA,0,SUMIF(CalcDebit,INDEX(PkPartyA,31),CalcAmt)+SUMIF(CalcDebit2,INDEX(PkPartyA,31),CalcAmt2)+SUMIF(CalcDebit3,INDEX(PkPartyA,31),CalcAmt3)))</f>
        <v/>
      </c>
      <c r="F55" s="19">
        <f>IF($B55="","",IF(31&gt;NPartyA,0,SUMIF(CalcCredit,INDEX(PkPartyA,31),CalcAmt)+SUMIF(CalcCredit2,INDEX(PkPartyA,31),CalcAmt2)+SUMIF(CalcCredit3,INDEX(PkPartyA,31),CalcAmt3)))</f>
        <v/>
      </c>
      <c r="G55" s="20">
        <f>IF($B55="","",ROUND($E55-$F55,0))</f>
        <v/>
      </c>
      <c r="H55" s="17">
        <f>IF($B55="","",IF(ROUND($G55,0)&gt;0,"بدهکار",IF(ROUND($G55,0)&lt;0,"بستانکار","تسویه")))</f>
        <v/>
      </c>
    </row>
    <row r="56">
      <c r="A56" s="11">
        <f>IF($B56="","",47)</f>
        <v/>
      </c>
      <c r="B56" s="12">
        <f>IF(32&gt;NPartyA,"",IFERROR(IF(VLOOKUP(INDEX(PkPartyA,32),AcctTblA,4,0)="","(بدون نام)",VLOOKUP(INDEX(PkPartyA,32),AcctTblA,4,0)),"—"))</f>
        <v/>
      </c>
      <c r="C56" s="13">
        <f>IF($B56="","",IF(32&gt;NPartyA,"",INDEX(PkPartyA,32)))</f>
        <v/>
      </c>
      <c r="D56" s="12">
        <f>IF($B56="","","p")</f>
        <v/>
      </c>
      <c r="E56" s="14">
        <f>IF($B56="","",IF(32&gt;NPartyA,0,SUMIF(CalcDebit,INDEX(PkPartyA,32),CalcAmt)+SUMIF(CalcDebit2,INDEX(PkPartyA,32),CalcAmt2)+SUMIF(CalcDebit3,INDEX(PkPartyA,32),CalcAmt3)))</f>
        <v/>
      </c>
      <c r="F56" s="14">
        <f>IF($B56="","",IF(32&gt;NPartyA,0,SUMIF(CalcCredit,INDEX(PkPartyA,32),CalcAmt)+SUMIF(CalcCredit2,INDEX(PkPartyA,32),CalcAmt2)+SUMIF(CalcCredit3,INDEX(PkPartyA,32),CalcAmt3)))</f>
        <v/>
      </c>
      <c r="G56" s="15">
        <f>IF($B56="","",ROUND($E56-$F56,0))</f>
        <v/>
      </c>
      <c r="H56" s="12">
        <f>IF($B56="","",IF(ROUND($G56,0)&gt;0,"بدهکار",IF(ROUND($G56,0)&lt;0,"بستانکار","تسویه")))</f>
        <v/>
      </c>
    </row>
    <row r="57">
      <c r="A57" s="16">
        <f>IF($B57="","",48)</f>
        <v/>
      </c>
      <c r="B57" s="17">
        <f>IF(33&gt;NPartyA,"",IFERROR(IF(VLOOKUP(INDEX(PkPartyA,33),AcctTblA,4,0)="","(بدون نام)",VLOOKUP(INDEX(PkPartyA,33),AcctTblA,4,0)),"—"))</f>
        <v/>
      </c>
      <c r="C57" s="18">
        <f>IF($B57="","",IF(33&gt;NPartyA,"",INDEX(PkPartyA,33)))</f>
        <v/>
      </c>
      <c r="D57" s="17">
        <f>IF($B57="","","p")</f>
        <v/>
      </c>
      <c r="E57" s="19">
        <f>IF($B57="","",IF(33&gt;NPartyA,0,SUMIF(CalcDebit,INDEX(PkPartyA,33),CalcAmt)+SUMIF(CalcDebit2,INDEX(PkPartyA,33),CalcAmt2)+SUMIF(CalcDebit3,INDEX(PkPartyA,33),CalcAmt3)))</f>
        <v/>
      </c>
      <c r="F57" s="19">
        <f>IF($B57="","",IF(33&gt;NPartyA,0,SUMIF(CalcCredit,INDEX(PkPartyA,33),CalcAmt)+SUMIF(CalcCredit2,INDEX(PkPartyA,33),CalcAmt2)+SUMIF(CalcCredit3,INDEX(PkPartyA,33),CalcAmt3)))</f>
        <v/>
      </c>
      <c r="G57" s="20">
        <f>IF($B57="","",ROUND($E57-$F57,0))</f>
        <v/>
      </c>
      <c r="H57" s="17">
        <f>IF($B57="","",IF(ROUND($G57,0)&gt;0,"بدهکار",IF(ROUND($G57,0)&lt;0,"بستانکار","تسویه")))</f>
        <v/>
      </c>
    </row>
    <row r="58">
      <c r="A58" s="11">
        <f>IF($B58="","",49)</f>
        <v/>
      </c>
      <c r="B58" s="12">
        <f>IF(34&gt;NPartyA,"",IFERROR(IF(VLOOKUP(INDEX(PkPartyA,34),AcctTblA,4,0)="","(بدون نام)",VLOOKUP(INDEX(PkPartyA,34),AcctTblA,4,0)),"—"))</f>
        <v/>
      </c>
      <c r="C58" s="13">
        <f>IF($B58="","",IF(34&gt;NPartyA,"",INDEX(PkPartyA,34)))</f>
        <v/>
      </c>
      <c r="D58" s="12">
        <f>IF($B58="","","p")</f>
        <v/>
      </c>
      <c r="E58" s="14">
        <f>IF($B58="","",IF(34&gt;NPartyA,0,SUMIF(CalcDebit,INDEX(PkPartyA,34),CalcAmt)+SUMIF(CalcDebit2,INDEX(PkPartyA,34),CalcAmt2)+SUMIF(CalcDebit3,INDEX(PkPartyA,34),CalcAmt3)))</f>
        <v/>
      </c>
      <c r="F58" s="14">
        <f>IF($B58="","",IF(34&gt;NPartyA,0,SUMIF(CalcCredit,INDEX(PkPartyA,34),CalcAmt)+SUMIF(CalcCredit2,INDEX(PkPartyA,34),CalcAmt2)+SUMIF(CalcCredit3,INDEX(PkPartyA,34),CalcAmt3)))</f>
        <v/>
      </c>
      <c r="G58" s="15">
        <f>IF($B58="","",ROUND($E58-$F58,0))</f>
        <v/>
      </c>
      <c r="H58" s="12">
        <f>IF($B58="","",IF(ROUND($G58,0)&gt;0,"بدهکار",IF(ROUND($G58,0)&lt;0,"بستانکار","تسویه")))</f>
        <v/>
      </c>
    </row>
    <row r="59">
      <c r="A59" s="16">
        <f>IF($B59="","",50)</f>
        <v/>
      </c>
      <c r="B59" s="17">
        <f>IF(35&gt;NPartyA,"",IFERROR(IF(VLOOKUP(INDEX(PkPartyA,35),AcctTblA,4,0)="","(بدون نام)",VLOOKUP(INDEX(PkPartyA,35),AcctTblA,4,0)),"—"))</f>
        <v/>
      </c>
      <c r="C59" s="18">
        <f>IF($B59="","",IF(35&gt;NPartyA,"",INDEX(PkPartyA,35)))</f>
        <v/>
      </c>
      <c r="D59" s="17">
        <f>IF($B59="","","p")</f>
        <v/>
      </c>
      <c r="E59" s="19">
        <f>IF($B59="","",IF(35&gt;NPartyA,0,SUMIF(CalcDebit,INDEX(PkPartyA,35),CalcAmt)+SUMIF(CalcDebit2,INDEX(PkPartyA,35),CalcAmt2)+SUMIF(CalcDebit3,INDEX(PkPartyA,35),CalcAmt3)))</f>
        <v/>
      </c>
      <c r="F59" s="19">
        <f>IF($B59="","",IF(35&gt;NPartyA,0,SUMIF(CalcCredit,INDEX(PkPartyA,35),CalcAmt)+SUMIF(CalcCredit2,INDEX(PkPartyA,35),CalcAmt2)+SUMIF(CalcCredit3,INDEX(PkPartyA,35),CalcAmt3)))</f>
        <v/>
      </c>
      <c r="G59" s="20">
        <f>IF($B59="","",ROUND($E59-$F59,0))</f>
        <v/>
      </c>
      <c r="H59" s="17">
        <f>IF($B59="","",IF(ROUND($G59,0)&gt;0,"بدهکار",IF(ROUND($G59,0)&lt;0,"بستانکار","تسویه")))</f>
        <v/>
      </c>
    </row>
    <row r="60">
      <c r="A60" s="11">
        <f>IF($B60="","",51)</f>
        <v/>
      </c>
      <c r="B60" s="12">
        <f>IF(36&gt;NPartyA,"",IFERROR(IF(VLOOKUP(INDEX(PkPartyA,36),AcctTblA,4,0)="","(بدون نام)",VLOOKUP(INDEX(PkPartyA,36),AcctTblA,4,0)),"—"))</f>
        <v/>
      </c>
      <c r="C60" s="13">
        <f>IF($B60="","",IF(36&gt;NPartyA,"",INDEX(PkPartyA,36)))</f>
        <v/>
      </c>
      <c r="D60" s="12">
        <f>IF($B60="","","p")</f>
        <v/>
      </c>
      <c r="E60" s="14">
        <f>IF($B60="","",IF(36&gt;NPartyA,0,SUMIF(CalcDebit,INDEX(PkPartyA,36),CalcAmt)+SUMIF(CalcDebit2,INDEX(PkPartyA,36),CalcAmt2)+SUMIF(CalcDebit3,INDEX(PkPartyA,36),CalcAmt3)))</f>
        <v/>
      </c>
      <c r="F60" s="14">
        <f>IF($B60="","",IF(36&gt;NPartyA,0,SUMIF(CalcCredit,INDEX(PkPartyA,36),CalcAmt)+SUMIF(CalcCredit2,INDEX(PkPartyA,36),CalcAmt2)+SUMIF(CalcCredit3,INDEX(PkPartyA,36),CalcAmt3)))</f>
        <v/>
      </c>
      <c r="G60" s="15">
        <f>IF($B60="","",ROUND($E60-$F60,0))</f>
        <v/>
      </c>
      <c r="H60" s="12">
        <f>IF($B60="","",IF(ROUND($G60,0)&gt;0,"بدهکار",IF(ROUND($G60,0)&lt;0,"بستانکار","تسویه")))</f>
        <v/>
      </c>
    </row>
    <row r="61">
      <c r="A61" s="16">
        <f>IF($B61="","",52)</f>
        <v/>
      </c>
      <c r="B61" s="17">
        <f>IF(37&gt;NPartyA,"",IFERROR(IF(VLOOKUP(INDEX(PkPartyA,37),AcctTblA,4,0)="","(بدون نام)",VLOOKUP(INDEX(PkPartyA,37),AcctTblA,4,0)),"—"))</f>
        <v/>
      </c>
      <c r="C61" s="18">
        <f>IF($B61="","",IF(37&gt;NPartyA,"",INDEX(PkPartyA,37)))</f>
        <v/>
      </c>
      <c r="D61" s="17">
        <f>IF($B61="","","p")</f>
        <v/>
      </c>
      <c r="E61" s="19">
        <f>IF($B61="","",IF(37&gt;NPartyA,0,SUMIF(CalcDebit,INDEX(PkPartyA,37),CalcAmt)+SUMIF(CalcDebit2,INDEX(PkPartyA,37),CalcAmt2)+SUMIF(CalcDebit3,INDEX(PkPartyA,37),CalcAmt3)))</f>
        <v/>
      </c>
      <c r="F61" s="19">
        <f>IF($B61="","",IF(37&gt;NPartyA,0,SUMIF(CalcCredit,INDEX(PkPartyA,37),CalcAmt)+SUMIF(CalcCredit2,INDEX(PkPartyA,37),CalcAmt2)+SUMIF(CalcCredit3,INDEX(PkPartyA,37),CalcAmt3)))</f>
        <v/>
      </c>
      <c r="G61" s="20">
        <f>IF($B61="","",ROUND($E61-$F61,0))</f>
        <v/>
      </c>
      <c r="H61" s="17">
        <f>IF($B61="","",IF(ROUND($G61,0)&gt;0,"بدهکار",IF(ROUND($G61,0)&lt;0,"بستانکار","تسویه")))</f>
        <v/>
      </c>
    </row>
    <row r="62">
      <c r="A62" s="11">
        <f>IF($B62="","",53)</f>
        <v/>
      </c>
      <c r="B62" s="12">
        <f>IF(38&gt;NPartyA,"",IFERROR(IF(VLOOKUP(INDEX(PkPartyA,38),AcctTblA,4,0)="","(بدون نام)",VLOOKUP(INDEX(PkPartyA,38),AcctTblA,4,0)),"—"))</f>
        <v/>
      </c>
      <c r="C62" s="13">
        <f>IF($B62="","",IF(38&gt;NPartyA,"",INDEX(PkPartyA,38)))</f>
        <v/>
      </c>
      <c r="D62" s="12">
        <f>IF($B62="","","p")</f>
        <v/>
      </c>
      <c r="E62" s="14">
        <f>IF($B62="","",IF(38&gt;NPartyA,0,SUMIF(CalcDebit,INDEX(PkPartyA,38),CalcAmt)+SUMIF(CalcDebit2,INDEX(PkPartyA,38),CalcAmt2)+SUMIF(CalcDebit3,INDEX(PkPartyA,38),CalcAmt3)))</f>
        <v/>
      </c>
      <c r="F62" s="14">
        <f>IF($B62="","",IF(38&gt;NPartyA,0,SUMIF(CalcCredit,INDEX(PkPartyA,38),CalcAmt)+SUMIF(CalcCredit2,INDEX(PkPartyA,38),CalcAmt2)+SUMIF(CalcCredit3,INDEX(PkPartyA,38),CalcAmt3)))</f>
        <v/>
      </c>
      <c r="G62" s="15">
        <f>IF($B62="","",ROUND($E62-$F62,0))</f>
        <v/>
      </c>
      <c r="H62" s="12">
        <f>IF($B62="","",IF(ROUND($G62,0)&gt;0,"بدهکار",IF(ROUND($G62,0)&lt;0,"بستانکار","تسویه")))</f>
        <v/>
      </c>
    </row>
    <row r="63">
      <c r="A63" s="16">
        <f>IF($B63="","",54)</f>
        <v/>
      </c>
      <c r="B63" s="17">
        <f>IF(39&gt;NPartyA,"",IFERROR(IF(VLOOKUP(INDEX(PkPartyA,39),AcctTblA,4,0)="","(بدون نام)",VLOOKUP(INDEX(PkPartyA,39),AcctTblA,4,0)),"—"))</f>
        <v/>
      </c>
      <c r="C63" s="18">
        <f>IF($B63="","",IF(39&gt;NPartyA,"",INDEX(PkPartyA,39)))</f>
        <v/>
      </c>
      <c r="D63" s="17">
        <f>IF($B63="","","p")</f>
        <v/>
      </c>
      <c r="E63" s="19">
        <f>IF($B63="","",IF(39&gt;NPartyA,0,SUMIF(CalcDebit,INDEX(PkPartyA,39),CalcAmt)+SUMIF(CalcDebit2,INDEX(PkPartyA,39),CalcAmt2)+SUMIF(CalcDebit3,INDEX(PkPartyA,39),CalcAmt3)))</f>
        <v/>
      </c>
      <c r="F63" s="19">
        <f>IF($B63="","",IF(39&gt;NPartyA,0,SUMIF(CalcCredit,INDEX(PkPartyA,39),CalcAmt)+SUMIF(CalcCredit2,INDEX(PkPartyA,39),CalcAmt2)+SUMIF(CalcCredit3,INDEX(PkPartyA,39),CalcAmt3)))</f>
        <v/>
      </c>
      <c r="G63" s="20">
        <f>IF($B63="","",ROUND($E63-$F63,0))</f>
        <v/>
      </c>
      <c r="H63" s="17">
        <f>IF($B63="","",IF(ROUND($G63,0)&gt;0,"بدهکار",IF(ROUND($G63,0)&lt;0,"بستانکار","تسویه")))</f>
        <v/>
      </c>
    </row>
    <row r="64">
      <c r="A64" s="11">
        <f>IF($B64="","",55)</f>
        <v/>
      </c>
      <c r="B64" s="12">
        <f>IF(40&gt;NPartyA,"",IFERROR(IF(VLOOKUP(INDEX(PkPartyA,40),AcctTblA,4,0)="","(بدون نام)",VLOOKUP(INDEX(PkPartyA,40),AcctTblA,4,0)),"—"))</f>
        <v/>
      </c>
      <c r="C64" s="13">
        <f>IF($B64="","",IF(40&gt;NPartyA,"",INDEX(PkPartyA,40)))</f>
        <v/>
      </c>
      <c r="D64" s="12">
        <f>IF($B64="","","p")</f>
        <v/>
      </c>
      <c r="E64" s="14">
        <f>IF($B64="","",IF(40&gt;NPartyA,0,SUMIF(CalcDebit,INDEX(PkPartyA,40),CalcAmt)+SUMIF(CalcDebit2,INDEX(PkPartyA,40),CalcAmt2)+SUMIF(CalcDebit3,INDEX(PkPartyA,40),CalcAmt3)))</f>
        <v/>
      </c>
      <c r="F64" s="14">
        <f>IF($B64="","",IF(40&gt;NPartyA,0,SUMIF(CalcCredit,INDEX(PkPartyA,40),CalcAmt)+SUMIF(CalcCredit2,INDEX(PkPartyA,40),CalcAmt2)+SUMIF(CalcCredit3,INDEX(PkPartyA,40),CalcAmt3)))</f>
        <v/>
      </c>
      <c r="G64" s="15">
        <f>IF($B64="","",ROUND($E64-$F64,0))</f>
        <v/>
      </c>
      <c r="H64" s="12">
        <f>IF($B64="","",IF(ROUND($G64,0)&gt;0,"بدهکار",IF(ROUND($G64,0)&lt;0,"بستانکار","تسویه")))</f>
        <v/>
      </c>
    </row>
    <row r="65">
      <c r="A65" s="16">
        <f>IF($B65="","",56)</f>
        <v/>
      </c>
      <c r="B65" s="17">
        <f>IF(41&gt;NPartyA,"",IFERROR(IF(VLOOKUP(INDEX(PkPartyA,41),AcctTblA,4,0)="","(بدون نام)",VLOOKUP(INDEX(PkPartyA,41),AcctTblA,4,0)),"—"))</f>
        <v/>
      </c>
      <c r="C65" s="18">
        <f>IF($B65="","",IF(41&gt;NPartyA,"",INDEX(PkPartyA,41)))</f>
        <v/>
      </c>
      <c r="D65" s="17">
        <f>IF($B65="","","p")</f>
        <v/>
      </c>
      <c r="E65" s="19">
        <f>IF($B65="","",IF(41&gt;NPartyA,0,SUMIF(CalcDebit,INDEX(PkPartyA,41),CalcAmt)+SUMIF(CalcDebit2,INDEX(PkPartyA,41),CalcAmt2)+SUMIF(CalcDebit3,INDEX(PkPartyA,41),CalcAmt3)))</f>
        <v/>
      </c>
      <c r="F65" s="19">
        <f>IF($B65="","",IF(41&gt;NPartyA,0,SUMIF(CalcCredit,INDEX(PkPartyA,41),CalcAmt)+SUMIF(CalcCredit2,INDEX(PkPartyA,41),CalcAmt2)+SUMIF(CalcCredit3,INDEX(PkPartyA,41),CalcAmt3)))</f>
        <v/>
      </c>
      <c r="G65" s="20">
        <f>IF($B65="","",ROUND($E65-$F65,0))</f>
        <v/>
      </c>
      <c r="H65" s="17">
        <f>IF($B65="","",IF(ROUND($G65,0)&gt;0,"بدهکار",IF(ROUND($G65,0)&lt;0,"بستانکار","تسویه")))</f>
        <v/>
      </c>
    </row>
    <row r="66">
      <c r="A66" s="11">
        <f>IF($B66="","",57)</f>
        <v/>
      </c>
      <c r="B66" s="12">
        <f>IF(42&gt;NPartyA,"",IFERROR(IF(VLOOKUP(INDEX(PkPartyA,42),AcctTblA,4,0)="","(بدون نام)",VLOOKUP(INDEX(PkPartyA,42),AcctTblA,4,0)),"—"))</f>
        <v/>
      </c>
      <c r="C66" s="13">
        <f>IF($B66="","",IF(42&gt;NPartyA,"",INDEX(PkPartyA,42)))</f>
        <v/>
      </c>
      <c r="D66" s="12">
        <f>IF($B66="","","p")</f>
        <v/>
      </c>
      <c r="E66" s="14">
        <f>IF($B66="","",IF(42&gt;NPartyA,0,SUMIF(CalcDebit,INDEX(PkPartyA,42),CalcAmt)+SUMIF(CalcDebit2,INDEX(PkPartyA,42),CalcAmt2)+SUMIF(CalcDebit3,INDEX(PkPartyA,42),CalcAmt3)))</f>
        <v/>
      </c>
      <c r="F66" s="14">
        <f>IF($B66="","",IF(42&gt;NPartyA,0,SUMIF(CalcCredit,INDEX(PkPartyA,42),CalcAmt)+SUMIF(CalcCredit2,INDEX(PkPartyA,42),CalcAmt2)+SUMIF(CalcCredit3,INDEX(PkPartyA,42),CalcAmt3)))</f>
        <v/>
      </c>
      <c r="G66" s="15">
        <f>IF($B66="","",ROUND($E66-$F66,0))</f>
        <v/>
      </c>
      <c r="H66" s="12">
        <f>IF($B66="","",IF(ROUND($G66,0)&gt;0,"بدهکار",IF(ROUND($G66,0)&lt;0,"بستانکار","تسویه")))</f>
        <v/>
      </c>
    </row>
    <row r="67">
      <c r="A67" s="16">
        <f>IF($B67="","",58)</f>
        <v/>
      </c>
      <c r="B67" s="17">
        <f>IF(43&gt;NPartyA,"",IFERROR(IF(VLOOKUP(INDEX(PkPartyA,43),AcctTblA,4,0)="","(بدون نام)",VLOOKUP(INDEX(PkPartyA,43),AcctTblA,4,0)),"—"))</f>
        <v/>
      </c>
      <c r="C67" s="18">
        <f>IF($B67="","",IF(43&gt;NPartyA,"",INDEX(PkPartyA,43)))</f>
        <v/>
      </c>
      <c r="D67" s="17">
        <f>IF($B67="","","p")</f>
        <v/>
      </c>
      <c r="E67" s="19">
        <f>IF($B67="","",IF(43&gt;NPartyA,0,SUMIF(CalcDebit,INDEX(PkPartyA,43),CalcAmt)+SUMIF(CalcDebit2,INDEX(PkPartyA,43),CalcAmt2)+SUMIF(CalcDebit3,INDEX(PkPartyA,43),CalcAmt3)))</f>
        <v/>
      </c>
      <c r="F67" s="19">
        <f>IF($B67="","",IF(43&gt;NPartyA,0,SUMIF(CalcCredit,INDEX(PkPartyA,43),CalcAmt)+SUMIF(CalcCredit2,INDEX(PkPartyA,43),CalcAmt2)+SUMIF(CalcCredit3,INDEX(PkPartyA,43),CalcAmt3)))</f>
        <v/>
      </c>
      <c r="G67" s="20">
        <f>IF($B67="","",ROUND($E67-$F67,0))</f>
        <v/>
      </c>
      <c r="H67" s="17">
        <f>IF($B67="","",IF(ROUND($G67,0)&gt;0,"بدهکار",IF(ROUND($G67,0)&lt;0,"بستانکار","تسویه")))</f>
        <v/>
      </c>
    </row>
    <row r="68">
      <c r="A68" s="11">
        <f>IF($B68="","",59)</f>
        <v/>
      </c>
      <c r="B68" s="12">
        <f>IF(44&gt;NPartyA,"",IFERROR(IF(VLOOKUP(INDEX(PkPartyA,44),AcctTblA,4,0)="","(بدون نام)",VLOOKUP(INDEX(PkPartyA,44),AcctTblA,4,0)),"—"))</f>
        <v/>
      </c>
      <c r="C68" s="13">
        <f>IF($B68="","",IF(44&gt;NPartyA,"",INDEX(PkPartyA,44)))</f>
        <v/>
      </c>
      <c r="D68" s="12">
        <f>IF($B68="","","p")</f>
        <v/>
      </c>
      <c r="E68" s="14">
        <f>IF($B68="","",IF(44&gt;NPartyA,0,SUMIF(CalcDebit,INDEX(PkPartyA,44),CalcAmt)+SUMIF(CalcDebit2,INDEX(PkPartyA,44),CalcAmt2)+SUMIF(CalcDebit3,INDEX(PkPartyA,44),CalcAmt3)))</f>
        <v/>
      </c>
      <c r="F68" s="14">
        <f>IF($B68="","",IF(44&gt;NPartyA,0,SUMIF(CalcCredit,INDEX(PkPartyA,44),CalcAmt)+SUMIF(CalcCredit2,INDEX(PkPartyA,44),CalcAmt2)+SUMIF(CalcCredit3,INDEX(PkPartyA,44),CalcAmt3)))</f>
        <v/>
      </c>
      <c r="G68" s="15">
        <f>IF($B68="","",ROUND($E68-$F68,0))</f>
        <v/>
      </c>
      <c r="H68" s="12">
        <f>IF($B68="","",IF(ROUND($G68,0)&gt;0,"بدهکار",IF(ROUND($G68,0)&lt;0,"بستانکار","تسویه")))</f>
        <v/>
      </c>
    </row>
    <row r="69">
      <c r="A69" s="16">
        <f>IF($B69="","",60)</f>
        <v/>
      </c>
      <c r="B69" s="17">
        <f>IF(45&gt;NPartyA,"",IFERROR(IF(VLOOKUP(INDEX(PkPartyA,45),AcctTblA,4,0)="","(بدون نام)",VLOOKUP(INDEX(PkPartyA,45),AcctTblA,4,0)),"—"))</f>
        <v/>
      </c>
      <c r="C69" s="18">
        <f>IF($B69="","",IF(45&gt;NPartyA,"",INDEX(PkPartyA,45)))</f>
        <v/>
      </c>
      <c r="D69" s="17">
        <f>IF($B69="","","p")</f>
        <v/>
      </c>
      <c r="E69" s="19">
        <f>IF($B69="","",IF(45&gt;NPartyA,0,SUMIF(CalcDebit,INDEX(PkPartyA,45),CalcAmt)+SUMIF(CalcDebit2,INDEX(PkPartyA,45),CalcAmt2)+SUMIF(CalcDebit3,INDEX(PkPartyA,45),CalcAmt3)))</f>
        <v/>
      </c>
      <c r="F69" s="19">
        <f>IF($B69="","",IF(45&gt;NPartyA,0,SUMIF(CalcCredit,INDEX(PkPartyA,45),CalcAmt)+SUMIF(CalcCredit2,INDEX(PkPartyA,45),CalcAmt2)+SUMIF(CalcCredit3,INDEX(PkPartyA,45),CalcAmt3)))</f>
        <v/>
      </c>
      <c r="G69" s="20">
        <f>IF($B69="","",ROUND($E69-$F69,0))</f>
        <v/>
      </c>
      <c r="H69" s="17">
        <f>IF($B69="","",IF(ROUND($G69,0)&gt;0,"بدهکار",IF(ROUND($G69,0)&lt;0,"بستانکار","تسویه")))</f>
        <v/>
      </c>
    </row>
    <row r="70">
      <c r="A70" s="11">
        <f>IF($B70="","",61)</f>
        <v/>
      </c>
      <c r="B70" s="12">
        <f>IF(46&gt;NPartyA,"",IFERROR(IF(VLOOKUP(INDEX(PkPartyA,46),AcctTblA,4,0)="","(بدون نام)",VLOOKUP(INDEX(PkPartyA,46),AcctTblA,4,0)),"—"))</f>
        <v/>
      </c>
      <c r="C70" s="13">
        <f>IF($B70="","",IF(46&gt;NPartyA,"",INDEX(PkPartyA,46)))</f>
        <v/>
      </c>
      <c r="D70" s="12">
        <f>IF($B70="","","p")</f>
        <v/>
      </c>
      <c r="E70" s="14">
        <f>IF($B70="","",IF(46&gt;NPartyA,0,SUMIF(CalcDebit,INDEX(PkPartyA,46),CalcAmt)+SUMIF(CalcDebit2,INDEX(PkPartyA,46),CalcAmt2)+SUMIF(CalcDebit3,INDEX(PkPartyA,46),CalcAmt3)))</f>
        <v/>
      </c>
      <c r="F70" s="14">
        <f>IF($B70="","",IF(46&gt;NPartyA,0,SUMIF(CalcCredit,INDEX(PkPartyA,46),CalcAmt)+SUMIF(CalcCredit2,INDEX(PkPartyA,46),CalcAmt2)+SUMIF(CalcCredit3,INDEX(PkPartyA,46),CalcAmt3)))</f>
        <v/>
      </c>
      <c r="G70" s="15">
        <f>IF($B70="","",ROUND($E70-$F70,0))</f>
        <v/>
      </c>
      <c r="H70" s="12">
        <f>IF($B70="","",IF(ROUND($G70,0)&gt;0,"بدهکار",IF(ROUND($G70,0)&lt;0,"بستانکار","تسویه")))</f>
        <v/>
      </c>
    </row>
    <row r="71">
      <c r="A71" s="16">
        <f>IF($B71="","",62)</f>
        <v/>
      </c>
      <c r="B71" s="17">
        <f>IF(47&gt;NPartyA,"",IFERROR(IF(VLOOKUP(INDEX(PkPartyA,47),AcctTblA,4,0)="","(بدون نام)",VLOOKUP(INDEX(PkPartyA,47),AcctTblA,4,0)),"—"))</f>
        <v/>
      </c>
      <c r="C71" s="18">
        <f>IF($B71="","",IF(47&gt;NPartyA,"",INDEX(PkPartyA,47)))</f>
        <v/>
      </c>
      <c r="D71" s="17">
        <f>IF($B71="","","p")</f>
        <v/>
      </c>
      <c r="E71" s="19">
        <f>IF($B71="","",IF(47&gt;NPartyA,0,SUMIF(CalcDebit,INDEX(PkPartyA,47),CalcAmt)+SUMIF(CalcDebit2,INDEX(PkPartyA,47),CalcAmt2)+SUMIF(CalcDebit3,INDEX(PkPartyA,47),CalcAmt3)))</f>
        <v/>
      </c>
      <c r="F71" s="19">
        <f>IF($B71="","",IF(47&gt;NPartyA,0,SUMIF(CalcCredit,INDEX(PkPartyA,47),CalcAmt)+SUMIF(CalcCredit2,INDEX(PkPartyA,47),CalcAmt2)+SUMIF(CalcCredit3,INDEX(PkPartyA,47),CalcAmt3)))</f>
        <v/>
      </c>
      <c r="G71" s="20">
        <f>IF($B71="","",ROUND($E71-$F71,0))</f>
        <v/>
      </c>
      <c r="H71" s="17">
        <f>IF($B71="","",IF(ROUND($G71,0)&gt;0,"بدهکار",IF(ROUND($G71,0)&lt;0,"بستانکار","تسویه")))</f>
        <v/>
      </c>
    </row>
    <row r="72">
      <c r="A72" s="11">
        <f>IF($B72="","",63)</f>
        <v/>
      </c>
      <c r="B72" s="12">
        <f>IF(48&gt;NPartyA,"",IFERROR(IF(VLOOKUP(INDEX(PkPartyA,48),AcctTblA,4,0)="","(بدون نام)",VLOOKUP(INDEX(PkPartyA,48),AcctTblA,4,0)),"—"))</f>
        <v/>
      </c>
      <c r="C72" s="13">
        <f>IF($B72="","",IF(48&gt;NPartyA,"",INDEX(PkPartyA,48)))</f>
        <v/>
      </c>
      <c r="D72" s="12">
        <f>IF($B72="","","p")</f>
        <v/>
      </c>
      <c r="E72" s="14">
        <f>IF($B72="","",IF(48&gt;NPartyA,0,SUMIF(CalcDebit,INDEX(PkPartyA,48),CalcAmt)+SUMIF(CalcDebit2,INDEX(PkPartyA,48),CalcAmt2)+SUMIF(CalcDebit3,INDEX(PkPartyA,48),CalcAmt3)))</f>
        <v/>
      </c>
      <c r="F72" s="14">
        <f>IF($B72="","",IF(48&gt;NPartyA,0,SUMIF(CalcCredit,INDEX(PkPartyA,48),CalcAmt)+SUMIF(CalcCredit2,INDEX(PkPartyA,48),CalcAmt2)+SUMIF(CalcCredit3,INDEX(PkPartyA,48),CalcAmt3)))</f>
        <v/>
      </c>
      <c r="G72" s="15">
        <f>IF($B72="","",ROUND($E72-$F72,0))</f>
        <v/>
      </c>
      <c r="H72" s="12">
        <f>IF($B72="","",IF(ROUND($G72,0)&gt;0,"بدهکار",IF(ROUND($G72,0)&lt;0,"بستانکار","تسویه")))</f>
        <v/>
      </c>
    </row>
    <row r="73">
      <c r="A73" s="16">
        <f>IF($B73="","",64)</f>
        <v/>
      </c>
      <c r="B73" s="17">
        <f>IF(49&gt;NPartyA,"",IFERROR(IF(VLOOKUP(INDEX(PkPartyA,49),AcctTblA,4,0)="","(بدون نام)",VLOOKUP(INDEX(PkPartyA,49),AcctTblA,4,0)),"—"))</f>
        <v/>
      </c>
      <c r="C73" s="18">
        <f>IF($B73="","",IF(49&gt;NPartyA,"",INDEX(PkPartyA,49)))</f>
        <v/>
      </c>
      <c r="D73" s="17">
        <f>IF($B73="","","p")</f>
        <v/>
      </c>
      <c r="E73" s="19">
        <f>IF($B73="","",IF(49&gt;NPartyA,0,SUMIF(CalcDebit,INDEX(PkPartyA,49),CalcAmt)+SUMIF(CalcDebit2,INDEX(PkPartyA,49),CalcAmt2)+SUMIF(CalcDebit3,INDEX(PkPartyA,49),CalcAmt3)))</f>
        <v/>
      </c>
      <c r="F73" s="19">
        <f>IF($B73="","",IF(49&gt;NPartyA,0,SUMIF(CalcCredit,INDEX(PkPartyA,49),CalcAmt)+SUMIF(CalcCredit2,INDEX(PkPartyA,49),CalcAmt2)+SUMIF(CalcCredit3,INDEX(PkPartyA,49),CalcAmt3)))</f>
        <v/>
      </c>
      <c r="G73" s="20">
        <f>IF($B73="","",ROUND($E73-$F73,0))</f>
        <v/>
      </c>
      <c r="H73" s="17">
        <f>IF($B73="","",IF(ROUND($G73,0)&gt;0,"بدهکار",IF(ROUND($G73,0)&lt;0,"بستانکار","تسویه")))</f>
        <v/>
      </c>
    </row>
    <row r="74">
      <c r="A74" s="11">
        <f>IF($B74="","",65)</f>
        <v/>
      </c>
      <c r="B74" s="12">
        <f>IF(50&gt;NPartyA,"",IFERROR(IF(VLOOKUP(INDEX(PkPartyA,50),AcctTblA,4,0)="","(بدون نام)",VLOOKUP(INDEX(PkPartyA,50),AcctTblA,4,0)),"—"))</f>
        <v/>
      </c>
      <c r="C74" s="13">
        <f>IF($B74="","",IF(50&gt;NPartyA,"",INDEX(PkPartyA,50)))</f>
        <v/>
      </c>
      <c r="D74" s="12">
        <f>IF($B74="","","p")</f>
        <v/>
      </c>
      <c r="E74" s="14">
        <f>IF($B74="","",IF(50&gt;NPartyA,0,SUMIF(CalcDebit,INDEX(PkPartyA,50),CalcAmt)+SUMIF(CalcDebit2,INDEX(PkPartyA,50),CalcAmt2)+SUMIF(CalcDebit3,INDEX(PkPartyA,50),CalcAmt3)))</f>
        <v/>
      </c>
      <c r="F74" s="14">
        <f>IF($B74="","",IF(50&gt;NPartyA,0,SUMIF(CalcCredit,INDEX(PkPartyA,50),CalcAmt)+SUMIF(CalcCredit2,INDEX(PkPartyA,50),CalcAmt2)+SUMIF(CalcCredit3,INDEX(PkPartyA,50),CalcAmt3)))</f>
        <v/>
      </c>
      <c r="G74" s="15">
        <f>IF($B74="","",ROUND($E74-$F74,0))</f>
        <v/>
      </c>
      <c r="H74" s="12">
        <f>IF($B74="","",IF(ROUND($G74,0)&gt;0,"بدهکار",IF(ROUND($G74,0)&lt;0,"بستانکار","تسویه")))</f>
        <v/>
      </c>
    </row>
    <row r="75">
      <c r="A75" s="16">
        <f>IF($B75="","",66)</f>
        <v/>
      </c>
      <c r="B75" s="17">
        <f>IF(51&gt;NPartyA,"",IFERROR(IF(VLOOKUP(INDEX(PkPartyA,51),AcctTblA,4,0)="","(بدون نام)",VLOOKUP(INDEX(PkPartyA,51),AcctTblA,4,0)),"—"))</f>
        <v/>
      </c>
      <c r="C75" s="18">
        <f>IF($B75="","",IF(51&gt;NPartyA,"",INDEX(PkPartyA,51)))</f>
        <v/>
      </c>
      <c r="D75" s="17">
        <f>IF($B75="","","p")</f>
        <v/>
      </c>
      <c r="E75" s="19">
        <f>IF($B75="","",IF(51&gt;NPartyA,0,SUMIF(CalcDebit,INDEX(PkPartyA,51),CalcAmt)+SUMIF(CalcDebit2,INDEX(PkPartyA,51),CalcAmt2)+SUMIF(CalcDebit3,INDEX(PkPartyA,51),CalcAmt3)))</f>
        <v/>
      </c>
      <c r="F75" s="19">
        <f>IF($B75="","",IF(51&gt;NPartyA,0,SUMIF(CalcCredit,INDEX(PkPartyA,51),CalcAmt)+SUMIF(CalcCredit2,INDEX(PkPartyA,51),CalcAmt2)+SUMIF(CalcCredit3,INDEX(PkPartyA,51),CalcAmt3)))</f>
        <v/>
      </c>
      <c r="G75" s="20">
        <f>IF($B75="","",ROUND($E75-$F75,0))</f>
        <v/>
      </c>
      <c r="H75" s="17">
        <f>IF($B75="","",IF(ROUND($G75,0)&gt;0,"بدهکار",IF(ROUND($G75,0)&lt;0,"بستانکار","تسویه")))</f>
        <v/>
      </c>
    </row>
    <row r="76">
      <c r="A76" s="11">
        <f>IF($B76="","",67)</f>
        <v/>
      </c>
      <c r="B76" s="12">
        <f>IF(52&gt;NPartyA,"",IFERROR(IF(VLOOKUP(INDEX(PkPartyA,52),AcctTblA,4,0)="","(بدون نام)",VLOOKUP(INDEX(PkPartyA,52),AcctTblA,4,0)),"—"))</f>
        <v/>
      </c>
      <c r="C76" s="13">
        <f>IF($B76="","",IF(52&gt;NPartyA,"",INDEX(PkPartyA,52)))</f>
        <v/>
      </c>
      <c r="D76" s="12">
        <f>IF($B76="","","p")</f>
        <v/>
      </c>
      <c r="E76" s="14">
        <f>IF($B76="","",IF(52&gt;NPartyA,0,SUMIF(CalcDebit,INDEX(PkPartyA,52),CalcAmt)+SUMIF(CalcDebit2,INDEX(PkPartyA,52),CalcAmt2)+SUMIF(CalcDebit3,INDEX(PkPartyA,52),CalcAmt3)))</f>
        <v/>
      </c>
      <c r="F76" s="14">
        <f>IF($B76="","",IF(52&gt;NPartyA,0,SUMIF(CalcCredit,INDEX(PkPartyA,52),CalcAmt)+SUMIF(CalcCredit2,INDEX(PkPartyA,52),CalcAmt2)+SUMIF(CalcCredit3,INDEX(PkPartyA,52),CalcAmt3)))</f>
        <v/>
      </c>
      <c r="G76" s="15">
        <f>IF($B76="","",ROUND($E76-$F76,0))</f>
        <v/>
      </c>
      <c r="H76" s="12">
        <f>IF($B76="","",IF(ROUND($G76,0)&gt;0,"بدهکار",IF(ROUND($G76,0)&lt;0,"بستانکار","تسویه")))</f>
        <v/>
      </c>
    </row>
    <row r="77">
      <c r="A77" s="16">
        <f>IF($B77="","",68)</f>
        <v/>
      </c>
      <c r="B77" s="17">
        <f>IF(53&gt;NPartyA,"",IFERROR(IF(VLOOKUP(INDEX(PkPartyA,53),AcctTblA,4,0)="","(بدون نام)",VLOOKUP(INDEX(PkPartyA,53),AcctTblA,4,0)),"—"))</f>
        <v/>
      </c>
      <c r="C77" s="18">
        <f>IF($B77="","",IF(53&gt;NPartyA,"",INDEX(PkPartyA,53)))</f>
        <v/>
      </c>
      <c r="D77" s="17">
        <f>IF($B77="","","p")</f>
        <v/>
      </c>
      <c r="E77" s="19">
        <f>IF($B77="","",IF(53&gt;NPartyA,0,SUMIF(CalcDebit,INDEX(PkPartyA,53),CalcAmt)+SUMIF(CalcDebit2,INDEX(PkPartyA,53),CalcAmt2)+SUMIF(CalcDebit3,INDEX(PkPartyA,53),CalcAmt3)))</f>
        <v/>
      </c>
      <c r="F77" s="19">
        <f>IF($B77="","",IF(53&gt;NPartyA,0,SUMIF(CalcCredit,INDEX(PkPartyA,53),CalcAmt)+SUMIF(CalcCredit2,INDEX(PkPartyA,53),CalcAmt2)+SUMIF(CalcCredit3,INDEX(PkPartyA,53),CalcAmt3)))</f>
        <v/>
      </c>
      <c r="G77" s="20">
        <f>IF($B77="","",ROUND($E77-$F77,0))</f>
        <v/>
      </c>
      <c r="H77" s="17">
        <f>IF($B77="","",IF(ROUND($G77,0)&gt;0,"بدهکار",IF(ROUND($G77,0)&lt;0,"بستانکار","تسویه")))</f>
        <v/>
      </c>
    </row>
    <row r="78">
      <c r="A78" s="11">
        <f>IF($B78="","",69)</f>
        <v/>
      </c>
      <c r="B78" s="12">
        <f>IF(54&gt;NPartyA,"",IFERROR(IF(VLOOKUP(INDEX(PkPartyA,54),AcctTblA,4,0)="","(بدون نام)",VLOOKUP(INDEX(PkPartyA,54),AcctTblA,4,0)),"—"))</f>
        <v/>
      </c>
      <c r="C78" s="13">
        <f>IF($B78="","",IF(54&gt;NPartyA,"",INDEX(PkPartyA,54)))</f>
        <v/>
      </c>
      <c r="D78" s="12">
        <f>IF($B78="","","p")</f>
        <v/>
      </c>
      <c r="E78" s="14">
        <f>IF($B78="","",IF(54&gt;NPartyA,0,SUMIF(CalcDebit,INDEX(PkPartyA,54),CalcAmt)+SUMIF(CalcDebit2,INDEX(PkPartyA,54),CalcAmt2)+SUMIF(CalcDebit3,INDEX(PkPartyA,54),CalcAmt3)))</f>
        <v/>
      </c>
      <c r="F78" s="14">
        <f>IF($B78="","",IF(54&gt;NPartyA,0,SUMIF(CalcCredit,INDEX(PkPartyA,54),CalcAmt)+SUMIF(CalcCredit2,INDEX(PkPartyA,54),CalcAmt2)+SUMIF(CalcCredit3,INDEX(PkPartyA,54),CalcAmt3)))</f>
        <v/>
      </c>
      <c r="G78" s="15">
        <f>IF($B78="","",ROUND($E78-$F78,0))</f>
        <v/>
      </c>
      <c r="H78" s="12">
        <f>IF($B78="","",IF(ROUND($G78,0)&gt;0,"بدهکار",IF(ROUND($G78,0)&lt;0,"بستانکار","تسویه")))</f>
        <v/>
      </c>
    </row>
    <row r="79">
      <c r="A79" s="16">
        <f>IF($B79="","",70)</f>
        <v/>
      </c>
      <c r="B79" s="17">
        <f>IF(55&gt;NPartyA,"",IFERROR(IF(VLOOKUP(INDEX(PkPartyA,55),AcctTblA,4,0)="","(بدون نام)",VLOOKUP(INDEX(PkPartyA,55),AcctTblA,4,0)),"—"))</f>
        <v/>
      </c>
      <c r="C79" s="18">
        <f>IF($B79="","",IF(55&gt;NPartyA,"",INDEX(PkPartyA,55)))</f>
        <v/>
      </c>
      <c r="D79" s="17">
        <f>IF($B79="","","p")</f>
        <v/>
      </c>
      <c r="E79" s="19">
        <f>IF($B79="","",IF(55&gt;NPartyA,0,SUMIF(CalcDebit,INDEX(PkPartyA,55),CalcAmt)+SUMIF(CalcDebit2,INDEX(PkPartyA,55),CalcAmt2)+SUMIF(CalcDebit3,INDEX(PkPartyA,55),CalcAmt3)))</f>
        <v/>
      </c>
      <c r="F79" s="19">
        <f>IF($B79="","",IF(55&gt;NPartyA,0,SUMIF(CalcCredit,INDEX(PkPartyA,55),CalcAmt)+SUMIF(CalcCredit2,INDEX(PkPartyA,55),CalcAmt2)+SUMIF(CalcCredit3,INDEX(PkPartyA,55),CalcAmt3)))</f>
        <v/>
      </c>
      <c r="G79" s="20">
        <f>IF($B79="","",ROUND($E79-$F79,0))</f>
        <v/>
      </c>
      <c r="H79" s="17">
        <f>IF($B79="","",IF(ROUND($G79,0)&gt;0,"بدهکار",IF(ROUND($G79,0)&lt;0,"بستانکار","تسویه")))</f>
        <v/>
      </c>
    </row>
    <row r="80">
      <c r="A80" s="11">
        <f>IF($B80="","",71)</f>
        <v/>
      </c>
      <c r="B80" s="12">
        <f>IF(56&gt;NPartyA,"",IFERROR(IF(VLOOKUP(INDEX(PkPartyA,56),AcctTblA,4,0)="","(بدون نام)",VLOOKUP(INDEX(PkPartyA,56),AcctTblA,4,0)),"—"))</f>
        <v/>
      </c>
      <c r="C80" s="13">
        <f>IF($B80="","",IF(56&gt;NPartyA,"",INDEX(PkPartyA,56)))</f>
        <v/>
      </c>
      <c r="D80" s="12">
        <f>IF($B80="","","p")</f>
        <v/>
      </c>
      <c r="E80" s="14">
        <f>IF($B80="","",IF(56&gt;NPartyA,0,SUMIF(CalcDebit,INDEX(PkPartyA,56),CalcAmt)+SUMIF(CalcDebit2,INDEX(PkPartyA,56),CalcAmt2)+SUMIF(CalcDebit3,INDEX(PkPartyA,56),CalcAmt3)))</f>
        <v/>
      </c>
      <c r="F80" s="14">
        <f>IF($B80="","",IF(56&gt;NPartyA,0,SUMIF(CalcCredit,INDEX(PkPartyA,56),CalcAmt)+SUMIF(CalcCredit2,INDEX(PkPartyA,56),CalcAmt2)+SUMIF(CalcCredit3,INDEX(PkPartyA,56),CalcAmt3)))</f>
        <v/>
      </c>
      <c r="G80" s="15">
        <f>IF($B80="","",ROUND($E80-$F80,0))</f>
        <v/>
      </c>
      <c r="H80" s="12">
        <f>IF($B80="","",IF(ROUND($G80,0)&gt;0,"بدهکار",IF(ROUND($G80,0)&lt;0,"بستانکار","تسویه")))</f>
        <v/>
      </c>
    </row>
    <row r="81">
      <c r="A81" s="16">
        <f>IF($B81="","",72)</f>
        <v/>
      </c>
      <c r="B81" s="17">
        <f>IF(57&gt;NPartyA,"",IFERROR(IF(VLOOKUP(INDEX(PkPartyA,57),AcctTblA,4,0)="","(بدون نام)",VLOOKUP(INDEX(PkPartyA,57),AcctTblA,4,0)),"—"))</f>
        <v/>
      </c>
      <c r="C81" s="18">
        <f>IF($B81="","",IF(57&gt;NPartyA,"",INDEX(PkPartyA,57)))</f>
        <v/>
      </c>
      <c r="D81" s="17">
        <f>IF($B81="","","p")</f>
        <v/>
      </c>
      <c r="E81" s="19">
        <f>IF($B81="","",IF(57&gt;NPartyA,0,SUMIF(CalcDebit,INDEX(PkPartyA,57),CalcAmt)+SUMIF(CalcDebit2,INDEX(PkPartyA,57),CalcAmt2)+SUMIF(CalcDebit3,INDEX(PkPartyA,57),CalcAmt3)))</f>
        <v/>
      </c>
      <c r="F81" s="19">
        <f>IF($B81="","",IF(57&gt;NPartyA,0,SUMIF(CalcCredit,INDEX(PkPartyA,57),CalcAmt)+SUMIF(CalcCredit2,INDEX(PkPartyA,57),CalcAmt2)+SUMIF(CalcCredit3,INDEX(PkPartyA,57),CalcAmt3)))</f>
        <v/>
      </c>
      <c r="G81" s="20">
        <f>IF($B81="","",ROUND($E81-$F81,0))</f>
        <v/>
      </c>
      <c r="H81" s="17">
        <f>IF($B81="","",IF(ROUND($G81,0)&gt;0,"بدهکار",IF(ROUND($G81,0)&lt;0,"بستانکار","تسویه")))</f>
        <v/>
      </c>
    </row>
    <row r="82">
      <c r="A82" s="11">
        <f>IF($B82="","",73)</f>
        <v/>
      </c>
      <c r="B82" s="12">
        <f>IF(58&gt;NPartyA,"",IFERROR(IF(VLOOKUP(INDEX(PkPartyA,58),AcctTblA,4,0)="","(بدون نام)",VLOOKUP(INDEX(PkPartyA,58),AcctTblA,4,0)),"—"))</f>
        <v/>
      </c>
      <c r="C82" s="13">
        <f>IF($B82="","",IF(58&gt;NPartyA,"",INDEX(PkPartyA,58)))</f>
        <v/>
      </c>
      <c r="D82" s="12">
        <f>IF($B82="","","p")</f>
        <v/>
      </c>
      <c r="E82" s="14">
        <f>IF($B82="","",IF(58&gt;NPartyA,0,SUMIF(CalcDebit,INDEX(PkPartyA,58),CalcAmt)+SUMIF(CalcDebit2,INDEX(PkPartyA,58),CalcAmt2)+SUMIF(CalcDebit3,INDEX(PkPartyA,58),CalcAmt3)))</f>
        <v/>
      </c>
      <c r="F82" s="14">
        <f>IF($B82="","",IF(58&gt;NPartyA,0,SUMIF(CalcCredit,INDEX(PkPartyA,58),CalcAmt)+SUMIF(CalcCredit2,INDEX(PkPartyA,58),CalcAmt2)+SUMIF(CalcCredit3,INDEX(PkPartyA,58),CalcAmt3)))</f>
        <v/>
      </c>
      <c r="G82" s="15">
        <f>IF($B82="","",ROUND($E82-$F82,0))</f>
        <v/>
      </c>
      <c r="H82" s="12">
        <f>IF($B82="","",IF(ROUND($G82,0)&gt;0,"بدهکار",IF(ROUND($G82,0)&lt;0,"بستانکار","تسویه")))</f>
        <v/>
      </c>
    </row>
    <row r="83">
      <c r="A83" s="16">
        <f>IF($B83="","",74)</f>
        <v/>
      </c>
      <c r="B83" s="17">
        <f>IF(59&gt;NPartyA,"",IFERROR(IF(VLOOKUP(INDEX(PkPartyA,59),AcctTblA,4,0)="","(بدون نام)",VLOOKUP(INDEX(PkPartyA,59),AcctTblA,4,0)),"—"))</f>
        <v/>
      </c>
      <c r="C83" s="18">
        <f>IF($B83="","",IF(59&gt;NPartyA,"",INDEX(PkPartyA,59)))</f>
        <v/>
      </c>
      <c r="D83" s="17">
        <f>IF($B83="","","p")</f>
        <v/>
      </c>
      <c r="E83" s="19">
        <f>IF($B83="","",IF(59&gt;NPartyA,0,SUMIF(CalcDebit,INDEX(PkPartyA,59),CalcAmt)+SUMIF(CalcDebit2,INDEX(PkPartyA,59),CalcAmt2)+SUMIF(CalcDebit3,INDEX(PkPartyA,59),CalcAmt3)))</f>
        <v/>
      </c>
      <c r="F83" s="19">
        <f>IF($B83="","",IF(59&gt;NPartyA,0,SUMIF(CalcCredit,INDEX(PkPartyA,59),CalcAmt)+SUMIF(CalcCredit2,INDEX(PkPartyA,59),CalcAmt2)+SUMIF(CalcCredit3,INDEX(PkPartyA,59),CalcAmt3)))</f>
        <v/>
      </c>
      <c r="G83" s="20">
        <f>IF($B83="","",ROUND($E83-$F83,0))</f>
        <v/>
      </c>
      <c r="H83" s="17">
        <f>IF($B83="","",IF(ROUND($G83,0)&gt;0,"بدهکار",IF(ROUND($G83,0)&lt;0,"بستانکار","تسویه")))</f>
        <v/>
      </c>
    </row>
    <row r="84">
      <c r="A84" s="11">
        <f>IF($B84="","",75)</f>
        <v/>
      </c>
      <c r="B84" s="12">
        <f>IF(60&gt;NPartyA,"",IFERROR(IF(VLOOKUP(INDEX(PkPartyA,60),AcctTblA,4,0)="","(بدون نام)",VLOOKUP(INDEX(PkPartyA,60),AcctTblA,4,0)),"—"))</f>
        <v/>
      </c>
      <c r="C84" s="13">
        <f>IF($B84="","",IF(60&gt;NPartyA,"",INDEX(PkPartyA,60)))</f>
        <v/>
      </c>
      <c r="D84" s="12">
        <f>IF($B84="","","p")</f>
        <v/>
      </c>
      <c r="E84" s="14">
        <f>IF($B84="","",IF(60&gt;NPartyA,0,SUMIF(CalcDebit,INDEX(PkPartyA,60),CalcAmt)+SUMIF(CalcDebit2,INDEX(PkPartyA,60),CalcAmt2)+SUMIF(CalcDebit3,INDEX(PkPartyA,60),CalcAmt3)))</f>
        <v/>
      </c>
      <c r="F84" s="14">
        <f>IF($B84="","",IF(60&gt;NPartyA,0,SUMIF(CalcCredit,INDEX(PkPartyA,60),CalcAmt)+SUMIF(CalcCredit2,INDEX(PkPartyA,60),CalcAmt2)+SUMIF(CalcCredit3,INDEX(PkPartyA,60),CalcAmt3)))</f>
        <v/>
      </c>
      <c r="G84" s="15">
        <f>IF($B84="","",ROUND($E84-$F84,0))</f>
        <v/>
      </c>
      <c r="H84" s="12">
        <f>IF($B84="","",IF(ROUND($G84,0)&gt;0,"بدهکار",IF(ROUND($G84,0)&lt;0,"بستانکار","تسویه")))</f>
        <v/>
      </c>
    </row>
    <row r="85">
      <c r="A85" s="16">
        <f>IF($B85="","",76)</f>
        <v/>
      </c>
      <c r="B85" s="17">
        <f>IF(61&gt;NPartyA,"",IFERROR(IF(VLOOKUP(INDEX(PkPartyA,61),AcctTblA,4,0)="","(بدون نام)",VLOOKUP(INDEX(PkPartyA,61),AcctTblA,4,0)),"—"))</f>
        <v/>
      </c>
      <c r="C85" s="18">
        <f>IF($B85="","",IF(61&gt;NPartyA,"",INDEX(PkPartyA,61)))</f>
        <v/>
      </c>
      <c r="D85" s="17">
        <f>IF($B85="","","p")</f>
        <v/>
      </c>
      <c r="E85" s="19">
        <f>IF($B85="","",IF(61&gt;NPartyA,0,SUMIF(CalcDebit,INDEX(PkPartyA,61),CalcAmt)+SUMIF(CalcDebit2,INDEX(PkPartyA,61),CalcAmt2)+SUMIF(CalcDebit3,INDEX(PkPartyA,61),CalcAmt3)))</f>
        <v/>
      </c>
      <c r="F85" s="19">
        <f>IF($B85="","",IF(61&gt;NPartyA,0,SUMIF(CalcCredit,INDEX(PkPartyA,61),CalcAmt)+SUMIF(CalcCredit2,INDEX(PkPartyA,61),CalcAmt2)+SUMIF(CalcCredit3,INDEX(PkPartyA,61),CalcAmt3)))</f>
        <v/>
      </c>
      <c r="G85" s="20">
        <f>IF($B85="","",ROUND($E85-$F85,0))</f>
        <v/>
      </c>
      <c r="H85" s="17">
        <f>IF($B85="","",IF(ROUND($G85,0)&gt;0,"بدهکار",IF(ROUND($G85,0)&lt;0,"بستانکار","تسویه")))</f>
        <v/>
      </c>
    </row>
    <row r="86">
      <c r="A86" s="11">
        <f>IF($B86="","",77)</f>
        <v/>
      </c>
      <c r="B86" s="12">
        <f>IF(62&gt;NPartyA,"",IFERROR(IF(VLOOKUP(INDEX(PkPartyA,62),AcctTblA,4,0)="","(بدون نام)",VLOOKUP(INDEX(PkPartyA,62),AcctTblA,4,0)),"—"))</f>
        <v/>
      </c>
      <c r="C86" s="13">
        <f>IF($B86="","",IF(62&gt;NPartyA,"",INDEX(PkPartyA,62)))</f>
        <v/>
      </c>
      <c r="D86" s="12">
        <f>IF($B86="","","p")</f>
        <v/>
      </c>
      <c r="E86" s="14">
        <f>IF($B86="","",IF(62&gt;NPartyA,0,SUMIF(CalcDebit,INDEX(PkPartyA,62),CalcAmt)+SUMIF(CalcDebit2,INDEX(PkPartyA,62),CalcAmt2)+SUMIF(CalcDebit3,INDEX(PkPartyA,62),CalcAmt3)))</f>
        <v/>
      </c>
      <c r="F86" s="14">
        <f>IF($B86="","",IF(62&gt;NPartyA,0,SUMIF(CalcCredit,INDEX(PkPartyA,62),CalcAmt)+SUMIF(CalcCredit2,INDEX(PkPartyA,62),CalcAmt2)+SUMIF(CalcCredit3,INDEX(PkPartyA,62),CalcAmt3)))</f>
        <v/>
      </c>
      <c r="G86" s="15">
        <f>IF($B86="","",ROUND($E86-$F86,0))</f>
        <v/>
      </c>
      <c r="H86" s="12">
        <f>IF($B86="","",IF(ROUND($G86,0)&gt;0,"بدهکار",IF(ROUND($G86,0)&lt;0,"بستانکار","تسویه")))</f>
        <v/>
      </c>
    </row>
    <row r="87">
      <c r="A87" s="16">
        <f>IF($B87="","",78)</f>
        <v/>
      </c>
      <c r="B87" s="17">
        <f>IF(63&gt;NPartyA,"",IFERROR(IF(VLOOKUP(INDEX(PkPartyA,63),AcctTblA,4,0)="","(بدون نام)",VLOOKUP(INDEX(PkPartyA,63),AcctTblA,4,0)),"—"))</f>
        <v/>
      </c>
      <c r="C87" s="18">
        <f>IF($B87="","",IF(63&gt;NPartyA,"",INDEX(PkPartyA,63)))</f>
        <v/>
      </c>
      <c r="D87" s="17">
        <f>IF($B87="","","p")</f>
        <v/>
      </c>
      <c r="E87" s="19">
        <f>IF($B87="","",IF(63&gt;NPartyA,0,SUMIF(CalcDebit,INDEX(PkPartyA,63),CalcAmt)+SUMIF(CalcDebit2,INDEX(PkPartyA,63),CalcAmt2)+SUMIF(CalcDebit3,INDEX(PkPartyA,63),CalcAmt3)))</f>
        <v/>
      </c>
      <c r="F87" s="19">
        <f>IF($B87="","",IF(63&gt;NPartyA,0,SUMIF(CalcCredit,INDEX(PkPartyA,63),CalcAmt)+SUMIF(CalcCredit2,INDEX(PkPartyA,63),CalcAmt2)+SUMIF(CalcCredit3,INDEX(PkPartyA,63),CalcAmt3)))</f>
        <v/>
      </c>
      <c r="G87" s="20">
        <f>IF($B87="","",ROUND($E87-$F87,0))</f>
        <v/>
      </c>
      <c r="H87" s="17">
        <f>IF($B87="","",IF(ROUND($G87,0)&gt;0,"بدهکار",IF(ROUND($G87,0)&lt;0,"بستانکار","تسویه")))</f>
        <v/>
      </c>
    </row>
    <row r="88">
      <c r="A88" s="11">
        <f>IF($B88="","",79)</f>
        <v/>
      </c>
      <c r="B88" s="12">
        <f>IF(64&gt;NPartyA,"",IFERROR(IF(VLOOKUP(INDEX(PkPartyA,64),AcctTblA,4,0)="","(بدون نام)",VLOOKUP(INDEX(PkPartyA,64),AcctTblA,4,0)),"—"))</f>
        <v/>
      </c>
      <c r="C88" s="13">
        <f>IF($B88="","",IF(64&gt;NPartyA,"",INDEX(PkPartyA,64)))</f>
        <v/>
      </c>
      <c r="D88" s="12">
        <f>IF($B88="","","p")</f>
        <v/>
      </c>
      <c r="E88" s="14">
        <f>IF($B88="","",IF(64&gt;NPartyA,0,SUMIF(CalcDebit,INDEX(PkPartyA,64),CalcAmt)+SUMIF(CalcDebit2,INDEX(PkPartyA,64),CalcAmt2)+SUMIF(CalcDebit3,INDEX(PkPartyA,64),CalcAmt3)))</f>
        <v/>
      </c>
      <c r="F88" s="14">
        <f>IF($B88="","",IF(64&gt;NPartyA,0,SUMIF(CalcCredit,INDEX(PkPartyA,64),CalcAmt)+SUMIF(CalcCredit2,INDEX(PkPartyA,64),CalcAmt2)+SUMIF(CalcCredit3,INDEX(PkPartyA,64),CalcAmt3)))</f>
        <v/>
      </c>
      <c r="G88" s="15">
        <f>IF($B88="","",ROUND($E88-$F88,0))</f>
        <v/>
      </c>
      <c r="H88" s="12">
        <f>IF($B88="","",IF(ROUND($G88,0)&gt;0,"بدهکار",IF(ROUND($G88,0)&lt;0,"بستانکار","تسویه")))</f>
        <v/>
      </c>
    </row>
    <row r="89">
      <c r="A89" s="16">
        <f>IF($B89="","",80)</f>
        <v/>
      </c>
      <c r="B89" s="17">
        <f>IF(65&gt;NPartyA,"",IFERROR(IF(VLOOKUP(INDEX(PkPartyA,65),AcctTblA,4,0)="","(بدون نام)",VLOOKUP(INDEX(PkPartyA,65),AcctTblA,4,0)),"—"))</f>
        <v/>
      </c>
      <c r="C89" s="18">
        <f>IF($B89="","",IF(65&gt;NPartyA,"",INDEX(PkPartyA,65)))</f>
        <v/>
      </c>
      <c r="D89" s="17">
        <f>IF($B89="","","p")</f>
        <v/>
      </c>
      <c r="E89" s="19">
        <f>IF($B89="","",IF(65&gt;NPartyA,0,SUMIF(CalcDebit,INDEX(PkPartyA,65),CalcAmt)+SUMIF(CalcDebit2,INDEX(PkPartyA,65),CalcAmt2)+SUMIF(CalcDebit3,INDEX(PkPartyA,65),CalcAmt3)))</f>
        <v/>
      </c>
      <c r="F89" s="19">
        <f>IF($B89="","",IF(65&gt;NPartyA,0,SUMIF(CalcCredit,INDEX(PkPartyA,65),CalcAmt)+SUMIF(CalcCredit2,INDEX(PkPartyA,65),CalcAmt2)+SUMIF(CalcCredit3,INDEX(PkPartyA,65),CalcAmt3)))</f>
        <v/>
      </c>
      <c r="G89" s="20">
        <f>IF($B89="","",ROUND($E89-$F89,0))</f>
        <v/>
      </c>
      <c r="H89" s="17">
        <f>IF($B89="","",IF(ROUND($G89,0)&gt;0,"بدهکار",IF(ROUND($G89,0)&lt;0,"بستانکار","تسویه")))</f>
        <v/>
      </c>
    </row>
    <row r="90">
      <c r="A90" s="11">
        <f>IF($B90="","",81)</f>
        <v/>
      </c>
      <c r="B90" s="12">
        <f>IF(66&gt;NPartyA,"",IFERROR(IF(VLOOKUP(INDEX(PkPartyA,66),AcctTblA,4,0)="","(بدون نام)",VLOOKUP(INDEX(PkPartyA,66),AcctTblA,4,0)),"—"))</f>
        <v/>
      </c>
      <c r="C90" s="13">
        <f>IF($B90="","",IF(66&gt;NPartyA,"",INDEX(PkPartyA,66)))</f>
        <v/>
      </c>
      <c r="D90" s="12">
        <f>IF($B90="","","p")</f>
        <v/>
      </c>
      <c r="E90" s="14">
        <f>IF($B90="","",IF(66&gt;NPartyA,0,SUMIF(CalcDebit,INDEX(PkPartyA,66),CalcAmt)+SUMIF(CalcDebit2,INDEX(PkPartyA,66),CalcAmt2)+SUMIF(CalcDebit3,INDEX(PkPartyA,66),CalcAmt3)))</f>
        <v/>
      </c>
      <c r="F90" s="14">
        <f>IF($B90="","",IF(66&gt;NPartyA,0,SUMIF(CalcCredit,INDEX(PkPartyA,66),CalcAmt)+SUMIF(CalcCredit2,INDEX(PkPartyA,66),CalcAmt2)+SUMIF(CalcCredit3,INDEX(PkPartyA,66),CalcAmt3)))</f>
        <v/>
      </c>
      <c r="G90" s="15">
        <f>IF($B90="","",ROUND($E90-$F90,0))</f>
        <v/>
      </c>
      <c r="H90" s="12">
        <f>IF($B90="","",IF(ROUND($G90,0)&gt;0,"بدهکار",IF(ROUND($G90,0)&lt;0,"بستانکار","تسویه")))</f>
        <v/>
      </c>
    </row>
    <row r="91">
      <c r="A91" s="16">
        <f>IF($B91="","",82)</f>
        <v/>
      </c>
      <c r="B91" s="17">
        <f>IF(67&gt;NPartyA,"",IFERROR(IF(VLOOKUP(INDEX(PkPartyA,67),AcctTblA,4,0)="","(بدون نام)",VLOOKUP(INDEX(PkPartyA,67),AcctTblA,4,0)),"—"))</f>
        <v/>
      </c>
      <c r="C91" s="18">
        <f>IF($B91="","",IF(67&gt;NPartyA,"",INDEX(PkPartyA,67)))</f>
        <v/>
      </c>
      <c r="D91" s="17">
        <f>IF($B91="","","p")</f>
        <v/>
      </c>
      <c r="E91" s="19">
        <f>IF($B91="","",IF(67&gt;NPartyA,0,SUMIF(CalcDebit,INDEX(PkPartyA,67),CalcAmt)+SUMIF(CalcDebit2,INDEX(PkPartyA,67),CalcAmt2)+SUMIF(CalcDebit3,INDEX(PkPartyA,67),CalcAmt3)))</f>
        <v/>
      </c>
      <c r="F91" s="19">
        <f>IF($B91="","",IF(67&gt;NPartyA,0,SUMIF(CalcCredit,INDEX(PkPartyA,67),CalcAmt)+SUMIF(CalcCredit2,INDEX(PkPartyA,67),CalcAmt2)+SUMIF(CalcCredit3,INDEX(PkPartyA,67),CalcAmt3)))</f>
        <v/>
      </c>
      <c r="G91" s="20">
        <f>IF($B91="","",ROUND($E91-$F91,0))</f>
        <v/>
      </c>
      <c r="H91" s="17">
        <f>IF($B91="","",IF(ROUND($G91,0)&gt;0,"بدهکار",IF(ROUND($G91,0)&lt;0,"بستانکار","تسویه")))</f>
        <v/>
      </c>
    </row>
    <row r="92">
      <c r="A92" s="11">
        <f>IF($B92="","",83)</f>
        <v/>
      </c>
      <c r="B92" s="12">
        <f>IF(68&gt;NPartyA,"",IFERROR(IF(VLOOKUP(INDEX(PkPartyA,68),AcctTblA,4,0)="","(بدون نام)",VLOOKUP(INDEX(PkPartyA,68),AcctTblA,4,0)),"—"))</f>
        <v/>
      </c>
      <c r="C92" s="13">
        <f>IF($B92="","",IF(68&gt;NPartyA,"",INDEX(PkPartyA,68)))</f>
        <v/>
      </c>
      <c r="D92" s="12">
        <f>IF($B92="","","p")</f>
        <v/>
      </c>
      <c r="E92" s="14">
        <f>IF($B92="","",IF(68&gt;NPartyA,0,SUMIF(CalcDebit,INDEX(PkPartyA,68),CalcAmt)+SUMIF(CalcDebit2,INDEX(PkPartyA,68),CalcAmt2)+SUMIF(CalcDebit3,INDEX(PkPartyA,68),CalcAmt3)))</f>
        <v/>
      </c>
      <c r="F92" s="14">
        <f>IF($B92="","",IF(68&gt;NPartyA,0,SUMIF(CalcCredit,INDEX(PkPartyA,68),CalcAmt)+SUMIF(CalcCredit2,INDEX(PkPartyA,68),CalcAmt2)+SUMIF(CalcCredit3,INDEX(PkPartyA,68),CalcAmt3)))</f>
        <v/>
      </c>
      <c r="G92" s="15">
        <f>IF($B92="","",ROUND($E92-$F92,0))</f>
        <v/>
      </c>
      <c r="H92" s="12">
        <f>IF($B92="","",IF(ROUND($G92,0)&gt;0,"بدهکار",IF(ROUND($G92,0)&lt;0,"بستانکار","تسویه")))</f>
        <v/>
      </c>
    </row>
    <row r="93">
      <c r="A93" s="16">
        <f>IF($B93="","",84)</f>
        <v/>
      </c>
      <c r="B93" s="17">
        <f>IF(69&gt;NPartyA,"",IFERROR(IF(VLOOKUP(INDEX(PkPartyA,69),AcctTblA,4,0)="","(بدون نام)",VLOOKUP(INDEX(PkPartyA,69),AcctTblA,4,0)),"—"))</f>
        <v/>
      </c>
      <c r="C93" s="18">
        <f>IF($B93="","",IF(69&gt;NPartyA,"",INDEX(PkPartyA,69)))</f>
        <v/>
      </c>
      <c r="D93" s="17">
        <f>IF($B93="","","p")</f>
        <v/>
      </c>
      <c r="E93" s="19">
        <f>IF($B93="","",IF(69&gt;NPartyA,0,SUMIF(CalcDebit,INDEX(PkPartyA,69),CalcAmt)+SUMIF(CalcDebit2,INDEX(PkPartyA,69),CalcAmt2)+SUMIF(CalcDebit3,INDEX(PkPartyA,69),CalcAmt3)))</f>
        <v/>
      </c>
      <c r="F93" s="19">
        <f>IF($B93="","",IF(69&gt;NPartyA,0,SUMIF(CalcCredit,INDEX(PkPartyA,69),CalcAmt)+SUMIF(CalcCredit2,INDEX(PkPartyA,69),CalcAmt2)+SUMIF(CalcCredit3,INDEX(PkPartyA,69),CalcAmt3)))</f>
        <v/>
      </c>
      <c r="G93" s="20">
        <f>IF($B93="","",ROUND($E93-$F93,0))</f>
        <v/>
      </c>
      <c r="H93" s="17">
        <f>IF($B93="","",IF(ROUND($G93,0)&gt;0,"بدهکار",IF(ROUND($G93,0)&lt;0,"بستانکار","تسویه")))</f>
        <v/>
      </c>
    </row>
    <row r="94">
      <c r="A94" s="11">
        <f>IF($B94="","",85)</f>
        <v/>
      </c>
      <c r="B94" s="12">
        <f>IF(70&gt;NPartyA,"",IFERROR(IF(VLOOKUP(INDEX(PkPartyA,70),AcctTblA,4,0)="","(بدون نام)",VLOOKUP(INDEX(PkPartyA,70),AcctTblA,4,0)),"—"))</f>
        <v/>
      </c>
      <c r="C94" s="13">
        <f>IF($B94="","",IF(70&gt;NPartyA,"",INDEX(PkPartyA,70)))</f>
        <v/>
      </c>
      <c r="D94" s="12">
        <f>IF($B94="","","p")</f>
        <v/>
      </c>
      <c r="E94" s="14">
        <f>IF($B94="","",IF(70&gt;NPartyA,0,SUMIF(CalcDebit,INDEX(PkPartyA,70),CalcAmt)+SUMIF(CalcDebit2,INDEX(PkPartyA,70),CalcAmt2)+SUMIF(CalcDebit3,INDEX(PkPartyA,70),CalcAmt3)))</f>
        <v/>
      </c>
      <c r="F94" s="14">
        <f>IF($B94="","",IF(70&gt;NPartyA,0,SUMIF(CalcCredit,INDEX(PkPartyA,70),CalcAmt)+SUMIF(CalcCredit2,INDEX(PkPartyA,70),CalcAmt2)+SUMIF(CalcCredit3,INDEX(PkPartyA,70),CalcAmt3)))</f>
        <v/>
      </c>
      <c r="G94" s="15">
        <f>IF($B94="","",ROUND($E94-$F94,0))</f>
        <v/>
      </c>
      <c r="H94" s="12">
        <f>IF($B94="","",IF(ROUND($G94,0)&gt;0,"بدهکار",IF(ROUND($G94,0)&lt;0,"بستانکار","تسویه")))</f>
        <v/>
      </c>
    </row>
    <row r="95">
      <c r="A95" s="16">
        <f>IF($B95="","",86)</f>
        <v/>
      </c>
      <c r="B95" s="17">
        <f>IF(71&gt;NPartyA,"",IFERROR(IF(VLOOKUP(INDEX(PkPartyA,71),AcctTblA,4,0)="","(بدون نام)",VLOOKUP(INDEX(PkPartyA,71),AcctTblA,4,0)),"—"))</f>
        <v/>
      </c>
      <c r="C95" s="18">
        <f>IF($B95="","",IF(71&gt;NPartyA,"",INDEX(PkPartyA,71)))</f>
        <v/>
      </c>
      <c r="D95" s="17">
        <f>IF($B95="","","p")</f>
        <v/>
      </c>
      <c r="E95" s="19">
        <f>IF($B95="","",IF(71&gt;NPartyA,0,SUMIF(CalcDebit,INDEX(PkPartyA,71),CalcAmt)+SUMIF(CalcDebit2,INDEX(PkPartyA,71),CalcAmt2)+SUMIF(CalcDebit3,INDEX(PkPartyA,71),CalcAmt3)))</f>
        <v/>
      </c>
      <c r="F95" s="19">
        <f>IF($B95="","",IF(71&gt;NPartyA,0,SUMIF(CalcCredit,INDEX(PkPartyA,71),CalcAmt)+SUMIF(CalcCredit2,INDEX(PkPartyA,71),CalcAmt2)+SUMIF(CalcCredit3,INDEX(PkPartyA,71),CalcAmt3)))</f>
        <v/>
      </c>
      <c r="G95" s="20">
        <f>IF($B95="","",ROUND($E95-$F95,0))</f>
        <v/>
      </c>
      <c r="H95" s="17">
        <f>IF($B95="","",IF(ROUND($G95,0)&gt;0,"بدهکار",IF(ROUND($G95,0)&lt;0,"بستانکار","تسویه")))</f>
        <v/>
      </c>
    </row>
    <row r="96">
      <c r="A96" s="11">
        <f>IF($B96="","",87)</f>
        <v/>
      </c>
      <c r="B96" s="12">
        <f>IF(72&gt;NPartyA,"",IFERROR(IF(VLOOKUP(INDEX(PkPartyA,72),AcctTblA,4,0)="","(بدون نام)",VLOOKUP(INDEX(PkPartyA,72),AcctTblA,4,0)),"—"))</f>
        <v/>
      </c>
      <c r="C96" s="13">
        <f>IF($B96="","",IF(72&gt;NPartyA,"",INDEX(PkPartyA,72)))</f>
        <v/>
      </c>
      <c r="D96" s="12">
        <f>IF($B96="","","p")</f>
        <v/>
      </c>
      <c r="E96" s="14">
        <f>IF($B96="","",IF(72&gt;NPartyA,0,SUMIF(CalcDebit,INDEX(PkPartyA,72),CalcAmt)+SUMIF(CalcDebit2,INDEX(PkPartyA,72),CalcAmt2)+SUMIF(CalcDebit3,INDEX(PkPartyA,72),CalcAmt3)))</f>
        <v/>
      </c>
      <c r="F96" s="14">
        <f>IF($B96="","",IF(72&gt;NPartyA,0,SUMIF(CalcCredit,INDEX(PkPartyA,72),CalcAmt)+SUMIF(CalcCredit2,INDEX(PkPartyA,72),CalcAmt2)+SUMIF(CalcCredit3,INDEX(PkPartyA,72),CalcAmt3)))</f>
        <v/>
      </c>
      <c r="G96" s="15">
        <f>IF($B96="","",ROUND($E96-$F96,0))</f>
        <v/>
      </c>
      <c r="H96" s="12">
        <f>IF($B96="","",IF(ROUND($G96,0)&gt;0,"بدهکار",IF(ROUND($G96,0)&lt;0,"بستانکار","تسویه")))</f>
        <v/>
      </c>
    </row>
    <row r="97">
      <c r="A97" s="16">
        <f>IF($B97="","",88)</f>
        <v/>
      </c>
      <c r="B97" s="17">
        <f>IF(73&gt;NPartyA,"",IFERROR(IF(VLOOKUP(INDEX(PkPartyA,73),AcctTblA,4,0)="","(بدون نام)",VLOOKUP(INDEX(PkPartyA,73),AcctTblA,4,0)),"—"))</f>
        <v/>
      </c>
      <c r="C97" s="18">
        <f>IF($B97="","",IF(73&gt;NPartyA,"",INDEX(PkPartyA,73)))</f>
        <v/>
      </c>
      <c r="D97" s="17">
        <f>IF($B97="","","p")</f>
        <v/>
      </c>
      <c r="E97" s="19">
        <f>IF($B97="","",IF(73&gt;NPartyA,0,SUMIF(CalcDebit,INDEX(PkPartyA,73),CalcAmt)+SUMIF(CalcDebit2,INDEX(PkPartyA,73),CalcAmt2)+SUMIF(CalcDebit3,INDEX(PkPartyA,73),CalcAmt3)))</f>
        <v/>
      </c>
      <c r="F97" s="19">
        <f>IF($B97="","",IF(73&gt;NPartyA,0,SUMIF(CalcCredit,INDEX(PkPartyA,73),CalcAmt)+SUMIF(CalcCredit2,INDEX(PkPartyA,73),CalcAmt2)+SUMIF(CalcCredit3,INDEX(PkPartyA,73),CalcAmt3)))</f>
        <v/>
      </c>
      <c r="G97" s="20">
        <f>IF($B97="","",ROUND($E97-$F97,0))</f>
        <v/>
      </c>
      <c r="H97" s="17">
        <f>IF($B97="","",IF(ROUND($G97,0)&gt;0,"بدهکار",IF(ROUND($G97,0)&lt;0,"بستانکار","تسویه")))</f>
        <v/>
      </c>
    </row>
    <row r="98">
      <c r="A98" s="11">
        <f>IF($B98="","",89)</f>
        <v/>
      </c>
      <c r="B98" s="12">
        <f>IF(74&gt;NPartyA,"",IFERROR(IF(VLOOKUP(INDEX(PkPartyA,74),AcctTblA,4,0)="","(بدون نام)",VLOOKUP(INDEX(PkPartyA,74),AcctTblA,4,0)),"—"))</f>
        <v/>
      </c>
      <c r="C98" s="13">
        <f>IF($B98="","",IF(74&gt;NPartyA,"",INDEX(PkPartyA,74)))</f>
        <v/>
      </c>
      <c r="D98" s="12">
        <f>IF($B98="","","p")</f>
        <v/>
      </c>
      <c r="E98" s="14">
        <f>IF($B98="","",IF(74&gt;NPartyA,0,SUMIF(CalcDebit,INDEX(PkPartyA,74),CalcAmt)+SUMIF(CalcDebit2,INDEX(PkPartyA,74),CalcAmt2)+SUMIF(CalcDebit3,INDEX(PkPartyA,74),CalcAmt3)))</f>
        <v/>
      </c>
      <c r="F98" s="14">
        <f>IF($B98="","",IF(74&gt;NPartyA,0,SUMIF(CalcCredit,INDEX(PkPartyA,74),CalcAmt)+SUMIF(CalcCredit2,INDEX(PkPartyA,74),CalcAmt2)+SUMIF(CalcCredit3,INDEX(PkPartyA,74),CalcAmt3)))</f>
        <v/>
      </c>
      <c r="G98" s="15">
        <f>IF($B98="","",ROUND($E98-$F98,0))</f>
        <v/>
      </c>
      <c r="H98" s="12">
        <f>IF($B98="","",IF(ROUND($G98,0)&gt;0,"بدهکار",IF(ROUND($G98,0)&lt;0,"بستانکار","تسویه")))</f>
        <v/>
      </c>
    </row>
    <row r="99">
      <c r="A99" s="16">
        <f>IF($B99="","",90)</f>
        <v/>
      </c>
      <c r="B99" s="17">
        <f>IF(75&gt;NPartyA,"",IFERROR(IF(VLOOKUP(INDEX(PkPartyA,75),AcctTblA,4,0)="","(بدون نام)",VLOOKUP(INDEX(PkPartyA,75),AcctTblA,4,0)),"—"))</f>
        <v/>
      </c>
      <c r="C99" s="18">
        <f>IF($B99="","",IF(75&gt;NPartyA,"",INDEX(PkPartyA,75)))</f>
        <v/>
      </c>
      <c r="D99" s="17">
        <f>IF($B99="","","p")</f>
        <v/>
      </c>
      <c r="E99" s="19">
        <f>IF($B99="","",IF(75&gt;NPartyA,0,SUMIF(CalcDebit,INDEX(PkPartyA,75),CalcAmt)+SUMIF(CalcDebit2,INDEX(PkPartyA,75),CalcAmt2)+SUMIF(CalcDebit3,INDEX(PkPartyA,75),CalcAmt3)))</f>
        <v/>
      </c>
      <c r="F99" s="19">
        <f>IF($B99="","",IF(75&gt;NPartyA,0,SUMIF(CalcCredit,INDEX(PkPartyA,75),CalcAmt)+SUMIF(CalcCredit2,INDEX(PkPartyA,75),CalcAmt2)+SUMIF(CalcCredit3,INDEX(PkPartyA,75),CalcAmt3)))</f>
        <v/>
      </c>
      <c r="G99" s="20">
        <f>IF($B99="","",ROUND($E99-$F99,0))</f>
        <v/>
      </c>
      <c r="H99" s="17">
        <f>IF($B99="","",IF(ROUND($G99,0)&gt;0,"بدهکار",IF(ROUND($G99,0)&lt;0,"بستانکار","تسویه")))</f>
        <v/>
      </c>
    </row>
    <row r="100">
      <c r="A100" s="11">
        <f>IF($B100="","",91)</f>
        <v/>
      </c>
      <c r="B100" s="12">
        <f>IF(76&gt;NPartyA,"",IFERROR(IF(VLOOKUP(INDEX(PkPartyA,76),AcctTblA,4,0)="","(بدون نام)",VLOOKUP(INDEX(PkPartyA,76),AcctTblA,4,0)),"—"))</f>
        <v/>
      </c>
      <c r="C100" s="13">
        <f>IF($B100="","",IF(76&gt;NPartyA,"",INDEX(PkPartyA,76)))</f>
        <v/>
      </c>
      <c r="D100" s="12">
        <f>IF($B100="","","p")</f>
        <v/>
      </c>
      <c r="E100" s="14">
        <f>IF($B100="","",IF(76&gt;NPartyA,0,SUMIF(CalcDebit,INDEX(PkPartyA,76),CalcAmt)+SUMIF(CalcDebit2,INDEX(PkPartyA,76),CalcAmt2)+SUMIF(CalcDebit3,INDEX(PkPartyA,76),CalcAmt3)))</f>
        <v/>
      </c>
      <c r="F100" s="14">
        <f>IF($B100="","",IF(76&gt;NPartyA,0,SUMIF(CalcCredit,INDEX(PkPartyA,76),CalcAmt)+SUMIF(CalcCredit2,INDEX(PkPartyA,76),CalcAmt2)+SUMIF(CalcCredit3,INDEX(PkPartyA,76),CalcAmt3)))</f>
        <v/>
      </c>
      <c r="G100" s="15">
        <f>IF($B100="","",ROUND($E100-$F100,0))</f>
        <v/>
      </c>
      <c r="H100" s="12">
        <f>IF($B100="","",IF(ROUND($G100,0)&gt;0,"بدهکار",IF(ROUND($G100,0)&lt;0,"بستانکار","تسویه")))</f>
        <v/>
      </c>
    </row>
    <row r="101">
      <c r="A101" s="16">
        <f>IF($B101="","",92)</f>
        <v/>
      </c>
      <c r="B101" s="17">
        <f>IF(77&gt;NPartyA,"",IFERROR(IF(VLOOKUP(INDEX(PkPartyA,77),AcctTblA,4,0)="","(بدون نام)",VLOOKUP(INDEX(PkPartyA,77),AcctTblA,4,0)),"—"))</f>
        <v/>
      </c>
      <c r="C101" s="18">
        <f>IF($B101="","",IF(77&gt;NPartyA,"",INDEX(PkPartyA,77)))</f>
        <v/>
      </c>
      <c r="D101" s="17">
        <f>IF($B101="","","p")</f>
        <v/>
      </c>
      <c r="E101" s="19">
        <f>IF($B101="","",IF(77&gt;NPartyA,0,SUMIF(CalcDebit,INDEX(PkPartyA,77),CalcAmt)+SUMIF(CalcDebit2,INDEX(PkPartyA,77),CalcAmt2)+SUMIF(CalcDebit3,INDEX(PkPartyA,77),CalcAmt3)))</f>
        <v/>
      </c>
      <c r="F101" s="19">
        <f>IF($B101="","",IF(77&gt;NPartyA,0,SUMIF(CalcCredit,INDEX(PkPartyA,77),CalcAmt)+SUMIF(CalcCredit2,INDEX(PkPartyA,77),CalcAmt2)+SUMIF(CalcCredit3,INDEX(PkPartyA,77),CalcAmt3)))</f>
        <v/>
      </c>
      <c r="G101" s="20">
        <f>IF($B101="","",ROUND($E101-$F101,0))</f>
        <v/>
      </c>
      <c r="H101" s="17">
        <f>IF($B101="","",IF(ROUND($G101,0)&gt;0,"بدهکار",IF(ROUND($G101,0)&lt;0,"بستانکار","تسویه")))</f>
        <v/>
      </c>
    </row>
    <row r="102">
      <c r="A102" s="11">
        <f>IF($B102="","",93)</f>
        <v/>
      </c>
      <c r="B102" s="12">
        <f>IF(78&gt;NPartyA,"",IFERROR(IF(VLOOKUP(INDEX(PkPartyA,78),AcctTblA,4,0)="","(بدون نام)",VLOOKUP(INDEX(PkPartyA,78),AcctTblA,4,0)),"—"))</f>
        <v/>
      </c>
      <c r="C102" s="13">
        <f>IF($B102="","",IF(78&gt;NPartyA,"",INDEX(PkPartyA,78)))</f>
        <v/>
      </c>
      <c r="D102" s="12">
        <f>IF($B102="","","p")</f>
        <v/>
      </c>
      <c r="E102" s="14">
        <f>IF($B102="","",IF(78&gt;NPartyA,0,SUMIF(CalcDebit,INDEX(PkPartyA,78),CalcAmt)+SUMIF(CalcDebit2,INDEX(PkPartyA,78),CalcAmt2)+SUMIF(CalcDebit3,INDEX(PkPartyA,78),CalcAmt3)))</f>
        <v/>
      </c>
      <c r="F102" s="14">
        <f>IF($B102="","",IF(78&gt;NPartyA,0,SUMIF(CalcCredit,INDEX(PkPartyA,78),CalcAmt)+SUMIF(CalcCredit2,INDEX(PkPartyA,78),CalcAmt2)+SUMIF(CalcCredit3,INDEX(PkPartyA,78),CalcAmt3)))</f>
        <v/>
      </c>
      <c r="G102" s="15">
        <f>IF($B102="","",ROUND($E102-$F102,0))</f>
        <v/>
      </c>
      <c r="H102" s="12">
        <f>IF($B102="","",IF(ROUND($G102,0)&gt;0,"بدهکار",IF(ROUND($G102,0)&lt;0,"بستانکار","تسویه")))</f>
        <v/>
      </c>
    </row>
    <row r="103">
      <c r="A103" s="16">
        <f>IF($B103="","",94)</f>
        <v/>
      </c>
      <c r="B103" s="17">
        <f>IF(79&gt;NPartyA,"",IFERROR(IF(VLOOKUP(INDEX(PkPartyA,79),AcctTblA,4,0)="","(بدون نام)",VLOOKUP(INDEX(PkPartyA,79),AcctTblA,4,0)),"—"))</f>
        <v/>
      </c>
      <c r="C103" s="18">
        <f>IF($B103="","",IF(79&gt;NPartyA,"",INDEX(PkPartyA,79)))</f>
        <v/>
      </c>
      <c r="D103" s="17">
        <f>IF($B103="","","p")</f>
        <v/>
      </c>
      <c r="E103" s="19">
        <f>IF($B103="","",IF(79&gt;NPartyA,0,SUMIF(CalcDebit,INDEX(PkPartyA,79),CalcAmt)+SUMIF(CalcDebit2,INDEX(PkPartyA,79),CalcAmt2)+SUMIF(CalcDebit3,INDEX(PkPartyA,79),CalcAmt3)))</f>
        <v/>
      </c>
      <c r="F103" s="19">
        <f>IF($B103="","",IF(79&gt;NPartyA,0,SUMIF(CalcCredit,INDEX(PkPartyA,79),CalcAmt)+SUMIF(CalcCredit2,INDEX(PkPartyA,79),CalcAmt2)+SUMIF(CalcCredit3,INDEX(PkPartyA,79),CalcAmt3)))</f>
        <v/>
      </c>
      <c r="G103" s="20">
        <f>IF($B103="","",ROUND($E103-$F103,0))</f>
        <v/>
      </c>
      <c r="H103" s="17">
        <f>IF($B103="","",IF(ROUND($G103,0)&gt;0,"بدهکار",IF(ROUND($G103,0)&lt;0,"بستانکار","تسویه")))</f>
        <v/>
      </c>
    </row>
    <row r="104">
      <c r="A104" s="11">
        <f>IF($B104="","",95)</f>
        <v/>
      </c>
      <c r="B104" s="12">
        <f>IF(80&gt;NPartyA,"",IFERROR(IF(VLOOKUP(INDEX(PkPartyA,80),AcctTblA,4,0)="","(بدون نام)",VLOOKUP(INDEX(PkPartyA,80),AcctTblA,4,0)),"—"))</f>
        <v/>
      </c>
      <c r="C104" s="13">
        <f>IF($B104="","",IF(80&gt;NPartyA,"",INDEX(PkPartyA,80)))</f>
        <v/>
      </c>
      <c r="D104" s="12">
        <f>IF($B104="","","p")</f>
        <v/>
      </c>
      <c r="E104" s="14">
        <f>IF($B104="","",IF(80&gt;NPartyA,0,SUMIF(CalcDebit,INDEX(PkPartyA,80),CalcAmt)+SUMIF(CalcDebit2,INDEX(PkPartyA,80),CalcAmt2)+SUMIF(CalcDebit3,INDEX(PkPartyA,80),CalcAmt3)))</f>
        <v/>
      </c>
      <c r="F104" s="14">
        <f>IF($B104="","",IF(80&gt;NPartyA,0,SUMIF(CalcCredit,INDEX(PkPartyA,80),CalcAmt)+SUMIF(CalcCredit2,INDEX(PkPartyA,80),CalcAmt2)+SUMIF(CalcCredit3,INDEX(PkPartyA,80),CalcAmt3)))</f>
        <v/>
      </c>
      <c r="G104" s="15">
        <f>IF($B104="","",ROUND($E104-$F104,0))</f>
        <v/>
      </c>
      <c r="H104" s="12">
        <f>IF($B104="","",IF(ROUND($G104,0)&gt;0,"بدهکار",IF(ROUND($G104,0)&lt;0,"بستانکار","تسویه")))</f>
        <v/>
      </c>
    </row>
    <row r="105">
      <c r="A105" s="16">
        <f>IF($B105="","",96)</f>
        <v/>
      </c>
      <c r="B105" s="17">
        <f>IF(81&gt;NPartyA,"",IFERROR(IF(VLOOKUP(INDEX(PkPartyA,81),AcctTblA,4,0)="","(بدون نام)",VLOOKUP(INDEX(PkPartyA,81),AcctTblA,4,0)),"—"))</f>
        <v/>
      </c>
      <c r="C105" s="18">
        <f>IF($B105="","",IF(81&gt;NPartyA,"",INDEX(PkPartyA,81)))</f>
        <v/>
      </c>
      <c r="D105" s="17">
        <f>IF($B105="","","p")</f>
        <v/>
      </c>
      <c r="E105" s="19">
        <f>IF($B105="","",IF(81&gt;NPartyA,0,SUMIF(CalcDebit,INDEX(PkPartyA,81),CalcAmt)+SUMIF(CalcDebit2,INDEX(PkPartyA,81),CalcAmt2)+SUMIF(CalcDebit3,INDEX(PkPartyA,81),CalcAmt3)))</f>
        <v/>
      </c>
      <c r="F105" s="19">
        <f>IF($B105="","",IF(81&gt;NPartyA,0,SUMIF(CalcCredit,INDEX(PkPartyA,81),CalcAmt)+SUMIF(CalcCredit2,INDEX(PkPartyA,81),CalcAmt2)+SUMIF(CalcCredit3,INDEX(PkPartyA,81),CalcAmt3)))</f>
        <v/>
      </c>
      <c r="G105" s="20">
        <f>IF($B105="","",ROUND($E105-$F105,0))</f>
        <v/>
      </c>
      <c r="H105" s="17">
        <f>IF($B105="","",IF(ROUND($G105,0)&gt;0,"بدهکار",IF(ROUND($G105,0)&lt;0,"بستانکار","تسویه")))</f>
        <v/>
      </c>
    </row>
    <row r="106">
      <c r="A106" s="11">
        <f>IF($B106="","",97)</f>
        <v/>
      </c>
      <c r="B106" s="12">
        <f>IF(82&gt;NPartyA,"",IFERROR(IF(VLOOKUP(INDEX(PkPartyA,82),AcctTblA,4,0)="","(بدون نام)",VLOOKUP(INDEX(PkPartyA,82),AcctTblA,4,0)),"—"))</f>
        <v/>
      </c>
      <c r="C106" s="13">
        <f>IF($B106="","",IF(82&gt;NPartyA,"",INDEX(PkPartyA,82)))</f>
        <v/>
      </c>
      <c r="D106" s="12">
        <f>IF($B106="","","p")</f>
        <v/>
      </c>
      <c r="E106" s="14">
        <f>IF($B106="","",IF(82&gt;NPartyA,0,SUMIF(CalcDebit,INDEX(PkPartyA,82),CalcAmt)+SUMIF(CalcDebit2,INDEX(PkPartyA,82),CalcAmt2)+SUMIF(CalcDebit3,INDEX(PkPartyA,82),CalcAmt3)))</f>
        <v/>
      </c>
      <c r="F106" s="14">
        <f>IF($B106="","",IF(82&gt;NPartyA,0,SUMIF(CalcCredit,INDEX(PkPartyA,82),CalcAmt)+SUMIF(CalcCredit2,INDEX(PkPartyA,82),CalcAmt2)+SUMIF(CalcCredit3,INDEX(PkPartyA,82),CalcAmt3)))</f>
        <v/>
      </c>
      <c r="G106" s="15">
        <f>IF($B106="","",ROUND($E106-$F106,0))</f>
        <v/>
      </c>
      <c r="H106" s="12">
        <f>IF($B106="","",IF(ROUND($G106,0)&gt;0,"بدهکار",IF(ROUND($G106,0)&lt;0,"بستانکار","تسویه")))</f>
        <v/>
      </c>
    </row>
    <row r="107">
      <c r="A107" s="16">
        <f>IF($B107="","",98)</f>
        <v/>
      </c>
      <c r="B107" s="17">
        <f>IF(83&gt;NPartyA,"",IFERROR(IF(VLOOKUP(INDEX(PkPartyA,83),AcctTblA,4,0)="","(بدون نام)",VLOOKUP(INDEX(PkPartyA,83),AcctTblA,4,0)),"—"))</f>
        <v/>
      </c>
      <c r="C107" s="18">
        <f>IF($B107="","",IF(83&gt;NPartyA,"",INDEX(PkPartyA,83)))</f>
        <v/>
      </c>
      <c r="D107" s="17">
        <f>IF($B107="","","p")</f>
        <v/>
      </c>
      <c r="E107" s="19">
        <f>IF($B107="","",IF(83&gt;NPartyA,0,SUMIF(CalcDebit,INDEX(PkPartyA,83),CalcAmt)+SUMIF(CalcDebit2,INDEX(PkPartyA,83),CalcAmt2)+SUMIF(CalcDebit3,INDEX(PkPartyA,83),CalcAmt3)))</f>
        <v/>
      </c>
      <c r="F107" s="19">
        <f>IF($B107="","",IF(83&gt;NPartyA,0,SUMIF(CalcCredit,INDEX(PkPartyA,83),CalcAmt)+SUMIF(CalcCredit2,INDEX(PkPartyA,83),CalcAmt2)+SUMIF(CalcCredit3,INDEX(PkPartyA,83),CalcAmt3)))</f>
        <v/>
      </c>
      <c r="G107" s="20">
        <f>IF($B107="","",ROUND($E107-$F107,0))</f>
        <v/>
      </c>
      <c r="H107" s="17">
        <f>IF($B107="","",IF(ROUND($G107,0)&gt;0,"بدهکار",IF(ROUND($G107,0)&lt;0,"بستانکار","تسویه")))</f>
        <v/>
      </c>
    </row>
    <row r="108">
      <c r="A108" s="11">
        <f>IF($B108="","",99)</f>
        <v/>
      </c>
      <c r="B108" s="12">
        <f>IF(84&gt;NPartyA,"",IFERROR(IF(VLOOKUP(INDEX(PkPartyA,84),AcctTblA,4,0)="","(بدون نام)",VLOOKUP(INDEX(PkPartyA,84),AcctTblA,4,0)),"—"))</f>
        <v/>
      </c>
      <c r="C108" s="13">
        <f>IF($B108="","",IF(84&gt;NPartyA,"",INDEX(PkPartyA,84)))</f>
        <v/>
      </c>
      <c r="D108" s="12">
        <f>IF($B108="","","p")</f>
        <v/>
      </c>
      <c r="E108" s="14">
        <f>IF($B108="","",IF(84&gt;NPartyA,0,SUMIF(CalcDebit,INDEX(PkPartyA,84),CalcAmt)+SUMIF(CalcDebit2,INDEX(PkPartyA,84),CalcAmt2)+SUMIF(CalcDebit3,INDEX(PkPartyA,84),CalcAmt3)))</f>
        <v/>
      </c>
      <c r="F108" s="14">
        <f>IF($B108="","",IF(84&gt;NPartyA,0,SUMIF(CalcCredit,INDEX(PkPartyA,84),CalcAmt)+SUMIF(CalcCredit2,INDEX(PkPartyA,84),CalcAmt2)+SUMIF(CalcCredit3,INDEX(PkPartyA,84),CalcAmt3)))</f>
        <v/>
      </c>
      <c r="G108" s="15">
        <f>IF($B108="","",ROUND($E108-$F108,0))</f>
        <v/>
      </c>
      <c r="H108" s="12">
        <f>IF($B108="","",IF(ROUND($G108,0)&gt;0,"بدهکار",IF(ROUND($G108,0)&lt;0,"بستانکار","تسویه")))</f>
        <v/>
      </c>
    </row>
    <row r="109">
      <c r="A109" s="16">
        <f>IF($B109="","",100)</f>
        <v/>
      </c>
      <c r="B109" s="17">
        <f>IF(85&gt;NPartyA,"",IFERROR(IF(VLOOKUP(INDEX(PkPartyA,85),AcctTblA,4,0)="","(بدون نام)",VLOOKUP(INDEX(PkPartyA,85),AcctTblA,4,0)),"—"))</f>
        <v/>
      </c>
      <c r="C109" s="18">
        <f>IF($B109="","",IF(85&gt;NPartyA,"",INDEX(PkPartyA,85)))</f>
        <v/>
      </c>
      <c r="D109" s="17">
        <f>IF($B109="","","p")</f>
        <v/>
      </c>
      <c r="E109" s="19">
        <f>IF($B109="","",IF(85&gt;NPartyA,0,SUMIF(CalcDebit,INDEX(PkPartyA,85),CalcAmt)+SUMIF(CalcDebit2,INDEX(PkPartyA,85),CalcAmt2)+SUMIF(CalcDebit3,INDEX(PkPartyA,85),CalcAmt3)))</f>
        <v/>
      </c>
      <c r="F109" s="19">
        <f>IF($B109="","",IF(85&gt;NPartyA,0,SUMIF(CalcCredit,INDEX(PkPartyA,85),CalcAmt)+SUMIF(CalcCredit2,INDEX(PkPartyA,85),CalcAmt2)+SUMIF(CalcCredit3,INDEX(PkPartyA,85),CalcAmt3)))</f>
        <v/>
      </c>
      <c r="G109" s="20">
        <f>IF($B109="","",ROUND($E109-$F109,0))</f>
        <v/>
      </c>
      <c r="H109" s="17">
        <f>IF($B109="","",IF(ROUND($G109,0)&gt;0,"بدهکار",IF(ROUND($G109,0)&lt;0,"بستانکار","تسویه")))</f>
        <v/>
      </c>
    </row>
    <row r="110">
      <c r="A110" s="11">
        <f>IF($B110="","",101)</f>
        <v/>
      </c>
      <c r="B110" s="12">
        <f>IF(86&gt;NPartyA,"",IFERROR(IF(VLOOKUP(INDEX(PkPartyA,86),AcctTblA,4,0)="","(بدون نام)",VLOOKUP(INDEX(PkPartyA,86),AcctTblA,4,0)),"—"))</f>
        <v/>
      </c>
      <c r="C110" s="13">
        <f>IF($B110="","",IF(86&gt;NPartyA,"",INDEX(PkPartyA,86)))</f>
        <v/>
      </c>
      <c r="D110" s="12">
        <f>IF($B110="","","p")</f>
        <v/>
      </c>
      <c r="E110" s="14">
        <f>IF($B110="","",IF(86&gt;NPartyA,0,SUMIF(CalcDebit,INDEX(PkPartyA,86),CalcAmt)+SUMIF(CalcDebit2,INDEX(PkPartyA,86),CalcAmt2)+SUMIF(CalcDebit3,INDEX(PkPartyA,86),CalcAmt3)))</f>
        <v/>
      </c>
      <c r="F110" s="14">
        <f>IF($B110="","",IF(86&gt;NPartyA,0,SUMIF(CalcCredit,INDEX(PkPartyA,86),CalcAmt)+SUMIF(CalcCredit2,INDEX(PkPartyA,86),CalcAmt2)+SUMIF(CalcCredit3,INDEX(PkPartyA,86),CalcAmt3)))</f>
        <v/>
      </c>
      <c r="G110" s="15">
        <f>IF($B110="","",ROUND($E110-$F110,0))</f>
        <v/>
      </c>
      <c r="H110" s="12">
        <f>IF($B110="","",IF(ROUND($G110,0)&gt;0,"بدهکار",IF(ROUND($G110,0)&lt;0,"بستانکار","تسویه")))</f>
        <v/>
      </c>
    </row>
    <row r="111">
      <c r="A111" s="16">
        <f>IF($B111="","",102)</f>
        <v/>
      </c>
      <c r="B111" s="17">
        <f>IF(87&gt;NPartyA,"",IFERROR(IF(VLOOKUP(INDEX(PkPartyA,87),AcctTblA,4,0)="","(بدون نام)",VLOOKUP(INDEX(PkPartyA,87),AcctTblA,4,0)),"—"))</f>
        <v/>
      </c>
      <c r="C111" s="18">
        <f>IF($B111="","",IF(87&gt;NPartyA,"",INDEX(PkPartyA,87)))</f>
        <v/>
      </c>
      <c r="D111" s="17">
        <f>IF($B111="","","p")</f>
        <v/>
      </c>
      <c r="E111" s="19">
        <f>IF($B111="","",IF(87&gt;NPartyA,0,SUMIF(CalcDebit,INDEX(PkPartyA,87),CalcAmt)+SUMIF(CalcDebit2,INDEX(PkPartyA,87),CalcAmt2)+SUMIF(CalcDebit3,INDEX(PkPartyA,87),CalcAmt3)))</f>
        <v/>
      </c>
      <c r="F111" s="19">
        <f>IF($B111="","",IF(87&gt;NPartyA,0,SUMIF(CalcCredit,INDEX(PkPartyA,87),CalcAmt)+SUMIF(CalcCredit2,INDEX(PkPartyA,87),CalcAmt2)+SUMIF(CalcCredit3,INDEX(PkPartyA,87),CalcAmt3)))</f>
        <v/>
      </c>
      <c r="G111" s="20">
        <f>IF($B111="","",ROUND($E111-$F111,0))</f>
        <v/>
      </c>
      <c r="H111" s="17">
        <f>IF($B111="","",IF(ROUND($G111,0)&gt;0,"بدهکار",IF(ROUND($G111,0)&lt;0,"بستانکار","تسویه")))</f>
        <v/>
      </c>
    </row>
    <row r="112">
      <c r="A112" s="11">
        <f>IF($B112="","",103)</f>
        <v/>
      </c>
      <c r="B112" s="12">
        <f>IF(88&gt;NPartyA,"",IFERROR(IF(VLOOKUP(INDEX(PkPartyA,88),AcctTblA,4,0)="","(بدون نام)",VLOOKUP(INDEX(PkPartyA,88),AcctTblA,4,0)),"—"))</f>
        <v/>
      </c>
      <c r="C112" s="13">
        <f>IF($B112="","",IF(88&gt;NPartyA,"",INDEX(PkPartyA,88)))</f>
        <v/>
      </c>
      <c r="D112" s="12">
        <f>IF($B112="","","p")</f>
        <v/>
      </c>
      <c r="E112" s="14">
        <f>IF($B112="","",IF(88&gt;NPartyA,0,SUMIF(CalcDebit,INDEX(PkPartyA,88),CalcAmt)+SUMIF(CalcDebit2,INDEX(PkPartyA,88),CalcAmt2)+SUMIF(CalcDebit3,INDEX(PkPartyA,88),CalcAmt3)))</f>
        <v/>
      </c>
      <c r="F112" s="14">
        <f>IF($B112="","",IF(88&gt;NPartyA,0,SUMIF(CalcCredit,INDEX(PkPartyA,88),CalcAmt)+SUMIF(CalcCredit2,INDEX(PkPartyA,88),CalcAmt2)+SUMIF(CalcCredit3,INDEX(PkPartyA,88),CalcAmt3)))</f>
        <v/>
      </c>
      <c r="G112" s="15">
        <f>IF($B112="","",ROUND($E112-$F112,0))</f>
        <v/>
      </c>
      <c r="H112" s="12">
        <f>IF($B112="","",IF(ROUND($G112,0)&gt;0,"بدهکار",IF(ROUND($G112,0)&lt;0,"بستانکار","تسویه")))</f>
        <v/>
      </c>
    </row>
    <row r="113">
      <c r="A113" s="16">
        <f>IF($B113="","",104)</f>
        <v/>
      </c>
      <c r="B113" s="17">
        <f>IF(89&gt;NPartyA,"",IFERROR(IF(VLOOKUP(INDEX(PkPartyA,89),AcctTblA,4,0)="","(بدون نام)",VLOOKUP(INDEX(PkPartyA,89),AcctTblA,4,0)),"—"))</f>
        <v/>
      </c>
      <c r="C113" s="18">
        <f>IF($B113="","",IF(89&gt;NPartyA,"",INDEX(PkPartyA,89)))</f>
        <v/>
      </c>
      <c r="D113" s="17">
        <f>IF($B113="","","p")</f>
        <v/>
      </c>
      <c r="E113" s="19">
        <f>IF($B113="","",IF(89&gt;NPartyA,0,SUMIF(CalcDebit,INDEX(PkPartyA,89),CalcAmt)+SUMIF(CalcDebit2,INDEX(PkPartyA,89),CalcAmt2)+SUMIF(CalcDebit3,INDEX(PkPartyA,89),CalcAmt3)))</f>
        <v/>
      </c>
      <c r="F113" s="19">
        <f>IF($B113="","",IF(89&gt;NPartyA,0,SUMIF(CalcCredit,INDEX(PkPartyA,89),CalcAmt)+SUMIF(CalcCredit2,INDEX(PkPartyA,89),CalcAmt2)+SUMIF(CalcCredit3,INDEX(PkPartyA,89),CalcAmt3)))</f>
        <v/>
      </c>
      <c r="G113" s="20">
        <f>IF($B113="","",ROUND($E113-$F113,0))</f>
        <v/>
      </c>
      <c r="H113" s="17">
        <f>IF($B113="","",IF(ROUND($G113,0)&gt;0,"بدهکار",IF(ROUND($G113,0)&lt;0,"بستانکار","تسویه")))</f>
        <v/>
      </c>
    </row>
    <row r="114">
      <c r="A114" s="11">
        <f>IF($B114="","",105)</f>
        <v/>
      </c>
      <c r="B114" s="12">
        <f>IF(90&gt;NPartyA,"",IFERROR(IF(VLOOKUP(INDEX(PkPartyA,90),AcctTblA,4,0)="","(بدون نام)",VLOOKUP(INDEX(PkPartyA,90),AcctTblA,4,0)),"—"))</f>
        <v/>
      </c>
      <c r="C114" s="13">
        <f>IF($B114="","",IF(90&gt;NPartyA,"",INDEX(PkPartyA,90)))</f>
        <v/>
      </c>
      <c r="D114" s="12">
        <f>IF($B114="","","p")</f>
        <v/>
      </c>
      <c r="E114" s="14">
        <f>IF($B114="","",IF(90&gt;NPartyA,0,SUMIF(CalcDebit,INDEX(PkPartyA,90),CalcAmt)+SUMIF(CalcDebit2,INDEX(PkPartyA,90),CalcAmt2)+SUMIF(CalcDebit3,INDEX(PkPartyA,90),CalcAmt3)))</f>
        <v/>
      </c>
      <c r="F114" s="14">
        <f>IF($B114="","",IF(90&gt;NPartyA,0,SUMIF(CalcCredit,INDEX(PkPartyA,90),CalcAmt)+SUMIF(CalcCredit2,INDEX(PkPartyA,90),CalcAmt2)+SUMIF(CalcCredit3,INDEX(PkPartyA,90),CalcAmt3)))</f>
        <v/>
      </c>
      <c r="G114" s="15">
        <f>IF($B114="","",ROUND($E114-$F114,0))</f>
        <v/>
      </c>
      <c r="H114" s="12">
        <f>IF($B114="","",IF(ROUND($G114,0)&gt;0,"بدهکار",IF(ROUND($G114,0)&lt;0,"بستانکار","تسویه")))</f>
        <v/>
      </c>
    </row>
    <row r="115">
      <c r="A115" s="16">
        <f>IF($B115="","",106)</f>
        <v/>
      </c>
      <c r="B115" s="17">
        <f>IF(91&gt;NPartyA,"",IFERROR(IF(VLOOKUP(INDEX(PkPartyA,91),AcctTblA,4,0)="","(بدون نام)",VLOOKUP(INDEX(PkPartyA,91),AcctTblA,4,0)),"—"))</f>
        <v/>
      </c>
      <c r="C115" s="18">
        <f>IF($B115="","",IF(91&gt;NPartyA,"",INDEX(PkPartyA,91)))</f>
        <v/>
      </c>
      <c r="D115" s="17">
        <f>IF($B115="","","p")</f>
        <v/>
      </c>
      <c r="E115" s="19">
        <f>IF($B115="","",IF(91&gt;NPartyA,0,SUMIF(CalcDebit,INDEX(PkPartyA,91),CalcAmt)+SUMIF(CalcDebit2,INDEX(PkPartyA,91),CalcAmt2)+SUMIF(CalcDebit3,INDEX(PkPartyA,91),CalcAmt3)))</f>
        <v/>
      </c>
      <c r="F115" s="19">
        <f>IF($B115="","",IF(91&gt;NPartyA,0,SUMIF(CalcCredit,INDEX(PkPartyA,91),CalcAmt)+SUMIF(CalcCredit2,INDEX(PkPartyA,91),CalcAmt2)+SUMIF(CalcCredit3,INDEX(PkPartyA,91),CalcAmt3)))</f>
        <v/>
      </c>
      <c r="G115" s="20">
        <f>IF($B115="","",ROUND($E115-$F115,0))</f>
        <v/>
      </c>
      <c r="H115" s="17">
        <f>IF($B115="","",IF(ROUND($G115,0)&gt;0,"بدهکار",IF(ROUND($G115,0)&lt;0,"بستانکار","تسویه")))</f>
        <v/>
      </c>
    </row>
    <row r="116">
      <c r="A116" s="11">
        <f>IF($B116="","",107)</f>
        <v/>
      </c>
      <c r="B116" s="12">
        <f>IF(92&gt;NPartyA,"",IFERROR(IF(VLOOKUP(INDEX(PkPartyA,92),AcctTblA,4,0)="","(بدون نام)",VLOOKUP(INDEX(PkPartyA,92),AcctTblA,4,0)),"—"))</f>
        <v/>
      </c>
      <c r="C116" s="13">
        <f>IF($B116="","",IF(92&gt;NPartyA,"",INDEX(PkPartyA,92)))</f>
        <v/>
      </c>
      <c r="D116" s="12">
        <f>IF($B116="","","p")</f>
        <v/>
      </c>
      <c r="E116" s="14">
        <f>IF($B116="","",IF(92&gt;NPartyA,0,SUMIF(CalcDebit,INDEX(PkPartyA,92),CalcAmt)+SUMIF(CalcDebit2,INDEX(PkPartyA,92),CalcAmt2)+SUMIF(CalcDebit3,INDEX(PkPartyA,92),CalcAmt3)))</f>
        <v/>
      </c>
      <c r="F116" s="14">
        <f>IF($B116="","",IF(92&gt;NPartyA,0,SUMIF(CalcCredit,INDEX(PkPartyA,92),CalcAmt)+SUMIF(CalcCredit2,INDEX(PkPartyA,92),CalcAmt2)+SUMIF(CalcCredit3,INDEX(PkPartyA,92),CalcAmt3)))</f>
        <v/>
      </c>
      <c r="G116" s="15">
        <f>IF($B116="","",ROUND($E116-$F116,0))</f>
        <v/>
      </c>
      <c r="H116" s="12">
        <f>IF($B116="","",IF(ROUND($G116,0)&gt;0,"بدهکار",IF(ROUND($G116,0)&lt;0,"بستانکار","تسویه")))</f>
        <v/>
      </c>
    </row>
    <row r="117">
      <c r="A117" s="16">
        <f>IF($B117="","",108)</f>
        <v/>
      </c>
      <c r="B117" s="17">
        <f>IF(93&gt;NPartyA,"",IFERROR(IF(VLOOKUP(INDEX(PkPartyA,93),AcctTblA,4,0)="","(بدون نام)",VLOOKUP(INDEX(PkPartyA,93),AcctTblA,4,0)),"—"))</f>
        <v/>
      </c>
      <c r="C117" s="18">
        <f>IF($B117="","",IF(93&gt;NPartyA,"",INDEX(PkPartyA,93)))</f>
        <v/>
      </c>
      <c r="D117" s="17">
        <f>IF($B117="","","p")</f>
        <v/>
      </c>
      <c r="E117" s="19">
        <f>IF($B117="","",IF(93&gt;NPartyA,0,SUMIF(CalcDebit,INDEX(PkPartyA,93),CalcAmt)+SUMIF(CalcDebit2,INDEX(PkPartyA,93),CalcAmt2)+SUMIF(CalcDebit3,INDEX(PkPartyA,93),CalcAmt3)))</f>
        <v/>
      </c>
      <c r="F117" s="19">
        <f>IF($B117="","",IF(93&gt;NPartyA,0,SUMIF(CalcCredit,INDEX(PkPartyA,93),CalcAmt)+SUMIF(CalcCredit2,INDEX(PkPartyA,93),CalcAmt2)+SUMIF(CalcCredit3,INDEX(PkPartyA,93),CalcAmt3)))</f>
        <v/>
      </c>
      <c r="G117" s="20">
        <f>IF($B117="","",ROUND($E117-$F117,0))</f>
        <v/>
      </c>
      <c r="H117" s="17">
        <f>IF($B117="","",IF(ROUND($G117,0)&gt;0,"بدهکار",IF(ROUND($G117,0)&lt;0,"بستانکار","تسویه")))</f>
        <v/>
      </c>
    </row>
    <row r="118">
      <c r="A118" s="11">
        <f>IF($B118="","",109)</f>
        <v/>
      </c>
      <c r="B118" s="12">
        <f>IF(94&gt;NPartyA,"",IFERROR(IF(VLOOKUP(INDEX(PkPartyA,94),AcctTblA,4,0)="","(بدون نام)",VLOOKUP(INDEX(PkPartyA,94),AcctTblA,4,0)),"—"))</f>
        <v/>
      </c>
      <c r="C118" s="13">
        <f>IF($B118="","",IF(94&gt;NPartyA,"",INDEX(PkPartyA,94)))</f>
        <v/>
      </c>
      <c r="D118" s="12">
        <f>IF($B118="","","p")</f>
        <v/>
      </c>
      <c r="E118" s="14">
        <f>IF($B118="","",IF(94&gt;NPartyA,0,SUMIF(CalcDebit,INDEX(PkPartyA,94),CalcAmt)+SUMIF(CalcDebit2,INDEX(PkPartyA,94),CalcAmt2)+SUMIF(CalcDebit3,INDEX(PkPartyA,94),CalcAmt3)))</f>
        <v/>
      </c>
      <c r="F118" s="14">
        <f>IF($B118="","",IF(94&gt;NPartyA,0,SUMIF(CalcCredit,INDEX(PkPartyA,94),CalcAmt)+SUMIF(CalcCredit2,INDEX(PkPartyA,94),CalcAmt2)+SUMIF(CalcCredit3,INDEX(PkPartyA,94),CalcAmt3)))</f>
        <v/>
      </c>
      <c r="G118" s="15">
        <f>IF($B118="","",ROUND($E118-$F118,0))</f>
        <v/>
      </c>
      <c r="H118" s="12">
        <f>IF($B118="","",IF(ROUND($G118,0)&gt;0,"بدهکار",IF(ROUND($G118,0)&lt;0,"بستانکار","تسویه")))</f>
        <v/>
      </c>
    </row>
    <row r="119">
      <c r="A119" s="16">
        <f>IF($B119="","",110)</f>
        <v/>
      </c>
      <c r="B119" s="17">
        <f>IF(95&gt;NPartyA,"",IFERROR(IF(VLOOKUP(INDEX(PkPartyA,95),AcctTblA,4,0)="","(بدون نام)",VLOOKUP(INDEX(PkPartyA,95),AcctTblA,4,0)),"—"))</f>
        <v/>
      </c>
      <c r="C119" s="18">
        <f>IF($B119="","",IF(95&gt;NPartyA,"",INDEX(PkPartyA,95)))</f>
        <v/>
      </c>
      <c r="D119" s="17">
        <f>IF($B119="","","p")</f>
        <v/>
      </c>
      <c r="E119" s="19">
        <f>IF($B119="","",IF(95&gt;NPartyA,0,SUMIF(CalcDebit,INDEX(PkPartyA,95),CalcAmt)+SUMIF(CalcDebit2,INDEX(PkPartyA,95),CalcAmt2)+SUMIF(CalcDebit3,INDEX(PkPartyA,95),CalcAmt3)))</f>
        <v/>
      </c>
      <c r="F119" s="19">
        <f>IF($B119="","",IF(95&gt;NPartyA,0,SUMIF(CalcCredit,INDEX(PkPartyA,95),CalcAmt)+SUMIF(CalcCredit2,INDEX(PkPartyA,95),CalcAmt2)+SUMIF(CalcCredit3,INDEX(PkPartyA,95),CalcAmt3)))</f>
        <v/>
      </c>
      <c r="G119" s="20">
        <f>IF($B119="","",ROUND($E119-$F119,0))</f>
        <v/>
      </c>
      <c r="H119" s="17">
        <f>IF($B119="","",IF(ROUND($G119,0)&gt;0,"بدهکار",IF(ROUND($G119,0)&lt;0,"بستانکار","تسویه")))</f>
        <v/>
      </c>
    </row>
    <row r="120">
      <c r="A120" s="11">
        <f>IF($B120="","",111)</f>
        <v/>
      </c>
      <c r="B120" s="12">
        <f>IF(96&gt;NPartyA,"",IFERROR(IF(VLOOKUP(INDEX(PkPartyA,96),AcctTblA,4,0)="","(بدون نام)",VLOOKUP(INDEX(PkPartyA,96),AcctTblA,4,0)),"—"))</f>
        <v/>
      </c>
      <c r="C120" s="13">
        <f>IF($B120="","",IF(96&gt;NPartyA,"",INDEX(PkPartyA,96)))</f>
        <v/>
      </c>
      <c r="D120" s="12">
        <f>IF($B120="","","p")</f>
        <v/>
      </c>
      <c r="E120" s="14">
        <f>IF($B120="","",IF(96&gt;NPartyA,0,SUMIF(CalcDebit,INDEX(PkPartyA,96),CalcAmt)+SUMIF(CalcDebit2,INDEX(PkPartyA,96),CalcAmt2)+SUMIF(CalcDebit3,INDEX(PkPartyA,96),CalcAmt3)))</f>
        <v/>
      </c>
      <c r="F120" s="14">
        <f>IF($B120="","",IF(96&gt;NPartyA,0,SUMIF(CalcCredit,INDEX(PkPartyA,96),CalcAmt)+SUMIF(CalcCredit2,INDEX(PkPartyA,96),CalcAmt2)+SUMIF(CalcCredit3,INDEX(PkPartyA,96),CalcAmt3)))</f>
        <v/>
      </c>
      <c r="G120" s="15">
        <f>IF($B120="","",ROUND($E120-$F120,0))</f>
        <v/>
      </c>
      <c r="H120" s="12">
        <f>IF($B120="","",IF(ROUND($G120,0)&gt;0,"بدهکار",IF(ROUND($G120,0)&lt;0,"بستانکار","تسویه")))</f>
        <v/>
      </c>
    </row>
    <row r="121">
      <c r="A121" s="16">
        <f>IF($B121="","",112)</f>
        <v/>
      </c>
      <c r="B121" s="17">
        <f>IF(97&gt;NPartyA,"",IFERROR(IF(VLOOKUP(INDEX(PkPartyA,97),AcctTblA,4,0)="","(بدون نام)",VLOOKUP(INDEX(PkPartyA,97),AcctTblA,4,0)),"—"))</f>
        <v/>
      </c>
      <c r="C121" s="18">
        <f>IF($B121="","",IF(97&gt;NPartyA,"",INDEX(PkPartyA,97)))</f>
        <v/>
      </c>
      <c r="D121" s="17">
        <f>IF($B121="","","p")</f>
        <v/>
      </c>
      <c r="E121" s="19">
        <f>IF($B121="","",IF(97&gt;NPartyA,0,SUMIF(CalcDebit,INDEX(PkPartyA,97),CalcAmt)+SUMIF(CalcDebit2,INDEX(PkPartyA,97),CalcAmt2)+SUMIF(CalcDebit3,INDEX(PkPartyA,97),CalcAmt3)))</f>
        <v/>
      </c>
      <c r="F121" s="19">
        <f>IF($B121="","",IF(97&gt;NPartyA,0,SUMIF(CalcCredit,INDEX(PkPartyA,97),CalcAmt)+SUMIF(CalcCredit2,INDEX(PkPartyA,97),CalcAmt2)+SUMIF(CalcCredit3,INDEX(PkPartyA,97),CalcAmt3)))</f>
        <v/>
      </c>
      <c r="G121" s="20">
        <f>IF($B121="","",ROUND($E121-$F121,0))</f>
        <v/>
      </c>
      <c r="H121" s="17">
        <f>IF($B121="","",IF(ROUND($G121,0)&gt;0,"بدهکار",IF(ROUND($G121,0)&lt;0,"بستانکار","تسویه")))</f>
        <v/>
      </c>
    </row>
    <row r="122">
      <c r="A122" s="11">
        <f>IF($B122="","",113)</f>
        <v/>
      </c>
      <c r="B122" s="12">
        <f>IF(98&gt;NPartyA,"",IFERROR(IF(VLOOKUP(INDEX(PkPartyA,98),AcctTblA,4,0)="","(بدون نام)",VLOOKUP(INDEX(PkPartyA,98),AcctTblA,4,0)),"—"))</f>
        <v/>
      </c>
      <c r="C122" s="13">
        <f>IF($B122="","",IF(98&gt;NPartyA,"",INDEX(PkPartyA,98)))</f>
        <v/>
      </c>
      <c r="D122" s="12">
        <f>IF($B122="","","p")</f>
        <v/>
      </c>
      <c r="E122" s="14">
        <f>IF($B122="","",IF(98&gt;NPartyA,0,SUMIF(CalcDebit,INDEX(PkPartyA,98),CalcAmt)+SUMIF(CalcDebit2,INDEX(PkPartyA,98),CalcAmt2)+SUMIF(CalcDebit3,INDEX(PkPartyA,98),CalcAmt3)))</f>
        <v/>
      </c>
      <c r="F122" s="14">
        <f>IF($B122="","",IF(98&gt;NPartyA,0,SUMIF(CalcCredit,INDEX(PkPartyA,98),CalcAmt)+SUMIF(CalcCredit2,INDEX(PkPartyA,98),CalcAmt2)+SUMIF(CalcCredit3,INDEX(PkPartyA,98),CalcAmt3)))</f>
        <v/>
      </c>
      <c r="G122" s="15">
        <f>IF($B122="","",ROUND($E122-$F122,0))</f>
        <v/>
      </c>
      <c r="H122" s="12">
        <f>IF($B122="","",IF(ROUND($G122,0)&gt;0,"بدهکار",IF(ROUND($G122,0)&lt;0,"بستانکار","تسویه")))</f>
        <v/>
      </c>
    </row>
    <row r="123">
      <c r="A123" s="16">
        <f>IF($B123="","",114)</f>
        <v/>
      </c>
      <c r="B123" s="17">
        <f>IF(99&gt;NPartyA,"",IFERROR(IF(VLOOKUP(INDEX(PkPartyA,99),AcctTblA,4,0)="","(بدون نام)",VLOOKUP(INDEX(PkPartyA,99),AcctTblA,4,0)),"—"))</f>
        <v/>
      </c>
      <c r="C123" s="18">
        <f>IF($B123="","",IF(99&gt;NPartyA,"",INDEX(PkPartyA,99)))</f>
        <v/>
      </c>
      <c r="D123" s="17">
        <f>IF($B123="","","p")</f>
        <v/>
      </c>
      <c r="E123" s="19">
        <f>IF($B123="","",IF(99&gt;NPartyA,0,SUMIF(CalcDebit,INDEX(PkPartyA,99),CalcAmt)+SUMIF(CalcDebit2,INDEX(PkPartyA,99),CalcAmt2)+SUMIF(CalcDebit3,INDEX(PkPartyA,99),CalcAmt3)))</f>
        <v/>
      </c>
      <c r="F123" s="19">
        <f>IF($B123="","",IF(99&gt;NPartyA,0,SUMIF(CalcCredit,INDEX(PkPartyA,99),CalcAmt)+SUMIF(CalcCredit2,INDEX(PkPartyA,99),CalcAmt2)+SUMIF(CalcCredit3,INDEX(PkPartyA,99),CalcAmt3)))</f>
        <v/>
      </c>
      <c r="G123" s="20">
        <f>IF($B123="","",ROUND($E123-$F123,0))</f>
        <v/>
      </c>
      <c r="H123" s="17">
        <f>IF($B123="","",IF(ROUND($G123,0)&gt;0,"بدهکار",IF(ROUND($G123,0)&lt;0,"بستانکار","تسویه")))</f>
        <v/>
      </c>
    </row>
    <row r="124">
      <c r="A124" s="11">
        <f>IF($B124="","",115)</f>
        <v/>
      </c>
      <c r="B124" s="12">
        <f>IF(100&gt;NPartyA,"",IFERROR(IF(VLOOKUP(INDEX(PkPartyA,100),AcctTblA,4,0)="","(بدون نام)",VLOOKUP(INDEX(PkPartyA,100),AcctTblA,4,0)),"—"))</f>
        <v/>
      </c>
      <c r="C124" s="13">
        <f>IF($B124="","",IF(100&gt;NPartyA,"",INDEX(PkPartyA,100)))</f>
        <v/>
      </c>
      <c r="D124" s="12">
        <f>IF($B124="","","p")</f>
        <v/>
      </c>
      <c r="E124" s="14">
        <f>IF($B124="","",IF(100&gt;NPartyA,0,SUMIF(CalcDebit,INDEX(PkPartyA,100),CalcAmt)+SUMIF(CalcDebit2,INDEX(PkPartyA,100),CalcAmt2)+SUMIF(CalcDebit3,INDEX(PkPartyA,100),CalcAmt3)))</f>
        <v/>
      </c>
      <c r="F124" s="14">
        <f>IF($B124="","",IF(100&gt;NPartyA,0,SUMIF(CalcCredit,INDEX(PkPartyA,100),CalcAmt)+SUMIF(CalcCredit2,INDEX(PkPartyA,100),CalcAmt2)+SUMIF(CalcCredit3,INDEX(PkPartyA,100),CalcAmt3)))</f>
        <v/>
      </c>
      <c r="G124" s="15">
        <f>IF($B124="","",ROUND($E124-$F124,0))</f>
        <v/>
      </c>
      <c r="H124" s="12">
        <f>IF($B124="","",IF(ROUND($G124,0)&gt;0,"بدهکار",IF(ROUND($G124,0)&lt;0,"بستانکار","تسویه")))</f>
        <v/>
      </c>
    </row>
    <row r="125">
      <c r="A125" s="16">
        <f>IF($B125="","",116)</f>
        <v/>
      </c>
      <c r="B125" s="17">
        <f>IF(101&gt;NPartyA,"",IFERROR(IF(VLOOKUP(INDEX(PkPartyA,101),AcctTblA,4,0)="","(بدون نام)",VLOOKUP(INDEX(PkPartyA,101),AcctTblA,4,0)),"—"))</f>
        <v/>
      </c>
      <c r="C125" s="18">
        <f>IF($B125="","",IF(101&gt;NPartyA,"",INDEX(PkPartyA,101)))</f>
        <v/>
      </c>
      <c r="D125" s="17">
        <f>IF($B125="","","p")</f>
        <v/>
      </c>
      <c r="E125" s="19">
        <f>IF($B125="","",IF(101&gt;NPartyA,0,SUMIF(CalcDebit,INDEX(PkPartyA,101),CalcAmt)+SUMIF(CalcDebit2,INDEX(PkPartyA,101),CalcAmt2)+SUMIF(CalcDebit3,INDEX(PkPartyA,101),CalcAmt3)))</f>
        <v/>
      </c>
      <c r="F125" s="19">
        <f>IF($B125="","",IF(101&gt;NPartyA,0,SUMIF(CalcCredit,INDEX(PkPartyA,101),CalcAmt)+SUMIF(CalcCredit2,INDEX(PkPartyA,101),CalcAmt2)+SUMIF(CalcCredit3,INDEX(PkPartyA,101),CalcAmt3)))</f>
        <v/>
      </c>
      <c r="G125" s="20">
        <f>IF($B125="","",ROUND($E125-$F125,0))</f>
        <v/>
      </c>
      <c r="H125" s="17">
        <f>IF($B125="","",IF(ROUND($G125,0)&gt;0,"بدهکار",IF(ROUND($G125,0)&lt;0,"بستانکار","تسویه")))</f>
        <v/>
      </c>
    </row>
    <row r="126">
      <c r="A126" s="11">
        <f>IF($B126="","",117)</f>
        <v/>
      </c>
      <c r="B126" s="12">
        <f>IF(102&gt;NPartyA,"",IFERROR(IF(VLOOKUP(INDEX(PkPartyA,102),AcctTblA,4,0)="","(بدون نام)",VLOOKUP(INDEX(PkPartyA,102),AcctTblA,4,0)),"—"))</f>
        <v/>
      </c>
      <c r="C126" s="13">
        <f>IF($B126="","",IF(102&gt;NPartyA,"",INDEX(PkPartyA,102)))</f>
        <v/>
      </c>
      <c r="D126" s="12">
        <f>IF($B126="","","p")</f>
        <v/>
      </c>
      <c r="E126" s="14">
        <f>IF($B126="","",IF(102&gt;NPartyA,0,SUMIF(CalcDebit,INDEX(PkPartyA,102),CalcAmt)+SUMIF(CalcDebit2,INDEX(PkPartyA,102),CalcAmt2)+SUMIF(CalcDebit3,INDEX(PkPartyA,102),CalcAmt3)))</f>
        <v/>
      </c>
      <c r="F126" s="14">
        <f>IF($B126="","",IF(102&gt;NPartyA,0,SUMIF(CalcCredit,INDEX(PkPartyA,102),CalcAmt)+SUMIF(CalcCredit2,INDEX(PkPartyA,102),CalcAmt2)+SUMIF(CalcCredit3,INDEX(PkPartyA,102),CalcAmt3)))</f>
        <v/>
      </c>
      <c r="G126" s="15">
        <f>IF($B126="","",ROUND($E126-$F126,0))</f>
        <v/>
      </c>
      <c r="H126" s="12">
        <f>IF($B126="","",IF(ROUND($G126,0)&gt;0,"بدهکار",IF(ROUND($G126,0)&lt;0,"بستانکار","تسویه")))</f>
        <v/>
      </c>
    </row>
    <row r="127">
      <c r="A127" s="16">
        <f>IF($B127="","",118)</f>
        <v/>
      </c>
      <c r="B127" s="17">
        <f>IF(103&gt;NPartyA,"",IFERROR(IF(VLOOKUP(INDEX(PkPartyA,103),AcctTblA,4,0)="","(بدون نام)",VLOOKUP(INDEX(PkPartyA,103),AcctTblA,4,0)),"—"))</f>
        <v/>
      </c>
      <c r="C127" s="18">
        <f>IF($B127="","",IF(103&gt;NPartyA,"",INDEX(PkPartyA,103)))</f>
        <v/>
      </c>
      <c r="D127" s="17">
        <f>IF($B127="","","p")</f>
        <v/>
      </c>
      <c r="E127" s="19">
        <f>IF($B127="","",IF(103&gt;NPartyA,0,SUMIF(CalcDebit,INDEX(PkPartyA,103),CalcAmt)+SUMIF(CalcDebit2,INDEX(PkPartyA,103),CalcAmt2)+SUMIF(CalcDebit3,INDEX(PkPartyA,103),CalcAmt3)))</f>
        <v/>
      </c>
      <c r="F127" s="19">
        <f>IF($B127="","",IF(103&gt;NPartyA,0,SUMIF(CalcCredit,INDEX(PkPartyA,103),CalcAmt)+SUMIF(CalcCredit2,INDEX(PkPartyA,103),CalcAmt2)+SUMIF(CalcCredit3,INDEX(PkPartyA,103),CalcAmt3)))</f>
        <v/>
      </c>
      <c r="G127" s="20">
        <f>IF($B127="","",ROUND($E127-$F127,0))</f>
        <v/>
      </c>
      <c r="H127" s="17">
        <f>IF($B127="","",IF(ROUND($G127,0)&gt;0,"بدهکار",IF(ROUND($G127,0)&lt;0,"بستانکار","تسویه")))</f>
        <v/>
      </c>
    </row>
    <row r="128">
      <c r="A128" s="11">
        <f>IF($B128="","",119)</f>
        <v/>
      </c>
      <c r="B128" s="12">
        <f>IF(104&gt;NPartyA,"",IFERROR(IF(VLOOKUP(INDEX(PkPartyA,104),AcctTblA,4,0)="","(بدون نام)",VLOOKUP(INDEX(PkPartyA,104),AcctTblA,4,0)),"—"))</f>
        <v/>
      </c>
      <c r="C128" s="13">
        <f>IF($B128="","",IF(104&gt;NPartyA,"",INDEX(PkPartyA,104)))</f>
        <v/>
      </c>
      <c r="D128" s="12">
        <f>IF($B128="","","p")</f>
        <v/>
      </c>
      <c r="E128" s="14">
        <f>IF($B128="","",IF(104&gt;NPartyA,0,SUMIF(CalcDebit,INDEX(PkPartyA,104),CalcAmt)+SUMIF(CalcDebit2,INDEX(PkPartyA,104),CalcAmt2)+SUMIF(CalcDebit3,INDEX(PkPartyA,104),CalcAmt3)))</f>
        <v/>
      </c>
      <c r="F128" s="14">
        <f>IF($B128="","",IF(104&gt;NPartyA,0,SUMIF(CalcCredit,INDEX(PkPartyA,104),CalcAmt)+SUMIF(CalcCredit2,INDEX(PkPartyA,104),CalcAmt2)+SUMIF(CalcCredit3,INDEX(PkPartyA,104),CalcAmt3)))</f>
        <v/>
      </c>
      <c r="G128" s="15">
        <f>IF($B128="","",ROUND($E128-$F128,0))</f>
        <v/>
      </c>
      <c r="H128" s="12">
        <f>IF($B128="","",IF(ROUND($G128,0)&gt;0,"بدهکار",IF(ROUND($G128,0)&lt;0,"بستانکار","تسویه")))</f>
        <v/>
      </c>
    </row>
    <row r="129">
      <c r="A129" s="16">
        <f>IF($B129="","",120)</f>
        <v/>
      </c>
      <c r="B129" s="17">
        <f>IF(105&gt;NPartyA,"",IFERROR(IF(VLOOKUP(INDEX(PkPartyA,105),AcctTblA,4,0)="","(بدون نام)",VLOOKUP(INDEX(PkPartyA,105),AcctTblA,4,0)),"—"))</f>
        <v/>
      </c>
      <c r="C129" s="18">
        <f>IF($B129="","",IF(105&gt;NPartyA,"",INDEX(PkPartyA,105)))</f>
        <v/>
      </c>
      <c r="D129" s="17">
        <f>IF($B129="","","p")</f>
        <v/>
      </c>
      <c r="E129" s="19">
        <f>IF($B129="","",IF(105&gt;NPartyA,0,SUMIF(CalcDebit,INDEX(PkPartyA,105),CalcAmt)+SUMIF(CalcDebit2,INDEX(PkPartyA,105),CalcAmt2)+SUMIF(CalcDebit3,INDEX(PkPartyA,105),CalcAmt3)))</f>
        <v/>
      </c>
      <c r="F129" s="19">
        <f>IF($B129="","",IF(105&gt;NPartyA,0,SUMIF(CalcCredit,INDEX(PkPartyA,105),CalcAmt)+SUMIF(CalcCredit2,INDEX(PkPartyA,105),CalcAmt2)+SUMIF(CalcCredit3,INDEX(PkPartyA,105),CalcAmt3)))</f>
        <v/>
      </c>
      <c r="G129" s="20">
        <f>IF($B129="","",ROUND($E129-$F129,0))</f>
        <v/>
      </c>
      <c r="H129" s="17">
        <f>IF($B129="","",IF(ROUND($G129,0)&gt;0,"بدهکار",IF(ROUND($G129,0)&lt;0,"بستانکار","تسویه")))</f>
        <v/>
      </c>
    </row>
    <row r="130">
      <c r="A130" s="11">
        <f>IF($B130="","",121)</f>
        <v/>
      </c>
      <c r="B130" s="12">
        <f>IF(106&gt;NPartyA,"",IFERROR(IF(VLOOKUP(INDEX(PkPartyA,106),AcctTblA,4,0)="","(بدون نام)",VLOOKUP(INDEX(PkPartyA,106),AcctTblA,4,0)),"—"))</f>
        <v/>
      </c>
      <c r="C130" s="13">
        <f>IF($B130="","",IF(106&gt;NPartyA,"",INDEX(PkPartyA,106)))</f>
        <v/>
      </c>
      <c r="D130" s="12">
        <f>IF($B130="","","p")</f>
        <v/>
      </c>
      <c r="E130" s="14">
        <f>IF($B130="","",IF(106&gt;NPartyA,0,SUMIF(CalcDebit,INDEX(PkPartyA,106),CalcAmt)+SUMIF(CalcDebit2,INDEX(PkPartyA,106),CalcAmt2)+SUMIF(CalcDebit3,INDEX(PkPartyA,106),CalcAmt3)))</f>
        <v/>
      </c>
      <c r="F130" s="14">
        <f>IF($B130="","",IF(106&gt;NPartyA,0,SUMIF(CalcCredit,INDEX(PkPartyA,106),CalcAmt)+SUMIF(CalcCredit2,INDEX(PkPartyA,106),CalcAmt2)+SUMIF(CalcCredit3,INDEX(PkPartyA,106),CalcAmt3)))</f>
        <v/>
      </c>
      <c r="G130" s="15">
        <f>IF($B130="","",ROUND($E130-$F130,0))</f>
        <v/>
      </c>
      <c r="H130" s="12">
        <f>IF($B130="","",IF(ROUND($G130,0)&gt;0,"بدهکار",IF(ROUND($G130,0)&lt;0,"بستانکار","تسویه")))</f>
        <v/>
      </c>
    </row>
    <row r="131">
      <c r="A131" s="16">
        <f>IF($B131="","",122)</f>
        <v/>
      </c>
      <c r="B131" s="17">
        <f>IF(107&gt;NPartyA,"",IFERROR(IF(VLOOKUP(INDEX(PkPartyA,107),AcctTblA,4,0)="","(بدون نام)",VLOOKUP(INDEX(PkPartyA,107),AcctTblA,4,0)),"—"))</f>
        <v/>
      </c>
      <c r="C131" s="18">
        <f>IF($B131="","",IF(107&gt;NPartyA,"",INDEX(PkPartyA,107)))</f>
        <v/>
      </c>
      <c r="D131" s="17">
        <f>IF($B131="","","p")</f>
        <v/>
      </c>
      <c r="E131" s="19">
        <f>IF($B131="","",IF(107&gt;NPartyA,0,SUMIF(CalcDebit,INDEX(PkPartyA,107),CalcAmt)+SUMIF(CalcDebit2,INDEX(PkPartyA,107),CalcAmt2)+SUMIF(CalcDebit3,INDEX(PkPartyA,107),CalcAmt3)))</f>
        <v/>
      </c>
      <c r="F131" s="19">
        <f>IF($B131="","",IF(107&gt;NPartyA,0,SUMIF(CalcCredit,INDEX(PkPartyA,107),CalcAmt)+SUMIF(CalcCredit2,INDEX(PkPartyA,107),CalcAmt2)+SUMIF(CalcCredit3,INDEX(PkPartyA,107),CalcAmt3)))</f>
        <v/>
      </c>
      <c r="G131" s="20">
        <f>IF($B131="","",ROUND($E131-$F131,0))</f>
        <v/>
      </c>
      <c r="H131" s="17">
        <f>IF($B131="","",IF(ROUND($G131,0)&gt;0,"بدهکار",IF(ROUND($G131,0)&lt;0,"بستانکار","تسویه")))</f>
        <v/>
      </c>
    </row>
    <row r="132">
      <c r="A132" s="11">
        <f>IF($B132="","",123)</f>
        <v/>
      </c>
      <c r="B132" s="12">
        <f>IF(108&gt;NPartyA,"",IFERROR(IF(VLOOKUP(INDEX(PkPartyA,108),AcctTblA,4,0)="","(بدون نام)",VLOOKUP(INDEX(PkPartyA,108),AcctTblA,4,0)),"—"))</f>
        <v/>
      </c>
      <c r="C132" s="13">
        <f>IF($B132="","",IF(108&gt;NPartyA,"",INDEX(PkPartyA,108)))</f>
        <v/>
      </c>
      <c r="D132" s="12">
        <f>IF($B132="","","p")</f>
        <v/>
      </c>
      <c r="E132" s="14">
        <f>IF($B132="","",IF(108&gt;NPartyA,0,SUMIF(CalcDebit,INDEX(PkPartyA,108),CalcAmt)+SUMIF(CalcDebit2,INDEX(PkPartyA,108),CalcAmt2)+SUMIF(CalcDebit3,INDEX(PkPartyA,108),CalcAmt3)))</f>
        <v/>
      </c>
      <c r="F132" s="14">
        <f>IF($B132="","",IF(108&gt;NPartyA,0,SUMIF(CalcCredit,INDEX(PkPartyA,108),CalcAmt)+SUMIF(CalcCredit2,INDEX(PkPartyA,108),CalcAmt2)+SUMIF(CalcCredit3,INDEX(PkPartyA,108),CalcAmt3)))</f>
        <v/>
      </c>
      <c r="G132" s="15">
        <f>IF($B132="","",ROUND($E132-$F132,0))</f>
        <v/>
      </c>
      <c r="H132" s="12">
        <f>IF($B132="","",IF(ROUND($G132,0)&gt;0,"بدهکار",IF(ROUND($G132,0)&lt;0,"بستانکار","تسویه")))</f>
        <v/>
      </c>
    </row>
    <row r="133">
      <c r="A133" s="16">
        <f>IF($B133="","",124)</f>
        <v/>
      </c>
      <c r="B133" s="17">
        <f>IF(109&gt;NPartyA,"",IFERROR(IF(VLOOKUP(INDEX(PkPartyA,109),AcctTblA,4,0)="","(بدون نام)",VLOOKUP(INDEX(PkPartyA,109),AcctTblA,4,0)),"—"))</f>
        <v/>
      </c>
      <c r="C133" s="18">
        <f>IF($B133="","",IF(109&gt;NPartyA,"",INDEX(PkPartyA,109)))</f>
        <v/>
      </c>
      <c r="D133" s="17">
        <f>IF($B133="","","p")</f>
        <v/>
      </c>
      <c r="E133" s="19">
        <f>IF($B133="","",IF(109&gt;NPartyA,0,SUMIF(CalcDebit,INDEX(PkPartyA,109),CalcAmt)+SUMIF(CalcDebit2,INDEX(PkPartyA,109),CalcAmt2)+SUMIF(CalcDebit3,INDEX(PkPartyA,109),CalcAmt3)))</f>
        <v/>
      </c>
      <c r="F133" s="19">
        <f>IF($B133="","",IF(109&gt;NPartyA,0,SUMIF(CalcCredit,INDEX(PkPartyA,109),CalcAmt)+SUMIF(CalcCredit2,INDEX(PkPartyA,109),CalcAmt2)+SUMIF(CalcCredit3,INDEX(PkPartyA,109),CalcAmt3)))</f>
        <v/>
      </c>
      <c r="G133" s="20">
        <f>IF($B133="","",ROUND($E133-$F133,0))</f>
        <v/>
      </c>
      <c r="H133" s="17">
        <f>IF($B133="","",IF(ROUND($G133,0)&gt;0,"بدهکار",IF(ROUND($G133,0)&lt;0,"بستانکار","تسویه")))</f>
        <v/>
      </c>
    </row>
    <row r="134">
      <c r="A134" s="11">
        <f>IF($B134="","",125)</f>
        <v/>
      </c>
      <c r="B134" s="12">
        <f>IF(110&gt;NPartyA,"",IFERROR(IF(VLOOKUP(INDEX(PkPartyA,110),AcctTblA,4,0)="","(بدون نام)",VLOOKUP(INDEX(PkPartyA,110),AcctTblA,4,0)),"—"))</f>
        <v/>
      </c>
      <c r="C134" s="13">
        <f>IF($B134="","",IF(110&gt;NPartyA,"",INDEX(PkPartyA,110)))</f>
        <v/>
      </c>
      <c r="D134" s="12">
        <f>IF($B134="","","p")</f>
        <v/>
      </c>
      <c r="E134" s="14">
        <f>IF($B134="","",IF(110&gt;NPartyA,0,SUMIF(CalcDebit,INDEX(PkPartyA,110),CalcAmt)+SUMIF(CalcDebit2,INDEX(PkPartyA,110),CalcAmt2)+SUMIF(CalcDebit3,INDEX(PkPartyA,110),CalcAmt3)))</f>
        <v/>
      </c>
      <c r="F134" s="14">
        <f>IF($B134="","",IF(110&gt;NPartyA,0,SUMIF(CalcCredit,INDEX(PkPartyA,110),CalcAmt)+SUMIF(CalcCredit2,INDEX(PkPartyA,110),CalcAmt2)+SUMIF(CalcCredit3,INDEX(PkPartyA,110),CalcAmt3)))</f>
        <v/>
      </c>
      <c r="G134" s="15">
        <f>IF($B134="","",ROUND($E134-$F134,0))</f>
        <v/>
      </c>
      <c r="H134" s="12">
        <f>IF($B134="","",IF(ROUND($G134,0)&gt;0,"بدهکار",IF(ROUND($G134,0)&lt;0,"بستانکار","تسویه")))</f>
        <v/>
      </c>
    </row>
    <row r="135">
      <c r="A135" s="16">
        <f>IF($B135="","",126)</f>
        <v/>
      </c>
      <c r="B135" s="17">
        <f>IF(111&gt;NPartyA,"",IFERROR(IF(VLOOKUP(INDEX(PkPartyA,111),AcctTblA,4,0)="","(بدون نام)",VLOOKUP(INDEX(PkPartyA,111),AcctTblA,4,0)),"—"))</f>
        <v/>
      </c>
      <c r="C135" s="18">
        <f>IF($B135="","",IF(111&gt;NPartyA,"",INDEX(PkPartyA,111)))</f>
        <v/>
      </c>
      <c r="D135" s="17">
        <f>IF($B135="","","p")</f>
        <v/>
      </c>
      <c r="E135" s="19">
        <f>IF($B135="","",IF(111&gt;NPartyA,0,SUMIF(CalcDebit,INDEX(PkPartyA,111),CalcAmt)+SUMIF(CalcDebit2,INDEX(PkPartyA,111),CalcAmt2)+SUMIF(CalcDebit3,INDEX(PkPartyA,111),CalcAmt3)))</f>
        <v/>
      </c>
      <c r="F135" s="19">
        <f>IF($B135="","",IF(111&gt;NPartyA,0,SUMIF(CalcCredit,INDEX(PkPartyA,111),CalcAmt)+SUMIF(CalcCredit2,INDEX(PkPartyA,111),CalcAmt2)+SUMIF(CalcCredit3,INDEX(PkPartyA,111),CalcAmt3)))</f>
        <v/>
      </c>
      <c r="G135" s="20">
        <f>IF($B135="","",ROUND($E135-$F135,0))</f>
        <v/>
      </c>
      <c r="H135" s="17">
        <f>IF($B135="","",IF(ROUND($G135,0)&gt;0,"بدهکار",IF(ROUND($G135,0)&lt;0,"بستانکار","تسویه")))</f>
        <v/>
      </c>
    </row>
    <row r="136">
      <c r="A136" s="11">
        <f>IF($B136="","",127)</f>
        <v/>
      </c>
      <c r="B136" s="12">
        <f>IF(112&gt;NPartyA,"",IFERROR(IF(VLOOKUP(INDEX(PkPartyA,112),AcctTblA,4,0)="","(بدون نام)",VLOOKUP(INDEX(PkPartyA,112),AcctTblA,4,0)),"—"))</f>
        <v/>
      </c>
      <c r="C136" s="13">
        <f>IF($B136="","",IF(112&gt;NPartyA,"",INDEX(PkPartyA,112)))</f>
        <v/>
      </c>
      <c r="D136" s="12">
        <f>IF($B136="","","p")</f>
        <v/>
      </c>
      <c r="E136" s="14">
        <f>IF($B136="","",IF(112&gt;NPartyA,0,SUMIF(CalcDebit,INDEX(PkPartyA,112),CalcAmt)+SUMIF(CalcDebit2,INDEX(PkPartyA,112),CalcAmt2)+SUMIF(CalcDebit3,INDEX(PkPartyA,112),CalcAmt3)))</f>
        <v/>
      </c>
      <c r="F136" s="14">
        <f>IF($B136="","",IF(112&gt;NPartyA,0,SUMIF(CalcCredit,INDEX(PkPartyA,112),CalcAmt)+SUMIF(CalcCredit2,INDEX(PkPartyA,112),CalcAmt2)+SUMIF(CalcCredit3,INDEX(PkPartyA,112),CalcAmt3)))</f>
        <v/>
      </c>
      <c r="G136" s="15">
        <f>IF($B136="","",ROUND($E136-$F136,0))</f>
        <v/>
      </c>
      <c r="H136" s="12">
        <f>IF($B136="","",IF(ROUND($G136,0)&gt;0,"بدهکار",IF(ROUND($G136,0)&lt;0,"بستانکار","تسویه")))</f>
        <v/>
      </c>
    </row>
    <row r="137">
      <c r="A137" s="16">
        <f>IF($B137="","",128)</f>
        <v/>
      </c>
      <c r="B137" s="17">
        <f>IF(113&gt;NPartyA,"",IFERROR(IF(VLOOKUP(INDEX(PkPartyA,113),AcctTblA,4,0)="","(بدون نام)",VLOOKUP(INDEX(PkPartyA,113),AcctTblA,4,0)),"—"))</f>
        <v/>
      </c>
      <c r="C137" s="18">
        <f>IF($B137="","",IF(113&gt;NPartyA,"",INDEX(PkPartyA,113)))</f>
        <v/>
      </c>
      <c r="D137" s="17">
        <f>IF($B137="","","p")</f>
        <v/>
      </c>
      <c r="E137" s="19">
        <f>IF($B137="","",IF(113&gt;NPartyA,0,SUMIF(CalcDebit,INDEX(PkPartyA,113),CalcAmt)+SUMIF(CalcDebit2,INDEX(PkPartyA,113),CalcAmt2)+SUMIF(CalcDebit3,INDEX(PkPartyA,113),CalcAmt3)))</f>
        <v/>
      </c>
      <c r="F137" s="19">
        <f>IF($B137="","",IF(113&gt;NPartyA,0,SUMIF(CalcCredit,INDEX(PkPartyA,113),CalcAmt)+SUMIF(CalcCredit2,INDEX(PkPartyA,113),CalcAmt2)+SUMIF(CalcCredit3,INDEX(PkPartyA,113),CalcAmt3)))</f>
        <v/>
      </c>
      <c r="G137" s="20">
        <f>IF($B137="","",ROUND($E137-$F137,0))</f>
        <v/>
      </c>
      <c r="H137" s="17">
        <f>IF($B137="","",IF(ROUND($G137,0)&gt;0,"بدهکار",IF(ROUND($G137,0)&lt;0,"بستانکار","تسویه")))</f>
        <v/>
      </c>
    </row>
    <row r="138">
      <c r="A138" s="11">
        <f>IF($B138="","",129)</f>
        <v/>
      </c>
      <c r="B138" s="12">
        <f>IF(114&gt;NPartyA,"",IFERROR(IF(VLOOKUP(INDEX(PkPartyA,114),AcctTblA,4,0)="","(بدون نام)",VLOOKUP(INDEX(PkPartyA,114),AcctTblA,4,0)),"—"))</f>
        <v/>
      </c>
      <c r="C138" s="13">
        <f>IF($B138="","",IF(114&gt;NPartyA,"",INDEX(PkPartyA,114)))</f>
        <v/>
      </c>
      <c r="D138" s="12">
        <f>IF($B138="","","p")</f>
        <v/>
      </c>
      <c r="E138" s="14">
        <f>IF($B138="","",IF(114&gt;NPartyA,0,SUMIF(CalcDebit,INDEX(PkPartyA,114),CalcAmt)+SUMIF(CalcDebit2,INDEX(PkPartyA,114),CalcAmt2)+SUMIF(CalcDebit3,INDEX(PkPartyA,114),CalcAmt3)))</f>
        <v/>
      </c>
      <c r="F138" s="14">
        <f>IF($B138="","",IF(114&gt;NPartyA,0,SUMIF(CalcCredit,INDEX(PkPartyA,114),CalcAmt)+SUMIF(CalcCredit2,INDEX(PkPartyA,114),CalcAmt2)+SUMIF(CalcCredit3,INDEX(PkPartyA,114),CalcAmt3)))</f>
        <v/>
      </c>
      <c r="G138" s="15">
        <f>IF($B138="","",ROUND($E138-$F138,0))</f>
        <v/>
      </c>
      <c r="H138" s="12">
        <f>IF($B138="","",IF(ROUND($G138,0)&gt;0,"بدهکار",IF(ROUND($G138,0)&lt;0,"بستانکار","تسویه")))</f>
        <v/>
      </c>
    </row>
    <row r="139">
      <c r="A139" s="16">
        <f>IF($B139="","",130)</f>
        <v/>
      </c>
      <c r="B139" s="17">
        <f>IF(115&gt;NPartyA,"",IFERROR(IF(VLOOKUP(INDEX(PkPartyA,115),AcctTblA,4,0)="","(بدون نام)",VLOOKUP(INDEX(PkPartyA,115),AcctTblA,4,0)),"—"))</f>
        <v/>
      </c>
      <c r="C139" s="18">
        <f>IF($B139="","",IF(115&gt;NPartyA,"",INDEX(PkPartyA,115)))</f>
        <v/>
      </c>
      <c r="D139" s="17">
        <f>IF($B139="","","p")</f>
        <v/>
      </c>
      <c r="E139" s="19">
        <f>IF($B139="","",IF(115&gt;NPartyA,0,SUMIF(CalcDebit,INDEX(PkPartyA,115),CalcAmt)+SUMIF(CalcDebit2,INDEX(PkPartyA,115),CalcAmt2)+SUMIF(CalcDebit3,INDEX(PkPartyA,115),CalcAmt3)))</f>
        <v/>
      </c>
      <c r="F139" s="19">
        <f>IF($B139="","",IF(115&gt;NPartyA,0,SUMIF(CalcCredit,INDEX(PkPartyA,115),CalcAmt)+SUMIF(CalcCredit2,INDEX(PkPartyA,115),CalcAmt2)+SUMIF(CalcCredit3,INDEX(PkPartyA,115),CalcAmt3)))</f>
        <v/>
      </c>
      <c r="G139" s="20">
        <f>IF($B139="","",ROUND($E139-$F139,0))</f>
        <v/>
      </c>
      <c r="H139" s="17">
        <f>IF($B139="","",IF(ROUND($G139,0)&gt;0,"بدهکار",IF(ROUND($G139,0)&lt;0,"بستانکار","تسویه")))</f>
        <v/>
      </c>
    </row>
    <row r="140">
      <c r="A140" s="11">
        <f>IF($B140="","",131)</f>
        <v/>
      </c>
      <c r="B140" s="12">
        <f>IF(116&gt;NPartyA,"",IFERROR(IF(VLOOKUP(INDEX(PkPartyA,116),AcctTblA,4,0)="","(بدون نام)",VLOOKUP(INDEX(PkPartyA,116),AcctTblA,4,0)),"—"))</f>
        <v/>
      </c>
      <c r="C140" s="13">
        <f>IF($B140="","",IF(116&gt;NPartyA,"",INDEX(PkPartyA,116)))</f>
        <v/>
      </c>
      <c r="D140" s="12">
        <f>IF($B140="","","p")</f>
        <v/>
      </c>
      <c r="E140" s="14">
        <f>IF($B140="","",IF(116&gt;NPartyA,0,SUMIF(CalcDebit,INDEX(PkPartyA,116),CalcAmt)+SUMIF(CalcDebit2,INDEX(PkPartyA,116),CalcAmt2)+SUMIF(CalcDebit3,INDEX(PkPartyA,116),CalcAmt3)))</f>
        <v/>
      </c>
      <c r="F140" s="14">
        <f>IF($B140="","",IF(116&gt;NPartyA,0,SUMIF(CalcCredit,INDEX(PkPartyA,116),CalcAmt)+SUMIF(CalcCredit2,INDEX(PkPartyA,116),CalcAmt2)+SUMIF(CalcCredit3,INDEX(PkPartyA,116),CalcAmt3)))</f>
        <v/>
      </c>
      <c r="G140" s="15">
        <f>IF($B140="","",ROUND($E140-$F140,0))</f>
        <v/>
      </c>
      <c r="H140" s="12">
        <f>IF($B140="","",IF(ROUND($G140,0)&gt;0,"بدهکار",IF(ROUND($G140,0)&lt;0,"بستانکار","تسویه")))</f>
        <v/>
      </c>
    </row>
    <row r="141">
      <c r="A141" s="16">
        <f>IF($B141="","",132)</f>
        <v/>
      </c>
      <c r="B141" s="17">
        <f>IF(117&gt;NPartyA,"",IFERROR(IF(VLOOKUP(INDEX(PkPartyA,117),AcctTblA,4,0)="","(بدون نام)",VLOOKUP(INDEX(PkPartyA,117),AcctTblA,4,0)),"—"))</f>
        <v/>
      </c>
      <c r="C141" s="18">
        <f>IF($B141="","",IF(117&gt;NPartyA,"",INDEX(PkPartyA,117)))</f>
        <v/>
      </c>
      <c r="D141" s="17">
        <f>IF($B141="","","p")</f>
        <v/>
      </c>
      <c r="E141" s="19">
        <f>IF($B141="","",IF(117&gt;NPartyA,0,SUMIF(CalcDebit,INDEX(PkPartyA,117),CalcAmt)+SUMIF(CalcDebit2,INDEX(PkPartyA,117),CalcAmt2)+SUMIF(CalcDebit3,INDEX(PkPartyA,117),CalcAmt3)))</f>
        <v/>
      </c>
      <c r="F141" s="19">
        <f>IF($B141="","",IF(117&gt;NPartyA,0,SUMIF(CalcCredit,INDEX(PkPartyA,117),CalcAmt)+SUMIF(CalcCredit2,INDEX(PkPartyA,117),CalcAmt2)+SUMIF(CalcCredit3,INDEX(PkPartyA,117),CalcAmt3)))</f>
        <v/>
      </c>
      <c r="G141" s="20">
        <f>IF($B141="","",ROUND($E141-$F141,0))</f>
        <v/>
      </c>
      <c r="H141" s="17">
        <f>IF($B141="","",IF(ROUND($G141,0)&gt;0,"بدهکار",IF(ROUND($G141,0)&lt;0,"بستانکار","تسویه")))</f>
        <v/>
      </c>
    </row>
    <row r="142">
      <c r="A142" s="11">
        <f>IF($B142="","",133)</f>
        <v/>
      </c>
      <c r="B142" s="12">
        <f>IF(118&gt;NPartyA,"",IFERROR(IF(VLOOKUP(INDEX(PkPartyA,118),AcctTblA,4,0)="","(بدون نام)",VLOOKUP(INDEX(PkPartyA,118),AcctTblA,4,0)),"—"))</f>
        <v/>
      </c>
      <c r="C142" s="13">
        <f>IF($B142="","",IF(118&gt;NPartyA,"",INDEX(PkPartyA,118)))</f>
        <v/>
      </c>
      <c r="D142" s="12">
        <f>IF($B142="","","p")</f>
        <v/>
      </c>
      <c r="E142" s="14">
        <f>IF($B142="","",IF(118&gt;NPartyA,0,SUMIF(CalcDebit,INDEX(PkPartyA,118),CalcAmt)+SUMIF(CalcDebit2,INDEX(PkPartyA,118),CalcAmt2)+SUMIF(CalcDebit3,INDEX(PkPartyA,118),CalcAmt3)))</f>
        <v/>
      </c>
      <c r="F142" s="14">
        <f>IF($B142="","",IF(118&gt;NPartyA,0,SUMIF(CalcCredit,INDEX(PkPartyA,118),CalcAmt)+SUMIF(CalcCredit2,INDEX(PkPartyA,118),CalcAmt2)+SUMIF(CalcCredit3,INDEX(PkPartyA,118),CalcAmt3)))</f>
        <v/>
      </c>
      <c r="G142" s="15">
        <f>IF($B142="","",ROUND($E142-$F142,0))</f>
        <v/>
      </c>
      <c r="H142" s="12">
        <f>IF($B142="","",IF(ROUND($G142,0)&gt;0,"بدهکار",IF(ROUND($G142,0)&lt;0,"بستانکار","تسویه")))</f>
        <v/>
      </c>
    </row>
    <row r="143">
      <c r="A143" s="16">
        <f>IF($B143="","",134)</f>
        <v/>
      </c>
      <c r="B143" s="17">
        <f>IF(119&gt;NPartyA,"",IFERROR(IF(VLOOKUP(INDEX(PkPartyA,119),AcctTblA,4,0)="","(بدون نام)",VLOOKUP(INDEX(PkPartyA,119),AcctTblA,4,0)),"—"))</f>
        <v/>
      </c>
      <c r="C143" s="18">
        <f>IF($B143="","",IF(119&gt;NPartyA,"",INDEX(PkPartyA,119)))</f>
        <v/>
      </c>
      <c r="D143" s="17">
        <f>IF($B143="","","p")</f>
        <v/>
      </c>
      <c r="E143" s="19">
        <f>IF($B143="","",IF(119&gt;NPartyA,0,SUMIF(CalcDebit,INDEX(PkPartyA,119),CalcAmt)+SUMIF(CalcDebit2,INDEX(PkPartyA,119),CalcAmt2)+SUMIF(CalcDebit3,INDEX(PkPartyA,119),CalcAmt3)))</f>
        <v/>
      </c>
      <c r="F143" s="19">
        <f>IF($B143="","",IF(119&gt;NPartyA,0,SUMIF(CalcCredit,INDEX(PkPartyA,119),CalcAmt)+SUMIF(CalcCredit2,INDEX(PkPartyA,119),CalcAmt2)+SUMIF(CalcCredit3,INDEX(PkPartyA,119),CalcAmt3)))</f>
        <v/>
      </c>
      <c r="G143" s="20">
        <f>IF($B143="","",ROUND($E143-$F143,0))</f>
        <v/>
      </c>
      <c r="H143" s="17">
        <f>IF($B143="","",IF(ROUND($G143,0)&gt;0,"بدهکار",IF(ROUND($G143,0)&lt;0,"بستانکار","تسویه")))</f>
        <v/>
      </c>
    </row>
    <row r="144">
      <c r="A144" s="11">
        <f>IF($B144="","",135)</f>
        <v/>
      </c>
      <c r="B144" s="12">
        <f>IF(120&gt;NPartyA,"",IFERROR(IF(VLOOKUP(INDEX(PkPartyA,120),AcctTblA,4,0)="","(بدون نام)",VLOOKUP(INDEX(PkPartyA,120),AcctTblA,4,0)),"—"))</f>
        <v/>
      </c>
      <c r="C144" s="13">
        <f>IF($B144="","",IF(120&gt;NPartyA,"",INDEX(PkPartyA,120)))</f>
        <v/>
      </c>
      <c r="D144" s="12">
        <f>IF($B144="","","p")</f>
        <v/>
      </c>
      <c r="E144" s="14">
        <f>IF($B144="","",IF(120&gt;NPartyA,0,SUMIF(CalcDebit,INDEX(PkPartyA,120),CalcAmt)+SUMIF(CalcDebit2,INDEX(PkPartyA,120),CalcAmt2)+SUMIF(CalcDebit3,INDEX(PkPartyA,120),CalcAmt3)))</f>
        <v/>
      </c>
      <c r="F144" s="14">
        <f>IF($B144="","",IF(120&gt;NPartyA,0,SUMIF(CalcCredit,INDEX(PkPartyA,120),CalcAmt)+SUMIF(CalcCredit2,INDEX(PkPartyA,120),CalcAmt2)+SUMIF(CalcCredit3,INDEX(PkPartyA,120),CalcAmt3)))</f>
        <v/>
      </c>
      <c r="G144" s="15">
        <f>IF($B144="","",ROUND($E144-$F144,0))</f>
        <v/>
      </c>
      <c r="H144" s="12">
        <f>IF($B144="","",IF(ROUND($G144,0)&gt;0,"بدهکار",IF(ROUND($G144,0)&lt;0,"بستانکار","تسویه")))</f>
        <v/>
      </c>
    </row>
    <row r="145">
      <c r="A145" s="16">
        <f>IF($B145="","",136)</f>
        <v/>
      </c>
      <c r="B145" s="17">
        <f>IF(121&gt;NPartyA,"",IFERROR(IF(VLOOKUP(INDEX(PkPartyA,121),AcctTblA,4,0)="","(بدون نام)",VLOOKUP(INDEX(PkPartyA,121),AcctTblA,4,0)),"—"))</f>
        <v/>
      </c>
      <c r="C145" s="18">
        <f>IF($B145="","",IF(121&gt;NPartyA,"",INDEX(PkPartyA,121)))</f>
        <v/>
      </c>
      <c r="D145" s="17">
        <f>IF($B145="","","p")</f>
        <v/>
      </c>
      <c r="E145" s="19">
        <f>IF($B145="","",IF(121&gt;NPartyA,0,SUMIF(CalcDebit,INDEX(PkPartyA,121),CalcAmt)+SUMIF(CalcDebit2,INDEX(PkPartyA,121),CalcAmt2)+SUMIF(CalcDebit3,INDEX(PkPartyA,121),CalcAmt3)))</f>
        <v/>
      </c>
      <c r="F145" s="19">
        <f>IF($B145="","",IF(121&gt;NPartyA,0,SUMIF(CalcCredit,INDEX(PkPartyA,121),CalcAmt)+SUMIF(CalcCredit2,INDEX(PkPartyA,121),CalcAmt2)+SUMIF(CalcCredit3,INDEX(PkPartyA,121),CalcAmt3)))</f>
        <v/>
      </c>
      <c r="G145" s="20">
        <f>IF($B145="","",ROUND($E145-$F145,0))</f>
        <v/>
      </c>
      <c r="H145" s="17">
        <f>IF($B145="","",IF(ROUND($G145,0)&gt;0,"بدهکار",IF(ROUND($G145,0)&lt;0,"بستانکار","تسویه")))</f>
        <v/>
      </c>
    </row>
    <row r="146">
      <c r="A146" s="11">
        <f>IF($B146="","",137)</f>
        <v/>
      </c>
      <c r="B146" s="12">
        <f>IF(122&gt;NPartyA,"",IFERROR(IF(VLOOKUP(INDEX(PkPartyA,122),AcctTblA,4,0)="","(بدون نام)",VLOOKUP(INDEX(PkPartyA,122),AcctTblA,4,0)),"—"))</f>
        <v/>
      </c>
      <c r="C146" s="13">
        <f>IF($B146="","",IF(122&gt;NPartyA,"",INDEX(PkPartyA,122)))</f>
        <v/>
      </c>
      <c r="D146" s="12">
        <f>IF($B146="","","p")</f>
        <v/>
      </c>
      <c r="E146" s="14">
        <f>IF($B146="","",IF(122&gt;NPartyA,0,SUMIF(CalcDebit,INDEX(PkPartyA,122),CalcAmt)+SUMIF(CalcDebit2,INDEX(PkPartyA,122),CalcAmt2)+SUMIF(CalcDebit3,INDEX(PkPartyA,122),CalcAmt3)))</f>
        <v/>
      </c>
      <c r="F146" s="14">
        <f>IF($B146="","",IF(122&gt;NPartyA,0,SUMIF(CalcCredit,INDEX(PkPartyA,122),CalcAmt)+SUMIF(CalcCredit2,INDEX(PkPartyA,122),CalcAmt2)+SUMIF(CalcCredit3,INDEX(PkPartyA,122),CalcAmt3)))</f>
        <v/>
      </c>
      <c r="G146" s="15">
        <f>IF($B146="","",ROUND($E146-$F146,0))</f>
        <v/>
      </c>
      <c r="H146" s="12">
        <f>IF($B146="","",IF(ROUND($G146,0)&gt;0,"بدهکار",IF(ROUND($G146,0)&lt;0,"بستانکار","تسویه")))</f>
        <v/>
      </c>
    </row>
    <row r="147">
      <c r="A147" s="16">
        <f>IF($B147="","",138)</f>
        <v/>
      </c>
      <c r="B147" s="17">
        <f>IF(123&gt;NPartyA,"",IFERROR(IF(VLOOKUP(INDEX(PkPartyA,123),AcctTblA,4,0)="","(بدون نام)",VLOOKUP(INDEX(PkPartyA,123),AcctTblA,4,0)),"—"))</f>
        <v/>
      </c>
      <c r="C147" s="18">
        <f>IF($B147="","",IF(123&gt;NPartyA,"",INDEX(PkPartyA,123)))</f>
        <v/>
      </c>
      <c r="D147" s="17">
        <f>IF($B147="","","p")</f>
        <v/>
      </c>
      <c r="E147" s="19">
        <f>IF($B147="","",IF(123&gt;NPartyA,0,SUMIF(CalcDebit,INDEX(PkPartyA,123),CalcAmt)+SUMIF(CalcDebit2,INDEX(PkPartyA,123),CalcAmt2)+SUMIF(CalcDebit3,INDEX(PkPartyA,123),CalcAmt3)))</f>
        <v/>
      </c>
      <c r="F147" s="19">
        <f>IF($B147="","",IF(123&gt;NPartyA,0,SUMIF(CalcCredit,INDEX(PkPartyA,123),CalcAmt)+SUMIF(CalcCredit2,INDEX(PkPartyA,123),CalcAmt2)+SUMIF(CalcCredit3,INDEX(PkPartyA,123),CalcAmt3)))</f>
        <v/>
      </c>
      <c r="G147" s="20">
        <f>IF($B147="","",ROUND($E147-$F147,0))</f>
        <v/>
      </c>
      <c r="H147" s="17">
        <f>IF($B147="","",IF(ROUND($G147,0)&gt;0,"بدهکار",IF(ROUND($G147,0)&lt;0,"بستانکار","تسویه")))</f>
        <v/>
      </c>
    </row>
    <row r="148">
      <c r="A148" s="11">
        <f>IF($B148="","",139)</f>
        <v/>
      </c>
      <c r="B148" s="12">
        <f>IF(124&gt;NPartyA,"",IFERROR(IF(VLOOKUP(INDEX(PkPartyA,124),AcctTblA,4,0)="","(بدون نام)",VLOOKUP(INDEX(PkPartyA,124),AcctTblA,4,0)),"—"))</f>
        <v/>
      </c>
      <c r="C148" s="13">
        <f>IF($B148="","",IF(124&gt;NPartyA,"",INDEX(PkPartyA,124)))</f>
        <v/>
      </c>
      <c r="D148" s="12">
        <f>IF($B148="","","p")</f>
        <v/>
      </c>
      <c r="E148" s="14">
        <f>IF($B148="","",IF(124&gt;NPartyA,0,SUMIF(CalcDebit,INDEX(PkPartyA,124),CalcAmt)+SUMIF(CalcDebit2,INDEX(PkPartyA,124),CalcAmt2)+SUMIF(CalcDebit3,INDEX(PkPartyA,124),CalcAmt3)))</f>
        <v/>
      </c>
      <c r="F148" s="14">
        <f>IF($B148="","",IF(124&gt;NPartyA,0,SUMIF(CalcCredit,INDEX(PkPartyA,124),CalcAmt)+SUMIF(CalcCredit2,INDEX(PkPartyA,124),CalcAmt2)+SUMIF(CalcCredit3,INDEX(PkPartyA,124),CalcAmt3)))</f>
        <v/>
      </c>
      <c r="G148" s="15">
        <f>IF($B148="","",ROUND($E148-$F148,0))</f>
        <v/>
      </c>
      <c r="H148" s="12">
        <f>IF($B148="","",IF(ROUND($G148,0)&gt;0,"بدهکار",IF(ROUND($G148,0)&lt;0,"بستانکار","تسویه")))</f>
        <v/>
      </c>
    </row>
    <row r="149">
      <c r="A149" s="16">
        <f>IF($B149="","",140)</f>
        <v/>
      </c>
      <c r="B149" s="17">
        <f>IF(125&gt;NPartyA,"",IFERROR(IF(VLOOKUP(INDEX(PkPartyA,125),AcctTblA,4,0)="","(بدون نام)",VLOOKUP(INDEX(PkPartyA,125),AcctTblA,4,0)),"—"))</f>
        <v/>
      </c>
      <c r="C149" s="18">
        <f>IF($B149="","",IF(125&gt;NPartyA,"",INDEX(PkPartyA,125)))</f>
        <v/>
      </c>
      <c r="D149" s="17">
        <f>IF($B149="","","p")</f>
        <v/>
      </c>
      <c r="E149" s="19">
        <f>IF($B149="","",IF(125&gt;NPartyA,0,SUMIF(CalcDebit,INDEX(PkPartyA,125),CalcAmt)+SUMIF(CalcDebit2,INDEX(PkPartyA,125),CalcAmt2)+SUMIF(CalcDebit3,INDEX(PkPartyA,125),CalcAmt3)))</f>
        <v/>
      </c>
      <c r="F149" s="19">
        <f>IF($B149="","",IF(125&gt;NPartyA,0,SUMIF(CalcCredit,INDEX(PkPartyA,125),CalcAmt)+SUMIF(CalcCredit2,INDEX(PkPartyA,125),CalcAmt2)+SUMIF(CalcCredit3,INDEX(PkPartyA,125),CalcAmt3)))</f>
        <v/>
      </c>
      <c r="G149" s="20">
        <f>IF($B149="","",ROUND($E149-$F149,0))</f>
        <v/>
      </c>
      <c r="H149" s="17">
        <f>IF($B149="","",IF(ROUND($G149,0)&gt;0,"بدهکار",IF(ROUND($G149,0)&lt;0,"بستانکار","تسویه")))</f>
        <v/>
      </c>
    </row>
    <row r="150">
      <c r="A150" s="11">
        <f>IF($B150="","",141)</f>
        <v/>
      </c>
      <c r="B150" s="12">
        <f>IF(126&gt;NPartyA,"",IFERROR(IF(VLOOKUP(INDEX(PkPartyA,126),AcctTblA,4,0)="","(بدون نام)",VLOOKUP(INDEX(PkPartyA,126),AcctTblA,4,0)),"—"))</f>
        <v/>
      </c>
      <c r="C150" s="13">
        <f>IF($B150="","",IF(126&gt;NPartyA,"",INDEX(PkPartyA,126)))</f>
        <v/>
      </c>
      <c r="D150" s="12">
        <f>IF($B150="","","p")</f>
        <v/>
      </c>
      <c r="E150" s="14">
        <f>IF($B150="","",IF(126&gt;NPartyA,0,SUMIF(CalcDebit,INDEX(PkPartyA,126),CalcAmt)+SUMIF(CalcDebit2,INDEX(PkPartyA,126),CalcAmt2)+SUMIF(CalcDebit3,INDEX(PkPartyA,126),CalcAmt3)))</f>
        <v/>
      </c>
      <c r="F150" s="14">
        <f>IF($B150="","",IF(126&gt;NPartyA,0,SUMIF(CalcCredit,INDEX(PkPartyA,126),CalcAmt)+SUMIF(CalcCredit2,INDEX(PkPartyA,126),CalcAmt2)+SUMIF(CalcCredit3,INDEX(PkPartyA,126),CalcAmt3)))</f>
        <v/>
      </c>
      <c r="G150" s="15">
        <f>IF($B150="","",ROUND($E150-$F150,0))</f>
        <v/>
      </c>
      <c r="H150" s="12">
        <f>IF($B150="","",IF(ROUND($G150,0)&gt;0,"بدهکار",IF(ROUND($G150,0)&lt;0,"بستانکار","تسویه")))</f>
        <v/>
      </c>
    </row>
    <row r="151">
      <c r="A151" s="16">
        <f>IF($B151="","",142)</f>
        <v/>
      </c>
      <c r="B151" s="17">
        <f>IF(127&gt;NPartyA,"",IFERROR(IF(VLOOKUP(INDEX(PkPartyA,127),AcctTblA,4,0)="","(بدون نام)",VLOOKUP(INDEX(PkPartyA,127),AcctTblA,4,0)),"—"))</f>
        <v/>
      </c>
      <c r="C151" s="18">
        <f>IF($B151="","",IF(127&gt;NPartyA,"",INDEX(PkPartyA,127)))</f>
        <v/>
      </c>
      <c r="D151" s="17">
        <f>IF($B151="","","p")</f>
        <v/>
      </c>
      <c r="E151" s="19">
        <f>IF($B151="","",IF(127&gt;NPartyA,0,SUMIF(CalcDebit,INDEX(PkPartyA,127),CalcAmt)+SUMIF(CalcDebit2,INDEX(PkPartyA,127),CalcAmt2)+SUMIF(CalcDebit3,INDEX(PkPartyA,127),CalcAmt3)))</f>
        <v/>
      </c>
      <c r="F151" s="19">
        <f>IF($B151="","",IF(127&gt;NPartyA,0,SUMIF(CalcCredit,INDEX(PkPartyA,127),CalcAmt)+SUMIF(CalcCredit2,INDEX(PkPartyA,127),CalcAmt2)+SUMIF(CalcCredit3,INDEX(PkPartyA,127),CalcAmt3)))</f>
        <v/>
      </c>
      <c r="G151" s="20">
        <f>IF($B151="","",ROUND($E151-$F151,0))</f>
        <v/>
      </c>
      <c r="H151" s="17">
        <f>IF($B151="","",IF(ROUND($G151,0)&gt;0,"بدهکار",IF(ROUND($G151,0)&lt;0,"بستانکار","تسویه")))</f>
        <v/>
      </c>
    </row>
    <row r="152">
      <c r="A152" s="11">
        <f>IF($B152="","",143)</f>
        <v/>
      </c>
      <c r="B152" s="12">
        <f>IF(128&gt;NPartyA,"",IFERROR(IF(VLOOKUP(INDEX(PkPartyA,128),AcctTblA,4,0)="","(بدون نام)",VLOOKUP(INDEX(PkPartyA,128),AcctTblA,4,0)),"—"))</f>
        <v/>
      </c>
      <c r="C152" s="13">
        <f>IF($B152="","",IF(128&gt;NPartyA,"",INDEX(PkPartyA,128)))</f>
        <v/>
      </c>
      <c r="D152" s="12">
        <f>IF($B152="","","p")</f>
        <v/>
      </c>
      <c r="E152" s="14">
        <f>IF($B152="","",IF(128&gt;NPartyA,0,SUMIF(CalcDebit,INDEX(PkPartyA,128),CalcAmt)+SUMIF(CalcDebit2,INDEX(PkPartyA,128),CalcAmt2)+SUMIF(CalcDebit3,INDEX(PkPartyA,128),CalcAmt3)))</f>
        <v/>
      </c>
      <c r="F152" s="14">
        <f>IF($B152="","",IF(128&gt;NPartyA,0,SUMIF(CalcCredit,INDEX(PkPartyA,128),CalcAmt)+SUMIF(CalcCredit2,INDEX(PkPartyA,128),CalcAmt2)+SUMIF(CalcCredit3,INDEX(PkPartyA,128),CalcAmt3)))</f>
        <v/>
      </c>
      <c r="G152" s="15">
        <f>IF($B152="","",ROUND($E152-$F152,0))</f>
        <v/>
      </c>
      <c r="H152" s="12">
        <f>IF($B152="","",IF(ROUND($G152,0)&gt;0,"بدهکار",IF(ROUND($G152,0)&lt;0,"بستانکار","تسویه")))</f>
        <v/>
      </c>
    </row>
    <row r="153">
      <c r="A153" s="16">
        <f>IF($B153="","",144)</f>
        <v/>
      </c>
      <c r="B153" s="17">
        <f>IF(129&gt;NPartyA,"",IFERROR(IF(VLOOKUP(INDEX(PkPartyA,129),AcctTblA,4,0)="","(بدون نام)",VLOOKUP(INDEX(PkPartyA,129),AcctTblA,4,0)),"—"))</f>
        <v/>
      </c>
      <c r="C153" s="18">
        <f>IF($B153="","",IF(129&gt;NPartyA,"",INDEX(PkPartyA,129)))</f>
        <v/>
      </c>
      <c r="D153" s="17">
        <f>IF($B153="","","p")</f>
        <v/>
      </c>
      <c r="E153" s="19">
        <f>IF($B153="","",IF(129&gt;NPartyA,0,SUMIF(CalcDebit,INDEX(PkPartyA,129),CalcAmt)+SUMIF(CalcDebit2,INDEX(PkPartyA,129),CalcAmt2)+SUMIF(CalcDebit3,INDEX(PkPartyA,129),CalcAmt3)))</f>
        <v/>
      </c>
      <c r="F153" s="19">
        <f>IF($B153="","",IF(129&gt;NPartyA,0,SUMIF(CalcCredit,INDEX(PkPartyA,129),CalcAmt)+SUMIF(CalcCredit2,INDEX(PkPartyA,129),CalcAmt2)+SUMIF(CalcCredit3,INDEX(PkPartyA,129),CalcAmt3)))</f>
        <v/>
      </c>
      <c r="G153" s="20">
        <f>IF($B153="","",ROUND($E153-$F153,0))</f>
        <v/>
      </c>
      <c r="H153" s="17">
        <f>IF($B153="","",IF(ROUND($G153,0)&gt;0,"بدهکار",IF(ROUND($G153,0)&lt;0,"بستانکار","تسویه")))</f>
        <v/>
      </c>
    </row>
    <row r="154">
      <c r="A154" s="11">
        <f>IF($B154="","",145)</f>
        <v/>
      </c>
      <c r="B154" s="12">
        <f>IF(130&gt;NPartyA,"",IFERROR(IF(VLOOKUP(INDEX(PkPartyA,130),AcctTblA,4,0)="","(بدون نام)",VLOOKUP(INDEX(PkPartyA,130),AcctTblA,4,0)),"—"))</f>
        <v/>
      </c>
      <c r="C154" s="13">
        <f>IF($B154="","",IF(130&gt;NPartyA,"",INDEX(PkPartyA,130)))</f>
        <v/>
      </c>
      <c r="D154" s="12">
        <f>IF($B154="","","p")</f>
        <v/>
      </c>
      <c r="E154" s="14">
        <f>IF($B154="","",IF(130&gt;NPartyA,0,SUMIF(CalcDebit,INDEX(PkPartyA,130),CalcAmt)+SUMIF(CalcDebit2,INDEX(PkPartyA,130),CalcAmt2)+SUMIF(CalcDebit3,INDEX(PkPartyA,130),CalcAmt3)))</f>
        <v/>
      </c>
      <c r="F154" s="14">
        <f>IF($B154="","",IF(130&gt;NPartyA,0,SUMIF(CalcCredit,INDEX(PkPartyA,130),CalcAmt)+SUMIF(CalcCredit2,INDEX(PkPartyA,130),CalcAmt2)+SUMIF(CalcCredit3,INDEX(PkPartyA,130),CalcAmt3)))</f>
        <v/>
      </c>
      <c r="G154" s="15">
        <f>IF($B154="","",ROUND($E154-$F154,0))</f>
        <v/>
      </c>
      <c r="H154" s="12">
        <f>IF($B154="","",IF(ROUND($G154,0)&gt;0,"بدهکار",IF(ROUND($G154,0)&lt;0,"بستانکار","تسویه")))</f>
        <v/>
      </c>
    </row>
    <row r="155">
      <c r="A155" s="16">
        <f>IF($B155="","",146)</f>
        <v/>
      </c>
      <c r="B155" s="17">
        <f>IF(131&gt;NPartyA,"",IFERROR(IF(VLOOKUP(INDEX(PkPartyA,131),AcctTblA,4,0)="","(بدون نام)",VLOOKUP(INDEX(PkPartyA,131),AcctTblA,4,0)),"—"))</f>
        <v/>
      </c>
      <c r="C155" s="18">
        <f>IF($B155="","",IF(131&gt;NPartyA,"",INDEX(PkPartyA,131)))</f>
        <v/>
      </c>
      <c r="D155" s="17">
        <f>IF($B155="","","p")</f>
        <v/>
      </c>
      <c r="E155" s="19">
        <f>IF($B155="","",IF(131&gt;NPartyA,0,SUMIF(CalcDebit,INDEX(PkPartyA,131),CalcAmt)+SUMIF(CalcDebit2,INDEX(PkPartyA,131),CalcAmt2)+SUMIF(CalcDebit3,INDEX(PkPartyA,131),CalcAmt3)))</f>
        <v/>
      </c>
      <c r="F155" s="19">
        <f>IF($B155="","",IF(131&gt;NPartyA,0,SUMIF(CalcCredit,INDEX(PkPartyA,131),CalcAmt)+SUMIF(CalcCredit2,INDEX(PkPartyA,131),CalcAmt2)+SUMIF(CalcCredit3,INDEX(PkPartyA,131),CalcAmt3)))</f>
        <v/>
      </c>
      <c r="G155" s="20">
        <f>IF($B155="","",ROUND($E155-$F155,0))</f>
        <v/>
      </c>
      <c r="H155" s="17">
        <f>IF($B155="","",IF(ROUND($G155,0)&gt;0,"بدهکار",IF(ROUND($G155,0)&lt;0,"بستانکار","تسویه")))</f>
        <v/>
      </c>
    </row>
    <row r="156">
      <c r="A156" s="11">
        <f>IF($B156="","",147)</f>
        <v/>
      </c>
      <c r="B156" s="12">
        <f>IF(132&gt;NPartyA,"",IFERROR(IF(VLOOKUP(INDEX(PkPartyA,132),AcctTblA,4,0)="","(بدون نام)",VLOOKUP(INDEX(PkPartyA,132),AcctTblA,4,0)),"—"))</f>
        <v/>
      </c>
      <c r="C156" s="13">
        <f>IF($B156="","",IF(132&gt;NPartyA,"",INDEX(PkPartyA,132)))</f>
        <v/>
      </c>
      <c r="D156" s="12">
        <f>IF($B156="","","p")</f>
        <v/>
      </c>
      <c r="E156" s="14">
        <f>IF($B156="","",IF(132&gt;NPartyA,0,SUMIF(CalcDebit,INDEX(PkPartyA,132),CalcAmt)+SUMIF(CalcDebit2,INDEX(PkPartyA,132),CalcAmt2)+SUMIF(CalcDebit3,INDEX(PkPartyA,132),CalcAmt3)))</f>
        <v/>
      </c>
      <c r="F156" s="14">
        <f>IF($B156="","",IF(132&gt;NPartyA,0,SUMIF(CalcCredit,INDEX(PkPartyA,132),CalcAmt)+SUMIF(CalcCredit2,INDEX(PkPartyA,132),CalcAmt2)+SUMIF(CalcCredit3,INDEX(PkPartyA,132),CalcAmt3)))</f>
        <v/>
      </c>
      <c r="G156" s="15">
        <f>IF($B156="","",ROUND($E156-$F156,0))</f>
        <v/>
      </c>
      <c r="H156" s="12">
        <f>IF($B156="","",IF(ROUND($G156,0)&gt;0,"بدهکار",IF(ROUND($G156,0)&lt;0,"بستانکار","تسویه")))</f>
        <v/>
      </c>
    </row>
    <row r="157">
      <c r="A157" s="16">
        <f>IF($B157="","",148)</f>
        <v/>
      </c>
      <c r="B157" s="17">
        <f>IF(133&gt;NPartyA,"",IFERROR(IF(VLOOKUP(INDEX(PkPartyA,133),AcctTblA,4,0)="","(بدون نام)",VLOOKUP(INDEX(PkPartyA,133),AcctTblA,4,0)),"—"))</f>
        <v/>
      </c>
      <c r="C157" s="18">
        <f>IF($B157="","",IF(133&gt;NPartyA,"",INDEX(PkPartyA,133)))</f>
        <v/>
      </c>
      <c r="D157" s="17">
        <f>IF($B157="","","p")</f>
        <v/>
      </c>
      <c r="E157" s="19">
        <f>IF($B157="","",IF(133&gt;NPartyA,0,SUMIF(CalcDebit,INDEX(PkPartyA,133),CalcAmt)+SUMIF(CalcDebit2,INDEX(PkPartyA,133),CalcAmt2)+SUMIF(CalcDebit3,INDEX(PkPartyA,133),CalcAmt3)))</f>
        <v/>
      </c>
      <c r="F157" s="19">
        <f>IF($B157="","",IF(133&gt;NPartyA,0,SUMIF(CalcCredit,INDEX(PkPartyA,133),CalcAmt)+SUMIF(CalcCredit2,INDEX(PkPartyA,133),CalcAmt2)+SUMIF(CalcCredit3,INDEX(PkPartyA,133),CalcAmt3)))</f>
        <v/>
      </c>
      <c r="G157" s="20">
        <f>IF($B157="","",ROUND($E157-$F157,0))</f>
        <v/>
      </c>
      <c r="H157" s="17">
        <f>IF($B157="","",IF(ROUND($G157,0)&gt;0,"بدهکار",IF(ROUND($G157,0)&lt;0,"بستانکار","تسویه")))</f>
        <v/>
      </c>
    </row>
    <row r="158">
      <c r="A158" s="11">
        <f>IF($B158="","",149)</f>
        <v/>
      </c>
      <c r="B158" s="12">
        <f>IF(134&gt;NPartyA,"",IFERROR(IF(VLOOKUP(INDEX(PkPartyA,134),AcctTblA,4,0)="","(بدون نام)",VLOOKUP(INDEX(PkPartyA,134),AcctTblA,4,0)),"—"))</f>
        <v/>
      </c>
      <c r="C158" s="13">
        <f>IF($B158="","",IF(134&gt;NPartyA,"",INDEX(PkPartyA,134)))</f>
        <v/>
      </c>
      <c r="D158" s="12">
        <f>IF($B158="","","p")</f>
        <v/>
      </c>
      <c r="E158" s="14">
        <f>IF($B158="","",IF(134&gt;NPartyA,0,SUMIF(CalcDebit,INDEX(PkPartyA,134),CalcAmt)+SUMIF(CalcDebit2,INDEX(PkPartyA,134),CalcAmt2)+SUMIF(CalcDebit3,INDEX(PkPartyA,134),CalcAmt3)))</f>
        <v/>
      </c>
      <c r="F158" s="14">
        <f>IF($B158="","",IF(134&gt;NPartyA,0,SUMIF(CalcCredit,INDEX(PkPartyA,134),CalcAmt)+SUMIF(CalcCredit2,INDEX(PkPartyA,134),CalcAmt2)+SUMIF(CalcCredit3,INDEX(PkPartyA,134),CalcAmt3)))</f>
        <v/>
      </c>
      <c r="G158" s="15">
        <f>IF($B158="","",ROUND($E158-$F158,0))</f>
        <v/>
      </c>
      <c r="H158" s="12">
        <f>IF($B158="","",IF(ROUND($G158,0)&gt;0,"بدهکار",IF(ROUND($G158,0)&lt;0,"بستانکار","تسویه")))</f>
        <v/>
      </c>
    </row>
    <row r="159">
      <c r="A159" s="16">
        <f>IF($B159="","",150)</f>
        <v/>
      </c>
      <c r="B159" s="17">
        <f>IF(135&gt;NPartyA,"",IFERROR(IF(VLOOKUP(INDEX(PkPartyA,135),AcctTblA,4,0)="","(بدون نام)",VLOOKUP(INDEX(PkPartyA,135),AcctTblA,4,0)),"—"))</f>
        <v/>
      </c>
      <c r="C159" s="18">
        <f>IF($B159="","",IF(135&gt;NPartyA,"",INDEX(PkPartyA,135)))</f>
        <v/>
      </c>
      <c r="D159" s="17">
        <f>IF($B159="","","p")</f>
        <v/>
      </c>
      <c r="E159" s="19">
        <f>IF($B159="","",IF(135&gt;NPartyA,0,SUMIF(CalcDebit,INDEX(PkPartyA,135),CalcAmt)+SUMIF(CalcDebit2,INDEX(PkPartyA,135),CalcAmt2)+SUMIF(CalcDebit3,INDEX(PkPartyA,135),CalcAmt3)))</f>
        <v/>
      </c>
      <c r="F159" s="19">
        <f>IF($B159="","",IF(135&gt;NPartyA,0,SUMIF(CalcCredit,INDEX(PkPartyA,135),CalcAmt)+SUMIF(CalcCredit2,INDEX(PkPartyA,135),CalcAmt2)+SUMIF(CalcCredit3,INDEX(PkPartyA,135),CalcAmt3)))</f>
        <v/>
      </c>
      <c r="G159" s="20">
        <f>IF($B159="","",ROUND($E159-$F159,0))</f>
        <v/>
      </c>
      <c r="H159" s="17">
        <f>IF($B159="","",IF(ROUND($G159,0)&gt;0,"بدهکار",IF(ROUND($G159,0)&lt;0,"بستانکار","تسویه")))</f>
        <v/>
      </c>
    </row>
    <row r="160">
      <c r="A160" s="11">
        <f>IF($B160="","",151)</f>
        <v/>
      </c>
      <c r="B160" s="12">
        <f>IF(136&gt;NPartyA,"",IFERROR(IF(VLOOKUP(INDEX(PkPartyA,136),AcctTblA,4,0)="","(بدون نام)",VLOOKUP(INDEX(PkPartyA,136),AcctTblA,4,0)),"—"))</f>
        <v/>
      </c>
      <c r="C160" s="13">
        <f>IF($B160="","",IF(136&gt;NPartyA,"",INDEX(PkPartyA,136)))</f>
        <v/>
      </c>
      <c r="D160" s="12">
        <f>IF($B160="","","p")</f>
        <v/>
      </c>
      <c r="E160" s="14">
        <f>IF($B160="","",IF(136&gt;NPartyA,0,SUMIF(CalcDebit,INDEX(PkPartyA,136),CalcAmt)+SUMIF(CalcDebit2,INDEX(PkPartyA,136),CalcAmt2)+SUMIF(CalcDebit3,INDEX(PkPartyA,136),CalcAmt3)))</f>
        <v/>
      </c>
      <c r="F160" s="14">
        <f>IF($B160="","",IF(136&gt;NPartyA,0,SUMIF(CalcCredit,INDEX(PkPartyA,136),CalcAmt)+SUMIF(CalcCredit2,INDEX(PkPartyA,136),CalcAmt2)+SUMIF(CalcCredit3,INDEX(PkPartyA,136),CalcAmt3)))</f>
        <v/>
      </c>
      <c r="G160" s="15">
        <f>IF($B160="","",ROUND($E160-$F160,0))</f>
        <v/>
      </c>
      <c r="H160" s="12">
        <f>IF($B160="","",IF(ROUND($G160,0)&gt;0,"بدهکار",IF(ROUND($G160,0)&lt;0,"بستانکار","تسویه")))</f>
        <v/>
      </c>
    </row>
    <row r="161">
      <c r="A161" s="16">
        <f>IF($B161="","",152)</f>
        <v/>
      </c>
      <c r="B161" s="17">
        <f>IF(137&gt;NPartyA,"",IFERROR(IF(VLOOKUP(INDEX(PkPartyA,137),AcctTblA,4,0)="","(بدون نام)",VLOOKUP(INDEX(PkPartyA,137),AcctTblA,4,0)),"—"))</f>
        <v/>
      </c>
      <c r="C161" s="18">
        <f>IF($B161="","",IF(137&gt;NPartyA,"",INDEX(PkPartyA,137)))</f>
        <v/>
      </c>
      <c r="D161" s="17">
        <f>IF($B161="","","p")</f>
        <v/>
      </c>
      <c r="E161" s="19">
        <f>IF($B161="","",IF(137&gt;NPartyA,0,SUMIF(CalcDebit,INDEX(PkPartyA,137),CalcAmt)+SUMIF(CalcDebit2,INDEX(PkPartyA,137),CalcAmt2)+SUMIF(CalcDebit3,INDEX(PkPartyA,137),CalcAmt3)))</f>
        <v/>
      </c>
      <c r="F161" s="19">
        <f>IF($B161="","",IF(137&gt;NPartyA,0,SUMIF(CalcCredit,INDEX(PkPartyA,137),CalcAmt)+SUMIF(CalcCredit2,INDEX(PkPartyA,137),CalcAmt2)+SUMIF(CalcCredit3,INDEX(PkPartyA,137),CalcAmt3)))</f>
        <v/>
      </c>
      <c r="G161" s="20">
        <f>IF($B161="","",ROUND($E161-$F161,0))</f>
        <v/>
      </c>
      <c r="H161" s="17">
        <f>IF($B161="","",IF(ROUND($G161,0)&gt;0,"بدهکار",IF(ROUND($G161,0)&lt;0,"بستانکار","تسویه")))</f>
        <v/>
      </c>
    </row>
    <row r="162">
      <c r="A162" s="11">
        <f>IF($B162="","",153)</f>
        <v/>
      </c>
      <c r="B162" s="12">
        <f>IF(138&gt;NPartyA,"",IFERROR(IF(VLOOKUP(INDEX(PkPartyA,138),AcctTblA,4,0)="","(بدون نام)",VLOOKUP(INDEX(PkPartyA,138),AcctTblA,4,0)),"—"))</f>
        <v/>
      </c>
      <c r="C162" s="13">
        <f>IF($B162="","",IF(138&gt;NPartyA,"",INDEX(PkPartyA,138)))</f>
        <v/>
      </c>
      <c r="D162" s="12">
        <f>IF($B162="","","p")</f>
        <v/>
      </c>
      <c r="E162" s="14">
        <f>IF($B162="","",IF(138&gt;NPartyA,0,SUMIF(CalcDebit,INDEX(PkPartyA,138),CalcAmt)+SUMIF(CalcDebit2,INDEX(PkPartyA,138),CalcAmt2)+SUMIF(CalcDebit3,INDEX(PkPartyA,138),CalcAmt3)))</f>
        <v/>
      </c>
      <c r="F162" s="14">
        <f>IF($B162="","",IF(138&gt;NPartyA,0,SUMIF(CalcCredit,INDEX(PkPartyA,138),CalcAmt)+SUMIF(CalcCredit2,INDEX(PkPartyA,138),CalcAmt2)+SUMIF(CalcCredit3,INDEX(PkPartyA,138),CalcAmt3)))</f>
        <v/>
      </c>
      <c r="G162" s="15">
        <f>IF($B162="","",ROUND($E162-$F162,0))</f>
        <v/>
      </c>
      <c r="H162" s="12">
        <f>IF($B162="","",IF(ROUND($G162,0)&gt;0,"بدهکار",IF(ROUND($G162,0)&lt;0,"بستانکار","تسویه")))</f>
        <v/>
      </c>
    </row>
    <row r="163">
      <c r="A163" s="16">
        <f>IF($B163="","",154)</f>
        <v/>
      </c>
      <c r="B163" s="17">
        <f>IF(139&gt;NPartyA,"",IFERROR(IF(VLOOKUP(INDEX(PkPartyA,139),AcctTblA,4,0)="","(بدون نام)",VLOOKUP(INDEX(PkPartyA,139),AcctTblA,4,0)),"—"))</f>
        <v/>
      </c>
      <c r="C163" s="18">
        <f>IF($B163="","",IF(139&gt;NPartyA,"",INDEX(PkPartyA,139)))</f>
        <v/>
      </c>
      <c r="D163" s="17">
        <f>IF($B163="","","p")</f>
        <v/>
      </c>
      <c r="E163" s="19">
        <f>IF($B163="","",IF(139&gt;NPartyA,0,SUMIF(CalcDebit,INDEX(PkPartyA,139),CalcAmt)+SUMIF(CalcDebit2,INDEX(PkPartyA,139),CalcAmt2)+SUMIF(CalcDebit3,INDEX(PkPartyA,139),CalcAmt3)))</f>
        <v/>
      </c>
      <c r="F163" s="19">
        <f>IF($B163="","",IF(139&gt;NPartyA,0,SUMIF(CalcCredit,INDEX(PkPartyA,139),CalcAmt)+SUMIF(CalcCredit2,INDEX(PkPartyA,139),CalcAmt2)+SUMIF(CalcCredit3,INDEX(PkPartyA,139),CalcAmt3)))</f>
        <v/>
      </c>
      <c r="G163" s="20">
        <f>IF($B163="","",ROUND($E163-$F163,0))</f>
        <v/>
      </c>
      <c r="H163" s="17">
        <f>IF($B163="","",IF(ROUND($G163,0)&gt;0,"بدهکار",IF(ROUND($G163,0)&lt;0,"بستانکار","تسویه")))</f>
        <v/>
      </c>
    </row>
    <row r="164">
      <c r="A164" s="11">
        <f>IF($B164="","",155)</f>
        <v/>
      </c>
      <c r="B164" s="12">
        <f>IF(140&gt;NPartyA,"",IFERROR(IF(VLOOKUP(INDEX(PkPartyA,140),AcctTblA,4,0)="","(بدون نام)",VLOOKUP(INDEX(PkPartyA,140),AcctTblA,4,0)),"—"))</f>
        <v/>
      </c>
      <c r="C164" s="13">
        <f>IF($B164="","",IF(140&gt;NPartyA,"",INDEX(PkPartyA,140)))</f>
        <v/>
      </c>
      <c r="D164" s="12">
        <f>IF($B164="","","p")</f>
        <v/>
      </c>
      <c r="E164" s="14">
        <f>IF($B164="","",IF(140&gt;NPartyA,0,SUMIF(CalcDebit,INDEX(PkPartyA,140),CalcAmt)+SUMIF(CalcDebit2,INDEX(PkPartyA,140),CalcAmt2)+SUMIF(CalcDebit3,INDEX(PkPartyA,140),CalcAmt3)))</f>
        <v/>
      </c>
      <c r="F164" s="14">
        <f>IF($B164="","",IF(140&gt;NPartyA,0,SUMIF(CalcCredit,INDEX(PkPartyA,140),CalcAmt)+SUMIF(CalcCredit2,INDEX(PkPartyA,140),CalcAmt2)+SUMIF(CalcCredit3,INDEX(PkPartyA,140),CalcAmt3)))</f>
        <v/>
      </c>
      <c r="G164" s="15">
        <f>IF($B164="","",ROUND($E164-$F164,0))</f>
        <v/>
      </c>
      <c r="H164" s="12">
        <f>IF($B164="","",IF(ROUND($G164,0)&gt;0,"بدهکار",IF(ROUND($G164,0)&lt;0,"بستانکار","تسویه")))</f>
        <v/>
      </c>
    </row>
    <row r="165">
      <c r="A165" s="16">
        <f>IF($B165="","",156)</f>
        <v/>
      </c>
      <c r="B165" s="17">
        <f>IF(141&gt;NPartyA,"",IFERROR(IF(VLOOKUP(INDEX(PkPartyA,141),AcctTblA,4,0)="","(بدون نام)",VLOOKUP(INDEX(PkPartyA,141),AcctTblA,4,0)),"—"))</f>
        <v/>
      </c>
      <c r="C165" s="18">
        <f>IF($B165="","",IF(141&gt;NPartyA,"",INDEX(PkPartyA,141)))</f>
        <v/>
      </c>
      <c r="D165" s="17">
        <f>IF($B165="","","p")</f>
        <v/>
      </c>
      <c r="E165" s="19">
        <f>IF($B165="","",IF(141&gt;NPartyA,0,SUMIF(CalcDebit,INDEX(PkPartyA,141),CalcAmt)+SUMIF(CalcDebit2,INDEX(PkPartyA,141),CalcAmt2)+SUMIF(CalcDebit3,INDEX(PkPartyA,141),CalcAmt3)))</f>
        <v/>
      </c>
      <c r="F165" s="19">
        <f>IF($B165="","",IF(141&gt;NPartyA,0,SUMIF(CalcCredit,INDEX(PkPartyA,141),CalcAmt)+SUMIF(CalcCredit2,INDEX(PkPartyA,141),CalcAmt2)+SUMIF(CalcCredit3,INDEX(PkPartyA,141),CalcAmt3)))</f>
        <v/>
      </c>
      <c r="G165" s="20">
        <f>IF($B165="","",ROUND($E165-$F165,0))</f>
        <v/>
      </c>
      <c r="H165" s="17">
        <f>IF($B165="","",IF(ROUND($G165,0)&gt;0,"بدهکار",IF(ROUND($G165,0)&lt;0,"بستانکار","تسویه")))</f>
        <v/>
      </c>
    </row>
    <row r="166">
      <c r="A166" s="11">
        <f>IF($B166="","",157)</f>
        <v/>
      </c>
      <c r="B166" s="12">
        <f>IF(142&gt;NPartyA,"",IFERROR(IF(VLOOKUP(INDEX(PkPartyA,142),AcctTblA,4,0)="","(بدون نام)",VLOOKUP(INDEX(PkPartyA,142),AcctTblA,4,0)),"—"))</f>
        <v/>
      </c>
      <c r="C166" s="13">
        <f>IF($B166="","",IF(142&gt;NPartyA,"",INDEX(PkPartyA,142)))</f>
        <v/>
      </c>
      <c r="D166" s="12">
        <f>IF($B166="","","p")</f>
        <v/>
      </c>
      <c r="E166" s="14">
        <f>IF($B166="","",IF(142&gt;NPartyA,0,SUMIF(CalcDebit,INDEX(PkPartyA,142),CalcAmt)+SUMIF(CalcDebit2,INDEX(PkPartyA,142),CalcAmt2)+SUMIF(CalcDebit3,INDEX(PkPartyA,142),CalcAmt3)))</f>
        <v/>
      </c>
      <c r="F166" s="14">
        <f>IF($B166="","",IF(142&gt;NPartyA,0,SUMIF(CalcCredit,INDEX(PkPartyA,142),CalcAmt)+SUMIF(CalcCredit2,INDEX(PkPartyA,142),CalcAmt2)+SUMIF(CalcCredit3,INDEX(PkPartyA,142),CalcAmt3)))</f>
        <v/>
      </c>
      <c r="G166" s="15">
        <f>IF($B166="","",ROUND($E166-$F166,0))</f>
        <v/>
      </c>
      <c r="H166" s="12">
        <f>IF($B166="","",IF(ROUND($G166,0)&gt;0,"بدهکار",IF(ROUND($G166,0)&lt;0,"بستانکار","تسویه")))</f>
        <v/>
      </c>
    </row>
    <row r="167">
      <c r="A167" s="16">
        <f>IF($B167="","",158)</f>
        <v/>
      </c>
      <c r="B167" s="17">
        <f>IF(143&gt;NPartyA,"",IFERROR(IF(VLOOKUP(INDEX(PkPartyA,143),AcctTblA,4,0)="","(بدون نام)",VLOOKUP(INDEX(PkPartyA,143),AcctTblA,4,0)),"—"))</f>
        <v/>
      </c>
      <c r="C167" s="18">
        <f>IF($B167="","",IF(143&gt;NPartyA,"",INDEX(PkPartyA,143)))</f>
        <v/>
      </c>
      <c r="D167" s="17">
        <f>IF($B167="","","p")</f>
        <v/>
      </c>
      <c r="E167" s="19">
        <f>IF($B167="","",IF(143&gt;NPartyA,0,SUMIF(CalcDebit,INDEX(PkPartyA,143),CalcAmt)+SUMIF(CalcDebit2,INDEX(PkPartyA,143),CalcAmt2)+SUMIF(CalcDebit3,INDEX(PkPartyA,143),CalcAmt3)))</f>
        <v/>
      </c>
      <c r="F167" s="19">
        <f>IF($B167="","",IF(143&gt;NPartyA,0,SUMIF(CalcCredit,INDEX(PkPartyA,143),CalcAmt)+SUMIF(CalcCredit2,INDEX(PkPartyA,143),CalcAmt2)+SUMIF(CalcCredit3,INDEX(PkPartyA,143),CalcAmt3)))</f>
        <v/>
      </c>
      <c r="G167" s="20">
        <f>IF($B167="","",ROUND($E167-$F167,0))</f>
        <v/>
      </c>
      <c r="H167" s="17">
        <f>IF($B167="","",IF(ROUND($G167,0)&gt;0,"بدهکار",IF(ROUND($G167,0)&lt;0,"بستانکار","تسویه")))</f>
        <v/>
      </c>
    </row>
    <row r="168">
      <c r="A168" s="11">
        <f>IF($B168="","",159)</f>
        <v/>
      </c>
      <c r="B168" s="12">
        <f>IF(144&gt;NPartyA,"",IFERROR(IF(VLOOKUP(INDEX(PkPartyA,144),AcctTblA,4,0)="","(بدون نام)",VLOOKUP(INDEX(PkPartyA,144),AcctTblA,4,0)),"—"))</f>
        <v/>
      </c>
      <c r="C168" s="13">
        <f>IF($B168="","",IF(144&gt;NPartyA,"",INDEX(PkPartyA,144)))</f>
        <v/>
      </c>
      <c r="D168" s="12">
        <f>IF($B168="","","p")</f>
        <v/>
      </c>
      <c r="E168" s="14">
        <f>IF($B168="","",IF(144&gt;NPartyA,0,SUMIF(CalcDebit,INDEX(PkPartyA,144),CalcAmt)+SUMIF(CalcDebit2,INDEX(PkPartyA,144),CalcAmt2)+SUMIF(CalcDebit3,INDEX(PkPartyA,144),CalcAmt3)))</f>
        <v/>
      </c>
      <c r="F168" s="14">
        <f>IF($B168="","",IF(144&gt;NPartyA,0,SUMIF(CalcCredit,INDEX(PkPartyA,144),CalcAmt)+SUMIF(CalcCredit2,INDEX(PkPartyA,144),CalcAmt2)+SUMIF(CalcCredit3,INDEX(PkPartyA,144),CalcAmt3)))</f>
        <v/>
      </c>
      <c r="G168" s="15">
        <f>IF($B168="","",ROUND($E168-$F168,0))</f>
        <v/>
      </c>
      <c r="H168" s="12">
        <f>IF($B168="","",IF(ROUND($G168,0)&gt;0,"بدهکار",IF(ROUND($G168,0)&lt;0,"بستانکار","تسویه")))</f>
        <v/>
      </c>
    </row>
    <row r="169">
      <c r="A169" s="16">
        <f>IF($B169="","",160)</f>
        <v/>
      </c>
      <c r="B169" s="17">
        <f>IF(145&gt;NPartyA,"",IFERROR(IF(VLOOKUP(INDEX(PkPartyA,145),AcctTblA,4,0)="","(بدون نام)",VLOOKUP(INDEX(PkPartyA,145),AcctTblA,4,0)),"—"))</f>
        <v/>
      </c>
      <c r="C169" s="18">
        <f>IF($B169="","",IF(145&gt;NPartyA,"",INDEX(PkPartyA,145)))</f>
        <v/>
      </c>
      <c r="D169" s="17">
        <f>IF($B169="","","p")</f>
        <v/>
      </c>
      <c r="E169" s="19">
        <f>IF($B169="","",IF(145&gt;NPartyA,0,SUMIF(CalcDebit,INDEX(PkPartyA,145),CalcAmt)+SUMIF(CalcDebit2,INDEX(PkPartyA,145),CalcAmt2)+SUMIF(CalcDebit3,INDEX(PkPartyA,145),CalcAmt3)))</f>
        <v/>
      </c>
      <c r="F169" s="19">
        <f>IF($B169="","",IF(145&gt;NPartyA,0,SUMIF(CalcCredit,INDEX(PkPartyA,145),CalcAmt)+SUMIF(CalcCredit2,INDEX(PkPartyA,145),CalcAmt2)+SUMIF(CalcCredit3,INDEX(PkPartyA,145),CalcAmt3)))</f>
        <v/>
      </c>
      <c r="G169" s="20">
        <f>IF($B169="","",ROUND($E169-$F169,0))</f>
        <v/>
      </c>
      <c r="H169" s="17">
        <f>IF($B169="","",IF(ROUND($G169,0)&gt;0,"بدهکار",IF(ROUND($G169,0)&lt;0,"بستانکار","تسویه")))</f>
        <v/>
      </c>
    </row>
    <row r="170">
      <c r="A170" s="11">
        <f>IF($B170="","",161)</f>
        <v/>
      </c>
      <c r="B170" s="12">
        <f>IF(146&gt;NPartyA,"",IFERROR(IF(VLOOKUP(INDEX(PkPartyA,146),AcctTblA,4,0)="","(بدون نام)",VLOOKUP(INDEX(PkPartyA,146),AcctTblA,4,0)),"—"))</f>
        <v/>
      </c>
      <c r="C170" s="13">
        <f>IF($B170="","",IF(146&gt;NPartyA,"",INDEX(PkPartyA,146)))</f>
        <v/>
      </c>
      <c r="D170" s="12">
        <f>IF($B170="","","p")</f>
        <v/>
      </c>
      <c r="E170" s="14">
        <f>IF($B170="","",IF(146&gt;NPartyA,0,SUMIF(CalcDebit,INDEX(PkPartyA,146),CalcAmt)+SUMIF(CalcDebit2,INDEX(PkPartyA,146),CalcAmt2)+SUMIF(CalcDebit3,INDEX(PkPartyA,146),CalcAmt3)))</f>
        <v/>
      </c>
      <c r="F170" s="14">
        <f>IF($B170="","",IF(146&gt;NPartyA,0,SUMIF(CalcCredit,INDEX(PkPartyA,146),CalcAmt)+SUMIF(CalcCredit2,INDEX(PkPartyA,146),CalcAmt2)+SUMIF(CalcCredit3,INDEX(PkPartyA,146),CalcAmt3)))</f>
        <v/>
      </c>
      <c r="G170" s="15">
        <f>IF($B170="","",ROUND($E170-$F170,0))</f>
        <v/>
      </c>
      <c r="H170" s="12">
        <f>IF($B170="","",IF(ROUND($G170,0)&gt;0,"بدهکار",IF(ROUND($G170,0)&lt;0,"بستانکار","تسویه")))</f>
        <v/>
      </c>
    </row>
    <row r="171">
      <c r="A171" s="16">
        <f>IF($B171="","",162)</f>
        <v/>
      </c>
      <c r="B171" s="17">
        <f>IF(147&gt;NPartyA,"",IFERROR(IF(VLOOKUP(INDEX(PkPartyA,147),AcctTblA,4,0)="","(بدون نام)",VLOOKUP(INDEX(PkPartyA,147),AcctTblA,4,0)),"—"))</f>
        <v/>
      </c>
      <c r="C171" s="18">
        <f>IF($B171="","",IF(147&gt;NPartyA,"",INDEX(PkPartyA,147)))</f>
        <v/>
      </c>
      <c r="D171" s="17">
        <f>IF($B171="","","p")</f>
        <v/>
      </c>
      <c r="E171" s="19">
        <f>IF($B171="","",IF(147&gt;NPartyA,0,SUMIF(CalcDebit,INDEX(PkPartyA,147),CalcAmt)+SUMIF(CalcDebit2,INDEX(PkPartyA,147),CalcAmt2)+SUMIF(CalcDebit3,INDEX(PkPartyA,147),CalcAmt3)))</f>
        <v/>
      </c>
      <c r="F171" s="19">
        <f>IF($B171="","",IF(147&gt;NPartyA,0,SUMIF(CalcCredit,INDEX(PkPartyA,147),CalcAmt)+SUMIF(CalcCredit2,INDEX(PkPartyA,147),CalcAmt2)+SUMIF(CalcCredit3,INDEX(PkPartyA,147),CalcAmt3)))</f>
        <v/>
      </c>
      <c r="G171" s="20">
        <f>IF($B171="","",ROUND($E171-$F171,0))</f>
        <v/>
      </c>
      <c r="H171" s="17">
        <f>IF($B171="","",IF(ROUND($G171,0)&gt;0,"بدهکار",IF(ROUND($G171,0)&lt;0,"بستانکار","تسویه")))</f>
        <v/>
      </c>
    </row>
    <row r="172">
      <c r="A172" s="11">
        <f>IF($B172="","",163)</f>
        <v/>
      </c>
      <c r="B172" s="12">
        <f>IF(148&gt;NPartyA,"",IFERROR(IF(VLOOKUP(INDEX(PkPartyA,148),AcctTblA,4,0)="","(بدون نام)",VLOOKUP(INDEX(PkPartyA,148),AcctTblA,4,0)),"—"))</f>
        <v/>
      </c>
      <c r="C172" s="13">
        <f>IF($B172="","",IF(148&gt;NPartyA,"",INDEX(PkPartyA,148)))</f>
        <v/>
      </c>
      <c r="D172" s="12">
        <f>IF($B172="","","p")</f>
        <v/>
      </c>
      <c r="E172" s="14">
        <f>IF($B172="","",IF(148&gt;NPartyA,0,SUMIF(CalcDebit,INDEX(PkPartyA,148),CalcAmt)+SUMIF(CalcDebit2,INDEX(PkPartyA,148),CalcAmt2)+SUMIF(CalcDebit3,INDEX(PkPartyA,148),CalcAmt3)))</f>
        <v/>
      </c>
      <c r="F172" s="14">
        <f>IF($B172="","",IF(148&gt;NPartyA,0,SUMIF(CalcCredit,INDEX(PkPartyA,148),CalcAmt)+SUMIF(CalcCredit2,INDEX(PkPartyA,148),CalcAmt2)+SUMIF(CalcCredit3,INDEX(PkPartyA,148),CalcAmt3)))</f>
        <v/>
      </c>
      <c r="G172" s="15">
        <f>IF($B172="","",ROUND($E172-$F172,0))</f>
        <v/>
      </c>
      <c r="H172" s="12">
        <f>IF($B172="","",IF(ROUND($G172,0)&gt;0,"بدهکار",IF(ROUND($G172,0)&lt;0,"بستانکار","تسویه")))</f>
        <v/>
      </c>
    </row>
    <row r="173">
      <c r="A173" s="16">
        <f>IF($B173="","",164)</f>
        <v/>
      </c>
      <c r="B173" s="17">
        <f>IF(149&gt;NPartyA,"",IFERROR(IF(VLOOKUP(INDEX(PkPartyA,149),AcctTblA,4,0)="","(بدون نام)",VLOOKUP(INDEX(PkPartyA,149),AcctTblA,4,0)),"—"))</f>
        <v/>
      </c>
      <c r="C173" s="18">
        <f>IF($B173="","",IF(149&gt;NPartyA,"",INDEX(PkPartyA,149)))</f>
        <v/>
      </c>
      <c r="D173" s="17">
        <f>IF($B173="","","p")</f>
        <v/>
      </c>
      <c r="E173" s="19">
        <f>IF($B173="","",IF(149&gt;NPartyA,0,SUMIF(CalcDebit,INDEX(PkPartyA,149),CalcAmt)+SUMIF(CalcDebit2,INDEX(PkPartyA,149),CalcAmt2)+SUMIF(CalcDebit3,INDEX(PkPartyA,149),CalcAmt3)))</f>
        <v/>
      </c>
      <c r="F173" s="19">
        <f>IF($B173="","",IF(149&gt;NPartyA,0,SUMIF(CalcCredit,INDEX(PkPartyA,149),CalcAmt)+SUMIF(CalcCredit2,INDEX(PkPartyA,149),CalcAmt2)+SUMIF(CalcCredit3,INDEX(PkPartyA,149),CalcAmt3)))</f>
        <v/>
      </c>
      <c r="G173" s="20">
        <f>IF($B173="","",ROUND($E173-$F173,0))</f>
        <v/>
      </c>
      <c r="H173" s="17">
        <f>IF($B173="","",IF(ROUND($G173,0)&gt;0,"بدهکار",IF(ROUND($G173,0)&lt;0,"بستانکار","تسویه")))</f>
        <v/>
      </c>
    </row>
    <row r="174">
      <c r="A174" s="11">
        <f>IF($B174="","",165)</f>
        <v/>
      </c>
      <c r="B174" s="12">
        <f>IF(150&gt;NPartyA,"",IFERROR(IF(VLOOKUP(INDEX(PkPartyA,150),AcctTblA,4,0)="","(بدون نام)",VLOOKUP(INDEX(PkPartyA,150),AcctTblA,4,0)),"—"))</f>
        <v/>
      </c>
      <c r="C174" s="13">
        <f>IF($B174="","",IF(150&gt;NPartyA,"",INDEX(PkPartyA,150)))</f>
        <v/>
      </c>
      <c r="D174" s="12">
        <f>IF($B174="","","p")</f>
        <v/>
      </c>
      <c r="E174" s="14">
        <f>IF($B174="","",IF(150&gt;NPartyA,0,SUMIF(CalcDebit,INDEX(PkPartyA,150),CalcAmt)+SUMIF(CalcDebit2,INDEX(PkPartyA,150),CalcAmt2)+SUMIF(CalcDebit3,INDEX(PkPartyA,150),CalcAmt3)))</f>
        <v/>
      </c>
      <c r="F174" s="14">
        <f>IF($B174="","",IF(150&gt;NPartyA,0,SUMIF(CalcCredit,INDEX(PkPartyA,150),CalcAmt)+SUMIF(CalcCredit2,INDEX(PkPartyA,150),CalcAmt2)+SUMIF(CalcCredit3,INDEX(PkPartyA,150),CalcAmt3)))</f>
        <v/>
      </c>
      <c r="G174" s="15">
        <f>IF($B174="","",ROUND($E174-$F174,0))</f>
        <v/>
      </c>
      <c r="H174" s="12">
        <f>IF($B174="","",IF(ROUND($G174,0)&gt;0,"بدهکار",IF(ROUND($G174,0)&lt;0,"بستانکار","تسویه")))</f>
        <v/>
      </c>
    </row>
    <row r="175">
      <c r="A175" s="16">
        <f>IF($B175="","",166)</f>
        <v/>
      </c>
      <c r="B175" s="17">
        <f>IF(151&gt;NPartyA,"",IFERROR(IF(VLOOKUP(INDEX(PkPartyA,151),AcctTblA,4,0)="","(بدون نام)",VLOOKUP(INDEX(PkPartyA,151),AcctTblA,4,0)),"—"))</f>
        <v/>
      </c>
      <c r="C175" s="18">
        <f>IF($B175="","",IF(151&gt;NPartyA,"",INDEX(PkPartyA,151)))</f>
        <v/>
      </c>
      <c r="D175" s="17">
        <f>IF($B175="","","p")</f>
        <v/>
      </c>
      <c r="E175" s="19">
        <f>IF($B175="","",IF(151&gt;NPartyA,0,SUMIF(CalcDebit,INDEX(PkPartyA,151),CalcAmt)+SUMIF(CalcDebit2,INDEX(PkPartyA,151),CalcAmt2)+SUMIF(CalcDebit3,INDEX(PkPartyA,151),CalcAmt3)))</f>
        <v/>
      </c>
      <c r="F175" s="19">
        <f>IF($B175="","",IF(151&gt;NPartyA,0,SUMIF(CalcCredit,INDEX(PkPartyA,151),CalcAmt)+SUMIF(CalcCredit2,INDEX(PkPartyA,151),CalcAmt2)+SUMIF(CalcCredit3,INDEX(PkPartyA,151),CalcAmt3)))</f>
        <v/>
      </c>
      <c r="G175" s="20">
        <f>IF($B175="","",ROUND($E175-$F175,0))</f>
        <v/>
      </c>
      <c r="H175" s="17">
        <f>IF($B175="","",IF(ROUND($G175,0)&gt;0,"بدهکار",IF(ROUND($G175,0)&lt;0,"بستانکار","تسویه")))</f>
        <v/>
      </c>
    </row>
    <row r="176">
      <c r="A176" s="11">
        <f>IF($B176="","",167)</f>
        <v/>
      </c>
      <c r="B176" s="12">
        <f>IF(152&gt;NPartyA,"",IFERROR(IF(VLOOKUP(INDEX(PkPartyA,152),AcctTblA,4,0)="","(بدون نام)",VLOOKUP(INDEX(PkPartyA,152),AcctTblA,4,0)),"—"))</f>
        <v/>
      </c>
      <c r="C176" s="13">
        <f>IF($B176="","",IF(152&gt;NPartyA,"",INDEX(PkPartyA,152)))</f>
        <v/>
      </c>
      <c r="D176" s="12">
        <f>IF($B176="","","p")</f>
        <v/>
      </c>
      <c r="E176" s="14">
        <f>IF($B176="","",IF(152&gt;NPartyA,0,SUMIF(CalcDebit,INDEX(PkPartyA,152),CalcAmt)+SUMIF(CalcDebit2,INDEX(PkPartyA,152),CalcAmt2)+SUMIF(CalcDebit3,INDEX(PkPartyA,152),CalcAmt3)))</f>
        <v/>
      </c>
      <c r="F176" s="14">
        <f>IF($B176="","",IF(152&gt;NPartyA,0,SUMIF(CalcCredit,INDEX(PkPartyA,152),CalcAmt)+SUMIF(CalcCredit2,INDEX(PkPartyA,152),CalcAmt2)+SUMIF(CalcCredit3,INDEX(PkPartyA,152),CalcAmt3)))</f>
        <v/>
      </c>
      <c r="G176" s="15">
        <f>IF($B176="","",ROUND($E176-$F176,0))</f>
        <v/>
      </c>
      <c r="H176" s="12">
        <f>IF($B176="","",IF(ROUND($G176,0)&gt;0,"بدهکار",IF(ROUND($G176,0)&lt;0,"بستانکار","تسویه")))</f>
        <v/>
      </c>
    </row>
    <row r="177">
      <c r="A177" s="16">
        <f>IF($B177="","",168)</f>
        <v/>
      </c>
      <c r="B177" s="17">
        <f>IF(153&gt;NPartyA,"",IFERROR(IF(VLOOKUP(INDEX(PkPartyA,153),AcctTblA,4,0)="","(بدون نام)",VLOOKUP(INDEX(PkPartyA,153),AcctTblA,4,0)),"—"))</f>
        <v/>
      </c>
      <c r="C177" s="18">
        <f>IF($B177="","",IF(153&gt;NPartyA,"",INDEX(PkPartyA,153)))</f>
        <v/>
      </c>
      <c r="D177" s="17">
        <f>IF($B177="","","p")</f>
        <v/>
      </c>
      <c r="E177" s="19">
        <f>IF($B177="","",IF(153&gt;NPartyA,0,SUMIF(CalcDebit,INDEX(PkPartyA,153),CalcAmt)+SUMIF(CalcDebit2,INDEX(PkPartyA,153),CalcAmt2)+SUMIF(CalcDebit3,INDEX(PkPartyA,153),CalcAmt3)))</f>
        <v/>
      </c>
      <c r="F177" s="19">
        <f>IF($B177="","",IF(153&gt;NPartyA,0,SUMIF(CalcCredit,INDEX(PkPartyA,153),CalcAmt)+SUMIF(CalcCredit2,INDEX(PkPartyA,153),CalcAmt2)+SUMIF(CalcCredit3,INDEX(PkPartyA,153),CalcAmt3)))</f>
        <v/>
      </c>
      <c r="G177" s="20">
        <f>IF($B177="","",ROUND($E177-$F177,0))</f>
        <v/>
      </c>
      <c r="H177" s="17">
        <f>IF($B177="","",IF(ROUND($G177,0)&gt;0,"بدهکار",IF(ROUND($G177,0)&lt;0,"بستانکار","تسویه")))</f>
        <v/>
      </c>
    </row>
    <row r="178">
      <c r="A178" s="11">
        <f>IF($B178="","",169)</f>
        <v/>
      </c>
      <c r="B178" s="12">
        <f>IF(154&gt;NPartyA,"",IFERROR(IF(VLOOKUP(INDEX(PkPartyA,154),AcctTblA,4,0)="","(بدون نام)",VLOOKUP(INDEX(PkPartyA,154),AcctTblA,4,0)),"—"))</f>
        <v/>
      </c>
      <c r="C178" s="13">
        <f>IF($B178="","",IF(154&gt;NPartyA,"",INDEX(PkPartyA,154)))</f>
        <v/>
      </c>
      <c r="D178" s="12">
        <f>IF($B178="","","p")</f>
        <v/>
      </c>
      <c r="E178" s="14">
        <f>IF($B178="","",IF(154&gt;NPartyA,0,SUMIF(CalcDebit,INDEX(PkPartyA,154),CalcAmt)+SUMIF(CalcDebit2,INDEX(PkPartyA,154),CalcAmt2)+SUMIF(CalcDebit3,INDEX(PkPartyA,154),CalcAmt3)))</f>
        <v/>
      </c>
      <c r="F178" s="14">
        <f>IF($B178="","",IF(154&gt;NPartyA,0,SUMIF(CalcCredit,INDEX(PkPartyA,154),CalcAmt)+SUMIF(CalcCredit2,INDEX(PkPartyA,154),CalcAmt2)+SUMIF(CalcCredit3,INDEX(PkPartyA,154),CalcAmt3)))</f>
        <v/>
      </c>
      <c r="G178" s="15">
        <f>IF($B178="","",ROUND($E178-$F178,0))</f>
        <v/>
      </c>
      <c r="H178" s="12">
        <f>IF($B178="","",IF(ROUND($G178,0)&gt;0,"بدهکار",IF(ROUND($G178,0)&lt;0,"بستانکار","تسویه")))</f>
        <v/>
      </c>
    </row>
    <row r="179">
      <c r="A179" s="16">
        <f>IF($B179="","",170)</f>
        <v/>
      </c>
      <c r="B179" s="17">
        <f>IF(155&gt;NPartyA,"",IFERROR(IF(VLOOKUP(INDEX(PkPartyA,155),AcctTblA,4,0)="","(بدون نام)",VLOOKUP(INDEX(PkPartyA,155),AcctTblA,4,0)),"—"))</f>
        <v/>
      </c>
      <c r="C179" s="18">
        <f>IF($B179="","",IF(155&gt;NPartyA,"",INDEX(PkPartyA,155)))</f>
        <v/>
      </c>
      <c r="D179" s="17">
        <f>IF($B179="","","p")</f>
        <v/>
      </c>
      <c r="E179" s="19">
        <f>IF($B179="","",IF(155&gt;NPartyA,0,SUMIF(CalcDebit,INDEX(PkPartyA,155),CalcAmt)+SUMIF(CalcDebit2,INDEX(PkPartyA,155),CalcAmt2)+SUMIF(CalcDebit3,INDEX(PkPartyA,155),CalcAmt3)))</f>
        <v/>
      </c>
      <c r="F179" s="19">
        <f>IF($B179="","",IF(155&gt;NPartyA,0,SUMIF(CalcCredit,INDEX(PkPartyA,155),CalcAmt)+SUMIF(CalcCredit2,INDEX(PkPartyA,155),CalcAmt2)+SUMIF(CalcCredit3,INDEX(PkPartyA,155),CalcAmt3)))</f>
        <v/>
      </c>
      <c r="G179" s="20">
        <f>IF($B179="","",ROUND($E179-$F179,0))</f>
        <v/>
      </c>
      <c r="H179" s="17">
        <f>IF($B179="","",IF(ROUND($G179,0)&gt;0,"بدهکار",IF(ROUND($G179,0)&lt;0,"بستانکار","تسویه")))</f>
        <v/>
      </c>
    </row>
    <row r="180">
      <c r="A180" s="11">
        <f>IF($B180="","",171)</f>
        <v/>
      </c>
      <c r="B180" s="12">
        <f>IF(156&gt;NPartyA,"",IFERROR(IF(VLOOKUP(INDEX(PkPartyA,156),AcctTblA,4,0)="","(بدون نام)",VLOOKUP(INDEX(PkPartyA,156),AcctTblA,4,0)),"—"))</f>
        <v/>
      </c>
      <c r="C180" s="13">
        <f>IF($B180="","",IF(156&gt;NPartyA,"",INDEX(PkPartyA,156)))</f>
        <v/>
      </c>
      <c r="D180" s="12">
        <f>IF($B180="","","p")</f>
        <v/>
      </c>
      <c r="E180" s="14">
        <f>IF($B180="","",IF(156&gt;NPartyA,0,SUMIF(CalcDebit,INDEX(PkPartyA,156),CalcAmt)+SUMIF(CalcDebit2,INDEX(PkPartyA,156),CalcAmt2)+SUMIF(CalcDebit3,INDEX(PkPartyA,156),CalcAmt3)))</f>
        <v/>
      </c>
      <c r="F180" s="14">
        <f>IF($B180="","",IF(156&gt;NPartyA,0,SUMIF(CalcCredit,INDEX(PkPartyA,156),CalcAmt)+SUMIF(CalcCredit2,INDEX(PkPartyA,156),CalcAmt2)+SUMIF(CalcCredit3,INDEX(PkPartyA,156),CalcAmt3)))</f>
        <v/>
      </c>
      <c r="G180" s="15">
        <f>IF($B180="","",ROUND($E180-$F180,0))</f>
        <v/>
      </c>
      <c r="H180" s="12">
        <f>IF($B180="","",IF(ROUND($G180,0)&gt;0,"بدهکار",IF(ROUND($G180,0)&lt;0,"بستانکار","تسویه")))</f>
        <v/>
      </c>
    </row>
    <row r="181">
      <c r="A181" s="16">
        <f>IF($B181="","",172)</f>
        <v/>
      </c>
      <c r="B181" s="17">
        <f>IF(157&gt;NPartyA,"",IFERROR(IF(VLOOKUP(INDEX(PkPartyA,157),AcctTblA,4,0)="","(بدون نام)",VLOOKUP(INDEX(PkPartyA,157),AcctTblA,4,0)),"—"))</f>
        <v/>
      </c>
      <c r="C181" s="18">
        <f>IF($B181="","",IF(157&gt;NPartyA,"",INDEX(PkPartyA,157)))</f>
        <v/>
      </c>
      <c r="D181" s="17">
        <f>IF($B181="","","p")</f>
        <v/>
      </c>
      <c r="E181" s="19">
        <f>IF($B181="","",IF(157&gt;NPartyA,0,SUMIF(CalcDebit,INDEX(PkPartyA,157),CalcAmt)+SUMIF(CalcDebit2,INDEX(PkPartyA,157),CalcAmt2)+SUMIF(CalcDebit3,INDEX(PkPartyA,157),CalcAmt3)))</f>
        <v/>
      </c>
      <c r="F181" s="19">
        <f>IF($B181="","",IF(157&gt;NPartyA,0,SUMIF(CalcCredit,INDEX(PkPartyA,157),CalcAmt)+SUMIF(CalcCredit2,INDEX(PkPartyA,157),CalcAmt2)+SUMIF(CalcCredit3,INDEX(PkPartyA,157),CalcAmt3)))</f>
        <v/>
      </c>
      <c r="G181" s="20">
        <f>IF($B181="","",ROUND($E181-$F181,0))</f>
        <v/>
      </c>
      <c r="H181" s="17">
        <f>IF($B181="","",IF(ROUND($G181,0)&gt;0,"بدهکار",IF(ROUND($G181,0)&lt;0,"بستانکار","تسویه")))</f>
        <v/>
      </c>
    </row>
    <row r="182">
      <c r="A182" s="11">
        <f>IF($B182="","",173)</f>
        <v/>
      </c>
      <c r="B182" s="12">
        <f>IF(158&gt;NPartyA,"",IFERROR(IF(VLOOKUP(INDEX(PkPartyA,158),AcctTblA,4,0)="","(بدون نام)",VLOOKUP(INDEX(PkPartyA,158),AcctTblA,4,0)),"—"))</f>
        <v/>
      </c>
      <c r="C182" s="13">
        <f>IF($B182="","",IF(158&gt;NPartyA,"",INDEX(PkPartyA,158)))</f>
        <v/>
      </c>
      <c r="D182" s="12">
        <f>IF($B182="","","p")</f>
        <v/>
      </c>
      <c r="E182" s="14">
        <f>IF($B182="","",IF(158&gt;NPartyA,0,SUMIF(CalcDebit,INDEX(PkPartyA,158),CalcAmt)+SUMIF(CalcDebit2,INDEX(PkPartyA,158),CalcAmt2)+SUMIF(CalcDebit3,INDEX(PkPartyA,158),CalcAmt3)))</f>
        <v/>
      </c>
      <c r="F182" s="14">
        <f>IF($B182="","",IF(158&gt;NPartyA,0,SUMIF(CalcCredit,INDEX(PkPartyA,158),CalcAmt)+SUMIF(CalcCredit2,INDEX(PkPartyA,158),CalcAmt2)+SUMIF(CalcCredit3,INDEX(PkPartyA,158),CalcAmt3)))</f>
        <v/>
      </c>
      <c r="G182" s="15">
        <f>IF($B182="","",ROUND($E182-$F182,0))</f>
        <v/>
      </c>
      <c r="H182" s="12">
        <f>IF($B182="","",IF(ROUND($G182,0)&gt;0,"بدهکار",IF(ROUND($G182,0)&lt;0,"بستانکار","تسویه")))</f>
        <v/>
      </c>
    </row>
    <row r="183">
      <c r="A183" s="16">
        <f>IF($B183="","",174)</f>
        <v/>
      </c>
      <c r="B183" s="17">
        <f>IF(159&gt;NPartyA,"",IFERROR(IF(VLOOKUP(INDEX(PkPartyA,159),AcctTblA,4,0)="","(بدون نام)",VLOOKUP(INDEX(PkPartyA,159),AcctTblA,4,0)),"—"))</f>
        <v/>
      </c>
      <c r="C183" s="18">
        <f>IF($B183="","",IF(159&gt;NPartyA,"",INDEX(PkPartyA,159)))</f>
        <v/>
      </c>
      <c r="D183" s="17">
        <f>IF($B183="","","p")</f>
        <v/>
      </c>
      <c r="E183" s="19">
        <f>IF($B183="","",IF(159&gt;NPartyA,0,SUMIF(CalcDebit,INDEX(PkPartyA,159),CalcAmt)+SUMIF(CalcDebit2,INDEX(PkPartyA,159),CalcAmt2)+SUMIF(CalcDebit3,INDEX(PkPartyA,159),CalcAmt3)))</f>
        <v/>
      </c>
      <c r="F183" s="19">
        <f>IF($B183="","",IF(159&gt;NPartyA,0,SUMIF(CalcCredit,INDEX(PkPartyA,159),CalcAmt)+SUMIF(CalcCredit2,INDEX(PkPartyA,159),CalcAmt2)+SUMIF(CalcCredit3,INDEX(PkPartyA,159),CalcAmt3)))</f>
        <v/>
      </c>
      <c r="G183" s="20">
        <f>IF($B183="","",ROUND($E183-$F183,0))</f>
        <v/>
      </c>
      <c r="H183" s="17">
        <f>IF($B183="","",IF(ROUND($G183,0)&gt;0,"بدهکار",IF(ROUND($G183,0)&lt;0,"بستانکار","تسویه")))</f>
        <v/>
      </c>
    </row>
    <row r="184">
      <c r="A184" s="11">
        <f>IF($B184="","",175)</f>
        <v/>
      </c>
      <c r="B184" s="12">
        <f>IF(160&gt;NPartyA,"",IFERROR(IF(VLOOKUP(INDEX(PkPartyA,160),AcctTblA,4,0)="","(بدون نام)",VLOOKUP(INDEX(PkPartyA,160),AcctTblA,4,0)),"—"))</f>
        <v/>
      </c>
      <c r="C184" s="13">
        <f>IF($B184="","",IF(160&gt;NPartyA,"",INDEX(PkPartyA,160)))</f>
        <v/>
      </c>
      <c r="D184" s="12">
        <f>IF($B184="","","p")</f>
        <v/>
      </c>
      <c r="E184" s="14">
        <f>IF($B184="","",IF(160&gt;NPartyA,0,SUMIF(CalcDebit,INDEX(PkPartyA,160),CalcAmt)+SUMIF(CalcDebit2,INDEX(PkPartyA,160),CalcAmt2)+SUMIF(CalcDebit3,INDEX(PkPartyA,160),CalcAmt3)))</f>
        <v/>
      </c>
      <c r="F184" s="14">
        <f>IF($B184="","",IF(160&gt;NPartyA,0,SUMIF(CalcCredit,INDEX(PkPartyA,160),CalcAmt)+SUMIF(CalcCredit2,INDEX(PkPartyA,160),CalcAmt2)+SUMIF(CalcCredit3,INDEX(PkPartyA,160),CalcAmt3)))</f>
        <v/>
      </c>
      <c r="G184" s="15">
        <f>IF($B184="","",ROUND($E184-$F184,0))</f>
        <v/>
      </c>
      <c r="H184" s="12">
        <f>IF($B184="","",IF(ROUND($G184,0)&gt;0,"بدهکار",IF(ROUND($G184,0)&lt;0,"بستانکار","تسویه")))</f>
        <v/>
      </c>
    </row>
    <row r="185">
      <c r="A185" s="16">
        <f>IF($B185="","",176)</f>
        <v/>
      </c>
      <c r="B185" s="17">
        <f>IF(161&gt;NPartyA,"",IFERROR(IF(VLOOKUP(INDEX(PkPartyA,161),AcctTblA,4,0)="","(بدون نام)",VLOOKUP(INDEX(PkPartyA,161),AcctTblA,4,0)),"—"))</f>
        <v/>
      </c>
      <c r="C185" s="18">
        <f>IF($B185="","",IF(161&gt;NPartyA,"",INDEX(PkPartyA,161)))</f>
        <v/>
      </c>
      <c r="D185" s="17">
        <f>IF($B185="","","p")</f>
        <v/>
      </c>
      <c r="E185" s="19">
        <f>IF($B185="","",IF(161&gt;NPartyA,0,SUMIF(CalcDebit,INDEX(PkPartyA,161),CalcAmt)+SUMIF(CalcDebit2,INDEX(PkPartyA,161),CalcAmt2)+SUMIF(CalcDebit3,INDEX(PkPartyA,161),CalcAmt3)))</f>
        <v/>
      </c>
      <c r="F185" s="19">
        <f>IF($B185="","",IF(161&gt;NPartyA,0,SUMIF(CalcCredit,INDEX(PkPartyA,161),CalcAmt)+SUMIF(CalcCredit2,INDEX(PkPartyA,161),CalcAmt2)+SUMIF(CalcCredit3,INDEX(PkPartyA,161),CalcAmt3)))</f>
        <v/>
      </c>
      <c r="G185" s="20">
        <f>IF($B185="","",ROUND($E185-$F185,0))</f>
        <v/>
      </c>
      <c r="H185" s="17">
        <f>IF($B185="","",IF(ROUND($G185,0)&gt;0,"بدهکار",IF(ROUND($G185,0)&lt;0,"بستانکار","تسویه")))</f>
        <v/>
      </c>
    </row>
    <row r="186">
      <c r="A186" s="11">
        <f>IF($B186="","",177)</f>
        <v/>
      </c>
      <c r="B186" s="12">
        <f>IF(162&gt;NPartyA,"",IFERROR(IF(VLOOKUP(INDEX(PkPartyA,162),AcctTblA,4,0)="","(بدون نام)",VLOOKUP(INDEX(PkPartyA,162),AcctTblA,4,0)),"—"))</f>
        <v/>
      </c>
      <c r="C186" s="13">
        <f>IF($B186="","",IF(162&gt;NPartyA,"",INDEX(PkPartyA,162)))</f>
        <v/>
      </c>
      <c r="D186" s="12">
        <f>IF($B186="","","p")</f>
        <v/>
      </c>
      <c r="E186" s="14">
        <f>IF($B186="","",IF(162&gt;NPartyA,0,SUMIF(CalcDebit,INDEX(PkPartyA,162),CalcAmt)+SUMIF(CalcDebit2,INDEX(PkPartyA,162),CalcAmt2)+SUMIF(CalcDebit3,INDEX(PkPartyA,162),CalcAmt3)))</f>
        <v/>
      </c>
      <c r="F186" s="14">
        <f>IF($B186="","",IF(162&gt;NPartyA,0,SUMIF(CalcCredit,INDEX(PkPartyA,162),CalcAmt)+SUMIF(CalcCredit2,INDEX(PkPartyA,162),CalcAmt2)+SUMIF(CalcCredit3,INDEX(PkPartyA,162),CalcAmt3)))</f>
        <v/>
      </c>
      <c r="G186" s="15">
        <f>IF($B186="","",ROUND($E186-$F186,0))</f>
        <v/>
      </c>
      <c r="H186" s="12">
        <f>IF($B186="","",IF(ROUND($G186,0)&gt;0,"بدهکار",IF(ROUND($G186,0)&lt;0,"بستانکار","تسویه")))</f>
        <v/>
      </c>
    </row>
    <row r="187">
      <c r="A187" s="16">
        <f>IF($B187="","",178)</f>
        <v/>
      </c>
      <c r="B187" s="17">
        <f>IF(163&gt;NPartyA,"",IFERROR(IF(VLOOKUP(INDEX(PkPartyA,163),AcctTblA,4,0)="","(بدون نام)",VLOOKUP(INDEX(PkPartyA,163),AcctTblA,4,0)),"—"))</f>
        <v/>
      </c>
      <c r="C187" s="18">
        <f>IF($B187="","",IF(163&gt;NPartyA,"",INDEX(PkPartyA,163)))</f>
        <v/>
      </c>
      <c r="D187" s="17">
        <f>IF($B187="","","p")</f>
        <v/>
      </c>
      <c r="E187" s="19">
        <f>IF($B187="","",IF(163&gt;NPartyA,0,SUMIF(CalcDebit,INDEX(PkPartyA,163),CalcAmt)+SUMIF(CalcDebit2,INDEX(PkPartyA,163),CalcAmt2)+SUMIF(CalcDebit3,INDEX(PkPartyA,163),CalcAmt3)))</f>
        <v/>
      </c>
      <c r="F187" s="19">
        <f>IF($B187="","",IF(163&gt;NPartyA,0,SUMIF(CalcCredit,INDEX(PkPartyA,163),CalcAmt)+SUMIF(CalcCredit2,INDEX(PkPartyA,163),CalcAmt2)+SUMIF(CalcCredit3,INDEX(PkPartyA,163),CalcAmt3)))</f>
        <v/>
      </c>
      <c r="G187" s="20">
        <f>IF($B187="","",ROUND($E187-$F187,0))</f>
        <v/>
      </c>
      <c r="H187" s="17">
        <f>IF($B187="","",IF(ROUND($G187,0)&gt;0,"بدهکار",IF(ROUND($G187,0)&lt;0,"بستانکار","تسویه")))</f>
        <v/>
      </c>
    </row>
    <row r="188">
      <c r="A188" s="11">
        <f>IF($B188="","",179)</f>
        <v/>
      </c>
      <c r="B188" s="12">
        <f>IF(164&gt;NPartyA,"",IFERROR(IF(VLOOKUP(INDEX(PkPartyA,164),AcctTblA,4,0)="","(بدون نام)",VLOOKUP(INDEX(PkPartyA,164),AcctTblA,4,0)),"—"))</f>
        <v/>
      </c>
      <c r="C188" s="13">
        <f>IF($B188="","",IF(164&gt;NPartyA,"",INDEX(PkPartyA,164)))</f>
        <v/>
      </c>
      <c r="D188" s="12">
        <f>IF($B188="","","p")</f>
        <v/>
      </c>
      <c r="E188" s="14">
        <f>IF($B188="","",IF(164&gt;NPartyA,0,SUMIF(CalcDebit,INDEX(PkPartyA,164),CalcAmt)+SUMIF(CalcDebit2,INDEX(PkPartyA,164),CalcAmt2)+SUMIF(CalcDebit3,INDEX(PkPartyA,164),CalcAmt3)))</f>
        <v/>
      </c>
      <c r="F188" s="14">
        <f>IF($B188="","",IF(164&gt;NPartyA,0,SUMIF(CalcCredit,INDEX(PkPartyA,164),CalcAmt)+SUMIF(CalcCredit2,INDEX(PkPartyA,164),CalcAmt2)+SUMIF(CalcCredit3,INDEX(PkPartyA,164),CalcAmt3)))</f>
        <v/>
      </c>
      <c r="G188" s="15">
        <f>IF($B188="","",ROUND($E188-$F188,0))</f>
        <v/>
      </c>
      <c r="H188" s="12">
        <f>IF($B188="","",IF(ROUND($G188,0)&gt;0,"بدهکار",IF(ROUND($G188,0)&lt;0,"بستانکار","تسویه")))</f>
        <v/>
      </c>
    </row>
    <row r="189">
      <c r="A189" s="16">
        <f>IF($B189="","",180)</f>
        <v/>
      </c>
      <c r="B189" s="17">
        <f>IF(165&gt;NPartyA,"",IFERROR(IF(VLOOKUP(INDEX(PkPartyA,165),AcctTblA,4,0)="","(بدون نام)",VLOOKUP(INDEX(PkPartyA,165),AcctTblA,4,0)),"—"))</f>
        <v/>
      </c>
      <c r="C189" s="18">
        <f>IF($B189="","",IF(165&gt;NPartyA,"",INDEX(PkPartyA,165)))</f>
        <v/>
      </c>
      <c r="D189" s="17">
        <f>IF($B189="","","p")</f>
        <v/>
      </c>
      <c r="E189" s="19">
        <f>IF($B189="","",IF(165&gt;NPartyA,0,SUMIF(CalcDebit,INDEX(PkPartyA,165),CalcAmt)+SUMIF(CalcDebit2,INDEX(PkPartyA,165),CalcAmt2)+SUMIF(CalcDebit3,INDEX(PkPartyA,165),CalcAmt3)))</f>
        <v/>
      </c>
      <c r="F189" s="19">
        <f>IF($B189="","",IF(165&gt;NPartyA,0,SUMIF(CalcCredit,INDEX(PkPartyA,165),CalcAmt)+SUMIF(CalcCredit2,INDEX(PkPartyA,165),CalcAmt2)+SUMIF(CalcCredit3,INDEX(PkPartyA,165),CalcAmt3)))</f>
        <v/>
      </c>
      <c r="G189" s="20">
        <f>IF($B189="","",ROUND($E189-$F189,0))</f>
        <v/>
      </c>
      <c r="H189" s="17">
        <f>IF($B189="","",IF(ROUND($G189,0)&gt;0,"بدهکار",IF(ROUND($G189,0)&lt;0,"بستانکار","تسویه")))</f>
        <v/>
      </c>
    </row>
    <row r="190">
      <c r="A190" s="11">
        <f>IF($B190="","",181)</f>
        <v/>
      </c>
      <c r="B190" s="12">
        <f>IF(166&gt;NPartyA,"",IFERROR(IF(VLOOKUP(INDEX(PkPartyA,166),AcctTblA,4,0)="","(بدون نام)",VLOOKUP(INDEX(PkPartyA,166),AcctTblA,4,0)),"—"))</f>
        <v/>
      </c>
      <c r="C190" s="13">
        <f>IF($B190="","",IF(166&gt;NPartyA,"",INDEX(PkPartyA,166)))</f>
        <v/>
      </c>
      <c r="D190" s="12">
        <f>IF($B190="","","p")</f>
        <v/>
      </c>
      <c r="E190" s="14">
        <f>IF($B190="","",IF(166&gt;NPartyA,0,SUMIF(CalcDebit,INDEX(PkPartyA,166),CalcAmt)+SUMIF(CalcDebit2,INDEX(PkPartyA,166),CalcAmt2)+SUMIF(CalcDebit3,INDEX(PkPartyA,166),CalcAmt3)))</f>
        <v/>
      </c>
      <c r="F190" s="14">
        <f>IF($B190="","",IF(166&gt;NPartyA,0,SUMIF(CalcCredit,INDEX(PkPartyA,166),CalcAmt)+SUMIF(CalcCredit2,INDEX(PkPartyA,166),CalcAmt2)+SUMIF(CalcCredit3,INDEX(PkPartyA,166),CalcAmt3)))</f>
        <v/>
      </c>
      <c r="G190" s="15">
        <f>IF($B190="","",ROUND($E190-$F190,0))</f>
        <v/>
      </c>
      <c r="H190" s="12">
        <f>IF($B190="","",IF(ROUND($G190,0)&gt;0,"بدهکار",IF(ROUND($G190,0)&lt;0,"بستانکار","تسویه")))</f>
        <v/>
      </c>
    </row>
    <row r="191">
      <c r="A191" s="16">
        <f>IF($B191="","",182)</f>
        <v/>
      </c>
      <c r="B191" s="17">
        <f>IF(167&gt;NPartyA,"",IFERROR(IF(VLOOKUP(INDEX(PkPartyA,167),AcctTblA,4,0)="","(بدون نام)",VLOOKUP(INDEX(PkPartyA,167),AcctTblA,4,0)),"—"))</f>
        <v/>
      </c>
      <c r="C191" s="18">
        <f>IF($B191="","",IF(167&gt;NPartyA,"",INDEX(PkPartyA,167)))</f>
        <v/>
      </c>
      <c r="D191" s="17">
        <f>IF($B191="","","p")</f>
        <v/>
      </c>
      <c r="E191" s="19">
        <f>IF($B191="","",IF(167&gt;NPartyA,0,SUMIF(CalcDebit,INDEX(PkPartyA,167),CalcAmt)+SUMIF(CalcDebit2,INDEX(PkPartyA,167),CalcAmt2)+SUMIF(CalcDebit3,INDEX(PkPartyA,167),CalcAmt3)))</f>
        <v/>
      </c>
      <c r="F191" s="19">
        <f>IF($B191="","",IF(167&gt;NPartyA,0,SUMIF(CalcCredit,INDEX(PkPartyA,167),CalcAmt)+SUMIF(CalcCredit2,INDEX(PkPartyA,167),CalcAmt2)+SUMIF(CalcCredit3,INDEX(PkPartyA,167),CalcAmt3)))</f>
        <v/>
      </c>
      <c r="G191" s="20">
        <f>IF($B191="","",ROUND($E191-$F191,0))</f>
        <v/>
      </c>
      <c r="H191" s="17">
        <f>IF($B191="","",IF(ROUND($G191,0)&gt;0,"بدهکار",IF(ROUND($G191,0)&lt;0,"بستانکار","تسویه")))</f>
        <v/>
      </c>
    </row>
    <row r="192">
      <c r="A192" s="11">
        <f>IF($B192="","",183)</f>
        <v/>
      </c>
      <c r="B192" s="12">
        <f>IF(168&gt;NPartyA,"",IFERROR(IF(VLOOKUP(INDEX(PkPartyA,168),AcctTblA,4,0)="","(بدون نام)",VLOOKUP(INDEX(PkPartyA,168),AcctTblA,4,0)),"—"))</f>
        <v/>
      </c>
      <c r="C192" s="13">
        <f>IF($B192="","",IF(168&gt;NPartyA,"",INDEX(PkPartyA,168)))</f>
        <v/>
      </c>
      <c r="D192" s="12">
        <f>IF($B192="","","p")</f>
        <v/>
      </c>
      <c r="E192" s="14">
        <f>IF($B192="","",IF(168&gt;NPartyA,0,SUMIF(CalcDebit,INDEX(PkPartyA,168),CalcAmt)+SUMIF(CalcDebit2,INDEX(PkPartyA,168),CalcAmt2)+SUMIF(CalcDebit3,INDEX(PkPartyA,168),CalcAmt3)))</f>
        <v/>
      </c>
      <c r="F192" s="14">
        <f>IF($B192="","",IF(168&gt;NPartyA,0,SUMIF(CalcCredit,INDEX(PkPartyA,168),CalcAmt)+SUMIF(CalcCredit2,INDEX(PkPartyA,168),CalcAmt2)+SUMIF(CalcCredit3,INDEX(PkPartyA,168),CalcAmt3)))</f>
        <v/>
      </c>
      <c r="G192" s="15">
        <f>IF($B192="","",ROUND($E192-$F192,0))</f>
        <v/>
      </c>
      <c r="H192" s="12">
        <f>IF($B192="","",IF(ROUND($G192,0)&gt;0,"بدهکار",IF(ROUND($G192,0)&lt;0,"بستانکار","تسویه")))</f>
        <v/>
      </c>
    </row>
    <row r="193">
      <c r="A193" s="16">
        <f>IF($B193="","",184)</f>
        <v/>
      </c>
      <c r="B193" s="17">
        <f>IF(169&gt;NPartyA,"",IFERROR(IF(VLOOKUP(INDEX(PkPartyA,169),AcctTblA,4,0)="","(بدون نام)",VLOOKUP(INDEX(PkPartyA,169),AcctTblA,4,0)),"—"))</f>
        <v/>
      </c>
      <c r="C193" s="18">
        <f>IF($B193="","",IF(169&gt;NPartyA,"",INDEX(PkPartyA,169)))</f>
        <v/>
      </c>
      <c r="D193" s="17">
        <f>IF($B193="","","p")</f>
        <v/>
      </c>
      <c r="E193" s="19">
        <f>IF($B193="","",IF(169&gt;NPartyA,0,SUMIF(CalcDebit,INDEX(PkPartyA,169),CalcAmt)+SUMIF(CalcDebit2,INDEX(PkPartyA,169),CalcAmt2)+SUMIF(CalcDebit3,INDEX(PkPartyA,169),CalcAmt3)))</f>
        <v/>
      </c>
      <c r="F193" s="19">
        <f>IF($B193="","",IF(169&gt;NPartyA,0,SUMIF(CalcCredit,INDEX(PkPartyA,169),CalcAmt)+SUMIF(CalcCredit2,INDEX(PkPartyA,169),CalcAmt2)+SUMIF(CalcCredit3,INDEX(PkPartyA,169),CalcAmt3)))</f>
        <v/>
      </c>
      <c r="G193" s="20">
        <f>IF($B193="","",ROUND($E193-$F193,0))</f>
        <v/>
      </c>
      <c r="H193" s="17">
        <f>IF($B193="","",IF(ROUND($G193,0)&gt;0,"بدهکار",IF(ROUND($G193,0)&lt;0,"بستانکار","تسویه")))</f>
        <v/>
      </c>
    </row>
    <row r="194">
      <c r="A194" s="11">
        <f>IF($B194="","",185)</f>
        <v/>
      </c>
      <c r="B194" s="12">
        <f>IF(170&gt;NPartyA,"",IFERROR(IF(VLOOKUP(INDEX(PkPartyA,170),AcctTblA,4,0)="","(بدون نام)",VLOOKUP(INDEX(PkPartyA,170),AcctTblA,4,0)),"—"))</f>
        <v/>
      </c>
      <c r="C194" s="13">
        <f>IF($B194="","",IF(170&gt;NPartyA,"",INDEX(PkPartyA,170)))</f>
        <v/>
      </c>
      <c r="D194" s="12">
        <f>IF($B194="","","p")</f>
        <v/>
      </c>
      <c r="E194" s="14">
        <f>IF($B194="","",IF(170&gt;NPartyA,0,SUMIF(CalcDebit,INDEX(PkPartyA,170),CalcAmt)+SUMIF(CalcDebit2,INDEX(PkPartyA,170),CalcAmt2)+SUMIF(CalcDebit3,INDEX(PkPartyA,170),CalcAmt3)))</f>
        <v/>
      </c>
      <c r="F194" s="14">
        <f>IF($B194="","",IF(170&gt;NPartyA,0,SUMIF(CalcCredit,INDEX(PkPartyA,170),CalcAmt)+SUMIF(CalcCredit2,INDEX(PkPartyA,170),CalcAmt2)+SUMIF(CalcCredit3,INDEX(PkPartyA,170),CalcAmt3)))</f>
        <v/>
      </c>
      <c r="G194" s="15">
        <f>IF($B194="","",ROUND($E194-$F194,0))</f>
        <v/>
      </c>
      <c r="H194" s="12">
        <f>IF($B194="","",IF(ROUND($G194,0)&gt;0,"بدهکار",IF(ROUND($G194,0)&lt;0,"بستانکار","تسویه")))</f>
        <v/>
      </c>
    </row>
    <row r="195">
      <c r="A195" s="16">
        <f>IF($B195="","",186)</f>
        <v/>
      </c>
      <c r="B195" s="17">
        <f>IF(171&gt;NPartyA,"",IFERROR(IF(VLOOKUP(INDEX(PkPartyA,171),AcctTblA,4,0)="","(بدون نام)",VLOOKUP(INDEX(PkPartyA,171),AcctTblA,4,0)),"—"))</f>
        <v/>
      </c>
      <c r="C195" s="18">
        <f>IF($B195="","",IF(171&gt;NPartyA,"",INDEX(PkPartyA,171)))</f>
        <v/>
      </c>
      <c r="D195" s="17">
        <f>IF($B195="","","p")</f>
        <v/>
      </c>
      <c r="E195" s="19">
        <f>IF($B195="","",IF(171&gt;NPartyA,0,SUMIF(CalcDebit,INDEX(PkPartyA,171),CalcAmt)+SUMIF(CalcDebit2,INDEX(PkPartyA,171),CalcAmt2)+SUMIF(CalcDebit3,INDEX(PkPartyA,171),CalcAmt3)))</f>
        <v/>
      </c>
      <c r="F195" s="19">
        <f>IF($B195="","",IF(171&gt;NPartyA,0,SUMIF(CalcCredit,INDEX(PkPartyA,171),CalcAmt)+SUMIF(CalcCredit2,INDEX(PkPartyA,171),CalcAmt2)+SUMIF(CalcCredit3,INDEX(PkPartyA,171),CalcAmt3)))</f>
        <v/>
      </c>
      <c r="G195" s="20">
        <f>IF($B195="","",ROUND($E195-$F195,0))</f>
        <v/>
      </c>
      <c r="H195" s="17">
        <f>IF($B195="","",IF(ROUND($G195,0)&gt;0,"بدهکار",IF(ROUND($G195,0)&lt;0,"بستانکار","تسویه")))</f>
        <v/>
      </c>
    </row>
    <row r="196">
      <c r="A196" s="11">
        <f>IF($B196="","",187)</f>
        <v/>
      </c>
      <c r="B196" s="12">
        <f>IF(172&gt;NPartyA,"",IFERROR(IF(VLOOKUP(INDEX(PkPartyA,172),AcctTblA,4,0)="","(بدون نام)",VLOOKUP(INDEX(PkPartyA,172),AcctTblA,4,0)),"—"))</f>
        <v/>
      </c>
      <c r="C196" s="13">
        <f>IF($B196="","",IF(172&gt;NPartyA,"",INDEX(PkPartyA,172)))</f>
        <v/>
      </c>
      <c r="D196" s="12">
        <f>IF($B196="","","p")</f>
        <v/>
      </c>
      <c r="E196" s="14">
        <f>IF($B196="","",IF(172&gt;NPartyA,0,SUMIF(CalcDebit,INDEX(PkPartyA,172),CalcAmt)+SUMIF(CalcDebit2,INDEX(PkPartyA,172),CalcAmt2)+SUMIF(CalcDebit3,INDEX(PkPartyA,172),CalcAmt3)))</f>
        <v/>
      </c>
      <c r="F196" s="14">
        <f>IF($B196="","",IF(172&gt;NPartyA,0,SUMIF(CalcCredit,INDEX(PkPartyA,172),CalcAmt)+SUMIF(CalcCredit2,INDEX(PkPartyA,172),CalcAmt2)+SUMIF(CalcCredit3,INDEX(PkPartyA,172),CalcAmt3)))</f>
        <v/>
      </c>
      <c r="G196" s="15">
        <f>IF($B196="","",ROUND($E196-$F196,0))</f>
        <v/>
      </c>
      <c r="H196" s="12">
        <f>IF($B196="","",IF(ROUND($G196,0)&gt;0,"بدهکار",IF(ROUND($G196,0)&lt;0,"بستانکار","تسویه")))</f>
        <v/>
      </c>
    </row>
    <row r="197">
      <c r="A197" s="16">
        <f>IF($B197="","",188)</f>
        <v/>
      </c>
      <c r="B197" s="17">
        <f>IF(173&gt;NPartyA,"",IFERROR(IF(VLOOKUP(INDEX(PkPartyA,173),AcctTblA,4,0)="","(بدون نام)",VLOOKUP(INDEX(PkPartyA,173),AcctTblA,4,0)),"—"))</f>
        <v/>
      </c>
      <c r="C197" s="18">
        <f>IF($B197="","",IF(173&gt;NPartyA,"",INDEX(PkPartyA,173)))</f>
        <v/>
      </c>
      <c r="D197" s="17">
        <f>IF($B197="","","p")</f>
        <v/>
      </c>
      <c r="E197" s="19">
        <f>IF($B197="","",IF(173&gt;NPartyA,0,SUMIF(CalcDebit,INDEX(PkPartyA,173),CalcAmt)+SUMIF(CalcDebit2,INDEX(PkPartyA,173),CalcAmt2)+SUMIF(CalcDebit3,INDEX(PkPartyA,173),CalcAmt3)))</f>
        <v/>
      </c>
      <c r="F197" s="19">
        <f>IF($B197="","",IF(173&gt;NPartyA,0,SUMIF(CalcCredit,INDEX(PkPartyA,173),CalcAmt)+SUMIF(CalcCredit2,INDEX(PkPartyA,173),CalcAmt2)+SUMIF(CalcCredit3,INDEX(PkPartyA,173),CalcAmt3)))</f>
        <v/>
      </c>
      <c r="G197" s="20">
        <f>IF($B197="","",ROUND($E197-$F197,0))</f>
        <v/>
      </c>
      <c r="H197" s="17">
        <f>IF($B197="","",IF(ROUND($G197,0)&gt;0,"بدهکار",IF(ROUND($G197,0)&lt;0,"بستانکار","تسویه")))</f>
        <v/>
      </c>
    </row>
    <row r="198">
      <c r="A198" s="11">
        <f>IF($B198="","",189)</f>
        <v/>
      </c>
      <c r="B198" s="12">
        <f>IF(174&gt;NPartyA,"",IFERROR(IF(VLOOKUP(INDEX(PkPartyA,174),AcctTblA,4,0)="","(بدون نام)",VLOOKUP(INDEX(PkPartyA,174),AcctTblA,4,0)),"—"))</f>
        <v/>
      </c>
      <c r="C198" s="13">
        <f>IF($B198="","",IF(174&gt;NPartyA,"",INDEX(PkPartyA,174)))</f>
        <v/>
      </c>
      <c r="D198" s="12">
        <f>IF($B198="","","p")</f>
        <v/>
      </c>
      <c r="E198" s="14">
        <f>IF($B198="","",IF(174&gt;NPartyA,0,SUMIF(CalcDebit,INDEX(PkPartyA,174),CalcAmt)+SUMIF(CalcDebit2,INDEX(PkPartyA,174),CalcAmt2)+SUMIF(CalcDebit3,INDEX(PkPartyA,174),CalcAmt3)))</f>
        <v/>
      </c>
      <c r="F198" s="14">
        <f>IF($B198="","",IF(174&gt;NPartyA,0,SUMIF(CalcCredit,INDEX(PkPartyA,174),CalcAmt)+SUMIF(CalcCredit2,INDEX(PkPartyA,174),CalcAmt2)+SUMIF(CalcCredit3,INDEX(PkPartyA,174),CalcAmt3)))</f>
        <v/>
      </c>
      <c r="G198" s="15">
        <f>IF($B198="","",ROUND($E198-$F198,0))</f>
        <v/>
      </c>
      <c r="H198" s="12">
        <f>IF($B198="","",IF(ROUND($G198,0)&gt;0,"بدهکار",IF(ROUND($G198,0)&lt;0,"بستانکار","تسویه")))</f>
        <v/>
      </c>
    </row>
    <row r="199">
      <c r="A199" s="16">
        <f>IF($B199="","",190)</f>
        <v/>
      </c>
      <c r="B199" s="17">
        <f>IF(175&gt;NPartyA,"",IFERROR(IF(VLOOKUP(INDEX(PkPartyA,175),AcctTblA,4,0)="","(بدون نام)",VLOOKUP(INDEX(PkPartyA,175),AcctTblA,4,0)),"—"))</f>
        <v/>
      </c>
      <c r="C199" s="18">
        <f>IF($B199="","",IF(175&gt;NPartyA,"",INDEX(PkPartyA,175)))</f>
        <v/>
      </c>
      <c r="D199" s="17">
        <f>IF($B199="","","p")</f>
        <v/>
      </c>
      <c r="E199" s="19">
        <f>IF($B199="","",IF(175&gt;NPartyA,0,SUMIF(CalcDebit,INDEX(PkPartyA,175),CalcAmt)+SUMIF(CalcDebit2,INDEX(PkPartyA,175),CalcAmt2)+SUMIF(CalcDebit3,INDEX(PkPartyA,175),CalcAmt3)))</f>
        <v/>
      </c>
      <c r="F199" s="19">
        <f>IF($B199="","",IF(175&gt;NPartyA,0,SUMIF(CalcCredit,INDEX(PkPartyA,175),CalcAmt)+SUMIF(CalcCredit2,INDEX(PkPartyA,175),CalcAmt2)+SUMIF(CalcCredit3,INDEX(PkPartyA,175),CalcAmt3)))</f>
        <v/>
      </c>
      <c r="G199" s="20">
        <f>IF($B199="","",ROUND($E199-$F199,0))</f>
        <v/>
      </c>
      <c r="H199" s="17">
        <f>IF($B199="","",IF(ROUND($G199,0)&gt;0,"بدهکار",IF(ROUND($G199,0)&lt;0,"بستانکار","تسویه")))</f>
        <v/>
      </c>
    </row>
    <row r="200">
      <c r="A200" s="11">
        <f>IF($B200="","",191)</f>
        <v/>
      </c>
      <c r="B200" s="12">
        <f>IF(176&gt;NPartyA,"",IFERROR(IF(VLOOKUP(INDEX(PkPartyA,176),AcctTblA,4,0)="","(بدون نام)",VLOOKUP(INDEX(PkPartyA,176),AcctTblA,4,0)),"—"))</f>
        <v/>
      </c>
      <c r="C200" s="13">
        <f>IF($B200="","",IF(176&gt;NPartyA,"",INDEX(PkPartyA,176)))</f>
        <v/>
      </c>
      <c r="D200" s="12">
        <f>IF($B200="","","p")</f>
        <v/>
      </c>
      <c r="E200" s="14">
        <f>IF($B200="","",IF(176&gt;NPartyA,0,SUMIF(CalcDebit,INDEX(PkPartyA,176),CalcAmt)+SUMIF(CalcDebit2,INDEX(PkPartyA,176),CalcAmt2)+SUMIF(CalcDebit3,INDEX(PkPartyA,176),CalcAmt3)))</f>
        <v/>
      </c>
      <c r="F200" s="14">
        <f>IF($B200="","",IF(176&gt;NPartyA,0,SUMIF(CalcCredit,INDEX(PkPartyA,176),CalcAmt)+SUMIF(CalcCredit2,INDEX(PkPartyA,176),CalcAmt2)+SUMIF(CalcCredit3,INDEX(PkPartyA,176),CalcAmt3)))</f>
        <v/>
      </c>
      <c r="G200" s="15">
        <f>IF($B200="","",ROUND($E200-$F200,0))</f>
        <v/>
      </c>
      <c r="H200" s="12">
        <f>IF($B200="","",IF(ROUND($G200,0)&gt;0,"بدهکار",IF(ROUND($G200,0)&lt;0,"بستانکار","تسویه")))</f>
        <v/>
      </c>
    </row>
    <row r="201">
      <c r="A201" s="16">
        <f>IF($B201="","",192)</f>
        <v/>
      </c>
      <c r="B201" s="17">
        <f>IF(177&gt;NPartyA,"",IFERROR(IF(VLOOKUP(INDEX(PkPartyA,177),AcctTblA,4,0)="","(بدون نام)",VLOOKUP(INDEX(PkPartyA,177),AcctTblA,4,0)),"—"))</f>
        <v/>
      </c>
      <c r="C201" s="18">
        <f>IF($B201="","",IF(177&gt;NPartyA,"",INDEX(PkPartyA,177)))</f>
        <v/>
      </c>
      <c r="D201" s="17">
        <f>IF($B201="","","p")</f>
        <v/>
      </c>
      <c r="E201" s="19">
        <f>IF($B201="","",IF(177&gt;NPartyA,0,SUMIF(CalcDebit,INDEX(PkPartyA,177),CalcAmt)+SUMIF(CalcDebit2,INDEX(PkPartyA,177),CalcAmt2)+SUMIF(CalcDebit3,INDEX(PkPartyA,177),CalcAmt3)))</f>
        <v/>
      </c>
      <c r="F201" s="19">
        <f>IF($B201="","",IF(177&gt;NPartyA,0,SUMIF(CalcCredit,INDEX(PkPartyA,177),CalcAmt)+SUMIF(CalcCredit2,INDEX(PkPartyA,177),CalcAmt2)+SUMIF(CalcCredit3,INDEX(PkPartyA,177),CalcAmt3)))</f>
        <v/>
      </c>
      <c r="G201" s="20">
        <f>IF($B201="","",ROUND($E201-$F201,0))</f>
        <v/>
      </c>
      <c r="H201" s="17">
        <f>IF($B201="","",IF(ROUND($G201,0)&gt;0,"بدهکار",IF(ROUND($G201,0)&lt;0,"بستانکار","تسویه")))</f>
        <v/>
      </c>
    </row>
    <row r="202">
      <c r="A202" s="11">
        <f>IF($B202="","",193)</f>
        <v/>
      </c>
      <c r="B202" s="12">
        <f>IF(178&gt;NPartyA,"",IFERROR(IF(VLOOKUP(INDEX(PkPartyA,178),AcctTblA,4,0)="","(بدون نام)",VLOOKUP(INDEX(PkPartyA,178),AcctTblA,4,0)),"—"))</f>
        <v/>
      </c>
      <c r="C202" s="13">
        <f>IF($B202="","",IF(178&gt;NPartyA,"",INDEX(PkPartyA,178)))</f>
        <v/>
      </c>
      <c r="D202" s="12">
        <f>IF($B202="","","p")</f>
        <v/>
      </c>
      <c r="E202" s="14">
        <f>IF($B202="","",IF(178&gt;NPartyA,0,SUMIF(CalcDebit,INDEX(PkPartyA,178),CalcAmt)+SUMIF(CalcDebit2,INDEX(PkPartyA,178),CalcAmt2)+SUMIF(CalcDebit3,INDEX(PkPartyA,178),CalcAmt3)))</f>
        <v/>
      </c>
      <c r="F202" s="14">
        <f>IF($B202="","",IF(178&gt;NPartyA,0,SUMIF(CalcCredit,INDEX(PkPartyA,178),CalcAmt)+SUMIF(CalcCredit2,INDEX(PkPartyA,178),CalcAmt2)+SUMIF(CalcCredit3,INDEX(PkPartyA,178),CalcAmt3)))</f>
        <v/>
      </c>
      <c r="G202" s="15">
        <f>IF($B202="","",ROUND($E202-$F202,0))</f>
        <v/>
      </c>
      <c r="H202" s="12">
        <f>IF($B202="","",IF(ROUND($G202,0)&gt;0,"بدهکار",IF(ROUND($G202,0)&lt;0,"بستانکار","تسویه")))</f>
        <v/>
      </c>
    </row>
    <row r="203">
      <c r="A203" s="16">
        <f>IF($B203="","",194)</f>
        <v/>
      </c>
      <c r="B203" s="17">
        <f>IF(179&gt;NPartyA,"",IFERROR(IF(VLOOKUP(INDEX(PkPartyA,179),AcctTblA,4,0)="","(بدون نام)",VLOOKUP(INDEX(PkPartyA,179),AcctTblA,4,0)),"—"))</f>
        <v/>
      </c>
      <c r="C203" s="18">
        <f>IF($B203="","",IF(179&gt;NPartyA,"",INDEX(PkPartyA,179)))</f>
        <v/>
      </c>
      <c r="D203" s="17">
        <f>IF($B203="","","p")</f>
        <v/>
      </c>
      <c r="E203" s="19">
        <f>IF($B203="","",IF(179&gt;NPartyA,0,SUMIF(CalcDebit,INDEX(PkPartyA,179),CalcAmt)+SUMIF(CalcDebit2,INDEX(PkPartyA,179),CalcAmt2)+SUMIF(CalcDebit3,INDEX(PkPartyA,179),CalcAmt3)))</f>
        <v/>
      </c>
      <c r="F203" s="19">
        <f>IF($B203="","",IF(179&gt;NPartyA,0,SUMIF(CalcCredit,INDEX(PkPartyA,179),CalcAmt)+SUMIF(CalcCredit2,INDEX(PkPartyA,179),CalcAmt2)+SUMIF(CalcCredit3,INDEX(PkPartyA,179),CalcAmt3)))</f>
        <v/>
      </c>
      <c r="G203" s="20">
        <f>IF($B203="","",ROUND($E203-$F203,0))</f>
        <v/>
      </c>
      <c r="H203" s="17">
        <f>IF($B203="","",IF(ROUND($G203,0)&gt;0,"بدهکار",IF(ROUND($G203,0)&lt;0,"بستانکار","تسویه")))</f>
        <v/>
      </c>
    </row>
    <row r="204">
      <c r="A204" s="11">
        <f>IF($B204="","",195)</f>
        <v/>
      </c>
      <c r="B204" s="12">
        <f>IF(180&gt;NPartyA,"",IFERROR(IF(VLOOKUP(INDEX(PkPartyA,180),AcctTblA,4,0)="","(بدون نام)",VLOOKUP(INDEX(PkPartyA,180),AcctTblA,4,0)),"—"))</f>
        <v/>
      </c>
      <c r="C204" s="13">
        <f>IF($B204="","",IF(180&gt;NPartyA,"",INDEX(PkPartyA,180)))</f>
        <v/>
      </c>
      <c r="D204" s="12">
        <f>IF($B204="","","p")</f>
        <v/>
      </c>
      <c r="E204" s="14">
        <f>IF($B204="","",IF(180&gt;NPartyA,0,SUMIF(CalcDebit,INDEX(PkPartyA,180),CalcAmt)+SUMIF(CalcDebit2,INDEX(PkPartyA,180),CalcAmt2)+SUMIF(CalcDebit3,INDEX(PkPartyA,180),CalcAmt3)))</f>
        <v/>
      </c>
      <c r="F204" s="14">
        <f>IF($B204="","",IF(180&gt;NPartyA,0,SUMIF(CalcCredit,INDEX(PkPartyA,180),CalcAmt)+SUMIF(CalcCredit2,INDEX(PkPartyA,180),CalcAmt2)+SUMIF(CalcCredit3,INDEX(PkPartyA,180),CalcAmt3)))</f>
        <v/>
      </c>
      <c r="G204" s="15">
        <f>IF($B204="","",ROUND($E204-$F204,0))</f>
        <v/>
      </c>
      <c r="H204" s="12">
        <f>IF($B204="","",IF(ROUND($G204,0)&gt;0,"بدهکار",IF(ROUND($G204,0)&lt;0,"بستانکار","تسویه")))</f>
        <v/>
      </c>
    </row>
    <row r="205">
      <c r="A205" s="16">
        <f>IF($B205="","",196)</f>
        <v/>
      </c>
      <c r="B205" s="17">
        <f>IF(181&gt;NPartyA,"",IFERROR(IF(VLOOKUP(INDEX(PkPartyA,181),AcctTblA,4,0)="","(بدون نام)",VLOOKUP(INDEX(PkPartyA,181),AcctTblA,4,0)),"—"))</f>
        <v/>
      </c>
      <c r="C205" s="18">
        <f>IF($B205="","",IF(181&gt;NPartyA,"",INDEX(PkPartyA,181)))</f>
        <v/>
      </c>
      <c r="D205" s="17">
        <f>IF($B205="","","p")</f>
        <v/>
      </c>
      <c r="E205" s="19">
        <f>IF($B205="","",IF(181&gt;NPartyA,0,SUMIF(CalcDebit,INDEX(PkPartyA,181),CalcAmt)+SUMIF(CalcDebit2,INDEX(PkPartyA,181),CalcAmt2)+SUMIF(CalcDebit3,INDEX(PkPartyA,181),CalcAmt3)))</f>
        <v/>
      </c>
      <c r="F205" s="19">
        <f>IF($B205="","",IF(181&gt;NPartyA,0,SUMIF(CalcCredit,INDEX(PkPartyA,181),CalcAmt)+SUMIF(CalcCredit2,INDEX(PkPartyA,181),CalcAmt2)+SUMIF(CalcCredit3,INDEX(PkPartyA,181),CalcAmt3)))</f>
        <v/>
      </c>
      <c r="G205" s="20">
        <f>IF($B205="","",ROUND($E205-$F205,0))</f>
        <v/>
      </c>
      <c r="H205" s="17">
        <f>IF($B205="","",IF(ROUND($G205,0)&gt;0,"بدهکار",IF(ROUND($G205,0)&lt;0,"بستانکار","تسویه")))</f>
        <v/>
      </c>
    </row>
    <row r="206">
      <c r="A206" s="11">
        <f>IF($B206="","",197)</f>
        <v/>
      </c>
      <c r="B206" s="12">
        <f>IF(182&gt;NPartyA,"",IFERROR(IF(VLOOKUP(INDEX(PkPartyA,182),AcctTblA,4,0)="","(بدون نام)",VLOOKUP(INDEX(PkPartyA,182),AcctTblA,4,0)),"—"))</f>
        <v/>
      </c>
      <c r="C206" s="13">
        <f>IF($B206="","",IF(182&gt;NPartyA,"",INDEX(PkPartyA,182)))</f>
        <v/>
      </c>
      <c r="D206" s="12">
        <f>IF($B206="","","p")</f>
        <v/>
      </c>
      <c r="E206" s="14">
        <f>IF($B206="","",IF(182&gt;NPartyA,0,SUMIF(CalcDebit,INDEX(PkPartyA,182),CalcAmt)+SUMIF(CalcDebit2,INDEX(PkPartyA,182),CalcAmt2)+SUMIF(CalcDebit3,INDEX(PkPartyA,182),CalcAmt3)))</f>
        <v/>
      </c>
      <c r="F206" s="14">
        <f>IF($B206="","",IF(182&gt;NPartyA,0,SUMIF(CalcCredit,INDEX(PkPartyA,182),CalcAmt)+SUMIF(CalcCredit2,INDEX(PkPartyA,182),CalcAmt2)+SUMIF(CalcCredit3,INDEX(PkPartyA,182),CalcAmt3)))</f>
        <v/>
      </c>
      <c r="G206" s="15">
        <f>IF($B206="","",ROUND($E206-$F206,0))</f>
        <v/>
      </c>
      <c r="H206" s="12">
        <f>IF($B206="","",IF(ROUND($G206,0)&gt;0,"بدهکار",IF(ROUND($G206,0)&lt;0,"بستانکار","تسویه")))</f>
        <v/>
      </c>
    </row>
    <row r="207">
      <c r="A207" s="16">
        <f>IF($B207="","",198)</f>
        <v/>
      </c>
      <c r="B207" s="17">
        <f>IF(183&gt;NPartyA,"",IFERROR(IF(VLOOKUP(INDEX(PkPartyA,183),AcctTblA,4,0)="","(بدون نام)",VLOOKUP(INDEX(PkPartyA,183),AcctTblA,4,0)),"—"))</f>
        <v/>
      </c>
      <c r="C207" s="18">
        <f>IF($B207="","",IF(183&gt;NPartyA,"",INDEX(PkPartyA,183)))</f>
        <v/>
      </c>
      <c r="D207" s="17">
        <f>IF($B207="","","p")</f>
        <v/>
      </c>
      <c r="E207" s="19">
        <f>IF($B207="","",IF(183&gt;NPartyA,0,SUMIF(CalcDebit,INDEX(PkPartyA,183),CalcAmt)+SUMIF(CalcDebit2,INDEX(PkPartyA,183),CalcAmt2)+SUMIF(CalcDebit3,INDEX(PkPartyA,183),CalcAmt3)))</f>
        <v/>
      </c>
      <c r="F207" s="19">
        <f>IF($B207="","",IF(183&gt;NPartyA,0,SUMIF(CalcCredit,INDEX(PkPartyA,183),CalcAmt)+SUMIF(CalcCredit2,INDEX(PkPartyA,183),CalcAmt2)+SUMIF(CalcCredit3,INDEX(PkPartyA,183),CalcAmt3)))</f>
        <v/>
      </c>
      <c r="G207" s="20">
        <f>IF($B207="","",ROUND($E207-$F207,0))</f>
        <v/>
      </c>
      <c r="H207" s="17">
        <f>IF($B207="","",IF(ROUND($G207,0)&gt;0,"بدهکار",IF(ROUND($G207,0)&lt;0,"بستانکار","تسویه")))</f>
        <v/>
      </c>
    </row>
    <row r="208">
      <c r="A208" s="11">
        <f>IF($B208="","",199)</f>
        <v/>
      </c>
      <c r="B208" s="12">
        <f>IF(184&gt;NPartyA,"",IFERROR(IF(VLOOKUP(INDEX(PkPartyA,184),AcctTblA,4,0)="","(بدون نام)",VLOOKUP(INDEX(PkPartyA,184),AcctTblA,4,0)),"—"))</f>
        <v/>
      </c>
      <c r="C208" s="13">
        <f>IF($B208="","",IF(184&gt;NPartyA,"",INDEX(PkPartyA,184)))</f>
        <v/>
      </c>
      <c r="D208" s="12">
        <f>IF($B208="","","p")</f>
        <v/>
      </c>
      <c r="E208" s="14">
        <f>IF($B208="","",IF(184&gt;NPartyA,0,SUMIF(CalcDebit,INDEX(PkPartyA,184),CalcAmt)+SUMIF(CalcDebit2,INDEX(PkPartyA,184),CalcAmt2)+SUMIF(CalcDebit3,INDEX(PkPartyA,184),CalcAmt3)))</f>
        <v/>
      </c>
      <c r="F208" s="14">
        <f>IF($B208="","",IF(184&gt;NPartyA,0,SUMIF(CalcCredit,INDEX(PkPartyA,184),CalcAmt)+SUMIF(CalcCredit2,INDEX(PkPartyA,184),CalcAmt2)+SUMIF(CalcCredit3,INDEX(PkPartyA,184),CalcAmt3)))</f>
        <v/>
      </c>
      <c r="G208" s="15">
        <f>IF($B208="","",ROUND($E208-$F208,0))</f>
        <v/>
      </c>
      <c r="H208" s="12">
        <f>IF($B208="","",IF(ROUND($G208,0)&gt;0,"بدهکار",IF(ROUND($G208,0)&lt;0,"بستانکار","تسویه")))</f>
        <v/>
      </c>
    </row>
    <row r="209">
      <c r="A209" s="16">
        <f>IF($B209="","",200)</f>
        <v/>
      </c>
      <c r="B209" s="17">
        <f>IF(185&gt;NPartyA,"",IFERROR(IF(VLOOKUP(INDEX(PkPartyA,185),AcctTblA,4,0)="","(بدون نام)",VLOOKUP(INDEX(PkPartyA,185),AcctTblA,4,0)),"—"))</f>
        <v/>
      </c>
      <c r="C209" s="18">
        <f>IF($B209="","",IF(185&gt;NPartyA,"",INDEX(PkPartyA,185)))</f>
        <v/>
      </c>
      <c r="D209" s="17">
        <f>IF($B209="","","p")</f>
        <v/>
      </c>
      <c r="E209" s="19">
        <f>IF($B209="","",IF(185&gt;NPartyA,0,SUMIF(CalcDebit,INDEX(PkPartyA,185),CalcAmt)+SUMIF(CalcDebit2,INDEX(PkPartyA,185),CalcAmt2)+SUMIF(CalcDebit3,INDEX(PkPartyA,185),CalcAmt3)))</f>
        <v/>
      </c>
      <c r="F209" s="19">
        <f>IF($B209="","",IF(185&gt;NPartyA,0,SUMIF(CalcCredit,INDEX(PkPartyA,185),CalcAmt)+SUMIF(CalcCredit2,INDEX(PkPartyA,185),CalcAmt2)+SUMIF(CalcCredit3,INDEX(PkPartyA,185),CalcAmt3)))</f>
        <v/>
      </c>
      <c r="G209" s="20">
        <f>IF($B209="","",ROUND($E209-$F209,0))</f>
        <v/>
      </c>
      <c r="H209" s="17">
        <f>IF($B209="","",IF(ROUND($G209,0)&gt;0,"بدهکار",IF(ROUND($G209,0)&lt;0,"بستانکار","تسویه")))</f>
        <v/>
      </c>
    </row>
    <row r="210">
      <c r="A210" s="11">
        <f>IF($B210="","",201)</f>
        <v/>
      </c>
      <c r="B210" s="12">
        <f>IF(186&gt;NPartyA,"",IFERROR(IF(VLOOKUP(INDEX(PkPartyA,186),AcctTblA,4,0)="","(بدون نام)",VLOOKUP(INDEX(PkPartyA,186),AcctTblA,4,0)),"—"))</f>
        <v/>
      </c>
      <c r="C210" s="13">
        <f>IF($B210="","",IF(186&gt;NPartyA,"",INDEX(PkPartyA,186)))</f>
        <v/>
      </c>
      <c r="D210" s="12">
        <f>IF($B210="","","p")</f>
        <v/>
      </c>
      <c r="E210" s="14">
        <f>IF($B210="","",IF(186&gt;NPartyA,0,SUMIF(CalcDebit,INDEX(PkPartyA,186),CalcAmt)+SUMIF(CalcDebit2,INDEX(PkPartyA,186),CalcAmt2)+SUMIF(CalcDebit3,INDEX(PkPartyA,186),CalcAmt3)))</f>
        <v/>
      </c>
      <c r="F210" s="14">
        <f>IF($B210="","",IF(186&gt;NPartyA,0,SUMIF(CalcCredit,INDEX(PkPartyA,186),CalcAmt)+SUMIF(CalcCredit2,INDEX(PkPartyA,186),CalcAmt2)+SUMIF(CalcCredit3,INDEX(PkPartyA,186),CalcAmt3)))</f>
        <v/>
      </c>
      <c r="G210" s="15">
        <f>IF($B210="","",ROUND($E210-$F210,0))</f>
        <v/>
      </c>
      <c r="H210" s="12">
        <f>IF($B210="","",IF(ROUND($G210,0)&gt;0,"بدهکار",IF(ROUND($G210,0)&lt;0,"بستانکار","تسویه")))</f>
        <v/>
      </c>
    </row>
    <row r="211">
      <c r="A211" s="16">
        <f>IF($B211="","",202)</f>
        <v/>
      </c>
      <c r="B211" s="17">
        <f>IF(187&gt;NPartyA,"",IFERROR(IF(VLOOKUP(INDEX(PkPartyA,187),AcctTblA,4,0)="","(بدون نام)",VLOOKUP(INDEX(PkPartyA,187),AcctTblA,4,0)),"—"))</f>
        <v/>
      </c>
      <c r="C211" s="18">
        <f>IF($B211="","",IF(187&gt;NPartyA,"",INDEX(PkPartyA,187)))</f>
        <v/>
      </c>
      <c r="D211" s="17">
        <f>IF($B211="","","p")</f>
        <v/>
      </c>
      <c r="E211" s="19">
        <f>IF($B211="","",IF(187&gt;NPartyA,0,SUMIF(CalcDebit,INDEX(PkPartyA,187),CalcAmt)+SUMIF(CalcDebit2,INDEX(PkPartyA,187),CalcAmt2)+SUMIF(CalcDebit3,INDEX(PkPartyA,187),CalcAmt3)))</f>
        <v/>
      </c>
      <c r="F211" s="19">
        <f>IF($B211="","",IF(187&gt;NPartyA,0,SUMIF(CalcCredit,INDEX(PkPartyA,187),CalcAmt)+SUMIF(CalcCredit2,INDEX(PkPartyA,187),CalcAmt2)+SUMIF(CalcCredit3,INDEX(PkPartyA,187),CalcAmt3)))</f>
        <v/>
      </c>
      <c r="G211" s="20">
        <f>IF($B211="","",ROUND($E211-$F211,0))</f>
        <v/>
      </c>
      <c r="H211" s="17">
        <f>IF($B211="","",IF(ROUND($G211,0)&gt;0,"بدهکار",IF(ROUND($G211,0)&lt;0,"بستانکار","تسویه")))</f>
        <v/>
      </c>
    </row>
    <row r="212">
      <c r="A212" s="11">
        <f>IF($B212="","",203)</f>
        <v/>
      </c>
      <c r="B212" s="12">
        <f>IF(188&gt;NPartyA,"",IFERROR(IF(VLOOKUP(INDEX(PkPartyA,188),AcctTblA,4,0)="","(بدون نام)",VLOOKUP(INDEX(PkPartyA,188),AcctTblA,4,0)),"—"))</f>
        <v/>
      </c>
      <c r="C212" s="13">
        <f>IF($B212="","",IF(188&gt;NPartyA,"",INDEX(PkPartyA,188)))</f>
        <v/>
      </c>
      <c r="D212" s="12">
        <f>IF($B212="","","p")</f>
        <v/>
      </c>
      <c r="E212" s="14">
        <f>IF($B212="","",IF(188&gt;NPartyA,0,SUMIF(CalcDebit,INDEX(PkPartyA,188),CalcAmt)+SUMIF(CalcDebit2,INDEX(PkPartyA,188),CalcAmt2)+SUMIF(CalcDebit3,INDEX(PkPartyA,188),CalcAmt3)))</f>
        <v/>
      </c>
      <c r="F212" s="14">
        <f>IF($B212="","",IF(188&gt;NPartyA,0,SUMIF(CalcCredit,INDEX(PkPartyA,188),CalcAmt)+SUMIF(CalcCredit2,INDEX(PkPartyA,188),CalcAmt2)+SUMIF(CalcCredit3,INDEX(PkPartyA,188),CalcAmt3)))</f>
        <v/>
      </c>
      <c r="G212" s="15">
        <f>IF($B212="","",ROUND($E212-$F212,0))</f>
        <v/>
      </c>
      <c r="H212" s="12">
        <f>IF($B212="","",IF(ROUND($G212,0)&gt;0,"بدهکار",IF(ROUND($G212,0)&lt;0,"بستانکار","تسویه")))</f>
        <v/>
      </c>
    </row>
    <row r="213">
      <c r="A213" s="16">
        <f>IF($B213="","",204)</f>
        <v/>
      </c>
      <c r="B213" s="17">
        <f>IF(189&gt;NPartyA,"",IFERROR(IF(VLOOKUP(INDEX(PkPartyA,189),AcctTblA,4,0)="","(بدون نام)",VLOOKUP(INDEX(PkPartyA,189),AcctTblA,4,0)),"—"))</f>
        <v/>
      </c>
      <c r="C213" s="18">
        <f>IF($B213="","",IF(189&gt;NPartyA,"",INDEX(PkPartyA,189)))</f>
        <v/>
      </c>
      <c r="D213" s="17">
        <f>IF($B213="","","p")</f>
        <v/>
      </c>
      <c r="E213" s="19">
        <f>IF($B213="","",IF(189&gt;NPartyA,0,SUMIF(CalcDebit,INDEX(PkPartyA,189),CalcAmt)+SUMIF(CalcDebit2,INDEX(PkPartyA,189),CalcAmt2)+SUMIF(CalcDebit3,INDEX(PkPartyA,189),CalcAmt3)))</f>
        <v/>
      </c>
      <c r="F213" s="19">
        <f>IF($B213="","",IF(189&gt;NPartyA,0,SUMIF(CalcCredit,INDEX(PkPartyA,189),CalcAmt)+SUMIF(CalcCredit2,INDEX(PkPartyA,189),CalcAmt2)+SUMIF(CalcCredit3,INDEX(PkPartyA,189),CalcAmt3)))</f>
        <v/>
      </c>
      <c r="G213" s="20">
        <f>IF($B213="","",ROUND($E213-$F213,0))</f>
        <v/>
      </c>
      <c r="H213" s="17">
        <f>IF($B213="","",IF(ROUND($G213,0)&gt;0,"بدهکار",IF(ROUND($G213,0)&lt;0,"بستانکار","تسویه")))</f>
        <v/>
      </c>
    </row>
    <row r="214">
      <c r="A214" s="11">
        <f>IF($B214="","",205)</f>
        <v/>
      </c>
      <c r="B214" s="12">
        <f>IF(190&gt;NPartyA,"",IFERROR(IF(VLOOKUP(INDEX(PkPartyA,190),AcctTblA,4,0)="","(بدون نام)",VLOOKUP(INDEX(PkPartyA,190),AcctTblA,4,0)),"—"))</f>
        <v/>
      </c>
      <c r="C214" s="13">
        <f>IF($B214="","",IF(190&gt;NPartyA,"",INDEX(PkPartyA,190)))</f>
        <v/>
      </c>
      <c r="D214" s="12">
        <f>IF($B214="","","p")</f>
        <v/>
      </c>
      <c r="E214" s="14">
        <f>IF($B214="","",IF(190&gt;NPartyA,0,SUMIF(CalcDebit,INDEX(PkPartyA,190),CalcAmt)+SUMIF(CalcDebit2,INDEX(PkPartyA,190),CalcAmt2)+SUMIF(CalcDebit3,INDEX(PkPartyA,190),CalcAmt3)))</f>
        <v/>
      </c>
      <c r="F214" s="14">
        <f>IF($B214="","",IF(190&gt;NPartyA,0,SUMIF(CalcCredit,INDEX(PkPartyA,190),CalcAmt)+SUMIF(CalcCredit2,INDEX(PkPartyA,190),CalcAmt2)+SUMIF(CalcCredit3,INDEX(PkPartyA,190),CalcAmt3)))</f>
        <v/>
      </c>
      <c r="G214" s="15">
        <f>IF($B214="","",ROUND($E214-$F214,0))</f>
        <v/>
      </c>
      <c r="H214" s="12">
        <f>IF($B214="","",IF(ROUND($G214,0)&gt;0,"بدهکار",IF(ROUND($G214,0)&lt;0,"بستانکار","تسویه")))</f>
        <v/>
      </c>
    </row>
    <row r="215">
      <c r="A215" s="16">
        <f>IF($B215="","",206)</f>
        <v/>
      </c>
      <c r="B215" s="17">
        <f>IF(191&gt;NPartyA,"",IFERROR(IF(VLOOKUP(INDEX(PkPartyA,191),AcctTblA,4,0)="","(بدون نام)",VLOOKUP(INDEX(PkPartyA,191),AcctTblA,4,0)),"—"))</f>
        <v/>
      </c>
      <c r="C215" s="18">
        <f>IF($B215="","",IF(191&gt;NPartyA,"",INDEX(PkPartyA,191)))</f>
        <v/>
      </c>
      <c r="D215" s="17">
        <f>IF($B215="","","p")</f>
        <v/>
      </c>
      <c r="E215" s="19">
        <f>IF($B215="","",IF(191&gt;NPartyA,0,SUMIF(CalcDebit,INDEX(PkPartyA,191),CalcAmt)+SUMIF(CalcDebit2,INDEX(PkPartyA,191),CalcAmt2)+SUMIF(CalcDebit3,INDEX(PkPartyA,191),CalcAmt3)))</f>
        <v/>
      </c>
      <c r="F215" s="19">
        <f>IF($B215="","",IF(191&gt;NPartyA,0,SUMIF(CalcCredit,INDEX(PkPartyA,191),CalcAmt)+SUMIF(CalcCredit2,INDEX(PkPartyA,191),CalcAmt2)+SUMIF(CalcCredit3,INDEX(PkPartyA,191),CalcAmt3)))</f>
        <v/>
      </c>
      <c r="G215" s="20">
        <f>IF($B215="","",ROUND($E215-$F215,0))</f>
        <v/>
      </c>
      <c r="H215" s="17">
        <f>IF($B215="","",IF(ROUND($G215,0)&gt;0,"بدهکار",IF(ROUND($G215,0)&lt;0,"بستانکار","تسویه")))</f>
        <v/>
      </c>
    </row>
    <row r="216">
      <c r="A216" s="11">
        <f>IF($B216="","",207)</f>
        <v/>
      </c>
      <c r="B216" s="12">
        <f>IF(192&gt;NPartyA,"",IFERROR(IF(VLOOKUP(INDEX(PkPartyA,192),AcctTblA,4,0)="","(بدون نام)",VLOOKUP(INDEX(PkPartyA,192),AcctTblA,4,0)),"—"))</f>
        <v/>
      </c>
      <c r="C216" s="13">
        <f>IF($B216="","",IF(192&gt;NPartyA,"",INDEX(PkPartyA,192)))</f>
        <v/>
      </c>
      <c r="D216" s="12">
        <f>IF($B216="","","p")</f>
        <v/>
      </c>
      <c r="E216" s="14">
        <f>IF($B216="","",IF(192&gt;NPartyA,0,SUMIF(CalcDebit,INDEX(PkPartyA,192),CalcAmt)+SUMIF(CalcDebit2,INDEX(PkPartyA,192),CalcAmt2)+SUMIF(CalcDebit3,INDEX(PkPartyA,192),CalcAmt3)))</f>
        <v/>
      </c>
      <c r="F216" s="14">
        <f>IF($B216="","",IF(192&gt;NPartyA,0,SUMIF(CalcCredit,INDEX(PkPartyA,192),CalcAmt)+SUMIF(CalcCredit2,INDEX(PkPartyA,192),CalcAmt2)+SUMIF(CalcCredit3,INDEX(PkPartyA,192),CalcAmt3)))</f>
        <v/>
      </c>
      <c r="G216" s="15">
        <f>IF($B216="","",ROUND($E216-$F216,0))</f>
        <v/>
      </c>
      <c r="H216" s="12">
        <f>IF($B216="","",IF(ROUND($G216,0)&gt;0,"بدهکار",IF(ROUND($G216,0)&lt;0,"بستانکار","تسویه")))</f>
        <v/>
      </c>
    </row>
    <row r="217">
      <c r="A217" s="16">
        <f>IF($B217="","",208)</f>
        <v/>
      </c>
      <c r="B217" s="17">
        <f>IF(193&gt;NPartyA,"",IFERROR(IF(VLOOKUP(INDEX(PkPartyA,193),AcctTblA,4,0)="","(بدون نام)",VLOOKUP(INDEX(PkPartyA,193),AcctTblA,4,0)),"—"))</f>
        <v/>
      </c>
      <c r="C217" s="18">
        <f>IF($B217="","",IF(193&gt;NPartyA,"",INDEX(PkPartyA,193)))</f>
        <v/>
      </c>
      <c r="D217" s="17">
        <f>IF($B217="","","p")</f>
        <v/>
      </c>
      <c r="E217" s="19">
        <f>IF($B217="","",IF(193&gt;NPartyA,0,SUMIF(CalcDebit,INDEX(PkPartyA,193),CalcAmt)+SUMIF(CalcDebit2,INDEX(PkPartyA,193),CalcAmt2)+SUMIF(CalcDebit3,INDEX(PkPartyA,193),CalcAmt3)))</f>
        <v/>
      </c>
      <c r="F217" s="19">
        <f>IF($B217="","",IF(193&gt;NPartyA,0,SUMIF(CalcCredit,INDEX(PkPartyA,193),CalcAmt)+SUMIF(CalcCredit2,INDEX(PkPartyA,193),CalcAmt2)+SUMIF(CalcCredit3,INDEX(PkPartyA,193),CalcAmt3)))</f>
        <v/>
      </c>
      <c r="G217" s="20">
        <f>IF($B217="","",ROUND($E217-$F217,0))</f>
        <v/>
      </c>
      <c r="H217" s="17">
        <f>IF($B217="","",IF(ROUND($G217,0)&gt;0,"بدهکار",IF(ROUND($G217,0)&lt;0,"بستانکار","تسویه")))</f>
        <v/>
      </c>
    </row>
    <row r="218">
      <c r="A218" s="11">
        <f>IF($B218="","",209)</f>
        <v/>
      </c>
      <c r="B218" s="12">
        <f>IF(194&gt;NPartyA,"",IFERROR(IF(VLOOKUP(INDEX(PkPartyA,194),AcctTblA,4,0)="","(بدون نام)",VLOOKUP(INDEX(PkPartyA,194),AcctTblA,4,0)),"—"))</f>
        <v/>
      </c>
      <c r="C218" s="13">
        <f>IF($B218="","",IF(194&gt;NPartyA,"",INDEX(PkPartyA,194)))</f>
        <v/>
      </c>
      <c r="D218" s="12">
        <f>IF($B218="","","p")</f>
        <v/>
      </c>
      <c r="E218" s="14">
        <f>IF($B218="","",IF(194&gt;NPartyA,0,SUMIF(CalcDebit,INDEX(PkPartyA,194),CalcAmt)+SUMIF(CalcDebit2,INDEX(PkPartyA,194),CalcAmt2)+SUMIF(CalcDebit3,INDEX(PkPartyA,194),CalcAmt3)))</f>
        <v/>
      </c>
      <c r="F218" s="14">
        <f>IF($B218="","",IF(194&gt;NPartyA,0,SUMIF(CalcCredit,INDEX(PkPartyA,194),CalcAmt)+SUMIF(CalcCredit2,INDEX(PkPartyA,194),CalcAmt2)+SUMIF(CalcCredit3,INDEX(PkPartyA,194),CalcAmt3)))</f>
        <v/>
      </c>
      <c r="G218" s="15">
        <f>IF($B218="","",ROUND($E218-$F218,0))</f>
        <v/>
      </c>
      <c r="H218" s="12">
        <f>IF($B218="","",IF(ROUND($G218,0)&gt;0,"بدهکار",IF(ROUND($G218,0)&lt;0,"بستانکار","تسویه")))</f>
        <v/>
      </c>
    </row>
    <row r="219">
      <c r="A219" s="16">
        <f>IF($B219="","",210)</f>
        <v/>
      </c>
      <c r="B219" s="17">
        <f>IF(195&gt;NPartyA,"",IFERROR(IF(VLOOKUP(INDEX(PkPartyA,195),AcctTblA,4,0)="","(بدون نام)",VLOOKUP(INDEX(PkPartyA,195),AcctTblA,4,0)),"—"))</f>
        <v/>
      </c>
      <c r="C219" s="18">
        <f>IF($B219="","",IF(195&gt;NPartyA,"",INDEX(PkPartyA,195)))</f>
        <v/>
      </c>
      <c r="D219" s="17">
        <f>IF($B219="","","p")</f>
        <v/>
      </c>
      <c r="E219" s="19">
        <f>IF($B219="","",IF(195&gt;NPartyA,0,SUMIF(CalcDebit,INDEX(PkPartyA,195),CalcAmt)+SUMIF(CalcDebit2,INDEX(PkPartyA,195),CalcAmt2)+SUMIF(CalcDebit3,INDEX(PkPartyA,195),CalcAmt3)))</f>
        <v/>
      </c>
      <c r="F219" s="19">
        <f>IF($B219="","",IF(195&gt;NPartyA,0,SUMIF(CalcCredit,INDEX(PkPartyA,195),CalcAmt)+SUMIF(CalcCredit2,INDEX(PkPartyA,195),CalcAmt2)+SUMIF(CalcCredit3,INDEX(PkPartyA,195),CalcAmt3)))</f>
        <v/>
      </c>
      <c r="G219" s="20">
        <f>IF($B219="","",ROUND($E219-$F219,0))</f>
        <v/>
      </c>
      <c r="H219" s="17">
        <f>IF($B219="","",IF(ROUND($G219,0)&gt;0,"بدهکار",IF(ROUND($G219,0)&lt;0,"بستانکار","تسویه")))</f>
        <v/>
      </c>
    </row>
    <row r="220">
      <c r="A220" s="11">
        <f>IF($B220="","",211)</f>
        <v/>
      </c>
      <c r="B220" s="12">
        <f>IF(196&gt;NPartyA,"",IFERROR(IF(VLOOKUP(INDEX(PkPartyA,196),AcctTblA,4,0)="","(بدون نام)",VLOOKUP(INDEX(PkPartyA,196),AcctTblA,4,0)),"—"))</f>
        <v/>
      </c>
      <c r="C220" s="13">
        <f>IF($B220="","",IF(196&gt;NPartyA,"",INDEX(PkPartyA,196)))</f>
        <v/>
      </c>
      <c r="D220" s="12">
        <f>IF($B220="","","p")</f>
        <v/>
      </c>
      <c r="E220" s="14">
        <f>IF($B220="","",IF(196&gt;NPartyA,0,SUMIF(CalcDebit,INDEX(PkPartyA,196),CalcAmt)+SUMIF(CalcDebit2,INDEX(PkPartyA,196),CalcAmt2)+SUMIF(CalcDebit3,INDEX(PkPartyA,196),CalcAmt3)))</f>
        <v/>
      </c>
      <c r="F220" s="14">
        <f>IF($B220="","",IF(196&gt;NPartyA,0,SUMIF(CalcCredit,INDEX(PkPartyA,196),CalcAmt)+SUMIF(CalcCredit2,INDEX(PkPartyA,196),CalcAmt2)+SUMIF(CalcCredit3,INDEX(PkPartyA,196),CalcAmt3)))</f>
        <v/>
      </c>
      <c r="G220" s="15">
        <f>IF($B220="","",ROUND($E220-$F220,0))</f>
        <v/>
      </c>
      <c r="H220" s="12">
        <f>IF($B220="","",IF(ROUND($G220,0)&gt;0,"بدهکار",IF(ROUND($G220,0)&lt;0,"بستانکار","تسویه")))</f>
        <v/>
      </c>
    </row>
    <row r="221">
      <c r="A221" s="16">
        <f>IF($B221="","",212)</f>
        <v/>
      </c>
      <c r="B221" s="17">
        <f>IF(197&gt;NPartyA,"",IFERROR(IF(VLOOKUP(INDEX(PkPartyA,197),AcctTblA,4,0)="","(بدون نام)",VLOOKUP(INDEX(PkPartyA,197),AcctTblA,4,0)),"—"))</f>
        <v/>
      </c>
      <c r="C221" s="18">
        <f>IF($B221="","",IF(197&gt;NPartyA,"",INDEX(PkPartyA,197)))</f>
        <v/>
      </c>
      <c r="D221" s="17">
        <f>IF($B221="","","p")</f>
        <v/>
      </c>
      <c r="E221" s="19">
        <f>IF($B221="","",IF(197&gt;NPartyA,0,SUMIF(CalcDebit,INDEX(PkPartyA,197),CalcAmt)+SUMIF(CalcDebit2,INDEX(PkPartyA,197),CalcAmt2)+SUMIF(CalcDebit3,INDEX(PkPartyA,197),CalcAmt3)))</f>
        <v/>
      </c>
      <c r="F221" s="19">
        <f>IF($B221="","",IF(197&gt;NPartyA,0,SUMIF(CalcCredit,INDEX(PkPartyA,197),CalcAmt)+SUMIF(CalcCredit2,INDEX(PkPartyA,197),CalcAmt2)+SUMIF(CalcCredit3,INDEX(PkPartyA,197),CalcAmt3)))</f>
        <v/>
      </c>
      <c r="G221" s="20">
        <f>IF($B221="","",ROUND($E221-$F221,0))</f>
        <v/>
      </c>
      <c r="H221" s="17">
        <f>IF($B221="","",IF(ROUND($G221,0)&gt;0,"بدهکار",IF(ROUND($G221,0)&lt;0,"بستانکار","تسویه")))</f>
        <v/>
      </c>
    </row>
    <row r="222">
      <c r="A222" s="11">
        <f>IF($B222="","",213)</f>
        <v/>
      </c>
      <c r="B222" s="12">
        <f>IF(198&gt;NPartyA,"",IFERROR(IF(VLOOKUP(INDEX(PkPartyA,198),AcctTblA,4,0)="","(بدون نام)",VLOOKUP(INDEX(PkPartyA,198),AcctTblA,4,0)),"—"))</f>
        <v/>
      </c>
      <c r="C222" s="13">
        <f>IF($B222="","",IF(198&gt;NPartyA,"",INDEX(PkPartyA,198)))</f>
        <v/>
      </c>
      <c r="D222" s="12">
        <f>IF($B222="","","p")</f>
        <v/>
      </c>
      <c r="E222" s="14">
        <f>IF($B222="","",IF(198&gt;NPartyA,0,SUMIF(CalcDebit,INDEX(PkPartyA,198),CalcAmt)+SUMIF(CalcDebit2,INDEX(PkPartyA,198),CalcAmt2)+SUMIF(CalcDebit3,INDEX(PkPartyA,198),CalcAmt3)))</f>
        <v/>
      </c>
      <c r="F222" s="14">
        <f>IF($B222="","",IF(198&gt;NPartyA,0,SUMIF(CalcCredit,INDEX(PkPartyA,198),CalcAmt)+SUMIF(CalcCredit2,INDEX(PkPartyA,198),CalcAmt2)+SUMIF(CalcCredit3,INDEX(PkPartyA,198),CalcAmt3)))</f>
        <v/>
      </c>
      <c r="G222" s="15">
        <f>IF($B222="","",ROUND($E222-$F222,0))</f>
        <v/>
      </c>
      <c r="H222" s="12">
        <f>IF($B222="","",IF(ROUND($G222,0)&gt;0,"بدهکار",IF(ROUND($G222,0)&lt;0,"بستانکار","تسویه")))</f>
        <v/>
      </c>
    </row>
    <row r="223">
      <c r="A223" s="16">
        <f>IF($B223="","",214)</f>
        <v/>
      </c>
      <c r="B223" s="17">
        <f>IF(199&gt;NPartyA,"",IFERROR(IF(VLOOKUP(INDEX(PkPartyA,199),AcctTblA,4,0)="","(بدون نام)",VLOOKUP(INDEX(PkPartyA,199),AcctTblA,4,0)),"—"))</f>
        <v/>
      </c>
      <c r="C223" s="18">
        <f>IF($B223="","",IF(199&gt;NPartyA,"",INDEX(PkPartyA,199)))</f>
        <v/>
      </c>
      <c r="D223" s="17">
        <f>IF($B223="","","p")</f>
        <v/>
      </c>
      <c r="E223" s="19">
        <f>IF($B223="","",IF(199&gt;NPartyA,0,SUMIF(CalcDebit,INDEX(PkPartyA,199),CalcAmt)+SUMIF(CalcDebit2,INDEX(PkPartyA,199),CalcAmt2)+SUMIF(CalcDebit3,INDEX(PkPartyA,199),CalcAmt3)))</f>
        <v/>
      </c>
      <c r="F223" s="19">
        <f>IF($B223="","",IF(199&gt;NPartyA,0,SUMIF(CalcCredit,INDEX(PkPartyA,199),CalcAmt)+SUMIF(CalcCredit2,INDEX(PkPartyA,199),CalcAmt2)+SUMIF(CalcCredit3,INDEX(PkPartyA,199),CalcAmt3)))</f>
        <v/>
      </c>
      <c r="G223" s="20">
        <f>IF($B223="","",ROUND($E223-$F223,0))</f>
        <v/>
      </c>
      <c r="H223" s="17">
        <f>IF($B223="","",IF(ROUND($G223,0)&gt;0,"بدهکار",IF(ROUND($G223,0)&lt;0,"بستانکار","تسویه")))</f>
        <v/>
      </c>
    </row>
    <row r="224">
      <c r="A224" s="11">
        <f>IF($B224="","",215)</f>
        <v/>
      </c>
      <c r="B224" s="12">
        <f>IF(200&gt;NPartyA,"",IFERROR(IF(VLOOKUP(INDEX(PkPartyA,200),AcctTblA,4,0)="","(بدون نام)",VLOOKUP(INDEX(PkPartyA,200),AcctTblA,4,0)),"—"))</f>
        <v/>
      </c>
      <c r="C224" s="13">
        <f>IF($B224="","",IF(200&gt;NPartyA,"",INDEX(PkPartyA,200)))</f>
        <v/>
      </c>
      <c r="D224" s="12">
        <f>IF($B224="","","p")</f>
        <v/>
      </c>
      <c r="E224" s="14">
        <f>IF($B224="","",IF(200&gt;NPartyA,0,SUMIF(CalcDebit,INDEX(PkPartyA,200),CalcAmt)+SUMIF(CalcDebit2,INDEX(PkPartyA,200),CalcAmt2)+SUMIF(CalcDebit3,INDEX(PkPartyA,200),CalcAmt3)))</f>
        <v/>
      </c>
      <c r="F224" s="14">
        <f>IF($B224="","",IF(200&gt;NPartyA,0,SUMIF(CalcCredit,INDEX(PkPartyA,200),CalcAmt)+SUMIF(CalcCredit2,INDEX(PkPartyA,200),CalcAmt2)+SUMIF(CalcCredit3,INDEX(PkPartyA,200),CalcAmt3)))</f>
        <v/>
      </c>
      <c r="G224" s="15">
        <f>IF($B224="","",ROUND($E224-$F224,0))</f>
        <v/>
      </c>
      <c r="H224" s="12">
        <f>IF($B224="","",IF(ROUND($G224,0)&gt;0,"بدهکار",IF(ROUND($G224,0)&lt;0,"بستانکار","تسویه")))</f>
        <v/>
      </c>
    </row>
    <row r="225">
      <c r="A225" s="16">
        <f>IF($B225="","",216)</f>
        <v/>
      </c>
      <c r="B225" s="17">
        <f>IF(201&gt;NPartyA,"",IFERROR(IF(VLOOKUP(INDEX(PkPartyA,201),AcctTblA,4,0)="","(بدون نام)",VLOOKUP(INDEX(PkPartyA,201),AcctTblA,4,0)),"—"))</f>
        <v/>
      </c>
      <c r="C225" s="18">
        <f>IF($B225="","",IF(201&gt;NPartyA,"",INDEX(PkPartyA,201)))</f>
        <v/>
      </c>
      <c r="D225" s="17">
        <f>IF($B225="","","p")</f>
        <v/>
      </c>
      <c r="E225" s="19">
        <f>IF($B225="","",IF(201&gt;NPartyA,0,SUMIF(CalcDebit,INDEX(PkPartyA,201),CalcAmt)+SUMIF(CalcDebit2,INDEX(PkPartyA,201),CalcAmt2)+SUMIF(CalcDebit3,INDEX(PkPartyA,201),CalcAmt3)))</f>
        <v/>
      </c>
      <c r="F225" s="19">
        <f>IF($B225="","",IF(201&gt;NPartyA,0,SUMIF(CalcCredit,INDEX(PkPartyA,201),CalcAmt)+SUMIF(CalcCredit2,INDEX(PkPartyA,201),CalcAmt2)+SUMIF(CalcCredit3,INDEX(PkPartyA,201),CalcAmt3)))</f>
        <v/>
      </c>
      <c r="G225" s="20">
        <f>IF($B225="","",ROUND($E225-$F225,0))</f>
        <v/>
      </c>
      <c r="H225" s="17">
        <f>IF($B225="","",IF(ROUND($G225,0)&gt;0,"بدهکار",IF(ROUND($G225,0)&lt;0,"بستانکار","تسویه")))</f>
        <v/>
      </c>
    </row>
    <row r="226">
      <c r="A226" s="11">
        <f>IF($B226="","",217)</f>
        <v/>
      </c>
      <c r="B226" s="12">
        <f>IF(202&gt;NPartyA,"",IFERROR(IF(VLOOKUP(INDEX(PkPartyA,202),AcctTblA,4,0)="","(بدون نام)",VLOOKUP(INDEX(PkPartyA,202),AcctTblA,4,0)),"—"))</f>
        <v/>
      </c>
      <c r="C226" s="13">
        <f>IF($B226="","",IF(202&gt;NPartyA,"",INDEX(PkPartyA,202)))</f>
        <v/>
      </c>
      <c r="D226" s="12">
        <f>IF($B226="","","p")</f>
        <v/>
      </c>
      <c r="E226" s="14">
        <f>IF($B226="","",IF(202&gt;NPartyA,0,SUMIF(CalcDebit,INDEX(PkPartyA,202),CalcAmt)+SUMIF(CalcDebit2,INDEX(PkPartyA,202),CalcAmt2)+SUMIF(CalcDebit3,INDEX(PkPartyA,202),CalcAmt3)))</f>
        <v/>
      </c>
      <c r="F226" s="14">
        <f>IF($B226="","",IF(202&gt;NPartyA,0,SUMIF(CalcCredit,INDEX(PkPartyA,202),CalcAmt)+SUMIF(CalcCredit2,INDEX(PkPartyA,202),CalcAmt2)+SUMIF(CalcCredit3,INDEX(PkPartyA,202),CalcAmt3)))</f>
        <v/>
      </c>
      <c r="G226" s="15">
        <f>IF($B226="","",ROUND($E226-$F226,0))</f>
        <v/>
      </c>
      <c r="H226" s="12">
        <f>IF($B226="","",IF(ROUND($G226,0)&gt;0,"بدهکار",IF(ROUND($G226,0)&lt;0,"بستانکار","تسویه")))</f>
        <v/>
      </c>
    </row>
    <row r="227">
      <c r="A227" s="16">
        <f>IF($B227="","",218)</f>
        <v/>
      </c>
      <c r="B227" s="17">
        <f>IF(203&gt;NPartyA,"",IFERROR(IF(VLOOKUP(INDEX(PkPartyA,203),AcctTblA,4,0)="","(بدون نام)",VLOOKUP(INDEX(PkPartyA,203),AcctTblA,4,0)),"—"))</f>
        <v/>
      </c>
      <c r="C227" s="18">
        <f>IF($B227="","",IF(203&gt;NPartyA,"",INDEX(PkPartyA,203)))</f>
        <v/>
      </c>
      <c r="D227" s="17">
        <f>IF($B227="","","p")</f>
        <v/>
      </c>
      <c r="E227" s="19">
        <f>IF($B227="","",IF(203&gt;NPartyA,0,SUMIF(CalcDebit,INDEX(PkPartyA,203),CalcAmt)+SUMIF(CalcDebit2,INDEX(PkPartyA,203),CalcAmt2)+SUMIF(CalcDebit3,INDEX(PkPartyA,203),CalcAmt3)))</f>
        <v/>
      </c>
      <c r="F227" s="19">
        <f>IF($B227="","",IF(203&gt;NPartyA,0,SUMIF(CalcCredit,INDEX(PkPartyA,203),CalcAmt)+SUMIF(CalcCredit2,INDEX(PkPartyA,203),CalcAmt2)+SUMIF(CalcCredit3,INDEX(PkPartyA,203),CalcAmt3)))</f>
        <v/>
      </c>
      <c r="G227" s="20">
        <f>IF($B227="","",ROUND($E227-$F227,0))</f>
        <v/>
      </c>
      <c r="H227" s="17">
        <f>IF($B227="","",IF(ROUND($G227,0)&gt;0,"بدهکار",IF(ROUND($G227,0)&lt;0,"بستانکار","تسویه")))</f>
        <v/>
      </c>
    </row>
    <row r="228">
      <c r="A228" s="11">
        <f>IF($B228="","",219)</f>
        <v/>
      </c>
      <c r="B228" s="12">
        <f>IF(204&gt;NPartyA,"",IFERROR(IF(VLOOKUP(INDEX(PkPartyA,204),AcctTblA,4,0)="","(بدون نام)",VLOOKUP(INDEX(PkPartyA,204),AcctTblA,4,0)),"—"))</f>
        <v/>
      </c>
      <c r="C228" s="13">
        <f>IF($B228="","",IF(204&gt;NPartyA,"",INDEX(PkPartyA,204)))</f>
        <v/>
      </c>
      <c r="D228" s="12">
        <f>IF($B228="","","p")</f>
        <v/>
      </c>
      <c r="E228" s="14">
        <f>IF($B228="","",IF(204&gt;NPartyA,0,SUMIF(CalcDebit,INDEX(PkPartyA,204),CalcAmt)+SUMIF(CalcDebit2,INDEX(PkPartyA,204),CalcAmt2)+SUMIF(CalcDebit3,INDEX(PkPartyA,204),CalcAmt3)))</f>
        <v/>
      </c>
      <c r="F228" s="14">
        <f>IF($B228="","",IF(204&gt;NPartyA,0,SUMIF(CalcCredit,INDEX(PkPartyA,204),CalcAmt)+SUMIF(CalcCredit2,INDEX(PkPartyA,204),CalcAmt2)+SUMIF(CalcCredit3,INDEX(PkPartyA,204),CalcAmt3)))</f>
        <v/>
      </c>
      <c r="G228" s="15">
        <f>IF($B228="","",ROUND($E228-$F228,0))</f>
        <v/>
      </c>
      <c r="H228" s="12">
        <f>IF($B228="","",IF(ROUND($G228,0)&gt;0,"بدهکار",IF(ROUND($G228,0)&lt;0,"بستانکار","تسویه")))</f>
        <v/>
      </c>
    </row>
    <row r="229">
      <c r="A229" s="16">
        <f>IF($B229="","",220)</f>
        <v/>
      </c>
      <c r="B229" s="17">
        <f>IF(205&gt;NPartyA,"",IFERROR(IF(VLOOKUP(INDEX(PkPartyA,205),AcctTblA,4,0)="","(بدون نام)",VLOOKUP(INDEX(PkPartyA,205),AcctTblA,4,0)),"—"))</f>
        <v/>
      </c>
      <c r="C229" s="18">
        <f>IF($B229="","",IF(205&gt;NPartyA,"",INDEX(PkPartyA,205)))</f>
        <v/>
      </c>
      <c r="D229" s="17">
        <f>IF($B229="","","p")</f>
        <v/>
      </c>
      <c r="E229" s="19">
        <f>IF($B229="","",IF(205&gt;NPartyA,0,SUMIF(CalcDebit,INDEX(PkPartyA,205),CalcAmt)+SUMIF(CalcDebit2,INDEX(PkPartyA,205),CalcAmt2)+SUMIF(CalcDebit3,INDEX(PkPartyA,205),CalcAmt3)))</f>
        <v/>
      </c>
      <c r="F229" s="19">
        <f>IF($B229="","",IF(205&gt;NPartyA,0,SUMIF(CalcCredit,INDEX(PkPartyA,205),CalcAmt)+SUMIF(CalcCredit2,INDEX(PkPartyA,205),CalcAmt2)+SUMIF(CalcCredit3,INDEX(PkPartyA,205),CalcAmt3)))</f>
        <v/>
      </c>
      <c r="G229" s="20">
        <f>IF($B229="","",ROUND($E229-$F229,0))</f>
        <v/>
      </c>
      <c r="H229" s="17">
        <f>IF($B229="","",IF(ROUND($G229,0)&gt;0,"بدهکار",IF(ROUND($G229,0)&lt;0,"بستانکار","تسویه")))</f>
        <v/>
      </c>
    </row>
    <row r="230">
      <c r="A230" s="11">
        <f>IF($B230="","",221)</f>
        <v/>
      </c>
      <c r="B230" s="12">
        <f>IF(206&gt;NPartyA,"",IFERROR(IF(VLOOKUP(INDEX(PkPartyA,206),AcctTblA,4,0)="","(بدون نام)",VLOOKUP(INDEX(PkPartyA,206),AcctTblA,4,0)),"—"))</f>
        <v/>
      </c>
      <c r="C230" s="13">
        <f>IF($B230="","",IF(206&gt;NPartyA,"",INDEX(PkPartyA,206)))</f>
        <v/>
      </c>
      <c r="D230" s="12">
        <f>IF($B230="","","p")</f>
        <v/>
      </c>
      <c r="E230" s="14">
        <f>IF($B230="","",IF(206&gt;NPartyA,0,SUMIF(CalcDebit,INDEX(PkPartyA,206),CalcAmt)+SUMIF(CalcDebit2,INDEX(PkPartyA,206),CalcAmt2)+SUMIF(CalcDebit3,INDEX(PkPartyA,206),CalcAmt3)))</f>
        <v/>
      </c>
      <c r="F230" s="14">
        <f>IF($B230="","",IF(206&gt;NPartyA,0,SUMIF(CalcCredit,INDEX(PkPartyA,206),CalcAmt)+SUMIF(CalcCredit2,INDEX(PkPartyA,206),CalcAmt2)+SUMIF(CalcCredit3,INDEX(PkPartyA,206),CalcAmt3)))</f>
        <v/>
      </c>
      <c r="G230" s="15">
        <f>IF($B230="","",ROUND($E230-$F230,0))</f>
        <v/>
      </c>
      <c r="H230" s="12">
        <f>IF($B230="","",IF(ROUND($G230,0)&gt;0,"بدهکار",IF(ROUND($G230,0)&lt;0,"بستانکار","تسویه")))</f>
        <v/>
      </c>
    </row>
    <row r="231">
      <c r="A231" s="16">
        <f>IF($B231="","",222)</f>
        <v/>
      </c>
      <c r="B231" s="17">
        <f>IF(207&gt;NPartyA,"",IFERROR(IF(VLOOKUP(INDEX(PkPartyA,207),AcctTblA,4,0)="","(بدون نام)",VLOOKUP(INDEX(PkPartyA,207),AcctTblA,4,0)),"—"))</f>
        <v/>
      </c>
      <c r="C231" s="18">
        <f>IF($B231="","",IF(207&gt;NPartyA,"",INDEX(PkPartyA,207)))</f>
        <v/>
      </c>
      <c r="D231" s="17">
        <f>IF($B231="","","p")</f>
        <v/>
      </c>
      <c r="E231" s="19">
        <f>IF($B231="","",IF(207&gt;NPartyA,0,SUMIF(CalcDebit,INDEX(PkPartyA,207),CalcAmt)+SUMIF(CalcDebit2,INDEX(PkPartyA,207),CalcAmt2)+SUMIF(CalcDebit3,INDEX(PkPartyA,207),CalcAmt3)))</f>
        <v/>
      </c>
      <c r="F231" s="19">
        <f>IF($B231="","",IF(207&gt;NPartyA,0,SUMIF(CalcCredit,INDEX(PkPartyA,207),CalcAmt)+SUMIF(CalcCredit2,INDEX(PkPartyA,207),CalcAmt2)+SUMIF(CalcCredit3,INDEX(PkPartyA,207),CalcAmt3)))</f>
        <v/>
      </c>
      <c r="G231" s="20">
        <f>IF($B231="","",ROUND($E231-$F231,0))</f>
        <v/>
      </c>
      <c r="H231" s="17">
        <f>IF($B231="","",IF(ROUND($G231,0)&gt;0,"بدهکار",IF(ROUND($G231,0)&lt;0,"بستانکار","تسویه")))</f>
        <v/>
      </c>
    </row>
    <row r="232">
      <c r="A232" s="11">
        <f>IF($B232="","",223)</f>
        <v/>
      </c>
      <c r="B232" s="12">
        <f>IF(208&gt;NPartyA,"",IFERROR(IF(VLOOKUP(INDEX(PkPartyA,208),AcctTblA,4,0)="","(بدون نام)",VLOOKUP(INDEX(PkPartyA,208),AcctTblA,4,0)),"—"))</f>
        <v/>
      </c>
      <c r="C232" s="13">
        <f>IF($B232="","",IF(208&gt;NPartyA,"",INDEX(PkPartyA,208)))</f>
        <v/>
      </c>
      <c r="D232" s="12">
        <f>IF($B232="","","p")</f>
        <v/>
      </c>
      <c r="E232" s="14">
        <f>IF($B232="","",IF(208&gt;NPartyA,0,SUMIF(CalcDebit,INDEX(PkPartyA,208),CalcAmt)+SUMIF(CalcDebit2,INDEX(PkPartyA,208),CalcAmt2)+SUMIF(CalcDebit3,INDEX(PkPartyA,208),CalcAmt3)))</f>
        <v/>
      </c>
      <c r="F232" s="14">
        <f>IF($B232="","",IF(208&gt;NPartyA,0,SUMIF(CalcCredit,INDEX(PkPartyA,208),CalcAmt)+SUMIF(CalcCredit2,INDEX(PkPartyA,208),CalcAmt2)+SUMIF(CalcCredit3,INDEX(PkPartyA,208),CalcAmt3)))</f>
        <v/>
      </c>
      <c r="G232" s="15">
        <f>IF($B232="","",ROUND($E232-$F232,0))</f>
        <v/>
      </c>
      <c r="H232" s="12">
        <f>IF($B232="","",IF(ROUND($G232,0)&gt;0,"بدهکار",IF(ROUND($G232,0)&lt;0,"بستانکار","تسویه")))</f>
        <v/>
      </c>
    </row>
    <row r="233">
      <c r="A233" s="16">
        <f>IF($B233="","",224)</f>
        <v/>
      </c>
      <c r="B233" s="17">
        <f>IF(209&gt;NPartyA,"",IFERROR(IF(VLOOKUP(INDEX(PkPartyA,209),AcctTblA,4,0)="","(بدون نام)",VLOOKUP(INDEX(PkPartyA,209),AcctTblA,4,0)),"—"))</f>
        <v/>
      </c>
      <c r="C233" s="18">
        <f>IF($B233="","",IF(209&gt;NPartyA,"",INDEX(PkPartyA,209)))</f>
        <v/>
      </c>
      <c r="D233" s="17">
        <f>IF($B233="","","p")</f>
        <v/>
      </c>
      <c r="E233" s="19">
        <f>IF($B233="","",IF(209&gt;NPartyA,0,SUMIF(CalcDebit,INDEX(PkPartyA,209),CalcAmt)+SUMIF(CalcDebit2,INDEX(PkPartyA,209),CalcAmt2)+SUMIF(CalcDebit3,INDEX(PkPartyA,209),CalcAmt3)))</f>
        <v/>
      </c>
      <c r="F233" s="19">
        <f>IF($B233="","",IF(209&gt;NPartyA,0,SUMIF(CalcCredit,INDEX(PkPartyA,209),CalcAmt)+SUMIF(CalcCredit2,INDEX(PkPartyA,209),CalcAmt2)+SUMIF(CalcCredit3,INDEX(PkPartyA,209),CalcAmt3)))</f>
        <v/>
      </c>
      <c r="G233" s="20">
        <f>IF($B233="","",ROUND($E233-$F233,0))</f>
        <v/>
      </c>
      <c r="H233" s="17">
        <f>IF($B233="","",IF(ROUND($G233,0)&gt;0,"بدهکار",IF(ROUND($G233,0)&lt;0,"بستانکار","تسویه")))</f>
        <v/>
      </c>
    </row>
    <row r="234">
      <c r="A234" s="11">
        <f>IF($B234="","",225)</f>
        <v/>
      </c>
      <c r="B234" s="12">
        <f>IF(210&gt;NPartyA,"",IFERROR(IF(VLOOKUP(INDEX(PkPartyA,210),AcctTblA,4,0)="","(بدون نام)",VLOOKUP(INDEX(PkPartyA,210),AcctTblA,4,0)),"—"))</f>
        <v/>
      </c>
      <c r="C234" s="13">
        <f>IF($B234="","",IF(210&gt;NPartyA,"",INDEX(PkPartyA,210)))</f>
        <v/>
      </c>
      <c r="D234" s="12">
        <f>IF($B234="","","p")</f>
        <v/>
      </c>
      <c r="E234" s="14">
        <f>IF($B234="","",IF(210&gt;NPartyA,0,SUMIF(CalcDebit,INDEX(PkPartyA,210),CalcAmt)+SUMIF(CalcDebit2,INDEX(PkPartyA,210),CalcAmt2)+SUMIF(CalcDebit3,INDEX(PkPartyA,210),CalcAmt3)))</f>
        <v/>
      </c>
      <c r="F234" s="14">
        <f>IF($B234="","",IF(210&gt;NPartyA,0,SUMIF(CalcCredit,INDEX(PkPartyA,210),CalcAmt)+SUMIF(CalcCredit2,INDEX(PkPartyA,210),CalcAmt2)+SUMIF(CalcCredit3,INDEX(PkPartyA,210),CalcAmt3)))</f>
        <v/>
      </c>
      <c r="G234" s="15">
        <f>IF($B234="","",ROUND($E234-$F234,0))</f>
        <v/>
      </c>
      <c r="H234" s="12">
        <f>IF($B234="","",IF(ROUND($G234,0)&gt;0,"بدهکار",IF(ROUND($G234,0)&lt;0,"بستانکار","تسویه")))</f>
        <v/>
      </c>
    </row>
    <row r="235">
      <c r="A235" s="16">
        <f>IF($B235="","",226)</f>
        <v/>
      </c>
      <c r="B235" s="17">
        <f>IF(211&gt;NPartyA,"",IFERROR(IF(VLOOKUP(INDEX(PkPartyA,211),AcctTblA,4,0)="","(بدون نام)",VLOOKUP(INDEX(PkPartyA,211),AcctTblA,4,0)),"—"))</f>
        <v/>
      </c>
      <c r="C235" s="18">
        <f>IF($B235="","",IF(211&gt;NPartyA,"",INDEX(PkPartyA,211)))</f>
        <v/>
      </c>
      <c r="D235" s="17">
        <f>IF($B235="","","p")</f>
        <v/>
      </c>
      <c r="E235" s="19">
        <f>IF($B235="","",IF(211&gt;NPartyA,0,SUMIF(CalcDebit,INDEX(PkPartyA,211),CalcAmt)+SUMIF(CalcDebit2,INDEX(PkPartyA,211),CalcAmt2)+SUMIF(CalcDebit3,INDEX(PkPartyA,211),CalcAmt3)))</f>
        <v/>
      </c>
      <c r="F235" s="19">
        <f>IF($B235="","",IF(211&gt;NPartyA,0,SUMIF(CalcCredit,INDEX(PkPartyA,211),CalcAmt)+SUMIF(CalcCredit2,INDEX(PkPartyA,211),CalcAmt2)+SUMIF(CalcCredit3,INDEX(PkPartyA,211),CalcAmt3)))</f>
        <v/>
      </c>
      <c r="G235" s="20">
        <f>IF($B235="","",ROUND($E235-$F235,0))</f>
        <v/>
      </c>
      <c r="H235" s="17">
        <f>IF($B235="","",IF(ROUND($G235,0)&gt;0,"بدهکار",IF(ROUND($G235,0)&lt;0,"بستانکار","تسویه")))</f>
        <v/>
      </c>
    </row>
    <row r="236">
      <c r="A236" s="11">
        <f>IF($B236="","",227)</f>
        <v/>
      </c>
      <c r="B236" s="12">
        <f>IF(212&gt;NPartyA,"",IFERROR(IF(VLOOKUP(INDEX(PkPartyA,212),AcctTblA,4,0)="","(بدون نام)",VLOOKUP(INDEX(PkPartyA,212),AcctTblA,4,0)),"—"))</f>
        <v/>
      </c>
      <c r="C236" s="13">
        <f>IF($B236="","",IF(212&gt;NPartyA,"",INDEX(PkPartyA,212)))</f>
        <v/>
      </c>
      <c r="D236" s="12">
        <f>IF($B236="","","p")</f>
        <v/>
      </c>
      <c r="E236" s="14">
        <f>IF($B236="","",IF(212&gt;NPartyA,0,SUMIF(CalcDebit,INDEX(PkPartyA,212),CalcAmt)+SUMIF(CalcDebit2,INDEX(PkPartyA,212),CalcAmt2)+SUMIF(CalcDebit3,INDEX(PkPartyA,212),CalcAmt3)))</f>
        <v/>
      </c>
      <c r="F236" s="14">
        <f>IF($B236="","",IF(212&gt;NPartyA,0,SUMIF(CalcCredit,INDEX(PkPartyA,212),CalcAmt)+SUMIF(CalcCredit2,INDEX(PkPartyA,212),CalcAmt2)+SUMIF(CalcCredit3,INDEX(PkPartyA,212),CalcAmt3)))</f>
        <v/>
      </c>
      <c r="G236" s="15">
        <f>IF($B236="","",ROUND($E236-$F236,0))</f>
        <v/>
      </c>
      <c r="H236" s="12">
        <f>IF($B236="","",IF(ROUND($G236,0)&gt;0,"بدهکار",IF(ROUND($G236,0)&lt;0,"بستانکار","تسویه")))</f>
        <v/>
      </c>
    </row>
    <row r="237">
      <c r="A237" s="16">
        <f>IF($B237="","",228)</f>
        <v/>
      </c>
      <c r="B237" s="17">
        <f>IF(213&gt;NPartyA,"",IFERROR(IF(VLOOKUP(INDEX(PkPartyA,213),AcctTblA,4,0)="","(بدون نام)",VLOOKUP(INDEX(PkPartyA,213),AcctTblA,4,0)),"—"))</f>
        <v/>
      </c>
      <c r="C237" s="18">
        <f>IF($B237="","",IF(213&gt;NPartyA,"",INDEX(PkPartyA,213)))</f>
        <v/>
      </c>
      <c r="D237" s="17">
        <f>IF($B237="","","p")</f>
        <v/>
      </c>
      <c r="E237" s="19">
        <f>IF($B237="","",IF(213&gt;NPartyA,0,SUMIF(CalcDebit,INDEX(PkPartyA,213),CalcAmt)+SUMIF(CalcDebit2,INDEX(PkPartyA,213),CalcAmt2)+SUMIF(CalcDebit3,INDEX(PkPartyA,213),CalcAmt3)))</f>
        <v/>
      </c>
      <c r="F237" s="19">
        <f>IF($B237="","",IF(213&gt;NPartyA,0,SUMIF(CalcCredit,INDEX(PkPartyA,213),CalcAmt)+SUMIF(CalcCredit2,INDEX(PkPartyA,213),CalcAmt2)+SUMIF(CalcCredit3,INDEX(PkPartyA,213),CalcAmt3)))</f>
        <v/>
      </c>
      <c r="G237" s="20">
        <f>IF($B237="","",ROUND($E237-$F237,0))</f>
        <v/>
      </c>
      <c r="H237" s="17">
        <f>IF($B237="","",IF(ROUND($G237,0)&gt;0,"بدهکار",IF(ROUND($G237,0)&lt;0,"بستانکار","تسویه")))</f>
        <v/>
      </c>
    </row>
    <row r="238">
      <c r="A238" s="11">
        <f>IF($B238="","",229)</f>
        <v/>
      </c>
      <c r="B238" s="12">
        <f>IF(214&gt;NPartyA,"",IFERROR(IF(VLOOKUP(INDEX(PkPartyA,214),AcctTblA,4,0)="","(بدون نام)",VLOOKUP(INDEX(PkPartyA,214),AcctTblA,4,0)),"—"))</f>
        <v/>
      </c>
      <c r="C238" s="13">
        <f>IF($B238="","",IF(214&gt;NPartyA,"",INDEX(PkPartyA,214)))</f>
        <v/>
      </c>
      <c r="D238" s="12">
        <f>IF($B238="","","p")</f>
        <v/>
      </c>
      <c r="E238" s="14">
        <f>IF($B238="","",IF(214&gt;NPartyA,0,SUMIF(CalcDebit,INDEX(PkPartyA,214),CalcAmt)+SUMIF(CalcDebit2,INDEX(PkPartyA,214),CalcAmt2)+SUMIF(CalcDebit3,INDEX(PkPartyA,214),CalcAmt3)))</f>
        <v/>
      </c>
      <c r="F238" s="14">
        <f>IF($B238="","",IF(214&gt;NPartyA,0,SUMIF(CalcCredit,INDEX(PkPartyA,214),CalcAmt)+SUMIF(CalcCredit2,INDEX(PkPartyA,214),CalcAmt2)+SUMIF(CalcCredit3,INDEX(PkPartyA,214),CalcAmt3)))</f>
        <v/>
      </c>
      <c r="G238" s="15">
        <f>IF($B238="","",ROUND($E238-$F238,0))</f>
        <v/>
      </c>
      <c r="H238" s="12">
        <f>IF($B238="","",IF(ROUND($G238,0)&gt;0,"بدهکار",IF(ROUND($G238,0)&lt;0,"بستانکار","تسویه")))</f>
        <v/>
      </c>
    </row>
    <row r="239">
      <c r="A239" s="16">
        <f>IF($B239="","",230)</f>
        <v/>
      </c>
      <c r="B239" s="17">
        <f>IF(215&gt;NPartyA,"",IFERROR(IF(VLOOKUP(INDEX(PkPartyA,215),AcctTblA,4,0)="","(بدون نام)",VLOOKUP(INDEX(PkPartyA,215),AcctTblA,4,0)),"—"))</f>
        <v/>
      </c>
      <c r="C239" s="18">
        <f>IF($B239="","",IF(215&gt;NPartyA,"",INDEX(PkPartyA,215)))</f>
        <v/>
      </c>
      <c r="D239" s="17">
        <f>IF($B239="","","p")</f>
        <v/>
      </c>
      <c r="E239" s="19">
        <f>IF($B239="","",IF(215&gt;NPartyA,0,SUMIF(CalcDebit,INDEX(PkPartyA,215),CalcAmt)+SUMIF(CalcDebit2,INDEX(PkPartyA,215),CalcAmt2)+SUMIF(CalcDebit3,INDEX(PkPartyA,215),CalcAmt3)))</f>
        <v/>
      </c>
      <c r="F239" s="19">
        <f>IF($B239="","",IF(215&gt;NPartyA,0,SUMIF(CalcCredit,INDEX(PkPartyA,215),CalcAmt)+SUMIF(CalcCredit2,INDEX(PkPartyA,215),CalcAmt2)+SUMIF(CalcCredit3,INDEX(PkPartyA,215),CalcAmt3)))</f>
        <v/>
      </c>
      <c r="G239" s="20">
        <f>IF($B239="","",ROUND($E239-$F239,0))</f>
        <v/>
      </c>
      <c r="H239" s="17">
        <f>IF($B239="","",IF(ROUND($G239,0)&gt;0,"بدهکار",IF(ROUND($G239,0)&lt;0,"بستانکار","تسویه")))</f>
        <v/>
      </c>
    </row>
    <row r="240">
      <c r="A240" s="11">
        <f>IF($B240="","",231)</f>
        <v/>
      </c>
      <c r="B240" s="12">
        <f>IF(216&gt;NPartyA,"",IFERROR(IF(VLOOKUP(INDEX(PkPartyA,216),AcctTblA,4,0)="","(بدون نام)",VLOOKUP(INDEX(PkPartyA,216),AcctTblA,4,0)),"—"))</f>
        <v/>
      </c>
      <c r="C240" s="13">
        <f>IF($B240="","",IF(216&gt;NPartyA,"",INDEX(PkPartyA,216)))</f>
        <v/>
      </c>
      <c r="D240" s="12">
        <f>IF($B240="","","p")</f>
        <v/>
      </c>
      <c r="E240" s="14">
        <f>IF($B240="","",IF(216&gt;NPartyA,0,SUMIF(CalcDebit,INDEX(PkPartyA,216),CalcAmt)+SUMIF(CalcDebit2,INDEX(PkPartyA,216),CalcAmt2)+SUMIF(CalcDebit3,INDEX(PkPartyA,216),CalcAmt3)))</f>
        <v/>
      </c>
      <c r="F240" s="14">
        <f>IF($B240="","",IF(216&gt;NPartyA,0,SUMIF(CalcCredit,INDEX(PkPartyA,216),CalcAmt)+SUMIF(CalcCredit2,INDEX(PkPartyA,216),CalcAmt2)+SUMIF(CalcCredit3,INDEX(PkPartyA,216),CalcAmt3)))</f>
        <v/>
      </c>
      <c r="G240" s="15">
        <f>IF($B240="","",ROUND($E240-$F240,0))</f>
        <v/>
      </c>
      <c r="H240" s="12">
        <f>IF($B240="","",IF(ROUND($G240,0)&gt;0,"بدهکار",IF(ROUND($G240,0)&lt;0,"بستانکار","تسویه")))</f>
        <v/>
      </c>
    </row>
    <row r="241">
      <c r="A241" s="16">
        <f>IF($B241="","",232)</f>
        <v/>
      </c>
      <c r="B241" s="17">
        <f>IF(217&gt;NPartyA,"",IFERROR(IF(VLOOKUP(INDEX(PkPartyA,217),AcctTblA,4,0)="","(بدون نام)",VLOOKUP(INDEX(PkPartyA,217),AcctTblA,4,0)),"—"))</f>
        <v/>
      </c>
      <c r="C241" s="18">
        <f>IF($B241="","",IF(217&gt;NPartyA,"",INDEX(PkPartyA,217)))</f>
        <v/>
      </c>
      <c r="D241" s="17">
        <f>IF($B241="","","p")</f>
        <v/>
      </c>
      <c r="E241" s="19">
        <f>IF($B241="","",IF(217&gt;NPartyA,0,SUMIF(CalcDebit,INDEX(PkPartyA,217),CalcAmt)+SUMIF(CalcDebit2,INDEX(PkPartyA,217),CalcAmt2)+SUMIF(CalcDebit3,INDEX(PkPartyA,217),CalcAmt3)))</f>
        <v/>
      </c>
      <c r="F241" s="19">
        <f>IF($B241="","",IF(217&gt;NPartyA,0,SUMIF(CalcCredit,INDEX(PkPartyA,217),CalcAmt)+SUMIF(CalcCredit2,INDEX(PkPartyA,217),CalcAmt2)+SUMIF(CalcCredit3,INDEX(PkPartyA,217),CalcAmt3)))</f>
        <v/>
      </c>
      <c r="G241" s="20">
        <f>IF($B241="","",ROUND($E241-$F241,0))</f>
        <v/>
      </c>
      <c r="H241" s="17">
        <f>IF($B241="","",IF(ROUND($G241,0)&gt;0,"بدهکار",IF(ROUND($G241,0)&lt;0,"بستانکار","تسویه")))</f>
        <v/>
      </c>
    </row>
    <row r="242">
      <c r="A242" s="11">
        <f>IF($B242="","",233)</f>
        <v/>
      </c>
      <c r="B242" s="12">
        <f>IF(218&gt;NPartyA,"",IFERROR(IF(VLOOKUP(INDEX(PkPartyA,218),AcctTblA,4,0)="","(بدون نام)",VLOOKUP(INDEX(PkPartyA,218),AcctTblA,4,0)),"—"))</f>
        <v/>
      </c>
      <c r="C242" s="13">
        <f>IF($B242="","",IF(218&gt;NPartyA,"",INDEX(PkPartyA,218)))</f>
        <v/>
      </c>
      <c r="D242" s="12">
        <f>IF($B242="","","p")</f>
        <v/>
      </c>
      <c r="E242" s="14">
        <f>IF($B242="","",IF(218&gt;NPartyA,0,SUMIF(CalcDebit,INDEX(PkPartyA,218),CalcAmt)+SUMIF(CalcDebit2,INDEX(PkPartyA,218),CalcAmt2)+SUMIF(CalcDebit3,INDEX(PkPartyA,218),CalcAmt3)))</f>
        <v/>
      </c>
      <c r="F242" s="14">
        <f>IF($B242="","",IF(218&gt;NPartyA,0,SUMIF(CalcCredit,INDEX(PkPartyA,218),CalcAmt)+SUMIF(CalcCredit2,INDEX(PkPartyA,218),CalcAmt2)+SUMIF(CalcCredit3,INDEX(PkPartyA,218),CalcAmt3)))</f>
        <v/>
      </c>
      <c r="G242" s="15">
        <f>IF($B242="","",ROUND($E242-$F242,0))</f>
        <v/>
      </c>
      <c r="H242" s="12">
        <f>IF($B242="","",IF(ROUND($G242,0)&gt;0,"بدهکار",IF(ROUND($G242,0)&lt;0,"بستانکار","تسویه")))</f>
        <v/>
      </c>
    </row>
    <row r="243">
      <c r="A243" s="16">
        <f>IF($B243="","",234)</f>
        <v/>
      </c>
      <c r="B243" s="17">
        <f>IF(219&gt;NPartyA,"",IFERROR(IF(VLOOKUP(INDEX(PkPartyA,219),AcctTblA,4,0)="","(بدون نام)",VLOOKUP(INDEX(PkPartyA,219),AcctTblA,4,0)),"—"))</f>
        <v/>
      </c>
      <c r="C243" s="18">
        <f>IF($B243="","",IF(219&gt;NPartyA,"",INDEX(PkPartyA,219)))</f>
        <v/>
      </c>
      <c r="D243" s="17">
        <f>IF($B243="","","p")</f>
        <v/>
      </c>
      <c r="E243" s="19">
        <f>IF($B243="","",IF(219&gt;NPartyA,0,SUMIF(CalcDebit,INDEX(PkPartyA,219),CalcAmt)+SUMIF(CalcDebit2,INDEX(PkPartyA,219),CalcAmt2)+SUMIF(CalcDebit3,INDEX(PkPartyA,219),CalcAmt3)))</f>
        <v/>
      </c>
      <c r="F243" s="19">
        <f>IF($B243="","",IF(219&gt;NPartyA,0,SUMIF(CalcCredit,INDEX(PkPartyA,219),CalcAmt)+SUMIF(CalcCredit2,INDEX(PkPartyA,219),CalcAmt2)+SUMIF(CalcCredit3,INDEX(PkPartyA,219),CalcAmt3)))</f>
        <v/>
      </c>
      <c r="G243" s="20">
        <f>IF($B243="","",ROUND($E243-$F243,0))</f>
        <v/>
      </c>
      <c r="H243" s="17">
        <f>IF($B243="","",IF(ROUND($G243,0)&gt;0,"بدهکار",IF(ROUND($G243,0)&lt;0,"بستانکار","تسویه")))</f>
        <v/>
      </c>
    </row>
    <row r="244">
      <c r="A244" s="11">
        <f>IF($B244="","",235)</f>
        <v/>
      </c>
      <c r="B244" s="12">
        <f>IF(220&gt;NPartyA,"",IFERROR(IF(VLOOKUP(INDEX(PkPartyA,220),AcctTblA,4,0)="","(بدون نام)",VLOOKUP(INDEX(PkPartyA,220),AcctTblA,4,0)),"—"))</f>
        <v/>
      </c>
      <c r="C244" s="13">
        <f>IF($B244="","",IF(220&gt;NPartyA,"",INDEX(PkPartyA,220)))</f>
        <v/>
      </c>
      <c r="D244" s="12">
        <f>IF($B244="","","p")</f>
        <v/>
      </c>
      <c r="E244" s="14">
        <f>IF($B244="","",IF(220&gt;NPartyA,0,SUMIF(CalcDebit,INDEX(PkPartyA,220),CalcAmt)+SUMIF(CalcDebit2,INDEX(PkPartyA,220),CalcAmt2)+SUMIF(CalcDebit3,INDEX(PkPartyA,220),CalcAmt3)))</f>
        <v/>
      </c>
      <c r="F244" s="14">
        <f>IF($B244="","",IF(220&gt;NPartyA,0,SUMIF(CalcCredit,INDEX(PkPartyA,220),CalcAmt)+SUMIF(CalcCredit2,INDEX(PkPartyA,220),CalcAmt2)+SUMIF(CalcCredit3,INDEX(PkPartyA,220),CalcAmt3)))</f>
        <v/>
      </c>
      <c r="G244" s="15">
        <f>IF($B244="","",ROUND($E244-$F244,0))</f>
        <v/>
      </c>
      <c r="H244" s="12">
        <f>IF($B244="","",IF(ROUND($G244,0)&gt;0,"بدهکار",IF(ROUND($G244,0)&lt;0,"بستانکار","تسویه")))</f>
        <v/>
      </c>
    </row>
    <row r="245">
      <c r="A245" s="16">
        <f>IF($B245="","",236)</f>
        <v/>
      </c>
      <c r="B245" s="17">
        <f>IF(221&gt;NPartyA,"",IFERROR(IF(VLOOKUP(INDEX(PkPartyA,221),AcctTblA,4,0)="","(بدون نام)",VLOOKUP(INDEX(PkPartyA,221),AcctTblA,4,0)),"—"))</f>
        <v/>
      </c>
      <c r="C245" s="18">
        <f>IF($B245="","",IF(221&gt;NPartyA,"",INDEX(PkPartyA,221)))</f>
        <v/>
      </c>
      <c r="D245" s="17">
        <f>IF($B245="","","p")</f>
        <v/>
      </c>
      <c r="E245" s="19">
        <f>IF($B245="","",IF(221&gt;NPartyA,0,SUMIF(CalcDebit,INDEX(PkPartyA,221),CalcAmt)+SUMIF(CalcDebit2,INDEX(PkPartyA,221),CalcAmt2)+SUMIF(CalcDebit3,INDEX(PkPartyA,221),CalcAmt3)))</f>
        <v/>
      </c>
      <c r="F245" s="19">
        <f>IF($B245="","",IF(221&gt;NPartyA,0,SUMIF(CalcCredit,INDEX(PkPartyA,221),CalcAmt)+SUMIF(CalcCredit2,INDEX(PkPartyA,221),CalcAmt2)+SUMIF(CalcCredit3,INDEX(PkPartyA,221),CalcAmt3)))</f>
        <v/>
      </c>
      <c r="G245" s="20">
        <f>IF($B245="","",ROUND($E245-$F245,0))</f>
        <v/>
      </c>
      <c r="H245" s="17">
        <f>IF($B245="","",IF(ROUND($G245,0)&gt;0,"بدهکار",IF(ROUND($G245,0)&lt;0,"بستانکار","تسویه")))</f>
        <v/>
      </c>
    </row>
    <row r="246">
      <c r="A246" s="11">
        <f>IF($B246="","",237)</f>
        <v/>
      </c>
      <c r="B246" s="12">
        <f>IF(222&gt;NPartyA,"",IFERROR(IF(VLOOKUP(INDEX(PkPartyA,222),AcctTblA,4,0)="","(بدون نام)",VLOOKUP(INDEX(PkPartyA,222),AcctTblA,4,0)),"—"))</f>
        <v/>
      </c>
      <c r="C246" s="13">
        <f>IF($B246="","",IF(222&gt;NPartyA,"",INDEX(PkPartyA,222)))</f>
        <v/>
      </c>
      <c r="D246" s="12">
        <f>IF($B246="","","p")</f>
        <v/>
      </c>
      <c r="E246" s="14">
        <f>IF($B246="","",IF(222&gt;NPartyA,0,SUMIF(CalcDebit,INDEX(PkPartyA,222),CalcAmt)+SUMIF(CalcDebit2,INDEX(PkPartyA,222),CalcAmt2)+SUMIF(CalcDebit3,INDEX(PkPartyA,222),CalcAmt3)))</f>
        <v/>
      </c>
      <c r="F246" s="14">
        <f>IF($B246="","",IF(222&gt;NPartyA,0,SUMIF(CalcCredit,INDEX(PkPartyA,222),CalcAmt)+SUMIF(CalcCredit2,INDEX(PkPartyA,222),CalcAmt2)+SUMIF(CalcCredit3,INDEX(PkPartyA,222),CalcAmt3)))</f>
        <v/>
      </c>
      <c r="G246" s="15">
        <f>IF($B246="","",ROUND($E246-$F246,0))</f>
        <v/>
      </c>
      <c r="H246" s="12">
        <f>IF($B246="","",IF(ROUND($G246,0)&gt;0,"بدهکار",IF(ROUND($G246,0)&lt;0,"بستانکار","تسویه")))</f>
        <v/>
      </c>
    </row>
    <row r="247">
      <c r="A247" s="16">
        <f>IF($B247="","",238)</f>
        <v/>
      </c>
      <c r="B247" s="17">
        <f>IF(223&gt;NPartyA,"",IFERROR(IF(VLOOKUP(INDEX(PkPartyA,223),AcctTblA,4,0)="","(بدون نام)",VLOOKUP(INDEX(PkPartyA,223),AcctTblA,4,0)),"—"))</f>
        <v/>
      </c>
      <c r="C247" s="18">
        <f>IF($B247="","",IF(223&gt;NPartyA,"",INDEX(PkPartyA,223)))</f>
        <v/>
      </c>
      <c r="D247" s="17">
        <f>IF($B247="","","p")</f>
        <v/>
      </c>
      <c r="E247" s="19">
        <f>IF($B247="","",IF(223&gt;NPartyA,0,SUMIF(CalcDebit,INDEX(PkPartyA,223),CalcAmt)+SUMIF(CalcDebit2,INDEX(PkPartyA,223),CalcAmt2)+SUMIF(CalcDebit3,INDEX(PkPartyA,223),CalcAmt3)))</f>
        <v/>
      </c>
      <c r="F247" s="19">
        <f>IF($B247="","",IF(223&gt;NPartyA,0,SUMIF(CalcCredit,INDEX(PkPartyA,223),CalcAmt)+SUMIF(CalcCredit2,INDEX(PkPartyA,223),CalcAmt2)+SUMIF(CalcCredit3,INDEX(PkPartyA,223),CalcAmt3)))</f>
        <v/>
      </c>
      <c r="G247" s="20">
        <f>IF($B247="","",ROUND($E247-$F247,0))</f>
        <v/>
      </c>
      <c r="H247" s="17">
        <f>IF($B247="","",IF(ROUND($G247,0)&gt;0,"بدهکار",IF(ROUND($G247,0)&lt;0,"بستانکار","تسویه")))</f>
        <v/>
      </c>
    </row>
    <row r="248">
      <c r="A248" s="11">
        <f>IF($B248="","",239)</f>
        <v/>
      </c>
      <c r="B248" s="12">
        <f>IF(224&gt;NPartyA,"",IFERROR(IF(VLOOKUP(INDEX(PkPartyA,224),AcctTblA,4,0)="","(بدون نام)",VLOOKUP(INDEX(PkPartyA,224),AcctTblA,4,0)),"—"))</f>
        <v/>
      </c>
      <c r="C248" s="13">
        <f>IF($B248="","",IF(224&gt;NPartyA,"",INDEX(PkPartyA,224)))</f>
        <v/>
      </c>
      <c r="D248" s="12">
        <f>IF($B248="","","p")</f>
        <v/>
      </c>
      <c r="E248" s="14">
        <f>IF($B248="","",IF(224&gt;NPartyA,0,SUMIF(CalcDebit,INDEX(PkPartyA,224),CalcAmt)+SUMIF(CalcDebit2,INDEX(PkPartyA,224),CalcAmt2)+SUMIF(CalcDebit3,INDEX(PkPartyA,224),CalcAmt3)))</f>
        <v/>
      </c>
      <c r="F248" s="14">
        <f>IF($B248="","",IF(224&gt;NPartyA,0,SUMIF(CalcCredit,INDEX(PkPartyA,224),CalcAmt)+SUMIF(CalcCredit2,INDEX(PkPartyA,224),CalcAmt2)+SUMIF(CalcCredit3,INDEX(PkPartyA,224),CalcAmt3)))</f>
        <v/>
      </c>
      <c r="G248" s="15">
        <f>IF($B248="","",ROUND($E248-$F248,0))</f>
        <v/>
      </c>
      <c r="H248" s="12">
        <f>IF($B248="","",IF(ROUND($G248,0)&gt;0,"بدهکار",IF(ROUND($G248,0)&lt;0,"بستانکار","تسویه")))</f>
        <v/>
      </c>
    </row>
    <row r="249">
      <c r="A249" s="16">
        <f>IF($B249="","",240)</f>
        <v/>
      </c>
      <c r="B249" s="17">
        <f>IF(225&gt;NPartyA,"",IFERROR(IF(VLOOKUP(INDEX(PkPartyA,225),AcctTblA,4,0)="","(بدون نام)",VLOOKUP(INDEX(PkPartyA,225),AcctTblA,4,0)),"—"))</f>
        <v/>
      </c>
      <c r="C249" s="18">
        <f>IF($B249="","",IF(225&gt;NPartyA,"",INDEX(PkPartyA,225)))</f>
        <v/>
      </c>
      <c r="D249" s="17">
        <f>IF($B249="","","p")</f>
        <v/>
      </c>
      <c r="E249" s="19">
        <f>IF($B249="","",IF(225&gt;NPartyA,0,SUMIF(CalcDebit,INDEX(PkPartyA,225),CalcAmt)+SUMIF(CalcDebit2,INDEX(PkPartyA,225),CalcAmt2)+SUMIF(CalcDebit3,INDEX(PkPartyA,225),CalcAmt3)))</f>
        <v/>
      </c>
      <c r="F249" s="19">
        <f>IF($B249="","",IF(225&gt;NPartyA,0,SUMIF(CalcCredit,INDEX(PkPartyA,225),CalcAmt)+SUMIF(CalcCredit2,INDEX(PkPartyA,225),CalcAmt2)+SUMIF(CalcCredit3,INDEX(PkPartyA,225),CalcAmt3)))</f>
        <v/>
      </c>
      <c r="G249" s="20">
        <f>IF($B249="","",ROUND($E249-$F249,0))</f>
        <v/>
      </c>
      <c r="H249" s="17">
        <f>IF($B249="","",IF(ROUND($G249,0)&gt;0,"بدهکار",IF(ROUND($G249,0)&lt;0,"بستانکار","تسویه")))</f>
        <v/>
      </c>
    </row>
    <row r="250">
      <c r="A250" s="11">
        <f>IF($B250="","",241)</f>
        <v/>
      </c>
      <c r="B250" s="12">
        <f>IF(226&gt;NPartyA,"",IFERROR(IF(VLOOKUP(INDEX(PkPartyA,226),AcctTblA,4,0)="","(بدون نام)",VLOOKUP(INDEX(PkPartyA,226),AcctTblA,4,0)),"—"))</f>
        <v/>
      </c>
      <c r="C250" s="13">
        <f>IF($B250="","",IF(226&gt;NPartyA,"",INDEX(PkPartyA,226)))</f>
        <v/>
      </c>
      <c r="D250" s="12">
        <f>IF($B250="","","p")</f>
        <v/>
      </c>
      <c r="E250" s="14">
        <f>IF($B250="","",IF(226&gt;NPartyA,0,SUMIF(CalcDebit,INDEX(PkPartyA,226),CalcAmt)+SUMIF(CalcDebit2,INDEX(PkPartyA,226),CalcAmt2)+SUMIF(CalcDebit3,INDEX(PkPartyA,226),CalcAmt3)))</f>
        <v/>
      </c>
      <c r="F250" s="14">
        <f>IF($B250="","",IF(226&gt;NPartyA,0,SUMIF(CalcCredit,INDEX(PkPartyA,226),CalcAmt)+SUMIF(CalcCredit2,INDEX(PkPartyA,226),CalcAmt2)+SUMIF(CalcCredit3,INDEX(PkPartyA,226),CalcAmt3)))</f>
        <v/>
      </c>
      <c r="G250" s="15">
        <f>IF($B250="","",ROUND($E250-$F250,0))</f>
        <v/>
      </c>
      <c r="H250" s="12">
        <f>IF($B250="","",IF(ROUND($G250,0)&gt;0,"بدهکار",IF(ROUND($G250,0)&lt;0,"بستانکار","تسویه")))</f>
        <v/>
      </c>
    </row>
    <row r="251">
      <c r="A251" s="16">
        <f>IF($B251="","",242)</f>
        <v/>
      </c>
      <c r="B251" s="17">
        <f>IF(227&gt;NPartyA,"",IFERROR(IF(VLOOKUP(INDEX(PkPartyA,227),AcctTblA,4,0)="","(بدون نام)",VLOOKUP(INDEX(PkPartyA,227),AcctTblA,4,0)),"—"))</f>
        <v/>
      </c>
      <c r="C251" s="18">
        <f>IF($B251="","",IF(227&gt;NPartyA,"",INDEX(PkPartyA,227)))</f>
        <v/>
      </c>
      <c r="D251" s="17">
        <f>IF($B251="","","p")</f>
        <v/>
      </c>
      <c r="E251" s="19">
        <f>IF($B251="","",IF(227&gt;NPartyA,0,SUMIF(CalcDebit,INDEX(PkPartyA,227),CalcAmt)+SUMIF(CalcDebit2,INDEX(PkPartyA,227),CalcAmt2)+SUMIF(CalcDebit3,INDEX(PkPartyA,227),CalcAmt3)))</f>
        <v/>
      </c>
      <c r="F251" s="19">
        <f>IF($B251="","",IF(227&gt;NPartyA,0,SUMIF(CalcCredit,INDEX(PkPartyA,227),CalcAmt)+SUMIF(CalcCredit2,INDEX(PkPartyA,227),CalcAmt2)+SUMIF(CalcCredit3,INDEX(PkPartyA,227),CalcAmt3)))</f>
        <v/>
      </c>
      <c r="G251" s="20">
        <f>IF($B251="","",ROUND($E251-$F251,0))</f>
        <v/>
      </c>
      <c r="H251" s="17">
        <f>IF($B251="","",IF(ROUND($G251,0)&gt;0,"بدهکار",IF(ROUND($G251,0)&lt;0,"بستانکار","تسویه")))</f>
        <v/>
      </c>
    </row>
    <row r="252">
      <c r="A252" s="11">
        <f>IF($B252="","",243)</f>
        <v/>
      </c>
      <c r="B252" s="12">
        <f>IF(228&gt;NPartyA,"",IFERROR(IF(VLOOKUP(INDEX(PkPartyA,228),AcctTblA,4,0)="","(بدون نام)",VLOOKUP(INDEX(PkPartyA,228),AcctTblA,4,0)),"—"))</f>
        <v/>
      </c>
      <c r="C252" s="13">
        <f>IF($B252="","",IF(228&gt;NPartyA,"",INDEX(PkPartyA,228)))</f>
        <v/>
      </c>
      <c r="D252" s="12">
        <f>IF($B252="","","p")</f>
        <v/>
      </c>
      <c r="E252" s="14">
        <f>IF($B252="","",IF(228&gt;NPartyA,0,SUMIF(CalcDebit,INDEX(PkPartyA,228),CalcAmt)+SUMIF(CalcDebit2,INDEX(PkPartyA,228),CalcAmt2)+SUMIF(CalcDebit3,INDEX(PkPartyA,228),CalcAmt3)))</f>
        <v/>
      </c>
      <c r="F252" s="14">
        <f>IF($B252="","",IF(228&gt;NPartyA,0,SUMIF(CalcCredit,INDEX(PkPartyA,228),CalcAmt)+SUMIF(CalcCredit2,INDEX(PkPartyA,228),CalcAmt2)+SUMIF(CalcCredit3,INDEX(PkPartyA,228),CalcAmt3)))</f>
        <v/>
      </c>
      <c r="G252" s="15">
        <f>IF($B252="","",ROUND($E252-$F252,0))</f>
        <v/>
      </c>
      <c r="H252" s="12">
        <f>IF($B252="","",IF(ROUND($G252,0)&gt;0,"بدهکار",IF(ROUND($G252,0)&lt;0,"بستانکار","تسویه")))</f>
        <v/>
      </c>
    </row>
    <row r="253">
      <c r="A253" s="16">
        <f>IF($B253="","",244)</f>
        <v/>
      </c>
      <c r="B253" s="17">
        <f>IF(229&gt;NPartyA,"",IFERROR(IF(VLOOKUP(INDEX(PkPartyA,229),AcctTblA,4,0)="","(بدون نام)",VLOOKUP(INDEX(PkPartyA,229),AcctTblA,4,0)),"—"))</f>
        <v/>
      </c>
      <c r="C253" s="18">
        <f>IF($B253="","",IF(229&gt;NPartyA,"",INDEX(PkPartyA,229)))</f>
        <v/>
      </c>
      <c r="D253" s="17">
        <f>IF($B253="","","p")</f>
        <v/>
      </c>
      <c r="E253" s="19">
        <f>IF($B253="","",IF(229&gt;NPartyA,0,SUMIF(CalcDebit,INDEX(PkPartyA,229),CalcAmt)+SUMIF(CalcDebit2,INDEX(PkPartyA,229),CalcAmt2)+SUMIF(CalcDebit3,INDEX(PkPartyA,229),CalcAmt3)))</f>
        <v/>
      </c>
      <c r="F253" s="19">
        <f>IF($B253="","",IF(229&gt;NPartyA,0,SUMIF(CalcCredit,INDEX(PkPartyA,229),CalcAmt)+SUMIF(CalcCredit2,INDEX(PkPartyA,229),CalcAmt2)+SUMIF(CalcCredit3,INDEX(PkPartyA,229),CalcAmt3)))</f>
        <v/>
      </c>
      <c r="G253" s="20">
        <f>IF($B253="","",ROUND($E253-$F253,0))</f>
        <v/>
      </c>
      <c r="H253" s="17">
        <f>IF($B253="","",IF(ROUND($G253,0)&gt;0,"بدهکار",IF(ROUND($G253,0)&lt;0,"بستانکار","تسویه")))</f>
        <v/>
      </c>
    </row>
    <row r="254">
      <c r="A254" s="11">
        <f>IF($B254="","",245)</f>
        <v/>
      </c>
      <c r="B254" s="12">
        <f>IF(230&gt;NPartyA,"",IFERROR(IF(VLOOKUP(INDEX(PkPartyA,230),AcctTblA,4,0)="","(بدون نام)",VLOOKUP(INDEX(PkPartyA,230),AcctTblA,4,0)),"—"))</f>
        <v/>
      </c>
      <c r="C254" s="13">
        <f>IF($B254="","",IF(230&gt;NPartyA,"",INDEX(PkPartyA,230)))</f>
        <v/>
      </c>
      <c r="D254" s="12">
        <f>IF($B254="","","p")</f>
        <v/>
      </c>
      <c r="E254" s="14">
        <f>IF($B254="","",IF(230&gt;NPartyA,0,SUMIF(CalcDebit,INDEX(PkPartyA,230),CalcAmt)+SUMIF(CalcDebit2,INDEX(PkPartyA,230),CalcAmt2)+SUMIF(CalcDebit3,INDEX(PkPartyA,230),CalcAmt3)))</f>
        <v/>
      </c>
      <c r="F254" s="14">
        <f>IF($B254="","",IF(230&gt;NPartyA,0,SUMIF(CalcCredit,INDEX(PkPartyA,230),CalcAmt)+SUMIF(CalcCredit2,INDEX(PkPartyA,230),CalcAmt2)+SUMIF(CalcCredit3,INDEX(PkPartyA,230),CalcAmt3)))</f>
        <v/>
      </c>
      <c r="G254" s="15">
        <f>IF($B254="","",ROUND($E254-$F254,0))</f>
        <v/>
      </c>
      <c r="H254" s="12">
        <f>IF($B254="","",IF(ROUND($G254,0)&gt;0,"بدهکار",IF(ROUND($G254,0)&lt;0,"بستانکار","تسویه")))</f>
        <v/>
      </c>
    </row>
    <row r="255">
      <c r="A255" s="16">
        <f>IF($B255="","",246)</f>
        <v/>
      </c>
      <c r="B255" s="17">
        <f>IF(231&gt;NPartyA,"",IFERROR(IF(VLOOKUP(INDEX(PkPartyA,231),AcctTblA,4,0)="","(بدون نام)",VLOOKUP(INDEX(PkPartyA,231),AcctTblA,4,0)),"—"))</f>
        <v/>
      </c>
      <c r="C255" s="18">
        <f>IF($B255="","",IF(231&gt;NPartyA,"",INDEX(PkPartyA,231)))</f>
        <v/>
      </c>
      <c r="D255" s="17">
        <f>IF($B255="","","p")</f>
        <v/>
      </c>
      <c r="E255" s="19">
        <f>IF($B255="","",IF(231&gt;NPartyA,0,SUMIF(CalcDebit,INDEX(PkPartyA,231),CalcAmt)+SUMIF(CalcDebit2,INDEX(PkPartyA,231),CalcAmt2)+SUMIF(CalcDebit3,INDEX(PkPartyA,231),CalcAmt3)))</f>
        <v/>
      </c>
      <c r="F255" s="19">
        <f>IF($B255="","",IF(231&gt;NPartyA,0,SUMIF(CalcCredit,INDEX(PkPartyA,231),CalcAmt)+SUMIF(CalcCredit2,INDEX(PkPartyA,231),CalcAmt2)+SUMIF(CalcCredit3,INDEX(PkPartyA,231),CalcAmt3)))</f>
        <v/>
      </c>
      <c r="G255" s="20">
        <f>IF($B255="","",ROUND($E255-$F255,0))</f>
        <v/>
      </c>
      <c r="H255" s="17">
        <f>IF($B255="","",IF(ROUND($G255,0)&gt;0,"بدهکار",IF(ROUND($G255,0)&lt;0,"بستانکار","تسویه")))</f>
        <v/>
      </c>
    </row>
    <row r="256">
      <c r="A256" s="11">
        <f>IF($B256="","",247)</f>
        <v/>
      </c>
      <c r="B256" s="12">
        <f>IF(232&gt;NPartyA,"",IFERROR(IF(VLOOKUP(INDEX(PkPartyA,232),AcctTblA,4,0)="","(بدون نام)",VLOOKUP(INDEX(PkPartyA,232),AcctTblA,4,0)),"—"))</f>
        <v/>
      </c>
      <c r="C256" s="13">
        <f>IF($B256="","",IF(232&gt;NPartyA,"",INDEX(PkPartyA,232)))</f>
        <v/>
      </c>
      <c r="D256" s="12">
        <f>IF($B256="","","p")</f>
        <v/>
      </c>
      <c r="E256" s="14">
        <f>IF($B256="","",IF(232&gt;NPartyA,0,SUMIF(CalcDebit,INDEX(PkPartyA,232),CalcAmt)+SUMIF(CalcDebit2,INDEX(PkPartyA,232),CalcAmt2)+SUMIF(CalcDebit3,INDEX(PkPartyA,232),CalcAmt3)))</f>
        <v/>
      </c>
      <c r="F256" s="14">
        <f>IF($B256="","",IF(232&gt;NPartyA,0,SUMIF(CalcCredit,INDEX(PkPartyA,232),CalcAmt)+SUMIF(CalcCredit2,INDEX(PkPartyA,232),CalcAmt2)+SUMIF(CalcCredit3,INDEX(PkPartyA,232),CalcAmt3)))</f>
        <v/>
      </c>
      <c r="G256" s="15">
        <f>IF($B256="","",ROUND($E256-$F256,0))</f>
        <v/>
      </c>
      <c r="H256" s="12">
        <f>IF($B256="","",IF(ROUND($G256,0)&gt;0,"بدهکار",IF(ROUND($G256,0)&lt;0,"بستانکار","تسویه")))</f>
        <v/>
      </c>
    </row>
    <row r="257">
      <c r="A257" s="16">
        <f>IF($B257="","",248)</f>
        <v/>
      </c>
      <c r="B257" s="17">
        <f>IF(233&gt;NPartyA,"",IFERROR(IF(VLOOKUP(INDEX(PkPartyA,233),AcctTblA,4,0)="","(بدون نام)",VLOOKUP(INDEX(PkPartyA,233),AcctTblA,4,0)),"—"))</f>
        <v/>
      </c>
      <c r="C257" s="18">
        <f>IF($B257="","",IF(233&gt;NPartyA,"",INDEX(PkPartyA,233)))</f>
        <v/>
      </c>
      <c r="D257" s="17">
        <f>IF($B257="","","p")</f>
        <v/>
      </c>
      <c r="E257" s="19">
        <f>IF($B257="","",IF(233&gt;NPartyA,0,SUMIF(CalcDebit,INDEX(PkPartyA,233),CalcAmt)+SUMIF(CalcDebit2,INDEX(PkPartyA,233),CalcAmt2)+SUMIF(CalcDebit3,INDEX(PkPartyA,233),CalcAmt3)))</f>
        <v/>
      </c>
      <c r="F257" s="19">
        <f>IF($B257="","",IF(233&gt;NPartyA,0,SUMIF(CalcCredit,INDEX(PkPartyA,233),CalcAmt)+SUMIF(CalcCredit2,INDEX(PkPartyA,233),CalcAmt2)+SUMIF(CalcCredit3,INDEX(PkPartyA,233),CalcAmt3)))</f>
        <v/>
      </c>
      <c r="G257" s="20">
        <f>IF($B257="","",ROUND($E257-$F257,0))</f>
        <v/>
      </c>
      <c r="H257" s="17">
        <f>IF($B257="","",IF(ROUND($G257,0)&gt;0,"بدهکار",IF(ROUND($G257,0)&lt;0,"بستانکار","تسویه")))</f>
        <v/>
      </c>
    </row>
    <row r="258">
      <c r="A258" s="11">
        <f>IF($B258="","",249)</f>
        <v/>
      </c>
      <c r="B258" s="12">
        <f>IF(234&gt;NPartyA,"",IFERROR(IF(VLOOKUP(INDEX(PkPartyA,234),AcctTblA,4,0)="","(بدون نام)",VLOOKUP(INDEX(PkPartyA,234),AcctTblA,4,0)),"—"))</f>
        <v/>
      </c>
      <c r="C258" s="13">
        <f>IF($B258="","",IF(234&gt;NPartyA,"",INDEX(PkPartyA,234)))</f>
        <v/>
      </c>
      <c r="D258" s="12">
        <f>IF($B258="","","p")</f>
        <v/>
      </c>
      <c r="E258" s="14">
        <f>IF($B258="","",IF(234&gt;NPartyA,0,SUMIF(CalcDebit,INDEX(PkPartyA,234),CalcAmt)+SUMIF(CalcDebit2,INDEX(PkPartyA,234),CalcAmt2)+SUMIF(CalcDebit3,INDEX(PkPartyA,234),CalcAmt3)))</f>
        <v/>
      </c>
      <c r="F258" s="14">
        <f>IF($B258="","",IF(234&gt;NPartyA,0,SUMIF(CalcCredit,INDEX(PkPartyA,234),CalcAmt)+SUMIF(CalcCredit2,INDEX(PkPartyA,234),CalcAmt2)+SUMIF(CalcCredit3,INDEX(PkPartyA,234),CalcAmt3)))</f>
        <v/>
      </c>
      <c r="G258" s="15">
        <f>IF($B258="","",ROUND($E258-$F258,0))</f>
        <v/>
      </c>
      <c r="H258" s="12">
        <f>IF($B258="","",IF(ROUND($G258,0)&gt;0,"بدهکار",IF(ROUND($G258,0)&lt;0,"بستانکار","تسویه")))</f>
        <v/>
      </c>
    </row>
    <row r="259">
      <c r="A259" s="16">
        <f>IF($B259="","",250)</f>
        <v/>
      </c>
      <c r="B259" s="17">
        <f>IF(235&gt;NPartyA,"",IFERROR(IF(VLOOKUP(INDEX(PkPartyA,235),AcctTblA,4,0)="","(بدون نام)",VLOOKUP(INDEX(PkPartyA,235),AcctTblA,4,0)),"—"))</f>
        <v/>
      </c>
      <c r="C259" s="18">
        <f>IF($B259="","",IF(235&gt;NPartyA,"",INDEX(PkPartyA,235)))</f>
        <v/>
      </c>
      <c r="D259" s="17">
        <f>IF($B259="","","p")</f>
        <v/>
      </c>
      <c r="E259" s="19">
        <f>IF($B259="","",IF(235&gt;NPartyA,0,SUMIF(CalcDebit,INDEX(PkPartyA,235),CalcAmt)+SUMIF(CalcDebit2,INDEX(PkPartyA,235),CalcAmt2)+SUMIF(CalcDebit3,INDEX(PkPartyA,235),CalcAmt3)))</f>
        <v/>
      </c>
      <c r="F259" s="19">
        <f>IF($B259="","",IF(235&gt;NPartyA,0,SUMIF(CalcCredit,INDEX(PkPartyA,235),CalcAmt)+SUMIF(CalcCredit2,INDEX(PkPartyA,235),CalcAmt2)+SUMIF(CalcCredit3,INDEX(PkPartyA,235),CalcAmt3)))</f>
        <v/>
      </c>
      <c r="G259" s="20">
        <f>IF($B259="","",ROUND($E259-$F259,0))</f>
        <v/>
      </c>
      <c r="H259" s="17">
        <f>IF($B259="","",IF(ROUND($G259,0)&gt;0,"بدهکار",IF(ROUND($G259,0)&lt;0,"بستانکار","تسویه")))</f>
        <v/>
      </c>
    </row>
    <row r="260">
      <c r="A260" s="11">
        <f>IF($B260="","",251)</f>
        <v/>
      </c>
      <c r="B260" s="12">
        <f>IF(236&gt;NPartyA,"",IFERROR(IF(VLOOKUP(INDEX(PkPartyA,236),AcctTblA,4,0)="","(بدون نام)",VLOOKUP(INDEX(PkPartyA,236),AcctTblA,4,0)),"—"))</f>
        <v/>
      </c>
      <c r="C260" s="13">
        <f>IF($B260="","",IF(236&gt;NPartyA,"",INDEX(PkPartyA,236)))</f>
        <v/>
      </c>
      <c r="D260" s="12">
        <f>IF($B260="","","p")</f>
        <v/>
      </c>
      <c r="E260" s="14">
        <f>IF($B260="","",IF(236&gt;NPartyA,0,SUMIF(CalcDebit,INDEX(PkPartyA,236),CalcAmt)+SUMIF(CalcDebit2,INDEX(PkPartyA,236),CalcAmt2)+SUMIF(CalcDebit3,INDEX(PkPartyA,236),CalcAmt3)))</f>
        <v/>
      </c>
      <c r="F260" s="14">
        <f>IF($B260="","",IF(236&gt;NPartyA,0,SUMIF(CalcCredit,INDEX(PkPartyA,236),CalcAmt)+SUMIF(CalcCredit2,INDEX(PkPartyA,236),CalcAmt2)+SUMIF(CalcCredit3,INDEX(PkPartyA,236),CalcAmt3)))</f>
        <v/>
      </c>
      <c r="G260" s="15">
        <f>IF($B260="","",ROUND($E260-$F260,0))</f>
        <v/>
      </c>
      <c r="H260" s="12">
        <f>IF($B260="","",IF(ROUND($G260,0)&gt;0,"بدهکار",IF(ROUND($G260,0)&lt;0,"بستانکار","تسویه")))</f>
        <v/>
      </c>
    </row>
    <row r="261">
      <c r="A261" s="16">
        <f>IF($B261="","",252)</f>
        <v/>
      </c>
      <c r="B261" s="17">
        <f>IF(237&gt;NPartyA,"",IFERROR(IF(VLOOKUP(INDEX(PkPartyA,237),AcctTblA,4,0)="","(بدون نام)",VLOOKUP(INDEX(PkPartyA,237),AcctTblA,4,0)),"—"))</f>
        <v/>
      </c>
      <c r="C261" s="18">
        <f>IF($B261="","",IF(237&gt;NPartyA,"",INDEX(PkPartyA,237)))</f>
        <v/>
      </c>
      <c r="D261" s="17">
        <f>IF($B261="","","p")</f>
        <v/>
      </c>
      <c r="E261" s="19">
        <f>IF($B261="","",IF(237&gt;NPartyA,0,SUMIF(CalcDebit,INDEX(PkPartyA,237),CalcAmt)+SUMIF(CalcDebit2,INDEX(PkPartyA,237),CalcAmt2)+SUMIF(CalcDebit3,INDEX(PkPartyA,237),CalcAmt3)))</f>
        <v/>
      </c>
      <c r="F261" s="19">
        <f>IF($B261="","",IF(237&gt;NPartyA,0,SUMIF(CalcCredit,INDEX(PkPartyA,237),CalcAmt)+SUMIF(CalcCredit2,INDEX(PkPartyA,237),CalcAmt2)+SUMIF(CalcCredit3,INDEX(PkPartyA,237),CalcAmt3)))</f>
        <v/>
      </c>
      <c r="G261" s="20">
        <f>IF($B261="","",ROUND($E261-$F261,0))</f>
        <v/>
      </c>
      <c r="H261" s="17">
        <f>IF($B261="","",IF(ROUND($G261,0)&gt;0,"بدهکار",IF(ROUND($G261,0)&lt;0,"بستانکار","تسویه")))</f>
        <v/>
      </c>
    </row>
    <row r="262">
      <c r="A262" s="11">
        <f>IF($B262="","",253)</f>
        <v/>
      </c>
      <c r="B262" s="12">
        <f>IF(238&gt;NPartyA,"",IFERROR(IF(VLOOKUP(INDEX(PkPartyA,238),AcctTblA,4,0)="","(بدون نام)",VLOOKUP(INDEX(PkPartyA,238),AcctTblA,4,0)),"—"))</f>
        <v/>
      </c>
      <c r="C262" s="13">
        <f>IF($B262="","",IF(238&gt;NPartyA,"",INDEX(PkPartyA,238)))</f>
        <v/>
      </c>
      <c r="D262" s="12">
        <f>IF($B262="","","p")</f>
        <v/>
      </c>
      <c r="E262" s="14">
        <f>IF($B262="","",IF(238&gt;NPartyA,0,SUMIF(CalcDebit,INDEX(PkPartyA,238),CalcAmt)+SUMIF(CalcDebit2,INDEX(PkPartyA,238),CalcAmt2)+SUMIF(CalcDebit3,INDEX(PkPartyA,238),CalcAmt3)))</f>
        <v/>
      </c>
      <c r="F262" s="14">
        <f>IF($B262="","",IF(238&gt;NPartyA,0,SUMIF(CalcCredit,INDEX(PkPartyA,238),CalcAmt)+SUMIF(CalcCredit2,INDEX(PkPartyA,238),CalcAmt2)+SUMIF(CalcCredit3,INDEX(PkPartyA,238),CalcAmt3)))</f>
        <v/>
      </c>
      <c r="G262" s="15">
        <f>IF($B262="","",ROUND($E262-$F262,0))</f>
        <v/>
      </c>
      <c r="H262" s="12">
        <f>IF($B262="","",IF(ROUND($G262,0)&gt;0,"بدهکار",IF(ROUND($G262,0)&lt;0,"بستانکار","تسویه")))</f>
        <v/>
      </c>
    </row>
    <row r="263">
      <c r="A263" s="16">
        <f>IF($B263="","",254)</f>
        <v/>
      </c>
      <c r="B263" s="17">
        <f>IF(239&gt;NPartyA,"",IFERROR(IF(VLOOKUP(INDEX(PkPartyA,239),AcctTblA,4,0)="","(بدون نام)",VLOOKUP(INDEX(PkPartyA,239),AcctTblA,4,0)),"—"))</f>
        <v/>
      </c>
      <c r="C263" s="18">
        <f>IF($B263="","",IF(239&gt;NPartyA,"",INDEX(PkPartyA,239)))</f>
        <v/>
      </c>
      <c r="D263" s="17">
        <f>IF($B263="","","p")</f>
        <v/>
      </c>
      <c r="E263" s="19">
        <f>IF($B263="","",IF(239&gt;NPartyA,0,SUMIF(CalcDebit,INDEX(PkPartyA,239),CalcAmt)+SUMIF(CalcDebit2,INDEX(PkPartyA,239),CalcAmt2)+SUMIF(CalcDebit3,INDEX(PkPartyA,239),CalcAmt3)))</f>
        <v/>
      </c>
      <c r="F263" s="19">
        <f>IF($B263="","",IF(239&gt;NPartyA,0,SUMIF(CalcCredit,INDEX(PkPartyA,239),CalcAmt)+SUMIF(CalcCredit2,INDEX(PkPartyA,239),CalcAmt2)+SUMIF(CalcCredit3,INDEX(PkPartyA,239),CalcAmt3)))</f>
        <v/>
      </c>
      <c r="G263" s="20">
        <f>IF($B263="","",ROUND($E263-$F263,0))</f>
        <v/>
      </c>
      <c r="H263" s="17">
        <f>IF($B263="","",IF(ROUND($G263,0)&gt;0,"بدهکار",IF(ROUND($G263,0)&lt;0,"بستانکار","تسویه")))</f>
        <v/>
      </c>
    </row>
    <row r="264">
      <c r="A264" s="11">
        <f>IF($B264="","",255)</f>
        <v/>
      </c>
      <c r="B264" s="12">
        <f>IF(240&gt;NPartyA,"",IFERROR(IF(VLOOKUP(INDEX(PkPartyA,240),AcctTblA,4,0)="","(بدون نام)",VLOOKUP(INDEX(PkPartyA,240),AcctTblA,4,0)),"—"))</f>
        <v/>
      </c>
      <c r="C264" s="13">
        <f>IF($B264="","",IF(240&gt;NPartyA,"",INDEX(PkPartyA,240)))</f>
        <v/>
      </c>
      <c r="D264" s="12">
        <f>IF($B264="","","p")</f>
        <v/>
      </c>
      <c r="E264" s="14">
        <f>IF($B264="","",IF(240&gt;NPartyA,0,SUMIF(CalcDebit,INDEX(PkPartyA,240),CalcAmt)+SUMIF(CalcDebit2,INDEX(PkPartyA,240),CalcAmt2)+SUMIF(CalcDebit3,INDEX(PkPartyA,240),CalcAmt3)))</f>
        <v/>
      </c>
      <c r="F264" s="14">
        <f>IF($B264="","",IF(240&gt;NPartyA,0,SUMIF(CalcCredit,INDEX(PkPartyA,240),CalcAmt)+SUMIF(CalcCredit2,INDEX(PkPartyA,240),CalcAmt2)+SUMIF(CalcCredit3,INDEX(PkPartyA,240),CalcAmt3)))</f>
        <v/>
      </c>
      <c r="G264" s="15">
        <f>IF($B264="","",ROUND($E264-$F264,0))</f>
        <v/>
      </c>
      <c r="H264" s="12">
        <f>IF($B264="","",IF(ROUND($G264,0)&gt;0,"بدهکار",IF(ROUND($G264,0)&lt;0,"بستانکار","تسویه")))</f>
        <v/>
      </c>
    </row>
    <row r="265">
      <c r="A265" s="16">
        <f>IF($B265="","",256)</f>
        <v/>
      </c>
      <c r="B265" s="17">
        <f>IF(241&gt;NPartyA,"",IFERROR(IF(VLOOKUP(INDEX(PkPartyA,241),AcctTblA,4,0)="","(بدون نام)",VLOOKUP(INDEX(PkPartyA,241),AcctTblA,4,0)),"—"))</f>
        <v/>
      </c>
      <c r="C265" s="18">
        <f>IF($B265="","",IF(241&gt;NPartyA,"",INDEX(PkPartyA,241)))</f>
        <v/>
      </c>
      <c r="D265" s="17">
        <f>IF($B265="","","p")</f>
        <v/>
      </c>
      <c r="E265" s="19">
        <f>IF($B265="","",IF(241&gt;NPartyA,0,SUMIF(CalcDebit,INDEX(PkPartyA,241),CalcAmt)+SUMIF(CalcDebit2,INDEX(PkPartyA,241),CalcAmt2)+SUMIF(CalcDebit3,INDEX(PkPartyA,241),CalcAmt3)))</f>
        <v/>
      </c>
      <c r="F265" s="19">
        <f>IF($B265="","",IF(241&gt;NPartyA,0,SUMIF(CalcCredit,INDEX(PkPartyA,241),CalcAmt)+SUMIF(CalcCredit2,INDEX(PkPartyA,241),CalcAmt2)+SUMIF(CalcCredit3,INDEX(PkPartyA,241),CalcAmt3)))</f>
        <v/>
      </c>
      <c r="G265" s="20">
        <f>IF($B265="","",ROUND($E265-$F265,0))</f>
        <v/>
      </c>
      <c r="H265" s="17">
        <f>IF($B265="","",IF(ROUND($G265,0)&gt;0,"بدهکار",IF(ROUND($G265,0)&lt;0,"بستانکار","تسویه")))</f>
        <v/>
      </c>
    </row>
    <row r="266">
      <c r="A266" s="11">
        <f>IF($B266="","",257)</f>
        <v/>
      </c>
      <c r="B266" s="12">
        <f>IF(242&gt;NPartyA,"",IFERROR(IF(VLOOKUP(INDEX(PkPartyA,242),AcctTblA,4,0)="","(بدون نام)",VLOOKUP(INDEX(PkPartyA,242),AcctTblA,4,0)),"—"))</f>
        <v/>
      </c>
      <c r="C266" s="13">
        <f>IF($B266="","",IF(242&gt;NPartyA,"",INDEX(PkPartyA,242)))</f>
        <v/>
      </c>
      <c r="D266" s="12">
        <f>IF($B266="","","p")</f>
        <v/>
      </c>
      <c r="E266" s="14">
        <f>IF($B266="","",IF(242&gt;NPartyA,0,SUMIF(CalcDebit,INDEX(PkPartyA,242),CalcAmt)+SUMIF(CalcDebit2,INDEX(PkPartyA,242),CalcAmt2)+SUMIF(CalcDebit3,INDEX(PkPartyA,242),CalcAmt3)))</f>
        <v/>
      </c>
      <c r="F266" s="14">
        <f>IF($B266="","",IF(242&gt;NPartyA,0,SUMIF(CalcCredit,INDEX(PkPartyA,242),CalcAmt)+SUMIF(CalcCredit2,INDEX(PkPartyA,242),CalcAmt2)+SUMIF(CalcCredit3,INDEX(PkPartyA,242),CalcAmt3)))</f>
        <v/>
      </c>
      <c r="G266" s="15">
        <f>IF($B266="","",ROUND($E266-$F266,0))</f>
        <v/>
      </c>
      <c r="H266" s="12">
        <f>IF($B266="","",IF(ROUND($G266,0)&gt;0,"بدهکار",IF(ROUND($G266,0)&lt;0,"بستانکار","تسویه")))</f>
        <v/>
      </c>
    </row>
    <row r="267">
      <c r="A267" s="16">
        <f>IF($B267="","",258)</f>
        <v/>
      </c>
      <c r="B267" s="17">
        <f>IF(243&gt;NPartyA,"",IFERROR(IF(VLOOKUP(INDEX(PkPartyA,243),AcctTblA,4,0)="","(بدون نام)",VLOOKUP(INDEX(PkPartyA,243),AcctTblA,4,0)),"—"))</f>
        <v/>
      </c>
      <c r="C267" s="18">
        <f>IF($B267="","",IF(243&gt;NPartyA,"",INDEX(PkPartyA,243)))</f>
        <v/>
      </c>
      <c r="D267" s="17">
        <f>IF($B267="","","p")</f>
        <v/>
      </c>
      <c r="E267" s="19">
        <f>IF($B267="","",IF(243&gt;NPartyA,0,SUMIF(CalcDebit,INDEX(PkPartyA,243),CalcAmt)+SUMIF(CalcDebit2,INDEX(PkPartyA,243),CalcAmt2)+SUMIF(CalcDebit3,INDEX(PkPartyA,243),CalcAmt3)))</f>
        <v/>
      </c>
      <c r="F267" s="19">
        <f>IF($B267="","",IF(243&gt;NPartyA,0,SUMIF(CalcCredit,INDEX(PkPartyA,243),CalcAmt)+SUMIF(CalcCredit2,INDEX(PkPartyA,243),CalcAmt2)+SUMIF(CalcCredit3,INDEX(PkPartyA,243),CalcAmt3)))</f>
        <v/>
      </c>
      <c r="G267" s="20">
        <f>IF($B267="","",ROUND($E267-$F267,0))</f>
        <v/>
      </c>
      <c r="H267" s="17">
        <f>IF($B267="","",IF(ROUND($G267,0)&gt;0,"بدهکار",IF(ROUND($G267,0)&lt;0,"بستانکار","تسویه")))</f>
        <v/>
      </c>
    </row>
    <row r="268">
      <c r="A268" s="11">
        <f>IF($B268="","",259)</f>
        <v/>
      </c>
      <c r="B268" s="12">
        <f>IF(244&gt;NPartyA,"",IFERROR(IF(VLOOKUP(INDEX(PkPartyA,244),AcctTblA,4,0)="","(بدون نام)",VLOOKUP(INDEX(PkPartyA,244),AcctTblA,4,0)),"—"))</f>
        <v/>
      </c>
      <c r="C268" s="13">
        <f>IF($B268="","",IF(244&gt;NPartyA,"",INDEX(PkPartyA,244)))</f>
        <v/>
      </c>
      <c r="D268" s="12">
        <f>IF($B268="","","p")</f>
        <v/>
      </c>
      <c r="E268" s="14">
        <f>IF($B268="","",IF(244&gt;NPartyA,0,SUMIF(CalcDebit,INDEX(PkPartyA,244),CalcAmt)+SUMIF(CalcDebit2,INDEX(PkPartyA,244),CalcAmt2)+SUMIF(CalcDebit3,INDEX(PkPartyA,244),CalcAmt3)))</f>
        <v/>
      </c>
      <c r="F268" s="14">
        <f>IF($B268="","",IF(244&gt;NPartyA,0,SUMIF(CalcCredit,INDEX(PkPartyA,244),CalcAmt)+SUMIF(CalcCredit2,INDEX(PkPartyA,244),CalcAmt2)+SUMIF(CalcCredit3,INDEX(PkPartyA,244),CalcAmt3)))</f>
        <v/>
      </c>
      <c r="G268" s="15">
        <f>IF($B268="","",ROUND($E268-$F268,0))</f>
        <v/>
      </c>
      <c r="H268" s="12">
        <f>IF($B268="","",IF(ROUND($G268,0)&gt;0,"بدهکار",IF(ROUND($G268,0)&lt;0,"بستانکار","تسویه")))</f>
        <v/>
      </c>
    </row>
    <row r="269">
      <c r="A269" s="16">
        <f>IF($B269="","",260)</f>
        <v/>
      </c>
      <c r="B269" s="17">
        <f>IF(245&gt;NPartyA,"",IFERROR(IF(VLOOKUP(INDEX(PkPartyA,245),AcctTblA,4,0)="","(بدون نام)",VLOOKUP(INDEX(PkPartyA,245),AcctTblA,4,0)),"—"))</f>
        <v/>
      </c>
      <c r="C269" s="18">
        <f>IF($B269="","",IF(245&gt;NPartyA,"",INDEX(PkPartyA,245)))</f>
        <v/>
      </c>
      <c r="D269" s="17">
        <f>IF($B269="","","p")</f>
        <v/>
      </c>
      <c r="E269" s="19">
        <f>IF($B269="","",IF(245&gt;NPartyA,0,SUMIF(CalcDebit,INDEX(PkPartyA,245),CalcAmt)+SUMIF(CalcDebit2,INDEX(PkPartyA,245),CalcAmt2)+SUMIF(CalcDebit3,INDEX(PkPartyA,245),CalcAmt3)))</f>
        <v/>
      </c>
      <c r="F269" s="19">
        <f>IF($B269="","",IF(245&gt;NPartyA,0,SUMIF(CalcCredit,INDEX(PkPartyA,245),CalcAmt)+SUMIF(CalcCredit2,INDEX(PkPartyA,245),CalcAmt2)+SUMIF(CalcCredit3,INDEX(PkPartyA,245),CalcAmt3)))</f>
        <v/>
      </c>
      <c r="G269" s="20">
        <f>IF($B269="","",ROUND($E269-$F269,0))</f>
        <v/>
      </c>
      <c r="H269" s="17">
        <f>IF($B269="","",IF(ROUND($G269,0)&gt;0,"بدهکار",IF(ROUND($G269,0)&lt;0,"بستانکار","تسویه")))</f>
        <v/>
      </c>
    </row>
    <row r="270">
      <c r="A270" s="11">
        <f>IF($B270="","",261)</f>
        <v/>
      </c>
      <c r="B270" s="12">
        <f>IF(246&gt;NPartyA,"",IFERROR(IF(VLOOKUP(INDEX(PkPartyA,246),AcctTblA,4,0)="","(بدون نام)",VLOOKUP(INDEX(PkPartyA,246),AcctTblA,4,0)),"—"))</f>
        <v/>
      </c>
      <c r="C270" s="13">
        <f>IF($B270="","",IF(246&gt;NPartyA,"",INDEX(PkPartyA,246)))</f>
        <v/>
      </c>
      <c r="D270" s="12">
        <f>IF($B270="","","p")</f>
        <v/>
      </c>
      <c r="E270" s="14">
        <f>IF($B270="","",IF(246&gt;NPartyA,0,SUMIF(CalcDebit,INDEX(PkPartyA,246),CalcAmt)+SUMIF(CalcDebit2,INDEX(PkPartyA,246),CalcAmt2)+SUMIF(CalcDebit3,INDEX(PkPartyA,246),CalcAmt3)))</f>
        <v/>
      </c>
      <c r="F270" s="14">
        <f>IF($B270="","",IF(246&gt;NPartyA,0,SUMIF(CalcCredit,INDEX(PkPartyA,246),CalcAmt)+SUMIF(CalcCredit2,INDEX(PkPartyA,246),CalcAmt2)+SUMIF(CalcCredit3,INDEX(PkPartyA,246),CalcAmt3)))</f>
        <v/>
      </c>
      <c r="G270" s="15">
        <f>IF($B270="","",ROUND($E270-$F270,0))</f>
        <v/>
      </c>
      <c r="H270" s="12">
        <f>IF($B270="","",IF(ROUND($G270,0)&gt;0,"بدهکار",IF(ROUND($G270,0)&lt;0,"بستانکار","تسویه")))</f>
        <v/>
      </c>
    </row>
    <row r="271">
      <c r="A271" s="16">
        <f>IF($B271="","",262)</f>
        <v/>
      </c>
      <c r="B271" s="17">
        <f>IF(247&gt;NPartyA,"",IFERROR(IF(VLOOKUP(INDEX(PkPartyA,247),AcctTblA,4,0)="","(بدون نام)",VLOOKUP(INDEX(PkPartyA,247),AcctTblA,4,0)),"—"))</f>
        <v/>
      </c>
      <c r="C271" s="18">
        <f>IF($B271="","",IF(247&gt;NPartyA,"",INDEX(PkPartyA,247)))</f>
        <v/>
      </c>
      <c r="D271" s="17">
        <f>IF($B271="","","p")</f>
        <v/>
      </c>
      <c r="E271" s="19">
        <f>IF($B271="","",IF(247&gt;NPartyA,0,SUMIF(CalcDebit,INDEX(PkPartyA,247),CalcAmt)+SUMIF(CalcDebit2,INDEX(PkPartyA,247),CalcAmt2)+SUMIF(CalcDebit3,INDEX(PkPartyA,247),CalcAmt3)))</f>
        <v/>
      </c>
      <c r="F271" s="19">
        <f>IF($B271="","",IF(247&gt;NPartyA,0,SUMIF(CalcCredit,INDEX(PkPartyA,247),CalcAmt)+SUMIF(CalcCredit2,INDEX(PkPartyA,247),CalcAmt2)+SUMIF(CalcCredit3,INDEX(PkPartyA,247),CalcAmt3)))</f>
        <v/>
      </c>
      <c r="G271" s="20">
        <f>IF($B271="","",ROUND($E271-$F271,0))</f>
        <v/>
      </c>
      <c r="H271" s="17">
        <f>IF($B271="","",IF(ROUND($G271,0)&gt;0,"بدهکار",IF(ROUND($G271,0)&lt;0,"بستانکار","تسویه")))</f>
        <v/>
      </c>
    </row>
    <row r="272">
      <c r="A272" s="11">
        <f>IF($B272="","",263)</f>
        <v/>
      </c>
      <c r="B272" s="12">
        <f>IF(248&gt;NPartyA,"",IFERROR(IF(VLOOKUP(INDEX(PkPartyA,248),AcctTblA,4,0)="","(بدون نام)",VLOOKUP(INDEX(PkPartyA,248),AcctTblA,4,0)),"—"))</f>
        <v/>
      </c>
      <c r="C272" s="13">
        <f>IF($B272="","",IF(248&gt;NPartyA,"",INDEX(PkPartyA,248)))</f>
        <v/>
      </c>
      <c r="D272" s="12">
        <f>IF($B272="","","p")</f>
        <v/>
      </c>
      <c r="E272" s="14">
        <f>IF($B272="","",IF(248&gt;NPartyA,0,SUMIF(CalcDebit,INDEX(PkPartyA,248),CalcAmt)+SUMIF(CalcDebit2,INDEX(PkPartyA,248),CalcAmt2)+SUMIF(CalcDebit3,INDEX(PkPartyA,248),CalcAmt3)))</f>
        <v/>
      </c>
      <c r="F272" s="14">
        <f>IF($B272="","",IF(248&gt;NPartyA,0,SUMIF(CalcCredit,INDEX(PkPartyA,248),CalcAmt)+SUMIF(CalcCredit2,INDEX(PkPartyA,248),CalcAmt2)+SUMIF(CalcCredit3,INDEX(PkPartyA,248),CalcAmt3)))</f>
        <v/>
      </c>
      <c r="G272" s="15">
        <f>IF($B272="","",ROUND($E272-$F272,0))</f>
        <v/>
      </c>
      <c r="H272" s="12">
        <f>IF($B272="","",IF(ROUND($G272,0)&gt;0,"بدهکار",IF(ROUND($G272,0)&lt;0,"بستانکار","تسویه")))</f>
        <v/>
      </c>
    </row>
    <row r="273">
      <c r="A273" s="16">
        <f>IF($B273="","",264)</f>
        <v/>
      </c>
      <c r="B273" s="17">
        <f>IF(249&gt;NPartyA,"",IFERROR(IF(VLOOKUP(INDEX(PkPartyA,249),AcctTblA,4,0)="","(بدون نام)",VLOOKUP(INDEX(PkPartyA,249),AcctTblA,4,0)),"—"))</f>
        <v/>
      </c>
      <c r="C273" s="18">
        <f>IF($B273="","",IF(249&gt;NPartyA,"",INDEX(PkPartyA,249)))</f>
        <v/>
      </c>
      <c r="D273" s="17">
        <f>IF($B273="","","p")</f>
        <v/>
      </c>
      <c r="E273" s="19">
        <f>IF($B273="","",IF(249&gt;NPartyA,0,SUMIF(CalcDebit,INDEX(PkPartyA,249),CalcAmt)+SUMIF(CalcDebit2,INDEX(PkPartyA,249),CalcAmt2)+SUMIF(CalcDebit3,INDEX(PkPartyA,249),CalcAmt3)))</f>
        <v/>
      </c>
      <c r="F273" s="19">
        <f>IF($B273="","",IF(249&gt;NPartyA,0,SUMIF(CalcCredit,INDEX(PkPartyA,249),CalcAmt)+SUMIF(CalcCredit2,INDEX(PkPartyA,249),CalcAmt2)+SUMIF(CalcCredit3,INDEX(PkPartyA,249),CalcAmt3)))</f>
        <v/>
      </c>
      <c r="G273" s="20">
        <f>IF($B273="","",ROUND($E273-$F273,0))</f>
        <v/>
      </c>
      <c r="H273" s="17">
        <f>IF($B273="","",IF(ROUND($G273,0)&gt;0,"بدهکار",IF(ROUND($G273,0)&lt;0,"بستانکار","تسویه")))</f>
        <v/>
      </c>
    </row>
    <row r="274">
      <c r="A274" s="11">
        <f>IF($B274="","",265)</f>
        <v/>
      </c>
      <c r="B274" s="12">
        <f>IF(250&gt;NPartyA,"",IFERROR(IF(VLOOKUP(INDEX(PkPartyA,250),AcctTblA,4,0)="","(بدون نام)",VLOOKUP(INDEX(PkPartyA,250),AcctTblA,4,0)),"—"))</f>
        <v/>
      </c>
      <c r="C274" s="13">
        <f>IF($B274="","",IF(250&gt;NPartyA,"",INDEX(PkPartyA,250)))</f>
        <v/>
      </c>
      <c r="D274" s="12">
        <f>IF($B274="","","p")</f>
        <v/>
      </c>
      <c r="E274" s="14">
        <f>IF($B274="","",IF(250&gt;NPartyA,0,SUMIF(CalcDebit,INDEX(PkPartyA,250),CalcAmt)+SUMIF(CalcDebit2,INDEX(PkPartyA,250),CalcAmt2)+SUMIF(CalcDebit3,INDEX(PkPartyA,250),CalcAmt3)))</f>
        <v/>
      </c>
      <c r="F274" s="14">
        <f>IF($B274="","",IF(250&gt;NPartyA,0,SUMIF(CalcCredit,INDEX(PkPartyA,250),CalcAmt)+SUMIF(CalcCredit2,INDEX(PkPartyA,250),CalcAmt2)+SUMIF(CalcCredit3,INDEX(PkPartyA,250),CalcAmt3)))</f>
        <v/>
      </c>
      <c r="G274" s="15">
        <f>IF($B274="","",ROUND($E274-$F274,0))</f>
        <v/>
      </c>
      <c r="H274" s="12">
        <f>IF($B274="","",IF(ROUND($G274,0)&gt;0,"بدهکار",IF(ROUND($G274,0)&lt;0,"بستانکار","تسویه")))</f>
        <v/>
      </c>
    </row>
    <row r="275">
      <c r="A275" s="16">
        <f>IF($B275="","",266)</f>
        <v/>
      </c>
      <c r="B275" s="17">
        <f>IF(251&gt;NPartyA,"",IFERROR(IF(VLOOKUP(INDEX(PkPartyA,251),AcctTblA,4,0)="","(بدون نام)",VLOOKUP(INDEX(PkPartyA,251),AcctTblA,4,0)),"—"))</f>
        <v/>
      </c>
      <c r="C275" s="18">
        <f>IF($B275="","",IF(251&gt;NPartyA,"",INDEX(PkPartyA,251)))</f>
        <v/>
      </c>
      <c r="D275" s="17">
        <f>IF($B275="","","p")</f>
        <v/>
      </c>
      <c r="E275" s="19">
        <f>IF($B275="","",IF(251&gt;NPartyA,0,SUMIF(CalcDebit,INDEX(PkPartyA,251),CalcAmt)+SUMIF(CalcDebit2,INDEX(PkPartyA,251),CalcAmt2)+SUMIF(CalcDebit3,INDEX(PkPartyA,251),CalcAmt3)))</f>
        <v/>
      </c>
      <c r="F275" s="19">
        <f>IF($B275="","",IF(251&gt;NPartyA,0,SUMIF(CalcCredit,INDEX(PkPartyA,251),CalcAmt)+SUMIF(CalcCredit2,INDEX(PkPartyA,251),CalcAmt2)+SUMIF(CalcCredit3,INDEX(PkPartyA,251),CalcAmt3)))</f>
        <v/>
      </c>
      <c r="G275" s="20">
        <f>IF($B275="","",ROUND($E275-$F275,0))</f>
        <v/>
      </c>
      <c r="H275" s="17">
        <f>IF($B275="","",IF(ROUND($G275,0)&gt;0,"بدهکار",IF(ROUND($G275,0)&lt;0,"بستانکار","تسویه")))</f>
        <v/>
      </c>
    </row>
    <row r="276">
      <c r="A276" s="11">
        <f>IF($B276="","",267)</f>
        <v/>
      </c>
      <c r="B276" s="12">
        <f>IF(252&gt;NPartyA,"",IFERROR(IF(VLOOKUP(INDEX(PkPartyA,252),AcctTblA,4,0)="","(بدون نام)",VLOOKUP(INDEX(PkPartyA,252),AcctTblA,4,0)),"—"))</f>
        <v/>
      </c>
      <c r="C276" s="13">
        <f>IF($B276="","",IF(252&gt;NPartyA,"",INDEX(PkPartyA,252)))</f>
        <v/>
      </c>
      <c r="D276" s="12">
        <f>IF($B276="","","p")</f>
        <v/>
      </c>
      <c r="E276" s="14">
        <f>IF($B276="","",IF(252&gt;NPartyA,0,SUMIF(CalcDebit,INDEX(PkPartyA,252),CalcAmt)+SUMIF(CalcDebit2,INDEX(PkPartyA,252),CalcAmt2)+SUMIF(CalcDebit3,INDEX(PkPartyA,252),CalcAmt3)))</f>
        <v/>
      </c>
      <c r="F276" s="14">
        <f>IF($B276="","",IF(252&gt;NPartyA,0,SUMIF(CalcCredit,INDEX(PkPartyA,252),CalcAmt)+SUMIF(CalcCredit2,INDEX(PkPartyA,252),CalcAmt2)+SUMIF(CalcCredit3,INDEX(PkPartyA,252),CalcAmt3)))</f>
        <v/>
      </c>
      <c r="G276" s="15">
        <f>IF($B276="","",ROUND($E276-$F276,0))</f>
        <v/>
      </c>
      <c r="H276" s="12">
        <f>IF($B276="","",IF(ROUND($G276,0)&gt;0,"بدهکار",IF(ROUND($G276,0)&lt;0,"بستانکار","تسویه")))</f>
        <v/>
      </c>
    </row>
    <row r="277">
      <c r="A277" s="16">
        <f>IF($B277="","",268)</f>
        <v/>
      </c>
      <c r="B277" s="17">
        <f>IF(253&gt;NPartyA,"",IFERROR(IF(VLOOKUP(INDEX(PkPartyA,253),AcctTblA,4,0)="","(بدون نام)",VLOOKUP(INDEX(PkPartyA,253),AcctTblA,4,0)),"—"))</f>
        <v/>
      </c>
      <c r="C277" s="18">
        <f>IF($B277="","",IF(253&gt;NPartyA,"",INDEX(PkPartyA,253)))</f>
        <v/>
      </c>
      <c r="D277" s="17">
        <f>IF($B277="","","p")</f>
        <v/>
      </c>
      <c r="E277" s="19">
        <f>IF($B277="","",IF(253&gt;NPartyA,0,SUMIF(CalcDebit,INDEX(PkPartyA,253),CalcAmt)+SUMIF(CalcDebit2,INDEX(PkPartyA,253),CalcAmt2)+SUMIF(CalcDebit3,INDEX(PkPartyA,253),CalcAmt3)))</f>
        <v/>
      </c>
      <c r="F277" s="19">
        <f>IF($B277="","",IF(253&gt;NPartyA,0,SUMIF(CalcCredit,INDEX(PkPartyA,253),CalcAmt)+SUMIF(CalcCredit2,INDEX(PkPartyA,253),CalcAmt2)+SUMIF(CalcCredit3,INDEX(PkPartyA,253),CalcAmt3)))</f>
        <v/>
      </c>
      <c r="G277" s="20">
        <f>IF($B277="","",ROUND($E277-$F277,0))</f>
        <v/>
      </c>
      <c r="H277" s="17">
        <f>IF($B277="","",IF(ROUND($G277,0)&gt;0,"بدهکار",IF(ROUND($G277,0)&lt;0,"بستانکار","تسویه")))</f>
        <v/>
      </c>
    </row>
    <row r="278">
      <c r="A278" s="11">
        <f>IF($B278="","",269)</f>
        <v/>
      </c>
      <c r="B278" s="12">
        <f>IF(254&gt;NPartyA,"",IFERROR(IF(VLOOKUP(INDEX(PkPartyA,254),AcctTblA,4,0)="","(بدون نام)",VLOOKUP(INDEX(PkPartyA,254),AcctTblA,4,0)),"—"))</f>
        <v/>
      </c>
      <c r="C278" s="13">
        <f>IF($B278="","",IF(254&gt;NPartyA,"",INDEX(PkPartyA,254)))</f>
        <v/>
      </c>
      <c r="D278" s="12">
        <f>IF($B278="","","p")</f>
        <v/>
      </c>
      <c r="E278" s="14">
        <f>IF($B278="","",IF(254&gt;NPartyA,0,SUMIF(CalcDebit,INDEX(PkPartyA,254),CalcAmt)+SUMIF(CalcDebit2,INDEX(PkPartyA,254),CalcAmt2)+SUMIF(CalcDebit3,INDEX(PkPartyA,254),CalcAmt3)))</f>
        <v/>
      </c>
      <c r="F278" s="14">
        <f>IF($B278="","",IF(254&gt;NPartyA,0,SUMIF(CalcCredit,INDEX(PkPartyA,254),CalcAmt)+SUMIF(CalcCredit2,INDEX(PkPartyA,254),CalcAmt2)+SUMIF(CalcCredit3,INDEX(PkPartyA,254),CalcAmt3)))</f>
        <v/>
      </c>
      <c r="G278" s="15">
        <f>IF($B278="","",ROUND($E278-$F278,0))</f>
        <v/>
      </c>
      <c r="H278" s="12">
        <f>IF($B278="","",IF(ROUND($G278,0)&gt;0,"بدهکار",IF(ROUND($G278,0)&lt;0,"بستانکار","تسویه")))</f>
        <v/>
      </c>
    </row>
    <row r="279">
      <c r="A279" s="16">
        <f>IF($B279="","",270)</f>
        <v/>
      </c>
      <c r="B279" s="17">
        <f>IF(255&gt;NPartyA,"",IFERROR(IF(VLOOKUP(INDEX(PkPartyA,255),AcctTblA,4,0)="","(بدون نام)",VLOOKUP(INDEX(PkPartyA,255),AcctTblA,4,0)),"—"))</f>
        <v/>
      </c>
      <c r="C279" s="18">
        <f>IF($B279="","",IF(255&gt;NPartyA,"",INDEX(PkPartyA,255)))</f>
        <v/>
      </c>
      <c r="D279" s="17">
        <f>IF($B279="","","p")</f>
        <v/>
      </c>
      <c r="E279" s="19">
        <f>IF($B279="","",IF(255&gt;NPartyA,0,SUMIF(CalcDebit,INDEX(PkPartyA,255),CalcAmt)+SUMIF(CalcDebit2,INDEX(PkPartyA,255),CalcAmt2)+SUMIF(CalcDebit3,INDEX(PkPartyA,255),CalcAmt3)))</f>
        <v/>
      </c>
      <c r="F279" s="19">
        <f>IF($B279="","",IF(255&gt;NPartyA,0,SUMIF(CalcCredit,INDEX(PkPartyA,255),CalcAmt)+SUMIF(CalcCredit2,INDEX(PkPartyA,255),CalcAmt2)+SUMIF(CalcCredit3,INDEX(PkPartyA,255),CalcAmt3)))</f>
        <v/>
      </c>
      <c r="G279" s="20">
        <f>IF($B279="","",ROUND($E279-$F279,0))</f>
        <v/>
      </c>
      <c r="H279" s="17">
        <f>IF($B279="","",IF(ROUND($G279,0)&gt;0,"بدهکار",IF(ROUND($G279,0)&lt;0,"بستانکار","تسویه")))</f>
        <v/>
      </c>
    </row>
    <row r="280">
      <c r="A280" s="11">
        <f>IF($B280="","",271)</f>
        <v/>
      </c>
      <c r="B280" s="12">
        <f>IF(256&gt;NPartyA,"",IFERROR(IF(VLOOKUP(INDEX(PkPartyA,256),AcctTblA,4,0)="","(بدون نام)",VLOOKUP(INDEX(PkPartyA,256),AcctTblA,4,0)),"—"))</f>
        <v/>
      </c>
      <c r="C280" s="13">
        <f>IF($B280="","",IF(256&gt;NPartyA,"",INDEX(PkPartyA,256)))</f>
        <v/>
      </c>
      <c r="D280" s="12">
        <f>IF($B280="","","p")</f>
        <v/>
      </c>
      <c r="E280" s="14">
        <f>IF($B280="","",IF(256&gt;NPartyA,0,SUMIF(CalcDebit,INDEX(PkPartyA,256),CalcAmt)+SUMIF(CalcDebit2,INDEX(PkPartyA,256),CalcAmt2)+SUMIF(CalcDebit3,INDEX(PkPartyA,256),CalcAmt3)))</f>
        <v/>
      </c>
      <c r="F280" s="14">
        <f>IF($B280="","",IF(256&gt;NPartyA,0,SUMIF(CalcCredit,INDEX(PkPartyA,256),CalcAmt)+SUMIF(CalcCredit2,INDEX(PkPartyA,256),CalcAmt2)+SUMIF(CalcCredit3,INDEX(PkPartyA,256),CalcAmt3)))</f>
        <v/>
      </c>
      <c r="G280" s="15">
        <f>IF($B280="","",ROUND($E280-$F280,0))</f>
        <v/>
      </c>
      <c r="H280" s="12">
        <f>IF($B280="","",IF(ROUND($G280,0)&gt;0,"بدهکار",IF(ROUND($G280,0)&lt;0,"بستانکار","تسویه")))</f>
        <v/>
      </c>
    </row>
    <row r="281">
      <c r="A281" s="16">
        <f>IF($B281="","",272)</f>
        <v/>
      </c>
      <c r="B281" s="17">
        <f>IF(257&gt;NPartyA,"",IFERROR(IF(VLOOKUP(INDEX(PkPartyA,257),AcctTblA,4,0)="","(بدون نام)",VLOOKUP(INDEX(PkPartyA,257),AcctTblA,4,0)),"—"))</f>
        <v/>
      </c>
      <c r="C281" s="18">
        <f>IF($B281="","",IF(257&gt;NPartyA,"",INDEX(PkPartyA,257)))</f>
        <v/>
      </c>
      <c r="D281" s="17">
        <f>IF($B281="","","p")</f>
        <v/>
      </c>
      <c r="E281" s="19">
        <f>IF($B281="","",IF(257&gt;NPartyA,0,SUMIF(CalcDebit,INDEX(PkPartyA,257),CalcAmt)+SUMIF(CalcDebit2,INDEX(PkPartyA,257),CalcAmt2)+SUMIF(CalcDebit3,INDEX(PkPartyA,257),CalcAmt3)))</f>
        <v/>
      </c>
      <c r="F281" s="19">
        <f>IF($B281="","",IF(257&gt;NPartyA,0,SUMIF(CalcCredit,INDEX(PkPartyA,257),CalcAmt)+SUMIF(CalcCredit2,INDEX(PkPartyA,257),CalcAmt2)+SUMIF(CalcCredit3,INDEX(PkPartyA,257),CalcAmt3)))</f>
        <v/>
      </c>
      <c r="G281" s="20">
        <f>IF($B281="","",ROUND($E281-$F281,0))</f>
        <v/>
      </c>
      <c r="H281" s="17">
        <f>IF($B281="","",IF(ROUND($G281,0)&gt;0,"بدهکار",IF(ROUND($G281,0)&lt;0,"بستانکار","تسویه")))</f>
        <v/>
      </c>
    </row>
    <row r="282">
      <c r="A282" s="11">
        <f>IF($B282="","",273)</f>
        <v/>
      </c>
      <c r="B282" s="12">
        <f>IF(258&gt;NPartyA,"",IFERROR(IF(VLOOKUP(INDEX(PkPartyA,258),AcctTblA,4,0)="","(بدون نام)",VLOOKUP(INDEX(PkPartyA,258),AcctTblA,4,0)),"—"))</f>
        <v/>
      </c>
      <c r="C282" s="13">
        <f>IF($B282="","",IF(258&gt;NPartyA,"",INDEX(PkPartyA,258)))</f>
        <v/>
      </c>
      <c r="D282" s="12">
        <f>IF($B282="","","p")</f>
        <v/>
      </c>
      <c r="E282" s="14">
        <f>IF($B282="","",IF(258&gt;NPartyA,0,SUMIF(CalcDebit,INDEX(PkPartyA,258),CalcAmt)+SUMIF(CalcDebit2,INDEX(PkPartyA,258),CalcAmt2)+SUMIF(CalcDebit3,INDEX(PkPartyA,258),CalcAmt3)))</f>
        <v/>
      </c>
      <c r="F282" s="14">
        <f>IF($B282="","",IF(258&gt;NPartyA,0,SUMIF(CalcCredit,INDEX(PkPartyA,258),CalcAmt)+SUMIF(CalcCredit2,INDEX(PkPartyA,258),CalcAmt2)+SUMIF(CalcCredit3,INDEX(PkPartyA,258),CalcAmt3)))</f>
        <v/>
      </c>
      <c r="G282" s="15">
        <f>IF($B282="","",ROUND($E282-$F282,0))</f>
        <v/>
      </c>
      <c r="H282" s="12">
        <f>IF($B282="","",IF(ROUND($G282,0)&gt;0,"بدهکار",IF(ROUND($G282,0)&lt;0,"بستانکار","تسویه")))</f>
        <v/>
      </c>
    </row>
    <row r="283">
      <c r="A283" s="16">
        <f>IF($B283="","",274)</f>
        <v/>
      </c>
      <c r="B283" s="17">
        <f>IF(259&gt;NPartyA,"",IFERROR(IF(VLOOKUP(INDEX(PkPartyA,259),AcctTblA,4,0)="","(بدون نام)",VLOOKUP(INDEX(PkPartyA,259),AcctTblA,4,0)),"—"))</f>
        <v/>
      </c>
      <c r="C283" s="18">
        <f>IF($B283="","",IF(259&gt;NPartyA,"",INDEX(PkPartyA,259)))</f>
        <v/>
      </c>
      <c r="D283" s="17">
        <f>IF($B283="","","p")</f>
        <v/>
      </c>
      <c r="E283" s="19">
        <f>IF($B283="","",IF(259&gt;NPartyA,0,SUMIF(CalcDebit,INDEX(PkPartyA,259),CalcAmt)+SUMIF(CalcDebit2,INDEX(PkPartyA,259),CalcAmt2)+SUMIF(CalcDebit3,INDEX(PkPartyA,259),CalcAmt3)))</f>
        <v/>
      </c>
      <c r="F283" s="19">
        <f>IF($B283="","",IF(259&gt;NPartyA,0,SUMIF(CalcCredit,INDEX(PkPartyA,259),CalcAmt)+SUMIF(CalcCredit2,INDEX(PkPartyA,259),CalcAmt2)+SUMIF(CalcCredit3,INDEX(PkPartyA,259),CalcAmt3)))</f>
        <v/>
      </c>
      <c r="G283" s="20">
        <f>IF($B283="","",ROUND($E283-$F283,0))</f>
        <v/>
      </c>
      <c r="H283" s="17">
        <f>IF($B283="","",IF(ROUND($G283,0)&gt;0,"بدهکار",IF(ROUND($G283,0)&lt;0,"بستانکار","تسویه")))</f>
        <v/>
      </c>
    </row>
    <row r="284">
      <c r="A284" s="11">
        <f>IF($B284="","",275)</f>
        <v/>
      </c>
      <c r="B284" s="12">
        <f>IF(260&gt;NPartyA,"",IFERROR(IF(VLOOKUP(INDEX(PkPartyA,260),AcctTblA,4,0)="","(بدون نام)",VLOOKUP(INDEX(PkPartyA,260),AcctTblA,4,0)),"—"))</f>
        <v/>
      </c>
      <c r="C284" s="13">
        <f>IF($B284="","",IF(260&gt;NPartyA,"",INDEX(PkPartyA,260)))</f>
        <v/>
      </c>
      <c r="D284" s="12">
        <f>IF($B284="","","p")</f>
        <v/>
      </c>
      <c r="E284" s="14">
        <f>IF($B284="","",IF(260&gt;NPartyA,0,SUMIF(CalcDebit,INDEX(PkPartyA,260),CalcAmt)+SUMIF(CalcDebit2,INDEX(PkPartyA,260),CalcAmt2)+SUMIF(CalcDebit3,INDEX(PkPartyA,260),CalcAmt3)))</f>
        <v/>
      </c>
      <c r="F284" s="14">
        <f>IF($B284="","",IF(260&gt;NPartyA,0,SUMIF(CalcCredit,INDEX(PkPartyA,260),CalcAmt)+SUMIF(CalcCredit2,INDEX(PkPartyA,260),CalcAmt2)+SUMIF(CalcCredit3,INDEX(PkPartyA,260),CalcAmt3)))</f>
        <v/>
      </c>
      <c r="G284" s="15">
        <f>IF($B284="","",ROUND($E284-$F284,0))</f>
        <v/>
      </c>
      <c r="H284" s="12">
        <f>IF($B284="","",IF(ROUND($G284,0)&gt;0,"بدهکار",IF(ROUND($G284,0)&lt;0,"بستانکار","تسویه")))</f>
        <v/>
      </c>
    </row>
    <row r="285">
      <c r="A285" s="16">
        <f>IF($B285="","",276)</f>
        <v/>
      </c>
      <c r="B285" s="17">
        <f>IF(261&gt;NPartyA,"",IFERROR(IF(VLOOKUP(INDEX(PkPartyA,261),AcctTblA,4,0)="","(بدون نام)",VLOOKUP(INDEX(PkPartyA,261),AcctTblA,4,0)),"—"))</f>
        <v/>
      </c>
      <c r="C285" s="18">
        <f>IF($B285="","",IF(261&gt;NPartyA,"",INDEX(PkPartyA,261)))</f>
        <v/>
      </c>
      <c r="D285" s="17">
        <f>IF($B285="","","p")</f>
        <v/>
      </c>
      <c r="E285" s="19">
        <f>IF($B285="","",IF(261&gt;NPartyA,0,SUMIF(CalcDebit,INDEX(PkPartyA,261),CalcAmt)+SUMIF(CalcDebit2,INDEX(PkPartyA,261),CalcAmt2)+SUMIF(CalcDebit3,INDEX(PkPartyA,261),CalcAmt3)))</f>
        <v/>
      </c>
      <c r="F285" s="19">
        <f>IF($B285="","",IF(261&gt;NPartyA,0,SUMIF(CalcCredit,INDEX(PkPartyA,261),CalcAmt)+SUMIF(CalcCredit2,INDEX(PkPartyA,261),CalcAmt2)+SUMIF(CalcCredit3,INDEX(PkPartyA,261),CalcAmt3)))</f>
        <v/>
      </c>
      <c r="G285" s="20">
        <f>IF($B285="","",ROUND($E285-$F285,0))</f>
        <v/>
      </c>
      <c r="H285" s="17">
        <f>IF($B285="","",IF(ROUND($G285,0)&gt;0,"بدهکار",IF(ROUND($G285,0)&lt;0,"بستانکار","تسویه")))</f>
        <v/>
      </c>
    </row>
    <row r="286">
      <c r="A286" s="11">
        <f>IF($B286="","",277)</f>
        <v/>
      </c>
      <c r="B286" s="12">
        <f>IF(262&gt;NPartyA,"",IFERROR(IF(VLOOKUP(INDEX(PkPartyA,262),AcctTblA,4,0)="","(بدون نام)",VLOOKUP(INDEX(PkPartyA,262),AcctTblA,4,0)),"—"))</f>
        <v/>
      </c>
      <c r="C286" s="13">
        <f>IF($B286="","",IF(262&gt;NPartyA,"",INDEX(PkPartyA,262)))</f>
        <v/>
      </c>
      <c r="D286" s="12">
        <f>IF($B286="","","p")</f>
        <v/>
      </c>
      <c r="E286" s="14">
        <f>IF($B286="","",IF(262&gt;NPartyA,0,SUMIF(CalcDebit,INDEX(PkPartyA,262),CalcAmt)+SUMIF(CalcDebit2,INDEX(PkPartyA,262),CalcAmt2)+SUMIF(CalcDebit3,INDEX(PkPartyA,262),CalcAmt3)))</f>
        <v/>
      </c>
      <c r="F286" s="14">
        <f>IF($B286="","",IF(262&gt;NPartyA,0,SUMIF(CalcCredit,INDEX(PkPartyA,262),CalcAmt)+SUMIF(CalcCredit2,INDEX(PkPartyA,262),CalcAmt2)+SUMIF(CalcCredit3,INDEX(PkPartyA,262),CalcAmt3)))</f>
        <v/>
      </c>
      <c r="G286" s="15">
        <f>IF($B286="","",ROUND($E286-$F286,0))</f>
        <v/>
      </c>
      <c r="H286" s="12">
        <f>IF($B286="","",IF(ROUND($G286,0)&gt;0,"بدهکار",IF(ROUND($G286,0)&lt;0,"بستانکار","تسویه")))</f>
        <v/>
      </c>
    </row>
    <row r="287">
      <c r="A287" s="16">
        <f>IF($B287="","",278)</f>
        <v/>
      </c>
      <c r="B287" s="17">
        <f>IF(263&gt;NPartyA,"",IFERROR(IF(VLOOKUP(INDEX(PkPartyA,263),AcctTblA,4,0)="","(بدون نام)",VLOOKUP(INDEX(PkPartyA,263),AcctTblA,4,0)),"—"))</f>
        <v/>
      </c>
      <c r="C287" s="18">
        <f>IF($B287="","",IF(263&gt;NPartyA,"",INDEX(PkPartyA,263)))</f>
        <v/>
      </c>
      <c r="D287" s="17">
        <f>IF($B287="","","p")</f>
        <v/>
      </c>
      <c r="E287" s="19">
        <f>IF($B287="","",IF(263&gt;NPartyA,0,SUMIF(CalcDebit,INDEX(PkPartyA,263),CalcAmt)+SUMIF(CalcDebit2,INDEX(PkPartyA,263),CalcAmt2)+SUMIF(CalcDebit3,INDEX(PkPartyA,263),CalcAmt3)))</f>
        <v/>
      </c>
      <c r="F287" s="19">
        <f>IF($B287="","",IF(263&gt;NPartyA,0,SUMIF(CalcCredit,INDEX(PkPartyA,263),CalcAmt)+SUMIF(CalcCredit2,INDEX(PkPartyA,263),CalcAmt2)+SUMIF(CalcCredit3,INDEX(PkPartyA,263),CalcAmt3)))</f>
        <v/>
      </c>
      <c r="G287" s="20">
        <f>IF($B287="","",ROUND($E287-$F287,0))</f>
        <v/>
      </c>
      <c r="H287" s="17">
        <f>IF($B287="","",IF(ROUND($G287,0)&gt;0,"بدهکار",IF(ROUND($G287,0)&lt;0,"بستانکار","تسویه")))</f>
        <v/>
      </c>
    </row>
    <row r="288">
      <c r="A288" s="11">
        <f>IF($B288="","",279)</f>
        <v/>
      </c>
      <c r="B288" s="12">
        <f>IF(264&gt;NPartyA,"",IFERROR(IF(VLOOKUP(INDEX(PkPartyA,264),AcctTblA,4,0)="","(بدون نام)",VLOOKUP(INDEX(PkPartyA,264),AcctTblA,4,0)),"—"))</f>
        <v/>
      </c>
      <c r="C288" s="13">
        <f>IF($B288="","",IF(264&gt;NPartyA,"",INDEX(PkPartyA,264)))</f>
        <v/>
      </c>
      <c r="D288" s="12">
        <f>IF($B288="","","p")</f>
        <v/>
      </c>
      <c r="E288" s="14">
        <f>IF($B288="","",IF(264&gt;NPartyA,0,SUMIF(CalcDebit,INDEX(PkPartyA,264),CalcAmt)+SUMIF(CalcDebit2,INDEX(PkPartyA,264),CalcAmt2)+SUMIF(CalcDebit3,INDEX(PkPartyA,264),CalcAmt3)))</f>
        <v/>
      </c>
      <c r="F288" s="14">
        <f>IF($B288="","",IF(264&gt;NPartyA,0,SUMIF(CalcCredit,INDEX(PkPartyA,264),CalcAmt)+SUMIF(CalcCredit2,INDEX(PkPartyA,264),CalcAmt2)+SUMIF(CalcCredit3,INDEX(PkPartyA,264),CalcAmt3)))</f>
        <v/>
      </c>
      <c r="G288" s="15">
        <f>IF($B288="","",ROUND($E288-$F288,0))</f>
        <v/>
      </c>
      <c r="H288" s="12">
        <f>IF($B288="","",IF(ROUND($G288,0)&gt;0,"بدهکار",IF(ROUND($G288,0)&lt;0,"بستانکار","تسویه")))</f>
        <v/>
      </c>
    </row>
    <row r="289">
      <c r="A289" s="16">
        <f>IF($B289="","",280)</f>
        <v/>
      </c>
      <c r="B289" s="17">
        <f>IF(265&gt;NPartyA,"",IFERROR(IF(VLOOKUP(INDEX(PkPartyA,265),AcctTblA,4,0)="","(بدون نام)",VLOOKUP(INDEX(PkPartyA,265),AcctTblA,4,0)),"—"))</f>
        <v/>
      </c>
      <c r="C289" s="18">
        <f>IF($B289="","",IF(265&gt;NPartyA,"",INDEX(PkPartyA,265)))</f>
        <v/>
      </c>
      <c r="D289" s="17">
        <f>IF($B289="","","p")</f>
        <v/>
      </c>
      <c r="E289" s="19">
        <f>IF($B289="","",IF(265&gt;NPartyA,0,SUMIF(CalcDebit,INDEX(PkPartyA,265),CalcAmt)+SUMIF(CalcDebit2,INDEX(PkPartyA,265),CalcAmt2)+SUMIF(CalcDebit3,INDEX(PkPartyA,265),CalcAmt3)))</f>
        <v/>
      </c>
      <c r="F289" s="19">
        <f>IF($B289="","",IF(265&gt;NPartyA,0,SUMIF(CalcCredit,INDEX(PkPartyA,265),CalcAmt)+SUMIF(CalcCredit2,INDEX(PkPartyA,265),CalcAmt2)+SUMIF(CalcCredit3,INDEX(PkPartyA,265),CalcAmt3)))</f>
        <v/>
      </c>
      <c r="G289" s="20">
        <f>IF($B289="","",ROUND($E289-$F289,0))</f>
        <v/>
      </c>
      <c r="H289" s="17">
        <f>IF($B289="","",IF(ROUND($G289,0)&gt;0,"بدهکار",IF(ROUND($G289,0)&lt;0,"بستانکار","تسویه")))</f>
        <v/>
      </c>
    </row>
    <row r="290">
      <c r="A290" s="11">
        <f>IF($B290="","",281)</f>
        <v/>
      </c>
      <c r="B290" s="12">
        <f>IF(266&gt;NPartyA,"",IFERROR(IF(VLOOKUP(INDEX(PkPartyA,266),AcctTblA,4,0)="","(بدون نام)",VLOOKUP(INDEX(PkPartyA,266),AcctTblA,4,0)),"—"))</f>
        <v/>
      </c>
      <c r="C290" s="13">
        <f>IF($B290="","",IF(266&gt;NPartyA,"",INDEX(PkPartyA,266)))</f>
        <v/>
      </c>
      <c r="D290" s="12">
        <f>IF($B290="","","p")</f>
        <v/>
      </c>
      <c r="E290" s="14">
        <f>IF($B290="","",IF(266&gt;NPartyA,0,SUMIF(CalcDebit,INDEX(PkPartyA,266),CalcAmt)+SUMIF(CalcDebit2,INDEX(PkPartyA,266),CalcAmt2)+SUMIF(CalcDebit3,INDEX(PkPartyA,266),CalcAmt3)))</f>
        <v/>
      </c>
      <c r="F290" s="14">
        <f>IF($B290="","",IF(266&gt;NPartyA,0,SUMIF(CalcCredit,INDEX(PkPartyA,266),CalcAmt)+SUMIF(CalcCredit2,INDEX(PkPartyA,266),CalcAmt2)+SUMIF(CalcCredit3,INDEX(PkPartyA,266),CalcAmt3)))</f>
        <v/>
      </c>
      <c r="G290" s="15">
        <f>IF($B290="","",ROUND($E290-$F290,0))</f>
        <v/>
      </c>
      <c r="H290" s="12">
        <f>IF($B290="","",IF(ROUND($G290,0)&gt;0,"بدهکار",IF(ROUND($G290,0)&lt;0,"بستانکار","تسویه")))</f>
        <v/>
      </c>
    </row>
    <row r="291">
      <c r="A291" s="16">
        <f>IF($B291="","",282)</f>
        <v/>
      </c>
      <c r="B291" s="17">
        <f>IF(267&gt;NPartyA,"",IFERROR(IF(VLOOKUP(INDEX(PkPartyA,267),AcctTblA,4,0)="","(بدون نام)",VLOOKUP(INDEX(PkPartyA,267),AcctTblA,4,0)),"—"))</f>
        <v/>
      </c>
      <c r="C291" s="18">
        <f>IF($B291="","",IF(267&gt;NPartyA,"",INDEX(PkPartyA,267)))</f>
        <v/>
      </c>
      <c r="D291" s="17">
        <f>IF($B291="","","p")</f>
        <v/>
      </c>
      <c r="E291" s="19">
        <f>IF($B291="","",IF(267&gt;NPartyA,0,SUMIF(CalcDebit,INDEX(PkPartyA,267),CalcAmt)+SUMIF(CalcDebit2,INDEX(PkPartyA,267),CalcAmt2)+SUMIF(CalcDebit3,INDEX(PkPartyA,267),CalcAmt3)))</f>
        <v/>
      </c>
      <c r="F291" s="19">
        <f>IF($B291="","",IF(267&gt;NPartyA,0,SUMIF(CalcCredit,INDEX(PkPartyA,267),CalcAmt)+SUMIF(CalcCredit2,INDEX(PkPartyA,267),CalcAmt2)+SUMIF(CalcCredit3,INDEX(PkPartyA,267),CalcAmt3)))</f>
        <v/>
      </c>
      <c r="G291" s="20">
        <f>IF($B291="","",ROUND($E291-$F291,0))</f>
        <v/>
      </c>
      <c r="H291" s="17">
        <f>IF($B291="","",IF(ROUND($G291,0)&gt;0,"بدهکار",IF(ROUND($G291,0)&lt;0,"بستانکار","تسویه")))</f>
        <v/>
      </c>
    </row>
    <row r="292">
      <c r="A292" s="11">
        <f>IF($B292="","",283)</f>
        <v/>
      </c>
      <c r="B292" s="12">
        <f>IF(268&gt;NPartyA,"",IFERROR(IF(VLOOKUP(INDEX(PkPartyA,268),AcctTblA,4,0)="","(بدون نام)",VLOOKUP(INDEX(PkPartyA,268),AcctTblA,4,0)),"—"))</f>
        <v/>
      </c>
      <c r="C292" s="13">
        <f>IF($B292="","",IF(268&gt;NPartyA,"",INDEX(PkPartyA,268)))</f>
        <v/>
      </c>
      <c r="D292" s="12">
        <f>IF($B292="","","p")</f>
        <v/>
      </c>
      <c r="E292" s="14">
        <f>IF($B292="","",IF(268&gt;NPartyA,0,SUMIF(CalcDebit,INDEX(PkPartyA,268),CalcAmt)+SUMIF(CalcDebit2,INDEX(PkPartyA,268),CalcAmt2)+SUMIF(CalcDebit3,INDEX(PkPartyA,268),CalcAmt3)))</f>
        <v/>
      </c>
      <c r="F292" s="14">
        <f>IF($B292="","",IF(268&gt;NPartyA,0,SUMIF(CalcCredit,INDEX(PkPartyA,268),CalcAmt)+SUMIF(CalcCredit2,INDEX(PkPartyA,268),CalcAmt2)+SUMIF(CalcCredit3,INDEX(PkPartyA,268),CalcAmt3)))</f>
        <v/>
      </c>
      <c r="G292" s="15">
        <f>IF($B292="","",ROUND($E292-$F292,0))</f>
        <v/>
      </c>
      <c r="H292" s="12">
        <f>IF($B292="","",IF(ROUND($G292,0)&gt;0,"بدهکار",IF(ROUND($G292,0)&lt;0,"بستانکار","تسویه")))</f>
        <v/>
      </c>
    </row>
    <row r="293">
      <c r="A293" s="16">
        <f>IF($B293="","",284)</f>
        <v/>
      </c>
      <c r="B293" s="17">
        <f>IF(269&gt;NPartyA,"",IFERROR(IF(VLOOKUP(INDEX(PkPartyA,269),AcctTblA,4,0)="","(بدون نام)",VLOOKUP(INDEX(PkPartyA,269),AcctTblA,4,0)),"—"))</f>
        <v/>
      </c>
      <c r="C293" s="18">
        <f>IF($B293="","",IF(269&gt;NPartyA,"",INDEX(PkPartyA,269)))</f>
        <v/>
      </c>
      <c r="D293" s="17">
        <f>IF($B293="","","p")</f>
        <v/>
      </c>
      <c r="E293" s="19">
        <f>IF($B293="","",IF(269&gt;NPartyA,0,SUMIF(CalcDebit,INDEX(PkPartyA,269),CalcAmt)+SUMIF(CalcDebit2,INDEX(PkPartyA,269),CalcAmt2)+SUMIF(CalcDebit3,INDEX(PkPartyA,269),CalcAmt3)))</f>
        <v/>
      </c>
      <c r="F293" s="19">
        <f>IF($B293="","",IF(269&gt;NPartyA,0,SUMIF(CalcCredit,INDEX(PkPartyA,269),CalcAmt)+SUMIF(CalcCredit2,INDEX(PkPartyA,269),CalcAmt2)+SUMIF(CalcCredit3,INDEX(PkPartyA,269),CalcAmt3)))</f>
        <v/>
      </c>
      <c r="G293" s="20">
        <f>IF($B293="","",ROUND($E293-$F293,0))</f>
        <v/>
      </c>
      <c r="H293" s="17">
        <f>IF($B293="","",IF(ROUND($G293,0)&gt;0,"بدهکار",IF(ROUND($G293,0)&lt;0,"بستانکار","تسویه")))</f>
        <v/>
      </c>
    </row>
    <row r="294">
      <c r="A294" s="11">
        <f>IF($B294="","",285)</f>
        <v/>
      </c>
      <c r="B294" s="12">
        <f>IF(270&gt;NPartyA,"",IFERROR(IF(VLOOKUP(INDEX(PkPartyA,270),AcctTblA,4,0)="","(بدون نام)",VLOOKUP(INDEX(PkPartyA,270),AcctTblA,4,0)),"—"))</f>
        <v/>
      </c>
      <c r="C294" s="13">
        <f>IF($B294="","",IF(270&gt;NPartyA,"",INDEX(PkPartyA,270)))</f>
        <v/>
      </c>
      <c r="D294" s="12">
        <f>IF($B294="","","p")</f>
        <v/>
      </c>
      <c r="E294" s="14">
        <f>IF($B294="","",IF(270&gt;NPartyA,0,SUMIF(CalcDebit,INDEX(PkPartyA,270),CalcAmt)+SUMIF(CalcDebit2,INDEX(PkPartyA,270),CalcAmt2)+SUMIF(CalcDebit3,INDEX(PkPartyA,270),CalcAmt3)))</f>
        <v/>
      </c>
      <c r="F294" s="14">
        <f>IF($B294="","",IF(270&gt;NPartyA,0,SUMIF(CalcCredit,INDEX(PkPartyA,270),CalcAmt)+SUMIF(CalcCredit2,INDEX(PkPartyA,270),CalcAmt2)+SUMIF(CalcCredit3,INDEX(PkPartyA,270),CalcAmt3)))</f>
        <v/>
      </c>
      <c r="G294" s="15">
        <f>IF($B294="","",ROUND($E294-$F294,0))</f>
        <v/>
      </c>
      <c r="H294" s="12">
        <f>IF($B294="","",IF(ROUND($G294,0)&gt;0,"بدهکار",IF(ROUND($G294,0)&lt;0,"بستانکار","تسویه")))</f>
        <v/>
      </c>
    </row>
    <row r="295">
      <c r="A295" s="16">
        <f>IF($B295="","",286)</f>
        <v/>
      </c>
      <c r="B295" s="17">
        <f>IF(271&gt;NPartyA,"",IFERROR(IF(VLOOKUP(INDEX(PkPartyA,271),AcctTblA,4,0)="","(بدون نام)",VLOOKUP(INDEX(PkPartyA,271),AcctTblA,4,0)),"—"))</f>
        <v/>
      </c>
      <c r="C295" s="18">
        <f>IF($B295="","",IF(271&gt;NPartyA,"",INDEX(PkPartyA,271)))</f>
        <v/>
      </c>
      <c r="D295" s="17">
        <f>IF($B295="","","p")</f>
        <v/>
      </c>
      <c r="E295" s="19">
        <f>IF($B295="","",IF(271&gt;NPartyA,0,SUMIF(CalcDebit,INDEX(PkPartyA,271),CalcAmt)+SUMIF(CalcDebit2,INDEX(PkPartyA,271),CalcAmt2)+SUMIF(CalcDebit3,INDEX(PkPartyA,271),CalcAmt3)))</f>
        <v/>
      </c>
      <c r="F295" s="19">
        <f>IF($B295="","",IF(271&gt;NPartyA,0,SUMIF(CalcCredit,INDEX(PkPartyA,271),CalcAmt)+SUMIF(CalcCredit2,INDEX(PkPartyA,271),CalcAmt2)+SUMIF(CalcCredit3,INDEX(PkPartyA,271),CalcAmt3)))</f>
        <v/>
      </c>
      <c r="G295" s="20">
        <f>IF($B295="","",ROUND($E295-$F295,0))</f>
        <v/>
      </c>
      <c r="H295" s="17">
        <f>IF($B295="","",IF(ROUND($G295,0)&gt;0,"بدهکار",IF(ROUND($G295,0)&lt;0,"بستانکار","تسویه")))</f>
        <v/>
      </c>
    </row>
    <row r="296">
      <c r="A296" s="11">
        <f>IF($B296="","",287)</f>
        <v/>
      </c>
      <c r="B296" s="12">
        <f>IF(272&gt;NPartyA,"",IFERROR(IF(VLOOKUP(INDEX(PkPartyA,272),AcctTblA,4,0)="","(بدون نام)",VLOOKUP(INDEX(PkPartyA,272),AcctTblA,4,0)),"—"))</f>
        <v/>
      </c>
      <c r="C296" s="13">
        <f>IF($B296="","",IF(272&gt;NPartyA,"",INDEX(PkPartyA,272)))</f>
        <v/>
      </c>
      <c r="D296" s="12">
        <f>IF($B296="","","p")</f>
        <v/>
      </c>
      <c r="E296" s="14">
        <f>IF($B296="","",IF(272&gt;NPartyA,0,SUMIF(CalcDebit,INDEX(PkPartyA,272),CalcAmt)+SUMIF(CalcDebit2,INDEX(PkPartyA,272),CalcAmt2)+SUMIF(CalcDebit3,INDEX(PkPartyA,272),CalcAmt3)))</f>
        <v/>
      </c>
      <c r="F296" s="14">
        <f>IF($B296="","",IF(272&gt;NPartyA,0,SUMIF(CalcCredit,INDEX(PkPartyA,272),CalcAmt)+SUMIF(CalcCredit2,INDEX(PkPartyA,272),CalcAmt2)+SUMIF(CalcCredit3,INDEX(PkPartyA,272),CalcAmt3)))</f>
        <v/>
      </c>
      <c r="G296" s="15">
        <f>IF($B296="","",ROUND($E296-$F296,0))</f>
        <v/>
      </c>
      <c r="H296" s="12">
        <f>IF($B296="","",IF(ROUND($G296,0)&gt;0,"بدهکار",IF(ROUND($G296,0)&lt;0,"بستانکار","تسویه")))</f>
        <v/>
      </c>
    </row>
    <row r="297">
      <c r="A297" s="16">
        <f>IF($B297="","",288)</f>
        <v/>
      </c>
      <c r="B297" s="17">
        <f>IF(273&gt;NPartyA,"",IFERROR(IF(VLOOKUP(INDEX(PkPartyA,273),AcctTblA,4,0)="","(بدون نام)",VLOOKUP(INDEX(PkPartyA,273),AcctTblA,4,0)),"—"))</f>
        <v/>
      </c>
      <c r="C297" s="18">
        <f>IF($B297="","",IF(273&gt;NPartyA,"",INDEX(PkPartyA,273)))</f>
        <v/>
      </c>
      <c r="D297" s="17">
        <f>IF($B297="","","p")</f>
        <v/>
      </c>
      <c r="E297" s="19">
        <f>IF($B297="","",IF(273&gt;NPartyA,0,SUMIF(CalcDebit,INDEX(PkPartyA,273),CalcAmt)+SUMIF(CalcDebit2,INDEX(PkPartyA,273),CalcAmt2)+SUMIF(CalcDebit3,INDEX(PkPartyA,273),CalcAmt3)))</f>
        <v/>
      </c>
      <c r="F297" s="19">
        <f>IF($B297="","",IF(273&gt;NPartyA,0,SUMIF(CalcCredit,INDEX(PkPartyA,273),CalcAmt)+SUMIF(CalcCredit2,INDEX(PkPartyA,273),CalcAmt2)+SUMIF(CalcCredit3,INDEX(PkPartyA,273),CalcAmt3)))</f>
        <v/>
      </c>
      <c r="G297" s="20">
        <f>IF($B297="","",ROUND($E297-$F297,0))</f>
        <v/>
      </c>
      <c r="H297" s="17">
        <f>IF($B297="","",IF(ROUND($G297,0)&gt;0,"بدهکار",IF(ROUND($G297,0)&lt;0,"بستانکار","تسویه")))</f>
        <v/>
      </c>
    </row>
    <row r="298">
      <c r="A298" s="11">
        <f>IF($B298="","",289)</f>
        <v/>
      </c>
      <c r="B298" s="12">
        <f>IF(274&gt;NPartyA,"",IFERROR(IF(VLOOKUP(INDEX(PkPartyA,274),AcctTblA,4,0)="","(بدون نام)",VLOOKUP(INDEX(PkPartyA,274),AcctTblA,4,0)),"—"))</f>
        <v/>
      </c>
      <c r="C298" s="13">
        <f>IF($B298="","",IF(274&gt;NPartyA,"",INDEX(PkPartyA,274)))</f>
        <v/>
      </c>
      <c r="D298" s="12">
        <f>IF($B298="","","p")</f>
        <v/>
      </c>
      <c r="E298" s="14">
        <f>IF($B298="","",IF(274&gt;NPartyA,0,SUMIF(CalcDebit,INDEX(PkPartyA,274),CalcAmt)+SUMIF(CalcDebit2,INDEX(PkPartyA,274),CalcAmt2)+SUMIF(CalcDebit3,INDEX(PkPartyA,274),CalcAmt3)))</f>
        <v/>
      </c>
      <c r="F298" s="14">
        <f>IF($B298="","",IF(274&gt;NPartyA,0,SUMIF(CalcCredit,INDEX(PkPartyA,274),CalcAmt)+SUMIF(CalcCredit2,INDEX(PkPartyA,274),CalcAmt2)+SUMIF(CalcCredit3,INDEX(PkPartyA,274),CalcAmt3)))</f>
        <v/>
      </c>
      <c r="G298" s="15">
        <f>IF($B298="","",ROUND($E298-$F298,0))</f>
        <v/>
      </c>
      <c r="H298" s="12">
        <f>IF($B298="","",IF(ROUND($G298,0)&gt;0,"بدهکار",IF(ROUND($G298,0)&lt;0,"بستانکار","تسویه")))</f>
        <v/>
      </c>
    </row>
    <row r="299">
      <c r="A299" s="16">
        <f>IF($B299="","",290)</f>
        <v/>
      </c>
      <c r="B299" s="17">
        <f>IF(275&gt;NPartyA,"",IFERROR(IF(VLOOKUP(INDEX(PkPartyA,275),AcctTblA,4,0)="","(بدون نام)",VLOOKUP(INDEX(PkPartyA,275),AcctTblA,4,0)),"—"))</f>
        <v/>
      </c>
      <c r="C299" s="18">
        <f>IF($B299="","",IF(275&gt;NPartyA,"",INDEX(PkPartyA,275)))</f>
        <v/>
      </c>
      <c r="D299" s="17">
        <f>IF($B299="","","p")</f>
        <v/>
      </c>
      <c r="E299" s="19">
        <f>IF($B299="","",IF(275&gt;NPartyA,0,SUMIF(CalcDebit,INDEX(PkPartyA,275),CalcAmt)+SUMIF(CalcDebit2,INDEX(PkPartyA,275),CalcAmt2)+SUMIF(CalcDebit3,INDEX(PkPartyA,275),CalcAmt3)))</f>
        <v/>
      </c>
      <c r="F299" s="19">
        <f>IF($B299="","",IF(275&gt;NPartyA,0,SUMIF(CalcCredit,INDEX(PkPartyA,275),CalcAmt)+SUMIF(CalcCredit2,INDEX(PkPartyA,275),CalcAmt2)+SUMIF(CalcCredit3,INDEX(PkPartyA,275),CalcAmt3)))</f>
        <v/>
      </c>
      <c r="G299" s="20">
        <f>IF($B299="","",ROUND($E299-$F299,0))</f>
        <v/>
      </c>
      <c r="H299" s="17">
        <f>IF($B299="","",IF(ROUND($G299,0)&gt;0,"بدهکار",IF(ROUND($G299,0)&lt;0,"بستانکار","تسویه")))</f>
        <v/>
      </c>
    </row>
    <row r="300">
      <c r="A300" s="11">
        <f>IF($B300="","",291)</f>
        <v/>
      </c>
      <c r="B300" s="12">
        <f>IF(276&gt;NPartyA,"",IFERROR(IF(VLOOKUP(INDEX(PkPartyA,276),AcctTblA,4,0)="","(بدون نام)",VLOOKUP(INDEX(PkPartyA,276),AcctTblA,4,0)),"—"))</f>
        <v/>
      </c>
      <c r="C300" s="13">
        <f>IF($B300="","",IF(276&gt;NPartyA,"",INDEX(PkPartyA,276)))</f>
        <v/>
      </c>
      <c r="D300" s="12">
        <f>IF($B300="","","p")</f>
        <v/>
      </c>
      <c r="E300" s="14">
        <f>IF($B300="","",IF(276&gt;NPartyA,0,SUMIF(CalcDebit,INDEX(PkPartyA,276),CalcAmt)+SUMIF(CalcDebit2,INDEX(PkPartyA,276),CalcAmt2)+SUMIF(CalcDebit3,INDEX(PkPartyA,276),CalcAmt3)))</f>
        <v/>
      </c>
      <c r="F300" s="14">
        <f>IF($B300="","",IF(276&gt;NPartyA,0,SUMIF(CalcCredit,INDEX(PkPartyA,276),CalcAmt)+SUMIF(CalcCredit2,INDEX(PkPartyA,276),CalcAmt2)+SUMIF(CalcCredit3,INDEX(PkPartyA,276),CalcAmt3)))</f>
        <v/>
      </c>
      <c r="G300" s="15">
        <f>IF($B300="","",ROUND($E300-$F300,0))</f>
        <v/>
      </c>
      <c r="H300" s="12">
        <f>IF($B300="","",IF(ROUND($G300,0)&gt;0,"بدهکار",IF(ROUND($G300,0)&lt;0,"بستانکار","تسویه")))</f>
        <v/>
      </c>
    </row>
    <row r="301">
      <c r="A301" s="16">
        <f>IF($B301="","",292)</f>
        <v/>
      </c>
      <c r="B301" s="17">
        <f>IF(277&gt;NPartyA,"",IFERROR(IF(VLOOKUP(INDEX(PkPartyA,277),AcctTblA,4,0)="","(بدون نام)",VLOOKUP(INDEX(PkPartyA,277),AcctTblA,4,0)),"—"))</f>
        <v/>
      </c>
      <c r="C301" s="18">
        <f>IF($B301="","",IF(277&gt;NPartyA,"",INDEX(PkPartyA,277)))</f>
        <v/>
      </c>
      <c r="D301" s="17">
        <f>IF($B301="","","p")</f>
        <v/>
      </c>
      <c r="E301" s="19">
        <f>IF($B301="","",IF(277&gt;NPartyA,0,SUMIF(CalcDebit,INDEX(PkPartyA,277),CalcAmt)+SUMIF(CalcDebit2,INDEX(PkPartyA,277),CalcAmt2)+SUMIF(CalcDebit3,INDEX(PkPartyA,277),CalcAmt3)))</f>
        <v/>
      </c>
      <c r="F301" s="19">
        <f>IF($B301="","",IF(277&gt;NPartyA,0,SUMIF(CalcCredit,INDEX(PkPartyA,277),CalcAmt)+SUMIF(CalcCredit2,INDEX(PkPartyA,277),CalcAmt2)+SUMIF(CalcCredit3,INDEX(PkPartyA,277),CalcAmt3)))</f>
        <v/>
      </c>
      <c r="G301" s="20">
        <f>IF($B301="","",ROUND($E301-$F301,0))</f>
        <v/>
      </c>
      <c r="H301" s="17">
        <f>IF($B301="","",IF(ROUND($G301,0)&gt;0,"بدهکار",IF(ROUND($G301,0)&lt;0,"بستانکار","تسویه")))</f>
        <v/>
      </c>
    </row>
    <row r="302">
      <c r="A302" s="11">
        <f>IF($B302="","",293)</f>
        <v/>
      </c>
      <c r="B302" s="12">
        <f>IF(278&gt;NPartyA,"",IFERROR(IF(VLOOKUP(INDEX(PkPartyA,278),AcctTblA,4,0)="","(بدون نام)",VLOOKUP(INDEX(PkPartyA,278),AcctTblA,4,0)),"—"))</f>
        <v/>
      </c>
      <c r="C302" s="13">
        <f>IF($B302="","",IF(278&gt;NPartyA,"",INDEX(PkPartyA,278)))</f>
        <v/>
      </c>
      <c r="D302" s="12">
        <f>IF($B302="","","p")</f>
        <v/>
      </c>
      <c r="E302" s="14">
        <f>IF($B302="","",IF(278&gt;NPartyA,0,SUMIF(CalcDebit,INDEX(PkPartyA,278),CalcAmt)+SUMIF(CalcDebit2,INDEX(PkPartyA,278),CalcAmt2)+SUMIF(CalcDebit3,INDEX(PkPartyA,278),CalcAmt3)))</f>
        <v/>
      </c>
      <c r="F302" s="14">
        <f>IF($B302="","",IF(278&gt;NPartyA,0,SUMIF(CalcCredit,INDEX(PkPartyA,278),CalcAmt)+SUMIF(CalcCredit2,INDEX(PkPartyA,278),CalcAmt2)+SUMIF(CalcCredit3,INDEX(PkPartyA,278),CalcAmt3)))</f>
        <v/>
      </c>
      <c r="G302" s="15">
        <f>IF($B302="","",ROUND($E302-$F302,0))</f>
        <v/>
      </c>
      <c r="H302" s="12">
        <f>IF($B302="","",IF(ROUND($G302,0)&gt;0,"بدهکار",IF(ROUND($G302,0)&lt;0,"بستانکار","تسویه")))</f>
        <v/>
      </c>
    </row>
    <row r="303">
      <c r="A303" s="16">
        <f>IF($B303="","",294)</f>
        <v/>
      </c>
      <c r="B303" s="17">
        <f>IF(279&gt;NPartyA,"",IFERROR(IF(VLOOKUP(INDEX(PkPartyA,279),AcctTblA,4,0)="","(بدون نام)",VLOOKUP(INDEX(PkPartyA,279),AcctTblA,4,0)),"—"))</f>
        <v/>
      </c>
      <c r="C303" s="18">
        <f>IF($B303="","",IF(279&gt;NPartyA,"",INDEX(PkPartyA,279)))</f>
        <v/>
      </c>
      <c r="D303" s="17">
        <f>IF($B303="","","p")</f>
        <v/>
      </c>
      <c r="E303" s="19">
        <f>IF($B303="","",IF(279&gt;NPartyA,0,SUMIF(CalcDebit,INDEX(PkPartyA,279),CalcAmt)+SUMIF(CalcDebit2,INDEX(PkPartyA,279),CalcAmt2)+SUMIF(CalcDebit3,INDEX(PkPartyA,279),CalcAmt3)))</f>
        <v/>
      </c>
      <c r="F303" s="19">
        <f>IF($B303="","",IF(279&gt;NPartyA,0,SUMIF(CalcCredit,INDEX(PkPartyA,279),CalcAmt)+SUMIF(CalcCredit2,INDEX(PkPartyA,279),CalcAmt2)+SUMIF(CalcCredit3,INDEX(PkPartyA,279),CalcAmt3)))</f>
        <v/>
      </c>
      <c r="G303" s="20">
        <f>IF($B303="","",ROUND($E303-$F303,0))</f>
        <v/>
      </c>
      <c r="H303" s="17">
        <f>IF($B303="","",IF(ROUND($G303,0)&gt;0,"بدهکار",IF(ROUND($G303,0)&lt;0,"بستانکار","تسویه")))</f>
        <v/>
      </c>
    </row>
    <row r="304">
      <c r="A304" s="11">
        <f>IF($B304="","",295)</f>
        <v/>
      </c>
      <c r="B304" s="12">
        <f>IF(280&gt;NPartyA,"",IFERROR(IF(VLOOKUP(INDEX(PkPartyA,280),AcctTblA,4,0)="","(بدون نام)",VLOOKUP(INDEX(PkPartyA,280),AcctTblA,4,0)),"—"))</f>
        <v/>
      </c>
      <c r="C304" s="13">
        <f>IF($B304="","",IF(280&gt;NPartyA,"",INDEX(PkPartyA,280)))</f>
        <v/>
      </c>
      <c r="D304" s="12">
        <f>IF($B304="","","p")</f>
        <v/>
      </c>
      <c r="E304" s="14">
        <f>IF($B304="","",IF(280&gt;NPartyA,0,SUMIF(CalcDebit,INDEX(PkPartyA,280),CalcAmt)+SUMIF(CalcDebit2,INDEX(PkPartyA,280),CalcAmt2)+SUMIF(CalcDebit3,INDEX(PkPartyA,280),CalcAmt3)))</f>
        <v/>
      </c>
      <c r="F304" s="14">
        <f>IF($B304="","",IF(280&gt;NPartyA,0,SUMIF(CalcCredit,INDEX(PkPartyA,280),CalcAmt)+SUMIF(CalcCredit2,INDEX(PkPartyA,280),CalcAmt2)+SUMIF(CalcCredit3,INDEX(PkPartyA,280),CalcAmt3)))</f>
        <v/>
      </c>
      <c r="G304" s="15">
        <f>IF($B304="","",ROUND($E304-$F304,0))</f>
        <v/>
      </c>
      <c r="H304" s="12">
        <f>IF($B304="","",IF(ROUND($G304,0)&gt;0,"بدهکار",IF(ROUND($G304,0)&lt;0,"بستانکار","تسویه")))</f>
        <v/>
      </c>
    </row>
    <row r="305">
      <c r="A305" s="16">
        <f>IF($B305="","",296)</f>
        <v/>
      </c>
      <c r="B305" s="17">
        <f>IF(281&gt;NPartyA,"",IFERROR(IF(VLOOKUP(INDEX(PkPartyA,281),AcctTblA,4,0)="","(بدون نام)",VLOOKUP(INDEX(PkPartyA,281),AcctTblA,4,0)),"—"))</f>
        <v/>
      </c>
      <c r="C305" s="18">
        <f>IF($B305="","",IF(281&gt;NPartyA,"",INDEX(PkPartyA,281)))</f>
        <v/>
      </c>
      <c r="D305" s="17">
        <f>IF($B305="","","p")</f>
        <v/>
      </c>
      <c r="E305" s="19">
        <f>IF($B305="","",IF(281&gt;NPartyA,0,SUMIF(CalcDebit,INDEX(PkPartyA,281),CalcAmt)+SUMIF(CalcDebit2,INDEX(PkPartyA,281),CalcAmt2)+SUMIF(CalcDebit3,INDEX(PkPartyA,281),CalcAmt3)))</f>
        <v/>
      </c>
      <c r="F305" s="19">
        <f>IF($B305="","",IF(281&gt;NPartyA,0,SUMIF(CalcCredit,INDEX(PkPartyA,281),CalcAmt)+SUMIF(CalcCredit2,INDEX(PkPartyA,281),CalcAmt2)+SUMIF(CalcCredit3,INDEX(PkPartyA,281),CalcAmt3)))</f>
        <v/>
      </c>
      <c r="G305" s="20">
        <f>IF($B305="","",ROUND($E305-$F305,0))</f>
        <v/>
      </c>
      <c r="H305" s="17">
        <f>IF($B305="","",IF(ROUND($G305,0)&gt;0,"بدهکار",IF(ROUND($G305,0)&lt;0,"بستانکار","تسویه")))</f>
        <v/>
      </c>
    </row>
    <row r="306">
      <c r="A306" s="11">
        <f>IF($B306="","",297)</f>
        <v/>
      </c>
      <c r="B306" s="12">
        <f>IF(282&gt;NPartyA,"",IFERROR(IF(VLOOKUP(INDEX(PkPartyA,282),AcctTblA,4,0)="","(بدون نام)",VLOOKUP(INDEX(PkPartyA,282),AcctTblA,4,0)),"—"))</f>
        <v/>
      </c>
      <c r="C306" s="13">
        <f>IF($B306="","",IF(282&gt;NPartyA,"",INDEX(PkPartyA,282)))</f>
        <v/>
      </c>
      <c r="D306" s="12">
        <f>IF($B306="","","p")</f>
        <v/>
      </c>
      <c r="E306" s="14">
        <f>IF($B306="","",IF(282&gt;NPartyA,0,SUMIF(CalcDebit,INDEX(PkPartyA,282),CalcAmt)+SUMIF(CalcDebit2,INDEX(PkPartyA,282),CalcAmt2)+SUMIF(CalcDebit3,INDEX(PkPartyA,282),CalcAmt3)))</f>
        <v/>
      </c>
      <c r="F306" s="14">
        <f>IF($B306="","",IF(282&gt;NPartyA,0,SUMIF(CalcCredit,INDEX(PkPartyA,282),CalcAmt)+SUMIF(CalcCredit2,INDEX(PkPartyA,282),CalcAmt2)+SUMIF(CalcCredit3,INDEX(PkPartyA,282),CalcAmt3)))</f>
        <v/>
      </c>
      <c r="G306" s="15">
        <f>IF($B306="","",ROUND($E306-$F306,0))</f>
        <v/>
      </c>
      <c r="H306" s="12">
        <f>IF($B306="","",IF(ROUND($G306,0)&gt;0,"بدهکار",IF(ROUND($G306,0)&lt;0,"بستانکار","تسویه")))</f>
        <v/>
      </c>
    </row>
    <row r="307">
      <c r="A307" s="16">
        <f>IF($B307="","",298)</f>
        <v/>
      </c>
      <c r="B307" s="17">
        <f>IF(283&gt;NPartyA,"",IFERROR(IF(VLOOKUP(INDEX(PkPartyA,283),AcctTblA,4,0)="","(بدون نام)",VLOOKUP(INDEX(PkPartyA,283),AcctTblA,4,0)),"—"))</f>
        <v/>
      </c>
      <c r="C307" s="18">
        <f>IF($B307="","",IF(283&gt;NPartyA,"",INDEX(PkPartyA,283)))</f>
        <v/>
      </c>
      <c r="D307" s="17">
        <f>IF($B307="","","p")</f>
        <v/>
      </c>
      <c r="E307" s="19">
        <f>IF($B307="","",IF(283&gt;NPartyA,0,SUMIF(CalcDebit,INDEX(PkPartyA,283),CalcAmt)+SUMIF(CalcDebit2,INDEX(PkPartyA,283),CalcAmt2)+SUMIF(CalcDebit3,INDEX(PkPartyA,283),CalcAmt3)))</f>
        <v/>
      </c>
      <c r="F307" s="19">
        <f>IF($B307="","",IF(283&gt;NPartyA,0,SUMIF(CalcCredit,INDEX(PkPartyA,283),CalcAmt)+SUMIF(CalcCredit2,INDEX(PkPartyA,283),CalcAmt2)+SUMIF(CalcCredit3,INDEX(PkPartyA,283),CalcAmt3)))</f>
        <v/>
      </c>
      <c r="G307" s="20">
        <f>IF($B307="","",ROUND($E307-$F307,0))</f>
        <v/>
      </c>
      <c r="H307" s="17">
        <f>IF($B307="","",IF(ROUND($G307,0)&gt;0,"بدهکار",IF(ROUND($G307,0)&lt;0,"بستانکار","تسویه")))</f>
        <v/>
      </c>
    </row>
    <row r="308">
      <c r="A308" s="11">
        <f>IF($B308="","",299)</f>
        <v/>
      </c>
      <c r="B308" s="12">
        <f>IF(284&gt;NPartyA,"",IFERROR(IF(VLOOKUP(INDEX(PkPartyA,284),AcctTblA,4,0)="","(بدون نام)",VLOOKUP(INDEX(PkPartyA,284),AcctTblA,4,0)),"—"))</f>
        <v/>
      </c>
      <c r="C308" s="13">
        <f>IF($B308="","",IF(284&gt;NPartyA,"",INDEX(PkPartyA,284)))</f>
        <v/>
      </c>
      <c r="D308" s="12">
        <f>IF($B308="","","p")</f>
        <v/>
      </c>
      <c r="E308" s="14">
        <f>IF($B308="","",IF(284&gt;NPartyA,0,SUMIF(CalcDebit,INDEX(PkPartyA,284),CalcAmt)+SUMIF(CalcDebit2,INDEX(PkPartyA,284),CalcAmt2)+SUMIF(CalcDebit3,INDEX(PkPartyA,284),CalcAmt3)))</f>
        <v/>
      </c>
      <c r="F308" s="14">
        <f>IF($B308="","",IF(284&gt;NPartyA,0,SUMIF(CalcCredit,INDEX(PkPartyA,284),CalcAmt)+SUMIF(CalcCredit2,INDEX(PkPartyA,284),CalcAmt2)+SUMIF(CalcCredit3,INDEX(PkPartyA,284),CalcAmt3)))</f>
        <v/>
      </c>
      <c r="G308" s="15">
        <f>IF($B308="","",ROUND($E308-$F308,0))</f>
        <v/>
      </c>
      <c r="H308" s="12">
        <f>IF($B308="","",IF(ROUND($G308,0)&gt;0,"بدهکار",IF(ROUND($G308,0)&lt;0,"بستانکار","تسویه")))</f>
        <v/>
      </c>
    </row>
    <row r="309">
      <c r="A309" s="16">
        <f>IF($B309="","",300)</f>
        <v/>
      </c>
      <c r="B309" s="17">
        <f>IF(285&gt;NPartyA,"",IFERROR(IF(VLOOKUP(INDEX(PkPartyA,285),AcctTblA,4,0)="","(بدون نام)",VLOOKUP(INDEX(PkPartyA,285),AcctTblA,4,0)),"—"))</f>
        <v/>
      </c>
      <c r="C309" s="18">
        <f>IF($B309="","",IF(285&gt;NPartyA,"",INDEX(PkPartyA,285)))</f>
        <v/>
      </c>
      <c r="D309" s="17">
        <f>IF($B309="","","p")</f>
        <v/>
      </c>
      <c r="E309" s="19">
        <f>IF($B309="","",IF(285&gt;NPartyA,0,SUMIF(CalcDebit,INDEX(PkPartyA,285),CalcAmt)+SUMIF(CalcDebit2,INDEX(PkPartyA,285),CalcAmt2)+SUMIF(CalcDebit3,INDEX(PkPartyA,285),CalcAmt3)))</f>
        <v/>
      </c>
      <c r="F309" s="19">
        <f>IF($B309="","",IF(285&gt;NPartyA,0,SUMIF(CalcCredit,INDEX(PkPartyA,285),CalcAmt)+SUMIF(CalcCredit2,INDEX(PkPartyA,285),CalcAmt2)+SUMIF(CalcCredit3,INDEX(PkPartyA,285),CalcAmt3)))</f>
        <v/>
      </c>
      <c r="G309" s="20">
        <f>IF($B309="","",ROUND($E309-$F309,0))</f>
        <v/>
      </c>
      <c r="H309" s="17">
        <f>IF($B309="","",IF(ROUND($G309,0)&gt;0,"بدهکار",IF(ROUND($G309,0)&lt;0,"بستانکار","تسویه")))</f>
        <v/>
      </c>
    </row>
    <row r="310">
      <c r="A310" s="11">
        <f>IF($B310="","",301)</f>
        <v/>
      </c>
      <c r="B310" s="12">
        <f>IF(286&gt;NPartyA,"",IFERROR(IF(VLOOKUP(INDEX(PkPartyA,286),AcctTblA,4,0)="","(بدون نام)",VLOOKUP(INDEX(PkPartyA,286),AcctTblA,4,0)),"—"))</f>
        <v/>
      </c>
      <c r="C310" s="13">
        <f>IF($B310="","",IF(286&gt;NPartyA,"",INDEX(PkPartyA,286)))</f>
        <v/>
      </c>
      <c r="D310" s="12">
        <f>IF($B310="","","p")</f>
        <v/>
      </c>
      <c r="E310" s="14">
        <f>IF($B310="","",IF(286&gt;NPartyA,0,SUMIF(CalcDebit,INDEX(PkPartyA,286),CalcAmt)+SUMIF(CalcDebit2,INDEX(PkPartyA,286),CalcAmt2)+SUMIF(CalcDebit3,INDEX(PkPartyA,286),CalcAmt3)))</f>
        <v/>
      </c>
      <c r="F310" s="14">
        <f>IF($B310="","",IF(286&gt;NPartyA,0,SUMIF(CalcCredit,INDEX(PkPartyA,286),CalcAmt)+SUMIF(CalcCredit2,INDEX(PkPartyA,286),CalcAmt2)+SUMIF(CalcCredit3,INDEX(PkPartyA,286),CalcAmt3)))</f>
        <v/>
      </c>
      <c r="G310" s="15">
        <f>IF($B310="","",ROUND($E310-$F310,0))</f>
        <v/>
      </c>
      <c r="H310" s="12">
        <f>IF($B310="","",IF(ROUND($G310,0)&gt;0,"بدهکار",IF(ROUND($G310,0)&lt;0,"بستانکار","تسویه")))</f>
        <v/>
      </c>
    </row>
    <row r="311">
      <c r="A311" s="16">
        <f>IF($B311="","",302)</f>
        <v/>
      </c>
      <c r="B311" s="17">
        <f>IF(287&gt;NPartyA,"",IFERROR(IF(VLOOKUP(INDEX(PkPartyA,287),AcctTblA,4,0)="","(بدون نام)",VLOOKUP(INDEX(PkPartyA,287),AcctTblA,4,0)),"—"))</f>
        <v/>
      </c>
      <c r="C311" s="18">
        <f>IF($B311="","",IF(287&gt;NPartyA,"",INDEX(PkPartyA,287)))</f>
        <v/>
      </c>
      <c r="D311" s="17">
        <f>IF($B311="","","p")</f>
        <v/>
      </c>
      <c r="E311" s="19">
        <f>IF($B311="","",IF(287&gt;NPartyA,0,SUMIF(CalcDebit,INDEX(PkPartyA,287),CalcAmt)+SUMIF(CalcDebit2,INDEX(PkPartyA,287),CalcAmt2)+SUMIF(CalcDebit3,INDEX(PkPartyA,287),CalcAmt3)))</f>
        <v/>
      </c>
      <c r="F311" s="19">
        <f>IF($B311="","",IF(287&gt;NPartyA,0,SUMIF(CalcCredit,INDEX(PkPartyA,287),CalcAmt)+SUMIF(CalcCredit2,INDEX(PkPartyA,287),CalcAmt2)+SUMIF(CalcCredit3,INDEX(PkPartyA,287),CalcAmt3)))</f>
        <v/>
      </c>
      <c r="G311" s="20">
        <f>IF($B311="","",ROUND($E311-$F311,0))</f>
        <v/>
      </c>
      <c r="H311" s="17">
        <f>IF($B311="","",IF(ROUND($G311,0)&gt;0,"بدهکار",IF(ROUND($G311,0)&lt;0,"بستانکار","تسویه")))</f>
        <v/>
      </c>
    </row>
    <row r="312">
      <c r="A312" s="11">
        <f>IF($B312="","",303)</f>
        <v/>
      </c>
      <c r="B312" s="12">
        <f>IF(288&gt;NPartyA,"",IFERROR(IF(VLOOKUP(INDEX(PkPartyA,288),AcctTblA,4,0)="","(بدون نام)",VLOOKUP(INDEX(PkPartyA,288),AcctTblA,4,0)),"—"))</f>
        <v/>
      </c>
      <c r="C312" s="13">
        <f>IF($B312="","",IF(288&gt;NPartyA,"",INDEX(PkPartyA,288)))</f>
        <v/>
      </c>
      <c r="D312" s="12">
        <f>IF($B312="","","p")</f>
        <v/>
      </c>
      <c r="E312" s="14">
        <f>IF($B312="","",IF(288&gt;NPartyA,0,SUMIF(CalcDebit,INDEX(PkPartyA,288),CalcAmt)+SUMIF(CalcDebit2,INDEX(PkPartyA,288),CalcAmt2)+SUMIF(CalcDebit3,INDEX(PkPartyA,288),CalcAmt3)))</f>
        <v/>
      </c>
      <c r="F312" s="14">
        <f>IF($B312="","",IF(288&gt;NPartyA,0,SUMIF(CalcCredit,INDEX(PkPartyA,288),CalcAmt)+SUMIF(CalcCredit2,INDEX(PkPartyA,288),CalcAmt2)+SUMIF(CalcCredit3,INDEX(PkPartyA,288),CalcAmt3)))</f>
        <v/>
      </c>
      <c r="G312" s="15">
        <f>IF($B312="","",ROUND($E312-$F312,0))</f>
        <v/>
      </c>
      <c r="H312" s="12">
        <f>IF($B312="","",IF(ROUND($G312,0)&gt;0,"بدهکار",IF(ROUND($G312,0)&lt;0,"بستانکار","تسویه")))</f>
        <v/>
      </c>
    </row>
    <row r="313">
      <c r="A313" s="16">
        <f>IF($B313="","",304)</f>
        <v/>
      </c>
      <c r="B313" s="17">
        <f>IF(289&gt;NPartyA,"",IFERROR(IF(VLOOKUP(INDEX(PkPartyA,289),AcctTblA,4,0)="","(بدون نام)",VLOOKUP(INDEX(PkPartyA,289),AcctTblA,4,0)),"—"))</f>
        <v/>
      </c>
      <c r="C313" s="18">
        <f>IF($B313="","",IF(289&gt;NPartyA,"",INDEX(PkPartyA,289)))</f>
        <v/>
      </c>
      <c r="D313" s="17">
        <f>IF($B313="","","p")</f>
        <v/>
      </c>
      <c r="E313" s="19">
        <f>IF($B313="","",IF(289&gt;NPartyA,0,SUMIF(CalcDebit,INDEX(PkPartyA,289),CalcAmt)+SUMIF(CalcDebit2,INDEX(PkPartyA,289),CalcAmt2)+SUMIF(CalcDebit3,INDEX(PkPartyA,289),CalcAmt3)))</f>
        <v/>
      </c>
      <c r="F313" s="19">
        <f>IF($B313="","",IF(289&gt;NPartyA,0,SUMIF(CalcCredit,INDEX(PkPartyA,289),CalcAmt)+SUMIF(CalcCredit2,INDEX(PkPartyA,289),CalcAmt2)+SUMIF(CalcCredit3,INDEX(PkPartyA,289),CalcAmt3)))</f>
        <v/>
      </c>
      <c r="G313" s="20">
        <f>IF($B313="","",ROUND($E313-$F313,0))</f>
        <v/>
      </c>
      <c r="H313" s="17">
        <f>IF($B313="","",IF(ROUND($G313,0)&gt;0,"بدهکار",IF(ROUND($G313,0)&lt;0,"بستانکار","تسویه")))</f>
        <v/>
      </c>
    </row>
    <row r="314">
      <c r="A314" s="11">
        <f>IF($B314="","",305)</f>
        <v/>
      </c>
      <c r="B314" s="12">
        <f>IF(290&gt;NPartyA,"",IFERROR(IF(VLOOKUP(INDEX(PkPartyA,290),AcctTblA,4,0)="","(بدون نام)",VLOOKUP(INDEX(PkPartyA,290),AcctTblA,4,0)),"—"))</f>
        <v/>
      </c>
      <c r="C314" s="13">
        <f>IF($B314="","",IF(290&gt;NPartyA,"",INDEX(PkPartyA,290)))</f>
        <v/>
      </c>
      <c r="D314" s="12">
        <f>IF($B314="","","p")</f>
        <v/>
      </c>
      <c r="E314" s="14">
        <f>IF($B314="","",IF(290&gt;NPartyA,0,SUMIF(CalcDebit,INDEX(PkPartyA,290),CalcAmt)+SUMIF(CalcDebit2,INDEX(PkPartyA,290),CalcAmt2)+SUMIF(CalcDebit3,INDEX(PkPartyA,290),CalcAmt3)))</f>
        <v/>
      </c>
      <c r="F314" s="14">
        <f>IF($B314="","",IF(290&gt;NPartyA,0,SUMIF(CalcCredit,INDEX(PkPartyA,290),CalcAmt)+SUMIF(CalcCredit2,INDEX(PkPartyA,290),CalcAmt2)+SUMIF(CalcCredit3,INDEX(PkPartyA,290),CalcAmt3)))</f>
        <v/>
      </c>
      <c r="G314" s="15">
        <f>IF($B314="","",ROUND($E314-$F314,0))</f>
        <v/>
      </c>
      <c r="H314" s="12">
        <f>IF($B314="","",IF(ROUND($G314,0)&gt;0,"بدهکار",IF(ROUND($G314,0)&lt;0,"بستانکار","تسویه")))</f>
        <v/>
      </c>
    </row>
    <row r="315">
      <c r="A315" s="16">
        <f>IF($B315="","",306)</f>
        <v/>
      </c>
      <c r="B315" s="17">
        <f>IF(291&gt;NPartyA,"",IFERROR(IF(VLOOKUP(INDEX(PkPartyA,291),AcctTblA,4,0)="","(بدون نام)",VLOOKUP(INDEX(PkPartyA,291),AcctTblA,4,0)),"—"))</f>
        <v/>
      </c>
      <c r="C315" s="18">
        <f>IF($B315="","",IF(291&gt;NPartyA,"",INDEX(PkPartyA,291)))</f>
        <v/>
      </c>
      <c r="D315" s="17">
        <f>IF($B315="","","p")</f>
        <v/>
      </c>
      <c r="E315" s="19">
        <f>IF($B315="","",IF(291&gt;NPartyA,0,SUMIF(CalcDebit,INDEX(PkPartyA,291),CalcAmt)+SUMIF(CalcDebit2,INDEX(PkPartyA,291),CalcAmt2)+SUMIF(CalcDebit3,INDEX(PkPartyA,291),CalcAmt3)))</f>
        <v/>
      </c>
      <c r="F315" s="19">
        <f>IF($B315="","",IF(291&gt;NPartyA,0,SUMIF(CalcCredit,INDEX(PkPartyA,291),CalcAmt)+SUMIF(CalcCredit2,INDEX(PkPartyA,291),CalcAmt2)+SUMIF(CalcCredit3,INDEX(PkPartyA,291),CalcAmt3)))</f>
        <v/>
      </c>
      <c r="G315" s="20">
        <f>IF($B315="","",ROUND($E315-$F315,0))</f>
        <v/>
      </c>
      <c r="H315" s="17">
        <f>IF($B315="","",IF(ROUND($G315,0)&gt;0,"بدهکار",IF(ROUND($G315,0)&lt;0,"بستانکار","تسویه")))</f>
        <v/>
      </c>
    </row>
    <row r="316">
      <c r="A316" s="11">
        <f>IF($B316="","",307)</f>
        <v/>
      </c>
      <c r="B316" s="12">
        <f>IF(292&gt;NPartyA,"",IFERROR(IF(VLOOKUP(INDEX(PkPartyA,292),AcctTblA,4,0)="","(بدون نام)",VLOOKUP(INDEX(PkPartyA,292),AcctTblA,4,0)),"—"))</f>
        <v/>
      </c>
      <c r="C316" s="13">
        <f>IF($B316="","",IF(292&gt;NPartyA,"",INDEX(PkPartyA,292)))</f>
        <v/>
      </c>
      <c r="D316" s="12">
        <f>IF($B316="","","p")</f>
        <v/>
      </c>
      <c r="E316" s="14">
        <f>IF($B316="","",IF(292&gt;NPartyA,0,SUMIF(CalcDebit,INDEX(PkPartyA,292),CalcAmt)+SUMIF(CalcDebit2,INDEX(PkPartyA,292),CalcAmt2)+SUMIF(CalcDebit3,INDEX(PkPartyA,292),CalcAmt3)))</f>
        <v/>
      </c>
      <c r="F316" s="14">
        <f>IF($B316="","",IF(292&gt;NPartyA,0,SUMIF(CalcCredit,INDEX(PkPartyA,292),CalcAmt)+SUMIF(CalcCredit2,INDEX(PkPartyA,292),CalcAmt2)+SUMIF(CalcCredit3,INDEX(PkPartyA,292),CalcAmt3)))</f>
        <v/>
      </c>
      <c r="G316" s="15">
        <f>IF($B316="","",ROUND($E316-$F316,0))</f>
        <v/>
      </c>
      <c r="H316" s="12">
        <f>IF($B316="","",IF(ROUND($G316,0)&gt;0,"بدهکار",IF(ROUND($G316,0)&lt;0,"بستانکار","تسویه")))</f>
        <v/>
      </c>
    </row>
    <row r="317">
      <c r="A317" s="16">
        <f>IF($B317="","",308)</f>
        <v/>
      </c>
      <c r="B317" s="17">
        <f>IF(293&gt;NPartyA,"",IFERROR(IF(VLOOKUP(INDEX(PkPartyA,293),AcctTblA,4,0)="","(بدون نام)",VLOOKUP(INDEX(PkPartyA,293),AcctTblA,4,0)),"—"))</f>
        <v/>
      </c>
      <c r="C317" s="18">
        <f>IF($B317="","",IF(293&gt;NPartyA,"",INDEX(PkPartyA,293)))</f>
        <v/>
      </c>
      <c r="D317" s="17">
        <f>IF($B317="","","p")</f>
        <v/>
      </c>
      <c r="E317" s="19">
        <f>IF($B317="","",IF(293&gt;NPartyA,0,SUMIF(CalcDebit,INDEX(PkPartyA,293),CalcAmt)+SUMIF(CalcDebit2,INDEX(PkPartyA,293),CalcAmt2)+SUMIF(CalcDebit3,INDEX(PkPartyA,293),CalcAmt3)))</f>
        <v/>
      </c>
      <c r="F317" s="19">
        <f>IF($B317="","",IF(293&gt;NPartyA,0,SUMIF(CalcCredit,INDEX(PkPartyA,293),CalcAmt)+SUMIF(CalcCredit2,INDEX(PkPartyA,293),CalcAmt2)+SUMIF(CalcCredit3,INDEX(PkPartyA,293),CalcAmt3)))</f>
        <v/>
      </c>
      <c r="G317" s="20">
        <f>IF($B317="","",ROUND($E317-$F317,0))</f>
        <v/>
      </c>
      <c r="H317" s="17">
        <f>IF($B317="","",IF(ROUND($G317,0)&gt;0,"بدهکار",IF(ROUND($G317,0)&lt;0,"بستانکار","تسویه")))</f>
        <v/>
      </c>
    </row>
    <row r="318">
      <c r="A318" s="11">
        <f>IF($B318="","",309)</f>
        <v/>
      </c>
      <c r="B318" s="12">
        <f>IF(294&gt;NPartyA,"",IFERROR(IF(VLOOKUP(INDEX(PkPartyA,294),AcctTblA,4,0)="","(بدون نام)",VLOOKUP(INDEX(PkPartyA,294),AcctTblA,4,0)),"—"))</f>
        <v/>
      </c>
      <c r="C318" s="13">
        <f>IF($B318="","",IF(294&gt;NPartyA,"",INDEX(PkPartyA,294)))</f>
        <v/>
      </c>
      <c r="D318" s="12">
        <f>IF($B318="","","p")</f>
        <v/>
      </c>
      <c r="E318" s="14">
        <f>IF($B318="","",IF(294&gt;NPartyA,0,SUMIF(CalcDebit,INDEX(PkPartyA,294),CalcAmt)+SUMIF(CalcDebit2,INDEX(PkPartyA,294),CalcAmt2)+SUMIF(CalcDebit3,INDEX(PkPartyA,294),CalcAmt3)))</f>
        <v/>
      </c>
      <c r="F318" s="14">
        <f>IF($B318="","",IF(294&gt;NPartyA,0,SUMIF(CalcCredit,INDEX(PkPartyA,294),CalcAmt)+SUMIF(CalcCredit2,INDEX(PkPartyA,294),CalcAmt2)+SUMIF(CalcCredit3,INDEX(PkPartyA,294),CalcAmt3)))</f>
        <v/>
      </c>
      <c r="G318" s="15">
        <f>IF($B318="","",ROUND($E318-$F318,0))</f>
        <v/>
      </c>
      <c r="H318" s="12">
        <f>IF($B318="","",IF(ROUND($G318,0)&gt;0,"بدهکار",IF(ROUND($G318,0)&lt;0,"بستانکار","تسویه")))</f>
        <v/>
      </c>
    </row>
    <row r="319">
      <c r="A319" s="16">
        <f>IF($B319="","",310)</f>
        <v/>
      </c>
      <c r="B319" s="17">
        <f>IF(295&gt;NPartyA,"",IFERROR(IF(VLOOKUP(INDEX(PkPartyA,295),AcctTblA,4,0)="","(بدون نام)",VLOOKUP(INDEX(PkPartyA,295),AcctTblA,4,0)),"—"))</f>
        <v/>
      </c>
      <c r="C319" s="18">
        <f>IF($B319="","",IF(295&gt;NPartyA,"",INDEX(PkPartyA,295)))</f>
        <v/>
      </c>
      <c r="D319" s="17">
        <f>IF($B319="","","p")</f>
        <v/>
      </c>
      <c r="E319" s="19">
        <f>IF($B319="","",IF(295&gt;NPartyA,0,SUMIF(CalcDebit,INDEX(PkPartyA,295),CalcAmt)+SUMIF(CalcDebit2,INDEX(PkPartyA,295),CalcAmt2)+SUMIF(CalcDebit3,INDEX(PkPartyA,295),CalcAmt3)))</f>
        <v/>
      </c>
      <c r="F319" s="19">
        <f>IF($B319="","",IF(295&gt;NPartyA,0,SUMIF(CalcCredit,INDEX(PkPartyA,295),CalcAmt)+SUMIF(CalcCredit2,INDEX(PkPartyA,295),CalcAmt2)+SUMIF(CalcCredit3,INDEX(PkPartyA,295),CalcAmt3)))</f>
        <v/>
      </c>
      <c r="G319" s="20">
        <f>IF($B319="","",ROUND($E319-$F319,0))</f>
        <v/>
      </c>
      <c r="H319" s="17">
        <f>IF($B319="","",IF(ROUND($G319,0)&gt;0,"بدهکار",IF(ROUND($G319,0)&lt;0,"بستانکار","تسویه")))</f>
        <v/>
      </c>
    </row>
    <row r="320">
      <c r="A320" s="11">
        <f>IF($B320="","",311)</f>
        <v/>
      </c>
      <c r="B320" s="12">
        <f>IF(296&gt;NPartyA,"",IFERROR(IF(VLOOKUP(INDEX(PkPartyA,296),AcctTblA,4,0)="","(بدون نام)",VLOOKUP(INDEX(PkPartyA,296),AcctTblA,4,0)),"—"))</f>
        <v/>
      </c>
      <c r="C320" s="13">
        <f>IF($B320="","",IF(296&gt;NPartyA,"",INDEX(PkPartyA,296)))</f>
        <v/>
      </c>
      <c r="D320" s="12">
        <f>IF($B320="","","p")</f>
        <v/>
      </c>
      <c r="E320" s="14">
        <f>IF($B320="","",IF(296&gt;NPartyA,0,SUMIF(CalcDebit,INDEX(PkPartyA,296),CalcAmt)+SUMIF(CalcDebit2,INDEX(PkPartyA,296),CalcAmt2)+SUMIF(CalcDebit3,INDEX(PkPartyA,296),CalcAmt3)))</f>
        <v/>
      </c>
      <c r="F320" s="14">
        <f>IF($B320="","",IF(296&gt;NPartyA,0,SUMIF(CalcCredit,INDEX(PkPartyA,296),CalcAmt)+SUMIF(CalcCredit2,INDEX(PkPartyA,296),CalcAmt2)+SUMIF(CalcCredit3,INDEX(PkPartyA,296),CalcAmt3)))</f>
        <v/>
      </c>
      <c r="G320" s="15">
        <f>IF($B320="","",ROUND($E320-$F320,0))</f>
        <v/>
      </c>
      <c r="H320" s="12">
        <f>IF($B320="","",IF(ROUND($G320,0)&gt;0,"بدهکار",IF(ROUND($G320,0)&lt;0,"بستانکار","تسویه")))</f>
        <v/>
      </c>
    </row>
    <row r="321">
      <c r="A321" s="16">
        <f>IF($B321="","",312)</f>
        <v/>
      </c>
      <c r="B321" s="17">
        <f>IF(297&gt;NPartyA,"",IFERROR(IF(VLOOKUP(INDEX(PkPartyA,297),AcctTblA,4,0)="","(بدون نام)",VLOOKUP(INDEX(PkPartyA,297),AcctTblA,4,0)),"—"))</f>
        <v/>
      </c>
      <c r="C321" s="18">
        <f>IF($B321="","",IF(297&gt;NPartyA,"",INDEX(PkPartyA,297)))</f>
        <v/>
      </c>
      <c r="D321" s="17">
        <f>IF($B321="","","p")</f>
        <v/>
      </c>
      <c r="E321" s="19">
        <f>IF($B321="","",IF(297&gt;NPartyA,0,SUMIF(CalcDebit,INDEX(PkPartyA,297),CalcAmt)+SUMIF(CalcDebit2,INDEX(PkPartyA,297),CalcAmt2)+SUMIF(CalcDebit3,INDEX(PkPartyA,297),CalcAmt3)))</f>
        <v/>
      </c>
      <c r="F321" s="19">
        <f>IF($B321="","",IF(297&gt;NPartyA,0,SUMIF(CalcCredit,INDEX(PkPartyA,297),CalcAmt)+SUMIF(CalcCredit2,INDEX(PkPartyA,297),CalcAmt2)+SUMIF(CalcCredit3,INDEX(PkPartyA,297),CalcAmt3)))</f>
        <v/>
      </c>
      <c r="G321" s="20">
        <f>IF($B321="","",ROUND($E321-$F321,0))</f>
        <v/>
      </c>
      <c r="H321" s="17">
        <f>IF($B321="","",IF(ROUND($G321,0)&gt;0,"بدهکار",IF(ROUND($G321,0)&lt;0,"بستانکار","تسویه")))</f>
        <v/>
      </c>
    </row>
    <row r="322">
      <c r="A322" s="11">
        <f>IF($B322="","",313)</f>
        <v/>
      </c>
      <c r="B322" s="12">
        <f>IF(298&gt;NPartyA,"",IFERROR(IF(VLOOKUP(INDEX(PkPartyA,298),AcctTblA,4,0)="","(بدون نام)",VLOOKUP(INDEX(PkPartyA,298),AcctTblA,4,0)),"—"))</f>
        <v/>
      </c>
      <c r="C322" s="13">
        <f>IF($B322="","",IF(298&gt;NPartyA,"",INDEX(PkPartyA,298)))</f>
        <v/>
      </c>
      <c r="D322" s="12">
        <f>IF($B322="","","p")</f>
        <v/>
      </c>
      <c r="E322" s="14">
        <f>IF($B322="","",IF(298&gt;NPartyA,0,SUMIF(CalcDebit,INDEX(PkPartyA,298),CalcAmt)+SUMIF(CalcDebit2,INDEX(PkPartyA,298),CalcAmt2)+SUMIF(CalcDebit3,INDEX(PkPartyA,298),CalcAmt3)))</f>
        <v/>
      </c>
      <c r="F322" s="14">
        <f>IF($B322="","",IF(298&gt;NPartyA,0,SUMIF(CalcCredit,INDEX(PkPartyA,298),CalcAmt)+SUMIF(CalcCredit2,INDEX(PkPartyA,298),CalcAmt2)+SUMIF(CalcCredit3,INDEX(PkPartyA,298),CalcAmt3)))</f>
        <v/>
      </c>
      <c r="G322" s="15">
        <f>IF($B322="","",ROUND($E322-$F322,0))</f>
        <v/>
      </c>
      <c r="H322" s="12">
        <f>IF($B322="","",IF(ROUND($G322,0)&gt;0,"بدهکار",IF(ROUND($G322,0)&lt;0,"بستانکار","تسویه")))</f>
        <v/>
      </c>
    </row>
    <row r="323">
      <c r="A323" s="16">
        <f>IF($B323="","",314)</f>
        <v/>
      </c>
      <c r="B323" s="17">
        <f>IF(299&gt;NPartyA,"",IFERROR(IF(VLOOKUP(INDEX(PkPartyA,299),AcctTblA,4,0)="","(بدون نام)",VLOOKUP(INDEX(PkPartyA,299),AcctTblA,4,0)),"—"))</f>
        <v/>
      </c>
      <c r="C323" s="18">
        <f>IF($B323="","",IF(299&gt;NPartyA,"",INDEX(PkPartyA,299)))</f>
        <v/>
      </c>
      <c r="D323" s="17">
        <f>IF($B323="","","p")</f>
        <v/>
      </c>
      <c r="E323" s="19">
        <f>IF($B323="","",IF(299&gt;NPartyA,0,SUMIF(CalcDebit,INDEX(PkPartyA,299),CalcAmt)+SUMIF(CalcDebit2,INDEX(PkPartyA,299),CalcAmt2)+SUMIF(CalcDebit3,INDEX(PkPartyA,299),CalcAmt3)))</f>
        <v/>
      </c>
      <c r="F323" s="19">
        <f>IF($B323="","",IF(299&gt;NPartyA,0,SUMIF(CalcCredit,INDEX(PkPartyA,299),CalcAmt)+SUMIF(CalcCredit2,INDEX(PkPartyA,299),CalcAmt2)+SUMIF(CalcCredit3,INDEX(PkPartyA,299),CalcAmt3)))</f>
        <v/>
      </c>
      <c r="G323" s="20">
        <f>IF($B323="","",ROUND($E323-$F323,0))</f>
        <v/>
      </c>
      <c r="H323" s="17">
        <f>IF($B323="","",IF(ROUND($G323,0)&gt;0,"بدهکار",IF(ROUND($G323,0)&lt;0,"بستانکار","تسویه")))</f>
        <v/>
      </c>
    </row>
    <row r="324">
      <c r="A324" s="11">
        <f>IF($B324="","",315)</f>
        <v/>
      </c>
      <c r="B324" s="12">
        <f>IF(300&gt;NPartyA,"",IFERROR(IF(VLOOKUP(INDEX(PkPartyA,300),AcctTblA,4,0)="","(بدون نام)",VLOOKUP(INDEX(PkPartyA,300),AcctTblA,4,0)),"—"))</f>
        <v/>
      </c>
      <c r="C324" s="13">
        <f>IF($B324="","",IF(300&gt;NPartyA,"",INDEX(PkPartyA,300)))</f>
        <v/>
      </c>
      <c r="D324" s="12">
        <f>IF($B324="","","p")</f>
        <v/>
      </c>
      <c r="E324" s="14">
        <f>IF($B324="","",IF(300&gt;NPartyA,0,SUMIF(CalcDebit,INDEX(PkPartyA,300),CalcAmt)+SUMIF(CalcDebit2,INDEX(PkPartyA,300),CalcAmt2)+SUMIF(CalcDebit3,INDEX(PkPartyA,300),CalcAmt3)))</f>
        <v/>
      </c>
      <c r="F324" s="14">
        <f>IF($B324="","",IF(300&gt;NPartyA,0,SUMIF(CalcCredit,INDEX(PkPartyA,300),CalcAmt)+SUMIF(CalcCredit2,INDEX(PkPartyA,300),CalcAmt2)+SUMIF(CalcCredit3,INDEX(PkPartyA,300),CalcAmt3)))</f>
        <v/>
      </c>
      <c r="G324" s="15">
        <f>IF($B324="","",ROUND($E324-$F324,0))</f>
        <v/>
      </c>
      <c r="H324" s="12">
        <f>IF($B324="","",IF(ROUND($G324,0)&gt;0,"بدهکار",IF(ROUND($G324,0)&lt;0,"بستانکار","تسویه")))</f>
        <v/>
      </c>
    </row>
    <row r="325">
      <c r="A325" s="16">
        <f>IF($B325="","",316)</f>
        <v/>
      </c>
      <c r="B325" s="17">
        <f>IF(301&gt;NPartyA,"",IFERROR(IF(VLOOKUP(INDEX(PkPartyA,301),AcctTblA,4,0)="","(بدون نام)",VLOOKUP(INDEX(PkPartyA,301),AcctTblA,4,0)),"—"))</f>
        <v/>
      </c>
      <c r="C325" s="18">
        <f>IF($B325="","",IF(301&gt;NPartyA,"",INDEX(PkPartyA,301)))</f>
        <v/>
      </c>
      <c r="D325" s="17">
        <f>IF($B325="","","p")</f>
        <v/>
      </c>
      <c r="E325" s="19">
        <f>IF($B325="","",IF(301&gt;NPartyA,0,SUMIF(CalcDebit,INDEX(PkPartyA,301),CalcAmt)+SUMIF(CalcDebit2,INDEX(PkPartyA,301),CalcAmt2)+SUMIF(CalcDebit3,INDEX(PkPartyA,301),CalcAmt3)))</f>
        <v/>
      </c>
      <c r="F325" s="19">
        <f>IF($B325="","",IF(301&gt;NPartyA,0,SUMIF(CalcCredit,INDEX(PkPartyA,301),CalcAmt)+SUMIF(CalcCredit2,INDEX(PkPartyA,301),CalcAmt2)+SUMIF(CalcCredit3,INDEX(PkPartyA,301),CalcAmt3)))</f>
        <v/>
      </c>
      <c r="G325" s="20">
        <f>IF($B325="","",ROUND($E325-$F325,0))</f>
        <v/>
      </c>
      <c r="H325" s="17">
        <f>IF($B325="","",IF(ROUND($G325,0)&gt;0,"بدهکار",IF(ROUND($G325,0)&lt;0,"بستانکار","تسویه")))</f>
        <v/>
      </c>
    </row>
    <row r="326">
      <c r="A326" s="11">
        <f>IF($B326="","",317)</f>
        <v/>
      </c>
      <c r="B326" s="12">
        <f>IF(302&gt;NPartyA,"",IFERROR(IF(VLOOKUP(INDEX(PkPartyA,302),AcctTblA,4,0)="","(بدون نام)",VLOOKUP(INDEX(PkPartyA,302),AcctTblA,4,0)),"—"))</f>
        <v/>
      </c>
      <c r="C326" s="13">
        <f>IF($B326="","",IF(302&gt;NPartyA,"",INDEX(PkPartyA,302)))</f>
        <v/>
      </c>
      <c r="D326" s="12">
        <f>IF($B326="","","p")</f>
        <v/>
      </c>
      <c r="E326" s="14">
        <f>IF($B326="","",IF(302&gt;NPartyA,0,SUMIF(CalcDebit,INDEX(PkPartyA,302),CalcAmt)+SUMIF(CalcDebit2,INDEX(PkPartyA,302),CalcAmt2)+SUMIF(CalcDebit3,INDEX(PkPartyA,302),CalcAmt3)))</f>
        <v/>
      </c>
      <c r="F326" s="14">
        <f>IF($B326="","",IF(302&gt;NPartyA,0,SUMIF(CalcCredit,INDEX(PkPartyA,302),CalcAmt)+SUMIF(CalcCredit2,INDEX(PkPartyA,302),CalcAmt2)+SUMIF(CalcCredit3,INDEX(PkPartyA,302),CalcAmt3)))</f>
        <v/>
      </c>
      <c r="G326" s="15">
        <f>IF($B326="","",ROUND($E326-$F326,0))</f>
        <v/>
      </c>
      <c r="H326" s="12">
        <f>IF($B326="","",IF(ROUND($G326,0)&gt;0,"بدهکار",IF(ROUND($G326,0)&lt;0,"بستانکار","تسویه")))</f>
        <v/>
      </c>
    </row>
    <row r="327">
      <c r="A327" s="16">
        <f>IF($B327="","",318)</f>
        <v/>
      </c>
      <c r="B327" s="17">
        <f>IF(303&gt;NPartyA,"",IFERROR(IF(VLOOKUP(INDEX(PkPartyA,303),AcctTblA,4,0)="","(بدون نام)",VLOOKUP(INDEX(PkPartyA,303),AcctTblA,4,0)),"—"))</f>
        <v/>
      </c>
      <c r="C327" s="18">
        <f>IF($B327="","",IF(303&gt;NPartyA,"",INDEX(PkPartyA,303)))</f>
        <v/>
      </c>
      <c r="D327" s="17">
        <f>IF($B327="","","p")</f>
        <v/>
      </c>
      <c r="E327" s="19">
        <f>IF($B327="","",IF(303&gt;NPartyA,0,SUMIF(CalcDebit,INDEX(PkPartyA,303),CalcAmt)+SUMIF(CalcDebit2,INDEX(PkPartyA,303),CalcAmt2)+SUMIF(CalcDebit3,INDEX(PkPartyA,303),CalcAmt3)))</f>
        <v/>
      </c>
      <c r="F327" s="19">
        <f>IF($B327="","",IF(303&gt;NPartyA,0,SUMIF(CalcCredit,INDEX(PkPartyA,303),CalcAmt)+SUMIF(CalcCredit2,INDEX(PkPartyA,303),CalcAmt2)+SUMIF(CalcCredit3,INDEX(PkPartyA,303),CalcAmt3)))</f>
        <v/>
      </c>
      <c r="G327" s="20">
        <f>IF($B327="","",ROUND($E327-$F327,0))</f>
        <v/>
      </c>
      <c r="H327" s="17">
        <f>IF($B327="","",IF(ROUND($G327,0)&gt;0,"بدهکار",IF(ROUND($G327,0)&lt;0,"بستانکار","تسویه")))</f>
        <v/>
      </c>
    </row>
    <row r="328">
      <c r="A328" s="11">
        <f>IF($B328="","",319)</f>
        <v/>
      </c>
      <c r="B328" s="12">
        <f>IF(304&gt;NPartyA,"",IFERROR(IF(VLOOKUP(INDEX(PkPartyA,304),AcctTblA,4,0)="","(بدون نام)",VLOOKUP(INDEX(PkPartyA,304),AcctTblA,4,0)),"—"))</f>
        <v/>
      </c>
      <c r="C328" s="13">
        <f>IF($B328="","",IF(304&gt;NPartyA,"",INDEX(PkPartyA,304)))</f>
        <v/>
      </c>
      <c r="D328" s="12">
        <f>IF($B328="","","p")</f>
        <v/>
      </c>
      <c r="E328" s="14">
        <f>IF($B328="","",IF(304&gt;NPartyA,0,SUMIF(CalcDebit,INDEX(PkPartyA,304),CalcAmt)+SUMIF(CalcDebit2,INDEX(PkPartyA,304),CalcAmt2)+SUMIF(CalcDebit3,INDEX(PkPartyA,304),CalcAmt3)))</f>
        <v/>
      </c>
      <c r="F328" s="14">
        <f>IF($B328="","",IF(304&gt;NPartyA,0,SUMIF(CalcCredit,INDEX(PkPartyA,304),CalcAmt)+SUMIF(CalcCredit2,INDEX(PkPartyA,304),CalcAmt2)+SUMIF(CalcCredit3,INDEX(PkPartyA,304),CalcAmt3)))</f>
        <v/>
      </c>
      <c r="G328" s="15">
        <f>IF($B328="","",ROUND($E328-$F328,0))</f>
        <v/>
      </c>
      <c r="H328" s="12">
        <f>IF($B328="","",IF(ROUND($G328,0)&gt;0,"بدهکار",IF(ROUND($G328,0)&lt;0,"بستانکار","تسویه")))</f>
        <v/>
      </c>
    </row>
    <row r="329">
      <c r="A329" s="16">
        <f>IF($B329="","",320)</f>
        <v/>
      </c>
      <c r="B329" s="17">
        <f>IF(305&gt;NPartyA,"",IFERROR(IF(VLOOKUP(INDEX(PkPartyA,305),AcctTblA,4,0)="","(بدون نام)",VLOOKUP(INDEX(PkPartyA,305),AcctTblA,4,0)),"—"))</f>
        <v/>
      </c>
      <c r="C329" s="18">
        <f>IF($B329="","",IF(305&gt;NPartyA,"",INDEX(PkPartyA,305)))</f>
        <v/>
      </c>
      <c r="D329" s="17">
        <f>IF($B329="","","p")</f>
        <v/>
      </c>
      <c r="E329" s="19">
        <f>IF($B329="","",IF(305&gt;NPartyA,0,SUMIF(CalcDebit,INDEX(PkPartyA,305),CalcAmt)+SUMIF(CalcDebit2,INDEX(PkPartyA,305),CalcAmt2)+SUMIF(CalcDebit3,INDEX(PkPartyA,305),CalcAmt3)))</f>
        <v/>
      </c>
      <c r="F329" s="19">
        <f>IF($B329="","",IF(305&gt;NPartyA,0,SUMIF(CalcCredit,INDEX(PkPartyA,305),CalcAmt)+SUMIF(CalcCredit2,INDEX(PkPartyA,305),CalcAmt2)+SUMIF(CalcCredit3,INDEX(PkPartyA,305),CalcAmt3)))</f>
        <v/>
      </c>
      <c r="G329" s="20">
        <f>IF($B329="","",ROUND($E329-$F329,0))</f>
        <v/>
      </c>
      <c r="H329" s="17">
        <f>IF($B329="","",IF(ROUND($G329,0)&gt;0,"بدهکار",IF(ROUND($G329,0)&lt;0,"بستانکار","تسویه")))</f>
        <v/>
      </c>
    </row>
    <row r="330">
      <c r="A330" s="11">
        <f>IF($B330="","",321)</f>
        <v/>
      </c>
      <c r="B330" s="12">
        <f>IF(306&gt;NPartyA,"",IFERROR(IF(VLOOKUP(INDEX(PkPartyA,306),AcctTblA,4,0)="","(بدون نام)",VLOOKUP(INDEX(PkPartyA,306),AcctTblA,4,0)),"—"))</f>
        <v/>
      </c>
      <c r="C330" s="13">
        <f>IF($B330="","",IF(306&gt;NPartyA,"",INDEX(PkPartyA,306)))</f>
        <v/>
      </c>
      <c r="D330" s="12">
        <f>IF($B330="","","p")</f>
        <v/>
      </c>
      <c r="E330" s="14">
        <f>IF($B330="","",IF(306&gt;NPartyA,0,SUMIF(CalcDebit,INDEX(PkPartyA,306),CalcAmt)+SUMIF(CalcDebit2,INDEX(PkPartyA,306),CalcAmt2)+SUMIF(CalcDebit3,INDEX(PkPartyA,306),CalcAmt3)))</f>
        <v/>
      </c>
      <c r="F330" s="14">
        <f>IF($B330="","",IF(306&gt;NPartyA,0,SUMIF(CalcCredit,INDEX(PkPartyA,306),CalcAmt)+SUMIF(CalcCredit2,INDEX(PkPartyA,306),CalcAmt2)+SUMIF(CalcCredit3,INDEX(PkPartyA,306),CalcAmt3)))</f>
        <v/>
      </c>
      <c r="G330" s="15">
        <f>IF($B330="","",ROUND($E330-$F330,0))</f>
        <v/>
      </c>
      <c r="H330" s="12">
        <f>IF($B330="","",IF(ROUND($G330,0)&gt;0,"بدهکار",IF(ROUND($G330,0)&lt;0,"بستانکار","تسویه")))</f>
        <v/>
      </c>
    </row>
    <row r="331">
      <c r="A331" s="16">
        <f>IF($B331="","",322)</f>
        <v/>
      </c>
      <c r="B331" s="17">
        <f>IF(307&gt;NPartyA,"",IFERROR(IF(VLOOKUP(INDEX(PkPartyA,307),AcctTblA,4,0)="","(بدون نام)",VLOOKUP(INDEX(PkPartyA,307),AcctTblA,4,0)),"—"))</f>
        <v/>
      </c>
      <c r="C331" s="18">
        <f>IF($B331="","",IF(307&gt;NPartyA,"",INDEX(PkPartyA,307)))</f>
        <v/>
      </c>
      <c r="D331" s="17">
        <f>IF($B331="","","p")</f>
        <v/>
      </c>
      <c r="E331" s="19">
        <f>IF($B331="","",IF(307&gt;NPartyA,0,SUMIF(CalcDebit,INDEX(PkPartyA,307),CalcAmt)+SUMIF(CalcDebit2,INDEX(PkPartyA,307),CalcAmt2)+SUMIF(CalcDebit3,INDEX(PkPartyA,307),CalcAmt3)))</f>
        <v/>
      </c>
      <c r="F331" s="19">
        <f>IF($B331="","",IF(307&gt;NPartyA,0,SUMIF(CalcCredit,INDEX(PkPartyA,307),CalcAmt)+SUMIF(CalcCredit2,INDEX(PkPartyA,307),CalcAmt2)+SUMIF(CalcCredit3,INDEX(PkPartyA,307),CalcAmt3)))</f>
        <v/>
      </c>
      <c r="G331" s="20">
        <f>IF($B331="","",ROUND($E331-$F331,0))</f>
        <v/>
      </c>
      <c r="H331" s="17">
        <f>IF($B331="","",IF(ROUND($G331,0)&gt;0,"بدهکار",IF(ROUND($G331,0)&lt;0,"بستانکار","تسویه")))</f>
        <v/>
      </c>
    </row>
    <row r="332">
      <c r="A332" s="11">
        <f>IF($B332="","",323)</f>
        <v/>
      </c>
      <c r="B332" s="12">
        <f>IF(308&gt;NPartyA,"",IFERROR(IF(VLOOKUP(INDEX(PkPartyA,308),AcctTblA,4,0)="","(بدون نام)",VLOOKUP(INDEX(PkPartyA,308),AcctTblA,4,0)),"—"))</f>
        <v/>
      </c>
      <c r="C332" s="13">
        <f>IF($B332="","",IF(308&gt;NPartyA,"",INDEX(PkPartyA,308)))</f>
        <v/>
      </c>
      <c r="D332" s="12">
        <f>IF($B332="","","p")</f>
        <v/>
      </c>
      <c r="E332" s="14">
        <f>IF($B332="","",IF(308&gt;NPartyA,0,SUMIF(CalcDebit,INDEX(PkPartyA,308),CalcAmt)+SUMIF(CalcDebit2,INDEX(PkPartyA,308),CalcAmt2)+SUMIF(CalcDebit3,INDEX(PkPartyA,308),CalcAmt3)))</f>
        <v/>
      </c>
      <c r="F332" s="14">
        <f>IF($B332="","",IF(308&gt;NPartyA,0,SUMIF(CalcCredit,INDEX(PkPartyA,308),CalcAmt)+SUMIF(CalcCredit2,INDEX(PkPartyA,308),CalcAmt2)+SUMIF(CalcCredit3,INDEX(PkPartyA,308),CalcAmt3)))</f>
        <v/>
      </c>
      <c r="G332" s="15">
        <f>IF($B332="","",ROUND($E332-$F332,0))</f>
        <v/>
      </c>
      <c r="H332" s="12">
        <f>IF($B332="","",IF(ROUND($G332,0)&gt;0,"بدهکار",IF(ROUND($G332,0)&lt;0,"بستانکار","تسویه")))</f>
        <v/>
      </c>
    </row>
    <row r="333">
      <c r="A333" s="16">
        <f>IF($B333="","",324)</f>
        <v/>
      </c>
      <c r="B333" s="17">
        <f>IF(309&gt;NPartyA,"",IFERROR(IF(VLOOKUP(INDEX(PkPartyA,309),AcctTblA,4,0)="","(بدون نام)",VLOOKUP(INDEX(PkPartyA,309),AcctTblA,4,0)),"—"))</f>
        <v/>
      </c>
      <c r="C333" s="18">
        <f>IF($B333="","",IF(309&gt;NPartyA,"",INDEX(PkPartyA,309)))</f>
        <v/>
      </c>
      <c r="D333" s="17">
        <f>IF($B333="","","p")</f>
        <v/>
      </c>
      <c r="E333" s="19">
        <f>IF($B333="","",IF(309&gt;NPartyA,0,SUMIF(CalcDebit,INDEX(PkPartyA,309),CalcAmt)+SUMIF(CalcDebit2,INDEX(PkPartyA,309),CalcAmt2)+SUMIF(CalcDebit3,INDEX(PkPartyA,309),CalcAmt3)))</f>
        <v/>
      </c>
      <c r="F333" s="19">
        <f>IF($B333="","",IF(309&gt;NPartyA,0,SUMIF(CalcCredit,INDEX(PkPartyA,309),CalcAmt)+SUMIF(CalcCredit2,INDEX(PkPartyA,309),CalcAmt2)+SUMIF(CalcCredit3,INDEX(PkPartyA,309),CalcAmt3)))</f>
        <v/>
      </c>
      <c r="G333" s="20">
        <f>IF($B333="","",ROUND($E333-$F333,0))</f>
        <v/>
      </c>
      <c r="H333" s="17">
        <f>IF($B333="","",IF(ROUND($G333,0)&gt;0,"بدهکار",IF(ROUND($G333,0)&lt;0,"بستانکار","تسویه")))</f>
        <v/>
      </c>
    </row>
    <row r="334">
      <c r="A334" s="11">
        <f>IF($B334="","",325)</f>
        <v/>
      </c>
      <c r="B334" s="12">
        <f>IF(310&gt;NPartyA,"",IFERROR(IF(VLOOKUP(INDEX(PkPartyA,310),AcctTblA,4,0)="","(بدون نام)",VLOOKUP(INDEX(PkPartyA,310),AcctTblA,4,0)),"—"))</f>
        <v/>
      </c>
      <c r="C334" s="13">
        <f>IF($B334="","",IF(310&gt;NPartyA,"",INDEX(PkPartyA,310)))</f>
        <v/>
      </c>
      <c r="D334" s="12">
        <f>IF($B334="","","p")</f>
        <v/>
      </c>
      <c r="E334" s="14">
        <f>IF($B334="","",IF(310&gt;NPartyA,0,SUMIF(CalcDebit,INDEX(PkPartyA,310),CalcAmt)+SUMIF(CalcDebit2,INDEX(PkPartyA,310),CalcAmt2)+SUMIF(CalcDebit3,INDEX(PkPartyA,310),CalcAmt3)))</f>
        <v/>
      </c>
      <c r="F334" s="14">
        <f>IF($B334="","",IF(310&gt;NPartyA,0,SUMIF(CalcCredit,INDEX(PkPartyA,310),CalcAmt)+SUMIF(CalcCredit2,INDEX(PkPartyA,310),CalcAmt2)+SUMIF(CalcCredit3,INDEX(PkPartyA,310),CalcAmt3)))</f>
        <v/>
      </c>
      <c r="G334" s="15">
        <f>IF($B334="","",ROUND($E334-$F334,0))</f>
        <v/>
      </c>
      <c r="H334" s="12">
        <f>IF($B334="","",IF(ROUND($G334,0)&gt;0,"بدهکار",IF(ROUND($G334,0)&lt;0,"بستانکار","تسویه")))</f>
        <v/>
      </c>
    </row>
    <row r="335">
      <c r="A335" s="16">
        <f>IF($B335="","",326)</f>
        <v/>
      </c>
      <c r="B335" s="17">
        <f>IF(311&gt;NPartyA,"",IFERROR(IF(VLOOKUP(INDEX(PkPartyA,311),AcctTblA,4,0)="","(بدون نام)",VLOOKUP(INDEX(PkPartyA,311),AcctTblA,4,0)),"—"))</f>
        <v/>
      </c>
      <c r="C335" s="18">
        <f>IF($B335="","",IF(311&gt;NPartyA,"",INDEX(PkPartyA,311)))</f>
        <v/>
      </c>
      <c r="D335" s="17">
        <f>IF($B335="","","p")</f>
        <v/>
      </c>
      <c r="E335" s="19">
        <f>IF($B335="","",IF(311&gt;NPartyA,0,SUMIF(CalcDebit,INDEX(PkPartyA,311),CalcAmt)+SUMIF(CalcDebit2,INDEX(PkPartyA,311),CalcAmt2)+SUMIF(CalcDebit3,INDEX(PkPartyA,311),CalcAmt3)))</f>
        <v/>
      </c>
      <c r="F335" s="19">
        <f>IF($B335="","",IF(311&gt;NPartyA,0,SUMIF(CalcCredit,INDEX(PkPartyA,311),CalcAmt)+SUMIF(CalcCredit2,INDEX(PkPartyA,311),CalcAmt2)+SUMIF(CalcCredit3,INDEX(PkPartyA,311),CalcAmt3)))</f>
        <v/>
      </c>
      <c r="G335" s="20">
        <f>IF($B335="","",ROUND($E335-$F335,0))</f>
        <v/>
      </c>
      <c r="H335" s="17">
        <f>IF($B335="","",IF(ROUND($G335,0)&gt;0,"بدهکار",IF(ROUND($G335,0)&lt;0,"بستانکار","تسویه")))</f>
        <v/>
      </c>
    </row>
    <row r="336">
      <c r="A336" s="11">
        <f>IF($B336="","",327)</f>
        <v/>
      </c>
      <c r="B336" s="12">
        <f>IF(312&gt;NPartyA,"",IFERROR(IF(VLOOKUP(INDEX(PkPartyA,312),AcctTblA,4,0)="","(بدون نام)",VLOOKUP(INDEX(PkPartyA,312),AcctTblA,4,0)),"—"))</f>
        <v/>
      </c>
      <c r="C336" s="13">
        <f>IF($B336="","",IF(312&gt;NPartyA,"",INDEX(PkPartyA,312)))</f>
        <v/>
      </c>
      <c r="D336" s="12">
        <f>IF($B336="","","p")</f>
        <v/>
      </c>
      <c r="E336" s="14">
        <f>IF($B336="","",IF(312&gt;NPartyA,0,SUMIF(CalcDebit,INDEX(PkPartyA,312),CalcAmt)+SUMIF(CalcDebit2,INDEX(PkPartyA,312),CalcAmt2)+SUMIF(CalcDebit3,INDEX(PkPartyA,312),CalcAmt3)))</f>
        <v/>
      </c>
      <c r="F336" s="14">
        <f>IF($B336="","",IF(312&gt;NPartyA,0,SUMIF(CalcCredit,INDEX(PkPartyA,312),CalcAmt)+SUMIF(CalcCredit2,INDEX(PkPartyA,312),CalcAmt2)+SUMIF(CalcCredit3,INDEX(PkPartyA,312),CalcAmt3)))</f>
        <v/>
      </c>
      <c r="G336" s="15">
        <f>IF($B336="","",ROUND($E336-$F336,0))</f>
        <v/>
      </c>
      <c r="H336" s="12">
        <f>IF($B336="","",IF(ROUND($G336,0)&gt;0,"بدهکار",IF(ROUND($G336,0)&lt;0,"بستانکار","تسویه")))</f>
        <v/>
      </c>
    </row>
    <row r="337">
      <c r="A337" s="16">
        <f>IF($B337="","",328)</f>
        <v/>
      </c>
      <c r="B337" s="17">
        <f>IF(313&gt;NPartyA,"",IFERROR(IF(VLOOKUP(INDEX(PkPartyA,313),AcctTblA,4,0)="","(بدون نام)",VLOOKUP(INDEX(PkPartyA,313),AcctTblA,4,0)),"—"))</f>
        <v/>
      </c>
      <c r="C337" s="18">
        <f>IF($B337="","",IF(313&gt;NPartyA,"",INDEX(PkPartyA,313)))</f>
        <v/>
      </c>
      <c r="D337" s="17">
        <f>IF($B337="","","p")</f>
        <v/>
      </c>
      <c r="E337" s="19">
        <f>IF($B337="","",IF(313&gt;NPartyA,0,SUMIF(CalcDebit,INDEX(PkPartyA,313),CalcAmt)+SUMIF(CalcDebit2,INDEX(PkPartyA,313),CalcAmt2)+SUMIF(CalcDebit3,INDEX(PkPartyA,313),CalcAmt3)))</f>
        <v/>
      </c>
      <c r="F337" s="19">
        <f>IF($B337="","",IF(313&gt;NPartyA,0,SUMIF(CalcCredit,INDEX(PkPartyA,313),CalcAmt)+SUMIF(CalcCredit2,INDEX(PkPartyA,313),CalcAmt2)+SUMIF(CalcCredit3,INDEX(PkPartyA,313),CalcAmt3)))</f>
        <v/>
      </c>
      <c r="G337" s="20">
        <f>IF($B337="","",ROUND($E337-$F337,0))</f>
        <v/>
      </c>
      <c r="H337" s="17">
        <f>IF($B337="","",IF(ROUND($G337,0)&gt;0,"بدهکار",IF(ROUND($G337,0)&lt;0,"بستانکار","تسویه")))</f>
        <v/>
      </c>
    </row>
    <row r="338">
      <c r="A338" s="11">
        <f>IF($B338="","",329)</f>
        <v/>
      </c>
      <c r="B338" s="12">
        <f>IF(314&gt;NPartyA,"",IFERROR(IF(VLOOKUP(INDEX(PkPartyA,314),AcctTblA,4,0)="","(بدون نام)",VLOOKUP(INDEX(PkPartyA,314),AcctTblA,4,0)),"—"))</f>
        <v/>
      </c>
      <c r="C338" s="13">
        <f>IF($B338="","",IF(314&gt;NPartyA,"",INDEX(PkPartyA,314)))</f>
        <v/>
      </c>
      <c r="D338" s="12">
        <f>IF($B338="","","p")</f>
        <v/>
      </c>
      <c r="E338" s="14">
        <f>IF($B338="","",IF(314&gt;NPartyA,0,SUMIF(CalcDebit,INDEX(PkPartyA,314),CalcAmt)+SUMIF(CalcDebit2,INDEX(PkPartyA,314),CalcAmt2)+SUMIF(CalcDebit3,INDEX(PkPartyA,314),CalcAmt3)))</f>
        <v/>
      </c>
      <c r="F338" s="14">
        <f>IF($B338="","",IF(314&gt;NPartyA,0,SUMIF(CalcCredit,INDEX(PkPartyA,314),CalcAmt)+SUMIF(CalcCredit2,INDEX(PkPartyA,314),CalcAmt2)+SUMIF(CalcCredit3,INDEX(PkPartyA,314),CalcAmt3)))</f>
        <v/>
      </c>
      <c r="G338" s="15">
        <f>IF($B338="","",ROUND($E338-$F338,0))</f>
        <v/>
      </c>
      <c r="H338" s="12">
        <f>IF($B338="","",IF(ROUND($G338,0)&gt;0,"بدهکار",IF(ROUND($G338,0)&lt;0,"بستانکار","تسویه")))</f>
        <v/>
      </c>
    </row>
    <row r="339">
      <c r="A339" s="16">
        <f>IF($B339="","",330)</f>
        <v/>
      </c>
      <c r="B339" s="17">
        <f>IF(315&gt;NPartyA,"",IFERROR(IF(VLOOKUP(INDEX(PkPartyA,315),AcctTblA,4,0)="","(بدون نام)",VLOOKUP(INDEX(PkPartyA,315),AcctTblA,4,0)),"—"))</f>
        <v/>
      </c>
      <c r="C339" s="18">
        <f>IF($B339="","",IF(315&gt;NPartyA,"",INDEX(PkPartyA,315)))</f>
        <v/>
      </c>
      <c r="D339" s="17">
        <f>IF($B339="","","p")</f>
        <v/>
      </c>
      <c r="E339" s="19">
        <f>IF($B339="","",IF(315&gt;NPartyA,0,SUMIF(CalcDebit,INDEX(PkPartyA,315),CalcAmt)+SUMIF(CalcDebit2,INDEX(PkPartyA,315),CalcAmt2)+SUMIF(CalcDebit3,INDEX(PkPartyA,315),CalcAmt3)))</f>
        <v/>
      </c>
      <c r="F339" s="19">
        <f>IF($B339="","",IF(315&gt;NPartyA,0,SUMIF(CalcCredit,INDEX(PkPartyA,315),CalcAmt)+SUMIF(CalcCredit2,INDEX(PkPartyA,315),CalcAmt2)+SUMIF(CalcCredit3,INDEX(PkPartyA,315),CalcAmt3)))</f>
        <v/>
      </c>
      <c r="G339" s="20">
        <f>IF($B339="","",ROUND($E339-$F339,0))</f>
        <v/>
      </c>
      <c r="H339" s="17">
        <f>IF($B339="","",IF(ROUND($G339,0)&gt;0,"بدهکار",IF(ROUND($G339,0)&lt;0,"بستانکار","تسویه")))</f>
        <v/>
      </c>
    </row>
    <row r="340">
      <c r="A340" s="11">
        <f>IF($B340="","",331)</f>
        <v/>
      </c>
      <c r="B340" s="12">
        <f>IF(316&gt;NPartyA,"",IFERROR(IF(VLOOKUP(INDEX(PkPartyA,316),AcctTblA,4,0)="","(بدون نام)",VLOOKUP(INDEX(PkPartyA,316),AcctTblA,4,0)),"—"))</f>
        <v/>
      </c>
      <c r="C340" s="13">
        <f>IF($B340="","",IF(316&gt;NPartyA,"",INDEX(PkPartyA,316)))</f>
        <v/>
      </c>
      <c r="D340" s="12">
        <f>IF($B340="","","p")</f>
        <v/>
      </c>
      <c r="E340" s="14">
        <f>IF($B340="","",IF(316&gt;NPartyA,0,SUMIF(CalcDebit,INDEX(PkPartyA,316),CalcAmt)+SUMIF(CalcDebit2,INDEX(PkPartyA,316),CalcAmt2)+SUMIF(CalcDebit3,INDEX(PkPartyA,316),CalcAmt3)))</f>
        <v/>
      </c>
      <c r="F340" s="14">
        <f>IF($B340="","",IF(316&gt;NPartyA,0,SUMIF(CalcCredit,INDEX(PkPartyA,316),CalcAmt)+SUMIF(CalcCredit2,INDEX(PkPartyA,316),CalcAmt2)+SUMIF(CalcCredit3,INDEX(PkPartyA,316),CalcAmt3)))</f>
        <v/>
      </c>
      <c r="G340" s="15">
        <f>IF($B340="","",ROUND($E340-$F340,0))</f>
        <v/>
      </c>
      <c r="H340" s="12">
        <f>IF($B340="","",IF(ROUND($G340,0)&gt;0,"بدهکار",IF(ROUND($G340,0)&lt;0,"بستانکار","تسویه")))</f>
        <v/>
      </c>
    </row>
    <row r="341">
      <c r="A341" s="16">
        <f>IF($B341="","",332)</f>
        <v/>
      </c>
      <c r="B341" s="17">
        <f>IF(317&gt;NPartyA,"",IFERROR(IF(VLOOKUP(INDEX(PkPartyA,317),AcctTblA,4,0)="","(بدون نام)",VLOOKUP(INDEX(PkPartyA,317),AcctTblA,4,0)),"—"))</f>
        <v/>
      </c>
      <c r="C341" s="18">
        <f>IF($B341="","",IF(317&gt;NPartyA,"",INDEX(PkPartyA,317)))</f>
        <v/>
      </c>
      <c r="D341" s="17">
        <f>IF($B341="","","p")</f>
        <v/>
      </c>
      <c r="E341" s="19">
        <f>IF($B341="","",IF(317&gt;NPartyA,0,SUMIF(CalcDebit,INDEX(PkPartyA,317),CalcAmt)+SUMIF(CalcDebit2,INDEX(PkPartyA,317),CalcAmt2)+SUMIF(CalcDebit3,INDEX(PkPartyA,317),CalcAmt3)))</f>
        <v/>
      </c>
      <c r="F341" s="19">
        <f>IF($B341="","",IF(317&gt;NPartyA,0,SUMIF(CalcCredit,INDEX(PkPartyA,317),CalcAmt)+SUMIF(CalcCredit2,INDEX(PkPartyA,317),CalcAmt2)+SUMIF(CalcCredit3,INDEX(PkPartyA,317),CalcAmt3)))</f>
        <v/>
      </c>
      <c r="G341" s="20">
        <f>IF($B341="","",ROUND($E341-$F341,0))</f>
        <v/>
      </c>
      <c r="H341" s="17">
        <f>IF($B341="","",IF(ROUND($G341,0)&gt;0,"بدهکار",IF(ROUND($G341,0)&lt;0,"بستانکار","تسویه")))</f>
        <v/>
      </c>
    </row>
    <row r="342">
      <c r="A342" s="11">
        <f>IF($B342="","",333)</f>
        <v/>
      </c>
      <c r="B342" s="12">
        <f>IF(318&gt;NPartyA,"",IFERROR(IF(VLOOKUP(INDEX(PkPartyA,318),AcctTblA,4,0)="","(بدون نام)",VLOOKUP(INDEX(PkPartyA,318),AcctTblA,4,0)),"—"))</f>
        <v/>
      </c>
      <c r="C342" s="13">
        <f>IF($B342="","",IF(318&gt;NPartyA,"",INDEX(PkPartyA,318)))</f>
        <v/>
      </c>
      <c r="D342" s="12">
        <f>IF($B342="","","p")</f>
        <v/>
      </c>
      <c r="E342" s="14">
        <f>IF($B342="","",IF(318&gt;NPartyA,0,SUMIF(CalcDebit,INDEX(PkPartyA,318),CalcAmt)+SUMIF(CalcDebit2,INDEX(PkPartyA,318),CalcAmt2)+SUMIF(CalcDebit3,INDEX(PkPartyA,318),CalcAmt3)))</f>
        <v/>
      </c>
      <c r="F342" s="14">
        <f>IF($B342="","",IF(318&gt;NPartyA,0,SUMIF(CalcCredit,INDEX(PkPartyA,318),CalcAmt)+SUMIF(CalcCredit2,INDEX(PkPartyA,318),CalcAmt2)+SUMIF(CalcCredit3,INDEX(PkPartyA,318),CalcAmt3)))</f>
        <v/>
      </c>
      <c r="G342" s="15">
        <f>IF($B342="","",ROUND($E342-$F342,0))</f>
        <v/>
      </c>
      <c r="H342" s="12">
        <f>IF($B342="","",IF(ROUND($G342,0)&gt;0,"بدهکار",IF(ROUND($G342,0)&lt;0,"بستانکار","تسویه")))</f>
        <v/>
      </c>
    </row>
    <row r="343">
      <c r="A343" s="16">
        <f>IF($B343="","",334)</f>
        <v/>
      </c>
      <c r="B343" s="17">
        <f>IF(319&gt;NPartyA,"",IFERROR(IF(VLOOKUP(INDEX(PkPartyA,319),AcctTblA,4,0)="","(بدون نام)",VLOOKUP(INDEX(PkPartyA,319),AcctTblA,4,0)),"—"))</f>
        <v/>
      </c>
      <c r="C343" s="18">
        <f>IF($B343="","",IF(319&gt;NPartyA,"",INDEX(PkPartyA,319)))</f>
        <v/>
      </c>
      <c r="D343" s="17">
        <f>IF($B343="","","p")</f>
        <v/>
      </c>
      <c r="E343" s="19">
        <f>IF($B343="","",IF(319&gt;NPartyA,0,SUMIF(CalcDebit,INDEX(PkPartyA,319),CalcAmt)+SUMIF(CalcDebit2,INDEX(PkPartyA,319),CalcAmt2)+SUMIF(CalcDebit3,INDEX(PkPartyA,319),CalcAmt3)))</f>
        <v/>
      </c>
      <c r="F343" s="19">
        <f>IF($B343="","",IF(319&gt;NPartyA,0,SUMIF(CalcCredit,INDEX(PkPartyA,319),CalcAmt)+SUMIF(CalcCredit2,INDEX(PkPartyA,319),CalcAmt2)+SUMIF(CalcCredit3,INDEX(PkPartyA,319),CalcAmt3)))</f>
        <v/>
      </c>
      <c r="G343" s="20">
        <f>IF($B343="","",ROUND($E343-$F343,0))</f>
        <v/>
      </c>
      <c r="H343" s="17">
        <f>IF($B343="","",IF(ROUND($G343,0)&gt;0,"بدهکار",IF(ROUND($G343,0)&lt;0,"بستانکار","تسویه")))</f>
        <v/>
      </c>
    </row>
    <row r="344">
      <c r="A344" s="11">
        <f>IF($B344="","",335)</f>
        <v/>
      </c>
      <c r="B344" s="12">
        <f>IF(320&gt;NPartyA,"",IFERROR(IF(VLOOKUP(INDEX(PkPartyA,320),AcctTblA,4,0)="","(بدون نام)",VLOOKUP(INDEX(PkPartyA,320),AcctTblA,4,0)),"—"))</f>
        <v/>
      </c>
      <c r="C344" s="13">
        <f>IF($B344="","",IF(320&gt;NPartyA,"",INDEX(PkPartyA,320)))</f>
        <v/>
      </c>
      <c r="D344" s="12">
        <f>IF($B344="","","p")</f>
        <v/>
      </c>
      <c r="E344" s="14">
        <f>IF($B344="","",IF(320&gt;NPartyA,0,SUMIF(CalcDebit,INDEX(PkPartyA,320),CalcAmt)+SUMIF(CalcDebit2,INDEX(PkPartyA,320),CalcAmt2)+SUMIF(CalcDebit3,INDEX(PkPartyA,320),CalcAmt3)))</f>
        <v/>
      </c>
      <c r="F344" s="14">
        <f>IF($B344="","",IF(320&gt;NPartyA,0,SUMIF(CalcCredit,INDEX(PkPartyA,320),CalcAmt)+SUMIF(CalcCredit2,INDEX(PkPartyA,320),CalcAmt2)+SUMIF(CalcCredit3,INDEX(PkPartyA,320),CalcAmt3)))</f>
        <v/>
      </c>
      <c r="G344" s="15">
        <f>IF($B344="","",ROUND($E344-$F344,0))</f>
        <v/>
      </c>
      <c r="H344" s="12">
        <f>IF($B344="","",IF(ROUND($G344,0)&gt;0,"بدهکار",IF(ROUND($G344,0)&lt;0,"بستانکار","تسویه")))</f>
        <v/>
      </c>
    </row>
    <row r="345">
      <c r="A345" s="16">
        <f>IF($B345="","",336)</f>
        <v/>
      </c>
      <c r="B345" s="17">
        <f>IF(321&gt;NPartyA,"",IFERROR(IF(VLOOKUP(INDEX(PkPartyA,321),AcctTblA,4,0)="","(بدون نام)",VLOOKUP(INDEX(PkPartyA,321),AcctTblA,4,0)),"—"))</f>
        <v/>
      </c>
      <c r="C345" s="18">
        <f>IF($B345="","",IF(321&gt;NPartyA,"",INDEX(PkPartyA,321)))</f>
        <v/>
      </c>
      <c r="D345" s="17">
        <f>IF($B345="","","p")</f>
        <v/>
      </c>
      <c r="E345" s="19">
        <f>IF($B345="","",IF(321&gt;NPartyA,0,SUMIF(CalcDebit,INDEX(PkPartyA,321),CalcAmt)+SUMIF(CalcDebit2,INDEX(PkPartyA,321),CalcAmt2)+SUMIF(CalcDebit3,INDEX(PkPartyA,321),CalcAmt3)))</f>
        <v/>
      </c>
      <c r="F345" s="19">
        <f>IF($B345="","",IF(321&gt;NPartyA,0,SUMIF(CalcCredit,INDEX(PkPartyA,321),CalcAmt)+SUMIF(CalcCredit2,INDEX(PkPartyA,321),CalcAmt2)+SUMIF(CalcCredit3,INDEX(PkPartyA,321),CalcAmt3)))</f>
        <v/>
      </c>
      <c r="G345" s="20">
        <f>IF($B345="","",ROUND($E345-$F345,0))</f>
        <v/>
      </c>
      <c r="H345" s="17">
        <f>IF($B345="","",IF(ROUND($G345,0)&gt;0,"بدهکار",IF(ROUND($G345,0)&lt;0,"بستانکار","تسویه")))</f>
        <v/>
      </c>
    </row>
    <row r="346">
      <c r="A346" s="11">
        <f>IF($B346="","",337)</f>
        <v/>
      </c>
      <c r="B346" s="12">
        <f>IF(322&gt;NPartyA,"",IFERROR(IF(VLOOKUP(INDEX(PkPartyA,322),AcctTblA,4,0)="","(بدون نام)",VLOOKUP(INDEX(PkPartyA,322),AcctTblA,4,0)),"—"))</f>
        <v/>
      </c>
      <c r="C346" s="13">
        <f>IF($B346="","",IF(322&gt;NPartyA,"",INDEX(PkPartyA,322)))</f>
        <v/>
      </c>
      <c r="D346" s="12">
        <f>IF($B346="","","p")</f>
        <v/>
      </c>
      <c r="E346" s="14">
        <f>IF($B346="","",IF(322&gt;NPartyA,0,SUMIF(CalcDebit,INDEX(PkPartyA,322),CalcAmt)+SUMIF(CalcDebit2,INDEX(PkPartyA,322),CalcAmt2)+SUMIF(CalcDebit3,INDEX(PkPartyA,322),CalcAmt3)))</f>
        <v/>
      </c>
      <c r="F346" s="14">
        <f>IF($B346="","",IF(322&gt;NPartyA,0,SUMIF(CalcCredit,INDEX(PkPartyA,322),CalcAmt)+SUMIF(CalcCredit2,INDEX(PkPartyA,322),CalcAmt2)+SUMIF(CalcCredit3,INDEX(PkPartyA,322),CalcAmt3)))</f>
        <v/>
      </c>
      <c r="G346" s="15">
        <f>IF($B346="","",ROUND($E346-$F346,0))</f>
        <v/>
      </c>
      <c r="H346" s="12">
        <f>IF($B346="","",IF(ROUND($G346,0)&gt;0,"بدهکار",IF(ROUND($G346,0)&lt;0,"بستانکار","تسویه")))</f>
        <v/>
      </c>
    </row>
    <row r="347">
      <c r="A347" s="16">
        <f>IF($B347="","",338)</f>
        <v/>
      </c>
      <c r="B347" s="17">
        <f>IF(323&gt;NPartyA,"",IFERROR(IF(VLOOKUP(INDEX(PkPartyA,323),AcctTblA,4,0)="","(بدون نام)",VLOOKUP(INDEX(PkPartyA,323),AcctTblA,4,0)),"—"))</f>
        <v/>
      </c>
      <c r="C347" s="18">
        <f>IF($B347="","",IF(323&gt;NPartyA,"",INDEX(PkPartyA,323)))</f>
        <v/>
      </c>
      <c r="D347" s="17">
        <f>IF($B347="","","p")</f>
        <v/>
      </c>
      <c r="E347" s="19">
        <f>IF($B347="","",IF(323&gt;NPartyA,0,SUMIF(CalcDebit,INDEX(PkPartyA,323),CalcAmt)+SUMIF(CalcDebit2,INDEX(PkPartyA,323),CalcAmt2)+SUMIF(CalcDebit3,INDEX(PkPartyA,323),CalcAmt3)))</f>
        <v/>
      </c>
      <c r="F347" s="19">
        <f>IF($B347="","",IF(323&gt;NPartyA,0,SUMIF(CalcCredit,INDEX(PkPartyA,323),CalcAmt)+SUMIF(CalcCredit2,INDEX(PkPartyA,323),CalcAmt2)+SUMIF(CalcCredit3,INDEX(PkPartyA,323),CalcAmt3)))</f>
        <v/>
      </c>
      <c r="G347" s="20">
        <f>IF($B347="","",ROUND($E347-$F347,0))</f>
        <v/>
      </c>
      <c r="H347" s="17">
        <f>IF($B347="","",IF(ROUND($G347,0)&gt;0,"بدهکار",IF(ROUND($G347,0)&lt;0,"بستانکار","تسویه")))</f>
        <v/>
      </c>
    </row>
    <row r="348">
      <c r="A348" s="11">
        <f>IF($B348="","",339)</f>
        <v/>
      </c>
      <c r="B348" s="12">
        <f>IF(324&gt;NPartyA,"",IFERROR(IF(VLOOKUP(INDEX(PkPartyA,324),AcctTblA,4,0)="","(بدون نام)",VLOOKUP(INDEX(PkPartyA,324),AcctTblA,4,0)),"—"))</f>
        <v/>
      </c>
      <c r="C348" s="13">
        <f>IF($B348="","",IF(324&gt;NPartyA,"",INDEX(PkPartyA,324)))</f>
        <v/>
      </c>
      <c r="D348" s="12">
        <f>IF($B348="","","p")</f>
        <v/>
      </c>
      <c r="E348" s="14">
        <f>IF($B348="","",IF(324&gt;NPartyA,0,SUMIF(CalcDebit,INDEX(PkPartyA,324),CalcAmt)+SUMIF(CalcDebit2,INDEX(PkPartyA,324),CalcAmt2)+SUMIF(CalcDebit3,INDEX(PkPartyA,324),CalcAmt3)))</f>
        <v/>
      </c>
      <c r="F348" s="14">
        <f>IF($B348="","",IF(324&gt;NPartyA,0,SUMIF(CalcCredit,INDEX(PkPartyA,324),CalcAmt)+SUMIF(CalcCredit2,INDEX(PkPartyA,324),CalcAmt2)+SUMIF(CalcCredit3,INDEX(PkPartyA,324),CalcAmt3)))</f>
        <v/>
      </c>
      <c r="G348" s="15">
        <f>IF($B348="","",ROUND($E348-$F348,0))</f>
        <v/>
      </c>
      <c r="H348" s="12">
        <f>IF($B348="","",IF(ROUND($G348,0)&gt;0,"بدهکار",IF(ROUND($G348,0)&lt;0,"بستانکار","تسویه")))</f>
        <v/>
      </c>
    </row>
    <row r="349">
      <c r="A349" s="16">
        <f>IF($B349="","",340)</f>
        <v/>
      </c>
      <c r="B349" s="17">
        <f>IF(325&gt;NPartyA,"",IFERROR(IF(VLOOKUP(INDEX(PkPartyA,325),AcctTblA,4,0)="","(بدون نام)",VLOOKUP(INDEX(PkPartyA,325),AcctTblA,4,0)),"—"))</f>
        <v/>
      </c>
      <c r="C349" s="18">
        <f>IF($B349="","",IF(325&gt;NPartyA,"",INDEX(PkPartyA,325)))</f>
        <v/>
      </c>
      <c r="D349" s="17">
        <f>IF($B349="","","p")</f>
        <v/>
      </c>
      <c r="E349" s="19">
        <f>IF($B349="","",IF(325&gt;NPartyA,0,SUMIF(CalcDebit,INDEX(PkPartyA,325),CalcAmt)+SUMIF(CalcDebit2,INDEX(PkPartyA,325),CalcAmt2)+SUMIF(CalcDebit3,INDEX(PkPartyA,325),CalcAmt3)))</f>
        <v/>
      </c>
      <c r="F349" s="19">
        <f>IF($B349="","",IF(325&gt;NPartyA,0,SUMIF(CalcCredit,INDEX(PkPartyA,325),CalcAmt)+SUMIF(CalcCredit2,INDEX(PkPartyA,325),CalcAmt2)+SUMIF(CalcCredit3,INDEX(PkPartyA,325),CalcAmt3)))</f>
        <v/>
      </c>
      <c r="G349" s="20">
        <f>IF($B349="","",ROUND($E349-$F349,0))</f>
        <v/>
      </c>
      <c r="H349" s="17">
        <f>IF($B349="","",IF(ROUND($G349,0)&gt;0,"بدهکار",IF(ROUND($G349,0)&lt;0,"بستانکار","تسویه")))</f>
        <v/>
      </c>
    </row>
    <row r="350">
      <c r="A350" s="11">
        <f>IF($B350="","",341)</f>
        <v/>
      </c>
      <c r="B350" s="12">
        <f>IF(326&gt;NPartyA,"",IFERROR(IF(VLOOKUP(INDEX(PkPartyA,326),AcctTblA,4,0)="","(بدون نام)",VLOOKUP(INDEX(PkPartyA,326),AcctTblA,4,0)),"—"))</f>
        <v/>
      </c>
      <c r="C350" s="13">
        <f>IF($B350="","",IF(326&gt;NPartyA,"",INDEX(PkPartyA,326)))</f>
        <v/>
      </c>
      <c r="D350" s="12">
        <f>IF($B350="","","p")</f>
        <v/>
      </c>
      <c r="E350" s="14">
        <f>IF($B350="","",IF(326&gt;NPartyA,0,SUMIF(CalcDebit,INDEX(PkPartyA,326),CalcAmt)+SUMIF(CalcDebit2,INDEX(PkPartyA,326),CalcAmt2)+SUMIF(CalcDebit3,INDEX(PkPartyA,326),CalcAmt3)))</f>
        <v/>
      </c>
      <c r="F350" s="14">
        <f>IF($B350="","",IF(326&gt;NPartyA,0,SUMIF(CalcCredit,INDEX(PkPartyA,326),CalcAmt)+SUMIF(CalcCredit2,INDEX(PkPartyA,326),CalcAmt2)+SUMIF(CalcCredit3,INDEX(PkPartyA,326),CalcAmt3)))</f>
        <v/>
      </c>
      <c r="G350" s="15">
        <f>IF($B350="","",ROUND($E350-$F350,0))</f>
        <v/>
      </c>
      <c r="H350" s="12">
        <f>IF($B350="","",IF(ROUND($G350,0)&gt;0,"بدهکار",IF(ROUND($G350,0)&lt;0,"بستانکار","تسویه")))</f>
        <v/>
      </c>
    </row>
    <row r="351">
      <c r="A351" s="16">
        <f>IF($B351="","",342)</f>
        <v/>
      </c>
      <c r="B351" s="17">
        <f>IF(327&gt;NPartyA,"",IFERROR(IF(VLOOKUP(INDEX(PkPartyA,327),AcctTblA,4,0)="","(بدون نام)",VLOOKUP(INDEX(PkPartyA,327),AcctTblA,4,0)),"—"))</f>
        <v/>
      </c>
      <c r="C351" s="18">
        <f>IF($B351="","",IF(327&gt;NPartyA,"",INDEX(PkPartyA,327)))</f>
        <v/>
      </c>
      <c r="D351" s="17">
        <f>IF($B351="","","p")</f>
        <v/>
      </c>
      <c r="E351" s="19">
        <f>IF($B351="","",IF(327&gt;NPartyA,0,SUMIF(CalcDebit,INDEX(PkPartyA,327),CalcAmt)+SUMIF(CalcDebit2,INDEX(PkPartyA,327),CalcAmt2)+SUMIF(CalcDebit3,INDEX(PkPartyA,327),CalcAmt3)))</f>
        <v/>
      </c>
      <c r="F351" s="19">
        <f>IF($B351="","",IF(327&gt;NPartyA,0,SUMIF(CalcCredit,INDEX(PkPartyA,327),CalcAmt)+SUMIF(CalcCredit2,INDEX(PkPartyA,327),CalcAmt2)+SUMIF(CalcCredit3,INDEX(PkPartyA,327),CalcAmt3)))</f>
        <v/>
      </c>
      <c r="G351" s="20">
        <f>IF($B351="","",ROUND($E351-$F351,0))</f>
        <v/>
      </c>
      <c r="H351" s="17">
        <f>IF($B351="","",IF(ROUND($G351,0)&gt;0,"بدهکار",IF(ROUND($G351,0)&lt;0,"بستانکار","تسویه")))</f>
        <v/>
      </c>
    </row>
    <row r="352">
      <c r="A352" s="11">
        <f>IF($B352="","",343)</f>
        <v/>
      </c>
      <c r="B352" s="12">
        <f>IF(328&gt;NPartyA,"",IFERROR(IF(VLOOKUP(INDEX(PkPartyA,328),AcctTblA,4,0)="","(بدون نام)",VLOOKUP(INDEX(PkPartyA,328),AcctTblA,4,0)),"—"))</f>
        <v/>
      </c>
      <c r="C352" s="13">
        <f>IF($B352="","",IF(328&gt;NPartyA,"",INDEX(PkPartyA,328)))</f>
        <v/>
      </c>
      <c r="D352" s="12">
        <f>IF($B352="","","p")</f>
        <v/>
      </c>
      <c r="E352" s="14">
        <f>IF($B352="","",IF(328&gt;NPartyA,0,SUMIF(CalcDebit,INDEX(PkPartyA,328),CalcAmt)+SUMIF(CalcDebit2,INDEX(PkPartyA,328),CalcAmt2)+SUMIF(CalcDebit3,INDEX(PkPartyA,328),CalcAmt3)))</f>
        <v/>
      </c>
      <c r="F352" s="14">
        <f>IF($B352="","",IF(328&gt;NPartyA,0,SUMIF(CalcCredit,INDEX(PkPartyA,328),CalcAmt)+SUMIF(CalcCredit2,INDEX(PkPartyA,328),CalcAmt2)+SUMIF(CalcCredit3,INDEX(PkPartyA,328),CalcAmt3)))</f>
        <v/>
      </c>
      <c r="G352" s="15">
        <f>IF($B352="","",ROUND($E352-$F352,0))</f>
        <v/>
      </c>
      <c r="H352" s="12">
        <f>IF($B352="","",IF(ROUND($G352,0)&gt;0,"بدهکار",IF(ROUND($G352,0)&lt;0,"بستانکار","تسویه")))</f>
        <v/>
      </c>
    </row>
    <row r="353">
      <c r="A353" s="16">
        <f>IF($B353="","",344)</f>
        <v/>
      </c>
      <c r="B353" s="17">
        <f>IF(329&gt;NPartyA,"",IFERROR(IF(VLOOKUP(INDEX(PkPartyA,329),AcctTblA,4,0)="","(بدون نام)",VLOOKUP(INDEX(PkPartyA,329),AcctTblA,4,0)),"—"))</f>
        <v/>
      </c>
      <c r="C353" s="18">
        <f>IF($B353="","",IF(329&gt;NPartyA,"",INDEX(PkPartyA,329)))</f>
        <v/>
      </c>
      <c r="D353" s="17">
        <f>IF($B353="","","p")</f>
        <v/>
      </c>
      <c r="E353" s="19">
        <f>IF($B353="","",IF(329&gt;NPartyA,0,SUMIF(CalcDebit,INDEX(PkPartyA,329),CalcAmt)+SUMIF(CalcDebit2,INDEX(PkPartyA,329),CalcAmt2)+SUMIF(CalcDebit3,INDEX(PkPartyA,329),CalcAmt3)))</f>
        <v/>
      </c>
      <c r="F353" s="19">
        <f>IF($B353="","",IF(329&gt;NPartyA,0,SUMIF(CalcCredit,INDEX(PkPartyA,329),CalcAmt)+SUMIF(CalcCredit2,INDEX(PkPartyA,329),CalcAmt2)+SUMIF(CalcCredit3,INDEX(PkPartyA,329),CalcAmt3)))</f>
        <v/>
      </c>
      <c r="G353" s="20">
        <f>IF($B353="","",ROUND($E353-$F353,0))</f>
        <v/>
      </c>
      <c r="H353" s="17">
        <f>IF($B353="","",IF(ROUND($G353,0)&gt;0,"بدهکار",IF(ROUND($G353,0)&lt;0,"بستانکار","تسویه")))</f>
        <v/>
      </c>
    </row>
    <row r="354">
      <c r="A354" s="11">
        <f>IF($B354="","",345)</f>
        <v/>
      </c>
      <c r="B354" s="12">
        <f>IF(330&gt;NPartyA,"",IFERROR(IF(VLOOKUP(INDEX(PkPartyA,330),AcctTblA,4,0)="","(بدون نام)",VLOOKUP(INDEX(PkPartyA,330),AcctTblA,4,0)),"—"))</f>
        <v/>
      </c>
      <c r="C354" s="13">
        <f>IF($B354="","",IF(330&gt;NPartyA,"",INDEX(PkPartyA,330)))</f>
        <v/>
      </c>
      <c r="D354" s="12">
        <f>IF($B354="","","p")</f>
        <v/>
      </c>
      <c r="E354" s="14">
        <f>IF($B354="","",IF(330&gt;NPartyA,0,SUMIF(CalcDebit,INDEX(PkPartyA,330),CalcAmt)+SUMIF(CalcDebit2,INDEX(PkPartyA,330),CalcAmt2)+SUMIF(CalcDebit3,INDEX(PkPartyA,330),CalcAmt3)))</f>
        <v/>
      </c>
      <c r="F354" s="14">
        <f>IF($B354="","",IF(330&gt;NPartyA,0,SUMIF(CalcCredit,INDEX(PkPartyA,330),CalcAmt)+SUMIF(CalcCredit2,INDEX(PkPartyA,330),CalcAmt2)+SUMIF(CalcCredit3,INDEX(PkPartyA,330),CalcAmt3)))</f>
        <v/>
      </c>
      <c r="G354" s="15">
        <f>IF($B354="","",ROUND($E354-$F354,0))</f>
        <v/>
      </c>
      <c r="H354" s="12">
        <f>IF($B354="","",IF(ROUND($G354,0)&gt;0,"بدهکار",IF(ROUND($G354,0)&lt;0,"بستانکار","تسویه")))</f>
        <v/>
      </c>
    </row>
    <row r="355">
      <c r="A355" s="16">
        <f>IF($B355="","",346)</f>
        <v/>
      </c>
      <c r="B355" s="17">
        <f>IF(331&gt;NPartyA,"",IFERROR(IF(VLOOKUP(INDEX(PkPartyA,331),AcctTblA,4,0)="","(بدون نام)",VLOOKUP(INDEX(PkPartyA,331),AcctTblA,4,0)),"—"))</f>
        <v/>
      </c>
      <c r="C355" s="18">
        <f>IF($B355="","",IF(331&gt;NPartyA,"",INDEX(PkPartyA,331)))</f>
        <v/>
      </c>
      <c r="D355" s="17">
        <f>IF($B355="","","p")</f>
        <v/>
      </c>
      <c r="E355" s="19">
        <f>IF($B355="","",IF(331&gt;NPartyA,0,SUMIF(CalcDebit,INDEX(PkPartyA,331),CalcAmt)+SUMIF(CalcDebit2,INDEX(PkPartyA,331),CalcAmt2)+SUMIF(CalcDebit3,INDEX(PkPartyA,331),CalcAmt3)))</f>
        <v/>
      </c>
      <c r="F355" s="19">
        <f>IF($B355="","",IF(331&gt;NPartyA,0,SUMIF(CalcCredit,INDEX(PkPartyA,331),CalcAmt)+SUMIF(CalcCredit2,INDEX(PkPartyA,331),CalcAmt2)+SUMIF(CalcCredit3,INDEX(PkPartyA,331),CalcAmt3)))</f>
        <v/>
      </c>
      <c r="G355" s="20">
        <f>IF($B355="","",ROUND($E355-$F355,0))</f>
        <v/>
      </c>
      <c r="H355" s="17">
        <f>IF($B355="","",IF(ROUND($G355,0)&gt;0,"بدهکار",IF(ROUND($G355,0)&lt;0,"بستانکار","تسویه")))</f>
        <v/>
      </c>
    </row>
    <row r="356">
      <c r="A356" s="11">
        <f>IF($B356="","",347)</f>
        <v/>
      </c>
      <c r="B356" s="12">
        <f>IF(332&gt;NPartyA,"",IFERROR(IF(VLOOKUP(INDEX(PkPartyA,332),AcctTblA,4,0)="","(بدون نام)",VLOOKUP(INDEX(PkPartyA,332),AcctTblA,4,0)),"—"))</f>
        <v/>
      </c>
      <c r="C356" s="13">
        <f>IF($B356="","",IF(332&gt;NPartyA,"",INDEX(PkPartyA,332)))</f>
        <v/>
      </c>
      <c r="D356" s="12">
        <f>IF($B356="","","p")</f>
        <v/>
      </c>
      <c r="E356" s="14">
        <f>IF($B356="","",IF(332&gt;NPartyA,0,SUMIF(CalcDebit,INDEX(PkPartyA,332),CalcAmt)+SUMIF(CalcDebit2,INDEX(PkPartyA,332),CalcAmt2)+SUMIF(CalcDebit3,INDEX(PkPartyA,332),CalcAmt3)))</f>
        <v/>
      </c>
      <c r="F356" s="14">
        <f>IF($B356="","",IF(332&gt;NPartyA,0,SUMIF(CalcCredit,INDEX(PkPartyA,332),CalcAmt)+SUMIF(CalcCredit2,INDEX(PkPartyA,332),CalcAmt2)+SUMIF(CalcCredit3,INDEX(PkPartyA,332),CalcAmt3)))</f>
        <v/>
      </c>
      <c r="G356" s="15">
        <f>IF($B356="","",ROUND($E356-$F356,0))</f>
        <v/>
      </c>
      <c r="H356" s="12">
        <f>IF($B356="","",IF(ROUND($G356,0)&gt;0,"بدهکار",IF(ROUND($G356,0)&lt;0,"بستانکار","تسویه")))</f>
        <v/>
      </c>
    </row>
    <row r="357">
      <c r="A357" s="16">
        <f>IF($B357="","",348)</f>
        <v/>
      </c>
      <c r="B357" s="17">
        <f>IF(333&gt;NPartyA,"",IFERROR(IF(VLOOKUP(INDEX(PkPartyA,333),AcctTblA,4,0)="","(بدون نام)",VLOOKUP(INDEX(PkPartyA,333),AcctTblA,4,0)),"—"))</f>
        <v/>
      </c>
      <c r="C357" s="18">
        <f>IF($B357="","",IF(333&gt;NPartyA,"",INDEX(PkPartyA,333)))</f>
        <v/>
      </c>
      <c r="D357" s="17">
        <f>IF($B357="","","p")</f>
        <v/>
      </c>
      <c r="E357" s="19">
        <f>IF($B357="","",IF(333&gt;NPartyA,0,SUMIF(CalcDebit,INDEX(PkPartyA,333),CalcAmt)+SUMIF(CalcDebit2,INDEX(PkPartyA,333),CalcAmt2)+SUMIF(CalcDebit3,INDEX(PkPartyA,333),CalcAmt3)))</f>
        <v/>
      </c>
      <c r="F357" s="19">
        <f>IF($B357="","",IF(333&gt;NPartyA,0,SUMIF(CalcCredit,INDEX(PkPartyA,333),CalcAmt)+SUMIF(CalcCredit2,INDEX(PkPartyA,333),CalcAmt2)+SUMIF(CalcCredit3,INDEX(PkPartyA,333),CalcAmt3)))</f>
        <v/>
      </c>
      <c r="G357" s="20">
        <f>IF($B357="","",ROUND($E357-$F357,0))</f>
        <v/>
      </c>
      <c r="H357" s="17">
        <f>IF($B357="","",IF(ROUND($G357,0)&gt;0,"بدهکار",IF(ROUND($G357,0)&lt;0,"بستانکار","تسویه")))</f>
        <v/>
      </c>
    </row>
    <row r="358">
      <c r="A358" s="11">
        <f>IF($B358="","",349)</f>
        <v/>
      </c>
      <c r="B358" s="12">
        <f>IF(334&gt;NPartyA,"",IFERROR(IF(VLOOKUP(INDEX(PkPartyA,334),AcctTblA,4,0)="","(بدون نام)",VLOOKUP(INDEX(PkPartyA,334),AcctTblA,4,0)),"—"))</f>
        <v/>
      </c>
      <c r="C358" s="13">
        <f>IF($B358="","",IF(334&gt;NPartyA,"",INDEX(PkPartyA,334)))</f>
        <v/>
      </c>
      <c r="D358" s="12">
        <f>IF($B358="","","p")</f>
        <v/>
      </c>
      <c r="E358" s="14">
        <f>IF($B358="","",IF(334&gt;NPartyA,0,SUMIF(CalcDebit,INDEX(PkPartyA,334),CalcAmt)+SUMIF(CalcDebit2,INDEX(PkPartyA,334),CalcAmt2)+SUMIF(CalcDebit3,INDEX(PkPartyA,334),CalcAmt3)))</f>
        <v/>
      </c>
      <c r="F358" s="14">
        <f>IF($B358="","",IF(334&gt;NPartyA,0,SUMIF(CalcCredit,INDEX(PkPartyA,334),CalcAmt)+SUMIF(CalcCredit2,INDEX(PkPartyA,334),CalcAmt2)+SUMIF(CalcCredit3,INDEX(PkPartyA,334),CalcAmt3)))</f>
        <v/>
      </c>
      <c r="G358" s="15">
        <f>IF($B358="","",ROUND($E358-$F358,0))</f>
        <v/>
      </c>
      <c r="H358" s="12">
        <f>IF($B358="","",IF(ROUND($G358,0)&gt;0,"بدهکار",IF(ROUND($G358,0)&lt;0,"بستانکار","تسویه")))</f>
        <v/>
      </c>
    </row>
    <row r="359">
      <c r="A359" s="16">
        <f>IF($B359="","",350)</f>
        <v/>
      </c>
      <c r="B359" s="17">
        <f>IF(335&gt;NPartyA,"",IFERROR(IF(VLOOKUP(INDEX(PkPartyA,335),AcctTblA,4,0)="","(بدون نام)",VLOOKUP(INDEX(PkPartyA,335),AcctTblA,4,0)),"—"))</f>
        <v/>
      </c>
      <c r="C359" s="18">
        <f>IF($B359="","",IF(335&gt;NPartyA,"",INDEX(PkPartyA,335)))</f>
        <v/>
      </c>
      <c r="D359" s="17">
        <f>IF($B359="","","p")</f>
        <v/>
      </c>
      <c r="E359" s="19">
        <f>IF($B359="","",IF(335&gt;NPartyA,0,SUMIF(CalcDebit,INDEX(PkPartyA,335),CalcAmt)+SUMIF(CalcDebit2,INDEX(PkPartyA,335),CalcAmt2)+SUMIF(CalcDebit3,INDEX(PkPartyA,335),CalcAmt3)))</f>
        <v/>
      </c>
      <c r="F359" s="19">
        <f>IF($B359="","",IF(335&gt;NPartyA,0,SUMIF(CalcCredit,INDEX(PkPartyA,335),CalcAmt)+SUMIF(CalcCredit2,INDEX(PkPartyA,335),CalcAmt2)+SUMIF(CalcCredit3,INDEX(PkPartyA,335),CalcAmt3)))</f>
        <v/>
      </c>
      <c r="G359" s="20">
        <f>IF($B359="","",ROUND($E359-$F359,0))</f>
        <v/>
      </c>
      <c r="H359" s="17">
        <f>IF($B359="","",IF(ROUND($G359,0)&gt;0,"بدهکار",IF(ROUND($G359,0)&lt;0,"بستانکار","تسویه")))</f>
        <v/>
      </c>
    </row>
    <row r="360">
      <c r="A360" s="11">
        <f>IF($B360="","",351)</f>
        <v/>
      </c>
      <c r="B360" s="12">
        <f>IF(336&gt;NPartyA,"",IFERROR(IF(VLOOKUP(INDEX(PkPartyA,336),AcctTblA,4,0)="","(بدون نام)",VLOOKUP(INDEX(PkPartyA,336),AcctTblA,4,0)),"—"))</f>
        <v/>
      </c>
      <c r="C360" s="13">
        <f>IF($B360="","",IF(336&gt;NPartyA,"",INDEX(PkPartyA,336)))</f>
        <v/>
      </c>
      <c r="D360" s="12">
        <f>IF($B360="","","p")</f>
        <v/>
      </c>
      <c r="E360" s="14">
        <f>IF($B360="","",IF(336&gt;NPartyA,0,SUMIF(CalcDebit,INDEX(PkPartyA,336),CalcAmt)+SUMIF(CalcDebit2,INDEX(PkPartyA,336),CalcAmt2)+SUMIF(CalcDebit3,INDEX(PkPartyA,336),CalcAmt3)))</f>
        <v/>
      </c>
      <c r="F360" s="14">
        <f>IF($B360="","",IF(336&gt;NPartyA,0,SUMIF(CalcCredit,INDEX(PkPartyA,336),CalcAmt)+SUMIF(CalcCredit2,INDEX(PkPartyA,336),CalcAmt2)+SUMIF(CalcCredit3,INDEX(PkPartyA,336),CalcAmt3)))</f>
        <v/>
      </c>
      <c r="G360" s="15">
        <f>IF($B360="","",ROUND($E360-$F360,0))</f>
        <v/>
      </c>
      <c r="H360" s="12">
        <f>IF($B360="","",IF(ROUND($G360,0)&gt;0,"بدهکار",IF(ROUND($G360,0)&lt;0,"بستانکار","تسویه")))</f>
        <v/>
      </c>
    </row>
    <row r="361">
      <c r="A361" s="16">
        <f>IF($B361="","",352)</f>
        <v/>
      </c>
      <c r="B361" s="17">
        <f>IF(337&gt;NPartyA,"",IFERROR(IF(VLOOKUP(INDEX(PkPartyA,337),AcctTblA,4,0)="","(بدون نام)",VLOOKUP(INDEX(PkPartyA,337),AcctTblA,4,0)),"—"))</f>
        <v/>
      </c>
      <c r="C361" s="18">
        <f>IF($B361="","",IF(337&gt;NPartyA,"",INDEX(PkPartyA,337)))</f>
        <v/>
      </c>
      <c r="D361" s="17">
        <f>IF($B361="","","p")</f>
        <v/>
      </c>
      <c r="E361" s="19">
        <f>IF($B361="","",IF(337&gt;NPartyA,0,SUMIF(CalcDebit,INDEX(PkPartyA,337),CalcAmt)+SUMIF(CalcDebit2,INDEX(PkPartyA,337),CalcAmt2)+SUMIF(CalcDebit3,INDEX(PkPartyA,337),CalcAmt3)))</f>
        <v/>
      </c>
      <c r="F361" s="19">
        <f>IF($B361="","",IF(337&gt;NPartyA,0,SUMIF(CalcCredit,INDEX(PkPartyA,337),CalcAmt)+SUMIF(CalcCredit2,INDEX(PkPartyA,337),CalcAmt2)+SUMIF(CalcCredit3,INDEX(PkPartyA,337),CalcAmt3)))</f>
        <v/>
      </c>
      <c r="G361" s="20">
        <f>IF($B361="","",ROUND($E361-$F361,0))</f>
        <v/>
      </c>
      <c r="H361" s="17">
        <f>IF($B361="","",IF(ROUND($G361,0)&gt;0,"بدهکار",IF(ROUND($G361,0)&lt;0,"بستانکار","تسویه")))</f>
        <v/>
      </c>
    </row>
    <row r="362">
      <c r="A362" s="11">
        <f>IF($B362="","",353)</f>
        <v/>
      </c>
      <c r="B362" s="12">
        <f>IF(338&gt;NPartyA,"",IFERROR(IF(VLOOKUP(INDEX(PkPartyA,338),AcctTblA,4,0)="","(بدون نام)",VLOOKUP(INDEX(PkPartyA,338),AcctTblA,4,0)),"—"))</f>
        <v/>
      </c>
      <c r="C362" s="13">
        <f>IF($B362="","",IF(338&gt;NPartyA,"",INDEX(PkPartyA,338)))</f>
        <v/>
      </c>
      <c r="D362" s="12">
        <f>IF($B362="","","p")</f>
        <v/>
      </c>
      <c r="E362" s="14">
        <f>IF($B362="","",IF(338&gt;NPartyA,0,SUMIF(CalcDebit,INDEX(PkPartyA,338),CalcAmt)+SUMIF(CalcDebit2,INDEX(PkPartyA,338),CalcAmt2)+SUMIF(CalcDebit3,INDEX(PkPartyA,338),CalcAmt3)))</f>
        <v/>
      </c>
      <c r="F362" s="14">
        <f>IF($B362="","",IF(338&gt;NPartyA,0,SUMIF(CalcCredit,INDEX(PkPartyA,338),CalcAmt)+SUMIF(CalcCredit2,INDEX(PkPartyA,338),CalcAmt2)+SUMIF(CalcCredit3,INDEX(PkPartyA,338),CalcAmt3)))</f>
        <v/>
      </c>
      <c r="G362" s="15">
        <f>IF($B362="","",ROUND($E362-$F362,0))</f>
        <v/>
      </c>
      <c r="H362" s="12">
        <f>IF($B362="","",IF(ROUND($G362,0)&gt;0,"بدهکار",IF(ROUND($G362,0)&lt;0,"بستانکار","تسویه")))</f>
        <v/>
      </c>
    </row>
    <row r="363">
      <c r="A363" s="16">
        <f>IF($B363="","",354)</f>
        <v/>
      </c>
      <c r="B363" s="17">
        <f>IF(339&gt;NPartyA,"",IFERROR(IF(VLOOKUP(INDEX(PkPartyA,339),AcctTblA,4,0)="","(بدون نام)",VLOOKUP(INDEX(PkPartyA,339),AcctTblA,4,0)),"—"))</f>
        <v/>
      </c>
      <c r="C363" s="18">
        <f>IF($B363="","",IF(339&gt;NPartyA,"",INDEX(PkPartyA,339)))</f>
        <v/>
      </c>
      <c r="D363" s="17">
        <f>IF($B363="","","p")</f>
        <v/>
      </c>
      <c r="E363" s="19">
        <f>IF($B363="","",IF(339&gt;NPartyA,0,SUMIF(CalcDebit,INDEX(PkPartyA,339),CalcAmt)+SUMIF(CalcDebit2,INDEX(PkPartyA,339),CalcAmt2)+SUMIF(CalcDebit3,INDEX(PkPartyA,339),CalcAmt3)))</f>
        <v/>
      </c>
      <c r="F363" s="19">
        <f>IF($B363="","",IF(339&gt;NPartyA,0,SUMIF(CalcCredit,INDEX(PkPartyA,339),CalcAmt)+SUMIF(CalcCredit2,INDEX(PkPartyA,339),CalcAmt2)+SUMIF(CalcCredit3,INDEX(PkPartyA,339),CalcAmt3)))</f>
        <v/>
      </c>
      <c r="G363" s="20">
        <f>IF($B363="","",ROUND($E363-$F363,0))</f>
        <v/>
      </c>
      <c r="H363" s="17">
        <f>IF($B363="","",IF(ROUND($G363,0)&gt;0,"بدهکار",IF(ROUND($G363,0)&lt;0,"بستانکار","تسویه")))</f>
        <v/>
      </c>
    </row>
    <row r="364">
      <c r="A364" s="11">
        <f>IF($B364="","",355)</f>
        <v/>
      </c>
      <c r="B364" s="12">
        <f>IF(340&gt;NPartyA,"",IFERROR(IF(VLOOKUP(INDEX(PkPartyA,340),AcctTblA,4,0)="","(بدون نام)",VLOOKUP(INDEX(PkPartyA,340),AcctTblA,4,0)),"—"))</f>
        <v/>
      </c>
      <c r="C364" s="13">
        <f>IF($B364="","",IF(340&gt;NPartyA,"",INDEX(PkPartyA,340)))</f>
        <v/>
      </c>
      <c r="D364" s="12">
        <f>IF($B364="","","p")</f>
        <v/>
      </c>
      <c r="E364" s="14">
        <f>IF($B364="","",IF(340&gt;NPartyA,0,SUMIF(CalcDebit,INDEX(PkPartyA,340),CalcAmt)+SUMIF(CalcDebit2,INDEX(PkPartyA,340),CalcAmt2)+SUMIF(CalcDebit3,INDEX(PkPartyA,340),CalcAmt3)))</f>
        <v/>
      </c>
      <c r="F364" s="14">
        <f>IF($B364="","",IF(340&gt;NPartyA,0,SUMIF(CalcCredit,INDEX(PkPartyA,340),CalcAmt)+SUMIF(CalcCredit2,INDEX(PkPartyA,340),CalcAmt2)+SUMIF(CalcCredit3,INDEX(PkPartyA,340),CalcAmt3)))</f>
        <v/>
      </c>
      <c r="G364" s="15">
        <f>IF($B364="","",ROUND($E364-$F364,0))</f>
        <v/>
      </c>
      <c r="H364" s="12">
        <f>IF($B364="","",IF(ROUND($G364,0)&gt;0,"بدهکار",IF(ROUND($G364,0)&lt;0,"بستانکار","تسویه")))</f>
        <v/>
      </c>
    </row>
    <row r="365">
      <c r="A365" s="16">
        <f>IF($B365="","",356)</f>
        <v/>
      </c>
      <c r="B365" s="17">
        <f>IF(341&gt;NPartyA,"",IFERROR(IF(VLOOKUP(INDEX(PkPartyA,341),AcctTblA,4,0)="","(بدون نام)",VLOOKUP(INDEX(PkPartyA,341),AcctTblA,4,0)),"—"))</f>
        <v/>
      </c>
      <c r="C365" s="18">
        <f>IF($B365="","",IF(341&gt;NPartyA,"",INDEX(PkPartyA,341)))</f>
        <v/>
      </c>
      <c r="D365" s="17">
        <f>IF($B365="","","p")</f>
        <v/>
      </c>
      <c r="E365" s="19">
        <f>IF($B365="","",IF(341&gt;NPartyA,0,SUMIF(CalcDebit,INDEX(PkPartyA,341),CalcAmt)+SUMIF(CalcDebit2,INDEX(PkPartyA,341),CalcAmt2)+SUMIF(CalcDebit3,INDEX(PkPartyA,341),CalcAmt3)))</f>
        <v/>
      </c>
      <c r="F365" s="19">
        <f>IF($B365="","",IF(341&gt;NPartyA,0,SUMIF(CalcCredit,INDEX(PkPartyA,341),CalcAmt)+SUMIF(CalcCredit2,INDEX(PkPartyA,341),CalcAmt2)+SUMIF(CalcCredit3,INDEX(PkPartyA,341),CalcAmt3)))</f>
        <v/>
      </c>
      <c r="G365" s="20">
        <f>IF($B365="","",ROUND($E365-$F365,0))</f>
        <v/>
      </c>
      <c r="H365" s="17">
        <f>IF($B365="","",IF(ROUND($G365,0)&gt;0,"بدهکار",IF(ROUND($G365,0)&lt;0,"بستانکار","تسویه")))</f>
        <v/>
      </c>
    </row>
    <row r="366">
      <c r="A366" s="11">
        <f>IF($B366="","",357)</f>
        <v/>
      </c>
      <c r="B366" s="12">
        <f>IF(342&gt;NPartyA,"",IFERROR(IF(VLOOKUP(INDEX(PkPartyA,342),AcctTblA,4,0)="","(بدون نام)",VLOOKUP(INDEX(PkPartyA,342),AcctTblA,4,0)),"—"))</f>
        <v/>
      </c>
      <c r="C366" s="13">
        <f>IF($B366="","",IF(342&gt;NPartyA,"",INDEX(PkPartyA,342)))</f>
        <v/>
      </c>
      <c r="D366" s="12">
        <f>IF($B366="","","p")</f>
        <v/>
      </c>
      <c r="E366" s="14">
        <f>IF($B366="","",IF(342&gt;NPartyA,0,SUMIF(CalcDebit,INDEX(PkPartyA,342),CalcAmt)+SUMIF(CalcDebit2,INDEX(PkPartyA,342),CalcAmt2)+SUMIF(CalcDebit3,INDEX(PkPartyA,342),CalcAmt3)))</f>
        <v/>
      </c>
      <c r="F366" s="14">
        <f>IF($B366="","",IF(342&gt;NPartyA,0,SUMIF(CalcCredit,INDEX(PkPartyA,342),CalcAmt)+SUMIF(CalcCredit2,INDEX(PkPartyA,342),CalcAmt2)+SUMIF(CalcCredit3,INDEX(PkPartyA,342),CalcAmt3)))</f>
        <v/>
      </c>
      <c r="G366" s="15">
        <f>IF($B366="","",ROUND($E366-$F366,0))</f>
        <v/>
      </c>
      <c r="H366" s="12">
        <f>IF($B366="","",IF(ROUND($G366,0)&gt;0,"بدهکار",IF(ROUND($G366,0)&lt;0,"بستانکار","تسویه")))</f>
        <v/>
      </c>
    </row>
    <row r="367">
      <c r="A367" s="16">
        <f>IF($B367="","",358)</f>
        <v/>
      </c>
      <c r="B367" s="17">
        <f>IF(343&gt;NPartyA,"",IFERROR(IF(VLOOKUP(INDEX(PkPartyA,343),AcctTblA,4,0)="","(بدون نام)",VLOOKUP(INDEX(PkPartyA,343),AcctTblA,4,0)),"—"))</f>
        <v/>
      </c>
      <c r="C367" s="18">
        <f>IF($B367="","",IF(343&gt;NPartyA,"",INDEX(PkPartyA,343)))</f>
        <v/>
      </c>
      <c r="D367" s="17">
        <f>IF($B367="","","p")</f>
        <v/>
      </c>
      <c r="E367" s="19">
        <f>IF($B367="","",IF(343&gt;NPartyA,0,SUMIF(CalcDebit,INDEX(PkPartyA,343),CalcAmt)+SUMIF(CalcDebit2,INDEX(PkPartyA,343),CalcAmt2)+SUMIF(CalcDebit3,INDEX(PkPartyA,343),CalcAmt3)))</f>
        <v/>
      </c>
      <c r="F367" s="19">
        <f>IF($B367="","",IF(343&gt;NPartyA,0,SUMIF(CalcCredit,INDEX(PkPartyA,343),CalcAmt)+SUMIF(CalcCredit2,INDEX(PkPartyA,343),CalcAmt2)+SUMIF(CalcCredit3,INDEX(PkPartyA,343),CalcAmt3)))</f>
        <v/>
      </c>
      <c r="G367" s="20">
        <f>IF($B367="","",ROUND($E367-$F367,0))</f>
        <v/>
      </c>
      <c r="H367" s="17">
        <f>IF($B367="","",IF(ROUND($G367,0)&gt;0,"بدهکار",IF(ROUND($G367,0)&lt;0,"بستانکار","تسویه")))</f>
        <v/>
      </c>
    </row>
    <row r="368">
      <c r="A368" s="11">
        <f>IF($B368="","",359)</f>
        <v/>
      </c>
      <c r="B368" s="12">
        <f>IF(344&gt;NPartyA,"",IFERROR(IF(VLOOKUP(INDEX(PkPartyA,344),AcctTblA,4,0)="","(بدون نام)",VLOOKUP(INDEX(PkPartyA,344),AcctTblA,4,0)),"—"))</f>
        <v/>
      </c>
      <c r="C368" s="13">
        <f>IF($B368="","",IF(344&gt;NPartyA,"",INDEX(PkPartyA,344)))</f>
        <v/>
      </c>
      <c r="D368" s="12">
        <f>IF($B368="","","p")</f>
        <v/>
      </c>
      <c r="E368" s="14">
        <f>IF($B368="","",IF(344&gt;NPartyA,0,SUMIF(CalcDebit,INDEX(PkPartyA,344),CalcAmt)+SUMIF(CalcDebit2,INDEX(PkPartyA,344),CalcAmt2)+SUMIF(CalcDebit3,INDEX(PkPartyA,344),CalcAmt3)))</f>
        <v/>
      </c>
      <c r="F368" s="14">
        <f>IF($B368="","",IF(344&gt;NPartyA,0,SUMIF(CalcCredit,INDEX(PkPartyA,344),CalcAmt)+SUMIF(CalcCredit2,INDEX(PkPartyA,344),CalcAmt2)+SUMIF(CalcCredit3,INDEX(PkPartyA,344),CalcAmt3)))</f>
        <v/>
      </c>
      <c r="G368" s="15">
        <f>IF($B368="","",ROUND($E368-$F368,0))</f>
        <v/>
      </c>
      <c r="H368" s="12">
        <f>IF($B368="","",IF(ROUND($G368,0)&gt;0,"بدهکار",IF(ROUND($G368,0)&lt;0,"بستانکار","تسویه")))</f>
        <v/>
      </c>
    </row>
    <row r="369">
      <c r="A369" s="16">
        <f>IF($B369="","",360)</f>
        <v/>
      </c>
      <c r="B369" s="17">
        <f>IF(345&gt;NPartyA,"",IFERROR(IF(VLOOKUP(INDEX(PkPartyA,345),AcctTblA,4,0)="","(بدون نام)",VLOOKUP(INDEX(PkPartyA,345),AcctTblA,4,0)),"—"))</f>
        <v/>
      </c>
      <c r="C369" s="18">
        <f>IF($B369="","",IF(345&gt;NPartyA,"",INDEX(PkPartyA,345)))</f>
        <v/>
      </c>
      <c r="D369" s="17">
        <f>IF($B369="","","p")</f>
        <v/>
      </c>
      <c r="E369" s="19">
        <f>IF($B369="","",IF(345&gt;NPartyA,0,SUMIF(CalcDebit,INDEX(PkPartyA,345),CalcAmt)+SUMIF(CalcDebit2,INDEX(PkPartyA,345),CalcAmt2)+SUMIF(CalcDebit3,INDEX(PkPartyA,345),CalcAmt3)))</f>
        <v/>
      </c>
      <c r="F369" s="19">
        <f>IF($B369="","",IF(345&gt;NPartyA,0,SUMIF(CalcCredit,INDEX(PkPartyA,345),CalcAmt)+SUMIF(CalcCredit2,INDEX(PkPartyA,345),CalcAmt2)+SUMIF(CalcCredit3,INDEX(PkPartyA,345),CalcAmt3)))</f>
        <v/>
      </c>
      <c r="G369" s="20">
        <f>IF($B369="","",ROUND($E369-$F369,0))</f>
        <v/>
      </c>
      <c r="H369" s="17">
        <f>IF($B369="","",IF(ROUND($G369,0)&gt;0,"بدهکار",IF(ROUND($G369,0)&lt;0,"بستانکار","تسویه")))</f>
        <v/>
      </c>
    </row>
    <row r="370">
      <c r="A370" s="11">
        <f>IF($B370="","",361)</f>
        <v/>
      </c>
      <c r="B370" s="12">
        <f>IF(346&gt;NPartyA,"",IFERROR(IF(VLOOKUP(INDEX(PkPartyA,346),AcctTblA,4,0)="","(بدون نام)",VLOOKUP(INDEX(PkPartyA,346),AcctTblA,4,0)),"—"))</f>
        <v/>
      </c>
      <c r="C370" s="13">
        <f>IF($B370="","",IF(346&gt;NPartyA,"",INDEX(PkPartyA,346)))</f>
        <v/>
      </c>
      <c r="D370" s="12">
        <f>IF($B370="","","p")</f>
        <v/>
      </c>
      <c r="E370" s="14">
        <f>IF($B370="","",IF(346&gt;NPartyA,0,SUMIF(CalcDebit,INDEX(PkPartyA,346),CalcAmt)+SUMIF(CalcDebit2,INDEX(PkPartyA,346),CalcAmt2)+SUMIF(CalcDebit3,INDEX(PkPartyA,346),CalcAmt3)))</f>
        <v/>
      </c>
      <c r="F370" s="14">
        <f>IF($B370="","",IF(346&gt;NPartyA,0,SUMIF(CalcCredit,INDEX(PkPartyA,346),CalcAmt)+SUMIF(CalcCredit2,INDEX(PkPartyA,346),CalcAmt2)+SUMIF(CalcCredit3,INDEX(PkPartyA,346),CalcAmt3)))</f>
        <v/>
      </c>
      <c r="G370" s="15">
        <f>IF($B370="","",ROUND($E370-$F370,0))</f>
        <v/>
      </c>
      <c r="H370" s="12">
        <f>IF($B370="","",IF(ROUND($G370,0)&gt;0,"بدهکار",IF(ROUND($G370,0)&lt;0,"بستانکار","تسویه")))</f>
        <v/>
      </c>
    </row>
    <row r="371">
      <c r="A371" s="16">
        <f>IF($B371="","",362)</f>
        <v/>
      </c>
      <c r="B371" s="17">
        <f>IF(347&gt;NPartyA,"",IFERROR(IF(VLOOKUP(INDEX(PkPartyA,347),AcctTblA,4,0)="","(بدون نام)",VLOOKUP(INDEX(PkPartyA,347),AcctTblA,4,0)),"—"))</f>
        <v/>
      </c>
      <c r="C371" s="18">
        <f>IF($B371="","",IF(347&gt;NPartyA,"",INDEX(PkPartyA,347)))</f>
        <v/>
      </c>
      <c r="D371" s="17">
        <f>IF($B371="","","p")</f>
        <v/>
      </c>
      <c r="E371" s="19">
        <f>IF($B371="","",IF(347&gt;NPartyA,0,SUMIF(CalcDebit,INDEX(PkPartyA,347),CalcAmt)+SUMIF(CalcDebit2,INDEX(PkPartyA,347),CalcAmt2)+SUMIF(CalcDebit3,INDEX(PkPartyA,347),CalcAmt3)))</f>
        <v/>
      </c>
      <c r="F371" s="19">
        <f>IF($B371="","",IF(347&gt;NPartyA,0,SUMIF(CalcCredit,INDEX(PkPartyA,347),CalcAmt)+SUMIF(CalcCredit2,INDEX(PkPartyA,347),CalcAmt2)+SUMIF(CalcCredit3,INDEX(PkPartyA,347),CalcAmt3)))</f>
        <v/>
      </c>
      <c r="G371" s="20">
        <f>IF($B371="","",ROUND($E371-$F371,0))</f>
        <v/>
      </c>
      <c r="H371" s="17">
        <f>IF($B371="","",IF(ROUND($G371,0)&gt;0,"بدهکار",IF(ROUND($G371,0)&lt;0,"بستانکار","تسویه")))</f>
        <v/>
      </c>
    </row>
    <row r="372">
      <c r="A372" s="11">
        <f>IF($B372="","",363)</f>
        <v/>
      </c>
      <c r="B372" s="12">
        <f>IF(348&gt;NPartyA,"",IFERROR(IF(VLOOKUP(INDEX(PkPartyA,348),AcctTblA,4,0)="","(بدون نام)",VLOOKUP(INDEX(PkPartyA,348),AcctTblA,4,0)),"—"))</f>
        <v/>
      </c>
      <c r="C372" s="13">
        <f>IF($B372="","",IF(348&gt;NPartyA,"",INDEX(PkPartyA,348)))</f>
        <v/>
      </c>
      <c r="D372" s="12">
        <f>IF($B372="","","p")</f>
        <v/>
      </c>
      <c r="E372" s="14">
        <f>IF($B372="","",IF(348&gt;NPartyA,0,SUMIF(CalcDebit,INDEX(PkPartyA,348),CalcAmt)+SUMIF(CalcDebit2,INDEX(PkPartyA,348),CalcAmt2)+SUMIF(CalcDebit3,INDEX(PkPartyA,348),CalcAmt3)))</f>
        <v/>
      </c>
      <c r="F372" s="14">
        <f>IF($B372="","",IF(348&gt;NPartyA,0,SUMIF(CalcCredit,INDEX(PkPartyA,348),CalcAmt)+SUMIF(CalcCredit2,INDEX(PkPartyA,348),CalcAmt2)+SUMIF(CalcCredit3,INDEX(PkPartyA,348),CalcAmt3)))</f>
        <v/>
      </c>
      <c r="G372" s="15">
        <f>IF($B372="","",ROUND($E372-$F372,0))</f>
        <v/>
      </c>
      <c r="H372" s="12">
        <f>IF($B372="","",IF(ROUND($G372,0)&gt;0,"بدهکار",IF(ROUND($G372,0)&lt;0,"بستانکار","تسویه")))</f>
        <v/>
      </c>
    </row>
    <row r="373">
      <c r="A373" s="16">
        <f>IF($B373="","",364)</f>
        <v/>
      </c>
      <c r="B373" s="17">
        <f>IF(349&gt;NPartyA,"",IFERROR(IF(VLOOKUP(INDEX(PkPartyA,349),AcctTblA,4,0)="","(بدون نام)",VLOOKUP(INDEX(PkPartyA,349),AcctTblA,4,0)),"—"))</f>
        <v/>
      </c>
      <c r="C373" s="18">
        <f>IF($B373="","",IF(349&gt;NPartyA,"",INDEX(PkPartyA,349)))</f>
        <v/>
      </c>
      <c r="D373" s="17">
        <f>IF($B373="","","p")</f>
        <v/>
      </c>
      <c r="E373" s="19">
        <f>IF($B373="","",IF(349&gt;NPartyA,0,SUMIF(CalcDebit,INDEX(PkPartyA,349),CalcAmt)+SUMIF(CalcDebit2,INDEX(PkPartyA,349),CalcAmt2)+SUMIF(CalcDebit3,INDEX(PkPartyA,349),CalcAmt3)))</f>
        <v/>
      </c>
      <c r="F373" s="19">
        <f>IF($B373="","",IF(349&gt;NPartyA,0,SUMIF(CalcCredit,INDEX(PkPartyA,349),CalcAmt)+SUMIF(CalcCredit2,INDEX(PkPartyA,349),CalcAmt2)+SUMIF(CalcCredit3,INDEX(PkPartyA,349),CalcAmt3)))</f>
        <v/>
      </c>
      <c r="G373" s="20">
        <f>IF($B373="","",ROUND($E373-$F373,0))</f>
        <v/>
      </c>
      <c r="H373" s="17">
        <f>IF($B373="","",IF(ROUND($G373,0)&gt;0,"بدهکار",IF(ROUND($G373,0)&lt;0,"بستانکار","تسویه")))</f>
        <v/>
      </c>
    </row>
    <row r="374">
      <c r="A374" s="11">
        <f>IF($B374="","",365)</f>
        <v/>
      </c>
      <c r="B374" s="12">
        <f>IF(350&gt;NPartyA,"",IFERROR(IF(VLOOKUP(INDEX(PkPartyA,350),AcctTblA,4,0)="","(بدون نام)",VLOOKUP(INDEX(PkPartyA,350),AcctTblA,4,0)),"—"))</f>
        <v/>
      </c>
      <c r="C374" s="13">
        <f>IF($B374="","",IF(350&gt;NPartyA,"",INDEX(PkPartyA,350)))</f>
        <v/>
      </c>
      <c r="D374" s="12">
        <f>IF($B374="","","p")</f>
        <v/>
      </c>
      <c r="E374" s="14">
        <f>IF($B374="","",IF(350&gt;NPartyA,0,SUMIF(CalcDebit,INDEX(PkPartyA,350),CalcAmt)+SUMIF(CalcDebit2,INDEX(PkPartyA,350),CalcAmt2)+SUMIF(CalcDebit3,INDEX(PkPartyA,350),CalcAmt3)))</f>
        <v/>
      </c>
      <c r="F374" s="14">
        <f>IF($B374="","",IF(350&gt;NPartyA,0,SUMIF(CalcCredit,INDEX(PkPartyA,350),CalcAmt)+SUMIF(CalcCredit2,INDEX(PkPartyA,350),CalcAmt2)+SUMIF(CalcCredit3,INDEX(PkPartyA,350),CalcAmt3)))</f>
        <v/>
      </c>
      <c r="G374" s="15">
        <f>IF($B374="","",ROUND($E374-$F374,0))</f>
        <v/>
      </c>
      <c r="H374" s="12">
        <f>IF($B374="","",IF(ROUND($G374,0)&gt;0,"بدهکار",IF(ROUND($G374,0)&lt;0,"بستانکار","تسویه")))</f>
        <v/>
      </c>
    </row>
    <row r="375">
      <c r="A375" s="16">
        <f>IF($B375="","",366)</f>
        <v/>
      </c>
      <c r="B375" s="17">
        <f>IF(351&gt;NPartyA,"",IFERROR(IF(VLOOKUP(INDEX(PkPartyA,351),AcctTblA,4,0)="","(بدون نام)",VLOOKUP(INDEX(PkPartyA,351),AcctTblA,4,0)),"—"))</f>
        <v/>
      </c>
      <c r="C375" s="18">
        <f>IF($B375="","",IF(351&gt;NPartyA,"",INDEX(PkPartyA,351)))</f>
        <v/>
      </c>
      <c r="D375" s="17">
        <f>IF($B375="","","p")</f>
        <v/>
      </c>
      <c r="E375" s="19">
        <f>IF($B375="","",IF(351&gt;NPartyA,0,SUMIF(CalcDebit,INDEX(PkPartyA,351),CalcAmt)+SUMIF(CalcDebit2,INDEX(PkPartyA,351),CalcAmt2)+SUMIF(CalcDebit3,INDEX(PkPartyA,351),CalcAmt3)))</f>
        <v/>
      </c>
      <c r="F375" s="19">
        <f>IF($B375="","",IF(351&gt;NPartyA,0,SUMIF(CalcCredit,INDEX(PkPartyA,351),CalcAmt)+SUMIF(CalcCredit2,INDEX(PkPartyA,351),CalcAmt2)+SUMIF(CalcCredit3,INDEX(PkPartyA,351),CalcAmt3)))</f>
        <v/>
      </c>
      <c r="G375" s="20">
        <f>IF($B375="","",ROUND($E375-$F375,0))</f>
        <v/>
      </c>
      <c r="H375" s="17">
        <f>IF($B375="","",IF(ROUND($G375,0)&gt;0,"بدهکار",IF(ROUND($G375,0)&lt;0,"بستانکار","تسویه")))</f>
        <v/>
      </c>
    </row>
    <row r="376">
      <c r="A376" s="11">
        <f>IF($B376="","",367)</f>
        <v/>
      </c>
      <c r="B376" s="12">
        <f>IF(352&gt;NPartyA,"",IFERROR(IF(VLOOKUP(INDEX(PkPartyA,352),AcctTblA,4,0)="","(بدون نام)",VLOOKUP(INDEX(PkPartyA,352),AcctTblA,4,0)),"—"))</f>
        <v/>
      </c>
      <c r="C376" s="13">
        <f>IF($B376="","",IF(352&gt;NPartyA,"",INDEX(PkPartyA,352)))</f>
        <v/>
      </c>
      <c r="D376" s="12">
        <f>IF($B376="","","p")</f>
        <v/>
      </c>
      <c r="E376" s="14">
        <f>IF($B376="","",IF(352&gt;NPartyA,0,SUMIF(CalcDebit,INDEX(PkPartyA,352),CalcAmt)+SUMIF(CalcDebit2,INDEX(PkPartyA,352),CalcAmt2)+SUMIF(CalcDebit3,INDEX(PkPartyA,352),CalcAmt3)))</f>
        <v/>
      </c>
      <c r="F376" s="14">
        <f>IF($B376="","",IF(352&gt;NPartyA,0,SUMIF(CalcCredit,INDEX(PkPartyA,352),CalcAmt)+SUMIF(CalcCredit2,INDEX(PkPartyA,352),CalcAmt2)+SUMIF(CalcCredit3,INDEX(PkPartyA,352),CalcAmt3)))</f>
        <v/>
      </c>
      <c r="G376" s="15">
        <f>IF($B376="","",ROUND($E376-$F376,0))</f>
        <v/>
      </c>
      <c r="H376" s="12">
        <f>IF($B376="","",IF(ROUND($G376,0)&gt;0,"بدهکار",IF(ROUND($G376,0)&lt;0,"بستانکار","تسویه")))</f>
        <v/>
      </c>
    </row>
    <row r="377">
      <c r="A377" s="16">
        <f>IF($B377="","",368)</f>
        <v/>
      </c>
      <c r="B377" s="17">
        <f>IF(353&gt;NPartyA,"",IFERROR(IF(VLOOKUP(INDEX(PkPartyA,353),AcctTblA,4,0)="","(بدون نام)",VLOOKUP(INDEX(PkPartyA,353),AcctTblA,4,0)),"—"))</f>
        <v/>
      </c>
      <c r="C377" s="18">
        <f>IF($B377="","",IF(353&gt;NPartyA,"",INDEX(PkPartyA,353)))</f>
        <v/>
      </c>
      <c r="D377" s="17">
        <f>IF($B377="","","p")</f>
        <v/>
      </c>
      <c r="E377" s="19">
        <f>IF($B377="","",IF(353&gt;NPartyA,0,SUMIF(CalcDebit,INDEX(PkPartyA,353),CalcAmt)+SUMIF(CalcDebit2,INDEX(PkPartyA,353),CalcAmt2)+SUMIF(CalcDebit3,INDEX(PkPartyA,353),CalcAmt3)))</f>
        <v/>
      </c>
      <c r="F377" s="19">
        <f>IF($B377="","",IF(353&gt;NPartyA,0,SUMIF(CalcCredit,INDEX(PkPartyA,353),CalcAmt)+SUMIF(CalcCredit2,INDEX(PkPartyA,353),CalcAmt2)+SUMIF(CalcCredit3,INDEX(PkPartyA,353),CalcAmt3)))</f>
        <v/>
      </c>
      <c r="G377" s="20">
        <f>IF($B377="","",ROUND($E377-$F377,0))</f>
        <v/>
      </c>
      <c r="H377" s="17">
        <f>IF($B377="","",IF(ROUND($G377,0)&gt;0,"بدهکار",IF(ROUND($G377,0)&lt;0,"بستانکار","تسویه")))</f>
        <v/>
      </c>
    </row>
    <row r="378">
      <c r="A378" s="11">
        <f>IF($B378="","",369)</f>
        <v/>
      </c>
      <c r="B378" s="12">
        <f>IF(354&gt;NPartyA,"",IFERROR(IF(VLOOKUP(INDEX(PkPartyA,354),AcctTblA,4,0)="","(بدون نام)",VLOOKUP(INDEX(PkPartyA,354),AcctTblA,4,0)),"—"))</f>
        <v/>
      </c>
      <c r="C378" s="13">
        <f>IF($B378="","",IF(354&gt;NPartyA,"",INDEX(PkPartyA,354)))</f>
        <v/>
      </c>
      <c r="D378" s="12">
        <f>IF($B378="","","p")</f>
        <v/>
      </c>
      <c r="E378" s="14">
        <f>IF($B378="","",IF(354&gt;NPartyA,0,SUMIF(CalcDebit,INDEX(PkPartyA,354),CalcAmt)+SUMIF(CalcDebit2,INDEX(PkPartyA,354),CalcAmt2)+SUMIF(CalcDebit3,INDEX(PkPartyA,354),CalcAmt3)))</f>
        <v/>
      </c>
      <c r="F378" s="14">
        <f>IF($B378="","",IF(354&gt;NPartyA,0,SUMIF(CalcCredit,INDEX(PkPartyA,354),CalcAmt)+SUMIF(CalcCredit2,INDEX(PkPartyA,354),CalcAmt2)+SUMIF(CalcCredit3,INDEX(PkPartyA,354),CalcAmt3)))</f>
        <v/>
      </c>
      <c r="G378" s="15">
        <f>IF($B378="","",ROUND($E378-$F378,0))</f>
        <v/>
      </c>
      <c r="H378" s="12">
        <f>IF($B378="","",IF(ROUND($G378,0)&gt;0,"بدهکار",IF(ROUND($G378,0)&lt;0,"بستانکار","تسویه")))</f>
        <v/>
      </c>
    </row>
    <row r="379">
      <c r="A379" s="16">
        <f>IF($B379="","",370)</f>
        <v/>
      </c>
      <c r="B379" s="17">
        <f>IF(355&gt;NPartyA,"",IFERROR(IF(VLOOKUP(INDEX(PkPartyA,355),AcctTblA,4,0)="","(بدون نام)",VLOOKUP(INDEX(PkPartyA,355),AcctTblA,4,0)),"—"))</f>
        <v/>
      </c>
      <c r="C379" s="18">
        <f>IF($B379="","",IF(355&gt;NPartyA,"",INDEX(PkPartyA,355)))</f>
        <v/>
      </c>
      <c r="D379" s="17">
        <f>IF($B379="","","p")</f>
        <v/>
      </c>
      <c r="E379" s="19">
        <f>IF($B379="","",IF(355&gt;NPartyA,0,SUMIF(CalcDebit,INDEX(PkPartyA,355),CalcAmt)+SUMIF(CalcDebit2,INDEX(PkPartyA,355),CalcAmt2)+SUMIF(CalcDebit3,INDEX(PkPartyA,355),CalcAmt3)))</f>
        <v/>
      </c>
      <c r="F379" s="19">
        <f>IF($B379="","",IF(355&gt;NPartyA,0,SUMIF(CalcCredit,INDEX(PkPartyA,355),CalcAmt)+SUMIF(CalcCredit2,INDEX(PkPartyA,355),CalcAmt2)+SUMIF(CalcCredit3,INDEX(PkPartyA,355),CalcAmt3)))</f>
        <v/>
      </c>
      <c r="G379" s="20">
        <f>IF($B379="","",ROUND($E379-$F379,0))</f>
        <v/>
      </c>
      <c r="H379" s="17">
        <f>IF($B379="","",IF(ROUND($G379,0)&gt;0,"بدهکار",IF(ROUND($G379,0)&lt;0,"بستانکار","تسویه")))</f>
        <v/>
      </c>
    </row>
    <row r="380">
      <c r="A380" s="11">
        <f>IF($B380="","",371)</f>
        <v/>
      </c>
      <c r="B380" s="12">
        <f>IF(356&gt;NPartyA,"",IFERROR(IF(VLOOKUP(INDEX(PkPartyA,356),AcctTblA,4,0)="","(بدون نام)",VLOOKUP(INDEX(PkPartyA,356),AcctTblA,4,0)),"—"))</f>
        <v/>
      </c>
      <c r="C380" s="13">
        <f>IF($B380="","",IF(356&gt;NPartyA,"",INDEX(PkPartyA,356)))</f>
        <v/>
      </c>
      <c r="D380" s="12">
        <f>IF($B380="","","p")</f>
        <v/>
      </c>
      <c r="E380" s="14">
        <f>IF($B380="","",IF(356&gt;NPartyA,0,SUMIF(CalcDebit,INDEX(PkPartyA,356),CalcAmt)+SUMIF(CalcDebit2,INDEX(PkPartyA,356),CalcAmt2)+SUMIF(CalcDebit3,INDEX(PkPartyA,356),CalcAmt3)))</f>
        <v/>
      </c>
      <c r="F380" s="14">
        <f>IF($B380="","",IF(356&gt;NPartyA,0,SUMIF(CalcCredit,INDEX(PkPartyA,356),CalcAmt)+SUMIF(CalcCredit2,INDEX(PkPartyA,356),CalcAmt2)+SUMIF(CalcCredit3,INDEX(PkPartyA,356),CalcAmt3)))</f>
        <v/>
      </c>
      <c r="G380" s="15">
        <f>IF($B380="","",ROUND($E380-$F380,0))</f>
        <v/>
      </c>
      <c r="H380" s="12">
        <f>IF($B380="","",IF(ROUND($G380,0)&gt;0,"بدهکار",IF(ROUND($G380,0)&lt;0,"بستانکار","تسویه")))</f>
        <v/>
      </c>
    </row>
    <row r="381">
      <c r="A381" s="16">
        <f>IF($B381="","",372)</f>
        <v/>
      </c>
      <c r="B381" s="17">
        <f>IF(357&gt;NPartyA,"",IFERROR(IF(VLOOKUP(INDEX(PkPartyA,357),AcctTblA,4,0)="","(بدون نام)",VLOOKUP(INDEX(PkPartyA,357),AcctTblA,4,0)),"—"))</f>
        <v/>
      </c>
      <c r="C381" s="18">
        <f>IF($B381="","",IF(357&gt;NPartyA,"",INDEX(PkPartyA,357)))</f>
        <v/>
      </c>
      <c r="D381" s="17">
        <f>IF($B381="","","p")</f>
        <v/>
      </c>
      <c r="E381" s="19">
        <f>IF($B381="","",IF(357&gt;NPartyA,0,SUMIF(CalcDebit,INDEX(PkPartyA,357),CalcAmt)+SUMIF(CalcDebit2,INDEX(PkPartyA,357),CalcAmt2)+SUMIF(CalcDebit3,INDEX(PkPartyA,357),CalcAmt3)))</f>
        <v/>
      </c>
      <c r="F381" s="19">
        <f>IF($B381="","",IF(357&gt;NPartyA,0,SUMIF(CalcCredit,INDEX(PkPartyA,357),CalcAmt)+SUMIF(CalcCredit2,INDEX(PkPartyA,357),CalcAmt2)+SUMIF(CalcCredit3,INDEX(PkPartyA,357),CalcAmt3)))</f>
        <v/>
      </c>
      <c r="G381" s="20">
        <f>IF($B381="","",ROUND($E381-$F381,0))</f>
        <v/>
      </c>
      <c r="H381" s="17">
        <f>IF($B381="","",IF(ROUND($G381,0)&gt;0,"بدهکار",IF(ROUND($G381,0)&lt;0,"بستانکار","تسویه")))</f>
        <v/>
      </c>
    </row>
    <row r="382">
      <c r="A382" s="11">
        <f>IF($B382="","",373)</f>
        <v/>
      </c>
      <c r="B382" s="12">
        <f>IF(358&gt;NPartyA,"",IFERROR(IF(VLOOKUP(INDEX(PkPartyA,358),AcctTblA,4,0)="","(بدون نام)",VLOOKUP(INDEX(PkPartyA,358),AcctTblA,4,0)),"—"))</f>
        <v/>
      </c>
      <c r="C382" s="13">
        <f>IF($B382="","",IF(358&gt;NPartyA,"",INDEX(PkPartyA,358)))</f>
        <v/>
      </c>
      <c r="D382" s="12">
        <f>IF($B382="","","p")</f>
        <v/>
      </c>
      <c r="E382" s="14">
        <f>IF($B382="","",IF(358&gt;NPartyA,0,SUMIF(CalcDebit,INDEX(PkPartyA,358),CalcAmt)+SUMIF(CalcDebit2,INDEX(PkPartyA,358),CalcAmt2)+SUMIF(CalcDebit3,INDEX(PkPartyA,358),CalcAmt3)))</f>
        <v/>
      </c>
      <c r="F382" s="14">
        <f>IF($B382="","",IF(358&gt;NPartyA,0,SUMIF(CalcCredit,INDEX(PkPartyA,358),CalcAmt)+SUMIF(CalcCredit2,INDEX(PkPartyA,358),CalcAmt2)+SUMIF(CalcCredit3,INDEX(PkPartyA,358),CalcAmt3)))</f>
        <v/>
      </c>
      <c r="G382" s="15">
        <f>IF($B382="","",ROUND($E382-$F382,0))</f>
        <v/>
      </c>
      <c r="H382" s="12">
        <f>IF($B382="","",IF(ROUND($G382,0)&gt;0,"بدهکار",IF(ROUND($G382,0)&lt;0,"بستانکار","تسویه")))</f>
        <v/>
      </c>
    </row>
    <row r="383">
      <c r="A383" s="16">
        <f>IF($B383="","",374)</f>
        <v/>
      </c>
      <c r="B383" s="17">
        <f>IF(359&gt;NPartyA,"",IFERROR(IF(VLOOKUP(INDEX(PkPartyA,359),AcctTblA,4,0)="","(بدون نام)",VLOOKUP(INDEX(PkPartyA,359),AcctTblA,4,0)),"—"))</f>
        <v/>
      </c>
      <c r="C383" s="18">
        <f>IF($B383="","",IF(359&gt;NPartyA,"",INDEX(PkPartyA,359)))</f>
        <v/>
      </c>
      <c r="D383" s="17">
        <f>IF($B383="","","p")</f>
        <v/>
      </c>
      <c r="E383" s="19">
        <f>IF($B383="","",IF(359&gt;NPartyA,0,SUMIF(CalcDebit,INDEX(PkPartyA,359),CalcAmt)+SUMIF(CalcDebit2,INDEX(PkPartyA,359),CalcAmt2)+SUMIF(CalcDebit3,INDEX(PkPartyA,359),CalcAmt3)))</f>
        <v/>
      </c>
      <c r="F383" s="19">
        <f>IF($B383="","",IF(359&gt;NPartyA,0,SUMIF(CalcCredit,INDEX(PkPartyA,359),CalcAmt)+SUMIF(CalcCredit2,INDEX(PkPartyA,359),CalcAmt2)+SUMIF(CalcCredit3,INDEX(PkPartyA,359),CalcAmt3)))</f>
        <v/>
      </c>
      <c r="G383" s="20">
        <f>IF($B383="","",ROUND($E383-$F383,0))</f>
        <v/>
      </c>
      <c r="H383" s="17">
        <f>IF($B383="","",IF(ROUND($G383,0)&gt;0,"بدهکار",IF(ROUND($G383,0)&lt;0,"بستانکار","تسویه")))</f>
        <v/>
      </c>
    </row>
    <row r="384">
      <c r="A384" s="11">
        <f>IF($B384="","",375)</f>
        <v/>
      </c>
      <c r="B384" s="12">
        <f>IF(360&gt;NPartyA,"",IFERROR(IF(VLOOKUP(INDEX(PkPartyA,360),AcctTblA,4,0)="","(بدون نام)",VLOOKUP(INDEX(PkPartyA,360),AcctTblA,4,0)),"—"))</f>
        <v/>
      </c>
      <c r="C384" s="13">
        <f>IF($B384="","",IF(360&gt;NPartyA,"",INDEX(PkPartyA,360)))</f>
        <v/>
      </c>
      <c r="D384" s="12">
        <f>IF($B384="","","p")</f>
        <v/>
      </c>
      <c r="E384" s="14">
        <f>IF($B384="","",IF(360&gt;NPartyA,0,SUMIF(CalcDebit,INDEX(PkPartyA,360),CalcAmt)+SUMIF(CalcDebit2,INDEX(PkPartyA,360),CalcAmt2)+SUMIF(CalcDebit3,INDEX(PkPartyA,360),CalcAmt3)))</f>
        <v/>
      </c>
      <c r="F384" s="14">
        <f>IF($B384="","",IF(360&gt;NPartyA,0,SUMIF(CalcCredit,INDEX(PkPartyA,360),CalcAmt)+SUMIF(CalcCredit2,INDEX(PkPartyA,360),CalcAmt2)+SUMIF(CalcCredit3,INDEX(PkPartyA,360),CalcAmt3)))</f>
        <v/>
      </c>
      <c r="G384" s="15">
        <f>IF($B384="","",ROUND($E384-$F384,0))</f>
        <v/>
      </c>
      <c r="H384" s="12">
        <f>IF($B384="","",IF(ROUND($G384,0)&gt;0,"بدهکار",IF(ROUND($G384,0)&lt;0,"بستانکار","تسویه")))</f>
        <v/>
      </c>
    </row>
    <row r="385">
      <c r="A385" s="16">
        <f>IF($B385="","",376)</f>
        <v/>
      </c>
      <c r="B385" s="17">
        <f>IF(361&gt;NPartyA,"",IFERROR(IF(VLOOKUP(INDEX(PkPartyA,361),AcctTblA,4,0)="","(بدون نام)",VLOOKUP(INDEX(PkPartyA,361),AcctTblA,4,0)),"—"))</f>
        <v/>
      </c>
      <c r="C385" s="18">
        <f>IF($B385="","",IF(361&gt;NPartyA,"",INDEX(PkPartyA,361)))</f>
        <v/>
      </c>
      <c r="D385" s="17">
        <f>IF($B385="","","p")</f>
        <v/>
      </c>
      <c r="E385" s="19">
        <f>IF($B385="","",IF(361&gt;NPartyA,0,SUMIF(CalcDebit,INDEX(PkPartyA,361),CalcAmt)+SUMIF(CalcDebit2,INDEX(PkPartyA,361),CalcAmt2)+SUMIF(CalcDebit3,INDEX(PkPartyA,361),CalcAmt3)))</f>
        <v/>
      </c>
      <c r="F385" s="19">
        <f>IF($B385="","",IF(361&gt;NPartyA,0,SUMIF(CalcCredit,INDEX(PkPartyA,361),CalcAmt)+SUMIF(CalcCredit2,INDEX(PkPartyA,361),CalcAmt2)+SUMIF(CalcCredit3,INDEX(PkPartyA,361),CalcAmt3)))</f>
        <v/>
      </c>
      <c r="G385" s="20">
        <f>IF($B385="","",ROUND($E385-$F385,0))</f>
        <v/>
      </c>
      <c r="H385" s="17">
        <f>IF($B385="","",IF(ROUND($G385,0)&gt;0,"بدهکار",IF(ROUND($G385,0)&lt;0,"بستانکار","تسویه")))</f>
        <v/>
      </c>
    </row>
    <row r="386">
      <c r="A386" s="11">
        <f>IF($B386="","",377)</f>
        <v/>
      </c>
      <c r="B386" s="12">
        <f>IF(362&gt;NPartyA,"",IFERROR(IF(VLOOKUP(INDEX(PkPartyA,362),AcctTblA,4,0)="","(بدون نام)",VLOOKUP(INDEX(PkPartyA,362),AcctTblA,4,0)),"—"))</f>
        <v/>
      </c>
      <c r="C386" s="13">
        <f>IF($B386="","",IF(362&gt;NPartyA,"",INDEX(PkPartyA,362)))</f>
        <v/>
      </c>
      <c r="D386" s="12">
        <f>IF($B386="","","p")</f>
        <v/>
      </c>
      <c r="E386" s="14">
        <f>IF($B386="","",IF(362&gt;NPartyA,0,SUMIF(CalcDebit,INDEX(PkPartyA,362),CalcAmt)+SUMIF(CalcDebit2,INDEX(PkPartyA,362),CalcAmt2)+SUMIF(CalcDebit3,INDEX(PkPartyA,362),CalcAmt3)))</f>
        <v/>
      </c>
      <c r="F386" s="14">
        <f>IF($B386="","",IF(362&gt;NPartyA,0,SUMIF(CalcCredit,INDEX(PkPartyA,362),CalcAmt)+SUMIF(CalcCredit2,INDEX(PkPartyA,362),CalcAmt2)+SUMIF(CalcCredit3,INDEX(PkPartyA,362),CalcAmt3)))</f>
        <v/>
      </c>
      <c r="G386" s="15">
        <f>IF($B386="","",ROUND($E386-$F386,0))</f>
        <v/>
      </c>
      <c r="H386" s="12">
        <f>IF($B386="","",IF(ROUND($G386,0)&gt;0,"بدهکار",IF(ROUND($G386,0)&lt;0,"بستانکار","تسویه")))</f>
        <v/>
      </c>
    </row>
    <row r="387">
      <c r="A387" s="16">
        <f>IF($B387="","",378)</f>
        <v/>
      </c>
      <c r="B387" s="17">
        <f>IF(363&gt;NPartyA,"",IFERROR(IF(VLOOKUP(INDEX(PkPartyA,363),AcctTblA,4,0)="","(بدون نام)",VLOOKUP(INDEX(PkPartyA,363),AcctTblA,4,0)),"—"))</f>
        <v/>
      </c>
      <c r="C387" s="18">
        <f>IF($B387="","",IF(363&gt;NPartyA,"",INDEX(PkPartyA,363)))</f>
        <v/>
      </c>
      <c r="D387" s="17">
        <f>IF($B387="","","p")</f>
        <v/>
      </c>
      <c r="E387" s="19">
        <f>IF($B387="","",IF(363&gt;NPartyA,0,SUMIF(CalcDebit,INDEX(PkPartyA,363),CalcAmt)+SUMIF(CalcDebit2,INDEX(PkPartyA,363),CalcAmt2)+SUMIF(CalcDebit3,INDEX(PkPartyA,363),CalcAmt3)))</f>
        <v/>
      </c>
      <c r="F387" s="19">
        <f>IF($B387="","",IF(363&gt;NPartyA,0,SUMIF(CalcCredit,INDEX(PkPartyA,363),CalcAmt)+SUMIF(CalcCredit2,INDEX(PkPartyA,363),CalcAmt2)+SUMIF(CalcCredit3,INDEX(PkPartyA,363),CalcAmt3)))</f>
        <v/>
      </c>
      <c r="G387" s="20">
        <f>IF($B387="","",ROUND($E387-$F387,0))</f>
        <v/>
      </c>
      <c r="H387" s="17">
        <f>IF($B387="","",IF(ROUND($G387,0)&gt;0,"بدهکار",IF(ROUND($G387,0)&lt;0,"بستانکار","تسویه")))</f>
        <v/>
      </c>
    </row>
    <row r="388">
      <c r="A388" s="11">
        <f>IF($B388="","",379)</f>
        <v/>
      </c>
      <c r="B388" s="12">
        <f>IF(364&gt;NPartyA,"",IFERROR(IF(VLOOKUP(INDEX(PkPartyA,364),AcctTblA,4,0)="","(بدون نام)",VLOOKUP(INDEX(PkPartyA,364),AcctTblA,4,0)),"—"))</f>
        <v/>
      </c>
      <c r="C388" s="13">
        <f>IF($B388="","",IF(364&gt;NPartyA,"",INDEX(PkPartyA,364)))</f>
        <v/>
      </c>
      <c r="D388" s="12">
        <f>IF($B388="","","p")</f>
        <v/>
      </c>
      <c r="E388" s="14">
        <f>IF($B388="","",IF(364&gt;NPartyA,0,SUMIF(CalcDebit,INDEX(PkPartyA,364),CalcAmt)+SUMIF(CalcDebit2,INDEX(PkPartyA,364),CalcAmt2)+SUMIF(CalcDebit3,INDEX(PkPartyA,364),CalcAmt3)))</f>
        <v/>
      </c>
      <c r="F388" s="14">
        <f>IF($B388="","",IF(364&gt;NPartyA,0,SUMIF(CalcCredit,INDEX(PkPartyA,364),CalcAmt)+SUMIF(CalcCredit2,INDEX(PkPartyA,364),CalcAmt2)+SUMIF(CalcCredit3,INDEX(PkPartyA,364),CalcAmt3)))</f>
        <v/>
      </c>
      <c r="G388" s="15">
        <f>IF($B388="","",ROUND($E388-$F388,0))</f>
        <v/>
      </c>
      <c r="H388" s="12">
        <f>IF($B388="","",IF(ROUND($G388,0)&gt;0,"بدهکار",IF(ROUND($G388,0)&lt;0,"بستانکار","تسویه")))</f>
        <v/>
      </c>
    </row>
    <row r="389">
      <c r="A389" s="16">
        <f>IF($B389="","",380)</f>
        <v/>
      </c>
      <c r="B389" s="17">
        <f>IF(365&gt;NPartyA,"",IFERROR(IF(VLOOKUP(INDEX(PkPartyA,365),AcctTblA,4,0)="","(بدون نام)",VLOOKUP(INDEX(PkPartyA,365),AcctTblA,4,0)),"—"))</f>
        <v/>
      </c>
      <c r="C389" s="18">
        <f>IF($B389="","",IF(365&gt;NPartyA,"",INDEX(PkPartyA,365)))</f>
        <v/>
      </c>
      <c r="D389" s="17">
        <f>IF($B389="","","p")</f>
        <v/>
      </c>
      <c r="E389" s="19">
        <f>IF($B389="","",IF(365&gt;NPartyA,0,SUMIF(CalcDebit,INDEX(PkPartyA,365),CalcAmt)+SUMIF(CalcDebit2,INDEX(PkPartyA,365),CalcAmt2)+SUMIF(CalcDebit3,INDEX(PkPartyA,365),CalcAmt3)))</f>
        <v/>
      </c>
      <c r="F389" s="19">
        <f>IF($B389="","",IF(365&gt;NPartyA,0,SUMIF(CalcCredit,INDEX(PkPartyA,365),CalcAmt)+SUMIF(CalcCredit2,INDEX(PkPartyA,365),CalcAmt2)+SUMIF(CalcCredit3,INDEX(PkPartyA,365),CalcAmt3)))</f>
        <v/>
      </c>
      <c r="G389" s="20">
        <f>IF($B389="","",ROUND($E389-$F389,0))</f>
        <v/>
      </c>
      <c r="H389" s="17">
        <f>IF($B389="","",IF(ROUND($G389,0)&gt;0,"بدهکار",IF(ROUND($G389,0)&lt;0,"بستانکار","تسویه")))</f>
        <v/>
      </c>
    </row>
    <row r="390">
      <c r="A390" s="11">
        <f>IF($B390="","",381)</f>
        <v/>
      </c>
      <c r="B390" s="12">
        <f>IF(366&gt;NPartyA,"",IFERROR(IF(VLOOKUP(INDEX(PkPartyA,366),AcctTblA,4,0)="","(بدون نام)",VLOOKUP(INDEX(PkPartyA,366),AcctTblA,4,0)),"—"))</f>
        <v/>
      </c>
      <c r="C390" s="13">
        <f>IF($B390="","",IF(366&gt;NPartyA,"",INDEX(PkPartyA,366)))</f>
        <v/>
      </c>
      <c r="D390" s="12">
        <f>IF($B390="","","p")</f>
        <v/>
      </c>
      <c r="E390" s="14">
        <f>IF($B390="","",IF(366&gt;NPartyA,0,SUMIF(CalcDebit,INDEX(PkPartyA,366),CalcAmt)+SUMIF(CalcDebit2,INDEX(PkPartyA,366),CalcAmt2)+SUMIF(CalcDebit3,INDEX(PkPartyA,366),CalcAmt3)))</f>
        <v/>
      </c>
      <c r="F390" s="14">
        <f>IF($B390="","",IF(366&gt;NPartyA,0,SUMIF(CalcCredit,INDEX(PkPartyA,366),CalcAmt)+SUMIF(CalcCredit2,INDEX(PkPartyA,366),CalcAmt2)+SUMIF(CalcCredit3,INDEX(PkPartyA,366),CalcAmt3)))</f>
        <v/>
      </c>
      <c r="G390" s="15">
        <f>IF($B390="","",ROUND($E390-$F390,0))</f>
        <v/>
      </c>
      <c r="H390" s="12">
        <f>IF($B390="","",IF(ROUND($G390,0)&gt;0,"بدهکار",IF(ROUND($G390,0)&lt;0,"بستانکار","تسویه")))</f>
        <v/>
      </c>
    </row>
    <row r="391">
      <c r="A391" s="16">
        <f>IF($B391="","",382)</f>
        <v/>
      </c>
      <c r="B391" s="17">
        <f>IF(367&gt;NPartyA,"",IFERROR(IF(VLOOKUP(INDEX(PkPartyA,367),AcctTblA,4,0)="","(بدون نام)",VLOOKUP(INDEX(PkPartyA,367),AcctTblA,4,0)),"—"))</f>
        <v/>
      </c>
      <c r="C391" s="18">
        <f>IF($B391="","",IF(367&gt;NPartyA,"",INDEX(PkPartyA,367)))</f>
        <v/>
      </c>
      <c r="D391" s="17">
        <f>IF($B391="","","p")</f>
        <v/>
      </c>
      <c r="E391" s="19">
        <f>IF($B391="","",IF(367&gt;NPartyA,0,SUMIF(CalcDebit,INDEX(PkPartyA,367),CalcAmt)+SUMIF(CalcDebit2,INDEX(PkPartyA,367),CalcAmt2)+SUMIF(CalcDebit3,INDEX(PkPartyA,367),CalcAmt3)))</f>
        <v/>
      </c>
      <c r="F391" s="19">
        <f>IF($B391="","",IF(367&gt;NPartyA,0,SUMIF(CalcCredit,INDEX(PkPartyA,367),CalcAmt)+SUMIF(CalcCredit2,INDEX(PkPartyA,367),CalcAmt2)+SUMIF(CalcCredit3,INDEX(PkPartyA,367),CalcAmt3)))</f>
        <v/>
      </c>
      <c r="G391" s="20">
        <f>IF($B391="","",ROUND($E391-$F391,0))</f>
        <v/>
      </c>
      <c r="H391" s="17">
        <f>IF($B391="","",IF(ROUND($G391,0)&gt;0,"بدهکار",IF(ROUND($G391,0)&lt;0,"بستانکار","تسویه")))</f>
        <v/>
      </c>
    </row>
    <row r="392">
      <c r="A392" s="11">
        <f>IF($B392="","",383)</f>
        <v/>
      </c>
      <c r="B392" s="12">
        <f>IF(368&gt;NPartyA,"",IFERROR(IF(VLOOKUP(INDEX(PkPartyA,368),AcctTblA,4,0)="","(بدون نام)",VLOOKUP(INDEX(PkPartyA,368),AcctTblA,4,0)),"—"))</f>
        <v/>
      </c>
      <c r="C392" s="13">
        <f>IF($B392="","",IF(368&gt;NPartyA,"",INDEX(PkPartyA,368)))</f>
        <v/>
      </c>
      <c r="D392" s="12">
        <f>IF($B392="","","p")</f>
        <v/>
      </c>
      <c r="E392" s="14">
        <f>IF($B392="","",IF(368&gt;NPartyA,0,SUMIF(CalcDebit,INDEX(PkPartyA,368),CalcAmt)+SUMIF(CalcDebit2,INDEX(PkPartyA,368),CalcAmt2)+SUMIF(CalcDebit3,INDEX(PkPartyA,368),CalcAmt3)))</f>
        <v/>
      </c>
      <c r="F392" s="14">
        <f>IF($B392="","",IF(368&gt;NPartyA,0,SUMIF(CalcCredit,INDEX(PkPartyA,368),CalcAmt)+SUMIF(CalcCredit2,INDEX(PkPartyA,368),CalcAmt2)+SUMIF(CalcCredit3,INDEX(PkPartyA,368),CalcAmt3)))</f>
        <v/>
      </c>
      <c r="G392" s="15">
        <f>IF($B392="","",ROUND($E392-$F392,0))</f>
        <v/>
      </c>
      <c r="H392" s="12">
        <f>IF($B392="","",IF(ROUND($G392,0)&gt;0,"بدهکار",IF(ROUND($G392,0)&lt;0,"بستانکار","تسویه")))</f>
        <v/>
      </c>
    </row>
    <row r="393">
      <c r="A393" s="16">
        <f>IF($B393="","",384)</f>
        <v/>
      </c>
      <c r="B393" s="17">
        <f>IF(369&gt;NPartyA,"",IFERROR(IF(VLOOKUP(INDEX(PkPartyA,369),AcctTblA,4,0)="","(بدون نام)",VLOOKUP(INDEX(PkPartyA,369),AcctTblA,4,0)),"—"))</f>
        <v/>
      </c>
      <c r="C393" s="18">
        <f>IF($B393="","",IF(369&gt;NPartyA,"",INDEX(PkPartyA,369)))</f>
        <v/>
      </c>
      <c r="D393" s="17">
        <f>IF($B393="","","p")</f>
        <v/>
      </c>
      <c r="E393" s="19">
        <f>IF($B393="","",IF(369&gt;NPartyA,0,SUMIF(CalcDebit,INDEX(PkPartyA,369),CalcAmt)+SUMIF(CalcDebit2,INDEX(PkPartyA,369),CalcAmt2)+SUMIF(CalcDebit3,INDEX(PkPartyA,369),CalcAmt3)))</f>
        <v/>
      </c>
      <c r="F393" s="19">
        <f>IF($B393="","",IF(369&gt;NPartyA,0,SUMIF(CalcCredit,INDEX(PkPartyA,369),CalcAmt)+SUMIF(CalcCredit2,INDEX(PkPartyA,369),CalcAmt2)+SUMIF(CalcCredit3,INDEX(PkPartyA,369),CalcAmt3)))</f>
        <v/>
      </c>
      <c r="G393" s="20">
        <f>IF($B393="","",ROUND($E393-$F393,0))</f>
        <v/>
      </c>
      <c r="H393" s="17">
        <f>IF($B393="","",IF(ROUND($G393,0)&gt;0,"بدهکار",IF(ROUND($G393,0)&lt;0,"بستانکار","تسویه")))</f>
        <v/>
      </c>
    </row>
    <row r="394">
      <c r="A394" s="11">
        <f>IF($B394="","",385)</f>
        <v/>
      </c>
      <c r="B394" s="12">
        <f>IF(370&gt;NPartyA,"",IFERROR(IF(VLOOKUP(INDEX(PkPartyA,370),AcctTblA,4,0)="","(بدون نام)",VLOOKUP(INDEX(PkPartyA,370),AcctTblA,4,0)),"—"))</f>
        <v/>
      </c>
      <c r="C394" s="13">
        <f>IF($B394="","",IF(370&gt;NPartyA,"",INDEX(PkPartyA,370)))</f>
        <v/>
      </c>
      <c r="D394" s="12">
        <f>IF($B394="","","p")</f>
        <v/>
      </c>
      <c r="E394" s="14">
        <f>IF($B394="","",IF(370&gt;NPartyA,0,SUMIF(CalcDebit,INDEX(PkPartyA,370),CalcAmt)+SUMIF(CalcDebit2,INDEX(PkPartyA,370),CalcAmt2)+SUMIF(CalcDebit3,INDEX(PkPartyA,370),CalcAmt3)))</f>
        <v/>
      </c>
      <c r="F394" s="14">
        <f>IF($B394="","",IF(370&gt;NPartyA,0,SUMIF(CalcCredit,INDEX(PkPartyA,370),CalcAmt)+SUMIF(CalcCredit2,INDEX(PkPartyA,370),CalcAmt2)+SUMIF(CalcCredit3,INDEX(PkPartyA,370),CalcAmt3)))</f>
        <v/>
      </c>
      <c r="G394" s="15">
        <f>IF($B394="","",ROUND($E394-$F394,0))</f>
        <v/>
      </c>
      <c r="H394" s="12">
        <f>IF($B394="","",IF(ROUND($G394,0)&gt;0,"بدهکار",IF(ROUND($G394,0)&lt;0,"بستانکار","تسویه")))</f>
        <v/>
      </c>
    </row>
    <row r="395">
      <c r="A395" s="16">
        <f>IF($B395="","",386)</f>
        <v/>
      </c>
      <c r="B395" s="17">
        <f>IF(371&gt;NPartyA,"",IFERROR(IF(VLOOKUP(INDEX(PkPartyA,371),AcctTblA,4,0)="","(بدون نام)",VLOOKUP(INDEX(PkPartyA,371),AcctTblA,4,0)),"—"))</f>
        <v/>
      </c>
      <c r="C395" s="18">
        <f>IF($B395="","",IF(371&gt;NPartyA,"",INDEX(PkPartyA,371)))</f>
        <v/>
      </c>
      <c r="D395" s="17">
        <f>IF($B395="","","p")</f>
        <v/>
      </c>
      <c r="E395" s="19">
        <f>IF($B395="","",IF(371&gt;NPartyA,0,SUMIF(CalcDebit,INDEX(PkPartyA,371),CalcAmt)+SUMIF(CalcDebit2,INDEX(PkPartyA,371),CalcAmt2)+SUMIF(CalcDebit3,INDEX(PkPartyA,371),CalcAmt3)))</f>
        <v/>
      </c>
      <c r="F395" s="19">
        <f>IF($B395="","",IF(371&gt;NPartyA,0,SUMIF(CalcCredit,INDEX(PkPartyA,371),CalcAmt)+SUMIF(CalcCredit2,INDEX(PkPartyA,371),CalcAmt2)+SUMIF(CalcCredit3,INDEX(PkPartyA,371),CalcAmt3)))</f>
        <v/>
      </c>
      <c r="G395" s="20">
        <f>IF($B395="","",ROUND($E395-$F395,0))</f>
        <v/>
      </c>
      <c r="H395" s="17">
        <f>IF($B395="","",IF(ROUND($G395,0)&gt;0,"بدهکار",IF(ROUND($G395,0)&lt;0,"بستانکار","تسویه")))</f>
        <v/>
      </c>
    </row>
    <row r="396">
      <c r="A396" s="11">
        <f>IF($B396="","",387)</f>
        <v/>
      </c>
      <c r="B396" s="12">
        <f>IF(372&gt;NPartyA,"",IFERROR(IF(VLOOKUP(INDEX(PkPartyA,372),AcctTblA,4,0)="","(بدون نام)",VLOOKUP(INDEX(PkPartyA,372),AcctTblA,4,0)),"—"))</f>
        <v/>
      </c>
      <c r="C396" s="13">
        <f>IF($B396="","",IF(372&gt;NPartyA,"",INDEX(PkPartyA,372)))</f>
        <v/>
      </c>
      <c r="D396" s="12">
        <f>IF($B396="","","p")</f>
        <v/>
      </c>
      <c r="E396" s="14">
        <f>IF($B396="","",IF(372&gt;NPartyA,0,SUMIF(CalcDebit,INDEX(PkPartyA,372),CalcAmt)+SUMIF(CalcDebit2,INDEX(PkPartyA,372),CalcAmt2)+SUMIF(CalcDebit3,INDEX(PkPartyA,372),CalcAmt3)))</f>
        <v/>
      </c>
      <c r="F396" s="14">
        <f>IF($B396="","",IF(372&gt;NPartyA,0,SUMIF(CalcCredit,INDEX(PkPartyA,372),CalcAmt)+SUMIF(CalcCredit2,INDEX(PkPartyA,372),CalcAmt2)+SUMIF(CalcCredit3,INDEX(PkPartyA,372),CalcAmt3)))</f>
        <v/>
      </c>
      <c r="G396" s="15">
        <f>IF($B396="","",ROUND($E396-$F396,0))</f>
        <v/>
      </c>
      <c r="H396" s="12">
        <f>IF($B396="","",IF(ROUND($G396,0)&gt;0,"بدهکار",IF(ROUND($G396,0)&lt;0,"بستانکار","تسویه")))</f>
        <v/>
      </c>
    </row>
    <row r="397">
      <c r="A397" s="16">
        <f>IF($B397="","",388)</f>
        <v/>
      </c>
      <c r="B397" s="17">
        <f>IF(373&gt;NPartyA,"",IFERROR(IF(VLOOKUP(INDEX(PkPartyA,373),AcctTblA,4,0)="","(بدون نام)",VLOOKUP(INDEX(PkPartyA,373),AcctTblA,4,0)),"—"))</f>
        <v/>
      </c>
      <c r="C397" s="18">
        <f>IF($B397="","",IF(373&gt;NPartyA,"",INDEX(PkPartyA,373)))</f>
        <v/>
      </c>
      <c r="D397" s="17">
        <f>IF($B397="","","p")</f>
        <v/>
      </c>
      <c r="E397" s="19">
        <f>IF($B397="","",IF(373&gt;NPartyA,0,SUMIF(CalcDebit,INDEX(PkPartyA,373),CalcAmt)+SUMIF(CalcDebit2,INDEX(PkPartyA,373),CalcAmt2)+SUMIF(CalcDebit3,INDEX(PkPartyA,373),CalcAmt3)))</f>
        <v/>
      </c>
      <c r="F397" s="19">
        <f>IF($B397="","",IF(373&gt;NPartyA,0,SUMIF(CalcCredit,INDEX(PkPartyA,373),CalcAmt)+SUMIF(CalcCredit2,INDEX(PkPartyA,373),CalcAmt2)+SUMIF(CalcCredit3,INDEX(PkPartyA,373),CalcAmt3)))</f>
        <v/>
      </c>
      <c r="G397" s="20">
        <f>IF($B397="","",ROUND($E397-$F397,0))</f>
        <v/>
      </c>
      <c r="H397" s="17">
        <f>IF($B397="","",IF(ROUND($G397,0)&gt;0,"بدهکار",IF(ROUND($G397,0)&lt;0,"بستانکار","تسویه")))</f>
        <v/>
      </c>
    </row>
    <row r="398">
      <c r="A398" s="11">
        <f>IF($B398="","",389)</f>
        <v/>
      </c>
      <c r="B398" s="12">
        <f>IF(374&gt;NPartyA,"",IFERROR(IF(VLOOKUP(INDEX(PkPartyA,374),AcctTblA,4,0)="","(بدون نام)",VLOOKUP(INDEX(PkPartyA,374),AcctTblA,4,0)),"—"))</f>
        <v/>
      </c>
      <c r="C398" s="13">
        <f>IF($B398="","",IF(374&gt;NPartyA,"",INDEX(PkPartyA,374)))</f>
        <v/>
      </c>
      <c r="D398" s="12">
        <f>IF($B398="","","p")</f>
        <v/>
      </c>
      <c r="E398" s="14">
        <f>IF($B398="","",IF(374&gt;NPartyA,0,SUMIF(CalcDebit,INDEX(PkPartyA,374),CalcAmt)+SUMIF(CalcDebit2,INDEX(PkPartyA,374),CalcAmt2)+SUMIF(CalcDebit3,INDEX(PkPartyA,374),CalcAmt3)))</f>
        <v/>
      </c>
      <c r="F398" s="14">
        <f>IF($B398="","",IF(374&gt;NPartyA,0,SUMIF(CalcCredit,INDEX(PkPartyA,374),CalcAmt)+SUMIF(CalcCredit2,INDEX(PkPartyA,374),CalcAmt2)+SUMIF(CalcCredit3,INDEX(PkPartyA,374),CalcAmt3)))</f>
        <v/>
      </c>
      <c r="G398" s="15">
        <f>IF($B398="","",ROUND($E398-$F398,0))</f>
        <v/>
      </c>
      <c r="H398" s="12">
        <f>IF($B398="","",IF(ROUND($G398,0)&gt;0,"بدهکار",IF(ROUND($G398,0)&lt;0,"بستانکار","تسویه")))</f>
        <v/>
      </c>
    </row>
    <row r="399">
      <c r="A399" s="16">
        <f>IF($B399="","",390)</f>
        <v/>
      </c>
      <c r="B399" s="17">
        <f>IF(375&gt;NPartyA,"",IFERROR(IF(VLOOKUP(INDEX(PkPartyA,375),AcctTblA,4,0)="","(بدون نام)",VLOOKUP(INDEX(PkPartyA,375),AcctTblA,4,0)),"—"))</f>
        <v/>
      </c>
      <c r="C399" s="18">
        <f>IF($B399="","",IF(375&gt;NPartyA,"",INDEX(PkPartyA,375)))</f>
        <v/>
      </c>
      <c r="D399" s="17">
        <f>IF($B399="","","p")</f>
        <v/>
      </c>
      <c r="E399" s="19">
        <f>IF($B399="","",IF(375&gt;NPartyA,0,SUMIF(CalcDebit,INDEX(PkPartyA,375),CalcAmt)+SUMIF(CalcDebit2,INDEX(PkPartyA,375),CalcAmt2)+SUMIF(CalcDebit3,INDEX(PkPartyA,375),CalcAmt3)))</f>
        <v/>
      </c>
      <c r="F399" s="19">
        <f>IF($B399="","",IF(375&gt;NPartyA,0,SUMIF(CalcCredit,INDEX(PkPartyA,375),CalcAmt)+SUMIF(CalcCredit2,INDEX(PkPartyA,375),CalcAmt2)+SUMIF(CalcCredit3,INDEX(PkPartyA,375),CalcAmt3)))</f>
        <v/>
      </c>
      <c r="G399" s="20">
        <f>IF($B399="","",ROUND($E399-$F399,0))</f>
        <v/>
      </c>
      <c r="H399" s="17">
        <f>IF($B399="","",IF(ROUND($G399,0)&gt;0,"بدهکار",IF(ROUND($G399,0)&lt;0,"بستانکار","تسویه")))</f>
        <v/>
      </c>
    </row>
    <row r="400">
      <c r="A400" s="11">
        <f>IF($B400="","",391)</f>
        <v/>
      </c>
      <c r="B400" s="12">
        <f>IF(376&gt;NPartyA,"",IFERROR(IF(VLOOKUP(INDEX(PkPartyA,376),AcctTblA,4,0)="","(بدون نام)",VLOOKUP(INDEX(PkPartyA,376),AcctTblA,4,0)),"—"))</f>
        <v/>
      </c>
      <c r="C400" s="13">
        <f>IF($B400="","",IF(376&gt;NPartyA,"",INDEX(PkPartyA,376)))</f>
        <v/>
      </c>
      <c r="D400" s="12">
        <f>IF($B400="","","p")</f>
        <v/>
      </c>
      <c r="E400" s="14">
        <f>IF($B400="","",IF(376&gt;NPartyA,0,SUMIF(CalcDebit,INDEX(PkPartyA,376),CalcAmt)+SUMIF(CalcDebit2,INDEX(PkPartyA,376),CalcAmt2)+SUMIF(CalcDebit3,INDEX(PkPartyA,376),CalcAmt3)))</f>
        <v/>
      </c>
      <c r="F400" s="14">
        <f>IF($B400="","",IF(376&gt;NPartyA,0,SUMIF(CalcCredit,INDEX(PkPartyA,376),CalcAmt)+SUMIF(CalcCredit2,INDEX(PkPartyA,376),CalcAmt2)+SUMIF(CalcCredit3,INDEX(PkPartyA,376),CalcAmt3)))</f>
        <v/>
      </c>
      <c r="G400" s="15">
        <f>IF($B400="","",ROUND($E400-$F400,0))</f>
        <v/>
      </c>
      <c r="H400" s="12">
        <f>IF($B400="","",IF(ROUND($G400,0)&gt;0,"بدهکار",IF(ROUND($G400,0)&lt;0,"بستانکار","تسویه")))</f>
        <v/>
      </c>
    </row>
    <row r="401">
      <c r="A401" s="16">
        <f>IF($B401="","",392)</f>
        <v/>
      </c>
      <c r="B401" s="17">
        <f>IF(377&gt;NPartyA,"",IFERROR(IF(VLOOKUP(INDEX(PkPartyA,377),AcctTblA,4,0)="","(بدون نام)",VLOOKUP(INDEX(PkPartyA,377),AcctTblA,4,0)),"—"))</f>
        <v/>
      </c>
      <c r="C401" s="18">
        <f>IF($B401="","",IF(377&gt;NPartyA,"",INDEX(PkPartyA,377)))</f>
        <v/>
      </c>
      <c r="D401" s="17">
        <f>IF($B401="","","p")</f>
        <v/>
      </c>
      <c r="E401" s="19">
        <f>IF($B401="","",IF(377&gt;NPartyA,0,SUMIF(CalcDebit,INDEX(PkPartyA,377),CalcAmt)+SUMIF(CalcDebit2,INDEX(PkPartyA,377),CalcAmt2)+SUMIF(CalcDebit3,INDEX(PkPartyA,377),CalcAmt3)))</f>
        <v/>
      </c>
      <c r="F401" s="19">
        <f>IF($B401="","",IF(377&gt;NPartyA,0,SUMIF(CalcCredit,INDEX(PkPartyA,377),CalcAmt)+SUMIF(CalcCredit2,INDEX(PkPartyA,377),CalcAmt2)+SUMIF(CalcCredit3,INDEX(PkPartyA,377),CalcAmt3)))</f>
        <v/>
      </c>
      <c r="G401" s="20">
        <f>IF($B401="","",ROUND($E401-$F401,0))</f>
        <v/>
      </c>
      <c r="H401" s="17">
        <f>IF($B401="","",IF(ROUND($G401,0)&gt;0,"بدهکار",IF(ROUND($G401,0)&lt;0,"بستانکار","تسویه")))</f>
        <v/>
      </c>
    </row>
    <row r="402">
      <c r="A402" s="11">
        <f>IF($B402="","",393)</f>
        <v/>
      </c>
      <c r="B402" s="12">
        <f>IF(378&gt;NPartyA,"",IFERROR(IF(VLOOKUP(INDEX(PkPartyA,378),AcctTblA,4,0)="","(بدون نام)",VLOOKUP(INDEX(PkPartyA,378),AcctTblA,4,0)),"—"))</f>
        <v/>
      </c>
      <c r="C402" s="13">
        <f>IF($B402="","",IF(378&gt;NPartyA,"",INDEX(PkPartyA,378)))</f>
        <v/>
      </c>
      <c r="D402" s="12">
        <f>IF($B402="","","p")</f>
        <v/>
      </c>
      <c r="E402" s="14">
        <f>IF($B402="","",IF(378&gt;NPartyA,0,SUMIF(CalcDebit,INDEX(PkPartyA,378),CalcAmt)+SUMIF(CalcDebit2,INDEX(PkPartyA,378),CalcAmt2)+SUMIF(CalcDebit3,INDEX(PkPartyA,378),CalcAmt3)))</f>
        <v/>
      </c>
      <c r="F402" s="14">
        <f>IF($B402="","",IF(378&gt;NPartyA,0,SUMIF(CalcCredit,INDEX(PkPartyA,378),CalcAmt)+SUMIF(CalcCredit2,INDEX(PkPartyA,378),CalcAmt2)+SUMIF(CalcCredit3,INDEX(PkPartyA,378),CalcAmt3)))</f>
        <v/>
      </c>
      <c r="G402" s="15">
        <f>IF($B402="","",ROUND($E402-$F402,0))</f>
        <v/>
      </c>
      <c r="H402" s="12">
        <f>IF($B402="","",IF(ROUND($G402,0)&gt;0,"بدهکار",IF(ROUND($G402,0)&lt;0,"بستانکار","تسویه")))</f>
        <v/>
      </c>
    </row>
    <row r="403">
      <c r="A403" s="16">
        <f>IF($B403="","",394)</f>
        <v/>
      </c>
      <c r="B403" s="17">
        <f>IF(379&gt;NPartyA,"",IFERROR(IF(VLOOKUP(INDEX(PkPartyA,379),AcctTblA,4,0)="","(بدون نام)",VLOOKUP(INDEX(PkPartyA,379),AcctTblA,4,0)),"—"))</f>
        <v/>
      </c>
      <c r="C403" s="18">
        <f>IF($B403="","",IF(379&gt;NPartyA,"",INDEX(PkPartyA,379)))</f>
        <v/>
      </c>
      <c r="D403" s="17">
        <f>IF($B403="","","p")</f>
        <v/>
      </c>
      <c r="E403" s="19">
        <f>IF($B403="","",IF(379&gt;NPartyA,0,SUMIF(CalcDebit,INDEX(PkPartyA,379),CalcAmt)+SUMIF(CalcDebit2,INDEX(PkPartyA,379),CalcAmt2)+SUMIF(CalcDebit3,INDEX(PkPartyA,379),CalcAmt3)))</f>
        <v/>
      </c>
      <c r="F403" s="19">
        <f>IF($B403="","",IF(379&gt;NPartyA,0,SUMIF(CalcCredit,INDEX(PkPartyA,379),CalcAmt)+SUMIF(CalcCredit2,INDEX(PkPartyA,379),CalcAmt2)+SUMIF(CalcCredit3,INDEX(PkPartyA,379),CalcAmt3)))</f>
        <v/>
      </c>
      <c r="G403" s="20">
        <f>IF($B403="","",ROUND($E403-$F403,0))</f>
        <v/>
      </c>
      <c r="H403" s="17">
        <f>IF($B403="","",IF(ROUND($G403,0)&gt;0,"بدهکار",IF(ROUND($G403,0)&lt;0,"بستانکار","تسویه")))</f>
        <v/>
      </c>
    </row>
    <row r="404">
      <c r="A404" s="11">
        <f>IF($B404="","",395)</f>
        <v/>
      </c>
      <c r="B404" s="12">
        <f>IF(380&gt;NPartyA,"",IFERROR(IF(VLOOKUP(INDEX(PkPartyA,380),AcctTblA,4,0)="","(بدون نام)",VLOOKUP(INDEX(PkPartyA,380),AcctTblA,4,0)),"—"))</f>
        <v/>
      </c>
      <c r="C404" s="13">
        <f>IF($B404="","",IF(380&gt;NPartyA,"",INDEX(PkPartyA,380)))</f>
        <v/>
      </c>
      <c r="D404" s="12">
        <f>IF($B404="","","p")</f>
        <v/>
      </c>
      <c r="E404" s="14">
        <f>IF($B404="","",IF(380&gt;NPartyA,0,SUMIF(CalcDebit,INDEX(PkPartyA,380),CalcAmt)+SUMIF(CalcDebit2,INDEX(PkPartyA,380),CalcAmt2)+SUMIF(CalcDebit3,INDEX(PkPartyA,380),CalcAmt3)))</f>
        <v/>
      </c>
      <c r="F404" s="14">
        <f>IF($B404="","",IF(380&gt;NPartyA,0,SUMIF(CalcCredit,INDEX(PkPartyA,380),CalcAmt)+SUMIF(CalcCredit2,INDEX(PkPartyA,380),CalcAmt2)+SUMIF(CalcCredit3,INDEX(PkPartyA,380),CalcAmt3)))</f>
        <v/>
      </c>
      <c r="G404" s="15">
        <f>IF($B404="","",ROUND($E404-$F404,0))</f>
        <v/>
      </c>
      <c r="H404" s="12">
        <f>IF($B404="","",IF(ROUND($G404,0)&gt;0,"بدهکار",IF(ROUND($G404,0)&lt;0,"بستانکار","تسویه")))</f>
        <v/>
      </c>
    </row>
    <row r="405">
      <c r="A405" s="16">
        <f>IF($B405="","",396)</f>
        <v/>
      </c>
      <c r="B405" s="17">
        <f>IF(381&gt;NPartyA,"",IFERROR(IF(VLOOKUP(INDEX(PkPartyA,381),AcctTblA,4,0)="","(بدون نام)",VLOOKUP(INDEX(PkPartyA,381),AcctTblA,4,0)),"—"))</f>
        <v/>
      </c>
      <c r="C405" s="18">
        <f>IF($B405="","",IF(381&gt;NPartyA,"",INDEX(PkPartyA,381)))</f>
        <v/>
      </c>
      <c r="D405" s="17">
        <f>IF($B405="","","p")</f>
        <v/>
      </c>
      <c r="E405" s="19">
        <f>IF($B405="","",IF(381&gt;NPartyA,0,SUMIF(CalcDebit,INDEX(PkPartyA,381),CalcAmt)+SUMIF(CalcDebit2,INDEX(PkPartyA,381),CalcAmt2)+SUMIF(CalcDebit3,INDEX(PkPartyA,381),CalcAmt3)))</f>
        <v/>
      </c>
      <c r="F405" s="19">
        <f>IF($B405="","",IF(381&gt;NPartyA,0,SUMIF(CalcCredit,INDEX(PkPartyA,381),CalcAmt)+SUMIF(CalcCredit2,INDEX(PkPartyA,381),CalcAmt2)+SUMIF(CalcCredit3,INDEX(PkPartyA,381),CalcAmt3)))</f>
        <v/>
      </c>
      <c r="G405" s="20">
        <f>IF($B405="","",ROUND($E405-$F405,0))</f>
        <v/>
      </c>
      <c r="H405" s="17">
        <f>IF($B405="","",IF(ROUND($G405,0)&gt;0,"بدهکار",IF(ROUND($G405,0)&lt;0,"بستانکار","تسویه")))</f>
        <v/>
      </c>
    </row>
    <row r="406">
      <c r="A406" s="11">
        <f>IF($B406="","",397)</f>
        <v/>
      </c>
      <c r="B406" s="12">
        <f>IF(382&gt;NPartyA,"",IFERROR(IF(VLOOKUP(INDEX(PkPartyA,382),AcctTblA,4,0)="","(بدون نام)",VLOOKUP(INDEX(PkPartyA,382),AcctTblA,4,0)),"—"))</f>
        <v/>
      </c>
      <c r="C406" s="13">
        <f>IF($B406="","",IF(382&gt;NPartyA,"",INDEX(PkPartyA,382)))</f>
        <v/>
      </c>
      <c r="D406" s="12">
        <f>IF($B406="","","p")</f>
        <v/>
      </c>
      <c r="E406" s="14">
        <f>IF($B406="","",IF(382&gt;NPartyA,0,SUMIF(CalcDebit,INDEX(PkPartyA,382),CalcAmt)+SUMIF(CalcDebit2,INDEX(PkPartyA,382),CalcAmt2)+SUMIF(CalcDebit3,INDEX(PkPartyA,382),CalcAmt3)))</f>
        <v/>
      </c>
      <c r="F406" s="14">
        <f>IF($B406="","",IF(382&gt;NPartyA,0,SUMIF(CalcCredit,INDEX(PkPartyA,382),CalcAmt)+SUMIF(CalcCredit2,INDEX(PkPartyA,382),CalcAmt2)+SUMIF(CalcCredit3,INDEX(PkPartyA,382),CalcAmt3)))</f>
        <v/>
      </c>
      <c r="G406" s="15">
        <f>IF($B406="","",ROUND($E406-$F406,0))</f>
        <v/>
      </c>
      <c r="H406" s="12">
        <f>IF($B406="","",IF(ROUND($G406,0)&gt;0,"بدهکار",IF(ROUND($G406,0)&lt;0,"بستانکار","تسویه")))</f>
        <v/>
      </c>
    </row>
    <row r="407">
      <c r="A407" s="16">
        <f>IF($B407="","",398)</f>
        <v/>
      </c>
      <c r="B407" s="17">
        <f>IF(383&gt;NPartyA,"",IFERROR(IF(VLOOKUP(INDEX(PkPartyA,383),AcctTblA,4,0)="","(بدون نام)",VLOOKUP(INDEX(PkPartyA,383),AcctTblA,4,0)),"—"))</f>
        <v/>
      </c>
      <c r="C407" s="18">
        <f>IF($B407="","",IF(383&gt;NPartyA,"",INDEX(PkPartyA,383)))</f>
        <v/>
      </c>
      <c r="D407" s="17">
        <f>IF($B407="","","p")</f>
        <v/>
      </c>
      <c r="E407" s="19">
        <f>IF($B407="","",IF(383&gt;NPartyA,0,SUMIF(CalcDebit,INDEX(PkPartyA,383),CalcAmt)+SUMIF(CalcDebit2,INDEX(PkPartyA,383),CalcAmt2)+SUMIF(CalcDebit3,INDEX(PkPartyA,383),CalcAmt3)))</f>
        <v/>
      </c>
      <c r="F407" s="19">
        <f>IF($B407="","",IF(383&gt;NPartyA,0,SUMIF(CalcCredit,INDEX(PkPartyA,383),CalcAmt)+SUMIF(CalcCredit2,INDEX(PkPartyA,383),CalcAmt2)+SUMIF(CalcCredit3,INDEX(PkPartyA,383),CalcAmt3)))</f>
        <v/>
      </c>
      <c r="G407" s="20">
        <f>IF($B407="","",ROUND($E407-$F407,0))</f>
        <v/>
      </c>
      <c r="H407" s="17">
        <f>IF($B407="","",IF(ROUND($G407,0)&gt;0,"بدهکار",IF(ROUND($G407,0)&lt;0,"بستانکار","تسویه")))</f>
        <v/>
      </c>
    </row>
    <row r="408">
      <c r="A408" s="11">
        <f>IF($B408="","",399)</f>
        <v/>
      </c>
      <c r="B408" s="12">
        <f>IF(384&gt;NPartyA,"",IFERROR(IF(VLOOKUP(INDEX(PkPartyA,384),AcctTblA,4,0)="","(بدون نام)",VLOOKUP(INDEX(PkPartyA,384),AcctTblA,4,0)),"—"))</f>
        <v/>
      </c>
      <c r="C408" s="13">
        <f>IF($B408="","",IF(384&gt;NPartyA,"",INDEX(PkPartyA,384)))</f>
        <v/>
      </c>
      <c r="D408" s="12">
        <f>IF($B408="","","p")</f>
        <v/>
      </c>
      <c r="E408" s="14">
        <f>IF($B408="","",IF(384&gt;NPartyA,0,SUMIF(CalcDebit,INDEX(PkPartyA,384),CalcAmt)+SUMIF(CalcDebit2,INDEX(PkPartyA,384),CalcAmt2)+SUMIF(CalcDebit3,INDEX(PkPartyA,384),CalcAmt3)))</f>
        <v/>
      </c>
      <c r="F408" s="14">
        <f>IF($B408="","",IF(384&gt;NPartyA,0,SUMIF(CalcCredit,INDEX(PkPartyA,384),CalcAmt)+SUMIF(CalcCredit2,INDEX(PkPartyA,384),CalcAmt2)+SUMIF(CalcCredit3,INDEX(PkPartyA,384),CalcAmt3)))</f>
        <v/>
      </c>
      <c r="G408" s="15">
        <f>IF($B408="","",ROUND($E408-$F408,0))</f>
        <v/>
      </c>
      <c r="H408" s="12">
        <f>IF($B408="","",IF(ROUND($G408,0)&gt;0,"بدهکار",IF(ROUND($G408,0)&lt;0,"بستانکار","تسویه")))</f>
        <v/>
      </c>
    </row>
    <row r="409">
      <c r="A409" s="16">
        <f>IF($B409="","",400)</f>
        <v/>
      </c>
      <c r="B409" s="17">
        <f>IF(385&gt;NPartyA,"",IFERROR(IF(VLOOKUP(INDEX(PkPartyA,385),AcctTblA,4,0)="","(بدون نام)",VLOOKUP(INDEX(PkPartyA,385),AcctTblA,4,0)),"—"))</f>
        <v/>
      </c>
      <c r="C409" s="18">
        <f>IF($B409="","",IF(385&gt;NPartyA,"",INDEX(PkPartyA,385)))</f>
        <v/>
      </c>
      <c r="D409" s="17">
        <f>IF($B409="","","p")</f>
        <v/>
      </c>
      <c r="E409" s="19">
        <f>IF($B409="","",IF(385&gt;NPartyA,0,SUMIF(CalcDebit,INDEX(PkPartyA,385),CalcAmt)+SUMIF(CalcDebit2,INDEX(PkPartyA,385),CalcAmt2)+SUMIF(CalcDebit3,INDEX(PkPartyA,385),CalcAmt3)))</f>
        <v/>
      </c>
      <c r="F409" s="19">
        <f>IF($B409="","",IF(385&gt;NPartyA,0,SUMIF(CalcCredit,INDEX(PkPartyA,385),CalcAmt)+SUMIF(CalcCredit2,INDEX(PkPartyA,385),CalcAmt2)+SUMIF(CalcCredit3,INDEX(PkPartyA,385),CalcAmt3)))</f>
        <v/>
      </c>
      <c r="G409" s="20">
        <f>IF($B409="","",ROUND($E409-$F409,0))</f>
        <v/>
      </c>
      <c r="H409" s="17">
        <f>IF($B409="","",IF(ROUND($G409,0)&gt;0,"بدهکار",IF(ROUND($G409,0)&lt;0,"بستانکار","تسویه")))</f>
        <v/>
      </c>
    </row>
    <row r="410">
      <c r="A410" s="11">
        <f>IF($B410="","",401)</f>
        <v/>
      </c>
      <c r="B410" s="12">
        <f>IF(386&gt;NPartyA,"",IFERROR(IF(VLOOKUP(INDEX(PkPartyA,386),AcctTblA,4,0)="","(بدون نام)",VLOOKUP(INDEX(PkPartyA,386),AcctTblA,4,0)),"—"))</f>
        <v/>
      </c>
      <c r="C410" s="13">
        <f>IF($B410="","",IF(386&gt;NPartyA,"",INDEX(PkPartyA,386)))</f>
        <v/>
      </c>
      <c r="D410" s="12">
        <f>IF($B410="","","p")</f>
        <v/>
      </c>
      <c r="E410" s="14">
        <f>IF($B410="","",IF(386&gt;NPartyA,0,SUMIF(CalcDebit,INDEX(PkPartyA,386),CalcAmt)+SUMIF(CalcDebit2,INDEX(PkPartyA,386),CalcAmt2)+SUMIF(CalcDebit3,INDEX(PkPartyA,386),CalcAmt3)))</f>
        <v/>
      </c>
      <c r="F410" s="14">
        <f>IF($B410="","",IF(386&gt;NPartyA,0,SUMIF(CalcCredit,INDEX(PkPartyA,386),CalcAmt)+SUMIF(CalcCredit2,INDEX(PkPartyA,386),CalcAmt2)+SUMIF(CalcCredit3,INDEX(PkPartyA,386),CalcAmt3)))</f>
        <v/>
      </c>
      <c r="G410" s="15">
        <f>IF($B410="","",ROUND($E410-$F410,0))</f>
        <v/>
      </c>
      <c r="H410" s="12">
        <f>IF($B410="","",IF(ROUND($G410,0)&gt;0,"بدهکار",IF(ROUND($G410,0)&lt;0,"بستانکار","تسویه")))</f>
        <v/>
      </c>
    </row>
    <row r="411">
      <c r="A411" s="16">
        <f>IF($B411="","",402)</f>
        <v/>
      </c>
      <c r="B411" s="17">
        <f>IF(387&gt;NPartyA,"",IFERROR(IF(VLOOKUP(INDEX(PkPartyA,387),AcctTblA,4,0)="","(بدون نام)",VLOOKUP(INDEX(PkPartyA,387),AcctTblA,4,0)),"—"))</f>
        <v/>
      </c>
      <c r="C411" s="18">
        <f>IF($B411="","",IF(387&gt;NPartyA,"",INDEX(PkPartyA,387)))</f>
        <v/>
      </c>
      <c r="D411" s="17">
        <f>IF($B411="","","p")</f>
        <v/>
      </c>
      <c r="E411" s="19">
        <f>IF($B411="","",IF(387&gt;NPartyA,0,SUMIF(CalcDebit,INDEX(PkPartyA,387),CalcAmt)+SUMIF(CalcDebit2,INDEX(PkPartyA,387),CalcAmt2)+SUMIF(CalcDebit3,INDEX(PkPartyA,387),CalcAmt3)))</f>
        <v/>
      </c>
      <c r="F411" s="19">
        <f>IF($B411="","",IF(387&gt;NPartyA,0,SUMIF(CalcCredit,INDEX(PkPartyA,387),CalcAmt)+SUMIF(CalcCredit2,INDEX(PkPartyA,387),CalcAmt2)+SUMIF(CalcCredit3,INDEX(PkPartyA,387),CalcAmt3)))</f>
        <v/>
      </c>
      <c r="G411" s="20">
        <f>IF($B411="","",ROUND($E411-$F411,0))</f>
        <v/>
      </c>
      <c r="H411" s="17">
        <f>IF($B411="","",IF(ROUND($G411,0)&gt;0,"بدهکار",IF(ROUND($G411,0)&lt;0,"بستانکار","تسویه")))</f>
        <v/>
      </c>
    </row>
    <row r="412">
      <c r="A412" s="11">
        <f>IF($B412="","",403)</f>
        <v/>
      </c>
      <c r="B412" s="12">
        <f>IF(388&gt;NPartyA,"",IFERROR(IF(VLOOKUP(INDEX(PkPartyA,388),AcctTblA,4,0)="","(بدون نام)",VLOOKUP(INDEX(PkPartyA,388),AcctTblA,4,0)),"—"))</f>
        <v/>
      </c>
      <c r="C412" s="13">
        <f>IF($B412="","",IF(388&gt;NPartyA,"",INDEX(PkPartyA,388)))</f>
        <v/>
      </c>
      <c r="D412" s="12">
        <f>IF($B412="","","p")</f>
        <v/>
      </c>
      <c r="E412" s="14">
        <f>IF($B412="","",IF(388&gt;NPartyA,0,SUMIF(CalcDebit,INDEX(PkPartyA,388),CalcAmt)+SUMIF(CalcDebit2,INDEX(PkPartyA,388),CalcAmt2)+SUMIF(CalcDebit3,INDEX(PkPartyA,388),CalcAmt3)))</f>
        <v/>
      </c>
      <c r="F412" s="14">
        <f>IF($B412="","",IF(388&gt;NPartyA,0,SUMIF(CalcCredit,INDEX(PkPartyA,388),CalcAmt)+SUMIF(CalcCredit2,INDEX(PkPartyA,388),CalcAmt2)+SUMIF(CalcCredit3,INDEX(PkPartyA,388),CalcAmt3)))</f>
        <v/>
      </c>
      <c r="G412" s="15">
        <f>IF($B412="","",ROUND($E412-$F412,0))</f>
        <v/>
      </c>
      <c r="H412" s="12">
        <f>IF($B412="","",IF(ROUND($G412,0)&gt;0,"بدهکار",IF(ROUND($G412,0)&lt;0,"بستانکار","تسویه")))</f>
        <v/>
      </c>
    </row>
    <row r="413">
      <c r="A413" s="16">
        <f>IF($B413="","",404)</f>
        <v/>
      </c>
      <c r="B413" s="17">
        <f>IF(389&gt;NPartyA,"",IFERROR(IF(VLOOKUP(INDEX(PkPartyA,389),AcctTblA,4,0)="","(بدون نام)",VLOOKUP(INDEX(PkPartyA,389),AcctTblA,4,0)),"—"))</f>
        <v/>
      </c>
      <c r="C413" s="18">
        <f>IF($B413="","",IF(389&gt;NPartyA,"",INDEX(PkPartyA,389)))</f>
        <v/>
      </c>
      <c r="D413" s="17">
        <f>IF($B413="","","p")</f>
        <v/>
      </c>
      <c r="E413" s="19">
        <f>IF($B413="","",IF(389&gt;NPartyA,0,SUMIF(CalcDebit,INDEX(PkPartyA,389),CalcAmt)+SUMIF(CalcDebit2,INDEX(PkPartyA,389),CalcAmt2)+SUMIF(CalcDebit3,INDEX(PkPartyA,389),CalcAmt3)))</f>
        <v/>
      </c>
      <c r="F413" s="19">
        <f>IF($B413="","",IF(389&gt;NPartyA,0,SUMIF(CalcCredit,INDEX(PkPartyA,389),CalcAmt)+SUMIF(CalcCredit2,INDEX(PkPartyA,389),CalcAmt2)+SUMIF(CalcCredit3,INDEX(PkPartyA,389),CalcAmt3)))</f>
        <v/>
      </c>
      <c r="G413" s="20">
        <f>IF($B413="","",ROUND($E413-$F413,0))</f>
        <v/>
      </c>
      <c r="H413" s="17">
        <f>IF($B413="","",IF(ROUND($G413,0)&gt;0,"بدهکار",IF(ROUND($G413,0)&lt;0,"بستانکار","تسویه")))</f>
        <v/>
      </c>
    </row>
    <row r="414">
      <c r="A414" s="11">
        <f>IF($B414="","",405)</f>
        <v/>
      </c>
      <c r="B414" s="12">
        <f>IF(390&gt;NPartyA,"",IFERROR(IF(VLOOKUP(INDEX(PkPartyA,390),AcctTblA,4,0)="","(بدون نام)",VLOOKUP(INDEX(PkPartyA,390),AcctTblA,4,0)),"—"))</f>
        <v/>
      </c>
      <c r="C414" s="13">
        <f>IF($B414="","",IF(390&gt;NPartyA,"",INDEX(PkPartyA,390)))</f>
        <v/>
      </c>
      <c r="D414" s="12">
        <f>IF($B414="","","p")</f>
        <v/>
      </c>
      <c r="E414" s="14">
        <f>IF($B414="","",IF(390&gt;NPartyA,0,SUMIF(CalcDebit,INDEX(PkPartyA,390),CalcAmt)+SUMIF(CalcDebit2,INDEX(PkPartyA,390),CalcAmt2)+SUMIF(CalcDebit3,INDEX(PkPartyA,390),CalcAmt3)))</f>
        <v/>
      </c>
      <c r="F414" s="14">
        <f>IF($B414="","",IF(390&gt;NPartyA,0,SUMIF(CalcCredit,INDEX(PkPartyA,390),CalcAmt)+SUMIF(CalcCredit2,INDEX(PkPartyA,390),CalcAmt2)+SUMIF(CalcCredit3,INDEX(PkPartyA,390),CalcAmt3)))</f>
        <v/>
      </c>
      <c r="G414" s="15">
        <f>IF($B414="","",ROUND($E414-$F414,0))</f>
        <v/>
      </c>
      <c r="H414" s="12">
        <f>IF($B414="","",IF(ROUND($G414,0)&gt;0,"بدهکار",IF(ROUND($G414,0)&lt;0,"بستانکار","تسویه")))</f>
        <v/>
      </c>
    </row>
    <row r="415">
      <c r="A415" s="16">
        <f>IF($B415="","",406)</f>
        <v/>
      </c>
      <c r="B415" s="17">
        <f>IF(391&gt;NPartyA,"",IFERROR(IF(VLOOKUP(INDEX(PkPartyA,391),AcctTblA,4,0)="","(بدون نام)",VLOOKUP(INDEX(PkPartyA,391),AcctTblA,4,0)),"—"))</f>
        <v/>
      </c>
      <c r="C415" s="18">
        <f>IF($B415="","",IF(391&gt;NPartyA,"",INDEX(PkPartyA,391)))</f>
        <v/>
      </c>
      <c r="D415" s="17">
        <f>IF($B415="","","p")</f>
        <v/>
      </c>
      <c r="E415" s="19">
        <f>IF($B415="","",IF(391&gt;NPartyA,0,SUMIF(CalcDebit,INDEX(PkPartyA,391),CalcAmt)+SUMIF(CalcDebit2,INDEX(PkPartyA,391),CalcAmt2)+SUMIF(CalcDebit3,INDEX(PkPartyA,391),CalcAmt3)))</f>
        <v/>
      </c>
      <c r="F415" s="19">
        <f>IF($B415="","",IF(391&gt;NPartyA,0,SUMIF(CalcCredit,INDEX(PkPartyA,391),CalcAmt)+SUMIF(CalcCredit2,INDEX(PkPartyA,391),CalcAmt2)+SUMIF(CalcCredit3,INDEX(PkPartyA,391),CalcAmt3)))</f>
        <v/>
      </c>
      <c r="G415" s="20">
        <f>IF($B415="","",ROUND($E415-$F415,0))</f>
        <v/>
      </c>
      <c r="H415" s="17">
        <f>IF($B415="","",IF(ROUND($G415,0)&gt;0,"بدهکار",IF(ROUND($G415,0)&lt;0,"بستانکار","تسویه")))</f>
        <v/>
      </c>
    </row>
    <row r="416">
      <c r="A416" s="11">
        <f>IF($B416="","",407)</f>
        <v/>
      </c>
      <c r="B416" s="12">
        <f>IF(392&gt;NPartyA,"",IFERROR(IF(VLOOKUP(INDEX(PkPartyA,392),AcctTblA,4,0)="","(بدون نام)",VLOOKUP(INDEX(PkPartyA,392),AcctTblA,4,0)),"—"))</f>
        <v/>
      </c>
      <c r="C416" s="13">
        <f>IF($B416="","",IF(392&gt;NPartyA,"",INDEX(PkPartyA,392)))</f>
        <v/>
      </c>
      <c r="D416" s="12">
        <f>IF($B416="","","p")</f>
        <v/>
      </c>
      <c r="E416" s="14">
        <f>IF($B416="","",IF(392&gt;NPartyA,0,SUMIF(CalcDebit,INDEX(PkPartyA,392),CalcAmt)+SUMIF(CalcDebit2,INDEX(PkPartyA,392),CalcAmt2)+SUMIF(CalcDebit3,INDEX(PkPartyA,392),CalcAmt3)))</f>
        <v/>
      </c>
      <c r="F416" s="14">
        <f>IF($B416="","",IF(392&gt;NPartyA,0,SUMIF(CalcCredit,INDEX(PkPartyA,392),CalcAmt)+SUMIF(CalcCredit2,INDEX(PkPartyA,392),CalcAmt2)+SUMIF(CalcCredit3,INDEX(PkPartyA,392),CalcAmt3)))</f>
        <v/>
      </c>
      <c r="G416" s="15">
        <f>IF($B416="","",ROUND($E416-$F416,0))</f>
        <v/>
      </c>
      <c r="H416" s="12">
        <f>IF($B416="","",IF(ROUND($G416,0)&gt;0,"بدهکار",IF(ROUND($G416,0)&lt;0,"بستانکار","تسویه")))</f>
        <v/>
      </c>
    </row>
    <row r="417">
      <c r="A417" s="16">
        <f>IF($B417="","",408)</f>
        <v/>
      </c>
      <c r="B417" s="17">
        <f>IF(393&gt;NPartyA,"",IFERROR(IF(VLOOKUP(INDEX(PkPartyA,393),AcctTblA,4,0)="","(بدون نام)",VLOOKUP(INDEX(PkPartyA,393),AcctTblA,4,0)),"—"))</f>
        <v/>
      </c>
      <c r="C417" s="18">
        <f>IF($B417="","",IF(393&gt;NPartyA,"",INDEX(PkPartyA,393)))</f>
        <v/>
      </c>
      <c r="D417" s="17">
        <f>IF($B417="","","p")</f>
        <v/>
      </c>
      <c r="E417" s="19">
        <f>IF($B417="","",IF(393&gt;NPartyA,0,SUMIF(CalcDebit,INDEX(PkPartyA,393),CalcAmt)+SUMIF(CalcDebit2,INDEX(PkPartyA,393),CalcAmt2)+SUMIF(CalcDebit3,INDEX(PkPartyA,393),CalcAmt3)))</f>
        <v/>
      </c>
      <c r="F417" s="19">
        <f>IF($B417="","",IF(393&gt;NPartyA,0,SUMIF(CalcCredit,INDEX(PkPartyA,393),CalcAmt)+SUMIF(CalcCredit2,INDEX(PkPartyA,393),CalcAmt2)+SUMIF(CalcCredit3,INDEX(PkPartyA,393),CalcAmt3)))</f>
        <v/>
      </c>
      <c r="G417" s="20">
        <f>IF($B417="","",ROUND($E417-$F417,0))</f>
        <v/>
      </c>
      <c r="H417" s="17">
        <f>IF($B417="","",IF(ROUND($G417,0)&gt;0,"بدهکار",IF(ROUND($G417,0)&lt;0,"بستانکار","تسویه")))</f>
        <v/>
      </c>
    </row>
    <row r="418">
      <c r="A418" s="11">
        <f>IF($B418="","",409)</f>
        <v/>
      </c>
      <c r="B418" s="12">
        <f>IF(394&gt;NPartyA,"",IFERROR(IF(VLOOKUP(INDEX(PkPartyA,394),AcctTblA,4,0)="","(بدون نام)",VLOOKUP(INDEX(PkPartyA,394),AcctTblA,4,0)),"—"))</f>
        <v/>
      </c>
      <c r="C418" s="13">
        <f>IF($B418="","",IF(394&gt;NPartyA,"",INDEX(PkPartyA,394)))</f>
        <v/>
      </c>
      <c r="D418" s="12">
        <f>IF($B418="","","p")</f>
        <v/>
      </c>
      <c r="E418" s="14">
        <f>IF($B418="","",IF(394&gt;NPartyA,0,SUMIF(CalcDebit,INDEX(PkPartyA,394),CalcAmt)+SUMIF(CalcDebit2,INDEX(PkPartyA,394),CalcAmt2)+SUMIF(CalcDebit3,INDEX(PkPartyA,394),CalcAmt3)))</f>
        <v/>
      </c>
      <c r="F418" s="14">
        <f>IF($B418="","",IF(394&gt;NPartyA,0,SUMIF(CalcCredit,INDEX(PkPartyA,394),CalcAmt)+SUMIF(CalcCredit2,INDEX(PkPartyA,394),CalcAmt2)+SUMIF(CalcCredit3,INDEX(PkPartyA,394),CalcAmt3)))</f>
        <v/>
      </c>
      <c r="G418" s="15">
        <f>IF($B418="","",ROUND($E418-$F418,0))</f>
        <v/>
      </c>
      <c r="H418" s="12">
        <f>IF($B418="","",IF(ROUND($G418,0)&gt;0,"بدهکار",IF(ROUND($G418,0)&lt;0,"بستانکار","تسویه")))</f>
        <v/>
      </c>
    </row>
    <row r="419">
      <c r="A419" s="16">
        <f>IF($B419="","",410)</f>
        <v/>
      </c>
      <c r="B419" s="17">
        <f>IF(395&gt;NPartyA,"",IFERROR(IF(VLOOKUP(INDEX(PkPartyA,395),AcctTblA,4,0)="","(بدون نام)",VLOOKUP(INDEX(PkPartyA,395),AcctTblA,4,0)),"—"))</f>
        <v/>
      </c>
      <c r="C419" s="18">
        <f>IF($B419="","",IF(395&gt;NPartyA,"",INDEX(PkPartyA,395)))</f>
        <v/>
      </c>
      <c r="D419" s="17">
        <f>IF($B419="","","p")</f>
        <v/>
      </c>
      <c r="E419" s="19">
        <f>IF($B419="","",IF(395&gt;NPartyA,0,SUMIF(CalcDebit,INDEX(PkPartyA,395),CalcAmt)+SUMIF(CalcDebit2,INDEX(PkPartyA,395),CalcAmt2)+SUMIF(CalcDebit3,INDEX(PkPartyA,395),CalcAmt3)))</f>
        <v/>
      </c>
      <c r="F419" s="19">
        <f>IF($B419="","",IF(395&gt;NPartyA,0,SUMIF(CalcCredit,INDEX(PkPartyA,395),CalcAmt)+SUMIF(CalcCredit2,INDEX(PkPartyA,395),CalcAmt2)+SUMIF(CalcCredit3,INDEX(PkPartyA,395),CalcAmt3)))</f>
        <v/>
      </c>
      <c r="G419" s="20">
        <f>IF($B419="","",ROUND($E419-$F419,0))</f>
        <v/>
      </c>
      <c r="H419" s="17">
        <f>IF($B419="","",IF(ROUND($G419,0)&gt;0,"بدهکار",IF(ROUND($G419,0)&lt;0,"بستانکار","تسویه")))</f>
        <v/>
      </c>
    </row>
    <row r="420">
      <c r="A420" s="11">
        <f>IF($B420="","",411)</f>
        <v/>
      </c>
      <c r="B420" s="12">
        <f>IF(396&gt;NPartyA,"",IFERROR(IF(VLOOKUP(INDEX(PkPartyA,396),AcctTblA,4,0)="","(بدون نام)",VLOOKUP(INDEX(PkPartyA,396),AcctTblA,4,0)),"—"))</f>
        <v/>
      </c>
      <c r="C420" s="13">
        <f>IF($B420="","",IF(396&gt;NPartyA,"",INDEX(PkPartyA,396)))</f>
        <v/>
      </c>
      <c r="D420" s="12">
        <f>IF($B420="","","p")</f>
        <v/>
      </c>
      <c r="E420" s="14">
        <f>IF($B420="","",IF(396&gt;NPartyA,0,SUMIF(CalcDebit,INDEX(PkPartyA,396),CalcAmt)+SUMIF(CalcDebit2,INDEX(PkPartyA,396),CalcAmt2)+SUMIF(CalcDebit3,INDEX(PkPartyA,396),CalcAmt3)))</f>
        <v/>
      </c>
      <c r="F420" s="14">
        <f>IF($B420="","",IF(396&gt;NPartyA,0,SUMIF(CalcCredit,INDEX(PkPartyA,396),CalcAmt)+SUMIF(CalcCredit2,INDEX(PkPartyA,396),CalcAmt2)+SUMIF(CalcCredit3,INDEX(PkPartyA,396),CalcAmt3)))</f>
        <v/>
      </c>
      <c r="G420" s="15">
        <f>IF($B420="","",ROUND($E420-$F420,0))</f>
        <v/>
      </c>
      <c r="H420" s="12">
        <f>IF($B420="","",IF(ROUND($G420,0)&gt;0,"بدهکار",IF(ROUND($G420,0)&lt;0,"بستانکار","تسویه")))</f>
        <v/>
      </c>
    </row>
    <row r="421">
      <c r="A421" s="16">
        <f>IF($B421="","",412)</f>
        <v/>
      </c>
      <c r="B421" s="17">
        <f>IF(397&gt;NPartyA,"",IFERROR(IF(VLOOKUP(INDEX(PkPartyA,397),AcctTblA,4,0)="","(بدون نام)",VLOOKUP(INDEX(PkPartyA,397),AcctTblA,4,0)),"—"))</f>
        <v/>
      </c>
      <c r="C421" s="18">
        <f>IF($B421="","",IF(397&gt;NPartyA,"",INDEX(PkPartyA,397)))</f>
        <v/>
      </c>
      <c r="D421" s="17">
        <f>IF($B421="","","p")</f>
        <v/>
      </c>
      <c r="E421" s="19">
        <f>IF($B421="","",IF(397&gt;NPartyA,0,SUMIF(CalcDebit,INDEX(PkPartyA,397),CalcAmt)+SUMIF(CalcDebit2,INDEX(PkPartyA,397),CalcAmt2)+SUMIF(CalcDebit3,INDEX(PkPartyA,397),CalcAmt3)))</f>
        <v/>
      </c>
      <c r="F421" s="19">
        <f>IF($B421="","",IF(397&gt;NPartyA,0,SUMIF(CalcCredit,INDEX(PkPartyA,397),CalcAmt)+SUMIF(CalcCredit2,INDEX(PkPartyA,397),CalcAmt2)+SUMIF(CalcCredit3,INDEX(PkPartyA,397),CalcAmt3)))</f>
        <v/>
      </c>
      <c r="G421" s="20">
        <f>IF($B421="","",ROUND($E421-$F421,0))</f>
        <v/>
      </c>
      <c r="H421" s="17">
        <f>IF($B421="","",IF(ROUND($G421,0)&gt;0,"بدهکار",IF(ROUND($G421,0)&lt;0,"بستانکار","تسویه")))</f>
        <v/>
      </c>
    </row>
    <row r="422">
      <c r="A422" s="11">
        <f>IF($B422="","",413)</f>
        <v/>
      </c>
      <c r="B422" s="12">
        <f>IF(398&gt;NPartyA,"",IFERROR(IF(VLOOKUP(INDEX(PkPartyA,398),AcctTblA,4,0)="","(بدون نام)",VLOOKUP(INDEX(PkPartyA,398),AcctTblA,4,0)),"—"))</f>
        <v/>
      </c>
      <c r="C422" s="13">
        <f>IF($B422="","",IF(398&gt;NPartyA,"",INDEX(PkPartyA,398)))</f>
        <v/>
      </c>
      <c r="D422" s="12">
        <f>IF($B422="","","p")</f>
        <v/>
      </c>
      <c r="E422" s="14">
        <f>IF($B422="","",IF(398&gt;NPartyA,0,SUMIF(CalcDebit,INDEX(PkPartyA,398),CalcAmt)+SUMIF(CalcDebit2,INDEX(PkPartyA,398),CalcAmt2)+SUMIF(CalcDebit3,INDEX(PkPartyA,398),CalcAmt3)))</f>
        <v/>
      </c>
      <c r="F422" s="14">
        <f>IF($B422="","",IF(398&gt;NPartyA,0,SUMIF(CalcCredit,INDEX(PkPartyA,398),CalcAmt)+SUMIF(CalcCredit2,INDEX(PkPartyA,398),CalcAmt2)+SUMIF(CalcCredit3,INDEX(PkPartyA,398),CalcAmt3)))</f>
        <v/>
      </c>
      <c r="G422" s="15">
        <f>IF($B422="","",ROUND($E422-$F422,0))</f>
        <v/>
      </c>
      <c r="H422" s="12">
        <f>IF($B422="","",IF(ROUND($G422,0)&gt;0,"بدهکار",IF(ROUND($G422,0)&lt;0,"بستانکار","تسویه")))</f>
        <v/>
      </c>
    </row>
    <row r="423">
      <c r="A423" s="16">
        <f>IF($B423="","",414)</f>
        <v/>
      </c>
      <c r="B423" s="17">
        <f>IF(399&gt;NPartyA,"",IFERROR(IF(VLOOKUP(INDEX(PkPartyA,399),AcctTblA,4,0)="","(بدون نام)",VLOOKUP(INDEX(PkPartyA,399),AcctTblA,4,0)),"—"))</f>
        <v/>
      </c>
      <c r="C423" s="18">
        <f>IF($B423="","",IF(399&gt;NPartyA,"",INDEX(PkPartyA,399)))</f>
        <v/>
      </c>
      <c r="D423" s="17">
        <f>IF($B423="","","p")</f>
        <v/>
      </c>
      <c r="E423" s="19">
        <f>IF($B423="","",IF(399&gt;NPartyA,0,SUMIF(CalcDebit,INDEX(PkPartyA,399),CalcAmt)+SUMIF(CalcDebit2,INDEX(PkPartyA,399),CalcAmt2)+SUMIF(CalcDebit3,INDEX(PkPartyA,399),CalcAmt3)))</f>
        <v/>
      </c>
      <c r="F423" s="19">
        <f>IF($B423="","",IF(399&gt;NPartyA,0,SUMIF(CalcCredit,INDEX(PkPartyA,399),CalcAmt)+SUMIF(CalcCredit2,INDEX(PkPartyA,399),CalcAmt2)+SUMIF(CalcCredit3,INDEX(PkPartyA,399),CalcAmt3)))</f>
        <v/>
      </c>
      <c r="G423" s="20">
        <f>IF($B423="","",ROUND($E423-$F423,0))</f>
        <v/>
      </c>
      <c r="H423" s="17">
        <f>IF($B423="","",IF(ROUND($G423,0)&gt;0,"بدهکار",IF(ROUND($G423,0)&lt;0,"بستانکار","تسویه")))</f>
        <v/>
      </c>
    </row>
    <row r="424">
      <c r="A424" s="11">
        <f>IF($B424="","",415)</f>
        <v/>
      </c>
      <c r="B424" s="12">
        <f>IF(400&gt;NPartyA,"",IFERROR(IF(VLOOKUP(INDEX(PkPartyA,400),AcctTblA,4,0)="","(بدون نام)",VLOOKUP(INDEX(PkPartyA,400),AcctTblA,4,0)),"—"))</f>
        <v/>
      </c>
      <c r="C424" s="13">
        <f>IF($B424="","",IF(400&gt;NPartyA,"",INDEX(PkPartyA,400)))</f>
        <v/>
      </c>
      <c r="D424" s="12">
        <f>IF($B424="","","p")</f>
        <v/>
      </c>
      <c r="E424" s="14">
        <f>IF($B424="","",IF(400&gt;NPartyA,0,SUMIF(CalcDebit,INDEX(PkPartyA,400),CalcAmt)+SUMIF(CalcDebit2,INDEX(PkPartyA,400),CalcAmt2)+SUMIF(CalcDebit3,INDEX(PkPartyA,400),CalcAmt3)))</f>
        <v/>
      </c>
      <c r="F424" s="14">
        <f>IF($B424="","",IF(400&gt;NPartyA,0,SUMIF(CalcCredit,INDEX(PkPartyA,400),CalcAmt)+SUMIF(CalcCredit2,INDEX(PkPartyA,400),CalcAmt2)+SUMIF(CalcCredit3,INDEX(PkPartyA,400),CalcAmt3)))</f>
        <v/>
      </c>
      <c r="G424" s="15">
        <f>IF($B424="","",ROUND($E424-$F424,0))</f>
        <v/>
      </c>
      <c r="H424" s="12">
        <f>IF($B424="","",IF(ROUND($G424,0)&gt;0,"بدهکار",IF(ROUND($G424,0)&lt;0,"بستانکار","تسویه")))</f>
        <v/>
      </c>
    </row>
    <row r="425">
      <c r="A425" s="16">
        <f>IF($B425="","",416)</f>
        <v/>
      </c>
      <c r="B425" s="17">
        <f>IF(401&gt;NPartyA,"",IFERROR(IF(VLOOKUP(INDEX(PkPartyA,401),AcctTblA,4,0)="","(بدون نام)",VLOOKUP(INDEX(PkPartyA,401),AcctTblA,4,0)),"—"))</f>
        <v/>
      </c>
      <c r="C425" s="18">
        <f>IF($B425="","",IF(401&gt;NPartyA,"",INDEX(PkPartyA,401)))</f>
        <v/>
      </c>
      <c r="D425" s="17">
        <f>IF($B425="","","p")</f>
        <v/>
      </c>
      <c r="E425" s="19">
        <f>IF($B425="","",IF(401&gt;NPartyA,0,SUMIF(CalcDebit,INDEX(PkPartyA,401),CalcAmt)+SUMIF(CalcDebit2,INDEX(PkPartyA,401),CalcAmt2)+SUMIF(CalcDebit3,INDEX(PkPartyA,401),CalcAmt3)))</f>
        <v/>
      </c>
      <c r="F425" s="19">
        <f>IF($B425="","",IF(401&gt;NPartyA,0,SUMIF(CalcCredit,INDEX(PkPartyA,401),CalcAmt)+SUMIF(CalcCredit2,INDEX(PkPartyA,401),CalcAmt2)+SUMIF(CalcCredit3,INDEX(PkPartyA,401),CalcAmt3)))</f>
        <v/>
      </c>
      <c r="G425" s="20">
        <f>IF($B425="","",ROUND($E425-$F425,0))</f>
        <v/>
      </c>
      <c r="H425" s="17">
        <f>IF($B425="","",IF(ROUND($G425,0)&gt;0,"بدهکار",IF(ROUND($G425,0)&lt;0,"بستانکار","تسویه")))</f>
        <v/>
      </c>
    </row>
    <row r="426">
      <c r="A426" s="11">
        <f>IF($B426="","",417)</f>
        <v/>
      </c>
      <c r="B426" s="12">
        <f>IF(402&gt;NPartyA,"",IFERROR(IF(VLOOKUP(INDEX(PkPartyA,402),AcctTblA,4,0)="","(بدون نام)",VLOOKUP(INDEX(PkPartyA,402),AcctTblA,4,0)),"—"))</f>
        <v/>
      </c>
      <c r="C426" s="13">
        <f>IF($B426="","",IF(402&gt;NPartyA,"",INDEX(PkPartyA,402)))</f>
        <v/>
      </c>
      <c r="D426" s="12">
        <f>IF($B426="","","p")</f>
        <v/>
      </c>
      <c r="E426" s="14">
        <f>IF($B426="","",IF(402&gt;NPartyA,0,SUMIF(CalcDebit,INDEX(PkPartyA,402),CalcAmt)+SUMIF(CalcDebit2,INDEX(PkPartyA,402),CalcAmt2)+SUMIF(CalcDebit3,INDEX(PkPartyA,402),CalcAmt3)))</f>
        <v/>
      </c>
      <c r="F426" s="14">
        <f>IF($B426="","",IF(402&gt;NPartyA,0,SUMIF(CalcCredit,INDEX(PkPartyA,402),CalcAmt)+SUMIF(CalcCredit2,INDEX(PkPartyA,402),CalcAmt2)+SUMIF(CalcCredit3,INDEX(PkPartyA,402),CalcAmt3)))</f>
        <v/>
      </c>
      <c r="G426" s="15">
        <f>IF($B426="","",ROUND($E426-$F426,0))</f>
        <v/>
      </c>
      <c r="H426" s="12">
        <f>IF($B426="","",IF(ROUND($G426,0)&gt;0,"بدهکار",IF(ROUND($G426,0)&lt;0,"بستانکار","تسویه")))</f>
        <v/>
      </c>
    </row>
    <row r="427">
      <c r="A427" s="16">
        <f>IF($B427="","",418)</f>
        <v/>
      </c>
      <c r="B427" s="17">
        <f>IF(403&gt;NPartyA,"",IFERROR(IF(VLOOKUP(INDEX(PkPartyA,403),AcctTblA,4,0)="","(بدون نام)",VLOOKUP(INDEX(PkPartyA,403),AcctTblA,4,0)),"—"))</f>
        <v/>
      </c>
      <c r="C427" s="18">
        <f>IF($B427="","",IF(403&gt;NPartyA,"",INDEX(PkPartyA,403)))</f>
        <v/>
      </c>
      <c r="D427" s="17">
        <f>IF($B427="","","p")</f>
        <v/>
      </c>
      <c r="E427" s="19">
        <f>IF($B427="","",IF(403&gt;NPartyA,0,SUMIF(CalcDebit,INDEX(PkPartyA,403),CalcAmt)+SUMIF(CalcDebit2,INDEX(PkPartyA,403),CalcAmt2)+SUMIF(CalcDebit3,INDEX(PkPartyA,403),CalcAmt3)))</f>
        <v/>
      </c>
      <c r="F427" s="19">
        <f>IF($B427="","",IF(403&gt;NPartyA,0,SUMIF(CalcCredit,INDEX(PkPartyA,403),CalcAmt)+SUMIF(CalcCredit2,INDEX(PkPartyA,403),CalcAmt2)+SUMIF(CalcCredit3,INDEX(PkPartyA,403),CalcAmt3)))</f>
        <v/>
      </c>
      <c r="G427" s="20">
        <f>IF($B427="","",ROUND($E427-$F427,0))</f>
        <v/>
      </c>
      <c r="H427" s="17">
        <f>IF($B427="","",IF(ROUND($G427,0)&gt;0,"بدهکار",IF(ROUND($G427,0)&lt;0,"بستانکار","تسویه")))</f>
        <v/>
      </c>
    </row>
    <row r="428">
      <c r="A428" s="11">
        <f>IF($B428="","",419)</f>
        <v/>
      </c>
      <c r="B428" s="12">
        <f>IF(404&gt;NPartyA,"",IFERROR(IF(VLOOKUP(INDEX(PkPartyA,404),AcctTblA,4,0)="","(بدون نام)",VLOOKUP(INDEX(PkPartyA,404),AcctTblA,4,0)),"—"))</f>
        <v/>
      </c>
      <c r="C428" s="13">
        <f>IF($B428="","",IF(404&gt;NPartyA,"",INDEX(PkPartyA,404)))</f>
        <v/>
      </c>
      <c r="D428" s="12">
        <f>IF($B428="","","p")</f>
        <v/>
      </c>
      <c r="E428" s="14">
        <f>IF($B428="","",IF(404&gt;NPartyA,0,SUMIF(CalcDebit,INDEX(PkPartyA,404),CalcAmt)+SUMIF(CalcDebit2,INDEX(PkPartyA,404),CalcAmt2)+SUMIF(CalcDebit3,INDEX(PkPartyA,404),CalcAmt3)))</f>
        <v/>
      </c>
      <c r="F428" s="14">
        <f>IF($B428="","",IF(404&gt;NPartyA,0,SUMIF(CalcCredit,INDEX(PkPartyA,404),CalcAmt)+SUMIF(CalcCredit2,INDEX(PkPartyA,404),CalcAmt2)+SUMIF(CalcCredit3,INDEX(PkPartyA,404),CalcAmt3)))</f>
        <v/>
      </c>
      <c r="G428" s="15">
        <f>IF($B428="","",ROUND($E428-$F428,0))</f>
        <v/>
      </c>
      <c r="H428" s="12">
        <f>IF($B428="","",IF(ROUND($G428,0)&gt;0,"بدهکار",IF(ROUND($G428,0)&lt;0,"بستانکار","تسویه")))</f>
        <v/>
      </c>
    </row>
    <row r="429">
      <c r="A429" s="16">
        <f>IF($B429="","",420)</f>
        <v/>
      </c>
      <c r="B429" s="17">
        <f>IF(405&gt;NPartyA,"",IFERROR(IF(VLOOKUP(INDEX(PkPartyA,405),AcctTblA,4,0)="","(بدون نام)",VLOOKUP(INDEX(PkPartyA,405),AcctTblA,4,0)),"—"))</f>
        <v/>
      </c>
      <c r="C429" s="18">
        <f>IF($B429="","",IF(405&gt;NPartyA,"",INDEX(PkPartyA,405)))</f>
        <v/>
      </c>
      <c r="D429" s="17">
        <f>IF($B429="","","p")</f>
        <v/>
      </c>
      <c r="E429" s="19">
        <f>IF($B429="","",IF(405&gt;NPartyA,0,SUMIF(CalcDebit,INDEX(PkPartyA,405),CalcAmt)+SUMIF(CalcDebit2,INDEX(PkPartyA,405),CalcAmt2)+SUMIF(CalcDebit3,INDEX(PkPartyA,405),CalcAmt3)))</f>
        <v/>
      </c>
      <c r="F429" s="19">
        <f>IF($B429="","",IF(405&gt;NPartyA,0,SUMIF(CalcCredit,INDEX(PkPartyA,405),CalcAmt)+SUMIF(CalcCredit2,INDEX(PkPartyA,405),CalcAmt2)+SUMIF(CalcCredit3,INDEX(PkPartyA,405),CalcAmt3)))</f>
        <v/>
      </c>
      <c r="G429" s="20">
        <f>IF($B429="","",ROUND($E429-$F429,0))</f>
        <v/>
      </c>
      <c r="H429" s="17">
        <f>IF($B429="","",IF(ROUND($G429,0)&gt;0,"بدهکار",IF(ROUND($G429,0)&lt;0,"بستانکار","تسویه")))</f>
        <v/>
      </c>
    </row>
    <row r="430">
      <c r="A430" s="11">
        <f>IF($B430="","",421)</f>
        <v/>
      </c>
      <c r="B430" s="12">
        <f>IF(406&gt;NPartyA,"",IFERROR(IF(VLOOKUP(INDEX(PkPartyA,406),AcctTblA,4,0)="","(بدون نام)",VLOOKUP(INDEX(PkPartyA,406),AcctTblA,4,0)),"—"))</f>
        <v/>
      </c>
      <c r="C430" s="13">
        <f>IF($B430="","",IF(406&gt;NPartyA,"",INDEX(PkPartyA,406)))</f>
        <v/>
      </c>
      <c r="D430" s="12">
        <f>IF($B430="","","p")</f>
        <v/>
      </c>
      <c r="E430" s="14">
        <f>IF($B430="","",IF(406&gt;NPartyA,0,SUMIF(CalcDebit,INDEX(PkPartyA,406),CalcAmt)+SUMIF(CalcDebit2,INDEX(PkPartyA,406),CalcAmt2)+SUMIF(CalcDebit3,INDEX(PkPartyA,406),CalcAmt3)))</f>
        <v/>
      </c>
      <c r="F430" s="14">
        <f>IF($B430="","",IF(406&gt;NPartyA,0,SUMIF(CalcCredit,INDEX(PkPartyA,406),CalcAmt)+SUMIF(CalcCredit2,INDEX(PkPartyA,406),CalcAmt2)+SUMIF(CalcCredit3,INDEX(PkPartyA,406),CalcAmt3)))</f>
        <v/>
      </c>
      <c r="G430" s="15">
        <f>IF($B430="","",ROUND($E430-$F430,0))</f>
        <v/>
      </c>
      <c r="H430" s="12">
        <f>IF($B430="","",IF(ROUND($G430,0)&gt;0,"بدهکار",IF(ROUND($G430,0)&lt;0,"بستانکار","تسویه")))</f>
        <v/>
      </c>
    </row>
    <row r="431">
      <c r="A431" s="16">
        <f>IF($B431="","",422)</f>
        <v/>
      </c>
      <c r="B431" s="17">
        <f>IF(407&gt;NPartyA,"",IFERROR(IF(VLOOKUP(INDEX(PkPartyA,407),AcctTblA,4,0)="","(بدون نام)",VLOOKUP(INDEX(PkPartyA,407),AcctTblA,4,0)),"—"))</f>
        <v/>
      </c>
      <c r="C431" s="18">
        <f>IF($B431="","",IF(407&gt;NPartyA,"",INDEX(PkPartyA,407)))</f>
        <v/>
      </c>
      <c r="D431" s="17">
        <f>IF($B431="","","p")</f>
        <v/>
      </c>
      <c r="E431" s="19">
        <f>IF($B431="","",IF(407&gt;NPartyA,0,SUMIF(CalcDebit,INDEX(PkPartyA,407),CalcAmt)+SUMIF(CalcDebit2,INDEX(PkPartyA,407),CalcAmt2)+SUMIF(CalcDebit3,INDEX(PkPartyA,407),CalcAmt3)))</f>
        <v/>
      </c>
      <c r="F431" s="19">
        <f>IF($B431="","",IF(407&gt;NPartyA,0,SUMIF(CalcCredit,INDEX(PkPartyA,407),CalcAmt)+SUMIF(CalcCredit2,INDEX(PkPartyA,407),CalcAmt2)+SUMIF(CalcCredit3,INDEX(PkPartyA,407),CalcAmt3)))</f>
        <v/>
      </c>
      <c r="G431" s="20">
        <f>IF($B431="","",ROUND($E431-$F431,0))</f>
        <v/>
      </c>
      <c r="H431" s="17">
        <f>IF($B431="","",IF(ROUND($G431,0)&gt;0,"بدهکار",IF(ROUND($G431,0)&lt;0,"بستانکار","تسویه")))</f>
        <v/>
      </c>
    </row>
    <row r="432">
      <c r="A432" s="11">
        <f>IF($B432="","",423)</f>
        <v/>
      </c>
      <c r="B432" s="12">
        <f>IF(408&gt;NPartyA,"",IFERROR(IF(VLOOKUP(INDEX(PkPartyA,408),AcctTblA,4,0)="","(بدون نام)",VLOOKUP(INDEX(PkPartyA,408),AcctTblA,4,0)),"—"))</f>
        <v/>
      </c>
      <c r="C432" s="13">
        <f>IF($B432="","",IF(408&gt;NPartyA,"",INDEX(PkPartyA,408)))</f>
        <v/>
      </c>
      <c r="D432" s="12">
        <f>IF($B432="","","p")</f>
        <v/>
      </c>
      <c r="E432" s="14">
        <f>IF($B432="","",IF(408&gt;NPartyA,0,SUMIF(CalcDebit,INDEX(PkPartyA,408),CalcAmt)+SUMIF(CalcDebit2,INDEX(PkPartyA,408),CalcAmt2)+SUMIF(CalcDebit3,INDEX(PkPartyA,408),CalcAmt3)))</f>
        <v/>
      </c>
      <c r="F432" s="14">
        <f>IF($B432="","",IF(408&gt;NPartyA,0,SUMIF(CalcCredit,INDEX(PkPartyA,408),CalcAmt)+SUMIF(CalcCredit2,INDEX(PkPartyA,408),CalcAmt2)+SUMIF(CalcCredit3,INDEX(PkPartyA,408),CalcAmt3)))</f>
        <v/>
      </c>
      <c r="G432" s="15">
        <f>IF($B432="","",ROUND($E432-$F432,0))</f>
        <v/>
      </c>
      <c r="H432" s="12">
        <f>IF($B432="","",IF(ROUND($G432,0)&gt;0,"بدهکار",IF(ROUND($G432,0)&lt;0,"بستانکار","تسویه")))</f>
        <v/>
      </c>
    </row>
    <row r="433">
      <c r="A433" s="16">
        <f>IF($B433="","",424)</f>
        <v/>
      </c>
      <c r="B433" s="17">
        <f>IF(409&gt;NPartyA,"",IFERROR(IF(VLOOKUP(INDEX(PkPartyA,409),AcctTblA,4,0)="","(بدون نام)",VLOOKUP(INDEX(PkPartyA,409),AcctTblA,4,0)),"—"))</f>
        <v/>
      </c>
      <c r="C433" s="18">
        <f>IF($B433="","",IF(409&gt;NPartyA,"",INDEX(PkPartyA,409)))</f>
        <v/>
      </c>
      <c r="D433" s="17">
        <f>IF($B433="","","p")</f>
        <v/>
      </c>
      <c r="E433" s="19">
        <f>IF($B433="","",IF(409&gt;NPartyA,0,SUMIF(CalcDebit,INDEX(PkPartyA,409),CalcAmt)+SUMIF(CalcDebit2,INDEX(PkPartyA,409),CalcAmt2)+SUMIF(CalcDebit3,INDEX(PkPartyA,409),CalcAmt3)))</f>
        <v/>
      </c>
      <c r="F433" s="19">
        <f>IF($B433="","",IF(409&gt;NPartyA,0,SUMIF(CalcCredit,INDEX(PkPartyA,409),CalcAmt)+SUMIF(CalcCredit2,INDEX(PkPartyA,409),CalcAmt2)+SUMIF(CalcCredit3,INDEX(PkPartyA,409),CalcAmt3)))</f>
        <v/>
      </c>
      <c r="G433" s="20">
        <f>IF($B433="","",ROUND($E433-$F433,0))</f>
        <v/>
      </c>
      <c r="H433" s="17">
        <f>IF($B433="","",IF(ROUND($G433,0)&gt;0,"بدهکار",IF(ROUND($G433,0)&lt;0,"بستانکار","تسویه")))</f>
        <v/>
      </c>
    </row>
    <row r="434">
      <c r="A434" s="11">
        <f>IF($B434="","",425)</f>
        <v/>
      </c>
      <c r="B434" s="12">
        <f>IF(410&gt;NPartyA,"",IFERROR(IF(VLOOKUP(INDEX(PkPartyA,410),AcctTblA,4,0)="","(بدون نام)",VLOOKUP(INDEX(PkPartyA,410),AcctTblA,4,0)),"—"))</f>
        <v/>
      </c>
      <c r="C434" s="13">
        <f>IF($B434="","",IF(410&gt;NPartyA,"",INDEX(PkPartyA,410)))</f>
        <v/>
      </c>
      <c r="D434" s="12">
        <f>IF($B434="","","p")</f>
        <v/>
      </c>
      <c r="E434" s="14">
        <f>IF($B434="","",IF(410&gt;NPartyA,0,SUMIF(CalcDebit,INDEX(PkPartyA,410),CalcAmt)+SUMIF(CalcDebit2,INDEX(PkPartyA,410),CalcAmt2)+SUMIF(CalcDebit3,INDEX(PkPartyA,410),CalcAmt3)))</f>
        <v/>
      </c>
      <c r="F434" s="14">
        <f>IF($B434="","",IF(410&gt;NPartyA,0,SUMIF(CalcCredit,INDEX(PkPartyA,410),CalcAmt)+SUMIF(CalcCredit2,INDEX(PkPartyA,410),CalcAmt2)+SUMIF(CalcCredit3,INDEX(PkPartyA,410),CalcAmt3)))</f>
        <v/>
      </c>
      <c r="G434" s="15">
        <f>IF($B434="","",ROUND($E434-$F434,0))</f>
        <v/>
      </c>
      <c r="H434" s="12">
        <f>IF($B434="","",IF(ROUND($G434,0)&gt;0,"بدهکار",IF(ROUND($G434,0)&lt;0,"بستانکار","تسویه")))</f>
        <v/>
      </c>
    </row>
    <row r="435">
      <c r="A435" s="16">
        <f>IF($B435="","",426)</f>
        <v/>
      </c>
      <c r="B435" s="17">
        <f>IF(411&gt;NPartyA,"",IFERROR(IF(VLOOKUP(INDEX(PkPartyA,411),AcctTblA,4,0)="","(بدون نام)",VLOOKUP(INDEX(PkPartyA,411),AcctTblA,4,0)),"—"))</f>
        <v/>
      </c>
      <c r="C435" s="18">
        <f>IF($B435="","",IF(411&gt;NPartyA,"",INDEX(PkPartyA,411)))</f>
        <v/>
      </c>
      <c r="D435" s="17">
        <f>IF($B435="","","p")</f>
        <v/>
      </c>
      <c r="E435" s="19">
        <f>IF($B435="","",IF(411&gt;NPartyA,0,SUMIF(CalcDebit,INDEX(PkPartyA,411),CalcAmt)+SUMIF(CalcDebit2,INDEX(PkPartyA,411),CalcAmt2)+SUMIF(CalcDebit3,INDEX(PkPartyA,411),CalcAmt3)))</f>
        <v/>
      </c>
      <c r="F435" s="19">
        <f>IF($B435="","",IF(411&gt;NPartyA,0,SUMIF(CalcCredit,INDEX(PkPartyA,411),CalcAmt)+SUMIF(CalcCredit2,INDEX(PkPartyA,411),CalcAmt2)+SUMIF(CalcCredit3,INDEX(PkPartyA,411),CalcAmt3)))</f>
        <v/>
      </c>
      <c r="G435" s="20">
        <f>IF($B435="","",ROUND($E435-$F435,0))</f>
        <v/>
      </c>
      <c r="H435" s="17">
        <f>IF($B435="","",IF(ROUND($G435,0)&gt;0,"بدهکار",IF(ROUND($G435,0)&lt;0,"بستانکار","تسویه")))</f>
        <v/>
      </c>
    </row>
    <row r="436">
      <c r="A436" s="11">
        <f>IF($B436="","",427)</f>
        <v/>
      </c>
      <c r="B436" s="12">
        <f>IF(412&gt;NPartyA,"",IFERROR(IF(VLOOKUP(INDEX(PkPartyA,412),AcctTblA,4,0)="","(بدون نام)",VLOOKUP(INDEX(PkPartyA,412),AcctTblA,4,0)),"—"))</f>
        <v/>
      </c>
      <c r="C436" s="13">
        <f>IF($B436="","",IF(412&gt;NPartyA,"",INDEX(PkPartyA,412)))</f>
        <v/>
      </c>
      <c r="D436" s="12">
        <f>IF($B436="","","p")</f>
        <v/>
      </c>
      <c r="E436" s="14">
        <f>IF($B436="","",IF(412&gt;NPartyA,0,SUMIF(CalcDebit,INDEX(PkPartyA,412),CalcAmt)+SUMIF(CalcDebit2,INDEX(PkPartyA,412),CalcAmt2)+SUMIF(CalcDebit3,INDEX(PkPartyA,412),CalcAmt3)))</f>
        <v/>
      </c>
      <c r="F436" s="14">
        <f>IF($B436="","",IF(412&gt;NPartyA,0,SUMIF(CalcCredit,INDEX(PkPartyA,412),CalcAmt)+SUMIF(CalcCredit2,INDEX(PkPartyA,412),CalcAmt2)+SUMIF(CalcCredit3,INDEX(PkPartyA,412),CalcAmt3)))</f>
        <v/>
      </c>
      <c r="G436" s="15">
        <f>IF($B436="","",ROUND($E436-$F436,0))</f>
        <v/>
      </c>
      <c r="H436" s="12">
        <f>IF($B436="","",IF(ROUND($G436,0)&gt;0,"بدهکار",IF(ROUND($G436,0)&lt;0,"بستانکار","تسویه")))</f>
        <v/>
      </c>
    </row>
    <row r="437">
      <c r="A437" s="16">
        <f>IF($B437="","",428)</f>
        <v/>
      </c>
      <c r="B437" s="17">
        <f>IF(413&gt;NPartyA,"",IFERROR(IF(VLOOKUP(INDEX(PkPartyA,413),AcctTblA,4,0)="","(بدون نام)",VLOOKUP(INDEX(PkPartyA,413),AcctTblA,4,0)),"—"))</f>
        <v/>
      </c>
      <c r="C437" s="18">
        <f>IF($B437="","",IF(413&gt;NPartyA,"",INDEX(PkPartyA,413)))</f>
        <v/>
      </c>
      <c r="D437" s="17">
        <f>IF($B437="","","p")</f>
        <v/>
      </c>
      <c r="E437" s="19">
        <f>IF($B437="","",IF(413&gt;NPartyA,0,SUMIF(CalcDebit,INDEX(PkPartyA,413),CalcAmt)+SUMIF(CalcDebit2,INDEX(PkPartyA,413),CalcAmt2)+SUMIF(CalcDebit3,INDEX(PkPartyA,413),CalcAmt3)))</f>
        <v/>
      </c>
      <c r="F437" s="19">
        <f>IF($B437="","",IF(413&gt;NPartyA,0,SUMIF(CalcCredit,INDEX(PkPartyA,413),CalcAmt)+SUMIF(CalcCredit2,INDEX(PkPartyA,413),CalcAmt2)+SUMIF(CalcCredit3,INDEX(PkPartyA,413),CalcAmt3)))</f>
        <v/>
      </c>
      <c r="G437" s="20">
        <f>IF($B437="","",ROUND($E437-$F437,0))</f>
        <v/>
      </c>
      <c r="H437" s="17">
        <f>IF($B437="","",IF(ROUND($G437,0)&gt;0,"بدهکار",IF(ROUND($G437,0)&lt;0,"بستانکار","تسویه")))</f>
        <v/>
      </c>
    </row>
    <row r="438">
      <c r="A438" s="11">
        <f>IF($B438="","",429)</f>
        <v/>
      </c>
      <c r="B438" s="12">
        <f>IF(414&gt;NPartyA,"",IFERROR(IF(VLOOKUP(INDEX(PkPartyA,414),AcctTblA,4,0)="","(بدون نام)",VLOOKUP(INDEX(PkPartyA,414),AcctTblA,4,0)),"—"))</f>
        <v/>
      </c>
      <c r="C438" s="13">
        <f>IF($B438="","",IF(414&gt;NPartyA,"",INDEX(PkPartyA,414)))</f>
        <v/>
      </c>
      <c r="D438" s="12">
        <f>IF($B438="","","p")</f>
        <v/>
      </c>
      <c r="E438" s="14">
        <f>IF($B438="","",IF(414&gt;NPartyA,0,SUMIF(CalcDebit,INDEX(PkPartyA,414),CalcAmt)+SUMIF(CalcDebit2,INDEX(PkPartyA,414),CalcAmt2)+SUMIF(CalcDebit3,INDEX(PkPartyA,414),CalcAmt3)))</f>
        <v/>
      </c>
      <c r="F438" s="14">
        <f>IF($B438="","",IF(414&gt;NPartyA,0,SUMIF(CalcCredit,INDEX(PkPartyA,414),CalcAmt)+SUMIF(CalcCredit2,INDEX(PkPartyA,414),CalcAmt2)+SUMIF(CalcCredit3,INDEX(PkPartyA,414),CalcAmt3)))</f>
        <v/>
      </c>
      <c r="G438" s="15">
        <f>IF($B438="","",ROUND($E438-$F438,0))</f>
        <v/>
      </c>
      <c r="H438" s="12">
        <f>IF($B438="","",IF(ROUND($G438,0)&gt;0,"بدهکار",IF(ROUND($G438,0)&lt;0,"بستانکار","تسویه")))</f>
        <v/>
      </c>
    </row>
    <row r="439">
      <c r="A439" s="16">
        <f>IF($B439="","",430)</f>
        <v/>
      </c>
      <c r="B439" s="17">
        <f>IF(415&gt;NPartyA,"",IFERROR(IF(VLOOKUP(INDEX(PkPartyA,415),AcctTblA,4,0)="","(بدون نام)",VLOOKUP(INDEX(PkPartyA,415),AcctTblA,4,0)),"—"))</f>
        <v/>
      </c>
      <c r="C439" s="18">
        <f>IF($B439="","",IF(415&gt;NPartyA,"",INDEX(PkPartyA,415)))</f>
        <v/>
      </c>
      <c r="D439" s="17">
        <f>IF($B439="","","p")</f>
        <v/>
      </c>
      <c r="E439" s="19">
        <f>IF($B439="","",IF(415&gt;NPartyA,0,SUMIF(CalcDebit,INDEX(PkPartyA,415),CalcAmt)+SUMIF(CalcDebit2,INDEX(PkPartyA,415),CalcAmt2)+SUMIF(CalcDebit3,INDEX(PkPartyA,415),CalcAmt3)))</f>
        <v/>
      </c>
      <c r="F439" s="19">
        <f>IF($B439="","",IF(415&gt;NPartyA,0,SUMIF(CalcCredit,INDEX(PkPartyA,415),CalcAmt)+SUMIF(CalcCredit2,INDEX(PkPartyA,415),CalcAmt2)+SUMIF(CalcCredit3,INDEX(PkPartyA,415),CalcAmt3)))</f>
        <v/>
      </c>
      <c r="G439" s="20">
        <f>IF($B439="","",ROUND($E439-$F439,0))</f>
        <v/>
      </c>
      <c r="H439" s="17">
        <f>IF($B439="","",IF(ROUND($G439,0)&gt;0,"بدهکار",IF(ROUND($G439,0)&lt;0,"بستانکار","تسویه")))</f>
        <v/>
      </c>
    </row>
    <row r="440">
      <c r="A440" s="11">
        <f>IF($B440="","",431)</f>
        <v/>
      </c>
      <c r="B440" s="12">
        <f>IF(416&gt;NPartyA,"",IFERROR(IF(VLOOKUP(INDEX(PkPartyA,416),AcctTblA,4,0)="","(بدون نام)",VLOOKUP(INDEX(PkPartyA,416),AcctTblA,4,0)),"—"))</f>
        <v/>
      </c>
      <c r="C440" s="13">
        <f>IF($B440="","",IF(416&gt;NPartyA,"",INDEX(PkPartyA,416)))</f>
        <v/>
      </c>
      <c r="D440" s="12">
        <f>IF($B440="","","p")</f>
        <v/>
      </c>
      <c r="E440" s="14">
        <f>IF($B440="","",IF(416&gt;NPartyA,0,SUMIF(CalcDebit,INDEX(PkPartyA,416),CalcAmt)+SUMIF(CalcDebit2,INDEX(PkPartyA,416),CalcAmt2)+SUMIF(CalcDebit3,INDEX(PkPartyA,416),CalcAmt3)))</f>
        <v/>
      </c>
      <c r="F440" s="14">
        <f>IF($B440="","",IF(416&gt;NPartyA,0,SUMIF(CalcCredit,INDEX(PkPartyA,416),CalcAmt)+SUMIF(CalcCredit2,INDEX(PkPartyA,416),CalcAmt2)+SUMIF(CalcCredit3,INDEX(PkPartyA,416),CalcAmt3)))</f>
        <v/>
      </c>
      <c r="G440" s="15">
        <f>IF($B440="","",ROUND($E440-$F440,0))</f>
        <v/>
      </c>
      <c r="H440" s="12">
        <f>IF($B440="","",IF(ROUND($G440,0)&gt;0,"بدهکار",IF(ROUND($G440,0)&lt;0,"بستانکار","تسویه")))</f>
        <v/>
      </c>
    </row>
    <row r="441">
      <c r="A441" s="16">
        <f>IF($B441="","",432)</f>
        <v/>
      </c>
      <c r="B441" s="17">
        <f>IF(417&gt;NPartyA,"",IFERROR(IF(VLOOKUP(INDEX(PkPartyA,417),AcctTblA,4,0)="","(بدون نام)",VLOOKUP(INDEX(PkPartyA,417),AcctTblA,4,0)),"—"))</f>
        <v/>
      </c>
      <c r="C441" s="18">
        <f>IF($B441="","",IF(417&gt;NPartyA,"",INDEX(PkPartyA,417)))</f>
        <v/>
      </c>
      <c r="D441" s="17">
        <f>IF($B441="","","p")</f>
        <v/>
      </c>
      <c r="E441" s="19">
        <f>IF($B441="","",IF(417&gt;NPartyA,0,SUMIF(CalcDebit,INDEX(PkPartyA,417),CalcAmt)+SUMIF(CalcDebit2,INDEX(PkPartyA,417),CalcAmt2)+SUMIF(CalcDebit3,INDEX(PkPartyA,417),CalcAmt3)))</f>
        <v/>
      </c>
      <c r="F441" s="19">
        <f>IF($B441="","",IF(417&gt;NPartyA,0,SUMIF(CalcCredit,INDEX(PkPartyA,417),CalcAmt)+SUMIF(CalcCredit2,INDEX(PkPartyA,417),CalcAmt2)+SUMIF(CalcCredit3,INDEX(PkPartyA,417),CalcAmt3)))</f>
        <v/>
      </c>
      <c r="G441" s="20">
        <f>IF($B441="","",ROUND($E441-$F441,0))</f>
        <v/>
      </c>
      <c r="H441" s="17">
        <f>IF($B441="","",IF(ROUND($G441,0)&gt;0,"بدهکار",IF(ROUND($G441,0)&lt;0,"بستانکار","تسویه")))</f>
        <v/>
      </c>
    </row>
    <row r="442">
      <c r="A442" s="11">
        <f>IF($B442="","",433)</f>
        <v/>
      </c>
      <c r="B442" s="12">
        <f>IF(418&gt;NPartyA,"",IFERROR(IF(VLOOKUP(INDEX(PkPartyA,418),AcctTblA,4,0)="","(بدون نام)",VLOOKUP(INDEX(PkPartyA,418),AcctTblA,4,0)),"—"))</f>
        <v/>
      </c>
      <c r="C442" s="13">
        <f>IF($B442="","",IF(418&gt;NPartyA,"",INDEX(PkPartyA,418)))</f>
        <v/>
      </c>
      <c r="D442" s="12">
        <f>IF($B442="","","p")</f>
        <v/>
      </c>
      <c r="E442" s="14">
        <f>IF($B442="","",IF(418&gt;NPartyA,0,SUMIF(CalcDebit,INDEX(PkPartyA,418),CalcAmt)+SUMIF(CalcDebit2,INDEX(PkPartyA,418),CalcAmt2)+SUMIF(CalcDebit3,INDEX(PkPartyA,418),CalcAmt3)))</f>
        <v/>
      </c>
      <c r="F442" s="14">
        <f>IF($B442="","",IF(418&gt;NPartyA,0,SUMIF(CalcCredit,INDEX(PkPartyA,418),CalcAmt)+SUMIF(CalcCredit2,INDEX(PkPartyA,418),CalcAmt2)+SUMIF(CalcCredit3,INDEX(PkPartyA,418),CalcAmt3)))</f>
        <v/>
      </c>
      <c r="G442" s="15">
        <f>IF($B442="","",ROUND($E442-$F442,0))</f>
        <v/>
      </c>
      <c r="H442" s="12">
        <f>IF($B442="","",IF(ROUND($G442,0)&gt;0,"بدهکار",IF(ROUND($G442,0)&lt;0,"بستانکار","تسویه")))</f>
        <v/>
      </c>
    </row>
    <row r="443">
      <c r="A443" s="16">
        <f>IF($B443="","",434)</f>
        <v/>
      </c>
      <c r="B443" s="17">
        <f>IF(419&gt;NPartyA,"",IFERROR(IF(VLOOKUP(INDEX(PkPartyA,419),AcctTblA,4,0)="","(بدون نام)",VLOOKUP(INDEX(PkPartyA,419),AcctTblA,4,0)),"—"))</f>
        <v/>
      </c>
      <c r="C443" s="18">
        <f>IF($B443="","",IF(419&gt;NPartyA,"",INDEX(PkPartyA,419)))</f>
        <v/>
      </c>
      <c r="D443" s="17">
        <f>IF($B443="","","p")</f>
        <v/>
      </c>
      <c r="E443" s="19">
        <f>IF($B443="","",IF(419&gt;NPartyA,0,SUMIF(CalcDebit,INDEX(PkPartyA,419),CalcAmt)+SUMIF(CalcDebit2,INDEX(PkPartyA,419),CalcAmt2)+SUMIF(CalcDebit3,INDEX(PkPartyA,419),CalcAmt3)))</f>
        <v/>
      </c>
      <c r="F443" s="19">
        <f>IF($B443="","",IF(419&gt;NPartyA,0,SUMIF(CalcCredit,INDEX(PkPartyA,419),CalcAmt)+SUMIF(CalcCredit2,INDEX(PkPartyA,419),CalcAmt2)+SUMIF(CalcCredit3,INDEX(PkPartyA,419),CalcAmt3)))</f>
        <v/>
      </c>
      <c r="G443" s="20">
        <f>IF($B443="","",ROUND($E443-$F443,0))</f>
        <v/>
      </c>
      <c r="H443" s="17">
        <f>IF($B443="","",IF(ROUND($G443,0)&gt;0,"بدهکار",IF(ROUND($G443,0)&lt;0,"بستانکار","تسویه")))</f>
        <v/>
      </c>
    </row>
    <row r="444">
      <c r="A444" s="11">
        <f>IF($B444="","",435)</f>
        <v/>
      </c>
      <c r="B444" s="12">
        <f>IF(420&gt;NPartyA,"",IFERROR(IF(VLOOKUP(INDEX(PkPartyA,420),AcctTblA,4,0)="","(بدون نام)",VLOOKUP(INDEX(PkPartyA,420),AcctTblA,4,0)),"—"))</f>
        <v/>
      </c>
      <c r="C444" s="13">
        <f>IF($B444="","",IF(420&gt;NPartyA,"",INDEX(PkPartyA,420)))</f>
        <v/>
      </c>
      <c r="D444" s="12">
        <f>IF($B444="","","p")</f>
        <v/>
      </c>
      <c r="E444" s="14">
        <f>IF($B444="","",IF(420&gt;NPartyA,0,SUMIF(CalcDebit,INDEX(PkPartyA,420),CalcAmt)+SUMIF(CalcDebit2,INDEX(PkPartyA,420),CalcAmt2)+SUMIF(CalcDebit3,INDEX(PkPartyA,420),CalcAmt3)))</f>
        <v/>
      </c>
      <c r="F444" s="14">
        <f>IF($B444="","",IF(420&gt;NPartyA,0,SUMIF(CalcCredit,INDEX(PkPartyA,420),CalcAmt)+SUMIF(CalcCredit2,INDEX(PkPartyA,420),CalcAmt2)+SUMIF(CalcCredit3,INDEX(PkPartyA,420),CalcAmt3)))</f>
        <v/>
      </c>
      <c r="G444" s="15">
        <f>IF($B444="","",ROUND($E444-$F444,0))</f>
        <v/>
      </c>
      <c r="H444" s="12">
        <f>IF($B444="","",IF(ROUND($G444,0)&gt;0,"بدهکار",IF(ROUND($G444,0)&lt;0,"بستانکار","تسویه")))</f>
        <v/>
      </c>
    </row>
    <row r="445">
      <c r="A445" s="16">
        <f>IF($B445="","",436)</f>
        <v/>
      </c>
      <c r="B445" s="17">
        <f>IF(421&gt;NPartyA,"",IFERROR(IF(VLOOKUP(INDEX(PkPartyA,421),AcctTblA,4,0)="","(بدون نام)",VLOOKUP(INDEX(PkPartyA,421),AcctTblA,4,0)),"—"))</f>
        <v/>
      </c>
      <c r="C445" s="18">
        <f>IF($B445="","",IF(421&gt;NPartyA,"",INDEX(PkPartyA,421)))</f>
        <v/>
      </c>
      <c r="D445" s="17">
        <f>IF($B445="","","p")</f>
        <v/>
      </c>
      <c r="E445" s="19">
        <f>IF($B445="","",IF(421&gt;NPartyA,0,SUMIF(CalcDebit,INDEX(PkPartyA,421),CalcAmt)+SUMIF(CalcDebit2,INDEX(PkPartyA,421),CalcAmt2)+SUMIF(CalcDebit3,INDEX(PkPartyA,421),CalcAmt3)))</f>
        <v/>
      </c>
      <c r="F445" s="19">
        <f>IF($B445="","",IF(421&gt;NPartyA,0,SUMIF(CalcCredit,INDEX(PkPartyA,421),CalcAmt)+SUMIF(CalcCredit2,INDEX(PkPartyA,421),CalcAmt2)+SUMIF(CalcCredit3,INDEX(PkPartyA,421),CalcAmt3)))</f>
        <v/>
      </c>
      <c r="G445" s="20">
        <f>IF($B445="","",ROUND($E445-$F445,0))</f>
        <v/>
      </c>
      <c r="H445" s="17">
        <f>IF($B445="","",IF(ROUND($G445,0)&gt;0,"بدهکار",IF(ROUND($G445,0)&lt;0,"بستانکار","تسویه")))</f>
        <v/>
      </c>
    </row>
    <row r="446">
      <c r="A446" s="11">
        <f>IF($B446="","",437)</f>
        <v/>
      </c>
      <c r="B446" s="12">
        <f>IF(422&gt;NPartyA,"",IFERROR(IF(VLOOKUP(INDEX(PkPartyA,422),AcctTblA,4,0)="","(بدون نام)",VLOOKUP(INDEX(PkPartyA,422),AcctTblA,4,0)),"—"))</f>
        <v/>
      </c>
      <c r="C446" s="13">
        <f>IF($B446="","",IF(422&gt;NPartyA,"",INDEX(PkPartyA,422)))</f>
        <v/>
      </c>
      <c r="D446" s="12">
        <f>IF($B446="","","p")</f>
        <v/>
      </c>
      <c r="E446" s="14">
        <f>IF($B446="","",IF(422&gt;NPartyA,0,SUMIF(CalcDebit,INDEX(PkPartyA,422),CalcAmt)+SUMIF(CalcDebit2,INDEX(PkPartyA,422),CalcAmt2)+SUMIF(CalcDebit3,INDEX(PkPartyA,422),CalcAmt3)))</f>
        <v/>
      </c>
      <c r="F446" s="14">
        <f>IF($B446="","",IF(422&gt;NPartyA,0,SUMIF(CalcCredit,INDEX(PkPartyA,422),CalcAmt)+SUMIF(CalcCredit2,INDEX(PkPartyA,422),CalcAmt2)+SUMIF(CalcCredit3,INDEX(PkPartyA,422),CalcAmt3)))</f>
        <v/>
      </c>
      <c r="G446" s="15">
        <f>IF($B446="","",ROUND($E446-$F446,0))</f>
        <v/>
      </c>
      <c r="H446" s="12">
        <f>IF($B446="","",IF(ROUND($G446,0)&gt;0,"بدهکار",IF(ROUND($G446,0)&lt;0,"بستانکار","تسویه")))</f>
        <v/>
      </c>
    </row>
    <row r="447">
      <c r="A447" s="16">
        <f>IF($B447="","",438)</f>
        <v/>
      </c>
      <c r="B447" s="17">
        <f>IF(423&gt;NPartyA,"",IFERROR(IF(VLOOKUP(INDEX(PkPartyA,423),AcctTblA,4,0)="","(بدون نام)",VLOOKUP(INDEX(PkPartyA,423),AcctTblA,4,0)),"—"))</f>
        <v/>
      </c>
      <c r="C447" s="18">
        <f>IF($B447="","",IF(423&gt;NPartyA,"",INDEX(PkPartyA,423)))</f>
        <v/>
      </c>
      <c r="D447" s="17">
        <f>IF($B447="","","p")</f>
        <v/>
      </c>
      <c r="E447" s="19">
        <f>IF($B447="","",IF(423&gt;NPartyA,0,SUMIF(CalcDebit,INDEX(PkPartyA,423),CalcAmt)+SUMIF(CalcDebit2,INDEX(PkPartyA,423),CalcAmt2)+SUMIF(CalcDebit3,INDEX(PkPartyA,423),CalcAmt3)))</f>
        <v/>
      </c>
      <c r="F447" s="19">
        <f>IF($B447="","",IF(423&gt;NPartyA,0,SUMIF(CalcCredit,INDEX(PkPartyA,423),CalcAmt)+SUMIF(CalcCredit2,INDEX(PkPartyA,423),CalcAmt2)+SUMIF(CalcCredit3,INDEX(PkPartyA,423),CalcAmt3)))</f>
        <v/>
      </c>
      <c r="G447" s="20">
        <f>IF($B447="","",ROUND($E447-$F447,0))</f>
        <v/>
      </c>
      <c r="H447" s="17">
        <f>IF($B447="","",IF(ROUND($G447,0)&gt;0,"بدهکار",IF(ROUND($G447,0)&lt;0,"بستانکار","تسویه")))</f>
        <v/>
      </c>
    </row>
    <row r="448">
      <c r="A448" s="11">
        <f>IF($B448="","",439)</f>
        <v/>
      </c>
      <c r="B448" s="12">
        <f>IF(424&gt;NPartyA,"",IFERROR(IF(VLOOKUP(INDEX(PkPartyA,424),AcctTblA,4,0)="","(بدون نام)",VLOOKUP(INDEX(PkPartyA,424),AcctTblA,4,0)),"—"))</f>
        <v/>
      </c>
      <c r="C448" s="13">
        <f>IF($B448="","",IF(424&gt;NPartyA,"",INDEX(PkPartyA,424)))</f>
        <v/>
      </c>
      <c r="D448" s="12">
        <f>IF($B448="","","p")</f>
        <v/>
      </c>
      <c r="E448" s="14">
        <f>IF($B448="","",IF(424&gt;NPartyA,0,SUMIF(CalcDebit,INDEX(PkPartyA,424),CalcAmt)+SUMIF(CalcDebit2,INDEX(PkPartyA,424),CalcAmt2)+SUMIF(CalcDebit3,INDEX(PkPartyA,424),CalcAmt3)))</f>
        <v/>
      </c>
      <c r="F448" s="14">
        <f>IF($B448="","",IF(424&gt;NPartyA,0,SUMIF(CalcCredit,INDEX(PkPartyA,424),CalcAmt)+SUMIF(CalcCredit2,INDEX(PkPartyA,424),CalcAmt2)+SUMIF(CalcCredit3,INDEX(PkPartyA,424),CalcAmt3)))</f>
        <v/>
      </c>
      <c r="G448" s="15">
        <f>IF($B448="","",ROUND($E448-$F448,0))</f>
        <v/>
      </c>
      <c r="H448" s="12">
        <f>IF($B448="","",IF(ROUND($G448,0)&gt;0,"بدهکار",IF(ROUND($G448,0)&lt;0,"بستانکار","تسویه")))</f>
        <v/>
      </c>
    </row>
    <row r="449">
      <c r="A449" s="16">
        <f>IF($B449="","",440)</f>
        <v/>
      </c>
      <c r="B449" s="17">
        <f>IF(425&gt;NPartyA,"",IFERROR(IF(VLOOKUP(INDEX(PkPartyA,425),AcctTblA,4,0)="","(بدون نام)",VLOOKUP(INDEX(PkPartyA,425),AcctTblA,4,0)),"—"))</f>
        <v/>
      </c>
      <c r="C449" s="18">
        <f>IF($B449="","",IF(425&gt;NPartyA,"",INDEX(PkPartyA,425)))</f>
        <v/>
      </c>
      <c r="D449" s="17">
        <f>IF($B449="","","p")</f>
        <v/>
      </c>
      <c r="E449" s="19">
        <f>IF($B449="","",IF(425&gt;NPartyA,0,SUMIF(CalcDebit,INDEX(PkPartyA,425),CalcAmt)+SUMIF(CalcDebit2,INDEX(PkPartyA,425),CalcAmt2)+SUMIF(CalcDebit3,INDEX(PkPartyA,425),CalcAmt3)))</f>
        <v/>
      </c>
      <c r="F449" s="19">
        <f>IF($B449="","",IF(425&gt;NPartyA,0,SUMIF(CalcCredit,INDEX(PkPartyA,425),CalcAmt)+SUMIF(CalcCredit2,INDEX(PkPartyA,425),CalcAmt2)+SUMIF(CalcCredit3,INDEX(PkPartyA,425),CalcAmt3)))</f>
        <v/>
      </c>
      <c r="G449" s="20">
        <f>IF($B449="","",ROUND($E449-$F449,0))</f>
        <v/>
      </c>
      <c r="H449" s="17">
        <f>IF($B449="","",IF(ROUND($G449,0)&gt;0,"بدهکار",IF(ROUND($G449,0)&lt;0,"بستانکار","تسویه")))</f>
        <v/>
      </c>
    </row>
    <row r="450">
      <c r="A450" s="11">
        <f>IF($B450="","",441)</f>
        <v/>
      </c>
      <c r="B450" s="12">
        <f>IF(426&gt;NPartyA,"",IFERROR(IF(VLOOKUP(INDEX(PkPartyA,426),AcctTblA,4,0)="","(بدون نام)",VLOOKUP(INDEX(PkPartyA,426),AcctTblA,4,0)),"—"))</f>
        <v/>
      </c>
      <c r="C450" s="13">
        <f>IF($B450="","",IF(426&gt;NPartyA,"",INDEX(PkPartyA,426)))</f>
        <v/>
      </c>
      <c r="D450" s="12">
        <f>IF($B450="","","p")</f>
        <v/>
      </c>
      <c r="E450" s="14">
        <f>IF($B450="","",IF(426&gt;NPartyA,0,SUMIF(CalcDebit,INDEX(PkPartyA,426),CalcAmt)+SUMIF(CalcDebit2,INDEX(PkPartyA,426),CalcAmt2)+SUMIF(CalcDebit3,INDEX(PkPartyA,426),CalcAmt3)))</f>
        <v/>
      </c>
      <c r="F450" s="14">
        <f>IF($B450="","",IF(426&gt;NPartyA,0,SUMIF(CalcCredit,INDEX(PkPartyA,426),CalcAmt)+SUMIF(CalcCredit2,INDEX(PkPartyA,426),CalcAmt2)+SUMIF(CalcCredit3,INDEX(PkPartyA,426),CalcAmt3)))</f>
        <v/>
      </c>
      <c r="G450" s="15">
        <f>IF($B450="","",ROUND($E450-$F450,0))</f>
        <v/>
      </c>
      <c r="H450" s="12">
        <f>IF($B450="","",IF(ROUND($G450,0)&gt;0,"بدهکار",IF(ROUND($G450,0)&lt;0,"بستانکار","تسویه")))</f>
        <v/>
      </c>
    </row>
    <row r="451">
      <c r="A451" s="16">
        <f>IF($B451="","",442)</f>
        <v/>
      </c>
      <c r="B451" s="17">
        <f>IF(427&gt;NPartyA,"",IFERROR(IF(VLOOKUP(INDEX(PkPartyA,427),AcctTblA,4,0)="","(بدون نام)",VLOOKUP(INDEX(PkPartyA,427),AcctTblA,4,0)),"—"))</f>
        <v/>
      </c>
      <c r="C451" s="18">
        <f>IF($B451="","",IF(427&gt;NPartyA,"",INDEX(PkPartyA,427)))</f>
        <v/>
      </c>
      <c r="D451" s="17">
        <f>IF($B451="","","p")</f>
        <v/>
      </c>
      <c r="E451" s="19">
        <f>IF($B451="","",IF(427&gt;NPartyA,0,SUMIF(CalcDebit,INDEX(PkPartyA,427),CalcAmt)+SUMIF(CalcDebit2,INDEX(PkPartyA,427),CalcAmt2)+SUMIF(CalcDebit3,INDEX(PkPartyA,427),CalcAmt3)))</f>
        <v/>
      </c>
      <c r="F451" s="19">
        <f>IF($B451="","",IF(427&gt;NPartyA,0,SUMIF(CalcCredit,INDEX(PkPartyA,427),CalcAmt)+SUMIF(CalcCredit2,INDEX(PkPartyA,427),CalcAmt2)+SUMIF(CalcCredit3,INDEX(PkPartyA,427),CalcAmt3)))</f>
        <v/>
      </c>
      <c r="G451" s="20">
        <f>IF($B451="","",ROUND($E451-$F451,0))</f>
        <v/>
      </c>
      <c r="H451" s="17">
        <f>IF($B451="","",IF(ROUND($G451,0)&gt;0,"بدهکار",IF(ROUND($G451,0)&lt;0,"بستانکار","تسویه")))</f>
        <v/>
      </c>
    </row>
    <row r="452">
      <c r="A452" s="11">
        <f>IF($B452="","",443)</f>
        <v/>
      </c>
      <c r="B452" s="12">
        <f>IF(428&gt;NPartyA,"",IFERROR(IF(VLOOKUP(INDEX(PkPartyA,428),AcctTblA,4,0)="","(بدون نام)",VLOOKUP(INDEX(PkPartyA,428),AcctTblA,4,0)),"—"))</f>
        <v/>
      </c>
      <c r="C452" s="13">
        <f>IF($B452="","",IF(428&gt;NPartyA,"",INDEX(PkPartyA,428)))</f>
        <v/>
      </c>
      <c r="D452" s="12">
        <f>IF($B452="","","p")</f>
        <v/>
      </c>
      <c r="E452" s="14">
        <f>IF($B452="","",IF(428&gt;NPartyA,0,SUMIF(CalcDebit,INDEX(PkPartyA,428),CalcAmt)+SUMIF(CalcDebit2,INDEX(PkPartyA,428),CalcAmt2)+SUMIF(CalcDebit3,INDEX(PkPartyA,428),CalcAmt3)))</f>
        <v/>
      </c>
      <c r="F452" s="14">
        <f>IF($B452="","",IF(428&gt;NPartyA,0,SUMIF(CalcCredit,INDEX(PkPartyA,428),CalcAmt)+SUMIF(CalcCredit2,INDEX(PkPartyA,428),CalcAmt2)+SUMIF(CalcCredit3,INDEX(PkPartyA,428),CalcAmt3)))</f>
        <v/>
      </c>
      <c r="G452" s="15">
        <f>IF($B452="","",ROUND($E452-$F452,0))</f>
        <v/>
      </c>
      <c r="H452" s="12">
        <f>IF($B452="","",IF(ROUND($G452,0)&gt;0,"بدهکار",IF(ROUND($G452,0)&lt;0,"بستانکار","تسویه")))</f>
        <v/>
      </c>
    </row>
    <row r="453">
      <c r="A453" s="16">
        <f>IF($B453="","",444)</f>
        <v/>
      </c>
      <c r="B453" s="17">
        <f>IF(429&gt;NPartyA,"",IFERROR(IF(VLOOKUP(INDEX(PkPartyA,429),AcctTblA,4,0)="","(بدون نام)",VLOOKUP(INDEX(PkPartyA,429),AcctTblA,4,0)),"—"))</f>
        <v/>
      </c>
      <c r="C453" s="18">
        <f>IF($B453="","",IF(429&gt;NPartyA,"",INDEX(PkPartyA,429)))</f>
        <v/>
      </c>
      <c r="D453" s="17">
        <f>IF($B453="","","p")</f>
        <v/>
      </c>
      <c r="E453" s="19">
        <f>IF($B453="","",IF(429&gt;NPartyA,0,SUMIF(CalcDebit,INDEX(PkPartyA,429),CalcAmt)+SUMIF(CalcDebit2,INDEX(PkPartyA,429),CalcAmt2)+SUMIF(CalcDebit3,INDEX(PkPartyA,429),CalcAmt3)))</f>
        <v/>
      </c>
      <c r="F453" s="19">
        <f>IF($B453="","",IF(429&gt;NPartyA,0,SUMIF(CalcCredit,INDEX(PkPartyA,429),CalcAmt)+SUMIF(CalcCredit2,INDEX(PkPartyA,429),CalcAmt2)+SUMIF(CalcCredit3,INDEX(PkPartyA,429),CalcAmt3)))</f>
        <v/>
      </c>
      <c r="G453" s="20">
        <f>IF($B453="","",ROUND($E453-$F453,0))</f>
        <v/>
      </c>
      <c r="H453" s="17">
        <f>IF($B453="","",IF(ROUND($G453,0)&gt;0,"بدهکار",IF(ROUND($G453,0)&lt;0,"بستانکار","تسویه")))</f>
        <v/>
      </c>
    </row>
    <row r="454">
      <c r="A454" s="11">
        <f>IF($B454="","",445)</f>
        <v/>
      </c>
      <c r="B454" s="12">
        <f>IF(430&gt;NPartyA,"",IFERROR(IF(VLOOKUP(INDEX(PkPartyA,430),AcctTblA,4,0)="","(بدون نام)",VLOOKUP(INDEX(PkPartyA,430),AcctTblA,4,0)),"—"))</f>
        <v/>
      </c>
      <c r="C454" s="13">
        <f>IF($B454="","",IF(430&gt;NPartyA,"",INDEX(PkPartyA,430)))</f>
        <v/>
      </c>
      <c r="D454" s="12">
        <f>IF($B454="","","p")</f>
        <v/>
      </c>
      <c r="E454" s="14">
        <f>IF($B454="","",IF(430&gt;NPartyA,0,SUMIF(CalcDebit,INDEX(PkPartyA,430),CalcAmt)+SUMIF(CalcDebit2,INDEX(PkPartyA,430),CalcAmt2)+SUMIF(CalcDebit3,INDEX(PkPartyA,430),CalcAmt3)))</f>
        <v/>
      </c>
      <c r="F454" s="14">
        <f>IF($B454="","",IF(430&gt;NPartyA,0,SUMIF(CalcCredit,INDEX(PkPartyA,430),CalcAmt)+SUMIF(CalcCredit2,INDEX(PkPartyA,430),CalcAmt2)+SUMIF(CalcCredit3,INDEX(PkPartyA,430),CalcAmt3)))</f>
        <v/>
      </c>
      <c r="G454" s="15">
        <f>IF($B454="","",ROUND($E454-$F454,0))</f>
        <v/>
      </c>
      <c r="H454" s="12">
        <f>IF($B454="","",IF(ROUND($G454,0)&gt;0,"بدهکار",IF(ROUND($G454,0)&lt;0,"بستانکار","تسویه")))</f>
        <v/>
      </c>
    </row>
    <row r="455">
      <c r="A455" s="16">
        <f>IF($B455="","",446)</f>
        <v/>
      </c>
      <c r="B455" s="17">
        <f>IF(431&gt;NPartyA,"",IFERROR(IF(VLOOKUP(INDEX(PkPartyA,431),AcctTblA,4,0)="","(بدون نام)",VLOOKUP(INDEX(PkPartyA,431),AcctTblA,4,0)),"—"))</f>
        <v/>
      </c>
      <c r="C455" s="18">
        <f>IF($B455="","",IF(431&gt;NPartyA,"",INDEX(PkPartyA,431)))</f>
        <v/>
      </c>
      <c r="D455" s="17">
        <f>IF($B455="","","p")</f>
        <v/>
      </c>
      <c r="E455" s="19">
        <f>IF($B455="","",IF(431&gt;NPartyA,0,SUMIF(CalcDebit,INDEX(PkPartyA,431),CalcAmt)+SUMIF(CalcDebit2,INDEX(PkPartyA,431),CalcAmt2)+SUMIF(CalcDebit3,INDEX(PkPartyA,431),CalcAmt3)))</f>
        <v/>
      </c>
      <c r="F455" s="19">
        <f>IF($B455="","",IF(431&gt;NPartyA,0,SUMIF(CalcCredit,INDEX(PkPartyA,431),CalcAmt)+SUMIF(CalcCredit2,INDEX(PkPartyA,431),CalcAmt2)+SUMIF(CalcCredit3,INDEX(PkPartyA,431),CalcAmt3)))</f>
        <v/>
      </c>
      <c r="G455" s="20">
        <f>IF($B455="","",ROUND($E455-$F455,0))</f>
        <v/>
      </c>
      <c r="H455" s="17">
        <f>IF($B455="","",IF(ROUND($G455,0)&gt;0,"بدهکار",IF(ROUND($G455,0)&lt;0,"بستانکار","تسویه")))</f>
        <v/>
      </c>
    </row>
    <row r="456">
      <c r="A456" s="11">
        <f>IF($B456="","",447)</f>
        <v/>
      </c>
      <c r="B456" s="12">
        <f>IF(432&gt;NPartyA,"",IFERROR(IF(VLOOKUP(INDEX(PkPartyA,432),AcctTblA,4,0)="","(بدون نام)",VLOOKUP(INDEX(PkPartyA,432),AcctTblA,4,0)),"—"))</f>
        <v/>
      </c>
      <c r="C456" s="13">
        <f>IF($B456="","",IF(432&gt;NPartyA,"",INDEX(PkPartyA,432)))</f>
        <v/>
      </c>
      <c r="D456" s="12">
        <f>IF($B456="","","p")</f>
        <v/>
      </c>
      <c r="E456" s="14">
        <f>IF($B456="","",IF(432&gt;NPartyA,0,SUMIF(CalcDebit,INDEX(PkPartyA,432),CalcAmt)+SUMIF(CalcDebit2,INDEX(PkPartyA,432),CalcAmt2)+SUMIF(CalcDebit3,INDEX(PkPartyA,432),CalcAmt3)))</f>
        <v/>
      </c>
      <c r="F456" s="14">
        <f>IF($B456="","",IF(432&gt;NPartyA,0,SUMIF(CalcCredit,INDEX(PkPartyA,432),CalcAmt)+SUMIF(CalcCredit2,INDEX(PkPartyA,432),CalcAmt2)+SUMIF(CalcCredit3,INDEX(PkPartyA,432),CalcAmt3)))</f>
        <v/>
      </c>
      <c r="G456" s="15">
        <f>IF($B456="","",ROUND($E456-$F456,0))</f>
        <v/>
      </c>
      <c r="H456" s="12">
        <f>IF($B456="","",IF(ROUND($G456,0)&gt;0,"بدهکار",IF(ROUND($G456,0)&lt;0,"بستانکار","تسویه")))</f>
        <v/>
      </c>
    </row>
    <row r="457">
      <c r="A457" s="16">
        <f>IF($B457="","",448)</f>
        <v/>
      </c>
      <c r="B457" s="17">
        <f>IF(433&gt;NPartyA,"",IFERROR(IF(VLOOKUP(INDEX(PkPartyA,433),AcctTblA,4,0)="","(بدون نام)",VLOOKUP(INDEX(PkPartyA,433),AcctTblA,4,0)),"—"))</f>
        <v/>
      </c>
      <c r="C457" s="18">
        <f>IF($B457="","",IF(433&gt;NPartyA,"",INDEX(PkPartyA,433)))</f>
        <v/>
      </c>
      <c r="D457" s="17">
        <f>IF($B457="","","p")</f>
        <v/>
      </c>
      <c r="E457" s="19">
        <f>IF($B457="","",IF(433&gt;NPartyA,0,SUMIF(CalcDebit,INDEX(PkPartyA,433),CalcAmt)+SUMIF(CalcDebit2,INDEX(PkPartyA,433),CalcAmt2)+SUMIF(CalcDebit3,INDEX(PkPartyA,433),CalcAmt3)))</f>
        <v/>
      </c>
      <c r="F457" s="19">
        <f>IF($B457="","",IF(433&gt;NPartyA,0,SUMIF(CalcCredit,INDEX(PkPartyA,433),CalcAmt)+SUMIF(CalcCredit2,INDEX(PkPartyA,433),CalcAmt2)+SUMIF(CalcCredit3,INDEX(PkPartyA,433),CalcAmt3)))</f>
        <v/>
      </c>
      <c r="G457" s="20">
        <f>IF($B457="","",ROUND($E457-$F457,0))</f>
        <v/>
      </c>
      <c r="H457" s="17">
        <f>IF($B457="","",IF(ROUND($G457,0)&gt;0,"بدهکار",IF(ROUND($G457,0)&lt;0,"بستانکار","تسویه")))</f>
        <v/>
      </c>
    </row>
    <row r="458">
      <c r="A458" s="11">
        <f>IF($B458="","",449)</f>
        <v/>
      </c>
      <c r="B458" s="12">
        <f>IF(434&gt;NPartyA,"",IFERROR(IF(VLOOKUP(INDEX(PkPartyA,434),AcctTblA,4,0)="","(بدون نام)",VLOOKUP(INDEX(PkPartyA,434),AcctTblA,4,0)),"—"))</f>
        <v/>
      </c>
      <c r="C458" s="13">
        <f>IF($B458="","",IF(434&gt;NPartyA,"",INDEX(PkPartyA,434)))</f>
        <v/>
      </c>
      <c r="D458" s="12">
        <f>IF($B458="","","p")</f>
        <v/>
      </c>
      <c r="E458" s="14">
        <f>IF($B458="","",IF(434&gt;NPartyA,0,SUMIF(CalcDebit,INDEX(PkPartyA,434),CalcAmt)+SUMIF(CalcDebit2,INDEX(PkPartyA,434),CalcAmt2)+SUMIF(CalcDebit3,INDEX(PkPartyA,434),CalcAmt3)))</f>
        <v/>
      </c>
      <c r="F458" s="14">
        <f>IF($B458="","",IF(434&gt;NPartyA,0,SUMIF(CalcCredit,INDEX(PkPartyA,434),CalcAmt)+SUMIF(CalcCredit2,INDEX(PkPartyA,434),CalcAmt2)+SUMIF(CalcCredit3,INDEX(PkPartyA,434),CalcAmt3)))</f>
        <v/>
      </c>
      <c r="G458" s="15">
        <f>IF($B458="","",ROUND($E458-$F458,0))</f>
        <v/>
      </c>
      <c r="H458" s="12">
        <f>IF($B458="","",IF(ROUND($G458,0)&gt;0,"بدهکار",IF(ROUND($G458,0)&lt;0,"بستانکار","تسویه")))</f>
        <v/>
      </c>
    </row>
    <row r="459">
      <c r="A459" s="16">
        <f>IF($B459="","",450)</f>
        <v/>
      </c>
      <c r="B459" s="17">
        <f>IF(435&gt;NPartyA,"",IFERROR(IF(VLOOKUP(INDEX(PkPartyA,435),AcctTblA,4,0)="","(بدون نام)",VLOOKUP(INDEX(PkPartyA,435),AcctTblA,4,0)),"—"))</f>
        <v/>
      </c>
      <c r="C459" s="18">
        <f>IF($B459="","",IF(435&gt;NPartyA,"",INDEX(PkPartyA,435)))</f>
        <v/>
      </c>
      <c r="D459" s="17">
        <f>IF($B459="","","p")</f>
        <v/>
      </c>
      <c r="E459" s="19">
        <f>IF($B459="","",IF(435&gt;NPartyA,0,SUMIF(CalcDebit,INDEX(PkPartyA,435),CalcAmt)+SUMIF(CalcDebit2,INDEX(PkPartyA,435),CalcAmt2)+SUMIF(CalcDebit3,INDEX(PkPartyA,435),CalcAmt3)))</f>
        <v/>
      </c>
      <c r="F459" s="19">
        <f>IF($B459="","",IF(435&gt;NPartyA,0,SUMIF(CalcCredit,INDEX(PkPartyA,435),CalcAmt)+SUMIF(CalcCredit2,INDEX(PkPartyA,435),CalcAmt2)+SUMIF(CalcCredit3,INDEX(PkPartyA,435),CalcAmt3)))</f>
        <v/>
      </c>
      <c r="G459" s="20">
        <f>IF($B459="","",ROUND($E459-$F459,0))</f>
        <v/>
      </c>
      <c r="H459" s="17">
        <f>IF($B459="","",IF(ROUND($G459,0)&gt;0,"بدهکار",IF(ROUND($G459,0)&lt;0,"بستانکار","تسویه")))</f>
        <v/>
      </c>
    </row>
    <row r="460">
      <c r="A460" s="11">
        <f>IF($B460="","",451)</f>
        <v/>
      </c>
      <c r="B460" s="12">
        <f>IF(436&gt;NPartyA,"",IFERROR(IF(VLOOKUP(INDEX(PkPartyA,436),AcctTblA,4,0)="","(بدون نام)",VLOOKUP(INDEX(PkPartyA,436),AcctTblA,4,0)),"—"))</f>
        <v/>
      </c>
      <c r="C460" s="13">
        <f>IF($B460="","",IF(436&gt;NPartyA,"",INDEX(PkPartyA,436)))</f>
        <v/>
      </c>
      <c r="D460" s="12">
        <f>IF($B460="","","p")</f>
        <v/>
      </c>
      <c r="E460" s="14">
        <f>IF($B460="","",IF(436&gt;NPartyA,0,SUMIF(CalcDebit,INDEX(PkPartyA,436),CalcAmt)+SUMIF(CalcDebit2,INDEX(PkPartyA,436),CalcAmt2)+SUMIF(CalcDebit3,INDEX(PkPartyA,436),CalcAmt3)))</f>
        <v/>
      </c>
      <c r="F460" s="14">
        <f>IF($B460="","",IF(436&gt;NPartyA,0,SUMIF(CalcCredit,INDEX(PkPartyA,436),CalcAmt)+SUMIF(CalcCredit2,INDEX(PkPartyA,436),CalcAmt2)+SUMIF(CalcCredit3,INDEX(PkPartyA,436),CalcAmt3)))</f>
        <v/>
      </c>
      <c r="G460" s="15">
        <f>IF($B460="","",ROUND($E460-$F460,0))</f>
        <v/>
      </c>
      <c r="H460" s="12">
        <f>IF($B460="","",IF(ROUND($G460,0)&gt;0,"بدهکار",IF(ROUND($G460,0)&lt;0,"بستانکار","تسویه")))</f>
        <v/>
      </c>
    </row>
    <row r="461">
      <c r="A461" s="16">
        <f>IF($B461="","",452)</f>
        <v/>
      </c>
      <c r="B461" s="17">
        <f>IF(437&gt;NPartyA,"",IFERROR(IF(VLOOKUP(INDEX(PkPartyA,437),AcctTblA,4,0)="","(بدون نام)",VLOOKUP(INDEX(PkPartyA,437),AcctTblA,4,0)),"—"))</f>
        <v/>
      </c>
      <c r="C461" s="18">
        <f>IF($B461="","",IF(437&gt;NPartyA,"",INDEX(PkPartyA,437)))</f>
        <v/>
      </c>
      <c r="D461" s="17">
        <f>IF($B461="","","p")</f>
        <v/>
      </c>
      <c r="E461" s="19">
        <f>IF($B461="","",IF(437&gt;NPartyA,0,SUMIF(CalcDebit,INDEX(PkPartyA,437),CalcAmt)+SUMIF(CalcDebit2,INDEX(PkPartyA,437),CalcAmt2)+SUMIF(CalcDebit3,INDEX(PkPartyA,437),CalcAmt3)))</f>
        <v/>
      </c>
      <c r="F461" s="19">
        <f>IF($B461="","",IF(437&gt;NPartyA,0,SUMIF(CalcCredit,INDEX(PkPartyA,437),CalcAmt)+SUMIF(CalcCredit2,INDEX(PkPartyA,437),CalcAmt2)+SUMIF(CalcCredit3,INDEX(PkPartyA,437),CalcAmt3)))</f>
        <v/>
      </c>
      <c r="G461" s="20">
        <f>IF($B461="","",ROUND($E461-$F461,0))</f>
        <v/>
      </c>
      <c r="H461" s="17">
        <f>IF($B461="","",IF(ROUND($G461,0)&gt;0,"بدهکار",IF(ROUND($G461,0)&lt;0,"بستانکار","تسویه")))</f>
        <v/>
      </c>
    </row>
    <row r="462">
      <c r="A462" s="11">
        <f>IF($B462="","",453)</f>
        <v/>
      </c>
      <c r="B462" s="12">
        <f>IF(438&gt;NPartyA,"",IFERROR(IF(VLOOKUP(INDEX(PkPartyA,438),AcctTblA,4,0)="","(بدون نام)",VLOOKUP(INDEX(PkPartyA,438),AcctTblA,4,0)),"—"))</f>
        <v/>
      </c>
      <c r="C462" s="13">
        <f>IF($B462="","",IF(438&gt;NPartyA,"",INDEX(PkPartyA,438)))</f>
        <v/>
      </c>
      <c r="D462" s="12">
        <f>IF($B462="","","p")</f>
        <v/>
      </c>
      <c r="E462" s="14">
        <f>IF($B462="","",IF(438&gt;NPartyA,0,SUMIF(CalcDebit,INDEX(PkPartyA,438),CalcAmt)+SUMIF(CalcDebit2,INDEX(PkPartyA,438),CalcAmt2)+SUMIF(CalcDebit3,INDEX(PkPartyA,438),CalcAmt3)))</f>
        <v/>
      </c>
      <c r="F462" s="14">
        <f>IF($B462="","",IF(438&gt;NPartyA,0,SUMIF(CalcCredit,INDEX(PkPartyA,438),CalcAmt)+SUMIF(CalcCredit2,INDEX(PkPartyA,438),CalcAmt2)+SUMIF(CalcCredit3,INDEX(PkPartyA,438),CalcAmt3)))</f>
        <v/>
      </c>
      <c r="G462" s="15">
        <f>IF($B462="","",ROUND($E462-$F462,0))</f>
        <v/>
      </c>
      <c r="H462" s="12">
        <f>IF($B462="","",IF(ROUND($G462,0)&gt;0,"بدهکار",IF(ROUND($G462,0)&lt;0,"بستانکار","تسویه")))</f>
        <v/>
      </c>
    </row>
    <row r="463">
      <c r="A463" s="16">
        <f>IF($B463="","",454)</f>
        <v/>
      </c>
      <c r="B463" s="17">
        <f>IF(439&gt;NPartyA,"",IFERROR(IF(VLOOKUP(INDEX(PkPartyA,439),AcctTblA,4,0)="","(بدون نام)",VLOOKUP(INDEX(PkPartyA,439),AcctTblA,4,0)),"—"))</f>
        <v/>
      </c>
      <c r="C463" s="18">
        <f>IF($B463="","",IF(439&gt;NPartyA,"",INDEX(PkPartyA,439)))</f>
        <v/>
      </c>
      <c r="D463" s="17">
        <f>IF($B463="","","p")</f>
        <v/>
      </c>
      <c r="E463" s="19">
        <f>IF($B463="","",IF(439&gt;NPartyA,0,SUMIF(CalcDebit,INDEX(PkPartyA,439),CalcAmt)+SUMIF(CalcDebit2,INDEX(PkPartyA,439),CalcAmt2)+SUMIF(CalcDebit3,INDEX(PkPartyA,439),CalcAmt3)))</f>
        <v/>
      </c>
      <c r="F463" s="19">
        <f>IF($B463="","",IF(439&gt;NPartyA,0,SUMIF(CalcCredit,INDEX(PkPartyA,439),CalcAmt)+SUMIF(CalcCredit2,INDEX(PkPartyA,439),CalcAmt2)+SUMIF(CalcCredit3,INDEX(PkPartyA,439),CalcAmt3)))</f>
        <v/>
      </c>
      <c r="G463" s="20">
        <f>IF($B463="","",ROUND($E463-$F463,0))</f>
        <v/>
      </c>
      <c r="H463" s="17">
        <f>IF($B463="","",IF(ROUND($G463,0)&gt;0,"بدهکار",IF(ROUND($G463,0)&lt;0,"بستانکار","تسویه")))</f>
        <v/>
      </c>
    </row>
    <row r="464">
      <c r="A464" s="11">
        <f>IF($B464="","",455)</f>
        <v/>
      </c>
      <c r="B464" s="12">
        <f>IF(440&gt;NPartyA,"",IFERROR(IF(VLOOKUP(INDEX(PkPartyA,440),AcctTblA,4,0)="","(بدون نام)",VLOOKUP(INDEX(PkPartyA,440),AcctTblA,4,0)),"—"))</f>
        <v/>
      </c>
      <c r="C464" s="13">
        <f>IF($B464="","",IF(440&gt;NPartyA,"",INDEX(PkPartyA,440)))</f>
        <v/>
      </c>
      <c r="D464" s="12">
        <f>IF($B464="","","p")</f>
        <v/>
      </c>
      <c r="E464" s="14">
        <f>IF($B464="","",IF(440&gt;NPartyA,0,SUMIF(CalcDebit,INDEX(PkPartyA,440),CalcAmt)+SUMIF(CalcDebit2,INDEX(PkPartyA,440),CalcAmt2)+SUMIF(CalcDebit3,INDEX(PkPartyA,440),CalcAmt3)))</f>
        <v/>
      </c>
      <c r="F464" s="14">
        <f>IF($B464="","",IF(440&gt;NPartyA,0,SUMIF(CalcCredit,INDEX(PkPartyA,440),CalcAmt)+SUMIF(CalcCredit2,INDEX(PkPartyA,440),CalcAmt2)+SUMIF(CalcCredit3,INDEX(PkPartyA,440),CalcAmt3)))</f>
        <v/>
      </c>
      <c r="G464" s="15">
        <f>IF($B464="","",ROUND($E464-$F464,0))</f>
        <v/>
      </c>
      <c r="H464" s="12">
        <f>IF($B464="","",IF(ROUND($G464,0)&gt;0,"بدهکار",IF(ROUND($G464,0)&lt;0,"بستانکار","تسویه")))</f>
        <v/>
      </c>
    </row>
    <row r="465">
      <c r="A465" s="16">
        <f>IF($B465="","",456)</f>
        <v/>
      </c>
      <c r="B465" s="17">
        <f>IF(441&gt;NPartyA,"",IFERROR(IF(VLOOKUP(INDEX(PkPartyA,441),AcctTblA,4,0)="","(بدون نام)",VLOOKUP(INDEX(PkPartyA,441),AcctTblA,4,0)),"—"))</f>
        <v/>
      </c>
      <c r="C465" s="18">
        <f>IF($B465="","",IF(441&gt;NPartyA,"",INDEX(PkPartyA,441)))</f>
        <v/>
      </c>
      <c r="D465" s="17">
        <f>IF($B465="","","p")</f>
        <v/>
      </c>
      <c r="E465" s="19">
        <f>IF($B465="","",IF(441&gt;NPartyA,0,SUMIF(CalcDebit,INDEX(PkPartyA,441),CalcAmt)+SUMIF(CalcDebit2,INDEX(PkPartyA,441),CalcAmt2)+SUMIF(CalcDebit3,INDEX(PkPartyA,441),CalcAmt3)))</f>
        <v/>
      </c>
      <c r="F465" s="19">
        <f>IF($B465="","",IF(441&gt;NPartyA,0,SUMIF(CalcCredit,INDEX(PkPartyA,441),CalcAmt)+SUMIF(CalcCredit2,INDEX(PkPartyA,441),CalcAmt2)+SUMIF(CalcCredit3,INDEX(PkPartyA,441),CalcAmt3)))</f>
        <v/>
      </c>
      <c r="G465" s="20">
        <f>IF($B465="","",ROUND($E465-$F465,0))</f>
        <v/>
      </c>
      <c r="H465" s="17">
        <f>IF($B465="","",IF(ROUND($G465,0)&gt;0,"بدهکار",IF(ROUND($G465,0)&lt;0,"بستانکار","تسویه")))</f>
        <v/>
      </c>
    </row>
    <row r="466">
      <c r="A466" s="11">
        <f>IF($B466="","",457)</f>
        <v/>
      </c>
      <c r="B466" s="12">
        <f>IF(442&gt;NPartyA,"",IFERROR(IF(VLOOKUP(INDEX(PkPartyA,442),AcctTblA,4,0)="","(بدون نام)",VLOOKUP(INDEX(PkPartyA,442),AcctTblA,4,0)),"—"))</f>
        <v/>
      </c>
      <c r="C466" s="13">
        <f>IF($B466="","",IF(442&gt;NPartyA,"",INDEX(PkPartyA,442)))</f>
        <v/>
      </c>
      <c r="D466" s="12">
        <f>IF($B466="","","p")</f>
        <v/>
      </c>
      <c r="E466" s="14">
        <f>IF($B466="","",IF(442&gt;NPartyA,0,SUMIF(CalcDebit,INDEX(PkPartyA,442),CalcAmt)+SUMIF(CalcDebit2,INDEX(PkPartyA,442),CalcAmt2)+SUMIF(CalcDebit3,INDEX(PkPartyA,442),CalcAmt3)))</f>
        <v/>
      </c>
      <c r="F466" s="14">
        <f>IF($B466="","",IF(442&gt;NPartyA,0,SUMIF(CalcCredit,INDEX(PkPartyA,442),CalcAmt)+SUMIF(CalcCredit2,INDEX(PkPartyA,442),CalcAmt2)+SUMIF(CalcCredit3,INDEX(PkPartyA,442),CalcAmt3)))</f>
        <v/>
      </c>
      <c r="G466" s="15">
        <f>IF($B466="","",ROUND($E466-$F466,0))</f>
        <v/>
      </c>
      <c r="H466" s="12">
        <f>IF($B466="","",IF(ROUND($G466,0)&gt;0,"بدهکار",IF(ROUND($G466,0)&lt;0,"بستانکار","تسویه")))</f>
        <v/>
      </c>
    </row>
    <row r="467">
      <c r="A467" s="16">
        <f>IF($B467="","",458)</f>
        <v/>
      </c>
      <c r="B467" s="17">
        <f>IF(443&gt;NPartyA,"",IFERROR(IF(VLOOKUP(INDEX(PkPartyA,443),AcctTblA,4,0)="","(بدون نام)",VLOOKUP(INDEX(PkPartyA,443),AcctTblA,4,0)),"—"))</f>
        <v/>
      </c>
      <c r="C467" s="18">
        <f>IF($B467="","",IF(443&gt;NPartyA,"",INDEX(PkPartyA,443)))</f>
        <v/>
      </c>
      <c r="D467" s="17">
        <f>IF($B467="","","p")</f>
        <v/>
      </c>
      <c r="E467" s="19">
        <f>IF($B467="","",IF(443&gt;NPartyA,0,SUMIF(CalcDebit,INDEX(PkPartyA,443),CalcAmt)+SUMIF(CalcDebit2,INDEX(PkPartyA,443),CalcAmt2)+SUMIF(CalcDebit3,INDEX(PkPartyA,443),CalcAmt3)))</f>
        <v/>
      </c>
      <c r="F467" s="19">
        <f>IF($B467="","",IF(443&gt;NPartyA,0,SUMIF(CalcCredit,INDEX(PkPartyA,443),CalcAmt)+SUMIF(CalcCredit2,INDEX(PkPartyA,443),CalcAmt2)+SUMIF(CalcCredit3,INDEX(PkPartyA,443),CalcAmt3)))</f>
        <v/>
      </c>
      <c r="G467" s="20">
        <f>IF($B467="","",ROUND($E467-$F467,0))</f>
        <v/>
      </c>
      <c r="H467" s="17">
        <f>IF($B467="","",IF(ROUND($G467,0)&gt;0,"بدهکار",IF(ROUND($G467,0)&lt;0,"بستانکار","تسویه")))</f>
        <v/>
      </c>
    </row>
    <row r="468">
      <c r="A468" s="11">
        <f>IF($B468="","",459)</f>
        <v/>
      </c>
      <c r="B468" s="12">
        <f>IF(444&gt;NPartyA,"",IFERROR(IF(VLOOKUP(INDEX(PkPartyA,444),AcctTblA,4,0)="","(بدون نام)",VLOOKUP(INDEX(PkPartyA,444),AcctTblA,4,0)),"—"))</f>
        <v/>
      </c>
      <c r="C468" s="13">
        <f>IF($B468="","",IF(444&gt;NPartyA,"",INDEX(PkPartyA,444)))</f>
        <v/>
      </c>
      <c r="D468" s="12">
        <f>IF($B468="","","p")</f>
        <v/>
      </c>
      <c r="E468" s="14">
        <f>IF($B468="","",IF(444&gt;NPartyA,0,SUMIF(CalcDebit,INDEX(PkPartyA,444),CalcAmt)+SUMIF(CalcDebit2,INDEX(PkPartyA,444),CalcAmt2)+SUMIF(CalcDebit3,INDEX(PkPartyA,444),CalcAmt3)))</f>
        <v/>
      </c>
      <c r="F468" s="14">
        <f>IF($B468="","",IF(444&gt;NPartyA,0,SUMIF(CalcCredit,INDEX(PkPartyA,444),CalcAmt)+SUMIF(CalcCredit2,INDEX(PkPartyA,444),CalcAmt2)+SUMIF(CalcCredit3,INDEX(PkPartyA,444),CalcAmt3)))</f>
        <v/>
      </c>
      <c r="G468" s="15">
        <f>IF($B468="","",ROUND($E468-$F468,0))</f>
        <v/>
      </c>
      <c r="H468" s="12">
        <f>IF($B468="","",IF(ROUND($G468,0)&gt;0,"بدهکار",IF(ROUND($G468,0)&lt;0,"بستانکار","تسویه")))</f>
        <v/>
      </c>
    </row>
    <row r="469">
      <c r="A469" s="16">
        <f>IF($B469="","",460)</f>
        <v/>
      </c>
      <c r="B469" s="17">
        <f>IF(445&gt;NPartyA,"",IFERROR(IF(VLOOKUP(INDEX(PkPartyA,445),AcctTblA,4,0)="","(بدون نام)",VLOOKUP(INDEX(PkPartyA,445),AcctTblA,4,0)),"—"))</f>
        <v/>
      </c>
      <c r="C469" s="18">
        <f>IF($B469="","",IF(445&gt;NPartyA,"",INDEX(PkPartyA,445)))</f>
        <v/>
      </c>
      <c r="D469" s="17">
        <f>IF($B469="","","p")</f>
        <v/>
      </c>
      <c r="E469" s="19">
        <f>IF($B469="","",IF(445&gt;NPartyA,0,SUMIF(CalcDebit,INDEX(PkPartyA,445),CalcAmt)+SUMIF(CalcDebit2,INDEX(PkPartyA,445),CalcAmt2)+SUMIF(CalcDebit3,INDEX(PkPartyA,445),CalcAmt3)))</f>
        <v/>
      </c>
      <c r="F469" s="19">
        <f>IF($B469="","",IF(445&gt;NPartyA,0,SUMIF(CalcCredit,INDEX(PkPartyA,445),CalcAmt)+SUMIF(CalcCredit2,INDEX(PkPartyA,445),CalcAmt2)+SUMIF(CalcCredit3,INDEX(PkPartyA,445),CalcAmt3)))</f>
        <v/>
      </c>
      <c r="G469" s="20">
        <f>IF($B469="","",ROUND($E469-$F469,0))</f>
        <v/>
      </c>
      <c r="H469" s="17">
        <f>IF($B469="","",IF(ROUND($G469,0)&gt;0,"بدهکار",IF(ROUND($G469,0)&lt;0,"بستانکار","تسویه")))</f>
        <v/>
      </c>
    </row>
    <row r="470">
      <c r="A470" s="11">
        <f>IF($B470="","",461)</f>
        <v/>
      </c>
      <c r="B470" s="12">
        <f>IF(446&gt;NPartyA,"",IFERROR(IF(VLOOKUP(INDEX(PkPartyA,446),AcctTblA,4,0)="","(بدون نام)",VLOOKUP(INDEX(PkPartyA,446),AcctTblA,4,0)),"—"))</f>
        <v/>
      </c>
      <c r="C470" s="13">
        <f>IF($B470="","",IF(446&gt;NPartyA,"",INDEX(PkPartyA,446)))</f>
        <v/>
      </c>
      <c r="D470" s="12">
        <f>IF($B470="","","p")</f>
        <v/>
      </c>
      <c r="E470" s="14">
        <f>IF($B470="","",IF(446&gt;NPartyA,0,SUMIF(CalcDebit,INDEX(PkPartyA,446),CalcAmt)+SUMIF(CalcDebit2,INDEX(PkPartyA,446),CalcAmt2)+SUMIF(CalcDebit3,INDEX(PkPartyA,446),CalcAmt3)))</f>
        <v/>
      </c>
      <c r="F470" s="14">
        <f>IF($B470="","",IF(446&gt;NPartyA,0,SUMIF(CalcCredit,INDEX(PkPartyA,446),CalcAmt)+SUMIF(CalcCredit2,INDEX(PkPartyA,446),CalcAmt2)+SUMIF(CalcCredit3,INDEX(PkPartyA,446),CalcAmt3)))</f>
        <v/>
      </c>
      <c r="G470" s="15">
        <f>IF($B470="","",ROUND($E470-$F470,0))</f>
        <v/>
      </c>
      <c r="H470" s="12">
        <f>IF($B470="","",IF(ROUND($G470,0)&gt;0,"بدهکار",IF(ROUND($G470,0)&lt;0,"بستانکار","تسویه")))</f>
        <v/>
      </c>
    </row>
    <row r="471">
      <c r="A471" s="16">
        <f>IF($B471="","",462)</f>
        <v/>
      </c>
      <c r="B471" s="17">
        <f>IF(447&gt;NPartyA,"",IFERROR(IF(VLOOKUP(INDEX(PkPartyA,447),AcctTblA,4,0)="","(بدون نام)",VLOOKUP(INDEX(PkPartyA,447),AcctTblA,4,0)),"—"))</f>
        <v/>
      </c>
      <c r="C471" s="18">
        <f>IF($B471="","",IF(447&gt;NPartyA,"",INDEX(PkPartyA,447)))</f>
        <v/>
      </c>
      <c r="D471" s="17">
        <f>IF($B471="","","p")</f>
        <v/>
      </c>
      <c r="E471" s="19">
        <f>IF($B471="","",IF(447&gt;NPartyA,0,SUMIF(CalcDebit,INDEX(PkPartyA,447),CalcAmt)+SUMIF(CalcDebit2,INDEX(PkPartyA,447),CalcAmt2)+SUMIF(CalcDebit3,INDEX(PkPartyA,447),CalcAmt3)))</f>
        <v/>
      </c>
      <c r="F471" s="19">
        <f>IF($B471="","",IF(447&gt;NPartyA,0,SUMIF(CalcCredit,INDEX(PkPartyA,447),CalcAmt)+SUMIF(CalcCredit2,INDEX(PkPartyA,447),CalcAmt2)+SUMIF(CalcCredit3,INDEX(PkPartyA,447),CalcAmt3)))</f>
        <v/>
      </c>
      <c r="G471" s="20">
        <f>IF($B471="","",ROUND($E471-$F471,0))</f>
        <v/>
      </c>
      <c r="H471" s="17">
        <f>IF($B471="","",IF(ROUND($G471,0)&gt;0,"بدهکار",IF(ROUND($G471,0)&lt;0,"بستانکار","تسویه")))</f>
        <v/>
      </c>
    </row>
    <row r="472">
      <c r="A472" s="11">
        <f>IF($B472="","",463)</f>
        <v/>
      </c>
      <c r="B472" s="12">
        <f>IF(448&gt;NPartyA,"",IFERROR(IF(VLOOKUP(INDEX(PkPartyA,448),AcctTblA,4,0)="","(بدون نام)",VLOOKUP(INDEX(PkPartyA,448),AcctTblA,4,0)),"—"))</f>
        <v/>
      </c>
      <c r="C472" s="13">
        <f>IF($B472="","",IF(448&gt;NPartyA,"",INDEX(PkPartyA,448)))</f>
        <v/>
      </c>
      <c r="D472" s="12">
        <f>IF($B472="","","p")</f>
        <v/>
      </c>
      <c r="E472" s="14">
        <f>IF($B472="","",IF(448&gt;NPartyA,0,SUMIF(CalcDebit,INDEX(PkPartyA,448),CalcAmt)+SUMIF(CalcDebit2,INDEX(PkPartyA,448),CalcAmt2)+SUMIF(CalcDebit3,INDEX(PkPartyA,448),CalcAmt3)))</f>
        <v/>
      </c>
      <c r="F472" s="14">
        <f>IF($B472="","",IF(448&gt;NPartyA,0,SUMIF(CalcCredit,INDEX(PkPartyA,448),CalcAmt)+SUMIF(CalcCredit2,INDEX(PkPartyA,448),CalcAmt2)+SUMIF(CalcCredit3,INDEX(PkPartyA,448),CalcAmt3)))</f>
        <v/>
      </c>
      <c r="G472" s="15">
        <f>IF($B472="","",ROUND($E472-$F472,0))</f>
        <v/>
      </c>
      <c r="H472" s="12">
        <f>IF($B472="","",IF(ROUND($G472,0)&gt;0,"بدهکار",IF(ROUND($G472,0)&lt;0,"بستانکار","تسویه")))</f>
        <v/>
      </c>
    </row>
    <row r="473">
      <c r="A473" s="16">
        <f>IF($B473="","",464)</f>
        <v/>
      </c>
      <c r="B473" s="17">
        <f>IF(449&gt;NPartyA,"",IFERROR(IF(VLOOKUP(INDEX(PkPartyA,449),AcctTblA,4,0)="","(بدون نام)",VLOOKUP(INDEX(PkPartyA,449),AcctTblA,4,0)),"—"))</f>
        <v/>
      </c>
      <c r="C473" s="18">
        <f>IF($B473="","",IF(449&gt;NPartyA,"",INDEX(PkPartyA,449)))</f>
        <v/>
      </c>
      <c r="D473" s="17">
        <f>IF($B473="","","p")</f>
        <v/>
      </c>
      <c r="E473" s="19">
        <f>IF($B473="","",IF(449&gt;NPartyA,0,SUMIF(CalcDebit,INDEX(PkPartyA,449),CalcAmt)+SUMIF(CalcDebit2,INDEX(PkPartyA,449),CalcAmt2)+SUMIF(CalcDebit3,INDEX(PkPartyA,449),CalcAmt3)))</f>
        <v/>
      </c>
      <c r="F473" s="19">
        <f>IF($B473="","",IF(449&gt;NPartyA,0,SUMIF(CalcCredit,INDEX(PkPartyA,449),CalcAmt)+SUMIF(CalcCredit2,INDEX(PkPartyA,449),CalcAmt2)+SUMIF(CalcCredit3,INDEX(PkPartyA,449),CalcAmt3)))</f>
        <v/>
      </c>
      <c r="G473" s="20">
        <f>IF($B473="","",ROUND($E473-$F473,0))</f>
        <v/>
      </c>
      <c r="H473" s="17">
        <f>IF($B473="","",IF(ROUND($G473,0)&gt;0,"بدهکار",IF(ROUND($G473,0)&lt;0,"بستانکار","تسویه")))</f>
        <v/>
      </c>
    </row>
    <row r="474">
      <c r="A474" s="11">
        <f>IF($B474="","",465)</f>
        <v/>
      </c>
      <c r="B474" s="12">
        <f>IF(450&gt;NPartyA,"",IFERROR(IF(VLOOKUP(INDEX(PkPartyA,450),AcctTblA,4,0)="","(بدون نام)",VLOOKUP(INDEX(PkPartyA,450),AcctTblA,4,0)),"—"))</f>
        <v/>
      </c>
      <c r="C474" s="13">
        <f>IF($B474="","",IF(450&gt;NPartyA,"",INDEX(PkPartyA,450)))</f>
        <v/>
      </c>
      <c r="D474" s="12">
        <f>IF($B474="","","p")</f>
        <v/>
      </c>
      <c r="E474" s="14">
        <f>IF($B474="","",IF(450&gt;NPartyA,0,SUMIF(CalcDebit,INDEX(PkPartyA,450),CalcAmt)+SUMIF(CalcDebit2,INDEX(PkPartyA,450),CalcAmt2)+SUMIF(CalcDebit3,INDEX(PkPartyA,450),CalcAmt3)))</f>
        <v/>
      </c>
      <c r="F474" s="14">
        <f>IF($B474="","",IF(450&gt;NPartyA,0,SUMIF(CalcCredit,INDEX(PkPartyA,450),CalcAmt)+SUMIF(CalcCredit2,INDEX(PkPartyA,450),CalcAmt2)+SUMIF(CalcCredit3,INDEX(PkPartyA,450),CalcAmt3)))</f>
        <v/>
      </c>
      <c r="G474" s="15">
        <f>IF($B474="","",ROUND($E474-$F474,0))</f>
        <v/>
      </c>
      <c r="H474" s="12">
        <f>IF($B474="","",IF(ROUND($G474,0)&gt;0,"بدهکار",IF(ROUND($G474,0)&lt;0,"بستانکار","تسویه")))</f>
        <v/>
      </c>
    </row>
    <row r="475">
      <c r="A475" s="16">
        <f>IF($B475="","",466)</f>
        <v/>
      </c>
      <c r="B475" s="17">
        <f>IF(451&gt;NPartyA,"",IFERROR(IF(VLOOKUP(INDEX(PkPartyA,451),AcctTblA,4,0)="","(بدون نام)",VLOOKUP(INDEX(PkPartyA,451),AcctTblA,4,0)),"—"))</f>
        <v/>
      </c>
      <c r="C475" s="18">
        <f>IF($B475="","",IF(451&gt;NPartyA,"",INDEX(PkPartyA,451)))</f>
        <v/>
      </c>
      <c r="D475" s="17">
        <f>IF($B475="","","p")</f>
        <v/>
      </c>
      <c r="E475" s="19">
        <f>IF($B475="","",IF(451&gt;NPartyA,0,SUMIF(CalcDebit,INDEX(PkPartyA,451),CalcAmt)+SUMIF(CalcDebit2,INDEX(PkPartyA,451),CalcAmt2)+SUMIF(CalcDebit3,INDEX(PkPartyA,451),CalcAmt3)))</f>
        <v/>
      </c>
      <c r="F475" s="19">
        <f>IF($B475="","",IF(451&gt;NPartyA,0,SUMIF(CalcCredit,INDEX(PkPartyA,451),CalcAmt)+SUMIF(CalcCredit2,INDEX(PkPartyA,451),CalcAmt2)+SUMIF(CalcCredit3,INDEX(PkPartyA,451),CalcAmt3)))</f>
        <v/>
      </c>
      <c r="G475" s="20">
        <f>IF($B475="","",ROUND($E475-$F475,0))</f>
        <v/>
      </c>
      <c r="H475" s="17">
        <f>IF($B475="","",IF(ROUND($G475,0)&gt;0,"بدهکار",IF(ROUND($G475,0)&lt;0,"بستانکار","تسویه")))</f>
        <v/>
      </c>
    </row>
    <row r="476">
      <c r="A476" s="11">
        <f>IF($B476="","",467)</f>
        <v/>
      </c>
      <c r="B476" s="12">
        <f>IF(452&gt;NPartyA,"",IFERROR(IF(VLOOKUP(INDEX(PkPartyA,452),AcctTblA,4,0)="","(بدون نام)",VLOOKUP(INDEX(PkPartyA,452),AcctTblA,4,0)),"—"))</f>
        <v/>
      </c>
      <c r="C476" s="13">
        <f>IF($B476="","",IF(452&gt;NPartyA,"",INDEX(PkPartyA,452)))</f>
        <v/>
      </c>
      <c r="D476" s="12">
        <f>IF($B476="","","p")</f>
        <v/>
      </c>
      <c r="E476" s="14">
        <f>IF($B476="","",IF(452&gt;NPartyA,0,SUMIF(CalcDebit,INDEX(PkPartyA,452),CalcAmt)+SUMIF(CalcDebit2,INDEX(PkPartyA,452),CalcAmt2)+SUMIF(CalcDebit3,INDEX(PkPartyA,452),CalcAmt3)))</f>
        <v/>
      </c>
      <c r="F476" s="14">
        <f>IF($B476="","",IF(452&gt;NPartyA,0,SUMIF(CalcCredit,INDEX(PkPartyA,452),CalcAmt)+SUMIF(CalcCredit2,INDEX(PkPartyA,452),CalcAmt2)+SUMIF(CalcCredit3,INDEX(PkPartyA,452),CalcAmt3)))</f>
        <v/>
      </c>
      <c r="G476" s="15">
        <f>IF($B476="","",ROUND($E476-$F476,0))</f>
        <v/>
      </c>
      <c r="H476" s="12">
        <f>IF($B476="","",IF(ROUND($G476,0)&gt;0,"بدهکار",IF(ROUND($G476,0)&lt;0,"بستانکار","تسویه")))</f>
        <v/>
      </c>
    </row>
    <row r="477">
      <c r="A477" s="16">
        <f>IF($B477="","",468)</f>
        <v/>
      </c>
      <c r="B477" s="17">
        <f>IF(453&gt;NPartyA,"",IFERROR(IF(VLOOKUP(INDEX(PkPartyA,453),AcctTblA,4,0)="","(بدون نام)",VLOOKUP(INDEX(PkPartyA,453),AcctTblA,4,0)),"—"))</f>
        <v/>
      </c>
      <c r="C477" s="18">
        <f>IF($B477="","",IF(453&gt;NPartyA,"",INDEX(PkPartyA,453)))</f>
        <v/>
      </c>
      <c r="D477" s="17">
        <f>IF($B477="","","p")</f>
        <v/>
      </c>
      <c r="E477" s="19">
        <f>IF($B477="","",IF(453&gt;NPartyA,0,SUMIF(CalcDebit,INDEX(PkPartyA,453),CalcAmt)+SUMIF(CalcDebit2,INDEX(PkPartyA,453),CalcAmt2)+SUMIF(CalcDebit3,INDEX(PkPartyA,453),CalcAmt3)))</f>
        <v/>
      </c>
      <c r="F477" s="19">
        <f>IF($B477="","",IF(453&gt;NPartyA,0,SUMIF(CalcCredit,INDEX(PkPartyA,453),CalcAmt)+SUMIF(CalcCredit2,INDEX(PkPartyA,453),CalcAmt2)+SUMIF(CalcCredit3,INDEX(PkPartyA,453),CalcAmt3)))</f>
        <v/>
      </c>
      <c r="G477" s="20">
        <f>IF($B477="","",ROUND($E477-$F477,0))</f>
        <v/>
      </c>
      <c r="H477" s="17">
        <f>IF($B477="","",IF(ROUND($G477,0)&gt;0,"بدهکار",IF(ROUND($G477,0)&lt;0,"بستانکار","تسویه")))</f>
        <v/>
      </c>
    </row>
    <row r="478">
      <c r="A478" s="11">
        <f>IF($B478="","",469)</f>
        <v/>
      </c>
      <c r="B478" s="12">
        <f>IF(454&gt;NPartyA,"",IFERROR(IF(VLOOKUP(INDEX(PkPartyA,454),AcctTblA,4,0)="","(بدون نام)",VLOOKUP(INDEX(PkPartyA,454),AcctTblA,4,0)),"—"))</f>
        <v/>
      </c>
      <c r="C478" s="13">
        <f>IF($B478="","",IF(454&gt;NPartyA,"",INDEX(PkPartyA,454)))</f>
        <v/>
      </c>
      <c r="D478" s="12">
        <f>IF($B478="","","p")</f>
        <v/>
      </c>
      <c r="E478" s="14">
        <f>IF($B478="","",IF(454&gt;NPartyA,0,SUMIF(CalcDebit,INDEX(PkPartyA,454),CalcAmt)+SUMIF(CalcDebit2,INDEX(PkPartyA,454),CalcAmt2)+SUMIF(CalcDebit3,INDEX(PkPartyA,454),CalcAmt3)))</f>
        <v/>
      </c>
      <c r="F478" s="14">
        <f>IF($B478="","",IF(454&gt;NPartyA,0,SUMIF(CalcCredit,INDEX(PkPartyA,454),CalcAmt)+SUMIF(CalcCredit2,INDEX(PkPartyA,454),CalcAmt2)+SUMIF(CalcCredit3,INDEX(PkPartyA,454),CalcAmt3)))</f>
        <v/>
      </c>
      <c r="G478" s="15">
        <f>IF($B478="","",ROUND($E478-$F478,0))</f>
        <v/>
      </c>
      <c r="H478" s="12">
        <f>IF($B478="","",IF(ROUND($G478,0)&gt;0,"بدهکار",IF(ROUND($G478,0)&lt;0,"بستانکار","تسویه")))</f>
        <v/>
      </c>
    </row>
    <row r="479">
      <c r="A479" s="16">
        <f>IF($B479="","",470)</f>
        <v/>
      </c>
      <c r="B479" s="17">
        <f>IF(455&gt;NPartyA,"",IFERROR(IF(VLOOKUP(INDEX(PkPartyA,455),AcctTblA,4,0)="","(بدون نام)",VLOOKUP(INDEX(PkPartyA,455),AcctTblA,4,0)),"—"))</f>
        <v/>
      </c>
      <c r="C479" s="18">
        <f>IF($B479="","",IF(455&gt;NPartyA,"",INDEX(PkPartyA,455)))</f>
        <v/>
      </c>
      <c r="D479" s="17">
        <f>IF($B479="","","p")</f>
        <v/>
      </c>
      <c r="E479" s="19">
        <f>IF($B479="","",IF(455&gt;NPartyA,0,SUMIF(CalcDebit,INDEX(PkPartyA,455),CalcAmt)+SUMIF(CalcDebit2,INDEX(PkPartyA,455),CalcAmt2)+SUMIF(CalcDebit3,INDEX(PkPartyA,455),CalcAmt3)))</f>
        <v/>
      </c>
      <c r="F479" s="19">
        <f>IF($B479="","",IF(455&gt;NPartyA,0,SUMIF(CalcCredit,INDEX(PkPartyA,455),CalcAmt)+SUMIF(CalcCredit2,INDEX(PkPartyA,455),CalcAmt2)+SUMIF(CalcCredit3,INDEX(PkPartyA,455),CalcAmt3)))</f>
        <v/>
      </c>
      <c r="G479" s="20">
        <f>IF($B479="","",ROUND($E479-$F479,0))</f>
        <v/>
      </c>
      <c r="H479" s="17">
        <f>IF($B479="","",IF(ROUND($G479,0)&gt;0,"بدهکار",IF(ROUND($G479,0)&lt;0,"بستانکار","تسویه")))</f>
        <v/>
      </c>
    </row>
    <row r="480">
      <c r="A480" s="11">
        <f>IF($B480="","",471)</f>
        <v/>
      </c>
      <c r="B480" s="12">
        <f>IF(456&gt;NPartyA,"",IFERROR(IF(VLOOKUP(INDEX(PkPartyA,456),AcctTblA,4,0)="","(بدون نام)",VLOOKUP(INDEX(PkPartyA,456),AcctTblA,4,0)),"—"))</f>
        <v/>
      </c>
      <c r="C480" s="13">
        <f>IF($B480="","",IF(456&gt;NPartyA,"",INDEX(PkPartyA,456)))</f>
        <v/>
      </c>
      <c r="D480" s="12">
        <f>IF($B480="","","p")</f>
        <v/>
      </c>
      <c r="E480" s="14">
        <f>IF($B480="","",IF(456&gt;NPartyA,0,SUMIF(CalcDebit,INDEX(PkPartyA,456),CalcAmt)+SUMIF(CalcDebit2,INDEX(PkPartyA,456),CalcAmt2)+SUMIF(CalcDebit3,INDEX(PkPartyA,456),CalcAmt3)))</f>
        <v/>
      </c>
      <c r="F480" s="14">
        <f>IF($B480="","",IF(456&gt;NPartyA,0,SUMIF(CalcCredit,INDEX(PkPartyA,456),CalcAmt)+SUMIF(CalcCredit2,INDEX(PkPartyA,456),CalcAmt2)+SUMIF(CalcCredit3,INDEX(PkPartyA,456),CalcAmt3)))</f>
        <v/>
      </c>
      <c r="G480" s="15">
        <f>IF($B480="","",ROUND($E480-$F480,0))</f>
        <v/>
      </c>
      <c r="H480" s="12">
        <f>IF($B480="","",IF(ROUND($G480,0)&gt;0,"بدهکار",IF(ROUND($G480,0)&lt;0,"بستانکار","تسویه")))</f>
        <v/>
      </c>
    </row>
    <row r="481">
      <c r="A481" s="16">
        <f>IF($B481="","",472)</f>
        <v/>
      </c>
      <c r="B481" s="17">
        <f>IF(457&gt;NPartyA,"",IFERROR(IF(VLOOKUP(INDEX(PkPartyA,457),AcctTblA,4,0)="","(بدون نام)",VLOOKUP(INDEX(PkPartyA,457),AcctTblA,4,0)),"—"))</f>
        <v/>
      </c>
      <c r="C481" s="18">
        <f>IF($B481="","",IF(457&gt;NPartyA,"",INDEX(PkPartyA,457)))</f>
        <v/>
      </c>
      <c r="D481" s="17">
        <f>IF($B481="","","p")</f>
        <v/>
      </c>
      <c r="E481" s="19">
        <f>IF($B481="","",IF(457&gt;NPartyA,0,SUMIF(CalcDebit,INDEX(PkPartyA,457),CalcAmt)+SUMIF(CalcDebit2,INDEX(PkPartyA,457),CalcAmt2)+SUMIF(CalcDebit3,INDEX(PkPartyA,457),CalcAmt3)))</f>
        <v/>
      </c>
      <c r="F481" s="19">
        <f>IF($B481="","",IF(457&gt;NPartyA,0,SUMIF(CalcCredit,INDEX(PkPartyA,457),CalcAmt)+SUMIF(CalcCredit2,INDEX(PkPartyA,457),CalcAmt2)+SUMIF(CalcCredit3,INDEX(PkPartyA,457),CalcAmt3)))</f>
        <v/>
      </c>
      <c r="G481" s="20">
        <f>IF($B481="","",ROUND($E481-$F481,0))</f>
        <v/>
      </c>
      <c r="H481" s="17">
        <f>IF($B481="","",IF(ROUND($G481,0)&gt;0,"بدهکار",IF(ROUND($G481,0)&lt;0,"بستانکار","تسویه")))</f>
        <v/>
      </c>
    </row>
    <row r="482">
      <c r="A482" s="11">
        <f>IF($B482="","",473)</f>
        <v/>
      </c>
      <c r="B482" s="12">
        <f>IF(458&gt;NPartyA,"",IFERROR(IF(VLOOKUP(INDEX(PkPartyA,458),AcctTblA,4,0)="","(بدون نام)",VLOOKUP(INDEX(PkPartyA,458),AcctTblA,4,0)),"—"))</f>
        <v/>
      </c>
      <c r="C482" s="13">
        <f>IF($B482="","",IF(458&gt;NPartyA,"",INDEX(PkPartyA,458)))</f>
        <v/>
      </c>
      <c r="D482" s="12">
        <f>IF($B482="","","p")</f>
        <v/>
      </c>
      <c r="E482" s="14">
        <f>IF($B482="","",IF(458&gt;NPartyA,0,SUMIF(CalcDebit,INDEX(PkPartyA,458),CalcAmt)+SUMIF(CalcDebit2,INDEX(PkPartyA,458),CalcAmt2)+SUMIF(CalcDebit3,INDEX(PkPartyA,458),CalcAmt3)))</f>
        <v/>
      </c>
      <c r="F482" s="14">
        <f>IF($B482="","",IF(458&gt;NPartyA,0,SUMIF(CalcCredit,INDEX(PkPartyA,458),CalcAmt)+SUMIF(CalcCredit2,INDEX(PkPartyA,458),CalcAmt2)+SUMIF(CalcCredit3,INDEX(PkPartyA,458),CalcAmt3)))</f>
        <v/>
      </c>
      <c r="G482" s="15">
        <f>IF($B482="","",ROUND($E482-$F482,0))</f>
        <v/>
      </c>
      <c r="H482" s="12">
        <f>IF($B482="","",IF(ROUND($G482,0)&gt;0,"بدهکار",IF(ROUND($G482,0)&lt;0,"بستانکار","تسویه")))</f>
        <v/>
      </c>
    </row>
    <row r="483">
      <c r="A483" s="16">
        <f>IF($B483="","",474)</f>
        <v/>
      </c>
      <c r="B483" s="17">
        <f>IF(459&gt;NPartyA,"",IFERROR(IF(VLOOKUP(INDEX(PkPartyA,459),AcctTblA,4,0)="","(بدون نام)",VLOOKUP(INDEX(PkPartyA,459),AcctTblA,4,0)),"—"))</f>
        <v/>
      </c>
      <c r="C483" s="18">
        <f>IF($B483="","",IF(459&gt;NPartyA,"",INDEX(PkPartyA,459)))</f>
        <v/>
      </c>
      <c r="D483" s="17">
        <f>IF($B483="","","p")</f>
        <v/>
      </c>
      <c r="E483" s="19">
        <f>IF($B483="","",IF(459&gt;NPartyA,0,SUMIF(CalcDebit,INDEX(PkPartyA,459),CalcAmt)+SUMIF(CalcDebit2,INDEX(PkPartyA,459),CalcAmt2)+SUMIF(CalcDebit3,INDEX(PkPartyA,459),CalcAmt3)))</f>
        <v/>
      </c>
      <c r="F483" s="19">
        <f>IF($B483="","",IF(459&gt;NPartyA,0,SUMIF(CalcCredit,INDEX(PkPartyA,459),CalcAmt)+SUMIF(CalcCredit2,INDEX(PkPartyA,459),CalcAmt2)+SUMIF(CalcCredit3,INDEX(PkPartyA,459),CalcAmt3)))</f>
        <v/>
      </c>
      <c r="G483" s="20">
        <f>IF($B483="","",ROUND($E483-$F483,0))</f>
        <v/>
      </c>
      <c r="H483" s="17">
        <f>IF($B483="","",IF(ROUND($G483,0)&gt;0,"بدهکار",IF(ROUND($G483,0)&lt;0,"بستانکار","تسویه")))</f>
        <v/>
      </c>
    </row>
    <row r="484">
      <c r="A484" s="11">
        <f>IF($B484="","",475)</f>
        <v/>
      </c>
      <c r="B484" s="12">
        <f>IF(460&gt;NPartyA,"",IFERROR(IF(VLOOKUP(INDEX(PkPartyA,460),AcctTblA,4,0)="","(بدون نام)",VLOOKUP(INDEX(PkPartyA,460),AcctTblA,4,0)),"—"))</f>
        <v/>
      </c>
      <c r="C484" s="13">
        <f>IF($B484="","",IF(460&gt;NPartyA,"",INDEX(PkPartyA,460)))</f>
        <v/>
      </c>
      <c r="D484" s="12">
        <f>IF($B484="","","p")</f>
        <v/>
      </c>
      <c r="E484" s="14">
        <f>IF($B484="","",IF(460&gt;NPartyA,0,SUMIF(CalcDebit,INDEX(PkPartyA,460),CalcAmt)+SUMIF(CalcDebit2,INDEX(PkPartyA,460),CalcAmt2)+SUMIF(CalcDebit3,INDEX(PkPartyA,460),CalcAmt3)))</f>
        <v/>
      </c>
      <c r="F484" s="14">
        <f>IF($B484="","",IF(460&gt;NPartyA,0,SUMIF(CalcCredit,INDEX(PkPartyA,460),CalcAmt)+SUMIF(CalcCredit2,INDEX(PkPartyA,460),CalcAmt2)+SUMIF(CalcCredit3,INDEX(PkPartyA,460),CalcAmt3)))</f>
        <v/>
      </c>
      <c r="G484" s="15">
        <f>IF($B484="","",ROUND($E484-$F484,0))</f>
        <v/>
      </c>
      <c r="H484" s="12">
        <f>IF($B484="","",IF(ROUND($G484,0)&gt;0,"بدهکار",IF(ROUND($G484,0)&lt;0,"بستانکار","تسویه")))</f>
        <v/>
      </c>
    </row>
    <row r="485">
      <c r="A485" s="16">
        <f>IF($B485="","",476)</f>
        <v/>
      </c>
      <c r="B485" s="17">
        <f>IF(461&gt;NPartyA,"",IFERROR(IF(VLOOKUP(INDEX(PkPartyA,461),AcctTblA,4,0)="","(بدون نام)",VLOOKUP(INDEX(PkPartyA,461),AcctTblA,4,0)),"—"))</f>
        <v/>
      </c>
      <c r="C485" s="18">
        <f>IF($B485="","",IF(461&gt;NPartyA,"",INDEX(PkPartyA,461)))</f>
        <v/>
      </c>
      <c r="D485" s="17">
        <f>IF($B485="","","p")</f>
        <v/>
      </c>
      <c r="E485" s="19">
        <f>IF($B485="","",IF(461&gt;NPartyA,0,SUMIF(CalcDebit,INDEX(PkPartyA,461),CalcAmt)+SUMIF(CalcDebit2,INDEX(PkPartyA,461),CalcAmt2)+SUMIF(CalcDebit3,INDEX(PkPartyA,461),CalcAmt3)))</f>
        <v/>
      </c>
      <c r="F485" s="19">
        <f>IF($B485="","",IF(461&gt;NPartyA,0,SUMIF(CalcCredit,INDEX(PkPartyA,461),CalcAmt)+SUMIF(CalcCredit2,INDEX(PkPartyA,461),CalcAmt2)+SUMIF(CalcCredit3,INDEX(PkPartyA,461),CalcAmt3)))</f>
        <v/>
      </c>
      <c r="G485" s="20">
        <f>IF($B485="","",ROUND($E485-$F485,0))</f>
        <v/>
      </c>
      <c r="H485" s="17">
        <f>IF($B485="","",IF(ROUND($G485,0)&gt;0,"بدهکار",IF(ROUND($G485,0)&lt;0,"بستانکار","تسویه")))</f>
        <v/>
      </c>
    </row>
    <row r="486">
      <c r="A486" s="11">
        <f>IF($B486="","",477)</f>
        <v/>
      </c>
      <c r="B486" s="12">
        <f>IF(462&gt;NPartyA,"",IFERROR(IF(VLOOKUP(INDEX(PkPartyA,462),AcctTblA,4,0)="","(بدون نام)",VLOOKUP(INDEX(PkPartyA,462),AcctTblA,4,0)),"—"))</f>
        <v/>
      </c>
      <c r="C486" s="13">
        <f>IF($B486="","",IF(462&gt;NPartyA,"",INDEX(PkPartyA,462)))</f>
        <v/>
      </c>
      <c r="D486" s="12">
        <f>IF($B486="","","p")</f>
        <v/>
      </c>
      <c r="E486" s="14">
        <f>IF($B486="","",IF(462&gt;NPartyA,0,SUMIF(CalcDebit,INDEX(PkPartyA,462),CalcAmt)+SUMIF(CalcDebit2,INDEX(PkPartyA,462),CalcAmt2)+SUMIF(CalcDebit3,INDEX(PkPartyA,462),CalcAmt3)))</f>
        <v/>
      </c>
      <c r="F486" s="14">
        <f>IF($B486="","",IF(462&gt;NPartyA,0,SUMIF(CalcCredit,INDEX(PkPartyA,462),CalcAmt)+SUMIF(CalcCredit2,INDEX(PkPartyA,462),CalcAmt2)+SUMIF(CalcCredit3,INDEX(PkPartyA,462),CalcAmt3)))</f>
        <v/>
      </c>
      <c r="G486" s="15">
        <f>IF($B486="","",ROUND($E486-$F486,0))</f>
        <v/>
      </c>
      <c r="H486" s="12">
        <f>IF($B486="","",IF(ROUND($G486,0)&gt;0,"بدهکار",IF(ROUND($G486,0)&lt;0,"بستانکار","تسویه")))</f>
        <v/>
      </c>
    </row>
    <row r="487">
      <c r="A487" s="16">
        <f>IF($B487="","",478)</f>
        <v/>
      </c>
      <c r="B487" s="17">
        <f>IF(463&gt;NPartyA,"",IFERROR(IF(VLOOKUP(INDEX(PkPartyA,463),AcctTblA,4,0)="","(بدون نام)",VLOOKUP(INDEX(PkPartyA,463),AcctTblA,4,0)),"—"))</f>
        <v/>
      </c>
      <c r="C487" s="18">
        <f>IF($B487="","",IF(463&gt;NPartyA,"",INDEX(PkPartyA,463)))</f>
        <v/>
      </c>
      <c r="D487" s="17">
        <f>IF($B487="","","p")</f>
        <v/>
      </c>
      <c r="E487" s="19">
        <f>IF($B487="","",IF(463&gt;NPartyA,0,SUMIF(CalcDebit,INDEX(PkPartyA,463),CalcAmt)+SUMIF(CalcDebit2,INDEX(PkPartyA,463),CalcAmt2)+SUMIF(CalcDebit3,INDEX(PkPartyA,463),CalcAmt3)))</f>
        <v/>
      </c>
      <c r="F487" s="19">
        <f>IF($B487="","",IF(463&gt;NPartyA,0,SUMIF(CalcCredit,INDEX(PkPartyA,463),CalcAmt)+SUMIF(CalcCredit2,INDEX(PkPartyA,463),CalcAmt2)+SUMIF(CalcCredit3,INDEX(PkPartyA,463),CalcAmt3)))</f>
        <v/>
      </c>
      <c r="G487" s="20">
        <f>IF($B487="","",ROUND($E487-$F487,0))</f>
        <v/>
      </c>
      <c r="H487" s="17">
        <f>IF($B487="","",IF(ROUND($G487,0)&gt;0,"بدهکار",IF(ROUND($G487,0)&lt;0,"بستانکار","تسویه")))</f>
        <v/>
      </c>
    </row>
    <row r="488">
      <c r="A488" s="11">
        <f>IF($B488="","",479)</f>
        <v/>
      </c>
      <c r="B488" s="12">
        <f>IF(464&gt;NPartyA,"",IFERROR(IF(VLOOKUP(INDEX(PkPartyA,464),AcctTblA,4,0)="","(بدون نام)",VLOOKUP(INDEX(PkPartyA,464),AcctTblA,4,0)),"—"))</f>
        <v/>
      </c>
      <c r="C488" s="13">
        <f>IF($B488="","",IF(464&gt;NPartyA,"",INDEX(PkPartyA,464)))</f>
        <v/>
      </c>
      <c r="D488" s="12">
        <f>IF($B488="","","p")</f>
        <v/>
      </c>
      <c r="E488" s="14">
        <f>IF($B488="","",IF(464&gt;NPartyA,0,SUMIF(CalcDebit,INDEX(PkPartyA,464),CalcAmt)+SUMIF(CalcDebit2,INDEX(PkPartyA,464),CalcAmt2)+SUMIF(CalcDebit3,INDEX(PkPartyA,464),CalcAmt3)))</f>
        <v/>
      </c>
      <c r="F488" s="14">
        <f>IF($B488="","",IF(464&gt;NPartyA,0,SUMIF(CalcCredit,INDEX(PkPartyA,464),CalcAmt)+SUMIF(CalcCredit2,INDEX(PkPartyA,464),CalcAmt2)+SUMIF(CalcCredit3,INDEX(PkPartyA,464),CalcAmt3)))</f>
        <v/>
      </c>
      <c r="G488" s="15">
        <f>IF($B488="","",ROUND($E488-$F488,0))</f>
        <v/>
      </c>
      <c r="H488" s="12">
        <f>IF($B488="","",IF(ROUND($G488,0)&gt;0,"بدهکار",IF(ROUND($G488,0)&lt;0,"بستانکار","تسویه")))</f>
        <v/>
      </c>
    </row>
    <row r="489">
      <c r="A489" s="16">
        <f>IF($B489="","",480)</f>
        <v/>
      </c>
      <c r="B489" s="17">
        <f>IF(465&gt;NPartyA,"",IFERROR(IF(VLOOKUP(INDEX(PkPartyA,465),AcctTblA,4,0)="","(بدون نام)",VLOOKUP(INDEX(PkPartyA,465),AcctTblA,4,0)),"—"))</f>
        <v/>
      </c>
      <c r="C489" s="18">
        <f>IF($B489="","",IF(465&gt;NPartyA,"",INDEX(PkPartyA,465)))</f>
        <v/>
      </c>
      <c r="D489" s="17">
        <f>IF($B489="","","p")</f>
        <v/>
      </c>
      <c r="E489" s="19">
        <f>IF($B489="","",IF(465&gt;NPartyA,0,SUMIF(CalcDebit,INDEX(PkPartyA,465),CalcAmt)+SUMIF(CalcDebit2,INDEX(PkPartyA,465),CalcAmt2)+SUMIF(CalcDebit3,INDEX(PkPartyA,465),CalcAmt3)))</f>
        <v/>
      </c>
      <c r="F489" s="19">
        <f>IF($B489="","",IF(465&gt;NPartyA,0,SUMIF(CalcCredit,INDEX(PkPartyA,465),CalcAmt)+SUMIF(CalcCredit2,INDEX(PkPartyA,465),CalcAmt2)+SUMIF(CalcCredit3,INDEX(PkPartyA,465),CalcAmt3)))</f>
        <v/>
      </c>
      <c r="G489" s="20">
        <f>IF($B489="","",ROUND($E489-$F489,0))</f>
        <v/>
      </c>
      <c r="H489" s="17">
        <f>IF($B489="","",IF(ROUND($G489,0)&gt;0,"بدهکار",IF(ROUND($G489,0)&lt;0,"بستانکار","تسویه")))</f>
        <v/>
      </c>
    </row>
    <row r="490">
      <c r="A490" s="11">
        <f>IF($B490="","",481)</f>
        <v/>
      </c>
      <c r="B490" s="12">
        <f>IF(466&gt;NPartyA,"",IFERROR(IF(VLOOKUP(INDEX(PkPartyA,466),AcctTblA,4,0)="","(بدون نام)",VLOOKUP(INDEX(PkPartyA,466),AcctTblA,4,0)),"—"))</f>
        <v/>
      </c>
      <c r="C490" s="13">
        <f>IF($B490="","",IF(466&gt;NPartyA,"",INDEX(PkPartyA,466)))</f>
        <v/>
      </c>
      <c r="D490" s="12">
        <f>IF($B490="","","p")</f>
        <v/>
      </c>
      <c r="E490" s="14">
        <f>IF($B490="","",IF(466&gt;NPartyA,0,SUMIF(CalcDebit,INDEX(PkPartyA,466),CalcAmt)+SUMIF(CalcDebit2,INDEX(PkPartyA,466),CalcAmt2)+SUMIF(CalcDebit3,INDEX(PkPartyA,466),CalcAmt3)))</f>
        <v/>
      </c>
      <c r="F490" s="14">
        <f>IF($B490="","",IF(466&gt;NPartyA,0,SUMIF(CalcCredit,INDEX(PkPartyA,466),CalcAmt)+SUMIF(CalcCredit2,INDEX(PkPartyA,466),CalcAmt2)+SUMIF(CalcCredit3,INDEX(PkPartyA,466),CalcAmt3)))</f>
        <v/>
      </c>
      <c r="G490" s="15">
        <f>IF($B490="","",ROUND($E490-$F490,0))</f>
        <v/>
      </c>
      <c r="H490" s="12">
        <f>IF($B490="","",IF(ROUND($G490,0)&gt;0,"بدهکار",IF(ROUND($G490,0)&lt;0,"بستانکار","تسویه")))</f>
        <v/>
      </c>
    </row>
    <row r="491">
      <c r="A491" s="16">
        <f>IF($B491="","",482)</f>
        <v/>
      </c>
      <c r="B491" s="17">
        <f>IF(467&gt;NPartyA,"",IFERROR(IF(VLOOKUP(INDEX(PkPartyA,467),AcctTblA,4,0)="","(بدون نام)",VLOOKUP(INDEX(PkPartyA,467),AcctTblA,4,0)),"—"))</f>
        <v/>
      </c>
      <c r="C491" s="18">
        <f>IF($B491="","",IF(467&gt;NPartyA,"",INDEX(PkPartyA,467)))</f>
        <v/>
      </c>
      <c r="D491" s="17">
        <f>IF($B491="","","p")</f>
        <v/>
      </c>
      <c r="E491" s="19">
        <f>IF($B491="","",IF(467&gt;NPartyA,0,SUMIF(CalcDebit,INDEX(PkPartyA,467),CalcAmt)+SUMIF(CalcDebit2,INDEX(PkPartyA,467),CalcAmt2)+SUMIF(CalcDebit3,INDEX(PkPartyA,467),CalcAmt3)))</f>
        <v/>
      </c>
      <c r="F491" s="19">
        <f>IF($B491="","",IF(467&gt;NPartyA,0,SUMIF(CalcCredit,INDEX(PkPartyA,467),CalcAmt)+SUMIF(CalcCredit2,INDEX(PkPartyA,467),CalcAmt2)+SUMIF(CalcCredit3,INDEX(PkPartyA,467),CalcAmt3)))</f>
        <v/>
      </c>
      <c r="G491" s="20">
        <f>IF($B491="","",ROUND($E491-$F491,0))</f>
        <v/>
      </c>
      <c r="H491" s="17">
        <f>IF($B491="","",IF(ROUND($G491,0)&gt;0,"بدهکار",IF(ROUND($G491,0)&lt;0,"بستانکار","تسویه")))</f>
        <v/>
      </c>
    </row>
    <row r="492">
      <c r="A492" s="11">
        <f>IF($B492="","",483)</f>
        <v/>
      </c>
      <c r="B492" s="12">
        <f>IF(468&gt;NPartyA,"",IFERROR(IF(VLOOKUP(INDEX(PkPartyA,468),AcctTblA,4,0)="","(بدون نام)",VLOOKUP(INDEX(PkPartyA,468),AcctTblA,4,0)),"—"))</f>
        <v/>
      </c>
      <c r="C492" s="13">
        <f>IF($B492="","",IF(468&gt;NPartyA,"",INDEX(PkPartyA,468)))</f>
        <v/>
      </c>
      <c r="D492" s="12">
        <f>IF($B492="","","p")</f>
        <v/>
      </c>
      <c r="E492" s="14">
        <f>IF($B492="","",IF(468&gt;NPartyA,0,SUMIF(CalcDebit,INDEX(PkPartyA,468),CalcAmt)+SUMIF(CalcDebit2,INDEX(PkPartyA,468),CalcAmt2)+SUMIF(CalcDebit3,INDEX(PkPartyA,468),CalcAmt3)))</f>
        <v/>
      </c>
      <c r="F492" s="14">
        <f>IF($B492="","",IF(468&gt;NPartyA,0,SUMIF(CalcCredit,INDEX(PkPartyA,468),CalcAmt)+SUMIF(CalcCredit2,INDEX(PkPartyA,468),CalcAmt2)+SUMIF(CalcCredit3,INDEX(PkPartyA,468),CalcAmt3)))</f>
        <v/>
      </c>
      <c r="G492" s="15">
        <f>IF($B492="","",ROUND($E492-$F492,0))</f>
        <v/>
      </c>
      <c r="H492" s="12">
        <f>IF($B492="","",IF(ROUND($G492,0)&gt;0,"بدهکار",IF(ROUND($G492,0)&lt;0,"بستانکار","تسویه")))</f>
        <v/>
      </c>
    </row>
    <row r="493">
      <c r="A493" s="16">
        <f>IF($B493="","",484)</f>
        <v/>
      </c>
      <c r="B493" s="17">
        <f>IF(469&gt;NPartyA,"",IFERROR(IF(VLOOKUP(INDEX(PkPartyA,469),AcctTblA,4,0)="","(بدون نام)",VLOOKUP(INDEX(PkPartyA,469),AcctTblA,4,0)),"—"))</f>
        <v/>
      </c>
      <c r="C493" s="18">
        <f>IF($B493="","",IF(469&gt;NPartyA,"",INDEX(PkPartyA,469)))</f>
        <v/>
      </c>
      <c r="D493" s="17">
        <f>IF($B493="","","p")</f>
        <v/>
      </c>
      <c r="E493" s="19">
        <f>IF($B493="","",IF(469&gt;NPartyA,0,SUMIF(CalcDebit,INDEX(PkPartyA,469),CalcAmt)+SUMIF(CalcDebit2,INDEX(PkPartyA,469),CalcAmt2)+SUMIF(CalcDebit3,INDEX(PkPartyA,469),CalcAmt3)))</f>
        <v/>
      </c>
      <c r="F493" s="19">
        <f>IF($B493="","",IF(469&gt;NPartyA,0,SUMIF(CalcCredit,INDEX(PkPartyA,469),CalcAmt)+SUMIF(CalcCredit2,INDEX(PkPartyA,469),CalcAmt2)+SUMIF(CalcCredit3,INDEX(PkPartyA,469),CalcAmt3)))</f>
        <v/>
      </c>
      <c r="G493" s="20">
        <f>IF($B493="","",ROUND($E493-$F493,0))</f>
        <v/>
      </c>
      <c r="H493" s="17">
        <f>IF($B493="","",IF(ROUND($G493,0)&gt;0,"بدهکار",IF(ROUND($G493,0)&lt;0,"بستانکار","تسویه")))</f>
        <v/>
      </c>
    </row>
    <row r="494">
      <c r="A494" s="11">
        <f>IF($B494="","",485)</f>
        <v/>
      </c>
      <c r="B494" s="12">
        <f>IF(470&gt;NPartyA,"",IFERROR(IF(VLOOKUP(INDEX(PkPartyA,470),AcctTblA,4,0)="","(بدون نام)",VLOOKUP(INDEX(PkPartyA,470),AcctTblA,4,0)),"—"))</f>
        <v/>
      </c>
      <c r="C494" s="13">
        <f>IF($B494="","",IF(470&gt;NPartyA,"",INDEX(PkPartyA,470)))</f>
        <v/>
      </c>
      <c r="D494" s="12">
        <f>IF($B494="","","p")</f>
        <v/>
      </c>
      <c r="E494" s="14">
        <f>IF($B494="","",IF(470&gt;NPartyA,0,SUMIF(CalcDebit,INDEX(PkPartyA,470),CalcAmt)+SUMIF(CalcDebit2,INDEX(PkPartyA,470),CalcAmt2)+SUMIF(CalcDebit3,INDEX(PkPartyA,470),CalcAmt3)))</f>
        <v/>
      </c>
      <c r="F494" s="14">
        <f>IF($B494="","",IF(470&gt;NPartyA,0,SUMIF(CalcCredit,INDEX(PkPartyA,470),CalcAmt)+SUMIF(CalcCredit2,INDEX(PkPartyA,470),CalcAmt2)+SUMIF(CalcCredit3,INDEX(PkPartyA,470),CalcAmt3)))</f>
        <v/>
      </c>
      <c r="G494" s="15">
        <f>IF($B494="","",ROUND($E494-$F494,0))</f>
        <v/>
      </c>
      <c r="H494" s="12">
        <f>IF($B494="","",IF(ROUND($G494,0)&gt;0,"بدهکار",IF(ROUND($G494,0)&lt;0,"بستانکار","تسویه")))</f>
        <v/>
      </c>
    </row>
    <row r="495">
      <c r="A495" s="16">
        <f>IF($B495="","",486)</f>
        <v/>
      </c>
      <c r="B495" s="17">
        <f>IF(471&gt;NPartyA,"",IFERROR(IF(VLOOKUP(INDEX(PkPartyA,471),AcctTblA,4,0)="","(بدون نام)",VLOOKUP(INDEX(PkPartyA,471),AcctTblA,4,0)),"—"))</f>
        <v/>
      </c>
      <c r="C495" s="18">
        <f>IF($B495="","",IF(471&gt;NPartyA,"",INDEX(PkPartyA,471)))</f>
        <v/>
      </c>
      <c r="D495" s="17">
        <f>IF($B495="","","p")</f>
        <v/>
      </c>
      <c r="E495" s="19">
        <f>IF($B495="","",IF(471&gt;NPartyA,0,SUMIF(CalcDebit,INDEX(PkPartyA,471),CalcAmt)+SUMIF(CalcDebit2,INDEX(PkPartyA,471),CalcAmt2)+SUMIF(CalcDebit3,INDEX(PkPartyA,471),CalcAmt3)))</f>
        <v/>
      </c>
      <c r="F495" s="19">
        <f>IF($B495="","",IF(471&gt;NPartyA,0,SUMIF(CalcCredit,INDEX(PkPartyA,471),CalcAmt)+SUMIF(CalcCredit2,INDEX(PkPartyA,471),CalcAmt2)+SUMIF(CalcCredit3,INDEX(PkPartyA,471),CalcAmt3)))</f>
        <v/>
      </c>
      <c r="G495" s="20">
        <f>IF($B495="","",ROUND($E495-$F495,0))</f>
        <v/>
      </c>
      <c r="H495" s="17">
        <f>IF($B495="","",IF(ROUND($G495,0)&gt;0,"بدهکار",IF(ROUND($G495,0)&lt;0,"بستانکار","تسویه")))</f>
        <v/>
      </c>
    </row>
    <row r="496">
      <c r="A496" s="11">
        <f>IF($B496="","",487)</f>
        <v/>
      </c>
      <c r="B496" s="12">
        <f>IF(472&gt;NPartyA,"",IFERROR(IF(VLOOKUP(INDEX(PkPartyA,472),AcctTblA,4,0)="","(بدون نام)",VLOOKUP(INDEX(PkPartyA,472),AcctTblA,4,0)),"—"))</f>
        <v/>
      </c>
      <c r="C496" s="13">
        <f>IF($B496="","",IF(472&gt;NPartyA,"",INDEX(PkPartyA,472)))</f>
        <v/>
      </c>
      <c r="D496" s="12">
        <f>IF($B496="","","p")</f>
        <v/>
      </c>
      <c r="E496" s="14">
        <f>IF($B496="","",IF(472&gt;NPartyA,0,SUMIF(CalcDebit,INDEX(PkPartyA,472),CalcAmt)+SUMIF(CalcDebit2,INDEX(PkPartyA,472),CalcAmt2)+SUMIF(CalcDebit3,INDEX(PkPartyA,472),CalcAmt3)))</f>
        <v/>
      </c>
      <c r="F496" s="14">
        <f>IF($B496="","",IF(472&gt;NPartyA,0,SUMIF(CalcCredit,INDEX(PkPartyA,472),CalcAmt)+SUMIF(CalcCredit2,INDEX(PkPartyA,472),CalcAmt2)+SUMIF(CalcCredit3,INDEX(PkPartyA,472),CalcAmt3)))</f>
        <v/>
      </c>
      <c r="G496" s="15">
        <f>IF($B496="","",ROUND($E496-$F496,0))</f>
        <v/>
      </c>
      <c r="H496" s="12">
        <f>IF($B496="","",IF(ROUND($G496,0)&gt;0,"بدهکار",IF(ROUND($G496,0)&lt;0,"بستانکار","تسویه")))</f>
        <v/>
      </c>
    </row>
    <row r="497">
      <c r="A497" s="16">
        <f>IF($B497="","",488)</f>
        <v/>
      </c>
      <c r="B497" s="17">
        <f>IF(473&gt;NPartyA,"",IFERROR(IF(VLOOKUP(INDEX(PkPartyA,473),AcctTblA,4,0)="","(بدون نام)",VLOOKUP(INDEX(PkPartyA,473),AcctTblA,4,0)),"—"))</f>
        <v/>
      </c>
      <c r="C497" s="18">
        <f>IF($B497="","",IF(473&gt;NPartyA,"",INDEX(PkPartyA,473)))</f>
        <v/>
      </c>
      <c r="D497" s="17">
        <f>IF($B497="","","p")</f>
        <v/>
      </c>
      <c r="E497" s="19">
        <f>IF($B497="","",IF(473&gt;NPartyA,0,SUMIF(CalcDebit,INDEX(PkPartyA,473),CalcAmt)+SUMIF(CalcDebit2,INDEX(PkPartyA,473),CalcAmt2)+SUMIF(CalcDebit3,INDEX(PkPartyA,473),CalcAmt3)))</f>
        <v/>
      </c>
      <c r="F497" s="19">
        <f>IF($B497="","",IF(473&gt;NPartyA,0,SUMIF(CalcCredit,INDEX(PkPartyA,473),CalcAmt)+SUMIF(CalcCredit2,INDEX(PkPartyA,473),CalcAmt2)+SUMIF(CalcCredit3,INDEX(PkPartyA,473),CalcAmt3)))</f>
        <v/>
      </c>
      <c r="G497" s="20">
        <f>IF($B497="","",ROUND($E497-$F497,0))</f>
        <v/>
      </c>
      <c r="H497" s="17">
        <f>IF($B497="","",IF(ROUND($G497,0)&gt;0,"بدهکار",IF(ROUND($G497,0)&lt;0,"بستانکار","تسویه")))</f>
        <v/>
      </c>
    </row>
    <row r="498">
      <c r="A498" s="11">
        <f>IF($B498="","",489)</f>
        <v/>
      </c>
      <c r="B498" s="12">
        <f>IF(474&gt;NPartyA,"",IFERROR(IF(VLOOKUP(INDEX(PkPartyA,474),AcctTblA,4,0)="","(بدون نام)",VLOOKUP(INDEX(PkPartyA,474),AcctTblA,4,0)),"—"))</f>
        <v/>
      </c>
      <c r="C498" s="13">
        <f>IF($B498="","",IF(474&gt;NPartyA,"",INDEX(PkPartyA,474)))</f>
        <v/>
      </c>
      <c r="D498" s="12">
        <f>IF($B498="","","p")</f>
        <v/>
      </c>
      <c r="E498" s="14">
        <f>IF($B498="","",IF(474&gt;NPartyA,0,SUMIF(CalcDebit,INDEX(PkPartyA,474),CalcAmt)+SUMIF(CalcDebit2,INDEX(PkPartyA,474),CalcAmt2)+SUMIF(CalcDebit3,INDEX(PkPartyA,474),CalcAmt3)))</f>
        <v/>
      </c>
      <c r="F498" s="14">
        <f>IF($B498="","",IF(474&gt;NPartyA,0,SUMIF(CalcCredit,INDEX(PkPartyA,474),CalcAmt)+SUMIF(CalcCredit2,INDEX(PkPartyA,474),CalcAmt2)+SUMIF(CalcCredit3,INDEX(PkPartyA,474),CalcAmt3)))</f>
        <v/>
      </c>
      <c r="G498" s="15">
        <f>IF($B498="","",ROUND($E498-$F498,0))</f>
        <v/>
      </c>
      <c r="H498" s="12">
        <f>IF($B498="","",IF(ROUND($G498,0)&gt;0,"بدهکار",IF(ROUND($G498,0)&lt;0,"بستانکار","تسویه")))</f>
        <v/>
      </c>
    </row>
    <row r="499">
      <c r="A499" s="16">
        <f>IF($B499="","",490)</f>
        <v/>
      </c>
      <c r="B499" s="17">
        <f>IF(475&gt;NPartyA,"",IFERROR(IF(VLOOKUP(INDEX(PkPartyA,475),AcctTblA,4,0)="","(بدون نام)",VLOOKUP(INDEX(PkPartyA,475),AcctTblA,4,0)),"—"))</f>
        <v/>
      </c>
      <c r="C499" s="18">
        <f>IF($B499="","",IF(475&gt;NPartyA,"",INDEX(PkPartyA,475)))</f>
        <v/>
      </c>
      <c r="D499" s="17">
        <f>IF($B499="","","p")</f>
        <v/>
      </c>
      <c r="E499" s="19">
        <f>IF($B499="","",IF(475&gt;NPartyA,0,SUMIF(CalcDebit,INDEX(PkPartyA,475),CalcAmt)+SUMIF(CalcDebit2,INDEX(PkPartyA,475),CalcAmt2)+SUMIF(CalcDebit3,INDEX(PkPartyA,475),CalcAmt3)))</f>
        <v/>
      </c>
      <c r="F499" s="19">
        <f>IF($B499="","",IF(475&gt;NPartyA,0,SUMIF(CalcCredit,INDEX(PkPartyA,475),CalcAmt)+SUMIF(CalcCredit2,INDEX(PkPartyA,475),CalcAmt2)+SUMIF(CalcCredit3,INDEX(PkPartyA,475),CalcAmt3)))</f>
        <v/>
      </c>
      <c r="G499" s="20">
        <f>IF($B499="","",ROUND($E499-$F499,0))</f>
        <v/>
      </c>
      <c r="H499" s="17">
        <f>IF($B499="","",IF(ROUND($G499,0)&gt;0,"بدهکار",IF(ROUND($G499,0)&lt;0,"بستانکار","تسویه")))</f>
        <v/>
      </c>
    </row>
    <row r="500">
      <c r="A500" s="11">
        <f>IF($B500="","",491)</f>
        <v/>
      </c>
      <c r="B500" s="12">
        <f>IF(476&gt;NPartyA,"",IFERROR(IF(VLOOKUP(INDEX(PkPartyA,476),AcctTblA,4,0)="","(بدون نام)",VLOOKUP(INDEX(PkPartyA,476),AcctTblA,4,0)),"—"))</f>
        <v/>
      </c>
      <c r="C500" s="13">
        <f>IF($B500="","",IF(476&gt;NPartyA,"",INDEX(PkPartyA,476)))</f>
        <v/>
      </c>
      <c r="D500" s="12">
        <f>IF($B500="","","p")</f>
        <v/>
      </c>
      <c r="E500" s="14">
        <f>IF($B500="","",IF(476&gt;NPartyA,0,SUMIF(CalcDebit,INDEX(PkPartyA,476),CalcAmt)+SUMIF(CalcDebit2,INDEX(PkPartyA,476),CalcAmt2)+SUMIF(CalcDebit3,INDEX(PkPartyA,476),CalcAmt3)))</f>
        <v/>
      </c>
      <c r="F500" s="14">
        <f>IF($B500="","",IF(476&gt;NPartyA,0,SUMIF(CalcCredit,INDEX(PkPartyA,476),CalcAmt)+SUMIF(CalcCredit2,INDEX(PkPartyA,476),CalcAmt2)+SUMIF(CalcCredit3,INDEX(PkPartyA,476),CalcAmt3)))</f>
        <v/>
      </c>
      <c r="G500" s="15">
        <f>IF($B500="","",ROUND($E500-$F500,0))</f>
        <v/>
      </c>
      <c r="H500" s="12">
        <f>IF($B500="","",IF(ROUND($G500,0)&gt;0,"بدهکار",IF(ROUND($G500,0)&lt;0,"بستانکار","تسویه")))</f>
        <v/>
      </c>
    </row>
    <row r="501">
      <c r="A501" s="16">
        <f>IF($B501="","",492)</f>
        <v/>
      </c>
      <c r="B501" s="17">
        <f>IF(477&gt;NPartyA,"",IFERROR(IF(VLOOKUP(INDEX(PkPartyA,477),AcctTblA,4,0)="","(بدون نام)",VLOOKUP(INDEX(PkPartyA,477),AcctTblA,4,0)),"—"))</f>
        <v/>
      </c>
      <c r="C501" s="18">
        <f>IF($B501="","",IF(477&gt;NPartyA,"",INDEX(PkPartyA,477)))</f>
        <v/>
      </c>
      <c r="D501" s="17">
        <f>IF($B501="","","p")</f>
        <v/>
      </c>
      <c r="E501" s="19">
        <f>IF($B501="","",IF(477&gt;NPartyA,0,SUMIF(CalcDebit,INDEX(PkPartyA,477),CalcAmt)+SUMIF(CalcDebit2,INDEX(PkPartyA,477),CalcAmt2)+SUMIF(CalcDebit3,INDEX(PkPartyA,477),CalcAmt3)))</f>
        <v/>
      </c>
      <c r="F501" s="19">
        <f>IF($B501="","",IF(477&gt;NPartyA,0,SUMIF(CalcCredit,INDEX(PkPartyA,477),CalcAmt)+SUMIF(CalcCredit2,INDEX(PkPartyA,477),CalcAmt2)+SUMIF(CalcCredit3,INDEX(PkPartyA,477),CalcAmt3)))</f>
        <v/>
      </c>
      <c r="G501" s="20">
        <f>IF($B501="","",ROUND($E501-$F501,0))</f>
        <v/>
      </c>
      <c r="H501" s="17">
        <f>IF($B501="","",IF(ROUND($G501,0)&gt;0,"بدهکار",IF(ROUND($G501,0)&lt;0,"بستانکار","تسویه")))</f>
        <v/>
      </c>
    </row>
    <row r="502">
      <c r="A502" s="11">
        <f>IF($B502="","",493)</f>
        <v/>
      </c>
      <c r="B502" s="12">
        <f>IF(478&gt;NPartyA,"",IFERROR(IF(VLOOKUP(INDEX(PkPartyA,478),AcctTblA,4,0)="","(بدون نام)",VLOOKUP(INDEX(PkPartyA,478),AcctTblA,4,0)),"—"))</f>
        <v/>
      </c>
      <c r="C502" s="13">
        <f>IF($B502="","",IF(478&gt;NPartyA,"",INDEX(PkPartyA,478)))</f>
        <v/>
      </c>
      <c r="D502" s="12">
        <f>IF($B502="","","p")</f>
        <v/>
      </c>
      <c r="E502" s="14">
        <f>IF($B502="","",IF(478&gt;NPartyA,0,SUMIF(CalcDebit,INDEX(PkPartyA,478),CalcAmt)+SUMIF(CalcDebit2,INDEX(PkPartyA,478),CalcAmt2)+SUMIF(CalcDebit3,INDEX(PkPartyA,478),CalcAmt3)))</f>
        <v/>
      </c>
      <c r="F502" s="14">
        <f>IF($B502="","",IF(478&gt;NPartyA,0,SUMIF(CalcCredit,INDEX(PkPartyA,478),CalcAmt)+SUMIF(CalcCredit2,INDEX(PkPartyA,478),CalcAmt2)+SUMIF(CalcCredit3,INDEX(PkPartyA,478),CalcAmt3)))</f>
        <v/>
      </c>
      <c r="G502" s="15">
        <f>IF($B502="","",ROUND($E502-$F502,0))</f>
        <v/>
      </c>
      <c r="H502" s="12">
        <f>IF($B502="","",IF(ROUND($G502,0)&gt;0,"بدهکار",IF(ROUND($G502,0)&lt;0,"بستانکار","تسویه")))</f>
        <v/>
      </c>
    </row>
    <row r="503">
      <c r="A503" s="16">
        <f>IF($B503="","",494)</f>
        <v/>
      </c>
      <c r="B503" s="17">
        <f>IF(479&gt;NPartyA,"",IFERROR(IF(VLOOKUP(INDEX(PkPartyA,479),AcctTblA,4,0)="","(بدون نام)",VLOOKUP(INDEX(PkPartyA,479),AcctTblA,4,0)),"—"))</f>
        <v/>
      </c>
      <c r="C503" s="18">
        <f>IF($B503="","",IF(479&gt;NPartyA,"",INDEX(PkPartyA,479)))</f>
        <v/>
      </c>
      <c r="D503" s="17">
        <f>IF($B503="","","p")</f>
        <v/>
      </c>
      <c r="E503" s="19">
        <f>IF($B503="","",IF(479&gt;NPartyA,0,SUMIF(CalcDebit,INDEX(PkPartyA,479),CalcAmt)+SUMIF(CalcDebit2,INDEX(PkPartyA,479),CalcAmt2)+SUMIF(CalcDebit3,INDEX(PkPartyA,479),CalcAmt3)))</f>
        <v/>
      </c>
      <c r="F503" s="19">
        <f>IF($B503="","",IF(479&gt;NPartyA,0,SUMIF(CalcCredit,INDEX(PkPartyA,479),CalcAmt)+SUMIF(CalcCredit2,INDEX(PkPartyA,479),CalcAmt2)+SUMIF(CalcCredit3,INDEX(PkPartyA,479),CalcAmt3)))</f>
        <v/>
      </c>
      <c r="G503" s="20">
        <f>IF($B503="","",ROUND($E503-$F503,0))</f>
        <v/>
      </c>
      <c r="H503" s="17">
        <f>IF($B503="","",IF(ROUND($G503,0)&gt;0,"بدهکار",IF(ROUND($G503,0)&lt;0,"بستانکار","تسویه")))</f>
        <v/>
      </c>
    </row>
    <row r="504">
      <c r="A504" s="11">
        <f>IF($B504="","",495)</f>
        <v/>
      </c>
      <c r="B504" s="12">
        <f>IF(480&gt;NPartyA,"",IFERROR(IF(VLOOKUP(INDEX(PkPartyA,480),AcctTblA,4,0)="","(بدون نام)",VLOOKUP(INDEX(PkPartyA,480),AcctTblA,4,0)),"—"))</f>
        <v/>
      </c>
      <c r="C504" s="13">
        <f>IF($B504="","",IF(480&gt;NPartyA,"",INDEX(PkPartyA,480)))</f>
        <v/>
      </c>
      <c r="D504" s="12">
        <f>IF($B504="","","p")</f>
        <v/>
      </c>
      <c r="E504" s="14">
        <f>IF($B504="","",IF(480&gt;NPartyA,0,SUMIF(CalcDebit,INDEX(PkPartyA,480),CalcAmt)+SUMIF(CalcDebit2,INDEX(PkPartyA,480),CalcAmt2)+SUMIF(CalcDebit3,INDEX(PkPartyA,480),CalcAmt3)))</f>
        <v/>
      </c>
      <c r="F504" s="14">
        <f>IF($B504="","",IF(480&gt;NPartyA,0,SUMIF(CalcCredit,INDEX(PkPartyA,480),CalcAmt)+SUMIF(CalcCredit2,INDEX(PkPartyA,480),CalcAmt2)+SUMIF(CalcCredit3,INDEX(PkPartyA,480),CalcAmt3)))</f>
        <v/>
      </c>
      <c r="G504" s="15">
        <f>IF($B504="","",ROUND($E504-$F504,0))</f>
        <v/>
      </c>
      <c r="H504" s="12">
        <f>IF($B504="","",IF(ROUND($G504,0)&gt;0,"بدهکار",IF(ROUND($G504,0)&lt;0,"بستانکار","تسویه")))</f>
        <v/>
      </c>
    </row>
    <row r="505">
      <c r="A505" s="16">
        <f>IF($B505="","",496)</f>
        <v/>
      </c>
      <c r="B505" s="17">
        <f>IF(481&gt;NPartyA,"",IFERROR(IF(VLOOKUP(INDEX(PkPartyA,481),AcctTblA,4,0)="","(بدون نام)",VLOOKUP(INDEX(PkPartyA,481),AcctTblA,4,0)),"—"))</f>
        <v/>
      </c>
      <c r="C505" s="18">
        <f>IF($B505="","",IF(481&gt;NPartyA,"",INDEX(PkPartyA,481)))</f>
        <v/>
      </c>
      <c r="D505" s="17">
        <f>IF($B505="","","p")</f>
        <v/>
      </c>
      <c r="E505" s="19">
        <f>IF($B505="","",IF(481&gt;NPartyA,0,SUMIF(CalcDebit,INDEX(PkPartyA,481),CalcAmt)+SUMIF(CalcDebit2,INDEX(PkPartyA,481),CalcAmt2)+SUMIF(CalcDebit3,INDEX(PkPartyA,481),CalcAmt3)))</f>
        <v/>
      </c>
      <c r="F505" s="19">
        <f>IF($B505="","",IF(481&gt;NPartyA,0,SUMIF(CalcCredit,INDEX(PkPartyA,481),CalcAmt)+SUMIF(CalcCredit2,INDEX(PkPartyA,481),CalcAmt2)+SUMIF(CalcCredit3,INDEX(PkPartyA,481),CalcAmt3)))</f>
        <v/>
      </c>
      <c r="G505" s="20">
        <f>IF($B505="","",ROUND($E505-$F505,0))</f>
        <v/>
      </c>
      <c r="H505" s="17">
        <f>IF($B505="","",IF(ROUND($G505,0)&gt;0,"بدهکار",IF(ROUND($G505,0)&lt;0,"بستانکار","تسویه")))</f>
        <v/>
      </c>
    </row>
    <row r="506">
      <c r="A506" s="11">
        <f>IF($B506="","",497)</f>
        <v/>
      </c>
      <c r="B506" s="12">
        <f>IF(482&gt;NPartyA,"",IFERROR(IF(VLOOKUP(INDEX(PkPartyA,482),AcctTblA,4,0)="","(بدون نام)",VLOOKUP(INDEX(PkPartyA,482),AcctTblA,4,0)),"—"))</f>
        <v/>
      </c>
      <c r="C506" s="13">
        <f>IF($B506="","",IF(482&gt;NPartyA,"",INDEX(PkPartyA,482)))</f>
        <v/>
      </c>
      <c r="D506" s="12">
        <f>IF($B506="","","p")</f>
        <v/>
      </c>
      <c r="E506" s="14">
        <f>IF($B506="","",IF(482&gt;NPartyA,0,SUMIF(CalcDebit,INDEX(PkPartyA,482),CalcAmt)+SUMIF(CalcDebit2,INDEX(PkPartyA,482),CalcAmt2)+SUMIF(CalcDebit3,INDEX(PkPartyA,482),CalcAmt3)))</f>
        <v/>
      </c>
      <c r="F506" s="14">
        <f>IF($B506="","",IF(482&gt;NPartyA,0,SUMIF(CalcCredit,INDEX(PkPartyA,482),CalcAmt)+SUMIF(CalcCredit2,INDEX(PkPartyA,482),CalcAmt2)+SUMIF(CalcCredit3,INDEX(PkPartyA,482),CalcAmt3)))</f>
        <v/>
      </c>
      <c r="G506" s="15">
        <f>IF($B506="","",ROUND($E506-$F506,0))</f>
        <v/>
      </c>
      <c r="H506" s="12">
        <f>IF($B506="","",IF(ROUND($G506,0)&gt;0,"بدهکار",IF(ROUND($G506,0)&lt;0,"بستانکار","تسویه")))</f>
        <v/>
      </c>
    </row>
    <row r="507">
      <c r="A507" s="16">
        <f>IF($B507="","",498)</f>
        <v/>
      </c>
      <c r="B507" s="17">
        <f>IF(483&gt;NPartyA,"",IFERROR(IF(VLOOKUP(INDEX(PkPartyA,483),AcctTblA,4,0)="","(بدون نام)",VLOOKUP(INDEX(PkPartyA,483),AcctTblA,4,0)),"—"))</f>
        <v/>
      </c>
      <c r="C507" s="18">
        <f>IF($B507="","",IF(483&gt;NPartyA,"",INDEX(PkPartyA,483)))</f>
        <v/>
      </c>
      <c r="D507" s="17">
        <f>IF($B507="","","p")</f>
        <v/>
      </c>
      <c r="E507" s="19">
        <f>IF($B507="","",IF(483&gt;NPartyA,0,SUMIF(CalcDebit,INDEX(PkPartyA,483),CalcAmt)+SUMIF(CalcDebit2,INDEX(PkPartyA,483),CalcAmt2)+SUMIF(CalcDebit3,INDEX(PkPartyA,483),CalcAmt3)))</f>
        <v/>
      </c>
      <c r="F507" s="19">
        <f>IF($B507="","",IF(483&gt;NPartyA,0,SUMIF(CalcCredit,INDEX(PkPartyA,483),CalcAmt)+SUMIF(CalcCredit2,INDEX(PkPartyA,483),CalcAmt2)+SUMIF(CalcCredit3,INDEX(PkPartyA,483),CalcAmt3)))</f>
        <v/>
      </c>
      <c r="G507" s="20">
        <f>IF($B507="","",ROUND($E507-$F507,0))</f>
        <v/>
      </c>
      <c r="H507" s="17">
        <f>IF($B507="","",IF(ROUND($G507,0)&gt;0,"بدهکار",IF(ROUND($G507,0)&lt;0,"بستانکار","تسویه")))</f>
        <v/>
      </c>
    </row>
    <row r="508">
      <c r="A508" s="11">
        <f>IF($B508="","",499)</f>
        <v/>
      </c>
      <c r="B508" s="12">
        <f>IF(484&gt;NPartyA,"",IFERROR(IF(VLOOKUP(INDEX(PkPartyA,484),AcctTblA,4,0)="","(بدون نام)",VLOOKUP(INDEX(PkPartyA,484),AcctTblA,4,0)),"—"))</f>
        <v/>
      </c>
      <c r="C508" s="13">
        <f>IF($B508="","",IF(484&gt;NPartyA,"",INDEX(PkPartyA,484)))</f>
        <v/>
      </c>
      <c r="D508" s="12">
        <f>IF($B508="","","p")</f>
        <v/>
      </c>
      <c r="E508" s="14">
        <f>IF($B508="","",IF(484&gt;NPartyA,0,SUMIF(CalcDebit,INDEX(PkPartyA,484),CalcAmt)+SUMIF(CalcDebit2,INDEX(PkPartyA,484),CalcAmt2)+SUMIF(CalcDebit3,INDEX(PkPartyA,484),CalcAmt3)))</f>
        <v/>
      </c>
      <c r="F508" s="14">
        <f>IF($B508="","",IF(484&gt;NPartyA,0,SUMIF(CalcCredit,INDEX(PkPartyA,484),CalcAmt)+SUMIF(CalcCredit2,INDEX(PkPartyA,484),CalcAmt2)+SUMIF(CalcCredit3,INDEX(PkPartyA,484),CalcAmt3)))</f>
        <v/>
      </c>
      <c r="G508" s="15">
        <f>IF($B508="","",ROUND($E508-$F508,0))</f>
        <v/>
      </c>
      <c r="H508" s="12">
        <f>IF($B508="","",IF(ROUND($G508,0)&gt;0,"بدهکار",IF(ROUND($G508,0)&lt;0,"بستانکار","تسویه")))</f>
        <v/>
      </c>
    </row>
    <row r="509">
      <c r="A509" s="16">
        <f>IF($B509="","",500)</f>
        <v/>
      </c>
      <c r="B509" s="17">
        <f>IF(485&gt;NPartyA,"",IFERROR(IF(VLOOKUP(INDEX(PkPartyA,485),AcctTblA,4,0)="","(بدون نام)",VLOOKUP(INDEX(PkPartyA,485),AcctTblA,4,0)),"—"))</f>
        <v/>
      </c>
      <c r="C509" s="18">
        <f>IF($B509="","",IF(485&gt;NPartyA,"",INDEX(PkPartyA,485)))</f>
        <v/>
      </c>
      <c r="D509" s="17">
        <f>IF($B509="","","p")</f>
        <v/>
      </c>
      <c r="E509" s="19">
        <f>IF($B509="","",IF(485&gt;NPartyA,0,SUMIF(CalcDebit,INDEX(PkPartyA,485),CalcAmt)+SUMIF(CalcDebit2,INDEX(PkPartyA,485),CalcAmt2)+SUMIF(CalcDebit3,INDEX(PkPartyA,485),CalcAmt3)))</f>
        <v/>
      </c>
      <c r="F509" s="19">
        <f>IF($B509="","",IF(485&gt;NPartyA,0,SUMIF(CalcCredit,INDEX(PkPartyA,485),CalcAmt)+SUMIF(CalcCredit2,INDEX(PkPartyA,485),CalcAmt2)+SUMIF(CalcCredit3,INDEX(PkPartyA,485),CalcAmt3)))</f>
        <v/>
      </c>
      <c r="G509" s="20">
        <f>IF($B509="","",ROUND($E509-$F509,0))</f>
        <v/>
      </c>
      <c r="H509" s="17">
        <f>IF($B509="","",IF(ROUND($G509,0)&gt;0,"بدهکار",IF(ROUND($G509,0)&lt;0,"بستانکار","تسویه")))</f>
        <v/>
      </c>
    </row>
    <row r="510">
      <c r="A510" s="11">
        <f>IF($B510="","",501)</f>
        <v/>
      </c>
      <c r="B510" s="12">
        <f>IF(486&gt;NPartyA,"",IFERROR(IF(VLOOKUP(INDEX(PkPartyA,486),AcctTblA,4,0)="","(بدون نام)",VLOOKUP(INDEX(PkPartyA,486),AcctTblA,4,0)),"—"))</f>
        <v/>
      </c>
      <c r="C510" s="13">
        <f>IF($B510="","",IF(486&gt;NPartyA,"",INDEX(PkPartyA,486)))</f>
        <v/>
      </c>
      <c r="D510" s="12">
        <f>IF($B510="","","p")</f>
        <v/>
      </c>
      <c r="E510" s="14">
        <f>IF($B510="","",IF(486&gt;NPartyA,0,SUMIF(CalcDebit,INDEX(PkPartyA,486),CalcAmt)+SUMIF(CalcDebit2,INDEX(PkPartyA,486),CalcAmt2)+SUMIF(CalcDebit3,INDEX(PkPartyA,486),CalcAmt3)))</f>
        <v/>
      </c>
      <c r="F510" s="14">
        <f>IF($B510="","",IF(486&gt;NPartyA,0,SUMIF(CalcCredit,INDEX(PkPartyA,486),CalcAmt)+SUMIF(CalcCredit2,INDEX(PkPartyA,486),CalcAmt2)+SUMIF(CalcCredit3,INDEX(PkPartyA,486),CalcAmt3)))</f>
        <v/>
      </c>
      <c r="G510" s="15">
        <f>IF($B510="","",ROUND($E510-$F510,0))</f>
        <v/>
      </c>
      <c r="H510" s="12">
        <f>IF($B510="","",IF(ROUND($G510,0)&gt;0,"بدهکار",IF(ROUND($G510,0)&lt;0,"بستانکار","تسویه")))</f>
        <v/>
      </c>
    </row>
    <row r="511">
      <c r="A511" s="16">
        <f>IF($B511="","",502)</f>
        <v/>
      </c>
      <c r="B511" s="17">
        <f>IF(487&gt;NPartyA,"",IFERROR(IF(VLOOKUP(INDEX(PkPartyA,487),AcctTblA,4,0)="","(بدون نام)",VLOOKUP(INDEX(PkPartyA,487),AcctTblA,4,0)),"—"))</f>
        <v/>
      </c>
      <c r="C511" s="18">
        <f>IF($B511="","",IF(487&gt;NPartyA,"",INDEX(PkPartyA,487)))</f>
        <v/>
      </c>
      <c r="D511" s="17">
        <f>IF($B511="","","p")</f>
        <v/>
      </c>
      <c r="E511" s="19">
        <f>IF($B511="","",IF(487&gt;NPartyA,0,SUMIF(CalcDebit,INDEX(PkPartyA,487),CalcAmt)+SUMIF(CalcDebit2,INDEX(PkPartyA,487),CalcAmt2)+SUMIF(CalcDebit3,INDEX(PkPartyA,487),CalcAmt3)))</f>
        <v/>
      </c>
      <c r="F511" s="19">
        <f>IF($B511="","",IF(487&gt;NPartyA,0,SUMIF(CalcCredit,INDEX(PkPartyA,487),CalcAmt)+SUMIF(CalcCredit2,INDEX(PkPartyA,487),CalcAmt2)+SUMIF(CalcCredit3,INDEX(PkPartyA,487),CalcAmt3)))</f>
        <v/>
      </c>
      <c r="G511" s="20">
        <f>IF($B511="","",ROUND($E511-$F511,0))</f>
        <v/>
      </c>
      <c r="H511" s="17">
        <f>IF($B511="","",IF(ROUND($G511,0)&gt;0,"بدهکار",IF(ROUND($G511,0)&lt;0,"بستانکار","تسویه")))</f>
        <v/>
      </c>
    </row>
    <row r="512">
      <c r="A512" s="11">
        <f>IF($B512="","",503)</f>
        <v/>
      </c>
      <c r="B512" s="12">
        <f>IF(488&gt;NPartyA,"",IFERROR(IF(VLOOKUP(INDEX(PkPartyA,488),AcctTblA,4,0)="","(بدون نام)",VLOOKUP(INDEX(PkPartyA,488),AcctTblA,4,0)),"—"))</f>
        <v/>
      </c>
      <c r="C512" s="13">
        <f>IF($B512="","",IF(488&gt;NPartyA,"",INDEX(PkPartyA,488)))</f>
        <v/>
      </c>
      <c r="D512" s="12">
        <f>IF($B512="","","p")</f>
        <v/>
      </c>
      <c r="E512" s="14">
        <f>IF($B512="","",IF(488&gt;NPartyA,0,SUMIF(CalcDebit,INDEX(PkPartyA,488),CalcAmt)+SUMIF(CalcDebit2,INDEX(PkPartyA,488),CalcAmt2)+SUMIF(CalcDebit3,INDEX(PkPartyA,488),CalcAmt3)))</f>
        <v/>
      </c>
      <c r="F512" s="14">
        <f>IF($B512="","",IF(488&gt;NPartyA,0,SUMIF(CalcCredit,INDEX(PkPartyA,488),CalcAmt)+SUMIF(CalcCredit2,INDEX(PkPartyA,488),CalcAmt2)+SUMIF(CalcCredit3,INDEX(PkPartyA,488),CalcAmt3)))</f>
        <v/>
      </c>
      <c r="G512" s="15">
        <f>IF($B512="","",ROUND($E512-$F512,0))</f>
        <v/>
      </c>
      <c r="H512" s="12">
        <f>IF($B512="","",IF(ROUND($G512,0)&gt;0,"بدهکار",IF(ROUND($G512,0)&lt;0,"بستانکار","تسویه")))</f>
        <v/>
      </c>
    </row>
    <row r="513">
      <c r="A513" s="16">
        <f>IF($B513="","",504)</f>
        <v/>
      </c>
      <c r="B513" s="17">
        <f>IF(489&gt;NPartyA,"",IFERROR(IF(VLOOKUP(INDEX(PkPartyA,489),AcctTblA,4,0)="","(بدون نام)",VLOOKUP(INDEX(PkPartyA,489),AcctTblA,4,0)),"—"))</f>
        <v/>
      </c>
      <c r="C513" s="18">
        <f>IF($B513="","",IF(489&gt;NPartyA,"",INDEX(PkPartyA,489)))</f>
        <v/>
      </c>
      <c r="D513" s="17">
        <f>IF($B513="","","p")</f>
        <v/>
      </c>
      <c r="E513" s="19">
        <f>IF($B513="","",IF(489&gt;NPartyA,0,SUMIF(CalcDebit,INDEX(PkPartyA,489),CalcAmt)+SUMIF(CalcDebit2,INDEX(PkPartyA,489),CalcAmt2)+SUMIF(CalcDebit3,INDEX(PkPartyA,489),CalcAmt3)))</f>
        <v/>
      </c>
      <c r="F513" s="19">
        <f>IF($B513="","",IF(489&gt;NPartyA,0,SUMIF(CalcCredit,INDEX(PkPartyA,489),CalcAmt)+SUMIF(CalcCredit2,INDEX(PkPartyA,489),CalcAmt2)+SUMIF(CalcCredit3,INDEX(PkPartyA,489),CalcAmt3)))</f>
        <v/>
      </c>
      <c r="G513" s="20">
        <f>IF($B513="","",ROUND($E513-$F513,0))</f>
        <v/>
      </c>
      <c r="H513" s="17">
        <f>IF($B513="","",IF(ROUND($G513,0)&gt;0,"بدهکار",IF(ROUND($G513,0)&lt;0,"بستانکار","تسویه")))</f>
        <v/>
      </c>
    </row>
    <row r="514">
      <c r="A514" s="11">
        <f>IF($B514="","",505)</f>
        <v/>
      </c>
      <c r="B514" s="12">
        <f>IF(490&gt;NPartyA,"",IFERROR(IF(VLOOKUP(INDEX(PkPartyA,490),AcctTblA,4,0)="","(بدون نام)",VLOOKUP(INDEX(PkPartyA,490),AcctTblA,4,0)),"—"))</f>
        <v/>
      </c>
      <c r="C514" s="13">
        <f>IF($B514="","",IF(490&gt;NPartyA,"",INDEX(PkPartyA,490)))</f>
        <v/>
      </c>
      <c r="D514" s="12">
        <f>IF($B514="","","p")</f>
        <v/>
      </c>
      <c r="E514" s="14">
        <f>IF($B514="","",IF(490&gt;NPartyA,0,SUMIF(CalcDebit,INDEX(PkPartyA,490),CalcAmt)+SUMIF(CalcDebit2,INDEX(PkPartyA,490),CalcAmt2)+SUMIF(CalcDebit3,INDEX(PkPartyA,490),CalcAmt3)))</f>
        <v/>
      </c>
      <c r="F514" s="14">
        <f>IF($B514="","",IF(490&gt;NPartyA,0,SUMIF(CalcCredit,INDEX(PkPartyA,490),CalcAmt)+SUMIF(CalcCredit2,INDEX(PkPartyA,490),CalcAmt2)+SUMIF(CalcCredit3,INDEX(PkPartyA,490),CalcAmt3)))</f>
        <v/>
      </c>
      <c r="G514" s="15">
        <f>IF($B514="","",ROUND($E514-$F514,0))</f>
        <v/>
      </c>
      <c r="H514" s="12">
        <f>IF($B514="","",IF(ROUND($G514,0)&gt;0,"بدهکار",IF(ROUND($G514,0)&lt;0,"بستانکار","تسویه")))</f>
        <v/>
      </c>
    </row>
    <row r="515">
      <c r="A515" s="16">
        <f>IF($B515="","",506)</f>
        <v/>
      </c>
      <c r="B515" s="17">
        <f>IF(491&gt;NPartyA,"",IFERROR(IF(VLOOKUP(INDEX(PkPartyA,491),AcctTblA,4,0)="","(بدون نام)",VLOOKUP(INDEX(PkPartyA,491),AcctTblA,4,0)),"—"))</f>
        <v/>
      </c>
      <c r="C515" s="18">
        <f>IF($B515="","",IF(491&gt;NPartyA,"",INDEX(PkPartyA,491)))</f>
        <v/>
      </c>
      <c r="D515" s="17">
        <f>IF($B515="","","p")</f>
        <v/>
      </c>
      <c r="E515" s="19">
        <f>IF($B515="","",IF(491&gt;NPartyA,0,SUMIF(CalcDebit,INDEX(PkPartyA,491),CalcAmt)+SUMIF(CalcDebit2,INDEX(PkPartyA,491),CalcAmt2)+SUMIF(CalcDebit3,INDEX(PkPartyA,491),CalcAmt3)))</f>
        <v/>
      </c>
      <c r="F515" s="19">
        <f>IF($B515="","",IF(491&gt;NPartyA,0,SUMIF(CalcCredit,INDEX(PkPartyA,491),CalcAmt)+SUMIF(CalcCredit2,INDEX(PkPartyA,491),CalcAmt2)+SUMIF(CalcCredit3,INDEX(PkPartyA,491),CalcAmt3)))</f>
        <v/>
      </c>
      <c r="G515" s="20">
        <f>IF($B515="","",ROUND($E515-$F515,0))</f>
        <v/>
      </c>
      <c r="H515" s="17">
        <f>IF($B515="","",IF(ROUND($G515,0)&gt;0,"بدهکار",IF(ROUND($G515,0)&lt;0,"بستانکار","تسویه")))</f>
        <v/>
      </c>
    </row>
    <row r="516">
      <c r="A516" s="11">
        <f>IF($B516="","",507)</f>
        <v/>
      </c>
      <c r="B516" s="12">
        <f>IF(492&gt;NPartyA,"",IFERROR(IF(VLOOKUP(INDEX(PkPartyA,492),AcctTblA,4,0)="","(بدون نام)",VLOOKUP(INDEX(PkPartyA,492),AcctTblA,4,0)),"—"))</f>
        <v/>
      </c>
      <c r="C516" s="13">
        <f>IF($B516="","",IF(492&gt;NPartyA,"",INDEX(PkPartyA,492)))</f>
        <v/>
      </c>
      <c r="D516" s="12">
        <f>IF($B516="","","p")</f>
        <v/>
      </c>
      <c r="E516" s="14">
        <f>IF($B516="","",IF(492&gt;NPartyA,0,SUMIF(CalcDebit,INDEX(PkPartyA,492),CalcAmt)+SUMIF(CalcDebit2,INDEX(PkPartyA,492),CalcAmt2)+SUMIF(CalcDebit3,INDEX(PkPartyA,492),CalcAmt3)))</f>
        <v/>
      </c>
      <c r="F516" s="14">
        <f>IF($B516="","",IF(492&gt;NPartyA,0,SUMIF(CalcCredit,INDEX(PkPartyA,492),CalcAmt)+SUMIF(CalcCredit2,INDEX(PkPartyA,492),CalcAmt2)+SUMIF(CalcCredit3,INDEX(PkPartyA,492),CalcAmt3)))</f>
        <v/>
      </c>
      <c r="G516" s="15">
        <f>IF($B516="","",ROUND($E516-$F516,0))</f>
        <v/>
      </c>
      <c r="H516" s="12">
        <f>IF($B516="","",IF(ROUND($G516,0)&gt;0,"بدهکار",IF(ROUND($G516,0)&lt;0,"بستانکار","تسویه")))</f>
        <v/>
      </c>
    </row>
    <row r="517">
      <c r="A517" s="16">
        <f>IF($B517="","",508)</f>
        <v/>
      </c>
      <c r="B517" s="17">
        <f>IF(493&gt;NPartyA,"",IFERROR(IF(VLOOKUP(INDEX(PkPartyA,493),AcctTblA,4,0)="","(بدون نام)",VLOOKUP(INDEX(PkPartyA,493),AcctTblA,4,0)),"—"))</f>
        <v/>
      </c>
      <c r="C517" s="18">
        <f>IF($B517="","",IF(493&gt;NPartyA,"",INDEX(PkPartyA,493)))</f>
        <v/>
      </c>
      <c r="D517" s="17">
        <f>IF($B517="","","p")</f>
        <v/>
      </c>
      <c r="E517" s="19">
        <f>IF($B517="","",IF(493&gt;NPartyA,0,SUMIF(CalcDebit,INDEX(PkPartyA,493),CalcAmt)+SUMIF(CalcDebit2,INDEX(PkPartyA,493),CalcAmt2)+SUMIF(CalcDebit3,INDEX(PkPartyA,493),CalcAmt3)))</f>
        <v/>
      </c>
      <c r="F517" s="19">
        <f>IF($B517="","",IF(493&gt;NPartyA,0,SUMIF(CalcCredit,INDEX(PkPartyA,493),CalcAmt)+SUMIF(CalcCredit2,INDEX(PkPartyA,493),CalcAmt2)+SUMIF(CalcCredit3,INDEX(PkPartyA,493),CalcAmt3)))</f>
        <v/>
      </c>
      <c r="G517" s="20">
        <f>IF($B517="","",ROUND($E517-$F517,0))</f>
        <v/>
      </c>
      <c r="H517" s="17">
        <f>IF($B517="","",IF(ROUND($G517,0)&gt;0,"بدهکار",IF(ROUND($G517,0)&lt;0,"بستانکار","تسویه")))</f>
        <v/>
      </c>
    </row>
    <row r="518">
      <c r="A518" s="11">
        <f>IF($B518="","",509)</f>
        <v/>
      </c>
      <c r="B518" s="12">
        <f>IF(494&gt;NPartyA,"",IFERROR(IF(VLOOKUP(INDEX(PkPartyA,494),AcctTblA,4,0)="","(بدون نام)",VLOOKUP(INDEX(PkPartyA,494),AcctTblA,4,0)),"—"))</f>
        <v/>
      </c>
      <c r="C518" s="13">
        <f>IF($B518="","",IF(494&gt;NPartyA,"",INDEX(PkPartyA,494)))</f>
        <v/>
      </c>
      <c r="D518" s="12">
        <f>IF($B518="","","p")</f>
        <v/>
      </c>
      <c r="E518" s="14">
        <f>IF($B518="","",IF(494&gt;NPartyA,0,SUMIF(CalcDebit,INDEX(PkPartyA,494),CalcAmt)+SUMIF(CalcDebit2,INDEX(PkPartyA,494),CalcAmt2)+SUMIF(CalcDebit3,INDEX(PkPartyA,494),CalcAmt3)))</f>
        <v/>
      </c>
      <c r="F518" s="14">
        <f>IF($B518="","",IF(494&gt;NPartyA,0,SUMIF(CalcCredit,INDEX(PkPartyA,494),CalcAmt)+SUMIF(CalcCredit2,INDEX(PkPartyA,494),CalcAmt2)+SUMIF(CalcCredit3,INDEX(PkPartyA,494),CalcAmt3)))</f>
        <v/>
      </c>
      <c r="G518" s="15">
        <f>IF($B518="","",ROUND($E518-$F518,0))</f>
        <v/>
      </c>
      <c r="H518" s="12">
        <f>IF($B518="","",IF(ROUND($G518,0)&gt;0,"بدهکار",IF(ROUND($G518,0)&lt;0,"بستانکار","تسویه")))</f>
        <v/>
      </c>
    </row>
    <row r="519">
      <c r="A519" s="16">
        <f>IF($B519="","",510)</f>
        <v/>
      </c>
      <c r="B519" s="17">
        <f>IF(495&gt;NPartyA,"",IFERROR(IF(VLOOKUP(INDEX(PkPartyA,495),AcctTblA,4,0)="","(بدون نام)",VLOOKUP(INDEX(PkPartyA,495),AcctTblA,4,0)),"—"))</f>
        <v/>
      </c>
      <c r="C519" s="18">
        <f>IF($B519="","",IF(495&gt;NPartyA,"",INDEX(PkPartyA,495)))</f>
        <v/>
      </c>
      <c r="D519" s="17">
        <f>IF($B519="","","p")</f>
        <v/>
      </c>
      <c r="E519" s="19">
        <f>IF($B519="","",IF(495&gt;NPartyA,0,SUMIF(CalcDebit,INDEX(PkPartyA,495),CalcAmt)+SUMIF(CalcDebit2,INDEX(PkPartyA,495),CalcAmt2)+SUMIF(CalcDebit3,INDEX(PkPartyA,495),CalcAmt3)))</f>
        <v/>
      </c>
      <c r="F519" s="19">
        <f>IF($B519="","",IF(495&gt;NPartyA,0,SUMIF(CalcCredit,INDEX(PkPartyA,495),CalcAmt)+SUMIF(CalcCredit2,INDEX(PkPartyA,495),CalcAmt2)+SUMIF(CalcCredit3,INDEX(PkPartyA,495),CalcAmt3)))</f>
        <v/>
      </c>
      <c r="G519" s="20">
        <f>IF($B519="","",ROUND($E519-$F519,0))</f>
        <v/>
      </c>
      <c r="H519" s="17">
        <f>IF($B519="","",IF(ROUND($G519,0)&gt;0,"بدهکار",IF(ROUND($G519,0)&lt;0,"بستانکار","تسویه")))</f>
        <v/>
      </c>
    </row>
    <row r="520">
      <c r="A520" s="11">
        <f>IF($B520="","",511)</f>
        <v/>
      </c>
      <c r="B520" s="12">
        <f>IF(496&gt;NPartyA,"",IFERROR(IF(VLOOKUP(INDEX(PkPartyA,496),AcctTblA,4,0)="","(بدون نام)",VLOOKUP(INDEX(PkPartyA,496),AcctTblA,4,0)),"—"))</f>
        <v/>
      </c>
      <c r="C520" s="13">
        <f>IF($B520="","",IF(496&gt;NPartyA,"",INDEX(PkPartyA,496)))</f>
        <v/>
      </c>
      <c r="D520" s="12">
        <f>IF($B520="","","p")</f>
        <v/>
      </c>
      <c r="E520" s="14">
        <f>IF($B520="","",IF(496&gt;NPartyA,0,SUMIF(CalcDebit,INDEX(PkPartyA,496),CalcAmt)+SUMIF(CalcDebit2,INDEX(PkPartyA,496),CalcAmt2)+SUMIF(CalcDebit3,INDEX(PkPartyA,496),CalcAmt3)))</f>
        <v/>
      </c>
      <c r="F520" s="14">
        <f>IF($B520="","",IF(496&gt;NPartyA,0,SUMIF(CalcCredit,INDEX(PkPartyA,496),CalcAmt)+SUMIF(CalcCredit2,INDEX(PkPartyA,496),CalcAmt2)+SUMIF(CalcCredit3,INDEX(PkPartyA,496),CalcAmt3)))</f>
        <v/>
      </c>
      <c r="G520" s="15">
        <f>IF($B520="","",ROUND($E520-$F520,0))</f>
        <v/>
      </c>
      <c r="H520" s="12">
        <f>IF($B520="","",IF(ROUND($G520,0)&gt;0,"بدهکار",IF(ROUND($G520,0)&lt;0,"بستانکار","تسویه")))</f>
        <v/>
      </c>
    </row>
    <row r="521">
      <c r="A521" s="16">
        <f>IF($B521="","",512)</f>
        <v/>
      </c>
      <c r="B521" s="17">
        <f>IF(497&gt;NPartyA,"",IFERROR(IF(VLOOKUP(INDEX(PkPartyA,497),AcctTblA,4,0)="","(بدون نام)",VLOOKUP(INDEX(PkPartyA,497),AcctTblA,4,0)),"—"))</f>
        <v/>
      </c>
      <c r="C521" s="18">
        <f>IF($B521="","",IF(497&gt;NPartyA,"",INDEX(PkPartyA,497)))</f>
        <v/>
      </c>
      <c r="D521" s="17">
        <f>IF($B521="","","p")</f>
        <v/>
      </c>
      <c r="E521" s="19">
        <f>IF($B521="","",IF(497&gt;NPartyA,0,SUMIF(CalcDebit,INDEX(PkPartyA,497),CalcAmt)+SUMIF(CalcDebit2,INDEX(PkPartyA,497),CalcAmt2)+SUMIF(CalcDebit3,INDEX(PkPartyA,497),CalcAmt3)))</f>
        <v/>
      </c>
      <c r="F521" s="19">
        <f>IF($B521="","",IF(497&gt;NPartyA,0,SUMIF(CalcCredit,INDEX(PkPartyA,497),CalcAmt)+SUMIF(CalcCredit2,INDEX(PkPartyA,497),CalcAmt2)+SUMIF(CalcCredit3,INDEX(PkPartyA,497),CalcAmt3)))</f>
        <v/>
      </c>
      <c r="G521" s="20">
        <f>IF($B521="","",ROUND($E521-$F521,0))</f>
        <v/>
      </c>
      <c r="H521" s="17">
        <f>IF($B521="","",IF(ROUND($G521,0)&gt;0,"بدهکار",IF(ROUND($G521,0)&lt;0,"بستانکار","تسویه")))</f>
        <v/>
      </c>
    </row>
    <row r="522">
      <c r="A522" s="11">
        <f>IF($B522="","",513)</f>
        <v/>
      </c>
      <c r="B522" s="12">
        <f>IF(498&gt;NPartyA,"",IFERROR(IF(VLOOKUP(INDEX(PkPartyA,498),AcctTblA,4,0)="","(بدون نام)",VLOOKUP(INDEX(PkPartyA,498),AcctTblA,4,0)),"—"))</f>
        <v/>
      </c>
      <c r="C522" s="13">
        <f>IF($B522="","",IF(498&gt;NPartyA,"",INDEX(PkPartyA,498)))</f>
        <v/>
      </c>
      <c r="D522" s="12">
        <f>IF($B522="","","p")</f>
        <v/>
      </c>
      <c r="E522" s="14">
        <f>IF($B522="","",IF(498&gt;NPartyA,0,SUMIF(CalcDebit,INDEX(PkPartyA,498),CalcAmt)+SUMIF(CalcDebit2,INDEX(PkPartyA,498),CalcAmt2)+SUMIF(CalcDebit3,INDEX(PkPartyA,498),CalcAmt3)))</f>
        <v/>
      </c>
      <c r="F522" s="14">
        <f>IF($B522="","",IF(498&gt;NPartyA,0,SUMIF(CalcCredit,INDEX(PkPartyA,498),CalcAmt)+SUMIF(CalcCredit2,INDEX(PkPartyA,498),CalcAmt2)+SUMIF(CalcCredit3,INDEX(PkPartyA,498),CalcAmt3)))</f>
        <v/>
      </c>
      <c r="G522" s="15">
        <f>IF($B522="","",ROUND($E522-$F522,0))</f>
        <v/>
      </c>
      <c r="H522" s="12">
        <f>IF($B522="","",IF(ROUND($G522,0)&gt;0,"بدهکار",IF(ROUND($G522,0)&lt;0,"بستانکار","تسویه")))</f>
        <v/>
      </c>
    </row>
    <row r="523">
      <c r="A523" s="16">
        <f>IF($B523="","",514)</f>
        <v/>
      </c>
      <c r="B523" s="17">
        <f>IF(499&gt;NPartyA,"",IFERROR(IF(VLOOKUP(INDEX(PkPartyA,499),AcctTblA,4,0)="","(بدون نام)",VLOOKUP(INDEX(PkPartyA,499),AcctTblA,4,0)),"—"))</f>
        <v/>
      </c>
      <c r="C523" s="18">
        <f>IF($B523="","",IF(499&gt;NPartyA,"",INDEX(PkPartyA,499)))</f>
        <v/>
      </c>
      <c r="D523" s="17">
        <f>IF($B523="","","p")</f>
        <v/>
      </c>
      <c r="E523" s="19">
        <f>IF($B523="","",IF(499&gt;NPartyA,0,SUMIF(CalcDebit,INDEX(PkPartyA,499),CalcAmt)+SUMIF(CalcDebit2,INDEX(PkPartyA,499),CalcAmt2)+SUMIF(CalcDebit3,INDEX(PkPartyA,499),CalcAmt3)))</f>
        <v/>
      </c>
      <c r="F523" s="19">
        <f>IF($B523="","",IF(499&gt;NPartyA,0,SUMIF(CalcCredit,INDEX(PkPartyA,499),CalcAmt)+SUMIF(CalcCredit2,INDEX(PkPartyA,499),CalcAmt2)+SUMIF(CalcCredit3,INDEX(PkPartyA,499),CalcAmt3)))</f>
        <v/>
      </c>
      <c r="G523" s="20">
        <f>IF($B523="","",ROUND($E523-$F523,0))</f>
        <v/>
      </c>
      <c r="H523" s="17">
        <f>IF($B523="","",IF(ROUND($G523,0)&gt;0,"بدهکار",IF(ROUND($G523,0)&lt;0,"بستانکار","تسویه")))</f>
        <v/>
      </c>
    </row>
    <row r="524">
      <c r="A524" s="11">
        <f>IF($B524="","",515)</f>
        <v/>
      </c>
      <c r="B524" s="12">
        <f>IF(500&gt;NPartyA,"",IFERROR(IF(VLOOKUP(INDEX(PkPartyA,500),AcctTblA,4,0)="","(بدون نام)",VLOOKUP(INDEX(PkPartyA,500),AcctTblA,4,0)),"—"))</f>
        <v/>
      </c>
      <c r="C524" s="13">
        <f>IF($B524="","",IF(500&gt;NPartyA,"",INDEX(PkPartyA,500)))</f>
        <v/>
      </c>
      <c r="D524" s="12">
        <f>IF($B524="","","p")</f>
        <v/>
      </c>
      <c r="E524" s="14">
        <f>IF($B524="","",IF(500&gt;NPartyA,0,SUMIF(CalcDebit,INDEX(PkPartyA,500),CalcAmt)+SUMIF(CalcDebit2,INDEX(PkPartyA,500),CalcAmt2)+SUMIF(CalcDebit3,INDEX(PkPartyA,500),CalcAmt3)))</f>
        <v/>
      </c>
      <c r="F524" s="14">
        <f>IF($B524="","",IF(500&gt;NPartyA,0,SUMIF(CalcCredit,INDEX(PkPartyA,500),CalcAmt)+SUMIF(CalcCredit2,INDEX(PkPartyA,500),CalcAmt2)+SUMIF(CalcCredit3,INDEX(PkPartyA,500),CalcAmt3)))</f>
        <v/>
      </c>
      <c r="G524" s="15">
        <f>IF($B524="","",ROUND($E524-$F524,0))</f>
        <v/>
      </c>
      <c r="H524" s="12">
        <f>IF($B524="","",IF(ROUND($G524,0)&gt;0,"بدهکار",IF(ROUND($G524,0)&lt;0,"بستانکار","تسویه")))</f>
        <v/>
      </c>
    </row>
    <row r="525">
      <c r="A525" s="16">
        <f>IF($B525="","",516)</f>
        <v/>
      </c>
      <c r="B525" s="17">
        <f>IF(501&gt;NPartyA,"",IFERROR(IF(VLOOKUP(INDEX(PkPartyA,501),AcctTblA,4,0)="","(بدون نام)",VLOOKUP(INDEX(PkPartyA,501),AcctTblA,4,0)),"—"))</f>
        <v/>
      </c>
      <c r="C525" s="18">
        <f>IF($B525="","",IF(501&gt;NPartyA,"",INDEX(PkPartyA,501)))</f>
        <v/>
      </c>
      <c r="D525" s="17">
        <f>IF($B525="","","p")</f>
        <v/>
      </c>
      <c r="E525" s="19">
        <f>IF($B525="","",IF(501&gt;NPartyA,0,SUMIF(CalcDebit,INDEX(PkPartyA,501),CalcAmt)+SUMIF(CalcDebit2,INDEX(PkPartyA,501),CalcAmt2)+SUMIF(CalcDebit3,INDEX(PkPartyA,501),CalcAmt3)))</f>
        <v/>
      </c>
      <c r="F525" s="19">
        <f>IF($B525="","",IF(501&gt;NPartyA,0,SUMIF(CalcCredit,INDEX(PkPartyA,501),CalcAmt)+SUMIF(CalcCredit2,INDEX(PkPartyA,501),CalcAmt2)+SUMIF(CalcCredit3,INDEX(PkPartyA,501),CalcAmt3)))</f>
        <v/>
      </c>
      <c r="G525" s="20">
        <f>IF($B525="","",ROUND($E525-$F525,0))</f>
        <v/>
      </c>
      <c r="H525" s="17">
        <f>IF($B525="","",IF(ROUND($G525,0)&gt;0,"بدهکار",IF(ROUND($G525,0)&lt;0,"بستانکار","تسویه")))</f>
        <v/>
      </c>
    </row>
    <row r="526">
      <c r="A526" s="11">
        <f>IF($B526="","",517)</f>
        <v/>
      </c>
      <c r="B526" s="12">
        <f>IF(502&gt;NPartyA,"",IFERROR(IF(VLOOKUP(INDEX(PkPartyA,502),AcctTblA,4,0)="","(بدون نام)",VLOOKUP(INDEX(PkPartyA,502),AcctTblA,4,0)),"—"))</f>
        <v/>
      </c>
      <c r="C526" s="13">
        <f>IF($B526="","",IF(502&gt;NPartyA,"",INDEX(PkPartyA,502)))</f>
        <v/>
      </c>
      <c r="D526" s="12">
        <f>IF($B526="","","p")</f>
        <v/>
      </c>
      <c r="E526" s="14">
        <f>IF($B526="","",IF(502&gt;NPartyA,0,SUMIF(CalcDebit,INDEX(PkPartyA,502),CalcAmt)+SUMIF(CalcDebit2,INDEX(PkPartyA,502),CalcAmt2)+SUMIF(CalcDebit3,INDEX(PkPartyA,502),CalcAmt3)))</f>
        <v/>
      </c>
      <c r="F526" s="14">
        <f>IF($B526="","",IF(502&gt;NPartyA,0,SUMIF(CalcCredit,INDEX(PkPartyA,502),CalcAmt)+SUMIF(CalcCredit2,INDEX(PkPartyA,502),CalcAmt2)+SUMIF(CalcCredit3,INDEX(PkPartyA,502),CalcAmt3)))</f>
        <v/>
      </c>
      <c r="G526" s="15">
        <f>IF($B526="","",ROUND($E526-$F526,0))</f>
        <v/>
      </c>
      <c r="H526" s="12">
        <f>IF($B526="","",IF(ROUND($G526,0)&gt;0,"بدهکار",IF(ROUND($G526,0)&lt;0,"بستانکار","تسویه")))</f>
        <v/>
      </c>
    </row>
    <row r="527">
      <c r="A527" s="16">
        <f>IF($B527="","",518)</f>
        <v/>
      </c>
      <c r="B527" s="17">
        <f>IF(503&gt;NPartyA,"",IFERROR(IF(VLOOKUP(INDEX(PkPartyA,503),AcctTblA,4,0)="","(بدون نام)",VLOOKUP(INDEX(PkPartyA,503),AcctTblA,4,0)),"—"))</f>
        <v/>
      </c>
      <c r="C527" s="18">
        <f>IF($B527="","",IF(503&gt;NPartyA,"",INDEX(PkPartyA,503)))</f>
        <v/>
      </c>
      <c r="D527" s="17">
        <f>IF($B527="","","p")</f>
        <v/>
      </c>
      <c r="E527" s="19">
        <f>IF($B527="","",IF(503&gt;NPartyA,0,SUMIF(CalcDebit,INDEX(PkPartyA,503),CalcAmt)+SUMIF(CalcDebit2,INDEX(PkPartyA,503),CalcAmt2)+SUMIF(CalcDebit3,INDEX(PkPartyA,503),CalcAmt3)))</f>
        <v/>
      </c>
      <c r="F527" s="19">
        <f>IF($B527="","",IF(503&gt;NPartyA,0,SUMIF(CalcCredit,INDEX(PkPartyA,503),CalcAmt)+SUMIF(CalcCredit2,INDEX(PkPartyA,503),CalcAmt2)+SUMIF(CalcCredit3,INDEX(PkPartyA,503),CalcAmt3)))</f>
        <v/>
      </c>
      <c r="G527" s="20">
        <f>IF($B527="","",ROUND($E527-$F527,0))</f>
        <v/>
      </c>
      <c r="H527" s="17">
        <f>IF($B527="","",IF(ROUND($G527,0)&gt;0,"بدهکار",IF(ROUND($G527,0)&lt;0,"بستانکار","تسویه")))</f>
        <v/>
      </c>
    </row>
    <row r="528">
      <c r="A528" s="11">
        <f>IF($B528="","",519)</f>
        <v/>
      </c>
      <c r="B528" s="12">
        <f>IF(504&gt;NPartyA,"",IFERROR(IF(VLOOKUP(INDEX(PkPartyA,504),AcctTblA,4,0)="","(بدون نام)",VLOOKUP(INDEX(PkPartyA,504),AcctTblA,4,0)),"—"))</f>
        <v/>
      </c>
      <c r="C528" s="13">
        <f>IF($B528="","",IF(504&gt;NPartyA,"",INDEX(PkPartyA,504)))</f>
        <v/>
      </c>
      <c r="D528" s="12">
        <f>IF($B528="","","p")</f>
        <v/>
      </c>
      <c r="E528" s="14">
        <f>IF($B528="","",IF(504&gt;NPartyA,0,SUMIF(CalcDebit,INDEX(PkPartyA,504),CalcAmt)+SUMIF(CalcDebit2,INDEX(PkPartyA,504),CalcAmt2)+SUMIF(CalcDebit3,INDEX(PkPartyA,504),CalcAmt3)))</f>
        <v/>
      </c>
      <c r="F528" s="14">
        <f>IF($B528="","",IF(504&gt;NPartyA,0,SUMIF(CalcCredit,INDEX(PkPartyA,504),CalcAmt)+SUMIF(CalcCredit2,INDEX(PkPartyA,504),CalcAmt2)+SUMIF(CalcCredit3,INDEX(PkPartyA,504),CalcAmt3)))</f>
        <v/>
      </c>
      <c r="G528" s="15">
        <f>IF($B528="","",ROUND($E528-$F528,0))</f>
        <v/>
      </c>
      <c r="H528" s="12">
        <f>IF($B528="","",IF(ROUND($G528,0)&gt;0,"بدهکار",IF(ROUND($G528,0)&lt;0,"بستانکار","تسویه")))</f>
        <v/>
      </c>
    </row>
    <row r="529">
      <c r="A529" s="16">
        <f>IF($B529="","",520)</f>
        <v/>
      </c>
      <c r="B529" s="17">
        <f>IF(505&gt;NPartyA,"",IFERROR(IF(VLOOKUP(INDEX(PkPartyA,505),AcctTblA,4,0)="","(بدون نام)",VLOOKUP(INDEX(PkPartyA,505),AcctTblA,4,0)),"—"))</f>
        <v/>
      </c>
      <c r="C529" s="18">
        <f>IF($B529="","",IF(505&gt;NPartyA,"",INDEX(PkPartyA,505)))</f>
        <v/>
      </c>
      <c r="D529" s="17">
        <f>IF($B529="","","p")</f>
        <v/>
      </c>
      <c r="E529" s="19">
        <f>IF($B529="","",IF(505&gt;NPartyA,0,SUMIF(CalcDebit,INDEX(PkPartyA,505),CalcAmt)+SUMIF(CalcDebit2,INDEX(PkPartyA,505),CalcAmt2)+SUMIF(CalcDebit3,INDEX(PkPartyA,505),CalcAmt3)))</f>
        <v/>
      </c>
      <c r="F529" s="19">
        <f>IF($B529="","",IF(505&gt;NPartyA,0,SUMIF(CalcCredit,INDEX(PkPartyA,505),CalcAmt)+SUMIF(CalcCredit2,INDEX(PkPartyA,505),CalcAmt2)+SUMIF(CalcCredit3,INDEX(PkPartyA,505),CalcAmt3)))</f>
        <v/>
      </c>
      <c r="G529" s="20">
        <f>IF($B529="","",ROUND($E529-$F529,0))</f>
        <v/>
      </c>
      <c r="H529" s="17">
        <f>IF($B529="","",IF(ROUND($G529,0)&gt;0,"بدهکار",IF(ROUND($G529,0)&lt;0,"بستانکار","تسویه")))</f>
        <v/>
      </c>
    </row>
    <row r="530">
      <c r="A530" s="11">
        <f>IF($B530="","",521)</f>
        <v/>
      </c>
      <c r="B530" s="12">
        <f>IF(506&gt;NPartyA,"",IFERROR(IF(VLOOKUP(INDEX(PkPartyA,506),AcctTblA,4,0)="","(بدون نام)",VLOOKUP(INDEX(PkPartyA,506),AcctTblA,4,0)),"—"))</f>
        <v/>
      </c>
      <c r="C530" s="13">
        <f>IF($B530="","",IF(506&gt;NPartyA,"",INDEX(PkPartyA,506)))</f>
        <v/>
      </c>
      <c r="D530" s="12">
        <f>IF($B530="","","p")</f>
        <v/>
      </c>
      <c r="E530" s="14">
        <f>IF($B530="","",IF(506&gt;NPartyA,0,SUMIF(CalcDebit,INDEX(PkPartyA,506),CalcAmt)+SUMIF(CalcDebit2,INDEX(PkPartyA,506),CalcAmt2)+SUMIF(CalcDebit3,INDEX(PkPartyA,506),CalcAmt3)))</f>
        <v/>
      </c>
      <c r="F530" s="14">
        <f>IF($B530="","",IF(506&gt;NPartyA,0,SUMIF(CalcCredit,INDEX(PkPartyA,506),CalcAmt)+SUMIF(CalcCredit2,INDEX(PkPartyA,506),CalcAmt2)+SUMIF(CalcCredit3,INDEX(PkPartyA,506),CalcAmt3)))</f>
        <v/>
      </c>
      <c r="G530" s="15">
        <f>IF($B530="","",ROUND($E530-$F530,0))</f>
        <v/>
      </c>
      <c r="H530" s="12">
        <f>IF($B530="","",IF(ROUND($G530,0)&gt;0,"بدهکار",IF(ROUND($G530,0)&lt;0,"بستانکار","تسویه")))</f>
        <v/>
      </c>
    </row>
    <row r="531">
      <c r="A531" s="16">
        <f>IF($B531="","",522)</f>
        <v/>
      </c>
      <c r="B531" s="17">
        <f>IF(507&gt;NPartyA,"",IFERROR(IF(VLOOKUP(INDEX(PkPartyA,507),AcctTblA,4,0)="","(بدون نام)",VLOOKUP(INDEX(PkPartyA,507),AcctTblA,4,0)),"—"))</f>
        <v/>
      </c>
      <c r="C531" s="18">
        <f>IF($B531="","",IF(507&gt;NPartyA,"",INDEX(PkPartyA,507)))</f>
        <v/>
      </c>
      <c r="D531" s="17">
        <f>IF($B531="","","p")</f>
        <v/>
      </c>
      <c r="E531" s="19">
        <f>IF($B531="","",IF(507&gt;NPartyA,0,SUMIF(CalcDebit,INDEX(PkPartyA,507),CalcAmt)+SUMIF(CalcDebit2,INDEX(PkPartyA,507),CalcAmt2)+SUMIF(CalcDebit3,INDEX(PkPartyA,507),CalcAmt3)))</f>
        <v/>
      </c>
      <c r="F531" s="19">
        <f>IF($B531="","",IF(507&gt;NPartyA,0,SUMIF(CalcCredit,INDEX(PkPartyA,507),CalcAmt)+SUMIF(CalcCredit2,INDEX(PkPartyA,507),CalcAmt2)+SUMIF(CalcCredit3,INDEX(PkPartyA,507),CalcAmt3)))</f>
        <v/>
      </c>
      <c r="G531" s="20">
        <f>IF($B531="","",ROUND($E531-$F531,0))</f>
        <v/>
      </c>
      <c r="H531" s="17">
        <f>IF($B531="","",IF(ROUND($G531,0)&gt;0,"بدهکار",IF(ROUND($G531,0)&lt;0,"بستانکار","تسویه")))</f>
        <v/>
      </c>
    </row>
    <row r="532">
      <c r="A532" s="11">
        <f>IF($B532="","",523)</f>
        <v/>
      </c>
      <c r="B532" s="12">
        <f>IF(508&gt;NPartyA,"",IFERROR(IF(VLOOKUP(INDEX(PkPartyA,508),AcctTblA,4,0)="","(بدون نام)",VLOOKUP(INDEX(PkPartyA,508),AcctTblA,4,0)),"—"))</f>
        <v/>
      </c>
      <c r="C532" s="13">
        <f>IF($B532="","",IF(508&gt;NPartyA,"",INDEX(PkPartyA,508)))</f>
        <v/>
      </c>
      <c r="D532" s="12">
        <f>IF($B532="","","p")</f>
        <v/>
      </c>
      <c r="E532" s="14">
        <f>IF($B532="","",IF(508&gt;NPartyA,0,SUMIF(CalcDebit,INDEX(PkPartyA,508),CalcAmt)+SUMIF(CalcDebit2,INDEX(PkPartyA,508),CalcAmt2)+SUMIF(CalcDebit3,INDEX(PkPartyA,508),CalcAmt3)))</f>
        <v/>
      </c>
      <c r="F532" s="14">
        <f>IF($B532="","",IF(508&gt;NPartyA,0,SUMIF(CalcCredit,INDEX(PkPartyA,508),CalcAmt)+SUMIF(CalcCredit2,INDEX(PkPartyA,508),CalcAmt2)+SUMIF(CalcCredit3,INDEX(PkPartyA,508),CalcAmt3)))</f>
        <v/>
      </c>
      <c r="G532" s="15">
        <f>IF($B532="","",ROUND($E532-$F532,0))</f>
        <v/>
      </c>
      <c r="H532" s="12">
        <f>IF($B532="","",IF(ROUND($G532,0)&gt;0,"بدهکار",IF(ROUND($G532,0)&lt;0,"بستانکار","تسویه")))</f>
        <v/>
      </c>
    </row>
    <row r="533">
      <c r="A533" s="16">
        <f>IF($B533="","",524)</f>
        <v/>
      </c>
      <c r="B533" s="17">
        <f>IF(509&gt;NPartyA,"",IFERROR(IF(VLOOKUP(INDEX(PkPartyA,509),AcctTblA,4,0)="","(بدون نام)",VLOOKUP(INDEX(PkPartyA,509),AcctTblA,4,0)),"—"))</f>
        <v/>
      </c>
      <c r="C533" s="18">
        <f>IF($B533="","",IF(509&gt;NPartyA,"",INDEX(PkPartyA,509)))</f>
        <v/>
      </c>
      <c r="D533" s="17">
        <f>IF($B533="","","p")</f>
        <v/>
      </c>
      <c r="E533" s="19">
        <f>IF($B533="","",IF(509&gt;NPartyA,0,SUMIF(CalcDebit,INDEX(PkPartyA,509),CalcAmt)+SUMIF(CalcDebit2,INDEX(PkPartyA,509),CalcAmt2)+SUMIF(CalcDebit3,INDEX(PkPartyA,509),CalcAmt3)))</f>
        <v/>
      </c>
      <c r="F533" s="19">
        <f>IF($B533="","",IF(509&gt;NPartyA,0,SUMIF(CalcCredit,INDEX(PkPartyA,509),CalcAmt)+SUMIF(CalcCredit2,INDEX(PkPartyA,509),CalcAmt2)+SUMIF(CalcCredit3,INDEX(PkPartyA,509),CalcAmt3)))</f>
        <v/>
      </c>
      <c r="G533" s="20">
        <f>IF($B533="","",ROUND($E533-$F533,0))</f>
        <v/>
      </c>
      <c r="H533" s="17">
        <f>IF($B533="","",IF(ROUND($G533,0)&gt;0,"بدهکار",IF(ROUND($G533,0)&lt;0,"بستانکار","تسویه")))</f>
        <v/>
      </c>
    </row>
    <row r="534">
      <c r="A534" s="11">
        <f>IF($B534="","",525)</f>
        <v/>
      </c>
      <c r="B534" s="12">
        <f>IF(510&gt;NPartyA,"",IFERROR(IF(VLOOKUP(INDEX(PkPartyA,510),AcctTblA,4,0)="","(بدون نام)",VLOOKUP(INDEX(PkPartyA,510),AcctTblA,4,0)),"—"))</f>
        <v/>
      </c>
      <c r="C534" s="13">
        <f>IF($B534="","",IF(510&gt;NPartyA,"",INDEX(PkPartyA,510)))</f>
        <v/>
      </c>
      <c r="D534" s="12">
        <f>IF($B534="","","p")</f>
        <v/>
      </c>
      <c r="E534" s="14">
        <f>IF($B534="","",IF(510&gt;NPartyA,0,SUMIF(CalcDebit,INDEX(PkPartyA,510),CalcAmt)+SUMIF(CalcDebit2,INDEX(PkPartyA,510),CalcAmt2)+SUMIF(CalcDebit3,INDEX(PkPartyA,510),CalcAmt3)))</f>
        <v/>
      </c>
      <c r="F534" s="14">
        <f>IF($B534="","",IF(510&gt;NPartyA,0,SUMIF(CalcCredit,INDEX(PkPartyA,510),CalcAmt)+SUMIF(CalcCredit2,INDEX(PkPartyA,510),CalcAmt2)+SUMIF(CalcCredit3,INDEX(PkPartyA,510),CalcAmt3)))</f>
        <v/>
      </c>
      <c r="G534" s="15">
        <f>IF($B534="","",ROUND($E534-$F534,0))</f>
        <v/>
      </c>
      <c r="H534" s="12">
        <f>IF($B534="","",IF(ROUND($G534,0)&gt;0,"بدهکار",IF(ROUND($G534,0)&lt;0,"بستانکار","تسویه")))</f>
        <v/>
      </c>
    </row>
    <row r="535">
      <c r="A535" s="16">
        <f>IF($B535="","",526)</f>
        <v/>
      </c>
      <c r="B535" s="17">
        <f>IF(511&gt;NPartyA,"",IFERROR(IF(VLOOKUP(INDEX(PkPartyA,511),AcctTblA,4,0)="","(بدون نام)",VLOOKUP(INDEX(PkPartyA,511),AcctTblA,4,0)),"—"))</f>
        <v/>
      </c>
      <c r="C535" s="18">
        <f>IF($B535="","",IF(511&gt;NPartyA,"",INDEX(PkPartyA,511)))</f>
        <v/>
      </c>
      <c r="D535" s="17">
        <f>IF($B535="","","p")</f>
        <v/>
      </c>
      <c r="E535" s="19">
        <f>IF($B535="","",IF(511&gt;NPartyA,0,SUMIF(CalcDebit,INDEX(PkPartyA,511),CalcAmt)+SUMIF(CalcDebit2,INDEX(PkPartyA,511),CalcAmt2)+SUMIF(CalcDebit3,INDEX(PkPartyA,511),CalcAmt3)))</f>
        <v/>
      </c>
      <c r="F535" s="19">
        <f>IF($B535="","",IF(511&gt;NPartyA,0,SUMIF(CalcCredit,INDEX(PkPartyA,511),CalcAmt)+SUMIF(CalcCredit2,INDEX(PkPartyA,511),CalcAmt2)+SUMIF(CalcCredit3,INDEX(PkPartyA,511),CalcAmt3)))</f>
        <v/>
      </c>
      <c r="G535" s="20">
        <f>IF($B535="","",ROUND($E535-$F535,0))</f>
        <v/>
      </c>
      <c r="H535" s="17">
        <f>IF($B535="","",IF(ROUND($G535,0)&gt;0,"بدهکار",IF(ROUND($G535,0)&lt;0,"بستانکار","تسویه")))</f>
        <v/>
      </c>
    </row>
    <row r="536">
      <c r="A536" s="11">
        <f>IF($B536="","",527)</f>
        <v/>
      </c>
      <c r="B536" s="12">
        <f>IF(512&gt;NPartyA,"",IFERROR(IF(VLOOKUP(INDEX(PkPartyA,512),AcctTblA,4,0)="","(بدون نام)",VLOOKUP(INDEX(PkPartyA,512),AcctTblA,4,0)),"—"))</f>
        <v/>
      </c>
      <c r="C536" s="13">
        <f>IF($B536="","",IF(512&gt;NPartyA,"",INDEX(PkPartyA,512)))</f>
        <v/>
      </c>
      <c r="D536" s="12">
        <f>IF($B536="","","p")</f>
        <v/>
      </c>
      <c r="E536" s="14">
        <f>IF($B536="","",IF(512&gt;NPartyA,0,SUMIF(CalcDebit,INDEX(PkPartyA,512),CalcAmt)+SUMIF(CalcDebit2,INDEX(PkPartyA,512),CalcAmt2)+SUMIF(CalcDebit3,INDEX(PkPartyA,512),CalcAmt3)))</f>
        <v/>
      </c>
      <c r="F536" s="14">
        <f>IF($B536="","",IF(512&gt;NPartyA,0,SUMIF(CalcCredit,INDEX(PkPartyA,512),CalcAmt)+SUMIF(CalcCredit2,INDEX(PkPartyA,512),CalcAmt2)+SUMIF(CalcCredit3,INDEX(PkPartyA,512),CalcAmt3)))</f>
        <v/>
      </c>
      <c r="G536" s="15">
        <f>IF($B536="","",ROUND($E536-$F536,0))</f>
        <v/>
      </c>
      <c r="H536" s="12">
        <f>IF($B536="","",IF(ROUND($G536,0)&gt;0,"بدهکار",IF(ROUND($G536,0)&lt;0,"بستانکار","تسویه")))</f>
        <v/>
      </c>
    </row>
    <row r="537">
      <c r="A537" s="16">
        <f>IF($B537="","",528)</f>
        <v/>
      </c>
      <c r="B537" s="17">
        <f>IF(513&gt;NPartyA,"",IFERROR(IF(VLOOKUP(INDEX(PkPartyA,513),AcctTblA,4,0)="","(بدون نام)",VLOOKUP(INDEX(PkPartyA,513),AcctTblA,4,0)),"—"))</f>
        <v/>
      </c>
      <c r="C537" s="18">
        <f>IF($B537="","",IF(513&gt;NPartyA,"",INDEX(PkPartyA,513)))</f>
        <v/>
      </c>
      <c r="D537" s="17">
        <f>IF($B537="","","p")</f>
        <v/>
      </c>
      <c r="E537" s="19">
        <f>IF($B537="","",IF(513&gt;NPartyA,0,SUMIF(CalcDebit,INDEX(PkPartyA,513),CalcAmt)+SUMIF(CalcDebit2,INDEX(PkPartyA,513),CalcAmt2)+SUMIF(CalcDebit3,INDEX(PkPartyA,513),CalcAmt3)))</f>
        <v/>
      </c>
      <c r="F537" s="19">
        <f>IF($B537="","",IF(513&gt;NPartyA,0,SUMIF(CalcCredit,INDEX(PkPartyA,513),CalcAmt)+SUMIF(CalcCredit2,INDEX(PkPartyA,513),CalcAmt2)+SUMIF(CalcCredit3,INDEX(PkPartyA,513),CalcAmt3)))</f>
        <v/>
      </c>
      <c r="G537" s="20">
        <f>IF($B537="","",ROUND($E537-$F537,0))</f>
        <v/>
      </c>
      <c r="H537" s="17">
        <f>IF($B537="","",IF(ROUND($G537,0)&gt;0,"بدهکار",IF(ROUND($G537,0)&lt;0,"بستانکار","تسویه")))</f>
        <v/>
      </c>
    </row>
    <row r="538">
      <c r="A538" s="11">
        <f>IF($B538="","",529)</f>
        <v/>
      </c>
      <c r="B538" s="12">
        <f>IF(514&gt;NPartyA,"",IFERROR(IF(VLOOKUP(INDEX(PkPartyA,514),AcctTblA,4,0)="","(بدون نام)",VLOOKUP(INDEX(PkPartyA,514),AcctTblA,4,0)),"—"))</f>
        <v/>
      </c>
      <c r="C538" s="13">
        <f>IF($B538="","",IF(514&gt;NPartyA,"",INDEX(PkPartyA,514)))</f>
        <v/>
      </c>
      <c r="D538" s="12">
        <f>IF($B538="","","p")</f>
        <v/>
      </c>
      <c r="E538" s="14">
        <f>IF($B538="","",IF(514&gt;NPartyA,0,SUMIF(CalcDebit,INDEX(PkPartyA,514),CalcAmt)+SUMIF(CalcDebit2,INDEX(PkPartyA,514),CalcAmt2)+SUMIF(CalcDebit3,INDEX(PkPartyA,514),CalcAmt3)))</f>
        <v/>
      </c>
      <c r="F538" s="14">
        <f>IF($B538="","",IF(514&gt;NPartyA,0,SUMIF(CalcCredit,INDEX(PkPartyA,514),CalcAmt)+SUMIF(CalcCredit2,INDEX(PkPartyA,514),CalcAmt2)+SUMIF(CalcCredit3,INDEX(PkPartyA,514),CalcAmt3)))</f>
        <v/>
      </c>
      <c r="G538" s="15">
        <f>IF($B538="","",ROUND($E538-$F538,0))</f>
        <v/>
      </c>
      <c r="H538" s="12">
        <f>IF($B538="","",IF(ROUND($G538,0)&gt;0,"بدهکار",IF(ROUND($G538,0)&lt;0,"بستانکار","تسویه")))</f>
        <v/>
      </c>
    </row>
    <row r="539">
      <c r="A539" s="16">
        <f>IF($B539="","",530)</f>
        <v/>
      </c>
      <c r="B539" s="17">
        <f>IF(515&gt;NPartyA,"",IFERROR(IF(VLOOKUP(INDEX(PkPartyA,515),AcctTblA,4,0)="","(بدون نام)",VLOOKUP(INDEX(PkPartyA,515),AcctTblA,4,0)),"—"))</f>
        <v/>
      </c>
      <c r="C539" s="18">
        <f>IF($B539="","",IF(515&gt;NPartyA,"",INDEX(PkPartyA,515)))</f>
        <v/>
      </c>
      <c r="D539" s="17">
        <f>IF($B539="","","p")</f>
        <v/>
      </c>
      <c r="E539" s="19">
        <f>IF($B539="","",IF(515&gt;NPartyA,0,SUMIF(CalcDebit,INDEX(PkPartyA,515),CalcAmt)+SUMIF(CalcDebit2,INDEX(PkPartyA,515),CalcAmt2)+SUMIF(CalcDebit3,INDEX(PkPartyA,515),CalcAmt3)))</f>
        <v/>
      </c>
      <c r="F539" s="19">
        <f>IF($B539="","",IF(515&gt;NPartyA,0,SUMIF(CalcCredit,INDEX(PkPartyA,515),CalcAmt)+SUMIF(CalcCredit2,INDEX(PkPartyA,515),CalcAmt2)+SUMIF(CalcCredit3,INDEX(PkPartyA,515),CalcAmt3)))</f>
        <v/>
      </c>
      <c r="G539" s="20">
        <f>IF($B539="","",ROUND($E539-$F539,0))</f>
        <v/>
      </c>
      <c r="H539" s="17">
        <f>IF($B539="","",IF(ROUND($G539,0)&gt;0,"بدهکار",IF(ROUND($G539,0)&lt;0,"بستانکار","تسویه")))</f>
        <v/>
      </c>
    </row>
    <row r="540">
      <c r="A540" s="11">
        <f>IF($B540="","",531)</f>
        <v/>
      </c>
      <c r="B540" s="12">
        <f>IF(516&gt;NPartyA,"",IFERROR(IF(VLOOKUP(INDEX(PkPartyA,516),AcctTblA,4,0)="","(بدون نام)",VLOOKUP(INDEX(PkPartyA,516),AcctTblA,4,0)),"—"))</f>
        <v/>
      </c>
      <c r="C540" s="13">
        <f>IF($B540="","",IF(516&gt;NPartyA,"",INDEX(PkPartyA,516)))</f>
        <v/>
      </c>
      <c r="D540" s="12">
        <f>IF($B540="","","p")</f>
        <v/>
      </c>
      <c r="E540" s="14">
        <f>IF($B540="","",IF(516&gt;NPartyA,0,SUMIF(CalcDebit,INDEX(PkPartyA,516),CalcAmt)+SUMIF(CalcDebit2,INDEX(PkPartyA,516),CalcAmt2)+SUMIF(CalcDebit3,INDEX(PkPartyA,516),CalcAmt3)))</f>
        <v/>
      </c>
      <c r="F540" s="14">
        <f>IF($B540="","",IF(516&gt;NPartyA,0,SUMIF(CalcCredit,INDEX(PkPartyA,516),CalcAmt)+SUMIF(CalcCredit2,INDEX(PkPartyA,516),CalcAmt2)+SUMIF(CalcCredit3,INDEX(PkPartyA,516),CalcAmt3)))</f>
        <v/>
      </c>
      <c r="G540" s="15">
        <f>IF($B540="","",ROUND($E540-$F540,0))</f>
        <v/>
      </c>
      <c r="H540" s="12">
        <f>IF($B540="","",IF(ROUND($G540,0)&gt;0,"بدهکار",IF(ROUND($G540,0)&lt;0,"بستانکار","تسویه")))</f>
        <v/>
      </c>
    </row>
    <row r="541">
      <c r="A541" s="16">
        <f>IF($B541="","",532)</f>
        <v/>
      </c>
      <c r="B541" s="17">
        <f>IF(517&gt;NPartyA,"",IFERROR(IF(VLOOKUP(INDEX(PkPartyA,517),AcctTblA,4,0)="","(بدون نام)",VLOOKUP(INDEX(PkPartyA,517),AcctTblA,4,0)),"—"))</f>
        <v/>
      </c>
      <c r="C541" s="18">
        <f>IF($B541="","",IF(517&gt;NPartyA,"",INDEX(PkPartyA,517)))</f>
        <v/>
      </c>
      <c r="D541" s="17">
        <f>IF($B541="","","p")</f>
        <v/>
      </c>
      <c r="E541" s="19">
        <f>IF($B541="","",IF(517&gt;NPartyA,0,SUMIF(CalcDebit,INDEX(PkPartyA,517),CalcAmt)+SUMIF(CalcDebit2,INDEX(PkPartyA,517),CalcAmt2)+SUMIF(CalcDebit3,INDEX(PkPartyA,517),CalcAmt3)))</f>
        <v/>
      </c>
      <c r="F541" s="19">
        <f>IF($B541="","",IF(517&gt;NPartyA,0,SUMIF(CalcCredit,INDEX(PkPartyA,517),CalcAmt)+SUMIF(CalcCredit2,INDEX(PkPartyA,517),CalcAmt2)+SUMIF(CalcCredit3,INDEX(PkPartyA,517),CalcAmt3)))</f>
        <v/>
      </c>
      <c r="G541" s="20">
        <f>IF($B541="","",ROUND($E541-$F541,0))</f>
        <v/>
      </c>
      <c r="H541" s="17">
        <f>IF($B541="","",IF(ROUND($G541,0)&gt;0,"بدهکار",IF(ROUND($G541,0)&lt;0,"بستانکار","تسویه")))</f>
        <v/>
      </c>
    </row>
    <row r="542">
      <c r="A542" s="11">
        <f>IF($B542="","",533)</f>
        <v/>
      </c>
      <c r="B542" s="12">
        <f>IF(518&gt;NPartyA,"",IFERROR(IF(VLOOKUP(INDEX(PkPartyA,518),AcctTblA,4,0)="","(بدون نام)",VLOOKUP(INDEX(PkPartyA,518),AcctTblA,4,0)),"—"))</f>
        <v/>
      </c>
      <c r="C542" s="13">
        <f>IF($B542="","",IF(518&gt;NPartyA,"",INDEX(PkPartyA,518)))</f>
        <v/>
      </c>
      <c r="D542" s="12">
        <f>IF($B542="","","p")</f>
        <v/>
      </c>
      <c r="E542" s="14">
        <f>IF($B542="","",IF(518&gt;NPartyA,0,SUMIF(CalcDebit,INDEX(PkPartyA,518),CalcAmt)+SUMIF(CalcDebit2,INDEX(PkPartyA,518),CalcAmt2)+SUMIF(CalcDebit3,INDEX(PkPartyA,518),CalcAmt3)))</f>
        <v/>
      </c>
      <c r="F542" s="14">
        <f>IF($B542="","",IF(518&gt;NPartyA,0,SUMIF(CalcCredit,INDEX(PkPartyA,518),CalcAmt)+SUMIF(CalcCredit2,INDEX(PkPartyA,518),CalcAmt2)+SUMIF(CalcCredit3,INDEX(PkPartyA,518),CalcAmt3)))</f>
        <v/>
      </c>
      <c r="G542" s="15">
        <f>IF($B542="","",ROUND($E542-$F542,0))</f>
        <v/>
      </c>
      <c r="H542" s="12">
        <f>IF($B542="","",IF(ROUND($G542,0)&gt;0,"بدهکار",IF(ROUND($G542,0)&lt;0,"بستانکار","تسویه")))</f>
        <v/>
      </c>
    </row>
    <row r="543">
      <c r="A543" s="16">
        <f>IF($B543="","",534)</f>
        <v/>
      </c>
      <c r="B543" s="17">
        <f>IF(519&gt;NPartyA,"",IFERROR(IF(VLOOKUP(INDEX(PkPartyA,519),AcctTblA,4,0)="","(بدون نام)",VLOOKUP(INDEX(PkPartyA,519),AcctTblA,4,0)),"—"))</f>
        <v/>
      </c>
      <c r="C543" s="18">
        <f>IF($B543="","",IF(519&gt;NPartyA,"",INDEX(PkPartyA,519)))</f>
        <v/>
      </c>
      <c r="D543" s="17">
        <f>IF($B543="","","p")</f>
        <v/>
      </c>
      <c r="E543" s="19">
        <f>IF($B543="","",IF(519&gt;NPartyA,0,SUMIF(CalcDebit,INDEX(PkPartyA,519),CalcAmt)+SUMIF(CalcDebit2,INDEX(PkPartyA,519),CalcAmt2)+SUMIF(CalcDebit3,INDEX(PkPartyA,519),CalcAmt3)))</f>
        <v/>
      </c>
      <c r="F543" s="19">
        <f>IF($B543="","",IF(519&gt;NPartyA,0,SUMIF(CalcCredit,INDEX(PkPartyA,519),CalcAmt)+SUMIF(CalcCredit2,INDEX(PkPartyA,519),CalcAmt2)+SUMIF(CalcCredit3,INDEX(PkPartyA,519),CalcAmt3)))</f>
        <v/>
      </c>
      <c r="G543" s="20">
        <f>IF($B543="","",ROUND($E543-$F543,0))</f>
        <v/>
      </c>
      <c r="H543" s="17">
        <f>IF($B543="","",IF(ROUND($G543,0)&gt;0,"بدهکار",IF(ROUND($G543,0)&lt;0,"بستانکار","تسویه")))</f>
        <v/>
      </c>
    </row>
    <row r="544">
      <c r="A544" s="11">
        <f>IF($B544="","",535)</f>
        <v/>
      </c>
      <c r="B544" s="12">
        <f>IF(520&gt;NPartyA,"",IFERROR(IF(VLOOKUP(INDEX(PkPartyA,520),AcctTblA,4,0)="","(بدون نام)",VLOOKUP(INDEX(PkPartyA,520),AcctTblA,4,0)),"—"))</f>
        <v/>
      </c>
      <c r="C544" s="13">
        <f>IF($B544="","",IF(520&gt;NPartyA,"",INDEX(PkPartyA,520)))</f>
        <v/>
      </c>
      <c r="D544" s="12">
        <f>IF($B544="","","p")</f>
        <v/>
      </c>
      <c r="E544" s="14">
        <f>IF($B544="","",IF(520&gt;NPartyA,0,SUMIF(CalcDebit,INDEX(PkPartyA,520),CalcAmt)+SUMIF(CalcDebit2,INDEX(PkPartyA,520),CalcAmt2)+SUMIF(CalcDebit3,INDEX(PkPartyA,520),CalcAmt3)))</f>
        <v/>
      </c>
      <c r="F544" s="14">
        <f>IF($B544="","",IF(520&gt;NPartyA,0,SUMIF(CalcCredit,INDEX(PkPartyA,520),CalcAmt)+SUMIF(CalcCredit2,INDEX(PkPartyA,520),CalcAmt2)+SUMIF(CalcCredit3,INDEX(PkPartyA,520),CalcAmt3)))</f>
        <v/>
      </c>
      <c r="G544" s="15">
        <f>IF($B544="","",ROUND($E544-$F544,0))</f>
        <v/>
      </c>
      <c r="H544" s="12">
        <f>IF($B544="","",IF(ROUND($G544,0)&gt;0,"بدهکار",IF(ROUND($G544,0)&lt;0,"بستانکار","تسویه")))</f>
        <v/>
      </c>
    </row>
    <row r="545">
      <c r="A545" s="16">
        <f>IF($B545="","",536)</f>
        <v/>
      </c>
      <c r="B545" s="17">
        <f>IF(521&gt;NPartyA,"",IFERROR(IF(VLOOKUP(INDEX(PkPartyA,521),AcctTblA,4,0)="","(بدون نام)",VLOOKUP(INDEX(PkPartyA,521),AcctTblA,4,0)),"—"))</f>
        <v/>
      </c>
      <c r="C545" s="18">
        <f>IF($B545="","",IF(521&gt;NPartyA,"",INDEX(PkPartyA,521)))</f>
        <v/>
      </c>
      <c r="D545" s="17">
        <f>IF($B545="","","p")</f>
        <v/>
      </c>
      <c r="E545" s="19">
        <f>IF($B545="","",IF(521&gt;NPartyA,0,SUMIF(CalcDebit,INDEX(PkPartyA,521),CalcAmt)+SUMIF(CalcDebit2,INDEX(PkPartyA,521),CalcAmt2)+SUMIF(CalcDebit3,INDEX(PkPartyA,521),CalcAmt3)))</f>
        <v/>
      </c>
      <c r="F545" s="19">
        <f>IF($B545="","",IF(521&gt;NPartyA,0,SUMIF(CalcCredit,INDEX(PkPartyA,521),CalcAmt)+SUMIF(CalcCredit2,INDEX(PkPartyA,521),CalcAmt2)+SUMIF(CalcCredit3,INDEX(PkPartyA,521),CalcAmt3)))</f>
        <v/>
      </c>
      <c r="G545" s="20">
        <f>IF($B545="","",ROUND($E545-$F545,0))</f>
        <v/>
      </c>
      <c r="H545" s="17">
        <f>IF($B545="","",IF(ROUND($G545,0)&gt;0,"بدهکار",IF(ROUND($G545,0)&lt;0,"بستانکار","تسویه")))</f>
        <v/>
      </c>
    </row>
    <row r="546">
      <c r="A546" s="11">
        <f>IF($B546="","",537)</f>
        <v/>
      </c>
      <c r="B546" s="12">
        <f>IF(522&gt;NPartyA,"",IFERROR(IF(VLOOKUP(INDEX(PkPartyA,522),AcctTblA,4,0)="","(بدون نام)",VLOOKUP(INDEX(PkPartyA,522),AcctTblA,4,0)),"—"))</f>
        <v/>
      </c>
      <c r="C546" s="13">
        <f>IF($B546="","",IF(522&gt;NPartyA,"",INDEX(PkPartyA,522)))</f>
        <v/>
      </c>
      <c r="D546" s="12">
        <f>IF($B546="","","p")</f>
        <v/>
      </c>
      <c r="E546" s="14">
        <f>IF($B546="","",IF(522&gt;NPartyA,0,SUMIF(CalcDebit,INDEX(PkPartyA,522),CalcAmt)+SUMIF(CalcDebit2,INDEX(PkPartyA,522),CalcAmt2)+SUMIF(CalcDebit3,INDEX(PkPartyA,522),CalcAmt3)))</f>
        <v/>
      </c>
      <c r="F546" s="14">
        <f>IF($B546="","",IF(522&gt;NPartyA,0,SUMIF(CalcCredit,INDEX(PkPartyA,522),CalcAmt)+SUMIF(CalcCredit2,INDEX(PkPartyA,522),CalcAmt2)+SUMIF(CalcCredit3,INDEX(PkPartyA,522),CalcAmt3)))</f>
        <v/>
      </c>
      <c r="G546" s="15">
        <f>IF($B546="","",ROUND($E546-$F546,0))</f>
        <v/>
      </c>
      <c r="H546" s="12">
        <f>IF($B546="","",IF(ROUND($G546,0)&gt;0,"بدهکار",IF(ROUND($G546,0)&lt;0,"بستانکار","تسویه")))</f>
        <v/>
      </c>
    </row>
    <row r="547">
      <c r="A547" s="16">
        <f>IF($B547="","",538)</f>
        <v/>
      </c>
      <c r="B547" s="17">
        <f>IF(523&gt;NPartyA,"",IFERROR(IF(VLOOKUP(INDEX(PkPartyA,523),AcctTblA,4,0)="","(بدون نام)",VLOOKUP(INDEX(PkPartyA,523),AcctTblA,4,0)),"—"))</f>
        <v/>
      </c>
      <c r="C547" s="18">
        <f>IF($B547="","",IF(523&gt;NPartyA,"",INDEX(PkPartyA,523)))</f>
        <v/>
      </c>
      <c r="D547" s="17">
        <f>IF($B547="","","p")</f>
        <v/>
      </c>
      <c r="E547" s="19">
        <f>IF($B547="","",IF(523&gt;NPartyA,0,SUMIF(CalcDebit,INDEX(PkPartyA,523),CalcAmt)+SUMIF(CalcDebit2,INDEX(PkPartyA,523),CalcAmt2)+SUMIF(CalcDebit3,INDEX(PkPartyA,523),CalcAmt3)))</f>
        <v/>
      </c>
      <c r="F547" s="19">
        <f>IF($B547="","",IF(523&gt;NPartyA,0,SUMIF(CalcCredit,INDEX(PkPartyA,523),CalcAmt)+SUMIF(CalcCredit2,INDEX(PkPartyA,523),CalcAmt2)+SUMIF(CalcCredit3,INDEX(PkPartyA,523),CalcAmt3)))</f>
        <v/>
      </c>
      <c r="G547" s="20">
        <f>IF($B547="","",ROUND($E547-$F547,0))</f>
        <v/>
      </c>
      <c r="H547" s="17">
        <f>IF($B547="","",IF(ROUND($G547,0)&gt;0,"بدهکار",IF(ROUND($G547,0)&lt;0,"بستانکار","تسویه")))</f>
        <v/>
      </c>
    </row>
    <row r="548">
      <c r="A548" s="11">
        <f>IF($B548="","",539)</f>
        <v/>
      </c>
      <c r="B548" s="12">
        <f>IF(524&gt;NPartyA,"",IFERROR(IF(VLOOKUP(INDEX(PkPartyA,524),AcctTblA,4,0)="","(بدون نام)",VLOOKUP(INDEX(PkPartyA,524),AcctTblA,4,0)),"—"))</f>
        <v/>
      </c>
      <c r="C548" s="13">
        <f>IF($B548="","",IF(524&gt;NPartyA,"",INDEX(PkPartyA,524)))</f>
        <v/>
      </c>
      <c r="D548" s="12">
        <f>IF($B548="","","p")</f>
        <v/>
      </c>
      <c r="E548" s="14">
        <f>IF($B548="","",IF(524&gt;NPartyA,0,SUMIF(CalcDebit,INDEX(PkPartyA,524),CalcAmt)+SUMIF(CalcDebit2,INDEX(PkPartyA,524),CalcAmt2)+SUMIF(CalcDebit3,INDEX(PkPartyA,524),CalcAmt3)))</f>
        <v/>
      </c>
      <c r="F548" s="14">
        <f>IF($B548="","",IF(524&gt;NPartyA,0,SUMIF(CalcCredit,INDEX(PkPartyA,524),CalcAmt)+SUMIF(CalcCredit2,INDEX(PkPartyA,524),CalcAmt2)+SUMIF(CalcCredit3,INDEX(PkPartyA,524),CalcAmt3)))</f>
        <v/>
      </c>
      <c r="G548" s="15">
        <f>IF($B548="","",ROUND($E548-$F548,0))</f>
        <v/>
      </c>
      <c r="H548" s="12">
        <f>IF($B548="","",IF(ROUND($G548,0)&gt;0,"بدهکار",IF(ROUND($G548,0)&lt;0,"بستانکار","تسویه")))</f>
        <v/>
      </c>
    </row>
    <row r="549">
      <c r="A549" s="16">
        <f>IF($B549="","",540)</f>
        <v/>
      </c>
      <c r="B549" s="17">
        <f>IF(525&gt;NPartyA,"",IFERROR(IF(VLOOKUP(INDEX(PkPartyA,525),AcctTblA,4,0)="","(بدون نام)",VLOOKUP(INDEX(PkPartyA,525),AcctTblA,4,0)),"—"))</f>
        <v/>
      </c>
      <c r="C549" s="18">
        <f>IF($B549="","",IF(525&gt;NPartyA,"",INDEX(PkPartyA,525)))</f>
        <v/>
      </c>
      <c r="D549" s="17">
        <f>IF($B549="","","p")</f>
        <v/>
      </c>
      <c r="E549" s="19">
        <f>IF($B549="","",IF(525&gt;NPartyA,0,SUMIF(CalcDebit,INDEX(PkPartyA,525),CalcAmt)+SUMIF(CalcDebit2,INDEX(PkPartyA,525),CalcAmt2)+SUMIF(CalcDebit3,INDEX(PkPartyA,525),CalcAmt3)))</f>
        <v/>
      </c>
      <c r="F549" s="19">
        <f>IF($B549="","",IF(525&gt;NPartyA,0,SUMIF(CalcCredit,INDEX(PkPartyA,525),CalcAmt)+SUMIF(CalcCredit2,INDEX(PkPartyA,525),CalcAmt2)+SUMIF(CalcCredit3,INDEX(PkPartyA,525),CalcAmt3)))</f>
        <v/>
      </c>
      <c r="G549" s="20">
        <f>IF($B549="","",ROUND($E549-$F549,0))</f>
        <v/>
      </c>
      <c r="H549" s="17">
        <f>IF($B549="","",IF(ROUND($G549,0)&gt;0,"بدهکار",IF(ROUND($G549,0)&lt;0,"بستانکار","تسویه")))</f>
        <v/>
      </c>
    </row>
    <row r="550">
      <c r="A550" s="11">
        <f>IF($B550="","",541)</f>
        <v/>
      </c>
      <c r="B550" s="12">
        <f>IF(526&gt;NPartyA,"",IFERROR(IF(VLOOKUP(INDEX(PkPartyA,526),AcctTblA,4,0)="","(بدون نام)",VLOOKUP(INDEX(PkPartyA,526),AcctTblA,4,0)),"—"))</f>
        <v/>
      </c>
      <c r="C550" s="13">
        <f>IF($B550="","",IF(526&gt;NPartyA,"",INDEX(PkPartyA,526)))</f>
        <v/>
      </c>
      <c r="D550" s="12">
        <f>IF($B550="","","p")</f>
        <v/>
      </c>
      <c r="E550" s="14">
        <f>IF($B550="","",IF(526&gt;NPartyA,0,SUMIF(CalcDebit,INDEX(PkPartyA,526),CalcAmt)+SUMIF(CalcDebit2,INDEX(PkPartyA,526),CalcAmt2)+SUMIF(CalcDebit3,INDEX(PkPartyA,526),CalcAmt3)))</f>
        <v/>
      </c>
      <c r="F550" s="14">
        <f>IF($B550="","",IF(526&gt;NPartyA,0,SUMIF(CalcCredit,INDEX(PkPartyA,526),CalcAmt)+SUMIF(CalcCredit2,INDEX(PkPartyA,526),CalcAmt2)+SUMIF(CalcCredit3,INDEX(PkPartyA,526),CalcAmt3)))</f>
        <v/>
      </c>
      <c r="G550" s="15">
        <f>IF($B550="","",ROUND($E550-$F550,0))</f>
        <v/>
      </c>
      <c r="H550" s="12">
        <f>IF($B550="","",IF(ROUND($G550,0)&gt;0,"بدهکار",IF(ROUND($G550,0)&lt;0,"بستانکار","تسویه")))</f>
        <v/>
      </c>
    </row>
    <row r="551">
      <c r="A551" s="16">
        <f>IF($B551="","",542)</f>
        <v/>
      </c>
      <c r="B551" s="17">
        <f>IF(527&gt;NPartyA,"",IFERROR(IF(VLOOKUP(INDEX(PkPartyA,527),AcctTblA,4,0)="","(بدون نام)",VLOOKUP(INDEX(PkPartyA,527),AcctTblA,4,0)),"—"))</f>
        <v/>
      </c>
      <c r="C551" s="18">
        <f>IF($B551="","",IF(527&gt;NPartyA,"",INDEX(PkPartyA,527)))</f>
        <v/>
      </c>
      <c r="D551" s="17">
        <f>IF($B551="","","p")</f>
        <v/>
      </c>
      <c r="E551" s="19">
        <f>IF($B551="","",IF(527&gt;NPartyA,0,SUMIF(CalcDebit,INDEX(PkPartyA,527),CalcAmt)+SUMIF(CalcDebit2,INDEX(PkPartyA,527),CalcAmt2)+SUMIF(CalcDebit3,INDEX(PkPartyA,527),CalcAmt3)))</f>
        <v/>
      </c>
      <c r="F551" s="19">
        <f>IF($B551="","",IF(527&gt;NPartyA,0,SUMIF(CalcCredit,INDEX(PkPartyA,527),CalcAmt)+SUMIF(CalcCredit2,INDEX(PkPartyA,527),CalcAmt2)+SUMIF(CalcCredit3,INDEX(PkPartyA,527),CalcAmt3)))</f>
        <v/>
      </c>
      <c r="G551" s="20">
        <f>IF($B551="","",ROUND($E551-$F551,0))</f>
        <v/>
      </c>
      <c r="H551" s="17">
        <f>IF($B551="","",IF(ROUND($G551,0)&gt;0,"بدهکار",IF(ROUND($G551,0)&lt;0,"بستانکار","تسویه")))</f>
        <v/>
      </c>
    </row>
    <row r="552">
      <c r="A552" s="11">
        <f>IF($B552="","",543)</f>
        <v/>
      </c>
      <c r="B552" s="12">
        <f>IF(528&gt;NPartyA,"",IFERROR(IF(VLOOKUP(INDEX(PkPartyA,528),AcctTblA,4,0)="","(بدون نام)",VLOOKUP(INDEX(PkPartyA,528),AcctTblA,4,0)),"—"))</f>
        <v/>
      </c>
      <c r="C552" s="13">
        <f>IF($B552="","",IF(528&gt;NPartyA,"",INDEX(PkPartyA,528)))</f>
        <v/>
      </c>
      <c r="D552" s="12">
        <f>IF($B552="","","p")</f>
        <v/>
      </c>
      <c r="E552" s="14">
        <f>IF($B552="","",IF(528&gt;NPartyA,0,SUMIF(CalcDebit,INDEX(PkPartyA,528),CalcAmt)+SUMIF(CalcDebit2,INDEX(PkPartyA,528),CalcAmt2)+SUMIF(CalcDebit3,INDEX(PkPartyA,528),CalcAmt3)))</f>
        <v/>
      </c>
      <c r="F552" s="14">
        <f>IF($B552="","",IF(528&gt;NPartyA,0,SUMIF(CalcCredit,INDEX(PkPartyA,528),CalcAmt)+SUMIF(CalcCredit2,INDEX(PkPartyA,528),CalcAmt2)+SUMIF(CalcCredit3,INDEX(PkPartyA,528),CalcAmt3)))</f>
        <v/>
      </c>
      <c r="G552" s="15">
        <f>IF($B552="","",ROUND($E552-$F552,0))</f>
        <v/>
      </c>
      <c r="H552" s="12">
        <f>IF($B552="","",IF(ROUND($G552,0)&gt;0,"بدهکار",IF(ROUND($G552,0)&lt;0,"بستانکار","تسویه")))</f>
        <v/>
      </c>
    </row>
    <row r="553">
      <c r="A553" s="16">
        <f>IF($B553="","",544)</f>
        <v/>
      </c>
      <c r="B553" s="17">
        <f>IF(529&gt;NPartyA,"",IFERROR(IF(VLOOKUP(INDEX(PkPartyA,529),AcctTblA,4,0)="","(بدون نام)",VLOOKUP(INDEX(PkPartyA,529),AcctTblA,4,0)),"—"))</f>
        <v/>
      </c>
      <c r="C553" s="18">
        <f>IF($B553="","",IF(529&gt;NPartyA,"",INDEX(PkPartyA,529)))</f>
        <v/>
      </c>
      <c r="D553" s="17">
        <f>IF($B553="","","p")</f>
        <v/>
      </c>
      <c r="E553" s="19">
        <f>IF($B553="","",IF(529&gt;NPartyA,0,SUMIF(CalcDebit,INDEX(PkPartyA,529),CalcAmt)+SUMIF(CalcDebit2,INDEX(PkPartyA,529),CalcAmt2)+SUMIF(CalcDebit3,INDEX(PkPartyA,529),CalcAmt3)))</f>
        <v/>
      </c>
      <c r="F553" s="19">
        <f>IF($B553="","",IF(529&gt;NPartyA,0,SUMIF(CalcCredit,INDEX(PkPartyA,529),CalcAmt)+SUMIF(CalcCredit2,INDEX(PkPartyA,529),CalcAmt2)+SUMIF(CalcCredit3,INDEX(PkPartyA,529),CalcAmt3)))</f>
        <v/>
      </c>
      <c r="G553" s="20">
        <f>IF($B553="","",ROUND($E553-$F553,0))</f>
        <v/>
      </c>
      <c r="H553" s="17">
        <f>IF($B553="","",IF(ROUND($G553,0)&gt;0,"بدهکار",IF(ROUND($G553,0)&lt;0,"بستانکار","تسویه")))</f>
        <v/>
      </c>
    </row>
    <row r="554">
      <c r="A554" s="11">
        <f>IF($B554="","",545)</f>
        <v/>
      </c>
      <c r="B554" s="12">
        <f>IF(530&gt;NPartyA,"",IFERROR(IF(VLOOKUP(INDEX(PkPartyA,530),AcctTblA,4,0)="","(بدون نام)",VLOOKUP(INDEX(PkPartyA,530),AcctTblA,4,0)),"—"))</f>
        <v/>
      </c>
      <c r="C554" s="13">
        <f>IF($B554="","",IF(530&gt;NPartyA,"",INDEX(PkPartyA,530)))</f>
        <v/>
      </c>
      <c r="D554" s="12">
        <f>IF($B554="","","p")</f>
        <v/>
      </c>
      <c r="E554" s="14">
        <f>IF($B554="","",IF(530&gt;NPartyA,0,SUMIF(CalcDebit,INDEX(PkPartyA,530),CalcAmt)+SUMIF(CalcDebit2,INDEX(PkPartyA,530),CalcAmt2)+SUMIF(CalcDebit3,INDEX(PkPartyA,530),CalcAmt3)))</f>
        <v/>
      </c>
      <c r="F554" s="14">
        <f>IF($B554="","",IF(530&gt;NPartyA,0,SUMIF(CalcCredit,INDEX(PkPartyA,530),CalcAmt)+SUMIF(CalcCredit2,INDEX(PkPartyA,530),CalcAmt2)+SUMIF(CalcCredit3,INDEX(PkPartyA,530),CalcAmt3)))</f>
        <v/>
      </c>
      <c r="G554" s="15">
        <f>IF($B554="","",ROUND($E554-$F554,0))</f>
        <v/>
      </c>
      <c r="H554" s="12">
        <f>IF($B554="","",IF(ROUND($G554,0)&gt;0,"بدهکار",IF(ROUND($G554,0)&lt;0,"بستانکار","تسویه")))</f>
        <v/>
      </c>
    </row>
    <row r="555">
      <c r="A555" s="16">
        <f>IF($B555="","",546)</f>
        <v/>
      </c>
      <c r="B555" s="17">
        <f>IF(531&gt;NPartyA,"",IFERROR(IF(VLOOKUP(INDEX(PkPartyA,531),AcctTblA,4,0)="","(بدون نام)",VLOOKUP(INDEX(PkPartyA,531),AcctTblA,4,0)),"—"))</f>
        <v/>
      </c>
      <c r="C555" s="18">
        <f>IF($B555="","",IF(531&gt;NPartyA,"",INDEX(PkPartyA,531)))</f>
        <v/>
      </c>
      <c r="D555" s="17">
        <f>IF($B555="","","p")</f>
        <v/>
      </c>
      <c r="E555" s="19">
        <f>IF($B555="","",IF(531&gt;NPartyA,0,SUMIF(CalcDebit,INDEX(PkPartyA,531),CalcAmt)+SUMIF(CalcDebit2,INDEX(PkPartyA,531),CalcAmt2)+SUMIF(CalcDebit3,INDEX(PkPartyA,531),CalcAmt3)))</f>
        <v/>
      </c>
      <c r="F555" s="19">
        <f>IF($B555="","",IF(531&gt;NPartyA,0,SUMIF(CalcCredit,INDEX(PkPartyA,531),CalcAmt)+SUMIF(CalcCredit2,INDEX(PkPartyA,531),CalcAmt2)+SUMIF(CalcCredit3,INDEX(PkPartyA,531),CalcAmt3)))</f>
        <v/>
      </c>
      <c r="G555" s="20">
        <f>IF($B555="","",ROUND($E555-$F555,0))</f>
        <v/>
      </c>
      <c r="H555" s="17">
        <f>IF($B555="","",IF(ROUND($G555,0)&gt;0,"بدهکار",IF(ROUND($G555,0)&lt;0,"بستانکار","تسویه")))</f>
        <v/>
      </c>
    </row>
    <row r="556">
      <c r="A556" s="11">
        <f>IF($B556="","",547)</f>
        <v/>
      </c>
      <c r="B556" s="12">
        <f>IF(532&gt;NPartyA,"",IFERROR(IF(VLOOKUP(INDEX(PkPartyA,532),AcctTblA,4,0)="","(بدون نام)",VLOOKUP(INDEX(PkPartyA,532),AcctTblA,4,0)),"—"))</f>
        <v/>
      </c>
      <c r="C556" s="13">
        <f>IF($B556="","",IF(532&gt;NPartyA,"",INDEX(PkPartyA,532)))</f>
        <v/>
      </c>
      <c r="D556" s="12">
        <f>IF($B556="","","p")</f>
        <v/>
      </c>
      <c r="E556" s="14">
        <f>IF($B556="","",IF(532&gt;NPartyA,0,SUMIF(CalcDebit,INDEX(PkPartyA,532),CalcAmt)+SUMIF(CalcDebit2,INDEX(PkPartyA,532),CalcAmt2)+SUMIF(CalcDebit3,INDEX(PkPartyA,532),CalcAmt3)))</f>
        <v/>
      </c>
      <c r="F556" s="14">
        <f>IF($B556="","",IF(532&gt;NPartyA,0,SUMIF(CalcCredit,INDEX(PkPartyA,532),CalcAmt)+SUMIF(CalcCredit2,INDEX(PkPartyA,532),CalcAmt2)+SUMIF(CalcCredit3,INDEX(PkPartyA,532),CalcAmt3)))</f>
        <v/>
      </c>
      <c r="G556" s="15">
        <f>IF($B556="","",ROUND($E556-$F556,0))</f>
        <v/>
      </c>
      <c r="H556" s="12">
        <f>IF($B556="","",IF(ROUND($G556,0)&gt;0,"بدهکار",IF(ROUND($G556,0)&lt;0,"بستانکار","تسویه")))</f>
        <v/>
      </c>
    </row>
    <row r="557">
      <c r="A557" s="16">
        <f>IF($B557="","",548)</f>
        <v/>
      </c>
      <c r="B557" s="17">
        <f>IF(533&gt;NPartyA,"",IFERROR(IF(VLOOKUP(INDEX(PkPartyA,533),AcctTblA,4,0)="","(بدون نام)",VLOOKUP(INDEX(PkPartyA,533),AcctTblA,4,0)),"—"))</f>
        <v/>
      </c>
      <c r="C557" s="18">
        <f>IF($B557="","",IF(533&gt;NPartyA,"",INDEX(PkPartyA,533)))</f>
        <v/>
      </c>
      <c r="D557" s="17">
        <f>IF($B557="","","p")</f>
        <v/>
      </c>
      <c r="E557" s="19">
        <f>IF($B557="","",IF(533&gt;NPartyA,0,SUMIF(CalcDebit,INDEX(PkPartyA,533),CalcAmt)+SUMIF(CalcDebit2,INDEX(PkPartyA,533),CalcAmt2)+SUMIF(CalcDebit3,INDEX(PkPartyA,533),CalcAmt3)))</f>
        <v/>
      </c>
      <c r="F557" s="19">
        <f>IF($B557="","",IF(533&gt;NPartyA,0,SUMIF(CalcCredit,INDEX(PkPartyA,533),CalcAmt)+SUMIF(CalcCredit2,INDEX(PkPartyA,533),CalcAmt2)+SUMIF(CalcCredit3,INDEX(PkPartyA,533),CalcAmt3)))</f>
        <v/>
      </c>
      <c r="G557" s="20">
        <f>IF($B557="","",ROUND($E557-$F557,0))</f>
        <v/>
      </c>
      <c r="H557" s="17">
        <f>IF($B557="","",IF(ROUND($G557,0)&gt;0,"بدهکار",IF(ROUND($G557,0)&lt;0,"بستانکار","تسویه")))</f>
        <v/>
      </c>
    </row>
    <row r="558">
      <c r="A558" s="11">
        <f>IF($B558="","",549)</f>
        <v/>
      </c>
      <c r="B558" s="12">
        <f>IF(534&gt;NPartyA,"",IFERROR(IF(VLOOKUP(INDEX(PkPartyA,534),AcctTblA,4,0)="","(بدون نام)",VLOOKUP(INDEX(PkPartyA,534),AcctTblA,4,0)),"—"))</f>
        <v/>
      </c>
      <c r="C558" s="13">
        <f>IF($B558="","",IF(534&gt;NPartyA,"",INDEX(PkPartyA,534)))</f>
        <v/>
      </c>
      <c r="D558" s="12">
        <f>IF($B558="","","p")</f>
        <v/>
      </c>
      <c r="E558" s="14">
        <f>IF($B558="","",IF(534&gt;NPartyA,0,SUMIF(CalcDebit,INDEX(PkPartyA,534),CalcAmt)+SUMIF(CalcDebit2,INDEX(PkPartyA,534),CalcAmt2)+SUMIF(CalcDebit3,INDEX(PkPartyA,534),CalcAmt3)))</f>
        <v/>
      </c>
      <c r="F558" s="14">
        <f>IF($B558="","",IF(534&gt;NPartyA,0,SUMIF(CalcCredit,INDEX(PkPartyA,534),CalcAmt)+SUMIF(CalcCredit2,INDEX(PkPartyA,534),CalcAmt2)+SUMIF(CalcCredit3,INDEX(PkPartyA,534),CalcAmt3)))</f>
        <v/>
      </c>
      <c r="G558" s="15">
        <f>IF($B558="","",ROUND($E558-$F558,0))</f>
        <v/>
      </c>
      <c r="H558" s="12">
        <f>IF($B558="","",IF(ROUND($G558,0)&gt;0,"بدهکار",IF(ROUND($G558,0)&lt;0,"بستانکار","تسویه")))</f>
        <v/>
      </c>
    </row>
    <row r="559">
      <c r="A559" s="16">
        <f>IF($B559="","",550)</f>
        <v/>
      </c>
      <c r="B559" s="17">
        <f>IF(535&gt;NPartyA,"",IFERROR(IF(VLOOKUP(INDEX(PkPartyA,535),AcctTblA,4,0)="","(بدون نام)",VLOOKUP(INDEX(PkPartyA,535),AcctTblA,4,0)),"—"))</f>
        <v/>
      </c>
      <c r="C559" s="18">
        <f>IF($B559="","",IF(535&gt;NPartyA,"",INDEX(PkPartyA,535)))</f>
        <v/>
      </c>
      <c r="D559" s="17">
        <f>IF($B559="","","p")</f>
        <v/>
      </c>
      <c r="E559" s="19">
        <f>IF($B559="","",IF(535&gt;NPartyA,0,SUMIF(CalcDebit,INDEX(PkPartyA,535),CalcAmt)+SUMIF(CalcDebit2,INDEX(PkPartyA,535),CalcAmt2)+SUMIF(CalcDebit3,INDEX(PkPartyA,535),CalcAmt3)))</f>
        <v/>
      </c>
      <c r="F559" s="19">
        <f>IF($B559="","",IF(535&gt;NPartyA,0,SUMIF(CalcCredit,INDEX(PkPartyA,535),CalcAmt)+SUMIF(CalcCredit2,INDEX(PkPartyA,535),CalcAmt2)+SUMIF(CalcCredit3,INDEX(PkPartyA,535),CalcAmt3)))</f>
        <v/>
      </c>
      <c r="G559" s="20">
        <f>IF($B559="","",ROUND($E559-$F559,0))</f>
        <v/>
      </c>
      <c r="H559" s="17">
        <f>IF($B559="","",IF(ROUND($G559,0)&gt;0,"بدهکار",IF(ROUND($G559,0)&lt;0,"بستانکار","تسویه")))</f>
        <v/>
      </c>
    </row>
    <row r="560">
      <c r="A560" s="11">
        <f>IF($B560="","",551)</f>
        <v/>
      </c>
      <c r="B560" s="12">
        <f>IF(536&gt;NPartyA,"",IFERROR(IF(VLOOKUP(INDEX(PkPartyA,536),AcctTblA,4,0)="","(بدون نام)",VLOOKUP(INDEX(PkPartyA,536),AcctTblA,4,0)),"—"))</f>
        <v/>
      </c>
      <c r="C560" s="13">
        <f>IF($B560="","",IF(536&gt;NPartyA,"",INDEX(PkPartyA,536)))</f>
        <v/>
      </c>
      <c r="D560" s="12">
        <f>IF($B560="","","p")</f>
        <v/>
      </c>
      <c r="E560" s="14">
        <f>IF($B560="","",IF(536&gt;NPartyA,0,SUMIF(CalcDebit,INDEX(PkPartyA,536),CalcAmt)+SUMIF(CalcDebit2,INDEX(PkPartyA,536),CalcAmt2)+SUMIF(CalcDebit3,INDEX(PkPartyA,536),CalcAmt3)))</f>
        <v/>
      </c>
      <c r="F560" s="14">
        <f>IF($B560="","",IF(536&gt;NPartyA,0,SUMIF(CalcCredit,INDEX(PkPartyA,536),CalcAmt)+SUMIF(CalcCredit2,INDEX(PkPartyA,536),CalcAmt2)+SUMIF(CalcCredit3,INDEX(PkPartyA,536),CalcAmt3)))</f>
        <v/>
      </c>
      <c r="G560" s="15">
        <f>IF($B560="","",ROUND($E560-$F560,0))</f>
        <v/>
      </c>
      <c r="H560" s="12">
        <f>IF($B560="","",IF(ROUND($G560,0)&gt;0,"بدهکار",IF(ROUND($G560,0)&lt;0,"بستانکار","تسویه")))</f>
        <v/>
      </c>
    </row>
    <row r="561">
      <c r="A561" s="16">
        <f>IF($B561="","",552)</f>
        <v/>
      </c>
      <c r="B561" s="17">
        <f>IF(537&gt;NPartyA,"",IFERROR(IF(VLOOKUP(INDEX(PkPartyA,537),AcctTblA,4,0)="","(بدون نام)",VLOOKUP(INDEX(PkPartyA,537),AcctTblA,4,0)),"—"))</f>
        <v/>
      </c>
      <c r="C561" s="18">
        <f>IF($B561="","",IF(537&gt;NPartyA,"",INDEX(PkPartyA,537)))</f>
        <v/>
      </c>
      <c r="D561" s="17">
        <f>IF($B561="","","p")</f>
        <v/>
      </c>
      <c r="E561" s="19">
        <f>IF($B561="","",IF(537&gt;NPartyA,0,SUMIF(CalcDebit,INDEX(PkPartyA,537),CalcAmt)+SUMIF(CalcDebit2,INDEX(PkPartyA,537),CalcAmt2)+SUMIF(CalcDebit3,INDEX(PkPartyA,537),CalcAmt3)))</f>
        <v/>
      </c>
      <c r="F561" s="19">
        <f>IF($B561="","",IF(537&gt;NPartyA,0,SUMIF(CalcCredit,INDEX(PkPartyA,537),CalcAmt)+SUMIF(CalcCredit2,INDEX(PkPartyA,537),CalcAmt2)+SUMIF(CalcCredit3,INDEX(PkPartyA,537),CalcAmt3)))</f>
        <v/>
      </c>
      <c r="G561" s="20">
        <f>IF($B561="","",ROUND($E561-$F561,0))</f>
        <v/>
      </c>
      <c r="H561" s="17">
        <f>IF($B561="","",IF(ROUND($G561,0)&gt;0,"بدهکار",IF(ROUND($G561,0)&lt;0,"بستانکار","تسویه")))</f>
        <v/>
      </c>
    </row>
    <row r="562">
      <c r="A562" s="11">
        <f>IF($B562="","",553)</f>
        <v/>
      </c>
      <c r="B562" s="12">
        <f>IF(538&gt;NPartyA,"",IFERROR(IF(VLOOKUP(INDEX(PkPartyA,538),AcctTblA,4,0)="","(بدون نام)",VLOOKUP(INDEX(PkPartyA,538),AcctTblA,4,0)),"—"))</f>
        <v/>
      </c>
      <c r="C562" s="13">
        <f>IF($B562="","",IF(538&gt;NPartyA,"",INDEX(PkPartyA,538)))</f>
        <v/>
      </c>
      <c r="D562" s="12">
        <f>IF($B562="","","p")</f>
        <v/>
      </c>
      <c r="E562" s="14">
        <f>IF($B562="","",IF(538&gt;NPartyA,0,SUMIF(CalcDebit,INDEX(PkPartyA,538),CalcAmt)+SUMIF(CalcDebit2,INDEX(PkPartyA,538),CalcAmt2)+SUMIF(CalcDebit3,INDEX(PkPartyA,538),CalcAmt3)))</f>
        <v/>
      </c>
      <c r="F562" s="14">
        <f>IF($B562="","",IF(538&gt;NPartyA,0,SUMIF(CalcCredit,INDEX(PkPartyA,538),CalcAmt)+SUMIF(CalcCredit2,INDEX(PkPartyA,538),CalcAmt2)+SUMIF(CalcCredit3,INDEX(PkPartyA,538),CalcAmt3)))</f>
        <v/>
      </c>
      <c r="G562" s="15">
        <f>IF($B562="","",ROUND($E562-$F562,0))</f>
        <v/>
      </c>
      <c r="H562" s="12">
        <f>IF($B562="","",IF(ROUND($G562,0)&gt;0,"بدهکار",IF(ROUND($G562,0)&lt;0,"بستانکار","تسویه")))</f>
        <v/>
      </c>
    </row>
    <row r="563">
      <c r="A563" s="16">
        <f>IF($B563="","",554)</f>
        <v/>
      </c>
      <c r="B563" s="17">
        <f>IF(539&gt;NPartyA,"",IFERROR(IF(VLOOKUP(INDEX(PkPartyA,539),AcctTblA,4,0)="","(بدون نام)",VLOOKUP(INDEX(PkPartyA,539),AcctTblA,4,0)),"—"))</f>
        <v/>
      </c>
      <c r="C563" s="18">
        <f>IF($B563="","",IF(539&gt;NPartyA,"",INDEX(PkPartyA,539)))</f>
        <v/>
      </c>
      <c r="D563" s="17">
        <f>IF($B563="","","p")</f>
        <v/>
      </c>
      <c r="E563" s="19">
        <f>IF($B563="","",IF(539&gt;NPartyA,0,SUMIF(CalcDebit,INDEX(PkPartyA,539),CalcAmt)+SUMIF(CalcDebit2,INDEX(PkPartyA,539),CalcAmt2)+SUMIF(CalcDebit3,INDEX(PkPartyA,539),CalcAmt3)))</f>
        <v/>
      </c>
      <c r="F563" s="19">
        <f>IF($B563="","",IF(539&gt;NPartyA,0,SUMIF(CalcCredit,INDEX(PkPartyA,539),CalcAmt)+SUMIF(CalcCredit2,INDEX(PkPartyA,539),CalcAmt2)+SUMIF(CalcCredit3,INDEX(PkPartyA,539),CalcAmt3)))</f>
        <v/>
      </c>
      <c r="G563" s="20">
        <f>IF($B563="","",ROUND($E563-$F563,0))</f>
        <v/>
      </c>
      <c r="H563" s="17">
        <f>IF($B563="","",IF(ROUND($G563,0)&gt;0,"بدهکار",IF(ROUND($G563,0)&lt;0,"بستانکار","تسویه")))</f>
        <v/>
      </c>
    </row>
    <row r="564">
      <c r="A564" s="11">
        <f>IF($B564="","",555)</f>
        <v/>
      </c>
      <c r="B564" s="12">
        <f>IF(540&gt;NPartyA,"",IFERROR(IF(VLOOKUP(INDEX(PkPartyA,540),AcctTblA,4,0)="","(بدون نام)",VLOOKUP(INDEX(PkPartyA,540),AcctTblA,4,0)),"—"))</f>
        <v/>
      </c>
      <c r="C564" s="13">
        <f>IF($B564="","",IF(540&gt;NPartyA,"",INDEX(PkPartyA,540)))</f>
        <v/>
      </c>
      <c r="D564" s="12">
        <f>IF($B564="","","p")</f>
        <v/>
      </c>
      <c r="E564" s="14">
        <f>IF($B564="","",IF(540&gt;NPartyA,0,SUMIF(CalcDebit,INDEX(PkPartyA,540),CalcAmt)+SUMIF(CalcDebit2,INDEX(PkPartyA,540),CalcAmt2)+SUMIF(CalcDebit3,INDEX(PkPartyA,540),CalcAmt3)))</f>
        <v/>
      </c>
      <c r="F564" s="14">
        <f>IF($B564="","",IF(540&gt;NPartyA,0,SUMIF(CalcCredit,INDEX(PkPartyA,540),CalcAmt)+SUMIF(CalcCredit2,INDEX(PkPartyA,540),CalcAmt2)+SUMIF(CalcCredit3,INDEX(PkPartyA,540),CalcAmt3)))</f>
        <v/>
      </c>
      <c r="G564" s="15">
        <f>IF($B564="","",ROUND($E564-$F564,0))</f>
        <v/>
      </c>
      <c r="H564" s="12">
        <f>IF($B564="","",IF(ROUND($G564,0)&gt;0,"بدهکار",IF(ROUND($G564,0)&lt;0,"بستانکار","تسویه")))</f>
        <v/>
      </c>
    </row>
    <row r="565">
      <c r="A565" s="16">
        <f>IF($B565="","",556)</f>
        <v/>
      </c>
      <c r="B565" s="17">
        <f>IF(541&gt;NPartyA,"",IFERROR(IF(VLOOKUP(INDEX(PkPartyA,541),AcctTblA,4,0)="","(بدون نام)",VLOOKUP(INDEX(PkPartyA,541),AcctTblA,4,0)),"—"))</f>
        <v/>
      </c>
      <c r="C565" s="18">
        <f>IF($B565="","",IF(541&gt;NPartyA,"",INDEX(PkPartyA,541)))</f>
        <v/>
      </c>
      <c r="D565" s="17">
        <f>IF($B565="","","p")</f>
        <v/>
      </c>
      <c r="E565" s="19">
        <f>IF($B565="","",IF(541&gt;NPartyA,0,SUMIF(CalcDebit,INDEX(PkPartyA,541),CalcAmt)+SUMIF(CalcDebit2,INDEX(PkPartyA,541),CalcAmt2)+SUMIF(CalcDebit3,INDEX(PkPartyA,541),CalcAmt3)))</f>
        <v/>
      </c>
      <c r="F565" s="19">
        <f>IF($B565="","",IF(541&gt;NPartyA,0,SUMIF(CalcCredit,INDEX(PkPartyA,541),CalcAmt)+SUMIF(CalcCredit2,INDEX(PkPartyA,541),CalcAmt2)+SUMIF(CalcCredit3,INDEX(PkPartyA,541),CalcAmt3)))</f>
        <v/>
      </c>
      <c r="G565" s="20">
        <f>IF($B565="","",ROUND($E565-$F565,0))</f>
        <v/>
      </c>
      <c r="H565" s="17">
        <f>IF($B565="","",IF(ROUND($G565,0)&gt;0,"بدهکار",IF(ROUND($G565,0)&lt;0,"بستانکار","تسویه")))</f>
        <v/>
      </c>
    </row>
    <row r="566">
      <c r="A566" s="11">
        <f>IF($B566="","",557)</f>
        <v/>
      </c>
      <c r="B566" s="12">
        <f>IF(542&gt;NPartyA,"",IFERROR(IF(VLOOKUP(INDEX(PkPartyA,542),AcctTblA,4,0)="","(بدون نام)",VLOOKUP(INDEX(PkPartyA,542),AcctTblA,4,0)),"—"))</f>
        <v/>
      </c>
      <c r="C566" s="13">
        <f>IF($B566="","",IF(542&gt;NPartyA,"",INDEX(PkPartyA,542)))</f>
        <v/>
      </c>
      <c r="D566" s="12">
        <f>IF($B566="","","p")</f>
        <v/>
      </c>
      <c r="E566" s="14">
        <f>IF($B566="","",IF(542&gt;NPartyA,0,SUMIF(CalcDebit,INDEX(PkPartyA,542),CalcAmt)+SUMIF(CalcDebit2,INDEX(PkPartyA,542),CalcAmt2)+SUMIF(CalcDebit3,INDEX(PkPartyA,542),CalcAmt3)))</f>
        <v/>
      </c>
      <c r="F566" s="14">
        <f>IF($B566="","",IF(542&gt;NPartyA,0,SUMIF(CalcCredit,INDEX(PkPartyA,542),CalcAmt)+SUMIF(CalcCredit2,INDEX(PkPartyA,542),CalcAmt2)+SUMIF(CalcCredit3,INDEX(PkPartyA,542),CalcAmt3)))</f>
        <v/>
      </c>
      <c r="G566" s="15">
        <f>IF($B566="","",ROUND($E566-$F566,0))</f>
        <v/>
      </c>
      <c r="H566" s="12">
        <f>IF($B566="","",IF(ROUND($G566,0)&gt;0,"بدهکار",IF(ROUND($G566,0)&lt;0,"بستانکار","تسویه")))</f>
        <v/>
      </c>
    </row>
    <row r="567">
      <c r="A567" s="16">
        <f>IF($B567="","",558)</f>
        <v/>
      </c>
      <c r="B567" s="17">
        <f>IF(543&gt;NPartyA,"",IFERROR(IF(VLOOKUP(INDEX(PkPartyA,543),AcctTblA,4,0)="","(بدون نام)",VLOOKUP(INDEX(PkPartyA,543),AcctTblA,4,0)),"—"))</f>
        <v/>
      </c>
      <c r="C567" s="18">
        <f>IF($B567="","",IF(543&gt;NPartyA,"",INDEX(PkPartyA,543)))</f>
        <v/>
      </c>
      <c r="D567" s="17">
        <f>IF($B567="","","p")</f>
        <v/>
      </c>
      <c r="E567" s="19">
        <f>IF($B567="","",IF(543&gt;NPartyA,0,SUMIF(CalcDebit,INDEX(PkPartyA,543),CalcAmt)+SUMIF(CalcDebit2,INDEX(PkPartyA,543),CalcAmt2)+SUMIF(CalcDebit3,INDEX(PkPartyA,543),CalcAmt3)))</f>
        <v/>
      </c>
      <c r="F567" s="19">
        <f>IF($B567="","",IF(543&gt;NPartyA,0,SUMIF(CalcCredit,INDEX(PkPartyA,543),CalcAmt)+SUMIF(CalcCredit2,INDEX(PkPartyA,543),CalcAmt2)+SUMIF(CalcCredit3,INDEX(PkPartyA,543),CalcAmt3)))</f>
        <v/>
      </c>
      <c r="G567" s="20">
        <f>IF($B567="","",ROUND($E567-$F567,0))</f>
        <v/>
      </c>
      <c r="H567" s="17">
        <f>IF($B567="","",IF(ROUND($G567,0)&gt;0,"بدهکار",IF(ROUND($G567,0)&lt;0,"بستانکار","تسویه")))</f>
        <v/>
      </c>
    </row>
    <row r="568">
      <c r="A568" s="11">
        <f>IF($B568="","",559)</f>
        <v/>
      </c>
      <c r="B568" s="12">
        <f>IF(544&gt;NPartyA,"",IFERROR(IF(VLOOKUP(INDEX(PkPartyA,544),AcctTblA,4,0)="","(بدون نام)",VLOOKUP(INDEX(PkPartyA,544),AcctTblA,4,0)),"—"))</f>
        <v/>
      </c>
      <c r="C568" s="13">
        <f>IF($B568="","",IF(544&gt;NPartyA,"",INDEX(PkPartyA,544)))</f>
        <v/>
      </c>
      <c r="D568" s="12">
        <f>IF($B568="","","p")</f>
        <v/>
      </c>
      <c r="E568" s="14">
        <f>IF($B568="","",IF(544&gt;NPartyA,0,SUMIF(CalcDebit,INDEX(PkPartyA,544),CalcAmt)+SUMIF(CalcDebit2,INDEX(PkPartyA,544),CalcAmt2)+SUMIF(CalcDebit3,INDEX(PkPartyA,544),CalcAmt3)))</f>
        <v/>
      </c>
      <c r="F568" s="14">
        <f>IF($B568="","",IF(544&gt;NPartyA,0,SUMIF(CalcCredit,INDEX(PkPartyA,544),CalcAmt)+SUMIF(CalcCredit2,INDEX(PkPartyA,544),CalcAmt2)+SUMIF(CalcCredit3,INDEX(PkPartyA,544),CalcAmt3)))</f>
        <v/>
      </c>
      <c r="G568" s="15">
        <f>IF($B568="","",ROUND($E568-$F568,0))</f>
        <v/>
      </c>
      <c r="H568" s="12">
        <f>IF($B568="","",IF(ROUND($G568,0)&gt;0,"بدهکار",IF(ROUND($G568,0)&lt;0,"بستانکار","تسویه")))</f>
        <v/>
      </c>
    </row>
    <row r="569">
      <c r="A569" s="16">
        <f>IF($B569="","",560)</f>
        <v/>
      </c>
      <c r="B569" s="17">
        <f>IF(545&gt;NPartyA,"",IFERROR(IF(VLOOKUP(INDEX(PkPartyA,545),AcctTblA,4,0)="","(بدون نام)",VLOOKUP(INDEX(PkPartyA,545),AcctTblA,4,0)),"—"))</f>
        <v/>
      </c>
      <c r="C569" s="18">
        <f>IF($B569="","",IF(545&gt;NPartyA,"",INDEX(PkPartyA,545)))</f>
        <v/>
      </c>
      <c r="D569" s="17">
        <f>IF($B569="","","p")</f>
        <v/>
      </c>
      <c r="E569" s="19">
        <f>IF($B569="","",IF(545&gt;NPartyA,0,SUMIF(CalcDebit,INDEX(PkPartyA,545),CalcAmt)+SUMIF(CalcDebit2,INDEX(PkPartyA,545),CalcAmt2)+SUMIF(CalcDebit3,INDEX(PkPartyA,545),CalcAmt3)))</f>
        <v/>
      </c>
      <c r="F569" s="19">
        <f>IF($B569="","",IF(545&gt;NPartyA,0,SUMIF(CalcCredit,INDEX(PkPartyA,545),CalcAmt)+SUMIF(CalcCredit2,INDEX(PkPartyA,545),CalcAmt2)+SUMIF(CalcCredit3,INDEX(PkPartyA,545),CalcAmt3)))</f>
        <v/>
      </c>
      <c r="G569" s="20">
        <f>IF($B569="","",ROUND($E569-$F569,0))</f>
        <v/>
      </c>
      <c r="H569" s="17">
        <f>IF($B569="","",IF(ROUND($G569,0)&gt;0,"بدهکار",IF(ROUND($G569,0)&lt;0,"بستانکار","تسویه")))</f>
        <v/>
      </c>
    </row>
    <row r="570">
      <c r="A570" s="11">
        <f>IF($B570="","",561)</f>
        <v/>
      </c>
      <c r="B570" s="12">
        <f>IF(546&gt;NPartyA,"",IFERROR(IF(VLOOKUP(INDEX(PkPartyA,546),AcctTblA,4,0)="","(بدون نام)",VLOOKUP(INDEX(PkPartyA,546),AcctTblA,4,0)),"—"))</f>
        <v/>
      </c>
      <c r="C570" s="13">
        <f>IF($B570="","",IF(546&gt;NPartyA,"",INDEX(PkPartyA,546)))</f>
        <v/>
      </c>
      <c r="D570" s="12">
        <f>IF($B570="","","p")</f>
        <v/>
      </c>
      <c r="E570" s="14">
        <f>IF($B570="","",IF(546&gt;NPartyA,0,SUMIF(CalcDebit,INDEX(PkPartyA,546),CalcAmt)+SUMIF(CalcDebit2,INDEX(PkPartyA,546),CalcAmt2)+SUMIF(CalcDebit3,INDEX(PkPartyA,546),CalcAmt3)))</f>
        <v/>
      </c>
      <c r="F570" s="14">
        <f>IF($B570="","",IF(546&gt;NPartyA,0,SUMIF(CalcCredit,INDEX(PkPartyA,546),CalcAmt)+SUMIF(CalcCredit2,INDEX(PkPartyA,546),CalcAmt2)+SUMIF(CalcCredit3,INDEX(PkPartyA,546),CalcAmt3)))</f>
        <v/>
      </c>
      <c r="G570" s="15">
        <f>IF($B570="","",ROUND($E570-$F570,0))</f>
        <v/>
      </c>
      <c r="H570" s="12">
        <f>IF($B570="","",IF(ROUND($G570,0)&gt;0,"بدهکار",IF(ROUND($G570,0)&lt;0,"بستانکار","تسویه")))</f>
        <v/>
      </c>
    </row>
    <row r="571">
      <c r="A571" s="16">
        <f>IF($B571="","",562)</f>
        <v/>
      </c>
      <c r="B571" s="17">
        <f>IF(547&gt;NPartyA,"",IFERROR(IF(VLOOKUP(INDEX(PkPartyA,547),AcctTblA,4,0)="","(بدون نام)",VLOOKUP(INDEX(PkPartyA,547),AcctTblA,4,0)),"—"))</f>
        <v/>
      </c>
      <c r="C571" s="18">
        <f>IF($B571="","",IF(547&gt;NPartyA,"",INDEX(PkPartyA,547)))</f>
        <v/>
      </c>
      <c r="D571" s="17">
        <f>IF($B571="","","p")</f>
        <v/>
      </c>
      <c r="E571" s="19">
        <f>IF($B571="","",IF(547&gt;NPartyA,0,SUMIF(CalcDebit,INDEX(PkPartyA,547),CalcAmt)+SUMIF(CalcDebit2,INDEX(PkPartyA,547),CalcAmt2)+SUMIF(CalcDebit3,INDEX(PkPartyA,547),CalcAmt3)))</f>
        <v/>
      </c>
      <c r="F571" s="19">
        <f>IF($B571="","",IF(547&gt;NPartyA,0,SUMIF(CalcCredit,INDEX(PkPartyA,547),CalcAmt)+SUMIF(CalcCredit2,INDEX(PkPartyA,547),CalcAmt2)+SUMIF(CalcCredit3,INDEX(PkPartyA,547),CalcAmt3)))</f>
        <v/>
      </c>
      <c r="G571" s="20">
        <f>IF($B571="","",ROUND($E571-$F571,0))</f>
        <v/>
      </c>
      <c r="H571" s="17">
        <f>IF($B571="","",IF(ROUND($G571,0)&gt;0,"بدهکار",IF(ROUND($G571,0)&lt;0,"بستانکار","تسویه")))</f>
        <v/>
      </c>
    </row>
    <row r="572">
      <c r="A572" s="11">
        <f>IF($B572="","",563)</f>
        <v/>
      </c>
      <c r="B572" s="12">
        <f>IF(548&gt;NPartyA,"",IFERROR(IF(VLOOKUP(INDEX(PkPartyA,548),AcctTblA,4,0)="","(بدون نام)",VLOOKUP(INDEX(PkPartyA,548),AcctTblA,4,0)),"—"))</f>
        <v/>
      </c>
      <c r="C572" s="13">
        <f>IF($B572="","",IF(548&gt;NPartyA,"",INDEX(PkPartyA,548)))</f>
        <v/>
      </c>
      <c r="D572" s="12">
        <f>IF($B572="","","p")</f>
        <v/>
      </c>
      <c r="E572" s="14">
        <f>IF($B572="","",IF(548&gt;NPartyA,0,SUMIF(CalcDebit,INDEX(PkPartyA,548),CalcAmt)+SUMIF(CalcDebit2,INDEX(PkPartyA,548),CalcAmt2)+SUMIF(CalcDebit3,INDEX(PkPartyA,548),CalcAmt3)))</f>
        <v/>
      </c>
      <c r="F572" s="14">
        <f>IF($B572="","",IF(548&gt;NPartyA,0,SUMIF(CalcCredit,INDEX(PkPartyA,548),CalcAmt)+SUMIF(CalcCredit2,INDEX(PkPartyA,548),CalcAmt2)+SUMIF(CalcCredit3,INDEX(PkPartyA,548),CalcAmt3)))</f>
        <v/>
      </c>
      <c r="G572" s="15">
        <f>IF($B572="","",ROUND($E572-$F572,0))</f>
        <v/>
      </c>
      <c r="H572" s="12">
        <f>IF($B572="","",IF(ROUND($G572,0)&gt;0,"بدهکار",IF(ROUND($G572,0)&lt;0,"بستانکار","تسویه")))</f>
        <v/>
      </c>
    </row>
    <row r="573">
      <c r="A573" s="16">
        <f>IF($B573="","",564)</f>
        <v/>
      </c>
      <c r="B573" s="17">
        <f>IF(549&gt;NPartyA,"",IFERROR(IF(VLOOKUP(INDEX(PkPartyA,549),AcctTblA,4,0)="","(بدون نام)",VLOOKUP(INDEX(PkPartyA,549),AcctTblA,4,0)),"—"))</f>
        <v/>
      </c>
      <c r="C573" s="18">
        <f>IF($B573="","",IF(549&gt;NPartyA,"",INDEX(PkPartyA,549)))</f>
        <v/>
      </c>
      <c r="D573" s="17">
        <f>IF($B573="","","p")</f>
        <v/>
      </c>
      <c r="E573" s="19">
        <f>IF($B573="","",IF(549&gt;NPartyA,0,SUMIF(CalcDebit,INDEX(PkPartyA,549),CalcAmt)+SUMIF(CalcDebit2,INDEX(PkPartyA,549),CalcAmt2)+SUMIF(CalcDebit3,INDEX(PkPartyA,549),CalcAmt3)))</f>
        <v/>
      </c>
      <c r="F573" s="19">
        <f>IF($B573="","",IF(549&gt;NPartyA,0,SUMIF(CalcCredit,INDEX(PkPartyA,549),CalcAmt)+SUMIF(CalcCredit2,INDEX(PkPartyA,549),CalcAmt2)+SUMIF(CalcCredit3,INDEX(PkPartyA,549),CalcAmt3)))</f>
        <v/>
      </c>
      <c r="G573" s="20">
        <f>IF($B573="","",ROUND($E573-$F573,0))</f>
        <v/>
      </c>
      <c r="H573" s="17">
        <f>IF($B573="","",IF(ROUND($G573,0)&gt;0,"بدهکار",IF(ROUND($G573,0)&lt;0,"بستانکار","تسویه")))</f>
        <v/>
      </c>
    </row>
    <row r="574">
      <c r="A574" s="11">
        <f>IF($B574="","",565)</f>
        <v/>
      </c>
      <c r="B574" s="12">
        <f>IF(550&gt;NPartyA,"",IFERROR(IF(VLOOKUP(INDEX(PkPartyA,550),AcctTblA,4,0)="","(بدون نام)",VLOOKUP(INDEX(PkPartyA,550),AcctTblA,4,0)),"—"))</f>
        <v/>
      </c>
      <c r="C574" s="13">
        <f>IF($B574="","",IF(550&gt;NPartyA,"",INDEX(PkPartyA,550)))</f>
        <v/>
      </c>
      <c r="D574" s="12">
        <f>IF($B574="","","p")</f>
        <v/>
      </c>
      <c r="E574" s="14">
        <f>IF($B574="","",IF(550&gt;NPartyA,0,SUMIF(CalcDebit,INDEX(PkPartyA,550),CalcAmt)+SUMIF(CalcDebit2,INDEX(PkPartyA,550),CalcAmt2)+SUMIF(CalcDebit3,INDEX(PkPartyA,550),CalcAmt3)))</f>
        <v/>
      </c>
      <c r="F574" s="14">
        <f>IF($B574="","",IF(550&gt;NPartyA,0,SUMIF(CalcCredit,INDEX(PkPartyA,550),CalcAmt)+SUMIF(CalcCredit2,INDEX(PkPartyA,550),CalcAmt2)+SUMIF(CalcCredit3,INDEX(PkPartyA,550),CalcAmt3)))</f>
        <v/>
      </c>
      <c r="G574" s="15">
        <f>IF($B574="","",ROUND($E574-$F574,0))</f>
        <v/>
      </c>
      <c r="H574" s="12">
        <f>IF($B574="","",IF(ROUND($G574,0)&gt;0,"بدهکار",IF(ROUND($G574,0)&lt;0,"بستانکار","تسویه")))</f>
        <v/>
      </c>
    </row>
    <row r="575">
      <c r="A575" s="16">
        <f>IF($B575="","",566)</f>
        <v/>
      </c>
      <c r="B575" s="17">
        <f>IF(551&gt;NPartyA,"",IFERROR(IF(VLOOKUP(INDEX(PkPartyA,551),AcctTblA,4,0)="","(بدون نام)",VLOOKUP(INDEX(PkPartyA,551),AcctTblA,4,0)),"—"))</f>
        <v/>
      </c>
      <c r="C575" s="18">
        <f>IF($B575="","",IF(551&gt;NPartyA,"",INDEX(PkPartyA,551)))</f>
        <v/>
      </c>
      <c r="D575" s="17">
        <f>IF($B575="","","p")</f>
        <v/>
      </c>
      <c r="E575" s="19">
        <f>IF($B575="","",IF(551&gt;NPartyA,0,SUMIF(CalcDebit,INDEX(PkPartyA,551),CalcAmt)+SUMIF(CalcDebit2,INDEX(PkPartyA,551),CalcAmt2)+SUMIF(CalcDebit3,INDEX(PkPartyA,551),CalcAmt3)))</f>
        <v/>
      </c>
      <c r="F575" s="19">
        <f>IF($B575="","",IF(551&gt;NPartyA,0,SUMIF(CalcCredit,INDEX(PkPartyA,551),CalcAmt)+SUMIF(CalcCredit2,INDEX(PkPartyA,551),CalcAmt2)+SUMIF(CalcCredit3,INDEX(PkPartyA,551),CalcAmt3)))</f>
        <v/>
      </c>
      <c r="G575" s="20">
        <f>IF($B575="","",ROUND($E575-$F575,0))</f>
        <v/>
      </c>
      <c r="H575" s="17">
        <f>IF($B575="","",IF(ROUND($G575,0)&gt;0,"بدهکار",IF(ROUND($G575,0)&lt;0,"بستانکار","تسویه")))</f>
        <v/>
      </c>
    </row>
    <row r="576">
      <c r="A576" s="11">
        <f>IF($B576="","",567)</f>
        <v/>
      </c>
      <c r="B576" s="12">
        <f>IF(552&gt;NPartyA,"",IFERROR(IF(VLOOKUP(INDEX(PkPartyA,552),AcctTblA,4,0)="","(بدون نام)",VLOOKUP(INDEX(PkPartyA,552),AcctTblA,4,0)),"—"))</f>
        <v/>
      </c>
      <c r="C576" s="13">
        <f>IF($B576="","",IF(552&gt;NPartyA,"",INDEX(PkPartyA,552)))</f>
        <v/>
      </c>
      <c r="D576" s="12">
        <f>IF($B576="","","p")</f>
        <v/>
      </c>
      <c r="E576" s="14">
        <f>IF($B576="","",IF(552&gt;NPartyA,0,SUMIF(CalcDebit,INDEX(PkPartyA,552),CalcAmt)+SUMIF(CalcDebit2,INDEX(PkPartyA,552),CalcAmt2)+SUMIF(CalcDebit3,INDEX(PkPartyA,552),CalcAmt3)))</f>
        <v/>
      </c>
      <c r="F576" s="14">
        <f>IF($B576="","",IF(552&gt;NPartyA,0,SUMIF(CalcCredit,INDEX(PkPartyA,552),CalcAmt)+SUMIF(CalcCredit2,INDEX(PkPartyA,552),CalcAmt2)+SUMIF(CalcCredit3,INDEX(PkPartyA,552),CalcAmt3)))</f>
        <v/>
      </c>
      <c r="G576" s="15">
        <f>IF($B576="","",ROUND($E576-$F576,0))</f>
        <v/>
      </c>
      <c r="H576" s="12">
        <f>IF($B576="","",IF(ROUND($G576,0)&gt;0,"بدهکار",IF(ROUND($G576,0)&lt;0,"بستانکار","تسویه")))</f>
        <v/>
      </c>
    </row>
    <row r="577">
      <c r="A577" s="16">
        <f>IF($B577="","",568)</f>
        <v/>
      </c>
      <c r="B577" s="17">
        <f>IF(553&gt;NPartyA,"",IFERROR(IF(VLOOKUP(INDEX(PkPartyA,553),AcctTblA,4,0)="","(بدون نام)",VLOOKUP(INDEX(PkPartyA,553),AcctTblA,4,0)),"—"))</f>
        <v/>
      </c>
      <c r="C577" s="18">
        <f>IF($B577="","",IF(553&gt;NPartyA,"",INDEX(PkPartyA,553)))</f>
        <v/>
      </c>
      <c r="D577" s="17">
        <f>IF($B577="","","p")</f>
        <v/>
      </c>
      <c r="E577" s="19">
        <f>IF($B577="","",IF(553&gt;NPartyA,0,SUMIF(CalcDebit,INDEX(PkPartyA,553),CalcAmt)+SUMIF(CalcDebit2,INDEX(PkPartyA,553),CalcAmt2)+SUMIF(CalcDebit3,INDEX(PkPartyA,553),CalcAmt3)))</f>
        <v/>
      </c>
      <c r="F577" s="19">
        <f>IF($B577="","",IF(553&gt;NPartyA,0,SUMIF(CalcCredit,INDEX(PkPartyA,553),CalcAmt)+SUMIF(CalcCredit2,INDEX(PkPartyA,553),CalcAmt2)+SUMIF(CalcCredit3,INDEX(PkPartyA,553),CalcAmt3)))</f>
        <v/>
      </c>
      <c r="G577" s="20">
        <f>IF($B577="","",ROUND($E577-$F577,0))</f>
        <v/>
      </c>
      <c r="H577" s="17">
        <f>IF($B577="","",IF(ROUND($G577,0)&gt;0,"بدهکار",IF(ROUND($G577,0)&lt;0,"بستانکار","تسویه")))</f>
        <v/>
      </c>
    </row>
    <row r="578">
      <c r="A578" s="11">
        <f>IF($B578="","",569)</f>
        <v/>
      </c>
      <c r="B578" s="12">
        <f>IF(554&gt;NPartyA,"",IFERROR(IF(VLOOKUP(INDEX(PkPartyA,554),AcctTblA,4,0)="","(بدون نام)",VLOOKUP(INDEX(PkPartyA,554),AcctTblA,4,0)),"—"))</f>
        <v/>
      </c>
      <c r="C578" s="13">
        <f>IF($B578="","",IF(554&gt;NPartyA,"",INDEX(PkPartyA,554)))</f>
        <v/>
      </c>
      <c r="D578" s="12">
        <f>IF($B578="","","p")</f>
        <v/>
      </c>
      <c r="E578" s="14">
        <f>IF($B578="","",IF(554&gt;NPartyA,0,SUMIF(CalcDebit,INDEX(PkPartyA,554),CalcAmt)+SUMIF(CalcDebit2,INDEX(PkPartyA,554),CalcAmt2)+SUMIF(CalcDebit3,INDEX(PkPartyA,554),CalcAmt3)))</f>
        <v/>
      </c>
      <c r="F578" s="14">
        <f>IF($B578="","",IF(554&gt;NPartyA,0,SUMIF(CalcCredit,INDEX(PkPartyA,554),CalcAmt)+SUMIF(CalcCredit2,INDEX(PkPartyA,554),CalcAmt2)+SUMIF(CalcCredit3,INDEX(PkPartyA,554),CalcAmt3)))</f>
        <v/>
      </c>
      <c r="G578" s="15">
        <f>IF($B578="","",ROUND($E578-$F578,0))</f>
        <v/>
      </c>
      <c r="H578" s="12">
        <f>IF($B578="","",IF(ROUND($G578,0)&gt;0,"بدهکار",IF(ROUND($G578,0)&lt;0,"بستانکار","تسویه")))</f>
        <v/>
      </c>
    </row>
    <row r="579">
      <c r="A579" s="16">
        <f>IF($B579="","",570)</f>
        <v/>
      </c>
      <c r="B579" s="17">
        <f>IF(555&gt;NPartyA,"",IFERROR(IF(VLOOKUP(INDEX(PkPartyA,555),AcctTblA,4,0)="","(بدون نام)",VLOOKUP(INDEX(PkPartyA,555),AcctTblA,4,0)),"—"))</f>
        <v/>
      </c>
      <c r="C579" s="18">
        <f>IF($B579="","",IF(555&gt;NPartyA,"",INDEX(PkPartyA,555)))</f>
        <v/>
      </c>
      <c r="D579" s="17">
        <f>IF($B579="","","p")</f>
        <v/>
      </c>
      <c r="E579" s="19">
        <f>IF($B579="","",IF(555&gt;NPartyA,0,SUMIF(CalcDebit,INDEX(PkPartyA,555),CalcAmt)+SUMIF(CalcDebit2,INDEX(PkPartyA,555),CalcAmt2)+SUMIF(CalcDebit3,INDEX(PkPartyA,555),CalcAmt3)))</f>
        <v/>
      </c>
      <c r="F579" s="19">
        <f>IF($B579="","",IF(555&gt;NPartyA,0,SUMIF(CalcCredit,INDEX(PkPartyA,555),CalcAmt)+SUMIF(CalcCredit2,INDEX(PkPartyA,555),CalcAmt2)+SUMIF(CalcCredit3,INDEX(PkPartyA,555),CalcAmt3)))</f>
        <v/>
      </c>
      <c r="G579" s="20">
        <f>IF($B579="","",ROUND($E579-$F579,0))</f>
        <v/>
      </c>
      <c r="H579" s="17">
        <f>IF($B579="","",IF(ROUND($G579,0)&gt;0,"بدهکار",IF(ROUND($G579,0)&lt;0,"بستانکار","تسویه")))</f>
        <v/>
      </c>
    </row>
    <row r="580">
      <c r="A580" s="11">
        <f>IF($B580="","",571)</f>
        <v/>
      </c>
      <c r="B580" s="12">
        <f>IF(556&gt;NPartyA,"",IFERROR(IF(VLOOKUP(INDEX(PkPartyA,556),AcctTblA,4,0)="","(بدون نام)",VLOOKUP(INDEX(PkPartyA,556),AcctTblA,4,0)),"—"))</f>
        <v/>
      </c>
      <c r="C580" s="13">
        <f>IF($B580="","",IF(556&gt;NPartyA,"",INDEX(PkPartyA,556)))</f>
        <v/>
      </c>
      <c r="D580" s="12">
        <f>IF($B580="","","p")</f>
        <v/>
      </c>
      <c r="E580" s="14">
        <f>IF($B580="","",IF(556&gt;NPartyA,0,SUMIF(CalcDebit,INDEX(PkPartyA,556),CalcAmt)+SUMIF(CalcDebit2,INDEX(PkPartyA,556),CalcAmt2)+SUMIF(CalcDebit3,INDEX(PkPartyA,556),CalcAmt3)))</f>
        <v/>
      </c>
      <c r="F580" s="14">
        <f>IF($B580="","",IF(556&gt;NPartyA,0,SUMIF(CalcCredit,INDEX(PkPartyA,556),CalcAmt)+SUMIF(CalcCredit2,INDEX(PkPartyA,556),CalcAmt2)+SUMIF(CalcCredit3,INDEX(PkPartyA,556),CalcAmt3)))</f>
        <v/>
      </c>
      <c r="G580" s="15">
        <f>IF($B580="","",ROUND($E580-$F580,0))</f>
        <v/>
      </c>
      <c r="H580" s="12">
        <f>IF($B580="","",IF(ROUND($G580,0)&gt;0,"بدهکار",IF(ROUND($G580,0)&lt;0,"بستانکار","تسویه")))</f>
        <v/>
      </c>
    </row>
    <row r="581">
      <c r="A581" s="16">
        <f>IF($B581="","",572)</f>
        <v/>
      </c>
      <c r="B581" s="17">
        <f>IF(557&gt;NPartyA,"",IFERROR(IF(VLOOKUP(INDEX(PkPartyA,557),AcctTblA,4,0)="","(بدون نام)",VLOOKUP(INDEX(PkPartyA,557),AcctTblA,4,0)),"—"))</f>
        <v/>
      </c>
      <c r="C581" s="18">
        <f>IF($B581="","",IF(557&gt;NPartyA,"",INDEX(PkPartyA,557)))</f>
        <v/>
      </c>
      <c r="D581" s="17">
        <f>IF($B581="","","p")</f>
        <v/>
      </c>
      <c r="E581" s="19">
        <f>IF($B581="","",IF(557&gt;NPartyA,0,SUMIF(CalcDebit,INDEX(PkPartyA,557),CalcAmt)+SUMIF(CalcDebit2,INDEX(PkPartyA,557),CalcAmt2)+SUMIF(CalcDebit3,INDEX(PkPartyA,557),CalcAmt3)))</f>
        <v/>
      </c>
      <c r="F581" s="19">
        <f>IF($B581="","",IF(557&gt;NPartyA,0,SUMIF(CalcCredit,INDEX(PkPartyA,557),CalcAmt)+SUMIF(CalcCredit2,INDEX(PkPartyA,557),CalcAmt2)+SUMIF(CalcCredit3,INDEX(PkPartyA,557),CalcAmt3)))</f>
        <v/>
      </c>
      <c r="G581" s="20">
        <f>IF($B581="","",ROUND($E581-$F581,0))</f>
        <v/>
      </c>
      <c r="H581" s="17">
        <f>IF($B581="","",IF(ROUND($G581,0)&gt;0,"بدهکار",IF(ROUND($G581,0)&lt;0,"بستانکار","تسویه")))</f>
        <v/>
      </c>
    </row>
    <row r="582">
      <c r="A582" s="11">
        <f>IF($B582="","",573)</f>
        <v/>
      </c>
      <c r="B582" s="12">
        <f>IF(558&gt;NPartyA,"",IFERROR(IF(VLOOKUP(INDEX(PkPartyA,558),AcctTblA,4,0)="","(بدون نام)",VLOOKUP(INDEX(PkPartyA,558),AcctTblA,4,0)),"—"))</f>
        <v/>
      </c>
      <c r="C582" s="13">
        <f>IF($B582="","",IF(558&gt;NPartyA,"",INDEX(PkPartyA,558)))</f>
        <v/>
      </c>
      <c r="D582" s="12">
        <f>IF($B582="","","p")</f>
        <v/>
      </c>
      <c r="E582" s="14">
        <f>IF($B582="","",IF(558&gt;NPartyA,0,SUMIF(CalcDebit,INDEX(PkPartyA,558),CalcAmt)+SUMIF(CalcDebit2,INDEX(PkPartyA,558),CalcAmt2)+SUMIF(CalcDebit3,INDEX(PkPartyA,558),CalcAmt3)))</f>
        <v/>
      </c>
      <c r="F582" s="14">
        <f>IF($B582="","",IF(558&gt;NPartyA,0,SUMIF(CalcCredit,INDEX(PkPartyA,558),CalcAmt)+SUMIF(CalcCredit2,INDEX(PkPartyA,558),CalcAmt2)+SUMIF(CalcCredit3,INDEX(PkPartyA,558),CalcAmt3)))</f>
        <v/>
      </c>
      <c r="G582" s="15">
        <f>IF($B582="","",ROUND($E582-$F582,0))</f>
        <v/>
      </c>
      <c r="H582" s="12">
        <f>IF($B582="","",IF(ROUND($G582,0)&gt;0,"بدهکار",IF(ROUND($G582,0)&lt;0,"بستانکار","تسویه")))</f>
        <v/>
      </c>
    </row>
    <row r="583">
      <c r="A583" s="16">
        <f>IF($B583="","",574)</f>
        <v/>
      </c>
      <c r="B583" s="17">
        <f>IF(559&gt;NPartyA,"",IFERROR(IF(VLOOKUP(INDEX(PkPartyA,559),AcctTblA,4,0)="","(بدون نام)",VLOOKUP(INDEX(PkPartyA,559),AcctTblA,4,0)),"—"))</f>
        <v/>
      </c>
      <c r="C583" s="18">
        <f>IF($B583="","",IF(559&gt;NPartyA,"",INDEX(PkPartyA,559)))</f>
        <v/>
      </c>
      <c r="D583" s="17">
        <f>IF($B583="","","p")</f>
        <v/>
      </c>
      <c r="E583" s="19">
        <f>IF($B583="","",IF(559&gt;NPartyA,0,SUMIF(CalcDebit,INDEX(PkPartyA,559),CalcAmt)+SUMIF(CalcDebit2,INDEX(PkPartyA,559),CalcAmt2)+SUMIF(CalcDebit3,INDEX(PkPartyA,559),CalcAmt3)))</f>
        <v/>
      </c>
      <c r="F583" s="19">
        <f>IF($B583="","",IF(559&gt;NPartyA,0,SUMIF(CalcCredit,INDEX(PkPartyA,559),CalcAmt)+SUMIF(CalcCredit2,INDEX(PkPartyA,559),CalcAmt2)+SUMIF(CalcCredit3,INDEX(PkPartyA,559),CalcAmt3)))</f>
        <v/>
      </c>
      <c r="G583" s="20">
        <f>IF($B583="","",ROUND($E583-$F583,0))</f>
        <v/>
      </c>
      <c r="H583" s="17">
        <f>IF($B583="","",IF(ROUND($G583,0)&gt;0,"بدهکار",IF(ROUND($G583,0)&lt;0,"بستانکار","تسویه")))</f>
        <v/>
      </c>
    </row>
    <row r="584">
      <c r="A584" s="11">
        <f>IF($B584="","",575)</f>
        <v/>
      </c>
      <c r="B584" s="12">
        <f>IF(560&gt;NPartyA,"",IFERROR(IF(VLOOKUP(INDEX(PkPartyA,560),AcctTblA,4,0)="","(بدون نام)",VLOOKUP(INDEX(PkPartyA,560),AcctTblA,4,0)),"—"))</f>
        <v/>
      </c>
      <c r="C584" s="13">
        <f>IF($B584="","",IF(560&gt;NPartyA,"",INDEX(PkPartyA,560)))</f>
        <v/>
      </c>
      <c r="D584" s="12">
        <f>IF($B584="","","p")</f>
        <v/>
      </c>
      <c r="E584" s="14">
        <f>IF($B584="","",IF(560&gt;NPartyA,0,SUMIF(CalcDebit,INDEX(PkPartyA,560),CalcAmt)+SUMIF(CalcDebit2,INDEX(PkPartyA,560),CalcAmt2)+SUMIF(CalcDebit3,INDEX(PkPartyA,560),CalcAmt3)))</f>
        <v/>
      </c>
      <c r="F584" s="14">
        <f>IF($B584="","",IF(560&gt;NPartyA,0,SUMIF(CalcCredit,INDEX(PkPartyA,560),CalcAmt)+SUMIF(CalcCredit2,INDEX(PkPartyA,560),CalcAmt2)+SUMIF(CalcCredit3,INDEX(PkPartyA,560),CalcAmt3)))</f>
        <v/>
      </c>
      <c r="G584" s="15">
        <f>IF($B584="","",ROUND($E584-$F584,0))</f>
        <v/>
      </c>
      <c r="H584" s="12">
        <f>IF($B584="","",IF(ROUND($G584,0)&gt;0,"بدهکار",IF(ROUND($G584,0)&lt;0,"بستانکار","تسویه")))</f>
        <v/>
      </c>
    </row>
    <row r="585">
      <c r="A585" s="16">
        <f>IF($B585="","",576)</f>
        <v/>
      </c>
      <c r="B585" s="17">
        <f>IF(1&gt;NFixedA,"",IFERROR(IF(VLOOKUP(INDEX(PkFixedA,1),AcctTblA,4,0)="","(بدون نام)",VLOOKUP(INDEX(PkFixedA,1),AcctTblA,4,0)),"—"))</f>
        <v/>
      </c>
      <c r="C585" s="18">
        <f>IF($B585="","",IF(1&gt;NFixedA,"",INDEX(PkFixedA,1)))</f>
        <v/>
      </c>
      <c r="D585" s="17">
        <f>IF($B585="","","f")</f>
        <v/>
      </c>
      <c r="E585" s="19">
        <f>IF($B585="","",IF(1&gt;NFixedA,0,SUMIF(CalcDebit,INDEX(PkFixedA,1),CalcAmt)+SUMIF(CalcDebit2,INDEX(PkFixedA,1),CalcAmt2)))</f>
        <v/>
      </c>
      <c r="F585" s="19">
        <f>IF($B585="","",IF(1&gt;NFixedA,0,SUMIF(CalcCredit,INDEX(PkFixedA,1),CalcAmt)+SUMIF(CalcCredit2,INDEX(PkFixedA,1),CalcAmt2)))</f>
        <v/>
      </c>
      <c r="G585" s="20">
        <f>IF($B585="","",ROUND($E585-$F585,0))</f>
        <v/>
      </c>
      <c r="H585" s="17">
        <f>IF($B585="","",IF(ROUND($G585,0)&gt;0,"بدهکار",IF(ROUND($G585,0)&lt;0,"بستانکار","تسویه")))</f>
        <v/>
      </c>
    </row>
    <row r="586">
      <c r="A586" s="11">
        <f>IF($B586="","",577)</f>
        <v/>
      </c>
      <c r="B586" s="12">
        <f>IF(2&gt;NFixedA,"",IFERROR(IF(VLOOKUP(INDEX(PkFixedA,2),AcctTblA,4,0)="","(بدون نام)",VLOOKUP(INDEX(PkFixedA,2),AcctTblA,4,0)),"—"))</f>
        <v/>
      </c>
      <c r="C586" s="13">
        <f>IF($B586="","",IF(2&gt;NFixedA,"",INDEX(PkFixedA,2)))</f>
        <v/>
      </c>
      <c r="D586" s="12">
        <f>IF($B586="","","f")</f>
        <v/>
      </c>
      <c r="E586" s="14">
        <f>IF($B586="","",IF(2&gt;NFixedA,0,SUMIF(CalcDebit,INDEX(PkFixedA,2),CalcAmt)+SUMIF(CalcDebit2,INDEX(PkFixedA,2),CalcAmt2)))</f>
        <v/>
      </c>
      <c r="F586" s="14">
        <f>IF($B586="","",IF(2&gt;NFixedA,0,SUMIF(CalcCredit,INDEX(PkFixedA,2),CalcAmt)+SUMIF(CalcCredit2,INDEX(PkFixedA,2),CalcAmt2)))</f>
        <v/>
      </c>
      <c r="G586" s="15">
        <f>IF($B586="","",ROUND($E586-$F586,0))</f>
        <v/>
      </c>
      <c r="H586" s="12">
        <f>IF($B586="","",IF(ROUND($G586,0)&gt;0,"بدهکار",IF(ROUND($G586,0)&lt;0,"بستانکار","تسویه")))</f>
        <v/>
      </c>
    </row>
    <row r="587">
      <c r="A587" s="16">
        <f>IF($B587="","",578)</f>
        <v/>
      </c>
      <c r="B587" s="17">
        <f>IF(3&gt;NFixedA,"",IFERROR(IF(VLOOKUP(INDEX(PkFixedA,3),AcctTblA,4,0)="","(بدون نام)",VLOOKUP(INDEX(PkFixedA,3),AcctTblA,4,0)),"—"))</f>
        <v/>
      </c>
      <c r="C587" s="18">
        <f>IF($B587="","",IF(3&gt;NFixedA,"",INDEX(PkFixedA,3)))</f>
        <v/>
      </c>
      <c r="D587" s="17">
        <f>IF($B587="","","f")</f>
        <v/>
      </c>
      <c r="E587" s="19">
        <f>IF($B587="","",IF(3&gt;NFixedA,0,SUMIF(CalcDebit,INDEX(PkFixedA,3),CalcAmt)+SUMIF(CalcDebit2,INDEX(PkFixedA,3),CalcAmt2)))</f>
        <v/>
      </c>
      <c r="F587" s="19">
        <f>IF($B587="","",IF(3&gt;NFixedA,0,SUMIF(CalcCredit,INDEX(PkFixedA,3),CalcAmt)+SUMIF(CalcCredit2,INDEX(PkFixedA,3),CalcAmt2)))</f>
        <v/>
      </c>
      <c r="G587" s="20">
        <f>IF($B587="","",ROUND($E587-$F587,0))</f>
        <v/>
      </c>
      <c r="H587" s="17">
        <f>IF($B587="","",IF(ROUND($G587,0)&gt;0,"بدهکار",IF(ROUND($G587,0)&lt;0,"بستانکار","تسویه")))</f>
        <v/>
      </c>
    </row>
    <row r="588">
      <c r="A588" s="11">
        <f>IF($B588="","",579)</f>
        <v/>
      </c>
      <c r="B588" s="12">
        <f>IF(4&gt;NFixedA,"",IFERROR(IF(VLOOKUP(INDEX(PkFixedA,4),AcctTblA,4,0)="","(بدون نام)",VLOOKUP(INDEX(PkFixedA,4),AcctTblA,4,0)),"—"))</f>
        <v/>
      </c>
      <c r="C588" s="13">
        <f>IF($B588="","",IF(4&gt;NFixedA,"",INDEX(PkFixedA,4)))</f>
        <v/>
      </c>
      <c r="D588" s="12">
        <f>IF($B588="","","f")</f>
        <v/>
      </c>
      <c r="E588" s="14">
        <f>IF($B588="","",IF(4&gt;NFixedA,0,SUMIF(CalcDebit,INDEX(PkFixedA,4),CalcAmt)+SUMIF(CalcDebit2,INDEX(PkFixedA,4),CalcAmt2)))</f>
        <v/>
      </c>
      <c r="F588" s="14">
        <f>IF($B588="","",IF(4&gt;NFixedA,0,SUMIF(CalcCredit,INDEX(PkFixedA,4),CalcAmt)+SUMIF(CalcCredit2,INDEX(PkFixedA,4),CalcAmt2)))</f>
        <v/>
      </c>
      <c r="G588" s="15">
        <f>IF($B588="","",ROUND($E588-$F588,0))</f>
        <v/>
      </c>
      <c r="H588" s="12">
        <f>IF($B588="","",IF(ROUND($G588,0)&gt;0,"بدهکار",IF(ROUND($G588,0)&lt;0,"بستانکار","تسویه")))</f>
        <v/>
      </c>
    </row>
    <row r="589">
      <c r="A589" s="16">
        <f>IF($B589="","",580)</f>
        <v/>
      </c>
      <c r="B589" s="17">
        <f>IF(5&gt;NFixedA,"",IFERROR(IF(VLOOKUP(INDEX(PkFixedA,5),AcctTblA,4,0)="","(بدون نام)",VLOOKUP(INDEX(PkFixedA,5),AcctTblA,4,0)),"—"))</f>
        <v/>
      </c>
      <c r="C589" s="18">
        <f>IF($B589="","",IF(5&gt;NFixedA,"",INDEX(PkFixedA,5)))</f>
        <v/>
      </c>
      <c r="D589" s="17">
        <f>IF($B589="","","f")</f>
        <v/>
      </c>
      <c r="E589" s="19">
        <f>IF($B589="","",IF(5&gt;NFixedA,0,SUMIF(CalcDebit,INDEX(PkFixedA,5),CalcAmt)+SUMIF(CalcDebit2,INDEX(PkFixedA,5),CalcAmt2)))</f>
        <v/>
      </c>
      <c r="F589" s="19">
        <f>IF($B589="","",IF(5&gt;NFixedA,0,SUMIF(CalcCredit,INDEX(PkFixedA,5),CalcAmt)+SUMIF(CalcCredit2,INDEX(PkFixedA,5),CalcAmt2)))</f>
        <v/>
      </c>
      <c r="G589" s="20">
        <f>IF($B589="","",ROUND($E589-$F589,0))</f>
        <v/>
      </c>
      <c r="H589" s="17">
        <f>IF($B589="","",IF(ROUND($G589,0)&gt;0,"بدهکار",IF(ROUND($G589,0)&lt;0,"بستانکار","تسویه")))</f>
        <v/>
      </c>
    </row>
    <row r="590">
      <c r="A590" s="11">
        <f>IF($B590="","",581)</f>
        <v/>
      </c>
      <c r="B590" s="12">
        <f>IF(6&gt;NFixedA,"",IFERROR(IF(VLOOKUP(INDEX(PkFixedA,6),AcctTblA,4,0)="","(بدون نام)",VLOOKUP(INDEX(PkFixedA,6),AcctTblA,4,0)),"—"))</f>
        <v/>
      </c>
      <c r="C590" s="13">
        <f>IF($B590="","",IF(6&gt;NFixedA,"",INDEX(PkFixedA,6)))</f>
        <v/>
      </c>
      <c r="D590" s="12">
        <f>IF($B590="","","f")</f>
        <v/>
      </c>
      <c r="E590" s="14">
        <f>IF($B590="","",IF(6&gt;NFixedA,0,SUMIF(CalcDebit,INDEX(PkFixedA,6),CalcAmt)+SUMIF(CalcDebit2,INDEX(PkFixedA,6),CalcAmt2)))</f>
        <v/>
      </c>
      <c r="F590" s="14">
        <f>IF($B590="","",IF(6&gt;NFixedA,0,SUMIF(CalcCredit,INDEX(PkFixedA,6),CalcAmt)+SUMIF(CalcCredit2,INDEX(PkFixedA,6),CalcAmt2)))</f>
        <v/>
      </c>
      <c r="G590" s="15">
        <f>IF($B590="","",ROUND($E590-$F590,0))</f>
        <v/>
      </c>
      <c r="H590" s="12">
        <f>IF($B590="","",IF(ROUND($G590,0)&gt;0,"بدهکار",IF(ROUND($G590,0)&lt;0,"بستانکار","تسویه")))</f>
        <v/>
      </c>
    </row>
    <row r="591">
      <c r="A591" s="16">
        <f>IF($B591="","",582)</f>
        <v/>
      </c>
      <c r="B591" s="17">
        <f>IF(7&gt;NFixedA,"",IFERROR(IF(VLOOKUP(INDEX(PkFixedA,7),AcctTblA,4,0)="","(بدون نام)",VLOOKUP(INDEX(PkFixedA,7),AcctTblA,4,0)),"—"))</f>
        <v/>
      </c>
      <c r="C591" s="18">
        <f>IF($B591="","",IF(7&gt;NFixedA,"",INDEX(PkFixedA,7)))</f>
        <v/>
      </c>
      <c r="D591" s="17">
        <f>IF($B591="","","f")</f>
        <v/>
      </c>
      <c r="E591" s="19">
        <f>IF($B591="","",IF(7&gt;NFixedA,0,SUMIF(CalcDebit,INDEX(PkFixedA,7),CalcAmt)+SUMIF(CalcDebit2,INDEX(PkFixedA,7),CalcAmt2)))</f>
        <v/>
      </c>
      <c r="F591" s="19">
        <f>IF($B591="","",IF(7&gt;NFixedA,0,SUMIF(CalcCredit,INDEX(PkFixedA,7),CalcAmt)+SUMIF(CalcCredit2,INDEX(PkFixedA,7),CalcAmt2)))</f>
        <v/>
      </c>
      <c r="G591" s="20">
        <f>IF($B591="","",ROUND($E591-$F591,0))</f>
        <v/>
      </c>
      <c r="H591" s="17">
        <f>IF($B591="","",IF(ROUND($G591,0)&gt;0,"بدهکار",IF(ROUND($G591,0)&lt;0,"بستانکار","تسویه")))</f>
        <v/>
      </c>
    </row>
    <row r="592">
      <c r="A592" s="11">
        <f>IF($B592="","",583)</f>
        <v/>
      </c>
      <c r="B592" s="12">
        <f>IF(8&gt;NFixedA,"",IFERROR(IF(VLOOKUP(INDEX(PkFixedA,8),AcctTblA,4,0)="","(بدون نام)",VLOOKUP(INDEX(PkFixedA,8),AcctTblA,4,0)),"—"))</f>
        <v/>
      </c>
      <c r="C592" s="13">
        <f>IF($B592="","",IF(8&gt;NFixedA,"",INDEX(PkFixedA,8)))</f>
        <v/>
      </c>
      <c r="D592" s="12">
        <f>IF($B592="","","f")</f>
        <v/>
      </c>
      <c r="E592" s="14">
        <f>IF($B592="","",IF(8&gt;NFixedA,0,SUMIF(CalcDebit,INDEX(PkFixedA,8),CalcAmt)+SUMIF(CalcDebit2,INDEX(PkFixedA,8),CalcAmt2)))</f>
        <v/>
      </c>
      <c r="F592" s="14">
        <f>IF($B592="","",IF(8&gt;NFixedA,0,SUMIF(CalcCredit,INDEX(PkFixedA,8),CalcAmt)+SUMIF(CalcCredit2,INDEX(PkFixedA,8),CalcAmt2)))</f>
        <v/>
      </c>
      <c r="G592" s="15">
        <f>IF($B592="","",ROUND($E592-$F592,0))</f>
        <v/>
      </c>
      <c r="H592" s="12">
        <f>IF($B592="","",IF(ROUND($G592,0)&gt;0,"بدهکار",IF(ROUND($G592,0)&lt;0,"بستانکار","تسویه")))</f>
        <v/>
      </c>
    </row>
    <row r="593">
      <c r="A593" s="16">
        <f>IF($B593="","",584)</f>
        <v/>
      </c>
      <c r="B593" s="17">
        <f>IF(9&gt;NFixedA,"",IFERROR(IF(VLOOKUP(INDEX(PkFixedA,9),AcctTblA,4,0)="","(بدون نام)",VLOOKUP(INDEX(PkFixedA,9),AcctTblA,4,0)),"—"))</f>
        <v/>
      </c>
      <c r="C593" s="18">
        <f>IF($B593="","",IF(9&gt;NFixedA,"",INDEX(PkFixedA,9)))</f>
        <v/>
      </c>
      <c r="D593" s="17">
        <f>IF($B593="","","f")</f>
        <v/>
      </c>
      <c r="E593" s="19">
        <f>IF($B593="","",IF(9&gt;NFixedA,0,SUMIF(CalcDebit,INDEX(PkFixedA,9),CalcAmt)+SUMIF(CalcDebit2,INDEX(PkFixedA,9),CalcAmt2)))</f>
        <v/>
      </c>
      <c r="F593" s="19">
        <f>IF($B593="","",IF(9&gt;NFixedA,0,SUMIF(CalcCredit,INDEX(PkFixedA,9),CalcAmt)+SUMIF(CalcCredit2,INDEX(PkFixedA,9),CalcAmt2)))</f>
        <v/>
      </c>
      <c r="G593" s="20">
        <f>IF($B593="","",ROUND($E593-$F593,0))</f>
        <v/>
      </c>
      <c r="H593" s="17">
        <f>IF($B593="","",IF(ROUND($G593,0)&gt;0,"بدهکار",IF(ROUND($G593,0)&lt;0,"بستانکار","تسویه")))</f>
        <v/>
      </c>
    </row>
    <row r="594">
      <c r="A594" s="11">
        <f>IF($B594="","",585)</f>
        <v/>
      </c>
      <c r="B594" s="12">
        <f>IF(10&gt;NFixedA,"",IFERROR(IF(VLOOKUP(INDEX(PkFixedA,10),AcctTblA,4,0)="","(بدون نام)",VLOOKUP(INDEX(PkFixedA,10),AcctTblA,4,0)),"—"))</f>
        <v/>
      </c>
      <c r="C594" s="13">
        <f>IF($B594="","",IF(10&gt;NFixedA,"",INDEX(PkFixedA,10)))</f>
        <v/>
      </c>
      <c r="D594" s="12">
        <f>IF($B594="","","f")</f>
        <v/>
      </c>
      <c r="E594" s="14">
        <f>IF($B594="","",IF(10&gt;NFixedA,0,SUMIF(CalcDebit,INDEX(PkFixedA,10),CalcAmt)+SUMIF(CalcDebit2,INDEX(PkFixedA,10),CalcAmt2)))</f>
        <v/>
      </c>
      <c r="F594" s="14">
        <f>IF($B594="","",IF(10&gt;NFixedA,0,SUMIF(CalcCredit,INDEX(PkFixedA,10),CalcAmt)+SUMIF(CalcCredit2,INDEX(PkFixedA,10),CalcAmt2)))</f>
        <v/>
      </c>
      <c r="G594" s="15">
        <f>IF($B594="","",ROUND($E594-$F594,0))</f>
        <v/>
      </c>
      <c r="H594" s="12">
        <f>IF($B594="","",IF(ROUND($G594,0)&gt;0,"بدهکار",IF(ROUND($G594,0)&lt;0,"بستانکار","تسویه")))</f>
        <v/>
      </c>
    </row>
    <row r="595">
      <c r="A595" s="16">
        <f>IF($B595="","",586)</f>
        <v/>
      </c>
      <c r="B595" s="17">
        <f>IF(11&gt;NFixedA,"",IFERROR(IF(VLOOKUP(INDEX(PkFixedA,11),AcctTblA,4,0)="","(بدون نام)",VLOOKUP(INDEX(PkFixedA,11),AcctTblA,4,0)),"—"))</f>
        <v/>
      </c>
      <c r="C595" s="18">
        <f>IF($B595="","",IF(11&gt;NFixedA,"",INDEX(PkFixedA,11)))</f>
        <v/>
      </c>
      <c r="D595" s="17">
        <f>IF($B595="","","f")</f>
        <v/>
      </c>
      <c r="E595" s="19">
        <f>IF($B595="","",IF(11&gt;NFixedA,0,SUMIF(CalcDebit,INDEX(PkFixedA,11),CalcAmt)+SUMIF(CalcDebit2,INDEX(PkFixedA,11),CalcAmt2)))</f>
        <v/>
      </c>
      <c r="F595" s="19">
        <f>IF($B595="","",IF(11&gt;NFixedA,0,SUMIF(CalcCredit,INDEX(PkFixedA,11),CalcAmt)+SUMIF(CalcCredit2,INDEX(PkFixedA,11),CalcAmt2)))</f>
        <v/>
      </c>
      <c r="G595" s="20">
        <f>IF($B595="","",ROUND($E595-$F595,0))</f>
        <v/>
      </c>
      <c r="H595" s="17">
        <f>IF($B595="","",IF(ROUND($G595,0)&gt;0,"بدهکار",IF(ROUND($G595,0)&lt;0,"بستانکار","تسویه")))</f>
        <v/>
      </c>
    </row>
    <row r="596">
      <c r="A596" s="11">
        <f>IF($B596="","",587)</f>
        <v/>
      </c>
      <c r="B596" s="12">
        <f>IF(12&gt;NFixedA,"",IFERROR(IF(VLOOKUP(INDEX(PkFixedA,12),AcctTblA,4,0)="","(بدون نام)",VLOOKUP(INDEX(PkFixedA,12),AcctTblA,4,0)),"—"))</f>
        <v/>
      </c>
      <c r="C596" s="13">
        <f>IF($B596="","",IF(12&gt;NFixedA,"",INDEX(PkFixedA,12)))</f>
        <v/>
      </c>
      <c r="D596" s="12">
        <f>IF($B596="","","f")</f>
        <v/>
      </c>
      <c r="E596" s="14">
        <f>IF($B596="","",IF(12&gt;NFixedA,0,SUMIF(CalcDebit,INDEX(PkFixedA,12),CalcAmt)+SUMIF(CalcDebit2,INDEX(PkFixedA,12),CalcAmt2)))</f>
        <v/>
      </c>
      <c r="F596" s="14">
        <f>IF($B596="","",IF(12&gt;NFixedA,0,SUMIF(CalcCredit,INDEX(PkFixedA,12),CalcAmt)+SUMIF(CalcCredit2,INDEX(PkFixedA,12),CalcAmt2)))</f>
        <v/>
      </c>
      <c r="G596" s="15">
        <f>IF($B596="","",ROUND($E596-$F596,0))</f>
        <v/>
      </c>
      <c r="H596" s="12">
        <f>IF($B596="","",IF(ROUND($G596,0)&gt;0,"بدهکار",IF(ROUND($G596,0)&lt;0,"بستانکار","تسویه")))</f>
        <v/>
      </c>
    </row>
    <row r="597">
      <c r="A597" s="16">
        <f>IF($B597="","",588)</f>
        <v/>
      </c>
      <c r="B597" s="17">
        <f>IF(13&gt;NFixedA,"",IFERROR(IF(VLOOKUP(INDEX(PkFixedA,13),AcctTblA,4,0)="","(بدون نام)",VLOOKUP(INDEX(PkFixedA,13),AcctTblA,4,0)),"—"))</f>
        <v/>
      </c>
      <c r="C597" s="18">
        <f>IF($B597="","",IF(13&gt;NFixedA,"",INDEX(PkFixedA,13)))</f>
        <v/>
      </c>
      <c r="D597" s="17">
        <f>IF($B597="","","f")</f>
        <v/>
      </c>
      <c r="E597" s="19">
        <f>IF($B597="","",IF(13&gt;NFixedA,0,SUMIF(CalcDebit,INDEX(PkFixedA,13),CalcAmt)+SUMIF(CalcDebit2,INDEX(PkFixedA,13),CalcAmt2)))</f>
        <v/>
      </c>
      <c r="F597" s="19">
        <f>IF($B597="","",IF(13&gt;NFixedA,0,SUMIF(CalcCredit,INDEX(PkFixedA,13),CalcAmt)+SUMIF(CalcCredit2,INDEX(PkFixedA,13),CalcAmt2)))</f>
        <v/>
      </c>
      <c r="G597" s="20">
        <f>IF($B597="","",ROUND($E597-$F597,0))</f>
        <v/>
      </c>
      <c r="H597" s="17">
        <f>IF($B597="","",IF(ROUND($G597,0)&gt;0,"بدهکار",IF(ROUND($G597,0)&lt;0,"بستانکار","تسویه")))</f>
        <v/>
      </c>
    </row>
    <row r="598">
      <c r="A598" s="11">
        <f>IF($B598="","",589)</f>
        <v/>
      </c>
      <c r="B598" s="12">
        <f>IF(14&gt;NFixedA,"",IFERROR(IF(VLOOKUP(INDEX(PkFixedA,14),AcctTblA,4,0)="","(بدون نام)",VLOOKUP(INDEX(PkFixedA,14),AcctTblA,4,0)),"—"))</f>
        <v/>
      </c>
      <c r="C598" s="13">
        <f>IF($B598="","",IF(14&gt;NFixedA,"",INDEX(PkFixedA,14)))</f>
        <v/>
      </c>
      <c r="D598" s="12">
        <f>IF($B598="","","f")</f>
        <v/>
      </c>
      <c r="E598" s="14">
        <f>IF($B598="","",IF(14&gt;NFixedA,0,SUMIF(CalcDebit,INDEX(PkFixedA,14),CalcAmt)+SUMIF(CalcDebit2,INDEX(PkFixedA,14),CalcAmt2)))</f>
        <v/>
      </c>
      <c r="F598" s="14">
        <f>IF($B598="","",IF(14&gt;NFixedA,0,SUMIF(CalcCredit,INDEX(PkFixedA,14),CalcAmt)+SUMIF(CalcCredit2,INDEX(PkFixedA,14),CalcAmt2)))</f>
        <v/>
      </c>
      <c r="G598" s="15">
        <f>IF($B598="","",ROUND($E598-$F598,0))</f>
        <v/>
      </c>
      <c r="H598" s="12">
        <f>IF($B598="","",IF(ROUND($G598,0)&gt;0,"بدهکار",IF(ROUND($G598,0)&lt;0,"بستانکار","تسویه")))</f>
        <v/>
      </c>
    </row>
    <row r="599">
      <c r="A599" s="16">
        <f>IF($B599="","",590)</f>
        <v/>
      </c>
      <c r="B599" s="17">
        <f>IF(15&gt;NFixedA,"",IFERROR(IF(VLOOKUP(INDEX(PkFixedA,15),AcctTblA,4,0)="","(بدون نام)",VLOOKUP(INDEX(PkFixedA,15),AcctTblA,4,0)),"—"))</f>
        <v/>
      </c>
      <c r="C599" s="18">
        <f>IF($B599="","",IF(15&gt;NFixedA,"",INDEX(PkFixedA,15)))</f>
        <v/>
      </c>
      <c r="D599" s="17">
        <f>IF($B599="","","f")</f>
        <v/>
      </c>
      <c r="E599" s="19">
        <f>IF($B599="","",IF(15&gt;NFixedA,0,SUMIF(CalcDebit,INDEX(PkFixedA,15),CalcAmt)+SUMIF(CalcDebit2,INDEX(PkFixedA,15),CalcAmt2)))</f>
        <v/>
      </c>
      <c r="F599" s="19">
        <f>IF($B599="","",IF(15&gt;NFixedA,0,SUMIF(CalcCredit,INDEX(PkFixedA,15),CalcAmt)+SUMIF(CalcCredit2,INDEX(PkFixedA,15),CalcAmt2)))</f>
        <v/>
      </c>
      <c r="G599" s="20">
        <f>IF($B599="","",ROUND($E599-$F599,0))</f>
        <v/>
      </c>
      <c r="H599" s="17">
        <f>IF($B599="","",IF(ROUND($G599,0)&gt;0,"بدهکار",IF(ROUND($G599,0)&lt;0,"بستانکار","تسویه")))</f>
        <v/>
      </c>
    </row>
    <row r="600">
      <c r="A600" s="11">
        <f>IF($B600="","",591)</f>
        <v/>
      </c>
      <c r="B600" s="12">
        <f>IF(16&gt;NFixedA,"",IFERROR(IF(VLOOKUP(INDEX(PkFixedA,16),AcctTblA,4,0)="","(بدون نام)",VLOOKUP(INDEX(PkFixedA,16),AcctTblA,4,0)),"—"))</f>
        <v/>
      </c>
      <c r="C600" s="13">
        <f>IF($B600="","",IF(16&gt;NFixedA,"",INDEX(PkFixedA,16)))</f>
        <v/>
      </c>
      <c r="D600" s="12">
        <f>IF($B600="","","f")</f>
        <v/>
      </c>
      <c r="E600" s="14">
        <f>IF($B600="","",IF(16&gt;NFixedA,0,SUMIF(CalcDebit,INDEX(PkFixedA,16),CalcAmt)+SUMIF(CalcDebit2,INDEX(PkFixedA,16),CalcAmt2)))</f>
        <v/>
      </c>
      <c r="F600" s="14">
        <f>IF($B600="","",IF(16&gt;NFixedA,0,SUMIF(CalcCredit,INDEX(PkFixedA,16),CalcAmt)+SUMIF(CalcCredit2,INDEX(PkFixedA,16),CalcAmt2)))</f>
        <v/>
      </c>
      <c r="G600" s="15">
        <f>IF($B600="","",ROUND($E600-$F600,0))</f>
        <v/>
      </c>
      <c r="H600" s="12">
        <f>IF($B600="","",IF(ROUND($G600,0)&gt;0,"بدهکار",IF(ROUND($G600,0)&lt;0,"بستانکار","تسویه")))</f>
        <v/>
      </c>
    </row>
    <row r="601">
      <c r="A601" s="16">
        <f>IF($B601="","",592)</f>
        <v/>
      </c>
      <c r="B601" s="17">
        <f>IF(17&gt;NFixedA,"",IFERROR(IF(VLOOKUP(INDEX(PkFixedA,17),AcctTblA,4,0)="","(بدون نام)",VLOOKUP(INDEX(PkFixedA,17),AcctTblA,4,0)),"—"))</f>
        <v/>
      </c>
      <c r="C601" s="18">
        <f>IF($B601="","",IF(17&gt;NFixedA,"",INDEX(PkFixedA,17)))</f>
        <v/>
      </c>
      <c r="D601" s="17">
        <f>IF($B601="","","f")</f>
        <v/>
      </c>
      <c r="E601" s="19">
        <f>IF($B601="","",IF(17&gt;NFixedA,0,SUMIF(CalcDebit,INDEX(PkFixedA,17),CalcAmt)+SUMIF(CalcDebit2,INDEX(PkFixedA,17),CalcAmt2)))</f>
        <v/>
      </c>
      <c r="F601" s="19">
        <f>IF($B601="","",IF(17&gt;NFixedA,0,SUMIF(CalcCredit,INDEX(PkFixedA,17),CalcAmt)+SUMIF(CalcCredit2,INDEX(PkFixedA,17),CalcAmt2)))</f>
        <v/>
      </c>
      <c r="G601" s="20">
        <f>IF($B601="","",ROUND($E601-$F601,0))</f>
        <v/>
      </c>
      <c r="H601" s="17">
        <f>IF($B601="","",IF(ROUND($G601,0)&gt;0,"بدهکار",IF(ROUND($G601,0)&lt;0,"بستانکار","تسویه")))</f>
        <v/>
      </c>
    </row>
    <row r="602">
      <c r="A602" s="11">
        <f>IF($B602="","",593)</f>
        <v/>
      </c>
      <c r="B602" s="12">
        <f>IF(18&gt;NFixedA,"",IFERROR(IF(VLOOKUP(INDEX(PkFixedA,18),AcctTblA,4,0)="","(بدون نام)",VLOOKUP(INDEX(PkFixedA,18),AcctTblA,4,0)),"—"))</f>
        <v/>
      </c>
      <c r="C602" s="13">
        <f>IF($B602="","",IF(18&gt;NFixedA,"",INDEX(PkFixedA,18)))</f>
        <v/>
      </c>
      <c r="D602" s="12">
        <f>IF($B602="","","f")</f>
        <v/>
      </c>
      <c r="E602" s="14">
        <f>IF($B602="","",IF(18&gt;NFixedA,0,SUMIF(CalcDebit,INDEX(PkFixedA,18),CalcAmt)+SUMIF(CalcDebit2,INDEX(PkFixedA,18),CalcAmt2)))</f>
        <v/>
      </c>
      <c r="F602" s="14">
        <f>IF($B602="","",IF(18&gt;NFixedA,0,SUMIF(CalcCredit,INDEX(PkFixedA,18),CalcAmt)+SUMIF(CalcCredit2,INDEX(PkFixedA,18),CalcAmt2)))</f>
        <v/>
      </c>
      <c r="G602" s="15">
        <f>IF($B602="","",ROUND($E602-$F602,0))</f>
        <v/>
      </c>
      <c r="H602" s="12">
        <f>IF($B602="","",IF(ROUND($G602,0)&gt;0,"بدهکار",IF(ROUND($G602,0)&lt;0,"بستانکار","تسویه")))</f>
        <v/>
      </c>
    </row>
    <row r="603">
      <c r="A603" s="16">
        <f>IF($B603="","",594)</f>
        <v/>
      </c>
      <c r="B603" s="17">
        <f>IF(19&gt;NFixedA,"",IFERROR(IF(VLOOKUP(INDEX(PkFixedA,19),AcctTblA,4,0)="","(بدون نام)",VLOOKUP(INDEX(PkFixedA,19),AcctTblA,4,0)),"—"))</f>
        <v/>
      </c>
      <c r="C603" s="18">
        <f>IF($B603="","",IF(19&gt;NFixedA,"",INDEX(PkFixedA,19)))</f>
        <v/>
      </c>
      <c r="D603" s="17">
        <f>IF($B603="","","f")</f>
        <v/>
      </c>
      <c r="E603" s="19">
        <f>IF($B603="","",IF(19&gt;NFixedA,0,SUMIF(CalcDebit,INDEX(PkFixedA,19),CalcAmt)+SUMIF(CalcDebit2,INDEX(PkFixedA,19),CalcAmt2)))</f>
        <v/>
      </c>
      <c r="F603" s="19">
        <f>IF($B603="","",IF(19&gt;NFixedA,0,SUMIF(CalcCredit,INDEX(PkFixedA,19),CalcAmt)+SUMIF(CalcCredit2,INDEX(PkFixedA,19),CalcAmt2)))</f>
        <v/>
      </c>
      <c r="G603" s="20">
        <f>IF($B603="","",ROUND($E603-$F603,0))</f>
        <v/>
      </c>
      <c r="H603" s="17">
        <f>IF($B603="","",IF(ROUND($G603,0)&gt;0,"بدهکار",IF(ROUND($G603,0)&lt;0,"بستانکار","تسویه")))</f>
        <v/>
      </c>
    </row>
    <row r="604">
      <c r="A604" s="11">
        <f>IF($B604="","",595)</f>
        <v/>
      </c>
      <c r="B604" s="12">
        <f>IF(20&gt;NFixedA,"",IFERROR(IF(VLOOKUP(INDEX(PkFixedA,20),AcctTblA,4,0)="","(بدون نام)",VLOOKUP(INDEX(PkFixedA,20),AcctTblA,4,0)),"—"))</f>
        <v/>
      </c>
      <c r="C604" s="13">
        <f>IF($B604="","",IF(20&gt;NFixedA,"",INDEX(PkFixedA,20)))</f>
        <v/>
      </c>
      <c r="D604" s="12">
        <f>IF($B604="","","f")</f>
        <v/>
      </c>
      <c r="E604" s="14">
        <f>IF($B604="","",IF(20&gt;NFixedA,0,SUMIF(CalcDebit,INDEX(PkFixedA,20),CalcAmt)+SUMIF(CalcDebit2,INDEX(PkFixedA,20),CalcAmt2)))</f>
        <v/>
      </c>
      <c r="F604" s="14">
        <f>IF($B604="","",IF(20&gt;NFixedA,0,SUMIF(CalcCredit,INDEX(PkFixedA,20),CalcAmt)+SUMIF(CalcCredit2,INDEX(PkFixedA,20),CalcAmt2)))</f>
        <v/>
      </c>
      <c r="G604" s="15">
        <f>IF($B604="","",ROUND($E604-$F604,0))</f>
        <v/>
      </c>
      <c r="H604" s="12">
        <f>IF($B604="","",IF(ROUND($G604,0)&gt;0,"بدهکار",IF(ROUND($G604,0)&lt;0,"بستانکار","تسویه")))</f>
        <v/>
      </c>
    </row>
    <row r="605">
      <c r="A605" s="16">
        <f>IF($B605="","",596)</f>
        <v/>
      </c>
      <c r="B605" s="17">
        <f>IF(21&gt;NFixedA,"",IFERROR(IF(VLOOKUP(INDEX(PkFixedA,21),AcctTblA,4,0)="","(بدون نام)",VLOOKUP(INDEX(PkFixedA,21),AcctTblA,4,0)),"—"))</f>
        <v/>
      </c>
      <c r="C605" s="18">
        <f>IF($B605="","",IF(21&gt;NFixedA,"",INDEX(PkFixedA,21)))</f>
        <v/>
      </c>
      <c r="D605" s="17">
        <f>IF($B605="","","f")</f>
        <v/>
      </c>
      <c r="E605" s="19">
        <f>IF($B605="","",IF(21&gt;NFixedA,0,SUMIF(CalcDebit,INDEX(PkFixedA,21),CalcAmt)+SUMIF(CalcDebit2,INDEX(PkFixedA,21),CalcAmt2)))</f>
        <v/>
      </c>
      <c r="F605" s="19">
        <f>IF($B605="","",IF(21&gt;NFixedA,0,SUMIF(CalcCredit,INDEX(PkFixedA,21),CalcAmt)+SUMIF(CalcCredit2,INDEX(PkFixedA,21),CalcAmt2)))</f>
        <v/>
      </c>
      <c r="G605" s="20">
        <f>IF($B605="","",ROUND($E605-$F605,0))</f>
        <v/>
      </c>
      <c r="H605" s="17">
        <f>IF($B605="","",IF(ROUND($G605,0)&gt;0,"بدهکار",IF(ROUND($G605,0)&lt;0,"بستانکار","تسویه")))</f>
        <v/>
      </c>
    </row>
    <row r="606">
      <c r="A606" s="11">
        <f>IF($B606="","",597)</f>
        <v/>
      </c>
      <c r="B606" s="12">
        <f>IF(22&gt;NFixedA,"",IFERROR(IF(VLOOKUP(INDEX(PkFixedA,22),AcctTblA,4,0)="","(بدون نام)",VLOOKUP(INDEX(PkFixedA,22),AcctTblA,4,0)),"—"))</f>
        <v/>
      </c>
      <c r="C606" s="13">
        <f>IF($B606="","",IF(22&gt;NFixedA,"",INDEX(PkFixedA,22)))</f>
        <v/>
      </c>
      <c r="D606" s="12">
        <f>IF($B606="","","f")</f>
        <v/>
      </c>
      <c r="E606" s="14">
        <f>IF($B606="","",IF(22&gt;NFixedA,0,SUMIF(CalcDebit,INDEX(PkFixedA,22),CalcAmt)+SUMIF(CalcDebit2,INDEX(PkFixedA,22),CalcAmt2)))</f>
        <v/>
      </c>
      <c r="F606" s="14">
        <f>IF($B606="","",IF(22&gt;NFixedA,0,SUMIF(CalcCredit,INDEX(PkFixedA,22),CalcAmt)+SUMIF(CalcCredit2,INDEX(PkFixedA,22),CalcAmt2)))</f>
        <v/>
      </c>
      <c r="G606" s="15">
        <f>IF($B606="","",ROUND($E606-$F606,0))</f>
        <v/>
      </c>
      <c r="H606" s="12">
        <f>IF($B606="","",IF(ROUND($G606,0)&gt;0,"بدهکار",IF(ROUND($G606,0)&lt;0,"بستانکار","تسویه")))</f>
        <v/>
      </c>
    </row>
    <row r="607">
      <c r="A607" s="16">
        <f>IF($B607="","",598)</f>
        <v/>
      </c>
      <c r="B607" s="17">
        <f>IF(23&gt;NFixedA,"",IFERROR(IF(VLOOKUP(INDEX(PkFixedA,23),AcctTblA,4,0)="","(بدون نام)",VLOOKUP(INDEX(PkFixedA,23),AcctTblA,4,0)),"—"))</f>
        <v/>
      </c>
      <c r="C607" s="18">
        <f>IF($B607="","",IF(23&gt;NFixedA,"",INDEX(PkFixedA,23)))</f>
        <v/>
      </c>
      <c r="D607" s="17">
        <f>IF($B607="","","f")</f>
        <v/>
      </c>
      <c r="E607" s="19">
        <f>IF($B607="","",IF(23&gt;NFixedA,0,SUMIF(CalcDebit,INDEX(PkFixedA,23),CalcAmt)+SUMIF(CalcDebit2,INDEX(PkFixedA,23),CalcAmt2)))</f>
        <v/>
      </c>
      <c r="F607" s="19">
        <f>IF($B607="","",IF(23&gt;NFixedA,0,SUMIF(CalcCredit,INDEX(PkFixedA,23),CalcAmt)+SUMIF(CalcCredit2,INDEX(PkFixedA,23),CalcAmt2)))</f>
        <v/>
      </c>
      <c r="G607" s="20">
        <f>IF($B607="","",ROUND($E607-$F607,0))</f>
        <v/>
      </c>
      <c r="H607" s="17">
        <f>IF($B607="","",IF(ROUND($G607,0)&gt;0,"بدهکار",IF(ROUND($G607,0)&lt;0,"بستانکار","تسویه")))</f>
        <v/>
      </c>
    </row>
    <row r="608">
      <c r="A608" s="11">
        <f>IF($B608="","",599)</f>
        <v/>
      </c>
      <c r="B608" s="12">
        <f>IF(24&gt;NFixedA,"",IFERROR(IF(VLOOKUP(INDEX(PkFixedA,24),AcctTblA,4,0)="","(بدون نام)",VLOOKUP(INDEX(PkFixedA,24),AcctTblA,4,0)),"—"))</f>
        <v/>
      </c>
      <c r="C608" s="13">
        <f>IF($B608="","",IF(24&gt;NFixedA,"",INDEX(PkFixedA,24)))</f>
        <v/>
      </c>
      <c r="D608" s="12">
        <f>IF($B608="","","f")</f>
        <v/>
      </c>
      <c r="E608" s="14">
        <f>IF($B608="","",IF(24&gt;NFixedA,0,SUMIF(CalcDebit,INDEX(PkFixedA,24),CalcAmt)+SUMIF(CalcDebit2,INDEX(PkFixedA,24),CalcAmt2)))</f>
        <v/>
      </c>
      <c r="F608" s="14">
        <f>IF($B608="","",IF(24&gt;NFixedA,0,SUMIF(CalcCredit,INDEX(PkFixedA,24),CalcAmt)+SUMIF(CalcCredit2,INDEX(PkFixedA,24),CalcAmt2)))</f>
        <v/>
      </c>
      <c r="G608" s="15">
        <f>IF($B608="","",ROUND($E608-$F608,0))</f>
        <v/>
      </c>
      <c r="H608" s="12">
        <f>IF($B608="","",IF(ROUND($G608,0)&gt;0,"بدهکار",IF(ROUND($G608,0)&lt;0,"بستانکار","تسویه")))</f>
        <v/>
      </c>
    </row>
    <row r="609">
      <c r="A609" s="16">
        <f>IF($B609="","",600)</f>
        <v/>
      </c>
      <c r="B609" s="17">
        <f>IF(25&gt;NFixedA,"",IFERROR(IF(VLOOKUP(INDEX(PkFixedA,25),AcctTblA,4,0)="","(بدون نام)",VLOOKUP(INDEX(PkFixedA,25),AcctTblA,4,0)),"—"))</f>
        <v/>
      </c>
      <c r="C609" s="18">
        <f>IF($B609="","",IF(25&gt;NFixedA,"",INDEX(PkFixedA,25)))</f>
        <v/>
      </c>
      <c r="D609" s="17">
        <f>IF($B609="","","f")</f>
        <v/>
      </c>
      <c r="E609" s="19">
        <f>IF($B609="","",IF(25&gt;NFixedA,0,SUMIF(CalcDebit,INDEX(PkFixedA,25),CalcAmt)+SUMIF(CalcDebit2,INDEX(PkFixedA,25),CalcAmt2)))</f>
        <v/>
      </c>
      <c r="F609" s="19">
        <f>IF($B609="","",IF(25&gt;NFixedA,0,SUMIF(CalcCredit,INDEX(PkFixedA,25),CalcAmt)+SUMIF(CalcCredit2,INDEX(PkFixedA,25),CalcAmt2)))</f>
        <v/>
      </c>
      <c r="G609" s="20">
        <f>IF($B609="","",ROUND($E609-$F609,0))</f>
        <v/>
      </c>
      <c r="H609" s="17">
        <f>IF($B609="","",IF(ROUND($G609,0)&gt;0,"بدهکار",IF(ROUND($G609,0)&lt;0,"بستانکار","تسویه")))</f>
        <v/>
      </c>
    </row>
    <row r="610">
      <c r="A610" s="11">
        <f>IF($B610="","",601)</f>
        <v/>
      </c>
      <c r="B610" s="12">
        <f>IF(26&gt;NFixedA,"",IFERROR(IF(VLOOKUP(INDEX(PkFixedA,26),AcctTblA,4,0)="","(بدون نام)",VLOOKUP(INDEX(PkFixedA,26),AcctTblA,4,0)),"—"))</f>
        <v/>
      </c>
      <c r="C610" s="13">
        <f>IF($B610="","",IF(26&gt;NFixedA,"",INDEX(PkFixedA,26)))</f>
        <v/>
      </c>
      <c r="D610" s="12">
        <f>IF($B610="","","f")</f>
        <v/>
      </c>
      <c r="E610" s="14">
        <f>IF($B610="","",IF(26&gt;NFixedA,0,SUMIF(CalcDebit,INDEX(PkFixedA,26),CalcAmt)+SUMIF(CalcDebit2,INDEX(PkFixedA,26),CalcAmt2)))</f>
        <v/>
      </c>
      <c r="F610" s="14">
        <f>IF($B610="","",IF(26&gt;NFixedA,0,SUMIF(CalcCredit,INDEX(PkFixedA,26),CalcAmt)+SUMIF(CalcCredit2,INDEX(PkFixedA,26),CalcAmt2)))</f>
        <v/>
      </c>
      <c r="G610" s="15">
        <f>IF($B610="","",ROUND($E610-$F610,0))</f>
        <v/>
      </c>
      <c r="H610" s="12">
        <f>IF($B610="","",IF(ROUND($G610,0)&gt;0,"بدهکار",IF(ROUND($G610,0)&lt;0,"بستانکار","تسویه")))</f>
        <v/>
      </c>
    </row>
    <row r="611">
      <c r="A611" s="16">
        <f>IF($B611="","",602)</f>
        <v/>
      </c>
      <c r="B611" s="17">
        <f>IF(27&gt;NFixedA,"",IFERROR(IF(VLOOKUP(INDEX(PkFixedA,27),AcctTblA,4,0)="","(بدون نام)",VLOOKUP(INDEX(PkFixedA,27),AcctTblA,4,0)),"—"))</f>
        <v/>
      </c>
      <c r="C611" s="18">
        <f>IF($B611="","",IF(27&gt;NFixedA,"",INDEX(PkFixedA,27)))</f>
        <v/>
      </c>
      <c r="D611" s="17">
        <f>IF($B611="","","f")</f>
        <v/>
      </c>
      <c r="E611" s="19">
        <f>IF($B611="","",IF(27&gt;NFixedA,0,SUMIF(CalcDebit,INDEX(PkFixedA,27),CalcAmt)+SUMIF(CalcDebit2,INDEX(PkFixedA,27),CalcAmt2)))</f>
        <v/>
      </c>
      <c r="F611" s="19">
        <f>IF($B611="","",IF(27&gt;NFixedA,0,SUMIF(CalcCredit,INDEX(PkFixedA,27),CalcAmt)+SUMIF(CalcCredit2,INDEX(PkFixedA,27),CalcAmt2)))</f>
        <v/>
      </c>
      <c r="G611" s="20">
        <f>IF($B611="","",ROUND($E611-$F611,0))</f>
        <v/>
      </c>
      <c r="H611" s="17">
        <f>IF($B611="","",IF(ROUND($G611,0)&gt;0,"بدهکار",IF(ROUND($G611,0)&lt;0,"بستانکار","تسویه")))</f>
        <v/>
      </c>
    </row>
    <row r="612">
      <c r="A612" s="11">
        <f>IF($B612="","",603)</f>
        <v/>
      </c>
      <c r="B612" s="12">
        <f>IF(28&gt;NFixedA,"",IFERROR(IF(VLOOKUP(INDEX(PkFixedA,28),AcctTblA,4,0)="","(بدون نام)",VLOOKUP(INDEX(PkFixedA,28),AcctTblA,4,0)),"—"))</f>
        <v/>
      </c>
      <c r="C612" s="13">
        <f>IF($B612="","",IF(28&gt;NFixedA,"",INDEX(PkFixedA,28)))</f>
        <v/>
      </c>
      <c r="D612" s="12">
        <f>IF($B612="","","f")</f>
        <v/>
      </c>
      <c r="E612" s="14">
        <f>IF($B612="","",IF(28&gt;NFixedA,0,SUMIF(CalcDebit,INDEX(PkFixedA,28),CalcAmt)+SUMIF(CalcDebit2,INDEX(PkFixedA,28),CalcAmt2)))</f>
        <v/>
      </c>
      <c r="F612" s="14">
        <f>IF($B612="","",IF(28&gt;NFixedA,0,SUMIF(CalcCredit,INDEX(PkFixedA,28),CalcAmt)+SUMIF(CalcCredit2,INDEX(PkFixedA,28),CalcAmt2)))</f>
        <v/>
      </c>
      <c r="G612" s="15">
        <f>IF($B612="","",ROUND($E612-$F612,0))</f>
        <v/>
      </c>
      <c r="H612" s="12">
        <f>IF($B612="","",IF(ROUND($G612,0)&gt;0,"بدهکار",IF(ROUND($G612,0)&lt;0,"بستانکار","تسویه")))</f>
        <v/>
      </c>
    </row>
    <row r="613">
      <c r="A613" s="16">
        <f>IF($B613="","",604)</f>
        <v/>
      </c>
      <c r="B613" s="17">
        <f>IF(29&gt;NFixedA,"",IFERROR(IF(VLOOKUP(INDEX(PkFixedA,29),AcctTblA,4,0)="","(بدون نام)",VLOOKUP(INDEX(PkFixedA,29),AcctTblA,4,0)),"—"))</f>
        <v/>
      </c>
      <c r="C613" s="18">
        <f>IF($B613="","",IF(29&gt;NFixedA,"",INDEX(PkFixedA,29)))</f>
        <v/>
      </c>
      <c r="D613" s="17">
        <f>IF($B613="","","f")</f>
        <v/>
      </c>
      <c r="E613" s="19">
        <f>IF($B613="","",IF(29&gt;NFixedA,0,SUMIF(CalcDebit,INDEX(PkFixedA,29),CalcAmt)+SUMIF(CalcDebit2,INDEX(PkFixedA,29),CalcAmt2)))</f>
        <v/>
      </c>
      <c r="F613" s="19">
        <f>IF($B613="","",IF(29&gt;NFixedA,0,SUMIF(CalcCredit,INDEX(PkFixedA,29),CalcAmt)+SUMIF(CalcCredit2,INDEX(PkFixedA,29),CalcAmt2)))</f>
        <v/>
      </c>
      <c r="G613" s="20">
        <f>IF($B613="","",ROUND($E613-$F613,0))</f>
        <v/>
      </c>
      <c r="H613" s="17">
        <f>IF($B613="","",IF(ROUND($G613,0)&gt;0,"بدهکار",IF(ROUND($G613,0)&lt;0,"بستانکار","تسویه")))</f>
        <v/>
      </c>
    </row>
    <row r="614">
      <c r="A614" s="11">
        <f>IF($B614="","",605)</f>
        <v/>
      </c>
      <c r="B614" s="12">
        <f>IF(30&gt;NFixedA,"",IFERROR(IF(VLOOKUP(INDEX(PkFixedA,30),AcctTblA,4,0)="","(بدون نام)",VLOOKUP(INDEX(PkFixedA,30),AcctTblA,4,0)),"—"))</f>
        <v/>
      </c>
      <c r="C614" s="13">
        <f>IF($B614="","",IF(30&gt;NFixedA,"",INDEX(PkFixedA,30)))</f>
        <v/>
      </c>
      <c r="D614" s="12">
        <f>IF($B614="","","f")</f>
        <v/>
      </c>
      <c r="E614" s="14">
        <f>IF($B614="","",IF(30&gt;NFixedA,0,SUMIF(CalcDebit,INDEX(PkFixedA,30),CalcAmt)+SUMIF(CalcDebit2,INDEX(PkFixedA,30),CalcAmt2)))</f>
        <v/>
      </c>
      <c r="F614" s="14">
        <f>IF($B614="","",IF(30&gt;NFixedA,0,SUMIF(CalcCredit,INDEX(PkFixedA,30),CalcAmt)+SUMIF(CalcCredit2,INDEX(PkFixedA,30),CalcAmt2)))</f>
        <v/>
      </c>
      <c r="G614" s="15">
        <f>IF($B614="","",ROUND($E614-$F614,0))</f>
        <v/>
      </c>
      <c r="H614" s="12">
        <f>IF($B614="","",IF(ROUND($G614,0)&gt;0,"بدهکار",IF(ROUND($G614,0)&lt;0,"بستانکار","تسویه")))</f>
        <v/>
      </c>
    </row>
    <row r="615">
      <c r="A615" s="16">
        <f>IF($B615="","",606)</f>
        <v/>
      </c>
      <c r="B615" s="17">
        <f>IF(31&gt;NFixedA,"",IFERROR(IF(VLOOKUP(INDEX(PkFixedA,31),AcctTblA,4,0)="","(بدون نام)",VLOOKUP(INDEX(PkFixedA,31),AcctTblA,4,0)),"—"))</f>
        <v/>
      </c>
      <c r="C615" s="18">
        <f>IF($B615="","",IF(31&gt;NFixedA,"",INDEX(PkFixedA,31)))</f>
        <v/>
      </c>
      <c r="D615" s="17">
        <f>IF($B615="","","f")</f>
        <v/>
      </c>
      <c r="E615" s="19">
        <f>IF($B615="","",IF(31&gt;NFixedA,0,SUMIF(CalcDebit,INDEX(PkFixedA,31),CalcAmt)+SUMIF(CalcDebit2,INDEX(PkFixedA,31),CalcAmt2)))</f>
        <v/>
      </c>
      <c r="F615" s="19">
        <f>IF($B615="","",IF(31&gt;NFixedA,0,SUMIF(CalcCredit,INDEX(PkFixedA,31),CalcAmt)+SUMIF(CalcCredit2,INDEX(PkFixedA,31),CalcAmt2)))</f>
        <v/>
      </c>
      <c r="G615" s="20">
        <f>IF($B615="","",ROUND($E615-$F615,0))</f>
        <v/>
      </c>
      <c r="H615" s="17">
        <f>IF($B615="","",IF(ROUND($G615,0)&gt;0,"بدهکار",IF(ROUND($G615,0)&lt;0,"بستانکار","تسویه")))</f>
        <v/>
      </c>
    </row>
    <row r="616">
      <c r="A616" s="11">
        <f>IF($B616="","",607)</f>
        <v/>
      </c>
      <c r="B616" s="12">
        <f>IF(32&gt;NFixedA,"",IFERROR(IF(VLOOKUP(INDEX(PkFixedA,32),AcctTblA,4,0)="","(بدون نام)",VLOOKUP(INDEX(PkFixedA,32),AcctTblA,4,0)),"—"))</f>
        <v/>
      </c>
      <c r="C616" s="13">
        <f>IF($B616="","",IF(32&gt;NFixedA,"",INDEX(PkFixedA,32)))</f>
        <v/>
      </c>
      <c r="D616" s="12">
        <f>IF($B616="","","f")</f>
        <v/>
      </c>
      <c r="E616" s="14">
        <f>IF($B616="","",IF(32&gt;NFixedA,0,SUMIF(CalcDebit,INDEX(PkFixedA,32),CalcAmt)+SUMIF(CalcDebit2,INDEX(PkFixedA,32),CalcAmt2)))</f>
        <v/>
      </c>
      <c r="F616" s="14">
        <f>IF($B616="","",IF(32&gt;NFixedA,0,SUMIF(CalcCredit,INDEX(PkFixedA,32),CalcAmt)+SUMIF(CalcCredit2,INDEX(PkFixedA,32),CalcAmt2)))</f>
        <v/>
      </c>
      <c r="G616" s="15">
        <f>IF($B616="","",ROUND($E616-$F616,0))</f>
        <v/>
      </c>
      <c r="H616" s="12">
        <f>IF($B616="","",IF(ROUND($G616,0)&gt;0,"بدهکار",IF(ROUND($G616,0)&lt;0,"بستانکار","تسویه")))</f>
        <v/>
      </c>
    </row>
    <row r="617">
      <c r="A617" s="16">
        <f>IF($B617="","",608)</f>
        <v/>
      </c>
      <c r="B617" s="17">
        <f>IF(33&gt;NFixedA,"",IFERROR(IF(VLOOKUP(INDEX(PkFixedA,33),AcctTblA,4,0)="","(بدون نام)",VLOOKUP(INDEX(PkFixedA,33),AcctTblA,4,0)),"—"))</f>
        <v/>
      </c>
      <c r="C617" s="18">
        <f>IF($B617="","",IF(33&gt;NFixedA,"",INDEX(PkFixedA,33)))</f>
        <v/>
      </c>
      <c r="D617" s="17">
        <f>IF($B617="","","f")</f>
        <v/>
      </c>
      <c r="E617" s="19">
        <f>IF($B617="","",IF(33&gt;NFixedA,0,SUMIF(CalcDebit,INDEX(PkFixedA,33),CalcAmt)+SUMIF(CalcDebit2,INDEX(PkFixedA,33),CalcAmt2)))</f>
        <v/>
      </c>
      <c r="F617" s="19">
        <f>IF($B617="","",IF(33&gt;NFixedA,0,SUMIF(CalcCredit,INDEX(PkFixedA,33),CalcAmt)+SUMIF(CalcCredit2,INDEX(PkFixedA,33),CalcAmt2)))</f>
        <v/>
      </c>
      <c r="G617" s="20">
        <f>IF($B617="","",ROUND($E617-$F617,0))</f>
        <v/>
      </c>
      <c r="H617" s="17">
        <f>IF($B617="","",IF(ROUND($G617,0)&gt;0,"بدهکار",IF(ROUND($G617,0)&lt;0,"بستانکار","تسویه")))</f>
        <v/>
      </c>
    </row>
    <row r="618">
      <c r="A618" s="11">
        <f>IF($B618="","",609)</f>
        <v/>
      </c>
      <c r="B618" s="12">
        <f>IF(34&gt;NFixedA,"",IFERROR(IF(VLOOKUP(INDEX(PkFixedA,34),AcctTblA,4,0)="","(بدون نام)",VLOOKUP(INDEX(PkFixedA,34),AcctTblA,4,0)),"—"))</f>
        <v/>
      </c>
      <c r="C618" s="13">
        <f>IF($B618="","",IF(34&gt;NFixedA,"",INDEX(PkFixedA,34)))</f>
        <v/>
      </c>
      <c r="D618" s="12">
        <f>IF($B618="","","f")</f>
        <v/>
      </c>
      <c r="E618" s="14">
        <f>IF($B618="","",IF(34&gt;NFixedA,0,SUMIF(CalcDebit,INDEX(PkFixedA,34),CalcAmt)+SUMIF(CalcDebit2,INDEX(PkFixedA,34),CalcAmt2)))</f>
        <v/>
      </c>
      <c r="F618" s="14">
        <f>IF($B618="","",IF(34&gt;NFixedA,0,SUMIF(CalcCredit,INDEX(PkFixedA,34),CalcAmt)+SUMIF(CalcCredit2,INDEX(PkFixedA,34),CalcAmt2)))</f>
        <v/>
      </c>
      <c r="G618" s="15">
        <f>IF($B618="","",ROUND($E618-$F618,0))</f>
        <v/>
      </c>
      <c r="H618" s="12">
        <f>IF($B618="","",IF(ROUND($G618,0)&gt;0,"بدهکار",IF(ROUND($G618,0)&lt;0,"بستانکار","تسویه")))</f>
        <v/>
      </c>
    </row>
    <row r="619">
      <c r="A619" s="16">
        <f>IF($B619="","",610)</f>
        <v/>
      </c>
      <c r="B619" s="17">
        <f>IF(35&gt;NFixedA,"",IFERROR(IF(VLOOKUP(INDEX(PkFixedA,35),AcctTblA,4,0)="","(بدون نام)",VLOOKUP(INDEX(PkFixedA,35),AcctTblA,4,0)),"—"))</f>
        <v/>
      </c>
      <c r="C619" s="18">
        <f>IF($B619="","",IF(35&gt;NFixedA,"",INDEX(PkFixedA,35)))</f>
        <v/>
      </c>
      <c r="D619" s="17">
        <f>IF($B619="","","f")</f>
        <v/>
      </c>
      <c r="E619" s="19">
        <f>IF($B619="","",IF(35&gt;NFixedA,0,SUMIF(CalcDebit,INDEX(PkFixedA,35),CalcAmt)+SUMIF(CalcDebit2,INDEX(PkFixedA,35),CalcAmt2)))</f>
        <v/>
      </c>
      <c r="F619" s="19">
        <f>IF($B619="","",IF(35&gt;NFixedA,0,SUMIF(CalcCredit,INDEX(PkFixedA,35),CalcAmt)+SUMIF(CalcCredit2,INDEX(PkFixedA,35),CalcAmt2)))</f>
        <v/>
      </c>
      <c r="G619" s="20">
        <f>IF($B619="","",ROUND($E619-$F619,0))</f>
        <v/>
      </c>
      <c r="H619" s="17">
        <f>IF($B619="","",IF(ROUND($G619,0)&gt;0,"بدهکار",IF(ROUND($G619,0)&lt;0,"بستانکار","تسویه")))</f>
        <v/>
      </c>
    </row>
    <row r="620">
      <c r="A620" s="11">
        <f>IF($B620="","",611)</f>
        <v/>
      </c>
      <c r="B620" s="12">
        <f>IF(36&gt;NFixedA,"",IFERROR(IF(VLOOKUP(INDEX(PkFixedA,36),AcctTblA,4,0)="","(بدون نام)",VLOOKUP(INDEX(PkFixedA,36),AcctTblA,4,0)),"—"))</f>
        <v/>
      </c>
      <c r="C620" s="13">
        <f>IF($B620="","",IF(36&gt;NFixedA,"",INDEX(PkFixedA,36)))</f>
        <v/>
      </c>
      <c r="D620" s="12">
        <f>IF($B620="","","f")</f>
        <v/>
      </c>
      <c r="E620" s="14">
        <f>IF($B620="","",IF(36&gt;NFixedA,0,SUMIF(CalcDebit,INDEX(PkFixedA,36),CalcAmt)+SUMIF(CalcDebit2,INDEX(PkFixedA,36),CalcAmt2)))</f>
        <v/>
      </c>
      <c r="F620" s="14">
        <f>IF($B620="","",IF(36&gt;NFixedA,0,SUMIF(CalcCredit,INDEX(PkFixedA,36),CalcAmt)+SUMIF(CalcCredit2,INDEX(PkFixedA,36),CalcAmt2)))</f>
        <v/>
      </c>
      <c r="G620" s="15">
        <f>IF($B620="","",ROUND($E620-$F620,0))</f>
        <v/>
      </c>
      <c r="H620" s="12">
        <f>IF($B620="","",IF(ROUND($G620,0)&gt;0,"بدهکار",IF(ROUND($G620,0)&lt;0,"بستانکار","تسویه")))</f>
        <v/>
      </c>
    </row>
    <row r="621">
      <c r="A621" s="16">
        <f>IF($B621="","",612)</f>
        <v/>
      </c>
      <c r="B621" s="17">
        <f>IF(37&gt;NFixedA,"",IFERROR(IF(VLOOKUP(INDEX(PkFixedA,37),AcctTblA,4,0)="","(بدون نام)",VLOOKUP(INDEX(PkFixedA,37),AcctTblA,4,0)),"—"))</f>
        <v/>
      </c>
      <c r="C621" s="18">
        <f>IF($B621="","",IF(37&gt;NFixedA,"",INDEX(PkFixedA,37)))</f>
        <v/>
      </c>
      <c r="D621" s="17">
        <f>IF($B621="","","f")</f>
        <v/>
      </c>
      <c r="E621" s="19">
        <f>IF($B621="","",IF(37&gt;NFixedA,0,SUMIF(CalcDebit,INDEX(PkFixedA,37),CalcAmt)+SUMIF(CalcDebit2,INDEX(PkFixedA,37),CalcAmt2)))</f>
        <v/>
      </c>
      <c r="F621" s="19">
        <f>IF($B621="","",IF(37&gt;NFixedA,0,SUMIF(CalcCredit,INDEX(PkFixedA,37),CalcAmt)+SUMIF(CalcCredit2,INDEX(PkFixedA,37),CalcAmt2)))</f>
        <v/>
      </c>
      <c r="G621" s="20">
        <f>IF($B621="","",ROUND($E621-$F621,0))</f>
        <v/>
      </c>
      <c r="H621" s="17">
        <f>IF($B621="","",IF(ROUND($G621,0)&gt;0,"بدهکار",IF(ROUND($G621,0)&lt;0,"بستانکار","تسویه")))</f>
        <v/>
      </c>
    </row>
    <row r="622">
      <c r="A622" s="11">
        <f>IF($B622="","",613)</f>
        <v/>
      </c>
      <c r="B622" s="12">
        <f>IF(38&gt;NFixedA,"",IFERROR(IF(VLOOKUP(INDEX(PkFixedA,38),AcctTblA,4,0)="","(بدون نام)",VLOOKUP(INDEX(PkFixedA,38),AcctTblA,4,0)),"—"))</f>
        <v/>
      </c>
      <c r="C622" s="13">
        <f>IF($B622="","",IF(38&gt;NFixedA,"",INDEX(PkFixedA,38)))</f>
        <v/>
      </c>
      <c r="D622" s="12">
        <f>IF($B622="","","f")</f>
        <v/>
      </c>
      <c r="E622" s="14">
        <f>IF($B622="","",IF(38&gt;NFixedA,0,SUMIF(CalcDebit,INDEX(PkFixedA,38),CalcAmt)+SUMIF(CalcDebit2,INDEX(PkFixedA,38),CalcAmt2)))</f>
        <v/>
      </c>
      <c r="F622" s="14">
        <f>IF($B622="","",IF(38&gt;NFixedA,0,SUMIF(CalcCredit,INDEX(PkFixedA,38),CalcAmt)+SUMIF(CalcCredit2,INDEX(PkFixedA,38),CalcAmt2)))</f>
        <v/>
      </c>
      <c r="G622" s="15">
        <f>IF($B622="","",ROUND($E622-$F622,0))</f>
        <v/>
      </c>
      <c r="H622" s="12">
        <f>IF($B622="","",IF(ROUND($G622,0)&gt;0,"بدهکار",IF(ROUND($G622,0)&lt;0,"بستانکار","تسویه")))</f>
        <v/>
      </c>
    </row>
    <row r="623">
      <c r="A623" s="16">
        <f>IF($B623="","",614)</f>
        <v/>
      </c>
      <c r="B623" s="17">
        <f>IF(39&gt;NFixedA,"",IFERROR(IF(VLOOKUP(INDEX(PkFixedA,39),AcctTblA,4,0)="","(بدون نام)",VLOOKUP(INDEX(PkFixedA,39),AcctTblA,4,0)),"—"))</f>
        <v/>
      </c>
      <c r="C623" s="18">
        <f>IF($B623="","",IF(39&gt;NFixedA,"",INDEX(PkFixedA,39)))</f>
        <v/>
      </c>
      <c r="D623" s="17">
        <f>IF($B623="","","f")</f>
        <v/>
      </c>
      <c r="E623" s="19">
        <f>IF($B623="","",IF(39&gt;NFixedA,0,SUMIF(CalcDebit,INDEX(PkFixedA,39),CalcAmt)+SUMIF(CalcDebit2,INDEX(PkFixedA,39),CalcAmt2)))</f>
        <v/>
      </c>
      <c r="F623" s="19">
        <f>IF($B623="","",IF(39&gt;NFixedA,0,SUMIF(CalcCredit,INDEX(PkFixedA,39),CalcAmt)+SUMIF(CalcCredit2,INDEX(PkFixedA,39),CalcAmt2)))</f>
        <v/>
      </c>
      <c r="G623" s="20">
        <f>IF($B623="","",ROUND($E623-$F623,0))</f>
        <v/>
      </c>
      <c r="H623" s="17">
        <f>IF($B623="","",IF(ROUND($G623,0)&gt;0,"بدهکار",IF(ROUND($G623,0)&lt;0,"بستانکار","تسویه")))</f>
        <v/>
      </c>
    </row>
    <row r="624">
      <c r="A624" s="11">
        <f>IF($B624="","",615)</f>
        <v/>
      </c>
      <c r="B624" s="12">
        <f>IF(40&gt;NFixedA,"",IFERROR(IF(VLOOKUP(INDEX(PkFixedA,40),AcctTblA,4,0)="","(بدون نام)",VLOOKUP(INDEX(PkFixedA,40),AcctTblA,4,0)),"—"))</f>
        <v/>
      </c>
      <c r="C624" s="13">
        <f>IF($B624="","",IF(40&gt;NFixedA,"",INDEX(PkFixedA,40)))</f>
        <v/>
      </c>
      <c r="D624" s="12">
        <f>IF($B624="","","f")</f>
        <v/>
      </c>
      <c r="E624" s="14">
        <f>IF($B624="","",IF(40&gt;NFixedA,0,SUMIF(CalcDebit,INDEX(PkFixedA,40),CalcAmt)+SUMIF(CalcDebit2,INDEX(PkFixedA,40),CalcAmt2)))</f>
        <v/>
      </c>
      <c r="F624" s="14">
        <f>IF($B624="","",IF(40&gt;NFixedA,0,SUMIF(CalcCredit,INDEX(PkFixedA,40),CalcAmt)+SUMIF(CalcCredit2,INDEX(PkFixedA,40),CalcAmt2)))</f>
        <v/>
      </c>
      <c r="G624" s="15">
        <f>IF($B624="","",ROUND($E624-$F624,0))</f>
        <v/>
      </c>
      <c r="H624" s="12">
        <f>IF($B624="","",IF(ROUND($G624,0)&gt;0,"بدهکار",IF(ROUND($G624,0)&lt;0,"بستانکار","تسویه")))</f>
        <v/>
      </c>
    </row>
    <row r="625">
      <c r="A625" s="16">
        <f>IF($B625="","",616)</f>
        <v/>
      </c>
      <c r="B625" s="17">
        <f>IF(41&gt;NFixedA,"",IFERROR(IF(VLOOKUP(INDEX(PkFixedA,41),AcctTblA,4,0)="","(بدون نام)",VLOOKUP(INDEX(PkFixedA,41),AcctTblA,4,0)),"—"))</f>
        <v/>
      </c>
      <c r="C625" s="18">
        <f>IF($B625="","",IF(41&gt;NFixedA,"",INDEX(PkFixedA,41)))</f>
        <v/>
      </c>
      <c r="D625" s="17">
        <f>IF($B625="","","f")</f>
        <v/>
      </c>
      <c r="E625" s="19">
        <f>IF($B625="","",IF(41&gt;NFixedA,0,SUMIF(CalcDebit,INDEX(PkFixedA,41),CalcAmt)+SUMIF(CalcDebit2,INDEX(PkFixedA,41),CalcAmt2)))</f>
        <v/>
      </c>
      <c r="F625" s="19">
        <f>IF($B625="","",IF(41&gt;NFixedA,0,SUMIF(CalcCredit,INDEX(PkFixedA,41),CalcAmt)+SUMIF(CalcCredit2,INDEX(PkFixedA,41),CalcAmt2)))</f>
        <v/>
      </c>
      <c r="G625" s="20">
        <f>IF($B625="","",ROUND($E625-$F625,0))</f>
        <v/>
      </c>
      <c r="H625" s="17">
        <f>IF($B625="","",IF(ROUND($G625,0)&gt;0,"بدهکار",IF(ROUND($G625,0)&lt;0,"بستانکار","تسویه")))</f>
        <v/>
      </c>
    </row>
    <row r="626">
      <c r="A626" s="11">
        <f>IF($B626="","",617)</f>
        <v/>
      </c>
      <c r="B626" s="12">
        <f>IF(42&gt;NFixedA,"",IFERROR(IF(VLOOKUP(INDEX(PkFixedA,42),AcctTblA,4,0)="","(بدون نام)",VLOOKUP(INDEX(PkFixedA,42),AcctTblA,4,0)),"—"))</f>
        <v/>
      </c>
      <c r="C626" s="13">
        <f>IF($B626="","",IF(42&gt;NFixedA,"",INDEX(PkFixedA,42)))</f>
        <v/>
      </c>
      <c r="D626" s="12">
        <f>IF($B626="","","f")</f>
        <v/>
      </c>
      <c r="E626" s="14">
        <f>IF($B626="","",IF(42&gt;NFixedA,0,SUMIF(CalcDebit,INDEX(PkFixedA,42),CalcAmt)+SUMIF(CalcDebit2,INDEX(PkFixedA,42),CalcAmt2)))</f>
        <v/>
      </c>
      <c r="F626" s="14">
        <f>IF($B626="","",IF(42&gt;NFixedA,0,SUMIF(CalcCredit,INDEX(PkFixedA,42),CalcAmt)+SUMIF(CalcCredit2,INDEX(PkFixedA,42),CalcAmt2)))</f>
        <v/>
      </c>
      <c r="G626" s="15">
        <f>IF($B626="","",ROUND($E626-$F626,0))</f>
        <v/>
      </c>
      <c r="H626" s="12">
        <f>IF($B626="","",IF(ROUND($G626,0)&gt;0,"بدهکار",IF(ROUND($G626,0)&lt;0,"بستانکار","تسویه")))</f>
        <v/>
      </c>
    </row>
    <row r="627">
      <c r="A627" s="16">
        <f>IF($B627="","",618)</f>
        <v/>
      </c>
      <c r="B627" s="17">
        <f>IF(43&gt;NFixedA,"",IFERROR(IF(VLOOKUP(INDEX(PkFixedA,43),AcctTblA,4,0)="","(بدون نام)",VLOOKUP(INDEX(PkFixedA,43),AcctTblA,4,0)),"—"))</f>
        <v/>
      </c>
      <c r="C627" s="18">
        <f>IF($B627="","",IF(43&gt;NFixedA,"",INDEX(PkFixedA,43)))</f>
        <v/>
      </c>
      <c r="D627" s="17">
        <f>IF($B627="","","f")</f>
        <v/>
      </c>
      <c r="E627" s="19">
        <f>IF($B627="","",IF(43&gt;NFixedA,0,SUMIF(CalcDebit,INDEX(PkFixedA,43),CalcAmt)+SUMIF(CalcDebit2,INDEX(PkFixedA,43),CalcAmt2)))</f>
        <v/>
      </c>
      <c r="F627" s="19">
        <f>IF($B627="","",IF(43&gt;NFixedA,0,SUMIF(CalcCredit,INDEX(PkFixedA,43),CalcAmt)+SUMIF(CalcCredit2,INDEX(PkFixedA,43),CalcAmt2)))</f>
        <v/>
      </c>
      <c r="G627" s="20">
        <f>IF($B627="","",ROUND($E627-$F627,0))</f>
        <v/>
      </c>
      <c r="H627" s="17">
        <f>IF($B627="","",IF(ROUND($G627,0)&gt;0,"بدهکار",IF(ROUND($G627,0)&lt;0,"بستانکار","تسویه")))</f>
        <v/>
      </c>
    </row>
    <row r="628">
      <c r="A628" s="11">
        <f>IF($B628="","",619)</f>
        <v/>
      </c>
      <c r="B628" s="12">
        <f>IF(44&gt;NFixedA,"",IFERROR(IF(VLOOKUP(INDEX(PkFixedA,44),AcctTblA,4,0)="","(بدون نام)",VLOOKUP(INDEX(PkFixedA,44),AcctTblA,4,0)),"—"))</f>
        <v/>
      </c>
      <c r="C628" s="13">
        <f>IF($B628="","",IF(44&gt;NFixedA,"",INDEX(PkFixedA,44)))</f>
        <v/>
      </c>
      <c r="D628" s="12">
        <f>IF($B628="","","f")</f>
        <v/>
      </c>
      <c r="E628" s="14">
        <f>IF($B628="","",IF(44&gt;NFixedA,0,SUMIF(CalcDebit,INDEX(PkFixedA,44),CalcAmt)+SUMIF(CalcDebit2,INDEX(PkFixedA,44),CalcAmt2)))</f>
        <v/>
      </c>
      <c r="F628" s="14">
        <f>IF($B628="","",IF(44&gt;NFixedA,0,SUMIF(CalcCredit,INDEX(PkFixedA,44),CalcAmt)+SUMIF(CalcCredit2,INDEX(PkFixedA,44),CalcAmt2)))</f>
        <v/>
      </c>
      <c r="G628" s="15">
        <f>IF($B628="","",ROUND($E628-$F628,0))</f>
        <v/>
      </c>
      <c r="H628" s="12">
        <f>IF($B628="","",IF(ROUND($G628,0)&gt;0,"بدهکار",IF(ROUND($G628,0)&lt;0,"بستانکار","تسویه")))</f>
        <v/>
      </c>
    </row>
    <row r="629">
      <c r="A629" s="16">
        <f>IF($B629="","",620)</f>
        <v/>
      </c>
      <c r="B629" s="17">
        <f>IF(45&gt;NFixedA,"",IFERROR(IF(VLOOKUP(INDEX(PkFixedA,45),AcctTblA,4,0)="","(بدون نام)",VLOOKUP(INDEX(PkFixedA,45),AcctTblA,4,0)),"—"))</f>
        <v/>
      </c>
      <c r="C629" s="18">
        <f>IF($B629="","",IF(45&gt;NFixedA,"",INDEX(PkFixedA,45)))</f>
        <v/>
      </c>
      <c r="D629" s="17">
        <f>IF($B629="","","f")</f>
        <v/>
      </c>
      <c r="E629" s="19">
        <f>IF($B629="","",IF(45&gt;NFixedA,0,SUMIF(CalcDebit,INDEX(PkFixedA,45),CalcAmt)+SUMIF(CalcDebit2,INDEX(PkFixedA,45),CalcAmt2)))</f>
        <v/>
      </c>
      <c r="F629" s="19">
        <f>IF($B629="","",IF(45&gt;NFixedA,0,SUMIF(CalcCredit,INDEX(PkFixedA,45),CalcAmt)+SUMIF(CalcCredit2,INDEX(PkFixedA,45),CalcAmt2)))</f>
        <v/>
      </c>
      <c r="G629" s="20">
        <f>IF($B629="","",ROUND($E629-$F629,0))</f>
        <v/>
      </c>
      <c r="H629" s="17">
        <f>IF($B629="","",IF(ROUND($G629,0)&gt;0,"بدهکار",IF(ROUND($G629,0)&lt;0,"بستانکار","تسویه")))</f>
        <v/>
      </c>
    </row>
    <row r="630">
      <c r="A630" s="11">
        <f>IF($B630="","",621)</f>
        <v/>
      </c>
      <c r="B630" s="12">
        <f>IF(46&gt;NFixedA,"",IFERROR(IF(VLOOKUP(INDEX(PkFixedA,46),AcctTblA,4,0)="","(بدون نام)",VLOOKUP(INDEX(PkFixedA,46),AcctTblA,4,0)),"—"))</f>
        <v/>
      </c>
      <c r="C630" s="13">
        <f>IF($B630="","",IF(46&gt;NFixedA,"",INDEX(PkFixedA,46)))</f>
        <v/>
      </c>
      <c r="D630" s="12">
        <f>IF($B630="","","f")</f>
        <v/>
      </c>
      <c r="E630" s="14">
        <f>IF($B630="","",IF(46&gt;NFixedA,0,SUMIF(CalcDebit,INDEX(PkFixedA,46),CalcAmt)+SUMIF(CalcDebit2,INDEX(PkFixedA,46),CalcAmt2)))</f>
        <v/>
      </c>
      <c r="F630" s="14">
        <f>IF($B630="","",IF(46&gt;NFixedA,0,SUMIF(CalcCredit,INDEX(PkFixedA,46),CalcAmt)+SUMIF(CalcCredit2,INDEX(PkFixedA,46),CalcAmt2)))</f>
        <v/>
      </c>
      <c r="G630" s="15">
        <f>IF($B630="","",ROUND($E630-$F630,0))</f>
        <v/>
      </c>
      <c r="H630" s="12">
        <f>IF($B630="","",IF(ROUND($G630,0)&gt;0,"بدهکار",IF(ROUND($G630,0)&lt;0,"بستانکار","تسویه")))</f>
        <v/>
      </c>
    </row>
    <row r="631">
      <c r="A631" s="16">
        <f>IF($B631="","",622)</f>
        <v/>
      </c>
      <c r="B631" s="17">
        <f>IF(47&gt;NFixedA,"",IFERROR(IF(VLOOKUP(INDEX(PkFixedA,47),AcctTblA,4,0)="","(بدون نام)",VLOOKUP(INDEX(PkFixedA,47),AcctTblA,4,0)),"—"))</f>
        <v/>
      </c>
      <c r="C631" s="18">
        <f>IF($B631="","",IF(47&gt;NFixedA,"",INDEX(PkFixedA,47)))</f>
        <v/>
      </c>
      <c r="D631" s="17">
        <f>IF($B631="","","f")</f>
        <v/>
      </c>
      <c r="E631" s="19">
        <f>IF($B631="","",IF(47&gt;NFixedA,0,SUMIF(CalcDebit,INDEX(PkFixedA,47),CalcAmt)+SUMIF(CalcDebit2,INDEX(PkFixedA,47),CalcAmt2)))</f>
        <v/>
      </c>
      <c r="F631" s="19">
        <f>IF($B631="","",IF(47&gt;NFixedA,0,SUMIF(CalcCredit,INDEX(PkFixedA,47),CalcAmt)+SUMIF(CalcCredit2,INDEX(PkFixedA,47),CalcAmt2)))</f>
        <v/>
      </c>
      <c r="G631" s="20">
        <f>IF($B631="","",ROUND($E631-$F631,0))</f>
        <v/>
      </c>
      <c r="H631" s="17">
        <f>IF($B631="","",IF(ROUND($G631,0)&gt;0,"بدهکار",IF(ROUND($G631,0)&lt;0,"بستانکار","تسویه")))</f>
        <v/>
      </c>
    </row>
    <row r="632">
      <c r="A632" s="11">
        <f>IF($B632="","",623)</f>
        <v/>
      </c>
      <c r="B632" s="12">
        <f>IF(48&gt;NFixedA,"",IFERROR(IF(VLOOKUP(INDEX(PkFixedA,48),AcctTblA,4,0)="","(بدون نام)",VLOOKUP(INDEX(PkFixedA,48),AcctTblA,4,0)),"—"))</f>
        <v/>
      </c>
      <c r="C632" s="13">
        <f>IF($B632="","",IF(48&gt;NFixedA,"",INDEX(PkFixedA,48)))</f>
        <v/>
      </c>
      <c r="D632" s="12">
        <f>IF($B632="","","f")</f>
        <v/>
      </c>
      <c r="E632" s="14">
        <f>IF($B632="","",IF(48&gt;NFixedA,0,SUMIF(CalcDebit,INDEX(PkFixedA,48),CalcAmt)+SUMIF(CalcDebit2,INDEX(PkFixedA,48),CalcAmt2)))</f>
        <v/>
      </c>
      <c r="F632" s="14">
        <f>IF($B632="","",IF(48&gt;NFixedA,0,SUMIF(CalcCredit,INDEX(PkFixedA,48),CalcAmt)+SUMIF(CalcCredit2,INDEX(PkFixedA,48),CalcAmt2)))</f>
        <v/>
      </c>
      <c r="G632" s="15">
        <f>IF($B632="","",ROUND($E632-$F632,0))</f>
        <v/>
      </c>
      <c r="H632" s="12">
        <f>IF($B632="","",IF(ROUND($G632,0)&gt;0,"بدهکار",IF(ROUND($G632,0)&lt;0,"بستانکار","تسویه")))</f>
        <v/>
      </c>
    </row>
    <row r="633">
      <c r="A633" s="16">
        <f>IF($B633="","",624)</f>
        <v/>
      </c>
      <c r="B633" s="17">
        <f>IF(49&gt;NFixedA,"",IFERROR(IF(VLOOKUP(INDEX(PkFixedA,49),AcctTblA,4,0)="","(بدون نام)",VLOOKUP(INDEX(PkFixedA,49),AcctTblA,4,0)),"—"))</f>
        <v/>
      </c>
      <c r="C633" s="18">
        <f>IF($B633="","",IF(49&gt;NFixedA,"",INDEX(PkFixedA,49)))</f>
        <v/>
      </c>
      <c r="D633" s="17">
        <f>IF($B633="","","f")</f>
        <v/>
      </c>
      <c r="E633" s="19">
        <f>IF($B633="","",IF(49&gt;NFixedA,0,SUMIF(CalcDebit,INDEX(PkFixedA,49),CalcAmt)+SUMIF(CalcDebit2,INDEX(PkFixedA,49),CalcAmt2)))</f>
        <v/>
      </c>
      <c r="F633" s="19">
        <f>IF($B633="","",IF(49&gt;NFixedA,0,SUMIF(CalcCredit,INDEX(PkFixedA,49),CalcAmt)+SUMIF(CalcCredit2,INDEX(PkFixedA,49),CalcAmt2)))</f>
        <v/>
      </c>
      <c r="G633" s="20">
        <f>IF($B633="","",ROUND($E633-$F633,0))</f>
        <v/>
      </c>
      <c r="H633" s="17">
        <f>IF($B633="","",IF(ROUND($G633,0)&gt;0,"بدهکار",IF(ROUND($G633,0)&lt;0,"بستانکار","تسویه")))</f>
        <v/>
      </c>
    </row>
    <row r="634">
      <c r="A634" s="11">
        <f>IF($B634="","",625)</f>
        <v/>
      </c>
      <c r="B634" s="12">
        <f>IF(50&gt;NFixedA,"",IFERROR(IF(VLOOKUP(INDEX(PkFixedA,50),AcctTblA,4,0)="","(بدون نام)",VLOOKUP(INDEX(PkFixedA,50),AcctTblA,4,0)),"—"))</f>
        <v/>
      </c>
      <c r="C634" s="13">
        <f>IF($B634="","",IF(50&gt;NFixedA,"",INDEX(PkFixedA,50)))</f>
        <v/>
      </c>
      <c r="D634" s="12">
        <f>IF($B634="","","f")</f>
        <v/>
      </c>
      <c r="E634" s="14">
        <f>IF($B634="","",IF(50&gt;NFixedA,0,SUMIF(CalcDebit,INDEX(PkFixedA,50),CalcAmt)+SUMIF(CalcDebit2,INDEX(PkFixedA,50),CalcAmt2)))</f>
        <v/>
      </c>
      <c r="F634" s="14">
        <f>IF($B634="","",IF(50&gt;NFixedA,0,SUMIF(CalcCredit,INDEX(PkFixedA,50),CalcAmt)+SUMIF(CalcCredit2,INDEX(PkFixedA,50),CalcAmt2)))</f>
        <v/>
      </c>
      <c r="G634" s="15">
        <f>IF($B634="","",ROUND($E634-$F634,0))</f>
        <v/>
      </c>
      <c r="H634" s="12">
        <f>IF($B634="","",IF(ROUND($G634,0)&gt;0,"بدهکار",IF(ROUND($G634,0)&lt;0,"بستانکار","تسویه")))</f>
        <v/>
      </c>
    </row>
    <row r="635">
      <c r="A635" s="16">
        <f>IF($B635="","",626)</f>
        <v/>
      </c>
      <c r="B635" s="17">
        <f>IF(51&gt;NFixedA,"",IFERROR(IF(VLOOKUP(INDEX(PkFixedA,51),AcctTblA,4,0)="","(بدون نام)",VLOOKUP(INDEX(PkFixedA,51),AcctTblA,4,0)),"—"))</f>
        <v/>
      </c>
      <c r="C635" s="18">
        <f>IF($B635="","",IF(51&gt;NFixedA,"",INDEX(PkFixedA,51)))</f>
        <v/>
      </c>
      <c r="D635" s="17">
        <f>IF($B635="","","f")</f>
        <v/>
      </c>
      <c r="E635" s="19">
        <f>IF($B635="","",IF(51&gt;NFixedA,0,SUMIF(CalcDebit,INDEX(PkFixedA,51),CalcAmt)+SUMIF(CalcDebit2,INDEX(PkFixedA,51),CalcAmt2)))</f>
        <v/>
      </c>
      <c r="F635" s="19">
        <f>IF($B635="","",IF(51&gt;NFixedA,0,SUMIF(CalcCredit,INDEX(PkFixedA,51),CalcAmt)+SUMIF(CalcCredit2,INDEX(PkFixedA,51),CalcAmt2)))</f>
        <v/>
      </c>
      <c r="G635" s="20">
        <f>IF($B635="","",ROUND($E635-$F635,0))</f>
        <v/>
      </c>
      <c r="H635" s="17">
        <f>IF($B635="","",IF(ROUND($G635,0)&gt;0,"بدهکار",IF(ROUND($G635,0)&lt;0,"بستانکار","تسویه")))</f>
        <v/>
      </c>
    </row>
    <row r="636">
      <c r="A636" s="11">
        <f>IF($B636="","",627)</f>
        <v/>
      </c>
      <c r="B636" s="12">
        <f>IF(52&gt;NFixedA,"",IFERROR(IF(VLOOKUP(INDEX(PkFixedA,52),AcctTblA,4,0)="","(بدون نام)",VLOOKUP(INDEX(PkFixedA,52),AcctTblA,4,0)),"—"))</f>
        <v/>
      </c>
      <c r="C636" s="13">
        <f>IF($B636="","",IF(52&gt;NFixedA,"",INDEX(PkFixedA,52)))</f>
        <v/>
      </c>
      <c r="D636" s="12">
        <f>IF($B636="","","f")</f>
        <v/>
      </c>
      <c r="E636" s="14">
        <f>IF($B636="","",IF(52&gt;NFixedA,0,SUMIF(CalcDebit,INDEX(PkFixedA,52),CalcAmt)+SUMIF(CalcDebit2,INDEX(PkFixedA,52),CalcAmt2)))</f>
        <v/>
      </c>
      <c r="F636" s="14">
        <f>IF($B636="","",IF(52&gt;NFixedA,0,SUMIF(CalcCredit,INDEX(PkFixedA,52),CalcAmt)+SUMIF(CalcCredit2,INDEX(PkFixedA,52),CalcAmt2)))</f>
        <v/>
      </c>
      <c r="G636" s="15">
        <f>IF($B636="","",ROUND($E636-$F636,0))</f>
        <v/>
      </c>
      <c r="H636" s="12">
        <f>IF($B636="","",IF(ROUND($G636,0)&gt;0,"بدهکار",IF(ROUND($G636,0)&lt;0,"بستانکار","تسویه")))</f>
        <v/>
      </c>
    </row>
    <row r="637">
      <c r="A637" s="16">
        <f>IF($B637="","",628)</f>
        <v/>
      </c>
      <c r="B637" s="17">
        <f>IF(53&gt;NFixedA,"",IFERROR(IF(VLOOKUP(INDEX(PkFixedA,53),AcctTblA,4,0)="","(بدون نام)",VLOOKUP(INDEX(PkFixedA,53),AcctTblA,4,0)),"—"))</f>
        <v/>
      </c>
      <c r="C637" s="18">
        <f>IF($B637="","",IF(53&gt;NFixedA,"",INDEX(PkFixedA,53)))</f>
        <v/>
      </c>
      <c r="D637" s="17">
        <f>IF($B637="","","f")</f>
        <v/>
      </c>
      <c r="E637" s="19">
        <f>IF($B637="","",IF(53&gt;NFixedA,0,SUMIF(CalcDebit,INDEX(PkFixedA,53),CalcAmt)+SUMIF(CalcDebit2,INDEX(PkFixedA,53),CalcAmt2)))</f>
        <v/>
      </c>
      <c r="F637" s="19">
        <f>IF($B637="","",IF(53&gt;NFixedA,0,SUMIF(CalcCredit,INDEX(PkFixedA,53),CalcAmt)+SUMIF(CalcCredit2,INDEX(PkFixedA,53),CalcAmt2)))</f>
        <v/>
      </c>
      <c r="G637" s="20">
        <f>IF($B637="","",ROUND($E637-$F637,0))</f>
        <v/>
      </c>
      <c r="H637" s="17">
        <f>IF($B637="","",IF(ROUND($G637,0)&gt;0,"بدهکار",IF(ROUND($G637,0)&lt;0,"بستانکار","تسویه")))</f>
        <v/>
      </c>
    </row>
    <row r="638">
      <c r="A638" s="11">
        <f>IF($B638="","",629)</f>
        <v/>
      </c>
      <c r="B638" s="12">
        <f>IF(54&gt;NFixedA,"",IFERROR(IF(VLOOKUP(INDEX(PkFixedA,54),AcctTblA,4,0)="","(بدون نام)",VLOOKUP(INDEX(PkFixedA,54),AcctTblA,4,0)),"—"))</f>
        <v/>
      </c>
      <c r="C638" s="13">
        <f>IF($B638="","",IF(54&gt;NFixedA,"",INDEX(PkFixedA,54)))</f>
        <v/>
      </c>
      <c r="D638" s="12">
        <f>IF($B638="","","f")</f>
        <v/>
      </c>
      <c r="E638" s="14">
        <f>IF($B638="","",IF(54&gt;NFixedA,0,SUMIF(CalcDebit,INDEX(PkFixedA,54),CalcAmt)+SUMIF(CalcDebit2,INDEX(PkFixedA,54),CalcAmt2)))</f>
        <v/>
      </c>
      <c r="F638" s="14">
        <f>IF($B638="","",IF(54&gt;NFixedA,0,SUMIF(CalcCredit,INDEX(PkFixedA,54),CalcAmt)+SUMIF(CalcCredit2,INDEX(PkFixedA,54),CalcAmt2)))</f>
        <v/>
      </c>
      <c r="G638" s="15">
        <f>IF($B638="","",ROUND($E638-$F638,0))</f>
        <v/>
      </c>
      <c r="H638" s="12">
        <f>IF($B638="","",IF(ROUND($G638,0)&gt;0,"بدهکار",IF(ROUND($G638,0)&lt;0,"بستانکار","تسویه")))</f>
        <v/>
      </c>
    </row>
    <row r="639">
      <c r="A639" s="16">
        <f>IF($B639="","",630)</f>
        <v/>
      </c>
      <c r="B639" s="17">
        <f>IF(55&gt;NFixedA,"",IFERROR(IF(VLOOKUP(INDEX(PkFixedA,55),AcctTblA,4,0)="","(بدون نام)",VLOOKUP(INDEX(PkFixedA,55),AcctTblA,4,0)),"—"))</f>
        <v/>
      </c>
      <c r="C639" s="18">
        <f>IF($B639="","",IF(55&gt;NFixedA,"",INDEX(PkFixedA,55)))</f>
        <v/>
      </c>
      <c r="D639" s="17">
        <f>IF($B639="","","f")</f>
        <v/>
      </c>
      <c r="E639" s="19">
        <f>IF($B639="","",IF(55&gt;NFixedA,0,SUMIF(CalcDebit,INDEX(PkFixedA,55),CalcAmt)+SUMIF(CalcDebit2,INDEX(PkFixedA,55),CalcAmt2)))</f>
        <v/>
      </c>
      <c r="F639" s="19">
        <f>IF($B639="","",IF(55&gt;NFixedA,0,SUMIF(CalcCredit,INDEX(PkFixedA,55),CalcAmt)+SUMIF(CalcCredit2,INDEX(PkFixedA,55),CalcAmt2)))</f>
        <v/>
      </c>
      <c r="G639" s="20">
        <f>IF($B639="","",ROUND($E639-$F639,0))</f>
        <v/>
      </c>
      <c r="H639" s="17">
        <f>IF($B639="","",IF(ROUND($G639,0)&gt;0,"بدهکار",IF(ROUND($G639,0)&lt;0,"بستانکار","تسویه")))</f>
        <v/>
      </c>
    </row>
    <row r="640">
      <c r="A640" s="11">
        <f>IF($B640="","",631)</f>
        <v/>
      </c>
      <c r="B640" s="12">
        <f>IF(56&gt;NFixedA,"",IFERROR(IF(VLOOKUP(INDEX(PkFixedA,56),AcctTblA,4,0)="","(بدون نام)",VLOOKUP(INDEX(PkFixedA,56),AcctTblA,4,0)),"—"))</f>
        <v/>
      </c>
      <c r="C640" s="13">
        <f>IF($B640="","",IF(56&gt;NFixedA,"",INDEX(PkFixedA,56)))</f>
        <v/>
      </c>
      <c r="D640" s="12">
        <f>IF($B640="","","f")</f>
        <v/>
      </c>
      <c r="E640" s="14">
        <f>IF($B640="","",IF(56&gt;NFixedA,0,SUMIF(CalcDebit,INDEX(PkFixedA,56),CalcAmt)+SUMIF(CalcDebit2,INDEX(PkFixedA,56),CalcAmt2)))</f>
        <v/>
      </c>
      <c r="F640" s="14">
        <f>IF($B640="","",IF(56&gt;NFixedA,0,SUMIF(CalcCredit,INDEX(PkFixedA,56),CalcAmt)+SUMIF(CalcCredit2,INDEX(PkFixedA,56),CalcAmt2)))</f>
        <v/>
      </c>
      <c r="G640" s="15">
        <f>IF($B640="","",ROUND($E640-$F640,0))</f>
        <v/>
      </c>
      <c r="H640" s="12">
        <f>IF($B640="","",IF(ROUND($G640,0)&gt;0,"بدهکار",IF(ROUND($G640,0)&lt;0,"بستانکار","تسویه")))</f>
        <v/>
      </c>
    </row>
    <row r="641">
      <c r="A641" s="16">
        <f>IF($B641="","",632)</f>
        <v/>
      </c>
      <c r="B641" s="17">
        <f>IF(57&gt;NFixedA,"",IFERROR(IF(VLOOKUP(INDEX(PkFixedA,57),AcctTblA,4,0)="","(بدون نام)",VLOOKUP(INDEX(PkFixedA,57),AcctTblA,4,0)),"—"))</f>
        <v/>
      </c>
      <c r="C641" s="18">
        <f>IF($B641="","",IF(57&gt;NFixedA,"",INDEX(PkFixedA,57)))</f>
        <v/>
      </c>
      <c r="D641" s="17">
        <f>IF($B641="","","f")</f>
        <v/>
      </c>
      <c r="E641" s="19">
        <f>IF($B641="","",IF(57&gt;NFixedA,0,SUMIF(CalcDebit,INDEX(PkFixedA,57),CalcAmt)+SUMIF(CalcDebit2,INDEX(PkFixedA,57),CalcAmt2)))</f>
        <v/>
      </c>
      <c r="F641" s="19">
        <f>IF($B641="","",IF(57&gt;NFixedA,0,SUMIF(CalcCredit,INDEX(PkFixedA,57),CalcAmt)+SUMIF(CalcCredit2,INDEX(PkFixedA,57),CalcAmt2)))</f>
        <v/>
      </c>
      <c r="G641" s="20">
        <f>IF($B641="","",ROUND($E641-$F641,0))</f>
        <v/>
      </c>
      <c r="H641" s="17">
        <f>IF($B641="","",IF(ROUND($G641,0)&gt;0,"بدهکار",IF(ROUND($G641,0)&lt;0,"بستانکار","تسویه")))</f>
        <v/>
      </c>
    </row>
    <row r="642">
      <c r="A642" s="11">
        <f>IF($B642="","",633)</f>
        <v/>
      </c>
      <c r="B642" s="12">
        <f>IF(58&gt;NFixedA,"",IFERROR(IF(VLOOKUP(INDEX(PkFixedA,58),AcctTblA,4,0)="","(بدون نام)",VLOOKUP(INDEX(PkFixedA,58),AcctTblA,4,0)),"—"))</f>
        <v/>
      </c>
      <c r="C642" s="13">
        <f>IF($B642="","",IF(58&gt;NFixedA,"",INDEX(PkFixedA,58)))</f>
        <v/>
      </c>
      <c r="D642" s="12">
        <f>IF($B642="","","f")</f>
        <v/>
      </c>
      <c r="E642" s="14">
        <f>IF($B642="","",IF(58&gt;NFixedA,0,SUMIF(CalcDebit,INDEX(PkFixedA,58),CalcAmt)+SUMIF(CalcDebit2,INDEX(PkFixedA,58),CalcAmt2)))</f>
        <v/>
      </c>
      <c r="F642" s="14">
        <f>IF($B642="","",IF(58&gt;NFixedA,0,SUMIF(CalcCredit,INDEX(PkFixedA,58),CalcAmt)+SUMIF(CalcCredit2,INDEX(PkFixedA,58),CalcAmt2)))</f>
        <v/>
      </c>
      <c r="G642" s="15">
        <f>IF($B642="","",ROUND($E642-$F642,0))</f>
        <v/>
      </c>
      <c r="H642" s="12">
        <f>IF($B642="","",IF(ROUND($G642,0)&gt;0,"بدهکار",IF(ROUND($G642,0)&lt;0,"بستانکار","تسویه")))</f>
        <v/>
      </c>
    </row>
    <row r="643">
      <c r="A643" s="16">
        <f>IF($B643="","",634)</f>
        <v/>
      </c>
      <c r="B643" s="17">
        <f>IF(59&gt;NFixedA,"",IFERROR(IF(VLOOKUP(INDEX(PkFixedA,59),AcctTblA,4,0)="","(بدون نام)",VLOOKUP(INDEX(PkFixedA,59),AcctTblA,4,0)),"—"))</f>
        <v/>
      </c>
      <c r="C643" s="18">
        <f>IF($B643="","",IF(59&gt;NFixedA,"",INDEX(PkFixedA,59)))</f>
        <v/>
      </c>
      <c r="D643" s="17">
        <f>IF($B643="","","f")</f>
        <v/>
      </c>
      <c r="E643" s="19">
        <f>IF($B643="","",IF(59&gt;NFixedA,0,SUMIF(CalcDebit,INDEX(PkFixedA,59),CalcAmt)+SUMIF(CalcDebit2,INDEX(PkFixedA,59),CalcAmt2)))</f>
        <v/>
      </c>
      <c r="F643" s="19">
        <f>IF($B643="","",IF(59&gt;NFixedA,0,SUMIF(CalcCredit,INDEX(PkFixedA,59),CalcAmt)+SUMIF(CalcCredit2,INDEX(PkFixedA,59),CalcAmt2)))</f>
        <v/>
      </c>
      <c r="G643" s="20">
        <f>IF($B643="","",ROUND($E643-$F643,0))</f>
        <v/>
      </c>
      <c r="H643" s="17">
        <f>IF($B643="","",IF(ROUND($G643,0)&gt;0,"بدهکار",IF(ROUND($G643,0)&lt;0,"بستانکار","تسویه")))</f>
        <v/>
      </c>
    </row>
    <row r="644">
      <c r="A644" s="11">
        <f>IF($B644="","",635)</f>
        <v/>
      </c>
      <c r="B644" s="12">
        <f>IF(60&gt;NFixedA,"",IFERROR(IF(VLOOKUP(INDEX(PkFixedA,60),AcctTblA,4,0)="","(بدون نام)",VLOOKUP(INDEX(PkFixedA,60),AcctTblA,4,0)),"—"))</f>
        <v/>
      </c>
      <c r="C644" s="13">
        <f>IF($B644="","",IF(60&gt;NFixedA,"",INDEX(PkFixedA,60)))</f>
        <v/>
      </c>
      <c r="D644" s="12">
        <f>IF($B644="","","f")</f>
        <v/>
      </c>
      <c r="E644" s="14">
        <f>IF($B644="","",IF(60&gt;NFixedA,0,SUMIF(CalcDebit,INDEX(PkFixedA,60),CalcAmt)+SUMIF(CalcDebit2,INDEX(PkFixedA,60),CalcAmt2)))</f>
        <v/>
      </c>
      <c r="F644" s="14">
        <f>IF($B644="","",IF(60&gt;NFixedA,0,SUMIF(CalcCredit,INDEX(PkFixedA,60),CalcAmt)+SUMIF(CalcCredit2,INDEX(PkFixedA,60),CalcAmt2)))</f>
        <v/>
      </c>
      <c r="G644" s="15">
        <f>IF($B644="","",ROUND($E644-$F644,0))</f>
        <v/>
      </c>
      <c r="H644" s="12">
        <f>IF($B644="","",IF(ROUND($G644,0)&gt;0,"بدهکار",IF(ROUND($G644,0)&lt;0,"بستانکار","تسویه")))</f>
        <v/>
      </c>
    </row>
    <row r="645">
      <c r="A645" s="16">
        <f>IF($B645="","",636)</f>
        <v/>
      </c>
      <c r="B645" s="17">
        <f>IF(61&gt;NFixedA,"",IFERROR(IF(VLOOKUP(INDEX(PkFixedA,61),AcctTblA,4,0)="","(بدون نام)",VLOOKUP(INDEX(PkFixedA,61),AcctTblA,4,0)),"—"))</f>
        <v/>
      </c>
      <c r="C645" s="18">
        <f>IF($B645="","",IF(61&gt;NFixedA,"",INDEX(PkFixedA,61)))</f>
        <v/>
      </c>
      <c r="D645" s="17">
        <f>IF($B645="","","f")</f>
        <v/>
      </c>
      <c r="E645" s="19">
        <f>IF($B645="","",IF(61&gt;NFixedA,0,SUMIF(CalcDebit,INDEX(PkFixedA,61),CalcAmt)+SUMIF(CalcDebit2,INDEX(PkFixedA,61),CalcAmt2)))</f>
        <v/>
      </c>
      <c r="F645" s="19">
        <f>IF($B645="","",IF(61&gt;NFixedA,0,SUMIF(CalcCredit,INDEX(PkFixedA,61),CalcAmt)+SUMIF(CalcCredit2,INDEX(PkFixedA,61),CalcAmt2)))</f>
        <v/>
      </c>
      <c r="G645" s="20">
        <f>IF($B645="","",ROUND($E645-$F645,0))</f>
        <v/>
      </c>
      <c r="H645" s="17">
        <f>IF($B645="","",IF(ROUND($G645,0)&gt;0,"بدهکار",IF(ROUND($G645,0)&lt;0,"بستانکار","تسویه")))</f>
        <v/>
      </c>
    </row>
    <row r="646">
      <c r="A646" s="11">
        <f>IF($B646="","",637)</f>
        <v/>
      </c>
      <c r="B646" s="12">
        <f>IF(62&gt;NFixedA,"",IFERROR(IF(VLOOKUP(INDEX(PkFixedA,62),AcctTblA,4,0)="","(بدون نام)",VLOOKUP(INDEX(PkFixedA,62),AcctTblA,4,0)),"—"))</f>
        <v/>
      </c>
      <c r="C646" s="13">
        <f>IF($B646="","",IF(62&gt;NFixedA,"",INDEX(PkFixedA,62)))</f>
        <v/>
      </c>
      <c r="D646" s="12">
        <f>IF($B646="","","f")</f>
        <v/>
      </c>
      <c r="E646" s="14">
        <f>IF($B646="","",IF(62&gt;NFixedA,0,SUMIF(CalcDebit,INDEX(PkFixedA,62),CalcAmt)+SUMIF(CalcDebit2,INDEX(PkFixedA,62),CalcAmt2)))</f>
        <v/>
      </c>
      <c r="F646" s="14">
        <f>IF($B646="","",IF(62&gt;NFixedA,0,SUMIF(CalcCredit,INDEX(PkFixedA,62),CalcAmt)+SUMIF(CalcCredit2,INDEX(PkFixedA,62),CalcAmt2)))</f>
        <v/>
      </c>
      <c r="G646" s="15">
        <f>IF($B646="","",ROUND($E646-$F646,0))</f>
        <v/>
      </c>
      <c r="H646" s="12">
        <f>IF($B646="","",IF(ROUND($G646,0)&gt;0,"بدهکار",IF(ROUND($G646,0)&lt;0,"بستانکار","تسویه")))</f>
        <v/>
      </c>
    </row>
    <row r="647">
      <c r="A647" s="16">
        <f>IF($B647="","",638)</f>
        <v/>
      </c>
      <c r="B647" s="17">
        <f>IF(63&gt;NFixedA,"",IFERROR(IF(VLOOKUP(INDEX(PkFixedA,63),AcctTblA,4,0)="","(بدون نام)",VLOOKUP(INDEX(PkFixedA,63),AcctTblA,4,0)),"—"))</f>
        <v/>
      </c>
      <c r="C647" s="18">
        <f>IF($B647="","",IF(63&gt;NFixedA,"",INDEX(PkFixedA,63)))</f>
        <v/>
      </c>
      <c r="D647" s="17">
        <f>IF($B647="","","f")</f>
        <v/>
      </c>
      <c r="E647" s="19">
        <f>IF($B647="","",IF(63&gt;NFixedA,0,SUMIF(CalcDebit,INDEX(PkFixedA,63),CalcAmt)+SUMIF(CalcDebit2,INDEX(PkFixedA,63),CalcAmt2)))</f>
        <v/>
      </c>
      <c r="F647" s="19">
        <f>IF($B647="","",IF(63&gt;NFixedA,0,SUMIF(CalcCredit,INDEX(PkFixedA,63),CalcAmt)+SUMIF(CalcCredit2,INDEX(PkFixedA,63),CalcAmt2)))</f>
        <v/>
      </c>
      <c r="G647" s="20">
        <f>IF($B647="","",ROUND($E647-$F647,0))</f>
        <v/>
      </c>
      <c r="H647" s="17">
        <f>IF($B647="","",IF(ROUND($G647,0)&gt;0,"بدهکار",IF(ROUND($G647,0)&lt;0,"بستانکار","تسویه")))</f>
        <v/>
      </c>
    </row>
    <row r="648">
      <c r="A648" s="11">
        <f>IF($B648="","",639)</f>
        <v/>
      </c>
      <c r="B648" s="12">
        <f>IF(64&gt;NFixedA,"",IFERROR(IF(VLOOKUP(INDEX(PkFixedA,64),AcctTblA,4,0)="","(بدون نام)",VLOOKUP(INDEX(PkFixedA,64),AcctTblA,4,0)),"—"))</f>
        <v/>
      </c>
      <c r="C648" s="13">
        <f>IF($B648="","",IF(64&gt;NFixedA,"",INDEX(PkFixedA,64)))</f>
        <v/>
      </c>
      <c r="D648" s="12">
        <f>IF($B648="","","f")</f>
        <v/>
      </c>
      <c r="E648" s="14">
        <f>IF($B648="","",IF(64&gt;NFixedA,0,SUMIF(CalcDebit,INDEX(PkFixedA,64),CalcAmt)+SUMIF(CalcDebit2,INDEX(PkFixedA,64),CalcAmt2)))</f>
        <v/>
      </c>
      <c r="F648" s="14">
        <f>IF($B648="","",IF(64&gt;NFixedA,0,SUMIF(CalcCredit,INDEX(PkFixedA,64),CalcAmt)+SUMIF(CalcCredit2,INDEX(PkFixedA,64),CalcAmt2)))</f>
        <v/>
      </c>
      <c r="G648" s="15">
        <f>IF($B648="","",ROUND($E648-$F648,0))</f>
        <v/>
      </c>
      <c r="H648" s="12">
        <f>IF($B648="","",IF(ROUND($G648,0)&gt;0,"بدهکار",IF(ROUND($G648,0)&lt;0,"بستانکار","تسویه")))</f>
        <v/>
      </c>
    </row>
    <row r="649">
      <c r="A649" s="16">
        <f>IF($B649="","",640)</f>
        <v/>
      </c>
      <c r="B649" s="17">
        <f>IF(65&gt;NFixedA,"",IFERROR(IF(VLOOKUP(INDEX(PkFixedA,65),AcctTblA,4,0)="","(بدون نام)",VLOOKUP(INDEX(PkFixedA,65),AcctTblA,4,0)),"—"))</f>
        <v/>
      </c>
      <c r="C649" s="18">
        <f>IF($B649="","",IF(65&gt;NFixedA,"",INDEX(PkFixedA,65)))</f>
        <v/>
      </c>
      <c r="D649" s="17">
        <f>IF($B649="","","f")</f>
        <v/>
      </c>
      <c r="E649" s="19">
        <f>IF($B649="","",IF(65&gt;NFixedA,0,SUMIF(CalcDebit,INDEX(PkFixedA,65),CalcAmt)+SUMIF(CalcDebit2,INDEX(PkFixedA,65),CalcAmt2)))</f>
        <v/>
      </c>
      <c r="F649" s="19">
        <f>IF($B649="","",IF(65&gt;NFixedA,0,SUMIF(CalcCredit,INDEX(PkFixedA,65),CalcAmt)+SUMIF(CalcCredit2,INDEX(PkFixedA,65),CalcAmt2)))</f>
        <v/>
      </c>
      <c r="G649" s="20">
        <f>IF($B649="","",ROUND($E649-$F649,0))</f>
        <v/>
      </c>
      <c r="H649" s="17">
        <f>IF($B649="","",IF(ROUND($G649,0)&gt;0,"بدهکار",IF(ROUND($G649,0)&lt;0,"بستانکار","تسویه")))</f>
        <v/>
      </c>
    </row>
    <row r="650">
      <c r="A650" s="11">
        <f>IF($B650="","",641)</f>
        <v/>
      </c>
      <c r="B650" s="12">
        <f>IF(66&gt;NFixedA,"",IFERROR(IF(VLOOKUP(INDEX(PkFixedA,66),AcctTblA,4,0)="","(بدون نام)",VLOOKUP(INDEX(PkFixedA,66),AcctTblA,4,0)),"—"))</f>
        <v/>
      </c>
      <c r="C650" s="13">
        <f>IF($B650="","",IF(66&gt;NFixedA,"",INDEX(PkFixedA,66)))</f>
        <v/>
      </c>
      <c r="D650" s="12">
        <f>IF($B650="","","f")</f>
        <v/>
      </c>
      <c r="E650" s="14">
        <f>IF($B650="","",IF(66&gt;NFixedA,0,SUMIF(CalcDebit,INDEX(PkFixedA,66),CalcAmt)+SUMIF(CalcDebit2,INDEX(PkFixedA,66),CalcAmt2)))</f>
        <v/>
      </c>
      <c r="F650" s="14">
        <f>IF($B650="","",IF(66&gt;NFixedA,0,SUMIF(CalcCredit,INDEX(PkFixedA,66),CalcAmt)+SUMIF(CalcCredit2,INDEX(PkFixedA,66),CalcAmt2)))</f>
        <v/>
      </c>
      <c r="G650" s="15">
        <f>IF($B650="","",ROUND($E650-$F650,0))</f>
        <v/>
      </c>
      <c r="H650" s="12">
        <f>IF($B650="","",IF(ROUND($G650,0)&gt;0,"بدهکار",IF(ROUND($G650,0)&lt;0,"بستانکار","تسویه")))</f>
        <v/>
      </c>
    </row>
    <row r="651">
      <c r="A651" s="16">
        <f>IF($B651="","",642)</f>
        <v/>
      </c>
      <c r="B651" s="17">
        <f>IF(67&gt;NFixedA,"",IFERROR(IF(VLOOKUP(INDEX(PkFixedA,67),AcctTblA,4,0)="","(بدون نام)",VLOOKUP(INDEX(PkFixedA,67),AcctTblA,4,0)),"—"))</f>
        <v/>
      </c>
      <c r="C651" s="18">
        <f>IF($B651="","",IF(67&gt;NFixedA,"",INDEX(PkFixedA,67)))</f>
        <v/>
      </c>
      <c r="D651" s="17">
        <f>IF($B651="","","f")</f>
        <v/>
      </c>
      <c r="E651" s="19">
        <f>IF($B651="","",IF(67&gt;NFixedA,0,SUMIF(CalcDebit,INDEX(PkFixedA,67),CalcAmt)+SUMIF(CalcDebit2,INDEX(PkFixedA,67),CalcAmt2)))</f>
        <v/>
      </c>
      <c r="F651" s="19">
        <f>IF($B651="","",IF(67&gt;NFixedA,0,SUMIF(CalcCredit,INDEX(PkFixedA,67),CalcAmt)+SUMIF(CalcCredit2,INDEX(PkFixedA,67),CalcAmt2)))</f>
        <v/>
      </c>
      <c r="G651" s="20">
        <f>IF($B651="","",ROUND($E651-$F651,0))</f>
        <v/>
      </c>
      <c r="H651" s="17">
        <f>IF($B651="","",IF(ROUND($G651,0)&gt;0,"بدهکار",IF(ROUND($G651,0)&lt;0,"بستانکار","تسویه")))</f>
        <v/>
      </c>
    </row>
    <row r="652">
      <c r="A652" s="11">
        <f>IF($B652="","",643)</f>
        <v/>
      </c>
      <c r="B652" s="12">
        <f>IF(68&gt;NFixedA,"",IFERROR(IF(VLOOKUP(INDEX(PkFixedA,68),AcctTblA,4,0)="","(بدون نام)",VLOOKUP(INDEX(PkFixedA,68),AcctTblA,4,0)),"—"))</f>
        <v/>
      </c>
      <c r="C652" s="13">
        <f>IF($B652="","",IF(68&gt;NFixedA,"",INDEX(PkFixedA,68)))</f>
        <v/>
      </c>
      <c r="D652" s="12">
        <f>IF($B652="","","f")</f>
        <v/>
      </c>
      <c r="E652" s="14">
        <f>IF($B652="","",IF(68&gt;NFixedA,0,SUMIF(CalcDebit,INDEX(PkFixedA,68),CalcAmt)+SUMIF(CalcDebit2,INDEX(PkFixedA,68),CalcAmt2)))</f>
        <v/>
      </c>
      <c r="F652" s="14">
        <f>IF($B652="","",IF(68&gt;NFixedA,0,SUMIF(CalcCredit,INDEX(PkFixedA,68),CalcAmt)+SUMIF(CalcCredit2,INDEX(PkFixedA,68),CalcAmt2)))</f>
        <v/>
      </c>
      <c r="G652" s="15">
        <f>IF($B652="","",ROUND($E652-$F652,0))</f>
        <v/>
      </c>
      <c r="H652" s="12">
        <f>IF($B652="","",IF(ROUND($G652,0)&gt;0,"بدهکار",IF(ROUND($G652,0)&lt;0,"بستانکار","تسویه")))</f>
        <v/>
      </c>
    </row>
    <row r="653">
      <c r="A653" s="16">
        <f>IF($B653="","",644)</f>
        <v/>
      </c>
      <c r="B653" s="17">
        <f>IF(69&gt;NFixedA,"",IFERROR(IF(VLOOKUP(INDEX(PkFixedA,69),AcctTblA,4,0)="","(بدون نام)",VLOOKUP(INDEX(PkFixedA,69),AcctTblA,4,0)),"—"))</f>
        <v/>
      </c>
      <c r="C653" s="18">
        <f>IF($B653="","",IF(69&gt;NFixedA,"",INDEX(PkFixedA,69)))</f>
        <v/>
      </c>
      <c r="D653" s="17">
        <f>IF($B653="","","f")</f>
        <v/>
      </c>
      <c r="E653" s="19">
        <f>IF($B653="","",IF(69&gt;NFixedA,0,SUMIF(CalcDebit,INDEX(PkFixedA,69),CalcAmt)+SUMIF(CalcDebit2,INDEX(PkFixedA,69),CalcAmt2)))</f>
        <v/>
      </c>
      <c r="F653" s="19">
        <f>IF($B653="","",IF(69&gt;NFixedA,0,SUMIF(CalcCredit,INDEX(PkFixedA,69),CalcAmt)+SUMIF(CalcCredit2,INDEX(PkFixedA,69),CalcAmt2)))</f>
        <v/>
      </c>
      <c r="G653" s="20">
        <f>IF($B653="","",ROUND($E653-$F653,0))</f>
        <v/>
      </c>
      <c r="H653" s="17">
        <f>IF($B653="","",IF(ROUND($G653,0)&gt;0,"بدهکار",IF(ROUND($G653,0)&lt;0,"بستانکار","تسویه")))</f>
        <v/>
      </c>
    </row>
    <row r="654">
      <c r="A654" s="11">
        <f>IF($B654="","",645)</f>
        <v/>
      </c>
      <c r="B654" s="12">
        <f>IF(70&gt;NFixedA,"",IFERROR(IF(VLOOKUP(INDEX(PkFixedA,70),AcctTblA,4,0)="","(بدون نام)",VLOOKUP(INDEX(PkFixedA,70),AcctTblA,4,0)),"—"))</f>
        <v/>
      </c>
      <c r="C654" s="13">
        <f>IF($B654="","",IF(70&gt;NFixedA,"",INDEX(PkFixedA,70)))</f>
        <v/>
      </c>
      <c r="D654" s="12">
        <f>IF($B654="","","f")</f>
        <v/>
      </c>
      <c r="E654" s="14">
        <f>IF($B654="","",IF(70&gt;NFixedA,0,SUMIF(CalcDebit,INDEX(PkFixedA,70),CalcAmt)+SUMIF(CalcDebit2,INDEX(PkFixedA,70),CalcAmt2)))</f>
        <v/>
      </c>
      <c r="F654" s="14">
        <f>IF($B654="","",IF(70&gt;NFixedA,0,SUMIF(CalcCredit,INDEX(PkFixedA,70),CalcAmt)+SUMIF(CalcCredit2,INDEX(PkFixedA,70),CalcAmt2)))</f>
        <v/>
      </c>
      <c r="G654" s="15">
        <f>IF($B654="","",ROUND($E654-$F654,0))</f>
        <v/>
      </c>
      <c r="H654" s="12">
        <f>IF($B654="","",IF(ROUND($G654,0)&gt;0,"بدهکار",IF(ROUND($G654,0)&lt;0,"بستانکار","تسویه")))</f>
        <v/>
      </c>
    </row>
    <row r="655">
      <c r="A655" s="16">
        <f>IF($B655="","",646)</f>
        <v/>
      </c>
      <c r="B655" s="17">
        <f>IF(71&gt;NFixedA,"",IFERROR(IF(VLOOKUP(INDEX(PkFixedA,71),AcctTblA,4,0)="","(بدون نام)",VLOOKUP(INDEX(PkFixedA,71),AcctTblA,4,0)),"—"))</f>
        <v/>
      </c>
      <c r="C655" s="18">
        <f>IF($B655="","",IF(71&gt;NFixedA,"",INDEX(PkFixedA,71)))</f>
        <v/>
      </c>
      <c r="D655" s="17">
        <f>IF($B655="","","f")</f>
        <v/>
      </c>
      <c r="E655" s="19">
        <f>IF($B655="","",IF(71&gt;NFixedA,0,SUMIF(CalcDebit,INDEX(PkFixedA,71),CalcAmt)+SUMIF(CalcDebit2,INDEX(PkFixedA,71),CalcAmt2)))</f>
        <v/>
      </c>
      <c r="F655" s="19">
        <f>IF($B655="","",IF(71&gt;NFixedA,0,SUMIF(CalcCredit,INDEX(PkFixedA,71),CalcAmt)+SUMIF(CalcCredit2,INDEX(PkFixedA,71),CalcAmt2)))</f>
        <v/>
      </c>
      <c r="G655" s="20">
        <f>IF($B655="","",ROUND($E655-$F655,0))</f>
        <v/>
      </c>
      <c r="H655" s="17">
        <f>IF($B655="","",IF(ROUND($G655,0)&gt;0,"بدهکار",IF(ROUND($G655,0)&lt;0,"بستانکار","تسویه")))</f>
        <v/>
      </c>
    </row>
    <row r="656">
      <c r="A656" s="11">
        <f>IF($B656="","",647)</f>
        <v/>
      </c>
      <c r="B656" s="12">
        <f>IF(72&gt;NFixedA,"",IFERROR(IF(VLOOKUP(INDEX(PkFixedA,72),AcctTblA,4,0)="","(بدون نام)",VLOOKUP(INDEX(PkFixedA,72),AcctTblA,4,0)),"—"))</f>
        <v/>
      </c>
      <c r="C656" s="13">
        <f>IF($B656="","",IF(72&gt;NFixedA,"",INDEX(PkFixedA,72)))</f>
        <v/>
      </c>
      <c r="D656" s="12">
        <f>IF($B656="","","f")</f>
        <v/>
      </c>
      <c r="E656" s="14">
        <f>IF($B656="","",IF(72&gt;NFixedA,0,SUMIF(CalcDebit,INDEX(PkFixedA,72),CalcAmt)+SUMIF(CalcDebit2,INDEX(PkFixedA,72),CalcAmt2)))</f>
        <v/>
      </c>
      <c r="F656" s="14">
        <f>IF($B656="","",IF(72&gt;NFixedA,0,SUMIF(CalcCredit,INDEX(PkFixedA,72),CalcAmt)+SUMIF(CalcCredit2,INDEX(PkFixedA,72),CalcAmt2)))</f>
        <v/>
      </c>
      <c r="G656" s="15">
        <f>IF($B656="","",ROUND($E656-$F656,0))</f>
        <v/>
      </c>
      <c r="H656" s="12">
        <f>IF($B656="","",IF(ROUND($G656,0)&gt;0,"بدهکار",IF(ROUND($G656,0)&lt;0,"بستانکار","تسویه")))</f>
        <v/>
      </c>
    </row>
    <row r="657">
      <c r="A657" s="16">
        <f>IF($B657="","",648)</f>
        <v/>
      </c>
      <c r="B657" s="17">
        <f>IF(73&gt;NFixedA,"",IFERROR(IF(VLOOKUP(INDEX(PkFixedA,73),AcctTblA,4,0)="","(بدون نام)",VLOOKUP(INDEX(PkFixedA,73),AcctTblA,4,0)),"—"))</f>
        <v/>
      </c>
      <c r="C657" s="18">
        <f>IF($B657="","",IF(73&gt;NFixedA,"",INDEX(PkFixedA,73)))</f>
        <v/>
      </c>
      <c r="D657" s="17">
        <f>IF($B657="","","f")</f>
        <v/>
      </c>
      <c r="E657" s="19">
        <f>IF($B657="","",IF(73&gt;NFixedA,0,SUMIF(CalcDebit,INDEX(PkFixedA,73),CalcAmt)+SUMIF(CalcDebit2,INDEX(PkFixedA,73),CalcAmt2)))</f>
        <v/>
      </c>
      <c r="F657" s="19">
        <f>IF($B657="","",IF(73&gt;NFixedA,0,SUMIF(CalcCredit,INDEX(PkFixedA,73),CalcAmt)+SUMIF(CalcCredit2,INDEX(PkFixedA,73),CalcAmt2)))</f>
        <v/>
      </c>
      <c r="G657" s="20">
        <f>IF($B657="","",ROUND($E657-$F657,0))</f>
        <v/>
      </c>
      <c r="H657" s="17">
        <f>IF($B657="","",IF(ROUND($G657,0)&gt;0,"بدهکار",IF(ROUND($G657,0)&lt;0,"بستانکار","تسویه")))</f>
        <v/>
      </c>
    </row>
    <row r="658">
      <c r="A658" s="11">
        <f>IF($B658="","",649)</f>
        <v/>
      </c>
      <c r="B658" s="12">
        <f>IF(74&gt;NFixedA,"",IFERROR(IF(VLOOKUP(INDEX(PkFixedA,74),AcctTblA,4,0)="","(بدون نام)",VLOOKUP(INDEX(PkFixedA,74),AcctTblA,4,0)),"—"))</f>
        <v/>
      </c>
      <c r="C658" s="13">
        <f>IF($B658="","",IF(74&gt;NFixedA,"",INDEX(PkFixedA,74)))</f>
        <v/>
      </c>
      <c r="D658" s="12">
        <f>IF($B658="","","f")</f>
        <v/>
      </c>
      <c r="E658" s="14">
        <f>IF($B658="","",IF(74&gt;NFixedA,0,SUMIF(CalcDebit,INDEX(PkFixedA,74),CalcAmt)+SUMIF(CalcDebit2,INDEX(PkFixedA,74),CalcAmt2)))</f>
        <v/>
      </c>
      <c r="F658" s="14">
        <f>IF($B658="","",IF(74&gt;NFixedA,0,SUMIF(CalcCredit,INDEX(PkFixedA,74),CalcAmt)+SUMIF(CalcCredit2,INDEX(PkFixedA,74),CalcAmt2)))</f>
        <v/>
      </c>
      <c r="G658" s="15">
        <f>IF($B658="","",ROUND($E658-$F658,0))</f>
        <v/>
      </c>
      <c r="H658" s="12">
        <f>IF($B658="","",IF(ROUND($G658,0)&gt;0,"بدهکار",IF(ROUND($G658,0)&lt;0,"بستانکار","تسویه")))</f>
        <v/>
      </c>
    </row>
    <row r="659">
      <c r="A659" s="16">
        <f>IF($B659="","",650)</f>
        <v/>
      </c>
      <c r="B659" s="17">
        <f>IF(75&gt;NFixedA,"",IFERROR(IF(VLOOKUP(INDEX(PkFixedA,75),AcctTblA,4,0)="","(بدون نام)",VLOOKUP(INDEX(PkFixedA,75),AcctTblA,4,0)),"—"))</f>
        <v/>
      </c>
      <c r="C659" s="18">
        <f>IF($B659="","",IF(75&gt;NFixedA,"",INDEX(PkFixedA,75)))</f>
        <v/>
      </c>
      <c r="D659" s="17">
        <f>IF($B659="","","f")</f>
        <v/>
      </c>
      <c r="E659" s="19">
        <f>IF($B659="","",IF(75&gt;NFixedA,0,SUMIF(CalcDebit,INDEX(PkFixedA,75),CalcAmt)+SUMIF(CalcDebit2,INDEX(PkFixedA,75),CalcAmt2)))</f>
        <v/>
      </c>
      <c r="F659" s="19">
        <f>IF($B659="","",IF(75&gt;NFixedA,0,SUMIF(CalcCredit,INDEX(PkFixedA,75),CalcAmt)+SUMIF(CalcCredit2,INDEX(PkFixedA,75),CalcAmt2)))</f>
        <v/>
      </c>
      <c r="G659" s="20">
        <f>IF($B659="","",ROUND($E659-$F659,0))</f>
        <v/>
      </c>
      <c r="H659" s="17">
        <f>IF($B659="","",IF(ROUND($G659,0)&gt;0,"بدهکار",IF(ROUND($G659,0)&lt;0,"بستانکار","تسویه")))</f>
        <v/>
      </c>
    </row>
    <row r="660">
      <c r="A660" s="11">
        <f>IF($B660="","",651)</f>
        <v/>
      </c>
      <c r="B660" s="12">
        <f>IF(76&gt;NFixedA,"",IFERROR(IF(VLOOKUP(INDEX(PkFixedA,76),AcctTblA,4,0)="","(بدون نام)",VLOOKUP(INDEX(PkFixedA,76),AcctTblA,4,0)),"—"))</f>
        <v/>
      </c>
      <c r="C660" s="13">
        <f>IF($B660="","",IF(76&gt;NFixedA,"",INDEX(PkFixedA,76)))</f>
        <v/>
      </c>
      <c r="D660" s="12">
        <f>IF($B660="","","f")</f>
        <v/>
      </c>
      <c r="E660" s="14">
        <f>IF($B660="","",IF(76&gt;NFixedA,0,SUMIF(CalcDebit,INDEX(PkFixedA,76),CalcAmt)+SUMIF(CalcDebit2,INDEX(PkFixedA,76),CalcAmt2)))</f>
        <v/>
      </c>
      <c r="F660" s="14">
        <f>IF($B660="","",IF(76&gt;NFixedA,0,SUMIF(CalcCredit,INDEX(PkFixedA,76),CalcAmt)+SUMIF(CalcCredit2,INDEX(PkFixedA,76),CalcAmt2)))</f>
        <v/>
      </c>
      <c r="G660" s="15">
        <f>IF($B660="","",ROUND($E660-$F660,0))</f>
        <v/>
      </c>
      <c r="H660" s="12">
        <f>IF($B660="","",IF(ROUND($G660,0)&gt;0,"بدهکار",IF(ROUND($G660,0)&lt;0,"بستانکار","تسویه")))</f>
        <v/>
      </c>
    </row>
    <row r="661">
      <c r="A661" s="16">
        <f>IF($B661="","",652)</f>
        <v/>
      </c>
      <c r="B661" s="17">
        <f>IF(77&gt;NFixedA,"",IFERROR(IF(VLOOKUP(INDEX(PkFixedA,77),AcctTblA,4,0)="","(بدون نام)",VLOOKUP(INDEX(PkFixedA,77),AcctTblA,4,0)),"—"))</f>
        <v/>
      </c>
      <c r="C661" s="18">
        <f>IF($B661="","",IF(77&gt;NFixedA,"",INDEX(PkFixedA,77)))</f>
        <v/>
      </c>
      <c r="D661" s="17">
        <f>IF($B661="","","f")</f>
        <v/>
      </c>
      <c r="E661" s="19">
        <f>IF($B661="","",IF(77&gt;NFixedA,0,SUMIF(CalcDebit,INDEX(PkFixedA,77),CalcAmt)+SUMIF(CalcDebit2,INDEX(PkFixedA,77),CalcAmt2)))</f>
        <v/>
      </c>
      <c r="F661" s="19">
        <f>IF($B661="","",IF(77&gt;NFixedA,0,SUMIF(CalcCredit,INDEX(PkFixedA,77),CalcAmt)+SUMIF(CalcCredit2,INDEX(PkFixedA,77),CalcAmt2)))</f>
        <v/>
      </c>
      <c r="G661" s="20">
        <f>IF($B661="","",ROUND($E661-$F661,0))</f>
        <v/>
      </c>
      <c r="H661" s="17">
        <f>IF($B661="","",IF(ROUND($G661,0)&gt;0,"بدهکار",IF(ROUND($G661,0)&lt;0,"بستانکار","تسویه")))</f>
        <v/>
      </c>
    </row>
    <row r="662">
      <c r="A662" s="11">
        <f>IF($B662="","",653)</f>
        <v/>
      </c>
      <c r="B662" s="12">
        <f>IF(78&gt;NFixedA,"",IFERROR(IF(VLOOKUP(INDEX(PkFixedA,78),AcctTblA,4,0)="","(بدون نام)",VLOOKUP(INDEX(PkFixedA,78),AcctTblA,4,0)),"—"))</f>
        <v/>
      </c>
      <c r="C662" s="13">
        <f>IF($B662="","",IF(78&gt;NFixedA,"",INDEX(PkFixedA,78)))</f>
        <v/>
      </c>
      <c r="D662" s="12">
        <f>IF($B662="","","f")</f>
        <v/>
      </c>
      <c r="E662" s="14">
        <f>IF($B662="","",IF(78&gt;NFixedA,0,SUMIF(CalcDebit,INDEX(PkFixedA,78),CalcAmt)+SUMIF(CalcDebit2,INDEX(PkFixedA,78),CalcAmt2)))</f>
        <v/>
      </c>
      <c r="F662" s="14">
        <f>IF($B662="","",IF(78&gt;NFixedA,0,SUMIF(CalcCredit,INDEX(PkFixedA,78),CalcAmt)+SUMIF(CalcCredit2,INDEX(PkFixedA,78),CalcAmt2)))</f>
        <v/>
      </c>
      <c r="G662" s="15">
        <f>IF($B662="","",ROUND($E662-$F662,0))</f>
        <v/>
      </c>
      <c r="H662" s="12">
        <f>IF($B662="","",IF(ROUND($G662,0)&gt;0,"بدهکار",IF(ROUND($G662,0)&lt;0,"بستانکار","تسویه")))</f>
        <v/>
      </c>
    </row>
    <row r="663">
      <c r="A663" s="16">
        <f>IF($B663="","",654)</f>
        <v/>
      </c>
      <c r="B663" s="17">
        <f>IF(79&gt;NFixedA,"",IFERROR(IF(VLOOKUP(INDEX(PkFixedA,79),AcctTblA,4,0)="","(بدون نام)",VLOOKUP(INDEX(PkFixedA,79),AcctTblA,4,0)),"—"))</f>
        <v/>
      </c>
      <c r="C663" s="18">
        <f>IF($B663="","",IF(79&gt;NFixedA,"",INDEX(PkFixedA,79)))</f>
        <v/>
      </c>
      <c r="D663" s="17">
        <f>IF($B663="","","f")</f>
        <v/>
      </c>
      <c r="E663" s="19">
        <f>IF($B663="","",IF(79&gt;NFixedA,0,SUMIF(CalcDebit,INDEX(PkFixedA,79),CalcAmt)+SUMIF(CalcDebit2,INDEX(PkFixedA,79),CalcAmt2)))</f>
        <v/>
      </c>
      <c r="F663" s="19">
        <f>IF($B663="","",IF(79&gt;NFixedA,0,SUMIF(CalcCredit,INDEX(PkFixedA,79),CalcAmt)+SUMIF(CalcCredit2,INDEX(PkFixedA,79),CalcAmt2)))</f>
        <v/>
      </c>
      <c r="G663" s="20">
        <f>IF($B663="","",ROUND($E663-$F663,0))</f>
        <v/>
      </c>
      <c r="H663" s="17">
        <f>IF($B663="","",IF(ROUND($G663,0)&gt;0,"بدهکار",IF(ROUND($G663,0)&lt;0,"بستانکار","تسویه")))</f>
        <v/>
      </c>
    </row>
    <row r="664">
      <c r="A664" s="11">
        <f>IF($B664="","",655)</f>
        <v/>
      </c>
      <c r="B664" s="12">
        <f>IF(80&gt;NFixedA,"",IFERROR(IF(VLOOKUP(INDEX(PkFixedA,80),AcctTblA,4,0)="","(بدون نام)",VLOOKUP(INDEX(PkFixedA,80),AcctTblA,4,0)),"—"))</f>
        <v/>
      </c>
      <c r="C664" s="13">
        <f>IF($B664="","",IF(80&gt;NFixedA,"",INDEX(PkFixedA,80)))</f>
        <v/>
      </c>
      <c r="D664" s="12">
        <f>IF($B664="","","f")</f>
        <v/>
      </c>
      <c r="E664" s="14">
        <f>IF($B664="","",IF(80&gt;NFixedA,0,SUMIF(CalcDebit,INDEX(PkFixedA,80),CalcAmt)+SUMIF(CalcDebit2,INDEX(PkFixedA,80),CalcAmt2)))</f>
        <v/>
      </c>
      <c r="F664" s="14">
        <f>IF($B664="","",IF(80&gt;NFixedA,0,SUMIF(CalcCredit,INDEX(PkFixedA,80),CalcAmt)+SUMIF(CalcCredit2,INDEX(PkFixedA,80),CalcAmt2)))</f>
        <v/>
      </c>
      <c r="G664" s="15">
        <f>IF($B664="","",ROUND($E664-$F664,0))</f>
        <v/>
      </c>
      <c r="H664" s="12">
        <f>IF($B664="","",IF(ROUND($G664,0)&gt;0,"بدهکار",IF(ROUND($G664,0)&lt;0,"بستانکار","تسویه")))</f>
        <v/>
      </c>
    </row>
    <row r="665">
      <c r="A665" s="16">
        <f>IF($B665="","",656)</f>
        <v/>
      </c>
      <c r="B665" s="17">
        <f>IF(81&gt;NFixedA,"",IFERROR(IF(VLOOKUP(INDEX(PkFixedA,81),AcctTblA,4,0)="","(بدون نام)",VLOOKUP(INDEX(PkFixedA,81),AcctTblA,4,0)),"—"))</f>
        <v/>
      </c>
      <c r="C665" s="18">
        <f>IF($B665="","",IF(81&gt;NFixedA,"",INDEX(PkFixedA,81)))</f>
        <v/>
      </c>
      <c r="D665" s="17">
        <f>IF($B665="","","f")</f>
        <v/>
      </c>
      <c r="E665" s="19">
        <f>IF($B665="","",IF(81&gt;NFixedA,0,SUMIF(CalcDebit,INDEX(PkFixedA,81),CalcAmt)+SUMIF(CalcDebit2,INDEX(PkFixedA,81),CalcAmt2)))</f>
        <v/>
      </c>
      <c r="F665" s="19">
        <f>IF($B665="","",IF(81&gt;NFixedA,0,SUMIF(CalcCredit,INDEX(PkFixedA,81),CalcAmt)+SUMIF(CalcCredit2,INDEX(PkFixedA,81),CalcAmt2)))</f>
        <v/>
      </c>
      <c r="G665" s="20">
        <f>IF($B665="","",ROUND($E665-$F665,0))</f>
        <v/>
      </c>
      <c r="H665" s="17">
        <f>IF($B665="","",IF(ROUND($G665,0)&gt;0,"بدهکار",IF(ROUND($G665,0)&lt;0,"بستانکار","تسویه")))</f>
        <v/>
      </c>
    </row>
    <row r="666">
      <c r="A666" s="11">
        <f>IF($B666="","",657)</f>
        <v/>
      </c>
      <c r="B666" s="12">
        <f>IF(82&gt;NFixedA,"",IFERROR(IF(VLOOKUP(INDEX(PkFixedA,82),AcctTblA,4,0)="","(بدون نام)",VLOOKUP(INDEX(PkFixedA,82),AcctTblA,4,0)),"—"))</f>
        <v/>
      </c>
      <c r="C666" s="13">
        <f>IF($B666="","",IF(82&gt;NFixedA,"",INDEX(PkFixedA,82)))</f>
        <v/>
      </c>
      <c r="D666" s="12">
        <f>IF($B666="","","f")</f>
        <v/>
      </c>
      <c r="E666" s="14">
        <f>IF($B666="","",IF(82&gt;NFixedA,0,SUMIF(CalcDebit,INDEX(PkFixedA,82),CalcAmt)+SUMIF(CalcDebit2,INDEX(PkFixedA,82),CalcAmt2)))</f>
        <v/>
      </c>
      <c r="F666" s="14">
        <f>IF($B666="","",IF(82&gt;NFixedA,0,SUMIF(CalcCredit,INDEX(PkFixedA,82),CalcAmt)+SUMIF(CalcCredit2,INDEX(PkFixedA,82),CalcAmt2)))</f>
        <v/>
      </c>
      <c r="G666" s="15">
        <f>IF($B666="","",ROUND($E666-$F666,0))</f>
        <v/>
      </c>
      <c r="H666" s="12">
        <f>IF($B666="","",IF(ROUND($G666,0)&gt;0,"بدهکار",IF(ROUND($G666,0)&lt;0,"بستانکار","تسویه")))</f>
        <v/>
      </c>
    </row>
    <row r="667">
      <c r="A667" s="16">
        <f>IF($B667="","",658)</f>
        <v/>
      </c>
      <c r="B667" s="17">
        <f>IF(83&gt;NFixedA,"",IFERROR(IF(VLOOKUP(INDEX(PkFixedA,83),AcctTblA,4,0)="","(بدون نام)",VLOOKUP(INDEX(PkFixedA,83),AcctTblA,4,0)),"—"))</f>
        <v/>
      </c>
      <c r="C667" s="18">
        <f>IF($B667="","",IF(83&gt;NFixedA,"",INDEX(PkFixedA,83)))</f>
        <v/>
      </c>
      <c r="D667" s="17">
        <f>IF($B667="","","f")</f>
        <v/>
      </c>
      <c r="E667" s="19">
        <f>IF($B667="","",IF(83&gt;NFixedA,0,SUMIF(CalcDebit,INDEX(PkFixedA,83),CalcAmt)+SUMIF(CalcDebit2,INDEX(PkFixedA,83),CalcAmt2)))</f>
        <v/>
      </c>
      <c r="F667" s="19">
        <f>IF($B667="","",IF(83&gt;NFixedA,0,SUMIF(CalcCredit,INDEX(PkFixedA,83),CalcAmt)+SUMIF(CalcCredit2,INDEX(PkFixedA,83),CalcAmt2)))</f>
        <v/>
      </c>
      <c r="G667" s="20">
        <f>IF($B667="","",ROUND($E667-$F667,0))</f>
        <v/>
      </c>
      <c r="H667" s="17">
        <f>IF($B667="","",IF(ROUND($G667,0)&gt;0,"بدهکار",IF(ROUND($G667,0)&lt;0,"بستانکار","تسویه")))</f>
        <v/>
      </c>
    </row>
    <row r="668">
      <c r="A668" s="11">
        <f>IF($B668="","",659)</f>
        <v/>
      </c>
      <c r="B668" s="12">
        <f>IF(84&gt;NFixedA,"",IFERROR(IF(VLOOKUP(INDEX(PkFixedA,84),AcctTblA,4,0)="","(بدون نام)",VLOOKUP(INDEX(PkFixedA,84),AcctTblA,4,0)),"—"))</f>
        <v/>
      </c>
      <c r="C668" s="13">
        <f>IF($B668="","",IF(84&gt;NFixedA,"",INDEX(PkFixedA,84)))</f>
        <v/>
      </c>
      <c r="D668" s="12">
        <f>IF($B668="","","f")</f>
        <v/>
      </c>
      <c r="E668" s="14">
        <f>IF($B668="","",IF(84&gt;NFixedA,0,SUMIF(CalcDebit,INDEX(PkFixedA,84),CalcAmt)+SUMIF(CalcDebit2,INDEX(PkFixedA,84),CalcAmt2)))</f>
        <v/>
      </c>
      <c r="F668" s="14">
        <f>IF($B668="","",IF(84&gt;NFixedA,0,SUMIF(CalcCredit,INDEX(PkFixedA,84),CalcAmt)+SUMIF(CalcCredit2,INDEX(PkFixedA,84),CalcAmt2)))</f>
        <v/>
      </c>
      <c r="G668" s="15">
        <f>IF($B668="","",ROUND($E668-$F668,0))</f>
        <v/>
      </c>
      <c r="H668" s="12">
        <f>IF($B668="","",IF(ROUND($G668,0)&gt;0,"بدهکار",IF(ROUND($G668,0)&lt;0,"بستانکار","تسویه")))</f>
        <v/>
      </c>
    </row>
    <row r="669">
      <c r="A669" s="16">
        <f>IF($B669="","",660)</f>
        <v/>
      </c>
      <c r="B669" s="17">
        <f>IF(85&gt;NFixedA,"",IFERROR(IF(VLOOKUP(INDEX(PkFixedA,85),AcctTblA,4,0)="","(بدون نام)",VLOOKUP(INDEX(PkFixedA,85),AcctTblA,4,0)),"—"))</f>
        <v/>
      </c>
      <c r="C669" s="18">
        <f>IF($B669="","",IF(85&gt;NFixedA,"",INDEX(PkFixedA,85)))</f>
        <v/>
      </c>
      <c r="D669" s="17">
        <f>IF($B669="","","f")</f>
        <v/>
      </c>
      <c r="E669" s="19">
        <f>IF($B669="","",IF(85&gt;NFixedA,0,SUMIF(CalcDebit,INDEX(PkFixedA,85),CalcAmt)+SUMIF(CalcDebit2,INDEX(PkFixedA,85),CalcAmt2)))</f>
        <v/>
      </c>
      <c r="F669" s="19">
        <f>IF($B669="","",IF(85&gt;NFixedA,0,SUMIF(CalcCredit,INDEX(PkFixedA,85),CalcAmt)+SUMIF(CalcCredit2,INDEX(PkFixedA,85),CalcAmt2)))</f>
        <v/>
      </c>
      <c r="G669" s="20">
        <f>IF($B669="","",ROUND($E669-$F669,0))</f>
        <v/>
      </c>
      <c r="H669" s="17">
        <f>IF($B669="","",IF(ROUND($G669,0)&gt;0,"بدهکار",IF(ROUND($G669,0)&lt;0,"بستانکار","تسویه")))</f>
        <v/>
      </c>
    </row>
    <row r="670">
      <c r="A670" s="11">
        <f>IF($B670="","",661)</f>
        <v/>
      </c>
      <c r="B670" s="12">
        <f>IF(86&gt;NFixedA,"",IFERROR(IF(VLOOKUP(INDEX(PkFixedA,86),AcctTblA,4,0)="","(بدون نام)",VLOOKUP(INDEX(PkFixedA,86),AcctTblA,4,0)),"—"))</f>
        <v/>
      </c>
      <c r="C670" s="13">
        <f>IF($B670="","",IF(86&gt;NFixedA,"",INDEX(PkFixedA,86)))</f>
        <v/>
      </c>
      <c r="D670" s="12">
        <f>IF($B670="","","f")</f>
        <v/>
      </c>
      <c r="E670" s="14">
        <f>IF($B670="","",IF(86&gt;NFixedA,0,SUMIF(CalcDebit,INDEX(PkFixedA,86),CalcAmt)+SUMIF(CalcDebit2,INDEX(PkFixedA,86),CalcAmt2)))</f>
        <v/>
      </c>
      <c r="F670" s="14">
        <f>IF($B670="","",IF(86&gt;NFixedA,0,SUMIF(CalcCredit,INDEX(PkFixedA,86),CalcAmt)+SUMIF(CalcCredit2,INDEX(PkFixedA,86),CalcAmt2)))</f>
        <v/>
      </c>
      <c r="G670" s="15">
        <f>IF($B670="","",ROUND($E670-$F670,0))</f>
        <v/>
      </c>
      <c r="H670" s="12">
        <f>IF($B670="","",IF(ROUND($G670,0)&gt;0,"بدهکار",IF(ROUND($G670,0)&lt;0,"بستانکار","تسویه")))</f>
        <v/>
      </c>
    </row>
    <row r="671">
      <c r="A671" s="16">
        <f>IF($B671="","",662)</f>
        <v/>
      </c>
      <c r="B671" s="17">
        <f>IF(87&gt;NFixedA,"",IFERROR(IF(VLOOKUP(INDEX(PkFixedA,87),AcctTblA,4,0)="","(بدون نام)",VLOOKUP(INDEX(PkFixedA,87),AcctTblA,4,0)),"—"))</f>
        <v/>
      </c>
      <c r="C671" s="18">
        <f>IF($B671="","",IF(87&gt;NFixedA,"",INDEX(PkFixedA,87)))</f>
        <v/>
      </c>
      <c r="D671" s="17">
        <f>IF($B671="","","f")</f>
        <v/>
      </c>
      <c r="E671" s="19">
        <f>IF($B671="","",IF(87&gt;NFixedA,0,SUMIF(CalcDebit,INDEX(PkFixedA,87),CalcAmt)+SUMIF(CalcDebit2,INDEX(PkFixedA,87),CalcAmt2)))</f>
        <v/>
      </c>
      <c r="F671" s="19">
        <f>IF($B671="","",IF(87&gt;NFixedA,0,SUMIF(CalcCredit,INDEX(PkFixedA,87),CalcAmt)+SUMIF(CalcCredit2,INDEX(PkFixedA,87),CalcAmt2)))</f>
        <v/>
      </c>
      <c r="G671" s="20">
        <f>IF($B671="","",ROUND($E671-$F671,0))</f>
        <v/>
      </c>
      <c r="H671" s="17">
        <f>IF($B671="","",IF(ROUND($G671,0)&gt;0,"بدهکار",IF(ROUND($G671,0)&lt;0,"بستانکار","تسویه")))</f>
        <v/>
      </c>
    </row>
    <row r="672">
      <c r="A672" s="11">
        <f>IF($B672="","",663)</f>
        <v/>
      </c>
      <c r="B672" s="12">
        <f>IF(88&gt;NFixedA,"",IFERROR(IF(VLOOKUP(INDEX(PkFixedA,88),AcctTblA,4,0)="","(بدون نام)",VLOOKUP(INDEX(PkFixedA,88),AcctTblA,4,0)),"—"))</f>
        <v/>
      </c>
      <c r="C672" s="13">
        <f>IF($B672="","",IF(88&gt;NFixedA,"",INDEX(PkFixedA,88)))</f>
        <v/>
      </c>
      <c r="D672" s="12">
        <f>IF($B672="","","f")</f>
        <v/>
      </c>
      <c r="E672" s="14">
        <f>IF($B672="","",IF(88&gt;NFixedA,0,SUMIF(CalcDebit,INDEX(PkFixedA,88),CalcAmt)+SUMIF(CalcDebit2,INDEX(PkFixedA,88),CalcAmt2)))</f>
        <v/>
      </c>
      <c r="F672" s="14">
        <f>IF($B672="","",IF(88&gt;NFixedA,0,SUMIF(CalcCredit,INDEX(PkFixedA,88),CalcAmt)+SUMIF(CalcCredit2,INDEX(PkFixedA,88),CalcAmt2)))</f>
        <v/>
      </c>
      <c r="G672" s="15">
        <f>IF($B672="","",ROUND($E672-$F672,0))</f>
        <v/>
      </c>
      <c r="H672" s="12">
        <f>IF($B672="","",IF(ROUND($G672,0)&gt;0,"بدهکار",IF(ROUND($G672,0)&lt;0,"بستانکار","تسویه")))</f>
        <v/>
      </c>
    </row>
    <row r="673">
      <c r="A673" s="16">
        <f>IF($B673="","",664)</f>
        <v/>
      </c>
      <c r="B673" s="17">
        <f>IF(89&gt;NFixedA,"",IFERROR(IF(VLOOKUP(INDEX(PkFixedA,89),AcctTblA,4,0)="","(بدون نام)",VLOOKUP(INDEX(PkFixedA,89),AcctTblA,4,0)),"—"))</f>
        <v/>
      </c>
      <c r="C673" s="18">
        <f>IF($B673="","",IF(89&gt;NFixedA,"",INDEX(PkFixedA,89)))</f>
        <v/>
      </c>
      <c r="D673" s="17">
        <f>IF($B673="","","f")</f>
        <v/>
      </c>
      <c r="E673" s="19">
        <f>IF($B673="","",IF(89&gt;NFixedA,0,SUMIF(CalcDebit,INDEX(PkFixedA,89),CalcAmt)+SUMIF(CalcDebit2,INDEX(PkFixedA,89),CalcAmt2)))</f>
        <v/>
      </c>
      <c r="F673" s="19">
        <f>IF($B673="","",IF(89&gt;NFixedA,0,SUMIF(CalcCredit,INDEX(PkFixedA,89),CalcAmt)+SUMIF(CalcCredit2,INDEX(PkFixedA,89),CalcAmt2)))</f>
        <v/>
      </c>
      <c r="G673" s="20">
        <f>IF($B673="","",ROUND($E673-$F673,0))</f>
        <v/>
      </c>
      <c r="H673" s="17">
        <f>IF($B673="","",IF(ROUND($G673,0)&gt;0,"بدهکار",IF(ROUND($G673,0)&lt;0,"بستانکار","تسویه")))</f>
        <v/>
      </c>
    </row>
    <row r="674">
      <c r="A674" s="11">
        <f>IF($B674="","",665)</f>
        <v/>
      </c>
      <c r="B674" s="12">
        <f>IF(90&gt;NFixedA,"",IFERROR(IF(VLOOKUP(INDEX(PkFixedA,90),AcctTblA,4,0)="","(بدون نام)",VLOOKUP(INDEX(PkFixedA,90),AcctTblA,4,0)),"—"))</f>
        <v/>
      </c>
      <c r="C674" s="13">
        <f>IF($B674="","",IF(90&gt;NFixedA,"",INDEX(PkFixedA,90)))</f>
        <v/>
      </c>
      <c r="D674" s="12">
        <f>IF($B674="","","f")</f>
        <v/>
      </c>
      <c r="E674" s="14">
        <f>IF($B674="","",IF(90&gt;NFixedA,0,SUMIF(CalcDebit,INDEX(PkFixedA,90),CalcAmt)+SUMIF(CalcDebit2,INDEX(PkFixedA,90),CalcAmt2)))</f>
        <v/>
      </c>
      <c r="F674" s="14">
        <f>IF($B674="","",IF(90&gt;NFixedA,0,SUMIF(CalcCredit,INDEX(PkFixedA,90),CalcAmt)+SUMIF(CalcCredit2,INDEX(PkFixedA,90),CalcAmt2)))</f>
        <v/>
      </c>
      <c r="G674" s="15">
        <f>IF($B674="","",ROUND($E674-$F674,0))</f>
        <v/>
      </c>
      <c r="H674" s="12">
        <f>IF($B674="","",IF(ROUND($G674,0)&gt;0,"بدهکار",IF(ROUND($G674,0)&lt;0,"بستانکار","تسویه")))</f>
        <v/>
      </c>
    </row>
    <row r="675">
      <c r="A675" s="16">
        <f>IF($B675="","",666)</f>
        <v/>
      </c>
      <c r="B675" s="17">
        <f>IF(91&gt;NFixedA,"",IFERROR(IF(VLOOKUP(INDEX(PkFixedA,91),AcctTblA,4,0)="","(بدون نام)",VLOOKUP(INDEX(PkFixedA,91),AcctTblA,4,0)),"—"))</f>
        <v/>
      </c>
      <c r="C675" s="18">
        <f>IF($B675="","",IF(91&gt;NFixedA,"",INDEX(PkFixedA,91)))</f>
        <v/>
      </c>
      <c r="D675" s="17">
        <f>IF($B675="","","f")</f>
        <v/>
      </c>
      <c r="E675" s="19">
        <f>IF($B675="","",IF(91&gt;NFixedA,0,SUMIF(CalcDebit,INDEX(PkFixedA,91),CalcAmt)+SUMIF(CalcDebit2,INDEX(PkFixedA,91),CalcAmt2)))</f>
        <v/>
      </c>
      <c r="F675" s="19">
        <f>IF($B675="","",IF(91&gt;NFixedA,0,SUMIF(CalcCredit,INDEX(PkFixedA,91),CalcAmt)+SUMIF(CalcCredit2,INDEX(PkFixedA,91),CalcAmt2)))</f>
        <v/>
      </c>
      <c r="G675" s="20">
        <f>IF($B675="","",ROUND($E675-$F675,0))</f>
        <v/>
      </c>
      <c r="H675" s="17">
        <f>IF($B675="","",IF(ROUND($G675,0)&gt;0,"بدهکار",IF(ROUND($G675,0)&lt;0,"بستانکار","تسویه")))</f>
        <v/>
      </c>
    </row>
    <row r="676">
      <c r="A676" s="11">
        <f>IF($B676="","",667)</f>
        <v/>
      </c>
      <c r="B676" s="12">
        <f>IF(92&gt;NFixedA,"",IFERROR(IF(VLOOKUP(INDEX(PkFixedA,92),AcctTblA,4,0)="","(بدون نام)",VLOOKUP(INDEX(PkFixedA,92),AcctTblA,4,0)),"—"))</f>
        <v/>
      </c>
      <c r="C676" s="13">
        <f>IF($B676="","",IF(92&gt;NFixedA,"",INDEX(PkFixedA,92)))</f>
        <v/>
      </c>
      <c r="D676" s="12">
        <f>IF($B676="","","f")</f>
        <v/>
      </c>
      <c r="E676" s="14">
        <f>IF($B676="","",IF(92&gt;NFixedA,0,SUMIF(CalcDebit,INDEX(PkFixedA,92),CalcAmt)+SUMIF(CalcDebit2,INDEX(PkFixedA,92),CalcAmt2)))</f>
        <v/>
      </c>
      <c r="F676" s="14">
        <f>IF($B676="","",IF(92&gt;NFixedA,0,SUMIF(CalcCredit,INDEX(PkFixedA,92),CalcAmt)+SUMIF(CalcCredit2,INDEX(PkFixedA,92),CalcAmt2)))</f>
        <v/>
      </c>
      <c r="G676" s="15">
        <f>IF($B676="","",ROUND($E676-$F676,0))</f>
        <v/>
      </c>
      <c r="H676" s="12">
        <f>IF($B676="","",IF(ROUND($G676,0)&gt;0,"بدهکار",IF(ROUND($G676,0)&lt;0,"بستانکار","تسویه")))</f>
        <v/>
      </c>
    </row>
    <row r="677">
      <c r="A677" s="16">
        <f>IF($B677="","",668)</f>
        <v/>
      </c>
      <c r="B677" s="17">
        <f>IF(93&gt;NFixedA,"",IFERROR(IF(VLOOKUP(INDEX(PkFixedA,93),AcctTblA,4,0)="","(بدون نام)",VLOOKUP(INDEX(PkFixedA,93),AcctTblA,4,0)),"—"))</f>
        <v/>
      </c>
      <c r="C677" s="18">
        <f>IF($B677="","",IF(93&gt;NFixedA,"",INDEX(PkFixedA,93)))</f>
        <v/>
      </c>
      <c r="D677" s="17">
        <f>IF($B677="","","f")</f>
        <v/>
      </c>
      <c r="E677" s="19">
        <f>IF($B677="","",IF(93&gt;NFixedA,0,SUMIF(CalcDebit,INDEX(PkFixedA,93),CalcAmt)+SUMIF(CalcDebit2,INDEX(PkFixedA,93),CalcAmt2)))</f>
        <v/>
      </c>
      <c r="F677" s="19">
        <f>IF($B677="","",IF(93&gt;NFixedA,0,SUMIF(CalcCredit,INDEX(PkFixedA,93),CalcAmt)+SUMIF(CalcCredit2,INDEX(PkFixedA,93),CalcAmt2)))</f>
        <v/>
      </c>
      <c r="G677" s="20">
        <f>IF($B677="","",ROUND($E677-$F677,0))</f>
        <v/>
      </c>
      <c r="H677" s="17">
        <f>IF($B677="","",IF(ROUND($G677,0)&gt;0,"بدهکار",IF(ROUND($G677,0)&lt;0,"بستانکار","تسویه")))</f>
        <v/>
      </c>
    </row>
    <row r="678">
      <c r="A678" s="11">
        <f>IF($B678="","",669)</f>
        <v/>
      </c>
      <c r="B678" s="12">
        <f>IF(94&gt;NFixedA,"",IFERROR(IF(VLOOKUP(INDEX(PkFixedA,94),AcctTblA,4,0)="","(بدون نام)",VLOOKUP(INDEX(PkFixedA,94),AcctTblA,4,0)),"—"))</f>
        <v/>
      </c>
      <c r="C678" s="13">
        <f>IF($B678="","",IF(94&gt;NFixedA,"",INDEX(PkFixedA,94)))</f>
        <v/>
      </c>
      <c r="D678" s="12">
        <f>IF($B678="","","f")</f>
        <v/>
      </c>
      <c r="E678" s="14">
        <f>IF($B678="","",IF(94&gt;NFixedA,0,SUMIF(CalcDebit,INDEX(PkFixedA,94),CalcAmt)+SUMIF(CalcDebit2,INDEX(PkFixedA,94),CalcAmt2)))</f>
        <v/>
      </c>
      <c r="F678" s="14">
        <f>IF($B678="","",IF(94&gt;NFixedA,0,SUMIF(CalcCredit,INDEX(PkFixedA,94),CalcAmt)+SUMIF(CalcCredit2,INDEX(PkFixedA,94),CalcAmt2)))</f>
        <v/>
      </c>
      <c r="G678" s="15">
        <f>IF($B678="","",ROUND($E678-$F678,0))</f>
        <v/>
      </c>
      <c r="H678" s="12">
        <f>IF($B678="","",IF(ROUND($G678,0)&gt;0,"بدهکار",IF(ROUND($G678,0)&lt;0,"بستانکار","تسویه")))</f>
        <v/>
      </c>
    </row>
    <row r="679">
      <c r="A679" s="16">
        <f>IF($B679="","",670)</f>
        <v/>
      </c>
      <c r="B679" s="17">
        <f>IF(95&gt;NFixedA,"",IFERROR(IF(VLOOKUP(INDEX(PkFixedA,95),AcctTblA,4,0)="","(بدون نام)",VLOOKUP(INDEX(PkFixedA,95),AcctTblA,4,0)),"—"))</f>
        <v/>
      </c>
      <c r="C679" s="18">
        <f>IF($B679="","",IF(95&gt;NFixedA,"",INDEX(PkFixedA,95)))</f>
        <v/>
      </c>
      <c r="D679" s="17">
        <f>IF($B679="","","f")</f>
        <v/>
      </c>
      <c r="E679" s="19">
        <f>IF($B679="","",IF(95&gt;NFixedA,0,SUMIF(CalcDebit,INDEX(PkFixedA,95),CalcAmt)+SUMIF(CalcDebit2,INDEX(PkFixedA,95),CalcAmt2)))</f>
        <v/>
      </c>
      <c r="F679" s="19">
        <f>IF($B679="","",IF(95&gt;NFixedA,0,SUMIF(CalcCredit,INDEX(PkFixedA,95),CalcAmt)+SUMIF(CalcCredit2,INDEX(PkFixedA,95),CalcAmt2)))</f>
        <v/>
      </c>
      <c r="G679" s="20">
        <f>IF($B679="","",ROUND($E679-$F679,0))</f>
        <v/>
      </c>
      <c r="H679" s="17">
        <f>IF($B679="","",IF(ROUND($G679,0)&gt;0,"بدهکار",IF(ROUND($G679,0)&lt;0,"بستانکار","تسویه")))</f>
        <v/>
      </c>
    </row>
    <row r="680">
      <c r="A680" s="11">
        <f>IF($B680="","",671)</f>
        <v/>
      </c>
      <c r="B680" s="12">
        <f>IF(96&gt;NFixedA,"",IFERROR(IF(VLOOKUP(INDEX(PkFixedA,96),AcctTblA,4,0)="","(بدون نام)",VLOOKUP(INDEX(PkFixedA,96),AcctTblA,4,0)),"—"))</f>
        <v/>
      </c>
      <c r="C680" s="13">
        <f>IF($B680="","",IF(96&gt;NFixedA,"",INDEX(PkFixedA,96)))</f>
        <v/>
      </c>
      <c r="D680" s="12">
        <f>IF($B680="","","f")</f>
        <v/>
      </c>
      <c r="E680" s="14">
        <f>IF($B680="","",IF(96&gt;NFixedA,0,SUMIF(CalcDebit,INDEX(PkFixedA,96),CalcAmt)+SUMIF(CalcDebit2,INDEX(PkFixedA,96),CalcAmt2)))</f>
        <v/>
      </c>
      <c r="F680" s="14">
        <f>IF($B680="","",IF(96&gt;NFixedA,0,SUMIF(CalcCredit,INDEX(PkFixedA,96),CalcAmt)+SUMIF(CalcCredit2,INDEX(PkFixedA,96),CalcAmt2)))</f>
        <v/>
      </c>
      <c r="G680" s="15">
        <f>IF($B680="","",ROUND($E680-$F680,0))</f>
        <v/>
      </c>
      <c r="H680" s="12">
        <f>IF($B680="","",IF(ROUND($G680,0)&gt;0,"بدهکار",IF(ROUND($G680,0)&lt;0,"بستانکار","تسویه")))</f>
        <v/>
      </c>
    </row>
    <row r="681">
      <c r="A681" s="16">
        <f>IF($B681="","",672)</f>
        <v/>
      </c>
      <c r="B681" s="17">
        <f>IF(97&gt;NFixedA,"",IFERROR(IF(VLOOKUP(INDEX(PkFixedA,97),AcctTblA,4,0)="","(بدون نام)",VLOOKUP(INDEX(PkFixedA,97),AcctTblA,4,0)),"—"))</f>
        <v/>
      </c>
      <c r="C681" s="18">
        <f>IF($B681="","",IF(97&gt;NFixedA,"",INDEX(PkFixedA,97)))</f>
        <v/>
      </c>
      <c r="D681" s="17">
        <f>IF($B681="","","f")</f>
        <v/>
      </c>
      <c r="E681" s="19">
        <f>IF($B681="","",IF(97&gt;NFixedA,0,SUMIF(CalcDebit,INDEX(PkFixedA,97),CalcAmt)+SUMIF(CalcDebit2,INDEX(PkFixedA,97),CalcAmt2)))</f>
        <v/>
      </c>
      <c r="F681" s="19">
        <f>IF($B681="","",IF(97&gt;NFixedA,0,SUMIF(CalcCredit,INDEX(PkFixedA,97),CalcAmt)+SUMIF(CalcCredit2,INDEX(PkFixedA,97),CalcAmt2)))</f>
        <v/>
      </c>
      <c r="G681" s="20">
        <f>IF($B681="","",ROUND($E681-$F681,0))</f>
        <v/>
      </c>
      <c r="H681" s="17">
        <f>IF($B681="","",IF(ROUND($G681,0)&gt;0,"بدهکار",IF(ROUND($G681,0)&lt;0,"بستانکار","تسویه")))</f>
        <v/>
      </c>
    </row>
    <row r="682">
      <c r="A682" s="11">
        <f>IF($B682="","",673)</f>
        <v/>
      </c>
      <c r="B682" s="12">
        <f>IF(98&gt;NFixedA,"",IFERROR(IF(VLOOKUP(INDEX(PkFixedA,98),AcctTblA,4,0)="","(بدون نام)",VLOOKUP(INDEX(PkFixedA,98),AcctTblA,4,0)),"—"))</f>
        <v/>
      </c>
      <c r="C682" s="13">
        <f>IF($B682="","",IF(98&gt;NFixedA,"",INDEX(PkFixedA,98)))</f>
        <v/>
      </c>
      <c r="D682" s="12">
        <f>IF($B682="","","f")</f>
        <v/>
      </c>
      <c r="E682" s="14">
        <f>IF($B682="","",IF(98&gt;NFixedA,0,SUMIF(CalcDebit,INDEX(PkFixedA,98),CalcAmt)+SUMIF(CalcDebit2,INDEX(PkFixedA,98),CalcAmt2)))</f>
        <v/>
      </c>
      <c r="F682" s="14">
        <f>IF($B682="","",IF(98&gt;NFixedA,0,SUMIF(CalcCredit,INDEX(PkFixedA,98),CalcAmt)+SUMIF(CalcCredit2,INDEX(PkFixedA,98),CalcAmt2)))</f>
        <v/>
      </c>
      <c r="G682" s="15">
        <f>IF($B682="","",ROUND($E682-$F682,0))</f>
        <v/>
      </c>
      <c r="H682" s="12">
        <f>IF($B682="","",IF(ROUND($G682,0)&gt;0,"بدهکار",IF(ROUND($G682,0)&lt;0,"بستانکار","تسویه")))</f>
        <v/>
      </c>
    </row>
    <row r="683">
      <c r="A683" s="16">
        <f>IF($B683="","",674)</f>
        <v/>
      </c>
      <c r="B683" s="17">
        <f>IF(99&gt;NFixedA,"",IFERROR(IF(VLOOKUP(INDEX(PkFixedA,99),AcctTblA,4,0)="","(بدون نام)",VLOOKUP(INDEX(PkFixedA,99),AcctTblA,4,0)),"—"))</f>
        <v/>
      </c>
      <c r="C683" s="18">
        <f>IF($B683="","",IF(99&gt;NFixedA,"",INDEX(PkFixedA,99)))</f>
        <v/>
      </c>
      <c r="D683" s="17">
        <f>IF($B683="","","f")</f>
        <v/>
      </c>
      <c r="E683" s="19">
        <f>IF($B683="","",IF(99&gt;NFixedA,0,SUMIF(CalcDebit,INDEX(PkFixedA,99),CalcAmt)+SUMIF(CalcDebit2,INDEX(PkFixedA,99),CalcAmt2)))</f>
        <v/>
      </c>
      <c r="F683" s="19">
        <f>IF($B683="","",IF(99&gt;NFixedA,0,SUMIF(CalcCredit,INDEX(PkFixedA,99),CalcAmt)+SUMIF(CalcCredit2,INDEX(PkFixedA,99),CalcAmt2)))</f>
        <v/>
      </c>
      <c r="G683" s="20">
        <f>IF($B683="","",ROUND($E683-$F683,0))</f>
        <v/>
      </c>
      <c r="H683" s="17">
        <f>IF($B683="","",IF(ROUND($G683,0)&gt;0,"بدهکار",IF(ROUND($G683,0)&lt;0,"بستانکار","تسویه")))</f>
        <v/>
      </c>
    </row>
    <row r="684">
      <c r="A684" s="11">
        <f>IF($B684="","",675)</f>
        <v/>
      </c>
      <c r="B684" s="12">
        <f>IF(100&gt;NFixedA,"",IFERROR(IF(VLOOKUP(INDEX(PkFixedA,100),AcctTblA,4,0)="","(بدون نام)",VLOOKUP(INDEX(PkFixedA,100),AcctTblA,4,0)),"—"))</f>
        <v/>
      </c>
      <c r="C684" s="13">
        <f>IF($B684="","",IF(100&gt;NFixedA,"",INDEX(PkFixedA,100)))</f>
        <v/>
      </c>
      <c r="D684" s="12">
        <f>IF($B684="","","f")</f>
        <v/>
      </c>
      <c r="E684" s="14">
        <f>IF($B684="","",IF(100&gt;NFixedA,0,SUMIF(CalcDebit,INDEX(PkFixedA,100),CalcAmt)+SUMIF(CalcDebit2,INDEX(PkFixedA,100),CalcAmt2)))</f>
        <v/>
      </c>
      <c r="F684" s="14">
        <f>IF($B684="","",IF(100&gt;NFixedA,0,SUMIF(CalcCredit,INDEX(PkFixedA,100),CalcAmt)+SUMIF(CalcCredit2,INDEX(PkFixedA,100),CalcAmt2)))</f>
        <v/>
      </c>
      <c r="G684" s="15">
        <f>IF($B684="","",ROUND($E684-$F684,0))</f>
        <v/>
      </c>
      <c r="H684" s="12">
        <f>IF($B684="","",IF(ROUND($G684,0)&gt;0,"بدهکار",IF(ROUND($G684,0)&lt;0,"بستانکار","تسویه")))</f>
        <v/>
      </c>
    </row>
    <row r="685">
      <c r="A685" s="16">
        <f>IF($B685="","",676)</f>
        <v/>
      </c>
      <c r="B685" s="17">
        <f>IF(101&gt;NFixedA,"",IFERROR(IF(VLOOKUP(INDEX(PkFixedA,101),AcctTblA,4,0)="","(بدون نام)",VLOOKUP(INDEX(PkFixedA,101),AcctTblA,4,0)),"—"))</f>
        <v/>
      </c>
      <c r="C685" s="18">
        <f>IF($B685="","",IF(101&gt;NFixedA,"",INDEX(PkFixedA,101)))</f>
        <v/>
      </c>
      <c r="D685" s="17">
        <f>IF($B685="","","f")</f>
        <v/>
      </c>
      <c r="E685" s="19">
        <f>IF($B685="","",IF(101&gt;NFixedA,0,SUMIF(CalcDebit,INDEX(PkFixedA,101),CalcAmt)+SUMIF(CalcDebit2,INDEX(PkFixedA,101),CalcAmt2)))</f>
        <v/>
      </c>
      <c r="F685" s="19">
        <f>IF($B685="","",IF(101&gt;NFixedA,0,SUMIF(CalcCredit,INDEX(PkFixedA,101),CalcAmt)+SUMIF(CalcCredit2,INDEX(PkFixedA,101),CalcAmt2)))</f>
        <v/>
      </c>
      <c r="G685" s="20">
        <f>IF($B685="","",ROUND($E685-$F685,0))</f>
        <v/>
      </c>
      <c r="H685" s="17">
        <f>IF($B685="","",IF(ROUND($G685,0)&gt;0,"بدهکار",IF(ROUND($G685,0)&lt;0,"بستانکار","تسویه")))</f>
        <v/>
      </c>
    </row>
    <row r="686">
      <c r="A686" s="11">
        <f>IF($B686="","",677)</f>
        <v/>
      </c>
      <c r="B686" s="12">
        <f>IF(102&gt;NFixedA,"",IFERROR(IF(VLOOKUP(INDEX(PkFixedA,102),AcctTblA,4,0)="","(بدون نام)",VLOOKUP(INDEX(PkFixedA,102),AcctTblA,4,0)),"—"))</f>
        <v/>
      </c>
      <c r="C686" s="13">
        <f>IF($B686="","",IF(102&gt;NFixedA,"",INDEX(PkFixedA,102)))</f>
        <v/>
      </c>
      <c r="D686" s="12">
        <f>IF($B686="","","f")</f>
        <v/>
      </c>
      <c r="E686" s="14">
        <f>IF($B686="","",IF(102&gt;NFixedA,0,SUMIF(CalcDebit,INDEX(PkFixedA,102),CalcAmt)+SUMIF(CalcDebit2,INDEX(PkFixedA,102),CalcAmt2)))</f>
        <v/>
      </c>
      <c r="F686" s="14">
        <f>IF($B686="","",IF(102&gt;NFixedA,0,SUMIF(CalcCredit,INDEX(PkFixedA,102),CalcAmt)+SUMIF(CalcCredit2,INDEX(PkFixedA,102),CalcAmt2)))</f>
        <v/>
      </c>
      <c r="G686" s="15">
        <f>IF($B686="","",ROUND($E686-$F686,0))</f>
        <v/>
      </c>
      <c r="H686" s="12">
        <f>IF($B686="","",IF(ROUND($G686,0)&gt;0,"بدهکار",IF(ROUND($G686,0)&lt;0,"بستانکار","تسویه")))</f>
        <v/>
      </c>
    </row>
    <row r="687">
      <c r="A687" s="16">
        <f>IF($B687="","",678)</f>
        <v/>
      </c>
      <c r="B687" s="17">
        <f>IF(103&gt;NFixedA,"",IFERROR(IF(VLOOKUP(INDEX(PkFixedA,103),AcctTblA,4,0)="","(بدون نام)",VLOOKUP(INDEX(PkFixedA,103),AcctTblA,4,0)),"—"))</f>
        <v/>
      </c>
      <c r="C687" s="18">
        <f>IF($B687="","",IF(103&gt;NFixedA,"",INDEX(PkFixedA,103)))</f>
        <v/>
      </c>
      <c r="D687" s="17">
        <f>IF($B687="","","f")</f>
        <v/>
      </c>
      <c r="E687" s="19">
        <f>IF($B687="","",IF(103&gt;NFixedA,0,SUMIF(CalcDebit,INDEX(PkFixedA,103),CalcAmt)+SUMIF(CalcDebit2,INDEX(PkFixedA,103),CalcAmt2)))</f>
        <v/>
      </c>
      <c r="F687" s="19">
        <f>IF($B687="","",IF(103&gt;NFixedA,0,SUMIF(CalcCredit,INDEX(PkFixedA,103),CalcAmt)+SUMIF(CalcCredit2,INDEX(PkFixedA,103),CalcAmt2)))</f>
        <v/>
      </c>
      <c r="G687" s="20">
        <f>IF($B687="","",ROUND($E687-$F687,0))</f>
        <v/>
      </c>
      <c r="H687" s="17">
        <f>IF($B687="","",IF(ROUND($G687,0)&gt;0,"بدهکار",IF(ROUND($G687,0)&lt;0,"بستانکار","تسویه")))</f>
        <v/>
      </c>
    </row>
    <row r="688">
      <c r="A688" s="11">
        <f>IF($B688="","",679)</f>
        <v/>
      </c>
      <c r="B688" s="12">
        <f>IF(104&gt;NFixedA,"",IFERROR(IF(VLOOKUP(INDEX(PkFixedA,104),AcctTblA,4,0)="","(بدون نام)",VLOOKUP(INDEX(PkFixedA,104),AcctTblA,4,0)),"—"))</f>
        <v/>
      </c>
      <c r="C688" s="13">
        <f>IF($B688="","",IF(104&gt;NFixedA,"",INDEX(PkFixedA,104)))</f>
        <v/>
      </c>
      <c r="D688" s="12">
        <f>IF($B688="","","f")</f>
        <v/>
      </c>
      <c r="E688" s="14">
        <f>IF($B688="","",IF(104&gt;NFixedA,0,SUMIF(CalcDebit,INDEX(PkFixedA,104),CalcAmt)+SUMIF(CalcDebit2,INDEX(PkFixedA,104),CalcAmt2)))</f>
        <v/>
      </c>
      <c r="F688" s="14">
        <f>IF($B688="","",IF(104&gt;NFixedA,0,SUMIF(CalcCredit,INDEX(PkFixedA,104),CalcAmt)+SUMIF(CalcCredit2,INDEX(PkFixedA,104),CalcAmt2)))</f>
        <v/>
      </c>
      <c r="G688" s="15">
        <f>IF($B688="","",ROUND($E688-$F688,0))</f>
        <v/>
      </c>
      <c r="H688" s="12">
        <f>IF($B688="","",IF(ROUND($G688,0)&gt;0,"بدهکار",IF(ROUND($G688,0)&lt;0,"بستانکار","تسویه")))</f>
        <v/>
      </c>
    </row>
    <row r="689">
      <c r="A689" s="16">
        <f>IF($B689="","",680)</f>
        <v/>
      </c>
      <c r="B689" s="17">
        <f>IF(105&gt;NFixedA,"",IFERROR(IF(VLOOKUP(INDEX(PkFixedA,105),AcctTblA,4,0)="","(بدون نام)",VLOOKUP(INDEX(PkFixedA,105),AcctTblA,4,0)),"—"))</f>
        <v/>
      </c>
      <c r="C689" s="18">
        <f>IF($B689="","",IF(105&gt;NFixedA,"",INDEX(PkFixedA,105)))</f>
        <v/>
      </c>
      <c r="D689" s="17">
        <f>IF($B689="","","f")</f>
        <v/>
      </c>
      <c r="E689" s="19">
        <f>IF($B689="","",IF(105&gt;NFixedA,0,SUMIF(CalcDebit,INDEX(PkFixedA,105),CalcAmt)+SUMIF(CalcDebit2,INDEX(PkFixedA,105),CalcAmt2)))</f>
        <v/>
      </c>
      <c r="F689" s="19">
        <f>IF($B689="","",IF(105&gt;NFixedA,0,SUMIF(CalcCredit,INDEX(PkFixedA,105),CalcAmt)+SUMIF(CalcCredit2,INDEX(PkFixedA,105),CalcAmt2)))</f>
        <v/>
      </c>
      <c r="G689" s="20">
        <f>IF($B689="","",ROUND($E689-$F689,0))</f>
        <v/>
      </c>
      <c r="H689" s="17">
        <f>IF($B689="","",IF(ROUND($G689,0)&gt;0,"بدهکار",IF(ROUND($G689,0)&lt;0,"بستانکار","تسویه")))</f>
        <v/>
      </c>
    </row>
    <row r="690">
      <c r="A690" s="11">
        <f>IF($B690="","",681)</f>
        <v/>
      </c>
      <c r="B690" s="12">
        <f>IF(106&gt;NFixedA,"",IFERROR(IF(VLOOKUP(INDEX(PkFixedA,106),AcctTblA,4,0)="","(بدون نام)",VLOOKUP(INDEX(PkFixedA,106),AcctTblA,4,0)),"—"))</f>
        <v/>
      </c>
      <c r="C690" s="13">
        <f>IF($B690="","",IF(106&gt;NFixedA,"",INDEX(PkFixedA,106)))</f>
        <v/>
      </c>
      <c r="D690" s="12">
        <f>IF($B690="","","f")</f>
        <v/>
      </c>
      <c r="E690" s="14">
        <f>IF($B690="","",IF(106&gt;NFixedA,0,SUMIF(CalcDebit,INDEX(PkFixedA,106),CalcAmt)+SUMIF(CalcDebit2,INDEX(PkFixedA,106),CalcAmt2)))</f>
        <v/>
      </c>
      <c r="F690" s="14">
        <f>IF($B690="","",IF(106&gt;NFixedA,0,SUMIF(CalcCredit,INDEX(PkFixedA,106),CalcAmt)+SUMIF(CalcCredit2,INDEX(PkFixedA,106),CalcAmt2)))</f>
        <v/>
      </c>
      <c r="G690" s="15">
        <f>IF($B690="","",ROUND($E690-$F690,0))</f>
        <v/>
      </c>
      <c r="H690" s="12">
        <f>IF($B690="","",IF(ROUND($G690,0)&gt;0,"بدهکار",IF(ROUND($G690,0)&lt;0,"بستانکار","تسویه")))</f>
        <v/>
      </c>
    </row>
    <row r="691">
      <c r="A691" s="16">
        <f>IF($B691="","",682)</f>
        <v/>
      </c>
      <c r="B691" s="17">
        <f>IF(107&gt;NFixedA,"",IFERROR(IF(VLOOKUP(INDEX(PkFixedA,107),AcctTblA,4,0)="","(بدون نام)",VLOOKUP(INDEX(PkFixedA,107),AcctTblA,4,0)),"—"))</f>
        <v/>
      </c>
      <c r="C691" s="18">
        <f>IF($B691="","",IF(107&gt;NFixedA,"",INDEX(PkFixedA,107)))</f>
        <v/>
      </c>
      <c r="D691" s="17">
        <f>IF($B691="","","f")</f>
        <v/>
      </c>
      <c r="E691" s="19">
        <f>IF($B691="","",IF(107&gt;NFixedA,0,SUMIF(CalcDebit,INDEX(PkFixedA,107),CalcAmt)+SUMIF(CalcDebit2,INDEX(PkFixedA,107),CalcAmt2)))</f>
        <v/>
      </c>
      <c r="F691" s="19">
        <f>IF($B691="","",IF(107&gt;NFixedA,0,SUMIF(CalcCredit,INDEX(PkFixedA,107),CalcAmt)+SUMIF(CalcCredit2,INDEX(PkFixedA,107),CalcAmt2)))</f>
        <v/>
      </c>
      <c r="G691" s="20">
        <f>IF($B691="","",ROUND($E691-$F691,0))</f>
        <v/>
      </c>
      <c r="H691" s="17">
        <f>IF($B691="","",IF(ROUND($G691,0)&gt;0,"بدهکار",IF(ROUND($G691,0)&lt;0,"بستانکار","تسویه")))</f>
        <v/>
      </c>
    </row>
    <row r="692">
      <c r="A692" s="11">
        <f>IF($B692="","",683)</f>
        <v/>
      </c>
      <c r="B692" s="12">
        <f>IF(108&gt;NFixedA,"",IFERROR(IF(VLOOKUP(INDEX(PkFixedA,108),AcctTblA,4,0)="","(بدون نام)",VLOOKUP(INDEX(PkFixedA,108),AcctTblA,4,0)),"—"))</f>
        <v/>
      </c>
      <c r="C692" s="13">
        <f>IF($B692="","",IF(108&gt;NFixedA,"",INDEX(PkFixedA,108)))</f>
        <v/>
      </c>
      <c r="D692" s="12">
        <f>IF($B692="","","f")</f>
        <v/>
      </c>
      <c r="E692" s="14">
        <f>IF($B692="","",IF(108&gt;NFixedA,0,SUMIF(CalcDebit,INDEX(PkFixedA,108),CalcAmt)+SUMIF(CalcDebit2,INDEX(PkFixedA,108),CalcAmt2)))</f>
        <v/>
      </c>
      <c r="F692" s="14">
        <f>IF($B692="","",IF(108&gt;NFixedA,0,SUMIF(CalcCredit,INDEX(PkFixedA,108),CalcAmt)+SUMIF(CalcCredit2,INDEX(PkFixedA,108),CalcAmt2)))</f>
        <v/>
      </c>
      <c r="G692" s="15">
        <f>IF($B692="","",ROUND($E692-$F692,0))</f>
        <v/>
      </c>
      <c r="H692" s="12">
        <f>IF($B692="","",IF(ROUND($G692,0)&gt;0,"بدهکار",IF(ROUND($G692,0)&lt;0,"بستانکار","تسویه")))</f>
        <v/>
      </c>
    </row>
    <row r="693">
      <c r="A693" s="16">
        <f>IF($B693="","",684)</f>
        <v/>
      </c>
      <c r="B693" s="17">
        <f>IF(109&gt;NFixedA,"",IFERROR(IF(VLOOKUP(INDEX(PkFixedA,109),AcctTblA,4,0)="","(بدون نام)",VLOOKUP(INDEX(PkFixedA,109),AcctTblA,4,0)),"—"))</f>
        <v/>
      </c>
      <c r="C693" s="18">
        <f>IF($B693="","",IF(109&gt;NFixedA,"",INDEX(PkFixedA,109)))</f>
        <v/>
      </c>
      <c r="D693" s="17">
        <f>IF($B693="","","f")</f>
        <v/>
      </c>
      <c r="E693" s="19">
        <f>IF($B693="","",IF(109&gt;NFixedA,0,SUMIF(CalcDebit,INDEX(PkFixedA,109),CalcAmt)+SUMIF(CalcDebit2,INDEX(PkFixedA,109),CalcAmt2)))</f>
        <v/>
      </c>
      <c r="F693" s="19">
        <f>IF($B693="","",IF(109&gt;NFixedA,0,SUMIF(CalcCredit,INDEX(PkFixedA,109),CalcAmt)+SUMIF(CalcCredit2,INDEX(PkFixedA,109),CalcAmt2)))</f>
        <v/>
      </c>
      <c r="G693" s="20">
        <f>IF($B693="","",ROUND($E693-$F693,0))</f>
        <v/>
      </c>
      <c r="H693" s="17">
        <f>IF($B693="","",IF(ROUND($G693,0)&gt;0,"بدهکار",IF(ROUND($G693,0)&lt;0,"بستانکار","تسویه")))</f>
        <v/>
      </c>
    </row>
    <row r="694">
      <c r="A694" s="11">
        <f>IF($B694="","",685)</f>
        <v/>
      </c>
      <c r="B694" s="12">
        <f>IF(110&gt;NFixedA,"",IFERROR(IF(VLOOKUP(INDEX(PkFixedA,110),AcctTblA,4,0)="","(بدون نام)",VLOOKUP(INDEX(PkFixedA,110),AcctTblA,4,0)),"—"))</f>
        <v/>
      </c>
      <c r="C694" s="13">
        <f>IF($B694="","",IF(110&gt;NFixedA,"",INDEX(PkFixedA,110)))</f>
        <v/>
      </c>
      <c r="D694" s="12">
        <f>IF($B694="","","f")</f>
        <v/>
      </c>
      <c r="E694" s="14">
        <f>IF($B694="","",IF(110&gt;NFixedA,0,SUMIF(CalcDebit,INDEX(PkFixedA,110),CalcAmt)+SUMIF(CalcDebit2,INDEX(PkFixedA,110),CalcAmt2)))</f>
        <v/>
      </c>
      <c r="F694" s="14">
        <f>IF($B694="","",IF(110&gt;NFixedA,0,SUMIF(CalcCredit,INDEX(PkFixedA,110),CalcAmt)+SUMIF(CalcCredit2,INDEX(PkFixedA,110),CalcAmt2)))</f>
        <v/>
      </c>
      <c r="G694" s="15">
        <f>IF($B694="","",ROUND($E694-$F694,0))</f>
        <v/>
      </c>
      <c r="H694" s="12">
        <f>IF($B694="","",IF(ROUND($G694,0)&gt;0,"بدهکار",IF(ROUND($G694,0)&lt;0,"بستانکار","تسویه")))</f>
        <v/>
      </c>
    </row>
    <row r="695">
      <c r="A695" s="16">
        <f>IF($B695="","",686)</f>
        <v/>
      </c>
      <c r="B695" s="17">
        <f>IF(111&gt;NFixedA,"",IFERROR(IF(VLOOKUP(INDEX(PkFixedA,111),AcctTblA,4,0)="","(بدون نام)",VLOOKUP(INDEX(PkFixedA,111),AcctTblA,4,0)),"—"))</f>
        <v/>
      </c>
      <c r="C695" s="18">
        <f>IF($B695="","",IF(111&gt;NFixedA,"",INDEX(PkFixedA,111)))</f>
        <v/>
      </c>
      <c r="D695" s="17">
        <f>IF($B695="","","f")</f>
        <v/>
      </c>
      <c r="E695" s="19">
        <f>IF($B695="","",IF(111&gt;NFixedA,0,SUMIF(CalcDebit,INDEX(PkFixedA,111),CalcAmt)+SUMIF(CalcDebit2,INDEX(PkFixedA,111),CalcAmt2)))</f>
        <v/>
      </c>
      <c r="F695" s="19">
        <f>IF($B695="","",IF(111&gt;NFixedA,0,SUMIF(CalcCredit,INDEX(PkFixedA,111),CalcAmt)+SUMIF(CalcCredit2,INDEX(PkFixedA,111),CalcAmt2)))</f>
        <v/>
      </c>
      <c r="G695" s="20">
        <f>IF($B695="","",ROUND($E695-$F695,0))</f>
        <v/>
      </c>
      <c r="H695" s="17">
        <f>IF($B695="","",IF(ROUND($G695,0)&gt;0,"بدهکار",IF(ROUND($G695,0)&lt;0,"بستانکار","تسویه")))</f>
        <v/>
      </c>
    </row>
    <row r="696">
      <c r="A696" s="11">
        <f>IF($B696="","",687)</f>
        <v/>
      </c>
      <c r="B696" s="12">
        <f>IF(112&gt;NFixedA,"",IFERROR(IF(VLOOKUP(INDEX(PkFixedA,112),AcctTblA,4,0)="","(بدون نام)",VLOOKUP(INDEX(PkFixedA,112),AcctTblA,4,0)),"—"))</f>
        <v/>
      </c>
      <c r="C696" s="13">
        <f>IF($B696="","",IF(112&gt;NFixedA,"",INDEX(PkFixedA,112)))</f>
        <v/>
      </c>
      <c r="D696" s="12">
        <f>IF($B696="","","f")</f>
        <v/>
      </c>
      <c r="E696" s="14">
        <f>IF($B696="","",IF(112&gt;NFixedA,0,SUMIF(CalcDebit,INDEX(PkFixedA,112),CalcAmt)+SUMIF(CalcDebit2,INDEX(PkFixedA,112),CalcAmt2)))</f>
        <v/>
      </c>
      <c r="F696" s="14">
        <f>IF($B696="","",IF(112&gt;NFixedA,0,SUMIF(CalcCredit,INDEX(PkFixedA,112),CalcAmt)+SUMIF(CalcCredit2,INDEX(PkFixedA,112),CalcAmt2)))</f>
        <v/>
      </c>
      <c r="G696" s="15">
        <f>IF($B696="","",ROUND($E696-$F696,0))</f>
        <v/>
      </c>
      <c r="H696" s="12">
        <f>IF($B696="","",IF(ROUND($G696,0)&gt;0,"بدهکار",IF(ROUND($G696,0)&lt;0,"بستانکار","تسویه")))</f>
        <v/>
      </c>
    </row>
    <row r="697">
      <c r="A697" s="16">
        <f>IF($B697="","",688)</f>
        <v/>
      </c>
      <c r="B697" s="17">
        <f>IF(113&gt;NFixedA,"",IFERROR(IF(VLOOKUP(INDEX(PkFixedA,113),AcctTblA,4,0)="","(بدون نام)",VLOOKUP(INDEX(PkFixedA,113),AcctTblA,4,0)),"—"))</f>
        <v/>
      </c>
      <c r="C697" s="18">
        <f>IF($B697="","",IF(113&gt;NFixedA,"",INDEX(PkFixedA,113)))</f>
        <v/>
      </c>
      <c r="D697" s="17">
        <f>IF($B697="","","f")</f>
        <v/>
      </c>
      <c r="E697" s="19">
        <f>IF($B697="","",IF(113&gt;NFixedA,0,SUMIF(CalcDebit,INDEX(PkFixedA,113),CalcAmt)+SUMIF(CalcDebit2,INDEX(PkFixedA,113),CalcAmt2)))</f>
        <v/>
      </c>
      <c r="F697" s="19">
        <f>IF($B697="","",IF(113&gt;NFixedA,0,SUMIF(CalcCredit,INDEX(PkFixedA,113),CalcAmt)+SUMIF(CalcCredit2,INDEX(PkFixedA,113),CalcAmt2)))</f>
        <v/>
      </c>
      <c r="G697" s="20">
        <f>IF($B697="","",ROUND($E697-$F697,0))</f>
        <v/>
      </c>
      <c r="H697" s="17">
        <f>IF($B697="","",IF(ROUND($G697,0)&gt;0,"بدهکار",IF(ROUND($G697,0)&lt;0,"بستانکار","تسویه")))</f>
        <v/>
      </c>
    </row>
    <row r="698">
      <c r="A698" s="11">
        <f>IF($B698="","",689)</f>
        <v/>
      </c>
      <c r="B698" s="12">
        <f>IF(114&gt;NFixedA,"",IFERROR(IF(VLOOKUP(INDEX(PkFixedA,114),AcctTblA,4,0)="","(بدون نام)",VLOOKUP(INDEX(PkFixedA,114),AcctTblA,4,0)),"—"))</f>
        <v/>
      </c>
      <c r="C698" s="13">
        <f>IF($B698="","",IF(114&gt;NFixedA,"",INDEX(PkFixedA,114)))</f>
        <v/>
      </c>
      <c r="D698" s="12">
        <f>IF($B698="","","f")</f>
        <v/>
      </c>
      <c r="E698" s="14">
        <f>IF($B698="","",IF(114&gt;NFixedA,0,SUMIF(CalcDebit,INDEX(PkFixedA,114),CalcAmt)+SUMIF(CalcDebit2,INDEX(PkFixedA,114),CalcAmt2)))</f>
        <v/>
      </c>
      <c r="F698" s="14">
        <f>IF($B698="","",IF(114&gt;NFixedA,0,SUMIF(CalcCredit,INDEX(PkFixedA,114),CalcAmt)+SUMIF(CalcCredit2,INDEX(PkFixedA,114),CalcAmt2)))</f>
        <v/>
      </c>
      <c r="G698" s="15">
        <f>IF($B698="","",ROUND($E698-$F698,0))</f>
        <v/>
      </c>
      <c r="H698" s="12">
        <f>IF($B698="","",IF(ROUND($G698,0)&gt;0,"بدهکار",IF(ROUND($G698,0)&lt;0,"بستانکار","تسویه")))</f>
        <v/>
      </c>
    </row>
    <row r="699">
      <c r="A699" s="16">
        <f>IF($B699="","",690)</f>
        <v/>
      </c>
      <c r="B699" s="17">
        <f>IF(115&gt;NFixedA,"",IFERROR(IF(VLOOKUP(INDEX(PkFixedA,115),AcctTblA,4,0)="","(بدون نام)",VLOOKUP(INDEX(PkFixedA,115),AcctTblA,4,0)),"—"))</f>
        <v/>
      </c>
      <c r="C699" s="18">
        <f>IF($B699="","",IF(115&gt;NFixedA,"",INDEX(PkFixedA,115)))</f>
        <v/>
      </c>
      <c r="D699" s="17">
        <f>IF($B699="","","f")</f>
        <v/>
      </c>
      <c r="E699" s="19">
        <f>IF($B699="","",IF(115&gt;NFixedA,0,SUMIF(CalcDebit,INDEX(PkFixedA,115),CalcAmt)+SUMIF(CalcDebit2,INDEX(PkFixedA,115),CalcAmt2)))</f>
        <v/>
      </c>
      <c r="F699" s="19">
        <f>IF($B699="","",IF(115&gt;NFixedA,0,SUMIF(CalcCredit,INDEX(PkFixedA,115),CalcAmt)+SUMIF(CalcCredit2,INDEX(PkFixedA,115),CalcAmt2)))</f>
        <v/>
      </c>
      <c r="G699" s="20">
        <f>IF($B699="","",ROUND($E699-$F699,0))</f>
        <v/>
      </c>
      <c r="H699" s="17">
        <f>IF($B699="","",IF(ROUND($G699,0)&gt;0,"بدهکار",IF(ROUND($G699,0)&lt;0,"بستانکار","تسویه")))</f>
        <v/>
      </c>
    </row>
    <row r="700">
      <c r="A700" s="11">
        <f>IF($B700="","",691)</f>
        <v/>
      </c>
      <c r="B700" s="12">
        <f>IF(116&gt;NFixedA,"",IFERROR(IF(VLOOKUP(INDEX(PkFixedA,116),AcctTblA,4,0)="","(بدون نام)",VLOOKUP(INDEX(PkFixedA,116),AcctTblA,4,0)),"—"))</f>
        <v/>
      </c>
      <c r="C700" s="13">
        <f>IF($B700="","",IF(116&gt;NFixedA,"",INDEX(PkFixedA,116)))</f>
        <v/>
      </c>
      <c r="D700" s="12">
        <f>IF($B700="","","f")</f>
        <v/>
      </c>
      <c r="E700" s="14">
        <f>IF($B700="","",IF(116&gt;NFixedA,0,SUMIF(CalcDebit,INDEX(PkFixedA,116),CalcAmt)+SUMIF(CalcDebit2,INDEX(PkFixedA,116),CalcAmt2)))</f>
        <v/>
      </c>
      <c r="F700" s="14">
        <f>IF($B700="","",IF(116&gt;NFixedA,0,SUMIF(CalcCredit,INDEX(PkFixedA,116),CalcAmt)+SUMIF(CalcCredit2,INDEX(PkFixedA,116),CalcAmt2)))</f>
        <v/>
      </c>
      <c r="G700" s="15">
        <f>IF($B700="","",ROUND($E700-$F700,0))</f>
        <v/>
      </c>
      <c r="H700" s="12">
        <f>IF($B700="","",IF(ROUND($G700,0)&gt;0,"بدهکار",IF(ROUND($G700,0)&lt;0,"بستانکار","تسویه")))</f>
        <v/>
      </c>
    </row>
    <row r="701">
      <c r="A701" s="16">
        <f>IF($B701="","",692)</f>
        <v/>
      </c>
      <c r="B701" s="17">
        <f>IF(117&gt;NFixedA,"",IFERROR(IF(VLOOKUP(INDEX(PkFixedA,117),AcctTblA,4,0)="","(بدون نام)",VLOOKUP(INDEX(PkFixedA,117),AcctTblA,4,0)),"—"))</f>
        <v/>
      </c>
      <c r="C701" s="18">
        <f>IF($B701="","",IF(117&gt;NFixedA,"",INDEX(PkFixedA,117)))</f>
        <v/>
      </c>
      <c r="D701" s="17">
        <f>IF($B701="","","f")</f>
        <v/>
      </c>
      <c r="E701" s="19">
        <f>IF($B701="","",IF(117&gt;NFixedA,0,SUMIF(CalcDebit,INDEX(PkFixedA,117),CalcAmt)+SUMIF(CalcDebit2,INDEX(PkFixedA,117),CalcAmt2)))</f>
        <v/>
      </c>
      <c r="F701" s="19">
        <f>IF($B701="","",IF(117&gt;NFixedA,0,SUMIF(CalcCredit,INDEX(PkFixedA,117),CalcAmt)+SUMIF(CalcCredit2,INDEX(PkFixedA,117),CalcAmt2)))</f>
        <v/>
      </c>
      <c r="G701" s="20">
        <f>IF($B701="","",ROUND($E701-$F701,0))</f>
        <v/>
      </c>
      <c r="H701" s="17">
        <f>IF($B701="","",IF(ROUND($G701,0)&gt;0,"بدهکار",IF(ROUND($G701,0)&lt;0,"بستانکار","تسویه")))</f>
        <v/>
      </c>
    </row>
    <row r="702">
      <c r="A702" s="11">
        <f>IF($B702="","",693)</f>
        <v/>
      </c>
      <c r="B702" s="12">
        <f>IF(118&gt;NFixedA,"",IFERROR(IF(VLOOKUP(INDEX(PkFixedA,118),AcctTblA,4,0)="","(بدون نام)",VLOOKUP(INDEX(PkFixedA,118),AcctTblA,4,0)),"—"))</f>
        <v/>
      </c>
      <c r="C702" s="13">
        <f>IF($B702="","",IF(118&gt;NFixedA,"",INDEX(PkFixedA,118)))</f>
        <v/>
      </c>
      <c r="D702" s="12">
        <f>IF($B702="","","f")</f>
        <v/>
      </c>
      <c r="E702" s="14">
        <f>IF($B702="","",IF(118&gt;NFixedA,0,SUMIF(CalcDebit,INDEX(PkFixedA,118),CalcAmt)+SUMIF(CalcDebit2,INDEX(PkFixedA,118),CalcAmt2)))</f>
        <v/>
      </c>
      <c r="F702" s="14">
        <f>IF($B702="","",IF(118&gt;NFixedA,0,SUMIF(CalcCredit,INDEX(PkFixedA,118),CalcAmt)+SUMIF(CalcCredit2,INDEX(PkFixedA,118),CalcAmt2)))</f>
        <v/>
      </c>
      <c r="G702" s="15">
        <f>IF($B702="","",ROUND($E702-$F702,0))</f>
        <v/>
      </c>
      <c r="H702" s="12">
        <f>IF($B702="","",IF(ROUND($G702,0)&gt;0,"بدهکار",IF(ROUND($G702,0)&lt;0,"بستانکار","تسویه")))</f>
        <v/>
      </c>
    </row>
    <row r="703">
      <c r="A703" s="16">
        <f>IF($B703="","",694)</f>
        <v/>
      </c>
      <c r="B703" s="17">
        <f>IF(119&gt;NFixedA,"",IFERROR(IF(VLOOKUP(INDEX(PkFixedA,119),AcctTblA,4,0)="","(بدون نام)",VLOOKUP(INDEX(PkFixedA,119),AcctTblA,4,0)),"—"))</f>
        <v/>
      </c>
      <c r="C703" s="18">
        <f>IF($B703="","",IF(119&gt;NFixedA,"",INDEX(PkFixedA,119)))</f>
        <v/>
      </c>
      <c r="D703" s="17">
        <f>IF($B703="","","f")</f>
        <v/>
      </c>
      <c r="E703" s="19">
        <f>IF($B703="","",IF(119&gt;NFixedA,0,SUMIF(CalcDebit,INDEX(PkFixedA,119),CalcAmt)+SUMIF(CalcDebit2,INDEX(PkFixedA,119),CalcAmt2)))</f>
        <v/>
      </c>
      <c r="F703" s="19">
        <f>IF($B703="","",IF(119&gt;NFixedA,0,SUMIF(CalcCredit,INDEX(PkFixedA,119),CalcAmt)+SUMIF(CalcCredit2,INDEX(PkFixedA,119),CalcAmt2)))</f>
        <v/>
      </c>
      <c r="G703" s="20">
        <f>IF($B703="","",ROUND($E703-$F703,0))</f>
        <v/>
      </c>
      <c r="H703" s="17">
        <f>IF($B703="","",IF(ROUND($G703,0)&gt;0,"بدهکار",IF(ROUND($G703,0)&lt;0,"بستانکار","تسویه")))</f>
        <v/>
      </c>
    </row>
    <row r="704">
      <c r="A704" s="11">
        <f>IF($B704="","",695)</f>
        <v/>
      </c>
      <c r="B704" s="12">
        <f>IF(120&gt;NFixedA,"",IFERROR(IF(VLOOKUP(INDEX(PkFixedA,120),AcctTblA,4,0)="","(بدون نام)",VLOOKUP(INDEX(PkFixedA,120),AcctTblA,4,0)),"—"))</f>
        <v/>
      </c>
      <c r="C704" s="13">
        <f>IF($B704="","",IF(120&gt;NFixedA,"",INDEX(PkFixedA,120)))</f>
        <v/>
      </c>
      <c r="D704" s="12">
        <f>IF($B704="","","f")</f>
        <v/>
      </c>
      <c r="E704" s="14">
        <f>IF($B704="","",IF(120&gt;NFixedA,0,SUMIF(CalcDebit,INDEX(PkFixedA,120),CalcAmt)+SUMIF(CalcDebit2,INDEX(PkFixedA,120),CalcAmt2)))</f>
        <v/>
      </c>
      <c r="F704" s="14">
        <f>IF($B704="","",IF(120&gt;NFixedA,0,SUMIF(CalcCredit,INDEX(PkFixedA,120),CalcAmt)+SUMIF(CalcCredit2,INDEX(PkFixedA,120),CalcAmt2)))</f>
        <v/>
      </c>
      <c r="G704" s="15">
        <f>IF($B704="","",ROUND($E704-$F704,0))</f>
        <v/>
      </c>
      <c r="H704" s="12">
        <f>IF($B704="","",IF(ROUND($G704,0)&gt;0,"بدهکار",IF(ROUND($G704,0)&lt;0,"بستانکار","تسویه")))</f>
        <v/>
      </c>
    </row>
    <row r="705">
      <c r="A705" s="16">
        <f>IF($B705="","",696)</f>
        <v/>
      </c>
      <c r="B705" s="17">
        <f>IF(121&gt;NFixedA,"",IFERROR(IF(VLOOKUP(INDEX(PkFixedA,121),AcctTblA,4,0)="","(بدون نام)",VLOOKUP(INDEX(PkFixedA,121),AcctTblA,4,0)),"—"))</f>
        <v/>
      </c>
      <c r="C705" s="18">
        <f>IF($B705="","",IF(121&gt;NFixedA,"",INDEX(PkFixedA,121)))</f>
        <v/>
      </c>
      <c r="D705" s="17">
        <f>IF($B705="","","f")</f>
        <v/>
      </c>
      <c r="E705" s="19">
        <f>IF($B705="","",IF(121&gt;NFixedA,0,SUMIF(CalcDebit,INDEX(PkFixedA,121),CalcAmt)+SUMIF(CalcDebit2,INDEX(PkFixedA,121),CalcAmt2)))</f>
        <v/>
      </c>
      <c r="F705" s="19">
        <f>IF($B705="","",IF(121&gt;NFixedA,0,SUMIF(CalcCredit,INDEX(PkFixedA,121),CalcAmt)+SUMIF(CalcCredit2,INDEX(PkFixedA,121),CalcAmt2)))</f>
        <v/>
      </c>
      <c r="G705" s="20">
        <f>IF($B705="","",ROUND($E705-$F705,0))</f>
        <v/>
      </c>
      <c r="H705" s="17">
        <f>IF($B705="","",IF(ROUND($G705,0)&gt;0,"بدهکار",IF(ROUND($G705,0)&lt;0,"بستانکار","تسویه")))</f>
        <v/>
      </c>
    </row>
    <row r="706">
      <c r="A706" s="11">
        <f>IF($B706="","",697)</f>
        <v/>
      </c>
      <c r="B706" s="12">
        <f>IF(122&gt;NFixedA,"",IFERROR(IF(VLOOKUP(INDEX(PkFixedA,122),AcctTblA,4,0)="","(بدون نام)",VLOOKUP(INDEX(PkFixedA,122),AcctTblA,4,0)),"—"))</f>
        <v/>
      </c>
      <c r="C706" s="13">
        <f>IF($B706="","",IF(122&gt;NFixedA,"",INDEX(PkFixedA,122)))</f>
        <v/>
      </c>
      <c r="D706" s="12">
        <f>IF($B706="","","f")</f>
        <v/>
      </c>
      <c r="E706" s="14">
        <f>IF($B706="","",IF(122&gt;NFixedA,0,SUMIF(CalcDebit,INDEX(PkFixedA,122),CalcAmt)+SUMIF(CalcDebit2,INDEX(PkFixedA,122),CalcAmt2)))</f>
        <v/>
      </c>
      <c r="F706" s="14">
        <f>IF($B706="","",IF(122&gt;NFixedA,0,SUMIF(CalcCredit,INDEX(PkFixedA,122),CalcAmt)+SUMIF(CalcCredit2,INDEX(PkFixedA,122),CalcAmt2)))</f>
        <v/>
      </c>
      <c r="G706" s="15">
        <f>IF($B706="","",ROUND($E706-$F706,0))</f>
        <v/>
      </c>
      <c r="H706" s="12">
        <f>IF($B706="","",IF(ROUND($G706,0)&gt;0,"بدهکار",IF(ROUND($G706,0)&lt;0,"بستانکار","تسویه")))</f>
        <v/>
      </c>
    </row>
    <row r="707">
      <c r="A707" s="16">
        <f>IF($B707="","",698)</f>
        <v/>
      </c>
      <c r="B707" s="17">
        <f>IF(123&gt;NFixedA,"",IFERROR(IF(VLOOKUP(INDEX(PkFixedA,123),AcctTblA,4,0)="","(بدون نام)",VLOOKUP(INDEX(PkFixedA,123),AcctTblA,4,0)),"—"))</f>
        <v/>
      </c>
      <c r="C707" s="18">
        <f>IF($B707="","",IF(123&gt;NFixedA,"",INDEX(PkFixedA,123)))</f>
        <v/>
      </c>
      <c r="D707" s="17">
        <f>IF($B707="","","f")</f>
        <v/>
      </c>
      <c r="E707" s="19">
        <f>IF($B707="","",IF(123&gt;NFixedA,0,SUMIF(CalcDebit,INDEX(PkFixedA,123),CalcAmt)+SUMIF(CalcDebit2,INDEX(PkFixedA,123),CalcAmt2)))</f>
        <v/>
      </c>
      <c r="F707" s="19">
        <f>IF($B707="","",IF(123&gt;NFixedA,0,SUMIF(CalcCredit,INDEX(PkFixedA,123),CalcAmt)+SUMIF(CalcCredit2,INDEX(PkFixedA,123),CalcAmt2)))</f>
        <v/>
      </c>
      <c r="G707" s="20">
        <f>IF($B707="","",ROUND($E707-$F707,0))</f>
        <v/>
      </c>
      <c r="H707" s="17">
        <f>IF($B707="","",IF(ROUND($G707,0)&gt;0,"بدهکار",IF(ROUND($G707,0)&lt;0,"بستانکار","تسویه")))</f>
        <v/>
      </c>
    </row>
    <row r="708">
      <c r="A708" s="11">
        <f>IF($B708="","",699)</f>
        <v/>
      </c>
      <c r="B708" s="12">
        <f>IF(124&gt;NFixedA,"",IFERROR(IF(VLOOKUP(INDEX(PkFixedA,124),AcctTblA,4,0)="","(بدون نام)",VLOOKUP(INDEX(PkFixedA,124),AcctTblA,4,0)),"—"))</f>
        <v/>
      </c>
      <c r="C708" s="13">
        <f>IF($B708="","",IF(124&gt;NFixedA,"",INDEX(PkFixedA,124)))</f>
        <v/>
      </c>
      <c r="D708" s="12">
        <f>IF($B708="","","f")</f>
        <v/>
      </c>
      <c r="E708" s="14">
        <f>IF($B708="","",IF(124&gt;NFixedA,0,SUMIF(CalcDebit,INDEX(PkFixedA,124),CalcAmt)+SUMIF(CalcDebit2,INDEX(PkFixedA,124),CalcAmt2)))</f>
        <v/>
      </c>
      <c r="F708" s="14">
        <f>IF($B708="","",IF(124&gt;NFixedA,0,SUMIF(CalcCredit,INDEX(PkFixedA,124),CalcAmt)+SUMIF(CalcCredit2,INDEX(PkFixedA,124),CalcAmt2)))</f>
        <v/>
      </c>
      <c r="G708" s="15">
        <f>IF($B708="","",ROUND($E708-$F708,0))</f>
        <v/>
      </c>
      <c r="H708" s="12">
        <f>IF($B708="","",IF(ROUND($G708,0)&gt;0,"بدهکار",IF(ROUND($G708,0)&lt;0,"بستانکار","تسویه")))</f>
        <v/>
      </c>
    </row>
    <row r="709">
      <c r="A709" s="16">
        <f>IF($B709="","",700)</f>
        <v/>
      </c>
      <c r="B709" s="17">
        <f>IF(125&gt;NFixedA,"",IFERROR(IF(VLOOKUP(INDEX(PkFixedA,125),AcctTblA,4,0)="","(بدون نام)",VLOOKUP(INDEX(PkFixedA,125),AcctTblA,4,0)),"—"))</f>
        <v/>
      </c>
      <c r="C709" s="18">
        <f>IF($B709="","",IF(125&gt;NFixedA,"",INDEX(PkFixedA,125)))</f>
        <v/>
      </c>
      <c r="D709" s="17">
        <f>IF($B709="","","f")</f>
        <v/>
      </c>
      <c r="E709" s="19">
        <f>IF($B709="","",IF(125&gt;NFixedA,0,SUMIF(CalcDebit,INDEX(PkFixedA,125),CalcAmt)+SUMIF(CalcDebit2,INDEX(PkFixedA,125),CalcAmt2)))</f>
        <v/>
      </c>
      <c r="F709" s="19">
        <f>IF($B709="","",IF(125&gt;NFixedA,0,SUMIF(CalcCredit,INDEX(PkFixedA,125),CalcAmt)+SUMIF(CalcCredit2,INDEX(PkFixedA,125),CalcAmt2)))</f>
        <v/>
      </c>
      <c r="G709" s="20">
        <f>IF($B709="","",ROUND($E709-$F709,0))</f>
        <v/>
      </c>
      <c r="H709" s="17">
        <f>IF($B709="","",IF(ROUND($G709,0)&gt;0,"بدهکار",IF(ROUND($G709,0)&lt;0,"بستانکار","تسویه")))</f>
        <v/>
      </c>
    </row>
    <row r="710">
      <c r="A710" s="11">
        <f>IF($B710="","",701)</f>
        <v/>
      </c>
      <c r="B710" s="12">
        <f>IF(126&gt;NFixedA,"",IFERROR(IF(VLOOKUP(INDEX(PkFixedA,126),AcctTblA,4,0)="","(بدون نام)",VLOOKUP(INDEX(PkFixedA,126),AcctTblA,4,0)),"—"))</f>
        <v/>
      </c>
      <c r="C710" s="13">
        <f>IF($B710="","",IF(126&gt;NFixedA,"",INDEX(PkFixedA,126)))</f>
        <v/>
      </c>
      <c r="D710" s="12">
        <f>IF($B710="","","f")</f>
        <v/>
      </c>
      <c r="E710" s="14">
        <f>IF($B710="","",IF(126&gt;NFixedA,0,SUMIF(CalcDebit,INDEX(PkFixedA,126),CalcAmt)+SUMIF(CalcDebit2,INDEX(PkFixedA,126),CalcAmt2)))</f>
        <v/>
      </c>
      <c r="F710" s="14">
        <f>IF($B710="","",IF(126&gt;NFixedA,0,SUMIF(CalcCredit,INDEX(PkFixedA,126),CalcAmt)+SUMIF(CalcCredit2,INDEX(PkFixedA,126),CalcAmt2)))</f>
        <v/>
      </c>
      <c r="G710" s="15">
        <f>IF($B710="","",ROUND($E710-$F710,0))</f>
        <v/>
      </c>
      <c r="H710" s="12">
        <f>IF($B710="","",IF(ROUND($G710,0)&gt;0,"بدهکار",IF(ROUND($G710,0)&lt;0,"بستانکار","تسویه")))</f>
        <v/>
      </c>
    </row>
    <row r="711">
      <c r="A711" s="16">
        <f>IF($B711="","",702)</f>
        <v/>
      </c>
      <c r="B711" s="17">
        <f>IF(127&gt;NFixedA,"",IFERROR(IF(VLOOKUP(INDEX(PkFixedA,127),AcctTblA,4,0)="","(بدون نام)",VLOOKUP(INDEX(PkFixedA,127),AcctTblA,4,0)),"—"))</f>
        <v/>
      </c>
      <c r="C711" s="18">
        <f>IF($B711="","",IF(127&gt;NFixedA,"",INDEX(PkFixedA,127)))</f>
        <v/>
      </c>
      <c r="D711" s="17">
        <f>IF($B711="","","f")</f>
        <v/>
      </c>
      <c r="E711" s="19">
        <f>IF($B711="","",IF(127&gt;NFixedA,0,SUMIF(CalcDebit,INDEX(PkFixedA,127),CalcAmt)+SUMIF(CalcDebit2,INDEX(PkFixedA,127),CalcAmt2)))</f>
        <v/>
      </c>
      <c r="F711" s="19">
        <f>IF($B711="","",IF(127&gt;NFixedA,0,SUMIF(CalcCredit,INDEX(PkFixedA,127),CalcAmt)+SUMIF(CalcCredit2,INDEX(PkFixedA,127),CalcAmt2)))</f>
        <v/>
      </c>
      <c r="G711" s="20">
        <f>IF($B711="","",ROUND($E711-$F711,0))</f>
        <v/>
      </c>
      <c r="H711" s="17">
        <f>IF($B711="","",IF(ROUND($G711,0)&gt;0,"بدهکار",IF(ROUND($G711,0)&lt;0,"بستانکار","تسویه")))</f>
        <v/>
      </c>
    </row>
    <row r="712">
      <c r="A712" s="11">
        <f>IF($B712="","",703)</f>
        <v/>
      </c>
      <c r="B712" s="12">
        <f>IF(128&gt;NFixedA,"",IFERROR(IF(VLOOKUP(INDEX(PkFixedA,128),AcctTblA,4,0)="","(بدون نام)",VLOOKUP(INDEX(PkFixedA,128),AcctTblA,4,0)),"—"))</f>
        <v/>
      </c>
      <c r="C712" s="13">
        <f>IF($B712="","",IF(128&gt;NFixedA,"",INDEX(PkFixedA,128)))</f>
        <v/>
      </c>
      <c r="D712" s="12">
        <f>IF($B712="","","f")</f>
        <v/>
      </c>
      <c r="E712" s="14">
        <f>IF($B712="","",IF(128&gt;NFixedA,0,SUMIF(CalcDebit,INDEX(PkFixedA,128),CalcAmt)+SUMIF(CalcDebit2,INDEX(PkFixedA,128),CalcAmt2)))</f>
        <v/>
      </c>
      <c r="F712" s="14">
        <f>IF($B712="","",IF(128&gt;NFixedA,0,SUMIF(CalcCredit,INDEX(PkFixedA,128),CalcAmt)+SUMIF(CalcCredit2,INDEX(PkFixedA,128),CalcAmt2)))</f>
        <v/>
      </c>
      <c r="G712" s="15">
        <f>IF($B712="","",ROUND($E712-$F712,0))</f>
        <v/>
      </c>
      <c r="H712" s="12">
        <f>IF($B712="","",IF(ROUND($G712,0)&gt;0,"بدهکار",IF(ROUND($G712,0)&lt;0,"بستانکار","تسویه")))</f>
        <v/>
      </c>
    </row>
    <row r="713">
      <c r="A713" s="16">
        <f>IF($B713="","",704)</f>
        <v/>
      </c>
      <c r="B713" s="17">
        <f>IF(129&gt;NFixedA,"",IFERROR(IF(VLOOKUP(INDEX(PkFixedA,129),AcctTblA,4,0)="","(بدون نام)",VLOOKUP(INDEX(PkFixedA,129),AcctTblA,4,0)),"—"))</f>
        <v/>
      </c>
      <c r="C713" s="18">
        <f>IF($B713="","",IF(129&gt;NFixedA,"",INDEX(PkFixedA,129)))</f>
        <v/>
      </c>
      <c r="D713" s="17">
        <f>IF($B713="","","f")</f>
        <v/>
      </c>
      <c r="E713" s="19">
        <f>IF($B713="","",IF(129&gt;NFixedA,0,SUMIF(CalcDebit,INDEX(PkFixedA,129),CalcAmt)+SUMIF(CalcDebit2,INDEX(PkFixedA,129),CalcAmt2)))</f>
        <v/>
      </c>
      <c r="F713" s="19">
        <f>IF($B713="","",IF(129&gt;NFixedA,0,SUMIF(CalcCredit,INDEX(PkFixedA,129),CalcAmt)+SUMIF(CalcCredit2,INDEX(PkFixedA,129),CalcAmt2)))</f>
        <v/>
      </c>
      <c r="G713" s="20">
        <f>IF($B713="","",ROUND($E713-$F713,0))</f>
        <v/>
      </c>
      <c r="H713" s="17">
        <f>IF($B713="","",IF(ROUND($G713,0)&gt;0,"بدهکار",IF(ROUND($G713,0)&lt;0,"بستانکار","تسویه")))</f>
        <v/>
      </c>
    </row>
    <row r="714">
      <c r="A714" s="11">
        <f>IF($B714="","",705)</f>
        <v/>
      </c>
      <c r="B714" s="12">
        <f>IF(130&gt;NFixedA,"",IFERROR(IF(VLOOKUP(INDEX(PkFixedA,130),AcctTblA,4,0)="","(بدون نام)",VLOOKUP(INDEX(PkFixedA,130),AcctTblA,4,0)),"—"))</f>
        <v/>
      </c>
      <c r="C714" s="13">
        <f>IF($B714="","",IF(130&gt;NFixedA,"",INDEX(PkFixedA,130)))</f>
        <v/>
      </c>
      <c r="D714" s="12">
        <f>IF($B714="","","f")</f>
        <v/>
      </c>
      <c r="E714" s="14">
        <f>IF($B714="","",IF(130&gt;NFixedA,0,SUMIF(CalcDebit,INDEX(PkFixedA,130),CalcAmt)+SUMIF(CalcDebit2,INDEX(PkFixedA,130),CalcAmt2)))</f>
        <v/>
      </c>
      <c r="F714" s="14">
        <f>IF($B714="","",IF(130&gt;NFixedA,0,SUMIF(CalcCredit,INDEX(PkFixedA,130),CalcAmt)+SUMIF(CalcCredit2,INDEX(PkFixedA,130),CalcAmt2)))</f>
        <v/>
      </c>
      <c r="G714" s="15">
        <f>IF($B714="","",ROUND($E714-$F714,0))</f>
        <v/>
      </c>
      <c r="H714" s="12">
        <f>IF($B714="","",IF(ROUND($G714,0)&gt;0,"بدهکار",IF(ROUND($G714,0)&lt;0,"بستانکار","تسویه")))</f>
        <v/>
      </c>
    </row>
    <row r="715">
      <c r="A715" s="16">
        <f>IF($B715="","",706)</f>
        <v/>
      </c>
      <c r="B715" s="17">
        <f>IF(131&gt;NFixedA,"",IFERROR(IF(VLOOKUP(INDEX(PkFixedA,131),AcctTblA,4,0)="","(بدون نام)",VLOOKUP(INDEX(PkFixedA,131),AcctTblA,4,0)),"—"))</f>
        <v/>
      </c>
      <c r="C715" s="18">
        <f>IF($B715="","",IF(131&gt;NFixedA,"",INDEX(PkFixedA,131)))</f>
        <v/>
      </c>
      <c r="D715" s="17">
        <f>IF($B715="","","f")</f>
        <v/>
      </c>
      <c r="E715" s="19">
        <f>IF($B715="","",IF(131&gt;NFixedA,0,SUMIF(CalcDebit,INDEX(PkFixedA,131),CalcAmt)+SUMIF(CalcDebit2,INDEX(PkFixedA,131),CalcAmt2)))</f>
        <v/>
      </c>
      <c r="F715" s="19">
        <f>IF($B715="","",IF(131&gt;NFixedA,0,SUMIF(CalcCredit,INDEX(PkFixedA,131),CalcAmt)+SUMIF(CalcCredit2,INDEX(PkFixedA,131),CalcAmt2)))</f>
        <v/>
      </c>
      <c r="G715" s="20">
        <f>IF($B715="","",ROUND($E715-$F715,0))</f>
        <v/>
      </c>
      <c r="H715" s="17">
        <f>IF($B715="","",IF(ROUND($G715,0)&gt;0,"بدهکار",IF(ROUND($G715,0)&lt;0,"بستانکار","تسویه")))</f>
        <v/>
      </c>
    </row>
    <row r="716">
      <c r="A716" s="11">
        <f>IF($B716="","",707)</f>
        <v/>
      </c>
      <c r="B716" s="12">
        <f>IF(132&gt;NFixedA,"",IFERROR(IF(VLOOKUP(INDEX(PkFixedA,132),AcctTblA,4,0)="","(بدون نام)",VLOOKUP(INDEX(PkFixedA,132),AcctTblA,4,0)),"—"))</f>
        <v/>
      </c>
      <c r="C716" s="13">
        <f>IF($B716="","",IF(132&gt;NFixedA,"",INDEX(PkFixedA,132)))</f>
        <v/>
      </c>
      <c r="D716" s="12">
        <f>IF($B716="","","f")</f>
        <v/>
      </c>
      <c r="E716" s="14">
        <f>IF($B716="","",IF(132&gt;NFixedA,0,SUMIF(CalcDebit,INDEX(PkFixedA,132),CalcAmt)+SUMIF(CalcDebit2,INDEX(PkFixedA,132),CalcAmt2)))</f>
        <v/>
      </c>
      <c r="F716" s="14">
        <f>IF($B716="","",IF(132&gt;NFixedA,0,SUMIF(CalcCredit,INDEX(PkFixedA,132),CalcAmt)+SUMIF(CalcCredit2,INDEX(PkFixedA,132),CalcAmt2)))</f>
        <v/>
      </c>
      <c r="G716" s="15">
        <f>IF($B716="","",ROUND($E716-$F716,0))</f>
        <v/>
      </c>
      <c r="H716" s="12">
        <f>IF($B716="","",IF(ROUND($G716,0)&gt;0,"بدهکار",IF(ROUND($G716,0)&lt;0,"بستانکار","تسویه")))</f>
        <v/>
      </c>
    </row>
    <row r="717">
      <c r="A717" s="16">
        <f>IF($B717="","",708)</f>
        <v/>
      </c>
      <c r="B717" s="17">
        <f>IF(133&gt;NFixedA,"",IFERROR(IF(VLOOKUP(INDEX(PkFixedA,133),AcctTblA,4,0)="","(بدون نام)",VLOOKUP(INDEX(PkFixedA,133),AcctTblA,4,0)),"—"))</f>
        <v/>
      </c>
      <c r="C717" s="18">
        <f>IF($B717="","",IF(133&gt;NFixedA,"",INDEX(PkFixedA,133)))</f>
        <v/>
      </c>
      <c r="D717" s="17">
        <f>IF($B717="","","f")</f>
        <v/>
      </c>
      <c r="E717" s="19">
        <f>IF($B717="","",IF(133&gt;NFixedA,0,SUMIF(CalcDebit,INDEX(PkFixedA,133),CalcAmt)+SUMIF(CalcDebit2,INDEX(PkFixedA,133),CalcAmt2)))</f>
        <v/>
      </c>
      <c r="F717" s="19">
        <f>IF($B717="","",IF(133&gt;NFixedA,0,SUMIF(CalcCredit,INDEX(PkFixedA,133),CalcAmt)+SUMIF(CalcCredit2,INDEX(PkFixedA,133),CalcAmt2)))</f>
        <v/>
      </c>
      <c r="G717" s="20">
        <f>IF($B717="","",ROUND($E717-$F717,0))</f>
        <v/>
      </c>
      <c r="H717" s="17">
        <f>IF($B717="","",IF(ROUND($G717,0)&gt;0,"بدهکار",IF(ROUND($G717,0)&lt;0,"بستانکار","تسویه")))</f>
        <v/>
      </c>
    </row>
    <row r="718">
      <c r="A718" s="11">
        <f>IF($B718="","",709)</f>
        <v/>
      </c>
      <c r="B718" s="12">
        <f>IF(134&gt;NFixedA,"",IFERROR(IF(VLOOKUP(INDEX(PkFixedA,134),AcctTblA,4,0)="","(بدون نام)",VLOOKUP(INDEX(PkFixedA,134),AcctTblA,4,0)),"—"))</f>
        <v/>
      </c>
      <c r="C718" s="13">
        <f>IF($B718="","",IF(134&gt;NFixedA,"",INDEX(PkFixedA,134)))</f>
        <v/>
      </c>
      <c r="D718" s="12">
        <f>IF($B718="","","f")</f>
        <v/>
      </c>
      <c r="E718" s="14">
        <f>IF($B718="","",IF(134&gt;NFixedA,0,SUMIF(CalcDebit,INDEX(PkFixedA,134),CalcAmt)+SUMIF(CalcDebit2,INDEX(PkFixedA,134),CalcAmt2)))</f>
        <v/>
      </c>
      <c r="F718" s="14">
        <f>IF($B718="","",IF(134&gt;NFixedA,0,SUMIF(CalcCredit,INDEX(PkFixedA,134),CalcAmt)+SUMIF(CalcCredit2,INDEX(PkFixedA,134),CalcAmt2)))</f>
        <v/>
      </c>
      <c r="G718" s="15">
        <f>IF($B718="","",ROUND($E718-$F718,0))</f>
        <v/>
      </c>
      <c r="H718" s="12">
        <f>IF($B718="","",IF(ROUND($G718,0)&gt;0,"بدهکار",IF(ROUND($G718,0)&lt;0,"بستانکار","تسویه")))</f>
        <v/>
      </c>
    </row>
    <row r="719">
      <c r="A719" s="16">
        <f>IF($B719="","",710)</f>
        <v/>
      </c>
      <c r="B719" s="17">
        <f>IF(135&gt;NFixedA,"",IFERROR(IF(VLOOKUP(INDEX(PkFixedA,135),AcctTblA,4,0)="","(بدون نام)",VLOOKUP(INDEX(PkFixedA,135),AcctTblA,4,0)),"—"))</f>
        <v/>
      </c>
      <c r="C719" s="18">
        <f>IF($B719="","",IF(135&gt;NFixedA,"",INDEX(PkFixedA,135)))</f>
        <v/>
      </c>
      <c r="D719" s="17">
        <f>IF($B719="","","f")</f>
        <v/>
      </c>
      <c r="E719" s="19">
        <f>IF($B719="","",IF(135&gt;NFixedA,0,SUMIF(CalcDebit,INDEX(PkFixedA,135),CalcAmt)+SUMIF(CalcDebit2,INDEX(PkFixedA,135),CalcAmt2)))</f>
        <v/>
      </c>
      <c r="F719" s="19">
        <f>IF($B719="","",IF(135&gt;NFixedA,0,SUMIF(CalcCredit,INDEX(PkFixedA,135),CalcAmt)+SUMIF(CalcCredit2,INDEX(PkFixedA,135),CalcAmt2)))</f>
        <v/>
      </c>
      <c r="G719" s="20">
        <f>IF($B719="","",ROUND($E719-$F719,0))</f>
        <v/>
      </c>
      <c r="H719" s="17">
        <f>IF($B719="","",IF(ROUND($G719,0)&gt;0,"بدهکار",IF(ROUND($G719,0)&lt;0,"بستانکار","تسویه")))</f>
        <v/>
      </c>
    </row>
    <row r="720">
      <c r="A720" s="11">
        <f>IF($B720="","",711)</f>
        <v/>
      </c>
      <c r="B720" s="12">
        <f>IF(136&gt;NFixedA,"",IFERROR(IF(VLOOKUP(INDEX(PkFixedA,136),AcctTblA,4,0)="","(بدون نام)",VLOOKUP(INDEX(PkFixedA,136),AcctTblA,4,0)),"—"))</f>
        <v/>
      </c>
      <c r="C720" s="13">
        <f>IF($B720="","",IF(136&gt;NFixedA,"",INDEX(PkFixedA,136)))</f>
        <v/>
      </c>
      <c r="D720" s="12">
        <f>IF($B720="","","f")</f>
        <v/>
      </c>
      <c r="E720" s="14">
        <f>IF($B720="","",IF(136&gt;NFixedA,0,SUMIF(CalcDebit,INDEX(PkFixedA,136),CalcAmt)+SUMIF(CalcDebit2,INDEX(PkFixedA,136),CalcAmt2)))</f>
        <v/>
      </c>
      <c r="F720" s="14">
        <f>IF($B720="","",IF(136&gt;NFixedA,0,SUMIF(CalcCredit,INDEX(PkFixedA,136),CalcAmt)+SUMIF(CalcCredit2,INDEX(PkFixedA,136),CalcAmt2)))</f>
        <v/>
      </c>
      <c r="G720" s="15">
        <f>IF($B720="","",ROUND($E720-$F720,0))</f>
        <v/>
      </c>
      <c r="H720" s="12">
        <f>IF($B720="","",IF(ROUND($G720,0)&gt;0,"بدهکار",IF(ROUND($G720,0)&lt;0,"بستانکار","تسویه")))</f>
        <v/>
      </c>
    </row>
    <row r="721">
      <c r="A721" s="16">
        <f>IF($B721="","",712)</f>
        <v/>
      </c>
      <c r="B721" s="17">
        <f>IF(137&gt;NFixedA,"",IFERROR(IF(VLOOKUP(INDEX(PkFixedA,137),AcctTblA,4,0)="","(بدون نام)",VLOOKUP(INDEX(PkFixedA,137),AcctTblA,4,0)),"—"))</f>
        <v/>
      </c>
      <c r="C721" s="18">
        <f>IF($B721="","",IF(137&gt;NFixedA,"",INDEX(PkFixedA,137)))</f>
        <v/>
      </c>
      <c r="D721" s="17">
        <f>IF($B721="","","f")</f>
        <v/>
      </c>
      <c r="E721" s="19">
        <f>IF($B721="","",IF(137&gt;NFixedA,0,SUMIF(CalcDebit,INDEX(PkFixedA,137),CalcAmt)+SUMIF(CalcDebit2,INDEX(PkFixedA,137),CalcAmt2)))</f>
        <v/>
      </c>
      <c r="F721" s="19">
        <f>IF($B721="","",IF(137&gt;NFixedA,0,SUMIF(CalcCredit,INDEX(PkFixedA,137),CalcAmt)+SUMIF(CalcCredit2,INDEX(PkFixedA,137),CalcAmt2)))</f>
        <v/>
      </c>
      <c r="G721" s="20">
        <f>IF($B721="","",ROUND($E721-$F721,0))</f>
        <v/>
      </c>
      <c r="H721" s="17">
        <f>IF($B721="","",IF(ROUND($G721,0)&gt;0,"بدهکار",IF(ROUND($G721,0)&lt;0,"بستانکار","تسویه")))</f>
        <v/>
      </c>
    </row>
    <row r="722">
      <c r="A722" s="11">
        <f>IF($B722="","",713)</f>
        <v/>
      </c>
      <c r="B722" s="12">
        <f>IF(138&gt;NFixedA,"",IFERROR(IF(VLOOKUP(INDEX(PkFixedA,138),AcctTblA,4,0)="","(بدون نام)",VLOOKUP(INDEX(PkFixedA,138),AcctTblA,4,0)),"—"))</f>
        <v/>
      </c>
      <c r="C722" s="13">
        <f>IF($B722="","",IF(138&gt;NFixedA,"",INDEX(PkFixedA,138)))</f>
        <v/>
      </c>
      <c r="D722" s="12">
        <f>IF($B722="","","f")</f>
        <v/>
      </c>
      <c r="E722" s="14">
        <f>IF($B722="","",IF(138&gt;NFixedA,0,SUMIF(CalcDebit,INDEX(PkFixedA,138),CalcAmt)+SUMIF(CalcDebit2,INDEX(PkFixedA,138),CalcAmt2)))</f>
        <v/>
      </c>
      <c r="F722" s="14">
        <f>IF($B722="","",IF(138&gt;NFixedA,0,SUMIF(CalcCredit,INDEX(PkFixedA,138),CalcAmt)+SUMIF(CalcCredit2,INDEX(PkFixedA,138),CalcAmt2)))</f>
        <v/>
      </c>
      <c r="G722" s="15">
        <f>IF($B722="","",ROUND($E722-$F722,0))</f>
        <v/>
      </c>
      <c r="H722" s="12">
        <f>IF($B722="","",IF(ROUND($G722,0)&gt;0,"بدهکار",IF(ROUND($G722,0)&lt;0,"بستانکار","تسویه")))</f>
        <v/>
      </c>
    </row>
    <row r="723">
      <c r="A723" s="16">
        <f>IF($B723="","",714)</f>
        <v/>
      </c>
      <c r="B723" s="17">
        <f>IF(139&gt;NFixedA,"",IFERROR(IF(VLOOKUP(INDEX(PkFixedA,139),AcctTblA,4,0)="","(بدون نام)",VLOOKUP(INDEX(PkFixedA,139),AcctTblA,4,0)),"—"))</f>
        <v/>
      </c>
      <c r="C723" s="18">
        <f>IF($B723="","",IF(139&gt;NFixedA,"",INDEX(PkFixedA,139)))</f>
        <v/>
      </c>
      <c r="D723" s="17">
        <f>IF($B723="","","f")</f>
        <v/>
      </c>
      <c r="E723" s="19">
        <f>IF($B723="","",IF(139&gt;NFixedA,0,SUMIF(CalcDebit,INDEX(PkFixedA,139),CalcAmt)+SUMIF(CalcDebit2,INDEX(PkFixedA,139),CalcAmt2)))</f>
        <v/>
      </c>
      <c r="F723" s="19">
        <f>IF($B723="","",IF(139&gt;NFixedA,0,SUMIF(CalcCredit,INDEX(PkFixedA,139),CalcAmt)+SUMIF(CalcCredit2,INDEX(PkFixedA,139),CalcAmt2)))</f>
        <v/>
      </c>
      <c r="G723" s="20">
        <f>IF($B723="","",ROUND($E723-$F723,0))</f>
        <v/>
      </c>
      <c r="H723" s="17">
        <f>IF($B723="","",IF(ROUND($G723,0)&gt;0,"بدهکار",IF(ROUND($G723,0)&lt;0,"بستانکار","تسویه")))</f>
        <v/>
      </c>
    </row>
    <row r="724">
      <c r="A724" s="11">
        <f>IF($B724="","",715)</f>
        <v/>
      </c>
      <c r="B724" s="12">
        <f>IF(140&gt;NFixedA,"",IFERROR(IF(VLOOKUP(INDEX(PkFixedA,140),AcctTblA,4,0)="","(بدون نام)",VLOOKUP(INDEX(PkFixedA,140),AcctTblA,4,0)),"—"))</f>
        <v/>
      </c>
      <c r="C724" s="13">
        <f>IF($B724="","",IF(140&gt;NFixedA,"",INDEX(PkFixedA,140)))</f>
        <v/>
      </c>
      <c r="D724" s="12">
        <f>IF($B724="","","f")</f>
        <v/>
      </c>
      <c r="E724" s="14">
        <f>IF($B724="","",IF(140&gt;NFixedA,0,SUMIF(CalcDebit,INDEX(PkFixedA,140),CalcAmt)+SUMIF(CalcDebit2,INDEX(PkFixedA,140),CalcAmt2)))</f>
        <v/>
      </c>
      <c r="F724" s="14">
        <f>IF($B724="","",IF(140&gt;NFixedA,0,SUMIF(CalcCredit,INDEX(PkFixedA,140),CalcAmt)+SUMIF(CalcCredit2,INDEX(PkFixedA,140),CalcAmt2)))</f>
        <v/>
      </c>
      <c r="G724" s="15">
        <f>IF($B724="","",ROUND($E724-$F724,0))</f>
        <v/>
      </c>
      <c r="H724" s="12">
        <f>IF($B724="","",IF(ROUND($G724,0)&gt;0,"بدهکار",IF(ROUND($G724,0)&lt;0,"بستانکار","تسویه")))</f>
        <v/>
      </c>
    </row>
    <row r="725">
      <c r="A725" s="16">
        <f>IF($B725="","",716)</f>
        <v/>
      </c>
      <c r="B725" s="17">
        <f>IF(141&gt;NFixedA,"",IFERROR(IF(VLOOKUP(INDEX(PkFixedA,141),AcctTblA,4,0)="","(بدون نام)",VLOOKUP(INDEX(PkFixedA,141),AcctTblA,4,0)),"—"))</f>
        <v/>
      </c>
      <c r="C725" s="18">
        <f>IF($B725="","",IF(141&gt;NFixedA,"",INDEX(PkFixedA,141)))</f>
        <v/>
      </c>
      <c r="D725" s="17">
        <f>IF($B725="","","f")</f>
        <v/>
      </c>
      <c r="E725" s="19">
        <f>IF($B725="","",IF(141&gt;NFixedA,0,SUMIF(CalcDebit,INDEX(PkFixedA,141),CalcAmt)+SUMIF(CalcDebit2,INDEX(PkFixedA,141),CalcAmt2)))</f>
        <v/>
      </c>
      <c r="F725" s="19">
        <f>IF($B725="","",IF(141&gt;NFixedA,0,SUMIF(CalcCredit,INDEX(PkFixedA,141),CalcAmt)+SUMIF(CalcCredit2,INDEX(PkFixedA,141),CalcAmt2)))</f>
        <v/>
      </c>
      <c r="G725" s="20">
        <f>IF($B725="","",ROUND($E725-$F725,0))</f>
        <v/>
      </c>
      <c r="H725" s="17">
        <f>IF($B725="","",IF(ROUND($G725,0)&gt;0,"بدهکار",IF(ROUND($G725,0)&lt;0,"بستانکار","تسویه")))</f>
        <v/>
      </c>
    </row>
    <row r="726">
      <c r="A726" s="11">
        <f>IF($B726="","",717)</f>
        <v/>
      </c>
      <c r="B726" s="12">
        <f>IF(142&gt;NFixedA,"",IFERROR(IF(VLOOKUP(INDEX(PkFixedA,142),AcctTblA,4,0)="","(بدون نام)",VLOOKUP(INDEX(PkFixedA,142),AcctTblA,4,0)),"—"))</f>
        <v/>
      </c>
      <c r="C726" s="13">
        <f>IF($B726="","",IF(142&gt;NFixedA,"",INDEX(PkFixedA,142)))</f>
        <v/>
      </c>
      <c r="D726" s="12">
        <f>IF($B726="","","f")</f>
        <v/>
      </c>
      <c r="E726" s="14">
        <f>IF($B726="","",IF(142&gt;NFixedA,0,SUMIF(CalcDebit,INDEX(PkFixedA,142),CalcAmt)+SUMIF(CalcDebit2,INDEX(PkFixedA,142),CalcAmt2)))</f>
        <v/>
      </c>
      <c r="F726" s="14">
        <f>IF($B726="","",IF(142&gt;NFixedA,0,SUMIF(CalcCredit,INDEX(PkFixedA,142),CalcAmt)+SUMIF(CalcCredit2,INDEX(PkFixedA,142),CalcAmt2)))</f>
        <v/>
      </c>
      <c r="G726" s="15">
        <f>IF($B726="","",ROUND($E726-$F726,0))</f>
        <v/>
      </c>
      <c r="H726" s="12">
        <f>IF($B726="","",IF(ROUND($G726,0)&gt;0,"بدهکار",IF(ROUND($G726,0)&lt;0,"بستانکار","تسویه")))</f>
        <v/>
      </c>
    </row>
    <row r="727">
      <c r="A727" s="16">
        <f>IF($B727="","",718)</f>
        <v/>
      </c>
      <c r="B727" s="17">
        <f>IF(143&gt;NFixedA,"",IFERROR(IF(VLOOKUP(INDEX(PkFixedA,143),AcctTblA,4,0)="","(بدون نام)",VLOOKUP(INDEX(PkFixedA,143),AcctTblA,4,0)),"—"))</f>
        <v/>
      </c>
      <c r="C727" s="18">
        <f>IF($B727="","",IF(143&gt;NFixedA,"",INDEX(PkFixedA,143)))</f>
        <v/>
      </c>
      <c r="D727" s="17">
        <f>IF($B727="","","f")</f>
        <v/>
      </c>
      <c r="E727" s="19">
        <f>IF($B727="","",IF(143&gt;NFixedA,0,SUMIF(CalcDebit,INDEX(PkFixedA,143),CalcAmt)+SUMIF(CalcDebit2,INDEX(PkFixedA,143),CalcAmt2)))</f>
        <v/>
      </c>
      <c r="F727" s="19">
        <f>IF($B727="","",IF(143&gt;NFixedA,0,SUMIF(CalcCredit,INDEX(PkFixedA,143),CalcAmt)+SUMIF(CalcCredit2,INDEX(PkFixedA,143),CalcAmt2)))</f>
        <v/>
      </c>
      <c r="G727" s="20">
        <f>IF($B727="","",ROUND($E727-$F727,0))</f>
        <v/>
      </c>
      <c r="H727" s="17">
        <f>IF($B727="","",IF(ROUND($G727,0)&gt;0,"بدهکار",IF(ROUND($G727,0)&lt;0,"بستانکار","تسویه")))</f>
        <v/>
      </c>
    </row>
    <row r="728">
      <c r="A728" s="11">
        <f>IF($B728="","",719)</f>
        <v/>
      </c>
      <c r="B728" s="12">
        <f>IF(144&gt;NFixedA,"",IFERROR(IF(VLOOKUP(INDEX(PkFixedA,144),AcctTblA,4,0)="","(بدون نام)",VLOOKUP(INDEX(PkFixedA,144),AcctTblA,4,0)),"—"))</f>
        <v/>
      </c>
      <c r="C728" s="13">
        <f>IF($B728="","",IF(144&gt;NFixedA,"",INDEX(PkFixedA,144)))</f>
        <v/>
      </c>
      <c r="D728" s="12">
        <f>IF($B728="","","f")</f>
        <v/>
      </c>
      <c r="E728" s="14">
        <f>IF($B728="","",IF(144&gt;NFixedA,0,SUMIF(CalcDebit,INDEX(PkFixedA,144),CalcAmt)+SUMIF(CalcDebit2,INDEX(PkFixedA,144),CalcAmt2)))</f>
        <v/>
      </c>
      <c r="F728" s="14">
        <f>IF($B728="","",IF(144&gt;NFixedA,0,SUMIF(CalcCredit,INDEX(PkFixedA,144),CalcAmt)+SUMIF(CalcCredit2,INDEX(PkFixedA,144),CalcAmt2)))</f>
        <v/>
      </c>
      <c r="G728" s="15">
        <f>IF($B728="","",ROUND($E728-$F728,0))</f>
        <v/>
      </c>
      <c r="H728" s="12">
        <f>IF($B728="","",IF(ROUND($G728,0)&gt;0,"بدهکار",IF(ROUND($G728,0)&lt;0,"بستانکار","تسویه")))</f>
        <v/>
      </c>
    </row>
    <row r="729">
      <c r="A729" s="16">
        <f>IF($B729="","",720)</f>
        <v/>
      </c>
      <c r="B729" s="17">
        <f>IF(145&gt;NFixedA,"",IFERROR(IF(VLOOKUP(INDEX(PkFixedA,145),AcctTblA,4,0)="","(بدون نام)",VLOOKUP(INDEX(PkFixedA,145),AcctTblA,4,0)),"—"))</f>
        <v/>
      </c>
      <c r="C729" s="18">
        <f>IF($B729="","",IF(145&gt;NFixedA,"",INDEX(PkFixedA,145)))</f>
        <v/>
      </c>
      <c r="D729" s="17">
        <f>IF($B729="","","f")</f>
        <v/>
      </c>
      <c r="E729" s="19">
        <f>IF($B729="","",IF(145&gt;NFixedA,0,SUMIF(CalcDebit,INDEX(PkFixedA,145),CalcAmt)+SUMIF(CalcDebit2,INDEX(PkFixedA,145),CalcAmt2)))</f>
        <v/>
      </c>
      <c r="F729" s="19">
        <f>IF($B729="","",IF(145&gt;NFixedA,0,SUMIF(CalcCredit,INDEX(PkFixedA,145),CalcAmt)+SUMIF(CalcCredit2,INDEX(PkFixedA,145),CalcAmt2)))</f>
        <v/>
      </c>
      <c r="G729" s="20">
        <f>IF($B729="","",ROUND($E729-$F729,0))</f>
        <v/>
      </c>
      <c r="H729" s="17">
        <f>IF($B729="","",IF(ROUND($G729,0)&gt;0,"بدهکار",IF(ROUND($G729,0)&lt;0,"بستانکار","تسویه")))</f>
        <v/>
      </c>
    </row>
    <row r="730">
      <c r="A730" s="11">
        <f>IF($B730="","",721)</f>
        <v/>
      </c>
      <c r="B730" s="12">
        <f>IF(146&gt;NFixedA,"",IFERROR(IF(VLOOKUP(INDEX(PkFixedA,146),AcctTblA,4,0)="","(بدون نام)",VLOOKUP(INDEX(PkFixedA,146),AcctTblA,4,0)),"—"))</f>
        <v/>
      </c>
      <c r="C730" s="13">
        <f>IF($B730="","",IF(146&gt;NFixedA,"",INDEX(PkFixedA,146)))</f>
        <v/>
      </c>
      <c r="D730" s="12">
        <f>IF($B730="","","f")</f>
        <v/>
      </c>
      <c r="E730" s="14">
        <f>IF($B730="","",IF(146&gt;NFixedA,0,SUMIF(CalcDebit,INDEX(PkFixedA,146),CalcAmt)+SUMIF(CalcDebit2,INDEX(PkFixedA,146),CalcAmt2)))</f>
        <v/>
      </c>
      <c r="F730" s="14">
        <f>IF($B730="","",IF(146&gt;NFixedA,0,SUMIF(CalcCredit,INDEX(PkFixedA,146),CalcAmt)+SUMIF(CalcCredit2,INDEX(PkFixedA,146),CalcAmt2)))</f>
        <v/>
      </c>
      <c r="G730" s="15">
        <f>IF($B730="","",ROUND($E730-$F730,0))</f>
        <v/>
      </c>
      <c r="H730" s="12">
        <f>IF($B730="","",IF(ROUND($G730,0)&gt;0,"بدهکار",IF(ROUND($G730,0)&lt;0,"بستانکار","تسویه")))</f>
        <v/>
      </c>
    </row>
    <row r="731">
      <c r="A731" s="16">
        <f>IF($B731="","",722)</f>
        <v/>
      </c>
      <c r="B731" s="17">
        <f>IF(147&gt;NFixedA,"",IFERROR(IF(VLOOKUP(INDEX(PkFixedA,147),AcctTblA,4,0)="","(بدون نام)",VLOOKUP(INDEX(PkFixedA,147),AcctTblA,4,0)),"—"))</f>
        <v/>
      </c>
      <c r="C731" s="18">
        <f>IF($B731="","",IF(147&gt;NFixedA,"",INDEX(PkFixedA,147)))</f>
        <v/>
      </c>
      <c r="D731" s="17">
        <f>IF($B731="","","f")</f>
        <v/>
      </c>
      <c r="E731" s="19">
        <f>IF($B731="","",IF(147&gt;NFixedA,0,SUMIF(CalcDebit,INDEX(PkFixedA,147),CalcAmt)+SUMIF(CalcDebit2,INDEX(PkFixedA,147),CalcAmt2)))</f>
        <v/>
      </c>
      <c r="F731" s="19">
        <f>IF($B731="","",IF(147&gt;NFixedA,0,SUMIF(CalcCredit,INDEX(PkFixedA,147),CalcAmt)+SUMIF(CalcCredit2,INDEX(PkFixedA,147),CalcAmt2)))</f>
        <v/>
      </c>
      <c r="G731" s="20">
        <f>IF($B731="","",ROUND($E731-$F731,0))</f>
        <v/>
      </c>
      <c r="H731" s="17">
        <f>IF($B731="","",IF(ROUND($G731,0)&gt;0,"بدهکار",IF(ROUND($G731,0)&lt;0,"بستانکار","تسویه")))</f>
        <v/>
      </c>
    </row>
    <row r="732">
      <c r="A732" s="11">
        <f>IF($B732="","",723)</f>
        <v/>
      </c>
      <c r="B732" s="12">
        <f>IF(148&gt;NFixedA,"",IFERROR(IF(VLOOKUP(INDEX(PkFixedA,148),AcctTblA,4,0)="","(بدون نام)",VLOOKUP(INDEX(PkFixedA,148),AcctTblA,4,0)),"—"))</f>
        <v/>
      </c>
      <c r="C732" s="13">
        <f>IF($B732="","",IF(148&gt;NFixedA,"",INDEX(PkFixedA,148)))</f>
        <v/>
      </c>
      <c r="D732" s="12">
        <f>IF($B732="","","f")</f>
        <v/>
      </c>
      <c r="E732" s="14">
        <f>IF($B732="","",IF(148&gt;NFixedA,0,SUMIF(CalcDebit,INDEX(PkFixedA,148),CalcAmt)+SUMIF(CalcDebit2,INDEX(PkFixedA,148),CalcAmt2)))</f>
        <v/>
      </c>
      <c r="F732" s="14">
        <f>IF($B732="","",IF(148&gt;NFixedA,0,SUMIF(CalcCredit,INDEX(PkFixedA,148),CalcAmt)+SUMIF(CalcCredit2,INDEX(PkFixedA,148),CalcAmt2)))</f>
        <v/>
      </c>
      <c r="G732" s="15">
        <f>IF($B732="","",ROUND($E732-$F732,0))</f>
        <v/>
      </c>
      <c r="H732" s="12">
        <f>IF($B732="","",IF(ROUND($G732,0)&gt;0,"بدهکار",IF(ROUND($G732,0)&lt;0,"بستانکار","تسویه")))</f>
        <v/>
      </c>
    </row>
    <row r="733">
      <c r="A733" s="16">
        <f>IF($B733="","",724)</f>
        <v/>
      </c>
      <c r="B733" s="17">
        <f>IF(149&gt;NFixedA,"",IFERROR(IF(VLOOKUP(INDEX(PkFixedA,149),AcctTblA,4,0)="","(بدون نام)",VLOOKUP(INDEX(PkFixedA,149),AcctTblA,4,0)),"—"))</f>
        <v/>
      </c>
      <c r="C733" s="18">
        <f>IF($B733="","",IF(149&gt;NFixedA,"",INDEX(PkFixedA,149)))</f>
        <v/>
      </c>
      <c r="D733" s="17">
        <f>IF($B733="","","f")</f>
        <v/>
      </c>
      <c r="E733" s="19">
        <f>IF($B733="","",IF(149&gt;NFixedA,0,SUMIF(CalcDebit,INDEX(PkFixedA,149),CalcAmt)+SUMIF(CalcDebit2,INDEX(PkFixedA,149),CalcAmt2)))</f>
        <v/>
      </c>
      <c r="F733" s="19">
        <f>IF($B733="","",IF(149&gt;NFixedA,0,SUMIF(CalcCredit,INDEX(PkFixedA,149),CalcAmt)+SUMIF(CalcCredit2,INDEX(PkFixedA,149),CalcAmt2)))</f>
        <v/>
      </c>
      <c r="G733" s="20">
        <f>IF($B733="","",ROUND($E733-$F733,0))</f>
        <v/>
      </c>
      <c r="H733" s="17">
        <f>IF($B733="","",IF(ROUND($G733,0)&gt;0,"بدهکار",IF(ROUND($G733,0)&lt;0,"بستانکار","تسویه")))</f>
        <v/>
      </c>
    </row>
    <row r="734">
      <c r="A734" s="11">
        <f>IF($B734="","",725)</f>
        <v/>
      </c>
      <c r="B734" s="12">
        <f>IF(150&gt;NFixedA,"",IFERROR(IF(VLOOKUP(INDEX(PkFixedA,150),AcctTblA,4,0)="","(بدون نام)",VLOOKUP(INDEX(PkFixedA,150),AcctTblA,4,0)),"—"))</f>
        <v/>
      </c>
      <c r="C734" s="13">
        <f>IF($B734="","",IF(150&gt;NFixedA,"",INDEX(PkFixedA,150)))</f>
        <v/>
      </c>
      <c r="D734" s="12">
        <f>IF($B734="","","f")</f>
        <v/>
      </c>
      <c r="E734" s="14">
        <f>IF($B734="","",IF(150&gt;NFixedA,0,SUMIF(CalcDebit,INDEX(PkFixedA,150),CalcAmt)+SUMIF(CalcDebit2,INDEX(PkFixedA,150),CalcAmt2)))</f>
        <v/>
      </c>
      <c r="F734" s="14">
        <f>IF($B734="","",IF(150&gt;NFixedA,0,SUMIF(CalcCredit,INDEX(PkFixedA,150),CalcAmt)+SUMIF(CalcCredit2,INDEX(PkFixedA,150),CalcAmt2)))</f>
        <v/>
      </c>
      <c r="G734" s="15">
        <f>IF($B734="","",ROUND($E734-$F734,0))</f>
        <v/>
      </c>
      <c r="H734" s="12">
        <f>IF($B734="","",IF(ROUND($G734,0)&gt;0,"بدهکار",IF(ROUND($G734,0)&lt;0,"بستانکار","تسویه")))</f>
        <v/>
      </c>
    </row>
    <row r="735">
      <c r="A735" s="16">
        <f>IF($B735="","",726)</f>
        <v/>
      </c>
      <c r="B735" s="17">
        <f>IF(151&gt;NFixedA,"",IFERROR(IF(VLOOKUP(INDEX(PkFixedA,151),AcctTblA,4,0)="","(بدون نام)",VLOOKUP(INDEX(PkFixedA,151),AcctTblA,4,0)),"—"))</f>
        <v/>
      </c>
      <c r="C735" s="18">
        <f>IF($B735="","",IF(151&gt;NFixedA,"",INDEX(PkFixedA,151)))</f>
        <v/>
      </c>
      <c r="D735" s="17">
        <f>IF($B735="","","f")</f>
        <v/>
      </c>
      <c r="E735" s="19">
        <f>IF($B735="","",IF(151&gt;NFixedA,0,SUMIF(CalcDebit,INDEX(PkFixedA,151),CalcAmt)+SUMIF(CalcDebit2,INDEX(PkFixedA,151),CalcAmt2)))</f>
        <v/>
      </c>
      <c r="F735" s="19">
        <f>IF($B735="","",IF(151&gt;NFixedA,0,SUMIF(CalcCredit,INDEX(PkFixedA,151),CalcAmt)+SUMIF(CalcCredit2,INDEX(PkFixedA,151),CalcAmt2)))</f>
        <v/>
      </c>
      <c r="G735" s="20">
        <f>IF($B735="","",ROUND($E735-$F735,0))</f>
        <v/>
      </c>
      <c r="H735" s="17">
        <f>IF($B735="","",IF(ROUND($G735,0)&gt;0,"بدهکار",IF(ROUND($G735,0)&lt;0,"بستانکار","تسویه")))</f>
        <v/>
      </c>
    </row>
    <row r="736">
      <c r="A736" s="11">
        <f>IF($B736="","",727)</f>
        <v/>
      </c>
      <c r="B736" s="12">
        <f>IF(152&gt;NFixedA,"",IFERROR(IF(VLOOKUP(INDEX(PkFixedA,152),AcctTblA,4,0)="","(بدون نام)",VLOOKUP(INDEX(PkFixedA,152),AcctTblA,4,0)),"—"))</f>
        <v/>
      </c>
      <c r="C736" s="13">
        <f>IF($B736="","",IF(152&gt;NFixedA,"",INDEX(PkFixedA,152)))</f>
        <v/>
      </c>
      <c r="D736" s="12">
        <f>IF($B736="","","f")</f>
        <v/>
      </c>
      <c r="E736" s="14">
        <f>IF($B736="","",IF(152&gt;NFixedA,0,SUMIF(CalcDebit,INDEX(PkFixedA,152),CalcAmt)+SUMIF(CalcDebit2,INDEX(PkFixedA,152),CalcAmt2)))</f>
        <v/>
      </c>
      <c r="F736" s="14">
        <f>IF($B736="","",IF(152&gt;NFixedA,0,SUMIF(CalcCredit,INDEX(PkFixedA,152),CalcAmt)+SUMIF(CalcCredit2,INDEX(PkFixedA,152),CalcAmt2)))</f>
        <v/>
      </c>
      <c r="G736" s="15">
        <f>IF($B736="","",ROUND($E736-$F736,0))</f>
        <v/>
      </c>
      <c r="H736" s="12">
        <f>IF($B736="","",IF(ROUND($G736,0)&gt;0,"بدهکار",IF(ROUND($G736,0)&lt;0,"بستانکار","تسویه")))</f>
        <v/>
      </c>
    </row>
    <row r="737">
      <c r="A737" s="16">
        <f>IF($B737="","",728)</f>
        <v/>
      </c>
      <c r="B737" s="17">
        <f>IF(153&gt;NFixedA,"",IFERROR(IF(VLOOKUP(INDEX(PkFixedA,153),AcctTblA,4,0)="","(بدون نام)",VLOOKUP(INDEX(PkFixedA,153),AcctTblA,4,0)),"—"))</f>
        <v/>
      </c>
      <c r="C737" s="18">
        <f>IF($B737="","",IF(153&gt;NFixedA,"",INDEX(PkFixedA,153)))</f>
        <v/>
      </c>
      <c r="D737" s="17">
        <f>IF($B737="","","f")</f>
        <v/>
      </c>
      <c r="E737" s="19">
        <f>IF($B737="","",IF(153&gt;NFixedA,0,SUMIF(CalcDebit,INDEX(PkFixedA,153),CalcAmt)+SUMIF(CalcDebit2,INDEX(PkFixedA,153),CalcAmt2)))</f>
        <v/>
      </c>
      <c r="F737" s="19">
        <f>IF($B737="","",IF(153&gt;NFixedA,0,SUMIF(CalcCredit,INDEX(PkFixedA,153),CalcAmt)+SUMIF(CalcCredit2,INDEX(PkFixedA,153),CalcAmt2)))</f>
        <v/>
      </c>
      <c r="G737" s="20">
        <f>IF($B737="","",ROUND($E737-$F737,0))</f>
        <v/>
      </c>
      <c r="H737" s="17">
        <f>IF($B737="","",IF(ROUND($G737,0)&gt;0,"بدهکار",IF(ROUND($G737,0)&lt;0,"بستانکار","تسویه")))</f>
        <v/>
      </c>
    </row>
    <row r="738">
      <c r="A738" s="11">
        <f>IF($B738="","",729)</f>
        <v/>
      </c>
      <c r="B738" s="12">
        <f>IF(154&gt;NFixedA,"",IFERROR(IF(VLOOKUP(INDEX(PkFixedA,154),AcctTblA,4,0)="","(بدون نام)",VLOOKUP(INDEX(PkFixedA,154),AcctTblA,4,0)),"—"))</f>
        <v/>
      </c>
      <c r="C738" s="13">
        <f>IF($B738="","",IF(154&gt;NFixedA,"",INDEX(PkFixedA,154)))</f>
        <v/>
      </c>
      <c r="D738" s="12">
        <f>IF($B738="","","f")</f>
        <v/>
      </c>
      <c r="E738" s="14">
        <f>IF($B738="","",IF(154&gt;NFixedA,0,SUMIF(CalcDebit,INDEX(PkFixedA,154),CalcAmt)+SUMIF(CalcDebit2,INDEX(PkFixedA,154),CalcAmt2)))</f>
        <v/>
      </c>
      <c r="F738" s="14">
        <f>IF($B738="","",IF(154&gt;NFixedA,0,SUMIF(CalcCredit,INDEX(PkFixedA,154),CalcAmt)+SUMIF(CalcCredit2,INDEX(PkFixedA,154),CalcAmt2)))</f>
        <v/>
      </c>
      <c r="G738" s="15">
        <f>IF($B738="","",ROUND($E738-$F738,0))</f>
        <v/>
      </c>
      <c r="H738" s="12">
        <f>IF($B738="","",IF(ROUND($G738,0)&gt;0,"بدهکار",IF(ROUND($G738,0)&lt;0,"بستانکار","تسویه")))</f>
        <v/>
      </c>
    </row>
    <row r="739">
      <c r="A739" s="16">
        <f>IF($B739="","",730)</f>
        <v/>
      </c>
      <c r="B739" s="17">
        <f>IF(155&gt;NFixedA,"",IFERROR(IF(VLOOKUP(INDEX(PkFixedA,155),AcctTblA,4,0)="","(بدون نام)",VLOOKUP(INDEX(PkFixedA,155),AcctTblA,4,0)),"—"))</f>
        <v/>
      </c>
      <c r="C739" s="18">
        <f>IF($B739="","",IF(155&gt;NFixedA,"",INDEX(PkFixedA,155)))</f>
        <v/>
      </c>
      <c r="D739" s="17">
        <f>IF($B739="","","f")</f>
        <v/>
      </c>
      <c r="E739" s="19">
        <f>IF($B739="","",IF(155&gt;NFixedA,0,SUMIF(CalcDebit,INDEX(PkFixedA,155),CalcAmt)+SUMIF(CalcDebit2,INDEX(PkFixedA,155),CalcAmt2)))</f>
        <v/>
      </c>
      <c r="F739" s="19">
        <f>IF($B739="","",IF(155&gt;NFixedA,0,SUMIF(CalcCredit,INDEX(PkFixedA,155),CalcAmt)+SUMIF(CalcCredit2,INDEX(PkFixedA,155),CalcAmt2)))</f>
        <v/>
      </c>
      <c r="G739" s="20">
        <f>IF($B739="","",ROUND($E739-$F739,0))</f>
        <v/>
      </c>
      <c r="H739" s="17">
        <f>IF($B739="","",IF(ROUND($G739,0)&gt;0,"بدهکار",IF(ROUND($G739,0)&lt;0,"بستانکار","تسویه")))</f>
        <v/>
      </c>
    </row>
    <row r="740">
      <c r="A740" s="11">
        <f>IF($B740="","",731)</f>
        <v/>
      </c>
      <c r="B740" s="12">
        <f>IF(156&gt;NFixedA,"",IFERROR(IF(VLOOKUP(INDEX(PkFixedA,156),AcctTblA,4,0)="","(بدون نام)",VLOOKUP(INDEX(PkFixedA,156),AcctTblA,4,0)),"—"))</f>
        <v/>
      </c>
      <c r="C740" s="13">
        <f>IF($B740="","",IF(156&gt;NFixedA,"",INDEX(PkFixedA,156)))</f>
        <v/>
      </c>
      <c r="D740" s="12">
        <f>IF($B740="","","f")</f>
        <v/>
      </c>
      <c r="E740" s="14">
        <f>IF($B740="","",IF(156&gt;NFixedA,0,SUMIF(CalcDebit,INDEX(PkFixedA,156),CalcAmt)+SUMIF(CalcDebit2,INDEX(PkFixedA,156),CalcAmt2)))</f>
        <v/>
      </c>
      <c r="F740" s="14">
        <f>IF($B740="","",IF(156&gt;NFixedA,0,SUMIF(CalcCredit,INDEX(PkFixedA,156),CalcAmt)+SUMIF(CalcCredit2,INDEX(PkFixedA,156),CalcAmt2)))</f>
        <v/>
      </c>
      <c r="G740" s="15">
        <f>IF($B740="","",ROUND($E740-$F740,0))</f>
        <v/>
      </c>
      <c r="H740" s="12">
        <f>IF($B740="","",IF(ROUND($G740,0)&gt;0,"بدهکار",IF(ROUND($G740,0)&lt;0,"بستانکار","تسویه")))</f>
        <v/>
      </c>
    </row>
    <row r="741">
      <c r="A741" s="16">
        <f>IF($B741="","",732)</f>
        <v/>
      </c>
      <c r="B741" s="17">
        <f>IF(157&gt;NFixedA,"",IFERROR(IF(VLOOKUP(INDEX(PkFixedA,157),AcctTblA,4,0)="","(بدون نام)",VLOOKUP(INDEX(PkFixedA,157),AcctTblA,4,0)),"—"))</f>
        <v/>
      </c>
      <c r="C741" s="18">
        <f>IF($B741="","",IF(157&gt;NFixedA,"",INDEX(PkFixedA,157)))</f>
        <v/>
      </c>
      <c r="D741" s="17">
        <f>IF($B741="","","f")</f>
        <v/>
      </c>
      <c r="E741" s="19">
        <f>IF($B741="","",IF(157&gt;NFixedA,0,SUMIF(CalcDebit,INDEX(PkFixedA,157),CalcAmt)+SUMIF(CalcDebit2,INDEX(PkFixedA,157),CalcAmt2)))</f>
        <v/>
      </c>
      <c r="F741" s="19">
        <f>IF($B741="","",IF(157&gt;NFixedA,0,SUMIF(CalcCredit,INDEX(PkFixedA,157),CalcAmt)+SUMIF(CalcCredit2,INDEX(PkFixedA,157),CalcAmt2)))</f>
        <v/>
      </c>
      <c r="G741" s="20">
        <f>IF($B741="","",ROUND($E741-$F741,0))</f>
        <v/>
      </c>
      <c r="H741" s="17">
        <f>IF($B741="","",IF(ROUND($G741,0)&gt;0,"بدهکار",IF(ROUND($G741,0)&lt;0,"بستانکار","تسویه")))</f>
        <v/>
      </c>
    </row>
    <row r="742">
      <c r="A742" s="11">
        <f>IF($B742="","",733)</f>
        <v/>
      </c>
      <c r="B742" s="12">
        <f>IF(158&gt;NFixedA,"",IFERROR(IF(VLOOKUP(INDEX(PkFixedA,158),AcctTblA,4,0)="","(بدون نام)",VLOOKUP(INDEX(PkFixedA,158),AcctTblA,4,0)),"—"))</f>
        <v/>
      </c>
      <c r="C742" s="13">
        <f>IF($B742="","",IF(158&gt;NFixedA,"",INDEX(PkFixedA,158)))</f>
        <v/>
      </c>
      <c r="D742" s="12">
        <f>IF($B742="","","f")</f>
        <v/>
      </c>
      <c r="E742" s="14">
        <f>IF($B742="","",IF(158&gt;NFixedA,0,SUMIF(CalcDebit,INDEX(PkFixedA,158),CalcAmt)+SUMIF(CalcDebit2,INDEX(PkFixedA,158),CalcAmt2)))</f>
        <v/>
      </c>
      <c r="F742" s="14">
        <f>IF($B742="","",IF(158&gt;NFixedA,0,SUMIF(CalcCredit,INDEX(PkFixedA,158),CalcAmt)+SUMIF(CalcCredit2,INDEX(PkFixedA,158),CalcAmt2)))</f>
        <v/>
      </c>
      <c r="G742" s="15">
        <f>IF($B742="","",ROUND($E742-$F742,0))</f>
        <v/>
      </c>
      <c r="H742" s="12">
        <f>IF($B742="","",IF(ROUND($G742,0)&gt;0,"بدهکار",IF(ROUND($G742,0)&lt;0,"بستانکار","تسویه")))</f>
        <v/>
      </c>
    </row>
    <row r="743">
      <c r="A743" s="16">
        <f>IF($B743="","",734)</f>
        <v/>
      </c>
      <c r="B743" s="17">
        <f>IF(159&gt;NFixedA,"",IFERROR(IF(VLOOKUP(INDEX(PkFixedA,159),AcctTblA,4,0)="","(بدون نام)",VLOOKUP(INDEX(PkFixedA,159),AcctTblA,4,0)),"—"))</f>
        <v/>
      </c>
      <c r="C743" s="18">
        <f>IF($B743="","",IF(159&gt;NFixedA,"",INDEX(PkFixedA,159)))</f>
        <v/>
      </c>
      <c r="D743" s="17">
        <f>IF($B743="","","f")</f>
        <v/>
      </c>
      <c r="E743" s="19">
        <f>IF($B743="","",IF(159&gt;NFixedA,0,SUMIF(CalcDebit,INDEX(PkFixedA,159),CalcAmt)+SUMIF(CalcDebit2,INDEX(PkFixedA,159),CalcAmt2)))</f>
        <v/>
      </c>
      <c r="F743" s="19">
        <f>IF($B743="","",IF(159&gt;NFixedA,0,SUMIF(CalcCredit,INDEX(PkFixedA,159),CalcAmt)+SUMIF(CalcCredit2,INDEX(PkFixedA,159),CalcAmt2)))</f>
        <v/>
      </c>
      <c r="G743" s="20">
        <f>IF($B743="","",ROUND($E743-$F743,0))</f>
        <v/>
      </c>
      <c r="H743" s="17">
        <f>IF($B743="","",IF(ROUND($G743,0)&gt;0,"بدهکار",IF(ROUND($G743,0)&lt;0,"بستانکار","تسویه")))</f>
        <v/>
      </c>
    </row>
    <row r="744">
      <c r="A744" s="11">
        <f>IF($B744="","",735)</f>
        <v/>
      </c>
      <c r="B744" s="12">
        <f>IF(160&gt;NFixedA,"",IFERROR(IF(VLOOKUP(INDEX(PkFixedA,160),AcctTblA,4,0)="","(بدون نام)",VLOOKUP(INDEX(PkFixedA,160),AcctTblA,4,0)),"—"))</f>
        <v/>
      </c>
      <c r="C744" s="13">
        <f>IF($B744="","",IF(160&gt;NFixedA,"",INDEX(PkFixedA,160)))</f>
        <v/>
      </c>
      <c r="D744" s="12">
        <f>IF($B744="","","f")</f>
        <v/>
      </c>
      <c r="E744" s="14">
        <f>IF($B744="","",IF(160&gt;NFixedA,0,SUMIF(CalcDebit,INDEX(PkFixedA,160),CalcAmt)+SUMIF(CalcDebit2,INDEX(PkFixedA,160),CalcAmt2)))</f>
        <v/>
      </c>
      <c r="F744" s="14">
        <f>IF($B744="","",IF(160&gt;NFixedA,0,SUMIF(CalcCredit,INDEX(PkFixedA,160),CalcAmt)+SUMIF(CalcCredit2,INDEX(PkFixedA,160),CalcAmt2)))</f>
        <v/>
      </c>
      <c r="G744" s="15">
        <f>IF($B744="","",ROUND($E744-$F744,0))</f>
        <v/>
      </c>
      <c r="H744" s="12">
        <f>IF($B744="","",IF(ROUND($G744,0)&gt;0,"بدهکار",IF(ROUND($G744,0)&lt;0,"بستانکار","تسویه")))</f>
        <v/>
      </c>
    </row>
    <row r="745">
      <c r="A745" s="16">
        <f>IF($B745="","",736)</f>
        <v/>
      </c>
      <c r="B745" s="17">
        <f>IF(161&gt;NFixedA,"",IFERROR(IF(VLOOKUP(INDEX(PkFixedA,161),AcctTblA,4,0)="","(بدون نام)",VLOOKUP(INDEX(PkFixedA,161),AcctTblA,4,0)),"—"))</f>
        <v/>
      </c>
      <c r="C745" s="18">
        <f>IF($B745="","",IF(161&gt;NFixedA,"",INDEX(PkFixedA,161)))</f>
        <v/>
      </c>
      <c r="D745" s="17">
        <f>IF($B745="","","f")</f>
        <v/>
      </c>
      <c r="E745" s="19">
        <f>IF($B745="","",IF(161&gt;NFixedA,0,SUMIF(CalcDebit,INDEX(PkFixedA,161),CalcAmt)+SUMIF(CalcDebit2,INDEX(PkFixedA,161),CalcAmt2)))</f>
        <v/>
      </c>
      <c r="F745" s="19">
        <f>IF($B745="","",IF(161&gt;NFixedA,0,SUMIF(CalcCredit,INDEX(PkFixedA,161),CalcAmt)+SUMIF(CalcCredit2,INDEX(PkFixedA,161),CalcAmt2)))</f>
        <v/>
      </c>
      <c r="G745" s="20">
        <f>IF($B745="","",ROUND($E745-$F745,0))</f>
        <v/>
      </c>
      <c r="H745" s="17">
        <f>IF($B745="","",IF(ROUND($G745,0)&gt;0,"بدهکار",IF(ROUND($G745,0)&lt;0,"بستانکار","تسویه")))</f>
        <v/>
      </c>
    </row>
    <row r="746">
      <c r="A746" s="11">
        <f>IF($B746="","",737)</f>
        <v/>
      </c>
      <c r="B746" s="12">
        <f>IF(162&gt;NFixedA,"",IFERROR(IF(VLOOKUP(INDEX(PkFixedA,162),AcctTblA,4,0)="","(بدون نام)",VLOOKUP(INDEX(PkFixedA,162),AcctTblA,4,0)),"—"))</f>
        <v/>
      </c>
      <c r="C746" s="13">
        <f>IF($B746="","",IF(162&gt;NFixedA,"",INDEX(PkFixedA,162)))</f>
        <v/>
      </c>
      <c r="D746" s="12">
        <f>IF($B746="","","f")</f>
        <v/>
      </c>
      <c r="E746" s="14">
        <f>IF($B746="","",IF(162&gt;NFixedA,0,SUMIF(CalcDebit,INDEX(PkFixedA,162),CalcAmt)+SUMIF(CalcDebit2,INDEX(PkFixedA,162),CalcAmt2)))</f>
        <v/>
      </c>
      <c r="F746" s="14">
        <f>IF($B746="","",IF(162&gt;NFixedA,0,SUMIF(CalcCredit,INDEX(PkFixedA,162),CalcAmt)+SUMIF(CalcCredit2,INDEX(PkFixedA,162),CalcAmt2)))</f>
        <v/>
      </c>
      <c r="G746" s="15">
        <f>IF($B746="","",ROUND($E746-$F746,0))</f>
        <v/>
      </c>
      <c r="H746" s="12">
        <f>IF($B746="","",IF(ROUND($G746,0)&gt;0,"بدهکار",IF(ROUND($G746,0)&lt;0,"بستانکار","تسویه")))</f>
        <v/>
      </c>
    </row>
    <row r="747">
      <c r="A747" s="16">
        <f>IF($B747="","",738)</f>
        <v/>
      </c>
      <c r="B747" s="17">
        <f>IF(163&gt;NFixedA,"",IFERROR(IF(VLOOKUP(INDEX(PkFixedA,163),AcctTblA,4,0)="","(بدون نام)",VLOOKUP(INDEX(PkFixedA,163),AcctTblA,4,0)),"—"))</f>
        <v/>
      </c>
      <c r="C747" s="18">
        <f>IF($B747="","",IF(163&gt;NFixedA,"",INDEX(PkFixedA,163)))</f>
        <v/>
      </c>
      <c r="D747" s="17">
        <f>IF($B747="","","f")</f>
        <v/>
      </c>
      <c r="E747" s="19">
        <f>IF($B747="","",IF(163&gt;NFixedA,0,SUMIF(CalcDebit,INDEX(PkFixedA,163),CalcAmt)+SUMIF(CalcDebit2,INDEX(PkFixedA,163),CalcAmt2)))</f>
        <v/>
      </c>
      <c r="F747" s="19">
        <f>IF($B747="","",IF(163&gt;NFixedA,0,SUMIF(CalcCredit,INDEX(PkFixedA,163),CalcAmt)+SUMIF(CalcCredit2,INDEX(PkFixedA,163),CalcAmt2)))</f>
        <v/>
      </c>
      <c r="G747" s="20">
        <f>IF($B747="","",ROUND($E747-$F747,0))</f>
        <v/>
      </c>
      <c r="H747" s="17">
        <f>IF($B747="","",IF(ROUND($G747,0)&gt;0,"بدهکار",IF(ROUND($G747,0)&lt;0,"بستانکار","تسویه")))</f>
        <v/>
      </c>
    </row>
    <row r="748">
      <c r="A748" s="11">
        <f>IF($B748="","",739)</f>
        <v/>
      </c>
      <c r="B748" s="12">
        <f>IF(164&gt;NFixedA,"",IFERROR(IF(VLOOKUP(INDEX(PkFixedA,164),AcctTblA,4,0)="","(بدون نام)",VLOOKUP(INDEX(PkFixedA,164),AcctTblA,4,0)),"—"))</f>
        <v/>
      </c>
      <c r="C748" s="13">
        <f>IF($B748="","",IF(164&gt;NFixedA,"",INDEX(PkFixedA,164)))</f>
        <v/>
      </c>
      <c r="D748" s="12">
        <f>IF($B748="","","f")</f>
        <v/>
      </c>
      <c r="E748" s="14">
        <f>IF($B748="","",IF(164&gt;NFixedA,0,SUMIF(CalcDebit,INDEX(PkFixedA,164),CalcAmt)+SUMIF(CalcDebit2,INDEX(PkFixedA,164),CalcAmt2)))</f>
        <v/>
      </c>
      <c r="F748" s="14">
        <f>IF($B748="","",IF(164&gt;NFixedA,0,SUMIF(CalcCredit,INDEX(PkFixedA,164),CalcAmt)+SUMIF(CalcCredit2,INDEX(PkFixedA,164),CalcAmt2)))</f>
        <v/>
      </c>
      <c r="G748" s="15">
        <f>IF($B748="","",ROUND($E748-$F748,0))</f>
        <v/>
      </c>
      <c r="H748" s="12">
        <f>IF($B748="","",IF(ROUND($G748,0)&gt;0,"بدهکار",IF(ROUND($G748,0)&lt;0,"بستانکار","تسویه")))</f>
        <v/>
      </c>
    </row>
    <row r="749">
      <c r="A749" s="16">
        <f>IF($B749="","",740)</f>
        <v/>
      </c>
      <c r="B749" s="17">
        <f>IF(165&gt;NFixedA,"",IFERROR(IF(VLOOKUP(INDEX(PkFixedA,165),AcctTblA,4,0)="","(بدون نام)",VLOOKUP(INDEX(PkFixedA,165),AcctTblA,4,0)),"—"))</f>
        <v/>
      </c>
      <c r="C749" s="18">
        <f>IF($B749="","",IF(165&gt;NFixedA,"",INDEX(PkFixedA,165)))</f>
        <v/>
      </c>
      <c r="D749" s="17">
        <f>IF($B749="","","f")</f>
        <v/>
      </c>
      <c r="E749" s="19">
        <f>IF($B749="","",IF(165&gt;NFixedA,0,SUMIF(CalcDebit,INDEX(PkFixedA,165),CalcAmt)+SUMIF(CalcDebit2,INDEX(PkFixedA,165),CalcAmt2)))</f>
        <v/>
      </c>
      <c r="F749" s="19">
        <f>IF($B749="","",IF(165&gt;NFixedA,0,SUMIF(CalcCredit,INDEX(PkFixedA,165),CalcAmt)+SUMIF(CalcCredit2,INDEX(PkFixedA,165),CalcAmt2)))</f>
        <v/>
      </c>
      <c r="G749" s="20">
        <f>IF($B749="","",ROUND($E749-$F749,0))</f>
        <v/>
      </c>
      <c r="H749" s="17">
        <f>IF($B749="","",IF(ROUND($G749,0)&gt;0,"بدهکار",IF(ROUND($G749,0)&lt;0,"بستانکار","تسویه")))</f>
        <v/>
      </c>
    </row>
    <row r="750">
      <c r="A750" s="11">
        <f>IF($B750="","",741)</f>
        <v/>
      </c>
      <c r="B750" s="12">
        <f>IF(166&gt;NFixedA,"",IFERROR(IF(VLOOKUP(INDEX(PkFixedA,166),AcctTblA,4,0)="","(بدون نام)",VLOOKUP(INDEX(PkFixedA,166),AcctTblA,4,0)),"—"))</f>
        <v/>
      </c>
      <c r="C750" s="13">
        <f>IF($B750="","",IF(166&gt;NFixedA,"",INDEX(PkFixedA,166)))</f>
        <v/>
      </c>
      <c r="D750" s="12">
        <f>IF($B750="","","f")</f>
        <v/>
      </c>
      <c r="E750" s="14">
        <f>IF($B750="","",IF(166&gt;NFixedA,0,SUMIF(CalcDebit,INDEX(PkFixedA,166),CalcAmt)+SUMIF(CalcDebit2,INDEX(PkFixedA,166),CalcAmt2)))</f>
        <v/>
      </c>
      <c r="F750" s="14">
        <f>IF($B750="","",IF(166&gt;NFixedA,0,SUMIF(CalcCredit,INDEX(PkFixedA,166),CalcAmt)+SUMIF(CalcCredit2,INDEX(PkFixedA,166),CalcAmt2)))</f>
        <v/>
      </c>
      <c r="G750" s="15">
        <f>IF($B750="","",ROUND($E750-$F750,0))</f>
        <v/>
      </c>
      <c r="H750" s="12">
        <f>IF($B750="","",IF(ROUND($G750,0)&gt;0,"بدهکار",IF(ROUND($G750,0)&lt;0,"بستانکار","تسویه")))</f>
        <v/>
      </c>
    </row>
    <row r="751">
      <c r="A751" s="16">
        <f>IF($B751="","",742)</f>
        <v/>
      </c>
      <c r="B751" s="17">
        <f>IF(167&gt;NFixedA,"",IFERROR(IF(VLOOKUP(INDEX(PkFixedA,167),AcctTblA,4,0)="","(بدون نام)",VLOOKUP(INDEX(PkFixedA,167),AcctTblA,4,0)),"—"))</f>
        <v/>
      </c>
      <c r="C751" s="18">
        <f>IF($B751="","",IF(167&gt;NFixedA,"",INDEX(PkFixedA,167)))</f>
        <v/>
      </c>
      <c r="D751" s="17">
        <f>IF($B751="","","f")</f>
        <v/>
      </c>
      <c r="E751" s="19">
        <f>IF($B751="","",IF(167&gt;NFixedA,0,SUMIF(CalcDebit,INDEX(PkFixedA,167),CalcAmt)+SUMIF(CalcDebit2,INDEX(PkFixedA,167),CalcAmt2)))</f>
        <v/>
      </c>
      <c r="F751" s="19">
        <f>IF($B751="","",IF(167&gt;NFixedA,0,SUMIF(CalcCredit,INDEX(PkFixedA,167),CalcAmt)+SUMIF(CalcCredit2,INDEX(PkFixedA,167),CalcAmt2)))</f>
        <v/>
      </c>
      <c r="G751" s="20">
        <f>IF($B751="","",ROUND($E751-$F751,0))</f>
        <v/>
      </c>
      <c r="H751" s="17">
        <f>IF($B751="","",IF(ROUND($G751,0)&gt;0,"بدهکار",IF(ROUND($G751,0)&lt;0,"بستانکار","تسویه")))</f>
        <v/>
      </c>
    </row>
    <row r="752">
      <c r="A752" s="11">
        <f>IF($B752="","",743)</f>
        <v/>
      </c>
      <c r="B752" s="12">
        <f>IF(168&gt;NFixedA,"",IFERROR(IF(VLOOKUP(INDEX(PkFixedA,168),AcctTblA,4,0)="","(بدون نام)",VLOOKUP(INDEX(PkFixedA,168),AcctTblA,4,0)),"—"))</f>
        <v/>
      </c>
      <c r="C752" s="13">
        <f>IF($B752="","",IF(168&gt;NFixedA,"",INDEX(PkFixedA,168)))</f>
        <v/>
      </c>
      <c r="D752" s="12">
        <f>IF($B752="","","f")</f>
        <v/>
      </c>
      <c r="E752" s="14">
        <f>IF($B752="","",IF(168&gt;NFixedA,0,SUMIF(CalcDebit,INDEX(PkFixedA,168),CalcAmt)+SUMIF(CalcDebit2,INDEX(PkFixedA,168),CalcAmt2)))</f>
        <v/>
      </c>
      <c r="F752" s="14">
        <f>IF($B752="","",IF(168&gt;NFixedA,0,SUMIF(CalcCredit,INDEX(PkFixedA,168),CalcAmt)+SUMIF(CalcCredit2,INDEX(PkFixedA,168),CalcAmt2)))</f>
        <v/>
      </c>
      <c r="G752" s="15">
        <f>IF($B752="","",ROUND($E752-$F752,0))</f>
        <v/>
      </c>
      <c r="H752" s="12">
        <f>IF($B752="","",IF(ROUND($G752,0)&gt;0,"بدهکار",IF(ROUND($G752,0)&lt;0,"بستانکار","تسویه")))</f>
        <v/>
      </c>
    </row>
    <row r="753">
      <c r="A753" s="16">
        <f>IF($B753="","",744)</f>
        <v/>
      </c>
      <c r="B753" s="17">
        <f>IF(169&gt;NFixedA,"",IFERROR(IF(VLOOKUP(INDEX(PkFixedA,169),AcctTblA,4,0)="","(بدون نام)",VLOOKUP(INDEX(PkFixedA,169),AcctTblA,4,0)),"—"))</f>
        <v/>
      </c>
      <c r="C753" s="18">
        <f>IF($B753="","",IF(169&gt;NFixedA,"",INDEX(PkFixedA,169)))</f>
        <v/>
      </c>
      <c r="D753" s="17">
        <f>IF($B753="","","f")</f>
        <v/>
      </c>
      <c r="E753" s="19">
        <f>IF($B753="","",IF(169&gt;NFixedA,0,SUMIF(CalcDebit,INDEX(PkFixedA,169),CalcAmt)+SUMIF(CalcDebit2,INDEX(PkFixedA,169),CalcAmt2)))</f>
        <v/>
      </c>
      <c r="F753" s="19">
        <f>IF($B753="","",IF(169&gt;NFixedA,0,SUMIF(CalcCredit,INDEX(PkFixedA,169),CalcAmt)+SUMIF(CalcCredit2,INDEX(PkFixedA,169),CalcAmt2)))</f>
        <v/>
      </c>
      <c r="G753" s="20">
        <f>IF($B753="","",ROUND($E753-$F753,0))</f>
        <v/>
      </c>
      <c r="H753" s="17">
        <f>IF($B753="","",IF(ROUND($G753,0)&gt;0,"بدهکار",IF(ROUND($G753,0)&lt;0,"بستانکار","تسویه")))</f>
        <v/>
      </c>
    </row>
    <row r="754">
      <c r="A754" s="11">
        <f>IF($B754="","",745)</f>
        <v/>
      </c>
      <c r="B754" s="12">
        <f>IF(170&gt;NFixedA,"",IFERROR(IF(VLOOKUP(INDEX(PkFixedA,170),AcctTblA,4,0)="","(بدون نام)",VLOOKUP(INDEX(PkFixedA,170),AcctTblA,4,0)),"—"))</f>
        <v/>
      </c>
      <c r="C754" s="13">
        <f>IF($B754="","",IF(170&gt;NFixedA,"",INDEX(PkFixedA,170)))</f>
        <v/>
      </c>
      <c r="D754" s="12">
        <f>IF($B754="","","f")</f>
        <v/>
      </c>
      <c r="E754" s="14">
        <f>IF($B754="","",IF(170&gt;NFixedA,0,SUMIF(CalcDebit,INDEX(PkFixedA,170),CalcAmt)+SUMIF(CalcDebit2,INDEX(PkFixedA,170),CalcAmt2)))</f>
        <v/>
      </c>
      <c r="F754" s="14">
        <f>IF($B754="","",IF(170&gt;NFixedA,0,SUMIF(CalcCredit,INDEX(PkFixedA,170),CalcAmt)+SUMIF(CalcCredit2,INDEX(PkFixedA,170),CalcAmt2)))</f>
        <v/>
      </c>
      <c r="G754" s="15">
        <f>IF($B754="","",ROUND($E754-$F754,0))</f>
        <v/>
      </c>
      <c r="H754" s="12">
        <f>IF($B754="","",IF(ROUND($G754,0)&gt;0,"بدهکار",IF(ROUND($G754,0)&lt;0,"بستانکار","تسویه")))</f>
        <v/>
      </c>
    </row>
    <row r="755">
      <c r="A755" s="16">
        <f>IF($B755="","",746)</f>
        <v/>
      </c>
      <c r="B755" s="17">
        <f>IF(171&gt;NFixedA,"",IFERROR(IF(VLOOKUP(INDEX(PkFixedA,171),AcctTblA,4,0)="","(بدون نام)",VLOOKUP(INDEX(PkFixedA,171),AcctTblA,4,0)),"—"))</f>
        <v/>
      </c>
      <c r="C755" s="18">
        <f>IF($B755="","",IF(171&gt;NFixedA,"",INDEX(PkFixedA,171)))</f>
        <v/>
      </c>
      <c r="D755" s="17">
        <f>IF($B755="","","f")</f>
        <v/>
      </c>
      <c r="E755" s="19">
        <f>IF($B755="","",IF(171&gt;NFixedA,0,SUMIF(CalcDebit,INDEX(PkFixedA,171),CalcAmt)+SUMIF(CalcDebit2,INDEX(PkFixedA,171),CalcAmt2)))</f>
        <v/>
      </c>
      <c r="F755" s="19">
        <f>IF($B755="","",IF(171&gt;NFixedA,0,SUMIF(CalcCredit,INDEX(PkFixedA,171),CalcAmt)+SUMIF(CalcCredit2,INDEX(PkFixedA,171),CalcAmt2)))</f>
        <v/>
      </c>
      <c r="G755" s="20">
        <f>IF($B755="","",ROUND($E755-$F755,0))</f>
        <v/>
      </c>
      <c r="H755" s="17">
        <f>IF($B755="","",IF(ROUND($G755,0)&gt;0,"بدهکار",IF(ROUND($G755,0)&lt;0,"بستانکار","تسویه")))</f>
        <v/>
      </c>
    </row>
    <row r="756">
      <c r="A756" s="11">
        <f>IF($B756="","",747)</f>
        <v/>
      </c>
      <c r="B756" s="12">
        <f>IF(172&gt;NFixedA,"",IFERROR(IF(VLOOKUP(INDEX(PkFixedA,172),AcctTblA,4,0)="","(بدون نام)",VLOOKUP(INDEX(PkFixedA,172),AcctTblA,4,0)),"—"))</f>
        <v/>
      </c>
      <c r="C756" s="13">
        <f>IF($B756="","",IF(172&gt;NFixedA,"",INDEX(PkFixedA,172)))</f>
        <v/>
      </c>
      <c r="D756" s="12">
        <f>IF($B756="","","f")</f>
        <v/>
      </c>
      <c r="E756" s="14">
        <f>IF($B756="","",IF(172&gt;NFixedA,0,SUMIF(CalcDebit,INDEX(PkFixedA,172),CalcAmt)+SUMIF(CalcDebit2,INDEX(PkFixedA,172),CalcAmt2)))</f>
        <v/>
      </c>
      <c r="F756" s="14">
        <f>IF($B756="","",IF(172&gt;NFixedA,0,SUMIF(CalcCredit,INDEX(PkFixedA,172),CalcAmt)+SUMIF(CalcCredit2,INDEX(PkFixedA,172),CalcAmt2)))</f>
        <v/>
      </c>
      <c r="G756" s="15">
        <f>IF($B756="","",ROUND($E756-$F756,0))</f>
        <v/>
      </c>
      <c r="H756" s="12">
        <f>IF($B756="","",IF(ROUND($G756,0)&gt;0,"بدهکار",IF(ROUND($G756,0)&lt;0,"بستانکار","تسویه")))</f>
        <v/>
      </c>
    </row>
    <row r="757">
      <c r="A757" s="16">
        <f>IF($B757="","",748)</f>
        <v/>
      </c>
      <c r="B757" s="17">
        <f>IF(173&gt;NFixedA,"",IFERROR(IF(VLOOKUP(INDEX(PkFixedA,173),AcctTblA,4,0)="","(بدون نام)",VLOOKUP(INDEX(PkFixedA,173),AcctTblA,4,0)),"—"))</f>
        <v/>
      </c>
      <c r="C757" s="18">
        <f>IF($B757="","",IF(173&gt;NFixedA,"",INDEX(PkFixedA,173)))</f>
        <v/>
      </c>
      <c r="D757" s="17">
        <f>IF($B757="","","f")</f>
        <v/>
      </c>
      <c r="E757" s="19">
        <f>IF($B757="","",IF(173&gt;NFixedA,0,SUMIF(CalcDebit,INDEX(PkFixedA,173),CalcAmt)+SUMIF(CalcDebit2,INDEX(PkFixedA,173),CalcAmt2)))</f>
        <v/>
      </c>
      <c r="F757" s="19">
        <f>IF($B757="","",IF(173&gt;NFixedA,0,SUMIF(CalcCredit,INDEX(PkFixedA,173),CalcAmt)+SUMIF(CalcCredit2,INDEX(PkFixedA,173),CalcAmt2)))</f>
        <v/>
      </c>
      <c r="G757" s="20">
        <f>IF($B757="","",ROUND($E757-$F757,0))</f>
        <v/>
      </c>
      <c r="H757" s="17">
        <f>IF($B757="","",IF(ROUND($G757,0)&gt;0,"بدهکار",IF(ROUND($G757,0)&lt;0,"بستانکار","تسویه")))</f>
        <v/>
      </c>
    </row>
    <row r="758">
      <c r="A758" s="11">
        <f>IF($B758="","",749)</f>
        <v/>
      </c>
      <c r="B758" s="12">
        <f>IF(174&gt;NFixedA,"",IFERROR(IF(VLOOKUP(INDEX(PkFixedA,174),AcctTblA,4,0)="","(بدون نام)",VLOOKUP(INDEX(PkFixedA,174),AcctTblA,4,0)),"—"))</f>
        <v/>
      </c>
      <c r="C758" s="13">
        <f>IF($B758="","",IF(174&gt;NFixedA,"",INDEX(PkFixedA,174)))</f>
        <v/>
      </c>
      <c r="D758" s="12">
        <f>IF($B758="","","f")</f>
        <v/>
      </c>
      <c r="E758" s="14">
        <f>IF($B758="","",IF(174&gt;NFixedA,0,SUMIF(CalcDebit,INDEX(PkFixedA,174),CalcAmt)+SUMIF(CalcDebit2,INDEX(PkFixedA,174),CalcAmt2)))</f>
        <v/>
      </c>
      <c r="F758" s="14">
        <f>IF($B758="","",IF(174&gt;NFixedA,0,SUMIF(CalcCredit,INDEX(PkFixedA,174),CalcAmt)+SUMIF(CalcCredit2,INDEX(PkFixedA,174),CalcAmt2)))</f>
        <v/>
      </c>
      <c r="G758" s="15">
        <f>IF($B758="","",ROUND($E758-$F758,0))</f>
        <v/>
      </c>
      <c r="H758" s="12">
        <f>IF($B758="","",IF(ROUND($G758,0)&gt;0,"بدهکار",IF(ROUND($G758,0)&lt;0,"بستانکار","تسویه")))</f>
        <v/>
      </c>
    </row>
    <row r="759">
      <c r="A759" s="16">
        <f>IF($B759="","",750)</f>
        <v/>
      </c>
      <c r="B759" s="17">
        <f>IF(175&gt;NFixedA,"",IFERROR(IF(VLOOKUP(INDEX(PkFixedA,175),AcctTblA,4,0)="","(بدون نام)",VLOOKUP(INDEX(PkFixedA,175),AcctTblA,4,0)),"—"))</f>
        <v/>
      </c>
      <c r="C759" s="18">
        <f>IF($B759="","",IF(175&gt;NFixedA,"",INDEX(PkFixedA,175)))</f>
        <v/>
      </c>
      <c r="D759" s="17">
        <f>IF($B759="","","f")</f>
        <v/>
      </c>
      <c r="E759" s="19">
        <f>IF($B759="","",IF(175&gt;NFixedA,0,SUMIF(CalcDebit,INDEX(PkFixedA,175),CalcAmt)+SUMIF(CalcDebit2,INDEX(PkFixedA,175),CalcAmt2)))</f>
        <v/>
      </c>
      <c r="F759" s="19">
        <f>IF($B759="","",IF(175&gt;NFixedA,0,SUMIF(CalcCredit,INDEX(PkFixedA,175),CalcAmt)+SUMIF(CalcCredit2,INDEX(PkFixedA,175),CalcAmt2)))</f>
        <v/>
      </c>
      <c r="G759" s="20">
        <f>IF($B759="","",ROUND($E759-$F759,0))</f>
        <v/>
      </c>
      <c r="H759" s="17">
        <f>IF($B759="","",IF(ROUND($G759,0)&gt;0,"بدهکار",IF(ROUND($G759,0)&lt;0,"بستانکار","تسویه")))</f>
        <v/>
      </c>
    </row>
    <row r="760">
      <c r="A760" s="11">
        <f>IF($B760="","",751)</f>
        <v/>
      </c>
      <c r="B760" s="12">
        <f>IF(176&gt;NFixedA,"",IFERROR(IF(VLOOKUP(INDEX(PkFixedA,176),AcctTblA,4,0)="","(بدون نام)",VLOOKUP(INDEX(PkFixedA,176),AcctTblA,4,0)),"—"))</f>
        <v/>
      </c>
      <c r="C760" s="13">
        <f>IF($B760="","",IF(176&gt;NFixedA,"",INDEX(PkFixedA,176)))</f>
        <v/>
      </c>
      <c r="D760" s="12">
        <f>IF($B760="","","f")</f>
        <v/>
      </c>
      <c r="E760" s="14">
        <f>IF($B760="","",IF(176&gt;NFixedA,0,SUMIF(CalcDebit,INDEX(PkFixedA,176),CalcAmt)+SUMIF(CalcDebit2,INDEX(PkFixedA,176),CalcAmt2)))</f>
        <v/>
      </c>
      <c r="F760" s="14">
        <f>IF($B760="","",IF(176&gt;NFixedA,0,SUMIF(CalcCredit,INDEX(PkFixedA,176),CalcAmt)+SUMIF(CalcCredit2,INDEX(PkFixedA,176),CalcAmt2)))</f>
        <v/>
      </c>
      <c r="G760" s="15">
        <f>IF($B760="","",ROUND($E760-$F760,0))</f>
        <v/>
      </c>
      <c r="H760" s="12">
        <f>IF($B760="","",IF(ROUND($G760,0)&gt;0,"بدهکار",IF(ROUND($G760,0)&lt;0,"بستانکار","تسویه")))</f>
        <v/>
      </c>
    </row>
    <row r="761">
      <c r="A761" s="16">
        <f>IF($B761="","",752)</f>
        <v/>
      </c>
      <c r="B761" s="17">
        <f>IF(177&gt;NFixedA,"",IFERROR(IF(VLOOKUP(INDEX(PkFixedA,177),AcctTblA,4,0)="","(بدون نام)",VLOOKUP(INDEX(PkFixedA,177),AcctTblA,4,0)),"—"))</f>
        <v/>
      </c>
      <c r="C761" s="18">
        <f>IF($B761="","",IF(177&gt;NFixedA,"",INDEX(PkFixedA,177)))</f>
        <v/>
      </c>
      <c r="D761" s="17">
        <f>IF($B761="","","f")</f>
        <v/>
      </c>
      <c r="E761" s="19">
        <f>IF($B761="","",IF(177&gt;NFixedA,0,SUMIF(CalcDebit,INDEX(PkFixedA,177),CalcAmt)+SUMIF(CalcDebit2,INDEX(PkFixedA,177),CalcAmt2)))</f>
        <v/>
      </c>
      <c r="F761" s="19">
        <f>IF($B761="","",IF(177&gt;NFixedA,0,SUMIF(CalcCredit,INDEX(PkFixedA,177),CalcAmt)+SUMIF(CalcCredit2,INDEX(PkFixedA,177),CalcAmt2)))</f>
        <v/>
      </c>
      <c r="G761" s="20">
        <f>IF($B761="","",ROUND($E761-$F761,0))</f>
        <v/>
      </c>
      <c r="H761" s="17">
        <f>IF($B761="","",IF(ROUND($G761,0)&gt;0,"بدهکار",IF(ROUND($G761,0)&lt;0,"بستانکار","تسویه")))</f>
        <v/>
      </c>
    </row>
    <row r="762">
      <c r="A762" s="11">
        <f>IF($B762="","",753)</f>
        <v/>
      </c>
      <c r="B762" s="12">
        <f>IF(178&gt;NFixedA,"",IFERROR(IF(VLOOKUP(INDEX(PkFixedA,178),AcctTblA,4,0)="","(بدون نام)",VLOOKUP(INDEX(PkFixedA,178),AcctTblA,4,0)),"—"))</f>
        <v/>
      </c>
      <c r="C762" s="13">
        <f>IF($B762="","",IF(178&gt;NFixedA,"",INDEX(PkFixedA,178)))</f>
        <v/>
      </c>
      <c r="D762" s="12">
        <f>IF($B762="","","f")</f>
        <v/>
      </c>
      <c r="E762" s="14">
        <f>IF($B762="","",IF(178&gt;NFixedA,0,SUMIF(CalcDebit,INDEX(PkFixedA,178),CalcAmt)+SUMIF(CalcDebit2,INDEX(PkFixedA,178),CalcAmt2)))</f>
        <v/>
      </c>
      <c r="F762" s="14">
        <f>IF($B762="","",IF(178&gt;NFixedA,0,SUMIF(CalcCredit,INDEX(PkFixedA,178),CalcAmt)+SUMIF(CalcCredit2,INDEX(PkFixedA,178),CalcAmt2)))</f>
        <v/>
      </c>
      <c r="G762" s="15">
        <f>IF($B762="","",ROUND($E762-$F762,0))</f>
        <v/>
      </c>
      <c r="H762" s="12">
        <f>IF($B762="","",IF(ROUND($G762,0)&gt;0,"بدهکار",IF(ROUND($G762,0)&lt;0,"بستانکار","تسویه")))</f>
        <v/>
      </c>
    </row>
    <row r="763">
      <c r="A763" s="16">
        <f>IF($B763="","",754)</f>
        <v/>
      </c>
      <c r="B763" s="17">
        <f>IF(179&gt;NFixedA,"",IFERROR(IF(VLOOKUP(INDEX(PkFixedA,179),AcctTblA,4,0)="","(بدون نام)",VLOOKUP(INDEX(PkFixedA,179),AcctTblA,4,0)),"—"))</f>
        <v/>
      </c>
      <c r="C763" s="18">
        <f>IF($B763="","",IF(179&gt;NFixedA,"",INDEX(PkFixedA,179)))</f>
        <v/>
      </c>
      <c r="D763" s="17">
        <f>IF($B763="","","f")</f>
        <v/>
      </c>
      <c r="E763" s="19">
        <f>IF($B763="","",IF(179&gt;NFixedA,0,SUMIF(CalcDebit,INDEX(PkFixedA,179),CalcAmt)+SUMIF(CalcDebit2,INDEX(PkFixedA,179),CalcAmt2)))</f>
        <v/>
      </c>
      <c r="F763" s="19">
        <f>IF($B763="","",IF(179&gt;NFixedA,0,SUMIF(CalcCredit,INDEX(PkFixedA,179),CalcAmt)+SUMIF(CalcCredit2,INDEX(PkFixedA,179),CalcAmt2)))</f>
        <v/>
      </c>
      <c r="G763" s="20">
        <f>IF($B763="","",ROUND($E763-$F763,0))</f>
        <v/>
      </c>
      <c r="H763" s="17">
        <f>IF($B763="","",IF(ROUND($G763,0)&gt;0,"بدهکار",IF(ROUND($G763,0)&lt;0,"بستانکار","تسویه")))</f>
        <v/>
      </c>
    </row>
    <row r="764">
      <c r="A764" s="11">
        <f>IF($B764="","",755)</f>
        <v/>
      </c>
      <c r="B764" s="12">
        <f>IF(180&gt;NFixedA,"",IFERROR(IF(VLOOKUP(INDEX(PkFixedA,180),AcctTblA,4,0)="","(بدون نام)",VLOOKUP(INDEX(PkFixedA,180),AcctTblA,4,0)),"—"))</f>
        <v/>
      </c>
      <c r="C764" s="13">
        <f>IF($B764="","",IF(180&gt;NFixedA,"",INDEX(PkFixedA,180)))</f>
        <v/>
      </c>
      <c r="D764" s="12">
        <f>IF($B764="","","f")</f>
        <v/>
      </c>
      <c r="E764" s="14">
        <f>IF($B764="","",IF(180&gt;NFixedA,0,SUMIF(CalcDebit,INDEX(PkFixedA,180),CalcAmt)+SUMIF(CalcDebit2,INDEX(PkFixedA,180),CalcAmt2)))</f>
        <v/>
      </c>
      <c r="F764" s="14">
        <f>IF($B764="","",IF(180&gt;NFixedA,0,SUMIF(CalcCredit,INDEX(PkFixedA,180),CalcAmt)+SUMIF(CalcCredit2,INDEX(PkFixedA,180),CalcAmt2)))</f>
        <v/>
      </c>
      <c r="G764" s="15">
        <f>IF($B764="","",ROUND($E764-$F764,0))</f>
        <v/>
      </c>
      <c r="H764" s="12">
        <f>IF($B764="","",IF(ROUND($G764,0)&gt;0,"بدهکار",IF(ROUND($G764,0)&lt;0,"بستانکار","تسویه")))</f>
        <v/>
      </c>
    </row>
    <row r="765">
      <c r="A765" s="16">
        <f>IF($B765="","",756)</f>
        <v/>
      </c>
      <c r="B765" s="17">
        <f>IF(181&gt;NFixedA,"",IFERROR(IF(VLOOKUP(INDEX(PkFixedA,181),AcctTblA,4,0)="","(بدون نام)",VLOOKUP(INDEX(PkFixedA,181),AcctTblA,4,0)),"—"))</f>
        <v/>
      </c>
      <c r="C765" s="18">
        <f>IF($B765="","",IF(181&gt;NFixedA,"",INDEX(PkFixedA,181)))</f>
        <v/>
      </c>
      <c r="D765" s="17">
        <f>IF($B765="","","f")</f>
        <v/>
      </c>
      <c r="E765" s="19">
        <f>IF($B765="","",IF(181&gt;NFixedA,0,SUMIF(CalcDebit,INDEX(PkFixedA,181),CalcAmt)+SUMIF(CalcDebit2,INDEX(PkFixedA,181),CalcAmt2)))</f>
        <v/>
      </c>
      <c r="F765" s="19">
        <f>IF($B765="","",IF(181&gt;NFixedA,0,SUMIF(CalcCredit,INDEX(PkFixedA,181),CalcAmt)+SUMIF(CalcCredit2,INDEX(PkFixedA,181),CalcAmt2)))</f>
        <v/>
      </c>
      <c r="G765" s="20">
        <f>IF($B765="","",ROUND($E765-$F765,0))</f>
        <v/>
      </c>
      <c r="H765" s="17">
        <f>IF($B765="","",IF(ROUND($G765,0)&gt;0,"بدهکار",IF(ROUND($G765,0)&lt;0,"بستانکار","تسویه")))</f>
        <v/>
      </c>
    </row>
    <row r="766">
      <c r="A766" s="11">
        <f>IF($B766="","",757)</f>
        <v/>
      </c>
      <c r="B766" s="12">
        <f>IF(182&gt;NFixedA,"",IFERROR(IF(VLOOKUP(INDEX(PkFixedA,182),AcctTblA,4,0)="","(بدون نام)",VLOOKUP(INDEX(PkFixedA,182),AcctTblA,4,0)),"—"))</f>
        <v/>
      </c>
      <c r="C766" s="13">
        <f>IF($B766="","",IF(182&gt;NFixedA,"",INDEX(PkFixedA,182)))</f>
        <v/>
      </c>
      <c r="D766" s="12">
        <f>IF($B766="","","f")</f>
        <v/>
      </c>
      <c r="E766" s="14">
        <f>IF($B766="","",IF(182&gt;NFixedA,0,SUMIF(CalcDebit,INDEX(PkFixedA,182),CalcAmt)+SUMIF(CalcDebit2,INDEX(PkFixedA,182),CalcAmt2)))</f>
        <v/>
      </c>
      <c r="F766" s="14">
        <f>IF($B766="","",IF(182&gt;NFixedA,0,SUMIF(CalcCredit,INDEX(PkFixedA,182),CalcAmt)+SUMIF(CalcCredit2,INDEX(PkFixedA,182),CalcAmt2)))</f>
        <v/>
      </c>
      <c r="G766" s="15">
        <f>IF($B766="","",ROUND($E766-$F766,0))</f>
        <v/>
      </c>
      <c r="H766" s="12">
        <f>IF($B766="","",IF(ROUND($G766,0)&gt;0,"بدهکار",IF(ROUND($G766,0)&lt;0,"بستانکار","تسویه")))</f>
        <v/>
      </c>
    </row>
    <row r="767">
      <c r="A767" s="16">
        <f>IF($B767="","",758)</f>
        <v/>
      </c>
      <c r="B767" s="17">
        <f>IF(183&gt;NFixedA,"",IFERROR(IF(VLOOKUP(INDEX(PkFixedA,183),AcctTblA,4,0)="","(بدون نام)",VLOOKUP(INDEX(PkFixedA,183),AcctTblA,4,0)),"—"))</f>
        <v/>
      </c>
      <c r="C767" s="18">
        <f>IF($B767="","",IF(183&gt;NFixedA,"",INDEX(PkFixedA,183)))</f>
        <v/>
      </c>
      <c r="D767" s="17">
        <f>IF($B767="","","f")</f>
        <v/>
      </c>
      <c r="E767" s="19">
        <f>IF($B767="","",IF(183&gt;NFixedA,0,SUMIF(CalcDebit,INDEX(PkFixedA,183),CalcAmt)+SUMIF(CalcDebit2,INDEX(PkFixedA,183),CalcAmt2)))</f>
        <v/>
      </c>
      <c r="F767" s="19">
        <f>IF($B767="","",IF(183&gt;NFixedA,0,SUMIF(CalcCredit,INDEX(PkFixedA,183),CalcAmt)+SUMIF(CalcCredit2,INDEX(PkFixedA,183),CalcAmt2)))</f>
        <v/>
      </c>
      <c r="G767" s="20">
        <f>IF($B767="","",ROUND($E767-$F767,0))</f>
        <v/>
      </c>
      <c r="H767" s="17">
        <f>IF($B767="","",IF(ROUND($G767,0)&gt;0,"بدهکار",IF(ROUND($G767,0)&lt;0,"بستانکار","تسویه")))</f>
        <v/>
      </c>
    </row>
    <row r="768">
      <c r="A768" s="11">
        <f>IF($B768="","",759)</f>
        <v/>
      </c>
      <c r="B768" s="12">
        <f>IF(184&gt;NFixedA,"",IFERROR(IF(VLOOKUP(INDEX(PkFixedA,184),AcctTblA,4,0)="","(بدون نام)",VLOOKUP(INDEX(PkFixedA,184),AcctTblA,4,0)),"—"))</f>
        <v/>
      </c>
      <c r="C768" s="13">
        <f>IF($B768="","",IF(184&gt;NFixedA,"",INDEX(PkFixedA,184)))</f>
        <v/>
      </c>
      <c r="D768" s="12">
        <f>IF($B768="","","f")</f>
        <v/>
      </c>
      <c r="E768" s="14">
        <f>IF($B768="","",IF(184&gt;NFixedA,0,SUMIF(CalcDebit,INDEX(PkFixedA,184),CalcAmt)+SUMIF(CalcDebit2,INDEX(PkFixedA,184),CalcAmt2)))</f>
        <v/>
      </c>
      <c r="F768" s="14">
        <f>IF($B768="","",IF(184&gt;NFixedA,0,SUMIF(CalcCredit,INDEX(PkFixedA,184),CalcAmt)+SUMIF(CalcCredit2,INDEX(PkFixedA,184),CalcAmt2)))</f>
        <v/>
      </c>
      <c r="G768" s="15">
        <f>IF($B768="","",ROUND($E768-$F768,0))</f>
        <v/>
      </c>
      <c r="H768" s="12">
        <f>IF($B768="","",IF(ROUND($G768,0)&gt;0,"بدهکار",IF(ROUND($G768,0)&lt;0,"بستانکار","تسویه")))</f>
        <v/>
      </c>
    </row>
    <row r="769">
      <c r="A769" s="16">
        <f>IF($B769="","",760)</f>
        <v/>
      </c>
      <c r="B769" s="17">
        <f>IF(185&gt;NFixedA,"",IFERROR(IF(VLOOKUP(INDEX(PkFixedA,185),AcctTblA,4,0)="","(بدون نام)",VLOOKUP(INDEX(PkFixedA,185),AcctTblA,4,0)),"—"))</f>
        <v/>
      </c>
      <c r="C769" s="18">
        <f>IF($B769="","",IF(185&gt;NFixedA,"",INDEX(PkFixedA,185)))</f>
        <v/>
      </c>
      <c r="D769" s="17">
        <f>IF($B769="","","f")</f>
        <v/>
      </c>
      <c r="E769" s="19">
        <f>IF($B769="","",IF(185&gt;NFixedA,0,SUMIF(CalcDebit,INDEX(PkFixedA,185),CalcAmt)+SUMIF(CalcDebit2,INDEX(PkFixedA,185),CalcAmt2)))</f>
        <v/>
      </c>
      <c r="F769" s="19">
        <f>IF($B769="","",IF(185&gt;NFixedA,0,SUMIF(CalcCredit,INDEX(PkFixedA,185),CalcAmt)+SUMIF(CalcCredit2,INDEX(PkFixedA,185),CalcAmt2)))</f>
        <v/>
      </c>
      <c r="G769" s="20">
        <f>IF($B769="","",ROUND($E769-$F769,0))</f>
        <v/>
      </c>
      <c r="H769" s="17">
        <f>IF($B769="","",IF(ROUND($G769,0)&gt;0,"بدهکار",IF(ROUND($G769,0)&lt;0,"بستانکار","تسویه")))</f>
        <v/>
      </c>
    </row>
    <row r="770">
      <c r="A770" s="11">
        <f>IF($B770="","",761)</f>
        <v/>
      </c>
      <c r="B770" s="12">
        <f>IF(186&gt;NFixedA,"",IFERROR(IF(VLOOKUP(INDEX(PkFixedA,186),AcctTblA,4,0)="","(بدون نام)",VLOOKUP(INDEX(PkFixedA,186),AcctTblA,4,0)),"—"))</f>
        <v/>
      </c>
      <c r="C770" s="13">
        <f>IF($B770="","",IF(186&gt;NFixedA,"",INDEX(PkFixedA,186)))</f>
        <v/>
      </c>
      <c r="D770" s="12">
        <f>IF($B770="","","f")</f>
        <v/>
      </c>
      <c r="E770" s="14">
        <f>IF($B770="","",IF(186&gt;NFixedA,0,SUMIF(CalcDebit,INDEX(PkFixedA,186),CalcAmt)+SUMIF(CalcDebit2,INDEX(PkFixedA,186),CalcAmt2)))</f>
        <v/>
      </c>
      <c r="F770" s="14">
        <f>IF($B770="","",IF(186&gt;NFixedA,0,SUMIF(CalcCredit,INDEX(PkFixedA,186),CalcAmt)+SUMIF(CalcCredit2,INDEX(PkFixedA,186),CalcAmt2)))</f>
        <v/>
      </c>
      <c r="G770" s="15">
        <f>IF($B770="","",ROUND($E770-$F770,0))</f>
        <v/>
      </c>
      <c r="H770" s="12">
        <f>IF($B770="","",IF(ROUND($G770,0)&gt;0,"بدهکار",IF(ROUND($G770,0)&lt;0,"بستانکار","تسویه")))</f>
        <v/>
      </c>
    </row>
    <row r="771">
      <c r="A771" s="16">
        <f>IF($B771="","",762)</f>
        <v/>
      </c>
      <c r="B771" s="17">
        <f>IF(187&gt;NFixedA,"",IFERROR(IF(VLOOKUP(INDEX(PkFixedA,187),AcctTblA,4,0)="","(بدون نام)",VLOOKUP(INDEX(PkFixedA,187),AcctTblA,4,0)),"—"))</f>
        <v/>
      </c>
      <c r="C771" s="18">
        <f>IF($B771="","",IF(187&gt;NFixedA,"",INDEX(PkFixedA,187)))</f>
        <v/>
      </c>
      <c r="D771" s="17">
        <f>IF($B771="","","f")</f>
        <v/>
      </c>
      <c r="E771" s="19">
        <f>IF($B771="","",IF(187&gt;NFixedA,0,SUMIF(CalcDebit,INDEX(PkFixedA,187),CalcAmt)+SUMIF(CalcDebit2,INDEX(PkFixedA,187),CalcAmt2)))</f>
        <v/>
      </c>
      <c r="F771" s="19">
        <f>IF($B771="","",IF(187&gt;NFixedA,0,SUMIF(CalcCredit,INDEX(PkFixedA,187),CalcAmt)+SUMIF(CalcCredit2,INDEX(PkFixedA,187),CalcAmt2)))</f>
        <v/>
      </c>
      <c r="G771" s="20">
        <f>IF($B771="","",ROUND($E771-$F771,0))</f>
        <v/>
      </c>
      <c r="H771" s="17">
        <f>IF($B771="","",IF(ROUND($G771,0)&gt;0,"بدهکار",IF(ROUND($G771,0)&lt;0,"بستانکار","تسویه")))</f>
        <v/>
      </c>
    </row>
    <row r="772">
      <c r="A772" s="11">
        <f>IF($B772="","",763)</f>
        <v/>
      </c>
      <c r="B772" s="12">
        <f>IF(188&gt;NFixedA,"",IFERROR(IF(VLOOKUP(INDEX(PkFixedA,188),AcctTblA,4,0)="","(بدون نام)",VLOOKUP(INDEX(PkFixedA,188),AcctTblA,4,0)),"—"))</f>
        <v/>
      </c>
      <c r="C772" s="13">
        <f>IF($B772="","",IF(188&gt;NFixedA,"",INDEX(PkFixedA,188)))</f>
        <v/>
      </c>
      <c r="D772" s="12">
        <f>IF($B772="","","f")</f>
        <v/>
      </c>
      <c r="E772" s="14">
        <f>IF($B772="","",IF(188&gt;NFixedA,0,SUMIF(CalcDebit,INDEX(PkFixedA,188),CalcAmt)+SUMIF(CalcDebit2,INDEX(PkFixedA,188),CalcAmt2)))</f>
        <v/>
      </c>
      <c r="F772" s="14">
        <f>IF($B772="","",IF(188&gt;NFixedA,0,SUMIF(CalcCredit,INDEX(PkFixedA,188),CalcAmt)+SUMIF(CalcCredit2,INDEX(PkFixedA,188),CalcAmt2)))</f>
        <v/>
      </c>
      <c r="G772" s="15">
        <f>IF($B772="","",ROUND($E772-$F772,0))</f>
        <v/>
      </c>
      <c r="H772" s="12">
        <f>IF($B772="","",IF(ROUND($G772,0)&gt;0,"بدهکار",IF(ROUND($G772,0)&lt;0,"بستانکار","تسویه")))</f>
        <v/>
      </c>
    </row>
    <row r="773">
      <c r="A773" s="16">
        <f>IF($B773="","",764)</f>
        <v/>
      </c>
      <c r="B773" s="17">
        <f>IF(189&gt;NFixedA,"",IFERROR(IF(VLOOKUP(INDEX(PkFixedA,189),AcctTblA,4,0)="","(بدون نام)",VLOOKUP(INDEX(PkFixedA,189),AcctTblA,4,0)),"—"))</f>
        <v/>
      </c>
      <c r="C773" s="18">
        <f>IF($B773="","",IF(189&gt;NFixedA,"",INDEX(PkFixedA,189)))</f>
        <v/>
      </c>
      <c r="D773" s="17">
        <f>IF($B773="","","f")</f>
        <v/>
      </c>
      <c r="E773" s="19">
        <f>IF($B773="","",IF(189&gt;NFixedA,0,SUMIF(CalcDebit,INDEX(PkFixedA,189),CalcAmt)+SUMIF(CalcDebit2,INDEX(PkFixedA,189),CalcAmt2)))</f>
        <v/>
      </c>
      <c r="F773" s="19">
        <f>IF($B773="","",IF(189&gt;NFixedA,0,SUMIF(CalcCredit,INDEX(PkFixedA,189),CalcAmt)+SUMIF(CalcCredit2,INDEX(PkFixedA,189),CalcAmt2)))</f>
        <v/>
      </c>
      <c r="G773" s="20">
        <f>IF($B773="","",ROUND($E773-$F773,0))</f>
        <v/>
      </c>
      <c r="H773" s="17">
        <f>IF($B773="","",IF(ROUND($G773,0)&gt;0,"بدهکار",IF(ROUND($G773,0)&lt;0,"بستانکار","تسویه")))</f>
        <v/>
      </c>
    </row>
    <row r="774">
      <c r="A774" s="11">
        <f>IF($B774="","",765)</f>
        <v/>
      </c>
      <c r="B774" s="12">
        <f>IF(190&gt;NFixedA,"",IFERROR(IF(VLOOKUP(INDEX(PkFixedA,190),AcctTblA,4,0)="","(بدون نام)",VLOOKUP(INDEX(PkFixedA,190),AcctTblA,4,0)),"—"))</f>
        <v/>
      </c>
      <c r="C774" s="13">
        <f>IF($B774="","",IF(190&gt;NFixedA,"",INDEX(PkFixedA,190)))</f>
        <v/>
      </c>
      <c r="D774" s="12">
        <f>IF($B774="","","f")</f>
        <v/>
      </c>
      <c r="E774" s="14">
        <f>IF($B774="","",IF(190&gt;NFixedA,0,SUMIF(CalcDebit,INDEX(PkFixedA,190),CalcAmt)+SUMIF(CalcDebit2,INDEX(PkFixedA,190),CalcAmt2)))</f>
        <v/>
      </c>
      <c r="F774" s="14">
        <f>IF($B774="","",IF(190&gt;NFixedA,0,SUMIF(CalcCredit,INDEX(PkFixedA,190),CalcAmt)+SUMIF(CalcCredit2,INDEX(PkFixedA,190),CalcAmt2)))</f>
        <v/>
      </c>
      <c r="G774" s="15">
        <f>IF($B774="","",ROUND($E774-$F774,0))</f>
        <v/>
      </c>
      <c r="H774" s="12">
        <f>IF($B774="","",IF(ROUND($G774,0)&gt;0,"بدهکار",IF(ROUND($G774,0)&lt;0,"بستانکار","تسویه")))</f>
        <v/>
      </c>
    </row>
    <row r="775">
      <c r="A775" s="16">
        <f>IF($B775="","",766)</f>
        <v/>
      </c>
      <c r="B775" s="17">
        <f>IF(191&gt;NFixedA,"",IFERROR(IF(VLOOKUP(INDEX(PkFixedA,191),AcctTblA,4,0)="","(بدون نام)",VLOOKUP(INDEX(PkFixedA,191),AcctTblA,4,0)),"—"))</f>
        <v/>
      </c>
      <c r="C775" s="18">
        <f>IF($B775="","",IF(191&gt;NFixedA,"",INDEX(PkFixedA,191)))</f>
        <v/>
      </c>
      <c r="D775" s="17">
        <f>IF($B775="","","f")</f>
        <v/>
      </c>
      <c r="E775" s="19">
        <f>IF($B775="","",IF(191&gt;NFixedA,0,SUMIF(CalcDebit,INDEX(PkFixedA,191),CalcAmt)+SUMIF(CalcDebit2,INDEX(PkFixedA,191),CalcAmt2)))</f>
        <v/>
      </c>
      <c r="F775" s="19">
        <f>IF($B775="","",IF(191&gt;NFixedA,0,SUMIF(CalcCredit,INDEX(PkFixedA,191),CalcAmt)+SUMIF(CalcCredit2,INDEX(PkFixedA,191),CalcAmt2)))</f>
        <v/>
      </c>
      <c r="G775" s="20">
        <f>IF($B775="","",ROUND($E775-$F775,0))</f>
        <v/>
      </c>
      <c r="H775" s="17">
        <f>IF($B775="","",IF(ROUND($G775,0)&gt;0,"بدهکار",IF(ROUND($G775,0)&lt;0,"بستانکار","تسویه")))</f>
        <v/>
      </c>
    </row>
    <row r="776">
      <c r="A776" s="11">
        <f>IF($B776="","",767)</f>
        <v/>
      </c>
      <c r="B776" s="12">
        <f>IF(192&gt;NFixedA,"",IFERROR(IF(VLOOKUP(INDEX(PkFixedA,192),AcctTblA,4,0)="","(بدون نام)",VLOOKUP(INDEX(PkFixedA,192),AcctTblA,4,0)),"—"))</f>
        <v/>
      </c>
      <c r="C776" s="13">
        <f>IF($B776="","",IF(192&gt;NFixedA,"",INDEX(PkFixedA,192)))</f>
        <v/>
      </c>
      <c r="D776" s="12">
        <f>IF($B776="","","f")</f>
        <v/>
      </c>
      <c r="E776" s="14">
        <f>IF($B776="","",IF(192&gt;NFixedA,0,SUMIF(CalcDebit,INDEX(PkFixedA,192),CalcAmt)+SUMIF(CalcDebit2,INDEX(PkFixedA,192),CalcAmt2)))</f>
        <v/>
      </c>
      <c r="F776" s="14">
        <f>IF($B776="","",IF(192&gt;NFixedA,0,SUMIF(CalcCredit,INDEX(PkFixedA,192),CalcAmt)+SUMIF(CalcCredit2,INDEX(PkFixedA,192),CalcAmt2)))</f>
        <v/>
      </c>
      <c r="G776" s="15">
        <f>IF($B776="","",ROUND($E776-$F776,0))</f>
        <v/>
      </c>
      <c r="H776" s="12">
        <f>IF($B776="","",IF(ROUND($G776,0)&gt;0,"بدهکار",IF(ROUND($G776,0)&lt;0,"بستانکار","تسویه")))</f>
        <v/>
      </c>
    </row>
    <row r="777">
      <c r="A777" s="16">
        <f>IF($B777="","",768)</f>
        <v/>
      </c>
      <c r="B777" s="17">
        <f>IF(193&gt;NFixedA,"",IFERROR(IF(VLOOKUP(INDEX(PkFixedA,193),AcctTblA,4,0)="","(بدون نام)",VLOOKUP(INDEX(PkFixedA,193),AcctTblA,4,0)),"—"))</f>
        <v/>
      </c>
      <c r="C777" s="18">
        <f>IF($B777="","",IF(193&gt;NFixedA,"",INDEX(PkFixedA,193)))</f>
        <v/>
      </c>
      <c r="D777" s="17">
        <f>IF($B777="","","f")</f>
        <v/>
      </c>
      <c r="E777" s="19">
        <f>IF($B777="","",IF(193&gt;NFixedA,0,SUMIF(CalcDebit,INDEX(PkFixedA,193),CalcAmt)+SUMIF(CalcDebit2,INDEX(PkFixedA,193),CalcAmt2)))</f>
        <v/>
      </c>
      <c r="F777" s="19">
        <f>IF($B777="","",IF(193&gt;NFixedA,0,SUMIF(CalcCredit,INDEX(PkFixedA,193),CalcAmt)+SUMIF(CalcCredit2,INDEX(PkFixedA,193),CalcAmt2)))</f>
        <v/>
      </c>
      <c r="G777" s="20">
        <f>IF($B777="","",ROUND($E777-$F777,0))</f>
        <v/>
      </c>
      <c r="H777" s="17">
        <f>IF($B777="","",IF(ROUND($G777,0)&gt;0,"بدهکار",IF(ROUND($G777,0)&lt;0,"بستانکار","تسویه")))</f>
        <v/>
      </c>
    </row>
    <row r="778">
      <c r="A778" s="11">
        <f>IF($B778="","",769)</f>
        <v/>
      </c>
      <c r="B778" s="12">
        <f>IF(194&gt;NFixedA,"",IFERROR(IF(VLOOKUP(INDEX(PkFixedA,194),AcctTblA,4,0)="","(بدون نام)",VLOOKUP(INDEX(PkFixedA,194),AcctTblA,4,0)),"—"))</f>
        <v/>
      </c>
      <c r="C778" s="13">
        <f>IF($B778="","",IF(194&gt;NFixedA,"",INDEX(PkFixedA,194)))</f>
        <v/>
      </c>
      <c r="D778" s="12">
        <f>IF($B778="","","f")</f>
        <v/>
      </c>
      <c r="E778" s="14">
        <f>IF($B778="","",IF(194&gt;NFixedA,0,SUMIF(CalcDebit,INDEX(PkFixedA,194),CalcAmt)+SUMIF(CalcDebit2,INDEX(PkFixedA,194),CalcAmt2)))</f>
        <v/>
      </c>
      <c r="F778" s="14">
        <f>IF($B778="","",IF(194&gt;NFixedA,0,SUMIF(CalcCredit,INDEX(PkFixedA,194),CalcAmt)+SUMIF(CalcCredit2,INDEX(PkFixedA,194),CalcAmt2)))</f>
        <v/>
      </c>
      <c r="G778" s="15">
        <f>IF($B778="","",ROUND($E778-$F778,0))</f>
        <v/>
      </c>
      <c r="H778" s="12">
        <f>IF($B778="","",IF(ROUND($G778,0)&gt;0,"بدهکار",IF(ROUND($G778,0)&lt;0,"بستانکار","تسویه")))</f>
        <v/>
      </c>
    </row>
    <row r="779">
      <c r="A779" s="16">
        <f>IF($B779="","",770)</f>
        <v/>
      </c>
      <c r="B779" s="17">
        <f>IF(195&gt;NFixedA,"",IFERROR(IF(VLOOKUP(INDEX(PkFixedA,195),AcctTblA,4,0)="","(بدون نام)",VLOOKUP(INDEX(PkFixedA,195),AcctTblA,4,0)),"—"))</f>
        <v/>
      </c>
      <c r="C779" s="18">
        <f>IF($B779="","",IF(195&gt;NFixedA,"",INDEX(PkFixedA,195)))</f>
        <v/>
      </c>
      <c r="D779" s="17">
        <f>IF($B779="","","f")</f>
        <v/>
      </c>
      <c r="E779" s="19">
        <f>IF($B779="","",IF(195&gt;NFixedA,0,SUMIF(CalcDebit,INDEX(PkFixedA,195),CalcAmt)+SUMIF(CalcDebit2,INDEX(PkFixedA,195),CalcAmt2)))</f>
        <v/>
      </c>
      <c r="F779" s="19">
        <f>IF($B779="","",IF(195&gt;NFixedA,0,SUMIF(CalcCredit,INDEX(PkFixedA,195),CalcAmt)+SUMIF(CalcCredit2,INDEX(PkFixedA,195),CalcAmt2)))</f>
        <v/>
      </c>
      <c r="G779" s="20">
        <f>IF($B779="","",ROUND($E779-$F779,0))</f>
        <v/>
      </c>
      <c r="H779" s="17">
        <f>IF($B779="","",IF(ROUND($G779,0)&gt;0,"بدهکار",IF(ROUND($G779,0)&lt;0,"بستانکار","تسویه")))</f>
        <v/>
      </c>
    </row>
    <row r="780">
      <c r="A780" s="11">
        <f>IF($B780="","",771)</f>
        <v/>
      </c>
      <c r="B780" s="12">
        <f>IF(196&gt;NFixedA,"",IFERROR(IF(VLOOKUP(INDEX(PkFixedA,196),AcctTblA,4,0)="","(بدون نام)",VLOOKUP(INDEX(PkFixedA,196),AcctTblA,4,0)),"—"))</f>
        <v/>
      </c>
      <c r="C780" s="13">
        <f>IF($B780="","",IF(196&gt;NFixedA,"",INDEX(PkFixedA,196)))</f>
        <v/>
      </c>
      <c r="D780" s="12">
        <f>IF($B780="","","f")</f>
        <v/>
      </c>
      <c r="E780" s="14">
        <f>IF($B780="","",IF(196&gt;NFixedA,0,SUMIF(CalcDebit,INDEX(PkFixedA,196),CalcAmt)+SUMIF(CalcDebit2,INDEX(PkFixedA,196),CalcAmt2)))</f>
        <v/>
      </c>
      <c r="F780" s="14">
        <f>IF($B780="","",IF(196&gt;NFixedA,0,SUMIF(CalcCredit,INDEX(PkFixedA,196),CalcAmt)+SUMIF(CalcCredit2,INDEX(PkFixedA,196),CalcAmt2)))</f>
        <v/>
      </c>
      <c r="G780" s="15">
        <f>IF($B780="","",ROUND($E780-$F780,0))</f>
        <v/>
      </c>
      <c r="H780" s="12">
        <f>IF($B780="","",IF(ROUND($G780,0)&gt;0,"بدهکار",IF(ROUND($G780,0)&lt;0,"بستانکار","تسویه")))</f>
        <v/>
      </c>
    </row>
    <row r="781">
      <c r="A781" s="16">
        <f>IF($B781="","",772)</f>
        <v/>
      </c>
      <c r="B781" s="17">
        <f>IF(197&gt;NFixedA,"",IFERROR(IF(VLOOKUP(INDEX(PkFixedA,197),AcctTblA,4,0)="","(بدون نام)",VLOOKUP(INDEX(PkFixedA,197),AcctTblA,4,0)),"—"))</f>
        <v/>
      </c>
      <c r="C781" s="18">
        <f>IF($B781="","",IF(197&gt;NFixedA,"",INDEX(PkFixedA,197)))</f>
        <v/>
      </c>
      <c r="D781" s="17">
        <f>IF($B781="","","f")</f>
        <v/>
      </c>
      <c r="E781" s="19">
        <f>IF($B781="","",IF(197&gt;NFixedA,0,SUMIF(CalcDebit,INDEX(PkFixedA,197),CalcAmt)+SUMIF(CalcDebit2,INDEX(PkFixedA,197),CalcAmt2)))</f>
        <v/>
      </c>
      <c r="F781" s="19">
        <f>IF($B781="","",IF(197&gt;NFixedA,0,SUMIF(CalcCredit,INDEX(PkFixedA,197),CalcAmt)+SUMIF(CalcCredit2,INDEX(PkFixedA,197),CalcAmt2)))</f>
        <v/>
      </c>
      <c r="G781" s="20">
        <f>IF($B781="","",ROUND($E781-$F781,0))</f>
        <v/>
      </c>
      <c r="H781" s="17">
        <f>IF($B781="","",IF(ROUND($G781,0)&gt;0,"بدهکار",IF(ROUND($G781,0)&lt;0,"بستانکار","تسویه")))</f>
        <v/>
      </c>
    </row>
    <row r="782">
      <c r="A782" s="11">
        <f>IF($B782="","",773)</f>
        <v/>
      </c>
      <c r="B782" s="12">
        <f>IF(198&gt;NFixedA,"",IFERROR(IF(VLOOKUP(INDEX(PkFixedA,198),AcctTblA,4,0)="","(بدون نام)",VLOOKUP(INDEX(PkFixedA,198),AcctTblA,4,0)),"—"))</f>
        <v/>
      </c>
      <c r="C782" s="13">
        <f>IF($B782="","",IF(198&gt;NFixedA,"",INDEX(PkFixedA,198)))</f>
        <v/>
      </c>
      <c r="D782" s="12">
        <f>IF($B782="","","f")</f>
        <v/>
      </c>
      <c r="E782" s="14">
        <f>IF($B782="","",IF(198&gt;NFixedA,0,SUMIF(CalcDebit,INDEX(PkFixedA,198),CalcAmt)+SUMIF(CalcDebit2,INDEX(PkFixedA,198),CalcAmt2)))</f>
        <v/>
      </c>
      <c r="F782" s="14">
        <f>IF($B782="","",IF(198&gt;NFixedA,0,SUMIF(CalcCredit,INDEX(PkFixedA,198),CalcAmt)+SUMIF(CalcCredit2,INDEX(PkFixedA,198),CalcAmt2)))</f>
        <v/>
      </c>
      <c r="G782" s="15">
        <f>IF($B782="","",ROUND($E782-$F782,0))</f>
        <v/>
      </c>
      <c r="H782" s="12">
        <f>IF($B782="","",IF(ROUND($G782,0)&gt;0,"بدهکار",IF(ROUND($G782,0)&lt;0,"بستانکار","تسویه")))</f>
        <v/>
      </c>
    </row>
    <row r="783">
      <c r="A783" s="16">
        <f>IF($B783="","",774)</f>
        <v/>
      </c>
      <c r="B783" s="17">
        <f>IF(199&gt;NFixedA,"",IFERROR(IF(VLOOKUP(INDEX(PkFixedA,199),AcctTblA,4,0)="","(بدون نام)",VLOOKUP(INDEX(PkFixedA,199),AcctTblA,4,0)),"—"))</f>
        <v/>
      </c>
      <c r="C783" s="18">
        <f>IF($B783="","",IF(199&gt;NFixedA,"",INDEX(PkFixedA,199)))</f>
        <v/>
      </c>
      <c r="D783" s="17">
        <f>IF($B783="","","f")</f>
        <v/>
      </c>
      <c r="E783" s="19">
        <f>IF($B783="","",IF(199&gt;NFixedA,0,SUMIF(CalcDebit,INDEX(PkFixedA,199),CalcAmt)+SUMIF(CalcDebit2,INDEX(PkFixedA,199),CalcAmt2)))</f>
        <v/>
      </c>
      <c r="F783" s="19">
        <f>IF($B783="","",IF(199&gt;NFixedA,0,SUMIF(CalcCredit,INDEX(PkFixedA,199),CalcAmt)+SUMIF(CalcCredit2,INDEX(PkFixedA,199),CalcAmt2)))</f>
        <v/>
      </c>
      <c r="G783" s="20">
        <f>IF($B783="","",ROUND($E783-$F783,0))</f>
        <v/>
      </c>
      <c r="H783" s="17">
        <f>IF($B783="","",IF(ROUND($G783,0)&gt;0,"بدهکار",IF(ROUND($G783,0)&lt;0,"بستانکار","تسویه")))</f>
        <v/>
      </c>
    </row>
    <row r="784">
      <c r="A784" s="11">
        <f>IF($B784="","",775)</f>
        <v/>
      </c>
      <c r="B784" s="12">
        <f>IF(200&gt;NFixedA,"",IFERROR(IF(VLOOKUP(INDEX(PkFixedA,200),AcctTblA,4,0)="","(بدون نام)",VLOOKUP(INDEX(PkFixedA,200),AcctTblA,4,0)),"—"))</f>
        <v/>
      </c>
      <c r="C784" s="13">
        <f>IF($B784="","",IF(200&gt;NFixedA,"",INDEX(PkFixedA,200)))</f>
        <v/>
      </c>
      <c r="D784" s="12">
        <f>IF($B784="","","f")</f>
        <v/>
      </c>
      <c r="E784" s="14">
        <f>IF($B784="","",IF(200&gt;NFixedA,0,SUMIF(CalcDebit,INDEX(PkFixedA,200),CalcAmt)+SUMIF(CalcDebit2,INDEX(PkFixedA,200),CalcAmt2)))</f>
        <v/>
      </c>
      <c r="F784" s="14">
        <f>IF($B784="","",IF(200&gt;NFixedA,0,SUMIF(CalcCredit,INDEX(PkFixedA,200),CalcAmt)+SUMIF(CalcCredit2,INDEX(PkFixedA,200),CalcAmt2)))</f>
        <v/>
      </c>
      <c r="G784" s="15">
        <f>IF($B784="","",ROUND($E784-$F784,0))</f>
        <v/>
      </c>
      <c r="H784" s="12">
        <f>IF($B784="","",IF(ROUND($G784,0)&gt;0,"بدهکار",IF(ROUND($G784,0)&lt;0,"بستانکار","تسویه")))</f>
        <v/>
      </c>
    </row>
    <row r="785">
      <c r="A785" s="16">
        <f>IF($B785="","",776)</f>
        <v/>
      </c>
      <c r="B785" s="17">
        <f>IF(201&gt;NFixedA,"",IFERROR(IF(VLOOKUP(INDEX(PkFixedA,201),AcctTblA,4,0)="","(بدون نام)",VLOOKUP(INDEX(PkFixedA,201),AcctTblA,4,0)),"—"))</f>
        <v/>
      </c>
      <c r="C785" s="18">
        <f>IF($B785="","",IF(201&gt;NFixedA,"",INDEX(PkFixedA,201)))</f>
        <v/>
      </c>
      <c r="D785" s="17">
        <f>IF($B785="","","f")</f>
        <v/>
      </c>
      <c r="E785" s="19">
        <f>IF($B785="","",IF(201&gt;NFixedA,0,SUMIF(CalcDebit,INDEX(PkFixedA,201),CalcAmt)+SUMIF(CalcDebit2,INDEX(PkFixedA,201),CalcAmt2)))</f>
        <v/>
      </c>
      <c r="F785" s="19">
        <f>IF($B785="","",IF(201&gt;NFixedA,0,SUMIF(CalcCredit,INDEX(PkFixedA,201),CalcAmt)+SUMIF(CalcCredit2,INDEX(PkFixedA,201),CalcAmt2)))</f>
        <v/>
      </c>
      <c r="G785" s="20">
        <f>IF($B785="","",ROUND($E785-$F785,0))</f>
        <v/>
      </c>
      <c r="H785" s="17">
        <f>IF($B785="","",IF(ROUND($G785,0)&gt;0,"بدهکار",IF(ROUND($G785,0)&lt;0,"بستانکار","تسویه")))</f>
        <v/>
      </c>
    </row>
    <row r="786">
      <c r="A786" s="11">
        <f>IF($B786="","",777)</f>
        <v/>
      </c>
      <c r="B786" s="12">
        <f>IF(202&gt;NFixedA,"",IFERROR(IF(VLOOKUP(INDEX(PkFixedA,202),AcctTblA,4,0)="","(بدون نام)",VLOOKUP(INDEX(PkFixedA,202),AcctTblA,4,0)),"—"))</f>
        <v/>
      </c>
      <c r="C786" s="13">
        <f>IF($B786="","",IF(202&gt;NFixedA,"",INDEX(PkFixedA,202)))</f>
        <v/>
      </c>
      <c r="D786" s="12">
        <f>IF($B786="","","f")</f>
        <v/>
      </c>
      <c r="E786" s="14">
        <f>IF($B786="","",IF(202&gt;NFixedA,0,SUMIF(CalcDebit,INDEX(PkFixedA,202),CalcAmt)+SUMIF(CalcDebit2,INDEX(PkFixedA,202),CalcAmt2)))</f>
        <v/>
      </c>
      <c r="F786" s="14">
        <f>IF($B786="","",IF(202&gt;NFixedA,0,SUMIF(CalcCredit,INDEX(PkFixedA,202),CalcAmt)+SUMIF(CalcCredit2,INDEX(PkFixedA,202),CalcAmt2)))</f>
        <v/>
      </c>
      <c r="G786" s="15">
        <f>IF($B786="","",ROUND($E786-$F786,0))</f>
        <v/>
      </c>
      <c r="H786" s="12">
        <f>IF($B786="","",IF(ROUND($G786,0)&gt;0,"بدهکار",IF(ROUND($G786,0)&lt;0,"بستانکار","تسویه")))</f>
        <v/>
      </c>
    </row>
    <row r="787">
      <c r="A787" s="16">
        <f>IF($B787="","",778)</f>
        <v/>
      </c>
      <c r="B787" s="17">
        <f>IF(203&gt;NFixedA,"",IFERROR(IF(VLOOKUP(INDEX(PkFixedA,203),AcctTblA,4,0)="","(بدون نام)",VLOOKUP(INDEX(PkFixedA,203),AcctTblA,4,0)),"—"))</f>
        <v/>
      </c>
      <c r="C787" s="18">
        <f>IF($B787="","",IF(203&gt;NFixedA,"",INDEX(PkFixedA,203)))</f>
        <v/>
      </c>
      <c r="D787" s="17">
        <f>IF($B787="","","f")</f>
        <v/>
      </c>
      <c r="E787" s="19">
        <f>IF($B787="","",IF(203&gt;NFixedA,0,SUMIF(CalcDebit,INDEX(PkFixedA,203),CalcAmt)+SUMIF(CalcDebit2,INDEX(PkFixedA,203),CalcAmt2)))</f>
        <v/>
      </c>
      <c r="F787" s="19">
        <f>IF($B787="","",IF(203&gt;NFixedA,0,SUMIF(CalcCredit,INDEX(PkFixedA,203),CalcAmt)+SUMIF(CalcCredit2,INDEX(PkFixedA,203),CalcAmt2)))</f>
        <v/>
      </c>
      <c r="G787" s="20">
        <f>IF($B787="","",ROUND($E787-$F787,0))</f>
        <v/>
      </c>
      <c r="H787" s="17">
        <f>IF($B787="","",IF(ROUND($G787,0)&gt;0,"بدهکار",IF(ROUND($G787,0)&lt;0,"بستانکار","تسویه")))</f>
        <v/>
      </c>
    </row>
    <row r="788">
      <c r="A788" s="11">
        <f>IF($B788="","",779)</f>
        <v/>
      </c>
      <c r="B788" s="12">
        <f>IF(204&gt;NFixedA,"",IFERROR(IF(VLOOKUP(INDEX(PkFixedA,204),AcctTblA,4,0)="","(بدون نام)",VLOOKUP(INDEX(PkFixedA,204),AcctTblA,4,0)),"—"))</f>
        <v/>
      </c>
      <c r="C788" s="13">
        <f>IF($B788="","",IF(204&gt;NFixedA,"",INDEX(PkFixedA,204)))</f>
        <v/>
      </c>
      <c r="D788" s="12">
        <f>IF($B788="","","f")</f>
        <v/>
      </c>
      <c r="E788" s="14">
        <f>IF($B788="","",IF(204&gt;NFixedA,0,SUMIF(CalcDebit,INDEX(PkFixedA,204),CalcAmt)+SUMIF(CalcDebit2,INDEX(PkFixedA,204),CalcAmt2)))</f>
        <v/>
      </c>
      <c r="F788" s="14">
        <f>IF($B788="","",IF(204&gt;NFixedA,0,SUMIF(CalcCredit,INDEX(PkFixedA,204),CalcAmt)+SUMIF(CalcCredit2,INDEX(PkFixedA,204),CalcAmt2)))</f>
        <v/>
      </c>
      <c r="G788" s="15">
        <f>IF($B788="","",ROUND($E788-$F788,0))</f>
        <v/>
      </c>
      <c r="H788" s="12">
        <f>IF($B788="","",IF(ROUND($G788,0)&gt;0,"بدهکار",IF(ROUND($G788,0)&lt;0,"بستانکار","تسویه")))</f>
        <v/>
      </c>
    </row>
    <row r="789">
      <c r="A789" s="16">
        <f>IF($B789="","",780)</f>
        <v/>
      </c>
      <c r="B789" s="17">
        <f>IF(205&gt;NFixedA,"",IFERROR(IF(VLOOKUP(INDEX(PkFixedA,205),AcctTblA,4,0)="","(بدون نام)",VLOOKUP(INDEX(PkFixedA,205),AcctTblA,4,0)),"—"))</f>
        <v/>
      </c>
      <c r="C789" s="18">
        <f>IF($B789="","",IF(205&gt;NFixedA,"",INDEX(PkFixedA,205)))</f>
        <v/>
      </c>
      <c r="D789" s="17">
        <f>IF($B789="","","f")</f>
        <v/>
      </c>
      <c r="E789" s="19">
        <f>IF($B789="","",IF(205&gt;NFixedA,0,SUMIF(CalcDebit,INDEX(PkFixedA,205),CalcAmt)+SUMIF(CalcDebit2,INDEX(PkFixedA,205),CalcAmt2)))</f>
        <v/>
      </c>
      <c r="F789" s="19">
        <f>IF($B789="","",IF(205&gt;NFixedA,0,SUMIF(CalcCredit,INDEX(PkFixedA,205),CalcAmt)+SUMIF(CalcCredit2,INDEX(PkFixedA,205),CalcAmt2)))</f>
        <v/>
      </c>
      <c r="G789" s="20">
        <f>IF($B789="","",ROUND($E789-$F789,0))</f>
        <v/>
      </c>
      <c r="H789" s="17">
        <f>IF($B789="","",IF(ROUND($G789,0)&gt;0,"بدهکار",IF(ROUND($G789,0)&lt;0,"بستانکار","تسویه")))</f>
        <v/>
      </c>
    </row>
    <row r="790">
      <c r="A790" s="11">
        <f>IF($B790="","",781)</f>
        <v/>
      </c>
      <c r="B790" s="12">
        <f>IF(206&gt;NFixedA,"",IFERROR(IF(VLOOKUP(INDEX(PkFixedA,206),AcctTblA,4,0)="","(بدون نام)",VLOOKUP(INDEX(PkFixedA,206),AcctTblA,4,0)),"—"))</f>
        <v/>
      </c>
      <c r="C790" s="13">
        <f>IF($B790="","",IF(206&gt;NFixedA,"",INDEX(PkFixedA,206)))</f>
        <v/>
      </c>
      <c r="D790" s="12">
        <f>IF($B790="","","f")</f>
        <v/>
      </c>
      <c r="E790" s="14">
        <f>IF($B790="","",IF(206&gt;NFixedA,0,SUMIF(CalcDebit,INDEX(PkFixedA,206),CalcAmt)+SUMIF(CalcDebit2,INDEX(PkFixedA,206),CalcAmt2)))</f>
        <v/>
      </c>
      <c r="F790" s="14">
        <f>IF($B790="","",IF(206&gt;NFixedA,0,SUMIF(CalcCredit,INDEX(PkFixedA,206),CalcAmt)+SUMIF(CalcCredit2,INDEX(PkFixedA,206),CalcAmt2)))</f>
        <v/>
      </c>
      <c r="G790" s="15">
        <f>IF($B790="","",ROUND($E790-$F790,0))</f>
        <v/>
      </c>
      <c r="H790" s="12">
        <f>IF($B790="","",IF(ROUND($G790,0)&gt;0,"بدهکار",IF(ROUND($G790,0)&lt;0,"بستانکار","تسویه")))</f>
        <v/>
      </c>
    </row>
    <row r="791">
      <c r="A791" s="16">
        <f>IF($B791="","",782)</f>
        <v/>
      </c>
      <c r="B791" s="17">
        <f>IF(207&gt;NFixedA,"",IFERROR(IF(VLOOKUP(INDEX(PkFixedA,207),AcctTblA,4,0)="","(بدون نام)",VLOOKUP(INDEX(PkFixedA,207),AcctTblA,4,0)),"—"))</f>
        <v/>
      </c>
      <c r="C791" s="18">
        <f>IF($B791="","",IF(207&gt;NFixedA,"",INDEX(PkFixedA,207)))</f>
        <v/>
      </c>
      <c r="D791" s="17">
        <f>IF($B791="","","f")</f>
        <v/>
      </c>
      <c r="E791" s="19">
        <f>IF($B791="","",IF(207&gt;NFixedA,0,SUMIF(CalcDebit,INDEX(PkFixedA,207),CalcAmt)+SUMIF(CalcDebit2,INDEX(PkFixedA,207),CalcAmt2)))</f>
        <v/>
      </c>
      <c r="F791" s="19">
        <f>IF($B791="","",IF(207&gt;NFixedA,0,SUMIF(CalcCredit,INDEX(PkFixedA,207),CalcAmt)+SUMIF(CalcCredit2,INDEX(PkFixedA,207),CalcAmt2)))</f>
        <v/>
      </c>
      <c r="G791" s="20">
        <f>IF($B791="","",ROUND($E791-$F791,0))</f>
        <v/>
      </c>
      <c r="H791" s="17">
        <f>IF($B791="","",IF(ROUND($G791,0)&gt;0,"بدهکار",IF(ROUND($G791,0)&lt;0,"بستانکار","تسویه")))</f>
        <v/>
      </c>
    </row>
    <row r="792">
      <c r="A792" s="11">
        <f>IF($B792="","",783)</f>
        <v/>
      </c>
      <c r="B792" s="12">
        <f>IF(208&gt;NFixedA,"",IFERROR(IF(VLOOKUP(INDEX(PkFixedA,208),AcctTblA,4,0)="","(بدون نام)",VLOOKUP(INDEX(PkFixedA,208),AcctTblA,4,0)),"—"))</f>
        <v/>
      </c>
      <c r="C792" s="13">
        <f>IF($B792="","",IF(208&gt;NFixedA,"",INDEX(PkFixedA,208)))</f>
        <v/>
      </c>
      <c r="D792" s="12">
        <f>IF($B792="","","f")</f>
        <v/>
      </c>
      <c r="E792" s="14">
        <f>IF($B792="","",IF(208&gt;NFixedA,0,SUMIF(CalcDebit,INDEX(PkFixedA,208),CalcAmt)+SUMIF(CalcDebit2,INDEX(PkFixedA,208),CalcAmt2)))</f>
        <v/>
      </c>
      <c r="F792" s="14">
        <f>IF($B792="","",IF(208&gt;NFixedA,0,SUMIF(CalcCredit,INDEX(PkFixedA,208),CalcAmt)+SUMIF(CalcCredit2,INDEX(PkFixedA,208),CalcAmt2)))</f>
        <v/>
      </c>
      <c r="G792" s="15">
        <f>IF($B792="","",ROUND($E792-$F792,0))</f>
        <v/>
      </c>
      <c r="H792" s="12">
        <f>IF($B792="","",IF(ROUND($G792,0)&gt;0,"بدهکار",IF(ROUND($G792,0)&lt;0,"بستانکار","تسویه")))</f>
        <v/>
      </c>
    </row>
    <row r="793">
      <c r="A793" s="16">
        <f>IF($B793="","",784)</f>
        <v/>
      </c>
      <c r="B793" s="17">
        <f>IF(209&gt;NFixedA,"",IFERROR(IF(VLOOKUP(INDEX(PkFixedA,209),AcctTblA,4,0)="","(بدون نام)",VLOOKUP(INDEX(PkFixedA,209),AcctTblA,4,0)),"—"))</f>
        <v/>
      </c>
      <c r="C793" s="18">
        <f>IF($B793="","",IF(209&gt;NFixedA,"",INDEX(PkFixedA,209)))</f>
        <v/>
      </c>
      <c r="D793" s="17">
        <f>IF($B793="","","f")</f>
        <v/>
      </c>
      <c r="E793" s="19">
        <f>IF($B793="","",IF(209&gt;NFixedA,0,SUMIF(CalcDebit,INDEX(PkFixedA,209),CalcAmt)+SUMIF(CalcDebit2,INDEX(PkFixedA,209),CalcAmt2)))</f>
        <v/>
      </c>
      <c r="F793" s="19">
        <f>IF($B793="","",IF(209&gt;NFixedA,0,SUMIF(CalcCredit,INDEX(PkFixedA,209),CalcAmt)+SUMIF(CalcCredit2,INDEX(PkFixedA,209),CalcAmt2)))</f>
        <v/>
      </c>
      <c r="G793" s="20">
        <f>IF($B793="","",ROUND($E793-$F793,0))</f>
        <v/>
      </c>
      <c r="H793" s="17">
        <f>IF($B793="","",IF(ROUND($G793,0)&gt;0,"بدهکار",IF(ROUND($G793,0)&lt;0,"بستانکار","تسویه")))</f>
        <v/>
      </c>
    </row>
    <row r="794">
      <c r="A794" s="11">
        <f>IF($B794="","",785)</f>
        <v/>
      </c>
      <c r="B794" s="12">
        <f>IF(210&gt;NFixedA,"",IFERROR(IF(VLOOKUP(INDEX(PkFixedA,210),AcctTblA,4,0)="","(بدون نام)",VLOOKUP(INDEX(PkFixedA,210),AcctTblA,4,0)),"—"))</f>
        <v/>
      </c>
      <c r="C794" s="13">
        <f>IF($B794="","",IF(210&gt;NFixedA,"",INDEX(PkFixedA,210)))</f>
        <v/>
      </c>
      <c r="D794" s="12">
        <f>IF($B794="","","f")</f>
        <v/>
      </c>
      <c r="E794" s="14">
        <f>IF($B794="","",IF(210&gt;NFixedA,0,SUMIF(CalcDebit,INDEX(PkFixedA,210),CalcAmt)+SUMIF(CalcDebit2,INDEX(PkFixedA,210),CalcAmt2)))</f>
        <v/>
      </c>
      <c r="F794" s="14">
        <f>IF($B794="","",IF(210&gt;NFixedA,0,SUMIF(CalcCredit,INDEX(PkFixedA,210),CalcAmt)+SUMIF(CalcCredit2,INDEX(PkFixedA,210),CalcAmt2)))</f>
        <v/>
      </c>
      <c r="G794" s="15">
        <f>IF($B794="","",ROUND($E794-$F794,0))</f>
        <v/>
      </c>
      <c r="H794" s="12">
        <f>IF($B794="","",IF(ROUND($G794,0)&gt;0,"بدهکار",IF(ROUND($G794,0)&lt;0,"بستانکار","تسویه")))</f>
        <v/>
      </c>
    </row>
    <row r="795">
      <c r="A795" s="16">
        <f>IF($B795="","",786)</f>
        <v/>
      </c>
      <c r="B795" s="17">
        <f>IF(211&gt;NFixedA,"",IFERROR(IF(VLOOKUP(INDEX(PkFixedA,211),AcctTblA,4,0)="","(بدون نام)",VLOOKUP(INDEX(PkFixedA,211),AcctTblA,4,0)),"—"))</f>
        <v/>
      </c>
      <c r="C795" s="18">
        <f>IF($B795="","",IF(211&gt;NFixedA,"",INDEX(PkFixedA,211)))</f>
        <v/>
      </c>
      <c r="D795" s="17">
        <f>IF($B795="","","f")</f>
        <v/>
      </c>
      <c r="E795" s="19">
        <f>IF($B795="","",IF(211&gt;NFixedA,0,SUMIF(CalcDebit,INDEX(PkFixedA,211),CalcAmt)+SUMIF(CalcDebit2,INDEX(PkFixedA,211),CalcAmt2)))</f>
        <v/>
      </c>
      <c r="F795" s="19">
        <f>IF($B795="","",IF(211&gt;NFixedA,0,SUMIF(CalcCredit,INDEX(PkFixedA,211),CalcAmt)+SUMIF(CalcCredit2,INDEX(PkFixedA,211),CalcAmt2)))</f>
        <v/>
      </c>
      <c r="G795" s="20">
        <f>IF($B795="","",ROUND($E795-$F795,0))</f>
        <v/>
      </c>
      <c r="H795" s="17">
        <f>IF($B795="","",IF(ROUND($G795,0)&gt;0,"بدهکار",IF(ROUND($G795,0)&lt;0,"بستانکار","تسویه")))</f>
        <v/>
      </c>
    </row>
    <row r="796">
      <c r="A796" s="11">
        <f>IF($B796="","",787)</f>
        <v/>
      </c>
      <c r="B796" s="12">
        <f>IF(212&gt;NFixedA,"",IFERROR(IF(VLOOKUP(INDEX(PkFixedA,212),AcctTblA,4,0)="","(بدون نام)",VLOOKUP(INDEX(PkFixedA,212),AcctTblA,4,0)),"—"))</f>
        <v/>
      </c>
      <c r="C796" s="13">
        <f>IF($B796="","",IF(212&gt;NFixedA,"",INDEX(PkFixedA,212)))</f>
        <v/>
      </c>
      <c r="D796" s="12">
        <f>IF($B796="","","f")</f>
        <v/>
      </c>
      <c r="E796" s="14">
        <f>IF($B796="","",IF(212&gt;NFixedA,0,SUMIF(CalcDebit,INDEX(PkFixedA,212),CalcAmt)+SUMIF(CalcDebit2,INDEX(PkFixedA,212),CalcAmt2)))</f>
        <v/>
      </c>
      <c r="F796" s="14">
        <f>IF($B796="","",IF(212&gt;NFixedA,0,SUMIF(CalcCredit,INDEX(PkFixedA,212),CalcAmt)+SUMIF(CalcCredit2,INDEX(PkFixedA,212),CalcAmt2)))</f>
        <v/>
      </c>
      <c r="G796" s="15">
        <f>IF($B796="","",ROUND($E796-$F796,0))</f>
        <v/>
      </c>
      <c r="H796" s="12">
        <f>IF($B796="","",IF(ROUND($G796,0)&gt;0,"بدهکار",IF(ROUND($G796,0)&lt;0,"بستانکار","تسویه")))</f>
        <v/>
      </c>
    </row>
    <row r="797">
      <c r="A797" s="16">
        <f>IF($B797="","",788)</f>
        <v/>
      </c>
      <c r="B797" s="17">
        <f>IF(213&gt;NFixedA,"",IFERROR(IF(VLOOKUP(INDEX(PkFixedA,213),AcctTblA,4,0)="","(بدون نام)",VLOOKUP(INDEX(PkFixedA,213),AcctTblA,4,0)),"—"))</f>
        <v/>
      </c>
      <c r="C797" s="18">
        <f>IF($B797="","",IF(213&gt;NFixedA,"",INDEX(PkFixedA,213)))</f>
        <v/>
      </c>
      <c r="D797" s="17">
        <f>IF($B797="","","f")</f>
        <v/>
      </c>
      <c r="E797" s="19">
        <f>IF($B797="","",IF(213&gt;NFixedA,0,SUMIF(CalcDebit,INDEX(PkFixedA,213),CalcAmt)+SUMIF(CalcDebit2,INDEX(PkFixedA,213),CalcAmt2)))</f>
        <v/>
      </c>
      <c r="F797" s="19">
        <f>IF($B797="","",IF(213&gt;NFixedA,0,SUMIF(CalcCredit,INDEX(PkFixedA,213),CalcAmt)+SUMIF(CalcCredit2,INDEX(PkFixedA,213),CalcAmt2)))</f>
        <v/>
      </c>
      <c r="G797" s="20">
        <f>IF($B797="","",ROUND($E797-$F797,0))</f>
        <v/>
      </c>
      <c r="H797" s="17">
        <f>IF($B797="","",IF(ROUND($G797,0)&gt;0,"بدهکار",IF(ROUND($G797,0)&lt;0,"بستانکار","تسویه")))</f>
        <v/>
      </c>
    </row>
    <row r="798">
      <c r="A798" s="11">
        <f>IF($B798="","",789)</f>
        <v/>
      </c>
      <c r="B798" s="12">
        <f>IF(214&gt;NFixedA,"",IFERROR(IF(VLOOKUP(INDEX(PkFixedA,214),AcctTblA,4,0)="","(بدون نام)",VLOOKUP(INDEX(PkFixedA,214),AcctTblA,4,0)),"—"))</f>
        <v/>
      </c>
      <c r="C798" s="13">
        <f>IF($B798="","",IF(214&gt;NFixedA,"",INDEX(PkFixedA,214)))</f>
        <v/>
      </c>
      <c r="D798" s="12">
        <f>IF($B798="","","f")</f>
        <v/>
      </c>
      <c r="E798" s="14">
        <f>IF($B798="","",IF(214&gt;NFixedA,0,SUMIF(CalcDebit,INDEX(PkFixedA,214),CalcAmt)+SUMIF(CalcDebit2,INDEX(PkFixedA,214),CalcAmt2)))</f>
        <v/>
      </c>
      <c r="F798" s="14">
        <f>IF($B798="","",IF(214&gt;NFixedA,0,SUMIF(CalcCredit,INDEX(PkFixedA,214),CalcAmt)+SUMIF(CalcCredit2,INDEX(PkFixedA,214),CalcAmt2)))</f>
        <v/>
      </c>
      <c r="G798" s="15">
        <f>IF($B798="","",ROUND($E798-$F798,0))</f>
        <v/>
      </c>
      <c r="H798" s="12">
        <f>IF($B798="","",IF(ROUND($G798,0)&gt;0,"بدهکار",IF(ROUND($G798,0)&lt;0,"بستانکار","تسویه")))</f>
        <v/>
      </c>
    </row>
    <row r="799">
      <c r="A799" s="16">
        <f>IF($B799="","",790)</f>
        <v/>
      </c>
      <c r="B799" s="17">
        <f>IF(215&gt;NFixedA,"",IFERROR(IF(VLOOKUP(INDEX(PkFixedA,215),AcctTblA,4,0)="","(بدون نام)",VLOOKUP(INDEX(PkFixedA,215),AcctTblA,4,0)),"—"))</f>
        <v/>
      </c>
      <c r="C799" s="18">
        <f>IF($B799="","",IF(215&gt;NFixedA,"",INDEX(PkFixedA,215)))</f>
        <v/>
      </c>
      <c r="D799" s="17">
        <f>IF($B799="","","f")</f>
        <v/>
      </c>
      <c r="E799" s="19">
        <f>IF($B799="","",IF(215&gt;NFixedA,0,SUMIF(CalcDebit,INDEX(PkFixedA,215),CalcAmt)+SUMIF(CalcDebit2,INDEX(PkFixedA,215),CalcAmt2)))</f>
        <v/>
      </c>
      <c r="F799" s="19">
        <f>IF($B799="","",IF(215&gt;NFixedA,0,SUMIF(CalcCredit,INDEX(PkFixedA,215),CalcAmt)+SUMIF(CalcCredit2,INDEX(PkFixedA,215),CalcAmt2)))</f>
        <v/>
      </c>
      <c r="G799" s="20">
        <f>IF($B799="","",ROUND($E799-$F799,0))</f>
        <v/>
      </c>
      <c r="H799" s="17">
        <f>IF($B799="","",IF(ROUND($G799,0)&gt;0,"بدهکار",IF(ROUND($G799,0)&lt;0,"بستانکار","تسویه")))</f>
        <v/>
      </c>
    </row>
    <row r="800">
      <c r="A800" s="11">
        <f>IF($B800="","",791)</f>
        <v/>
      </c>
      <c r="B800" s="12">
        <f>IF(216&gt;NFixedA,"",IFERROR(IF(VLOOKUP(INDEX(PkFixedA,216),AcctTblA,4,0)="","(بدون نام)",VLOOKUP(INDEX(PkFixedA,216),AcctTblA,4,0)),"—"))</f>
        <v/>
      </c>
      <c r="C800" s="13">
        <f>IF($B800="","",IF(216&gt;NFixedA,"",INDEX(PkFixedA,216)))</f>
        <v/>
      </c>
      <c r="D800" s="12">
        <f>IF($B800="","","f")</f>
        <v/>
      </c>
      <c r="E800" s="14">
        <f>IF($B800="","",IF(216&gt;NFixedA,0,SUMIF(CalcDebit,INDEX(PkFixedA,216),CalcAmt)+SUMIF(CalcDebit2,INDEX(PkFixedA,216),CalcAmt2)))</f>
        <v/>
      </c>
      <c r="F800" s="14">
        <f>IF($B800="","",IF(216&gt;NFixedA,0,SUMIF(CalcCredit,INDEX(PkFixedA,216),CalcAmt)+SUMIF(CalcCredit2,INDEX(PkFixedA,216),CalcAmt2)))</f>
        <v/>
      </c>
      <c r="G800" s="15">
        <f>IF($B800="","",ROUND($E800-$F800,0))</f>
        <v/>
      </c>
      <c r="H800" s="12">
        <f>IF($B800="","",IF(ROUND($G800,0)&gt;0,"بدهکار",IF(ROUND($G800,0)&lt;0,"بستانکار","تسویه")))</f>
        <v/>
      </c>
    </row>
    <row r="801">
      <c r="A801" s="16">
        <f>IF($B801="","",792)</f>
        <v/>
      </c>
      <c r="B801" s="17">
        <f>IF(217&gt;NFixedA,"",IFERROR(IF(VLOOKUP(INDEX(PkFixedA,217),AcctTblA,4,0)="","(بدون نام)",VLOOKUP(INDEX(PkFixedA,217),AcctTblA,4,0)),"—"))</f>
        <v/>
      </c>
      <c r="C801" s="18">
        <f>IF($B801="","",IF(217&gt;NFixedA,"",INDEX(PkFixedA,217)))</f>
        <v/>
      </c>
      <c r="D801" s="17">
        <f>IF($B801="","","f")</f>
        <v/>
      </c>
      <c r="E801" s="19">
        <f>IF($B801="","",IF(217&gt;NFixedA,0,SUMIF(CalcDebit,INDEX(PkFixedA,217),CalcAmt)+SUMIF(CalcDebit2,INDEX(PkFixedA,217),CalcAmt2)))</f>
        <v/>
      </c>
      <c r="F801" s="19">
        <f>IF($B801="","",IF(217&gt;NFixedA,0,SUMIF(CalcCredit,INDEX(PkFixedA,217),CalcAmt)+SUMIF(CalcCredit2,INDEX(PkFixedA,217),CalcAmt2)))</f>
        <v/>
      </c>
      <c r="G801" s="20">
        <f>IF($B801="","",ROUND($E801-$F801,0))</f>
        <v/>
      </c>
      <c r="H801" s="17">
        <f>IF($B801="","",IF(ROUND($G801,0)&gt;0,"بدهکار",IF(ROUND($G801,0)&lt;0,"بستانکار","تسویه")))</f>
        <v/>
      </c>
    </row>
    <row r="802">
      <c r="A802" s="11">
        <f>IF($B802="","",793)</f>
        <v/>
      </c>
      <c r="B802" s="12">
        <f>IF(218&gt;NFixedA,"",IFERROR(IF(VLOOKUP(INDEX(PkFixedA,218),AcctTblA,4,0)="","(بدون نام)",VLOOKUP(INDEX(PkFixedA,218),AcctTblA,4,0)),"—"))</f>
        <v/>
      </c>
      <c r="C802" s="13">
        <f>IF($B802="","",IF(218&gt;NFixedA,"",INDEX(PkFixedA,218)))</f>
        <v/>
      </c>
      <c r="D802" s="12">
        <f>IF($B802="","","f")</f>
        <v/>
      </c>
      <c r="E802" s="14">
        <f>IF($B802="","",IF(218&gt;NFixedA,0,SUMIF(CalcDebit,INDEX(PkFixedA,218),CalcAmt)+SUMIF(CalcDebit2,INDEX(PkFixedA,218),CalcAmt2)))</f>
        <v/>
      </c>
      <c r="F802" s="14">
        <f>IF($B802="","",IF(218&gt;NFixedA,0,SUMIF(CalcCredit,INDEX(PkFixedA,218),CalcAmt)+SUMIF(CalcCredit2,INDEX(PkFixedA,218),CalcAmt2)))</f>
        <v/>
      </c>
      <c r="G802" s="15">
        <f>IF($B802="","",ROUND($E802-$F802,0))</f>
        <v/>
      </c>
      <c r="H802" s="12">
        <f>IF($B802="","",IF(ROUND($G802,0)&gt;0,"بدهکار",IF(ROUND($G802,0)&lt;0,"بستانکار","تسویه")))</f>
        <v/>
      </c>
    </row>
    <row r="803">
      <c r="A803" s="16">
        <f>IF($B803="","",794)</f>
        <v/>
      </c>
      <c r="B803" s="17">
        <f>IF(219&gt;NFixedA,"",IFERROR(IF(VLOOKUP(INDEX(PkFixedA,219),AcctTblA,4,0)="","(بدون نام)",VLOOKUP(INDEX(PkFixedA,219),AcctTblA,4,0)),"—"))</f>
        <v/>
      </c>
      <c r="C803" s="18">
        <f>IF($B803="","",IF(219&gt;NFixedA,"",INDEX(PkFixedA,219)))</f>
        <v/>
      </c>
      <c r="D803" s="17">
        <f>IF($B803="","","f")</f>
        <v/>
      </c>
      <c r="E803" s="19">
        <f>IF($B803="","",IF(219&gt;NFixedA,0,SUMIF(CalcDebit,INDEX(PkFixedA,219),CalcAmt)+SUMIF(CalcDebit2,INDEX(PkFixedA,219),CalcAmt2)))</f>
        <v/>
      </c>
      <c r="F803" s="19">
        <f>IF($B803="","",IF(219&gt;NFixedA,0,SUMIF(CalcCredit,INDEX(PkFixedA,219),CalcAmt)+SUMIF(CalcCredit2,INDEX(PkFixedA,219),CalcAmt2)))</f>
        <v/>
      </c>
      <c r="G803" s="20">
        <f>IF($B803="","",ROUND($E803-$F803,0))</f>
        <v/>
      </c>
      <c r="H803" s="17">
        <f>IF($B803="","",IF(ROUND($G803,0)&gt;0,"بدهکار",IF(ROUND($G803,0)&lt;0,"بستانکار","تسویه")))</f>
        <v/>
      </c>
    </row>
    <row r="804">
      <c r="A804" s="11">
        <f>IF($B804="","",795)</f>
        <v/>
      </c>
      <c r="B804" s="12">
        <f>IF(220&gt;NFixedA,"",IFERROR(IF(VLOOKUP(INDEX(PkFixedA,220),AcctTblA,4,0)="","(بدون نام)",VLOOKUP(INDEX(PkFixedA,220),AcctTblA,4,0)),"—"))</f>
        <v/>
      </c>
      <c r="C804" s="13">
        <f>IF($B804="","",IF(220&gt;NFixedA,"",INDEX(PkFixedA,220)))</f>
        <v/>
      </c>
      <c r="D804" s="12">
        <f>IF($B804="","","f")</f>
        <v/>
      </c>
      <c r="E804" s="14">
        <f>IF($B804="","",IF(220&gt;NFixedA,0,SUMIF(CalcDebit,INDEX(PkFixedA,220),CalcAmt)+SUMIF(CalcDebit2,INDEX(PkFixedA,220),CalcAmt2)))</f>
        <v/>
      </c>
      <c r="F804" s="14">
        <f>IF($B804="","",IF(220&gt;NFixedA,0,SUMIF(CalcCredit,INDEX(PkFixedA,220),CalcAmt)+SUMIF(CalcCredit2,INDEX(PkFixedA,220),CalcAmt2)))</f>
        <v/>
      </c>
      <c r="G804" s="15">
        <f>IF($B804="","",ROUND($E804-$F804,0))</f>
        <v/>
      </c>
      <c r="H804" s="12">
        <f>IF($B804="","",IF(ROUND($G804,0)&gt;0,"بدهکار",IF(ROUND($G804,0)&lt;0,"بستانکار","تسویه")))</f>
        <v/>
      </c>
    </row>
    <row r="805">
      <c r="A805" s="16">
        <f>IF($B805="","",796)</f>
        <v/>
      </c>
      <c r="B805" s="17">
        <f>IF(221&gt;NFixedA,"",IFERROR(IF(VLOOKUP(INDEX(PkFixedA,221),AcctTblA,4,0)="","(بدون نام)",VLOOKUP(INDEX(PkFixedA,221),AcctTblA,4,0)),"—"))</f>
        <v/>
      </c>
      <c r="C805" s="18">
        <f>IF($B805="","",IF(221&gt;NFixedA,"",INDEX(PkFixedA,221)))</f>
        <v/>
      </c>
      <c r="D805" s="17">
        <f>IF($B805="","","f")</f>
        <v/>
      </c>
      <c r="E805" s="19">
        <f>IF($B805="","",IF(221&gt;NFixedA,0,SUMIF(CalcDebit,INDEX(PkFixedA,221),CalcAmt)+SUMIF(CalcDebit2,INDEX(PkFixedA,221),CalcAmt2)))</f>
        <v/>
      </c>
      <c r="F805" s="19">
        <f>IF($B805="","",IF(221&gt;NFixedA,0,SUMIF(CalcCredit,INDEX(PkFixedA,221),CalcAmt)+SUMIF(CalcCredit2,INDEX(PkFixedA,221),CalcAmt2)))</f>
        <v/>
      </c>
      <c r="G805" s="20">
        <f>IF($B805="","",ROUND($E805-$F805,0))</f>
        <v/>
      </c>
      <c r="H805" s="17">
        <f>IF($B805="","",IF(ROUND($G805,0)&gt;0,"بدهکار",IF(ROUND($G805,0)&lt;0,"بستانکار","تسویه")))</f>
        <v/>
      </c>
    </row>
    <row r="806">
      <c r="A806" s="11">
        <f>IF($B806="","",797)</f>
        <v/>
      </c>
      <c r="B806" s="12">
        <f>IF(222&gt;NFixedA,"",IFERROR(IF(VLOOKUP(INDEX(PkFixedA,222),AcctTblA,4,0)="","(بدون نام)",VLOOKUP(INDEX(PkFixedA,222),AcctTblA,4,0)),"—"))</f>
        <v/>
      </c>
      <c r="C806" s="13">
        <f>IF($B806="","",IF(222&gt;NFixedA,"",INDEX(PkFixedA,222)))</f>
        <v/>
      </c>
      <c r="D806" s="12">
        <f>IF($B806="","","f")</f>
        <v/>
      </c>
      <c r="E806" s="14">
        <f>IF($B806="","",IF(222&gt;NFixedA,0,SUMIF(CalcDebit,INDEX(PkFixedA,222),CalcAmt)+SUMIF(CalcDebit2,INDEX(PkFixedA,222),CalcAmt2)))</f>
        <v/>
      </c>
      <c r="F806" s="14">
        <f>IF($B806="","",IF(222&gt;NFixedA,0,SUMIF(CalcCredit,INDEX(PkFixedA,222),CalcAmt)+SUMIF(CalcCredit2,INDEX(PkFixedA,222),CalcAmt2)))</f>
        <v/>
      </c>
      <c r="G806" s="15">
        <f>IF($B806="","",ROUND($E806-$F806,0))</f>
        <v/>
      </c>
      <c r="H806" s="12">
        <f>IF($B806="","",IF(ROUND($G806,0)&gt;0,"بدهکار",IF(ROUND($G806,0)&lt;0,"بستانکار","تسویه")))</f>
        <v/>
      </c>
    </row>
    <row r="807">
      <c r="A807" s="16">
        <f>IF($B807="","",798)</f>
        <v/>
      </c>
      <c r="B807" s="17">
        <f>IF(223&gt;NFixedA,"",IFERROR(IF(VLOOKUP(INDEX(PkFixedA,223),AcctTblA,4,0)="","(بدون نام)",VLOOKUP(INDEX(PkFixedA,223),AcctTblA,4,0)),"—"))</f>
        <v/>
      </c>
      <c r="C807" s="18">
        <f>IF($B807="","",IF(223&gt;NFixedA,"",INDEX(PkFixedA,223)))</f>
        <v/>
      </c>
      <c r="D807" s="17">
        <f>IF($B807="","","f")</f>
        <v/>
      </c>
      <c r="E807" s="19">
        <f>IF($B807="","",IF(223&gt;NFixedA,0,SUMIF(CalcDebit,INDEX(PkFixedA,223),CalcAmt)+SUMIF(CalcDebit2,INDEX(PkFixedA,223),CalcAmt2)))</f>
        <v/>
      </c>
      <c r="F807" s="19">
        <f>IF($B807="","",IF(223&gt;NFixedA,0,SUMIF(CalcCredit,INDEX(PkFixedA,223),CalcAmt)+SUMIF(CalcCredit2,INDEX(PkFixedA,223),CalcAmt2)))</f>
        <v/>
      </c>
      <c r="G807" s="20">
        <f>IF($B807="","",ROUND($E807-$F807,0))</f>
        <v/>
      </c>
      <c r="H807" s="17">
        <f>IF($B807="","",IF(ROUND($G807,0)&gt;0,"بدهکار",IF(ROUND($G807,0)&lt;0,"بستانکار","تسویه")))</f>
        <v/>
      </c>
    </row>
    <row r="808">
      <c r="A808" s="11">
        <f>IF($B808="","",799)</f>
        <v/>
      </c>
      <c r="B808" s="12">
        <f>IF(224&gt;NFixedA,"",IFERROR(IF(VLOOKUP(INDEX(PkFixedA,224),AcctTblA,4,0)="","(بدون نام)",VLOOKUP(INDEX(PkFixedA,224),AcctTblA,4,0)),"—"))</f>
        <v/>
      </c>
      <c r="C808" s="13">
        <f>IF($B808="","",IF(224&gt;NFixedA,"",INDEX(PkFixedA,224)))</f>
        <v/>
      </c>
      <c r="D808" s="12">
        <f>IF($B808="","","f")</f>
        <v/>
      </c>
      <c r="E808" s="14">
        <f>IF($B808="","",IF(224&gt;NFixedA,0,SUMIF(CalcDebit,INDEX(PkFixedA,224),CalcAmt)+SUMIF(CalcDebit2,INDEX(PkFixedA,224),CalcAmt2)))</f>
        <v/>
      </c>
      <c r="F808" s="14">
        <f>IF($B808="","",IF(224&gt;NFixedA,0,SUMIF(CalcCredit,INDEX(PkFixedA,224),CalcAmt)+SUMIF(CalcCredit2,INDEX(PkFixedA,224),CalcAmt2)))</f>
        <v/>
      </c>
      <c r="G808" s="15">
        <f>IF($B808="","",ROUND($E808-$F808,0))</f>
        <v/>
      </c>
      <c r="H808" s="12">
        <f>IF($B808="","",IF(ROUND($G808,0)&gt;0,"بدهکار",IF(ROUND($G808,0)&lt;0,"بستانکار","تسویه")))</f>
        <v/>
      </c>
    </row>
    <row r="809">
      <c r="A809" s="16">
        <f>IF($B809="","",800)</f>
        <v/>
      </c>
      <c r="B809" s="17">
        <f>IF(225&gt;NFixedA,"",IFERROR(IF(VLOOKUP(INDEX(PkFixedA,225),AcctTblA,4,0)="","(بدون نام)",VLOOKUP(INDEX(PkFixedA,225),AcctTblA,4,0)),"—"))</f>
        <v/>
      </c>
      <c r="C809" s="18">
        <f>IF($B809="","",IF(225&gt;NFixedA,"",INDEX(PkFixedA,225)))</f>
        <v/>
      </c>
      <c r="D809" s="17">
        <f>IF($B809="","","f")</f>
        <v/>
      </c>
      <c r="E809" s="19">
        <f>IF($B809="","",IF(225&gt;NFixedA,0,SUMIF(CalcDebit,INDEX(PkFixedA,225),CalcAmt)+SUMIF(CalcDebit2,INDEX(PkFixedA,225),CalcAmt2)))</f>
        <v/>
      </c>
      <c r="F809" s="19">
        <f>IF($B809="","",IF(225&gt;NFixedA,0,SUMIF(CalcCredit,INDEX(PkFixedA,225),CalcAmt)+SUMIF(CalcCredit2,INDEX(PkFixedA,225),CalcAmt2)))</f>
        <v/>
      </c>
      <c r="G809" s="20">
        <f>IF($B809="","",ROUND($E809-$F809,0))</f>
        <v/>
      </c>
      <c r="H809" s="17">
        <f>IF($B809="","",IF(ROUND($G809,0)&gt;0,"بدهکار",IF(ROUND($G809,0)&lt;0,"بستانکار","تسویه")))</f>
        <v/>
      </c>
    </row>
    <row r="810">
      <c r="A810" s="11">
        <f>IF($B810="","",801)</f>
        <v/>
      </c>
      <c r="B810" s="12">
        <f>IF(226&gt;NFixedA,"",IFERROR(IF(VLOOKUP(INDEX(PkFixedA,226),AcctTblA,4,0)="","(بدون نام)",VLOOKUP(INDEX(PkFixedA,226),AcctTblA,4,0)),"—"))</f>
        <v/>
      </c>
      <c r="C810" s="13">
        <f>IF($B810="","",IF(226&gt;NFixedA,"",INDEX(PkFixedA,226)))</f>
        <v/>
      </c>
      <c r="D810" s="12">
        <f>IF($B810="","","f")</f>
        <v/>
      </c>
      <c r="E810" s="14">
        <f>IF($B810="","",IF(226&gt;NFixedA,0,SUMIF(CalcDebit,INDEX(PkFixedA,226),CalcAmt)+SUMIF(CalcDebit2,INDEX(PkFixedA,226),CalcAmt2)))</f>
        <v/>
      </c>
      <c r="F810" s="14">
        <f>IF($B810="","",IF(226&gt;NFixedA,0,SUMIF(CalcCredit,INDEX(PkFixedA,226),CalcAmt)+SUMIF(CalcCredit2,INDEX(PkFixedA,226),CalcAmt2)))</f>
        <v/>
      </c>
      <c r="G810" s="15">
        <f>IF($B810="","",ROUND($E810-$F810,0))</f>
        <v/>
      </c>
      <c r="H810" s="12">
        <f>IF($B810="","",IF(ROUND($G810,0)&gt;0,"بدهکار",IF(ROUND($G810,0)&lt;0,"بستانکار","تسویه")))</f>
        <v/>
      </c>
    </row>
    <row r="811">
      <c r="A811" s="16">
        <f>IF($B811="","",802)</f>
        <v/>
      </c>
      <c r="B811" s="17">
        <f>IF(227&gt;NFixedA,"",IFERROR(IF(VLOOKUP(INDEX(PkFixedA,227),AcctTblA,4,0)="","(بدون نام)",VLOOKUP(INDEX(PkFixedA,227),AcctTblA,4,0)),"—"))</f>
        <v/>
      </c>
      <c r="C811" s="18">
        <f>IF($B811="","",IF(227&gt;NFixedA,"",INDEX(PkFixedA,227)))</f>
        <v/>
      </c>
      <c r="D811" s="17">
        <f>IF($B811="","","f")</f>
        <v/>
      </c>
      <c r="E811" s="19">
        <f>IF($B811="","",IF(227&gt;NFixedA,0,SUMIF(CalcDebit,INDEX(PkFixedA,227),CalcAmt)+SUMIF(CalcDebit2,INDEX(PkFixedA,227),CalcAmt2)))</f>
        <v/>
      </c>
      <c r="F811" s="19">
        <f>IF($B811="","",IF(227&gt;NFixedA,0,SUMIF(CalcCredit,INDEX(PkFixedA,227),CalcAmt)+SUMIF(CalcCredit2,INDEX(PkFixedA,227),CalcAmt2)))</f>
        <v/>
      </c>
      <c r="G811" s="20">
        <f>IF($B811="","",ROUND($E811-$F811,0))</f>
        <v/>
      </c>
      <c r="H811" s="17">
        <f>IF($B811="","",IF(ROUND($G811,0)&gt;0,"بدهکار",IF(ROUND($G811,0)&lt;0,"بستانکار","تسویه")))</f>
        <v/>
      </c>
    </row>
    <row r="812">
      <c r="A812" s="11">
        <f>IF($B812="","",803)</f>
        <v/>
      </c>
      <c r="B812" s="12">
        <f>IF(228&gt;NFixedA,"",IFERROR(IF(VLOOKUP(INDEX(PkFixedA,228),AcctTblA,4,0)="","(بدون نام)",VLOOKUP(INDEX(PkFixedA,228),AcctTblA,4,0)),"—"))</f>
        <v/>
      </c>
      <c r="C812" s="13">
        <f>IF($B812="","",IF(228&gt;NFixedA,"",INDEX(PkFixedA,228)))</f>
        <v/>
      </c>
      <c r="D812" s="12">
        <f>IF($B812="","","f")</f>
        <v/>
      </c>
      <c r="E812" s="14">
        <f>IF($B812="","",IF(228&gt;NFixedA,0,SUMIF(CalcDebit,INDEX(PkFixedA,228),CalcAmt)+SUMIF(CalcDebit2,INDEX(PkFixedA,228),CalcAmt2)))</f>
        <v/>
      </c>
      <c r="F812" s="14">
        <f>IF($B812="","",IF(228&gt;NFixedA,0,SUMIF(CalcCredit,INDEX(PkFixedA,228),CalcAmt)+SUMIF(CalcCredit2,INDEX(PkFixedA,228),CalcAmt2)))</f>
        <v/>
      </c>
      <c r="G812" s="15">
        <f>IF($B812="","",ROUND($E812-$F812,0))</f>
        <v/>
      </c>
      <c r="H812" s="12">
        <f>IF($B812="","",IF(ROUND($G812,0)&gt;0,"بدهکار",IF(ROUND($G812,0)&lt;0,"بستانکار","تسویه")))</f>
        <v/>
      </c>
    </row>
    <row r="813">
      <c r="A813" s="16">
        <f>IF($B813="","",804)</f>
        <v/>
      </c>
      <c r="B813" s="17">
        <f>IF(229&gt;NFixedA,"",IFERROR(IF(VLOOKUP(INDEX(PkFixedA,229),AcctTblA,4,0)="","(بدون نام)",VLOOKUP(INDEX(PkFixedA,229),AcctTblA,4,0)),"—"))</f>
        <v/>
      </c>
      <c r="C813" s="18">
        <f>IF($B813="","",IF(229&gt;NFixedA,"",INDEX(PkFixedA,229)))</f>
        <v/>
      </c>
      <c r="D813" s="17">
        <f>IF($B813="","","f")</f>
        <v/>
      </c>
      <c r="E813" s="19">
        <f>IF($B813="","",IF(229&gt;NFixedA,0,SUMIF(CalcDebit,INDEX(PkFixedA,229),CalcAmt)+SUMIF(CalcDebit2,INDEX(PkFixedA,229),CalcAmt2)))</f>
        <v/>
      </c>
      <c r="F813" s="19">
        <f>IF($B813="","",IF(229&gt;NFixedA,0,SUMIF(CalcCredit,INDEX(PkFixedA,229),CalcAmt)+SUMIF(CalcCredit2,INDEX(PkFixedA,229),CalcAmt2)))</f>
        <v/>
      </c>
      <c r="G813" s="20">
        <f>IF($B813="","",ROUND($E813-$F813,0))</f>
        <v/>
      </c>
      <c r="H813" s="17">
        <f>IF($B813="","",IF(ROUND($G813,0)&gt;0,"بدهکار",IF(ROUND($G813,0)&lt;0,"بستانکار","تسویه")))</f>
        <v/>
      </c>
    </row>
    <row r="814">
      <c r="A814" s="11">
        <f>IF($B814="","",805)</f>
        <v/>
      </c>
      <c r="B814" s="12">
        <f>IF(230&gt;NFixedA,"",IFERROR(IF(VLOOKUP(INDEX(PkFixedA,230),AcctTblA,4,0)="","(بدون نام)",VLOOKUP(INDEX(PkFixedA,230),AcctTblA,4,0)),"—"))</f>
        <v/>
      </c>
      <c r="C814" s="13">
        <f>IF($B814="","",IF(230&gt;NFixedA,"",INDEX(PkFixedA,230)))</f>
        <v/>
      </c>
      <c r="D814" s="12">
        <f>IF($B814="","","f")</f>
        <v/>
      </c>
      <c r="E814" s="14">
        <f>IF($B814="","",IF(230&gt;NFixedA,0,SUMIF(CalcDebit,INDEX(PkFixedA,230),CalcAmt)+SUMIF(CalcDebit2,INDEX(PkFixedA,230),CalcAmt2)))</f>
        <v/>
      </c>
      <c r="F814" s="14">
        <f>IF($B814="","",IF(230&gt;NFixedA,0,SUMIF(CalcCredit,INDEX(PkFixedA,230),CalcAmt)+SUMIF(CalcCredit2,INDEX(PkFixedA,230),CalcAmt2)))</f>
        <v/>
      </c>
      <c r="G814" s="15">
        <f>IF($B814="","",ROUND($E814-$F814,0))</f>
        <v/>
      </c>
      <c r="H814" s="12">
        <f>IF($B814="","",IF(ROUND($G814,0)&gt;0,"بدهکار",IF(ROUND($G814,0)&lt;0,"بستانکار","تسویه")))</f>
        <v/>
      </c>
    </row>
    <row r="815">
      <c r="A815" s="16">
        <f>IF($B815="","",806)</f>
        <v/>
      </c>
      <c r="B815" s="17">
        <f>IF(231&gt;NFixedA,"",IFERROR(IF(VLOOKUP(INDEX(PkFixedA,231),AcctTblA,4,0)="","(بدون نام)",VLOOKUP(INDEX(PkFixedA,231),AcctTblA,4,0)),"—"))</f>
        <v/>
      </c>
      <c r="C815" s="18">
        <f>IF($B815="","",IF(231&gt;NFixedA,"",INDEX(PkFixedA,231)))</f>
        <v/>
      </c>
      <c r="D815" s="17">
        <f>IF($B815="","","f")</f>
        <v/>
      </c>
      <c r="E815" s="19">
        <f>IF($B815="","",IF(231&gt;NFixedA,0,SUMIF(CalcDebit,INDEX(PkFixedA,231),CalcAmt)+SUMIF(CalcDebit2,INDEX(PkFixedA,231),CalcAmt2)))</f>
        <v/>
      </c>
      <c r="F815" s="19">
        <f>IF($B815="","",IF(231&gt;NFixedA,0,SUMIF(CalcCredit,INDEX(PkFixedA,231),CalcAmt)+SUMIF(CalcCredit2,INDEX(PkFixedA,231),CalcAmt2)))</f>
        <v/>
      </c>
      <c r="G815" s="20">
        <f>IF($B815="","",ROUND($E815-$F815,0))</f>
        <v/>
      </c>
      <c r="H815" s="17">
        <f>IF($B815="","",IF(ROUND($G815,0)&gt;0,"بدهکار",IF(ROUND($G815,0)&lt;0,"بستانکار","تسویه")))</f>
        <v/>
      </c>
    </row>
    <row r="816">
      <c r="A816" s="11">
        <f>IF($B816="","",807)</f>
        <v/>
      </c>
      <c r="B816" s="12">
        <f>IF(232&gt;NFixedA,"",IFERROR(IF(VLOOKUP(INDEX(PkFixedA,232),AcctTblA,4,0)="","(بدون نام)",VLOOKUP(INDEX(PkFixedA,232),AcctTblA,4,0)),"—"))</f>
        <v/>
      </c>
      <c r="C816" s="13">
        <f>IF($B816="","",IF(232&gt;NFixedA,"",INDEX(PkFixedA,232)))</f>
        <v/>
      </c>
      <c r="D816" s="12">
        <f>IF($B816="","","f")</f>
        <v/>
      </c>
      <c r="E816" s="14">
        <f>IF($B816="","",IF(232&gt;NFixedA,0,SUMIF(CalcDebit,INDEX(PkFixedA,232),CalcAmt)+SUMIF(CalcDebit2,INDEX(PkFixedA,232),CalcAmt2)))</f>
        <v/>
      </c>
      <c r="F816" s="14">
        <f>IF($B816="","",IF(232&gt;NFixedA,0,SUMIF(CalcCredit,INDEX(PkFixedA,232),CalcAmt)+SUMIF(CalcCredit2,INDEX(PkFixedA,232),CalcAmt2)))</f>
        <v/>
      </c>
      <c r="G816" s="15">
        <f>IF($B816="","",ROUND($E816-$F816,0))</f>
        <v/>
      </c>
      <c r="H816" s="12">
        <f>IF($B816="","",IF(ROUND($G816,0)&gt;0,"بدهکار",IF(ROUND($G816,0)&lt;0,"بستانکار","تسویه")))</f>
        <v/>
      </c>
    </row>
    <row r="817">
      <c r="A817" s="16">
        <f>IF($B817="","",808)</f>
        <v/>
      </c>
      <c r="B817" s="17">
        <f>IF(233&gt;NFixedA,"",IFERROR(IF(VLOOKUP(INDEX(PkFixedA,233),AcctTblA,4,0)="","(بدون نام)",VLOOKUP(INDEX(PkFixedA,233),AcctTblA,4,0)),"—"))</f>
        <v/>
      </c>
      <c r="C817" s="18">
        <f>IF($B817="","",IF(233&gt;NFixedA,"",INDEX(PkFixedA,233)))</f>
        <v/>
      </c>
      <c r="D817" s="17">
        <f>IF($B817="","","f")</f>
        <v/>
      </c>
      <c r="E817" s="19">
        <f>IF($B817="","",IF(233&gt;NFixedA,0,SUMIF(CalcDebit,INDEX(PkFixedA,233),CalcAmt)+SUMIF(CalcDebit2,INDEX(PkFixedA,233),CalcAmt2)))</f>
        <v/>
      </c>
      <c r="F817" s="19">
        <f>IF($B817="","",IF(233&gt;NFixedA,0,SUMIF(CalcCredit,INDEX(PkFixedA,233),CalcAmt)+SUMIF(CalcCredit2,INDEX(PkFixedA,233),CalcAmt2)))</f>
        <v/>
      </c>
      <c r="G817" s="20">
        <f>IF($B817="","",ROUND($E817-$F817,0))</f>
        <v/>
      </c>
      <c r="H817" s="17">
        <f>IF($B817="","",IF(ROUND($G817,0)&gt;0,"بدهکار",IF(ROUND($G817,0)&lt;0,"بستانکار","تسویه")))</f>
        <v/>
      </c>
    </row>
    <row r="818">
      <c r="A818" s="11">
        <f>IF($B818="","",809)</f>
        <v/>
      </c>
      <c r="B818" s="12">
        <f>IF(234&gt;NFixedA,"",IFERROR(IF(VLOOKUP(INDEX(PkFixedA,234),AcctTblA,4,0)="","(بدون نام)",VLOOKUP(INDEX(PkFixedA,234),AcctTblA,4,0)),"—"))</f>
        <v/>
      </c>
      <c r="C818" s="13">
        <f>IF($B818="","",IF(234&gt;NFixedA,"",INDEX(PkFixedA,234)))</f>
        <v/>
      </c>
      <c r="D818" s="12">
        <f>IF($B818="","","f")</f>
        <v/>
      </c>
      <c r="E818" s="14">
        <f>IF($B818="","",IF(234&gt;NFixedA,0,SUMIF(CalcDebit,INDEX(PkFixedA,234),CalcAmt)+SUMIF(CalcDebit2,INDEX(PkFixedA,234),CalcAmt2)))</f>
        <v/>
      </c>
      <c r="F818" s="14">
        <f>IF($B818="","",IF(234&gt;NFixedA,0,SUMIF(CalcCredit,INDEX(PkFixedA,234),CalcAmt)+SUMIF(CalcCredit2,INDEX(PkFixedA,234),CalcAmt2)))</f>
        <v/>
      </c>
      <c r="G818" s="15">
        <f>IF($B818="","",ROUND($E818-$F818,0))</f>
        <v/>
      </c>
      <c r="H818" s="12">
        <f>IF($B818="","",IF(ROUND($G818,0)&gt;0,"بدهکار",IF(ROUND($G818,0)&lt;0,"بستانکار","تسویه")))</f>
        <v/>
      </c>
    </row>
    <row r="819">
      <c r="A819" s="16">
        <f>IF($B819="","",810)</f>
        <v/>
      </c>
      <c r="B819" s="17">
        <f>IF(235&gt;NFixedA,"",IFERROR(IF(VLOOKUP(INDEX(PkFixedA,235),AcctTblA,4,0)="","(بدون نام)",VLOOKUP(INDEX(PkFixedA,235),AcctTblA,4,0)),"—"))</f>
        <v/>
      </c>
      <c r="C819" s="18">
        <f>IF($B819="","",IF(235&gt;NFixedA,"",INDEX(PkFixedA,235)))</f>
        <v/>
      </c>
      <c r="D819" s="17">
        <f>IF($B819="","","f")</f>
        <v/>
      </c>
      <c r="E819" s="19">
        <f>IF($B819="","",IF(235&gt;NFixedA,0,SUMIF(CalcDebit,INDEX(PkFixedA,235),CalcAmt)+SUMIF(CalcDebit2,INDEX(PkFixedA,235),CalcAmt2)))</f>
        <v/>
      </c>
      <c r="F819" s="19">
        <f>IF($B819="","",IF(235&gt;NFixedA,0,SUMIF(CalcCredit,INDEX(PkFixedA,235),CalcAmt)+SUMIF(CalcCredit2,INDEX(PkFixedA,235),CalcAmt2)))</f>
        <v/>
      </c>
      <c r="G819" s="20">
        <f>IF($B819="","",ROUND($E819-$F819,0))</f>
        <v/>
      </c>
      <c r="H819" s="17">
        <f>IF($B819="","",IF(ROUND($G819,0)&gt;0,"بدهکار",IF(ROUND($G819,0)&lt;0,"بستانکار","تسویه")))</f>
        <v/>
      </c>
    </row>
    <row r="820">
      <c r="A820" s="11">
        <f>IF($B820="","",811)</f>
        <v/>
      </c>
      <c r="B820" s="12">
        <f>IF(236&gt;NFixedA,"",IFERROR(IF(VLOOKUP(INDEX(PkFixedA,236),AcctTblA,4,0)="","(بدون نام)",VLOOKUP(INDEX(PkFixedA,236),AcctTblA,4,0)),"—"))</f>
        <v/>
      </c>
      <c r="C820" s="13">
        <f>IF($B820="","",IF(236&gt;NFixedA,"",INDEX(PkFixedA,236)))</f>
        <v/>
      </c>
      <c r="D820" s="12">
        <f>IF($B820="","","f")</f>
        <v/>
      </c>
      <c r="E820" s="14">
        <f>IF($B820="","",IF(236&gt;NFixedA,0,SUMIF(CalcDebit,INDEX(PkFixedA,236),CalcAmt)+SUMIF(CalcDebit2,INDEX(PkFixedA,236),CalcAmt2)))</f>
        <v/>
      </c>
      <c r="F820" s="14">
        <f>IF($B820="","",IF(236&gt;NFixedA,0,SUMIF(CalcCredit,INDEX(PkFixedA,236),CalcAmt)+SUMIF(CalcCredit2,INDEX(PkFixedA,236),CalcAmt2)))</f>
        <v/>
      </c>
      <c r="G820" s="15">
        <f>IF($B820="","",ROUND($E820-$F820,0))</f>
        <v/>
      </c>
      <c r="H820" s="12">
        <f>IF($B820="","",IF(ROUND($G820,0)&gt;0,"بدهکار",IF(ROUND($G820,0)&lt;0,"بستانکار","تسویه")))</f>
        <v/>
      </c>
    </row>
    <row r="821">
      <c r="A821" s="16">
        <f>IF($B821="","",812)</f>
        <v/>
      </c>
      <c r="B821" s="17">
        <f>IF(237&gt;NFixedA,"",IFERROR(IF(VLOOKUP(INDEX(PkFixedA,237),AcctTblA,4,0)="","(بدون نام)",VLOOKUP(INDEX(PkFixedA,237),AcctTblA,4,0)),"—"))</f>
        <v/>
      </c>
      <c r="C821" s="18">
        <f>IF($B821="","",IF(237&gt;NFixedA,"",INDEX(PkFixedA,237)))</f>
        <v/>
      </c>
      <c r="D821" s="17">
        <f>IF($B821="","","f")</f>
        <v/>
      </c>
      <c r="E821" s="19">
        <f>IF($B821="","",IF(237&gt;NFixedA,0,SUMIF(CalcDebit,INDEX(PkFixedA,237),CalcAmt)+SUMIF(CalcDebit2,INDEX(PkFixedA,237),CalcAmt2)))</f>
        <v/>
      </c>
      <c r="F821" s="19">
        <f>IF($B821="","",IF(237&gt;NFixedA,0,SUMIF(CalcCredit,INDEX(PkFixedA,237),CalcAmt)+SUMIF(CalcCredit2,INDEX(PkFixedA,237),CalcAmt2)))</f>
        <v/>
      </c>
      <c r="G821" s="20">
        <f>IF($B821="","",ROUND($E821-$F821,0))</f>
        <v/>
      </c>
      <c r="H821" s="17">
        <f>IF($B821="","",IF(ROUND($G821,0)&gt;0,"بدهکار",IF(ROUND($G821,0)&lt;0,"بستانکار","تسویه")))</f>
        <v/>
      </c>
    </row>
    <row r="822">
      <c r="A822" s="11">
        <f>IF($B822="","",813)</f>
        <v/>
      </c>
      <c r="B822" s="12">
        <f>IF(238&gt;NFixedA,"",IFERROR(IF(VLOOKUP(INDEX(PkFixedA,238),AcctTblA,4,0)="","(بدون نام)",VLOOKUP(INDEX(PkFixedA,238),AcctTblA,4,0)),"—"))</f>
        <v/>
      </c>
      <c r="C822" s="13">
        <f>IF($B822="","",IF(238&gt;NFixedA,"",INDEX(PkFixedA,238)))</f>
        <v/>
      </c>
      <c r="D822" s="12">
        <f>IF($B822="","","f")</f>
        <v/>
      </c>
      <c r="E822" s="14">
        <f>IF($B822="","",IF(238&gt;NFixedA,0,SUMIF(CalcDebit,INDEX(PkFixedA,238),CalcAmt)+SUMIF(CalcDebit2,INDEX(PkFixedA,238),CalcAmt2)))</f>
        <v/>
      </c>
      <c r="F822" s="14">
        <f>IF($B822="","",IF(238&gt;NFixedA,0,SUMIF(CalcCredit,INDEX(PkFixedA,238),CalcAmt)+SUMIF(CalcCredit2,INDEX(PkFixedA,238),CalcAmt2)))</f>
        <v/>
      </c>
      <c r="G822" s="15">
        <f>IF($B822="","",ROUND($E822-$F822,0))</f>
        <v/>
      </c>
      <c r="H822" s="12">
        <f>IF($B822="","",IF(ROUND($G822,0)&gt;0,"بدهکار",IF(ROUND($G822,0)&lt;0,"بستانکار","تسویه")))</f>
        <v/>
      </c>
    </row>
    <row r="823">
      <c r="A823" s="16">
        <f>IF($B823="","",814)</f>
        <v/>
      </c>
      <c r="B823" s="17">
        <f>IF(239&gt;NFixedA,"",IFERROR(IF(VLOOKUP(INDEX(PkFixedA,239),AcctTblA,4,0)="","(بدون نام)",VLOOKUP(INDEX(PkFixedA,239),AcctTblA,4,0)),"—"))</f>
        <v/>
      </c>
      <c r="C823" s="18">
        <f>IF($B823="","",IF(239&gt;NFixedA,"",INDEX(PkFixedA,239)))</f>
        <v/>
      </c>
      <c r="D823" s="17">
        <f>IF($B823="","","f")</f>
        <v/>
      </c>
      <c r="E823" s="19">
        <f>IF($B823="","",IF(239&gt;NFixedA,0,SUMIF(CalcDebit,INDEX(PkFixedA,239),CalcAmt)+SUMIF(CalcDebit2,INDEX(PkFixedA,239),CalcAmt2)))</f>
        <v/>
      </c>
      <c r="F823" s="19">
        <f>IF($B823="","",IF(239&gt;NFixedA,0,SUMIF(CalcCredit,INDEX(PkFixedA,239),CalcAmt)+SUMIF(CalcCredit2,INDEX(PkFixedA,239),CalcAmt2)))</f>
        <v/>
      </c>
      <c r="G823" s="20">
        <f>IF($B823="","",ROUND($E823-$F823,0))</f>
        <v/>
      </c>
      <c r="H823" s="17">
        <f>IF($B823="","",IF(ROUND($G823,0)&gt;0,"بدهکار",IF(ROUND($G823,0)&lt;0,"بستانکار","تسویه")))</f>
        <v/>
      </c>
    </row>
    <row r="824">
      <c r="A824" s="11">
        <f>IF($B824="","",815)</f>
        <v/>
      </c>
      <c r="B824" s="12">
        <f>IF(240&gt;NFixedA,"",IFERROR(IF(VLOOKUP(INDEX(PkFixedA,240),AcctTblA,4,0)="","(بدون نام)",VLOOKUP(INDEX(PkFixedA,240),AcctTblA,4,0)),"—"))</f>
        <v/>
      </c>
      <c r="C824" s="13">
        <f>IF($B824="","",IF(240&gt;NFixedA,"",INDEX(PkFixedA,240)))</f>
        <v/>
      </c>
      <c r="D824" s="12">
        <f>IF($B824="","","f")</f>
        <v/>
      </c>
      <c r="E824" s="14">
        <f>IF($B824="","",IF(240&gt;NFixedA,0,SUMIF(CalcDebit,INDEX(PkFixedA,240),CalcAmt)+SUMIF(CalcDebit2,INDEX(PkFixedA,240),CalcAmt2)))</f>
        <v/>
      </c>
      <c r="F824" s="14">
        <f>IF($B824="","",IF(240&gt;NFixedA,0,SUMIF(CalcCredit,INDEX(PkFixedA,240),CalcAmt)+SUMIF(CalcCredit2,INDEX(PkFixedA,240),CalcAmt2)))</f>
        <v/>
      </c>
      <c r="G824" s="15">
        <f>IF($B824="","",ROUND($E824-$F824,0))</f>
        <v/>
      </c>
      <c r="H824" s="12">
        <f>IF($B824="","",IF(ROUND($G824,0)&gt;0,"بدهکار",IF(ROUND($G824,0)&lt;0,"بستانکار","تسویه")))</f>
        <v/>
      </c>
    </row>
    <row r="825">
      <c r="A825" s="16">
        <f>IF($B825="","",816)</f>
        <v/>
      </c>
      <c r="B825" s="17">
        <f>IF(241&gt;NFixedA,"",IFERROR(IF(VLOOKUP(INDEX(PkFixedA,241),AcctTblA,4,0)="","(بدون نام)",VLOOKUP(INDEX(PkFixedA,241),AcctTblA,4,0)),"—"))</f>
        <v/>
      </c>
      <c r="C825" s="18">
        <f>IF($B825="","",IF(241&gt;NFixedA,"",INDEX(PkFixedA,241)))</f>
        <v/>
      </c>
      <c r="D825" s="17">
        <f>IF($B825="","","f")</f>
        <v/>
      </c>
      <c r="E825" s="19">
        <f>IF($B825="","",IF(241&gt;NFixedA,0,SUMIF(CalcDebit,INDEX(PkFixedA,241),CalcAmt)+SUMIF(CalcDebit2,INDEX(PkFixedA,241),CalcAmt2)))</f>
        <v/>
      </c>
      <c r="F825" s="19">
        <f>IF($B825="","",IF(241&gt;NFixedA,0,SUMIF(CalcCredit,INDEX(PkFixedA,241),CalcAmt)+SUMIF(CalcCredit2,INDEX(PkFixedA,241),CalcAmt2)))</f>
        <v/>
      </c>
      <c r="G825" s="20">
        <f>IF($B825="","",ROUND($E825-$F825,0))</f>
        <v/>
      </c>
      <c r="H825" s="17">
        <f>IF($B825="","",IF(ROUND($G825,0)&gt;0,"بدهکار",IF(ROUND($G825,0)&lt;0,"بستانکار","تسویه")))</f>
        <v/>
      </c>
    </row>
    <row r="826">
      <c r="A826" s="11">
        <f>IF($B826="","",817)</f>
        <v/>
      </c>
      <c r="B826" s="12">
        <f>IF(242&gt;NFixedA,"",IFERROR(IF(VLOOKUP(INDEX(PkFixedA,242),AcctTblA,4,0)="","(بدون نام)",VLOOKUP(INDEX(PkFixedA,242),AcctTblA,4,0)),"—"))</f>
        <v/>
      </c>
      <c r="C826" s="13">
        <f>IF($B826="","",IF(242&gt;NFixedA,"",INDEX(PkFixedA,242)))</f>
        <v/>
      </c>
      <c r="D826" s="12">
        <f>IF($B826="","","f")</f>
        <v/>
      </c>
      <c r="E826" s="14">
        <f>IF($B826="","",IF(242&gt;NFixedA,0,SUMIF(CalcDebit,INDEX(PkFixedA,242),CalcAmt)+SUMIF(CalcDebit2,INDEX(PkFixedA,242),CalcAmt2)))</f>
        <v/>
      </c>
      <c r="F826" s="14">
        <f>IF($B826="","",IF(242&gt;NFixedA,0,SUMIF(CalcCredit,INDEX(PkFixedA,242),CalcAmt)+SUMIF(CalcCredit2,INDEX(PkFixedA,242),CalcAmt2)))</f>
        <v/>
      </c>
      <c r="G826" s="15">
        <f>IF($B826="","",ROUND($E826-$F826,0))</f>
        <v/>
      </c>
      <c r="H826" s="12">
        <f>IF($B826="","",IF(ROUND($G826,0)&gt;0,"بدهکار",IF(ROUND($G826,0)&lt;0,"بستانکار","تسویه")))</f>
        <v/>
      </c>
    </row>
    <row r="827">
      <c r="A827" s="16">
        <f>IF($B827="","",818)</f>
        <v/>
      </c>
      <c r="B827" s="17">
        <f>IF(243&gt;NFixedA,"",IFERROR(IF(VLOOKUP(INDEX(PkFixedA,243),AcctTblA,4,0)="","(بدون نام)",VLOOKUP(INDEX(PkFixedA,243),AcctTblA,4,0)),"—"))</f>
        <v/>
      </c>
      <c r="C827" s="18">
        <f>IF($B827="","",IF(243&gt;NFixedA,"",INDEX(PkFixedA,243)))</f>
        <v/>
      </c>
      <c r="D827" s="17">
        <f>IF($B827="","","f")</f>
        <v/>
      </c>
      <c r="E827" s="19">
        <f>IF($B827="","",IF(243&gt;NFixedA,0,SUMIF(CalcDebit,INDEX(PkFixedA,243),CalcAmt)+SUMIF(CalcDebit2,INDEX(PkFixedA,243),CalcAmt2)))</f>
        <v/>
      </c>
      <c r="F827" s="19">
        <f>IF($B827="","",IF(243&gt;NFixedA,0,SUMIF(CalcCredit,INDEX(PkFixedA,243),CalcAmt)+SUMIF(CalcCredit2,INDEX(PkFixedA,243),CalcAmt2)))</f>
        <v/>
      </c>
      <c r="G827" s="20">
        <f>IF($B827="","",ROUND($E827-$F827,0))</f>
        <v/>
      </c>
      <c r="H827" s="17">
        <f>IF($B827="","",IF(ROUND($G827,0)&gt;0,"بدهکار",IF(ROUND($G827,0)&lt;0,"بستانکار","تسویه")))</f>
        <v/>
      </c>
    </row>
    <row r="828">
      <c r="A828" s="11">
        <f>IF($B828="","",819)</f>
        <v/>
      </c>
      <c r="B828" s="12">
        <f>IF(244&gt;NFixedA,"",IFERROR(IF(VLOOKUP(INDEX(PkFixedA,244),AcctTblA,4,0)="","(بدون نام)",VLOOKUP(INDEX(PkFixedA,244),AcctTblA,4,0)),"—"))</f>
        <v/>
      </c>
      <c r="C828" s="13">
        <f>IF($B828="","",IF(244&gt;NFixedA,"",INDEX(PkFixedA,244)))</f>
        <v/>
      </c>
      <c r="D828" s="12">
        <f>IF($B828="","","f")</f>
        <v/>
      </c>
      <c r="E828" s="14">
        <f>IF($B828="","",IF(244&gt;NFixedA,0,SUMIF(CalcDebit,INDEX(PkFixedA,244),CalcAmt)+SUMIF(CalcDebit2,INDEX(PkFixedA,244),CalcAmt2)))</f>
        <v/>
      </c>
      <c r="F828" s="14">
        <f>IF($B828="","",IF(244&gt;NFixedA,0,SUMIF(CalcCredit,INDEX(PkFixedA,244),CalcAmt)+SUMIF(CalcCredit2,INDEX(PkFixedA,244),CalcAmt2)))</f>
        <v/>
      </c>
      <c r="G828" s="15">
        <f>IF($B828="","",ROUND($E828-$F828,0))</f>
        <v/>
      </c>
      <c r="H828" s="12">
        <f>IF($B828="","",IF(ROUND($G828,0)&gt;0,"بدهکار",IF(ROUND($G828,0)&lt;0,"بستانکار","تسویه")))</f>
        <v/>
      </c>
    </row>
    <row r="829">
      <c r="A829" s="16">
        <f>IF($B829="","",820)</f>
        <v/>
      </c>
      <c r="B829" s="17">
        <f>IF(245&gt;NFixedA,"",IFERROR(IF(VLOOKUP(INDEX(PkFixedA,245),AcctTblA,4,0)="","(بدون نام)",VLOOKUP(INDEX(PkFixedA,245),AcctTblA,4,0)),"—"))</f>
        <v/>
      </c>
      <c r="C829" s="18">
        <f>IF($B829="","",IF(245&gt;NFixedA,"",INDEX(PkFixedA,245)))</f>
        <v/>
      </c>
      <c r="D829" s="17">
        <f>IF($B829="","","f")</f>
        <v/>
      </c>
      <c r="E829" s="19">
        <f>IF($B829="","",IF(245&gt;NFixedA,0,SUMIF(CalcDebit,INDEX(PkFixedA,245),CalcAmt)+SUMIF(CalcDebit2,INDEX(PkFixedA,245),CalcAmt2)))</f>
        <v/>
      </c>
      <c r="F829" s="19">
        <f>IF($B829="","",IF(245&gt;NFixedA,0,SUMIF(CalcCredit,INDEX(PkFixedA,245),CalcAmt)+SUMIF(CalcCredit2,INDEX(PkFixedA,245),CalcAmt2)))</f>
        <v/>
      </c>
      <c r="G829" s="20">
        <f>IF($B829="","",ROUND($E829-$F829,0))</f>
        <v/>
      </c>
      <c r="H829" s="17">
        <f>IF($B829="","",IF(ROUND($G829,0)&gt;0,"بدهکار",IF(ROUND($G829,0)&lt;0,"بستانکار","تسویه")))</f>
        <v/>
      </c>
    </row>
    <row r="830">
      <c r="A830" s="11">
        <f>IF($B830="","",821)</f>
        <v/>
      </c>
      <c r="B830" s="12">
        <f>IF(246&gt;NFixedA,"",IFERROR(IF(VLOOKUP(INDEX(PkFixedA,246),AcctTblA,4,0)="","(بدون نام)",VLOOKUP(INDEX(PkFixedA,246),AcctTblA,4,0)),"—"))</f>
        <v/>
      </c>
      <c r="C830" s="13">
        <f>IF($B830="","",IF(246&gt;NFixedA,"",INDEX(PkFixedA,246)))</f>
        <v/>
      </c>
      <c r="D830" s="12">
        <f>IF($B830="","","f")</f>
        <v/>
      </c>
      <c r="E830" s="14">
        <f>IF($B830="","",IF(246&gt;NFixedA,0,SUMIF(CalcDebit,INDEX(PkFixedA,246),CalcAmt)+SUMIF(CalcDebit2,INDEX(PkFixedA,246),CalcAmt2)))</f>
        <v/>
      </c>
      <c r="F830" s="14">
        <f>IF($B830="","",IF(246&gt;NFixedA,0,SUMIF(CalcCredit,INDEX(PkFixedA,246),CalcAmt)+SUMIF(CalcCredit2,INDEX(PkFixedA,246),CalcAmt2)))</f>
        <v/>
      </c>
      <c r="G830" s="15">
        <f>IF($B830="","",ROUND($E830-$F830,0))</f>
        <v/>
      </c>
      <c r="H830" s="12">
        <f>IF($B830="","",IF(ROUND($G830,0)&gt;0,"بدهکار",IF(ROUND($G830,0)&lt;0,"بستانکار","تسویه")))</f>
        <v/>
      </c>
    </row>
    <row r="831">
      <c r="A831" s="16">
        <f>IF($B831="","",822)</f>
        <v/>
      </c>
      <c r="B831" s="17">
        <f>IF(247&gt;NFixedA,"",IFERROR(IF(VLOOKUP(INDEX(PkFixedA,247),AcctTblA,4,0)="","(بدون نام)",VLOOKUP(INDEX(PkFixedA,247),AcctTblA,4,0)),"—"))</f>
        <v/>
      </c>
      <c r="C831" s="18">
        <f>IF($B831="","",IF(247&gt;NFixedA,"",INDEX(PkFixedA,247)))</f>
        <v/>
      </c>
      <c r="D831" s="17">
        <f>IF($B831="","","f")</f>
        <v/>
      </c>
      <c r="E831" s="19">
        <f>IF($B831="","",IF(247&gt;NFixedA,0,SUMIF(CalcDebit,INDEX(PkFixedA,247),CalcAmt)+SUMIF(CalcDebit2,INDEX(PkFixedA,247),CalcAmt2)))</f>
        <v/>
      </c>
      <c r="F831" s="19">
        <f>IF($B831="","",IF(247&gt;NFixedA,0,SUMIF(CalcCredit,INDEX(PkFixedA,247),CalcAmt)+SUMIF(CalcCredit2,INDEX(PkFixedA,247),CalcAmt2)))</f>
        <v/>
      </c>
      <c r="G831" s="20">
        <f>IF($B831="","",ROUND($E831-$F831,0))</f>
        <v/>
      </c>
      <c r="H831" s="17">
        <f>IF($B831="","",IF(ROUND($G831,0)&gt;0,"بدهکار",IF(ROUND($G831,0)&lt;0,"بستانکار","تسویه")))</f>
        <v/>
      </c>
    </row>
    <row r="832">
      <c r="A832" s="11">
        <f>IF($B832="","",823)</f>
        <v/>
      </c>
      <c r="B832" s="12">
        <f>IF(248&gt;NFixedA,"",IFERROR(IF(VLOOKUP(INDEX(PkFixedA,248),AcctTblA,4,0)="","(بدون نام)",VLOOKUP(INDEX(PkFixedA,248),AcctTblA,4,0)),"—"))</f>
        <v/>
      </c>
      <c r="C832" s="13">
        <f>IF($B832="","",IF(248&gt;NFixedA,"",INDEX(PkFixedA,248)))</f>
        <v/>
      </c>
      <c r="D832" s="12">
        <f>IF($B832="","","f")</f>
        <v/>
      </c>
      <c r="E832" s="14">
        <f>IF($B832="","",IF(248&gt;NFixedA,0,SUMIF(CalcDebit,INDEX(PkFixedA,248),CalcAmt)+SUMIF(CalcDebit2,INDEX(PkFixedA,248),CalcAmt2)))</f>
        <v/>
      </c>
      <c r="F832" s="14">
        <f>IF($B832="","",IF(248&gt;NFixedA,0,SUMIF(CalcCredit,INDEX(PkFixedA,248),CalcAmt)+SUMIF(CalcCredit2,INDEX(PkFixedA,248),CalcAmt2)))</f>
        <v/>
      </c>
      <c r="G832" s="15">
        <f>IF($B832="","",ROUND($E832-$F832,0))</f>
        <v/>
      </c>
      <c r="H832" s="12">
        <f>IF($B832="","",IF(ROUND($G832,0)&gt;0,"بدهکار",IF(ROUND($G832,0)&lt;0,"بستانکار","تسویه")))</f>
        <v/>
      </c>
    </row>
    <row r="833">
      <c r="A833" s="16">
        <f>IF($B833="","",824)</f>
        <v/>
      </c>
      <c r="B833" s="17">
        <f>IF(249&gt;NFixedA,"",IFERROR(IF(VLOOKUP(INDEX(PkFixedA,249),AcctTblA,4,0)="","(بدون نام)",VLOOKUP(INDEX(PkFixedA,249),AcctTblA,4,0)),"—"))</f>
        <v/>
      </c>
      <c r="C833" s="18">
        <f>IF($B833="","",IF(249&gt;NFixedA,"",INDEX(PkFixedA,249)))</f>
        <v/>
      </c>
      <c r="D833" s="17">
        <f>IF($B833="","","f")</f>
        <v/>
      </c>
      <c r="E833" s="19">
        <f>IF($B833="","",IF(249&gt;NFixedA,0,SUMIF(CalcDebit,INDEX(PkFixedA,249),CalcAmt)+SUMIF(CalcDebit2,INDEX(PkFixedA,249),CalcAmt2)))</f>
        <v/>
      </c>
      <c r="F833" s="19">
        <f>IF($B833="","",IF(249&gt;NFixedA,0,SUMIF(CalcCredit,INDEX(PkFixedA,249),CalcAmt)+SUMIF(CalcCredit2,INDEX(PkFixedA,249),CalcAmt2)))</f>
        <v/>
      </c>
      <c r="G833" s="20">
        <f>IF($B833="","",ROUND($E833-$F833,0))</f>
        <v/>
      </c>
      <c r="H833" s="17">
        <f>IF($B833="","",IF(ROUND($G833,0)&gt;0,"بدهکار",IF(ROUND($G833,0)&lt;0,"بستانکار","تسویه")))</f>
        <v/>
      </c>
    </row>
    <row r="834">
      <c r="A834" s="11">
        <f>IF($B834="","",825)</f>
        <v/>
      </c>
      <c r="B834" s="12">
        <f>IF(250&gt;NFixedA,"",IFERROR(IF(VLOOKUP(INDEX(PkFixedA,250),AcctTblA,4,0)="","(بدون نام)",VLOOKUP(INDEX(PkFixedA,250),AcctTblA,4,0)),"—"))</f>
        <v/>
      </c>
      <c r="C834" s="13">
        <f>IF($B834="","",IF(250&gt;NFixedA,"",INDEX(PkFixedA,250)))</f>
        <v/>
      </c>
      <c r="D834" s="12">
        <f>IF($B834="","","f")</f>
        <v/>
      </c>
      <c r="E834" s="14">
        <f>IF($B834="","",IF(250&gt;NFixedA,0,SUMIF(CalcDebit,INDEX(PkFixedA,250),CalcAmt)+SUMIF(CalcDebit2,INDEX(PkFixedA,250),CalcAmt2)))</f>
        <v/>
      </c>
      <c r="F834" s="14">
        <f>IF($B834="","",IF(250&gt;NFixedA,0,SUMIF(CalcCredit,INDEX(PkFixedA,250),CalcAmt)+SUMIF(CalcCredit2,INDEX(PkFixedA,250),CalcAmt2)))</f>
        <v/>
      </c>
      <c r="G834" s="15">
        <f>IF($B834="","",ROUND($E834-$F834,0))</f>
        <v/>
      </c>
      <c r="H834" s="12">
        <f>IF($B834="","",IF(ROUND($G834,0)&gt;0,"بدهکار",IF(ROUND($G834,0)&lt;0,"بستانکار","تسویه")))</f>
        <v/>
      </c>
    </row>
    <row r="835">
      <c r="A835" s="16">
        <f>IF($B835="","",826)</f>
        <v/>
      </c>
      <c r="B835" s="17">
        <f>IF(251&gt;NFixedA,"",IFERROR(IF(VLOOKUP(INDEX(PkFixedA,251),AcctTblA,4,0)="","(بدون نام)",VLOOKUP(INDEX(PkFixedA,251),AcctTblA,4,0)),"—"))</f>
        <v/>
      </c>
      <c r="C835" s="18">
        <f>IF($B835="","",IF(251&gt;NFixedA,"",INDEX(PkFixedA,251)))</f>
        <v/>
      </c>
      <c r="D835" s="17">
        <f>IF($B835="","","f")</f>
        <v/>
      </c>
      <c r="E835" s="19">
        <f>IF($B835="","",IF(251&gt;NFixedA,0,SUMIF(CalcDebit,INDEX(PkFixedA,251),CalcAmt)+SUMIF(CalcDebit2,INDEX(PkFixedA,251),CalcAmt2)))</f>
        <v/>
      </c>
      <c r="F835" s="19">
        <f>IF($B835="","",IF(251&gt;NFixedA,0,SUMIF(CalcCredit,INDEX(PkFixedA,251),CalcAmt)+SUMIF(CalcCredit2,INDEX(PkFixedA,251),CalcAmt2)))</f>
        <v/>
      </c>
      <c r="G835" s="20">
        <f>IF($B835="","",ROUND($E835-$F835,0))</f>
        <v/>
      </c>
      <c r="H835" s="17">
        <f>IF($B835="","",IF(ROUND($G835,0)&gt;0,"بدهکار",IF(ROUND($G835,0)&lt;0,"بستانکار","تسویه")))</f>
        <v/>
      </c>
    </row>
    <row r="836">
      <c r="A836" s="11">
        <f>IF($B836="","",827)</f>
        <v/>
      </c>
      <c r="B836" s="12">
        <f>IF(252&gt;NFixedA,"",IFERROR(IF(VLOOKUP(INDEX(PkFixedA,252),AcctTblA,4,0)="","(بدون نام)",VLOOKUP(INDEX(PkFixedA,252),AcctTblA,4,0)),"—"))</f>
        <v/>
      </c>
      <c r="C836" s="13">
        <f>IF($B836="","",IF(252&gt;NFixedA,"",INDEX(PkFixedA,252)))</f>
        <v/>
      </c>
      <c r="D836" s="12">
        <f>IF($B836="","","f")</f>
        <v/>
      </c>
      <c r="E836" s="14">
        <f>IF($B836="","",IF(252&gt;NFixedA,0,SUMIF(CalcDebit,INDEX(PkFixedA,252),CalcAmt)+SUMIF(CalcDebit2,INDEX(PkFixedA,252),CalcAmt2)))</f>
        <v/>
      </c>
      <c r="F836" s="14">
        <f>IF($B836="","",IF(252&gt;NFixedA,0,SUMIF(CalcCredit,INDEX(PkFixedA,252),CalcAmt)+SUMIF(CalcCredit2,INDEX(PkFixedA,252),CalcAmt2)))</f>
        <v/>
      </c>
      <c r="G836" s="15">
        <f>IF($B836="","",ROUND($E836-$F836,0))</f>
        <v/>
      </c>
      <c r="H836" s="12">
        <f>IF($B836="","",IF(ROUND($G836,0)&gt;0,"بدهکار",IF(ROUND($G836,0)&lt;0,"بستانکار","تسویه")))</f>
        <v/>
      </c>
    </row>
    <row r="837">
      <c r="A837" s="16">
        <f>IF($B837="","",828)</f>
        <v/>
      </c>
      <c r="B837" s="17">
        <f>IF(253&gt;NFixedA,"",IFERROR(IF(VLOOKUP(INDEX(PkFixedA,253),AcctTblA,4,0)="","(بدون نام)",VLOOKUP(INDEX(PkFixedA,253),AcctTblA,4,0)),"—"))</f>
        <v/>
      </c>
      <c r="C837" s="18">
        <f>IF($B837="","",IF(253&gt;NFixedA,"",INDEX(PkFixedA,253)))</f>
        <v/>
      </c>
      <c r="D837" s="17">
        <f>IF($B837="","","f")</f>
        <v/>
      </c>
      <c r="E837" s="19">
        <f>IF($B837="","",IF(253&gt;NFixedA,0,SUMIF(CalcDebit,INDEX(PkFixedA,253),CalcAmt)+SUMIF(CalcDebit2,INDEX(PkFixedA,253),CalcAmt2)))</f>
        <v/>
      </c>
      <c r="F837" s="19">
        <f>IF($B837="","",IF(253&gt;NFixedA,0,SUMIF(CalcCredit,INDEX(PkFixedA,253),CalcAmt)+SUMIF(CalcCredit2,INDEX(PkFixedA,253),CalcAmt2)))</f>
        <v/>
      </c>
      <c r="G837" s="20">
        <f>IF($B837="","",ROUND($E837-$F837,0))</f>
        <v/>
      </c>
      <c r="H837" s="17">
        <f>IF($B837="","",IF(ROUND($G837,0)&gt;0,"بدهکار",IF(ROUND($G837,0)&lt;0,"بستانکار","تسویه")))</f>
        <v/>
      </c>
    </row>
    <row r="838">
      <c r="A838" s="11">
        <f>IF($B838="","",829)</f>
        <v/>
      </c>
      <c r="B838" s="12">
        <f>IF(254&gt;NFixedA,"",IFERROR(IF(VLOOKUP(INDEX(PkFixedA,254),AcctTblA,4,0)="","(بدون نام)",VLOOKUP(INDEX(PkFixedA,254),AcctTblA,4,0)),"—"))</f>
        <v/>
      </c>
      <c r="C838" s="13">
        <f>IF($B838="","",IF(254&gt;NFixedA,"",INDEX(PkFixedA,254)))</f>
        <v/>
      </c>
      <c r="D838" s="12">
        <f>IF($B838="","","f")</f>
        <v/>
      </c>
      <c r="E838" s="14">
        <f>IF($B838="","",IF(254&gt;NFixedA,0,SUMIF(CalcDebit,INDEX(PkFixedA,254),CalcAmt)+SUMIF(CalcDebit2,INDEX(PkFixedA,254),CalcAmt2)))</f>
        <v/>
      </c>
      <c r="F838" s="14">
        <f>IF($B838="","",IF(254&gt;NFixedA,0,SUMIF(CalcCredit,INDEX(PkFixedA,254),CalcAmt)+SUMIF(CalcCredit2,INDEX(PkFixedA,254),CalcAmt2)))</f>
        <v/>
      </c>
      <c r="G838" s="15">
        <f>IF($B838="","",ROUND($E838-$F838,0))</f>
        <v/>
      </c>
      <c r="H838" s="12">
        <f>IF($B838="","",IF(ROUND($G838,0)&gt;0,"بدهکار",IF(ROUND($G838,0)&lt;0,"بستانکار","تسویه")))</f>
        <v/>
      </c>
    </row>
    <row r="839">
      <c r="A839" s="16">
        <f>IF($B839="","",830)</f>
        <v/>
      </c>
      <c r="B839" s="17">
        <f>IF(255&gt;NFixedA,"",IFERROR(IF(VLOOKUP(INDEX(PkFixedA,255),AcctTblA,4,0)="","(بدون نام)",VLOOKUP(INDEX(PkFixedA,255),AcctTblA,4,0)),"—"))</f>
        <v/>
      </c>
      <c r="C839" s="18">
        <f>IF($B839="","",IF(255&gt;NFixedA,"",INDEX(PkFixedA,255)))</f>
        <v/>
      </c>
      <c r="D839" s="17">
        <f>IF($B839="","","f")</f>
        <v/>
      </c>
      <c r="E839" s="19">
        <f>IF($B839="","",IF(255&gt;NFixedA,0,SUMIF(CalcDebit,INDEX(PkFixedA,255),CalcAmt)+SUMIF(CalcDebit2,INDEX(PkFixedA,255),CalcAmt2)))</f>
        <v/>
      </c>
      <c r="F839" s="19">
        <f>IF($B839="","",IF(255&gt;NFixedA,0,SUMIF(CalcCredit,INDEX(PkFixedA,255),CalcAmt)+SUMIF(CalcCredit2,INDEX(PkFixedA,255),CalcAmt2)))</f>
        <v/>
      </c>
      <c r="G839" s="20">
        <f>IF($B839="","",ROUND($E839-$F839,0))</f>
        <v/>
      </c>
      <c r="H839" s="17">
        <f>IF($B839="","",IF(ROUND($G839,0)&gt;0,"بدهکار",IF(ROUND($G839,0)&lt;0,"بستانکار","تسویه")))</f>
        <v/>
      </c>
    </row>
    <row r="840">
      <c r="A840" s="11">
        <f>IF($B840="","",831)</f>
        <v/>
      </c>
      <c r="B840" s="12">
        <f>IF(256&gt;NFixedA,"",IFERROR(IF(VLOOKUP(INDEX(PkFixedA,256),AcctTblA,4,0)="","(بدون نام)",VLOOKUP(INDEX(PkFixedA,256),AcctTblA,4,0)),"—"))</f>
        <v/>
      </c>
      <c r="C840" s="13">
        <f>IF($B840="","",IF(256&gt;NFixedA,"",INDEX(PkFixedA,256)))</f>
        <v/>
      </c>
      <c r="D840" s="12">
        <f>IF($B840="","","f")</f>
        <v/>
      </c>
      <c r="E840" s="14">
        <f>IF($B840="","",IF(256&gt;NFixedA,0,SUMIF(CalcDebit,INDEX(PkFixedA,256),CalcAmt)+SUMIF(CalcDebit2,INDEX(PkFixedA,256),CalcAmt2)))</f>
        <v/>
      </c>
      <c r="F840" s="14">
        <f>IF($B840="","",IF(256&gt;NFixedA,0,SUMIF(CalcCredit,INDEX(PkFixedA,256),CalcAmt)+SUMIF(CalcCredit2,INDEX(PkFixedA,256),CalcAmt2)))</f>
        <v/>
      </c>
      <c r="G840" s="15">
        <f>IF($B840="","",ROUND($E840-$F840,0))</f>
        <v/>
      </c>
      <c r="H840" s="12">
        <f>IF($B840="","",IF(ROUND($G840,0)&gt;0,"بدهکار",IF(ROUND($G840,0)&lt;0,"بستانکار","تسویه")))</f>
        <v/>
      </c>
    </row>
    <row r="841">
      <c r="A841" s="16">
        <f>IF($B841="","",832)</f>
        <v/>
      </c>
      <c r="B841" s="17">
        <f>IF(257&gt;NFixedA,"",IFERROR(IF(VLOOKUP(INDEX(PkFixedA,257),AcctTblA,4,0)="","(بدون نام)",VLOOKUP(INDEX(PkFixedA,257),AcctTblA,4,0)),"—"))</f>
        <v/>
      </c>
      <c r="C841" s="18">
        <f>IF($B841="","",IF(257&gt;NFixedA,"",INDEX(PkFixedA,257)))</f>
        <v/>
      </c>
      <c r="D841" s="17">
        <f>IF($B841="","","f")</f>
        <v/>
      </c>
      <c r="E841" s="19">
        <f>IF($B841="","",IF(257&gt;NFixedA,0,SUMIF(CalcDebit,INDEX(PkFixedA,257),CalcAmt)+SUMIF(CalcDebit2,INDEX(PkFixedA,257),CalcAmt2)))</f>
        <v/>
      </c>
      <c r="F841" s="19">
        <f>IF($B841="","",IF(257&gt;NFixedA,0,SUMIF(CalcCredit,INDEX(PkFixedA,257),CalcAmt)+SUMIF(CalcCredit2,INDEX(PkFixedA,257),CalcAmt2)))</f>
        <v/>
      </c>
      <c r="G841" s="20">
        <f>IF($B841="","",ROUND($E841-$F841,0))</f>
        <v/>
      </c>
      <c r="H841" s="17">
        <f>IF($B841="","",IF(ROUND($G841,0)&gt;0,"بدهکار",IF(ROUND($G841,0)&lt;0,"بستانکار","تسویه")))</f>
        <v/>
      </c>
    </row>
    <row r="842">
      <c r="A842" s="11">
        <f>IF($B842="","",833)</f>
        <v/>
      </c>
      <c r="B842" s="12">
        <f>IF(258&gt;NFixedA,"",IFERROR(IF(VLOOKUP(INDEX(PkFixedA,258),AcctTblA,4,0)="","(بدون نام)",VLOOKUP(INDEX(PkFixedA,258),AcctTblA,4,0)),"—"))</f>
        <v/>
      </c>
      <c r="C842" s="13">
        <f>IF($B842="","",IF(258&gt;NFixedA,"",INDEX(PkFixedA,258)))</f>
        <v/>
      </c>
      <c r="D842" s="12">
        <f>IF($B842="","","f")</f>
        <v/>
      </c>
      <c r="E842" s="14">
        <f>IF($B842="","",IF(258&gt;NFixedA,0,SUMIF(CalcDebit,INDEX(PkFixedA,258),CalcAmt)+SUMIF(CalcDebit2,INDEX(PkFixedA,258),CalcAmt2)))</f>
        <v/>
      </c>
      <c r="F842" s="14">
        <f>IF($B842="","",IF(258&gt;NFixedA,0,SUMIF(CalcCredit,INDEX(PkFixedA,258),CalcAmt)+SUMIF(CalcCredit2,INDEX(PkFixedA,258),CalcAmt2)))</f>
        <v/>
      </c>
      <c r="G842" s="15">
        <f>IF($B842="","",ROUND($E842-$F842,0))</f>
        <v/>
      </c>
      <c r="H842" s="12">
        <f>IF($B842="","",IF(ROUND($G842,0)&gt;0,"بدهکار",IF(ROUND($G842,0)&lt;0,"بستانکار","تسویه")))</f>
        <v/>
      </c>
    </row>
    <row r="843">
      <c r="A843" s="16">
        <f>IF($B843="","",834)</f>
        <v/>
      </c>
      <c r="B843" s="17">
        <f>IF(259&gt;NFixedA,"",IFERROR(IF(VLOOKUP(INDEX(PkFixedA,259),AcctTblA,4,0)="","(بدون نام)",VLOOKUP(INDEX(PkFixedA,259),AcctTblA,4,0)),"—"))</f>
        <v/>
      </c>
      <c r="C843" s="18">
        <f>IF($B843="","",IF(259&gt;NFixedA,"",INDEX(PkFixedA,259)))</f>
        <v/>
      </c>
      <c r="D843" s="17">
        <f>IF($B843="","","f")</f>
        <v/>
      </c>
      <c r="E843" s="19">
        <f>IF($B843="","",IF(259&gt;NFixedA,0,SUMIF(CalcDebit,INDEX(PkFixedA,259),CalcAmt)+SUMIF(CalcDebit2,INDEX(PkFixedA,259),CalcAmt2)))</f>
        <v/>
      </c>
      <c r="F843" s="19">
        <f>IF($B843="","",IF(259&gt;NFixedA,0,SUMIF(CalcCredit,INDEX(PkFixedA,259),CalcAmt)+SUMIF(CalcCredit2,INDEX(PkFixedA,259),CalcAmt2)))</f>
        <v/>
      </c>
      <c r="G843" s="20">
        <f>IF($B843="","",ROUND($E843-$F843,0))</f>
        <v/>
      </c>
      <c r="H843" s="17">
        <f>IF($B843="","",IF(ROUND($G843,0)&gt;0,"بدهکار",IF(ROUND($G843,0)&lt;0,"بستانکار","تسویه")))</f>
        <v/>
      </c>
    </row>
    <row r="844">
      <c r="A844" s="11">
        <f>IF($B844="","",835)</f>
        <v/>
      </c>
      <c r="B844" s="12">
        <f>IF(260&gt;NFixedA,"",IFERROR(IF(VLOOKUP(INDEX(PkFixedA,260),AcctTblA,4,0)="","(بدون نام)",VLOOKUP(INDEX(PkFixedA,260),AcctTblA,4,0)),"—"))</f>
        <v/>
      </c>
      <c r="C844" s="13">
        <f>IF($B844="","",IF(260&gt;NFixedA,"",INDEX(PkFixedA,260)))</f>
        <v/>
      </c>
      <c r="D844" s="12">
        <f>IF($B844="","","f")</f>
        <v/>
      </c>
      <c r="E844" s="14">
        <f>IF($B844="","",IF(260&gt;NFixedA,0,SUMIF(CalcDebit,INDEX(PkFixedA,260),CalcAmt)+SUMIF(CalcDebit2,INDEX(PkFixedA,260),CalcAmt2)))</f>
        <v/>
      </c>
      <c r="F844" s="14">
        <f>IF($B844="","",IF(260&gt;NFixedA,0,SUMIF(CalcCredit,INDEX(PkFixedA,260),CalcAmt)+SUMIF(CalcCredit2,INDEX(PkFixedA,260),CalcAmt2)))</f>
        <v/>
      </c>
      <c r="G844" s="15">
        <f>IF($B844="","",ROUND($E844-$F844,0))</f>
        <v/>
      </c>
      <c r="H844" s="12">
        <f>IF($B844="","",IF(ROUND($G844,0)&gt;0,"بدهکار",IF(ROUND($G844,0)&lt;0,"بستانکار","تسویه")))</f>
        <v/>
      </c>
    </row>
    <row r="845">
      <c r="A845" s="16">
        <f>IF($B845="","",836)</f>
        <v/>
      </c>
      <c r="B845" s="17">
        <f>IF(261&gt;NFixedA,"",IFERROR(IF(VLOOKUP(INDEX(PkFixedA,261),AcctTblA,4,0)="","(بدون نام)",VLOOKUP(INDEX(PkFixedA,261),AcctTblA,4,0)),"—"))</f>
        <v/>
      </c>
      <c r="C845" s="18">
        <f>IF($B845="","",IF(261&gt;NFixedA,"",INDEX(PkFixedA,261)))</f>
        <v/>
      </c>
      <c r="D845" s="17">
        <f>IF($B845="","","f")</f>
        <v/>
      </c>
      <c r="E845" s="19">
        <f>IF($B845="","",IF(261&gt;NFixedA,0,SUMIF(CalcDebit,INDEX(PkFixedA,261),CalcAmt)+SUMIF(CalcDebit2,INDEX(PkFixedA,261),CalcAmt2)))</f>
        <v/>
      </c>
      <c r="F845" s="19">
        <f>IF($B845="","",IF(261&gt;NFixedA,0,SUMIF(CalcCredit,INDEX(PkFixedA,261),CalcAmt)+SUMIF(CalcCredit2,INDEX(PkFixedA,261),CalcAmt2)))</f>
        <v/>
      </c>
      <c r="G845" s="20">
        <f>IF($B845="","",ROUND($E845-$F845,0))</f>
        <v/>
      </c>
      <c r="H845" s="17">
        <f>IF($B845="","",IF(ROUND($G845,0)&gt;0,"بدهکار",IF(ROUND($G845,0)&lt;0,"بستانکار","تسویه")))</f>
        <v/>
      </c>
    </row>
    <row r="846">
      <c r="A846" s="11">
        <f>IF($B846="","",837)</f>
        <v/>
      </c>
      <c r="B846" s="12">
        <f>IF(262&gt;NFixedA,"",IFERROR(IF(VLOOKUP(INDEX(PkFixedA,262),AcctTblA,4,0)="","(بدون نام)",VLOOKUP(INDEX(PkFixedA,262),AcctTblA,4,0)),"—"))</f>
        <v/>
      </c>
      <c r="C846" s="13">
        <f>IF($B846="","",IF(262&gt;NFixedA,"",INDEX(PkFixedA,262)))</f>
        <v/>
      </c>
      <c r="D846" s="12">
        <f>IF($B846="","","f")</f>
        <v/>
      </c>
      <c r="E846" s="14">
        <f>IF($B846="","",IF(262&gt;NFixedA,0,SUMIF(CalcDebit,INDEX(PkFixedA,262),CalcAmt)+SUMIF(CalcDebit2,INDEX(PkFixedA,262),CalcAmt2)))</f>
        <v/>
      </c>
      <c r="F846" s="14">
        <f>IF($B846="","",IF(262&gt;NFixedA,0,SUMIF(CalcCredit,INDEX(PkFixedA,262),CalcAmt)+SUMIF(CalcCredit2,INDEX(PkFixedA,262),CalcAmt2)))</f>
        <v/>
      </c>
      <c r="G846" s="15">
        <f>IF($B846="","",ROUND($E846-$F846,0))</f>
        <v/>
      </c>
      <c r="H846" s="12">
        <f>IF($B846="","",IF(ROUND($G846,0)&gt;0,"بدهکار",IF(ROUND($G846,0)&lt;0,"بستانکار","تسویه")))</f>
        <v/>
      </c>
    </row>
    <row r="847">
      <c r="A847" s="16">
        <f>IF($B847="","",838)</f>
        <v/>
      </c>
      <c r="B847" s="17">
        <f>IF(263&gt;NFixedA,"",IFERROR(IF(VLOOKUP(INDEX(PkFixedA,263),AcctTblA,4,0)="","(بدون نام)",VLOOKUP(INDEX(PkFixedA,263),AcctTblA,4,0)),"—"))</f>
        <v/>
      </c>
      <c r="C847" s="18">
        <f>IF($B847="","",IF(263&gt;NFixedA,"",INDEX(PkFixedA,263)))</f>
        <v/>
      </c>
      <c r="D847" s="17">
        <f>IF($B847="","","f")</f>
        <v/>
      </c>
      <c r="E847" s="19">
        <f>IF($B847="","",IF(263&gt;NFixedA,0,SUMIF(CalcDebit,INDEX(PkFixedA,263),CalcAmt)+SUMIF(CalcDebit2,INDEX(PkFixedA,263),CalcAmt2)))</f>
        <v/>
      </c>
      <c r="F847" s="19">
        <f>IF($B847="","",IF(263&gt;NFixedA,0,SUMIF(CalcCredit,INDEX(PkFixedA,263),CalcAmt)+SUMIF(CalcCredit2,INDEX(PkFixedA,263),CalcAmt2)))</f>
        <v/>
      </c>
      <c r="G847" s="20">
        <f>IF($B847="","",ROUND($E847-$F847,0))</f>
        <v/>
      </c>
      <c r="H847" s="17">
        <f>IF($B847="","",IF(ROUND($G847,0)&gt;0,"بدهکار",IF(ROUND($G847,0)&lt;0,"بستانکار","تسویه")))</f>
        <v/>
      </c>
    </row>
    <row r="848">
      <c r="A848" s="11">
        <f>IF($B848="","",839)</f>
        <v/>
      </c>
      <c r="B848" s="12">
        <f>IF(264&gt;NFixedA,"",IFERROR(IF(VLOOKUP(INDEX(PkFixedA,264),AcctTblA,4,0)="","(بدون نام)",VLOOKUP(INDEX(PkFixedA,264),AcctTblA,4,0)),"—"))</f>
        <v/>
      </c>
      <c r="C848" s="13">
        <f>IF($B848="","",IF(264&gt;NFixedA,"",INDEX(PkFixedA,264)))</f>
        <v/>
      </c>
      <c r="D848" s="12">
        <f>IF($B848="","","f")</f>
        <v/>
      </c>
      <c r="E848" s="14">
        <f>IF($B848="","",IF(264&gt;NFixedA,0,SUMIF(CalcDebit,INDEX(PkFixedA,264),CalcAmt)+SUMIF(CalcDebit2,INDEX(PkFixedA,264),CalcAmt2)))</f>
        <v/>
      </c>
      <c r="F848" s="14">
        <f>IF($B848="","",IF(264&gt;NFixedA,0,SUMIF(CalcCredit,INDEX(PkFixedA,264),CalcAmt)+SUMIF(CalcCredit2,INDEX(PkFixedA,264),CalcAmt2)))</f>
        <v/>
      </c>
      <c r="G848" s="15">
        <f>IF($B848="","",ROUND($E848-$F848,0))</f>
        <v/>
      </c>
      <c r="H848" s="12">
        <f>IF($B848="","",IF(ROUND($G848,0)&gt;0,"بدهکار",IF(ROUND($G848,0)&lt;0,"بستانکار","تسویه")))</f>
        <v/>
      </c>
    </row>
    <row r="849">
      <c r="A849" s="16">
        <f>IF($B849="","",840)</f>
        <v/>
      </c>
      <c r="B849" s="17">
        <f>IF(265&gt;NFixedA,"",IFERROR(IF(VLOOKUP(INDEX(PkFixedA,265),AcctTblA,4,0)="","(بدون نام)",VLOOKUP(INDEX(PkFixedA,265),AcctTblA,4,0)),"—"))</f>
        <v/>
      </c>
      <c r="C849" s="18">
        <f>IF($B849="","",IF(265&gt;NFixedA,"",INDEX(PkFixedA,265)))</f>
        <v/>
      </c>
      <c r="D849" s="17">
        <f>IF($B849="","","f")</f>
        <v/>
      </c>
      <c r="E849" s="19">
        <f>IF($B849="","",IF(265&gt;NFixedA,0,SUMIF(CalcDebit,INDEX(PkFixedA,265),CalcAmt)+SUMIF(CalcDebit2,INDEX(PkFixedA,265),CalcAmt2)))</f>
        <v/>
      </c>
      <c r="F849" s="19">
        <f>IF($B849="","",IF(265&gt;NFixedA,0,SUMIF(CalcCredit,INDEX(PkFixedA,265),CalcAmt)+SUMIF(CalcCredit2,INDEX(PkFixedA,265),CalcAmt2)))</f>
        <v/>
      </c>
      <c r="G849" s="20">
        <f>IF($B849="","",ROUND($E849-$F849,0))</f>
        <v/>
      </c>
      <c r="H849" s="17">
        <f>IF($B849="","",IF(ROUND($G849,0)&gt;0,"بدهکار",IF(ROUND($G849,0)&lt;0,"بستانکار","تسویه")))</f>
        <v/>
      </c>
    </row>
    <row r="850">
      <c r="A850" s="11">
        <f>IF($B850="","",841)</f>
        <v/>
      </c>
      <c r="B850" s="12">
        <f>IF(266&gt;NFixedA,"",IFERROR(IF(VLOOKUP(INDEX(PkFixedA,266),AcctTblA,4,0)="","(بدون نام)",VLOOKUP(INDEX(PkFixedA,266),AcctTblA,4,0)),"—"))</f>
        <v/>
      </c>
      <c r="C850" s="13">
        <f>IF($B850="","",IF(266&gt;NFixedA,"",INDEX(PkFixedA,266)))</f>
        <v/>
      </c>
      <c r="D850" s="12">
        <f>IF($B850="","","f")</f>
        <v/>
      </c>
      <c r="E850" s="14">
        <f>IF($B850="","",IF(266&gt;NFixedA,0,SUMIF(CalcDebit,INDEX(PkFixedA,266),CalcAmt)+SUMIF(CalcDebit2,INDEX(PkFixedA,266),CalcAmt2)))</f>
        <v/>
      </c>
      <c r="F850" s="14">
        <f>IF($B850="","",IF(266&gt;NFixedA,0,SUMIF(CalcCredit,INDEX(PkFixedA,266),CalcAmt)+SUMIF(CalcCredit2,INDEX(PkFixedA,266),CalcAmt2)))</f>
        <v/>
      </c>
      <c r="G850" s="15">
        <f>IF($B850="","",ROUND($E850-$F850,0))</f>
        <v/>
      </c>
      <c r="H850" s="12">
        <f>IF($B850="","",IF(ROUND($G850,0)&gt;0,"بدهکار",IF(ROUND($G850,0)&lt;0,"بستانکار","تسویه")))</f>
        <v/>
      </c>
    </row>
    <row r="851">
      <c r="A851" s="16">
        <f>IF($B851="","",842)</f>
        <v/>
      </c>
      <c r="B851" s="17">
        <f>IF(267&gt;NFixedA,"",IFERROR(IF(VLOOKUP(INDEX(PkFixedA,267),AcctTblA,4,0)="","(بدون نام)",VLOOKUP(INDEX(PkFixedA,267),AcctTblA,4,0)),"—"))</f>
        <v/>
      </c>
      <c r="C851" s="18">
        <f>IF($B851="","",IF(267&gt;NFixedA,"",INDEX(PkFixedA,267)))</f>
        <v/>
      </c>
      <c r="D851" s="17">
        <f>IF($B851="","","f")</f>
        <v/>
      </c>
      <c r="E851" s="19">
        <f>IF($B851="","",IF(267&gt;NFixedA,0,SUMIF(CalcDebit,INDEX(PkFixedA,267),CalcAmt)+SUMIF(CalcDebit2,INDEX(PkFixedA,267),CalcAmt2)))</f>
        <v/>
      </c>
      <c r="F851" s="19">
        <f>IF($B851="","",IF(267&gt;NFixedA,0,SUMIF(CalcCredit,INDEX(PkFixedA,267),CalcAmt)+SUMIF(CalcCredit2,INDEX(PkFixedA,267),CalcAmt2)))</f>
        <v/>
      </c>
      <c r="G851" s="20">
        <f>IF($B851="","",ROUND($E851-$F851,0))</f>
        <v/>
      </c>
      <c r="H851" s="17">
        <f>IF($B851="","",IF(ROUND($G851,0)&gt;0,"بدهکار",IF(ROUND($G851,0)&lt;0,"بستانکار","تسویه")))</f>
        <v/>
      </c>
    </row>
    <row r="852">
      <c r="A852" s="11">
        <f>IF($B852="","",843)</f>
        <v/>
      </c>
      <c r="B852" s="12">
        <f>IF(268&gt;NFixedA,"",IFERROR(IF(VLOOKUP(INDEX(PkFixedA,268),AcctTblA,4,0)="","(بدون نام)",VLOOKUP(INDEX(PkFixedA,268),AcctTblA,4,0)),"—"))</f>
        <v/>
      </c>
      <c r="C852" s="13">
        <f>IF($B852="","",IF(268&gt;NFixedA,"",INDEX(PkFixedA,268)))</f>
        <v/>
      </c>
      <c r="D852" s="12">
        <f>IF($B852="","","f")</f>
        <v/>
      </c>
      <c r="E852" s="14">
        <f>IF($B852="","",IF(268&gt;NFixedA,0,SUMIF(CalcDebit,INDEX(PkFixedA,268),CalcAmt)+SUMIF(CalcDebit2,INDEX(PkFixedA,268),CalcAmt2)))</f>
        <v/>
      </c>
      <c r="F852" s="14">
        <f>IF($B852="","",IF(268&gt;NFixedA,0,SUMIF(CalcCredit,INDEX(PkFixedA,268),CalcAmt)+SUMIF(CalcCredit2,INDEX(PkFixedA,268),CalcAmt2)))</f>
        <v/>
      </c>
      <c r="G852" s="15">
        <f>IF($B852="","",ROUND($E852-$F852,0))</f>
        <v/>
      </c>
      <c r="H852" s="12">
        <f>IF($B852="","",IF(ROUND($G852,0)&gt;0,"بدهکار",IF(ROUND($G852,0)&lt;0,"بستانکار","تسویه")))</f>
        <v/>
      </c>
    </row>
    <row r="853">
      <c r="A853" s="16">
        <f>IF($B853="","",844)</f>
        <v/>
      </c>
      <c r="B853" s="17">
        <f>IF(269&gt;NFixedA,"",IFERROR(IF(VLOOKUP(INDEX(PkFixedA,269),AcctTblA,4,0)="","(بدون نام)",VLOOKUP(INDEX(PkFixedA,269),AcctTblA,4,0)),"—"))</f>
        <v/>
      </c>
      <c r="C853" s="18">
        <f>IF($B853="","",IF(269&gt;NFixedA,"",INDEX(PkFixedA,269)))</f>
        <v/>
      </c>
      <c r="D853" s="17">
        <f>IF($B853="","","f")</f>
        <v/>
      </c>
      <c r="E853" s="19">
        <f>IF($B853="","",IF(269&gt;NFixedA,0,SUMIF(CalcDebit,INDEX(PkFixedA,269),CalcAmt)+SUMIF(CalcDebit2,INDEX(PkFixedA,269),CalcAmt2)))</f>
        <v/>
      </c>
      <c r="F853" s="19">
        <f>IF($B853="","",IF(269&gt;NFixedA,0,SUMIF(CalcCredit,INDEX(PkFixedA,269),CalcAmt)+SUMIF(CalcCredit2,INDEX(PkFixedA,269),CalcAmt2)))</f>
        <v/>
      </c>
      <c r="G853" s="20">
        <f>IF($B853="","",ROUND($E853-$F853,0))</f>
        <v/>
      </c>
      <c r="H853" s="17">
        <f>IF($B853="","",IF(ROUND($G853,0)&gt;0,"بدهکار",IF(ROUND($G853,0)&lt;0,"بستانکار","تسویه")))</f>
        <v/>
      </c>
    </row>
    <row r="854">
      <c r="A854" s="11">
        <f>IF($B854="","",845)</f>
        <v/>
      </c>
      <c r="B854" s="12">
        <f>IF(270&gt;NFixedA,"",IFERROR(IF(VLOOKUP(INDEX(PkFixedA,270),AcctTblA,4,0)="","(بدون نام)",VLOOKUP(INDEX(PkFixedA,270),AcctTblA,4,0)),"—"))</f>
        <v/>
      </c>
      <c r="C854" s="13">
        <f>IF($B854="","",IF(270&gt;NFixedA,"",INDEX(PkFixedA,270)))</f>
        <v/>
      </c>
      <c r="D854" s="12">
        <f>IF($B854="","","f")</f>
        <v/>
      </c>
      <c r="E854" s="14">
        <f>IF($B854="","",IF(270&gt;NFixedA,0,SUMIF(CalcDebit,INDEX(PkFixedA,270),CalcAmt)+SUMIF(CalcDebit2,INDEX(PkFixedA,270),CalcAmt2)))</f>
        <v/>
      </c>
      <c r="F854" s="14">
        <f>IF($B854="","",IF(270&gt;NFixedA,0,SUMIF(CalcCredit,INDEX(PkFixedA,270),CalcAmt)+SUMIF(CalcCredit2,INDEX(PkFixedA,270),CalcAmt2)))</f>
        <v/>
      </c>
      <c r="G854" s="15">
        <f>IF($B854="","",ROUND($E854-$F854,0))</f>
        <v/>
      </c>
      <c r="H854" s="12">
        <f>IF($B854="","",IF(ROUND($G854,0)&gt;0,"بدهکار",IF(ROUND($G854,0)&lt;0,"بستانکار","تسویه")))</f>
        <v/>
      </c>
    </row>
    <row r="855">
      <c r="A855" s="16">
        <f>IF($B855="","",846)</f>
        <v/>
      </c>
      <c r="B855" s="17">
        <f>IF(271&gt;NFixedA,"",IFERROR(IF(VLOOKUP(INDEX(PkFixedA,271),AcctTblA,4,0)="","(بدون نام)",VLOOKUP(INDEX(PkFixedA,271),AcctTblA,4,0)),"—"))</f>
        <v/>
      </c>
      <c r="C855" s="18">
        <f>IF($B855="","",IF(271&gt;NFixedA,"",INDEX(PkFixedA,271)))</f>
        <v/>
      </c>
      <c r="D855" s="17">
        <f>IF($B855="","","f")</f>
        <v/>
      </c>
      <c r="E855" s="19">
        <f>IF($B855="","",IF(271&gt;NFixedA,0,SUMIF(CalcDebit,INDEX(PkFixedA,271),CalcAmt)+SUMIF(CalcDebit2,INDEX(PkFixedA,271),CalcAmt2)))</f>
        <v/>
      </c>
      <c r="F855" s="19">
        <f>IF($B855="","",IF(271&gt;NFixedA,0,SUMIF(CalcCredit,INDEX(PkFixedA,271),CalcAmt)+SUMIF(CalcCredit2,INDEX(PkFixedA,271),CalcAmt2)))</f>
        <v/>
      </c>
      <c r="G855" s="20">
        <f>IF($B855="","",ROUND($E855-$F855,0))</f>
        <v/>
      </c>
      <c r="H855" s="17">
        <f>IF($B855="","",IF(ROUND($G855,0)&gt;0,"بدهکار",IF(ROUND($G855,0)&lt;0,"بستانکار","تسویه")))</f>
        <v/>
      </c>
    </row>
    <row r="856">
      <c r="A856" s="11">
        <f>IF($B856="","",847)</f>
        <v/>
      </c>
      <c r="B856" s="12">
        <f>IF(272&gt;NFixedA,"",IFERROR(IF(VLOOKUP(INDEX(PkFixedA,272),AcctTblA,4,0)="","(بدون نام)",VLOOKUP(INDEX(PkFixedA,272),AcctTblA,4,0)),"—"))</f>
        <v/>
      </c>
      <c r="C856" s="13">
        <f>IF($B856="","",IF(272&gt;NFixedA,"",INDEX(PkFixedA,272)))</f>
        <v/>
      </c>
      <c r="D856" s="12">
        <f>IF($B856="","","f")</f>
        <v/>
      </c>
      <c r="E856" s="14">
        <f>IF($B856="","",IF(272&gt;NFixedA,0,SUMIF(CalcDebit,INDEX(PkFixedA,272),CalcAmt)+SUMIF(CalcDebit2,INDEX(PkFixedA,272),CalcAmt2)))</f>
        <v/>
      </c>
      <c r="F856" s="14">
        <f>IF($B856="","",IF(272&gt;NFixedA,0,SUMIF(CalcCredit,INDEX(PkFixedA,272),CalcAmt)+SUMIF(CalcCredit2,INDEX(PkFixedA,272),CalcAmt2)))</f>
        <v/>
      </c>
      <c r="G856" s="15">
        <f>IF($B856="","",ROUND($E856-$F856,0))</f>
        <v/>
      </c>
      <c r="H856" s="12">
        <f>IF($B856="","",IF(ROUND($G856,0)&gt;0,"بدهکار",IF(ROUND($G856,0)&lt;0,"بستانکار","تسویه")))</f>
        <v/>
      </c>
    </row>
    <row r="857">
      <c r="A857" s="16">
        <f>IF($B857="","",848)</f>
        <v/>
      </c>
      <c r="B857" s="17">
        <f>IF(273&gt;NFixedA,"",IFERROR(IF(VLOOKUP(INDEX(PkFixedA,273),AcctTblA,4,0)="","(بدون نام)",VLOOKUP(INDEX(PkFixedA,273),AcctTblA,4,0)),"—"))</f>
        <v/>
      </c>
      <c r="C857" s="18">
        <f>IF($B857="","",IF(273&gt;NFixedA,"",INDEX(PkFixedA,273)))</f>
        <v/>
      </c>
      <c r="D857" s="17">
        <f>IF($B857="","","f")</f>
        <v/>
      </c>
      <c r="E857" s="19">
        <f>IF($B857="","",IF(273&gt;NFixedA,0,SUMIF(CalcDebit,INDEX(PkFixedA,273),CalcAmt)+SUMIF(CalcDebit2,INDEX(PkFixedA,273),CalcAmt2)))</f>
        <v/>
      </c>
      <c r="F857" s="19">
        <f>IF($B857="","",IF(273&gt;NFixedA,0,SUMIF(CalcCredit,INDEX(PkFixedA,273),CalcAmt)+SUMIF(CalcCredit2,INDEX(PkFixedA,273),CalcAmt2)))</f>
        <v/>
      </c>
      <c r="G857" s="20">
        <f>IF($B857="","",ROUND($E857-$F857,0))</f>
        <v/>
      </c>
      <c r="H857" s="17">
        <f>IF($B857="","",IF(ROUND($G857,0)&gt;0,"بدهکار",IF(ROUND($G857,0)&lt;0,"بستانکار","تسویه")))</f>
        <v/>
      </c>
    </row>
    <row r="858">
      <c r="A858" s="11">
        <f>IF($B858="","",849)</f>
        <v/>
      </c>
      <c r="B858" s="12">
        <f>IF(274&gt;NFixedA,"",IFERROR(IF(VLOOKUP(INDEX(PkFixedA,274),AcctTblA,4,0)="","(بدون نام)",VLOOKUP(INDEX(PkFixedA,274),AcctTblA,4,0)),"—"))</f>
        <v/>
      </c>
      <c r="C858" s="13">
        <f>IF($B858="","",IF(274&gt;NFixedA,"",INDEX(PkFixedA,274)))</f>
        <v/>
      </c>
      <c r="D858" s="12">
        <f>IF($B858="","","f")</f>
        <v/>
      </c>
      <c r="E858" s="14">
        <f>IF($B858="","",IF(274&gt;NFixedA,0,SUMIF(CalcDebit,INDEX(PkFixedA,274),CalcAmt)+SUMIF(CalcDebit2,INDEX(PkFixedA,274),CalcAmt2)))</f>
        <v/>
      </c>
      <c r="F858" s="14">
        <f>IF($B858="","",IF(274&gt;NFixedA,0,SUMIF(CalcCredit,INDEX(PkFixedA,274),CalcAmt)+SUMIF(CalcCredit2,INDEX(PkFixedA,274),CalcAmt2)))</f>
        <v/>
      </c>
      <c r="G858" s="15">
        <f>IF($B858="","",ROUND($E858-$F858,0))</f>
        <v/>
      </c>
      <c r="H858" s="12">
        <f>IF($B858="","",IF(ROUND($G858,0)&gt;0,"بدهکار",IF(ROUND($G858,0)&lt;0,"بستانکار","تسویه")))</f>
        <v/>
      </c>
    </row>
    <row r="859">
      <c r="A859" s="16">
        <f>IF($B859="","",850)</f>
        <v/>
      </c>
      <c r="B859" s="17">
        <f>IF(275&gt;NFixedA,"",IFERROR(IF(VLOOKUP(INDEX(PkFixedA,275),AcctTblA,4,0)="","(بدون نام)",VLOOKUP(INDEX(PkFixedA,275),AcctTblA,4,0)),"—"))</f>
        <v/>
      </c>
      <c r="C859" s="18">
        <f>IF($B859="","",IF(275&gt;NFixedA,"",INDEX(PkFixedA,275)))</f>
        <v/>
      </c>
      <c r="D859" s="17">
        <f>IF($B859="","","f")</f>
        <v/>
      </c>
      <c r="E859" s="19">
        <f>IF($B859="","",IF(275&gt;NFixedA,0,SUMIF(CalcDebit,INDEX(PkFixedA,275),CalcAmt)+SUMIF(CalcDebit2,INDEX(PkFixedA,275),CalcAmt2)))</f>
        <v/>
      </c>
      <c r="F859" s="19">
        <f>IF($B859="","",IF(275&gt;NFixedA,0,SUMIF(CalcCredit,INDEX(PkFixedA,275),CalcAmt)+SUMIF(CalcCredit2,INDEX(PkFixedA,275),CalcAmt2)))</f>
        <v/>
      </c>
      <c r="G859" s="20">
        <f>IF($B859="","",ROUND($E859-$F859,0))</f>
        <v/>
      </c>
      <c r="H859" s="17">
        <f>IF($B859="","",IF(ROUND($G859,0)&gt;0,"بدهکار",IF(ROUND($G859,0)&lt;0,"بستانکار","تسویه")))</f>
        <v/>
      </c>
    </row>
    <row r="860">
      <c r="A860" s="11">
        <f>IF($B860="","",851)</f>
        <v/>
      </c>
      <c r="B860" s="12">
        <f>IF(276&gt;NFixedA,"",IFERROR(IF(VLOOKUP(INDEX(PkFixedA,276),AcctTblA,4,0)="","(بدون نام)",VLOOKUP(INDEX(PkFixedA,276),AcctTblA,4,0)),"—"))</f>
        <v/>
      </c>
      <c r="C860" s="13">
        <f>IF($B860="","",IF(276&gt;NFixedA,"",INDEX(PkFixedA,276)))</f>
        <v/>
      </c>
      <c r="D860" s="12">
        <f>IF($B860="","","f")</f>
        <v/>
      </c>
      <c r="E860" s="14">
        <f>IF($B860="","",IF(276&gt;NFixedA,0,SUMIF(CalcDebit,INDEX(PkFixedA,276),CalcAmt)+SUMIF(CalcDebit2,INDEX(PkFixedA,276),CalcAmt2)))</f>
        <v/>
      </c>
      <c r="F860" s="14">
        <f>IF($B860="","",IF(276&gt;NFixedA,0,SUMIF(CalcCredit,INDEX(PkFixedA,276),CalcAmt)+SUMIF(CalcCredit2,INDEX(PkFixedA,276),CalcAmt2)))</f>
        <v/>
      </c>
      <c r="G860" s="15">
        <f>IF($B860="","",ROUND($E860-$F860,0))</f>
        <v/>
      </c>
      <c r="H860" s="12">
        <f>IF($B860="","",IF(ROUND($G860,0)&gt;0,"بدهکار",IF(ROUND($G860,0)&lt;0,"بستانکار","تسویه")))</f>
        <v/>
      </c>
    </row>
    <row r="861">
      <c r="A861" s="16">
        <f>IF($B861="","",852)</f>
        <v/>
      </c>
      <c r="B861" s="17">
        <f>IF(277&gt;NFixedA,"",IFERROR(IF(VLOOKUP(INDEX(PkFixedA,277),AcctTblA,4,0)="","(بدون نام)",VLOOKUP(INDEX(PkFixedA,277),AcctTblA,4,0)),"—"))</f>
        <v/>
      </c>
      <c r="C861" s="18">
        <f>IF($B861="","",IF(277&gt;NFixedA,"",INDEX(PkFixedA,277)))</f>
        <v/>
      </c>
      <c r="D861" s="17">
        <f>IF($B861="","","f")</f>
        <v/>
      </c>
      <c r="E861" s="19">
        <f>IF($B861="","",IF(277&gt;NFixedA,0,SUMIF(CalcDebit,INDEX(PkFixedA,277),CalcAmt)+SUMIF(CalcDebit2,INDEX(PkFixedA,277),CalcAmt2)))</f>
        <v/>
      </c>
      <c r="F861" s="19">
        <f>IF($B861="","",IF(277&gt;NFixedA,0,SUMIF(CalcCredit,INDEX(PkFixedA,277),CalcAmt)+SUMIF(CalcCredit2,INDEX(PkFixedA,277),CalcAmt2)))</f>
        <v/>
      </c>
      <c r="G861" s="20">
        <f>IF($B861="","",ROUND($E861-$F861,0))</f>
        <v/>
      </c>
      <c r="H861" s="17">
        <f>IF($B861="","",IF(ROUND($G861,0)&gt;0,"بدهکار",IF(ROUND($G861,0)&lt;0,"بستانکار","تسویه")))</f>
        <v/>
      </c>
    </row>
    <row r="862">
      <c r="A862" s="11">
        <f>IF($B862="","",853)</f>
        <v/>
      </c>
      <c r="B862" s="12">
        <f>IF(278&gt;NFixedA,"",IFERROR(IF(VLOOKUP(INDEX(PkFixedA,278),AcctTblA,4,0)="","(بدون نام)",VLOOKUP(INDEX(PkFixedA,278),AcctTblA,4,0)),"—"))</f>
        <v/>
      </c>
      <c r="C862" s="13">
        <f>IF($B862="","",IF(278&gt;NFixedA,"",INDEX(PkFixedA,278)))</f>
        <v/>
      </c>
      <c r="D862" s="12">
        <f>IF($B862="","","f")</f>
        <v/>
      </c>
      <c r="E862" s="14">
        <f>IF($B862="","",IF(278&gt;NFixedA,0,SUMIF(CalcDebit,INDEX(PkFixedA,278),CalcAmt)+SUMIF(CalcDebit2,INDEX(PkFixedA,278),CalcAmt2)))</f>
        <v/>
      </c>
      <c r="F862" s="14">
        <f>IF($B862="","",IF(278&gt;NFixedA,0,SUMIF(CalcCredit,INDEX(PkFixedA,278),CalcAmt)+SUMIF(CalcCredit2,INDEX(PkFixedA,278),CalcAmt2)))</f>
        <v/>
      </c>
      <c r="G862" s="15">
        <f>IF($B862="","",ROUND($E862-$F862,0))</f>
        <v/>
      </c>
      <c r="H862" s="12">
        <f>IF($B862="","",IF(ROUND($G862,0)&gt;0,"بدهکار",IF(ROUND($G862,0)&lt;0,"بستانکار","تسویه")))</f>
        <v/>
      </c>
    </row>
    <row r="863">
      <c r="A863" s="16">
        <f>IF($B863="","",854)</f>
        <v/>
      </c>
      <c r="B863" s="17">
        <f>IF(279&gt;NFixedA,"",IFERROR(IF(VLOOKUP(INDEX(PkFixedA,279),AcctTblA,4,0)="","(بدون نام)",VLOOKUP(INDEX(PkFixedA,279),AcctTblA,4,0)),"—"))</f>
        <v/>
      </c>
      <c r="C863" s="18">
        <f>IF($B863="","",IF(279&gt;NFixedA,"",INDEX(PkFixedA,279)))</f>
        <v/>
      </c>
      <c r="D863" s="17">
        <f>IF($B863="","","f")</f>
        <v/>
      </c>
      <c r="E863" s="19">
        <f>IF($B863="","",IF(279&gt;NFixedA,0,SUMIF(CalcDebit,INDEX(PkFixedA,279),CalcAmt)+SUMIF(CalcDebit2,INDEX(PkFixedA,279),CalcAmt2)))</f>
        <v/>
      </c>
      <c r="F863" s="19">
        <f>IF($B863="","",IF(279&gt;NFixedA,0,SUMIF(CalcCredit,INDEX(PkFixedA,279),CalcAmt)+SUMIF(CalcCredit2,INDEX(PkFixedA,279),CalcAmt2)))</f>
        <v/>
      </c>
      <c r="G863" s="20">
        <f>IF($B863="","",ROUND($E863-$F863,0))</f>
        <v/>
      </c>
      <c r="H863" s="17">
        <f>IF($B863="","",IF(ROUND($G863,0)&gt;0,"بدهکار",IF(ROUND($G863,0)&lt;0,"بستانکار","تسویه")))</f>
        <v/>
      </c>
    </row>
    <row r="864">
      <c r="A864" s="11">
        <f>IF($B864="","",855)</f>
        <v/>
      </c>
      <c r="B864" s="12">
        <f>IF(280&gt;NFixedA,"",IFERROR(IF(VLOOKUP(INDEX(PkFixedA,280),AcctTblA,4,0)="","(بدون نام)",VLOOKUP(INDEX(PkFixedA,280),AcctTblA,4,0)),"—"))</f>
        <v/>
      </c>
      <c r="C864" s="13">
        <f>IF($B864="","",IF(280&gt;NFixedA,"",INDEX(PkFixedA,280)))</f>
        <v/>
      </c>
      <c r="D864" s="12">
        <f>IF($B864="","","f")</f>
        <v/>
      </c>
      <c r="E864" s="14">
        <f>IF($B864="","",IF(280&gt;NFixedA,0,SUMIF(CalcDebit,INDEX(PkFixedA,280),CalcAmt)+SUMIF(CalcDebit2,INDEX(PkFixedA,280),CalcAmt2)))</f>
        <v/>
      </c>
      <c r="F864" s="14">
        <f>IF($B864="","",IF(280&gt;NFixedA,0,SUMIF(CalcCredit,INDEX(PkFixedA,280),CalcAmt)+SUMIF(CalcCredit2,INDEX(PkFixedA,280),CalcAmt2)))</f>
        <v/>
      </c>
      <c r="G864" s="15">
        <f>IF($B864="","",ROUND($E864-$F864,0))</f>
        <v/>
      </c>
      <c r="H864" s="12">
        <f>IF($B864="","",IF(ROUND($G864,0)&gt;0,"بدهکار",IF(ROUND($G864,0)&lt;0,"بستانکار","تسویه")))</f>
        <v/>
      </c>
    </row>
    <row r="865">
      <c r="A865" s="16">
        <f>IF($B865="","",856)</f>
        <v/>
      </c>
      <c r="B865" s="17">
        <f>IF(281&gt;NFixedA,"",IFERROR(IF(VLOOKUP(INDEX(PkFixedA,281),AcctTblA,4,0)="","(بدون نام)",VLOOKUP(INDEX(PkFixedA,281),AcctTblA,4,0)),"—"))</f>
        <v/>
      </c>
      <c r="C865" s="18">
        <f>IF($B865="","",IF(281&gt;NFixedA,"",INDEX(PkFixedA,281)))</f>
        <v/>
      </c>
      <c r="D865" s="17">
        <f>IF($B865="","","f")</f>
        <v/>
      </c>
      <c r="E865" s="19">
        <f>IF($B865="","",IF(281&gt;NFixedA,0,SUMIF(CalcDebit,INDEX(PkFixedA,281),CalcAmt)+SUMIF(CalcDebit2,INDEX(PkFixedA,281),CalcAmt2)))</f>
        <v/>
      </c>
      <c r="F865" s="19">
        <f>IF($B865="","",IF(281&gt;NFixedA,0,SUMIF(CalcCredit,INDEX(PkFixedA,281),CalcAmt)+SUMIF(CalcCredit2,INDEX(PkFixedA,281),CalcAmt2)))</f>
        <v/>
      </c>
      <c r="G865" s="20">
        <f>IF($B865="","",ROUND($E865-$F865,0))</f>
        <v/>
      </c>
      <c r="H865" s="17">
        <f>IF($B865="","",IF(ROUND($G865,0)&gt;0,"بدهکار",IF(ROUND($G865,0)&lt;0,"بستانکار","تسویه")))</f>
        <v/>
      </c>
    </row>
    <row r="866">
      <c r="A866" s="11">
        <f>IF($B866="","",857)</f>
        <v/>
      </c>
      <c r="B866" s="12">
        <f>IF(282&gt;NFixedA,"",IFERROR(IF(VLOOKUP(INDEX(PkFixedA,282),AcctTblA,4,0)="","(بدون نام)",VLOOKUP(INDEX(PkFixedA,282),AcctTblA,4,0)),"—"))</f>
        <v/>
      </c>
      <c r="C866" s="13">
        <f>IF($B866="","",IF(282&gt;NFixedA,"",INDEX(PkFixedA,282)))</f>
        <v/>
      </c>
      <c r="D866" s="12">
        <f>IF($B866="","","f")</f>
        <v/>
      </c>
      <c r="E866" s="14">
        <f>IF($B866="","",IF(282&gt;NFixedA,0,SUMIF(CalcDebit,INDEX(PkFixedA,282),CalcAmt)+SUMIF(CalcDebit2,INDEX(PkFixedA,282),CalcAmt2)))</f>
        <v/>
      </c>
      <c r="F866" s="14">
        <f>IF($B866="","",IF(282&gt;NFixedA,0,SUMIF(CalcCredit,INDEX(PkFixedA,282),CalcAmt)+SUMIF(CalcCredit2,INDEX(PkFixedA,282),CalcAmt2)))</f>
        <v/>
      </c>
      <c r="G866" s="15">
        <f>IF($B866="","",ROUND($E866-$F866,0))</f>
        <v/>
      </c>
      <c r="H866" s="12">
        <f>IF($B866="","",IF(ROUND($G866,0)&gt;0,"بدهکار",IF(ROUND($G866,0)&lt;0,"بستانکار","تسویه")))</f>
        <v/>
      </c>
    </row>
    <row r="867">
      <c r="A867" s="16">
        <f>IF($B867="","",858)</f>
        <v/>
      </c>
      <c r="B867" s="17">
        <f>IF(283&gt;NFixedA,"",IFERROR(IF(VLOOKUP(INDEX(PkFixedA,283),AcctTblA,4,0)="","(بدون نام)",VLOOKUP(INDEX(PkFixedA,283),AcctTblA,4,0)),"—"))</f>
        <v/>
      </c>
      <c r="C867" s="18">
        <f>IF($B867="","",IF(283&gt;NFixedA,"",INDEX(PkFixedA,283)))</f>
        <v/>
      </c>
      <c r="D867" s="17">
        <f>IF($B867="","","f")</f>
        <v/>
      </c>
      <c r="E867" s="19">
        <f>IF($B867="","",IF(283&gt;NFixedA,0,SUMIF(CalcDebit,INDEX(PkFixedA,283),CalcAmt)+SUMIF(CalcDebit2,INDEX(PkFixedA,283),CalcAmt2)))</f>
        <v/>
      </c>
      <c r="F867" s="19">
        <f>IF($B867="","",IF(283&gt;NFixedA,0,SUMIF(CalcCredit,INDEX(PkFixedA,283),CalcAmt)+SUMIF(CalcCredit2,INDEX(PkFixedA,283),CalcAmt2)))</f>
        <v/>
      </c>
      <c r="G867" s="20">
        <f>IF($B867="","",ROUND($E867-$F867,0))</f>
        <v/>
      </c>
      <c r="H867" s="17">
        <f>IF($B867="","",IF(ROUND($G867,0)&gt;0,"بدهکار",IF(ROUND($G867,0)&lt;0,"بستانکار","تسویه")))</f>
        <v/>
      </c>
    </row>
    <row r="868">
      <c r="A868" s="11">
        <f>IF($B868="","",859)</f>
        <v/>
      </c>
      <c r="B868" s="12">
        <f>IF(284&gt;NFixedA,"",IFERROR(IF(VLOOKUP(INDEX(PkFixedA,284),AcctTblA,4,0)="","(بدون نام)",VLOOKUP(INDEX(PkFixedA,284),AcctTblA,4,0)),"—"))</f>
        <v/>
      </c>
      <c r="C868" s="13">
        <f>IF($B868="","",IF(284&gt;NFixedA,"",INDEX(PkFixedA,284)))</f>
        <v/>
      </c>
      <c r="D868" s="12">
        <f>IF($B868="","","f")</f>
        <v/>
      </c>
      <c r="E868" s="14">
        <f>IF($B868="","",IF(284&gt;NFixedA,0,SUMIF(CalcDebit,INDEX(PkFixedA,284),CalcAmt)+SUMIF(CalcDebit2,INDEX(PkFixedA,284),CalcAmt2)))</f>
        <v/>
      </c>
      <c r="F868" s="14">
        <f>IF($B868="","",IF(284&gt;NFixedA,0,SUMIF(CalcCredit,INDEX(PkFixedA,284),CalcAmt)+SUMIF(CalcCredit2,INDEX(PkFixedA,284),CalcAmt2)))</f>
        <v/>
      </c>
      <c r="G868" s="15">
        <f>IF($B868="","",ROUND($E868-$F868,0))</f>
        <v/>
      </c>
      <c r="H868" s="12">
        <f>IF($B868="","",IF(ROUND($G868,0)&gt;0,"بدهکار",IF(ROUND($G868,0)&lt;0,"بستانکار","تسویه")))</f>
        <v/>
      </c>
    </row>
    <row r="869">
      <c r="A869" s="16">
        <f>IF($B869="","",860)</f>
        <v/>
      </c>
      <c r="B869" s="17">
        <f>IF(285&gt;NFixedA,"",IFERROR(IF(VLOOKUP(INDEX(PkFixedA,285),AcctTblA,4,0)="","(بدون نام)",VLOOKUP(INDEX(PkFixedA,285),AcctTblA,4,0)),"—"))</f>
        <v/>
      </c>
      <c r="C869" s="18">
        <f>IF($B869="","",IF(285&gt;NFixedA,"",INDEX(PkFixedA,285)))</f>
        <v/>
      </c>
      <c r="D869" s="17">
        <f>IF($B869="","","f")</f>
        <v/>
      </c>
      <c r="E869" s="19">
        <f>IF($B869="","",IF(285&gt;NFixedA,0,SUMIF(CalcDebit,INDEX(PkFixedA,285),CalcAmt)+SUMIF(CalcDebit2,INDEX(PkFixedA,285),CalcAmt2)))</f>
        <v/>
      </c>
      <c r="F869" s="19">
        <f>IF($B869="","",IF(285&gt;NFixedA,0,SUMIF(CalcCredit,INDEX(PkFixedA,285),CalcAmt)+SUMIF(CalcCredit2,INDEX(PkFixedA,285),CalcAmt2)))</f>
        <v/>
      </c>
      <c r="G869" s="20">
        <f>IF($B869="","",ROUND($E869-$F869,0))</f>
        <v/>
      </c>
      <c r="H869" s="17">
        <f>IF($B869="","",IF(ROUND($G869,0)&gt;0,"بدهکار",IF(ROUND($G869,0)&lt;0,"بستانکار","تسویه")))</f>
        <v/>
      </c>
    </row>
    <row r="870">
      <c r="A870" s="11">
        <f>IF($B870="","",861)</f>
        <v/>
      </c>
      <c r="B870" s="12">
        <f>IF(286&gt;NFixedA,"",IFERROR(IF(VLOOKUP(INDEX(PkFixedA,286),AcctTblA,4,0)="","(بدون نام)",VLOOKUP(INDEX(PkFixedA,286),AcctTblA,4,0)),"—"))</f>
        <v/>
      </c>
      <c r="C870" s="13">
        <f>IF($B870="","",IF(286&gt;NFixedA,"",INDEX(PkFixedA,286)))</f>
        <v/>
      </c>
      <c r="D870" s="12">
        <f>IF($B870="","","f")</f>
        <v/>
      </c>
      <c r="E870" s="14">
        <f>IF($B870="","",IF(286&gt;NFixedA,0,SUMIF(CalcDebit,INDEX(PkFixedA,286),CalcAmt)+SUMIF(CalcDebit2,INDEX(PkFixedA,286),CalcAmt2)))</f>
        <v/>
      </c>
      <c r="F870" s="14">
        <f>IF($B870="","",IF(286&gt;NFixedA,0,SUMIF(CalcCredit,INDEX(PkFixedA,286),CalcAmt)+SUMIF(CalcCredit2,INDEX(PkFixedA,286),CalcAmt2)))</f>
        <v/>
      </c>
      <c r="G870" s="15">
        <f>IF($B870="","",ROUND($E870-$F870,0))</f>
        <v/>
      </c>
      <c r="H870" s="12">
        <f>IF($B870="","",IF(ROUND($G870,0)&gt;0,"بدهکار",IF(ROUND($G870,0)&lt;0,"بستانکار","تسویه")))</f>
        <v/>
      </c>
    </row>
    <row r="871">
      <c r="A871" s="16">
        <f>IF($B871="","",862)</f>
        <v/>
      </c>
      <c r="B871" s="17">
        <f>IF(287&gt;NFixedA,"",IFERROR(IF(VLOOKUP(INDEX(PkFixedA,287),AcctTblA,4,0)="","(بدون نام)",VLOOKUP(INDEX(PkFixedA,287),AcctTblA,4,0)),"—"))</f>
        <v/>
      </c>
      <c r="C871" s="18">
        <f>IF($B871="","",IF(287&gt;NFixedA,"",INDEX(PkFixedA,287)))</f>
        <v/>
      </c>
      <c r="D871" s="17">
        <f>IF($B871="","","f")</f>
        <v/>
      </c>
      <c r="E871" s="19">
        <f>IF($B871="","",IF(287&gt;NFixedA,0,SUMIF(CalcDebit,INDEX(PkFixedA,287),CalcAmt)+SUMIF(CalcDebit2,INDEX(PkFixedA,287),CalcAmt2)))</f>
        <v/>
      </c>
      <c r="F871" s="19">
        <f>IF($B871="","",IF(287&gt;NFixedA,0,SUMIF(CalcCredit,INDEX(PkFixedA,287),CalcAmt)+SUMIF(CalcCredit2,INDEX(PkFixedA,287),CalcAmt2)))</f>
        <v/>
      </c>
      <c r="G871" s="20">
        <f>IF($B871="","",ROUND($E871-$F871,0))</f>
        <v/>
      </c>
      <c r="H871" s="17">
        <f>IF($B871="","",IF(ROUND($G871,0)&gt;0,"بدهکار",IF(ROUND($G871,0)&lt;0,"بستانکار","تسویه")))</f>
        <v/>
      </c>
    </row>
    <row r="872">
      <c r="A872" s="11">
        <f>IF($B872="","",863)</f>
        <v/>
      </c>
      <c r="B872" s="12">
        <f>IF(288&gt;NFixedA,"",IFERROR(IF(VLOOKUP(INDEX(PkFixedA,288),AcctTblA,4,0)="","(بدون نام)",VLOOKUP(INDEX(PkFixedA,288),AcctTblA,4,0)),"—"))</f>
        <v/>
      </c>
      <c r="C872" s="13">
        <f>IF($B872="","",IF(288&gt;NFixedA,"",INDEX(PkFixedA,288)))</f>
        <v/>
      </c>
      <c r="D872" s="12">
        <f>IF($B872="","","f")</f>
        <v/>
      </c>
      <c r="E872" s="14">
        <f>IF($B872="","",IF(288&gt;NFixedA,0,SUMIF(CalcDebit,INDEX(PkFixedA,288),CalcAmt)+SUMIF(CalcDebit2,INDEX(PkFixedA,288),CalcAmt2)))</f>
        <v/>
      </c>
      <c r="F872" s="14">
        <f>IF($B872="","",IF(288&gt;NFixedA,0,SUMIF(CalcCredit,INDEX(PkFixedA,288),CalcAmt)+SUMIF(CalcCredit2,INDEX(PkFixedA,288),CalcAmt2)))</f>
        <v/>
      </c>
      <c r="G872" s="15">
        <f>IF($B872="","",ROUND($E872-$F872,0))</f>
        <v/>
      </c>
      <c r="H872" s="12">
        <f>IF($B872="","",IF(ROUND($G872,0)&gt;0,"بدهکار",IF(ROUND($G872,0)&lt;0,"بستانکار","تسویه")))</f>
        <v/>
      </c>
    </row>
    <row r="873">
      <c r="A873" s="16">
        <f>IF($B873="","",864)</f>
        <v/>
      </c>
      <c r="B873" s="17">
        <f>IF(289&gt;NFixedA,"",IFERROR(IF(VLOOKUP(INDEX(PkFixedA,289),AcctTblA,4,0)="","(بدون نام)",VLOOKUP(INDEX(PkFixedA,289),AcctTblA,4,0)),"—"))</f>
        <v/>
      </c>
      <c r="C873" s="18">
        <f>IF($B873="","",IF(289&gt;NFixedA,"",INDEX(PkFixedA,289)))</f>
        <v/>
      </c>
      <c r="D873" s="17">
        <f>IF($B873="","","f")</f>
        <v/>
      </c>
      <c r="E873" s="19">
        <f>IF($B873="","",IF(289&gt;NFixedA,0,SUMIF(CalcDebit,INDEX(PkFixedA,289),CalcAmt)+SUMIF(CalcDebit2,INDEX(PkFixedA,289),CalcAmt2)))</f>
        <v/>
      </c>
      <c r="F873" s="19">
        <f>IF($B873="","",IF(289&gt;NFixedA,0,SUMIF(CalcCredit,INDEX(PkFixedA,289),CalcAmt)+SUMIF(CalcCredit2,INDEX(PkFixedA,289),CalcAmt2)))</f>
        <v/>
      </c>
      <c r="G873" s="20">
        <f>IF($B873="","",ROUND($E873-$F873,0))</f>
        <v/>
      </c>
      <c r="H873" s="17">
        <f>IF($B873="","",IF(ROUND($G873,0)&gt;0,"بدهکار",IF(ROUND($G873,0)&lt;0,"بستانکار","تسویه")))</f>
        <v/>
      </c>
    </row>
    <row r="874">
      <c r="A874" s="11">
        <f>IF($B874="","",865)</f>
        <v/>
      </c>
      <c r="B874" s="12">
        <f>IF(290&gt;NFixedA,"",IFERROR(IF(VLOOKUP(INDEX(PkFixedA,290),AcctTblA,4,0)="","(بدون نام)",VLOOKUP(INDEX(PkFixedA,290),AcctTblA,4,0)),"—"))</f>
        <v/>
      </c>
      <c r="C874" s="13">
        <f>IF($B874="","",IF(290&gt;NFixedA,"",INDEX(PkFixedA,290)))</f>
        <v/>
      </c>
      <c r="D874" s="12">
        <f>IF($B874="","","f")</f>
        <v/>
      </c>
      <c r="E874" s="14">
        <f>IF($B874="","",IF(290&gt;NFixedA,0,SUMIF(CalcDebit,INDEX(PkFixedA,290),CalcAmt)+SUMIF(CalcDebit2,INDEX(PkFixedA,290),CalcAmt2)))</f>
        <v/>
      </c>
      <c r="F874" s="14">
        <f>IF($B874="","",IF(290&gt;NFixedA,0,SUMIF(CalcCredit,INDEX(PkFixedA,290),CalcAmt)+SUMIF(CalcCredit2,INDEX(PkFixedA,290),CalcAmt2)))</f>
        <v/>
      </c>
      <c r="G874" s="15">
        <f>IF($B874="","",ROUND($E874-$F874,0))</f>
        <v/>
      </c>
      <c r="H874" s="12">
        <f>IF($B874="","",IF(ROUND($G874,0)&gt;0,"بدهکار",IF(ROUND($G874,0)&lt;0,"بستانکار","تسویه")))</f>
        <v/>
      </c>
    </row>
    <row r="875">
      <c r="A875" s="16">
        <f>IF($B875="","",866)</f>
        <v/>
      </c>
      <c r="B875" s="17">
        <f>IF(291&gt;NFixedA,"",IFERROR(IF(VLOOKUP(INDEX(PkFixedA,291),AcctTblA,4,0)="","(بدون نام)",VLOOKUP(INDEX(PkFixedA,291),AcctTblA,4,0)),"—"))</f>
        <v/>
      </c>
      <c r="C875" s="18">
        <f>IF($B875="","",IF(291&gt;NFixedA,"",INDEX(PkFixedA,291)))</f>
        <v/>
      </c>
      <c r="D875" s="17">
        <f>IF($B875="","","f")</f>
        <v/>
      </c>
      <c r="E875" s="19">
        <f>IF($B875="","",IF(291&gt;NFixedA,0,SUMIF(CalcDebit,INDEX(PkFixedA,291),CalcAmt)+SUMIF(CalcDebit2,INDEX(PkFixedA,291),CalcAmt2)))</f>
        <v/>
      </c>
      <c r="F875" s="19">
        <f>IF($B875="","",IF(291&gt;NFixedA,0,SUMIF(CalcCredit,INDEX(PkFixedA,291),CalcAmt)+SUMIF(CalcCredit2,INDEX(PkFixedA,291),CalcAmt2)))</f>
        <v/>
      </c>
      <c r="G875" s="20">
        <f>IF($B875="","",ROUND($E875-$F875,0))</f>
        <v/>
      </c>
      <c r="H875" s="17">
        <f>IF($B875="","",IF(ROUND($G875,0)&gt;0,"بدهکار",IF(ROUND($G875,0)&lt;0,"بستانکار","تسویه")))</f>
        <v/>
      </c>
    </row>
    <row r="876">
      <c r="A876" s="11">
        <f>IF($B876="","",867)</f>
        <v/>
      </c>
      <c r="B876" s="12">
        <f>IF(292&gt;NFixedA,"",IFERROR(IF(VLOOKUP(INDEX(PkFixedA,292),AcctTblA,4,0)="","(بدون نام)",VLOOKUP(INDEX(PkFixedA,292),AcctTblA,4,0)),"—"))</f>
        <v/>
      </c>
      <c r="C876" s="13">
        <f>IF($B876="","",IF(292&gt;NFixedA,"",INDEX(PkFixedA,292)))</f>
        <v/>
      </c>
      <c r="D876" s="12">
        <f>IF($B876="","","f")</f>
        <v/>
      </c>
      <c r="E876" s="14">
        <f>IF($B876="","",IF(292&gt;NFixedA,0,SUMIF(CalcDebit,INDEX(PkFixedA,292),CalcAmt)+SUMIF(CalcDebit2,INDEX(PkFixedA,292),CalcAmt2)))</f>
        <v/>
      </c>
      <c r="F876" s="14">
        <f>IF($B876="","",IF(292&gt;NFixedA,0,SUMIF(CalcCredit,INDEX(PkFixedA,292),CalcAmt)+SUMIF(CalcCredit2,INDEX(PkFixedA,292),CalcAmt2)))</f>
        <v/>
      </c>
      <c r="G876" s="15">
        <f>IF($B876="","",ROUND($E876-$F876,0))</f>
        <v/>
      </c>
      <c r="H876" s="12">
        <f>IF($B876="","",IF(ROUND($G876,0)&gt;0,"بدهکار",IF(ROUND($G876,0)&lt;0,"بستانکار","تسویه")))</f>
        <v/>
      </c>
    </row>
    <row r="877">
      <c r="A877" s="16">
        <f>IF($B877="","",868)</f>
        <v/>
      </c>
      <c r="B877" s="17">
        <f>IF(293&gt;NFixedA,"",IFERROR(IF(VLOOKUP(INDEX(PkFixedA,293),AcctTblA,4,0)="","(بدون نام)",VLOOKUP(INDEX(PkFixedA,293),AcctTblA,4,0)),"—"))</f>
        <v/>
      </c>
      <c r="C877" s="18">
        <f>IF($B877="","",IF(293&gt;NFixedA,"",INDEX(PkFixedA,293)))</f>
        <v/>
      </c>
      <c r="D877" s="17">
        <f>IF($B877="","","f")</f>
        <v/>
      </c>
      <c r="E877" s="19">
        <f>IF($B877="","",IF(293&gt;NFixedA,0,SUMIF(CalcDebit,INDEX(PkFixedA,293),CalcAmt)+SUMIF(CalcDebit2,INDEX(PkFixedA,293),CalcAmt2)))</f>
        <v/>
      </c>
      <c r="F877" s="19">
        <f>IF($B877="","",IF(293&gt;NFixedA,0,SUMIF(CalcCredit,INDEX(PkFixedA,293),CalcAmt)+SUMIF(CalcCredit2,INDEX(PkFixedA,293),CalcAmt2)))</f>
        <v/>
      </c>
      <c r="G877" s="20">
        <f>IF($B877="","",ROUND($E877-$F877,0))</f>
        <v/>
      </c>
      <c r="H877" s="17">
        <f>IF($B877="","",IF(ROUND($G877,0)&gt;0,"بدهکار",IF(ROUND($G877,0)&lt;0,"بستانکار","تسویه")))</f>
        <v/>
      </c>
    </row>
    <row r="878">
      <c r="A878" s="11">
        <f>IF($B878="","",869)</f>
        <v/>
      </c>
      <c r="B878" s="12">
        <f>IF(294&gt;NFixedA,"",IFERROR(IF(VLOOKUP(INDEX(PkFixedA,294),AcctTblA,4,0)="","(بدون نام)",VLOOKUP(INDEX(PkFixedA,294),AcctTblA,4,0)),"—"))</f>
        <v/>
      </c>
      <c r="C878" s="13">
        <f>IF($B878="","",IF(294&gt;NFixedA,"",INDEX(PkFixedA,294)))</f>
        <v/>
      </c>
      <c r="D878" s="12">
        <f>IF($B878="","","f")</f>
        <v/>
      </c>
      <c r="E878" s="14">
        <f>IF($B878="","",IF(294&gt;NFixedA,0,SUMIF(CalcDebit,INDEX(PkFixedA,294),CalcAmt)+SUMIF(CalcDebit2,INDEX(PkFixedA,294),CalcAmt2)))</f>
        <v/>
      </c>
      <c r="F878" s="14">
        <f>IF($B878="","",IF(294&gt;NFixedA,0,SUMIF(CalcCredit,INDEX(PkFixedA,294),CalcAmt)+SUMIF(CalcCredit2,INDEX(PkFixedA,294),CalcAmt2)))</f>
        <v/>
      </c>
      <c r="G878" s="15">
        <f>IF($B878="","",ROUND($E878-$F878,0))</f>
        <v/>
      </c>
      <c r="H878" s="12">
        <f>IF($B878="","",IF(ROUND($G878,0)&gt;0,"بدهکار",IF(ROUND($G878,0)&lt;0,"بستانکار","تسویه")))</f>
        <v/>
      </c>
    </row>
    <row r="879">
      <c r="A879" s="16">
        <f>IF($B879="","",870)</f>
        <v/>
      </c>
      <c r="B879" s="17">
        <f>IF(295&gt;NFixedA,"",IFERROR(IF(VLOOKUP(INDEX(PkFixedA,295),AcctTblA,4,0)="","(بدون نام)",VLOOKUP(INDEX(PkFixedA,295),AcctTblA,4,0)),"—"))</f>
        <v/>
      </c>
      <c r="C879" s="18">
        <f>IF($B879="","",IF(295&gt;NFixedA,"",INDEX(PkFixedA,295)))</f>
        <v/>
      </c>
      <c r="D879" s="17">
        <f>IF($B879="","","f")</f>
        <v/>
      </c>
      <c r="E879" s="19">
        <f>IF($B879="","",IF(295&gt;NFixedA,0,SUMIF(CalcDebit,INDEX(PkFixedA,295),CalcAmt)+SUMIF(CalcDebit2,INDEX(PkFixedA,295),CalcAmt2)))</f>
        <v/>
      </c>
      <c r="F879" s="19">
        <f>IF($B879="","",IF(295&gt;NFixedA,0,SUMIF(CalcCredit,INDEX(PkFixedA,295),CalcAmt)+SUMIF(CalcCredit2,INDEX(PkFixedA,295),CalcAmt2)))</f>
        <v/>
      </c>
      <c r="G879" s="20">
        <f>IF($B879="","",ROUND($E879-$F879,0))</f>
        <v/>
      </c>
      <c r="H879" s="17">
        <f>IF($B879="","",IF(ROUND($G879,0)&gt;0,"بدهکار",IF(ROUND($G879,0)&lt;0,"بستانکار","تسویه")))</f>
        <v/>
      </c>
    </row>
    <row r="880">
      <c r="A880" s="11">
        <f>IF($B880="","",871)</f>
        <v/>
      </c>
      <c r="B880" s="12">
        <f>IF(296&gt;NFixedA,"",IFERROR(IF(VLOOKUP(INDEX(PkFixedA,296),AcctTblA,4,0)="","(بدون نام)",VLOOKUP(INDEX(PkFixedA,296),AcctTblA,4,0)),"—"))</f>
        <v/>
      </c>
      <c r="C880" s="13">
        <f>IF($B880="","",IF(296&gt;NFixedA,"",INDEX(PkFixedA,296)))</f>
        <v/>
      </c>
      <c r="D880" s="12">
        <f>IF($B880="","","f")</f>
        <v/>
      </c>
      <c r="E880" s="14">
        <f>IF($B880="","",IF(296&gt;NFixedA,0,SUMIF(CalcDebit,INDEX(PkFixedA,296),CalcAmt)+SUMIF(CalcDebit2,INDEX(PkFixedA,296),CalcAmt2)))</f>
        <v/>
      </c>
      <c r="F880" s="14">
        <f>IF($B880="","",IF(296&gt;NFixedA,0,SUMIF(CalcCredit,INDEX(PkFixedA,296),CalcAmt)+SUMIF(CalcCredit2,INDEX(PkFixedA,296),CalcAmt2)))</f>
        <v/>
      </c>
      <c r="G880" s="15">
        <f>IF($B880="","",ROUND($E880-$F880,0))</f>
        <v/>
      </c>
      <c r="H880" s="12">
        <f>IF($B880="","",IF(ROUND($G880,0)&gt;0,"بدهکار",IF(ROUND($G880,0)&lt;0,"بستانکار","تسویه")))</f>
        <v/>
      </c>
    </row>
    <row r="881">
      <c r="A881" s="16">
        <f>IF($B881="","",872)</f>
        <v/>
      </c>
      <c r="B881" s="17">
        <f>IF(297&gt;NFixedA,"",IFERROR(IF(VLOOKUP(INDEX(PkFixedA,297),AcctTblA,4,0)="","(بدون نام)",VLOOKUP(INDEX(PkFixedA,297),AcctTblA,4,0)),"—"))</f>
        <v/>
      </c>
      <c r="C881" s="18">
        <f>IF($B881="","",IF(297&gt;NFixedA,"",INDEX(PkFixedA,297)))</f>
        <v/>
      </c>
      <c r="D881" s="17">
        <f>IF($B881="","","f")</f>
        <v/>
      </c>
      <c r="E881" s="19">
        <f>IF($B881="","",IF(297&gt;NFixedA,0,SUMIF(CalcDebit,INDEX(PkFixedA,297),CalcAmt)+SUMIF(CalcDebit2,INDEX(PkFixedA,297),CalcAmt2)))</f>
        <v/>
      </c>
      <c r="F881" s="19">
        <f>IF($B881="","",IF(297&gt;NFixedA,0,SUMIF(CalcCredit,INDEX(PkFixedA,297),CalcAmt)+SUMIF(CalcCredit2,INDEX(PkFixedA,297),CalcAmt2)))</f>
        <v/>
      </c>
      <c r="G881" s="20">
        <f>IF($B881="","",ROUND($E881-$F881,0))</f>
        <v/>
      </c>
      <c r="H881" s="17">
        <f>IF($B881="","",IF(ROUND($G881,0)&gt;0,"بدهکار",IF(ROUND($G881,0)&lt;0,"بستانکار","تسویه")))</f>
        <v/>
      </c>
    </row>
    <row r="882">
      <c r="A882" s="11">
        <f>IF($B882="","",873)</f>
        <v/>
      </c>
      <c r="B882" s="12">
        <f>IF(298&gt;NFixedA,"",IFERROR(IF(VLOOKUP(INDEX(PkFixedA,298),AcctTblA,4,0)="","(بدون نام)",VLOOKUP(INDEX(PkFixedA,298),AcctTblA,4,0)),"—"))</f>
        <v/>
      </c>
      <c r="C882" s="13">
        <f>IF($B882="","",IF(298&gt;NFixedA,"",INDEX(PkFixedA,298)))</f>
        <v/>
      </c>
      <c r="D882" s="12">
        <f>IF($B882="","","f")</f>
        <v/>
      </c>
      <c r="E882" s="14">
        <f>IF($B882="","",IF(298&gt;NFixedA,0,SUMIF(CalcDebit,INDEX(PkFixedA,298),CalcAmt)+SUMIF(CalcDebit2,INDEX(PkFixedA,298),CalcAmt2)))</f>
        <v/>
      </c>
      <c r="F882" s="14">
        <f>IF($B882="","",IF(298&gt;NFixedA,0,SUMIF(CalcCredit,INDEX(PkFixedA,298),CalcAmt)+SUMIF(CalcCredit2,INDEX(PkFixedA,298),CalcAmt2)))</f>
        <v/>
      </c>
      <c r="G882" s="15">
        <f>IF($B882="","",ROUND($E882-$F882,0))</f>
        <v/>
      </c>
      <c r="H882" s="12">
        <f>IF($B882="","",IF(ROUND($G882,0)&gt;0,"بدهکار",IF(ROUND($G882,0)&lt;0,"بستانکار","تسویه")))</f>
        <v/>
      </c>
    </row>
    <row r="883">
      <c r="A883" s="16">
        <f>IF($B883="","",874)</f>
        <v/>
      </c>
      <c r="B883" s="17">
        <f>IF(299&gt;NFixedA,"",IFERROR(IF(VLOOKUP(INDEX(PkFixedA,299),AcctTblA,4,0)="","(بدون نام)",VLOOKUP(INDEX(PkFixedA,299),AcctTblA,4,0)),"—"))</f>
        <v/>
      </c>
      <c r="C883" s="18">
        <f>IF($B883="","",IF(299&gt;NFixedA,"",INDEX(PkFixedA,299)))</f>
        <v/>
      </c>
      <c r="D883" s="17">
        <f>IF($B883="","","f")</f>
        <v/>
      </c>
      <c r="E883" s="19">
        <f>IF($B883="","",IF(299&gt;NFixedA,0,SUMIF(CalcDebit,INDEX(PkFixedA,299),CalcAmt)+SUMIF(CalcDebit2,INDEX(PkFixedA,299),CalcAmt2)))</f>
        <v/>
      </c>
      <c r="F883" s="19">
        <f>IF($B883="","",IF(299&gt;NFixedA,0,SUMIF(CalcCredit,INDEX(PkFixedA,299),CalcAmt)+SUMIF(CalcCredit2,INDEX(PkFixedA,299),CalcAmt2)))</f>
        <v/>
      </c>
      <c r="G883" s="20">
        <f>IF($B883="","",ROUND($E883-$F883,0))</f>
        <v/>
      </c>
      <c r="H883" s="17">
        <f>IF($B883="","",IF(ROUND($G883,0)&gt;0,"بدهکار",IF(ROUND($G883,0)&lt;0,"بستانکار","تسویه")))</f>
        <v/>
      </c>
    </row>
    <row r="884">
      <c r="A884" s="11">
        <f>IF($B884="","",875)</f>
        <v/>
      </c>
      <c r="B884" s="12">
        <f>IF(300&gt;NFixedA,"",IFERROR(IF(VLOOKUP(INDEX(PkFixedA,300),AcctTblA,4,0)="","(بدون نام)",VLOOKUP(INDEX(PkFixedA,300),AcctTblA,4,0)),"—"))</f>
        <v/>
      </c>
      <c r="C884" s="13">
        <f>IF($B884="","",IF(300&gt;NFixedA,"",INDEX(PkFixedA,300)))</f>
        <v/>
      </c>
      <c r="D884" s="12">
        <f>IF($B884="","","f")</f>
        <v/>
      </c>
      <c r="E884" s="14">
        <f>IF($B884="","",IF(300&gt;NFixedA,0,SUMIF(CalcDebit,INDEX(PkFixedA,300),CalcAmt)+SUMIF(CalcDebit2,INDEX(PkFixedA,300),CalcAmt2)))</f>
        <v/>
      </c>
      <c r="F884" s="14">
        <f>IF($B884="","",IF(300&gt;NFixedA,0,SUMIF(CalcCredit,INDEX(PkFixedA,300),CalcAmt)+SUMIF(CalcCredit2,INDEX(PkFixedA,300),CalcAmt2)))</f>
        <v/>
      </c>
      <c r="G884" s="15">
        <f>IF($B884="","",ROUND($E884-$F884,0))</f>
        <v/>
      </c>
      <c r="H884" s="12">
        <f>IF($B884="","",IF(ROUND($G884,0)&gt;0,"بدهکار",IF(ROUND($G884,0)&lt;0,"بستانکار","تسویه")))</f>
        <v/>
      </c>
    </row>
    <row r="885">
      <c r="A885" s="16">
        <f>IF($B885="","",876)</f>
        <v/>
      </c>
      <c r="B885" s="17">
        <f>IF(301&gt;NFixedA,"",IFERROR(IF(VLOOKUP(INDEX(PkFixedA,301),AcctTblA,4,0)="","(بدون نام)",VLOOKUP(INDEX(PkFixedA,301),AcctTblA,4,0)),"—"))</f>
        <v/>
      </c>
      <c r="C885" s="18">
        <f>IF($B885="","",IF(301&gt;NFixedA,"",INDEX(PkFixedA,301)))</f>
        <v/>
      </c>
      <c r="D885" s="17">
        <f>IF($B885="","","f")</f>
        <v/>
      </c>
      <c r="E885" s="19">
        <f>IF($B885="","",IF(301&gt;NFixedA,0,SUMIF(CalcDebit,INDEX(PkFixedA,301),CalcAmt)+SUMIF(CalcDebit2,INDEX(PkFixedA,301),CalcAmt2)))</f>
        <v/>
      </c>
      <c r="F885" s="19">
        <f>IF($B885="","",IF(301&gt;NFixedA,0,SUMIF(CalcCredit,INDEX(PkFixedA,301),CalcAmt)+SUMIF(CalcCredit2,INDEX(PkFixedA,301),CalcAmt2)))</f>
        <v/>
      </c>
      <c r="G885" s="20">
        <f>IF($B885="","",ROUND($E885-$F885,0))</f>
        <v/>
      </c>
      <c r="H885" s="17">
        <f>IF($B885="","",IF(ROUND($G885,0)&gt;0,"بدهکار",IF(ROUND($G885,0)&lt;0,"بستانکار","تسویه")))</f>
        <v/>
      </c>
    </row>
    <row r="886">
      <c r="A886" s="11">
        <f>IF($B886="","",877)</f>
        <v/>
      </c>
      <c r="B886" s="12">
        <f>IF(302&gt;NFixedA,"",IFERROR(IF(VLOOKUP(INDEX(PkFixedA,302),AcctTblA,4,0)="","(بدون نام)",VLOOKUP(INDEX(PkFixedA,302),AcctTblA,4,0)),"—"))</f>
        <v/>
      </c>
      <c r="C886" s="13">
        <f>IF($B886="","",IF(302&gt;NFixedA,"",INDEX(PkFixedA,302)))</f>
        <v/>
      </c>
      <c r="D886" s="12">
        <f>IF($B886="","","f")</f>
        <v/>
      </c>
      <c r="E886" s="14">
        <f>IF($B886="","",IF(302&gt;NFixedA,0,SUMIF(CalcDebit,INDEX(PkFixedA,302),CalcAmt)+SUMIF(CalcDebit2,INDEX(PkFixedA,302),CalcAmt2)))</f>
        <v/>
      </c>
      <c r="F886" s="14">
        <f>IF($B886="","",IF(302&gt;NFixedA,0,SUMIF(CalcCredit,INDEX(PkFixedA,302),CalcAmt)+SUMIF(CalcCredit2,INDEX(PkFixedA,302),CalcAmt2)))</f>
        <v/>
      </c>
      <c r="G886" s="15">
        <f>IF($B886="","",ROUND($E886-$F886,0))</f>
        <v/>
      </c>
      <c r="H886" s="12">
        <f>IF($B886="","",IF(ROUND($G886,0)&gt;0,"بدهکار",IF(ROUND($G886,0)&lt;0,"بستانکار","تسویه")))</f>
        <v/>
      </c>
    </row>
    <row r="887">
      <c r="A887" s="16">
        <f>IF($B887="","",878)</f>
        <v/>
      </c>
      <c r="B887" s="17">
        <f>IF(303&gt;NFixedA,"",IFERROR(IF(VLOOKUP(INDEX(PkFixedA,303),AcctTblA,4,0)="","(بدون نام)",VLOOKUP(INDEX(PkFixedA,303),AcctTblA,4,0)),"—"))</f>
        <v/>
      </c>
      <c r="C887" s="18">
        <f>IF($B887="","",IF(303&gt;NFixedA,"",INDEX(PkFixedA,303)))</f>
        <v/>
      </c>
      <c r="D887" s="17">
        <f>IF($B887="","","f")</f>
        <v/>
      </c>
      <c r="E887" s="19">
        <f>IF($B887="","",IF(303&gt;NFixedA,0,SUMIF(CalcDebit,INDEX(PkFixedA,303),CalcAmt)+SUMIF(CalcDebit2,INDEX(PkFixedA,303),CalcAmt2)))</f>
        <v/>
      </c>
      <c r="F887" s="19">
        <f>IF($B887="","",IF(303&gt;NFixedA,0,SUMIF(CalcCredit,INDEX(PkFixedA,303),CalcAmt)+SUMIF(CalcCredit2,INDEX(PkFixedA,303),CalcAmt2)))</f>
        <v/>
      </c>
      <c r="G887" s="20">
        <f>IF($B887="","",ROUND($E887-$F887,0))</f>
        <v/>
      </c>
      <c r="H887" s="17">
        <f>IF($B887="","",IF(ROUND($G887,0)&gt;0,"بدهکار",IF(ROUND($G887,0)&lt;0,"بستانکار","تسویه")))</f>
        <v/>
      </c>
    </row>
    <row r="888">
      <c r="A888" s="11">
        <f>IF($B888="","",879)</f>
        <v/>
      </c>
      <c r="B888" s="12">
        <f>IF(304&gt;NFixedA,"",IFERROR(IF(VLOOKUP(INDEX(PkFixedA,304),AcctTblA,4,0)="","(بدون نام)",VLOOKUP(INDEX(PkFixedA,304),AcctTblA,4,0)),"—"))</f>
        <v/>
      </c>
      <c r="C888" s="13">
        <f>IF($B888="","",IF(304&gt;NFixedA,"",INDEX(PkFixedA,304)))</f>
        <v/>
      </c>
      <c r="D888" s="12">
        <f>IF($B888="","","f")</f>
        <v/>
      </c>
      <c r="E888" s="14">
        <f>IF($B888="","",IF(304&gt;NFixedA,0,SUMIF(CalcDebit,INDEX(PkFixedA,304),CalcAmt)+SUMIF(CalcDebit2,INDEX(PkFixedA,304),CalcAmt2)))</f>
        <v/>
      </c>
      <c r="F888" s="14">
        <f>IF($B888="","",IF(304&gt;NFixedA,0,SUMIF(CalcCredit,INDEX(PkFixedA,304),CalcAmt)+SUMIF(CalcCredit2,INDEX(PkFixedA,304),CalcAmt2)))</f>
        <v/>
      </c>
      <c r="G888" s="15">
        <f>IF($B888="","",ROUND($E888-$F888,0))</f>
        <v/>
      </c>
      <c r="H888" s="12">
        <f>IF($B888="","",IF(ROUND($G888,0)&gt;0,"بدهکار",IF(ROUND($G888,0)&lt;0,"بستانکار","تسویه")))</f>
        <v/>
      </c>
    </row>
    <row r="889">
      <c r="A889" s="16">
        <f>IF($B889="","",880)</f>
        <v/>
      </c>
      <c r="B889" s="17">
        <f>IF(305&gt;NFixedA,"",IFERROR(IF(VLOOKUP(INDEX(PkFixedA,305),AcctTblA,4,0)="","(بدون نام)",VLOOKUP(INDEX(PkFixedA,305),AcctTblA,4,0)),"—"))</f>
        <v/>
      </c>
      <c r="C889" s="18">
        <f>IF($B889="","",IF(305&gt;NFixedA,"",INDEX(PkFixedA,305)))</f>
        <v/>
      </c>
      <c r="D889" s="17">
        <f>IF($B889="","","f")</f>
        <v/>
      </c>
      <c r="E889" s="19">
        <f>IF($B889="","",IF(305&gt;NFixedA,0,SUMIF(CalcDebit,INDEX(PkFixedA,305),CalcAmt)+SUMIF(CalcDebit2,INDEX(PkFixedA,305),CalcAmt2)))</f>
        <v/>
      </c>
      <c r="F889" s="19">
        <f>IF($B889="","",IF(305&gt;NFixedA,0,SUMIF(CalcCredit,INDEX(PkFixedA,305),CalcAmt)+SUMIF(CalcCredit2,INDEX(PkFixedA,305),CalcAmt2)))</f>
        <v/>
      </c>
      <c r="G889" s="20">
        <f>IF($B889="","",ROUND($E889-$F889,0))</f>
        <v/>
      </c>
      <c r="H889" s="17">
        <f>IF($B889="","",IF(ROUND($G889,0)&gt;0,"بدهکار",IF(ROUND($G889,0)&lt;0,"بستانکار","تسویه")))</f>
        <v/>
      </c>
    </row>
    <row r="890">
      <c r="A890" s="11">
        <f>IF($B890="","",881)</f>
        <v/>
      </c>
      <c r="B890" s="12">
        <f>IF(306&gt;NFixedA,"",IFERROR(IF(VLOOKUP(INDEX(PkFixedA,306),AcctTblA,4,0)="","(بدون نام)",VLOOKUP(INDEX(PkFixedA,306),AcctTblA,4,0)),"—"))</f>
        <v/>
      </c>
      <c r="C890" s="13">
        <f>IF($B890="","",IF(306&gt;NFixedA,"",INDEX(PkFixedA,306)))</f>
        <v/>
      </c>
      <c r="D890" s="12">
        <f>IF($B890="","","f")</f>
        <v/>
      </c>
      <c r="E890" s="14">
        <f>IF($B890="","",IF(306&gt;NFixedA,0,SUMIF(CalcDebit,INDEX(PkFixedA,306),CalcAmt)+SUMIF(CalcDebit2,INDEX(PkFixedA,306),CalcAmt2)))</f>
        <v/>
      </c>
      <c r="F890" s="14">
        <f>IF($B890="","",IF(306&gt;NFixedA,0,SUMIF(CalcCredit,INDEX(PkFixedA,306),CalcAmt)+SUMIF(CalcCredit2,INDEX(PkFixedA,306),CalcAmt2)))</f>
        <v/>
      </c>
      <c r="G890" s="15">
        <f>IF($B890="","",ROUND($E890-$F890,0))</f>
        <v/>
      </c>
      <c r="H890" s="12">
        <f>IF($B890="","",IF(ROUND($G890,0)&gt;0,"بدهکار",IF(ROUND($G890,0)&lt;0,"بستانکار","تسویه")))</f>
        <v/>
      </c>
    </row>
    <row r="891">
      <c r="A891" s="16">
        <f>IF($B891="","",882)</f>
        <v/>
      </c>
      <c r="B891" s="17">
        <f>IF(307&gt;NFixedA,"",IFERROR(IF(VLOOKUP(INDEX(PkFixedA,307),AcctTblA,4,0)="","(بدون نام)",VLOOKUP(INDEX(PkFixedA,307),AcctTblA,4,0)),"—"))</f>
        <v/>
      </c>
      <c r="C891" s="18">
        <f>IF($B891="","",IF(307&gt;NFixedA,"",INDEX(PkFixedA,307)))</f>
        <v/>
      </c>
      <c r="D891" s="17">
        <f>IF($B891="","","f")</f>
        <v/>
      </c>
      <c r="E891" s="19">
        <f>IF($B891="","",IF(307&gt;NFixedA,0,SUMIF(CalcDebit,INDEX(PkFixedA,307),CalcAmt)+SUMIF(CalcDebit2,INDEX(PkFixedA,307),CalcAmt2)))</f>
        <v/>
      </c>
      <c r="F891" s="19">
        <f>IF($B891="","",IF(307&gt;NFixedA,0,SUMIF(CalcCredit,INDEX(PkFixedA,307),CalcAmt)+SUMIF(CalcCredit2,INDEX(PkFixedA,307),CalcAmt2)))</f>
        <v/>
      </c>
      <c r="G891" s="20">
        <f>IF($B891="","",ROUND($E891-$F891,0))</f>
        <v/>
      </c>
      <c r="H891" s="17">
        <f>IF($B891="","",IF(ROUND($G891,0)&gt;0,"بدهکار",IF(ROUND($G891,0)&lt;0,"بستانکار","تسویه")))</f>
        <v/>
      </c>
    </row>
    <row r="892">
      <c r="A892" s="11">
        <f>IF($B892="","",883)</f>
        <v/>
      </c>
      <c r="B892" s="12">
        <f>IF(308&gt;NFixedA,"",IFERROR(IF(VLOOKUP(INDEX(PkFixedA,308),AcctTblA,4,0)="","(بدون نام)",VLOOKUP(INDEX(PkFixedA,308),AcctTblA,4,0)),"—"))</f>
        <v/>
      </c>
      <c r="C892" s="13">
        <f>IF($B892="","",IF(308&gt;NFixedA,"",INDEX(PkFixedA,308)))</f>
        <v/>
      </c>
      <c r="D892" s="12">
        <f>IF($B892="","","f")</f>
        <v/>
      </c>
      <c r="E892" s="14">
        <f>IF($B892="","",IF(308&gt;NFixedA,0,SUMIF(CalcDebit,INDEX(PkFixedA,308),CalcAmt)+SUMIF(CalcDebit2,INDEX(PkFixedA,308),CalcAmt2)))</f>
        <v/>
      </c>
      <c r="F892" s="14">
        <f>IF($B892="","",IF(308&gt;NFixedA,0,SUMIF(CalcCredit,INDEX(PkFixedA,308),CalcAmt)+SUMIF(CalcCredit2,INDEX(PkFixedA,308),CalcAmt2)))</f>
        <v/>
      </c>
      <c r="G892" s="15">
        <f>IF($B892="","",ROUND($E892-$F892,0))</f>
        <v/>
      </c>
      <c r="H892" s="12">
        <f>IF($B892="","",IF(ROUND($G892,0)&gt;0,"بدهکار",IF(ROUND($G892,0)&lt;0,"بستانکار","تسویه")))</f>
        <v/>
      </c>
    </row>
    <row r="893">
      <c r="A893" s="16">
        <f>IF($B893="","",884)</f>
        <v/>
      </c>
      <c r="B893" s="17">
        <f>IF(309&gt;NFixedA,"",IFERROR(IF(VLOOKUP(INDEX(PkFixedA,309),AcctTblA,4,0)="","(بدون نام)",VLOOKUP(INDEX(PkFixedA,309),AcctTblA,4,0)),"—"))</f>
        <v/>
      </c>
      <c r="C893" s="18">
        <f>IF($B893="","",IF(309&gt;NFixedA,"",INDEX(PkFixedA,309)))</f>
        <v/>
      </c>
      <c r="D893" s="17">
        <f>IF($B893="","","f")</f>
        <v/>
      </c>
      <c r="E893" s="19">
        <f>IF($B893="","",IF(309&gt;NFixedA,0,SUMIF(CalcDebit,INDEX(PkFixedA,309),CalcAmt)+SUMIF(CalcDebit2,INDEX(PkFixedA,309),CalcAmt2)))</f>
        <v/>
      </c>
      <c r="F893" s="19">
        <f>IF($B893="","",IF(309&gt;NFixedA,0,SUMIF(CalcCredit,INDEX(PkFixedA,309),CalcAmt)+SUMIF(CalcCredit2,INDEX(PkFixedA,309),CalcAmt2)))</f>
        <v/>
      </c>
      <c r="G893" s="20">
        <f>IF($B893="","",ROUND($E893-$F893,0))</f>
        <v/>
      </c>
      <c r="H893" s="17">
        <f>IF($B893="","",IF(ROUND($G893,0)&gt;0,"بدهکار",IF(ROUND($G893,0)&lt;0,"بستانکار","تسویه")))</f>
        <v/>
      </c>
    </row>
    <row r="894">
      <c r="A894" s="11">
        <f>IF($B894="","",885)</f>
        <v/>
      </c>
      <c r="B894" s="12">
        <f>IF(310&gt;NFixedA,"",IFERROR(IF(VLOOKUP(INDEX(PkFixedA,310),AcctTblA,4,0)="","(بدون نام)",VLOOKUP(INDEX(PkFixedA,310),AcctTblA,4,0)),"—"))</f>
        <v/>
      </c>
      <c r="C894" s="13">
        <f>IF($B894="","",IF(310&gt;NFixedA,"",INDEX(PkFixedA,310)))</f>
        <v/>
      </c>
      <c r="D894" s="12">
        <f>IF($B894="","","f")</f>
        <v/>
      </c>
      <c r="E894" s="14">
        <f>IF($B894="","",IF(310&gt;NFixedA,0,SUMIF(CalcDebit,INDEX(PkFixedA,310),CalcAmt)+SUMIF(CalcDebit2,INDEX(PkFixedA,310),CalcAmt2)))</f>
        <v/>
      </c>
      <c r="F894" s="14">
        <f>IF($B894="","",IF(310&gt;NFixedA,0,SUMIF(CalcCredit,INDEX(PkFixedA,310),CalcAmt)+SUMIF(CalcCredit2,INDEX(PkFixedA,310),CalcAmt2)))</f>
        <v/>
      </c>
      <c r="G894" s="15">
        <f>IF($B894="","",ROUND($E894-$F894,0))</f>
        <v/>
      </c>
      <c r="H894" s="12">
        <f>IF($B894="","",IF(ROUND($G894,0)&gt;0,"بدهکار",IF(ROUND($G894,0)&lt;0,"بستانکار","تسویه")))</f>
        <v/>
      </c>
    </row>
    <row r="895">
      <c r="A895" s="16">
        <f>IF($B895="","",886)</f>
        <v/>
      </c>
      <c r="B895" s="17">
        <f>IF(311&gt;NFixedA,"",IFERROR(IF(VLOOKUP(INDEX(PkFixedA,311),AcctTblA,4,0)="","(بدون نام)",VLOOKUP(INDEX(PkFixedA,311),AcctTblA,4,0)),"—"))</f>
        <v/>
      </c>
      <c r="C895" s="18">
        <f>IF($B895="","",IF(311&gt;NFixedA,"",INDEX(PkFixedA,311)))</f>
        <v/>
      </c>
      <c r="D895" s="17">
        <f>IF($B895="","","f")</f>
        <v/>
      </c>
      <c r="E895" s="19">
        <f>IF($B895="","",IF(311&gt;NFixedA,0,SUMIF(CalcDebit,INDEX(PkFixedA,311),CalcAmt)+SUMIF(CalcDebit2,INDEX(PkFixedA,311),CalcAmt2)))</f>
        <v/>
      </c>
      <c r="F895" s="19">
        <f>IF($B895="","",IF(311&gt;NFixedA,0,SUMIF(CalcCredit,INDEX(PkFixedA,311),CalcAmt)+SUMIF(CalcCredit2,INDEX(PkFixedA,311),CalcAmt2)))</f>
        <v/>
      </c>
      <c r="G895" s="20">
        <f>IF($B895="","",ROUND($E895-$F895,0))</f>
        <v/>
      </c>
      <c r="H895" s="17">
        <f>IF($B895="","",IF(ROUND($G895,0)&gt;0,"بدهکار",IF(ROUND($G895,0)&lt;0,"بستانکار","تسویه")))</f>
        <v/>
      </c>
    </row>
    <row r="896">
      <c r="A896" s="11">
        <f>IF($B896="","",887)</f>
        <v/>
      </c>
      <c r="B896" s="12">
        <f>IF(312&gt;NFixedA,"",IFERROR(IF(VLOOKUP(INDEX(PkFixedA,312),AcctTblA,4,0)="","(بدون نام)",VLOOKUP(INDEX(PkFixedA,312),AcctTblA,4,0)),"—"))</f>
        <v/>
      </c>
      <c r="C896" s="13">
        <f>IF($B896="","",IF(312&gt;NFixedA,"",INDEX(PkFixedA,312)))</f>
        <v/>
      </c>
      <c r="D896" s="12">
        <f>IF($B896="","","f")</f>
        <v/>
      </c>
      <c r="E896" s="14">
        <f>IF($B896="","",IF(312&gt;NFixedA,0,SUMIF(CalcDebit,INDEX(PkFixedA,312),CalcAmt)+SUMIF(CalcDebit2,INDEX(PkFixedA,312),CalcAmt2)))</f>
        <v/>
      </c>
      <c r="F896" s="14">
        <f>IF($B896="","",IF(312&gt;NFixedA,0,SUMIF(CalcCredit,INDEX(PkFixedA,312),CalcAmt)+SUMIF(CalcCredit2,INDEX(PkFixedA,312),CalcAmt2)))</f>
        <v/>
      </c>
      <c r="G896" s="15">
        <f>IF($B896="","",ROUND($E896-$F896,0))</f>
        <v/>
      </c>
      <c r="H896" s="12">
        <f>IF($B896="","",IF(ROUND($G896,0)&gt;0,"بدهکار",IF(ROUND($G896,0)&lt;0,"بستانکار","تسویه")))</f>
        <v/>
      </c>
    </row>
    <row r="897">
      <c r="A897" s="16">
        <f>IF($B897="","",888)</f>
        <v/>
      </c>
      <c r="B897" s="17">
        <f>IF(313&gt;NFixedA,"",IFERROR(IF(VLOOKUP(INDEX(PkFixedA,313),AcctTblA,4,0)="","(بدون نام)",VLOOKUP(INDEX(PkFixedA,313),AcctTblA,4,0)),"—"))</f>
        <v/>
      </c>
      <c r="C897" s="18">
        <f>IF($B897="","",IF(313&gt;NFixedA,"",INDEX(PkFixedA,313)))</f>
        <v/>
      </c>
      <c r="D897" s="17">
        <f>IF($B897="","","f")</f>
        <v/>
      </c>
      <c r="E897" s="19">
        <f>IF($B897="","",IF(313&gt;NFixedA,0,SUMIF(CalcDebit,INDEX(PkFixedA,313),CalcAmt)+SUMIF(CalcDebit2,INDEX(PkFixedA,313),CalcAmt2)))</f>
        <v/>
      </c>
      <c r="F897" s="19">
        <f>IF($B897="","",IF(313&gt;NFixedA,0,SUMIF(CalcCredit,INDEX(PkFixedA,313),CalcAmt)+SUMIF(CalcCredit2,INDEX(PkFixedA,313),CalcAmt2)))</f>
        <v/>
      </c>
      <c r="G897" s="20">
        <f>IF($B897="","",ROUND($E897-$F897,0))</f>
        <v/>
      </c>
      <c r="H897" s="17">
        <f>IF($B897="","",IF(ROUND($G897,0)&gt;0,"بدهکار",IF(ROUND($G897,0)&lt;0,"بستانکار","تسویه")))</f>
        <v/>
      </c>
    </row>
    <row r="898">
      <c r="A898" s="11">
        <f>IF($B898="","",889)</f>
        <v/>
      </c>
      <c r="B898" s="12">
        <f>IF(314&gt;NFixedA,"",IFERROR(IF(VLOOKUP(INDEX(PkFixedA,314),AcctTblA,4,0)="","(بدون نام)",VLOOKUP(INDEX(PkFixedA,314),AcctTblA,4,0)),"—"))</f>
        <v/>
      </c>
      <c r="C898" s="13">
        <f>IF($B898="","",IF(314&gt;NFixedA,"",INDEX(PkFixedA,314)))</f>
        <v/>
      </c>
      <c r="D898" s="12">
        <f>IF($B898="","","f")</f>
        <v/>
      </c>
      <c r="E898" s="14">
        <f>IF($B898="","",IF(314&gt;NFixedA,0,SUMIF(CalcDebit,INDEX(PkFixedA,314),CalcAmt)+SUMIF(CalcDebit2,INDEX(PkFixedA,314),CalcAmt2)))</f>
        <v/>
      </c>
      <c r="F898" s="14">
        <f>IF($B898="","",IF(314&gt;NFixedA,0,SUMIF(CalcCredit,INDEX(PkFixedA,314),CalcAmt)+SUMIF(CalcCredit2,INDEX(PkFixedA,314),CalcAmt2)))</f>
        <v/>
      </c>
      <c r="G898" s="15">
        <f>IF($B898="","",ROUND($E898-$F898,0))</f>
        <v/>
      </c>
      <c r="H898" s="12">
        <f>IF($B898="","",IF(ROUND($G898,0)&gt;0,"بدهکار",IF(ROUND($G898,0)&lt;0,"بستانکار","تسویه")))</f>
        <v/>
      </c>
    </row>
    <row r="899">
      <c r="A899" s="16">
        <f>IF($B899="","",890)</f>
        <v/>
      </c>
      <c r="B899" s="17">
        <f>IF(315&gt;NFixedA,"",IFERROR(IF(VLOOKUP(INDEX(PkFixedA,315),AcctTblA,4,0)="","(بدون نام)",VLOOKUP(INDEX(PkFixedA,315),AcctTblA,4,0)),"—"))</f>
        <v/>
      </c>
      <c r="C899" s="18">
        <f>IF($B899="","",IF(315&gt;NFixedA,"",INDEX(PkFixedA,315)))</f>
        <v/>
      </c>
      <c r="D899" s="17">
        <f>IF($B899="","","f")</f>
        <v/>
      </c>
      <c r="E899" s="19">
        <f>IF($B899="","",IF(315&gt;NFixedA,0,SUMIF(CalcDebit,INDEX(PkFixedA,315),CalcAmt)+SUMIF(CalcDebit2,INDEX(PkFixedA,315),CalcAmt2)))</f>
        <v/>
      </c>
      <c r="F899" s="19">
        <f>IF($B899="","",IF(315&gt;NFixedA,0,SUMIF(CalcCredit,INDEX(PkFixedA,315),CalcAmt)+SUMIF(CalcCredit2,INDEX(PkFixedA,315),CalcAmt2)))</f>
        <v/>
      </c>
      <c r="G899" s="20">
        <f>IF($B899="","",ROUND($E899-$F899,0))</f>
        <v/>
      </c>
      <c r="H899" s="17">
        <f>IF($B899="","",IF(ROUND($G899,0)&gt;0,"بدهکار",IF(ROUND($G899,0)&lt;0,"بستانکار","تسویه")))</f>
        <v/>
      </c>
    </row>
    <row r="900">
      <c r="A900" s="11">
        <f>IF($B900="","",891)</f>
        <v/>
      </c>
      <c r="B900" s="12">
        <f>IF(316&gt;NFixedA,"",IFERROR(IF(VLOOKUP(INDEX(PkFixedA,316),AcctTblA,4,0)="","(بدون نام)",VLOOKUP(INDEX(PkFixedA,316),AcctTblA,4,0)),"—"))</f>
        <v/>
      </c>
      <c r="C900" s="13">
        <f>IF($B900="","",IF(316&gt;NFixedA,"",INDEX(PkFixedA,316)))</f>
        <v/>
      </c>
      <c r="D900" s="12">
        <f>IF($B900="","","f")</f>
        <v/>
      </c>
      <c r="E900" s="14">
        <f>IF($B900="","",IF(316&gt;NFixedA,0,SUMIF(CalcDebit,INDEX(PkFixedA,316),CalcAmt)+SUMIF(CalcDebit2,INDEX(PkFixedA,316),CalcAmt2)))</f>
        <v/>
      </c>
      <c r="F900" s="14">
        <f>IF($B900="","",IF(316&gt;NFixedA,0,SUMIF(CalcCredit,INDEX(PkFixedA,316),CalcAmt)+SUMIF(CalcCredit2,INDEX(PkFixedA,316),CalcAmt2)))</f>
        <v/>
      </c>
      <c r="G900" s="15">
        <f>IF($B900="","",ROUND($E900-$F900,0))</f>
        <v/>
      </c>
      <c r="H900" s="12">
        <f>IF($B900="","",IF(ROUND($G900,0)&gt;0,"بدهکار",IF(ROUND($G900,0)&lt;0,"بستانکار","تسویه")))</f>
        <v/>
      </c>
    </row>
    <row r="901">
      <c r="A901" s="16">
        <f>IF($B901="","",892)</f>
        <v/>
      </c>
      <c r="B901" s="17">
        <f>IF(317&gt;NFixedA,"",IFERROR(IF(VLOOKUP(INDEX(PkFixedA,317),AcctTblA,4,0)="","(بدون نام)",VLOOKUP(INDEX(PkFixedA,317),AcctTblA,4,0)),"—"))</f>
        <v/>
      </c>
      <c r="C901" s="18">
        <f>IF($B901="","",IF(317&gt;NFixedA,"",INDEX(PkFixedA,317)))</f>
        <v/>
      </c>
      <c r="D901" s="17">
        <f>IF($B901="","","f")</f>
        <v/>
      </c>
      <c r="E901" s="19">
        <f>IF($B901="","",IF(317&gt;NFixedA,0,SUMIF(CalcDebit,INDEX(PkFixedA,317),CalcAmt)+SUMIF(CalcDebit2,INDEX(PkFixedA,317),CalcAmt2)))</f>
        <v/>
      </c>
      <c r="F901" s="19">
        <f>IF($B901="","",IF(317&gt;NFixedA,0,SUMIF(CalcCredit,INDEX(PkFixedA,317),CalcAmt)+SUMIF(CalcCredit2,INDEX(PkFixedA,317),CalcAmt2)))</f>
        <v/>
      </c>
      <c r="G901" s="20">
        <f>IF($B901="","",ROUND($E901-$F901,0))</f>
        <v/>
      </c>
      <c r="H901" s="17">
        <f>IF($B901="","",IF(ROUND($G901,0)&gt;0,"بدهکار",IF(ROUND($G901,0)&lt;0,"بستانکار","تسویه")))</f>
        <v/>
      </c>
    </row>
    <row r="902">
      <c r="A902" s="11">
        <f>IF($B902="","",893)</f>
        <v/>
      </c>
      <c r="B902" s="12">
        <f>IF(318&gt;NFixedA,"",IFERROR(IF(VLOOKUP(INDEX(PkFixedA,318),AcctTblA,4,0)="","(بدون نام)",VLOOKUP(INDEX(PkFixedA,318),AcctTblA,4,0)),"—"))</f>
        <v/>
      </c>
      <c r="C902" s="13">
        <f>IF($B902="","",IF(318&gt;NFixedA,"",INDEX(PkFixedA,318)))</f>
        <v/>
      </c>
      <c r="D902" s="12">
        <f>IF($B902="","","f")</f>
        <v/>
      </c>
      <c r="E902" s="14">
        <f>IF($B902="","",IF(318&gt;NFixedA,0,SUMIF(CalcDebit,INDEX(PkFixedA,318),CalcAmt)+SUMIF(CalcDebit2,INDEX(PkFixedA,318),CalcAmt2)))</f>
        <v/>
      </c>
      <c r="F902" s="14">
        <f>IF($B902="","",IF(318&gt;NFixedA,0,SUMIF(CalcCredit,INDEX(PkFixedA,318),CalcAmt)+SUMIF(CalcCredit2,INDEX(PkFixedA,318),CalcAmt2)))</f>
        <v/>
      </c>
      <c r="G902" s="15">
        <f>IF($B902="","",ROUND($E902-$F902,0))</f>
        <v/>
      </c>
      <c r="H902" s="12">
        <f>IF($B902="","",IF(ROUND($G902,0)&gt;0,"بدهکار",IF(ROUND($G902,0)&lt;0,"بستانکار","تسویه")))</f>
        <v/>
      </c>
    </row>
    <row r="903">
      <c r="A903" s="16">
        <f>IF($B903="","",894)</f>
        <v/>
      </c>
      <c r="B903" s="17">
        <f>IF(319&gt;NFixedA,"",IFERROR(IF(VLOOKUP(INDEX(PkFixedA,319),AcctTblA,4,0)="","(بدون نام)",VLOOKUP(INDEX(PkFixedA,319),AcctTblA,4,0)),"—"))</f>
        <v/>
      </c>
      <c r="C903" s="18">
        <f>IF($B903="","",IF(319&gt;NFixedA,"",INDEX(PkFixedA,319)))</f>
        <v/>
      </c>
      <c r="D903" s="17">
        <f>IF($B903="","","f")</f>
        <v/>
      </c>
      <c r="E903" s="19">
        <f>IF($B903="","",IF(319&gt;NFixedA,0,SUMIF(CalcDebit,INDEX(PkFixedA,319),CalcAmt)+SUMIF(CalcDebit2,INDEX(PkFixedA,319),CalcAmt2)))</f>
        <v/>
      </c>
      <c r="F903" s="19">
        <f>IF($B903="","",IF(319&gt;NFixedA,0,SUMIF(CalcCredit,INDEX(PkFixedA,319),CalcAmt)+SUMIF(CalcCredit2,INDEX(PkFixedA,319),CalcAmt2)))</f>
        <v/>
      </c>
      <c r="G903" s="20">
        <f>IF($B903="","",ROUND($E903-$F903,0))</f>
        <v/>
      </c>
      <c r="H903" s="17">
        <f>IF($B903="","",IF(ROUND($G903,0)&gt;0,"بدهکار",IF(ROUND($G903,0)&lt;0,"بستانکار","تسویه")))</f>
        <v/>
      </c>
    </row>
    <row r="904">
      <c r="A904" s="11">
        <f>IF($B904="","",895)</f>
        <v/>
      </c>
      <c r="B904" s="12">
        <f>IF(320&gt;NFixedA,"",IFERROR(IF(VLOOKUP(INDEX(PkFixedA,320),AcctTblA,4,0)="","(بدون نام)",VLOOKUP(INDEX(PkFixedA,320),AcctTblA,4,0)),"—"))</f>
        <v/>
      </c>
      <c r="C904" s="13">
        <f>IF($B904="","",IF(320&gt;NFixedA,"",INDEX(PkFixedA,320)))</f>
        <v/>
      </c>
      <c r="D904" s="12">
        <f>IF($B904="","","f")</f>
        <v/>
      </c>
      <c r="E904" s="14">
        <f>IF($B904="","",IF(320&gt;NFixedA,0,SUMIF(CalcDebit,INDEX(PkFixedA,320),CalcAmt)+SUMIF(CalcDebit2,INDEX(PkFixedA,320),CalcAmt2)))</f>
        <v/>
      </c>
      <c r="F904" s="14">
        <f>IF($B904="","",IF(320&gt;NFixedA,0,SUMIF(CalcCredit,INDEX(PkFixedA,320),CalcAmt)+SUMIF(CalcCredit2,INDEX(PkFixedA,320),CalcAmt2)))</f>
        <v/>
      </c>
      <c r="G904" s="15">
        <f>IF($B904="","",ROUND($E904-$F904,0))</f>
        <v/>
      </c>
      <c r="H904" s="12">
        <f>IF($B904="","",IF(ROUND($G904,0)&gt;0,"بدهکار",IF(ROUND($G904,0)&lt;0,"بستانکار","تسویه")))</f>
        <v/>
      </c>
    </row>
    <row r="905">
      <c r="A905" s="16">
        <f>IF($B905="","",896)</f>
        <v/>
      </c>
      <c r="B905" s="17">
        <f>IF(321&gt;NFixedA,"",IFERROR(IF(VLOOKUP(INDEX(PkFixedA,321),AcctTblA,4,0)="","(بدون نام)",VLOOKUP(INDEX(PkFixedA,321),AcctTblA,4,0)),"—"))</f>
        <v/>
      </c>
      <c r="C905" s="18">
        <f>IF($B905="","",IF(321&gt;NFixedA,"",INDEX(PkFixedA,321)))</f>
        <v/>
      </c>
      <c r="D905" s="17">
        <f>IF($B905="","","f")</f>
        <v/>
      </c>
      <c r="E905" s="19">
        <f>IF($B905="","",IF(321&gt;NFixedA,0,SUMIF(CalcDebit,INDEX(PkFixedA,321),CalcAmt)+SUMIF(CalcDebit2,INDEX(PkFixedA,321),CalcAmt2)))</f>
        <v/>
      </c>
      <c r="F905" s="19">
        <f>IF($B905="","",IF(321&gt;NFixedA,0,SUMIF(CalcCredit,INDEX(PkFixedA,321),CalcAmt)+SUMIF(CalcCredit2,INDEX(PkFixedA,321),CalcAmt2)))</f>
        <v/>
      </c>
      <c r="G905" s="20">
        <f>IF($B905="","",ROUND($E905-$F905,0))</f>
        <v/>
      </c>
      <c r="H905" s="17">
        <f>IF($B905="","",IF(ROUND($G905,0)&gt;0,"بدهکار",IF(ROUND($G905,0)&lt;0,"بستانکار","تسویه")))</f>
        <v/>
      </c>
    </row>
    <row r="906">
      <c r="A906" s="11">
        <f>IF($B906="","",897)</f>
        <v/>
      </c>
      <c r="B906" s="12">
        <f>IF(322&gt;NFixedA,"",IFERROR(IF(VLOOKUP(INDEX(PkFixedA,322),AcctTblA,4,0)="","(بدون نام)",VLOOKUP(INDEX(PkFixedA,322),AcctTblA,4,0)),"—"))</f>
        <v/>
      </c>
      <c r="C906" s="13">
        <f>IF($B906="","",IF(322&gt;NFixedA,"",INDEX(PkFixedA,322)))</f>
        <v/>
      </c>
      <c r="D906" s="12">
        <f>IF($B906="","","f")</f>
        <v/>
      </c>
      <c r="E906" s="14">
        <f>IF($B906="","",IF(322&gt;NFixedA,0,SUMIF(CalcDebit,INDEX(PkFixedA,322),CalcAmt)+SUMIF(CalcDebit2,INDEX(PkFixedA,322),CalcAmt2)))</f>
        <v/>
      </c>
      <c r="F906" s="14">
        <f>IF($B906="","",IF(322&gt;NFixedA,0,SUMIF(CalcCredit,INDEX(PkFixedA,322),CalcAmt)+SUMIF(CalcCredit2,INDEX(PkFixedA,322),CalcAmt2)))</f>
        <v/>
      </c>
      <c r="G906" s="15">
        <f>IF($B906="","",ROUND($E906-$F906,0))</f>
        <v/>
      </c>
      <c r="H906" s="12">
        <f>IF($B906="","",IF(ROUND($G906,0)&gt;0,"بدهکار",IF(ROUND($G906,0)&lt;0,"بستانکار","تسویه")))</f>
        <v/>
      </c>
    </row>
    <row r="907">
      <c r="A907" s="16">
        <f>IF($B907="","",898)</f>
        <v/>
      </c>
      <c r="B907" s="17">
        <f>IF(323&gt;NFixedA,"",IFERROR(IF(VLOOKUP(INDEX(PkFixedA,323),AcctTblA,4,0)="","(بدون نام)",VLOOKUP(INDEX(PkFixedA,323),AcctTblA,4,0)),"—"))</f>
        <v/>
      </c>
      <c r="C907" s="18">
        <f>IF($B907="","",IF(323&gt;NFixedA,"",INDEX(PkFixedA,323)))</f>
        <v/>
      </c>
      <c r="D907" s="17">
        <f>IF($B907="","","f")</f>
        <v/>
      </c>
      <c r="E907" s="19">
        <f>IF($B907="","",IF(323&gt;NFixedA,0,SUMIF(CalcDebit,INDEX(PkFixedA,323),CalcAmt)+SUMIF(CalcDebit2,INDEX(PkFixedA,323),CalcAmt2)))</f>
        <v/>
      </c>
      <c r="F907" s="19">
        <f>IF($B907="","",IF(323&gt;NFixedA,0,SUMIF(CalcCredit,INDEX(PkFixedA,323),CalcAmt)+SUMIF(CalcCredit2,INDEX(PkFixedA,323),CalcAmt2)))</f>
        <v/>
      </c>
      <c r="G907" s="20">
        <f>IF($B907="","",ROUND($E907-$F907,0))</f>
        <v/>
      </c>
      <c r="H907" s="17">
        <f>IF($B907="","",IF(ROUND($G907,0)&gt;0,"بدهکار",IF(ROUND($G907,0)&lt;0,"بستانکار","تسویه")))</f>
        <v/>
      </c>
    </row>
    <row r="908">
      <c r="A908" s="11">
        <f>IF($B908="","",899)</f>
        <v/>
      </c>
      <c r="B908" s="12">
        <f>IF(324&gt;NFixedA,"",IFERROR(IF(VLOOKUP(INDEX(PkFixedA,324),AcctTblA,4,0)="","(بدون نام)",VLOOKUP(INDEX(PkFixedA,324),AcctTblA,4,0)),"—"))</f>
        <v/>
      </c>
      <c r="C908" s="13">
        <f>IF($B908="","",IF(324&gt;NFixedA,"",INDEX(PkFixedA,324)))</f>
        <v/>
      </c>
      <c r="D908" s="12">
        <f>IF($B908="","","f")</f>
        <v/>
      </c>
      <c r="E908" s="14">
        <f>IF($B908="","",IF(324&gt;NFixedA,0,SUMIF(CalcDebit,INDEX(PkFixedA,324),CalcAmt)+SUMIF(CalcDebit2,INDEX(PkFixedA,324),CalcAmt2)))</f>
        <v/>
      </c>
      <c r="F908" s="14">
        <f>IF($B908="","",IF(324&gt;NFixedA,0,SUMIF(CalcCredit,INDEX(PkFixedA,324),CalcAmt)+SUMIF(CalcCredit2,INDEX(PkFixedA,324),CalcAmt2)))</f>
        <v/>
      </c>
      <c r="G908" s="15">
        <f>IF($B908="","",ROUND($E908-$F908,0))</f>
        <v/>
      </c>
      <c r="H908" s="12">
        <f>IF($B908="","",IF(ROUND($G908,0)&gt;0,"بدهکار",IF(ROUND($G908,0)&lt;0,"بستانکار","تسویه")))</f>
        <v/>
      </c>
    </row>
    <row r="909">
      <c r="A909" s="16">
        <f>IF($B909="","",900)</f>
        <v/>
      </c>
      <c r="B909" s="17">
        <f>IF(325&gt;NFixedA,"",IFERROR(IF(VLOOKUP(INDEX(PkFixedA,325),AcctTblA,4,0)="","(بدون نام)",VLOOKUP(INDEX(PkFixedA,325),AcctTblA,4,0)),"—"))</f>
        <v/>
      </c>
      <c r="C909" s="18">
        <f>IF($B909="","",IF(325&gt;NFixedA,"",INDEX(PkFixedA,325)))</f>
        <v/>
      </c>
      <c r="D909" s="17">
        <f>IF($B909="","","f")</f>
        <v/>
      </c>
      <c r="E909" s="19">
        <f>IF($B909="","",IF(325&gt;NFixedA,0,SUMIF(CalcDebit,INDEX(PkFixedA,325),CalcAmt)+SUMIF(CalcDebit2,INDEX(PkFixedA,325),CalcAmt2)))</f>
        <v/>
      </c>
      <c r="F909" s="19">
        <f>IF($B909="","",IF(325&gt;NFixedA,0,SUMIF(CalcCredit,INDEX(PkFixedA,325),CalcAmt)+SUMIF(CalcCredit2,INDEX(PkFixedA,325),CalcAmt2)))</f>
        <v/>
      </c>
      <c r="G909" s="20">
        <f>IF($B909="","",ROUND($E909-$F909,0))</f>
        <v/>
      </c>
      <c r="H909" s="17">
        <f>IF($B909="","",IF(ROUND($G909,0)&gt;0,"بدهکار",IF(ROUND($G909,0)&lt;0,"بستانکار","تسویه")))</f>
        <v/>
      </c>
    </row>
    <row r="910">
      <c r="A910" s="11">
        <f>IF($B910="","",901)</f>
        <v/>
      </c>
      <c r="B910" s="12">
        <f>IF(326&gt;NFixedA,"",IFERROR(IF(VLOOKUP(INDEX(PkFixedA,326),AcctTblA,4,0)="","(بدون نام)",VLOOKUP(INDEX(PkFixedA,326),AcctTblA,4,0)),"—"))</f>
        <v/>
      </c>
      <c r="C910" s="13">
        <f>IF($B910="","",IF(326&gt;NFixedA,"",INDEX(PkFixedA,326)))</f>
        <v/>
      </c>
      <c r="D910" s="12">
        <f>IF($B910="","","f")</f>
        <v/>
      </c>
      <c r="E910" s="14">
        <f>IF($B910="","",IF(326&gt;NFixedA,0,SUMIF(CalcDebit,INDEX(PkFixedA,326),CalcAmt)+SUMIF(CalcDebit2,INDEX(PkFixedA,326),CalcAmt2)))</f>
        <v/>
      </c>
      <c r="F910" s="14">
        <f>IF($B910="","",IF(326&gt;NFixedA,0,SUMIF(CalcCredit,INDEX(PkFixedA,326),CalcAmt)+SUMIF(CalcCredit2,INDEX(PkFixedA,326),CalcAmt2)))</f>
        <v/>
      </c>
      <c r="G910" s="15">
        <f>IF($B910="","",ROUND($E910-$F910,0))</f>
        <v/>
      </c>
      <c r="H910" s="12">
        <f>IF($B910="","",IF(ROUND($G910,0)&gt;0,"بدهکار",IF(ROUND($G910,0)&lt;0,"بستانکار","تسویه")))</f>
        <v/>
      </c>
    </row>
    <row r="911">
      <c r="A911" s="16">
        <f>IF($B911="","",902)</f>
        <v/>
      </c>
      <c r="B911" s="17">
        <f>IF(327&gt;NFixedA,"",IFERROR(IF(VLOOKUP(INDEX(PkFixedA,327),AcctTblA,4,0)="","(بدون نام)",VLOOKUP(INDEX(PkFixedA,327),AcctTblA,4,0)),"—"))</f>
        <v/>
      </c>
      <c r="C911" s="18">
        <f>IF($B911="","",IF(327&gt;NFixedA,"",INDEX(PkFixedA,327)))</f>
        <v/>
      </c>
      <c r="D911" s="17">
        <f>IF($B911="","","f")</f>
        <v/>
      </c>
      <c r="E911" s="19">
        <f>IF($B911="","",IF(327&gt;NFixedA,0,SUMIF(CalcDebit,INDEX(PkFixedA,327),CalcAmt)+SUMIF(CalcDebit2,INDEX(PkFixedA,327),CalcAmt2)))</f>
        <v/>
      </c>
      <c r="F911" s="19">
        <f>IF($B911="","",IF(327&gt;NFixedA,0,SUMIF(CalcCredit,INDEX(PkFixedA,327),CalcAmt)+SUMIF(CalcCredit2,INDEX(PkFixedA,327),CalcAmt2)))</f>
        <v/>
      </c>
      <c r="G911" s="20">
        <f>IF($B911="","",ROUND($E911-$F911,0))</f>
        <v/>
      </c>
      <c r="H911" s="17">
        <f>IF($B911="","",IF(ROUND($G911,0)&gt;0,"بدهکار",IF(ROUND($G911,0)&lt;0,"بستانکار","تسویه")))</f>
        <v/>
      </c>
    </row>
    <row r="912">
      <c r="A912" s="11">
        <f>IF($B912="","",903)</f>
        <v/>
      </c>
      <c r="B912" s="12">
        <f>IF(328&gt;NFixedA,"",IFERROR(IF(VLOOKUP(INDEX(PkFixedA,328),AcctTblA,4,0)="","(بدون نام)",VLOOKUP(INDEX(PkFixedA,328),AcctTblA,4,0)),"—"))</f>
        <v/>
      </c>
      <c r="C912" s="13">
        <f>IF($B912="","",IF(328&gt;NFixedA,"",INDEX(PkFixedA,328)))</f>
        <v/>
      </c>
      <c r="D912" s="12">
        <f>IF($B912="","","f")</f>
        <v/>
      </c>
      <c r="E912" s="14">
        <f>IF($B912="","",IF(328&gt;NFixedA,0,SUMIF(CalcDebit,INDEX(PkFixedA,328),CalcAmt)+SUMIF(CalcDebit2,INDEX(PkFixedA,328),CalcAmt2)))</f>
        <v/>
      </c>
      <c r="F912" s="14">
        <f>IF($B912="","",IF(328&gt;NFixedA,0,SUMIF(CalcCredit,INDEX(PkFixedA,328),CalcAmt)+SUMIF(CalcCredit2,INDEX(PkFixedA,328),CalcAmt2)))</f>
        <v/>
      </c>
      <c r="G912" s="15">
        <f>IF($B912="","",ROUND($E912-$F912,0))</f>
        <v/>
      </c>
      <c r="H912" s="12">
        <f>IF($B912="","",IF(ROUND($G912,0)&gt;0,"بدهکار",IF(ROUND($G912,0)&lt;0,"بستانکار","تسویه")))</f>
        <v/>
      </c>
    </row>
    <row r="913">
      <c r="A913" s="16">
        <f>IF($B913="","",904)</f>
        <v/>
      </c>
      <c r="B913" s="17">
        <f>IF(329&gt;NFixedA,"",IFERROR(IF(VLOOKUP(INDEX(PkFixedA,329),AcctTblA,4,0)="","(بدون نام)",VLOOKUP(INDEX(PkFixedA,329),AcctTblA,4,0)),"—"))</f>
        <v/>
      </c>
      <c r="C913" s="18">
        <f>IF($B913="","",IF(329&gt;NFixedA,"",INDEX(PkFixedA,329)))</f>
        <v/>
      </c>
      <c r="D913" s="17">
        <f>IF($B913="","","f")</f>
        <v/>
      </c>
      <c r="E913" s="19">
        <f>IF($B913="","",IF(329&gt;NFixedA,0,SUMIF(CalcDebit,INDEX(PkFixedA,329),CalcAmt)+SUMIF(CalcDebit2,INDEX(PkFixedA,329),CalcAmt2)))</f>
        <v/>
      </c>
      <c r="F913" s="19">
        <f>IF($B913="","",IF(329&gt;NFixedA,0,SUMIF(CalcCredit,INDEX(PkFixedA,329),CalcAmt)+SUMIF(CalcCredit2,INDEX(PkFixedA,329),CalcAmt2)))</f>
        <v/>
      </c>
      <c r="G913" s="20">
        <f>IF($B913="","",ROUND($E913-$F913,0))</f>
        <v/>
      </c>
      <c r="H913" s="17">
        <f>IF($B913="","",IF(ROUND($G913,0)&gt;0,"بدهکار",IF(ROUND($G913,0)&lt;0,"بستانکار","تسویه")))</f>
        <v/>
      </c>
    </row>
    <row r="914">
      <c r="A914" s="11">
        <f>IF($B914="","",905)</f>
        <v/>
      </c>
      <c r="B914" s="12">
        <f>IF(330&gt;NFixedA,"",IFERROR(IF(VLOOKUP(INDEX(PkFixedA,330),AcctTblA,4,0)="","(بدون نام)",VLOOKUP(INDEX(PkFixedA,330),AcctTblA,4,0)),"—"))</f>
        <v/>
      </c>
      <c r="C914" s="13">
        <f>IF($B914="","",IF(330&gt;NFixedA,"",INDEX(PkFixedA,330)))</f>
        <v/>
      </c>
      <c r="D914" s="12">
        <f>IF($B914="","","f")</f>
        <v/>
      </c>
      <c r="E914" s="14">
        <f>IF($B914="","",IF(330&gt;NFixedA,0,SUMIF(CalcDebit,INDEX(PkFixedA,330),CalcAmt)+SUMIF(CalcDebit2,INDEX(PkFixedA,330),CalcAmt2)))</f>
        <v/>
      </c>
      <c r="F914" s="14">
        <f>IF($B914="","",IF(330&gt;NFixedA,0,SUMIF(CalcCredit,INDEX(PkFixedA,330),CalcAmt)+SUMIF(CalcCredit2,INDEX(PkFixedA,330),CalcAmt2)))</f>
        <v/>
      </c>
      <c r="G914" s="15">
        <f>IF($B914="","",ROUND($E914-$F914,0))</f>
        <v/>
      </c>
      <c r="H914" s="12">
        <f>IF($B914="","",IF(ROUND($G914,0)&gt;0,"بدهکار",IF(ROUND($G914,0)&lt;0,"بستانکار","تسویه")))</f>
        <v/>
      </c>
    </row>
    <row r="915">
      <c r="A915" s="16">
        <f>IF($B915="","",906)</f>
        <v/>
      </c>
      <c r="B915" s="17">
        <f>IF(331&gt;NFixedA,"",IFERROR(IF(VLOOKUP(INDEX(PkFixedA,331),AcctTblA,4,0)="","(بدون نام)",VLOOKUP(INDEX(PkFixedA,331),AcctTblA,4,0)),"—"))</f>
        <v/>
      </c>
      <c r="C915" s="18">
        <f>IF($B915="","",IF(331&gt;NFixedA,"",INDEX(PkFixedA,331)))</f>
        <v/>
      </c>
      <c r="D915" s="17">
        <f>IF($B915="","","f")</f>
        <v/>
      </c>
      <c r="E915" s="19">
        <f>IF($B915="","",IF(331&gt;NFixedA,0,SUMIF(CalcDebit,INDEX(PkFixedA,331),CalcAmt)+SUMIF(CalcDebit2,INDEX(PkFixedA,331),CalcAmt2)))</f>
        <v/>
      </c>
      <c r="F915" s="19">
        <f>IF($B915="","",IF(331&gt;NFixedA,0,SUMIF(CalcCredit,INDEX(PkFixedA,331),CalcAmt)+SUMIF(CalcCredit2,INDEX(PkFixedA,331),CalcAmt2)))</f>
        <v/>
      </c>
      <c r="G915" s="20">
        <f>IF($B915="","",ROUND($E915-$F915,0))</f>
        <v/>
      </c>
      <c r="H915" s="17">
        <f>IF($B915="","",IF(ROUND($G915,0)&gt;0,"بدهکار",IF(ROUND($G915,0)&lt;0,"بستانکار","تسویه")))</f>
        <v/>
      </c>
    </row>
    <row r="916">
      <c r="A916" s="11">
        <f>IF($B916="","",907)</f>
        <v/>
      </c>
      <c r="B916" s="12">
        <f>IF(332&gt;NFixedA,"",IFERROR(IF(VLOOKUP(INDEX(PkFixedA,332),AcctTblA,4,0)="","(بدون نام)",VLOOKUP(INDEX(PkFixedA,332),AcctTblA,4,0)),"—"))</f>
        <v/>
      </c>
      <c r="C916" s="13">
        <f>IF($B916="","",IF(332&gt;NFixedA,"",INDEX(PkFixedA,332)))</f>
        <v/>
      </c>
      <c r="D916" s="12">
        <f>IF($B916="","","f")</f>
        <v/>
      </c>
      <c r="E916" s="14">
        <f>IF($B916="","",IF(332&gt;NFixedA,0,SUMIF(CalcDebit,INDEX(PkFixedA,332),CalcAmt)+SUMIF(CalcDebit2,INDEX(PkFixedA,332),CalcAmt2)))</f>
        <v/>
      </c>
      <c r="F916" s="14">
        <f>IF($B916="","",IF(332&gt;NFixedA,0,SUMIF(CalcCredit,INDEX(PkFixedA,332),CalcAmt)+SUMIF(CalcCredit2,INDEX(PkFixedA,332),CalcAmt2)))</f>
        <v/>
      </c>
      <c r="G916" s="15">
        <f>IF($B916="","",ROUND($E916-$F916,0))</f>
        <v/>
      </c>
      <c r="H916" s="12">
        <f>IF($B916="","",IF(ROUND($G916,0)&gt;0,"بدهکار",IF(ROUND($G916,0)&lt;0,"بستانکار","تسویه")))</f>
        <v/>
      </c>
    </row>
    <row r="917">
      <c r="A917" s="16">
        <f>IF($B917="","",908)</f>
        <v/>
      </c>
      <c r="B917" s="17">
        <f>IF(333&gt;NFixedA,"",IFERROR(IF(VLOOKUP(INDEX(PkFixedA,333),AcctTblA,4,0)="","(بدون نام)",VLOOKUP(INDEX(PkFixedA,333),AcctTblA,4,0)),"—"))</f>
        <v/>
      </c>
      <c r="C917" s="18">
        <f>IF($B917="","",IF(333&gt;NFixedA,"",INDEX(PkFixedA,333)))</f>
        <v/>
      </c>
      <c r="D917" s="17">
        <f>IF($B917="","","f")</f>
        <v/>
      </c>
      <c r="E917" s="19">
        <f>IF($B917="","",IF(333&gt;NFixedA,0,SUMIF(CalcDebit,INDEX(PkFixedA,333),CalcAmt)+SUMIF(CalcDebit2,INDEX(PkFixedA,333),CalcAmt2)))</f>
        <v/>
      </c>
      <c r="F917" s="19">
        <f>IF($B917="","",IF(333&gt;NFixedA,0,SUMIF(CalcCredit,INDEX(PkFixedA,333),CalcAmt)+SUMIF(CalcCredit2,INDEX(PkFixedA,333),CalcAmt2)))</f>
        <v/>
      </c>
      <c r="G917" s="20">
        <f>IF($B917="","",ROUND($E917-$F917,0))</f>
        <v/>
      </c>
      <c r="H917" s="17">
        <f>IF($B917="","",IF(ROUND($G917,0)&gt;0,"بدهکار",IF(ROUND($G917,0)&lt;0,"بستانکار","تسویه")))</f>
        <v/>
      </c>
    </row>
    <row r="918">
      <c r="A918" s="11">
        <f>IF($B918="","",909)</f>
        <v/>
      </c>
      <c r="B918" s="12">
        <f>IF(334&gt;NFixedA,"",IFERROR(IF(VLOOKUP(INDEX(PkFixedA,334),AcctTblA,4,0)="","(بدون نام)",VLOOKUP(INDEX(PkFixedA,334),AcctTblA,4,0)),"—"))</f>
        <v/>
      </c>
      <c r="C918" s="13">
        <f>IF($B918="","",IF(334&gt;NFixedA,"",INDEX(PkFixedA,334)))</f>
        <v/>
      </c>
      <c r="D918" s="12">
        <f>IF($B918="","","f")</f>
        <v/>
      </c>
      <c r="E918" s="14">
        <f>IF($B918="","",IF(334&gt;NFixedA,0,SUMIF(CalcDebit,INDEX(PkFixedA,334),CalcAmt)+SUMIF(CalcDebit2,INDEX(PkFixedA,334),CalcAmt2)))</f>
        <v/>
      </c>
      <c r="F918" s="14">
        <f>IF($B918="","",IF(334&gt;NFixedA,0,SUMIF(CalcCredit,INDEX(PkFixedA,334),CalcAmt)+SUMIF(CalcCredit2,INDEX(PkFixedA,334),CalcAmt2)))</f>
        <v/>
      </c>
      <c r="G918" s="15">
        <f>IF($B918="","",ROUND($E918-$F918,0))</f>
        <v/>
      </c>
      <c r="H918" s="12">
        <f>IF($B918="","",IF(ROUND($G918,0)&gt;0,"بدهکار",IF(ROUND($G918,0)&lt;0,"بستانکار","تسویه")))</f>
        <v/>
      </c>
    </row>
    <row r="919">
      <c r="A919" s="16">
        <f>IF($B919="","",910)</f>
        <v/>
      </c>
      <c r="B919" s="17">
        <f>IF(335&gt;NFixedA,"",IFERROR(IF(VLOOKUP(INDEX(PkFixedA,335),AcctTblA,4,0)="","(بدون نام)",VLOOKUP(INDEX(PkFixedA,335),AcctTblA,4,0)),"—"))</f>
        <v/>
      </c>
      <c r="C919" s="18">
        <f>IF($B919="","",IF(335&gt;NFixedA,"",INDEX(PkFixedA,335)))</f>
        <v/>
      </c>
      <c r="D919" s="17">
        <f>IF($B919="","","f")</f>
        <v/>
      </c>
      <c r="E919" s="19">
        <f>IF($B919="","",IF(335&gt;NFixedA,0,SUMIF(CalcDebit,INDEX(PkFixedA,335),CalcAmt)+SUMIF(CalcDebit2,INDEX(PkFixedA,335),CalcAmt2)))</f>
        <v/>
      </c>
      <c r="F919" s="19">
        <f>IF($B919="","",IF(335&gt;NFixedA,0,SUMIF(CalcCredit,INDEX(PkFixedA,335),CalcAmt)+SUMIF(CalcCredit2,INDEX(PkFixedA,335),CalcAmt2)))</f>
        <v/>
      </c>
      <c r="G919" s="20">
        <f>IF($B919="","",ROUND($E919-$F919,0))</f>
        <v/>
      </c>
      <c r="H919" s="17">
        <f>IF($B919="","",IF(ROUND($G919,0)&gt;0,"بدهکار",IF(ROUND($G919,0)&lt;0,"بستانکار","تسویه")))</f>
        <v/>
      </c>
    </row>
    <row r="920">
      <c r="A920" s="11">
        <f>IF($B920="","",911)</f>
        <v/>
      </c>
      <c r="B920" s="12">
        <f>IF(336&gt;NFixedA,"",IFERROR(IF(VLOOKUP(INDEX(PkFixedA,336),AcctTblA,4,0)="","(بدون نام)",VLOOKUP(INDEX(PkFixedA,336),AcctTblA,4,0)),"—"))</f>
        <v/>
      </c>
      <c r="C920" s="13">
        <f>IF($B920="","",IF(336&gt;NFixedA,"",INDEX(PkFixedA,336)))</f>
        <v/>
      </c>
      <c r="D920" s="12">
        <f>IF($B920="","","f")</f>
        <v/>
      </c>
      <c r="E920" s="14">
        <f>IF($B920="","",IF(336&gt;NFixedA,0,SUMIF(CalcDebit,INDEX(PkFixedA,336),CalcAmt)+SUMIF(CalcDebit2,INDEX(PkFixedA,336),CalcAmt2)))</f>
        <v/>
      </c>
      <c r="F920" s="14">
        <f>IF($B920="","",IF(336&gt;NFixedA,0,SUMIF(CalcCredit,INDEX(PkFixedA,336),CalcAmt)+SUMIF(CalcCredit2,INDEX(PkFixedA,336),CalcAmt2)))</f>
        <v/>
      </c>
      <c r="G920" s="15">
        <f>IF($B920="","",ROUND($E920-$F920,0))</f>
        <v/>
      </c>
      <c r="H920" s="12">
        <f>IF($B920="","",IF(ROUND($G920,0)&gt;0,"بدهکار",IF(ROUND($G920,0)&lt;0,"بستانکار","تسویه")))</f>
        <v/>
      </c>
    </row>
    <row r="921">
      <c r="A921" s="16">
        <f>IF($B921="","",912)</f>
        <v/>
      </c>
      <c r="B921" s="17">
        <f>IF(337&gt;NFixedA,"",IFERROR(IF(VLOOKUP(INDEX(PkFixedA,337),AcctTblA,4,0)="","(بدون نام)",VLOOKUP(INDEX(PkFixedA,337),AcctTblA,4,0)),"—"))</f>
        <v/>
      </c>
      <c r="C921" s="18">
        <f>IF($B921="","",IF(337&gt;NFixedA,"",INDEX(PkFixedA,337)))</f>
        <v/>
      </c>
      <c r="D921" s="17">
        <f>IF($B921="","","f")</f>
        <v/>
      </c>
      <c r="E921" s="19">
        <f>IF($B921="","",IF(337&gt;NFixedA,0,SUMIF(CalcDebit,INDEX(PkFixedA,337),CalcAmt)+SUMIF(CalcDebit2,INDEX(PkFixedA,337),CalcAmt2)))</f>
        <v/>
      </c>
      <c r="F921" s="19">
        <f>IF($B921="","",IF(337&gt;NFixedA,0,SUMIF(CalcCredit,INDEX(PkFixedA,337),CalcAmt)+SUMIF(CalcCredit2,INDEX(PkFixedA,337),CalcAmt2)))</f>
        <v/>
      </c>
      <c r="G921" s="20">
        <f>IF($B921="","",ROUND($E921-$F921,0))</f>
        <v/>
      </c>
      <c r="H921" s="17">
        <f>IF($B921="","",IF(ROUND($G921,0)&gt;0,"بدهکار",IF(ROUND($G921,0)&lt;0,"بستانکار","تسویه")))</f>
        <v/>
      </c>
    </row>
    <row r="922">
      <c r="A922" s="11">
        <f>IF($B922="","",913)</f>
        <v/>
      </c>
      <c r="B922" s="12">
        <f>IF(338&gt;NFixedA,"",IFERROR(IF(VLOOKUP(INDEX(PkFixedA,338),AcctTblA,4,0)="","(بدون نام)",VLOOKUP(INDEX(PkFixedA,338),AcctTblA,4,0)),"—"))</f>
        <v/>
      </c>
      <c r="C922" s="13">
        <f>IF($B922="","",IF(338&gt;NFixedA,"",INDEX(PkFixedA,338)))</f>
        <v/>
      </c>
      <c r="D922" s="12">
        <f>IF($B922="","","f")</f>
        <v/>
      </c>
      <c r="E922" s="14">
        <f>IF($B922="","",IF(338&gt;NFixedA,0,SUMIF(CalcDebit,INDEX(PkFixedA,338),CalcAmt)+SUMIF(CalcDebit2,INDEX(PkFixedA,338),CalcAmt2)))</f>
        <v/>
      </c>
      <c r="F922" s="14">
        <f>IF($B922="","",IF(338&gt;NFixedA,0,SUMIF(CalcCredit,INDEX(PkFixedA,338),CalcAmt)+SUMIF(CalcCredit2,INDEX(PkFixedA,338),CalcAmt2)))</f>
        <v/>
      </c>
      <c r="G922" s="15">
        <f>IF($B922="","",ROUND($E922-$F922,0))</f>
        <v/>
      </c>
      <c r="H922" s="12">
        <f>IF($B922="","",IF(ROUND($G922,0)&gt;0,"بدهکار",IF(ROUND($G922,0)&lt;0,"بستانکار","تسویه")))</f>
        <v/>
      </c>
    </row>
    <row r="923">
      <c r="A923" s="16">
        <f>IF($B923="","",914)</f>
        <v/>
      </c>
      <c r="B923" s="17">
        <f>IF(339&gt;NFixedA,"",IFERROR(IF(VLOOKUP(INDEX(PkFixedA,339),AcctTblA,4,0)="","(بدون نام)",VLOOKUP(INDEX(PkFixedA,339),AcctTblA,4,0)),"—"))</f>
        <v/>
      </c>
      <c r="C923" s="18">
        <f>IF($B923="","",IF(339&gt;NFixedA,"",INDEX(PkFixedA,339)))</f>
        <v/>
      </c>
      <c r="D923" s="17">
        <f>IF($B923="","","f")</f>
        <v/>
      </c>
      <c r="E923" s="19">
        <f>IF($B923="","",IF(339&gt;NFixedA,0,SUMIF(CalcDebit,INDEX(PkFixedA,339),CalcAmt)+SUMIF(CalcDebit2,INDEX(PkFixedA,339),CalcAmt2)))</f>
        <v/>
      </c>
      <c r="F923" s="19">
        <f>IF($B923="","",IF(339&gt;NFixedA,0,SUMIF(CalcCredit,INDEX(PkFixedA,339),CalcAmt)+SUMIF(CalcCredit2,INDEX(PkFixedA,339),CalcAmt2)))</f>
        <v/>
      </c>
      <c r="G923" s="20">
        <f>IF($B923="","",ROUND($E923-$F923,0))</f>
        <v/>
      </c>
      <c r="H923" s="17">
        <f>IF($B923="","",IF(ROUND($G923,0)&gt;0,"بدهکار",IF(ROUND($G923,0)&lt;0,"بستانکار","تسویه")))</f>
        <v/>
      </c>
    </row>
    <row r="924">
      <c r="A924" s="11">
        <f>IF($B924="","",915)</f>
        <v/>
      </c>
      <c r="B924" s="12">
        <f>IF(340&gt;NFixedA,"",IFERROR(IF(VLOOKUP(INDEX(PkFixedA,340),AcctTblA,4,0)="","(بدون نام)",VLOOKUP(INDEX(PkFixedA,340),AcctTblA,4,0)),"—"))</f>
        <v/>
      </c>
      <c r="C924" s="13">
        <f>IF($B924="","",IF(340&gt;NFixedA,"",INDEX(PkFixedA,340)))</f>
        <v/>
      </c>
      <c r="D924" s="12">
        <f>IF($B924="","","f")</f>
        <v/>
      </c>
      <c r="E924" s="14">
        <f>IF($B924="","",IF(340&gt;NFixedA,0,SUMIF(CalcDebit,INDEX(PkFixedA,340),CalcAmt)+SUMIF(CalcDebit2,INDEX(PkFixedA,340),CalcAmt2)))</f>
        <v/>
      </c>
      <c r="F924" s="14">
        <f>IF($B924="","",IF(340&gt;NFixedA,0,SUMIF(CalcCredit,INDEX(PkFixedA,340),CalcAmt)+SUMIF(CalcCredit2,INDEX(PkFixedA,340),CalcAmt2)))</f>
        <v/>
      </c>
      <c r="G924" s="15">
        <f>IF($B924="","",ROUND($E924-$F924,0))</f>
        <v/>
      </c>
      <c r="H924" s="12">
        <f>IF($B924="","",IF(ROUND($G924,0)&gt;0,"بدهکار",IF(ROUND($G924,0)&lt;0,"بستانکار","تسویه")))</f>
        <v/>
      </c>
    </row>
    <row r="925">
      <c r="A925" s="16">
        <f>IF($B925="","",916)</f>
        <v/>
      </c>
      <c r="B925" s="17">
        <f>IF(341&gt;NFixedA,"",IFERROR(IF(VLOOKUP(INDEX(PkFixedA,341),AcctTblA,4,0)="","(بدون نام)",VLOOKUP(INDEX(PkFixedA,341),AcctTblA,4,0)),"—"))</f>
        <v/>
      </c>
      <c r="C925" s="18">
        <f>IF($B925="","",IF(341&gt;NFixedA,"",INDEX(PkFixedA,341)))</f>
        <v/>
      </c>
      <c r="D925" s="17">
        <f>IF($B925="","","f")</f>
        <v/>
      </c>
      <c r="E925" s="19">
        <f>IF($B925="","",IF(341&gt;NFixedA,0,SUMIF(CalcDebit,INDEX(PkFixedA,341),CalcAmt)+SUMIF(CalcDebit2,INDEX(PkFixedA,341),CalcAmt2)))</f>
        <v/>
      </c>
      <c r="F925" s="19">
        <f>IF($B925="","",IF(341&gt;NFixedA,0,SUMIF(CalcCredit,INDEX(PkFixedA,341),CalcAmt)+SUMIF(CalcCredit2,INDEX(PkFixedA,341),CalcAmt2)))</f>
        <v/>
      </c>
      <c r="G925" s="20">
        <f>IF($B925="","",ROUND($E925-$F925,0))</f>
        <v/>
      </c>
      <c r="H925" s="17">
        <f>IF($B925="","",IF(ROUND($G925,0)&gt;0,"بدهکار",IF(ROUND($G925,0)&lt;0,"بستانکار","تسویه")))</f>
        <v/>
      </c>
    </row>
    <row r="926">
      <c r="A926" s="11">
        <f>IF($B926="","",917)</f>
        <v/>
      </c>
      <c r="B926" s="12">
        <f>IF(342&gt;NFixedA,"",IFERROR(IF(VLOOKUP(INDEX(PkFixedA,342),AcctTblA,4,0)="","(بدون نام)",VLOOKUP(INDEX(PkFixedA,342),AcctTblA,4,0)),"—"))</f>
        <v/>
      </c>
      <c r="C926" s="13">
        <f>IF($B926="","",IF(342&gt;NFixedA,"",INDEX(PkFixedA,342)))</f>
        <v/>
      </c>
      <c r="D926" s="12">
        <f>IF($B926="","","f")</f>
        <v/>
      </c>
      <c r="E926" s="14">
        <f>IF($B926="","",IF(342&gt;NFixedA,0,SUMIF(CalcDebit,INDEX(PkFixedA,342),CalcAmt)+SUMIF(CalcDebit2,INDEX(PkFixedA,342),CalcAmt2)))</f>
        <v/>
      </c>
      <c r="F926" s="14">
        <f>IF($B926="","",IF(342&gt;NFixedA,0,SUMIF(CalcCredit,INDEX(PkFixedA,342),CalcAmt)+SUMIF(CalcCredit2,INDEX(PkFixedA,342),CalcAmt2)))</f>
        <v/>
      </c>
      <c r="G926" s="15">
        <f>IF($B926="","",ROUND($E926-$F926,0))</f>
        <v/>
      </c>
      <c r="H926" s="12">
        <f>IF($B926="","",IF(ROUND($G926,0)&gt;0,"بدهکار",IF(ROUND($G926,0)&lt;0,"بستانکار","تسویه")))</f>
        <v/>
      </c>
    </row>
    <row r="927">
      <c r="A927" s="16">
        <f>IF($B927="","",918)</f>
        <v/>
      </c>
      <c r="B927" s="17">
        <f>IF(343&gt;NFixedA,"",IFERROR(IF(VLOOKUP(INDEX(PkFixedA,343),AcctTblA,4,0)="","(بدون نام)",VLOOKUP(INDEX(PkFixedA,343),AcctTblA,4,0)),"—"))</f>
        <v/>
      </c>
      <c r="C927" s="18">
        <f>IF($B927="","",IF(343&gt;NFixedA,"",INDEX(PkFixedA,343)))</f>
        <v/>
      </c>
      <c r="D927" s="17">
        <f>IF($B927="","","f")</f>
        <v/>
      </c>
      <c r="E927" s="19">
        <f>IF($B927="","",IF(343&gt;NFixedA,0,SUMIF(CalcDebit,INDEX(PkFixedA,343),CalcAmt)+SUMIF(CalcDebit2,INDEX(PkFixedA,343),CalcAmt2)))</f>
        <v/>
      </c>
      <c r="F927" s="19">
        <f>IF($B927="","",IF(343&gt;NFixedA,0,SUMIF(CalcCredit,INDEX(PkFixedA,343),CalcAmt)+SUMIF(CalcCredit2,INDEX(PkFixedA,343),CalcAmt2)))</f>
        <v/>
      </c>
      <c r="G927" s="20">
        <f>IF($B927="","",ROUND($E927-$F927,0))</f>
        <v/>
      </c>
      <c r="H927" s="17">
        <f>IF($B927="","",IF(ROUND($G927,0)&gt;0,"بدهکار",IF(ROUND($G927,0)&lt;0,"بستانکار","تسویه")))</f>
        <v/>
      </c>
    </row>
    <row r="928">
      <c r="A928" s="11">
        <f>IF($B928="","",919)</f>
        <v/>
      </c>
      <c r="B928" s="12">
        <f>IF(344&gt;NFixedA,"",IFERROR(IF(VLOOKUP(INDEX(PkFixedA,344),AcctTblA,4,0)="","(بدون نام)",VLOOKUP(INDEX(PkFixedA,344),AcctTblA,4,0)),"—"))</f>
        <v/>
      </c>
      <c r="C928" s="13">
        <f>IF($B928="","",IF(344&gt;NFixedA,"",INDEX(PkFixedA,344)))</f>
        <v/>
      </c>
      <c r="D928" s="12">
        <f>IF($B928="","","f")</f>
        <v/>
      </c>
      <c r="E928" s="14">
        <f>IF($B928="","",IF(344&gt;NFixedA,0,SUMIF(CalcDebit,INDEX(PkFixedA,344),CalcAmt)+SUMIF(CalcDebit2,INDEX(PkFixedA,344),CalcAmt2)))</f>
        <v/>
      </c>
      <c r="F928" s="14">
        <f>IF($B928="","",IF(344&gt;NFixedA,0,SUMIF(CalcCredit,INDEX(PkFixedA,344),CalcAmt)+SUMIF(CalcCredit2,INDEX(PkFixedA,344),CalcAmt2)))</f>
        <v/>
      </c>
      <c r="G928" s="15">
        <f>IF($B928="","",ROUND($E928-$F928,0))</f>
        <v/>
      </c>
      <c r="H928" s="12">
        <f>IF($B928="","",IF(ROUND($G928,0)&gt;0,"بدهکار",IF(ROUND($G928,0)&lt;0,"بستانکار","تسویه")))</f>
        <v/>
      </c>
    </row>
    <row r="929">
      <c r="A929" s="16">
        <f>IF($B929="","",920)</f>
        <v/>
      </c>
      <c r="B929" s="17">
        <f>IF(345&gt;NFixedA,"",IFERROR(IF(VLOOKUP(INDEX(PkFixedA,345),AcctTblA,4,0)="","(بدون نام)",VLOOKUP(INDEX(PkFixedA,345),AcctTblA,4,0)),"—"))</f>
        <v/>
      </c>
      <c r="C929" s="18">
        <f>IF($B929="","",IF(345&gt;NFixedA,"",INDEX(PkFixedA,345)))</f>
        <v/>
      </c>
      <c r="D929" s="17">
        <f>IF($B929="","","f")</f>
        <v/>
      </c>
      <c r="E929" s="19">
        <f>IF($B929="","",IF(345&gt;NFixedA,0,SUMIF(CalcDebit,INDEX(PkFixedA,345),CalcAmt)+SUMIF(CalcDebit2,INDEX(PkFixedA,345),CalcAmt2)))</f>
        <v/>
      </c>
      <c r="F929" s="19">
        <f>IF($B929="","",IF(345&gt;NFixedA,0,SUMIF(CalcCredit,INDEX(PkFixedA,345),CalcAmt)+SUMIF(CalcCredit2,INDEX(PkFixedA,345),CalcAmt2)))</f>
        <v/>
      </c>
      <c r="G929" s="20">
        <f>IF($B929="","",ROUND($E929-$F929,0))</f>
        <v/>
      </c>
      <c r="H929" s="17">
        <f>IF($B929="","",IF(ROUND($G929,0)&gt;0,"بدهکار",IF(ROUND($G929,0)&lt;0,"بستانکار","تسویه")))</f>
        <v/>
      </c>
    </row>
    <row r="930">
      <c r="A930" s="11">
        <f>IF($B930="","",921)</f>
        <v/>
      </c>
      <c r="B930" s="12">
        <f>IF(346&gt;NFixedA,"",IFERROR(IF(VLOOKUP(INDEX(PkFixedA,346),AcctTblA,4,0)="","(بدون نام)",VLOOKUP(INDEX(PkFixedA,346),AcctTblA,4,0)),"—"))</f>
        <v/>
      </c>
      <c r="C930" s="13">
        <f>IF($B930="","",IF(346&gt;NFixedA,"",INDEX(PkFixedA,346)))</f>
        <v/>
      </c>
      <c r="D930" s="12">
        <f>IF($B930="","","f")</f>
        <v/>
      </c>
      <c r="E930" s="14">
        <f>IF($B930="","",IF(346&gt;NFixedA,0,SUMIF(CalcDebit,INDEX(PkFixedA,346),CalcAmt)+SUMIF(CalcDebit2,INDEX(PkFixedA,346),CalcAmt2)))</f>
        <v/>
      </c>
      <c r="F930" s="14">
        <f>IF($B930="","",IF(346&gt;NFixedA,0,SUMIF(CalcCredit,INDEX(PkFixedA,346),CalcAmt)+SUMIF(CalcCredit2,INDEX(PkFixedA,346),CalcAmt2)))</f>
        <v/>
      </c>
      <c r="G930" s="15">
        <f>IF($B930="","",ROUND($E930-$F930,0))</f>
        <v/>
      </c>
      <c r="H930" s="12">
        <f>IF($B930="","",IF(ROUND($G930,0)&gt;0,"بدهکار",IF(ROUND($G930,0)&lt;0,"بستانکار","تسویه")))</f>
        <v/>
      </c>
    </row>
    <row r="931">
      <c r="A931" s="16">
        <f>IF($B931="","",922)</f>
        <v/>
      </c>
      <c r="B931" s="17">
        <f>IF(347&gt;NFixedA,"",IFERROR(IF(VLOOKUP(INDEX(PkFixedA,347),AcctTblA,4,0)="","(بدون نام)",VLOOKUP(INDEX(PkFixedA,347),AcctTblA,4,0)),"—"))</f>
        <v/>
      </c>
      <c r="C931" s="18">
        <f>IF($B931="","",IF(347&gt;NFixedA,"",INDEX(PkFixedA,347)))</f>
        <v/>
      </c>
      <c r="D931" s="17">
        <f>IF($B931="","","f")</f>
        <v/>
      </c>
      <c r="E931" s="19">
        <f>IF($B931="","",IF(347&gt;NFixedA,0,SUMIF(CalcDebit,INDEX(PkFixedA,347),CalcAmt)+SUMIF(CalcDebit2,INDEX(PkFixedA,347),CalcAmt2)))</f>
        <v/>
      </c>
      <c r="F931" s="19">
        <f>IF($B931="","",IF(347&gt;NFixedA,0,SUMIF(CalcCredit,INDEX(PkFixedA,347),CalcAmt)+SUMIF(CalcCredit2,INDEX(PkFixedA,347),CalcAmt2)))</f>
        <v/>
      </c>
      <c r="G931" s="20">
        <f>IF($B931="","",ROUND($E931-$F931,0))</f>
        <v/>
      </c>
      <c r="H931" s="17">
        <f>IF($B931="","",IF(ROUND($G931,0)&gt;0,"بدهکار",IF(ROUND($G931,0)&lt;0,"بستانکار","تسویه")))</f>
        <v/>
      </c>
    </row>
    <row r="932">
      <c r="A932" s="11">
        <f>IF($B932="","",923)</f>
        <v/>
      </c>
      <c r="B932" s="12">
        <f>IF(348&gt;NFixedA,"",IFERROR(IF(VLOOKUP(INDEX(PkFixedA,348),AcctTblA,4,0)="","(بدون نام)",VLOOKUP(INDEX(PkFixedA,348),AcctTblA,4,0)),"—"))</f>
        <v/>
      </c>
      <c r="C932" s="13">
        <f>IF($B932="","",IF(348&gt;NFixedA,"",INDEX(PkFixedA,348)))</f>
        <v/>
      </c>
      <c r="D932" s="12">
        <f>IF($B932="","","f")</f>
        <v/>
      </c>
      <c r="E932" s="14">
        <f>IF($B932="","",IF(348&gt;NFixedA,0,SUMIF(CalcDebit,INDEX(PkFixedA,348),CalcAmt)+SUMIF(CalcDebit2,INDEX(PkFixedA,348),CalcAmt2)))</f>
        <v/>
      </c>
      <c r="F932" s="14">
        <f>IF($B932="","",IF(348&gt;NFixedA,0,SUMIF(CalcCredit,INDEX(PkFixedA,348),CalcAmt)+SUMIF(CalcCredit2,INDEX(PkFixedA,348),CalcAmt2)))</f>
        <v/>
      </c>
      <c r="G932" s="15">
        <f>IF($B932="","",ROUND($E932-$F932,0))</f>
        <v/>
      </c>
      <c r="H932" s="12">
        <f>IF($B932="","",IF(ROUND($G932,0)&gt;0,"بدهکار",IF(ROUND($G932,0)&lt;0,"بستانکار","تسویه")))</f>
        <v/>
      </c>
    </row>
    <row r="933">
      <c r="A933" s="16">
        <f>IF($B933="","",924)</f>
        <v/>
      </c>
      <c r="B933" s="17">
        <f>IF(349&gt;NFixedA,"",IFERROR(IF(VLOOKUP(INDEX(PkFixedA,349),AcctTblA,4,0)="","(بدون نام)",VLOOKUP(INDEX(PkFixedA,349),AcctTblA,4,0)),"—"))</f>
        <v/>
      </c>
      <c r="C933" s="18">
        <f>IF($B933="","",IF(349&gt;NFixedA,"",INDEX(PkFixedA,349)))</f>
        <v/>
      </c>
      <c r="D933" s="17">
        <f>IF($B933="","","f")</f>
        <v/>
      </c>
      <c r="E933" s="19">
        <f>IF($B933="","",IF(349&gt;NFixedA,0,SUMIF(CalcDebit,INDEX(PkFixedA,349),CalcAmt)+SUMIF(CalcDebit2,INDEX(PkFixedA,349),CalcAmt2)))</f>
        <v/>
      </c>
      <c r="F933" s="19">
        <f>IF($B933="","",IF(349&gt;NFixedA,0,SUMIF(CalcCredit,INDEX(PkFixedA,349),CalcAmt)+SUMIF(CalcCredit2,INDEX(PkFixedA,349),CalcAmt2)))</f>
        <v/>
      </c>
      <c r="G933" s="20">
        <f>IF($B933="","",ROUND($E933-$F933,0))</f>
        <v/>
      </c>
      <c r="H933" s="17">
        <f>IF($B933="","",IF(ROUND($G933,0)&gt;0,"بدهکار",IF(ROUND($G933,0)&lt;0,"بستانکار","تسویه")))</f>
        <v/>
      </c>
    </row>
    <row r="934">
      <c r="A934" s="11">
        <f>IF($B934="","",925)</f>
        <v/>
      </c>
      <c r="B934" s="12">
        <f>IF(350&gt;NFixedA,"",IFERROR(IF(VLOOKUP(INDEX(PkFixedA,350),AcctTblA,4,0)="","(بدون نام)",VLOOKUP(INDEX(PkFixedA,350),AcctTblA,4,0)),"—"))</f>
        <v/>
      </c>
      <c r="C934" s="13">
        <f>IF($B934="","",IF(350&gt;NFixedA,"",INDEX(PkFixedA,350)))</f>
        <v/>
      </c>
      <c r="D934" s="12">
        <f>IF($B934="","","f")</f>
        <v/>
      </c>
      <c r="E934" s="14">
        <f>IF($B934="","",IF(350&gt;NFixedA,0,SUMIF(CalcDebit,INDEX(PkFixedA,350),CalcAmt)+SUMIF(CalcDebit2,INDEX(PkFixedA,350),CalcAmt2)))</f>
        <v/>
      </c>
      <c r="F934" s="14">
        <f>IF($B934="","",IF(350&gt;NFixedA,0,SUMIF(CalcCredit,INDEX(PkFixedA,350),CalcAmt)+SUMIF(CalcCredit2,INDEX(PkFixedA,350),CalcAmt2)))</f>
        <v/>
      </c>
      <c r="G934" s="15">
        <f>IF($B934="","",ROUND($E934-$F934,0))</f>
        <v/>
      </c>
      <c r="H934" s="12">
        <f>IF($B934="","",IF(ROUND($G934,0)&gt;0,"بدهکار",IF(ROUND($G934,0)&lt;0,"بستانکار","تسویه")))</f>
        <v/>
      </c>
    </row>
    <row r="935">
      <c r="A935" s="16">
        <f>IF($B935="","",926)</f>
        <v/>
      </c>
      <c r="B935" s="17">
        <f>IF(351&gt;NFixedA,"",IFERROR(IF(VLOOKUP(INDEX(PkFixedA,351),AcctTblA,4,0)="","(بدون نام)",VLOOKUP(INDEX(PkFixedA,351),AcctTblA,4,0)),"—"))</f>
        <v/>
      </c>
      <c r="C935" s="18">
        <f>IF($B935="","",IF(351&gt;NFixedA,"",INDEX(PkFixedA,351)))</f>
        <v/>
      </c>
      <c r="D935" s="17">
        <f>IF($B935="","","f")</f>
        <v/>
      </c>
      <c r="E935" s="19">
        <f>IF($B935="","",IF(351&gt;NFixedA,0,SUMIF(CalcDebit,INDEX(PkFixedA,351),CalcAmt)+SUMIF(CalcDebit2,INDEX(PkFixedA,351),CalcAmt2)))</f>
        <v/>
      </c>
      <c r="F935" s="19">
        <f>IF($B935="","",IF(351&gt;NFixedA,0,SUMIF(CalcCredit,INDEX(PkFixedA,351),CalcAmt)+SUMIF(CalcCredit2,INDEX(PkFixedA,351),CalcAmt2)))</f>
        <v/>
      </c>
      <c r="G935" s="20">
        <f>IF($B935="","",ROUND($E935-$F935,0))</f>
        <v/>
      </c>
      <c r="H935" s="17">
        <f>IF($B935="","",IF(ROUND($G935,0)&gt;0,"بدهکار",IF(ROUND($G935,0)&lt;0,"بستانکار","تسویه")))</f>
        <v/>
      </c>
    </row>
    <row r="936">
      <c r="A936" s="11">
        <f>IF($B936="","",927)</f>
        <v/>
      </c>
      <c r="B936" s="12">
        <f>IF(352&gt;NFixedA,"",IFERROR(IF(VLOOKUP(INDEX(PkFixedA,352),AcctTblA,4,0)="","(بدون نام)",VLOOKUP(INDEX(PkFixedA,352),AcctTblA,4,0)),"—"))</f>
        <v/>
      </c>
      <c r="C936" s="13">
        <f>IF($B936="","",IF(352&gt;NFixedA,"",INDEX(PkFixedA,352)))</f>
        <v/>
      </c>
      <c r="D936" s="12">
        <f>IF($B936="","","f")</f>
        <v/>
      </c>
      <c r="E936" s="14">
        <f>IF($B936="","",IF(352&gt;NFixedA,0,SUMIF(CalcDebit,INDEX(PkFixedA,352),CalcAmt)+SUMIF(CalcDebit2,INDEX(PkFixedA,352),CalcAmt2)))</f>
        <v/>
      </c>
      <c r="F936" s="14">
        <f>IF($B936="","",IF(352&gt;NFixedA,0,SUMIF(CalcCredit,INDEX(PkFixedA,352),CalcAmt)+SUMIF(CalcCredit2,INDEX(PkFixedA,352),CalcAmt2)))</f>
        <v/>
      </c>
      <c r="G936" s="15">
        <f>IF($B936="","",ROUND($E936-$F936,0))</f>
        <v/>
      </c>
      <c r="H936" s="12">
        <f>IF($B936="","",IF(ROUND($G936,0)&gt;0,"بدهکار",IF(ROUND($G936,0)&lt;0,"بستانکار","تسویه")))</f>
        <v/>
      </c>
    </row>
    <row r="937">
      <c r="A937" s="16">
        <f>IF($B937="","",928)</f>
        <v/>
      </c>
      <c r="B937" s="17">
        <f>IF(353&gt;NFixedA,"",IFERROR(IF(VLOOKUP(INDEX(PkFixedA,353),AcctTblA,4,0)="","(بدون نام)",VLOOKUP(INDEX(PkFixedA,353),AcctTblA,4,0)),"—"))</f>
        <v/>
      </c>
      <c r="C937" s="18">
        <f>IF($B937="","",IF(353&gt;NFixedA,"",INDEX(PkFixedA,353)))</f>
        <v/>
      </c>
      <c r="D937" s="17">
        <f>IF($B937="","","f")</f>
        <v/>
      </c>
      <c r="E937" s="19">
        <f>IF($B937="","",IF(353&gt;NFixedA,0,SUMIF(CalcDebit,INDEX(PkFixedA,353),CalcAmt)+SUMIF(CalcDebit2,INDEX(PkFixedA,353),CalcAmt2)))</f>
        <v/>
      </c>
      <c r="F937" s="19">
        <f>IF($B937="","",IF(353&gt;NFixedA,0,SUMIF(CalcCredit,INDEX(PkFixedA,353),CalcAmt)+SUMIF(CalcCredit2,INDEX(PkFixedA,353),CalcAmt2)))</f>
        <v/>
      </c>
      <c r="G937" s="20">
        <f>IF($B937="","",ROUND($E937-$F937,0))</f>
        <v/>
      </c>
      <c r="H937" s="17">
        <f>IF($B937="","",IF(ROUND($G937,0)&gt;0,"بدهکار",IF(ROUND($G937,0)&lt;0,"بستانکار","تسویه")))</f>
        <v/>
      </c>
    </row>
    <row r="938">
      <c r="A938" s="11">
        <f>IF($B938="","",929)</f>
        <v/>
      </c>
      <c r="B938" s="12">
        <f>IF(354&gt;NFixedA,"",IFERROR(IF(VLOOKUP(INDEX(PkFixedA,354),AcctTblA,4,0)="","(بدون نام)",VLOOKUP(INDEX(PkFixedA,354),AcctTblA,4,0)),"—"))</f>
        <v/>
      </c>
      <c r="C938" s="13">
        <f>IF($B938="","",IF(354&gt;NFixedA,"",INDEX(PkFixedA,354)))</f>
        <v/>
      </c>
      <c r="D938" s="12">
        <f>IF($B938="","","f")</f>
        <v/>
      </c>
      <c r="E938" s="14">
        <f>IF($B938="","",IF(354&gt;NFixedA,0,SUMIF(CalcDebit,INDEX(PkFixedA,354),CalcAmt)+SUMIF(CalcDebit2,INDEX(PkFixedA,354),CalcAmt2)))</f>
        <v/>
      </c>
      <c r="F938" s="14">
        <f>IF($B938="","",IF(354&gt;NFixedA,0,SUMIF(CalcCredit,INDEX(PkFixedA,354),CalcAmt)+SUMIF(CalcCredit2,INDEX(PkFixedA,354),CalcAmt2)))</f>
        <v/>
      </c>
      <c r="G938" s="15">
        <f>IF($B938="","",ROUND($E938-$F938,0))</f>
        <v/>
      </c>
      <c r="H938" s="12">
        <f>IF($B938="","",IF(ROUND($G938,0)&gt;0,"بدهکار",IF(ROUND($G938,0)&lt;0,"بستانکار","تسویه")))</f>
        <v/>
      </c>
    </row>
    <row r="939">
      <c r="A939" s="16">
        <f>IF($B939="","",930)</f>
        <v/>
      </c>
      <c r="B939" s="17">
        <f>IF(355&gt;NFixedA,"",IFERROR(IF(VLOOKUP(INDEX(PkFixedA,355),AcctTblA,4,0)="","(بدون نام)",VLOOKUP(INDEX(PkFixedA,355),AcctTblA,4,0)),"—"))</f>
        <v/>
      </c>
      <c r="C939" s="18">
        <f>IF($B939="","",IF(355&gt;NFixedA,"",INDEX(PkFixedA,355)))</f>
        <v/>
      </c>
      <c r="D939" s="17">
        <f>IF($B939="","","f")</f>
        <v/>
      </c>
      <c r="E939" s="19">
        <f>IF($B939="","",IF(355&gt;NFixedA,0,SUMIF(CalcDebit,INDEX(PkFixedA,355),CalcAmt)+SUMIF(CalcDebit2,INDEX(PkFixedA,355),CalcAmt2)))</f>
        <v/>
      </c>
      <c r="F939" s="19">
        <f>IF($B939="","",IF(355&gt;NFixedA,0,SUMIF(CalcCredit,INDEX(PkFixedA,355),CalcAmt)+SUMIF(CalcCredit2,INDEX(PkFixedA,355),CalcAmt2)))</f>
        <v/>
      </c>
      <c r="G939" s="20">
        <f>IF($B939="","",ROUND($E939-$F939,0))</f>
        <v/>
      </c>
      <c r="H939" s="17">
        <f>IF($B939="","",IF(ROUND($G939,0)&gt;0,"بدهکار",IF(ROUND($G939,0)&lt;0,"بستانکار","تسویه")))</f>
        <v/>
      </c>
    </row>
    <row r="940">
      <c r="A940" s="11">
        <f>IF($B940="","",931)</f>
        <v/>
      </c>
      <c r="B940" s="12">
        <f>IF(356&gt;NFixedA,"",IFERROR(IF(VLOOKUP(INDEX(PkFixedA,356),AcctTblA,4,0)="","(بدون نام)",VLOOKUP(INDEX(PkFixedA,356),AcctTblA,4,0)),"—"))</f>
        <v/>
      </c>
      <c r="C940" s="13">
        <f>IF($B940="","",IF(356&gt;NFixedA,"",INDEX(PkFixedA,356)))</f>
        <v/>
      </c>
      <c r="D940" s="12">
        <f>IF($B940="","","f")</f>
        <v/>
      </c>
      <c r="E940" s="14">
        <f>IF($B940="","",IF(356&gt;NFixedA,0,SUMIF(CalcDebit,INDEX(PkFixedA,356),CalcAmt)+SUMIF(CalcDebit2,INDEX(PkFixedA,356),CalcAmt2)))</f>
        <v/>
      </c>
      <c r="F940" s="14">
        <f>IF($B940="","",IF(356&gt;NFixedA,0,SUMIF(CalcCredit,INDEX(PkFixedA,356),CalcAmt)+SUMIF(CalcCredit2,INDEX(PkFixedA,356),CalcAmt2)))</f>
        <v/>
      </c>
      <c r="G940" s="15">
        <f>IF($B940="","",ROUND($E940-$F940,0))</f>
        <v/>
      </c>
      <c r="H940" s="12">
        <f>IF($B940="","",IF(ROUND($G940,0)&gt;0,"بدهکار",IF(ROUND($G940,0)&lt;0,"بستانکار","تسویه")))</f>
        <v/>
      </c>
    </row>
    <row r="941">
      <c r="A941" s="16">
        <f>IF($B941="","",932)</f>
        <v/>
      </c>
      <c r="B941" s="17">
        <f>IF(357&gt;NFixedA,"",IFERROR(IF(VLOOKUP(INDEX(PkFixedA,357),AcctTblA,4,0)="","(بدون نام)",VLOOKUP(INDEX(PkFixedA,357),AcctTblA,4,0)),"—"))</f>
        <v/>
      </c>
      <c r="C941" s="18">
        <f>IF($B941="","",IF(357&gt;NFixedA,"",INDEX(PkFixedA,357)))</f>
        <v/>
      </c>
      <c r="D941" s="17">
        <f>IF($B941="","","f")</f>
        <v/>
      </c>
      <c r="E941" s="19">
        <f>IF($B941="","",IF(357&gt;NFixedA,0,SUMIF(CalcDebit,INDEX(PkFixedA,357),CalcAmt)+SUMIF(CalcDebit2,INDEX(PkFixedA,357),CalcAmt2)))</f>
        <v/>
      </c>
      <c r="F941" s="19">
        <f>IF($B941="","",IF(357&gt;NFixedA,0,SUMIF(CalcCredit,INDEX(PkFixedA,357),CalcAmt)+SUMIF(CalcCredit2,INDEX(PkFixedA,357),CalcAmt2)))</f>
        <v/>
      </c>
      <c r="G941" s="20">
        <f>IF($B941="","",ROUND($E941-$F941,0))</f>
        <v/>
      </c>
      <c r="H941" s="17">
        <f>IF($B941="","",IF(ROUND($G941,0)&gt;0,"بدهکار",IF(ROUND($G941,0)&lt;0,"بستانکار","تسویه")))</f>
        <v/>
      </c>
    </row>
    <row r="942">
      <c r="A942" s="11">
        <f>IF($B942="","",933)</f>
        <v/>
      </c>
      <c r="B942" s="12">
        <f>IF(358&gt;NFixedA,"",IFERROR(IF(VLOOKUP(INDEX(PkFixedA,358),AcctTblA,4,0)="","(بدون نام)",VLOOKUP(INDEX(PkFixedA,358),AcctTblA,4,0)),"—"))</f>
        <v/>
      </c>
      <c r="C942" s="13">
        <f>IF($B942="","",IF(358&gt;NFixedA,"",INDEX(PkFixedA,358)))</f>
        <v/>
      </c>
      <c r="D942" s="12">
        <f>IF($B942="","","f")</f>
        <v/>
      </c>
      <c r="E942" s="14">
        <f>IF($B942="","",IF(358&gt;NFixedA,0,SUMIF(CalcDebit,INDEX(PkFixedA,358),CalcAmt)+SUMIF(CalcDebit2,INDEX(PkFixedA,358),CalcAmt2)))</f>
        <v/>
      </c>
      <c r="F942" s="14">
        <f>IF($B942="","",IF(358&gt;NFixedA,0,SUMIF(CalcCredit,INDEX(PkFixedA,358),CalcAmt)+SUMIF(CalcCredit2,INDEX(PkFixedA,358),CalcAmt2)))</f>
        <v/>
      </c>
      <c r="G942" s="15">
        <f>IF($B942="","",ROUND($E942-$F942,0))</f>
        <v/>
      </c>
      <c r="H942" s="12">
        <f>IF($B942="","",IF(ROUND($G942,0)&gt;0,"بدهکار",IF(ROUND($G942,0)&lt;0,"بستانکار","تسویه")))</f>
        <v/>
      </c>
    </row>
    <row r="943">
      <c r="A943" s="16">
        <f>IF($B943="","",934)</f>
        <v/>
      </c>
      <c r="B943" s="17">
        <f>IF(359&gt;NFixedA,"",IFERROR(IF(VLOOKUP(INDEX(PkFixedA,359),AcctTblA,4,0)="","(بدون نام)",VLOOKUP(INDEX(PkFixedA,359),AcctTblA,4,0)),"—"))</f>
        <v/>
      </c>
      <c r="C943" s="18">
        <f>IF($B943="","",IF(359&gt;NFixedA,"",INDEX(PkFixedA,359)))</f>
        <v/>
      </c>
      <c r="D943" s="17">
        <f>IF($B943="","","f")</f>
        <v/>
      </c>
      <c r="E943" s="19">
        <f>IF($B943="","",IF(359&gt;NFixedA,0,SUMIF(CalcDebit,INDEX(PkFixedA,359),CalcAmt)+SUMIF(CalcDebit2,INDEX(PkFixedA,359),CalcAmt2)))</f>
        <v/>
      </c>
      <c r="F943" s="19">
        <f>IF($B943="","",IF(359&gt;NFixedA,0,SUMIF(CalcCredit,INDEX(PkFixedA,359),CalcAmt)+SUMIF(CalcCredit2,INDEX(PkFixedA,359),CalcAmt2)))</f>
        <v/>
      </c>
      <c r="G943" s="20">
        <f>IF($B943="","",ROUND($E943-$F943,0))</f>
        <v/>
      </c>
      <c r="H943" s="17">
        <f>IF($B943="","",IF(ROUND($G943,0)&gt;0,"بدهکار",IF(ROUND($G943,0)&lt;0,"بستانکار","تسویه")))</f>
        <v/>
      </c>
    </row>
    <row r="944">
      <c r="A944" s="11">
        <f>IF($B944="","",935)</f>
        <v/>
      </c>
      <c r="B944" s="12">
        <f>IF(360&gt;NFixedA,"",IFERROR(IF(VLOOKUP(INDEX(PkFixedA,360),AcctTblA,4,0)="","(بدون نام)",VLOOKUP(INDEX(PkFixedA,360),AcctTblA,4,0)),"—"))</f>
        <v/>
      </c>
      <c r="C944" s="13">
        <f>IF($B944="","",IF(360&gt;NFixedA,"",INDEX(PkFixedA,360)))</f>
        <v/>
      </c>
      <c r="D944" s="12">
        <f>IF($B944="","","f")</f>
        <v/>
      </c>
      <c r="E944" s="14">
        <f>IF($B944="","",IF(360&gt;NFixedA,0,SUMIF(CalcDebit,INDEX(PkFixedA,360),CalcAmt)+SUMIF(CalcDebit2,INDEX(PkFixedA,360),CalcAmt2)))</f>
        <v/>
      </c>
      <c r="F944" s="14">
        <f>IF($B944="","",IF(360&gt;NFixedA,0,SUMIF(CalcCredit,INDEX(PkFixedA,360),CalcAmt)+SUMIF(CalcCredit2,INDEX(PkFixedA,360),CalcAmt2)))</f>
        <v/>
      </c>
      <c r="G944" s="15">
        <f>IF($B944="","",ROUND($E944-$F944,0))</f>
        <v/>
      </c>
      <c r="H944" s="12">
        <f>IF($B944="","",IF(ROUND($G944,0)&gt;0,"بدهکار",IF(ROUND($G944,0)&lt;0,"بستانکار","تسویه")))</f>
        <v/>
      </c>
    </row>
    <row r="945">
      <c r="A945" s="16">
        <f>IF($B945="","",936)</f>
        <v/>
      </c>
      <c r="B945" s="17">
        <f>IF(361&gt;NFixedA,"",IFERROR(IF(VLOOKUP(INDEX(PkFixedA,361),AcctTblA,4,0)="","(بدون نام)",VLOOKUP(INDEX(PkFixedA,361),AcctTblA,4,0)),"—"))</f>
        <v/>
      </c>
      <c r="C945" s="18">
        <f>IF($B945="","",IF(361&gt;NFixedA,"",INDEX(PkFixedA,361)))</f>
        <v/>
      </c>
      <c r="D945" s="17">
        <f>IF($B945="","","f")</f>
        <v/>
      </c>
      <c r="E945" s="19">
        <f>IF($B945="","",IF(361&gt;NFixedA,0,SUMIF(CalcDebit,INDEX(PkFixedA,361),CalcAmt)+SUMIF(CalcDebit2,INDEX(PkFixedA,361),CalcAmt2)))</f>
        <v/>
      </c>
      <c r="F945" s="19">
        <f>IF($B945="","",IF(361&gt;NFixedA,0,SUMIF(CalcCredit,INDEX(PkFixedA,361),CalcAmt)+SUMIF(CalcCredit2,INDEX(PkFixedA,361),CalcAmt2)))</f>
        <v/>
      </c>
      <c r="G945" s="20">
        <f>IF($B945="","",ROUND($E945-$F945,0))</f>
        <v/>
      </c>
      <c r="H945" s="17">
        <f>IF($B945="","",IF(ROUND($G945,0)&gt;0,"بدهکار",IF(ROUND($G945,0)&lt;0,"بستانکار","تسویه")))</f>
        <v/>
      </c>
    </row>
    <row r="946">
      <c r="A946" s="11">
        <f>IF($B946="","",937)</f>
        <v/>
      </c>
      <c r="B946" s="12">
        <f>IF(362&gt;NFixedA,"",IFERROR(IF(VLOOKUP(INDEX(PkFixedA,362),AcctTblA,4,0)="","(بدون نام)",VLOOKUP(INDEX(PkFixedA,362),AcctTblA,4,0)),"—"))</f>
        <v/>
      </c>
      <c r="C946" s="13">
        <f>IF($B946="","",IF(362&gt;NFixedA,"",INDEX(PkFixedA,362)))</f>
        <v/>
      </c>
      <c r="D946" s="12">
        <f>IF($B946="","","f")</f>
        <v/>
      </c>
      <c r="E946" s="14">
        <f>IF($B946="","",IF(362&gt;NFixedA,0,SUMIF(CalcDebit,INDEX(PkFixedA,362),CalcAmt)+SUMIF(CalcDebit2,INDEX(PkFixedA,362),CalcAmt2)))</f>
        <v/>
      </c>
      <c r="F946" s="14">
        <f>IF($B946="","",IF(362&gt;NFixedA,0,SUMIF(CalcCredit,INDEX(PkFixedA,362),CalcAmt)+SUMIF(CalcCredit2,INDEX(PkFixedA,362),CalcAmt2)))</f>
        <v/>
      </c>
      <c r="G946" s="15">
        <f>IF($B946="","",ROUND($E946-$F946,0))</f>
        <v/>
      </c>
      <c r="H946" s="12">
        <f>IF($B946="","",IF(ROUND($G946,0)&gt;0,"بدهکار",IF(ROUND($G946,0)&lt;0,"بستانکار","تسویه")))</f>
        <v/>
      </c>
    </row>
    <row r="947">
      <c r="A947" s="16">
        <f>IF($B947="","",938)</f>
        <v/>
      </c>
      <c r="B947" s="17">
        <f>IF(363&gt;NFixedA,"",IFERROR(IF(VLOOKUP(INDEX(PkFixedA,363),AcctTblA,4,0)="","(بدون نام)",VLOOKUP(INDEX(PkFixedA,363),AcctTblA,4,0)),"—"))</f>
        <v/>
      </c>
      <c r="C947" s="18">
        <f>IF($B947="","",IF(363&gt;NFixedA,"",INDEX(PkFixedA,363)))</f>
        <v/>
      </c>
      <c r="D947" s="17">
        <f>IF($B947="","","f")</f>
        <v/>
      </c>
      <c r="E947" s="19">
        <f>IF($B947="","",IF(363&gt;NFixedA,0,SUMIF(CalcDebit,INDEX(PkFixedA,363),CalcAmt)+SUMIF(CalcDebit2,INDEX(PkFixedA,363),CalcAmt2)))</f>
        <v/>
      </c>
      <c r="F947" s="19">
        <f>IF($B947="","",IF(363&gt;NFixedA,0,SUMIF(CalcCredit,INDEX(PkFixedA,363),CalcAmt)+SUMIF(CalcCredit2,INDEX(PkFixedA,363),CalcAmt2)))</f>
        <v/>
      </c>
      <c r="G947" s="20">
        <f>IF($B947="","",ROUND($E947-$F947,0))</f>
        <v/>
      </c>
      <c r="H947" s="17">
        <f>IF($B947="","",IF(ROUND($G947,0)&gt;0,"بدهکار",IF(ROUND($G947,0)&lt;0,"بستانکار","تسویه")))</f>
        <v/>
      </c>
    </row>
    <row r="948">
      <c r="A948" s="11">
        <f>IF($B948="","",939)</f>
        <v/>
      </c>
      <c r="B948" s="12">
        <f>IF(364&gt;NFixedA,"",IFERROR(IF(VLOOKUP(INDEX(PkFixedA,364),AcctTblA,4,0)="","(بدون نام)",VLOOKUP(INDEX(PkFixedA,364),AcctTblA,4,0)),"—"))</f>
        <v/>
      </c>
      <c r="C948" s="13">
        <f>IF($B948="","",IF(364&gt;NFixedA,"",INDEX(PkFixedA,364)))</f>
        <v/>
      </c>
      <c r="D948" s="12">
        <f>IF($B948="","","f")</f>
        <v/>
      </c>
      <c r="E948" s="14">
        <f>IF($B948="","",IF(364&gt;NFixedA,0,SUMIF(CalcDebit,INDEX(PkFixedA,364),CalcAmt)+SUMIF(CalcDebit2,INDEX(PkFixedA,364),CalcAmt2)))</f>
        <v/>
      </c>
      <c r="F948" s="14">
        <f>IF($B948="","",IF(364&gt;NFixedA,0,SUMIF(CalcCredit,INDEX(PkFixedA,364),CalcAmt)+SUMIF(CalcCredit2,INDEX(PkFixedA,364),CalcAmt2)))</f>
        <v/>
      </c>
      <c r="G948" s="15">
        <f>IF($B948="","",ROUND($E948-$F948,0))</f>
        <v/>
      </c>
      <c r="H948" s="12">
        <f>IF($B948="","",IF(ROUND($G948,0)&gt;0,"بدهکار",IF(ROUND($G948,0)&lt;0,"بستانکار","تسویه")))</f>
        <v/>
      </c>
    </row>
    <row r="949">
      <c r="A949" s="16">
        <f>IF($B949="","",940)</f>
        <v/>
      </c>
      <c r="B949" s="17">
        <f>IF(365&gt;NFixedA,"",IFERROR(IF(VLOOKUP(INDEX(PkFixedA,365),AcctTblA,4,0)="","(بدون نام)",VLOOKUP(INDEX(PkFixedA,365),AcctTblA,4,0)),"—"))</f>
        <v/>
      </c>
      <c r="C949" s="18">
        <f>IF($B949="","",IF(365&gt;NFixedA,"",INDEX(PkFixedA,365)))</f>
        <v/>
      </c>
      <c r="D949" s="17">
        <f>IF($B949="","","f")</f>
        <v/>
      </c>
      <c r="E949" s="19">
        <f>IF($B949="","",IF(365&gt;NFixedA,0,SUMIF(CalcDebit,INDEX(PkFixedA,365),CalcAmt)+SUMIF(CalcDebit2,INDEX(PkFixedA,365),CalcAmt2)))</f>
        <v/>
      </c>
      <c r="F949" s="19">
        <f>IF($B949="","",IF(365&gt;NFixedA,0,SUMIF(CalcCredit,INDEX(PkFixedA,365),CalcAmt)+SUMIF(CalcCredit2,INDEX(PkFixedA,365),CalcAmt2)))</f>
        <v/>
      </c>
      <c r="G949" s="20">
        <f>IF($B949="","",ROUND($E949-$F949,0))</f>
        <v/>
      </c>
      <c r="H949" s="17">
        <f>IF($B949="","",IF(ROUND($G949,0)&gt;0,"بدهکار",IF(ROUND($G949,0)&lt;0,"بستانکار","تسویه")))</f>
        <v/>
      </c>
    </row>
    <row r="950">
      <c r="A950" s="11">
        <f>IF($B950="","",941)</f>
        <v/>
      </c>
      <c r="B950" s="12">
        <f>IF(366&gt;NFixedA,"",IFERROR(IF(VLOOKUP(INDEX(PkFixedA,366),AcctTblA,4,0)="","(بدون نام)",VLOOKUP(INDEX(PkFixedA,366),AcctTblA,4,0)),"—"))</f>
        <v/>
      </c>
      <c r="C950" s="13">
        <f>IF($B950="","",IF(366&gt;NFixedA,"",INDEX(PkFixedA,366)))</f>
        <v/>
      </c>
      <c r="D950" s="12">
        <f>IF($B950="","","f")</f>
        <v/>
      </c>
      <c r="E950" s="14">
        <f>IF($B950="","",IF(366&gt;NFixedA,0,SUMIF(CalcDebit,INDEX(PkFixedA,366),CalcAmt)+SUMIF(CalcDebit2,INDEX(PkFixedA,366),CalcAmt2)))</f>
        <v/>
      </c>
      <c r="F950" s="14">
        <f>IF($B950="","",IF(366&gt;NFixedA,0,SUMIF(CalcCredit,INDEX(PkFixedA,366),CalcAmt)+SUMIF(CalcCredit2,INDEX(PkFixedA,366),CalcAmt2)))</f>
        <v/>
      </c>
      <c r="G950" s="15">
        <f>IF($B950="","",ROUND($E950-$F950,0))</f>
        <v/>
      </c>
      <c r="H950" s="12">
        <f>IF($B950="","",IF(ROUND($G950,0)&gt;0,"بدهکار",IF(ROUND($G950,0)&lt;0,"بستانکار","تسویه")))</f>
        <v/>
      </c>
    </row>
    <row r="951">
      <c r="A951" s="16">
        <f>IF($B951="","",942)</f>
        <v/>
      </c>
      <c r="B951" s="17">
        <f>IF(367&gt;NFixedA,"",IFERROR(IF(VLOOKUP(INDEX(PkFixedA,367),AcctTblA,4,0)="","(بدون نام)",VLOOKUP(INDEX(PkFixedA,367),AcctTblA,4,0)),"—"))</f>
        <v/>
      </c>
      <c r="C951" s="18">
        <f>IF($B951="","",IF(367&gt;NFixedA,"",INDEX(PkFixedA,367)))</f>
        <v/>
      </c>
      <c r="D951" s="17">
        <f>IF($B951="","","f")</f>
        <v/>
      </c>
      <c r="E951" s="19">
        <f>IF($B951="","",IF(367&gt;NFixedA,0,SUMIF(CalcDebit,INDEX(PkFixedA,367),CalcAmt)+SUMIF(CalcDebit2,INDEX(PkFixedA,367),CalcAmt2)))</f>
        <v/>
      </c>
      <c r="F951" s="19">
        <f>IF($B951="","",IF(367&gt;NFixedA,0,SUMIF(CalcCredit,INDEX(PkFixedA,367),CalcAmt)+SUMIF(CalcCredit2,INDEX(PkFixedA,367),CalcAmt2)))</f>
        <v/>
      </c>
      <c r="G951" s="20">
        <f>IF($B951="","",ROUND($E951-$F951,0))</f>
        <v/>
      </c>
      <c r="H951" s="17">
        <f>IF($B951="","",IF(ROUND($G951,0)&gt;0,"بدهکار",IF(ROUND($G951,0)&lt;0,"بستانکار","تسویه")))</f>
        <v/>
      </c>
    </row>
    <row r="952">
      <c r="A952" s="11">
        <f>IF($B952="","",943)</f>
        <v/>
      </c>
      <c r="B952" s="12">
        <f>IF(368&gt;NFixedA,"",IFERROR(IF(VLOOKUP(INDEX(PkFixedA,368),AcctTblA,4,0)="","(بدون نام)",VLOOKUP(INDEX(PkFixedA,368),AcctTblA,4,0)),"—"))</f>
        <v/>
      </c>
      <c r="C952" s="13">
        <f>IF($B952="","",IF(368&gt;NFixedA,"",INDEX(PkFixedA,368)))</f>
        <v/>
      </c>
      <c r="D952" s="12">
        <f>IF($B952="","","f")</f>
        <v/>
      </c>
      <c r="E952" s="14">
        <f>IF($B952="","",IF(368&gt;NFixedA,0,SUMIF(CalcDebit,INDEX(PkFixedA,368),CalcAmt)+SUMIF(CalcDebit2,INDEX(PkFixedA,368),CalcAmt2)))</f>
        <v/>
      </c>
      <c r="F952" s="14">
        <f>IF($B952="","",IF(368&gt;NFixedA,0,SUMIF(CalcCredit,INDEX(PkFixedA,368),CalcAmt)+SUMIF(CalcCredit2,INDEX(PkFixedA,368),CalcAmt2)))</f>
        <v/>
      </c>
      <c r="G952" s="15">
        <f>IF($B952="","",ROUND($E952-$F952,0))</f>
        <v/>
      </c>
      <c r="H952" s="12">
        <f>IF($B952="","",IF(ROUND($G952,0)&gt;0,"بدهکار",IF(ROUND($G952,0)&lt;0,"بستانکار","تسویه")))</f>
        <v/>
      </c>
    </row>
    <row r="953">
      <c r="A953" s="16">
        <f>IF($B953="","",944)</f>
        <v/>
      </c>
      <c r="B953" s="17">
        <f>IF(369&gt;NFixedA,"",IFERROR(IF(VLOOKUP(INDEX(PkFixedA,369),AcctTblA,4,0)="","(بدون نام)",VLOOKUP(INDEX(PkFixedA,369),AcctTblA,4,0)),"—"))</f>
        <v/>
      </c>
      <c r="C953" s="18">
        <f>IF($B953="","",IF(369&gt;NFixedA,"",INDEX(PkFixedA,369)))</f>
        <v/>
      </c>
      <c r="D953" s="17">
        <f>IF($B953="","","f")</f>
        <v/>
      </c>
      <c r="E953" s="19">
        <f>IF($B953="","",IF(369&gt;NFixedA,0,SUMIF(CalcDebit,INDEX(PkFixedA,369),CalcAmt)+SUMIF(CalcDebit2,INDEX(PkFixedA,369),CalcAmt2)))</f>
        <v/>
      </c>
      <c r="F953" s="19">
        <f>IF($B953="","",IF(369&gt;NFixedA,0,SUMIF(CalcCredit,INDEX(PkFixedA,369),CalcAmt)+SUMIF(CalcCredit2,INDEX(PkFixedA,369),CalcAmt2)))</f>
        <v/>
      </c>
      <c r="G953" s="20">
        <f>IF($B953="","",ROUND($E953-$F953,0))</f>
        <v/>
      </c>
      <c r="H953" s="17">
        <f>IF($B953="","",IF(ROUND($G953,0)&gt;0,"بدهکار",IF(ROUND($G953,0)&lt;0,"بستانکار","تسویه")))</f>
        <v/>
      </c>
    </row>
    <row r="954">
      <c r="A954" s="11">
        <f>IF($B954="","",945)</f>
        <v/>
      </c>
      <c r="B954" s="12">
        <f>IF(370&gt;NFixedA,"",IFERROR(IF(VLOOKUP(INDEX(PkFixedA,370),AcctTblA,4,0)="","(بدون نام)",VLOOKUP(INDEX(PkFixedA,370),AcctTblA,4,0)),"—"))</f>
        <v/>
      </c>
      <c r="C954" s="13">
        <f>IF($B954="","",IF(370&gt;NFixedA,"",INDEX(PkFixedA,370)))</f>
        <v/>
      </c>
      <c r="D954" s="12">
        <f>IF($B954="","","f")</f>
        <v/>
      </c>
      <c r="E954" s="14">
        <f>IF($B954="","",IF(370&gt;NFixedA,0,SUMIF(CalcDebit,INDEX(PkFixedA,370),CalcAmt)+SUMIF(CalcDebit2,INDEX(PkFixedA,370),CalcAmt2)))</f>
        <v/>
      </c>
      <c r="F954" s="14">
        <f>IF($B954="","",IF(370&gt;NFixedA,0,SUMIF(CalcCredit,INDEX(PkFixedA,370),CalcAmt)+SUMIF(CalcCredit2,INDEX(PkFixedA,370),CalcAmt2)))</f>
        <v/>
      </c>
      <c r="G954" s="15">
        <f>IF($B954="","",ROUND($E954-$F954,0))</f>
        <v/>
      </c>
      <c r="H954" s="12">
        <f>IF($B954="","",IF(ROUND($G954,0)&gt;0,"بدهکار",IF(ROUND($G954,0)&lt;0,"بستانکار","تسویه")))</f>
        <v/>
      </c>
    </row>
    <row r="955">
      <c r="A955" s="16">
        <f>IF($B955="","",946)</f>
        <v/>
      </c>
      <c r="B955" s="17">
        <f>IF(371&gt;NFixedA,"",IFERROR(IF(VLOOKUP(INDEX(PkFixedA,371),AcctTblA,4,0)="","(بدون نام)",VLOOKUP(INDEX(PkFixedA,371),AcctTblA,4,0)),"—"))</f>
        <v/>
      </c>
      <c r="C955" s="18">
        <f>IF($B955="","",IF(371&gt;NFixedA,"",INDEX(PkFixedA,371)))</f>
        <v/>
      </c>
      <c r="D955" s="17">
        <f>IF($B955="","","f")</f>
        <v/>
      </c>
      <c r="E955" s="19">
        <f>IF($B955="","",IF(371&gt;NFixedA,0,SUMIF(CalcDebit,INDEX(PkFixedA,371),CalcAmt)+SUMIF(CalcDebit2,INDEX(PkFixedA,371),CalcAmt2)))</f>
        <v/>
      </c>
      <c r="F955" s="19">
        <f>IF($B955="","",IF(371&gt;NFixedA,0,SUMIF(CalcCredit,INDEX(PkFixedA,371),CalcAmt)+SUMIF(CalcCredit2,INDEX(PkFixedA,371),CalcAmt2)))</f>
        <v/>
      </c>
      <c r="G955" s="20">
        <f>IF($B955="","",ROUND($E955-$F955,0))</f>
        <v/>
      </c>
      <c r="H955" s="17">
        <f>IF($B955="","",IF(ROUND($G955,0)&gt;0,"بدهکار",IF(ROUND($G955,0)&lt;0,"بستانکار","تسویه")))</f>
        <v/>
      </c>
    </row>
    <row r="956">
      <c r="A956" s="11">
        <f>IF($B956="","",947)</f>
        <v/>
      </c>
      <c r="B956" s="12">
        <f>IF(372&gt;NFixedA,"",IFERROR(IF(VLOOKUP(INDEX(PkFixedA,372),AcctTblA,4,0)="","(بدون نام)",VLOOKUP(INDEX(PkFixedA,372),AcctTblA,4,0)),"—"))</f>
        <v/>
      </c>
      <c r="C956" s="13">
        <f>IF($B956="","",IF(372&gt;NFixedA,"",INDEX(PkFixedA,372)))</f>
        <v/>
      </c>
      <c r="D956" s="12">
        <f>IF($B956="","","f")</f>
        <v/>
      </c>
      <c r="E956" s="14">
        <f>IF($B956="","",IF(372&gt;NFixedA,0,SUMIF(CalcDebit,INDEX(PkFixedA,372),CalcAmt)+SUMIF(CalcDebit2,INDEX(PkFixedA,372),CalcAmt2)))</f>
        <v/>
      </c>
      <c r="F956" s="14">
        <f>IF($B956="","",IF(372&gt;NFixedA,0,SUMIF(CalcCredit,INDEX(PkFixedA,372),CalcAmt)+SUMIF(CalcCredit2,INDEX(PkFixedA,372),CalcAmt2)))</f>
        <v/>
      </c>
      <c r="G956" s="15">
        <f>IF($B956="","",ROUND($E956-$F956,0))</f>
        <v/>
      </c>
      <c r="H956" s="12">
        <f>IF($B956="","",IF(ROUND($G956,0)&gt;0,"بدهکار",IF(ROUND($G956,0)&lt;0,"بستانکار","تسویه")))</f>
        <v/>
      </c>
    </row>
    <row r="957">
      <c r="A957" s="16">
        <f>IF($B957="","",948)</f>
        <v/>
      </c>
      <c r="B957" s="17">
        <f>IF(373&gt;NFixedA,"",IFERROR(IF(VLOOKUP(INDEX(PkFixedA,373),AcctTblA,4,0)="","(بدون نام)",VLOOKUP(INDEX(PkFixedA,373),AcctTblA,4,0)),"—"))</f>
        <v/>
      </c>
      <c r="C957" s="18">
        <f>IF($B957="","",IF(373&gt;NFixedA,"",INDEX(PkFixedA,373)))</f>
        <v/>
      </c>
      <c r="D957" s="17">
        <f>IF($B957="","","f")</f>
        <v/>
      </c>
      <c r="E957" s="19">
        <f>IF($B957="","",IF(373&gt;NFixedA,0,SUMIF(CalcDebit,INDEX(PkFixedA,373),CalcAmt)+SUMIF(CalcDebit2,INDEX(PkFixedA,373),CalcAmt2)))</f>
        <v/>
      </c>
      <c r="F957" s="19">
        <f>IF($B957="","",IF(373&gt;NFixedA,0,SUMIF(CalcCredit,INDEX(PkFixedA,373),CalcAmt)+SUMIF(CalcCredit2,INDEX(PkFixedA,373),CalcAmt2)))</f>
        <v/>
      </c>
      <c r="G957" s="20">
        <f>IF($B957="","",ROUND($E957-$F957,0))</f>
        <v/>
      </c>
      <c r="H957" s="17">
        <f>IF($B957="","",IF(ROUND($G957,0)&gt;0,"بدهکار",IF(ROUND($G957,0)&lt;0,"بستانکار","تسویه")))</f>
        <v/>
      </c>
    </row>
    <row r="958">
      <c r="A958" s="11">
        <f>IF($B958="","",949)</f>
        <v/>
      </c>
      <c r="B958" s="12">
        <f>IF(374&gt;NFixedA,"",IFERROR(IF(VLOOKUP(INDEX(PkFixedA,374),AcctTblA,4,0)="","(بدون نام)",VLOOKUP(INDEX(PkFixedA,374),AcctTblA,4,0)),"—"))</f>
        <v/>
      </c>
      <c r="C958" s="13">
        <f>IF($B958="","",IF(374&gt;NFixedA,"",INDEX(PkFixedA,374)))</f>
        <v/>
      </c>
      <c r="D958" s="12">
        <f>IF($B958="","","f")</f>
        <v/>
      </c>
      <c r="E958" s="14">
        <f>IF($B958="","",IF(374&gt;NFixedA,0,SUMIF(CalcDebit,INDEX(PkFixedA,374),CalcAmt)+SUMIF(CalcDebit2,INDEX(PkFixedA,374),CalcAmt2)))</f>
        <v/>
      </c>
      <c r="F958" s="14">
        <f>IF($B958="","",IF(374&gt;NFixedA,0,SUMIF(CalcCredit,INDEX(PkFixedA,374),CalcAmt)+SUMIF(CalcCredit2,INDEX(PkFixedA,374),CalcAmt2)))</f>
        <v/>
      </c>
      <c r="G958" s="15">
        <f>IF($B958="","",ROUND($E958-$F958,0))</f>
        <v/>
      </c>
      <c r="H958" s="12">
        <f>IF($B958="","",IF(ROUND($G958,0)&gt;0,"بدهکار",IF(ROUND($G958,0)&lt;0,"بستانکار","تسویه")))</f>
        <v/>
      </c>
    </row>
    <row r="959">
      <c r="A959" s="16">
        <f>IF($B959="","",950)</f>
        <v/>
      </c>
      <c r="B959" s="17">
        <f>IF(375&gt;NFixedA,"",IFERROR(IF(VLOOKUP(INDEX(PkFixedA,375),AcctTblA,4,0)="","(بدون نام)",VLOOKUP(INDEX(PkFixedA,375),AcctTblA,4,0)),"—"))</f>
        <v/>
      </c>
      <c r="C959" s="18">
        <f>IF($B959="","",IF(375&gt;NFixedA,"",INDEX(PkFixedA,375)))</f>
        <v/>
      </c>
      <c r="D959" s="17">
        <f>IF($B959="","","f")</f>
        <v/>
      </c>
      <c r="E959" s="19">
        <f>IF($B959="","",IF(375&gt;NFixedA,0,SUMIF(CalcDebit,INDEX(PkFixedA,375),CalcAmt)+SUMIF(CalcDebit2,INDEX(PkFixedA,375),CalcAmt2)))</f>
        <v/>
      </c>
      <c r="F959" s="19">
        <f>IF($B959="","",IF(375&gt;NFixedA,0,SUMIF(CalcCredit,INDEX(PkFixedA,375),CalcAmt)+SUMIF(CalcCredit2,INDEX(PkFixedA,375),CalcAmt2)))</f>
        <v/>
      </c>
      <c r="G959" s="20">
        <f>IF($B959="","",ROUND($E959-$F959,0))</f>
        <v/>
      </c>
      <c r="H959" s="17">
        <f>IF($B959="","",IF(ROUND($G959,0)&gt;0,"بدهکار",IF(ROUND($G959,0)&lt;0,"بستانکار","تسویه")))</f>
        <v/>
      </c>
    </row>
    <row r="960">
      <c r="A960" s="11">
        <f>IF($B960="","",951)</f>
        <v/>
      </c>
      <c r="B960" s="12">
        <f>IF(376&gt;NFixedA,"",IFERROR(IF(VLOOKUP(INDEX(PkFixedA,376),AcctTblA,4,0)="","(بدون نام)",VLOOKUP(INDEX(PkFixedA,376),AcctTblA,4,0)),"—"))</f>
        <v/>
      </c>
      <c r="C960" s="13">
        <f>IF($B960="","",IF(376&gt;NFixedA,"",INDEX(PkFixedA,376)))</f>
        <v/>
      </c>
      <c r="D960" s="12">
        <f>IF($B960="","","f")</f>
        <v/>
      </c>
      <c r="E960" s="14">
        <f>IF($B960="","",IF(376&gt;NFixedA,0,SUMIF(CalcDebit,INDEX(PkFixedA,376),CalcAmt)+SUMIF(CalcDebit2,INDEX(PkFixedA,376),CalcAmt2)))</f>
        <v/>
      </c>
      <c r="F960" s="14">
        <f>IF($B960="","",IF(376&gt;NFixedA,0,SUMIF(CalcCredit,INDEX(PkFixedA,376),CalcAmt)+SUMIF(CalcCredit2,INDEX(PkFixedA,376),CalcAmt2)))</f>
        <v/>
      </c>
      <c r="G960" s="15">
        <f>IF($B960="","",ROUND($E960-$F960,0))</f>
        <v/>
      </c>
      <c r="H960" s="12">
        <f>IF($B960="","",IF(ROUND($G960,0)&gt;0,"بدهکار",IF(ROUND($G960,0)&lt;0,"بستانکار","تسویه")))</f>
        <v/>
      </c>
    </row>
    <row r="961">
      <c r="A961" s="16">
        <f>IF($B961="","",952)</f>
        <v/>
      </c>
      <c r="B961" s="17">
        <f>IF(377&gt;NFixedA,"",IFERROR(IF(VLOOKUP(INDEX(PkFixedA,377),AcctTblA,4,0)="","(بدون نام)",VLOOKUP(INDEX(PkFixedA,377),AcctTblA,4,0)),"—"))</f>
        <v/>
      </c>
      <c r="C961" s="18">
        <f>IF($B961="","",IF(377&gt;NFixedA,"",INDEX(PkFixedA,377)))</f>
        <v/>
      </c>
      <c r="D961" s="17">
        <f>IF($B961="","","f")</f>
        <v/>
      </c>
      <c r="E961" s="19">
        <f>IF($B961="","",IF(377&gt;NFixedA,0,SUMIF(CalcDebit,INDEX(PkFixedA,377),CalcAmt)+SUMIF(CalcDebit2,INDEX(PkFixedA,377),CalcAmt2)))</f>
        <v/>
      </c>
      <c r="F961" s="19">
        <f>IF($B961="","",IF(377&gt;NFixedA,0,SUMIF(CalcCredit,INDEX(PkFixedA,377),CalcAmt)+SUMIF(CalcCredit2,INDEX(PkFixedA,377),CalcAmt2)))</f>
        <v/>
      </c>
      <c r="G961" s="20">
        <f>IF($B961="","",ROUND($E961-$F961,0))</f>
        <v/>
      </c>
      <c r="H961" s="17">
        <f>IF($B961="","",IF(ROUND($G961,0)&gt;0,"بدهکار",IF(ROUND($G961,0)&lt;0,"بستانکار","تسویه")))</f>
        <v/>
      </c>
    </row>
    <row r="962">
      <c r="A962" s="11">
        <f>IF($B962="","",953)</f>
        <v/>
      </c>
      <c r="B962" s="12">
        <f>IF(378&gt;NFixedA,"",IFERROR(IF(VLOOKUP(INDEX(PkFixedA,378),AcctTblA,4,0)="","(بدون نام)",VLOOKUP(INDEX(PkFixedA,378),AcctTblA,4,0)),"—"))</f>
        <v/>
      </c>
      <c r="C962" s="13">
        <f>IF($B962="","",IF(378&gt;NFixedA,"",INDEX(PkFixedA,378)))</f>
        <v/>
      </c>
      <c r="D962" s="12">
        <f>IF($B962="","","f")</f>
        <v/>
      </c>
      <c r="E962" s="14">
        <f>IF($B962="","",IF(378&gt;NFixedA,0,SUMIF(CalcDebit,INDEX(PkFixedA,378),CalcAmt)+SUMIF(CalcDebit2,INDEX(PkFixedA,378),CalcAmt2)))</f>
        <v/>
      </c>
      <c r="F962" s="14">
        <f>IF($B962="","",IF(378&gt;NFixedA,0,SUMIF(CalcCredit,INDEX(PkFixedA,378),CalcAmt)+SUMIF(CalcCredit2,INDEX(PkFixedA,378),CalcAmt2)))</f>
        <v/>
      </c>
      <c r="G962" s="15">
        <f>IF($B962="","",ROUND($E962-$F962,0))</f>
        <v/>
      </c>
      <c r="H962" s="12">
        <f>IF($B962="","",IF(ROUND($G962,0)&gt;0,"بدهکار",IF(ROUND($G962,0)&lt;0,"بستانکار","تسویه")))</f>
        <v/>
      </c>
    </row>
    <row r="963">
      <c r="A963" s="16">
        <f>IF($B963="","",954)</f>
        <v/>
      </c>
      <c r="B963" s="17">
        <f>IF(379&gt;NFixedA,"",IFERROR(IF(VLOOKUP(INDEX(PkFixedA,379),AcctTblA,4,0)="","(بدون نام)",VLOOKUP(INDEX(PkFixedA,379),AcctTblA,4,0)),"—"))</f>
        <v/>
      </c>
      <c r="C963" s="18">
        <f>IF($B963="","",IF(379&gt;NFixedA,"",INDEX(PkFixedA,379)))</f>
        <v/>
      </c>
      <c r="D963" s="17">
        <f>IF($B963="","","f")</f>
        <v/>
      </c>
      <c r="E963" s="19">
        <f>IF($B963="","",IF(379&gt;NFixedA,0,SUMIF(CalcDebit,INDEX(PkFixedA,379),CalcAmt)+SUMIF(CalcDebit2,INDEX(PkFixedA,379),CalcAmt2)))</f>
        <v/>
      </c>
      <c r="F963" s="19">
        <f>IF($B963="","",IF(379&gt;NFixedA,0,SUMIF(CalcCredit,INDEX(PkFixedA,379),CalcAmt)+SUMIF(CalcCredit2,INDEX(PkFixedA,379),CalcAmt2)))</f>
        <v/>
      </c>
      <c r="G963" s="20">
        <f>IF($B963="","",ROUND($E963-$F963,0))</f>
        <v/>
      </c>
      <c r="H963" s="17">
        <f>IF($B963="","",IF(ROUND($G963,0)&gt;0,"بدهکار",IF(ROUND($G963,0)&lt;0,"بستانکار","تسویه")))</f>
        <v/>
      </c>
    </row>
    <row r="964">
      <c r="A964" s="11">
        <f>IF($B964="","",955)</f>
        <v/>
      </c>
      <c r="B964" s="12">
        <f>IF(380&gt;NFixedA,"",IFERROR(IF(VLOOKUP(INDEX(PkFixedA,380),AcctTblA,4,0)="","(بدون نام)",VLOOKUP(INDEX(PkFixedA,380),AcctTblA,4,0)),"—"))</f>
        <v/>
      </c>
      <c r="C964" s="13">
        <f>IF($B964="","",IF(380&gt;NFixedA,"",INDEX(PkFixedA,380)))</f>
        <v/>
      </c>
      <c r="D964" s="12">
        <f>IF($B964="","","f")</f>
        <v/>
      </c>
      <c r="E964" s="14">
        <f>IF($B964="","",IF(380&gt;NFixedA,0,SUMIF(CalcDebit,INDEX(PkFixedA,380),CalcAmt)+SUMIF(CalcDebit2,INDEX(PkFixedA,380),CalcAmt2)))</f>
        <v/>
      </c>
      <c r="F964" s="14">
        <f>IF($B964="","",IF(380&gt;NFixedA,0,SUMIF(CalcCredit,INDEX(PkFixedA,380),CalcAmt)+SUMIF(CalcCredit2,INDEX(PkFixedA,380),CalcAmt2)))</f>
        <v/>
      </c>
      <c r="G964" s="15">
        <f>IF($B964="","",ROUND($E964-$F964,0))</f>
        <v/>
      </c>
      <c r="H964" s="12">
        <f>IF($B964="","",IF(ROUND($G964,0)&gt;0,"بدهکار",IF(ROUND($G964,0)&lt;0,"بستانکار","تسویه")))</f>
        <v/>
      </c>
    </row>
    <row r="965">
      <c r="A965" s="16">
        <f>IF($B965="","",956)</f>
        <v/>
      </c>
      <c r="B965" s="17">
        <f>IF(381&gt;NFixedA,"",IFERROR(IF(VLOOKUP(INDEX(PkFixedA,381),AcctTblA,4,0)="","(بدون نام)",VLOOKUP(INDEX(PkFixedA,381),AcctTblA,4,0)),"—"))</f>
        <v/>
      </c>
      <c r="C965" s="18">
        <f>IF($B965="","",IF(381&gt;NFixedA,"",INDEX(PkFixedA,381)))</f>
        <v/>
      </c>
      <c r="D965" s="17">
        <f>IF($B965="","","f")</f>
        <v/>
      </c>
      <c r="E965" s="19">
        <f>IF($B965="","",IF(381&gt;NFixedA,0,SUMIF(CalcDebit,INDEX(PkFixedA,381),CalcAmt)+SUMIF(CalcDebit2,INDEX(PkFixedA,381),CalcAmt2)))</f>
        <v/>
      </c>
      <c r="F965" s="19">
        <f>IF($B965="","",IF(381&gt;NFixedA,0,SUMIF(CalcCredit,INDEX(PkFixedA,381),CalcAmt)+SUMIF(CalcCredit2,INDEX(PkFixedA,381),CalcAmt2)))</f>
        <v/>
      </c>
      <c r="G965" s="20">
        <f>IF($B965="","",ROUND($E965-$F965,0))</f>
        <v/>
      </c>
      <c r="H965" s="17">
        <f>IF($B965="","",IF(ROUND($G965,0)&gt;0,"بدهکار",IF(ROUND($G965,0)&lt;0,"بستانکار","تسویه")))</f>
        <v/>
      </c>
    </row>
    <row r="966">
      <c r="A966" s="11">
        <f>IF($B966="","",957)</f>
        <v/>
      </c>
      <c r="B966" s="12">
        <f>IF(382&gt;NFixedA,"",IFERROR(IF(VLOOKUP(INDEX(PkFixedA,382),AcctTblA,4,0)="","(بدون نام)",VLOOKUP(INDEX(PkFixedA,382),AcctTblA,4,0)),"—"))</f>
        <v/>
      </c>
      <c r="C966" s="13">
        <f>IF($B966="","",IF(382&gt;NFixedA,"",INDEX(PkFixedA,382)))</f>
        <v/>
      </c>
      <c r="D966" s="12">
        <f>IF($B966="","","f")</f>
        <v/>
      </c>
      <c r="E966" s="14">
        <f>IF($B966="","",IF(382&gt;NFixedA,0,SUMIF(CalcDebit,INDEX(PkFixedA,382),CalcAmt)+SUMIF(CalcDebit2,INDEX(PkFixedA,382),CalcAmt2)))</f>
        <v/>
      </c>
      <c r="F966" s="14">
        <f>IF($B966="","",IF(382&gt;NFixedA,0,SUMIF(CalcCredit,INDEX(PkFixedA,382),CalcAmt)+SUMIF(CalcCredit2,INDEX(PkFixedA,382),CalcAmt2)))</f>
        <v/>
      </c>
      <c r="G966" s="15">
        <f>IF($B966="","",ROUND($E966-$F966,0))</f>
        <v/>
      </c>
      <c r="H966" s="12">
        <f>IF($B966="","",IF(ROUND($G966,0)&gt;0,"بدهکار",IF(ROUND($G966,0)&lt;0,"بستانکار","تسویه")))</f>
        <v/>
      </c>
    </row>
    <row r="967">
      <c r="A967" s="16">
        <f>IF($B967="","",958)</f>
        <v/>
      </c>
      <c r="B967" s="17">
        <f>IF(383&gt;NFixedA,"",IFERROR(IF(VLOOKUP(INDEX(PkFixedA,383),AcctTblA,4,0)="","(بدون نام)",VLOOKUP(INDEX(PkFixedA,383),AcctTblA,4,0)),"—"))</f>
        <v/>
      </c>
      <c r="C967" s="18">
        <f>IF($B967="","",IF(383&gt;NFixedA,"",INDEX(PkFixedA,383)))</f>
        <v/>
      </c>
      <c r="D967" s="17">
        <f>IF($B967="","","f")</f>
        <v/>
      </c>
      <c r="E967" s="19">
        <f>IF($B967="","",IF(383&gt;NFixedA,0,SUMIF(CalcDebit,INDEX(PkFixedA,383),CalcAmt)+SUMIF(CalcDebit2,INDEX(PkFixedA,383),CalcAmt2)))</f>
        <v/>
      </c>
      <c r="F967" s="19">
        <f>IF($B967="","",IF(383&gt;NFixedA,0,SUMIF(CalcCredit,INDEX(PkFixedA,383),CalcAmt)+SUMIF(CalcCredit2,INDEX(PkFixedA,383),CalcAmt2)))</f>
        <v/>
      </c>
      <c r="G967" s="20">
        <f>IF($B967="","",ROUND($E967-$F967,0))</f>
        <v/>
      </c>
      <c r="H967" s="17">
        <f>IF($B967="","",IF(ROUND($G967,0)&gt;0,"بدهکار",IF(ROUND($G967,0)&lt;0,"بستانکار","تسویه")))</f>
        <v/>
      </c>
    </row>
    <row r="968">
      <c r="A968" s="11">
        <f>IF($B968="","",959)</f>
        <v/>
      </c>
      <c r="B968" s="12">
        <f>IF(384&gt;NFixedA,"",IFERROR(IF(VLOOKUP(INDEX(PkFixedA,384),AcctTblA,4,0)="","(بدون نام)",VLOOKUP(INDEX(PkFixedA,384),AcctTblA,4,0)),"—"))</f>
        <v/>
      </c>
      <c r="C968" s="13">
        <f>IF($B968="","",IF(384&gt;NFixedA,"",INDEX(PkFixedA,384)))</f>
        <v/>
      </c>
      <c r="D968" s="12">
        <f>IF($B968="","","f")</f>
        <v/>
      </c>
      <c r="E968" s="14">
        <f>IF($B968="","",IF(384&gt;NFixedA,0,SUMIF(CalcDebit,INDEX(PkFixedA,384),CalcAmt)+SUMIF(CalcDebit2,INDEX(PkFixedA,384),CalcAmt2)))</f>
        <v/>
      </c>
      <c r="F968" s="14">
        <f>IF($B968="","",IF(384&gt;NFixedA,0,SUMIF(CalcCredit,INDEX(PkFixedA,384),CalcAmt)+SUMIF(CalcCredit2,INDEX(PkFixedA,384),CalcAmt2)))</f>
        <v/>
      </c>
      <c r="G968" s="15">
        <f>IF($B968="","",ROUND($E968-$F968,0))</f>
        <v/>
      </c>
      <c r="H968" s="12">
        <f>IF($B968="","",IF(ROUND($G968,0)&gt;0,"بدهکار",IF(ROUND($G968,0)&lt;0,"بستانکار","تسویه")))</f>
        <v/>
      </c>
    </row>
    <row r="969">
      <c r="A969" s="16">
        <f>IF($B969="","",960)</f>
        <v/>
      </c>
      <c r="B969" s="17">
        <f>IF(385&gt;NFixedA,"",IFERROR(IF(VLOOKUP(INDEX(PkFixedA,385),AcctTblA,4,0)="","(بدون نام)",VLOOKUP(INDEX(PkFixedA,385),AcctTblA,4,0)),"—"))</f>
        <v/>
      </c>
      <c r="C969" s="18">
        <f>IF($B969="","",IF(385&gt;NFixedA,"",INDEX(PkFixedA,385)))</f>
        <v/>
      </c>
      <c r="D969" s="17">
        <f>IF($B969="","","f")</f>
        <v/>
      </c>
      <c r="E969" s="19">
        <f>IF($B969="","",IF(385&gt;NFixedA,0,SUMIF(CalcDebit,INDEX(PkFixedA,385),CalcAmt)+SUMIF(CalcDebit2,INDEX(PkFixedA,385),CalcAmt2)))</f>
        <v/>
      </c>
      <c r="F969" s="19">
        <f>IF($B969="","",IF(385&gt;NFixedA,0,SUMIF(CalcCredit,INDEX(PkFixedA,385),CalcAmt)+SUMIF(CalcCredit2,INDEX(PkFixedA,385),CalcAmt2)))</f>
        <v/>
      </c>
      <c r="G969" s="20">
        <f>IF($B969="","",ROUND($E969-$F969,0))</f>
        <v/>
      </c>
      <c r="H969" s="17">
        <f>IF($B969="","",IF(ROUND($G969,0)&gt;0,"بدهکار",IF(ROUND($G969,0)&lt;0,"بستانکار","تسویه")))</f>
        <v/>
      </c>
    </row>
    <row r="970">
      <c r="A970" s="11">
        <f>IF($B970="","",961)</f>
        <v/>
      </c>
      <c r="B970" s="12">
        <f>IF(386&gt;NFixedA,"",IFERROR(IF(VLOOKUP(INDEX(PkFixedA,386),AcctTblA,4,0)="","(بدون نام)",VLOOKUP(INDEX(PkFixedA,386),AcctTblA,4,0)),"—"))</f>
        <v/>
      </c>
      <c r="C970" s="13">
        <f>IF($B970="","",IF(386&gt;NFixedA,"",INDEX(PkFixedA,386)))</f>
        <v/>
      </c>
      <c r="D970" s="12">
        <f>IF($B970="","","f")</f>
        <v/>
      </c>
      <c r="E970" s="14">
        <f>IF($B970="","",IF(386&gt;NFixedA,0,SUMIF(CalcDebit,INDEX(PkFixedA,386),CalcAmt)+SUMIF(CalcDebit2,INDEX(PkFixedA,386),CalcAmt2)))</f>
        <v/>
      </c>
      <c r="F970" s="14">
        <f>IF($B970="","",IF(386&gt;NFixedA,0,SUMIF(CalcCredit,INDEX(PkFixedA,386),CalcAmt)+SUMIF(CalcCredit2,INDEX(PkFixedA,386),CalcAmt2)))</f>
        <v/>
      </c>
      <c r="G970" s="15">
        <f>IF($B970="","",ROUND($E970-$F970,0))</f>
        <v/>
      </c>
      <c r="H970" s="12">
        <f>IF($B970="","",IF(ROUND($G970,0)&gt;0,"بدهکار",IF(ROUND($G970,0)&lt;0,"بستانکار","تسویه")))</f>
        <v/>
      </c>
    </row>
    <row r="971">
      <c r="A971" s="16">
        <f>IF($B971="","",962)</f>
        <v/>
      </c>
      <c r="B971" s="17">
        <f>IF(387&gt;NFixedA,"",IFERROR(IF(VLOOKUP(INDEX(PkFixedA,387),AcctTblA,4,0)="","(بدون نام)",VLOOKUP(INDEX(PkFixedA,387),AcctTblA,4,0)),"—"))</f>
        <v/>
      </c>
      <c r="C971" s="18">
        <f>IF($B971="","",IF(387&gt;NFixedA,"",INDEX(PkFixedA,387)))</f>
        <v/>
      </c>
      <c r="D971" s="17">
        <f>IF($B971="","","f")</f>
        <v/>
      </c>
      <c r="E971" s="19">
        <f>IF($B971="","",IF(387&gt;NFixedA,0,SUMIF(CalcDebit,INDEX(PkFixedA,387),CalcAmt)+SUMIF(CalcDebit2,INDEX(PkFixedA,387),CalcAmt2)))</f>
        <v/>
      </c>
      <c r="F971" s="19">
        <f>IF($B971="","",IF(387&gt;NFixedA,0,SUMIF(CalcCredit,INDEX(PkFixedA,387),CalcAmt)+SUMIF(CalcCredit2,INDEX(PkFixedA,387),CalcAmt2)))</f>
        <v/>
      </c>
      <c r="G971" s="20">
        <f>IF($B971="","",ROUND($E971-$F971,0))</f>
        <v/>
      </c>
      <c r="H971" s="17">
        <f>IF($B971="","",IF(ROUND($G971,0)&gt;0,"بدهکار",IF(ROUND($G971,0)&lt;0,"بستانکار","تسویه")))</f>
        <v/>
      </c>
    </row>
    <row r="972">
      <c r="A972" s="11">
        <f>IF($B972="","",963)</f>
        <v/>
      </c>
      <c r="B972" s="12">
        <f>IF(388&gt;NFixedA,"",IFERROR(IF(VLOOKUP(INDEX(PkFixedA,388),AcctTblA,4,0)="","(بدون نام)",VLOOKUP(INDEX(PkFixedA,388),AcctTblA,4,0)),"—"))</f>
        <v/>
      </c>
      <c r="C972" s="13">
        <f>IF($B972="","",IF(388&gt;NFixedA,"",INDEX(PkFixedA,388)))</f>
        <v/>
      </c>
      <c r="D972" s="12">
        <f>IF($B972="","","f")</f>
        <v/>
      </c>
      <c r="E972" s="14">
        <f>IF($B972="","",IF(388&gt;NFixedA,0,SUMIF(CalcDebit,INDEX(PkFixedA,388),CalcAmt)+SUMIF(CalcDebit2,INDEX(PkFixedA,388),CalcAmt2)))</f>
        <v/>
      </c>
      <c r="F972" s="14">
        <f>IF($B972="","",IF(388&gt;NFixedA,0,SUMIF(CalcCredit,INDEX(PkFixedA,388),CalcAmt)+SUMIF(CalcCredit2,INDEX(PkFixedA,388),CalcAmt2)))</f>
        <v/>
      </c>
      <c r="G972" s="15">
        <f>IF($B972="","",ROUND($E972-$F972,0))</f>
        <v/>
      </c>
      <c r="H972" s="12">
        <f>IF($B972="","",IF(ROUND($G972,0)&gt;0,"بدهکار",IF(ROUND($G972,0)&lt;0,"بستانکار","تسویه")))</f>
        <v/>
      </c>
    </row>
    <row r="973">
      <c r="A973" s="16">
        <f>IF($B973="","",964)</f>
        <v/>
      </c>
      <c r="B973" s="17">
        <f>IF(389&gt;NFixedA,"",IFERROR(IF(VLOOKUP(INDEX(PkFixedA,389),AcctTblA,4,0)="","(بدون نام)",VLOOKUP(INDEX(PkFixedA,389),AcctTblA,4,0)),"—"))</f>
        <v/>
      </c>
      <c r="C973" s="18">
        <f>IF($B973="","",IF(389&gt;NFixedA,"",INDEX(PkFixedA,389)))</f>
        <v/>
      </c>
      <c r="D973" s="17">
        <f>IF($B973="","","f")</f>
        <v/>
      </c>
      <c r="E973" s="19">
        <f>IF($B973="","",IF(389&gt;NFixedA,0,SUMIF(CalcDebit,INDEX(PkFixedA,389),CalcAmt)+SUMIF(CalcDebit2,INDEX(PkFixedA,389),CalcAmt2)))</f>
        <v/>
      </c>
      <c r="F973" s="19">
        <f>IF($B973="","",IF(389&gt;NFixedA,0,SUMIF(CalcCredit,INDEX(PkFixedA,389),CalcAmt)+SUMIF(CalcCredit2,INDEX(PkFixedA,389),CalcAmt2)))</f>
        <v/>
      </c>
      <c r="G973" s="20">
        <f>IF($B973="","",ROUND($E973-$F973,0))</f>
        <v/>
      </c>
      <c r="H973" s="17">
        <f>IF($B973="","",IF(ROUND($G973,0)&gt;0,"بدهکار",IF(ROUND($G973,0)&lt;0,"بستانکار","تسویه")))</f>
        <v/>
      </c>
    </row>
    <row r="974">
      <c r="A974" s="11">
        <f>IF($B974="","",965)</f>
        <v/>
      </c>
      <c r="B974" s="12">
        <f>IF(390&gt;NFixedA,"",IFERROR(IF(VLOOKUP(INDEX(PkFixedA,390),AcctTblA,4,0)="","(بدون نام)",VLOOKUP(INDEX(PkFixedA,390),AcctTblA,4,0)),"—"))</f>
        <v/>
      </c>
      <c r="C974" s="13">
        <f>IF($B974="","",IF(390&gt;NFixedA,"",INDEX(PkFixedA,390)))</f>
        <v/>
      </c>
      <c r="D974" s="12">
        <f>IF($B974="","","f")</f>
        <v/>
      </c>
      <c r="E974" s="14">
        <f>IF($B974="","",IF(390&gt;NFixedA,0,SUMIF(CalcDebit,INDEX(PkFixedA,390),CalcAmt)+SUMIF(CalcDebit2,INDEX(PkFixedA,390),CalcAmt2)))</f>
        <v/>
      </c>
      <c r="F974" s="14">
        <f>IF($B974="","",IF(390&gt;NFixedA,0,SUMIF(CalcCredit,INDEX(PkFixedA,390),CalcAmt)+SUMIF(CalcCredit2,INDEX(PkFixedA,390),CalcAmt2)))</f>
        <v/>
      </c>
      <c r="G974" s="15">
        <f>IF($B974="","",ROUND($E974-$F974,0))</f>
        <v/>
      </c>
      <c r="H974" s="12">
        <f>IF($B974="","",IF(ROUND($G974,0)&gt;0,"بدهکار",IF(ROUND($G974,0)&lt;0,"بستانکار","تسویه")))</f>
        <v/>
      </c>
    </row>
    <row r="975">
      <c r="A975" s="16">
        <f>IF($B975="","",966)</f>
        <v/>
      </c>
      <c r="B975" s="17">
        <f>IF(391&gt;NFixedA,"",IFERROR(IF(VLOOKUP(INDEX(PkFixedA,391),AcctTblA,4,0)="","(بدون نام)",VLOOKUP(INDEX(PkFixedA,391),AcctTblA,4,0)),"—"))</f>
        <v/>
      </c>
      <c r="C975" s="18">
        <f>IF($B975="","",IF(391&gt;NFixedA,"",INDEX(PkFixedA,391)))</f>
        <v/>
      </c>
      <c r="D975" s="17">
        <f>IF($B975="","","f")</f>
        <v/>
      </c>
      <c r="E975" s="19">
        <f>IF($B975="","",IF(391&gt;NFixedA,0,SUMIF(CalcDebit,INDEX(PkFixedA,391),CalcAmt)+SUMIF(CalcDebit2,INDEX(PkFixedA,391),CalcAmt2)))</f>
        <v/>
      </c>
      <c r="F975" s="19">
        <f>IF($B975="","",IF(391&gt;NFixedA,0,SUMIF(CalcCredit,INDEX(PkFixedA,391),CalcAmt)+SUMIF(CalcCredit2,INDEX(PkFixedA,391),CalcAmt2)))</f>
        <v/>
      </c>
      <c r="G975" s="20">
        <f>IF($B975="","",ROUND($E975-$F975,0))</f>
        <v/>
      </c>
      <c r="H975" s="17">
        <f>IF($B975="","",IF(ROUND($G975,0)&gt;0,"بدهکار",IF(ROUND($G975,0)&lt;0,"بستانکار","تسویه")))</f>
        <v/>
      </c>
    </row>
    <row r="976">
      <c r="A976" s="11">
        <f>IF($B976="","",967)</f>
        <v/>
      </c>
      <c r="B976" s="12">
        <f>IF(392&gt;NFixedA,"",IFERROR(IF(VLOOKUP(INDEX(PkFixedA,392),AcctTblA,4,0)="","(بدون نام)",VLOOKUP(INDEX(PkFixedA,392),AcctTblA,4,0)),"—"))</f>
        <v/>
      </c>
      <c r="C976" s="13">
        <f>IF($B976="","",IF(392&gt;NFixedA,"",INDEX(PkFixedA,392)))</f>
        <v/>
      </c>
      <c r="D976" s="12">
        <f>IF($B976="","","f")</f>
        <v/>
      </c>
      <c r="E976" s="14">
        <f>IF($B976="","",IF(392&gt;NFixedA,0,SUMIF(CalcDebit,INDEX(PkFixedA,392),CalcAmt)+SUMIF(CalcDebit2,INDEX(PkFixedA,392),CalcAmt2)))</f>
        <v/>
      </c>
      <c r="F976" s="14">
        <f>IF($B976="","",IF(392&gt;NFixedA,0,SUMIF(CalcCredit,INDEX(PkFixedA,392),CalcAmt)+SUMIF(CalcCredit2,INDEX(PkFixedA,392),CalcAmt2)))</f>
        <v/>
      </c>
      <c r="G976" s="15">
        <f>IF($B976="","",ROUND($E976-$F976,0))</f>
        <v/>
      </c>
      <c r="H976" s="12">
        <f>IF($B976="","",IF(ROUND($G976,0)&gt;0,"بدهکار",IF(ROUND($G976,0)&lt;0,"بستانکار","تسویه")))</f>
        <v/>
      </c>
    </row>
    <row r="977">
      <c r="A977" s="16">
        <f>IF($B977="","",968)</f>
        <v/>
      </c>
      <c r="B977" s="17">
        <f>IF(393&gt;NFixedA,"",IFERROR(IF(VLOOKUP(INDEX(PkFixedA,393),AcctTblA,4,0)="","(بدون نام)",VLOOKUP(INDEX(PkFixedA,393),AcctTblA,4,0)),"—"))</f>
        <v/>
      </c>
      <c r="C977" s="18">
        <f>IF($B977="","",IF(393&gt;NFixedA,"",INDEX(PkFixedA,393)))</f>
        <v/>
      </c>
      <c r="D977" s="17">
        <f>IF($B977="","","f")</f>
        <v/>
      </c>
      <c r="E977" s="19">
        <f>IF($B977="","",IF(393&gt;NFixedA,0,SUMIF(CalcDebit,INDEX(PkFixedA,393),CalcAmt)+SUMIF(CalcDebit2,INDEX(PkFixedA,393),CalcAmt2)))</f>
        <v/>
      </c>
      <c r="F977" s="19">
        <f>IF($B977="","",IF(393&gt;NFixedA,0,SUMIF(CalcCredit,INDEX(PkFixedA,393),CalcAmt)+SUMIF(CalcCredit2,INDEX(PkFixedA,393),CalcAmt2)))</f>
        <v/>
      </c>
      <c r="G977" s="20">
        <f>IF($B977="","",ROUND($E977-$F977,0))</f>
        <v/>
      </c>
      <c r="H977" s="17">
        <f>IF($B977="","",IF(ROUND($G977,0)&gt;0,"بدهکار",IF(ROUND($G977,0)&lt;0,"بستانکار","تسویه")))</f>
        <v/>
      </c>
    </row>
    <row r="978">
      <c r="A978" s="11">
        <f>IF($B978="","",969)</f>
        <v/>
      </c>
      <c r="B978" s="12">
        <f>IF(394&gt;NFixedA,"",IFERROR(IF(VLOOKUP(INDEX(PkFixedA,394),AcctTblA,4,0)="","(بدون نام)",VLOOKUP(INDEX(PkFixedA,394),AcctTblA,4,0)),"—"))</f>
        <v/>
      </c>
      <c r="C978" s="13">
        <f>IF($B978="","",IF(394&gt;NFixedA,"",INDEX(PkFixedA,394)))</f>
        <v/>
      </c>
      <c r="D978" s="12">
        <f>IF($B978="","","f")</f>
        <v/>
      </c>
      <c r="E978" s="14">
        <f>IF($B978="","",IF(394&gt;NFixedA,0,SUMIF(CalcDebit,INDEX(PkFixedA,394),CalcAmt)+SUMIF(CalcDebit2,INDEX(PkFixedA,394),CalcAmt2)))</f>
        <v/>
      </c>
      <c r="F978" s="14">
        <f>IF($B978="","",IF(394&gt;NFixedA,0,SUMIF(CalcCredit,INDEX(PkFixedA,394),CalcAmt)+SUMIF(CalcCredit2,INDEX(PkFixedA,394),CalcAmt2)))</f>
        <v/>
      </c>
      <c r="G978" s="15">
        <f>IF($B978="","",ROUND($E978-$F978,0))</f>
        <v/>
      </c>
      <c r="H978" s="12">
        <f>IF($B978="","",IF(ROUND($G978,0)&gt;0,"بدهکار",IF(ROUND($G978,0)&lt;0,"بستانکار","تسویه")))</f>
        <v/>
      </c>
    </row>
    <row r="979">
      <c r="A979" s="16">
        <f>IF($B979="","",970)</f>
        <v/>
      </c>
      <c r="B979" s="17">
        <f>IF(395&gt;NFixedA,"",IFERROR(IF(VLOOKUP(INDEX(PkFixedA,395),AcctTblA,4,0)="","(بدون نام)",VLOOKUP(INDEX(PkFixedA,395),AcctTblA,4,0)),"—"))</f>
        <v/>
      </c>
      <c r="C979" s="18">
        <f>IF($B979="","",IF(395&gt;NFixedA,"",INDEX(PkFixedA,395)))</f>
        <v/>
      </c>
      <c r="D979" s="17">
        <f>IF($B979="","","f")</f>
        <v/>
      </c>
      <c r="E979" s="19">
        <f>IF($B979="","",IF(395&gt;NFixedA,0,SUMIF(CalcDebit,INDEX(PkFixedA,395),CalcAmt)+SUMIF(CalcDebit2,INDEX(PkFixedA,395),CalcAmt2)))</f>
        <v/>
      </c>
      <c r="F979" s="19">
        <f>IF($B979="","",IF(395&gt;NFixedA,0,SUMIF(CalcCredit,INDEX(PkFixedA,395),CalcAmt)+SUMIF(CalcCredit2,INDEX(PkFixedA,395),CalcAmt2)))</f>
        <v/>
      </c>
      <c r="G979" s="20">
        <f>IF($B979="","",ROUND($E979-$F979,0))</f>
        <v/>
      </c>
      <c r="H979" s="17">
        <f>IF($B979="","",IF(ROUND($G979,0)&gt;0,"بدهکار",IF(ROUND($G979,0)&lt;0,"بستانکار","تسویه")))</f>
        <v/>
      </c>
    </row>
    <row r="980">
      <c r="A980" s="11">
        <f>IF($B980="","",971)</f>
        <v/>
      </c>
      <c r="B980" s="12">
        <f>IF(396&gt;NFixedA,"",IFERROR(IF(VLOOKUP(INDEX(PkFixedA,396),AcctTblA,4,0)="","(بدون نام)",VLOOKUP(INDEX(PkFixedA,396),AcctTblA,4,0)),"—"))</f>
        <v/>
      </c>
      <c r="C980" s="13">
        <f>IF($B980="","",IF(396&gt;NFixedA,"",INDEX(PkFixedA,396)))</f>
        <v/>
      </c>
      <c r="D980" s="12">
        <f>IF($B980="","","f")</f>
        <v/>
      </c>
      <c r="E980" s="14">
        <f>IF($B980="","",IF(396&gt;NFixedA,0,SUMIF(CalcDebit,INDEX(PkFixedA,396),CalcAmt)+SUMIF(CalcDebit2,INDEX(PkFixedA,396),CalcAmt2)))</f>
        <v/>
      </c>
      <c r="F980" s="14">
        <f>IF($B980="","",IF(396&gt;NFixedA,0,SUMIF(CalcCredit,INDEX(PkFixedA,396),CalcAmt)+SUMIF(CalcCredit2,INDEX(PkFixedA,396),CalcAmt2)))</f>
        <v/>
      </c>
      <c r="G980" s="15">
        <f>IF($B980="","",ROUND($E980-$F980,0))</f>
        <v/>
      </c>
      <c r="H980" s="12">
        <f>IF($B980="","",IF(ROUND($G980,0)&gt;0,"بدهکار",IF(ROUND($G980,0)&lt;0,"بستانکار","تسویه")))</f>
        <v/>
      </c>
    </row>
    <row r="981">
      <c r="A981" s="16">
        <f>IF($B981="","",972)</f>
        <v/>
      </c>
      <c r="B981" s="17">
        <f>IF(397&gt;NFixedA,"",IFERROR(IF(VLOOKUP(INDEX(PkFixedA,397),AcctTblA,4,0)="","(بدون نام)",VLOOKUP(INDEX(PkFixedA,397),AcctTblA,4,0)),"—"))</f>
        <v/>
      </c>
      <c r="C981" s="18">
        <f>IF($B981="","",IF(397&gt;NFixedA,"",INDEX(PkFixedA,397)))</f>
        <v/>
      </c>
      <c r="D981" s="17">
        <f>IF($B981="","","f")</f>
        <v/>
      </c>
      <c r="E981" s="19">
        <f>IF($B981="","",IF(397&gt;NFixedA,0,SUMIF(CalcDebit,INDEX(PkFixedA,397),CalcAmt)+SUMIF(CalcDebit2,INDEX(PkFixedA,397),CalcAmt2)))</f>
        <v/>
      </c>
      <c r="F981" s="19">
        <f>IF($B981="","",IF(397&gt;NFixedA,0,SUMIF(CalcCredit,INDEX(PkFixedA,397),CalcAmt)+SUMIF(CalcCredit2,INDEX(PkFixedA,397),CalcAmt2)))</f>
        <v/>
      </c>
      <c r="G981" s="20">
        <f>IF($B981="","",ROUND($E981-$F981,0))</f>
        <v/>
      </c>
      <c r="H981" s="17">
        <f>IF($B981="","",IF(ROUND($G981,0)&gt;0,"بدهکار",IF(ROUND($G981,0)&lt;0,"بستانکار","تسویه")))</f>
        <v/>
      </c>
    </row>
    <row r="982">
      <c r="A982" s="11">
        <f>IF($B982="","",973)</f>
        <v/>
      </c>
      <c r="B982" s="12">
        <f>IF(398&gt;NFixedA,"",IFERROR(IF(VLOOKUP(INDEX(PkFixedA,398),AcctTblA,4,0)="","(بدون نام)",VLOOKUP(INDEX(PkFixedA,398),AcctTblA,4,0)),"—"))</f>
        <v/>
      </c>
      <c r="C982" s="13">
        <f>IF($B982="","",IF(398&gt;NFixedA,"",INDEX(PkFixedA,398)))</f>
        <v/>
      </c>
      <c r="D982" s="12">
        <f>IF($B982="","","f")</f>
        <v/>
      </c>
      <c r="E982" s="14">
        <f>IF($B982="","",IF(398&gt;NFixedA,0,SUMIF(CalcDebit,INDEX(PkFixedA,398),CalcAmt)+SUMIF(CalcDebit2,INDEX(PkFixedA,398),CalcAmt2)))</f>
        <v/>
      </c>
      <c r="F982" s="14">
        <f>IF($B982="","",IF(398&gt;NFixedA,0,SUMIF(CalcCredit,INDEX(PkFixedA,398),CalcAmt)+SUMIF(CalcCredit2,INDEX(PkFixedA,398),CalcAmt2)))</f>
        <v/>
      </c>
      <c r="G982" s="15">
        <f>IF($B982="","",ROUND($E982-$F982,0))</f>
        <v/>
      </c>
      <c r="H982" s="12">
        <f>IF($B982="","",IF(ROUND($G982,0)&gt;0,"بدهکار",IF(ROUND($G982,0)&lt;0,"بستانکار","تسویه")))</f>
        <v/>
      </c>
    </row>
    <row r="983">
      <c r="A983" s="16">
        <f>IF($B983="","",974)</f>
        <v/>
      </c>
      <c r="B983" s="17">
        <f>IF(399&gt;NFixedA,"",IFERROR(IF(VLOOKUP(INDEX(PkFixedA,399),AcctTblA,4,0)="","(بدون نام)",VLOOKUP(INDEX(PkFixedA,399),AcctTblA,4,0)),"—"))</f>
        <v/>
      </c>
      <c r="C983" s="18">
        <f>IF($B983="","",IF(399&gt;NFixedA,"",INDEX(PkFixedA,399)))</f>
        <v/>
      </c>
      <c r="D983" s="17">
        <f>IF($B983="","","f")</f>
        <v/>
      </c>
      <c r="E983" s="19">
        <f>IF($B983="","",IF(399&gt;NFixedA,0,SUMIF(CalcDebit,INDEX(PkFixedA,399),CalcAmt)+SUMIF(CalcDebit2,INDEX(PkFixedA,399),CalcAmt2)))</f>
        <v/>
      </c>
      <c r="F983" s="19">
        <f>IF($B983="","",IF(399&gt;NFixedA,0,SUMIF(CalcCredit,INDEX(PkFixedA,399),CalcAmt)+SUMIF(CalcCredit2,INDEX(PkFixedA,399),CalcAmt2)))</f>
        <v/>
      </c>
      <c r="G983" s="20">
        <f>IF($B983="","",ROUND($E983-$F983,0))</f>
        <v/>
      </c>
      <c r="H983" s="17">
        <f>IF($B983="","",IF(ROUND($G983,0)&gt;0,"بدهکار",IF(ROUND($G983,0)&lt;0,"بستانکار","تسویه")))</f>
        <v/>
      </c>
    </row>
    <row r="984">
      <c r="A984" s="11">
        <f>IF($B984="","",975)</f>
        <v/>
      </c>
      <c r="B984" s="12">
        <f>IF(400&gt;NFixedA,"",IFERROR(IF(VLOOKUP(INDEX(PkFixedA,400),AcctTblA,4,0)="","(بدون نام)",VLOOKUP(INDEX(PkFixedA,400),AcctTblA,4,0)),"—"))</f>
        <v/>
      </c>
      <c r="C984" s="13">
        <f>IF($B984="","",IF(400&gt;NFixedA,"",INDEX(PkFixedA,400)))</f>
        <v/>
      </c>
      <c r="D984" s="12">
        <f>IF($B984="","","f")</f>
        <v/>
      </c>
      <c r="E984" s="14">
        <f>IF($B984="","",IF(400&gt;NFixedA,0,SUMIF(CalcDebit,INDEX(PkFixedA,400),CalcAmt)+SUMIF(CalcDebit2,INDEX(PkFixedA,400),CalcAmt2)))</f>
        <v/>
      </c>
      <c r="F984" s="14">
        <f>IF($B984="","",IF(400&gt;NFixedA,0,SUMIF(CalcCredit,INDEX(PkFixedA,400),CalcAmt)+SUMIF(CalcCredit2,INDEX(PkFixedA,400),CalcAmt2)))</f>
        <v/>
      </c>
      <c r="G984" s="15">
        <f>IF($B984="","",ROUND($E984-$F984,0))</f>
        <v/>
      </c>
      <c r="H984" s="12">
        <f>IF($B984="","",IF(ROUND($G984,0)&gt;0,"بدهکار",IF(ROUND($G984,0)&lt;0,"بستانکار","تسویه")))</f>
        <v/>
      </c>
    </row>
    <row r="985">
      <c r="A985" s="16">
        <f>IF($B985="","",976)</f>
        <v/>
      </c>
      <c r="B985" s="17">
        <f>IF(401&gt;NFixedA,"",IFERROR(IF(VLOOKUP(INDEX(PkFixedA,401),AcctTblA,4,0)="","(بدون نام)",VLOOKUP(INDEX(PkFixedA,401),AcctTblA,4,0)),"—"))</f>
        <v/>
      </c>
      <c r="C985" s="18">
        <f>IF($B985="","",IF(401&gt;NFixedA,"",INDEX(PkFixedA,401)))</f>
        <v/>
      </c>
      <c r="D985" s="17">
        <f>IF($B985="","","f")</f>
        <v/>
      </c>
      <c r="E985" s="19">
        <f>IF($B985="","",IF(401&gt;NFixedA,0,SUMIF(CalcDebit,INDEX(PkFixedA,401),CalcAmt)+SUMIF(CalcDebit2,INDEX(PkFixedA,401),CalcAmt2)))</f>
        <v/>
      </c>
      <c r="F985" s="19">
        <f>IF($B985="","",IF(401&gt;NFixedA,0,SUMIF(CalcCredit,INDEX(PkFixedA,401),CalcAmt)+SUMIF(CalcCredit2,INDEX(PkFixedA,401),CalcAmt2)))</f>
        <v/>
      </c>
      <c r="G985" s="20">
        <f>IF($B985="","",ROUND($E985-$F985,0))</f>
        <v/>
      </c>
      <c r="H985" s="17">
        <f>IF($B985="","",IF(ROUND($G985,0)&gt;0,"بدهکار",IF(ROUND($G985,0)&lt;0,"بستانکار","تسویه")))</f>
        <v/>
      </c>
    </row>
    <row r="986">
      <c r="A986" s="11">
        <f>IF($B986="","",977)</f>
        <v/>
      </c>
      <c r="B986" s="12">
        <f>IF(402&gt;NFixedA,"",IFERROR(IF(VLOOKUP(INDEX(PkFixedA,402),AcctTblA,4,0)="","(بدون نام)",VLOOKUP(INDEX(PkFixedA,402),AcctTblA,4,0)),"—"))</f>
        <v/>
      </c>
      <c r="C986" s="13">
        <f>IF($B986="","",IF(402&gt;NFixedA,"",INDEX(PkFixedA,402)))</f>
        <v/>
      </c>
      <c r="D986" s="12">
        <f>IF($B986="","","f")</f>
        <v/>
      </c>
      <c r="E986" s="14">
        <f>IF($B986="","",IF(402&gt;NFixedA,0,SUMIF(CalcDebit,INDEX(PkFixedA,402),CalcAmt)+SUMIF(CalcDebit2,INDEX(PkFixedA,402),CalcAmt2)))</f>
        <v/>
      </c>
      <c r="F986" s="14">
        <f>IF($B986="","",IF(402&gt;NFixedA,0,SUMIF(CalcCredit,INDEX(PkFixedA,402),CalcAmt)+SUMIF(CalcCredit2,INDEX(PkFixedA,402),CalcAmt2)))</f>
        <v/>
      </c>
      <c r="G986" s="15">
        <f>IF($B986="","",ROUND($E986-$F986,0))</f>
        <v/>
      </c>
      <c r="H986" s="12">
        <f>IF($B986="","",IF(ROUND($G986,0)&gt;0,"بدهکار",IF(ROUND($G986,0)&lt;0,"بستانکار","تسویه")))</f>
        <v/>
      </c>
    </row>
    <row r="987">
      <c r="A987" s="16">
        <f>IF($B987="","",978)</f>
        <v/>
      </c>
      <c r="B987" s="17">
        <f>IF(403&gt;NFixedA,"",IFERROR(IF(VLOOKUP(INDEX(PkFixedA,403),AcctTblA,4,0)="","(بدون نام)",VLOOKUP(INDEX(PkFixedA,403),AcctTblA,4,0)),"—"))</f>
        <v/>
      </c>
      <c r="C987" s="18">
        <f>IF($B987="","",IF(403&gt;NFixedA,"",INDEX(PkFixedA,403)))</f>
        <v/>
      </c>
      <c r="D987" s="17">
        <f>IF($B987="","","f")</f>
        <v/>
      </c>
      <c r="E987" s="19">
        <f>IF($B987="","",IF(403&gt;NFixedA,0,SUMIF(CalcDebit,INDEX(PkFixedA,403),CalcAmt)+SUMIF(CalcDebit2,INDEX(PkFixedA,403),CalcAmt2)))</f>
        <v/>
      </c>
      <c r="F987" s="19">
        <f>IF($B987="","",IF(403&gt;NFixedA,0,SUMIF(CalcCredit,INDEX(PkFixedA,403),CalcAmt)+SUMIF(CalcCredit2,INDEX(PkFixedA,403),CalcAmt2)))</f>
        <v/>
      </c>
      <c r="G987" s="20">
        <f>IF($B987="","",ROUND($E987-$F987,0))</f>
        <v/>
      </c>
      <c r="H987" s="17">
        <f>IF($B987="","",IF(ROUND($G987,0)&gt;0,"بدهکار",IF(ROUND($G987,0)&lt;0,"بستانکار","تسویه")))</f>
        <v/>
      </c>
    </row>
    <row r="988">
      <c r="A988" s="11">
        <f>IF($B988="","",979)</f>
        <v/>
      </c>
      <c r="B988" s="12">
        <f>IF(404&gt;NFixedA,"",IFERROR(IF(VLOOKUP(INDEX(PkFixedA,404),AcctTblA,4,0)="","(بدون نام)",VLOOKUP(INDEX(PkFixedA,404),AcctTblA,4,0)),"—"))</f>
        <v/>
      </c>
      <c r="C988" s="13">
        <f>IF($B988="","",IF(404&gt;NFixedA,"",INDEX(PkFixedA,404)))</f>
        <v/>
      </c>
      <c r="D988" s="12">
        <f>IF($B988="","","f")</f>
        <v/>
      </c>
      <c r="E988" s="14">
        <f>IF($B988="","",IF(404&gt;NFixedA,0,SUMIF(CalcDebit,INDEX(PkFixedA,404),CalcAmt)+SUMIF(CalcDebit2,INDEX(PkFixedA,404),CalcAmt2)))</f>
        <v/>
      </c>
      <c r="F988" s="14">
        <f>IF($B988="","",IF(404&gt;NFixedA,0,SUMIF(CalcCredit,INDEX(PkFixedA,404),CalcAmt)+SUMIF(CalcCredit2,INDEX(PkFixedA,404),CalcAmt2)))</f>
        <v/>
      </c>
      <c r="G988" s="15">
        <f>IF($B988="","",ROUND($E988-$F988,0))</f>
        <v/>
      </c>
      <c r="H988" s="12">
        <f>IF($B988="","",IF(ROUND($G988,0)&gt;0,"بدهکار",IF(ROUND($G988,0)&lt;0,"بستانکار","تسویه")))</f>
        <v/>
      </c>
    </row>
    <row r="989">
      <c r="A989" s="16">
        <f>IF($B989="","",980)</f>
        <v/>
      </c>
      <c r="B989" s="17">
        <f>IF(405&gt;NFixedA,"",IFERROR(IF(VLOOKUP(INDEX(PkFixedA,405),AcctTblA,4,0)="","(بدون نام)",VLOOKUP(INDEX(PkFixedA,405),AcctTblA,4,0)),"—"))</f>
        <v/>
      </c>
      <c r="C989" s="18">
        <f>IF($B989="","",IF(405&gt;NFixedA,"",INDEX(PkFixedA,405)))</f>
        <v/>
      </c>
      <c r="D989" s="17">
        <f>IF($B989="","","f")</f>
        <v/>
      </c>
      <c r="E989" s="19">
        <f>IF($B989="","",IF(405&gt;NFixedA,0,SUMIF(CalcDebit,INDEX(PkFixedA,405),CalcAmt)+SUMIF(CalcDebit2,INDEX(PkFixedA,405),CalcAmt2)))</f>
        <v/>
      </c>
      <c r="F989" s="19">
        <f>IF($B989="","",IF(405&gt;NFixedA,0,SUMIF(CalcCredit,INDEX(PkFixedA,405),CalcAmt)+SUMIF(CalcCredit2,INDEX(PkFixedA,405),CalcAmt2)))</f>
        <v/>
      </c>
      <c r="G989" s="20">
        <f>IF($B989="","",ROUND($E989-$F989,0))</f>
        <v/>
      </c>
      <c r="H989" s="17">
        <f>IF($B989="","",IF(ROUND($G989,0)&gt;0,"بدهکار",IF(ROUND($G989,0)&lt;0,"بستانکار","تسویه")))</f>
        <v/>
      </c>
    </row>
    <row r="990">
      <c r="A990" s="11">
        <f>IF($B990="","",981)</f>
        <v/>
      </c>
      <c r="B990" s="12">
        <f>IF(406&gt;NFixedA,"",IFERROR(IF(VLOOKUP(INDEX(PkFixedA,406),AcctTblA,4,0)="","(بدون نام)",VLOOKUP(INDEX(PkFixedA,406),AcctTblA,4,0)),"—"))</f>
        <v/>
      </c>
      <c r="C990" s="13">
        <f>IF($B990="","",IF(406&gt;NFixedA,"",INDEX(PkFixedA,406)))</f>
        <v/>
      </c>
      <c r="D990" s="12">
        <f>IF($B990="","","f")</f>
        <v/>
      </c>
      <c r="E990" s="14">
        <f>IF($B990="","",IF(406&gt;NFixedA,0,SUMIF(CalcDebit,INDEX(PkFixedA,406),CalcAmt)+SUMIF(CalcDebit2,INDEX(PkFixedA,406),CalcAmt2)))</f>
        <v/>
      </c>
      <c r="F990" s="14">
        <f>IF($B990="","",IF(406&gt;NFixedA,0,SUMIF(CalcCredit,INDEX(PkFixedA,406),CalcAmt)+SUMIF(CalcCredit2,INDEX(PkFixedA,406),CalcAmt2)))</f>
        <v/>
      </c>
      <c r="G990" s="15">
        <f>IF($B990="","",ROUND($E990-$F990,0))</f>
        <v/>
      </c>
      <c r="H990" s="12">
        <f>IF($B990="","",IF(ROUND($G990,0)&gt;0,"بدهکار",IF(ROUND($G990,0)&lt;0,"بستانکار","تسویه")))</f>
        <v/>
      </c>
    </row>
    <row r="991">
      <c r="A991" s="16">
        <f>IF($B991="","",982)</f>
        <v/>
      </c>
      <c r="B991" s="17">
        <f>IF(407&gt;NFixedA,"",IFERROR(IF(VLOOKUP(INDEX(PkFixedA,407),AcctTblA,4,0)="","(بدون نام)",VLOOKUP(INDEX(PkFixedA,407),AcctTblA,4,0)),"—"))</f>
        <v/>
      </c>
      <c r="C991" s="18">
        <f>IF($B991="","",IF(407&gt;NFixedA,"",INDEX(PkFixedA,407)))</f>
        <v/>
      </c>
      <c r="D991" s="17">
        <f>IF($B991="","","f")</f>
        <v/>
      </c>
      <c r="E991" s="19">
        <f>IF($B991="","",IF(407&gt;NFixedA,0,SUMIF(CalcDebit,INDEX(PkFixedA,407),CalcAmt)+SUMIF(CalcDebit2,INDEX(PkFixedA,407),CalcAmt2)))</f>
        <v/>
      </c>
      <c r="F991" s="19">
        <f>IF($B991="","",IF(407&gt;NFixedA,0,SUMIF(CalcCredit,INDEX(PkFixedA,407),CalcAmt)+SUMIF(CalcCredit2,INDEX(PkFixedA,407),CalcAmt2)))</f>
        <v/>
      </c>
      <c r="G991" s="20">
        <f>IF($B991="","",ROUND($E991-$F991,0))</f>
        <v/>
      </c>
      <c r="H991" s="17">
        <f>IF($B991="","",IF(ROUND($G991,0)&gt;0,"بدهکار",IF(ROUND($G991,0)&lt;0,"بستانکار","تسویه")))</f>
        <v/>
      </c>
    </row>
    <row r="992">
      <c r="A992" s="11">
        <f>IF($B992="","",983)</f>
        <v/>
      </c>
      <c r="B992" s="12">
        <f>IF(408&gt;NFixedA,"",IFERROR(IF(VLOOKUP(INDEX(PkFixedA,408),AcctTblA,4,0)="","(بدون نام)",VLOOKUP(INDEX(PkFixedA,408),AcctTblA,4,0)),"—"))</f>
        <v/>
      </c>
      <c r="C992" s="13">
        <f>IF($B992="","",IF(408&gt;NFixedA,"",INDEX(PkFixedA,408)))</f>
        <v/>
      </c>
      <c r="D992" s="12">
        <f>IF($B992="","","f")</f>
        <v/>
      </c>
      <c r="E992" s="14">
        <f>IF($B992="","",IF(408&gt;NFixedA,0,SUMIF(CalcDebit,INDEX(PkFixedA,408),CalcAmt)+SUMIF(CalcDebit2,INDEX(PkFixedA,408),CalcAmt2)))</f>
        <v/>
      </c>
      <c r="F992" s="14">
        <f>IF($B992="","",IF(408&gt;NFixedA,0,SUMIF(CalcCredit,INDEX(PkFixedA,408),CalcAmt)+SUMIF(CalcCredit2,INDEX(PkFixedA,408),CalcAmt2)))</f>
        <v/>
      </c>
      <c r="G992" s="15">
        <f>IF($B992="","",ROUND($E992-$F992,0))</f>
        <v/>
      </c>
      <c r="H992" s="12">
        <f>IF($B992="","",IF(ROUND($G992,0)&gt;0,"بدهکار",IF(ROUND($G992,0)&lt;0,"بستانکار","تسویه")))</f>
        <v/>
      </c>
    </row>
    <row r="993">
      <c r="A993" s="16">
        <f>IF($B993="","",984)</f>
        <v/>
      </c>
      <c r="B993" s="17">
        <f>IF(409&gt;NFixedA,"",IFERROR(IF(VLOOKUP(INDEX(PkFixedA,409),AcctTblA,4,0)="","(بدون نام)",VLOOKUP(INDEX(PkFixedA,409),AcctTblA,4,0)),"—"))</f>
        <v/>
      </c>
      <c r="C993" s="18">
        <f>IF($B993="","",IF(409&gt;NFixedA,"",INDEX(PkFixedA,409)))</f>
        <v/>
      </c>
      <c r="D993" s="17">
        <f>IF($B993="","","f")</f>
        <v/>
      </c>
      <c r="E993" s="19">
        <f>IF($B993="","",IF(409&gt;NFixedA,0,SUMIF(CalcDebit,INDEX(PkFixedA,409),CalcAmt)+SUMIF(CalcDebit2,INDEX(PkFixedA,409),CalcAmt2)))</f>
        <v/>
      </c>
      <c r="F993" s="19">
        <f>IF($B993="","",IF(409&gt;NFixedA,0,SUMIF(CalcCredit,INDEX(PkFixedA,409),CalcAmt)+SUMIF(CalcCredit2,INDEX(PkFixedA,409),CalcAmt2)))</f>
        <v/>
      </c>
      <c r="G993" s="20">
        <f>IF($B993="","",ROUND($E993-$F993,0))</f>
        <v/>
      </c>
      <c r="H993" s="17">
        <f>IF($B993="","",IF(ROUND($G993,0)&gt;0,"بدهکار",IF(ROUND($G993,0)&lt;0,"بستانکار","تسویه")))</f>
        <v/>
      </c>
    </row>
    <row r="994">
      <c r="A994" s="11">
        <f>IF($B994="","",985)</f>
        <v/>
      </c>
      <c r="B994" s="12">
        <f>IF(410&gt;NFixedA,"",IFERROR(IF(VLOOKUP(INDEX(PkFixedA,410),AcctTblA,4,0)="","(بدون نام)",VLOOKUP(INDEX(PkFixedA,410),AcctTblA,4,0)),"—"))</f>
        <v/>
      </c>
      <c r="C994" s="13">
        <f>IF($B994="","",IF(410&gt;NFixedA,"",INDEX(PkFixedA,410)))</f>
        <v/>
      </c>
      <c r="D994" s="12">
        <f>IF($B994="","","f")</f>
        <v/>
      </c>
      <c r="E994" s="14">
        <f>IF($B994="","",IF(410&gt;NFixedA,0,SUMIF(CalcDebit,INDEX(PkFixedA,410),CalcAmt)+SUMIF(CalcDebit2,INDEX(PkFixedA,410),CalcAmt2)))</f>
        <v/>
      </c>
      <c r="F994" s="14">
        <f>IF($B994="","",IF(410&gt;NFixedA,0,SUMIF(CalcCredit,INDEX(PkFixedA,410),CalcAmt)+SUMIF(CalcCredit2,INDEX(PkFixedA,410),CalcAmt2)))</f>
        <v/>
      </c>
      <c r="G994" s="15">
        <f>IF($B994="","",ROUND($E994-$F994,0))</f>
        <v/>
      </c>
      <c r="H994" s="12">
        <f>IF($B994="","",IF(ROUND($G994,0)&gt;0,"بدهکار",IF(ROUND($G994,0)&lt;0,"بستانکار","تسویه")))</f>
        <v/>
      </c>
    </row>
    <row r="995">
      <c r="A995" s="16">
        <f>IF($B995="","",986)</f>
        <v/>
      </c>
      <c r="B995" s="17">
        <f>IF(411&gt;NFixedA,"",IFERROR(IF(VLOOKUP(INDEX(PkFixedA,411),AcctTblA,4,0)="","(بدون نام)",VLOOKUP(INDEX(PkFixedA,411),AcctTblA,4,0)),"—"))</f>
        <v/>
      </c>
      <c r="C995" s="18">
        <f>IF($B995="","",IF(411&gt;NFixedA,"",INDEX(PkFixedA,411)))</f>
        <v/>
      </c>
      <c r="D995" s="17">
        <f>IF($B995="","","f")</f>
        <v/>
      </c>
      <c r="E995" s="19">
        <f>IF($B995="","",IF(411&gt;NFixedA,0,SUMIF(CalcDebit,INDEX(PkFixedA,411),CalcAmt)+SUMIF(CalcDebit2,INDEX(PkFixedA,411),CalcAmt2)))</f>
        <v/>
      </c>
      <c r="F995" s="19">
        <f>IF($B995="","",IF(411&gt;NFixedA,0,SUMIF(CalcCredit,INDEX(PkFixedA,411),CalcAmt)+SUMIF(CalcCredit2,INDEX(PkFixedA,411),CalcAmt2)))</f>
        <v/>
      </c>
      <c r="G995" s="20">
        <f>IF($B995="","",ROUND($E995-$F995,0))</f>
        <v/>
      </c>
      <c r="H995" s="17">
        <f>IF($B995="","",IF(ROUND($G995,0)&gt;0,"بدهکار",IF(ROUND($G995,0)&lt;0,"بستانکار","تسویه")))</f>
        <v/>
      </c>
    </row>
    <row r="996">
      <c r="A996" s="11">
        <f>IF($B996="","",987)</f>
        <v/>
      </c>
      <c r="B996" s="12">
        <f>IF(412&gt;NFixedA,"",IFERROR(IF(VLOOKUP(INDEX(PkFixedA,412),AcctTblA,4,0)="","(بدون نام)",VLOOKUP(INDEX(PkFixedA,412),AcctTblA,4,0)),"—"))</f>
        <v/>
      </c>
      <c r="C996" s="13">
        <f>IF($B996="","",IF(412&gt;NFixedA,"",INDEX(PkFixedA,412)))</f>
        <v/>
      </c>
      <c r="D996" s="12">
        <f>IF($B996="","","f")</f>
        <v/>
      </c>
      <c r="E996" s="14">
        <f>IF($B996="","",IF(412&gt;NFixedA,0,SUMIF(CalcDebit,INDEX(PkFixedA,412),CalcAmt)+SUMIF(CalcDebit2,INDEX(PkFixedA,412),CalcAmt2)))</f>
        <v/>
      </c>
      <c r="F996" s="14">
        <f>IF($B996="","",IF(412&gt;NFixedA,0,SUMIF(CalcCredit,INDEX(PkFixedA,412),CalcAmt)+SUMIF(CalcCredit2,INDEX(PkFixedA,412),CalcAmt2)))</f>
        <v/>
      </c>
      <c r="G996" s="15">
        <f>IF($B996="","",ROUND($E996-$F996,0))</f>
        <v/>
      </c>
      <c r="H996" s="12">
        <f>IF($B996="","",IF(ROUND($G996,0)&gt;0,"بدهکار",IF(ROUND($G996,0)&lt;0,"بستانکار","تسویه")))</f>
        <v/>
      </c>
    </row>
    <row r="997">
      <c r="A997" s="16">
        <f>IF($B997="","",988)</f>
        <v/>
      </c>
      <c r="B997" s="17">
        <f>IF(413&gt;NFixedA,"",IFERROR(IF(VLOOKUP(INDEX(PkFixedA,413),AcctTblA,4,0)="","(بدون نام)",VLOOKUP(INDEX(PkFixedA,413),AcctTblA,4,0)),"—"))</f>
        <v/>
      </c>
      <c r="C997" s="18">
        <f>IF($B997="","",IF(413&gt;NFixedA,"",INDEX(PkFixedA,413)))</f>
        <v/>
      </c>
      <c r="D997" s="17">
        <f>IF($B997="","","f")</f>
        <v/>
      </c>
      <c r="E997" s="19">
        <f>IF($B997="","",IF(413&gt;NFixedA,0,SUMIF(CalcDebit,INDEX(PkFixedA,413),CalcAmt)+SUMIF(CalcDebit2,INDEX(PkFixedA,413),CalcAmt2)))</f>
        <v/>
      </c>
      <c r="F997" s="19">
        <f>IF($B997="","",IF(413&gt;NFixedA,0,SUMIF(CalcCredit,INDEX(PkFixedA,413),CalcAmt)+SUMIF(CalcCredit2,INDEX(PkFixedA,413),CalcAmt2)))</f>
        <v/>
      </c>
      <c r="G997" s="20">
        <f>IF($B997="","",ROUND($E997-$F997,0))</f>
        <v/>
      </c>
      <c r="H997" s="17">
        <f>IF($B997="","",IF(ROUND($G997,0)&gt;0,"بدهکار",IF(ROUND($G997,0)&lt;0,"بستانکار","تسویه")))</f>
        <v/>
      </c>
    </row>
    <row r="998">
      <c r="A998" s="11">
        <f>IF($B998="","",989)</f>
        <v/>
      </c>
      <c r="B998" s="12">
        <f>IF(414&gt;NFixedA,"",IFERROR(IF(VLOOKUP(INDEX(PkFixedA,414),AcctTblA,4,0)="","(بدون نام)",VLOOKUP(INDEX(PkFixedA,414),AcctTblA,4,0)),"—"))</f>
        <v/>
      </c>
      <c r="C998" s="13">
        <f>IF($B998="","",IF(414&gt;NFixedA,"",INDEX(PkFixedA,414)))</f>
        <v/>
      </c>
      <c r="D998" s="12">
        <f>IF($B998="","","f")</f>
        <v/>
      </c>
      <c r="E998" s="14">
        <f>IF($B998="","",IF(414&gt;NFixedA,0,SUMIF(CalcDebit,INDEX(PkFixedA,414),CalcAmt)+SUMIF(CalcDebit2,INDEX(PkFixedA,414),CalcAmt2)))</f>
        <v/>
      </c>
      <c r="F998" s="14">
        <f>IF($B998="","",IF(414&gt;NFixedA,0,SUMIF(CalcCredit,INDEX(PkFixedA,414),CalcAmt)+SUMIF(CalcCredit2,INDEX(PkFixedA,414),CalcAmt2)))</f>
        <v/>
      </c>
      <c r="G998" s="15">
        <f>IF($B998="","",ROUND($E998-$F998,0))</f>
        <v/>
      </c>
      <c r="H998" s="12">
        <f>IF($B998="","",IF(ROUND($G998,0)&gt;0,"بدهکار",IF(ROUND($G998,0)&lt;0,"بستانکار","تسویه")))</f>
        <v/>
      </c>
    </row>
    <row r="999">
      <c r="A999" s="16">
        <f>IF($B999="","",990)</f>
        <v/>
      </c>
      <c r="B999" s="17">
        <f>IF(415&gt;NFixedA,"",IFERROR(IF(VLOOKUP(INDEX(PkFixedA,415),AcctTblA,4,0)="","(بدون نام)",VLOOKUP(INDEX(PkFixedA,415),AcctTblA,4,0)),"—"))</f>
        <v/>
      </c>
      <c r="C999" s="18">
        <f>IF($B999="","",IF(415&gt;NFixedA,"",INDEX(PkFixedA,415)))</f>
        <v/>
      </c>
      <c r="D999" s="17">
        <f>IF($B999="","","f")</f>
        <v/>
      </c>
      <c r="E999" s="19">
        <f>IF($B999="","",IF(415&gt;NFixedA,0,SUMIF(CalcDebit,INDEX(PkFixedA,415),CalcAmt)+SUMIF(CalcDebit2,INDEX(PkFixedA,415),CalcAmt2)))</f>
        <v/>
      </c>
      <c r="F999" s="19">
        <f>IF($B999="","",IF(415&gt;NFixedA,0,SUMIF(CalcCredit,INDEX(PkFixedA,415),CalcAmt)+SUMIF(CalcCredit2,INDEX(PkFixedA,415),CalcAmt2)))</f>
        <v/>
      </c>
      <c r="G999" s="20">
        <f>IF($B999="","",ROUND($E999-$F999,0))</f>
        <v/>
      </c>
      <c r="H999" s="17">
        <f>IF($B999="","",IF(ROUND($G999,0)&gt;0,"بدهکار",IF(ROUND($G999,0)&lt;0,"بستانکار","تسویه")))</f>
        <v/>
      </c>
    </row>
    <row r="1000">
      <c r="A1000" s="11">
        <f>IF($B1000="","",991)</f>
        <v/>
      </c>
      <c r="B1000" s="12">
        <f>IF(416&gt;NFixedA,"",IFERROR(IF(VLOOKUP(INDEX(PkFixedA,416),AcctTblA,4,0)="","(بدون نام)",VLOOKUP(INDEX(PkFixedA,416),AcctTblA,4,0)),"—"))</f>
        <v/>
      </c>
      <c r="C1000" s="13">
        <f>IF($B1000="","",IF(416&gt;NFixedA,"",INDEX(PkFixedA,416)))</f>
        <v/>
      </c>
      <c r="D1000" s="12">
        <f>IF($B1000="","","f")</f>
        <v/>
      </c>
      <c r="E1000" s="14">
        <f>IF($B1000="","",IF(416&gt;NFixedA,0,SUMIF(CalcDebit,INDEX(PkFixedA,416),CalcAmt)+SUMIF(CalcDebit2,INDEX(PkFixedA,416),CalcAmt2)))</f>
        <v/>
      </c>
      <c r="F1000" s="14">
        <f>IF($B1000="","",IF(416&gt;NFixedA,0,SUMIF(CalcCredit,INDEX(PkFixedA,416),CalcAmt)+SUMIF(CalcCredit2,INDEX(PkFixedA,416),CalcAmt2)))</f>
        <v/>
      </c>
      <c r="G1000" s="15">
        <f>IF($B1000="","",ROUND($E1000-$F1000,0))</f>
        <v/>
      </c>
      <c r="H1000" s="12">
        <f>IF($B1000="","",IF(ROUND($G1000,0)&gt;0,"بدهکار",IF(ROUND($G1000,0)&lt;0,"بستانکار","تسویه")))</f>
        <v/>
      </c>
    </row>
    <row r="1001">
      <c r="A1001" s="16">
        <f>IF($B1001="","",992)</f>
        <v/>
      </c>
      <c r="B1001" s="17">
        <f>IF(417&gt;NFixedA,"",IFERROR(IF(VLOOKUP(INDEX(PkFixedA,417),AcctTblA,4,0)="","(بدون نام)",VLOOKUP(INDEX(PkFixedA,417),AcctTblA,4,0)),"—"))</f>
        <v/>
      </c>
      <c r="C1001" s="18">
        <f>IF($B1001="","",IF(417&gt;NFixedA,"",INDEX(PkFixedA,417)))</f>
        <v/>
      </c>
      <c r="D1001" s="17">
        <f>IF($B1001="","","f")</f>
        <v/>
      </c>
      <c r="E1001" s="19">
        <f>IF($B1001="","",IF(417&gt;NFixedA,0,SUMIF(CalcDebit,INDEX(PkFixedA,417),CalcAmt)+SUMIF(CalcDebit2,INDEX(PkFixedA,417),CalcAmt2)))</f>
        <v/>
      </c>
      <c r="F1001" s="19">
        <f>IF($B1001="","",IF(417&gt;NFixedA,0,SUMIF(CalcCredit,INDEX(PkFixedA,417),CalcAmt)+SUMIF(CalcCredit2,INDEX(PkFixedA,417),CalcAmt2)))</f>
        <v/>
      </c>
      <c r="G1001" s="20">
        <f>IF($B1001="","",ROUND($E1001-$F1001,0))</f>
        <v/>
      </c>
      <c r="H1001" s="17">
        <f>IF($B1001="","",IF(ROUND($G1001,0)&gt;0,"بدهکار",IF(ROUND($G1001,0)&lt;0,"بستانکار","تسویه")))</f>
        <v/>
      </c>
    </row>
    <row r="1002">
      <c r="A1002" s="11">
        <f>IF($B1002="","",993)</f>
        <v/>
      </c>
      <c r="B1002" s="12">
        <f>IF(418&gt;NFixedA,"",IFERROR(IF(VLOOKUP(INDEX(PkFixedA,418),AcctTblA,4,0)="","(بدون نام)",VLOOKUP(INDEX(PkFixedA,418),AcctTblA,4,0)),"—"))</f>
        <v/>
      </c>
      <c r="C1002" s="13">
        <f>IF($B1002="","",IF(418&gt;NFixedA,"",INDEX(PkFixedA,418)))</f>
        <v/>
      </c>
      <c r="D1002" s="12">
        <f>IF($B1002="","","f")</f>
        <v/>
      </c>
      <c r="E1002" s="14">
        <f>IF($B1002="","",IF(418&gt;NFixedA,0,SUMIF(CalcDebit,INDEX(PkFixedA,418),CalcAmt)+SUMIF(CalcDebit2,INDEX(PkFixedA,418),CalcAmt2)))</f>
        <v/>
      </c>
      <c r="F1002" s="14">
        <f>IF($B1002="","",IF(418&gt;NFixedA,0,SUMIF(CalcCredit,INDEX(PkFixedA,418),CalcAmt)+SUMIF(CalcCredit2,INDEX(PkFixedA,418),CalcAmt2)))</f>
        <v/>
      </c>
      <c r="G1002" s="15">
        <f>IF($B1002="","",ROUND($E1002-$F1002,0))</f>
        <v/>
      </c>
      <c r="H1002" s="12">
        <f>IF($B1002="","",IF(ROUND($G1002,0)&gt;0,"بدهکار",IF(ROUND($G1002,0)&lt;0,"بستانکار","تسویه")))</f>
        <v/>
      </c>
    </row>
    <row r="1003">
      <c r="A1003" s="16">
        <f>IF($B1003="","",994)</f>
        <v/>
      </c>
      <c r="B1003" s="17">
        <f>IF(419&gt;NFixedA,"",IFERROR(IF(VLOOKUP(INDEX(PkFixedA,419),AcctTblA,4,0)="","(بدون نام)",VLOOKUP(INDEX(PkFixedA,419),AcctTblA,4,0)),"—"))</f>
        <v/>
      </c>
      <c r="C1003" s="18">
        <f>IF($B1003="","",IF(419&gt;NFixedA,"",INDEX(PkFixedA,419)))</f>
        <v/>
      </c>
      <c r="D1003" s="17">
        <f>IF($B1003="","","f")</f>
        <v/>
      </c>
      <c r="E1003" s="19">
        <f>IF($B1003="","",IF(419&gt;NFixedA,0,SUMIF(CalcDebit,INDEX(PkFixedA,419),CalcAmt)+SUMIF(CalcDebit2,INDEX(PkFixedA,419),CalcAmt2)))</f>
        <v/>
      </c>
      <c r="F1003" s="19">
        <f>IF($B1003="","",IF(419&gt;NFixedA,0,SUMIF(CalcCredit,INDEX(PkFixedA,419),CalcAmt)+SUMIF(CalcCredit2,INDEX(PkFixedA,419),CalcAmt2)))</f>
        <v/>
      </c>
      <c r="G1003" s="20">
        <f>IF($B1003="","",ROUND($E1003-$F1003,0))</f>
        <v/>
      </c>
      <c r="H1003" s="17">
        <f>IF($B1003="","",IF(ROUND($G1003,0)&gt;0,"بدهکار",IF(ROUND($G1003,0)&lt;0,"بستانکار","تسویه")))</f>
        <v/>
      </c>
    </row>
    <row r="1004">
      <c r="A1004" s="11">
        <f>IF($B1004="","",995)</f>
        <v/>
      </c>
      <c r="B1004" s="12">
        <f>IF(420&gt;NFixedA,"",IFERROR(IF(VLOOKUP(INDEX(PkFixedA,420),AcctTblA,4,0)="","(بدون نام)",VLOOKUP(INDEX(PkFixedA,420),AcctTblA,4,0)),"—"))</f>
        <v/>
      </c>
      <c r="C1004" s="13">
        <f>IF($B1004="","",IF(420&gt;NFixedA,"",INDEX(PkFixedA,420)))</f>
        <v/>
      </c>
      <c r="D1004" s="12">
        <f>IF($B1004="","","f")</f>
        <v/>
      </c>
      <c r="E1004" s="14">
        <f>IF($B1004="","",IF(420&gt;NFixedA,0,SUMIF(CalcDebit,INDEX(PkFixedA,420),CalcAmt)+SUMIF(CalcDebit2,INDEX(PkFixedA,420),CalcAmt2)))</f>
        <v/>
      </c>
      <c r="F1004" s="14">
        <f>IF($B1004="","",IF(420&gt;NFixedA,0,SUMIF(CalcCredit,INDEX(PkFixedA,420),CalcAmt)+SUMIF(CalcCredit2,INDEX(PkFixedA,420),CalcAmt2)))</f>
        <v/>
      </c>
      <c r="G1004" s="15">
        <f>IF($B1004="","",ROUND($E1004-$F1004,0))</f>
        <v/>
      </c>
      <c r="H1004" s="12">
        <f>IF($B1004="","",IF(ROUND($G1004,0)&gt;0,"بدهکار",IF(ROUND($G1004,0)&lt;0,"بستانکار","تسویه")))</f>
        <v/>
      </c>
    </row>
    <row r="1005">
      <c r="A1005" s="16">
        <f>IF($B1005="","",996)</f>
        <v/>
      </c>
      <c r="B1005" s="17">
        <f>IF(421&gt;NFixedA,"",IFERROR(IF(VLOOKUP(INDEX(PkFixedA,421),AcctTblA,4,0)="","(بدون نام)",VLOOKUP(INDEX(PkFixedA,421),AcctTblA,4,0)),"—"))</f>
        <v/>
      </c>
      <c r="C1005" s="18">
        <f>IF($B1005="","",IF(421&gt;NFixedA,"",INDEX(PkFixedA,421)))</f>
        <v/>
      </c>
      <c r="D1005" s="17">
        <f>IF($B1005="","","f")</f>
        <v/>
      </c>
      <c r="E1005" s="19">
        <f>IF($B1005="","",IF(421&gt;NFixedA,0,SUMIF(CalcDebit,INDEX(PkFixedA,421),CalcAmt)+SUMIF(CalcDebit2,INDEX(PkFixedA,421),CalcAmt2)))</f>
        <v/>
      </c>
      <c r="F1005" s="19">
        <f>IF($B1005="","",IF(421&gt;NFixedA,0,SUMIF(CalcCredit,INDEX(PkFixedA,421),CalcAmt)+SUMIF(CalcCredit2,INDEX(PkFixedA,421),CalcAmt2)))</f>
        <v/>
      </c>
      <c r="G1005" s="20">
        <f>IF($B1005="","",ROUND($E1005-$F1005,0))</f>
        <v/>
      </c>
      <c r="H1005" s="17">
        <f>IF($B1005="","",IF(ROUND($G1005,0)&gt;0,"بدهکار",IF(ROUND($G1005,0)&lt;0,"بستانکار","تسویه")))</f>
        <v/>
      </c>
    </row>
    <row r="1006">
      <c r="A1006" s="11">
        <f>IF($B1006="","",997)</f>
        <v/>
      </c>
      <c r="B1006" s="12">
        <f>IF(422&gt;NFixedA,"",IFERROR(IF(VLOOKUP(INDEX(PkFixedA,422),AcctTblA,4,0)="","(بدون نام)",VLOOKUP(INDEX(PkFixedA,422),AcctTblA,4,0)),"—"))</f>
        <v/>
      </c>
      <c r="C1006" s="13">
        <f>IF($B1006="","",IF(422&gt;NFixedA,"",INDEX(PkFixedA,422)))</f>
        <v/>
      </c>
      <c r="D1006" s="12">
        <f>IF($B1006="","","f")</f>
        <v/>
      </c>
      <c r="E1006" s="14">
        <f>IF($B1006="","",IF(422&gt;NFixedA,0,SUMIF(CalcDebit,INDEX(PkFixedA,422),CalcAmt)+SUMIF(CalcDebit2,INDEX(PkFixedA,422),CalcAmt2)))</f>
        <v/>
      </c>
      <c r="F1006" s="14">
        <f>IF($B1006="","",IF(422&gt;NFixedA,0,SUMIF(CalcCredit,INDEX(PkFixedA,422),CalcAmt)+SUMIF(CalcCredit2,INDEX(PkFixedA,422),CalcAmt2)))</f>
        <v/>
      </c>
      <c r="G1006" s="15">
        <f>IF($B1006="","",ROUND($E1006-$F1006,0))</f>
        <v/>
      </c>
      <c r="H1006" s="12">
        <f>IF($B1006="","",IF(ROUND($G1006,0)&gt;0,"بدهکار",IF(ROUND($G1006,0)&lt;0,"بستانکار","تسویه")))</f>
        <v/>
      </c>
    </row>
    <row r="1007">
      <c r="A1007" s="16">
        <f>IF($B1007="","",998)</f>
        <v/>
      </c>
      <c r="B1007" s="17">
        <f>IF(423&gt;NFixedA,"",IFERROR(IF(VLOOKUP(INDEX(PkFixedA,423),AcctTblA,4,0)="","(بدون نام)",VLOOKUP(INDEX(PkFixedA,423),AcctTblA,4,0)),"—"))</f>
        <v/>
      </c>
      <c r="C1007" s="18">
        <f>IF($B1007="","",IF(423&gt;NFixedA,"",INDEX(PkFixedA,423)))</f>
        <v/>
      </c>
      <c r="D1007" s="17">
        <f>IF($B1007="","","f")</f>
        <v/>
      </c>
      <c r="E1007" s="19">
        <f>IF($B1007="","",IF(423&gt;NFixedA,0,SUMIF(CalcDebit,INDEX(PkFixedA,423),CalcAmt)+SUMIF(CalcDebit2,INDEX(PkFixedA,423),CalcAmt2)))</f>
        <v/>
      </c>
      <c r="F1007" s="19">
        <f>IF($B1007="","",IF(423&gt;NFixedA,0,SUMIF(CalcCredit,INDEX(PkFixedA,423),CalcAmt)+SUMIF(CalcCredit2,INDEX(PkFixedA,423),CalcAmt2)))</f>
        <v/>
      </c>
      <c r="G1007" s="20">
        <f>IF($B1007="","",ROUND($E1007-$F1007,0))</f>
        <v/>
      </c>
      <c r="H1007" s="17">
        <f>IF($B1007="","",IF(ROUND($G1007,0)&gt;0,"بدهکار",IF(ROUND($G1007,0)&lt;0,"بستانکار","تسویه")))</f>
        <v/>
      </c>
    </row>
    <row r="1008">
      <c r="A1008" s="11">
        <f>IF($B1008="","",999)</f>
        <v/>
      </c>
      <c r="B1008" s="12">
        <f>IF(424&gt;NFixedA,"",IFERROR(IF(VLOOKUP(INDEX(PkFixedA,424),AcctTblA,4,0)="","(بدون نام)",VLOOKUP(INDEX(PkFixedA,424),AcctTblA,4,0)),"—"))</f>
        <v/>
      </c>
      <c r="C1008" s="13">
        <f>IF($B1008="","",IF(424&gt;NFixedA,"",INDEX(PkFixedA,424)))</f>
        <v/>
      </c>
      <c r="D1008" s="12">
        <f>IF($B1008="","","f")</f>
        <v/>
      </c>
      <c r="E1008" s="14">
        <f>IF($B1008="","",IF(424&gt;NFixedA,0,SUMIF(CalcDebit,INDEX(PkFixedA,424),CalcAmt)+SUMIF(CalcDebit2,INDEX(PkFixedA,424),CalcAmt2)))</f>
        <v/>
      </c>
      <c r="F1008" s="14">
        <f>IF($B1008="","",IF(424&gt;NFixedA,0,SUMIF(CalcCredit,INDEX(PkFixedA,424),CalcAmt)+SUMIF(CalcCredit2,INDEX(PkFixedA,424),CalcAmt2)))</f>
        <v/>
      </c>
      <c r="G1008" s="15">
        <f>IF($B1008="","",ROUND($E1008-$F1008,0))</f>
        <v/>
      </c>
      <c r="H1008" s="12">
        <f>IF($B1008="","",IF(ROUND($G1008,0)&gt;0,"بدهکار",IF(ROUND($G1008,0)&lt;0,"بستانکار","تسویه")))</f>
        <v/>
      </c>
    </row>
    <row r="1009">
      <c r="A1009" s="16">
        <f>IF($B1009="","",1000)</f>
        <v/>
      </c>
      <c r="B1009" s="17">
        <f>IF(425&gt;NFixedA,"",IFERROR(IF(VLOOKUP(INDEX(PkFixedA,425),AcctTblA,4,0)="","(بدون نام)",VLOOKUP(INDEX(PkFixedA,425),AcctTblA,4,0)),"—"))</f>
        <v/>
      </c>
      <c r="C1009" s="18">
        <f>IF($B1009="","",IF(425&gt;NFixedA,"",INDEX(PkFixedA,425)))</f>
        <v/>
      </c>
      <c r="D1009" s="17">
        <f>IF($B1009="","","f")</f>
        <v/>
      </c>
      <c r="E1009" s="19">
        <f>IF($B1009="","",IF(425&gt;NFixedA,0,SUMIF(CalcDebit,INDEX(PkFixedA,425),CalcAmt)+SUMIF(CalcDebit2,INDEX(PkFixedA,425),CalcAmt2)))</f>
        <v/>
      </c>
      <c r="F1009" s="19">
        <f>IF($B1009="","",IF(425&gt;NFixedA,0,SUMIF(CalcCredit,INDEX(PkFixedA,425),CalcAmt)+SUMIF(CalcCredit2,INDEX(PkFixedA,425),CalcAmt2)))</f>
        <v/>
      </c>
      <c r="G1009" s="20">
        <f>IF($B1009="","",ROUND($E1009-$F1009,0))</f>
        <v/>
      </c>
      <c r="H1009" s="17">
        <f>IF($B1009="","",IF(ROUND($G1009,0)&gt;0,"بدهکار",IF(ROUND($G1009,0)&lt;0,"بستانکار","تسویه")))</f>
        <v/>
      </c>
    </row>
    <row r="1010">
      <c r="A1010" s="11">
        <f>IF($B1010="","",1001)</f>
        <v/>
      </c>
      <c r="B1010" s="12">
        <f>IF(426&gt;NFixedA,"",IFERROR(IF(VLOOKUP(INDEX(PkFixedA,426),AcctTblA,4,0)="","(بدون نام)",VLOOKUP(INDEX(PkFixedA,426),AcctTblA,4,0)),"—"))</f>
        <v/>
      </c>
      <c r="C1010" s="13">
        <f>IF($B1010="","",IF(426&gt;NFixedA,"",INDEX(PkFixedA,426)))</f>
        <v/>
      </c>
      <c r="D1010" s="12">
        <f>IF($B1010="","","f")</f>
        <v/>
      </c>
      <c r="E1010" s="14">
        <f>IF($B1010="","",IF(426&gt;NFixedA,0,SUMIF(CalcDebit,INDEX(PkFixedA,426),CalcAmt)+SUMIF(CalcDebit2,INDEX(PkFixedA,426),CalcAmt2)))</f>
        <v/>
      </c>
      <c r="F1010" s="14">
        <f>IF($B1010="","",IF(426&gt;NFixedA,0,SUMIF(CalcCredit,INDEX(PkFixedA,426),CalcAmt)+SUMIF(CalcCredit2,INDEX(PkFixedA,426),CalcAmt2)))</f>
        <v/>
      </c>
      <c r="G1010" s="15">
        <f>IF($B1010="","",ROUND($E1010-$F1010,0))</f>
        <v/>
      </c>
      <c r="H1010" s="12">
        <f>IF($B1010="","",IF(ROUND($G1010,0)&gt;0,"بدهکار",IF(ROUND($G1010,0)&lt;0,"بستانکار","تسویه")))</f>
        <v/>
      </c>
    </row>
    <row r="1011">
      <c r="A1011" s="16">
        <f>IF($B1011="","",1002)</f>
        <v/>
      </c>
      <c r="B1011" s="17">
        <f>IF(427&gt;NFixedA,"",IFERROR(IF(VLOOKUP(INDEX(PkFixedA,427),AcctTblA,4,0)="","(بدون نام)",VLOOKUP(INDEX(PkFixedA,427),AcctTblA,4,0)),"—"))</f>
        <v/>
      </c>
      <c r="C1011" s="18">
        <f>IF($B1011="","",IF(427&gt;NFixedA,"",INDEX(PkFixedA,427)))</f>
        <v/>
      </c>
      <c r="D1011" s="17">
        <f>IF($B1011="","","f")</f>
        <v/>
      </c>
      <c r="E1011" s="19">
        <f>IF($B1011="","",IF(427&gt;NFixedA,0,SUMIF(CalcDebit,INDEX(PkFixedA,427),CalcAmt)+SUMIF(CalcDebit2,INDEX(PkFixedA,427),CalcAmt2)))</f>
        <v/>
      </c>
      <c r="F1011" s="19">
        <f>IF($B1011="","",IF(427&gt;NFixedA,0,SUMIF(CalcCredit,INDEX(PkFixedA,427),CalcAmt)+SUMIF(CalcCredit2,INDEX(PkFixedA,427),CalcAmt2)))</f>
        <v/>
      </c>
      <c r="G1011" s="20">
        <f>IF($B1011="","",ROUND($E1011-$F1011,0))</f>
        <v/>
      </c>
      <c r="H1011" s="17">
        <f>IF($B1011="","",IF(ROUND($G1011,0)&gt;0,"بدهکار",IF(ROUND($G1011,0)&lt;0,"بستانکار","تسویه")))</f>
        <v/>
      </c>
    </row>
    <row r="1012">
      <c r="A1012" s="11">
        <f>IF($B1012="","",1003)</f>
        <v/>
      </c>
      <c r="B1012" s="12">
        <f>IF(428&gt;NFixedA,"",IFERROR(IF(VLOOKUP(INDEX(PkFixedA,428),AcctTblA,4,0)="","(بدون نام)",VLOOKUP(INDEX(PkFixedA,428),AcctTblA,4,0)),"—"))</f>
        <v/>
      </c>
      <c r="C1012" s="13">
        <f>IF($B1012="","",IF(428&gt;NFixedA,"",INDEX(PkFixedA,428)))</f>
        <v/>
      </c>
      <c r="D1012" s="12">
        <f>IF($B1012="","","f")</f>
        <v/>
      </c>
      <c r="E1012" s="14">
        <f>IF($B1012="","",IF(428&gt;NFixedA,0,SUMIF(CalcDebit,INDEX(PkFixedA,428),CalcAmt)+SUMIF(CalcDebit2,INDEX(PkFixedA,428),CalcAmt2)))</f>
        <v/>
      </c>
      <c r="F1012" s="14">
        <f>IF($B1012="","",IF(428&gt;NFixedA,0,SUMIF(CalcCredit,INDEX(PkFixedA,428),CalcAmt)+SUMIF(CalcCredit2,INDEX(PkFixedA,428),CalcAmt2)))</f>
        <v/>
      </c>
      <c r="G1012" s="15">
        <f>IF($B1012="","",ROUND($E1012-$F1012,0))</f>
        <v/>
      </c>
      <c r="H1012" s="12">
        <f>IF($B1012="","",IF(ROUND($G1012,0)&gt;0,"بدهکار",IF(ROUND($G1012,0)&lt;0,"بستانکار","تسویه")))</f>
        <v/>
      </c>
    </row>
    <row r="1013">
      <c r="A1013" s="16">
        <f>IF($B1013="","",1004)</f>
        <v/>
      </c>
      <c r="B1013" s="17">
        <f>IF(429&gt;NFixedA,"",IFERROR(IF(VLOOKUP(INDEX(PkFixedA,429),AcctTblA,4,0)="","(بدون نام)",VLOOKUP(INDEX(PkFixedA,429),AcctTblA,4,0)),"—"))</f>
        <v/>
      </c>
      <c r="C1013" s="18">
        <f>IF($B1013="","",IF(429&gt;NFixedA,"",INDEX(PkFixedA,429)))</f>
        <v/>
      </c>
      <c r="D1013" s="17">
        <f>IF($B1013="","","f")</f>
        <v/>
      </c>
      <c r="E1013" s="19">
        <f>IF($B1013="","",IF(429&gt;NFixedA,0,SUMIF(CalcDebit,INDEX(PkFixedA,429),CalcAmt)+SUMIF(CalcDebit2,INDEX(PkFixedA,429),CalcAmt2)))</f>
        <v/>
      </c>
      <c r="F1013" s="19">
        <f>IF($B1013="","",IF(429&gt;NFixedA,0,SUMIF(CalcCredit,INDEX(PkFixedA,429),CalcAmt)+SUMIF(CalcCredit2,INDEX(PkFixedA,429),CalcAmt2)))</f>
        <v/>
      </c>
      <c r="G1013" s="20">
        <f>IF($B1013="","",ROUND($E1013-$F1013,0))</f>
        <v/>
      </c>
      <c r="H1013" s="17">
        <f>IF($B1013="","",IF(ROUND($G1013,0)&gt;0,"بدهکار",IF(ROUND($G1013,0)&lt;0,"بستانکار","تسویه")))</f>
        <v/>
      </c>
    </row>
    <row r="1014">
      <c r="A1014" s="11">
        <f>IF($B1014="","",1005)</f>
        <v/>
      </c>
      <c r="B1014" s="12">
        <f>IF(430&gt;NFixedA,"",IFERROR(IF(VLOOKUP(INDEX(PkFixedA,430),AcctTblA,4,0)="","(بدون نام)",VLOOKUP(INDEX(PkFixedA,430),AcctTblA,4,0)),"—"))</f>
        <v/>
      </c>
      <c r="C1014" s="13">
        <f>IF($B1014="","",IF(430&gt;NFixedA,"",INDEX(PkFixedA,430)))</f>
        <v/>
      </c>
      <c r="D1014" s="12">
        <f>IF($B1014="","","f")</f>
        <v/>
      </c>
      <c r="E1014" s="14">
        <f>IF($B1014="","",IF(430&gt;NFixedA,0,SUMIF(CalcDebit,INDEX(PkFixedA,430),CalcAmt)+SUMIF(CalcDebit2,INDEX(PkFixedA,430),CalcAmt2)))</f>
        <v/>
      </c>
      <c r="F1014" s="14">
        <f>IF($B1014="","",IF(430&gt;NFixedA,0,SUMIF(CalcCredit,INDEX(PkFixedA,430),CalcAmt)+SUMIF(CalcCredit2,INDEX(PkFixedA,430),CalcAmt2)))</f>
        <v/>
      </c>
      <c r="G1014" s="15">
        <f>IF($B1014="","",ROUND($E1014-$F1014,0))</f>
        <v/>
      </c>
      <c r="H1014" s="12">
        <f>IF($B1014="","",IF(ROUND($G1014,0)&gt;0,"بدهکار",IF(ROUND($G1014,0)&lt;0,"بستانکار","تسویه")))</f>
        <v/>
      </c>
    </row>
    <row r="1015">
      <c r="A1015" s="16">
        <f>IF($B1015="","",1006)</f>
        <v/>
      </c>
      <c r="B1015" s="17">
        <f>IF(431&gt;NFixedA,"",IFERROR(IF(VLOOKUP(INDEX(PkFixedA,431),AcctTblA,4,0)="","(بدون نام)",VLOOKUP(INDEX(PkFixedA,431),AcctTblA,4,0)),"—"))</f>
        <v/>
      </c>
      <c r="C1015" s="18">
        <f>IF($B1015="","",IF(431&gt;NFixedA,"",INDEX(PkFixedA,431)))</f>
        <v/>
      </c>
      <c r="D1015" s="17">
        <f>IF($B1015="","","f")</f>
        <v/>
      </c>
      <c r="E1015" s="19">
        <f>IF($B1015="","",IF(431&gt;NFixedA,0,SUMIF(CalcDebit,INDEX(PkFixedA,431),CalcAmt)+SUMIF(CalcDebit2,INDEX(PkFixedA,431),CalcAmt2)))</f>
        <v/>
      </c>
      <c r="F1015" s="19">
        <f>IF($B1015="","",IF(431&gt;NFixedA,0,SUMIF(CalcCredit,INDEX(PkFixedA,431),CalcAmt)+SUMIF(CalcCredit2,INDEX(PkFixedA,431),CalcAmt2)))</f>
        <v/>
      </c>
      <c r="G1015" s="20">
        <f>IF($B1015="","",ROUND($E1015-$F1015,0))</f>
        <v/>
      </c>
      <c r="H1015" s="17">
        <f>IF($B1015="","",IF(ROUND($G1015,0)&gt;0,"بدهکار",IF(ROUND($G1015,0)&lt;0,"بستانکار","تسویه")))</f>
        <v/>
      </c>
    </row>
    <row r="1016">
      <c r="A1016" s="11">
        <f>IF($B1016="","",1007)</f>
        <v/>
      </c>
      <c r="B1016" s="12">
        <f>IF(432&gt;NFixedA,"",IFERROR(IF(VLOOKUP(INDEX(PkFixedA,432),AcctTblA,4,0)="","(بدون نام)",VLOOKUP(INDEX(PkFixedA,432),AcctTblA,4,0)),"—"))</f>
        <v/>
      </c>
      <c r="C1016" s="13">
        <f>IF($B1016="","",IF(432&gt;NFixedA,"",INDEX(PkFixedA,432)))</f>
        <v/>
      </c>
      <c r="D1016" s="12">
        <f>IF($B1016="","","f")</f>
        <v/>
      </c>
      <c r="E1016" s="14">
        <f>IF($B1016="","",IF(432&gt;NFixedA,0,SUMIF(CalcDebit,INDEX(PkFixedA,432),CalcAmt)+SUMIF(CalcDebit2,INDEX(PkFixedA,432),CalcAmt2)))</f>
        <v/>
      </c>
      <c r="F1016" s="14">
        <f>IF($B1016="","",IF(432&gt;NFixedA,0,SUMIF(CalcCredit,INDEX(PkFixedA,432),CalcAmt)+SUMIF(CalcCredit2,INDEX(PkFixedA,432),CalcAmt2)))</f>
        <v/>
      </c>
      <c r="G1016" s="15">
        <f>IF($B1016="","",ROUND($E1016-$F1016,0))</f>
        <v/>
      </c>
      <c r="H1016" s="12">
        <f>IF($B1016="","",IF(ROUND($G1016,0)&gt;0,"بدهکار",IF(ROUND($G1016,0)&lt;0,"بستانکار","تسویه")))</f>
        <v/>
      </c>
    </row>
    <row r="1017">
      <c r="A1017" s="16">
        <f>IF($B1017="","",1008)</f>
        <v/>
      </c>
      <c r="B1017" s="17">
        <f>IF(433&gt;NFixedA,"",IFERROR(IF(VLOOKUP(INDEX(PkFixedA,433),AcctTblA,4,0)="","(بدون نام)",VLOOKUP(INDEX(PkFixedA,433),AcctTblA,4,0)),"—"))</f>
        <v/>
      </c>
      <c r="C1017" s="18">
        <f>IF($B1017="","",IF(433&gt;NFixedA,"",INDEX(PkFixedA,433)))</f>
        <v/>
      </c>
      <c r="D1017" s="17">
        <f>IF($B1017="","","f")</f>
        <v/>
      </c>
      <c r="E1017" s="19">
        <f>IF($B1017="","",IF(433&gt;NFixedA,0,SUMIF(CalcDebit,INDEX(PkFixedA,433),CalcAmt)+SUMIF(CalcDebit2,INDEX(PkFixedA,433),CalcAmt2)))</f>
        <v/>
      </c>
      <c r="F1017" s="19">
        <f>IF($B1017="","",IF(433&gt;NFixedA,0,SUMIF(CalcCredit,INDEX(PkFixedA,433),CalcAmt)+SUMIF(CalcCredit2,INDEX(PkFixedA,433),CalcAmt2)))</f>
        <v/>
      </c>
      <c r="G1017" s="20">
        <f>IF($B1017="","",ROUND($E1017-$F1017,0))</f>
        <v/>
      </c>
      <c r="H1017" s="17">
        <f>IF($B1017="","",IF(ROUND($G1017,0)&gt;0,"بدهکار",IF(ROUND($G1017,0)&lt;0,"بستانکار","تسویه")))</f>
        <v/>
      </c>
    </row>
    <row r="1018">
      <c r="A1018" s="11">
        <f>IF($B1018="","",1009)</f>
        <v/>
      </c>
      <c r="B1018" s="12">
        <f>IF(434&gt;NFixedA,"",IFERROR(IF(VLOOKUP(INDEX(PkFixedA,434),AcctTblA,4,0)="","(بدون نام)",VLOOKUP(INDEX(PkFixedA,434),AcctTblA,4,0)),"—"))</f>
        <v/>
      </c>
      <c r="C1018" s="13">
        <f>IF($B1018="","",IF(434&gt;NFixedA,"",INDEX(PkFixedA,434)))</f>
        <v/>
      </c>
      <c r="D1018" s="12">
        <f>IF($B1018="","","f")</f>
        <v/>
      </c>
      <c r="E1018" s="14">
        <f>IF($B1018="","",IF(434&gt;NFixedA,0,SUMIF(CalcDebit,INDEX(PkFixedA,434),CalcAmt)+SUMIF(CalcDebit2,INDEX(PkFixedA,434),CalcAmt2)))</f>
        <v/>
      </c>
      <c r="F1018" s="14">
        <f>IF($B1018="","",IF(434&gt;NFixedA,0,SUMIF(CalcCredit,INDEX(PkFixedA,434),CalcAmt)+SUMIF(CalcCredit2,INDEX(PkFixedA,434),CalcAmt2)))</f>
        <v/>
      </c>
      <c r="G1018" s="15">
        <f>IF($B1018="","",ROUND($E1018-$F1018,0))</f>
        <v/>
      </c>
      <c r="H1018" s="12">
        <f>IF($B1018="","",IF(ROUND($G1018,0)&gt;0,"بدهکار",IF(ROUND($G1018,0)&lt;0,"بستانکار","تسویه")))</f>
        <v/>
      </c>
    </row>
    <row r="1019">
      <c r="A1019" s="16">
        <f>IF($B1019="","",1010)</f>
        <v/>
      </c>
      <c r="B1019" s="17">
        <f>IF(435&gt;NFixedA,"",IFERROR(IF(VLOOKUP(INDEX(PkFixedA,435),AcctTblA,4,0)="","(بدون نام)",VLOOKUP(INDEX(PkFixedA,435),AcctTblA,4,0)),"—"))</f>
        <v/>
      </c>
      <c r="C1019" s="18">
        <f>IF($B1019="","",IF(435&gt;NFixedA,"",INDEX(PkFixedA,435)))</f>
        <v/>
      </c>
      <c r="D1019" s="17">
        <f>IF($B1019="","","f")</f>
        <v/>
      </c>
      <c r="E1019" s="19">
        <f>IF($B1019="","",IF(435&gt;NFixedA,0,SUMIF(CalcDebit,INDEX(PkFixedA,435),CalcAmt)+SUMIF(CalcDebit2,INDEX(PkFixedA,435),CalcAmt2)))</f>
        <v/>
      </c>
      <c r="F1019" s="19">
        <f>IF($B1019="","",IF(435&gt;NFixedA,0,SUMIF(CalcCredit,INDEX(PkFixedA,435),CalcAmt)+SUMIF(CalcCredit2,INDEX(PkFixedA,435),CalcAmt2)))</f>
        <v/>
      </c>
      <c r="G1019" s="20">
        <f>IF($B1019="","",ROUND($E1019-$F1019,0))</f>
        <v/>
      </c>
      <c r="H1019" s="17">
        <f>IF($B1019="","",IF(ROUND($G1019,0)&gt;0,"بدهکار",IF(ROUND($G1019,0)&lt;0,"بستانکار","تسویه")))</f>
        <v/>
      </c>
    </row>
    <row r="1020">
      <c r="A1020" s="11">
        <f>IF($B1020="","",1011)</f>
        <v/>
      </c>
      <c r="B1020" s="12">
        <f>IF(436&gt;NFixedA,"",IFERROR(IF(VLOOKUP(INDEX(PkFixedA,436),AcctTblA,4,0)="","(بدون نام)",VLOOKUP(INDEX(PkFixedA,436),AcctTblA,4,0)),"—"))</f>
        <v/>
      </c>
      <c r="C1020" s="13">
        <f>IF($B1020="","",IF(436&gt;NFixedA,"",INDEX(PkFixedA,436)))</f>
        <v/>
      </c>
      <c r="D1020" s="12">
        <f>IF($B1020="","","f")</f>
        <v/>
      </c>
      <c r="E1020" s="14">
        <f>IF($B1020="","",IF(436&gt;NFixedA,0,SUMIF(CalcDebit,INDEX(PkFixedA,436),CalcAmt)+SUMIF(CalcDebit2,INDEX(PkFixedA,436),CalcAmt2)))</f>
        <v/>
      </c>
      <c r="F1020" s="14">
        <f>IF($B1020="","",IF(436&gt;NFixedA,0,SUMIF(CalcCredit,INDEX(PkFixedA,436),CalcAmt)+SUMIF(CalcCredit2,INDEX(PkFixedA,436),CalcAmt2)))</f>
        <v/>
      </c>
      <c r="G1020" s="15">
        <f>IF($B1020="","",ROUND($E1020-$F1020,0))</f>
        <v/>
      </c>
      <c r="H1020" s="12">
        <f>IF($B1020="","",IF(ROUND($G1020,0)&gt;0,"بدهکار",IF(ROUND($G1020,0)&lt;0,"بستانکار","تسویه")))</f>
        <v/>
      </c>
    </row>
    <row r="1021">
      <c r="A1021" s="16">
        <f>IF($B1021="","",1012)</f>
        <v/>
      </c>
      <c r="B1021" s="17">
        <f>IF(437&gt;NFixedA,"",IFERROR(IF(VLOOKUP(INDEX(PkFixedA,437),AcctTblA,4,0)="","(بدون نام)",VLOOKUP(INDEX(PkFixedA,437),AcctTblA,4,0)),"—"))</f>
        <v/>
      </c>
      <c r="C1021" s="18">
        <f>IF($B1021="","",IF(437&gt;NFixedA,"",INDEX(PkFixedA,437)))</f>
        <v/>
      </c>
      <c r="D1021" s="17">
        <f>IF($B1021="","","f")</f>
        <v/>
      </c>
      <c r="E1021" s="19">
        <f>IF($B1021="","",IF(437&gt;NFixedA,0,SUMIF(CalcDebit,INDEX(PkFixedA,437),CalcAmt)+SUMIF(CalcDebit2,INDEX(PkFixedA,437),CalcAmt2)))</f>
        <v/>
      </c>
      <c r="F1021" s="19">
        <f>IF($B1021="","",IF(437&gt;NFixedA,0,SUMIF(CalcCredit,INDEX(PkFixedA,437),CalcAmt)+SUMIF(CalcCredit2,INDEX(PkFixedA,437),CalcAmt2)))</f>
        <v/>
      </c>
      <c r="G1021" s="20">
        <f>IF($B1021="","",ROUND($E1021-$F1021,0))</f>
        <v/>
      </c>
      <c r="H1021" s="17">
        <f>IF($B1021="","",IF(ROUND($G1021,0)&gt;0,"بدهکار",IF(ROUND($G1021,0)&lt;0,"بستانکار","تسویه")))</f>
        <v/>
      </c>
    </row>
    <row r="1022">
      <c r="A1022" s="11">
        <f>IF($B1022="","",1013)</f>
        <v/>
      </c>
      <c r="B1022" s="12">
        <f>IF(438&gt;NFixedA,"",IFERROR(IF(VLOOKUP(INDEX(PkFixedA,438),AcctTblA,4,0)="","(بدون نام)",VLOOKUP(INDEX(PkFixedA,438),AcctTblA,4,0)),"—"))</f>
        <v/>
      </c>
      <c r="C1022" s="13">
        <f>IF($B1022="","",IF(438&gt;NFixedA,"",INDEX(PkFixedA,438)))</f>
        <v/>
      </c>
      <c r="D1022" s="12">
        <f>IF($B1022="","","f")</f>
        <v/>
      </c>
      <c r="E1022" s="14">
        <f>IF($B1022="","",IF(438&gt;NFixedA,0,SUMIF(CalcDebit,INDEX(PkFixedA,438),CalcAmt)+SUMIF(CalcDebit2,INDEX(PkFixedA,438),CalcAmt2)))</f>
        <v/>
      </c>
      <c r="F1022" s="14">
        <f>IF($B1022="","",IF(438&gt;NFixedA,0,SUMIF(CalcCredit,INDEX(PkFixedA,438),CalcAmt)+SUMIF(CalcCredit2,INDEX(PkFixedA,438),CalcAmt2)))</f>
        <v/>
      </c>
      <c r="G1022" s="15">
        <f>IF($B1022="","",ROUND($E1022-$F1022,0))</f>
        <v/>
      </c>
      <c r="H1022" s="12">
        <f>IF($B1022="","",IF(ROUND($G1022,0)&gt;0,"بدهکار",IF(ROUND($G1022,0)&lt;0,"بستانکار","تسویه")))</f>
        <v/>
      </c>
    </row>
    <row r="1023">
      <c r="A1023" s="16">
        <f>IF($B1023="","",1014)</f>
        <v/>
      </c>
      <c r="B1023" s="17">
        <f>IF(439&gt;NFixedA,"",IFERROR(IF(VLOOKUP(INDEX(PkFixedA,439),AcctTblA,4,0)="","(بدون نام)",VLOOKUP(INDEX(PkFixedA,439),AcctTblA,4,0)),"—"))</f>
        <v/>
      </c>
      <c r="C1023" s="18">
        <f>IF($B1023="","",IF(439&gt;NFixedA,"",INDEX(PkFixedA,439)))</f>
        <v/>
      </c>
      <c r="D1023" s="17">
        <f>IF($B1023="","","f")</f>
        <v/>
      </c>
      <c r="E1023" s="19">
        <f>IF($B1023="","",IF(439&gt;NFixedA,0,SUMIF(CalcDebit,INDEX(PkFixedA,439),CalcAmt)+SUMIF(CalcDebit2,INDEX(PkFixedA,439),CalcAmt2)))</f>
        <v/>
      </c>
      <c r="F1023" s="19">
        <f>IF($B1023="","",IF(439&gt;NFixedA,0,SUMIF(CalcCredit,INDEX(PkFixedA,439),CalcAmt)+SUMIF(CalcCredit2,INDEX(PkFixedA,439),CalcAmt2)))</f>
        <v/>
      </c>
      <c r="G1023" s="20">
        <f>IF($B1023="","",ROUND($E1023-$F1023,0))</f>
        <v/>
      </c>
      <c r="H1023" s="17">
        <f>IF($B1023="","",IF(ROUND($G1023,0)&gt;0,"بدهکار",IF(ROUND($G1023,0)&lt;0,"بستانکار","تسویه")))</f>
        <v/>
      </c>
    </row>
    <row r="1024">
      <c r="A1024" s="11">
        <f>IF($B1024="","",1015)</f>
        <v/>
      </c>
      <c r="B1024" s="12">
        <f>IF(440&gt;NFixedA,"",IFERROR(IF(VLOOKUP(INDEX(PkFixedA,440),AcctTblA,4,0)="","(بدون نام)",VLOOKUP(INDEX(PkFixedA,440),AcctTblA,4,0)),"—"))</f>
        <v/>
      </c>
      <c r="C1024" s="13">
        <f>IF($B1024="","",IF(440&gt;NFixedA,"",INDEX(PkFixedA,440)))</f>
        <v/>
      </c>
      <c r="D1024" s="12">
        <f>IF($B1024="","","f")</f>
        <v/>
      </c>
      <c r="E1024" s="14">
        <f>IF($B1024="","",IF(440&gt;NFixedA,0,SUMIF(CalcDebit,INDEX(PkFixedA,440),CalcAmt)+SUMIF(CalcDebit2,INDEX(PkFixedA,440),CalcAmt2)))</f>
        <v/>
      </c>
      <c r="F1024" s="14">
        <f>IF($B1024="","",IF(440&gt;NFixedA,0,SUMIF(CalcCredit,INDEX(PkFixedA,440),CalcAmt)+SUMIF(CalcCredit2,INDEX(PkFixedA,440),CalcAmt2)))</f>
        <v/>
      </c>
      <c r="G1024" s="15">
        <f>IF($B1024="","",ROUND($E1024-$F1024,0))</f>
        <v/>
      </c>
      <c r="H1024" s="12">
        <f>IF($B1024="","",IF(ROUND($G1024,0)&gt;0,"بدهکار",IF(ROUND($G1024,0)&lt;0,"بستانکار","تسویه")))</f>
        <v/>
      </c>
    </row>
    <row r="1025">
      <c r="A1025" s="16">
        <f>IF($B1025="","",1016)</f>
        <v/>
      </c>
      <c r="B1025" s="17">
        <f>IF(441&gt;NFixedA,"",IFERROR(IF(VLOOKUP(INDEX(PkFixedA,441),AcctTblA,4,0)="","(بدون نام)",VLOOKUP(INDEX(PkFixedA,441),AcctTblA,4,0)),"—"))</f>
        <v/>
      </c>
      <c r="C1025" s="18">
        <f>IF($B1025="","",IF(441&gt;NFixedA,"",INDEX(PkFixedA,441)))</f>
        <v/>
      </c>
      <c r="D1025" s="17">
        <f>IF($B1025="","","f")</f>
        <v/>
      </c>
      <c r="E1025" s="19">
        <f>IF($B1025="","",IF(441&gt;NFixedA,0,SUMIF(CalcDebit,INDEX(PkFixedA,441),CalcAmt)+SUMIF(CalcDebit2,INDEX(PkFixedA,441),CalcAmt2)))</f>
        <v/>
      </c>
      <c r="F1025" s="19">
        <f>IF($B1025="","",IF(441&gt;NFixedA,0,SUMIF(CalcCredit,INDEX(PkFixedA,441),CalcAmt)+SUMIF(CalcCredit2,INDEX(PkFixedA,441),CalcAmt2)))</f>
        <v/>
      </c>
      <c r="G1025" s="20">
        <f>IF($B1025="","",ROUND($E1025-$F1025,0))</f>
        <v/>
      </c>
      <c r="H1025" s="17">
        <f>IF($B1025="","",IF(ROUND($G1025,0)&gt;0,"بدهکار",IF(ROUND($G1025,0)&lt;0,"بستانکار","تسویه")))</f>
        <v/>
      </c>
    </row>
    <row r="1026">
      <c r="A1026" s="11">
        <f>IF($B1026="","",1017)</f>
        <v/>
      </c>
      <c r="B1026" s="12">
        <f>IF(442&gt;NFixedA,"",IFERROR(IF(VLOOKUP(INDEX(PkFixedA,442),AcctTblA,4,0)="","(بدون نام)",VLOOKUP(INDEX(PkFixedA,442),AcctTblA,4,0)),"—"))</f>
        <v/>
      </c>
      <c r="C1026" s="13">
        <f>IF($B1026="","",IF(442&gt;NFixedA,"",INDEX(PkFixedA,442)))</f>
        <v/>
      </c>
      <c r="D1026" s="12">
        <f>IF($B1026="","","f")</f>
        <v/>
      </c>
      <c r="E1026" s="14">
        <f>IF($B1026="","",IF(442&gt;NFixedA,0,SUMIF(CalcDebit,INDEX(PkFixedA,442),CalcAmt)+SUMIF(CalcDebit2,INDEX(PkFixedA,442),CalcAmt2)))</f>
        <v/>
      </c>
      <c r="F1026" s="14">
        <f>IF($B1026="","",IF(442&gt;NFixedA,0,SUMIF(CalcCredit,INDEX(PkFixedA,442),CalcAmt)+SUMIF(CalcCredit2,INDEX(PkFixedA,442),CalcAmt2)))</f>
        <v/>
      </c>
      <c r="G1026" s="15">
        <f>IF($B1026="","",ROUND($E1026-$F1026,0))</f>
        <v/>
      </c>
      <c r="H1026" s="12">
        <f>IF($B1026="","",IF(ROUND($G1026,0)&gt;0,"بدهکار",IF(ROUND($G1026,0)&lt;0,"بستانکار","تسویه")))</f>
        <v/>
      </c>
    </row>
    <row r="1027">
      <c r="A1027" s="16">
        <f>IF($B1027="","",1018)</f>
        <v/>
      </c>
      <c r="B1027" s="17">
        <f>IF(443&gt;NFixedA,"",IFERROR(IF(VLOOKUP(INDEX(PkFixedA,443),AcctTblA,4,0)="","(بدون نام)",VLOOKUP(INDEX(PkFixedA,443),AcctTblA,4,0)),"—"))</f>
        <v/>
      </c>
      <c r="C1027" s="18">
        <f>IF($B1027="","",IF(443&gt;NFixedA,"",INDEX(PkFixedA,443)))</f>
        <v/>
      </c>
      <c r="D1027" s="17">
        <f>IF($B1027="","","f")</f>
        <v/>
      </c>
      <c r="E1027" s="19">
        <f>IF($B1027="","",IF(443&gt;NFixedA,0,SUMIF(CalcDebit,INDEX(PkFixedA,443),CalcAmt)+SUMIF(CalcDebit2,INDEX(PkFixedA,443),CalcAmt2)))</f>
        <v/>
      </c>
      <c r="F1027" s="19">
        <f>IF($B1027="","",IF(443&gt;NFixedA,0,SUMIF(CalcCredit,INDEX(PkFixedA,443),CalcAmt)+SUMIF(CalcCredit2,INDEX(PkFixedA,443),CalcAmt2)))</f>
        <v/>
      </c>
      <c r="G1027" s="20">
        <f>IF($B1027="","",ROUND($E1027-$F1027,0))</f>
        <v/>
      </c>
      <c r="H1027" s="17">
        <f>IF($B1027="","",IF(ROUND($G1027,0)&gt;0,"بدهکار",IF(ROUND($G1027,0)&lt;0,"بستانکار","تسویه")))</f>
        <v/>
      </c>
    </row>
    <row r="1028">
      <c r="A1028" s="11">
        <f>IF($B1028="","",1019)</f>
        <v/>
      </c>
      <c r="B1028" s="12">
        <f>IF(444&gt;NFixedA,"",IFERROR(IF(VLOOKUP(INDEX(PkFixedA,444),AcctTblA,4,0)="","(بدون نام)",VLOOKUP(INDEX(PkFixedA,444),AcctTblA,4,0)),"—"))</f>
        <v/>
      </c>
      <c r="C1028" s="13">
        <f>IF($B1028="","",IF(444&gt;NFixedA,"",INDEX(PkFixedA,444)))</f>
        <v/>
      </c>
      <c r="D1028" s="12">
        <f>IF($B1028="","","f")</f>
        <v/>
      </c>
      <c r="E1028" s="14">
        <f>IF($B1028="","",IF(444&gt;NFixedA,0,SUMIF(CalcDebit,INDEX(PkFixedA,444),CalcAmt)+SUMIF(CalcDebit2,INDEX(PkFixedA,444),CalcAmt2)))</f>
        <v/>
      </c>
      <c r="F1028" s="14">
        <f>IF($B1028="","",IF(444&gt;NFixedA,0,SUMIF(CalcCredit,INDEX(PkFixedA,444),CalcAmt)+SUMIF(CalcCredit2,INDEX(PkFixedA,444),CalcAmt2)))</f>
        <v/>
      </c>
      <c r="G1028" s="15">
        <f>IF($B1028="","",ROUND($E1028-$F1028,0))</f>
        <v/>
      </c>
      <c r="H1028" s="12">
        <f>IF($B1028="","",IF(ROUND($G1028,0)&gt;0,"بدهکار",IF(ROUND($G1028,0)&lt;0,"بستانکار","تسویه")))</f>
        <v/>
      </c>
    </row>
    <row r="1029">
      <c r="A1029" s="16">
        <f>IF($B1029="","",1020)</f>
        <v/>
      </c>
      <c r="B1029" s="17">
        <f>IF(445&gt;NFixedA,"",IFERROR(IF(VLOOKUP(INDEX(PkFixedA,445),AcctTblA,4,0)="","(بدون نام)",VLOOKUP(INDEX(PkFixedA,445),AcctTblA,4,0)),"—"))</f>
        <v/>
      </c>
      <c r="C1029" s="18">
        <f>IF($B1029="","",IF(445&gt;NFixedA,"",INDEX(PkFixedA,445)))</f>
        <v/>
      </c>
      <c r="D1029" s="17">
        <f>IF($B1029="","","f")</f>
        <v/>
      </c>
      <c r="E1029" s="19">
        <f>IF($B1029="","",IF(445&gt;NFixedA,0,SUMIF(CalcDebit,INDEX(PkFixedA,445),CalcAmt)+SUMIF(CalcDebit2,INDEX(PkFixedA,445),CalcAmt2)))</f>
        <v/>
      </c>
      <c r="F1029" s="19">
        <f>IF($B1029="","",IF(445&gt;NFixedA,0,SUMIF(CalcCredit,INDEX(PkFixedA,445),CalcAmt)+SUMIF(CalcCredit2,INDEX(PkFixedA,445),CalcAmt2)))</f>
        <v/>
      </c>
      <c r="G1029" s="20">
        <f>IF($B1029="","",ROUND($E1029-$F1029,0))</f>
        <v/>
      </c>
      <c r="H1029" s="17">
        <f>IF($B1029="","",IF(ROUND($G1029,0)&gt;0,"بدهکار",IF(ROUND($G1029,0)&lt;0,"بستانکار","تسویه")))</f>
        <v/>
      </c>
    </row>
    <row r="1030">
      <c r="A1030" s="11">
        <f>IF($B1030="","",1021)</f>
        <v/>
      </c>
      <c r="B1030" s="12">
        <f>IF(446&gt;NFixedA,"",IFERROR(IF(VLOOKUP(INDEX(PkFixedA,446),AcctTblA,4,0)="","(بدون نام)",VLOOKUP(INDEX(PkFixedA,446),AcctTblA,4,0)),"—"))</f>
        <v/>
      </c>
      <c r="C1030" s="13">
        <f>IF($B1030="","",IF(446&gt;NFixedA,"",INDEX(PkFixedA,446)))</f>
        <v/>
      </c>
      <c r="D1030" s="12">
        <f>IF($B1030="","","f")</f>
        <v/>
      </c>
      <c r="E1030" s="14">
        <f>IF($B1030="","",IF(446&gt;NFixedA,0,SUMIF(CalcDebit,INDEX(PkFixedA,446),CalcAmt)+SUMIF(CalcDebit2,INDEX(PkFixedA,446),CalcAmt2)))</f>
        <v/>
      </c>
      <c r="F1030" s="14">
        <f>IF($B1030="","",IF(446&gt;NFixedA,0,SUMIF(CalcCredit,INDEX(PkFixedA,446),CalcAmt)+SUMIF(CalcCredit2,INDEX(PkFixedA,446),CalcAmt2)))</f>
        <v/>
      </c>
      <c r="G1030" s="15">
        <f>IF($B1030="","",ROUND($E1030-$F1030,0))</f>
        <v/>
      </c>
      <c r="H1030" s="12">
        <f>IF($B1030="","",IF(ROUND($G1030,0)&gt;0,"بدهکار",IF(ROUND($G1030,0)&lt;0,"بستانکار","تسویه")))</f>
        <v/>
      </c>
    </row>
    <row r="1031">
      <c r="A1031" s="16">
        <f>IF($B1031="","",1022)</f>
        <v/>
      </c>
      <c r="B1031" s="17">
        <f>IF(447&gt;NFixedA,"",IFERROR(IF(VLOOKUP(INDEX(PkFixedA,447),AcctTblA,4,0)="","(بدون نام)",VLOOKUP(INDEX(PkFixedA,447),AcctTblA,4,0)),"—"))</f>
        <v/>
      </c>
      <c r="C1031" s="18">
        <f>IF($B1031="","",IF(447&gt;NFixedA,"",INDEX(PkFixedA,447)))</f>
        <v/>
      </c>
      <c r="D1031" s="17">
        <f>IF($B1031="","","f")</f>
        <v/>
      </c>
      <c r="E1031" s="19">
        <f>IF($B1031="","",IF(447&gt;NFixedA,0,SUMIF(CalcDebit,INDEX(PkFixedA,447),CalcAmt)+SUMIF(CalcDebit2,INDEX(PkFixedA,447),CalcAmt2)))</f>
        <v/>
      </c>
      <c r="F1031" s="19">
        <f>IF($B1031="","",IF(447&gt;NFixedA,0,SUMIF(CalcCredit,INDEX(PkFixedA,447),CalcAmt)+SUMIF(CalcCredit2,INDEX(PkFixedA,447),CalcAmt2)))</f>
        <v/>
      </c>
      <c r="G1031" s="20">
        <f>IF($B1031="","",ROUND($E1031-$F1031,0))</f>
        <v/>
      </c>
      <c r="H1031" s="17">
        <f>IF($B1031="","",IF(ROUND($G1031,0)&gt;0,"بدهکار",IF(ROUND($G1031,0)&lt;0,"بستانکار","تسویه")))</f>
        <v/>
      </c>
    </row>
    <row r="1032">
      <c r="A1032" s="11">
        <f>IF($B1032="","",1023)</f>
        <v/>
      </c>
      <c r="B1032" s="12">
        <f>IF(448&gt;NFixedA,"",IFERROR(IF(VLOOKUP(INDEX(PkFixedA,448),AcctTblA,4,0)="","(بدون نام)",VLOOKUP(INDEX(PkFixedA,448),AcctTblA,4,0)),"—"))</f>
        <v/>
      </c>
      <c r="C1032" s="13">
        <f>IF($B1032="","",IF(448&gt;NFixedA,"",INDEX(PkFixedA,448)))</f>
        <v/>
      </c>
      <c r="D1032" s="12">
        <f>IF($B1032="","","f")</f>
        <v/>
      </c>
      <c r="E1032" s="14">
        <f>IF($B1032="","",IF(448&gt;NFixedA,0,SUMIF(CalcDebit,INDEX(PkFixedA,448),CalcAmt)+SUMIF(CalcDebit2,INDEX(PkFixedA,448),CalcAmt2)))</f>
        <v/>
      </c>
      <c r="F1032" s="14">
        <f>IF($B1032="","",IF(448&gt;NFixedA,0,SUMIF(CalcCredit,INDEX(PkFixedA,448),CalcAmt)+SUMIF(CalcCredit2,INDEX(PkFixedA,448),CalcAmt2)))</f>
        <v/>
      </c>
      <c r="G1032" s="15">
        <f>IF($B1032="","",ROUND($E1032-$F1032,0))</f>
        <v/>
      </c>
      <c r="H1032" s="12">
        <f>IF($B1032="","",IF(ROUND($G1032,0)&gt;0,"بدهکار",IF(ROUND($G1032,0)&lt;0,"بستانکار","تسویه")))</f>
        <v/>
      </c>
    </row>
    <row r="1033">
      <c r="A1033" s="16">
        <f>IF($B1033="","",1024)</f>
        <v/>
      </c>
      <c r="B1033" s="17">
        <f>IF(449&gt;NFixedA,"",IFERROR(IF(VLOOKUP(INDEX(PkFixedA,449),AcctTblA,4,0)="","(بدون نام)",VLOOKUP(INDEX(PkFixedA,449),AcctTblA,4,0)),"—"))</f>
        <v/>
      </c>
      <c r="C1033" s="18">
        <f>IF($B1033="","",IF(449&gt;NFixedA,"",INDEX(PkFixedA,449)))</f>
        <v/>
      </c>
      <c r="D1033" s="17">
        <f>IF($B1033="","","f")</f>
        <v/>
      </c>
      <c r="E1033" s="19">
        <f>IF($B1033="","",IF(449&gt;NFixedA,0,SUMIF(CalcDebit,INDEX(PkFixedA,449),CalcAmt)+SUMIF(CalcDebit2,INDEX(PkFixedA,449),CalcAmt2)))</f>
        <v/>
      </c>
      <c r="F1033" s="19">
        <f>IF($B1033="","",IF(449&gt;NFixedA,0,SUMIF(CalcCredit,INDEX(PkFixedA,449),CalcAmt)+SUMIF(CalcCredit2,INDEX(PkFixedA,449),CalcAmt2)))</f>
        <v/>
      </c>
      <c r="G1033" s="20">
        <f>IF($B1033="","",ROUND($E1033-$F1033,0))</f>
        <v/>
      </c>
      <c r="H1033" s="17">
        <f>IF($B1033="","",IF(ROUND($G1033,0)&gt;0,"بدهکار",IF(ROUND($G1033,0)&lt;0,"بستانکار","تسویه")))</f>
        <v/>
      </c>
    </row>
    <row r="1034">
      <c r="A1034" s="11">
        <f>IF($B1034="","",1025)</f>
        <v/>
      </c>
      <c r="B1034" s="12">
        <f>IF(450&gt;NFixedA,"",IFERROR(IF(VLOOKUP(INDEX(PkFixedA,450),AcctTblA,4,0)="","(بدون نام)",VLOOKUP(INDEX(PkFixedA,450),AcctTblA,4,0)),"—"))</f>
        <v/>
      </c>
      <c r="C1034" s="13">
        <f>IF($B1034="","",IF(450&gt;NFixedA,"",INDEX(PkFixedA,450)))</f>
        <v/>
      </c>
      <c r="D1034" s="12">
        <f>IF($B1034="","","f")</f>
        <v/>
      </c>
      <c r="E1034" s="14">
        <f>IF($B1034="","",IF(450&gt;NFixedA,0,SUMIF(CalcDebit,INDEX(PkFixedA,450),CalcAmt)+SUMIF(CalcDebit2,INDEX(PkFixedA,450),CalcAmt2)))</f>
        <v/>
      </c>
      <c r="F1034" s="14">
        <f>IF($B1034="","",IF(450&gt;NFixedA,0,SUMIF(CalcCredit,INDEX(PkFixedA,450),CalcAmt)+SUMIF(CalcCredit2,INDEX(PkFixedA,450),CalcAmt2)))</f>
        <v/>
      </c>
      <c r="G1034" s="15">
        <f>IF($B1034="","",ROUND($E1034-$F1034,0))</f>
        <v/>
      </c>
      <c r="H1034" s="12">
        <f>IF($B1034="","",IF(ROUND($G1034,0)&gt;0,"بدهکار",IF(ROUND($G1034,0)&lt;0,"بستانکار","تسویه")))</f>
        <v/>
      </c>
    </row>
    <row r="1035">
      <c r="A1035" s="16">
        <f>IF($B1035="","",1026)</f>
        <v/>
      </c>
      <c r="B1035" s="17">
        <f>IF(451&gt;NFixedA,"",IFERROR(IF(VLOOKUP(INDEX(PkFixedA,451),AcctTblA,4,0)="","(بدون نام)",VLOOKUP(INDEX(PkFixedA,451),AcctTblA,4,0)),"—"))</f>
        <v/>
      </c>
      <c r="C1035" s="18">
        <f>IF($B1035="","",IF(451&gt;NFixedA,"",INDEX(PkFixedA,451)))</f>
        <v/>
      </c>
      <c r="D1035" s="17">
        <f>IF($B1035="","","f")</f>
        <v/>
      </c>
      <c r="E1035" s="19">
        <f>IF($B1035="","",IF(451&gt;NFixedA,0,SUMIF(CalcDebit,INDEX(PkFixedA,451),CalcAmt)+SUMIF(CalcDebit2,INDEX(PkFixedA,451),CalcAmt2)))</f>
        <v/>
      </c>
      <c r="F1035" s="19">
        <f>IF($B1035="","",IF(451&gt;NFixedA,0,SUMIF(CalcCredit,INDEX(PkFixedA,451),CalcAmt)+SUMIF(CalcCredit2,INDEX(PkFixedA,451),CalcAmt2)))</f>
        <v/>
      </c>
      <c r="G1035" s="20">
        <f>IF($B1035="","",ROUND($E1035-$F1035,0))</f>
        <v/>
      </c>
      <c r="H1035" s="17">
        <f>IF($B1035="","",IF(ROUND($G1035,0)&gt;0,"بدهکار",IF(ROUND($G1035,0)&lt;0,"بستانکار","تسویه")))</f>
        <v/>
      </c>
    </row>
    <row r="1036">
      <c r="A1036" s="11">
        <f>IF($B1036="","",1027)</f>
        <v/>
      </c>
      <c r="B1036" s="12">
        <f>IF(452&gt;NFixedA,"",IFERROR(IF(VLOOKUP(INDEX(PkFixedA,452),AcctTblA,4,0)="","(بدون نام)",VLOOKUP(INDEX(PkFixedA,452),AcctTblA,4,0)),"—"))</f>
        <v/>
      </c>
      <c r="C1036" s="13">
        <f>IF($B1036="","",IF(452&gt;NFixedA,"",INDEX(PkFixedA,452)))</f>
        <v/>
      </c>
      <c r="D1036" s="12">
        <f>IF($B1036="","","f")</f>
        <v/>
      </c>
      <c r="E1036" s="14">
        <f>IF($B1036="","",IF(452&gt;NFixedA,0,SUMIF(CalcDebit,INDEX(PkFixedA,452),CalcAmt)+SUMIF(CalcDebit2,INDEX(PkFixedA,452),CalcAmt2)))</f>
        <v/>
      </c>
      <c r="F1036" s="14">
        <f>IF($B1036="","",IF(452&gt;NFixedA,0,SUMIF(CalcCredit,INDEX(PkFixedA,452),CalcAmt)+SUMIF(CalcCredit2,INDEX(PkFixedA,452),CalcAmt2)))</f>
        <v/>
      </c>
      <c r="G1036" s="15">
        <f>IF($B1036="","",ROUND($E1036-$F1036,0))</f>
        <v/>
      </c>
      <c r="H1036" s="12">
        <f>IF($B1036="","",IF(ROUND($G1036,0)&gt;0,"بدهکار",IF(ROUND($G1036,0)&lt;0,"بستانکار","تسویه")))</f>
        <v/>
      </c>
    </row>
    <row r="1037">
      <c r="A1037" s="16">
        <f>IF($B1037="","",1028)</f>
        <v/>
      </c>
      <c r="B1037" s="17">
        <f>IF(453&gt;NFixedA,"",IFERROR(IF(VLOOKUP(INDEX(PkFixedA,453),AcctTblA,4,0)="","(بدون نام)",VLOOKUP(INDEX(PkFixedA,453),AcctTblA,4,0)),"—"))</f>
        <v/>
      </c>
      <c r="C1037" s="18">
        <f>IF($B1037="","",IF(453&gt;NFixedA,"",INDEX(PkFixedA,453)))</f>
        <v/>
      </c>
      <c r="D1037" s="17">
        <f>IF($B1037="","","f")</f>
        <v/>
      </c>
      <c r="E1037" s="19">
        <f>IF($B1037="","",IF(453&gt;NFixedA,0,SUMIF(CalcDebit,INDEX(PkFixedA,453),CalcAmt)+SUMIF(CalcDebit2,INDEX(PkFixedA,453),CalcAmt2)))</f>
        <v/>
      </c>
      <c r="F1037" s="19">
        <f>IF($B1037="","",IF(453&gt;NFixedA,0,SUMIF(CalcCredit,INDEX(PkFixedA,453),CalcAmt)+SUMIF(CalcCredit2,INDEX(PkFixedA,453),CalcAmt2)))</f>
        <v/>
      </c>
      <c r="G1037" s="20">
        <f>IF($B1037="","",ROUND($E1037-$F1037,0))</f>
        <v/>
      </c>
      <c r="H1037" s="17">
        <f>IF($B1037="","",IF(ROUND($G1037,0)&gt;0,"بدهکار",IF(ROUND($G1037,0)&lt;0,"بستانکار","تسویه")))</f>
        <v/>
      </c>
    </row>
    <row r="1038">
      <c r="A1038" s="11">
        <f>IF($B1038="","",1029)</f>
        <v/>
      </c>
      <c r="B1038" s="12">
        <f>IF(454&gt;NFixedA,"",IFERROR(IF(VLOOKUP(INDEX(PkFixedA,454),AcctTblA,4,0)="","(بدون نام)",VLOOKUP(INDEX(PkFixedA,454),AcctTblA,4,0)),"—"))</f>
        <v/>
      </c>
      <c r="C1038" s="13">
        <f>IF($B1038="","",IF(454&gt;NFixedA,"",INDEX(PkFixedA,454)))</f>
        <v/>
      </c>
      <c r="D1038" s="12">
        <f>IF($B1038="","","f")</f>
        <v/>
      </c>
      <c r="E1038" s="14">
        <f>IF($B1038="","",IF(454&gt;NFixedA,0,SUMIF(CalcDebit,INDEX(PkFixedA,454),CalcAmt)+SUMIF(CalcDebit2,INDEX(PkFixedA,454),CalcAmt2)))</f>
        <v/>
      </c>
      <c r="F1038" s="14">
        <f>IF($B1038="","",IF(454&gt;NFixedA,0,SUMIF(CalcCredit,INDEX(PkFixedA,454),CalcAmt)+SUMIF(CalcCredit2,INDEX(PkFixedA,454),CalcAmt2)))</f>
        <v/>
      </c>
      <c r="G1038" s="15">
        <f>IF($B1038="","",ROUND($E1038-$F1038,0))</f>
        <v/>
      </c>
      <c r="H1038" s="12">
        <f>IF($B1038="","",IF(ROUND($G1038,0)&gt;0,"بدهکار",IF(ROUND($G1038,0)&lt;0,"بستانکار","تسویه")))</f>
        <v/>
      </c>
    </row>
    <row r="1039">
      <c r="A1039" s="16">
        <f>IF($B1039="","",1030)</f>
        <v/>
      </c>
      <c r="B1039" s="17">
        <f>IF(455&gt;NFixedA,"",IFERROR(IF(VLOOKUP(INDEX(PkFixedA,455),AcctTblA,4,0)="","(بدون نام)",VLOOKUP(INDEX(PkFixedA,455),AcctTblA,4,0)),"—"))</f>
        <v/>
      </c>
      <c r="C1039" s="18">
        <f>IF($B1039="","",IF(455&gt;NFixedA,"",INDEX(PkFixedA,455)))</f>
        <v/>
      </c>
      <c r="D1039" s="17">
        <f>IF($B1039="","","f")</f>
        <v/>
      </c>
      <c r="E1039" s="19">
        <f>IF($B1039="","",IF(455&gt;NFixedA,0,SUMIF(CalcDebit,INDEX(PkFixedA,455),CalcAmt)+SUMIF(CalcDebit2,INDEX(PkFixedA,455),CalcAmt2)))</f>
        <v/>
      </c>
      <c r="F1039" s="19">
        <f>IF($B1039="","",IF(455&gt;NFixedA,0,SUMIF(CalcCredit,INDEX(PkFixedA,455),CalcAmt)+SUMIF(CalcCredit2,INDEX(PkFixedA,455),CalcAmt2)))</f>
        <v/>
      </c>
      <c r="G1039" s="20">
        <f>IF($B1039="","",ROUND($E1039-$F1039,0))</f>
        <v/>
      </c>
      <c r="H1039" s="17">
        <f>IF($B1039="","",IF(ROUND($G1039,0)&gt;0,"بدهکار",IF(ROUND($G1039,0)&lt;0,"بستانکار","تسویه")))</f>
        <v/>
      </c>
    </row>
    <row r="1040">
      <c r="A1040" s="11">
        <f>IF($B1040="","",1031)</f>
        <v/>
      </c>
      <c r="B1040" s="12">
        <f>IF(456&gt;NFixedA,"",IFERROR(IF(VLOOKUP(INDEX(PkFixedA,456),AcctTblA,4,0)="","(بدون نام)",VLOOKUP(INDEX(PkFixedA,456),AcctTblA,4,0)),"—"))</f>
        <v/>
      </c>
      <c r="C1040" s="13">
        <f>IF($B1040="","",IF(456&gt;NFixedA,"",INDEX(PkFixedA,456)))</f>
        <v/>
      </c>
      <c r="D1040" s="12">
        <f>IF($B1040="","","f")</f>
        <v/>
      </c>
      <c r="E1040" s="14">
        <f>IF($B1040="","",IF(456&gt;NFixedA,0,SUMIF(CalcDebit,INDEX(PkFixedA,456),CalcAmt)+SUMIF(CalcDebit2,INDEX(PkFixedA,456),CalcAmt2)))</f>
        <v/>
      </c>
      <c r="F1040" s="14">
        <f>IF($B1040="","",IF(456&gt;NFixedA,0,SUMIF(CalcCredit,INDEX(PkFixedA,456),CalcAmt)+SUMIF(CalcCredit2,INDEX(PkFixedA,456),CalcAmt2)))</f>
        <v/>
      </c>
      <c r="G1040" s="15">
        <f>IF($B1040="","",ROUND($E1040-$F1040,0))</f>
        <v/>
      </c>
      <c r="H1040" s="12">
        <f>IF($B1040="","",IF(ROUND($G1040,0)&gt;0,"بدهکار",IF(ROUND($G1040,0)&lt;0,"بستانکار","تسویه")))</f>
        <v/>
      </c>
    </row>
    <row r="1041">
      <c r="A1041" s="16">
        <f>IF($B1041="","",1032)</f>
        <v/>
      </c>
      <c r="B1041" s="17">
        <f>IF(457&gt;NFixedA,"",IFERROR(IF(VLOOKUP(INDEX(PkFixedA,457),AcctTblA,4,0)="","(بدون نام)",VLOOKUP(INDEX(PkFixedA,457),AcctTblA,4,0)),"—"))</f>
        <v/>
      </c>
      <c r="C1041" s="18">
        <f>IF($B1041="","",IF(457&gt;NFixedA,"",INDEX(PkFixedA,457)))</f>
        <v/>
      </c>
      <c r="D1041" s="17">
        <f>IF($B1041="","","f")</f>
        <v/>
      </c>
      <c r="E1041" s="19">
        <f>IF($B1041="","",IF(457&gt;NFixedA,0,SUMIF(CalcDebit,INDEX(PkFixedA,457),CalcAmt)+SUMIF(CalcDebit2,INDEX(PkFixedA,457),CalcAmt2)))</f>
        <v/>
      </c>
      <c r="F1041" s="19">
        <f>IF($B1041="","",IF(457&gt;NFixedA,0,SUMIF(CalcCredit,INDEX(PkFixedA,457),CalcAmt)+SUMIF(CalcCredit2,INDEX(PkFixedA,457),CalcAmt2)))</f>
        <v/>
      </c>
      <c r="G1041" s="20">
        <f>IF($B1041="","",ROUND($E1041-$F1041,0))</f>
        <v/>
      </c>
      <c r="H1041" s="17">
        <f>IF($B1041="","",IF(ROUND($G1041,0)&gt;0,"بدهکار",IF(ROUND($G1041,0)&lt;0,"بستانکار","تسویه")))</f>
        <v/>
      </c>
    </row>
    <row r="1042">
      <c r="A1042" s="11">
        <f>IF($B1042="","",1033)</f>
        <v/>
      </c>
      <c r="B1042" s="12">
        <f>IF(458&gt;NFixedA,"",IFERROR(IF(VLOOKUP(INDEX(PkFixedA,458),AcctTblA,4,0)="","(بدون نام)",VLOOKUP(INDEX(PkFixedA,458),AcctTblA,4,0)),"—"))</f>
        <v/>
      </c>
      <c r="C1042" s="13">
        <f>IF($B1042="","",IF(458&gt;NFixedA,"",INDEX(PkFixedA,458)))</f>
        <v/>
      </c>
      <c r="D1042" s="12">
        <f>IF($B1042="","","f")</f>
        <v/>
      </c>
      <c r="E1042" s="14">
        <f>IF($B1042="","",IF(458&gt;NFixedA,0,SUMIF(CalcDebit,INDEX(PkFixedA,458),CalcAmt)+SUMIF(CalcDebit2,INDEX(PkFixedA,458),CalcAmt2)))</f>
        <v/>
      </c>
      <c r="F1042" s="14">
        <f>IF($B1042="","",IF(458&gt;NFixedA,0,SUMIF(CalcCredit,INDEX(PkFixedA,458),CalcAmt)+SUMIF(CalcCredit2,INDEX(PkFixedA,458),CalcAmt2)))</f>
        <v/>
      </c>
      <c r="G1042" s="15">
        <f>IF($B1042="","",ROUND($E1042-$F1042,0))</f>
        <v/>
      </c>
      <c r="H1042" s="12">
        <f>IF($B1042="","",IF(ROUND($G1042,0)&gt;0,"بدهکار",IF(ROUND($G1042,0)&lt;0,"بستانکار","تسویه")))</f>
        <v/>
      </c>
    </row>
    <row r="1043">
      <c r="A1043" s="16">
        <f>IF($B1043="","",1034)</f>
        <v/>
      </c>
      <c r="B1043" s="17">
        <f>IF(459&gt;NFixedA,"",IFERROR(IF(VLOOKUP(INDEX(PkFixedA,459),AcctTblA,4,0)="","(بدون نام)",VLOOKUP(INDEX(PkFixedA,459),AcctTblA,4,0)),"—"))</f>
        <v/>
      </c>
      <c r="C1043" s="18">
        <f>IF($B1043="","",IF(459&gt;NFixedA,"",INDEX(PkFixedA,459)))</f>
        <v/>
      </c>
      <c r="D1043" s="17">
        <f>IF($B1043="","","f")</f>
        <v/>
      </c>
      <c r="E1043" s="19">
        <f>IF($B1043="","",IF(459&gt;NFixedA,0,SUMIF(CalcDebit,INDEX(PkFixedA,459),CalcAmt)+SUMIF(CalcDebit2,INDEX(PkFixedA,459),CalcAmt2)))</f>
        <v/>
      </c>
      <c r="F1043" s="19">
        <f>IF($B1043="","",IF(459&gt;NFixedA,0,SUMIF(CalcCredit,INDEX(PkFixedA,459),CalcAmt)+SUMIF(CalcCredit2,INDEX(PkFixedA,459),CalcAmt2)))</f>
        <v/>
      </c>
      <c r="G1043" s="20">
        <f>IF($B1043="","",ROUND($E1043-$F1043,0))</f>
        <v/>
      </c>
      <c r="H1043" s="17">
        <f>IF($B1043="","",IF(ROUND($G1043,0)&gt;0,"بدهکار",IF(ROUND($G1043,0)&lt;0,"بستانکار","تسویه")))</f>
        <v/>
      </c>
    </row>
    <row r="1044">
      <c r="A1044" s="11">
        <f>IF($B1044="","",1035)</f>
        <v/>
      </c>
      <c r="B1044" s="12">
        <f>IF(460&gt;NFixedA,"",IFERROR(IF(VLOOKUP(INDEX(PkFixedA,460),AcctTblA,4,0)="","(بدون نام)",VLOOKUP(INDEX(PkFixedA,460),AcctTblA,4,0)),"—"))</f>
        <v/>
      </c>
      <c r="C1044" s="13">
        <f>IF($B1044="","",IF(460&gt;NFixedA,"",INDEX(PkFixedA,460)))</f>
        <v/>
      </c>
      <c r="D1044" s="12">
        <f>IF($B1044="","","f")</f>
        <v/>
      </c>
      <c r="E1044" s="14">
        <f>IF($B1044="","",IF(460&gt;NFixedA,0,SUMIF(CalcDebit,INDEX(PkFixedA,460),CalcAmt)+SUMIF(CalcDebit2,INDEX(PkFixedA,460),CalcAmt2)))</f>
        <v/>
      </c>
      <c r="F1044" s="14">
        <f>IF($B1044="","",IF(460&gt;NFixedA,0,SUMIF(CalcCredit,INDEX(PkFixedA,460),CalcAmt)+SUMIF(CalcCredit2,INDEX(PkFixedA,460),CalcAmt2)))</f>
        <v/>
      </c>
      <c r="G1044" s="15">
        <f>IF($B1044="","",ROUND($E1044-$F1044,0))</f>
        <v/>
      </c>
      <c r="H1044" s="12">
        <f>IF($B1044="","",IF(ROUND($G1044,0)&gt;0,"بدهکار",IF(ROUND($G1044,0)&lt;0,"بستانکار","تسویه")))</f>
        <v/>
      </c>
    </row>
    <row r="1045">
      <c r="A1045" s="16">
        <f>IF($B1045="","",1036)</f>
        <v/>
      </c>
      <c r="B1045" s="17">
        <f>IF(461&gt;NFixedA,"",IFERROR(IF(VLOOKUP(INDEX(PkFixedA,461),AcctTblA,4,0)="","(بدون نام)",VLOOKUP(INDEX(PkFixedA,461),AcctTblA,4,0)),"—"))</f>
        <v/>
      </c>
      <c r="C1045" s="18">
        <f>IF($B1045="","",IF(461&gt;NFixedA,"",INDEX(PkFixedA,461)))</f>
        <v/>
      </c>
      <c r="D1045" s="17">
        <f>IF($B1045="","","f")</f>
        <v/>
      </c>
      <c r="E1045" s="19">
        <f>IF($B1045="","",IF(461&gt;NFixedA,0,SUMIF(CalcDebit,INDEX(PkFixedA,461),CalcAmt)+SUMIF(CalcDebit2,INDEX(PkFixedA,461),CalcAmt2)))</f>
        <v/>
      </c>
      <c r="F1045" s="19">
        <f>IF($B1045="","",IF(461&gt;NFixedA,0,SUMIF(CalcCredit,INDEX(PkFixedA,461),CalcAmt)+SUMIF(CalcCredit2,INDEX(PkFixedA,461),CalcAmt2)))</f>
        <v/>
      </c>
      <c r="G1045" s="20">
        <f>IF($B1045="","",ROUND($E1045-$F1045,0))</f>
        <v/>
      </c>
      <c r="H1045" s="17">
        <f>IF($B1045="","",IF(ROUND($G1045,0)&gt;0,"بدهکار",IF(ROUND($G1045,0)&lt;0,"بستانکار","تسویه")))</f>
        <v/>
      </c>
    </row>
    <row r="1046">
      <c r="A1046" s="11">
        <f>IF($B1046="","",1037)</f>
        <v/>
      </c>
      <c r="B1046" s="12">
        <f>IF(462&gt;NFixedA,"",IFERROR(IF(VLOOKUP(INDEX(PkFixedA,462),AcctTblA,4,0)="","(بدون نام)",VLOOKUP(INDEX(PkFixedA,462),AcctTblA,4,0)),"—"))</f>
        <v/>
      </c>
      <c r="C1046" s="13">
        <f>IF($B1046="","",IF(462&gt;NFixedA,"",INDEX(PkFixedA,462)))</f>
        <v/>
      </c>
      <c r="D1046" s="12">
        <f>IF($B1046="","","f")</f>
        <v/>
      </c>
      <c r="E1046" s="14">
        <f>IF($B1046="","",IF(462&gt;NFixedA,0,SUMIF(CalcDebit,INDEX(PkFixedA,462),CalcAmt)+SUMIF(CalcDebit2,INDEX(PkFixedA,462),CalcAmt2)))</f>
        <v/>
      </c>
      <c r="F1046" s="14">
        <f>IF($B1046="","",IF(462&gt;NFixedA,0,SUMIF(CalcCredit,INDEX(PkFixedA,462),CalcAmt)+SUMIF(CalcCredit2,INDEX(PkFixedA,462),CalcAmt2)))</f>
        <v/>
      </c>
      <c r="G1046" s="15">
        <f>IF($B1046="","",ROUND($E1046-$F1046,0))</f>
        <v/>
      </c>
      <c r="H1046" s="12">
        <f>IF($B1046="","",IF(ROUND($G1046,0)&gt;0,"بدهکار",IF(ROUND($G1046,0)&lt;0,"بستانکار","تسویه")))</f>
        <v/>
      </c>
    </row>
    <row r="1047">
      <c r="A1047" s="16">
        <f>IF($B1047="","",1038)</f>
        <v/>
      </c>
      <c r="B1047" s="17">
        <f>IF(463&gt;NFixedA,"",IFERROR(IF(VLOOKUP(INDEX(PkFixedA,463),AcctTblA,4,0)="","(بدون نام)",VLOOKUP(INDEX(PkFixedA,463),AcctTblA,4,0)),"—"))</f>
        <v/>
      </c>
      <c r="C1047" s="18">
        <f>IF($B1047="","",IF(463&gt;NFixedA,"",INDEX(PkFixedA,463)))</f>
        <v/>
      </c>
      <c r="D1047" s="17">
        <f>IF($B1047="","","f")</f>
        <v/>
      </c>
      <c r="E1047" s="19">
        <f>IF($B1047="","",IF(463&gt;NFixedA,0,SUMIF(CalcDebit,INDEX(PkFixedA,463),CalcAmt)+SUMIF(CalcDebit2,INDEX(PkFixedA,463),CalcAmt2)))</f>
        <v/>
      </c>
      <c r="F1047" s="19">
        <f>IF($B1047="","",IF(463&gt;NFixedA,0,SUMIF(CalcCredit,INDEX(PkFixedA,463),CalcAmt)+SUMIF(CalcCredit2,INDEX(PkFixedA,463),CalcAmt2)))</f>
        <v/>
      </c>
      <c r="G1047" s="20">
        <f>IF($B1047="","",ROUND($E1047-$F1047,0))</f>
        <v/>
      </c>
      <c r="H1047" s="17">
        <f>IF($B1047="","",IF(ROUND($G1047,0)&gt;0,"بدهکار",IF(ROUND($G1047,0)&lt;0,"بستانکار","تسویه")))</f>
        <v/>
      </c>
    </row>
    <row r="1048">
      <c r="A1048" s="11">
        <f>IF($B1048="","",1039)</f>
        <v/>
      </c>
      <c r="B1048" s="12">
        <f>IF(464&gt;NFixedA,"",IFERROR(IF(VLOOKUP(INDEX(PkFixedA,464),AcctTblA,4,0)="","(بدون نام)",VLOOKUP(INDEX(PkFixedA,464),AcctTblA,4,0)),"—"))</f>
        <v/>
      </c>
      <c r="C1048" s="13">
        <f>IF($B1048="","",IF(464&gt;NFixedA,"",INDEX(PkFixedA,464)))</f>
        <v/>
      </c>
      <c r="D1048" s="12">
        <f>IF($B1048="","","f")</f>
        <v/>
      </c>
      <c r="E1048" s="14">
        <f>IF($B1048="","",IF(464&gt;NFixedA,0,SUMIF(CalcDebit,INDEX(PkFixedA,464),CalcAmt)+SUMIF(CalcDebit2,INDEX(PkFixedA,464),CalcAmt2)))</f>
        <v/>
      </c>
      <c r="F1048" s="14">
        <f>IF($B1048="","",IF(464&gt;NFixedA,0,SUMIF(CalcCredit,INDEX(PkFixedA,464),CalcAmt)+SUMIF(CalcCredit2,INDEX(PkFixedA,464),CalcAmt2)))</f>
        <v/>
      </c>
      <c r="G1048" s="15">
        <f>IF($B1048="","",ROUND($E1048-$F1048,0))</f>
        <v/>
      </c>
      <c r="H1048" s="12">
        <f>IF($B1048="","",IF(ROUND($G1048,0)&gt;0,"بدهکار",IF(ROUND($G1048,0)&lt;0,"بستانکار","تسویه")))</f>
        <v/>
      </c>
    </row>
    <row r="1049">
      <c r="A1049" s="16">
        <f>IF($B1049="","",1040)</f>
        <v/>
      </c>
      <c r="B1049" s="17">
        <f>IF(465&gt;NFixedA,"",IFERROR(IF(VLOOKUP(INDEX(PkFixedA,465),AcctTblA,4,0)="","(بدون نام)",VLOOKUP(INDEX(PkFixedA,465),AcctTblA,4,0)),"—"))</f>
        <v/>
      </c>
      <c r="C1049" s="18">
        <f>IF($B1049="","",IF(465&gt;NFixedA,"",INDEX(PkFixedA,465)))</f>
        <v/>
      </c>
      <c r="D1049" s="17">
        <f>IF($B1049="","","f")</f>
        <v/>
      </c>
      <c r="E1049" s="19">
        <f>IF($B1049="","",IF(465&gt;NFixedA,0,SUMIF(CalcDebit,INDEX(PkFixedA,465),CalcAmt)+SUMIF(CalcDebit2,INDEX(PkFixedA,465),CalcAmt2)))</f>
        <v/>
      </c>
      <c r="F1049" s="19">
        <f>IF($B1049="","",IF(465&gt;NFixedA,0,SUMIF(CalcCredit,INDEX(PkFixedA,465),CalcAmt)+SUMIF(CalcCredit2,INDEX(PkFixedA,465),CalcAmt2)))</f>
        <v/>
      </c>
      <c r="G1049" s="20">
        <f>IF($B1049="","",ROUND($E1049-$F1049,0))</f>
        <v/>
      </c>
      <c r="H1049" s="17">
        <f>IF($B1049="","",IF(ROUND($G1049,0)&gt;0,"بدهکار",IF(ROUND($G1049,0)&lt;0,"بستانکار","تسویه")))</f>
        <v/>
      </c>
    </row>
    <row r="1050">
      <c r="A1050" s="11">
        <f>IF($B1050="","",1041)</f>
        <v/>
      </c>
      <c r="B1050" s="12">
        <f>IF(466&gt;NFixedA,"",IFERROR(IF(VLOOKUP(INDEX(PkFixedA,466),AcctTblA,4,0)="","(بدون نام)",VLOOKUP(INDEX(PkFixedA,466),AcctTblA,4,0)),"—"))</f>
        <v/>
      </c>
      <c r="C1050" s="13">
        <f>IF($B1050="","",IF(466&gt;NFixedA,"",INDEX(PkFixedA,466)))</f>
        <v/>
      </c>
      <c r="D1050" s="12">
        <f>IF($B1050="","","f")</f>
        <v/>
      </c>
      <c r="E1050" s="14">
        <f>IF($B1050="","",IF(466&gt;NFixedA,0,SUMIF(CalcDebit,INDEX(PkFixedA,466),CalcAmt)+SUMIF(CalcDebit2,INDEX(PkFixedA,466),CalcAmt2)))</f>
        <v/>
      </c>
      <c r="F1050" s="14">
        <f>IF($B1050="","",IF(466&gt;NFixedA,0,SUMIF(CalcCredit,INDEX(PkFixedA,466),CalcAmt)+SUMIF(CalcCredit2,INDEX(PkFixedA,466),CalcAmt2)))</f>
        <v/>
      </c>
      <c r="G1050" s="15">
        <f>IF($B1050="","",ROUND($E1050-$F1050,0))</f>
        <v/>
      </c>
      <c r="H1050" s="12">
        <f>IF($B1050="","",IF(ROUND($G1050,0)&gt;0,"بدهکار",IF(ROUND($G1050,0)&lt;0,"بستانکار","تسویه")))</f>
        <v/>
      </c>
    </row>
    <row r="1051">
      <c r="A1051" s="16">
        <f>IF($B1051="","",1042)</f>
        <v/>
      </c>
      <c r="B1051" s="17">
        <f>IF(467&gt;NFixedA,"",IFERROR(IF(VLOOKUP(INDEX(PkFixedA,467),AcctTblA,4,0)="","(بدون نام)",VLOOKUP(INDEX(PkFixedA,467),AcctTblA,4,0)),"—"))</f>
        <v/>
      </c>
      <c r="C1051" s="18">
        <f>IF($B1051="","",IF(467&gt;NFixedA,"",INDEX(PkFixedA,467)))</f>
        <v/>
      </c>
      <c r="D1051" s="17">
        <f>IF($B1051="","","f")</f>
        <v/>
      </c>
      <c r="E1051" s="19">
        <f>IF($B1051="","",IF(467&gt;NFixedA,0,SUMIF(CalcDebit,INDEX(PkFixedA,467),CalcAmt)+SUMIF(CalcDebit2,INDEX(PkFixedA,467),CalcAmt2)))</f>
        <v/>
      </c>
      <c r="F1051" s="19">
        <f>IF($B1051="","",IF(467&gt;NFixedA,0,SUMIF(CalcCredit,INDEX(PkFixedA,467),CalcAmt)+SUMIF(CalcCredit2,INDEX(PkFixedA,467),CalcAmt2)))</f>
        <v/>
      </c>
      <c r="G1051" s="20">
        <f>IF($B1051="","",ROUND($E1051-$F1051,0))</f>
        <v/>
      </c>
      <c r="H1051" s="17">
        <f>IF($B1051="","",IF(ROUND($G1051,0)&gt;0,"بدهکار",IF(ROUND($G1051,0)&lt;0,"بستانکار","تسویه")))</f>
        <v/>
      </c>
    </row>
    <row r="1052">
      <c r="A1052" s="11">
        <f>IF($B1052="","",1043)</f>
        <v/>
      </c>
      <c r="B1052" s="12">
        <f>IF(468&gt;NFixedA,"",IFERROR(IF(VLOOKUP(INDEX(PkFixedA,468),AcctTblA,4,0)="","(بدون نام)",VLOOKUP(INDEX(PkFixedA,468),AcctTblA,4,0)),"—"))</f>
        <v/>
      </c>
      <c r="C1052" s="13">
        <f>IF($B1052="","",IF(468&gt;NFixedA,"",INDEX(PkFixedA,468)))</f>
        <v/>
      </c>
      <c r="D1052" s="12">
        <f>IF($B1052="","","f")</f>
        <v/>
      </c>
      <c r="E1052" s="14">
        <f>IF($B1052="","",IF(468&gt;NFixedA,0,SUMIF(CalcDebit,INDEX(PkFixedA,468),CalcAmt)+SUMIF(CalcDebit2,INDEX(PkFixedA,468),CalcAmt2)))</f>
        <v/>
      </c>
      <c r="F1052" s="14">
        <f>IF($B1052="","",IF(468&gt;NFixedA,0,SUMIF(CalcCredit,INDEX(PkFixedA,468),CalcAmt)+SUMIF(CalcCredit2,INDEX(PkFixedA,468),CalcAmt2)))</f>
        <v/>
      </c>
      <c r="G1052" s="15">
        <f>IF($B1052="","",ROUND($E1052-$F1052,0))</f>
        <v/>
      </c>
      <c r="H1052" s="12">
        <f>IF($B1052="","",IF(ROUND($G1052,0)&gt;0,"بدهکار",IF(ROUND($G1052,0)&lt;0,"بستانکار","تسویه")))</f>
        <v/>
      </c>
    </row>
    <row r="1053">
      <c r="A1053" s="16">
        <f>IF($B1053="","",1044)</f>
        <v/>
      </c>
      <c r="B1053" s="17">
        <f>IF(469&gt;NFixedA,"",IFERROR(IF(VLOOKUP(INDEX(PkFixedA,469),AcctTblA,4,0)="","(بدون نام)",VLOOKUP(INDEX(PkFixedA,469),AcctTblA,4,0)),"—"))</f>
        <v/>
      </c>
      <c r="C1053" s="18">
        <f>IF($B1053="","",IF(469&gt;NFixedA,"",INDEX(PkFixedA,469)))</f>
        <v/>
      </c>
      <c r="D1053" s="17">
        <f>IF($B1053="","","f")</f>
        <v/>
      </c>
      <c r="E1053" s="19">
        <f>IF($B1053="","",IF(469&gt;NFixedA,0,SUMIF(CalcDebit,INDEX(PkFixedA,469),CalcAmt)+SUMIF(CalcDebit2,INDEX(PkFixedA,469),CalcAmt2)))</f>
        <v/>
      </c>
      <c r="F1053" s="19">
        <f>IF($B1053="","",IF(469&gt;NFixedA,0,SUMIF(CalcCredit,INDEX(PkFixedA,469),CalcAmt)+SUMIF(CalcCredit2,INDEX(PkFixedA,469),CalcAmt2)))</f>
        <v/>
      </c>
      <c r="G1053" s="20">
        <f>IF($B1053="","",ROUND($E1053-$F1053,0))</f>
        <v/>
      </c>
      <c r="H1053" s="17">
        <f>IF($B1053="","",IF(ROUND($G1053,0)&gt;0,"بدهکار",IF(ROUND($G1053,0)&lt;0,"بستانکار","تسویه")))</f>
        <v/>
      </c>
    </row>
    <row r="1054">
      <c r="A1054" s="11">
        <f>IF($B1054="","",1045)</f>
        <v/>
      </c>
      <c r="B1054" s="12">
        <f>IF(470&gt;NFixedA,"",IFERROR(IF(VLOOKUP(INDEX(PkFixedA,470),AcctTblA,4,0)="","(بدون نام)",VLOOKUP(INDEX(PkFixedA,470),AcctTblA,4,0)),"—"))</f>
        <v/>
      </c>
      <c r="C1054" s="13">
        <f>IF($B1054="","",IF(470&gt;NFixedA,"",INDEX(PkFixedA,470)))</f>
        <v/>
      </c>
      <c r="D1054" s="12">
        <f>IF($B1054="","","f")</f>
        <v/>
      </c>
      <c r="E1054" s="14">
        <f>IF($B1054="","",IF(470&gt;NFixedA,0,SUMIF(CalcDebit,INDEX(PkFixedA,470),CalcAmt)+SUMIF(CalcDebit2,INDEX(PkFixedA,470),CalcAmt2)))</f>
        <v/>
      </c>
      <c r="F1054" s="14">
        <f>IF($B1054="","",IF(470&gt;NFixedA,0,SUMIF(CalcCredit,INDEX(PkFixedA,470),CalcAmt)+SUMIF(CalcCredit2,INDEX(PkFixedA,470),CalcAmt2)))</f>
        <v/>
      </c>
      <c r="G1054" s="15">
        <f>IF($B1054="","",ROUND($E1054-$F1054,0))</f>
        <v/>
      </c>
      <c r="H1054" s="12">
        <f>IF($B1054="","",IF(ROUND($G1054,0)&gt;0,"بدهکار",IF(ROUND($G1054,0)&lt;0,"بستانکار","تسویه")))</f>
        <v/>
      </c>
    </row>
    <row r="1055">
      <c r="A1055" s="16">
        <f>IF($B1055="","",1046)</f>
        <v/>
      </c>
      <c r="B1055" s="17">
        <f>IF(471&gt;NFixedA,"",IFERROR(IF(VLOOKUP(INDEX(PkFixedA,471),AcctTblA,4,0)="","(بدون نام)",VLOOKUP(INDEX(PkFixedA,471),AcctTblA,4,0)),"—"))</f>
        <v/>
      </c>
      <c r="C1055" s="18">
        <f>IF($B1055="","",IF(471&gt;NFixedA,"",INDEX(PkFixedA,471)))</f>
        <v/>
      </c>
      <c r="D1055" s="17">
        <f>IF($B1055="","","f")</f>
        <v/>
      </c>
      <c r="E1055" s="19">
        <f>IF($B1055="","",IF(471&gt;NFixedA,0,SUMIF(CalcDebit,INDEX(PkFixedA,471),CalcAmt)+SUMIF(CalcDebit2,INDEX(PkFixedA,471),CalcAmt2)))</f>
        <v/>
      </c>
      <c r="F1055" s="19">
        <f>IF($B1055="","",IF(471&gt;NFixedA,0,SUMIF(CalcCredit,INDEX(PkFixedA,471),CalcAmt)+SUMIF(CalcCredit2,INDEX(PkFixedA,471),CalcAmt2)))</f>
        <v/>
      </c>
      <c r="G1055" s="20">
        <f>IF($B1055="","",ROUND($E1055-$F1055,0))</f>
        <v/>
      </c>
      <c r="H1055" s="17">
        <f>IF($B1055="","",IF(ROUND($G1055,0)&gt;0,"بدهکار",IF(ROUND($G1055,0)&lt;0,"بستانکار","تسویه")))</f>
        <v/>
      </c>
    </row>
    <row r="1056">
      <c r="A1056" s="11">
        <f>IF($B1056="","",1047)</f>
        <v/>
      </c>
      <c r="B1056" s="12">
        <f>IF(472&gt;NFixedA,"",IFERROR(IF(VLOOKUP(INDEX(PkFixedA,472),AcctTblA,4,0)="","(بدون نام)",VLOOKUP(INDEX(PkFixedA,472),AcctTblA,4,0)),"—"))</f>
        <v/>
      </c>
      <c r="C1056" s="13">
        <f>IF($B1056="","",IF(472&gt;NFixedA,"",INDEX(PkFixedA,472)))</f>
        <v/>
      </c>
      <c r="D1056" s="12">
        <f>IF($B1056="","","f")</f>
        <v/>
      </c>
      <c r="E1056" s="14">
        <f>IF($B1056="","",IF(472&gt;NFixedA,0,SUMIF(CalcDebit,INDEX(PkFixedA,472),CalcAmt)+SUMIF(CalcDebit2,INDEX(PkFixedA,472),CalcAmt2)))</f>
        <v/>
      </c>
      <c r="F1056" s="14">
        <f>IF($B1056="","",IF(472&gt;NFixedA,0,SUMIF(CalcCredit,INDEX(PkFixedA,472),CalcAmt)+SUMIF(CalcCredit2,INDEX(PkFixedA,472),CalcAmt2)))</f>
        <v/>
      </c>
      <c r="G1056" s="15">
        <f>IF($B1056="","",ROUND($E1056-$F1056,0))</f>
        <v/>
      </c>
      <c r="H1056" s="12">
        <f>IF($B1056="","",IF(ROUND($G1056,0)&gt;0,"بدهکار",IF(ROUND($G1056,0)&lt;0,"بستانکار","تسویه")))</f>
        <v/>
      </c>
    </row>
    <row r="1057">
      <c r="A1057" s="16">
        <f>IF($B1057="","",1048)</f>
        <v/>
      </c>
      <c r="B1057" s="17">
        <f>IF(473&gt;NFixedA,"",IFERROR(IF(VLOOKUP(INDEX(PkFixedA,473),AcctTblA,4,0)="","(بدون نام)",VLOOKUP(INDEX(PkFixedA,473),AcctTblA,4,0)),"—"))</f>
        <v/>
      </c>
      <c r="C1057" s="18">
        <f>IF($B1057="","",IF(473&gt;NFixedA,"",INDEX(PkFixedA,473)))</f>
        <v/>
      </c>
      <c r="D1057" s="17">
        <f>IF($B1057="","","f")</f>
        <v/>
      </c>
      <c r="E1057" s="19">
        <f>IF($B1057="","",IF(473&gt;NFixedA,0,SUMIF(CalcDebit,INDEX(PkFixedA,473),CalcAmt)+SUMIF(CalcDebit2,INDEX(PkFixedA,473),CalcAmt2)))</f>
        <v/>
      </c>
      <c r="F1057" s="19">
        <f>IF($B1057="","",IF(473&gt;NFixedA,0,SUMIF(CalcCredit,INDEX(PkFixedA,473),CalcAmt)+SUMIF(CalcCredit2,INDEX(PkFixedA,473),CalcAmt2)))</f>
        <v/>
      </c>
      <c r="G1057" s="20">
        <f>IF($B1057="","",ROUND($E1057-$F1057,0))</f>
        <v/>
      </c>
      <c r="H1057" s="17">
        <f>IF($B1057="","",IF(ROUND($G1057,0)&gt;0,"بدهکار",IF(ROUND($G1057,0)&lt;0,"بستانکار","تسویه")))</f>
        <v/>
      </c>
    </row>
    <row r="1058">
      <c r="A1058" s="11">
        <f>IF($B1058="","",1049)</f>
        <v/>
      </c>
      <c r="B1058" s="12">
        <f>IF(474&gt;NFixedA,"",IFERROR(IF(VLOOKUP(INDEX(PkFixedA,474),AcctTblA,4,0)="","(بدون نام)",VLOOKUP(INDEX(PkFixedA,474),AcctTblA,4,0)),"—"))</f>
        <v/>
      </c>
      <c r="C1058" s="13">
        <f>IF($B1058="","",IF(474&gt;NFixedA,"",INDEX(PkFixedA,474)))</f>
        <v/>
      </c>
      <c r="D1058" s="12">
        <f>IF($B1058="","","f")</f>
        <v/>
      </c>
      <c r="E1058" s="14">
        <f>IF($B1058="","",IF(474&gt;NFixedA,0,SUMIF(CalcDebit,INDEX(PkFixedA,474),CalcAmt)+SUMIF(CalcDebit2,INDEX(PkFixedA,474),CalcAmt2)))</f>
        <v/>
      </c>
      <c r="F1058" s="14">
        <f>IF($B1058="","",IF(474&gt;NFixedA,0,SUMIF(CalcCredit,INDEX(PkFixedA,474),CalcAmt)+SUMIF(CalcCredit2,INDEX(PkFixedA,474),CalcAmt2)))</f>
        <v/>
      </c>
      <c r="G1058" s="15">
        <f>IF($B1058="","",ROUND($E1058-$F1058,0))</f>
        <v/>
      </c>
      <c r="H1058" s="12">
        <f>IF($B1058="","",IF(ROUND($G1058,0)&gt;0,"بدهکار",IF(ROUND($G1058,0)&lt;0,"بستانکار","تسویه")))</f>
        <v/>
      </c>
    </row>
    <row r="1059">
      <c r="A1059" s="16">
        <f>IF($B1059="","",1050)</f>
        <v/>
      </c>
      <c r="B1059" s="17">
        <f>IF(475&gt;NFixedA,"",IFERROR(IF(VLOOKUP(INDEX(PkFixedA,475),AcctTblA,4,0)="","(بدون نام)",VLOOKUP(INDEX(PkFixedA,475),AcctTblA,4,0)),"—"))</f>
        <v/>
      </c>
      <c r="C1059" s="18">
        <f>IF($B1059="","",IF(475&gt;NFixedA,"",INDEX(PkFixedA,475)))</f>
        <v/>
      </c>
      <c r="D1059" s="17">
        <f>IF($B1059="","","f")</f>
        <v/>
      </c>
      <c r="E1059" s="19">
        <f>IF($B1059="","",IF(475&gt;NFixedA,0,SUMIF(CalcDebit,INDEX(PkFixedA,475),CalcAmt)+SUMIF(CalcDebit2,INDEX(PkFixedA,475),CalcAmt2)))</f>
        <v/>
      </c>
      <c r="F1059" s="19">
        <f>IF($B1059="","",IF(475&gt;NFixedA,0,SUMIF(CalcCredit,INDEX(PkFixedA,475),CalcAmt)+SUMIF(CalcCredit2,INDEX(PkFixedA,475),CalcAmt2)))</f>
        <v/>
      </c>
      <c r="G1059" s="20">
        <f>IF($B1059="","",ROUND($E1059-$F1059,0))</f>
        <v/>
      </c>
      <c r="H1059" s="17">
        <f>IF($B1059="","",IF(ROUND($G1059,0)&gt;0,"بدهکار",IF(ROUND($G1059,0)&lt;0,"بستانکار","تسویه")))</f>
        <v/>
      </c>
    </row>
    <row r="1060">
      <c r="A1060" s="11">
        <f>IF($B1060="","",1051)</f>
        <v/>
      </c>
      <c r="B1060" s="12">
        <f>IF(476&gt;NFixedA,"",IFERROR(IF(VLOOKUP(INDEX(PkFixedA,476),AcctTblA,4,0)="","(بدون نام)",VLOOKUP(INDEX(PkFixedA,476),AcctTblA,4,0)),"—"))</f>
        <v/>
      </c>
      <c r="C1060" s="13">
        <f>IF($B1060="","",IF(476&gt;NFixedA,"",INDEX(PkFixedA,476)))</f>
        <v/>
      </c>
      <c r="D1060" s="12">
        <f>IF($B1060="","","f")</f>
        <v/>
      </c>
      <c r="E1060" s="14">
        <f>IF($B1060="","",IF(476&gt;NFixedA,0,SUMIF(CalcDebit,INDEX(PkFixedA,476),CalcAmt)+SUMIF(CalcDebit2,INDEX(PkFixedA,476),CalcAmt2)))</f>
        <v/>
      </c>
      <c r="F1060" s="14">
        <f>IF($B1060="","",IF(476&gt;NFixedA,0,SUMIF(CalcCredit,INDEX(PkFixedA,476),CalcAmt)+SUMIF(CalcCredit2,INDEX(PkFixedA,476),CalcAmt2)))</f>
        <v/>
      </c>
      <c r="G1060" s="15">
        <f>IF($B1060="","",ROUND($E1060-$F1060,0))</f>
        <v/>
      </c>
      <c r="H1060" s="12">
        <f>IF($B1060="","",IF(ROUND($G1060,0)&gt;0,"بدهکار",IF(ROUND($G1060,0)&lt;0,"بستانکار","تسویه")))</f>
        <v/>
      </c>
    </row>
    <row r="1061">
      <c r="A1061" s="16">
        <f>IF($B1061="","",1052)</f>
        <v/>
      </c>
      <c r="B1061" s="17">
        <f>IF(477&gt;NFixedA,"",IFERROR(IF(VLOOKUP(INDEX(PkFixedA,477),AcctTblA,4,0)="","(بدون نام)",VLOOKUP(INDEX(PkFixedA,477),AcctTblA,4,0)),"—"))</f>
        <v/>
      </c>
      <c r="C1061" s="18">
        <f>IF($B1061="","",IF(477&gt;NFixedA,"",INDEX(PkFixedA,477)))</f>
        <v/>
      </c>
      <c r="D1061" s="17">
        <f>IF($B1061="","","f")</f>
        <v/>
      </c>
      <c r="E1061" s="19">
        <f>IF($B1061="","",IF(477&gt;NFixedA,0,SUMIF(CalcDebit,INDEX(PkFixedA,477),CalcAmt)+SUMIF(CalcDebit2,INDEX(PkFixedA,477),CalcAmt2)))</f>
        <v/>
      </c>
      <c r="F1061" s="19">
        <f>IF($B1061="","",IF(477&gt;NFixedA,0,SUMIF(CalcCredit,INDEX(PkFixedA,477),CalcAmt)+SUMIF(CalcCredit2,INDEX(PkFixedA,477),CalcAmt2)))</f>
        <v/>
      </c>
      <c r="G1061" s="20">
        <f>IF($B1061="","",ROUND($E1061-$F1061,0))</f>
        <v/>
      </c>
      <c r="H1061" s="17">
        <f>IF($B1061="","",IF(ROUND($G1061,0)&gt;0,"بدهکار",IF(ROUND($G1061,0)&lt;0,"بستانکار","تسویه")))</f>
        <v/>
      </c>
    </row>
    <row r="1062">
      <c r="A1062" s="11">
        <f>IF($B1062="","",1053)</f>
        <v/>
      </c>
      <c r="B1062" s="12">
        <f>IF(478&gt;NFixedA,"",IFERROR(IF(VLOOKUP(INDEX(PkFixedA,478),AcctTblA,4,0)="","(بدون نام)",VLOOKUP(INDEX(PkFixedA,478),AcctTblA,4,0)),"—"))</f>
        <v/>
      </c>
      <c r="C1062" s="13">
        <f>IF($B1062="","",IF(478&gt;NFixedA,"",INDEX(PkFixedA,478)))</f>
        <v/>
      </c>
      <c r="D1062" s="12">
        <f>IF($B1062="","","f")</f>
        <v/>
      </c>
      <c r="E1062" s="14">
        <f>IF($B1062="","",IF(478&gt;NFixedA,0,SUMIF(CalcDebit,INDEX(PkFixedA,478),CalcAmt)+SUMIF(CalcDebit2,INDEX(PkFixedA,478),CalcAmt2)))</f>
        <v/>
      </c>
      <c r="F1062" s="14">
        <f>IF($B1062="","",IF(478&gt;NFixedA,0,SUMIF(CalcCredit,INDEX(PkFixedA,478),CalcAmt)+SUMIF(CalcCredit2,INDEX(PkFixedA,478),CalcAmt2)))</f>
        <v/>
      </c>
      <c r="G1062" s="15">
        <f>IF($B1062="","",ROUND($E1062-$F1062,0))</f>
        <v/>
      </c>
      <c r="H1062" s="12">
        <f>IF($B1062="","",IF(ROUND($G1062,0)&gt;0,"بدهکار",IF(ROUND($G1062,0)&lt;0,"بستانکار","تسویه")))</f>
        <v/>
      </c>
    </row>
    <row r="1063">
      <c r="A1063" s="16">
        <f>IF($B1063="","",1054)</f>
        <v/>
      </c>
      <c r="B1063" s="17">
        <f>IF(479&gt;NFixedA,"",IFERROR(IF(VLOOKUP(INDEX(PkFixedA,479),AcctTblA,4,0)="","(بدون نام)",VLOOKUP(INDEX(PkFixedA,479),AcctTblA,4,0)),"—"))</f>
        <v/>
      </c>
      <c r="C1063" s="18">
        <f>IF($B1063="","",IF(479&gt;NFixedA,"",INDEX(PkFixedA,479)))</f>
        <v/>
      </c>
      <c r="D1063" s="17">
        <f>IF($B1063="","","f")</f>
        <v/>
      </c>
      <c r="E1063" s="19">
        <f>IF($B1063="","",IF(479&gt;NFixedA,0,SUMIF(CalcDebit,INDEX(PkFixedA,479),CalcAmt)+SUMIF(CalcDebit2,INDEX(PkFixedA,479),CalcAmt2)))</f>
        <v/>
      </c>
      <c r="F1063" s="19">
        <f>IF($B1063="","",IF(479&gt;NFixedA,0,SUMIF(CalcCredit,INDEX(PkFixedA,479),CalcAmt)+SUMIF(CalcCredit2,INDEX(PkFixedA,479),CalcAmt2)))</f>
        <v/>
      </c>
      <c r="G1063" s="20">
        <f>IF($B1063="","",ROUND($E1063-$F1063,0))</f>
        <v/>
      </c>
      <c r="H1063" s="17">
        <f>IF($B1063="","",IF(ROUND($G1063,0)&gt;0,"بدهکار",IF(ROUND($G1063,0)&lt;0,"بستانکار","تسویه")))</f>
        <v/>
      </c>
    </row>
    <row r="1064">
      <c r="A1064" s="11">
        <f>IF($B1064="","",1055)</f>
        <v/>
      </c>
      <c r="B1064" s="12">
        <f>IF(480&gt;NFixedA,"",IFERROR(IF(VLOOKUP(INDEX(PkFixedA,480),AcctTblA,4,0)="","(بدون نام)",VLOOKUP(INDEX(PkFixedA,480),AcctTblA,4,0)),"—"))</f>
        <v/>
      </c>
      <c r="C1064" s="13">
        <f>IF($B1064="","",IF(480&gt;NFixedA,"",INDEX(PkFixedA,480)))</f>
        <v/>
      </c>
      <c r="D1064" s="12">
        <f>IF($B1064="","","f")</f>
        <v/>
      </c>
      <c r="E1064" s="14">
        <f>IF($B1064="","",IF(480&gt;NFixedA,0,SUMIF(CalcDebit,INDEX(PkFixedA,480),CalcAmt)+SUMIF(CalcDebit2,INDEX(PkFixedA,480),CalcAmt2)))</f>
        <v/>
      </c>
      <c r="F1064" s="14">
        <f>IF($B1064="","",IF(480&gt;NFixedA,0,SUMIF(CalcCredit,INDEX(PkFixedA,480),CalcAmt)+SUMIF(CalcCredit2,INDEX(PkFixedA,480),CalcAmt2)))</f>
        <v/>
      </c>
      <c r="G1064" s="15">
        <f>IF($B1064="","",ROUND($E1064-$F1064,0))</f>
        <v/>
      </c>
      <c r="H1064" s="12">
        <f>IF($B1064="","",IF(ROUND($G1064,0)&gt;0,"بدهکار",IF(ROUND($G1064,0)&lt;0,"بستانکار","تسویه")))</f>
        <v/>
      </c>
    </row>
    <row r="1065">
      <c r="A1065" s="16">
        <f>IF($B1065="","",1056)</f>
        <v/>
      </c>
      <c r="B1065" s="17">
        <f>IF(481&gt;NFixedA,"",IFERROR(IF(VLOOKUP(INDEX(PkFixedA,481),AcctTblA,4,0)="","(بدون نام)",VLOOKUP(INDEX(PkFixedA,481),AcctTblA,4,0)),"—"))</f>
        <v/>
      </c>
      <c r="C1065" s="18">
        <f>IF($B1065="","",IF(481&gt;NFixedA,"",INDEX(PkFixedA,481)))</f>
        <v/>
      </c>
      <c r="D1065" s="17">
        <f>IF($B1065="","","f")</f>
        <v/>
      </c>
      <c r="E1065" s="19">
        <f>IF($B1065="","",IF(481&gt;NFixedA,0,SUMIF(CalcDebit,INDEX(PkFixedA,481),CalcAmt)+SUMIF(CalcDebit2,INDEX(PkFixedA,481),CalcAmt2)))</f>
        <v/>
      </c>
      <c r="F1065" s="19">
        <f>IF($B1065="","",IF(481&gt;NFixedA,0,SUMIF(CalcCredit,INDEX(PkFixedA,481),CalcAmt)+SUMIF(CalcCredit2,INDEX(PkFixedA,481),CalcAmt2)))</f>
        <v/>
      </c>
      <c r="G1065" s="20">
        <f>IF($B1065="","",ROUND($E1065-$F1065,0))</f>
        <v/>
      </c>
      <c r="H1065" s="17">
        <f>IF($B1065="","",IF(ROUND($G1065,0)&gt;0,"بدهکار",IF(ROUND($G1065,0)&lt;0,"بستانکار","تسویه")))</f>
        <v/>
      </c>
    </row>
    <row r="1066">
      <c r="A1066" s="11">
        <f>IF($B1066="","",1057)</f>
        <v/>
      </c>
      <c r="B1066" s="12">
        <f>IF(482&gt;NFixedA,"",IFERROR(IF(VLOOKUP(INDEX(PkFixedA,482),AcctTblA,4,0)="","(بدون نام)",VLOOKUP(INDEX(PkFixedA,482),AcctTblA,4,0)),"—"))</f>
        <v/>
      </c>
      <c r="C1066" s="13">
        <f>IF($B1066="","",IF(482&gt;NFixedA,"",INDEX(PkFixedA,482)))</f>
        <v/>
      </c>
      <c r="D1066" s="12">
        <f>IF($B1066="","","f")</f>
        <v/>
      </c>
      <c r="E1066" s="14">
        <f>IF($B1066="","",IF(482&gt;NFixedA,0,SUMIF(CalcDebit,INDEX(PkFixedA,482),CalcAmt)+SUMIF(CalcDebit2,INDEX(PkFixedA,482),CalcAmt2)))</f>
        <v/>
      </c>
      <c r="F1066" s="14">
        <f>IF($B1066="","",IF(482&gt;NFixedA,0,SUMIF(CalcCredit,INDEX(PkFixedA,482),CalcAmt)+SUMIF(CalcCredit2,INDEX(PkFixedA,482),CalcAmt2)))</f>
        <v/>
      </c>
      <c r="G1066" s="15">
        <f>IF($B1066="","",ROUND($E1066-$F1066,0))</f>
        <v/>
      </c>
      <c r="H1066" s="12">
        <f>IF($B1066="","",IF(ROUND($G1066,0)&gt;0,"بدهکار",IF(ROUND($G1066,0)&lt;0,"بستانکار","تسویه")))</f>
        <v/>
      </c>
    </row>
    <row r="1067">
      <c r="A1067" s="16">
        <f>IF($B1067="","",1058)</f>
        <v/>
      </c>
      <c r="B1067" s="17">
        <f>IF(483&gt;NFixedA,"",IFERROR(IF(VLOOKUP(INDEX(PkFixedA,483),AcctTblA,4,0)="","(بدون نام)",VLOOKUP(INDEX(PkFixedA,483),AcctTblA,4,0)),"—"))</f>
        <v/>
      </c>
      <c r="C1067" s="18">
        <f>IF($B1067="","",IF(483&gt;NFixedA,"",INDEX(PkFixedA,483)))</f>
        <v/>
      </c>
      <c r="D1067" s="17">
        <f>IF($B1067="","","f")</f>
        <v/>
      </c>
      <c r="E1067" s="19">
        <f>IF($B1067="","",IF(483&gt;NFixedA,0,SUMIF(CalcDebit,INDEX(PkFixedA,483),CalcAmt)+SUMIF(CalcDebit2,INDEX(PkFixedA,483),CalcAmt2)))</f>
        <v/>
      </c>
      <c r="F1067" s="19">
        <f>IF($B1067="","",IF(483&gt;NFixedA,0,SUMIF(CalcCredit,INDEX(PkFixedA,483),CalcAmt)+SUMIF(CalcCredit2,INDEX(PkFixedA,483),CalcAmt2)))</f>
        <v/>
      </c>
      <c r="G1067" s="20">
        <f>IF($B1067="","",ROUND($E1067-$F1067,0))</f>
        <v/>
      </c>
      <c r="H1067" s="17">
        <f>IF($B1067="","",IF(ROUND($G1067,0)&gt;0,"بدهکار",IF(ROUND($G1067,0)&lt;0,"بستانکار","تسویه")))</f>
        <v/>
      </c>
    </row>
    <row r="1068">
      <c r="A1068" s="11">
        <f>IF($B1068="","",1059)</f>
        <v/>
      </c>
      <c r="B1068" s="12">
        <f>IF(484&gt;NFixedA,"",IFERROR(IF(VLOOKUP(INDEX(PkFixedA,484),AcctTblA,4,0)="","(بدون نام)",VLOOKUP(INDEX(PkFixedA,484),AcctTblA,4,0)),"—"))</f>
        <v/>
      </c>
      <c r="C1068" s="13">
        <f>IF($B1068="","",IF(484&gt;NFixedA,"",INDEX(PkFixedA,484)))</f>
        <v/>
      </c>
      <c r="D1068" s="12">
        <f>IF($B1068="","","f")</f>
        <v/>
      </c>
      <c r="E1068" s="14">
        <f>IF($B1068="","",IF(484&gt;NFixedA,0,SUMIF(CalcDebit,INDEX(PkFixedA,484),CalcAmt)+SUMIF(CalcDebit2,INDEX(PkFixedA,484),CalcAmt2)))</f>
        <v/>
      </c>
      <c r="F1068" s="14">
        <f>IF($B1068="","",IF(484&gt;NFixedA,0,SUMIF(CalcCredit,INDEX(PkFixedA,484),CalcAmt)+SUMIF(CalcCredit2,INDEX(PkFixedA,484),CalcAmt2)))</f>
        <v/>
      </c>
      <c r="G1068" s="15">
        <f>IF($B1068="","",ROUND($E1068-$F1068,0))</f>
        <v/>
      </c>
      <c r="H1068" s="12">
        <f>IF($B1068="","",IF(ROUND($G1068,0)&gt;0,"بدهکار",IF(ROUND($G1068,0)&lt;0,"بستانکار","تسویه")))</f>
        <v/>
      </c>
    </row>
    <row r="1069">
      <c r="A1069" s="16">
        <f>IF($B1069="","",1060)</f>
        <v/>
      </c>
      <c r="B1069" s="17">
        <f>IF(485&gt;NFixedA,"",IFERROR(IF(VLOOKUP(INDEX(PkFixedA,485),AcctTblA,4,0)="","(بدون نام)",VLOOKUP(INDEX(PkFixedA,485),AcctTblA,4,0)),"—"))</f>
        <v/>
      </c>
      <c r="C1069" s="18">
        <f>IF($B1069="","",IF(485&gt;NFixedA,"",INDEX(PkFixedA,485)))</f>
        <v/>
      </c>
      <c r="D1069" s="17">
        <f>IF($B1069="","","f")</f>
        <v/>
      </c>
      <c r="E1069" s="19">
        <f>IF($B1069="","",IF(485&gt;NFixedA,0,SUMIF(CalcDebit,INDEX(PkFixedA,485),CalcAmt)+SUMIF(CalcDebit2,INDEX(PkFixedA,485),CalcAmt2)))</f>
        <v/>
      </c>
      <c r="F1069" s="19">
        <f>IF($B1069="","",IF(485&gt;NFixedA,0,SUMIF(CalcCredit,INDEX(PkFixedA,485),CalcAmt)+SUMIF(CalcCredit2,INDEX(PkFixedA,485),CalcAmt2)))</f>
        <v/>
      </c>
      <c r="G1069" s="20">
        <f>IF($B1069="","",ROUND($E1069-$F1069,0))</f>
        <v/>
      </c>
      <c r="H1069" s="17">
        <f>IF($B1069="","",IF(ROUND($G1069,0)&gt;0,"بدهکار",IF(ROUND($G1069,0)&lt;0,"بستانکار","تسویه")))</f>
        <v/>
      </c>
    </row>
    <row r="1070">
      <c r="A1070" s="11">
        <f>IF($B1070="","",1061)</f>
        <v/>
      </c>
      <c r="B1070" s="12">
        <f>IF(486&gt;NFixedA,"",IFERROR(IF(VLOOKUP(INDEX(PkFixedA,486),AcctTblA,4,0)="","(بدون نام)",VLOOKUP(INDEX(PkFixedA,486),AcctTblA,4,0)),"—"))</f>
        <v/>
      </c>
      <c r="C1070" s="13">
        <f>IF($B1070="","",IF(486&gt;NFixedA,"",INDEX(PkFixedA,486)))</f>
        <v/>
      </c>
      <c r="D1070" s="12">
        <f>IF($B1070="","","f")</f>
        <v/>
      </c>
      <c r="E1070" s="14">
        <f>IF($B1070="","",IF(486&gt;NFixedA,0,SUMIF(CalcDebit,INDEX(PkFixedA,486),CalcAmt)+SUMIF(CalcDebit2,INDEX(PkFixedA,486),CalcAmt2)))</f>
        <v/>
      </c>
      <c r="F1070" s="14">
        <f>IF($B1070="","",IF(486&gt;NFixedA,0,SUMIF(CalcCredit,INDEX(PkFixedA,486),CalcAmt)+SUMIF(CalcCredit2,INDEX(PkFixedA,486),CalcAmt2)))</f>
        <v/>
      </c>
      <c r="G1070" s="15">
        <f>IF($B1070="","",ROUND($E1070-$F1070,0))</f>
        <v/>
      </c>
      <c r="H1070" s="12">
        <f>IF($B1070="","",IF(ROUND($G1070,0)&gt;0,"بدهکار",IF(ROUND($G1070,0)&lt;0,"بستانکار","تسویه")))</f>
        <v/>
      </c>
    </row>
    <row r="1071">
      <c r="A1071" s="16">
        <f>IF($B1071="","",1062)</f>
        <v/>
      </c>
      <c r="B1071" s="17">
        <f>IF(487&gt;NFixedA,"",IFERROR(IF(VLOOKUP(INDEX(PkFixedA,487),AcctTblA,4,0)="","(بدون نام)",VLOOKUP(INDEX(PkFixedA,487),AcctTblA,4,0)),"—"))</f>
        <v/>
      </c>
      <c r="C1071" s="18">
        <f>IF($B1071="","",IF(487&gt;NFixedA,"",INDEX(PkFixedA,487)))</f>
        <v/>
      </c>
      <c r="D1071" s="17">
        <f>IF($B1071="","","f")</f>
        <v/>
      </c>
      <c r="E1071" s="19">
        <f>IF($B1071="","",IF(487&gt;NFixedA,0,SUMIF(CalcDebit,INDEX(PkFixedA,487),CalcAmt)+SUMIF(CalcDebit2,INDEX(PkFixedA,487),CalcAmt2)))</f>
        <v/>
      </c>
      <c r="F1071" s="19">
        <f>IF($B1071="","",IF(487&gt;NFixedA,0,SUMIF(CalcCredit,INDEX(PkFixedA,487),CalcAmt)+SUMIF(CalcCredit2,INDEX(PkFixedA,487),CalcAmt2)))</f>
        <v/>
      </c>
      <c r="G1071" s="20">
        <f>IF($B1071="","",ROUND($E1071-$F1071,0))</f>
        <v/>
      </c>
      <c r="H1071" s="17">
        <f>IF($B1071="","",IF(ROUND($G1071,0)&gt;0,"بدهکار",IF(ROUND($G1071,0)&lt;0,"بستانکار","تسویه")))</f>
        <v/>
      </c>
    </row>
    <row r="1072">
      <c r="A1072" s="11">
        <f>IF($B1072="","",1063)</f>
        <v/>
      </c>
      <c r="B1072" s="12">
        <f>IF(488&gt;NFixedA,"",IFERROR(IF(VLOOKUP(INDEX(PkFixedA,488),AcctTblA,4,0)="","(بدون نام)",VLOOKUP(INDEX(PkFixedA,488),AcctTblA,4,0)),"—"))</f>
        <v/>
      </c>
      <c r="C1072" s="13">
        <f>IF($B1072="","",IF(488&gt;NFixedA,"",INDEX(PkFixedA,488)))</f>
        <v/>
      </c>
      <c r="D1072" s="12">
        <f>IF($B1072="","","f")</f>
        <v/>
      </c>
      <c r="E1072" s="14">
        <f>IF($B1072="","",IF(488&gt;NFixedA,0,SUMIF(CalcDebit,INDEX(PkFixedA,488),CalcAmt)+SUMIF(CalcDebit2,INDEX(PkFixedA,488),CalcAmt2)))</f>
        <v/>
      </c>
      <c r="F1072" s="14">
        <f>IF($B1072="","",IF(488&gt;NFixedA,0,SUMIF(CalcCredit,INDEX(PkFixedA,488),CalcAmt)+SUMIF(CalcCredit2,INDEX(PkFixedA,488),CalcAmt2)))</f>
        <v/>
      </c>
      <c r="G1072" s="15">
        <f>IF($B1072="","",ROUND($E1072-$F1072,0))</f>
        <v/>
      </c>
      <c r="H1072" s="12">
        <f>IF($B1072="","",IF(ROUND($G1072,0)&gt;0,"بدهکار",IF(ROUND($G1072,0)&lt;0,"بستانکار","تسویه")))</f>
        <v/>
      </c>
    </row>
    <row r="1073">
      <c r="A1073" s="16">
        <f>IF($B1073="","",1064)</f>
        <v/>
      </c>
      <c r="B1073" s="17">
        <f>IF(489&gt;NFixedA,"",IFERROR(IF(VLOOKUP(INDEX(PkFixedA,489),AcctTblA,4,0)="","(بدون نام)",VLOOKUP(INDEX(PkFixedA,489),AcctTblA,4,0)),"—"))</f>
        <v/>
      </c>
      <c r="C1073" s="18">
        <f>IF($B1073="","",IF(489&gt;NFixedA,"",INDEX(PkFixedA,489)))</f>
        <v/>
      </c>
      <c r="D1073" s="17">
        <f>IF($B1073="","","f")</f>
        <v/>
      </c>
      <c r="E1073" s="19">
        <f>IF($B1073="","",IF(489&gt;NFixedA,0,SUMIF(CalcDebit,INDEX(PkFixedA,489),CalcAmt)+SUMIF(CalcDebit2,INDEX(PkFixedA,489),CalcAmt2)))</f>
        <v/>
      </c>
      <c r="F1073" s="19">
        <f>IF($B1073="","",IF(489&gt;NFixedA,0,SUMIF(CalcCredit,INDEX(PkFixedA,489),CalcAmt)+SUMIF(CalcCredit2,INDEX(PkFixedA,489),CalcAmt2)))</f>
        <v/>
      </c>
      <c r="G1073" s="20">
        <f>IF($B1073="","",ROUND($E1073-$F1073,0))</f>
        <v/>
      </c>
      <c r="H1073" s="17">
        <f>IF($B1073="","",IF(ROUND($G1073,0)&gt;0,"بدهکار",IF(ROUND($G1073,0)&lt;0,"بستانکار","تسویه")))</f>
        <v/>
      </c>
    </row>
    <row r="1074">
      <c r="A1074" s="11">
        <f>IF($B1074="","",1065)</f>
        <v/>
      </c>
      <c r="B1074" s="12">
        <f>IF(490&gt;NFixedA,"",IFERROR(IF(VLOOKUP(INDEX(PkFixedA,490),AcctTblA,4,0)="","(بدون نام)",VLOOKUP(INDEX(PkFixedA,490),AcctTblA,4,0)),"—"))</f>
        <v/>
      </c>
      <c r="C1074" s="13">
        <f>IF($B1074="","",IF(490&gt;NFixedA,"",INDEX(PkFixedA,490)))</f>
        <v/>
      </c>
      <c r="D1074" s="12">
        <f>IF($B1074="","","f")</f>
        <v/>
      </c>
      <c r="E1074" s="14">
        <f>IF($B1074="","",IF(490&gt;NFixedA,0,SUMIF(CalcDebit,INDEX(PkFixedA,490),CalcAmt)+SUMIF(CalcDebit2,INDEX(PkFixedA,490),CalcAmt2)))</f>
        <v/>
      </c>
      <c r="F1074" s="14">
        <f>IF($B1074="","",IF(490&gt;NFixedA,0,SUMIF(CalcCredit,INDEX(PkFixedA,490),CalcAmt)+SUMIF(CalcCredit2,INDEX(PkFixedA,490),CalcAmt2)))</f>
        <v/>
      </c>
      <c r="G1074" s="15">
        <f>IF($B1074="","",ROUND($E1074-$F1074,0))</f>
        <v/>
      </c>
      <c r="H1074" s="12">
        <f>IF($B1074="","",IF(ROUND($G1074,0)&gt;0,"بدهکار",IF(ROUND($G1074,0)&lt;0,"بستانکار","تسویه")))</f>
        <v/>
      </c>
    </row>
    <row r="1075">
      <c r="A1075" s="16">
        <f>IF($B1075="","",1066)</f>
        <v/>
      </c>
      <c r="B1075" s="17">
        <f>IF(491&gt;NFixedA,"",IFERROR(IF(VLOOKUP(INDEX(PkFixedA,491),AcctTblA,4,0)="","(بدون نام)",VLOOKUP(INDEX(PkFixedA,491),AcctTblA,4,0)),"—"))</f>
        <v/>
      </c>
      <c r="C1075" s="18">
        <f>IF($B1075="","",IF(491&gt;NFixedA,"",INDEX(PkFixedA,491)))</f>
        <v/>
      </c>
      <c r="D1075" s="17">
        <f>IF($B1075="","","f")</f>
        <v/>
      </c>
      <c r="E1075" s="19">
        <f>IF($B1075="","",IF(491&gt;NFixedA,0,SUMIF(CalcDebit,INDEX(PkFixedA,491),CalcAmt)+SUMIF(CalcDebit2,INDEX(PkFixedA,491),CalcAmt2)))</f>
        <v/>
      </c>
      <c r="F1075" s="19">
        <f>IF($B1075="","",IF(491&gt;NFixedA,0,SUMIF(CalcCredit,INDEX(PkFixedA,491),CalcAmt)+SUMIF(CalcCredit2,INDEX(PkFixedA,491),CalcAmt2)))</f>
        <v/>
      </c>
      <c r="G1075" s="20">
        <f>IF($B1075="","",ROUND($E1075-$F1075,0))</f>
        <v/>
      </c>
      <c r="H1075" s="17">
        <f>IF($B1075="","",IF(ROUND($G1075,0)&gt;0,"بدهکار",IF(ROUND($G1075,0)&lt;0,"بستانکار","تسویه")))</f>
        <v/>
      </c>
    </row>
    <row r="1076">
      <c r="A1076" s="11">
        <f>IF($B1076="","",1067)</f>
        <v/>
      </c>
      <c r="B1076" s="12">
        <f>IF(492&gt;NFixedA,"",IFERROR(IF(VLOOKUP(INDEX(PkFixedA,492),AcctTblA,4,0)="","(بدون نام)",VLOOKUP(INDEX(PkFixedA,492),AcctTblA,4,0)),"—"))</f>
        <v/>
      </c>
      <c r="C1076" s="13">
        <f>IF($B1076="","",IF(492&gt;NFixedA,"",INDEX(PkFixedA,492)))</f>
        <v/>
      </c>
      <c r="D1076" s="12">
        <f>IF($B1076="","","f")</f>
        <v/>
      </c>
      <c r="E1076" s="14">
        <f>IF($B1076="","",IF(492&gt;NFixedA,0,SUMIF(CalcDebit,INDEX(PkFixedA,492),CalcAmt)+SUMIF(CalcDebit2,INDEX(PkFixedA,492),CalcAmt2)))</f>
        <v/>
      </c>
      <c r="F1076" s="14">
        <f>IF($B1076="","",IF(492&gt;NFixedA,0,SUMIF(CalcCredit,INDEX(PkFixedA,492),CalcAmt)+SUMIF(CalcCredit2,INDEX(PkFixedA,492),CalcAmt2)))</f>
        <v/>
      </c>
      <c r="G1076" s="15">
        <f>IF($B1076="","",ROUND($E1076-$F1076,0))</f>
        <v/>
      </c>
      <c r="H1076" s="12">
        <f>IF($B1076="","",IF(ROUND($G1076,0)&gt;0,"بدهکار",IF(ROUND($G1076,0)&lt;0,"بستانکار","تسویه")))</f>
        <v/>
      </c>
    </row>
    <row r="1077">
      <c r="A1077" s="16">
        <f>IF($B1077="","",1068)</f>
        <v/>
      </c>
      <c r="B1077" s="17">
        <f>IF(493&gt;NFixedA,"",IFERROR(IF(VLOOKUP(INDEX(PkFixedA,493),AcctTblA,4,0)="","(بدون نام)",VLOOKUP(INDEX(PkFixedA,493),AcctTblA,4,0)),"—"))</f>
        <v/>
      </c>
      <c r="C1077" s="18">
        <f>IF($B1077="","",IF(493&gt;NFixedA,"",INDEX(PkFixedA,493)))</f>
        <v/>
      </c>
      <c r="D1077" s="17">
        <f>IF($B1077="","","f")</f>
        <v/>
      </c>
      <c r="E1077" s="19">
        <f>IF($B1077="","",IF(493&gt;NFixedA,0,SUMIF(CalcDebit,INDEX(PkFixedA,493),CalcAmt)+SUMIF(CalcDebit2,INDEX(PkFixedA,493),CalcAmt2)))</f>
        <v/>
      </c>
      <c r="F1077" s="19">
        <f>IF($B1077="","",IF(493&gt;NFixedA,0,SUMIF(CalcCredit,INDEX(PkFixedA,493),CalcAmt)+SUMIF(CalcCredit2,INDEX(PkFixedA,493),CalcAmt2)))</f>
        <v/>
      </c>
      <c r="G1077" s="20">
        <f>IF($B1077="","",ROUND($E1077-$F1077,0))</f>
        <v/>
      </c>
      <c r="H1077" s="17">
        <f>IF($B1077="","",IF(ROUND($G1077,0)&gt;0,"بدهکار",IF(ROUND($G1077,0)&lt;0,"بستانکار","تسویه")))</f>
        <v/>
      </c>
    </row>
    <row r="1078">
      <c r="A1078" s="11">
        <f>IF($B1078="","",1069)</f>
        <v/>
      </c>
      <c r="B1078" s="12">
        <f>IF(494&gt;NFixedA,"",IFERROR(IF(VLOOKUP(INDEX(PkFixedA,494),AcctTblA,4,0)="","(بدون نام)",VLOOKUP(INDEX(PkFixedA,494),AcctTblA,4,0)),"—"))</f>
        <v/>
      </c>
      <c r="C1078" s="13">
        <f>IF($B1078="","",IF(494&gt;NFixedA,"",INDEX(PkFixedA,494)))</f>
        <v/>
      </c>
      <c r="D1078" s="12">
        <f>IF($B1078="","","f")</f>
        <v/>
      </c>
      <c r="E1078" s="14">
        <f>IF($B1078="","",IF(494&gt;NFixedA,0,SUMIF(CalcDebit,INDEX(PkFixedA,494),CalcAmt)+SUMIF(CalcDebit2,INDEX(PkFixedA,494),CalcAmt2)))</f>
        <v/>
      </c>
      <c r="F1078" s="14">
        <f>IF($B1078="","",IF(494&gt;NFixedA,0,SUMIF(CalcCredit,INDEX(PkFixedA,494),CalcAmt)+SUMIF(CalcCredit2,INDEX(PkFixedA,494),CalcAmt2)))</f>
        <v/>
      </c>
      <c r="G1078" s="15">
        <f>IF($B1078="","",ROUND($E1078-$F1078,0))</f>
        <v/>
      </c>
      <c r="H1078" s="12">
        <f>IF($B1078="","",IF(ROUND($G1078,0)&gt;0,"بدهکار",IF(ROUND($G1078,0)&lt;0,"بستانکار","تسویه")))</f>
        <v/>
      </c>
    </row>
    <row r="1079">
      <c r="A1079" s="16">
        <f>IF($B1079="","",1070)</f>
        <v/>
      </c>
      <c r="B1079" s="17">
        <f>IF(495&gt;NFixedA,"",IFERROR(IF(VLOOKUP(INDEX(PkFixedA,495),AcctTblA,4,0)="","(بدون نام)",VLOOKUP(INDEX(PkFixedA,495),AcctTblA,4,0)),"—"))</f>
        <v/>
      </c>
      <c r="C1079" s="18">
        <f>IF($B1079="","",IF(495&gt;NFixedA,"",INDEX(PkFixedA,495)))</f>
        <v/>
      </c>
      <c r="D1079" s="17">
        <f>IF($B1079="","","f")</f>
        <v/>
      </c>
      <c r="E1079" s="19">
        <f>IF($B1079="","",IF(495&gt;NFixedA,0,SUMIF(CalcDebit,INDEX(PkFixedA,495),CalcAmt)+SUMIF(CalcDebit2,INDEX(PkFixedA,495),CalcAmt2)))</f>
        <v/>
      </c>
      <c r="F1079" s="19">
        <f>IF($B1079="","",IF(495&gt;NFixedA,0,SUMIF(CalcCredit,INDEX(PkFixedA,495),CalcAmt)+SUMIF(CalcCredit2,INDEX(PkFixedA,495),CalcAmt2)))</f>
        <v/>
      </c>
      <c r="G1079" s="20">
        <f>IF($B1079="","",ROUND($E1079-$F1079,0))</f>
        <v/>
      </c>
      <c r="H1079" s="17">
        <f>IF($B1079="","",IF(ROUND($G1079,0)&gt;0,"بدهکار",IF(ROUND($G1079,0)&lt;0,"بستانکار","تسویه")))</f>
        <v/>
      </c>
    </row>
    <row r="1080">
      <c r="A1080" s="11">
        <f>IF($B1080="","",1071)</f>
        <v/>
      </c>
      <c r="B1080" s="12">
        <f>IF(496&gt;NFixedA,"",IFERROR(IF(VLOOKUP(INDEX(PkFixedA,496),AcctTblA,4,0)="","(بدون نام)",VLOOKUP(INDEX(PkFixedA,496),AcctTblA,4,0)),"—"))</f>
        <v/>
      </c>
      <c r="C1080" s="13">
        <f>IF($B1080="","",IF(496&gt;NFixedA,"",INDEX(PkFixedA,496)))</f>
        <v/>
      </c>
      <c r="D1080" s="12">
        <f>IF($B1080="","","f")</f>
        <v/>
      </c>
      <c r="E1080" s="14">
        <f>IF($B1080="","",IF(496&gt;NFixedA,0,SUMIF(CalcDebit,INDEX(PkFixedA,496),CalcAmt)+SUMIF(CalcDebit2,INDEX(PkFixedA,496),CalcAmt2)))</f>
        <v/>
      </c>
      <c r="F1080" s="14">
        <f>IF($B1080="","",IF(496&gt;NFixedA,0,SUMIF(CalcCredit,INDEX(PkFixedA,496),CalcAmt)+SUMIF(CalcCredit2,INDEX(PkFixedA,496),CalcAmt2)))</f>
        <v/>
      </c>
      <c r="G1080" s="15">
        <f>IF($B1080="","",ROUND($E1080-$F1080,0))</f>
        <v/>
      </c>
      <c r="H1080" s="12">
        <f>IF($B1080="","",IF(ROUND($G1080,0)&gt;0,"بدهکار",IF(ROUND($G1080,0)&lt;0,"بستانکار","تسویه")))</f>
        <v/>
      </c>
    </row>
    <row r="1081">
      <c r="A1081" s="16">
        <f>IF($B1081="","",1072)</f>
        <v/>
      </c>
      <c r="B1081" s="17">
        <f>IF(497&gt;NFixedA,"",IFERROR(IF(VLOOKUP(INDEX(PkFixedA,497),AcctTblA,4,0)="","(بدون نام)",VLOOKUP(INDEX(PkFixedA,497),AcctTblA,4,0)),"—"))</f>
        <v/>
      </c>
      <c r="C1081" s="18">
        <f>IF($B1081="","",IF(497&gt;NFixedA,"",INDEX(PkFixedA,497)))</f>
        <v/>
      </c>
      <c r="D1081" s="17">
        <f>IF($B1081="","","f")</f>
        <v/>
      </c>
      <c r="E1081" s="19">
        <f>IF($B1081="","",IF(497&gt;NFixedA,0,SUMIF(CalcDebit,INDEX(PkFixedA,497),CalcAmt)+SUMIF(CalcDebit2,INDEX(PkFixedA,497),CalcAmt2)))</f>
        <v/>
      </c>
      <c r="F1081" s="19">
        <f>IF($B1081="","",IF(497&gt;NFixedA,0,SUMIF(CalcCredit,INDEX(PkFixedA,497),CalcAmt)+SUMIF(CalcCredit2,INDEX(PkFixedA,497),CalcAmt2)))</f>
        <v/>
      </c>
      <c r="G1081" s="20">
        <f>IF($B1081="","",ROUND($E1081-$F1081,0))</f>
        <v/>
      </c>
      <c r="H1081" s="17">
        <f>IF($B1081="","",IF(ROUND($G1081,0)&gt;0,"بدهکار",IF(ROUND($G1081,0)&lt;0,"بستانکار","تسویه")))</f>
        <v/>
      </c>
    </row>
    <row r="1082">
      <c r="A1082" s="11">
        <f>IF($B1082="","",1073)</f>
        <v/>
      </c>
      <c r="B1082" s="12">
        <f>IF(498&gt;NFixedA,"",IFERROR(IF(VLOOKUP(INDEX(PkFixedA,498),AcctTblA,4,0)="","(بدون نام)",VLOOKUP(INDEX(PkFixedA,498),AcctTblA,4,0)),"—"))</f>
        <v/>
      </c>
      <c r="C1082" s="13">
        <f>IF($B1082="","",IF(498&gt;NFixedA,"",INDEX(PkFixedA,498)))</f>
        <v/>
      </c>
      <c r="D1082" s="12">
        <f>IF($B1082="","","f")</f>
        <v/>
      </c>
      <c r="E1082" s="14">
        <f>IF($B1082="","",IF(498&gt;NFixedA,0,SUMIF(CalcDebit,INDEX(PkFixedA,498),CalcAmt)+SUMIF(CalcDebit2,INDEX(PkFixedA,498),CalcAmt2)))</f>
        <v/>
      </c>
      <c r="F1082" s="14">
        <f>IF($B1082="","",IF(498&gt;NFixedA,0,SUMIF(CalcCredit,INDEX(PkFixedA,498),CalcAmt)+SUMIF(CalcCredit2,INDEX(PkFixedA,498),CalcAmt2)))</f>
        <v/>
      </c>
      <c r="G1082" s="15">
        <f>IF($B1082="","",ROUND($E1082-$F1082,0))</f>
        <v/>
      </c>
      <c r="H1082" s="12">
        <f>IF($B1082="","",IF(ROUND($G1082,0)&gt;0,"بدهکار",IF(ROUND($G1082,0)&lt;0,"بستانکار","تسویه")))</f>
        <v/>
      </c>
    </row>
    <row r="1083">
      <c r="A1083" s="16">
        <f>IF($B1083="","",1074)</f>
        <v/>
      </c>
      <c r="B1083" s="17">
        <f>IF(499&gt;NFixedA,"",IFERROR(IF(VLOOKUP(INDEX(PkFixedA,499),AcctTblA,4,0)="","(بدون نام)",VLOOKUP(INDEX(PkFixedA,499),AcctTblA,4,0)),"—"))</f>
        <v/>
      </c>
      <c r="C1083" s="18">
        <f>IF($B1083="","",IF(499&gt;NFixedA,"",INDEX(PkFixedA,499)))</f>
        <v/>
      </c>
      <c r="D1083" s="17">
        <f>IF($B1083="","","f")</f>
        <v/>
      </c>
      <c r="E1083" s="19">
        <f>IF($B1083="","",IF(499&gt;NFixedA,0,SUMIF(CalcDebit,INDEX(PkFixedA,499),CalcAmt)+SUMIF(CalcDebit2,INDEX(PkFixedA,499),CalcAmt2)))</f>
        <v/>
      </c>
      <c r="F1083" s="19">
        <f>IF($B1083="","",IF(499&gt;NFixedA,0,SUMIF(CalcCredit,INDEX(PkFixedA,499),CalcAmt)+SUMIF(CalcCredit2,INDEX(PkFixedA,499),CalcAmt2)))</f>
        <v/>
      </c>
      <c r="G1083" s="20">
        <f>IF($B1083="","",ROUND($E1083-$F1083,0))</f>
        <v/>
      </c>
      <c r="H1083" s="17">
        <f>IF($B1083="","",IF(ROUND($G1083,0)&gt;0,"بدهکار",IF(ROUND($G1083,0)&lt;0,"بستانکار","تسویه")))</f>
        <v/>
      </c>
    </row>
    <row r="1084">
      <c r="A1084" s="11">
        <f>IF($B1084="","",1075)</f>
        <v/>
      </c>
      <c r="B1084" s="12">
        <f>IF(500&gt;NFixedA,"",IFERROR(IF(VLOOKUP(INDEX(PkFixedA,500),AcctTblA,4,0)="","(بدون نام)",VLOOKUP(INDEX(PkFixedA,500),AcctTblA,4,0)),"—"))</f>
        <v/>
      </c>
      <c r="C1084" s="13">
        <f>IF($B1084="","",IF(500&gt;NFixedA,"",INDEX(PkFixedA,500)))</f>
        <v/>
      </c>
      <c r="D1084" s="12">
        <f>IF($B1084="","","f")</f>
        <v/>
      </c>
      <c r="E1084" s="14">
        <f>IF($B1084="","",IF(500&gt;NFixedA,0,SUMIF(CalcDebit,INDEX(PkFixedA,500),CalcAmt)+SUMIF(CalcDebit2,INDEX(PkFixedA,500),CalcAmt2)))</f>
        <v/>
      </c>
      <c r="F1084" s="14">
        <f>IF($B1084="","",IF(500&gt;NFixedA,0,SUMIF(CalcCredit,INDEX(PkFixedA,500),CalcAmt)+SUMIF(CalcCredit2,INDEX(PkFixedA,500),CalcAmt2)))</f>
        <v/>
      </c>
      <c r="G1084" s="15">
        <f>IF($B1084="","",ROUND($E1084-$F1084,0))</f>
        <v/>
      </c>
      <c r="H1084" s="12">
        <f>IF($B1084="","",IF(ROUND($G1084,0)&gt;0,"بدهکار",IF(ROUND($G1084,0)&lt;0,"بستانکار","تسویه")))</f>
        <v/>
      </c>
    </row>
    <row r="1085">
      <c r="A1085" s="16">
        <f>IF($B1085="","",1076)</f>
        <v/>
      </c>
      <c r="B1085" s="17">
        <f>IF(501&gt;NFixedA,"",IFERROR(IF(VLOOKUP(INDEX(PkFixedA,501),AcctTblA,4,0)="","(بدون نام)",VLOOKUP(INDEX(PkFixedA,501),AcctTblA,4,0)),"—"))</f>
        <v/>
      </c>
      <c r="C1085" s="18">
        <f>IF($B1085="","",IF(501&gt;NFixedA,"",INDEX(PkFixedA,501)))</f>
        <v/>
      </c>
      <c r="D1085" s="17">
        <f>IF($B1085="","","f")</f>
        <v/>
      </c>
      <c r="E1085" s="19">
        <f>IF($B1085="","",IF(501&gt;NFixedA,0,SUMIF(CalcDebit,INDEX(PkFixedA,501),CalcAmt)+SUMIF(CalcDebit2,INDEX(PkFixedA,501),CalcAmt2)))</f>
        <v/>
      </c>
      <c r="F1085" s="19">
        <f>IF($B1085="","",IF(501&gt;NFixedA,0,SUMIF(CalcCredit,INDEX(PkFixedA,501),CalcAmt)+SUMIF(CalcCredit2,INDEX(PkFixedA,501),CalcAmt2)))</f>
        <v/>
      </c>
      <c r="G1085" s="20">
        <f>IF($B1085="","",ROUND($E1085-$F1085,0))</f>
        <v/>
      </c>
      <c r="H1085" s="17">
        <f>IF($B1085="","",IF(ROUND($G1085,0)&gt;0,"بدهکار",IF(ROUND($G1085,0)&lt;0,"بستانکار","تسویه")))</f>
        <v/>
      </c>
    </row>
    <row r="1086">
      <c r="A1086" s="11">
        <f>IF($B1086="","",1077)</f>
        <v/>
      </c>
      <c r="B1086" s="12">
        <f>IF(502&gt;NFixedA,"",IFERROR(IF(VLOOKUP(INDEX(PkFixedA,502),AcctTblA,4,0)="","(بدون نام)",VLOOKUP(INDEX(PkFixedA,502),AcctTblA,4,0)),"—"))</f>
        <v/>
      </c>
      <c r="C1086" s="13">
        <f>IF($B1086="","",IF(502&gt;NFixedA,"",INDEX(PkFixedA,502)))</f>
        <v/>
      </c>
      <c r="D1086" s="12">
        <f>IF($B1086="","","f")</f>
        <v/>
      </c>
      <c r="E1086" s="14">
        <f>IF($B1086="","",IF(502&gt;NFixedA,0,SUMIF(CalcDebit,INDEX(PkFixedA,502),CalcAmt)+SUMIF(CalcDebit2,INDEX(PkFixedA,502),CalcAmt2)))</f>
        <v/>
      </c>
      <c r="F1086" s="14">
        <f>IF($B1086="","",IF(502&gt;NFixedA,0,SUMIF(CalcCredit,INDEX(PkFixedA,502),CalcAmt)+SUMIF(CalcCredit2,INDEX(PkFixedA,502),CalcAmt2)))</f>
        <v/>
      </c>
      <c r="G1086" s="15">
        <f>IF($B1086="","",ROUND($E1086-$F1086,0))</f>
        <v/>
      </c>
      <c r="H1086" s="12">
        <f>IF($B1086="","",IF(ROUND($G1086,0)&gt;0,"بدهکار",IF(ROUND($G1086,0)&lt;0,"بستانکار","تسویه")))</f>
        <v/>
      </c>
    </row>
    <row r="1087">
      <c r="A1087" s="16">
        <f>IF($B1087="","",1078)</f>
        <v/>
      </c>
      <c r="B1087" s="17">
        <f>IF(503&gt;NFixedA,"",IFERROR(IF(VLOOKUP(INDEX(PkFixedA,503),AcctTblA,4,0)="","(بدون نام)",VLOOKUP(INDEX(PkFixedA,503),AcctTblA,4,0)),"—"))</f>
        <v/>
      </c>
      <c r="C1087" s="18">
        <f>IF($B1087="","",IF(503&gt;NFixedA,"",INDEX(PkFixedA,503)))</f>
        <v/>
      </c>
      <c r="D1087" s="17">
        <f>IF($B1087="","","f")</f>
        <v/>
      </c>
      <c r="E1087" s="19">
        <f>IF($B1087="","",IF(503&gt;NFixedA,0,SUMIF(CalcDebit,INDEX(PkFixedA,503),CalcAmt)+SUMIF(CalcDebit2,INDEX(PkFixedA,503),CalcAmt2)))</f>
        <v/>
      </c>
      <c r="F1087" s="19">
        <f>IF($B1087="","",IF(503&gt;NFixedA,0,SUMIF(CalcCredit,INDEX(PkFixedA,503),CalcAmt)+SUMIF(CalcCredit2,INDEX(PkFixedA,503),CalcAmt2)))</f>
        <v/>
      </c>
      <c r="G1087" s="20">
        <f>IF($B1087="","",ROUND($E1087-$F1087,0))</f>
        <v/>
      </c>
      <c r="H1087" s="17">
        <f>IF($B1087="","",IF(ROUND($G1087,0)&gt;0,"بدهکار",IF(ROUND($G1087,0)&lt;0,"بستانکار","تسویه")))</f>
        <v/>
      </c>
    </row>
    <row r="1088">
      <c r="A1088" s="11">
        <f>IF($B1088="","",1079)</f>
        <v/>
      </c>
      <c r="B1088" s="12">
        <f>IF(504&gt;NFixedA,"",IFERROR(IF(VLOOKUP(INDEX(PkFixedA,504),AcctTblA,4,0)="","(بدون نام)",VLOOKUP(INDEX(PkFixedA,504),AcctTblA,4,0)),"—"))</f>
        <v/>
      </c>
      <c r="C1088" s="13">
        <f>IF($B1088="","",IF(504&gt;NFixedA,"",INDEX(PkFixedA,504)))</f>
        <v/>
      </c>
      <c r="D1088" s="12">
        <f>IF($B1088="","","f")</f>
        <v/>
      </c>
      <c r="E1088" s="14">
        <f>IF($B1088="","",IF(504&gt;NFixedA,0,SUMIF(CalcDebit,INDEX(PkFixedA,504),CalcAmt)+SUMIF(CalcDebit2,INDEX(PkFixedA,504),CalcAmt2)))</f>
        <v/>
      </c>
      <c r="F1088" s="14">
        <f>IF($B1088="","",IF(504&gt;NFixedA,0,SUMIF(CalcCredit,INDEX(PkFixedA,504),CalcAmt)+SUMIF(CalcCredit2,INDEX(PkFixedA,504),CalcAmt2)))</f>
        <v/>
      </c>
      <c r="G1088" s="15">
        <f>IF($B1088="","",ROUND($E1088-$F1088,0))</f>
        <v/>
      </c>
      <c r="H1088" s="12">
        <f>IF($B1088="","",IF(ROUND($G1088,0)&gt;0,"بدهکار",IF(ROUND($G1088,0)&lt;0,"بستانکار","تسویه")))</f>
        <v/>
      </c>
    </row>
    <row r="1089">
      <c r="A1089" s="16">
        <f>IF($B1089="","",1080)</f>
        <v/>
      </c>
      <c r="B1089" s="17">
        <f>IF(505&gt;NFixedA,"",IFERROR(IF(VLOOKUP(INDEX(PkFixedA,505),AcctTblA,4,0)="","(بدون نام)",VLOOKUP(INDEX(PkFixedA,505),AcctTblA,4,0)),"—"))</f>
        <v/>
      </c>
      <c r="C1089" s="18">
        <f>IF($B1089="","",IF(505&gt;NFixedA,"",INDEX(PkFixedA,505)))</f>
        <v/>
      </c>
      <c r="D1089" s="17">
        <f>IF($B1089="","","f")</f>
        <v/>
      </c>
      <c r="E1089" s="19">
        <f>IF($B1089="","",IF(505&gt;NFixedA,0,SUMIF(CalcDebit,INDEX(PkFixedA,505),CalcAmt)+SUMIF(CalcDebit2,INDEX(PkFixedA,505),CalcAmt2)))</f>
        <v/>
      </c>
      <c r="F1089" s="19">
        <f>IF($B1089="","",IF(505&gt;NFixedA,0,SUMIF(CalcCredit,INDEX(PkFixedA,505),CalcAmt)+SUMIF(CalcCredit2,INDEX(PkFixedA,505),CalcAmt2)))</f>
        <v/>
      </c>
      <c r="G1089" s="20">
        <f>IF($B1089="","",ROUND($E1089-$F1089,0))</f>
        <v/>
      </c>
      <c r="H1089" s="17">
        <f>IF($B1089="","",IF(ROUND($G1089,0)&gt;0,"بدهکار",IF(ROUND($G1089,0)&lt;0,"بستانکار","تسویه")))</f>
        <v/>
      </c>
    </row>
    <row r="1090">
      <c r="A1090" s="11">
        <f>IF($B1090="","",1081)</f>
        <v/>
      </c>
      <c r="B1090" s="12">
        <f>IF(506&gt;NFixedA,"",IFERROR(IF(VLOOKUP(INDEX(PkFixedA,506),AcctTblA,4,0)="","(بدون نام)",VLOOKUP(INDEX(PkFixedA,506),AcctTblA,4,0)),"—"))</f>
        <v/>
      </c>
      <c r="C1090" s="13">
        <f>IF($B1090="","",IF(506&gt;NFixedA,"",INDEX(PkFixedA,506)))</f>
        <v/>
      </c>
      <c r="D1090" s="12">
        <f>IF($B1090="","","f")</f>
        <v/>
      </c>
      <c r="E1090" s="14">
        <f>IF($B1090="","",IF(506&gt;NFixedA,0,SUMIF(CalcDebit,INDEX(PkFixedA,506),CalcAmt)+SUMIF(CalcDebit2,INDEX(PkFixedA,506),CalcAmt2)))</f>
        <v/>
      </c>
      <c r="F1090" s="14">
        <f>IF($B1090="","",IF(506&gt;NFixedA,0,SUMIF(CalcCredit,INDEX(PkFixedA,506),CalcAmt)+SUMIF(CalcCredit2,INDEX(PkFixedA,506),CalcAmt2)))</f>
        <v/>
      </c>
      <c r="G1090" s="15">
        <f>IF($B1090="","",ROUND($E1090-$F1090,0))</f>
        <v/>
      </c>
      <c r="H1090" s="12">
        <f>IF($B1090="","",IF(ROUND($G1090,0)&gt;0,"بدهکار",IF(ROUND($G1090,0)&lt;0,"بستانکار","تسویه")))</f>
        <v/>
      </c>
    </row>
    <row r="1091">
      <c r="A1091" s="16">
        <f>IF($B1091="","",1082)</f>
        <v/>
      </c>
      <c r="B1091" s="17">
        <f>IF(507&gt;NFixedA,"",IFERROR(IF(VLOOKUP(INDEX(PkFixedA,507),AcctTblA,4,0)="","(بدون نام)",VLOOKUP(INDEX(PkFixedA,507),AcctTblA,4,0)),"—"))</f>
        <v/>
      </c>
      <c r="C1091" s="18">
        <f>IF($B1091="","",IF(507&gt;NFixedA,"",INDEX(PkFixedA,507)))</f>
        <v/>
      </c>
      <c r="D1091" s="17">
        <f>IF($B1091="","","f")</f>
        <v/>
      </c>
      <c r="E1091" s="19">
        <f>IF($B1091="","",IF(507&gt;NFixedA,0,SUMIF(CalcDebit,INDEX(PkFixedA,507),CalcAmt)+SUMIF(CalcDebit2,INDEX(PkFixedA,507),CalcAmt2)))</f>
        <v/>
      </c>
      <c r="F1091" s="19">
        <f>IF($B1091="","",IF(507&gt;NFixedA,0,SUMIF(CalcCredit,INDEX(PkFixedA,507),CalcAmt)+SUMIF(CalcCredit2,INDEX(PkFixedA,507),CalcAmt2)))</f>
        <v/>
      </c>
      <c r="G1091" s="20">
        <f>IF($B1091="","",ROUND($E1091-$F1091,0))</f>
        <v/>
      </c>
      <c r="H1091" s="17">
        <f>IF($B1091="","",IF(ROUND($G1091,0)&gt;0,"بدهکار",IF(ROUND($G1091,0)&lt;0,"بستانکار","تسویه")))</f>
        <v/>
      </c>
    </row>
    <row r="1092">
      <c r="A1092" s="11">
        <f>IF($B1092="","",1083)</f>
        <v/>
      </c>
      <c r="B1092" s="12">
        <f>IF(508&gt;NFixedA,"",IFERROR(IF(VLOOKUP(INDEX(PkFixedA,508),AcctTblA,4,0)="","(بدون نام)",VLOOKUP(INDEX(PkFixedA,508),AcctTblA,4,0)),"—"))</f>
        <v/>
      </c>
      <c r="C1092" s="13">
        <f>IF($B1092="","",IF(508&gt;NFixedA,"",INDEX(PkFixedA,508)))</f>
        <v/>
      </c>
      <c r="D1092" s="12">
        <f>IF($B1092="","","f")</f>
        <v/>
      </c>
      <c r="E1092" s="14">
        <f>IF($B1092="","",IF(508&gt;NFixedA,0,SUMIF(CalcDebit,INDEX(PkFixedA,508),CalcAmt)+SUMIF(CalcDebit2,INDEX(PkFixedA,508),CalcAmt2)))</f>
        <v/>
      </c>
      <c r="F1092" s="14">
        <f>IF($B1092="","",IF(508&gt;NFixedA,0,SUMIF(CalcCredit,INDEX(PkFixedA,508),CalcAmt)+SUMIF(CalcCredit2,INDEX(PkFixedA,508),CalcAmt2)))</f>
        <v/>
      </c>
      <c r="G1092" s="15">
        <f>IF($B1092="","",ROUND($E1092-$F1092,0))</f>
        <v/>
      </c>
      <c r="H1092" s="12">
        <f>IF($B1092="","",IF(ROUND($G1092,0)&gt;0,"بدهکار",IF(ROUND($G1092,0)&lt;0,"بستانکار","تسویه")))</f>
        <v/>
      </c>
    </row>
    <row r="1093">
      <c r="A1093" s="16">
        <f>IF($B1093="","",1084)</f>
        <v/>
      </c>
      <c r="B1093" s="17">
        <f>IF(509&gt;NFixedA,"",IFERROR(IF(VLOOKUP(INDEX(PkFixedA,509),AcctTblA,4,0)="","(بدون نام)",VLOOKUP(INDEX(PkFixedA,509),AcctTblA,4,0)),"—"))</f>
        <v/>
      </c>
      <c r="C1093" s="18">
        <f>IF($B1093="","",IF(509&gt;NFixedA,"",INDEX(PkFixedA,509)))</f>
        <v/>
      </c>
      <c r="D1093" s="17">
        <f>IF($B1093="","","f")</f>
        <v/>
      </c>
      <c r="E1093" s="19">
        <f>IF($B1093="","",IF(509&gt;NFixedA,0,SUMIF(CalcDebit,INDEX(PkFixedA,509),CalcAmt)+SUMIF(CalcDebit2,INDEX(PkFixedA,509),CalcAmt2)))</f>
        <v/>
      </c>
      <c r="F1093" s="19">
        <f>IF($B1093="","",IF(509&gt;NFixedA,0,SUMIF(CalcCredit,INDEX(PkFixedA,509),CalcAmt)+SUMIF(CalcCredit2,INDEX(PkFixedA,509),CalcAmt2)))</f>
        <v/>
      </c>
      <c r="G1093" s="20">
        <f>IF($B1093="","",ROUND($E1093-$F1093,0))</f>
        <v/>
      </c>
      <c r="H1093" s="17">
        <f>IF($B1093="","",IF(ROUND($G1093,0)&gt;0,"بدهکار",IF(ROUND($G1093,0)&lt;0,"بستانکار","تسویه")))</f>
        <v/>
      </c>
    </row>
    <row r="1094">
      <c r="A1094" s="11">
        <f>IF($B1094="","",1085)</f>
        <v/>
      </c>
      <c r="B1094" s="12">
        <f>IF(510&gt;NFixedA,"",IFERROR(IF(VLOOKUP(INDEX(PkFixedA,510),AcctTblA,4,0)="","(بدون نام)",VLOOKUP(INDEX(PkFixedA,510),AcctTblA,4,0)),"—"))</f>
        <v/>
      </c>
      <c r="C1094" s="13">
        <f>IF($B1094="","",IF(510&gt;NFixedA,"",INDEX(PkFixedA,510)))</f>
        <v/>
      </c>
      <c r="D1094" s="12">
        <f>IF($B1094="","","f")</f>
        <v/>
      </c>
      <c r="E1094" s="14">
        <f>IF($B1094="","",IF(510&gt;NFixedA,0,SUMIF(CalcDebit,INDEX(PkFixedA,510),CalcAmt)+SUMIF(CalcDebit2,INDEX(PkFixedA,510),CalcAmt2)))</f>
        <v/>
      </c>
      <c r="F1094" s="14">
        <f>IF($B1094="","",IF(510&gt;NFixedA,0,SUMIF(CalcCredit,INDEX(PkFixedA,510),CalcAmt)+SUMIF(CalcCredit2,INDEX(PkFixedA,510),CalcAmt2)))</f>
        <v/>
      </c>
      <c r="G1094" s="15">
        <f>IF($B1094="","",ROUND($E1094-$F1094,0))</f>
        <v/>
      </c>
      <c r="H1094" s="12">
        <f>IF($B1094="","",IF(ROUND($G1094,0)&gt;0,"بدهکار",IF(ROUND($G1094,0)&lt;0,"بستانکار","تسویه")))</f>
        <v/>
      </c>
    </row>
    <row r="1095">
      <c r="A1095" s="16">
        <f>IF($B1095="","",1086)</f>
        <v/>
      </c>
      <c r="B1095" s="17">
        <f>IF(511&gt;NFixedA,"",IFERROR(IF(VLOOKUP(INDEX(PkFixedA,511),AcctTblA,4,0)="","(بدون نام)",VLOOKUP(INDEX(PkFixedA,511),AcctTblA,4,0)),"—"))</f>
        <v/>
      </c>
      <c r="C1095" s="18">
        <f>IF($B1095="","",IF(511&gt;NFixedA,"",INDEX(PkFixedA,511)))</f>
        <v/>
      </c>
      <c r="D1095" s="17">
        <f>IF($B1095="","","f")</f>
        <v/>
      </c>
      <c r="E1095" s="19">
        <f>IF($B1095="","",IF(511&gt;NFixedA,0,SUMIF(CalcDebit,INDEX(PkFixedA,511),CalcAmt)+SUMIF(CalcDebit2,INDEX(PkFixedA,511),CalcAmt2)))</f>
        <v/>
      </c>
      <c r="F1095" s="19">
        <f>IF($B1095="","",IF(511&gt;NFixedA,0,SUMIF(CalcCredit,INDEX(PkFixedA,511),CalcAmt)+SUMIF(CalcCredit2,INDEX(PkFixedA,511),CalcAmt2)))</f>
        <v/>
      </c>
      <c r="G1095" s="20">
        <f>IF($B1095="","",ROUND($E1095-$F1095,0))</f>
        <v/>
      </c>
      <c r="H1095" s="17">
        <f>IF($B1095="","",IF(ROUND($G1095,0)&gt;0,"بدهکار",IF(ROUND($G1095,0)&lt;0,"بستانکار","تسویه")))</f>
        <v/>
      </c>
    </row>
    <row r="1096">
      <c r="A1096" s="11">
        <f>IF($B1096="","",1087)</f>
        <v/>
      </c>
      <c r="B1096" s="12">
        <f>IF(512&gt;NFixedA,"",IFERROR(IF(VLOOKUP(INDEX(PkFixedA,512),AcctTblA,4,0)="","(بدون نام)",VLOOKUP(INDEX(PkFixedA,512),AcctTblA,4,0)),"—"))</f>
        <v/>
      </c>
      <c r="C1096" s="13">
        <f>IF($B1096="","",IF(512&gt;NFixedA,"",INDEX(PkFixedA,512)))</f>
        <v/>
      </c>
      <c r="D1096" s="12">
        <f>IF($B1096="","","f")</f>
        <v/>
      </c>
      <c r="E1096" s="14">
        <f>IF($B1096="","",IF(512&gt;NFixedA,0,SUMIF(CalcDebit,INDEX(PkFixedA,512),CalcAmt)+SUMIF(CalcDebit2,INDEX(PkFixedA,512),CalcAmt2)))</f>
        <v/>
      </c>
      <c r="F1096" s="14">
        <f>IF($B1096="","",IF(512&gt;NFixedA,0,SUMIF(CalcCredit,INDEX(PkFixedA,512),CalcAmt)+SUMIF(CalcCredit2,INDEX(PkFixedA,512),CalcAmt2)))</f>
        <v/>
      </c>
      <c r="G1096" s="15">
        <f>IF($B1096="","",ROUND($E1096-$F1096,0))</f>
        <v/>
      </c>
      <c r="H1096" s="12">
        <f>IF($B1096="","",IF(ROUND($G1096,0)&gt;0,"بدهکار",IF(ROUND($G1096,0)&lt;0,"بستانکار","تسویه")))</f>
        <v/>
      </c>
    </row>
    <row r="1097">
      <c r="A1097" s="16">
        <f>IF($B1097="","",1088)</f>
        <v/>
      </c>
      <c r="B1097" s="17">
        <f>IF(513&gt;NFixedA,"",IFERROR(IF(VLOOKUP(INDEX(PkFixedA,513),AcctTblA,4,0)="","(بدون نام)",VLOOKUP(INDEX(PkFixedA,513),AcctTblA,4,0)),"—"))</f>
        <v/>
      </c>
      <c r="C1097" s="18">
        <f>IF($B1097="","",IF(513&gt;NFixedA,"",INDEX(PkFixedA,513)))</f>
        <v/>
      </c>
      <c r="D1097" s="17">
        <f>IF($B1097="","","f")</f>
        <v/>
      </c>
      <c r="E1097" s="19">
        <f>IF($B1097="","",IF(513&gt;NFixedA,0,SUMIF(CalcDebit,INDEX(PkFixedA,513),CalcAmt)+SUMIF(CalcDebit2,INDEX(PkFixedA,513),CalcAmt2)))</f>
        <v/>
      </c>
      <c r="F1097" s="19">
        <f>IF($B1097="","",IF(513&gt;NFixedA,0,SUMIF(CalcCredit,INDEX(PkFixedA,513),CalcAmt)+SUMIF(CalcCredit2,INDEX(PkFixedA,513),CalcAmt2)))</f>
        <v/>
      </c>
      <c r="G1097" s="20">
        <f>IF($B1097="","",ROUND($E1097-$F1097,0))</f>
        <v/>
      </c>
      <c r="H1097" s="17">
        <f>IF($B1097="","",IF(ROUND($G1097,0)&gt;0,"بدهکار",IF(ROUND($G1097,0)&lt;0,"بستانکار","تسویه")))</f>
        <v/>
      </c>
    </row>
    <row r="1098">
      <c r="A1098" s="11">
        <f>IF($B1098="","",1089)</f>
        <v/>
      </c>
      <c r="B1098" s="12">
        <f>IF(514&gt;NFixedA,"",IFERROR(IF(VLOOKUP(INDEX(PkFixedA,514),AcctTblA,4,0)="","(بدون نام)",VLOOKUP(INDEX(PkFixedA,514),AcctTblA,4,0)),"—"))</f>
        <v/>
      </c>
      <c r="C1098" s="13">
        <f>IF($B1098="","",IF(514&gt;NFixedA,"",INDEX(PkFixedA,514)))</f>
        <v/>
      </c>
      <c r="D1098" s="12">
        <f>IF($B1098="","","f")</f>
        <v/>
      </c>
      <c r="E1098" s="14">
        <f>IF($B1098="","",IF(514&gt;NFixedA,0,SUMIF(CalcDebit,INDEX(PkFixedA,514),CalcAmt)+SUMIF(CalcDebit2,INDEX(PkFixedA,514),CalcAmt2)))</f>
        <v/>
      </c>
      <c r="F1098" s="14">
        <f>IF($B1098="","",IF(514&gt;NFixedA,0,SUMIF(CalcCredit,INDEX(PkFixedA,514),CalcAmt)+SUMIF(CalcCredit2,INDEX(PkFixedA,514),CalcAmt2)))</f>
        <v/>
      </c>
      <c r="G1098" s="15">
        <f>IF($B1098="","",ROUND($E1098-$F1098,0))</f>
        <v/>
      </c>
      <c r="H1098" s="12">
        <f>IF($B1098="","",IF(ROUND($G1098,0)&gt;0,"بدهکار",IF(ROUND($G1098,0)&lt;0,"بستانکار","تسویه")))</f>
        <v/>
      </c>
    </row>
    <row r="1099">
      <c r="A1099" s="16">
        <f>IF($B1099="","",1090)</f>
        <v/>
      </c>
      <c r="B1099" s="17">
        <f>IF(515&gt;NFixedA,"",IFERROR(IF(VLOOKUP(INDEX(PkFixedA,515),AcctTblA,4,0)="","(بدون نام)",VLOOKUP(INDEX(PkFixedA,515),AcctTblA,4,0)),"—"))</f>
        <v/>
      </c>
      <c r="C1099" s="18">
        <f>IF($B1099="","",IF(515&gt;NFixedA,"",INDEX(PkFixedA,515)))</f>
        <v/>
      </c>
      <c r="D1099" s="17">
        <f>IF($B1099="","","f")</f>
        <v/>
      </c>
      <c r="E1099" s="19">
        <f>IF($B1099="","",IF(515&gt;NFixedA,0,SUMIF(CalcDebit,INDEX(PkFixedA,515),CalcAmt)+SUMIF(CalcDebit2,INDEX(PkFixedA,515),CalcAmt2)))</f>
        <v/>
      </c>
      <c r="F1099" s="19">
        <f>IF($B1099="","",IF(515&gt;NFixedA,0,SUMIF(CalcCredit,INDEX(PkFixedA,515),CalcAmt)+SUMIF(CalcCredit2,INDEX(PkFixedA,515),CalcAmt2)))</f>
        <v/>
      </c>
      <c r="G1099" s="20">
        <f>IF($B1099="","",ROUND($E1099-$F1099,0))</f>
        <v/>
      </c>
      <c r="H1099" s="17">
        <f>IF($B1099="","",IF(ROUND($G1099,0)&gt;0,"بدهکار",IF(ROUND($G1099,0)&lt;0,"بستانکار","تسویه")))</f>
        <v/>
      </c>
    </row>
    <row r="1100">
      <c r="A1100" s="11">
        <f>IF($B1100="","",1091)</f>
        <v/>
      </c>
      <c r="B1100" s="12">
        <f>IF(516&gt;NFixedA,"",IFERROR(IF(VLOOKUP(INDEX(PkFixedA,516),AcctTblA,4,0)="","(بدون نام)",VLOOKUP(INDEX(PkFixedA,516),AcctTblA,4,0)),"—"))</f>
        <v/>
      </c>
      <c r="C1100" s="13">
        <f>IF($B1100="","",IF(516&gt;NFixedA,"",INDEX(PkFixedA,516)))</f>
        <v/>
      </c>
      <c r="D1100" s="12">
        <f>IF($B1100="","","f")</f>
        <v/>
      </c>
      <c r="E1100" s="14">
        <f>IF($B1100="","",IF(516&gt;NFixedA,0,SUMIF(CalcDebit,INDEX(PkFixedA,516),CalcAmt)+SUMIF(CalcDebit2,INDEX(PkFixedA,516),CalcAmt2)))</f>
        <v/>
      </c>
      <c r="F1100" s="14">
        <f>IF($B1100="","",IF(516&gt;NFixedA,0,SUMIF(CalcCredit,INDEX(PkFixedA,516),CalcAmt)+SUMIF(CalcCredit2,INDEX(PkFixedA,516),CalcAmt2)))</f>
        <v/>
      </c>
      <c r="G1100" s="15">
        <f>IF($B1100="","",ROUND($E1100-$F1100,0))</f>
        <v/>
      </c>
      <c r="H1100" s="12">
        <f>IF($B1100="","",IF(ROUND($G1100,0)&gt;0,"بدهکار",IF(ROUND($G1100,0)&lt;0,"بستانکار","تسویه")))</f>
        <v/>
      </c>
    </row>
    <row r="1101">
      <c r="A1101" s="16">
        <f>IF($B1101="","",1092)</f>
        <v/>
      </c>
      <c r="B1101" s="17">
        <f>IF(517&gt;NFixedA,"",IFERROR(IF(VLOOKUP(INDEX(PkFixedA,517),AcctTblA,4,0)="","(بدون نام)",VLOOKUP(INDEX(PkFixedA,517),AcctTblA,4,0)),"—"))</f>
        <v/>
      </c>
      <c r="C1101" s="18">
        <f>IF($B1101="","",IF(517&gt;NFixedA,"",INDEX(PkFixedA,517)))</f>
        <v/>
      </c>
      <c r="D1101" s="17">
        <f>IF($B1101="","","f")</f>
        <v/>
      </c>
      <c r="E1101" s="19">
        <f>IF($B1101="","",IF(517&gt;NFixedA,0,SUMIF(CalcDebit,INDEX(PkFixedA,517),CalcAmt)+SUMIF(CalcDebit2,INDEX(PkFixedA,517),CalcAmt2)))</f>
        <v/>
      </c>
      <c r="F1101" s="19">
        <f>IF($B1101="","",IF(517&gt;NFixedA,0,SUMIF(CalcCredit,INDEX(PkFixedA,517),CalcAmt)+SUMIF(CalcCredit2,INDEX(PkFixedA,517),CalcAmt2)))</f>
        <v/>
      </c>
      <c r="G1101" s="20">
        <f>IF($B1101="","",ROUND($E1101-$F1101,0))</f>
        <v/>
      </c>
      <c r="H1101" s="17">
        <f>IF($B1101="","",IF(ROUND($G1101,0)&gt;0,"بدهکار",IF(ROUND($G1101,0)&lt;0,"بستانکار","تسویه")))</f>
        <v/>
      </c>
    </row>
    <row r="1102">
      <c r="A1102" s="11">
        <f>IF($B1102="","",1093)</f>
        <v/>
      </c>
      <c r="B1102" s="12">
        <f>IF(518&gt;NFixedA,"",IFERROR(IF(VLOOKUP(INDEX(PkFixedA,518),AcctTblA,4,0)="","(بدون نام)",VLOOKUP(INDEX(PkFixedA,518),AcctTblA,4,0)),"—"))</f>
        <v/>
      </c>
      <c r="C1102" s="13">
        <f>IF($B1102="","",IF(518&gt;NFixedA,"",INDEX(PkFixedA,518)))</f>
        <v/>
      </c>
      <c r="D1102" s="12">
        <f>IF($B1102="","","f")</f>
        <v/>
      </c>
      <c r="E1102" s="14">
        <f>IF($B1102="","",IF(518&gt;NFixedA,0,SUMIF(CalcDebit,INDEX(PkFixedA,518),CalcAmt)+SUMIF(CalcDebit2,INDEX(PkFixedA,518),CalcAmt2)))</f>
        <v/>
      </c>
      <c r="F1102" s="14">
        <f>IF($B1102="","",IF(518&gt;NFixedA,0,SUMIF(CalcCredit,INDEX(PkFixedA,518),CalcAmt)+SUMIF(CalcCredit2,INDEX(PkFixedA,518),CalcAmt2)))</f>
        <v/>
      </c>
      <c r="G1102" s="15">
        <f>IF($B1102="","",ROUND($E1102-$F1102,0))</f>
        <v/>
      </c>
      <c r="H1102" s="12">
        <f>IF($B1102="","",IF(ROUND($G1102,0)&gt;0,"بدهکار",IF(ROUND($G1102,0)&lt;0,"بستانکار","تسویه")))</f>
        <v/>
      </c>
    </row>
    <row r="1103">
      <c r="A1103" s="16">
        <f>IF($B1103="","",1094)</f>
        <v/>
      </c>
      <c r="B1103" s="17">
        <f>IF(519&gt;NFixedA,"",IFERROR(IF(VLOOKUP(INDEX(PkFixedA,519),AcctTblA,4,0)="","(بدون نام)",VLOOKUP(INDEX(PkFixedA,519),AcctTblA,4,0)),"—"))</f>
        <v/>
      </c>
      <c r="C1103" s="18">
        <f>IF($B1103="","",IF(519&gt;NFixedA,"",INDEX(PkFixedA,519)))</f>
        <v/>
      </c>
      <c r="D1103" s="17">
        <f>IF($B1103="","","f")</f>
        <v/>
      </c>
      <c r="E1103" s="19">
        <f>IF($B1103="","",IF(519&gt;NFixedA,0,SUMIF(CalcDebit,INDEX(PkFixedA,519),CalcAmt)+SUMIF(CalcDebit2,INDEX(PkFixedA,519),CalcAmt2)))</f>
        <v/>
      </c>
      <c r="F1103" s="19">
        <f>IF($B1103="","",IF(519&gt;NFixedA,0,SUMIF(CalcCredit,INDEX(PkFixedA,519),CalcAmt)+SUMIF(CalcCredit2,INDEX(PkFixedA,519),CalcAmt2)))</f>
        <v/>
      </c>
      <c r="G1103" s="20">
        <f>IF($B1103="","",ROUND($E1103-$F1103,0))</f>
        <v/>
      </c>
      <c r="H1103" s="17">
        <f>IF($B1103="","",IF(ROUND($G1103,0)&gt;0,"بدهکار",IF(ROUND($G1103,0)&lt;0,"بستانکار","تسویه")))</f>
        <v/>
      </c>
    </row>
    <row r="1104">
      <c r="A1104" s="11">
        <f>IF($B1104="","",1095)</f>
        <v/>
      </c>
      <c r="B1104" s="12">
        <f>IF(520&gt;NFixedA,"",IFERROR(IF(VLOOKUP(INDEX(PkFixedA,520),AcctTblA,4,0)="","(بدون نام)",VLOOKUP(INDEX(PkFixedA,520),AcctTblA,4,0)),"—"))</f>
        <v/>
      </c>
      <c r="C1104" s="13">
        <f>IF($B1104="","",IF(520&gt;NFixedA,"",INDEX(PkFixedA,520)))</f>
        <v/>
      </c>
      <c r="D1104" s="12">
        <f>IF($B1104="","","f")</f>
        <v/>
      </c>
      <c r="E1104" s="14">
        <f>IF($B1104="","",IF(520&gt;NFixedA,0,SUMIF(CalcDebit,INDEX(PkFixedA,520),CalcAmt)+SUMIF(CalcDebit2,INDEX(PkFixedA,520),CalcAmt2)))</f>
        <v/>
      </c>
      <c r="F1104" s="14">
        <f>IF($B1104="","",IF(520&gt;NFixedA,0,SUMIF(CalcCredit,INDEX(PkFixedA,520),CalcAmt)+SUMIF(CalcCredit2,INDEX(PkFixedA,520),CalcAmt2)))</f>
        <v/>
      </c>
      <c r="G1104" s="15">
        <f>IF($B1104="","",ROUND($E1104-$F1104,0))</f>
        <v/>
      </c>
      <c r="H1104" s="12">
        <f>IF($B1104="","",IF(ROUND($G1104,0)&gt;0,"بدهکار",IF(ROUND($G1104,0)&lt;0,"بستانکار","تسویه")))</f>
        <v/>
      </c>
    </row>
    <row r="1105">
      <c r="A1105" s="16">
        <f>IF($B1105="","",1096)</f>
        <v/>
      </c>
      <c r="B1105" s="17">
        <f>IF(521&gt;NFixedA,"",IFERROR(IF(VLOOKUP(INDEX(PkFixedA,521),AcctTblA,4,0)="","(بدون نام)",VLOOKUP(INDEX(PkFixedA,521),AcctTblA,4,0)),"—"))</f>
        <v/>
      </c>
      <c r="C1105" s="18">
        <f>IF($B1105="","",IF(521&gt;NFixedA,"",INDEX(PkFixedA,521)))</f>
        <v/>
      </c>
      <c r="D1105" s="17">
        <f>IF($B1105="","","f")</f>
        <v/>
      </c>
      <c r="E1105" s="19">
        <f>IF($B1105="","",IF(521&gt;NFixedA,0,SUMIF(CalcDebit,INDEX(PkFixedA,521),CalcAmt)+SUMIF(CalcDebit2,INDEX(PkFixedA,521),CalcAmt2)))</f>
        <v/>
      </c>
      <c r="F1105" s="19">
        <f>IF($B1105="","",IF(521&gt;NFixedA,0,SUMIF(CalcCredit,INDEX(PkFixedA,521),CalcAmt)+SUMIF(CalcCredit2,INDEX(PkFixedA,521),CalcAmt2)))</f>
        <v/>
      </c>
      <c r="G1105" s="20">
        <f>IF($B1105="","",ROUND($E1105-$F1105,0))</f>
        <v/>
      </c>
      <c r="H1105" s="17">
        <f>IF($B1105="","",IF(ROUND($G1105,0)&gt;0,"بدهکار",IF(ROUND($G1105,0)&lt;0,"بستانکار","تسویه")))</f>
        <v/>
      </c>
    </row>
    <row r="1106">
      <c r="A1106" s="11">
        <f>IF($B1106="","",1097)</f>
        <v/>
      </c>
      <c r="B1106" s="12">
        <f>IF(522&gt;NFixedA,"",IFERROR(IF(VLOOKUP(INDEX(PkFixedA,522),AcctTblA,4,0)="","(بدون نام)",VLOOKUP(INDEX(PkFixedA,522),AcctTblA,4,0)),"—"))</f>
        <v/>
      </c>
      <c r="C1106" s="13">
        <f>IF($B1106="","",IF(522&gt;NFixedA,"",INDEX(PkFixedA,522)))</f>
        <v/>
      </c>
      <c r="D1106" s="12">
        <f>IF($B1106="","","f")</f>
        <v/>
      </c>
      <c r="E1106" s="14">
        <f>IF($B1106="","",IF(522&gt;NFixedA,0,SUMIF(CalcDebit,INDEX(PkFixedA,522),CalcAmt)+SUMIF(CalcDebit2,INDEX(PkFixedA,522),CalcAmt2)))</f>
        <v/>
      </c>
      <c r="F1106" s="14">
        <f>IF($B1106="","",IF(522&gt;NFixedA,0,SUMIF(CalcCredit,INDEX(PkFixedA,522),CalcAmt)+SUMIF(CalcCredit2,INDEX(PkFixedA,522),CalcAmt2)))</f>
        <v/>
      </c>
      <c r="G1106" s="15">
        <f>IF($B1106="","",ROUND($E1106-$F1106,0))</f>
        <v/>
      </c>
      <c r="H1106" s="12">
        <f>IF($B1106="","",IF(ROUND($G1106,0)&gt;0,"بدهکار",IF(ROUND($G1106,0)&lt;0,"بستانکار","تسویه")))</f>
        <v/>
      </c>
    </row>
    <row r="1107">
      <c r="A1107" s="16">
        <f>IF($B1107="","",1098)</f>
        <v/>
      </c>
      <c r="B1107" s="17">
        <f>IF(523&gt;NFixedA,"",IFERROR(IF(VLOOKUP(INDEX(PkFixedA,523),AcctTblA,4,0)="","(بدون نام)",VLOOKUP(INDEX(PkFixedA,523),AcctTblA,4,0)),"—"))</f>
        <v/>
      </c>
      <c r="C1107" s="18">
        <f>IF($B1107="","",IF(523&gt;NFixedA,"",INDEX(PkFixedA,523)))</f>
        <v/>
      </c>
      <c r="D1107" s="17">
        <f>IF($B1107="","","f")</f>
        <v/>
      </c>
      <c r="E1107" s="19">
        <f>IF($B1107="","",IF(523&gt;NFixedA,0,SUMIF(CalcDebit,INDEX(PkFixedA,523),CalcAmt)+SUMIF(CalcDebit2,INDEX(PkFixedA,523),CalcAmt2)))</f>
        <v/>
      </c>
      <c r="F1107" s="19">
        <f>IF($B1107="","",IF(523&gt;NFixedA,0,SUMIF(CalcCredit,INDEX(PkFixedA,523),CalcAmt)+SUMIF(CalcCredit2,INDEX(PkFixedA,523),CalcAmt2)))</f>
        <v/>
      </c>
      <c r="G1107" s="20">
        <f>IF($B1107="","",ROUND($E1107-$F1107,0))</f>
        <v/>
      </c>
      <c r="H1107" s="17">
        <f>IF($B1107="","",IF(ROUND($G1107,0)&gt;0,"بدهکار",IF(ROUND($G1107,0)&lt;0,"بستانکار","تسویه")))</f>
        <v/>
      </c>
    </row>
    <row r="1108">
      <c r="A1108" s="11">
        <f>IF($B1108="","",1099)</f>
        <v/>
      </c>
      <c r="B1108" s="12">
        <f>IF(524&gt;NFixedA,"",IFERROR(IF(VLOOKUP(INDEX(PkFixedA,524),AcctTblA,4,0)="","(بدون نام)",VLOOKUP(INDEX(PkFixedA,524),AcctTblA,4,0)),"—"))</f>
        <v/>
      </c>
      <c r="C1108" s="13">
        <f>IF($B1108="","",IF(524&gt;NFixedA,"",INDEX(PkFixedA,524)))</f>
        <v/>
      </c>
      <c r="D1108" s="12">
        <f>IF($B1108="","","f")</f>
        <v/>
      </c>
      <c r="E1108" s="14">
        <f>IF($B1108="","",IF(524&gt;NFixedA,0,SUMIF(CalcDebit,INDEX(PkFixedA,524),CalcAmt)+SUMIF(CalcDebit2,INDEX(PkFixedA,524),CalcAmt2)))</f>
        <v/>
      </c>
      <c r="F1108" s="14">
        <f>IF($B1108="","",IF(524&gt;NFixedA,0,SUMIF(CalcCredit,INDEX(PkFixedA,524),CalcAmt)+SUMIF(CalcCredit2,INDEX(PkFixedA,524),CalcAmt2)))</f>
        <v/>
      </c>
      <c r="G1108" s="15">
        <f>IF($B1108="","",ROUND($E1108-$F1108,0))</f>
        <v/>
      </c>
      <c r="H1108" s="12">
        <f>IF($B1108="","",IF(ROUND($G1108,0)&gt;0,"بدهکار",IF(ROUND($G1108,0)&lt;0,"بستانکار","تسویه")))</f>
        <v/>
      </c>
    </row>
    <row r="1109">
      <c r="A1109" s="16">
        <f>IF($B1109="","",1100)</f>
        <v/>
      </c>
      <c r="B1109" s="17">
        <f>IF(525&gt;NFixedA,"",IFERROR(IF(VLOOKUP(INDEX(PkFixedA,525),AcctTblA,4,0)="","(بدون نام)",VLOOKUP(INDEX(PkFixedA,525),AcctTblA,4,0)),"—"))</f>
        <v/>
      </c>
      <c r="C1109" s="18">
        <f>IF($B1109="","",IF(525&gt;NFixedA,"",INDEX(PkFixedA,525)))</f>
        <v/>
      </c>
      <c r="D1109" s="17">
        <f>IF($B1109="","","f")</f>
        <v/>
      </c>
      <c r="E1109" s="19">
        <f>IF($B1109="","",IF(525&gt;NFixedA,0,SUMIF(CalcDebit,INDEX(PkFixedA,525),CalcAmt)+SUMIF(CalcDebit2,INDEX(PkFixedA,525),CalcAmt2)))</f>
        <v/>
      </c>
      <c r="F1109" s="19">
        <f>IF($B1109="","",IF(525&gt;NFixedA,0,SUMIF(CalcCredit,INDEX(PkFixedA,525),CalcAmt)+SUMIF(CalcCredit2,INDEX(PkFixedA,525),CalcAmt2)))</f>
        <v/>
      </c>
      <c r="G1109" s="20">
        <f>IF($B1109="","",ROUND($E1109-$F1109,0))</f>
        <v/>
      </c>
      <c r="H1109" s="17">
        <f>IF($B1109="","",IF(ROUND($G1109,0)&gt;0,"بدهکار",IF(ROUND($G1109,0)&lt;0,"بستانکار","تسویه")))</f>
        <v/>
      </c>
    </row>
    <row r="1110">
      <c r="A1110" s="11">
        <f>IF($B1110="","",1101)</f>
        <v/>
      </c>
      <c r="B1110" s="12">
        <f>IF(526&gt;NFixedA,"",IFERROR(IF(VLOOKUP(INDEX(PkFixedA,526),AcctTblA,4,0)="","(بدون نام)",VLOOKUP(INDEX(PkFixedA,526),AcctTblA,4,0)),"—"))</f>
        <v/>
      </c>
      <c r="C1110" s="13">
        <f>IF($B1110="","",IF(526&gt;NFixedA,"",INDEX(PkFixedA,526)))</f>
        <v/>
      </c>
      <c r="D1110" s="12">
        <f>IF($B1110="","","f")</f>
        <v/>
      </c>
      <c r="E1110" s="14">
        <f>IF($B1110="","",IF(526&gt;NFixedA,0,SUMIF(CalcDebit,INDEX(PkFixedA,526),CalcAmt)+SUMIF(CalcDebit2,INDEX(PkFixedA,526),CalcAmt2)))</f>
        <v/>
      </c>
      <c r="F1110" s="14">
        <f>IF($B1110="","",IF(526&gt;NFixedA,0,SUMIF(CalcCredit,INDEX(PkFixedA,526),CalcAmt)+SUMIF(CalcCredit2,INDEX(PkFixedA,526),CalcAmt2)))</f>
        <v/>
      </c>
      <c r="G1110" s="15">
        <f>IF($B1110="","",ROUND($E1110-$F1110,0))</f>
        <v/>
      </c>
      <c r="H1110" s="12">
        <f>IF($B1110="","",IF(ROUND($G1110,0)&gt;0,"بدهکار",IF(ROUND($G1110,0)&lt;0,"بستانکار","تسویه")))</f>
        <v/>
      </c>
    </row>
    <row r="1111">
      <c r="A1111" s="16">
        <f>IF($B1111="","",1102)</f>
        <v/>
      </c>
      <c r="B1111" s="17">
        <f>IF(527&gt;NFixedA,"",IFERROR(IF(VLOOKUP(INDEX(PkFixedA,527),AcctTblA,4,0)="","(بدون نام)",VLOOKUP(INDEX(PkFixedA,527),AcctTblA,4,0)),"—"))</f>
        <v/>
      </c>
      <c r="C1111" s="18">
        <f>IF($B1111="","",IF(527&gt;NFixedA,"",INDEX(PkFixedA,527)))</f>
        <v/>
      </c>
      <c r="D1111" s="17">
        <f>IF($B1111="","","f")</f>
        <v/>
      </c>
      <c r="E1111" s="19">
        <f>IF($B1111="","",IF(527&gt;NFixedA,0,SUMIF(CalcDebit,INDEX(PkFixedA,527),CalcAmt)+SUMIF(CalcDebit2,INDEX(PkFixedA,527),CalcAmt2)))</f>
        <v/>
      </c>
      <c r="F1111" s="19">
        <f>IF($B1111="","",IF(527&gt;NFixedA,0,SUMIF(CalcCredit,INDEX(PkFixedA,527),CalcAmt)+SUMIF(CalcCredit2,INDEX(PkFixedA,527),CalcAmt2)))</f>
        <v/>
      </c>
      <c r="G1111" s="20">
        <f>IF($B1111="","",ROUND($E1111-$F1111,0))</f>
        <v/>
      </c>
      <c r="H1111" s="17">
        <f>IF($B1111="","",IF(ROUND($G1111,0)&gt;0,"بدهکار",IF(ROUND($G1111,0)&lt;0,"بستانکار","تسویه")))</f>
        <v/>
      </c>
    </row>
    <row r="1112">
      <c r="A1112" s="11">
        <f>IF($B1112="","",1103)</f>
        <v/>
      </c>
      <c r="B1112" s="12">
        <f>IF(528&gt;NFixedA,"",IFERROR(IF(VLOOKUP(INDEX(PkFixedA,528),AcctTblA,4,0)="","(بدون نام)",VLOOKUP(INDEX(PkFixedA,528),AcctTblA,4,0)),"—"))</f>
        <v/>
      </c>
      <c r="C1112" s="13">
        <f>IF($B1112="","",IF(528&gt;NFixedA,"",INDEX(PkFixedA,528)))</f>
        <v/>
      </c>
      <c r="D1112" s="12">
        <f>IF($B1112="","","f")</f>
        <v/>
      </c>
      <c r="E1112" s="14">
        <f>IF($B1112="","",IF(528&gt;NFixedA,0,SUMIF(CalcDebit,INDEX(PkFixedA,528),CalcAmt)+SUMIF(CalcDebit2,INDEX(PkFixedA,528),CalcAmt2)))</f>
        <v/>
      </c>
      <c r="F1112" s="14">
        <f>IF($B1112="","",IF(528&gt;NFixedA,0,SUMIF(CalcCredit,INDEX(PkFixedA,528),CalcAmt)+SUMIF(CalcCredit2,INDEX(PkFixedA,528),CalcAmt2)))</f>
        <v/>
      </c>
      <c r="G1112" s="15">
        <f>IF($B1112="","",ROUND($E1112-$F1112,0))</f>
        <v/>
      </c>
      <c r="H1112" s="12">
        <f>IF($B1112="","",IF(ROUND($G1112,0)&gt;0,"بدهکار",IF(ROUND($G1112,0)&lt;0,"بستانکار","تسویه")))</f>
        <v/>
      </c>
    </row>
    <row r="1113">
      <c r="A1113" s="16">
        <f>IF($B1113="","",1104)</f>
        <v/>
      </c>
      <c r="B1113" s="17">
        <f>IF(529&gt;NFixedA,"",IFERROR(IF(VLOOKUP(INDEX(PkFixedA,529),AcctTblA,4,0)="","(بدون نام)",VLOOKUP(INDEX(PkFixedA,529),AcctTblA,4,0)),"—"))</f>
        <v/>
      </c>
      <c r="C1113" s="18">
        <f>IF($B1113="","",IF(529&gt;NFixedA,"",INDEX(PkFixedA,529)))</f>
        <v/>
      </c>
      <c r="D1113" s="17">
        <f>IF($B1113="","","f")</f>
        <v/>
      </c>
      <c r="E1113" s="19">
        <f>IF($B1113="","",IF(529&gt;NFixedA,0,SUMIF(CalcDebit,INDEX(PkFixedA,529),CalcAmt)+SUMIF(CalcDebit2,INDEX(PkFixedA,529),CalcAmt2)))</f>
        <v/>
      </c>
      <c r="F1113" s="19">
        <f>IF($B1113="","",IF(529&gt;NFixedA,0,SUMIF(CalcCredit,INDEX(PkFixedA,529),CalcAmt)+SUMIF(CalcCredit2,INDEX(PkFixedA,529),CalcAmt2)))</f>
        <v/>
      </c>
      <c r="G1113" s="20">
        <f>IF($B1113="","",ROUND($E1113-$F1113,0))</f>
        <v/>
      </c>
      <c r="H1113" s="17">
        <f>IF($B1113="","",IF(ROUND($G1113,0)&gt;0,"بدهکار",IF(ROUND($G1113,0)&lt;0,"بستانکار","تسویه")))</f>
        <v/>
      </c>
    </row>
    <row r="1114">
      <c r="A1114" s="11">
        <f>IF($B1114="","",1105)</f>
        <v/>
      </c>
      <c r="B1114" s="12">
        <f>IF(530&gt;NFixedA,"",IFERROR(IF(VLOOKUP(INDEX(PkFixedA,530),AcctTblA,4,0)="","(بدون نام)",VLOOKUP(INDEX(PkFixedA,530),AcctTblA,4,0)),"—"))</f>
        <v/>
      </c>
      <c r="C1114" s="13">
        <f>IF($B1114="","",IF(530&gt;NFixedA,"",INDEX(PkFixedA,530)))</f>
        <v/>
      </c>
      <c r="D1114" s="12">
        <f>IF($B1114="","","f")</f>
        <v/>
      </c>
      <c r="E1114" s="14">
        <f>IF($B1114="","",IF(530&gt;NFixedA,0,SUMIF(CalcDebit,INDEX(PkFixedA,530),CalcAmt)+SUMIF(CalcDebit2,INDEX(PkFixedA,530),CalcAmt2)))</f>
        <v/>
      </c>
      <c r="F1114" s="14">
        <f>IF($B1114="","",IF(530&gt;NFixedA,0,SUMIF(CalcCredit,INDEX(PkFixedA,530),CalcAmt)+SUMIF(CalcCredit2,INDEX(PkFixedA,530),CalcAmt2)))</f>
        <v/>
      </c>
      <c r="G1114" s="15">
        <f>IF($B1114="","",ROUND($E1114-$F1114,0))</f>
        <v/>
      </c>
      <c r="H1114" s="12">
        <f>IF($B1114="","",IF(ROUND($G1114,0)&gt;0,"بدهکار",IF(ROUND($G1114,0)&lt;0,"بستانکار","تسویه")))</f>
        <v/>
      </c>
    </row>
    <row r="1115">
      <c r="A1115" s="16">
        <f>IF($B1115="","",1106)</f>
        <v/>
      </c>
      <c r="B1115" s="17">
        <f>IF(531&gt;NFixedA,"",IFERROR(IF(VLOOKUP(INDEX(PkFixedA,531),AcctTblA,4,0)="","(بدون نام)",VLOOKUP(INDEX(PkFixedA,531),AcctTblA,4,0)),"—"))</f>
        <v/>
      </c>
      <c r="C1115" s="18">
        <f>IF($B1115="","",IF(531&gt;NFixedA,"",INDEX(PkFixedA,531)))</f>
        <v/>
      </c>
      <c r="D1115" s="17">
        <f>IF($B1115="","","f")</f>
        <v/>
      </c>
      <c r="E1115" s="19">
        <f>IF($B1115="","",IF(531&gt;NFixedA,0,SUMIF(CalcDebit,INDEX(PkFixedA,531),CalcAmt)+SUMIF(CalcDebit2,INDEX(PkFixedA,531),CalcAmt2)))</f>
        <v/>
      </c>
      <c r="F1115" s="19">
        <f>IF($B1115="","",IF(531&gt;NFixedA,0,SUMIF(CalcCredit,INDEX(PkFixedA,531),CalcAmt)+SUMIF(CalcCredit2,INDEX(PkFixedA,531),CalcAmt2)))</f>
        <v/>
      </c>
      <c r="G1115" s="20">
        <f>IF($B1115="","",ROUND($E1115-$F1115,0))</f>
        <v/>
      </c>
      <c r="H1115" s="17">
        <f>IF($B1115="","",IF(ROUND($G1115,0)&gt;0,"بدهکار",IF(ROUND($G1115,0)&lt;0,"بستانکار","تسویه")))</f>
        <v/>
      </c>
    </row>
    <row r="1116">
      <c r="A1116" s="11">
        <f>IF($B1116="","",1107)</f>
        <v/>
      </c>
      <c r="B1116" s="12">
        <f>IF(532&gt;NFixedA,"",IFERROR(IF(VLOOKUP(INDEX(PkFixedA,532),AcctTblA,4,0)="","(بدون نام)",VLOOKUP(INDEX(PkFixedA,532),AcctTblA,4,0)),"—"))</f>
        <v/>
      </c>
      <c r="C1116" s="13">
        <f>IF($B1116="","",IF(532&gt;NFixedA,"",INDEX(PkFixedA,532)))</f>
        <v/>
      </c>
      <c r="D1116" s="12">
        <f>IF($B1116="","","f")</f>
        <v/>
      </c>
      <c r="E1116" s="14">
        <f>IF($B1116="","",IF(532&gt;NFixedA,0,SUMIF(CalcDebit,INDEX(PkFixedA,532),CalcAmt)+SUMIF(CalcDebit2,INDEX(PkFixedA,532),CalcAmt2)))</f>
        <v/>
      </c>
      <c r="F1116" s="14">
        <f>IF($B1116="","",IF(532&gt;NFixedA,0,SUMIF(CalcCredit,INDEX(PkFixedA,532),CalcAmt)+SUMIF(CalcCredit2,INDEX(PkFixedA,532),CalcAmt2)))</f>
        <v/>
      </c>
      <c r="G1116" s="15">
        <f>IF($B1116="","",ROUND($E1116-$F1116,0))</f>
        <v/>
      </c>
      <c r="H1116" s="12">
        <f>IF($B1116="","",IF(ROUND($G1116,0)&gt;0,"بدهکار",IF(ROUND($G1116,0)&lt;0,"بستانکار","تسویه")))</f>
        <v/>
      </c>
    </row>
    <row r="1117">
      <c r="A1117" s="16">
        <f>IF($B1117="","",1108)</f>
        <v/>
      </c>
      <c r="B1117" s="17">
        <f>IF(533&gt;NFixedA,"",IFERROR(IF(VLOOKUP(INDEX(PkFixedA,533),AcctTblA,4,0)="","(بدون نام)",VLOOKUP(INDEX(PkFixedA,533),AcctTblA,4,0)),"—"))</f>
        <v/>
      </c>
      <c r="C1117" s="18">
        <f>IF($B1117="","",IF(533&gt;NFixedA,"",INDEX(PkFixedA,533)))</f>
        <v/>
      </c>
      <c r="D1117" s="17">
        <f>IF($B1117="","","f")</f>
        <v/>
      </c>
      <c r="E1117" s="19">
        <f>IF($B1117="","",IF(533&gt;NFixedA,0,SUMIF(CalcDebit,INDEX(PkFixedA,533),CalcAmt)+SUMIF(CalcDebit2,INDEX(PkFixedA,533),CalcAmt2)))</f>
        <v/>
      </c>
      <c r="F1117" s="19">
        <f>IF($B1117="","",IF(533&gt;NFixedA,0,SUMIF(CalcCredit,INDEX(PkFixedA,533),CalcAmt)+SUMIF(CalcCredit2,INDEX(PkFixedA,533),CalcAmt2)))</f>
        <v/>
      </c>
      <c r="G1117" s="20">
        <f>IF($B1117="","",ROUND($E1117-$F1117,0))</f>
        <v/>
      </c>
      <c r="H1117" s="17">
        <f>IF($B1117="","",IF(ROUND($G1117,0)&gt;0,"بدهکار",IF(ROUND($G1117,0)&lt;0,"بستانکار","تسویه")))</f>
        <v/>
      </c>
    </row>
    <row r="1118">
      <c r="A1118" s="11">
        <f>IF($B1118="","",1109)</f>
        <v/>
      </c>
      <c r="B1118" s="12">
        <f>IF(534&gt;NFixedA,"",IFERROR(IF(VLOOKUP(INDEX(PkFixedA,534),AcctTblA,4,0)="","(بدون نام)",VLOOKUP(INDEX(PkFixedA,534),AcctTblA,4,0)),"—"))</f>
        <v/>
      </c>
      <c r="C1118" s="13">
        <f>IF($B1118="","",IF(534&gt;NFixedA,"",INDEX(PkFixedA,534)))</f>
        <v/>
      </c>
      <c r="D1118" s="12">
        <f>IF($B1118="","","f")</f>
        <v/>
      </c>
      <c r="E1118" s="14">
        <f>IF($B1118="","",IF(534&gt;NFixedA,0,SUMIF(CalcDebit,INDEX(PkFixedA,534),CalcAmt)+SUMIF(CalcDebit2,INDEX(PkFixedA,534),CalcAmt2)))</f>
        <v/>
      </c>
      <c r="F1118" s="14">
        <f>IF($B1118="","",IF(534&gt;NFixedA,0,SUMIF(CalcCredit,INDEX(PkFixedA,534),CalcAmt)+SUMIF(CalcCredit2,INDEX(PkFixedA,534),CalcAmt2)))</f>
        <v/>
      </c>
      <c r="G1118" s="15">
        <f>IF($B1118="","",ROUND($E1118-$F1118,0))</f>
        <v/>
      </c>
      <c r="H1118" s="12">
        <f>IF($B1118="","",IF(ROUND($G1118,0)&gt;0,"بدهکار",IF(ROUND($G1118,0)&lt;0,"بستانکار","تسویه")))</f>
        <v/>
      </c>
    </row>
    <row r="1119">
      <c r="A1119" s="16">
        <f>IF($B1119="","",1110)</f>
        <v/>
      </c>
      <c r="B1119" s="17">
        <f>IF(535&gt;NFixedA,"",IFERROR(IF(VLOOKUP(INDEX(PkFixedA,535),AcctTblA,4,0)="","(بدون نام)",VLOOKUP(INDEX(PkFixedA,535),AcctTblA,4,0)),"—"))</f>
        <v/>
      </c>
      <c r="C1119" s="18">
        <f>IF($B1119="","",IF(535&gt;NFixedA,"",INDEX(PkFixedA,535)))</f>
        <v/>
      </c>
      <c r="D1119" s="17">
        <f>IF($B1119="","","f")</f>
        <v/>
      </c>
      <c r="E1119" s="19">
        <f>IF($B1119="","",IF(535&gt;NFixedA,0,SUMIF(CalcDebit,INDEX(PkFixedA,535),CalcAmt)+SUMIF(CalcDebit2,INDEX(PkFixedA,535),CalcAmt2)))</f>
        <v/>
      </c>
      <c r="F1119" s="19">
        <f>IF($B1119="","",IF(535&gt;NFixedA,0,SUMIF(CalcCredit,INDEX(PkFixedA,535),CalcAmt)+SUMIF(CalcCredit2,INDEX(PkFixedA,535),CalcAmt2)))</f>
        <v/>
      </c>
      <c r="G1119" s="20">
        <f>IF($B1119="","",ROUND($E1119-$F1119,0))</f>
        <v/>
      </c>
      <c r="H1119" s="17">
        <f>IF($B1119="","",IF(ROUND($G1119,0)&gt;0,"بدهکار",IF(ROUND($G1119,0)&lt;0,"بستانکار","تسویه")))</f>
        <v/>
      </c>
    </row>
    <row r="1120">
      <c r="A1120" s="11">
        <f>IF($B1120="","",1111)</f>
        <v/>
      </c>
      <c r="B1120" s="12">
        <f>IF(536&gt;NFixedA,"",IFERROR(IF(VLOOKUP(INDEX(PkFixedA,536),AcctTblA,4,0)="","(بدون نام)",VLOOKUP(INDEX(PkFixedA,536),AcctTblA,4,0)),"—"))</f>
        <v/>
      </c>
      <c r="C1120" s="13">
        <f>IF($B1120="","",IF(536&gt;NFixedA,"",INDEX(PkFixedA,536)))</f>
        <v/>
      </c>
      <c r="D1120" s="12">
        <f>IF($B1120="","","f")</f>
        <v/>
      </c>
      <c r="E1120" s="14">
        <f>IF($B1120="","",IF(536&gt;NFixedA,0,SUMIF(CalcDebit,INDEX(PkFixedA,536),CalcAmt)+SUMIF(CalcDebit2,INDEX(PkFixedA,536),CalcAmt2)))</f>
        <v/>
      </c>
      <c r="F1120" s="14">
        <f>IF($B1120="","",IF(536&gt;NFixedA,0,SUMIF(CalcCredit,INDEX(PkFixedA,536),CalcAmt)+SUMIF(CalcCredit2,INDEX(PkFixedA,536),CalcAmt2)))</f>
        <v/>
      </c>
      <c r="G1120" s="15">
        <f>IF($B1120="","",ROUND($E1120-$F1120,0))</f>
        <v/>
      </c>
      <c r="H1120" s="12">
        <f>IF($B1120="","",IF(ROUND($G1120,0)&gt;0,"بدهکار",IF(ROUND($G1120,0)&lt;0,"بستانکار","تسویه")))</f>
        <v/>
      </c>
    </row>
    <row r="1121">
      <c r="A1121" s="16">
        <f>IF($B1121="","",1112)</f>
        <v/>
      </c>
      <c r="B1121" s="17">
        <f>IF(537&gt;NFixedA,"",IFERROR(IF(VLOOKUP(INDEX(PkFixedA,537),AcctTblA,4,0)="","(بدون نام)",VLOOKUP(INDEX(PkFixedA,537),AcctTblA,4,0)),"—"))</f>
        <v/>
      </c>
      <c r="C1121" s="18">
        <f>IF($B1121="","",IF(537&gt;NFixedA,"",INDEX(PkFixedA,537)))</f>
        <v/>
      </c>
      <c r="D1121" s="17">
        <f>IF($B1121="","","f")</f>
        <v/>
      </c>
      <c r="E1121" s="19">
        <f>IF($B1121="","",IF(537&gt;NFixedA,0,SUMIF(CalcDebit,INDEX(PkFixedA,537),CalcAmt)+SUMIF(CalcDebit2,INDEX(PkFixedA,537),CalcAmt2)))</f>
        <v/>
      </c>
      <c r="F1121" s="19">
        <f>IF($B1121="","",IF(537&gt;NFixedA,0,SUMIF(CalcCredit,INDEX(PkFixedA,537),CalcAmt)+SUMIF(CalcCredit2,INDEX(PkFixedA,537),CalcAmt2)))</f>
        <v/>
      </c>
      <c r="G1121" s="20">
        <f>IF($B1121="","",ROUND($E1121-$F1121,0))</f>
        <v/>
      </c>
      <c r="H1121" s="17">
        <f>IF($B1121="","",IF(ROUND($G1121,0)&gt;0,"بدهکار",IF(ROUND($G1121,0)&lt;0,"بستانکار","تسویه")))</f>
        <v/>
      </c>
    </row>
    <row r="1122">
      <c r="A1122" s="11">
        <f>IF($B1122="","",1113)</f>
        <v/>
      </c>
      <c r="B1122" s="12">
        <f>IF(538&gt;NFixedA,"",IFERROR(IF(VLOOKUP(INDEX(PkFixedA,538),AcctTblA,4,0)="","(بدون نام)",VLOOKUP(INDEX(PkFixedA,538),AcctTblA,4,0)),"—"))</f>
        <v/>
      </c>
      <c r="C1122" s="13">
        <f>IF($B1122="","",IF(538&gt;NFixedA,"",INDEX(PkFixedA,538)))</f>
        <v/>
      </c>
      <c r="D1122" s="12">
        <f>IF($B1122="","","f")</f>
        <v/>
      </c>
      <c r="E1122" s="14">
        <f>IF($B1122="","",IF(538&gt;NFixedA,0,SUMIF(CalcDebit,INDEX(PkFixedA,538),CalcAmt)+SUMIF(CalcDebit2,INDEX(PkFixedA,538),CalcAmt2)))</f>
        <v/>
      </c>
      <c r="F1122" s="14">
        <f>IF($B1122="","",IF(538&gt;NFixedA,0,SUMIF(CalcCredit,INDEX(PkFixedA,538),CalcAmt)+SUMIF(CalcCredit2,INDEX(PkFixedA,538),CalcAmt2)))</f>
        <v/>
      </c>
      <c r="G1122" s="15">
        <f>IF($B1122="","",ROUND($E1122-$F1122,0))</f>
        <v/>
      </c>
      <c r="H1122" s="12">
        <f>IF($B1122="","",IF(ROUND($G1122,0)&gt;0,"بدهکار",IF(ROUND($G1122,0)&lt;0,"بستانکار","تسویه")))</f>
        <v/>
      </c>
    </row>
    <row r="1123">
      <c r="A1123" s="16">
        <f>IF($B1123="","",1114)</f>
        <v/>
      </c>
      <c r="B1123" s="17">
        <f>IF(539&gt;NFixedA,"",IFERROR(IF(VLOOKUP(INDEX(PkFixedA,539),AcctTblA,4,0)="","(بدون نام)",VLOOKUP(INDEX(PkFixedA,539),AcctTblA,4,0)),"—"))</f>
        <v/>
      </c>
      <c r="C1123" s="18">
        <f>IF($B1123="","",IF(539&gt;NFixedA,"",INDEX(PkFixedA,539)))</f>
        <v/>
      </c>
      <c r="D1123" s="17">
        <f>IF($B1123="","","f")</f>
        <v/>
      </c>
      <c r="E1123" s="19">
        <f>IF($B1123="","",IF(539&gt;NFixedA,0,SUMIF(CalcDebit,INDEX(PkFixedA,539),CalcAmt)+SUMIF(CalcDebit2,INDEX(PkFixedA,539),CalcAmt2)))</f>
        <v/>
      </c>
      <c r="F1123" s="19">
        <f>IF($B1123="","",IF(539&gt;NFixedA,0,SUMIF(CalcCredit,INDEX(PkFixedA,539),CalcAmt)+SUMIF(CalcCredit2,INDEX(PkFixedA,539),CalcAmt2)))</f>
        <v/>
      </c>
      <c r="G1123" s="20">
        <f>IF($B1123="","",ROUND($E1123-$F1123,0))</f>
        <v/>
      </c>
      <c r="H1123" s="17">
        <f>IF($B1123="","",IF(ROUND($G1123,0)&gt;0,"بدهکار",IF(ROUND($G1123,0)&lt;0,"بستانکار","تسویه")))</f>
        <v/>
      </c>
    </row>
    <row r="1124">
      <c r="A1124" s="11">
        <f>IF($B1124="","",1115)</f>
        <v/>
      </c>
      <c r="B1124" s="12">
        <f>IF(540&gt;NFixedA,"",IFERROR(IF(VLOOKUP(INDEX(PkFixedA,540),AcctTblA,4,0)="","(بدون نام)",VLOOKUP(INDEX(PkFixedA,540),AcctTblA,4,0)),"—"))</f>
        <v/>
      </c>
      <c r="C1124" s="13">
        <f>IF($B1124="","",IF(540&gt;NFixedA,"",INDEX(PkFixedA,540)))</f>
        <v/>
      </c>
      <c r="D1124" s="12">
        <f>IF($B1124="","","f")</f>
        <v/>
      </c>
      <c r="E1124" s="14">
        <f>IF($B1124="","",IF(540&gt;NFixedA,0,SUMIF(CalcDebit,INDEX(PkFixedA,540),CalcAmt)+SUMIF(CalcDebit2,INDEX(PkFixedA,540),CalcAmt2)))</f>
        <v/>
      </c>
      <c r="F1124" s="14">
        <f>IF($B1124="","",IF(540&gt;NFixedA,0,SUMIF(CalcCredit,INDEX(PkFixedA,540),CalcAmt)+SUMIF(CalcCredit2,INDEX(PkFixedA,540),CalcAmt2)))</f>
        <v/>
      </c>
      <c r="G1124" s="15">
        <f>IF($B1124="","",ROUND($E1124-$F1124,0))</f>
        <v/>
      </c>
      <c r="H1124" s="12">
        <f>IF($B1124="","",IF(ROUND($G1124,0)&gt;0,"بدهکار",IF(ROUND($G1124,0)&lt;0,"بستانکار","تسویه")))</f>
        <v/>
      </c>
    </row>
    <row r="1125">
      <c r="A1125" s="16">
        <f>IF($B1125="","",1116)</f>
        <v/>
      </c>
      <c r="B1125" s="17">
        <f>IF(541&gt;NFixedA,"",IFERROR(IF(VLOOKUP(INDEX(PkFixedA,541),AcctTblA,4,0)="","(بدون نام)",VLOOKUP(INDEX(PkFixedA,541),AcctTblA,4,0)),"—"))</f>
        <v/>
      </c>
      <c r="C1125" s="18">
        <f>IF($B1125="","",IF(541&gt;NFixedA,"",INDEX(PkFixedA,541)))</f>
        <v/>
      </c>
      <c r="D1125" s="17">
        <f>IF($B1125="","","f")</f>
        <v/>
      </c>
      <c r="E1125" s="19">
        <f>IF($B1125="","",IF(541&gt;NFixedA,0,SUMIF(CalcDebit,INDEX(PkFixedA,541),CalcAmt)+SUMIF(CalcDebit2,INDEX(PkFixedA,541),CalcAmt2)))</f>
        <v/>
      </c>
      <c r="F1125" s="19">
        <f>IF($B1125="","",IF(541&gt;NFixedA,0,SUMIF(CalcCredit,INDEX(PkFixedA,541),CalcAmt)+SUMIF(CalcCredit2,INDEX(PkFixedA,541),CalcAmt2)))</f>
        <v/>
      </c>
      <c r="G1125" s="20">
        <f>IF($B1125="","",ROUND($E1125-$F1125,0))</f>
        <v/>
      </c>
      <c r="H1125" s="17">
        <f>IF($B1125="","",IF(ROUND($G1125,0)&gt;0,"بدهکار",IF(ROUND($G1125,0)&lt;0,"بستانکار","تسویه")))</f>
        <v/>
      </c>
    </row>
    <row r="1126">
      <c r="A1126" s="11">
        <f>IF($B1126="","",1117)</f>
        <v/>
      </c>
      <c r="B1126" s="12">
        <f>IF(542&gt;NFixedA,"",IFERROR(IF(VLOOKUP(INDEX(PkFixedA,542),AcctTblA,4,0)="","(بدون نام)",VLOOKUP(INDEX(PkFixedA,542),AcctTblA,4,0)),"—"))</f>
        <v/>
      </c>
      <c r="C1126" s="13">
        <f>IF($B1126="","",IF(542&gt;NFixedA,"",INDEX(PkFixedA,542)))</f>
        <v/>
      </c>
      <c r="D1126" s="12">
        <f>IF($B1126="","","f")</f>
        <v/>
      </c>
      <c r="E1126" s="14">
        <f>IF($B1126="","",IF(542&gt;NFixedA,0,SUMIF(CalcDebit,INDEX(PkFixedA,542),CalcAmt)+SUMIF(CalcDebit2,INDEX(PkFixedA,542),CalcAmt2)))</f>
        <v/>
      </c>
      <c r="F1126" s="14">
        <f>IF($B1126="","",IF(542&gt;NFixedA,0,SUMIF(CalcCredit,INDEX(PkFixedA,542),CalcAmt)+SUMIF(CalcCredit2,INDEX(PkFixedA,542),CalcAmt2)))</f>
        <v/>
      </c>
      <c r="G1126" s="15">
        <f>IF($B1126="","",ROUND($E1126-$F1126,0))</f>
        <v/>
      </c>
      <c r="H1126" s="12">
        <f>IF($B1126="","",IF(ROUND($G1126,0)&gt;0,"بدهکار",IF(ROUND($G1126,0)&lt;0,"بستانکار","تسویه")))</f>
        <v/>
      </c>
    </row>
    <row r="1127">
      <c r="A1127" s="16">
        <f>IF($B1127="","",1118)</f>
        <v/>
      </c>
      <c r="B1127" s="17">
        <f>IF(543&gt;NFixedA,"",IFERROR(IF(VLOOKUP(INDEX(PkFixedA,543),AcctTblA,4,0)="","(بدون نام)",VLOOKUP(INDEX(PkFixedA,543),AcctTblA,4,0)),"—"))</f>
        <v/>
      </c>
      <c r="C1127" s="18">
        <f>IF($B1127="","",IF(543&gt;NFixedA,"",INDEX(PkFixedA,543)))</f>
        <v/>
      </c>
      <c r="D1127" s="17">
        <f>IF($B1127="","","f")</f>
        <v/>
      </c>
      <c r="E1127" s="19">
        <f>IF($B1127="","",IF(543&gt;NFixedA,0,SUMIF(CalcDebit,INDEX(PkFixedA,543),CalcAmt)+SUMIF(CalcDebit2,INDEX(PkFixedA,543),CalcAmt2)))</f>
        <v/>
      </c>
      <c r="F1127" s="19">
        <f>IF($B1127="","",IF(543&gt;NFixedA,0,SUMIF(CalcCredit,INDEX(PkFixedA,543),CalcAmt)+SUMIF(CalcCredit2,INDEX(PkFixedA,543),CalcAmt2)))</f>
        <v/>
      </c>
      <c r="G1127" s="20">
        <f>IF($B1127="","",ROUND($E1127-$F1127,0))</f>
        <v/>
      </c>
      <c r="H1127" s="17">
        <f>IF($B1127="","",IF(ROUND($G1127,0)&gt;0,"بدهکار",IF(ROUND($G1127,0)&lt;0,"بستانکار","تسویه")))</f>
        <v/>
      </c>
    </row>
    <row r="1128">
      <c r="A1128" s="11">
        <f>IF($B1128="","",1119)</f>
        <v/>
      </c>
      <c r="B1128" s="12">
        <f>IF(544&gt;NFixedA,"",IFERROR(IF(VLOOKUP(INDEX(PkFixedA,544),AcctTblA,4,0)="","(بدون نام)",VLOOKUP(INDEX(PkFixedA,544),AcctTblA,4,0)),"—"))</f>
        <v/>
      </c>
      <c r="C1128" s="13">
        <f>IF($B1128="","",IF(544&gt;NFixedA,"",INDEX(PkFixedA,544)))</f>
        <v/>
      </c>
      <c r="D1128" s="12">
        <f>IF($B1128="","","f")</f>
        <v/>
      </c>
      <c r="E1128" s="14">
        <f>IF($B1128="","",IF(544&gt;NFixedA,0,SUMIF(CalcDebit,INDEX(PkFixedA,544),CalcAmt)+SUMIF(CalcDebit2,INDEX(PkFixedA,544),CalcAmt2)))</f>
        <v/>
      </c>
      <c r="F1128" s="14">
        <f>IF($B1128="","",IF(544&gt;NFixedA,0,SUMIF(CalcCredit,INDEX(PkFixedA,544),CalcAmt)+SUMIF(CalcCredit2,INDEX(PkFixedA,544),CalcAmt2)))</f>
        <v/>
      </c>
      <c r="G1128" s="15">
        <f>IF($B1128="","",ROUND($E1128-$F1128,0))</f>
        <v/>
      </c>
      <c r="H1128" s="12">
        <f>IF($B1128="","",IF(ROUND($G1128,0)&gt;0,"بدهکار",IF(ROUND($G1128,0)&lt;0,"بستانکار","تسویه")))</f>
        <v/>
      </c>
    </row>
    <row r="1129">
      <c r="A1129" s="16">
        <f>IF($B1129="","",1120)</f>
        <v/>
      </c>
      <c r="B1129" s="17">
        <f>IF(545&gt;NFixedA,"",IFERROR(IF(VLOOKUP(INDEX(PkFixedA,545),AcctTblA,4,0)="","(بدون نام)",VLOOKUP(INDEX(PkFixedA,545),AcctTblA,4,0)),"—"))</f>
        <v/>
      </c>
      <c r="C1129" s="18">
        <f>IF($B1129="","",IF(545&gt;NFixedA,"",INDEX(PkFixedA,545)))</f>
        <v/>
      </c>
      <c r="D1129" s="17">
        <f>IF($B1129="","","f")</f>
        <v/>
      </c>
      <c r="E1129" s="19">
        <f>IF($B1129="","",IF(545&gt;NFixedA,0,SUMIF(CalcDebit,INDEX(PkFixedA,545),CalcAmt)+SUMIF(CalcDebit2,INDEX(PkFixedA,545),CalcAmt2)))</f>
        <v/>
      </c>
      <c r="F1129" s="19">
        <f>IF($B1129="","",IF(545&gt;NFixedA,0,SUMIF(CalcCredit,INDEX(PkFixedA,545),CalcAmt)+SUMIF(CalcCredit2,INDEX(PkFixedA,545),CalcAmt2)))</f>
        <v/>
      </c>
      <c r="G1129" s="20">
        <f>IF($B1129="","",ROUND($E1129-$F1129,0))</f>
        <v/>
      </c>
      <c r="H1129" s="17">
        <f>IF($B1129="","",IF(ROUND($G1129,0)&gt;0,"بدهکار",IF(ROUND($G1129,0)&lt;0,"بستانکار","تسویه")))</f>
        <v/>
      </c>
    </row>
    <row r="1130">
      <c r="A1130" s="11">
        <f>IF($B1130="","",1121)</f>
        <v/>
      </c>
      <c r="B1130" s="12">
        <f>IF(546&gt;NFixedA,"",IFERROR(IF(VLOOKUP(INDEX(PkFixedA,546),AcctTblA,4,0)="","(بدون نام)",VLOOKUP(INDEX(PkFixedA,546),AcctTblA,4,0)),"—"))</f>
        <v/>
      </c>
      <c r="C1130" s="13">
        <f>IF($B1130="","",IF(546&gt;NFixedA,"",INDEX(PkFixedA,546)))</f>
        <v/>
      </c>
      <c r="D1130" s="12">
        <f>IF($B1130="","","f")</f>
        <v/>
      </c>
      <c r="E1130" s="14">
        <f>IF($B1130="","",IF(546&gt;NFixedA,0,SUMIF(CalcDebit,INDEX(PkFixedA,546),CalcAmt)+SUMIF(CalcDebit2,INDEX(PkFixedA,546),CalcAmt2)))</f>
        <v/>
      </c>
      <c r="F1130" s="14">
        <f>IF($B1130="","",IF(546&gt;NFixedA,0,SUMIF(CalcCredit,INDEX(PkFixedA,546),CalcAmt)+SUMIF(CalcCredit2,INDEX(PkFixedA,546),CalcAmt2)))</f>
        <v/>
      </c>
      <c r="G1130" s="15">
        <f>IF($B1130="","",ROUND($E1130-$F1130,0))</f>
        <v/>
      </c>
      <c r="H1130" s="12">
        <f>IF($B1130="","",IF(ROUND($G1130,0)&gt;0,"بدهکار",IF(ROUND($G1130,0)&lt;0,"بستانکار","تسویه")))</f>
        <v/>
      </c>
    </row>
    <row r="1131">
      <c r="A1131" s="16">
        <f>IF($B1131="","",1122)</f>
        <v/>
      </c>
      <c r="B1131" s="17">
        <f>IF(547&gt;NFixedA,"",IFERROR(IF(VLOOKUP(INDEX(PkFixedA,547),AcctTblA,4,0)="","(بدون نام)",VLOOKUP(INDEX(PkFixedA,547),AcctTblA,4,0)),"—"))</f>
        <v/>
      </c>
      <c r="C1131" s="18">
        <f>IF($B1131="","",IF(547&gt;NFixedA,"",INDEX(PkFixedA,547)))</f>
        <v/>
      </c>
      <c r="D1131" s="17">
        <f>IF($B1131="","","f")</f>
        <v/>
      </c>
      <c r="E1131" s="19">
        <f>IF($B1131="","",IF(547&gt;NFixedA,0,SUMIF(CalcDebit,INDEX(PkFixedA,547),CalcAmt)+SUMIF(CalcDebit2,INDEX(PkFixedA,547),CalcAmt2)))</f>
        <v/>
      </c>
      <c r="F1131" s="19">
        <f>IF($B1131="","",IF(547&gt;NFixedA,0,SUMIF(CalcCredit,INDEX(PkFixedA,547),CalcAmt)+SUMIF(CalcCredit2,INDEX(PkFixedA,547),CalcAmt2)))</f>
        <v/>
      </c>
      <c r="G1131" s="20">
        <f>IF($B1131="","",ROUND($E1131-$F1131,0))</f>
        <v/>
      </c>
      <c r="H1131" s="17">
        <f>IF($B1131="","",IF(ROUND($G1131,0)&gt;0,"بدهکار",IF(ROUND($G1131,0)&lt;0,"بستانکار","تسویه")))</f>
        <v/>
      </c>
    </row>
    <row r="1132">
      <c r="A1132" s="11">
        <f>IF($B1132="","",1123)</f>
        <v/>
      </c>
      <c r="B1132" s="12">
        <f>IF(548&gt;NFixedA,"",IFERROR(IF(VLOOKUP(INDEX(PkFixedA,548),AcctTblA,4,0)="","(بدون نام)",VLOOKUP(INDEX(PkFixedA,548),AcctTblA,4,0)),"—"))</f>
        <v/>
      </c>
      <c r="C1132" s="13">
        <f>IF($B1132="","",IF(548&gt;NFixedA,"",INDEX(PkFixedA,548)))</f>
        <v/>
      </c>
      <c r="D1132" s="12">
        <f>IF($B1132="","","f")</f>
        <v/>
      </c>
      <c r="E1132" s="14">
        <f>IF($B1132="","",IF(548&gt;NFixedA,0,SUMIF(CalcDebit,INDEX(PkFixedA,548),CalcAmt)+SUMIF(CalcDebit2,INDEX(PkFixedA,548),CalcAmt2)))</f>
        <v/>
      </c>
      <c r="F1132" s="14">
        <f>IF($B1132="","",IF(548&gt;NFixedA,0,SUMIF(CalcCredit,INDEX(PkFixedA,548),CalcAmt)+SUMIF(CalcCredit2,INDEX(PkFixedA,548),CalcAmt2)))</f>
        <v/>
      </c>
      <c r="G1132" s="15">
        <f>IF($B1132="","",ROUND($E1132-$F1132,0))</f>
        <v/>
      </c>
      <c r="H1132" s="12">
        <f>IF($B1132="","",IF(ROUND($G1132,0)&gt;0,"بدهکار",IF(ROUND($G1132,0)&lt;0,"بستانکار","تسویه")))</f>
        <v/>
      </c>
    </row>
    <row r="1133">
      <c r="A1133" s="16">
        <f>IF($B1133="","",1124)</f>
        <v/>
      </c>
      <c r="B1133" s="17">
        <f>IF(549&gt;NFixedA,"",IFERROR(IF(VLOOKUP(INDEX(PkFixedA,549),AcctTblA,4,0)="","(بدون نام)",VLOOKUP(INDEX(PkFixedA,549),AcctTblA,4,0)),"—"))</f>
        <v/>
      </c>
      <c r="C1133" s="18">
        <f>IF($B1133="","",IF(549&gt;NFixedA,"",INDEX(PkFixedA,549)))</f>
        <v/>
      </c>
      <c r="D1133" s="17">
        <f>IF($B1133="","","f")</f>
        <v/>
      </c>
      <c r="E1133" s="19">
        <f>IF($B1133="","",IF(549&gt;NFixedA,0,SUMIF(CalcDebit,INDEX(PkFixedA,549),CalcAmt)+SUMIF(CalcDebit2,INDEX(PkFixedA,549),CalcAmt2)))</f>
        <v/>
      </c>
      <c r="F1133" s="19">
        <f>IF($B1133="","",IF(549&gt;NFixedA,0,SUMIF(CalcCredit,INDEX(PkFixedA,549),CalcAmt)+SUMIF(CalcCredit2,INDEX(PkFixedA,549),CalcAmt2)))</f>
        <v/>
      </c>
      <c r="G1133" s="20">
        <f>IF($B1133="","",ROUND($E1133-$F1133,0))</f>
        <v/>
      </c>
      <c r="H1133" s="17">
        <f>IF($B1133="","",IF(ROUND($G1133,0)&gt;0,"بدهکار",IF(ROUND($G1133,0)&lt;0,"بستانکار","تسویه")))</f>
        <v/>
      </c>
    </row>
    <row r="1134">
      <c r="A1134" s="11">
        <f>IF($B1134="","",1125)</f>
        <v/>
      </c>
      <c r="B1134" s="12">
        <f>IF(550&gt;NFixedA,"",IFERROR(IF(VLOOKUP(INDEX(PkFixedA,550),AcctTblA,4,0)="","(بدون نام)",VLOOKUP(INDEX(PkFixedA,550),AcctTblA,4,0)),"—"))</f>
        <v/>
      </c>
      <c r="C1134" s="13">
        <f>IF($B1134="","",IF(550&gt;NFixedA,"",INDEX(PkFixedA,550)))</f>
        <v/>
      </c>
      <c r="D1134" s="12">
        <f>IF($B1134="","","f")</f>
        <v/>
      </c>
      <c r="E1134" s="14">
        <f>IF($B1134="","",IF(550&gt;NFixedA,0,SUMIF(CalcDebit,INDEX(PkFixedA,550),CalcAmt)+SUMIF(CalcDebit2,INDEX(PkFixedA,550),CalcAmt2)))</f>
        <v/>
      </c>
      <c r="F1134" s="14">
        <f>IF($B1134="","",IF(550&gt;NFixedA,0,SUMIF(CalcCredit,INDEX(PkFixedA,550),CalcAmt)+SUMIF(CalcCredit2,INDEX(PkFixedA,550),CalcAmt2)))</f>
        <v/>
      </c>
      <c r="G1134" s="15">
        <f>IF($B1134="","",ROUND($E1134-$F1134,0))</f>
        <v/>
      </c>
      <c r="H1134" s="12">
        <f>IF($B1134="","",IF(ROUND($G1134,0)&gt;0,"بدهکار",IF(ROUND($G1134,0)&lt;0,"بستانکار","تسویه")))</f>
        <v/>
      </c>
    </row>
    <row r="1135">
      <c r="A1135" s="16">
        <f>IF($B1135="","",1126)</f>
        <v/>
      </c>
      <c r="B1135" s="17">
        <f>IF(551&gt;NFixedA,"",IFERROR(IF(VLOOKUP(INDEX(PkFixedA,551),AcctTblA,4,0)="","(بدون نام)",VLOOKUP(INDEX(PkFixedA,551),AcctTblA,4,0)),"—"))</f>
        <v/>
      </c>
      <c r="C1135" s="18">
        <f>IF($B1135="","",IF(551&gt;NFixedA,"",INDEX(PkFixedA,551)))</f>
        <v/>
      </c>
      <c r="D1135" s="17">
        <f>IF($B1135="","","f")</f>
        <v/>
      </c>
      <c r="E1135" s="19">
        <f>IF($B1135="","",IF(551&gt;NFixedA,0,SUMIF(CalcDebit,INDEX(PkFixedA,551),CalcAmt)+SUMIF(CalcDebit2,INDEX(PkFixedA,551),CalcAmt2)))</f>
        <v/>
      </c>
      <c r="F1135" s="19">
        <f>IF($B1135="","",IF(551&gt;NFixedA,0,SUMIF(CalcCredit,INDEX(PkFixedA,551),CalcAmt)+SUMIF(CalcCredit2,INDEX(PkFixedA,551),CalcAmt2)))</f>
        <v/>
      </c>
      <c r="G1135" s="20">
        <f>IF($B1135="","",ROUND($E1135-$F1135,0))</f>
        <v/>
      </c>
      <c r="H1135" s="17">
        <f>IF($B1135="","",IF(ROUND($G1135,0)&gt;0,"بدهکار",IF(ROUND($G1135,0)&lt;0,"بستانکار","تسویه")))</f>
        <v/>
      </c>
    </row>
    <row r="1136">
      <c r="A1136" s="11">
        <f>IF($B1136="","",1127)</f>
        <v/>
      </c>
      <c r="B1136" s="12">
        <f>IF(552&gt;NFixedA,"",IFERROR(IF(VLOOKUP(INDEX(PkFixedA,552),AcctTblA,4,0)="","(بدون نام)",VLOOKUP(INDEX(PkFixedA,552),AcctTblA,4,0)),"—"))</f>
        <v/>
      </c>
      <c r="C1136" s="13">
        <f>IF($B1136="","",IF(552&gt;NFixedA,"",INDEX(PkFixedA,552)))</f>
        <v/>
      </c>
      <c r="D1136" s="12">
        <f>IF($B1136="","","f")</f>
        <v/>
      </c>
      <c r="E1136" s="14">
        <f>IF($B1136="","",IF(552&gt;NFixedA,0,SUMIF(CalcDebit,INDEX(PkFixedA,552),CalcAmt)+SUMIF(CalcDebit2,INDEX(PkFixedA,552),CalcAmt2)))</f>
        <v/>
      </c>
      <c r="F1136" s="14">
        <f>IF($B1136="","",IF(552&gt;NFixedA,0,SUMIF(CalcCredit,INDEX(PkFixedA,552),CalcAmt)+SUMIF(CalcCredit2,INDEX(PkFixedA,552),CalcAmt2)))</f>
        <v/>
      </c>
      <c r="G1136" s="15">
        <f>IF($B1136="","",ROUND($E1136-$F1136,0))</f>
        <v/>
      </c>
      <c r="H1136" s="12">
        <f>IF($B1136="","",IF(ROUND($G1136,0)&gt;0,"بدهکار",IF(ROUND($G1136,0)&lt;0,"بستانکار","تسویه")))</f>
        <v/>
      </c>
    </row>
    <row r="1137">
      <c r="A1137" s="16">
        <f>IF($B1137="","",1128)</f>
        <v/>
      </c>
      <c r="B1137" s="17">
        <f>IF(553&gt;NFixedA,"",IFERROR(IF(VLOOKUP(INDEX(PkFixedA,553),AcctTblA,4,0)="","(بدون نام)",VLOOKUP(INDEX(PkFixedA,553),AcctTblA,4,0)),"—"))</f>
        <v/>
      </c>
      <c r="C1137" s="18">
        <f>IF($B1137="","",IF(553&gt;NFixedA,"",INDEX(PkFixedA,553)))</f>
        <v/>
      </c>
      <c r="D1137" s="17">
        <f>IF($B1137="","","f")</f>
        <v/>
      </c>
      <c r="E1137" s="19">
        <f>IF($B1137="","",IF(553&gt;NFixedA,0,SUMIF(CalcDebit,INDEX(PkFixedA,553),CalcAmt)+SUMIF(CalcDebit2,INDEX(PkFixedA,553),CalcAmt2)))</f>
        <v/>
      </c>
      <c r="F1137" s="19">
        <f>IF($B1137="","",IF(553&gt;NFixedA,0,SUMIF(CalcCredit,INDEX(PkFixedA,553),CalcAmt)+SUMIF(CalcCredit2,INDEX(PkFixedA,553),CalcAmt2)))</f>
        <v/>
      </c>
      <c r="G1137" s="20">
        <f>IF($B1137="","",ROUND($E1137-$F1137,0))</f>
        <v/>
      </c>
      <c r="H1137" s="17">
        <f>IF($B1137="","",IF(ROUND($G1137,0)&gt;0,"بدهکار",IF(ROUND($G1137,0)&lt;0,"بستانکار","تسویه")))</f>
        <v/>
      </c>
    </row>
    <row r="1138">
      <c r="A1138" s="11">
        <f>IF($B1138="","",1129)</f>
        <v/>
      </c>
      <c r="B1138" s="12">
        <f>IF(554&gt;NFixedA,"",IFERROR(IF(VLOOKUP(INDEX(PkFixedA,554),AcctTblA,4,0)="","(بدون نام)",VLOOKUP(INDEX(PkFixedA,554),AcctTblA,4,0)),"—"))</f>
        <v/>
      </c>
      <c r="C1138" s="13">
        <f>IF($B1138="","",IF(554&gt;NFixedA,"",INDEX(PkFixedA,554)))</f>
        <v/>
      </c>
      <c r="D1138" s="12">
        <f>IF($B1138="","","f")</f>
        <v/>
      </c>
      <c r="E1138" s="14">
        <f>IF($B1138="","",IF(554&gt;NFixedA,0,SUMIF(CalcDebit,INDEX(PkFixedA,554),CalcAmt)+SUMIF(CalcDebit2,INDEX(PkFixedA,554),CalcAmt2)))</f>
        <v/>
      </c>
      <c r="F1138" s="14">
        <f>IF($B1138="","",IF(554&gt;NFixedA,0,SUMIF(CalcCredit,INDEX(PkFixedA,554),CalcAmt)+SUMIF(CalcCredit2,INDEX(PkFixedA,554),CalcAmt2)))</f>
        <v/>
      </c>
      <c r="G1138" s="15">
        <f>IF($B1138="","",ROUND($E1138-$F1138,0))</f>
        <v/>
      </c>
      <c r="H1138" s="12">
        <f>IF($B1138="","",IF(ROUND($G1138,0)&gt;0,"بدهکار",IF(ROUND($G1138,0)&lt;0,"بستانکار","تسویه")))</f>
        <v/>
      </c>
    </row>
    <row r="1139">
      <c r="A1139" s="16">
        <f>IF($B1139="","",1130)</f>
        <v/>
      </c>
      <c r="B1139" s="17">
        <f>IF(555&gt;NFixedA,"",IFERROR(IF(VLOOKUP(INDEX(PkFixedA,555),AcctTblA,4,0)="","(بدون نام)",VLOOKUP(INDEX(PkFixedA,555),AcctTblA,4,0)),"—"))</f>
        <v/>
      </c>
      <c r="C1139" s="18">
        <f>IF($B1139="","",IF(555&gt;NFixedA,"",INDEX(PkFixedA,555)))</f>
        <v/>
      </c>
      <c r="D1139" s="17">
        <f>IF($B1139="","","f")</f>
        <v/>
      </c>
      <c r="E1139" s="19">
        <f>IF($B1139="","",IF(555&gt;NFixedA,0,SUMIF(CalcDebit,INDEX(PkFixedA,555),CalcAmt)+SUMIF(CalcDebit2,INDEX(PkFixedA,555),CalcAmt2)))</f>
        <v/>
      </c>
      <c r="F1139" s="19">
        <f>IF($B1139="","",IF(555&gt;NFixedA,0,SUMIF(CalcCredit,INDEX(PkFixedA,555),CalcAmt)+SUMIF(CalcCredit2,INDEX(PkFixedA,555),CalcAmt2)))</f>
        <v/>
      </c>
      <c r="G1139" s="20">
        <f>IF($B1139="","",ROUND($E1139-$F1139,0))</f>
        <v/>
      </c>
      <c r="H1139" s="17">
        <f>IF($B1139="","",IF(ROUND($G1139,0)&gt;0,"بدهکار",IF(ROUND($G1139,0)&lt;0,"بستانکار","تسویه")))</f>
        <v/>
      </c>
    </row>
    <row r="1140">
      <c r="A1140" s="11">
        <f>IF($B1140="","",1131)</f>
        <v/>
      </c>
      <c r="B1140" s="12">
        <f>IF(556&gt;NFixedA,"",IFERROR(IF(VLOOKUP(INDEX(PkFixedA,556),AcctTblA,4,0)="","(بدون نام)",VLOOKUP(INDEX(PkFixedA,556),AcctTblA,4,0)),"—"))</f>
        <v/>
      </c>
      <c r="C1140" s="13">
        <f>IF($B1140="","",IF(556&gt;NFixedA,"",INDEX(PkFixedA,556)))</f>
        <v/>
      </c>
      <c r="D1140" s="12">
        <f>IF($B1140="","","f")</f>
        <v/>
      </c>
      <c r="E1140" s="14">
        <f>IF($B1140="","",IF(556&gt;NFixedA,0,SUMIF(CalcDebit,INDEX(PkFixedA,556),CalcAmt)+SUMIF(CalcDebit2,INDEX(PkFixedA,556),CalcAmt2)))</f>
        <v/>
      </c>
      <c r="F1140" s="14">
        <f>IF($B1140="","",IF(556&gt;NFixedA,0,SUMIF(CalcCredit,INDEX(PkFixedA,556),CalcAmt)+SUMIF(CalcCredit2,INDEX(PkFixedA,556),CalcAmt2)))</f>
        <v/>
      </c>
      <c r="G1140" s="15">
        <f>IF($B1140="","",ROUND($E1140-$F1140,0))</f>
        <v/>
      </c>
      <c r="H1140" s="12">
        <f>IF($B1140="","",IF(ROUND($G1140,0)&gt;0,"بدهکار",IF(ROUND($G1140,0)&lt;0,"بستانکار","تسویه")))</f>
        <v/>
      </c>
    </row>
    <row r="1141">
      <c r="A1141" s="16">
        <f>IF($B1141="","",1132)</f>
        <v/>
      </c>
      <c r="B1141" s="17">
        <f>IF(557&gt;NFixedA,"",IFERROR(IF(VLOOKUP(INDEX(PkFixedA,557),AcctTblA,4,0)="","(بدون نام)",VLOOKUP(INDEX(PkFixedA,557),AcctTblA,4,0)),"—"))</f>
        <v/>
      </c>
      <c r="C1141" s="18">
        <f>IF($B1141="","",IF(557&gt;NFixedA,"",INDEX(PkFixedA,557)))</f>
        <v/>
      </c>
      <c r="D1141" s="17">
        <f>IF($B1141="","","f")</f>
        <v/>
      </c>
      <c r="E1141" s="19">
        <f>IF($B1141="","",IF(557&gt;NFixedA,0,SUMIF(CalcDebit,INDEX(PkFixedA,557),CalcAmt)+SUMIF(CalcDebit2,INDEX(PkFixedA,557),CalcAmt2)))</f>
        <v/>
      </c>
      <c r="F1141" s="19">
        <f>IF($B1141="","",IF(557&gt;NFixedA,0,SUMIF(CalcCredit,INDEX(PkFixedA,557),CalcAmt)+SUMIF(CalcCredit2,INDEX(PkFixedA,557),CalcAmt2)))</f>
        <v/>
      </c>
      <c r="G1141" s="20">
        <f>IF($B1141="","",ROUND($E1141-$F1141,0))</f>
        <v/>
      </c>
      <c r="H1141" s="17">
        <f>IF($B1141="","",IF(ROUND($G1141,0)&gt;0,"بدهکار",IF(ROUND($G1141,0)&lt;0,"بستانکار","تسویه")))</f>
        <v/>
      </c>
    </row>
    <row r="1142">
      <c r="A1142" s="11">
        <f>IF($B1142="","",1133)</f>
        <v/>
      </c>
      <c r="B1142" s="12">
        <f>IF(558&gt;NFixedA,"",IFERROR(IF(VLOOKUP(INDEX(PkFixedA,558),AcctTblA,4,0)="","(بدون نام)",VLOOKUP(INDEX(PkFixedA,558),AcctTblA,4,0)),"—"))</f>
        <v/>
      </c>
      <c r="C1142" s="13">
        <f>IF($B1142="","",IF(558&gt;NFixedA,"",INDEX(PkFixedA,558)))</f>
        <v/>
      </c>
      <c r="D1142" s="12">
        <f>IF($B1142="","","f")</f>
        <v/>
      </c>
      <c r="E1142" s="14">
        <f>IF($B1142="","",IF(558&gt;NFixedA,0,SUMIF(CalcDebit,INDEX(PkFixedA,558),CalcAmt)+SUMIF(CalcDebit2,INDEX(PkFixedA,558),CalcAmt2)))</f>
        <v/>
      </c>
      <c r="F1142" s="14">
        <f>IF($B1142="","",IF(558&gt;NFixedA,0,SUMIF(CalcCredit,INDEX(PkFixedA,558),CalcAmt)+SUMIF(CalcCredit2,INDEX(PkFixedA,558),CalcAmt2)))</f>
        <v/>
      </c>
      <c r="G1142" s="15">
        <f>IF($B1142="","",ROUND($E1142-$F1142,0))</f>
        <v/>
      </c>
      <c r="H1142" s="12">
        <f>IF($B1142="","",IF(ROUND($G1142,0)&gt;0,"بدهکار",IF(ROUND($G1142,0)&lt;0,"بستانکار","تسویه")))</f>
        <v/>
      </c>
    </row>
    <row r="1143">
      <c r="A1143" s="16">
        <f>IF($B1143="","",1134)</f>
        <v/>
      </c>
      <c r="B1143" s="17">
        <f>IF(559&gt;NFixedA,"",IFERROR(IF(VLOOKUP(INDEX(PkFixedA,559),AcctTblA,4,0)="","(بدون نام)",VLOOKUP(INDEX(PkFixedA,559),AcctTblA,4,0)),"—"))</f>
        <v/>
      </c>
      <c r="C1143" s="18">
        <f>IF($B1143="","",IF(559&gt;NFixedA,"",INDEX(PkFixedA,559)))</f>
        <v/>
      </c>
      <c r="D1143" s="17">
        <f>IF($B1143="","","f")</f>
        <v/>
      </c>
      <c r="E1143" s="19">
        <f>IF($B1143="","",IF(559&gt;NFixedA,0,SUMIF(CalcDebit,INDEX(PkFixedA,559),CalcAmt)+SUMIF(CalcDebit2,INDEX(PkFixedA,559),CalcAmt2)))</f>
        <v/>
      </c>
      <c r="F1143" s="19">
        <f>IF($B1143="","",IF(559&gt;NFixedA,0,SUMIF(CalcCredit,INDEX(PkFixedA,559),CalcAmt)+SUMIF(CalcCredit2,INDEX(PkFixedA,559),CalcAmt2)))</f>
        <v/>
      </c>
      <c r="G1143" s="20">
        <f>IF($B1143="","",ROUND($E1143-$F1143,0))</f>
        <v/>
      </c>
      <c r="H1143" s="17">
        <f>IF($B1143="","",IF(ROUND($G1143,0)&gt;0,"بدهکار",IF(ROUND($G1143,0)&lt;0,"بستانکار","تسویه")))</f>
        <v/>
      </c>
    </row>
    <row r="1144">
      <c r="A1144" s="11">
        <f>IF($B1144="","",1135)</f>
        <v/>
      </c>
      <c r="B1144" s="12">
        <f>IF(560&gt;NFixedA,"",IFERROR(IF(VLOOKUP(INDEX(PkFixedA,560),AcctTblA,4,0)="","(بدون نام)",VLOOKUP(INDEX(PkFixedA,560),AcctTblA,4,0)),"—"))</f>
        <v/>
      </c>
      <c r="C1144" s="13">
        <f>IF($B1144="","",IF(560&gt;NFixedA,"",INDEX(PkFixedA,560)))</f>
        <v/>
      </c>
      <c r="D1144" s="12">
        <f>IF($B1144="","","f")</f>
        <v/>
      </c>
      <c r="E1144" s="14">
        <f>IF($B1144="","",IF(560&gt;NFixedA,0,SUMIF(CalcDebit,INDEX(PkFixedA,560),CalcAmt)+SUMIF(CalcDebit2,INDEX(PkFixedA,560),CalcAmt2)))</f>
        <v/>
      </c>
      <c r="F1144" s="14">
        <f>IF($B1144="","",IF(560&gt;NFixedA,0,SUMIF(CalcCredit,INDEX(PkFixedA,560),CalcAmt)+SUMIF(CalcCredit2,INDEX(PkFixedA,560),CalcAmt2)))</f>
        <v/>
      </c>
      <c r="G1144" s="15">
        <f>IF($B1144="","",ROUND($E1144-$F1144,0))</f>
        <v/>
      </c>
      <c r="H1144" s="12">
        <f>IF($B1144="","",IF(ROUND($G1144,0)&gt;0,"بدهکار",IF(ROUND($G1144,0)&lt;0,"بستانکار","تسویه")))</f>
        <v/>
      </c>
    </row>
    <row r="1145">
      <c r="A1145" s="16">
        <f>IF($B1145="","",1136)</f>
        <v/>
      </c>
      <c r="B1145" s="17">
        <f>IF(1&gt;NLoanA,"",IFERROR(IF(VLOOKUP(INDEX(PkLoanA,1),AcctTblA,4,0)="","(بدون نام)",VLOOKUP(INDEX(PkLoanA,1),AcctTblA,4,0)),"—"))</f>
        <v/>
      </c>
      <c r="C1145" s="18">
        <f>IF($B1145="","",IF(1&gt;NLoanA,"",INDEX(PkLoanA,1)))</f>
        <v/>
      </c>
      <c r="D1145" s="17">
        <f>IF($B1145="","","l")</f>
        <v/>
      </c>
      <c r="E1145" s="19">
        <f>IF($B1145="","",IF(1&gt;NLoanA,0,SUMIF(CalcDebit,INDEX(PkLoanA,1),CalcAmt)+SUMIF(CalcDebit2,INDEX(PkLoanA,1),CalcAmt2)))</f>
        <v/>
      </c>
      <c r="F1145" s="19">
        <f>IF($B1145="","",IF(1&gt;NLoanA,0,SUMIF(CalcCredit,INDEX(PkLoanA,1),CalcAmt)+SUMIF(CalcCredit2,INDEX(PkLoanA,1),CalcAmt2)))</f>
        <v/>
      </c>
      <c r="G1145" s="20">
        <f>IF($B1145="","",ROUND($E1145-$F1145,0))</f>
        <v/>
      </c>
      <c r="H1145" s="17">
        <f>IF($B1145="","",IF(ROUND($G1145,0)&gt;0,"بدهکار",IF(ROUND($G1145,0)&lt;0,"بستانکار","تسویه")))</f>
        <v/>
      </c>
    </row>
    <row r="1146">
      <c r="A1146" s="11">
        <f>IF($B1146="","",1137)</f>
        <v/>
      </c>
      <c r="B1146" s="12">
        <f>IF(2&gt;NLoanA,"",IFERROR(IF(VLOOKUP(INDEX(PkLoanA,2),AcctTblA,4,0)="","(بدون نام)",VLOOKUP(INDEX(PkLoanA,2),AcctTblA,4,0)),"—"))</f>
        <v/>
      </c>
      <c r="C1146" s="13">
        <f>IF($B1146="","",IF(2&gt;NLoanA,"",INDEX(PkLoanA,2)))</f>
        <v/>
      </c>
      <c r="D1146" s="12">
        <f>IF($B1146="","","l")</f>
        <v/>
      </c>
      <c r="E1146" s="14">
        <f>IF($B1146="","",IF(2&gt;NLoanA,0,SUMIF(CalcDebit,INDEX(PkLoanA,2),CalcAmt)+SUMIF(CalcDebit2,INDEX(PkLoanA,2),CalcAmt2)))</f>
        <v/>
      </c>
      <c r="F1146" s="14">
        <f>IF($B1146="","",IF(2&gt;NLoanA,0,SUMIF(CalcCredit,INDEX(PkLoanA,2),CalcAmt)+SUMIF(CalcCredit2,INDEX(PkLoanA,2),CalcAmt2)))</f>
        <v/>
      </c>
      <c r="G1146" s="15">
        <f>IF($B1146="","",ROUND($E1146-$F1146,0))</f>
        <v/>
      </c>
      <c r="H1146" s="12">
        <f>IF($B1146="","",IF(ROUND($G1146,0)&gt;0,"بدهکار",IF(ROUND($G1146,0)&lt;0,"بستانکار","تسویه")))</f>
        <v/>
      </c>
    </row>
    <row r="1147">
      <c r="A1147" s="16">
        <f>IF($B1147="","",1138)</f>
        <v/>
      </c>
      <c r="B1147" s="17">
        <f>IF(3&gt;NLoanA,"",IFERROR(IF(VLOOKUP(INDEX(PkLoanA,3),AcctTblA,4,0)="","(بدون نام)",VLOOKUP(INDEX(PkLoanA,3),AcctTblA,4,0)),"—"))</f>
        <v/>
      </c>
      <c r="C1147" s="18">
        <f>IF($B1147="","",IF(3&gt;NLoanA,"",INDEX(PkLoanA,3)))</f>
        <v/>
      </c>
      <c r="D1147" s="17">
        <f>IF($B1147="","","l")</f>
        <v/>
      </c>
      <c r="E1147" s="19">
        <f>IF($B1147="","",IF(3&gt;NLoanA,0,SUMIF(CalcDebit,INDEX(PkLoanA,3),CalcAmt)+SUMIF(CalcDebit2,INDEX(PkLoanA,3),CalcAmt2)))</f>
        <v/>
      </c>
      <c r="F1147" s="19">
        <f>IF($B1147="","",IF(3&gt;NLoanA,0,SUMIF(CalcCredit,INDEX(PkLoanA,3),CalcAmt)+SUMIF(CalcCredit2,INDEX(PkLoanA,3),CalcAmt2)))</f>
        <v/>
      </c>
      <c r="G1147" s="20">
        <f>IF($B1147="","",ROUND($E1147-$F1147,0))</f>
        <v/>
      </c>
      <c r="H1147" s="17">
        <f>IF($B1147="","",IF(ROUND($G1147,0)&gt;0,"بدهکار",IF(ROUND($G1147,0)&lt;0,"بستانکار","تسویه")))</f>
        <v/>
      </c>
    </row>
    <row r="1148">
      <c r="A1148" s="11">
        <f>IF($B1148="","",1139)</f>
        <v/>
      </c>
      <c r="B1148" s="12">
        <f>IF(4&gt;NLoanA,"",IFERROR(IF(VLOOKUP(INDEX(PkLoanA,4),AcctTblA,4,0)="","(بدون نام)",VLOOKUP(INDEX(PkLoanA,4),AcctTblA,4,0)),"—"))</f>
        <v/>
      </c>
      <c r="C1148" s="13">
        <f>IF($B1148="","",IF(4&gt;NLoanA,"",INDEX(PkLoanA,4)))</f>
        <v/>
      </c>
      <c r="D1148" s="12">
        <f>IF($B1148="","","l")</f>
        <v/>
      </c>
      <c r="E1148" s="14">
        <f>IF($B1148="","",IF(4&gt;NLoanA,0,SUMIF(CalcDebit,INDEX(PkLoanA,4),CalcAmt)+SUMIF(CalcDebit2,INDEX(PkLoanA,4),CalcAmt2)))</f>
        <v/>
      </c>
      <c r="F1148" s="14">
        <f>IF($B1148="","",IF(4&gt;NLoanA,0,SUMIF(CalcCredit,INDEX(PkLoanA,4),CalcAmt)+SUMIF(CalcCredit2,INDEX(PkLoanA,4),CalcAmt2)))</f>
        <v/>
      </c>
      <c r="G1148" s="15">
        <f>IF($B1148="","",ROUND($E1148-$F1148,0))</f>
        <v/>
      </c>
      <c r="H1148" s="12">
        <f>IF($B1148="","",IF(ROUND($G1148,0)&gt;0,"بدهکار",IF(ROUND($G1148,0)&lt;0,"بستانکار","تسویه")))</f>
        <v/>
      </c>
    </row>
    <row r="1149">
      <c r="A1149" s="16">
        <f>IF($B1149="","",1140)</f>
        <v/>
      </c>
      <c r="B1149" s="17">
        <f>IF(5&gt;NLoanA,"",IFERROR(IF(VLOOKUP(INDEX(PkLoanA,5),AcctTblA,4,0)="","(بدون نام)",VLOOKUP(INDEX(PkLoanA,5),AcctTblA,4,0)),"—"))</f>
        <v/>
      </c>
      <c r="C1149" s="18">
        <f>IF($B1149="","",IF(5&gt;NLoanA,"",INDEX(PkLoanA,5)))</f>
        <v/>
      </c>
      <c r="D1149" s="17">
        <f>IF($B1149="","","l")</f>
        <v/>
      </c>
      <c r="E1149" s="19">
        <f>IF($B1149="","",IF(5&gt;NLoanA,0,SUMIF(CalcDebit,INDEX(PkLoanA,5),CalcAmt)+SUMIF(CalcDebit2,INDEX(PkLoanA,5),CalcAmt2)))</f>
        <v/>
      </c>
      <c r="F1149" s="19">
        <f>IF($B1149="","",IF(5&gt;NLoanA,0,SUMIF(CalcCredit,INDEX(PkLoanA,5),CalcAmt)+SUMIF(CalcCredit2,INDEX(PkLoanA,5),CalcAmt2)))</f>
        <v/>
      </c>
      <c r="G1149" s="20">
        <f>IF($B1149="","",ROUND($E1149-$F1149,0))</f>
        <v/>
      </c>
      <c r="H1149" s="17">
        <f>IF($B1149="","",IF(ROUND($G1149,0)&gt;0,"بدهکار",IF(ROUND($G1149,0)&lt;0,"بستانکار","تسویه")))</f>
        <v/>
      </c>
    </row>
    <row r="1150">
      <c r="A1150" s="11">
        <f>IF($B1150="","",1141)</f>
        <v/>
      </c>
      <c r="B1150" s="12">
        <f>IF(6&gt;NLoanA,"",IFERROR(IF(VLOOKUP(INDEX(PkLoanA,6),AcctTblA,4,0)="","(بدون نام)",VLOOKUP(INDEX(PkLoanA,6),AcctTblA,4,0)),"—"))</f>
        <v/>
      </c>
      <c r="C1150" s="13">
        <f>IF($B1150="","",IF(6&gt;NLoanA,"",INDEX(PkLoanA,6)))</f>
        <v/>
      </c>
      <c r="D1150" s="12">
        <f>IF($B1150="","","l")</f>
        <v/>
      </c>
      <c r="E1150" s="14">
        <f>IF($B1150="","",IF(6&gt;NLoanA,0,SUMIF(CalcDebit,INDEX(PkLoanA,6),CalcAmt)+SUMIF(CalcDebit2,INDEX(PkLoanA,6),CalcAmt2)))</f>
        <v/>
      </c>
      <c r="F1150" s="14">
        <f>IF($B1150="","",IF(6&gt;NLoanA,0,SUMIF(CalcCredit,INDEX(PkLoanA,6),CalcAmt)+SUMIF(CalcCredit2,INDEX(PkLoanA,6),CalcAmt2)))</f>
        <v/>
      </c>
      <c r="G1150" s="15">
        <f>IF($B1150="","",ROUND($E1150-$F1150,0))</f>
        <v/>
      </c>
      <c r="H1150" s="12">
        <f>IF($B1150="","",IF(ROUND($G1150,0)&gt;0,"بدهکار",IF(ROUND($G1150,0)&lt;0,"بستانکار","تسویه")))</f>
        <v/>
      </c>
    </row>
    <row r="1151">
      <c r="A1151" s="16">
        <f>IF($B1151="","",1142)</f>
        <v/>
      </c>
      <c r="B1151" s="17">
        <f>IF(7&gt;NLoanA,"",IFERROR(IF(VLOOKUP(INDEX(PkLoanA,7),AcctTblA,4,0)="","(بدون نام)",VLOOKUP(INDEX(PkLoanA,7),AcctTblA,4,0)),"—"))</f>
        <v/>
      </c>
      <c r="C1151" s="18">
        <f>IF($B1151="","",IF(7&gt;NLoanA,"",INDEX(PkLoanA,7)))</f>
        <v/>
      </c>
      <c r="D1151" s="17">
        <f>IF($B1151="","","l")</f>
        <v/>
      </c>
      <c r="E1151" s="19">
        <f>IF($B1151="","",IF(7&gt;NLoanA,0,SUMIF(CalcDebit,INDEX(PkLoanA,7),CalcAmt)+SUMIF(CalcDebit2,INDEX(PkLoanA,7),CalcAmt2)))</f>
        <v/>
      </c>
      <c r="F1151" s="19">
        <f>IF($B1151="","",IF(7&gt;NLoanA,0,SUMIF(CalcCredit,INDEX(PkLoanA,7),CalcAmt)+SUMIF(CalcCredit2,INDEX(PkLoanA,7),CalcAmt2)))</f>
        <v/>
      </c>
      <c r="G1151" s="20">
        <f>IF($B1151="","",ROUND($E1151-$F1151,0))</f>
        <v/>
      </c>
      <c r="H1151" s="17">
        <f>IF($B1151="","",IF(ROUND($G1151,0)&gt;0,"بدهکار",IF(ROUND($G1151,0)&lt;0,"بستانکار","تسویه")))</f>
        <v/>
      </c>
    </row>
    <row r="1152">
      <c r="A1152" s="11">
        <f>IF($B1152="","",1143)</f>
        <v/>
      </c>
      <c r="B1152" s="12">
        <f>IF(8&gt;NLoanA,"",IFERROR(IF(VLOOKUP(INDEX(PkLoanA,8),AcctTblA,4,0)="","(بدون نام)",VLOOKUP(INDEX(PkLoanA,8),AcctTblA,4,0)),"—"))</f>
        <v/>
      </c>
      <c r="C1152" s="13">
        <f>IF($B1152="","",IF(8&gt;NLoanA,"",INDEX(PkLoanA,8)))</f>
        <v/>
      </c>
      <c r="D1152" s="12">
        <f>IF($B1152="","","l")</f>
        <v/>
      </c>
      <c r="E1152" s="14">
        <f>IF($B1152="","",IF(8&gt;NLoanA,0,SUMIF(CalcDebit,INDEX(PkLoanA,8),CalcAmt)+SUMIF(CalcDebit2,INDEX(PkLoanA,8),CalcAmt2)))</f>
        <v/>
      </c>
      <c r="F1152" s="14">
        <f>IF($B1152="","",IF(8&gt;NLoanA,0,SUMIF(CalcCredit,INDEX(PkLoanA,8),CalcAmt)+SUMIF(CalcCredit2,INDEX(PkLoanA,8),CalcAmt2)))</f>
        <v/>
      </c>
      <c r="G1152" s="15">
        <f>IF($B1152="","",ROUND($E1152-$F1152,0))</f>
        <v/>
      </c>
      <c r="H1152" s="12">
        <f>IF($B1152="","",IF(ROUND($G1152,0)&gt;0,"بدهکار",IF(ROUND($G1152,0)&lt;0,"بستانکار","تسویه")))</f>
        <v/>
      </c>
    </row>
    <row r="1153">
      <c r="A1153" s="16">
        <f>IF($B1153="","",1144)</f>
        <v/>
      </c>
      <c r="B1153" s="17">
        <f>IF(9&gt;NLoanA,"",IFERROR(IF(VLOOKUP(INDEX(PkLoanA,9),AcctTblA,4,0)="","(بدون نام)",VLOOKUP(INDEX(PkLoanA,9),AcctTblA,4,0)),"—"))</f>
        <v/>
      </c>
      <c r="C1153" s="18">
        <f>IF($B1153="","",IF(9&gt;NLoanA,"",INDEX(PkLoanA,9)))</f>
        <v/>
      </c>
      <c r="D1153" s="17">
        <f>IF($B1153="","","l")</f>
        <v/>
      </c>
      <c r="E1153" s="19">
        <f>IF($B1153="","",IF(9&gt;NLoanA,0,SUMIF(CalcDebit,INDEX(PkLoanA,9),CalcAmt)+SUMIF(CalcDebit2,INDEX(PkLoanA,9),CalcAmt2)))</f>
        <v/>
      </c>
      <c r="F1153" s="19">
        <f>IF($B1153="","",IF(9&gt;NLoanA,0,SUMIF(CalcCredit,INDEX(PkLoanA,9),CalcAmt)+SUMIF(CalcCredit2,INDEX(PkLoanA,9),CalcAmt2)))</f>
        <v/>
      </c>
      <c r="G1153" s="20">
        <f>IF($B1153="","",ROUND($E1153-$F1153,0))</f>
        <v/>
      </c>
      <c r="H1153" s="17">
        <f>IF($B1153="","",IF(ROUND($G1153,0)&gt;0,"بدهکار",IF(ROUND($G1153,0)&lt;0,"بستانکار","تسویه")))</f>
        <v/>
      </c>
    </row>
    <row r="1154">
      <c r="A1154" s="11">
        <f>IF($B1154="","",1145)</f>
        <v/>
      </c>
      <c r="B1154" s="12">
        <f>IF(10&gt;NLoanA,"",IFERROR(IF(VLOOKUP(INDEX(PkLoanA,10),AcctTblA,4,0)="","(بدون نام)",VLOOKUP(INDEX(PkLoanA,10),AcctTblA,4,0)),"—"))</f>
        <v/>
      </c>
      <c r="C1154" s="13">
        <f>IF($B1154="","",IF(10&gt;NLoanA,"",INDEX(PkLoanA,10)))</f>
        <v/>
      </c>
      <c r="D1154" s="12">
        <f>IF($B1154="","","l")</f>
        <v/>
      </c>
      <c r="E1154" s="14">
        <f>IF($B1154="","",IF(10&gt;NLoanA,0,SUMIF(CalcDebit,INDEX(PkLoanA,10),CalcAmt)+SUMIF(CalcDebit2,INDEX(PkLoanA,10),CalcAmt2)))</f>
        <v/>
      </c>
      <c r="F1154" s="14">
        <f>IF($B1154="","",IF(10&gt;NLoanA,0,SUMIF(CalcCredit,INDEX(PkLoanA,10),CalcAmt)+SUMIF(CalcCredit2,INDEX(PkLoanA,10),CalcAmt2)))</f>
        <v/>
      </c>
      <c r="G1154" s="15">
        <f>IF($B1154="","",ROUND($E1154-$F1154,0))</f>
        <v/>
      </c>
      <c r="H1154" s="12">
        <f>IF($B1154="","",IF(ROUND($G1154,0)&gt;0,"بدهکار",IF(ROUND($G1154,0)&lt;0,"بستانکار","تسویه")))</f>
        <v/>
      </c>
    </row>
    <row r="1155">
      <c r="A1155" s="16">
        <f>IF($B1155="","",1146)</f>
        <v/>
      </c>
      <c r="B1155" s="17">
        <f>IF(11&gt;NLoanA,"",IFERROR(IF(VLOOKUP(INDEX(PkLoanA,11),AcctTblA,4,0)="","(بدون نام)",VLOOKUP(INDEX(PkLoanA,11),AcctTblA,4,0)),"—"))</f>
        <v/>
      </c>
      <c r="C1155" s="18">
        <f>IF($B1155="","",IF(11&gt;NLoanA,"",INDEX(PkLoanA,11)))</f>
        <v/>
      </c>
      <c r="D1155" s="17">
        <f>IF($B1155="","","l")</f>
        <v/>
      </c>
      <c r="E1155" s="19">
        <f>IF($B1155="","",IF(11&gt;NLoanA,0,SUMIF(CalcDebit,INDEX(PkLoanA,11),CalcAmt)+SUMIF(CalcDebit2,INDEX(PkLoanA,11),CalcAmt2)))</f>
        <v/>
      </c>
      <c r="F1155" s="19">
        <f>IF($B1155="","",IF(11&gt;NLoanA,0,SUMIF(CalcCredit,INDEX(PkLoanA,11),CalcAmt)+SUMIF(CalcCredit2,INDEX(PkLoanA,11),CalcAmt2)))</f>
        <v/>
      </c>
      <c r="G1155" s="20">
        <f>IF($B1155="","",ROUND($E1155-$F1155,0))</f>
        <v/>
      </c>
      <c r="H1155" s="17">
        <f>IF($B1155="","",IF(ROUND($G1155,0)&gt;0,"بدهکار",IF(ROUND($G1155,0)&lt;0,"بستانکار","تسویه")))</f>
        <v/>
      </c>
    </row>
    <row r="1156">
      <c r="A1156" s="11">
        <f>IF($B1156="","",1147)</f>
        <v/>
      </c>
      <c r="B1156" s="12">
        <f>IF(12&gt;NLoanA,"",IFERROR(IF(VLOOKUP(INDEX(PkLoanA,12),AcctTblA,4,0)="","(بدون نام)",VLOOKUP(INDEX(PkLoanA,12),AcctTblA,4,0)),"—"))</f>
        <v/>
      </c>
      <c r="C1156" s="13">
        <f>IF($B1156="","",IF(12&gt;NLoanA,"",INDEX(PkLoanA,12)))</f>
        <v/>
      </c>
      <c r="D1156" s="12">
        <f>IF($B1156="","","l")</f>
        <v/>
      </c>
      <c r="E1156" s="14">
        <f>IF($B1156="","",IF(12&gt;NLoanA,0,SUMIF(CalcDebit,INDEX(PkLoanA,12),CalcAmt)+SUMIF(CalcDebit2,INDEX(PkLoanA,12),CalcAmt2)))</f>
        <v/>
      </c>
      <c r="F1156" s="14">
        <f>IF($B1156="","",IF(12&gt;NLoanA,0,SUMIF(CalcCredit,INDEX(PkLoanA,12),CalcAmt)+SUMIF(CalcCredit2,INDEX(PkLoanA,12),CalcAmt2)))</f>
        <v/>
      </c>
      <c r="G1156" s="15">
        <f>IF($B1156="","",ROUND($E1156-$F1156,0))</f>
        <v/>
      </c>
      <c r="H1156" s="12">
        <f>IF($B1156="","",IF(ROUND($G1156,0)&gt;0,"بدهکار",IF(ROUND($G1156,0)&lt;0,"بستانکار","تسویه")))</f>
        <v/>
      </c>
    </row>
    <row r="1157">
      <c r="A1157" s="16">
        <f>IF($B1157="","",1148)</f>
        <v/>
      </c>
      <c r="B1157" s="17">
        <f>IF(13&gt;NLoanA,"",IFERROR(IF(VLOOKUP(INDEX(PkLoanA,13),AcctTblA,4,0)="","(بدون نام)",VLOOKUP(INDEX(PkLoanA,13),AcctTblA,4,0)),"—"))</f>
        <v/>
      </c>
      <c r="C1157" s="18">
        <f>IF($B1157="","",IF(13&gt;NLoanA,"",INDEX(PkLoanA,13)))</f>
        <v/>
      </c>
      <c r="D1157" s="17">
        <f>IF($B1157="","","l")</f>
        <v/>
      </c>
      <c r="E1157" s="19">
        <f>IF($B1157="","",IF(13&gt;NLoanA,0,SUMIF(CalcDebit,INDEX(PkLoanA,13),CalcAmt)+SUMIF(CalcDebit2,INDEX(PkLoanA,13),CalcAmt2)))</f>
        <v/>
      </c>
      <c r="F1157" s="19">
        <f>IF($B1157="","",IF(13&gt;NLoanA,0,SUMIF(CalcCredit,INDEX(PkLoanA,13),CalcAmt)+SUMIF(CalcCredit2,INDEX(PkLoanA,13),CalcAmt2)))</f>
        <v/>
      </c>
      <c r="G1157" s="20">
        <f>IF($B1157="","",ROUND($E1157-$F1157,0))</f>
        <v/>
      </c>
      <c r="H1157" s="17">
        <f>IF($B1157="","",IF(ROUND($G1157,0)&gt;0,"بدهکار",IF(ROUND($G1157,0)&lt;0,"بستانکار","تسویه")))</f>
        <v/>
      </c>
    </row>
    <row r="1158">
      <c r="A1158" s="11">
        <f>IF($B1158="","",1149)</f>
        <v/>
      </c>
      <c r="B1158" s="12">
        <f>IF(14&gt;NLoanA,"",IFERROR(IF(VLOOKUP(INDEX(PkLoanA,14),AcctTblA,4,0)="","(بدون نام)",VLOOKUP(INDEX(PkLoanA,14),AcctTblA,4,0)),"—"))</f>
        <v/>
      </c>
      <c r="C1158" s="13">
        <f>IF($B1158="","",IF(14&gt;NLoanA,"",INDEX(PkLoanA,14)))</f>
        <v/>
      </c>
      <c r="D1158" s="12">
        <f>IF($B1158="","","l")</f>
        <v/>
      </c>
      <c r="E1158" s="14">
        <f>IF($B1158="","",IF(14&gt;NLoanA,0,SUMIF(CalcDebit,INDEX(PkLoanA,14),CalcAmt)+SUMIF(CalcDebit2,INDEX(PkLoanA,14),CalcAmt2)))</f>
        <v/>
      </c>
      <c r="F1158" s="14">
        <f>IF($B1158="","",IF(14&gt;NLoanA,0,SUMIF(CalcCredit,INDEX(PkLoanA,14),CalcAmt)+SUMIF(CalcCredit2,INDEX(PkLoanA,14),CalcAmt2)))</f>
        <v/>
      </c>
      <c r="G1158" s="15">
        <f>IF($B1158="","",ROUND($E1158-$F1158,0))</f>
        <v/>
      </c>
      <c r="H1158" s="12">
        <f>IF($B1158="","",IF(ROUND($G1158,0)&gt;0,"بدهکار",IF(ROUND($G1158,0)&lt;0,"بستانکار","تسویه")))</f>
        <v/>
      </c>
    </row>
    <row r="1159">
      <c r="A1159" s="16">
        <f>IF($B1159="","",1150)</f>
        <v/>
      </c>
      <c r="B1159" s="17">
        <f>IF(15&gt;NLoanA,"",IFERROR(IF(VLOOKUP(INDEX(PkLoanA,15),AcctTblA,4,0)="","(بدون نام)",VLOOKUP(INDEX(PkLoanA,15),AcctTblA,4,0)),"—"))</f>
        <v/>
      </c>
      <c r="C1159" s="18">
        <f>IF($B1159="","",IF(15&gt;NLoanA,"",INDEX(PkLoanA,15)))</f>
        <v/>
      </c>
      <c r="D1159" s="17">
        <f>IF($B1159="","","l")</f>
        <v/>
      </c>
      <c r="E1159" s="19">
        <f>IF($B1159="","",IF(15&gt;NLoanA,0,SUMIF(CalcDebit,INDEX(PkLoanA,15),CalcAmt)+SUMIF(CalcDebit2,INDEX(PkLoanA,15),CalcAmt2)))</f>
        <v/>
      </c>
      <c r="F1159" s="19">
        <f>IF($B1159="","",IF(15&gt;NLoanA,0,SUMIF(CalcCredit,INDEX(PkLoanA,15),CalcAmt)+SUMIF(CalcCredit2,INDEX(PkLoanA,15),CalcAmt2)))</f>
        <v/>
      </c>
      <c r="G1159" s="20">
        <f>IF($B1159="","",ROUND($E1159-$F1159,0))</f>
        <v/>
      </c>
      <c r="H1159" s="17">
        <f>IF($B1159="","",IF(ROUND($G1159,0)&gt;0,"بدهکار",IF(ROUND($G1159,0)&lt;0,"بستانکار","تسویه")))</f>
        <v/>
      </c>
    </row>
    <row r="1160">
      <c r="A1160" s="11">
        <f>IF($B1160="","",1151)</f>
        <v/>
      </c>
      <c r="B1160" s="12">
        <f>IF(16&gt;NLoanA,"",IFERROR(IF(VLOOKUP(INDEX(PkLoanA,16),AcctTblA,4,0)="","(بدون نام)",VLOOKUP(INDEX(PkLoanA,16),AcctTblA,4,0)),"—"))</f>
        <v/>
      </c>
      <c r="C1160" s="13">
        <f>IF($B1160="","",IF(16&gt;NLoanA,"",INDEX(PkLoanA,16)))</f>
        <v/>
      </c>
      <c r="D1160" s="12">
        <f>IF($B1160="","","l")</f>
        <v/>
      </c>
      <c r="E1160" s="14">
        <f>IF($B1160="","",IF(16&gt;NLoanA,0,SUMIF(CalcDebit,INDEX(PkLoanA,16),CalcAmt)+SUMIF(CalcDebit2,INDEX(PkLoanA,16),CalcAmt2)))</f>
        <v/>
      </c>
      <c r="F1160" s="14">
        <f>IF($B1160="","",IF(16&gt;NLoanA,0,SUMIF(CalcCredit,INDEX(PkLoanA,16),CalcAmt)+SUMIF(CalcCredit2,INDEX(PkLoanA,16),CalcAmt2)))</f>
        <v/>
      </c>
      <c r="G1160" s="15">
        <f>IF($B1160="","",ROUND($E1160-$F1160,0))</f>
        <v/>
      </c>
      <c r="H1160" s="12">
        <f>IF($B1160="","",IF(ROUND($G1160,0)&gt;0,"بدهکار",IF(ROUND($G1160,0)&lt;0,"بستانکار","تسویه")))</f>
        <v/>
      </c>
    </row>
    <row r="1161">
      <c r="A1161" s="16">
        <f>IF($B1161="","",1152)</f>
        <v/>
      </c>
      <c r="B1161" s="17">
        <f>IF(17&gt;NLoanA,"",IFERROR(IF(VLOOKUP(INDEX(PkLoanA,17),AcctTblA,4,0)="","(بدون نام)",VLOOKUP(INDEX(PkLoanA,17),AcctTblA,4,0)),"—"))</f>
        <v/>
      </c>
      <c r="C1161" s="18">
        <f>IF($B1161="","",IF(17&gt;NLoanA,"",INDEX(PkLoanA,17)))</f>
        <v/>
      </c>
      <c r="D1161" s="17">
        <f>IF($B1161="","","l")</f>
        <v/>
      </c>
      <c r="E1161" s="19">
        <f>IF($B1161="","",IF(17&gt;NLoanA,0,SUMIF(CalcDebit,INDEX(PkLoanA,17),CalcAmt)+SUMIF(CalcDebit2,INDEX(PkLoanA,17),CalcAmt2)))</f>
        <v/>
      </c>
      <c r="F1161" s="19">
        <f>IF($B1161="","",IF(17&gt;NLoanA,0,SUMIF(CalcCredit,INDEX(PkLoanA,17),CalcAmt)+SUMIF(CalcCredit2,INDEX(PkLoanA,17),CalcAmt2)))</f>
        <v/>
      </c>
      <c r="G1161" s="20">
        <f>IF($B1161="","",ROUND($E1161-$F1161,0))</f>
        <v/>
      </c>
      <c r="H1161" s="17">
        <f>IF($B1161="","",IF(ROUND($G1161,0)&gt;0,"بدهکار",IF(ROUND($G1161,0)&lt;0,"بستانکار","تسویه")))</f>
        <v/>
      </c>
    </row>
    <row r="1162">
      <c r="A1162" s="11">
        <f>IF($B1162="","",1153)</f>
        <v/>
      </c>
      <c r="B1162" s="12">
        <f>IF(18&gt;NLoanA,"",IFERROR(IF(VLOOKUP(INDEX(PkLoanA,18),AcctTblA,4,0)="","(بدون نام)",VLOOKUP(INDEX(PkLoanA,18),AcctTblA,4,0)),"—"))</f>
        <v/>
      </c>
      <c r="C1162" s="13">
        <f>IF($B1162="","",IF(18&gt;NLoanA,"",INDEX(PkLoanA,18)))</f>
        <v/>
      </c>
      <c r="D1162" s="12">
        <f>IF($B1162="","","l")</f>
        <v/>
      </c>
      <c r="E1162" s="14">
        <f>IF($B1162="","",IF(18&gt;NLoanA,0,SUMIF(CalcDebit,INDEX(PkLoanA,18),CalcAmt)+SUMIF(CalcDebit2,INDEX(PkLoanA,18),CalcAmt2)))</f>
        <v/>
      </c>
      <c r="F1162" s="14">
        <f>IF($B1162="","",IF(18&gt;NLoanA,0,SUMIF(CalcCredit,INDEX(PkLoanA,18),CalcAmt)+SUMIF(CalcCredit2,INDEX(PkLoanA,18),CalcAmt2)))</f>
        <v/>
      </c>
      <c r="G1162" s="15">
        <f>IF($B1162="","",ROUND($E1162-$F1162,0))</f>
        <v/>
      </c>
      <c r="H1162" s="12">
        <f>IF($B1162="","",IF(ROUND($G1162,0)&gt;0,"بدهکار",IF(ROUND($G1162,0)&lt;0,"بستانکار","تسویه")))</f>
        <v/>
      </c>
    </row>
    <row r="1163">
      <c r="A1163" s="16">
        <f>IF($B1163="","",1154)</f>
        <v/>
      </c>
      <c r="B1163" s="17">
        <f>IF(19&gt;NLoanA,"",IFERROR(IF(VLOOKUP(INDEX(PkLoanA,19),AcctTblA,4,0)="","(بدون نام)",VLOOKUP(INDEX(PkLoanA,19),AcctTblA,4,0)),"—"))</f>
        <v/>
      </c>
      <c r="C1163" s="18">
        <f>IF($B1163="","",IF(19&gt;NLoanA,"",INDEX(PkLoanA,19)))</f>
        <v/>
      </c>
      <c r="D1163" s="17">
        <f>IF($B1163="","","l")</f>
        <v/>
      </c>
      <c r="E1163" s="19">
        <f>IF($B1163="","",IF(19&gt;NLoanA,0,SUMIF(CalcDebit,INDEX(PkLoanA,19),CalcAmt)+SUMIF(CalcDebit2,INDEX(PkLoanA,19),CalcAmt2)))</f>
        <v/>
      </c>
      <c r="F1163" s="19">
        <f>IF($B1163="","",IF(19&gt;NLoanA,0,SUMIF(CalcCredit,INDEX(PkLoanA,19),CalcAmt)+SUMIF(CalcCredit2,INDEX(PkLoanA,19),CalcAmt2)))</f>
        <v/>
      </c>
      <c r="G1163" s="20">
        <f>IF($B1163="","",ROUND($E1163-$F1163,0))</f>
        <v/>
      </c>
      <c r="H1163" s="17">
        <f>IF($B1163="","",IF(ROUND($G1163,0)&gt;0,"بدهکار",IF(ROUND($G1163,0)&lt;0,"بستانکار","تسویه")))</f>
        <v/>
      </c>
    </row>
    <row r="1164">
      <c r="A1164" s="11">
        <f>IF($B1164="","",1155)</f>
        <v/>
      </c>
      <c r="B1164" s="12">
        <f>IF(20&gt;NLoanA,"",IFERROR(IF(VLOOKUP(INDEX(PkLoanA,20),AcctTblA,4,0)="","(بدون نام)",VLOOKUP(INDEX(PkLoanA,20),AcctTblA,4,0)),"—"))</f>
        <v/>
      </c>
      <c r="C1164" s="13">
        <f>IF($B1164="","",IF(20&gt;NLoanA,"",INDEX(PkLoanA,20)))</f>
        <v/>
      </c>
      <c r="D1164" s="12">
        <f>IF($B1164="","","l")</f>
        <v/>
      </c>
      <c r="E1164" s="14">
        <f>IF($B1164="","",IF(20&gt;NLoanA,0,SUMIF(CalcDebit,INDEX(PkLoanA,20),CalcAmt)+SUMIF(CalcDebit2,INDEX(PkLoanA,20),CalcAmt2)))</f>
        <v/>
      </c>
      <c r="F1164" s="14">
        <f>IF($B1164="","",IF(20&gt;NLoanA,0,SUMIF(CalcCredit,INDEX(PkLoanA,20),CalcAmt)+SUMIF(CalcCredit2,INDEX(PkLoanA,20),CalcAmt2)))</f>
        <v/>
      </c>
      <c r="G1164" s="15">
        <f>IF($B1164="","",ROUND($E1164-$F1164,0))</f>
        <v/>
      </c>
      <c r="H1164" s="12">
        <f>IF($B1164="","",IF(ROUND($G1164,0)&gt;0,"بدهکار",IF(ROUND($G1164,0)&lt;0,"بستانکار","تسویه")))</f>
        <v/>
      </c>
    </row>
    <row r="1165">
      <c r="A1165" s="16">
        <f>IF($B1165="","",1156)</f>
        <v/>
      </c>
      <c r="B1165" s="17">
        <f>IF(21&gt;NLoanA,"",IFERROR(IF(VLOOKUP(INDEX(PkLoanA,21),AcctTblA,4,0)="","(بدون نام)",VLOOKUP(INDEX(PkLoanA,21),AcctTblA,4,0)),"—"))</f>
        <v/>
      </c>
      <c r="C1165" s="18">
        <f>IF($B1165="","",IF(21&gt;NLoanA,"",INDEX(PkLoanA,21)))</f>
        <v/>
      </c>
      <c r="D1165" s="17">
        <f>IF($B1165="","","l")</f>
        <v/>
      </c>
      <c r="E1165" s="19">
        <f>IF($B1165="","",IF(21&gt;NLoanA,0,SUMIF(CalcDebit,INDEX(PkLoanA,21),CalcAmt)+SUMIF(CalcDebit2,INDEX(PkLoanA,21),CalcAmt2)))</f>
        <v/>
      </c>
      <c r="F1165" s="19">
        <f>IF($B1165="","",IF(21&gt;NLoanA,0,SUMIF(CalcCredit,INDEX(PkLoanA,21),CalcAmt)+SUMIF(CalcCredit2,INDEX(PkLoanA,21),CalcAmt2)))</f>
        <v/>
      </c>
      <c r="G1165" s="20">
        <f>IF($B1165="","",ROUND($E1165-$F1165,0))</f>
        <v/>
      </c>
      <c r="H1165" s="17">
        <f>IF($B1165="","",IF(ROUND($G1165,0)&gt;0,"بدهکار",IF(ROUND($G1165,0)&lt;0,"بستانکار","تسویه")))</f>
        <v/>
      </c>
    </row>
    <row r="1166">
      <c r="A1166" s="11">
        <f>IF($B1166="","",1157)</f>
        <v/>
      </c>
      <c r="B1166" s="12">
        <f>IF(22&gt;NLoanA,"",IFERROR(IF(VLOOKUP(INDEX(PkLoanA,22),AcctTblA,4,0)="","(بدون نام)",VLOOKUP(INDEX(PkLoanA,22),AcctTblA,4,0)),"—"))</f>
        <v/>
      </c>
      <c r="C1166" s="13">
        <f>IF($B1166="","",IF(22&gt;NLoanA,"",INDEX(PkLoanA,22)))</f>
        <v/>
      </c>
      <c r="D1166" s="12">
        <f>IF($B1166="","","l")</f>
        <v/>
      </c>
      <c r="E1166" s="14">
        <f>IF($B1166="","",IF(22&gt;NLoanA,0,SUMIF(CalcDebit,INDEX(PkLoanA,22),CalcAmt)+SUMIF(CalcDebit2,INDEX(PkLoanA,22),CalcAmt2)))</f>
        <v/>
      </c>
      <c r="F1166" s="14">
        <f>IF($B1166="","",IF(22&gt;NLoanA,0,SUMIF(CalcCredit,INDEX(PkLoanA,22),CalcAmt)+SUMIF(CalcCredit2,INDEX(PkLoanA,22),CalcAmt2)))</f>
        <v/>
      </c>
      <c r="G1166" s="15">
        <f>IF($B1166="","",ROUND($E1166-$F1166,0))</f>
        <v/>
      </c>
      <c r="H1166" s="12">
        <f>IF($B1166="","",IF(ROUND($G1166,0)&gt;0,"بدهکار",IF(ROUND($G1166,0)&lt;0,"بستانکار","تسویه")))</f>
        <v/>
      </c>
    </row>
    <row r="1167">
      <c r="A1167" s="16">
        <f>IF($B1167="","",1158)</f>
        <v/>
      </c>
      <c r="B1167" s="17">
        <f>IF(23&gt;NLoanA,"",IFERROR(IF(VLOOKUP(INDEX(PkLoanA,23),AcctTblA,4,0)="","(بدون نام)",VLOOKUP(INDEX(PkLoanA,23),AcctTblA,4,0)),"—"))</f>
        <v/>
      </c>
      <c r="C1167" s="18">
        <f>IF($B1167="","",IF(23&gt;NLoanA,"",INDEX(PkLoanA,23)))</f>
        <v/>
      </c>
      <c r="D1167" s="17">
        <f>IF($B1167="","","l")</f>
        <v/>
      </c>
      <c r="E1167" s="19">
        <f>IF($B1167="","",IF(23&gt;NLoanA,0,SUMIF(CalcDebit,INDEX(PkLoanA,23),CalcAmt)+SUMIF(CalcDebit2,INDEX(PkLoanA,23),CalcAmt2)))</f>
        <v/>
      </c>
      <c r="F1167" s="19">
        <f>IF($B1167="","",IF(23&gt;NLoanA,0,SUMIF(CalcCredit,INDEX(PkLoanA,23),CalcAmt)+SUMIF(CalcCredit2,INDEX(PkLoanA,23),CalcAmt2)))</f>
        <v/>
      </c>
      <c r="G1167" s="20">
        <f>IF($B1167="","",ROUND($E1167-$F1167,0))</f>
        <v/>
      </c>
      <c r="H1167" s="17">
        <f>IF($B1167="","",IF(ROUND($G1167,0)&gt;0,"بدهکار",IF(ROUND($G1167,0)&lt;0,"بستانکار","تسویه")))</f>
        <v/>
      </c>
    </row>
    <row r="1168">
      <c r="A1168" s="11">
        <f>IF($B1168="","",1159)</f>
        <v/>
      </c>
      <c r="B1168" s="12">
        <f>IF(24&gt;NLoanA,"",IFERROR(IF(VLOOKUP(INDEX(PkLoanA,24),AcctTblA,4,0)="","(بدون نام)",VLOOKUP(INDEX(PkLoanA,24),AcctTblA,4,0)),"—"))</f>
        <v/>
      </c>
      <c r="C1168" s="13">
        <f>IF($B1168="","",IF(24&gt;NLoanA,"",INDEX(PkLoanA,24)))</f>
        <v/>
      </c>
      <c r="D1168" s="12">
        <f>IF($B1168="","","l")</f>
        <v/>
      </c>
      <c r="E1168" s="14">
        <f>IF($B1168="","",IF(24&gt;NLoanA,0,SUMIF(CalcDebit,INDEX(PkLoanA,24),CalcAmt)+SUMIF(CalcDebit2,INDEX(PkLoanA,24),CalcAmt2)))</f>
        <v/>
      </c>
      <c r="F1168" s="14">
        <f>IF($B1168="","",IF(24&gt;NLoanA,0,SUMIF(CalcCredit,INDEX(PkLoanA,24),CalcAmt)+SUMIF(CalcCredit2,INDEX(PkLoanA,24),CalcAmt2)))</f>
        <v/>
      </c>
      <c r="G1168" s="15">
        <f>IF($B1168="","",ROUND($E1168-$F1168,0))</f>
        <v/>
      </c>
      <c r="H1168" s="12">
        <f>IF($B1168="","",IF(ROUND($G1168,0)&gt;0,"بدهکار",IF(ROUND($G1168,0)&lt;0,"بستانکار","تسویه")))</f>
        <v/>
      </c>
    </row>
    <row r="1169">
      <c r="A1169" s="16">
        <f>IF($B1169="","",1160)</f>
        <v/>
      </c>
      <c r="B1169" s="17">
        <f>IF(25&gt;NLoanA,"",IFERROR(IF(VLOOKUP(INDEX(PkLoanA,25),AcctTblA,4,0)="","(بدون نام)",VLOOKUP(INDEX(PkLoanA,25),AcctTblA,4,0)),"—"))</f>
        <v/>
      </c>
      <c r="C1169" s="18">
        <f>IF($B1169="","",IF(25&gt;NLoanA,"",INDEX(PkLoanA,25)))</f>
        <v/>
      </c>
      <c r="D1169" s="17">
        <f>IF($B1169="","","l")</f>
        <v/>
      </c>
      <c r="E1169" s="19">
        <f>IF($B1169="","",IF(25&gt;NLoanA,0,SUMIF(CalcDebit,INDEX(PkLoanA,25),CalcAmt)+SUMIF(CalcDebit2,INDEX(PkLoanA,25),CalcAmt2)))</f>
        <v/>
      </c>
      <c r="F1169" s="19">
        <f>IF($B1169="","",IF(25&gt;NLoanA,0,SUMIF(CalcCredit,INDEX(PkLoanA,25),CalcAmt)+SUMIF(CalcCredit2,INDEX(PkLoanA,25),CalcAmt2)))</f>
        <v/>
      </c>
      <c r="G1169" s="20">
        <f>IF($B1169="","",ROUND($E1169-$F1169,0))</f>
        <v/>
      </c>
      <c r="H1169" s="17">
        <f>IF($B1169="","",IF(ROUND($G1169,0)&gt;0,"بدهکار",IF(ROUND($G1169,0)&lt;0,"بستانکار","تسویه")))</f>
        <v/>
      </c>
    </row>
    <row r="1170">
      <c r="A1170" s="11">
        <f>IF($B1170="","",1161)</f>
        <v/>
      </c>
      <c r="B1170" s="12">
        <f>IF(26&gt;NLoanA,"",IFERROR(IF(VLOOKUP(INDEX(PkLoanA,26),AcctTblA,4,0)="","(بدون نام)",VLOOKUP(INDEX(PkLoanA,26),AcctTblA,4,0)),"—"))</f>
        <v/>
      </c>
      <c r="C1170" s="13">
        <f>IF($B1170="","",IF(26&gt;NLoanA,"",INDEX(PkLoanA,26)))</f>
        <v/>
      </c>
      <c r="D1170" s="12">
        <f>IF($B1170="","","l")</f>
        <v/>
      </c>
      <c r="E1170" s="14">
        <f>IF($B1170="","",IF(26&gt;NLoanA,0,SUMIF(CalcDebit,INDEX(PkLoanA,26),CalcAmt)+SUMIF(CalcDebit2,INDEX(PkLoanA,26),CalcAmt2)))</f>
        <v/>
      </c>
      <c r="F1170" s="14">
        <f>IF($B1170="","",IF(26&gt;NLoanA,0,SUMIF(CalcCredit,INDEX(PkLoanA,26),CalcAmt)+SUMIF(CalcCredit2,INDEX(PkLoanA,26),CalcAmt2)))</f>
        <v/>
      </c>
      <c r="G1170" s="15">
        <f>IF($B1170="","",ROUND($E1170-$F1170,0))</f>
        <v/>
      </c>
      <c r="H1170" s="12">
        <f>IF($B1170="","",IF(ROUND($G1170,0)&gt;0,"بدهکار",IF(ROUND($G1170,0)&lt;0,"بستانکار","تسویه")))</f>
        <v/>
      </c>
    </row>
    <row r="1171">
      <c r="A1171" s="16">
        <f>IF($B1171="","",1162)</f>
        <v/>
      </c>
      <c r="B1171" s="17">
        <f>IF(27&gt;NLoanA,"",IFERROR(IF(VLOOKUP(INDEX(PkLoanA,27),AcctTblA,4,0)="","(بدون نام)",VLOOKUP(INDEX(PkLoanA,27),AcctTblA,4,0)),"—"))</f>
        <v/>
      </c>
      <c r="C1171" s="18">
        <f>IF($B1171="","",IF(27&gt;NLoanA,"",INDEX(PkLoanA,27)))</f>
        <v/>
      </c>
      <c r="D1171" s="17">
        <f>IF($B1171="","","l")</f>
        <v/>
      </c>
      <c r="E1171" s="19">
        <f>IF($B1171="","",IF(27&gt;NLoanA,0,SUMIF(CalcDebit,INDEX(PkLoanA,27),CalcAmt)+SUMIF(CalcDebit2,INDEX(PkLoanA,27),CalcAmt2)))</f>
        <v/>
      </c>
      <c r="F1171" s="19">
        <f>IF($B1171="","",IF(27&gt;NLoanA,0,SUMIF(CalcCredit,INDEX(PkLoanA,27),CalcAmt)+SUMIF(CalcCredit2,INDEX(PkLoanA,27),CalcAmt2)))</f>
        <v/>
      </c>
      <c r="G1171" s="20">
        <f>IF($B1171="","",ROUND($E1171-$F1171,0))</f>
        <v/>
      </c>
      <c r="H1171" s="17">
        <f>IF($B1171="","",IF(ROUND($G1171,0)&gt;0,"بدهکار",IF(ROUND($G1171,0)&lt;0,"بستانکار","تسویه")))</f>
        <v/>
      </c>
    </row>
    <row r="1172">
      <c r="A1172" s="11">
        <f>IF($B1172="","",1163)</f>
        <v/>
      </c>
      <c r="B1172" s="12">
        <f>IF(28&gt;NLoanA,"",IFERROR(IF(VLOOKUP(INDEX(PkLoanA,28),AcctTblA,4,0)="","(بدون نام)",VLOOKUP(INDEX(PkLoanA,28),AcctTblA,4,0)),"—"))</f>
        <v/>
      </c>
      <c r="C1172" s="13">
        <f>IF($B1172="","",IF(28&gt;NLoanA,"",INDEX(PkLoanA,28)))</f>
        <v/>
      </c>
      <c r="D1172" s="12">
        <f>IF($B1172="","","l")</f>
        <v/>
      </c>
      <c r="E1172" s="14">
        <f>IF($B1172="","",IF(28&gt;NLoanA,0,SUMIF(CalcDebit,INDEX(PkLoanA,28),CalcAmt)+SUMIF(CalcDebit2,INDEX(PkLoanA,28),CalcAmt2)))</f>
        <v/>
      </c>
      <c r="F1172" s="14">
        <f>IF($B1172="","",IF(28&gt;NLoanA,0,SUMIF(CalcCredit,INDEX(PkLoanA,28),CalcAmt)+SUMIF(CalcCredit2,INDEX(PkLoanA,28),CalcAmt2)))</f>
        <v/>
      </c>
      <c r="G1172" s="15">
        <f>IF($B1172="","",ROUND($E1172-$F1172,0))</f>
        <v/>
      </c>
      <c r="H1172" s="12">
        <f>IF($B1172="","",IF(ROUND($G1172,0)&gt;0,"بدهکار",IF(ROUND($G1172,0)&lt;0,"بستانکار","تسویه")))</f>
        <v/>
      </c>
    </row>
    <row r="1173">
      <c r="A1173" s="16">
        <f>IF($B1173="","",1164)</f>
        <v/>
      </c>
      <c r="B1173" s="17">
        <f>IF(29&gt;NLoanA,"",IFERROR(IF(VLOOKUP(INDEX(PkLoanA,29),AcctTblA,4,0)="","(بدون نام)",VLOOKUP(INDEX(PkLoanA,29),AcctTblA,4,0)),"—"))</f>
        <v/>
      </c>
      <c r="C1173" s="18">
        <f>IF($B1173="","",IF(29&gt;NLoanA,"",INDEX(PkLoanA,29)))</f>
        <v/>
      </c>
      <c r="D1173" s="17">
        <f>IF($B1173="","","l")</f>
        <v/>
      </c>
      <c r="E1173" s="19">
        <f>IF($B1173="","",IF(29&gt;NLoanA,0,SUMIF(CalcDebit,INDEX(PkLoanA,29),CalcAmt)+SUMIF(CalcDebit2,INDEX(PkLoanA,29),CalcAmt2)))</f>
        <v/>
      </c>
      <c r="F1173" s="19">
        <f>IF($B1173="","",IF(29&gt;NLoanA,0,SUMIF(CalcCredit,INDEX(PkLoanA,29),CalcAmt)+SUMIF(CalcCredit2,INDEX(PkLoanA,29),CalcAmt2)))</f>
        <v/>
      </c>
      <c r="G1173" s="20">
        <f>IF($B1173="","",ROUND($E1173-$F1173,0))</f>
        <v/>
      </c>
      <c r="H1173" s="17">
        <f>IF($B1173="","",IF(ROUND($G1173,0)&gt;0,"بدهکار",IF(ROUND($G1173,0)&lt;0,"بستانکار","تسویه")))</f>
        <v/>
      </c>
    </row>
    <row r="1174">
      <c r="A1174" s="11">
        <f>IF($B1174="","",1165)</f>
        <v/>
      </c>
      <c r="B1174" s="12">
        <f>IF(30&gt;NLoanA,"",IFERROR(IF(VLOOKUP(INDEX(PkLoanA,30),AcctTblA,4,0)="","(بدون نام)",VLOOKUP(INDEX(PkLoanA,30),AcctTblA,4,0)),"—"))</f>
        <v/>
      </c>
      <c r="C1174" s="13">
        <f>IF($B1174="","",IF(30&gt;NLoanA,"",INDEX(PkLoanA,30)))</f>
        <v/>
      </c>
      <c r="D1174" s="12">
        <f>IF($B1174="","","l")</f>
        <v/>
      </c>
      <c r="E1174" s="14">
        <f>IF($B1174="","",IF(30&gt;NLoanA,0,SUMIF(CalcDebit,INDEX(PkLoanA,30),CalcAmt)+SUMIF(CalcDebit2,INDEX(PkLoanA,30),CalcAmt2)))</f>
        <v/>
      </c>
      <c r="F1174" s="14">
        <f>IF($B1174="","",IF(30&gt;NLoanA,0,SUMIF(CalcCredit,INDEX(PkLoanA,30),CalcAmt)+SUMIF(CalcCredit2,INDEX(PkLoanA,30),CalcAmt2)))</f>
        <v/>
      </c>
      <c r="G1174" s="15">
        <f>IF($B1174="","",ROUND($E1174-$F1174,0))</f>
        <v/>
      </c>
      <c r="H1174" s="12">
        <f>IF($B1174="","",IF(ROUND($G1174,0)&gt;0,"بدهکار",IF(ROUND($G1174,0)&lt;0,"بستانکار","تسویه")))</f>
        <v/>
      </c>
    </row>
    <row r="1175">
      <c r="A1175" s="16">
        <f>IF($B1175="","",1166)</f>
        <v/>
      </c>
      <c r="B1175" s="17">
        <f>IF(31&gt;NLoanA,"",IFERROR(IF(VLOOKUP(INDEX(PkLoanA,31),AcctTblA,4,0)="","(بدون نام)",VLOOKUP(INDEX(PkLoanA,31),AcctTblA,4,0)),"—"))</f>
        <v/>
      </c>
      <c r="C1175" s="18">
        <f>IF($B1175="","",IF(31&gt;NLoanA,"",INDEX(PkLoanA,31)))</f>
        <v/>
      </c>
      <c r="D1175" s="17">
        <f>IF($B1175="","","l")</f>
        <v/>
      </c>
      <c r="E1175" s="19">
        <f>IF($B1175="","",IF(31&gt;NLoanA,0,SUMIF(CalcDebit,INDEX(PkLoanA,31),CalcAmt)+SUMIF(CalcDebit2,INDEX(PkLoanA,31),CalcAmt2)))</f>
        <v/>
      </c>
      <c r="F1175" s="19">
        <f>IF($B1175="","",IF(31&gt;NLoanA,0,SUMIF(CalcCredit,INDEX(PkLoanA,31),CalcAmt)+SUMIF(CalcCredit2,INDEX(PkLoanA,31),CalcAmt2)))</f>
        <v/>
      </c>
      <c r="G1175" s="20">
        <f>IF($B1175="","",ROUND($E1175-$F1175,0))</f>
        <v/>
      </c>
      <c r="H1175" s="17">
        <f>IF($B1175="","",IF(ROUND($G1175,0)&gt;0,"بدهکار",IF(ROUND($G1175,0)&lt;0,"بستانکار","تسویه")))</f>
        <v/>
      </c>
    </row>
    <row r="1176">
      <c r="A1176" s="11">
        <f>IF($B1176="","",1167)</f>
        <v/>
      </c>
      <c r="B1176" s="12">
        <f>IF(32&gt;NLoanA,"",IFERROR(IF(VLOOKUP(INDEX(PkLoanA,32),AcctTblA,4,0)="","(بدون نام)",VLOOKUP(INDEX(PkLoanA,32),AcctTblA,4,0)),"—"))</f>
        <v/>
      </c>
      <c r="C1176" s="13">
        <f>IF($B1176="","",IF(32&gt;NLoanA,"",INDEX(PkLoanA,32)))</f>
        <v/>
      </c>
      <c r="D1176" s="12">
        <f>IF($B1176="","","l")</f>
        <v/>
      </c>
      <c r="E1176" s="14">
        <f>IF($B1176="","",IF(32&gt;NLoanA,0,SUMIF(CalcDebit,INDEX(PkLoanA,32),CalcAmt)+SUMIF(CalcDebit2,INDEX(PkLoanA,32),CalcAmt2)))</f>
        <v/>
      </c>
      <c r="F1176" s="14">
        <f>IF($B1176="","",IF(32&gt;NLoanA,0,SUMIF(CalcCredit,INDEX(PkLoanA,32),CalcAmt)+SUMIF(CalcCredit2,INDEX(PkLoanA,32),CalcAmt2)))</f>
        <v/>
      </c>
      <c r="G1176" s="15">
        <f>IF($B1176="","",ROUND($E1176-$F1176,0))</f>
        <v/>
      </c>
      <c r="H1176" s="12">
        <f>IF($B1176="","",IF(ROUND($G1176,0)&gt;0,"بدهکار",IF(ROUND($G1176,0)&lt;0,"بستانکار","تسویه")))</f>
        <v/>
      </c>
    </row>
    <row r="1177">
      <c r="A1177" s="16">
        <f>IF($B1177="","",1168)</f>
        <v/>
      </c>
      <c r="B1177" s="17">
        <f>IF(33&gt;NLoanA,"",IFERROR(IF(VLOOKUP(INDEX(PkLoanA,33),AcctTblA,4,0)="","(بدون نام)",VLOOKUP(INDEX(PkLoanA,33),AcctTblA,4,0)),"—"))</f>
        <v/>
      </c>
      <c r="C1177" s="18">
        <f>IF($B1177="","",IF(33&gt;NLoanA,"",INDEX(PkLoanA,33)))</f>
        <v/>
      </c>
      <c r="D1177" s="17">
        <f>IF($B1177="","","l")</f>
        <v/>
      </c>
      <c r="E1177" s="19">
        <f>IF($B1177="","",IF(33&gt;NLoanA,0,SUMIF(CalcDebit,INDEX(PkLoanA,33),CalcAmt)+SUMIF(CalcDebit2,INDEX(PkLoanA,33),CalcAmt2)))</f>
        <v/>
      </c>
      <c r="F1177" s="19">
        <f>IF($B1177="","",IF(33&gt;NLoanA,0,SUMIF(CalcCredit,INDEX(PkLoanA,33),CalcAmt)+SUMIF(CalcCredit2,INDEX(PkLoanA,33),CalcAmt2)))</f>
        <v/>
      </c>
      <c r="G1177" s="20">
        <f>IF($B1177="","",ROUND($E1177-$F1177,0))</f>
        <v/>
      </c>
      <c r="H1177" s="17">
        <f>IF($B1177="","",IF(ROUND($G1177,0)&gt;0,"بدهکار",IF(ROUND($G1177,0)&lt;0,"بستانکار","تسویه")))</f>
        <v/>
      </c>
    </row>
    <row r="1178">
      <c r="A1178" s="11">
        <f>IF($B1178="","",1169)</f>
        <v/>
      </c>
      <c r="B1178" s="12">
        <f>IF(34&gt;NLoanA,"",IFERROR(IF(VLOOKUP(INDEX(PkLoanA,34),AcctTblA,4,0)="","(بدون نام)",VLOOKUP(INDEX(PkLoanA,34),AcctTblA,4,0)),"—"))</f>
        <v/>
      </c>
      <c r="C1178" s="13">
        <f>IF($B1178="","",IF(34&gt;NLoanA,"",INDEX(PkLoanA,34)))</f>
        <v/>
      </c>
      <c r="D1178" s="12">
        <f>IF($B1178="","","l")</f>
        <v/>
      </c>
      <c r="E1178" s="14">
        <f>IF($B1178="","",IF(34&gt;NLoanA,0,SUMIF(CalcDebit,INDEX(PkLoanA,34),CalcAmt)+SUMIF(CalcDebit2,INDEX(PkLoanA,34),CalcAmt2)))</f>
        <v/>
      </c>
      <c r="F1178" s="14">
        <f>IF($B1178="","",IF(34&gt;NLoanA,0,SUMIF(CalcCredit,INDEX(PkLoanA,34),CalcAmt)+SUMIF(CalcCredit2,INDEX(PkLoanA,34),CalcAmt2)))</f>
        <v/>
      </c>
      <c r="G1178" s="15">
        <f>IF($B1178="","",ROUND($E1178-$F1178,0))</f>
        <v/>
      </c>
      <c r="H1178" s="12">
        <f>IF($B1178="","",IF(ROUND($G1178,0)&gt;0,"بدهکار",IF(ROUND($G1178,0)&lt;0,"بستانکار","تسویه")))</f>
        <v/>
      </c>
    </row>
    <row r="1179">
      <c r="A1179" s="16">
        <f>IF($B1179="","",1170)</f>
        <v/>
      </c>
      <c r="B1179" s="17">
        <f>IF(35&gt;NLoanA,"",IFERROR(IF(VLOOKUP(INDEX(PkLoanA,35),AcctTblA,4,0)="","(بدون نام)",VLOOKUP(INDEX(PkLoanA,35),AcctTblA,4,0)),"—"))</f>
        <v/>
      </c>
      <c r="C1179" s="18">
        <f>IF($B1179="","",IF(35&gt;NLoanA,"",INDEX(PkLoanA,35)))</f>
        <v/>
      </c>
      <c r="D1179" s="17">
        <f>IF($B1179="","","l")</f>
        <v/>
      </c>
      <c r="E1179" s="19">
        <f>IF($B1179="","",IF(35&gt;NLoanA,0,SUMIF(CalcDebit,INDEX(PkLoanA,35),CalcAmt)+SUMIF(CalcDebit2,INDEX(PkLoanA,35),CalcAmt2)))</f>
        <v/>
      </c>
      <c r="F1179" s="19">
        <f>IF($B1179="","",IF(35&gt;NLoanA,0,SUMIF(CalcCredit,INDEX(PkLoanA,35),CalcAmt)+SUMIF(CalcCredit2,INDEX(PkLoanA,35),CalcAmt2)))</f>
        <v/>
      </c>
      <c r="G1179" s="20">
        <f>IF($B1179="","",ROUND($E1179-$F1179,0))</f>
        <v/>
      </c>
      <c r="H1179" s="17">
        <f>IF($B1179="","",IF(ROUND($G1179,0)&gt;0,"بدهکار",IF(ROUND($G1179,0)&lt;0,"بستانکار","تسویه")))</f>
        <v/>
      </c>
    </row>
    <row r="1180">
      <c r="A1180" s="11">
        <f>IF($B1180="","",1171)</f>
        <v/>
      </c>
      <c r="B1180" s="12">
        <f>IF(36&gt;NLoanA,"",IFERROR(IF(VLOOKUP(INDEX(PkLoanA,36),AcctTblA,4,0)="","(بدون نام)",VLOOKUP(INDEX(PkLoanA,36),AcctTblA,4,0)),"—"))</f>
        <v/>
      </c>
      <c r="C1180" s="13">
        <f>IF($B1180="","",IF(36&gt;NLoanA,"",INDEX(PkLoanA,36)))</f>
        <v/>
      </c>
      <c r="D1180" s="12">
        <f>IF($B1180="","","l")</f>
        <v/>
      </c>
      <c r="E1180" s="14">
        <f>IF($B1180="","",IF(36&gt;NLoanA,0,SUMIF(CalcDebit,INDEX(PkLoanA,36),CalcAmt)+SUMIF(CalcDebit2,INDEX(PkLoanA,36),CalcAmt2)))</f>
        <v/>
      </c>
      <c r="F1180" s="14">
        <f>IF($B1180="","",IF(36&gt;NLoanA,0,SUMIF(CalcCredit,INDEX(PkLoanA,36),CalcAmt)+SUMIF(CalcCredit2,INDEX(PkLoanA,36),CalcAmt2)))</f>
        <v/>
      </c>
      <c r="G1180" s="15">
        <f>IF($B1180="","",ROUND($E1180-$F1180,0))</f>
        <v/>
      </c>
      <c r="H1180" s="12">
        <f>IF($B1180="","",IF(ROUND($G1180,0)&gt;0,"بدهکار",IF(ROUND($G1180,0)&lt;0,"بستانکار","تسویه")))</f>
        <v/>
      </c>
    </row>
    <row r="1181">
      <c r="A1181" s="16">
        <f>IF($B1181="","",1172)</f>
        <v/>
      </c>
      <c r="B1181" s="17">
        <f>IF(37&gt;NLoanA,"",IFERROR(IF(VLOOKUP(INDEX(PkLoanA,37),AcctTblA,4,0)="","(بدون نام)",VLOOKUP(INDEX(PkLoanA,37),AcctTblA,4,0)),"—"))</f>
        <v/>
      </c>
      <c r="C1181" s="18">
        <f>IF($B1181="","",IF(37&gt;NLoanA,"",INDEX(PkLoanA,37)))</f>
        <v/>
      </c>
      <c r="D1181" s="17">
        <f>IF($B1181="","","l")</f>
        <v/>
      </c>
      <c r="E1181" s="19">
        <f>IF($B1181="","",IF(37&gt;NLoanA,0,SUMIF(CalcDebit,INDEX(PkLoanA,37),CalcAmt)+SUMIF(CalcDebit2,INDEX(PkLoanA,37),CalcAmt2)))</f>
        <v/>
      </c>
      <c r="F1181" s="19">
        <f>IF($B1181="","",IF(37&gt;NLoanA,0,SUMIF(CalcCredit,INDEX(PkLoanA,37),CalcAmt)+SUMIF(CalcCredit2,INDEX(PkLoanA,37),CalcAmt2)))</f>
        <v/>
      </c>
      <c r="G1181" s="20">
        <f>IF($B1181="","",ROUND($E1181-$F1181,0))</f>
        <v/>
      </c>
      <c r="H1181" s="17">
        <f>IF($B1181="","",IF(ROUND($G1181,0)&gt;0,"بدهکار",IF(ROUND($G1181,0)&lt;0,"بستانکار","تسویه")))</f>
        <v/>
      </c>
    </row>
    <row r="1182">
      <c r="A1182" s="11">
        <f>IF($B1182="","",1173)</f>
        <v/>
      </c>
      <c r="B1182" s="12">
        <f>IF(38&gt;NLoanA,"",IFERROR(IF(VLOOKUP(INDEX(PkLoanA,38),AcctTblA,4,0)="","(بدون نام)",VLOOKUP(INDEX(PkLoanA,38),AcctTblA,4,0)),"—"))</f>
        <v/>
      </c>
      <c r="C1182" s="13">
        <f>IF($B1182="","",IF(38&gt;NLoanA,"",INDEX(PkLoanA,38)))</f>
        <v/>
      </c>
      <c r="D1182" s="12">
        <f>IF($B1182="","","l")</f>
        <v/>
      </c>
      <c r="E1182" s="14">
        <f>IF($B1182="","",IF(38&gt;NLoanA,0,SUMIF(CalcDebit,INDEX(PkLoanA,38),CalcAmt)+SUMIF(CalcDebit2,INDEX(PkLoanA,38),CalcAmt2)))</f>
        <v/>
      </c>
      <c r="F1182" s="14">
        <f>IF($B1182="","",IF(38&gt;NLoanA,0,SUMIF(CalcCredit,INDEX(PkLoanA,38),CalcAmt)+SUMIF(CalcCredit2,INDEX(PkLoanA,38),CalcAmt2)))</f>
        <v/>
      </c>
      <c r="G1182" s="15">
        <f>IF($B1182="","",ROUND($E1182-$F1182,0))</f>
        <v/>
      </c>
      <c r="H1182" s="12">
        <f>IF($B1182="","",IF(ROUND($G1182,0)&gt;0,"بدهکار",IF(ROUND($G1182,0)&lt;0,"بستانکار","تسویه")))</f>
        <v/>
      </c>
    </row>
    <row r="1183">
      <c r="A1183" s="16">
        <f>IF($B1183="","",1174)</f>
        <v/>
      </c>
      <c r="B1183" s="17">
        <f>IF(39&gt;NLoanA,"",IFERROR(IF(VLOOKUP(INDEX(PkLoanA,39),AcctTblA,4,0)="","(بدون نام)",VLOOKUP(INDEX(PkLoanA,39),AcctTblA,4,0)),"—"))</f>
        <v/>
      </c>
      <c r="C1183" s="18">
        <f>IF($B1183="","",IF(39&gt;NLoanA,"",INDEX(PkLoanA,39)))</f>
        <v/>
      </c>
      <c r="D1183" s="17">
        <f>IF($B1183="","","l")</f>
        <v/>
      </c>
      <c r="E1183" s="19">
        <f>IF($B1183="","",IF(39&gt;NLoanA,0,SUMIF(CalcDebit,INDEX(PkLoanA,39),CalcAmt)+SUMIF(CalcDebit2,INDEX(PkLoanA,39),CalcAmt2)))</f>
        <v/>
      </c>
      <c r="F1183" s="19">
        <f>IF($B1183="","",IF(39&gt;NLoanA,0,SUMIF(CalcCredit,INDEX(PkLoanA,39),CalcAmt)+SUMIF(CalcCredit2,INDEX(PkLoanA,39),CalcAmt2)))</f>
        <v/>
      </c>
      <c r="G1183" s="20">
        <f>IF($B1183="","",ROUND($E1183-$F1183,0))</f>
        <v/>
      </c>
      <c r="H1183" s="17">
        <f>IF($B1183="","",IF(ROUND($G1183,0)&gt;0,"بدهکار",IF(ROUND($G1183,0)&lt;0,"بستانکار","تسویه")))</f>
        <v/>
      </c>
    </row>
    <row r="1184">
      <c r="A1184" s="11">
        <f>IF($B1184="","",1175)</f>
        <v/>
      </c>
      <c r="B1184" s="12">
        <f>IF(40&gt;NLoanA,"",IFERROR(IF(VLOOKUP(INDEX(PkLoanA,40),AcctTblA,4,0)="","(بدون نام)",VLOOKUP(INDEX(PkLoanA,40),AcctTblA,4,0)),"—"))</f>
        <v/>
      </c>
      <c r="C1184" s="13">
        <f>IF($B1184="","",IF(40&gt;NLoanA,"",INDEX(PkLoanA,40)))</f>
        <v/>
      </c>
      <c r="D1184" s="12">
        <f>IF($B1184="","","l")</f>
        <v/>
      </c>
      <c r="E1184" s="14">
        <f>IF($B1184="","",IF(40&gt;NLoanA,0,SUMIF(CalcDebit,INDEX(PkLoanA,40),CalcAmt)+SUMIF(CalcDebit2,INDEX(PkLoanA,40),CalcAmt2)))</f>
        <v/>
      </c>
      <c r="F1184" s="14">
        <f>IF($B1184="","",IF(40&gt;NLoanA,0,SUMIF(CalcCredit,INDEX(PkLoanA,40),CalcAmt)+SUMIF(CalcCredit2,INDEX(PkLoanA,40),CalcAmt2)))</f>
        <v/>
      </c>
      <c r="G1184" s="15">
        <f>IF($B1184="","",ROUND($E1184-$F1184,0))</f>
        <v/>
      </c>
      <c r="H1184" s="12">
        <f>IF($B1184="","",IF(ROUND($G1184,0)&gt;0,"بدهکار",IF(ROUND($G1184,0)&lt;0,"بستانکار","تسویه")))</f>
        <v/>
      </c>
    </row>
    <row r="1185">
      <c r="A1185" s="16">
        <f>IF($B1185="","",1176)</f>
        <v/>
      </c>
      <c r="B1185" s="17">
        <f>IF(41&gt;NLoanA,"",IFERROR(IF(VLOOKUP(INDEX(PkLoanA,41),AcctTblA,4,0)="","(بدون نام)",VLOOKUP(INDEX(PkLoanA,41),AcctTblA,4,0)),"—"))</f>
        <v/>
      </c>
      <c r="C1185" s="18">
        <f>IF($B1185="","",IF(41&gt;NLoanA,"",INDEX(PkLoanA,41)))</f>
        <v/>
      </c>
      <c r="D1185" s="17">
        <f>IF($B1185="","","l")</f>
        <v/>
      </c>
      <c r="E1185" s="19">
        <f>IF($B1185="","",IF(41&gt;NLoanA,0,SUMIF(CalcDebit,INDEX(PkLoanA,41),CalcAmt)+SUMIF(CalcDebit2,INDEX(PkLoanA,41),CalcAmt2)))</f>
        <v/>
      </c>
      <c r="F1185" s="19">
        <f>IF($B1185="","",IF(41&gt;NLoanA,0,SUMIF(CalcCredit,INDEX(PkLoanA,41),CalcAmt)+SUMIF(CalcCredit2,INDEX(PkLoanA,41),CalcAmt2)))</f>
        <v/>
      </c>
      <c r="G1185" s="20">
        <f>IF($B1185="","",ROUND($E1185-$F1185,0))</f>
        <v/>
      </c>
      <c r="H1185" s="17">
        <f>IF($B1185="","",IF(ROUND($G1185,0)&gt;0,"بدهکار",IF(ROUND($G1185,0)&lt;0,"بستانکار","تسویه")))</f>
        <v/>
      </c>
    </row>
    <row r="1186">
      <c r="A1186" s="11">
        <f>IF($B1186="","",1177)</f>
        <v/>
      </c>
      <c r="B1186" s="12">
        <f>IF(42&gt;NLoanA,"",IFERROR(IF(VLOOKUP(INDEX(PkLoanA,42),AcctTblA,4,0)="","(بدون نام)",VLOOKUP(INDEX(PkLoanA,42),AcctTblA,4,0)),"—"))</f>
        <v/>
      </c>
      <c r="C1186" s="13">
        <f>IF($B1186="","",IF(42&gt;NLoanA,"",INDEX(PkLoanA,42)))</f>
        <v/>
      </c>
      <c r="D1186" s="12">
        <f>IF($B1186="","","l")</f>
        <v/>
      </c>
      <c r="E1186" s="14">
        <f>IF($B1186="","",IF(42&gt;NLoanA,0,SUMIF(CalcDebit,INDEX(PkLoanA,42),CalcAmt)+SUMIF(CalcDebit2,INDEX(PkLoanA,42),CalcAmt2)))</f>
        <v/>
      </c>
      <c r="F1186" s="14">
        <f>IF($B1186="","",IF(42&gt;NLoanA,0,SUMIF(CalcCredit,INDEX(PkLoanA,42),CalcAmt)+SUMIF(CalcCredit2,INDEX(PkLoanA,42),CalcAmt2)))</f>
        <v/>
      </c>
      <c r="G1186" s="15">
        <f>IF($B1186="","",ROUND($E1186-$F1186,0))</f>
        <v/>
      </c>
      <c r="H1186" s="12">
        <f>IF($B1186="","",IF(ROUND($G1186,0)&gt;0,"بدهکار",IF(ROUND($G1186,0)&lt;0,"بستانکار","تسویه")))</f>
        <v/>
      </c>
    </row>
    <row r="1187">
      <c r="A1187" s="16">
        <f>IF($B1187="","",1178)</f>
        <v/>
      </c>
      <c r="B1187" s="17">
        <f>IF(43&gt;NLoanA,"",IFERROR(IF(VLOOKUP(INDEX(PkLoanA,43),AcctTblA,4,0)="","(بدون نام)",VLOOKUP(INDEX(PkLoanA,43),AcctTblA,4,0)),"—"))</f>
        <v/>
      </c>
      <c r="C1187" s="18">
        <f>IF($B1187="","",IF(43&gt;NLoanA,"",INDEX(PkLoanA,43)))</f>
        <v/>
      </c>
      <c r="D1187" s="17">
        <f>IF($B1187="","","l")</f>
        <v/>
      </c>
      <c r="E1187" s="19">
        <f>IF($B1187="","",IF(43&gt;NLoanA,0,SUMIF(CalcDebit,INDEX(PkLoanA,43),CalcAmt)+SUMIF(CalcDebit2,INDEX(PkLoanA,43),CalcAmt2)))</f>
        <v/>
      </c>
      <c r="F1187" s="19">
        <f>IF($B1187="","",IF(43&gt;NLoanA,0,SUMIF(CalcCredit,INDEX(PkLoanA,43),CalcAmt)+SUMIF(CalcCredit2,INDEX(PkLoanA,43),CalcAmt2)))</f>
        <v/>
      </c>
      <c r="G1187" s="20">
        <f>IF($B1187="","",ROUND($E1187-$F1187,0))</f>
        <v/>
      </c>
      <c r="H1187" s="17">
        <f>IF($B1187="","",IF(ROUND($G1187,0)&gt;0,"بدهکار",IF(ROUND($G1187,0)&lt;0,"بستانکار","تسویه")))</f>
        <v/>
      </c>
    </row>
    <row r="1188">
      <c r="A1188" s="11">
        <f>IF($B1188="","",1179)</f>
        <v/>
      </c>
      <c r="B1188" s="12">
        <f>IF(44&gt;NLoanA,"",IFERROR(IF(VLOOKUP(INDEX(PkLoanA,44),AcctTblA,4,0)="","(بدون نام)",VLOOKUP(INDEX(PkLoanA,44),AcctTblA,4,0)),"—"))</f>
        <v/>
      </c>
      <c r="C1188" s="13">
        <f>IF($B1188="","",IF(44&gt;NLoanA,"",INDEX(PkLoanA,44)))</f>
        <v/>
      </c>
      <c r="D1188" s="12">
        <f>IF($B1188="","","l")</f>
        <v/>
      </c>
      <c r="E1188" s="14">
        <f>IF($B1188="","",IF(44&gt;NLoanA,0,SUMIF(CalcDebit,INDEX(PkLoanA,44),CalcAmt)+SUMIF(CalcDebit2,INDEX(PkLoanA,44),CalcAmt2)))</f>
        <v/>
      </c>
      <c r="F1188" s="14">
        <f>IF($B1188="","",IF(44&gt;NLoanA,0,SUMIF(CalcCredit,INDEX(PkLoanA,44),CalcAmt)+SUMIF(CalcCredit2,INDEX(PkLoanA,44),CalcAmt2)))</f>
        <v/>
      </c>
      <c r="G1188" s="15">
        <f>IF($B1188="","",ROUND($E1188-$F1188,0))</f>
        <v/>
      </c>
      <c r="H1188" s="12">
        <f>IF($B1188="","",IF(ROUND($G1188,0)&gt;0,"بدهکار",IF(ROUND($G1188,0)&lt;0,"بستانکار","تسویه")))</f>
        <v/>
      </c>
    </row>
    <row r="1189">
      <c r="A1189" s="16">
        <f>IF($B1189="","",1180)</f>
        <v/>
      </c>
      <c r="B1189" s="17">
        <f>IF(45&gt;NLoanA,"",IFERROR(IF(VLOOKUP(INDEX(PkLoanA,45),AcctTblA,4,0)="","(بدون نام)",VLOOKUP(INDEX(PkLoanA,45),AcctTblA,4,0)),"—"))</f>
        <v/>
      </c>
      <c r="C1189" s="18">
        <f>IF($B1189="","",IF(45&gt;NLoanA,"",INDEX(PkLoanA,45)))</f>
        <v/>
      </c>
      <c r="D1189" s="17">
        <f>IF($B1189="","","l")</f>
        <v/>
      </c>
      <c r="E1189" s="19">
        <f>IF($B1189="","",IF(45&gt;NLoanA,0,SUMIF(CalcDebit,INDEX(PkLoanA,45),CalcAmt)+SUMIF(CalcDebit2,INDEX(PkLoanA,45),CalcAmt2)))</f>
        <v/>
      </c>
      <c r="F1189" s="19">
        <f>IF($B1189="","",IF(45&gt;NLoanA,0,SUMIF(CalcCredit,INDEX(PkLoanA,45),CalcAmt)+SUMIF(CalcCredit2,INDEX(PkLoanA,45),CalcAmt2)))</f>
        <v/>
      </c>
      <c r="G1189" s="20">
        <f>IF($B1189="","",ROUND($E1189-$F1189,0))</f>
        <v/>
      </c>
      <c r="H1189" s="17">
        <f>IF($B1189="","",IF(ROUND($G1189,0)&gt;0,"بدهکار",IF(ROUND($G1189,0)&lt;0,"بستانکار","تسویه")))</f>
        <v/>
      </c>
    </row>
    <row r="1190">
      <c r="A1190" s="11">
        <f>IF($B1190="","",1181)</f>
        <v/>
      </c>
      <c r="B1190" s="12">
        <f>IF(46&gt;NLoanA,"",IFERROR(IF(VLOOKUP(INDEX(PkLoanA,46),AcctTblA,4,0)="","(بدون نام)",VLOOKUP(INDEX(PkLoanA,46),AcctTblA,4,0)),"—"))</f>
        <v/>
      </c>
      <c r="C1190" s="13">
        <f>IF($B1190="","",IF(46&gt;NLoanA,"",INDEX(PkLoanA,46)))</f>
        <v/>
      </c>
      <c r="D1190" s="12">
        <f>IF($B1190="","","l")</f>
        <v/>
      </c>
      <c r="E1190" s="14">
        <f>IF($B1190="","",IF(46&gt;NLoanA,0,SUMIF(CalcDebit,INDEX(PkLoanA,46),CalcAmt)+SUMIF(CalcDebit2,INDEX(PkLoanA,46),CalcAmt2)))</f>
        <v/>
      </c>
      <c r="F1190" s="14">
        <f>IF($B1190="","",IF(46&gt;NLoanA,0,SUMIF(CalcCredit,INDEX(PkLoanA,46),CalcAmt)+SUMIF(CalcCredit2,INDEX(PkLoanA,46),CalcAmt2)))</f>
        <v/>
      </c>
      <c r="G1190" s="15">
        <f>IF($B1190="","",ROUND($E1190-$F1190,0))</f>
        <v/>
      </c>
      <c r="H1190" s="12">
        <f>IF($B1190="","",IF(ROUND($G1190,0)&gt;0,"بدهکار",IF(ROUND($G1190,0)&lt;0,"بستانکار","تسویه")))</f>
        <v/>
      </c>
    </row>
    <row r="1191">
      <c r="A1191" s="16">
        <f>IF($B1191="","",1182)</f>
        <v/>
      </c>
      <c r="B1191" s="17">
        <f>IF(47&gt;NLoanA,"",IFERROR(IF(VLOOKUP(INDEX(PkLoanA,47),AcctTblA,4,0)="","(بدون نام)",VLOOKUP(INDEX(PkLoanA,47),AcctTblA,4,0)),"—"))</f>
        <v/>
      </c>
      <c r="C1191" s="18">
        <f>IF($B1191="","",IF(47&gt;NLoanA,"",INDEX(PkLoanA,47)))</f>
        <v/>
      </c>
      <c r="D1191" s="17">
        <f>IF($B1191="","","l")</f>
        <v/>
      </c>
      <c r="E1191" s="19">
        <f>IF($B1191="","",IF(47&gt;NLoanA,0,SUMIF(CalcDebit,INDEX(PkLoanA,47),CalcAmt)+SUMIF(CalcDebit2,INDEX(PkLoanA,47),CalcAmt2)))</f>
        <v/>
      </c>
      <c r="F1191" s="19">
        <f>IF($B1191="","",IF(47&gt;NLoanA,0,SUMIF(CalcCredit,INDEX(PkLoanA,47),CalcAmt)+SUMIF(CalcCredit2,INDEX(PkLoanA,47),CalcAmt2)))</f>
        <v/>
      </c>
      <c r="G1191" s="20">
        <f>IF($B1191="","",ROUND($E1191-$F1191,0))</f>
        <v/>
      </c>
      <c r="H1191" s="17">
        <f>IF($B1191="","",IF(ROUND($G1191,0)&gt;0,"بدهکار",IF(ROUND($G1191,0)&lt;0,"بستانکار","تسویه")))</f>
        <v/>
      </c>
    </row>
    <row r="1192">
      <c r="A1192" s="11">
        <f>IF($B1192="","",1183)</f>
        <v/>
      </c>
      <c r="B1192" s="12">
        <f>IF(48&gt;NLoanA,"",IFERROR(IF(VLOOKUP(INDEX(PkLoanA,48),AcctTblA,4,0)="","(بدون نام)",VLOOKUP(INDEX(PkLoanA,48),AcctTblA,4,0)),"—"))</f>
        <v/>
      </c>
      <c r="C1192" s="13">
        <f>IF($B1192="","",IF(48&gt;NLoanA,"",INDEX(PkLoanA,48)))</f>
        <v/>
      </c>
      <c r="D1192" s="12">
        <f>IF($B1192="","","l")</f>
        <v/>
      </c>
      <c r="E1192" s="14">
        <f>IF($B1192="","",IF(48&gt;NLoanA,0,SUMIF(CalcDebit,INDEX(PkLoanA,48),CalcAmt)+SUMIF(CalcDebit2,INDEX(PkLoanA,48),CalcAmt2)))</f>
        <v/>
      </c>
      <c r="F1192" s="14">
        <f>IF($B1192="","",IF(48&gt;NLoanA,0,SUMIF(CalcCredit,INDEX(PkLoanA,48),CalcAmt)+SUMIF(CalcCredit2,INDEX(PkLoanA,48),CalcAmt2)))</f>
        <v/>
      </c>
      <c r="G1192" s="15">
        <f>IF($B1192="","",ROUND($E1192-$F1192,0))</f>
        <v/>
      </c>
      <c r="H1192" s="12">
        <f>IF($B1192="","",IF(ROUND($G1192,0)&gt;0,"بدهکار",IF(ROUND($G1192,0)&lt;0,"بستانکار","تسویه")))</f>
        <v/>
      </c>
    </row>
    <row r="1193">
      <c r="A1193" s="16">
        <f>IF($B1193="","",1184)</f>
        <v/>
      </c>
      <c r="B1193" s="17">
        <f>IF(49&gt;NLoanA,"",IFERROR(IF(VLOOKUP(INDEX(PkLoanA,49),AcctTblA,4,0)="","(بدون نام)",VLOOKUP(INDEX(PkLoanA,49),AcctTblA,4,0)),"—"))</f>
        <v/>
      </c>
      <c r="C1193" s="18">
        <f>IF($B1193="","",IF(49&gt;NLoanA,"",INDEX(PkLoanA,49)))</f>
        <v/>
      </c>
      <c r="D1193" s="17">
        <f>IF($B1193="","","l")</f>
        <v/>
      </c>
      <c r="E1193" s="19">
        <f>IF($B1193="","",IF(49&gt;NLoanA,0,SUMIF(CalcDebit,INDEX(PkLoanA,49),CalcAmt)+SUMIF(CalcDebit2,INDEX(PkLoanA,49),CalcAmt2)))</f>
        <v/>
      </c>
      <c r="F1193" s="19">
        <f>IF($B1193="","",IF(49&gt;NLoanA,0,SUMIF(CalcCredit,INDEX(PkLoanA,49),CalcAmt)+SUMIF(CalcCredit2,INDEX(PkLoanA,49),CalcAmt2)))</f>
        <v/>
      </c>
      <c r="G1193" s="20">
        <f>IF($B1193="","",ROUND($E1193-$F1193,0))</f>
        <v/>
      </c>
      <c r="H1193" s="17">
        <f>IF($B1193="","",IF(ROUND($G1193,0)&gt;0,"بدهکار",IF(ROUND($G1193,0)&lt;0,"بستانکار","تسویه")))</f>
        <v/>
      </c>
    </row>
    <row r="1194">
      <c r="A1194" s="11">
        <f>IF($B1194="","",1185)</f>
        <v/>
      </c>
      <c r="B1194" s="12">
        <f>IF(50&gt;NLoanA,"",IFERROR(IF(VLOOKUP(INDEX(PkLoanA,50),AcctTblA,4,0)="","(بدون نام)",VLOOKUP(INDEX(PkLoanA,50),AcctTblA,4,0)),"—"))</f>
        <v/>
      </c>
      <c r="C1194" s="13">
        <f>IF($B1194="","",IF(50&gt;NLoanA,"",INDEX(PkLoanA,50)))</f>
        <v/>
      </c>
      <c r="D1194" s="12">
        <f>IF($B1194="","","l")</f>
        <v/>
      </c>
      <c r="E1194" s="14">
        <f>IF($B1194="","",IF(50&gt;NLoanA,0,SUMIF(CalcDebit,INDEX(PkLoanA,50),CalcAmt)+SUMIF(CalcDebit2,INDEX(PkLoanA,50),CalcAmt2)))</f>
        <v/>
      </c>
      <c r="F1194" s="14">
        <f>IF($B1194="","",IF(50&gt;NLoanA,0,SUMIF(CalcCredit,INDEX(PkLoanA,50),CalcAmt)+SUMIF(CalcCredit2,INDEX(PkLoanA,50),CalcAmt2)))</f>
        <v/>
      </c>
      <c r="G1194" s="15">
        <f>IF($B1194="","",ROUND($E1194-$F1194,0))</f>
        <v/>
      </c>
      <c r="H1194" s="12">
        <f>IF($B1194="","",IF(ROUND($G1194,0)&gt;0,"بدهکار",IF(ROUND($G1194,0)&lt;0,"بستانکار","تسویه")))</f>
        <v/>
      </c>
    </row>
    <row r="1195">
      <c r="A1195" s="16">
        <f>IF($B1195="","",1186)</f>
        <v/>
      </c>
      <c r="B1195" s="17">
        <f>IF(51&gt;NLoanA,"",IFERROR(IF(VLOOKUP(INDEX(PkLoanA,51),AcctTblA,4,0)="","(بدون نام)",VLOOKUP(INDEX(PkLoanA,51),AcctTblA,4,0)),"—"))</f>
        <v/>
      </c>
      <c r="C1195" s="18">
        <f>IF($B1195="","",IF(51&gt;NLoanA,"",INDEX(PkLoanA,51)))</f>
        <v/>
      </c>
      <c r="D1195" s="17">
        <f>IF($B1195="","","l")</f>
        <v/>
      </c>
      <c r="E1195" s="19">
        <f>IF($B1195="","",IF(51&gt;NLoanA,0,SUMIF(CalcDebit,INDEX(PkLoanA,51),CalcAmt)+SUMIF(CalcDebit2,INDEX(PkLoanA,51),CalcAmt2)))</f>
        <v/>
      </c>
      <c r="F1195" s="19">
        <f>IF($B1195="","",IF(51&gt;NLoanA,0,SUMIF(CalcCredit,INDEX(PkLoanA,51),CalcAmt)+SUMIF(CalcCredit2,INDEX(PkLoanA,51),CalcAmt2)))</f>
        <v/>
      </c>
      <c r="G1195" s="20">
        <f>IF($B1195="","",ROUND($E1195-$F1195,0))</f>
        <v/>
      </c>
      <c r="H1195" s="17">
        <f>IF($B1195="","",IF(ROUND($G1195,0)&gt;0,"بدهکار",IF(ROUND($G1195,0)&lt;0,"بستانکار","تسویه")))</f>
        <v/>
      </c>
    </row>
    <row r="1196">
      <c r="A1196" s="11">
        <f>IF($B1196="","",1187)</f>
        <v/>
      </c>
      <c r="B1196" s="12">
        <f>IF(52&gt;NLoanA,"",IFERROR(IF(VLOOKUP(INDEX(PkLoanA,52),AcctTblA,4,0)="","(بدون نام)",VLOOKUP(INDEX(PkLoanA,52),AcctTblA,4,0)),"—"))</f>
        <v/>
      </c>
      <c r="C1196" s="13">
        <f>IF($B1196="","",IF(52&gt;NLoanA,"",INDEX(PkLoanA,52)))</f>
        <v/>
      </c>
      <c r="D1196" s="12">
        <f>IF($B1196="","","l")</f>
        <v/>
      </c>
      <c r="E1196" s="14">
        <f>IF($B1196="","",IF(52&gt;NLoanA,0,SUMIF(CalcDebit,INDEX(PkLoanA,52),CalcAmt)+SUMIF(CalcDebit2,INDEX(PkLoanA,52),CalcAmt2)))</f>
        <v/>
      </c>
      <c r="F1196" s="14">
        <f>IF($B1196="","",IF(52&gt;NLoanA,0,SUMIF(CalcCredit,INDEX(PkLoanA,52),CalcAmt)+SUMIF(CalcCredit2,INDEX(PkLoanA,52),CalcAmt2)))</f>
        <v/>
      </c>
      <c r="G1196" s="15">
        <f>IF($B1196="","",ROUND($E1196-$F1196,0))</f>
        <v/>
      </c>
      <c r="H1196" s="12">
        <f>IF($B1196="","",IF(ROUND($G1196,0)&gt;0,"بدهکار",IF(ROUND($G1196,0)&lt;0,"بستانکار","تسویه")))</f>
        <v/>
      </c>
    </row>
    <row r="1197">
      <c r="A1197" s="16">
        <f>IF($B1197="","",1188)</f>
        <v/>
      </c>
      <c r="B1197" s="17">
        <f>IF(53&gt;NLoanA,"",IFERROR(IF(VLOOKUP(INDEX(PkLoanA,53),AcctTblA,4,0)="","(بدون نام)",VLOOKUP(INDEX(PkLoanA,53),AcctTblA,4,0)),"—"))</f>
        <v/>
      </c>
      <c r="C1197" s="18">
        <f>IF($B1197="","",IF(53&gt;NLoanA,"",INDEX(PkLoanA,53)))</f>
        <v/>
      </c>
      <c r="D1197" s="17">
        <f>IF($B1197="","","l")</f>
        <v/>
      </c>
      <c r="E1197" s="19">
        <f>IF($B1197="","",IF(53&gt;NLoanA,0,SUMIF(CalcDebit,INDEX(PkLoanA,53),CalcAmt)+SUMIF(CalcDebit2,INDEX(PkLoanA,53),CalcAmt2)))</f>
        <v/>
      </c>
      <c r="F1197" s="19">
        <f>IF($B1197="","",IF(53&gt;NLoanA,0,SUMIF(CalcCredit,INDEX(PkLoanA,53),CalcAmt)+SUMIF(CalcCredit2,INDEX(PkLoanA,53),CalcAmt2)))</f>
        <v/>
      </c>
      <c r="G1197" s="20">
        <f>IF($B1197="","",ROUND($E1197-$F1197,0))</f>
        <v/>
      </c>
      <c r="H1197" s="17">
        <f>IF($B1197="","",IF(ROUND($G1197,0)&gt;0,"بدهکار",IF(ROUND($G1197,0)&lt;0,"بستانکار","تسویه")))</f>
        <v/>
      </c>
    </row>
    <row r="1198">
      <c r="A1198" s="11">
        <f>IF($B1198="","",1189)</f>
        <v/>
      </c>
      <c r="B1198" s="12">
        <f>IF(54&gt;NLoanA,"",IFERROR(IF(VLOOKUP(INDEX(PkLoanA,54),AcctTblA,4,0)="","(بدون نام)",VLOOKUP(INDEX(PkLoanA,54),AcctTblA,4,0)),"—"))</f>
        <v/>
      </c>
      <c r="C1198" s="13">
        <f>IF($B1198="","",IF(54&gt;NLoanA,"",INDEX(PkLoanA,54)))</f>
        <v/>
      </c>
      <c r="D1198" s="12">
        <f>IF($B1198="","","l")</f>
        <v/>
      </c>
      <c r="E1198" s="14">
        <f>IF($B1198="","",IF(54&gt;NLoanA,0,SUMIF(CalcDebit,INDEX(PkLoanA,54),CalcAmt)+SUMIF(CalcDebit2,INDEX(PkLoanA,54),CalcAmt2)))</f>
        <v/>
      </c>
      <c r="F1198" s="14">
        <f>IF($B1198="","",IF(54&gt;NLoanA,0,SUMIF(CalcCredit,INDEX(PkLoanA,54),CalcAmt)+SUMIF(CalcCredit2,INDEX(PkLoanA,54),CalcAmt2)))</f>
        <v/>
      </c>
      <c r="G1198" s="15">
        <f>IF($B1198="","",ROUND($E1198-$F1198,0))</f>
        <v/>
      </c>
      <c r="H1198" s="12">
        <f>IF($B1198="","",IF(ROUND($G1198,0)&gt;0,"بدهکار",IF(ROUND($G1198,0)&lt;0,"بستانکار","تسویه")))</f>
        <v/>
      </c>
    </row>
    <row r="1199">
      <c r="A1199" s="16">
        <f>IF($B1199="","",1190)</f>
        <v/>
      </c>
      <c r="B1199" s="17">
        <f>IF(55&gt;NLoanA,"",IFERROR(IF(VLOOKUP(INDEX(PkLoanA,55),AcctTblA,4,0)="","(بدون نام)",VLOOKUP(INDEX(PkLoanA,55),AcctTblA,4,0)),"—"))</f>
        <v/>
      </c>
      <c r="C1199" s="18">
        <f>IF($B1199="","",IF(55&gt;NLoanA,"",INDEX(PkLoanA,55)))</f>
        <v/>
      </c>
      <c r="D1199" s="17">
        <f>IF($B1199="","","l")</f>
        <v/>
      </c>
      <c r="E1199" s="19">
        <f>IF($B1199="","",IF(55&gt;NLoanA,0,SUMIF(CalcDebit,INDEX(PkLoanA,55),CalcAmt)+SUMIF(CalcDebit2,INDEX(PkLoanA,55),CalcAmt2)))</f>
        <v/>
      </c>
      <c r="F1199" s="19">
        <f>IF($B1199="","",IF(55&gt;NLoanA,0,SUMIF(CalcCredit,INDEX(PkLoanA,55),CalcAmt)+SUMIF(CalcCredit2,INDEX(PkLoanA,55),CalcAmt2)))</f>
        <v/>
      </c>
      <c r="G1199" s="20">
        <f>IF($B1199="","",ROUND($E1199-$F1199,0))</f>
        <v/>
      </c>
      <c r="H1199" s="17">
        <f>IF($B1199="","",IF(ROUND($G1199,0)&gt;0,"بدهکار",IF(ROUND($G1199,0)&lt;0,"بستانکار","تسویه")))</f>
        <v/>
      </c>
    </row>
    <row r="1200">
      <c r="A1200" s="11">
        <f>IF($B1200="","",1191)</f>
        <v/>
      </c>
      <c r="B1200" s="12">
        <f>IF(56&gt;NLoanA,"",IFERROR(IF(VLOOKUP(INDEX(PkLoanA,56),AcctTblA,4,0)="","(بدون نام)",VLOOKUP(INDEX(PkLoanA,56),AcctTblA,4,0)),"—"))</f>
        <v/>
      </c>
      <c r="C1200" s="13">
        <f>IF($B1200="","",IF(56&gt;NLoanA,"",INDEX(PkLoanA,56)))</f>
        <v/>
      </c>
      <c r="D1200" s="12">
        <f>IF($B1200="","","l")</f>
        <v/>
      </c>
      <c r="E1200" s="14">
        <f>IF($B1200="","",IF(56&gt;NLoanA,0,SUMIF(CalcDebit,INDEX(PkLoanA,56),CalcAmt)+SUMIF(CalcDebit2,INDEX(PkLoanA,56),CalcAmt2)))</f>
        <v/>
      </c>
      <c r="F1200" s="14">
        <f>IF($B1200="","",IF(56&gt;NLoanA,0,SUMIF(CalcCredit,INDEX(PkLoanA,56),CalcAmt)+SUMIF(CalcCredit2,INDEX(PkLoanA,56),CalcAmt2)))</f>
        <v/>
      </c>
      <c r="G1200" s="15">
        <f>IF($B1200="","",ROUND($E1200-$F1200,0))</f>
        <v/>
      </c>
      <c r="H1200" s="12">
        <f>IF($B1200="","",IF(ROUND($G1200,0)&gt;0,"بدهکار",IF(ROUND($G1200,0)&lt;0,"بستانکار","تسویه")))</f>
        <v/>
      </c>
    </row>
    <row r="1201">
      <c r="A1201" s="16">
        <f>IF($B1201="","",1192)</f>
        <v/>
      </c>
      <c r="B1201" s="17">
        <f>IF(57&gt;NLoanA,"",IFERROR(IF(VLOOKUP(INDEX(PkLoanA,57),AcctTblA,4,0)="","(بدون نام)",VLOOKUP(INDEX(PkLoanA,57),AcctTblA,4,0)),"—"))</f>
        <v/>
      </c>
      <c r="C1201" s="18">
        <f>IF($B1201="","",IF(57&gt;NLoanA,"",INDEX(PkLoanA,57)))</f>
        <v/>
      </c>
      <c r="D1201" s="17">
        <f>IF($B1201="","","l")</f>
        <v/>
      </c>
      <c r="E1201" s="19">
        <f>IF($B1201="","",IF(57&gt;NLoanA,0,SUMIF(CalcDebit,INDEX(PkLoanA,57),CalcAmt)+SUMIF(CalcDebit2,INDEX(PkLoanA,57),CalcAmt2)))</f>
        <v/>
      </c>
      <c r="F1201" s="19">
        <f>IF($B1201="","",IF(57&gt;NLoanA,0,SUMIF(CalcCredit,INDEX(PkLoanA,57),CalcAmt)+SUMIF(CalcCredit2,INDEX(PkLoanA,57),CalcAmt2)))</f>
        <v/>
      </c>
      <c r="G1201" s="20">
        <f>IF($B1201="","",ROUND($E1201-$F1201,0))</f>
        <v/>
      </c>
      <c r="H1201" s="17">
        <f>IF($B1201="","",IF(ROUND($G1201,0)&gt;0,"بدهکار",IF(ROUND($G1201,0)&lt;0,"بستانکار","تسویه")))</f>
        <v/>
      </c>
    </row>
    <row r="1202">
      <c r="A1202" s="11">
        <f>IF($B1202="","",1193)</f>
        <v/>
      </c>
      <c r="B1202" s="12">
        <f>IF(58&gt;NLoanA,"",IFERROR(IF(VLOOKUP(INDEX(PkLoanA,58),AcctTblA,4,0)="","(بدون نام)",VLOOKUP(INDEX(PkLoanA,58),AcctTblA,4,0)),"—"))</f>
        <v/>
      </c>
      <c r="C1202" s="13">
        <f>IF($B1202="","",IF(58&gt;NLoanA,"",INDEX(PkLoanA,58)))</f>
        <v/>
      </c>
      <c r="D1202" s="12">
        <f>IF($B1202="","","l")</f>
        <v/>
      </c>
      <c r="E1202" s="14">
        <f>IF($B1202="","",IF(58&gt;NLoanA,0,SUMIF(CalcDebit,INDEX(PkLoanA,58),CalcAmt)+SUMIF(CalcDebit2,INDEX(PkLoanA,58),CalcAmt2)))</f>
        <v/>
      </c>
      <c r="F1202" s="14">
        <f>IF($B1202="","",IF(58&gt;NLoanA,0,SUMIF(CalcCredit,INDEX(PkLoanA,58),CalcAmt)+SUMIF(CalcCredit2,INDEX(PkLoanA,58),CalcAmt2)))</f>
        <v/>
      </c>
      <c r="G1202" s="15">
        <f>IF($B1202="","",ROUND($E1202-$F1202,0))</f>
        <v/>
      </c>
      <c r="H1202" s="12">
        <f>IF($B1202="","",IF(ROUND($G1202,0)&gt;0,"بدهکار",IF(ROUND($G1202,0)&lt;0,"بستانکار","تسویه")))</f>
        <v/>
      </c>
    </row>
    <row r="1203">
      <c r="A1203" s="16">
        <f>IF($B1203="","",1194)</f>
        <v/>
      </c>
      <c r="B1203" s="17">
        <f>IF(59&gt;NLoanA,"",IFERROR(IF(VLOOKUP(INDEX(PkLoanA,59),AcctTblA,4,0)="","(بدون نام)",VLOOKUP(INDEX(PkLoanA,59),AcctTblA,4,0)),"—"))</f>
        <v/>
      </c>
      <c r="C1203" s="18">
        <f>IF($B1203="","",IF(59&gt;NLoanA,"",INDEX(PkLoanA,59)))</f>
        <v/>
      </c>
      <c r="D1203" s="17">
        <f>IF($B1203="","","l")</f>
        <v/>
      </c>
      <c r="E1203" s="19">
        <f>IF($B1203="","",IF(59&gt;NLoanA,0,SUMIF(CalcDebit,INDEX(PkLoanA,59),CalcAmt)+SUMIF(CalcDebit2,INDEX(PkLoanA,59),CalcAmt2)))</f>
        <v/>
      </c>
      <c r="F1203" s="19">
        <f>IF($B1203="","",IF(59&gt;NLoanA,0,SUMIF(CalcCredit,INDEX(PkLoanA,59),CalcAmt)+SUMIF(CalcCredit2,INDEX(PkLoanA,59),CalcAmt2)))</f>
        <v/>
      </c>
      <c r="G1203" s="20">
        <f>IF($B1203="","",ROUND($E1203-$F1203,0))</f>
        <v/>
      </c>
      <c r="H1203" s="17">
        <f>IF($B1203="","",IF(ROUND($G1203,0)&gt;0,"بدهکار",IF(ROUND($G1203,0)&lt;0,"بستانکار","تسویه")))</f>
        <v/>
      </c>
    </row>
    <row r="1204">
      <c r="A1204" s="11">
        <f>IF($B1204="","",1195)</f>
        <v/>
      </c>
      <c r="B1204" s="12">
        <f>IF(60&gt;NLoanA,"",IFERROR(IF(VLOOKUP(INDEX(PkLoanA,60),AcctTblA,4,0)="","(بدون نام)",VLOOKUP(INDEX(PkLoanA,60),AcctTblA,4,0)),"—"))</f>
        <v/>
      </c>
      <c r="C1204" s="13">
        <f>IF($B1204="","",IF(60&gt;NLoanA,"",INDEX(PkLoanA,60)))</f>
        <v/>
      </c>
      <c r="D1204" s="12">
        <f>IF($B1204="","","l")</f>
        <v/>
      </c>
      <c r="E1204" s="14">
        <f>IF($B1204="","",IF(60&gt;NLoanA,0,SUMIF(CalcDebit,INDEX(PkLoanA,60),CalcAmt)+SUMIF(CalcDebit2,INDEX(PkLoanA,60),CalcAmt2)))</f>
        <v/>
      </c>
      <c r="F1204" s="14">
        <f>IF($B1204="","",IF(60&gt;NLoanA,0,SUMIF(CalcCredit,INDEX(PkLoanA,60),CalcAmt)+SUMIF(CalcCredit2,INDEX(PkLoanA,60),CalcAmt2)))</f>
        <v/>
      </c>
      <c r="G1204" s="15">
        <f>IF($B1204="","",ROUND($E1204-$F1204,0))</f>
        <v/>
      </c>
      <c r="H1204" s="12">
        <f>IF($B1204="","",IF(ROUND($G1204,0)&gt;0,"بدهکار",IF(ROUND($G1204,0)&lt;0,"بستانکار","تسویه")))</f>
        <v/>
      </c>
    </row>
    <row r="1205">
      <c r="A1205" s="16">
        <f>IF($B1205="","",1196)</f>
        <v/>
      </c>
      <c r="B1205" s="17">
        <f>IF(61&gt;NLoanA,"",IFERROR(IF(VLOOKUP(INDEX(PkLoanA,61),AcctTblA,4,0)="","(بدون نام)",VLOOKUP(INDEX(PkLoanA,61),AcctTblA,4,0)),"—"))</f>
        <v/>
      </c>
      <c r="C1205" s="18">
        <f>IF($B1205="","",IF(61&gt;NLoanA,"",INDEX(PkLoanA,61)))</f>
        <v/>
      </c>
      <c r="D1205" s="17">
        <f>IF($B1205="","","l")</f>
        <v/>
      </c>
      <c r="E1205" s="19">
        <f>IF($B1205="","",IF(61&gt;NLoanA,0,SUMIF(CalcDebit,INDEX(PkLoanA,61),CalcAmt)+SUMIF(CalcDebit2,INDEX(PkLoanA,61),CalcAmt2)))</f>
        <v/>
      </c>
      <c r="F1205" s="19">
        <f>IF($B1205="","",IF(61&gt;NLoanA,0,SUMIF(CalcCredit,INDEX(PkLoanA,61),CalcAmt)+SUMIF(CalcCredit2,INDEX(PkLoanA,61),CalcAmt2)))</f>
        <v/>
      </c>
      <c r="G1205" s="20">
        <f>IF($B1205="","",ROUND($E1205-$F1205,0))</f>
        <v/>
      </c>
      <c r="H1205" s="17">
        <f>IF($B1205="","",IF(ROUND($G1205,0)&gt;0,"بدهکار",IF(ROUND($G1205,0)&lt;0,"بستانکار","تسویه")))</f>
        <v/>
      </c>
    </row>
    <row r="1206">
      <c r="A1206" s="11">
        <f>IF($B1206="","",1197)</f>
        <v/>
      </c>
      <c r="B1206" s="12">
        <f>IF(62&gt;NLoanA,"",IFERROR(IF(VLOOKUP(INDEX(PkLoanA,62),AcctTblA,4,0)="","(بدون نام)",VLOOKUP(INDEX(PkLoanA,62),AcctTblA,4,0)),"—"))</f>
        <v/>
      </c>
      <c r="C1206" s="13">
        <f>IF($B1206="","",IF(62&gt;NLoanA,"",INDEX(PkLoanA,62)))</f>
        <v/>
      </c>
      <c r="D1206" s="12">
        <f>IF($B1206="","","l")</f>
        <v/>
      </c>
      <c r="E1206" s="14">
        <f>IF($B1206="","",IF(62&gt;NLoanA,0,SUMIF(CalcDebit,INDEX(PkLoanA,62),CalcAmt)+SUMIF(CalcDebit2,INDEX(PkLoanA,62),CalcAmt2)))</f>
        <v/>
      </c>
      <c r="F1206" s="14">
        <f>IF($B1206="","",IF(62&gt;NLoanA,0,SUMIF(CalcCredit,INDEX(PkLoanA,62),CalcAmt)+SUMIF(CalcCredit2,INDEX(PkLoanA,62),CalcAmt2)))</f>
        <v/>
      </c>
      <c r="G1206" s="15">
        <f>IF($B1206="","",ROUND($E1206-$F1206,0))</f>
        <v/>
      </c>
      <c r="H1206" s="12">
        <f>IF($B1206="","",IF(ROUND($G1206,0)&gt;0,"بدهکار",IF(ROUND($G1206,0)&lt;0,"بستانکار","تسویه")))</f>
        <v/>
      </c>
    </row>
    <row r="1207">
      <c r="A1207" s="16">
        <f>IF($B1207="","",1198)</f>
        <v/>
      </c>
      <c r="B1207" s="17">
        <f>IF(63&gt;NLoanA,"",IFERROR(IF(VLOOKUP(INDEX(PkLoanA,63),AcctTblA,4,0)="","(بدون نام)",VLOOKUP(INDEX(PkLoanA,63),AcctTblA,4,0)),"—"))</f>
        <v/>
      </c>
      <c r="C1207" s="18">
        <f>IF($B1207="","",IF(63&gt;NLoanA,"",INDEX(PkLoanA,63)))</f>
        <v/>
      </c>
      <c r="D1207" s="17">
        <f>IF($B1207="","","l")</f>
        <v/>
      </c>
      <c r="E1207" s="19">
        <f>IF($B1207="","",IF(63&gt;NLoanA,0,SUMIF(CalcDebit,INDEX(PkLoanA,63),CalcAmt)+SUMIF(CalcDebit2,INDEX(PkLoanA,63),CalcAmt2)))</f>
        <v/>
      </c>
      <c r="F1207" s="19">
        <f>IF($B1207="","",IF(63&gt;NLoanA,0,SUMIF(CalcCredit,INDEX(PkLoanA,63),CalcAmt)+SUMIF(CalcCredit2,INDEX(PkLoanA,63),CalcAmt2)))</f>
        <v/>
      </c>
      <c r="G1207" s="20">
        <f>IF($B1207="","",ROUND($E1207-$F1207,0))</f>
        <v/>
      </c>
      <c r="H1207" s="17">
        <f>IF($B1207="","",IF(ROUND($G1207,0)&gt;0,"بدهکار",IF(ROUND($G1207,0)&lt;0,"بستانکار","تسویه")))</f>
        <v/>
      </c>
    </row>
    <row r="1208">
      <c r="A1208" s="11">
        <f>IF($B1208="","",1199)</f>
        <v/>
      </c>
      <c r="B1208" s="12">
        <f>IF(64&gt;NLoanA,"",IFERROR(IF(VLOOKUP(INDEX(PkLoanA,64),AcctTblA,4,0)="","(بدون نام)",VLOOKUP(INDEX(PkLoanA,64),AcctTblA,4,0)),"—"))</f>
        <v/>
      </c>
      <c r="C1208" s="13">
        <f>IF($B1208="","",IF(64&gt;NLoanA,"",INDEX(PkLoanA,64)))</f>
        <v/>
      </c>
      <c r="D1208" s="12">
        <f>IF($B1208="","","l")</f>
        <v/>
      </c>
      <c r="E1208" s="14">
        <f>IF($B1208="","",IF(64&gt;NLoanA,0,SUMIF(CalcDebit,INDEX(PkLoanA,64),CalcAmt)+SUMIF(CalcDebit2,INDEX(PkLoanA,64),CalcAmt2)))</f>
        <v/>
      </c>
      <c r="F1208" s="14">
        <f>IF($B1208="","",IF(64&gt;NLoanA,0,SUMIF(CalcCredit,INDEX(PkLoanA,64),CalcAmt)+SUMIF(CalcCredit2,INDEX(PkLoanA,64),CalcAmt2)))</f>
        <v/>
      </c>
      <c r="G1208" s="15">
        <f>IF($B1208="","",ROUND($E1208-$F1208,0))</f>
        <v/>
      </c>
      <c r="H1208" s="12">
        <f>IF($B1208="","",IF(ROUND($G1208,0)&gt;0,"بدهکار",IF(ROUND($G1208,0)&lt;0,"بستانکار","تسویه")))</f>
        <v/>
      </c>
    </row>
    <row r="1209">
      <c r="A1209" s="16">
        <f>IF($B1209="","",1200)</f>
        <v/>
      </c>
      <c r="B1209" s="17">
        <f>IF(65&gt;NLoanA,"",IFERROR(IF(VLOOKUP(INDEX(PkLoanA,65),AcctTblA,4,0)="","(بدون نام)",VLOOKUP(INDEX(PkLoanA,65),AcctTblA,4,0)),"—"))</f>
        <v/>
      </c>
      <c r="C1209" s="18">
        <f>IF($B1209="","",IF(65&gt;NLoanA,"",INDEX(PkLoanA,65)))</f>
        <v/>
      </c>
      <c r="D1209" s="17">
        <f>IF($B1209="","","l")</f>
        <v/>
      </c>
      <c r="E1209" s="19">
        <f>IF($B1209="","",IF(65&gt;NLoanA,0,SUMIF(CalcDebit,INDEX(PkLoanA,65),CalcAmt)+SUMIF(CalcDebit2,INDEX(PkLoanA,65),CalcAmt2)))</f>
        <v/>
      </c>
      <c r="F1209" s="19">
        <f>IF($B1209="","",IF(65&gt;NLoanA,0,SUMIF(CalcCredit,INDEX(PkLoanA,65),CalcAmt)+SUMIF(CalcCredit2,INDEX(PkLoanA,65),CalcAmt2)))</f>
        <v/>
      </c>
      <c r="G1209" s="20">
        <f>IF($B1209="","",ROUND($E1209-$F1209,0))</f>
        <v/>
      </c>
      <c r="H1209" s="17">
        <f>IF($B1209="","",IF(ROUND($G1209,0)&gt;0,"بدهکار",IF(ROUND($G1209,0)&lt;0,"بستانکار","تسویه")))</f>
        <v/>
      </c>
    </row>
    <row r="1210">
      <c r="A1210" s="11">
        <f>IF($B1210="","",1201)</f>
        <v/>
      </c>
      <c r="B1210" s="12">
        <f>IF(66&gt;NLoanA,"",IFERROR(IF(VLOOKUP(INDEX(PkLoanA,66),AcctTblA,4,0)="","(بدون نام)",VLOOKUP(INDEX(PkLoanA,66),AcctTblA,4,0)),"—"))</f>
        <v/>
      </c>
      <c r="C1210" s="13">
        <f>IF($B1210="","",IF(66&gt;NLoanA,"",INDEX(PkLoanA,66)))</f>
        <v/>
      </c>
      <c r="D1210" s="12">
        <f>IF($B1210="","","l")</f>
        <v/>
      </c>
      <c r="E1210" s="14">
        <f>IF($B1210="","",IF(66&gt;NLoanA,0,SUMIF(CalcDebit,INDEX(PkLoanA,66),CalcAmt)+SUMIF(CalcDebit2,INDEX(PkLoanA,66),CalcAmt2)))</f>
        <v/>
      </c>
      <c r="F1210" s="14">
        <f>IF($B1210="","",IF(66&gt;NLoanA,0,SUMIF(CalcCredit,INDEX(PkLoanA,66),CalcAmt)+SUMIF(CalcCredit2,INDEX(PkLoanA,66),CalcAmt2)))</f>
        <v/>
      </c>
      <c r="G1210" s="15">
        <f>IF($B1210="","",ROUND($E1210-$F1210,0))</f>
        <v/>
      </c>
      <c r="H1210" s="12">
        <f>IF($B1210="","",IF(ROUND($G1210,0)&gt;0,"بدهکار",IF(ROUND($G1210,0)&lt;0,"بستانکار","تسویه")))</f>
        <v/>
      </c>
    </row>
    <row r="1211">
      <c r="A1211" s="16">
        <f>IF($B1211="","",1202)</f>
        <v/>
      </c>
      <c r="B1211" s="17">
        <f>IF(67&gt;NLoanA,"",IFERROR(IF(VLOOKUP(INDEX(PkLoanA,67),AcctTblA,4,0)="","(بدون نام)",VLOOKUP(INDEX(PkLoanA,67),AcctTblA,4,0)),"—"))</f>
        <v/>
      </c>
      <c r="C1211" s="18">
        <f>IF($B1211="","",IF(67&gt;NLoanA,"",INDEX(PkLoanA,67)))</f>
        <v/>
      </c>
      <c r="D1211" s="17">
        <f>IF($B1211="","","l")</f>
        <v/>
      </c>
      <c r="E1211" s="19">
        <f>IF($B1211="","",IF(67&gt;NLoanA,0,SUMIF(CalcDebit,INDEX(PkLoanA,67),CalcAmt)+SUMIF(CalcDebit2,INDEX(PkLoanA,67),CalcAmt2)))</f>
        <v/>
      </c>
      <c r="F1211" s="19">
        <f>IF($B1211="","",IF(67&gt;NLoanA,0,SUMIF(CalcCredit,INDEX(PkLoanA,67),CalcAmt)+SUMIF(CalcCredit2,INDEX(PkLoanA,67),CalcAmt2)))</f>
        <v/>
      </c>
      <c r="G1211" s="20">
        <f>IF($B1211="","",ROUND($E1211-$F1211,0))</f>
        <v/>
      </c>
      <c r="H1211" s="17">
        <f>IF($B1211="","",IF(ROUND($G1211,0)&gt;0,"بدهکار",IF(ROUND($G1211,0)&lt;0,"بستانکار","تسویه")))</f>
        <v/>
      </c>
    </row>
    <row r="1212">
      <c r="A1212" s="11">
        <f>IF($B1212="","",1203)</f>
        <v/>
      </c>
      <c r="B1212" s="12">
        <f>IF(68&gt;NLoanA,"",IFERROR(IF(VLOOKUP(INDEX(PkLoanA,68),AcctTblA,4,0)="","(بدون نام)",VLOOKUP(INDEX(PkLoanA,68),AcctTblA,4,0)),"—"))</f>
        <v/>
      </c>
      <c r="C1212" s="13">
        <f>IF($B1212="","",IF(68&gt;NLoanA,"",INDEX(PkLoanA,68)))</f>
        <v/>
      </c>
      <c r="D1212" s="12">
        <f>IF($B1212="","","l")</f>
        <v/>
      </c>
      <c r="E1212" s="14">
        <f>IF($B1212="","",IF(68&gt;NLoanA,0,SUMIF(CalcDebit,INDEX(PkLoanA,68),CalcAmt)+SUMIF(CalcDebit2,INDEX(PkLoanA,68),CalcAmt2)))</f>
        <v/>
      </c>
      <c r="F1212" s="14">
        <f>IF($B1212="","",IF(68&gt;NLoanA,0,SUMIF(CalcCredit,INDEX(PkLoanA,68),CalcAmt)+SUMIF(CalcCredit2,INDEX(PkLoanA,68),CalcAmt2)))</f>
        <v/>
      </c>
      <c r="G1212" s="15">
        <f>IF($B1212="","",ROUND($E1212-$F1212,0))</f>
        <v/>
      </c>
      <c r="H1212" s="12">
        <f>IF($B1212="","",IF(ROUND($G1212,0)&gt;0,"بدهکار",IF(ROUND($G1212,0)&lt;0,"بستانکار","تسویه")))</f>
        <v/>
      </c>
    </row>
    <row r="1213">
      <c r="A1213" s="16">
        <f>IF($B1213="","",1204)</f>
        <v/>
      </c>
      <c r="B1213" s="17">
        <f>IF(69&gt;NLoanA,"",IFERROR(IF(VLOOKUP(INDEX(PkLoanA,69),AcctTblA,4,0)="","(بدون نام)",VLOOKUP(INDEX(PkLoanA,69),AcctTblA,4,0)),"—"))</f>
        <v/>
      </c>
      <c r="C1213" s="18">
        <f>IF($B1213="","",IF(69&gt;NLoanA,"",INDEX(PkLoanA,69)))</f>
        <v/>
      </c>
      <c r="D1213" s="17">
        <f>IF($B1213="","","l")</f>
        <v/>
      </c>
      <c r="E1213" s="19">
        <f>IF($B1213="","",IF(69&gt;NLoanA,0,SUMIF(CalcDebit,INDEX(PkLoanA,69),CalcAmt)+SUMIF(CalcDebit2,INDEX(PkLoanA,69),CalcAmt2)))</f>
        <v/>
      </c>
      <c r="F1213" s="19">
        <f>IF($B1213="","",IF(69&gt;NLoanA,0,SUMIF(CalcCredit,INDEX(PkLoanA,69),CalcAmt)+SUMIF(CalcCredit2,INDEX(PkLoanA,69),CalcAmt2)))</f>
        <v/>
      </c>
      <c r="G1213" s="20">
        <f>IF($B1213="","",ROUND($E1213-$F1213,0))</f>
        <v/>
      </c>
      <c r="H1213" s="17">
        <f>IF($B1213="","",IF(ROUND($G1213,0)&gt;0,"بدهکار",IF(ROUND($G1213,0)&lt;0,"بستانکار","تسویه")))</f>
        <v/>
      </c>
    </row>
    <row r="1214">
      <c r="A1214" s="11">
        <f>IF($B1214="","",1205)</f>
        <v/>
      </c>
      <c r="B1214" s="12">
        <f>IF(70&gt;NLoanA,"",IFERROR(IF(VLOOKUP(INDEX(PkLoanA,70),AcctTblA,4,0)="","(بدون نام)",VLOOKUP(INDEX(PkLoanA,70),AcctTblA,4,0)),"—"))</f>
        <v/>
      </c>
      <c r="C1214" s="13">
        <f>IF($B1214="","",IF(70&gt;NLoanA,"",INDEX(PkLoanA,70)))</f>
        <v/>
      </c>
      <c r="D1214" s="12">
        <f>IF($B1214="","","l")</f>
        <v/>
      </c>
      <c r="E1214" s="14">
        <f>IF($B1214="","",IF(70&gt;NLoanA,0,SUMIF(CalcDebit,INDEX(PkLoanA,70),CalcAmt)+SUMIF(CalcDebit2,INDEX(PkLoanA,70),CalcAmt2)))</f>
        <v/>
      </c>
      <c r="F1214" s="14">
        <f>IF($B1214="","",IF(70&gt;NLoanA,0,SUMIF(CalcCredit,INDEX(PkLoanA,70),CalcAmt)+SUMIF(CalcCredit2,INDEX(PkLoanA,70),CalcAmt2)))</f>
        <v/>
      </c>
      <c r="G1214" s="15">
        <f>IF($B1214="","",ROUND($E1214-$F1214,0))</f>
        <v/>
      </c>
      <c r="H1214" s="12">
        <f>IF($B1214="","",IF(ROUND($G1214,0)&gt;0,"بدهکار",IF(ROUND($G1214,0)&lt;0,"بستانکار","تسویه")))</f>
        <v/>
      </c>
    </row>
    <row r="1215">
      <c r="A1215" s="16">
        <f>IF($B1215="","",1206)</f>
        <v/>
      </c>
      <c r="B1215" s="17">
        <f>IF(71&gt;NLoanA,"",IFERROR(IF(VLOOKUP(INDEX(PkLoanA,71),AcctTblA,4,0)="","(بدون نام)",VLOOKUP(INDEX(PkLoanA,71),AcctTblA,4,0)),"—"))</f>
        <v/>
      </c>
      <c r="C1215" s="18">
        <f>IF($B1215="","",IF(71&gt;NLoanA,"",INDEX(PkLoanA,71)))</f>
        <v/>
      </c>
      <c r="D1215" s="17">
        <f>IF($B1215="","","l")</f>
        <v/>
      </c>
      <c r="E1215" s="19">
        <f>IF($B1215="","",IF(71&gt;NLoanA,0,SUMIF(CalcDebit,INDEX(PkLoanA,71),CalcAmt)+SUMIF(CalcDebit2,INDEX(PkLoanA,71),CalcAmt2)))</f>
        <v/>
      </c>
      <c r="F1215" s="19">
        <f>IF($B1215="","",IF(71&gt;NLoanA,0,SUMIF(CalcCredit,INDEX(PkLoanA,71),CalcAmt)+SUMIF(CalcCredit2,INDEX(PkLoanA,71),CalcAmt2)))</f>
        <v/>
      </c>
      <c r="G1215" s="20">
        <f>IF($B1215="","",ROUND($E1215-$F1215,0))</f>
        <v/>
      </c>
      <c r="H1215" s="17">
        <f>IF($B1215="","",IF(ROUND($G1215,0)&gt;0,"بدهکار",IF(ROUND($G1215,0)&lt;0,"بستانکار","تسویه")))</f>
        <v/>
      </c>
    </row>
    <row r="1216">
      <c r="A1216" s="11">
        <f>IF($B1216="","",1207)</f>
        <v/>
      </c>
      <c r="B1216" s="12">
        <f>IF(72&gt;NLoanA,"",IFERROR(IF(VLOOKUP(INDEX(PkLoanA,72),AcctTblA,4,0)="","(بدون نام)",VLOOKUP(INDEX(PkLoanA,72),AcctTblA,4,0)),"—"))</f>
        <v/>
      </c>
      <c r="C1216" s="13">
        <f>IF($B1216="","",IF(72&gt;NLoanA,"",INDEX(PkLoanA,72)))</f>
        <v/>
      </c>
      <c r="D1216" s="12">
        <f>IF($B1216="","","l")</f>
        <v/>
      </c>
      <c r="E1216" s="14">
        <f>IF($B1216="","",IF(72&gt;NLoanA,0,SUMIF(CalcDebit,INDEX(PkLoanA,72),CalcAmt)+SUMIF(CalcDebit2,INDEX(PkLoanA,72),CalcAmt2)))</f>
        <v/>
      </c>
      <c r="F1216" s="14">
        <f>IF($B1216="","",IF(72&gt;NLoanA,0,SUMIF(CalcCredit,INDEX(PkLoanA,72),CalcAmt)+SUMIF(CalcCredit2,INDEX(PkLoanA,72),CalcAmt2)))</f>
        <v/>
      </c>
      <c r="G1216" s="15">
        <f>IF($B1216="","",ROUND($E1216-$F1216,0))</f>
        <v/>
      </c>
      <c r="H1216" s="12">
        <f>IF($B1216="","",IF(ROUND($G1216,0)&gt;0,"بدهکار",IF(ROUND($G1216,0)&lt;0,"بستانکار","تسویه")))</f>
        <v/>
      </c>
    </row>
    <row r="1217">
      <c r="A1217" s="16">
        <f>IF($B1217="","",1208)</f>
        <v/>
      </c>
      <c r="B1217" s="17">
        <f>IF(73&gt;NLoanA,"",IFERROR(IF(VLOOKUP(INDEX(PkLoanA,73),AcctTblA,4,0)="","(بدون نام)",VLOOKUP(INDEX(PkLoanA,73),AcctTblA,4,0)),"—"))</f>
        <v/>
      </c>
      <c r="C1217" s="18">
        <f>IF($B1217="","",IF(73&gt;NLoanA,"",INDEX(PkLoanA,73)))</f>
        <v/>
      </c>
      <c r="D1217" s="17">
        <f>IF($B1217="","","l")</f>
        <v/>
      </c>
      <c r="E1217" s="19">
        <f>IF($B1217="","",IF(73&gt;NLoanA,0,SUMIF(CalcDebit,INDEX(PkLoanA,73),CalcAmt)+SUMIF(CalcDebit2,INDEX(PkLoanA,73),CalcAmt2)))</f>
        <v/>
      </c>
      <c r="F1217" s="19">
        <f>IF($B1217="","",IF(73&gt;NLoanA,0,SUMIF(CalcCredit,INDEX(PkLoanA,73),CalcAmt)+SUMIF(CalcCredit2,INDEX(PkLoanA,73),CalcAmt2)))</f>
        <v/>
      </c>
      <c r="G1217" s="20">
        <f>IF($B1217="","",ROUND($E1217-$F1217,0))</f>
        <v/>
      </c>
      <c r="H1217" s="17">
        <f>IF($B1217="","",IF(ROUND($G1217,0)&gt;0,"بدهکار",IF(ROUND($G1217,0)&lt;0,"بستانکار","تسویه")))</f>
        <v/>
      </c>
    </row>
    <row r="1218">
      <c r="A1218" s="11">
        <f>IF($B1218="","",1209)</f>
        <v/>
      </c>
      <c r="B1218" s="12">
        <f>IF(74&gt;NLoanA,"",IFERROR(IF(VLOOKUP(INDEX(PkLoanA,74),AcctTblA,4,0)="","(بدون نام)",VLOOKUP(INDEX(PkLoanA,74),AcctTblA,4,0)),"—"))</f>
        <v/>
      </c>
      <c r="C1218" s="13">
        <f>IF($B1218="","",IF(74&gt;NLoanA,"",INDEX(PkLoanA,74)))</f>
        <v/>
      </c>
      <c r="D1218" s="12">
        <f>IF($B1218="","","l")</f>
        <v/>
      </c>
      <c r="E1218" s="14">
        <f>IF($B1218="","",IF(74&gt;NLoanA,0,SUMIF(CalcDebit,INDEX(PkLoanA,74),CalcAmt)+SUMIF(CalcDebit2,INDEX(PkLoanA,74),CalcAmt2)))</f>
        <v/>
      </c>
      <c r="F1218" s="14">
        <f>IF($B1218="","",IF(74&gt;NLoanA,0,SUMIF(CalcCredit,INDEX(PkLoanA,74),CalcAmt)+SUMIF(CalcCredit2,INDEX(PkLoanA,74),CalcAmt2)))</f>
        <v/>
      </c>
      <c r="G1218" s="15">
        <f>IF($B1218="","",ROUND($E1218-$F1218,0))</f>
        <v/>
      </c>
      <c r="H1218" s="12">
        <f>IF($B1218="","",IF(ROUND($G1218,0)&gt;0,"بدهکار",IF(ROUND($G1218,0)&lt;0,"بستانکار","تسویه")))</f>
        <v/>
      </c>
    </row>
    <row r="1219">
      <c r="A1219" s="16">
        <f>IF($B1219="","",1210)</f>
        <v/>
      </c>
      <c r="B1219" s="17">
        <f>IF(75&gt;NLoanA,"",IFERROR(IF(VLOOKUP(INDEX(PkLoanA,75),AcctTblA,4,0)="","(بدون نام)",VLOOKUP(INDEX(PkLoanA,75),AcctTblA,4,0)),"—"))</f>
        <v/>
      </c>
      <c r="C1219" s="18">
        <f>IF($B1219="","",IF(75&gt;NLoanA,"",INDEX(PkLoanA,75)))</f>
        <v/>
      </c>
      <c r="D1219" s="17">
        <f>IF($B1219="","","l")</f>
        <v/>
      </c>
      <c r="E1219" s="19">
        <f>IF($B1219="","",IF(75&gt;NLoanA,0,SUMIF(CalcDebit,INDEX(PkLoanA,75),CalcAmt)+SUMIF(CalcDebit2,INDEX(PkLoanA,75),CalcAmt2)))</f>
        <v/>
      </c>
      <c r="F1219" s="19">
        <f>IF($B1219="","",IF(75&gt;NLoanA,0,SUMIF(CalcCredit,INDEX(PkLoanA,75),CalcAmt)+SUMIF(CalcCredit2,INDEX(PkLoanA,75),CalcAmt2)))</f>
        <v/>
      </c>
      <c r="G1219" s="20">
        <f>IF($B1219="","",ROUND($E1219-$F1219,0))</f>
        <v/>
      </c>
      <c r="H1219" s="17">
        <f>IF($B1219="","",IF(ROUND($G1219,0)&gt;0,"بدهکار",IF(ROUND($G1219,0)&lt;0,"بستانکار","تسویه")))</f>
        <v/>
      </c>
    </row>
    <row r="1220">
      <c r="A1220" s="11">
        <f>IF($B1220="","",1211)</f>
        <v/>
      </c>
      <c r="B1220" s="12">
        <f>IF(76&gt;NLoanA,"",IFERROR(IF(VLOOKUP(INDEX(PkLoanA,76),AcctTblA,4,0)="","(بدون نام)",VLOOKUP(INDEX(PkLoanA,76),AcctTblA,4,0)),"—"))</f>
        <v/>
      </c>
      <c r="C1220" s="13">
        <f>IF($B1220="","",IF(76&gt;NLoanA,"",INDEX(PkLoanA,76)))</f>
        <v/>
      </c>
      <c r="D1220" s="12">
        <f>IF($B1220="","","l")</f>
        <v/>
      </c>
      <c r="E1220" s="14">
        <f>IF($B1220="","",IF(76&gt;NLoanA,0,SUMIF(CalcDebit,INDEX(PkLoanA,76),CalcAmt)+SUMIF(CalcDebit2,INDEX(PkLoanA,76),CalcAmt2)))</f>
        <v/>
      </c>
      <c r="F1220" s="14">
        <f>IF($B1220="","",IF(76&gt;NLoanA,0,SUMIF(CalcCredit,INDEX(PkLoanA,76),CalcAmt)+SUMIF(CalcCredit2,INDEX(PkLoanA,76),CalcAmt2)))</f>
        <v/>
      </c>
      <c r="G1220" s="15">
        <f>IF($B1220="","",ROUND($E1220-$F1220,0))</f>
        <v/>
      </c>
      <c r="H1220" s="12">
        <f>IF($B1220="","",IF(ROUND($G1220,0)&gt;0,"بدهکار",IF(ROUND($G1220,0)&lt;0,"بستانکار","تسویه")))</f>
        <v/>
      </c>
    </row>
    <row r="1221">
      <c r="A1221" s="16">
        <f>IF($B1221="","",1212)</f>
        <v/>
      </c>
      <c r="B1221" s="17">
        <f>IF(77&gt;NLoanA,"",IFERROR(IF(VLOOKUP(INDEX(PkLoanA,77),AcctTblA,4,0)="","(بدون نام)",VLOOKUP(INDEX(PkLoanA,77),AcctTblA,4,0)),"—"))</f>
        <v/>
      </c>
      <c r="C1221" s="18">
        <f>IF($B1221="","",IF(77&gt;NLoanA,"",INDEX(PkLoanA,77)))</f>
        <v/>
      </c>
      <c r="D1221" s="17">
        <f>IF($B1221="","","l")</f>
        <v/>
      </c>
      <c r="E1221" s="19">
        <f>IF($B1221="","",IF(77&gt;NLoanA,0,SUMIF(CalcDebit,INDEX(PkLoanA,77),CalcAmt)+SUMIF(CalcDebit2,INDEX(PkLoanA,77),CalcAmt2)))</f>
        <v/>
      </c>
      <c r="F1221" s="19">
        <f>IF($B1221="","",IF(77&gt;NLoanA,0,SUMIF(CalcCredit,INDEX(PkLoanA,77),CalcAmt)+SUMIF(CalcCredit2,INDEX(PkLoanA,77),CalcAmt2)))</f>
        <v/>
      </c>
      <c r="G1221" s="20">
        <f>IF($B1221="","",ROUND($E1221-$F1221,0))</f>
        <v/>
      </c>
      <c r="H1221" s="17">
        <f>IF($B1221="","",IF(ROUND($G1221,0)&gt;0,"بدهکار",IF(ROUND($G1221,0)&lt;0,"بستانکار","تسویه")))</f>
        <v/>
      </c>
    </row>
    <row r="1222">
      <c r="A1222" s="11">
        <f>IF($B1222="","",1213)</f>
        <v/>
      </c>
      <c r="B1222" s="12">
        <f>IF(78&gt;NLoanA,"",IFERROR(IF(VLOOKUP(INDEX(PkLoanA,78),AcctTblA,4,0)="","(بدون نام)",VLOOKUP(INDEX(PkLoanA,78),AcctTblA,4,0)),"—"))</f>
        <v/>
      </c>
      <c r="C1222" s="13">
        <f>IF($B1222="","",IF(78&gt;NLoanA,"",INDEX(PkLoanA,78)))</f>
        <v/>
      </c>
      <c r="D1222" s="12">
        <f>IF($B1222="","","l")</f>
        <v/>
      </c>
      <c r="E1222" s="14">
        <f>IF($B1222="","",IF(78&gt;NLoanA,0,SUMIF(CalcDebit,INDEX(PkLoanA,78),CalcAmt)+SUMIF(CalcDebit2,INDEX(PkLoanA,78),CalcAmt2)))</f>
        <v/>
      </c>
      <c r="F1222" s="14">
        <f>IF($B1222="","",IF(78&gt;NLoanA,0,SUMIF(CalcCredit,INDEX(PkLoanA,78),CalcAmt)+SUMIF(CalcCredit2,INDEX(PkLoanA,78),CalcAmt2)))</f>
        <v/>
      </c>
      <c r="G1222" s="15">
        <f>IF($B1222="","",ROUND($E1222-$F1222,0))</f>
        <v/>
      </c>
      <c r="H1222" s="12">
        <f>IF($B1222="","",IF(ROUND($G1222,0)&gt;0,"بدهکار",IF(ROUND($G1222,0)&lt;0,"بستانکار","تسویه")))</f>
        <v/>
      </c>
    </row>
    <row r="1223">
      <c r="A1223" s="16">
        <f>IF($B1223="","",1214)</f>
        <v/>
      </c>
      <c r="B1223" s="17">
        <f>IF(79&gt;NLoanA,"",IFERROR(IF(VLOOKUP(INDEX(PkLoanA,79),AcctTblA,4,0)="","(بدون نام)",VLOOKUP(INDEX(PkLoanA,79),AcctTblA,4,0)),"—"))</f>
        <v/>
      </c>
      <c r="C1223" s="18">
        <f>IF($B1223="","",IF(79&gt;NLoanA,"",INDEX(PkLoanA,79)))</f>
        <v/>
      </c>
      <c r="D1223" s="17">
        <f>IF($B1223="","","l")</f>
        <v/>
      </c>
      <c r="E1223" s="19">
        <f>IF($B1223="","",IF(79&gt;NLoanA,0,SUMIF(CalcDebit,INDEX(PkLoanA,79),CalcAmt)+SUMIF(CalcDebit2,INDEX(PkLoanA,79),CalcAmt2)))</f>
        <v/>
      </c>
      <c r="F1223" s="19">
        <f>IF($B1223="","",IF(79&gt;NLoanA,0,SUMIF(CalcCredit,INDEX(PkLoanA,79),CalcAmt)+SUMIF(CalcCredit2,INDEX(PkLoanA,79),CalcAmt2)))</f>
        <v/>
      </c>
      <c r="G1223" s="20">
        <f>IF($B1223="","",ROUND($E1223-$F1223,0))</f>
        <v/>
      </c>
      <c r="H1223" s="17">
        <f>IF($B1223="","",IF(ROUND($G1223,0)&gt;0,"بدهکار",IF(ROUND($G1223,0)&lt;0,"بستانکار","تسویه")))</f>
        <v/>
      </c>
    </row>
    <row r="1224">
      <c r="A1224" s="11">
        <f>IF($B1224="","",1215)</f>
        <v/>
      </c>
      <c r="B1224" s="12">
        <f>IF(80&gt;NLoanA,"",IFERROR(IF(VLOOKUP(INDEX(PkLoanA,80),AcctTblA,4,0)="","(بدون نام)",VLOOKUP(INDEX(PkLoanA,80),AcctTblA,4,0)),"—"))</f>
        <v/>
      </c>
      <c r="C1224" s="13">
        <f>IF($B1224="","",IF(80&gt;NLoanA,"",INDEX(PkLoanA,80)))</f>
        <v/>
      </c>
      <c r="D1224" s="12">
        <f>IF($B1224="","","l")</f>
        <v/>
      </c>
      <c r="E1224" s="14">
        <f>IF($B1224="","",IF(80&gt;NLoanA,0,SUMIF(CalcDebit,INDEX(PkLoanA,80),CalcAmt)+SUMIF(CalcDebit2,INDEX(PkLoanA,80),CalcAmt2)))</f>
        <v/>
      </c>
      <c r="F1224" s="14">
        <f>IF($B1224="","",IF(80&gt;NLoanA,0,SUMIF(CalcCredit,INDEX(PkLoanA,80),CalcAmt)+SUMIF(CalcCredit2,INDEX(PkLoanA,80),CalcAmt2)))</f>
        <v/>
      </c>
      <c r="G1224" s="15">
        <f>IF($B1224="","",ROUND($E1224-$F1224,0))</f>
        <v/>
      </c>
      <c r="H1224" s="12">
        <f>IF($B1224="","",IF(ROUND($G1224,0)&gt;0,"بدهکار",IF(ROUND($G1224,0)&lt;0,"بستانکار","تسویه")))</f>
        <v/>
      </c>
    </row>
    <row r="1225">
      <c r="A1225" s="16">
        <f>IF($B1225="","",1216)</f>
        <v/>
      </c>
      <c r="B1225" s="17">
        <f>IF(81&gt;NLoanA,"",IFERROR(IF(VLOOKUP(INDEX(PkLoanA,81),AcctTblA,4,0)="","(بدون نام)",VLOOKUP(INDEX(PkLoanA,81),AcctTblA,4,0)),"—"))</f>
        <v/>
      </c>
      <c r="C1225" s="18">
        <f>IF($B1225="","",IF(81&gt;NLoanA,"",INDEX(PkLoanA,81)))</f>
        <v/>
      </c>
      <c r="D1225" s="17">
        <f>IF($B1225="","","l")</f>
        <v/>
      </c>
      <c r="E1225" s="19">
        <f>IF($B1225="","",IF(81&gt;NLoanA,0,SUMIF(CalcDebit,INDEX(PkLoanA,81),CalcAmt)+SUMIF(CalcDebit2,INDEX(PkLoanA,81),CalcAmt2)))</f>
        <v/>
      </c>
      <c r="F1225" s="19">
        <f>IF($B1225="","",IF(81&gt;NLoanA,0,SUMIF(CalcCredit,INDEX(PkLoanA,81),CalcAmt)+SUMIF(CalcCredit2,INDEX(PkLoanA,81),CalcAmt2)))</f>
        <v/>
      </c>
      <c r="G1225" s="20">
        <f>IF($B1225="","",ROUND($E1225-$F1225,0))</f>
        <v/>
      </c>
      <c r="H1225" s="17">
        <f>IF($B1225="","",IF(ROUND($G1225,0)&gt;0,"بدهکار",IF(ROUND($G1225,0)&lt;0,"بستانکار","تسویه")))</f>
        <v/>
      </c>
    </row>
    <row r="1226">
      <c r="A1226" s="11">
        <f>IF($B1226="","",1217)</f>
        <v/>
      </c>
      <c r="B1226" s="12">
        <f>IF(82&gt;NLoanA,"",IFERROR(IF(VLOOKUP(INDEX(PkLoanA,82),AcctTblA,4,0)="","(بدون نام)",VLOOKUP(INDEX(PkLoanA,82),AcctTblA,4,0)),"—"))</f>
        <v/>
      </c>
      <c r="C1226" s="13">
        <f>IF($B1226="","",IF(82&gt;NLoanA,"",INDEX(PkLoanA,82)))</f>
        <v/>
      </c>
      <c r="D1226" s="12">
        <f>IF($B1226="","","l")</f>
        <v/>
      </c>
      <c r="E1226" s="14">
        <f>IF($B1226="","",IF(82&gt;NLoanA,0,SUMIF(CalcDebit,INDEX(PkLoanA,82),CalcAmt)+SUMIF(CalcDebit2,INDEX(PkLoanA,82),CalcAmt2)))</f>
        <v/>
      </c>
      <c r="F1226" s="14">
        <f>IF($B1226="","",IF(82&gt;NLoanA,0,SUMIF(CalcCredit,INDEX(PkLoanA,82),CalcAmt)+SUMIF(CalcCredit2,INDEX(PkLoanA,82),CalcAmt2)))</f>
        <v/>
      </c>
      <c r="G1226" s="15">
        <f>IF($B1226="","",ROUND($E1226-$F1226,0))</f>
        <v/>
      </c>
      <c r="H1226" s="12">
        <f>IF($B1226="","",IF(ROUND($G1226,0)&gt;0,"بدهکار",IF(ROUND($G1226,0)&lt;0,"بستانکار","تسویه")))</f>
        <v/>
      </c>
    </row>
    <row r="1227">
      <c r="A1227" s="16">
        <f>IF($B1227="","",1218)</f>
        <v/>
      </c>
      <c r="B1227" s="17">
        <f>IF(83&gt;NLoanA,"",IFERROR(IF(VLOOKUP(INDEX(PkLoanA,83),AcctTblA,4,0)="","(بدون نام)",VLOOKUP(INDEX(PkLoanA,83),AcctTblA,4,0)),"—"))</f>
        <v/>
      </c>
      <c r="C1227" s="18">
        <f>IF($B1227="","",IF(83&gt;NLoanA,"",INDEX(PkLoanA,83)))</f>
        <v/>
      </c>
      <c r="D1227" s="17">
        <f>IF($B1227="","","l")</f>
        <v/>
      </c>
      <c r="E1227" s="19">
        <f>IF($B1227="","",IF(83&gt;NLoanA,0,SUMIF(CalcDebit,INDEX(PkLoanA,83),CalcAmt)+SUMIF(CalcDebit2,INDEX(PkLoanA,83),CalcAmt2)))</f>
        <v/>
      </c>
      <c r="F1227" s="19">
        <f>IF($B1227="","",IF(83&gt;NLoanA,0,SUMIF(CalcCredit,INDEX(PkLoanA,83),CalcAmt)+SUMIF(CalcCredit2,INDEX(PkLoanA,83),CalcAmt2)))</f>
        <v/>
      </c>
      <c r="G1227" s="20">
        <f>IF($B1227="","",ROUND($E1227-$F1227,0))</f>
        <v/>
      </c>
      <c r="H1227" s="17">
        <f>IF($B1227="","",IF(ROUND($G1227,0)&gt;0,"بدهکار",IF(ROUND($G1227,0)&lt;0,"بستانکار","تسویه")))</f>
        <v/>
      </c>
    </row>
    <row r="1228">
      <c r="A1228" s="11">
        <f>IF($B1228="","",1219)</f>
        <v/>
      </c>
      <c r="B1228" s="12">
        <f>IF(84&gt;NLoanA,"",IFERROR(IF(VLOOKUP(INDEX(PkLoanA,84),AcctTblA,4,0)="","(بدون نام)",VLOOKUP(INDEX(PkLoanA,84),AcctTblA,4,0)),"—"))</f>
        <v/>
      </c>
      <c r="C1228" s="13">
        <f>IF($B1228="","",IF(84&gt;NLoanA,"",INDEX(PkLoanA,84)))</f>
        <v/>
      </c>
      <c r="D1228" s="12">
        <f>IF($B1228="","","l")</f>
        <v/>
      </c>
      <c r="E1228" s="14">
        <f>IF($B1228="","",IF(84&gt;NLoanA,0,SUMIF(CalcDebit,INDEX(PkLoanA,84),CalcAmt)+SUMIF(CalcDebit2,INDEX(PkLoanA,84),CalcAmt2)))</f>
        <v/>
      </c>
      <c r="F1228" s="14">
        <f>IF($B1228="","",IF(84&gt;NLoanA,0,SUMIF(CalcCredit,INDEX(PkLoanA,84),CalcAmt)+SUMIF(CalcCredit2,INDEX(PkLoanA,84),CalcAmt2)))</f>
        <v/>
      </c>
      <c r="G1228" s="15">
        <f>IF($B1228="","",ROUND($E1228-$F1228,0))</f>
        <v/>
      </c>
      <c r="H1228" s="12">
        <f>IF($B1228="","",IF(ROUND($G1228,0)&gt;0,"بدهکار",IF(ROUND($G1228,0)&lt;0,"بستانکار","تسویه")))</f>
        <v/>
      </c>
    </row>
    <row r="1229">
      <c r="A1229" s="16">
        <f>IF($B1229="","",1220)</f>
        <v/>
      </c>
      <c r="B1229" s="17">
        <f>IF(85&gt;NLoanA,"",IFERROR(IF(VLOOKUP(INDEX(PkLoanA,85),AcctTblA,4,0)="","(بدون نام)",VLOOKUP(INDEX(PkLoanA,85),AcctTblA,4,0)),"—"))</f>
        <v/>
      </c>
      <c r="C1229" s="18">
        <f>IF($B1229="","",IF(85&gt;NLoanA,"",INDEX(PkLoanA,85)))</f>
        <v/>
      </c>
      <c r="D1229" s="17">
        <f>IF($B1229="","","l")</f>
        <v/>
      </c>
      <c r="E1229" s="19">
        <f>IF($B1229="","",IF(85&gt;NLoanA,0,SUMIF(CalcDebit,INDEX(PkLoanA,85),CalcAmt)+SUMIF(CalcDebit2,INDEX(PkLoanA,85),CalcAmt2)))</f>
        <v/>
      </c>
      <c r="F1229" s="19">
        <f>IF($B1229="","",IF(85&gt;NLoanA,0,SUMIF(CalcCredit,INDEX(PkLoanA,85),CalcAmt)+SUMIF(CalcCredit2,INDEX(PkLoanA,85),CalcAmt2)))</f>
        <v/>
      </c>
      <c r="G1229" s="20">
        <f>IF($B1229="","",ROUND($E1229-$F1229,0))</f>
        <v/>
      </c>
      <c r="H1229" s="17">
        <f>IF($B1229="","",IF(ROUND($G1229,0)&gt;0,"بدهکار",IF(ROUND($G1229,0)&lt;0,"بستانکار","تسویه")))</f>
        <v/>
      </c>
    </row>
    <row r="1230">
      <c r="A1230" s="11">
        <f>IF($B1230="","",1221)</f>
        <v/>
      </c>
      <c r="B1230" s="12">
        <f>IF(86&gt;NLoanA,"",IFERROR(IF(VLOOKUP(INDEX(PkLoanA,86),AcctTblA,4,0)="","(بدون نام)",VLOOKUP(INDEX(PkLoanA,86),AcctTblA,4,0)),"—"))</f>
        <v/>
      </c>
      <c r="C1230" s="13">
        <f>IF($B1230="","",IF(86&gt;NLoanA,"",INDEX(PkLoanA,86)))</f>
        <v/>
      </c>
      <c r="D1230" s="12">
        <f>IF($B1230="","","l")</f>
        <v/>
      </c>
      <c r="E1230" s="14">
        <f>IF($B1230="","",IF(86&gt;NLoanA,0,SUMIF(CalcDebit,INDEX(PkLoanA,86),CalcAmt)+SUMIF(CalcDebit2,INDEX(PkLoanA,86),CalcAmt2)))</f>
        <v/>
      </c>
      <c r="F1230" s="14">
        <f>IF($B1230="","",IF(86&gt;NLoanA,0,SUMIF(CalcCredit,INDEX(PkLoanA,86),CalcAmt)+SUMIF(CalcCredit2,INDEX(PkLoanA,86),CalcAmt2)))</f>
        <v/>
      </c>
      <c r="G1230" s="15">
        <f>IF($B1230="","",ROUND($E1230-$F1230,0))</f>
        <v/>
      </c>
      <c r="H1230" s="12">
        <f>IF($B1230="","",IF(ROUND($G1230,0)&gt;0,"بدهکار",IF(ROUND($G1230,0)&lt;0,"بستانکار","تسویه")))</f>
        <v/>
      </c>
    </row>
    <row r="1231">
      <c r="A1231" s="16">
        <f>IF($B1231="","",1222)</f>
        <v/>
      </c>
      <c r="B1231" s="17">
        <f>IF(87&gt;NLoanA,"",IFERROR(IF(VLOOKUP(INDEX(PkLoanA,87),AcctTblA,4,0)="","(بدون نام)",VLOOKUP(INDEX(PkLoanA,87),AcctTblA,4,0)),"—"))</f>
        <v/>
      </c>
      <c r="C1231" s="18">
        <f>IF($B1231="","",IF(87&gt;NLoanA,"",INDEX(PkLoanA,87)))</f>
        <v/>
      </c>
      <c r="D1231" s="17">
        <f>IF($B1231="","","l")</f>
        <v/>
      </c>
      <c r="E1231" s="19">
        <f>IF($B1231="","",IF(87&gt;NLoanA,0,SUMIF(CalcDebit,INDEX(PkLoanA,87),CalcAmt)+SUMIF(CalcDebit2,INDEX(PkLoanA,87),CalcAmt2)))</f>
        <v/>
      </c>
      <c r="F1231" s="19">
        <f>IF($B1231="","",IF(87&gt;NLoanA,0,SUMIF(CalcCredit,INDEX(PkLoanA,87),CalcAmt)+SUMIF(CalcCredit2,INDEX(PkLoanA,87),CalcAmt2)))</f>
        <v/>
      </c>
      <c r="G1231" s="20">
        <f>IF($B1231="","",ROUND($E1231-$F1231,0))</f>
        <v/>
      </c>
      <c r="H1231" s="17">
        <f>IF($B1231="","",IF(ROUND($G1231,0)&gt;0,"بدهکار",IF(ROUND($G1231,0)&lt;0,"بستانکار","تسویه")))</f>
        <v/>
      </c>
    </row>
    <row r="1232">
      <c r="A1232" s="11">
        <f>IF($B1232="","",1223)</f>
        <v/>
      </c>
      <c r="B1232" s="12">
        <f>IF(88&gt;NLoanA,"",IFERROR(IF(VLOOKUP(INDEX(PkLoanA,88),AcctTblA,4,0)="","(بدون نام)",VLOOKUP(INDEX(PkLoanA,88),AcctTblA,4,0)),"—"))</f>
        <v/>
      </c>
      <c r="C1232" s="13">
        <f>IF($B1232="","",IF(88&gt;NLoanA,"",INDEX(PkLoanA,88)))</f>
        <v/>
      </c>
      <c r="D1232" s="12">
        <f>IF($B1232="","","l")</f>
        <v/>
      </c>
      <c r="E1232" s="14">
        <f>IF($B1232="","",IF(88&gt;NLoanA,0,SUMIF(CalcDebit,INDEX(PkLoanA,88),CalcAmt)+SUMIF(CalcDebit2,INDEX(PkLoanA,88),CalcAmt2)))</f>
        <v/>
      </c>
      <c r="F1232" s="14">
        <f>IF($B1232="","",IF(88&gt;NLoanA,0,SUMIF(CalcCredit,INDEX(PkLoanA,88),CalcAmt)+SUMIF(CalcCredit2,INDEX(PkLoanA,88),CalcAmt2)))</f>
        <v/>
      </c>
      <c r="G1232" s="15">
        <f>IF($B1232="","",ROUND($E1232-$F1232,0))</f>
        <v/>
      </c>
      <c r="H1232" s="12">
        <f>IF($B1232="","",IF(ROUND($G1232,0)&gt;0,"بدهکار",IF(ROUND($G1232,0)&lt;0,"بستانکار","تسویه")))</f>
        <v/>
      </c>
    </row>
    <row r="1233">
      <c r="A1233" s="16">
        <f>IF($B1233="","",1224)</f>
        <v/>
      </c>
      <c r="B1233" s="17">
        <f>IF(89&gt;NLoanA,"",IFERROR(IF(VLOOKUP(INDEX(PkLoanA,89),AcctTblA,4,0)="","(بدون نام)",VLOOKUP(INDEX(PkLoanA,89),AcctTblA,4,0)),"—"))</f>
        <v/>
      </c>
      <c r="C1233" s="18">
        <f>IF($B1233="","",IF(89&gt;NLoanA,"",INDEX(PkLoanA,89)))</f>
        <v/>
      </c>
      <c r="D1233" s="17">
        <f>IF($B1233="","","l")</f>
        <v/>
      </c>
      <c r="E1233" s="19">
        <f>IF($B1233="","",IF(89&gt;NLoanA,0,SUMIF(CalcDebit,INDEX(PkLoanA,89),CalcAmt)+SUMIF(CalcDebit2,INDEX(PkLoanA,89),CalcAmt2)))</f>
        <v/>
      </c>
      <c r="F1233" s="19">
        <f>IF($B1233="","",IF(89&gt;NLoanA,0,SUMIF(CalcCredit,INDEX(PkLoanA,89),CalcAmt)+SUMIF(CalcCredit2,INDEX(PkLoanA,89),CalcAmt2)))</f>
        <v/>
      </c>
      <c r="G1233" s="20">
        <f>IF($B1233="","",ROUND($E1233-$F1233,0))</f>
        <v/>
      </c>
      <c r="H1233" s="17">
        <f>IF($B1233="","",IF(ROUND($G1233,0)&gt;0,"بدهکار",IF(ROUND($G1233,0)&lt;0,"بستانکار","تسویه")))</f>
        <v/>
      </c>
    </row>
    <row r="1234">
      <c r="A1234" s="11">
        <f>IF($B1234="","",1225)</f>
        <v/>
      </c>
      <c r="B1234" s="12">
        <f>IF(90&gt;NLoanA,"",IFERROR(IF(VLOOKUP(INDEX(PkLoanA,90),AcctTblA,4,0)="","(بدون نام)",VLOOKUP(INDEX(PkLoanA,90),AcctTblA,4,0)),"—"))</f>
        <v/>
      </c>
      <c r="C1234" s="13">
        <f>IF($B1234="","",IF(90&gt;NLoanA,"",INDEX(PkLoanA,90)))</f>
        <v/>
      </c>
      <c r="D1234" s="12">
        <f>IF($B1234="","","l")</f>
        <v/>
      </c>
      <c r="E1234" s="14">
        <f>IF($B1234="","",IF(90&gt;NLoanA,0,SUMIF(CalcDebit,INDEX(PkLoanA,90),CalcAmt)+SUMIF(CalcDebit2,INDEX(PkLoanA,90),CalcAmt2)))</f>
        <v/>
      </c>
      <c r="F1234" s="14">
        <f>IF($B1234="","",IF(90&gt;NLoanA,0,SUMIF(CalcCredit,INDEX(PkLoanA,90),CalcAmt)+SUMIF(CalcCredit2,INDEX(PkLoanA,90),CalcAmt2)))</f>
        <v/>
      </c>
      <c r="G1234" s="15">
        <f>IF($B1234="","",ROUND($E1234-$F1234,0))</f>
        <v/>
      </c>
      <c r="H1234" s="12">
        <f>IF($B1234="","",IF(ROUND($G1234,0)&gt;0,"بدهکار",IF(ROUND($G1234,0)&lt;0,"بستانکار","تسویه")))</f>
        <v/>
      </c>
    </row>
    <row r="1235">
      <c r="A1235" s="16">
        <f>IF($B1235="","",1226)</f>
        <v/>
      </c>
      <c r="B1235" s="17">
        <f>IF(91&gt;NLoanA,"",IFERROR(IF(VLOOKUP(INDEX(PkLoanA,91),AcctTblA,4,0)="","(بدون نام)",VLOOKUP(INDEX(PkLoanA,91),AcctTblA,4,0)),"—"))</f>
        <v/>
      </c>
      <c r="C1235" s="18">
        <f>IF($B1235="","",IF(91&gt;NLoanA,"",INDEX(PkLoanA,91)))</f>
        <v/>
      </c>
      <c r="D1235" s="17">
        <f>IF($B1235="","","l")</f>
        <v/>
      </c>
      <c r="E1235" s="19">
        <f>IF($B1235="","",IF(91&gt;NLoanA,0,SUMIF(CalcDebit,INDEX(PkLoanA,91),CalcAmt)+SUMIF(CalcDebit2,INDEX(PkLoanA,91),CalcAmt2)))</f>
        <v/>
      </c>
      <c r="F1235" s="19">
        <f>IF($B1235="","",IF(91&gt;NLoanA,0,SUMIF(CalcCredit,INDEX(PkLoanA,91),CalcAmt)+SUMIF(CalcCredit2,INDEX(PkLoanA,91),CalcAmt2)))</f>
        <v/>
      </c>
      <c r="G1235" s="20">
        <f>IF($B1235="","",ROUND($E1235-$F1235,0))</f>
        <v/>
      </c>
      <c r="H1235" s="17">
        <f>IF($B1235="","",IF(ROUND($G1235,0)&gt;0,"بدهکار",IF(ROUND($G1235,0)&lt;0,"بستانکار","تسویه")))</f>
        <v/>
      </c>
    </row>
    <row r="1236">
      <c r="A1236" s="11">
        <f>IF($B1236="","",1227)</f>
        <v/>
      </c>
      <c r="B1236" s="12">
        <f>IF(92&gt;NLoanA,"",IFERROR(IF(VLOOKUP(INDEX(PkLoanA,92),AcctTblA,4,0)="","(بدون نام)",VLOOKUP(INDEX(PkLoanA,92),AcctTblA,4,0)),"—"))</f>
        <v/>
      </c>
      <c r="C1236" s="13">
        <f>IF($B1236="","",IF(92&gt;NLoanA,"",INDEX(PkLoanA,92)))</f>
        <v/>
      </c>
      <c r="D1236" s="12">
        <f>IF($B1236="","","l")</f>
        <v/>
      </c>
      <c r="E1236" s="14">
        <f>IF($B1236="","",IF(92&gt;NLoanA,0,SUMIF(CalcDebit,INDEX(PkLoanA,92),CalcAmt)+SUMIF(CalcDebit2,INDEX(PkLoanA,92),CalcAmt2)))</f>
        <v/>
      </c>
      <c r="F1236" s="14">
        <f>IF($B1236="","",IF(92&gt;NLoanA,0,SUMIF(CalcCredit,INDEX(PkLoanA,92),CalcAmt)+SUMIF(CalcCredit2,INDEX(PkLoanA,92),CalcAmt2)))</f>
        <v/>
      </c>
      <c r="G1236" s="15">
        <f>IF($B1236="","",ROUND($E1236-$F1236,0))</f>
        <v/>
      </c>
      <c r="H1236" s="12">
        <f>IF($B1236="","",IF(ROUND($G1236,0)&gt;0,"بدهکار",IF(ROUND($G1236,0)&lt;0,"بستانکار","تسویه")))</f>
        <v/>
      </c>
    </row>
    <row r="1237">
      <c r="A1237" s="16">
        <f>IF($B1237="","",1228)</f>
        <v/>
      </c>
      <c r="B1237" s="17">
        <f>IF(93&gt;NLoanA,"",IFERROR(IF(VLOOKUP(INDEX(PkLoanA,93),AcctTblA,4,0)="","(بدون نام)",VLOOKUP(INDEX(PkLoanA,93),AcctTblA,4,0)),"—"))</f>
        <v/>
      </c>
      <c r="C1237" s="18">
        <f>IF($B1237="","",IF(93&gt;NLoanA,"",INDEX(PkLoanA,93)))</f>
        <v/>
      </c>
      <c r="D1237" s="17">
        <f>IF($B1237="","","l")</f>
        <v/>
      </c>
      <c r="E1237" s="19">
        <f>IF($B1237="","",IF(93&gt;NLoanA,0,SUMIF(CalcDebit,INDEX(PkLoanA,93),CalcAmt)+SUMIF(CalcDebit2,INDEX(PkLoanA,93),CalcAmt2)))</f>
        <v/>
      </c>
      <c r="F1237" s="19">
        <f>IF($B1237="","",IF(93&gt;NLoanA,0,SUMIF(CalcCredit,INDEX(PkLoanA,93),CalcAmt)+SUMIF(CalcCredit2,INDEX(PkLoanA,93),CalcAmt2)))</f>
        <v/>
      </c>
      <c r="G1237" s="20">
        <f>IF($B1237="","",ROUND($E1237-$F1237,0))</f>
        <v/>
      </c>
      <c r="H1237" s="17">
        <f>IF($B1237="","",IF(ROUND($G1237,0)&gt;0,"بدهکار",IF(ROUND($G1237,0)&lt;0,"بستانکار","تسویه")))</f>
        <v/>
      </c>
    </row>
    <row r="1238">
      <c r="A1238" s="11">
        <f>IF($B1238="","",1229)</f>
        <v/>
      </c>
      <c r="B1238" s="12">
        <f>IF(94&gt;NLoanA,"",IFERROR(IF(VLOOKUP(INDEX(PkLoanA,94),AcctTblA,4,0)="","(بدون نام)",VLOOKUP(INDEX(PkLoanA,94),AcctTblA,4,0)),"—"))</f>
        <v/>
      </c>
      <c r="C1238" s="13">
        <f>IF($B1238="","",IF(94&gt;NLoanA,"",INDEX(PkLoanA,94)))</f>
        <v/>
      </c>
      <c r="D1238" s="12">
        <f>IF($B1238="","","l")</f>
        <v/>
      </c>
      <c r="E1238" s="14">
        <f>IF($B1238="","",IF(94&gt;NLoanA,0,SUMIF(CalcDebit,INDEX(PkLoanA,94),CalcAmt)+SUMIF(CalcDebit2,INDEX(PkLoanA,94),CalcAmt2)))</f>
        <v/>
      </c>
      <c r="F1238" s="14">
        <f>IF($B1238="","",IF(94&gt;NLoanA,0,SUMIF(CalcCredit,INDEX(PkLoanA,94),CalcAmt)+SUMIF(CalcCredit2,INDEX(PkLoanA,94),CalcAmt2)))</f>
        <v/>
      </c>
      <c r="G1238" s="15">
        <f>IF($B1238="","",ROUND($E1238-$F1238,0))</f>
        <v/>
      </c>
      <c r="H1238" s="12">
        <f>IF($B1238="","",IF(ROUND($G1238,0)&gt;0,"بدهکار",IF(ROUND($G1238,0)&lt;0,"بستانکار","تسویه")))</f>
        <v/>
      </c>
    </row>
    <row r="1239">
      <c r="A1239" s="16">
        <f>IF($B1239="","",1230)</f>
        <v/>
      </c>
      <c r="B1239" s="17">
        <f>IF(95&gt;NLoanA,"",IFERROR(IF(VLOOKUP(INDEX(PkLoanA,95),AcctTblA,4,0)="","(بدون نام)",VLOOKUP(INDEX(PkLoanA,95),AcctTblA,4,0)),"—"))</f>
        <v/>
      </c>
      <c r="C1239" s="18">
        <f>IF($B1239="","",IF(95&gt;NLoanA,"",INDEX(PkLoanA,95)))</f>
        <v/>
      </c>
      <c r="D1239" s="17">
        <f>IF($B1239="","","l")</f>
        <v/>
      </c>
      <c r="E1239" s="19">
        <f>IF($B1239="","",IF(95&gt;NLoanA,0,SUMIF(CalcDebit,INDEX(PkLoanA,95),CalcAmt)+SUMIF(CalcDebit2,INDEX(PkLoanA,95),CalcAmt2)))</f>
        <v/>
      </c>
      <c r="F1239" s="19">
        <f>IF($B1239="","",IF(95&gt;NLoanA,0,SUMIF(CalcCredit,INDEX(PkLoanA,95),CalcAmt)+SUMIF(CalcCredit2,INDEX(PkLoanA,95),CalcAmt2)))</f>
        <v/>
      </c>
      <c r="G1239" s="20">
        <f>IF($B1239="","",ROUND($E1239-$F1239,0))</f>
        <v/>
      </c>
      <c r="H1239" s="17">
        <f>IF($B1239="","",IF(ROUND($G1239,0)&gt;0,"بدهکار",IF(ROUND($G1239,0)&lt;0,"بستانکار","تسویه")))</f>
        <v/>
      </c>
    </row>
    <row r="1240">
      <c r="A1240" s="11">
        <f>IF($B1240="","",1231)</f>
        <v/>
      </c>
      <c r="B1240" s="12">
        <f>IF(96&gt;NLoanA,"",IFERROR(IF(VLOOKUP(INDEX(PkLoanA,96),AcctTblA,4,0)="","(بدون نام)",VLOOKUP(INDEX(PkLoanA,96),AcctTblA,4,0)),"—"))</f>
        <v/>
      </c>
      <c r="C1240" s="13">
        <f>IF($B1240="","",IF(96&gt;NLoanA,"",INDEX(PkLoanA,96)))</f>
        <v/>
      </c>
      <c r="D1240" s="12">
        <f>IF($B1240="","","l")</f>
        <v/>
      </c>
      <c r="E1240" s="14">
        <f>IF($B1240="","",IF(96&gt;NLoanA,0,SUMIF(CalcDebit,INDEX(PkLoanA,96),CalcAmt)+SUMIF(CalcDebit2,INDEX(PkLoanA,96),CalcAmt2)))</f>
        <v/>
      </c>
      <c r="F1240" s="14">
        <f>IF($B1240="","",IF(96&gt;NLoanA,0,SUMIF(CalcCredit,INDEX(PkLoanA,96),CalcAmt)+SUMIF(CalcCredit2,INDEX(PkLoanA,96),CalcAmt2)))</f>
        <v/>
      </c>
      <c r="G1240" s="15">
        <f>IF($B1240="","",ROUND($E1240-$F1240,0))</f>
        <v/>
      </c>
      <c r="H1240" s="12">
        <f>IF($B1240="","",IF(ROUND($G1240,0)&gt;0,"بدهکار",IF(ROUND($G1240,0)&lt;0,"بستانکار","تسویه")))</f>
        <v/>
      </c>
    </row>
    <row r="1241">
      <c r="A1241" s="16">
        <f>IF($B1241="","",1232)</f>
        <v/>
      </c>
      <c r="B1241" s="17">
        <f>IF(97&gt;NLoanA,"",IFERROR(IF(VLOOKUP(INDEX(PkLoanA,97),AcctTblA,4,0)="","(بدون نام)",VLOOKUP(INDEX(PkLoanA,97),AcctTblA,4,0)),"—"))</f>
        <v/>
      </c>
      <c r="C1241" s="18">
        <f>IF($B1241="","",IF(97&gt;NLoanA,"",INDEX(PkLoanA,97)))</f>
        <v/>
      </c>
      <c r="D1241" s="17">
        <f>IF($B1241="","","l")</f>
        <v/>
      </c>
      <c r="E1241" s="19">
        <f>IF($B1241="","",IF(97&gt;NLoanA,0,SUMIF(CalcDebit,INDEX(PkLoanA,97),CalcAmt)+SUMIF(CalcDebit2,INDEX(PkLoanA,97),CalcAmt2)))</f>
        <v/>
      </c>
      <c r="F1241" s="19">
        <f>IF($B1241="","",IF(97&gt;NLoanA,0,SUMIF(CalcCredit,INDEX(PkLoanA,97),CalcAmt)+SUMIF(CalcCredit2,INDEX(PkLoanA,97),CalcAmt2)))</f>
        <v/>
      </c>
      <c r="G1241" s="20">
        <f>IF($B1241="","",ROUND($E1241-$F1241,0))</f>
        <v/>
      </c>
      <c r="H1241" s="17">
        <f>IF($B1241="","",IF(ROUND($G1241,0)&gt;0,"بدهکار",IF(ROUND($G1241,0)&lt;0,"بستانکار","تسویه")))</f>
        <v/>
      </c>
    </row>
    <row r="1242">
      <c r="A1242" s="11">
        <f>IF($B1242="","",1233)</f>
        <v/>
      </c>
      <c r="B1242" s="12">
        <f>IF(98&gt;NLoanA,"",IFERROR(IF(VLOOKUP(INDEX(PkLoanA,98),AcctTblA,4,0)="","(بدون نام)",VLOOKUP(INDEX(PkLoanA,98),AcctTblA,4,0)),"—"))</f>
        <v/>
      </c>
      <c r="C1242" s="13">
        <f>IF($B1242="","",IF(98&gt;NLoanA,"",INDEX(PkLoanA,98)))</f>
        <v/>
      </c>
      <c r="D1242" s="12">
        <f>IF($B1242="","","l")</f>
        <v/>
      </c>
      <c r="E1242" s="14">
        <f>IF($B1242="","",IF(98&gt;NLoanA,0,SUMIF(CalcDebit,INDEX(PkLoanA,98),CalcAmt)+SUMIF(CalcDebit2,INDEX(PkLoanA,98),CalcAmt2)))</f>
        <v/>
      </c>
      <c r="F1242" s="14">
        <f>IF($B1242="","",IF(98&gt;NLoanA,0,SUMIF(CalcCredit,INDEX(PkLoanA,98),CalcAmt)+SUMIF(CalcCredit2,INDEX(PkLoanA,98),CalcAmt2)))</f>
        <v/>
      </c>
      <c r="G1242" s="15">
        <f>IF($B1242="","",ROUND($E1242-$F1242,0))</f>
        <v/>
      </c>
      <c r="H1242" s="12">
        <f>IF($B1242="","",IF(ROUND($G1242,0)&gt;0,"بدهکار",IF(ROUND($G1242,0)&lt;0,"بستانکار","تسویه")))</f>
        <v/>
      </c>
    </row>
    <row r="1243">
      <c r="A1243" s="16">
        <f>IF($B1243="","",1234)</f>
        <v/>
      </c>
      <c r="B1243" s="17">
        <f>IF(99&gt;NLoanA,"",IFERROR(IF(VLOOKUP(INDEX(PkLoanA,99),AcctTblA,4,0)="","(بدون نام)",VLOOKUP(INDEX(PkLoanA,99),AcctTblA,4,0)),"—"))</f>
        <v/>
      </c>
      <c r="C1243" s="18">
        <f>IF($B1243="","",IF(99&gt;NLoanA,"",INDEX(PkLoanA,99)))</f>
        <v/>
      </c>
      <c r="D1243" s="17">
        <f>IF($B1243="","","l")</f>
        <v/>
      </c>
      <c r="E1243" s="19">
        <f>IF($B1243="","",IF(99&gt;NLoanA,0,SUMIF(CalcDebit,INDEX(PkLoanA,99),CalcAmt)+SUMIF(CalcDebit2,INDEX(PkLoanA,99),CalcAmt2)))</f>
        <v/>
      </c>
      <c r="F1243" s="19">
        <f>IF($B1243="","",IF(99&gt;NLoanA,0,SUMIF(CalcCredit,INDEX(PkLoanA,99),CalcAmt)+SUMIF(CalcCredit2,INDEX(PkLoanA,99),CalcAmt2)))</f>
        <v/>
      </c>
      <c r="G1243" s="20">
        <f>IF($B1243="","",ROUND($E1243-$F1243,0))</f>
        <v/>
      </c>
      <c r="H1243" s="17">
        <f>IF($B1243="","",IF(ROUND($G1243,0)&gt;0,"بدهکار",IF(ROUND($G1243,0)&lt;0,"بستانکار","تسویه")))</f>
        <v/>
      </c>
    </row>
    <row r="1244">
      <c r="A1244" s="11">
        <f>IF($B1244="","",1235)</f>
        <v/>
      </c>
      <c r="B1244" s="12">
        <f>IF(100&gt;NLoanA,"",IFERROR(IF(VLOOKUP(INDEX(PkLoanA,100),AcctTblA,4,0)="","(بدون نام)",VLOOKUP(INDEX(PkLoanA,100),AcctTblA,4,0)),"—"))</f>
        <v/>
      </c>
      <c r="C1244" s="13">
        <f>IF($B1244="","",IF(100&gt;NLoanA,"",INDEX(PkLoanA,100)))</f>
        <v/>
      </c>
      <c r="D1244" s="12">
        <f>IF($B1244="","","l")</f>
        <v/>
      </c>
      <c r="E1244" s="14">
        <f>IF($B1244="","",IF(100&gt;NLoanA,0,SUMIF(CalcDebit,INDEX(PkLoanA,100),CalcAmt)+SUMIF(CalcDebit2,INDEX(PkLoanA,100),CalcAmt2)))</f>
        <v/>
      </c>
      <c r="F1244" s="14">
        <f>IF($B1244="","",IF(100&gt;NLoanA,0,SUMIF(CalcCredit,INDEX(PkLoanA,100),CalcAmt)+SUMIF(CalcCredit2,INDEX(PkLoanA,100),CalcAmt2)))</f>
        <v/>
      </c>
      <c r="G1244" s="15">
        <f>IF($B1244="","",ROUND($E1244-$F1244,0))</f>
        <v/>
      </c>
      <c r="H1244" s="12">
        <f>IF($B1244="","",IF(ROUND($G1244,0)&gt;0,"بدهکار",IF(ROUND($G1244,0)&lt;0,"بستانکار","تسویه")))</f>
        <v/>
      </c>
    </row>
    <row r="1245">
      <c r="A1245" s="16">
        <f>IF($B1245="","",1236)</f>
        <v/>
      </c>
      <c r="B1245" s="17">
        <f>IF(101&gt;NLoanA,"",IFERROR(IF(VLOOKUP(INDEX(PkLoanA,101),AcctTblA,4,0)="","(بدون نام)",VLOOKUP(INDEX(PkLoanA,101),AcctTblA,4,0)),"—"))</f>
        <v/>
      </c>
      <c r="C1245" s="18">
        <f>IF($B1245="","",IF(101&gt;NLoanA,"",INDEX(PkLoanA,101)))</f>
        <v/>
      </c>
      <c r="D1245" s="17">
        <f>IF($B1245="","","l")</f>
        <v/>
      </c>
      <c r="E1245" s="19">
        <f>IF($B1245="","",IF(101&gt;NLoanA,0,SUMIF(CalcDebit,INDEX(PkLoanA,101),CalcAmt)+SUMIF(CalcDebit2,INDEX(PkLoanA,101),CalcAmt2)))</f>
        <v/>
      </c>
      <c r="F1245" s="19">
        <f>IF($B1245="","",IF(101&gt;NLoanA,0,SUMIF(CalcCredit,INDEX(PkLoanA,101),CalcAmt)+SUMIF(CalcCredit2,INDEX(PkLoanA,101),CalcAmt2)))</f>
        <v/>
      </c>
      <c r="G1245" s="20">
        <f>IF($B1245="","",ROUND($E1245-$F1245,0))</f>
        <v/>
      </c>
      <c r="H1245" s="17">
        <f>IF($B1245="","",IF(ROUND($G1245,0)&gt;0,"بدهکار",IF(ROUND($G1245,0)&lt;0,"بستانکار","تسویه")))</f>
        <v/>
      </c>
    </row>
    <row r="1246">
      <c r="A1246" s="11">
        <f>IF($B1246="","",1237)</f>
        <v/>
      </c>
      <c r="B1246" s="12">
        <f>IF(102&gt;NLoanA,"",IFERROR(IF(VLOOKUP(INDEX(PkLoanA,102),AcctTblA,4,0)="","(بدون نام)",VLOOKUP(INDEX(PkLoanA,102),AcctTblA,4,0)),"—"))</f>
        <v/>
      </c>
      <c r="C1246" s="13">
        <f>IF($B1246="","",IF(102&gt;NLoanA,"",INDEX(PkLoanA,102)))</f>
        <v/>
      </c>
      <c r="D1246" s="12">
        <f>IF($B1246="","","l")</f>
        <v/>
      </c>
      <c r="E1246" s="14">
        <f>IF($B1246="","",IF(102&gt;NLoanA,0,SUMIF(CalcDebit,INDEX(PkLoanA,102),CalcAmt)+SUMIF(CalcDebit2,INDEX(PkLoanA,102),CalcAmt2)))</f>
        <v/>
      </c>
      <c r="F1246" s="14">
        <f>IF($B1246="","",IF(102&gt;NLoanA,0,SUMIF(CalcCredit,INDEX(PkLoanA,102),CalcAmt)+SUMIF(CalcCredit2,INDEX(PkLoanA,102),CalcAmt2)))</f>
        <v/>
      </c>
      <c r="G1246" s="15">
        <f>IF($B1246="","",ROUND($E1246-$F1246,0))</f>
        <v/>
      </c>
      <c r="H1246" s="12">
        <f>IF($B1246="","",IF(ROUND($G1246,0)&gt;0,"بدهکار",IF(ROUND($G1246,0)&lt;0,"بستانکار","تسویه")))</f>
        <v/>
      </c>
    </row>
    <row r="1247">
      <c r="A1247" s="16">
        <f>IF($B1247="","",1238)</f>
        <v/>
      </c>
      <c r="B1247" s="17">
        <f>IF(103&gt;NLoanA,"",IFERROR(IF(VLOOKUP(INDEX(PkLoanA,103),AcctTblA,4,0)="","(بدون نام)",VLOOKUP(INDEX(PkLoanA,103),AcctTblA,4,0)),"—"))</f>
        <v/>
      </c>
      <c r="C1247" s="18">
        <f>IF($B1247="","",IF(103&gt;NLoanA,"",INDEX(PkLoanA,103)))</f>
        <v/>
      </c>
      <c r="D1247" s="17">
        <f>IF($B1247="","","l")</f>
        <v/>
      </c>
      <c r="E1247" s="19">
        <f>IF($B1247="","",IF(103&gt;NLoanA,0,SUMIF(CalcDebit,INDEX(PkLoanA,103),CalcAmt)+SUMIF(CalcDebit2,INDEX(PkLoanA,103),CalcAmt2)))</f>
        <v/>
      </c>
      <c r="F1247" s="19">
        <f>IF($B1247="","",IF(103&gt;NLoanA,0,SUMIF(CalcCredit,INDEX(PkLoanA,103),CalcAmt)+SUMIF(CalcCredit2,INDEX(PkLoanA,103),CalcAmt2)))</f>
        <v/>
      </c>
      <c r="G1247" s="20">
        <f>IF($B1247="","",ROUND($E1247-$F1247,0))</f>
        <v/>
      </c>
      <c r="H1247" s="17">
        <f>IF($B1247="","",IF(ROUND($G1247,0)&gt;0,"بدهکار",IF(ROUND($G1247,0)&lt;0,"بستانکار","تسویه")))</f>
        <v/>
      </c>
    </row>
    <row r="1248">
      <c r="A1248" s="11">
        <f>IF($B1248="","",1239)</f>
        <v/>
      </c>
      <c r="B1248" s="12">
        <f>IF(104&gt;NLoanA,"",IFERROR(IF(VLOOKUP(INDEX(PkLoanA,104),AcctTblA,4,0)="","(بدون نام)",VLOOKUP(INDEX(PkLoanA,104),AcctTblA,4,0)),"—"))</f>
        <v/>
      </c>
      <c r="C1248" s="13">
        <f>IF($B1248="","",IF(104&gt;NLoanA,"",INDEX(PkLoanA,104)))</f>
        <v/>
      </c>
      <c r="D1248" s="12">
        <f>IF($B1248="","","l")</f>
        <v/>
      </c>
      <c r="E1248" s="14">
        <f>IF($B1248="","",IF(104&gt;NLoanA,0,SUMIF(CalcDebit,INDEX(PkLoanA,104),CalcAmt)+SUMIF(CalcDebit2,INDEX(PkLoanA,104),CalcAmt2)))</f>
        <v/>
      </c>
      <c r="F1248" s="14">
        <f>IF($B1248="","",IF(104&gt;NLoanA,0,SUMIF(CalcCredit,INDEX(PkLoanA,104),CalcAmt)+SUMIF(CalcCredit2,INDEX(PkLoanA,104),CalcAmt2)))</f>
        <v/>
      </c>
      <c r="G1248" s="15">
        <f>IF($B1248="","",ROUND($E1248-$F1248,0))</f>
        <v/>
      </c>
      <c r="H1248" s="12">
        <f>IF($B1248="","",IF(ROUND($G1248,0)&gt;0,"بدهکار",IF(ROUND($G1248,0)&lt;0,"بستانکار","تسویه")))</f>
        <v/>
      </c>
    </row>
    <row r="1249">
      <c r="A1249" s="16">
        <f>IF($B1249="","",1240)</f>
        <v/>
      </c>
      <c r="B1249" s="17">
        <f>IF(105&gt;NLoanA,"",IFERROR(IF(VLOOKUP(INDEX(PkLoanA,105),AcctTblA,4,0)="","(بدون نام)",VLOOKUP(INDEX(PkLoanA,105),AcctTblA,4,0)),"—"))</f>
        <v/>
      </c>
      <c r="C1249" s="18">
        <f>IF($B1249="","",IF(105&gt;NLoanA,"",INDEX(PkLoanA,105)))</f>
        <v/>
      </c>
      <c r="D1249" s="17">
        <f>IF($B1249="","","l")</f>
        <v/>
      </c>
      <c r="E1249" s="19">
        <f>IF($B1249="","",IF(105&gt;NLoanA,0,SUMIF(CalcDebit,INDEX(PkLoanA,105),CalcAmt)+SUMIF(CalcDebit2,INDEX(PkLoanA,105),CalcAmt2)))</f>
        <v/>
      </c>
      <c r="F1249" s="19">
        <f>IF($B1249="","",IF(105&gt;NLoanA,0,SUMIF(CalcCredit,INDEX(PkLoanA,105),CalcAmt)+SUMIF(CalcCredit2,INDEX(PkLoanA,105),CalcAmt2)))</f>
        <v/>
      </c>
      <c r="G1249" s="20">
        <f>IF($B1249="","",ROUND($E1249-$F1249,0))</f>
        <v/>
      </c>
      <c r="H1249" s="17">
        <f>IF($B1249="","",IF(ROUND($G1249,0)&gt;0,"بدهکار",IF(ROUND($G1249,0)&lt;0,"بستانکار","تسویه")))</f>
        <v/>
      </c>
    </row>
    <row r="1250">
      <c r="A1250" s="11">
        <f>IF($B1250="","",1241)</f>
        <v/>
      </c>
      <c r="B1250" s="12">
        <f>IF(106&gt;NLoanA,"",IFERROR(IF(VLOOKUP(INDEX(PkLoanA,106),AcctTblA,4,0)="","(بدون نام)",VLOOKUP(INDEX(PkLoanA,106),AcctTblA,4,0)),"—"))</f>
        <v/>
      </c>
      <c r="C1250" s="13">
        <f>IF($B1250="","",IF(106&gt;NLoanA,"",INDEX(PkLoanA,106)))</f>
        <v/>
      </c>
      <c r="D1250" s="12">
        <f>IF($B1250="","","l")</f>
        <v/>
      </c>
      <c r="E1250" s="14">
        <f>IF($B1250="","",IF(106&gt;NLoanA,0,SUMIF(CalcDebit,INDEX(PkLoanA,106),CalcAmt)+SUMIF(CalcDebit2,INDEX(PkLoanA,106),CalcAmt2)))</f>
        <v/>
      </c>
      <c r="F1250" s="14">
        <f>IF($B1250="","",IF(106&gt;NLoanA,0,SUMIF(CalcCredit,INDEX(PkLoanA,106),CalcAmt)+SUMIF(CalcCredit2,INDEX(PkLoanA,106),CalcAmt2)))</f>
        <v/>
      </c>
      <c r="G1250" s="15">
        <f>IF($B1250="","",ROUND($E1250-$F1250,0))</f>
        <v/>
      </c>
      <c r="H1250" s="12">
        <f>IF($B1250="","",IF(ROUND($G1250,0)&gt;0,"بدهکار",IF(ROUND($G1250,0)&lt;0,"بستانکار","تسویه")))</f>
        <v/>
      </c>
    </row>
    <row r="1251">
      <c r="A1251" s="16">
        <f>IF($B1251="","",1242)</f>
        <v/>
      </c>
      <c r="B1251" s="17">
        <f>IF(107&gt;NLoanA,"",IFERROR(IF(VLOOKUP(INDEX(PkLoanA,107),AcctTblA,4,0)="","(بدون نام)",VLOOKUP(INDEX(PkLoanA,107),AcctTblA,4,0)),"—"))</f>
        <v/>
      </c>
      <c r="C1251" s="18">
        <f>IF($B1251="","",IF(107&gt;NLoanA,"",INDEX(PkLoanA,107)))</f>
        <v/>
      </c>
      <c r="D1251" s="17">
        <f>IF($B1251="","","l")</f>
        <v/>
      </c>
      <c r="E1251" s="19">
        <f>IF($B1251="","",IF(107&gt;NLoanA,0,SUMIF(CalcDebit,INDEX(PkLoanA,107),CalcAmt)+SUMIF(CalcDebit2,INDEX(PkLoanA,107),CalcAmt2)))</f>
        <v/>
      </c>
      <c r="F1251" s="19">
        <f>IF($B1251="","",IF(107&gt;NLoanA,0,SUMIF(CalcCredit,INDEX(PkLoanA,107),CalcAmt)+SUMIF(CalcCredit2,INDEX(PkLoanA,107),CalcAmt2)))</f>
        <v/>
      </c>
      <c r="G1251" s="20">
        <f>IF($B1251="","",ROUND($E1251-$F1251,0))</f>
        <v/>
      </c>
      <c r="H1251" s="17">
        <f>IF($B1251="","",IF(ROUND($G1251,0)&gt;0,"بدهکار",IF(ROUND($G1251,0)&lt;0,"بستانکار","تسویه")))</f>
        <v/>
      </c>
    </row>
    <row r="1252">
      <c r="A1252" s="11">
        <f>IF($B1252="","",1243)</f>
        <v/>
      </c>
      <c r="B1252" s="12">
        <f>IF(108&gt;NLoanA,"",IFERROR(IF(VLOOKUP(INDEX(PkLoanA,108),AcctTblA,4,0)="","(بدون نام)",VLOOKUP(INDEX(PkLoanA,108),AcctTblA,4,0)),"—"))</f>
        <v/>
      </c>
      <c r="C1252" s="13">
        <f>IF($B1252="","",IF(108&gt;NLoanA,"",INDEX(PkLoanA,108)))</f>
        <v/>
      </c>
      <c r="D1252" s="12">
        <f>IF($B1252="","","l")</f>
        <v/>
      </c>
      <c r="E1252" s="14">
        <f>IF($B1252="","",IF(108&gt;NLoanA,0,SUMIF(CalcDebit,INDEX(PkLoanA,108),CalcAmt)+SUMIF(CalcDebit2,INDEX(PkLoanA,108),CalcAmt2)))</f>
        <v/>
      </c>
      <c r="F1252" s="14">
        <f>IF($B1252="","",IF(108&gt;NLoanA,0,SUMIF(CalcCredit,INDEX(PkLoanA,108),CalcAmt)+SUMIF(CalcCredit2,INDEX(PkLoanA,108),CalcAmt2)))</f>
        <v/>
      </c>
      <c r="G1252" s="15">
        <f>IF($B1252="","",ROUND($E1252-$F1252,0))</f>
        <v/>
      </c>
      <c r="H1252" s="12">
        <f>IF($B1252="","",IF(ROUND($G1252,0)&gt;0,"بدهکار",IF(ROUND($G1252,0)&lt;0,"بستانکار","تسویه")))</f>
        <v/>
      </c>
    </row>
    <row r="1253">
      <c r="A1253" s="16">
        <f>IF($B1253="","",1244)</f>
        <v/>
      </c>
      <c r="B1253" s="17">
        <f>IF(109&gt;NLoanA,"",IFERROR(IF(VLOOKUP(INDEX(PkLoanA,109),AcctTblA,4,0)="","(بدون نام)",VLOOKUP(INDEX(PkLoanA,109),AcctTblA,4,0)),"—"))</f>
        <v/>
      </c>
      <c r="C1253" s="18">
        <f>IF($B1253="","",IF(109&gt;NLoanA,"",INDEX(PkLoanA,109)))</f>
        <v/>
      </c>
      <c r="D1253" s="17">
        <f>IF($B1253="","","l")</f>
        <v/>
      </c>
      <c r="E1253" s="19">
        <f>IF($B1253="","",IF(109&gt;NLoanA,0,SUMIF(CalcDebit,INDEX(PkLoanA,109),CalcAmt)+SUMIF(CalcDebit2,INDEX(PkLoanA,109),CalcAmt2)))</f>
        <v/>
      </c>
      <c r="F1253" s="19">
        <f>IF($B1253="","",IF(109&gt;NLoanA,0,SUMIF(CalcCredit,INDEX(PkLoanA,109),CalcAmt)+SUMIF(CalcCredit2,INDEX(PkLoanA,109),CalcAmt2)))</f>
        <v/>
      </c>
      <c r="G1253" s="20">
        <f>IF($B1253="","",ROUND($E1253-$F1253,0))</f>
        <v/>
      </c>
      <c r="H1253" s="17">
        <f>IF($B1253="","",IF(ROUND($G1253,0)&gt;0,"بدهکار",IF(ROUND($G1253,0)&lt;0,"بستانکار","تسویه")))</f>
        <v/>
      </c>
    </row>
    <row r="1254">
      <c r="A1254" s="11">
        <f>IF($B1254="","",1245)</f>
        <v/>
      </c>
      <c r="B1254" s="12">
        <f>IF(110&gt;NLoanA,"",IFERROR(IF(VLOOKUP(INDEX(PkLoanA,110),AcctTblA,4,0)="","(بدون نام)",VLOOKUP(INDEX(PkLoanA,110),AcctTblA,4,0)),"—"))</f>
        <v/>
      </c>
      <c r="C1254" s="13">
        <f>IF($B1254="","",IF(110&gt;NLoanA,"",INDEX(PkLoanA,110)))</f>
        <v/>
      </c>
      <c r="D1254" s="12">
        <f>IF($B1254="","","l")</f>
        <v/>
      </c>
      <c r="E1254" s="14">
        <f>IF($B1254="","",IF(110&gt;NLoanA,0,SUMIF(CalcDebit,INDEX(PkLoanA,110),CalcAmt)+SUMIF(CalcDebit2,INDEX(PkLoanA,110),CalcAmt2)))</f>
        <v/>
      </c>
      <c r="F1254" s="14">
        <f>IF($B1254="","",IF(110&gt;NLoanA,0,SUMIF(CalcCredit,INDEX(PkLoanA,110),CalcAmt)+SUMIF(CalcCredit2,INDEX(PkLoanA,110),CalcAmt2)))</f>
        <v/>
      </c>
      <c r="G1254" s="15">
        <f>IF($B1254="","",ROUND($E1254-$F1254,0))</f>
        <v/>
      </c>
      <c r="H1254" s="12">
        <f>IF($B1254="","",IF(ROUND($G1254,0)&gt;0,"بدهکار",IF(ROUND($G1254,0)&lt;0,"بستانکار","تسویه")))</f>
        <v/>
      </c>
    </row>
    <row r="1255">
      <c r="A1255" s="16">
        <f>IF($B1255="","",1246)</f>
        <v/>
      </c>
      <c r="B1255" s="17">
        <f>IF(111&gt;NLoanA,"",IFERROR(IF(VLOOKUP(INDEX(PkLoanA,111),AcctTblA,4,0)="","(بدون نام)",VLOOKUP(INDEX(PkLoanA,111),AcctTblA,4,0)),"—"))</f>
        <v/>
      </c>
      <c r="C1255" s="18">
        <f>IF($B1255="","",IF(111&gt;NLoanA,"",INDEX(PkLoanA,111)))</f>
        <v/>
      </c>
      <c r="D1255" s="17">
        <f>IF($B1255="","","l")</f>
        <v/>
      </c>
      <c r="E1255" s="19">
        <f>IF($B1255="","",IF(111&gt;NLoanA,0,SUMIF(CalcDebit,INDEX(PkLoanA,111),CalcAmt)+SUMIF(CalcDebit2,INDEX(PkLoanA,111),CalcAmt2)))</f>
        <v/>
      </c>
      <c r="F1255" s="19">
        <f>IF($B1255="","",IF(111&gt;NLoanA,0,SUMIF(CalcCredit,INDEX(PkLoanA,111),CalcAmt)+SUMIF(CalcCredit2,INDEX(PkLoanA,111),CalcAmt2)))</f>
        <v/>
      </c>
      <c r="G1255" s="20">
        <f>IF($B1255="","",ROUND($E1255-$F1255,0))</f>
        <v/>
      </c>
      <c r="H1255" s="17">
        <f>IF($B1255="","",IF(ROUND($G1255,0)&gt;0,"بدهکار",IF(ROUND($G1255,0)&lt;0,"بستانکار","تسویه")))</f>
        <v/>
      </c>
    </row>
    <row r="1256">
      <c r="A1256" s="11">
        <f>IF($B1256="","",1247)</f>
        <v/>
      </c>
      <c r="B1256" s="12">
        <f>IF(112&gt;NLoanA,"",IFERROR(IF(VLOOKUP(INDEX(PkLoanA,112),AcctTblA,4,0)="","(بدون نام)",VLOOKUP(INDEX(PkLoanA,112),AcctTblA,4,0)),"—"))</f>
        <v/>
      </c>
      <c r="C1256" s="13">
        <f>IF($B1256="","",IF(112&gt;NLoanA,"",INDEX(PkLoanA,112)))</f>
        <v/>
      </c>
      <c r="D1256" s="12">
        <f>IF($B1256="","","l")</f>
        <v/>
      </c>
      <c r="E1256" s="14">
        <f>IF($B1256="","",IF(112&gt;NLoanA,0,SUMIF(CalcDebit,INDEX(PkLoanA,112),CalcAmt)+SUMIF(CalcDebit2,INDEX(PkLoanA,112),CalcAmt2)))</f>
        <v/>
      </c>
      <c r="F1256" s="14">
        <f>IF($B1256="","",IF(112&gt;NLoanA,0,SUMIF(CalcCredit,INDEX(PkLoanA,112),CalcAmt)+SUMIF(CalcCredit2,INDEX(PkLoanA,112),CalcAmt2)))</f>
        <v/>
      </c>
      <c r="G1256" s="15">
        <f>IF($B1256="","",ROUND($E1256-$F1256,0))</f>
        <v/>
      </c>
      <c r="H1256" s="12">
        <f>IF($B1256="","",IF(ROUND($G1256,0)&gt;0,"بدهکار",IF(ROUND($G1256,0)&lt;0,"بستانکار","تسویه")))</f>
        <v/>
      </c>
    </row>
    <row r="1257">
      <c r="A1257" s="16">
        <f>IF($B1257="","",1248)</f>
        <v/>
      </c>
      <c r="B1257" s="17">
        <f>IF(113&gt;NLoanA,"",IFERROR(IF(VLOOKUP(INDEX(PkLoanA,113),AcctTblA,4,0)="","(بدون نام)",VLOOKUP(INDEX(PkLoanA,113),AcctTblA,4,0)),"—"))</f>
        <v/>
      </c>
      <c r="C1257" s="18">
        <f>IF($B1257="","",IF(113&gt;NLoanA,"",INDEX(PkLoanA,113)))</f>
        <v/>
      </c>
      <c r="D1257" s="17">
        <f>IF($B1257="","","l")</f>
        <v/>
      </c>
      <c r="E1257" s="19">
        <f>IF($B1257="","",IF(113&gt;NLoanA,0,SUMIF(CalcDebit,INDEX(PkLoanA,113),CalcAmt)+SUMIF(CalcDebit2,INDEX(PkLoanA,113),CalcAmt2)))</f>
        <v/>
      </c>
      <c r="F1257" s="19">
        <f>IF($B1257="","",IF(113&gt;NLoanA,0,SUMIF(CalcCredit,INDEX(PkLoanA,113),CalcAmt)+SUMIF(CalcCredit2,INDEX(PkLoanA,113),CalcAmt2)))</f>
        <v/>
      </c>
      <c r="G1257" s="20">
        <f>IF($B1257="","",ROUND($E1257-$F1257,0))</f>
        <v/>
      </c>
      <c r="H1257" s="17">
        <f>IF($B1257="","",IF(ROUND($G1257,0)&gt;0,"بدهکار",IF(ROUND($G1257,0)&lt;0,"بستانکار","تسویه")))</f>
        <v/>
      </c>
    </row>
    <row r="1258">
      <c r="A1258" s="11">
        <f>IF($B1258="","",1249)</f>
        <v/>
      </c>
      <c r="B1258" s="12">
        <f>IF(114&gt;NLoanA,"",IFERROR(IF(VLOOKUP(INDEX(PkLoanA,114),AcctTblA,4,0)="","(بدون نام)",VLOOKUP(INDEX(PkLoanA,114),AcctTblA,4,0)),"—"))</f>
        <v/>
      </c>
      <c r="C1258" s="13">
        <f>IF($B1258="","",IF(114&gt;NLoanA,"",INDEX(PkLoanA,114)))</f>
        <v/>
      </c>
      <c r="D1258" s="12">
        <f>IF($B1258="","","l")</f>
        <v/>
      </c>
      <c r="E1258" s="14">
        <f>IF($B1258="","",IF(114&gt;NLoanA,0,SUMIF(CalcDebit,INDEX(PkLoanA,114),CalcAmt)+SUMIF(CalcDebit2,INDEX(PkLoanA,114),CalcAmt2)))</f>
        <v/>
      </c>
      <c r="F1258" s="14">
        <f>IF($B1258="","",IF(114&gt;NLoanA,0,SUMIF(CalcCredit,INDEX(PkLoanA,114),CalcAmt)+SUMIF(CalcCredit2,INDEX(PkLoanA,114),CalcAmt2)))</f>
        <v/>
      </c>
      <c r="G1258" s="15">
        <f>IF($B1258="","",ROUND($E1258-$F1258,0))</f>
        <v/>
      </c>
      <c r="H1258" s="12">
        <f>IF($B1258="","",IF(ROUND($G1258,0)&gt;0,"بدهکار",IF(ROUND($G1258,0)&lt;0,"بستانکار","تسویه")))</f>
        <v/>
      </c>
    </row>
    <row r="1259">
      <c r="A1259" s="16">
        <f>IF($B1259="","",1250)</f>
        <v/>
      </c>
      <c r="B1259" s="17">
        <f>IF(115&gt;NLoanA,"",IFERROR(IF(VLOOKUP(INDEX(PkLoanA,115),AcctTblA,4,0)="","(بدون نام)",VLOOKUP(INDEX(PkLoanA,115),AcctTblA,4,0)),"—"))</f>
        <v/>
      </c>
      <c r="C1259" s="18">
        <f>IF($B1259="","",IF(115&gt;NLoanA,"",INDEX(PkLoanA,115)))</f>
        <v/>
      </c>
      <c r="D1259" s="17">
        <f>IF($B1259="","","l")</f>
        <v/>
      </c>
      <c r="E1259" s="19">
        <f>IF($B1259="","",IF(115&gt;NLoanA,0,SUMIF(CalcDebit,INDEX(PkLoanA,115),CalcAmt)+SUMIF(CalcDebit2,INDEX(PkLoanA,115),CalcAmt2)))</f>
        <v/>
      </c>
      <c r="F1259" s="19">
        <f>IF($B1259="","",IF(115&gt;NLoanA,0,SUMIF(CalcCredit,INDEX(PkLoanA,115),CalcAmt)+SUMIF(CalcCredit2,INDEX(PkLoanA,115),CalcAmt2)))</f>
        <v/>
      </c>
      <c r="G1259" s="20">
        <f>IF($B1259="","",ROUND($E1259-$F1259,0))</f>
        <v/>
      </c>
      <c r="H1259" s="17">
        <f>IF($B1259="","",IF(ROUND($G1259,0)&gt;0,"بدهکار",IF(ROUND($G1259,0)&lt;0,"بستانکار","تسویه")))</f>
        <v/>
      </c>
    </row>
    <row r="1260">
      <c r="A1260" s="11">
        <f>IF($B1260="","",1251)</f>
        <v/>
      </c>
      <c r="B1260" s="12">
        <f>IF(116&gt;NLoanA,"",IFERROR(IF(VLOOKUP(INDEX(PkLoanA,116),AcctTblA,4,0)="","(بدون نام)",VLOOKUP(INDEX(PkLoanA,116),AcctTblA,4,0)),"—"))</f>
        <v/>
      </c>
      <c r="C1260" s="13">
        <f>IF($B1260="","",IF(116&gt;NLoanA,"",INDEX(PkLoanA,116)))</f>
        <v/>
      </c>
      <c r="D1260" s="12">
        <f>IF($B1260="","","l")</f>
        <v/>
      </c>
      <c r="E1260" s="14">
        <f>IF($B1260="","",IF(116&gt;NLoanA,0,SUMIF(CalcDebit,INDEX(PkLoanA,116),CalcAmt)+SUMIF(CalcDebit2,INDEX(PkLoanA,116),CalcAmt2)))</f>
        <v/>
      </c>
      <c r="F1260" s="14">
        <f>IF($B1260="","",IF(116&gt;NLoanA,0,SUMIF(CalcCredit,INDEX(PkLoanA,116),CalcAmt)+SUMIF(CalcCredit2,INDEX(PkLoanA,116),CalcAmt2)))</f>
        <v/>
      </c>
      <c r="G1260" s="15">
        <f>IF($B1260="","",ROUND($E1260-$F1260,0))</f>
        <v/>
      </c>
      <c r="H1260" s="12">
        <f>IF($B1260="","",IF(ROUND($G1260,0)&gt;0,"بدهکار",IF(ROUND($G1260,0)&lt;0,"بستانکار","تسویه")))</f>
        <v/>
      </c>
    </row>
    <row r="1261">
      <c r="A1261" s="16">
        <f>IF($B1261="","",1252)</f>
        <v/>
      </c>
      <c r="B1261" s="17">
        <f>IF(117&gt;NLoanA,"",IFERROR(IF(VLOOKUP(INDEX(PkLoanA,117),AcctTblA,4,0)="","(بدون نام)",VLOOKUP(INDEX(PkLoanA,117),AcctTblA,4,0)),"—"))</f>
        <v/>
      </c>
      <c r="C1261" s="18">
        <f>IF($B1261="","",IF(117&gt;NLoanA,"",INDEX(PkLoanA,117)))</f>
        <v/>
      </c>
      <c r="D1261" s="17">
        <f>IF($B1261="","","l")</f>
        <v/>
      </c>
      <c r="E1261" s="19">
        <f>IF($B1261="","",IF(117&gt;NLoanA,0,SUMIF(CalcDebit,INDEX(PkLoanA,117),CalcAmt)+SUMIF(CalcDebit2,INDEX(PkLoanA,117),CalcAmt2)))</f>
        <v/>
      </c>
      <c r="F1261" s="19">
        <f>IF($B1261="","",IF(117&gt;NLoanA,0,SUMIF(CalcCredit,INDEX(PkLoanA,117),CalcAmt)+SUMIF(CalcCredit2,INDEX(PkLoanA,117),CalcAmt2)))</f>
        <v/>
      </c>
      <c r="G1261" s="20">
        <f>IF($B1261="","",ROUND($E1261-$F1261,0))</f>
        <v/>
      </c>
      <c r="H1261" s="17">
        <f>IF($B1261="","",IF(ROUND($G1261,0)&gt;0,"بدهکار",IF(ROUND($G1261,0)&lt;0,"بستانکار","تسویه")))</f>
        <v/>
      </c>
    </row>
    <row r="1262">
      <c r="A1262" s="11">
        <f>IF($B1262="","",1253)</f>
        <v/>
      </c>
      <c r="B1262" s="12">
        <f>IF(118&gt;NLoanA,"",IFERROR(IF(VLOOKUP(INDEX(PkLoanA,118),AcctTblA,4,0)="","(بدون نام)",VLOOKUP(INDEX(PkLoanA,118),AcctTblA,4,0)),"—"))</f>
        <v/>
      </c>
      <c r="C1262" s="13">
        <f>IF($B1262="","",IF(118&gt;NLoanA,"",INDEX(PkLoanA,118)))</f>
        <v/>
      </c>
      <c r="D1262" s="12">
        <f>IF($B1262="","","l")</f>
        <v/>
      </c>
      <c r="E1262" s="14">
        <f>IF($B1262="","",IF(118&gt;NLoanA,0,SUMIF(CalcDebit,INDEX(PkLoanA,118),CalcAmt)+SUMIF(CalcDebit2,INDEX(PkLoanA,118),CalcAmt2)))</f>
        <v/>
      </c>
      <c r="F1262" s="14">
        <f>IF($B1262="","",IF(118&gt;NLoanA,0,SUMIF(CalcCredit,INDEX(PkLoanA,118),CalcAmt)+SUMIF(CalcCredit2,INDEX(PkLoanA,118),CalcAmt2)))</f>
        <v/>
      </c>
      <c r="G1262" s="15">
        <f>IF($B1262="","",ROUND($E1262-$F1262,0))</f>
        <v/>
      </c>
      <c r="H1262" s="12">
        <f>IF($B1262="","",IF(ROUND($G1262,0)&gt;0,"بدهکار",IF(ROUND($G1262,0)&lt;0,"بستانکار","تسویه")))</f>
        <v/>
      </c>
    </row>
    <row r="1263">
      <c r="A1263" s="16">
        <f>IF($B1263="","",1254)</f>
        <v/>
      </c>
      <c r="B1263" s="17">
        <f>IF(119&gt;NLoanA,"",IFERROR(IF(VLOOKUP(INDEX(PkLoanA,119),AcctTblA,4,0)="","(بدون نام)",VLOOKUP(INDEX(PkLoanA,119),AcctTblA,4,0)),"—"))</f>
        <v/>
      </c>
      <c r="C1263" s="18">
        <f>IF($B1263="","",IF(119&gt;NLoanA,"",INDEX(PkLoanA,119)))</f>
        <v/>
      </c>
      <c r="D1263" s="17">
        <f>IF($B1263="","","l")</f>
        <v/>
      </c>
      <c r="E1263" s="19">
        <f>IF($B1263="","",IF(119&gt;NLoanA,0,SUMIF(CalcDebit,INDEX(PkLoanA,119),CalcAmt)+SUMIF(CalcDebit2,INDEX(PkLoanA,119),CalcAmt2)))</f>
        <v/>
      </c>
      <c r="F1263" s="19">
        <f>IF($B1263="","",IF(119&gt;NLoanA,0,SUMIF(CalcCredit,INDEX(PkLoanA,119),CalcAmt)+SUMIF(CalcCredit2,INDEX(PkLoanA,119),CalcAmt2)))</f>
        <v/>
      </c>
      <c r="G1263" s="20">
        <f>IF($B1263="","",ROUND($E1263-$F1263,0))</f>
        <v/>
      </c>
      <c r="H1263" s="17">
        <f>IF($B1263="","",IF(ROUND($G1263,0)&gt;0,"بدهکار",IF(ROUND($G1263,0)&lt;0,"بستانکار","تسویه")))</f>
        <v/>
      </c>
    </row>
    <row r="1264">
      <c r="A1264" s="11">
        <f>IF($B1264="","",1255)</f>
        <v/>
      </c>
      <c r="B1264" s="12">
        <f>IF(120&gt;NLoanA,"",IFERROR(IF(VLOOKUP(INDEX(PkLoanA,120),AcctTblA,4,0)="","(بدون نام)",VLOOKUP(INDEX(PkLoanA,120),AcctTblA,4,0)),"—"))</f>
        <v/>
      </c>
      <c r="C1264" s="13">
        <f>IF($B1264="","",IF(120&gt;NLoanA,"",INDEX(PkLoanA,120)))</f>
        <v/>
      </c>
      <c r="D1264" s="12">
        <f>IF($B1264="","","l")</f>
        <v/>
      </c>
      <c r="E1264" s="14">
        <f>IF($B1264="","",IF(120&gt;NLoanA,0,SUMIF(CalcDebit,INDEX(PkLoanA,120),CalcAmt)+SUMIF(CalcDebit2,INDEX(PkLoanA,120),CalcAmt2)))</f>
        <v/>
      </c>
      <c r="F1264" s="14">
        <f>IF($B1264="","",IF(120&gt;NLoanA,0,SUMIF(CalcCredit,INDEX(PkLoanA,120),CalcAmt)+SUMIF(CalcCredit2,INDEX(PkLoanA,120),CalcAmt2)))</f>
        <v/>
      </c>
      <c r="G1264" s="15">
        <f>IF($B1264="","",ROUND($E1264-$F1264,0))</f>
        <v/>
      </c>
      <c r="H1264" s="12">
        <f>IF($B1264="","",IF(ROUND($G1264,0)&gt;0,"بدهکار",IF(ROUND($G1264,0)&lt;0,"بستانکار","تسویه")))</f>
        <v/>
      </c>
    </row>
    <row r="1265">
      <c r="A1265" s="16">
        <f>IF($B1265="","",1256)</f>
        <v/>
      </c>
      <c r="B1265" s="17">
        <f>IF(121&gt;NLoanA,"",IFERROR(IF(VLOOKUP(INDEX(PkLoanA,121),AcctTblA,4,0)="","(بدون نام)",VLOOKUP(INDEX(PkLoanA,121),AcctTblA,4,0)),"—"))</f>
        <v/>
      </c>
      <c r="C1265" s="18">
        <f>IF($B1265="","",IF(121&gt;NLoanA,"",INDEX(PkLoanA,121)))</f>
        <v/>
      </c>
      <c r="D1265" s="17">
        <f>IF($B1265="","","l")</f>
        <v/>
      </c>
      <c r="E1265" s="19">
        <f>IF($B1265="","",IF(121&gt;NLoanA,0,SUMIF(CalcDebit,INDEX(PkLoanA,121),CalcAmt)+SUMIF(CalcDebit2,INDEX(PkLoanA,121),CalcAmt2)))</f>
        <v/>
      </c>
      <c r="F1265" s="19">
        <f>IF($B1265="","",IF(121&gt;NLoanA,0,SUMIF(CalcCredit,INDEX(PkLoanA,121),CalcAmt)+SUMIF(CalcCredit2,INDEX(PkLoanA,121),CalcAmt2)))</f>
        <v/>
      </c>
      <c r="G1265" s="20">
        <f>IF($B1265="","",ROUND($E1265-$F1265,0))</f>
        <v/>
      </c>
      <c r="H1265" s="17">
        <f>IF($B1265="","",IF(ROUND($G1265,0)&gt;0,"بدهکار",IF(ROUND($G1265,0)&lt;0,"بستانکار","تسویه")))</f>
        <v/>
      </c>
    </row>
    <row r="1266">
      <c r="A1266" s="11">
        <f>IF($B1266="","",1257)</f>
        <v/>
      </c>
      <c r="B1266" s="12">
        <f>IF(122&gt;NLoanA,"",IFERROR(IF(VLOOKUP(INDEX(PkLoanA,122),AcctTblA,4,0)="","(بدون نام)",VLOOKUP(INDEX(PkLoanA,122),AcctTblA,4,0)),"—"))</f>
        <v/>
      </c>
      <c r="C1266" s="13">
        <f>IF($B1266="","",IF(122&gt;NLoanA,"",INDEX(PkLoanA,122)))</f>
        <v/>
      </c>
      <c r="D1266" s="12">
        <f>IF($B1266="","","l")</f>
        <v/>
      </c>
      <c r="E1266" s="14">
        <f>IF($B1266="","",IF(122&gt;NLoanA,0,SUMIF(CalcDebit,INDEX(PkLoanA,122),CalcAmt)+SUMIF(CalcDebit2,INDEX(PkLoanA,122),CalcAmt2)))</f>
        <v/>
      </c>
      <c r="F1266" s="14">
        <f>IF($B1266="","",IF(122&gt;NLoanA,0,SUMIF(CalcCredit,INDEX(PkLoanA,122),CalcAmt)+SUMIF(CalcCredit2,INDEX(PkLoanA,122),CalcAmt2)))</f>
        <v/>
      </c>
      <c r="G1266" s="15">
        <f>IF($B1266="","",ROUND($E1266-$F1266,0))</f>
        <v/>
      </c>
      <c r="H1266" s="12">
        <f>IF($B1266="","",IF(ROUND($G1266,0)&gt;0,"بدهکار",IF(ROUND($G1266,0)&lt;0,"بستانکار","تسویه")))</f>
        <v/>
      </c>
    </row>
    <row r="1267">
      <c r="A1267" s="16">
        <f>IF($B1267="","",1258)</f>
        <v/>
      </c>
      <c r="B1267" s="17">
        <f>IF(123&gt;NLoanA,"",IFERROR(IF(VLOOKUP(INDEX(PkLoanA,123),AcctTblA,4,0)="","(بدون نام)",VLOOKUP(INDEX(PkLoanA,123),AcctTblA,4,0)),"—"))</f>
        <v/>
      </c>
      <c r="C1267" s="18">
        <f>IF($B1267="","",IF(123&gt;NLoanA,"",INDEX(PkLoanA,123)))</f>
        <v/>
      </c>
      <c r="D1267" s="17">
        <f>IF($B1267="","","l")</f>
        <v/>
      </c>
      <c r="E1267" s="19">
        <f>IF($B1267="","",IF(123&gt;NLoanA,0,SUMIF(CalcDebit,INDEX(PkLoanA,123),CalcAmt)+SUMIF(CalcDebit2,INDEX(PkLoanA,123),CalcAmt2)))</f>
        <v/>
      </c>
      <c r="F1267" s="19">
        <f>IF($B1267="","",IF(123&gt;NLoanA,0,SUMIF(CalcCredit,INDEX(PkLoanA,123),CalcAmt)+SUMIF(CalcCredit2,INDEX(PkLoanA,123),CalcAmt2)))</f>
        <v/>
      </c>
      <c r="G1267" s="20">
        <f>IF($B1267="","",ROUND($E1267-$F1267,0))</f>
        <v/>
      </c>
      <c r="H1267" s="17">
        <f>IF($B1267="","",IF(ROUND($G1267,0)&gt;0,"بدهکار",IF(ROUND($G1267,0)&lt;0,"بستانکار","تسویه")))</f>
        <v/>
      </c>
    </row>
    <row r="1268">
      <c r="A1268" s="11">
        <f>IF($B1268="","",1259)</f>
        <v/>
      </c>
      <c r="B1268" s="12">
        <f>IF(124&gt;NLoanA,"",IFERROR(IF(VLOOKUP(INDEX(PkLoanA,124),AcctTblA,4,0)="","(بدون نام)",VLOOKUP(INDEX(PkLoanA,124),AcctTblA,4,0)),"—"))</f>
        <v/>
      </c>
      <c r="C1268" s="13">
        <f>IF($B1268="","",IF(124&gt;NLoanA,"",INDEX(PkLoanA,124)))</f>
        <v/>
      </c>
      <c r="D1268" s="12">
        <f>IF($B1268="","","l")</f>
        <v/>
      </c>
      <c r="E1268" s="14">
        <f>IF($B1268="","",IF(124&gt;NLoanA,0,SUMIF(CalcDebit,INDEX(PkLoanA,124),CalcAmt)+SUMIF(CalcDebit2,INDEX(PkLoanA,124),CalcAmt2)))</f>
        <v/>
      </c>
      <c r="F1268" s="14">
        <f>IF($B1268="","",IF(124&gt;NLoanA,0,SUMIF(CalcCredit,INDEX(PkLoanA,124),CalcAmt)+SUMIF(CalcCredit2,INDEX(PkLoanA,124),CalcAmt2)))</f>
        <v/>
      </c>
      <c r="G1268" s="15">
        <f>IF($B1268="","",ROUND($E1268-$F1268,0))</f>
        <v/>
      </c>
      <c r="H1268" s="12">
        <f>IF($B1268="","",IF(ROUND($G1268,0)&gt;0,"بدهکار",IF(ROUND($G1268,0)&lt;0,"بستانکار","تسویه")))</f>
        <v/>
      </c>
    </row>
    <row r="1269">
      <c r="A1269" s="16">
        <f>IF($B1269="","",1260)</f>
        <v/>
      </c>
      <c r="B1269" s="17">
        <f>IF(125&gt;NLoanA,"",IFERROR(IF(VLOOKUP(INDEX(PkLoanA,125),AcctTblA,4,0)="","(بدون نام)",VLOOKUP(INDEX(PkLoanA,125),AcctTblA,4,0)),"—"))</f>
        <v/>
      </c>
      <c r="C1269" s="18">
        <f>IF($B1269="","",IF(125&gt;NLoanA,"",INDEX(PkLoanA,125)))</f>
        <v/>
      </c>
      <c r="D1269" s="17">
        <f>IF($B1269="","","l")</f>
        <v/>
      </c>
      <c r="E1269" s="19">
        <f>IF($B1269="","",IF(125&gt;NLoanA,0,SUMIF(CalcDebit,INDEX(PkLoanA,125),CalcAmt)+SUMIF(CalcDebit2,INDEX(PkLoanA,125),CalcAmt2)))</f>
        <v/>
      </c>
      <c r="F1269" s="19">
        <f>IF($B1269="","",IF(125&gt;NLoanA,0,SUMIF(CalcCredit,INDEX(PkLoanA,125),CalcAmt)+SUMIF(CalcCredit2,INDEX(PkLoanA,125),CalcAmt2)))</f>
        <v/>
      </c>
      <c r="G1269" s="20">
        <f>IF($B1269="","",ROUND($E1269-$F1269,0))</f>
        <v/>
      </c>
      <c r="H1269" s="17">
        <f>IF($B1269="","",IF(ROUND($G1269,0)&gt;0,"بدهکار",IF(ROUND($G1269,0)&lt;0,"بستانکار","تسویه")))</f>
        <v/>
      </c>
    </row>
    <row r="1270">
      <c r="A1270" s="11">
        <f>IF($B1270="","",1261)</f>
        <v/>
      </c>
      <c r="B1270" s="12">
        <f>IF(126&gt;NLoanA,"",IFERROR(IF(VLOOKUP(INDEX(PkLoanA,126),AcctTblA,4,0)="","(بدون نام)",VLOOKUP(INDEX(PkLoanA,126),AcctTblA,4,0)),"—"))</f>
        <v/>
      </c>
      <c r="C1270" s="13">
        <f>IF($B1270="","",IF(126&gt;NLoanA,"",INDEX(PkLoanA,126)))</f>
        <v/>
      </c>
      <c r="D1270" s="12">
        <f>IF($B1270="","","l")</f>
        <v/>
      </c>
      <c r="E1270" s="14">
        <f>IF($B1270="","",IF(126&gt;NLoanA,0,SUMIF(CalcDebit,INDEX(PkLoanA,126),CalcAmt)+SUMIF(CalcDebit2,INDEX(PkLoanA,126),CalcAmt2)))</f>
        <v/>
      </c>
      <c r="F1270" s="14">
        <f>IF($B1270="","",IF(126&gt;NLoanA,0,SUMIF(CalcCredit,INDEX(PkLoanA,126),CalcAmt)+SUMIF(CalcCredit2,INDEX(PkLoanA,126),CalcAmt2)))</f>
        <v/>
      </c>
      <c r="G1270" s="15">
        <f>IF($B1270="","",ROUND($E1270-$F1270,0))</f>
        <v/>
      </c>
      <c r="H1270" s="12">
        <f>IF($B1270="","",IF(ROUND($G1270,0)&gt;0,"بدهکار",IF(ROUND($G1270,0)&lt;0,"بستانکار","تسویه")))</f>
        <v/>
      </c>
    </row>
    <row r="1271">
      <c r="A1271" s="16">
        <f>IF($B1271="","",1262)</f>
        <v/>
      </c>
      <c r="B1271" s="17">
        <f>IF(127&gt;NLoanA,"",IFERROR(IF(VLOOKUP(INDEX(PkLoanA,127),AcctTblA,4,0)="","(بدون نام)",VLOOKUP(INDEX(PkLoanA,127),AcctTblA,4,0)),"—"))</f>
        <v/>
      </c>
      <c r="C1271" s="18">
        <f>IF($B1271="","",IF(127&gt;NLoanA,"",INDEX(PkLoanA,127)))</f>
        <v/>
      </c>
      <c r="D1271" s="17">
        <f>IF($B1271="","","l")</f>
        <v/>
      </c>
      <c r="E1271" s="19">
        <f>IF($B1271="","",IF(127&gt;NLoanA,0,SUMIF(CalcDebit,INDEX(PkLoanA,127),CalcAmt)+SUMIF(CalcDebit2,INDEX(PkLoanA,127),CalcAmt2)))</f>
        <v/>
      </c>
      <c r="F1271" s="19">
        <f>IF($B1271="","",IF(127&gt;NLoanA,0,SUMIF(CalcCredit,INDEX(PkLoanA,127),CalcAmt)+SUMIF(CalcCredit2,INDEX(PkLoanA,127),CalcAmt2)))</f>
        <v/>
      </c>
      <c r="G1271" s="20">
        <f>IF($B1271="","",ROUND($E1271-$F1271,0))</f>
        <v/>
      </c>
      <c r="H1271" s="17">
        <f>IF($B1271="","",IF(ROUND($G1271,0)&gt;0,"بدهکار",IF(ROUND($G1271,0)&lt;0,"بستانکار","تسویه")))</f>
        <v/>
      </c>
    </row>
    <row r="1272">
      <c r="A1272" s="11">
        <f>IF($B1272="","",1263)</f>
        <v/>
      </c>
      <c r="B1272" s="12">
        <f>IF(128&gt;NLoanA,"",IFERROR(IF(VLOOKUP(INDEX(PkLoanA,128),AcctTblA,4,0)="","(بدون نام)",VLOOKUP(INDEX(PkLoanA,128),AcctTblA,4,0)),"—"))</f>
        <v/>
      </c>
      <c r="C1272" s="13">
        <f>IF($B1272="","",IF(128&gt;NLoanA,"",INDEX(PkLoanA,128)))</f>
        <v/>
      </c>
      <c r="D1272" s="12">
        <f>IF($B1272="","","l")</f>
        <v/>
      </c>
      <c r="E1272" s="14">
        <f>IF($B1272="","",IF(128&gt;NLoanA,0,SUMIF(CalcDebit,INDEX(PkLoanA,128),CalcAmt)+SUMIF(CalcDebit2,INDEX(PkLoanA,128),CalcAmt2)))</f>
        <v/>
      </c>
      <c r="F1272" s="14">
        <f>IF($B1272="","",IF(128&gt;NLoanA,0,SUMIF(CalcCredit,INDEX(PkLoanA,128),CalcAmt)+SUMIF(CalcCredit2,INDEX(PkLoanA,128),CalcAmt2)))</f>
        <v/>
      </c>
      <c r="G1272" s="15">
        <f>IF($B1272="","",ROUND($E1272-$F1272,0))</f>
        <v/>
      </c>
      <c r="H1272" s="12">
        <f>IF($B1272="","",IF(ROUND($G1272,0)&gt;0,"بدهکار",IF(ROUND($G1272,0)&lt;0,"بستانکار","تسویه")))</f>
        <v/>
      </c>
    </row>
    <row r="1273">
      <c r="A1273" s="16">
        <f>IF($B1273="","",1264)</f>
        <v/>
      </c>
      <c r="B1273" s="17">
        <f>IF(129&gt;NLoanA,"",IFERROR(IF(VLOOKUP(INDEX(PkLoanA,129),AcctTblA,4,0)="","(بدون نام)",VLOOKUP(INDEX(PkLoanA,129),AcctTblA,4,0)),"—"))</f>
        <v/>
      </c>
      <c r="C1273" s="18">
        <f>IF($B1273="","",IF(129&gt;NLoanA,"",INDEX(PkLoanA,129)))</f>
        <v/>
      </c>
      <c r="D1273" s="17">
        <f>IF($B1273="","","l")</f>
        <v/>
      </c>
      <c r="E1273" s="19">
        <f>IF($B1273="","",IF(129&gt;NLoanA,0,SUMIF(CalcDebit,INDEX(PkLoanA,129),CalcAmt)+SUMIF(CalcDebit2,INDEX(PkLoanA,129),CalcAmt2)))</f>
        <v/>
      </c>
      <c r="F1273" s="19">
        <f>IF($B1273="","",IF(129&gt;NLoanA,0,SUMIF(CalcCredit,INDEX(PkLoanA,129),CalcAmt)+SUMIF(CalcCredit2,INDEX(PkLoanA,129),CalcAmt2)))</f>
        <v/>
      </c>
      <c r="G1273" s="20">
        <f>IF($B1273="","",ROUND($E1273-$F1273,0))</f>
        <v/>
      </c>
      <c r="H1273" s="17">
        <f>IF($B1273="","",IF(ROUND($G1273,0)&gt;0,"بدهکار",IF(ROUND($G1273,0)&lt;0,"بستانکار","تسویه")))</f>
        <v/>
      </c>
    </row>
    <row r="1274">
      <c r="A1274" s="11">
        <f>IF($B1274="","",1265)</f>
        <v/>
      </c>
      <c r="B1274" s="12">
        <f>IF(130&gt;NLoanA,"",IFERROR(IF(VLOOKUP(INDEX(PkLoanA,130),AcctTblA,4,0)="","(بدون نام)",VLOOKUP(INDEX(PkLoanA,130),AcctTblA,4,0)),"—"))</f>
        <v/>
      </c>
      <c r="C1274" s="13">
        <f>IF($B1274="","",IF(130&gt;NLoanA,"",INDEX(PkLoanA,130)))</f>
        <v/>
      </c>
      <c r="D1274" s="12">
        <f>IF($B1274="","","l")</f>
        <v/>
      </c>
      <c r="E1274" s="14">
        <f>IF($B1274="","",IF(130&gt;NLoanA,0,SUMIF(CalcDebit,INDEX(PkLoanA,130),CalcAmt)+SUMIF(CalcDebit2,INDEX(PkLoanA,130),CalcAmt2)))</f>
        <v/>
      </c>
      <c r="F1274" s="14">
        <f>IF($B1274="","",IF(130&gt;NLoanA,0,SUMIF(CalcCredit,INDEX(PkLoanA,130),CalcAmt)+SUMIF(CalcCredit2,INDEX(PkLoanA,130),CalcAmt2)))</f>
        <v/>
      </c>
      <c r="G1274" s="15">
        <f>IF($B1274="","",ROUND($E1274-$F1274,0))</f>
        <v/>
      </c>
      <c r="H1274" s="12">
        <f>IF($B1274="","",IF(ROUND($G1274,0)&gt;0,"بدهکار",IF(ROUND($G1274,0)&lt;0,"بستانکار","تسویه")))</f>
        <v/>
      </c>
    </row>
    <row r="1275">
      <c r="A1275" s="16">
        <f>IF($B1275="","",1266)</f>
        <v/>
      </c>
      <c r="B1275" s="17">
        <f>IF(131&gt;NLoanA,"",IFERROR(IF(VLOOKUP(INDEX(PkLoanA,131),AcctTblA,4,0)="","(بدون نام)",VLOOKUP(INDEX(PkLoanA,131),AcctTblA,4,0)),"—"))</f>
        <v/>
      </c>
      <c r="C1275" s="18">
        <f>IF($B1275="","",IF(131&gt;NLoanA,"",INDEX(PkLoanA,131)))</f>
        <v/>
      </c>
      <c r="D1275" s="17">
        <f>IF($B1275="","","l")</f>
        <v/>
      </c>
      <c r="E1275" s="19">
        <f>IF($B1275="","",IF(131&gt;NLoanA,0,SUMIF(CalcDebit,INDEX(PkLoanA,131),CalcAmt)+SUMIF(CalcDebit2,INDEX(PkLoanA,131),CalcAmt2)))</f>
        <v/>
      </c>
      <c r="F1275" s="19">
        <f>IF($B1275="","",IF(131&gt;NLoanA,0,SUMIF(CalcCredit,INDEX(PkLoanA,131),CalcAmt)+SUMIF(CalcCredit2,INDEX(PkLoanA,131),CalcAmt2)))</f>
        <v/>
      </c>
      <c r="G1275" s="20">
        <f>IF($B1275="","",ROUND($E1275-$F1275,0))</f>
        <v/>
      </c>
      <c r="H1275" s="17">
        <f>IF($B1275="","",IF(ROUND($G1275,0)&gt;0,"بدهکار",IF(ROUND($G1275,0)&lt;0,"بستانکار","تسویه")))</f>
        <v/>
      </c>
    </row>
    <row r="1276">
      <c r="A1276" s="11">
        <f>IF($B1276="","",1267)</f>
        <v/>
      </c>
      <c r="B1276" s="12">
        <f>IF(132&gt;NLoanA,"",IFERROR(IF(VLOOKUP(INDEX(PkLoanA,132),AcctTblA,4,0)="","(بدون نام)",VLOOKUP(INDEX(PkLoanA,132),AcctTblA,4,0)),"—"))</f>
        <v/>
      </c>
      <c r="C1276" s="13">
        <f>IF($B1276="","",IF(132&gt;NLoanA,"",INDEX(PkLoanA,132)))</f>
        <v/>
      </c>
      <c r="D1276" s="12">
        <f>IF($B1276="","","l")</f>
        <v/>
      </c>
      <c r="E1276" s="14">
        <f>IF($B1276="","",IF(132&gt;NLoanA,0,SUMIF(CalcDebit,INDEX(PkLoanA,132),CalcAmt)+SUMIF(CalcDebit2,INDEX(PkLoanA,132),CalcAmt2)))</f>
        <v/>
      </c>
      <c r="F1276" s="14">
        <f>IF($B1276="","",IF(132&gt;NLoanA,0,SUMIF(CalcCredit,INDEX(PkLoanA,132),CalcAmt)+SUMIF(CalcCredit2,INDEX(PkLoanA,132),CalcAmt2)))</f>
        <v/>
      </c>
      <c r="G1276" s="15">
        <f>IF($B1276="","",ROUND($E1276-$F1276,0))</f>
        <v/>
      </c>
      <c r="H1276" s="12">
        <f>IF($B1276="","",IF(ROUND($G1276,0)&gt;0,"بدهکار",IF(ROUND($G1276,0)&lt;0,"بستانکار","تسویه")))</f>
        <v/>
      </c>
    </row>
    <row r="1277">
      <c r="A1277" s="16">
        <f>IF($B1277="","",1268)</f>
        <v/>
      </c>
      <c r="B1277" s="17">
        <f>IF(133&gt;NLoanA,"",IFERROR(IF(VLOOKUP(INDEX(PkLoanA,133),AcctTblA,4,0)="","(بدون نام)",VLOOKUP(INDEX(PkLoanA,133),AcctTblA,4,0)),"—"))</f>
        <v/>
      </c>
      <c r="C1277" s="18">
        <f>IF($B1277="","",IF(133&gt;NLoanA,"",INDEX(PkLoanA,133)))</f>
        <v/>
      </c>
      <c r="D1277" s="17">
        <f>IF($B1277="","","l")</f>
        <v/>
      </c>
      <c r="E1277" s="19">
        <f>IF($B1277="","",IF(133&gt;NLoanA,0,SUMIF(CalcDebit,INDEX(PkLoanA,133),CalcAmt)+SUMIF(CalcDebit2,INDEX(PkLoanA,133),CalcAmt2)))</f>
        <v/>
      </c>
      <c r="F1277" s="19">
        <f>IF($B1277="","",IF(133&gt;NLoanA,0,SUMIF(CalcCredit,INDEX(PkLoanA,133),CalcAmt)+SUMIF(CalcCredit2,INDEX(PkLoanA,133),CalcAmt2)))</f>
        <v/>
      </c>
      <c r="G1277" s="20">
        <f>IF($B1277="","",ROUND($E1277-$F1277,0))</f>
        <v/>
      </c>
      <c r="H1277" s="17">
        <f>IF($B1277="","",IF(ROUND($G1277,0)&gt;0,"بدهکار",IF(ROUND($G1277,0)&lt;0,"بستانکار","تسویه")))</f>
        <v/>
      </c>
    </row>
    <row r="1278">
      <c r="A1278" s="11">
        <f>IF($B1278="","",1269)</f>
        <v/>
      </c>
      <c r="B1278" s="12">
        <f>IF(134&gt;NLoanA,"",IFERROR(IF(VLOOKUP(INDEX(PkLoanA,134),AcctTblA,4,0)="","(بدون نام)",VLOOKUP(INDEX(PkLoanA,134),AcctTblA,4,0)),"—"))</f>
        <v/>
      </c>
      <c r="C1278" s="13">
        <f>IF($B1278="","",IF(134&gt;NLoanA,"",INDEX(PkLoanA,134)))</f>
        <v/>
      </c>
      <c r="D1278" s="12">
        <f>IF($B1278="","","l")</f>
        <v/>
      </c>
      <c r="E1278" s="14">
        <f>IF($B1278="","",IF(134&gt;NLoanA,0,SUMIF(CalcDebit,INDEX(PkLoanA,134),CalcAmt)+SUMIF(CalcDebit2,INDEX(PkLoanA,134),CalcAmt2)))</f>
        <v/>
      </c>
      <c r="F1278" s="14">
        <f>IF($B1278="","",IF(134&gt;NLoanA,0,SUMIF(CalcCredit,INDEX(PkLoanA,134),CalcAmt)+SUMIF(CalcCredit2,INDEX(PkLoanA,134),CalcAmt2)))</f>
        <v/>
      </c>
      <c r="G1278" s="15">
        <f>IF($B1278="","",ROUND($E1278-$F1278,0))</f>
        <v/>
      </c>
      <c r="H1278" s="12">
        <f>IF($B1278="","",IF(ROUND($G1278,0)&gt;0,"بدهکار",IF(ROUND($G1278,0)&lt;0,"بستانکار","تسویه")))</f>
        <v/>
      </c>
    </row>
    <row r="1279">
      <c r="A1279" s="16">
        <f>IF($B1279="","",1270)</f>
        <v/>
      </c>
      <c r="B1279" s="17">
        <f>IF(135&gt;NLoanA,"",IFERROR(IF(VLOOKUP(INDEX(PkLoanA,135),AcctTblA,4,0)="","(بدون نام)",VLOOKUP(INDEX(PkLoanA,135),AcctTblA,4,0)),"—"))</f>
        <v/>
      </c>
      <c r="C1279" s="18">
        <f>IF($B1279="","",IF(135&gt;NLoanA,"",INDEX(PkLoanA,135)))</f>
        <v/>
      </c>
      <c r="D1279" s="17">
        <f>IF($B1279="","","l")</f>
        <v/>
      </c>
      <c r="E1279" s="19">
        <f>IF($B1279="","",IF(135&gt;NLoanA,0,SUMIF(CalcDebit,INDEX(PkLoanA,135),CalcAmt)+SUMIF(CalcDebit2,INDEX(PkLoanA,135),CalcAmt2)))</f>
        <v/>
      </c>
      <c r="F1279" s="19">
        <f>IF($B1279="","",IF(135&gt;NLoanA,0,SUMIF(CalcCredit,INDEX(PkLoanA,135),CalcAmt)+SUMIF(CalcCredit2,INDEX(PkLoanA,135),CalcAmt2)))</f>
        <v/>
      </c>
      <c r="G1279" s="20">
        <f>IF($B1279="","",ROUND($E1279-$F1279,0))</f>
        <v/>
      </c>
      <c r="H1279" s="17">
        <f>IF($B1279="","",IF(ROUND($G1279,0)&gt;0,"بدهکار",IF(ROUND($G1279,0)&lt;0,"بستانکار","تسویه")))</f>
        <v/>
      </c>
    </row>
    <row r="1280">
      <c r="A1280" s="11">
        <f>IF($B1280="","",1271)</f>
        <v/>
      </c>
      <c r="B1280" s="12">
        <f>IF(136&gt;NLoanA,"",IFERROR(IF(VLOOKUP(INDEX(PkLoanA,136),AcctTblA,4,0)="","(بدون نام)",VLOOKUP(INDEX(PkLoanA,136),AcctTblA,4,0)),"—"))</f>
        <v/>
      </c>
      <c r="C1280" s="13">
        <f>IF($B1280="","",IF(136&gt;NLoanA,"",INDEX(PkLoanA,136)))</f>
        <v/>
      </c>
      <c r="D1280" s="12">
        <f>IF($B1280="","","l")</f>
        <v/>
      </c>
      <c r="E1280" s="14">
        <f>IF($B1280="","",IF(136&gt;NLoanA,0,SUMIF(CalcDebit,INDEX(PkLoanA,136),CalcAmt)+SUMIF(CalcDebit2,INDEX(PkLoanA,136),CalcAmt2)))</f>
        <v/>
      </c>
      <c r="F1280" s="14">
        <f>IF($B1280="","",IF(136&gt;NLoanA,0,SUMIF(CalcCredit,INDEX(PkLoanA,136),CalcAmt)+SUMIF(CalcCredit2,INDEX(PkLoanA,136),CalcAmt2)))</f>
        <v/>
      </c>
      <c r="G1280" s="15">
        <f>IF($B1280="","",ROUND($E1280-$F1280,0))</f>
        <v/>
      </c>
      <c r="H1280" s="12">
        <f>IF($B1280="","",IF(ROUND($G1280,0)&gt;0,"بدهکار",IF(ROUND($G1280,0)&lt;0,"بستانکار","تسویه")))</f>
        <v/>
      </c>
    </row>
    <row r="1281">
      <c r="A1281" s="16">
        <f>IF($B1281="","",1272)</f>
        <v/>
      </c>
      <c r="B1281" s="17">
        <f>IF(137&gt;NLoanA,"",IFERROR(IF(VLOOKUP(INDEX(PkLoanA,137),AcctTblA,4,0)="","(بدون نام)",VLOOKUP(INDEX(PkLoanA,137),AcctTblA,4,0)),"—"))</f>
        <v/>
      </c>
      <c r="C1281" s="18">
        <f>IF($B1281="","",IF(137&gt;NLoanA,"",INDEX(PkLoanA,137)))</f>
        <v/>
      </c>
      <c r="D1281" s="17">
        <f>IF($B1281="","","l")</f>
        <v/>
      </c>
      <c r="E1281" s="19">
        <f>IF($B1281="","",IF(137&gt;NLoanA,0,SUMIF(CalcDebit,INDEX(PkLoanA,137),CalcAmt)+SUMIF(CalcDebit2,INDEX(PkLoanA,137),CalcAmt2)))</f>
        <v/>
      </c>
      <c r="F1281" s="19">
        <f>IF($B1281="","",IF(137&gt;NLoanA,0,SUMIF(CalcCredit,INDEX(PkLoanA,137),CalcAmt)+SUMIF(CalcCredit2,INDEX(PkLoanA,137),CalcAmt2)))</f>
        <v/>
      </c>
      <c r="G1281" s="20">
        <f>IF($B1281="","",ROUND($E1281-$F1281,0))</f>
        <v/>
      </c>
      <c r="H1281" s="17">
        <f>IF($B1281="","",IF(ROUND($G1281,0)&gt;0,"بدهکار",IF(ROUND($G1281,0)&lt;0,"بستانکار","تسویه")))</f>
        <v/>
      </c>
    </row>
    <row r="1282">
      <c r="A1282" s="11">
        <f>IF($B1282="","",1273)</f>
        <v/>
      </c>
      <c r="B1282" s="12">
        <f>IF(138&gt;NLoanA,"",IFERROR(IF(VLOOKUP(INDEX(PkLoanA,138),AcctTblA,4,0)="","(بدون نام)",VLOOKUP(INDEX(PkLoanA,138),AcctTblA,4,0)),"—"))</f>
        <v/>
      </c>
      <c r="C1282" s="13">
        <f>IF($B1282="","",IF(138&gt;NLoanA,"",INDEX(PkLoanA,138)))</f>
        <v/>
      </c>
      <c r="D1282" s="12">
        <f>IF($B1282="","","l")</f>
        <v/>
      </c>
      <c r="E1282" s="14">
        <f>IF($B1282="","",IF(138&gt;NLoanA,0,SUMIF(CalcDebit,INDEX(PkLoanA,138),CalcAmt)+SUMIF(CalcDebit2,INDEX(PkLoanA,138),CalcAmt2)))</f>
        <v/>
      </c>
      <c r="F1282" s="14">
        <f>IF($B1282="","",IF(138&gt;NLoanA,0,SUMIF(CalcCredit,INDEX(PkLoanA,138),CalcAmt)+SUMIF(CalcCredit2,INDEX(PkLoanA,138),CalcAmt2)))</f>
        <v/>
      </c>
      <c r="G1282" s="15">
        <f>IF($B1282="","",ROUND($E1282-$F1282,0))</f>
        <v/>
      </c>
      <c r="H1282" s="12">
        <f>IF($B1282="","",IF(ROUND($G1282,0)&gt;0,"بدهکار",IF(ROUND($G1282,0)&lt;0,"بستانکار","تسویه")))</f>
        <v/>
      </c>
    </row>
    <row r="1283">
      <c r="A1283" s="16">
        <f>IF($B1283="","",1274)</f>
        <v/>
      </c>
      <c r="B1283" s="17">
        <f>IF(139&gt;NLoanA,"",IFERROR(IF(VLOOKUP(INDEX(PkLoanA,139),AcctTblA,4,0)="","(بدون نام)",VLOOKUP(INDEX(PkLoanA,139),AcctTblA,4,0)),"—"))</f>
        <v/>
      </c>
      <c r="C1283" s="18">
        <f>IF($B1283="","",IF(139&gt;NLoanA,"",INDEX(PkLoanA,139)))</f>
        <v/>
      </c>
      <c r="D1283" s="17">
        <f>IF($B1283="","","l")</f>
        <v/>
      </c>
      <c r="E1283" s="19">
        <f>IF($B1283="","",IF(139&gt;NLoanA,0,SUMIF(CalcDebit,INDEX(PkLoanA,139),CalcAmt)+SUMIF(CalcDebit2,INDEX(PkLoanA,139),CalcAmt2)))</f>
        <v/>
      </c>
      <c r="F1283" s="19">
        <f>IF($B1283="","",IF(139&gt;NLoanA,0,SUMIF(CalcCredit,INDEX(PkLoanA,139),CalcAmt)+SUMIF(CalcCredit2,INDEX(PkLoanA,139),CalcAmt2)))</f>
        <v/>
      </c>
      <c r="G1283" s="20">
        <f>IF($B1283="","",ROUND($E1283-$F1283,0))</f>
        <v/>
      </c>
      <c r="H1283" s="17">
        <f>IF($B1283="","",IF(ROUND($G1283,0)&gt;0,"بدهکار",IF(ROUND($G1283,0)&lt;0,"بستانکار","تسویه")))</f>
        <v/>
      </c>
    </row>
    <row r="1284">
      <c r="A1284" s="11">
        <f>IF($B1284="","",1275)</f>
        <v/>
      </c>
      <c r="B1284" s="12">
        <f>IF(140&gt;NLoanA,"",IFERROR(IF(VLOOKUP(INDEX(PkLoanA,140),AcctTblA,4,0)="","(بدون نام)",VLOOKUP(INDEX(PkLoanA,140),AcctTblA,4,0)),"—"))</f>
        <v/>
      </c>
      <c r="C1284" s="13">
        <f>IF($B1284="","",IF(140&gt;NLoanA,"",INDEX(PkLoanA,140)))</f>
        <v/>
      </c>
      <c r="D1284" s="12">
        <f>IF($B1284="","","l")</f>
        <v/>
      </c>
      <c r="E1284" s="14">
        <f>IF($B1284="","",IF(140&gt;NLoanA,0,SUMIF(CalcDebit,INDEX(PkLoanA,140),CalcAmt)+SUMIF(CalcDebit2,INDEX(PkLoanA,140),CalcAmt2)))</f>
        <v/>
      </c>
      <c r="F1284" s="14">
        <f>IF($B1284="","",IF(140&gt;NLoanA,0,SUMIF(CalcCredit,INDEX(PkLoanA,140),CalcAmt)+SUMIF(CalcCredit2,INDEX(PkLoanA,140),CalcAmt2)))</f>
        <v/>
      </c>
      <c r="G1284" s="15">
        <f>IF($B1284="","",ROUND($E1284-$F1284,0))</f>
        <v/>
      </c>
      <c r="H1284" s="12">
        <f>IF($B1284="","",IF(ROUND($G1284,0)&gt;0,"بدهکار",IF(ROUND($G1284,0)&lt;0,"بستانکار","تسویه")))</f>
        <v/>
      </c>
    </row>
    <row r="1285">
      <c r="A1285" s="16">
        <f>IF($B1285="","",1276)</f>
        <v/>
      </c>
      <c r="B1285" s="17">
        <f>IF(141&gt;NLoanA,"",IFERROR(IF(VLOOKUP(INDEX(PkLoanA,141),AcctTblA,4,0)="","(بدون نام)",VLOOKUP(INDEX(PkLoanA,141),AcctTblA,4,0)),"—"))</f>
        <v/>
      </c>
      <c r="C1285" s="18">
        <f>IF($B1285="","",IF(141&gt;NLoanA,"",INDEX(PkLoanA,141)))</f>
        <v/>
      </c>
      <c r="D1285" s="17">
        <f>IF($B1285="","","l")</f>
        <v/>
      </c>
      <c r="E1285" s="19">
        <f>IF($B1285="","",IF(141&gt;NLoanA,0,SUMIF(CalcDebit,INDEX(PkLoanA,141),CalcAmt)+SUMIF(CalcDebit2,INDEX(PkLoanA,141),CalcAmt2)))</f>
        <v/>
      </c>
      <c r="F1285" s="19">
        <f>IF($B1285="","",IF(141&gt;NLoanA,0,SUMIF(CalcCredit,INDEX(PkLoanA,141),CalcAmt)+SUMIF(CalcCredit2,INDEX(PkLoanA,141),CalcAmt2)))</f>
        <v/>
      </c>
      <c r="G1285" s="20">
        <f>IF($B1285="","",ROUND($E1285-$F1285,0))</f>
        <v/>
      </c>
      <c r="H1285" s="17">
        <f>IF($B1285="","",IF(ROUND($G1285,0)&gt;0,"بدهکار",IF(ROUND($G1285,0)&lt;0,"بستانکار","تسویه")))</f>
        <v/>
      </c>
    </row>
    <row r="1286">
      <c r="A1286" s="11">
        <f>IF($B1286="","",1277)</f>
        <v/>
      </c>
      <c r="B1286" s="12">
        <f>IF(142&gt;NLoanA,"",IFERROR(IF(VLOOKUP(INDEX(PkLoanA,142),AcctTblA,4,0)="","(بدون نام)",VLOOKUP(INDEX(PkLoanA,142),AcctTblA,4,0)),"—"))</f>
        <v/>
      </c>
      <c r="C1286" s="13">
        <f>IF($B1286="","",IF(142&gt;NLoanA,"",INDEX(PkLoanA,142)))</f>
        <v/>
      </c>
      <c r="D1286" s="12">
        <f>IF($B1286="","","l")</f>
        <v/>
      </c>
      <c r="E1286" s="14">
        <f>IF($B1286="","",IF(142&gt;NLoanA,0,SUMIF(CalcDebit,INDEX(PkLoanA,142),CalcAmt)+SUMIF(CalcDebit2,INDEX(PkLoanA,142),CalcAmt2)))</f>
        <v/>
      </c>
      <c r="F1286" s="14">
        <f>IF($B1286="","",IF(142&gt;NLoanA,0,SUMIF(CalcCredit,INDEX(PkLoanA,142),CalcAmt)+SUMIF(CalcCredit2,INDEX(PkLoanA,142),CalcAmt2)))</f>
        <v/>
      </c>
      <c r="G1286" s="15">
        <f>IF($B1286="","",ROUND($E1286-$F1286,0))</f>
        <v/>
      </c>
      <c r="H1286" s="12">
        <f>IF($B1286="","",IF(ROUND($G1286,0)&gt;0,"بدهکار",IF(ROUND($G1286,0)&lt;0,"بستانکار","تسویه")))</f>
        <v/>
      </c>
    </row>
    <row r="1287">
      <c r="A1287" s="16">
        <f>IF($B1287="","",1278)</f>
        <v/>
      </c>
      <c r="B1287" s="17">
        <f>IF(143&gt;NLoanA,"",IFERROR(IF(VLOOKUP(INDEX(PkLoanA,143),AcctTblA,4,0)="","(بدون نام)",VLOOKUP(INDEX(PkLoanA,143),AcctTblA,4,0)),"—"))</f>
        <v/>
      </c>
      <c r="C1287" s="18">
        <f>IF($B1287="","",IF(143&gt;NLoanA,"",INDEX(PkLoanA,143)))</f>
        <v/>
      </c>
      <c r="D1287" s="17">
        <f>IF($B1287="","","l")</f>
        <v/>
      </c>
      <c r="E1287" s="19">
        <f>IF($B1287="","",IF(143&gt;NLoanA,0,SUMIF(CalcDebit,INDEX(PkLoanA,143),CalcAmt)+SUMIF(CalcDebit2,INDEX(PkLoanA,143),CalcAmt2)))</f>
        <v/>
      </c>
      <c r="F1287" s="19">
        <f>IF($B1287="","",IF(143&gt;NLoanA,0,SUMIF(CalcCredit,INDEX(PkLoanA,143),CalcAmt)+SUMIF(CalcCredit2,INDEX(PkLoanA,143),CalcAmt2)))</f>
        <v/>
      </c>
      <c r="G1287" s="20">
        <f>IF($B1287="","",ROUND($E1287-$F1287,0))</f>
        <v/>
      </c>
      <c r="H1287" s="17">
        <f>IF($B1287="","",IF(ROUND($G1287,0)&gt;0,"بدهکار",IF(ROUND($G1287,0)&lt;0,"بستانکار","تسویه")))</f>
        <v/>
      </c>
    </row>
    <row r="1288">
      <c r="A1288" s="11">
        <f>IF($B1288="","",1279)</f>
        <v/>
      </c>
      <c r="B1288" s="12">
        <f>IF(144&gt;NLoanA,"",IFERROR(IF(VLOOKUP(INDEX(PkLoanA,144),AcctTblA,4,0)="","(بدون نام)",VLOOKUP(INDEX(PkLoanA,144),AcctTblA,4,0)),"—"))</f>
        <v/>
      </c>
      <c r="C1288" s="13">
        <f>IF($B1288="","",IF(144&gt;NLoanA,"",INDEX(PkLoanA,144)))</f>
        <v/>
      </c>
      <c r="D1288" s="12">
        <f>IF($B1288="","","l")</f>
        <v/>
      </c>
      <c r="E1288" s="14">
        <f>IF($B1288="","",IF(144&gt;NLoanA,0,SUMIF(CalcDebit,INDEX(PkLoanA,144),CalcAmt)+SUMIF(CalcDebit2,INDEX(PkLoanA,144),CalcAmt2)))</f>
        <v/>
      </c>
      <c r="F1288" s="14">
        <f>IF($B1288="","",IF(144&gt;NLoanA,0,SUMIF(CalcCredit,INDEX(PkLoanA,144),CalcAmt)+SUMIF(CalcCredit2,INDEX(PkLoanA,144),CalcAmt2)))</f>
        <v/>
      </c>
      <c r="G1288" s="15">
        <f>IF($B1288="","",ROUND($E1288-$F1288,0))</f>
        <v/>
      </c>
      <c r="H1288" s="12">
        <f>IF($B1288="","",IF(ROUND($G1288,0)&gt;0,"بدهکار",IF(ROUND($G1288,0)&lt;0,"بستانکار","تسویه")))</f>
        <v/>
      </c>
    </row>
    <row r="1289">
      <c r="A1289" s="16">
        <f>IF($B1289="","",1280)</f>
        <v/>
      </c>
      <c r="B1289" s="17">
        <f>IF(145&gt;NLoanA,"",IFERROR(IF(VLOOKUP(INDEX(PkLoanA,145),AcctTblA,4,0)="","(بدون نام)",VLOOKUP(INDEX(PkLoanA,145),AcctTblA,4,0)),"—"))</f>
        <v/>
      </c>
      <c r="C1289" s="18">
        <f>IF($B1289="","",IF(145&gt;NLoanA,"",INDEX(PkLoanA,145)))</f>
        <v/>
      </c>
      <c r="D1289" s="17">
        <f>IF($B1289="","","l")</f>
        <v/>
      </c>
      <c r="E1289" s="19">
        <f>IF($B1289="","",IF(145&gt;NLoanA,0,SUMIF(CalcDebit,INDEX(PkLoanA,145),CalcAmt)+SUMIF(CalcDebit2,INDEX(PkLoanA,145),CalcAmt2)))</f>
        <v/>
      </c>
      <c r="F1289" s="19">
        <f>IF($B1289="","",IF(145&gt;NLoanA,0,SUMIF(CalcCredit,INDEX(PkLoanA,145),CalcAmt)+SUMIF(CalcCredit2,INDEX(PkLoanA,145),CalcAmt2)))</f>
        <v/>
      </c>
      <c r="G1289" s="20">
        <f>IF($B1289="","",ROUND($E1289-$F1289,0))</f>
        <v/>
      </c>
      <c r="H1289" s="17">
        <f>IF($B1289="","",IF(ROUND($G1289,0)&gt;0,"بدهکار",IF(ROUND($G1289,0)&lt;0,"بستانکار","تسویه")))</f>
        <v/>
      </c>
    </row>
    <row r="1290">
      <c r="A1290" s="11">
        <f>IF($B1290="","",1281)</f>
        <v/>
      </c>
      <c r="B1290" s="12">
        <f>IF(146&gt;NLoanA,"",IFERROR(IF(VLOOKUP(INDEX(PkLoanA,146),AcctTblA,4,0)="","(بدون نام)",VLOOKUP(INDEX(PkLoanA,146),AcctTblA,4,0)),"—"))</f>
        <v/>
      </c>
      <c r="C1290" s="13">
        <f>IF($B1290="","",IF(146&gt;NLoanA,"",INDEX(PkLoanA,146)))</f>
        <v/>
      </c>
      <c r="D1290" s="12">
        <f>IF($B1290="","","l")</f>
        <v/>
      </c>
      <c r="E1290" s="14">
        <f>IF($B1290="","",IF(146&gt;NLoanA,0,SUMIF(CalcDebit,INDEX(PkLoanA,146),CalcAmt)+SUMIF(CalcDebit2,INDEX(PkLoanA,146),CalcAmt2)))</f>
        <v/>
      </c>
      <c r="F1290" s="14">
        <f>IF($B1290="","",IF(146&gt;NLoanA,0,SUMIF(CalcCredit,INDEX(PkLoanA,146),CalcAmt)+SUMIF(CalcCredit2,INDEX(PkLoanA,146),CalcAmt2)))</f>
        <v/>
      </c>
      <c r="G1290" s="15">
        <f>IF($B1290="","",ROUND($E1290-$F1290,0))</f>
        <v/>
      </c>
      <c r="H1290" s="12">
        <f>IF($B1290="","",IF(ROUND($G1290,0)&gt;0,"بدهکار",IF(ROUND($G1290,0)&lt;0,"بستانکار","تسویه")))</f>
        <v/>
      </c>
    </row>
    <row r="1291">
      <c r="A1291" s="16">
        <f>IF($B1291="","",1282)</f>
        <v/>
      </c>
      <c r="B1291" s="17">
        <f>IF(147&gt;NLoanA,"",IFERROR(IF(VLOOKUP(INDEX(PkLoanA,147),AcctTblA,4,0)="","(بدون نام)",VLOOKUP(INDEX(PkLoanA,147),AcctTblA,4,0)),"—"))</f>
        <v/>
      </c>
      <c r="C1291" s="18">
        <f>IF($B1291="","",IF(147&gt;NLoanA,"",INDEX(PkLoanA,147)))</f>
        <v/>
      </c>
      <c r="D1291" s="17">
        <f>IF($B1291="","","l")</f>
        <v/>
      </c>
      <c r="E1291" s="19">
        <f>IF($B1291="","",IF(147&gt;NLoanA,0,SUMIF(CalcDebit,INDEX(PkLoanA,147),CalcAmt)+SUMIF(CalcDebit2,INDEX(PkLoanA,147),CalcAmt2)))</f>
        <v/>
      </c>
      <c r="F1291" s="19">
        <f>IF($B1291="","",IF(147&gt;NLoanA,0,SUMIF(CalcCredit,INDEX(PkLoanA,147),CalcAmt)+SUMIF(CalcCredit2,INDEX(PkLoanA,147),CalcAmt2)))</f>
        <v/>
      </c>
      <c r="G1291" s="20">
        <f>IF($B1291="","",ROUND($E1291-$F1291,0))</f>
        <v/>
      </c>
      <c r="H1291" s="17">
        <f>IF($B1291="","",IF(ROUND($G1291,0)&gt;0,"بدهکار",IF(ROUND($G1291,0)&lt;0,"بستانکار","تسویه")))</f>
        <v/>
      </c>
    </row>
    <row r="1292">
      <c r="A1292" s="11">
        <f>IF($B1292="","",1283)</f>
        <v/>
      </c>
      <c r="B1292" s="12">
        <f>IF(148&gt;NLoanA,"",IFERROR(IF(VLOOKUP(INDEX(PkLoanA,148),AcctTblA,4,0)="","(بدون نام)",VLOOKUP(INDEX(PkLoanA,148),AcctTblA,4,0)),"—"))</f>
        <v/>
      </c>
      <c r="C1292" s="13">
        <f>IF($B1292="","",IF(148&gt;NLoanA,"",INDEX(PkLoanA,148)))</f>
        <v/>
      </c>
      <c r="D1292" s="12">
        <f>IF($B1292="","","l")</f>
        <v/>
      </c>
      <c r="E1292" s="14">
        <f>IF($B1292="","",IF(148&gt;NLoanA,0,SUMIF(CalcDebit,INDEX(PkLoanA,148),CalcAmt)+SUMIF(CalcDebit2,INDEX(PkLoanA,148),CalcAmt2)))</f>
        <v/>
      </c>
      <c r="F1292" s="14">
        <f>IF($B1292="","",IF(148&gt;NLoanA,0,SUMIF(CalcCredit,INDEX(PkLoanA,148),CalcAmt)+SUMIF(CalcCredit2,INDEX(PkLoanA,148),CalcAmt2)))</f>
        <v/>
      </c>
      <c r="G1292" s="15">
        <f>IF($B1292="","",ROUND($E1292-$F1292,0))</f>
        <v/>
      </c>
      <c r="H1292" s="12">
        <f>IF($B1292="","",IF(ROUND($G1292,0)&gt;0,"بدهکار",IF(ROUND($G1292,0)&lt;0,"بستانکار","تسویه")))</f>
        <v/>
      </c>
    </row>
    <row r="1293">
      <c r="A1293" s="16">
        <f>IF($B1293="","",1284)</f>
        <v/>
      </c>
      <c r="B1293" s="17">
        <f>IF(149&gt;NLoanA,"",IFERROR(IF(VLOOKUP(INDEX(PkLoanA,149),AcctTblA,4,0)="","(بدون نام)",VLOOKUP(INDEX(PkLoanA,149),AcctTblA,4,0)),"—"))</f>
        <v/>
      </c>
      <c r="C1293" s="18">
        <f>IF($B1293="","",IF(149&gt;NLoanA,"",INDEX(PkLoanA,149)))</f>
        <v/>
      </c>
      <c r="D1293" s="17">
        <f>IF($B1293="","","l")</f>
        <v/>
      </c>
      <c r="E1293" s="19">
        <f>IF($B1293="","",IF(149&gt;NLoanA,0,SUMIF(CalcDebit,INDEX(PkLoanA,149),CalcAmt)+SUMIF(CalcDebit2,INDEX(PkLoanA,149),CalcAmt2)))</f>
        <v/>
      </c>
      <c r="F1293" s="19">
        <f>IF($B1293="","",IF(149&gt;NLoanA,0,SUMIF(CalcCredit,INDEX(PkLoanA,149),CalcAmt)+SUMIF(CalcCredit2,INDEX(PkLoanA,149),CalcAmt2)))</f>
        <v/>
      </c>
      <c r="G1293" s="20">
        <f>IF($B1293="","",ROUND($E1293-$F1293,0))</f>
        <v/>
      </c>
      <c r="H1293" s="17">
        <f>IF($B1293="","",IF(ROUND($G1293,0)&gt;0,"بدهکار",IF(ROUND($G1293,0)&lt;0,"بستانکار","تسویه")))</f>
        <v/>
      </c>
    </row>
    <row r="1294">
      <c r="A1294" s="11">
        <f>IF($B1294="","",1285)</f>
        <v/>
      </c>
      <c r="B1294" s="12">
        <f>IF(150&gt;NLoanA,"",IFERROR(IF(VLOOKUP(INDEX(PkLoanA,150),AcctTblA,4,0)="","(بدون نام)",VLOOKUP(INDEX(PkLoanA,150),AcctTblA,4,0)),"—"))</f>
        <v/>
      </c>
      <c r="C1294" s="13">
        <f>IF($B1294="","",IF(150&gt;NLoanA,"",INDEX(PkLoanA,150)))</f>
        <v/>
      </c>
      <c r="D1294" s="12">
        <f>IF($B1294="","","l")</f>
        <v/>
      </c>
      <c r="E1294" s="14">
        <f>IF($B1294="","",IF(150&gt;NLoanA,0,SUMIF(CalcDebit,INDEX(PkLoanA,150),CalcAmt)+SUMIF(CalcDebit2,INDEX(PkLoanA,150),CalcAmt2)))</f>
        <v/>
      </c>
      <c r="F1294" s="14">
        <f>IF($B1294="","",IF(150&gt;NLoanA,0,SUMIF(CalcCredit,INDEX(PkLoanA,150),CalcAmt)+SUMIF(CalcCredit2,INDEX(PkLoanA,150),CalcAmt2)))</f>
        <v/>
      </c>
      <c r="G1294" s="15">
        <f>IF($B1294="","",ROUND($E1294-$F1294,0))</f>
        <v/>
      </c>
      <c r="H1294" s="12">
        <f>IF($B1294="","",IF(ROUND($G1294,0)&gt;0,"بدهکار",IF(ROUND($G1294,0)&lt;0,"بستانکار","تسویه")))</f>
        <v/>
      </c>
    </row>
    <row r="1295">
      <c r="A1295" s="16">
        <f>IF($B1295="","",1286)</f>
        <v/>
      </c>
      <c r="B1295" s="17">
        <f>IF(151&gt;NLoanA,"",IFERROR(IF(VLOOKUP(INDEX(PkLoanA,151),AcctTblA,4,0)="","(بدون نام)",VLOOKUP(INDEX(PkLoanA,151),AcctTblA,4,0)),"—"))</f>
        <v/>
      </c>
      <c r="C1295" s="18">
        <f>IF($B1295="","",IF(151&gt;NLoanA,"",INDEX(PkLoanA,151)))</f>
        <v/>
      </c>
      <c r="D1295" s="17">
        <f>IF($B1295="","","l")</f>
        <v/>
      </c>
      <c r="E1295" s="19">
        <f>IF($B1295="","",IF(151&gt;NLoanA,0,SUMIF(CalcDebit,INDEX(PkLoanA,151),CalcAmt)+SUMIF(CalcDebit2,INDEX(PkLoanA,151),CalcAmt2)))</f>
        <v/>
      </c>
      <c r="F1295" s="19">
        <f>IF($B1295="","",IF(151&gt;NLoanA,0,SUMIF(CalcCredit,INDEX(PkLoanA,151),CalcAmt)+SUMIF(CalcCredit2,INDEX(PkLoanA,151),CalcAmt2)))</f>
        <v/>
      </c>
      <c r="G1295" s="20">
        <f>IF($B1295="","",ROUND($E1295-$F1295,0))</f>
        <v/>
      </c>
      <c r="H1295" s="17">
        <f>IF($B1295="","",IF(ROUND($G1295,0)&gt;0,"بدهکار",IF(ROUND($G1295,0)&lt;0,"بستانکار","تسویه")))</f>
        <v/>
      </c>
    </row>
    <row r="1296">
      <c r="A1296" s="11">
        <f>IF($B1296="","",1287)</f>
        <v/>
      </c>
      <c r="B1296" s="12">
        <f>IF(152&gt;NLoanA,"",IFERROR(IF(VLOOKUP(INDEX(PkLoanA,152),AcctTblA,4,0)="","(بدون نام)",VLOOKUP(INDEX(PkLoanA,152),AcctTblA,4,0)),"—"))</f>
        <v/>
      </c>
      <c r="C1296" s="13">
        <f>IF($B1296="","",IF(152&gt;NLoanA,"",INDEX(PkLoanA,152)))</f>
        <v/>
      </c>
      <c r="D1296" s="12">
        <f>IF($B1296="","","l")</f>
        <v/>
      </c>
      <c r="E1296" s="14">
        <f>IF($B1296="","",IF(152&gt;NLoanA,0,SUMIF(CalcDebit,INDEX(PkLoanA,152),CalcAmt)+SUMIF(CalcDebit2,INDEX(PkLoanA,152),CalcAmt2)))</f>
        <v/>
      </c>
      <c r="F1296" s="14">
        <f>IF($B1296="","",IF(152&gt;NLoanA,0,SUMIF(CalcCredit,INDEX(PkLoanA,152),CalcAmt)+SUMIF(CalcCredit2,INDEX(PkLoanA,152),CalcAmt2)))</f>
        <v/>
      </c>
      <c r="G1296" s="15">
        <f>IF($B1296="","",ROUND($E1296-$F1296,0))</f>
        <v/>
      </c>
      <c r="H1296" s="12">
        <f>IF($B1296="","",IF(ROUND($G1296,0)&gt;0,"بدهکار",IF(ROUND($G1296,0)&lt;0,"بستانکار","تسویه")))</f>
        <v/>
      </c>
    </row>
    <row r="1297">
      <c r="A1297" s="16">
        <f>IF($B1297="","",1288)</f>
        <v/>
      </c>
      <c r="B1297" s="17">
        <f>IF(153&gt;NLoanA,"",IFERROR(IF(VLOOKUP(INDEX(PkLoanA,153),AcctTblA,4,0)="","(بدون نام)",VLOOKUP(INDEX(PkLoanA,153),AcctTblA,4,0)),"—"))</f>
        <v/>
      </c>
      <c r="C1297" s="18">
        <f>IF($B1297="","",IF(153&gt;NLoanA,"",INDEX(PkLoanA,153)))</f>
        <v/>
      </c>
      <c r="D1297" s="17">
        <f>IF($B1297="","","l")</f>
        <v/>
      </c>
      <c r="E1297" s="19">
        <f>IF($B1297="","",IF(153&gt;NLoanA,0,SUMIF(CalcDebit,INDEX(PkLoanA,153),CalcAmt)+SUMIF(CalcDebit2,INDEX(PkLoanA,153),CalcAmt2)))</f>
        <v/>
      </c>
      <c r="F1297" s="19">
        <f>IF($B1297="","",IF(153&gt;NLoanA,0,SUMIF(CalcCredit,INDEX(PkLoanA,153),CalcAmt)+SUMIF(CalcCredit2,INDEX(PkLoanA,153),CalcAmt2)))</f>
        <v/>
      </c>
      <c r="G1297" s="20">
        <f>IF($B1297="","",ROUND($E1297-$F1297,0))</f>
        <v/>
      </c>
      <c r="H1297" s="17">
        <f>IF($B1297="","",IF(ROUND($G1297,0)&gt;0,"بدهکار",IF(ROUND($G1297,0)&lt;0,"بستانکار","تسویه")))</f>
        <v/>
      </c>
    </row>
    <row r="1298">
      <c r="A1298" s="11">
        <f>IF($B1298="","",1289)</f>
        <v/>
      </c>
      <c r="B1298" s="12">
        <f>IF(154&gt;NLoanA,"",IFERROR(IF(VLOOKUP(INDEX(PkLoanA,154),AcctTblA,4,0)="","(بدون نام)",VLOOKUP(INDEX(PkLoanA,154),AcctTblA,4,0)),"—"))</f>
        <v/>
      </c>
      <c r="C1298" s="13">
        <f>IF($B1298="","",IF(154&gt;NLoanA,"",INDEX(PkLoanA,154)))</f>
        <v/>
      </c>
      <c r="D1298" s="12">
        <f>IF($B1298="","","l")</f>
        <v/>
      </c>
      <c r="E1298" s="14">
        <f>IF($B1298="","",IF(154&gt;NLoanA,0,SUMIF(CalcDebit,INDEX(PkLoanA,154),CalcAmt)+SUMIF(CalcDebit2,INDEX(PkLoanA,154),CalcAmt2)))</f>
        <v/>
      </c>
      <c r="F1298" s="14">
        <f>IF($B1298="","",IF(154&gt;NLoanA,0,SUMIF(CalcCredit,INDEX(PkLoanA,154),CalcAmt)+SUMIF(CalcCredit2,INDEX(PkLoanA,154),CalcAmt2)))</f>
        <v/>
      </c>
      <c r="G1298" s="15">
        <f>IF($B1298="","",ROUND($E1298-$F1298,0))</f>
        <v/>
      </c>
      <c r="H1298" s="12">
        <f>IF($B1298="","",IF(ROUND($G1298,0)&gt;0,"بدهکار",IF(ROUND($G1298,0)&lt;0,"بستانکار","تسویه")))</f>
        <v/>
      </c>
    </row>
    <row r="1299">
      <c r="A1299" s="16">
        <f>IF($B1299="","",1290)</f>
        <v/>
      </c>
      <c r="B1299" s="17">
        <f>IF(155&gt;NLoanA,"",IFERROR(IF(VLOOKUP(INDEX(PkLoanA,155),AcctTblA,4,0)="","(بدون نام)",VLOOKUP(INDEX(PkLoanA,155),AcctTblA,4,0)),"—"))</f>
        <v/>
      </c>
      <c r="C1299" s="18">
        <f>IF($B1299="","",IF(155&gt;NLoanA,"",INDEX(PkLoanA,155)))</f>
        <v/>
      </c>
      <c r="D1299" s="17">
        <f>IF($B1299="","","l")</f>
        <v/>
      </c>
      <c r="E1299" s="19">
        <f>IF($B1299="","",IF(155&gt;NLoanA,0,SUMIF(CalcDebit,INDEX(PkLoanA,155),CalcAmt)+SUMIF(CalcDebit2,INDEX(PkLoanA,155),CalcAmt2)))</f>
        <v/>
      </c>
      <c r="F1299" s="19">
        <f>IF($B1299="","",IF(155&gt;NLoanA,0,SUMIF(CalcCredit,INDEX(PkLoanA,155),CalcAmt)+SUMIF(CalcCredit2,INDEX(PkLoanA,155),CalcAmt2)))</f>
        <v/>
      </c>
      <c r="G1299" s="20">
        <f>IF($B1299="","",ROUND($E1299-$F1299,0))</f>
        <v/>
      </c>
      <c r="H1299" s="17">
        <f>IF($B1299="","",IF(ROUND($G1299,0)&gt;0,"بدهکار",IF(ROUND($G1299,0)&lt;0,"بستانکار","تسویه")))</f>
        <v/>
      </c>
    </row>
    <row r="1300">
      <c r="A1300" s="11">
        <f>IF($B1300="","",1291)</f>
        <v/>
      </c>
      <c r="B1300" s="12">
        <f>IF(156&gt;NLoanA,"",IFERROR(IF(VLOOKUP(INDEX(PkLoanA,156),AcctTblA,4,0)="","(بدون نام)",VLOOKUP(INDEX(PkLoanA,156),AcctTblA,4,0)),"—"))</f>
        <v/>
      </c>
      <c r="C1300" s="13">
        <f>IF($B1300="","",IF(156&gt;NLoanA,"",INDEX(PkLoanA,156)))</f>
        <v/>
      </c>
      <c r="D1300" s="12">
        <f>IF($B1300="","","l")</f>
        <v/>
      </c>
      <c r="E1300" s="14">
        <f>IF($B1300="","",IF(156&gt;NLoanA,0,SUMIF(CalcDebit,INDEX(PkLoanA,156),CalcAmt)+SUMIF(CalcDebit2,INDEX(PkLoanA,156),CalcAmt2)))</f>
        <v/>
      </c>
      <c r="F1300" s="14">
        <f>IF($B1300="","",IF(156&gt;NLoanA,0,SUMIF(CalcCredit,INDEX(PkLoanA,156),CalcAmt)+SUMIF(CalcCredit2,INDEX(PkLoanA,156),CalcAmt2)))</f>
        <v/>
      </c>
      <c r="G1300" s="15">
        <f>IF($B1300="","",ROUND($E1300-$F1300,0))</f>
        <v/>
      </c>
      <c r="H1300" s="12">
        <f>IF($B1300="","",IF(ROUND($G1300,0)&gt;0,"بدهکار",IF(ROUND($G1300,0)&lt;0,"بستانکار","تسویه")))</f>
        <v/>
      </c>
    </row>
    <row r="1301">
      <c r="A1301" s="16">
        <f>IF($B1301="","",1292)</f>
        <v/>
      </c>
      <c r="B1301" s="17">
        <f>IF(157&gt;NLoanA,"",IFERROR(IF(VLOOKUP(INDEX(PkLoanA,157),AcctTblA,4,0)="","(بدون نام)",VLOOKUP(INDEX(PkLoanA,157),AcctTblA,4,0)),"—"))</f>
        <v/>
      </c>
      <c r="C1301" s="18">
        <f>IF($B1301="","",IF(157&gt;NLoanA,"",INDEX(PkLoanA,157)))</f>
        <v/>
      </c>
      <c r="D1301" s="17">
        <f>IF($B1301="","","l")</f>
        <v/>
      </c>
      <c r="E1301" s="19">
        <f>IF($B1301="","",IF(157&gt;NLoanA,0,SUMIF(CalcDebit,INDEX(PkLoanA,157),CalcAmt)+SUMIF(CalcDebit2,INDEX(PkLoanA,157),CalcAmt2)))</f>
        <v/>
      </c>
      <c r="F1301" s="19">
        <f>IF($B1301="","",IF(157&gt;NLoanA,0,SUMIF(CalcCredit,INDEX(PkLoanA,157),CalcAmt)+SUMIF(CalcCredit2,INDEX(PkLoanA,157),CalcAmt2)))</f>
        <v/>
      </c>
      <c r="G1301" s="20">
        <f>IF($B1301="","",ROUND($E1301-$F1301,0))</f>
        <v/>
      </c>
      <c r="H1301" s="17">
        <f>IF($B1301="","",IF(ROUND($G1301,0)&gt;0,"بدهکار",IF(ROUND($G1301,0)&lt;0,"بستانکار","تسویه")))</f>
        <v/>
      </c>
    </row>
    <row r="1302">
      <c r="A1302" s="11">
        <f>IF($B1302="","",1293)</f>
        <v/>
      </c>
      <c r="B1302" s="12">
        <f>IF(158&gt;NLoanA,"",IFERROR(IF(VLOOKUP(INDEX(PkLoanA,158),AcctTblA,4,0)="","(بدون نام)",VLOOKUP(INDEX(PkLoanA,158),AcctTblA,4,0)),"—"))</f>
        <v/>
      </c>
      <c r="C1302" s="13">
        <f>IF($B1302="","",IF(158&gt;NLoanA,"",INDEX(PkLoanA,158)))</f>
        <v/>
      </c>
      <c r="D1302" s="12">
        <f>IF($B1302="","","l")</f>
        <v/>
      </c>
      <c r="E1302" s="14">
        <f>IF($B1302="","",IF(158&gt;NLoanA,0,SUMIF(CalcDebit,INDEX(PkLoanA,158),CalcAmt)+SUMIF(CalcDebit2,INDEX(PkLoanA,158),CalcAmt2)))</f>
        <v/>
      </c>
      <c r="F1302" s="14">
        <f>IF($B1302="","",IF(158&gt;NLoanA,0,SUMIF(CalcCredit,INDEX(PkLoanA,158),CalcAmt)+SUMIF(CalcCredit2,INDEX(PkLoanA,158),CalcAmt2)))</f>
        <v/>
      </c>
      <c r="G1302" s="15">
        <f>IF($B1302="","",ROUND($E1302-$F1302,0))</f>
        <v/>
      </c>
      <c r="H1302" s="12">
        <f>IF($B1302="","",IF(ROUND($G1302,0)&gt;0,"بدهکار",IF(ROUND($G1302,0)&lt;0,"بستانکار","تسویه")))</f>
        <v/>
      </c>
    </row>
    <row r="1303">
      <c r="A1303" s="16">
        <f>IF($B1303="","",1294)</f>
        <v/>
      </c>
      <c r="B1303" s="17">
        <f>IF(159&gt;NLoanA,"",IFERROR(IF(VLOOKUP(INDEX(PkLoanA,159),AcctTblA,4,0)="","(بدون نام)",VLOOKUP(INDEX(PkLoanA,159),AcctTblA,4,0)),"—"))</f>
        <v/>
      </c>
      <c r="C1303" s="18">
        <f>IF($B1303="","",IF(159&gt;NLoanA,"",INDEX(PkLoanA,159)))</f>
        <v/>
      </c>
      <c r="D1303" s="17">
        <f>IF($B1303="","","l")</f>
        <v/>
      </c>
      <c r="E1303" s="19">
        <f>IF($B1303="","",IF(159&gt;NLoanA,0,SUMIF(CalcDebit,INDEX(PkLoanA,159),CalcAmt)+SUMIF(CalcDebit2,INDEX(PkLoanA,159),CalcAmt2)))</f>
        <v/>
      </c>
      <c r="F1303" s="19">
        <f>IF($B1303="","",IF(159&gt;NLoanA,0,SUMIF(CalcCredit,INDEX(PkLoanA,159),CalcAmt)+SUMIF(CalcCredit2,INDEX(PkLoanA,159),CalcAmt2)))</f>
        <v/>
      </c>
      <c r="G1303" s="20">
        <f>IF($B1303="","",ROUND($E1303-$F1303,0))</f>
        <v/>
      </c>
      <c r="H1303" s="17">
        <f>IF($B1303="","",IF(ROUND($G1303,0)&gt;0,"بدهکار",IF(ROUND($G1303,0)&lt;0,"بستانکار","تسویه")))</f>
        <v/>
      </c>
    </row>
    <row r="1304">
      <c r="A1304" s="11">
        <f>IF($B1304="","",1295)</f>
        <v/>
      </c>
      <c r="B1304" s="12">
        <f>IF(160&gt;NLoanA,"",IFERROR(IF(VLOOKUP(INDEX(PkLoanA,160),AcctTblA,4,0)="","(بدون نام)",VLOOKUP(INDEX(PkLoanA,160),AcctTblA,4,0)),"—"))</f>
        <v/>
      </c>
      <c r="C1304" s="13">
        <f>IF($B1304="","",IF(160&gt;NLoanA,"",INDEX(PkLoanA,160)))</f>
        <v/>
      </c>
      <c r="D1304" s="12">
        <f>IF($B1304="","","l")</f>
        <v/>
      </c>
      <c r="E1304" s="14">
        <f>IF($B1304="","",IF(160&gt;NLoanA,0,SUMIF(CalcDebit,INDEX(PkLoanA,160),CalcAmt)+SUMIF(CalcDebit2,INDEX(PkLoanA,160),CalcAmt2)))</f>
        <v/>
      </c>
      <c r="F1304" s="14">
        <f>IF($B1304="","",IF(160&gt;NLoanA,0,SUMIF(CalcCredit,INDEX(PkLoanA,160),CalcAmt)+SUMIF(CalcCredit2,INDEX(PkLoanA,160),CalcAmt2)))</f>
        <v/>
      </c>
      <c r="G1304" s="15">
        <f>IF($B1304="","",ROUND($E1304-$F1304,0))</f>
        <v/>
      </c>
      <c r="H1304" s="12">
        <f>IF($B1304="","",IF(ROUND($G1304,0)&gt;0,"بدهکار",IF(ROUND($G1304,0)&lt;0,"بستانکار","تسویه")))</f>
        <v/>
      </c>
    </row>
    <row r="1305">
      <c r="A1305" s="16">
        <f>IF($B1305="","",1296)</f>
        <v/>
      </c>
      <c r="B1305" s="17">
        <f>IF(161&gt;NLoanA,"",IFERROR(IF(VLOOKUP(INDEX(PkLoanA,161),AcctTblA,4,0)="","(بدون نام)",VLOOKUP(INDEX(PkLoanA,161),AcctTblA,4,0)),"—"))</f>
        <v/>
      </c>
      <c r="C1305" s="18">
        <f>IF($B1305="","",IF(161&gt;NLoanA,"",INDEX(PkLoanA,161)))</f>
        <v/>
      </c>
      <c r="D1305" s="17">
        <f>IF($B1305="","","l")</f>
        <v/>
      </c>
      <c r="E1305" s="19">
        <f>IF($B1305="","",IF(161&gt;NLoanA,0,SUMIF(CalcDebit,INDEX(PkLoanA,161),CalcAmt)+SUMIF(CalcDebit2,INDEX(PkLoanA,161),CalcAmt2)))</f>
        <v/>
      </c>
      <c r="F1305" s="19">
        <f>IF($B1305="","",IF(161&gt;NLoanA,0,SUMIF(CalcCredit,INDEX(PkLoanA,161),CalcAmt)+SUMIF(CalcCredit2,INDEX(PkLoanA,161),CalcAmt2)))</f>
        <v/>
      </c>
      <c r="G1305" s="20">
        <f>IF($B1305="","",ROUND($E1305-$F1305,0))</f>
        <v/>
      </c>
      <c r="H1305" s="17">
        <f>IF($B1305="","",IF(ROUND($G1305,0)&gt;0,"بدهکار",IF(ROUND($G1305,0)&lt;0,"بستانکار","تسویه")))</f>
        <v/>
      </c>
    </row>
    <row r="1306">
      <c r="A1306" s="11">
        <f>IF($B1306="","",1297)</f>
        <v/>
      </c>
      <c r="B1306" s="12">
        <f>IF(162&gt;NLoanA,"",IFERROR(IF(VLOOKUP(INDEX(PkLoanA,162),AcctTblA,4,0)="","(بدون نام)",VLOOKUP(INDEX(PkLoanA,162),AcctTblA,4,0)),"—"))</f>
        <v/>
      </c>
      <c r="C1306" s="13">
        <f>IF($B1306="","",IF(162&gt;NLoanA,"",INDEX(PkLoanA,162)))</f>
        <v/>
      </c>
      <c r="D1306" s="12">
        <f>IF($B1306="","","l")</f>
        <v/>
      </c>
      <c r="E1306" s="14">
        <f>IF($B1306="","",IF(162&gt;NLoanA,0,SUMIF(CalcDebit,INDEX(PkLoanA,162),CalcAmt)+SUMIF(CalcDebit2,INDEX(PkLoanA,162),CalcAmt2)))</f>
        <v/>
      </c>
      <c r="F1306" s="14">
        <f>IF($B1306="","",IF(162&gt;NLoanA,0,SUMIF(CalcCredit,INDEX(PkLoanA,162),CalcAmt)+SUMIF(CalcCredit2,INDEX(PkLoanA,162),CalcAmt2)))</f>
        <v/>
      </c>
      <c r="G1306" s="15">
        <f>IF($B1306="","",ROUND($E1306-$F1306,0))</f>
        <v/>
      </c>
      <c r="H1306" s="12">
        <f>IF($B1306="","",IF(ROUND($G1306,0)&gt;0,"بدهکار",IF(ROUND($G1306,0)&lt;0,"بستانکار","تسویه")))</f>
        <v/>
      </c>
    </row>
    <row r="1307">
      <c r="A1307" s="16">
        <f>IF($B1307="","",1298)</f>
        <v/>
      </c>
      <c r="B1307" s="17">
        <f>IF(163&gt;NLoanA,"",IFERROR(IF(VLOOKUP(INDEX(PkLoanA,163),AcctTblA,4,0)="","(بدون نام)",VLOOKUP(INDEX(PkLoanA,163),AcctTblA,4,0)),"—"))</f>
        <v/>
      </c>
      <c r="C1307" s="18">
        <f>IF($B1307="","",IF(163&gt;NLoanA,"",INDEX(PkLoanA,163)))</f>
        <v/>
      </c>
      <c r="D1307" s="17">
        <f>IF($B1307="","","l")</f>
        <v/>
      </c>
      <c r="E1307" s="19">
        <f>IF($B1307="","",IF(163&gt;NLoanA,0,SUMIF(CalcDebit,INDEX(PkLoanA,163),CalcAmt)+SUMIF(CalcDebit2,INDEX(PkLoanA,163),CalcAmt2)))</f>
        <v/>
      </c>
      <c r="F1307" s="19">
        <f>IF($B1307="","",IF(163&gt;NLoanA,0,SUMIF(CalcCredit,INDEX(PkLoanA,163),CalcAmt)+SUMIF(CalcCredit2,INDEX(PkLoanA,163),CalcAmt2)))</f>
        <v/>
      </c>
      <c r="G1307" s="20">
        <f>IF($B1307="","",ROUND($E1307-$F1307,0))</f>
        <v/>
      </c>
      <c r="H1307" s="17">
        <f>IF($B1307="","",IF(ROUND($G1307,0)&gt;0,"بدهکار",IF(ROUND($G1307,0)&lt;0,"بستانکار","تسویه")))</f>
        <v/>
      </c>
    </row>
    <row r="1308">
      <c r="A1308" s="11">
        <f>IF($B1308="","",1299)</f>
        <v/>
      </c>
      <c r="B1308" s="12">
        <f>IF(164&gt;NLoanA,"",IFERROR(IF(VLOOKUP(INDEX(PkLoanA,164),AcctTblA,4,0)="","(بدون نام)",VLOOKUP(INDEX(PkLoanA,164),AcctTblA,4,0)),"—"))</f>
        <v/>
      </c>
      <c r="C1308" s="13">
        <f>IF($B1308="","",IF(164&gt;NLoanA,"",INDEX(PkLoanA,164)))</f>
        <v/>
      </c>
      <c r="D1308" s="12">
        <f>IF($B1308="","","l")</f>
        <v/>
      </c>
      <c r="E1308" s="14">
        <f>IF($B1308="","",IF(164&gt;NLoanA,0,SUMIF(CalcDebit,INDEX(PkLoanA,164),CalcAmt)+SUMIF(CalcDebit2,INDEX(PkLoanA,164),CalcAmt2)))</f>
        <v/>
      </c>
      <c r="F1308" s="14">
        <f>IF($B1308="","",IF(164&gt;NLoanA,0,SUMIF(CalcCredit,INDEX(PkLoanA,164),CalcAmt)+SUMIF(CalcCredit2,INDEX(PkLoanA,164),CalcAmt2)))</f>
        <v/>
      </c>
      <c r="G1308" s="15">
        <f>IF($B1308="","",ROUND($E1308-$F1308,0))</f>
        <v/>
      </c>
      <c r="H1308" s="12">
        <f>IF($B1308="","",IF(ROUND($G1308,0)&gt;0,"بدهکار",IF(ROUND($G1308,0)&lt;0,"بستانکار","تسویه")))</f>
        <v/>
      </c>
    </row>
    <row r="1309">
      <c r="A1309" s="16">
        <f>IF($B1309="","",1300)</f>
        <v/>
      </c>
      <c r="B1309" s="17">
        <f>IF(165&gt;NLoanA,"",IFERROR(IF(VLOOKUP(INDEX(PkLoanA,165),AcctTblA,4,0)="","(بدون نام)",VLOOKUP(INDEX(PkLoanA,165),AcctTblA,4,0)),"—"))</f>
        <v/>
      </c>
      <c r="C1309" s="18">
        <f>IF($B1309="","",IF(165&gt;NLoanA,"",INDEX(PkLoanA,165)))</f>
        <v/>
      </c>
      <c r="D1309" s="17">
        <f>IF($B1309="","","l")</f>
        <v/>
      </c>
      <c r="E1309" s="19">
        <f>IF($B1309="","",IF(165&gt;NLoanA,0,SUMIF(CalcDebit,INDEX(PkLoanA,165),CalcAmt)+SUMIF(CalcDebit2,INDEX(PkLoanA,165),CalcAmt2)))</f>
        <v/>
      </c>
      <c r="F1309" s="19">
        <f>IF($B1309="","",IF(165&gt;NLoanA,0,SUMIF(CalcCredit,INDEX(PkLoanA,165),CalcAmt)+SUMIF(CalcCredit2,INDEX(PkLoanA,165),CalcAmt2)))</f>
        <v/>
      </c>
      <c r="G1309" s="20">
        <f>IF($B1309="","",ROUND($E1309-$F1309,0))</f>
        <v/>
      </c>
      <c r="H1309" s="17">
        <f>IF($B1309="","",IF(ROUND($G1309,0)&gt;0,"بدهکار",IF(ROUND($G1309,0)&lt;0,"بستانکار","تسویه")))</f>
        <v/>
      </c>
    </row>
    <row r="1310">
      <c r="A1310" s="11">
        <f>IF($B1310="","",1301)</f>
        <v/>
      </c>
      <c r="B1310" s="12">
        <f>IF(166&gt;NLoanA,"",IFERROR(IF(VLOOKUP(INDEX(PkLoanA,166),AcctTblA,4,0)="","(بدون نام)",VLOOKUP(INDEX(PkLoanA,166),AcctTblA,4,0)),"—"))</f>
        <v/>
      </c>
      <c r="C1310" s="13">
        <f>IF($B1310="","",IF(166&gt;NLoanA,"",INDEX(PkLoanA,166)))</f>
        <v/>
      </c>
      <c r="D1310" s="12">
        <f>IF($B1310="","","l")</f>
        <v/>
      </c>
      <c r="E1310" s="14">
        <f>IF($B1310="","",IF(166&gt;NLoanA,0,SUMIF(CalcDebit,INDEX(PkLoanA,166),CalcAmt)+SUMIF(CalcDebit2,INDEX(PkLoanA,166),CalcAmt2)))</f>
        <v/>
      </c>
      <c r="F1310" s="14">
        <f>IF($B1310="","",IF(166&gt;NLoanA,0,SUMIF(CalcCredit,INDEX(PkLoanA,166),CalcAmt)+SUMIF(CalcCredit2,INDEX(PkLoanA,166),CalcAmt2)))</f>
        <v/>
      </c>
      <c r="G1310" s="15">
        <f>IF($B1310="","",ROUND($E1310-$F1310,0))</f>
        <v/>
      </c>
      <c r="H1310" s="12">
        <f>IF($B1310="","",IF(ROUND($G1310,0)&gt;0,"بدهکار",IF(ROUND($G1310,0)&lt;0,"بستانکار","تسویه")))</f>
        <v/>
      </c>
    </row>
    <row r="1311">
      <c r="A1311" s="16">
        <f>IF($B1311="","",1302)</f>
        <v/>
      </c>
      <c r="B1311" s="17">
        <f>IF(167&gt;NLoanA,"",IFERROR(IF(VLOOKUP(INDEX(PkLoanA,167),AcctTblA,4,0)="","(بدون نام)",VLOOKUP(INDEX(PkLoanA,167),AcctTblA,4,0)),"—"))</f>
        <v/>
      </c>
      <c r="C1311" s="18">
        <f>IF($B1311="","",IF(167&gt;NLoanA,"",INDEX(PkLoanA,167)))</f>
        <v/>
      </c>
      <c r="D1311" s="17">
        <f>IF($B1311="","","l")</f>
        <v/>
      </c>
      <c r="E1311" s="19">
        <f>IF($B1311="","",IF(167&gt;NLoanA,0,SUMIF(CalcDebit,INDEX(PkLoanA,167),CalcAmt)+SUMIF(CalcDebit2,INDEX(PkLoanA,167),CalcAmt2)))</f>
        <v/>
      </c>
      <c r="F1311" s="19">
        <f>IF($B1311="","",IF(167&gt;NLoanA,0,SUMIF(CalcCredit,INDEX(PkLoanA,167),CalcAmt)+SUMIF(CalcCredit2,INDEX(PkLoanA,167),CalcAmt2)))</f>
        <v/>
      </c>
      <c r="G1311" s="20">
        <f>IF($B1311="","",ROUND($E1311-$F1311,0))</f>
        <v/>
      </c>
      <c r="H1311" s="17">
        <f>IF($B1311="","",IF(ROUND($G1311,0)&gt;0,"بدهکار",IF(ROUND($G1311,0)&lt;0,"بستانکار","تسویه")))</f>
        <v/>
      </c>
    </row>
    <row r="1312">
      <c r="A1312" s="11">
        <f>IF($B1312="","",1303)</f>
        <v/>
      </c>
      <c r="B1312" s="12">
        <f>IF(168&gt;NLoanA,"",IFERROR(IF(VLOOKUP(INDEX(PkLoanA,168),AcctTblA,4,0)="","(بدون نام)",VLOOKUP(INDEX(PkLoanA,168),AcctTblA,4,0)),"—"))</f>
        <v/>
      </c>
      <c r="C1312" s="13">
        <f>IF($B1312="","",IF(168&gt;NLoanA,"",INDEX(PkLoanA,168)))</f>
        <v/>
      </c>
      <c r="D1312" s="12">
        <f>IF($B1312="","","l")</f>
        <v/>
      </c>
      <c r="E1312" s="14">
        <f>IF($B1312="","",IF(168&gt;NLoanA,0,SUMIF(CalcDebit,INDEX(PkLoanA,168),CalcAmt)+SUMIF(CalcDebit2,INDEX(PkLoanA,168),CalcAmt2)))</f>
        <v/>
      </c>
      <c r="F1312" s="14">
        <f>IF($B1312="","",IF(168&gt;NLoanA,0,SUMIF(CalcCredit,INDEX(PkLoanA,168),CalcAmt)+SUMIF(CalcCredit2,INDEX(PkLoanA,168),CalcAmt2)))</f>
        <v/>
      </c>
      <c r="G1312" s="15">
        <f>IF($B1312="","",ROUND($E1312-$F1312,0))</f>
        <v/>
      </c>
      <c r="H1312" s="12">
        <f>IF($B1312="","",IF(ROUND($G1312,0)&gt;0,"بدهکار",IF(ROUND($G1312,0)&lt;0,"بستانکار","تسویه")))</f>
        <v/>
      </c>
    </row>
    <row r="1313">
      <c r="A1313" s="16">
        <f>IF($B1313="","",1304)</f>
        <v/>
      </c>
      <c r="B1313" s="17">
        <f>IF(169&gt;NLoanA,"",IFERROR(IF(VLOOKUP(INDEX(PkLoanA,169),AcctTblA,4,0)="","(بدون نام)",VLOOKUP(INDEX(PkLoanA,169),AcctTblA,4,0)),"—"))</f>
        <v/>
      </c>
      <c r="C1313" s="18">
        <f>IF($B1313="","",IF(169&gt;NLoanA,"",INDEX(PkLoanA,169)))</f>
        <v/>
      </c>
      <c r="D1313" s="17">
        <f>IF($B1313="","","l")</f>
        <v/>
      </c>
      <c r="E1313" s="19">
        <f>IF($B1313="","",IF(169&gt;NLoanA,0,SUMIF(CalcDebit,INDEX(PkLoanA,169),CalcAmt)+SUMIF(CalcDebit2,INDEX(PkLoanA,169),CalcAmt2)))</f>
        <v/>
      </c>
      <c r="F1313" s="19">
        <f>IF($B1313="","",IF(169&gt;NLoanA,0,SUMIF(CalcCredit,INDEX(PkLoanA,169),CalcAmt)+SUMIF(CalcCredit2,INDEX(PkLoanA,169),CalcAmt2)))</f>
        <v/>
      </c>
      <c r="G1313" s="20">
        <f>IF($B1313="","",ROUND($E1313-$F1313,0))</f>
        <v/>
      </c>
      <c r="H1313" s="17">
        <f>IF($B1313="","",IF(ROUND($G1313,0)&gt;0,"بدهکار",IF(ROUND($G1313,0)&lt;0,"بستانکار","تسویه")))</f>
        <v/>
      </c>
    </row>
    <row r="1314">
      <c r="A1314" s="11">
        <f>IF($B1314="","",1305)</f>
        <v/>
      </c>
      <c r="B1314" s="12">
        <f>IF(170&gt;NLoanA,"",IFERROR(IF(VLOOKUP(INDEX(PkLoanA,170),AcctTblA,4,0)="","(بدون نام)",VLOOKUP(INDEX(PkLoanA,170),AcctTblA,4,0)),"—"))</f>
        <v/>
      </c>
      <c r="C1314" s="13">
        <f>IF($B1314="","",IF(170&gt;NLoanA,"",INDEX(PkLoanA,170)))</f>
        <v/>
      </c>
      <c r="D1314" s="12">
        <f>IF($B1314="","","l")</f>
        <v/>
      </c>
      <c r="E1314" s="14">
        <f>IF($B1314="","",IF(170&gt;NLoanA,0,SUMIF(CalcDebit,INDEX(PkLoanA,170),CalcAmt)+SUMIF(CalcDebit2,INDEX(PkLoanA,170),CalcAmt2)))</f>
        <v/>
      </c>
      <c r="F1314" s="14">
        <f>IF($B1314="","",IF(170&gt;NLoanA,0,SUMIF(CalcCredit,INDEX(PkLoanA,170),CalcAmt)+SUMIF(CalcCredit2,INDEX(PkLoanA,170),CalcAmt2)))</f>
        <v/>
      </c>
      <c r="G1314" s="15">
        <f>IF($B1314="","",ROUND($E1314-$F1314,0))</f>
        <v/>
      </c>
      <c r="H1314" s="12">
        <f>IF($B1314="","",IF(ROUND($G1314,0)&gt;0,"بدهکار",IF(ROUND($G1314,0)&lt;0,"بستانکار","تسویه")))</f>
        <v/>
      </c>
    </row>
    <row r="1315">
      <c r="A1315" s="16">
        <f>IF($B1315="","",1306)</f>
        <v/>
      </c>
      <c r="B1315" s="17">
        <f>IF(171&gt;NLoanA,"",IFERROR(IF(VLOOKUP(INDEX(PkLoanA,171),AcctTblA,4,0)="","(بدون نام)",VLOOKUP(INDEX(PkLoanA,171),AcctTblA,4,0)),"—"))</f>
        <v/>
      </c>
      <c r="C1315" s="18">
        <f>IF($B1315="","",IF(171&gt;NLoanA,"",INDEX(PkLoanA,171)))</f>
        <v/>
      </c>
      <c r="D1315" s="17">
        <f>IF($B1315="","","l")</f>
        <v/>
      </c>
      <c r="E1315" s="19">
        <f>IF($B1315="","",IF(171&gt;NLoanA,0,SUMIF(CalcDebit,INDEX(PkLoanA,171),CalcAmt)+SUMIF(CalcDebit2,INDEX(PkLoanA,171),CalcAmt2)))</f>
        <v/>
      </c>
      <c r="F1315" s="19">
        <f>IF($B1315="","",IF(171&gt;NLoanA,0,SUMIF(CalcCredit,INDEX(PkLoanA,171),CalcAmt)+SUMIF(CalcCredit2,INDEX(PkLoanA,171),CalcAmt2)))</f>
        <v/>
      </c>
      <c r="G1315" s="20">
        <f>IF($B1315="","",ROUND($E1315-$F1315,0))</f>
        <v/>
      </c>
      <c r="H1315" s="17">
        <f>IF($B1315="","",IF(ROUND($G1315,0)&gt;0,"بدهکار",IF(ROUND($G1315,0)&lt;0,"بستانکار","تسویه")))</f>
        <v/>
      </c>
    </row>
    <row r="1316">
      <c r="A1316" s="11">
        <f>IF($B1316="","",1307)</f>
        <v/>
      </c>
      <c r="B1316" s="12">
        <f>IF(172&gt;NLoanA,"",IFERROR(IF(VLOOKUP(INDEX(PkLoanA,172),AcctTblA,4,0)="","(بدون نام)",VLOOKUP(INDEX(PkLoanA,172),AcctTblA,4,0)),"—"))</f>
        <v/>
      </c>
      <c r="C1316" s="13">
        <f>IF($B1316="","",IF(172&gt;NLoanA,"",INDEX(PkLoanA,172)))</f>
        <v/>
      </c>
      <c r="D1316" s="12">
        <f>IF($B1316="","","l")</f>
        <v/>
      </c>
      <c r="E1316" s="14">
        <f>IF($B1316="","",IF(172&gt;NLoanA,0,SUMIF(CalcDebit,INDEX(PkLoanA,172),CalcAmt)+SUMIF(CalcDebit2,INDEX(PkLoanA,172),CalcAmt2)))</f>
        <v/>
      </c>
      <c r="F1316" s="14">
        <f>IF($B1316="","",IF(172&gt;NLoanA,0,SUMIF(CalcCredit,INDEX(PkLoanA,172),CalcAmt)+SUMIF(CalcCredit2,INDEX(PkLoanA,172),CalcAmt2)))</f>
        <v/>
      </c>
      <c r="G1316" s="15">
        <f>IF($B1316="","",ROUND($E1316-$F1316,0))</f>
        <v/>
      </c>
      <c r="H1316" s="12">
        <f>IF($B1316="","",IF(ROUND($G1316,0)&gt;0,"بدهکار",IF(ROUND($G1316,0)&lt;0,"بستانکار","تسویه")))</f>
        <v/>
      </c>
    </row>
    <row r="1317">
      <c r="A1317" s="16">
        <f>IF($B1317="","",1308)</f>
        <v/>
      </c>
      <c r="B1317" s="17">
        <f>IF(173&gt;NLoanA,"",IFERROR(IF(VLOOKUP(INDEX(PkLoanA,173),AcctTblA,4,0)="","(بدون نام)",VLOOKUP(INDEX(PkLoanA,173),AcctTblA,4,0)),"—"))</f>
        <v/>
      </c>
      <c r="C1317" s="18">
        <f>IF($B1317="","",IF(173&gt;NLoanA,"",INDEX(PkLoanA,173)))</f>
        <v/>
      </c>
      <c r="D1317" s="17">
        <f>IF($B1317="","","l")</f>
        <v/>
      </c>
      <c r="E1317" s="19">
        <f>IF($B1317="","",IF(173&gt;NLoanA,0,SUMIF(CalcDebit,INDEX(PkLoanA,173),CalcAmt)+SUMIF(CalcDebit2,INDEX(PkLoanA,173),CalcAmt2)))</f>
        <v/>
      </c>
      <c r="F1317" s="19">
        <f>IF($B1317="","",IF(173&gt;NLoanA,0,SUMIF(CalcCredit,INDEX(PkLoanA,173),CalcAmt)+SUMIF(CalcCredit2,INDEX(PkLoanA,173),CalcAmt2)))</f>
        <v/>
      </c>
      <c r="G1317" s="20">
        <f>IF($B1317="","",ROUND($E1317-$F1317,0))</f>
        <v/>
      </c>
      <c r="H1317" s="17">
        <f>IF($B1317="","",IF(ROUND($G1317,0)&gt;0,"بدهکار",IF(ROUND($G1317,0)&lt;0,"بستانکار","تسویه")))</f>
        <v/>
      </c>
    </row>
    <row r="1318">
      <c r="A1318" s="11">
        <f>IF($B1318="","",1309)</f>
        <v/>
      </c>
      <c r="B1318" s="12">
        <f>IF(174&gt;NLoanA,"",IFERROR(IF(VLOOKUP(INDEX(PkLoanA,174),AcctTblA,4,0)="","(بدون نام)",VLOOKUP(INDEX(PkLoanA,174),AcctTblA,4,0)),"—"))</f>
        <v/>
      </c>
      <c r="C1318" s="13">
        <f>IF($B1318="","",IF(174&gt;NLoanA,"",INDEX(PkLoanA,174)))</f>
        <v/>
      </c>
      <c r="D1318" s="12">
        <f>IF($B1318="","","l")</f>
        <v/>
      </c>
      <c r="E1318" s="14">
        <f>IF($B1318="","",IF(174&gt;NLoanA,0,SUMIF(CalcDebit,INDEX(PkLoanA,174),CalcAmt)+SUMIF(CalcDebit2,INDEX(PkLoanA,174),CalcAmt2)))</f>
        <v/>
      </c>
      <c r="F1318" s="14">
        <f>IF($B1318="","",IF(174&gt;NLoanA,0,SUMIF(CalcCredit,INDEX(PkLoanA,174),CalcAmt)+SUMIF(CalcCredit2,INDEX(PkLoanA,174),CalcAmt2)))</f>
        <v/>
      </c>
      <c r="G1318" s="15">
        <f>IF($B1318="","",ROUND($E1318-$F1318,0))</f>
        <v/>
      </c>
      <c r="H1318" s="12">
        <f>IF($B1318="","",IF(ROUND($G1318,0)&gt;0,"بدهکار",IF(ROUND($G1318,0)&lt;0,"بستانکار","تسویه")))</f>
        <v/>
      </c>
    </row>
    <row r="1319">
      <c r="A1319" s="16">
        <f>IF($B1319="","",1310)</f>
        <v/>
      </c>
      <c r="B1319" s="17">
        <f>IF(175&gt;NLoanA,"",IFERROR(IF(VLOOKUP(INDEX(PkLoanA,175),AcctTblA,4,0)="","(بدون نام)",VLOOKUP(INDEX(PkLoanA,175),AcctTblA,4,0)),"—"))</f>
        <v/>
      </c>
      <c r="C1319" s="18">
        <f>IF($B1319="","",IF(175&gt;NLoanA,"",INDEX(PkLoanA,175)))</f>
        <v/>
      </c>
      <c r="D1319" s="17">
        <f>IF($B1319="","","l")</f>
        <v/>
      </c>
      <c r="E1319" s="19">
        <f>IF($B1319="","",IF(175&gt;NLoanA,0,SUMIF(CalcDebit,INDEX(PkLoanA,175),CalcAmt)+SUMIF(CalcDebit2,INDEX(PkLoanA,175),CalcAmt2)))</f>
        <v/>
      </c>
      <c r="F1319" s="19">
        <f>IF($B1319="","",IF(175&gt;NLoanA,0,SUMIF(CalcCredit,INDEX(PkLoanA,175),CalcAmt)+SUMIF(CalcCredit2,INDEX(PkLoanA,175),CalcAmt2)))</f>
        <v/>
      </c>
      <c r="G1319" s="20">
        <f>IF($B1319="","",ROUND($E1319-$F1319,0))</f>
        <v/>
      </c>
      <c r="H1319" s="17">
        <f>IF($B1319="","",IF(ROUND($G1319,0)&gt;0,"بدهکار",IF(ROUND($G1319,0)&lt;0,"بستانکار","تسویه")))</f>
        <v/>
      </c>
    </row>
    <row r="1320">
      <c r="A1320" s="11">
        <f>IF($B1320="","",1311)</f>
        <v/>
      </c>
      <c r="B1320" s="12">
        <f>IF(176&gt;NLoanA,"",IFERROR(IF(VLOOKUP(INDEX(PkLoanA,176),AcctTblA,4,0)="","(بدون نام)",VLOOKUP(INDEX(PkLoanA,176),AcctTblA,4,0)),"—"))</f>
        <v/>
      </c>
      <c r="C1320" s="13">
        <f>IF($B1320="","",IF(176&gt;NLoanA,"",INDEX(PkLoanA,176)))</f>
        <v/>
      </c>
      <c r="D1320" s="12">
        <f>IF($B1320="","","l")</f>
        <v/>
      </c>
      <c r="E1320" s="14">
        <f>IF($B1320="","",IF(176&gt;NLoanA,0,SUMIF(CalcDebit,INDEX(PkLoanA,176),CalcAmt)+SUMIF(CalcDebit2,INDEX(PkLoanA,176),CalcAmt2)))</f>
        <v/>
      </c>
      <c r="F1320" s="14">
        <f>IF($B1320="","",IF(176&gt;NLoanA,0,SUMIF(CalcCredit,INDEX(PkLoanA,176),CalcAmt)+SUMIF(CalcCredit2,INDEX(PkLoanA,176),CalcAmt2)))</f>
        <v/>
      </c>
      <c r="G1320" s="15">
        <f>IF($B1320="","",ROUND($E1320-$F1320,0))</f>
        <v/>
      </c>
      <c r="H1320" s="12">
        <f>IF($B1320="","",IF(ROUND($G1320,0)&gt;0,"بدهکار",IF(ROUND($G1320,0)&lt;0,"بستانکار","تسویه")))</f>
        <v/>
      </c>
    </row>
    <row r="1321">
      <c r="A1321" s="16">
        <f>IF($B1321="","",1312)</f>
        <v/>
      </c>
      <c r="B1321" s="17">
        <f>IF(177&gt;NLoanA,"",IFERROR(IF(VLOOKUP(INDEX(PkLoanA,177),AcctTblA,4,0)="","(بدون نام)",VLOOKUP(INDEX(PkLoanA,177),AcctTblA,4,0)),"—"))</f>
        <v/>
      </c>
      <c r="C1321" s="18">
        <f>IF($B1321="","",IF(177&gt;NLoanA,"",INDEX(PkLoanA,177)))</f>
        <v/>
      </c>
      <c r="D1321" s="17">
        <f>IF($B1321="","","l")</f>
        <v/>
      </c>
      <c r="E1321" s="19">
        <f>IF($B1321="","",IF(177&gt;NLoanA,0,SUMIF(CalcDebit,INDEX(PkLoanA,177),CalcAmt)+SUMIF(CalcDebit2,INDEX(PkLoanA,177),CalcAmt2)))</f>
        <v/>
      </c>
      <c r="F1321" s="19">
        <f>IF($B1321="","",IF(177&gt;NLoanA,0,SUMIF(CalcCredit,INDEX(PkLoanA,177),CalcAmt)+SUMIF(CalcCredit2,INDEX(PkLoanA,177),CalcAmt2)))</f>
        <v/>
      </c>
      <c r="G1321" s="20">
        <f>IF($B1321="","",ROUND($E1321-$F1321,0))</f>
        <v/>
      </c>
      <c r="H1321" s="17">
        <f>IF($B1321="","",IF(ROUND($G1321,0)&gt;0,"بدهکار",IF(ROUND($G1321,0)&lt;0,"بستانکار","تسویه")))</f>
        <v/>
      </c>
    </row>
    <row r="1322">
      <c r="A1322" s="11">
        <f>IF($B1322="","",1313)</f>
        <v/>
      </c>
      <c r="B1322" s="12">
        <f>IF(178&gt;NLoanA,"",IFERROR(IF(VLOOKUP(INDEX(PkLoanA,178),AcctTblA,4,0)="","(بدون نام)",VLOOKUP(INDEX(PkLoanA,178),AcctTblA,4,0)),"—"))</f>
        <v/>
      </c>
      <c r="C1322" s="13">
        <f>IF($B1322="","",IF(178&gt;NLoanA,"",INDEX(PkLoanA,178)))</f>
        <v/>
      </c>
      <c r="D1322" s="12">
        <f>IF($B1322="","","l")</f>
        <v/>
      </c>
      <c r="E1322" s="14">
        <f>IF($B1322="","",IF(178&gt;NLoanA,0,SUMIF(CalcDebit,INDEX(PkLoanA,178),CalcAmt)+SUMIF(CalcDebit2,INDEX(PkLoanA,178),CalcAmt2)))</f>
        <v/>
      </c>
      <c r="F1322" s="14">
        <f>IF($B1322="","",IF(178&gt;NLoanA,0,SUMIF(CalcCredit,INDEX(PkLoanA,178),CalcAmt)+SUMIF(CalcCredit2,INDEX(PkLoanA,178),CalcAmt2)))</f>
        <v/>
      </c>
      <c r="G1322" s="15">
        <f>IF($B1322="","",ROUND($E1322-$F1322,0))</f>
        <v/>
      </c>
      <c r="H1322" s="12">
        <f>IF($B1322="","",IF(ROUND($G1322,0)&gt;0,"بدهکار",IF(ROUND($G1322,0)&lt;0,"بستانکار","تسویه")))</f>
        <v/>
      </c>
    </row>
    <row r="1323">
      <c r="A1323" s="16">
        <f>IF($B1323="","",1314)</f>
        <v/>
      </c>
      <c r="B1323" s="17">
        <f>IF(179&gt;NLoanA,"",IFERROR(IF(VLOOKUP(INDEX(PkLoanA,179),AcctTblA,4,0)="","(بدون نام)",VLOOKUP(INDEX(PkLoanA,179),AcctTblA,4,0)),"—"))</f>
        <v/>
      </c>
      <c r="C1323" s="18">
        <f>IF($B1323="","",IF(179&gt;NLoanA,"",INDEX(PkLoanA,179)))</f>
        <v/>
      </c>
      <c r="D1323" s="17">
        <f>IF($B1323="","","l")</f>
        <v/>
      </c>
      <c r="E1323" s="19">
        <f>IF($B1323="","",IF(179&gt;NLoanA,0,SUMIF(CalcDebit,INDEX(PkLoanA,179),CalcAmt)+SUMIF(CalcDebit2,INDEX(PkLoanA,179),CalcAmt2)))</f>
        <v/>
      </c>
      <c r="F1323" s="19">
        <f>IF($B1323="","",IF(179&gt;NLoanA,0,SUMIF(CalcCredit,INDEX(PkLoanA,179),CalcAmt)+SUMIF(CalcCredit2,INDEX(PkLoanA,179),CalcAmt2)))</f>
        <v/>
      </c>
      <c r="G1323" s="20">
        <f>IF($B1323="","",ROUND($E1323-$F1323,0))</f>
        <v/>
      </c>
      <c r="H1323" s="17">
        <f>IF($B1323="","",IF(ROUND($G1323,0)&gt;0,"بدهکار",IF(ROUND($G1323,0)&lt;0,"بستانکار","تسویه")))</f>
        <v/>
      </c>
    </row>
    <row r="1324">
      <c r="A1324" s="11">
        <f>IF($B1324="","",1315)</f>
        <v/>
      </c>
      <c r="B1324" s="12">
        <f>IF(180&gt;NLoanA,"",IFERROR(IF(VLOOKUP(INDEX(PkLoanA,180),AcctTblA,4,0)="","(بدون نام)",VLOOKUP(INDEX(PkLoanA,180),AcctTblA,4,0)),"—"))</f>
        <v/>
      </c>
      <c r="C1324" s="13">
        <f>IF($B1324="","",IF(180&gt;NLoanA,"",INDEX(PkLoanA,180)))</f>
        <v/>
      </c>
      <c r="D1324" s="12">
        <f>IF($B1324="","","l")</f>
        <v/>
      </c>
      <c r="E1324" s="14">
        <f>IF($B1324="","",IF(180&gt;NLoanA,0,SUMIF(CalcDebit,INDEX(PkLoanA,180),CalcAmt)+SUMIF(CalcDebit2,INDEX(PkLoanA,180),CalcAmt2)))</f>
        <v/>
      </c>
      <c r="F1324" s="14">
        <f>IF($B1324="","",IF(180&gt;NLoanA,0,SUMIF(CalcCredit,INDEX(PkLoanA,180),CalcAmt)+SUMIF(CalcCredit2,INDEX(PkLoanA,180),CalcAmt2)))</f>
        <v/>
      </c>
      <c r="G1324" s="15">
        <f>IF($B1324="","",ROUND($E1324-$F1324,0))</f>
        <v/>
      </c>
      <c r="H1324" s="12">
        <f>IF($B1324="","",IF(ROUND($G1324,0)&gt;0,"بدهکار",IF(ROUND($G1324,0)&lt;0,"بستانکار","تسویه")))</f>
        <v/>
      </c>
    </row>
    <row r="1325">
      <c r="A1325" s="16">
        <f>IF($B1325="","",1316)</f>
        <v/>
      </c>
      <c r="B1325" s="17">
        <f>IF(181&gt;NLoanA,"",IFERROR(IF(VLOOKUP(INDEX(PkLoanA,181),AcctTblA,4,0)="","(بدون نام)",VLOOKUP(INDEX(PkLoanA,181),AcctTblA,4,0)),"—"))</f>
        <v/>
      </c>
      <c r="C1325" s="18">
        <f>IF($B1325="","",IF(181&gt;NLoanA,"",INDEX(PkLoanA,181)))</f>
        <v/>
      </c>
      <c r="D1325" s="17">
        <f>IF($B1325="","","l")</f>
        <v/>
      </c>
      <c r="E1325" s="19">
        <f>IF($B1325="","",IF(181&gt;NLoanA,0,SUMIF(CalcDebit,INDEX(PkLoanA,181),CalcAmt)+SUMIF(CalcDebit2,INDEX(PkLoanA,181),CalcAmt2)))</f>
        <v/>
      </c>
      <c r="F1325" s="19">
        <f>IF($B1325="","",IF(181&gt;NLoanA,0,SUMIF(CalcCredit,INDEX(PkLoanA,181),CalcAmt)+SUMIF(CalcCredit2,INDEX(PkLoanA,181),CalcAmt2)))</f>
        <v/>
      </c>
      <c r="G1325" s="20">
        <f>IF($B1325="","",ROUND($E1325-$F1325,0))</f>
        <v/>
      </c>
      <c r="H1325" s="17">
        <f>IF($B1325="","",IF(ROUND($G1325,0)&gt;0,"بدهکار",IF(ROUND($G1325,0)&lt;0,"بستانکار","تسویه")))</f>
        <v/>
      </c>
    </row>
    <row r="1326">
      <c r="A1326" s="11">
        <f>IF($B1326="","",1317)</f>
        <v/>
      </c>
      <c r="B1326" s="12">
        <f>IF(182&gt;NLoanA,"",IFERROR(IF(VLOOKUP(INDEX(PkLoanA,182),AcctTblA,4,0)="","(بدون نام)",VLOOKUP(INDEX(PkLoanA,182),AcctTblA,4,0)),"—"))</f>
        <v/>
      </c>
      <c r="C1326" s="13">
        <f>IF($B1326="","",IF(182&gt;NLoanA,"",INDEX(PkLoanA,182)))</f>
        <v/>
      </c>
      <c r="D1326" s="12">
        <f>IF($B1326="","","l")</f>
        <v/>
      </c>
      <c r="E1326" s="14">
        <f>IF($B1326="","",IF(182&gt;NLoanA,0,SUMIF(CalcDebit,INDEX(PkLoanA,182),CalcAmt)+SUMIF(CalcDebit2,INDEX(PkLoanA,182),CalcAmt2)))</f>
        <v/>
      </c>
      <c r="F1326" s="14">
        <f>IF($B1326="","",IF(182&gt;NLoanA,0,SUMIF(CalcCredit,INDEX(PkLoanA,182),CalcAmt)+SUMIF(CalcCredit2,INDEX(PkLoanA,182),CalcAmt2)))</f>
        <v/>
      </c>
      <c r="G1326" s="15">
        <f>IF($B1326="","",ROUND($E1326-$F1326,0))</f>
        <v/>
      </c>
      <c r="H1326" s="12">
        <f>IF($B1326="","",IF(ROUND($G1326,0)&gt;0,"بدهکار",IF(ROUND($G1326,0)&lt;0,"بستانکار","تسویه")))</f>
        <v/>
      </c>
    </row>
    <row r="1327">
      <c r="A1327" s="16">
        <f>IF($B1327="","",1318)</f>
        <v/>
      </c>
      <c r="B1327" s="17">
        <f>IF(183&gt;NLoanA,"",IFERROR(IF(VLOOKUP(INDEX(PkLoanA,183),AcctTblA,4,0)="","(بدون نام)",VLOOKUP(INDEX(PkLoanA,183),AcctTblA,4,0)),"—"))</f>
        <v/>
      </c>
      <c r="C1327" s="18">
        <f>IF($B1327="","",IF(183&gt;NLoanA,"",INDEX(PkLoanA,183)))</f>
        <v/>
      </c>
      <c r="D1327" s="17">
        <f>IF($B1327="","","l")</f>
        <v/>
      </c>
      <c r="E1327" s="19">
        <f>IF($B1327="","",IF(183&gt;NLoanA,0,SUMIF(CalcDebit,INDEX(PkLoanA,183),CalcAmt)+SUMIF(CalcDebit2,INDEX(PkLoanA,183),CalcAmt2)))</f>
        <v/>
      </c>
      <c r="F1327" s="19">
        <f>IF($B1327="","",IF(183&gt;NLoanA,0,SUMIF(CalcCredit,INDEX(PkLoanA,183),CalcAmt)+SUMIF(CalcCredit2,INDEX(PkLoanA,183),CalcAmt2)))</f>
        <v/>
      </c>
      <c r="G1327" s="20">
        <f>IF($B1327="","",ROUND($E1327-$F1327,0))</f>
        <v/>
      </c>
      <c r="H1327" s="17">
        <f>IF($B1327="","",IF(ROUND($G1327,0)&gt;0,"بدهکار",IF(ROUND($G1327,0)&lt;0,"بستانکار","تسویه")))</f>
        <v/>
      </c>
    </row>
    <row r="1328">
      <c r="A1328" s="11">
        <f>IF($B1328="","",1319)</f>
        <v/>
      </c>
      <c r="B1328" s="12">
        <f>IF(184&gt;NLoanA,"",IFERROR(IF(VLOOKUP(INDEX(PkLoanA,184),AcctTblA,4,0)="","(بدون نام)",VLOOKUP(INDEX(PkLoanA,184),AcctTblA,4,0)),"—"))</f>
        <v/>
      </c>
      <c r="C1328" s="13">
        <f>IF($B1328="","",IF(184&gt;NLoanA,"",INDEX(PkLoanA,184)))</f>
        <v/>
      </c>
      <c r="D1328" s="12">
        <f>IF($B1328="","","l")</f>
        <v/>
      </c>
      <c r="E1328" s="14">
        <f>IF($B1328="","",IF(184&gt;NLoanA,0,SUMIF(CalcDebit,INDEX(PkLoanA,184),CalcAmt)+SUMIF(CalcDebit2,INDEX(PkLoanA,184),CalcAmt2)))</f>
        <v/>
      </c>
      <c r="F1328" s="14">
        <f>IF($B1328="","",IF(184&gt;NLoanA,0,SUMIF(CalcCredit,INDEX(PkLoanA,184),CalcAmt)+SUMIF(CalcCredit2,INDEX(PkLoanA,184),CalcAmt2)))</f>
        <v/>
      </c>
      <c r="G1328" s="15">
        <f>IF($B1328="","",ROUND($E1328-$F1328,0))</f>
        <v/>
      </c>
      <c r="H1328" s="12">
        <f>IF($B1328="","",IF(ROUND($G1328,0)&gt;0,"بدهکار",IF(ROUND($G1328,0)&lt;0,"بستانکار","تسویه")))</f>
        <v/>
      </c>
    </row>
    <row r="1329">
      <c r="A1329" s="16">
        <f>IF($B1329="","",1320)</f>
        <v/>
      </c>
      <c r="B1329" s="17">
        <f>IF(185&gt;NLoanA,"",IFERROR(IF(VLOOKUP(INDEX(PkLoanA,185),AcctTblA,4,0)="","(بدون نام)",VLOOKUP(INDEX(PkLoanA,185),AcctTblA,4,0)),"—"))</f>
        <v/>
      </c>
      <c r="C1329" s="18">
        <f>IF($B1329="","",IF(185&gt;NLoanA,"",INDEX(PkLoanA,185)))</f>
        <v/>
      </c>
      <c r="D1329" s="17">
        <f>IF($B1329="","","l")</f>
        <v/>
      </c>
      <c r="E1329" s="19">
        <f>IF($B1329="","",IF(185&gt;NLoanA,0,SUMIF(CalcDebit,INDEX(PkLoanA,185),CalcAmt)+SUMIF(CalcDebit2,INDEX(PkLoanA,185),CalcAmt2)))</f>
        <v/>
      </c>
      <c r="F1329" s="19">
        <f>IF($B1329="","",IF(185&gt;NLoanA,0,SUMIF(CalcCredit,INDEX(PkLoanA,185),CalcAmt)+SUMIF(CalcCredit2,INDEX(PkLoanA,185),CalcAmt2)))</f>
        <v/>
      </c>
      <c r="G1329" s="20">
        <f>IF($B1329="","",ROUND($E1329-$F1329,0))</f>
        <v/>
      </c>
      <c r="H1329" s="17">
        <f>IF($B1329="","",IF(ROUND($G1329,0)&gt;0,"بدهکار",IF(ROUND($G1329,0)&lt;0,"بستانکار","تسویه")))</f>
        <v/>
      </c>
    </row>
    <row r="1330">
      <c r="A1330" s="11">
        <f>IF($B1330="","",1321)</f>
        <v/>
      </c>
      <c r="B1330" s="12">
        <f>IF(186&gt;NLoanA,"",IFERROR(IF(VLOOKUP(INDEX(PkLoanA,186),AcctTblA,4,0)="","(بدون نام)",VLOOKUP(INDEX(PkLoanA,186),AcctTblA,4,0)),"—"))</f>
        <v/>
      </c>
      <c r="C1330" s="13">
        <f>IF($B1330="","",IF(186&gt;NLoanA,"",INDEX(PkLoanA,186)))</f>
        <v/>
      </c>
      <c r="D1330" s="12">
        <f>IF($B1330="","","l")</f>
        <v/>
      </c>
      <c r="E1330" s="14">
        <f>IF($B1330="","",IF(186&gt;NLoanA,0,SUMIF(CalcDebit,INDEX(PkLoanA,186),CalcAmt)+SUMIF(CalcDebit2,INDEX(PkLoanA,186),CalcAmt2)))</f>
        <v/>
      </c>
      <c r="F1330" s="14">
        <f>IF($B1330="","",IF(186&gt;NLoanA,0,SUMIF(CalcCredit,INDEX(PkLoanA,186),CalcAmt)+SUMIF(CalcCredit2,INDEX(PkLoanA,186),CalcAmt2)))</f>
        <v/>
      </c>
      <c r="G1330" s="15">
        <f>IF($B1330="","",ROUND($E1330-$F1330,0))</f>
        <v/>
      </c>
      <c r="H1330" s="12">
        <f>IF($B1330="","",IF(ROUND($G1330,0)&gt;0,"بدهکار",IF(ROUND($G1330,0)&lt;0,"بستانکار","تسویه")))</f>
        <v/>
      </c>
    </row>
    <row r="1331">
      <c r="A1331" s="16">
        <f>IF($B1331="","",1322)</f>
        <v/>
      </c>
      <c r="B1331" s="17">
        <f>IF(187&gt;NLoanA,"",IFERROR(IF(VLOOKUP(INDEX(PkLoanA,187),AcctTblA,4,0)="","(بدون نام)",VLOOKUP(INDEX(PkLoanA,187),AcctTblA,4,0)),"—"))</f>
        <v/>
      </c>
      <c r="C1331" s="18">
        <f>IF($B1331="","",IF(187&gt;NLoanA,"",INDEX(PkLoanA,187)))</f>
        <v/>
      </c>
      <c r="D1331" s="17">
        <f>IF($B1331="","","l")</f>
        <v/>
      </c>
      <c r="E1331" s="19">
        <f>IF($B1331="","",IF(187&gt;NLoanA,0,SUMIF(CalcDebit,INDEX(PkLoanA,187),CalcAmt)+SUMIF(CalcDebit2,INDEX(PkLoanA,187),CalcAmt2)))</f>
        <v/>
      </c>
      <c r="F1331" s="19">
        <f>IF($B1331="","",IF(187&gt;NLoanA,0,SUMIF(CalcCredit,INDEX(PkLoanA,187),CalcAmt)+SUMIF(CalcCredit2,INDEX(PkLoanA,187),CalcAmt2)))</f>
        <v/>
      </c>
      <c r="G1331" s="20">
        <f>IF($B1331="","",ROUND($E1331-$F1331,0))</f>
        <v/>
      </c>
      <c r="H1331" s="17">
        <f>IF($B1331="","",IF(ROUND($G1331,0)&gt;0,"بدهکار",IF(ROUND($G1331,0)&lt;0,"بستانکار","تسویه")))</f>
        <v/>
      </c>
    </row>
    <row r="1332">
      <c r="A1332" s="11">
        <f>IF($B1332="","",1323)</f>
        <v/>
      </c>
      <c r="B1332" s="12">
        <f>IF(188&gt;NLoanA,"",IFERROR(IF(VLOOKUP(INDEX(PkLoanA,188),AcctTblA,4,0)="","(بدون نام)",VLOOKUP(INDEX(PkLoanA,188),AcctTblA,4,0)),"—"))</f>
        <v/>
      </c>
      <c r="C1332" s="13">
        <f>IF($B1332="","",IF(188&gt;NLoanA,"",INDEX(PkLoanA,188)))</f>
        <v/>
      </c>
      <c r="D1332" s="12">
        <f>IF($B1332="","","l")</f>
        <v/>
      </c>
      <c r="E1332" s="14">
        <f>IF($B1332="","",IF(188&gt;NLoanA,0,SUMIF(CalcDebit,INDEX(PkLoanA,188),CalcAmt)+SUMIF(CalcDebit2,INDEX(PkLoanA,188),CalcAmt2)))</f>
        <v/>
      </c>
      <c r="F1332" s="14">
        <f>IF($B1332="","",IF(188&gt;NLoanA,0,SUMIF(CalcCredit,INDEX(PkLoanA,188),CalcAmt)+SUMIF(CalcCredit2,INDEX(PkLoanA,188),CalcAmt2)))</f>
        <v/>
      </c>
      <c r="G1332" s="15">
        <f>IF($B1332="","",ROUND($E1332-$F1332,0))</f>
        <v/>
      </c>
      <c r="H1332" s="12">
        <f>IF($B1332="","",IF(ROUND($G1332,0)&gt;0,"بدهکار",IF(ROUND($G1332,0)&lt;0,"بستانکار","تسویه")))</f>
        <v/>
      </c>
    </row>
    <row r="1333">
      <c r="A1333" s="16">
        <f>IF($B1333="","",1324)</f>
        <v/>
      </c>
      <c r="B1333" s="17">
        <f>IF(189&gt;NLoanA,"",IFERROR(IF(VLOOKUP(INDEX(PkLoanA,189),AcctTblA,4,0)="","(بدون نام)",VLOOKUP(INDEX(PkLoanA,189),AcctTblA,4,0)),"—"))</f>
        <v/>
      </c>
      <c r="C1333" s="18">
        <f>IF($B1333="","",IF(189&gt;NLoanA,"",INDEX(PkLoanA,189)))</f>
        <v/>
      </c>
      <c r="D1333" s="17">
        <f>IF($B1333="","","l")</f>
        <v/>
      </c>
      <c r="E1333" s="19">
        <f>IF($B1333="","",IF(189&gt;NLoanA,0,SUMIF(CalcDebit,INDEX(PkLoanA,189),CalcAmt)+SUMIF(CalcDebit2,INDEX(PkLoanA,189),CalcAmt2)))</f>
        <v/>
      </c>
      <c r="F1333" s="19">
        <f>IF($B1333="","",IF(189&gt;NLoanA,0,SUMIF(CalcCredit,INDEX(PkLoanA,189),CalcAmt)+SUMIF(CalcCredit2,INDEX(PkLoanA,189),CalcAmt2)))</f>
        <v/>
      </c>
      <c r="G1333" s="20">
        <f>IF($B1333="","",ROUND($E1333-$F1333,0))</f>
        <v/>
      </c>
      <c r="H1333" s="17">
        <f>IF($B1333="","",IF(ROUND($G1333,0)&gt;0,"بدهکار",IF(ROUND($G1333,0)&lt;0,"بستانکار","تسویه")))</f>
        <v/>
      </c>
    </row>
    <row r="1334">
      <c r="A1334" s="11">
        <f>IF($B1334="","",1325)</f>
        <v/>
      </c>
      <c r="B1334" s="12">
        <f>IF(190&gt;NLoanA,"",IFERROR(IF(VLOOKUP(INDEX(PkLoanA,190),AcctTblA,4,0)="","(بدون نام)",VLOOKUP(INDEX(PkLoanA,190),AcctTblA,4,0)),"—"))</f>
        <v/>
      </c>
      <c r="C1334" s="13">
        <f>IF($B1334="","",IF(190&gt;NLoanA,"",INDEX(PkLoanA,190)))</f>
        <v/>
      </c>
      <c r="D1334" s="12">
        <f>IF($B1334="","","l")</f>
        <v/>
      </c>
      <c r="E1334" s="14">
        <f>IF($B1334="","",IF(190&gt;NLoanA,0,SUMIF(CalcDebit,INDEX(PkLoanA,190),CalcAmt)+SUMIF(CalcDebit2,INDEX(PkLoanA,190),CalcAmt2)))</f>
        <v/>
      </c>
      <c r="F1334" s="14">
        <f>IF($B1334="","",IF(190&gt;NLoanA,0,SUMIF(CalcCredit,INDEX(PkLoanA,190),CalcAmt)+SUMIF(CalcCredit2,INDEX(PkLoanA,190),CalcAmt2)))</f>
        <v/>
      </c>
      <c r="G1334" s="15">
        <f>IF($B1334="","",ROUND($E1334-$F1334,0))</f>
        <v/>
      </c>
      <c r="H1334" s="12">
        <f>IF($B1334="","",IF(ROUND($G1334,0)&gt;0,"بدهکار",IF(ROUND($G1334,0)&lt;0,"بستانکار","تسویه")))</f>
        <v/>
      </c>
    </row>
    <row r="1335">
      <c r="A1335" s="16">
        <f>IF($B1335="","",1326)</f>
        <v/>
      </c>
      <c r="B1335" s="17">
        <f>IF(191&gt;NLoanA,"",IFERROR(IF(VLOOKUP(INDEX(PkLoanA,191),AcctTblA,4,0)="","(بدون نام)",VLOOKUP(INDEX(PkLoanA,191),AcctTblA,4,0)),"—"))</f>
        <v/>
      </c>
      <c r="C1335" s="18">
        <f>IF($B1335="","",IF(191&gt;NLoanA,"",INDEX(PkLoanA,191)))</f>
        <v/>
      </c>
      <c r="D1335" s="17">
        <f>IF($B1335="","","l")</f>
        <v/>
      </c>
      <c r="E1335" s="19">
        <f>IF($B1335="","",IF(191&gt;NLoanA,0,SUMIF(CalcDebit,INDEX(PkLoanA,191),CalcAmt)+SUMIF(CalcDebit2,INDEX(PkLoanA,191),CalcAmt2)))</f>
        <v/>
      </c>
      <c r="F1335" s="19">
        <f>IF($B1335="","",IF(191&gt;NLoanA,0,SUMIF(CalcCredit,INDEX(PkLoanA,191),CalcAmt)+SUMIF(CalcCredit2,INDEX(PkLoanA,191),CalcAmt2)))</f>
        <v/>
      </c>
      <c r="G1335" s="20">
        <f>IF($B1335="","",ROUND($E1335-$F1335,0))</f>
        <v/>
      </c>
      <c r="H1335" s="17">
        <f>IF($B1335="","",IF(ROUND($G1335,0)&gt;0,"بدهکار",IF(ROUND($G1335,0)&lt;0,"بستانکار","تسویه")))</f>
        <v/>
      </c>
    </row>
    <row r="1336">
      <c r="A1336" s="11">
        <f>IF($B1336="","",1327)</f>
        <v/>
      </c>
      <c r="B1336" s="12">
        <f>IF(192&gt;NLoanA,"",IFERROR(IF(VLOOKUP(INDEX(PkLoanA,192),AcctTblA,4,0)="","(بدون نام)",VLOOKUP(INDEX(PkLoanA,192),AcctTblA,4,0)),"—"))</f>
        <v/>
      </c>
      <c r="C1336" s="13">
        <f>IF($B1336="","",IF(192&gt;NLoanA,"",INDEX(PkLoanA,192)))</f>
        <v/>
      </c>
      <c r="D1336" s="12">
        <f>IF($B1336="","","l")</f>
        <v/>
      </c>
      <c r="E1336" s="14">
        <f>IF($B1336="","",IF(192&gt;NLoanA,0,SUMIF(CalcDebit,INDEX(PkLoanA,192),CalcAmt)+SUMIF(CalcDebit2,INDEX(PkLoanA,192),CalcAmt2)))</f>
        <v/>
      </c>
      <c r="F1336" s="14">
        <f>IF($B1336="","",IF(192&gt;NLoanA,0,SUMIF(CalcCredit,INDEX(PkLoanA,192),CalcAmt)+SUMIF(CalcCredit2,INDEX(PkLoanA,192),CalcAmt2)))</f>
        <v/>
      </c>
      <c r="G1336" s="15">
        <f>IF($B1336="","",ROUND($E1336-$F1336,0))</f>
        <v/>
      </c>
      <c r="H1336" s="12">
        <f>IF($B1336="","",IF(ROUND($G1336,0)&gt;0,"بدهکار",IF(ROUND($G1336,0)&lt;0,"بستانکار","تسویه")))</f>
        <v/>
      </c>
    </row>
    <row r="1337">
      <c r="A1337" s="16">
        <f>IF($B1337="","",1328)</f>
        <v/>
      </c>
      <c r="B1337" s="17">
        <f>IF(193&gt;NLoanA,"",IFERROR(IF(VLOOKUP(INDEX(PkLoanA,193),AcctTblA,4,0)="","(بدون نام)",VLOOKUP(INDEX(PkLoanA,193),AcctTblA,4,0)),"—"))</f>
        <v/>
      </c>
      <c r="C1337" s="18">
        <f>IF($B1337="","",IF(193&gt;NLoanA,"",INDEX(PkLoanA,193)))</f>
        <v/>
      </c>
      <c r="D1337" s="17">
        <f>IF($B1337="","","l")</f>
        <v/>
      </c>
      <c r="E1337" s="19">
        <f>IF($B1337="","",IF(193&gt;NLoanA,0,SUMIF(CalcDebit,INDEX(PkLoanA,193),CalcAmt)+SUMIF(CalcDebit2,INDEX(PkLoanA,193),CalcAmt2)))</f>
        <v/>
      </c>
      <c r="F1337" s="19">
        <f>IF($B1337="","",IF(193&gt;NLoanA,0,SUMIF(CalcCredit,INDEX(PkLoanA,193),CalcAmt)+SUMIF(CalcCredit2,INDEX(PkLoanA,193),CalcAmt2)))</f>
        <v/>
      </c>
      <c r="G1337" s="20">
        <f>IF($B1337="","",ROUND($E1337-$F1337,0))</f>
        <v/>
      </c>
      <c r="H1337" s="17">
        <f>IF($B1337="","",IF(ROUND($G1337,0)&gt;0,"بدهکار",IF(ROUND($G1337,0)&lt;0,"بستانکار","تسویه")))</f>
        <v/>
      </c>
    </row>
    <row r="1338">
      <c r="A1338" s="11">
        <f>IF($B1338="","",1329)</f>
        <v/>
      </c>
      <c r="B1338" s="12">
        <f>IF(194&gt;NLoanA,"",IFERROR(IF(VLOOKUP(INDEX(PkLoanA,194),AcctTblA,4,0)="","(بدون نام)",VLOOKUP(INDEX(PkLoanA,194),AcctTblA,4,0)),"—"))</f>
        <v/>
      </c>
      <c r="C1338" s="13">
        <f>IF($B1338="","",IF(194&gt;NLoanA,"",INDEX(PkLoanA,194)))</f>
        <v/>
      </c>
      <c r="D1338" s="12">
        <f>IF($B1338="","","l")</f>
        <v/>
      </c>
      <c r="E1338" s="14">
        <f>IF($B1338="","",IF(194&gt;NLoanA,0,SUMIF(CalcDebit,INDEX(PkLoanA,194),CalcAmt)+SUMIF(CalcDebit2,INDEX(PkLoanA,194),CalcAmt2)))</f>
        <v/>
      </c>
      <c r="F1338" s="14">
        <f>IF($B1338="","",IF(194&gt;NLoanA,0,SUMIF(CalcCredit,INDEX(PkLoanA,194),CalcAmt)+SUMIF(CalcCredit2,INDEX(PkLoanA,194),CalcAmt2)))</f>
        <v/>
      </c>
      <c r="G1338" s="15">
        <f>IF($B1338="","",ROUND($E1338-$F1338,0))</f>
        <v/>
      </c>
      <c r="H1338" s="12">
        <f>IF($B1338="","",IF(ROUND($G1338,0)&gt;0,"بدهکار",IF(ROUND($G1338,0)&lt;0,"بستانکار","تسویه")))</f>
        <v/>
      </c>
    </row>
    <row r="1339">
      <c r="A1339" s="16">
        <f>IF($B1339="","",1330)</f>
        <v/>
      </c>
      <c r="B1339" s="17">
        <f>IF(195&gt;NLoanA,"",IFERROR(IF(VLOOKUP(INDEX(PkLoanA,195),AcctTblA,4,0)="","(بدون نام)",VLOOKUP(INDEX(PkLoanA,195),AcctTblA,4,0)),"—"))</f>
        <v/>
      </c>
      <c r="C1339" s="18">
        <f>IF($B1339="","",IF(195&gt;NLoanA,"",INDEX(PkLoanA,195)))</f>
        <v/>
      </c>
      <c r="D1339" s="17">
        <f>IF($B1339="","","l")</f>
        <v/>
      </c>
      <c r="E1339" s="19">
        <f>IF($B1339="","",IF(195&gt;NLoanA,0,SUMIF(CalcDebit,INDEX(PkLoanA,195),CalcAmt)+SUMIF(CalcDebit2,INDEX(PkLoanA,195),CalcAmt2)))</f>
        <v/>
      </c>
      <c r="F1339" s="19">
        <f>IF($B1339="","",IF(195&gt;NLoanA,0,SUMIF(CalcCredit,INDEX(PkLoanA,195),CalcAmt)+SUMIF(CalcCredit2,INDEX(PkLoanA,195),CalcAmt2)))</f>
        <v/>
      </c>
      <c r="G1339" s="20">
        <f>IF($B1339="","",ROUND($E1339-$F1339,0))</f>
        <v/>
      </c>
      <c r="H1339" s="17">
        <f>IF($B1339="","",IF(ROUND($G1339,0)&gt;0,"بدهکار",IF(ROUND($G1339,0)&lt;0,"بستانکار","تسویه")))</f>
        <v/>
      </c>
    </row>
    <row r="1340">
      <c r="A1340" s="11">
        <f>IF($B1340="","",1331)</f>
        <v/>
      </c>
      <c r="B1340" s="12">
        <f>IF(196&gt;NLoanA,"",IFERROR(IF(VLOOKUP(INDEX(PkLoanA,196),AcctTblA,4,0)="","(بدون نام)",VLOOKUP(INDEX(PkLoanA,196),AcctTblA,4,0)),"—"))</f>
        <v/>
      </c>
      <c r="C1340" s="13">
        <f>IF($B1340="","",IF(196&gt;NLoanA,"",INDEX(PkLoanA,196)))</f>
        <v/>
      </c>
      <c r="D1340" s="12">
        <f>IF($B1340="","","l")</f>
        <v/>
      </c>
      <c r="E1340" s="14">
        <f>IF($B1340="","",IF(196&gt;NLoanA,0,SUMIF(CalcDebit,INDEX(PkLoanA,196),CalcAmt)+SUMIF(CalcDebit2,INDEX(PkLoanA,196),CalcAmt2)))</f>
        <v/>
      </c>
      <c r="F1340" s="14">
        <f>IF($B1340="","",IF(196&gt;NLoanA,0,SUMIF(CalcCredit,INDEX(PkLoanA,196),CalcAmt)+SUMIF(CalcCredit2,INDEX(PkLoanA,196),CalcAmt2)))</f>
        <v/>
      </c>
      <c r="G1340" s="15">
        <f>IF($B1340="","",ROUND($E1340-$F1340,0))</f>
        <v/>
      </c>
      <c r="H1340" s="12">
        <f>IF($B1340="","",IF(ROUND($G1340,0)&gt;0,"بدهکار",IF(ROUND($G1340,0)&lt;0,"بستانکار","تسویه")))</f>
        <v/>
      </c>
    </row>
    <row r="1341">
      <c r="A1341" s="16">
        <f>IF($B1341="","",1332)</f>
        <v/>
      </c>
      <c r="B1341" s="17">
        <f>IF(197&gt;NLoanA,"",IFERROR(IF(VLOOKUP(INDEX(PkLoanA,197),AcctTblA,4,0)="","(بدون نام)",VLOOKUP(INDEX(PkLoanA,197),AcctTblA,4,0)),"—"))</f>
        <v/>
      </c>
      <c r="C1341" s="18">
        <f>IF($B1341="","",IF(197&gt;NLoanA,"",INDEX(PkLoanA,197)))</f>
        <v/>
      </c>
      <c r="D1341" s="17">
        <f>IF($B1341="","","l")</f>
        <v/>
      </c>
      <c r="E1341" s="19">
        <f>IF($B1341="","",IF(197&gt;NLoanA,0,SUMIF(CalcDebit,INDEX(PkLoanA,197),CalcAmt)+SUMIF(CalcDebit2,INDEX(PkLoanA,197),CalcAmt2)))</f>
        <v/>
      </c>
      <c r="F1341" s="19">
        <f>IF($B1341="","",IF(197&gt;NLoanA,0,SUMIF(CalcCredit,INDEX(PkLoanA,197),CalcAmt)+SUMIF(CalcCredit2,INDEX(PkLoanA,197),CalcAmt2)))</f>
        <v/>
      </c>
      <c r="G1341" s="20">
        <f>IF($B1341="","",ROUND($E1341-$F1341,0))</f>
        <v/>
      </c>
      <c r="H1341" s="17">
        <f>IF($B1341="","",IF(ROUND($G1341,0)&gt;0,"بدهکار",IF(ROUND($G1341,0)&lt;0,"بستانکار","تسویه")))</f>
        <v/>
      </c>
    </row>
    <row r="1342">
      <c r="A1342" s="11">
        <f>IF($B1342="","",1333)</f>
        <v/>
      </c>
      <c r="B1342" s="12">
        <f>IF(198&gt;NLoanA,"",IFERROR(IF(VLOOKUP(INDEX(PkLoanA,198),AcctTblA,4,0)="","(بدون نام)",VLOOKUP(INDEX(PkLoanA,198),AcctTblA,4,0)),"—"))</f>
        <v/>
      </c>
      <c r="C1342" s="13">
        <f>IF($B1342="","",IF(198&gt;NLoanA,"",INDEX(PkLoanA,198)))</f>
        <v/>
      </c>
      <c r="D1342" s="12">
        <f>IF($B1342="","","l")</f>
        <v/>
      </c>
      <c r="E1342" s="14">
        <f>IF($B1342="","",IF(198&gt;NLoanA,0,SUMIF(CalcDebit,INDEX(PkLoanA,198),CalcAmt)+SUMIF(CalcDebit2,INDEX(PkLoanA,198),CalcAmt2)))</f>
        <v/>
      </c>
      <c r="F1342" s="14">
        <f>IF($B1342="","",IF(198&gt;NLoanA,0,SUMIF(CalcCredit,INDEX(PkLoanA,198),CalcAmt)+SUMIF(CalcCredit2,INDEX(PkLoanA,198),CalcAmt2)))</f>
        <v/>
      </c>
      <c r="G1342" s="15">
        <f>IF($B1342="","",ROUND($E1342-$F1342,0))</f>
        <v/>
      </c>
      <c r="H1342" s="12">
        <f>IF($B1342="","",IF(ROUND($G1342,0)&gt;0,"بدهکار",IF(ROUND($G1342,0)&lt;0,"بستانکار","تسویه")))</f>
        <v/>
      </c>
    </row>
    <row r="1343">
      <c r="A1343" s="16">
        <f>IF($B1343="","",1334)</f>
        <v/>
      </c>
      <c r="B1343" s="17">
        <f>IF(199&gt;NLoanA,"",IFERROR(IF(VLOOKUP(INDEX(PkLoanA,199),AcctTblA,4,0)="","(بدون نام)",VLOOKUP(INDEX(PkLoanA,199),AcctTblA,4,0)),"—"))</f>
        <v/>
      </c>
      <c r="C1343" s="18">
        <f>IF($B1343="","",IF(199&gt;NLoanA,"",INDEX(PkLoanA,199)))</f>
        <v/>
      </c>
      <c r="D1343" s="17">
        <f>IF($B1343="","","l")</f>
        <v/>
      </c>
      <c r="E1343" s="19">
        <f>IF($B1343="","",IF(199&gt;NLoanA,0,SUMIF(CalcDebit,INDEX(PkLoanA,199),CalcAmt)+SUMIF(CalcDebit2,INDEX(PkLoanA,199),CalcAmt2)))</f>
        <v/>
      </c>
      <c r="F1343" s="19">
        <f>IF($B1343="","",IF(199&gt;NLoanA,0,SUMIF(CalcCredit,INDEX(PkLoanA,199),CalcAmt)+SUMIF(CalcCredit2,INDEX(PkLoanA,199),CalcAmt2)))</f>
        <v/>
      </c>
      <c r="G1343" s="20">
        <f>IF($B1343="","",ROUND($E1343-$F1343,0))</f>
        <v/>
      </c>
      <c r="H1343" s="17">
        <f>IF($B1343="","",IF(ROUND($G1343,0)&gt;0,"بدهکار",IF(ROUND($G1343,0)&lt;0,"بستانکار","تسویه")))</f>
        <v/>
      </c>
    </row>
    <row r="1344">
      <c r="A1344" s="11">
        <f>IF($B1344="","",1335)</f>
        <v/>
      </c>
      <c r="B1344" s="12">
        <f>IF(200&gt;NLoanA,"",IFERROR(IF(VLOOKUP(INDEX(PkLoanA,200),AcctTblA,4,0)="","(بدون نام)",VLOOKUP(INDEX(PkLoanA,200),AcctTblA,4,0)),"—"))</f>
        <v/>
      </c>
      <c r="C1344" s="13">
        <f>IF($B1344="","",IF(200&gt;NLoanA,"",INDEX(PkLoanA,200)))</f>
        <v/>
      </c>
      <c r="D1344" s="12">
        <f>IF($B1344="","","l")</f>
        <v/>
      </c>
      <c r="E1344" s="14">
        <f>IF($B1344="","",IF(200&gt;NLoanA,0,SUMIF(CalcDebit,INDEX(PkLoanA,200),CalcAmt)+SUMIF(CalcDebit2,INDEX(PkLoanA,200),CalcAmt2)))</f>
        <v/>
      </c>
      <c r="F1344" s="14">
        <f>IF($B1344="","",IF(200&gt;NLoanA,0,SUMIF(CalcCredit,INDEX(PkLoanA,200),CalcAmt)+SUMIF(CalcCredit2,INDEX(PkLoanA,200),CalcAmt2)))</f>
        <v/>
      </c>
      <c r="G1344" s="15">
        <f>IF($B1344="","",ROUND($E1344-$F1344,0))</f>
        <v/>
      </c>
      <c r="H1344" s="12">
        <f>IF($B1344="","",IF(ROUND($G1344,0)&gt;0,"بدهکار",IF(ROUND($G1344,0)&lt;0,"بستانکار","تسویه")))</f>
        <v/>
      </c>
    </row>
    <row r="1345">
      <c r="A1345" s="16">
        <f>IF($B1345="","",1336)</f>
        <v/>
      </c>
      <c r="B1345" s="17">
        <f>IF(201&gt;NLoanA,"",IFERROR(IF(VLOOKUP(INDEX(PkLoanA,201),AcctTblA,4,0)="","(بدون نام)",VLOOKUP(INDEX(PkLoanA,201),AcctTblA,4,0)),"—"))</f>
        <v/>
      </c>
      <c r="C1345" s="18">
        <f>IF($B1345="","",IF(201&gt;NLoanA,"",INDEX(PkLoanA,201)))</f>
        <v/>
      </c>
      <c r="D1345" s="17">
        <f>IF($B1345="","","l")</f>
        <v/>
      </c>
      <c r="E1345" s="19">
        <f>IF($B1345="","",IF(201&gt;NLoanA,0,SUMIF(CalcDebit,INDEX(PkLoanA,201),CalcAmt)+SUMIF(CalcDebit2,INDEX(PkLoanA,201),CalcAmt2)))</f>
        <v/>
      </c>
      <c r="F1345" s="19">
        <f>IF($B1345="","",IF(201&gt;NLoanA,0,SUMIF(CalcCredit,INDEX(PkLoanA,201),CalcAmt)+SUMIF(CalcCredit2,INDEX(PkLoanA,201),CalcAmt2)))</f>
        <v/>
      </c>
      <c r="G1345" s="20">
        <f>IF($B1345="","",ROUND($E1345-$F1345,0))</f>
        <v/>
      </c>
      <c r="H1345" s="17">
        <f>IF($B1345="","",IF(ROUND($G1345,0)&gt;0,"بدهکار",IF(ROUND($G1345,0)&lt;0,"بستانکار","تسویه")))</f>
        <v/>
      </c>
    </row>
    <row r="1346">
      <c r="A1346" s="11">
        <f>IF($B1346="","",1337)</f>
        <v/>
      </c>
      <c r="B1346" s="12">
        <f>IF(202&gt;NLoanA,"",IFERROR(IF(VLOOKUP(INDEX(PkLoanA,202),AcctTblA,4,0)="","(بدون نام)",VLOOKUP(INDEX(PkLoanA,202),AcctTblA,4,0)),"—"))</f>
        <v/>
      </c>
      <c r="C1346" s="13">
        <f>IF($B1346="","",IF(202&gt;NLoanA,"",INDEX(PkLoanA,202)))</f>
        <v/>
      </c>
      <c r="D1346" s="12">
        <f>IF($B1346="","","l")</f>
        <v/>
      </c>
      <c r="E1346" s="14">
        <f>IF($B1346="","",IF(202&gt;NLoanA,0,SUMIF(CalcDebit,INDEX(PkLoanA,202),CalcAmt)+SUMIF(CalcDebit2,INDEX(PkLoanA,202),CalcAmt2)))</f>
        <v/>
      </c>
      <c r="F1346" s="14">
        <f>IF($B1346="","",IF(202&gt;NLoanA,0,SUMIF(CalcCredit,INDEX(PkLoanA,202),CalcAmt)+SUMIF(CalcCredit2,INDEX(PkLoanA,202),CalcAmt2)))</f>
        <v/>
      </c>
      <c r="G1346" s="15">
        <f>IF($B1346="","",ROUND($E1346-$F1346,0))</f>
        <v/>
      </c>
      <c r="H1346" s="12">
        <f>IF($B1346="","",IF(ROUND($G1346,0)&gt;0,"بدهکار",IF(ROUND($G1346,0)&lt;0,"بستانکار","تسویه")))</f>
        <v/>
      </c>
    </row>
    <row r="1347">
      <c r="A1347" s="16">
        <f>IF($B1347="","",1338)</f>
        <v/>
      </c>
      <c r="B1347" s="17">
        <f>IF(203&gt;NLoanA,"",IFERROR(IF(VLOOKUP(INDEX(PkLoanA,203),AcctTblA,4,0)="","(بدون نام)",VLOOKUP(INDEX(PkLoanA,203),AcctTblA,4,0)),"—"))</f>
        <v/>
      </c>
      <c r="C1347" s="18">
        <f>IF($B1347="","",IF(203&gt;NLoanA,"",INDEX(PkLoanA,203)))</f>
        <v/>
      </c>
      <c r="D1347" s="17">
        <f>IF($B1347="","","l")</f>
        <v/>
      </c>
      <c r="E1347" s="19">
        <f>IF($B1347="","",IF(203&gt;NLoanA,0,SUMIF(CalcDebit,INDEX(PkLoanA,203),CalcAmt)+SUMIF(CalcDebit2,INDEX(PkLoanA,203),CalcAmt2)))</f>
        <v/>
      </c>
      <c r="F1347" s="19">
        <f>IF($B1347="","",IF(203&gt;NLoanA,0,SUMIF(CalcCredit,INDEX(PkLoanA,203),CalcAmt)+SUMIF(CalcCredit2,INDEX(PkLoanA,203),CalcAmt2)))</f>
        <v/>
      </c>
      <c r="G1347" s="20">
        <f>IF($B1347="","",ROUND($E1347-$F1347,0))</f>
        <v/>
      </c>
      <c r="H1347" s="17">
        <f>IF($B1347="","",IF(ROUND($G1347,0)&gt;0,"بدهکار",IF(ROUND($G1347,0)&lt;0,"بستانکار","تسویه")))</f>
        <v/>
      </c>
    </row>
    <row r="1348">
      <c r="A1348" s="11">
        <f>IF($B1348="","",1339)</f>
        <v/>
      </c>
      <c r="B1348" s="12">
        <f>IF(204&gt;NLoanA,"",IFERROR(IF(VLOOKUP(INDEX(PkLoanA,204),AcctTblA,4,0)="","(بدون نام)",VLOOKUP(INDEX(PkLoanA,204),AcctTblA,4,0)),"—"))</f>
        <v/>
      </c>
      <c r="C1348" s="13">
        <f>IF($B1348="","",IF(204&gt;NLoanA,"",INDEX(PkLoanA,204)))</f>
        <v/>
      </c>
      <c r="D1348" s="12">
        <f>IF($B1348="","","l")</f>
        <v/>
      </c>
      <c r="E1348" s="14">
        <f>IF($B1348="","",IF(204&gt;NLoanA,0,SUMIF(CalcDebit,INDEX(PkLoanA,204),CalcAmt)+SUMIF(CalcDebit2,INDEX(PkLoanA,204),CalcAmt2)))</f>
        <v/>
      </c>
      <c r="F1348" s="14">
        <f>IF($B1348="","",IF(204&gt;NLoanA,0,SUMIF(CalcCredit,INDEX(PkLoanA,204),CalcAmt)+SUMIF(CalcCredit2,INDEX(PkLoanA,204),CalcAmt2)))</f>
        <v/>
      </c>
      <c r="G1348" s="15">
        <f>IF($B1348="","",ROUND($E1348-$F1348,0))</f>
        <v/>
      </c>
      <c r="H1348" s="12">
        <f>IF($B1348="","",IF(ROUND($G1348,0)&gt;0,"بدهکار",IF(ROUND($G1348,0)&lt;0,"بستانکار","تسویه")))</f>
        <v/>
      </c>
    </row>
    <row r="1349">
      <c r="A1349" s="16">
        <f>IF($B1349="","",1340)</f>
        <v/>
      </c>
      <c r="B1349" s="17">
        <f>IF(205&gt;NLoanA,"",IFERROR(IF(VLOOKUP(INDEX(PkLoanA,205),AcctTblA,4,0)="","(بدون نام)",VLOOKUP(INDEX(PkLoanA,205),AcctTblA,4,0)),"—"))</f>
        <v/>
      </c>
      <c r="C1349" s="18">
        <f>IF($B1349="","",IF(205&gt;NLoanA,"",INDEX(PkLoanA,205)))</f>
        <v/>
      </c>
      <c r="D1349" s="17">
        <f>IF($B1349="","","l")</f>
        <v/>
      </c>
      <c r="E1349" s="19">
        <f>IF($B1349="","",IF(205&gt;NLoanA,0,SUMIF(CalcDebit,INDEX(PkLoanA,205),CalcAmt)+SUMIF(CalcDebit2,INDEX(PkLoanA,205),CalcAmt2)))</f>
        <v/>
      </c>
      <c r="F1349" s="19">
        <f>IF($B1349="","",IF(205&gt;NLoanA,0,SUMIF(CalcCredit,INDEX(PkLoanA,205),CalcAmt)+SUMIF(CalcCredit2,INDEX(PkLoanA,205),CalcAmt2)))</f>
        <v/>
      </c>
      <c r="G1349" s="20">
        <f>IF($B1349="","",ROUND($E1349-$F1349,0))</f>
        <v/>
      </c>
      <c r="H1349" s="17">
        <f>IF($B1349="","",IF(ROUND($G1349,0)&gt;0,"بدهکار",IF(ROUND($G1349,0)&lt;0,"بستانکار","تسویه")))</f>
        <v/>
      </c>
    </row>
    <row r="1350">
      <c r="A1350" s="11">
        <f>IF($B1350="","",1341)</f>
        <v/>
      </c>
      <c r="B1350" s="12">
        <f>IF(206&gt;NLoanA,"",IFERROR(IF(VLOOKUP(INDEX(PkLoanA,206),AcctTblA,4,0)="","(بدون نام)",VLOOKUP(INDEX(PkLoanA,206),AcctTblA,4,0)),"—"))</f>
        <v/>
      </c>
      <c r="C1350" s="13">
        <f>IF($B1350="","",IF(206&gt;NLoanA,"",INDEX(PkLoanA,206)))</f>
        <v/>
      </c>
      <c r="D1350" s="12">
        <f>IF($B1350="","","l")</f>
        <v/>
      </c>
      <c r="E1350" s="14">
        <f>IF($B1350="","",IF(206&gt;NLoanA,0,SUMIF(CalcDebit,INDEX(PkLoanA,206),CalcAmt)+SUMIF(CalcDebit2,INDEX(PkLoanA,206),CalcAmt2)))</f>
        <v/>
      </c>
      <c r="F1350" s="14">
        <f>IF($B1350="","",IF(206&gt;NLoanA,0,SUMIF(CalcCredit,INDEX(PkLoanA,206),CalcAmt)+SUMIF(CalcCredit2,INDEX(PkLoanA,206),CalcAmt2)))</f>
        <v/>
      </c>
      <c r="G1350" s="15">
        <f>IF($B1350="","",ROUND($E1350-$F1350,0))</f>
        <v/>
      </c>
      <c r="H1350" s="12">
        <f>IF($B1350="","",IF(ROUND($G1350,0)&gt;0,"بدهکار",IF(ROUND($G1350,0)&lt;0,"بستانکار","تسویه")))</f>
        <v/>
      </c>
    </row>
    <row r="1351">
      <c r="A1351" s="16">
        <f>IF($B1351="","",1342)</f>
        <v/>
      </c>
      <c r="B1351" s="17">
        <f>IF(207&gt;NLoanA,"",IFERROR(IF(VLOOKUP(INDEX(PkLoanA,207),AcctTblA,4,0)="","(بدون نام)",VLOOKUP(INDEX(PkLoanA,207),AcctTblA,4,0)),"—"))</f>
        <v/>
      </c>
      <c r="C1351" s="18">
        <f>IF($B1351="","",IF(207&gt;NLoanA,"",INDEX(PkLoanA,207)))</f>
        <v/>
      </c>
      <c r="D1351" s="17">
        <f>IF($B1351="","","l")</f>
        <v/>
      </c>
      <c r="E1351" s="19">
        <f>IF($B1351="","",IF(207&gt;NLoanA,0,SUMIF(CalcDebit,INDEX(PkLoanA,207),CalcAmt)+SUMIF(CalcDebit2,INDEX(PkLoanA,207),CalcAmt2)))</f>
        <v/>
      </c>
      <c r="F1351" s="19">
        <f>IF($B1351="","",IF(207&gt;NLoanA,0,SUMIF(CalcCredit,INDEX(PkLoanA,207),CalcAmt)+SUMIF(CalcCredit2,INDEX(PkLoanA,207),CalcAmt2)))</f>
        <v/>
      </c>
      <c r="G1351" s="20">
        <f>IF($B1351="","",ROUND($E1351-$F1351,0))</f>
        <v/>
      </c>
      <c r="H1351" s="17">
        <f>IF($B1351="","",IF(ROUND($G1351,0)&gt;0,"بدهکار",IF(ROUND($G1351,0)&lt;0,"بستانکار","تسویه")))</f>
        <v/>
      </c>
    </row>
    <row r="1352">
      <c r="A1352" s="11">
        <f>IF($B1352="","",1343)</f>
        <v/>
      </c>
      <c r="B1352" s="12">
        <f>IF(208&gt;NLoanA,"",IFERROR(IF(VLOOKUP(INDEX(PkLoanA,208),AcctTblA,4,0)="","(بدون نام)",VLOOKUP(INDEX(PkLoanA,208),AcctTblA,4,0)),"—"))</f>
        <v/>
      </c>
      <c r="C1352" s="13">
        <f>IF($B1352="","",IF(208&gt;NLoanA,"",INDEX(PkLoanA,208)))</f>
        <v/>
      </c>
      <c r="D1352" s="12">
        <f>IF($B1352="","","l")</f>
        <v/>
      </c>
      <c r="E1352" s="14">
        <f>IF($B1352="","",IF(208&gt;NLoanA,0,SUMIF(CalcDebit,INDEX(PkLoanA,208),CalcAmt)+SUMIF(CalcDebit2,INDEX(PkLoanA,208),CalcAmt2)))</f>
        <v/>
      </c>
      <c r="F1352" s="14">
        <f>IF($B1352="","",IF(208&gt;NLoanA,0,SUMIF(CalcCredit,INDEX(PkLoanA,208),CalcAmt)+SUMIF(CalcCredit2,INDEX(PkLoanA,208),CalcAmt2)))</f>
        <v/>
      </c>
      <c r="G1352" s="15">
        <f>IF($B1352="","",ROUND($E1352-$F1352,0))</f>
        <v/>
      </c>
      <c r="H1352" s="12">
        <f>IF($B1352="","",IF(ROUND($G1352,0)&gt;0,"بدهکار",IF(ROUND($G1352,0)&lt;0,"بستانکار","تسویه")))</f>
        <v/>
      </c>
    </row>
    <row r="1353">
      <c r="A1353" s="16">
        <f>IF($B1353="","",1344)</f>
        <v/>
      </c>
      <c r="B1353" s="17">
        <f>IF(209&gt;NLoanA,"",IFERROR(IF(VLOOKUP(INDEX(PkLoanA,209),AcctTblA,4,0)="","(بدون نام)",VLOOKUP(INDEX(PkLoanA,209),AcctTblA,4,0)),"—"))</f>
        <v/>
      </c>
      <c r="C1353" s="18">
        <f>IF($B1353="","",IF(209&gt;NLoanA,"",INDEX(PkLoanA,209)))</f>
        <v/>
      </c>
      <c r="D1353" s="17">
        <f>IF($B1353="","","l")</f>
        <v/>
      </c>
      <c r="E1353" s="19">
        <f>IF($B1353="","",IF(209&gt;NLoanA,0,SUMIF(CalcDebit,INDEX(PkLoanA,209),CalcAmt)+SUMIF(CalcDebit2,INDEX(PkLoanA,209),CalcAmt2)))</f>
        <v/>
      </c>
      <c r="F1353" s="19">
        <f>IF($B1353="","",IF(209&gt;NLoanA,0,SUMIF(CalcCredit,INDEX(PkLoanA,209),CalcAmt)+SUMIF(CalcCredit2,INDEX(PkLoanA,209),CalcAmt2)))</f>
        <v/>
      </c>
      <c r="G1353" s="20">
        <f>IF($B1353="","",ROUND($E1353-$F1353,0))</f>
        <v/>
      </c>
      <c r="H1353" s="17">
        <f>IF($B1353="","",IF(ROUND($G1353,0)&gt;0,"بدهکار",IF(ROUND($G1353,0)&lt;0,"بستانکار","تسویه")))</f>
        <v/>
      </c>
    </row>
    <row r="1354">
      <c r="A1354" s="11">
        <f>IF($B1354="","",1345)</f>
        <v/>
      </c>
      <c r="B1354" s="12">
        <f>IF(210&gt;NLoanA,"",IFERROR(IF(VLOOKUP(INDEX(PkLoanA,210),AcctTblA,4,0)="","(بدون نام)",VLOOKUP(INDEX(PkLoanA,210),AcctTblA,4,0)),"—"))</f>
        <v/>
      </c>
      <c r="C1354" s="13">
        <f>IF($B1354="","",IF(210&gt;NLoanA,"",INDEX(PkLoanA,210)))</f>
        <v/>
      </c>
      <c r="D1354" s="12">
        <f>IF($B1354="","","l")</f>
        <v/>
      </c>
      <c r="E1354" s="14">
        <f>IF($B1354="","",IF(210&gt;NLoanA,0,SUMIF(CalcDebit,INDEX(PkLoanA,210),CalcAmt)+SUMIF(CalcDebit2,INDEX(PkLoanA,210),CalcAmt2)))</f>
        <v/>
      </c>
      <c r="F1354" s="14">
        <f>IF($B1354="","",IF(210&gt;NLoanA,0,SUMIF(CalcCredit,INDEX(PkLoanA,210),CalcAmt)+SUMIF(CalcCredit2,INDEX(PkLoanA,210),CalcAmt2)))</f>
        <v/>
      </c>
      <c r="G1354" s="15">
        <f>IF($B1354="","",ROUND($E1354-$F1354,0))</f>
        <v/>
      </c>
      <c r="H1354" s="12">
        <f>IF($B1354="","",IF(ROUND($G1354,0)&gt;0,"بدهکار",IF(ROUND($G1354,0)&lt;0,"بستانکار","تسویه")))</f>
        <v/>
      </c>
    </row>
    <row r="1355">
      <c r="A1355" s="16">
        <f>IF($B1355="","",1346)</f>
        <v/>
      </c>
      <c r="B1355" s="17">
        <f>IF(211&gt;NLoanA,"",IFERROR(IF(VLOOKUP(INDEX(PkLoanA,211),AcctTblA,4,0)="","(بدون نام)",VLOOKUP(INDEX(PkLoanA,211),AcctTblA,4,0)),"—"))</f>
        <v/>
      </c>
      <c r="C1355" s="18">
        <f>IF($B1355="","",IF(211&gt;NLoanA,"",INDEX(PkLoanA,211)))</f>
        <v/>
      </c>
      <c r="D1355" s="17">
        <f>IF($B1355="","","l")</f>
        <v/>
      </c>
      <c r="E1355" s="19">
        <f>IF($B1355="","",IF(211&gt;NLoanA,0,SUMIF(CalcDebit,INDEX(PkLoanA,211),CalcAmt)+SUMIF(CalcDebit2,INDEX(PkLoanA,211),CalcAmt2)))</f>
        <v/>
      </c>
      <c r="F1355" s="19">
        <f>IF($B1355="","",IF(211&gt;NLoanA,0,SUMIF(CalcCredit,INDEX(PkLoanA,211),CalcAmt)+SUMIF(CalcCredit2,INDEX(PkLoanA,211),CalcAmt2)))</f>
        <v/>
      </c>
      <c r="G1355" s="20">
        <f>IF($B1355="","",ROUND($E1355-$F1355,0))</f>
        <v/>
      </c>
      <c r="H1355" s="17">
        <f>IF($B1355="","",IF(ROUND($G1355,0)&gt;0,"بدهکار",IF(ROUND($G1355,0)&lt;0,"بستانکار","تسویه")))</f>
        <v/>
      </c>
    </row>
    <row r="1356">
      <c r="A1356" s="11">
        <f>IF($B1356="","",1347)</f>
        <v/>
      </c>
      <c r="B1356" s="12">
        <f>IF(212&gt;NLoanA,"",IFERROR(IF(VLOOKUP(INDEX(PkLoanA,212),AcctTblA,4,0)="","(بدون نام)",VLOOKUP(INDEX(PkLoanA,212),AcctTblA,4,0)),"—"))</f>
        <v/>
      </c>
      <c r="C1356" s="13">
        <f>IF($B1356="","",IF(212&gt;NLoanA,"",INDEX(PkLoanA,212)))</f>
        <v/>
      </c>
      <c r="D1356" s="12">
        <f>IF($B1356="","","l")</f>
        <v/>
      </c>
      <c r="E1356" s="14">
        <f>IF($B1356="","",IF(212&gt;NLoanA,0,SUMIF(CalcDebit,INDEX(PkLoanA,212),CalcAmt)+SUMIF(CalcDebit2,INDEX(PkLoanA,212),CalcAmt2)))</f>
        <v/>
      </c>
      <c r="F1356" s="14">
        <f>IF($B1356="","",IF(212&gt;NLoanA,0,SUMIF(CalcCredit,INDEX(PkLoanA,212),CalcAmt)+SUMIF(CalcCredit2,INDEX(PkLoanA,212),CalcAmt2)))</f>
        <v/>
      </c>
      <c r="G1356" s="15">
        <f>IF($B1356="","",ROUND($E1356-$F1356,0))</f>
        <v/>
      </c>
      <c r="H1356" s="12">
        <f>IF($B1356="","",IF(ROUND($G1356,0)&gt;0,"بدهکار",IF(ROUND($G1356,0)&lt;0,"بستانکار","تسویه")))</f>
        <v/>
      </c>
    </row>
    <row r="1357">
      <c r="A1357" s="16">
        <f>IF($B1357="","",1348)</f>
        <v/>
      </c>
      <c r="B1357" s="17">
        <f>IF(213&gt;NLoanA,"",IFERROR(IF(VLOOKUP(INDEX(PkLoanA,213),AcctTblA,4,0)="","(بدون نام)",VLOOKUP(INDEX(PkLoanA,213),AcctTblA,4,0)),"—"))</f>
        <v/>
      </c>
      <c r="C1357" s="18">
        <f>IF($B1357="","",IF(213&gt;NLoanA,"",INDEX(PkLoanA,213)))</f>
        <v/>
      </c>
      <c r="D1357" s="17">
        <f>IF($B1357="","","l")</f>
        <v/>
      </c>
      <c r="E1357" s="19">
        <f>IF($B1357="","",IF(213&gt;NLoanA,0,SUMIF(CalcDebit,INDEX(PkLoanA,213),CalcAmt)+SUMIF(CalcDebit2,INDEX(PkLoanA,213),CalcAmt2)))</f>
        <v/>
      </c>
      <c r="F1357" s="19">
        <f>IF($B1357="","",IF(213&gt;NLoanA,0,SUMIF(CalcCredit,INDEX(PkLoanA,213),CalcAmt)+SUMIF(CalcCredit2,INDEX(PkLoanA,213),CalcAmt2)))</f>
        <v/>
      </c>
      <c r="G1357" s="20">
        <f>IF($B1357="","",ROUND($E1357-$F1357,0))</f>
        <v/>
      </c>
      <c r="H1357" s="17">
        <f>IF($B1357="","",IF(ROUND($G1357,0)&gt;0,"بدهکار",IF(ROUND($G1357,0)&lt;0,"بستانکار","تسویه")))</f>
        <v/>
      </c>
    </row>
    <row r="1358">
      <c r="A1358" s="11">
        <f>IF($B1358="","",1349)</f>
        <v/>
      </c>
      <c r="B1358" s="12">
        <f>IF(214&gt;NLoanA,"",IFERROR(IF(VLOOKUP(INDEX(PkLoanA,214),AcctTblA,4,0)="","(بدون نام)",VLOOKUP(INDEX(PkLoanA,214),AcctTblA,4,0)),"—"))</f>
        <v/>
      </c>
      <c r="C1358" s="13">
        <f>IF($B1358="","",IF(214&gt;NLoanA,"",INDEX(PkLoanA,214)))</f>
        <v/>
      </c>
      <c r="D1358" s="12">
        <f>IF($B1358="","","l")</f>
        <v/>
      </c>
      <c r="E1358" s="14">
        <f>IF($B1358="","",IF(214&gt;NLoanA,0,SUMIF(CalcDebit,INDEX(PkLoanA,214),CalcAmt)+SUMIF(CalcDebit2,INDEX(PkLoanA,214),CalcAmt2)))</f>
        <v/>
      </c>
      <c r="F1358" s="14">
        <f>IF($B1358="","",IF(214&gt;NLoanA,0,SUMIF(CalcCredit,INDEX(PkLoanA,214),CalcAmt)+SUMIF(CalcCredit2,INDEX(PkLoanA,214),CalcAmt2)))</f>
        <v/>
      </c>
      <c r="G1358" s="15">
        <f>IF($B1358="","",ROUND($E1358-$F1358,0))</f>
        <v/>
      </c>
      <c r="H1358" s="12">
        <f>IF($B1358="","",IF(ROUND($G1358,0)&gt;0,"بدهکار",IF(ROUND($G1358,0)&lt;0,"بستانکار","تسویه")))</f>
        <v/>
      </c>
    </row>
    <row r="1359">
      <c r="A1359" s="16">
        <f>IF($B1359="","",1350)</f>
        <v/>
      </c>
      <c r="B1359" s="17">
        <f>IF(215&gt;NLoanA,"",IFERROR(IF(VLOOKUP(INDEX(PkLoanA,215),AcctTblA,4,0)="","(بدون نام)",VLOOKUP(INDEX(PkLoanA,215),AcctTblA,4,0)),"—"))</f>
        <v/>
      </c>
      <c r="C1359" s="18">
        <f>IF($B1359="","",IF(215&gt;NLoanA,"",INDEX(PkLoanA,215)))</f>
        <v/>
      </c>
      <c r="D1359" s="17">
        <f>IF($B1359="","","l")</f>
        <v/>
      </c>
      <c r="E1359" s="19">
        <f>IF($B1359="","",IF(215&gt;NLoanA,0,SUMIF(CalcDebit,INDEX(PkLoanA,215),CalcAmt)+SUMIF(CalcDebit2,INDEX(PkLoanA,215),CalcAmt2)))</f>
        <v/>
      </c>
      <c r="F1359" s="19">
        <f>IF($B1359="","",IF(215&gt;NLoanA,0,SUMIF(CalcCredit,INDEX(PkLoanA,215),CalcAmt)+SUMIF(CalcCredit2,INDEX(PkLoanA,215),CalcAmt2)))</f>
        <v/>
      </c>
      <c r="G1359" s="20">
        <f>IF($B1359="","",ROUND($E1359-$F1359,0))</f>
        <v/>
      </c>
      <c r="H1359" s="17">
        <f>IF($B1359="","",IF(ROUND($G1359,0)&gt;0,"بدهکار",IF(ROUND($G1359,0)&lt;0,"بستانکار","تسویه")))</f>
        <v/>
      </c>
    </row>
    <row r="1360">
      <c r="A1360" s="11">
        <f>IF($B1360="","",1351)</f>
        <v/>
      </c>
      <c r="B1360" s="12">
        <f>IF(216&gt;NLoanA,"",IFERROR(IF(VLOOKUP(INDEX(PkLoanA,216),AcctTblA,4,0)="","(بدون نام)",VLOOKUP(INDEX(PkLoanA,216),AcctTblA,4,0)),"—"))</f>
        <v/>
      </c>
      <c r="C1360" s="13">
        <f>IF($B1360="","",IF(216&gt;NLoanA,"",INDEX(PkLoanA,216)))</f>
        <v/>
      </c>
      <c r="D1360" s="12">
        <f>IF($B1360="","","l")</f>
        <v/>
      </c>
      <c r="E1360" s="14">
        <f>IF($B1360="","",IF(216&gt;NLoanA,0,SUMIF(CalcDebit,INDEX(PkLoanA,216),CalcAmt)+SUMIF(CalcDebit2,INDEX(PkLoanA,216),CalcAmt2)))</f>
        <v/>
      </c>
      <c r="F1360" s="14">
        <f>IF($B1360="","",IF(216&gt;NLoanA,0,SUMIF(CalcCredit,INDEX(PkLoanA,216),CalcAmt)+SUMIF(CalcCredit2,INDEX(PkLoanA,216),CalcAmt2)))</f>
        <v/>
      </c>
      <c r="G1360" s="15">
        <f>IF($B1360="","",ROUND($E1360-$F1360,0))</f>
        <v/>
      </c>
      <c r="H1360" s="12">
        <f>IF($B1360="","",IF(ROUND($G1360,0)&gt;0,"بدهکار",IF(ROUND($G1360,0)&lt;0,"بستانکار","تسویه")))</f>
        <v/>
      </c>
    </row>
    <row r="1361">
      <c r="A1361" s="16">
        <f>IF($B1361="","",1352)</f>
        <v/>
      </c>
      <c r="B1361" s="17">
        <f>IF(217&gt;NLoanA,"",IFERROR(IF(VLOOKUP(INDEX(PkLoanA,217),AcctTblA,4,0)="","(بدون نام)",VLOOKUP(INDEX(PkLoanA,217),AcctTblA,4,0)),"—"))</f>
        <v/>
      </c>
      <c r="C1361" s="18">
        <f>IF($B1361="","",IF(217&gt;NLoanA,"",INDEX(PkLoanA,217)))</f>
        <v/>
      </c>
      <c r="D1361" s="17">
        <f>IF($B1361="","","l")</f>
        <v/>
      </c>
      <c r="E1361" s="19">
        <f>IF($B1361="","",IF(217&gt;NLoanA,0,SUMIF(CalcDebit,INDEX(PkLoanA,217),CalcAmt)+SUMIF(CalcDebit2,INDEX(PkLoanA,217),CalcAmt2)))</f>
        <v/>
      </c>
      <c r="F1361" s="19">
        <f>IF($B1361="","",IF(217&gt;NLoanA,0,SUMIF(CalcCredit,INDEX(PkLoanA,217),CalcAmt)+SUMIF(CalcCredit2,INDEX(PkLoanA,217),CalcAmt2)))</f>
        <v/>
      </c>
      <c r="G1361" s="20">
        <f>IF($B1361="","",ROUND($E1361-$F1361,0))</f>
        <v/>
      </c>
      <c r="H1361" s="17">
        <f>IF($B1361="","",IF(ROUND($G1361,0)&gt;0,"بدهکار",IF(ROUND($G1361,0)&lt;0,"بستانکار","تسویه")))</f>
        <v/>
      </c>
    </row>
    <row r="1362">
      <c r="A1362" s="11">
        <f>IF($B1362="","",1353)</f>
        <v/>
      </c>
      <c r="B1362" s="12">
        <f>IF(218&gt;NLoanA,"",IFERROR(IF(VLOOKUP(INDEX(PkLoanA,218),AcctTblA,4,0)="","(بدون نام)",VLOOKUP(INDEX(PkLoanA,218),AcctTblA,4,0)),"—"))</f>
        <v/>
      </c>
      <c r="C1362" s="13">
        <f>IF($B1362="","",IF(218&gt;NLoanA,"",INDEX(PkLoanA,218)))</f>
        <v/>
      </c>
      <c r="D1362" s="12">
        <f>IF($B1362="","","l")</f>
        <v/>
      </c>
      <c r="E1362" s="14">
        <f>IF($B1362="","",IF(218&gt;NLoanA,0,SUMIF(CalcDebit,INDEX(PkLoanA,218),CalcAmt)+SUMIF(CalcDebit2,INDEX(PkLoanA,218),CalcAmt2)))</f>
        <v/>
      </c>
      <c r="F1362" s="14">
        <f>IF($B1362="","",IF(218&gt;NLoanA,0,SUMIF(CalcCredit,INDEX(PkLoanA,218),CalcAmt)+SUMIF(CalcCredit2,INDEX(PkLoanA,218),CalcAmt2)))</f>
        <v/>
      </c>
      <c r="G1362" s="15">
        <f>IF($B1362="","",ROUND($E1362-$F1362,0))</f>
        <v/>
      </c>
      <c r="H1362" s="12">
        <f>IF($B1362="","",IF(ROUND($G1362,0)&gt;0,"بدهکار",IF(ROUND($G1362,0)&lt;0,"بستانکار","تسویه")))</f>
        <v/>
      </c>
    </row>
    <row r="1363">
      <c r="A1363" s="16">
        <f>IF($B1363="","",1354)</f>
        <v/>
      </c>
      <c r="B1363" s="17">
        <f>IF(219&gt;NLoanA,"",IFERROR(IF(VLOOKUP(INDEX(PkLoanA,219),AcctTblA,4,0)="","(بدون نام)",VLOOKUP(INDEX(PkLoanA,219),AcctTblA,4,0)),"—"))</f>
        <v/>
      </c>
      <c r="C1363" s="18">
        <f>IF($B1363="","",IF(219&gt;NLoanA,"",INDEX(PkLoanA,219)))</f>
        <v/>
      </c>
      <c r="D1363" s="17">
        <f>IF($B1363="","","l")</f>
        <v/>
      </c>
      <c r="E1363" s="19">
        <f>IF($B1363="","",IF(219&gt;NLoanA,0,SUMIF(CalcDebit,INDEX(PkLoanA,219),CalcAmt)+SUMIF(CalcDebit2,INDEX(PkLoanA,219),CalcAmt2)))</f>
        <v/>
      </c>
      <c r="F1363" s="19">
        <f>IF($B1363="","",IF(219&gt;NLoanA,0,SUMIF(CalcCredit,INDEX(PkLoanA,219),CalcAmt)+SUMIF(CalcCredit2,INDEX(PkLoanA,219),CalcAmt2)))</f>
        <v/>
      </c>
      <c r="G1363" s="20">
        <f>IF($B1363="","",ROUND($E1363-$F1363,0))</f>
        <v/>
      </c>
      <c r="H1363" s="17">
        <f>IF($B1363="","",IF(ROUND($G1363,0)&gt;0,"بدهکار",IF(ROUND($G1363,0)&lt;0,"بستانکار","تسویه")))</f>
        <v/>
      </c>
    </row>
    <row r="1364">
      <c r="A1364" s="11">
        <f>IF($B1364="","",1355)</f>
        <v/>
      </c>
      <c r="B1364" s="12">
        <f>IF(220&gt;NLoanA,"",IFERROR(IF(VLOOKUP(INDEX(PkLoanA,220),AcctTblA,4,0)="","(بدون نام)",VLOOKUP(INDEX(PkLoanA,220),AcctTblA,4,0)),"—"))</f>
        <v/>
      </c>
      <c r="C1364" s="13">
        <f>IF($B1364="","",IF(220&gt;NLoanA,"",INDEX(PkLoanA,220)))</f>
        <v/>
      </c>
      <c r="D1364" s="12">
        <f>IF($B1364="","","l")</f>
        <v/>
      </c>
      <c r="E1364" s="14">
        <f>IF($B1364="","",IF(220&gt;NLoanA,0,SUMIF(CalcDebit,INDEX(PkLoanA,220),CalcAmt)+SUMIF(CalcDebit2,INDEX(PkLoanA,220),CalcAmt2)))</f>
        <v/>
      </c>
      <c r="F1364" s="14">
        <f>IF($B1364="","",IF(220&gt;NLoanA,0,SUMIF(CalcCredit,INDEX(PkLoanA,220),CalcAmt)+SUMIF(CalcCredit2,INDEX(PkLoanA,220),CalcAmt2)))</f>
        <v/>
      </c>
      <c r="G1364" s="15">
        <f>IF($B1364="","",ROUND($E1364-$F1364,0))</f>
        <v/>
      </c>
      <c r="H1364" s="12">
        <f>IF($B1364="","",IF(ROUND($G1364,0)&gt;0,"بدهکار",IF(ROUND($G1364,0)&lt;0,"بستانکار","تسویه")))</f>
        <v/>
      </c>
    </row>
    <row r="1365">
      <c r="A1365" s="16">
        <f>IF($B1365="","",1356)</f>
        <v/>
      </c>
      <c r="B1365" s="17">
        <f>IF(221&gt;NLoanA,"",IFERROR(IF(VLOOKUP(INDEX(PkLoanA,221),AcctTblA,4,0)="","(بدون نام)",VLOOKUP(INDEX(PkLoanA,221),AcctTblA,4,0)),"—"))</f>
        <v/>
      </c>
      <c r="C1365" s="18">
        <f>IF($B1365="","",IF(221&gt;NLoanA,"",INDEX(PkLoanA,221)))</f>
        <v/>
      </c>
      <c r="D1365" s="17">
        <f>IF($B1365="","","l")</f>
        <v/>
      </c>
      <c r="E1365" s="19">
        <f>IF($B1365="","",IF(221&gt;NLoanA,0,SUMIF(CalcDebit,INDEX(PkLoanA,221),CalcAmt)+SUMIF(CalcDebit2,INDEX(PkLoanA,221),CalcAmt2)))</f>
        <v/>
      </c>
      <c r="F1365" s="19">
        <f>IF($B1365="","",IF(221&gt;NLoanA,0,SUMIF(CalcCredit,INDEX(PkLoanA,221),CalcAmt)+SUMIF(CalcCredit2,INDEX(PkLoanA,221),CalcAmt2)))</f>
        <v/>
      </c>
      <c r="G1365" s="20">
        <f>IF($B1365="","",ROUND($E1365-$F1365,0))</f>
        <v/>
      </c>
      <c r="H1365" s="17">
        <f>IF($B1365="","",IF(ROUND($G1365,0)&gt;0,"بدهکار",IF(ROUND($G1365,0)&lt;0,"بستانکار","تسویه")))</f>
        <v/>
      </c>
    </row>
    <row r="1366">
      <c r="A1366" s="11">
        <f>IF($B1366="","",1357)</f>
        <v/>
      </c>
      <c r="B1366" s="12">
        <f>IF(222&gt;NLoanA,"",IFERROR(IF(VLOOKUP(INDEX(PkLoanA,222),AcctTblA,4,0)="","(بدون نام)",VLOOKUP(INDEX(PkLoanA,222),AcctTblA,4,0)),"—"))</f>
        <v/>
      </c>
      <c r="C1366" s="13">
        <f>IF($B1366="","",IF(222&gt;NLoanA,"",INDEX(PkLoanA,222)))</f>
        <v/>
      </c>
      <c r="D1366" s="12">
        <f>IF($B1366="","","l")</f>
        <v/>
      </c>
      <c r="E1366" s="14">
        <f>IF($B1366="","",IF(222&gt;NLoanA,0,SUMIF(CalcDebit,INDEX(PkLoanA,222),CalcAmt)+SUMIF(CalcDebit2,INDEX(PkLoanA,222),CalcAmt2)))</f>
        <v/>
      </c>
      <c r="F1366" s="14">
        <f>IF($B1366="","",IF(222&gt;NLoanA,0,SUMIF(CalcCredit,INDEX(PkLoanA,222),CalcAmt)+SUMIF(CalcCredit2,INDEX(PkLoanA,222),CalcAmt2)))</f>
        <v/>
      </c>
      <c r="G1366" s="15">
        <f>IF($B1366="","",ROUND($E1366-$F1366,0))</f>
        <v/>
      </c>
      <c r="H1366" s="12">
        <f>IF($B1366="","",IF(ROUND($G1366,0)&gt;0,"بدهکار",IF(ROUND($G1366,0)&lt;0,"بستانکار","تسویه")))</f>
        <v/>
      </c>
    </row>
    <row r="1367">
      <c r="A1367" s="16">
        <f>IF($B1367="","",1358)</f>
        <v/>
      </c>
      <c r="B1367" s="17">
        <f>IF(223&gt;NLoanA,"",IFERROR(IF(VLOOKUP(INDEX(PkLoanA,223),AcctTblA,4,0)="","(بدون نام)",VLOOKUP(INDEX(PkLoanA,223),AcctTblA,4,0)),"—"))</f>
        <v/>
      </c>
      <c r="C1367" s="18">
        <f>IF($B1367="","",IF(223&gt;NLoanA,"",INDEX(PkLoanA,223)))</f>
        <v/>
      </c>
      <c r="D1367" s="17">
        <f>IF($B1367="","","l")</f>
        <v/>
      </c>
      <c r="E1367" s="19">
        <f>IF($B1367="","",IF(223&gt;NLoanA,0,SUMIF(CalcDebit,INDEX(PkLoanA,223),CalcAmt)+SUMIF(CalcDebit2,INDEX(PkLoanA,223),CalcAmt2)))</f>
        <v/>
      </c>
      <c r="F1367" s="19">
        <f>IF($B1367="","",IF(223&gt;NLoanA,0,SUMIF(CalcCredit,INDEX(PkLoanA,223),CalcAmt)+SUMIF(CalcCredit2,INDEX(PkLoanA,223),CalcAmt2)))</f>
        <v/>
      </c>
      <c r="G1367" s="20">
        <f>IF($B1367="","",ROUND($E1367-$F1367,0))</f>
        <v/>
      </c>
      <c r="H1367" s="17">
        <f>IF($B1367="","",IF(ROUND($G1367,0)&gt;0,"بدهکار",IF(ROUND($G1367,0)&lt;0,"بستانکار","تسویه")))</f>
        <v/>
      </c>
    </row>
    <row r="1368">
      <c r="A1368" s="11">
        <f>IF($B1368="","",1359)</f>
        <v/>
      </c>
      <c r="B1368" s="12">
        <f>IF(224&gt;NLoanA,"",IFERROR(IF(VLOOKUP(INDEX(PkLoanA,224),AcctTblA,4,0)="","(بدون نام)",VLOOKUP(INDEX(PkLoanA,224),AcctTblA,4,0)),"—"))</f>
        <v/>
      </c>
      <c r="C1368" s="13">
        <f>IF($B1368="","",IF(224&gt;NLoanA,"",INDEX(PkLoanA,224)))</f>
        <v/>
      </c>
      <c r="D1368" s="12">
        <f>IF($B1368="","","l")</f>
        <v/>
      </c>
      <c r="E1368" s="14">
        <f>IF($B1368="","",IF(224&gt;NLoanA,0,SUMIF(CalcDebit,INDEX(PkLoanA,224),CalcAmt)+SUMIF(CalcDebit2,INDEX(PkLoanA,224),CalcAmt2)))</f>
        <v/>
      </c>
      <c r="F1368" s="14">
        <f>IF($B1368="","",IF(224&gt;NLoanA,0,SUMIF(CalcCredit,INDEX(PkLoanA,224),CalcAmt)+SUMIF(CalcCredit2,INDEX(PkLoanA,224),CalcAmt2)))</f>
        <v/>
      </c>
      <c r="G1368" s="15">
        <f>IF($B1368="","",ROUND($E1368-$F1368,0))</f>
        <v/>
      </c>
      <c r="H1368" s="12">
        <f>IF($B1368="","",IF(ROUND($G1368,0)&gt;0,"بدهکار",IF(ROUND($G1368,0)&lt;0,"بستانکار","تسویه")))</f>
        <v/>
      </c>
    </row>
    <row r="1369">
      <c r="A1369" s="16">
        <f>IF($B1369="","",1360)</f>
        <v/>
      </c>
      <c r="B1369" s="17">
        <f>IF(225&gt;NLoanA,"",IFERROR(IF(VLOOKUP(INDEX(PkLoanA,225),AcctTblA,4,0)="","(بدون نام)",VLOOKUP(INDEX(PkLoanA,225),AcctTblA,4,0)),"—"))</f>
        <v/>
      </c>
      <c r="C1369" s="18">
        <f>IF($B1369="","",IF(225&gt;NLoanA,"",INDEX(PkLoanA,225)))</f>
        <v/>
      </c>
      <c r="D1369" s="17">
        <f>IF($B1369="","","l")</f>
        <v/>
      </c>
      <c r="E1369" s="19">
        <f>IF($B1369="","",IF(225&gt;NLoanA,0,SUMIF(CalcDebit,INDEX(PkLoanA,225),CalcAmt)+SUMIF(CalcDebit2,INDEX(PkLoanA,225),CalcAmt2)))</f>
        <v/>
      </c>
      <c r="F1369" s="19">
        <f>IF($B1369="","",IF(225&gt;NLoanA,0,SUMIF(CalcCredit,INDEX(PkLoanA,225),CalcAmt)+SUMIF(CalcCredit2,INDEX(PkLoanA,225),CalcAmt2)))</f>
        <v/>
      </c>
      <c r="G1369" s="20">
        <f>IF($B1369="","",ROUND($E1369-$F1369,0))</f>
        <v/>
      </c>
      <c r="H1369" s="17">
        <f>IF($B1369="","",IF(ROUND($G1369,0)&gt;0,"بدهکار",IF(ROUND($G1369,0)&lt;0,"بستانکار","تسویه")))</f>
        <v/>
      </c>
    </row>
    <row r="1370">
      <c r="A1370" s="11">
        <f>IF($B1370="","",1361)</f>
        <v/>
      </c>
      <c r="B1370" s="12">
        <f>IF(226&gt;NLoanA,"",IFERROR(IF(VLOOKUP(INDEX(PkLoanA,226),AcctTblA,4,0)="","(بدون نام)",VLOOKUP(INDEX(PkLoanA,226),AcctTblA,4,0)),"—"))</f>
        <v/>
      </c>
      <c r="C1370" s="13">
        <f>IF($B1370="","",IF(226&gt;NLoanA,"",INDEX(PkLoanA,226)))</f>
        <v/>
      </c>
      <c r="D1370" s="12">
        <f>IF($B1370="","","l")</f>
        <v/>
      </c>
      <c r="E1370" s="14">
        <f>IF($B1370="","",IF(226&gt;NLoanA,0,SUMIF(CalcDebit,INDEX(PkLoanA,226),CalcAmt)+SUMIF(CalcDebit2,INDEX(PkLoanA,226),CalcAmt2)))</f>
        <v/>
      </c>
      <c r="F1370" s="14">
        <f>IF($B1370="","",IF(226&gt;NLoanA,0,SUMIF(CalcCredit,INDEX(PkLoanA,226),CalcAmt)+SUMIF(CalcCredit2,INDEX(PkLoanA,226),CalcAmt2)))</f>
        <v/>
      </c>
      <c r="G1370" s="15">
        <f>IF($B1370="","",ROUND($E1370-$F1370,0))</f>
        <v/>
      </c>
      <c r="H1370" s="12">
        <f>IF($B1370="","",IF(ROUND($G1370,0)&gt;0,"بدهکار",IF(ROUND($G1370,0)&lt;0,"بستانکار","تسویه")))</f>
        <v/>
      </c>
    </row>
    <row r="1371">
      <c r="A1371" s="16">
        <f>IF($B1371="","",1362)</f>
        <v/>
      </c>
      <c r="B1371" s="17">
        <f>IF(227&gt;NLoanA,"",IFERROR(IF(VLOOKUP(INDEX(PkLoanA,227),AcctTblA,4,0)="","(بدون نام)",VLOOKUP(INDEX(PkLoanA,227),AcctTblA,4,0)),"—"))</f>
        <v/>
      </c>
      <c r="C1371" s="18">
        <f>IF($B1371="","",IF(227&gt;NLoanA,"",INDEX(PkLoanA,227)))</f>
        <v/>
      </c>
      <c r="D1371" s="17">
        <f>IF($B1371="","","l")</f>
        <v/>
      </c>
      <c r="E1371" s="19">
        <f>IF($B1371="","",IF(227&gt;NLoanA,0,SUMIF(CalcDebit,INDEX(PkLoanA,227),CalcAmt)+SUMIF(CalcDebit2,INDEX(PkLoanA,227),CalcAmt2)))</f>
        <v/>
      </c>
      <c r="F1371" s="19">
        <f>IF($B1371="","",IF(227&gt;NLoanA,0,SUMIF(CalcCredit,INDEX(PkLoanA,227),CalcAmt)+SUMIF(CalcCredit2,INDEX(PkLoanA,227),CalcAmt2)))</f>
        <v/>
      </c>
      <c r="G1371" s="20">
        <f>IF($B1371="","",ROUND($E1371-$F1371,0))</f>
        <v/>
      </c>
      <c r="H1371" s="17">
        <f>IF($B1371="","",IF(ROUND($G1371,0)&gt;0,"بدهکار",IF(ROUND($G1371,0)&lt;0,"بستانکار","تسویه")))</f>
        <v/>
      </c>
    </row>
    <row r="1372">
      <c r="A1372" s="11">
        <f>IF($B1372="","",1363)</f>
        <v/>
      </c>
      <c r="B1372" s="12">
        <f>IF(228&gt;NLoanA,"",IFERROR(IF(VLOOKUP(INDEX(PkLoanA,228),AcctTblA,4,0)="","(بدون نام)",VLOOKUP(INDEX(PkLoanA,228),AcctTblA,4,0)),"—"))</f>
        <v/>
      </c>
      <c r="C1372" s="13">
        <f>IF($B1372="","",IF(228&gt;NLoanA,"",INDEX(PkLoanA,228)))</f>
        <v/>
      </c>
      <c r="D1372" s="12">
        <f>IF($B1372="","","l")</f>
        <v/>
      </c>
      <c r="E1372" s="14">
        <f>IF($B1372="","",IF(228&gt;NLoanA,0,SUMIF(CalcDebit,INDEX(PkLoanA,228),CalcAmt)+SUMIF(CalcDebit2,INDEX(PkLoanA,228),CalcAmt2)))</f>
        <v/>
      </c>
      <c r="F1372" s="14">
        <f>IF($B1372="","",IF(228&gt;NLoanA,0,SUMIF(CalcCredit,INDEX(PkLoanA,228),CalcAmt)+SUMIF(CalcCredit2,INDEX(PkLoanA,228),CalcAmt2)))</f>
        <v/>
      </c>
      <c r="G1372" s="15">
        <f>IF($B1372="","",ROUND($E1372-$F1372,0))</f>
        <v/>
      </c>
      <c r="H1372" s="12">
        <f>IF($B1372="","",IF(ROUND($G1372,0)&gt;0,"بدهکار",IF(ROUND($G1372,0)&lt;0,"بستانکار","تسویه")))</f>
        <v/>
      </c>
    </row>
    <row r="1373">
      <c r="A1373" s="16">
        <f>IF($B1373="","",1364)</f>
        <v/>
      </c>
      <c r="B1373" s="17">
        <f>IF(229&gt;NLoanA,"",IFERROR(IF(VLOOKUP(INDEX(PkLoanA,229),AcctTblA,4,0)="","(بدون نام)",VLOOKUP(INDEX(PkLoanA,229),AcctTblA,4,0)),"—"))</f>
        <v/>
      </c>
      <c r="C1373" s="18">
        <f>IF($B1373="","",IF(229&gt;NLoanA,"",INDEX(PkLoanA,229)))</f>
        <v/>
      </c>
      <c r="D1373" s="17">
        <f>IF($B1373="","","l")</f>
        <v/>
      </c>
      <c r="E1373" s="19">
        <f>IF($B1373="","",IF(229&gt;NLoanA,0,SUMIF(CalcDebit,INDEX(PkLoanA,229),CalcAmt)+SUMIF(CalcDebit2,INDEX(PkLoanA,229),CalcAmt2)))</f>
        <v/>
      </c>
      <c r="F1373" s="19">
        <f>IF($B1373="","",IF(229&gt;NLoanA,0,SUMIF(CalcCredit,INDEX(PkLoanA,229),CalcAmt)+SUMIF(CalcCredit2,INDEX(PkLoanA,229),CalcAmt2)))</f>
        <v/>
      </c>
      <c r="G1373" s="20">
        <f>IF($B1373="","",ROUND($E1373-$F1373,0))</f>
        <v/>
      </c>
      <c r="H1373" s="17">
        <f>IF($B1373="","",IF(ROUND($G1373,0)&gt;0,"بدهکار",IF(ROUND($G1373,0)&lt;0,"بستانکار","تسویه")))</f>
        <v/>
      </c>
    </row>
    <row r="1374">
      <c r="A1374" s="11">
        <f>IF($B1374="","",1365)</f>
        <v/>
      </c>
      <c r="B1374" s="12">
        <f>IF(230&gt;NLoanA,"",IFERROR(IF(VLOOKUP(INDEX(PkLoanA,230),AcctTblA,4,0)="","(بدون نام)",VLOOKUP(INDEX(PkLoanA,230),AcctTblA,4,0)),"—"))</f>
        <v/>
      </c>
      <c r="C1374" s="13">
        <f>IF($B1374="","",IF(230&gt;NLoanA,"",INDEX(PkLoanA,230)))</f>
        <v/>
      </c>
      <c r="D1374" s="12">
        <f>IF($B1374="","","l")</f>
        <v/>
      </c>
      <c r="E1374" s="14">
        <f>IF($B1374="","",IF(230&gt;NLoanA,0,SUMIF(CalcDebit,INDEX(PkLoanA,230),CalcAmt)+SUMIF(CalcDebit2,INDEX(PkLoanA,230),CalcAmt2)))</f>
        <v/>
      </c>
      <c r="F1374" s="14">
        <f>IF($B1374="","",IF(230&gt;NLoanA,0,SUMIF(CalcCredit,INDEX(PkLoanA,230),CalcAmt)+SUMIF(CalcCredit2,INDEX(PkLoanA,230),CalcAmt2)))</f>
        <v/>
      </c>
      <c r="G1374" s="15">
        <f>IF($B1374="","",ROUND($E1374-$F1374,0))</f>
        <v/>
      </c>
      <c r="H1374" s="12">
        <f>IF($B1374="","",IF(ROUND($G1374,0)&gt;0,"بدهکار",IF(ROUND($G1374,0)&lt;0,"بستانکار","تسویه")))</f>
        <v/>
      </c>
    </row>
    <row r="1375">
      <c r="A1375" s="16">
        <f>IF($B1375="","",1366)</f>
        <v/>
      </c>
      <c r="B1375" s="17">
        <f>IF(231&gt;NLoanA,"",IFERROR(IF(VLOOKUP(INDEX(PkLoanA,231),AcctTblA,4,0)="","(بدون نام)",VLOOKUP(INDEX(PkLoanA,231),AcctTblA,4,0)),"—"))</f>
        <v/>
      </c>
      <c r="C1375" s="18">
        <f>IF($B1375="","",IF(231&gt;NLoanA,"",INDEX(PkLoanA,231)))</f>
        <v/>
      </c>
      <c r="D1375" s="17">
        <f>IF($B1375="","","l")</f>
        <v/>
      </c>
      <c r="E1375" s="19">
        <f>IF($B1375="","",IF(231&gt;NLoanA,0,SUMIF(CalcDebit,INDEX(PkLoanA,231),CalcAmt)+SUMIF(CalcDebit2,INDEX(PkLoanA,231),CalcAmt2)))</f>
        <v/>
      </c>
      <c r="F1375" s="19">
        <f>IF($B1375="","",IF(231&gt;NLoanA,0,SUMIF(CalcCredit,INDEX(PkLoanA,231),CalcAmt)+SUMIF(CalcCredit2,INDEX(PkLoanA,231),CalcAmt2)))</f>
        <v/>
      </c>
      <c r="G1375" s="20">
        <f>IF($B1375="","",ROUND($E1375-$F1375,0))</f>
        <v/>
      </c>
      <c r="H1375" s="17">
        <f>IF($B1375="","",IF(ROUND($G1375,0)&gt;0,"بدهکار",IF(ROUND($G1375,0)&lt;0,"بستانکار","تسویه")))</f>
        <v/>
      </c>
    </row>
    <row r="1376">
      <c r="A1376" s="11">
        <f>IF($B1376="","",1367)</f>
        <v/>
      </c>
      <c r="B1376" s="12">
        <f>IF(232&gt;NLoanA,"",IFERROR(IF(VLOOKUP(INDEX(PkLoanA,232),AcctTblA,4,0)="","(بدون نام)",VLOOKUP(INDEX(PkLoanA,232),AcctTblA,4,0)),"—"))</f>
        <v/>
      </c>
      <c r="C1376" s="13">
        <f>IF($B1376="","",IF(232&gt;NLoanA,"",INDEX(PkLoanA,232)))</f>
        <v/>
      </c>
      <c r="D1376" s="12">
        <f>IF($B1376="","","l")</f>
        <v/>
      </c>
      <c r="E1376" s="14">
        <f>IF($B1376="","",IF(232&gt;NLoanA,0,SUMIF(CalcDebit,INDEX(PkLoanA,232),CalcAmt)+SUMIF(CalcDebit2,INDEX(PkLoanA,232),CalcAmt2)))</f>
        <v/>
      </c>
      <c r="F1376" s="14">
        <f>IF($B1376="","",IF(232&gt;NLoanA,0,SUMIF(CalcCredit,INDEX(PkLoanA,232),CalcAmt)+SUMIF(CalcCredit2,INDEX(PkLoanA,232),CalcAmt2)))</f>
        <v/>
      </c>
      <c r="G1376" s="15">
        <f>IF($B1376="","",ROUND($E1376-$F1376,0))</f>
        <v/>
      </c>
      <c r="H1376" s="12">
        <f>IF($B1376="","",IF(ROUND($G1376,0)&gt;0,"بدهکار",IF(ROUND($G1376,0)&lt;0,"بستانکار","تسویه")))</f>
        <v/>
      </c>
    </row>
    <row r="1377">
      <c r="A1377" s="16">
        <f>IF($B1377="","",1368)</f>
        <v/>
      </c>
      <c r="B1377" s="17">
        <f>IF(233&gt;NLoanA,"",IFERROR(IF(VLOOKUP(INDEX(PkLoanA,233),AcctTblA,4,0)="","(بدون نام)",VLOOKUP(INDEX(PkLoanA,233),AcctTblA,4,0)),"—"))</f>
        <v/>
      </c>
      <c r="C1377" s="18">
        <f>IF($B1377="","",IF(233&gt;NLoanA,"",INDEX(PkLoanA,233)))</f>
        <v/>
      </c>
      <c r="D1377" s="17">
        <f>IF($B1377="","","l")</f>
        <v/>
      </c>
      <c r="E1377" s="19">
        <f>IF($B1377="","",IF(233&gt;NLoanA,0,SUMIF(CalcDebit,INDEX(PkLoanA,233),CalcAmt)+SUMIF(CalcDebit2,INDEX(PkLoanA,233),CalcAmt2)))</f>
        <v/>
      </c>
      <c r="F1377" s="19">
        <f>IF($B1377="","",IF(233&gt;NLoanA,0,SUMIF(CalcCredit,INDEX(PkLoanA,233),CalcAmt)+SUMIF(CalcCredit2,INDEX(PkLoanA,233),CalcAmt2)))</f>
        <v/>
      </c>
      <c r="G1377" s="20">
        <f>IF($B1377="","",ROUND($E1377-$F1377,0))</f>
        <v/>
      </c>
      <c r="H1377" s="17">
        <f>IF($B1377="","",IF(ROUND($G1377,0)&gt;0,"بدهکار",IF(ROUND($G1377,0)&lt;0,"بستانکار","تسویه")))</f>
        <v/>
      </c>
    </row>
    <row r="1378">
      <c r="A1378" s="11">
        <f>IF($B1378="","",1369)</f>
        <v/>
      </c>
      <c r="B1378" s="12">
        <f>IF(234&gt;NLoanA,"",IFERROR(IF(VLOOKUP(INDEX(PkLoanA,234),AcctTblA,4,0)="","(بدون نام)",VLOOKUP(INDEX(PkLoanA,234),AcctTblA,4,0)),"—"))</f>
        <v/>
      </c>
      <c r="C1378" s="13">
        <f>IF($B1378="","",IF(234&gt;NLoanA,"",INDEX(PkLoanA,234)))</f>
        <v/>
      </c>
      <c r="D1378" s="12">
        <f>IF($B1378="","","l")</f>
        <v/>
      </c>
      <c r="E1378" s="14">
        <f>IF($B1378="","",IF(234&gt;NLoanA,0,SUMIF(CalcDebit,INDEX(PkLoanA,234),CalcAmt)+SUMIF(CalcDebit2,INDEX(PkLoanA,234),CalcAmt2)))</f>
        <v/>
      </c>
      <c r="F1378" s="14">
        <f>IF($B1378="","",IF(234&gt;NLoanA,0,SUMIF(CalcCredit,INDEX(PkLoanA,234),CalcAmt)+SUMIF(CalcCredit2,INDEX(PkLoanA,234),CalcAmt2)))</f>
        <v/>
      </c>
      <c r="G1378" s="15">
        <f>IF($B1378="","",ROUND($E1378-$F1378,0))</f>
        <v/>
      </c>
      <c r="H1378" s="12">
        <f>IF($B1378="","",IF(ROUND($G1378,0)&gt;0,"بدهکار",IF(ROUND($G1378,0)&lt;0,"بستانکار","تسویه")))</f>
        <v/>
      </c>
    </row>
    <row r="1379">
      <c r="A1379" s="16">
        <f>IF($B1379="","",1370)</f>
        <v/>
      </c>
      <c r="B1379" s="17">
        <f>IF(235&gt;NLoanA,"",IFERROR(IF(VLOOKUP(INDEX(PkLoanA,235),AcctTblA,4,0)="","(بدون نام)",VLOOKUP(INDEX(PkLoanA,235),AcctTblA,4,0)),"—"))</f>
        <v/>
      </c>
      <c r="C1379" s="18">
        <f>IF($B1379="","",IF(235&gt;NLoanA,"",INDEX(PkLoanA,235)))</f>
        <v/>
      </c>
      <c r="D1379" s="17">
        <f>IF($B1379="","","l")</f>
        <v/>
      </c>
      <c r="E1379" s="19">
        <f>IF($B1379="","",IF(235&gt;NLoanA,0,SUMIF(CalcDebit,INDEX(PkLoanA,235),CalcAmt)+SUMIF(CalcDebit2,INDEX(PkLoanA,235),CalcAmt2)))</f>
        <v/>
      </c>
      <c r="F1379" s="19">
        <f>IF($B1379="","",IF(235&gt;NLoanA,0,SUMIF(CalcCredit,INDEX(PkLoanA,235),CalcAmt)+SUMIF(CalcCredit2,INDEX(PkLoanA,235),CalcAmt2)))</f>
        <v/>
      </c>
      <c r="G1379" s="20">
        <f>IF($B1379="","",ROUND($E1379-$F1379,0))</f>
        <v/>
      </c>
      <c r="H1379" s="17">
        <f>IF($B1379="","",IF(ROUND($G1379,0)&gt;0,"بدهکار",IF(ROUND($G1379,0)&lt;0,"بستانکار","تسویه")))</f>
        <v/>
      </c>
    </row>
    <row r="1380">
      <c r="A1380" s="11">
        <f>IF($B1380="","",1371)</f>
        <v/>
      </c>
      <c r="B1380" s="12">
        <f>IF(236&gt;NLoanA,"",IFERROR(IF(VLOOKUP(INDEX(PkLoanA,236),AcctTblA,4,0)="","(بدون نام)",VLOOKUP(INDEX(PkLoanA,236),AcctTblA,4,0)),"—"))</f>
        <v/>
      </c>
      <c r="C1380" s="13">
        <f>IF($B1380="","",IF(236&gt;NLoanA,"",INDEX(PkLoanA,236)))</f>
        <v/>
      </c>
      <c r="D1380" s="12">
        <f>IF($B1380="","","l")</f>
        <v/>
      </c>
      <c r="E1380" s="14">
        <f>IF($B1380="","",IF(236&gt;NLoanA,0,SUMIF(CalcDebit,INDEX(PkLoanA,236),CalcAmt)+SUMIF(CalcDebit2,INDEX(PkLoanA,236),CalcAmt2)))</f>
        <v/>
      </c>
      <c r="F1380" s="14">
        <f>IF($B1380="","",IF(236&gt;NLoanA,0,SUMIF(CalcCredit,INDEX(PkLoanA,236),CalcAmt)+SUMIF(CalcCredit2,INDEX(PkLoanA,236),CalcAmt2)))</f>
        <v/>
      </c>
      <c r="G1380" s="15">
        <f>IF($B1380="","",ROUND($E1380-$F1380,0))</f>
        <v/>
      </c>
      <c r="H1380" s="12">
        <f>IF($B1380="","",IF(ROUND($G1380,0)&gt;0,"بدهکار",IF(ROUND($G1380,0)&lt;0,"بستانکار","تسویه")))</f>
        <v/>
      </c>
    </row>
    <row r="1381">
      <c r="A1381" s="16">
        <f>IF($B1381="","",1372)</f>
        <v/>
      </c>
      <c r="B1381" s="17">
        <f>IF(237&gt;NLoanA,"",IFERROR(IF(VLOOKUP(INDEX(PkLoanA,237),AcctTblA,4,0)="","(بدون نام)",VLOOKUP(INDEX(PkLoanA,237),AcctTblA,4,0)),"—"))</f>
        <v/>
      </c>
      <c r="C1381" s="18">
        <f>IF($B1381="","",IF(237&gt;NLoanA,"",INDEX(PkLoanA,237)))</f>
        <v/>
      </c>
      <c r="D1381" s="17">
        <f>IF($B1381="","","l")</f>
        <v/>
      </c>
      <c r="E1381" s="19">
        <f>IF($B1381="","",IF(237&gt;NLoanA,0,SUMIF(CalcDebit,INDEX(PkLoanA,237),CalcAmt)+SUMIF(CalcDebit2,INDEX(PkLoanA,237),CalcAmt2)))</f>
        <v/>
      </c>
      <c r="F1381" s="19">
        <f>IF($B1381="","",IF(237&gt;NLoanA,0,SUMIF(CalcCredit,INDEX(PkLoanA,237),CalcAmt)+SUMIF(CalcCredit2,INDEX(PkLoanA,237),CalcAmt2)))</f>
        <v/>
      </c>
      <c r="G1381" s="20">
        <f>IF($B1381="","",ROUND($E1381-$F1381,0))</f>
        <v/>
      </c>
      <c r="H1381" s="17">
        <f>IF($B1381="","",IF(ROUND($G1381,0)&gt;0,"بدهکار",IF(ROUND($G1381,0)&lt;0,"بستانکار","تسویه")))</f>
        <v/>
      </c>
    </row>
    <row r="1382">
      <c r="A1382" s="11">
        <f>IF($B1382="","",1373)</f>
        <v/>
      </c>
      <c r="B1382" s="12">
        <f>IF(238&gt;NLoanA,"",IFERROR(IF(VLOOKUP(INDEX(PkLoanA,238),AcctTblA,4,0)="","(بدون نام)",VLOOKUP(INDEX(PkLoanA,238),AcctTblA,4,0)),"—"))</f>
        <v/>
      </c>
      <c r="C1382" s="13">
        <f>IF($B1382="","",IF(238&gt;NLoanA,"",INDEX(PkLoanA,238)))</f>
        <v/>
      </c>
      <c r="D1382" s="12">
        <f>IF($B1382="","","l")</f>
        <v/>
      </c>
      <c r="E1382" s="14">
        <f>IF($B1382="","",IF(238&gt;NLoanA,0,SUMIF(CalcDebit,INDEX(PkLoanA,238),CalcAmt)+SUMIF(CalcDebit2,INDEX(PkLoanA,238),CalcAmt2)))</f>
        <v/>
      </c>
      <c r="F1382" s="14">
        <f>IF($B1382="","",IF(238&gt;NLoanA,0,SUMIF(CalcCredit,INDEX(PkLoanA,238),CalcAmt)+SUMIF(CalcCredit2,INDEX(PkLoanA,238),CalcAmt2)))</f>
        <v/>
      </c>
      <c r="G1382" s="15">
        <f>IF($B1382="","",ROUND($E1382-$F1382,0))</f>
        <v/>
      </c>
      <c r="H1382" s="12">
        <f>IF($B1382="","",IF(ROUND($G1382,0)&gt;0,"بدهکار",IF(ROUND($G1382,0)&lt;0,"بستانکار","تسویه")))</f>
        <v/>
      </c>
    </row>
    <row r="1383">
      <c r="A1383" s="16">
        <f>IF($B1383="","",1374)</f>
        <v/>
      </c>
      <c r="B1383" s="17">
        <f>IF(239&gt;NLoanA,"",IFERROR(IF(VLOOKUP(INDEX(PkLoanA,239),AcctTblA,4,0)="","(بدون نام)",VLOOKUP(INDEX(PkLoanA,239),AcctTblA,4,0)),"—"))</f>
        <v/>
      </c>
      <c r="C1383" s="18">
        <f>IF($B1383="","",IF(239&gt;NLoanA,"",INDEX(PkLoanA,239)))</f>
        <v/>
      </c>
      <c r="D1383" s="17">
        <f>IF($B1383="","","l")</f>
        <v/>
      </c>
      <c r="E1383" s="19">
        <f>IF($B1383="","",IF(239&gt;NLoanA,0,SUMIF(CalcDebit,INDEX(PkLoanA,239),CalcAmt)+SUMIF(CalcDebit2,INDEX(PkLoanA,239),CalcAmt2)))</f>
        <v/>
      </c>
      <c r="F1383" s="19">
        <f>IF($B1383="","",IF(239&gt;NLoanA,0,SUMIF(CalcCredit,INDEX(PkLoanA,239),CalcAmt)+SUMIF(CalcCredit2,INDEX(PkLoanA,239),CalcAmt2)))</f>
        <v/>
      </c>
      <c r="G1383" s="20">
        <f>IF($B1383="","",ROUND($E1383-$F1383,0))</f>
        <v/>
      </c>
      <c r="H1383" s="17">
        <f>IF($B1383="","",IF(ROUND($G1383,0)&gt;0,"بدهکار",IF(ROUND($G1383,0)&lt;0,"بستانکار","تسویه")))</f>
        <v/>
      </c>
    </row>
    <row r="1384">
      <c r="A1384" s="11">
        <f>IF($B1384="","",1375)</f>
        <v/>
      </c>
      <c r="B1384" s="12">
        <f>IF(240&gt;NLoanA,"",IFERROR(IF(VLOOKUP(INDEX(PkLoanA,240),AcctTblA,4,0)="","(بدون نام)",VLOOKUP(INDEX(PkLoanA,240),AcctTblA,4,0)),"—"))</f>
        <v/>
      </c>
      <c r="C1384" s="13">
        <f>IF($B1384="","",IF(240&gt;NLoanA,"",INDEX(PkLoanA,240)))</f>
        <v/>
      </c>
      <c r="D1384" s="12">
        <f>IF($B1384="","","l")</f>
        <v/>
      </c>
      <c r="E1384" s="14">
        <f>IF($B1384="","",IF(240&gt;NLoanA,0,SUMIF(CalcDebit,INDEX(PkLoanA,240),CalcAmt)+SUMIF(CalcDebit2,INDEX(PkLoanA,240),CalcAmt2)))</f>
        <v/>
      </c>
      <c r="F1384" s="14">
        <f>IF($B1384="","",IF(240&gt;NLoanA,0,SUMIF(CalcCredit,INDEX(PkLoanA,240),CalcAmt)+SUMIF(CalcCredit2,INDEX(PkLoanA,240),CalcAmt2)))</f>
        <v/>
      </c>
      <c r="G1384" s="15">
        <f>IF($B1384="","",ROUND($E1384-$F1384,0))</f>
        <v/>
      </c>
      <c r="H1384" s="12">
        <f>IF($B1384="","",IF(ROUND($G1384,0)&gt;0,"بدهکار",IF(ROUND($G1384,0)&lt;0,"بستانکار","تسویه")))</f>
        <v/>
      </c>
    </row>
    <row r="1385">
      <c r="A1385" s="16">
        <f>IF($B1385="","",1376)</f>
        <v/>
      </c>
      <c r="B1385" s="17">
        <f>IF(241&gt;NLoanA,"",IFERROR(IF(VLOOKUP(INDEX(PkLoanA,241),AcctTblA,4,0)="","(بدون نام)",VLOOKUP(INDEX(PkLoanA,241),AcctTblA,4,0)),"—"))</f>
        <v/>
      </c>
      <c r="C1385" s="18">
        <f>IF($B1385="","",IF(241&gt;NLoanA,"",INDEX(PkLoanA,241)))</f>
        <v/>
      </c>
      <c r="D1385" s="17">
        <f>IF($B1385="","","l")</f>
        <v/>
      </c>
      <c r="E1385" s="19">
        <f>IF($B1385="","",IF(241&gt;NLoanA,0,SUMIF(CalcDebit,INDEX(PkLoanA,241),CalcAmt)+SUMIF(CalcDebit2,INDEX(PkLoanA,241),CalcAmt2)))</f>
        <v/>
      </c>
      <c r="F1385" s="19">
        <f>IF($B1385="","",IF(241&gt;NLoanA,0,SUMIF(CalcCredit,INDEX(PkLoanA,241),CalcAmt)+SUMIF(CalcCredit2,INDEX(PkLoanA,241),CalcAmt2)))</f>
        <v/>
      </c>
      <c r="G1385" s="20">
        <f>IF($B1385="","",ROUND($E1385-$F1385,0))</f>
        <v/>
      </c>
      <c r="H1385" s="17">
        <f>IF($B1385="","",IF(ROUND($G1385,0)&gt;0,"بدهکار",IF(ROUND($G1385,0)&lt;0,"بستانکار","تسویه")))</f>
        <v/>
      </c>
    </row>
    <row r="1386">
      <c r="A1386" s="11">
        <f>IF($B1386="","",1377)</f>
        <v/>
      </c>
      <c r="B1386" s="12">
        <f>IF(242&gt;NLoanA,"",IFERROR(IF(VLOOKUP(INDEX(PkLoanA,242),AcctTblA,4,0)="","(بدون نام)",VLOOKUP(INDEX(PkLoanA,242),AcctTblA,4,0)),"—"))</f>
        <v/>
      </c>
      <c r="C1386" s="13">
        <f>IF($B1386="","",IF(242&gt;NLoanA,"",INDEX(PkLoanA,242)))</f>
        <v/>
      </c>
      <c r="D1386" s="12">
        <f>IF($B1386="","","l")</f>
        <v/>
      </c>
      <c r="E1386" s="14">
        <f>IF($B1386="","",IF(242&gt;NLoanA,0,SUMIF(CalcDebit,INDEX(PkLoanA,242),CalcAmt)+SUMIF(CalcDebit2,INDEX(PkLoanA,242),CalcAmt2)))</f>
        <v/>
      </c>
      <c r="F1386" s="14">
        <f>IF($B1386="","",IF(242&gt;NLoanA,0,SUMIF(CalcCredit,INDEX(PkLoanA,242),CalcAmt)+SUMIF(CalcCredit2,INDEX(PkLoanA,242),CalcAmt2)))</f>
        <v/>
      </c>
      <c r="G1386" s="15">
        <f>IF($B1386="","",ROUND($E1386-$F1386,0))</f>
        <v/>
      </c>
      <c r="H1386" s="12">
        <f>IF($B1386="","",IF(ROUND($G1386,0)&gt;0,"بدهکار",IF(ROUND($G1386,0)&lt;0,"بستانکار","تسویه")))</f>
        <v/>
      </c>
    </row>
    <row r="1387">
      <c r="A1387" s="16">
        <f>IF($B1387="","",1378)</f>
        <v/>
      </c>
      <c r="B1387" s="17">
        <f>IF(243&gt;NLoanA,"",IFERROR(IF(VLOOKUP(INDEX(PkLoanA,243),AcctTblA,4,0)="","(بدون نام)",VLOOKUP(INDEX(PkLoanA,243),AcctTblA,4,0)),"—"))</f>
        <v/>
      </c>
      <c r="C1387" s="18">
        <f>IF($B1387="","",IF(243&gt;NLoanA,"",INDEX(PkLoanA,243)))</f>
        <v/>
      </c>
      <c r="D1387" s="17">
        <f>IF($B1387="","","l")</f>
        <v/>
      </c>
      <c r="E1387" s="19">
        <f>IF($B1387="","",IF(243&gt;NLoanA,0,SUMIF(CalcDebit,INDEX(PkLoanA,243),CalcAmt)+SUMIF(CalcDebit2,INDEX(PkLoanA,243),CalcAmt2)))</f>
        <v/>
      </c>
      <c r="F1387" s="19">
        <f>IF($B1387="","",IF(243&gt;NLoanA,0,SUMIF(CalcCredit,INDEX(PkLoanA,243),CalcAmt)+SUMIF(CalcCredit2,INDEX(PkLoanA,243),CalcAmt2)))</f>
        <v/>
      </c>
      <c r="G1387" s="20">
        <f>IF($B1387="","",ROUND($E1387-$F1387,0))</f>
        <v/>
      </c>
      <c r="H1387" s="17">
        <f>IF($B1387="","",IF(ROUND($G1387,0)&gt;0,"بدهکار",IF(ROUND($G1387,0)&lt;0,"بستانکار","تسویه")))</f>
        <v/>
      </c>
    </row>
    <row r="1388">
      <c r="A1388" s="11">
        <f>IF($B1388="","",1379)</f>
        <v/>
      </c>
      <c r="B1388" s="12">
        <f>IF(244&gt;NLoanA,"",IFERROR(IF(VLOOKUP(INDEX(PkLoanA,244),AcctTblA,4,0)="","(بدون نام)",VLOOKUP(INDEX(PkLoanA,244),AcctTblA,4,0)),"—"))</f>
        <v/>
      </c>
      <c r="C1388" s="13">
        <f>IF($B1388="","",IF(244&gt;NLoanA,"",INDEX(PkLoanA,244)))</f>
        <v/>
      </c>
      <c r="D1388" s="12">
        <f>IF($B1388="","","l")</f>
        <v/>
      </c>
      <c r="E1388" s="14">
        <f>IF($B1388="","",IF(244&gt;NLoanA,0,SUMIF(CalcDebit,INDEX(PkLoanA,244),CalcAmt)+SUMIF(CalcDebit2,INDEX(PkLoanA,244),CalcAmt2)))</f>
        <v/>
      </c>
      <c r="F1388" s="14">
        <f>IF($B1388="","",IF(244&gt;NLoanA,0,SUMIF(CalcCredit,INDEX(PkLoanA,244),CalcAmt)+SUMIF(CalcCredit2,INDEX(PkLoanA,244),CalcAmt2)))</f>
        <v/>
      </c>
      <c r="G1388" s="15">
        <f>IF($B1388="","",ROUND($E1388-$F1388,0))</f>
        <v/>
      </c>
      <c r="H1388" s="12">
        <f>IF($B1388="","",IF(ROUND($G1388,0)&gt;0,"بدهکار",IF(ROUND($G1388,0)&lt;0,"بستانکار","تسویه")))</f>
        <v/>
      </c>
    </row>
    <row r="1389">
      <c r="A1389" s="16">
        <f>IF($B1389="","",1380)</f>
        <v/>
      </c>
      <c r="B1389" s="17">
        <f>IF(245&gt;NLoanA,"",IFERROR(IF(VLOOKUP(INDEX(PkLoanA,245),AcctTblA,4,0)="","(بدون نام)",VLOOKUP(INDEX(PkLoanA,245),AcctTblA,4,0)),"—"))</f>
        <v/>
      </c>
      <c r="C1389" s="18">
        <f>IF($B1389="","",IF(245&gt;NLoanA,"",INDEX(PkLoanA,245)))</f>
        <v/>
      </c>
      <c r="D1389" s="17">
        <f>IF($B1389="","","l")</f>
        <v/>
      </c>
      <c r="E1389" s="19">
        <f>IF($B1389="","",IF(245&gt;NLoanA,0,SUMIF(CalcDebit,INDEX(PkLoanA,245),CalcAmt)+SUMIF(CalcDebit2,INDEX(PkLoanA,245),CalcAmt2)))</f>
        <v/>
      </c>
      <c r="F1389" s="19">
        <f>IF($B1389="","",IF(245&gt;NLoanA,0,SUMIF(CalcCredit,INDEX(PkLoanA,245),CalcAmt)+SUMIF(CalcCredit2,INDEX(PkLoanA,245),CalcAmt2)))</f>
        <v/>
      </c>
      <c r="G1389" s="20">
        <f>IF($B1389="","",ROUND($E1389-$F1389,0))</f>
        <v/>
      </c>
      <c r="H1389" s="17">
        <f>IF($B1389="","",IF(ROUND($G1389,0)&gt;0,"بدهکار",IF(ROUND($G1389,0)&lt;0,"بستانکار","تسویه")))</f>
        <v/>
      </c>
    </row>
    <row r="1390">
      <c r="A1390" s="11">
        <f>IF($B1390="","",1381)</f>
        <v/>
      </c>
      <c r="B1390" s="12">
        <f>IF(246&gt;NLoanA,"",IFERROR(IF(VLOOKUP(INDEX(PkLoanA,246),AcctTblA,4,0)="","(بدون نام)",VLOOKUP(INDEX(PkLoanA,246),AcctTblA,4,0)),"—"))</f>
        <v/>
      </c>
      <c r="C1390" s="13">
        <f>IF($B1390="","",IF(246&gt;NLoanA,"",INDEX(PkLoanA,246)))</f>
        <v/>
      </c>
      <c r="D1390" s="12">
        <f>IF($B1390="","","l")</f>
        <v/>
      </c>
      <c r="E1390" s="14">
        <f>IF($B1390="","",IF(246&gt;NLoanA,0,SUMIF(CalcDebit,INDEX(PkLoanA,246),CalcAmt)+SUMIF(CalcDebit2,INDEX(PkLoanA,246),CalcAmt2)))</f>
        <v/>
      </c>
      <c r="F1390" s="14">
        <f>IF($B1390="","",IF(246&gt;NLoanA,0,SUMIF(CalcCredit,INDEX(PkLoanA,246),CalcAmt)+SUMIF(CalcCredit2,INDEX(PkLoanA,246),CalcAmt2)))</f>
        <v/>
      </c>
      <c r="G1390" s="15">
        <f>IF($B1390="","",ROUND($E1390-$F1390,0))</f>
        <v/>
      </c>
      <c r="H1390" s="12">
        <f>IF($B1390="","",IF(ROUND($G1390,0)&gt;0,"بدهکار",IF(ROUND($G1390,0)&lt;0,"بستانکار","تسویه")))</f>
        <v/>
      </c>
    </row>
    <row r="1391">
      <c r="A1391" s="16">
        <f>IF($B1391="","",1382)</f>
        <v/>
      </c>
      <c r="B1391" s="17">
        <f>IF(247&gt;NLoanA,"",IFERROR(IF(VLOOKUP(INDEX(PkLoanA,247),AcctTblA,4,0)="","(بدون نام)",VLOOKUP(INDEX(PkLoanA,247),AcctTblA,4,0)),"—"))</f>
        <v/>
      </c>
      <c r="C1391" s="18">
        <f>IF($B1391="","",IF(247&gt;NLoanA,"",INDEX(PkLoanA,247)))</f>
        <v/>
      </c>
      <c r="D1391" s="17">
        <f>IF($B1391="","","l")</f>
        <v/>
      </c>
      <c r="E1391" s="19">
        <f>IF($B1391="","",IF(247&gt;NLoanA,0,SUMIF(CalcDebit,INDEX(PkLoanA,247),CalcAmt)+SUMIF(CalcDebit2,INDEX(PkLoanA,247),CalcAmt2)))</f>
        <v/>
      </c>
      <c r="F1391" s="19">
        <f>IF($B1391="","",IF(247&gt;NLoanA,0,SUMIF(CalcCredit,INDEX(PkLoanA,247),CalcAmt)+SUMIF(CalcCredit2,INDEX(PkLoanA,247),CalcAmt2)))</f>
        <v/>
      </c>
      <c r="G1391" s="20">
        <f>IF($B1391="","",ROUND($E1391-$F1391,0))</f>
        <v/>
      </c>
      <c r="H1391" s="17">
        <f>IF($B1391="","",IF(ROUND($G1391,0)&gt;0,"بدهکار",IF(ROUND($G1391,0)&lt;0,"بستانکار","تسویه")))</f>
        <v/>
      </c>
    </row>
    <row r="1392">
      <c r="A1392" s="11">
        <f>IF($B1392="","",1383)</f>
        <v/>
      </c>
      <c r="B1392" s="12">
        <f>IF(248&gt;NLoanA,"",IFERROR(IF(VLOOKUP(INDEX(PkLoanA,248),AcctTblA,4,0)="","(بدون نام)",VLOOKUP(INDEX(PkLoanA,248),AcctTblA,4,0)),"—"))</f>
        <v/>
      </c>
      <c r="C1392" s="13">
        <f>IF($B1392="","",IF(248&gt;NLoanA,"",INDEX(PkLoanA,248)))</f>
        <v/>
      </c>
      <c r="D1392" s="12">
        <f>IF($B1392="","","l")</f>
        <v/>
      </c>
      <c r="E1392" s="14">
        <f>IF($B1392="","",IF(248&gt;NLoanA,0,SUMIF(CalcDebit,INDEX(PkLoanA,248),CalcAmt)+SUMIF(CalcDebit2,INDEX(PkLoanA,248),CalcAmt2)))</f>
        <v/>
      </c>
      <c r="F1392" s="14">
        <f>IF($B1392="","",IF(248&gt;NLoanA,0,SUMIF(CalcCredit,INDEX(PkLoanA,248),CalcAmt)+SUMIF(CalcCredit2,INDEX(PkLoanA,248),CalcAmt2)))</f>
        <v/>
      </c>
      <c r="G1392" s="15">
        <f>IF($B1392="","",ROUND($E1392-$F1392,0))</f>
        <v/>
      </c>
      <c r="H1392" s="12">
        <f>IF($B1392="","",IF(ROUND($G1392,0)&gt;0,"بدهکار",IF(ROUND($G1392,0)&lt;0,"بستانکار","تسویه")))</f>
        <v/>
      </c>
    </row>
    <row r="1393">
      <c r="A1393" s="16">
        <f>IF($B1393="","",1384)</f>
        <v/>
      </c>
      <c r="B1393" s="17">
        <f>IF(249&gt;NLoanA,"",IFERROR(IF(VLOOKUP(INDEX(PkLoanA,249),AcctTblA,4,0)="","(بدون نام)",VLOOKUP(INDEX(PkLoanA,249),AcctTblA,4,0)),"—"))</f>
        <v/>
      </c>
      <c r="C1393" s="18">
        <f>IF($B1393="","",IF(249&gt;NLoanA,"",INDEX(PkLoanA,249)))</f>
        <v/>
      </c>
      <c r="D1393" s="17">
        <f>IF($B1393="","","l")</f>
        <v/>
      </c>
      <c r="E1393" s="19">
        <f>IF($B1393="","",IF(249&gt;NLoanA,0,SUMIF(CalcDebit,INDEX(PkLoanA,249),CalcAmt)+SUMIF(CalcDebit2,INDEX(PkLoanA,249),CalcAmt2)))</f>
        <v/>
      </c>
      <c r="F1393" s="19">
        <f>IF($B1393="","",IF(249&gt;NLoanA,0,SUMIF(CalcCredit,INDEX(PkLoanA,249),CalcAmt)+SUMIF(CalcCredit2,INDEX(PkLoanA,249),CalcAmt2)))</f>
        <v/>
      </c>
      <c r="G1393" s="20">
        <f>IF($B1393="","",ROUND($E1393-$F1393,0))</f>
        <v/>
      </c>
      <c r="H1393" s="17">
        <f>IF($B1393="","",IF(ROUND($G1393,0)&gt;0,"بدهکار",IF(ROUND($G1393,0)&lt;0,"بستانکار","تسویه")))</f>
        <v/>
      </c>
    </row>
    <row r="1394">
      <c r="A1394" s="11">
        <f>IF($B1394="","",1385)</f>
        <v/>
      </c>
      <c r="B1394" s="12">
        <f>IF(250&gt;NLoanA,"",IFERROR(IF(VLOOKUP(INDEX(PkLoanA,250),AcctTblA,4,0)="","(بدون نام)",VLOOKUP(INDEX(PkLoanA,250),AcctTblA,4,0)),"—"))</f>
        <v/>
      </c>
      <c r="C1394" s="13">
        <f>IF($B1394="","",IF(250&gt;NLoanA,"",INDEX(PkLoanA,250)))</f>
        <v/>
      </c>
      <c r="D1394" s="12">
        <f>IF($B1394="","","l")</f>
        <v/>
      </c>
      <c r="E1394" s="14">
        <f>IF($B1394="","",IF(250&gt;NLoanA,0,SUMIF(CalcDebit,INDEX(PkLoanA,250),CalcAmt)+SUMIF(CalcDebit2,INDEX(PkLoanA,250),CalcAmt2)))</f>
        <v/>
      </c>
      <c r="F1394" s="14">
        <f>IF($B1394="","",IF(250&gt;NLoanA,0,SUMIF(CalcCredit,INDEX(PkLoanA,250),CalcAmt)+SUMIF(CalcCredit2,INDEX(PkLoanA,250),CalcAmt2)))</f>
        <v/>
      </c>
      <c r="G1394" s="15">
        <f>IF($B1394="","",ROUND($E1394-$F1394,0))</f>
        <v/>
      </c>
      <c r="H1394" s="12">
        <f>IF($B1394="","",IF(ROUND($G1394,0)&gt;0,"بدهکار",IF(ROUND($G1394,0)&lt;0,"بستانکار","تسویه")))</f>
        <v/>
      </c>
    </row>
    <row r="1395">
      <c r="A1395" s="16">
        <f>IF($B1395="","",1386)</f>
        <v/>
      </c>
      <c r="B1395" s="17">
        <f>IF(251&gt;NLoanA,"",IFERROR(IF(VLOOKUP(INDEX(PkLoanA,251),AcctTblA,4,0)="","(بدون نام)",VLOOKUP(INDEX(PkLoanA,251),AcctTblA,4,0)),"—"))</f>
        <v/>
      </c>
      <c r="C1395" s="18">
        <f>IF($B1395="","",IF(251&gt;NLoanA,"",INDEX(PkLoanA,251)))</f>
        <v/>
      </c>
      <c r="D1395" s="17">
        <f>IF($B1395="","","l")</f>
        <v/>
      </c>
      <c r="E1395" s="19">
        <f>IF($B1395="","",IF(251&gt;NLoanA,0,SUMIF(CalcDebit,INDEX(PkLoanA,251),CalcAmt)+SUMIF(CalcDebit2,INDEX(PkLoanA,251),CalcAmt2)))</f>
        <v/>
      </c>
      <c r="F1395" s="19">
        <f>IF($B1395="","",IF(251&gt;NLoanA,0,SUMIF(CalcCredit,INDEX(PkLoanA,251),CalcAmt)+SUMIF(CalcCredit2,INDEX(PkLoanA,251),CalcAmt2)))</f>
        <v/>
      </c>
      <c r="G1395" s="20">
        <f>IF($B1395="","",ROUND($E1395-$F1395,0))</f>
        <v/>
      </c>
      <c r="H1395" s="17">
        <f>IF($B1395="","",IF(ROUND($G1395,0)&gt;0,"بدهکار",IF(ROUND($G1395,0)&lt;0,"بستانکار","تسویه")))</f>
        <v/>
      </c>
    </row>
    <row r="1396">
      <c r="A1396" s="11">
        <f>IF($B1396="","",1387)</f>
        <v/>
      </c>
      <c r="B1396" s="12">
        <f>IF(252&gt;NLoanA,"",IFERROR(IF(VLOOKUP(INDEX(PkLoanA,252),AcctTblA,4,0)="","(بدون نام)",VLOOKUP(INDEX(PkLoanA,252),AcctTblA,4,0)),"—"))</f>
        <v/>
      </c>
      <c r="C1396" s="13">
        <f>IF($B1396="","",IF(252&gt;NLoanA,"",INDEX(PkLoanA,252)))</f>
        <v/>
      </c>
      <c r="D1396" s="12">
        <f>IF($B1396="","","l")</f>
        <v/>
      </c>
      <c r="E1396" s="14">
        <f>IF($B1396="","",IF(252&gt;NLoanA,0,SUMIF(CalcDebit,INDEX(PkLoanA,252),CalcAmt)+SUMIF(CalcDebit2,INDEX(PkLoanA,252),CalcAmt2)))</f>
        <v/>
      </c>
      <c r="F1396" s="14">
        <f>IF($B1396="","",IF(252&gt;NLoanA,0,SUMIF(CalcCredit,INDEX(PkLoanA,252),CalcAmt)+SUMIF(CalcCredit2,INDEX(PkLoanA,252),CalcAmt2)))</f>
        <v/>
      </c>
      <c r="G1396" s="15">
        <f>IF($B1396="","",ROUND($E1396-$F1396,0))</f>
        <v/>
      </c>
      <c r="H1396" s="12">
        <f>IF($B1396="","",IF(ROUND($G1396,0)&gt;0,"بدهکار",IF(ROUND($G1396,0)&lt;0,"بستانکار","تسویه")))</f>
        <v/>
      </c>
    </row>
    <row r="1397">
      <c r="A1397" s="16">
        <f>IF($B1397="","",1388)</f>
        <v/>
      </c>
      <c r="B1397" s="17">
        <f>IF(253&gt;NLoanA,"",IFERROR(IF(VLOOKUP(INDEX(PkLoanA,253),AcctTblA,4,0)="","(بدون نام)",VLOOKUP(INDEX(PkLoanA,253),AcctTblA,4,0)),"—"))</f>
        <v/>
      </c>
      <c r="C1397" s="18">
        <f>IF($B1397="","",IF(253&gt;NLoanA,"",INDEX(PkLoanA,253)))</f>
        <v/>
      </c>
      <c r="D1397" s="17">
        <f>IF($B1397="","","l")</f>
        <v/>
      </c>
      <c r="E1397" s="19">
        <f>IF($B1397="","",IF(253&gt;NLoanA,0,SUMIF(CalcDebit,INDEX(PkLoanA,253),CalcAmt)+SUMIF(CalcDebit2,INDEX(PkLoanA,253),CalcAmt2)))</f>
        <v/>
      </c>
      <c r="F1397" s="19">
        <f>IF($B1397="","",IF(253&gt;NLoanA,0,SUMIF(CalcCredit,INDEX(PkLoanA,253),CalcAmt)+SUMIF(CalcCredit2,INDEX(PkLoanA,253),CalcAmt2)))</f>
        <v/>
      </c>
      <c r="G1397" s="20">
        <f>IF($B1397="","",ROUND($E1397-$F1397,0))</f>
        <v/>
      </c>
      <c r="H1397" s="17">
        <f>IF($B1397="","",IF(ROUND($G1397,0)&gt;0,"بدهکار",IF(ROUND($G1397,0)&lt;0,"بستانکار","تسویه")))</f>
        <v/>
      </c>
    </row>
    <row r="1398">
      <c r="A1398" s="11">
        <f>IF($B1398="","",1389)</f>
        <v/>
      </c>
      <c r="B1398" s="12">
        <f>IF(254&gt;NLoanA,"",IFERROR(IF(VLOOKUP(INDEX(PkLoanA,254),AcctTblA,4,0)="","(بدون نام)",VLOOKUP(INDEX(PkLoanA,254),AcctTblA,4,0)),"—"))</f>
        <v/>
      </c>
      <c r="C1398" s="13">
        <f>IF($B1398="","",IF(254&gt;NLoanA,"",INDEX(PkLoanA,254)))</f>
        <v/>
      </c>
      <c r="D1398" s="12">
        <f>IF($B1398="","","l")</f>
        <v/>
      </c>
      <c r="E1398" s="14">
        <f>IF($B1398="","",IF(254&gt;NLoanA,0,SUMIF(CalcDebit,INDEX(PkLoanA,254),CalcAmt)+SUMIF(CalcDebit2,INDEX(PkLoanA,254),CalcAmt2)))</f>
        <v/>
      </c>
      <c r="F1398" s="14">
        <f>IF($B1398="","",IF(254&gt;NLoanA,0,SUMIF(CalcCredit,INDEX(PkLoanA,254),CalcAmt)+SUMIF(CalcCredit2,INDEX(PkLoanA,254),CalcAmt2)))</f>
        <v/>
      </c>
      <c r="G1398" s="15">
        <f>IF($B1398="","",ROUND($E1398-$F1398,0))</f>
        <v/>
      </c>
      <c r="H1398" s="12">
        <f>IF($B1398="","",IF(ROUND($G1398,0)&gt;0,"بدهکار",IF(ROUND($G1398,0)&lt;0,"بستانکار","تسویه")))</f>
        <v/>
      </c>
    </row>
    <row r="1399">
      <c r="A1399" s="16">
        <f>IF($B1399="","",1390)</f>
        <v/>
      </c>
      <c r="B1399" s="17">
        <f>IF(255&gt;NLoanA,"",IFERROR(IF(VLOOKUP(INDEX(PkLoanA,255),AcctTblA,4,0)="","(بدون نام)",VLOOKUP(INDEX(PkLoanA,255),AcctTblA,4,0)),"—"))</f>
        <v/>
      </c>
      <c r="C1399" s="18">
        <f>IF($B1399="","",IF(255&gt;NLoanA,"",INDEX(PkLoanA,255)))</f>
        <v/>
      </c>
      <c r="D1399" s="17">
        <f>IF($B1399="","","l")</f>
        <v/>
      </c>
      <c r="E1399" s="19">
        <f>IF($B1399="","",IF(255&gt;NLoanA,0,SUMIF(CalcDebit,INDEX(PkLoanA,255),CalcAmt)+SUMIF(CalcDebit2,INDEX(PkLoanA,255),CalcAmt2)))</f>
        <v/>
      </c>
      <c r="F1399" s="19">
        <f>IF($B1399="","",IF(255&gt;NLoanA,0,SUMIF(CalcCredit,INDEX(PkLoanA,255),CalcAmt)+SUMIF(CalcCredit2,INDEX(PkLoanA,255),CalcAmt2)))</f>
        <v/>
      </c>
      <c r="G1399" s="20">
        <f>IF($B1399="","",ROUND($E1399-$F1399,0))</f>
        <v/>
      </c>
      <c r="H1399" s="17">
        <f>IF($B1399="","",IF(ROUND($G1399,0)&gt;0,"بدهکار",IF(ROUND($G1399,0)&lt;0,"بستانکار","تسویه")))</f>
        <v/>
      </c>
    </row>
    <row r="1400">
      <c r="A1400" s="11">
        <f>IF($B1400="","",1391)</f>
        <v/>
      </c>
      <c r="B1400" s="12">
        <f>IF(256&gt;NLoanA,"",IFERROR(IF(VLOOKUP(INDEX(PkLoanA,256),AcctTblA,4,0)="","(بدون نام)",VLOOKUP(INDEX(PkLoanA,256),AcctTblA,4,0)),"—"))</f>
        <v/>
      </c>
      <c r="C1400" s="13">
        <f>IF($B1400="","",IF(256&gt;NLoanA,"",INDEX(PkLoanA,256)))</f>
        <v/>
      </c>
      <c r="D1400" s="12">
        <f>IF($B1400="","","l")</f>
        <v/>
      </c>
      <c r="E1400" s="14">
        <f>IF($B1400="","",IF(256&gt;NLoanA,0,SUMIF(CalcDebit,INDEX(PkLoanA,256),CalcAmt)+SUMIF(CalcDebit2,INDEX(PkLoanA,256),CalcAmt2)))</f>
        <v/>
      </c>
      <c r="F1400" s="14">
        <f>IF($B1400="","",IF(256&gt;NLoanA,0,SUMIF(CalcCredit,INDEX(PkLoanA,256),CalcAmt)+SUMIF(CalcCredit2,INDEX(PkLoanA,256),CalcAmt2)))</f>
        <v/>
      </c>
      <c r="G1400" s="15">
        <f>IF($B1400="","",ROUND($E1400-$F1400,0))</f>
        <v/>
      </c>
      <c r="H1400" s="12">
        <f>IF($B1400="","",IF(ROUND($G1400,0)&gt;0,"بدهکار",IF(ROUND($G1400,0)&lt;0,"بستانکار","تسویه")))</f>
        <v/>
      </c>
    </row>
    <row r="1401">
      <c r="A1401" s="16">
        <f>IF($B1401="","",1392)</f>
        <v/>
      </c>
      <c r="B1401" s="17">
        <f>IF(257&gt;NLoanA,"",IFERROR(IF(VLOOKUP(INDEX(PkLoanA,257),AcctTblA,4,0)="","(بدون نام)",VLOOKUP(INDEX(PkLoanA,257),AcctTblA,4,0)),"—"))</f>
        <v/>
      </c>
      <c r="C1401" s="18">
        <f>IF($B1401="","",IF(257&gt;NLoanA,"",INDEX(PkLoanA,257)))</f>
        <v/>
      </c>
      <c r="D1401" s="17">
        <f>IF($B1401="","","l")</f>
        <v/>
      </c>
      <c r="E1401" s="19">
        <f>IF($B1401="","",IF(257&gt;NLoanA,0,SUMIF(CalcDebit,INDEX(PkLoanA,257),CalcAmt)+SUMIF(CalcDebit2,INDEX(PkLoanA,257),CalcAmt2)))</f>
        <v/>
      </c>
      <c r="F1401" s="19">
        <f>IF($B1401="","",IF(257&gt;NLoanA,0,SUMIF(CalcCredit,INDEX(PkLoanA,257),CalcAmt)+SUMIF(CalcCredit2,INDEX(PkLoanA,257),CalcAmt2)))</f>
        <v/>
      </c>
      <c r="G1401" s="20">
        <f>IF($B1401="","",ROUND($E1401-$F1401,0))</f>
        <v/>
      </c>
      <c r="H1401" s="17">
        <f>IF($B1401="","",IF(ROUND($G1401,0)&gt;0,"بدهکار",IF(ROUND($G1401,0)&lt;0,"بستانکار","تسویه")))</f>
        <v/>
      </c>
    </row>
    <row r="1402">
      <c r="A1402" s="11">
        <f>IF($B1402="","",1393)</f>
        <v/>
      </c>
      <c r="B1402" s="12">
        <f>IF(258&gt;NLoanA,"",IFERROR(IF(VLOOKUP(INDEX(PkLoanA,258),AcctTblA,4,0)="","(بدون نام)",VLOOKUP(INDEX(PkLoanA,258),AcctTblA,4,0)),"—"))</f>
        <v/>
      </c>
      <c r="C1402" s="13">
        <f>IF($B1402="","",IF(258&gt;NLoanA,"",INDEX(PkLoanA,258)))</f>
        <v/>
      </c>
      <c r="D1402" s="12">
        <f>IF($B1402="","","l")</f>
        <v/>
      </c>
      <c r="E1402" s="14">
        <f>IF($B1402="","",IF(258&gt;NLoanA,0,SUMIF(CalcDebit,INDEX(PkLoanA,258),CalcAmt)+SUMIF(CalcDebit2,INDEX(PkLoanA,258),CalcAmt2)))</f>
        <v/>
      </c>
      <c r="F1402" s="14">
        <f>IF($B1402="","",IF(258&gt;NLoanA,0,SUMIF(CalcCredit,INDEX(PkLoanA,258),CalcAmt)+SUMIF(CalcCredit2,INDEX(PkLoanA,258),CalcAmt2)))</f>
        <v/>
      </c>
      <c r="G1402" s="15">
        <f>IF($B1402="","",ROUND($E1402-$F1402,0))</f>
        <v/>
      </c>
      <c r="H1402" s="12">
        <f>IF($B1402="","",IF(ROUND($G1402,0)&gt;0,"بدهکار",IF(ROUND($G1402,0)&lt;0,"بستانکار","تسویه")))</f>
        <v/>
      </c>
    </row>
    <row r="1403">
      <c r="A1403" s="16">
        <f>IF($B1403="","",1394)</f>
        <v/>
      </c>
      <c r="B1403" s="17">
        <f>IF(259&gt;NLoanA,"",IFERROR(IF(VLOOKUP(INDEX(PkLoanA,259),AcctTblA,4,0)="","(بدون نام)",VLOOKUP(INDEX(PkLoanA,259),AcctTblA,4,0)),"—"))</f>
        <v/>
      </c>
      <c r="C1403" s="18">
        <f>IF($B1403="","",IF(259&gt;NLoanA,"",INDEX(PkLoanA,259)))</f>
        <v/>
      </c>
      <c r="D1403" s="17">
        <f>IF($B1403="","","l")</f>
        <v/>
      </c>
      <c r="E1403" s="19">
        <f>IF($B1403="","",IF(259&gt;NLoanA,0,SUMIF(CalcDebit,INDEX(PkLoanA,259),CalcAmt)+SUMIF(CalcDebit2,INDEX(PkLoanA,259),CalcAmt2)))</f>
        <v/>
      </c>
      <c r="F1403" s="19">
        <f>IF($B1403="","",IF(259&gt;NLoanA,0,SUMIF(CalcCredit,INDEX(PkLoanA,259),CalcAmt)+SUMIF(CalcCredit2,INDEX(PkLoanA,259),CalcAmt2)))</f>
        <v/>
      </c>
      <c r="G1403" s="20">
        <f>IF($B1403="","",ROUND($E1403-$F1403,0))</f>
        <v/>
      </c>
      <c r="H1403" s="17">
        <f>IF($B1403="","",IF(ROUND($G1403,0)&gt;0,"بدهکار",IF(ROUND($G1403,0)&lt;0,"بستانکار","تسویه")))</f>
        <v/>
      </c>
    </row>
    <row r="1404">
      <c r="A1404" s="11">
        <f>IF($B1404="","",1395)</f>
        <v/>
      </c>
      <c r="B1404" s="12">
        <f>IF(260&gt;NLoanA,"",IFERROR(IF(VLOOKUP(INDEX(PkLoanA,260),AcctTblA,4,0)="","(بدون نام)",VLOOKUP(INDEX(PkLoanA,260),AcctTblA,4,0)),"—"))</f>
        <v/>
      </c>
      <c r="C1404" s="13">
        <f>IF($B1404="","",IF(260&gt;NLoanA,"",INDEX(PkLoanA,260)))</f>
        <v/>
      </c>
      <c r="D1404" s="12">
        <f>IF($B1404="","","l")</f>
        <v/>
      </c>
      <c r="E1404" s="14">
        <f>IF($B1404="","",IF(260&gt;NLoanA,0,SUMIF(CalcDebit,INDEX(PkLoanA,260),CalcAmt)+SUMIF(CalcDebit2,INDEX(PkLoanA,260),CalcAmt2)))</f>
        <v/>
      </c>
      <c r="F1404" s="14">
        <f>IF($B1404="","",IF(260&gt;NLoanA,0,SUMIF(CalcCredit,INDEX(PkLoanA,260),CalcAmt)+SUMIF(CalcCredit2,INDEX(PkLoanA,260),CalcAmt2)))</f>
        <v/>
      </c>
      <c r="G1404" s="15">
        <f>IF($B1404="","",ROUND($E1404-$F1404,0))</f>
        <v/>
      </c>
      <c r="H1404" s="12">
        <f>IF($B1404="","",IF(ROUND($G1404,0)&gt;0,"بدهکار",IF(ROUND($G1404,0)&lt;0,"بستانکار","تسویه")))</f>
        <v/>
      </c>
    </row>
    <row r="1405">
      <c r="A1405" s="16">
        <f>IF($B1405="","",1396)</f>
        <v/>
      </c>
      <c r="B1405" s="17">
        <f>IF(261&gt;NLoanA,"",IFERROR(IF(VLOOKUP(INDEX(PkLoanA,261),AcctTblA,4,0)="","(بدون نام)",VLOOKUP(INDEX(PkLoanA,261),AcctTblA,4,0)),"—"))</f>
        <v/>
      </c>
      <c r="C1405" s="18">
        <f>IF($B1405="","",IF(261&gt;NLoanA,"",INDEX(PkLoanA,261)))</f>
        <v/>
      </c>
      <c r="D1405" s="17">
        <f>IF($B1405="","","l")</f>
        <v/>
      </c>
      <c r="E1405" s="19">
        <f>IF($B1405="","",IF(261&gt;NLoanA,0,SUMIF(CalcDebit,INDEX(PkLoanA,261),CalcAmt)+SUMIF(CalcDebit2,INDEX(PkLoanA,261),CalcAmt2)))</f>
        <v/>
      </c>
      <c r="F1405" s="19">
        <f>IF($B1405="","",IF(261&gt;NLoanA,0,SUMIF(CalcCredit,INDEX(PkLoanA,261),CalcAmt)+SUMIF(CalcCredit2,INDEX(PkLoanA,261),CalcAmt2)))</f>
        <v/>
      </c>
      <c r="G1405" s="20">
        <f>IF($B1405="","",ROUND($E1405-$F1405,0))</f>
        <v/>
      </c>
      <c r="H1405" s="17">
        <f>IF($B1405="","",IF(ROUND($G1405,0)&gt;0,"بدهکار",IF(ROUND($G1405,0)&lt;0,"بستانکار","تسویه")))</f>
        <v/>
      </c>
    </row>
    <row r="1406">
      <c r="A1406" s="11">
        <f>IF($B1406="","",1397)</f>
        <v/>
      </c>
      <c r="B1406" s="12">
        <f>IF(262&gt;NLoanA,"",IFERROR(IF(VLOOKUP(INDEX(PkLoanA,262),AcctTblA,4,0)="","(بدون نام)",VLOOKUP(INDEX(PkLoanA,262),AcctTblA,4,0)),"—"))</f>
        <v/>
      </c>
      <c r="C1406" s="13">
        <f>IF($B1406="","",IF(262&gt;NLoanA,"",INDEX(PkLoanA,262)))</f>
        <v/>
      </c>
      <c r="D1406" s="12">
        <f>IF($B1406="","","l")</f>
        <v/>
      </c>
      <c r="E1406" s="14">
        <f>IF($B1406="","",IF(262&gt;NLoanA,0,SUMIF(CalcDebit,INDEX(PkLoanA,262),CalcAmt)+SUMIF(CalcDebit2,INDEX(PkLoanA,262),CalcAmt2)))</f>
        <v/>
      </c>
      <c r="F1406" s="14">
        <f>IF($B1406="","",IF(262&gt;NLoanA,0,SUMIF(CalcCredit,INDEX(PkLoanA,262),CalcAmt)+SUMIF(CalcCredit2,INDEX(PkLoanA,262),CalcAmt2)))</f>
        <v/>
      </c>
      <c r="G1406" s="15">
        <f>IF($B1406="","",ROUND($E1406-$F1406,0))</f>
        <v/>
      </c>
      <c r="H1406" s="12">
        <f>IF($B1406="","",IF(ROUND($G1406,0)&gt;0,"بدهکار",IF(ROUND($G1406,0)&lt;0,"بستانکار","تسویه")))</f>
        <v/>
      </c>
    </row>
    <row r="1407">
      <c r="A1407" s="16">
        <f>IF($B1407="","",1398)</f>
        <v/>
      </c>
      <c r="B1407" s="17">
        <f>IF(263&gt;NLoanA,"",IFERROR(IF(VLOOKUP(INDEX(PkLoanA,263),AcctTblA,4,0)="","(بدون نام)",VLOOKUP(INDEX(PkLoanA,263),AcctTblA,4,0)),"—"))</f>
        <v/>
      </c>
      <c r="C1407" s="18">
        <f>IF($B1407="","",IF(263&gt;NLoanA,"",INDEX(PkLoanA,263)))</f>
        <v/>
      </c>
      <c r="D1407" s="17">
        <f>IF($B1407="","","l")</f>
        <v/>
      </c>
      <c r="E1407" s="19">
        <f>IF($B1407="","",IF(263&gt;NLoanA,0,SUMIF(CalcDebit,INDEX(PkLoanA,263),CalcAmt)+SUMIF(CalcDebit2,INDEX(PkLoanA,263),CalcAmt2)))</f>
        <v/>
      </c>
      <c r="F1407" s="19">
        <f>IF($B1407="","",IF(263&gt;NLoanA,0,SUMIF(CalcCredit,INDEX(PkLoanA,263),CalcAmt)+SUMIF(CalcCredit2,INDEX(PkLoanA,263),CalcAmt2)))</f>
        <v/>
      </c>
      <c r="G1407" s="20">
        <f>IF($B1407="","",ROUND($E1407-$F1407,0))</f>
        <v/>
      </c>
      <c r="H1407" s="17">
        <f>IF($B1407="","",IF(ROUND($G1407,0)&gt;0,"بدهکار",IF(ROUND($G1407,0)&lt;0,"بستانکار","تسویه")))</f>
        <v/>
      </c>
    </row>
    <row r="1408">
      <c r="A1408" s="11">
        <f>IF($B1408="","",1399)</f>
        <v/>
      </c>
      <c r="B1408" s="12">
        <f>IF(264&gt;NLoanA,"",IFERROR(IF(VLOOKUP(INDEX(PkLoanA,264),AcctTblA,4,0)="","(بدون نام)",VLOOKUP(INDEX(PkLoanA,264),AcctTblA,4,0)),"—"))</f>
        <v/>
      </c>
      <c r="C1408" s="13">
        <f>IF($B1408="","",IF(264&gt;NLoanA,"",INDEX(PkLoanA,264)))</f>
        <v/>
      </c>
      <c r="D1408" s="12">
        <f>IF($B1408="","","l")</f>
        <v/>
      </c>
      <c r="E1408" s="14">
        <f>IF($B1408="","",IF(264&gt;NLoanA,0,SUMIF(CalcDebit,INDEX(PkLoanA,264),CalcAmt)+SUMIF(CalcDebit2,INDEX(PkLoanA,264),CalcAmt2)))</f>
        <v/>
      </c>
      <c r="F1408" s="14">
        <f>IF($B1408="","",IF(264&gt;NLoanA,0,SUMIF(CalcCredit,INDEX(PkLoanA,264),CalcAmt)+SUMIF(CalcCredit2,INDEX(PkLoanA,264),CalcAmt2)))</f>
        <v/>
      </c>
      <c r="G1408" s="15">
        <f>IF($B1408="","",ROUND($E1408-$F1408,0))</f>
        <v/>
      </c>
      <c r="H1408" s="12">
        <f>IF($B1408="","",IF(ROUND($G1408,0)&gt;0,"بدهکار",IF(ROUND($G1408,0)&lt;0,"بستانکار","تسویه")))</f>
        <v/>
      </c>
    </row>
    <row r="1409">
      <c r="A1409" s="16">
        <f>IF($B1409="","",1400)</f>
        <v/>
      </c>
      <c r="B1409" s="17">
        <f>IF(265&gt;NLoanA,"",IFERROR(IF(VLOOKUP(INDEX(PkLoanA,265),AcctTblA,4,0)="","(بدون نام)",VLOOKUP(INDEX(PkLoanA,265),AcctTblA,4,0)),"—"))</f>
        <v/>
      </c>
      <c r="C1409" s="18">
        <f>IF($B1409="","",IF(265&gt;NLoanA,"",INDEX(PkLoanA,265)))</f>
        <v/>
      </c>
      <c r="D1409" s="17">
        <f>IF($B1409="","","l")</f>
        <v/>
      </c>
      <c r="E1409" s="19">
        <f>IF($B1409="","",IF(265&gt;NLoanA,0,SUMIF(CalcDebit,INDEX(PkLoanA,265),CalcAmt)+SUMIF(CalcDebit2,INDEX(PkLoanA,265),CalcAmt2)))</f>
        <v/>
      </c>
      <c r="F1409" s="19">
        <f>IF($B1409="","",IF(265&gt;NLoanA,0,SUMIF(CalcCredit,INDEX(PkLoanA,265),CalcAmt)+SUMIF(CalcCredit2,INDEX(PkLoanA,265),CalcAmt2)))</f>
        <v/>
      </c>
      <c r="G1409" s="20">
        <f>IF($B1409="","",ROUND($E1409-$F1409,0))</f>
        <v/>
      </c>
      <c r="H1409" s="17">
        <f>IF($B1409="","",IF(ROUND($G1409,0)&gt;0,"بدهکار",IF(ROUND($G1409,0)&lt;0,"بستانکار","تسویه")))</f>
        <v/>
      </c>
    </row>
    <row r="1410">
      <c r="A1410" s="11">
        <f>IF($B1410="","",1401)</f>
        <v/>
      </c>
      <c r="B1410" s="12">
        <f>IF(266&gt;NLoanA,"",IFERROR(IF(VLOOKUP(INDEX(PkLoanA,266),AcctTblA,4,0)="","(بدون نام)",VLOOKUP(INDEX(PkLoanA,266),AcctTblA,4,0)),"—"))</f>
        <v/>
      </c>
      <c r="C1410" s="13">
        <f>IF($B1410="","",IF(266&gt;NLoanA,"",INDEX(PkLoanA,266)))</f>
        <v/>
      </c>
      <c r="D1410" s="12">
        <f>IF($B1410="","","l")</f>
        <v/>
      </c>
      <c r="E1410" s="14">
        <f>IF($B1410="","",IF(266&gt;NLoanA,0,SUMIF(CalcDebit,INDEX(PkLoanA,266),CalcAmt)+SUMIF(CalcDebit2,INDEX(PkLoanA,266),CalcAmt2)))</f>
        <v/>
      </c>
      <c r="F1410" s="14">
        <f>IF($B1410="","",IF(266&gt;NLoanA,0,SUMIF(CalcCredit,INDEX(PkLoanA,266),CalcAmt)+SUMIF(CalcCredit2,INDEX(PkLoanA,266),CalcAmt2)))</f>
        <v/>
      </c>
      <c r="G1410" s="15">
        <f>IF($B1410="","",ROUND($E1410-$F1410,0))</f>
        <v/>
      </c>
      <c r="H1410" s="12">
        <f>IF($B1410="","",IF(ROUND($G1410,0)&gt;0,"بدهکار",IF(ROUND($G1410,0)&lt;0,"بستانکار","تسویه")))</f>
        <v/>
      </c>
    </row>
    <row r="1411">
      <c r="A1411" s="16">
        <f>IF($B1411="","",1402)</f>
        <v/>
      </c>
      <c r="B1411" s="17">
        <f>IF(267&gt;NLoanA,"",IFERROR(IF(VLOOKUP(INDEX(PkLoanA,267),AcctTblA,4,0)="","(بدون نام)",VLOOKUP(INDEX(PkLoanA,267),AcctTblA,4,0)),"—"))</f>
        <v/>
      </c>
      <c r="C1411" s="18">
        <f>IF($B1411="","",IF(267&gt;NLoanA,"",INDEX(PkLoanA,267)))</f>
        <v/>
      </c>
      <c r="D1411" s="17">
        <f>IF($B1411="","","l")</f>
        <v/>
      </c>
      <c r="E1411" s="19">
        <f>IF($B1411="","",IF(267&gt;NLoanA,0,SUMIF(CalcDebit,INDEX(PkLoanA,267),CalcAmt)+SUMIF(CalcDebit2,INDEX(PkLoanA,267),CalcAmt2)))</f>
        <v/>
      </c>
      <c r="F1411" s="19">
        <f>IF($B1411="","",IF(267&gt;NLoanA,0,SUMIF(CalcCredit,INDEX(PkLoanA,267),CalcAmt)+SUMIF(CalcCredit2,INDEX(PkLoanA,267),CalcAmt2)))</f>
        <v/>
      </c>
      <c r="G1411" s="20">
        <f>IF($B1411="","",ROUND($E1411-$F1411,0))</f>
        <v/>
      </c>
      <c r="H1411" s="17">
        <f>IF($B1411="","",IF(ROUND($G1411,0)&gt;0,"بدهکار",IF(ROUND($G1411,0)&lt;0,"بستانکار","تسویه")))</f>
        <v/>
      </c>
    </row>
    <row r="1412">
      <c r="A1412" s="11">
        <f>IF($B1412="","",1403)</f>
        <v/>
      </c>
      <c r="B1412" s="12">
        <f>IF(268&gt;NLoanA,"",IFERROR(IF(VLOOKUP(INDEX(PkLoanA,268),AcctTblA,4,0)="","(بدون نام)",VLOOKUP(INDEX(PkLoanA,268),AcctTblA,4,0)),"—"))</f>
        <v/>
      </c>
      <c r="C1412" s="13">
        <f>IF($B1412="","",IF(268&gt;NLoanA,"",INDEX(PkLoanA,268)))</f>
        <v/>
      </c>
      <c r="D1412" s="12">
        <f>IF($B1412="","","l")</f>
        <v/>
      </c>
      <c r="E1412" s="14">
        <f>IF($B1412="","",IF(268&gt;NLoanA,0,SUMIF(CalcDebit,INDEX(PkLoanA,268),CalcAmt)+SUMIF(CalcDebit2,INDEX(PkLoanA,268),CalcAmt2)))</f>
        <v/>
      </c>
      <c r="F1412" s="14">
        <f>IF($B1412="","",IF(268&gt;NLoanA,0,SUMIF(CalcCredit,INDEX(PkLoanA,268),CalcAmt)+SUMIF(CalcCredit2,INDEX(PkLoanA,268),CalcAmt2)))</f>
        <v/>
      </c>
      <c r="G1412" s="15">
        <f>IF($B1412="","",ROUND($E1412-$F1412,0))</f>
        <v/>
      </c>
      <c r="H1412" s="12">
        <f>IF($B1412="","",IF(ROUND($G1412,0)&gt;0,"بدهکار",IF(ROUND($G1412,0)&lt;0,"بستانکار","تسویه")))</f>
        <v/>
      </c>
    </row>
    <row r="1413">
      <c r="A1413" s="16">
        <f>IF($B1413="","",1404)</f>
        <v/>
      </c>
      <c r="B1413" s="17">
        <f>IF(269&gt;NLoanA,"",IFERROR(IF(VLOOKUP(INDEX(PkLoanA,269),AcctTblA,4,0)="","(بدون نام)",VLOOKUP(INDEX(PkLoanA,269),AcctTblA,4,0)),"—"))</f>
        <v/>
      </c>
      <c r="C1413" s="18">
        <f>IF($B1413="","",IF(269&gt;NLoanA,"",INDEX(PkLoanA,269)))</f>
        <v/>
      </c>
      <c r="D1413" s="17">
        <f>IF($B1413="","","l")</f>
        <v/>
      </c>
      <c r="E1413" s="19">
        <f>IF($B1413="","",IF(269&gt;NLoanA,0,SUMIF(CalcDebit,INDEX(PkLoanA,269),CalcAmt)+SUMIF(CalcDebit2,INDEX(PkLoanA,269),CalcAmt2)))</f>
        <v/>
      </c>
      <c r="F1413" s="19">
        <f>IF($B1413="","",IF(269&gt;NLoanA,0,SUMIF(CalcCredit,INDEX(PkLoanA,269),CalcAmt)+SUMIF(CalcCredit2,INDEX(PkLoanA,269),CalcAmt2)))</f>
        <v/>
      </c>
      <c r="G1413" s="20">
        <f>IF($B1413="","",ROUND($E1413-$F1413,0))</f>
        <v/>
      </c>
      <c r="H1413" s="17">
        <f>IF($B1413="","",IF(ROUND($G1413,0)&gt;0,"بدهکار",IF(ROUND($G1413,0)&lt;0,"بستانکار","تسویه")))</f>
        <v/>
      </c>
    </row>
    <row r="1414">
      <c r="A1414" s="11">
        <f>IF($B1414="","",1405)</f>
        <v/>
      </c>
      <c r="B1414" s="12">
        <f>IF(270&gt;NLoanA,"",IFERROR(IF(VLOOKUP(INDEX(PkLoanA,270),AcctTblA,4,0)="","(بدون نام)",VLOOKUP(INDEX(PkLoanA,270),AcctTblA,4,0)),"—"))</f>
        <v/>
      </c>
      <c r="C1414" s="13">
        <f>IF($B1414="","",IF(270&gt;NLoanA,"",INDEX(PkLoanA,270)))</f>
        <v/>
      </c>
      <c r="D1414" s="12">
        <f>IF($B1414="","","l")</f>
        <v/>
      </c>
      <c r="E1414" s="14">
        <f>IF($B1414="","",IF(270&gt;NLoanA,0,SUMIF(CalcDebit,INDEX(PkLoanA,270),CalcAmt)+SUMIF(CalcDebit2,INDEX(PkLoanA,270),CalcAmt2)))</f>
        <v/>
      </c>
      <c r="F1414" s="14">
        <f>IF($B1414="","",IF(270&gt;NLoanA,0,SUMIF(CalcCredit,INDEX(PkLoanA,270),CalcAmt)+SUMIF(CalcCredit2,INDEX(PkLoanA,270),CalcAmt2)))</f>
        <v/>
      </c>
      <c r="G1414" s="15">
        <f>IF($B1414="","",ROUND($E1414-$F1414,0))</f>
        <v/>
      </c>
      <c r="H1414" s="12">
        <f>IF($B1414="","",IF(ROUND($G1414,0)&gt;0,"بدهکار",IF(ROUND($G1414,0)&lt;0,"بستانکار","تسویه")))</f>
        <v/>
      </c>
    </row>
    <row r="1415">
      <c r="A1415" s="16">
        <f>IF($B1415="","",1406)</f>
        <v/>
      </c>
      <c r="B1415" s="17">
        <f>IF(271&gt;NLoanA,"",IFERROR(IF(VLOOKUP(INDEX(PkLoanA,271),AcctTblA,4,0)="","(بدون نام)",VLOOKUP(INDEX(PkLoanA,271),AcctTblA,4,0)),"—"))</f>
        <v/>
      </c>
      <c r="C1415" s="18">
        <f>IF($B1415="","",IF(271&gt;NLoanA,"",INDEX(PkLoanA,271)))</f>
        <v/>
      </c>
      <c r="D1415" s="17">
        <f>IF($B1415="","","l")</f>
        <v/>
      </c>
      <c r="E1415" s="19">
        <f>IF($B1415="","",IF(271&gt;NLoanA,0,SUMIF(CalcDebit,INDEX(PkLoanA,271),CalcAmt)+SUMIF(CalcDebit2,INDEX(PkLoanA,271),CalcAmt2)))</f>
        <v/>
      </c>
      <c r="F1415" s="19">
        <f>IF($B1415="","",IF(271&gt;NLoanA,0,SUMIF(CalcCredit,INDEX(PkLoanA,271),CalcAmt)+SUMIF(CalcCredit2,INDEX(PkLoanA,271),CalcAmt2)))</f>
        <v/>
      </c>
      <c r="G1415" s="20">
        <f>IF($B1415="","",ROUND($E1415-$F1415,0))</f>
        <v/>
      </c>
      <c r="H1415" s="17">
        <f>IF($B1415="","",IF(ROUND($G1415,0)&gt;0,"بدهکار",IF(ROUND($G1415,0)&lt;0,"بستانکار","تسویه")))</f>
        <v/>
      </c>
    </row>
    <row r="1416">
      <c r="A1416" s="11">
        <f>IF($B1416="","",1407)</f>
        <v/>
      </c>
      <c r="B1416" s="12">
        <f>IF(272&gt;NLoanA,"",IFERROR(IF(VLOOKUP(INDEX(PkLoanA,272),AcctTblA,4,0)="","(بدون نام)",VLOOKUP(INDEX(PkLoanA,272),AcctTblA,4,0)),"—"))</f>
        <v/>
      </c>
      <c r="C1416" s="13">
        <f>IF($B1416="","",IF(272&gt;NLoanA,"",INDEX(PkLoanA,272)))</f>
        <v/>
      </c>
      <c r="D1416" s="12">
        <f>IF($B1416="","","l")</f>
        <v/>
      </c>
      <c r="E1416" s="14">
        <f>IF($B1416="","",IF(272&gt;NLoanA,0,SUMIF(CalcDebit,INDEX(PkLoanA,272),CalcAmt)+SUMIF(CalcDebit2,INDEX(PkLoanA,272),CalcAmt2)))</f>
        <v/>
      </c>
      <c r="F1416" s="14">
        <f>IF($B1416="","",IF(272&gt;NLoanA,0,SUMIF(CalcCredit,INDEX(PkLoanA,272),CalcAmt)+SUMIF(CalcCredit2,INDEX(PkLoanA,272),CalcAmt2)))</f>
        <v/>
      </c>
      <c r="G1416" s="15">
        <f>IF($B1416="","",ROUND($E1416-$F1416,0))</f>
        <v/>
      </c>
      <c r="H1416" s="12">
        <f>IF($B1416="","",IF(ROUND($G1416,0)&gt;0,"بدهکار",IF(ROUND($G1416,0)&lt;0,"بستانکار","تسویه")))</f>
        <v/>
      </c>
    </row>
    <row r="1417">
      <c r="A1417" s="16">
        <f>IF($B1417="","",1408)</f>
        <v/>
      </c>
      <c r="B1417" s="17">
        <f>IF(273&gt;NLoanA,"",IFERROR(IF(VLOOKUP(INDEX(PkLoanA,273),AcctTblA,4,0)="","(بدون نام)",VLOOKUP(INDEX(PkLoanA,273),AcctTblA,4,0)),"—"))</f>
        <v/>
      </c>
      <c r="C1417" s="18">
        <f>IF($B1417="","",IF(273&gt;NLoanA,"",INDEX(PkLoanA,273)))</f>
        <v/>
      </c>
      <c r="D1417" s="17">
        <f>IF($B1417="","","l")</f>
        <v/>
      </c>
      <c r="E1417" s="19">
        <f>IF($B1417="","",IF(273&gt;NLoanA,0,SUMIF(CalcDebit,INDEX(PkLoanA,273),CalcAmt)+SUMIF(CalcDebit2,INDEX(PkLoanA,273),CalcAmt2)))</f>
        <v/>
      </c>
      <c r="F1417" s="19">
        <f>IF($B1417="","",IF(273&gt;NLoanA,0,SUMIF(CalcCredit,INDEX(PkLoanA,273),CalcAmt)+SUMIF(CalcCredit2,INDEX(PkLoanA,273),CalcAmt2)))</f>
        <v/>
      </c>
      <c r="G1417" s="20">
        <f>IF($B1417="","",ROUND($E1417-$F1417,0))</f>
        <v/>
      </c>
      <c r="H1417" s="17">
        <f>IF($B1417="","",IF(ROUND($G1417,0)&gt;0,"بدهکار",IF(ROUND($G1417,0)&lt;0,"بستانکار","تسویه")))</f>
        <v/>
      </c>
    </row>
    <row r="1418">
      <c r="A1418" s="11">
        <f>IF($B1418="","",1409)</f>
        <v/>
      </c>
      <c r="B1418" s="12">
        <f>IF(274&gt;NLoanA,"",IFERROR(IF(VLOOKUP(INDEX(PkLoanA,274),AcctTblA,4,0)="","(بدون نام)",VLOOKUP(INDEX(PkLoanA,274),AcctTblA,4,0)),"—"))</f>
        <v/>
      </c>
      <c r="C1418" s="13">
        <f>IF($B1418="","",IF(274&gt;NLoanA,"",INDEX(PkLoanA,274)))</f>
        <v/>
      </c>
      <c r="D1418" s="12">
        <f>IF($B1418="","","l")</f>
        <v/>
      </c>
      <c r="E1418" s="14">
        <f>IF($B1418="","",IF(274&gt;NLoanA,0,SUMIF(CalcDebit,INDEX(PkLoanA,274),CalcAmt)+SUMIF(CalcDebit2,INDEX(PkLoanA,274),CalcAmt2)))</f>
        <v/>
      </c>
      <c r="F1418" s="14">
        <f>IF($B1418="","",IF(274&gt;NLoanA,0,SUMIF(CalcCredit,INDEX(PkLoanA,274),CalcAmt)+SUMIF(CalcCredit2,INDEX(PkLoanA,274),CalcAmt2)))</f>
        <v/>
      </c>
      <c r="G1418" s="15">
        <f>IF($B1418="","",ROUND($E1418-$F1418,0))</f>
        <v/>
      </c>
      <c r="H1418" s="12">
        <f>IF($B1418="","",IF(ROUND($G1418,0)&gt;0,"بدهکار",IF(ROUND($G1418,0)&lt;0,"بستانکار","تسویه")))</f>
        <v/>
      </c>
    </row>
    <row r="1419">
      <c r="A1419" s="16">
        <f>IF($B1419="","",1410)</f>
        <v/>
      </c>
      <c r="B1419" s="17">
        <f>IF(275&gt;NLoanA,"",IFERROR(IF(VLOOKUP(INDEX(PkLoanA,275),AcctTblA,4,0)="","(بدون نام)",VLOOKUP(INDEX(PkLoanA,275),AcctTblA,4,0)),"—"))</f>
        <v/>
      </c>
      <c r="C1419" s="18">
        <f>IF($B1419="","",IF(275&gt;NLoanA,"",INDEX(PkLoanA,275)))</f>
        <v/>
      </c>
      <c r="D1419" s="17">
        <f>IF($B1419="","","l")</f>
        <v/>
      </c>
      <c r="E1419" s="19">
        <f>IF($B1419="","",IF(275&gt;NLoanA,0,SUMIF(CalcDebit,INDEX(PkLoanA,275),CalcAmt)+SUMIF(CalcDebit2,INDEX(PkLoanA,275),CalcAmt2)))</f>
        <v/>
      </c>
      <c r="F1419" s="19">
        <f>IF($B1419="","",IF(275&gt;NLoanA,0,SUMIF(CalcCredit,INDEX(PkLoanA,275),CalcAmt)+SUMIF(CalcCredit2,INDEX(PkLoanA,275),CalcAmt2)))</f>
        <v/>
      </c>
      <c r="G1419" s="20">
        <f>IF($B1419="","",ROUND($E1419-$F1419,0))</f>
        <v/>
      </c>
      <c r="H1419" s="17">
        <f>IF($B1419="","",IF(ROUND($G1419,0)&gt;0,"بدهکار",IF(ROUND($G1419,0)&lt;0,"بستانکار","تسویه")))</f>
        <v/>
      </c>
    </row>
    <row r="1420">
      <c r="A1420" s="11">
        <f>IF($B1420="","",1411)</f>
        <v/>
      </c>
      <c r="B1420" s="12">
        <f>IF(276&gt;NLoanA,"",IFERROR(IF(VLOOKUP(INDEX(PkLoanA,276),AcctTblA,4,0)="","(بدون نام)",VLOOKUP(INDEX(PkLoanA,276),AcctTblA,4,0)),"—"))</f>
        <v/>
      </c>
      <c r="C1420" s="13">
        <f>IF($B1420="","",IF(276&gt;NLoanA,"",INDEX(PkLoanA,276)))</f>
        <v/>
      </c>
      <c r="D1420" s="12">
        <f>IF($B1420="","","l")</f>
        <v/>
      </c>
      <c r="E1420" s="14">
        <f>IF($B1420="","",IF(276&gt;NLoanA,0,SUMIF(CalcDebit,INDEX(PkLoanA,276),CalcAmt)+SUMIF(CalcDebit2,INDEX(PkLoanA,276),CalcAmt2)))</f>
        <v/>
      </c>
      <c r="F1420" s="14">
        <f>IF($B1420="","",IF(276&gt;NLoanA,0,SUMIF(CalcCredit,INDEX(PkLoanA,276),CalcAmt)+SUMIF(CalcCredit2,INDEX(PkLoanA,276),CalcAmt2)))</f>
        <v/>
      </c>
      <c r="G1420" s="15">
        <f>IF($B1420="","",ROUND($E1420-$F1420,0))</f>
        <v/>
      </c>
      <c r="H1420" s="12">
        <f>IF($B1420="","",IF(ROUND($G1420,0)&gt;0,"بدهکار",IF(ROUND($G1420,0)&lt;0,"بستانکار","تسویه")))</f>
        <v/>
      </c>
    </row>
    <row r="1421">
      <c r="A1421" s="16">
        <f>IF($B1421="","",1412)</f>
        <v/>
      </c>
      <c r="B1421" s="17">
        <f>IF(277&gt;NLoanA,"",IFERROR(IF(VLOOKUP(INDEX(PkLoanA,277),AcctTblA,4,0)="","(بدون نام)",VLOOKUP(INDEX(PkLoanA,277),AcctTblA,4,0)),"—"))</f>
        <v/>
      </c>
      <c r="C1421" s="18">
        <f>IF($B1421="","",IF(277&gt;NLoanA,"",INDEX(PkLoanA,277)))</f>
        <v/>
      </c>
      <c r="D1421" s="17">
        <f>IF($B1421="","","l")</f>
        <v/>
      </c>
      <c r="E1421" s="19">
        <f>IF($B1421="","",IF(277&gt;NLoanA,0,SUMIF(CalcDebit,INDEX(PkLoanA,277),CalcAmt)+SUMIF(CalcDebit2,INDEX(PkLoanA,277),CalcAmt2)))</f>
        <v/>
      </c>
      <c r="F1421" s="19">
        <f>IF($B1421="","",IF(277&gt;NLoanA,0,SUMIF(CalcCredit,INDEX(PkLoanA,277),CalcAmt)+SUMIF(CalcCredit2,INDEX(PkLoanA,277),CalcAmt2)))</f>
        <v/>
      </c>
      <c r="G1421" s="20">
        <f>IF($B1421="","",ROUND($E1421-$F1421,0))</f>
        <v/>
      </c>
      <c r="H1421" s="17">
        <f>IF($B1421="","",IF(ROUND($G1421,0)&gt;0,"بدهکار",IF(ROUND($G1421,0)&lt;0,"بستانکار","تسویه")))</f>
        <v/>
      </c>
    </row>
    <row r="1422">
      <c r="A1422" s="11">
        <f>IF($B1422="","",1413)</f>
        <v/>
      </c>
      <c r="B1422" s="12">
        <f>IF(278&gt;NLoanA,"",IFERROR(IF(VLOOKUP(INDEX(PkLoanA,278),AcctTblA,4,0)="","(بدون نام)",VLOOKUP(INDEX(PkLoanA,278),AcctTblA,4,0)),"—"))</f>
        <v/>
      </c>
      <c r="C1422" s="13">
        <f>IF($B1422="","",IF(278&gt;NLoanA,"",INDEX(PkLoanA,278)))</f>
        <v/>
      </c>
      <c r="D1422" s="12">
        <f>IF($B1422="","","l")</f>
        <v/>
      </c>
      <c r="E1422" s="14">
        <f>IF($B1422="","",IF(278&gt;NLoanA,0,SUMIF(CalcDebit,INDEX(PkLoanA,278),CalcAmt)+SUMIF(CalcDebit2,INDEX(PkLoanA,278),CalcAmt2)))</f>
        <v/>
      </c>
      <c r="F1422" s="14">
        <f>IF($B1422="","",IF(278&gt;NLoanA,0,SUMIF(CalcCredit,INDEX(PkLoanA,278),CalcAmt)+SUMIF(CalcCredit2,INDEX(PkLoanA,278),CalcAmt2)))</f>
        <v/>
      </c>
      <c r="G1422" s="15">
        <f>IF($B1422="","",ROUND($E1422-$F1422,0))</f>
        <v/>
      </c>
      <c r="H1422" s="12">
        <f>IF($B1422="","",IF(ROUND($G1422,0)&gt;0,"بدهکار",IF(ROUND($G1422,0)&lt;0,"بستانکار","تسویه")))</f>
        <v/>
      </c>
    </row>
    <row r="1423">
      <c r="A1423" s="16">
        <f>IF($B1423="","",1414)</f>
        <v/>
      </c>
      <c r="B1423" s="17">
        <f>IF(279&gt;NLoanA,"",IFERROR(IF(VLOOKUP(INDEX(PkLoanA,279),AcctTblA,4,0)="","(بدون نام)",VLOOKUP(INDEX(PkLoanA,279),AcctTblA,4,0)),"—"))</f>
        <v/>
      </c>
      <c r="C1423" s="18">
        <f>IF($B1423="","",IF(279&gt;NLoanA,"",INDEX(PkLoanA,279)))</f>
        <v/>
      </c>
      <c r="D1423" s="17">
        <f>IF($B1423="","","l")</f>
        <v/>
      </c>
      <c r="E1423" s="19">
        <f>IF($B1423="","",IF(279&gt;NLoanA,0,SUMIF(CalcDebit,INDEX(PkLoanA,279),CalcAmt)+SUMIF(CalcDebit2,INDEX(PkLoanA,279),CalcAmt2)))</f>
        <v/>
      </c>
      <c r="F1423" s="19">
        <f>IF($B1423="","",IF(279&gt;NLoanA,0,SUMIF(CalcCredit,INDEX(PkLoanA,279),CalcAmt)+SUMIF(CalcCredit2,INDEX(PkLoanA,279),CalcAmt2)))</f>
        <v/>
      </c>
      <c r="G1423" s="20">
        <f>IF($B1423="","",ROUND($E1423-$F1423,0))</f>
        <v/>
      </c>
      <c r="H1423" s="17">
        <f>IF($B1423="","",IF(ROUND($G1423,0)&gt;0,"بدهکار",IF(ROUND($G1423,0)&lt;0,"بستانکار","تسویه")))</f>
        <v/>
      </c>
    </row>
    <row r="1424">
      <c r="A1424" s="11">
        <f>IF($B1424="","",1415)</f>
        <v/>
      </c>
      <c r="B1424" s="12">
        <f>IF(280&gt;NLoanA,"",IFERROR(IF(VLOOKUP(INDEX(PkLoanA,280),AcctTblA,4,0)="","(بدون نام)",VLOOKUP(INDEX(PkLoanA,280),AcctTblA,4,0)),"—"))</f>
        <v/>
      </c>
      <c r="C1424" s="13">
        <f>IF($B1424="","",IF(280&gt;NLoanA,"",INDEX(PkLoanA,280)))</f>
        <v/>
      </c>
      <c r="D1424" s="12">
        <f>IF($B1424="","","l")</f>
        <v/>
      </c>
      <c r="E1424" s="14">
        <f>IF($B1424="","",IF(280&gt;NLoanA,0,SUMIF(CalcDebit,INDEX(PkLoanA,280),CalcAmt)+SUMIF(CalcDebit2,INDEX(PkLoanA,280),CalcAmt2)))</f>
        <v/>
      </c>
      <c r="F1424" s="14">
        <f>IF($B1424="","",IF(280&gt;NLoanA,0,SUMIF(CalcCredit,INDEX(PkLoanA,280),CalcAmt)+SUMIF(CalcCredit2,INDEX(PkLoanA,280),CalcAmt2)))</f>
        <v/>
      </c>
      <c r="G1424" s="15">
        <f>IF($B1424="","",ROUND($E1424-$F1424,0))</f>
        <v/>
      </c>
      <c r="H1424" s="12">
        <f>IF($B1424="","",IF(ROUND($G1424,0)&gt;0,"بدهکار",IF(ROUND($G1424,0)&lt;0,"بستانکار","تسویه")))</f>
        <v/>
      </c>
    </row>
    <row r="1425">
      <c r="A1425" s="16">
        <f>IF($B1425="","",1416)</f>
        <v/>
      </c>
      <c r="B1425" s="17">
        <f>IF(281&gt;NLoanA,"",IFERROR(IF(VLOOKUP(INDEX(PkLoanA,281),AcctTblA,4,0)="","(بدون نام)",VLOOKUP(INDEX(PkLoanA,281),AcctTblA,4,0)),"—"))</f>
        <v/>
      </c>
      <c r="C1425" s="18">
        <f>IF($B1425="","",IF(281&gt;NLoanA,"",INDEX(PkLoanA,281)))</f>
        <v/>
      </c>
      <c r="D1425" s="17">
        <f>IF($B1425="","","l")</f>
        <v/>
      </c>
      <c r="E1425" s="19">
        <f>IF($B1425="","",IF(281&gt;NLoanA,0,SUMIF(CalcDebit,INDEX(PkLoanA,281),CalcAmt)+SUMIF(CalcDebit2,INDEX(PkLoanA,281),CalcAmt2)))</f>
        <v/>
      </c>
      <c r="F1425" s="19">
        <f>IF($B1425="","",IF(281&gt;NLoanA,0,SUMIF(CalcCredit,INDEX(PkLoanA,281),CalcAmt)+SUMIF(CalcCredit2,INDEX(PkLoanA,281),CalcAmt2)))</f>
        <v/>
      </c>
      <c r="G1425" s="20">
        <f>IF($B1425="","",ROUND($E1425-$F1425,0))</f>
        <v/>
      </c>
      <c r="H1425" s="17">
        <f>IF($B1425="","",IF(ROUND($G1425,0)&gt;0,"بدهکار",IF(ROUND($G1425,0)&lt;0,"بستانکار","تسویه")))</f>
        <v/>
      </c>
    </row>
    <row r="1426">
      <c r="A1426" s="11">
        <f>IF($B1426="","",1417)</f>
        <v/>
      </c>
      <c r="B1426" s="12">
        <f>IF(282&gt;NLoanA,"",IFERROR(IF(VLOOKUP(INDEX(PkLoanA,282),AcctTblA,4,0)="","(بدون نام)",VLOOKUP(INDEX(PkLoanA,282),AcctTblA,4,0)),"—"))</f>
        <v/>
      </c>
      <c r="C1426" s="13">
        <f>IF($B1426="","",IF(282&gt;NLoanA,"",INDEX(PkLoanA,282)))</f>
        <v/>
      </c>
      <c r="D1426" s="12">
        <f>IF($B1426="","","l")</f>
        <v/>
      </c>
      <c r="E1426" s="14">
        <f>IF($B1426="","",IF(282&gt;NLoanA,0,SUMIF(CalcDebit,INDEX(PkLoanA,282),CalcAmt)+SUMIF(CalcDebit2,INDEX(PkLoanA,282),CalcAmt2)))</f>
        <v/>
      </c>
      <c r="F1426" s="14">
        <f>IF($B1426="","",IF(282&gt;NLoanA,0,SUMIF(CalcCredit,INDEX(PkLoanA,282),CalcAmt)+SUMIF(CalcCredit2,INDEX(PkLoanA,282),CalcAmt2)))</f>
        <v/>
      </c>
      <c r="G1426" s="15">
        <f>IF($B1426="","",ROUND($E1426-$F1426,0))</f>
        <v/>
      </c>
      <c r="H1426" s="12">
        <f>IF($B1426="","",IF(ROUND($G1426,0)&gt;0,"بدهکار",IF(ROUND($G1426,0)&lt;0,"بستانکار","تسویه")))</f>
        <v/>
      </c>
    </row>
    <row r="1427">
      <c r="A1427" s="16">
        <f>IF($B1427="","",1418)</f>
        <v/>
      </c>
      <c r="B1427" s="17">
        <f>IF(283&gt;NLoanA,"",IFERROR(IF(VLOOKUP(INDEX(PkLoanA,283),AcctTblA,4,0)="","(بدون نام)",VLOOKUP(INDEX(PkLoanA,283),AcctTblA,4,0)),"—"))</f>
        <v/>
      </c>
      <c r="C1427" s="18">
        <f>IF($B1427="","",IF(283&gt;NLoanA,"",INDEX(PkLoanA,283)))</f>
        <v/>
      </c>
      <c r="D1427" s="17">
        <f>IF($B1427="","","l")</f>
        <v/>
      </c>
      <c r="E1427" s="19">
        <f>IF($B1427="","",IF(283&gt;NLoanA,0,SUMIF(CalcDebit,INDEX(PkLoanA,283),CalcAmt)+SUMIF(CalcDebit2,INDEX(PkLoanA,283),CalcAmt2)))</f>
        <v/>
      </c>
      <c r="F1427" s="19">
        <f>IF($B1427="","",IF(283&gt;NLoanA,0,SUMIF(CalcCredit,INDEX(PkLoanA,283),CalcAmt)+SUMIF(CalcCredit2,INDEX(PkLoanA,283),CalcAmt2)))</f>
        <v/>
      </c>
      <c r="G1427" s="20">
        <f>IF($B1427="","",ROUND($E1427-$F1427,0))</f>
        <v/>
      </c>
      <c r="H1427" s="17">
        <f>IF($B1427="","",IF(ROUND($G1427,0)&gt;0,"بدهکار",IF(ROUND($G1427,0)&lt;0,"بستانکار","تسویه")))</f>
        <v/>
      </c>
    </row>
    <row r="1428">
      <c r="A1428" s="11">
        <f>IF($B1428="","",1419)</f>
        <v/>
      </c>
      <c r="B1428" s="12">
        <f>IF(284&gt;NLoanA,"",IFERROR(IF(VLOOKUP(INDEX(PkLoanA,284),AcctTblA,4,0)="","(بدون نام)",VLOOKUP(INDEX(PkLoanA,284),AcctTblA,4,0)),"—"))</f>
        <v/>
      </c>
      <c r="C1428" s="13">
        <f>IF($B1428="","",IF(284&gt;NLoanA,"",INDEX(PkLoanA,284)))</f>
        <v/>
      </c>
      <c r="D1428" s="12">
        <f>IF($B1428="","","l")</f>
        <v/>
      </c>
      <c r="E1428" s="14">
        <f>IF($B1428="","",IF(284&gt;NLoanA,0,SUMIF(CalcDebit,INDEX(PkLoanA,284),CalcAmt)+SUMIF(CalcDebit2,INDEX(PkLoanA,284),CalcAmt2)))</f>
        <v/>
      </c>
      <c r="F1428" s="14">
        <f>IF($B1428="","",IF(284&gt;NLoanA,0,SUMIF(CalcCredit,INDEX(PkLoanA,284),CalcAmt)+SUMIF(CalcCredit2,INDEX(PkLoanA,284),CalcAmt2)))</f>
        <v/>
      </c>
      <c r="G1428" s="15">
        <f>IF($B1428="","",ROUND($E1428-$F1428,0))</f>
        <v/>
      </c>
      <c r="H1428" s="12">
        <f>IF($B1428="","",IF(ROUND($G1428,0)&gt;0,"بدهکار",IF(ROUND($G1428,0)&lt;0,"بستانکار","تسویه")))</f>
        <v/>
      </c>
    </row>
    <row r="1429">
      <c r="A1429" s="16">
        <f>IF($B1429="","",1420)</f>
        <v/>
      </c>
      <c r="B1429" s="17">
        <f>IF(285&gt;NLoanA,"",IFERROR(IF(VLOOKUP(INDEX(PkLoanA,285),AcctTblA,4,0)="","(بدون نام)",VLOOKUP(INDEX(PkLoanA,285),AcctTblA,4,0)),"—"))</f>
        <v/>
      </c>
      <c r="C1429" s="18">
        <f>IF($B1429="","",IF(285&gt;NLoanA,"",INDEX(PkLoanA,285)))</f>
        <v/>
      </c>
      <c r="D1429" s="17">
        <f>IF($B1429="","","l")</f>
        <v/>
      </c>
      <c r="E1429" s="19">
        <f>IF($B1429="","",IF(285&gt;NLoanA,0,SUMIF(CalcDebit,INDEX(PkLoanA,285),CalcAmt)+SUMIF(CalcDebit2,INDEX(PkLoanA,285),CalcAmt2)))</f>
        <v/>
      </c>
      <c r="F1429" s="19">
        <f>IF($B1429="","",IF(285&gt;NLoanA,0,SUMIF(CalcCredit,INDEX(PkLoanA,285),CalcAmt)+SUMIF(CalcCredit2,INDEX(PkLoanA,285),CalcAmt2)))</f>
        <v/>
      </c>
      <c r="G1429" s="20">
        <f>IF($B1429="","",ROUND($E1429-$F1429,0))</f>
        <v/>
      </c>
      <c r="H1429" s="17">
        <f>IF($B1429="","",IF(ROUND($G1429,0)&gt;0,"بدهکار",IF(ROUND($G1429,0)&lt;0,"بستانکار","تسویه")))</f>
        <v/>
      </c>
    </row>
    <row r="1430">
      <c r="A1430" s="11">
        <f>IF($B1430="","",1421)</f>
        <v/>
      </c>
      <c r="B1430" s="12">
        <f>IF(286&gt;NLoanA,"",IFERROR(IF(VLOOKUP(INDEX(PkLoanA,286),AcctTblA,4,0)="","(بدون نام)",VLOOKUP(INDEX(PkLoanA,286),AcctTblA,4,0)),"—"))</f>
        <v/>
      </c>
      <c r="C1430" s="13">
        <f>IF($B1430="","",IF(286&gt;NLoanA,"",INDEX(PkLoanA,286)))</f>
        <v/>
      </c>
      <c r="D1430" s="12">
        <f>IF($B1430="","","l")</f>
        <v/>
      </c>
      <c r="E1430" s="14">
        <f>IF($B1430="","",IF(286&gt;NLoanA,0,SUMIF(CalcDebit,INDEX(PkLoanA,286),CalcAmt)+SUMIF(CalcDebit2,INDEX(PkLoanA,286),CalcAmt2)))</f>
        <v/>
      </c>
      <c r="F1430" s="14">
        <f>IF($B1430="","",IF(286&gt;NLoanA,0,SUMIF(CalcCredit,INDEX(PkLoanA,286),CalcAmt)+SUMIF(CalcCredit2,INDEX(PkLoanA,286),CalcAmt2)))</f>
        <v/>
      </c>
      <c r="G1430" s="15">
        <f>IF($B1430="","",ROUND($E1430-$F1430,0))</f>
        <v/>
      </c>
      <c r="H1430" s="12">
        <f>IF($B1430="","",IF(ROUND($G1430,0)&gt;0,"بدهکار",IF(ROUND($G1430,0)&lt;0,"بستانکار","تسویه")))</f>
        <v/>
      </c>
    </row>
    <row r="1431">
      <c r="A1431" s="16">
        <f>IF($B1431="","",1422)</f>
        <v/>
      </c>
      <c r="B1431" s="17">
        <f>IF(287&gt;NLoanA,"",IFERROR(IF(VLOOKUP(INDEX(PkLoanA,287),AcctTblA,4,0)="","(بدون نام)",VLOOKUP(INDEX(PkLoanA,287),AcctTblA,4,0)),"—"))</f>
        <v/>
      </c>
      <c r="C1431" s="18">
        <f>IF($B1431="","",IF(287&gt;NLoanA,"",INDEX(PkLoanA,287)))</f>
        <v/>
      </c>
      <c r="D1431" s="17">
        <f>IF($B1431="","","l")</f>
        <v/>
      </c>
      <c r="E1431" s="19">
        <f>IF($B1431="","",IF(287&gt;NLoanA,0,SUMIF(CalcDebit,INDEX(PkLoanA,287),CalcAmt)+SUMIF(CalcDebit2,INDEX(PkLoanA,287),CalcAmt2)))</f>
        <v/>
      </c>
      <c r="F1431" s="19">
        <f>IF($B1431="","",IF(287&gt;NLoanA,0,SUMIF(CalcCredit,INDEX(PkLoanA,287),CalcAmt)+SUMIF(CalcCredit2,INDEX(PkLoanA,287),CalcAmt2)))</f>
        <v/>
      </c>
      <c r="G1431" s="20">
        <f>IF($B1431="","",ROUND($E1431-$F1431,0))</f>
        <v/>
      </c>
      <c r="H1431" s="17">
        <f>IF($B1431="","",IF(ROUND($G1431,0)&gt;0,"بدهکار",IF(ROUND($G1431,0)&lt;0,"بستانکار","تسویه")))</f>
        <v/>
      </c>
    </row>
    <row r="1432">
      <c r="A1432" s="11">
        <f>IF($B1432="","",1423)</f>
        <v/>
      </c>
      <c r="B1432" s="12">
        <f>IF(288&gt;NLoanA,"",IFERROR(IF(VLOOKUP(INDEX(PkLoanA,288),AcctTblA,4,0)="","(بدون نام)",VLOOKUP(INDEX(PkLoanA,288),AcctTblA,4,0)),"—"))</f>
        <v/>
      </c>
      <c r="C1432" s="13">
        <f>IF($B1432="","",IF(288&gt;NLoanA,"",INDEX(PkLoanA,288)))</f>
        <v/>
      </c>
      <c r="D1432" s="12">
        <f>IF($B1432="","","l")</f>
        <v/>
      </c>
      <c r="E1432" s="14">
        <f>IF($B1432="","",IF(288&gt;NLoanA,0,SUMIF(CalcDebit,INDEX(PkLoanA,288),CalcAmt)+SUMIF(CalcDebit2,INDEX(PkLoanA,288),CalcAmt2)))</f>
        <v/>
      </c>
      <c r="F1432" s="14">
        <f>IF($B1432="","",IF(288&gt;NLoanA,0,SUMIF(CalcCredit,INDEX(PkLoanA,288),CalcAmt)+SUMIF(CalcCredit2,INDEX(PkLoanA,288),CalcAmt2)))</f>
        <v/>
      </c>
      <c r="G1432" s="15">
        <f>IF($B1432="","",ROUND($E1432-$F1432,0))</f>
        <v/>
      </c>
      <c r="H1432" s="12">
        <f>IF($B1432="","",IF(ROUND($G1432,0)&gt;0,"بدهکار",IF(ROUND($G1432,0)&lt;0,"بستانکار","تسویه")))</f>
        <v/>
      </c>
    </row>
    <row r="1433">
      <c r="A1433" s="16">
        <f>IF($B1433="","",1424)</f>
        <v/>
      </c>
      <c r="B1433" s="17">
        <f>IF(289&gt;NLoanA,"",IFERROR(IF(VLOOKUP(INDEX(PkLoanA,289),AcctTblA,4,0)="","(بدون نام)",VLOOKUP(INDEX(PkLoanA,289),AcctTblA,4,0)),"—"))</f>
        <v/>
      </c>
      <c r="C1433" s="18">
        <f>IF($B1433="","",IF(289&gt;NLoanA,"",INDEX(PkLoanA,289)))</f>
        <v/>
      </c>
      <c r="D1433" s="17">
        <f>IF($B1433="","","l")</f>
        <v/>
      </c>
      <c r="E1433" s="19">
        <f>IF($B1433="","",IF(289&gt;NLoanA,0,SUMIF(CalcDebit,INDEX(PkLoanA,289),CalcAmt)+SUMIF(CalcDebit2,INDEX(PkLoanA,289),CalcAmt2)))</f>
        <v/>
      </c>
      <c r="F1433" s="19">
        <f>IF($B1433="","",IF(289&gt;NLoanA,0,SUMIF(CalcCredit,INDEX(PkLoanA,289),CalcAmt)+SUMIF(CalcCredit2,INDEX(PkLoanA,289),CalcAmt2)))</f>
        <v/>
      </c>
      <c r="G1433" s="20">
        <f>IF($B1433="","",ROUND($E1433-$F1433,0))</f>
        <v/>
      </c>
      <c r="H1433" s="17">
        <f>IF($B1433="","",IF(ROUND($G1433,0)&gt;0,"بدهکار",IF(ROUND($G1433,0)&lt;0,"بستانکار","تسویه")))</f>
        <v/>
      </c>
    </row>
    <row r="1434">
      <c r="A1434" s="11">
        <f>IF($B1434="","",1425)</f>
        <v/>
      </c>
      <c r="B1434" s="12">
        <f>IF(290&gt;NLoanA,"",IFERROR(IF(VLOOKUP(INDEX(PkLoanA,290),AcctTblA,4,0)="","(بدون نام)",VLOOKUP(INDEX(PkLoanA,290),AcctTblA,4,0)),"—"))</f>
        <v/>
      </c>
      <c r="C1434" s="13">
        <f>IF($B1434="","",IF(290&gt;NLoanA,"",INDEX(PkLoanA,290)))</f>
        <v/>
      </c>
      <c r="D1434" s="12">
        <f>IF($B1434="","","l")</f>
        <v/>
      </c>
      <c r="E1434" s="14">
        <f>IF($B1434="","",IF(290&gt;NLoanA,0,SUMIF(CalcDebit,INDEX(PkLoanA,290),CalcAmt)+SUMIF(CalcDebit2,INDEX(PkLoanA,290),CalcAmt2)))</f>
        <v/>
      </c>
      <c r="F1434" s="14">
        <f>IF($B1434="","",IF(290&gt;NLoanA,0,SUMIF(CalcCredit,INDEX(PkLoanA,290),CalcAmt)+SUMIF(CalcCredit2,INDEX(PkLoanA,290),CalcAmt2)))</f>
        <v/>
      </c>
      <c r="G1434" s="15">
        <f>IF($B1434="","",ROUND($E1434-$F1434,0))</f>
        <v/>
      </c>
      <c r="H1434" s="12">
        <f>IF($B1434="","",IF(ROUND($G1434,0)&gt;0,"بدهکار",IF(ROUND($G1434,0)&lt;0,"بستانکار","تسویه")))</f>
        <v/>
      </c>
    </row>
    <row r="1435">
      <c r="A1435" s="16">
        <f>IF($B1435="","",1426)</f>
        <v/>
      </c>
      <c r="B1435" s="17">
        <f>IF(291&gt;NLoanA,"",IFERROR(IF(VLOOKUP(INDEX(PkLoanA,291),AcctTblA,4,0)="","(بدون نام)",VLOOKUP(INDEX(PkLoanA,291),AcctTblA,4,0)),"—"))</f>
        <v/>
      </c>
      <c r="C1435" s="18">
        <f>IF($B1435="","",IF(291&gt;NLoanA,"",INDEX(PkLoanA,291)))</f>
        <v/>
      </c>
      <c r="D1435" s="17">
        <f>IF($B1435="","","l")</f>
        <v/>
      </c>
      <c r="E1435" s="19">
        <f>IF($B1435="","",IF(291&gt;NLoanA,0,SUMIF(CalcDebit,INDEX(PkLoanA,291),CalcAmt)+SUMIF(CalcDebit2,INDEX(PkLoanA,291),CalcAmt2)))</f>
        <v/>
      </c>
      <c r="F1435" s="19">
        <f>IF($B1435="","",IF(291&gt;NLoanA,0,SUMIF(CalcCredit,INDEX(PkLoanA,291),CalcAmt)+SUMIF(CalcCredit2,INDEX(PkLoanA,291),CalcAmt2)))</f>
        <v/>
      </c>
      <c r="G1435" s="20">
        <f>IF($B1435="","",ROUND($E1435-$F1435,0))</f>
        <v/>
      </c>
      <c r="H1435" s="17">
        <f>IF($B1435="","",IF(ROUND($G1435,0)&gt;0,"بدهکار",IF(ROUND($G1435,0)&lt;0,"بستانکار","تسویه")))</f>
        <v/>
      </c>
    </row>
    <row r="1436">
      <c r="A1436" s="11">
        <f>IF($B1436="","",1427)</f>
        <v/>
      </c>
      <c r="B1436" s="12">
        <f>IF(292&gt;NLoanA,"",IFERROR(IF(VLOOKUP(INDEX(PkLoanA,292),AcctTblA,4,0)="","(بدون نام)",VLOOKUP(INDEX(PkLoanA,292),AcctTblA,4,0)),"—"))</f>
        <v/>
      </c>
      <c r="C1436" s="13">
        <f>IF($B1436="","",IF(292&gt;NLoanA,"",INDEX(PkLoanA,292)))</f>
        <v/>
      </c>
      <c r="D1436" s="12">
        <f>IF($B1436="","","l")</f>
        <v/>
      </c>
      <c r="E1436" s="14">
        <f>IF($B1436="","",IF(292&gt;NLoanA,0,SUMIF(CalcDebit,INDEX(PkLoanA,292),CalcAmt)+SUMIF(CalcDebit2,INDEX(PkLoanA,292),CalcAmt2)))</f>
        <v/>
      </c>
      <c r="F1436" s="14">
        <f>IF($B1436="","",IF(292&gt;NLoanA,0,SUMIF(CalcCredit,INDEX(PkLoanA,292),CalcAmt)+SUMIF(CalcCredit2,INDEX(PkLoanA,292),CalcAmt2)))</f>
        <v/>
      </c>
      <c r="G1436" s="15">
        <f>IF($B1436="","",ROUND($E1436-$F1436,0))</f>
        <v/>
      </c>
      <c r="H1436" s="12">
        <f>IF($B1436="","",IF(ROUND($G1436,0)&gt;0,"بدهکار",IF(ROUND($G1436,0)&lt;0,"بستانکار","تسویه")))</f>
        <v/>
      </c>
    </row>
    <row r="1437">
      <c r="A1437" s="16">
        <f>IF($B1437="","",1428)</f>
        <v/>
      </c>
      <c r="B1437" s="17">
        <f>IF(293&gt;NLoanA,"",IFERROR(IF(VLOOKUP(INDEX(PkLoanA,293),AcctTblA,4,0)="","(بدون نام)",VLOOKUP(INDEX(PkLoanA,293),AcctTblA,4,0)),"—"))</f>
        <v/>
      </c>
      <c r="C1437" s="18">
        <f>IF($B1437="","",IF(293&gt;NLoanA,"",INDEX(PkLoanA,293)))</f>
        <v/>
      </c>
      <c r="D1437" s="17">
        <f>IF($B1437="","","l")</f>
        <v/>
      </c>
      <c r="E1437" s="19">
        <f>IF($B1437="","",IF(293&gt;NLoanA,0,SUMIF(CalcDebit,INDEX(PkLoanA,293),CalcAmt)+SUMIF(CalcDebit2,INDEX(PkLoanA,293),CalcAmt2)))</f>
        <v/>
      </c>
      <c r="F1437" s="19">
        <f>IF($B1437="","",IF(293&gt;NLoanA,0,SUMIF(CalcCredit,INDEX(PkLoanA,293),CalcAmt)+SUMIF(CalcCredit2,INDEX(PkLoanA,293),CalcAmt2)))</f>
        <v/>
      </c>
      <c r="G1437" s="20">
        <f>IF($B1437="","",ROUND($E1437-$F1437,0))</f>
        <v/>
      </c>
      <c r="H1437" s="17">
        <f>IF($B1437="","",IF(ROUND($G1437,0)&gt;0,"بدهکار",IF(ROUND($G1437,0)&lt;0,"بستانکار","تسویه")))</f>
        <v/>
      </c>
    </row>
    <row r="1438">
      <c r="A1438" s="11">
        <f>IF($B1438="","",1429)</f>
        <v/>
      </c>
      <c r="B1438" s="12">
        <f>IF(294&gt;NLoanA,"",IFERROR(IF(VLOOKUP(INDEX(PkLoanA,294),AcctTblA,4,0)="","(بدون نام)",VLOOKUP(INDEX(PkLoanA,294),AcctTblA,4,0)),"—"))</f>
        <v/>
      </c>
      <c r="C1438" s="13">
        <f>IF($B1438="","",IF(294&gt;NLoanA,"",INDEX(PkLoanA,294)))</f>
        <v/>
      </c>
      <c r="D1438" s="12">
        <f>IF($B1438="","","l")</f>
        <v/>
      </c>
      <c r="E1438" s="14">
        <f>IF($B1438="","",IF(294&gt;NLoanA,0,SUMIF(CalcDebit,INDEX(PkLoanA,294),CalcAmt)+SUMIF(CalcDebit2,INDEX(PkLoanA,294),CalcAmt2)))</f>
        <v/>
      </c>
      <c r="F1438" s="14">
        <f>IF($B1438="","",IF(294&gt;NLoanA,0,SUMIF(CalcCredit,INDEX(PkLoanA,294),CalcAmt)+SUMIF(CalcCredit2,INDEX(PkLoanA,294),CalcAmt2)))</f>
        <v/>
      </c>
      <c r="G1438" s="15">
        <f>IF($B1438="","",ROUND($E1438-$F1438,0))</f>
        <v/>
      </c>
      <c r="H1438" s="12">
        <f>IF($B1438="","",IF(ROUND($G1438,0)&gt;0,"بدهکار",IF(ROUND($G1438,0)&lt;0,"بستانکار","تسویه")))</f>
        <v/>
      </c>
    </row>
    <row r="1439">
      <c r="A1439" s="16">
        <f>IF($B1439="","",1430)</f>
        <v/>
      </c>
      <c r="B1439" s="17">
        <f>IF(295&gt;NLoanA,"",IFERROR(IF(VLOOKUP(INDEX(PkLoanA,295),AcctTblA,4,0)="","(بدون نام)",VLOOKUP(INDEX(PkLoanA,295),AcctTblA,4,0)),"—"))</f>
        <v/>
      </c>
      <c r="C1439" s="18">
        <f>IF($B1439="","",IF(295&gt;NLoanA,"",INDEX(PkLoanA,295)))</f>
        <v/>
      </c>
      <c r="D1439" s="17">
        <f>IF($B1439="","","l")</f>
        <v/>
      </c>
      <c r="E1439" s="19">
        <f>IF($B1439="","",IF(295&gt;NLoanA,0,SUMIF(CalcDebit,INDEX(PkLoanA,295),CalcAmt)+SUMIF(CalcDebit2,INDEX(PkLoanA,295),CalcAmt2)))</f>
        <v/>
      </c>
      <c r="F1439" s="19">
        <f>IF($B1439="","",IF(295&gt;NLoanA,0,SUMIF(CalcCredit,INDEX(PkLoanA,295),CalcAmt)+SUMIF(CalcCredit2,INDEX(PkLoanA,295),CalcAmt2)))</f>
        <v/>
      </c>
      <c r="G1439" s="20">
        <f>IF($B1439="","",ROUND($E1439-$F1439,0))</f>
        <v/>
      </c>
      <c r="H1439" s="17">
        <f>IF($B1439="","",IF(ROUND($G1439,0)&gt;0,"بدهکار",IF(ROUND($G1439,0)&lt;0,"بستانکار","تسویه")))</f>
        <v/>
      </c>
    </row>
    <row r="1440">
      <c r="A1440" s="11">
        <f>IF($B1440="","",1431)</f>
        <v/>
      </c>
      <c r="B1440" s="12">
        <f>IF(296&gt;NLoanA,"",IFERROR(IF(VLOOKUP(INDEX(PkLoanA,296),AcctTblA,4,0)="","(بدون نام)",VLOOKUP(INDEX(PkLoanA,296),AcctTblA,4,0)),"—"))</f>
        <v/>
      </c>
      <c r="C1440" s="13">
        <f>IF($B1440="","",IF(296&gt;NLoanA,"",INDEX(PkLoanA,296)))</f>
        <v/>
      </c>
      <c r="D1440" s="12">
        <f>IF($B1440="","","l")</f>
        <v/>
      </c>
      <c r="E1440" s="14">
        <f>IF($B1440="","",IF(296&gt;NLoanA,0,SUMIF(CalcDebit,INDEX(PkLoanA,296),CalcAmt)+SUMIF(CalcDebit2,INDEX(PkLoanA,296),CalcAmt2)))</f>
        <v/>
      </c>
      <c r="F1440" s="14">
        <f>IF($B1440="","",IF(296&gt;NLoanA,0,SUMIF(CalcCredit,INDEX(PkLoanA,296),CalcAmt)+SUMIF(CalcCredit2,INDEX(PkLoanA,296),CalcAmt2)))</f>
        <v/>
      </c>
      <c r="G1440" s="15">
        <f>IF($B1440="","",ROUND($E1440-$F1440,0))</f>
        <v/>
      </c>
      <c r="H1440" s="12">
        <f>IF($B1440="","",IF(ROUND($G1440,0)&gt;0,"بدهکار",IF(ROUND($G1440,0)&lt;0,"بستانکار","تسویه")))</f>
        <v/>
      </c>
    </row>
    <row r="1441">
      <c r="A1441" s="16">
        <f>IF($B1441="","",1432)</f>
        <v/>
      </c>
      <c r="B1441" s="17">
        <f>IF(297&gt;NLoanA,"",IFERROR(IF(VLOOKUP(INDEX(PkLoanA,297),AcctTblA,4,0)="","(بدون نام)",VLOOKUP(INDEX(PkLoanA,297),AcctTblA,4,0)),"—"))</f>
        <v/>
      </c>
      <c r="C1441" s="18">
        <f>IF($B1441="","",IF(297&gt;NLoanA,"",INDEX(PkLoanA,297)))</f>
        <v/>
      </c>
      <c r="D1441" s="17">
        <f>IF($B1441="","","l")</f>
        <v/>
      </c>
      <c r="E1441" s="19">
        <f>IF($B1441="","",IF(297&gt;NLoanA,0,SUMIF(CalcDebit,INDEX(PkLoanA,297),CalcAmt)+SUMIF(CalcDebit2,INDEX(PkLoanA,297),CalcAmt2)))</f>
        <v/>
      </c>
      <c r="F1441" s="19">
        <f>IF($B1441="","",IF(297&gt;NLoanA,0,SUMIF(CalcCredit,INDEX(PkLoanA,297),CalcAmt)+SUMIF(CalcCredit2,INDEX(PkLoanA,297),CalcAmt2)))</f>
        <v/>
      </c>
      <c r="G1441" s="20">
        <f>IF($B1441="","",ROUND($E1441-$F1441,0))</f>
        <v/>
      </c>
      <c r="H1441" s="17">
        <f>IF($B1441="","",IF(ROUND($G1441,0)&gt;0,"بدهکار",IF(ROUND($G1441,0)&lt;0,"بستانکار","تسویه")))</f>
        <v/>
      </c>
    </row>
    <row r="1442">
      <c r="A1442" s="11">
        <f>IF($B1442="","",1433)</f>
        <v/>
      </c>
      <c r="B1442" s="12">
        <f>IF(298&gt;NLoanA,"",IFERROR(IF(VLOOKUP(INDEX(PkLoanA,298),AcctTblA,4,0)="","(بدون نام)",VLOOKUP(INDEX(PkLoanA,298),AcctTblA,4,0)),"—"))</f>
        <v/>
      </c>
      <c r="C1442" s="13">
        <f>IF($B1442="","",IF(298&gt;NLoanA,"",INDEX(PkLoanA,298)))</f>
        <v/>
      </c>
      <c r="D1442" s="12">
        <f>IF($B1442="","","l")</f>
        <v/>
      </c>
      <c r="E1442" s="14">
        <f>IF($B1442="","",IF(298&gt;NLoanA,0,SUMIF(CalcDebit,INDEX(PkLoanA,298),CalcAmt)+SUMIF(CalcDebit2,INDEX(PkLoanA,298),CalcAmt2)))</f>
        <v/>
      </c>
      <c r="F1442" s="14">
        <f>IF($B1442="","",IF(298&gt;NLoanA,0,SUMIF(CalcCredit,INDEX(PkLoanA,298),CalcAmt)+SUMIF(CalcCredit2,INDEX(PkLoanA,298),CalcAmt2)))</f>
        <v/>
      </c>
      <c r="G1442" s="15">
        <f>IF($B1442="","",ROUND($E1442-$F1442,0))</f>
        <v/>
      </c>
      <c r="H1442" s="12">
        <f>IF($B1442="","",IF(ROUND($G1442,0)&gt;0,"بدهکار",IF(ROUND($G1442,0)&lt;0,"بستانکار","تسویه")))</f>
        <v/>
      </c>
    </row>
    <row r="1443">
      <c r="A1443" s="16">
        <f>IF($B1443="","",1434)</f>
        <v/>
      </c>
      <c r="B1443" s="17">
        <f>IF(299&gt;NLoanA,"",IFERROR(IF(VLOOKUP(INDEX(PkLoanA,299),AcctTblA,4,0)="","(بدون نام)",VLOOKUP(INDEX(PkLoanA,299),AcctTblA,4,0)),"—"))</f>
        <v/>
      </c>
      <c r="C1443" s="18">
        <f>IF($B1443="","",IF(299&gt;NLoanA,"",INDEX(PkLoanA,299)))</f>
        <v/>
      </c>
      <c r="D1443" s="17">
        <f>IF($B1443="","","l")</f>
        <v/>
      </c>
      <c r="E1443" s="19">
        <f>IF($B1443="","",IF(299&gt;NLoanA,0,SUMIF(CalcDebit,INDEX(PkLoanA,299),CalcAmt)+SUMIF(CalcDebit2,INDEX(PkLoanA,299),CalcAmt2)))</f>
        <v/>
      </c>
      <c r="F1443" s="19">
        <f>IF($B1443="","",IF(299&gt;NLoanA,0,SUMIF(CalcCredit,INDEX(PkLoanA,299),CalcAmt)+SUMIF(CalcCredit2,INDEX(PkLoanA,299),CalcAmt2)))</f>
        <v/>
      </c>
      <c r="G1443" s="20">
        <f>IF($B1443="","",ROUND($E1443-$F1443,0))</f>
        <v/>
      </c>
      <c r="H1443" s="17">
        <f>IF($B1443="","",IF(ROUND($G1443,0)&gt;0,"بدهکار",IF(ROUND($G1443,0)&lt;0,"بستانکار","تسویه")))</f>
        <v/>
      </c>
    </row>
    <row r="1444">
      <c r="A1444" s="11">
        <f>IF($B1444="","",1435)</f>
        <v/>
      </c>
      <c r="B1444" s="12">
        <f>IF(300&gt;NLoanA,"",IFERROR(IF(VLOOKUP(INDEX(PkLoanA,300),AcctTblA,4,0)="","(بدون نام)",VLOOKUP(INDEX(PkLoanA,300),AcctTblA,4,0)),"—"))</f>
        <v/>
      </c>
      <c r="C1444" s="13">
        <f>IF($B1444="","",IF(300&gt;NLoanA,"",INDEX(PkLoanA,300)))</f>
        <v/>
      </c>
      <c r="D1444" s="12">
        <f>IF($B1444="","","l")</f>
        <v/>
      </c>
      <c r="E1444" s="14">
        <f>IF($B1444="","",IF(300&gt;NLoanA,0,SUMIF(CalcDebit,INDEX(PkLoanA,300),CalcAmt)+SUMIF(CalcDebit2,INDEX(PkLoanA,300),CalcAmt2)))</f>
        <v/>
      </c>
      <c r="F1444" s="14">
        <f>IF($B1444="","",IF(300&gt;NLoanA,0,SUMIF(CalcCredit,INDEX(PkLoanA,300),CalcAmt)+SUMIF(CalcCredit2,INDEX(PkLoanA,300),CalcAmt2)))</f>
        <v/>
      </c>
      <c r="G1444" s="15">
        <f>IF($B1444="","",ROUND($E1444-$F1444,0))</f>
        <v/>
      </c>
      <c r="H1444" s="12">
        <f>IF($B1444="","",IF(ROUND($G1444,0)&gt;0,"بدهکار",IF(ROUND($G1444,0)&lt;0,"بستانکار","تسویه")))</f>
        <v/>
      </c>
    </row>
    <row r="1445">
      <c r="A1445" s="16">
        <f>IF($B1445="","",1436)</f>
        <v/>
      </c>
      <c r="B1445" s="17">
        <f>IF(301&gt;NLoanA,"",IFERROR(IF(VLOOKUP(INDEX(PkLoanA,301),AcctTblA,4,0)="","(بدون نام)",VLOOKUP(INDEX(PkLoanA,301),AcctTblA,4,0)),"—"))</f>
        <v/>
      </c>
      <c r="C1445" s="18">
        <f>IF($B1445="","",IF(301&gt;NLoanA,"",INDEX(PkLoanA,301)))</f>
        <v/>
      </c>
      <c r="D1445" s="17">
        <f>IF($B1445="","","l")</f>
        <v/>
      </c>
      <c r="E1445" s="19">
        <f>IF($B1445="","",IF(301&gt;NLoanA,0,SUMIF(CalcDebit,INDEX(PkLoanA,301),CalcAmt)+SUMIF(CalcDebit2,INDEX(PkLoanA,301),CalcAmt2)))</f>
        <v/>
      </c>
      <c r="F1445" s="19">
        <f>IF($B1445="","",IF(301&gt;NLoanA,0,SUMIF(CalcCredit,INDEX(PkLoanA,301),CalcAmt)+SUMIF(CalcCredit2,INDEX(PkLoanA,301),CalcAmt2)))</f>
        <v/>
      </c>
      <c r="G1445" s="20">
        <f>IF($B1445="","",ROUND($E1445-$F1445,0))</f>
        <v/>
      </c>
      <c r="H1445" s="17">
        <f>IF($B1445="","",IF(ROUND($G1445,0)&gt;0,"بدهکار",IF(ROUND($G1445,0)&lt;0,"بستانکار","تسویه")))</f>
        <v/>
      </c>
    </row>
    <row r="1446">
      <c r="A1446" s="11">
        <f>IF($B1446="","",1437)</f>
        <v/>
      </c>
      <c r="B1446" s="12">
        <f>IF(302&gt;NLoanA,"",IFERROR(IF(VLOOKUP(INDEX(PkLoanA,302),AcctTblA,4,0)="","(بدون نام)",VLOOKUP(INDEX(PkLoanA,302),AcctTblA,4,0)),"—"))</f>
        <v/>
      </c>
      <c r="C1446" s="13">
        <f>IF($B1446="","",IF(302&gt;NLoanA,"",INDEX(PkLoanA,302)))</f>
        <v/>
      </c>
      <c r="D1446" s="12">
        <f>IF($B1446="","","l")</f>
        <v/>
      </c>
      <c r="E1446" s="14">
        <f>IF($B1446="","",IF(302&gt;NLoanA,0,SUMIF(CalcDebit,INDEX(PkLoanA,302),CalcAmt)+SUMIF(CalcDebit2,INDEX(PkLoanA,302),CalcAmt2)))</f>
        <v/>
      </c>
      <c r="F1446" s="14">
        <f>IF($B1446="","",IF(302&gt;NLoanA,0,SUMIF(CalcCredit,INDEX(PkLoanA,302),CalcAmt)+SUMIF(CalcCredit2,INDEX(PkLoanA,302),CalcAmt2)))</f>
        <v/>
      </c>
      <c r="G1446" s="15">
        <f>IF($B1446="","",ROUND($E1446-$F1446,0))</f>
        <v/>
      </c>
      <c r="H1446" s="12">
        <f>IF($B1446="","",IF(ROUND($G1446,0)&gt;0,"بدهکار",IF(ROUND($G1446,0)&lt;0,"بستانکار","تسویه")))</f>
        <v/>
      </c>
    </row>
    <row r="1447">
      <c r="A1447" s="16">
        <f>IF($B1447="","",1438)</f>
        <v/>
      </c>
      <c r="B1447" s="17">
        <f>IF(303&gt;NLoanA,"",IFERROR(IF(VLOOKUP(INDEX(PkLoanA,303),AcctTblA,4,0)="","(بدون نام)",VLOOKUP(INDEX(PkLoanA,303),AcctTblA,4,0)),"—"))</f>
        <v/>
      </c>
      <c r="C1447" s="18">
        <f>IF($B1447="","",IF(303&gt;NLoanA,"",INDEX(PkLoanA,303)))</f>
        <v/>
      </c>
      <c r="D1447" s="17">
        <f>IF($B1447="","","l")</f>
        <v/>
      </c>
      <c r="E1447" s="19">
        <f>IF($B1447="","",IF(303&gt;NLoanA,0,SUMIF(CalcDebit,INDEX(PkLoanA,303),CalcAmt)+SUMIF(CalcDebit2,INDEX(PkLoanA,303),CalcAmt2)))</f>
        <v/>
      </c>
      <c r="F1447" s="19">
        <f>IF($B1447="","",IF(303&gt;NLoanA,0,SUMIF(CalcCredit,INDEX(PkLoanA,303),CalcAmt)+SUMIF(CalcCredit2,INDEX(PkLoanA,303),CalcAmt2)))</f>
        <v/>
      </c>
      <c r="G1447" s="20">
        <f>IF($B1447="","",ROUND($E1447-$F1447,0))</f>
        <v/>
      </c>
      <c r="H1447" s="17">
        <f>IF($B1447="","",IF(ROUND($G1447,0)&gt;0,"بدهکار",IF(ROUND($G1447,0)&lt;0,"بستانکار","تسویه")))</f>
        <v/>
      </c>
    </row>
    <row r="1448">
      <c r="A1448" s="11">
        <f>IF($B1448="","",1439)</f>
        <v/>
      </c>
      <c r="B1448" s="12">
        <f>IF(304&gt;NLoanA,"",IFERROR(IF(VLOOKUP(INDEX(PkLoanA,304),AcctTblA,4,0)="","(بدون نام)",VLOOKUP(INDEX(PkLoanA,304),AcctTblA,4,0)),"—"))</f>
        <v/>
      </c>
      <c r="C1448" s="13">
        <f>IF($B1448="","",IF(304&gt;NLoanA,"",INDEX(PkLoanA,304)))</f>
        <v/>
      </c>
      <c r="D1448" s="12">
        <f>IF($B1448="","","l")</f>
        <v/>
      </c>
      <c r="E1448" s="14">
        <f>IF($B1448="","",IF(304&gt;NLoanA,0,SUMIF(CalcDebit,INDEX(PkLoanA,304),CalcAmt)+SUMIF(CalcDebit2,INDEX(PkLoanA,304),CalcAmt2)))</f>
        <v/>
      </c>
      <c r="F1448" s="14">
        <f>IF($B1448="","",IF(304&gt;NLoanA,0,SUMIF(CalcCredit,INDEX(PkLoanA,304),CalcAmt)+SUMIF(CalcCredit2,INDEX(PkLoanA,304),CalcAmt2)))</f>
        <v/>
      </c>
      <c r="G1448" s="15">
        <f>IF($B1448="","",ROUND($E1448-$F1448,0))</f>
        <v/>
      </c>
      <c r="H1448" s="12">
        <f>IF($B1448="","",IF(ROUND($G1448,0)&gt;0,"بدهکار",IF(ROUND($G1448,0)&lt;0,"بستانکار","تسویه")))</f>
        <v/>
      </c>
    </row>
    <row r="1449">
      <c r="A1449" s="16">
        <f>IF($B1449="","",1440)</f>
        <v/>
      </c>
      <c r="B1449" s="17">
        <f>IF(305&gt;NLoanA,"",IFERROR(IF(VLOOKUP(INDEX(PkLoanA,305),AcctTblA,4,0)="","(بدون نام)",VLOOKUP(INDEX(PkLoanA,305),AcctTblA,4,0)),"—"))</f>
        <v/>
      </c>
      <c r="C1449" s="18">
        <f>IF($B1449="","",IF(305&gt;NLoanA,"",INDEX(PkLoanA,305)))</f>
        <v/>
      </c>
      <c r="D1449" s="17">
        <f>IF($B1449="","","l")</f>
        <v/>
      </c>
      <c r="E1449" s="19">
        <f>IF($B1449="","",IF(305&gt;NLoanA,0,SUMIF(CalcDebit,INDEX(PkLoanA,305),CalcAmt)+SUMIF(CalcDebit2,INDEX(PkLoanA,305),CalcAmt2)))</f>
        <v/>
      </c>
      <c r="F1449" s="19">
        <f>IF($B1449="","",IF(305&gt;NLoanA,0,SUMIF(CalcCredit,INDEX(PkLoanA,305),CalcAmt)+SUMIF(CalcCredit2,INDEX(PkLoanA,305),CalcAmt2)))</f>
        <v/>
      </c>
      <c r="G1449" s="20">
        <f>IF($B1449="","",ROUND($E1449-$F1449,0))</f>
        <v/>
      </c>
      <c r="H1449" s="17">
        <f>IF($B1449="","",IF(ROUND($G1449,0)&gt;0,"بدهکار",IF(ROUND($G1449,0)&lt;0,"بستانکار","تسویه")))</f>
        <v/>
      </c>
    </row>
    <row r="1450">
      <c r="A1450" s="11">
        <f>IF($B1450="","",1441)</f>
        <v/>
      </c>
      <c r="B1450" s="12">
        <f>IF(306&gt;NLoanA,"",IFERROR(IF(VLOOKUP(INDEX(PkLoanA,306),AcctTblA,4,0)="","(بدون نام)",VLOOKUP(INDEX(PkLoanA,306),AcctTblA,4,0)),"—"))</f>
        <v/>
      </c>
      <c r="C1450" s="13">
        <f>IF($B1450="","",IF(306&gt;NLoanA,"",INDEX(PkLoanA,306)))</f>
        <v/>
      </c>
      <c r="D1450" s="12">
        <f>IF($B1450="","","l")</f>
        <v/>
      </c>
      <c r="E1450" s="14">
        <f>IF($B1450="","",IF(306&gt;NLoanA,0,SUMIF(CalcDebit,INDEX(PkLoanA,306),CalcAmt)+SUMIF(CalcDebit2,INDEX(PkLoanA,306),CalcAmt2)))</f>
        <v/>
      </c>
      <c r="F1450" s="14">
        <f>IF($B1450="","",IF(306&gt;NLoanA,0,SUMIF(CalcCredit,INDEX(PkLoanA,306),CalcAmt)+SUMIF(CalcCredit2,INDEX(PkLoanA,306),CalcAmt2)))</f>
        <v/>
      </c>
      <c r="G1450" s="15">
        <f>IF($B1450="","",ROUND($E1450-$F1450,0))</f>
        <v/>
      </c>
      <c r="H1450" s="12">
        <f>IF($B1450="","",IF(ROUND($G1450,0)&gt;0,"بدهکار",IF(ROUND($G1450,0)&lt;0,"بستانکار","تسویه")))</f>
        <v/>
      </c>
    </row>
    <row r="1451">
      <c r="A1451" s="16">
        <f>IF($B1451="","",1442)</f>
        <v/>
      </c>
      <c r="B1451" s="17">
        <f>IF(307&gt;NLoanA,"",IFERROR(IF(VLOOKUP(INDEX(PkLoanA,307),AcctTblA,4,0)="","(بدون نام)",VLOOKUP(INDEX(PkLoanA,307),AcctTblA,4,0)),"—"))</f>
        <v/>
      </c>
      <c r="C1451" s="18">
        <f>IF($B1451="","",IF(307&gt;NLoanA,"",INDEX(PkLoanA,307)))</f>
        <v/>
      </c>
      <c r="D1451" s="17">
        <f>IF($B1451="","","l")</f>
        <v/>
      </c>
      <c r="E1451" s="19">
        <f>IF($B1451="","",IF(307&gt;NLoanA,0,SUMIF(CalcDebit,INDEX(PkLoanA,307),CalcAmt)+SUMIF(CalcDebit2,INDEX(PkLoanA,307),CalcAmt2)))</f>
        <v/>
      </c>
      <c r="F1451" s="19">
        <f>IF($B1451="","",IF(307&gt;NLoanA,0,SUMIF(CalcCredit,INDEX(PkLoanA,307),CalcAmt)+SUMIF(CalcCredit2,INDEX(PkLoanA,307),CalcAmt2)))</f>
        <v/>
      </c>
      <c r="G1451" s="20">
        <f>IF($B1451="","",ROUND($E1451-$F1451,0))</f>
        <v/>
      </c>
      <c r="H1451" s="17">
        <f>IF($B1451="","",IF(ROUND($G1451,0)&gt;0,"بدهکار",IF(ROUND($G1451,0)&lt;0,"بستانکار","تسویه")))</f>
        <v/>
      </c>
    </row>
    <row r="1452">
      <c r="A1452" s="11">
        <f>IF($B1452="","",1443)</f>
        <v/>
      </c>
      <c r="B1452" s="12">
        <f>IF(308&gt;NLoanA,"",IFERROR(IF(VLOOKUP(INDEX(PkLoanA,308),AcctTblA,4,0)="","(بدون نام)",VLOOKUP(INDEX(PkLoanA,308),AcctTblA,4,0)),"—"))</f>
        <v/>
      </c>
      <c r="C1452" s="13">
        <f>IF($B1452="","",IF(308&gt;NLoanA,"",INDEX(PkLoanA,308)))</f>
        <v/>
      </c>
      <c r="D1452" s="12">
        <f>IF($B1452="","","l")</f>
        <v/>
      </c>
      <c r="E1452" s="14">
        <f>IF($B1452="","",IF(308&gt;NLoanA,0,SUMIF(CalcDebit,INDEX(PkLoanA,308),CalcAmt)+SUMIF(CalcDebit2,INDEX(PkLoanA,308),CalcAmt2)))</f>
        <v/>
      </c>
      <c r="F1452" s="14">
        <f>IF($B1452="","",IF(308&gt;NLoanA,0,SUMIF(CalcCredit,INDEX(PkLoanA,308),CalcAmt)+SUMIF(CalcCredit2,INDEX(PkLoanA,308),CalcAmt2)))</f>
        <v/>
      </c>
      <c r="G1452" s="15">
        <f>IF($B1452="","",ROUND($E1452-$F1452,0))</f>
        <v/>
      </c>
      <c r="H1452" s="12">
        <f>IF($B1452="","",IF(ROUND($G1452,0)&gt;0,"بدهکار",IF(ROUND($G1452,0)&lt;0,"بستانکار","تسویه")))</f>
        <v/>
      </c>
    </row>
    <row r="1453">
      <c r="A1453" s="16">
        <f>IF($B1453="","",1444)</f>
        <v/>
      </c>
      <c r="B1453" s="17">
        <f>IF(309&gt;NLoanA,"",IFERROR(IF(VLOOKUP(INDEX(PkLoanA,309),AcctTblA,4,0)="","(بدون نام)",VLOOKUP(INDEX(PkLoanA,309),AcctTblA,4,0)),"—"))</f>
        <v/>
      </c>
      <c r="C1453" s="18">
        <f>IF($B1453="","",IF(309&gt;NLoanA,"",INDEX(PkLoanA,309)))</f>
        <v/>
      </c>
      <c r="D1453" s="17">
        <f>IF($B1453="","","l")</f>
        <v/>
      </c>
      <c r="E1453" s="19">
        <f>IF($B1453="","",IF(309&gt;NLoanA,0,SUMIF(CalcDebit,INDEX(PkLoanA,309),CalcAmt)+SUMIF(CalcDebit2,INDEX(PkLoanA,309),CalcAmt2)))</f>
        <v/>
      </c>
      <c r="F1453" s="19">
        <f>IF($B1453="","",IF(309&gt;NLoanA,0,SUMIF(CalcCredit,INDEX(PkLoanA,309),CalcAmt)+SUMIF(CalcCredit2,INDEX(PkLoanA,309),CalcAmt2)))</f>
        <v/>
      </c>
      <c r="G1453" s="20">
        <f>IF($B1453="","",ROUND($E1453-$F1453,0))</f>
        <v/>
      </c>
      <c r="H1453" s="17">
        <f>IF($B1453="","",IF(ROUND($G1453,0)&gt;0,"بدهکار",IF(ROUND($G1453,0)&lt;0,"بستانکار","تسویه")))</f>
        <v/>
      </c>
    </row>
    <row r="1454">
      <c r="A1454" s="11">
        <f>IF($B1454="","",1445)</f>
        <v/>
      </c>
      <c r="B1454" s="12">
        <f>IF(310&gt;NLoanA,"",IFERROR(IF(VLOOKUP(INDEX(PkLoanA,310),AcctTblA,4,0)="","(بدون نام)",VLOOKUP(INDEX(PkLoanA,310),AcctTblA,4,0)),"—"))</f>
        <v/>
      </c>
      <c r="C1454" s="13">
        <f>IF($B1454="","",IF(310&gt;NLoanA,"",INDEX(PkLoanA,310)))</f>
        <v/>
      </c>
      <c r="D1454" s="12">
        <f>IF($B1454="","","l")</f>
        <v/>
      </c>
      <c r="E1454" s="14">
        <f>IF($B1454="","",IF(310&gt;NLoanA,0,SUMIF(CalcDebit,INDEX(PkLoanA,310),CalcAmt)+SUMIF(CalcDebit2,INDEX(PkLoanA,310),CalcAmt2)))</f>
        <v/>
      </c>
      <c r="F1454" s="14">
        <f>IF($B1454="","",IF(310&gt;NLoanA,0,SUMIF(CalcCredit,INDEX(PkLoanA,310),CalcAmt)+SUMIF(CalcCredit2,INDEX(PkLoanA,310),CalcAmt2)))</f>
        <v/>
      </c>
      <c r="G1454" s="15">
        <f>IF($B1454="","",ROUND($E1454-$F1454,0))</f>
        <v/>
      </c>
      <c r="H1454" s="12">
        <f>IF($B1454="","",IF(ROUND($G1454,0)&gt;0,"بدهکار",IF(ROUND($G1454,0)&lt;0,"بستانکار","تسویه")))</f>
        <v/>
      </c>
    </row>
    <row r="1455">
      <c r="A1455" s="16">
        <f>IF($B1455="","",1446)</f>
        <v/>
      </c>
      <c r="B1455" s="17">
        <f>IF(311&gt;NLoanA,"",IFERROR(IF(VLOOKUP(INDEX(PkLoanA,311),AcctTblA,4,0)="","(بدون نام)",VLOOKUP(INDEX(PkLoanA,311),AcctTblA,4,0)),"—"))</f>
        <v/>
      </c>
      <c r="C1455" s="18">
        <f>IF($B1455="","",IF(311&gt;NLoanA,"",INDEX(PkLoanA,311)))</f>
        <v/>
      </c>
      <c r="D1455" s="17">
        <f>IF($B1455="","","l")</f>
        <v/>
      </c>
      <c r="E1455" s="19">
        <f>IF($B1455="","",IF(311&gt;NLoanA,0,SUMIF(CalcDebit,INDEX(PkLoanA,311),CalcAmt)+SUMIF(CalcDebit2,INDEX(PkLoanA,311),CalcAmt2)))</f>
        <v/>
      </c>
      <c r="F1455" s="19">
        <f>IF($B1455="","",IF(311&gt;NLoanA,0,SUMIF(CalcCredit,INDEX(PkLoanA,311),CalcAmt)+SUMIF(CalcCredit2,INDEX(PkLoanA,311),CalcAmt2)))</f>
        <v/>
      </c>
      <c r="G1455" s="20">
        <f>IF($B1455="","",ROUND($E1455-$F1455,0))</f>
        <v/>
      </c>
      <c r="H1455" s="17">
        <f>IF($B1455="","",IF(ROUND($G1455,0)&gt;0,"بدهکار",IF(ROUND($G1455,0)&lt;0,"بستانکار","تسویه")))</f>
        <v/>
      </c>
    </row>
    <row r="1456">
      <c r="A1456" s="11">
        <f>IF($B1456="","",1447)</f>
        <v/>
      </c>
      <c r="B1456" s="12">
        <f>IF(312&gt;NLoanA,"",IFERROR(IF(VLOOKUP(INDEX(PkLoanA,312),AcctTblA,4,0)="","(بدون نام)",VLOOKUP(INDEX(PkLoanA,312),AcctTblA,4,0)),"—"))</f>
        <v/>
      </c>
      <c r="C1456" s="13">
        <f>IF($B1456="","",IF(312&gt;NLoanA,"",INDEX(PkLoanA,312)))</f>
        <v/>
      </c>
      <c r="D1456" s="12">
        <f>IF($B1456="","","l")</f>
        <v/>
      </c>
      <c r="E1456" s="14">
        <f>IF($B1456="","",IF(312&gt;NLoanA,0,SUMIF(CalcDebit,INDEX(PkLoanA,312),CalcAmt)+SUMIF(CalcDebit2,INDEX(PkLoanA,312),CalcAmt2)))</f>
        <v/>
      </c>
      <c r="F1456" s="14">
        <f>IF($B1456="","",IF(312&gt;NLoanA,0,SUMIF(CalcCredit,INDEX(PkLoanA,312),CalcAmt)+SUMIF(CalcCredit2,INDEX(PkLoanA,312),CalcAmt2)))</f>
        <v/>
      </c>
      <c r="G1456" s="15">
        <f>IF($B1456="","",ROUND($E1456-$F1456,0))</f>
        <v/>
      </c>
      <c r="H1456" s="12">
        <f>IF($B1456="","",IF(ROUND($G1456,0)&gt;0,"بدهکار",IF(ROUND($G1456,0)&lt;0,"بستانکار","تسویه")))</f>
        <v/>
      </c>
    </row>
    <row r="1457">
      <c r="A1457" s="16">
        <f>IF($B1457="","",1448)</f>
        <v/>
      </c>
      <c r="B1457" s="17">
        <f>IF(313&gt;NLoanA,"",IFERROR(IF(VLOOKUP(INDEX(PkLoanA,313),AcctTblA,4,0)="","(بدون نام)",VLOOKUP(INDEX(PkLoanA,313),AcctTblA,4,0)),"—"))</f>
        <v/>
      </c>
      <c r="C1457" s="18">
        <f>IF($B1457="","",IF(313&gt;NLoanA,"",INDEX(PkLoanA,313)))</f>
        <v/>
      </c>
      <c r="D1457" s="17">
        <f>IF($B1457="","","l")</f>
        <v/>
      </c>
      <c r="E1457" s="19">
        <f>IF($B1457="","",IF(313&gt;NLoanA,0,SUMIF(CalcDebit,INDEX(PkLoanA,313),CalcAmt)+SUMIF(CalcDebit2,INDEX(PkLoanA,313),CalcAmt2)))</f>
        <v/>
      </c>
      <c r="F1457" s="19">
        <f>IF($B1457="","",IF(313&gt;NLoanA,0,SUMIF(CalcCredit,INDEX(PkLoanA,313),CalcAmt)+SUMIF(CalcCredit2,INDEX(PkLoanA,313),CalcAmt2)))</f>
        <v/>
      </c>
      <c r="G1457" s="20">
        <f>IF($B1457="","",ROUND($E1457-$F1457,0))</f>
        <v/>
      </c>
      <c r="H1457" s="17">
        <f>IF($B1457="","",IF(ROUND($G1457,0)&gt;0,"بدهکار",IF(ROUND($G1457,0)&lt;0,"بستانکار","تسویه")))</f>
        <v/>
      </c>
    </row>
    <row r="1458">
      <c r="A1458" s="11">
        <f>IF($B1458="","",1449)</f>
        <v/>
      </c>
      <c r="B1458" s="12">
        <f>IF(314&gt;NLoanA,"",IFERROR(IF(VLOOKUP(INDEX(PkLoanA,314),AcctTblA,4,0)="","(بدون نام)",VLOOKUP(INDEX(PkLoanA,314),AcctTblA,4,0)),"—"))</f>
        <v/>
      </c>
      <c r="C1458" s="13">
        <f>IF($B1458="","",IF(314&gt;NLoanA,"",INDEX(PkLoanA,314)))</f>
        <v/>
      </c>
      <c r="D1458" s="12">
        <f>IF($B1458="","","l")</f>
        <v/>
      </c>
      <c r="E1458" s="14">
        <f>IF($B1458="","",IF(314&gt;NLoanA,0,SUMIF(CalcDebit,INDEX(PkLoanA,314),CalcAmt)+SUMIF(CalcDebit2,INDEX(PkLoanA,314),CalcAmt2)))</f>
        <v/>
      </c>
      <c r="F1458" s="14">
        <f>IF($B1458="","",IF(314&gt;NLoanA,0,SUMIF(CalcCredit,INDEX(PkLoanA,314),CalcAmt)+SUMIF(CalcCredit2,INDEX(PkLoanA,314),CalcAmt2)))</f>
        <v/>
      </c>
      <c r="G1458" s="15">
        <f>IF($B1458="","",ROUND($E1458-$F1458,0))</f>
        <v/>
      </c>
      <c r="H1458" s="12">
        <f>IF($B1458="","",IF(ROUND($G1458,0)&gt;0,"بدهکار",IF(ROUND($G1458,0)&lt;0,"بستانکار","تسویه")))</f>
        <v/>
      </c>
    </row>
    <row r="1459">
      <c r="A1459" s="16">
        <f>IF($B1459="","",1450)</f>
        <v/>
      </c>
      <c r="B1459" s="17">
        <f>IF(315&gt;NLoanA,"",IFERROR(IF(VLOOKUP(INDEX(PkLoanA,315),AcctTblA,4,0)="","(بدون نام)",VLOOKUP(INDEX(PkLoanA,315),AcctTblA,4,0)),"—"))</f>
        <v/>
      </c>
      <c r="C1459" s="18">
        <f>IF($B1459="","",IF(315&gt;NLoanA,"",INDEX(PkLoanA,315)))</f>
        <v/>
      </c>
      <c r="D1459" s="17">
        <f>IF($B1459="","","l")</f>
        <v/>
      </c>
      <c r="E1459" s="19">
        <f>IF($B1459="","",IF(315&gt;NLoanA,0,SUMIF(CalcDebit,INDEX(PkLoanA,315),CalcAmt)+SUMIF(CalcDebit2,INDEX(PkLoanA,315),CalcAmt2)))</f>
        <v/>
      </c>
      <c r="F1459" s="19">
        <f>IF($B1459="","",IF(315&gt;NLoanA,0,SUMIF(CalcCredit,INDEX(PkLoanA,315),CalcAmt)+SUMIF(CalcCredit2,INDEX(PkLoanA,315),CalcAmt2)))</f>
        <v/>
      </c>
      <c r="G1459" s="20">
        <f>IF($B1459="","",ROUND($E1459-$F1459,0))</f>
        <v/>
      </c>
      <c r="H1459" s="17">
        <f>IF($B1459="","",IF(ROUND($G1459,0)&gt;0,"بدهکار",IF(ROUND($G1459,0)&lt;0,"بستانکار","تسویه")))</f>
        <v/>
      </c>
    </row>
    <row r="1460">
      <c r="A1460" s="11">
        <f>IF($B1460="","",1451)</f>
        <v/>
      </c>
      <c r="B1460" s="12">
        <f>IF(316&gt;NLoanA,"",IFERROR(IF(VLOOKUP(INDEX(PkLoanA,316),AcctTblA,4,0)="","(بدون نام)",VLOOKUP(INDEX(PkLoanA,316),AcctTblA,4,0)),"—"))</f>
        <v/>
      </c>
      <c r="C1460" s="13">
        <f>IF($B1460="","",IF(316&gt;NLoanA,"",INDEX(PkLoanA,316)))</f>
        <v/>
      </c>
      <c r="D1460" s="12">
        <f>IF($B1460="","","l")</f>
        <v/>
      </c>
      <c r="E1460" s="14">
        <f>IF($B1460="","",IF(316&gt;NLoanA,0,SUMIF(CalcDebit,INDEX(PkLoanA,316),CalcAmt)+SUMIF(CalcDebit2,INDEX(PkLoanA,316),CalcAmt2)))</f>
        <v/>
      </c>
      <c r="F1460" s="14">
        <f>IF($B1460="","",IF(316&gt;NLoanA,0,SUMIF(CalcCredit,INDEX(PkLoanA,316),CalcAmt)+SUMIF(CalcCredit2,INDEX(PkLoanA,316),CalcAmt2)))</f>
        <v/>
      </c>
      <c r="G1460" s="15">
        <f>IF($B1460="","",ROUND($E1460-$F1460,0))</f>
        <v/>
      </c>
      <c r="H1460" s="12">
        <f>IF($B1460="","",IF(ROUND($G1460,0)&gt;0,"بدهکار",IF(ROUND($G1460,0)&lt;0,"بستانکار","تسویه")))</f>
        <v/>
      </c>
    </row>
    <row r="1461">
      <c r="A1461" s="16">
        <f>IF($B1461="","",1452)</f>
        <v/>
      </c>
      <c r="B1461" s="17">
        <f>IF(317&gt;NLoanA,"",IFERROR(IF(VLOOKUP(INDEX(PkLoanA,317),AcctTblA,4,0)="","(بدون نام)",VLOOKUP(INDEX(PkLoanA,317),AcctTblA,4,0)),"—"))</f>
        <v/>
      </c>
      <c r="C1461" s="18">
        <f>IF($B1461="","",IF(317&gt;NLoanA,"",INDEX(PkLoanA,317)))</f>
        <v/>
      </c>
      <c r="D1461" s="17">
        <f>IF($B1461="","","l")</f>
        <v/>
      </c>
      <c r="E1461" s="19">
        <f>IF($B1461="","",IF(317&gt;NLoanA,0,SUMIF(CalcDebit,INDEX(PkLoanA,317),CalcAmt)+SUMIF(CalcDebit2,INDEX(PkLoanA,317),CalcAmt2)))</f>
        <v/>
      </c>
      <c r="F1461" s="19">
        <f>IF($B1461="","",IF(317&gt;NLoanA,0,SUMIF(CalcCredit,INDEX(PkLoanA,317),CalcAmt)+SUMIF(CalcCredit2,INDEX(PkLoanA,317),CalcAmt2)))</f>
        <v/>
      </c>
      <c r="G1461" s="20">
        <f>IF($B1461="","",ROUND($E1461-$F1461,0))</f>
        <v/>
      </c>
      <c r="H1461" s="17">
        <f>IF($B1461="","",IF(ROUND($G1461,0)&gt;0,"بدهکار",IF(ROUND($G1461,0)&lt;0,"بستانکار","تسویه")))</f>
        <v/>
      </c>
    </row>
    <row r="1462">
      <c r="A1462" s="11">
        <f>IF($B1462="","",1453)</f>
        <v/>
      </c>
      <c r="B1462" s="12">
        <f>IF(318&gt;NLoanA,"",IFERROR(IF(VLOOKUP(INDEX(PkLoanA,318),AcctTblA,4,0)="","(بدون نام)",VLOOKUP(INDEX(PkLoanA,318),AcctTblA,4,0)),"—"))</f>
        <v/>
      </c>
      <c r="C1462" s="13">
        <f>IF($B1462="","",IF(318&gt;NLoanA,"",INDEX(PkLoanA,318)))</f>
        <v/>
      </c>
      <c r="D1462" s="12">
        <f>IF($B1462="","","l")</f>
        <v/>
      </c>
      <c r="E1462" s="14">
        <f>IF($B1462="","",IF(318&gt;NLoanA,0,SUMIF(CalcDebit,INDEX(PkLoanA,318),CalcAmt)+SUMIF(CalcDebit2,INDEX(PkLoanA,318),CalcAmt2)))</f>
        <v/>
      </c>
      <c r="F1462" s="14">
        <f>IF($B1462="","",IF(318&gt;NLoanA,0,SUMIF(CalcCredit,INDEX(PkLoanA,318),CalcAmt)+SUMIF(CalcCredit2,INDEX(PkLoanA,318),CalcAmt2)))</f>
        <v/>
      </c>
      <c r="G1462" s="15">
        <f>IF($B1462="","",ROUND($E1462-$F1462,0))</f>
        <v/>
      </c>
      <c r="H1462" s="12">
        <f>IF($B1462="","",IF(ROUND($G1462,0)&gt;0,"بدهکار",IF(ROUND($G1462,0)&lt;0,"بستانکار","تسویه")))</f>
        <v/>
      </c>
    </row>
    <row r="1463">
      <c r="A1463" s="16">
        <f>IF($B1463="","",1454)</f>
        <v/>
      </c>
      <c r="B1463" s="17">
        <f>IF(319&gt;NLoanA,"",IFERROR(IF(VLOOKUP(INDEX(PkLoanA,319),AcctTblA,4,0)="","(بدون نام)",VLOOKUP(INDEX(PkLoanA,319),AcctTblA,4,0)),"—"))</f>
        <v/>
      </c>
      <c r="C1463" s="18">
        <f>IF($B1463="","",IF(319&gt;NLoanA,"",INDEX(PkLoanA,319)))</f>
        <v/>
      </c>
      <c r="D1463" s="17">
        <f>IF($B1463="","","l")</f>
        <v/>
      </c>
      <c r="E1463" s="19">
        <f>IF($B1463="","",IF(319&gt;NLoanA,0,SUMIF(CalcDebit,INDEX(PkLoanA,319),CalcAmt)+SUMIF(CalcDebit2,INDEX(PkLoanA,319),CalcAmt2)))</f>
        <v/>
      </c>
      <c r="F1463" s="19">
        <f>IF($B1463="","",IF(319&gt;NLoanA,0,SUMIF(CalcCredit,INDEX(PkLoanA,319),CalcAmt)+SUMIF(CalcCredit2,INDEX(PkLoanA,319),CalcAmt2)))</f>
        <v/>
      </c>
      <c r="G1463" s="20">
        <f>IF($B1463="","",ROUND($E1463-$F1463,0))</f>
        <v/>
      </c>
      <c r="H1463" s="17">
        <f>IF($B1463="","",IF(ROUND($G1463,0)&gt;0,"بدهکار",IF(ROUND($G1463,0)&lt;0,"بستانکار","تسویه")))</f>
        <v/>
      </c>
    </row>
    <row r="1464">
      <c r="A1464" s="11">
        <f>IF($B1464="","",1455)</f>
        <v/>
      </c>
      <c r="B1464" s="12">
        <f>IF(320&gt;NLoanA,"",IFERROR(IF(VLOOKUP(INDEX(PkLoanA,320),AcctTblA,4,0)="","(بدون نام)",VLOOKUP(INDEX(PkLoanA,320),AcctTblA,4,0)),"—"))</f>
        <v/>
      </c>
      <c r="C1464" s="13">
        <f>IF($B1464="","",IF(320&gt;NLoanA,"",INDEX(PkLoanA,320)))</f>
        <v/>
      </c>
      <c r="D1464" s="12">
        <f>IF($B1464="","","l")</f>
        <v/>
      </c>
      <c r="E1464" s="14">
        <f>IF($B1464="","",IF(320&gt;NLoanA,0,SUMIF(CalcDebit,INDEX(PkLoanA,320),CalcAmt)+SUMIF(CalcDebit2,INDEX(PkLoanA,320),CalcAmt2)))</f>
        <v/>
      </c>
      <c r="F1464" s="14">
        <f>IF($B1464="","",IF(320&gt;NLoanA,0,SUMIF(CalcCredit,INDEX(PkLoanA,320),CalcAmt)+SUMIF(CalcCredit2,INDEX(PkLoanA,320),CalcAmt2)))</f>
        <v/>
      </c>
      <c r="G1464" s="15">
        <f>IF($B1464="","",ROUND($E1464-$F1464,0))</f>
        <v/>
      </c>
      <c r="H1464" s="12">
        <f>IF($B1464="","",IF(ROUND($G1464,0)&gt;0,"بدهکار",IF(ROUND($G1464,0)&lt;0,"بستانکار","تسویه")))</f>
        <v/>
      </c>
    </row>
    <row r="1465">
      <c r="A1465" s="16">
        <f>IF($B1465="","",1456)</f>
        <v/>
      </c>
      <c r="B1465" s="17">
        <f>IF(321&gt;NLoanA,"",IFERROR(IF(VLOOKUP(INDEX(PkLoanA,321),AcctTblA,4,0)="","(بدون نام)",VLOOKUP(INDEX(PkLoanA,321),AcctTblA,4,0)),"—"))</f>
        <v/>
      </c>
      <c r="C1465" s="18">
        <f>IF($B1465="","",IF(321&gt;NLoanA,"",INDEX(PkLoanA,321)))</f>
        <v/>
      </c>
      <c r="D1465" s="17">
        <f>IF($B1465="","","l")</f>
        <v/>
      </c>
      <c r="E1465" s="19">
        <f>IF($B1465="","",IF(321&gt;NLoanA,0,SUMIF(CalcDebit,INDEX(PkLoanA,321),CalcAmt)+SUMIF(CalcDebit2,INDEX(PkLoanA,321),CalcAmt2)))</f>
        <v/>
      </c>
      <c r="F1465" s="19">
        <f>IF($B1465="","",IF(321&gt;NLoanA,0,SUMIF(CalcCredit,INDEX(PkLoanA,321),CalcAmt)+SUMIF(CalcCredit2,INDEX(PkLoanA,321),CalcAmt2)))</f>
        <v/>
      </c>
      <c r="G1465" s="20">
        <f>IF($B1465="","",ROUND($E1465-$F1465,0))</f>
        <v/>
      </c>
      <c r="H1465" s="17">
        <f>IF($B1465="","",IF(ROUND($G1465,0)&gt;0,"بدهکار",IF(ROUND($G1465,0)&lt;0,"بستانکار","تسویه")))</f>
        <v/>
      </c>
    </row>
    <row r="1466">
      <c r="A1466" s="11">
        <f>IF($B1466="","",1457)</f>
        <v/>
      </c>
      <c r="B1466" s="12">
        <f>IF(322&gt;NLoanA,"",IFERROR(IF(VLOOKUP(INDEX(PkLoanA,322),AcctTblA,4,0)="","(بدون نام)",VLOOKUP(INDEX(PkLoanA,322),AcctTblA,4,0)),"—"))</f>
        <v/>
      </c>
      <c r="C1466" s="13">
        <f>IF($B1466="","",IF(322&gt;NLoanA,"",INDEX(PkLoanA,322)))</f>
        <v/>
      </c>
      <c r="D1466" s="12">
        <f>IF($B1466="","","l")</f>
        <v/>
      </c>
      <c r="E1466" s="14">
        <f>IF($B1466="","",IF(322&gt;NLoanA,0,SUMIF(CalcDebit,INDEX(PkLoanA,322),CalcAmt)+SUMIF(CalcDebit2,INDEX(PkLoanA,322),CalcAmt2)))</f>
        <v/>
      </c>
      <c r="F1466" s="14">
        <f>IF($B1466="","",IF(322&gt;NLoanA,0,SUMIF(CalcCredit,INDEX(PkLoanA,322),CalcAmt)+SUMIF(CalcCredit2,INDEX(PkLoanA,322),CalcAmt2)))</f>
        <v/>
      </c>
      <c r="G1466" s="15">
        <f>IF($B1466="","",ROUND($E1466-$F1466,0))</f>
        <v/>
      </c>
      <c r="H1466" s="12">
        <f>IF($B1466="","",IF(ROUND($G1466,0)&gt;0,"بدهکار",IF(ROUND($G1466,0)&lt;0,"بستانکار","تسویه")))</f>
        <v/>
      </c>
    </row>
    <row r="1467">
      <c r="A1467" s="16">
        <f>IF($B1467="","",1458)</f>
        <v/>
      </c>
      <c r="B1467" s="17">
        <f>IF(323&gt;NLoanA,"",IFERROR(IF(VLOOKUP(INDEX(PkLoanA,323),AcctTblA,4,0)="","(بدون نام)",VLOOKUP(INDEX(PkLoanA,323),AcctTblA,4,0)),"—"))</f>
        <v/>
      </c>
      <c r="C1467" s="18">
        <f>IF($B1467="","",IF(323&gt;NLoanA,"",INDEX(PkLoanA,323)))</f>
        <v/>
      </c>
      <c r="D1467" s="17">
        <f>IF($B1467="","","l")</f>
        <v/>
      </c>
      <c r="E1467" s="19">
        <f>IF($B1467="","",IF(323&gt;NLoanA,0,SUMIF(CalcDebit,INDEX(PkLoanA,323),CalcAmt)+SUMIF(CalcDebit2,INDEX(PkLoanA,323),CalcAmt2)))</f>
        <v/>
      </c>
      <c r="F1467" s="19">
        <f>IF($B1467="","",IF(323&gt;NLoanA,0,SUMIF(CalcCredit,INDEX(PkLoanA,323),CalcAmt)+SUMIF(CalcCredit2,INDEX(PkLoanA,323),CalcAmt2)))</f>
        <v/>
      </c>
      <c r="G1467" s="20">
        <f>IF($B1467="","",ROUND($E1467-$F1467,0))</f>
        <v/>
      </c>
      <c r="H1467" s="17">
        <f>IF($B1467="","",IF(ROUND($G1467,0)&gt;0,"بدهکار",IF(ROUND($G1467,0)&lt;0,"بستانکار","تسویه")))</f>
        <v/>
      </c>
    </row>
    <row r="1468">
      <c r="A1468" s="11">
        <f>IF($B1468="","",1459)</f>
        <v/>
      </c>
      <c r="B1468" s="12">
        <f>IF(324&gt;NLoanA,"",IFERROR(IF(VLOOKUP(INDEX(PkLoanA,324),AcctTblA,4,0)="","(بدون نام)",VLOOKUP(INDEX(PkLoanA,324),AcctTblA,4,0)),"—"))</f>
        <v/>
      </c>
      <c r="C1468" s="13">
        <f>IF($B1468="","",IF(324&gt;NLoanA,"",INDEX(PkLoanA,324)))</f>
        <v/>
      </c>
      <c r="D1468" s="12">
        <f>IF($B1468="","","l")</f>
        <v/>
      </c>
      <c r="E1468" s="14">
        <f>IF($B1468="","",IF(324&gt;NLoanA,0,SUMIF(CalcDebit,INDEX(PkLoanA,324),CalcAmt)+SUMIF(CalcDebit2,INDEX(PkLoanA,324),CalcAmt2)))</f>
        <v/>
      </c>
      <c r="F1468" s="14">
        <f>IF($B1468="","",IF(324&gt;NLoanA,0,SUMIF(CalcCredit,INDEX(PkLoanA,324),CalcAmt)+SUMIF(CalcCredit2,INDEX(PkLoanA,324),CalcAmt2)))</f>
        <v/>
      </c>
      <c r="G1468" s="15">
        <f>IF($B1468="","",ROUND($E1468-$F1468,0))</f>
        <v/>
      </c>
      <c r="H1468" s="12">
        <f>IF($B1468="","",IF(ROUND($G1468,0)&gt;0,"بدهکار",IF(ROUND($G1468,0)&lt;0,"بستانکار","تسویه")))</f>
        <v/>
      </c>
    </row>
    <row r="1469">
      <c r="A1469" s="16">
        <f>IF($B1469="","",1460)</f>
        <v/>
      </c>
      <c r="B1469" s="17">
        <f>IF(325&gt;NLoanA,"",IFERROR(IF(VLOOKUP(INDEX(PkLoanA,325),AcctTblA,4,0)="","(بدون نام)",VLOOKUP(INDEX(PkLoanA,325),AcctTblA,4,0)),"—"))</f>
        <v/>
      </c>
      <c r="C1469" s="18">
        <f>IF($B1469="","",IF(325&gt;NLoanA,"",INDEX(PkLoanA,325)))</f>
        <v/>
      </c>
      <c r="D1469" s="17">
        <f>IF($B1469="","","l")</f>
        <v/>
      </c>
      <c r="E1469" s="19">
        <f>IF($B1469="","",IF(325&gt;NLoanA,0,SUMIF(CalcDebit,INDEX(PkLoanA,325),CalcAmt)+SUMIF(CalcDebit2,INDEX(PkLoanA,325),CalcAmt2)))</f>
        <v/>
      </c>
      <c r="F1469" s="19">
        <f>IF($B1469="","",IF(325&gt;NLoanA,0,SUMIF(CalcCredit,INDEX(PkLoanA,325),CalcAmt)+SUMIF(CalcCredit2,INDEX(PkLoanA,325),CalcAmt2)))</f>
        <v/>
      </c>
      <c r="G1469" s="20">
        <f>IF($B1469="","",ROUND($E1469-$F1469,0))</f>
        <v/>
      </c>
      <c r="H1469" s="17">
        <f>IF($B1469="","",IF(ROUND($G1469,0)&gt;0,"بدهکار",IF(ROUND($G1469,0)&lt;0,"بستانکار","تسویه")))</f>
        <v/>
      </c>
    </row>
    <row r="1470">
      <c r="A1470" s="11">
        <f>IF($B1470="","",1461)</f>
        <v/>
      </c>
      <c r="B1470" s="12">
        <f>IF(326&gt;NLoanA,"",IFERROR(IF(VLOOKUP(INDEX(PkLoanA,326),AcctTblA,4,0)="","(بدون نام)",VLOOKUP(INDEX(PkLoanA,326),AcctTblA,4,0)),"—"))</f>
        <v/>
      </c>
      <c r="C1470" s="13">
        <f>IF($B1470="","",IF(326&gt;NLoanA,"",INDEX(PkLoanA,326)))</f>
        <v/>
      </c>
      <c r="D1470" s="12">
        <f>IF($B1470="","","l")</f>
        <v/>
      </c>
      <c r="E1470" s="14">
        <f>IF($B1470="","",IF(326&gt;NLoanA,0,SUMIF(CalcDebit,INDEX(PkLoanA,326),CalcAmt)+SUMIF(CalcDebit2,INDEX(PkLoanA,326),CalcAmt2)))</f>
        <v/>
      </c>
      <c r="F1470" s="14">
        <f>IF($B1470="","",IF(326&gt;NLoanA,0,SUMIF(CalcCredit,INDEX(PkLoanA,326),CalcAmt)+SUMIF(CalcCredit2,INDEX(PkLoanA,326),CalcAmt2)))</f>
        <v/>
      </c>
      <c r="G1470" s="15">
        <f>IF($B1470="","",ROUND($E1470-$F1470,0))</f>
        <v/>
      </c>
      <c r="H1470" s="12">
        <f>IF($B1470="","",IF(ROUND($G1470,0)&gt;0,"بدهکار",IF(ROUND($G1470,0)&lt;0,"بستانکار","تسویه")))</f>
        <v/>
      </c>
    </row>
    <row r="1471">
      <c r="A1471" s="16">
        <f>IF($B1471="","",1462)</f>
        <v/>
      </c>
      <c r="B1471" s="17">
        <f>IF(327&gt;NLoanA,"",IFERROR(IF(VLOOKUP(INDEX(PkLoanA,327),AcctTblA,4,0)="","(بدون نام)",VLOOKUP(INDEX(PkLoanA,327),AcctTblA,4,0)),"—"))</f>
        <v/>
      </c>
      <c r="C1471" s="18">
        <f>IF($B1471="","",IF(327&gt;NLoanA,"",INDEX(PkLoanA,327)))</f>
        <v/>
      </c>
      <c r="D1471" s="17">
        <f>IF($B1471="","","l")</f>
        <v/>
      </c>
      <c r="E1471" s="19">
        <f>IF($B1471="","",IF(327&gt;NLoanA,0,SUMIF(CalcDebit,INDEX(PkLoanA,327),CalcAmt)+SUMIF(CalcDebit2,INDEX(PkLoanA,327),CalcAmt2)))</f>
        <v/>
      </c>
      <c r="F1471" s="19">
        <f>IF($B1471="","",IF(327&gt;NLoanA,0,SUMIF(CalcCredit,INDEX(PkLoanA,327),CalcAmt)+SUMIF(CalcCredit2,INDEX(PkLoanA,327),CalcAmt2)))</f>
        <v/>
      </c>
      <c r="G1471" s="20">
        <f>IF($B1471="","",ROUND($E1471-$F1471,0))</f>
        <v/>
      </c>
      <c r="H1471" s="17">
        <f>IF($B1471="","",IF(ROUND($G1471,0)&gt;0,"بدهکار",IF(ROUND($G1471,0)&lt;0,"بستانکار","تسویه")))</f>
        <v/>
      </c>
    </row>
    <row r="1472">
      <c r="A1472" s="11">
        <f>IF($B1472="","",1463)</f>
        <v/>
      </c>
      <c r="B1472" s="12">
        <f>IF(328&gt;NLoanA,"",IFERROR(IF(VLOOKUP(INDEX(PkLoanA,328),AcctTblA,4,0)="","(بدون نام)",VLOOKUP(INDEX(PkLoanA,328),AcctTblA,4,0)),"—"))</f>
        <v/>
      </c>
      <c r="C1472" s="13">
        <f>IF($B1472="","",IF(328&gt;NLoanA,"",INDEX(PkLoanA,328)))</f>
        <v/>
      </c>
      <c r="D1472" s="12">
        <f>IF($B1472="","","l")</f>
        <v/>
      </c>
      <c r="E1472" s="14">
        <f>IF($B1472="","",IF(328&gt;NLoanA,0,SUMIF(CalcDebit,INDEX(PkLoanA,328),CalcAmt)+SUMIF(CalcDebit2,INDEX(PkLoanA,328),CalcAmt2)))</f>
        <v/>
      </c>
      <c r="F1472" s="14">
        <f>IF($B1472="","",IF(328&gt;NLoanA,0,SUMIF(CalcCredit,INDEX(PkLoanA,328),CalcAmt)+SUMIF(CalcCredit2,INDEX(PkLoanA,328),CalcAmt2)))</f>
        <v/>
      </c>
      <c r="G1472" s="15">
        <f>IF($B1472="","",ROUND($E1472-$F1472,0))</f>
        <v/>
      </c>
      <c r="H1472" s="12">
        <f>IF($B1472="","",IF(ROUND($G1472,0)&gt;0,"بدهکار",IF(ROUND($G1472,0)&lt;0,"بستانکار","تسویه")))</f>
        <v/>
      </c>
    </row>
    <row r="1473">
      <c r="A1473" s="16">
        <f>IF($B1473="","",1464)</f>
        <v/>
      </c>
      <c r="B1473" s="17">
        <f>IF(329&gt;NLoanA,"",IFERROR(IF(VLOOKUP(INDEX(PkLoanA,329),AcctTblA,4,0)="","(بدون نام)",VLOOKUP(INDEX(PkLoanA,329),AcctTblA,4,0)),"—"))</f>
        <v/>
      </c>
      <c r="C1473" s="18">
        <f>IF($B1473="","",IF(329&gt;NLoanA,"",INDEX(PkLoanA,329)))</f>
        <v/>
      </c>
      <c r="D1473" s="17">
        <f>IF($B1473="","","l")</f>
        <v/>
      </c>
      <c r="E1473" s="19">
        <f>IF($B1473="","",IF(329&gt;NLoanA,0,SUMIF(CalcDebit,INDEX(PkLoanA,329),CalcAmt)+SUMIF(CalcDebit2,INDEX(PkLoanA,329),CalcAmt2)))</f>
        <v/>
      </c>
      <c r="F1473" s="19">
        <f>IF($B1473="","",IF(329&gt;NLoanA,0,SUMIF(CalcCredit,INDEX(PkLoanA,329),CalcAmt)+SUMIF(CalcCredit2,INDEX(PkLoanA,329),CalcAmt2)))</f>
        <v/>
      </c>
      <c r="G1473" s="20">
        <f>IF($B1473="","",ROUND($E1473-$F1473,0))</f>
        <v/>
      </c>
      <c r="H1473" s="17">
        <f>IF($B1473="","",IF(ROUND($G1473,0)&gt;0,"بدهکار",IF(ROUND($G1473,0)&lt;0,"بستانکار","تسویه")))</f>
        <v/>
      </c>
    </row>
    <row r="1474">
      <c r="A1474" s="11">
        <f>IF($B1474="","",1465)</f>
        <v/>
      </c>
      <c r="B1474" s="12">
        <f>IF(330&gt;NLoanA,"",IFERROR(IF(VLOOKUP(INDEX(PkLoanA,330),AcctTblA,4,0)="","(بدون نام)",VLOOKUP(INDEX(PkLoanA,330),AcctTblA,4,0)),"—"))</f>
        <v/>
      </c>
      <c r="C1474" s="13">
        <f>IF($B1474="","",IF(330&gt;NLoanA,"",INDEX(PkLoanA,330)))</f>
        <v/>
      </c>
      <c r="D1474" s="12">
        <f>IF($B1474="","","l")</f>
        <v/>
      </c>
      <c r="E1474" s="14">
        <f>IF($B1474="","",IF(330&gt;NLoanA,0,SUMIF(CalcDebit,INDEX(PkLoanA,330),CalcAmt)+SUMIF(CalcDebit2,INDEX(PkLoanA,330),CalcAmt2)))</f>
        <v/>
      </c>
      <c r="F1474" s="14">
        <f>IF($B1474="","",IF(330&gt;NLoanA,0,SUMIF(CalcCredit,INDEX(PkLoanA,330),CalcAmt)+SUMIF(CalcCredit2,INDEX(PkLoanA,330),CalcAmt2)))</f>
        <v/>
      </c>
      <c r="G1474" s="15">
        <f>IF($B1474="","",ROUND($E1474-$F1474,0))</f>
        <v/>
      </c>
      <c r="H1474" s="12">
        <f>IF($B1474="","",IF(ROUND($G1474,0)&gt;0,"بدهکار",IF(ROUND($G1474,0)&lt;0,"بستانکار","تسویه")))</f>
        <v/>
      </c>
    </row>
    <row r="1475">
      <c r="A1475" s="16">
        <f>IF($B1475="","",1466)</f>
        <v/>
      </c>
      <c r="B1475" s="17">
        <f>IF(331&gt;NLoanA,"",IFERROR(IF(VLOOKUP(INDEX(PkLoanA,331),AcctTblA,4,0)="","(بدون نام)",VLOOKUP(INDEX(PkLoanA,331),AcctTblA,4,0)),"—"))</f>
        <v/>
      </c>
      <c r="C1475" s="18">
        <f>IF($B1475="","",IF(331&gt;NLoanA,"",INDEX(PkLoanA,331)))</f>
        <v/>
      </c>
      <c r="D1475" s="17">
        <f>IF($B1475="","","l")</f>
        <v/>
      </c>
      <c r="E1475" s="19">
        <f>IF($B1475="","",IF(331&gt;NLoanA,0,SUMIF(CalcDebit,INDEX(PkLoanA,331),CalcAmt)+SUMIF(CalcDebit2,INDEX(PkLoanA,331),CalcAmt2)))</f>
        <v/>
      </c>
      <c r="F1475" s="19">
        <f>IF($B1475="","",IF(331&gt;NLoanA,0,SUMIF(CalcCredit,INDEX(PkLoanA,331),CalcAmt)+SUMIF(CalcCredit2,INDEX(PkLoanA,331),CalcAmt2)))</f>
        <v/>
      </c>
      <c r="G1475" s="20">
        <f>IF($B1475="","",ROUND($E1475-$F1475,0))</f>
        <v/>
      </c>
      <c r="H1475" s="17">
        <f>IF($B1475="","",IF(ROUND($G1475,0)&gt;0,"بدهکار",IF(ROUND($G1475,0)&lt;0,"بستانکار","تسویه")))</f>
        <v/>
      </c>
    </row>
    <row r="1476">
      <c r="A1476" s="11">
        <f>IF($B1476="","",1467)</f>
        <v/>
      </c>
      <c r="B1476" s="12">
        <f>IF(332&gt;NLoanA,"",IFERROR(IF(VLOOKUP(INDEX(PkLoanA,332),AcctTblA,4,0)="","(بدون نام)",VLOOKUP(INDEX(PkLoanA,332),AcctTblA,4,0)),"—"))</f>
        <v/>
      </c>
      <c r="C1476" s="13">
        <f>IF($B1476="","",IF(332&gt;NLoanA,"",INDEX(PkLoanA,332)))</f>
        <v/>
      </c>
      <c r="D1476" s="12">
        <f>IF($B1476="","","l")</f>
        <v/>
      </c>
      <c r="E1476" s="14">
        <f>IF($B1476="","",IF(332&gt;NLoanA,0,SUMIF(CalcDebit,INDEX(PkLoanA,332),CalcAmt)+SUMIF(CalcDebit2,INDEX(PkLoanA,332),CalcAmt2)))</f>
        <v/>
      </c>
      <c r="F1476" s="14">
        <f>IF($B1476="","",IF(332&gt;NLoanA,0,SUMIF(CalcCredit,INDEX(PkLoanA,332),CalcAmt)+SUMIF(CalcCredit2,INDEX(PkLoanA,332),CalcAmt2)))</f>
        <v/>
      </c>
      <c r="G1476" s="15">
        <f>IF($B1476="","",ROUND($E1476-$F1476,0))</f>
        <v/>
      </c>
      <c r="H1476" s="12">
        <f>IF($B1476="","",IF(ROUND($G1476,0)&gt;0,"بدهکار",IF(ROUND($G1476,0)&lt;0,"بستانکار","تسویه")))</f>
        <v/>
      </c>
    </row>
    <row r="1477">
      <c r="A1477" s="16">
        <f>IF($B1477="","",1468)</f>
        <v/>
      </c>
      <c r="B1477" s="17">
        <f>IF(333&gt;NLoanA,"",IFERROR(IF(VLOOKUP(INDEX(PkLoanA,333),AcctTblA,4,0)="","(بدون نام)",VLOOKUP(INDEX(PkLoanA,333),AcctTblA,4,0)),"—"))</f>
        <v/>
      </c>
      <c r="C1477" s="18">
        <f>IF($B1477="","",IF(333&gt;NLoanA,"",INDEX(PkLoanA,333)))</f>
        <v/>
      </c>
      <c r="D1477" s="17">
        <f>IF($B1477="","","l")</f>
        <v/>
      </c>
      <c r="E1477" s="19">
        <f>IF($B1477="","",IF(333&gt;NLoanA,0,SUMIF(CalcDebit,INDEX(PkLoanA,333),CalcAmt)+SUMIF(CalcDebit2,INDEX(PkLoanA,333),CalcAmt2)))</f>
        <v/>
      </c>
      <c r="F1477" s="19">
        <f>IF($B1477="","",IF(333&gt;NLoanA,0,SUMIF(CalcCredit,INDEX(PkLoanA,333),CalcAmt)+SUMIF(CalcCredit2,INDEX(PkLoanA,333),CalcAmt2)))</f>
        <v/>
      </c>
      <c r="G1477" s="20">
        <f>IF($B1477="","",ROUND($E1477-$F1477,0))</f>
        <v/>
      </c>
      <c r="H1477" s="17">
        <f>IF($B1477="","",IF(ROUND($G1477,0)&gt;0,"بدهکار",IF(ROUND($G1477,0)&lt;0,"بستانکار","تسویه")))</f>
        <v/>
      </c>
    </row>
    <row r="1478">
      <c r="A1478" s="11">
        <f>IF($B1478="","",1469)</f>
        <v/>
      </c>
      <c r="B1478" s="12">
        <f>IF(334&gt;NLoanA,"",IFERROR(IF(VLOOKUP(INDEX(PkLoanA,334),AcctTblA,4,0)="","(بدون نام)",VLOOKUP(INDEX(PkLoanA,334),AcctTblA,4,0)),"—"))</f>
        <v/>
      </c>
      <c r="C1478" s="13">
        <f>IF($B1478="","",IF(334&gt;NLoanA,"",INDEX(PkLoanA,334)))</f>
        <v/>
      </c>
      <c r="D1478" s="12">
        <f>IF($B1478="","","l")</f>
        <v/>
      </c>
      <c r="E1478" s="14">
        <f>IF($B1478="","",IF(334&gt;NLoanA,0,SUMIF(CalcDebit,INDEX(PkLoanA,334),CalcAmt)+SUMIF(CalcDebit2,INDEX(PkLoanA,334),CalcAmt2)))</f>
        <v/>
      </c>
      <c r="F1478" s="14">
        <f>IF($B1478="","",IF(334&gt;NLoanA,0,SUMIF(CalcCredit,INDEX(PkLoanA,334),CalcAmt)+SUMIF(CalcCredit2,INDEX(PkLoanA,334),CalcAmt2)))</f>
        <v/>
      </c>
      <c r="G1478" s="15">
        <f>IF($B1478="","",ROUND($E1478-$F1478,0))</f>
        <v/>
      </c>
      <c r="H1478" s="12">
        <f>IF($B1478="","",IF(ROUND($G1478,0)&gt;0,"بدهکار",IF(ROUND($G1478,0)&lt;0,"بستانکار","تسویه")))</f>
        <v/>
      </c>
    </row>
    <row r="1479">
      <c r="A1479" s="16">
        <f>IF($B1479="","",1470)</f>
        <v/>
      </c>
      <c r="B1479" s="17">
        <f>IF(335&gt;NLoanA,"",IFERROR(IF(VLOOKUP(INDEX(PkLoanA,335),AcctTblA,4,0)="","(بدون نام)",VLOOKUP(INDEX(PkLoanA,335),AcctTblA,4,0)),"—"))</f>
        <v/>
      </c>
      <c r="C1479" s="18">
        <f>IF($B1479="","",IF(335&gt;NLoanA,"",INDEX(PkLoanA,335)))</f>
        <v/>
      </c>
      <c r="D1479" s="17">
        <f>IF($B1479="","","l")</f>
        <v/>
      </c>
      <c r="E1479" s="19">
        <f>IF($B1479="","",IF(335&gt;NLoanA,0,SUMIF(CalcDebit,INDEX(PkLoanA,335),CalcAmt)+SUMIF(CalcDebit2,INDEX(PkLoanA,335),CalcAmt2)))</f>
        <v/>
      </c>
      <c r="F1479" s="19">
        <f>IF($B1479="","",IF(335&gt;NLoanA,0,SUMIF(CalcCredit,INDEX(PkLoanA,335),CalcAmt)+SUMIF(CalcCredit2,INDEX(PkLoanA,335),CalcAmt2)))</f>
        <v/>
      </c>
      <c r="G1479" s="20">
        <f>IF($B1479="","",ROUND($E1479-$F1479,0))</f>
        <v/>
      </c>
      <c r="H1479" s="17">
        <f>IF($B1479="","",IF(ROUND($G1479,0)&gt;0,"بدهکار",IF(ROUND($G1479,0)&lt;0,"بستانکار","تسویه")))</f>
        <v/>
      </c>
    </row>
    <row r="1480">
      <c r="A1480" s="11">
        <f>IF($B1480="","",1471)</f>
        <v/>
      </c>
      <c r="B1480" s="12">
        <f>IF(336&gt;NLoanA,"",IFERROR(IF(VLOOKUP(INDEX(PkLoanA,336),AcctTblA,4,0)="","(بدون نام)",VLOOKUP(INDEX(PkLoanA,336),AcctTblA,4,0)),"—"))</f>
        <v/>
      </c>
      <c r="C1480" s="13">
        <f>IF($B1480="","",IF(336&gt;NLoanA,"",INDEX(PkLoanA,336)))</f>
        <v/>
      </c>
      <c r="D1480" s="12">
        <f>IF($B1480="","","l")</f>
        <v/>
      </c>
      <c r="E1480" s="14">
        <f>IF($B1480="","",IF(336&gt;NLoanA,0,SUMIF(CalcDebit,INDEX(PkLoanA,336),CalcAmt)+SUMIF(CalcDebit2,INDEX(PkLoanA,336),CalcAmt2)))</f>
        <v/>
      </c>
      <c r="F1480" s="14">
        <f>IF($B1480="","",IF(336&gt;NLoanA,0,SUMIF(CalcCredit,INDEX(PkLoanA,336),CalcAmt)+SUMIF(CalcCredit2,INDEX(PkLoanA,336),CalcAmt2)))</f>
        <v/>
      </c>
      <c r="G1480" s="15">
        <f>IF($B1480="","",ROUND($E1480-$F1480,0))</f>
        <v/>
      </c>
      <c r="H1480" s="12">
        <f>IF($B1480="","",IF(ROUND($G1480,0)&gt;0,"بدهکار",IF(ROUND($G1480,0)&lt;0,"بستانکار","تسویه")))</f>
        <v/>
      </c>
    </row>
    <row r="1481">
      <c r="A1481" s="16">
        <f>IF($B1481="","",1472)</f>
        <v/>
      </c>
      <c r="B1481" s="17">
        <f>IF(337&gt;NLoanA,"",IFERROR(IF(VLOOKUP(INDEX(PkLoanA,337),AcctTblA,4,0)="","(بدون نام)",VLOOKUP(INDEX(PkLoanA,337),AcctTblA,4,0)),"—"))</f>
        <v/>
      </c>
      <c r="C1481" s="18">
        <f>IF($B1481="","",IF(337&gt;NLoanA,"",INDEX(PkLoanA,337)))</f>
        <v/>
      </c>
      <c r="D1481" s="17">
        <f>IF($B1481="","","l")</f>
        <v/>
      </c>
      <c r="E1481" s="19">
        <f>IF($B1481="","",IF(337&gt;NLoanA,0,SUMIF(CalcDebit,INDEX(PkLoanA,337),CalcAmt)+SUMIF(CalcDebit2,INDEX(PkLoanA,337),CalcAmt2)))</f>
        <v/>
      </c>
      <c r="F1481" s="19">
        <f>IF($B1481="","",IF(337&gt;NLoanA,0,SUMIF(CalcCredit,INDEX(PkLoanA,337),CalcAmt)+SUMIF(CalcCredit2,INDEX(PkLoanA,337),CalcAmt2)))</f>
        <v/>
      </c>
      <c r="G1481" s="20">
        <f>IF($B1481="","",ROUND($E1481-$F1481,0))</f>
        <v/>
      </c>
      <c r="H1481" s="17">
        <f>IF($B1481="","",IF(ROUND($G1481,0)&gt;0,"بدهکار",IF(ROUND($G1481,0)&lt;0,"بستانکار","تسویه")))</f>
        <v/>
      </c>
    </row>
    <row r="1482">
      <c r="A1482" s="11">
        <f>IF($B1482="","",1473)</f>
        <v/>
      </c>
      <c r="B1482" s="12">
        <f>IF(338&gt;NLoanA,"",IFERROR(IF(VLOOKUP(INDEX(PkLoanA,338),AcctTblA,4,0)="","(بدون نام)",VLOOKUP(INDEX(PkLoanA,338),AcctTblA,4,0)),"—"))</f>
        <v/>
      </c>
      <c r="C1482" s="13">
        <f>IF($B1482="","",IF(338&gt;NLoanA,"",INDEX(PkLoanA,338)))</f>
        <v/>
      </c>
      <c r="D1482" s="12">
        <f>IF($B1482="","","l")</f>
        <v/>
      </c>
      <c r="E1482" s="14">
        <f>IF($B1482="","",IF(338&gt;NLoanA,0,SUMIF(CalcDebit,INDEX(PkLoanA,338),CalcAmt)+SUMIF(CalcDebit2,INDEX(PkLoanA,338),CalcAmt2)))</f>
        <v/>
      </c>
      <c r="F1482" s="14">
        <f>IF($B1482="","",IF(338&gt;NLoanA,0,SUMIF(CalcCredit,INDEX(PkLoanA,338),CalcAmt)+SUMIF(CalcCredit2,INDEX(PkLoanA,338),CalcAmt2)))</f>
        <v/>
      </c>
      <c r="G1482" s="15">
        <f>IF($B1482="","",ROUND($E1482-$F1482,0))</f>
        <v/>
      </c>
      <c r="H1482" s="12">
        <f>IF($B1482="","",IF(ROUND($G1482,0)&gt;0,"بدهکار",IF(ROUND($G1482,0)&lt;0,"بستانکار","تسویه")))</f>
        <v/>
      </c>
    </row>
    <row r="1483">
      <c r="A1483" s="16">
        <f>IF($B1483="","",1474)</f>
        <v/>
      </c>
      <c r="B1483" s="17">
        <f>IF(339&gt;NLoanA,"",IFERROR(IF(VLOOKUP(INDEX(PkLoanA,339),AcctTblA,4,0)="","(بدون نام)",VLOOKUP(INDEX(PkLoanA,339),AcctTblA,4,0)),"—"))</f>
        <v/>
      </c>
      <c r="C1483" s="18">
        <f>IF($B1483="","",IF(339&gt;NLoanA,"",INDEX(PkLoanA,339)))</f>
        <v/>
      </c>
      <c r="D1483" s="17">
        <f>IF($B1483="","","l")</f>
        <v/>
      </c>
      <c r="E1483" s="19">
        <f>IF($B1483="","",IF(339&gt;NLoanA,0,SUMIF(CalcDebit,INDEX(PkLoanA,339),CalcAmt)+SUMIF(CalcDebit2,INDEX(PkLoanA,339),CalcAmt2)))</f>
        <v/>
      </c>
      <c r="F1483" s="19">
        <f>IF($B1483="","",IF(339&gt;NLoanA,0,SUMIF(CalcCredit,INDEX(PkLoanA,339),CalcAmt)+SUMIF(CalcCredit2,INDEX(PkLoanA,339),CalcAmt2)))</f>
        <v/>
      </c>
      <c r="G1483" s="20">
        <f>IF($B1483="","",ROUND($E1483-$F1483,0))</f>
        <v/>
      </c>
      <c r="H1483" s="17">
        <f>IF($B1483="","",IF(ROUND($G1483,0)&gt;0,"بدهکار",IF(ROUND($G1483,0)&lt;0,"بستانکار","تسویه")))</f>
        <v/>
      </c>
    </row>
    <row r="1484">
      <c r="A1484" s="11">
        <f>IF($B1484="","",1475)</f>
        <v/>
      </c>
      <c r="B1484" s="12">
        <f>IF(340&gt;NLoanA,"",IFERROR(IF(VLOOKUP(INDEX(PkLoanA,340),AcctTblA,4,0)="","(بدون نام)",VLOOKUP(INDEX(PkLoanA,340),AcctTblA,4,0)),"—"))</f>
        <v/>
      </c>
      <c r="C1484" s="13">
        <f>IF($B1484="","",IF(340&gt;NLoanA,"",INDEX(PkLoanA,340)))</f>
        <v/>
      </c>
      <c r="D1484" s="12">
        <f>IF($B1484="","","l")</f>
        <v/>
      </c>
      <c r="E1484" s="14">
        <f>IF($B1484="","",IF(340&gt;NLoanA,0,SUMIF(CalcDebit,INDEX(PkLoanA,340),CalcAmt)+SUMIF(CalcDebit2,INDEX(PkLoanA,340),CalcAmt2)))</f>
        <v/>
      </c>
      <c r="F1484" s="14">
        <f>IF($B1484="","",IF(340&gt;NLoanA,0,SUMIF(CalcCredit,INDEX(PkLoanA,340),CalcAmt)+SUMIF(CalcCredit2,INDEX(PkLoanA,340),CalcAmt2)))</f>
        <v/>
      </c>
      <c r="G1484" s="15">
        <f>IF($B1484="","",ROUND($E1484-$F1484,0))</f>
        <v/>
      </c>
      <c r="H1484" s="12">
        <f>IF($B1484="","",IF(ROUND($G1484,0)&gt;0,"بدهکار",IF(ROUND($G1484,0)&lt;0,"بستانکار","تسویه")))</f>
        <v/>
      </c>
    </row>
    <row r="1485">
      <c r="A1485" s="16">
        <f>IF($B1485="","",1476)</f>
        <v/>
      </c>
      <c r="B1485" s="17">
        <f>IF(341&gt;NLoanA,"",IFERROR(IF(VLOOKUP(INDEX(PkLoanA,341),AcctTblA,4,0)="","(بدون نام)",VLOOKUP(INDEX(PkLoanA,341),AcctTblA,4,0)),"—"))</f>
        <v/>
      </c>
      <c r="C1485" s="18">
        <f>IF($B1485="","",IF(341&gt;NLoanA,"",INDEX(PkLoanA,341)))</f>
        <v/>
      </c>
      <c r="D1485" s="17">
        <f>IF($B1485="","","l")</f>
        <v/>
      </c>
      <c r="E1485" s="19">
        <f>IF($B1485="","",IF(341&gt;NLoanA,0,SUMIF(CalcDebit,INDEX(PkLoanA,341),CalcAmt)+SUMIF(CalcDebit2,INDEX(PkLoanA,341),CalcAmt2)))</f>
        <v/>
      </c>
      <c r="F1485" s="19">
        <f>IF($B1485="","",IF(341&gt;NLoanA,0,SUMIF(CalcCredit,INDEX(PkLoanA,341),CalcAmt)+SUMIF(CalcCredit2,INDEX(PkLoanA,341),CalcAmt2)))</f>
        <v/>
      </c>
      <c r="G1485" s="20">
        <f>IF($B1485="","",ROUND($E1485-$F1485,0))</f>
        <v/>
      </c>
      <c r="H1485" s="17">
        <f>IF($B1485="","",IF(ROUND($G1485,0)&gt;0,"بدهکار",IF(ROUND($G1485,0)&lt;0,"بستانکار","تسویه")))</f>
        <v/>
      </c>
    </row>
    <row r="1486">
      <c r="A1486" s="11">
        <f>IF($B1486="","",1477)</f>
        <v/>
      </c>
      <c r="B1486" s="12">
        <f>IF(342&gt;NLoanA,"",IFERROR(IF(VLOOKUP(INDEX(PkLoanA,342),AcctTblA,4,0)="","(بدون نام)",VLOOKUP(INDEX(PkLoanA,342),AcctTblA,4,0)),"—"))</f>
        <v/>
      </c>
      <c r="C1486" s="13">
        <f>IF($B1486="","",IF(342&gt;NLoanA,"",INDEX(PkLoanA,342)))</f>
        <v/>
      </c>
      <c r="D1486" s="12">
        <f>IF($B1486="","","l")</f>
        <v/>
      </c>
      <c r="E1486" s="14">
        <f>IF($B1486="","",IF(342&gt;NLoanA,0,SUMIF(CalcDebit,INDEX(PkLoanA,342),CalcAmt)+SUMIF(CalcDebit2,INDEX(PkLoanA,342),CalcAmt2)))</f>
        <v/>
      </c>
      <c r="F1486" s="14">
        <f>IF($B1486="","",IF(342&gt;NLoanA,0,SUMIF(CalcCredit,INDEX(PkLoanA,342),CalcAmt)+SUMIF(CalcCredit2,INDEX(PkLoanA,342),CalcAmt2)))</f>
        <v/>
      </c>
      <c r="G1486" s="15">
        <f>IF($B1486="","",ROUND($E1486-$F1486,0))</f>
        <v/>
      </c>
      <c r="H1486" s="12">
        <f>IF($B1486="","",IF(ROUND($G1486,0)&gt;0,"بدهکار",IF(ROUND($G1486,0)&lt;0,"بستانکار","تسویه")))</f>
        <v/>
      </c>
    </row>
    <row r="1487">
      <c r="A1487" s="16">
        <f>IF($B1487="","",1478)</f>
        <v/>
      </c>
      <c r="B1487" s="17">
        <f>IF(343&gt;NLoanA,"",IFERROR(IF(VLOOKUP(INDEX(PkLoanA,343),AcctTblA,4,0)="","(بدون نام)",VLOOKUP(INDEX(PkLoanA,343),AcctTblA,4,0)),"—"))</f>
        <v/>
      </c>
      <c r="C1487" s="18">
        <f>IF($B1487="","",IF(343&gt;NLoanA,"",INDEX(PkLoanA,343)))</f>
        <v/>
      </c>
      <c r="D1487" s="17">
        <f>IF($B1487="","","l")</f>
        <v/>
      </c>
      <c r="E1487" s="19">
        <f>IF($B1487="","",IF(343&gt;NLoanA,0,SUMIF(CalcDebit,INDEX(PkLoanA,343),CalcAmt)+SUMIF(CalcDebit2,INDEX(PkLoanA,343),CalcAmt2)))</f>
        <v/>
      </c>
      <c r="F1487" s="19">
        <f>IF($B1487="","",IF(343&gt;NLoanA,0,SUMIF(CalcCredit,INDEX(PkLoanA,343),CalcAmt)+SUMIF(CalcCredit2,INDEX(PkLoanA,343),CalcAmt2)))</f>
        <v/>
      </c>
      <c r="G1487" s="20">
        <f>IF($B1487="","",ROUND($E1487-$F1487,0))</f>
        <v/>
      </c>
      <c r="H1487" s="17">
        <f>IF($B1487="","",IF(ROUND($G1487,0)&gt;0,"بدهکار",IF(ROUND($G1487,0)&lt;0,"بستانکار","تسویه")))</f>
        <v/>
      </c>
    </row>
    <row r="1488">
      <c r="A1488" s="11">
        <f>IF($B1488="","",1479)</f>
        <v/>
      </c>
      <c r="B1488" s="12">
        <f>IF(344&gt;NLoanA,"",IFERROR(IF(VLOOKUP(INDEX(PkLoanA,344),AcctTblA,4,0)="","(بدون نام)",VLOOKUP(INDEX(PkLoanA,344),AcctTblA,4,0)),"—"))</f>
        <v/>
      </c>
      <c r="C1488" s="13">
        <f>IF($B1488="","",IF(344&gt;NLoanA,"",INDEX(PkLoanA,344)))</f>
        <v/>
      </c>
      <c r="D1488" s="12">
        <f>IF($B1488="","","l")</f>
        <v/>
      </c>
      <c r="E1488" s="14">
        <f>IF($B1488="","",IF(344&gt;NLoanA,0,SUMIF(CalcDebit,INDEX(PkLoanA,344),CalcAmt)+SUMIF(CalcDebit2,INDEX(PkLoanA,344),CalcAmt2)))</f>
        <v/>
      </c>
      <c r="F1488" s="14">
        <f>IF($B1488="","",IF(344&gt;NLoanA,0,SUMIF(CalcCredit,INDEX(PkLoanA,344),CalcAmt)+SUMIF(CalcCredit2,INDEX(PkLoanA,344),CalcAmt2)))</f>
        <v/>
      </c>
      <c r="G1488" s="15">
        <f>IF($B1488="","",ROUND($E1488-$F1488,0))</f>
        <v/>
      </c>
      <c r="H1488" s="12">
        <f>IF($B1488="","",IF(ROUND($G1488,0)&gt;0,"بدهکار",IF(ROUND($G1488,0)&lt;0,"بستانکار","تسویه")))</f>
        <v/>
      </c>
    </row>
    <row r="1489">
      <c r="A1489" s="16">
        <f>IF($B1489="","",1480)</f>
        <v/>
      </c>
      <c r="B1489" s="17">
        <f>IF(345&gt;NLoanA,"",IFERROR(IF(VLOOKUP(INDEX(PkLoanA,345),AcctTblA,4,0)="","(بدون نام)",VLOOKUP(INDEX(PkLoanA,345),AcctTblA,4,0)),"—"))</f>
        <v/>
      </c>
      <c r="C1489" s="18">
        <f>IF($B1489="","",IF(345&gt;NLoanA,"",INDEX(PkLoanA,345)))</f>
        <v/>
      </c>
      <c r="D1489" s="17">
        <f>IF($B1489="","","l")</f>
        <v/>
      </c>
      <c r="E1489" s="19">
        <f>IF($B1489="","",IF(345&gt;NLoanA,0,SUMIF(CalcDebit,INDEX(PkLoanA,345),CalcAmt)+SUMIF(CalcDebit2,INDEX(PkLoanA,345),CalcAmt2)))</f>
        <v/>
      </c>
      <c r="F1489" s="19">
        <f>IF($B1489="","",IF(345&gt;NLoanA,0,SUMIF(CalcCredit,INDEX(PkLoanA,345),CalcAmt)+SUMIF(CalcCredit2,INDEX(PkLoanA,345),CalcAmt2)))</f>
        <v/>
      </c>
      <c r="G1489" s="20">
        <f>IF($B1489="","",ROUND($E1489-$F1489,0))</f>
        <v/>
      </c>
      <c r="H1489" s="17">
        <f>IF($B1489="","",IF(ROUND($G1489,0)&gt;0,"بدهکار",IF(ROUND($G1489,0)&lt;0,"بستانکار","تسویه")))</f>
        <v/>
      </c>
    </row>
    <row r="1490">
      <c r="A1490" s="11">
        <f>IF($B1490="","",1481)</f>
        <v/>
      </c>
      <c r="B1490" s="12">
        <f>IF(346&gt;NLoanA,"",IFERROR(IF(VLOOKUP(INDEX(PkLoanA,346),AcctTblA,4,0)="","(بدون نام)",VLOOKUP(INDEX(PkLoanA,346),AcctTblA,4,0)),"—"))</f>
        <v/>
      </c>
      <c r="C1490" s="13">
        <f>IF($B1490="","",IF(346&gt;NLoanA,"",INDEX(PkLoanA,346)))</f>
        <v/>
      </c>
      <c r="D1490" s="12">
        <f>IF($B1490="","","l")</f>
        <v/>
      </c>
      <c r="E1490" s="14">
        <f>IF($B1490="","",IF(346&gt;NLoanA,0,SUMIF(CalcDebit,INDEX(PkLoanA,346),CalcAmt)+SUMIF(CalcDebit2,INDEX(PkLoanA,346),CalcAmt2)))</f>
        <v/>
      </c>
      <c r="F1490" s="14">
        <f>IF($B1490="","",IF(346&gt;NLoanA,0,SUMIF(CalcCredit,INDEX(PkLoanA,346),CalcAmt)+SUMIF(CalcCredit2,INDEX(PkLoanA,346),CalcAmt2)))</f>
        <v/>
      </c>
      <c r="G1490" s="15">
        <f>IF($B1490="","",ROUND($E1490-$F1490,0))</f>
        <v/>
      </c>
      <c r="H1490" s="12">
        <f>IF($B1490="","",IF(ROUND($G1490,0)&gt;0,"بدهکار",IF(ROUND($G1490,0)&lt;0,"بستانکار","تسویه")))</f>
        <v/>
      </c>
    </row>
    <row r="1491">
      <c r="A1491" s="16">
        <f>IF($B1491="","",1482)</f>
        <v/>
      </c>
      <c r="B1491" s="17">
        <f>IF(347&gt;NLoanA,"",IFERROR(IF(VLOOKUP(INDEX(PkLoanA,347),AcctTblA,4,0)="","(بدون نام)",VLOOKUP(INDEX(PkLoanA,347),AcctTblA,4,0)),"—"))</f>
        <v/>
      </c>
      <c r="C1491" s="18">
        <f>IF($B1491="","",IF(347&gt;NLoanA,"",INDEX(PkLoanA,347)))</f>
        <v/>
      </c>
      <c r="D1491" s="17">
        <f>IF($B1491="","","l")</f>
        <v/>
      </c>
      <c r="E1491" s="19">
        <f>IF($B1491="","",IF(347&gt;NLoanA,0,SUMIF(CalcDebit,INDEX(PkLoanA,347),CalcAmt)+SUMIF(CalcDebit2,INDEX(PkLoanA,347),CalcAmt2)))</f>
        <v/>
      </c>
      <c r="F1491" s="19">
        <f>IF($B1491="","",IF(347&gt;NLoanA,0,SUMIF(CalcCredit,INDEX(PkLoanA,347),CalcAmt)+SUMIF(CalcCredit2,INDEX(PkLoanA,347),CalcAmt2)))</f>
        <v/>
      </c>
      <c r="G1491" s="20">
        <f>IF($B1491="","",ROUND($E1491-$F1491,0))</f>
        <v/>
      </c>
      <c r="H1491" s="17">
        <f>IF($B1491="","",IF(ROUND($G1491,0)&gt;0,"بدهکار",IF(ROUND($G1491,0)&lt;0,"بستانکار","تسویه")))</f>
        <v/>
      </c>
    </row>
    <row r="1492">
      <c r="A1492" s="11">
        <f>IF($B1492="","",1483)</f>
        <v/>
      </c>
      <c r="B1492" s="12">
        <f>IF(348&gt;NLoanA,"",IFERROR(IF(VLOOKUP(INDEX(PkLoanA,348),AcctTblA,4,0)="","(بدون نام)",VLOOKUP(INDEX(PkLoanA,348),AcctTblA,4,0)),"—"))</f>
        <v/>
      </c>
      <c r="C1492" s="13">
        <f>IF($B1492="","",IF(348&gt;NLoanA,"",INDEX(PkLoanA,348)))</f>
        <v/>
      </c>
      <c r="D1492" s="12">
        <f>IF($B1492="","","l")</f>
        <v/>
      </c>
      <c r="E1492" s="14">
        <f>IF($B1492="","",IF(348&gt;NLoanA,0,SUMIF(CalcDebit,INDEX(PkLoanA,348),CalcAmt)+SUMIF(CalcDebit2,INDEX(PkLoanA,348),CalcAmt2)))</f>
        <v/>
      </c>
      <c r="F1492" s="14">
        <f>IF($B1492="","",IF(348&gt;NLoanA,0,SUMIF(CalcCredit,INDEX(PkLoanA,348),CalcAmt)+SUMIF(CalcCredit2,INDEX(PkLoanA,348),CalcAmt2)))</f>
        <v/>
      </c>
      <c r="G1492" s="15">
        <f>IF($B1492="","",ROUND($E1492-$F1492,0))</f>
        <v/>
      </c>
      <c r="H1492" s="12">
        <f>IF($B1492="","",IF(ROUND($G1492,0)&gt;0,"بدهکار",IF(ROUND($G1492,0)&lt;0,"بستانکار","تسویه")))</f>
        <v/>
      </c>
    </row>
    <row r="1493">
      <c r="A1493" s="16">
        <f>IF($B1493="","",1484)</f>
        <v/>
      </c>
      <c r="B1493" s="17">
        <f>IF(349&gt;NLoanA,"",IFERROR(IF(VLOOKUP(INDEX(PkLoanA,349),AcctTblA,4,0)="","(بدون نام)",VLOOKUP(INDEX(PkLoanA,349),AcctTblA,4,0)),"—"))</f>
        <v/>
      </c>
      <c r="C1493" s="18">
        <f>IF($B1493="","",IF(349&gt;NLoanA,"",INDEX(PkLoanA,349)))</f>
        <v/>
      </c>
      <c r="D1493" s="17">
        <f>IF($B1493="","","l")</f>
        <v/>
      </c>
      <c r="E1493" s="19">
        <f>IF($B1493="","",IF(349&gt;NLoanA,0,SUMIF(CalcDebit,INDEX(PkLoanA,349),CalcAmt)+SUMIF(CalcDebit2,INDEX(PkLoanA,349),CalcAmt2)))</f>
        <v/>
      </c>
      <c r="F1493" s="19">
        <f>IF($B1493="","",IF(349&gt;NLoanA,0,SUMIF(CalcCredit,INDEX(PkLoanA,349),CalcAmt)+SUMIF(CalcCredit2,INDEX(PkLoanA,349),CalcAmt2)))</f>
        <v/>
      </c>
      <c r="G1493" s="20">
        <f>IF($B1493="","",ROUND($E1493-$F1493,0))</f>
        <v/>
      </c>
      <c r="H1493" s="17">
        <f>IF($B1493="","",IF(ROUND($G1493,0)&gt;0,"بدهکار",IF(ROUND($G1493,0)&lt;0,"بستانکار","تسویه")))</f>
        <v/>
      </c>
    </row>
    <row r="1494">
      <c r="A1494" s="11">
        <f>IF($B1494="","",1485)</f>
        <v/>
      </c>
      <c r="B1494" s="12">
        <f>IF(350&gt;NLoanA,"",IFERROR(IF(VLOOKUP(INDEX(PkLoanA,350),AcctTblA,4,0)="","(بدون نام)",VLOOKUP(INDEX(PkLoanA,350),AcctTblA,4,0)),"—"))</f>
        <v/>
      </c>
      <c r="C1494" s="13">
        <f>IF($B1494="","",IF(350&gt;NLoanA,"",INDEX(PkLoanA,350)))</f>
        <v/>
      </c>
      <c r="D1494" s="12">
        <f>IF($B1494="","","l")</f>
        <v/>
      </c>
      <c r="E1494" s="14">
        <f>IF($B1494="","",IF(350&gt;NLoanA,0,SUMIF(CalcDebit,INDEX(PkLoanA,350),CalcAmt)+SUMIF(CalcDebit2,INDEX(PkLoanA,350),CalcAmt2)))</f>
        <v/>
      </c>
      <c r="F1494" s="14">
        <f>IF($B1494="","",IF(350&gt;NLoanA,0,SUMIF(CalcCredit,INDEX(PkLoanA,350),CalcAmt)+SUMIF(CalcCredit2,INDEX(PkLoanA,350),CalcAmt2)))</f>
        <v/>
      </c>
      <c r="G1494" s="15">
        <f>IF($B1494="","",ROUND($E1494-$F1494,0))</f>
        <v/>
      </c>
      <c r="H1494" s="12">
        <f>IF($B1494="","",IF(ROUND($G1494,0)&gt;0,"بدهکار",IF(ROUND($G1494,0)&lt;0,"بستانکار","تسویه")))</f>
        <v/>
      </c>
    </row>
    <row r="1495">
      <c r="A1495" s="16">
        <f>IF($B1495="","",1486)</f>
        <v/>
      </c>
      <c r="B1495" s="17">
        <f>IF(351&gt;NLoanA,"",IFERROR(IF(VLOOKUP(INDEX(PkLoanA,351),AcctTblA,4,0)="","(بدون نام)",VLOOKUP(INDEX(PkLoanA,351),AcctTblA,4,0)),"—"))</f>
        <v/>
      </c>
      <c r="C1495" s="18">
        <f>IF($B1495="","",IF(351&gt;NLoanA,"",INDEX(PkLoanA,351)))</f>
        <v/>
      </c>
      <c r="D1495" s="17">
        <f>IF($B1495="","","l")</f>
        <v/>
      </c>
      <c r="E1495" s="19">
        <f>IF($B1495="","",IF(351&gt;NLoanA,0,SUMIF(CalcDebit,INDEX(PkLoanA,351),CalcAmt)+SUMIF(CalcDebit2,INDEX(PkLoanA,351),CalcAmt2)))</f>
        <v/>
      </c>
      <c r="F1495" s="19">
        <f>IF($B1495="","",IF(351&gt;NLoanA,0,SUMIF(CalcCredit,INDEX(PkLoanA,351),CalcAmt)+SUMIF(CalcCredit2,INDEX(PkLoanA,351),CalcAmt2)))</f>
        <v/>
      </c>
      <c r="G1495" s="20">
        <f>IF($B1495="","",ROUND($E1495-$F1495,0))</f>
        <v/>
      </c>
      <c r="H1495" s="17">
        <f>IF($B1495="","",IF(ROUND($G1495,0)&gt;0,"بدهکار",IF(ROUND($G1495,0)&lt;0,"بستانکار","تسویه")))</f>
        <v/>
      </c>
    </row>
    <row r="1496">
      <c r="A1496" s="11">
        <f>IF($B1496="","",1487)</f>
        <v/>
      </c>
      <c r="B1496" s="12">
        <f>IF(352&gt;NLoanA,"",IFERROR(IF(VLOOKUP(INDEX(PkLoanA,352),AcctTblA,4,0)="","(بدون نام)",VLOOKUP(INDEX(PkLoanA,352),AcctTblA,4,0)),"—"))</f>
        <v/>
      </c>
      <c r="C1496" s="13">
        <f>IF($B1496="","",IF(352&gt;NLoanA,"",INDEX(PkLoanA,352)))</f>
        <v/>
      </c>
      <c r="D1496" s="12">
        <f>IF($B1496="","","l")</f>
        <v/>
      </c>
      <c r="E1496" s="14">
        <f>IF($B1496="","",IF(352&gt;NLoanA,0,SUMIF(CalcDebit,INDEX(PkLoanA,352),CalcAmt)+SUMIF(CalcDebit2,INDEX(PkLoanA,352),CalcAmt2)))</f>
        <v/>
      </c>
      <c r="F1496" s="14">
        <f>IF($B1496="","",IF(352&gt;NLoanA,0,SUMIF(CalcCredit,INDEX(PkLoanA,352),CalcAmt)+SUMIF(CalcCredit2,INDEX(PkLoanA,352),CalcAmt2)))</f>
        <v/>
      </c>
      <c r="G1496" s="15">
        <f>IF($B1496="","",ROUND($E1496-$F1496,0))</f>
        <v/>
      </c>
      <c r="H1496" s="12">
        <f>IF($B1496="","",IF(ROUND($G1496,0)&gt;0,"بدهکار",IF(ROUND($G1496,0)&lt;0,"بستانکار","تسویه")))</f>
        <v/>
      </c>
    </row>
    <row r="1497">
      <c r="A1497" s="16">
        <f>IF($B1497="","",1488)</f>
        <v/>
      </c>
      <c r="B1497" s="17">
        <f>IF(353&gt;NLoanA,"",IFERROR(IF(VLOOKUP(INDEX(PkLoanA,353),AcctTblA,4,0)="","(بدون نام)",VLOOKUP(INDEX(PkLoanA,353),AcctTblA,4,0)),"—"))</f>
        <v/>
      </c>
      <c r="C1497" s="18">
        <f>IF($B1497="","",IF(353&gt;NLoanA,"",INDEX(PkLoanA,353)))</f>
        <v/>
      </c>
      <c r="D1497" s="17">
        <f>IF($B1497="","","l")</f>
        <v/>
      </c>
      <c r="E1497" s="19">
        <f>IF($B1497="","",IF(353&gt;NLoanA,0,SUMIF(CalcDebit,INDEX(PkLoanA,353),CalcAmt)+SUMIF(CalcDebit2,INDEX(PkLoanA,353),CalcAmt2)))</f>
        <v/>
      </c>
      <c r="F1497" s="19">
        <f>IF($B1497="","",IF(353&gt;NLoanA,0,SUMIF(CalcCredit,INDEX(PkLoanA,353),CalcAmt)+SUMIF(CalcCredit2,INDEX(PkLoanA,353),CalcAmt2)))</f>
        <v/>
      </c>
      <c r="G1497" s="20">
        <f>IF($B1497="","",ROUND($E1497-$F1497,0))</f>
        <v/>
      </c>
      <c r="H1497" s="17">
        <f>IF($B1497="","",IF(ROUND($G1497,0)&gt;0,"بدهکار",IF(ROUND($G1497,0)&lt;0,"بستانکار","تسویه")))</f>
        <v/>
      </c>
    </row>
    <row r="1498">
      <c r="A1498" s="11">
        <f>IF($B1498="","",1489)</f>
        <v/>
      </c>
      <c r="B1498" s="12">
        <f>IF(354&gt;NLoanA,"",IFERROR(IF(VLOOKUP(INDEX(PkLoanA,354),AcctTblA,4,0)="","(بدون نام)",VLOOKUP(INDEX(PkLoanA,354),AcctTblA,4,0)),"—"))</f>
        <v/>
      </c>
      <c r="C1498" s="13">
        <f>IF($B1498="","",IF(354&gt;NLoanA,"",INDEX(PkLoanA,354)))</f>
        <v/>
      </c>
      <c r="D1498" s="12">
        <f>IF($B1498="","","l")</f>
        <v/>
      </c>
      <c r="E1498" s="14">
        <f>IF($B1498="","",IF(354&gt;NLoanA,0,SUMIF(CalcDebit,INDEX(PkLoanA,354),CalcAmt)+SUMIF(CalcDebit2,INDEX(PkLoanA,354),CalcAmt2)))</f>
        <v/>
      </c>
      <c r="F1498" s="14">
        <f>IF($B1498="","",IF(354&gt;NLoanA,0,SUMIF(CalcCredit,INDEX(PkLoanA,354),CalcAmt)+SUMIF(CalcCredit2,INDEX(PkLoanA,354),CalcAmt2)))</f>
        <v/>
      </c>
      <c r="G1498" s="15">
        <f>IF($B1498="","",ROUND($E1498-$F1498,0))</f>
        <v/>
      </c>
      <c r="H1498" s="12">
        <f>IF($B1498="","",IF(ROUND($G1498,0)&gt;0,"بدهکار",IF(ROUND($G1498,0)&lt;0,"بستانکار","تسویه")))</f>
        <v/>
      </c>
    </row>
    <row r="1499">
      <c r="A1499" s="16">
        <f>IF($B1499="","",1490)</f>
        <v/>
      </c>
      <c r="B1499" s="17">
        <f>IF(355&gt;NLoanA,"",IFERROR(IF(VLOOKUP(INDEX(PkLoanA,355),AcctTblA,4,0)="","(بدون نام)",VLOOKUP(INDEX(PkLoanA,355),AcctTblA,4,0)),"—"))</f>
        <v/>
      </c>
      <c r="C1499" s="18">
        <f>IF($B1499="","",IF(355&gt;NLoanA,"",INDEX(PkLoanA,355)))</f>
        <v/>
      </c>
      <c r="D1499" s="17">
        <f>IF($B1499="","","l")</f>
        <v/>
      </c>
      <c r="E1499" s="19">
        <f>IF($B1499="","",IF(355&gt;NLoanA,0,SUMIF(CalcDebit,INDEX(PkLoanA,355),CalcAmt)+SUMIF(CalcDebit2,INDEX(PkLoanA,355),CalcAmt2)))</f>
        <v/>
      </c>
      <c r="F1499" s="19">
        <f>IF($B1499="","",IF(355&gt;NLoanA,0,SUMIF(CalcCredit,INDEX(PkLoanA,355),CalcAmt)+SUMIF(CalcCredit2,INDEX(PkLoanA,355),CalcAmt2)))</f>
        <v/>
      </c>
      <c r="G1499" s="20">
        <f>IF($B1499="","",ROUND($E1499-$F1499,0))</f>
        <v/>
      </c>
      <c r="H1499" s="17">
        <f>IF($B1499="","",IF(ROUND($G1499,0)&gt;0,"بدهکار",IF(ROUND($G1499,0)&lt;0,"بستانکار","تسویه")))</f>
        <v/>
      </c>
    </row>
    <row r="1500">
      <c r="A1500" s="11">
        <f>IF($B1500="","",1491)</f>
        <v/>
      </c>
      <c r="B1500" s="12">
        <f>IF(356&gt;NLoanA,"",IFERROR(IF(VLOOKUP(INDEX(PkLoanA,356),AcctTblA,4,0)="","(بدون نام)",VLOOKUP(INDEX(PkLoanA,356),AcctTblA,4,0)),"—"))</f>
        <v/>
      </c>
      <c r="C1500" s="13">
        <f>IF($B1500="","",IF(356&gt;NLoanA,"",INDEX(PkLoanA,356)))</f>
        <v/>
      </c>
      <c r="D1500" s="12">
        <f>IF($B1500="","","l")</f>
        <v/>
      </c>
      <c r="E1500" s="14">
        <f>IF($B1500="","",IF(356&gt;NLoanA,0,SUMIF(CalcDebit,INDEX(PkLoanA,356),CalcAmt)+SUMIF(CalcDebit2,INDEX(PkLoanA,356),CalcAmt2)))</f>
        <v/>
      </c>
      <c r="F1500" s="14">
        <f>IF($B1500="","",IF(356&gt;NLoanA,0,SUMIF(CalcCredit,INDEX(PkLoanA,356),CalcAmt)+SUMIF(CalcCredit2,INDEX(PkLoanA,356),CalcAmt2)))</f>
        <v/>
      </c>
      <c r="G1500" s="15">
        <f>IF($B1500="","",ROUND($E1500-$F1500,0))</f>
        <v/>
      </c>
      <c r="H1500" s="12">
        <f>IF($B1500="","",IF(ROUND($G1500,0)&gt;0,"بدهکار",IF(ROUND($G1500,0)&lt;0,"بستانکار","تسویه")))</f>
        <v/>
      </c>
    </row>
    <row r="1501">
      <c r="A1501" s="16">
        <f>IF($B1501="","",1492)</f>
        <v/>
      </c>
      <c r="B1501" s="17">
        <f>IF(357&gt;NLoanA,"",IFERROR(IF(VLOOKUP(INDEX(PkLoanA,357),AcctTblA,4,0)="","(بدون نام)",VLOOKUP(INDEX(PkLoanA,357),AcctTblA,4,0)),"—"))</f>
        <v/>
      </c>
      <c r="C1501" s="18">
        <f>IF($B1501="","",IF(357&gt;NLoanA,"",INDEX(PkLoanA,357)))</f>
        <v/>
      </c>
      <c r="D1501" s="17">
        <f>IF($B1501="","","l")</f>
        <v/>
      </c>
      <c r="E1501" s="19">
        <f>IF($B1501="","",IF(357&gt;NLoanA,0,SUMIF(CalcDebit,INDEX(PkLoanA,357),CalcAmt)+SUMIF(CalcDebit2,INDEX(PkLoanA,357),CalcAmt2)))</f>
        <v/>
      </c>
      <c r="F1501" s="19">
        <f>IF($B1501="","",IF(357&gt;NLoanA,0,SUMIF(CalcCredit,INDEX(PkLoanA,357),CalcAmt)+SUMIF(CalcCredit2,INDEX(PkLoanA,357),CalcAmt2)))</f>
        <v/>
      </c>
      <c r="G1501" s="20">
        <f>IF($B1501="","",ROUND($E1501-$F1501,0))</f>
        <v/>
      </c>
      <c r="H1501" s="17">
        <f>IF($B1501="","",IF(ROUND($G1501,0)&gt;0,"بدهکار",IF(ROUND($G1501,0)&lt;0,"بستانکار","تسویه")))</f>
        <v/>
      </c>
    </row>
    <row r="1502">
      <c r="A1502" s="11">
        <f>IF($B1502="","",1493)</f>
        <v/>
      </c>
      <c r="B1502" s="12">
        <f>IF(358&gt;NLoanA,"",IFERROR(IF(VLOOKUP(INDEX(PkLoanA,358),AcctTblA,4,0)="","(بدون نام)",VLOOKUP(INDEX(PkLoanA,358),AcctTblA,4,0)),"—"))</f>
        <v/>
      </c>
      <c r="C1502" s="13">
        <f>IF($B1502="","",IF(358&gt;NLoanA,"",INDEX(PkLoanA,358)))</f>
        <v/>
      </c>
      <c r="D1502" s="12">
        <f>IF($B1502="","","l")</f>
        <v/>
      </c>
      <c r="E1502" s="14">
        <f>IF($B1502="","",IF(358&gt;NLoanA,0,SUMIF(CalcDebit,INDEX(PkLoanA,358),CalcAmt)+SUMIF(CalcDebit2,INDEX(PkLoanA,358),CalcAmt2)))</f>
        <v/>
      </c>
      <c r="F1502" s="14">
        <f>IF($B1502="","",IF(358&gt;NLoanA,0,SUMIF(CalcCredit,INDEX(PkLoanA,358),CalcAmt)+SUMIF(CalcCredit2,INDEX(PkLoanA,358),CalcAmt2)))</f>
        <v/>
      </c>
      <c r="G1502" s="15">
        <f>IF($B1502="","",ROUND($E1502-$F1502,0))</f>
        <v/>
      </c>
      <c r="H1502" s="12">
        <f>IF($B1502="","",IF(ROUND($G1502,0)&gt;0,"بدهکار",IF(ROUND($G1502,0)&lt;0,"بستانکار","تسویه")))</f>
        <v/>
      </c>
    </row>
    <row r="1503">
      <c r="A1503" s="16">
        <f>IF($B1503="","",1494)</f>
        <v/>
      </c>
      <c r="B1503" s="17">
        <f>IF(359&gt;NLoanA,"",IFERROR(IF(VLOOKUP(INDEX(PkLoanA,359),AcctTblA,4,0)="","(بدون نام)",VLOOKUP(INDEX(PkLoanA,359),AcctTblA,4,0)),"—"))</f>
        <v/>
      </c>
      <c r="C1503" s="18">
        <f>IF($B1503="","",IF(359&gt;NLoanA,"",INDEX(PkLoanA,359)))</f>
        <v/>
      </c>
      <c r="D1503" s="17">
        <f>IF($B1503="","","l")</f>
        <v/>
      </c>
      <c r="E1503" s="19">
        <f>IF($B1503="","",IF(359&gt;NLoanA,0,SUMIF(CalcDebit,INDEX(PkLoanA,359),CalcAmt)+SUMIF(CalcDebit2,INDEX(PkLoanA,359),CalcAmt2)))</f>
        <v/>
      </c>
      <c r="F1503" s="19">
        <f>IF($B1503="","",IF(359&gt;NLoanA,0,SUMIF(CalcCredit,INDEX(PkLoanA,359),CalcAmt)+SUMIF(CalcCredit2,INDEX(PkLoanA,359),CalcAmt2)))</f>
        <v/>
      </c>
      <c r="G1503" s="20">
        <f>IF($B1503="","",ROUND($E1503-$F1503,0))</f>
        <v/>
      </c>
      <c r="H1503" s="17">
        <f>IF($B1503="","",IF(ROUND($G1503,0)&gt;0,"بدهکار",IF(ROUND($G1503,0)&lt;0,"بستانکار","تسویه")))</f>
        <v/>
      </c>
    </row>
    <row r="1504">
      <c r="A1504" s="11">
        <f>IF($B1504="","",1495)</f>
        <v/>
      </c>
      <c r="B1504" s="12">
        <f>IF(360&gt;NLoanA,"",IFERROR(IF(VLOOKUP(INDEX(PkLoanA,360),AcctTblA,4,0)="","(بدون نام)",VLOOKUP(INDEX(PkLoanA,360),AcctTblA,4,0)),"—"))</f>
        <v/>
      </c>
      <c r="C1504" s="13">
        <f>IF($B1504="","",IF(360&gt;NLoanA,"",INDEX(PkLoanA,360)))</f>
        <v/>
      </c>
      <c r="D1504" s="12">
        <f>IF($B1504="","","l")</f>
        <v/>
      </c>
      <c r="E1504" s="14">
        <f>IF($B1504="","",IF(360&gt;NLoanA,0,SUMIF(CalcDebit,INDEX(PkLoanA,360),CalcAmt)+SUMIF(CalcDebit2,INDEX(PkLoanA,360),CalcAmt2)))</f>
        <v/>
      </c>
      <c r="F1504" s="14">
        <f>IF($B1504="","",IF(360&gt;NLoanA,0,SUMIF(CalcCredit,INDEX(PkLoanA,360),CalcAmt)+SUMIF(CalcCredit2,INDEX(PkLoanA,360),CalcAmt2)))</f>
        <v/>
      </c>
      <c r="G1504" s="15">
        <f>IF($B1504="","",ROUND($E1504-$F1504,0))</f>
        <v/>
      </c>
      <c r="H1504" s="12">
        <f>IF($B1504="","",IF(ROUND($G1504,0)&gt;0,"بدهکار",IF(ROUND($G1504,0)&lt;0,"بستانکار","تسویه")))</f>
        <v/>
      </c>
    </row>
    <row r="1505">
      <c r="A1505" s="16">
        <f>IF($B1505="","",1496)</f>
        <v/>
      </c>
      <c r="B1505" s="17">
        <f>IF(361&gt;NLoanA,"",IFERROR(IF(VLOOKUP(INDEX(PkLoanA,361),AcctTblA,4,0)="","(بدون نام)",VLOOKUP(INDEX(PkLoanA,361),AcctTblA,4,0)),"—"))</f>
        <v/>
      </c>
      <c r="C1505" s="18">
        <f>IF($B1505="","",IF(361&gt;NLoanA,"",INDEX(PkLoanA,361)))</f>
        <v/>
      </c>
      <c r="D1505" s="17">
        <f>IF($B1505="","","l")</f>
        <v/>
      </c>
      <c r="E1505" s="19">
        <f>IF($B1505="","",IF(361&gt;NLoanA,0,SUMIF(CalcDebit,INDEX(PkLoanA,361),CalcAmt)+SUMIF(CalcDebit2,INDEX(PkLoanA,361),CalcAmt2)))</f>
        <v/>
      </c>
      <c r="F1505" s="19">
        <f>IF($B1505="","",IF(361&gt;NLoanA,0,SUMIF(CalcCredit,INDEX(PkLoanA,361),CalcAmt)+SUMIF(CalcCredit2,INDEX(PkLoanA,361),CalcAmt2)))</f>
        <v/>
      </c>
      <c r="G1505" s="20">
        <f>IF($B1505="","",ROUND($E1505-$F1505,0))</f>
        <v/>
      </c>
      <c r="H1505" s="17">
        <f>IF($B1505="","",IF(ROUND($G1505,0)&gt;0,"بدهکار",IF(ROUND($G1505,0)&lt;0,"بستانکار","تسویه")))</f>
        <v/>
      </c>
    </row>
    <row r="1506">
      <c r="A1506" s="11">
        <f>IF($B1506="","",1497)</f>
        <v/>
      </c>
      <c r="B1506" s="12">
        <f>IF(362&gt;NLoanA,"",IFERROR(IF(VLOOKUP(INDEX(PkLoanA,362),AcctTblA,4,0)="","(بدون نام)",VLOOKUP(INDEX(PkLoanA,362),AcctTblA,4,0)),"—"))</f>
        <v/>
      </c>
      <c r="C1506" s="13">
        <f>IF($B1506="","",IF(362&gt;NLoanA,"",INDEX(PkLoanA,362)))</f>
        <v/>
      </c>
      <c r="D1506" s="12">
        <f>IF($B1506="","","l")</f>
        <v/>
      </c>
      <c r="E1506" s="14">
        <f>IF($B1506="","",IF(362&gt;NLoanA,0,SUMIF(CalcDebit,INDEX(PkLoanA,362),CalcAmt)+SUMIF(CalcDebit2,INDEX(PkLoanA,362),CalcAmt2)))</f>
        <v/>
      </c>
      <c r="F1506" s="14">
        <f>IF($B1506="","",IF(362&gt;NLoanA,0,SUMIF(CalcCredit,INDEX(PkLoanA,362),CalcAmt)+SUMIF(CalcCredit2,INDEX(PkLoanA,362),CalcAmt2)))</f>
        <v/>
      </c>
      <c r="G1506" s="15">
        <f>IF($B1506="","",ROUND($E1506-$F1506,0))</f>
        <v/>
      </c>
      <c r="H1506" s="12">
        <f>IF($B1506="","",IF(ROUND($G1506,0)&gt;0,"بدهکار",IF(ROUND($G1506,0)&lt;0,"بستانکار","تسویه")))</f>
        <v/>
      </c>
    </row>
    <row r="1507">
      <c r="A1507" s="16">
        <f>IF($B1507="","",1498)</f>
        <v/>
      </c>
      <c r="B1507" s="17">
        <f>IF(363&gt;NLoanA,"",IFERROR(IF(VLOOKUP(INDEX(PkLoanA,363),AcctTblA,4,0)="","(بدون نام)",VLOOKUP(INDEX(PkLoanA,363),AcctTblA,4,0)),"—"))</f>
        <v/>
      </c>
      <c r="C1507" s="18">
        <f>IF($B1507="","",IF(363&gt;NLoanA,"",INDEX(PkLoanA,363)))</f>
        <v/>
      </c>
      <c r="D1507" s="17">
        <f>IF($B1507="","","l")</f>
        <v/>
      </c>
      <c r="E1507" s="19">
        <f>IF($B1507="","",IF(363&gt;NLoanA,0,SUMIF(CalcDebit,INDEX(PkLoanA,363),CalcAmt)+SUMIF(CalcDebit2,INDEX(PkLoanA,363),CalcAmt2)))</f>
        <v/>
      </c>
      <c r="F1507" s="19">
        <f>IF($B1507="","",IF(363&gt;NLoanA,0,SUMIF(CalcCredit,INDEX(PkLoanA,363),CalcAmt)+SUMIF(CalcCredit2,INDEX(PkLoanA,363),CalcAmt2)))</f>
        <v/>
      </c>
      <c r="G1507" s="20">
        <f>IF($B1507="","",ROUND($E1507-$F1507,0))</f>
        <v/>
      </c>
      <c r="H1507" s="17">
        <f>IF($B1507="","",IF(ROUND($G1507,0)&gt;0,"بدهکار",IF(ROUND($G1507,0)&lt;0,"بستانکار","تسویه")))</f>
        <v/>
      </c>
    </row>
    <row r="1508">
      <c r="A1508" s="11">
        <f>IF($B1508="","",1499)</f>
        <v/>
      </c>
      <c r="B1508" s="12">
        <f>IF(364&gt;NLoanA,"",IFERROR(IF(VLOOKUP(INDEX(PkLoanA,364),AcctTblA,4,0)="","(بدون نام)",VLOOKUP(INDEX(PkLoanA,364),AcctTblA,4,0)),"—"))</f>
        <v/>
      </c>
      <c r="C1508" s="13">
        <f>IF($B1508="","",IF(364&gt;NLoanA,"",INDEX(PkLoanA,364)))</f>
        <v/>
      </c>
      <c r="D1508" s="12">
        <f>IF($B1508="","","l")</f>
        <v/>
      </c>
      <c r="E1508" s="14">
        <f>IF($B1508="","",IF(364&gt;NLoanA,0,SUMIF(CalcDebit,INDEX(PkLoanA,364),CalcAmt)+SUMIF(CalcDebit2,INDEX(PkLoanA,364),CalcAmt2)))</f>
        <v/>
      </c>
      <c r="F1508" s="14">
        <f>IF($B1508="","",IF(364&gt;NLoanA,0,SUMIF(CalcCredit,INDEX(PkLoanA,364),CalcAmt)+SUMIF(CalcCredit2,INDEX(PkLoanA,364),CalcAmt2)))</f>
        <v/>
      </c>
      <c r="G1508" s="15">
        <f>IF($B1508="","",ROUND($E1508-$F1508,0))</f>
        <v/>
      </c>
      <c r="H1508" s="12">
        <f>IF($B1508="","",IF(ROUND($G1508,0)&gt;0,"بدهکار",IF(ROUND($G1508,0)&lt;0,"بستانکار","تسویه")))</f>
        <v/>
      </c>
    </row>
    <row r="1509">
      <c r="A1509" s="16">
        <f>IF($B1509="","",1500)</f>
        <v/>
      </c>
      <c r="B1509" s="17">
        <f>IF(365&gt;NLoanA,"",IFERROR(IF(VLOOKUP(INDEX(PkLoanA,365),AcctTblA,4,0)="","(بدون نام)",VLOOKUP(INDEX(PkLoanA,365),AcctTblA,4,0)),"—"))</f>
        <v/>
      </c>
      <c r="C1509" s="18">
        <f>IF($B1509="","",IF(365&gt;NLoanA,"",INDEX(PkLoanA,365)))</f>
        <v/>
      </c>
      <c r="D1509" s="17">
        <f>IF($B1509="","","l")</f>
        <v/>
      </c>
      <c r="E1509" s="19">
        <f>IF($B1509="","",IF(365&gt;NLoanA,0,SUMIF(CalcDebit,INDEX(PkLoanA,365),CalcAmt)+SUMIF(CalcDebit2,INDEX(PkLoanA,365),CalcAmt2)))</f>
        <v/>
      </c>
      <c r="F1509" s="19">
        <f>IF($B1509="","",IF(365&gt;NLoanA,0,SUMIF(CalcCredit,INDEX(PkLoanA,365),CalcAmt)+SUMIF(CalcCredit2,INDEX(PkLoanA,365),CalcAmt2)))</f>
        <v/>
      </c>
      <c r="G1509" s="20">
        <f>IF($B1509="","",ROUND($E1509-$F1509,0))</f>
        <v/>
      </c>
      <c r="H1509" s="17">
        <f>IF($B1509="","",IF(ROUND($G1509,0)&gt;0,"بدهکار",IF(ROUND($G1509,0)&lt;0,"بستانکار","تسویه")))</f>
        <v/>
      </c>
    </row>
    <row r="1510">
      <c r="A1510" s="11">
        <f>IF($B1510="","",1501)</f>
        <v/>
      </c>
      <c r="B1510" s="12">
        <f>IF(366&gt;NLoanA,"",IFERROR(IF(VLOOKUP(INDEX(PkLoanA,366),AcctTblA,4,0)="","(بدون نام)",VLOOKUP(INDEX(PkLoanA,366),AcctTblA,4,0)),"—"))</f>
        <v/>
      </c>
      <c r="C1510" s="13">
        <f>IF($B1510="","",IF(366&gt;NLoanA,"",INDEX(PkLoanA,366)))</f>
        <v/>
      </c>
      <c r="D1510" s="12">
        <f>IF($B1510="","","l")</f>
        <v/>
      </c>
      <c r="E1510" s="14">
        <f>IF($B1510="","",IF(366&gt;NLoanA,0,SUMIF(CalcDebit,INDEX(PkLoanA,366),CalcAmt)+SUMIF(CalcDebit2,INDEX(PkLoanA,366),CalcAmt2)))</f>
        <v/>
      </c>
      <c r="F1510" s="14">
        <f>IF($B1510="","",IF(366&gt;NLoanA,0,SUMIF(CalcCredit,INDEX(PkLoanA,366),CalcAmt)+SUMIF(CalcCredit2,INDEX(PkLoanA,366),CalcAmt2)))</f>
        <v/>
      </c>
      <c r="G1510" s="15">
        <f>IF($B1510="","",ROUND($E1510-$F1510,0))</f>
        <v/>
      </c>
      <c r="H1510" s="12">
        <f>IF($B1510="","",IF(ROUND($G1510,0)&gt;0,"بدهکار",IF(ROUND($G1510,0)&lt;0,"بستانکار","تسویه")))</f>
        <v/>
      </c>
    </row>
    <row r="1511">
      <c r="A1511" s="16">
        <f>IF($B1511="","",1502)</f>
        <v/>
      </c>
      <c r="B1511" s="17">
        <f>IF(367&gt;NLoanA,"",IFERROR(IF(VLOOKUP(INDEX(PkLoanA,367),AcctTblA,4,0)="","(بدون نام)",VLOOKUP(INDEX(PkLoanA,367),AcctTblA,4,0)),"—"))</f>
        <v/>
      </c>
      <c r="C1511" s="18">
        <f>IF($B1511="","",IF(367&gt;NLoanA,"",INDEX(PkLoanA,367)))</f>
        <v/>
      </c>
      <c r="D1511" s="17">
        <f>IF($B1511="","","l")</f>
        <v/>
      </c>
      <c r="E1511" s="19">
        <f>IF($B1511="","",IF(367&gt;NLoanA,0,SUMIF(CalcDebit,INDEX(PkLoanA,367),CalcAmt)+SUMIF(CalcDebit2,INDEX(PkLoanA,367),CalcAmt2)))</f>
        <v/>
      </c>
      <c r="F1511" s="19">
        <f>IF($B1511="","",IF(367&gt;NLoanA,0,SUMIF(CalcCredit,INDEX(PkLoanA,367),CalcAmt)+SUMIF(CalcCredit2,INDEX(PkLoanA,367),CalcAmt2)))</f>
        <v/>
      </c>
      <c r="G1511" s="20">
        <f>IF($B1511="","",ROUND($E1511-$F1511,0))</f>
        <v/>
      </c>
      <c r="H1511" s="17">
        <f>IF($B1511="","",IF(ROUND($G1511,0)&gt;0,"بدهکار",IF(ROUND($G1511,0)&lt;0,"بستانکار","تسویه")))</f>
        <v/>
      </c>
    </row>
    <row r="1512">
      <c r="A1512" s="11">
        <f>IF($B1512="","",1503)</f>
        <v/>
      </c>
      <c r="B1512" s="12">
        <f>IF(368&gt;NLoanA,"",IFERROR(IF(VLOOKUP(INDEX(PkLoanA,368),AcctTblA,4,0)="","(بدون نام)",VLOOKUP(INDEX(PkLoanA,368),AcctTblA,4,0)),"—"))</f>
        <v/>
      </c>
      <c r="C1512" s="13">
        <f>IF($B1512="","",IF(368&gt;NLoanA,"",INDEX(PkLoanA,368)))</f>
        <v/>
      </c>
      <c r="D1512" s="12">
        <f>IF($B1512="","","l")</f>
        <v/>
      </c>
      <c r="E1512" s="14">
        <f>IF($B1512="","",IF(368&gt;NLoanA,0,SUMIF(CalcDebit,INDEX(PkLoanA,368),CalcAmt)+SUMIF(CalcDebit2,INDEX(PkLoanA,368),CalcAmt2)))</f>
        <v/>
      </c>
      <c r="F1512" s="14">
        <f>IF($B1512="","",IF(368&gt;NLoanA,0,SUMIF(CalcCredit,INDEX(PkLoanA,368),CalcAmt)+SUMIF(CalcCredit2,INDEX(PkLoanA,368),CalcAmt2)))</f>
        <v/>
      </c>
      <c r="G1512" s="15">
        <f>IF($B1512="","",ROUND($E1512-$F1512,0))</f>
        <v/>
      </c>
      <c r="H1512" s="12">
        <f>IF($B1512="","",IF(ROUND($G1512,0)&gt;0,"بدهکار",IF(ROUND($G1512,0)&lt;0,"بستانکار","تسویه")))</f>
        <v/>
      </c>
    </row>
    <row r="1513">
      <c r="A1513" s="16">
        <f>IF($B1513="","",1504)</f>
        <v/>
      </c>
      <c r="B1513" s="17">
        <f>IF(369&gt;NLoanA,"",IFERROR(IF(VLOOKUP(INDEX(PkLoanA,369),AcctTblA,4,0)="","(بدون نام)",VLOOKUP(INDEX(PkLoanA,369),AcctTblA,4,0)),"—"))</f>
        <v/>
      </c>
      <c r="C1513" s="18">
        <f>IF($B1513="","",IF(369&gt;NLoanA,"",INDEX(PkLoanA,369)))</f>
        <v/>
      </c>
      <c r="D1513" s="17">
        <f>IF($B1513="","","l")</f>
        <v/>
      </c>
      <c r="E1513" s="19">
        <f>IF($B1513="","",IF(369&gt;NLoanA,0,SUMIF(CalcDebit,INDEX(PkLoanA,369),CalcAmt)+SUMIF(CalcDebit2,INDEX(PkLoanA,369),CalcAmt2)))</f>
        <v/>
      </c>
      <c r="F1513" s="19">
        <f>IF($B1513="","",IF(369&gt;NLoanA,0,SUMIF(CalcCredit,INDEX(PkLoanA,369),CalcAmt)+SUMIF(CalcCredit2,INDEX(PkLoanA,369),CalcAmt2)))</f>
        <v/>
      </c>
      <c r="G1513" s="20">
        <f>IF($B1513="","",ROUND($E1513-$F1513,0))</f>
        <v/>
      </c>
      <c r="H1513" s="17">
        <f>IF($B1513="","",IF(ROUND($G1513,0)&gt;0,"بدهکار",IF(ROUND($G1513,0)&lt;0,"بستانکار","تسویه")))</f>
        <v/>
      </c>
    </row>
    <row r="1514">
      <c r="A1514" s="11">
        <f>IF($B1514="","",1505)</f>
        <v/>
      </c>
      <c r="B1514" s="12">
        <f>IF(370&gt;NLoanA,"",IFERROR(IF(VLOOKUP(INDEX(PkLoanA,370),AcctTblA,4,0)="","(بدون نام)",VLOOKUP(INDEX(PkLoanA,370),AcctTblA,4,0)),"—"))</f>
        <v/>
      </c>
      <c r="C1514" s="13">
        <f>IF($B1514="","",IF(370&gt;NLoanA,"",INDEX(PkLoanA,370)))</f>
        <v/>
      </c>
      <c r="D1514" s="12">
        <f>IF($B1514="","","l")</f>
        <v/>
      </c>
      <c r="E1514" s="14">
        <f>IF($B1514="","",IF(370&gt;NLoanA,0,SUMIF(CalcDebit,INDEX(PkLoanA,370),CalcAmt)+SUMIF(CalcDebit2,INDEX(PkLoanA,370),CalcAmt2)))</f>
        <v/>
      </c>
      <c r="F1514" s="14">
        <f>IF($B1514="","",IF(370&gt;NLoanA,0,SUMIF(CalcCredit,INDEX(PkLoanA,370),CalcAmt)+SUMIF(CalcCredit2,INDEX(PkLoanA,370),CalcAmt2)))</f>
        <v/>
      </c>
      <c r="G1514" s="15">
        <f>IF($B1514="","",ROUND($E1514-$F1514,0))</f>
        <v/>
      </c>
      <c r="H1514" s="12">
        <f>IF($B1514="","",IF(ROUND($G1514,0)&gt;0,"بدهکار",IF(ROUND($G1514,0)&lt;0,"بستانکار","تسویه")))</f>
        <v/>
      </c>
    </row>
    <row r="1515">
      <c r="A1515" s="16">
        <f>IF($B1515="","",1506)</f>
        <v/>
      </c>
      <c r="B1515" s="17">
        <f>IF(371&gt;NLoanA,"",IFERROR(IF(VLOOKUP(INDEX(PkLoanA,371),AcctTblA,4,0)="","(بدون نام)",VLOOKUP(INDEX(PkLoanA,371),AcctTblA,4,0)),"—"))</f>
        <v/>
      </c>
      <c r="C1515" s="18">
        <f>IF($B1515="","",IF(371&gt;NLoanA,"",INDEX(PkLoanA,371)))</f>
        <v/>
      </c>
      <c r="D1515" s="17">
        <f>IF($B1515="","","l")</f>
        <v/>
      </c>
      <c r="E1515" s="19">
        <f>IF($B1515="","",IF(371&gt;NLoanA,0,SUMIF(CalcDebit,INDEX(PkLoanA,371),CalcAmt)+SUMIF(CalcDebit2,INDEX(PkLoanA,371),CalcAmt2)))</f>
        <v/>
      </c>
      <c r="F1515" s="19">
        <f>IF($B1515="","",IF(371&gt;NLoanA,0,SUMIF(CalcCredit,INDEX(PkLoanA,371),CalcAmt)+SUMIF(CalcCredit2,INDEX(PkLoanA,371),CalcAmt2)))</f>
        <v/>
      </c>
      <c r="G1515" s="20">
        <f>IF($B1515="","",ROUND($E1515-$F1515,0))</f>
        <v/>
      </c>
      <c r="H1515" s="17">
        <f>IF($B1515="","",IF(ROUND($G1515,0)&gt;0,"بدهکار",IF(ROUND($G1515,0)&lt;0,"بستانکار","تسویه")))</f>
        <v/>
      </c>
    </row>
    <row r="1516">
      <c r="A1516" s="11">
        <f>IF($B1516="","",1507)</f>
        <v/>
      </c>
      <c r="B1516" s="12">
        <f>IF(372&gt;NLoanA,"",IFERROR(IF(VLOOKUP(INDEX(PkLoanA,372),AcctTblA,4,0)="","(بدون نام)",VLOOKUP(INDEX(PkLoanA,372),AcctTblA,4,0)),"—"))</f>
        <v/>
      </c>
      <c r="C1516" s="13">
        <f>IF($B1516="","",IF(372&gt;NLoanA,"",INDEX(PkLoanA,372)))</f>
        <v/>
      </c>
      <c r="D1516" s="12">
        <f>IF($B1516="","","l")</f>
        <v/>
      </c>
      <c r="E1516" s="14">
        <f>IF($B1516="","",IF(372&gt;NLoanA,0,SUMIF(CalcDebit,INDEX(PkLoanA,372),CalcAmt)+SUMIF(CalcDebit2,INDEX(PkLoanA,372),CalcAmt2)))</f>
        <v/>
      </c>
      <c r="F1516" s="14">
        <f>IF($B1516="","",IF(372&gt;NLoanA,0,SUMIF(CalcCredit,INDEX(PkLoanA,372),CalcAmt)+SUMIF(CalcCredit2,INDEX(PkLoanA,372),CalcAmt2)))</f>
        <v/>
      </c>
      <c r="G1516" s="15">
        <f>IF($B1516="","",ROUND($E1516-$F1516,0))</f>
        <v/>
      </c>
      <c r="H1516" s="12">
        <f>IF($B1516="","",IF(ROUND($G1516,0)&gt;0,"بدهکار",IF(ROUND($G1516,0)&lt;0,"بستانکار","تسویه")))</f>
        <v/>
      </c>
    </row>
    <row r="1517">
      <c r="A1517" s="16">
        <f>IF($B1517="","",1508)</f>
        <v/>
      </c>
      <c r="B1517" s="17">
        <f>IF(373&gt;NLoanA,"",IFERROR(IF(VLOOKUP(INDEX(PkLoanA,373),AcctTblA,4,0)="","(بدون نام)",VLOOKUP(INDEX(PkLoanA,373),AcctTblA,4,0)),"—"))</f>
        <v/>
      </c>
      <c r="C1517" s="18">
        <f>IF($B1517="","",IF(373&gt;NLoanA,"",INDEX(PkLoanA,373)))</f>
        <v/>
      </c>
      <c r="D1517" s="17">
        <f>IF($B1517="","","l")</f>
        <v/>
      </c>
      <c r="E1517" s="19">
        <f>IF($B1517="","",IF(373&gt;NLoanA,0,SUMIF(CalcDebit,INDEX(PkLoanA,373),CalcAmt)+SUMIF(CalcDebit2,INDEX(PkLoanA,373),CalcAmt2)))</f>
        <v/>
      </c>
      <c r="F1517" s="19">
        <f>IF($B1517="","",IF(373&gt;NLoanA,0,SUMIF(CalcCredit,INDEX(PkLoanA,373),CalcAmt)+SUMIF(CalcCredit2,INDEX(PkLoanA,373),CalcAmt2)))</f>
        <v/>
      </c>
      <c r="G1517" s="20">
        <f>IF($B1517="","",ROUND($E1517-$F1517,0))</f>
        <v/>
      </c>
      <c r="H1517" s="17">
        <f>IF($B1517="","",IF(ROUND($G1517,0)&gt;0,"بدهکار",IF(ROUND($G1517,0)&lt;0,"بستانکار","تسویه")))</f>
        <v/>
      </c>
    </row>
    <row r="1518">
      <c r="A1518" s="11">
        <f>IF($B1518="","",1509)</f>
        <v/>
      </c>
      <c r="B1518" s="12">
        <f>IF(374&gt;NLoanA,"",IFERROR(IF(VLOOKUP(INDEX(PkLoanA,374),AcctTblA,4,0)="","(بدون نام)",VLOOKUP(INDEX(PkLoanA,374),AcctTblA,4,0)),"—"))</f>
        <v/>
      </c>
      <c r="C1518" s="13">
        <f>IF($B1518="","",IF(374&gt;NLoanA,"",INDEX(PkLoanA,374)))</f>
        <v/>
      </c>
      <c r="D1518" s="12">
        <f>IF($B1518="","","l")</f>
        <v/>
      </c>
      <c r="E1518" s="14">
        <f>IF($B1518="","",IF(374&gt;NLoanA,0,SUMIF(CalcDebit,INDEX(PkLoanA,374),CalcAmt)+SUMIF(CalcDebit2,INDEX(PkLoanA,374),CalcAmt2)))</f>
        <v/>
      </c>
      <c r="F1518" s="14">
        <f>IF($B1518="","",IF(374&gt;NLoanA,0,SUMIF(CalcCredit,INDEX(PkLoanA,374),CalcAmt)+SUMIF(CalcCredit2,INDEX(PkLoanA,374),CalcAmt2)))</f>
        <v/>
      </c>
      <c r="G1518" s="15">
        <f>IF($B1518="","",ROUND($E1518-$F1518,0))</f>
        <v/>
      </c>
      <c r="H1518" s="12">
        <f>IF($B1518="","",IF(ROUND($G1518,0)&gt;0,"بدهکار",IF(ROUND($G1518,0)&lt;0,"بستانکار","تسویه")))</f>
        <v/>
      </c>
    </row>
    <row r="1519">
      <c r="A1519" s="16">
        <f>IF($B1519="","",1510)</f>
        <v/>
      </c>
      <c r="B1519" s="17">
        <f>IF(375&gt;NLoanA,"",IFERROR(IF(VLOOKUP(INDEX(PkLoanA,375),AcctTblA,4,0)="","(بدون نام)",VLOOKUP(INDEX(PkLoanA,375),AcctTblA,4,0)),"—"))</f>
        <v/>
      </c>
      <c r="C1519" s="18">
        <f>IF($B1519="","",IF(375&gt;NLoanA,"",INDEX(PkLoanA,375)))</f>
        <v/>
      </c>
      <c r="D1519" s="17">
        <f>IF($B1519="","","l")</f>
        <v/>
      </c>
      <c r="E1519" s="19">
        <f>IF($B1519="","",IF(375&gt;NLoanA,0,SUMIF(CalcDebit,INDEX(PkLoanA,375),CalcAmt)+SUMIF(CalcDebit2,INDEX(PkLoanA,375),CalcAmt2)))</f>
        <v/>
      </c>
      <c r="F1519" s="19">
        <f>IF($B1519="","",IF(375&gt;NLoanA,0,SUMIF(CalcCredit,INDEX(PkLoanA,375),CalcAmt)+SUMIF(CalcCredit2,INDEX(PkLoanA,375),CalcAmt2)))</f>
        <v/>
      </c>
      <c r="G1519" s="20">
        <f>IF($B1519="","",ROUND($E1519-$F1519,0))</f>
        <v/>
      </c>
      <c r="H1519" s="17">
        <f>IF($B1519="","",IF(ROUND($G1519,0)&gt;0,"بدهکار",IF(ROUND($G1519,0)&lt;0,"بستانکار","تسویه")))</f>
        <v/>
      </c>
    </row>
    <row r="1520">
      <c r="A1520" s="11">
        <f>IF($B1520="","",1511)</f>
        <v/>
      </c>
      <c r="B1520" s="12">
        <f>IF(376&gt;NLoanA,"",IFERROR(IF(VLOOKUP(INDEX(PkLoanA,376),AcctTblA,4,0)="","(بدون نام)",VLOOKUP(INDEX(PkLoanA,376),AcctTblA,4,0)),"—"))</f>
        <v/>
      </c>
      <c r="C1520" s="13">
        <f>IF($B1520="","",IF(376&gt;NLoanA,"",INDEX(PkLoanA,376)))</f>
        <v/>
      </c>
      <c r="D1520" s="12">
        <f>IF($B1520="","","l")</f>
        <v/>
      </c>
      <c r="E1520" s="14">
        <f>IF($B1520="","",IF(376&gt;NLoanA,0,SUMIF(CalcDebit,INDEX(PkLoanA,376),CalcAmt)+SUMIF(CalcDebit2,INDEX(PkLoanA,376),CalcAmt2)))</f>
        <v/>
      </c>
      <c r="F1520" s="14">
        <f>IF($B1520="","",IF(376&gt;NLoanA,0,SUMIF(CalcCredit,INDEX(PkLoanA,376),CalcAmt)+SUMIF(CalcCredit2,INDEX(PkLoanA,376),CalcAmt2)))</f>
        <v/>
      </c>
      <c r="G1520" s="15">
        <f>IF($B1520="","",ROUND($E1520-$F1520,0))</f>
        <v/>
      </c>
      <c r="H1520" s="12">
        <f>IF($B1520="","",IF(ROUND($G1520,0)&gt;0,"بدهکار",IF(ROUND($G1520,0)&lt;0,"بستانکار","تسویه")))</f>
        <v/>
      </c>
    </row>
    <row r="1521">
      <c r="A1521" s="16">
        <f>IF($B1521="","",1512)</f>
        <v/>
      </c>
      <c r="B1521" s="17">
        <f>IF(377&gt;NLoanA,"",IFERROR(IF(VLOOKUP(INDEX(PkLoanA,377),AcctTblA,4,0)="","(بدون نام)",VLOOKUP(INDEX(PkLoanA,377),AcctTblA,4,0)),"—"))</f>
        <v/>
      </c>
      <c r="C1521" s="18">
        <f>IF($B1521="","",IF(377&gt;NLoanA,"",INDEX(PkLoanA,377)))</f>
        <v/>
      </c>
      <c r="D1521" s="17">
        <f>IF($B1521="","","l")</f>
        <v/>
      </c>
      <c r="E1521" s="19">
        <f>IF($B1521="","",IF(377&gt;NLoanA,0,SUMIF(CalcDebit,INDEX(PkLoanA,377),CalcAmt)+SUMIF(CalcDebit2,INDEX(PkLoanA,377),CalcAmt2)))</f>
        <v/>
      </c>
      <c r="F1521" s="19">
        <f>IF($B1521="","",IF(377&gt;NLoanA,0,SUMIF(CalcCredit,INDEX(PkLoanA,377),CalcAmt)+SUMIF(CalcCredit2,INDEX(PkLoanA,377),CalcAmt2)))</f>
        <v/>
      </c>
      <c r="G1521" s="20">
        <f>IF($B1521="","",ROUND($E1521-$F1521,0))</f>
        <v/>
      </c>
      <c r="H1521" s="17">
        <f>IF($B1521="","",IF(ROUND($G1521,0)&gt;0,"بدهکار",IF(ROUND($G1521,0)&lt;0,"بستانکار","تسویه")))</f>
        <v/>
      </c>
    </row>
    <row r="1522">
      <c r="A1522" s="11">
        <f>IF($B1522="","",1513)</f>
        <v/>
      </c>
      <c r="B1522" s="12">
        <f>IF(378&gt;NLoanA,"",IFERROR(IF(VLOOKUP(INDEX(PkLoanA,378),AcctTblA,4,0)="","(بدون نام)",VLOOKUP(INDEX(PkLoanA,378),AcctTblA,4,0)),"—"))</f>
        <v/>
      </c>
      <c r="C1522" s="13">
        <f>IF($B1522="","",IF(378&gt;NLoanA,"",INDEX(PkLoanA,378)))</f>
        <v/>
      </c>
      <c r="D1522" s="12">
        <f>IF($B1522="","","l")</f>
        <v/>
      </c>
      <c r="E1522" s="14">
        <f>IF($B1522="","",IF(378&gt;NLoanA,0,SUMIF(CalcDebit,INDEX(PkLoanA,378),CalcAmt)+SUMIF(CalcDebit2,INDEX(PkLoanA,378),CalcAmt2)))</f>
        <v/>
      </c>
      <c r="F1522" s="14">
        <f>IF($B1522="","",IF(378&gt;NLoanA,0,SUMIF(CalcCredit,INDEX(PkLoanA,378),CalcAmt)+SUMIF(CalcCredit2,INDEX(PkLoanA,378),CalcAmt2)))</f>
        <v/>
      </c>
      <c r="G1522" s="15">
        <f>IF($B1522="","",ROUND($E1522-$F1522,0))</f>
        <v/>
      </c>
      <c r="H1522" s="12">
        <f>IF($B1522="","",IF(ROUND($G1522,0)&gt;0,"بدهکار",IF(ROUND($G1522,0)&lt;0,"بستانکار","تسویه")))</f>
        <v/>
      </c>
    </row>
    <row r="1523">
      <c r="A1523" s="16">
        <f>IF($B1523="","",1514)</f>
        <v/>
      </c>
      <c r="B1523" s="17">
        <f>IF(379&gt;NLoanA,"",IFERROR(IF(VLOOKUP(INDEX(PkLoanA,379),AcctTblA,4,0)="","(بدون نام)",VLOOKUP(INDEX(PkLoanA,379),AcctTblA,4,0)),"—"))</f>
        <v/>
      </c>
      <c r="C1523" s="18">
        <f>IF($B1523="","",IF(379&gt;NLoanA,"",INDEX(PkLoanA,379)))</f>
        <v/>
      </c>
      <c r="D1523" s="17">
        <f>IF($B1523="","","l")</f>
        <v/>
      </c>
      <c r="E1523" s="19">
        <f>IF($B1523="","",IF(379&gt;NLoanA,0,SUMIF(CalcDebit,INDEX(PkLoanA,379),CalcAmt)+SUMIF(CalcDebit2,INDEX(PkLoanA,379),CalcAmt2)))</f>
        <v/>
      </c>
      <c r="F1523" s="19">
        <f>IF($B1523="","",IF(379&gt;NLoanA,0,SUMIF(CalcCredit,INDEX(PkLoanA,379),CalcAmt)+SUMIF(CalcCredit2,INDEX(PkLoanA,379),CalcAmt2)))</f>
        <v/>
      </c>
      <c r="G1523" s="20">
        <f>IF($B1523="","",ROUND($E1523-$F1523,0))</f>
        <v/>
      </c>
      <c r="H1523" s="17">
        <f>IF($B1523="","",IF(ROUND($G1523,0)&gt;0,"بدهکار",IF(ROUND($G1523,0)&lt;0,"بستانکار","تسویه")))</f>
        <v/>
      </c>
    </row>
    <row r="1524">
      <c r="A1524" s="11">
        <f>IF($B1524="","",1515)</f>
        <v/>
      </c>
      <c r="B1524" s="12">
        <f>IF(380&gt;NLoanA,"",IFERROR(IF(VLOOKUP(INDEX(PkLoanA,380),AcctTblA,4,0)="","(بدون نام)",VLOOKUP(INDEX(PkLoanA,380),AcctTblA,4,0)),"—"))</f>
        <v/>
      </c>
      <c r="C1524" s="13">
        <f>IF($B1524="","",IF(380&gt;NLoanA,"",INDEX(PkLoanA,380)))</f>
        <v/>
      </c>
      <c r="D1524" s="12">
        <f>IF($B1524="","","l")</f>
        <v/>
      </c>
      <c r="E1524" s="14">
        <f>IF($B1524="","",IF(380&gt;NLoanA,0,SUMIF(CalcDebit,INDEX(PkLoanA,380),CalcAmt)+SUMIF(CalcDebit2,INDEX(PkLoanA,380),CalcAmt2)))</f>
        <v/>
      </c>
      <c r="F1524" s="14">
        <f>IF($B1524="","",IF(380&gt;NLoanA,0,SUMIF(CalcCredit,INDEX(PkLoanA,380),CalcAmt)+SUMIF(CalcCredit2,INDEX(PkLoanA,380),CalcAmt2)))</f>
        <v/>
      </c>
      <c r="G1524" s="15">
        <f>IF($B1524="","",ROUND($E1524-$F1524,0))</f>
        <v/>
      </c>
      <c r="H1524" s="12">
        <f>IF($B1524="","",IF(ROUND($G1524,0)&gt;0,"بدهکار",IF(ROUND($G1524,0)&lt;0,"بستانکار","تسویه")))</f>
        <v/>
      </c>
    </row>
    <row r="1525">
      <c r="A1525" s="16">
        <f>IF($B1525="","",1516)</f>
        <v/>
      </c>
      <c r="B1525" s="17">
        <f>IF(381&gt;NLoanA,"",IFERROR(IF(VLOOKUP(INDEX(PkLoanA,381),AcctTblA,4,0)="","(بدون نام)",VLOOKUP(INDEX(PkLoanA,381),AcctTblA,4,0)),"—"))</f>
        <v/>
      </c>
      <c r="C1525" s="18">
        <f>IF($B1525="","",IF(381&gt;NLoanA,"",INDEX(PkLoanA,381)))</f>
        <v/>
      </c>
      <c r="D1525" s="17">
        <f>IF($B1525="","","l")</f>
        <v/>
      </c>
      <c r="E1525" s="19">
        <f>IF($B1525="","",IF(381&gt;NLoanA,0,SUMIF(CalcDebit,INDEX(PkLoanA,381),CalcAmt)+SUMIF(CalcDebit2,INDEX(PkLoanA,381),CalcAmt2)))</f>
        <v/>
      </c>
      <c r="F1525" s="19">
        <f>IF($B1525="","",IF(381&gt;NLoanA,0,SUMIF(CalcCredit,INDEX(PkLoanA,381),CalcAmt)+SUMIF(CalcCredit2,INDEX(PkLoanA,381),CalcAmt2)))</f>
        <v/>
      </c>
      <c r="G1525" s="20">
        <f>IF($B1525="","",ROUND($E1525-$F1525,0))</f>
        <v/>
      </c>
      <c r="H1525" s="17">
        <f>IF($B1525="","",IF(ROUND($G1525,0)&gt;0,"بدهکار",IF(ROUND($G1525,0)&lt;0,"بستانکار","تسویه")))</f>
        <v/>
      </c>
    </row>
    <row r="1526">
      <c r="A1526" s="11">
        <f>IF($B1526="","",1517)</f>
        <v/>
      </c>
      <c r="B1526" s="12">
        <f>IF(382&gt;NLoanA,"",IFERROR(IF(VLOOKUP(INDEX(PkLoanA,382),AcctTblA,4,0)="","(بدون نام)",VLOOKUP(INDEX(PkLoanA,382),AcctTblA,4,0)),"—"))</f>
        <v/>
      </c>
      <c r="C1526" s="13">
        <f>IF($B1526="","",IF(382&gt;NLoanA,"",INDEX(PkLoanA,382)))</f>
        <v/>
      </c>
      <c r="D1526" s="12">
        <f>IF($B1526="","","l")</f>
        <v/>
      </c>
      <c r="E1526" s="14">
        <f>IF($B1526="","",IF(382&gt;NLoanA,0,SUMIF(CalcDebit,INDEX(PkLoanA,382),CalcAmt)+SUMIF(CalcDebit2,INDEX(PkLoanA,382),CalcAmt2)))</f>
        <v/>
      </c>
      <c r="F1526" s="14">
        <f>IF($B1526="","",IF(382&gt;NLoanA,0,SUMIF(CalcCredit,INDEX(PkLoanA,382),CalcAmt)+SUMIF(CalcCredit2,INDEX(PkLoanA,382),CalcAmt2)))</f>
        <v/>
      </c>
      <c r="G1526" s="15">
        <f>IF($B1526="","",ROUND($E1526-$F1526,0))</f>
        <v/>
      </c>
      <c r="H1526" s="12">
        <f>IF($B1526="","",IF(ROUND($G1526,0)&gt;0,"بدهکار",IF(ROUND($G1526,0)&lt;0,"بستانکار","تسویه")))</f>
        <v/>
      </c>
    </row>
    <row r="1527">
      <c r="A1527" s="16">
        <f>IF($B1527="","",1518)</f>
        <v/>
      </c>
      <c r="B1527" s="17">
        <f>IF(383&gt;NLoanA,"",IFERROR(IF(VLOOKUP(INDEX(PkLoanA,383),AcctTblA,4,0)="","(بدون نام)",VLOOKUP(INDEX(PkLoanA,383),AcctTblA,4,0)),"—"))</f>
        <v/>
      </c>
      <c r="C1527" s="18">
        <f>IF($B1527="","",IF(383&gt;NLoanA,"",INDEX(PkLoanA,383)))</f>
        <v/>
      </c>
      <c r="D1527" s="17">
        <f>IF($B1527="","","l")</f>
        <v/>
      </c>
      <c r="E1527" s="19">
        <f>IF($B1527="","",IF(383&gt;NLoanA,0,SUMIF(CalcDebit,INDEX(PkLoanA,383),CalcAmt)+SUMIF(CalcDebit2,INDEX(PkLoanA,383),CalcAmt2)))</f>
        <v/>
      </c>
      <c r="F1527" s="19">
        <f>IF($B1527="","",IF(383&gt;NLoanA,0,SUMIF(CalcCredit,INDEX(PkLoanA,383),CalcAmt)+SUMIF(CalcCredit2,INDEX(PkLoanA,383),CalcAmt2)))</f>
        <v/>
      </c>
      <c r="G1527" s="20">
        <f>IF($B1527="","",ROUND($E1527-$F1527,0))</f>
        <v/>
      </c>
      <c r="H1527" s="17">
        <f>IF($B1527="","",IF(ROUND($G1527,0)&gt;0,"بدهکار",IF(ROUND($G1527,0)&lt;0,"بستانکار","تسویه")))</f>
        <v/>
      </c>
    </row>
    <row r="1528">
      <c r="A1528" s="11">
        <f>IF($B1528="","",1519)</f>
        <v/>
      </c>
      <c r="B1528" s="12">
        <f>IF(384&gt;NLoanA,"",IFERROR(IF(VLOOKUP(INDEX(PkLoanA,384),AcctTblA,4,0)="","(بدون نام)",VLOOKUP(INDEX(PkLoanA,384),AcctTblA,4,0)),"—"))</f>
        <v/>
      </c>
      <c r="C1528" s="13">
        <f>IF($B1528="","",IF(384&gt;NLoanA,"",INDEX(PkLoanA,384)))</f>
        <v/>
      </c>
      <c r="D1528" s="12">
        <f>IF($B1528="","","l")</f>
        <v/>
      </c>
      <c r="E1528" s="14">
        <f>IF($B1528="","",IF(384&gt;NLoanA,0,SUMIF(CalcDebit,INDEX(PkLoanA,384),CalcAmt)+SUMIF(CalcDebit2,INDEX(PkLoanA,384),CalcAmt2)))</f>
        <v/>
      </c>
      <c r="F1528" s="14">
        <f>IF($B1528="","",IF(384&gt;NLoanA,0,SUMIF(CalcCredit,INDEX(PkLoanA,384),CalcAmt)+SUMIF(CalcCredit2,INDEX(PkLoanA,384),CalcAmt2)))</f>
        <v/>
      </c>
      <c r="G1528" s="15">
        <f>IF($B1528="","",ROUND($E1528-$F1528,0))</f>
        <v/>
      </c>
      <c r="H1528" s="12">
        <f>IF($B1528="","",IF(ROUND($G1528,0)&gt;0,"بدهکار",IF(ROUND($G1528,0)&lt;0,"بستانکار","تسویه")))</f>
        <v/>
      </c>
    </row>
    <row r="1529">
      <c r="A1529" s="16">
        <f>IF($B1529="","",1520)</f>
        <v/>
      </c>
      <c r="B1529" s="17">
        <f>IF(385&gt;NLoanA,"",IFERROR(IF(VLOOKUP(INDEX(PkLoanA,385),AcctTblA,4,0)="","(بدون نام)",VLOOKUP(INDEX(PkLoanA,385),AcctTblA,4,0)),"—"))</f>
        <v/>
      </c>
      <c r="C1529" s="18">
        <f>IF($B1529="","",IF(385&gt;NLoanA,"",INDEX(PkLoanA,385)))</f>
        <v/>
      </c>
      <c r="D1529" s="17">
        <f>IF($B1529="","","l")</f>
        <v/>
      </c>
      <c r="E1529" s="19">
        <f>IF($B1529="","",IF(385&gt;NLoanA,0,SUMIF(CalcDebit,INDEX(PkLoanA,385),CalcAmt)+SUMIF(CalcDebit2,INDEX(PkLoanA,385),CalcAmt2)))</f>
        <v/>
      </c>
      <c r="F1529" s="19">
        <f>IF($B1529="","",IF(385&gt;NLoanA,0,SUMIF(CalcCredit,INDEX(PkLoanA,385),CalcAmt)+SUMIF(CalcCredit2,INDEX(PkLoanA,385),CalcAmt2)))</f>
        <v/>
      </c>
      <c r="G1529" s="20">
        <f>IF($B1529="","",ROUND($E1529-$F1529,0))</f>
        <v/>
      </c>
      <c r="H1529" s="17">
        <f>IF($B1529="","",IF(ROUND($G1529,0)&gt;0,"بدهکار",IF(ROUND($G1529,0)&lt;0,"بستانکار","تسویه")))</f>
        <v/>
      </c>
    </row>
    <row r="1530">
      <c r="A1530" s="11">
        <f>IF($B1530="","",1521)</f>
        <v/>
      </c>
      <c r="B1530" s="12">
        <f>IF(386&gt;NLoanA,"",IFERROR(IF(VLOOKUP(INDEX(PkLoanA,386),AcctTblA,4,0)="","(بدون نام)",VLOOKUP(INDEX(PkLoanA,386),AcctTblA,4,0)),"—"))</f>
        <v/>
      </c>
      <c r="C1530" s="13">
        <f>IF($B1530="","",IF(386&gt;NLoanA,"",INDEX(PkLoanA,386)))</f>
        <v/>
      </c>
      <c r="D1530" s="12">
        <f>IF($B1530="","","l")</f>
        <v/>
      </c>
      <c r="E1530" s="14">
        <f>IF($B1530="","",IF(386&gt;NLoanA,0,SUMIF(CalcDebit,INDEX(PkLoanA,386),CalcAmt)+SUMIF(CalcDebit2,INDEX(PkLoanA,386),CalcAmt2)))</f>
        <v/>
      </c>
      <c r="F1530" s="14">
        <f>IF($B1530="","",IF(386&gt;NLoanA,0,SUMIF(CalcCredit,INDEX(PkLoanA,386),CalcAmt)+SUMIF(CalcCredit2,INDEX(PkLoanA,386),CalcAmt2)))</f>
        <v/>
      </c>
      <c r="G1530" s="15">
        <f>IF($B1530="","",ROUND($E1530-$F1530,0))</f>
        <v/>
      </c>
      <c r="H1530" s="12">
        <f>IF($B1530="","",IF(ROUND($G1530,0)&gt;0,"بدهکار",IF(ROUND($G1530,0)&lt;0,"بستانکار","تسویه")))</f>
        <v/>
      </c>
    </row>
    <row r="1531">
      <c r="A1531" s="16">
        <f>IF($B1531="","",1522)</f>
        <v/>
      </c>
      <c r="B1531" s="17">
        <f>IF(387&gt;NLoanA,"",IFERROR(IF(VLOOKUP(INDEX(PkLoanA,387),AcctTblA,4,0)="","(بدون نام)",VLOOKUP(INDEX(PkLoanA,387),AcctTblA,4,0)),"—"))</f>
        <v/>
      </c>
      <c r="C1531" s="18">
        <f>IF($B1531="","",IF(387&gt;NLoanA,"",INDEX(PkLoanA,387)))</f>
        <v/>
      </c>
      <c r="D1531" s="17">
        <f>IF($B1531="","","l")</f>
        <v/>
      </c>
      <c r="E1531" s="19">
        <f>IF($B1531="","",IF(387&gt;NLoanA,0,SUMIF(CalcDebit,INDEX(PkLoanA,387),CalcAmt)+SUMIF(CalcDebit2,INDEX(PkLoanA,387),CalcAmt2)))</f>
        <v/>
      </c>
      <c r="F1531" s="19">
        <f>IF($B1531="","",IF(387&gt;NLoanA,0,SUMIF(CalcCredit,INDEX(PkLoanA,387),CalcAmt)+SUMIF(CalcCredit2,INDEX(PkLoanA,387),CalcAmt2)))</f>
        <v/>
      </c>
      <c r="G1531" s="20">
        <f>IF($B1531="","",ROUND($E1531-$F1531,0))</f>
        <v/>
      </c>
      <c r="H1531" s="17">
        <f>IF($B1531="","",IF(ROUND($G1531,0)&gt;0,"بدهکار",IF(ROUND($G1531,0)&lt;0,"بستانکار","تسویه")))</f>
        <v/>
      </c>
    </row>
    <row r="1532">
      <c r="A1532" s="11">
        <f>IF($B1532="","",1523)</f>
        <v/>
      </c>
      <c r="B1532" s="12">
        <f>IF(388&gt;NLoanA,"",IFERROR(IF(VLOOKUP(INDEX(PkLoanA,388),AcctTblA,4,0)="","(بدون نام)",VLOOKUP(INDEX(PkLoanA,388),AcctTblA,4,0)),"—"))</f>
        <v/>
      </c>
      <c r="C1532" s="13">
        <f>IF($B1532="","",IF(388&gt;NLoanA,"",INDEX(PkLoanA,388)))</f>
        <v/>
      </c>
      <c r="D1532" s="12">
        <f>IF($B1532="","","l")</f>
        <v/>
      </c>
      <c r="E1532" s="14">
        <f>IF($B1532="","",IF(388&gt;NLoanA,0,SUMIF(CalcDebit,INDEX(PkLoanA,388),CalcAmt)+SUMIF(CalcDebit2,INDEX(PkLoanA,388),CalcAmt2)))</f>
        <v/>
      </c>
      <c r="F1532" s="14">
        <f>IF($B1532="","",IF(388&gt;NLoanA,0,SUMIF(CalcCredit,INDEX(PkLoanA,388),CalcAmt)+SUMIF(CalcCredit2,INDEX(PkLoanA,388),CalcAmt2)))</f>
        <v/>
      </c>
      <c r="G1532" s="15">
        <f>IF($B1532="","",ROUND($E1532-$F1532,0))</f>
        <v/>
      </c>
      <c r="H1532" s="12">
        <f>IF($B1532="","",IF(ROUND($G1532,0)&gt;0,"بدهکار",IF(ROUND($G1532,0)&lt;0,"بستانکار","تسویه")))</f>
        <v/>
      </c>
    </row>
    <row r="1533">
      <c r="A1533" s="16">
        <f>IF($B1533="","",1524)</f>
        <v/>
      </c>
      <c r="B1533" s="17">
        <f>IF(389&gt;NLoanA,"",IFERROR(IF(VLOOKUP(INDEX(PkLoanA,389),AcctTblA,4,0)="","(بدون نام)",VLOOKUP(INDEX(PkLoanA,389),AcctTblA,4,0)),"—"))</f>
        <v/>
      </c>
      <c r="C1533" s="18">
        <f>IF($B1533="","",IF(389&gt;NLoanA,"",INDEX(PkLoanA,389)))</f>
        <v/>
      </c>
      <c r="D1533" s="17">
        <f>IF($B1533="","","l")</f>
        <v/>
      </c>
      <c r="E1533" s="19">
        <f>IF($B1533="","",IF(389&gt;NLoanA,0,SUMIF(CalcDebit,INDEX(PkLoanA,389),CalcAmt)+SUMIF(CalcDebit2,INDEX(PkLoanA,389),CalcAmt2)))</f>
        <v/>
      </c>
      <c r="F1533" s="19">
        <f>IF($B1533="","",IF(389&gt;NLoanA,0,SUMIF(CalcCredit,INDEX(PkLoanA,389),CalcAmt)+SUMIF(CalcCredit2,INDEX(PkLoanA,389),CalcAmt2)))</f>
        <v/>
      </c>
      <c r="G1533" s="20">
        <f>IF($B1533="","",ROUND($E1533-$F1533,0))</f>
        <v/>
      </c>
      <c r="H1533" s="17">
        <f>IF($B1533="","",IF(ROUND($G1533,0)&gt;0,"بدهکار",IF(ROUND($G1533,0)&lt;0,"بستانکار","تسویه")))</f>
        <v/>
      </c>
    </row>
    <row r="1534">
      <c r="A1534" s="11">
        <f>IF($B1534="","",1525)</f>
        <v/>
      </c>
      <c r="B1534" s="12">
        <f>IF(390&gt;NLoanA,"",IFERROR(IF(VLOOKUP(INDEX(PkLoanA,390),AcctTblA,4,0)="","(بدون نام)",VLOOKUP(INDEX(PkLoanA,390),AcctTblA,4,0)),"—"))</f>
        <v/>
      </c>
      <c r="C1534" s="13">
        <f>IF($B1534="","",IF(390&gt;NLoanA,"",INDEX(PkLoanA,390)))</f>
        <v/>
      </c>
      <c r="D1534" s="12">
        <f>IF($B1534="","","l")</f>
        <v/>
      </c>
      <c r="E1534" s="14">
        <f>IF($B1534="","",IF(390&gt;NLoanA,0,SUMIF(CalcDebit,INDEX(PkLoanA,390),CalcAmt)+SUMIF(CalcDebit2,INDEX(PkLoanA,390),CalcAmt2)))</f>
        <v/>
      </c>
      <c r="F1534" s="14">
        <f>IF($B1534="","",IF(390&gt;NLoanA,0,SUMIF(CalcCredit,INDEX(PkLoanA,390),CalcAmt)+SUMIF(CalcCredit2,INDEX(PkLoanA,390),CalcAmt2)))</f>
        <v/>
      </c>
      <c r="G1534" s="15">
        <f>IF($B1534="","",ROUND($E1534-$F1534,0))</f>
        <v/>
      </c>
      <c r="H1534" s="12">
        <f>IF($B1534="","",IF(ROUND($G1534,0)&gt;0,"بدهکار",IF(ROUND($G1534,0)&lt;0,"بستانکار","تسویه")))</f>
        <v/>
      </c>
    </row>
    <row r="1535">
      <c r="A1535" s="16">
        <f>IF($B1535="","",1526)</f>
        <v/>
      </c>
      <c r="B1535" s="17">
        <f>IF(391&gt;NLoanA,"",IFERROR(IF(VLOOKUP(INDEX(PkLoanA,391),AcctTblA,4,0)="","(بدون نام)",VLOOKUP(INDEX(PkLoanA,391),AcctTblA,4,0)),"—"))</f>
        <v/>
      </c>
      <c r="C1535" s="18">
        <f>IF($B1535="","",IF(391&gt;NLoanA,"",INDEX(PkLoanA,391)))</f>
        <v/>
      </c>
      <c r="D1535" s="17">
        <f>IF($B1535="","","l")</f>
        <v/>
      </c>
      <c r="E1535" s="19">
        <f>IF($B1535="","",IF(391&gt;NLoanA,0,SUMIF(CalcDebit,INDEX(PkLoanA,391),CalcAmt)+SUMIF(CalcDebit2,INDEX(PkLoanA,391),CalcAmt2)))</f>
        <v/>
      </c>
      <c r="F1535" s="19">
        <f>IF($B1535="","",IF(391&gt;NLoanA,0,SUMIF(CalcCredit,INDEX(PkLoanA,391),CalcAmt)+SUMIF(CalcCredit2,INDEX(PkLoanA,391),CalcAmt2)))</f>
        <v/>
      </c>
      <c r="G1535" s="20">
        <f>IF($B1535="","",ROUND($E1535-$F1535,0))</f>
        <v/>
      </c>
      <c r="H1535" s="17">
        <f>IF($B1535="","",IF(ROUND($G1535,0)&gt;0,"بدهکار",IF(ROUND($G1535,0)&lt;0,"بستانکار","تسویه")))</f>
        <v/>
      </c>
    </row>
    <row r="1536">
      <c r="A1536" s="11">
        <f>IF($B1536="","",1527)</f>
        <v/>
      </c>
      <c r="B1536" s="12">
        <f>IF(392&gt;NLoanA,"",IFERROR(IF(VLOOKUP(INDEX(PkLoanA,392),AcctTblA,4,0)="","(بدون نام)",VLOOKUP(INDEX(PkLoanA,392),AcctTblA,4,0)),"—"))</f>
        <v/>
      </c>
      <c r="C1536" s="13">
        <f>IF($B1536="","",IF(392&gt;NLoanA,"",INDEX(PkLoanA,392)))</f>
        <v/>
      </c>
      <c r="D1536" s="12">
        <f>IF($B1536="","","l")</f>
        <v/>
      </c>
      <c r="E1536" s="14">
        <f>IF($B1536="","",IF(392&gt;NLoanA,0,SUMIF(CalcDebit,INDEX(PkLoanA,392),CalcAmt)+SUMIF(CalcDebit2,INDEX(PkLoanA,392),CalcAmt2)))</f>
        <v/>
      </c>
      <c r="F1536" s="14">
        <f>IF($B1536="","",IF(392&gt;NLoanA,0,SUMIF(CalcCredit,INDEX(PkLoanA,392),CalcAmt)+SUMIF(CalcCredit2,INDEX(PkLoanA,392),CalcAmt2)))</f>
        <v/>
      </c>
      <c r="G1536" s="15">
        <f>IF($B1536="","",ROUND($E1536-$F1536,0))</f>
        <v/>
      </c>
      <c r="H1536" s="12">
        <f>IF($B1536="","",IF(ROUND($G1536,0)&gt;0,"بدهکار",IF(ROUND($G1536,0)&lt;0,"بستانکار","تسویه")))</f>
        <v/>
      </c>
    </row>
    <row r="1537">
      <c r="A1537" s="16">
        <f>IF($B1537="","",1528)</f>
        <v/>
      </c>
      <c r="B1537" s="17">
        <f>IF(393&gt;NLoanA,"",IFERROR(IF(VLOOKUP(INDEX(PkLoanA,393),AcctTblA,4,0)="","(بدون نام)",VLOOKUP(INDEX(PkLoanA,393),AcctTblA,4,0)),"—"))</f>
        <v/>
      </c>
      <c r="C1537" s="18">
        <f>IF($B1537="","",IF(393&gt;NLoanA,"",INDEX(PkLoanA,393)))</f>
        <v/>
      </c>
      <c r="D1537" s="17">
        <f>IF($B1537="","","l")</f>
        <v/>
      </c>
      <c r="E1537" s="19">
        <f>IF($B1537="","",IF(393&gt;NLoanA,0,SUMIF(CalcDebit,INDEX(PkLoanA,393),CalcAmt)+SUMIF(CalcDebit2,INDEX(PkLoanA,393),CalcAmt2)))</f>
        <v/>
      </c>
      <c r="F1537" s="19">
        <f>IF($B1537="","",IF(393&gt;NLoanA,0,SUMIF(CalcCredit,INDEX(PkLoanA,393),CalcAmt)+SUMIF(CalcCredit2,INDEX(PkLoanA,393),CalcAmt2)))</f>
        <v/>
      </c>
      <c r="G1537" s="20">
        <f>IF($B1537="","",ROUND($E1537-$F1537,0))</f>
        <v/>
      </c>
      <c r="H1537" s="17">
        <f>IF($B1537="","",IF(ROUND($G1537,0)&gt;0,"بدهکار",IF(ROUND($G1537,0)&lt;0,"بستانکار","تسویه")))</f>
        <v/>
      </c>
    </row>
    <row r="1538">
      <c r="A1538" s="11">
        <f>IF($B1538="","",1529)</f>
        <v/>
      </c>
      <c r="B1538" s="12">
        <f>IF(394&gt;NLoanA,"",IFERROR(IF(VLOOKUP(INDEX(PkLoanA,394),AcctTblA,4,0)="","(بدون نام)",VLOOKUP(INDEX(PkLoanA,394),AcctTblA,4,0)),"—"))</f>
        <v/>
      </c>
      <c r="C1538" s="13">
        <f>IF($B1538="","",IF(394&gt;NLoanA,"",INDEX(PkLoanA,394)))</f>
        <v/>
      </c>
      <c r="D1538" s="12">
        <f>IF($B1538="","","l")</f>
        <v/>
      </c>
      <c r="E1538" s="14">
        <f>IF($B1538="","",IF(394&gt;NLoanA,0,SUMIF(CalcDebit,INDEX(PkLoanA,394),CalcAmt)+SUMIF(CalcDebit2,INDEX(PkLoanA,394),CalcAmt2)))</f>
        <v/>
      </c>
      <c r="F1538" s="14">
        <f>IF($B1538="","",IF(394&gt;NLoanA,0,SUMIF(CalcCredit,INDEX(PkLoanA,394),CalcAmt)+SUMIF(CalcCredit2,INDEX(PkLoanA,394),CalcAmt2)))</f>
        <v/>
      </c>
      <c r="G1538" s="15">
        <f>IF($B1538="","",ROUND($E1538-$F1538,0))</f>
        <v/>
      </c>
      <c r="H1538" s="12">
        <f>IF($B1538="","",IF(ROUND($G1538,0)&gt;0,"بدهکار",IF(ROUND($G1538,0)&lt;0,"بستانکار","تسویه")))</f>
        <v/>
      </c>
    </row>
    <row r="1539">
      <c r="A1539" s="16">
        <f>IF($B1539="","",1530)</f>
        <v/>
      </c>
      <c r="B1539" s="17">
        <f>IF(395&gt;NLoanA,"",IFERROR(IF(VLOOKUP(INDEX(PkLoanA,395),AcctTblA,4,0)="","(بدون نام)",VLOOKUP(INDEX(PkLoanA,395),AcctTblA,4,0)),"—"))</f>
        <v/>
      </c>
      <c r="C1539" s="18">
        <f>IF($B1539="","",IF(395&gt;NLoanA,"",INDEX(PkLoanA,395)))</f>
        <v/>
      </c>
      <c r="D1539" s="17">
        <f>IF($B1539="","","l")</f>
        <v/>
      </c>
      <c r="E1539" s="19">
        <f>IF($B1539="","",IF(395&gt;NLoanA,0,SUMIF(CalcDebit,INDEX(PkLoanA,395),CalcAmt)+SUMIF(CalcDebit2,INDEX(PkLoanA,395),CalcAmt2)))</f>
        <v/>
      </c>
      <c r="F1539" s="19">
        <f>IF($B1539="","",IF(395&gt;NLoanA,0,SUMIF(CalcCredit,INDEX(PkLoanA,395),CalcAmt)+SUMIF(CalcCredit2,INDEX(PkLoanA,395),CalcAmt2)))</f>
        <v/>
      </c>
      <c r="G1539" s="20">
        <f>IF($B1539="","",ROUND($E1539-$F1539,0))</f>
        <v/>
      </c>
      <c r="H1539" s="17">
        <f>IF($B1539="","",IF(ROUND($G1539,0)&gt;0,"بدهکار",IF(ROUND($G1539,0)&lt;0,"بستانکار","تسویه")))</f>
        <v/>
      </c>
    </row>
    <row r="1540">
      <c r="A1540" s="11">
        <f>IF($B1540="","",1531)</f>
        <v/>
      </c>
      <c r="B1540" s="12">
        <f>IF(396&gt;NLoanA,"",IFERROR(IF(VLOOKUP(INDEX(PkLoanA,396),AcctTblA,4,0)="","(بدون نام)",VLOOKUP(INDEX(PkLoanA,396),AcctTblA,4,0)),"—"))</f>
        <v/>
      </c>
      <c r="C1540" s="13">
        <f>IF($B1540="","",IF(396&gt;NLoanA,"",INDEX(PkLoanA,396)))</f>
        <v/>
      </c>
      <c r="D1540" s="12">
        <f>IF($B1540="","","l")</f>
        <v/>
      </c>
      <c r="E1540" s="14">
        <f>IF($B1540="","",IF(396&gt;NLoanA,0,SUMIF(CalcDebit,INDEX(PkLoanA,396),CalcAmt)+SUMIF(CalcDebit2,INDEX(PkLoanA,396),CalcAmt2)))</f>
        <v/>
      </c>
      <c r="F1540" s="14">
        <f>IF($B1540="","",IF(396&gt;NLoanA,0,SUMIF(CalcCredit,INDEX(PkLoanA,396),CalcAmt)+SUMIF(CalcCredit2,INDEX(PkLoanA,396),CalcAmt2)))</f>
        <v/>
      </c>
      <c r="G1540" s="15">
        <f>IF($B1540="","",ROUND($E1540-$F1540,0))</f>
        <v/>
      </c>
      <c r="H1540" s="12">
        <f>IF($B1540="","",IF(ROUND($G1540,0)&gt;0,"بدهکار",IF(ROUND($G1540,0)&lt;0,"بستانکار","تسویه")))</f>
        <v/>
      </c>
    </row>
    <row r="1541">
      <c r="A1541" s="16">
        <f>IF($B1541="","",1532)</f>
        <v/>
      </c>
      <c r="B1541" s="17">
        <f>IF(397&gt;NLoanA,"",IFERROR(IF(VLOOKUP(INDEX(PkLoanA,397),AcctTblA,4,0)="","(بدون نام)",VLOOKUP(INDEX(PkLoanA,397),AcctTblA,4,0)),"—"))</f>
        <v/>
      </c>
      <c r="C1541" s="18">
        <f>IF($B1541="","",IF(397&gt;NLoanA,"",INDEX(PkLoanA,397)))</f>
        <v/>
      </c>
      <c r="D1541" s="17">
        <f>IF($B1541="","","l")</f>
        <v/>
      </c>
      <c r="E1541" s="19">
        <f>IF($B1541="","",IF(397&gt;NLoanA,0,SUMIF(CalcDebit,INDEX(PkLoanA,397),CalcAmt)+SUMIF(CalcDebit2,INDEX(PkLoanA,397),CalcAmt2)))</f>
        <v/>
      </c>
      <c r="F1541" s="19">
        <f>IF($B1541="","",IF(397&gt;NLoanA,0,SUMIF(CalcCredit,INDEX(PkLoanA,397),CalcAmt)+SUMIF(CalcCredit2,INDEX(PkLoanA,397),CalcAmt2)))</f>
        <v/>
      </c>
      <c r="G1541" s="20">
        <f>IF($B1541="","",ROUND($E1541-$F1541,0))</f>
        <v/>
      </c>
      <c r="H1541" s="17">
        <f>IF($B1541="","",IF(ROUND($G1541,0)&gt;0,"بدهکار",IF(ROUND($G1541,0)&lt;0,"بستانکار","تسویه")))</f>
        <v/>
      </c>
    </row>
    <row r="1542">
      <c r="A1542" s="11">
        <f>IF($B1542="","",1533)</f>
        <v/>
      </c>
      <c r="B1542" s="12">
        <f>IF(398&gt;NLoanA,"",IFERROR(IF(VLOOKUP(INDEX(PkLoanA,398),AcctTblA,4,0)="","(بدون نام)",VLOOKUP(INDEX(PkLoanA,398),AcctTblA,4,0)),"—"))</f>
        <v/>
      </c>
      <c r="C1542" s="13">
        <f>IF($B1542="","",IF(398&gt;NLoanA,"",INDEX(PkLoanA,398)))</f>
        <v/>
      </c>
      <c r="D1542" s="12">
        <f>IF($B1542="","","l")</f>
        <v/>
      </c>
      <c r="E1542" s="14">
        <f>IF($B1542="","",IF(398&gt;NLoanA,0,SUMIF(CalcDebit,INDEX(PkLoanA,398),CalcAmt)+SUMIF(CalcDebit2,INDEX(PkLoanA,398),CalcAmt2)))</f>
        <v/>
      </c>
      <c r="F1542" s="14">
        <f>IF($B1542="","",IF(398&gt;NLoanA,0,SUMIF(CalcCredit,INDEX(PkLoanA,398),CalcAmt)+SUMIF(CalcCredit2,INDEX(PkLoanA,398),CalcAmt2)))</f>
        <v/>
      </c>
      <c r="G1542" s="15">
        <f>IF($B1542="","",ROUND($E1542-$F1542,0))</f>
        <v/>
      </c>
      <c r="H1542" s="12">
        <f>IF($B1542="","",IF(ROUND($G1542,0)&gt;0,"بدهکار",IF(ROUND($G1542,0)&lt;0,"بستانکار","تسویه")))</f>
        <v/>
      </c>
    </row>
    <row r="1543">
      <c r="A1543" s="16">
        <f>IF($B1543="","",1534)</f>
        <v/>
      </c>
      <c r="B1543" s="17">
        <f>IF(399&gt;NLoanA,"",IFERROR(IF(VLOOKUP(INDEX(PkLoanA,399),AcctTblA,4,0)="","(بدون نام)",VLOOKUP(INDEX(PkLoanA,399),AcctTblA,4,0)),"—"))</f>
        <v/>
      </c>
      <c r="C1543" s="18">
        <f>IF($B1543="","",IF(399&gt;NLoanA,"",INDEX(PkLoanA,399)))</f>
        <v/>
      </c>
      <c r="D1543" s="17">
        <f>IF($B1543="","","l")</f>
        <v/>
      </c>
      <c r="E1543" s="19">
        <f>IF($B1543="","",IF(399&gt;NLoanA,0,SUMIF(CalcDebit,INDEX(PkLoanA,399),CalcAmt)+SUMIF(CalcDebit2,INDEX(PkLoanA,399),CalcAmt2)))</f>
        <v/>
      </c>
      <c r="F1543" s="19">
        <f>IF($B1543="","",IF(399&gt;NLoanA,0,SUMIF(CalcCredit,INDEX(PkLoanA,399),CalcAmt)+SUMIF(CalcCredit2,INDEX(PkLoanA,399),CalcAmt2)))</f>
        <v/>
      </c>
      <c r="G1543" s="20">
        <f>IF($B1543="","",ROUND($E1543-$F1543,0))</f>
        <v/>
      </c>
      <c r="H1543" s="17">
        <f>IF($B1543="","",IF(ROUND($G1543,0)&gt;0,"بدهکار",IF(ROUND($G1543,0)&lt;0,"بستانکار","تسویه")))</f>
        <v/>
      </c>
    </row>
    <row r="1544">
      <c r="A1544" s="11">
        <f>IF($B1544="","",1535)</f>
        <v/>
      </c>
      <c r="B1544" s="12">
        <f>IF(400&gt;NLoanA,"",IFERROR(IF(VLOOKUP(INDEX(PkLoanA,400),AcctTblA,4,0)="","(بدون نام)",VLOOKUP(INDEX(PkLoanA,400),AcctTblA,4,0)),"—"))</f>
        <v/>
      </c>
      <c r="C1544" s="13">
        <f>IF($B1544="","",IF(400&gt;NLoanA,"",INDEX(PkLoanA,400)))</f>
        <v/>
      </c>
      <c r="D1544" s="12">
        <f>IF($B1544="","","l")</f>
        <v/>
      </c>
      <c r="E1544" s="14">
        <f>IF($B1544="","",IF(400&gt;NLoanA,0,SUMIF(CalcDebit,INDEX(PkLoanA,400),CalcAmt)+SUMIF(CalcDebit2,INDEX(PkLoanA,400),CalcAmt2)))</f>
        <v/>
      </c>
      <c r="F1544" s="14">
        <f>IF($B1544="","",IF(400&gt;NLoanA,0,SUMIF(CalcCredit,INDEX(PkLoanA,400),CalcAmt)+SUMIF(CalcCredit2,INDEX(PkLoanA,400),CalcAmt2)))</f>
        <v/>
      </c>
      <c r="G1544" s="15">
        <f>IF($B1544="","",ROUND($E1544-$F1544,0))</f>
        <v/>
      </c>
      <c r="H1544" s="12">
        <f>IF($B1544="","",IF(ROUND($G1544,0)&gt;0,"بدهکار",IF(ROUND($G1544,0)&lt;0,"بستانکار","تسویه")))</f>
        <v/>
      </c>
    </row>
    <row r="1545">
      <c r="A1545" s="16">
        <f>IF($B1545="","",1536)</f>
        <v/>
      </c>
      <c r="B1545" s="17">
        <f>IF(401&gt;NLoanA,"",IFERROR(IF(VLOOKUP(INDEX(PkLoanA,401),AcctTblA,4,0)="","(بدون نام)",VLOOKUP(INDEX(PkLoanA,401),AcctTblA,4,0)),"—"))</f>
        <v/>
      </c>
      <c r="C1545" s="18">
        <f>IF($B1545="","",IF(401&gt;NLoanA,"",INDEX(PkLoanA,401)))</f>
        <v/>
      </c>
      <c r="D1545" s="17">
        <f>IF($B1545="","","l")</f>
        <v/>
      </c>
      <c r="E1545" s="19">
        <f>IF($B1545="","",IF(401&gt;NLoanA,0,SUMIF(CalcDebit,INDEX(PkLoanA,401),CalcAmt)+SUMIF(CalcDebit2,INDEX(PkLoanA,401),CalcAmt2)))</f>
        <v/>
      </c>
      <c r="F1545" s="19">
        <f>IF($B1545="","",IF(401&gt;NLoanA,0,SUMIF(CalcCredit,INDEX(PkLoanA,401),CalcAmt)+SUMIF(CalcCredit2,INDEX(PkLoanA,401),CalcAmt2)))</f>
        <v/>
      </c>
      <c r="G1545" s="20">
        <f>IF($B1545="","",ROUND($E1545-$F1545,0))</f>
        <v/>
      </c>
      <c r="H1545" s="17">
        <f>IF($B1545="","",IF(ROUND($G1545,0)&gt;0,"بدهکار",IF(ROUND($G1545,0)&lt;0,"بستانکار","تسویه")))</f>
        <v/>
      </c>
    </row>
    <row r="1546">
      <c r="A1546" s="11">
        <f>IF($B1546="","",1537)</f>
        <v/>
      </c>
      <c r="B1546" s="12">
        <f>IF(402&gt;NLoanA,"",IFERROR(IF(VLOOKUP(INDEX(PkLoanA,402),AcctTblA,4,0)="","(بدون نام)",VLOOKUP(INDEX(PkLoanA,402),AcctTblA,4,0)),"—"))</f>
        <v/>
      </c>
      <c r="C1546" s="13">
        <f>IF($B1546="","",IF(402&gt;NLoanA,"",INDEX(PkLoanA,402)))</f>
        <v/>
      </c>
      <c r="D1546" s="12">
        <f>IF($B1546="","","l")</f>
        <v/>
      </c>
      <c r="E1546" s="14">
        <f>IF($B1546="","",IF(402&gt;NLoanA,0,SUMIF(CalcDebit,INDEX(PkLoanA,402),CalcAmt)+SUMIF(CalcDebit2,INDEX(PkLoanA,402),CalcAmt2)))</f>
        <v/>
      </c>
      <c r="F1546" s="14">
        <f>IF($B1546="","",IF(402&gt;NLoanA,0,SUMIF(CalcCredit,INDEX(PkLoanA,402),CalcAmt)+SUMIF(CalcCredit2,INDEX(PkLoanA,402),CalcAmt2)))</f>
        <v/>
      </c>
      <c r="G1546" s="15">
        <f>IF($B1546="","",ROUND($E1546-$F1546,0))</f>
        <v/>
      </c>
      <c r="H1546" s="12">
        <f>IF($B1546="","",IF(ROUND($G1546,0)&gt;0,"بدهکار",IF(ROUND($G1546,0)&lt;0,"بستانکار","تسویه")))</f>
        <v/>
      </c>
    </row>
    <row r="1547">
      <c r="A1547" s="16">
        <f>IF($B1547="","",1538)</f>
        <v/>
      </c>
      <c r="B1547" s="17">
        <f>IF(403&gt;NLoanA,"",IFERROR(IF(VLOOKUP(INDEX(PkLoanA,403),AcctTblA,4,0)="","(بدون نام)",VLOOKUP(INDEX(PkLoanA,403),AcctTblA,4,0)),"—"))</f>
        <v/>
      </c>
      <c r="C1547" s="18">
        <f>IF($B1547="","",IF(403&gt;NLoanA,"",INDEX(PkLoanA,403)))</f>
        <v/>
      </c>
      <c r="D1547" s="17">
        <f>IF($B1547="","","l")</f>
        <v/>
      </c>
      <c r="E1547" s="19">
        <f>IF($B1547="","",IF(403&gt;NLoanA,0,SUMIF(CalcDebit,INDEX(PkLoanA,403),CalcAmt)+SUMIF(CalcDebit2,INDEX(PkLoanA,403),CalcAmt2)))</f>
        <v/>
      </c>
      <c r="F1547" s="19">
        <f>IF($B1547="","",IF(403&gt;NLoanA,0,SUMIF(CalcCredit,INDEX(PkLoanA,403),CalcAmt)+SUMIF(CalcCredit2,INDEX(PkLoanA,403),CalcAmt2)))</f>
        <v/>
      </c>
      <c r="G1547" s="20">
        <f>IF($B1547="","",ROUND($E1547-$F1547,0))</f>
        <v/>
      </c>
      <c r="H1547" s="17">
        <f>IF($B1547="","",IF(ROUND($G1547,0)&gt;0,"بدهکار",IF(ROUND($G1547,0)&lt;0,"بستانکار","تسویه")))</f>
        <v/>
      </c>
    </row>
    <row r="1548">
      <c r="A1548" s="11">
        <f>IF($B1548="","",1539)</f>
        <v/>
      </c>
      <c r="B1548" s="12">
        <f>IF(404&gt;NLoanA,"",IFERROR(IF(VLOOKUP(INDEX(PkLoanA,404),AcctTblA,4,0)="","(بدون نام)",VLOOKUP(INDEX(PkLoanA,404),AcctTblA,4,0)),"—"))</f>
        <v/>
      </c>
      <c r="C1548" s="13">
        <f>IF($B1548="","",IF(404&gt;NLoanA,"",INDEX(PkLoanA,404)))</f>
        <v/>
      </c>
      <c r="D1548" s="12">
        <f>IF($B1548="","","l")</f>
        <v/>
      </c>
      <c r="E1548" s="14">
        <f>IF($B1548="","",IF(404&gt;NLoanA,0,SUMIF(CalcDebit,INDEX(PkLoanA,404),CalcAmt)+SUMIF(CalcDebit2,INDEX(PkLoanA,404),CalcAmt2)))</f>
        <v/>
      </c>
      <c r="F1548" s="14">
        <f>IF($B1548="","",IF(404&gt;NLoanA,0,SUMIF(CalcCredit,INDEX(PkLoanA,404),CalcAmt)+SUMIF(CalcCredit2,INDEX(PkLoanA,404),CalcAmt2)))</f>
        <v/>
      </c>
      <c r="G1548" s="15">
        <f>IF($B1548="","",ROUND($E1548-$F1548,0))</f>
        <v/>
      </c>
      <c r="H1548" s="12">
        <f>IF($B1548="","",IF(ROUND($G1548,0)&gt;0,"بدهکار",IF(ROUND($G1548,0)&lt;0,"بستانکار","تسویه")))</f>
        <v/>
      </c>
    </row>
    <row r="1549">
      <c r="A1549" s="16">
        <f>IF($B1549="","",1540)</f>
        <v/>
      </c>
      <c r="B1549" s="17">
        <f>IF(405&gt;NLoanA,"",IFERROR(IF(VLOOKUP(INDEX(PkLoanA,405),AcctTblA,4,0)="","(بدون نام)",VLOOKUP(INDEX(PkLoanA,405),AcctTblA,4,0)),"—"))</f>
        <v/>
      </c>
      <c r="C1549" s="18">
        <f>IF($B1549="","",IF(405&gt;NLoanA,"",INDEX(PkLoanA,405)))</f>
        <v/>
      </c>
      <c r="D1549" s="17">
        <f>IF($B1549="","","l")</f>
        <v/>
      </c>
      <c r="E1549" s="19">
        <f>IF($B1549="","",IF(405&gt;NLoanA,0,SUMIF(CalcDebit,INDEX(PkLoanA,405),CalcAmt)+SUMIF(CalcDebit2,INDEX(PkLoanA,405),CalcAmt2)))</f>
        <v/>
      </c>
      <c r="F1549" s="19">
        <f>IF($B1549="","",IF(405&gt;NLoanA,0,SUMIF(CalcCredit,INDEX(PkLoanA,405),CalcAmt)+SUMIF(CalcCredit2,INDEX(PkLoanA,405),CalcAmt2)))</f>
        <v/>
      </c>
      <c r="G1549" s="20">
        <f>IF($B1549="","",ROUND($E1549-$F1549,0))</f>
        <v/>
      </c>
      <c r="H1549" s="17">
        <f>IF($B1549="","",IF(ROUND($G1549,0)&gt;0,"بدهکار",IF(ROUND($G1549,0)&lt;0,"بستانکار","تسویه")))</f>
        <v/>
      </c>
    </row>
    <row r="1550">
      <c r="A1550" s="11">
        <f>IF($B1550="","",1541)</f>
        <v/>
      </c>
      <c r="B1550" s="12">
        <f>IF(406&gt;NLoanA,"",IFERROR(IF(VLOOKUP(INDEX(PkLoanA,406),AcctTblA,4,0)="","(بدون نام)",VLOOKUP(INDEX(PkLoanA,406),AcctTblA,4,0)),"—"))</f>
        <v/>
      </c>
      <c r="C1550" s="13">
        <f>IF($B1550="","",IF(406&gt;NLoanA,"",INDEX(PkLoanA,406)))</f>
        <v/>
      </c>
      <c r="D1550" s="12">
        <f>IF($B1550="","","l")</f>
        <v/>
      </c>
      <c r="E1550" s="14">
        <f>IF($B1550="","",IF(406&gt;NLoanA,0,SUMIF(CalcDebit,INDEX(PkLoanA,406),CalcAmt)+SUMIF(CalcDebit2,INDEX(PkLoanA,406),CalcAmt2)))</f>
        <v/>
      </c>
      <c r="F1550" s="14">
        <f>IF($B1550="","",IF(406&gt;NLoanA,0,SUMIF(CalcCredit,INDEX(PkLoanA,406),CalcAmt)+SUMIF(CalcCredit2,INDEX(PkLoanA,406),CalcAmt2)))</f>
        <v/>
      </c>
      <c r="G1550" s="15">
        <f>IF($B1550="","",ROUND($E1550-$F1550,0))</f>
        <v/>
      </c>
      <c r="H1550" s="12">
        <f>IF($B1550="","",IF(ROUND($G1550,0)&gt;0,"بدهکار",IF(ROUND($G1550,0)&lt;0,"بستانکار","تسویه")))</f>
        <v/>
      </c>
    </row>
    <row r="1551">
      <c r="A1551" s="16">
        <f>IF($B1551="","",1542)</f>
        <v/>
      </c>
      <c r="B1551" s="17">
        <f>IF(407&gt;NLoanA,"",IFERROR(IF(VLOOKUP(INDEX(PkLoanA,407),AcctTblA,4,0)="","(بدون نام)",VLOOKUP(INDEX(PkLoanA,407),AcctTblA,4,0)),"—"))</f>
        <v/>
      </c>
      <c r="C1551" s="18">
        <f>IF($B1551="","",IF(407&gt;NLoanA,"",INDEX(PkLoanA,407)))</f>
        <v/>
      </c>
      <c r="D1551" s="17">
        <f>IF($B1551="","","l")</f>
        <v/>
      </c>
      <c r="E1551" s="19">
        <f>IF($B1551="","",IF(407&gt;NLoanA,0,SUMIF(CalcDebit,INDEX(PkLoanA,407),CalcAmt)+SUMIF(CalcDebit2,INDEX(PkLoanA,407),CalcAmt2)))</f>
        <v/>
      </c>
      <c r="F1551" s="19">
        <f>IF($B1551="","",IF(407&gt;NLoanA,0,SUMIF(CalcCredit,INDEX(PkLoanA,407),CalcAmt)+SUMIF(CalcCredit2,INDEX(PkLoanA,407),CalcAmt2)))</f>
        <v/>
      </c>
      <c r="G1551" s="20">
        <f>IF($B1551="","",ROUND($E1551-$F1551,0))</f>
        <v/>
      </c>
      <c r="H1551" s="17">
        <f>IF($B1551="","",IF(ROUND($G1551,0)&gt;0,"بدهکار",IF(ROUND($G1551,0)&lt;0,"بستانکار","تسویه")))</f>
        <v/>
      </c>
    </row>
    <row r="1552">
      <c r="A1552" s="11">
        <f>IF($B1552="","",1543)</f>
        <v/>
      </c>
      <c r="B1552" s="12">
        <f>IF(408&gt;NLoanA,"",IFERROR(IF(VLOOKUP(INDEX(PkLoanA,408),AcctTblA,4,0)="","(بدون نام)",VLOOKUP(INDEX(PkLoanA,408),AcctTblA,4,0)),"—"))</f>
        <v/>
      </c>
      <c r="C1552" s="13">
        <f>IF($B1552="","",IF(408&gt;NLoanA,"",INDEX(PkLoanA,408)))</f>
        <v/>
      </c>
      <c r="D1552" s="12">
        <f>IF($B1552="","","l")</f>
        <v/>
      </c>
      <c r="E1552" s="14">
        <f>IF($B1552="","",IF(408&gt;NLoanA,0,SUMIF(CalcDebit,INDEX(PkLoanA,408),CalcAmt)+SUMIF(CalcDebit2,INDEX(PkLoanA,408),CalcAmt2)))</f>
        <v/>
      </c>
      <c r="F1552" s="14">
        <f>IF($B1552="","",IF(408&gt;NLoanA,0,SUMIF(CalcCredit,INDEX(PkLoanA,408),CalcAmt)+SUMIF(CalcCredit2,INDEX(PkLoanA,408),CalcAmt2)))</f>
        <v/>
      </c>
      <c r="G1552" s="15">
        <f>IF($B1552="","",ROUND($E1552-$F1552,0))</f>
        <v/>
      </c>
      <c r="H1552" s="12">
        <f>IF($B1552="","",IF(ROUND($G1552,0)&gt;0,"بدهکار",IF(ROUND($G1552,0)&lt;0,"بستانکار","تسویه")))</f>
        <v/>
      </c>
    </row>
    <row r="1553">
      <c r="A1553" s="16">
        <f>IF($B1553="","",1544)</f>
        <v/>
      </c>
      <c r="B1553" s="17">
        <f>IF(409&gt;NLoanA,"",IFERROR(IF(VLOOKUP(INDEX(PkLoanA,409),AcctTblA,4,0)="","(بدون نام)",VLOOKUP(INDEX(PkLoanA,409),AcctTblA,4,0)),"—"))</f>
        <v/>
      </c>
      <c r="C1553" s="18">
        <f>IF($B1553="","",IF(409&gt;NLoanA,"",INDEX(PkLoanA,409)))</f>
        <v/>
      </c>
      <c r="D1553" s="17">
        <f>IF($B1553="","","l")</f>
        <v/>
      </c>
      <c r="E1553" s="19">
        <f>IF($B1553="","",IF(409&gt;NLoanA,0,SUMIF(CalcDebit,INDEX(PkLoanA,409),CalcAmt)+SUMIF(CalcDebit2,INDEX(PkLoanA,409),CalcAmt2)))</f>
        <v/>
      </c>
      <c r="F1553" s="19">
        <f>IF($B1553="","",IF(409&gt;NLoanA,0,SUMIF(CalcCredit,INDEX(PkLoanA,409),CalcAmt)+SUMIF(CalcCredit2,INDEX(PkLoanA,409),CalcAmt2)))</f>
        <v/>
      </c>
      <c r="G1553" s="20">
        <f>IF($B1553="","",ROUND($E1553-$F1553,0))</f>
        <v/>
      </c>
      <c r="H1553" s="17">
        <f>IF($B1553="","",IF(ROUND($G1553,0)&gt;0,"بدهکار",IF(ROUND($G1553,0)&lt;0,"بستانکار","تسویه")))</f>
        <v/>
      </c>
    </row>
    <row r="1554">
      <c r="A1554" s="11">
        <f>IF($B1554="","",1545)</f>
        <v/>
      </c>
      <c r="B1554" s="12">
        <f>IF(410&gt;NLoanA,"",IFERROR(IF(VLOOKUP(INDEX(PkLoanA,410),AcctTblA,4,0)="","(بدون نام)",VLOOKUP(INDEX(PkLoanA,410),AcctTblA,4,0)),"—"))</f>
        <v/>
      </c>
      <c r="C1554" s="13">
        <f>IF($B1554="","",IF(410&gt;NLoanA,"",INDEX(PkLoanA,410)))</f>
        <v/>
      </c>
      <c r="D1554" s="12">
        <f>IF($B1554="","","l")</f>
        <v/>
      </c>
      <c r="E1554" s="14">
        <f>IF($B1554="","",IF(410&gt;NLoanA,0,SUMIF(CalcDebit,INDEX(PkLoanA,410),CalcAmt)+SUMIF(CalcDebit2,INDEX(PkLoanA,410),CalcAmt2)))</f>
        <v/>
      </c>
      <c r="F1554" s="14">
        <f>IF($B1554="","",IF(410&gt;NLoanA,0,SUMIF(CalcCredit,INDEX(PkLoanA,410),CalcAmt)+SUMIF(CalcCredit2,INDEX(PkLoanA,410),CalcAmt2)))</f>
        <v/>
      </c>
      <c r="G1554" s="15">
        <f>IF($B1554="","",ROUND($E1554-$F1554,0))</f>
        <v/>
      </c>
      <c r="H1554" s="12">
        <f>IF($B1554="","",IF(ROUND($G1554,0)&gt;0,"بدهکار",IF(ROUND($G1554,0)&lt;0,"بستانکار","تسویه")))</f>
        <v/>
      </c>
    </row>
    <row r="1555">
      <c r="A1555" s="16">
        <f>IF($B1555="","",1546)</f>
        <v/>
      </c>
      <c r="B1555" s="17">
        <f>IF(411&gt;NLoanA,"",IFERROR(IF(VLOOKUP(INDEX(PkLoanA,411),AcctTblA,4,0)="","(بدون نام)",VLOOKUP(INDEX(PkLoanA,411),AcctTblA,4,0)),"—"))</f>
        <v/>
      </c>
      <c r="C1555" s="18">
        <f>IF($B1555="","",IF(411&gt;NLoanA,"",INDEX(PkLoanA,411)))</f>
        <v/>
      </c>
      <c r="D1555" s="17">
        <f>IF($B1555="","","l")</f>
        <v/>
      </c>
      <c r="E1555" s="19">
        <f>IF($B1555="","",IF(411&gt;NLoanA,0,SUMIF(CalcDebit,INDEX(PkLoanA,411),CalcAmt)+SUMIF(CalcDebit2,INDEX(PkLoanA,411),CalcAmt2)))</f>
        <v/>
      </c>
      <c r="F1555" s="19">
        <f>IF($B1555="","",IF(411&gt;NLoanA,0,SUMIF(CalcCredit,INDEX(PkLoanA,411),CalcAmt)+SUMIF(CalcCredit2,INDEX(PkLoanA,411),CalcAmt2)))</f>
        <v/>
      </c>
      <c r="G1555" s="20">
        <f>IF($B1555="","",ROUND($E1555-$F1555,0))</f>
        <v/>
      </c>
      <c r="H1555" s="17">
        <f>IF($B1555="","",IF(ROUND($G1555,0)&gt;0,"بدهکار",IF(ROUND($G1555,0)&lt;0,"بستانکار","تسویه")))</f>
        <v/>
      </c>
    </row>
    <row r="1556">
      <c r="A1556" s="11">
        <f>IF($B1556="","",1547)</f>
        <v/>
      </c>
      <c r="B1556" s="12">
        <f>IF(412&gt;NLoanA,"",IFERROR(IF(VLOOKUP(INDEX(PkLoanA,412),AcctTblA,4,0)="","(بدون نام)",VLOOKUP(INDEX(PkLoanA,412),AcctTblA,4,0)),"—"))</f>
        <v/>
      </c>
      <c r="C1556" s="13">
        <f>IF($B1556="","",IF(412&gt;NLoanA,"",INDEX(PkLoanA,412)))</f>
        <v/>
      </c>
      <c r="D1556" s="12">
        <f>IF($B1556="","","l")</f>
        <v/>
      </c>
      <c r="E1556" s="14">
        <f>IF($B1556="","",IF(412&gt;NLoanA,0,SUMIF(CalcDebit,INDEX(PkLoanA,412),CalcAmt)+SUMIF(CalcDebit2,INDEX(PkLoanA,412),CalcAmt2)))</f>
        <v/>
      </c>
      <c r="F1556" s="14">
        <f>IF($B1556="","",IF(412&gt;NLoanA,0,SUMIF(CalcCredit,INDEX(PkLoanA,412),CalcAmt)+SUMIF(CalcCredit2,INDEX(PkLoanA,412),CalcAmt2)))</f>
        <v/>
      </c>
      <c r="G1556" s="15">
        <f>IF($B1556="","",ROUND($E1556-$F1556,0))</f>
        <v/>
      </c>
      <c r="H1556" s="12">
        <f>IF($B1556="","",IF(ROUND($G1556,0)&gt;0,"بدهکار",IF(ROUND($G1556,0)&lt;0,"بستانکار","تسویه")))</f>
        <v/>
      </c>
    </row>
    <row r="1557">
      <c r="A1557" s="16">
        <f>IF($B1557="","",1548)</f>
        <v/>
      </c>
      <c r="B1557" s="17">
        <f>IF(413&gt;NLoanA,"",IFERROR(IF(VLOOKUP(INDEX(PkLoanA,413),AcctTblA,4,0)="","(بدون نام)",VLOOKUP(INDEX(PkLoanA,413),AcctTblA,4,0)),"—"))</f>
        <v/>
      </c>
      <c r="C1557" s="18">
        <f>IF($B1557="","",IF(413&gt;NLoanA,"",INDEX(PkLoanA,413)))</f>
        <v/>
      </c>
      <c r="D1557" s="17">
        <f>IF($B1557="","","l")</f>
        <v/>
      </c>
      <c r="E1557" s="19">
        <f>IF($B1557="","",IF(413&gt;NLoanA,0,SUMIF(CalcDebit,INDEX(PkLoanA,413),CalcAmt)+SUMIF(CalcDebit2,INDEX(PkLoanA,413),CalcAmt2)))</f>
        <v/>
      </c>
      <c r="F1557" s="19">
        <f>IF($B1557="","",IF(413&gt;NLoanA,0,SUMIF(CalcCredit,INDEX(PkLoanA,413),CalcAmt)+SUMIF(CalcCredit2,INDEX(PkLoanA,413),CalcAmt2)))</f>
        <v/>
      </c>
      <c r="G1557" s="20">
        <f>IF($B1557="","",ROUND($E1557-$F1557,0))</f>
        <v/>
      </c>
      <c r="H1557" s="17">
        <f>IF($B1557="","",IF(ROUND($G1557,0)&gt;0,"بدهکار",IF(ROUND($G1557,0)&lt;0,"بستانکار","تسویه")))</f>
        <v/>
      </c>
    </row>
    <row r="1558">
      <c r="A1558" s="11">
        <f>IF($B1558="","",1549)</f>
        <v/>
      </c>
      <c r="B1558" s="12">
        <f>IF(414&gt;NLoanA,"",IFERROR(IF(VLOOKUP(INDEX(PkLoanA,414),AcctTblA,4,0)="","(بدون نام)",VLOOKUP(INDEX(PkLoanA,414),AcctTblA,4,0)),"—"))</f>
        <v/>
      </c>
      <c r="C1558" s="13">
        <f>IF($B1558="","",IF(414&gt;NLoanA,"",INDEX(PkLoanA,414)))</f>
        <v/>
      </c>
      <c r="D1558" s="12">
        <f>IF($B1558="","","l")</f>
        <v/>
      </c>
      <c r="E1558" s="14">
        <f>IF($B1558="","",IF(414&gt;NLoanA,0,SUMIF(CalcDebit,INDEX(PkLoanA,414),CalcAmt)+SUMIF(CalcDebit2,INDEX(PkLoanA,414),CalcAmt2)))</f>
        <v/>
      </c>
      <c r="F1558" s="14">
        <f>IF($B1558="","",IF(414&gt;NLoanA,0,SUMIF(CalcCredit,INDEX(PkLoanA,414),CalcAmt)+SUMIF(CalcCredit2,INDEX(PkLoanA,414),CalcAmt2)))</f>
        <v/>
      </c>
      <c r="G1558" s="15">
        <f>IF($B1558="","",ROUND($E1558-$F1558,0))</f>
        <v/>
      </c>
      <c r="H1558" s="12">
        <f>IF($B1558="","",IF(ROUND($G1558,0)&gt;0,"بدهکار",IF(ROUND($G1558,0)&lt;0,"بستانکار","تسویه")))</f>
        <v/>
      </c>
    </row>
    <row r="1559">
      <c r="A1559" s="16">
        <f>IF($B1559="","",1550)</f>
        <v/>
      </c>
      <c r="B1559" s="17">
        <f>IF(415&gt;NLoanA,"",IFERROR(IF(VLOOKUP(INDEX(PkLoanA,415),AcctTblA,4,0)="","(بدون نام)",VLOOKUP(INDEX(PkLoanA,415),AcctTblA,4,0)),"—"))</f>
        <v/>
      </c>
      <c r="C1559" s="18">
        <f>IF($B1559="","",IF(415&gt;NLoanA,"",INDEX(PkLoanA,415)))</f>
        <v/>
      </c>
      <c r="D1559" s="17">
        <f>IF($B1559="","","l")</f>
        <v/>
      </c>
      <c r="E1559" s="19">
        <f>IF($B1559="","",IF(415&gt;NLoanA,0,SUMIF(CalcDebit,INDEX(PkLoanA,415),CalcAmt)+SUMIF(CalcDebit2,INDEX(PkLoanA,415),CalcAmt2)))</f>
        <v/>
      </c>
      <c r="F1559" s="19">
        <f>IF($B1559="","",IF(415&gt;NLoanA,0,SUMIF(CalcCredit,INDEX(PkLoanA,415),CalcAmt)+SUMIF(CalcCredit2,INDEX(PkLoanA,415),CalcAmt2)))</f>
        <v/>
      </c>
      <c r="G1559" s="20">
        <f>IF($B1559="","",ROUND($E1559-$F1559,0))</f>
        <v/>
      </c>
      <c r="H1559" s="17">
        <f>IF($B1559="","",IF(ROUND($G1559,0)&gt;0,"بدهکار",IF(ROUND($G1559,0)&lt;0,"بستانکار","تسویه")))</f>
        <v/>
      </c>
    </row>
    <row r="1560">
      <c r="A1560" s="11">
        <f>IF($B1560="","",1551)</f>
        <v/>
      </c>
      <c r="B1560" s="12">
        <f>IF(416&gt;NLoanA,"",IFERROR(IF(VLOOKUP(INDEX(PkLoanA,416),AcctTblA,4,0)="","(بدون نام)",VLOOKUP(INDEX(PkLoanA,416),AcctTblA,4,0)),"—"))</f>
        <v/>
      </c>
      <c r="C1560" s="13">
        <f>IF($B1560="","",IF(416&gt;NLoanA,"",INDEX(PkLoanA,416)))</f>
        <v/>
      </c>
      <c r="D1560" s="12">
        <f>IF($B1560="","","l")</f>
        <v/>
      </c>
      <c r="E1560" s="14">
        <f>IF($B1560="","",IF(416&gt;NLoanA,0,SUMIF(CalcDebit,INDEX(PkLoanA,416),CalcAmt)+SUMIF(CalcDebit2,INDEX(PkLoanA,416),CalcAmt2)))</f>
        <v/>
      </c>
      <c r="F1560" s="14">
        <f>IF($B1560="","",IF(416&gt;NLoanA,0,SUMIF(CalcCredit,INDEX(PkLoanA,416),CalcAmt)+SUMIF(CalcCredit2,INDEX(PkLoanA,416),CalcAmt2)))</f>
        <v/>
      </c>
      <c r="G1560" s="15">
        <f>IF($B1560="","",ROUND($E1560-$F1560,0))</f>
        <v/>
      </c>
      <c r="H1560" s="12">
        <f>IF($B1560="","",IF(ROUND($G1560,0)&gt;0,"بدهکار",IF(ROUND($G1560,0)&lt;0,"بستانکار","تسویه")))</f>
        <v/>
      </c>
    </row>
    <row r="1561">
      <c r="A1561" s="16">
        <f>IF($B1561="","",1552)</f>
        <v/>
      </c>
      <c r="B1561" s="17">
        <f>IF(417&gt;NLoanA,"",IFERROR(IF(VLOOKUP(INDEX(PkLoanA,417),AcctTblA,4,0)="","(بدون نام)",VLOOKUP(INDEX(PkLoanA,417),AcctTblA,4,0)),"—"))</f>
        <v/>
      </c>
      <c r="C1561" s="18">
        <f>IF($B1561="","",IF(417&gt;NLoanA,"",INDEX(PkLoanA,417)))</f>
        <v/>
      </c>
      <c r="D1561" s="17">
        <f>IF($B1561="","","l")</f>
        <v/>
      </c>
      <c r="E1561" s="19">
        <f>IF($B1561="","",IF(417&gt;NLoanA,0,SUMIF(CalcDebit,INDEX(PkLoanA,417),CalcAmt)+SUMIF(CalcDebit2,INDEX(PkLoanA,417),CalcAmt2)))</f>
        <v/>
      </c>
      <c r="F1561" s="19">
        <f>IF($B1561="","",IF(417&gt;NLoanA,0,SUMIF(CalcCredit,INDEX(PkLoanA,417),CalcAmt)+SUMIF(CalcCredit2,INDEX(PkLoanA,417),CalcAmt2)))</f>
        <v/>
      </c>
      <c r="G1561" s="20">
        <f>IF($B1561="","",ROUND($E1561-$F1561,0))</f>
        <v/>
      </c>
      <c r="H1561" s="17">
        <f>IF($B1561="","",IF(ROUND($G1561,0)&gt;0,"بدهکار",IF(ROUND($G1561,0)&lt;0,"بستانکار","تسویه")))</f>
        <v/>
      </c>
    </row>
    <row r="1562">
      <c r="A1562" s="11">
        <f>IF($B1562="","",1553)</f>
        <v/>
      </c>
      <c r="B1562" s="12">
        <f>IF(418&gt;NLoanA,"",IFERROR(IF(VLOOKUP(INDEX(PkLoanA,418),AcctTblA,4,0)="","(بدون نام)",VLOOKUP(INDEX(PkLoanA,418),AcctTblA,4,0)),"—"))</f>
        <v/>
      </c>
      <c r="C1562" s="13">
        <f>IF($B1562="","",IF(418&gt;NLoanA,"",INDEX(PkLoanA,418)))</f>
        <v/>
      </c>
      <c r="D1562" s="12">
        <f>IF($B1562="","","l")</f>
        <v/>
      </c>
      <c r="E1562" s="14">
        <f>IF($B1562="","",IF(418&gt;NLoanA,0,SUMIF(CalcDebit,INDEX(PkLoanA,418),CalcAmt)+SUMIF(CalcDebit2,INDEX(PkLoanA,418),CalcAmt2)))</f>
        <v/>
      </c>
      <c r="F1562" s="14">
        <f>IF($B1562="","",IF(418&gt;NLoanA,0,SUMIF(CalcCredit,INDEX(PkLoanA,418),CalcAmt)+SUMIF(CalcCredit2,INDEX(PkLoanA,418),CalcAmt2)))</f>
        <v/>
      </c>
      <c r="G1562" s="15">
        <f>IF($B1562="","",ROUND($E1562-$F1562,0))</f>
        <v/>
      </c>
      <c r="H1562" s="12">
        <f>IF($B1562="","",IF(ROUND($G1562,0)&gt;0,"بدهکار",IF(ROUND($G1562,0)&lt;0,"بستانکار","تسویه")))</f>
        <v/>
      </c>
    </row>
    <row r="1563">
      <c r="A1563" s="16">
        <f>IF($B1563="","",1554)</f>
        <v/>
      </c>
      <c r="B1563" s="17">
        <f>IF(419&gt;NLoanA,"",IFERROR(IF(VLOOKUP(INDEX(PkLoanA,419),AcctTblA,4,0)="","(بدون نام)",VLOOKUP(INDEX(PkLoanA,419),AcctTblA,4,0)),"—"))</f>
        <v/>
      </c>
      <c r="C1563" s="18">
        <f>IF($B1563="","",IF(419&gt;NLoanA,"",INDEX(PkLoanA,419)))</f>
        <v/>
      </c>
      <c r="D1563" s="17">
        <f>IF($B1563="","","l")</f>
        <v/>
      </c>
      <c r="E1563" s="19">
        <f>IF($B1563="","",IF(419&gt;NLoanA,0,SUMIF(CalcDebit,INDEX(PkLoanA,419),CalcAmt)+SUMIF(CalcDebit2,INDEX(PkLoanA,419),CalcAmt2)))</f>
        <v/>
      </c>
      <c r="F1563" s="19">
        <f>IF($B1563="","",IF(419&gt;NLoanA,0,SUMIF(CalcCredit,INDEX(PkLoanA,419),CalcAmt)+SUMIF(CalcCredit2,INDEX(PkLoanA,419),CalcAmt2)))</f>
        <v/>
      </c>
      <c r="G1563" s="20">
        <f>IF($B1563="","",ROUND($E1563-$F1563,0))</f>
        <v/>
      </c>
      <c r="H1563" s="17">
        <f>IF($B1563="","",IF(ROUND($G1563,0)&gt;0,"بدهکار",IF(ROUND($G1563,0)&lt;0,"بستانکار","تسویه")))</f>
        <v/>
      </c>
    </row>
    <row r="1564">
      <c r="A1564" s="11">
        <f>IF($B1564="","",1555)</f>
        <v/>
      </c>
      <c r="B1564" s="12">
        <f>IF(420&gt;NLoanA,"",IFERROR(IF(VLOOKUP(INDEX(PkLoanA,420),AcctTblA,4,0)="","(بدون نام)",VLOOKUP(INDEX(PkLoanA,420),AcctTblA,4,0)),"—"))</f>
        <v/>
      </c>
      <c r="C1564" s="13">
        <f>IF($B1564="","",IF(420&gt;NLoanA,"",INDEX(PkLoanA,420)))</f>
        <v/>
      </c>
      <c r="D1564" s="12">
        <f>IF($B1564="","","l")</f>
        <v/>
      </c>
      <c r="E1564" s="14">
        <f>IF($B1564="","",IF(420&gt;NLoanA,0,SUMIF(CalcDebit,INDEX(PkLoanA,420),CalcAmt)+SUMIF(CalcDebit2,INDEX(PkLoanA,420),CalcAmt2)))</f>
        <v/>
      </c>
      <c r="F1564" s="14">
        <f>IF($B1564="","",IF(420&gt;NLoanA,0,SUMIF(CalcCredit,INDEX(PkLoanA,420),CalcAmt)+SUMIF(CalcCredit2,INDEX(PkLoanA,420),CalcAmt2)))</f>
        <v/>
      </c>
      <c r="G1564" s="15">
        <f>IF($B1564="","",ROUND($E1564-$F1564,0))</f>
        <v/>
      </c>
      <c r="H1564" s="12">
        <f>IF($B1564="","",IF(ROUND($G1564,0)&gt;0,"بدهکار",IF(ROUND($G1564,0)&lt;0,"بستانکار","تسویه")))</f>
        <v/>
      </c>
    </row>
    <row r="1565">
      <c r="A1565" s="16">
        <f>IF($B1565="","",1556)</f>
        <v/>
      </c>
      <c r="B1565" s="17">
        <f>IF(421&gt;NLoanA,"",IFERROR(IF(VLOOKUP(INDEX(PkLoanA,421),AcctTblA,4,0)="","(بدون نام)",VLOOKUP(INDEX(PkLoanA,421),AcctTblA,4,0)),"—"))</f>
        <v/>
      </c>
      <c r="C1565" s="18">
        <f>IF($B1565="","",IF(421&gt;NLoanA,"",INDEX(PkLoanA,421)))</f>
        <v/>
      </c>
      <c r="D1565" s="17">
        <f>IF($B1565="","","l")</f>
        <v/>
      </c>
      <c r="E1565" s="19">
        <f>IF($B1565="","",IF(421&gt;NLoanA,0,SUMIF(CalcDebit,INDEX(PkLoanA,421),CalcAmt)+SUMIF(CalcDebit2,INDEX(PkLoanA,421),CalcAmt2)))</f>
        <v/>
      </c>
      <c r="F1565" s="19">
        <f>IF($B1565="","",IF(421&gt;NLoanA,0,SUMIF(CalcCredit,INDEX(PkLoanA,421),CalcAmt)+SUMIF(CalcCredit2,INDEX(PkLoanA,421),CalcAmt2)))</f>
        <v/>
      </c>
      <c r="G1565" s="20">
        <f>IF($B1565="","",ROUND($E1565-$F1565,0))</f>
        <v/>
      </c>
      <c r="H1565" s="17">
        <f>IF($B1565="","",IF(ROUND($G1565,0)&gt;0,"بدهکار",IF(ROUND($G1565,0)&lt;0,"بستانکار","تسویه")))</f>
        <v/>
      </c>
    </row>
    <row r="1566">
      <c r="A1566" s="11">
        <f>IF($B1566="","",1557)</f>
        <v/>
      </c>
      <c r="B1566" s="12">
        <f>IF(422&gt;NLoanA,"",IFERROR(IF(VLOOKUP(INDEX(PkLoanA,422),AcctTblA,4,0)="","(بدون نام)",VLOOKUP(INDEX(PkLoanA,422),AcctTblA,4,0)),"—"))</f>
        <v/>
      </c>
      <c r="C1566" s="13">
        <f>IF($B1566="","",IF(422&gt;NLoanA,"",INDEX(PkLoanA,422)))</f>
        <v/>
      </c>
      <c r="D1566" s="12">
        <f>IF($B1566="","","l")</f>
        <v/>
      </c>
      <c r="E1566" s="14">
        <f>IF($B1566="","",IF(422&gt;NLoanA,0,SUMIF(CalcDebit,INDEX(PkLoanA,422),CalcAmt)+SUMIF(CalcDebit2,INDEX(PkLoanA,422),CalcAmt2)))</f>
        <v/>
      </c>
      <c r="F1566" s="14">
        <f>IF($B1566="","",IF(422&gt;NLoanA,0,SUMIF(CalcCredit,INDEX(PkLoanA,422),CalcAmt)+SUMIF(CalcCredit2,INDEX(PkLoanA,422),CalcAmt2)))</f>
        <v/>
      </c>
      <c r="G1566" s="15">
        <f>IF($B1566="","",ROUND($E1566-$F1566,0))</f>
        <v/>
      </c>
      <c r="H1566" s="12">
        <f>IF($B1566="","",IF(ROUND($G1566,0)&gt;0,"بدهکار",IF(ROUND($G1566,0)&lt;0,"بستانکار","تسویه")))</f>
        <v/>
      </c>
    </row>
    <row r="1567">
      <c r="A1567" s="16">
        <f>IF($B1567="","",1558)</f>
        <v/>
      </c>
      <c r="B1567" s="17">
        <f>IF(423&gt;NLoanA,"",IFERROR(IF(VLOOKUP(INDEX(PkLoanA,423),AcctTblA,4,0)="","(بدون نام)",VLOOKUP(INDEX(PkLoanA,423),AcctTblA,4,0)),"—"))</f>
        <v/>
      </c>
      <c r="C1567" s="18">
        <f>IF($B1567="","",IF(423&gt;NLoanA,"",INDEX(PkLoanA,423)))</f>
        <v/>
      </c>
      <c r="D1567" s="17">
        <f>IF($B1567="","","l")</f>
        <v/>
      </c>
      <c r="E1567" s="19">
        <f>IF($B1567="","",IF(423&gt;NLoanA,0,SUMIF(CalcDebit,INDEX(PkLoanA,423),CalcAmt)+SUMIF(CalcDebit2,INDEX(PkLoanA,423),CalcAmt2)))</f>
        <v/>
      </c>
      <c r="F1567" s="19">
        <f>IF($B1567="","",IF(423&gt;NLoanA,0,SUMIF(CalcCredit,INDEX(PkLoanA,423),CalcAmt)+SUMIF(CalcCredit2,INDEX(PkLoanA,423),CalcAmt2)))</f>
        <v/>
      </c>
      <c r="G1567" s="20">
        <f>IF($B1567="","",ROUND($E1567-$F1567,0))</f>
        <v/>
      </c>
      <c r="H1567" s="17">
        <f>IF($B1567="","",IF(ROUND($G1567,0)&gt;0,"بدهکار",IF(ROUND($G1567,0)&lt;0,"بستانکار","تسویه")))</f>
        <v/>
      </c>
    </row>
    <row r="1568">
      <c r="A1568" s="11">
        <f>IF($B1568="","",1559)</f>
        <v/>
      </c>
      <c r="B1568" s="12">
        <f>IF(424&gt;NLoanA,"",IFERROR(IF(VLOOKUP(INDEX(PkLoanA,424),AcctTblA,4,0)="","(بدون نام)",VLOOKUP(INDEX(PkLoanA,424),AcctTblA,4,0)),"—"))</f>
        <v/>
      </c>
      <c r="C1568" s="13">
        <f>IF($B1568="","",IF(424&gt;NLoanA,"",INDEX(PkLoanA,424)))</f>
        <v/>
      </c>
      <c r="D1568" s="12">
        <f>IF($B1568="","","l")</f>
        <v/>
      </c>
      <c r="E1568" s="14">
        <f>IF($B1568="","",IF(424&gt;NLoanA,0,SUMIF(CalcDebit,INDEX(PkLoanA,424),CalcAmt)+SUMIF(CalcDebit2,INDEX(PkLoanA,424),CalcAmt2)))</f>
        <v/>
      </c>
      <c r="F1568" s="14">
        <f>IF($B1568="","",IF(424&gt;NLoanA,0,SUMIF(CalcCredit,INDEX(PkLoanA,424),CalcAmt)+SUMIF(CalcCredit2,INDEX(PkLoanA,424),CalcAmt2)))</f>
        <v/>
      </c>
      <c r="G1568" s="15">
        <f>IF($B1568="","",ROUND($E1568-$F1568,0))</f>
        <v/>
      </c>
      <c r="H1568" s="12">
        <f>IF($B1568="","",IF(ROUND($G1568,0)&gt;0,"بدهکار",IF(ROUND($G1568,0)&lt;0,"بستانکار","تسویه")))</f>
        <v/>
      </c>
    </row>
    <row r="1569">
      <c r="A1569" s="16">
        <f>IF($B1569="","",1560)</f>
        <v/>
      </c>
      <c r="B1569" s="17">
        <f>IF(425&gt;NLoanA,"",IFERROR(IF(VLOOKUP(INDEX(PkLoanA,425),AcctTblA,4,0)="","(بدون نام)",VLOOKUP(INDEX(PkLoanA,425),AcctTblA,4,0)),"—"))</f>
        <v/>
      </c>
      <c r="C1569" s="18">
        <f>IF($B1569="","",IF(425&gt;NLoanA,"",INDEX(PkLoanA,425)))</f>
        <v/>
      </c>
      <c r="D1569" s="17">
        <f>IF($B1569="","","l")</f>
        <v/>
      </c>
      <c r="E1569" s="19">
        <f>IF($B1569="","",IF(425&gt;NLoanA,0,SUMIF(CalcDebit,INDEX(PkLoanA,425),CalcAmt)+SUMIF(CalcDebit2,INDEX(PkLoanA,425),CalcAmt2)))</f>
        <v/>
      </c>
      <c r="F1569" s="19">
        <f>IF($B1569="","",IF(425&gt;NLoanA,0,SUMIF(CalcCredit,INDEX(PkLoanA,425),CalcAmt)+SUMIF(CalcCredit2,INDEX(PkLoanA,425),CalcAmt2)))</f>
        <v/>
      </c>
      <c r="G1569" s="20">
        <f>IF($B1569="","",ROUND($E1569-$F1569,0))</f>
        <v/>
      </c>
      <c r="H1569" s="17">
        <f>IF($B1569="","",IF(ROUND($G1569,0)&gt;0,"بدهکار",IF(ROUND($G1569,0)&lt;0,"بستانکار","تسویه")))</f>
        <v/>
      </c>
    </row>
    <row r="1570">
      <c r="A1570" s="11">
        <f>IF($B1570="","",1561)</f>
        <v/>
      </c>
      <c r="B1570" s="12">
        <f>IF(426&gt;NLoanA,"",IFERROR(IF(VLOOKUP(INDEX(PkLoanA,426),AcctTblA,4,0)="","(بدون نام)",VLOOKUP(INDEX(PkLoanA,426),AcctTblA,4,0)),"—"))</f>
        <v/>
      </c>
      <c r="C1570" s="13">
        <f>IF($B1570="","",IF(426&gt;NLoanA,"",INDEX(PkLoanA,426)))</f>
        <v/>
      </c>
      <c r="D1570" s="12">
        <f>IF($B1570="","","l")</f>
        <v/>
      </c>
      <c r="E1570" s="14">
        <f>IF($B1570="","",IF(426&gt;NLoanA,0,SUMIF(CalcDebit,INDEX(PkLoanA,426),CalcAmt)+SUMIF(CalcDebit2,INDEX(PkLoanA,426),CalcAmt2)))</f>
        <v/>
      </c>
      <c r="F1570" s="14">
        <f>IF($B1570="","",IF(426&gt;NLoanA,0,SUMIF(CalcCredit,INDEX(PkLoanA,426),CalcAmt)+SUMIF(CalcCredit2,INDEX(PkLoanA,426),CalcAmt2)))</f>
        <v/>
      </c>
      <c r="G1570" s="15">
        <f>IF($B1570="","",ROUND($E1570-$F1570,0))</f>
        <v/>
      </c>
      <c r="H1570" s="12">
        <f>IF($B1570="","",IF(ROUND($G1570,0)&gt;0,"بدهکار",IF(ROUND($G1570,0)&lt;0,"بستانکار","تسویه")))</f>
        <v/>
      </c>
    </row>
    <row r="1571">
      <c r="A1571" s="16">
        <f>IF($B1571="","",1562)</f>
        <v/>
      </c>
      <c r="B1571" s="17">
        <f>IF(427&gt;NLoanA,"",IFERROR(IF(VLOOKUP(INDEX(PkLoanA,427),AcctTblA,4,0)="","(بدون نام)",VLOOKUP(INDEX(PkLoanA,427),AcctTblA,4,0)),"—"))</f>
        <v/>
      </c>
      <c r="C1571" s="18">
        <f>IF($B1571="","",IF(427&gt;NLoanA,"",INDEX(PkLoanA,427)))</f>
        <v/>
      </c>
      <c r="D1571" s="17">
        <f>IF($B1571="","","l")</f>
        <v/>
      </c>
      <c r="E1571" s="19">
        <f>IF($B1571="","",IF(427&gt;NLoanA,0,SUMIF(CalcDebit,INDEX(PkLoanA,427),CalcAmt)+SUMIF(CalcDebit2,INDEX(PkLoanA,427),CalcAmt2)))</f>
        <v/>
      </c>
      <c r="F1571" s="19">
        <f>IF($B1571="","",IF(427&gt;NLoanA,0,SUMIF(CalcCredit,INDEX(PkLoanA,427),CalcAmt)+SUMIF(CalcCredit2,INDEX(PkLoanA,427),CalcAmt2)))</f>
        <v/>
      </c>
      <c r="G1571" s="20">
        <f>IF($B1571="","",ROUND($E1571-$F1571,0))</f>
        <v/>
      </c>
      <c r="H1571" s="17">
        <f>IF($B1571="","",IF(ROUND($G1571,0)&gt;0,"بدهکار",IF(ROUND($G1571,0)&lt;0,"بستانکار","تسویه")))</f>
        <v/>
      </c>
    </row>
    <row r="1572">
      <c r="A1572" s="11">
        <f>IF($B1572="","",1563)</f>
        <v/>
      </c>
      <c r="B1572" s="12">
        <f>IF(428&gt;NLoanA,"",IFERROR(IF(VLOOKUP(INDEX(PkLoanA,428),AcctTblA,4,0)="","(بدون نام)",VLOOKUP(INDEX(PkLoanA,428),AcctTblA,4,0)),"—"))</f>
        <v/>
      </c>
      <c r="C1572" s="13">
        <f>IF($B1572="","",IF(428&gt;NLoanA,"",INDEX(PkLoanA,428)))</f>
        <v/>
      </c>
      <c r="D1572" s="12">
        <f>IF($B1572="","","l")</f>
        <v/>
      </c>
      <c r="E1572" s="14">
        <f>IF($B1572="","",IF(428&gt;NLoanA,0,SUMIF(CalcDebit,INDEX(PkLoanA,428),CalcAmt)+SUMIF(CalcDebit2,INDEX(PkLoanA,428),CalcAmt2)))</f>
        <v/>
      </c>
      <c r="F1572" s="14">
        <f>IF($B1572="","",IF(428&gt;NLoanA,0,SUMIF(CalcCredit,INDEX(PkLoanA,428),CalcAmt)+SUMIF(CalcCredit2,INDEX(PkLoanA,428),CalcAmt2)))</f>
        <v/>
      </c>
      <c r="G1572" s="15">
        <f>IF($B1572="","",ROUND($E1572-$F1572,0))</f>
        <v/>
      </c>
      <c r="H1572" s="12">
        <f>IF($B1572="","",IF(ROUND($G1572,0)&gt;0,"بدهکار",IF(ROUND($G1572,0)&lt;0,"بستانکار","تسویه")))</f>
        <v/>
      </c>
    </row>
    <row r="1573">
      <c r="A1573" s="16">
        <f>IF($B1573="","",1564)</f>
        <v/>
      </c>
      <c r="B1573" s="17">
        <f>IF(429&gt;NLoanA,"",IFERROR(IF(VLOOKUP(INDEX(PkLoanA,429),AcctTblA,4,0)="","(بدون نام)",VLOOKUP(INDEX(PkLoanA,429),AcctTblA,4,0)),"—"))</f>
        <v/>
      </c>
      <c r="C1573" s="18">
        <f>IF($B1573="","",IF(429&gt;NLoanA,"",INDEX(PkLoanA,429)))</f>
        <v/>
      </c>
      <c r="D1573" s="17">
        <f>IF($B1573="","","l")</f>
        <v/>
      </c>
      <c r="E1573" s="19">
        <f>IF($B1573="","",IF(429&gt;NLoanA,0,SUMIF(CalcDebit,INDEX(PkLoanA,429),CalcAmt)+SUMIF(CalcDebit2,INDEX(PkLoanA,429),CalcAmt2)))</f>
        <v/>
      </c>
      <c r="F1573" s="19">
        <f>IF($B1573="","",IF(429&gt;NLoanA,0,SUMIF(CalcCredit,INDEX(PkLoanA,429),CalcAmt)+SUMIF(CalcCredit2,INDEX(PkLoanA,429),CalcAmt2)))</f>
        <v/>
      </c>
      <c r="G1573" s="20">
        <f>IF($B1573="","",ROUND($E1573-$F1573,0))</f>
        <v/>
      </c>
      <c r="H1573" s="17">
        <f>IF($B1573="","",IF(ROUND($G1573,0)&gt;0,"بدهکار",IF(ROUND($G1573,0)&lt;0,"بستانکار","تسویه")))</f>
        <v/>
      </c>
    </row>
    <row r="1574">
      <c r="A1574" s="11">
        <f>IF($B1574="","",1565)</f>
        <v/>
      </c>
      <c r="B1574" s="12">
        <f>IF(430&gt;NLoanA,"",IFERROR(IF(VLOOKUP(INDEX(PkLoanA,430),AcctTblA,4,0)="","(بدون نام)",VLOOKUP(INDEX(PkLoanA,430),AcctTblA,4,0)),"—"))</f>
        <v/>
      </c>
      <c r="C1574" s="13">
        <f>IF($B1574="","",IF(430&gt;NLoanA,"",INDEX(PkLoanA,430)))</f>
        <v/>
      </c>
      <c r="D1574" s="12">
        <f>IF($B1574="","","l")</f>
        <v/>
      </c>
      <c r="E1574" s="14">
        <f>IF($B1574="","",IF(430&gt;NLoanA,0,SUMIF(CalcDebit,INDEX(PkLoanA,430),CalcAmt)+SUMIF(CalcDebit2,INDEX(PkLoanA,430),CalcAmt2)))</f>
        <v/>
      </c>
      <c r="F1574" s="14">
        <f>IF($B1574="","",IF(430&gt;NLoanA,0,SUMIF(CalcCredit,INDEX(PkLoanA,430),CalcAmt)+SUMIF(CalcCredit2,INDEX(PkLoanA,430),CalcAmt2)))</f>
        <v/>
      </c>
      <c r="G1574" s="15">
        <f>IF($B1574="","",ROUND($E1574-$F1574,0))</f>
        <v/>
      </c>
      <c r="H1574" s="12">
        <f>IF($B1574="","",IF(ROUND($G1574,0)&gt;0,"بدهکار",IF(ROUND($G1574,0)&lt;0,"بستانکار","تسویه")))</f>
        <v/>
      </c>
    </row>
    <row r="1575">
      <c r="A1575" s="16">
        <f>IF($B1575="","",1566)</f>
        <v/>
      </c>
      <c r="B1575" s="17">
        <f>IF(431&gt;NLoanA,"",IFERROR(IF(VLOOKUP(INDEX(PkLoanA,431),AcctTblA,4,0)="","(بدون نام)",VLOOKUP(INDEX(PkLoanA,431),AcctTblA,4,0)),"—"))</f>
        <v/>
      </c>
      <c r="C1575" s="18">
        <f>IF($B1575="","",IF(431&gt;NLoanA,"",INDEX(PkLoanA,431)))</f>
        <v/>
      </c>
      <c r="D1575" s="17">
        <f>IF($B1575="","","l")</f>
        <v/>
      </c>
      <c r="E1575" s="19">
        <f>IF($B1575="","",IF(431&gt;NLoanA,0,SUMIF(CalcDebit,INDEX(PkLoanA,431),CalcAmt)+SUMIF(CalcDebit2,INDEX(PkLoanA,431),CalcAmt2)))</f>
        <v/>
      </c>
      <c r="F1575" s="19">
        <f>IF($B1575="","",IF(431&gt;NLoanA,0,SUMIF(CalcCredit,INDEX(PkLoanA,431),CalcAmt)+SUMIF(CalcCredit2,INDEX(PkLoanA,431),CalcAmt2)))</f>
        <v/>
      </c>
      <c r="G1575" s="20">
        <f>IF($B1575="","",ROUND($E1575-$F1575,0))</f>
        <v/>
      </c>
      <c r="H1575" s="17">
        <f>IF($B1575="","",IF(ROUND($G1575,0)&gt;0,"بدهکار",IF(ROUND($G1575,0)&lt;0,"بستانکار","تسویه")))</f>
        <v/>
      </c>
    </row>
    <row r="1576">
      <c r="A1576" s="11">
        <f>IF($B1576="","",1567)</f>
        <v/>
      </c>
      <c r="B1576" s="12">
        <f>IF(432&gt;NLoanA,"",IFERROR(IF(VLOOKUP(INDEX(PkLoanA,432),AcctTblA,4,0)="","(بدون نام)",VLOOKUP(INDEX(PkLoanA,432),AcctTblA,4,0)),"—"))</f>
        <v/>
      </c>
      <c r="C1576" s="13">
        <f>IF($B1576="","",IF(432&gt;NLoanA,"",INDEX(PkLoanA,432)))</f>
        <v/>
      </c>
      <c r="D1576" s="12">
        <f>IF($B1576="","","l")</f>
        <v/>
      </c>
      <c r="E1576" s="14">
        <f>IF($B1576="","",IF(432&gt;NLoanA,0,SUMIF(CalcDebit,INDEX(PkLoanA,432),CalcAmt)+SUMIF(CalcDebit2,INDEX(PkLoanA,432),CalcAmt2)))</f>
        <v/>
      </c>
      <c r="F1576" s="14">
        <f>IF($B1576="","",IF(432&gt;NLoanA,0,SUMIF(CalcCredit,INDEX(PkLoanA,432),CalcAmt)+SUMIF(CalcCredit2,INDEX(PkLoanA,432),CalcAmt2)))</f>
        <v/>
      </c>
      <c r="G1576" s="15">
        <f>IF($B1576="","",ROUND($E1576-$F1576,0))</f>
        <v/>
      </c>
      <c r="H1576" s="12">
        <f>IF($B1576="","",IF(ROUND($G1576,0)&gt;0,"بدهکار",IF(ROUND($G1576,0)&lt;0,"بستانکار","تسویه")))</f>
        <v/>
      </c>
    </row>
    <row r="1577">
      <c r="A1577" s="16">
        <f>IF($B1577="","",1568)</f>
        <v/>
      </c>
      <c r="B1577" s="17">
        <f>IF(433&gt;NLoanA,"",IFERROR(IF(VLOOKUP(INDEX(PkLoanA,433),AcctTblA,4,0)="","(بدون نام)",VLOOKUP(INDEX(PkLoanA,433),AcctTblA,4,0)),"—"))</f>
        <v/>
      </c>
      <c r="C1577" s="18">
        <f>IF($B1577="","",IF(433&gt;NLoanA,"",INDEX(PkLoanA,433)))</f>
        <v/>
      </c>
      <c r="D1577" s="17">
        <f>IF($B1577="","","l")</f>
        <v/>
      </c>
      <c r="E1577" s="19">
        <f>IF($B1577="","",IF(433&gt;NLoanA,0,SUMIF(CalcDebit,INDEX(PkLoanA,433),CalcAmt)+SUMIF(CalcDebit2,INDEX(PkLoanA,433),CalcAmt2)))</f>
        <v/>
      </c>
      <c r="F1577" s="19">
        <f>IF($B1577="","",IF(433&gt;NLoanA,0,SUMIF(CalcCredit,INDEX(PkLoanA,433),CalcAmt)+SUMIF(CalcCredit2,INDEX(PkLoanA,433),CalcAmt2)))</f>
        <v/>
      </c>
      <c r="G1577" s="20">
        <f>IF($B1577="","",ROUND($E1577-$F1577,0))</f>
        <v/>
      </c>
      <c r="H1577" s="17">
        <f>IF($B1577="","",IF(ROUND($G1577,0)&gt;0,"بدهکار",IF(ROUND($G1577,0)&lt;0,"بستانکار","تسویه")))</f>
        <v/>
      </c>
    </row>
    <row r="1578">
      <c r="A1578" s="11">
        <f>IF($B1578="","",1569)</f>
        <v/>
      </c>
      <c r="B1578" s="12">
        <f>IF(434&gt;NLoanA,"",IFERROR(IF(VLOOKUP(INDEX(PkLoanA,434),AcctTblA,4,0)="","(بدون نام)",VLOOKUP(INDEX(PkLoanA,434),AcctTblA,4,0)),"—"))</f>
        <v/>
      </c>
      <c r="C1578" s="13">
        <f>IF($B1578="","",IF(434&gt;NLoanA,"",INDEX(PkLoanA,434)))</f>
        <v/>
      </c>
      <c r="D1578" s="12">
        <f>IF($B1578="","","l")</f>
        <v/>
      </c>
      <c r="E1578" s="14">
        <f>IF($B1578="","",IF(434&gt;NLoanA,0,SUMIF(CalcDebit,INDEX(PkLoanA,434),CalcAmt)+SUMIF(CalcDebit2,INDEX(PkLoanA,434),CalcAmt2)))</f>
        <v/>
      </c>
      <c r="F1578" s="14">
        <f>IF($B1578="","",IF(434&gt;NLoanA,0,SUMIF(CalcCredit,INDEX(PkLoanA,434),CalcAmt)+SUMIF(CalcCredit2,INDEX(PkLoanA,434),CalcAmt2)))</f>
        <v/>
      </c>
      <c r="G1578" s="15">
        <f>IF($B1578="","",ROUND($E1578-$F1578,0))</f>
        <v/>
      </c>
      <c r="H1578" s="12">
        <f>IF($B1578="","",IF(ROUND($G1578,0)&gt;0,"بدهکار",IF(ROUND($G1578,0)&lt;0,"بستانکار","تسویه")))</f>
        <v/>
      </c>
    </row>
    <row r="1579">
      <c r="A1579" s="16">
        <f>IF($B1579="","",1570)</f>
        <v/>
      </c>
      <c r="B1579" s="17">
        <f>IF(435&gt;NLoanA,"",IFERROR(IF(VLOOKUP(INDEX(PkLoanA,435),AcctTblA,4,0)="","(بدون نام)",VLOOKUP(INDEX(PkLoanA,435),AcctTblA,4,0)),"—"))</f>
        <v/>
      </c>
      <c r="C1579" s="18">
        <f>IF($B1579="","",IF(435&gt;NLoanA,"",INDEX(PkLoanA,435)))</f>
        <v/>
      </c>
      <c r="D1579" s="17">
        <f>IF($B1579="","","l")</f>
        <v/>
      </c>
      <c r="E1579" s="19">
        <f>IF($B1579="","",IF(435&gt;NLoanA,0,SUMIF(CalcDebit,INDEX(PkLoanA,435),CalcAmt)+SUMIF(CalcDebit2,INDEX(PkLoanA,435),CalcAmt2)))</f>
        <v/>
      </c>
      <c r="F1579" s="19">
        <f>IF($B1579="","",IF(435&gt;NLoanA,0,SUMIF(CalcCredit,INDEX(PkLoanA,435),CalcAmt)+SUMIF(CalcCredit2,INDEX(PkLoanA,435),CalcAmt2)))</f>
        <v/>
      </c>
      <c r="G1579" s="20">
        <f>IF($B1579="","",ROUND($E1579-$F1579,0))</f>
        <v/>
      </c>
      <c r="H1579" s="17">
        <f>IF($B1579="","",IF(ROUND($G1579,0)&gt;0,"بدهکار",IF(ROUND($G1579,0)&lt;0,"بستانکار","تسویه")))</f>
        <v/>
      </c>
    </row>
    <row r="1580">
      <c r="A1580" s="11">
        <f>IF($B1580="","",1571)</f>
        <v/>
      </c>
      <c r="B1580" s="12">
        <f>IF(436&gt;NLoanA,"",IFERROR(IF(VLOOKUP(INDEX(PkLoanA,436),AcctTblA,4,0)="","(بدون نام)",VLOOKUP(INDEX(PkLoanA,436),AcctTblA,4,0)),"—"))</f>
        <v/>
      </c>
      <c r="C1580" s="13">
        <f>IF($B1580="","",IF(436&gt;NLoanA,"",INDEX(PkLoanA,436)))</f>
        <v/>
      </c>
      <c r="D1580" s="12">
        <f>IF($B1580="","","l")</f>
        <v/>
      </c>
      <c r="E1580" s="14">
        <f>IF($B1580="","",IF(436&gt;NLoanA,0,SUMIF(CalcDebit,INDEX(PkLoanA,436),CalcAmt)+SUMIF(CalcDebit2,INDEX(PkLoanA,436),CalcAmt2)))</f>
        <v/>
      </c>
      <c r="F1580" s="14">
        <f>IF($B1580="","",IF(436&gt;NLoanA,0,SUMIF(CalcCredit,INDEX(PkLoanA,436),CalcAmt)+SUMIF(CalcCredit2,INDEX(PkLoanA,436),CalcAmt2)))</f>
        <v/>
      </c>
      <c r="G1580" s="15">
        <f>IF($B1580="","",ROUND($E1580-$F1580,0))</f>
        <v/>
      </c>
      <c r="H1580" s="12">
        <f>IF($B1580="","",IF(ROUND($G1580,0)&gt;0,"بدهکار",IF(ROUND($G1580,0)&lt;0,"بستانکار","تسویه")))</f>
        <v/>
      </c>
    </row>
    <row r="1581">
      <c r="A1581" s="16">
        <f>IF($B1581="","",1572)</f>
        <v/>
      </c>
      <c r="B1581" s="17">
        <f>IF(437&gt;NLoanA,"",IFERROR(IF(VLOOKUP(INDEX(PkLoanA,437),AcctTblA,4,0)="","(بدون نام)",VLOOKUP(INDEX(PkLoanA,437),AcctTblA,4,0)),"—"))</f>
        <v/>
      </c>
      <c r="C1581" s="18">
        <f>IF($B1581="","",IF(437&gt;NLoanA,"",INDEX(PkLoanA,437)))</f>
        <v/>
      </c>
      <c r="D1581" s="17">
        <f>IF($B1581="","","l")</f>
        <v/>
      </c>
      <c r="E1581" s="19">
        <f>IF($B1581="","",IF(437&gt;NLoanA,0,SUMIF(CalcDebit,INDEX(PkLoanA,437),CalcAmt)+SUMIF(CalcDebit2,INDEX(PkLoanA,437),CalcAmt2)))</f>
        <v/>
      </c>
      <c r="F1581" s="19">
        <f>IF($B1581="","",IF(437&gt;NLoanA,0,SUMIF(CalcCredit,INDEX(PkLoanA,437),CalcAmt)+SUMIF(CalcCredit2,INDEX(PkLoanA,437),CalcAmt2)))</f>
        <v/>
      </c>
      <c r="G1581" s="20">
        <f>IF($B1581="","",ROUND($E1581-$F1581,0))</f>
        <v/>
      </c>
      <c r="H1581" s="17">
        <f>IF($B1581="","",IF(ROUND($G1581,0)&gt;0,"بدهکار",IF(ROUND($G1581,0)&lt;0,"بستانکار","تسویه")))</f>
        <v/>
      </c>
    </row>
    <row r="1582">
      <c r="A1582" s="11">
        <f>IF($B1582="","",1573)</f>
        <v/>
      </c>
      <c r="B1582" s="12">
        <f>IF(438&gt;NLoanA,"",IFERROR(IF(VLOOKUP(INDEX(PkLoanA,438),AcctTblA,4,0)="","(بدون نام)",VLOOKUP(INDEX(PkLoanA,438),AcctTblA,4,0)),"—"))</f>
        <v/>
      </c>
      <c r="C1582" s="13">
        <f>IF($B1582="","",IF(438&gt;NLoanA,"",INDEX(PkLoanA,438)))</f>
        <v/>
      </c>
      <c r="D1582" s="12">
        <f>IF($B1582="","","l")</f>
        <v/>
      </c>
      <c r="E1582" s="14">
        <f>IF($B1582="","",IF(438&gt;NLoanA,0,SUMIF(CalcDebit,INDEX(PkLoanA,438),CalcAmt)+SUMIF(CalcDebit2,INDEX(PkLoanA,438),CalcAmt2)))</f>
        <v/>
      </c>
      <c r="F1582" s="14">
        <f>IF($B1582="","",IF(438&gt;NLoanA,0,SUMIF(CalcCredit,INDEX(PkLoanA,438),CalcAmt)+SUMIF(CalcCredit2,INDEX(PkLoanA,438),CalcAmt2)))</f>
        <v/>
      </c>
      <c r="G1582" s="15">
        <f>IF($B1582="","",ROUND($E1582-$F1582,0))</f>
        <v/>
      </c>
      <c r="H1582" s="12">
        <f>IF($B1582="","",IF(ROUND($G1582,0)&gt;0,"بدهکار",IF(ROUND($G1582,0)&lt;0,"بستانکار","تسویه")))</f>
        <v/>
      </c>
    </row>
    <row r="1583">
      <c r="A1583" s="16">
        <f>IF($B1583="","",1574)</f>
        <v/>
      </c>
      <c r="B1583" s="17">
        <f>IF(439&gt;NLoanA,"",IFERROR(IF(VLOOKUP(INDEX(PkLoanA,439),AcctTblA,4,0)="","(بدون نام)",VLOOKUP(INDEX(PkLoanA,439),AcctTblA,4,0)),"—"))</f>
        <v/>
      </c>
      <c r="C1583" s="18">
        <f>IF($B1583="","",IF(439&gt;NLoanA,"",INDEX(PkLoanA,439)))</f>
        <v/>
      </c>
      <c r="D1583" s="17">
        <f>IF($B1583="","","l")</f>
        <v/>
      </c>
      <c r="E1583" s="19">
        <f>IF($B1583="","",IF(439&gt;NLoanA,0,SUMIF(CalcDebit,INDEX(PkLoanA,439),CalcAmt)+SUMIF(CalcDebit2,INDEX(PkLoanA,439),CalcAmt2)))</f>
        <v/>
      </c>
      <c r="F1583" s="19">
        <f>IF($B1583="","",IF(439&gt;NLoanA,0,SUMIF(CalcCredit,INDEX(PkLoanA,439),CalcAmt)+SUMIF(CalcCredit2,INDEX(PkLoanA,439),CalcAmt2)))</f>
        <v/>
      </c>
      <c r="G1583" s="20">
        <f>IF($B1583="","",ROUND($E1583-$F1583,0))</f>
        <v/>
      </c>
      <c r="H1583" s="17">
        <f>IF($B1583="","",IF(ROUND($G1583,0)&gt;0,"بدهکار",IF(ROUND($G1583,0)&lt;0,"بستانکار","تسویه")))</f>
        <v/>
      </c>
    </row>
    <row r="1584">
      <c r="A1584" s="11">
        <f>IF($B1584="","",1575)</f>
        <v/>
      </c>
      <c r="B1584" s="12">
        <f>IF(440&gt;NLoanA,"",IFERROR(IF(VLOOKUP(INDEX(PkLoanA,440),AcctTblA,4,0)="","(بدون نام)",VLOOKUP(INDEX(PkLoanA,440),AcctTblA,4,0)),"—"))</f>
        <v/>
      </c>
      <c r="C1584" s="13">
        <f>IF($B1584="","",IF(440&gt;NLoanA,"",INDEX(PkLoanA,440)))</f>
        <v/>
      </c>
      <c r="D1584" s="12">
        <f>IF($B1584="","","l")</f>
        <v/>
      </c>
      <c r="E1584" s="14">
        <f>IF($B1584="","",IF(440&gt;NLoanA,0,SUMIF(CalcDebit,INDEX(PkLoanA,440),CalcAmt)+SUMIF(CalcDebit2,INDEX(PkLoanA,440),CalcAmt2)))</f>
        <v/>
      </c>
      <c r="F1584" s="14">
        <f>IF($B1584="","",IF(440&gt;NLoanA,0,SUMIF(CalcCredit,INDEX(PkLoanA,440),CalcAmt)+SUMIF(CalcCredit2,INDEX(PkLoanA,440),CalcAmt2)))</f>
        <v/>
      </c>
      <c r="G1584" s="15">
        <f>IF($B1584="","",ROUND($E1584-$F1584,0))</f>
        <v/>
      </c>
      <c r="H1584" s="12">
        <f>IF($B1584="","",IF(ROUND($G1584,0)&gt;0,"بدهکار",IF(ROUND($G1584,0)&lt;0,"بستانکار","تسویه")))</f>
        <v/>
      </c>
    </row>
    <row r="1585">
      <c r="A1585" s="16">
        <f>IF($B1585="","",1576)</f>
        <v/>
      </c>
      <c r="B1585" s="17">
        <f>IF(441&gt;NLoanA,"",IFERROR(IF(VLOOKUP(INDEX(PkLoanA,441),AcctTblA,4,0)="","(بدون نام)",VLOOKUP(INDEX(PkLoanA,441),AcctTblA,4,0)),"—"))</f>
        <v/>
      </c>
      <c r="C1585" s="18">
        <f>IF($B1585="","",IF(441&gt;NLoanA,"",INDEX(PkLoanA,441)))</f>
        <v/>
      </c>
      <c r="D1585" s="17">
        <f>IF($B1585="","","l")</f>
        <v/>
      </c>
      <c r="E1585" s="19">
        <f>IF($B1585="","",IF(441&gt;NLoanA,0,SUMIF(CalcDebit,INDEX(PkLoanA,441),CalcAmt)+SUMIF(CalcDebit2,INDEX(PkLoanA,441),CalcAmt2)))</f>
        <v/>
      </c>
      <c r="F1585" s="19">
        <f>IF($B1585="","",IF(441&gt;NLoanA,0,SUMIF(CalcCredit,INDEX(PkLoanA,441),CalcAmt)+SUMIF(CalcCredit2,INDEX(PkLoanA,441),CalcAmt2)))</f>
        <v/>
      </c>
      <c r="G1585" s="20">
        <f>IF($B1585="","",ROUND($E1585-$F1585,0))</f>
        <v/>
      </c>
      <c r="H1585" s="17">
        <f>IF($B1585="","",IF(ROUND($G1585,0)&gt;0,"بدهکار",IF(ROUND($G1585,0)&lt;0,"بستانکار","تسویه")))</f>
        <v/>
      </c>
    </row>
    <row r="1586">
      <c r="A1586" s="11">
        <f>IF($B1586="","",1577)</f>
        <v/>
      </c>
      <c r="B1586" s="12">
        <f>IF(442&gt;NLoanA,"",IFERROR(IF(VLOOKUP(INDEX(PkLoanA,442),AcctTblA,4,0)="","(بدون نام)",VLOOKUP(INDEX(PkLoanA,442),AcctTblA,4,0)),"—"))</f>
        <v/>
      </c>
      <c r="C1586" s="13">
        <f>IF($B1586="","",IF(442&gt;NLoanA,"",INDEX(PkLoanA,442)))</f>
        <v/>
      </c>
      <c r="D1586" s="12">
        <f>IF($B1586="","","l")</f>
        <v/>
      </c>
      <c r="E1586" s="14">
        <f>IF($B1586="","",IF(442&gt;NLoanA,0,SUMIF(CalcDebit,INDEX(PkLoanA,442),CalcAmt)+SUMIF(CalcDebit2,INDEX(PkLoanA,442),CalcAmt2)))</f>
        <v/>
      </c>
      <c r="F1586" s="14">
        <f>IF($B1586="","",IF(442&gt;NLoanA,0,SUMIF(CalcCredit,INDEX(PkLoanA,442),CalcAmt)+SUMIF(CalcCredit2,INDEX(PkLoanA,442),CalcAmt2)))</f>
        <v/>
      </c>
      <c r="G1586" s="15">
        <f>IF($B1586="","",ROUND($E1586-$F1586,0))</f>
        <v/>
      </c>
      <c r="H1586" s="12">
        <f>IF($B1586="","",IF(ROUND($G1586,0)&gt;0,"بدهکار",IF(ROUND($G1586,0)&lt;0,"بستانکار","تسویه")))</f>
        <v/>
      </c>
    </row>
    <row r="1587">
      <c r="A1587" s="16">
        <f>IF($B1587="","",1578)</f>
        <v/>
      </c>
      <c r="B1587" s="17">
        <f>IF(443&gt;NLoanA,"",IFERROR(IF(VLOOKUP(INDEX(PkLoanA,443),AcctTblA,4,0)="","(بدون نام)",VLOOKUP(INDEX(PkLoanA,443),AcctTblA,4,0)),"—"))</f>
        <v/>
      </c>
      <c r="C1587" s="18">
        <f>IF($B1587="","",IF(443&gt;NLoanA,"",INDEX(PkLoanA,443)))</f>
        <v/>
      </c>
      <c r="D1587" s="17">
        <f>IF($B1587="","","l")</f>
        <v/>
      </c>
      <c r="E1587" s="19">
        <f>IF($B1587="","",IF(443&gt;NLoanA,0,SUMIF(CalcDebit,INDEX(PkLoanA,443),CalcAmt)+SUMIF(CalcDebit2,INDEX(PkLoanA,443),CalcAmt2)))</f>
        <v/>
      </c>
      <c r="F1587" s="19">
        <f>IF($B1587="","",IF(443&gt;NLoanA,0,SUMIF(CalcCredit,INDEX(PkLoanA,443),CalcAmt)+SUMIF(CalcCredit2,INDEX(PkLoanA,443),CalcAmt2)))</f>
        <v/>
      </c>
      <c r="G1587" s="20">
        <f>IF($B1587="","",ROUND($E1587-$F1587,0))</f>
        <v/>
      </c>
      <c r="H1587" s="17">
        <f>IF($B1587="","",IF(ROUND($G1587,0)&gt;0,"بدهکار",IF(ROUND($G1587,0)&lt;0,"بستانکار","تسویه")))</f>
        <v/>
      </c>
    </row>
    <row r="1588">
      <c r="A1588" s="11">
        <f>IF($B1588="","",1579)</f>
        <v/>
      </c>
      <c r="B1588" s="12">
        <f>IF(444&gt;NLoanA,"",IFERROR(IF(VLOOKUP(INDEX(PkLoanA,444),AcctTblA,4,0)="","(بدون نام)",VLOOKUP(INDEX(PkLoanA,444),AcctTblA,4,0)),"—"))</f>
        <v/>
      </c>
      <c r="C1588" s="13">
        <f>IF($B1588="","",IF(444&gt;NLoanA,"",INDEX(PkLoanA,444)))</f>
        <v/>
      </c>
      <c r="D1588" s="12">
        <f>IF($B1588="","","l")</f>
        <v/>
      </c>
      <c r="E1588" s="14">
        <f>IF($B1588="","",IF(444&gt;NLoanA,0,SUMIF(CalcDebit,INDEX(PkLoanA,444),CalcAmt)+SUMIF(CalcDebit2,INDEX(PkLoanA,444),CalcAmt2)))</f>
        <v/>
      </c>
      <c r="F1588" s="14">
        <f>IF($B1588="","",IF(444&gt;NLoanA,0,SUMIF(CalcCredit,INDEX(PkLoanA,444),CalcAmt)+SUMIF(CalcCredit2,INDEX(PkLoanA,444),CalcAmt2)))</f>
        <v/>
      </c>
      <c r="G1588" s="15">
        <f>IF($B1588="","",ROUND($E1588-$F1588,0))</f>
        <v/>
      </c>
      <c r="H1588" s="12">
        <f>IF($B1588="","",IF(ROUND($G1588,0)&gt;0,"بدهکار",IF(ROUND($G1588,0)&lt;0,"بستانکار","تسویه")))</f>
        <v/>
      </c>
    </row>
    <row r="1589">
      <c r="A1589" s="16">
        <f>IF($B1589="","",1580)</f>
        <v/>
      </c>
      <c r="B1589" s="17">
        <f>IF(445&gt;NLoanA,"",IFERROR(IF(VLOOKUP(INDEX(PkLoanA,445),AcctTblA,4,0)="","(بدون نام)",VLOOKUP(INDEX(PkLoanA,445),AcctTblA,4,0)),"—"))</f>
        <v/>
      </c>
      <c r="C1589" s="18">
        <f>IF($B1589="","",IF(445&gt;NLoanA,"",INDEX(PkLoanA,445)))</f>
        <v/>
      </c>
      <c r="D1589" s="17">
        <f>IF($B1589="","","l")</f>
        <v/>
      </c>
      <c r="E1589" s="19">
        <f>IF($B1589="","",IF(445&gt;NLoanA,0,SUMIF(CalcDebit,INDEX(PkLoanA,445),CalcAmt)+SUMIF(CalcDebit2,INDEX(PkLoanA,445),CalcAmt2)))</f>
        <v/>
      </c>
      <c r="F1589" s="19">
        <f>IF($B1589="","",IF(445&gt;NLoanA,0,SUMIF(CalcCredit,INDEX(PkLoanA,445),CalcAmt)+SUMIF(CalcCredit2,INDEX(PkLoanA,445),CalcAmt2)))</f>
        <v/>
      </c>
      <c r="G1589" s="20">
        <f>IF($B1589="","",ROUND($E1589-$F1589,0))</f>
        <v/>
      </c>
      <c r="H1589" s="17">
        <f>IF($B1589="","",IF(ROUND($G1589,0)&gt;0,"بدهکار",IF(ROUND($G1589,0)&lt;0,"بستانکار","تسویه")))</f>
        <v/>
      </c>
    </row>
    <row r="1590">
      <c r="A1590" s="11">
        <f>IF($B1590="","",1581)</f>
        <v/>
      </c>
      <c r="B1590" s="12">
        <f>IF(446&gt;NLoanA,"",IFERROR(IF(VLOOKUP(INDEX(PkLoanA,446),AcctTblA,4,0)="","(بدون نام)",VLOOKUP(INDEX(PkLoanA,446),AcctTblA,4,0)),"—"))</f>
        <v/>
      </c>
      <c r="C1590" s="13">
        <f>IF($B1590="","",IF(446&gt;NLoanA,"",INDEX(PkLoanA,446)))</f>
        <v/>
      </c>
      <c r="D1590" s="12">
        <f>IF($B1590="","","l")</f>
        <v/>
      </c>
      <c r="E1590" s="14">
        <f>IF($B1590="","",IF(446&gt;NLoanA,0,SUMIF(CalcDebit,INDEX(PkLoanA,446),CalcAmt)+SUMIF(CalcDebit2,INDEX(PkLoanA,446),CalcAmt2)))</f>
        <v/>
      </c>
      <c r="F1590" s="14">
        <f>IF($B1590="","",IF(446&gt;NLoanA,0,SUMIF(CalcCredit,INDEX(PkLoanA,446),CalcAmt)+SUMIF(CalcCredit2,INDEX(PkLoanA,446),CalcAmt2)))</f>
        <v/>
      </c>
      <c r="G1590" s="15">
        <f>IF($B1590="","",ROUND($E1590-$F1590,0))</f>
        <v/>
      </c>
      <c r="H1590" s="12">
        <f>IF($B1590="","",IF(ROUND($G1590,0)&gt;0,"بدهکار",IF(ROUND($G1590,0)&lt;0,"بستانکار","تسویه")))</f>
        <v/>
      </c>
    </row>
    <row r="1591">
      <c r="A1591" s="16">
        <f>IF($B1591="","",1582)</f>
        <v/>
      </c>
      <c r="B1591" s="17">
        <f>IF(447&gt;NLoanA,"",IFERROR(IF(VLOOKUP(INDEX(PkLoanA,447),AcctTblA,4,0)="","(بدون نام)",VLOOKUP(INDEX(PkLoanA,447),AcctTblA,4,0)),"—"))</f>
        <v/>
      </c>
      <c r="C1591" s="18">
        <f>IF($B1591="","",IF(447&gt;NLoanA,"",INDEX(PkLoanA,447)))</f>
        <v/>
      </c>
      <c r="D1591" s="17">
        <f>IF($B1591="","","l")</f>
        <v/>
      </c>
      <c r="E1591" s="19">
        <f>IF($B1591="","",IF(447&gt;NLoanA,0,SUMIF(CalcDebit,INDEX(PkLoanA,447),CalcAmt)+SUMIF(CalcDebit2,INDEX(PkLoanA,447),CalcAmt2)))</f>
        <v/>
      </c>
      <c r="F1591" s="19">
        <f>IF($B1591="","",IF(447&gt;NLoanA,0,SUMIF(CalcCredit,INDEX(PkLoanA,447),CalcAmt)+SUMIF(CalcCredit2,INDEX(PkLoanA,447),CalcAmt2)))</f>
        <v/>
      </c>
      <c r="G1591" s="20">
        <f>IF($B1591="","",ROUND($E1591-$F1591,0))</f>
        <v/>
      </c>
      <c r="H1591" s="17">
        <f>IF($B1591="","",IF(ROUND($G1591,0)&gt;0,"بدهکار",IF(ROUND($G1591,0)&lt;0,"بستانکار","تسویه")))</f>
        <v/>
      </c>
    </row>
    <row r="1592">
      <c r="A1592" s="11">
        <f>IF($B1592="","",1583)</f>
        <v/>
      </c>
      <c r="B1592" s="12">
        <f>IF(448&gt;NLoanA,"",IFERROR(IF(VLOOKUP(INDEX(PkLoanA,448),AcctTblA,4,0)="","(بدون نام)",VLOOKUP(INDEX(PkLoanA,448),AcctTblA,4,0)),"—"))</f>
        <v/>
      </c>
      <c r="C1592" s="13">
        <f>IF($B1592="","",IF(448&gt;NLoanA,"",INDEX(PkLoanA,448)))</f>
        <v/>
      </c>
      <c r="D1592" s="12">
        <f>IF($B1592="","","l")</f>
        <v/>
      </c>
      <c r="E1592" s="14">
        <f>IF($B1592="","",IF(448&gt;NLoanA,0,SUMIF(CalcDebit,INDEX(PkLoanA,448),CalcAmt)+SUMIF(CalcDebit2,INDEX(PkLoanA,448),CalcAmt2)))</f>
        <v/>
      </c>
      <c r="F1592" s="14">
        <f>IF($B1592="","",IF(448&gt;NLoanA,0,SUMIF(CalcCredit,INDEX(PkLoanA,448),CalcAmt)+SUMIF(CalcCredit2,INDEX(PkLoanA,448),CalcAmt2)))</f>
        <v/>
      </c>
      <c r="G1592" s="15">
        <f>IF($B1592="","",ROUND($E1592-$F1592,0))</f>
        <v/>
      </c>
      <c r="H1592" s="12">
        <f>IF($B1592="","",IF(ROUND($G1592,0)&gt;0,"بدهکار",IF(ROUND($G1592,0)&lt;0,"بستانکار","تسویه")))</f>
        <v/>
      </c>
    </row>
    <row r="1593">
      <c r="A1593" s="16">
        <f>IF($B1593="","",1584)</f>
        <v/>
      </c>
      <c r="B1593" s="17">
        <f>IF(449&gt;NLoanA,"",IFERROR(IF(VLOOKUP(INDEX(PkLoanA,449),AcctTblA,4,0)="","(بدون نام)",VLOOKUP(INDEX(PkLoanA,449),AcctTblA,4,0)),"—"))</f>
        <v/>
      </c>
      <c r="C1593" s="18">
        <f>IF($B1593="","",IF(449&gt;NLoanA,"",INDEX(PkLoanA,449)))</f>
        <v/>
      </c>
      <c r="D1593" s="17">
        <f>IF($B1593="","","l")</f>
        <v/>
      </c>
      <c r="E1593" s="19">
        <f>IF($B1593="","",IF(449&gt;NLoanA,0,SUMIF(CalcDebit,INDEX(PkLoanA,449),CalcAmt)+SUMIF(CalcDebit2,INDEX(PkLoanA,449),CalcAmt2)))</f>
        <v/>
      </c>
      <c r="F1593" s="19">
        <f>IF($B1593="","",IF(449&gt;NLoanA,0,SUMIF(CalcCredit,INDEX(PkLoanA,449),CalcAmt)+SUMIF(CalcCredit2,INDEX(PkLoanA,449),CalcAmt2)))</f>
        <v/>
      </c>
      <c r="G1593" s="20">
        <f>IF($B1593="","",ROUND($E1593-$F1593,0))</f>
        <v/>
      </c>
      <c r="H1593" s="17">
        <f>IF($B1593="","",IF(ROUND($G1593,0)&gt;0,"بدهکار",IF(ROUND($G1593,0)&lt;0,"بستانکار","تسویه")))</f>
        <v/>
      </c>
    </row>
    <row r="1594">
      <c r="A1594" s="11">
        <f>IF($B1594="","",1585)</f>
        <v/>
      </c>
      <c r="B1594" s="12">
        <f>IF(450&gt;NLoanA,"",IFERROR(IF(VLOOKUP(INDEX(PkLoanA,450),AcctTblA,4,0)="","(بدون نام)",VLOOKUP(INDEX(PkLoanA,450),AcctTblA,4,0)),"—"))</f>
        <v/>
      </c>
      <c r="C1594" s="13">
        <f>IF($B1594="","",IF(450&gt;NLoanA,"",INDEX(PkLoanA,450)))</f>
        <v/>
      </c>
      <c r="D1594" s="12">
        <f>IF($B1594="","","l")</f>
        <v/>
      </c>
      <c r="E1594" s="14">
        <f>IF($B1594="","",IF(450&gt;NLoanA,0,SUMIF(CalcDebit,INDEX(PkLoanA,450),CalcAmt)+SUMIF(CalcDebit2,INDEX(PkLoanA,450),CalcAmt2)))</f>
        <v/>
      </c>
      <c r="F1594" s="14">
        <f>IF($B1594="","",IF(450&gt;NLoanA,0,SUMIF(CalcCredit,INDEX(PkLoanA,450),CalcAmt)+SUMIF(CalcCredit2,INDEX(PkLoanA,450),CalcAmt2)))</f>
        <v/>
      </c>
      <c r="G1594" s="15">
        <f>IF($B1594="","",ROUND($E1594-$F1594,0))</f>
        <v/>
      </c>
      <c r="H1594" s="12">
        <f>IF($B1594="","",IF(ROUND($G1594,0)&gt;0,"بدهکار",IF(ROUND($G1594,0)&lt;0,"بستانکار","تسویه")))</f>
        <v/>
      </c>
    </row>
    <row r="1595">
      <c r="A1595" s="16">
        <f>IF($B1595="","",1586)</f>
        <v/>
      </c>
      <c r="B1595" s="17">
        <f>IF(451&gt;NLoanA,"",IFERROR(IF(VLOOKUP(INDEX(PkLoanA,451),AcctTblA,4,0)="","(بدون نام)",VLOOKUP(INDEX(PkLoanA,451),AcctTblA,4,0)),"—"))</f>
        <v/>
      </c>
      <c r="C1595" s="18">
        <f>IF($B1595="","",IF(451&gt;NLoanA,"",INDEX(PkLoanA,451)))</f>
        <v/>
      </c>
      <c r="D1595" s="17">
        <f>IF($B1595="","","l")</f>
        <v/>
      </c>
      <c r="E1595" s="19">
        <f>IF($B1595="","",IF(451&gt;NLoanA,0,SUMIF(CalcDebit,INDEX(PkLoanA,451),CalcAmt)+SUMIF(CalcDebit2,INDEX(PkLoanA,451),CalcAmt2)))</f>
        <v/>
      </c>
      <c r="F1595" s="19">
        <f>IF($B1595="","",IF(451&gt;NLoanA,0,SUMIF(CalcCredit,INDEX(PkLoanA,451),CalcAmt)+SUMIF(CalcCredit2,INDEX(PkLoanA,451),CalcAmt2)))</f>
        <v/>
      </c>
      <c r="G1595" s="20">
        <f>IF($B1595="","",ROUND($E1595-$F1595,0))</f>
        <v/>
      </c>
      <c r="H1595" s="17">
        <f>IF($B1595="","",IF(ROUND($G1595,0)&gt;0,"بدهکار",IF(ROUND($G1595,0)&lt;0,"بستانکار","تسویه")))</f>
        <v/>
      </c>
    </row>
    <row r="1596">
      <c r="A1596" s="11">
        <f>IF($B1596="","",1587)</f>
        <v/>
      </c>
      <c r="B1596" s="12">
        <f>IF(452&gt;NLoanA,"",IFERROR(IF(VLOOKUP(INDEX(PkLoanA,452),AcctTblA,4,0)="","(بدون نام)",VLOOKUP(INDEX(PkLoanA,452),AcctTblA,4,0)),"—"))</f>
        <v/>
      </c>
      <c r="C1596" s="13">
        <f>IF($B1596="","",IF(452&gt;NLoanA,"",INDEX(PkLoanA,452)))</f>
        <v/>
      </c>
      <c r="D1596" s="12">
        <f>IF($B1596="","","l")</f>
        <v/>
      </c>
      <c r="E1596" s="14">
        <f>IF($B1596="","",IF(452&gt;NLoanA,0,SUMIF(CalcDebit,INDEX(PkLoanA,452),CalcAmt)+SUMIF(CalcDebit2,INDEX(PkLoanA,452),CalcAmt2)))</f>
        <v/>
      </c>
      <c r="F1596" s="14">
        <f>IF($B1596="","",IF(452&gt;NLoanA,0,SUMIF(CalcCredit,INDEX(PkLoanA,452),CalcAmt)+SUMIF(CalcCredit2,INDEX(PkLoanA,452),CalcAmt2)))</f>
        <v/>
      </c>
      <c r="G1596" s="15">
        <f>IF($B1596="","",ROUND($E1596-$F1596,0))</f>
        <v/>
      </c>
      <c r="H1596" s="12">
        <f>IF($B1596="","",IF(ROUND($G1596,0)&gt;0,"بدهکار",IF(ROUND($G1596,0)&lt;0,"بستانکار","تسویه")))</f>
        <v/>
      </c>
    </row>
    <row r="1597">
      <c r="A1597" s="16">
        <f>IF($B1597="","",1588)</f>
        <v/>
      </c>
      <c r="B1597" s="17">
        <f>IF(453&gt;NLoanA,"",IFERROR(IF(VLOOKUP(INDEX(PkLoanA,453),AcctTblA,4,0)="","(بدون نام)",VLOOKUP(INDEX(PkLoanA,453),AcctTblA,4,0)),"—"))</f>
        <v/>
      </c>
      <c r="C1597" s="18">
        <f>IF($B1597="","",IF(453&gt;NLoanA,"",INDEX(PkLoanA,453)))</f>
        <v/>
      </c>
      <c r="D1597" s="17">
        <f>IF($B1597="","","l")</f>
        <v/>
      </c>
      <c r="E1597" s="19">
        <f>IF($B1597="","",IF(453&gt;NLoanA,0,SUMIF(CalcDebit,INDEX(PkLoanA,453),CalcAmt)+SUMIF(CalcDebit2,INDEX(PkLoanA,453),CalcAmt2)))</f>
        <v/>
      </c>
      <c r="F1597" s="19">
        <f>IF($B1597="","",IF(453&gt;NLoanA,0,SUMIF(CalcCredit,INDEX(PkLoanA,453),CalcAmt)+SUMIF(CalcCredit2,INDEX(PkLoanA,453),CalcAmt2)))</f>
        <v/>
      </c>
      <c r="G1597" s="20">
        <f>IF($B1597="","",ROUND($E1597-$F1597,0))</f>
        <v/>
      </c>
      <c r="H1597" s="17">
        <f>IF($B1597="","",IF(ROUND($G1597,0)&gt;0,"بدهکار",IF(ROUND($G1597,0)&lt;0,"بستانکار","تسویه")))</f>
        <v/>
      </c>
    </row>
    <row r="1598">
      <c r="A1598" s="11">
        <f>IF($B1598="","",1589)</f>
        <v/>
      </c>
      <c r="B1598" s="12">
        <f>IF(454&gt;NLoanA,"",IFERROR(IF(VLOOKUP(INDEX(PkLoanA,454),AcctTblA,4,0)="","(بدون نام)",VLOOKUP(INDEX(PkLoanA,454),AcctTblA,4,0)),"—"))</f>
        <v/>
      </c>
      <c r="C1598" s="13">
        <f>IF($B1598="","",IF(454&gt;NLoanA,"",INDEX(PkLoanA,454)))</f>
        <v/>
      </c>
      <c r="D1598" s="12">
        <f>IF($B1598="","","l")</f>
        <v/>
      </c>
      <c r="E1598" s="14">
        <f>IF($B1598="","",IF(454&gt;NLoanA,0,SUMIF(CalcDebit,INDEX(PkLoanA,454),CalcAmt)+SUMIF(CalcDebit2,INDEX(PkLoanA,454),CalcAmt2)))</f>
        <v/>
      </c>
      <c r="F1598" s="14">
        <f>IF($B1598="","",IF(454&gt;NLoanA,0,SUMIF(CalcCredit,INDEX(PkLoanA,454),CalcAmt)+SUMIF(CalcCredit2,INDEX(PkLoanA,454),CalcAmt2)))</f>
        <v/>
      </c>
      <c r="G1598" s="15">
        <f>IF($B1598="","",ROUND($E1598-$F1598,0))</f>
        <v/>
      </c>
      <c r="H1598" s="12">
        <f>IF($B1598="","",IF(ROUND($G1598,0)&gt;0,"بدهکار",IF(ROUND($G1598,0)&lt;0,"بستانکار","تسویه")))</f>
        <v/>
      </c>
    </row>
    <row r="1599">
      <c r="A1599" s="16">
        <f>IF($B1599="","",1590)</f>
        <v/>
      </c>
      <c r="B1599" s="17">
        <f>IF(455&gt;NLoanA,"",IFERROR(IF(VLOOKUP(INDEX(PkLoanA,455),AcctTblA,4,0)="","(بدون نام)",VLOOKUP(INDEX(PkLoanA,455),AcctTblA,4,0)),"—"))</f>
        <v/>
      </c>
      <c r="C1599" s="18">
        <f>IF($B1599="","",IF(455&gt;NLoanA,"",INDEX(PkLoanA,455)))</f>
        <v/>
      </c>
      <c r="D1599" s="17">
        <f>IF($B1599="","","l")</f>
        <v/>
      </c>
      <c r="E1599" s="19">
        <f>IF($B1599="","",IF(455&gt;NLoanA,0,SUMIF(CalcDebit,INDEX(PkLoanA,455),CalcAmt)+SUMIF(CalcDebit2,INDEX(PkLoanA,455),CalcAmt2)))</f>
        <v/>
      </c>
      <c r="F1599" s="19">
        <f>IF($B1599="","",IF(455&gt;NLoanA,0,SUMIF(CalcCredit,INDEX(PkLoanA,455),CalcAmt)+SUMIF(CalcCredit2,INDEX(PkLoanA,455),CalcAmt2)))</f>
        <v/>
      </c>
      <c r="G1599" s="20">
        <f>IF($B1599="","",ROUND($E1599-$F1599,0))</f>
        <v/>
      </c>
      <c r="H1599" s="17">
        <f>IF($B1599="","",IF(ROUND($G1599,0)&gt;0,"بدهکار",IF(ROUND($G1599,0)&lt;0,"بستانکار","تسویه")))</f>
        <v/>
      </c>
    </row>
    <row r="1600">
      <c r="A1600" s="11">
        <f>IF($B1600="","",1591)</f>
        <v/>
      </c>
      <c r="B1600" s="12">
        <f>IF(456&gt;NLoanA,"",IFERROR(IF(VLOOKUP(INDEX(PkLoanA,456),AcctTblA,4,0)="","(بدون نام)",VLOOKUP(INDEX(PkLoanA,456),AcctTblA,4,0)),"—"))</f>
        <v/>
      </c>
      <c r="C1600" s="13">
        <f>IF($B1600="","",IF(456&gt;NLoanA,"",INDEX(PkLoanA,456)))</f>
        <v/>
      </c>
      <c r="D1600" s="12">
        <f>IF($B1600="","","l")</f>
        <v/>
      </c>
      <c r="E1600" s="14">
        <f>IF($B1600="","",IF(456&gt;NLoanA,0,SUMIF(CalcDebit,INDEX(PkLoanA,456),CalcAmt)+SUMIF(CalcDebit2,INDEX(PkLoanA,456),CalcAmt2)))</f>
        <v/>
      </c>
      <c r="F1600" s="14">
        <f>IF($B1600="","",IF(456&gt;NLoanA,0,SUMIF(CalcCredit,INDEX(PkLoanA,456),CalcAmt)+SUMIF(CalcCredit2,INDEX(PkLoanA,456),CalcAmt2)))</f>
        <v/>
      </c>
      <c r="G1600" s="15">
        <f>IF($B1600="","",ROUND($E1600-$F1600,0))</f>
        <v/>
      </c>
      <c r="H1600" s="12">
        <f>IF($B1600="","",IF(ROUND($G1600,0)&gt;0,"بدهکار",IF(ROUND($G1600,0)&lt;0,"بستانکار","تسویه")))</f>
        <v/>
      </c>
    </row>
    <row r="1601">
      <c r="A1601" s="16">
        <f>IF($B1601="","",1592)</f>
        <v/>
      </c>
      <c r="B1601" s="17">
        <f>IF(457&gt;NLoanA,"",IFERROR(IF(VLOOKUP(INDEX(PkLoanA,457),AcctTblA,4,0)="","(بدون نام)",VLOOKUP(INDEX(PkLoanA,457),AcctTblA,4,0)),"—"))</f>
        <v/>
      </c>
      <c r="C1601" s="18">
        <f>IF($B1601="","",IF(457&gt;NLoanA,"",INDEX(PkLoanA,457)))</f>
        <v/>
      </c>
      <c r="D1601" s="17">
        <f>IF($B1601="","","l")</f>
        <v/>
      </c>
      <c r="E1601" s="19">
        <f>IF($B1601="","",IF(457&gt;NLoanA,0,SUMIF(CalcDebit,INDEX(PkLoanA,457),CalcAmt)+SUMIF(CalcDebit2,INDEX(PkLoanA,457),CalcAmt2)))</f>
        <v/>
      </c>
      <c r="F1601" s="19">
        <f>IF($B1601="","",IF(457&gt;NLoanA,0,SUMIF(CalcCredit,INDEX(PkLoanA,457),CalcAmt)+SUMIF(CalcCredit2,INDEX(PkLoanA,457),CalcAmt2)))</f>
        <v/>
      </c>
      <c r="G1601" s="20">
        <f>IF($B1601="","",ROUND($E1601-$F1601,0))</f>
        <v/>
      </c>
      <c r="H1601" s="17">
        <f>IF($B1601="","",IF(ROUND($G1601,0)&gt;0,"بدهکار",IF(ROUND($G1601,0)&lt;0,"بستانکار","تسویه")))</f>
        <v/>
      </c>
    </row>
    <row r="1602">
      <c r="A1602" s="11">
        <f>IF($B1602="","",1593)</f>
        <v/>
      </c>
      <c r="B1602" s="12">
        <f>IF(458&gt;NLoanA,"",IFERROR(IF(VLOOKUP(INDEX(PkLoanA,458),AcctTblA,4,0)="","(بدون نام)",VLOOKUP(INDEX(PkLoanA,458),AcctTblA,4,0)),"—"))</f>
        <v/>
      </c>
      <c r="C1602" s="13">
        <f>IF($B1602="","",IF(458&gt;NLoanA,"",INDEX(PkLoanA,458)))</f>
        <v/>
      </c>
      <c r="D1602" s="12">
        <f>IF($B1602="","","l")</f>
        <v/>
      </c>
      <c r="E1602" s="14">
        <f>IF($B1602="","",IF(458&gt;NLoanA,0,SUMIF(CalcDebit,INDEX(PkLoanA,458),CalcAmt)+SUMIF(CalcDebit2,INDEX(PkLoanA,458),CalcAmt2)))</f>
        <v/>
      </c>
      <c r="F1602" s="14">
        <f>IF($B1602="","",IF(458&gt;NLoanA,0,SUMIF(CalcCredit,INDEX(PkLoanA,458),CalcAmt)+SUMIF(CalcCredit2,INDEX(PkLoanA,458),CalcAmt2)))</f>
        <v/>
      </c>
      <c r="G1602" s="15">
        <f>IF($B1602="","",ROUND($E1602-$F1602,0))</f>
        <v/>
      </c>
      <c r="H1602" s="12">
        <f>IF($B1602="","",IF(ROUND($G1602,0)&gt;0,"بدهکار",IF(ROUND($G1602,0)&lt;0,"بستانکار","تسویه")))</f>
        <v/>
      </c>
    </row>
    <row r="1603">
      <c r="A1603" s="16">
        <f>IF($B1603="","",1594)</f>
        <v/>
      </c>
      <c r="B1603" s="17">
        <f>IF(459&gt;NLoanA,"",IFERROR(IF(VLOOKUP(INDEX(PkLoanA,459),AcctTblA,4,0)="","(بدون نام)",VLOOKUP(INDEX(PkLoanA,459),AcctTblA,4,0)),"—"))</f>
        <v/>
      </c>
      <c r="C1603" s="18">
        <f>IF($B1603="","",IF(459&gt;NLoanA,"",INDEX(PkLoanA,459)))</f>
        <v/>
      </c>
      <c r="D1603" s="17">
        <f>IF($B1603="","","l")</f>
        <v/>
      </c>
      <c r="E1603" s="19">
        <f>IF($B1603="","",IF(459&gt;NLoanA,0,SUMIF(CalcDebit,INDEX(PkLoanA,459),CalcAmt)+SUMIF(CalcDebit2,INDEX(PkLoanA,459),CalcAmt2)))</f>
        <v/>
      </c>
      <c r="F1603" s="19">
        <f>IF($B1603="","",IF(459&gt;NLoanA,0,SUMIF(CalcCredit,INDEX(PkLoanA,459),CalcAmt)+SUMIF(CalcCredit2,INDEX(PkLoanA,459),CalcAmt2)))</f>
        <v/>
      </c>
      <c r="G1603" s="20">
        <f>IF($B1603="","",ROUND($E1603-$F1603,0))</f>
        <v/>
      </c>
      <c r="H1603" s="17">
        <f>IF($B1603="","",IF(ROUND($G1603,0)&gt;0,"بدهکار",IF(ROUND($G1603,0)&lt;0,"بستانکار","تسویه")))</f>
        <v/>
      </c>
    </row>
    <row r="1604">
      <c r="A1604" s="11">
        <f>IF($B1604="","",1595)</f>
        <v/>
      </c>
      <c r="B1604" s="12">
        <f>IF(460&gt;NLoanA,"",IFERROR(IF(VLOOKUP(INDEX(PkLoanA,460),AcctTblA,4,0)="","(بدون نام)",VLOOKUP(INDEX(PkLoanA,460),AcctTblA,4,0)),"—"))</f>
        <v/>
      </c>
      <c r="C1604" s="13">
        <f>IF($B1604="","",IF(460&gt;NLoanA,"",INDEX(PkLoanA,460)))</f>
        <v/>
      </c>
      <c r="D1604" s="12">
        <f>IF($B1604="","","l")</f>
        <v/>
      </c>
      <c r="E1604" s="14">
        <f>IF($B1604="","",IF(460&gt;NLoanA,0,SUMIF(CalcDebit,INDEX(PkLoanA,460),CalcAmt)+SUMIF(CalcDebit2,INDEX(PkLoanA,460),CalcAmt2)))</f>
        <v/>
      </c>
      <c r="F1604" s="14">
        <f>IF($B1604="","",IF(460&gt;NLoanA,0,SUMIF(CalcCredit,INDEX(PkLoanA,460),CalcAmt)+SUMIF(CalcCredit2,INDEX(PkLoanA,460),CalcAmt2)))</f>
        <v/>
      </c>
      <c r="G1604" s="15">
        <f>IF($B1604="","",ROUND($E1604-$F1604,0))</f>
        <v/>
      </c>
      <c r="H1604" s="12">
        <f>IF($B1604="","",IF(ROUND($G1604,0)&gt;0,"بدهکار",IF(ROUND($G1604,0)&lt;0,"بستانکار","تسویه")))</f>
        <v/>
      </c>
    </row>
    <row r="1605">
      <c r="A1605" s="16">
        <f>IF($B1605="","",1596)</f>
        <v/>
      </c>
      <c r="B1605" s="17">
        <f>IF(461&gt;NLoanA,"",IFERROR(IF(VLOOKUP(INDEX(PkLoanA,461),AcctTblA,4,0)="","(بدون نام)",VLOOKUP(INDEX(PkLoanA,461),AcctTblA,4,0)),"—"))</f>
        <v/>
      </c>
      <c r="C1605" s="18">
        <f>IF($B1605="","",IF(461&gt;NLoanA,"",INDEX(PkLoanA,461)))</f>
        <v/>
      </c>
      <c r="D1605" s="17">
        <f>IF($B1605="","","l")</f>
        <v/>
      </c>
      <c r="E1605" s="19">
        <f>IF($B1605="","",IF(461&gt;NLoanA,0,SUMIF(CalcDebit,INDEX(PkLoanA,461),CalcAmt)+SUMIF(CalcDebit2,INDEX(PkLoanA,461),CalcAmt2)))</f>
        <v/>
      </c>
      <c r="F1605" s="19">
        <f>IF($B1605="","",IF(461&gt;NLoanA,0,SUMIF(CalcCredit,INDEX(PkLoanA,461),CalcAmt)+SUMIF(CalcCredit2,INDEX(PkLoanA,461),CalcAmt2)))</f>
        <v/>
      </c>
      <c r="G1605" s="20">
        <f>IF($B1605="","",ROUND($E1605-$F1605,0))</f>
        <v/>
      </c>
      <c r="H1605" s="17">
        <f>IF($B1605="","",IF(ROUND($G1605,0)&gt;0,"بدهکار",IF(ROUND($G1605,0)&lt;0,"بستانکار","تسویه")))</f>
        <v/>
      </c>
    </row>
    <row r="1606">
      <c r="A1606" s="11">
        <f>IF($B1606="","",1597)</f>
        <v/>
      </c>
      <c r="B1606" s="12">
        <f>IF(462&gt;NLoanA,"",IFERROR(IF(VLOOKUP(INDEX(PkLoanA,462),AcctTblA,4,0)="","(بدون نام)",VLOOKUP(INDEX(PkLoanA,462),AcctTblA,4,0)),"—"))</f>
        <v/>
      </c>
      <c r="C1606" s="13">
        <f>IF($B1606="","",IF(462&gt;NLoanA,"",INDEX(PkLoanA,462)))</f>
        <v/>
      </c>
      <c r="D1606" s="12">
        <f>IF($B1606="","","l")</f>
        <v/>
      </c>
      <c r="E1606" s="14">
        <f>IF($B1606="","",IF(462&gt;NLoanA,0,SUMIF(CalcDebit,INDEX(PkLoanA,462),CalcAmt)+SUMIF(CalcDebit2,INDEX(PkLoanA,462),CalcAmt2)))</f>
        <v/>
      </c>
      <c r="F1606" s="14">
        <f>IF($B1606="","",IF(462&gt;NLoanA,0,SUMIF(CalcCredit,INDEX(PkLoanA,462),CalcAmt)+SUMIF(CalcCredit2,INDEX(PkLoanA,462),CalcAmt2)))</f>
        <v/>
      </c>
      <c r="G1606" s="15">
        <f>IF($B1606="","",ROUND($E1606-$F1606,0))</f>
        <v/>
      </c>
      <c r="H1606" s="12">
        <f>IF($B1606="","",IF(ROUND($G1606,0)&gt;0,"بدهکار",IF(ROUND($G1606,0)&lt;0,"بستانکار","تسویه")))</f>
        <v/>
      </c>
    </row>
    <row r="1607">
      <c r="A1607" s="16">
        <f>IF($B1607="","",1598)</f>
        <v/>
      </c>
      <c r="B1607" s="17">
        <f>IF(463&gt;NLoanA,"",IFERROR(IF(VLOOKUP(INDEX(PkLoanA,463),AcctTblA,4,0)="","(بدون نام)",VLOOKUP(INDEX(PkLoanA,463),AcctTblA,4,0)),"—"))</f>
        <v/>
      </c>
      <c r="C1607" s="18">
        <f>IF($B1607="","",IF(463&gt;NLoanA,"",INDEX(PkLoanA,463)))</f>
        <v/>
      </c>
      <c r="D1607" s="17">
        <f>IF($B1607="","","l")</f>
        <v/>
      </c>
      <c r="E1607" s="19">
        <f>IF($B1607="","",IF(463&gt;NLoanA,0,SUMIF(CalcDebit,INDEX(PkLoanA,463),CalcAmt)+SUMIF(CalcDebit2,INDEX(PkLoanA,463),CalcAmt2)))</f>
        <v/>
      </c>
      <c r="F1607" s="19">
        <f>IF($B1607="","",IF(463&gt;NLoanA,0,SUMIF(CalcCredit,INDEX(PkLoanA,463),CalcAmt)+SUMIF(CalcCredit2,INDEX(PkLoanA,463),CalcAmt2)))</f>
        <v/>
      </c>
      <c r="G1607" s="20">
        <f>IF($B1607="","",ROUND($E1607-$F1607,0))</f>
        <v/>
      </c>
      <c r="H1607" s="17">
        <f>IF($B1607="","",IF(ROUND($G1607,0)&gt;0,"بدهکار",IF(ROUND($G1607,0)&lt;0,"بستانکار","تسویه")))</f>
        <v/>
      </c>
    </row>
    <row r="1608">
      <c r="A1608" s="11">
        <f>IF($B1608="","",1599)</f>
        <v/>
      </c>
      <c r="B1608" s="12">
        <f>IF(464&gt;NLoanA,"",IFERROR(IF(VLOOKUP(INDEX(PkLoanA,464),AcctTblA,4,0)="","(بدون نام)",VLOOKUP(INDEX(PkLoanA,464),AcctTblA,4,0)),"—"))</f>
        <v/>
      </c>
      <c r="C1608" s="13">
        <f>IF($B1608="","",IF(464&gt;NLoanA,"",INDEX(PkLoanA,464)))</f>
        <v/>
      </c>
      <c r="D1608" s="12">
        <f>IF($B1608="","","l")</f>
        <v/>
      </c>
      <c r="E1608" s="14">
        <f>IF($B1608="","",IF(464&gt;NLoanA,0,SUMIF(CalcDebit,INDEX(PkLoanA,464),CalcAmt)+SUMIF(CalcDebit2,INDEX(PkLoanA,464),CalcAmt2)))</f>
        <v/>
      </c>
      <c r="F1608" s="14">
        <f>IF($B1608="","",IF(464&gt;NLoanA,0,SUMIF(CalcCredit,INDEX(PkLoanA,464),CalcAmt)+SUMIF(CalcCredit2,INDEX(PkLoanA,464),CalcAmt2)))</f>
        <v/>
      </c>
      <c r="G1608" s="15">
        <f>IF($B1608="","",ROUND($E1608-$F1608,0))</f>
        <v/>
      </c>
      <c r="H1608" s="12">
        <f>IF($B1608="","",IF(ROUND($G1608,0)&gt;0,"بدهکار",IF(ROUND($G1608,0)&lt;0,"بستانکار","تسویه")))</f>
        <v/>
      </c>
    </row>
    <row r="1609">
      <c r="A1609" s="16">
        <f>IF($B1609="","",1600)</f>
        <v/>
      </c>
      <c r="B1609" s="17">
        <f>IF(465&gt;NLoanA,"",IFERROR(IF(VLOOKUP(INDEX(PkLoanA,465),AcctTblA,4,0)="","(بدون نام)",VLOOKUP(INDEX(PkLoanA,465),AcctTblA,4,0)),"—"))</f>
        <v/>
      </c>
      <c r="C1609" s="18">
        <f>IF($B1609="","",IF(465&gt;NLoanA,"",INDEX(PkLoanA,465)))</f>
        <v/>
      </c>
      <c r="D1609" s="17">
        <f>IF($B1609="","","l")</f>
        <v/>
      </c>
      <c r="E1609" s="19">
        <f>IF($B1609="","",IF(465&gt;NLoanA,0,SUMIF(CalcDebit,INDEX(PkLoanA,465),CalcAmt)+SUMIF(CalcDebit2,INDEX(PkLoanA,465),CalcAmt2)))</f>
        <v/>
      </c>
      <c r="F1609" s="19">
        <f>IF($B1609="","",IF(465&gt;NLoanA,0,SUMIF(CalcCredit,INDEX(PkLoanA,465),CalcAmt)+SUMIF(CalcCredit2,INDEX(PkLoanA,465),CalcAmt2)))</f>
        <v/>
      </c>
      <c r="G1609" s="20">
        <f>IF($B1609="","",ROUND($E1609-$F1609,0))</f>
        <v/>
      </c>
      <c r="H1609" s="17">
        <f>IF($B1609="","",IF(ROUND($G1609,0)&gt;0,"بدهکار",IF(ROUND($G1609,0)&lt;0,"بستانکار","تسویه")))</f>
        <v/>
      </c>
    </row>
    <row r="1610">
      <c r="A1610" s="11">
        <f>IF($B1610="","",1601)</f>
        <v/>
      </c>
      <c r="B1610" s="12">
        <f>IF(466&gt;NLoanA,"",IFERROR(IF(VLOOKUP(INDEX(PkLoanA,466),AcctTblA,4,0)="","(بدون نام)",VLOOKUP(INDEX(PkLoanA,466),AcctTblA,4,0)),"—"))</f>
        <v/>
      </c>
      <c r="C1610" s="13">
        <f>IF($B1610="","",IF(466&gt;NLoanA,"",INDEX(PkLoanA,466)))</f>
        <v/>
      </c>
      <c r="D1610" s="12">
        <f>IF($B1610="","","l")</f>
        <v/>
      </c>
      <c r="E1610" s="14">
        <f>IF($B1610="","",IF(466&gt;NLoanA,0,SUMIF(CalcDebit,INDEX(PkLoanA,466),CalcAmt)+SUMIF(CalcDebit2,INDEX(PkLoanA,466),CalcAmt2)))</f>
        <v/>
      </c>
      <c r="F1610" s="14">
        <f>IF($B1610="","",IF(466&gt;NLoanA,0,SUMIF(CalcCredit,INDEX(PkLoanA,466),CalcAmt)+SUMIF(CalcCredit2,INDEX(PkLoanA,466),CalcAmt2)))</f>
        <v/>
      </c>
      <c r="G1610" s="15">
        <f>IF($B1610="","",ROUND($E1610-$F1610,0))</f>
        <v/>
      </c>
      <c r="H1610" s="12">
        <f>IF($B1610="","",IF(ROUND($G1610,0)&gt;0,"بدهکار",IF(ROUND($G1610,0)&lt;0,"بستانکار","تسویه")))</f>
        <v/>
      </c>
    </row>
    <row r="1611">
      <c r="A1611" s="16">
        <f>IF($B1611="","",1602)</f>
        <v/>
      </c>
      <c r="B1611" s="17">
        <f>IF(467&gt;NLoanA,"",IFERROR(IF(VLOOKUP(INDEX(PkLoanA,467),AcctTblA,4,0)="","(بدون نام)",VLOOKUP(INDEX(PkLoanA,467),AcctTblA,4,0)),"—"))</f>
        <v/>
      </c>
      <c r="C1611" s="18">
        <f>IF($B1611="","",IF(467&gt;NLoanA,"",INDEX(PkLoanA,467)))</f>
        <v/>
      </c>
      <c r="D1611" s="17">
        <f>IF($B1611="","","l")</f>
        <v/>
      </c>
      <c r="E1611" s="19">
        <f>IF($B1611="","",IF(467&gt;NLoanA,0,SUMIF(CalcDebit,INDEX(PkLoanA,467),CalcAmt)+SUMIF(CalcDebit2,INDEX(PkLoanA,467),CalcAmt2)))</f>
        <v/>
      </c>
      <c r="F1611" s="19">
        <f>IF($B1611="","",IF(467&gt;NLoanA,0,SUMIF(CalcCredit,INDEX(PkLoanA,467),CalcAmt)+SUMIF(CalcCredit2,INDEX(PkLoanA,467),CalcAmt2)))</f>
        <v/>
      </c>
      <c r="G1611" s="20">
        <f>IF($B1611="","",ROUND($E1611-$F1611,0))</f>
        <v/>
      </c>
      <c r="H1611" s="17">
        <f>IF($B1611="","",IF(ROUND($G1611,0)&gt;0,"بدهکار",IF(ROUND($G1611,0)&lt;0,"بستانکار","تسویه")))</f>
        <v/>
      </c>
    </row>
    <row r="1612">
      <c r="A1612" s="11">
        <f>IF($B1612="","",1603)</f>
        <v/>
      </c>
      <c r="B1612" s="12">
        <f>IF(468&gt;NLoanA,"",IFERROR(IF(VLOOKUP(INDEX(PkLoanA,468),AcctTblA,4,0)="","(بدون نام)",VLOOKUP(INDEX(PkLoanA,468),AcctTblA,4,0)),"—"))</f>
        <v/>
      </c>
      <c r="C1612" s="13">
        <f>IF($B1612="","",IF(468&gt;NLoanA,"",INDEX(PkLoanA,468)))</f>
        <v/>
      </c>
      <c r="D1612" s="12">
        <f>IF($B1612="","","l")</f>
        <v/>
      </c>
      <c r="E1612" s="14">
        <f>IF($B1612="","",IF(468&gt;NLoanA,0,SUMIF(CalcDebit,INDEX(PkLoanA,468),CalcAmt)+SUMIF(CalcDebit2,INDEX(PkLoanA,468),CalcAmt2)))</f>
        <v/>
      </c>
      <c r="F1612" s="14">
        <f>IF($B1612="","",IF(468&gt;NLoanA,0,SUMIF(CalcCredit,INDEX(PkLoanA,468),CalcAmt)+SUMIF(CalcCredit2,INDEX(PkLoanA,468),CalcAmt2)))</f>
        <v/>
      </c>
      <c r="G1612" s="15">
        <f>IF($B1612="","",ROUND($E1612-$F1612,0))</f>
        <v/>
      </c>
      <c r="H1612" s="12">
        <f>IF($B1612="","",IF(ROUND($G1612,0)&gt;0,"بدهکار",IF(ROUND($G1612,0)&lt;0,"بستانکار","تسویه")))</f>
        <v/>
      </c>
    </row>
    <row r="1613">
      <c r="A1613" s="16">
        <f>IF($B1613="","",1604)</f>
        <v/>
      </c>
      <c r="B1613" s="17">
        <f>IF(469&gt;NLoanA,"",IFERROR(IF(VLOOKUP(INDEX(PkLoanA,469),AcctTblA,4,0)="","(بدون نام)",VLOOKUP(INDEX(PkLoanA,469),AcctTblA,4,0)),"—"))</f>
        <v/>
      </c>
      <c r="C1613" s="18">
        <f>IF($B1613="","",IF(469&gt;NLoanA,"",INDEX(PkLoanA,469)))</f>
        <v/>
      </c>
      <c r="D1613" s="17">
        <f>IF($B1613="","","l")</f>
        <v/>
      </c>
      <c r="E1613" s="19">
        <f>IF($B1613="","",IF(469&gt;NLoanA,0,SUMIF(CalcDebit,INDEX(PkLoanA,469),CalcAmt)+SUMIF(CalcDebit2,INDEX(PkLoanA,469),CalcAmt2)))</f>
        <v/>
      </c>
      <c r="F1613" s="19">
        <f>IF($B1613="","",IF(469&gt;NLoanA,0,SUMIF(CalcCredit,INDEX(PkLoanA,469),CalcAmt)+SUMIF(CalcCredit2,INDEX(PkLoanA,469),CalcAmt2)))</f>
        <v/>
      </c>
      <c r="G1613" s="20">
        <f>IF($B1613="","",ROUND($E1613-$F1613,0))</f>
        <v/>
      </c>
      <c r="H1613" s="17">
        <f>IF($B1613="","",IF(ROUND($G1613,0)&gt;0,"بدهکار",IF(ROUND($G1613,0)&lt;0,"بستانکار","تسویه")))</f>
        <v/>
      </c>
    </row>
    <row r="1614">
      <c r="A1614" s="11">
        <f>IF($B1614="","",1605)</f>
        <v/>
      </c>
      <c r="B1614" s="12">
        <f>IF(470&gt;NLoanA,"",IFERROR(IF(VLOOKUP(INDEX(PkLoanA,470),AcctTblA,4,0)="","(بدون نام)",VLOOKUP(INDEX(PkLoanA,470),AcctTblA,4,0)),"—"))</f>
        <v/>
      </c>
      <c r="C1614" s="13">
        <f>IF($B1614="","",IF(470&gt;NLoanA,"",INDEX(PkLoanA,470)))</f>
        <v/>
      </c>
      <c r="D1614" s="12">
        <f>IF($B1614="","","l")</f>
        <v/>
      </c>
      <c r="E1614" s="14">
        <f>IF($B1614="","",IF(470&gt;NLoanA,0,SUMIF(CalcDebit,INDEX(PkLoanA,470),CalcAmt)+SUMIF(CalcDebit2,INDEX(PkLoanA,470),CalcAmt2)))</f>
        <v/>
      </c>
      <c r="F1614" s="14">
        <f>IF($B1614="","",IF(470&gt;NLoanA,0,SUMIF(CalcCredit,INDEX(PkLoanA,470),CalcAmt)+SUMIF(CalcCredit2,INDEX(PkLoanA,470),CalcAmt2)))</f>
        <v/>
      </c>
      <c r="G1614" s="15">
        <f>IF($B1614="","",ROUND($E1614-$F1614,0))</f>
        <v/>
      </c>
      <c r="H1614" s="12">
        <f>IF($B1614="","",IF(ROUND($G1614,0)&gt;0,"بدهکار",IF(ROUND($G1614,0)&lt;0,"بستانکار","تسویه")))</f>
        <v/>
      </c>
    </row>
    <row r="1615">
      <c r="A1615" s="16">
        <f>IF($B1615="","",1606)</f>
        <v/>
      </c>
      <c r="B1615" s="17">
        <f>IF(471&gt;NLoanA,"",IFERROR(IF(VLOOKUP(INDEX(PkLoanA,471),AcctTblA,4,0)="","(بدون نام)",VLOOKUP(INDEX(PkLoanA,471),AcctTblA,4,0)),"—"))</f>
        <v/>
      </c>
      <c r="C1615" s="18">
        <f>IF($B1615="","",IF(471&gt;NLoanA,"",INDEX(PkLoanA,471)))</f>
        <v/>
      </c>
      <c r="D1615" s="17">
        <f>IF($B1615="","","l")</f>
        <v/>
      </c>
      <c r="E1615" s="19">
        <f>IF($B1615="","",IF(471&gt;NLoanA,0,SUMIF(CalcDebit,INDEX(PkLoanA,471),CalcAmt)+SUMIF(CalcDebit2,INDEX(PkLoanA,471),CalcAmt2)))</f>
        <v/>
      </c>
      <c r="F1615" s="19">
        <f>IF($B1615="","",IF(471&gt;NLoanA,0,SUMIF(CalcCredit,INDEX(PkLoanA,471),CalcAmt)+SUMIF(CalcCredit2,INDEX(PkLoanA,471),CalcAmt2)))</f>
        <v/>
      </c>
      <c r="G1615" s="20">
        <f>IF($B1615="","",ROUND($E1615-$F1615,0))</f>
        <v/>
      </c>
      <c r="H1615" s="17">
        <f>IF($B1615="","",IF(ROUND($G1615,0)&gt;0,"بدهکار",IF(ROUND($G1615,0)&lt;0,"بستانکار","تسویه")))</f>
        <v/>
      </c>
    </row>
    <row r="1616">
      <c r="A1616" s="11">
        <f>IF($B1616="","",1607)</f>
        <v/>
      </c>
      <c r="B1616" s="12">
        <f>IF(472&gt;NLoanA,"",IFERROR(IF(VLOOKUP(INDEX(PkLoanA,472),AcctTblA,4,0)="","(بدون نام)",VLOOKUP(INDEX(PkLoanA,472),AcctTblA,4,0)),"—"))</f>
        <v/>
      </c>
      <c r="C1616" s="13">
        <f>IF($B1616="","",IF(472&gt;NLoanA,"",INDEX(PkLoanA,472)))</f>
        <v/>
      </c>
      <c r="D1616" s="12">
        <f>IF($B1616="","","l")</f>
        <v/>
      </c>
      <c r="E1616" s="14">
        <f>IF($B1616="","",IF(472&gt;NLoanA,0,SUMIF(CalcDebit,INDEX(PkLoanA,472),CalcAmt)+SUMIF(CalcDebit2,INDEX(PkLoanA,472),CalcAmt2)))</f>
        <v/>
      </c>
      <c r="F1616" s="14">
        <f>IF($B1616="","",IF(472&gt;NLoanA,0,SUMIF(CalcCredit,INDEX(PkLoanA,472),CalcAmt)+SUMIF(CalcCredit2,INDEX(PkLoanA,472),CalcAmt2)))</f>
        <v/>
      </c>
      <c r="G1616" s="15">
        <f>IF($B1616="","",ROUND($E1616-$F1616,0))</f>
        <v/>
      </c>
      <c r="H1616" s="12">
        <f>IF($B1616="","",IF(ROUND($G1616,0)&gt;0,"بدهکار",IF(ROUND($G1616,0)&lt;0,"بستانکار","تسویه")))</f>
        <v/>
      </c>
    </row>
    <row r="1617">
      <c r="A1617" s="16">
        <f>IF($B1617="","",1608)</f>
        <v/>
      </c>
      <c r="B1617" s="17">
        <f>IF(473&gt;NLoanA,"",IFERROR(IF(VLOOKUP(INDEX(PkLoanA,473),AcctTblA,4,0)="","(بدون نام)",VLOOKUP(INDEX(PkLoanA,473),AcctTblA,4,0)),"—"))</f>
        <v/>
      </c>
      <c r="C1617" s="18">
        <f>IF($B1617="","",IF(473&gt;NLoanA,"",INDEX(PkLoanA,473)))</f>
        <v/>
      </c>
      <c r="D1617" s="17">
        <f>IF($B1617="","","l")</f>
        <v/>
      </c>
      <c r="E1617" s="19">
        <f>IF($B1617="","",IF(473&gt;NLoanA,0,SUMIF(CalcDebit,INDEX(PkLoanA,473),CalcAmt)+SUMIF(CalcDebit2,INDEX(PkLoanA,473),CalcAmt2)))</f>
        <v/>
      </c>
      <c r="F1617" s="19">
        <f>IF($B1617="","",IF(473&gt;NLoanA,0,SUMIF(CalcCredit,INDEX(PkLoanA,473),CalcAmt)+SUMIF(CalcCredit2,INDEX(PkLoanA,473),CalcAmt2)))</f>
        <v/>
      </c>
      <c r="G1617" s="20">
        <f>IF($B1617="","",ROUND($E1617-$F1617,0))</f>
        <v/>
      </c>
      <c r="H1617" s="17">
        <f>IF($B1617="","",IF(ROUND($G1617,0)&gt;0,"بدهکار",IF(ROUND($G1617,0)&lt;0,"بستانکار","تسویه")))</f>
        <v/>
      </c>
    </row>
    <row r="1618">
      <c r="A1618" s="11">
        <f>IF($B1618="","",1609)</f>
        <v/>
      </c>
      <c r="B1618" s="12">
        <f>IF(474&gt;NLoanA,"",IFERROR(IF(VLOOKUP(INDEX(PkLoanA,474),AcctTblA,4,0)="","(بدون نام)",VLOOKUP(INDEX(PkLoanA,474),AcctTblA,4,0)),"—"))</f>
        <v/>
      </c>
      <c r="C1618" s="13">
        <f>IF($B1618="","",IF(474&gt;NLoanA,"",INDEX(PkLoanA,474)))</f>
        <v/>
      </c>
      <c r="D1618" s="12">
        <f>IF($B1618="","","l")</f>
        <v/>
      </c>
      <c r="E1618" s="14">
        <f>IF($B1618="","",IF(474&gt;NLoanA,0,SUMIF(CalcDebit,INDEX(PkLoanA,474),CalcAmt)+SUMIF(CalcDebit2,INDEX(PkLoanA,474),CalcAmt2)))</f>
        <v/>
      </c>
      <c r="F1618" s="14">
        <f>IF($B1618="","",IF(474&gt;NLoanA,0,SUMIF(CalcCredit,INDEX(PkLoanA,474),CalcAmt)+SUMIF(CalcCredit2,INDEX(PkLoanA,474),CalcAmt2)))</f>
        <v/>
      </c>
      <c r="G1618" s="15">
        <f>IF($B1618="","",ROUND($E1618-$F1618,0))</f>
        <v/>
      </c>
      <c r="H1618" s="12">
        <f>IF($B1618="","",IF(ROUND($G1618,0)&gt;0,"بدهکار",IF(ROUND($G1618,0)&lt;0,"بستانکار","تسویه")))</f>
        <v/>
      </c>
    </row>
    <row r="1619">
      <c r="A1619" s="16">
        <f>IF($B1619="","",1610)</f>
        <v/>
      </c>
      <c r="B1619" s="17">
        <f>IF(475&gt;NLoanA,"",IFERROR(IF(VLOOKUP(INDEX(PkLoanA,475),AcctTblA,4,0)="","(بدون نام)",VLOOKUP(INDEX(PkLoanA,475),AcctTblA,4,0)),"—"))</f>
        <v/>
      </c>
      <c r="C1619" s="18">
        <f>IF($B1619="","",IF(475&gt;NLoanA,"",INDEX(PkLoanA,475)))</f>
        <v/>
      </c>
      <c r="D1619" s="17">
        <f>IF($B1619="","","l")</f>
        <v/>
      </c>
      <c r="E1619" s="19">
        <f>IF($B1619="","",IF(475&gt;NLoanA,0,SUMIF(CalcDebit,INDEX(PkLoanA,475),CalcAmt)+SUMIF(CalcDebit2,INDEX(PkLoanA,475),CalcAmt2)))</f>
        <v/>
      </c>
      <c r="F1619" s="19">
        <f>IF($B1619="","",IF(475&gt;NLoanA,0,SUMIF(CalcCredit,INDEX(PkLoanA,475),CalcAmt)+SUMIF(CalcCredit2,INDEX(PkLoanA,475),CalcAmt2)))</f>
        <v/>
      </c>
      <c r="G1619" s="20">
        <f>IF($B1619="","",ROUND($E1619-$F1619,0))</f>
        <v/>
      </c>
      <c r="H1619" s="17">
        <f>IF($B1619="","",IF(ROUND($G1619,0)&gt;0,"بدهکار",IF(ROUND($G1619,0)&lt;0,"بستانکار","تسویه")))</f>
        <v/>
      </c>
    </row>
    <row r="1620">
      <c r="A1620" s="11">
        <f>IF($B1620="","",1611)</f>
        <v/>
      </c>
      <c r="B1620" s="12">
        <f>IF(476&gt;NLoanA,"",IFERROR(IF(VLOOKUP(INDEX(PkLoanA,476),AcctTblA,4,0)="","(بدون نام)",VLOOKUP(INDEX(PkLoanA,476),AcctTblA,4,0)),"—"))</f>
        <v/>
      </c>
      <c r="C1620" s="13">
        <f>IF($B1620="","",IF(476&gt;NLoanA,"",INDEX(PkLoanA,476)))</f>
        <v/>
      </c>
      <c r="D1620" s="12">
        <f>IF($B1620="","","l")</f>
        <v/>
      </c>
      <c r="E1620" s="14">
        <f>IF($B1620="","",IF(476&gt;NLoanA,0,SUMIF(CalcDebit,INDEX(PkLoanA,476),CalcAmt)+SUMIF(CalcDebit2,INDEX(PkLoanA,476),CalcAmt2)))</f>
        <v/>
      </c>
      <c r="F1620" s="14">
        <f>IF($B1620="","",IF(476&gt;NLoanA,0,SUMIF(CalcCredit,INDEX(PkLoanA,476),CalcAmt)+SUMIF(CalcCredit2,INDEX(PkLoanA,476),CalcAmt2)))</f>
        <v/>
      </c>
      <c r="G1620" s="15">
        <f>IF($B1620="","",ROUND($E1620-$F1620,0))</f>
        <v/>
      </c>
      <c r="H1620" s="12">
        <f>IF($B1620="","",IF(ROUND($G1620,0)&gt;0,"بدهکار",IF(ROUND($G1620,0)&lt;0,"بستانکار","تسویه")))</f>
        <v/>
      </c>
    </row>
    <row r="1621">
      <c r="A1621" s="16">
        <f>IF($B1621="","",1612)</f>
        <v/>
      </c>
      <c r="B1621" s="17">
        <f>IF(477&gt;NLoanA,"",IFERROR(IF(VLOOKUP(INDEX(PkLoanA,477),AcctTblA,4,0)="","(بدون نام)",VLOOKUP(INDEX(PkLoanA,477),AcctTblA,4,0)),"—"))</f>
        <v/>
      </c>
      <c r="C1621" s="18">
        <f>IF($B1621="","",IF(477&gt;NLoanA,"",INDEX(PkLoanA,477)))</f>
        <v/>
      </c>
      <c r="D1621" s="17">
        <f>IF($B1621="","","l")</f>
        <v/>
      </c>
      <c r="E1621" s="19">
        <f>IF($B1621="","",IF(477&gt;NLoanA,0,SUMIF(CalcDebit,INDEX(PkLoanA,477),CalcAmt)+SUMIF(CalcDebit2,INDEX(PkLoanA,477),CalcAmt2)))</f>
        <v/>
      </c>
      <c r="F1621" s="19">
        <f>IF($B1621="","",IF(477&gt;NLoanA,0,SUMIF(CalcCredit,INDEX(PkLoanA,477),CalcAmt)+SUMIF(CalcCredit2,INDEX(PkLoanA,477),CalcAmt2)))</f>
        <v/>
      </c>
      <c r="G1621" s="20">
        <f>IF($B1621="","",ROUND($E1621-$F1621,0))</f>
        <v/>
      </c>
      <c r="H1621" s="17">
        <f>IF($B1621="","",IF(ROUND($G1621,0)&gt;0,"بدهکار",IF(ROUND($G1621,0)&lt;0,"بستانکار","تسویه")))</f>
        <v/>
      </c>
    </row>
    <row r="1622">
      <c r="A1622" s="11">
        <f>IF($B1622="","",1613)</f>
        <v/>
      </c>
      <c r="B1622" s="12">
        <f>IF(478&gt;NLoanA,"",IFERROR(IF(VLOOKUP(INDEX(PkLoanA,478),AcctTblA,4,0)="","(بدون نام)",VLOOKUP(INDEX(PkLoanA,478),AcctTblA,4,0)),"—"))</f>
        <v/>
      </c>
      <c r="C1622" s="13">
        <f>IF($B1622="","",IF(478&gt;NLoanA,"",INDEX(PkLoanA,478)))</f>
        <v/>
      </c>
      <c r="D1622" s="12">
        <f>IF($B1622="","","l")</f>
        <v/>
      </c>
      <c r="E1622" s="14">
        <f>IF($B1622="","",IF(478&gt;NLoanA,0,SUMIF(CalcDebit,INDEX(PkLoanA,478),CalcAmt)+SUMIF(CalcDebit2,INDEX(PkLoanA,478),CalcAmt2)))</f>
        <v/>
      </c>
      <c r="F1622" s="14">
        <f>IF($B1622="","",IF(478&gt;NLoanA,0,SUMIF(CalcCredit,INDEX(PkLoanA,478),CalcAmt)+SUMIF(CalcCredit2,INDEX(PkLoanA,478),CalcAmt2)))</f>
        <v/>
      </c>
      <c r="G1622" s="15">
        <f>IF($B1622="","",ROUND($E1622-$F1622,0))</f>
        <v/>
      </c>
      <c r="H1622" s="12">
        <f>IF($B1622="","",IF(ROUND($G1622,0)&gt;0,"بدهکار",IF(ROUND($G1622,0)&lt;0,"بستانکار","تسویه")))</f>
        <v/>
      </c>
    </row>
    <row r="1623">
      <c r="A1623" s="16">
        <f>IF($B1623="","",1614)</f>
        <v/>
      </c>
      <c r="B1623" s="17">
        <f>IF(479&gt;NLoanA,"",IFERROR(IF(VLOOKUP(INDEX(PkLoanA,479),AcctTblA,4,0)="","(بدون نام)",VLOOKUP(INDEX(PkLoanA,479),AcctTblA,4,0)),"—"))</f>
        <v/>
      </c>
      <c r="C1623" s="18">
        <f>IF($B1623="","",IF(479&gt;NLoanA,"",INDEX(PkLoanA,479)))</f>
        <v/>
      </c>
      <c r="D1623" s="17">
        <f>IF($B1623="","","l")</f>
        <v/>
      </c>
      <c r="E1623" s="19">
        <f>IF($B1623="","",IF(479&gt;NLoanA,0,SUMIF(CalcDebit,INDEX(PkLoanA,479),CalcAmt)+SUMIF(CalcDebit2,INDEX(PkLoanA,479),CalcAmt2)))</f>
        <v/>
      </c>
      <c r="F1623" s="19">
        <f>IF($B1623="","",IF(479&gt;NLoanA,0,SUMIF(CalcCredit,INDEX(PkLoanA,479),CalcAmt)+SUMIF(CalcCredit2,INDEX(PkLoanA,479),CalcAmt2)))</f>
        <v/>
      </c>
      <c r="G1623" s="20">
        <f>IF($B1623="","",ROUND($E1623-$F1623,0))</f>
        <v/>
      </c>
      <c r="H1623" s="17">
        <f>IF($B1623="","",IF(ROUND($G1623,0)&gt;0,"بدهکار",IF(ROUND($G1623,0)&lt;0,"بستانکار","تسویه")))</f>
        <v/>
      </c>
    </row>
    <row r="1624">
      <c r="A1624" s="11">
        <f>IF($B1624="","",1615)</f>
        <v/>
      </c>
      <c r="B1624" s="12">
        <f>IF(480&gt;NLoanA,"",IFERROR(IF(VLOOKUP(INDEX(PkLoanA,480),AcctTblA,4,0)="","(بدون نام)",VLOOKUP(INDEX(PkLoanA,480),AcctTblA,4,0)),"—"))</f>
        <v/>
      </c>
      <c r="C1624" s="13">
        <f>IF($B1624="","",IF(480&gt;NLoanA,"",INDEX(PkLoanA,480)))</f>
        <v/>
      </c>
      <c r="D1624" s="12">
        <f>IF($B1624="","","l")</f>
        <v/>
      </c>
      <c r="E1624" s="14">
        <f>IF($B1624="","",IF(480&gt;NLoanA,0,SUMIF(CalcDebit,INDEX(PkLoanA,480),CalcAmt)+SUMIF(CalcDebit2,INDEX(PkLoanA,480),CalcAmt2)))</f>
        <v/>
      </c>
      <c r="F1624" s="14">
        <f>IF($B1624="","",IF(480&gt;NLoanA,0,SUMIF(CalcCredit,INDEX(PkLoanA,480),CalcAmt)+SUMIF(CalcCredit2,INDEX(PkLoanA,480),CalcAmt2)))</f>
        <v/>
      </c>
      <c r="G1624" s="15">
        <f>IF($B1624="","",ROUND($E1624-$F1624,0))</f>
        <v/>
      </c>
      <c r="H1624" s="12">
        <f>IF($B1624="","",IF(ROUND($G1624,0)&gt;0,"بدهکار",IF(ROUND($G1624,0)&lt;0,"بستانکار","تسویه")))</f>
        <v/>
      </c>
    </row>
    <row r="1625">
      <c r="A1625" s="16">
        <f>IF($B1625="","",1616)</f>
        <v/>
      </c>
      <c r="B1625" s="17">
        <f>IF(481&gt;NLoanA,"",IFERROR(IF(VLOOKUP(INDEX(PkLoanA,481),AcctTblA,4,0)="","(بدون نام)",VLOOKUP(INDEX(PkLoanA,481),AcctTblA,4,0)),"—"))</f>
        <v/>
      </c>
      <c r="C1625" s="18">
        <f>IF($B1625="","",IF(481&gt;NLoanA,"",INDEX(PkLoanA,481)))</f>
        <v/>
      </c>
      <c r="D1625" s="17">
        <f>IF($B1625="","","l")</f>
        <v/>
      </c>
      <c r="E1625" s="19">
        <f>IF($B1625="","",IF(481&gt;NLoanA,0,SUMIF(CalcDebit,INDEX(PkLoanA,481),CalcAmt)+SUMIF(CalcDebit2,INDEX(PkLoanA,481),CalcAmt2)))</f>
        <v/>
      </c>
      <c r="F1625" s="19">
        <f>IF($B1625="","",IF(481&gt;NLoanA,0,SUMIF(CalcCredit,INDEX(PkLoanA,481),CalcAmt)+SUMIF(CalcCredit2,INDEX(PkLoanA,481),CalcAmt2)))</f>
        <v/>
      </c>
      <c r="G1625" s="20">
        <f>IF($B1625="","",ROUND($E1625-$F1625,0))</f>
        <v/>
      </c>
      <c r="H1625" s="17">
        <f>IF($B1625="","",IF(ROUND($G1625,0)&gt;0,"بدهکار",IF(ROUND($G1625,0)&lt;0,"بستانکار","تسویه")))</f>
        <v/>
      </c>
    </row>
    <row r="1626">
      <c r="A1626" s="11">
        <f>IF($B1626="","",1617)</f>
        <v/>
      </c>
      <c r="B1626" s="12">
        <f>IF(482&gt;NLoanA,"",IFERROR(IF(VLOOKUP(INDEX(PkLoanA,482),AcctTblA,4,0)="","(بدون نام)",VLOOKUP(INDEX(PkLoanA,482),AcctTblA,4,0)),"—"))</f>
        <v/>
      </c>
      <c r="C1626" s="13">
        <f>IF($B1626="","",IF(482&gt;NLoanA,"",INDEX(PkLoanA,482)))</f>
        <v/>
      </c>
      <c r="D1626" s="12">
        <f>IF($B1626="","","l")</f>
        <v/>
      </c>
      <c r="E1626" s="14">
        <f>IF($B1626="","",IF(482&gt;NLoanA,0,SUMIF(CalcDebit,INDEX(PkLoanA,482),CalcAmt)+SUMIF(CalcDebit2,INDEX(PkLoanA,482),CalcAmt2)))</f>
        <v/>
      </c>
      <c r="F1626" s="14">
        <f>IF($B1626="","",IF(482&gt;NLoanA,0,SUMIF(CalcCredit,INDEX(PkLoanA,482),CalcAmt)+SUMIF(CalcCredit2,INDEX(PkLoanA,482),CalcAmt2)))</f>
        <v/>
      </c>
      <c r="G1626" s="15">
        <f>IF($B1626="","",ROUND($E1626-$F1626,0))</f>
        <v/>
      </c>
      <c r="H1626" s="12">
        <f>IF($B1626="","",IF(ROUND($G1626,0)&gt;0,"بدهکار",IF(ROUND($G1626,0)&lt;0,"بستانکار","تسویه")))</f>
        <v/>
      </c>
    </row>
    <row r="1627">
      <c r="A1627" s="16">
        <f>IF($B1627="","",1618)</f>
        <v/>
      </c>
      <c r="B1627" s="17">
        <f>IF(483&gt;NLoanA,"",IFERROR(IF(VLOOKUP(INDEX(PkLoanA,483),AcctTblA,4,0)="","(بدون نام)",VLOOKUP(INDEX(PkLoanA,483),AcctTblA,4,0)),"—"))</f>
        <v/>
      </c>
      <c r="C1627" s="18">
        <f>IF($B1627="","",IF(483&gt;NLoanA,"",INDEX(PkLoanA,483)))</f>
        <v/>
      </c>
      <c r="D1627" s="17">
        <f>IF($B1627="","","l")</f>
        <v/>
      </c>
      <c r="E1627" s="19">
        <f>IF($B1627="","",IF(483&gt;NLoanA,0,SUMIF(CalcDebit,INDEX(PkLoanA,483),CalcAmt)+SUMIF(CalcDebit2,INDEX(PkLoanA,483),CalcAmt2)))</f>
        <v/>
      </c>
      <c r="F1627" s="19">
        <f>IF($B1627="","",IF(483&gt;NLoanA,0,SUMIF(CalcCredit,INDEX(PkLoanA,483),CalcAmt)+SUMIF(CalcCredit2,INDEX(PkLoanA,483),CalcAmt2)))</f>
        <v/>
      </c>
      <c r="G1627" s="20">
        <f>IF($B1627="","",ROUND($E1627-$F1627,0))</f>
        <v/>
      </c>
      <c r="H1627" s="17">
        <f>IF($B1627="","",IF(ROUND($G1627,0)&gt;0,"بدهکار",IF(ROUND($G1627,0)&lt;0,"بستانکار","تسویه")))</f>
        <v/>
      </c>
    </row>
    <row r="1628">
      <c r="A1628" s="11">
        <f>IF($B1628="","",1619)</f>
        <v/>
      </c>
      <c r="B1628" s="12">
        <f>IF(484&gt;NLoanA,"",IFERROR(IF(VLOOKUP(INDEX(PkLoanA,484),AcctTblA,4,0)="","(بدون نام)",VLOOKUP(INDEX(PkLoanA,484),AcctTblA,4,0)),"—"))</f>
        <v/>
      </c>
      <c r="C1628" s="13">
        <f>IF($B1628="","",IF(484&gt;NLoanA,"",INDEX(PkLoanA,484)))</f>
        <v/>
      </c>
      <c r="D1628" s="12">
        <f>IF($B1628="","","l")</f>
        <v/>
      </c>
      <c r="E1628" s="14">
        <f>IF($B1628="","",IF(484&gt;NLoanA,0,SUMIF(CalcDebit,INDEX(PkLoanA,484),CalcAmt)+SUMIF(CalcDebit2,INDEX(PkLoanA,484),CalcAmt2)))</f>
        <v/>
      </c>
      <c r="F1628" s="14">
        <f>IF($B1628="","",IF(484&gt;NLoanA,0,SUMIF(CalcCredit,INDEX(PkLoanA,484),CalcAmt)+SUMIF(CalcCredit2,INDEX(PkLoanA,484),CalcAmt2)))</f>
        <v/>
      </c>
      <c r="G1628" s="15">
        <f>IF($B1628="","",ROUND($E1628-$F1628,0))</f>
        <v/>
      </c>
      <c r="H1628" s="12">
        <f>IF($B1628="","",IF(ROUND($G1628,0)&gt;0,"بدهکار",IF(ROUND($G1628,0)&lt;0,"بستانکار","تسویه")))</f>
        <v/>
      </c>
    </row>
    <row r="1629">
      <c r="A1629" s="16">
        <f>IF($B1629="","",1620)</f>
        <v/>
      </c>
      <c r="B1629" s="17">
        <f>IF(485&gt;NLoanA,"",IFERROR(IF(VLOOKUP(INDEX(PkLoanA,485),AcctTblA,4,0)="","(بدون نام)",VLOOKUP(INDEX(PkLoanA,485),AcctTblA,4,0)),"—"))</f>
        <v/>
      </c>
      <c r="C1629" s="18">
        <f>IF($B1629="","",IF(485&gt;NLoanA,"",INDEX(PkLoanA,485)))</f>
        <v/>
      </c>
      <c r="D1629" s="17">
        <f>IF($B1629="","","l")</f>
        <v/>
      </c>
      <c r="E1629" s="19">
        <f>IF($B1629="","",IF(485&gt;NLoanA,0,SUMIF(CalcDebit,INDEX(PkLoanA,485),CalcAmt)+SUMIF(CalcDebit2,INDEX(PkLoanA,485),CalcAmt2)))</f>
        <v/>
      </c>
      <c r="F1629" s="19">
        <f>IF($B1629="","",IF(485&gt;NLoanA,0,SUMIF(CalcCredit,INDEX(PkLoanA,485),CalcAmt)+SUMIF(CalcCredit2,INDEX(PkLoanA,485),CalcAmt2)))</f>
        <v/>
      </c>
      <c r="G1629" s="20">
        <f>IF($B1629="","",ROUND($E1629-$F1629,0))</f>
        <v/>
      </c>
      <c r="H1629" s="17">
        <f>IF($B1629="","",IF(ROUND($G1629,0)&gt;0,"بدهکار",IF(ROUND($G1629,0)&lt;0,"بستانکار","تسویه")))</f>
        <v/>
      </c>
    </row>
    <row r="1630">
      <c r="A1630" s="11">
        <f>IF($B1630="","",1621)</f>
        <v/>
      </c>
      <c r="B1630" s="12">
        <f>IF(486&gt;NLoanA,"",IFERROR(IF(VLOOKUP(INDEX(PkLoanA,486),AcctTblA,4,0)="","(بدون نام)",VLOOKUP(INDEX(PkLoanA,486),AcctTblA,4,0)),"—"))</f>
        <v/>
      </c>
      <c r="C1630" s="13">
        <f>IF($B1630="","",IF(486&gt;NLoanA,"",INDEX(PkLoanA,486)))</f>
        <v/>
      </c>
      <c r="D1630" s="12">
        <f>IF($B1630="","","l")</f>
        <v/>
      </c>
      <c r="E1630" s="14">
        <f>IF($B1630="","",IF(486&gt;NLoanA,0,SUMIF(CalcDebit,INDEX(PkLoanA,486),CalcAmt)+SUMIF(CalcDebit2,INDEX(PkLoanA,486),CalcAmt2)))</f>
        <v/>
      </c>
      <c r="F1630" s="14">
        <f>IF($B1630="","",IF(486&gt;NLoanA,0,SUMIF(CalcCredit,INDEX(PkLoanA,486),CalcAmt)+SUMIF(CalcCredit2,INDEX(PkLoanA,486),CalcAmt2)))</f>
        <v/>
      </c>
      <c r="G1630" s="15">
        <f>IF($B1630="","",ROUND($E1630-$F1630,0))</f>
        <v/>
      </c>
      <c r="H1630" s="12">
        <f>IF($B1630="","",IF(ROUND($G1630,0)&gt;0,"بدهکار",IF(ROUND($G1630,0)&lt;0,"بستانکار","تسویه")))</f>
        <v/>
      </c>
    </row>
    <row r="1631">
      <c r="A1631" s="16">
        <f>IF($B1631="","",1622)</f>
        <v/>
      </c>
      <c r="B1631" s="17">
        <f>IF(487&gt;NLoanA,"",IFERROR(IF(VLOOKUP(INDEX(PkLoanA,487),AcctTblA,4,0)="","(بدون نام)",VLOOKUP(INDEX(PkLoanA,487),AcctTblA,4,0)),"—"))</f>
        <v/>
      </c>
      <c r="C1631" s="18">
        <f>IF($B1631="","",IF(487&gt;NLoanA,"",INDEX(PkLoanA,487)))</f>
        <v/>
      </c>
      <c r="D1631" s="17">
        <f>IF($B1631="","","l")</f>
        <v/>
      </c>
      <c r="E1631" s="19">
        <f>IF($B1631="","",IF(487&gt;NLoanA,0,SUMIF(CalcDebit,INDEX(PkLoanA,487),CalcAmt)+SUMIF(CalcDebit2,INDEX(PkLoanA,487),CalcAmt2)))</f>
        <v/>
      </c>
      <c r="F1631" s="19">
        <f>IF($B1631="","",IF(487&gt;NLoanA,0,SUMIF(CalcCredit,INDEX(PkLoanA,487),CalcAmt)+SUMIF(CalcCredit2,INDEX(PkLoanA,487),CalcAmt2)))</f>
        <v/>
      </c>
      <c r="G1631" s="20">
        <f>IF($B1631="","",ROUND($E1631-$F1631,0))</f>
        <v/>
      </c>
      <c r="H1631" s="17">
        <f>IF($B1631="","",IF(ROUND($G1631,0)&gt;0,"بدهکار",IF(ROUND($G1631,0)&lt;0,"بستانکار","تسویه")))</f>
        <v/>
      </c>
    </row>
    <row r="1632">
      <c r="A1632" s="11">
        <f>IF($B1632="","",1623)</f>
        <v/>
      </c>
      <c r="B1632" s="12">
        <f>IF(488&gt;NLoanA,"",IFERROR(IF(VLOOKUP(INDEX(PkLoanA,488),AcctTblA,4,0)="","(بدون نام)",VLOOKUP(INDEX(PkLoanA,488),AcctTblA,4,0)),"—"))</f>
        <v/>
      </c>
      <c r="C1632" s="13">
        <f>IF($B1632="","",IF(488&gt;NLoanA,"",INDEX(PkLoanA,488)))</f>
        <v/>
      </c>
      <c r="D1632" s="12">
        <f>IF($B1632="","","l")</f>
        <v/>
      </c>
      <c r="E1632" s="14">
        <f>IF($B1632="","",IF(488&gt;NLoanA,0,SUMIF(CalcDebit,INDEX(PkLoanA,488),CalcAmt)+SUMIF(CalcDebit2,INDEX(PkLoanA,488),CalcAmt2)))</f>
        <v/>
      </c>
      <c r="F1632" s="14">
        <f>IF($B1632="","",IF(488&gt;NLoanA,0,SUMIF(CalcCredit,INDEX(PkLoanA,488),CalcAmt)+SUMIF(CalcCredit2,INDEX(PkLoanA,488),CalcAmt2)))</f>
        <v/>
      </c>
      <c r="G1632" s="15">
        <f>IF($B1632="","",ROUND($E1632-$F1632,0))</f>
        <v/>
      </c>
      <c r="H1632" s="12">
        <f>IF($B1632="","",IF(ROUND($G1632,0)&gt;0,"بدهکار",IF(ROUND($G1632,0)&lt;0,"بستانکار","تسویه")))</f>
        <v/>
      </c>
    </row>
    <row r="1633">
      <c r="A1633" s="16">
        <f>IF($B1633="","",1624)</f>
        <v/>
      </c>
      <c r="B1633" s="17">
        <f>IF(489&gt;NLoanA,"",IFERROR(IF(VLOOKUP(INDEX(PkLoanA,489),AcctTblA,4,0)="","(بدون نام)",VLOOKUP(INDEX(PkLoanA,489),AcctTblA,4,0)),"—"))</f>
        <v/>
      </c>
      <c r="C1633" s="18">
        <f>IF($B1633="","",IF(489&gt;NLoanA,"",INDEX(PkLoanA,489)))</f>
        <v/>
      </c>
      <c r="D1633" s="17">
        <f>IF($B1633="","","l")</f>
        <v/>
      </c>
      <c r="E1633" s="19">
        <f>IF($B1633="","",IF(489&gt;NLoanA,0,SUMIF(CalcDebit,INDEX(PkLoanA,489),CalcAmt)+SUMIF(CalcDebit2,INDEX(PkLoanA,489),CalcAmt2)))</f>
        <v/>
      </c>
      <c r="F1633" s="19">
        <f>IF($B1633="","",IF(489&gt;NLoanA,0,SUMIF(CalcCredit,INDEX(PkLoanA,489),CalcAmt)+SUMIF(CalcCredit2,INDEX(PkLoanA,489),CalcAmt2)))</f>
        <v/>
      </c>
      <c r="G1633" s="20">
        <f>IF($B1633="","",ROUND($E1633-$F1633,0))</f>
        <v/>
      </c>
      <c r="H1633" s="17">
        <f>IF($B1633="","",IF(ROUND($G1633,0)&gt;0,"بدهکار",IF(ROUND($G1633,0)&lt;0,"بستانکار","تسویه")))</f>
        <v/>
      </c>
    </row>
    <row r="1634">
      <c r="A1634" s="11">
        <f>IF($B1634="","",1625)</f>
        <v/>
      </c>
      <c r="B1634" s="12">
        <f>IF(490&gt;NLoanA,"",IFERROR(IF(VLOOKUP(INDEX(PkLoanA,490),AcctTblA,4,0)="","(بدون نام)",VLOOKUP(INDEX(PkLoanA,490),AcctTblA,4,0)),"—"))</f>
        <v/>
      </c>
      <c r="C1634" s="13">
        <f>IF($B1634="","",IF(490&gt;NLoanA,"",INDEX(PkLoanA,490)))</f>
        <v/>
      </c>
      <c r="D1634" s="12">
        <f>IF($B1634="","","l")</f>
        <v/>
      </c>
      <c r="E1634" s="14">
        <f>IF($B1634="","",IF(490&gt;NLoanA,0,SUMIF(CalcDebit,INDEX(PkLoanA,490),CalcAmt)+SUMIF(CalcDebit2,INDEX(PkLoanA,490),CalcAmt2)))</f>
        <v/>
      </c>
      <c r="F1634" s="14">
        <f>IF($B1634="","",IF(490&gt;NLoanA,0,SUMIF(CalcCredit,INDEX(PkLoanA,490),CalcAmt)+SUMIF(CalcCredit2,INDEX(PkLoanA,490),CalcAmt2)))</f>
        <v/>
      </c>
      <c r="G1634" s="15">
        <f>IF($B1634="","",ROUND($E1634-$F1634,0))</f>
        <v/>
      </c>
      <c r="H1634" s="12">
        <f>IF($B1634="","",IF(ROUND($G1634,0)&gt;0,"بدهکار",IF(ROUND($G1634,0)&lt;0,"بستانکار","تسویه")))</f>
        <v/>
      </c>
    </row>
    <row r="1635">
      <c r="A1635" s="16">
        <f>IF($B1635="","",1626)</f>
        <v/>
      </c>
      <c r="B1635" s="17">
        <f>IF(491&gt;NLoanA,"",IFERROR(IF(VLOOKUP(INDEX(PkLoanA,491),AcctTblA,4,0)="","(بدون نام)",VLOOKUP(INDEX(PkLoanA,491),AcctTblA,4,0)),"—"))</f>
        <v/>
      </c>
      <c r="C1635" s="18">
        <f>IF($B1635="","",IF(491&gt;NLoanA,"",INDEX(PkLoanA,491)))</f>
        <v/>
      </c>
      <c r="D1635" s="17">
        <f>IF($B1635="","","l")</f>
        <v/>
      </c>
      <c r="E1635" s="19">
        <f>IF($B1635="","",IF(491&gt;NLoanA,0,SUMIF(CalcDebit,INDEX(PkLoanA,491),CalcAmt)+SUMIF(CalcDebit2,INDEX(PkLoanA,491),CalcAmt2)))</f>
        <v/>
      </c>
      <c r="F1635" s="19">
        <f>IF($B1635="","",IF(491&gt;NLoanA,0,SUMIF(CalcCredit,INDEX(PkLoanA,491),CalcAmt)+SUMIF(CalcCredit2,INDEX(PkLoanA,491),CalcAmt2)))</f>
        <v/>
      </c>
      <c r="G1635" s="20">
        <f>IF($B1635="","",ROUND($E1635-$F1635,0))</f>
        <v/>
      </c>
      <c r="H1635" s="17">
        <f>IF($B1635="","",IF(ROUND($G1635,0)&gt;0,"بدهکار",IF(ROUND($G1635,0)&lt;0,"بستانکار","تسویه")))</f>
        <v/>
      </c>
    </row>
    <row r="1636">
      <c r="A1636" s="11">
        <f>IF($B1636="","",1627)</f>
        <v/>
      </c>
      <c r="B1636" s="12">
        <f>IF(492&gt;NLoanA,"",IFERROR(IF(VLOOKUP(INDEX(PkLoanA,492),AcctTblA,4,0)="","(بدون نام)",VLOOKUP(INDEX(PkLoanA,492),AcctTblA,4,0)),"—"))</f>
        <v/>
      </c>
      <c r="C1636" s="13">
        <f>IF($B1636="","",IF(492&gt;NLoanA,"",INDEX(PkLoanA,492)))</f>
        <v/>
      </c>
      <c r="D1636" s="12">
        <f>IF($B1636="","","l")</f>
        <v/>
      </c>
      <c r="E1636" s="14">
        <f>IF($B1636="","",IF(492&gt;NLoanA,0,SUMIF(CalcDebit,INDEX(PkLoanA,492),CalcAmt)+SUMIF(CalcDebit2,INDEX(PkLoanA,492),CalcAmt2)))</f>
        <v/>
      </c>
      <c r="F1636" s="14">
        <f>IF($B1636="","",IF(492&gt;NLoanA,0,SUMIF(CalcCredit,INDEX(PkLoanA,492),CalcAmt)+SUMIF(CalcCredit2,INDEX(PkLoanA,492),CalcAmt2)))</f>
        <v/>
      </c>
      <c r="G1636" s="15">
        <f>IF($B1636="","",ROUND($E1636-$F1636,0))</f>
        <v/>
      </c>
      <c r="H1636" s="12">
        <f>IF($B1636="","",IF(ROUND($G1636,0)&gt;0,"بدهکار",IF(ROUND($G1636,0)&lt;0,"بستانکار","تسویه")))</f>
        <v/>
      </c>
    </row>
    <row r="1637">
      <c r="A1637" s="16">
        <f>IF($B1637="","",1628)</f>
        <v/>
      </c>
      <c r="B1637" s="17">
        <f>IF(493&gt;NLoanA,"",IFERROR(IF(VLOOKUP(INDEX(PkLoanA,493),AcctTblA,4,0)="","(بدون نام)",VLOOKUP(INDEX(PkLoanA,493),AcctTblA,4,0)),"—"))</f>
        <v/>
      </c>
      <c r="C1637" s="18">
        <f>IF($B1637="","",IF(493&gt;NLoanA,"",INDEX(PkLoanA,493)))</f>
        <v/>
      </c>
      <c r="D1637" s="17">
        <f>IF($B1637="","","l")</f>
        <v/>
      </c>
      <c r="E1637" s="19">
        <f>IF($B1637="","",IF(493&gt;NLoanA,0,SUMIF(CalcDebit,INDEX(PkLoanA,493),CalcAmt)+SUMIF(CalcDebit2,INDEX(PkLoanA,493),CalcAmt2)))</f>
        <v/>
      </c>
      <c r="F1637" s="19">
        <f>IF($B1637="","",IF(493&gt;NLoanA,0,SUMIF(CalcCredit,INDEX(PkLoanA,493),CalcAmt)+SUMIF(CalcCredit2,INDEX(PkLoanA,493),CalcAmt2)))</f>
        <v/>
      </c>
      <c r="G1637" s="20">
        <f>IF($B1637="","",ROUND($E1637-$F1637,0))</f>
        <v/>
      </c>
      <c r="H1637" s="17">
        <f>IF($B1637="","",IF(ROUND($G1637,0)&gt;0,"بدهکار",IF(ROUND($G1637,0)&lt;0,"بستانکار","تسویه")))</f>
        <v/>
      </c>
    </row>
    <row r="1638">
      <c r="A1638" s="11">
        <f>IF($B1638="","",1629)</f>
        <v/>
      </c>
      <c r="B1638" s="12">
        <f>IF(494&gt;NLoanA,"",IFERROR(IF(VLOOKUP(INDEX(PkLoanA,494),AcctTblA,4,0)="","(بدون نام)",VLOOKUP(INDEX(PkLoanA,494),AcctTblA,4,0)),"—"))</f>
        <v/>
      </c>
      <c r="C1638" s="13">
        <f>IF($B1638="","",IF(494&gt;NLoanA,"",INDEX(PkLoanA,494)))</f>
        <v/>
      </c>
      <c r="D1638" s="12">
        <f>IF($B1638="","","l")</f>
        <v/>
      </c>
      <c r="E1638" s="14">
        <f>IF($B1638="","",IF(494&gt;NLoanA,0,SUMIF(CalcDebit,INDEX(PkLoanA,494),CalcAmt)+SUMIF(CalcDebit2,INDEX(PkLoanA,494),CalcAmt2)))</f>
        <v/>
      </c>
      <c r="F1638" s="14">
        <f>IF($B1638="","",IF(494&gt;NLoanA,0,SUMIF(CalcCredit,INDEX(PkLoanA,494),CalcAmt)+SUMIF(CalcCredit2,INDEX(PkLoanA,494),CalcAmt2)))</f>
        <v/>
      </c>
      <c r="G1638" s="15">
        <f>IF($B1638="","",ROUND($E1638-$F1638,0))</f>
        <v/>
      </c>
      <c r="H1638" s="12">
        <f>IF($B1638="","",IF(ROUND($G1638,0)&gt;0,"بدهکار",IF(ROUND($G1638,0)&lt;0,"بستانکار","تسویه")))</f>
        <v/>
      </c>
    </row>
    <row r="1639">
      <c r="A1639" s="16">
        <f>IF($B1639="","",1630)</f>
        <v/>
      </c>
      <c r="B1639" s="17">
        <f>IF(495&gt;NLoanA,"",IFERROR(IF(VLOOKUP(INDEX(PkLoanA,495),AcctTblA,4,0)="","(بدون نام)",VLOOKUP(INDEX(PkLoanA,495),AcctTblA,4,0)),"—"))</f>
        <v/>
      </c>
      <c r="C1639" s="18">
        <f>IF($B1639="","",IF(495&gt;NLoanA,"",INDEX(PkLoanA,495)))</f>
        <v/>
      </c>
      <c r="D1639" s="17">
        <f>IF($B1639="","","l")</f>
        <v/>
      </c>
      <c r="E1639" s="19">
        <f>IF($B1639="","",IF(495&gt;NLoanA,0,SUMIF(CalcDebit,INDEX(PkLoanA,495),CalcAmt)+SUMIF(CalcDebit2,INDEX(PkLoanA,495),CalcAmt2)))</f>
        <v/>
      </c>
      <c r="F1639" s="19">
        <f>IF($B1639="","",IF(495&gt;NLoanA,0,SUMIF(CalcCredit,INDEX(PkLoanA,495),CalcAmt)+SUMIF(CalcCredit2,INDEX(PkLoanA,495),CalcAmt2)))</f>
        <v/>
      </c>
      <c r="G1639" s="20">
        <f>IF($B1639="","",ROUND($E1639-$F1639,0))</f>
        <v/>
      </c>
      <c r="H1639" s="17">
        <f>IF($B1639="","",IF(ROUND($G1639,0)&gt;0,"بدهکار",IF(ROUND($G1639,0)&lt;0,"بستانکار","تسویه")))</f>
        <v/>
      </c>
    </row>
    <row r="1640">
      <c r="A1640" s="11">
        <f>IF($B1640="","",1631)</f>
        <v/>
      </c>
      <c r="B1640" s="12">
        <f>IF(496&gt;NLoanA,"",IFERROR(IF(VLOOKUP(INDEX(PkLoanA,496),AcctTblA,4,0)="","(بدون نام)",VLOOKUP(INDEX(PkLoanA,496),AcctTblA,4,0)),"—"))</f>
        <v/>
      </c>
      <c r="C1640" s="13">
        <f>IF($B1640="","",IF(496&gt;NLoanA,"",INDEX(PkLoanA,496)))</f>
        <v/>
      </c>
      <c r="D1640" s="12">
        <f>IF($B1640="","","l")</f>
        <v/>
      </c>
      <c r="E1640" s="14">
        <f>IF($B1640="","",IF(496&gt;NLoanA,0,SUMIF(CalcDebit,INDEX(PkLoanA,496),CalcAmt)+SUMIF(CalcDebit2,INDEX(PkLoanA,496),CalcAmt2)))</f>
        <v/>
      </c>
      <c r="F1640" s="14">
        <f>IF($B1640="","",IF(496&gt;NLoanA,0,SUMIF(CalcCredit,INDEX(PkLoanA,496),CalcAmt)+SUMIF(CalcCredit2,INDEX(PkLoanA,496),CalcAmt2)))</f>
        <v/>
      </c>
      <c r="G1640" s="15">
        <f>IF($B1640="","",ROUND($E1640-$F1640,0))</f>
        <v/>
      </c>
      <c r="H1640" s="12">
        <f>IF($B1640="","",IF(ROUND($G1640,0)&gt;0,"بدهکار",IF(ROUND($G1640,0)&lt;0,"بستانکار","تسویه")))</f>
        <v/>
      </c>
    </row>
    <row r="1641">
      <c r="A1641" s="16">
        <f>IF($B1641="","",1632)</f>
        <v/>
      </c>
      <c r="B1641" s="17">
        <f>IF(497&gt;NLoanA,"",IFERROR(IF(VLOOKUP(INDEX(PkLoanA,497),AcctTblA,4,0)="","(بدون نام)",VLOOKUP(INDEX(PkLoanA,497),AcctTblA,4,0)),"—"))</f>
        <v/>
      </c>
      <c r="C1641" s="18">
        <f>IF($B1641="","",IF(497&gt;NLoanA,"",INDEX(PkLoanA,497)))</f>
        <v/>
      </c>
      <c r="D1641" s="17">
        <f>IF($B1641="","","l")</f>
        <v/>
      </c>
      <c r="E1641" s="19">
        <f>IF($B1641="","",IF(497&gt;NLoanA,0,SUMIF(CalcDebit,INDEX(PkLoanA,497),CalcAmt)+SUMIF(CalcDebit2,INDEX(PkLoanA,497),CalcAmt2)))</f>
        <v/>
      </c>
      <c r="F1641" s="19">
        <f>IF($B1641="","",IF(497&gt;NLoanA,0,SUMIF(CalcCredit,INDEX(PkLoanA,497),CalcAmt)+SUMIF(CalcCredit2,INDEX(PkLoanA,497),CalcAmt2)))</f>
        <v/>
      </c>
      <c r="G1641" s="20">
        <f>IF($B1641="","",ROUND($E1641-$F1641,0))</f>
        <v/>
      </c>
      <c r="H1641" s="17">
        <f>IF($B1641="","",IF(ROUND($G1641,0)&gt;0,"بدهکار",IF(ROUND($G1641,0)&lt;0,"بستانکار","تسویه")))</f>
        <v/>
      </c>
    </row>
    <row r="1642">
      <c r="A1642" s="11">
        <f>IF($B1642="","",1633)</f>
        <v/>
      </c>
      <c r="B1642" s="12">
        <f>IF(498&gt;NLoanA,"",IFERROR(IF(VLOOKUP(INDEX(PkLoanA,498),AcctTblA,4,0)="","(بدون نام)",VLOOKUP(INDEX(PkLoanA,498),AcctTblA,4,0)),"—"))</f>
        <v/>
      </c>
      <c r="C1642" s="13">
        <f>IF($B1642="","",IF(498&gt;NLoanA,"",INDEX(PkLoanA,498)))</f>
        <v/>
      </c>
      <c r="D1642" s="12">
        <f>IF($B1642="","","l")</f>
        <v/>
      </c>
      <c r="E1642" s="14">
        <f>IF($B1642="","",IF(498&gt;NLoanA,0,SUMIF(CalcDebit,INDEX(PkLoanA,498),CalcAmt)+SUMIF(CalcDebit2,INDEX(PkLoanA,498),CalcAmt2)))</f>
        <v/>
      </c>
      <c r="F1642" s="14">
        <f>IF($B1642="","",IF(498&gt;NLoanA,0,SUMIF(CalcCredit,INDEX(PkLoanA,498),CalcAmt)+SUMIF(CalcCredit2,INDEX(PkLoanA,498),CalcAmt2)))</f>
        <v/>
      </c>
      <c r="G1642" s="15">
        <f>IF($B1642="","",ROUND($E1642-$F1642,0))</f>
        <v/>
      </c>
      <c r="H1642" s="12">
        <f>IF($B1642="","",IF(ROUND($G1642,0)&gt;0,"بدهکار",IF(ROUND($G1642,0)&lt;0,"بستانکار","تسویه")))</f>
        <v/>
      </c>
    </row>
    <row r="1643">
      <c r="A1643" s="16">
        <f>IF($B1643="","",1634)</f>
        <v/>
      </c>
      <c r="B1643" s="17">
        <f>IF(499&gt;NLoanA,"",IFERROR(IF(VLOOKUP(INDEX(PkLoanA,499),AcctTblA,4,0)="","(بدون نام)",VLOOKUP(INDEX(PkLoanA,499),AcctTblA,4,0)),"—"))</f>
        <v/>
      </c>
      <c r="C1643" s="18">
        <f>IF($B1643="","",IF(499&gt;NLoanA,"",INDEX(PkLoanA,499)))</f>
        <v/>
      </c>
      <c r="D1643" s="17">
        <f>IF($B1643="","","l")</f>
        <v/>
      </c>
      <c r="E1643" s="19">
        <f>IF($B1643="","",IF(499&gt;NLoanA,0,SUMIF(CalcDebit,INDEX(PkLoanA,499),CalcAmt)+SUMIF(CalcDebit2,INDEX(PkLoanA,499),CalcAmt2)))</f>
        <v/>
      </c>
      <c r="F1643" s="19">
        <f>IF($B1643="","",IF(499&gt;NLoanA,0,SUMIF(CalcCredit,INDEX(PkLoanA,499),CalcAmt)+SUMIF(CalcCredit2,INDEX(PkLoanA,499),CalcAmt2)))</f>
        <v/>
      </c>
      <c r="G1643" s="20">
        <f>IF($B1643="","",ROUND($E1643-$F1643,0))</f>
        <v/>
      </c>
      <c r="H1643" s="17">
        <f>IF($B1643="","",IF(ROUND($G1643,0)&gt;0,"بدهکار",IF(ROUND($G1643,0)&lt;0,"بستانکار","تسویه")))</f>
        <v/>
      </c>
    </row>
    <row r="1644">
      <c r="A1644" s="11">
        <f>IF($B1644="","",1635)</f>
        <v/>
      </c>
      <c r="B1644" s="12">
        <f>IF(500&gt;NLoanA,"",IFERROR(IF(VLOOKUP(INDEX(PkLoanA,500),AcctTblA,4,0)="","(بدون نام)",VLOOKUP(INDEX(PkLoanA,500),AcctTblA,4,0)),"—"))</f>
        <v/>
      </c>
      <c r="C1644" s="13">
        <f>IF($B1644="","",IF(500&gt;NLoanA,"",INDEX(PkLoanA,500)))</f>
        <v/>
      </c>
      <c r="D1644" s="12">
        <f>IF($B1644="","","l")</f>
        <v/>
      </c>
      <c r="E1644" s="14">
        <f>IF($B1644="","",IF(500&gt;NLoanA,0,SUMIF(CalcDebit,INDEX(PkLoanA,500),CalcAmt)+SUMIF(CalcDebit2,INDEX(PkLoanA,500),CalcAmt2)))</f>
        <v/>
      </c>
      <c r="F1644" s="14">
        <f>IF($B1644="","",IF(500&gt;NLoanA,0,SUMIF(CalcCredit,INDEX(PkLoanA,500),CalcAmt)+SUMIF(CalcCredit2,INDEX(PkLoanA,500),CalcAmt2)))</f>
        <v/>
      </c>
      <c r="G1644" s="15">
        <f>IF($B1644="","",ROUND($E1644-$F1644,0))</f>
        <v/>
      </c>
      <c r="H1644" s="12">
        <f>IF($B1644="","",IF(ROUND($G1644,0)&gt;0,"بدهکار",IF(ROUND($G1644,0)&lt;0,"بستانکار","تسویه")))</f>
        <v/>
      </c>
    </row>
    <row r="1645">
      <c r="A1645" s="16">
        <f>IF($B1645="","",1636)</f>
        <v/>
      </c>
      <c r="B1645" s="17">
        <f>IF(501&gt;NLoanA,"",IFERROR(IF(VLOOKUP(INDEX(PkLoanA,501),AcctTblA,4,0)="","(بدون نام)",VLOOKUP(INDEX(PkLoanA,501),AcctTblA,4,0)),"—"))</f>
        <v/>
      </c>
      <c r="C1645" s="18">
        <f>IF($B1645="","",IF(501&gt;NLoanA,"",INDEX(PkLoanA,501)))</f>
        <v/>
      </c>
      <c r="D1645" s="17">
        <f>IF($B1645="","","l")</f>
        <v/>
      </c>
      <c r="E1645" s="19">
        <f>IF($B1645="","",IF(501&gt;NLoanA,0,SUMIF(CalcDebit,INDEX(PkLoanA,501),CalcAmt)+SUMIF(CalcDebit2,INDEX(PkLoanA,501),CalcAmt2)))</f>
        <v/>
      </c>
      <c r="F1645" s="19">
        <f>IF($B1645="","",IF(501&gt;NLoanA,0,SUMIF(CalcCredit,INDEX(PkLoanA,501),CalcAmt)+SUMIF(CalcCredit2,INDEX(PkLoanA,501),CalcAmt2)))</f>
        <v/>
      </c>
      <c r="G1645" s="20">
        <f>IF($B1645="","",ROUND($E1645-$F1645,0))</f>
        <v/>
      </c>
      <c r="H1645" s="17">
        <f>IF($B1645="","",IF(ROUND($G1645,0)&gt;0,"بدهکار",IF(ROUND($G1645,0)&lt;0,"بستانکار","تسویه")))</f>
        <v/>
      </c>
    </row>
    <row r="1646">
      <c r="A1646" s="11">
        <f>IF($B1646="","",1637)</f>
        <v/>
      </c>
      <c r="B1646" s="12">
        <f>IF(502&gt;NLoanA,"",IFERROR(IF(VLOOKUP(INDEX(PkLoanA,502),AcctTblA,4,0)="","(بدون نام)",VLOOKUP(INDEX(PkLoanA,502),AcctTblA,4,0)),"—"))</f>
        <v/>
      </c>
      <c r="C1646" s="13">
        <f>IF($B1646="","",IF(502&gt;NLoanA,"",INDEX(PkLoanA,502)))</f>
        <v/>
      </c>
      <c r="D1646" s="12">
        <f>IF($B1646="","","l")</f>
        <v/>
      </c>
      <c r="E1646" s="14">
        <f>IF($B1646="","",IF(502&gt;NLoanA,0,SUMIF(CalcDebit,INDEX(PkLoanA,502),CalcAmt)+SUMIF(CalcDebit2,INDEX(PkLoanA,502),CalcAmt2)))</f>
        <v/>
      </c>
      <c r="F1646" s="14">
        <f>IF($B1646="","",IF(502&gt;NLoanA,0,SUMIF(CalcCredit,INDEX(PkLoanA,502),CalcAmt)+SUMIF(CalcCredit2,INDEX(PkLoanA,502),CalcAmt2)))</f>
        <v/>
      </c>
      <c r="G1646" s="15">
        <f>IF($B1646="","",ROUND($E1646-$F1646,0))</f>
        <v/>
      </c>
      <c r="H1646" s="12">
        <f>IF($B1646="","",IF(ROUND($G1646,0)&gt;0,"بدهکار",IF(ROUND($G1646,0)&lt;0,"بستانکار","تسویه")))</f>
        <v/>
      </c>
    </row>
    <row r="1647">
      <c r="A1647" s="16">
        <f>IF($B1647="","",1638)</f>
        <v/>
      </c>
      <c r="B1647" s="17">
        <f>IF(503&gt;NLoanA,"",IFERROR(IF(VLOOKUP(INDEX(PkLoanA,503),AcctTblA,4,0)="","(بدون نام)",VLOOKUP(INDEX(PkLoanA,503),AcctTblA,4,0)),"—"))</f>
        <v/>
      </c>
      <c r="C1647" s="18">
        <f>IF($B1647="","",IF(503&gt;NLoanA,"",INDEX(PkLoanA,503)))</f>
        <v/>
      </c>
      <c r="D1647" s="17">
        <f>IF($B1647="","","l")</f>
        <v/>
      </c>
      <c r="E1647" s="19">
        <f>IF($B1647="","",IF(503&gt;NLoanA,0,SUMIF(CalcDebit,INDEX(PkLoanA,503),CalcAmt)+SUMIF(CalcDebit2,INDEX(PkLoanA,503),CalcAmt2)))</f>
        <v/>
      </c>
      <c r="F1647" s="19">
        <f>IF($B1647="","",IF(503&gt;NLoanA,0,SUMIF(CalcCredit,INDEX(PkLoanA,503),CalcAmt)+SUMIF(CalcCredit2,INDEX(PkLoanA,503),CalcAmt2)))</f>
        <v/>
      </c>
      <c r="G1647" s="20">
        <f>IF($B1647="","",ROUND($E1647-$F1647,0))</f>
        <v/>
      </c>
      <c r="H1647" s="17">
        <f>IF($B1647="","",IF(ROUND($G1647,0)&gt;0,"بدهکار",IF(ROUND($G1647,0)&lt;0,"بستانکار","تسویه")))</f>
        <v/>
      </c>
    </row>
    <row r="1648">
      <c r="A1648" s="11">
        <f>IF($B1648="","",1639)</f>
        <v/>
      </c>
      <c r="B1648" s="12">
        <f>IF(504&gt;NLoanA,"",IFERROR(IF(VLOOKUP(INDEX(PkLoanA,504),AcctTblA,4,0)="","(بدون نام)",VLOOKUP(INDEX(PkLoanA,504),AcctTblA,4,0)),"—"))</f>
        <v/>
      </c>
      <c r="C1648" s="13">
        <f>IF($B1648="","",IF(504&gt;NLoanA,"",INDEX(PkLoanA,504)))</f>
        <v/>
      </c>
      <c r="D1648" s="12">
        <f>IF($B1648="","","l")</f>
        <v/>
      </c>
      <c r="E1648" s="14">
        <f>IF($B1648="","",IF(504&gt;NLoanA,0,SUMIF(CalcDebit,INDEX(PkLoanA,504),CalcAmt)+SUMIF(CalcDebit2,INDEX(PkLoanA,504),CalcAmt2)))</f>
        <v/>
      </c>
      <c r="F1648" s="14">
        <f>IF($B1648="","",IF(504&gt;NLoanA,0,SUMIF(CalcCredit,INDEX(PkLoanA,504),CalcAmt)+SUMIF(CalcCredit2,INDEX(PkLoanA,504),CalcAmt2)))</f>
        <v/>
      </c>
      <c r="G1648" s="15">
        <f>IF($B1648="","",ROUND($E1648-$F1648,0))</f>
        <v/>
      </c>
      <c r="H1648" s="12">
        <f>IF($B1648="","",IF(ROUND($G1648,0)&gt;0,"بدهکار",IF(ROUND($G1648,0)&lt;0,"بستانکار","تسویه")))</f>
        <v/>
      </c>
    </row>
    <row r="1649">
      <c r="A1649" s="16">
        <f>IF($B1649="","",1640)</f>
        <v/>
      </c>
      <c r="B1649" s="17">
        <f>IF(505&gt;NLoanA,"",IFERROR(IF(VLOOKUP(INDEX(PkLoanA,505),AcctTblA,4,0)="","(بدون نام)",VLOOKUP(INDEX(PkLoanA,505),AcctTblA,4,0)),"—"))</f>
        <v/>
      </c>
      <c r="C1649" s="18">
        <f>IF($B1649="","",IF(505&gt;NLoanA,"",INDEX(PkLoanA,505)))</f>
        <v/>
      </c>
      <c r="D1649" s="17">
        <f>IF($B1649="","","l")</f>
        <v/>
      </c>
      <c r="E1649" s="19">
        <f>IF($B1649="","",IF(505&gt;NLoanA,0,SUMIF(CalcDebit,INDEX(PkLoanA,505),CalcAmt)+SUMIF(CalcDebit2,INDEX(PkLoanA,505),CalcAmt2)))</f>
        <v/>
      </c>
      <c r="F1649" s="19">
        <f>IF($B1649="","",IF(505&gt;NLoanA,0,SUMIF(CalcCredit,INDEX(PkLoanA,505),CalcAmt)+SUMIF(CalcCredit2,INDEX(PkLoanA,505),CalcAmt2)))</f>
        <v/>
      </c>
      <c r="G1649" s="20">
        <f>IF($B1649="","",ROUND($E1649-$F1649,0))</f>
        <v/>
      </c>
      <c r="H1649" s="17">
        <f>IF($B1649="","",IF(ROUND($G1649,0)&gt;0,"بدهکار",IF(ROUND($G1649,0)&lt;0,"بستانکار","تسویه")))</f>
        <v/>
      </c>
    </row>
    <row r="1650">
      <c r="A1650" s="11">
        <f>IF($B1650="","",1641)</f>
        <v/>
      </c>
      <c r="B1650" s="12">
        <f>IF(506&gt;NLoanA,"",IFERROR(IF(VLOOKUP(INDEX(PkLoanA,506),AcctTblA,4,0)="","(بدون نام)",VLOOKUP(INDEX(PkLoanA,506),AcctTblA,4,0)),"—"))</f>
        <v/>
      </c>
      <c r="C1650" s="13">
        <f>IF($B1650="","",IF(506&gt;NLoanA,"",INDEX(PkLoanA,506)))</f>
        <v/>
      </c>
      <c r="D1650" s="12">
        <f>IF($B1650="","","l")</f>
        <v/>
      </c>
      <c r="E1650" s="14">
        <f>IF($B1650="","",IF(506&gt;NLoanA,0,SUMIF(CalcDebit,INDEX(PkLoanA,506),CalcAmt)+SUMIF(CalcDebit2,INDEX(PkLoanA,506),CalcAmt2)))</f>
        <v/>
      </c>
      <c r="F1650" s="14">
        <f>IF($B1650="","",IF(506&gt;NLoanA,0,SUMIF(CalcCredit,INDEX(PkLoanA,506),CalcAmt)+SUMIF(CalcCredit2,INDEX(PkLoanA,506),CalcAmt2)))</f>
        <v/>
      </c>
      <c r="G1650" s="15">
        <f>IF($B1650="","",ROUND($E1650-$F1650,0))</f>
        <v/>
      </c>
      <c r="H1650" s="12">
        <f>IF($B1650="","",IF(ROUND($G1650,0)&gt;0,"بدهکار",IF(ROUND($G1650,0)&lt;0,"بستانکار","تسویه")))</f>
        <v/>
      </c>
    </row>
    <row r="1651">
      <c r="A1651" s="16">
        <f>IF($B1651="","",1642)</f>
        <v/>
      </c>
      <c r="B1651" s="17">
        <f>IF(507&gt;NLoanA,"",IFERROR(IF(VLOOKUP(INDEX(PkLoanA,507),AcctTblA,4,0)="","(بدون نام)",VLOOKUP(INDEX(PkLoanA,507),AcctTblA,4,0)),"—"))</f>
        <v/>
      </c>
      <c r="C1651" s="18">
        <f>IF($B1651="","",IF(507&gt;NLoanA,"",INDEX(PkLoanA,507)))</f>
        <v/>
      </c>
      <c r="D1651" s="17">
        <f>IF($B1651="","","l")</f>
        <v/>
      </c>
      <c r="E1651" s="19">
        <f>IF($B1651="","",IF(507&gt;NLoanA,0,SUMIF(CalcDebit,INDEX(PkLoanA,507),CalcAmt)+SUMIF(CalcDebit2,INDEX(PkLoanA,507),CalcAmt2)))</f>
        <v/>
      </c>
      <c r="F1651" s="19">
        <f>IF($B1651="","",IF(507&gt;NLoanA,0,SUMIF(CalcCredit,INDEX(PkLoanA,507),CalcAmt)+SUMIF(CalcCredit2,INDEX(PkLoanA,507),CalcAmt2)))</f>
        <v/>
      </c>
      <c r="G1651" s="20">
        <f>IF($B1651="","",ROUND($E1651-$F1651,0))</f>
        <v/>
      </c>
      <c r="H1651" s="17">
        <f>IF($B1651="","",IF(ROUND($G1651,0)&gt;0,"بدهکار",IF(ROUND($G1651,0)&lt;0,"بستانکار","تسویه")))</f>
        <v/>
      </c>
    </row>
    <row r="1652">
      <c r="A1652" s="11">
        <f>IF($B1652="","",1643)</f>
        <v/>
      </c>
      <c r="B1652" s="12">
        <f>IF(508&gt;NLoanA,"",IFERROR(IF(VLOOKUP(INDEX(PkLoanA,508),AcctTblA,4,0)="","(بدون نام)",VLOOKUP(INDEX(PkLoanA,508),AcctTblA,4,0)),"—"))</f>
        <v/>
      </c>
      <c r="C1652" s="13">
        <f>IF($B1652="","",IF(508&gt;NLoanA,"",INDEX(PkLoanA,508)))</f>
        <v/>
      </c>
      <c r="D1652" s="12">
        <f>IF($B1652="","","l")</f>
        <v/>
      </c>
      <c r="E1652" s="14">
        <f>IF($B1652="","",IF(508&gt;NLoanA,0,SUMIF(CalcDebit,INDEX(PkLoanA,508),CalcAmt)+SUMIF(CalcDebit2,INDEX(PkLoanA,508),CalcAmt2)))</f>
        <v/>
      </c>
      <c r="F1652" s="14">
        <f>IF($B1652="","",IF(508&gt;NLoanA,0,SUMIF(CalcCredit,INDEX(PkLoanA,508),CalcAmt)+SUMIF(CalcCredit2,INDEX(PkLoanA,508),CalcAmt2)))</f>
        <v/>
      </c>
      <c r="G1652" s="15">
        <f>IF($B1652="","",ROUND($E1652-$F1652,0))</f>
        <v/>
      </c>
      <c r="H1652" s="12">
        <f>IF($B1652="","",IF(ROUND($G1652,0)&gt;0,"بدهکار",IF(ROUND($G1652,0)&lt;0,"بستانکار","تسویه")))</f>
        <v/>
      </c>
    </row>
    <row r="1653">
      <c r="A1653" s="16">
        <f>IF($B1653="","",1644)</f>
        <v/>
      </c>
      <c r="B1653" s="17">
        <f>IF(509&gt;NLoanA,"",IFERROR(IF(VLOOKUP(INDEX(PkLoanA,509),AcctTblA,4,0)="","(بدون نام)",VLOOKUP(INDEX(PkLoanA,509),AcctTblA,4,0)),"—"))</f>
        <v/>
      </c>
      <c r="C1653" s="18">
        <f>IF($B1653="","",IF(509&gt;NLoanA,"",INDEX(PkLoanA,509)))</f>
        <v/>
      </c>
      <c r="D1653" s="17">
        <f>IF($B1653="","","l")</f>
        <v/>
      </c>
      <c r="E1653" s="19">
        <f>IF($B1653="","",IF(509&gt;NLoanA,0,SUMIF(CalcDebit,INDEX(PkLoanA,509),CalcAmt)+SUMIF(CalcDebit2,INDEX(PkLoanA,509),CalcAmt2)))</f>
        <v/>
      </c>
      <c r="F1653" s="19">
        <f>IF($B1653="","",IF(509&gt;NLoanA,0,SUMIF(CalcCredit,INDEX(PkLoanA,509),CalcAmt)+SUMIF(CalcCredit2,INDEX(PkLoanA,509),CalcAmt2)))</f>
        <v/>
      </c>
      <c r="G1653" s="20">
        <f>IF($B1653="","",ROUND($E1653-$F1653,0))</f>
        <v/>
      </c>
      <c r="H1653" s="17">
        <f>IF($B1653="","",IF(ROUND($G1653,0)&gt;0,"بدهکار",IF(ROUND($G1653,0)&lt;0,"بستانکار","تسویه")))</f>
        <v/>
      </c>
    </row>
    <row r="1654">
      <c r="A1654" s="11">
        <f>IF($B1654="","",1645)</f>
        <v/>
      </c>
      <c r="B1654" s="12">
        <f>IF(510&gt;NLoanA,"",IFERROR(IF(VLOOKUP(INDEX(PkLoanA,510),AcctTblA,4,0)="","(بدون نام)",VLOOKUP(INDEX(PkLoanA,510),AcctTblA,4,0)),"—"))</f>
        <v/>
      </c>
      <c r="C1654" s="13">
        <f>IF($B1654="","",IF(510&gt;NLoanA,"",INDEX(PkLoanA,510)))</f>
        <v/>
      </c>
      <c r="D1654" s="12">
        <f>IF($B1654="","","l")</f>
        <v/>
      </c>
      <c r="E1654" s="14">
        <f>IF($B1654="","",IF(510&gt;NLoanA,0,SUMIF(CalcDebit,INDEX(PkLoanA,510),CalcAmt)+SUMIF(CalcDebit2,INDEX(PkLoanA,510),CalcAmt2)))</f>
        <v/>
      </c>
      <c r="F1654" s="14">
        <f>IF($B1654="","",IF(510&gt;NLoanA,0,SUMIF(CalcCredit,INDEX(PkLoanA,510),CalcAmt)+SUMIF(CalcCredit2,INDEX(PkLoanA,510),CalcAmt2)))</f>
        <v/>
      </c>
      <c r="G1654" s="15">
        <f>IF($B1654="","",ROUND($E1654-$F1654,0))</f>
        <v/>
      </c>
      <c r="H1654" s="12">
        <f>IF($B1654="","",IF(ROUND($G1654,0)&gt;0,"بدهکار",IF(ROUND($G1654,0)&lt;0,"بستانکار","تسویه")))</f>
        <v/>
      </c>
    </row>
    <row r="1655">
      <c r="A1655" s="16">
        <f>IF($B1655="","",1646)</f>
        <v/>
      </c>
      <c r="B1655" s="17">
        <f>IF(511&gt;NLoanA,"",IFERROR(IF(VLOOKUP(INDEX(PkLoanA,511),AcctTblA,4,0)="","(بدون نام)",VLOOKUP(INDEX(PkLoanA,511),AcctTblA,4,0)),"—"))</f>
        <v/>
      </c>
      <c r="C1655" s="18">
        <f>IF($B1655="","",IF(511&gt;NLoanA,"",INDEX(PkLoanA,511)))</f>
        <v/>
      </c>
      <c r="D1655" s="17">
        <f>IF($B1655="","","l")</f>
        <v/>
      </c>
      <c r="E1655" s="19">
        <f>IF($B1655="","",IF(511&gt;NLoanA,0,SUMIF(CalcDebit,INDEX(PkLoanA,511),CalcAmt)+SUMIF(CalcDebit2,INDEX(PkLoanA,511),CalcAmt2)))</f>
        <v/>
      </c>
      <c r="F1655" s="19">
        <f>IF($B1655="","",IF(511&gt;NLoanA,0,SUMIF(CalcCredit,INDEX(PkLoanA,511),CalcAmt)+SUMIF(CalcCredit2,INDEX(PkLoanA,511),CalcAmt2)))</f>
        <v/>
      </c>
      <c r="G1655" s="20">
        <f>IF($B1655="","",ROUND($E1655-$F1655,0))</f>
        <v/>
      </c>
      <c r="H1655" s="17">
        <f>IF($B1655="","",IF(ROUND($G1655,0)&gt;0,"بدهکار",IF(ROUND($G1655,0)&lt;0,"بستانکار","تسویه")))</f>
        <v/>
      </c>
    </row>
    <row r="1656">
      <c r="A1656" s="11">
        <f>IF($B1656="","",1647)</f>
        <v/>
      </c>
      <c r="B1656" s="12">
        <f>IF(512&gt;NLoanA,"",IFERROR(IF(VLOOKUP(INDEX(PkLoanA,512),AcctTblA,4,0)="","(بدون نام)",VLOOKUP(INDEX(PkLoanA,512),AcctTblA,4,0)),"—"))</f>
        <v/>
      </c>
      <c r="C1656" s="13">
        <f>IF($B1656="","",IF(512&gt;NLoanA,"",INDEX(PkLoanA,512)))</f>
        <v/>
      </c>
      <c r="D1656" s="12">
        <f>IF($B1656="","","l")</f>
        <v/>
      </c>
      <c r="E1656" s="14">
        <f>IF($B1656="","",IF(512&gt;NLoanA,0,SUMIF(CalcDebit,INDEX(PkLoanA,512),CalcAmt)+SUMIF(CalcDebit2,INDEX(PkLoanA,512),CalcAmt2)))</f>
        <v/>
      </c>
      <c r="F1656" s="14">
        <f>IF($B1656="","",IF(512&gt;NLoanA,0,SUMIF(CalcCredit,INDEX(PkLoanA,512),CalcAmt)+SUMIF(CalcCredit2,INDEX(PkLoanA,512),CalcAmt2)))</f>
        <v/>
      </c>
      <c r="G1656" s="15">
        <f>IF($B1656="","",ROUND($E1656-$F1656,0))</f>
        <v/>
      </c>
      <c r="H1656" s="12">
        <f>IF($B1656="","",IF(ROUND($G1656,0)&gt;0,"بدهکار",IF(ROUND($G1656,0)&lt;0,"بستانکار","تسویه")))</f>
        <v/>
      </c>
    </row>
    <row r="1657">
      <c r="A1657" s="16">
        <f>IF($B1657="","",1648)</f>
        <v/>
      </c>
      <c r="B1657" s="17">
        <f>IF(513&gt;NLoanA,"",IFERROR(IF(VLOOKUP(INDEX(PkLoanA,513),AcctTblA,4,0)="","(بدون نام)",VLOOKUP(INDEX(PkLoanA,513),AcctTblA,4,0)),"—"))</f>
        <v/>
      </c>
      <c r="C1657" s="18">
        <f>IF($B1657="","",IF(513&gt;NLoanA,"",INDEX(PkLoanA,513)))</f>
        <v/>
      </c>
      <c r="D1657" s="17">
        <f>IF($B1657="","","l")</f>
        <v/>
      </c>
      <c r="E1657" s="19">
        <f>IF($B1657="","",IF(513&gt;NLoanA,0,SUMIF(CalcDebit,INDEX(PkLoanA,513),CalcAmt)+SUMIF(CalcDebit2,INDEX(PkLoanA,513),CalcAmt2)))</f>
        <v/>
      </c>
      <c r="F1657" s="19">
        <f>IF($B1657="","",IF(513&gt;NLoanA,0,SUMIF(CalcCredit,INDEX(PkLoanA,513),CalcAmt)+SUMIF(CalcCredit2,INDEX(PkLoanA,513),CalcAmt2)))</f>
        <v/>
      </c>
      <c r="G1657" s="20">
        <f>IF($B1657="","",ROUND($E1657-$F1657,0))</f>
        <v/>
      </c>
      <c r="H1657" s="17">
        <f>IF($B1657="","",IF(ROUND($G1657,0)&gt;0,"بدهکار",IF(ROUND($G1657,0)&lt;0,"بستانکار","تسویه")))</f>
        <v/>
      </c>
    </row>
    <row r="1658">
      <c r="A1658" s="11">
        <f>IF($B1658="","",1649)</f>
        <v/>
      </c>
      <c r="B1658" s="12">
        <f>IF(514&gt;NLoanA,"",IFERROR(IF(VLOOKUP(INDEX(PkLoanA,514),AcctTblA,4,0)="","(بدون نام)",VLOOKUP(INDEX(PkLoanA,514),AcctTblA,4,0)),"—"))</f>
        <v/>
      </c>
      <c r="C1658" s="13">
        <f>IF($B1658="","",IF(514&gt;NLoanA,"",INDEX(PkLoanA,514)))</f>
        <v/>
      </c>
      <c r="D1658" s="12">
        <f>IF($B1658="","","l")</f>
        <v/>
      </c>
      <c r="E1658" s="14">
        <f>IF($B1658="","",IF(514&gt;NLoanA,0,SUMIF(CalcDebit,INDEX(PkLoanA,514),CalcAmt)+SUMIF(CalcDebit2,INDEX(PkLoanA,514),CalcAmt2)))</f>
        <v/>
      </c>
      <c r="F1658" s="14">
        <f>IF($B1658="","",IF(514&gt;NLoanA,0,SUMIF(CalcCredit,INDEX(PkLoanA,514),CalcAmt)+SUMIF(CalcCredit2,INDEX(PkLoanA,514),CalcAmt2)))</f>
        <v/>
      </c>
      <c r="G1658" s="15">
        <f>IF($B1658="","",ROUND($E1658-$F1658,0))</f>
        <v/>
      </c>
      <c r="H1658" s="12">
        <f>IF($B1658="","",IF(ROUND($G1658,0)&gt;0,"بدهکار",IF(ROUND($G1658,0)&lt;0,"بستانکار","تسویه")))</f>
        <v/>
      </c>
    </row>
    <row r="1659">
      <c r="A1659" s="16">
        <f>IF($B1659="","",1650)</f>
        <v/>
      </c>
      <c r="B1659" s="17">
        <f>IF(515&gt;NLoanA,"",IFERROR(IF(VLOOKUP(INDEX(PkLoanA,515),AcctTblA,4,0)="","(بدون نام)",VLOOKUP(INDEX(PkLoanA,515),AcctTblA,4,0)),"—"))</f>
        <v/>
      </c>
      <c r="C1659" s="18">
        <f>IF($B1659="","",IF(515&gt;NLoanA,"",INDEX(PkLoanA,515)))</f>
        <v/>
      </c>
      <c r="D1659" s="17">
        <f>IF($B1659="","","l")</f>
        <v/>
      </c>
      <c r="E1659" s="19">
        <f>IF($B1659="","",IF(515&gt;NLoanA,0,SUMIF(CalcDebit,INDEX(PkLoanA,515),CalcAmt)+SUMIF(CalcDebit2,INDEX(PkLoanA,515),CalcAmt2)))</f>
        <v/>
      </c>
      <c r="F1659" s="19">
        <f>IF($B1659="","",IF(515&gt;NLoanA,0,SUMIF(CalcCredit,INDEX(PkLoanA,515),CalcAmt)+SUMIF(CalcCredit2,INDEX(PkLoanA,515),CalcAmt2)))</f>
        <v/>
      </c>
      <c r="G1659" s="20">
        <f>IF($B1659="","",ROUND($E1659-$F1659,0))</f>
        <v/>
      </c>
      <c r="H1659" s="17">
        <f>IF($B1659="","",IF(ROUND($G1659,0)&gt;0,"بدهکار",IF(ROUND($G1659,0)&lt;0,"بستانکار","تسویه")))</f>
        <v/>
      </c>
    </row>
    <row r="1660">
      <c r="A1660" s="11">
        <f>IF($B1660="","",1651)</f>
        <v/>
      </c>
      <c r="B1660" s="12">
        <f>IF(516&gt;NLoanA,"",IFERROR(IF(VLOOKUP(INDEX(PkLoanA,516),AcctTblA,4,0)="","(بدون نام)",VLOOKUP(INDEX(PkLoanA,516),AcctTblA,4,0)),"—"))</f>
        <v/>
      </c>
      <c r="C1660" s="13">
        <f>IF($B1660="","",IF(516&gt;NLoanA,"",INDEX(PkLoanA,516)))</f>
        <v/>
      </c>
      <c r="D1660" s="12">
        <f>IF($B1660="","","l")</f>
        <v/>
      </c>
      <c r="E1660" s="14">
        <f>IF($B1660="","",IF(516&gt;NLoanA,0,SUMIF(CalcDebit,INDEX(PkLoanA,516),CalcAmt)+SUMIF(CalcDebit2,INDEX(PkLoanA,516),CalcAmt2)))</f>
        <v/>
      </c>
      <c r="F1660" s="14">
        <f>IF($B1660="","",IF(516&gt;NLoanA,0,SUMIF(CalcCredit,INDEX(PkLoanA,516),CalcAmt)+SUMIF(CalcCredit2,INDEX(PkLoanA,516),CalcAmt2)))</f>
        <v/>
      </c>
      <c r="G1660" s="15">
        <f>IF($B1660="","",ROUND($E1660-$F1660,0))</f>
        <v/>
      </c>
      <c r="H1660" s="12">
        <f>IF($B1660="","",IF(ROUND($G1660,0)&gt;0,"بدهکار",IF(ROUND($G1660,0)&lt;0,"بستانکار","تسویه")))</f>
        <v/>
      </c>
    </row>
    <row r="1661">
      <c r="A1661" s="16">
        <f>IF($B1661="","",1652)</f>
        <v/>
      </c>
      <c r="B1661" s="17">
        <f>IF(517&gt;NLoanA,"",IFERROR(IF(VLOOKUP(INDEX(PkLoanA,517),AcctTblA,4,0)="","(بدون نام)",VLOOKUP(INDEX(PkLoanA,517),AcctTblA,4,0)),"—"))</f>
        <v/>
      </c>
      <c r="C1661" s="18">
        <f>IF($B1661="","",IF(517&gt;NLoanA,"",INDEX(PkLoanA,517)))</f>
        <v/>
      </c>
      <c r="D1661" s="17">
        <f>IF($B1661="","","l")</f>
        <v/>
      </c>
      <c r="E1661" s="19">
        <f>IF($B1661="","",IF(517&gt;NLoanA,0,SUMIF(CalcDebit,INDEX(PkLoanA,517),CalcAmt)+SUMIF(CalcDebit2,INDEX(PkLoanA,517),CalcAmt2)))</f>
        <v/>
      </c>
      <c r="F1661" s="19">
        <f>IF($B1661="","",IF(517&gt;NLoanA,0,SUMIF(CalcCredit,INDEX(PkLoanA,517),CalcAmt)+SUMIF(CalcCredit2,INDEX(PkLoanA,517),CalcAmt2)))</f>
        <v/>
      </c>
      <c r="G1661" s="20">
        <f>IF($B1661="","",ROUND($E1661-$F1661,0))</f>
        <v/>
      </c>
      <c r="H1661" s="17">
        <f>IF($B1661="","",IF(ROUND($G1661,0)&gt;0,"بدهکار",IF(ROUND($G1661,0)&lt;0,"بستانکار","تسویه")))</f>
        <v/>
      </c>
    </row>
    <row r="1662">
      <c r="A1662" s="11">
        <f>IF($B1662="","",1653)</f>
        <v/>
      </c>
      <c r="B1662" s="12">
        <f>IF(518&gt;NLoanA,"",IFERROR(IF(VLOOKUP(INDEX(PkLoanA,518),AcctTblA,4,0)="","(بدون نام)",VLOOKUP(INDEX(PkLoanA,518),AcctTblA,4,0)),"—"))</f>
        <v/>
      </c>
      <c r="C1662" s="13">
        <f>IF($B1662="","",IF(518&gt;NLoanA,"",INDEX(PkLoanA,518)))</f>
        <v/>
      </c>
      <c r="D1662" s="12">
        <f>IF($B1662="","","l")</f>
        <v/>
      </c>
      <c r="E1662" s="14">
        <f>IF($B1662="","",IF(518&gt;NLoanA,0,SUMIF(CalcDebit,INDEX(PkLoanA,518),CalcAmt)+SUMIF(CalcDebit2,INDEX(PkLoanA,518),CalcAmt2)))</f>
        <v/>
      </c>
      <c r="F1662" s="14">
        <f>IF($B1662="","",IF(518&gt;NLoanA,0,SUMIF(CalcCredit,INDEX(PkLoanA,518),CalcAmt)+SUMIF(CalcCredit2,INDEX(PkLoanA,518),CalcAmt2)))</f>
        <v/>
      </c>
      <c r="G1662" s="15">
        <f>IF($B1662="","",ROUND($E1662-$F1662,0))</f>
        <v/>
      </c>
      <c r="H1662" s="12">
        <f>IF($B1662="","",IF(ROUND($G1662,0)&gt;0,"بدهکار",IF(ROUND($G1662,0)&lt;0,"بستانکار","تسویه")))</f>
        <v/>
      </c>
    </row>
    <row r="1663">
      <c r="A1663" s="16">
        <f>IF($B1663="","",1654)</f>
        <v/>
      </c>
      <c r="B1663" s="17">
        <f>IF(519&gt;NLoanA,"",IFERROR(IF(VLOOKUP(INDEX(PkLoanA,519),AcctTblA,4,0)="","(بدون نام)",VLOOKUP(INDEX(PkLoanA,519),AcctTblA,4,0)),"—"))</f>
        <v/>
      </c>
      <c r="C1663" s="18">
        <f>IF($B1663="","",IF(519&gt;NLoanA,"",INDEX(PkLoanA,519)))</f>
        <v/>
      </c>
      <c r="D1663" s="17">
        <f>IF($B1663="","","l")</f>
        <v/>
      </c>
      <c r="E1663" s="19">
        <f>IF($B1663="","",IF(519&gt;NLoanA,0,SUMIF(CalcDebit,INDEX(PkLoanA,519),CalcAmt)+SUMIF(CalcDebit2,INDEX(PkLoanA,519),CalcAmt2)))</f>
        <v/>
      </c>
      <c r="F1663" s="19">
        <f>IF($B1663="","",IF(519&gt;NLoanA,0,SUMIF(CalcCredit,INDEX(PkLoanA,519),CalcAmt)+SUMIF(CalcCredit2,INDEX(PkLoanA,519),CalcAmt2)))</f>
        <v/>
      </c>
      <c r="G1663" s="20">
        <f>IF($B1663="","",ROUND($E1663-$F1663,0))</f>
        <v/>
      </c>
      <c r="H1663" s="17">
        <f>IF($B1663="","",IF(ROUND($G1663,0)&gt;0,"بدهکار",IF(ROUND($G1663,0)&lt;0,"بستانکار","تسویه")))</f>
        <v/>
      </c>
    </row>
    <row r="1664">
      <c r="A1664" s="11">
        <f>IF($B1664="","",1655)</f>
        <v/>
      </c>
      <c r="B1664" s="12">
        <f>IF(520&gt;NLoanA,"",IFERROR(IF(VLOOKUP(INDEX(PkLoanA,520),AcctTblA,4,0)="","(بدون نام)",VLOOKUP(INDEX(PkLoanA,520),AcctTblA,4,0)),"—"))</f>
        <v/>
      </c>
      <c r="C1664" s="13">
        <f>IF($B1664="","",IF(520&gt;NLoanA,"",INDEX(PkLoanA,520)))</f>
        <v/>
      </c>
      <c r="D1664" s="12">
        <f>IF($B1664="","","l")</f>
        <v/>
      </c>
      <c r="E1664" s="14">
        <f>IF($B1664="","",IF(520&gt;NLoanA,0,SUMIF(CalcDebit,INDEX(PkLoanA,520),CalcAmt)+SUMIF(CalcDebit2,INDEX(PkLoanA,520),CalcAmt2)))</f>
        <v/>
      </c>
      <c r="F1664" s="14">
        <f>IF($B1664="","",IF(520&gt;NLoanA,0,SUMIF(CalcCredit,INDEX(PkLoanA,520),CalcAmt)+SUMIF(CalcCredit2,INDEX(PkLoanA,520),CalcAmt2)))</f>
        <v/>
      </c>
      <c r="G1664" s="15">
        <f>IF($B1664="","",ROUND($E1664-$F1664,0))</f>
        <v/>
      </c>
      <c r="H1664" s="12">
        <f>IF($B1664="","",IF(ROUND($G1664,0)&gt;0,"بدهکار",IF(ROUND($G1664,0)&lt;0,"بستانکار","تسویه")))</f>
        <v/>
      </c>
    </row>
    <row r="1665">
      <c r="A1665" s="16">
        <f>IF($B1665="","",1656)</f>
        <v/>
      </c>
      <c r="B1665" s="17">
        <f>IF(521&gt;NLoanA,"",IFERROR(IF(VLOOKUP(INDEX(PkLoanA,521),AcctTblA,4,0)="","(بدون نام)",VLOOKUP(INDEX(PkLoanA,521),AcctTblA,4,0)),"—"))</f>
        <v/>
      </c>
      <c r="C1665" s="18">
        <f>IF($B1665="","",IF(521&gt;NLoanA,"",INDEX(PkLoanA,521)))</f>
        <v/>
      </c>
      <c r="D1665" s="17">
        <f>IF($B1665="","","l")</f>
        <v/>
      </c>
      <c r="E1665" s="19">
        <f>IF($B1665="","",IF(521&gt;NLoanA,0,SUMIF(CalcDebit,INDEX(PkLoanA,521),CalcAmt)+SUMIF(CalcDebit2,INDEX(PkLoanA,521),CalcAmt2)))</f>
        <v/>
      </c>
      <c r="F1665" s="19">
        <f>IF($B1665="","",IF(521&gt;NLoanA,0,SUMIF(CalcCredit,INDEX(PkLoanA,521),CalcAmt)+SUMIF(CalcCredit2,INDEX(PkLoanA,521),CalcAmt2)))</f>
        <v/>
      </c>
      <c r="G1665" s="20">
        <f>IF($B1665="","",ROUND($E1665-$F1665,0))</f>
        <v/>
      </c>
      <c r="H1665" s="17">
        <f>IF($B1665="","",IF(ROUND($G1665,0)&gt;0,"بدهکار",IF(ROUND($G1665,0)&lt;0,"بستانکار","تسویه")))</f>
        <v/>
      </c>
    </row>
    <row r="1666">
      <c r="A1666" s="11">
        <f>IF($B1666="","",1657)</f>
        <v/>
      </c>
      <c r="B1666" s="12">
        <f>IF(522&gt;NLoanA,"",IFERROR(IF(VLOOKUP(INDEX(PkLoanA,522),AcctTblA,4,0)="","(بدون نام)",VLOOKUP(INDEX(PkLoanA,522),AcctTblA,4,0)),"—"))</f>
        <v/>
      </c>
      <c r="C1666" s="13">
        <f>IF($B1666="","",IF(522&gt;NLoanA,"",INDEX(PkLoanA,522)))</f>
        <v/>
      </c>
      <c r="D1666" s="12">
        <f>IF($B1666="","","l")</f>
        <v/>
      </c>
      <c r="E1666" s="14">
        <f>IF($B1666="","",IF(522&gt;NLoanA,0,SUMIF(CalcDebit,INDEX(PkLoanA,522),CalcAmt)+SUMIF(CalcDebit2,INDEX(PkLoanA,522),CalcAmt2)))</f>
        <v/>
      </c>
      <c r="F1666" s="14">
        <f>IF($B1666="","",IF(522&gt;NLoanA,0,SUMIF(CalcCredit,INDEX(PkLoanA,522),CalcAmt)+SUMIF(CalcCredit2,INDEX(PkLoanA,522),CalcAmt2)))</f>
        <v/>
      </c>
      <c r="G1666" s="15">
        <f>IF($B1666="","",ROUND($E1666-$F1666,0))</f>
        <v/>
      </c>
      <c r="H1666" s="12">
        <f>IF($B1666="","",IF(ROUND($G1666,0)&gt;0,"بدهکار",IF(ROUND($G1666,0)&lt;0,"بستانکار","تسویه")))</f>
        <v/>
      </c>
    </row>
    <row r="1667">
      <c r="A1667" s="16">
        <f>IF($B1667="","",1658)</f>
        <v/>
      </c>
      <c r="B1667" s="17">
        <f>IF(523&gt;NLoanA,"",IFERROR(IF(VLOOKUP(INDEX(PkLoanA,523),AcctTblA,4,0)="","(بدون نام)",VLOOKUP(INDEX(PkLoanA,523),AcctTblA,4,0)),"—"))</f>
        <v/>
      </c>
      <c r="C1667" s="18">
        <f>IF($B1667="","",IF(523&gt;NLoanA,"",INDEX(PkLoanA,523)))</f>
        <v/>
      </c>
      <c r="D1667" s="17">
        <f>IF($B1667="","","l")</f>
        <v/>
      </c>
      <c r="E1667" s="19">
        <f>IF($B1667="","",IF(523&gt;NLoanA,0,SUMIF(CalcDebit,INDEX(PkLoanA,523),CalcAmt)+SUMIF(CalcDebit2,INDEX(PkLoanA,523),CalcAmt2)))</f>
        <v/>
      </c>
      <c r="F1667" s="19">
        <f>IF($B1667="","",IF(523&gt;NLoanA,0,SUMIF(CalcCredit,INDEX(PkLoanA,523),CalcAmt)+SUMIF(CalcCredit2,INDEX(PkLoanA,523),CalcAmt2)))</f>
        <v/>
      </c>
      <c r="G1667" s="20">
        <f>IF($B1667="","",ROUND($E1667-$F1667,0))</f>
        <v/>
      </c>
      <c r="H1667" s="17">
        <f>IF($B1667="","",IF(ROUND($G1667,0)&gt;0,"بدهکار",IF(ROUND($G1667,0)&lt;0,"بستانکار","تسویه")))</f>
        <v/>
      </c>
    </row>
    <row r="1668">
      <c r="A1668" s="11">
        <f>IF($B1668="","",1659)</f>
        <v/>
      </c>
      <c r="B1668" s="12">
        <f>IF(524&gt;NLoanA,"",IFERROR(IF(VLOOKUP(INDEX(PkLoanA,524),AcctTblA,4,0)="","(بدون نام)",VLOOKUP(INDEX(PkLoanA,524),AcctTblA,4,0)),"—"))</f>
        <v/>
      </c>
      <c r="C1668" s="13">
        <f>IF($B1668="","",IF(524&gt;NLoanA,"",INDEX(PkLoanA,524)))</f>
        <v/>
      </c>
      <c r="D1668" s="12">
        <f>IF($B1668="","","l")</f>
        <v/>
      </c>
      <c r="E1668" s="14">
        <f>IF($B1668="","",IF(524&gt;NLoanA,0,SUMIF(CalcDebit,INDEX(PkLoanA,524),CalcAmt)+SUMIF(CalcDebit2,INDEX(PkLoanA,524),CalcAmt2)))</f>
        <v/>
      </c>
      <c r="F1668" s="14">
        <f>IF($B1668="","",IF(524&gt;NLoanA,0,SUMIF(CalcCredit,INDEX(PkLoanA,524),CalcAmt)+SUMIF(CalcCredit2,INDEX(PkLoanA,524),CalcAmt2)))</f>
        <v/>
      </c>
      <c r="G1668" s="15">
        <f>IF($B1668="","",ROUND($E1668-$F1668,0))</f>
        <v/>
      </c>
      <c r="H1668" s="12">
        <f>IF($B1668="","",IF(ROUND($G1668,0)&gt;0,"بدهکار",IF(ROUND($G1668,0)&lt;0,"بستانکار","تسویه")))</f>
        <v/>
      </c>
    </row>
    <row r="1669">
      <c r="A1669" s="16">
        <f>IF($B1669="","",1660)</f>
        <v/>
      </c>
      <c r="B1669" s="17">
        <f>IF(525&gt;NLoanA,"",IFERROR(IF(VLOOKUP(INDEX(PkLoanA,525),AcctTblA,4,0)="","(بدون نام)",VLOOKUP(INDEX(PkLoanA,525),AcctTblA,4,0)),"—"))</f>
        <v/>
      </c>
      <c r="C1669" s="18">
        <f>IF($B1669="","",IF(525&gt;NLoanA,"",INDEX(PkLoanA,525)))</f>
        <v/>
      </c>
      <c r="D1669" s="17">
        <f>IF($B1669="","","l")</f>
        <v/>
      </c>
      <c r="E1669" s="19">
        <f>IF($B1669="","",IF(525&gt;NLoanA,0,SUMIF(CalcDebit,INDEX(PkLoanA,525),CalcAmt)+SUMIF(CalcDebit2,INDEX(PkLoanA,525),CalcAmt2)))</f>
        <v/>
      </c>
      <c r="F1669" s="19">
        <f>IF($B1669="","",IF(525&gt;NLoanA,0,SUMIF(CalcCredit,INDEX(PkLoanA,525),CalcAmt)+SUMIF(CalcCredit2,INDEX(PkLoanA,525),CalcAmt2)))</f>
        <v/>
      </c>
      <c r="G1669" s="20">
        <f>IF($B1669="","",ROUND($E1669-$F1669,0))</f>
        <v/>
      </c>
      <c r="H1669" s="17">
        <f>IF($B1669="","",IF(ROUND($G1669,0)&gt;0,"بدهکار",IF(ROUND($G1669,0)&lt;0,"بستانکار","تسویه")))</f>
        <v/>
      </c>
    </row>
    <row r="1670">
      <c r="A1670" s="11">
        <f>IF($B1670="","",1661)</f>
        <v/>
      </c>
      <c r="B1670" s="12">
        <f>IF(526&gt;NLoanA,"",IFERROR(IF(VLOOKUP(INDEX(PkLoanA,526),AcctTblA,4,0)="","(بدون نام)",VLOOKUP(INDEX(PkLoanA,526),AcctTblA,4,0)),"—"))</f>
        <v/>
      </c>
      <c r="C1670" s="13">
        <f>IF($B1670="","",IF(526&gt;NLoanA,"",INDEX(PkLoanA,526)))</f>
        <v/>
      </c>
      <c r="D1670" s="12">
        <f>IF($B1670="","","l")</f>
        <v/>
      </c>
      <c r="E1670" s="14">
        <f>IF($B1670="","",IF(526&gt;NLoanA,0,SUMIF(CalcDebit,INDEX(PkLoanA,526),CalcAmt)+SUMIF(CalcDebit2,INDEX(PkLoanA,526),CalcAmt2)))</f>
        <v/>
      </c>
      <c r="F1670" s="14">
        <f>IF($B1670="","",IF(526&gt;NLoanA,0,SUMIF(CalcCredit,INDEX(PkLoanA,526),CalcAmt)+SUMIF(CalcCredit2,INDEX(PkLoanA,526),CalcAmt2)))</f>
        <v/>
      </c>
      <c r="G1670" s="15">
        <f>IF($B1670="","",ROUND($E1670-$F1670,0))</f>
        <v/>
      </c>
      <c r="H1670" s="12">
        <f>IF($B1670="","",IF(ROUND($G1670,0)&gt;0,"بدهکار",IF(ROUND($G1670,0)&lt;0,"بستانکار","تسویه")))</f>
        <v/>
      </c>
    </row>
    <row r="1671">
      <c r="A1671" s="16">
        <f>IF($B1671="","",1662)</f>
        <v/>
      </c>
      <c r="B1671" s="17">
        <f>IF(527&gt;NLoanA,"",IFERROR(IF(VLOOKUP(INDEX(PkLoanA,527),AcctTblA,4,0)="","(بدون نام)",VLOOKUP(INDEX(PkLoanA,527),AcctTblA,4,0)),"—"))</f>
        <v/>
      </c>
      <c r="C1671" s="18">
        <f>IF($B1671="","",IF(527&gt;NLoanA,"",INDEX(PkLoanA,527)))</f>
        <v/>
      </c>
      <c r="D1671" s="17">
        <f>IF($B1671="","","l")</f>
        <v/>
      </c>
      <c r="E1671" s="19">
        <f>IF($B1671="","",IF(527&gt;NLoanA,0,SUMIF(CalcDebit,INDEX(PkLoanA,527),CalcAmt)+SUMIF(CalcDebit2,INDEX(PkLoanA,527),CalcAmt2)))</f>
        <v/>
      </c>
      <c r="F1671" s="19">
        <f>IF($B1671="","",IF(527&gt;NLoanA,0,SUMIF(CalcCredit,INDEX(PkLoanA,527),CalcAmt)+SUMIF(CalcCredit2,INDEX(PkLoanA,527),CalcAmt2)))</f>
        <v/>
      </c>
      <c r="G1671" s="20">
        <f>IF($B1671="","",ROUND($E1671-$F1671,0))</f>
        <v/>
      </c>
      <c r="H1671" s="17">
        <f>IF($B1671="","",IF(ROUND($G1671,0)&gt;0,"بدهکار",IF(ROUND($G1671,0)&lt;0,"بستانکار","تسویه")))</f>
        <v/>
      </c>
    </row>
    <row r="1672">
      <c r="A1672" s="11">
        <f>IF($B1672="","",1663)</f>
        <v/>
      </c>
      <c r="B1672" s="12">
        <f>IF(528&gt;NLoanA,"",IFERROR(IF(VLOOKUP(INDEX(PkLoanA,528),AcctTblA,4,0)="","(بدون نام)",VLOOKUP(INDEX(PkLoanA,528),AcctTblA,4,0)),"—"))</f>
        <v/>
      </c>
      <c r="C1672" s="13">
        <f>IF($B1672="","",IF(528&gt;NLoanA,"",INDEX(PkLoanA,528)))</f>
        <v/>
      </c>
      <c r="D1672" s="12">
        <f>IF($B1672="","","l")</f>
        <v/>
      </c>
      <c r="E1672" s="14">
        <f>IF($B1672="","",IF(528&gt;NLoanA,0,SUMIF(CalcDebit,INDEX(PkLoanA,528),CalcAmt)+SUMIF(CalcDebit2,INDEX(PkLoanA,528),CalcAmt2)))</f>
        <v/>
      </c>
      <c r="F1672" s="14">
        <f>IF($B1672="","",IF(528&gt;NLoanA,0,SUMIF(CalcCredit,INDEX(PkLoanA,528),CalcAmt)+SUMIF(CalcCredit2,INDEX(PkLoanA,528),CalcAmt2)))</f>
        <v/>
      </c>
      <c r="G1672" s="15">
        <f>IF($B1672="","",ROUND($E1672-$F1672,0))</f>
        <v/>
      </c>
      <c r="H1672" s="12">
        <f>IF($B1672="","",IF(ROUND($G1672,0)&gt;0,"بدهکار",IF(ROUND($G1672,0)&lt;0,"بستانکار","تسویه")))</f>
        <v/>
      </c>
    </row>
    <row r="1673">
      <c r="A1673" s="16">
        <f>IF($B1673="","",1664)</f>
        <v/>
      </c>
      <c r="B1673" s="17">
        <f>IF(529&gt;NLoanA,"",IFERROR(IF(VLOOKUP(INDEX(PkLoanA,529),AcctTblA,4,0)="","(بدون نام)",VLOOKUP(INDEX(PkLoanA,529),AcctTblA,4,0)),"—"))</f>
        <v/>
      </c>
      <c r="C1673" s="18">
        <f>IF($B1673="","",IF(529&gt;NLoanA,"",INDEX(PkLoanA,529)))</f>
        <v/>
      </c>
      <c r="D1673" s="17">
        <f>IF($B1673="","","l")</f>
        <v/>
      </c>
      <c r="E1673" s="19">
        <f>IF($B1673="","",IF(529&gt;NLoanA,0,SUMIF(CalcDebit,INDEX(PkLoanA,529),CalcAmt)+SUMIF(CalcDebit2,INDEX(PkLoanA,529),CalcAmt2)))</f>
        <v/>
      </c>
      <c r="F1673" s="19">
        <f>IF($B1673="","",IF(529&gt;NLoanA,0,SUMIF(CalcCredit,INDEX(PkLoanA,529),CalcAmt)+SUMIF(CalcCredit2,INDEX(PkLoanA,529),CalcAmt2)))</f>
        <v/>
      </c>
      <c r="G1673" s="20">
        <f>IF($B1673="","",ROUND($E1673-$F1673,0))</f>
        <v/>
      </c>
      <c r="H1673" s="17">
        <f>IF($B1673="","",IF(ROUND($G1673,0)&gt;0,"بدهکار",IF(ROUND($G1673,0)&lt;0,"بستانکار","تسویه")))</f>
        <v/>
      </c>
    </row>
    <row r="1674">
      <c r="A1674" s="11">
        <f>IF($B1674="","",1665)</f>
        <v/>
      </c>
      <c r="B1674" s="12">
        <f>IF(530&gt;NLoanA,"",IFERROR(IF(VLOOKUP(INDEX(PkLoanA,530),AcctTblA,4,0)="","(بدون نام)",VLOOKUP(INDEX(PkLoanA,530),AcctTblA,4,0)),"—"))</f>
        <v/>
      </c>
      <c r="C1674" s="13">
        <f>IF($B1674="","",IF(530&gt;NLoanA,"",INDEX(PkLoanA,530)))</f>
        <v/>
      </c>
      <c r="D1674" s="12">
        <f>IF($B1674="","","l")</f>
        <v/>
      </c>
      <c r="E1674" s="14">
        <f>IF($B1674="","",IF(530&gt;NLoanA,0,SUMIF(CalcDebit,INDEX(PkLoanA,530),CalcAmt)+SUMIF(CalcDebit2,INDEX(PkLoanA,530),CalcAmt2)))</f>
        <v/>
      </c>
      <c r="F1674" s="14">
        <f>IF($B1674="","",IF(530&gt;NLoanA,0,SUMIF(CalcCredit,INDEX(PkLoanA,530),CalcAmt)+SUMIF(CalcCredit2,INDEX(PkLoanA,530),CalcAmt2)))</f>
        <v/>
      </c>
      <c r="G1674" s="15">
        <f>IF($B1674="","",ROUND($E1674-$F1674,0))</f>
        <v/>
      </c>
      <c r="H1674" s="12">
        <f>IF($B1674="","",IF(ROUND($G1674,0)&gt;0,"بدهکار",IF(ROUND($G1674,0)&lt;0,"بستانکار","تسویه")))</f>
        <v/>
      </c>
    </row>
    <row r="1675">
      <c r="A1675" s="16">
        <f>IF($B1675="","",1666)</f>
        <v/>
      </c>
      <c r="B1675" s="17">
        <f>IF(531&gt;NLoanA,"",IFERROR(IF(VLOOKUP(INDEX(PkLoanA,531),AcctTblA,4,0)="","(بدون نام)",VLOOKUP(INDEX(PkLoanA,531),AcctTblA,4,0)),"—"))</f>
        <v/>
      </c>
      <c r="C1675" s="18">
        <f>IF($B1675="","",IF(531&gt;NLoanA,"",INDEX(PkLoanA,531)))</f>
        <v/>
      </c>
      <c r="D1675" s="17">
        <f>IF($B1675="","","l")</f>
        <v/>
      </c>
      <c r="E1675" s="19">
        <f>IF($B1675="","",IF(531&gt;NLoanA,0,SUMIF(CalcDebit,INDEX(PkLoanA,531),CalcAmt)+SUMIF(CalcDebit2,INDEX(PkLoanA,531),CalcAmt2)))</f>
        <v/>
      </c>
      <c r="F1675" s="19">
        <f>IF($B1675="","",IF(531&gt;NLoanA,0,SUMIF(CalcCredit,INDEX(PkLoanA,531),CalcAmt)+SUMIF(CalcCredit2,INDEX(PkLoanA,531),CalcAmt2)))</f>
        <v/>
      </c>
      <c r="G1675" s="20">
        <f>IF($B1675="","",ROUND($E1675-$F1675,0))</f>
        <v/>
      </c>
      <c r="H1675" s="17">
        <f>IF($B1675="","",IF(ROUND($G1675,0)&gt;0,"بدهکار",IF(ROUND($G1675,0)&lt;0,"بستانکار","تسویه")))</f>
        <v/>
      </c>
    </row>
    <row r="1676">
      <c r="A1676" s="11">
        <f>IF($B1676="","",1667)</f>
        <v/>
      </c>
      <c r="B1676" s="12">
        <f>IF(532&gt;NLoanA,"",IFERROR(IF(VLOOKUP(INDEX(PkLoanA,532),AcctTblA,4,0)="","(بدون نام)",VLOOKUP(INDEX(PkLoanA,532),AcctTblA,4,0)),"—"))</f>
        <v/>
      </c>
      <c r="C1676" s="13">
        <f>IF($B1676="","",IF(532&gt;NLoanA,"",INDEX(PkLoanA,532)))</f>
        <v/>
      </c>
      <c r="D1676" s="12">
        <f>IF($B1676="","","l")</f>
        <v/>
      </c>
      <c r="E1676" s="14">
        <f>IF($B1676="","",IF(532&gt;NLoanA,0,SUMIF(CalcDebit,INDEX(PkLoanA,532),CalcAmt)+SUMIF(CalcDebit2,INDEX(PkLoanA,532),CalcAmt2)))</f>
        <v/>
      </c>
      <c r="F1676" s="14">
        <f>IF($B1676="","",IF(532&gt;NLoanA,0,SUMIF(CalcCredit,INDEX(PkLoanA,532),CalcAmt)+SUMIF(CalcCredit2,INDEX(PkLoanA,532),CalcAmt2)))</f>
        <v/>
      </c>
      <c r="G1676" s="15">
        <f>IF($B1676="","",ROUND($E1676-$F1676,0))</f>
        <v/>
      </c>
      <c r="H1676" s="12">
        <f>IF($B1676="","",IF(ROUND($G1676,0)&gt;0,"بدهکار",IF(ROUND($G1676,0)&lt;0,"بستانکار","تسویه")))</f>
        <v/>
      </c>
    </row>
    <row r="1677">
      <c r="A1677" s="16">
        <f>IF($B1677="","",1668)</f>
        <v/>
      </c>
      <c r="B1677" s="17">
        <f>IF(533&gt;NLoanA,"",IFERROR(IF(VLOOKUP(INDEX(PkLoanA,533),AcctTblA,4,0)="","(بدون نام)",VLOOKUP(INDEX(PkLoanA,533),AcctTblA,4,0)),"—"))</f>
        <v/>
      </c>
      <c r="C1677" s="18">
        <f>IF($B1677="","",IF(533&gt;NLoanA,"",INDEX(PkLoanA,533)))</f>
        <v/>
      </c>
      <c r="D1677" s="17">
        <f>IF($B1677="","","l")</f>
        <v/>
      </c>
      <c r="E1677" s="19">
        <f>IF($B1677="","",IF(533&gt;NLoanA,0,SUMIF(CalcDebit,INDEX(PkLoanA,533),CalcAmt)+SUMIF(CalcDebit2,INDEX(PkLoanA,533),CalcAmt2)))</f>
        <v/>
      </c>
      <c r="F1677" s="19">
        <f>IF($B1677="","",IF(533&gt;NLoanA,0,SUMIF(CalcCredit,INDEX(PkLoanA,533),CalcAmt)+SUMIF(CalcCredit2,INDEX(PkLoanA,533),CalcAmt2)))</f>
        <v/>
      </c>
      <c r="G1677" s="20">
        <f>IF($B1677="","",ROUND($E1677-$F1677,0))</f>
        <v/>
      </c>
      <c r="H1677" s="17">
        <f>IF($B1677="","",IF(ROUND($G1677,0)&gt;0,"بدهکار",IF(ROUND($G1677,0)&lt;0,"بستانکار","تسویه")))</f>
        <v/>
      </c>
    </row>
    <row r="1678">
      <c r="A1678" s="11">
        <f>IF($B1678="","",1669)</f>
        <v/>
      </c>
      <c r="B1678" s="12">
        <f>IF(534&gt;NLoanA,"",IFERROR(IF(VLOOKUP(INDEX(PkLoanA,534),AcctTblA,4,0)="","(بدون نام)",VLOOKUP(INDEX(PkLoanA,534),AcctTblA,4,0)),"—"))</f>
        <v/>
      </c>
      <c r="C1678" s="13">
        <f>IF($B1678="","",IF(534&gt;NLoanA,"",INDEX(PkLoanA,534)))</f>
        <v/>
      </c>
      <c r="D1678" s="12">
        <f>IF($B1678="","","l")</f>
        <v/>
      </c>
      <c r="E1678" s="14">
        <f>IF($B1678="","",IF(534&gt;NLoanA,0,SUMIF(CalcDebit,INDEX(PkLoanA,534),CalcAmt)+SUMIF(CalcDebit2,INDEX(PkLoanA,534),CalcAmt2)))</f>
        <v/>
      </c>
      <c r="F1678" s="14">
        <f>IF($B1678="","",IF(534&gt;NLoanA,0,SUMIF(CalcCredit,INDEX(PkLoanA,534),CalcAmt)+SUMIF(CalcCredit2,INDEX(PkLoanA,534),CalcAmt2)))</f>
        <v/>
      </c>
      <c r="G1678" s="15">
        <f>IF($B1678="","",ROUND($E1678-$F1678,0))</f>
        <v/>
      </c>
      <c r="H1678" s="12">
        <f>IF($B1678="","",IF(ROUND($G1678,0)&gt;0,"بدهکار",IF(ROUND($G1678,0)&lt;0,"بستانکار","تسویه")))</f>
        <v/>
      </c>
    </row>
    <row r="1679">
      <c r="A1679" s="16">
        <f>IF($B1679="","",1670)</f>
        <v/>
      </c>
      <c r="B1679" s="17">
        <f>IF(535&gt;NLoanA,"",IFERROR(IF(VLOOKUP(INDEX(PkLoanA,535),AcctTblA,4,0)="","(بدون نام)",VLOOKUP(INDEX(PkLoanA,535),AcctTblA,4,0)),"—"))</f>
        <v/>
      </c>
      <c r="C1679" s="18">
        <f>IF($B1679="","",IF(535&gt;NLoanA,"",INDEX(PkLoanA,535)))</f>
        <v/>
      </c>
      <c r="D1679" s="17">
        <f>IF($B1679="","","l")</f>
        <v/>
      </c>
      <c r="E1679" s="19">
        <f>IF($B1679="","",IF(535&gt;NLoanA,0,SUMIF(CalcDebit,INDEX(PkLoanA,535),CalcAmt)+SUMIF(CalcDebit2,INDEX(PkLoanA,535),CalcAmt2)))</f>
        <v/>
      </c>
      <c r="F1679" s="19">
        <f>IF($B1679="","",IF(535&gt;NLoanA,0,SUMIF(CalcCredit,INDEX(PkLoanA,535),CalcAmt)+SUMIF(CalcCredit2,INDEX(PkLoanA,535),CalcAmt2)))</f>
        <v/>
      </c>
      <c r="G1679" s="20">
        <f>IF($B1679="","",ROUND($E1679-$F1679,0))</f>
        <v/>
      </c>
      <c r="H1679" s="17">
        <f>IF($B1679="","",IF(ROUND($G1679,0)&gt;0,"بدهکار",IF(ROUND($G1679,0)&lt;0,"بستانکار","تسویه")))</f>
        <v/>
      </c>
    </row>
    <row r="1680">
      <c r="A1680" s="11">
        <f>IF($B1680="","",1671)</f>
        <v/>
      </c>
      <c r="B1680" s="12">
        <f>IF(536&gt;NLoanA,"",IFERROR(IF(VLOOKUP(INDEX(PkLoanA,536),AcctTblA,4,0)="","(بدون نام)",VLOOKUP(INDEX(PkLoanA,536),AcctTblA,4,0)),"—"))</f>
        <v/>
      </c>
      <c r="C1680" s="13">
        <f>IF($B1680="","",IF(536&gt;NLoanA,"",INDEX(PkLoanA,536)))</f>
        <v/>
      </c>
      <c r="D1680" s="12">
        <f>IF($B1680="","","l")</f>
        <v/>
      </c>
      <c r="E1680" s="14">
        <f>IF($B1680="","",IF(536&gt;NLoanA,0,SUMIF(CalcDebit,INDEX(PkLoanA,536),CalcAmt)+SUMIF(CalcDebit2,INDEX(PkLoanA,536),CalcAmt2)))</f>
        <v/>
      </c>
      <c r="F1680" s="14">
        <f>IF($B1680="","",IF(536&gt;NLoanA,0,SUMIF(CalcCredit,INDEX(PkLoanA,536),CalcAmt)+SUMIF(CalcCredit2,INDEX(PkLoanA,536),CalcAmt2)))</f>
        <v/>
      </c>
      <c r="G1680" s="15">
        <f>IF($B1680="","",ROUND($E1680-$F1680,0))</f>
        <v/>
      </c>
      <c r="H1680" s="12">
        <f>IF($B1680="","",IF(ROUND($G1680,0)&gt;0,"بدهکار",IF(ROUND($G1680,0)&lt;0,"بستانکار","تسویه")))</f>
        <v/>
      </c>
    </row>
    <row r="1681">
      <c r="A1681" s="16">
        <f>IF($B1681="","",1672)</f>
        <v/>
      </c>
      <c r="B1681" s="17">
        <f>IF(537&gt;NLoanA,"",IFERROR(IF(VLOOKUP(INDEX(PkLoanA,537),AcctTblA,4,0)="","(بدون نام)",VLOOKUP(INDEX(PkLoanA,537),AcctTblA,4,0)),"—"))</f>
        <v/>
      </c>
      <c r="C1681" s="18">
        <f>IF($B1681="","",IF(537&gt;NLoanA,"",INDEX(PkLoanA,537)))</f>
        <v/>
      </c>
      <c r="D1681" s="17">
        <f>IF($B1681="","","l")</f>
        <v/>
      </c>
      <c r="E1681" s="19">
        <f>IF($B1681="","",IF(537&gt;NLoanA,0,SUMIF(CalcDebit,INDEX(PkLoanA,537),CalcAmt)+SUMIF(CalcDebit2,INDEX(PkLoanA,537),CalcAmt2)))</f>
        <v/>
      </c>
      <c r="F1681" s="19">
        <f>IF($B1681="","",IF(537&gt;NLoanA,0,SUMIF(CalcCredit,INDEX(PkLoanA,537),CalcAmt)+SUMIF(CalcCredit2,INDEX(PkLoanA,537),CalcAmt2)))</f>
        <v/>
      </c>
      <c r="G1681" s="20">
        <f>IF($B1681="","",ROUND($E1681-$F1681,0))</f>
        <v/>
      </c>
      <c r="H1681" s="17">
        <f>IF($B1681="","",IF(ROUND($G1681,0)&gt;0,"بدهکار",IF(ROUND($G1681,0)&lt;0,"بستانکار","تسویه")))</f>
        <v/>
      </c>
    </row>
    <row r="1682">
      <c r="A1682" s="11">
        <f>IF($B1682="","",1673)</f>
        <v/>
      </c>
      <c r="B1682" s="12">
        <f>IF(538&gt;NLoanA,"",IFERROR(IF(VLOOKUP(INDEX(PkLoanA,538),AcctTblA,4,0)="","(بدون نام)",VLOOKUP(INDEX(PkLoanA,538),AcctTblA,4,0)),"—"))</f>
        <v/>
      </c>
      <c r="C1682" s="13">
        <f>IF($B1682="","",IF(538&gt;NLoanA,"",INDEX(PkLoanA,538)))</f>
        <v/>
      </c>
      <c r="D1682" s="12">
        <f>IF($B1682="","","l")</f>
        <v/>
      </c>
      <c r="E1682" s="14">
        <f>IF($B1682="","",IF(538&gt;NLoanA,0,SUMIF(CalcDebit,INDEX(PkLoanA,538),CalcAmt)+SUMIF(CalcDebit2,INDEX(PkLoanA,538),CalcAmt2)))</f>
        <v/>
      </c>
      <c r="F1682" s="14">
        <f>IF($B1682="","",IF(538&gt;NLoanA,0,SUMIF(CalcCredit,INDEX(PkLoanA,538),CalcAmt)+SUMIF(CalcCredit2,INDEX(PkLoanA,538),CalcAmt2)))</f>
        <v/>
      </c>
      <c r="G1682" s="15">
        <f>IF($B1682="","",ROUND($E1682-$F1682,0))</f>
        <v/>
      </c>
      <c r="H1682" s="12">
        <f>IF($B1682="","",IF(ROUND($G1682,0)&gt;0,"بدهکار",IF(ROUND($G1682,0)&lt;0,"بستانکار","تسویه")))</f>
        <v/>
      </c>
    </row>
    <row r="1683">
      <c r="A1683" s="16">
        <f>IF($B1683="","",1674)</f>
        <v/>
      </c>
      <c r="B1683" s="17">
        <f>IF(539&gt;NLoanA,"",IFERROR(IF(VLOOKUP(INDEX(PkLoanA,539),AcctTblA,4,0)="","(بدون نام)",VLOOKUP(INDEX(PkLoanA,539),AcctTblA,4,0)),"—"))</f>
        <v/>
      </c>
      <c r="C1683" s="18">
        <f>IF($B1683="","",IF(539&gt;NLoanA,"",INDEX(PkLoanA,539)))</f>
        <v/>
      </c>
      <c r="D1683" s="17">
        <f>IF($B1683="","","l")</f>
        <v/>
      </c>
      <c r="E1683" s="19">
        <f>IF($B1683="","",IF(539&gt;NLoanA,0,SUMIF(CalcDebit,INDEX(PkLoanA,539),CalcAmt)+SUMIF(CalcDebit2,INDEX(PkLoanA,539),CalcAmt2)))</f>
        <v/>
      </c>
      <c r="F1683" s="19">
        <f>IF($B1683="","",IF(539&gt;NLoanA,0,SUMIF(CalcCredit,INDEX(PkLoanA,539),CalcAmt)+SUMIF(CalcCredit2,INDEX(PkLoanA,539),CalcAmt2)))</f>
        <v/>
      </c>
      <c r="G1683" s="20">
        <f>IF($B1683="","",ROUND($E1683-$F1683,0))</f>
        <v/>
      </c>
      <c r="H1683" s="17">
        <f>IF($B1683="","",IF(ROUND($G1683,0)&gt;0,"بدهکار",IF(ROUND($G1683,0)&lt;0,"بستانکار","تسویه")))</f>
        <v/>
      </c>
    </row>
    <row r="1684">
      <c r="A1684" s="11">
        <f>IF($B1684="","",1675)</f>
        <v/>
      </c>
      <c r="B1684" s="12">
        <f>IF(540&gt;NLoanA,"",IFERROR(IF(VLOOKUP(INDEX(PkLoanA,540),AcctTblA,4,0)="","(بدون نام)",VLOOKUP(INDEX(PkLoanA,540),AcctTblA,4,0)),"—"))</f>
        <v/>
      </c>
      <c r="C1684" s="13">
        <f>IF($B1684="","",IF(540&gt;NLoanA,"",INDEX(PkLoanA,540)))</f>
        <v/>
      </c>
      <c r="D1684" s="12">
        <f>IF($B1684="","","l")</f>
        <v/>
      </c>
      <c r="E1684" s="14">
        <f>IF($B1684="","",IF(540&gt;NLoanA,0,SUMIF(CalcDebit,INDEX(PkLoanA,540),CalcAmt)+SUMIF(CalcDebit2,INDEX(PkLoanA,540),CalcAmt2)))</f>
        <v/>
      </c>
      <c r="F1684" s="14">
        <f>IF($B1684="","",IF(540&gt;NLoanA,0,SUMIF(CalcCredit,INDEX(PkLoanA,540),CalcAmt)+SUMIF(CalcCredit2,INDEX(PkLoanA,540),CalcAmt2)))</f>
        <v/>
      </c>
      <c r="G1684" s="15">
        <f>IF($B1684="","",ROUND($E1684-$F1684,0))</f>
        <v/>
      </c>
      <c r="H1684" s="12">
        <f>IF($B1684="","",IF(ROUND($G1684,0)&gt;0,"بدهکار",IF(ROUND($G1684,0)&lt;0,"بستانکار","تسویه")))</f>
        <v/>
      </c>
    </row>
    <row r="1685">
      <c r="A1685" s="16">
        <f>IF($B1685="","",1676)</f>
        <v/>
      </c>
      <c r="B1685" s="17">
        <f>IF(541&gt;NLoanA,"",IFERROR(IF(VLOOKUP(INDEX(PkLoanA,541),AcctTblA,4,0)="","(بدون نام)",VLOOKUP(INDEX(PkLoanA,541),AcctTblA,4,0)),"—"))</f>
        <v/>
      </c>
      <c r="C1685" s="18">
        <f>IF($B1685="","",IF(541&gt;NLoanA,"",INDEX(PkLoanA,541)))</f>
        <v/>
      </c>
      <c r="D1685" s="17">
        <f>IF($B1685="","","l")</f>
        <v/>
      </c>
      <c r="E1685" s="19">
        <f>IF($B1685="","",IF(541&gt;NLoanA,0,SUMIF(CalcDebit,INDEX(PkLoanA,541),CalcAmt)+SUMIF(CalcDebit2,INDEX(PkLoanA,541),CalcAmt2)))</f>
        <v/>
      </c>
      <c r="F1685" s="19">
        <f>IF($B1685="","",IF(541&gt;NLoanA,0,SUMIF(CalcCredit,INDEX(PkLoanA,541),CalcAmt)+SUMIF(CalcCredit2,INDEX(PkLoanA,541),CalcAmt2)))</f>
        <v/>
      </c>
      <c r="G1685" s="20">
        <f>IF($B1685="","",ROUND($E1685-$F1685,0))</f>
        <v/>
      </c>
      <c r="H1685" s="17">
        <f>IF($B1685="","",IF(ROUND($G1685,0)&gt;0,"بدهکار",IF(ROUND($G1685,0)&lt;0,"بستانکار","تسویه")))</f>
        <v/>
      </c>
    </row>
    <row r="1686">
      <c r="A1686" s="11">
        <f>IF($B1686="","",1677)</f>
        <v/>
      </c>
      <c r="B1686" s="12">
        <f>IF(542&gt;NLoanA,"",IFERROR(IF(VLOOKUP(INDEX(PkLoanA,542),AcctTblA,4,0)="","(بدون نام)",VLOOKUP(INDEX(PkLoanA,542),AcctTblA,4,0)),"—"))</f>
        <v/>
      </c>
      <c r="C1686" s="13">
        <f>IF($B1686="","",IF(542&gt;NLoanA,"",INDEX(PkLoanA,542)))</f>
        <v/>
      </c>
      <c r="D1686" s="12">
        <f>IF($B1686="","","l")</f>
        <v/>
      </c>
      <c r="E1686" s="14">
        <f>IF($B1686="","",IF(542&gt;NLoanA,0,SUMIF(CalcDebit,INDEX(PkLoanA,542),CalcAmt)+SUMIF(CalcDebit2,INDEX(PkLoanA,542),CalcAmt2)))</f>
        <v/>
      </c>
      <c r="F1686" s="14">
        <f>IF($B1686="","",IF(542&gt;NLoanA,0,SUMIF(CalcCredit,INDEX(PkLoanA,542),CalcAmt)+SUMIF(CalcCredit2,INDEX(PkLoanA,542),CalcAmt2)))</f>
        <v/>
      </c>
      <c r="G1686" s="15">
        <f>IF($B1686="","",ROUND($E1686-$F1686,0))</f>
        <v/>
      </c>
      <c r="H1686" s="12">
        <f>IF($B1686="","",IF(ROUND($G1686,0)&gt;0,"بدهکار",IF(ROUND($G1686,0)&lt;0,"بستانکار","تسویه")))</f>
        <v/>
      </c>
    </row>
    <row r="1687">
      <c r="A1687" s="16">
        <f>IF($B1687="","",1678)</f>
        <v/>
      </c>
      <c r="B1687" s="17">
        <f>IF(543&gt;NLoanA,"",IFERROR(IF(VLOOKUP(INDEX(PkLoanA,543),AcctTblA,4,0)="","(بدون نام)",VLOOKUP(INDEX(PkLoanA,543),AcctTblA,4,0)),"—"))</f>
        <v/>
      </c>
      <c r="C1687" s="18">
        <f>IF($B1687="","",IF(543&gt;NLoanA,"",INDEX(PkLoanA,543)))</f>
        <v/>
      </c>
      <c r="D1687" s="17">
        <f>IF($B1687="","","l")</f>
        <v/>
      </c>
      <c r="E1687" s="19">
        <f>IF($B1687="","",IF(543&gt;NLoanA,0,SUMIF(CalcDebit,INDEX(PkLoanA,543),CalcAmt)+SUMIF(CalcDebit2,INDEX(PkLoanA,543),CalcAmt2)))</f>
        <v/>
      </c>
      <c r="F1687" s="19">
        <f>IF($B1687="","",IF(543&gt;NLoanA,0,SUMIF(CalcCredit,INDEX(PkLoanA,543),CalcAmt)+SUMIF(CalcCredit2,INDEX(PkLoanA,543),CalcAmt2)))</f>
        <v/>
      </c>
      <c r="G1687" s="20">
        <f>IF($B1687="","",ROUND($E1687-$F1687,0))</f>
        <v/>
      </c>
      <c r="H1687" s="17">
        <f>IF($B1687="","",IF(ROUND($G1687,0)&gt;0,"بدهکار",IF(ROUND($G1687,0)&lt;0,"بستانکار","تسویه")))</f>
        <v/>
      </c>
    </row>
    <row r="1688">
      <c r="A1688" s="11">
        <f>IF($B1688="","",1679)</f>
        <v/>
      </c>
      <c r="B1688" s="12">
        <f>IF(544&gt;NLoanA,"",IFERROR(IF(VLOOKUP(INDEX(PkLoanA,544),AcctTblA,4,0)="","(بدون نام)",VLOOKUP(INDEX(PkLoanA,544),AcctTblA,4,0)),"—"))</f>
        <v/>
      </c>
      <c r="C1688" s="13">
        <f>IF($B1688="","",IF(544&gt;NLoanA,"",INDEX(PkLoanA,544)))</f>
        <v/>
      </c>
      <c r="D1688" s="12">
        <f>IF($B1688="","","l")</f>
        <v/>
      </c>
      <c r="E1688" s="14">
        <f>IF($B1688="","",IF(544&gt;NLoanA,0,SUMIF(CalcDebit,INDEX(PkLoanA,544),CalcAmt)+SUMIF(CalcDebit2,INDEX(PkLoanA,544),CalcAmt2)))</f>
        <v/>
      </c>
      <c r="F1688" s="14">
        <f>IF($B1688="","",IF(544&gt;NLoanA,0,SUMIF(CalcCredit,INDEX(PkLoanA,544),CalcAmt)+SUMIF(CalcCredit2,INDEX(PkLoanA,544),CalcAmt2)))</f>
        <v/>
      </c>
      <c r="G1688" s="15">
        <f>IF($B1688="","",ROUND($E1688-$F1688,0))</f>
        <v/>
      </c>
      <c r="H1688" s="12">
        <f>IF($B1688="","",IF(ROUND($G1688,0)&gt;0,"بدهکار",IF(ROUND($G1688,0)&lt;0,"بستانکار","تسویه")))</f>
        <v/>
      </c>
    </row>
    <row r="1689">
      <c r="A1689" s="16">
        <f>IF($B1689="","",1680)</f>
        <v/>
      </c>
      <c r="B1689" s="17">
        <f>IF(545&gt;NLoanA,"",IFERROR(IF(VLOOKUP(INDEX(PkLoanA,545),AcctTblA,4,0)="","(بدون نام)",VLOOKUP(INDEX(PkLoanA,545),AcctTblA,4,0)),"—"))</f>
        <v/>
      </c>
      <c r="C1689" s="18">
        <f>IF($B1689="","",IF(545&gt;NLoanA,"",INDEX(PkLoanA,545)))</f>
        <v/>
      </c>
      <c r="D1689" s="17">
        <f>IF($B1689="","","l")</f>
        <v/>
      </c>
      <c r="E1689" s="19">
        <f>IF($B1689="","",IF(545&gt;NLoanA,0,SUMIF(CalcDebit,INDEX(PkLoanA,545),CalcAmt)+SUMIF(CalcDebit2,INDEX(PkLoanA,545),CalcAmt2)))</f>
        <v/>
      </c>
      <c r="F1689" s="19">
        <f>IF($B1689="","",IF(545&gt;NLoanA,0,SUMIF(CalcCredit,INDEX(PkLoanA,545),CalcAmt)+SUMIF(CalcCredit2,INDEX(PkLoanA,545),CalcAmt2)))</f>
        <v/>
      </c>
      <c r="G1689" s="20">
        <f>IF($B1689="","",ROUND($E1689-$F1689,0))</f>
        <v/>
      </c>
      <c r="H1689" s="17">
        <f>IF($B1689="","",IF(ROUND($G1689,0)&gt;0,"بدهکار",IF(ROUND($G1689,0)&lt;0,"بستانکار","تسویه")))</f>
        <v/>
      </c>
    </row>
    <row r="1690">
      <c r="A1690" s="11">
        <f>IF($B1690="","",1681)</f>
        <v/>
      </c>
      <c r="B1690" s="12">
        <f>IF(546&gt;NLoanA,"",IFERROR(IF(VLOOKUP(INDEX(PkLoanA,546),AcctTblA,4,0)="","(بدون نام)",VLOOKUP(INDEX(PkLoanA,546),AcctTblA,4,0)),"—"))</f>
        <v/>
      </c>
      <c r="C1690" s="13">
        <f>IF($B1690="","",IF(546&gt;NLoanA,"",INDEX(PkLoanA,546)))</f>
        <v/>
      </c>
      <c r="D1690" s="12">
        <f>IF($B1690="","","l")</f>
        <v/>
      </c>
      <c r="E1690" s="14">
        <f>IF($B1690="","",IF(546&gt;NLoanA,0,SUMIF(CalcDebit,INDEX(PkLoanA,546),CalcAmt)+SUMIF(CalcDebit2,INDEX(PkLoanA,546),CalcAmt2)))</f>
        <v/>
      </c>
      <c r="F1690" s="14">
        <f>IF($B1690="","",IF(546&gt;NLoanA,0,SUMIF(CalcCredit,INDEX(PkLoanA,546),CalcAmt)+SUMIF(CalcCredit2,INDEX(PkLoanA,546),CalcAmt2)))</f>
        <v/>
      </c>
      <c r="G1690" s="15">
        <f>IF($B1690="","",ROUND($E1690-$F1690,0))</f>
        <v/>
      </c>
      <c r="H1690" s="12">
        <f>IF($B1690="","",IF(ROUND($G1690,0)&gt;0,"بدهکار",IF(ROUND($G1690,0)&lt;0,"بستانکار","تسویه")))</f>
        <v/>
      </c>
    </row>
    <row r="1691">
      <c r="A1691" s="16">
        <f>IF($B1691="","",1682)</f>
        <v/>
      </c>
      <c r="B1691" s="17">
        <f>IF(547&gt;NLoanA,"",IFERROR(IF(VLOOKUP(INDEX(PkLoanA,547),AcctTblA,4,0)="","(بدون نام)",VLOOKUP(INDEX(PkLoanA,547),AcctTblA,4,0)),"—"))</f>
        <v/>
      </c>
      <c r="C1691" s="18">
        <f>IF($B1691="","",IF(547&gt;NLoanA,"",INDEX(PkLoanA,547)))</f>
        <v/>
      </c>
      <c r="D1691" s="17">
        <f>IF($B1691="","","l")</f>
        <v/>
      </c>
      <c r="E1691" s="19">
        <f>IF($B1691="","",IF(547&gt;NLoanA,0,SUMIF(CalcDebit,INDEX(PkLoanA,547),CalcAmt)+SUMIF(CalcDebit2,INDEX(PkLoanA,547),CalcAmt2)))</f>
        <v/>
      </c>
      <c r="F1691" s="19">
        <f>IF($B1691="","",IF(547&gt;NLoanA,0,SUMIF(CalcCredit,INDEX(PkLoanA,547),CalcAmt)+SUMIF(CalcCredit2,INDEX(PkLoanA,547),CalcAmt2)))</f>
        <v/>
      </c>
      <c r="G1691" s="20">
        <f>IF($B1691="","",ROUND($E1691-$F1691,0))</f>
        <v/>
      </c>
      <c r="H1691" s="17">
        <f>IF($B1691="","",IF(ROUND($G1691,0)&gt;0,"بدهکار",IF(ROUND($G1691,0)&lt;0,"بستانکار","تسویه")))</f>
        <v/>
      </c>
    </row>
    <row r="1692">
      <c r="A1692" s="11">
        <f>IF($B1692="","",1683)</f>
        <v/>
      </c>
      <c r="B1692" s="12">
        <f>IF(548&gt;NLoanA,"",IFERROR(IF(VLOOKUP(INDEX(PkLoanA,548),AcctTblA,4,0)="","(بدون نام)",VLOOKUP(INDEX(PkLoanA,548),AcctTblA,4,0)),"—"))</f>
        <v/>
      </c>
      <c r="C1692" s="13">
        <f>IF($B1692="","",IF(548&gt;NLoanA,"",INDEX(PkLoanA,548)))</f>
        <v/>
      </c>
      <c r="D1692" s="12">
        <f>IF($B1692="","","l")</f>
        <v/>
      </c>
      <c r="E1692" s="14">
        <f>IF($B1692="","",IF(548&gt;NLoanA,0,SUMIF(CalcDebit,INDEX(PkLoanA,548),CalcAmt)+SUMIF(CalcDebit2,INDEX(PkLoanA,548),CalcAmt2)))</f>
        <v/>
      </c>
      <c r="F1692" s="14">
        <f>IF($B1692="","",IF(548&gt;NLoanA,0,SUMIF(CalcCredit,INDEX(PkLoanA,548),CalcAmt)+SUMIF(CalcCredit2,INDEX(PkLoanA,548),CalcAmt2)))</f>
        <v/>
      </c>
      <c r="G1692" s="15">
        <f>IF($B1692="","",ROUND($E1692-$F1692,0))</f>
        <v/>
      </c>
      <c r="H1692" s="12">
        <f>IF($B1692="","",IF(ROUND($G1692,0)&gt;0,"بدهکار",IF(ROUND($G1692,0)&lt;0,"بستانکار","تسویه")))</f>
        <v/>
      </c>
    </row>
    <row r="1693">
      <c r="A1693" s="16">
        <f>IF($B1693="","",1684)</f>
        <v/>
      </c>
      <c r="B1693" s="17">
        <f>IF(549&gt;NLoanA,"",IFERROR(IF(VLOOKUP(INDEX(PkLoanA,549),AcctTblA,4,0)="","(بدون نام)",VLOOKUP(INDEX(PkLoanA,549),AcctTblA,4,0)),"—"))</f>
        <v/>
      </c>
      <c r="C1693" s="18">
        <f>IF($B1693="","",IF(549&gt;NLoanA,"",INDEX(PkLoanA,549)))</f>
        <v/>
      </c>
      <c r="D1693" s="17">
        <f>IF($B1693="","","l")</f>
        <v/>
      </c>
      <c r="E1693" s="19">
        <f>IF($B1693="","",IF(549&gt;NLoanA,0,SUMIF(CalcDebit,INDEX(PkLoanA,549),CalcAmt)+SUMIF(CalcDebit2,INDEX(PkLoanA,549),CalcAmt2)))</f>
        <v/>
      </c>
      <c r="F1693" s="19">
        <f>IF($B1693="","",IF(549&gt;NLoanA,0,SUMIF(CalcCredit,INDEX(PkLoanA,549),CalcAmt)+SUMIF(CalcCredit2,INDEX(PkLoanA,549),CalcAmt2)))</f>
        <v/>
      </c>
      <c r="G1693" s="20">
        <f>IF($B1693="","",ROUND($E1693-$F1693,0))</f>
        <v/>
      </c>
      <c r="H1693" s="17">
        <f>IF($B1693="","",IF(ROUND($G1693,0)&gt;0,"بدهکار",IF(ROUND($G1693,0)&lt;0,"بستانکار","تسویه")))</f>
        <v/>
      </c>
    </row>
    <row r="1694">
      <c r="A1694" s="11">
        <f>IF($B1694="","",1685)</f>
        <v/>
      </c>
      <c r="B1694" s="12">
        <f>IF(550&gt;NLoanA,"",IFERROR(IF(VLOOKUP(INDEX(PkLoanA,550),AcctTblA,4,0)="","(بدون نام)",VLOOKUP(INDEX(PkLoanA,550),AcctTblA,4,0)),"—"))</f>
        <v/>
      </c>
      <c r="C1694" s="13">
        <f>IF($B1694="","",IF(550&gt;NLoanA,"",INDEX(PkLoanA,550)))</f>
        <v/>
      </c>
      <c r="D1694" s="12">
        <f>IF($B1694="","","l")</f>
        <v/>
      </c>
      <c r="E1694" s="14">
        <f>IF($B1694="","",IF(550&gt;NLoanA,0,SUMIF(CalcDebit,INDEX(PkLoanA,550),CalcAmt)+SUMIF(CalcDebit2,INDEX(PkLoanA,550),CalcAmt2)))</f>
        <v/>
      </c>
      <c r="F1694" s="14">
        <f>IF($B1694="","",IF(550&gt;NLoanA,0,SUMIF(CalcCredit,INDEX(PkLoanA,550),CalcAmt)+SUMIF(CalcCredit2,INDEX(PkLoanA,550),CalcAmt2)))</f>
        <v/>
      </c>
      <c r="G1694" s="15">
        <f>IF($B1694="","",ROUND($E1694-$F1694,0))</f>
        <v/>
      </c>
      <c r="H1694" s="12">
        <f>IF($B1694="","",IF(ROUND($G1694,0)&gt;0,"بدهکار",IF(ROUND($G1694,0)&lt;0,"بستانکار","تسویه")))</f>
        <v/>
      </c>
    </row>
    <row r="1695">
      <c r="A1695" s="16">
        <f>IF($B1695="","",1686)</f>
        <v/>
      </c>
      <c r="B1695" s="17">
        <f>IF(551&gt;NLoanA,"",IFERROR(IF(VLOOKUP(INDEX(PkLoanA,551),AcctTblA,4,0)="","(بدون نام)",VLOOKUP(INDEX(PkLoanA,551),AcctTblA,4,0)),"—"))</f>
        <v/>
      </c>
      <c r="C1695" s="18">
        <f>IF($B1695="","",IF(551&gt;NLoanA,"",INDEX(PkLoanA,551)))</f>
        <v/>
      </c>
      <c r="D1695" s="17">
        <f>IF($B1695="","","l")</f>
        <v/>
      </c>
      <c r="E1695" s="19">
        <f>IF($B1695="","",IF(551&gt;NLoanA,0,SUMIF(CalcDebit,INDEX(PkLoanA,551),CalcAmt)+SUMIF(CalcDebit2,INDEX(PkLoanA,551),CalcAmt2)))</f>
        <v/>
      </c>
      <c r="F1695" s="19">
        <f>IF($B1695="","",IF(551&gt;NLoanA,0,SUMIF(CalcCredit,INDEX(PkLoanA,551),CalcAmt)+SUMIF(CalcCredit2,INDEX(PkLoanA,551),CalcAmt2)))</f>
        <v/>
      </c>
      <c r="G1695" s="20">
        <f>IF($B1695="","",ROUND($E1695-$F1695,0))</f>
        <v/>
      </c>
      <c r="H1695" s="17">
        <f>IF($B1695="","",IF(ROUND($G1695,0)&gt;0,"بدهکار",IF(ROUND($G1695,0)&lt;0,"بستانکار","تسویه")))</f>
        <v/>
      </c>
    </row>
    <row r="1696">
      <c r="A1696" s="11">
        <f>IF($B1696="","",1687)</f>
        <v/>
      </c>
      <c r="B1696" s="12">
        <f>IF(552&gt;NLoanA,"",IFERROR(IF(VLOOKUP(INDEX(PkLoanA,552),AcctTblA,4,0)="","(بدون نام)",VLOOKUP(INDEX(PkLoanA,552),AcctTblA,4,0)),"—"))</f>
        <v/>
      </c>
      <c r="C1696" s="13">
        <f>IF($B1696="","",IF(552&gt;NLoanA,"",INDEX(PkLoanA,552)))</f>
        <v/>
      </c>
      <c r="D1696" s="12">
        <f>IF($B1696="","","l")</f>
        <v/>
      </c>
      <c r="E1696" s="14">
        <f>IF($B1696="","",IF(552&gt;NLoanA,0,SUMIF(CalcDebit,INDEX(PkLoanA,552),CalcAmt)+SUMIF(CalcDebit2,INDEX(PkLoanA,552),CalcAmt2)))</f>
        <v/>
      </c>
      <c r="F1696" s="14">
        <f>IF($B1696="","",IF(552&gt;NLoanA,0,SUMIF(CalcCredit,INDEX(PkLoanA,552),CalcAmt)+SUMIF(CalcCredit2,INDEX(PkLoanA,552),CalcAmt2)))</f>
        <v/>
      </c>
      <c r="G1696" s="15">
        <f>IF($B1696="","",ROUND($E1696-$F1696,0))</f>
        <v/>
      </c>
      <c r="H1696" s="12">
        <f>IF($B1696="","",IF(ROUND($G1696,0)&gt;0,"بدهکار",IF(ROUND($G1696,0)&lt;0,"بستانکار","تسویه")))</f>
        <v/>
      </c>
    </row>
    <row r="1697">
      <c r="A1697" s="16">
        <f>IF($B1697="","",1688)</f>
        <v/>
      </c>
      <c r="B1697" s="17">
        <f>IF(553&gt;NLoanA,"",IFERROR(IF(VLOOKUP(INDEX(PkLoanA,553),AcctTblA,4,0)="","(بدون نام)",VLOOKUP(INDEX(PkLoanA,553),AcctTblA,4,0)),"—"))</f>
        <v/>
      </c>
      <c r="C1697" s="18">
        <f>IF($B1697="","",IF(553&gt;NLoanA,"",INDEX(PkLoanA,553)))</f>
        <v/>
      </c>
      <c r="D1697" s="17">
        <f>IF($B1697="","","l")</f>
        <v/>
      </c>
      <c r="E1697" s="19">
        <f>IF($B1697="","",IF(553&gt;NLoanA,0,SUMIF(CalcDebit,INDEX(PkLoanA,553),CalcAmt)+SUMIF(CalcDebit2,INDEX(PkLoanA,553),CalcAmt2)))</f>
        <v/>
      </c>
      <c r="F1697" s="19">
        <f>IF($B1697="","",IF(553&gt;NLoanA,0,SUMIF(CalcCredit,INDEX(PkLoanA,553),CalcAmt)+SUMIF(CalcCredit2,INDEX(PkLoanA,553),CalcAmt2)))</f>
        <v/>
      </c>
      <c r="G1697" s="20">
        <f>IF($B1697="","",ROUND($E1697-$F1697,0))</f>
        <v/>
      </c>
      <c r="H1697" s="17">
        <f>IF($B1697="","",IF(ROUND($G1697,0)&gt;0,"بدهکار",IF(ROUND($G1697,0)&lt;0,"بستانکار","تسویه")))</f>
        <v/>
      </c>
    </row>
    <row r="1698">
      <c r="A1698" s="11">
        <f>IF($B1698="","",1689)</f>
        <v/>
      </c>
      <c r="B1698" s="12">
        <f>IF(554&gt;NLoanA,"",IFERROR(IF(VLOOKUP(INDEX(PkLoanA,554),AcctTblA,4,0)="","(بدون نام)",VLOOKUP(INDEX(PkLoanA,554),AcctTblA,4,0)),"—"))</f>
        <v/>
      </c>
      <c r="C1698" s="13">
        <f>IF($B1698="","",IF(554&gt;NLoanA,"",INDEX(PkLoanA,554)))</f>
        <v/>
      </c>
      <c r="D1698" s="12">
        <f>IF($B1698="","","l")</f>
        <v/>
      </c>
      <c r="E1698" s="14">
        <f>IF($B1698="","",IF(554&gt;NLoanA,0,SUMIF(CalcDebit,INDEX(PkLoanA,554),CalcAmt)+SUMIF(CalcDebit2,INDEX(PkLoanA,554),CalcAmt2)))</f>
        <v/>
      </c>
      <c r="F1698" s="14">
        <f>IF($B1698="","",IF(554&gt;NLoanA,0,SUMIF(CalcCredit,INDEX(PkLoanA,554),CalcAmt)+SUMIF(CalcCredit2,INDEX(PkLoanA,554),CalcAmt2)))</f>
        <v/>
      </c>
      <c r="G1698" s="15">
        <f>IF($B1698="","",ROUND($E1698-$F1698,0))</f>
        <v/>
      </c>
      <c r="H1698" s="12">
        <f>IF($B1698="","",IF(ROUND($G1698,0)&gt;0,"بدهکار",IF(ROUND($G1698,0)&lt;0,"بستانکار","تسویه")))</f>
        <v/>
      </c>
    </row>
    <row r="1699">
      <c r="A1699" s="16">
        <f>IF($B1699="","",1690)</f>
        <v/>
      </c>
      <c r="B1699" s="17">
        <f>IF(555&gt;NLoanA,"",IFERROR(IF(VLOOKUP(INDEX(PkLoanA,555),AcctTblA,4,0)="","(بدون نام)",VLOOKUP(INDEX(PkLoanA,555),AcctTblA,4,0)),"—"))</f>
        <v/>
      </c>
      <c r="C1699" s="18">
        <f>IF($B1699="","",IF(555&gt;NLoanA,"",INDEX(PkLoanA,555)))</f>
        <v/>
      </c>
      <c r="D1699" s="17">
        <f>IF($B1699="","","l")</f>
        <v/>
      </c>
      <c r="E1699" s="19">
        <f>IF($B1699="","",IF(555&gt;NLoanA,0,SUMIF(CalcDebit,INDEX(PkLoanA,555),CalcAmt)+SUMIF(CalcDebit2,INDEX(PkLoanA,555),CalcAmt2)))</f>
        <v/>
      </c>
      <c r="F1699" s="19">
        <f>IF($B1699="","",IF(555&gt;NLoanA,0,SUMIF(CalcCredit,INDEX(PkLoanA,555),CalcAmt)+SUMIF(CalcCredit2,INDEX(PkLoanA,555),CalcAmt2)))</f>
        <v/>
      </c>
      <c r="G1699" s="20">
        <f>IF($B1699="","",ROUND($E1699-$F1699,0))</f>
        <v/>
      </c>
      <c r="H1699" s="17">
        <f>IF($B1699="","",IF(ROUND($G1699,0)&gt;0,"بدهکار",IF(ROUND($G1699,0)&lt;0,"بستانکار","تسویه")))</f>
        <v/>
      </c>
    </row>
    <row r="1700">
      <c r="A1700" s="11">
        <f>IF($B1700="","",1691)</f>
        <v/>
      </c>
      <c r="B1700" s="12">
        <f>IF(556&gt;NLoanA,"",IFERROR(IF(VLOOKUP(INDEX(PkLoanA,556),AcctTblA,4,0)="","(بدون نام)",VLOOKUP(INDEX(PkLoanA,556),AcctTblA,4,0)),"—"))</f>
        <v/>
      </c>
      <c r="C1700" s="13">
        <f>IF($B1700="","",IF(556&gt;NLoanA,"",INDEX(PkLoanA,556)))</f>
        <v/>
      </c>
      <c r="D1700" s="12">
        <f>IF($B1700="","","l")</f>
        <v/>
      </c>
      <c r="E1700" s="14">
        <f>IF($B1700="","",IF(556&gt;NLoanA,0,SUMIF(CalcDebit,INDEX(PkLoanA,556),CalcAmt)+SUMIF(CalcDebit2,INDEX(PkLoanA,556),CalcAmt2)))</f>
        <v/>
      </c>
      <c r="F1700" s="14">
        <f>IF($B1700="","",IF(556&gt;NLoanA,0,SUMIF(CalcCredit,INDEX(PkLoanA,556),CalcAmt)+SUMIF(CalcCredit2,INDEX(PkLoanA,556),CalcAmt2)))</f>
        <v/>
      </c>
      <c r="G1700" s="15">
        <f>IF($B1700="","",ROUND($E1700-$F1700,0))</f>
        <v/>
      </c>
      <c r="H1700" s="12">
        <f>IF($B1700="","",IF(ROUND($G1700,0)&gt;0,"بدهکار",IF(ROUND($G1700,0)&lt;0,"بستانکار","تسویه")))</f>
        <v/>
      </c>
    </row>
    <row r="1701">
      <c r="A1701" s="16">
        <f>IF($B1701="","",1692)</f>
        <v/>
      </c>
      <c r="B1701" s="17">
        <f>IF(557&gt;NLoanA,"",IFERROR(IF(VLOOKUP(INDEX(PkLoanA,557),AcctTblA,4,0)="","(بدون نام)",VLOOKUP(INDEX(PkLoanA,557),AcctTblA,4,0)),"—"))</f>
        <v/>
      </c>
      <c r="C1701" s="18">
        <f>IF($B1701="","",IF(557&gt;NLoanA,"",INDEX(PkLoanA,557)))</f>
        <v/>
      </c>
      <c r="D1701" s="17">
        <f>IF($B1701="","","l")</f>
        <v/>
      </c>
      <c r="E1701" s="19">
        <f>IF($B1701="","",IF(557&gt;NLoanA,0,SUMIF(CalcDebit,INDEX(PkLoanA,557),CalcAmt)+SUMIF(CalcDebit2,INDEX(PkLoanA,557),CalcAmt2)))</f>
        <v/>
      </c>
      <c r="F1701" s="19">
        <f>IF($B1701="","",IF(557&gt;NLoanA,0,SUMIF(CalcCredit,INDEX(PkLoanA,557),CalcAmt)+SUMIF(CalcCredit2,INDEX(PkLoanA,557),CalcAmt2)))</f>
        <v/>
      </c>
      <c r="G1701" s="20">
        <f>IF($B1701="","",ROUND($E1701-$F1701,0))</f>
        <v/>
      </c>
      <c r="H1701" s="17">
        <f>IF($B1701="","",IF(ROUND($G1701,0)&gt;0,"بدهکار",IF(ROUND($G1701,0)&lt;0,"بستانکار","تسویه")))</f>
        <v/>
      </c>
    </row>
    <row r="1702">
      <c r="A1702" s="11">
        <f>IF($B1702="","",1693)</f>
        <v/>
      </c>
      <c r="B1702" s="12">
        <f>IF(558&gt;NLoanA,"",IFERROR(IF(VLOOKUP(INDEX(PkLoanA,558),AcctTblA,4,0)="","(بدون نام)",VLOOKUP(INDEX(PkLoanA,558),AcctTblA,4,0)),"—"))</f>
        <v/>
      </c>
      <c r="C1702" s="13">
        <f>IF($B1702="","",IF(558&gt;NLoanA,"",INDEX(PkLoanA,558)))</f>
        <v/>
      </c>
      <c r="D1702" s="12">
        <f>IF($B1702="","","l")</f>
        <v/>
      </c>
      <c r="E1702" s="14">
        <f>IF($B1702="","",IF(558&gt;NLoanA,0,SUMIF(CalcDebit,INDEX(PkLoanA,558),CalcAmt)+SUMIF(CalcDebit2,INDEX(PkLoanA,558),CalcAmt2)))</f>
        <v/>
      </c>
      <c r="F1702" s="14">
        <f>IF($B1702="","",IF(558&gt;NLoanA,0,SUMIF(CalcCredit,INDEX(PkLoanA,558),CalcAmt)+SUMIF(CalcCredit2,INDEX(PkLoanA,558),CalcAmt2)))</f>
        <v/>
      </c>
      <c r="G1702" s="15">
        <f>IF($B1702="","",ROUND($E1702-$F1702,0))</f>
        <v/>
      </c>
      <c r="H1702" s="12">
        <f>IF($B1702="","",IF(ROUND($G1702,0)&gt;0,"بدهکار",IF(ROUND($G1702,0)&lt;0,"بستانکار","تسویه")))</f>
        <v/>
      </c>
    </row>
    <row r="1703">
      <c r="A1703" s="16">
        <f>IF($B1703="","",1694)</f>
        <v/>
      </c>
      <c r="B1703" s="17">
        <f>IF(559&gt;NLoanA,"",IFERROR(IF(VLOOKUP(INDEX(PkLoanA,559),AcctTblA,4,0)="","(بدون نام)",VLOOKUP(INDEX(PkLoanA,559),AcctTblA,4,0)),"—"))</f>
        <v/>
      </c>
      <c r="C1703" s="18">
        <f>IF($B1703="","",IF(559&gt;NLoanA,"",INDEX(PkLoanA,559)))</f>
        <v/>
      </c>
      <c r="D1703" s="17">
        <f>IF($B1703="","","l")</f>
        <v/>
      </c>
      <c r="E1703" s="19">
        <f>IF($B1703="","",IF(559&gt;NLoanA,0,SUMIF(CalcDebit,INDEX(PkLoanA,559),CalcAmt)+SUMIF(CalcDebit2,INDEX(PkLoanA,559),CalcAmt2)))</f>
        <v/>
      </c>
      <c r="F1703" s="19">
        <f>IF($B1703="","",IF(559&gt;NLoanA,0,SUMIF(CalcCredit,INDEX(PkLoanA,559),CalcAmt)+SUMIF(CalcCredit2,INDEX(PkLoanA,559),CalcAmt2)))</f>
        <v/>
      </c>
      <c r="G1703" s="20">
        <f>IF($B1703="","",ROUND($E1703-$F1703,0))</f>
        <v/>
      </c>
      <c r="H1703" s="17">
        <f>IF($B1703="","",IF(ROUND($G1703,0)&gt;0,"بدهکار",IF(ROUND($G1703,0)&lt;0,"بستانکار","تسویه")))</f>
        <v/>
      </c>
    </row>
    <row r="1704">
      <c r="A1704" s="11">
        <f>IF($B1704="","",1695)</f>
        <v/>
      </c>
      <c r="B1704" s="12">
        <f>IF(560&gt;NLoanA,"",IFERROR(IF(VLOOKUP(INDEX(PkLoanA,560),AcctTblA,4,0)="","(بدون نام)",VLOOKUP(INDEX(PkLoanA,560),AcctTblA,4,0)),"—"))</f>
        <v/>
      </c>
      <c r="C1704" s="13">
        <f>IF($B1704="","",IF(560&gt;NLoanA,"",INDEX(PkLoanA,560)))</f>
        <v/>
      </c>
      <c r="D1704" s="12">
        <f>IF($B1704="","","l")</f>
        <v/>
      </c>
      <c r="E1704" s="14">
        <f>IF($B1704="","",IF(560&gt;NLoanA,0,SUMIF(CalcDebit,INDEX(PkLoanA,560),CalcAmt)+SUMIF(CalcDebit2,INDEX(PkLoanA,560),CalcAmt2)))</f>
        <v/>
      </c>
      <c r="F1704" s="14">
        <f>IF($B1704="","",IF(560&gt;NLoanA,0,SUMIF(CalcCredit,INDEX(PkLoanA,560),CalcAmt)+SUMIF(CalcCredit2,INDEX(PkLoanA,560),CalcAmt2)))</f>
        <v/>
      </c>
      <c r="G1704" s="15">
        <f>IF($B1704="","",ROUND($E1704-$F1704,0))</f>
        <v/>
      </c>
      <c r="H1704" s="12">
        <f>IF($B1704="","",IF(ROUND($G1704,0)&gt;0,"بدهکار",IF(ROUND($G1704,0)&lt;0,"بستانکار","تسویه")))</f>
        <v/>
      </c>
    </row>
    <row r="1705">
      <c r="A1705" s="16">
        <f>IF($B1705="","",1696)</f>
        <v/>
      </c>
      <c r="B1705" s="17">
        <f>IF(1&gt;NCapA,"",IFERROR(IF(VLOOKUP(INDEX(PkCapA,1),AcctTblA,4,0)="","(بدون نام)",VLOOKUP(INDEX(PkCapA,1),AcctTblA,4,0)),"—"))</f>
        <v/>
      </c>
      <c r="C1705" s="18">
        <f>IF($B1705="","",IF(1&gt;NCapA,"",INDEX(PkCapA,1)))</f>
        <v/>
      </c>
      <c r="D1705" s="17">
        <f>IF($B1705="","","c")</f>
        <v/>
      </c>
      <c r="E1705" s="19">
        <f>IF($B1705="","",IF(1&gt;NCapA,0,SUMIF(CalcDebit,INDEX(PkCapA,1),CalcAmt)+SUMIF(CalcDebit2,INDEX(PkCapA,1),CalcAmt2)))</f>
        <v/>
      </c>
      <c r="F1705" s="19">
        <f>IF($B1705="","",IF(1&gt;NCapA,0,SUMIF(CalcCredit,INDEX(PkCapA,1),CalcAmt)+SUMIF(CalcCredit2,INDEX(PkCapA,1),CalcAmt2)))</f>
        <v/>
      </c>
      <c r="G1705" s="20">
        <f>IF($B1705="","",ROUND($E1705-$F1705,0))</f>
        <v/>
      </c>
      <c r="H1705" s="17">
        <f>IF($B1705="","",IF(ROUND($G1705,0)&gt;0,"بدهکار",IF(ROUND($G1705,0)&lt;0,"بستانکار","تسویه")))</f>
        <v/>
      </c>
    </row>
    <row r="1706">
      <c r="A1706" s="11">
        <f>IF($B1706="","",1697)</f>
        <v/>
      </c>
      <c r="B1706" s="12">
        <f>IF(2&gt;NCapA,"",IFERROR(IF(VLOOKUP(INDEX(PkCapA,2),AcctTblA,4,0)="","(بدون نام)",VLOOKUP(INDEX(PkCapA,2),AcctTblA,4,0)),"—"))</f>
        <v/>
      </c>
      <c r="C1706" s="13">
        <f>IF($B1706="","",IF(2&gt;NCapA,"",INDEX(PkCapA,2)))</f>
        <v/>
      </c>
      <c r="D1706" s="12">
        <f>IF($B1706="","","c")</f>
        <v/>
      </c>
      <c r="E1706" s="14">
        <f>IF($B1706="","",IF(2&gt;NCapA,0,SUMIF(CalcDebit,INDEX(PkCapA,2),CalcAmt)+SUMIF(CalcDebit2,INDEX(PkCapA,2),CalcAmt2)))</f>
        <v/>
      </c>
      <c r="F1706" s="14">
        <f>IF($B1706="","",IF(2&gt;NCapA,0,SUMIF(CalcCredit,INDEX(PkCapA,2),CalcAmt)+SUMIF(CalcCredit2,INDEX(PkCapA,2),CalcAmt2)))</f>
        <v/>
      </c>
      <c r="G1706" s="15">
        <f>IF($B1706="","",ROUND($E1706-$F1706,0))</f>
        <v/>
      </c>
      <c r="H1706" s="12">
        <f>IF($B1706="","",IF(ROUND($G1706,0)&gt;0,"بدهکار",IF(ROUND($G1706,0)&lt;0,"بستانکار","تسویه")))</f>
        <v/>
      </c>
    </row>
    <row r="1707">
      <c r="A1707" s="16">
        <f>IF($B1707="","",1698)</f>
        <v/>
      </c>
      <c r="B1707" s="17">
        <f>IF(3&gt;NCapA,"",IFERROR(IF(VLOOKUP(INDEX(PkCapA,3),AcctTblA,4,0)="","(بدون نام)",VLOOKUP(INDEX(PkCapA,3),AcctTblA,4,0)),"—"))</f>
        <v/>
      </c>
      <c r="C1707" s="18">
        <f>IF($B1707="","",IF(3&gt;NCapA,"",INDEX(PkCapA,3)))</f>
        <v/>
      </c>
      <c r="D1707" s="17">
        <f>IF($B1707="","","c")</f>
        <v/>
      </c>
      <c r="E1707" s="19">
        <f>IF($B1707="","",IF(3&gt;NCapA,0,SUMIF(CalcDebit,INDEX(PkCapA,3),CalcAmt)+SUMIF(CalcDebit2,INDEX(PkCapA,3),CalcAmt2)))</f>
        <v/>
      </c>
      <c r="F1707" s="19">
        <f>IF($B1707="","",IF(3&gt;NCapA,0,SUMIF(CalcCredit,INDEX(PkCapA,3),CalcAmt)+SUMIF(CalcCredit2,INDEX(PkCapA,3),CalcAmt2)))</f>
        <v/>
      </c>
      <c r="G1707" s="20">
        <f>IF($B1707="","",ROUND($E1707-$F1707,0))</f>
        <v/>
      </c>
      <c r="H1707" s="17">
        <f>IF($B1707="","",IF(ROUND($G1707,0)&gt;0,"بدهکار",IF(ROUND($G1707,0)&lt;0,"بستانکار","تسویه")))</f>
        <v/>
      </c>
    </row>
    <row r="1708">
      <c r="A1708" s="11">
        <f>IF($B1708="","",1699)</f>
        <v/>
      </c>
      <c r="B1708" s="12">
        <f>IF(4&gt;NCapA,"",IFERROR(IF(VLOOKUP(INDEX(PkCapA,4),AcctTblA,4,0)="","(بدون نام)",VLOOKUP(INDEX(PkCapA,4),AcctTblA,4,0)),"—"))</f>
        <v/>
      </c>
      <c r="C1708" s="13">
        <f>IF($B1708="","",IF(4&gt;NCapA,"",INDEX(PkCapA,4)))</f>
        <v/>
      </c>
      <c r="D1708" s="12">
        <f>IF($B1708="","","c")</f>
        <v/>
      </c>
      <c r="E1708" s="14">
        <f>IF($B1708="","",IF(4&gt;NCapA,0,SUMIF(CalcDebit,INDEX(PkCapA,4),CalcAmt)+SUMIF(CalcDebit2,INDEX(PkCapA,4),CalcAmt2)))</f>
        <v/>
      </c>
      <c r="F1708" s="14">
        <f>IF($B1708="","",IF(4&gt;NCapA,0,SUMIF(CalcCredit,INDEX(PkCapA,4),CalcAmt)+SUMIF(CalcCredit2,INDEX(PkCapA,4),CalcAmt2)))</f>
        <v/>
      </c>
      <c r="G1708" s="15">
        <f>IF($B1708="","",ROUND($E1708-$F1708,0))</f>
        <v/>
      </c>
      <c r="H1708" s="12">
        <f>IF($B1708="","",IF(ROUND($G1708,0)&gt;0,"بدهکار",IF(ROUND($G1708,0)&lt;0,"بستانکار","تسویه")))</f>
        <v/>
      </c>
    </row>
    <row r="1709">
      <c r="A1709" s="16">
        <f>IF($B1709="","",1700)</f>
        <v/>
      </c>
      <c r="B1709" s="17">
        <f>IF(5&gt;NCapA,"",IFERROR(IF(VLOOKUP(INDEX(PkCapA,5),AcctTblA,4,0)="","(بدون نام)",VLOOKUP(INDEX(PkCapA,5),AcctTblA,4,0)),"—"))</f>
        <v/>
      </c>
      <c r="C1709" s="18">
        <f>IF($B1709="","",IF(5&gt;NCapA,"",INDEX(PkCapA,5)))</f>
        <v/>
      </c>
      <c r="D1709" s="17">
        <f>IF($B1709="","","c")</f>
        <v/>
      </c>
      <c r="E1709" s="19">
        <f>IF($B1709="","",IF(5&gt;NCapA,0,SUMIF(CalcDebit,INDEX(PkCapA,5),CalcAmt)+SUMIF(CalcDebit2,INDEX(PkCapA,5),CalcAmt2)))</f>
        <v/>
      </c>
      <c r="F1709" s="19">
        <f>IF($B1709="","",IF(5&gt;NCapA,0,SUMIF(CalcCredit,INDEX(PkCapA,5),CalcAmt)+SUMIF(CalcCredit2,INDEX(PkCapA,5),CalcAmt2)))</f>
        <v/>
      </c>
      <c r="G1709" s="20">
        <f>IF($B1709="","",ROUND($E1709-$F1709,0))</f>
        <v/>
      </c>
      <c r="H1709" s="17">
        <f>IF($B1709="","",IF(ROUND($G1709,0)&gt;0,"بدهکار",IF(ROUND($G1709,0)&lt;0,"بستانکار","تسویه")))</f>
        <v/>
      </c>
    </row>
    <row r="1710">
      <c r="A1710" s="11">
        <f>IF($B1710="","",1701)</f>
        <v/>
      </c>
      <c r="B1710" s="12">
        <f>IF(6&gt;NCapA,"",IFERROR(IF(VLOOKUP(INDEX(PkCapA,6),AcctTblA,4,0)="","(بدون نام)",VLOOKUP(INDEX(PkCapA,6),AcctTblA,4,0)),"—"))</f>
        <v/>
      </c>
      <c r="C1710" s="13">
        <f>IF($B1710="","",IF(6&gt;NCapA,"",INDEX(PkCapA,6)))</f>
        <v/>
      </c>
      <c r="D1710" s="12">
        <f>IF($B1710="","","c")</f>
        <v/>
      </c>
      <c r="E1710" s="14">
        <f>IF($B1710="","",IF(6&gt;NCapA,0,SUMIF(CalcDebit,INDEX(PkCapA,6),CalcAmt)+SUMIF(CalcDebit2,INDEX(PkCapA,6),CalcAmt2)))</f>
        <v/>
      </c>
      <c r="F1710" s="14">
        <f>IF($B1710="","",IF(6&gt;NCapA,0,SUMIF(CalcCredit,INDEX(PkCapA,6),CalcAmt)+SUMIF(CalcCredit2,INDEX(PkCapA,6),CalcAmt2)))</f>
        <v/>
      </c>
      <c r="G1710" s="15">
        <f>IF($B1710="","",ROUND($E1710-$F1710,0))</f>
        <v/>
      </c>
      <c r="H1710" s="12">
        <f>IF($B1710="","",IF(ROUND($G1710,0)&gt;0,"بدهکار",IF(ROUND($G1710,0)&lt;0,"بستانکار","تسویه")))</f>
        <v/>
      </c>
    </row>
    <row r="1711">
      <c r="A1711" s="16">
        <f>IF($B1711="","",1702)</f>
        <v/>
      </c>
      <c r="B1711" s="17">
        <f>IF(7&gt;NCapA,"",IFERROR(IF(VLOOKUP(INDEX(PkCapA,7),AcctTblA,4,0)="","(بدون نام)",VLOOKUP(INDEX(PkCapA,7),AcctTblA,4,0)),"—"))</f>
        <v/>
      </c>
      <c r="C1711" s="18">
        <f>IF($B1711="","",IF(7&gt;NCapA,"",INDEX(PkCapA,7)))</f>
        <v/>
      </c>
      <c r="D1711" s="17">
        <f>IF($B1711="","","c")</f>
        <v/>
      </c>
      <c r="E1711" s="19">
        <f>IF($B1711="","",IF(7&gt;NCapA,0,SUMIF(CalcDebit,INDEX(PkCapA,7),CalcAmt)+SUMIF(CalcDebit2,INDEX(PkCapA,7),CalcAmt2)))</f>
        <v/>
      </c>
      <c r="F1711" s="19">
        <f>IF($B1711="","",IF(7&gt;NCapA,0,SUMIF(CalcCredit,INDEX(PkCapA,7),CalcAmt)+SUMIF(CalcCredit2,INDEX(PkCapA,7),CalcAmt2)))</f>
        <v/>
      </c>
      <c r="G1711" s="20">
        <f>IF($B1711="","",ROUND($E1711-$F1711,0))</f>
        <v/>
      </c>
      <c r="H1711" s="17">
        <f>IF($B1711="","",IF(ROUND($G1711,0)&gt;0,"بدهکار",IF(ROUND($G1711,0)&lt;0,"بستانکار","تسویه")))</f>
        <v/>
      </c>
    </row>
    <row r="1712">
      <c r="A1712" s="11">
        <f>IF($B1712="","",1703)</f>
        <v/>
      </c>
      <c r="B1712" s="12">
        <f>IF(8&gt;NCapA,"",IFERROR(IF(VLOOKUP(INDEX(PkCapA,8),AcctTblA,4,0)="","(بدون نام)",VLOOKUP(INDEX(PkCapA,8),AcctTblA,4,0)),"—"))</f>
        <v/>
      </c>
      <c r="C1712" s="13">
        <f>IF($B1712="","",IF(8&gt;NCapA,"",INDEX(PkCapA,8)))</f>
        <v/>
      </c>
      <c r="D1712" s="12">
        <f>IF($B1712="","","c")</f>
        <v/>
      </c>
      <c r="E1712" s="14">
        <f>IF($B1712="","",IF(8&gt;NCapA,0,SUMIF(CalcDebit,INDEX(PkCapA,8),CalcAmt)+SUMIF(CalcDebit2,INDEX(PkCapA,8),CalcAmt2)))</f>
        <v/>
      </c>
      <c r="F1712" s="14">
        <f>IF($B1712="","",IF(8&gt;NCapA,0,SUMIF(CalcCredit,INDEX(PkCapA,8),CalcAmt)+SUMIF(CalcCredit2,INDEX(PkCapA,8),CalcAmt2)))</f>
        <v/>
      </c>
      <c r="G1712" s="15">
        <f>IF($B1712="","",ROUND($E1712-$F1712,0))</f>
        <v/>
      </c>
      <c r="H1712" s="12">
        <f>IF($B1712="","",IF(ROUND($G1712,0)&gt;0,"بدهکار",IF(ROUND($G1712,0)&lt;0,"بستانکار","تسویه")))</f>
        <v/>
      </c>
    </row>
    <row r="1713">
      <c r="A1713" s="16">
        <f>IF($B1713="","",1704)</f>
        <v/>
      </c>
      <c r="B1713" s="17">
        <f>IF(9&gt;NCapA,"",IFERROR(IF(VLOOKUP(INDEX(PkCapA,9),AcctTblA,4,0)="","(بدون نام)",VLOOKUP(INDEX(PkCapA,9),AcctTblA,4,0)),"—"))</f>
        <v/>
      </c>
      <c r="C1713" s="18">
        <f>IF($B1713="","",IF(9&gt;NCapA,"",INDEX(PkCapA,9)))</f>
        <v/>
      </c>
      <c r="D1713" s="17">
        <f>IF($B1713="","","c")</f>
        <v/>
      </c>
      <c r="E1713" s="19">
        <f>IF($B1713="","",IF(9&gt;NCapA,0,SUMIF(CalcDebit,INDEX(PkCapA,9),CalcAmt)+SUMIF(CalcDebit2,INDEX(PkCapA,9),CalcAmt2)))</f>
        <v/>
      </c>
      <c r="F1713" s="19">
        <f>IF($B1713="","",IF(9&gt;NCapA,0,SUMIF(CalcCredit,INDEX(PkCapA,9),CalcAmt)+SUMIF(CalcCredit2,INDEX(PkCapA,9),CalcAmt2)))</f>
        <v/>
      </c>
      <c r="G1713" s="20">
        <f>IF($B1713="","",ROUND($E1713-$F1713,0))</f>
        <v/>
      </c>
      <c r="H1713" s="17">
        <f>IF($B1713="","",IF(ROUND($G1713,0)&gt;0,"بدهکار",IF(ROUND($G1713,0)&lt;0,"بستانکار","تسویه")))</f>
        <v/>
      </c>
    </row>
    <row r="1714">
      <c r="A1714" s="11">
        <f>IF($B1714="","",1705)</f>
        <v/>
      </c>
      <c r="B1714" s="12">
        <f>IF(10&gt;NCapA,"",IFERROR(IF(VLOOKUP(INDEX(PkCapA,10),AcctTblA,4,0)="","(بدون نام)",VLOOKUP(INDEX(PkCapA,10),AcctTblA,4,0)),"—"))</f>
        <v/>
      </c>
      <c r="C1714" s="13">
        <f>IF($B1714="","",IF(10&gt;NCapA,"",INDEX(PkCapA,10)))</f>
        <v/>
      </c>
      <c r="D1714" s="12">
        <f>IF($B1714="","","c")</f>
        <v/>
      </c>
      <c r="E1714" s="14">
        <f>IF($B1714="","",IF(10&gt;NCapA,0,SUMIF(CalcDebit,INDEX(PkCapA,10),CalcAmt)+SUMIF(CalcDebit2,INDEX(PkCapA,10),CalcAmt2)))</f>
        <v/>
      </c>
      <c r="F1714" s="14">
        <f>IF($B1714="","",IF(10&gt;NCapA,0,SUMIF(CalcCredit,INDEX(PkCapA,10),CalcAmt)+SUMIF(CalcCredit2,INDEX(PkCapA,10),CalcAmt2)))</f>
        <v/>
      </c>
      <c r="G1714" s="15">
        <f>IF($B1714="","",ROUND($E1714-$F1714,0))</f>
        <v/>
      </c>
      <c r="H1714" s="12">
        <f>IF($B1714="","",IF(ROUND($G1714,0)&gt;0,"بدهکار",IF(ROUND($G1714,0)&lt;0,"بستانکار","تسویه")))</f>
        <v/>
      </c>
    </row>
    <row r="1715">
      <c r="A1715" s="16">
        <f>IF($B1715="","",1706)</f>
        <v/>
      </c>
      <c r="B1715" s="17">
        <f>IF(11&gt;NCapA,"",IFERROR(IF(VLOOKUP(INDEX(PkCapA,11),AcctTblA,4,0)="","(بدون نام)",VLOOKUP(INDEX(PkCapA,11),AcctTblA,4,0)),"—"))</f>
        <v/>
      </c>
      <c r="C1715" s="18">
        <f>IF($B1715="","",IF(11&gt;NCapA,"",INDEX(PkCapA,11)))</f>
        <v/>
      </c>
      <c r="D1715" s="17">
        <f>IF($B1715="","","c")</f>
        <v/>
      </c>
      <c r="E1715" s="19">
        <f>IF($B1715="","",IF(11&gt;NCapA,0,SUMIF(CalcDebit,INDEX(PkCapA,11),CalcAmt)+SUMIF(CalcDebit2,INDEX(PkCapA,11),CalcAmt2)))</f>
        <v/>
      </c>
      <c r="F1715" s="19">
        <f>IF($B1715="","",IF(11&gt;NCapA,0,SUMIF(CalcCredit,INDEX(PkCapA,11),CalcAmt)+SUMIF(CalcCredit2,INDEX(PkCapA,11),CalcAmt2)))</f>
        <v/>
      </c>
      <c r="G1715" s="20">
        <f>IF($B1715="","",ROUND($E1715-$F1715,0))</f>
        <v/>
      </c>
      <c r="H1715" s="17">
        <f>IF($B1715="","",IF(ROUND($G1715,0)&gt;0,"بدهکار",IF(ROUND($G1715,0)&lt;0,"بستانکار","تسویه")))</f>
        <v/>
      </c>
    </row>
    <row r="1716">
      <c r="A1716" s="11">
        <f>IF($B1716="","",1707)</f>
        <v/>
      </c>
      <c r="B1716" s="12">
        <f>IF(12&gt;NCapA,"",IFERROR(IF(VLOOKUP(INDEX(PkCapA,12),AcctTblA,4,0)="","(بدون نام)",VLOOKUP(INDEX(PkCapA,12),AcctTblA,4,0)),"—"))</f>
        <v/>
      </c>
      <c r="C1716" s="13">
        <f>IF($B1716="","",IF(12&gt;NCapA,"",INDEX(PkCapA,12)))</f>
        <v/>
      </c>
      <c r="D1716" s="12">
        <f>IF($B1716="","","c")</f>
        <v/>
      </c>
      <c r="E1716" s="14">
        <f>IF($B1716="","",IF(12&gt;NCapA,0,SUMIF(CalcDebit,INDEX(PkCapA,12),CalcAmt)+SUMIF(CalcDebit2,INDEX(PkCapA,12),CalcAmt2)))</f>
        <v/>
      </c>
      <c r="F1716" s="14">
        <f>IF($B1716="","",IF(12&gt;NCapA,0,SUMIF(CalcCredit,INDEX(PkCapA,12),CalcAmt)+SUMIF(CalcCredit2,INDEX(PkCapA,12),CalcAmt2)))</f>
        <v/>
      </c>
      <c r="G1716" s="15">
        <f>IF($B1716="","",ROUND($E1716-$F1716,0))</f>
        <v/>
      </c>
      <c r="H1716" s="12">
        <f>IF($B1716="","",IF(ROUND($G1716,0)&gt;0,"بدهکار",IF(ROUND($G1716,0)&lt;0,"بستانکار","تسویه")))</f>
        <v/>
      </c>
    </row>
    <row r="1717">
      <c r="A1717" s="16">
        <f>IF($B1717="","",1708)</f>
        <v/>
      </c>
      <c r="B1717" s="17">
        <f>IF(13&gt;NCapA,"",IFERROR(IF(VLOOKUP(INDEX(PkCapA,13),AcctTblA,4,0)="","(بدون نام)",VLOOKUP(INDEX(PkCapA,13),AcctTblA,4,0)),"—"))</f>
        <v/>
      </c>
      <c r="C1717" s="18">
        <f>IF($B1717="","",IF(13&gt;NCapA,"",INDEX(PkCapA,13)))</f>
        <v/>
      </c>
      <c r="D1717" s="17">
        <f>IF($B1717="","","c")</f>
        <v/>
      </c>
      <c r="E1717" s="19">
        <f>IF($B1717="","",IF(13&gt;NCapA,0,SUMIF(CalcDebit,INDEX(PkCapA,13),CalcAmt)+SUMIF(CalcDebit2,INDEX(PkCapA,13),CalcAmt2)))</f>
        <v/>
      </c>
      <c r="F1717" s="19">
        <f>IF($B1717="","",IF(13&gt;NCapA,0,SUMIF(CalcCredit,INDEX(PkCapA,13),CalcAmt)+SUMIF(CalcCredit2,INDEX(PkCapA,13),CalcAmt2)))</f>
        <v/>
      </c>
      <c r="G1717" s="20">
        <f>IF($B1717="","",ROUND($E1717-$F1717,0))</f>
        <v/>
      </c>
      <c r="H1717" s="17">
        <f>IF($B1717="","",IF(ROUND($G1717,0)&gt;0,"بدهکار",IF(ROUND($G1717,0)&lt;0,"بستانکار","تسویه")))</f>
        <v/>
      </c>
    </row>
    <row r="1718">
      <c r="A1718" s="11">
        <f>IF($B1718="","",1709)</f>
        <v/>
      </c>
      <c r="B1718" s="12">
        <f>IF(14&gt;NCapA,"",IFERROR(IF(VLOOKUP(INDEX(PkCapA,14),AcctTblA,4,0)="","(بدون نام)",VLOOKUP(INDEX(PkCapA,14),AcctTblA,4,0)),"—"))</f>
        <v/>
      </c>
      <c r="C1718" s="13">
        <f>IF($B1718="","",IF(14&gt;NCapA,"",INDEX(PkCapA,14)))</f>
        <v/>
      </c>
      <c r="D1718" s="12">
        <f>IF($B1718="","","c")</f>
        <v/>
      </c>
      <c r="E1718" s="14">
        <f>IF($B1718="","",IF(14&gt;NCapA,0,SUMIF(CalcDebit,INDEX(PkCapA,14),CalcAmt)+SUMIF(CalcDebit2,INDEX(PkCapA,14),CalcAmt2)))</f>
        <v/>
      </c>
      <c r="F1718" s="14">
        <f>IF($B1718="","",IF(14&gt;NCapA,0,SUMIF(CalcCredit,INDEX(PkCapA,14),CalcAmt)+SUMIF(CalcCredit2,INDEX(PkCapA,14),CalcAmt2)))</f>
        <v/>
      </c>
      <c r="G1718" s="15">
        <f>IF($B1718="","",ROUND($E1718-$F1718,0))</f>
        <v/>
      </c>
      <c r="H1718" s="12">
        <f>IF($B1718="","",IF(ROUND($G1718,0)&gt;0,"بدهکار",IF(ROUND($G1718,0)&lt;0,"بستانکار","تسویه")))</f>
        <v/>
      </c>
    </row>
    <row r="1719">
      <c r="A1719" s="16">
        <f>IF($B1719="","",1710)</f>
        <v/>
      </c>
      <c r="B1719" s="17">
        <f>IF(15&gt;NCapA,"",IFERROR(IF(VLOOKUP(INDEX(PkCapA,15),AcctTblA,4,0)="","(بدون نام)",VLOOKUP(INDEX(PkCapA,15),AcctTblA,4,0)),"—"))</f>
        <v/>
      </c>
      <c r="C1719" s="18">
        <f>IF($B1719="","",IF(15&gt;NCapA,"",INDEX(PkCapA,15)))</f>
        <v/>
      </c>
      <c r="D1719" s="17">
        <f>IF($B1719="","","c")</f>
        <v/>
      </c>
      <c r="E1719" s="19">
        <f>IF($B1719="","",IF(15&gt;NCapA,0,SUMIF(CalcDebit,INDEX(PkCapA,15),CalcAmt)+SUMIF(CalcDebit2,INDEX(PkCapA,15),CalcAmt2)))</f>
        <v/>
      </c>
      <c r="F1719" s="19">
        <f>IF($B1719="","",IF(15&gt;NCapA,0,SUMIF(CalcCredit,INDEX(PkCapA,15),CalcAmt)+SUMIF(CalcCredit2,INDEX(PkCapA,15),CalcAmt2)))</f>
        <v/>
      </c>
      <c r="G1719" s="20">
        <f>IF($B1719="","",ROUND($E1719-$F1719,0))</f>
        <v/>
      </c>
      <c r="H1719" s="17">
        <f>IF($B1719="","",IF(ROUND($G1719,0)&gt;0,"بدهکار",IF(ROUND($G1719,0)&lt;0,"بستانکار","تسویه")))</f>
        <v/>
      </c>
    </row>
    <row r="1720">
      <c r="A1720" s="11">
        <f>IF($B1720="","",1711)</f>
        <v/>
      </c>
      <c r="B1720" s="12">
        <f>IF(16&gt;NCapA,"",IFERROR(IF(VLOOKUP(INDEX(PkCapA,16),AcctTblA,4,0)="","(بدون نام)",VLOOKUP(INDEX(PkCapA,16),AcctTblA,4,0)),"—"))</f>
        <v/>
      </c>
      <c r="C1720" s="13">
        <f>IF($B1720="","",IF(16&gt;NCapA,"",INDEX(PkCapA,16)))</f>
        <v/>
      </c>
      <c r="D1720" s="12">
        <f>IF($B1720="","","c")</f>
        <v/>
      </c>
      <c r="E1720" s="14">
        <f>IF($B1720="","",IF(16&gt;NCapA,0,SUMIF(CalcDebit,INDEX(PkCapA,16),CalcAmt)+SUMIF(CalcDebit2,INDEX(PkCapA,16),CalcAmt2)))</f>
        <v/>
      </c>
      <c r="F1720" s="14">
        <f>IF($B1720="","",IF(16&gt;NCapA,0,SUMIF(CalcCredit,INDEX(PkCapA,16),CalcAmt)+SUMIF(CalcCredit2,INDEX(PkCapA,16),CalcAmt2)))</f>
        <v/>
      </c>
      <c r="G1720" s="15">
        <f>IF($B1720="","",ROUND($E1720-$F1720,0))</f>
        <v/>
      </c>
      <c r="H1720" s="12">
        <f>IF($B1720="","",IF(ROUND($G1720,0)&gt;0,"بدهکار",IF(ROUND($G1720,0)&lt;0,"بستانکار","تسویه")))</f>
        <v/>
      </c>
    </row>
    <row r="1721">
      <c r="A1721" s="16">
        <f>IF($B1721="","",1712)</f>
        <v/>
      </c>
      <c r="B1721" s="17">
        <f>IF(17&gt;NCapA,"",IFERROR(IF(VLOOKUP(INDEX(PkCapA,17),AcctTblA,4,0)="","(بدون نام)",VLOOKUP(INDEX(PkCapA,17),AcctTblA,4,0)),"—"))</f>
        <v/>
      </c>
      <c r="C1721" s="18">
        <f>IF($B1721="","",IF(17&gt;NCapA,"",INDEX(PkCapA,17)))</f>
        <v/>
      </c>
      <c r="D1721" s="17">
        <f>IF($B1721="","","c")</f>
        <v/>
      </c>
      <c r="E1721" s="19">
        <f>IF($B1721="","",IF(17&gt;NCapA,0,SUMIF(CalcDebit,INDEX(PkCapA,17),CalcAmt)+SUMIF(CalcDebit2,INDEX(PkCapA,17),CalcAmt2)))</f>
        <v/>
      </c>
      <c r="F1721" s="19">
        <f>IF($B1721="","",IF(17&gt;NCapA,0,SUMIF(CalcCredit,INDEX(PkCapA,17),CalcAmt)+SUMIF(CalcCredit2,INDEX(PkCapA,17),CalcAmt2)))</f>
        <v/>
      </c>
      <c r="G1721" s="20">
        <f>IF($B1721="","",ROUND($E1721-$F1721,0))</f>
        <v/>
      </c>
      <c r="H1721" s="17">
        <f>IF($B1721="","",IF(ROUND($G1721,0)&gt;0,"بدهکار",IF(ROUND($G1721,0)&lt;0,"بستانکار","تسویه")))</f>
        <v/>
      </c>
    </row>
    <row r="1722">
      <c r="A1722" s="11">
        <f>IF($B1722="","",1713)</f>
        <v/>
      </c>
      <c r="B1722" s="12">
        <f>IF(18&gt;NCapA,"",IFERROR(IF(VLOOKUP(INDEX(PkCapA,18),AcctTblA,4,0)="","(بدون نام)",VLOOKUP(INDEX(PkCapA,18),AcctTblA,4,0)),"—"))</f>
        <v/>
      </c>
      <c r="C1722" s="13">
        <f>IF($B1722="","",IF(18&gt;NCapA,"",INDEX(PkCapA,18)))</f>
        <v/>
      </c>
      <c r="D1722" s="12">
        <f>IF($B1722="","","c")</f>
        <v/>
      </c>
      <c r="E1722" s="14">
        <f>IF($B1722="","",IF(18&gt;NCapA,0,SUMIF(CalcDebit,INDEX(PkCapA,18),CalcAmt)+SUMIF(CalcDebit2,INDEX(PkCapA,18),CalcAmt2)))</f>
        <v/>
      </c>
      <c r="F1722" s="14">
        <f>IF($B1722="","",IF(18&gt;NCapA,0,SUMIF(CalcCredit,INDEX(PkCapA,18),CalcAmt)+SUMIF(CalcCredit2,INDEX(PkCapA,18),CalcAmt2)))</f>
        <v/>
      </c>
      <c r="G1722" s="15">
        <f>IF($B1722="","",ROUND($E1722-$F1722,0))</f>
        <v/>
      </c>
      <c r="H1722" s="12">
        <f>IF($B1722="","",IF(ROUND($G1722,0)&gt;0,"بدهکار",IF(ROUND($G1722,0)&lt;0,"بستانکار","تسویه")))</f>
        <v/>
      </c>
    </row>
    <row r="1723">
      <c r="A1723" s="16">
        <f>IF($B1723="","",1714)</f>
        <v/>
      </c>
      <c r="B1723" s="17">
        <f>IF(19&gt;NCapA,"",IFERROR(IF(VLOOKUP(INDEX(PkCapA,19),AcctTblA,4,0)="","(بدون نام)",VLOOKUP(INDEX(PkCapA,19),AcctTblA,4,0)),"—"))</f>
        <v/>
      </c>
      <c r="C1723" s="18">
        <f>IF($B1723="","",IF(19&gt;NCapA,"",INDEX(PkCapA,19)))</f>
        <v/>
      </c>
      <c r="D1723" s="17">
        <f>IF($B1723="","","c")</f>
        <v/>
      </c>
      <c r="E1723" s="19">
        <f>IF($B1723="","",IF(19&gt;NCapA,0,SUMIF(CalcDebit,INDEX(PkCapA,19),CalcAmt)+SUMIF(CalcDebit2,INDEX(PkCapA,19),CalcAmt2)))</f>
        <v/>
      </c>
      <c r="F1723" s="19">
        <f>IF($B1723="","",IF(19&gt;NCapA,0,SUMIF(CalcCredit,INDEX(PkCapA,19),CalcAmt)+SUMIF(CalcCredit2,INDEX(PkCapA,19),CalcAmt2)))</f>
        <v/>
      </c>
      <c r="G1723" s="20">
        <f>IF($B1723="","",ROUND($E1723-$F1723,0))</f>
        <v/>
      </c>
      <c r="H1723" s="17">
        <f>IF($B1723="","",IF(ROUND($G1723,0)&gt;0,"بدهکار",IF(ROUND($G1723,0)&lt;0,"بستانکار","تسویه")))</f>
        <v/>
      </c>
    </row>
    <row r="1724">
      <c r="A1724" s="11">
        <f>IF($B1724="","",1715)</f>
        <v/>
      </c>
      <c r="B1724" s="12">
        <f>IF(20&gt;NCapA,"",IFERROR(IF(VLOOKUP(INDEX(PkCapA,20),AcctTblA,4,0)="","(بدون نام)",VLOOKUP(INDEX(PkCapA,20),AcctTblA,4,0)),"—"))</f>
        <v/>
      </c>
      <c r="C1724" s="13">
        <f>IF($B1724="","",IF(20&gt;NCapA,"",INDEX(PkCapA,20)))</f>
        <v/>
      </c>
      <c r="D1724" s="12">
        <f>IF($B1724="","","c")</f>
        <v/>
      </c>
      <c r="E1724" s="14">
        <f>IF($B1724="","",IF(20&gt;NCapA,0,SUMIF(CalcDebit,INDEX(PkCapA,20),CalcAmt)+SUMIF(CalcDebit2,INDEX(PkCapA,20),CalcAmt2)))</f>
        <v/>
      </c>
      <c r="F1724" s="14">
        <f>IF($B1724="","",IF(20&gt;NCapA,0,SUMIF(CalcCredit,INDEX(PkCapA,20),CalcAmt)+SUMIF(CalcCredit2,INDEX(PkCapA,20),CalcAmt2)))</f>
        <v/>
      </c>
      <c r="G1724" s="15">
        <f>IF($B1724="","",ROUND($E1724-$F1724,0))</f>
        <v/>
      </c>
      <c r="H1724" s="12">
        <f>IF($B1724="","",IF(ROUND($G1724,0)&gt;0,"بدهکار",IF(ROUND($G1724,0)&lt;0,"بستانکار","تسویه")))</f>
        <v/>
      </c>
    </row>
    <row r="1725">
      <c r="A1725" s="16">
        <f>IF($B1725="","",1716)</f>
        <v/>
      </c>
      <c r="B1725" s="17">
        <f>IF(21&gt;NCapA,"",IFERROR(IF(VLOOKUP(INDEX(PkCapA,21),AcctTblA,4,0)="","(بدون نام)",VLOOKUP(INDEX(PkCapA,21),AcctTblA,4,0)),"—"))</f>
        <v/>
      </c>
      <c r="C1725" s="18">
        <f>IF($B1725="","",IF(21&gt;NCapA,"",INDEX(PkCapA,21)))</f>
        <v/>
      </c>
      <c r="D1725" s="17">
        <f>IF($B1725="","","c")</f>
        <v/>
      </c>
      <c r="E1725" s="19">
        <f>IF($B1725="","",IF(21&gt;NCapA,0,SUMIF(CalcDebit,INDEX(PkCapA,21),CalcAmt)+SUMIF(CalcDebit2,INDEX(PkCapA,21),CalcAmt2)))</f>
        <v/>
      </c>
      <c r="F1725" s="19">
        <f>IF($B1725="","",IF(21&gt;NCapA,0,SUMIF(CalcCredit,INDEX(PkCapA,21),CalcAmt)+SUMIF(CalcCredit2,INDEX(PkCapA,21),CalcAmt2)))</f>
        <v/>
      </c>
      <c r="G1725" s="20">
        <f>IF($B1725="","",ROUND($E1725-$F1725,0))</f>
        <v/>
      </c>
      <c r="H1725" s="17">
        <f>IF($B1725="","",IF(ROUND($G1725,0)&gt;0,"بدهکار",IF(ROUND($G1725,0)&lt;0,"بستانکار","تسویه")))</f>
        <v/>
      </c>
    </row>
    <row r="1726">
      <c r="A1726" s="11">
        <f>IF($B1726="","",1717)</f>
        <v/>
      </c>
      <c r="B1726" s="12">
        <f>IF(22&gt;NCapA,"",IFERROR(IF(VLOOKUP(INDEX(PkCapA,22),AcctTblA,4,0)="","(بدون نام)",VLOOKUP(INDEX(PkCapA,22),AcctTblA,4,0)),"—"))</f>
        <v/>
      </c>
      <c r="C1726" s="13">
        <f>IF($B1726="","",IF(22&gt;NCapA,"",INDEX(PkCapA,22)))</f>
        <v/>
      </c>
      <c r="D1726" s="12">
        <f>IF($B1726="","","c")</f>
        <v/>
      </c>
      <c r="E1726" s="14">
        <f>IF($B1726="","",IF(22&gt;NCapA,0,SUMIF(CalcDebit,INDEX(PkCapA,22),CalcAmt)+SUMIF(CalcDebit2,INDEX(PkCapA,22),CalcAmt2)))</f>
        <v/>
      </c>
      <c r="F1726" s="14">
        <f>IF($B1726="","",IF(22&gt;NCapA,0,SUMIF(CalcCredit,INDEX(PkCapA,22),CalcAmt)+SUMIF(CalcCredit2,INDEX(PkCapA,22),CalcAmt2)))</f>
        <v/>
      </c>
      <c r="G1726" s="15">
        <f>IF($B1726="","",ROUND($E1726-$F1726,0))</f>
        <v/>
      </c>
      <c r="H1726" s="12">
        <f>IF($B1726="","",IF(ROUND($G1726,0)&gt;0,"بدهکار",IF(ROUND($G1726,0)&lt;0,"بستانکار","تسویه")))</f>
        <v/>
      </c>
    </row>
    <row r="1727">
      <c r="A1727" s="16">
        <f>IF($B1727="","",1718)</f>
        <v/>
      </c>
      <c r="B1727" s="17">
        <f>IF(23&gt;NCapA,"",IFERROR(IF(VLOOKUP(INDEX(PkCapA,23),AcctTblA,4,0)="","(بدون نام)",VLOOKUP(INDEX(PkCapA,23),AcctTblA,4,0)),"—"))</f>
        <v/>
      </c>
      <c r="C1727" s="18">
        <f>IF($B1727="","",IF(23&gt;NCapA,"",INDEX(PkCapA,23)))</f>
        <v/>
      </c>
      <c r="D1727" s="17">
        <f>IF($B1727="","","c")</f>
        <v/>
      </c>
      <c r="E1727" s="19">
        <f>IF($B1727="","",IF(23&gt;NCapA,0,SUMIF(CalcDebit,INDEX(PkCapA,23),CalcAmt)+SUMIF(CalcDebit2,INDEX(PkCapA,23),CalcAmt2)))</f>
        <v/>
      </c>
      <c r="F1727" s="19">
        <f>IF($B1727="","",IF(23&gt;NCapA,0,SUMIF(CalcCredit,INDEX(PkCapA,23),CalcAmt)+SUMIF(CalcCredit2,INDEX(PkCapA,23),CalcAmt2)))</f>
        <v/>
      </c>
      <c r="G1727" s="20">
        <f>IF($B1727="","",ROUND($E1727-$F1727,0))</f>
        <v/>
      </c>
      <c r="H1727" s="17">
        <f>IF($B1727="","",IF(ROUND($G1727,0)&gt;0,"بدهکار",IF(ROUND($G1727,0)&lt;0,"بستانکار","تسویه")))</f>
        <v/>
      </c>
    </row>
    <row r="1728">
      <c r="A1728" s="11">
        <f>IF($B1728="","",1719)</f>
        <v/>
      </c>
      <c r="B1728" s="12">
        <f>IF(24&gt;NCapA,"",IFERROR(IF(VLOOKUP(INDEX(PkCapA,24),AcctTblA,4,0)="","(بدون نام)",VLOOKUP(INDEX(PkCapA,24),AcctTblA,4,0)),"—"))</f>
        <v/>
      </c>
      <c r="C1728" s="13">
        <f>IF($B1728="","",IF(24&gt;NCapA,"",INDEX(PkCapA,24)))</f>
        <v/>
      </c>
      <c r="D1728" s="12">
        <f>IF($B1728="","","c")</f>
        <v/>
      </c>
      <c r="E1728" s="14">
        <f>IF($B1728="","",IF(24&gt;NCapA,0,SUMIF(CalcDebit,INDEX(PkCapA,24),CalcAmt)+SUMIF(CalcDebit2,INDEX(PkCapA,24),CalcAmt2)))</f>
        <v/>
      </c>
      <c r="F1728" s="14">
        <f>IF($B1728="","",IF(24&gt;NCapA,0,SUMIF(CalcCredit,INDEX(PkCapA,24),CalcAmt)+SUMIF(CalcCredit2,INDEX(PkCapA,24),CalcAmt2)))</f>
        <v/>
      </c>
      <c r="G1728" s="15">
        <f>IF($B1728="","",ROUND($E1728-$F1728,0))</f>
        <v/>
      </c>
      <c r="H1728" s="12">
        <f>IF($B1728="","",IF(ROUND($G1728,0)&gt;0,"بدهکار",IF(ROUND($G1728,0)&lt;0,"بستانکار","تسویه")))</f>
        <v/>
      </c>
    </row>
    <row r="1729">
      <c r="A1729" s="16">
        <f>IF($B1729="","",1720)</f>
        <v/>
      </c>
      <c r="B1729" s="17">
        <f>IF(25&gt;NCapA,"",IFERROR(IF(VLOOKUP(INDEX(PkCapA,25),AcctTblA,4,0)="","(بدون نام)",VLOOKUP(INDEX(PkCapA,25),AcctTblA,4,0)),"—"))</f>
        <v/>
      </c>
      <c r="C1729" s="18">
        <f>IF($B1729="","",IF(25&gt;NCapA,"",INDEX(PkCapA,25)))</f>
        <v/>
      </c>
      <c r="D1729" s="17">
        <f>IF($B1729="","","c")</f>
        <v/>
      </c>
      <c r="E1729" s="19">
        <f>IF($B1729="","",IF(25&gt;NCapA,0,SUMIF(CalcDebit,INDEX(PkCapA,25),CalcAmt)+SUMIF(CalcDebit2,INDEX(PkCapA,25),CalcAmt2)))</f>
        <v/>
      </c>
      <c r="F1729" s="19">
        <f>IF($B1729="","",IF(25&gt;NCapA,0,SUMIF(CalcCredit,INDEX(PkCapA,25),CalcAmt)+SUMIF(CalcCredit2,INDEX(PkCapA,25),CalcAmt2)))</f>
        <v/>
      </c>
      <c r="G1729" s="20">
        <f>IF($B1729="","",ROUND($E1729-$F1729,0))</f>
        <v/>
      </c>
      <c r="H1729" s="17">
        <f>IF($B1729="","",IF(ROUND($G1729,0)&gt;0,"بدهکار",IF(ROUND($G1729,0)&lt;0,"بستانکار","تسویه")))</f>
        <v/>
      </c>
    </row>
    <row r="1730">
      <c r="A1730" s="11">
        <f>IF($B1730="","",1721)</f>
        <v/>
      </c>
      <c r="B1730" s="12">
        <f>IF(26&gt;NCapA,"",IFERROR(IF(VLOOKUP(INDEX(PkCapA,26),AcctTblA,4,0)="","(بدون نام)",VLOOKUP(INDEX(PkCapA,26),AcctTblA,4,0)),"—"))</f>
        <v/>
      </c>
      <c r="C1730" s="13">
        <f>IF($B1730="","",IF(26&gt;NCapA,"",INDEX(PkCapA,26)))</f>
        <v/>
      </c>
      <c r="D1730" s="12">
        <f>IF($B1730="","","c")</f>
        <v/>
      </c>
      <c r="E1730" s="14">
        <f>IF($B1730="","",IF(26&gt;NCapA,0,SUMIF(CalcDebit,INDEX(PkCapA,26),CalcAmt)+SUMIF(CalcDebit2,INDEX(PkCapA,26),CalcAmt2)))</f>
        <v/>
      </c>
      <c r="F1730" s="14">
        <f>IF($B1730="","",IF(26&gt;NCapA,0,SUMIF(CalcCredit,INDEX(PkCapA,26),CalcAmt)+SUMIF(CalcCredit2,INDEX(PkCapA,26),CalcAmt2)))</f>
        <v/>
      </c>
      <c r="G1730" s="15">
        <f>IF($B1730="","",ROUND($E1730-$F1730,0))</f>
        <v/>
      </c>
      <c r="H1730" s="12">
        <f>IF($B1730="","",IF(ROUND($G1730,0)&gt;0,"بدهکار",IF(ROUND($G1730,0)&lt;0,"بستانکار","تسویه")))</f>
        <v/>
      </c>
    </row>
    <row r="1731">
      <c r="A1731" s="16">
        <f>IF($B1731="","",1722)</f>
        <v/>
      </c>
      <c r="B1731" s="17">
        <f>IF(27&gt;NCapA,"",IFERROR(IF(VLOOKUP(INDEX(PkCapA,27),AcctTblA,4,0)="","(بدون نام)",VLOOKUP(INDEX(PkCapA,27),AcctTblA,4,0)),"—"))</f>
        <v/>
      </c>
      <c r="C1731" s="18">
        <f>IF($B1731="","",IF(27&gt;NCapA,"",INDEX(PkCapA,27)))</f>
        <v/>
      </c>
      <c r="D1731" s="17">
        <f>IF($B1731="","","c")</f>
        <v/>
      </c>
      <c r="E1731" s="19">
        <f>IF($B1731="","",IF(27&gt;NCapA,0,SUMIF(CalcDebit,INDEX(PkCapA,27),CalcAmt)+SUMIF(CalcDebit2,INDEX(PkCapA,27),CalcAmt2)))</f>
        <v/>
      </c>
      <c r="F1731" s="19">
        <f>IF($B1731="","",IF(27&gt;NCapA,0,SUMIF(CalcCredit,INDEX(PkCapA,27),CalcAmt)+SUMIF(CalcCredit2,INDEX(PkCapA,27),CalcAmt2)))</f>
        <v/>
      </c>
      <c r="G1731" s="20">
        <f>IF($B1731="","",ROUND($E1731-$F1731,0))</f>
        <v/>
      </c>
      <c r="H1731" s="17">
        <f>IF($B1731="","",IF(ROUND($G1731,0)&gt;0,"بدهکار",IF(ROUND($G1731,0)&lt;0,"بستانکار","تسویه")))</f>
        <v/>
      </c>
    </row>
    <row r="1732">
      <c r="A1732" s="11">
        <f>IF($B1732="","",1723)</f>
        <v/>
      </c>
      <c r="B1732" s="12">
        <f>IF(28&gt;NCapA,"",IFERROR(IF(VLOOKUP(INDEX(PkCapA,28),AcctTblA,4,0)="","(بدون نام)",VLOOKUP(INDEX(PkCapA,28),AcctTblA,4,0)),"—"))</f>
        <v/>
      </c>
      <c r="C1732" s="13">
        <f>IF($B1732="","",IF(28&gt;NCapA,"",INDEX(PkCapA,28)))</f>
        <v/>
      </c>
      <c r="D1732" s="12">
        <f>IF($B1732="","","c")</f>
        <v/>
      </c>
      <c r="E1732" s="14">
        <f>IF($B1732="","",IF(28&gt;NCapA,0,SUMIF(CalcDebit,INDEX(PkCapA,28),CalcAmt)+SUMIF(CalcDebit2,INDEX(PkCapA,28),CalcAmt2)))</f>
        <v/>
      </c>
      <c r="F1732" s="14">
        <f>IF($B1732="","",IF(28&gt;NCapA,0,SUMIF(CalcCredit,INDEX(PkCapA,28),CalcAmt)+SUMIF(CalcCredit2,INDEX(PkCapA,28),CalcAmt2)))</f>
        <v/>
      </c>
      <c r="G1732" s="15">
        <f>IF($B1732="","",ROUND($E1732-$F1732,0))</f>
        <v/>
      </c>
      <c r="H1732" s="12">
        <f>IF($B1732="","",IF(ROUND($G1732,0)&gt;0,"بدهکار",IF(ROUND($G1732,0)&lt;0,"بستانکار","تسویه")))</f>
        <v/>
      </c>
    </row>
    <row r="1733">
      <c r="A1733" s="16">
        <f>IF($B1733="","",1724)</f>
        <v/>
      </c>
      <c r="B1733" s="17">
        <f>IF(29&gt;NCapA,"",IFERROR(IF(VLOOKUP(INDEX(PkCapA,29),AcctTblA,4,0)="","(بدون نام)",VLOOKUP(INDEX(PkCapA,29),AcctTblA,4,0)),"—"))</f>
        <v/>
      </c>
      <c r="C1733" s="18">
        <f>IF($B1733="","",IF(29&gt;NCapA,"",INDEX(PkCapA,29)))</f>
        <v/>
      </c>
      <c r="D1733" s="17">
        <f>IF($B1733="","","c")</f>
        <v/>
      </c>
      <c r="E1733" s="19">
        <f>IF($B1733="","",IF(29&gt;NCapA,0,SUMIF(CalcDebit,INDEX(PkCapA,29),CalcAmt)+SUMIF(CalcDebit2,INDEX(PkCapA,29),CalcAmt2)))</f>
        <v/>
      </c>
      <c r="F1733" s="19">
        <f>IF($B1733="","",IF(29&gt;NCapA,0,SUMIF(CalcCredit,INDEX(PkCapA,29),CalcAmt)+SUMIF(CalcCredit2,INDEX(PkCapA,29),CalcAmt2)))</f>
        <v/>
      </c>
      <c r="G1733" s="20">
        <f>IF($B1733="","",ROUND($E1733-$F1733,0))</f>
        <v/>
      </c>
      <c r="H1733" s="17">
        <f>IF($B1733="","",IF(ROUND($G1733,0)&gt;0,"بدهکار",IF(ROUND($G1733,0)&lt;0,"بستانکار","تسویه")))</f>
        <v/>
      </c>
    </row>
    <row r="1734">
      <c r="A1734" s="11">
        <f>IF($B1734="","",1725)</f>
        <v/>
      </c>
      <c r="B1734" s="12">
        <f>IF(30&gt;NCapA,"",IFERROR(IF(VLOOKUP(INDEX(PkCapA,30),AcctTblA,4,0)="","(بدون نام)",VLOOKUP(INDEX(PkCapA,30),AcctTblA,4,0)),"—"))</f>
        <v/>
      </c>
      <c r="C1734" s="13">
        <f>IF($B1734="","",IF(30&gt;NCapA,"",INDEX(PkCapA,30)))</f>
        <v/>
      </c>
      <c r="D1734" s="12">
        <f>IF($B1734="","","c")</f>
        <v/>
      </c>
      <c r="E1734" s="14">
        <f>IF($B1734="","",IF(30&gt;NCapA,0,SUMIF(CalcDebit,INDEX(PkCapA,30),CalcAmt)+SUMIF(CalcDebit2,INDEX(PkCapA,30),CalcAmt2)))</f>
        <v/>
      </c>
      <c r="F1734" s="14">
        <f>IF($B1734="","",IF(30&gt;NCapA,0,SUMIF(CalcCredit,INDEX(PkCapA,30),CalcAmt)+SUMIF(CalcCredit2,INDEX(PkCapA,30),CalcAmt2)))</f>
        <v/>
      </c>
      <c r="G1734" s="15">
        <f>IF($B1734="","",ROUND($E1734-$F1734,0))</f>
        <v/>
      </c>
      <c r="H1734" s="12">
        <f>IF($B1734="","",IF(ROUND($G1734,0)&gt;0,"بدهکار",IF(ROUND($G1734,0)&lt;0,"بستانکار","تسویه")))</f>
        <v/>
      </c>
    </row>
    <row r="1735">
      <c r="A1735" s="16">
        <f>IF($B1735="","",1726)</f>
        <v/>
      </c>
      <c r="B1735" s="17">
        <f>IF(31&gt;NCapA,"",IFERROR(IF(VLOOKUP(INDEX(PkCapA,31),AcctTblA,4,0)="","(بدون نام)",VLOOKUP(INDEX(PkCapA,31),AcctTblA,4,0)),"—"))</f>
        <v/>
      </c>
      <c r="C1735" s="18">
        <f>IF($B1735="","",IF(31&gt;NCapA,"",INDEX(PkCapA,31)))</f>
        <v/>
      </c>
      <c r="D1735" s="17">
        <f>IF($B1735="","","c")</f>
        <v/>
      </c>
      <c r="E1735" s="19">
        <f>IF($B1735="","",IF(31&gt;NCapA,0,SUMIF(CalcDebit,INDEX(PkCapA,31),CalcAmt)+SUMIF(CalcDebit2,INDEX(PkCapA,31),CalcAmt2)))</f>
        <v/>
      </c>
      <c r="F1735" s="19">
        <f>IF($B1735="","",IF(31&gt;NCapA,0,SUMIF(CalcCredit,INDEX(PkCapA,31),CalcAmt)+SUMIF(CalcCredit2,INDEX(PkCapA,31),CalcAmt2)))</f>
        <v/>
      </c>
      <c r="G1735" s="20">
        <f>IF($B1735="","",ROUND($E1735-$F1735,0))</f>
        <v/>
      </c>
      <c r="H1735" s="17">
        <f>IF($B1735="","",IF(ROUND($G1735,0)&gt;0,"بدهکار",IF(ROUND($G1735,0)&lt;0,"بستانکار","تسویه")))</f>
        <v/>
      </c>
    </row>
    <row r="1736">
      <c r="A1736" s="11">
        <f>IF($B1736="","",1727)</f>
        <v/>
      </c>
      <c r="B1736" s="12">
        <f>IF(32&gt;NCapA,"",IFERROR(IF(VLOOKUP(INDEX(PkCapA,32),AcctTblA,4,0)="","(بدون نام)",VLOOKUP(INDEX(PkCapA,32),AcctTblA,4,0)),"—"))</f>
        <v/>
      </c>
      <c r="C1736" s="13">
        <f>IF($B1736="","",IF(32&gt;NCapA,"",INDEX(PkCapA,32)))</f>
        <v/>
      </c>
      <c r="D1736" s="12">
        <f>IF($B1736="","","c")</f>
        <v/>
      </c>
      <c r="E1736" s="14">
        <f>IF($B1736="","",IF(32&gt;NCapA,0,SUMIF(CalcDebit,INDEX(PkCapA,32),CalcAmt)+SUMIF(CalcDebit2,INDEX(PkCapA,32),CalcAmt2)))</f>
        <v/>
      </c>
      <c r="F1736" s="14">
        <f>IF($B1736="","",IF(32&gt;NCapA,0,SUMIF(CalcCredit,INDEX(PkCapA,32),CalcAmt)+SUMIF(CalcCredit2,INDEX(PkCapA,32),CalcAmt2)))</f>
        <v/>
      </c>
      <c r="G1736" s="15">
        <f>IF($B1736="","",ROUND($E1736-$F1736,0))</f>
        <v/>
      </c>
      <c r="H1736" s="12">
        <f>IF($B1736="","",IF(ROUND($G1736,0)&gt;0,"بدهکار",IF(ROUND($G1736,0)&lt;0,"بستانکار","تسویه")))</f>
        <v/>
      </c>
    </row>
    <row r="1737">
      <c r="A1737" s="16">
        <f>IF($B1737="","",1728)</f>
        <v/>
      </c>
      <c r="B1737" s="17">
        <f>IF(33&gt;NCapA,"",IFERROR(IF(VLOOKUP(INDEX(PkCapA,33),AcctTblA,4,0)="","(بدون نام)",VLOOKUP(INDEX(PkCapA,33),AcctTblA,4,0)),"—"))</f>
        <v/>
      </c>
      <c r="C1737" s="18">
        <f>IF($B1737="","",IF(33&gt;NCapA,"",INDEX(PkCapA,33)))</f>
        <v/>
      </c>
      <c r="D1737" s="17">
        <f>IF($B1737="","","c")</f>
        <v/>
      </c>
      <c r="E1737" s="19">
        <f>IF($B1737="","",IF(33&gt;NCapA,0,SUMIF(CalcDebit,INDEX(PkCapA,33),CalcAmt)+SUMIF(CalcDebit2,INDEX(PkCapA,33),CalcAmt2)))</f>
        <v/>
      </c>
      <c r="F1737" s="19">
        <f>IF($B1737="","",IF(33&gt;NCapA,0,SUMIF(CalcCredit,INDEX(PkCapA,33),CalcAmt)+SUMIF(CalcCredit2,INDEX(PkCapA,33),CalcAmt2)))</f>
        <v/>
      </c>
      <c r="G1737" s="20">
        <f>IF($B1737="","",ROUND($E1737-$F1737,0))</f>
        <v/>
      </c>
      <c r="H1737" s="17">
        <f>IF($B1737="","",IF(ROUND($G1737,0)&gt;0,"بدهکار",IF(ROUND($G1737,0)&lt;0,"بستانکار","تسویه")))</f>
        <v/>
      </c>
    </row>
    <row r="1738">
      <c r="A1738" s="11">
        <f>IF($B1738="","",1729)</f>
        <v/>
      </c>
      <c r="B1738" s="12">
        <f>IF(34&gt;NCapA,"",IFERROR(IF(VLOOKUP(INDEX(PkCapA,34),AcctTblA,4,0)="","(بدون نام)",VLOOKUP(INDEX(PkCapA,34),AcctTblA,4,0)),"—"))</f>
        <v/>
      </c>
      <c r="C1738" s="13">
        <f>IF($B1738="","",IF(34&gt;NCapA,"",INDEX(PkCapA,34)))</f>
        <v/>
      </c>
      <c r="D1738" s="12">
        <f>IF($B1738="","","c")</f>
        <v/>
      </c>
      <c r="E1738" s="14">
        <f>IF($B1738="","",IF(34&gt;NCapA,0,SUMIF(CalcDebit,INDEX(PkCapA,34),CalcAmt)+SUMIF(CalcDebit2,INDEX(PkCapA,34),CalcAmt2)))</f>
        <v/>
      </c>
      <c r="F1738" s="14">
        <f>IF($B1738="","",IF(34&gt;NCapA,0,SUMIF(CalcCredit,INDEX(PkCapA,34),CalcAmt)+SUMIF(CalcCredit2,INDEX(PkCapA,34),CalcAmt2)))</f>
        <v/>
      </c>
      <c r="G1738" s="15">
        <f>IF($B1738="","",ROUND($E1738-$F1738,0))</f>
        <v/>
      </c>
      <c r="H1738" s="12">
        <f>IF($B1738="","",IF(ROUND($G1738,0)&gt;0,"بدهکار",IF(ROUND($G1738,0)&lt;0,"بستانکار","تسویه")))</f>
        <v/>
      </c>
    </row>
    <row r="1739">
      <c r="A1739" s="16">
        <f>IF($B1739="","",1730)</f>
        <v/>
      </c>
      <c r="B1739" s="17">
        <f>IF(35&gt;NCapA,"",IFERROR(IF(VLOOKUP(INDEX(PkCapA,35),AcctTblA,4,0)="","(بدون نام)",VLOOKUP(INDEX(PkCapA,35),AcctTblA,4,0)),"—"))</f>
        <v/>
      </c>
      <c r="C1739" s="18">
        <f>IF($B1739="","",IF(35&gt;NCapA,"",INDEX(PkCapA,35)))</f>
        <v/>
      </c>
      <c r="D1739" s="17">
        <f>IF($B1739="","","c")</f>
        <v/>
      </c>
      <c r="E1739" s="19">
        <f>IF($B1739="","",IF(35&gt;NCapA,0,SUMIF(CalcDebit,INDEX(PkCapA,35),CalcAmt)+SUMIF(CalcDebit2,INDEX(PkCapA,35),CalcAmt2)))</f>
        <v/>
      </c>
      <c r="F1739" s="19">
        <f>IF($B1739="","",IF(35&gt;NCapA,0,SUMIF(CalcCredit,INDEX(PkCapA,35),CalcAmt)+SUMIF(CalcCredit2,INDEX(PkCapA,35),CalcAmt2)))</f>
        <v/>
      </c>
      <c r="G1739" s="20">
        <f>IF($B1739="","",ROUND($E1739-$F1739,0))</f>
        <v/>
      </c>
      <c r="H1739" s="17">
        <f>IF($B1739="","",IF(ROUND($G1739,0)&gt;0,"بدهکار",IF(ROUND($G1739,0)&lt;0,"بستانکار","تسویه")))</f>
        <v/>
      </c>
    </row>
    <row r="1740">
      <c r="A1740" s="11">
        <f>IF($B1740="","",1731)</f>
        <v/>
      </c>
      <c r="B1740" s="12">
        <f>IF(36&gt;NCapA,"",IFERROR(IF(VLOOKUP(INDEX(PkCapA,36),AcctTblA,4,0)="","(بدون نام)",VLOOKUP(INDEX(PkCapA,36),AcctTblA,4,0)),"—"))</f>
        <v/>
      </c>
      <c r="C1740" s="13">
        <f>IF($B1740="","",IF(36&gt;NCapA,"",INDEX(PkCapA,36)))</f>
        <v/>
      </c>
      <c r="D1740" s="12">
        <f>IF($B1740="","","c")</f>
        <v/>
      </c>
      <c r="E1740" s="14">
        <f>IF($B1740="","",IF(36&gt;NCapA,0,SUMIF(CalcDebit,INDEX(PkCapA,36),CalcAmt)+SUMIF(CalcDebit2,INDEX(PkCapA,36),CalcAmt2)))</f>
        <v/>
      </c>
      <c r="F1740" s="14">
        <f>IF($B1740="","",IF(36&gt;NCapA,0,SUMIF(CalcCredit,INDEX(PkCapA,36),CalcAmt)+SUMIF(CalcCredit2,INDEX(PkCapA,36),CalcAmt2)))</f>
        <v/>
      </c>
      <c r="G1740" s="15">
        <f>IF($B1740="","",ROUND($E1740-$F1740,0))</f>
        <v/>
      </c>
      <c r="H1740" s="12">
        <f>IF($B1740="","",IF(ROUND($G1740,0)&gt;0,"بدهکار",IF(ROUND($G1740,0)&lt;0,"بستانکار","تسویه")))</f>
        <v/>
      </c>
    </row>
    <row r="1741">
      <c r="A1741" s="16">
        <f>IF($B1741="","",1732)</f>
        <v/>
      </c>
      <c r="B1741" s="17">
        <f>IF(37&gt;NCapA,"",IFERROR(IF(VLOOKUP(INDEX(PkCapA,37),AcctTblA,4,0)="","(بدون نام)",VLOOKUP(INDEX(PkCapA,37),AcctTblA,4,0)),"—"))</f>
        <v/>
      </c>
      <c r="C1741" s="18">
        <f>IF($B1741="","",IF(37&gt;NCapA,"",INDEX(PkCapA,37)))</f>
        <v/>
      </c>
      <c r="D1741" s="17">
        <f>IF($B1741="","","c")</f>
        <v/>
      </c>
      <c r="E1741" s="19">
        <f>IF($B1741="","",IF(37&gt;NCapA,0,SUMIF(CalcDebit,INDEX(PkCapA,37),CalcAmt)+SUMIF(CalcDebit2,INDEX(PkCapA,37),CalcAmt2)))</f>
        <v/>
      </c>
      <c r="F1741" s="19">
        <f>IF($B1741="","",IF(37&gt;NCapA,0,SUMIF(CalcCredit,INDEX(PkCapA,37),CalcAmt)+SUMIF(CalcCredit2,INDEX(PkCapA,37),CalcAmt2)))</f>
        <v/>
      </c>
      <c r="G1741" s="20">
        <f>IF($B1741="","",ROUND($E1741-$F1741,0))</f>
        <v/>
      </c>
      <c r="H1741" s="17">
        <f>IF($B1741="","",IF(ROUND($G1741,0)&gt;0,"بدهکار",IF(ROUND($G1741,0)&lt;0,"بستانکار","تسویه")))</f>
        <v/>
      </c>
    </row>
    <row r="1742">
      <c r="A1742" s="11">
        <f>IF($B1742="","",1733)</f>
        <v/>
      </c>
      <c r="B1742" s="12">
        <f>IF(38&gt;NCapA,"",IFERROR(IF(VLOOKUP(INDEX(PkCapA,38),AcctTblA,4,0)="","(بدون نام)",VLOOKUP(INDEX(PkCapA,38),AcctTblA,4,0)),"—"))</f>
        <v/>
      </c>
      <c r="C1742" s="13">
        <f>IF($B1742="","",IF(38&gt;NCapA,"",INDEX(PkCapA,38)))</f>
        <v/>
      </c>
      <c r="D1742" s="12">
        <f>IF($B1742="","","c")</f>
        <v/>
      </c>
      <c r="E1742" s="14">
        <f>IF($B1742="","",IF(38&gt;NCapA,0,SUMIF(CalcDebit,INDEX(PkCapA,38),CalcAmt)+SUMIF(CalcDebit2,INDEX(PkCapA,38),CalcAmt2)))</f>
        <v/>
      </c>
      <c r="F1742" s="14">
        <f>IF($B1742="","",IF(38&gt;NCapA,0,SUMIF(CalcCredit,INDEX(PkCapA,38),CalcAmt)+SUMIF(CalcCredit2,INDEX(PkCapA,38),CalcAmt2)))</f>
        <v/>
      </c>
      <c r="G1742" s="15">
        <f>IF($B1742="","",ROUND($E1742-$F1742,0))</f>
        <v/>
      </c>
      <c r="H1742" s="12">
        <f>IF($B1742="","",IF(ROUND($G1742,0)&gt;0,"بدهکار",IF(ROUND($G1742,0)&lt;0,"بستانکار","تسویه")))</f>
        <v/>
      </c>
    </row>
    <row r="1743">
      <c r="A1743" s="16">
        <f>IF($B1743="","",1734)</f>
        <v/>
      </c>
      <c r="B1743" s="17">
        <f>IF(39&gt;NCapA,"",IFERROR(IF(VLOOKUP(INDEX(PkCapA,39),AcctTblA,4,0)="","(بدون نام)",VLOOKUP(INDEX(PkCapA,39),AcctTblA,4,0)),"—"))</f>
        <v/>
      </c>
      <c r="C1743" s="18">
        <f>IF($B1743="","",IF(39&gt;NCapA,"",INDEX(PkCapA,39)))</f>
        <v/>
      </c>
      <c r="D1743" s="17">
        <f>IF($B1743="","","c")</f>
        <v/>
      </c>
      <c r="E1743" s="19">
        <f>IF($B1743="","",IF(39&gt;NCapA,0,SUMIF(CalcDebit,INDEX(PkCapA,39),CalcAmt)+SUMIF(CalcDebit2,INDEX(PkCapA,39),CalcAmt2)))</f>
        <v/>
      </c>
      <c r="F1743" s="19">
        <f>IF($B1743="","",IF(39&gt;NCapA,0,SUMIF(CalcCredit,INDEX(PkCapA,39),CalcAmt)+SUMIF(CalcCredit2,INDEX(PkCapA,39),CalcAmt2)))</f>
        <v/>
      </c>
      <c r="G1743" s="20">
        <f>IF($B1743="","",ROUND($E1743-$F1743,0))</f>
        <v/>
      </c>
      <c r="H1743" s="17">
        <f>IF($B1743="","",IF(ROUND($G1743,0)&gt;0,"بدهکار",IF(ROUND($G1743,0)&lt;0,"بستانکار","تسویه")))</f>
        <v/>
      </c>
    </row>
    <row r="1744">
      <c r="A1744" s="11">
        <f>IF($B1744="","",1735)</f>
        <v/>
      </c>
      <c r="B1744" s="12">
        <f>IF(40&gt;NCapA,"",IFERROR(IF(VLOOKUP(INDEX(PkCapA,40),AcctTblA,4,0)="","(بدون نام)",VLOOKUP(INDEX(PkCapA,40),AcctTblA,4,0)),"—"))</f>
        <v/>
      </c>
      <c r="C1744" s="13">
        <f>IF($B1744="","",IF(40&gt;NCapA,"",INDEX(PkCapA,40)))</f>
        <v/>
      </c>
      <c r="D1744" s="12">
        <f>IF($B1744="","","c")</f>
        <v/>
      </c>
      <c r="E1744" s="14">
        <f>IF($B1744="","",IF(40&gt;NCapA,0,SUMIF(CalcDebit,INDEX(PkCapA,40),CalcAmt)+SUMIF(CalcDebit2,INDEX(PkCapA,40),CalcAmt2)))</f>
        <v/>
      </c>
      <c r="F1744" s="14">
        <f>IF($B1744="","",IF(40&gt;NCapA,0,SUMIF(CalcCredit,INDEX(PkCapA,40),CalcAmt)+SUMIF(CalcCredit2,INDEX(PkCapA,40),CalcAmt2)))</f>
        <v/>
      </c>
      <c r="G1744" s="15">
        <f>IF($B1744="","",ROUND($E1744-$F1744,0))</f>
        <v/>
      </c>
      <c r="H1744" s="12">
        <f>IF($B1744="","",IF(ROUND($G1744,0)&gt;0,"بدهکار",IF(ROUND($G1744,0)&lt;0,"بستانکار","تسویه")))</f>
        <v/>
      </c>
    </row>
    <row r="1745">
      <c r="A1745" s="16">
        <f>IF($B1745="","",1736)</f>
        <v/>
      </c>
      <c r="B1745" s="17">
        <f>IF(41&gt;NCapA,"",IFERROR(IF(VLOOKUP(INDEX(PkCapA,41),AcctTblA,4,0)="","(بدون نام)",VLOOKUP(INDEX(PkCapA,41),AcctTblA,4,0)),"—"))</f>
        <v/>
      </c>
      <c r="C1745" s="18">
        <f>IF($B1745="","",IF(41&gt;NCapA,"",INDEX(PkCapA,41)))</f>
        <v/>
      </c>
      <c r="D1745" s="17">
        <f>IF($B1745="","","c")</f>
        <v/>
      </c>
      <c r="E1745" s="19">
        <f>IF($B1745="","",IF(41&gt;NCapA,0,SUMIF(CalcDebit,INDEX(PkCapA,41),CalcAmt)+SUMIF(CalcDebit2,INDEX(PkCapA,41),CalcAmt2)))</f>
        <v/>
      </c>
      <c r="F1745" s="19">
        <f>IF($B1745="","",IF(41&gt;NCapA,0,SUMIF(CalcCredit,INDEX(PkCapA,41),CalcAmt)+SUMIF(CalcCredit2,INDEX(PkCapA,41),CalcAmt2)))</f>
        <v/>
      </c>
      <c r="G1745" s="20">
        <f>IF($B1745="","",ROUND($E1745-$F1745,0))</f>
        <v/>
      </c>
      <c r="H1745" s="17">
        <f>IF($B1745="","",IF(ROUND($G1745,0)&gt;0,"بدهکار",IF(ROUND($G1745,0)&lt;0,"بستانکار","تسویه")))</f>
        <v/>
      </c>
    </row>
    <row r="1746">
      <c r="A1746" s="11">
        <f>IF($B1746="","",1737)</f>
        <v/>
      </c>
      <c r="B1746" s="12">
        <f>IF(42&gt;NCapA,"",IFERROR(IF(VLOOKUP(INDEX(PkCapA,42),AcctTblA,4,0)="","(بدون نام)",VLOOKUP(INDEX(PkCapA,42),AcctTblA,4,0)),"—"))</f>
        <v/>
      </c>
      <c r="C1746" s="13">
        <f>IF($B1746="","",IF(42&gt;NCapA,"",INDEX(PkCapA,42)))</f>
        <v/>
      </c>
      <c r="D1746" s="12">
        <f>IF($B1746="","","c")</f>
        <v/>
      </c>
      <c r="E1746" s="14">
        <f>IF($B1746="","",IF(42&gt;NCapA,0,SUMIF(CalcDebit,INDEX(PkCapA,42),CalcAmt)+SUMIF(CalcDebit2,INDEX(PkCapA,42),CalcAmt2)))</f>
        <v/>
      </c>
      <c r="F1746" s="14">
        <f>IF($B1746="","",IF(42&gt;NCapA,0,SUMIF(CalcCredit,INDEX(PkCapA,42),CalcAmt)+SUMIF(CalcCredit2,INDEX(PkCapA,42),CalcAmt2)))</f>
        <v/>
      </c>
      <c r="G1746" s="15">
        <f>IF($B1746="","",ROUND($E1746-$F1746,0))</f>
        <v/>
      </c>
      <c r="H1746" s="12">
        <f>IF($B1746="","",IF(ROUND($G1746,0)&gt;0,"بدهکار",IF(ROUND($G1746,0)&lt;0,"بستانکار","تسویه")))</f>
        <v/>
      </c>
    </row>
    <row r="1747">
      <c r="A1747" s="16">
        <f>IF($B1747="","",1738)</f>
        <v/>
      </c>
      <c r="B1747" s="17">
        <f>IF(43&gt;NCapA,"",IFERROR(IF(VLOOKUP(INDEX(PkCapA,43),AcctTblA,4,0)="","(بدون نام)",VLOOKUP(INDEX(PkCapA,43),AcctTblA,4,0)),"—"))</f>
        <v/>
      </c>
      <c r="C1747" s="18">
        <f>IF($B1747="","",IF(43&gt;NCapA,"",INDEX(PkCapA,43)))</f>
        <v/>
      </c>
      <c r="D1747" s="17">
        <f>IF($B1747="","","c")</f>
        <v/>
      </c>
      <c r="E1747" s="19">
        <f>IF($B1747="","",IF(43&gt;NCapA,0,SUMIF(CalcDebit,INDEX(PkCapA,43),CalcAmt)+SUMIF(CalcDebit2,INDEX(PkCapA,43),CalcAmt2)))</f>
        <v/>
      </c>
      <c r="F1747" s="19">
        <f>IF($B1747="","",IF(43&gt;NCapA,0,SUMIF(CalcCredit,INDEX(PkCapA,43),CalcAmt)+SUMIF(CalcCredit2,INDEX(PkCapA,43),CalcAmt2)))</f>
        <v/>
      </c>
      <c r="G1747" s="20">
        <f>IF($B1747="","",ROUND($E1747-$F1747,0))</f>
        <v/>
      </c>
      <c r="H1747" s="17">
        <f>IF($B1747="","",IF(ROUND($G1747,0)&gt;0,"بدهکار",IF(ROUND($G1747,0)&lt;0,"بستانکار","تسویه")))</f>
        <v/>
      </c>
    </row>
    <row r="1748">
      <c r="A1748" s="11">
        <f>IF($B1748="","",1739)</f>
        <v/>
      </c>
      <c r="B1748" s="12">
        <f>IF(44&gt;NCapA,"",IFERROR(IF(VLOOKUP(INDEX(PkCapA,44),AcctTblA,4,0)="","(بدون نام)",VLOOKUP(INDEX(PkCapA,44),AcctTblA,4,0)),"—"))</f>
        <v/>
      </c>
      <c r="C1748" s="13">
        <f>IF($B1748="","",IF(44&gt;NCapA,"",INDEX(PkCapA,44)))</f>
        <v/>
      </c>
      <c r="D1748" s="12">
        <f>IF($B1748="","","c")</f>
        <v/>
      </c>
      <c r="E1748" s="14">
        <f>IF($B1748="","",IF(44&gt;NCapA,0,SUMIF(CalcDebit,INDEX(PkCapA,44),CalcAmt)+SUMIF(CalcDebit2,INDEX(PkCapA,44),CalcAmt2)))</f>
        <v/>
      </c>
      <c r="F1748" s="14">
        <f>IF($B1748="","",IF(44&gt;NCapA,0,SUMIF(CalcCredit,INDEX(PkCapA,44),CalcAmt)+SUMIF(CalcCredit2,INDEX(PkCapA,44),CalcAmt2)))</f>
        <v/>
      </c>
      <c r="G1748" s="15">
        <f>IF($B1748="","",ROUND($E1748-$F1748,0))</f>
        <v/>
      </c>
      <c r="H1748" s="12">
        <f>IF($B1748="","",IF(ROUND($G1748,0)&gt;0,"بدهکار",IF(ROUND($G1748,0)&lt;0,"بستانکار","تسویه")))</f>
        <v/>
      </c>
    </row>
    <row r="1749">
      <c r="A1749" s="16">
        <f>IF($B1749="","",1740)</f>
        <v/>
      </c>
      <c r="B1749" s="17">
        <f>IF(45&gt;NCapA,"",IFERROR(IF(VLOOKUP(INDEX(PkCapA,45),AcctTblA,4,0)="","(بدون نام)",VLOOKUP(INDEX(PkCapA,45),AcctTblA,4,0)),"—"))</f>
        <v/>
      </c>
      <c r="C1749" s="18">
        <f>IF($B1749="","",IF(45&gt;NCapA,"",INDEX(PkCapA,45)))</f>
        <v/>
      </c>
      <c r="D1749" s="17">
        <f>IF($B1749="","","c")</f>
        <v/>
      </c>
      <c r="E1749" s="19">
        <f>IF($B1749="","",IF(45&gt;NCapA,0,SUMIF(CalcDebit,INDEX(PkCapA,45),CalcAmt)+SUMIF(CalcDebit2,INDEX(PkCapA,45),CalcAmt2)))</f>
        <v/>
      </c>
      <c r="F1749" s="19">
        <f>IF($B1749="","",IF(45&gt;NCapA,0,SUMIF(CalcCredit,INDEX(PkCapA,45),CalcAmt)+SUMIF(CalcCredit2,INDEX(PkCapA,45),CalcAmt2)))</f>
        <v/>
      </c>
      <c r="G1749" s="20">
        <f>IF($B1749="","",ROUND($E1749-$F1749,0))</f>
        <v/>
      </c>
      <c r="H1749" s="17">
        <f>IF($B1749="","",IF(ROUND($G1749,0)&gt;0,"بدهکار",IF(ROUND($G1749,0)&lt;0,"بستانکار","تسویه")))</f>
        <v/>
      </c>
    </row>
    <row r="1750">
      <c r="A1750" s="11">
        <f>IF($B1750="","",1741)</f>
        <v/>
      </c>
      <c r="B1750" s="12">
        <f>IF(46&gt;NCapA,"",IFERROR(IF(VLOOKUP(INDEX(PkCapA,46),AcctTblA,4,0)="","(بدون نام)",VLOOKUP(INDEX(PkCapA,46),AcctTblA,4,0)),"—"))</f>
        <v/>
      </c>
      <c r="C1750" s="13">
        <f>IF($B1750="","",IF(46&gt;NCapA,"",INDEX(PkCapA,46)))</f>
        <v/>
      </c>
      <c r="D1750" s="12">
        <f>IF($B1750="","","c")</f>
        <v/>
      </c>
      <c r="E1750" s="14">
        <f>IF($B1750="","",IF(46&gt;NCapA,0,SUMIF(CalcDebit,INDEX(PkCapA,46),CalcAmt)+SUMIF(CalcDebit2,INDEX(PkCapA,46),CalcAmt2)))</f>
        <v/>
      </c>
      <c r="F1750" s="14">
        <f>IF($B1750="","",IF(46&gt;NCapA,0,SUMIF(CalcCredit,INDEX(PkCapA,46),CalcAmt)+SUMIF(CalcCredit2,INDEX(PkCapA,46),CalcAmt2)))</f>
        <v/>
      </c>
      <c r="G1750" s="15">
        <f>IF($B1750="","",ROUND($E1750-$F1750,0))</f>
        <v/>
      </c>
      <c r="H1750" s="12">
        <f>IF($B1750="","",IF(ROUND($G1750,0)&gt;0,"بدهکار",IF(ROUND($G1750,0)&lt;0,"بستانکار","تسویه")))</f>
        <v/>
      </c>
    </row>
    <row r="1751">
      <c r="A1751" s="16">
        <f>IF($B1751="","",1742)</f>
        <v/>
      </c>
      <c r="B1751" s="17">
        <f>IF(47&gt;NCapA,"",IFERROR(IF(VLOOKUP(INDEX(PkCapA,47),AcctTblA,4,0)="","(بدون نام)",VLOOKUP(INDEX(PkCapA,47),AcctTblA,4,0)),"—"))</f>
        <v/>
      </c>
      <c r="C1751" s="18">
        <f>IF($B1751="","",IF(47&gt;NCapA,"",INDEX(PkCapA,47)))</f>
        <v/>
      </c>
      <c r="D1751" s="17">
        <f>IF($B1751="","","c")</f>
        <v/>
      </c>
      <c r="E1751" s="19">
        <f>IF($B1751="","",IF(47&gt;NCapA,0,SUMIF(CalcDebit,INDEX(PkCapA,47),CalcAmt)+SUMIF(CalcDebit2,INDEX(PkCapA,47),CalcAmt2)))</f>
        <v/>
      </c>
      <c r="F1751" s="19">
        <f>IF($B1751="","",IF(47&gt;NCapA,0,SUMIF(CalcCredit,INDEX(PkCapA,47),CalcAmt)+SUMIF(CalcCredit2,INDEX(PkCapA,47),CalcAmt2)))</f>
        <v/>
      </c>
      <c r="G1751" s="20">
        <f>IF($B1751="","",ROUND($E1751-$F1751,0))</f>
        <v/>
      </c>
      <c r="H1751" s="17">
        <f>IF($B1751="","",IF(ROUND($G1751,0)&gt;0,"بدهکار",IF(ROUND($G1751,0)&lt;0,"بستانکار","تسویه")))</f>
        <v/>
      </c>
    </row>
    <row r="1752">
      <c r="A1752" s="11">
        <f>IF($B1752="","",1743)</f>
        <v/>
      </c>
      <c r="B1752" s="12">
        <f>IF(48&gt;NCapA,"",IFERROR(IF(VLOOKUP(INDEX(PkCapA,48),AcctTblA,4,0)="","(بدون نام)",VLOOKUP(INDEX(PkCapA,48),AcctTblA,4,0)),"—"))</f>
        <v/>
      </c>
      <c r="C1752" s="13">
        <f>IF($B1752="","",IF(48&gt;NCapA,"",INDEX(PkCapA,48)))</f>
        <v/>
      </c>
      <c r="D1752" s="12">
        <f>IF($B1752="","","c")</f>
        <v/>
      </c>
      <c r="E1752" s="14">
        <f>IF($B1752="","",IF(48&gt;NCapA,0,SUMIF(CalcDebit,INDEX(PkCapA,48),CalcAmt)+SUMIF(CalcDebit2,INDEX(PkCapA,48),CalcAmt2)))</f>
        <v/>
      </c>
      <c r="F1752" s="14">
        <f>IF($B1752="","",IF(48&gt;NCapA,0,SUMIF(CalcCredit,INDEX(PkCapA,48),CalcAmt)+SUMIF(CalcCredit2,INDEX(PkCapA,48),CalcAmt2)))</f>
        <v/>
      </c>
      <c r="G1752" s="15">
        <f>IF($B1752="","",ROUND($E1752-$F1752,0))</f>
        <v/>
      </c>
      <c r="H1752" s="12">
        <f>IF($B1752="","",IF(ROUND($G1752,0)&gt;0,"بدهکار",IF(ROUND($G1752,0)&lt;0,"بستانکار","تسویه")))</f>
        <v/>
      </c>
    </row>
    <row r="1753">
      <c r="A1753" s="16">
        <f>IF($B1753="","",1744)</f>
        <v/>
      </c>
      <c r="B1753" s="17">
        <f>IF(49&gt;NCapA,"",IFERROR(IF(VLOOKUP(INDEX(PkCapA,49),AcctTblA,4,0)="","(بدون نام)",VLOOKUP(INDEX(PkCapA,49),AcctTblA,4,0)),"—"))</f>
        <v/>
      </c>
      <c r="C1753" s="18">
        <f>IF($B1753="","",IF(49&gt;NCapA,"",INDEX(PkCapA,49)))</f>
        <v/>
      </c>
      <c r="D1753" s="17">
        <f>IF($B1753="","","c")</f>
        <v/>
      </c>
      <c r="E1753" s="19">
        <f>IF($B1753="","",IF(49&gt;NCapA,0,SUMIF(CalcDebit,INDEX(PkCapA,49),CalcAmt)+SUMIF(CalcDebit2,INDEX(PkCapA,49),CalcAmt2)))</f>
        <v/>
      </c>
      <c r="F1753" s="19">
        <f>IF($B1753="","",IF(49&gt;NCapA,0,SUMIF(CalcCredit,INDEX(PkCapA,49),CalcAmt)+SUMIF(CalcCredit2,INDEX(PkCapA,49),CalcAmt2)))</f>
        <v/>
      </c>
      <c r="G1753" s="20">
        <f>IF($B1753="","",ROUND($E1753-$F1753,0))</f>
        <v/>
      </c>
      <c r="H1753" s="17">
        <f>IF($B1753="","",IF(ROUND($G1753,0)&gt;0,"بدهکار",IF(ROUND($G1753,0)&lt;0,"بستانکار","تسویه")))</f>
        <v/>
      </c>
    </row>
    <row r="1754">
      <c r="A1754" s="11">
        <f>IF($B1754="","",1745)</f>
        <v/>
      </c>
      <c r="B1754" s="12">
        <f>IF(50&gt;NCapA,"",IFERROR(IF(VLOOKUP(INDEX(PkCapA,50),AcctTblA,4,0)="","(بدون نام)",VLOOKUP(INDEX(PkCapA,50),AcctTblA,4,0)),"—"))</f>
        <v/>
      </c>
      <c r="C1754" s="13">
        <f>IF($B1754="","",IF(50&gt;NCapA,"",INDEX(PkCapA,50)))</f>
        <v/>
      </c>
      <c r="D1754" s="12">
        <f>IF($B1754="","","c")</f>
        <v/>
      </c>
      <c r="E1754" s="14">
        <f>IF($B1754="","",IF(50&gt;NCapA,0,SUMIF(CalcDebit,INDEX(PkCapA,50),CalcAmt)+SUMIF(CalcDebit2,INDEX(PkCapA,50),CalcAmt2)))</f>
        <v/>
      </c>
      <c r="F1754" s="14">
        <f>IF($B1754="","",IF(50&gt;NCapA,0,SUMIF(CalcCredit,INDEX(PkCapA,50),CalcAmt)+SUMIF(CalcCredit2,INDEX(PkCapA,50),CalcAmt2)))</f>
        <v/>
      </c>
      <c r="G1754" s="15">
        <f>IF($B1754="","",ROUND($E1754-$F1754,0))</f>
        <v/>
      </c>
      <c r="H1754" s="12">
        <f>IF($B1754="","",IF(ROUND($G1754,0)&gt;0,"بدهکار",IF(ROUND($G1754,0)&lt;0,"بستانکار","تسویه")))</f>
        <v/>
      </c>
    </row>
    <row r="1755">
      <c r="A1755" s="16">
        <f>IF($B1755="","",1746)</f>
        <v/>
      </c>
      <c r="B1755" s="17">
        <f>IF(51&gt;NCapA,"",IFERROR(IF(VLOOKUP(INDEX(PkCapA,51),AcctTblA,4,0)="","(بدون نام)",VLOOKUP(INDEX(PkCapA,51),AcctTblA,4,0)),"—"))</f>
        <v/>
      </c>
      <c r="C1755" s="18">
        <f>IF($B1755="","",IF(51&gt;NCapA,"",INDEX(PkCapA,51)))</f>
        <v/>
      </c>
      <c r="D1755" s="17">
        <f>IF($B1755="","","c")</f>
        <v/>
      </c>
      <c r="E1755" s="19">
        <f>IF($B1755="","",IF(51&gt;NCapA,0,SUMIF(CalcDebit,INDEX(PkCapA,51),CalcAmt)+SUMIF(CalcDebit2,INDEX(PkCapA,51),CalcAmt2)))</f>
        <v/>
      </c>
      <c r="F1755" s="19">
        <f>IF($B1755="","",IF(51&gt;NCapA,0,SUMIF(CalcCredit,INDEX(PkCapA,51),CalcAmt)+SUMIF(CalcCredit2,INDEX(PkCapA,51),CalcAmt2)))</f>
        <v/>
      </c>
      <c r="G1755" s="20">
        <f>IF($B1755="","",ROUND($E1755-$F1755,0))</f>
        <v/>
      </c>
      <c r="H1755" s="17">
        <f>IF($B1755="","",IF(ROUND($G1755,0)&gt;0,"بدهکار",IF(ROUND($G1755,0)&lt;0,"بستانکار","تسویه")))</f>
        <v/>
      </c>
    </row>
    <row r="1756">
      <c r="A1756" s="11">
        <f>IF($B1756="","",1747)</f>
        <v/>
      </c>
      <c r="B1756" s="12">
        <f>IF(52&gt;NCapA,"",IFERROR(IF(VLOOKUP(INDEX(PkCapA,52),AcctTblA,4,0)="","(بدون نام)",VLOOKUP(INDEX(PkCapA,52),AcctTblA,4,0)),"—"))</f>
        <v/>
      </c>
      <c r="C1756" s="13">
        <f>IF($B1756="","",IF(52&gt;NCapA,"",INDEX(PkCapA,52)))</f>
        <v/>
      </c>
      <c r="D1756" s="12">
        <f>IF($B1756="","","c")</f>
        <v/>
      </c>
      <c r="E1756" s="14">
        <f>IF($B1756="","",IF(52&gt;NCapA,0,SUMIF(CalcDebit,INDEX(PkCapA,52),CalcAmt)+SUMIF(CalcDebit2,INDEX(PkCapA,52),CalcAmt2)))</f>
        <v/>
      </c>
      <c r="F1756" s="14">
        <f>IF($B1756="","",IF(52&gt;NCapA,0,SUMIF(CalcCredit,INDEX(PkCapA,52),CalcAmt)+SUMIF(CalcCredit2,INDEX(PkCapA,52),CalcAmt2)))</f>
        <v/>
      </c>
      <c r="G1756" s="15">
        <f>IF($B1756="","",ROUND($E1756-$F1756,0))</f>
        <v/>
      </c>
      <c r="H1756" s="12">
        <f>IF($B1756="","",IF(ROUND($G1756,0)&gt;0,"بدهکار",IF(ROUND($G1756,0)&lt;0,"بستانکار","تسویه")))</f>
        <v/>
      </c>
    </row>
    <row r="1757">
      <c r="A1757" s="16">
        <f>IF($B1757="","",1748)</f>
        <v/>
      </c>
      <c r="B1757" s="17">
        <f>IF(53&gt;NCapA,"",IFERROR(IF(VLOOKUP(INDEX(PkCapA,53),AcctTblA,4,0)="","(بدون نام)",VLOOKUP(INDEX(PkCapA,53),AcctTblA,4,0)),"—"))</f>
        <v/>
      </c>
      <c r="C1757" s="18">
        <f>IF($B1757="","",IF(53&gt;NCapA,"",INDEX(PkCapA,53)))</f>
        <v/>
      </c>
      <c r="D1757" s="17">
        <f>IF($B1757="","","c")</f>
        <v/>
      </c>
      <c r="E1757" s="19">
        <f>IF($B1757="","",IF(53&gt;NCapA,0,SUMIF(CalcDebit,INDEX(PkCapA,53),CalcAmt)+SUMIF(CalcDebit2,INDEX(PkCapA,53),CalcAmt2)))</f>
        <v/>
      </c>
      <c r="F1757" s="19">
        <f>IF($B1757="","",IF(53&gt;NCapA,0,SUMIF(CalcCredit,INDEX(PkCapA,53),CalcAmt)+SUMIF(CalcCredit2,INDEX(PkCapA,53),CalcAmt2)))</f>
        <v/>
      </c>
      <c r="G1757" s="20">
        <f>IF($B1757="","",ROUND($E1757-$F1757,0))</f>
        <v/>
      </c>
      <c r="H1757" s="17">
        <f>IF($B1757="","",IF(ROUND($G1757,0)&gt;0,"بدهکار",IF(ROUND($G1757,0)&lt;0,"بستانکار","تسویه")))</f>
        <v/>
      </c>
    </row>
    <row r="1758">
      <c r="A1758" s="11">
        <f>IF($B1758="","",1749)</f>
        <v/>
      </c>
      <c r="B1758" s="12">
        <f>IF(54&gt;NCapA,"",IFERROR(IF(VLOOKUP(INDEX(PkCapA,54),AcctTblA,4,0)="","(بدون نام)",VLOOKUP(INDEX(PkCapA,54),AcctTblA,4,0)),"—"))</f>
        <v/>
      </c>
      <c r="C1758" s="13">
        <f>IF($B1758="","",IF(54&gt;NCapA,"",INDEX(PkCapA,54)))</f>
        <v/>
      </c>
      <c r="D1758" s="12">
        <f>IF($B1758="","","c")</f>
        <v/>
      </c>
      <c r="E1758" s="14">
        <f>IF($B1758="","",IF(54&gt;NCapA,0,SUMIF(CalcDebit,INDEX(PkCapA,54),CalcAmt)+SUMIF(CalcDebit2,INDEX(PkCapA,54),CalcAmt2)))</f>
        <v/>
      </c>
      <c r="F1758" s="14">
        <f>IF($B1758="","",IF(54&gt;NCapA,0,SUMIF(CalcCredit,INDEX(PkCapA,54),CalcAmt)+SUMIF(CalcCredit2,INDEX(PkCapA,54),CalcAmt2)))</f>
        <v/>
      </c>
      <c r="G1758" s="15">
        <f>IF($B1758="","",ROUND($E1758-$F1758,0))</f>
        <v/>
      </c>
      <c r="H1758" s="12">
        <f>IF($B1758="","",IF(ROUND($G1758,0)&gt;0,"بدهکار",IF(ROUND($G1758,0)&lt;0,"بستانکار","تسویه")))</f>
        <v/>
      </c>
    </row>
    <row r="1759">
      <c r="A1759" s="16">
        <f>IF($B1759="","",1750)</f>
        <v/>
      </c>
      <c r="B1759" s="17">
        <f>IF(55&gt;NCapA,"",IFERROR(IF(VLOOKUP(INDEX(PkCapA,55),AcctTblA,4,0)="","(بدون نام)",VLOOKUP(INDEX(PkCapA,55),AcctTblA,4,0)),"—"))</f>
        <v/>
      </c>
      <c r="C1759" s="18">
        <f>IF($B1759="","",IF(55&gt;NCapA,"",INDEX(PkCapA,55)))</f>
        <v/>
      </c>
      <c r="D1759" s="17">
        <f>IF($B1759="","","c")</f>
        <v/>
      </c>
      <c r="E1759" s="19">
        <f>IF($B1759="","",IF(55&gt;NCapA,0,SUMIF(CalcDebit,INDEX(PkCapA,55),CalcAmt)+SUMIF(CalcDebit2,INDEX(PkCapA,55),CalcAmt2)))</f>
        <v/>
      </c>
      <c r="F1759" s="19">
        <f>IF($B1759="","",IF(55&gt;NCapA,0,SUMIF(CalcCredit,INDEX(PkCapA,55),CalcAmt)+SUMIF(CalcCredit2,INDEX(PkCapA,55),CalcAmt2)))</f>
        <v/>
      </c>
      <c r="G1759" s="20">
        <f>IF($B1759="","",ROUND($E1759-$F1759,0))</f>
        <v/>
      </c>
      <c r="H1759" s="17">
        <f>IF($B1759="","",IF(ROUND($G1759,0)&gt;0,"بدهکار",IF(ROUND($G1759,0)&lt;0,"بستانکار","تسویه")))</f>
        <v/>
      </c>
    </row>
    <row r="1760">
      <c r="A1760" s="11">
        <f>IF($B1760="","",1751)</f>
        <v/>
      </c>
      <c r="B1760" s="12">
        <f>IF(56&gt;NCapA,"",IFERROR(IF(VLOOKUP(INDEX(PkCapA,56),AcctTblA,4,0)="","(بدون نام)",VLOOKUP(INDEX(PkCapA,56),AcctTblA,4,0)),"—"))</f>
        <v/>
      </c>
      <c r="C1760" s="13">
        <f>IF($B1760="","",IF(56&gt;NCapA,"",INDEX(PkCapA,56)))</f>
        <v/>
      </c>
      <c r="D1760" s="12">
        <f>IF($B1760="","","c")</f>
        <v/>
      </c>
      <c r="E1760" s="14">
        <f>IF($B1760="","",IF(56&gt;NCapA,0,SUMIF(CalcDebit,INDEX(PkCapA,56),CalcAmt)+SUMIF(CalcDebit2,INDEX(PkCapA,56),CalcAmt2)))</f>
        <v/>
      </c>
      <c r="F1760" s="14">
        <f>IF($B1760="","",IF(56&gt;NCapA,0,SUMIF(CalcCredit,INDEX(PkCapA,56),CalcAmt)+SUMIF(CalcCredit2,INDEX(PkCapA,56),CalcAmt2)))</f>
        <v/>
      </c>
      <c r="G1760" s="15">
        <f>IF($B1760="","",ROUND($E1760-$F1760,0))</f>
        <v/>
      </c>
      <c r="H1760" s="12">
        <f>IF($B1760="","",IF(ROUND($G1760,0)&gt;0,"بدهکار",IF(ROUND($G1760,0)&lt;0,"بستانکار","تسویه")))</f>
        <v/>
      </c>
    </row>
    <row r="1761">
      <c r="A1761" s="16">
        <f>IF($B1761="","",1752)</f>
        <v/>
      </c>
      <c r="B1761" s="17">
        <f>IF(57&gt;NCapA,"",IFERROR(IF(VLOOKUP(INDEX(PkCapA,57),AcctTblA,4,0)="","(بدون نام)",VLOOKUP(INDEX(PkCapA,57),AcctTblA,4,0)),"—"))</f>
        <v/>
      </c>
      <c r="C1761" s="18">
        <f>IF($B1761="","",IF(57&gt;NCapA,"",INDEX(PkCapA,57)))</f>
        <v/>
      </c>
      <c r="D1761" s="17">
        <f>IF($B1761="","","c")</f>
        <v/>
      </c>
      <c r="E1761" s="19">
        <f>IF($B1761="","",IF(57&gt;NCapA,0,SUMIF(CalcDebit,INDEX(PkCapA,57),CalcAmt)+SUMIF(CalcDebit2,INDEX(PkCapA,57),CalcAmt2)))</f>
        <v/>
      </c>
      <c r="F1761" s="19">
        <f>IF($B1761="","",IF(57&gt;NCapA,0,SUMIF(CalcCredit,INDEX(PkCapA,57),CalcAmt)+SUMIF(CalcCredit2,INDEX(PkCapA,57),CalcAmt2)))</f>
        <v/>
      </c>
      <c r="G1761" s="20">
        <f>IF($B1761="","",ROUND($E1761-$F1761,0))</f>
        <v/>
      </c>
      <c r="H1761" s="17">
        <f>IF($B1761="","",IF(ROUND($G1761,0)&gt;0,"بدهکار",IF(ROUND($G1761,0)&lt;0,"بستانکار","تسویه")))</f>
        <v/>
      </c>
    </row>
    <row r="1762">
      <c r="A1762" s="11">
        <f>IF($B1762="","",1753)</f>
        <v/>
      </c>
      <c r="B1762" s="12">
        <f>IF(58&gt;NCapA,"",IFERROR(IF(VLOOKUP(INDEX(PkCapA,58),AcctTblA,4,0)="","(بدون نام)",VLOOKUP(INDEX(PkCapA,58),AcctTblA,4,0)),"—"))</f>
        <v/>
      </c>
      <c r="C1762" s="13">
        <f>IF($B1762="","",IF(58&gt;NCapA,"",INDEX(PkCapA,58)))</f>
        <v/>
      </c>
      <c r="D1762" s="12">
        <f>IF($B1762="","","c")</f>
        <v/>
      </c>
      <c r="E1762" s="14">
        <f>IF($B1762="","",IF(58&gt;NCapA,0,SUMIF(CalcDebit,INDEX(PkCapA,58),CalcAmt)+SUMIF(CalcDebit2,INDEX(PkCapA,58),CalcAmt2)))</f>
        <v/>
      </c>
      <c r="F1762" s="14">
        <f>IF($B1762="","",IF(58&gt;NCapA,0,SUMIF(CalcCredit,INDEX(PkCapA,58),CalcAmt)+SUMIF(CalcCredit2,INDEX(PkCapA,58),CalcAmt2)))</f>
        <v/>
      </c>
      <c r="G1762" s="15">
        <f>IF($B1762="","",ROUND($E1762-$F1762,0))</f>
        <v/>
      </c>
      <c r="H1762" s="12">
        <f>IF($B1762="","",IF(ROUND($G1762,0)&gt;0,"بدهکار",IF(ROUND($G1762,0)&lt;0,"بستانکار","تسویه")))</f>
        <v/>
      </c>
    </row>
    <row r="1763">
      <c r="A1763" s="16">
        <f>IF($B1763="","",1754)</f>
        <v/>
      </c>
      <c r="B1763" s="17">
        <f>IF(59&gt;NCapA,"",IFERROR(IF(VLOOKUP(INDEX(PkCapA,59),AcctTblA,4,0)="","(بدون نام)",VLOOKUP(INDEX(PkCapA,59),AcctTblA,4,0)),"—"))</f>
        <v/>
      </c>
      <c r="C1763" s="18">
        <f>IF($B1763="","",IF(59&gt;NCapA,"",INDEX(PkCapA,59)))</f>
        <v/>
      </c>
      <c r="D1763" s="17">
        <f>IF($B1763="","","c")</f>
        <v/>
      </c>
      <c r="E1763" s="19">
        <f>IF($B1763="","",IF(59&gt;NCapA,0,SUMIF(CalcDebit,INDEX(PkCapA,59),CalcAmt)+SUMIF(CalcDebit2,INDEX(PkCapA,59),CalcAmt2)))</f>
        <v/>
      </c>
      <c r="F1763" s="19">
        <f>IF($B1763="","",IF(59&gt;NCapA,0,SUMIF(CalcCredit,INDEX(PkCapA,59),CalcAmt)+SUMIF(CalcCredit2,INDEX(PkCapA,59),CalcAmt2)))</f>
        <v/>
      </c>
      <c r="G1763" s="20">
        <f>IF($B1763="","",ROUND($E1763-$F1763,0))</f>
        <v/>
      </c>
      <c r="H1763" s="17">
        <f>IF($B1763="","",IF(ROUND($G1763,0)&gt;0,"بدهکار",IF(ROUND($G1763,0)&lt;0,"بستانکار","تسویه")))</f>
        <v/>
      </c>
    </row>
    <row r="1764">
      <c r="A1764" s="11">
        <f>IF($B1764="","",1755)</f>
        <v/>
      </c>
      <c r="B1764" s="12">
        <f>IF(60&gt;NCapA,"",IFERROR(IF(VLOOKUP(INDEX(PkCapA,60),AcctTblA,4,0)="","(بدون نام)",VLOOKUP(INDEX(PkCapA,60),AcctTblA,4,0)),"—"))</f>
        <v/>
      </c>
      <c r="C1764" s="13">
        <f>IF($B1764="","",IF(60&gt;NCapA,"",INDEX(PkCapA,60)))</f>
        <v/>
      </c>
      <c r="D1764" s="12">
        <f>IF($B1764="","","c")</f>
        <v/>
      </c>
      <c r="E1764" s="14">
        <f>IF($B1764="","",IF(60&gt;NCapA,0,SUMIF(CalcDebit,INDEX(PkCapA,60),CalcAmt)+SUMIF(CalcDebit2,INDEX(PkCapA,60),CalcAmt2)))</f>
        <v/>
      </c>
      <c r="F1764" s="14">
        <f>IF($B1764="","",IF(60&gt;NCapA,0,SUMIF(CalcCredit,INDEX(PkCapA,60),CalcAmt)+SUMIF(CalcCredit2,INDEX(PkCapA,60),CalcAmt2)))</f>
        <v/>
      </c>
      <c r="G1764" s="15">
        <f>IF($B1764="","",ROUND($E1764-$F1764,0))</f>
        <v/>
      </c>
      <c r="H1764" s="12">
        <f>IF($B1764="","",IF(ROUND($G1764,0)&gt;0,"بدهکار",IF(ROUND($G1764,0)&lt;0,"بستانکار","تسویه")))</f>
        <v/>
      </c>
    </row>
    <row r="1765">
      <c r="A1765" s="16">
        <f>IF($B1765="","",1756)</f>
        <v/>
      </c>
      <c r="B1765" s="17">
        <f>IF(61&gt;NCapA,"",IFERROR(IF(VLOOKUP(INDEX(PkCapA,61),AcctTblA,4,0)="","(بدون نام)",VLOOKUP(INDEX(PkCapA,61),AcctTblA,4,0)),"—"))</f>
        <v/>
      </c>
      <c r="C1765" s="18">
        <f>IF($B1765="","",IF(61&gt;NCapA,"",INDEX(PkCapA,61)))</f>
        <v/>
      </c>
      <c r="D1765" s="17">
        <f>IF($B1765="","","c")</f>
        <v/>
      </c>
      <c r="E1765" s="19">
        <f>IF($B1765="","",IF(61&gt;NCapA,0,SUMIF(CalcDebit,INDEX(PkCapA,61),CalcAmt)+SUMIF(CalcDebit2,INDEX(PkCapA,61),CalcAmt2)))</f>
        <v/>
      </c>
      <c r="F1765" s="19">
        <f>IF($B1765="","",IF(61&gt;NCapA,0,SUMIF(CalcCredit,INDEX(PkCapA,61),CalcAmt)+SUMIF(CalcCredit2,INDEX(PkCapA,61),CalcAmt2)))</f>
        <v/>
      </c>
      <c r="G1765" s="20">
        <f>IF($B1765="","",ROUND($E1765-$F1765,0))</f>
        <v/>
      </c>
      <c r="H1765" s="17">
        <f>IF($B1765="","",IF(ROUND($G1765,0)&gt;0,"بدهکار",IF(ROUND($G1765,0)&lt;0,"بستانکار","تسویه")))</f>
        <v/>
      </c>
    </row>
    <row r="1766">
      <c r="A1766" s="11">
        <f>IF($B1766="","",1757)</f>
        <v/>
      </c>
      <c r="B1766" s="12">
        <f>IF(62&gt;NCapA,"",IFERROR(IF(VLOOKUP(INDEX(PkCapA,62),AcctTblA,4,0)="","(بدون نام)",VLOOKUP(INDEX(PkCapA,62),AcctTblA,4,0)),"—"))</f>
        <v/>
      </c>
      <c r="C1766" s="13">
        <f>IF($B1766="","",IF(62&gt;NCapA,"",INDEX(PkCapA,62)))</f>
        <v/>
      </c>
      <c r="D1766" s="12">
        <f>IF($B1766="","","c")</f>
        <v/>
      </c>
      <c r="E1766" s="14">
        <f>IF($B1766="","",IF(62&gt;NCapA,0,SUMIF(CalcDebit,INDEX(PkCapA,62),CalcAmt)+SUMIF(CalcDebit2,INDEX(PkCapA,62),CalcAmt2)))</f>
        <v/>
      </c>
      <c r="F1766" s="14">
        <f>IF($B1766="","",IF(62&gt;NCapA,0,SUMIF(CalcCredit,INDEX(PkCapA,62),CalcAmt)+SUMIF(CalcCredit2,INDEX(PkCapA,62),CalcAmt2)))</f>
        <v/>
      </c>
      <c r="G1766" s="15">
        <f>IF($B1766="","",ROUND($E1766-$F1766,0))</f>
        <v/>
      </c>
      <c r="H1766" s="12">
        <f>IF($B1766="","",IF(ROUND($G1766,0)&gt;0,"بدهکار",IF(ROUND($G1766,0)&lt;0,"بستانکار","تسویه")))</f>
        <v/>
      </c>
    </row>
    <row r="1767">
      <c r="A1767" s="16">
        <f>IF($B1767="","",1758)</f>
        <v/>
      </c>
      <c r="B1767" s="17">
        <f>IF(63&gt;NCapA,"",IFERROR(IF(VLOOKUP(INDEX(PkCapA,63),AcctTblA,4,0)="","(بدون نام)",VLOOKUP(INDEX(PkCapA,63),AcctTblA,4,0)),"—"))</f>
        <v/>
      </c>
      <c r="C1767" s="18">
        <f>IF($B1767="","",IF(63&gt;NCapA,"",INDEX(PkCapA,63)))</f>
        <v/>
      </c>
      <c r="D1767" s="17">
        <f>IF($B1767="","","c")</f>
        <v/>
      </c>
      <c r="E1767" s="19">
        <f>IF($B1767="","",IF(63&gt;NCapA,0,SUMIF(CalcDebit,INDEX(PkCapA,63),CalcAmt)+SUMIF(CalcDebit2,INDEX(PkCapA,63),CalcAmt2)))</f>
        <v/>
      </c>
      <c r="F1767" s="19">
        <f>IF($B1767="","",IF(63&gt;NCapA,0,SUMIF(CalcCredit,INDEX(PkCapA,63),CalcAmt)+SUMIF(CalcCredit2,INDEX(PkCapA,63),CalcAmt2)))</f>
        <v/>
      </c>
      <c r="G1767" s="20">
        <f>IF($B1767="","",ROUND($E1767-$F1767,0))</f>
        <v/>
      </c>
      <c r="H1767" s="17">
        <f>IF($B1767="","",IF(ROUND($G1767,0)&gt;0,"بدهکار",IF(ROUND($G1767,0)&lt;0,"بستانکار","تسویه")))</f>
        <v/>
      </c>
    </row>
    <row r="1768">
      <c r="A1768" s="11">
        <f>IF($B1768="","",1759)</f>
        <v/>
      </c>
      <c r="B1768" s="12">
        <f>IF(64&gt;NCapA,"",IFERROR(IF(VLOOKUP(INDEX(PkCapA,64),AcctTblA,4,0)="","(بدون نام)",VLOOKUP(INDEX(PkCapA,64),AcctTblA,4,0)),"—"))</f>
        <v/>
      </c>
      <c r="C1768" s="13">
        <f>IF($B1768="","",IF(64&gt;NCapA,"",INDEX(PkCapA,64)))</f>
        <v/>
      </c>
      <c r="D1768" s="12">
        <f>IF($B1768="","","c")</f>
        <v/>
      </c>
      <c r="E1768" s="14">
        <f>IF($B1768="","",IF(64&gt;NCapA,0,SUMIF(CalcDebit,INDEX(PkCapA,64),CalcAmt)+SUMIF(CalcDebit2,INDEX(PkCapA,64),CalcAmt2)))</f>
        <v/>
      </c>
      <c r="F1768" s="14">
        <f>IF($B1768="","",IF(64&gt;NCapA,0,SUMIF(CalcCredit,INDEX(PkCapA,64),CalcAmt)+SUMIF(CalcCredit2,INDEX(PkCapA,64),CalcAmt2)))</f>
        <v/>
      </c>
      <c r="G1768" s="15">
        <f>IF($B1768="","",ROUND($E1768-$F1768,0))</f>
        <v/>
      </c>
      <c r="H1768" s="12">
        <f>IF($B1768="","",IF(ROUND($G1768,0)&gt;0,"بدهکار",IF(ROUND($G1768,0)&lt;0,"بستانکار","تسویه")))</f>
        <v/>
      </c>
    </row>
    <row r="1769">
      <c r="A1769" s="16">
        <f>IF($B1769="","",1760)</f>
        <v/>
      </c>
      <c r="B1769" s="17">
        <f>IF(65&gt;NCapA,"",IFERROR(IF(VLOOKUP(INDEX(PkCapA,65),AcctTblA,4,0)="","(بدون نام)",VLOOKUP(INDEX(PkCapA,65),AcctTblA,4,0)),"—"))</f>
        <v/>
      </c>
      <c r="C1769" s="18">
        <f>IF($B1769="","",IF(65&gt;NCapA,"",INDEX(PkCapA,65)))</f>
        <v/>
      </c>
      <c r="D1769" s="17">
        <f>IF($B1769="","","c")</f>
        <v/>
      </c>
      <c r="E1769" s="19">
        <f>IF($B1769="","",IF(65&gt;NCapA,0,SUMIF(CalcDebit,INDEX(PkCapA,65),CalcAmt)+SUMIF(CalcDebit2,INDEX(PkCapA,65),CalcAmt2)))</f>
        <v/>
      </c>
      <c r="F1769" s="19">
        <f>IF($B1769="","",IF(65&gt;NCapA,0,SUMIF(CalcCredit,INDEX(PkCapA,65),CalcAmt)+SUMIF(CalcCredit2,INDEX(PkCapA,65),CalcAmt2)))</f>
        <v/>
      </c>
      <c r="G1769" s="20">
        <f>IF($B1769="","",ROUND($E1769-$F1769,0))</f>
        <v/>
      </c>
      <c r="H1769" s="17">
        <f>IF($B1769="","",IF(ROUND($G1769,0)&gt;0,"بدهکار",IF(ROUND($G1769,0)&lt;0,"بستانکار","تسویه")))</f>
        <v/>
      </c>
    </row>
    <row r="1770">
      <c r="A1770" s="11">
        <f>IF($B1770="","",1761)</f>
        <v/>
      </c>
      <c r="B1770" s="12">
        <f>IF(66&gt;NCapA,"",IFERROR(IF(VLOOKUP(INDEX(PkCapA,66),AcctTblA,4,0)="","(بدون نام)",VLOOKUP(INDEX(PkCapA,66),AcctTblA,4,0)),"—"))</f>
        <v/>
      </c>
      <c r="C1770" s="13">
        <f>IF($B1770="","",IF(66&gt;NCapA,"",INDEX(PkCapA,66)))</f>
        <v/>
      </c>
      <c r="D1770" s="12">
        <f>IF($B1770="","","c")</f>
        <v/>
      </c>
      <c r="E1770" s="14">
        <f>IF($B1770="","",IF(66&gt;NCapA,0,SUMIF(CalcDebit,INDEX(PkCapA,66),CalcAmt)+SUMIF(CalcDebit2,INDEX(PkCapA,66),CalcAmt2)))</f>
        <v/>
      </c>
      <c r="F1770" s="14">
        <f>IF($B1770="","",IF(66&gt;NCapA,0,SUMIF(CalcCredit,INDEX(PkCapA,66),CalcAmt)+SUMIF(CalcCredit2,INDEX(PkCapA,66),CalcAmt2)))</f>
        <v/>
      </c>
      <c r="G1770" s="15">
        <f>IF($B1770="","",ROUND($E1770-$F1770,0))</f>
        <v/>
      </c>
      <c r="H1770" s="12">
        <f>IF($B1770="","",IF(ROUND($G1770,0)&gt;0,"بدهکار",IF(ROUND($G1770,0)&lt;0,"بستانکار","تسویه")))</f>
        <v/>
      </c>
    </row>
    <row r="1771">
      <c r="A1771" s="16">
        <f>IF($B1771="","",1762)</f>
        <v/>
      </c>
      <c r="B1771" s="17">
        <f>IF(67&gt;NCapA,"",IFERROR(IF(VLOOKUP(INDEX(PkCapA,67),AcctTblA,4,0)="","(بدون نام)",VLOOKUP(INDEX(PkCapA,67),AcctTblA,4,0)),"—"))</f>
        <v/>
      </c>
      <c r="C1771" s="18">
        <f>IF($B1771="","",IF(67&gt;NCapA,"",INDEX(PkCapA,67)))</f>
        <v/>
      </c>
      <c r="D1771" s="17">
        <f>IF($B1771="","","c")</f>
        <v/>
      </c>
      <c r="E1771" s="19">
        <f>IF($B1771="","",IF(67&gt;NCapA,0,SUMIF(CalcDebit,INDEX(PkCapA,67),CalcAmt)+SUMIF(CalcDebit2,INDEX(PkCapA,67),CalcAmt2)))</f>
        <v/>
      </c>
      <c r="F1771" s="19">
        <f>IF($B1771="","",IF(67&gt;NCapA,0,SUMIF(CalcCredit,INDEX(PkCapA,67),CalcAmt)+SUMIF(CalcCredit2,INDEX(PkCapA,67),CalcAmt2)))</f>
        <v/>
      </c>
      <c r="G1771" s="20">
        <f>IF($B1771="","",ROUND($E1771-$F1771,0))</f>
        <v/>
      </c>
      <c r="H1771" s="17">
        <f>IF($B1771="","",IF(ROUND($G1771,0)&gt;0,"بدهکار",IF(ROUND($G1771,0)&lt;0,"بستانکار","تسویه")))</f>
        <v/>
      </c>
    </row>
    <row r="1772">
      <c r="A1772" s="11">
        <f>IF($B1772="","",1763)</f>
        <v/>
      </c>
      <c r="B1772" s="12">
        <f>IF(68&gt;NCapA,"",IFERROR(IF(VLOOKUP(INDEX(PkCapA,68),AcctTblA,4,0)="","(بدون نام)",VLOOKUP(INDEX(PkCapA,68),AcctTblA,4,0)),"—"))</f>
        <v/>
      </c>
      <c r="C1772" s="13">
        <f>IF($B1772="","",IF(68&gt;NCapA,"",INDEX(PkCapA,68)))</f>
        <v/>
      </c>
      <c r="D1772" s="12">
        <f>IF($B1772="","","c")</f>
        <v/>
      </c>
      <c r="E1772" s="14">
        <f>IF($B1772="","",IF(68&gt;NCapA,0,SUMIF(CalcDebit,INDEX(PkCapA,68),CalcAmt)+SUMIF(CalcDebit2,INDEX(PkCapA,68),CalcAmt2)))</f>
        <v/>
      </c>
      <c r="F1772" s="14">
        <f>IF($B1772="","",IF(68&gt;NCapA,0,SUMIF(CalcCredit,INDEX(PkCapA,68),CalcAmt)+SUMIF(CalcCredit2,INDEX(PkCapA,68),CalcAmt2)))</f>
        <v/>
      </c>
      <c r="G1772" s="15">
        <f>IF($B1772="","",ROUND($E1772-$F1772,0))</f>
        <v/>
      </c>
      <c r="H1772" s="12">
        <f>IF($B1772="","",IF(ROUND($G1772,0)&gt;0,"بدهکار",IF(ROUND($G1772,0)&lt;0,"بستانکار","تسویه")))</f>
        <v/>
      </c>
    </row>
    <row r="1773">
      <c r="A1773" s="16">
        <f>IF($B1773="","",1764)</f>
        <v/>
      </c>
      <c r="B1773" s="17">
        <f>IF(69&gt;NCapA,"",IFERROR(IF(VLOOKUP(INDEX(PkCapA,69),AcctTblA,4,0)="","(بدون نام)",VLOOKUP(INDEX(PkCapA,69),AcctTblA,4,0)),"—"))</f>
        <v/>
      </c>
      <c r="C1773" s="18">
        <f>IF($B1773="","",IF(69&gt;NCapA,"",INDEX(PkCapA,69)))</f>
        <v/>
      </c>
      <c r="D1773" s="17">
        <f>IF($B1773="","","c")</f>
        <v/>
      </c>
      <c r="E1773" s="19">
        <f>IF($B1773="","",IF(69&gt;NCapA,0,SUMIF(CalcDebit,INDEX(PkCapA,69),CalcAmt)+SUMIF(CalcDebit2,INDEX(PkCapA,69),CalcAmt2)))</f>
        <v/>
      </c>
      <c r="F1773" s="19">
        <f>IF($B1773="","",IF(69&gt;NCapA,0,SUMIF(CalcCredit,INDEX(PkCapA,69),CalcAmt)+SUMIF(CalcCredit2,INDEX(PkCapA,69),CalcAmt2)))</f>
        <v/>
      </c>
      <c r="G1773" s="20">
        <f>IF($B1773="","",ROUND($E1773-$F1773,0))</f>
        <v/>
      </c>
      <c r="H1773" s="17">
        <f>IF($B1773="","",IF(ROUND($G1773,0)&gt;0,"بدهکار",IF(ROUND($G1773,0)&lt;0,"بستانکار","تسویه")))</f>
        <v/>
      </c>
    </row>
    <row r="1774">
      <c r="A1774" s="11">
        <f>IF($B1774="","",1765)</f>
        <v/>
      </c>
      <c r="B1774" s="12">
        <f>IF(70&gt;NCapA,"",IFERROR(IF(VLOOKUP(INDEX(PkCapA,70),AcctTblA,4,0)="","(بدون نام)",VLOOKUP(INDEX(PkCapA,70),AcctTblA,4,0)),"—"))</f>
        <v/>
      </c>
      <c r="C1774" s="13">
        <f>IF($B1774="","",IF(70&gt;NCapA,"",INDEX(PkCapA,70)))</f>
        <v/>
      </c>
      <c r="D1774" s="12">
        <f>IF($B1774="","","c")</f>
        <v/>
      </c>
      <c r="E1774" s="14">
        <f>IF($B1774="","",IF(70&gt;NCapA,0,SUMIF(CalcDebit,INDEX(PkCapA,70),CalcAmt)+SUMIF(CalcDebit2,INDEX(PkCapA,70),CalcAmt2)))</f>
        <v/>
      </c>
      <c r="F1774" s="14">
        <f>IF($B1774="","",IF(70&gt;NCapA,0,SUMIF(CalcCredit,INDEX(PkCapA,70),CalcAmt)+SUMIF(CalcCredit2,INDEX(PkCapA,70),CalcAmt2)))</f>
        <v/>
      </c>
      <c r="G1774" s="15">
        <f>IF($B1774="","",ROUND($E1774-$F1774,0))</f>
        <v/>
      </c>
      <c r="H1774" s="12">
        <f>IF($B1774="","",IF(ROUND($G1774,0)&gt;0,"بدهکار",IF(ROUND($G1774,0)&lt;0,"بستانکار","تسویه")))</f>
        <v/>
      </c>
    </row>
    <row r="1775">
      <c r="A1775" s="16">
        <f>IF($B1775="","",1766)</f>
        <v/>
      </c>
      <c r="B1775" s="17">
        <f>IF(71&gt;NCapA,"",IFERROR(IF(VLOOKUP(INDEX(PkCapA,71),AcctTblA,4,0)="","(بدون نام)",VLOOKUP(INDEX(PkCapA,71),AcctTblA,4,0)),"—"))</f>
        <v/>
      </c>
      <c r="C1775" s="18">
        <f>IF($B1775="","",IF(71&gt;NCapA,"",INDEX(PkCapA,71)))</f>
        <v/>
      </c>
      <c r="D1775" s="17">
        <f>IF($B1775="","","c")</f>
        <v/>
      </c>
      <c r="E1775" s="19">
        <f>IF($B1775="","",IF(71&gt;NCapA,0,SUMIF(CalcDebit,INDEX(PkCapA,71),CalcAmt)+SUMIF(CalcDebit2,INDEX(PkCapA,71),CalcAmt2)))</f>
        <v/>
      </c>
      <c r="F1775" s="19">
        <f>IF($B1775="","",IF(71&gt;NCapA,0,SUMIF(CalcCredit,INDEX(PkCapA,71),CalcAmt)+SUMIF(CalcCredit2,INDEX(PkCapA,71),CalcAmt2)))</f>
        <v/>
      </c>
      <c r="G1775" s="20">
        <f>IF($B1775="","",ROUND($E1775-$F1775,0))</f>
        <v/>
      </c>
      <c r="H1775" s="17">
        <f>IF($B1775="","",IF(ROUND($G1775,0)&gt;0,"بدهکار",IF(ROUND($G1775,0)&lt;0,"بستانکار","تسویه")))</f>
        <v/>
      </c>
    </row>
    <row r="1776">
      <c r="A1776" s="11">
        <f>IF($B1776="","",1767)</f>
        <v/>
      </c>
      <c r="B1776" s="12">
        <f>IF(72&gt;NCapA,"",IFERROR(IF(VLOOKUP(INDEX(PkCapA,72),AcctTblA,4,0)="","(بدون نام)",VLOOKUP(INDEX(PkCapA,72),AcctTblA,4,0)),"—"))</f>
        <v/>
      </c>
      <c r="C1776" s="13">
        <f>IF($B1776="","",IF(72&gt;NCapA,"",INDEX(PkCapA,72)))</f>
        <v/>
      </c>
      <c r="D1776" s="12">
        <f>IF($B1776="","","c")</f>
        <v/>
      </c>
      <c r="E1776" s="14">
        <f>IF($B1776="","",IF(72&gt;NCapA,0,SUMIF(CalcDebit,INDEX(PkCapA,72),CalcAmt)+SUMIF(CalcDebit2,INDEX(PkCapA,72),CalcAmt2)))</f>
        <v/>
      </c>
      <c r="F1776" s="14">
        <f>IF($B1776="","",IF(72&gt;NCapA,0,SUMIF(CalcCredit,INDEX(PkCapA,72),CalcAmt)+SUMIF(CalcCredit2,INDEX(PkCapA,72),CalcAmt2)))</f>
        <v/>
      </c>
      <c r="G1776" s="15">
        <f>IF($B1776="","",ROUND($E1776-$F1776,0))</f>
        <v/>
      </c>
      <c r="H1776" s="12">
        <f>IF($B1776="","",IF(ROUND($G1776,0)&gt;0,"بدهکار",IF(ROUND($G1776,0)&lt;0,"بستانکار","تسویه")))</f>
        <v/>
      </c>
    </row>
    <row r="1777">
      <c r="A1777" s="16">
        <f>IF($B1777="","",1768)</f>
        <v/>
      </c>
      <c r="B1777" s="17">
        <f>IF(73&gt;NCapA,"",IFERROR(IF(VLOOKUP(INDEX(PkCapA,73),AcctTblA,4,0)="","(بدون نام)",VLOOKUP(INDEX(PkCapA,73),AcctTblA,4,0)),"—"))</f>
        <v/>
      </c>
      <c r="C1777" s="18">
        <f>IF($B1777="","",IF(73&gt;NCapA,"",INDEX(PkCapA,73)))</f>
        <v/>
      </c>
      <c r="D1777" s="17">
        <f>IF($B1777="","","c")</f>
        <v/>
      </c>
      <c r="E1777" s="19">
        <f>IF($B1777="","",IF(73&gt;NCapA,0,SUMIF(CalcDebit,INDEX(PkCapA,73),CalcAmt)+SUMIF(CalcDebit2,INDEX(PkCapA,73),CalcAmt2)))</f>
        <v/>
      </c>
      <c r="F1777" s="19">
        <f>IF($B1777="","",IF(73&gt;NCapA,0,SUMIF(CalcCredit,INDEX(PkCapA,73),CalcAmt)+SUMIF(CalcCredit2,INDEX(PkCapA,73),CalcAmt2)))</f>
        <v/>
      </c>
      <c r="G1777" s="20">
        <f>IF($B1777="","",ROUND($E1777-$F1777,0))</f>
        <v/>
      </c>
      <c r="H1777" s="17">
        <f>IF($B1777="","",IF(ROUND($G1777,0)&gt;0,"بدهکار",IF(ROUND($G1777,0)&lt;0,"بستانکار","تسویه")))</f>
        <v/>
      </c>
    </row>
    <row r="1778">
      <c r="A1778" s="11">
        <f>IF($B1778="","",1769)</f>
        <v/>
      </c>
      <c r="B1778" s="12">
        <f>IF(74&gt;NCapA,"",IFERROR(IF(VLOOKUP(INDEX(PkCapA,74),AcctTblA,4,0)="","(بدون نام)",VLOOKUP(INDEX(PkCapA,74),AcctTblA,4,0)),"—"))</f>
        <v/>
      </c>
      <c r="C1778" s="13">
        <f>IF($B1778="","",IF(74&gt;NCapA,"",INDEX(PkCapA,74)))</f>
        <v/>
      </c>
      <c r="D1778" s="12">
        <f>IF($B1778="","","c")</f>
        <v/>
      </c>
      <c r="E1778" s="14">
        <f>IF($B1778="","",IF(74&gt;NCapA,0,SUMIF(CalcDebit,INDEX(PkCapA,74),CalcAmt)+SUMIF(CalcDebit2,INDEX(PkCapA,74),CalcAmt2)))</f>
        <v/>
      </c>
      <c r="F1778" s="14">
        <f>IF($B1778="","",IF(74&gt;NCapA,0,SUMIF(CalcCredit,INDEX(PkCapA,74),CalcAmt)+SUMIF(CalcCredit2,INDEX(PkCapA,74),CalcAmt2)))</f>
        <v/>
      </c>
      <c r="G1778" s="15">
        <f>IF($B1778="","",ROUND($E1778-$F1778,0))</f>
        <v/>
      </c>
      <c r="H1778" s="12">
        <f>IF($B1778="","",IF(ROUND($G1778,0)&gt;0,"بدهکار",IF(ROUND($G1778,0)&lt;0,"بستانکار","تسویه")))</f>
        <v/>
      </c>
    </row>
    <row r="1779">
      <c r="A1779" s="16">
        <f>IF($B1779="","",1770)</f>
        <v/>
      </c>
      <c r="B1779" s="17">
        <f>IF(75&gt;NCapA,"",IFERROR(IF(VLOOKUP(INDEX(PkCapA,75),AcctTblA,4,0)="","(بدون نام)",VLOOKUP(INDEX(PkCapA,75),AcctTblA,4,0)),"—"))</f>
        <v/>
      </c>
      <c r="C1779" s="18">
        <f>IF($B1779="","",IF(75&gt;NCapA,"",INDEX(PkCapA,75)))</f>
        <v/>
      </c>
      <c r="D1779" s="17">
        <f>IF($B1779="","","c")</f>
        <v/>
      </c>
      <c r="E1779" s="19">
        <f>IF($B1779="","",IF(75&gt;NCapA,0,SUMIF(CalcDebit,INDEX(PkCapA,75),CalcAmt)+SUMIF(CalcDebit2,INDEX(PkCapA,75),CalcAmt2)))</f>
        <v/>
      </c>
      <c r="F1779" s="19">
        <f>IF($B1779="","",IF(75&gt;NCapA,0,SUMIF(CalcCredit,INDEX(PkCapA,75),CalcAmt)+SUMIF(CalcCredit2,INDEX(PkCapA,75),CalcAmt2)))</f>
        <v/>
      </c>
      <c r="G1779" s="20">
        <f>IF($B1779="","",ROUND($E1779-$F1779,0))</f>
        <v/>
      </c>
      <c r="H1779" s="17">
        <f>IF($B1779="","",IF(ROUND($G1779,0)&gt;0,"بدهکار",IF(ROUND($G1779,0)&lt;0,"بستانکار","تسویه")))</f>
        <v/>
      </c>
    </row>
    <row r="1780">
      <c r="A1780" s="11">
        <f>IF($B1780="","",1771)</f>
        <v/>
      </c>
      <c r="B1780" s="12">
        <f>IF(76&gt;NCapA,"",IFERROR(IF(VLOOKUP(INDEX(PkCapA,76),AcctTblA,4,0)="","(بدون نام)",VLOOKUP(INDEX(PkCapA,76),AcctTblA,4,0)),"—"))</f>
        <v/>
      </c>
      <c r="C1780" s="13">
        <f>IF($B1780="","",IF(76&gt;NCapA,"",INDEX(PkCapA,76)))</f>
        <v/>
      </c>
      <c r="D1780" s="12">
        <f>IF($B1780="","","c")</f>
        <v/>
      </c>
      <c r="E1780" s="14">
        <f>IF($B1780="","",IF(76&gt;NCapA,0,SUMIF(CalcDebit,INDEX(PkCapA,76),CalcAmt)+SUMIF(CalcDebit2,INDEX(PkCapA,76),CalcAmt2)))</f>
        <v/>
      </c>
      <c r="F1780" s="14">
        <f>IF($B1780="","",IF(76&gt;NCapA,0,SUMIF(CalcCredit,INDEX(PkCapA,76),CalcAmt)+SUMIF(CalcCredit2,INDEX(PkCapA,76),CalcAmt2)))</f>
        <v/>
      </c>
      <c r="G1780" s="15">
        <f>IF($B1780="","",ROUND($E1780-$F1780,0))</f>
        <v/>
      </c>
      <c r="H1780" s="12">
        <f>IF($B1780="","",IF(ROUND($G1780,0)&gt;0,"بدهکار",IF(ROUND($G1780,0)&lt;0,"بستانکار","تسویه")))</f>
        <v/>
      </c>
    </row>
    <row r="1781">
      <c r="A1781" s="16">
        <f>IF($B1781="","",1772)</f>
        <v/>
      </c>
      <c r="B1781" s="17">
        <f>IF(77&gt;NCapA,"",IFERROR(IF(VLOOKUP(INDEX(PkCapA,77),AcctTblA,4,0)="","(بدون نام)",VLOOKUP(INDEX(PkCapA,77),AcctTblA,4,0)),"—"))</f>
        <v/>
      </c>
      <c r="C1781" s="18">
        <f>IF($B1781="","",IF(77&gt;NCapA,"",INDEX(PkCapA,77)))</f>
        <v/>
      </c>
      <c r="D1781" s="17">
        <f>IF($B1781="","","c")</f>
        <v/>
      </c>
      <c r="E1781" s="19">
        <f>IF($B1781="","",IF(77&gt;NCapA,0,SUMIF(CalcDebit,INDEX(PkCapA,77),CalcAmt)+SUMIF(CalcDebit2,INDEX(PkCapA,77),CalcAmt2)))</f>
        <v/>
      </c>
      <c r="F1781" s="19">
        <f>IF($B1781="","",IF(77&gt;NCapA,0,SUMIF(CalcCredit,INDEX(PkCapA,77),CalcAmt)+SUMIF(CalcCredit2,INDEX(PkCapA,77),CalcAmt2)))</f>
        <v/>
      </c>
      <c r="G1781" s="20">
        <f>IF($B1781="","",ROUND($E1781-$F1781,0))</f>
        <v/>
      </c>
      <c r="H1781" s="17">
        <f>IF($B1781="","",IF(ROUND($G1781,0)&gt;0,"بدهکار",IF(ROUND($G1781,0)&lt;0,"بستانکار","تسویه")))</f>
        <v/>
      </c>
    </row>
    <row r="1782">
      <c r="A1782" s="11">
        <f>IF($B1782="","",1773)</f>
        <v/>
      </c>
      <c r="B1782" s="12">
        <f>IF(78&gt;NCapA,"",IFERROR(IF(VLOOKUP(INDEX(PkCapA,78),AcctTblA,4,0)="","(بدون نام)",VLOOKUP(INDEX(PkCapA,78),AcctTblA,4,0)),"—"))</f>
        <v/>
      </c>
      <c r="C1782" s="13">
        <f>IF($B1782="","",IF(78&gt;NCapA,"",INDEX(PkCapA,78)))</f>
        <v/>
      </c>
      <c r="D1782" s="12">
        <f>IF($B1782="","","c")</f>
        <v/>
      </c>
      <c r="E1782" s="14">
        <f>IF($B1782="","",IF(78&gt;NCapA,0,SUMIF(CalcDebit,INDEX(PkCapA,78),CalcAmt)+SUMIF(CalcDebit2,INDEX(PkCapA,78),CalcAmt2)))</f>
        <v/>
      </c>
      <c r="F1782" s="14">
        <f>IF($B1782="","",IF(78&gt;NCapA,0,SUMIF(CalcCredit,INDEX(PkCapA,78),CalcAmt)+SUMIF(CalcCredit2,INDEX(PkCapA,78),CalcAmt2)))</f>
        <v/>
      </c>
      <c r="G1782" s="15">
        <f>IF($B1782="","",ROUND($E1782-$F1782,0))</f>
        <v/>
      </c>
      <c r="H1782" s="12">
        <f>IF($B1782="","",IF(ROUND($G1782,0)&gt;0,"بدهکار",IF(ROUND($G1782,0)&lt;0,"بستانکار","تسویه")))</f>
        <v/>
      </c>
    </row>
    <row r="1783">
      <c r="A1783" s="16">
        <f>IF($B1783="","",1774)</f>
        <v/>
      </c>
      <c r="B1783" s="17">
        <f>IF(79&gt;NCapA,"",IFERROR(IF(VLOOKUP(INDEX(PkCapA,79),AcctTblA,4,0)="","(بدون نام)",VLOOKUP(INDEX(PkCapA,79),AcctTblA,4,0)),"—"))</f>
        <v/>
      </c>
      <c r="C1783" s="18">
        <f>IF($B1783="","",IF(79&gt;NCapA,"",INDEX(PkCapA,79)))</f>
        <v/>
      </c>
      <c r="D1783" s="17">
        <f>IF($B1783="","","c")</f>
        <v/>
      </c>
      <c r="E1783" s="19">
        <f>IF($B1783="","",IF(79&gt;NCapA,0,SUMIF(CalcDebit,INDEX(PkCapA,79),CalcAmt)+SUMIF(CalcDebit2,INDEX(PkCapA,79),CalcAmt2)))</f>
        <v/>
      </c>
      <c r="F1783" s="19">
        <f>IF($B1783="","",IF(79&gt;NCapA,0,SUMIF(CalcCredit,INDEX(PkCapA,79),CalcAmt)+SUMIF(CalcCredit2,INDEX(PkCapA,79),CalcAmt2)))</f>
        <v/>
      </c>
      <c r="G1783" s="20">
        <f>IF($B1783="","",ROUND($E1783-$F1783,0))</f>
        <v/>
      </c>
      <c r="H1783" s="17">
        <f>IF($B1783="","",IF(ROUND($G1783,0)&gt;0,"بدهکار",IF(ROUND($G1783,0)&lt;0,"بستانکار","تسویه")))</f>
        <v/>
      </c>
    </row>
    <row r="1784">
      <c r="A1784" s="11">
        <f>IF($B1784="","",1775)</f>
        <v/>
      </c>
      <c r="B1784" s="12">
        <f>IF(80&gt;NCapA,"",IFERROR(IF(VLOOKUP(INDEX(PkCapA,80),AcctTblA,4,0)="","(بدون نام)",VLOOKUP(INDEX(PkCapA,80),AcctTblA,4,0)),"—"))</f>
        <v/>
      </c>
      <c r="C1784" s="13">
        <f>IF($B1784="","",IF(80&gt;NCapA,"",INDEX(PkCapA,80)))</f>
        <v/>
      </c>
      <c r="D1784" s="12">
        <f>IF($B1784="","","c")</f>
        <v/>
      </c>
      <c r="E1784" s="14">
        <f>IF($B1784="","",IF(80&gt;NCapA,0,SUMIF(CalcDebit,INDEX(PkCapA,80),CalcAmt)+SUMIF(CalcDebit2,INDEX(PkCapA,80),CalcAmt2)))</f>
        <v/>
      </c>
      <c r="F1784" s="14">
        <f>IF($B1784="","",IF(80&gt;NCapA,0,SUMIF(CalcCredit,INDEX(PkCapA,80),CalcAmt)+SUMIF(CalcCredit2,INDEX(PkCapA,80),CalcAmt2)))</f>
        <v/>
      </c>
      <c r="G1784" s="15">
        <f>IF($B1784="","",ROUND($E1784-$F1784,0))</f>
        <v/>
      </c>
      <c r="H1784" s="12">
        <f>IF($B1784="","",IF(ROUND($G1784,0)&gt;0,"بدهکار",IF(ROUND($G1784,0)&lt;0,"بستانکار","تسویه")))</f>
        <v/>
      </c>
    </row>
    <row r="1785">
      <c r="A1785" s="16">
        <f>IF($B1785="","",1776)</f>
        <v/>
      </c>
      <c r="B1785" s="17">
        <f>IF(81&gt;NCapA,"",IFERROR(IF(VLOOKUP(INDEX(PkCapA,81),AcctTblA,4,0)="","(بدون نام)",VLOOKUP(INDEX(PkCapA,81),AcctTblA,4,0)),"—"))</f>
        <v/>
      </c>
      <c r="C1785" s="18">
        <f>IF($B1785="","",IF(81&gt;NCapA,"",INDEX(PkCapA,81)))</f>
        <v/>
      </c>
      <c r="D1785" s="17">
        <f>IF($B1785="","","c")</f>
        <v/>
      </c>
      <c r="E1785" s="19">
        <f>IF($B1785="","",IF(81&gt;NCapA,0,SUMIF(CalcDebit,INDEX(PkCapA,81),CalcAmt)+SUMIF(CalcDebit2,INDEX(PkCapA,81),CalcAmt2)))</f>
        <v/>
      </c>
      <c r="F1785" s="19">
        <f>IF($B1785="","",IF(81&gt;NCapA,0,SUMIF(CalcCredit,INDEX(PkCapA,81),CalcAmt)+SUMIF(CalcCredit2,INDEX(PkCapA,81),CalcAmt2)))</f>
        <v/>
      </c>
      <c r="G1785" s="20">
        <f>IF($B1785="","",ROUND($E1785-$F1785,0))</f>
        <v/>
      </c>
      <c r="H1785" s="17">
        <f>IF($B1785="","",IF(ROUND($G1785,0)&gt;0,"بدهکار",IF(ROUND($G1785,0)&lt;0,"بستانکار","تسویه")))</f>
        <v/>
      </c>
    </row>
    <row r="1786">
      <c r="A1786" s="11">
        <f>IF($B1786="","",1777)</f>
        <v/>
      </c>
      <c r="B1786" s="12">
        <f>IF(82&gt;NCapA,"",IFERROR(IF(VLOOKUP(INDEX(PkCapA,82),AcctTblA,4,0)="","(بدون نام)",VLOOKUP(INDEX(PkCapA,82),AcctTblA,4,0)),"—"))</f>
        <v/>
      </c>
      <c r="C1786" s="13">
        <f>IF($B1786="","",IF(82&gt;NCapA,"",INDEX(PkCapA,82)))</f>
        <v/>
      </c>
      <c r="D1786" s="12">
        <f>IF($B1786="","","c")</f>
        <v/>
      </c>
      <c r="E1786" s="14">
        <f>IF($B1786="","",IF(82&gt;NCapA,0,SUMIF(CalcDebit,INDEX(PkCapA,82),CalcAmt)+SUMIF(CalcDebit2,INDEX(PkCapA,82),CalcAmt2)))</f>
        <v/>
      </c>
      <c r="F1786" s="14">
        <f>IF($B1786="","",IF(82&gt;NCapA,0,SUMIF(CalcCredit,INDEX(PkCapA,82),CalcAmt)+SUMIF(CalcCredit2,INDEX(PkCapA,82),CalcAmt2)))</f>
        <v/>
      </c>
      <c r="G1786" s="15">
        <f>IF($B1786="","",ROUND($E1786-$F1786,0))</f>
        <v/>
      </c>
      <c r="H1786" s="12">
        <f>IF($B1786="","",IF(ROUND($G1786,0)&gt;0,"بدهکار",IF(ROUND($G1786,0)&lt;0,"بستانکار","تسویه")))</f>
        <v/>
      </c>
    </row>
    <row r="1787">
      <c r="A1787" s="16">
        <f>IF($B1787="","",1778)</f>
        <v/>
      </c>
      <c r="B1787" s="17">
        <f>IF(83&gt;NCapA,"",IFERROR(IF(VLOOKUP(INDEX(PkCapA,83),AcctTblA,4,0)="","(بدون نام)",VLOOKUP(INDEX(PkCapA,83),AcctTblA,4,0)),"—"))</f>
        <v/>
      </c>
      <c r="C1787" s="18">
        <f>IF($B1787="","",IF(83&gt;NCapA,"",INDEX(PkCapA,83)))</f>
        <v/>
      </c>
      <c r="D1787" s="17">
        <f>IF($B1787="","","c")</f>
        <v/>
      </c>
      <c r="E1787" s="19">
        <f>IF($B1787="","",IF(83&gt;NCapA,0,SUMIF(CalcDebit,INDEX(PkCapA,83),CalcAmt)+SUMIF(CalcDebit2,INDEX(PkCapA,83),CalcAmt2)))</f>
        <v/>
      </c>
      <c r="F1787" s="19">
        <f>IF($B1787="","",IF(83&gt;NCapA,0,SUMIF(CalcCredit,INDEX(PkCapA,83),CalcAmt)+SUMIF(CalcCredit2,INDEX(PkCapA,83),CalcAmt2)))</f>
        <v/>
      </c>
      <c r="G1787" s="20">
        <f>IF($B1787="","",ROUND($E1787-$F1787,0))</f>
        <v/>
      </c>
      <c r="H1787" s="17">
        <f>IF($B1787="","",IF(ROUND($G1787,0)&gt;0,"بدهکار",IF(ROUND($G1787,0)&lt;0,"بستانکار","تسویه")))</f>
        <v/>
      </c>
    </row>
    <row r="1788">
      <c r="A1788" s="11">
        <f>IF($B1788="","",1779)</f>
        <v/>
      </c>
      <c r="B1788" s="12">
        <f>IF(84&gt;NCapA,"",IFERROR(IF(VLOOKUP(INDEX(PkCapA,84),AcctTblA,4,0)="","(بدون نام)",VLOOKUP(INDEX(PkCapA,84),AcctTblA,4,0)),"—"))</f>
        <v/>
      </c>
      <c r="C1788" s="13">
        <f>IF($B1788="","",IF(84&gt;NCapA,"",INDEX(PkCapA,84)))</f>
        <v/>
      </c>
      <c r="D1788" s="12">
        <f>IF($B1788="","","c")</f>
        <v/>
      </c>
      <c r="E1788" s="14">
        <f>IF($B1788="","",IF(84&gt;NCapA,0,SUMIF(CalcDebit,INDEX(PkCapA,84),CalcAmt)+SUMIF(CalcDebit2,INDEX(PkCapA,84),CalcAmt2)))</f>
        <v/>
      </c>
      <c r="F1788" s="14">
        <f>IF($B1788="","",IF(84&gt;NCapA,0,SUMIF(CalcCredit,INDEX(PkCapA,84),CalcAmt)+SUMIF(CalcCredit2,INDEX(PkCapA,84),CalcAmt2)))</f>
        <v/>
      </c>
      <c r="G1788" s="15">
        <f>IF($B1788="","",ROUND($E1788-$F1788,0))</f>
        <v/>
      </c>
      <c r="H1788" s="12">
        <f>IF($B1788="","",IF(ROUND($G1788,0)&gt;0,"بدهکار",IF(ROUND($G1788,0)&lt;0,"بستانکار","تسویه")))</f>
        <v/>
      </c>
    </row>
    <row r="1789">
      <c r="A1789" s="16">
        <f>IF($B1789="","",1780)</f>
        <v/>
      </c>
      <c r="B1789" s="17">
        <f>IF(85&gt;NCapA,"",IFERROR(IF(VLOOKUP(INDEX(PkCapA,85),AcctTblA,4,0)="","(بدون نام)",VLOOKUP(INDEX(PkCapA,85),AcctTblA,4,0)),"—"))</f>
        <v/>
      </c>
      <c r="C1789" s="18">
        <f>IF($B1789="","",IF(85&gt;NCapA,"",INDEX(PkCapA,85)))</f>
        <v/>
      </c>
      <c r="D1789" s="17">
        <f>IF($B1789="","","c")</f>
        <v/>
      </c>
      <c r="E1789" s="19">
        <f>IF($B1789="","",IF(85&gt;NCapA,0,SUMIF(CalcDebit,INDEX(PkCapA,85),CalcAmt)+SUMIF(CalcDebit2,INDEX(PkCapA,85),CalcAmt2)))</f>
        <v/>
      </c>
      <c r="F1789" s="19">
        <f>IF($B1789="","",IF(85&gt;NCapA,0,SUMIF(CalcCredit,INDEX(PkCapA,85),CalcAmt)+SUMIF(CalcCredit2,INDEX(PkCapA,85),CalcAmt2)))</f>
        <v/>
      </c>
      <c r="G1789" s="20">
        <f>IF($B1789="","",ROUND($E1789-$F1789,0))</f>
        <v/>
      </c>
      <c r="H1789" s="17">
        <f>IF($B1789="","",IF(ROUND($G1789,0)&gt;0,"بدهکار",IF(ROUND($G1789,0)&lt;0,"بستانکار","تسویه")))</f>
        <v/>
      </c>
    </row>
    <row r="1790">
      <c r="A1790" s="11">
        <f>IF($B1790="","",1781)</f>
        <v/>
      </c>
      <c r="B1790" s="12">
        <f>IF(86&gt;NCapA,"",IFERROR(IF(VLOOKUP(INDEX(PkCapA,86),AcctTblA,4,0)="","(بدون نام)",VLOOKUP(INDEX(PkCapA,86),AcctTblA,4,0)),"—"))</f>
        <v/>
      </c>
      <c r="C1790" s="13">
        <f>IF($B1790="","",IF(86&gt;NCapA,"",INDEX(PkCapA,86)))</f>
        <v/>
      </c>
      <c r="D1790" s="12">
        <f>IF($B1790="","","c")</f>
        <v/>
      </c>
      <c r="E1790" s="14">
        <f>IF($B1790="","",IF(86&gt;NCapA,0,SUMIF(CalcDebit,INDEX(PkCapA,86),CalcAmt)+SUMIF(CalcDebit2,INDEX(PkCapA,86),CalcAmt2)))</f>
        <v/>
      </c>
      <c r="F1790" s="14">
        <f>IF($B1790="","",IF(86&gt;NCapA,0,SUMIF(CalcCredit,INDEX(PkCapA,86),CalcAmt)+SUMIF(CalcCredit2,INDEX(PkCapA,86),CalcAmt2)))</f>
        <v/>
      </c>
      <c r="G1790" s="15">
        <f>IF($B1790="","",ROUND($E1790-$F1790,0))</f>
        <v/>
      </c>
      <c r="H1790" s="12">
        <f>IF($B1790="","",IF(ROUND($G1790,0)&gt;0,"بدهکار",IF(ROUND($G1790,0)&lt;0,"بستانکار","تسویه")))</f>
        <v/>
      </c>
    </row>
    <row r="1791">
      <c r="A1791" s="16">
        <f>IF($B1791="","",1782)</f>
        <v/>
      </c>
      <c r="B1791" s="17">
        <f>IF(87&gt;NCapA,"",IFERROR(IF(VLOOKUP(INDEX(PkCapA,87),AcctTblA,4,0)="","(بدون نام)",VLOOKUP(INDEX(PkCapA,87),AcctTblA,4,0)),"—"))</f>
        <v/>
      </c>
      <c r="C1791" s="18">
        <f>IF($B1791="","",IF(87&gt;NCapA,"",INDEX(PkCapA,87)))</f>
        <v/>
      </c>
      <c r="D1791" s="17">
        <f>IF($B1791="","","c")</f>
        <v/>
      </c>
      <c r="E1791" s="19">
        <f>IF($B1791="","",IF(87&gt;NCapA,0,SUMIF(CalcDebit,INDEX(PkCapA,87),CalcAmt)+SUMIF(CalcDebit2,INDEX(PkCapA,87),CalcAmt2)))</f>
        <v/>
      </c>
      <c r="F1791" s="19">
        <f>IF($B1791="","",IF(87&gt;NCapA,0,SUMIF(CalcCredit,INDEX(PkCapA,87),CalcAmt)+SUMIF(CalcCredit2,INDEX(PkCapA,87),CalcAmt2)))</f>
        <v/>
      </c>
      <c r="G1791" s="20">
        <f>IF($B1791="","",ROUND($E1791-$F1791,0))</f>
        <v/>
      </c>
      <c r="H1791" s="17">
        <f>IF($B1791="","",IF(ROUND($G1791,0)&gt;0,"بدهکار",IF(ROUND($G1791,0)&lt;0,"بستانکار","تسویه")))</f>
        <v/>
      </c>
    </row>
    <row r="1792">
      <c r="A1792" s="11">
        <f>IF($B1792="","",1783)</f>
        <v/>
      </c>
      <c r="B1792" s="12">
        <f>IF(88&gt;NCapA,"",IFERROR(IF(VLOOKUP(INDEX(PkCapA,88),AcctTblA,4,0)="","(بدون نام)",VLOOKUP(INDEX(PkCapA,88),AcctTblA,4,0)),"—"))</f>
        <v/>
      </c>
      <c r="C1792" s="13">
        <f>IF($B1792="","",IF(88&gt;NCapA,"",INDEX(PkCapA,88)))</f>
        <v/>
      </c>
      <c r="D1792" s="12">
        <f>IF($B1792="","","c")</f>
        <v/>
      </c>
      <c r="E1792" s="14">
        <f>IF($B1792="","",IF(88&gt;NCapA,0,SUMIF(CalcDebit,INDEX(PkCapA,88),CalcAmt)+SUMIF(CalcDebit2,INDEX(PkCapA,88),CalcAmt2)))</f>
        <v/>
      </c>
      <c r="F1792" s="14">
        <f>IF($B1792="","",IF(88&gt;NCapA,0,SUMIF(CalcCredit,INDEX(PkCapA,88),CalcAmt)+SUMIF(CalcCredit2,INDEX(PkCapA,88),CalcAmt2)))</f>
        <v/>
      </c>
      <c r="G1792" s="15">
        <f>IF($B1792="","",ROUND($E1792-$F1792,0))</f>
        <v/>
      </c>
      <c r="H1792" s="12">
        <f>IF($B1792="","",IF(ROUND($G1792,0)&gt;0,"بدهکار",IF(ROUND($G1792,0)&lt;0,"بستانکار","تسویه")))</f>
        <v/>
      </c>
    </row>
    <row r="1793">
      <c r="A1793" s="16">
        <f>IF($B1793="","",1784)</f>
        <v/>
      </c>
      <c r="B1793" s="17">
        <f>IF(89&gt;NCapA,"",IFERROR(IF(VLOOKUP(INDEX(PkCapA,89),AcctTblA,4,0)="","(بدون نام)",VLOOKUP(INDEX(PkCapA,89),AcctTblA,4,0)),"—"))</f>
        <v/>
      </c>
      <c r="C1793" s="18">
        <f>IF($B1793="","",IF(89&gt;NCapA,"",INDEX(PkCapA,89)))</f>
        <v/>
      </c>
      <c r="D1793" s="17">
        <f>IF($B1793="","","c")</f>
        <v/>
      </c>
      <c r="E1793" s="19">
        <f>IF($B1793="","",IF(89&gt;NCapA,0,SUMIF(CalcDebit,INDEX(PkCapA,89),CalcAmt)+SUMIF(CalcDebit2,INDEX(PkCapA,89),CalcAmt2)))</f>
        <v/>
      </c>
      <c r="F1793" s="19">
        <f>IF($B1793="","",IF(89&gt;NCapA,0,SUMIF(CalcCredit,INDEX(PkCapA,89),CalcAmt)+SUMIF(CalcCredit2,INDEX(PkCapA,89),CalcAmt2)))</f>
        <v/>
      </c>
      <c r="G1793" s="20">
        <f>IF($B1793="","",ROUND($E1793-$F1793,0))</f>
        <v/>
      </c>
      <c r="H1793" s="17">
        <f>IF($B1793="","",IF(ROUND($G1793,0)&gt;0,"بدهکار",IF(ROUND($G1793,0)&lt;0,"بستانکار","تسویه")))</f>
        <v/>
      </c>
    </row>
    <row r="1794">
      <c r="A1794" s="11">
        <f>IF($B1794="","",1785)</f>
        <v/>
      </c>
      <c r="B1794" s="12">
        <f>IF(90&gt;NCapA,"",IFERROR(IF(VLOOKUP(INDEX(PkCapA,90),AcctTblA,4,0)="","(بدون نام)",VLOOKUP(INDEX(PkCapA,90),AcctTblA,4,0)),"—"))</f>
        <v/>
      </c>
      <c r="C1794" s="13">
        <f>IF($B1794="","",IF(90&gt;NCapA,"",INDEX(PkCapA,90)))</f>
        <v/>
      </c>
      <c r="D1794" s="12">
        <f>IF($B1794="","","c")</f>
        <v/>
      </c>
      <c r="E1794" s="14">
        <f>IF($B1794="","",IF(90&gt;NCapA,0,SUMIF(CalcDebit,INDEX(PkCapA,90),CalcAmt)+SUMIF(CalcDebit2,INDEX(PkCapA,90),CalcAmt2)))</f>
        <v/>
      </c>
      <c r="F1794" s="14">
        <f>IF($B1794="","",IF(90&gt;NCapA,0,SUMIF(CalcCredit,INDEX(PkCapA,90),CalcAmt)+SUMIF(CalcCredit2,INDEX(PkCapA,90),CalcAmt2)))</f>
        <v/>
      </c>
      <c r="G1794" s="15">
        <f>IF($B1794="","",ROUND($E1794-$F1794,0))</f>
        <v/>
      </c>
      <c r="H1794" s="12">
        <f>IF($B1794="","",IF(ROUND($G1794,0)&gt;0,"بدهکار",IF(ROUND($G1794,0)&lt;0,"بستانکار","تسویه")))</f>
        <v/>
      </c>
    </row>
    <row r="1795">
      <c r="A1795" s="16">
        <f>IF($B1795="","",1786)</f>
        <v/>
      </c>
      <c r="B1795" s="17">
        <f>IF(91&gt;NCapA,"",IFERROR(IF(VLOOKUP(INDEX(PkCapA,91),AcctTblA,4,0)="","(بدون نام)",VLOOKUP(INDEX(PkCapA,91),AcctTblA,4,0)),"—"))</f>
        <v/>
      </c>
      <c r="C1795" s="18">
        <f>IF($B1795="","",IF(91&gt;NCapA,"",INDEX(PkCapA,91)))</f>
        <v/>
      </c>
      <c r="D1795" s="17">
        <f>IF($B1795="","","c")</f>
        <v/>
      </c>
      <c r="E1795" s="19">
        <f>IF($B1795="","",IF(91&gt;NCapA,0,SUMIF(CalcDebit,INDEX(PkCapA,91),CalcAmt)+SUMIF(CalcDebit2,INDEX(PkCapA,91),CalcAmt2)))</f>
        <v/>
      </c>
      <c r="F1795" s="19">
        <f>IF($B1795="","",IF(91&gt;NCapA,0,SUMIF(CalcCredit,INDEX(PkCapA,91),CalcAmt)+SUMIF(CalcCredit2,INDEX(PkCapA,91),CalcAmt2)))</f>
        <v/>
      </c>
      <c r="G1795" s="20">
        <f>IF($B1795="","",ROUND($E1795-$F1795,0))</f>
        <v/>
      </c>
      <c r="H1795" s="17">
        <f>IF($B1795="","",IF(ROUND($G1795,0)&gt;0,"بدهکار",IF(ROUND($G1795,0)&lt;0,"بستانکار","تسویه")))</f>
        <v/>
      </c>
    </row>
    <row r="1796">
      <c r="A1796" s="11">
        <f>IF($B1796="","",1787)</f>
        <v/>
      </c>
      <c r="B1796" s="12">
        <f>IF(92&gt;NCapA,"",IFERROR(IF(VLOOKUP(INDEX(PkCapA,92),AcctTblA,4,0)="","(بدون نام)",VLOOKUP(INDEX(PkCapA,92),AcctTblA,4,0)),"—"))</f>
        <v/>
      </c>
      <c r="C1796" s="13">
        <f>IF($B1796="","",IF(92&gt;NCapA,"",INDEX(PkCapA,92)))</f>
        <v/>
      </c>
      <c r="D1796" s="12">
        <f>IF($B1796="","","c")</f>
        <v/>
      </c>
      <c r="E1796" s="14">
        <f>IF($B1796="","",IF(92&gt;NCapA,0,SUMIF(CalcDebit,INDEX(PkCapA,92),CalcAmt)+SUMIF(CalcDebit2,INDEX(PkCapA,92),CalcAmt2)))</f>
        <v/>
      </c>
      <c r="F1796" s="14">
        <f>IF($B1796="","",IF(92&gt;NCapA,0,SUMIF(CalcCredit,INDEX(PkCapA,92),CalcAmt)+SUMIF(CalcCredit2,INDEX(PkCapA,92),CalcAmt2)))</f>
        <v/>
      </c>
      <c r="G1796" s="15">
        <f>IF($B1796="","",ROUND($E1796-$F1796,0))</f>
        <v/>
      </c>
      <c r="H1796" s="12">
        <f>IF($B1796="","",IF(ROUND($G1796,0)&gt;0,"بدهکار",IF(ROUND($G1796,0)&lt;0,"بستانکار","تسویه")))</f>
        <v/>
      </c>
    </row>
    <row r="1797">
      <c r="A1797" s="16">
        <f>IF($B1797="","",1788)</f>
        <v/>
      </c>
      <c r="B1797" s="17">
        <f>IF(93&gt;NCapA,"",IFERROR(IF(VLOOKUP(INDEX(PkCapA,93),AcctTblA,4,0)="","(بدون نام)",VLOOKUP(INDEX(PkCapA,93),AcctTblA,4,0)),"—"))</f>
        <v/>
      </c>
      <c r="C1797" s="18">
        <f>IF($B1797="","",IF(93&gt;NCapA,"",INDEX(PkCapA,93)))</f>
        <v/>
      </c>
      <c r="D1797" s="17">
        <f>IF($B1797="","","c")</f>
        <v/>
      </c>
      <c r="E1797" s="19">
        <f>IF($B1797="","",IF(93&gt;NCapA,0,SUMIF(CalcDebit,INDEX(PkCapA,93),CalcAmt)+SUMIF(CalcDebit2,INDEX(PkCapA,93),CalcAmt2)))</f>
        <v/>
      </c>
      <c r="F1797" s="19">
        <f>IF($B1797="","",IF(93&gt;NCapA,0,SUMIF(CalcCredit,INDEX(PkCapA,93),CalcAmt)+SUMIF(CalcCredit2,INDEX(PkCapA,93),CalcAmt2)))</f>
        <v/>
      </c>
      <c r="G1797" s="20">
        <f>IF($B1797="","",ROUND($E1797-$F1797,0))</f>
        <v/>
      </c>
      <c r="H1797" s="17">
        <f>IF($B1797="","",IF(ROUND($G1797,0)&gt;0,"بدهکار",IF(ROUND($G1797,0)&lt;0,"بستانکار","تسویه")))</f>
        <v/>
      </c>
    </row>
    <row r="1798">
      <c r="A1798" s="11">
        <f>IF($B1798="","",1789)</f>
        <v/>
      </c>
      <c r="B1798" s="12">
        <f>IF(94&gt;NCapA,"",IFERROR(IF(VLOOKUP(INDEX(PkCapA,94),AcctTblA,4,0)="","(بدون نام)",VLOOKUP(INDEX(PkCapA,94),AcctTblA,4,0)),"—"))</f>
        <v/>
      </c>
      <c r="C1798" s="13">
        <f>IF($B1798="","",IF(94&gt;NCapA,"",INDEX(PkCapA,94)))</f>
        <v/>
      </c>
      <c r="D1798" s="12">
        <f>IF($B1798="","","c")</f>
        <v/>
      </c>
      <c r="E1798" s="14">
        <f>IF($B1798="","",IF(94&gt;NCapA,0,SUMIF(CalcDebit,INDEX(PkCapA,94),CalcAmt)+SUMIF(CalcDebit2,INDEX(PkCapA,94),CalcAmt2)))</f>
        <v/>
      </c>
      <c r="F1798" s="14">
        <f>IF($B1798="","",IF(94&gt;NCapA,0,SUMIF(CalcCredit,INDEX(PkCapA,94),CalcAmt)+SUMIF(CalcCredit2,INDEX(PkCapA,94),CalcAmt2)))</f>
        <v/>
      </c>
      <c r="G1798" s="15">
        <f>IF($B1798="","",ROUND($E1798-$F1798,0))</f>
        <v/>
      </c>
      <c r="H1798" s="12">
        <f>IF($B1798="","",IF(ROUND($G1798,0)&gt;0,"بدهکار",IF(ROUND($G1798,0)&lt;0,"بستانکار","تسویه")))</f>
        <v/>
      </c>
    </row>
    <row r="1799">
      <c r="A1799" s="16">
        <f>IF($B1799="","",1790)</f>
        <v/>
      </c>
      <c r="B1799" s="17">
        <f>IF(95&gt;NCapA,"",IFERROR(IF(VLOOKUP(INDEX(PkCapA,95),AcctTblA,4,0)="","(بدون نام)",VLOOKUP(INDEX(PkCapA,95),AcctTblA,4,0)),"—"))</f>
        <v/>
      </c>
      <c r="C1799" s="18">
        <f>IF($B1799="","",IF(95&gt;NCapA,"",INDEX(PkCapA,95)))</f>
        <v/>
      </c>
      <c r="D1799" s="17">
        <f>IF($B1799="","","c")</f>
        <v/>
      </c>
      <c r="E1799" s="19">
        <f>IF($B1799="","",IF(95&gt;NCapA,0,SUMIF(CalcDebit,INDEX(PkCapA,95),CalcAmt)+SUMIF(CalcDebit2,INDEX(PkCapA,95),CalcAmt2)))</f>
        <v/>
      </c>
      <c r="F1799" s="19">
        <f>IF($B1799="","",IF(95&gt;NCapA,0,SUMIF(CalcCredit,INDEX(PkCapA,95),CalcAmt)+SUMIF(CalcCredit2,INDEX(PkCapA,95),CalcAmt2)))</f>
        <v/>
      </c>
      <c r="G1799" s="20">
        <f>IF($B1799="","",ROUND($E1799-$F1799,0))</f>
        <v/>
      </c>
      <c r="H1799" s="17">
        <f>IF($B1799="","",IF(ROUND($G1799,0)&gt;0,"بدهکار",IF(ROUND($G1799,0)&lt;0,"بستانکار","تسویه")))</f>
        <v/>
      </c>
    </row>
    <row r="1800">
      <c r="A1800" s="11">
        <f>IF($B1800="","",1791)</f>
        <v/>
      </c>
      <c r="B1800" s="12">
        <f>IF(96&gt;NCapA,"",IFERROR(IF(VLOOKUP(INDEX(PkCapA,96),AcctTblA,4,0)="","(بدون نام)",VLOOKUP(INDEX(PkCapA,96),AcctTblA,4,0)),"—"))</f>
        <v/>
      </c>
      <c r="C1800" s="13">
        <f>IF($B1800="","",IF(96&gt;NCapA,"",INDEX(PkCapA,96)))</f>
        <v/>
      </c>
      <c r="D1800" s="12">
        <f>IF($B1800="","","c")</f>
        <v/>
      </c>
      <c r="E1800" s="14">
        <f>IF($B1800="","",IF(96&gt;NCapA,0,SUMIF(CalcDebit,INDEX(PkCapA,96),CalcAmt)+SUMIF(CalcDebit2,INDEX(PkCapA,96),CalcAmt2)))</f>
        <v/>
      </c>
      <c r="F1800" s="14">
        <f>IF($B1800="","",IF(96&gt;NCapA,0,SUMIF(CalcCredit,INDEX(PkCapA,96),CalcAmt)+SUMIF(CalcCredit2,INDEX(PkCapA,96),CalcAmt2)))</f>
        <v/>
      </c>
      <c r="G1800" s="15">
        <f>IF($B1800="","",ROUND($E1800-$F1800,0))</f>
        <v/>
      </c>
      <c r="H1800" s="12">
        <f>IF($B1800="","",IF(ROUND($G1800,0)&gt;0,"بدهکار",IF(ROUND($G1800,0)&lt;0,"بستانکار","تسویه")))</f>
        <v/>
      </c>
    </row>
    <row r="1801">
      <c r="A1801" s="16">
        <f>IF($B1801="","",1792)</f>
        <v/>
      </c>
      <c r="B1801" s="17">
        <f>IF(97&gt;NCapA,"",IFERROR(IF(VLOOKUP(INDEX(PkCapA,97),AcctTblA,4,0)="","(بدون نام)",VLOOKUP(INDEX(PkCapA,97),AcctTblA,4,0)),"—"))</f>
        <v/>
      </c>
      <c r="C1801" s="18">
        <f>IF($B1801="","",IF(97&gt;NCapA,"",INDEX(PkCapA,97)))</f>
        <v/>
      </c>
      <c r="D1801" s="17">
        <f>IF($B1801="","","c")</f>
        <v/>
      </c>
      <c r="E1801" s="19">
        <f>IF($B1801="","",IF(97&gt;NCapA,0,SUMIF(CalcDebit,INDEX(PkCapA,97),CalcAmt)+SUMIF(CalcDebit2,INDEX(PkCapA,97),CalcAmt2)))</f>
        <v/>
      </c>
      <c r="F1801" s="19">
        <f>IF($B1801="","",IF(97&gt;NCapA,0,SUMIF(CalcCredit,INDEX(PkCapA,97),CalcAmt)+SUMIF(CalcCredit2,INDEX(PkCapA,97),CalcAmt2)))</f>
        <v/>
      </c>
      <c r="G1801" s="20">
        <f>IF($B1801="","",ROUND($E1801-$F1801,0))</f>
        <v/>
      </c>
      <c r="H1801" s="17">
        <f>IF($B1801="","",IF(ROUND($G1801,0)&gt;0,"بدهکار",IF(ROUND($G1801,0)&lt;0,"بستانکار","تسویه")))</f>
        <v/>
      </c>
    </row>
    <row r="1802">
      <c r="A1802" s="11">
        <f>IF($B1802="","",1793)</f>
        <v/>
      </c>
      <c r="B1802" s="12">
        <f>IF(98&gt;NCapA,"",IFERROR(IF(VLOOKUP(INDEX(PkCapA,98),AcctTblA,4,0)="","(بدون نام)",VLOOKUP(INDEX(PkCapA,98),AcctTblA,4,0)),"—"))</f>
        <v/>
      </c>
      <c r="C1802" s="13">
        <f>IF($B1802="","",IF(98&gt;NCapA,"",INDEX(PkCapA,98)))</f>
        <v/>
      </c>
      <c r="D1802" s="12">
        <f>IF($B1802="","","c")</f>
        <v/>
      </c>
      <c r="E1802" s="14">
        <f>IF($B1802="","",IF(98&gt;NCapA,0,SUMIF(CalcDebit,INDEX(PkCapA,98),CalcAmt)+SUMIF(CalcDebit2,INDEX(PkCapA,98),CalcAmt2)))</f>
        <v/>
      </c>
      <c r="F1802" s="14">
        <f>IF($B1802="","",IF(98&gt;NCapA,0,SUMIF(CalcCredit,INDEX(PkCapA,98),CalcAmt)+SUMIF(CalcCredit2,INDEX(PkCapA,98),CalcAmt2)))</f>
        <v/>
      </c>
      <c r="G1802" s="15">
        <f>IF($B1802="","",ROUND($E1802-$F1802,0))</f>
        <v/>
      </c>
      <c r="H1802" s="12">
        <f>IF($B1802="","",IF(ROUND($G1802,0)&gt;0,"بدهکار",IF(ROUND($G1802,0)&lt;0,"بستانکار","تسویه")))</f>
        <v/>
      </c>
    </row>
    <row r="1803">
      <c r="A1803" s="16">
        <f>IF($B1803="","",1794)</f>
        <v/>
      </c>
      <c r="B1803" s="17">
        <f>IF(99&gt;NCapA,"",IFERROR(IF(VLOOKUP(INDEX(PkCapA,99),AcctTblA,4,0)="","(بدون نام)",VLOOKUP(INDEX(PkCapA,99),AcctTblA,4,0)),"—"))</f>
        <v/>
      </c>
      <c r="C1803" s="18">
        <f>IF($B1803="","",IF(99&gt;NCapA,"",INDEX(PkCapA,99)))</f>
        <v/>
      </c>
      <c r="D1803" s="17">
        <f>IF($B1803="","","c")</f>
        <v/>
      </c>
      <c r="E1803" s="19">
        <f>IF($B1803="","",IF(99&gt;NCapA,0,SUMIF(CalcDebit,INDEX(PkCapA,99),CalcAmt)+SUMIF(CalcDebit2,INDEX(PkCapA,99),CalcAmt2)))</f>
        <v/>
      </c>
      <c r="F1803" s="19">
        <f>IF($B1803="","",IF(99&gt;NCapA,0,SUMIF(CalcCredit,INDEX(PkCapA,99),CalcAmt)+SUMIF(CalcCredit2,INDEX(PkCapA,99),CalcAmt2)))</f>
        <v/>
      </c>
      <c r="G1803" s="20">
        <f>IF($B1803="","",ROUND($E1803-$F1803,0))</f>
        <v/>
      </c>
      <c r="H1803" s="17">
        <f>IF($B1803="","",IF(ROUND($G1803,0)&gt;0,"بدهکار",IF(ROUND($G1803,0)&lt;0,"بستانکار","تسویه")))</f>
        <v/>
      </c>
    </row>
    <row r="1804">
      <c r="A1804" s="11">
        <f>IF($B1804="","",1795)</f>
        <v/>
      </c>
      <c r="B1804" s="12">
        <f>IF(100&gt;NCapA,"",IFERROR(IF(VLOOKUP(INDEX(PkCapA,100),AcctTblA,4,0)="","(بدون نام)",VLOOKUP(INDEX(PkCapA,100),AcctTblA,4,0)),"—"))</f>
        <v/>
      </c>
      <c r="C1804" s="13">
        <f>IF($B1804="","",IF(100&gt;NCapA,"",INDEX(PkCapA,100)))</f>
        <v/>
      </c>
      <c r="D1804" s="12">
        <f>IF($B1804="","","c")</f>
        <v/>
      </c>
      <c r="E1804" s="14">
        <f>IF($B1804="","",IF(100&gt;NCapA,0,SUMIF(CalcDebit,INDEX(PkCapA,100),CalcAmt)+SUMIF(CalcDebit2,INDEX(PkCapA,100),CalcAmt2)))</f>
        <v/>
      </c>
      <c r="F1804" s="14">
        <f>IF($B1804="","",IF(100&gt;NCapA,0,SUMIF(CalcCredit,INDEX(PkCapA,100),CalcAmt)+SUMIF(CalcCredit2,INDEX(PkCapA,100),CalcAmt2)))</f>
        <v/>
      </c>
      <c r="G1804" s="15">
        <f>IF($B1804="","",ROUND($E1804-$F1804,0))</f>
        <v/>
      </c>
      <c r="H1804" s="12">
        <f>IF($B1804="","",IF(ROUND($G1804,0)&gt;0,"بدهکار",IF(ROUND($G1804,0)&lt;0,"بستانکار","تسویه")))</f>
        <v/>
      </c>
    </row>
    <row r="1805">
      <c r="A1805" s="16">
        <f>IF($B1805="","",1796)</f>
        <v/>
      </c>
      <c r="B1805" s="17">
        <f>IF(101&gt;NCapA,"",IFERROR(IF(VLOOKUP(INDEX(PkCapA,101),AcctTblA,4,0)="","(بدون نام)",VLOOKUP(INDEX(PkCapA,101),AcctTblA,4,0)),"—"))</f>
        <v/>
      </c>
      <c r="C1805" s="18">
        <f>IF($B1805="","",IF(101&gt;NCapA,"",INDEX(PkCapA,101)))</f>
        <v/>
      </c>
      <c r="D1805" s="17">
        <f>IF($B1805="","","c")</f>
        <v/>
      </c>
      <c r="E1805" s="19">
        <f>IF($B1805="","",IF(101&gt;NCapA,0,SUMIF(CalcDebit,INDEX(PkCapA,101),CalcAmt)+SUMIF(CalcDebit2,INDEX(PkCapA,101),CalcAmt2)))</f>
        <v/>
      </c>
      <c r="F1805" s="19">
        <f>IF($B1805="","",IF(101&gt;NCapA,0,SUMIF(CalcCredit,INDEX(PkCapA,101),CalcAmt)+SUMIF(CalcCredit2,INDEX(PkCapA,101),CalcAmt2)))</f>
        <v/>
      </c>
      <c r="G1805" s="20">
        <f>IF($B1805="","",ROUND($E1805-$F1805,0))</f>
        <v/>
      </c>
      <c r="H1805" s="17">
        <f>IF($B1805="","",IF(ROUND($G1805,0)&gt;0,"بدهکار",IF(ROUND($G1805,0)&lt;0,"بستانکار","تسویه")))</f>
        <v/>
      </c>
    </row>
    <row r="1806">
      <c r="A1806" s="11">
        <f>IF($B1806="","",1797)</f>
        <v/>
      </c>
      <c r="B1806" s="12">
        <f>IF(102&gt;NCapA,"",IFERROR(IF(VLOOKUP(INDEX(PkCapA,102),AcctTblA,4,0)="","(بدون نام)",VLOOKUP(INDEX(PkCapA,102),AcctTblA,4,0)),"—"))</f>
        <v/>
      </c>
      <c r="C1806" s="13">
        <f>IF($B1806="","",IF(102&gt;NCapA,"",INDEX(PkCapA,102)))</f>
        <v/>
      </c>
      <c r="D1806" s="12">
        <f>IF($B1806="","","c")</f>
        <v/>
      </c>
      <c r="E1806" s="14">
        <f>IF($B1806="","",IF(102&gt;NCapA,0,SUMIF(CalcDebit,INDEX(PkCapA,102),CalcAmt)+SUMIF(CalcDebit2,INDEX(PkCapA,102),CalcAmt2)))</f>
        <v/>
      </c>
      <c r="F1806" s="14">
        <f>IF($B1806="","",IF(102&gt;NCapA,0,SUMIF(CalcCredit,INDEX(PkCapA,102),CalcAmt)+SUMIF(CalcCredit2,INDEX(PkCapA,102),CalcAmt2)))</f>
        <v/>
      </c>
      <c r="G1806" s="15">
        <f>IF($B1806="","",ROUND($E1806-$F1806,0))</f>
        <v/>
      </c>
      <c r="H1806" s="12">
        <f>IF($B1806="","",IF(ROUND($G1806,0)&gt;0,"بدهکار",IF(ROUND($G1806,0)&lt;0,"بستانکار","تسویه")))</f>
        <v/>
      </c>
    </row>
    <row r="1807">
      <c r="A1807" s="16">
        <f>IF($B1807="","",1798)</f>
        <v/>
      </c>
      <c r="B1807" s="17">
        <f>IF(103&gt;NCapA,"",IFERROR(IF(VLOOKUP(INDEX(PkCapA,103),AcctTblA,4,0)="","(بدون نام)",VLOOKUP(INDEX(PkCapA,103),AcctTblA,4,0)),"—"))</f>
        <v/>
      </c>
      <c r="C1807" s="18">
        <f>IF($B1807="","",IF(103&gt;NCapA,"",INDEX(PkCapA,103)))</f>
        <v/>
      </c>
      <c r="D1807" s="17">
        <f>IF($B1807="","","c")</f>
        <v/>
      </c>
      <c r="E1807" s="19">
        <f>IF($B1807="","",IF(103&gt;NCapA,0,SUMIF(CalcDebit,INDEX(PkCapA,103),CalcAmt)+SUMIF(CalcDebit2,INDEX(PkCapA,103),CalcAmt2)))</f>
        <v/>
      </c>
      <c r="F1807" s="19">
        <f>IF($B1807="","",IF(103&gt;NCapA,0,SUMIF(CalcCredit,INDEX(PkCapA,103),CalcAmt)+SUMIF(CalcCredit2,INDEX(PkCapA,103),CalcAmt2)))</f>
        <v/>
      </c>
      <c r="G1807" s="20">
        <f>IF($B1807="","",ROUND($E1807-$F1807,0))</f>
        <v/>
      </c>
      <c r="H1807" s="17">
        <f>IF($B1807="","",IF(ROUND($G1807,0)&gt;0,"بدهکار",IF(ROUND($G1807,0)&lt;0,"بستانکار","تسویه")))</f>
        <v/>
      </c>
    </row>
    <row r="1808">
      <c r="A1808" s="11">
        <f>IF($B1808="","",1799)</f>
        <v/>
      </c>
      <c r="B1808" s="12">
        <f>IF(104&gt;NCapA,"",IFERROR(IF(VLOOKUP(INDEX(PkCapA,104),AcctTblA,4,0)="","(بدون نام)",VLOOKUP(INDEX(PkCapA,104),AcctTblA,4,0)),"—"))</f>
        <v/>
      </c>
      <c r="C1808" s="13">
        <f>IF($B1808="","",IF(104&gt;NCapA,"",INDEX(PkCapA,104)))</f>
        <v/>
      </c>
      <c r="D1808" s="12">
        <f>IF($B1808="","","c")</f>
        <v/>
      </c>
      <c r="E1808" s="14">
        <f>IF($B1808="","",IF(104&gt;NCapA,0,SUMIF(CalcDebit,INDEX(PkCapA,104),CalcAmt)+SUMIF(CalcDebit2,INDEX(PkCapA,104),CalcAmt2)))</f>
        <v/>
      </c>
      <c r="F1808" s="14">
        <f>IF($B1808="","",IF(104&gt;NCapA,0,SUMIF(CalcCredit,INDEX(PkCapA,104),CalcAmt)+SUMIF(CalcCredit2,INDEX(PkCapA,104),CalcAmt2)))</f>
        <v/>
      </c>
      <c r="G1808" s="15">
        <f>IF($B1808="","",ROUND($E1808-$F1808,0))</f>
        <v/>
      </c>
      <c r="H1808" s="12">
        <f>IF($B1808="","",IF(ROUND($G1808,0)&gt;0,"بدهکار",IF(ROUND($G1808,0)&lt;0,"بستانکار","تسویه")))</f>
        <v/>
      </c>
    </row>
    <row r="1809">
      <c r="A1809" s="16">
        <f>IF($B1809="","",1800)</f>
        <v/>
      </c>
      <c r="B1809" s="17">
        <f>IF(105&gt;NCapA,"",IFERROR(IF(VLOOKUP(INDEX(PkCapA,105),AcctTblA,4,0)="","(بدون نام)",VLOOKUP(INDEX(PkCapA,105),AcctTblA,4,0)),"—"))</f>
        <v/>
      </c>
      <c r="C1809" s="18">
        <f>IF($B1809="","",IF(105&gt;NCapA,"",INDEX(PkCapA,105)))</f>
        <v/>
      </c>
      <c r="D1809" s="17">
        <f>IF($B1809="","","c")</f>
        <v/>
      </c>
      <c r="E1809" s="19">
        <f>IF($B1809="","",IF(105&gt;NCapA,0,SUMIF(CalcDebit,INDEX(PkCapA,105),CalcAmt)+SUMIF(CalcDebit2,INDEX(PkCapA,105),CalcAmt2)))</f>
        <v/>
      </c>
      <c r="F1809" s="19">
        <f>IF($B1809="","",IF(105&gt;NCapA,0,SUMIF(CalcCredit,INDEX(PkCapA,105),CalcAmt)+SUMIF(CalcCredit2,INDEX(PkCapA,105),CalcAmt2)))</f>
        <v/>
      </c>
      <c r="G1809" s="20">
        <f>IF($B1809="","",ROUND($E1809-$F1809,0))</f>
        <v/>
      </c>
      <c r="H1809" s="17">
        <f>IF($B1809="","",IF(ROUND($G1809,0)&gt;0,"بدهکار",IF(ROUND($G1809,0)&lt;0,"بستانکار","تسویه")))</f>
        <v/>
      </c>
    </row>
    <row r="1810">
      <c r="A1810" s="11">
        <f>IF($B1810="","",1801)</f>
        <v/>
      </c>
      <c r="B1810" s="12">
        <f>IF(106&gt;NCapA,"",IFERROR(IF(VLOOKUP(INDEX(PkCapA,106),AcctTblA,4,0)="","(بدون نام)",VLOOKUP(INDEX(PkCapA,106),AcctTblA,4,0)),"—"))</f>
        <v/>
      </c>
      <c r="C1810" s="13">
        <f>IF($B1810="","",IF(106&gt;NCapA,"",INDEX(PkCapA,106)))</f>
        <v/>
      </c>
      <c r="D1810" s="12">
        <f>IF($B1810="","","c")</f>
        <v/>
      </c>
      <c r="E1810" s="14">
        <f>IF($B1810="","",IF(106&gt;NCapA,0,SUMIF(CalcDebit,INDEX(PkCapA,106),CalcAmt)+SUMIF(CalcDebit2,INDEX(PkCapA,106),CalcAmt2)))</f>
        <v/>
      </c>
      <c r="F1810" s="14">
        <f>IF($B1810="","",IF(106&gt;NCapA,0,SUMIF(CalcCredit,INDEX(PkCapA,106),CalcAmt)+SUMIF(CalcCredit2,INDEX(PkCapA,106),CalcAmt2)))</f>
        <v/>
      </c>
      <c r="G1810" s="15">
        <f>IF($B1810="","",ROUND($E1810-$F1810,0))</f>
        <v/>
      </c>
      <c r="H1810" s="12">
        <f>IF($B1810="","",IF(ROUND($G1810,0)&gt;0,"بدهکار",IF(ROUND($G1810,0)&lt;0,"بستانکار","تسویه")))</f>
        <v/>
      </c>
    </row>
    <row r="1811">
      <c r="A1811" s="16">
        <f>IF($B1811="","",1802)</f>
        <v/>
      </c>
      <c r="B1811" s="17">
        <f>IF(107&gt;NCapA,"",IFERROR(IF(VLOOKUP(INDEX(PkCapA,107),AcctTblA,4,0)="","(بدون نام)",VLOOKUP(INDEX(PkCapA,107),AcctTblA,4,0)),"—"))</f>
        <v/>
      </c>
      <c r="C1811" s="18">
        <f>IF($B1811="","",IF(107&gt;NCapA,"",INDEX(PkCapA,107)))</f>
        <v/>
      </c>
      <c r="D1811" s="17">
        <f>IF($B1811="","","c")</f>
        <v/>
      </c>
      <c r="E1811" s="19">
        <f>IF($B1811="","",IF(107&gt;NCapA,0,SUMIF(CalcDebit,INDEX(PkCapA,107),CalcAmt)+SUMIF(CalcDebit2,INDEX(PkCapA,107),CalcAmt2)))</f>
        <v/>
      </c>
      <c r="F1811" s="19">
        <f>IF($B1811="","",IF(107&gt;NCapA,0,SUMIF(CalcCredit,INDEX(PkCapA,107),CalcAmt)+SUMIF(CalcCredit2,INDEX(PkCapA,107),CalcAmt2)))</f>
        <v/>
      </c>
      <c r="G1811" s="20">
        <f>IF($B1811="","",ROUND($E1811-$F1811,0))</f>
        <v/>
      </c>
      <c r="H1811" s="17">
        <f>IF($B1811="","",IF(ROUND($G1811,0)&gt;0,"بدهکار",IF(ROUND($G1811,0)&lt;0,"بستانکار","تسویه")))</f>
        <v/>
      </c>
    </row>
    <row r="1812">
      <c r="A1812" s="11">
        <f>IF($B1812="","",1803)</f>
        <v/>
      </c>
      <c r="B1812" s="12">
        <f>IF(108&gt;NCapA,"",IFERROR(IF(VLOOKUP(INDEX(PkCapA,108),AcctTblA,4,0)="","(بدون نام)",VLOOKUP(INDEX(PkCapA,108),AcctTblA,4,0)),"—"))</f>
        <v/>
      </c>
      <c r="C1812" s="13">
        <f>IF($B1812="","",IF(108&gt;NCapA,"",INDEX(PkCapA,108)))</f>
        <v/>
      </c>
      <c r="D1812" s="12">
        <f>IF($B1812="","","c")</f>
        <v/>
      </c>
      <c r="E1812" s="14">
        <f>IF($B1812="","",IF(108&gt;NCapA,0,SUMIF(CalcDebit,INDEX(PkCapA,108),CalcAmt)+SUMIF(CalcDebit2,INDEX(PkCapA,108),CalcAmt2)))</f>
        <v/>
      </c>
      <c r="F1812" s="14">
        <f>IF($B1812="","",IF(108&gt;NCapA,0,SUMIF(CalcCredit,INDEX(PkCapA,108),CalcAmt)+SUMIF(CalcCredit2,INDEX(PkCapA,108),CalcAmt2)))</f>
        <v/>
      </c>
      <c r="G1812" s="15">
        <f>IF($B1812="","",ROUND($E1812-$F1812,0))</f>
        <v/>
      </c>
      <c r="H1812" s="12">
        <f>IF($B1812="","",IF(ROUND($G1812,0)&gt;0,"بدهکار",IF(ROUND($G1812,0)&lt;0,"بستانکار","تسویه")))</f>
        <v/>
      </c>
    </row>
    <row r="1813">
      <c r="A1813" s="16">
        <f>IF($B1813="","",1804)</f>
        <v/>
      </c>
      <c r="B1813" s="17">
        <f>IF(109&gt;NCapA,"",IFERROR(IF(VLOOKUP(INDEX(PkCapA,109),AcctTblA,4,0)="","(بدون نام)",VLOOKUP(INDEX(PkCapA,109),AcctTblA,4,0)),"—"))</f>
        <v/>
      </c>
      <c r="C1813" s="18">
        <f>IF($B1813="","",IF(109&gt;NCapA,"",INDEX(PkCapA,109)))</f>
        <v/>
      </c>
      <c r="D1813" s="17">
        <f>IF($B1813="","","c")</f>
        <v/>
      </c>
      <c r="E1813" s="19">
        <f>IF($B1813="","",IF(109&gt;NCapA,0,SUMIF(CalcDebit,INDEX(PkCapA,109),CalcAmt)+SUMIF(CalcDebit2,INDEX(PkCapA,109),CalcAmt2)))</f>
        <v/>
      </c>
      <c r="F1813" s="19">
        <f>IF($B1813="","",IF(109&gt;NCapA,0,SUMIF(CalcCredit,INDEX(PkCapA,109),CalcAmt)+SUMIF(CalcCredit2,INDEX(PkCapA,109),CalcAmt2)))</f>
        <v/>
      </c>
      <c r="G1813" s="20">
        <f>IF($B1813="","",ROUND($E1813-$F1813,0))</f>
        <v/>
      </c>
      <c r="H1813" s="17">
        <f>IF($B1813="","",IF(ROUND($G1813,0)&gt;0,"بدهکار",IF(ROUND($G1813,0)&lt;0,"بستانکار","تسویه")))</f>
        <v/>
      </c>
    </row>
    <row r="1814">
      <c r="A1814" s="11">
        <f>IF($B1814="","",1805)</f>
        <v/>
      </c>
      <c r="B1814" s="12">
        <f>IF(110&gt;NCapA,"",IFERROR(IF(VLOOKUP(INDEX(PkCapA,110),AcctTblA,4,0)="","(بدون نام)",VLOOKUP(INDEX(PkCapA,110),AcctTblA,4,0)),"—"))</f>
        <v/>
      </c>
      <c r="C1814" s="13">
        <f>IF($B1814="","",IF(110&gt;NCapA,"",INDEX(PkCapA,110)))</f>
        <v/>
      </c>
      <c r="D1814" s="12">
        <f>IF($B1814="","","c")</f>
        <v/>
      </c>
      <c r="E1814" s="14">
        <f>IF($B1814="","",IF(110&gt;NCapA,0,SUMIF(CalcDebit,INDEX(PkCapA,110),CalcAmt)+SUMIF(CalcDebit2,INDEX(PkCapA,110),CalcAmt2)))</f>
        <v/>
      </c>
      <c r="F1814" s="14">
        <f>IF($B1814="","",IF(110&gt;NCapA,0,SUMIF(CalcCredit,INDEX(PkCapA,110),CalcAmt)+SUMIF(CalcCredit2,INDEX(PkCapA,110),CalcAmt2)))</f>
        <v/>
      </c>
      <c r="G1814" s="15">
        <f>IF($B1814="","",ROUND($E1814-$F1814,0))</f>
        <v/>
      </c>
      <c r="H1814" s="12">
        <f>IF($B1814="","",IF(ROUND($G1814,0)&gt;0,"بدهکار",IF(ROUND($G1814,0)&lt;0,"بستانکار","تسویه")))</f>
        <v/>
      </c>
    </row>
    <row r="1815">
      <c r="A1815" s="16">
        <f>IF($B1815="","",1806)</f>
        <v/>
      </c>
      <c r="B1815" s="17">
        <f>IF(111&gt;NCapA,"",IFERROR(IF(VLOOKUP(INDEX(PkCapA,111),AcctTblA,4,0)="","(بدون نام)",VLOOKUP(INDEX(PkCapA,111),AcctTblA,4,0)),"—"))</f>
        <v/>
      </c>
      <c r="C1815" s="18">
        <f>IF($B1815="","",IF(111&gt;NCapA,"",INDEX(PkCapA,111)))</f>
        <v/>
      </c>
      <c r="D1815" s="17">
        <f>IF($B1815="","","c")</f>
        <v/>
      </c>
      <c r="E1815" s="19">
        <f>IF($B1815="","",IF(111&gt;NCapA,0,SUMIF(CalcDebit,INDEX(PkCapA,111),CalcAmt)+SUMIF(CalcDebit2,INDEX(PkCapA,111),CalcAmt2)))</f>
        <v/>
      </c>
      <c r="F1815" s="19">
        <f>IF($B1815="","",IF(111&gt;NCapA,0,SUMIF(CalcCredit,INDEX(PkCapA,111),CalcAmt)+SUMIF(CalcCredit2,INDEX(PkCapA,111),CalcAmt2)))</f>
        <v/>
      </c>
      <c r="G1815" s="20">
        <f>IF($B1815="","",ROUND($E1815-$F1815,0))</f>
        <v/>
      </c>
      <c r="H1815" s="17">
        <f>IF($B1815="","",IF(ROUND($G1815,0)&gt;0,"بدهکار",IF(ROUND($G1815,0)&lt;0,"بستانکار","تسویه")))</f>
        <v/>
      </c>
    </row>
    <row r="1816">
      <c r="A1816" s="11">
        <f>IF($B1816="","",1807)</f>
        <v/>
      </c>
      <c r="B1816" s="12">
        <f>IF(112&gt;NCapA,"",IFERROR(IF(VLOOKUP(INDEX(PkCapA,112),AcctTblA,4,0)="","(بدون نام)",VLOOKUP(INDEX(PkCapA,112),AcctTblA,4,0)),"—"))</f>
        <v/>
      </c>
      <c r="C1816" s="13">
        <f>IF($B1816="","",IF(112&gt;NCapA,"",INDEX(PkCapA,112)))</f>
        <v/>
      </c>
      <c r="D1816" s="12">
        <f>IF($B1816="","","c")</f>
        <v/>
      </c>
      <c r="E1816" s="14">
        <f>IF($B1816="","",IF(112&gt;NCapA,0,SUMIF(CalcDebit,INDEX(PkCapA,112),CalcAmt)+SUMIF(CalcDebit2,INDEX(PkCapA,112),CalcAmt2)))</f>
        <v/>
      </c>
      <c r="F1816" s="14">
        <f>IF($B1816="","",IF(112&gt;NCapA,0,SUMIF(CalcCredit,INDEX(PkCapA,112),CalcAmt)+SUMIF(CalcCredit2,INDEX(PkCapA,112),CalcAmt2)))</f>
        <v/>
      </c>
      <c r="G1816" s="15">
        <f>IF($B1816="","",ROUND($E1816-$F1816,0))</f>
        <v/>
      </c>
      <c r="H1816" s="12">
        <f>IF($B1816="","",IF(ROUND($G1816,0)&gt;0,"بدهکار",IF(ROUND($G1816,0)&lt;0,"بستانکار","تسویه")))</f>
        <v/>
      </c>
    </row>
    <row r="1817">
      <c r="A1817" s="16">
        <f>IF($B1817="","",1808)</f>
        <v/>
      </c>
      <c r="B1817" s="17">
        <f>IF(113&gt;NCapA,"",IFERROR(IF(VLOOKUP(INDEX(PkCapA,113),AcctTblA,4,0)="","(بدون نام)",VLOOKUP(INDEX(PkCapA,113),AcctTblA,4,0)),"—"))</f>
        <v/>
      </c>
      <c r="C1817" s="18">
        <f>IF($B1817="","",IF(113&gt;NCapA,"",INDEX(PkCapA,113)))</f>
        <v/>
      </c>
      <c r="D1817" s="17">
        <f>IF($B1817="","","c")</f>
        <v/>
      </c>
      <c r="E1817" s="19">
        <f>IF($B1817="","",IF(113&gt;NCapA,0,SUMIF(CalcDebit,INDEX(PkCapA,113),CalcAmt)+SUMIF(CalcDebit2,INDEX(PkCapA,113),CalcAmt2)))</f>
        <v/>
      </c>
      <c r="F1817" s="19">
        <f>IF($B1817="","",IF(113&gt;NCapA,0,SUMIF(CalcCredit,INDEX(PkCapA,113),CalcAmt)+SUMIF(CalcCredit2,INDEX(PkCapA,113),CalcAmt2)))</f>
        <v/>
      </c>
      <c r="G1817" s="20">
        <f>IF($B1817="","",ROUND($E1817-$F1817,0))</f>
        <v/>
      </c>
      <c r="H1817" s="17">
        <f>IF($B1817="","",IF(ROUND($G1817,0)&gt;0,"بدهکار",IF(ROUND($G1817,0)&lt;0,"بستانکار","تسویه")))</f>
        <v/>
      </c>
    </row>
    <row r="1818">
      <c r="A1818" s="11">
        <f>IF($B1818="","",1809)</f>
        <v/>
      </c>
      <c r="B1818" s="12">
        <f>IF(114&gt;NCapA,"",IFERROR(IF(VLOOKUP(INDEX(PkCapA,114),AcctTblA,4,0)="","(بدون نام)",VLOOKUP(INDEX(PkCapA,114),AcctTblA,4,0)),"—"))</f>
        <v/>
      </c>
      <c r="C1818" s="13">
        <f>IF($B1818="","",IF(114&gt;NCapA,"",INDEX(PkCapA,114)))</f>
        <v/>
      </c>
      <c r="D1818" s="12">
        <f>IF($B1818="","","c")</f>
        <v/>
      </c>
      <c r="E1818" s="14">
        <f>IF($B1818="","",IF(114&gt;NCapA,0,SUMIF(CalcDebit,INDEX(PkCapA,114),CalcAmt)+SUMIF(CalcDebit2,INDEX(PkCapA,114),CalcAmt2)))</f>
        <v/>
      </c>
      <c r="F1818" s="14">
        <f>IF($B1818="","",IF(114&gt;NCapA,0,SUMIF(CalcCredit,INDEX(PkCapA,114),CalcAmt)+SUMIF(CalcCredit2,INDEX(PkCapA,114),CalcAmt2)))</f>
        <v/>
      </c>
      <c r="G1818" s="15">
        <f>IF($B1818="","",ROUND($E1818-$F1818,0))</f>
        <v/>
      </c>
      <c r="H1818" s="12">
        <f>IF($B1818="","",IF(ROUND($G1818,0)&gt;0,"بدهکار",IF(ROUND($G1818,0)&lt;0,"بستانکار","تسویه")))</f>
        <v/>
      </c>
    </row>
    <row r="1819">
      <c r="A1819" s="16">
        <f>IF($B1819="","",1810)</f>
        <v/>
      </c>
      <c r="B1819" s="17">
        <f>IF(115&gt;NCapA,"",IFERROR(IF(VLOOKUP(INDEX(PkCapA,115),AcctTblA,4,0)="","(بدون نام)",VLOOKUP(INDEX(PkCapA,115),AcctTblA,4,0)),"—"))</f>
        <v/>
      </c>
      <c r="C1819" s="18">
        <f>IF($B1819="","",IF(115&gt;NCapA,"",INDEX(PkCapA,115)))</f>
        <v/>
      </c>
      <c r="D1819" s="17">
        <f>IF($B1819="","","c")</f>
        <v/>
      </c>
      <c r="E1819" s="19">
        <f>IF($B1819="","",IF(115&gt;NCapA,0,SUMIF(CalcDebit,INDEX(PkCapA,115),CalcAmt)+SUMIF(CalcDebit2,INDEX(PkCapA,115),CalcAmt2)))</f>
        <v/>
      </c>
      <c r="F1819" s="19">
        <f>IF($B1819="","",IF(115&gt;NCapA,0,SUMIF(CalcCredit,INDEX(PkCapA,115),CalcAmt)+SUMIF(CalcCredit2,INDEX(PkCapA,115),CalcAmt2)))</f>
        <v/>
      </c>
      <c r="G1819" s="20">
        <f>IF($B1819="","",ROUND($E1819-$F1819,0))</f>
        <v/>
      </c>
      <c r="H1819" s="17">
        <f>IF($B1819="","",IF(ROUND($G1819,0)&gt;0,"بدهکار",IF(ROUND($G1819,0)&lt;0,"بستانکار","تسویه")))</f>
        <v/>
      </c>
    </row>
    <row r="1820">
      <c r="A1820" s="11">
        <f>IF($B1820="","",1811)</f>
        <v/>
      </c>
      <c r="B1820" s="12">
        <f>IF(116&gt;NCapA,"",IFERROR(IF(VLOOKUP(INDEX(PkCapA,116),AcctTblA,4,0)="","(بدون نام)",VLOOKUP(INDEX(PkCapA,116),AcctTblA,4,0)),"—"))</f>
        <v/>
      </c>
      <c r="C1820" s="13">
        <f>IF($B1820="","",IF(116&gt;NCapA,"",INDEX(PkCapA,116)))</f>
        <v/>
      </c>
      <c r="D1820" s="12">
        <f>IF($B1820="","","c")</f>
        <v/>
      </c>
      <c r="E1820" s="14">
        <f>IF($B1820="","",IF(116&gt;NCapA,0,SUMIF(CalcDebit,INDEX(PkCapA,116),CalcAmt)+SUMIF(CalcDebit2,INDEX(PkCapA,116),CalcAmt2)))</f>
        <v/>
      </c>
      <c r="F1820" s="14">
        <f>IF($B1820="","",IF(116&gt;NCapA,0,SUMIF(CalcCredit,INDEX(PkCapA,116),CalcAmt)+SUMIF(CalcCredit2,INDEX(PkCapA,116),CalcAmt2)))</f>
        <v/>
      </c>
      <c r="G1820" s="15">
        <f>IF($B1820="","",ROUND($E1820-$F1820,0))</f>
        <v/>
      </c>
      <c r="H1820" s="12">
        <f>IF($B1820="","",IF(ROUND($G1820,0)&gt;0,"بدهکار",IF(ROUND($G1820,0)&lt;0,"بستانکار","تسویه")))</f>
        <v/>
      </c>
    </row>
    <row r="1821">
      <c r="A1821" s="16">
        <f>IF($B1821="","",1812)</f>
        <v/>
      </c>
      <c r="B1821" s="17">
        <f>IF(117&gt;NCapA,"",IFERROR(IF(VLOOKUP(INDEX(PkCapA,117),AcctTblA,4,0)="","(بدون نام)",VLOOKUP(INDEX(PkCapA,117),AcctTblA,4,0)),"—"))</f>
        <v/>
      </c>
      <c r="C1821" s="18">
        <f>IF($B1821="","",IF(117&gt;NCapA,"",INDEX(PkCapA,117)))</f>
        <v/>
      </c>
      <c r="D1821" s="17">
        <f>IF($B1821="","","c")</f>
        <v/>
      </c>
      <c r="E1821" s="19">
        <f>IF($B1821="","",IF(117&gt;NCapA,0,SUMIF(CalcDebit,INDEX(PkCapA,117),CalcAmt)+SUMIF(CalcDebit2,INDEX(PkCapA,117),CalcAmt2)))</f>
        <v/>
      </c>
      <c r="F1821" s="19">
        <f>IF($B1821="","",IF(117&gt;NCapA,0,SUMIF(CalcCredit,INDEX(PkCapA,117),CalcAmt)+SUMIF(CalcCredit2,INDEX(PkCapA,117),CalcAmt2)))</f>
        <v/>
      </c>
      <c r="G1821" s="20">
        <f>IF($B1821="","",ROUND($E1821-$F1821,0))</f>
        <v/>
      </c>
      <c r="H1821" s="17">
        <f>IF($B1821="","",IF(ROUND($G1821,0)&gt;0,"بدهکار",IF(ROUND($G1821,0)&lt;0,"بستانکار","تسویه")))</f>
        <v/>
      </c>
    </row>
    <row r="1822">
      <c r="A1822" s="11">
        <f>IF($B1822="","",1813)</f>
        <v/>
      </c>
      <c r="B1822" s="12">
        <f>IF(118&gt;NCapA,"",IFERROR(IF(VLOOKUP(INDEX(PkCapA,118),AcctTblA,4,0)="","(بدون نام)",VLOOKUP(INDEX(PkCapA,118),AcctTblA,4,0)),"—"))</f>
        <v/>
      </c>
      <c r="C1822" s="13">
        <f>IF($B1822="","",IF(118&gt;NCapA,"",INDEX(PkCapA,118)))</f>
        <v/>
      </c>
      <c r="D1822" s="12">
        <f>IF($B1822="","","c")</f>
        <v/>
      </c>
      <c r="E1822" s="14">
        <f>IF($B1822="","",IF(118&gt;NCapA,0,SUMIF(CalcDebit,INDEX(PkCapA,118),CalcAmt)+SUMIF(CalcDebit2,INDEX(PkCapA,118),CalcAmt2)))</f>
        <v/>
      </c>
      <c r="F1822" s="14">
        <f>IF($B1822="","",IF(118&gt;NCapA,0,SUMIF(CalcCredit,INDEX(PkCapA,118),CalcAmt)+SUMIF(CalcCredit2,INDEX(PkCapA,118),CalcAmt2)))</f>
        <v/>
      </c>
      <c r="G1822" s="15">
        <f>IF($B1822="","",ROUND($E1822-$F1822,0))</f>
        <v/>
      </c>
      <c r="H1822" s="12">
        <f>IF($B1822="","",IF(ROUND($G1822,0)&gt;0,"بدهکار",IF(ROUND($G1822,0)&lt;0,"بستانکار","تسویه")))</f>
        <v/>
      </c>
    </row>
    <row r="1823">
      <c r="A1823" s="16">
        <f>IF($B1823="","",1814)</f>
        <v/>
      </c>
      <c r="B1823" s="17">
        <f>IF(119&gt;NCapA,"",IFERROR(IF(VLOOKUP(INDEX(PkCapA,119),AcctTblA,4,0)="","(بدون نام)",VLOOKUP(INDEX(PkCapA,119),AcctTblA,4,0)),"—"))</f>
        <v/>
      </c>
      <c r="C1823" s="18">
        <f>IF($B1823="","",IF(119&gt;NCapA,"",INDEX(PkCapA,119)))</f>
        <v/>
      </c>
      <c r="D1823" s="17">
        <f>IF($B1823="","","c")</f>
        <v/>
      </c>
      <c r="E1823" s="19">
        <f>IF($B1823="","",IF(119&gt;NCapA,0,SUMIF(CalcDebit,INDEX(PkCapA,119),CalcAmt)+SUMIF(CalcDebit2,INDEX(PkCapA,119),CalcAmt2)))</f>
        <v/>
      </c>
      <c r="F1823" s="19">
        <f>IF($B1823="","",IF(119&gt;NCapA,0,SUMIF(CalcCredit,INDEX(PkCapA,119),CalcAmt)+SUMIF(CalcCredit2,INDEX(PkCapA,119),CalcAmt2)))</f>
        <v/>
      </c>
      <c r="G1823" s="20">
        <f>IF($B1823="","",ROUND($E1823-$F1823,0))</f>
        <v/>
      </c>
      <c r="H1823" s="17">
        <f>IF($B1823="","",IF(ROUND($G1823,0)&gt;0,"بدهکار",IF(ROUND($G1823,0)&lt;0,"بستانکار","تسویه")))</f>
        <v/>
      </c>
    </row>
    <row r="1824">
      <c r="A1824" s="11">
        <f>IF($B1824="","",1815)</f>
        <v/>
      </c>
      <c r="B1824" s="12">
        <f>IF(120&gt;NCapA,"",IFERROR(IF(VLOOKUP(INDEX(PkCapA,120),AcctTblA,4,0)="","(بدون نام)",VLOOKUP(INDEX(PkCapA,120),AcctTblA,4,0)),"—"))</f>
        <v/>
      </c>
      <c r="C1824" s="13">
        <f>IF($B1824="","",IF(120&gt;NCapA,"",INDEX(PkCapA,120)))</f>
        <v/>
      </c>
      <c r="D1824" s="12">
        <f>IF($B1824="","","c")</f>
        <v/>
      </c>
      <c r="E1824" s="14">
        <f>IF($B1824="","",IF(120&gt;NCapA,0,SUMIF(CalcDebit,INDEX(PkCapA,120),CalcAmt)+SUMIF(CalcDebit2,INDEX(PkCapA,120),CalcAmt2)))</f>
        <v/>
      </c>
      <c r="F1824" s="14">
        <f>IF($B1824="","",IF(120&gt;NCapA,0,SUMIF(CalcCredit,INDEX(PkCapA,120),CalcAmt)+SUMIF(CalcCredit2,INDEX(PkCapA,120),CalcAmt2)))</f>
        <v/>
      </c>
      <c r="G1824" s="15">
        <f>IF($B1824="","",ROUND($E1824-$F1824,0))</f>
        <v/>
      </c>
      <c r="H1824" s="12">
        <f>IF($B1824="","",IF(ROUND($G1824,0)&gt;0,"بدهکار",IF(ROUND($G1824,0)&lt;0,"بستانکار","تسویه")))</f>
        <v/>
      </c>
    </row>
    <row r="1825">
      <c r="A1825" s="16">
        <f>IF($B1825="","",1816)</f>
        <v/>
      </c>
      <c r="B1825" s="17">
        <f>IF(121&gt;NCapA,"",IFERROR(IF(VLOOKUP(INDEX(PkCapA,121),AcctTblA,4,0)="","(بدون نام)",VLOOKUP(INDEX(PkCapA,121),AcctTblA,4,0)),"—"))</f>
        <v/>
      </c>
      <c r="C1825" s="18">
        <f>IF($B1825="","",IF(121&gt;NCapA,"",INDEX(PkCapA,121)))</f>
        <v/>
      </c>
      <c r="D1825" s="17">
        <f>IF($B1825="","","c")</f>
        <v/>
      </c>
      <c r="E1825" s="19">
        <f>IF($B1825="","",IF(121&gt;NCapA,0,SUMIF(CalcDebit,INDEX(PkCapA,121),CalcAmt)+SUMIF(CalcDebit2,INDEX(PkCapA,121),CalcAmt2)))</f>
        <v/>
      </c>
      <c r="F1825" s="19">
        <f>IF($B1825="","",IF(121&gt;NCapA,0,SUMIF(CalcCredit,INDEX(PkCapA,121),CalcAmt)+SUMIF(CalcCredit2,INDEX(PkCapA,121),CalcAmt2)))</f>
        <v/>
      </c>
      <c r="G1825" s="20">
        <f>IF($B1825="","",ROUND($E1825-$F1825,0))</f>
        <v/>
      </c>
      <c r="H1825" s="17">
        <f>IF($B1825="","",IF(ROUND($G1825,0)&gt;0,"بدهکار",IF(ROUND($G1825,0)&lt;0,"بستانکار","تسویه")))</f>
        <v/>
      </c>
    </row>
    <row r="1826">
      <c r="A1826" s="11">
        <f>IF($B1826="","",1817)</f>
        <v/>
      </c>
      <c r="B1826" s="12">
        <f>IF(122&gt;NCapA,"",IFERROR(IF(VLOOKUP(INDEX(PkCapA,122),AcctTblA,4,0)="","(بدون نام)",VLOOKUP(INDEX(PkCapA,122),AcctTblA,4,0)),"—"))</f>
        <v/>
      </c>
      <c r="C1826" s="13">
        <f>IF($B1826="","",IF(122&gt;NCapA,"",INDEX(PkCapA,122)))</f>
        <v/>
      </c>
      <c r="D1826" s="12">
        <f>IF($B1826="","","c")</f>
        <v/>
      </c>
      <c r="E1826" s="14">
        <f>IF($B1826="","",IF(122&gt;NCapA,0,SUMIF(CalcDebit,INDEX(PkCapA,122),CalcAmt)+SUMIF(CalcDebit2,INDEX(PkCapA,122),CalcAmt2)))</f>
        <v/>
      </c>
      <c r="F1826" s="14">
        <f>IF($B1826="","",IF(122&gt;NCapA,0,SUMIF(CalcCredit,INDEX(PkCapA,122),CalcAmt)+SUMIF(CalcCredit2,INDEX(PkCapA,122),CalcAmt2)))</f>
        <v/>
      </c>
      <c r="G1826" s="15">
        <f>IF($B1826="","",ROUND($E1826-$F1826,0))</f>
        <v/>
      </c>
      <c r="H1826" s="12">
        <f>IF($B1826="","",IF(ROUND($G1826,0)&gt;0,"بدهکار",IF(ROUND($G1826,0)&lt;0,"بستانکار","تسویه")))</f>
        <v/>
      </c>
    </row>
    <row r="1827">
      <c r="A1827" s="16">
        <f>IF($B1827="","",1818)</f>
        <v/>
      </c>
      <c r="B1827" s="17">
        <f>IF(123&gt;NCapA,"",IFERROR(IF(VLOOKUP(INDEX(PkCapA,123),AcctTblA,4,0)="","(بدون نام)",VLOOKUP(INDEX(PkCapA,123),AcctTblA,4,0)),"—"))</f>
        <v/>
      </c>
      <c r="C1827" s="18">
        <f>IF($B1827="","",IF(123&gt;NCapA,"",INDEX(PkCapA,123)))</f>
        <v/>
      </c>
      <c r="D1827" s="17">
        <f>IF($B1827="","","c")</f>
        <v/>
      </c>
      <c r="E1827" s="19">
        <f>IF($B1827="","",IF(123&gt;NCapA,0,SUMIF(CalcDebit,INDEX(PkCapA,123),CalcAmt)+SUMIF(CalcDebit2,INDEX(PkCapA,123),CalcAmt2)))</f>
        <v/>
      </c>
      <c r="F1827" s="19">
        <f>IF($B1827="","",IF(123&gt;NCapA,0,SUMIF(CalcCredit,INDEX(PkCapA,123),CalcAmt)+SUMIF(CalcCredit2,INDEX(PkCapA,123),CalcAmt2)))</f>
        <v/>
      </c>
      <c r="G1827" s="20">
        <f>IF($B1827="","",ROUND($E1827-$F1827,0))</f>
        <v/>
      </c>
      <c r="H1827" s="17">
        <f>IF($B1827="","",IF(ROUND($G1827,0)&gt;0,"بدهکار",IF(ROUND($G1827,0)&lt;0,"بستانکار","تسویه")))</f>
        <v/>
      </c>
    </row>
    <row r="1828">
      <c r="A1828" s="11">
        <f>IF($B1828="","",1819)</f>
        <v/>
      </c>
      <c r="B1828" s="12">
        <f>IF(124&gt;NCapA,"",IFERROR(IF(VLOOKUP(INDEX(PkCapA,124),AcctTblA,4,0)="","(بدون نام)",VLOOKUP(INDEX(PkCapA,124),AcctTblA,4,0)),"—"))</f>
        <v/>
      </c>
      <c r="C1828" s="13">
        <f>IF($B1828="","",IF(124&gt;NCapA,"",INDEX(PkCapA,124)))</f>
        <v/>
      </c>
      <c r="D1828" s="12">
        <f>IF($B1828="","","c")</f>
        <v/>
      </c>
      <c r="E1828" s="14">
        <f>IF($B1828="","",IF(124&gt;NCapA,0,SUMIF(CalcDebit,INDEX(PkCapA,124),CalcAmt)+SUMIF(CalcDebit2,INDEX(PkCapA,124),CalcAmt2)))</f>
        <v/>
      </c>
      <c r="F1828" s="14">
        <f>IF($B1828="","",IF(124&gt;NCapA,0,SUMIF(CalcCredit,INDEX(PkCapA,124),CalcAmt)+SUMIF(CalcCredit2,INDEX(PkCapA,124),CalcAmt2)))</f>
        <v/>
      </c>
      <c r="G1828" s="15">
        <f>IF($B1828="","",ROUND($E1828-$F1828,0))</f>
        <v/>
      </c>
      <c r="H1828" s="12">
        <f>IF($B1828="","",IF(ROUND($G1828,0)&gt;0,"بدهکار",IF(ROUND($G1828,0)&lt;0,"بستانکار","تسویه")))</f>
        <v/>
      </c>
    </row>
    <row r="1829">
      <c r="A1829" s="16">
        <f>IF($B1829="","",1820)</f>
        <v/>
      </c>
      <c r="B1829" s="17">
        <f>IF(125&gt;NCapA,"",IFERROR(IF(VLOOKUP(INDEX(PkCapA,125),AcctTblA,4,0)="","(بدون نام)",VLOOKUP(INDEX(PkCapA,125),AcctTblA,4,0)),"—"))</f>
        <v/>
      </c>
      <c r="C1829" s="18">
        <f>IF($B1829="","",IF(125&gt;NCapA,"",INDEX(PkCapA,125)))</f>
        <v/>
      </c>
      <c r="D1829" s="17">
        <f>IF($B1829="","","c")</f>
        <v/>
      </c>
      <c r="E1829" s="19">
        <f>IF($B1829="","",IF(125&gt;NCapA,0,SUMIF(CalcDebit,INDEX(PkCapA,125),CalcAmt)+SUMIF(CalcDebit2,INDEX(PkCapA,125),CalcAmt2)))</f>
        <v/>
      </c>
      <c r="F1829" s="19">
        <f>IF($B1829="","",IF(125&gt;NCapA,0,SUMIF(CalcCredit,INDEX(PkCapA,125),CalcAmt)+SUMIF(CalcCredit2,INDEX(PkCapA,125),CalcAmt2)))</f>
        <v/>
      </c>
      <c r="G1829" s="20">
        <f>IF($B1829="","",ROUND($E1829-$F1829,0))</f>
        <v/>
      </c>
      <c r="H1829" s="17">
        <f>IF($B1829="","",IF(ROUND($G1829,0)&gt;0,"بدهکار",IF(ROUND($G1829,0)&lt;0,"بستانکار","تسویه")))</f>
        <v/>
      </c>
    </row>
    <row r="1830">
      <c r="A1830" s="11">
        <f>IF($B1830="","",1821)</f>
        <v/>
      </c>
      <c r="B1830" s="12">
        <f>IF(126&gt;NCapA,"",IFERROR(IF(VLOOKUP(INDEX(PkCapA,126),AcctTblA,4,0)="","(بدون نام)",VLOOKUP(INDEX(PkCapA,126),AcctTblA,4,0)),"—"))</f>
        <v/>
      </c>
      <c r="C1830" s="13">
        <f>IF($B1830="","",IF(126&gt;NCapA,"",INDEX(PkCapA,126)))</f>
        <v/>
      </c>
      <c r="D1830" s="12">
        <f>IF($B1830="","","c")</f>
        <v/>
      </c>
      <c r="E1830" s="14">
        <f>IF($B1830="","",IF(126&gt;NCapA,0,SUMIF(CalcDebit,INDEX(PkCapA,126),CalcAmt)+SUMIF(CalcDebit2,INDEX(PkCapA,126),CalcAmt2)))</f>
        <v/>
      </c>
      <c r="F1830" s="14">
        <f>IF($B1830="","",IF(126&gt;NCapA,0,SUMIF(CalcCredit,INDEX(PkCapA,126),CalcAmt)+SUMIF(CalcCredit2,INDEX(PkCapA,126),CalcAmt2)))</f>
        <v/>
      </c>
      <c r="G1830" s="15">
        <f>IF($B1830="","",ROUND($E1830-$F1830,0))</f>
        <v/>
      </c>
      <c r="H1830" s="12">
        <f>IF($B1830="","",IF(ROUND($G1830,0)&gt;0,"بدهکار",IF(ROUND($G1830,0)&lt;0,"بستانکار","تسویه")))</f>
        <v/>
      </c>
    </row>
    <row r="1831">
      <c r="A1831" s="16">
        <f>IF($B1831="","",1822)</f>
        <v/>
      </c>
      <c r="B1831" s="17">
        <f>IF(127&gt;NCapA,"",IFERROR(IF(VLOOKUP(INDEX(PkCapA,127),AcctTblA,4,0)="","(بدون نام)",VLOOKUP(INDEX(PkCapA,127),AcctTblA,4,0)),"—"))</f>
        <v/>
      </c>
      <c r="C1831" s="18">
        <f>IF($B1831="","",IF(127&gt;NCapA,"",INDEX(PkCapA,127)))</f>
        <v/>
      </c>
      <c r="D1831" s="17">
        <f>IF($B1831="","","c")</f>
        <v/>
      </c>
      <c r="E1831" s="19">
        <f>IF($B1831="","",IF(127&gt;NCapA,0,SUMIF(CalcDebit,INDEX(PkCapA,127),CalcAmt)+SUMIF(CalcDebit2,INDEX(PkCapA,127),CalcAmt2)))</f>
        <v/>
      </c>
      <c r="F1831" s="19">
        <f>IF($B1831="","",IF(127&gt;NCapA,0,SUMIF(CalcCredit,INDEX(PkCapA,127),CalcAmt)+SUMIF(CalcCredit2,INDEX(PkCapA,127),CalcAmt2)))</f>
        <v/>
      </c>
      <c r="G1831" s="20">
        <f>IF($B1831="","",ROUND($E1831-$F1831,0))</f>
        <v/>
      </c>
      <c r="H1831" s="17">
        <f>IF($B1831="","",IF(ROUND($G1831,0)&gt;0,"بدهکار",IF(ROUND($G1831,0)&lt;0,"بستانکار","تسویه")))</f>
        <v/>
      </c>
    </row>
    <row r="1832">
      <c r="A1832" s="11">
        <f>IF($B1832="","",1823)</f>
        <v/>
      </c>
      <c r="B1832" s="12">
        <f>IF(128&gt;NCapA,"",IFERROR(IF(VLOOKUP(INDEX(PkCapA,128),AcctTblA,4,0)="","(بدون نام)",VLOOKUP(INDEX(PkCapA,128),AcctTblA,4,0)),"—"))</f>
        <v/>
      </c>
      <c r="C1832" s="13">
        <f>IF($B1832="","",IF(128&gt;NCapA,"",INDEX(PkCapA,128)))</f>
        <v/>
      </c>
      <c r="D1832" s="12">
        <f>IF($B1832="","","c")</f>
        <v/>
      </c>
      <c r="E1832" s="14">
        <f>IF($B1832="","",IF(128&gt;NCapA,0,SUMIF(CalcDebit,INDEX(PkCapA,128),CalcAmt)+SUMIF(CalcDebit2,INDEX(PkCapA,128),CalcAmt2)))</f>
        <v/>
      </c>
      <c r="F1832" s="14">
        <f>IF($B1832="","",IF(128&gt;NCapA,0,SUMIF(CalcCredit,INDEX(PkCapA,128),CalcAmt)+SUMIF(CalcCredit2,INDEX(PkCapA,128),CalcAmt2)))</f>
        <v/>
      </c>
      <c r="G1832" s="15">
        <f>IF($B1832="","",ROUND($E1832-$F1832,0))</f>
        <v/>
      </c>
      <c r="H1832" s="12">
        <f>IF($B1832="","",IF(ROUND($G1832,0)&gt;0,"بدهکار",IF(ROUND($G1832,0)&lt;0,"بستانکار","تسویه")))</f>
        <v/>
      </c>
    </row>
    <row r="1833">
      <c r="A1833" s="16">
        <f>IF($B1833="","",1824)</f>
        <v/>
      </c>
      <c r="B1833" s="17">
        <f>IF(129&gt;NCapA,"",IFERROR(IF(VLOOKUP(INDEX(PkCapA,129),AcctTblA,4,0)="","(بدون نام)",VLOOKUP(INDEX(PkCapA,129),AcctTblA,4,0)),"—"))</f>
        <v/>
      </c>
      <c r="C1833" s="18">
        <f>IF($B1833="","",IF(129&gt;NCapA,"",INDEX(PkCapA,129)))</f>
        <v/>
      </c>
      <c r="D1833" s="17">
        <f>IF($B1833="","","c")</f>
        <v/>
      </c>
      <c r="E1833" s="19">
        <f>IF($B1833="","",IF(129&gt;NCapA,0,SUMIF(CalcDebit,INDEX(PkCapA,129),CalcAmt)+SUMIF(CalcDebit2,INDEX(PkCapA,129),CalcAmt2)))</f>
        <v/>
      </c>
      <c r="F1833" s="19">
        <f>IF($B1833="","",IF(129&gt;NCapA,0,SUMIF(CalcCredit,INDEX(PkCapA,129),CalcAmt)+SUMIF(CalcCredit2,INDEX(PkCapA,129),CalcAmt2)))</f>
        <v/>
      </c>
      <c r="G1833" s="20">
        <f>IF($B1833="","",ROUND($E1833-$F1833,0))</f>
        <v/>
      </c>
      <c r="H1833" s="17">
        <f>IF($B1833="","",IF(ROUND($G1833,0)&gt;0,"بدهکار",IF(ROUND($G1833,0)&lt;0,"بستانکار","تسویه")))</f>
        <v/>
      </c>
    </row>
    <row r="1834">
      <c r="A1834" s="11">
        <f>IF($B1834="","",1825)</f>
        <v/>
      </c>
      <c r="B1834" s="12">
        <f>IF(130&gt;NCapA,"",IFERROR(IF(VLOOKUP(INDEX(PkCapA,130),AcctTblA,4,0)="","(بدون نام)",VLOOKUP(INDEX(PkCapA,130),AcctTblA,4,0)),"—"))</f>
        <v/>
      </c>
      <c r="C1834" s="13">
        <f>IF($B1834="","",IF(130&gt;NCapA,"",INDEX(PkCapA,130)))</f>
        <v/>
      </c>
      <c r="D1834" s="12">
        <f>IF($B1834="","","c")</f>
        <v/>
      </c>
      <c r="E1834" s="14">
        <f>IF($B1834="","",IF(130&gt;NCapA,0,SUMIF(CalcDebit,INDEX(PkCapA,130),CalcAmt)+SUMIF(CalcDebit2,INDEX(PkCapA,130),CalcAmt2)))</f>
        <v/>
      </c>
      <c r="F1834" s="14">
        <f>IF($B1834="","",IF(130&gt;NCapA,0,SUMIF(CalcCredit,INDEX(PkCapA,130),CalcAmt)+SUMIF(CalcCredit2,INDEX(PkCapA,130),CalcAmt2)))</f>
        <v/>
      </c>
      <c r="G1834" s="15">
        <f>IF($B1834="","",ROUND($E1834-$F1834,0))</f>
        <v/>
      </c>
      <c r="H1834" s="12">
        <f>IF($B1834="","",IF(ROUND($G1834,0)&gt;0,"بدهکار",IF(ROUND($G1834,0)&lt;0,"بستانکار","تسویه")))</f>
        <v/>
      </c>
    </row>
    <row r="1835">
      <c r="A1835" s="16">
        <f>IF($B1835="","",1826)</f>
        <v/>
      </c>
      <c r="B1835" s="17">
        <f>IF(131&gt;NCapA,"",IFERROR(IF(VLOOKUP(INDEX(PkCapA,131),AcctTblA,4,0)="","(بدون نام)",VLOOKUP(INDEX(PkCapA,131),AcctTblA,4,0)),"—"))</f>
        <v/>
      </c>
      <c r="C1835" s="18">
        <f>IF($B1835="","",IF(131&gt;NCapA,"",INDEX(PkCapA,131)))</f>
        <v/>
      </c>
      <c r="D1835" s="17">
        <f>IF($B1835="","","c")</f>
        <v/>
      </c>
      <c r="E1835" s="19">
        <f>IF($B1835="","",IF(131&gt;NCapA,0,SUMIF(CalcDebit,INDEX(PkCapA,131),CalcAmt)+SUMIF(CalcDebit2,INDEX(PkCapA,131),CalcAmt2)))</f>
        <v/>
      </c>
      <c r="F1835" s="19">
        <f>IF($B1835="","",IF(131&gt;NCapA,0,SUMIF(CalcCredit,INDEX(PkCapA,131),CalcAmt)+SUMIF(CalcCredit2,INDEX(PkCapA,131),CalcAmt2)))</f>
        <v/>
      </c>
      <c r="G1835" s="20">
        <f>IF($B1835="","",ROUND($E1835-$F1835,0))</f>
        <v/>
      </c>
      <c r="H1835" s="17">
        <f>IF($B1835="","",IF(ROUND($G1835,0)&gt;0,"بدهکار",IF(ROUND($G1835,0)&lt;0,"بستانکار","تسویه")))</f>
        <v/>
      </c>
    </row>
    <row r="1836">
      <c r="A1836" s="11">
        <f>IF($B1836="","",1827)</f>
        <v/>
      </c>
      <c r="B1836" s="12">
        <f>IF(132&gt;NCapA,"",IFERROR(IF(VLOOKUP(INDEX(PkCapA,132),AcctTblA,4,0)="","(بدون نام)",VLOOKUP(INDEX(PkCapA,132),AcctTblA,4,0)),"—"))</f>
        <v/>
      </c>
      <c r="C1836" s="13">
        <f>IF($B1836="","",IF(132&gt;NCapA,"",INDEX(PkCapA,132)))</f>
        <v/>
      </c>
      <c r="D1836" s="12">
        <f>IF($B1836="","","c")</f>
        <v/>
      </c>
      <c r="E1836" s="14">
        <f>IF($B1836="","",IF(132&gt;NCapA,0,SUMIF(CalcDebit,INDEX(PkCapA,132),CalcAmt)+SUMIF(CalcDebit2,INDEX(PkCapA,132),CalcAmt2)))</f>
        <v/>
      </c>
      <c r="F1836" s="14">
        <f>IF($B1836="","",IF(132&gt;NCapA,0,SUMIF(CalcCredit,INDEX(PkCapA,132),CalcAmt)+SUMIF(CalcCredit2,INDEX(PkCapA,132),CalcAmt2)))</f>
        <v/>
      </c>
      <c r="G1836" s="15">
        <f>IF($B1836="","",ROUND($E1836-$F1836,0))</f>
        <v/>
      </c>
      <c r="H1836" s="12">
        <f>IF($B1836="","",IF(ROUND($G1836,0)&gt;0,"بدهکار",IF(ROUND($G1836,0)&lt;0,"بستانکار","تسویه")))</f>
        <v/>
      </c>
    </row>
    <row r="1837">
      <c r="A1837" s="16">
        <f>IF($B1837="","",1828)</f>
        <v/>
      </c>
      <c r="B1837" s="17">
        <f>IF(133&gt;NCapA,"",IFERROR(IF(VLOOKUP(INDEX(PkCapA,133),AcctTblA,4,0)="","(بدون نام)",VLOOKUP(INDEX(PkCapA,133),AcctTblA,4,0)),"—"))</f>
        <v/>
      </c>
      <c r="C1837" s="18">
        <f>IF($B1837="","",IF(133&gt;NCapA,"",INDEX(PkCapA,133)))</f>
        <v/>
      </c>
      <c r="D1837" s="17">
        <f>IF($B1837="","","c")</f>
        <v/>
      </c>
      <c r="E1837" s="19">
        <f>IF($B1837="","",IF(133&gt;NCapA,0,SUMIF(CalcDebit,INDEX(PkCapA,133),CalcAmt)+SUMIF(CalcDebit2,INDEX(PkCapA,133),CalcAmt2)))</f>
        <v/>
      </c>
      <c r="F1837" s="19">
        <f>IF($B1837="","",IF(133&gt;NCapA,0,SUMIF(CalcCredit,INDEX(PkCapA,133),CalcAmt)+SUMIF(CalcCredit2,INDEX(PkCapA,133),CalcAmt2)))</f>
        <v/>
      </c>
      <c r="G1837" s="20">
        <f>IF($B1837="","",ROUND($E1837-$F1837,0))</f>
        <v/>
      </c>
      <c r="H1837" s="17">
        <f>IF($B1837="","",IF(ROUND($G1837,0)&gt;0,"بدهکار",IF(ROUND($G1837,0)&lt;0,"بستانکار","تسویه")))</f>
        <v/>
      </c>
    </row>
    <row r="1838">
      <c r="A1838" s="11">
        <f>IF($B1838="","",1829)</f>
        <v/>
      </c>
      <c r="B1838" s="12">
        <f>IF(134&gt;NCapA,"",IFERROR(IF(VLOOKUP(INDEX(PkCapA,134),AcctTblA,4,0)="","(بدون نام)",VLOOKUP(INDEX(PkCapA,134),AcctTblA,4,0)),"—"))</f>
        <v/>
      </c>
      <c r="C1838" s="13">
        <f>IF($B1838="","",IF(134&gt;NCapA,"",INDEX(PkCapA,134)))</f>
        <v/>
      </c>
      <c r="D1838" s="12">
        <f>IF($B1838="","","c")</f>
        <v/>
      </c>
      <c r="E1838" s="14">
        <f>IF($B1838="","",IF(134&gt;NCapA,0,SUMIF(CalcDebit,INDEX(PkCapA,134),CalcAmt)+SUMIF(CalcDebit2,INDEX(PkCapA,134),CalcAmt2)))</f>
        <v/>
      </c>
      <c r="F1838" s="14">
        <f>IF($B1838="","",IF(134&gt;NCapA,0,SUMIF(CalcCredit,INDEX(PkCapA,134),CalcAmt)+SUMIF(CalcCredit2,INDEX(PkCapA,134),CalcAmt2)))</f>
        <v/>
      </c>
      <c r="G1838" s="15">
        <f>IF($B1838="","",ROUND($E1838-$F1838,0))</f>
        <v/>
      </c>
      <c r="H1838" s="12">
        <f>IF($B1838="","",IF(ROUND($G1838,0)&gt;0,"بدهکار",IF(ROUND($G1838,0)&lt;0,"بستانکار","تسویه")))</f>
        <v/>
      </c>
    </row>
    <row r="1839">
      <c r="A1839" s="16">
        <f>IF($B1839="","",1830)</f>
        <v/>
      </c>
      <c r="B1839" s="17">
        <f>IF(135&gt;NCapA,"",IFERROR(IF(VLOOKUP(INDEX(PkCapA,135),AcctTblA,4,0)="","(بدون نام)",VLOOKUP(INDEX(PkCapA,135),AcctTblA,4,0)),"—"))</f>
        <v/>
      </c>
      <c r="C1839" s="18">
        <f>IF($B1839="","",IF(135&gt;NCapA,"",INDEX(PkCapA,135)))</f>
        <v/>
      </c>
      <c r="D1839" s="17">
        <f>IF($B1839="","","c")</f>
        <v/>
      </c>
      <c r="E1839" s="19">
        <f>IF($B1839="","",IF(135&gt;NCapA,0,SUMIF(CalcDebit,INDEX(PkCapA,135),CalcAmt)+SUMIF(CalcDebit2,INDEX(PkCapA,135),CalcAmt2)))</f>
        <v/>
      </c>
      <c r="F1839" s="19">
        <f>IF($B1839="","",IF(135&gt;NCapA,0,SUMIF(CalcCredit,INDEX(PkCapA,135),CalcAmt)+SUMIF(CalcCredit2,INDEX(PkCapA,135),CalcAmt2)))</f>
        <v/>
      </c>
      <c r="G1839" s="20">
        <f>IF($B1839="","",ROUND($E1839-$F1839,0))</f>
        <v/>
      </c>
      <c r="H1839" s="17">
        <f>IF($B1839="","",IF(ROUND($G1839,0)&gt;0,"بدهکار",IF(ROUND($G1839,0)&lt;0,"بستانکار","تسویه")))</f>
        <v/>
      </c>
    </row>
    <row r="1840">
      <c r="A1840" s="11">
        <f>IF($B1840="","",1831)</f>
        <v/>
      </c>
      <c r="B1840" s="12">
        <f>IF(136&gt;NCapA,"",IFERROR(IF(VLOOKUP(INDEX(PkCapA,136),AcctTblA,4,0)="","(بدون نام)",VLOOKUP(INDEX(PkCapA,136),AcctTblA,4,0)),"—"))</f>
        <v/>
      </c>
      <c r="C1840" s="13">
        <f>IF($B1840="","",IF(136&gt;NCapA,"",INDEX(PkCapA,136)))</f>
        <v/>
      </c>
      <c r="D1840" s="12">
        <f>IF($B1840="","","c")</f>
        <v/>
      </c>
      <c r="E1840" s="14">
        <f>IF($B1840="","",IF(136&gt;NCapA,0,SUMIF(CalcDebit,INDEX(PkCapA,136),CalcAmt)+SUMIF(CalcDebit2,INDEX(PkCapA,136),CalcAmt2)))</f>
        <v/>
      </c>
      <c r="F1840" s="14">
        <f>IF($B1840="","",IF(136&gt;NCapA,0,SUMIF(CalcCredit,INDEX(PkCapA,136),CalcAmt)+SUMIF(CalcCredit2,INDEX(PkCapA,136),CalcAmt2)))</f>
        <v/>
      </c>
      <c r="G1840" s="15">
        <f>IF($B1840="","",ROUND($E1840-$F1840,0))</f>
        <v/>
      </c>
      <c r="H1840" s="12">
        <f>IF($B1840="","",IF(ROUND($G1840,0)&gt;0,"بدهکار",IF(ROUND($G1840,0)&lt;0,"بستانکار","تسویه")))</f>
        <v/>
      </c>
    </row>
    <row r="1841">
      <c r="A1841" s="16">
        <f>IF($B1841="","",1832)</f>
        <v/>
      </c>
      <c r="B1841" s="17">
        <f>IF(137&gt;NCapA,"",IFERROR(IF(VLOOKUP(INDEX(PkCapA,137),AcctTblA,4,0)="","(بدون نام)",VLOOKUP(INDEX(PkCapA,137),AcctTblA,4,0)),"—"))</f>
        <v/>
      </c>
      <c r="C1841" s="18">
        <f>IF($B1841="","",IF(137&gt;NCapA,"",INDEX(PkCapA,137)))</f>
        <v/>
      </c>
      <c r="D1841" s="17">
        <f>IF($B1841="","","c")</f>
        <v/>
      </c>
      <c r="E1841" s="19">
        <f>IF($B1841="","",IF(137&gt;NCapA,0,SUMIF(CalcDebit,INDEX(PkCapA,137),CalcAmt)+SUMIF(CalcDebit2,INDEX(PkCapA,137),CalcAmt2)))</f>
        <v/>
      </c>
      <c r="F1841" s="19">
        <f>IF($B1841="","",IF(137&gt;NCapA,0,SUMIF(CalcCredit,INDEX(PkCapA,137),CalcAmt)+SUMIF(CalcCredit2,INDEX(PkCapA,137),CalcAmt2)))</f>
        <v/>
      </c>
      <c r="G1841" s="20">
        <f>IF($B1841="","",ROUND($E1841-$F1841,0))</f>
        <v/>
      </c>
      <c r="H1841" s="17">
        <f>IF($B1841="","",IF(ROUND($G1841,0)&gt;0,"بدهکار",IF(ROUND($G1841,0)&lt;0,"بستانکار","تسویه")))</f>
        <v/>
      </c>
    </row>
    <row r="1842">
      <c r="A1842" s="11">
        <f>IF($B1842="","",1833)</f>
        <v/>
      </c>
      <c r="B1842" s="12">
        <f>IF(138&gt;NCapA,"",IFERROR(IF(VLOOKUP(INDEX(PkCapA,138),AcctTblA,4,0)="","(بدون نام)",VLOOKUP(INDEX(PkCapA,138),AcctTblA,4,0)),"—"))</f>
        <v/>
      </c>
      <c r="C1842" s="13">
        <f>IF($B1842="","",IF(138&gt;NCapA,"",INDEX(PkCapA,138)))</f>
        <v/>
      </c>
      <c r="D1842" s="12">
        <f>IF($B1842="","","c")</f>
        <v/>
      </c>
      <c r="E1842" s="14">
        <f>IF($B1842="","",IF(138&gt;NCapA,0,SUMIF(CalcDebit,INDEX(PkCapA,138),CalcAmt)+SUMIF(CalcDebit2,INDEX(PkCapA,138),CalcAmt2)))</f>
        <v/>
      </c>
      <c r="F1842" s="14">
        <f>IF($B1842="","",IF(138&gt;NCapA,0,SUMIF(CalcCredit,INDEX(PkCapA,138),CalcAmt)+SUMIF(CalcCredit2,INDEX(PkCapA,138),CalcAmt2)))</f>
        <v/>
      </c>
      <c r="G1842" s="15">
        <f>IF($B1842="","",ROUND($E1842-$F1842,0))</f>
        <v/>
      </c>
      <c r="H1842" s="12">
        <f>IF($B1842="","",IF(ROUND($G1842,0)&gt;0,"بدهکار",IF(ROUND($G1842,0)&lt;0,"بستانکار","تسویه")))</f>
        <v/>
      </c>
    </row>
    <row r="1843">
      <c r="A1843" s="16">
        <f>IF($B1843="","",1834)</f>
        <v/>
      </c>
      <c r="B1843" s="17">
        <f>IF(139&gt;NCapA,"",IFERROR(IF(VLOOKUP(INDEX(PkCapA,139),AcctTblA,4,0)="","(بدون نام)",VLOOKUP(INDEX(PkCapA,139),AcctTblA,4,0)),"—"))</f>
        <v/>
      </c>
      <c r="C1843" s="18">
        <f>IF($B1843="","",IF(139&gt;NCapA,"",INDEX(PkCapA,139)))</f>
        <v/>
      </c>
      <c r="D1843" s="17">
        <f>IF($B1843="","","c")</f>
        <v/>
      </c>
      <c r="E1843" s="19">
        <f>IF($B1843="","",IF(139&gt;NCapA,0,SUMIF(CalcDebit,INDEX(PkCapA,139),CalcAmt)+SUMIF(CalcDebit2,INDEX(PkCapA,139),CalcAmt2)))</f>
        <v/>
      </c>
      <c r="F1843" s="19">
        <f>IF($B1843="","",IF(139&gt;NCapA,0,SUMIF(CalcCredit,INDEX(PkCapA,139),CalcAmt)+SUMIF(CalcCredit2,INDEX(PkCapA,139),CalcAmt2)))</f>
        <v/>
      </c>
      <c r="G1843" s="20">
        <f>IF($B1843="","",ROUND($E1843-$F1843,0))</f>
        <v/>
      </c>
      <c r="H1843" s="17">
        <f>IF($B1843="","",IF(ROUND($G1843,0)&gt;0,"بدهکار",IF(ROUND($G1843,0)&lt;0,"بستانکار","تسویه")))</f>
        <v/>
      </c>
    </row>
    <row r="1844">
      <c r="A1844" s="11">
        <f>IF($B1844="","",1835)</f>
        <v/>
      </c>
      <c r="B1844" s="12">
        <f>IF(140&gt;NCapA,"",IFERROR(IF(VLOOKUP(INDEX(PkCapA,140),AcctTblA,4,0)="","(بدون نام)",VLOOKUP(INDEX(PkCapA,140),AcctTblA,4,0)),"—"))</f>
        <v/>
      </c>
      <c r="C1844" s="13">
        <f>IF($B1844="","",IF(140&gt;NCapA,"",INDEX(PkCapA,140)))</f>
        <v/>
      </c>
      <c r="D1844" s="12">
        <f>IF($B1844="","","c")</f>
        <v/>
      </c>
      <c r="E1844" s="14">
        <f>IF($B1844="","",IF(140&gt;NCapA,0,SUMIF(CalcDebit,INDEX(PkCapA,140),CalcAmt)+SUMIF(CalcDebit2,INDEX(PkCapA,140),CalcAmt2)))</f>
        <v/>
      </c>
      <c r="F1844" s="14">
        <f>IF($B1844="","",IF(140&gt;NCapA,0,SUMIF(CalcCredit,INDEX(PkCapA,140),CalcAmt)+SUMIF(CalcCredit2,INDEX(PkCapA,140),CalcAmt2)))</f>
        <v/>
      </c>
      <c r="G1844" s="15">
        <f>IF($B1844="","",ROUND($E1844-$F1844,0))</f>
        <v/>
      </c>
      <c r="H1844" s="12">
        <f>IF($B1844="","",IF(ROUND($G1844,0)&gt;0,"بدهکار",IF(ROUND($G1844,0)&lt;0,"بستانکار","تسویه")))</f>
        <v/>
      </c>
    </row>
    <row r="1845">
      <c r="A1845" s="16">
        <f>IF($B1845="","",1836)</f>
        <v/>
      </c>
      <c r="B1845" s="17">
        <f>IF(141&gt;NCapA,"",IFERROR(IF(VLOOKUP(INDEX(PkCapA,141),AcctTblA,4,0)="","(بدون نام)",VLOOKUP(INDEX(PkCapA,141),AcctTblA,4,0)),"—"))</f>
        <v/>
      </c>
      <c r="C1845" s="18">
        <f>IF($B1845="","",IF(141&gt;NCapA,"",INDEX(PkCapA,141)))</f>
        <v/>
      </c>
      <c r="D1845" s="17">
        <f>IF($B1845="","","c")</f>
        <v/>
      </c>
      <c r="E1845" s="19">
        <f>IF($B1845="","",IF(141&gt;NCapA,0,SUMIF(CalcDebit,INDEX(PkCapA,141),CalcAmt)+SUMIF(CalcDebit2,INDEX(PkCapA,141),CalcAmt2)))</f>
        <v/>
      </c>
      <c r="F1845" s="19">
        <f>IF($B1845="","",IF(141&gt;NCapA,0,SUMIF(CalcCredit,INDEX(PkCapA,141),CalcAmt)+SUMIF(CalcCredit2,INDEX(PkCapA,141),CalcAmt2)))</f>
        <v/>
      </c>
      <c r="G1845" s="20">
        <f>IF($B1845="","",ROUND($E1845-$F1845,0))</f>
        <v/>
      </c>
      <c r="H1845" s="17">
        <f>IF($B1845="","",IF(ROUND($G1845,0)&gt;0,"بدهکار",IF(ROUND($G1845,0)&lt;0,"بستانکار","تسویه")))</f>
        <v/>
      </c>
    </row>
    <row r="1846">
      <c r="A1846" s="11">
        <f>IF($B1846="","",1837)</f>
        <v/>
      </c>
      <c r="B1846" s="12">
        <f>IF(142&gt;NCapA,"",IFERROR(IF(VLOOKUP(INDEX(PkCapA,142),AcctTblA,4,0)="","(بدون نام)",VLOOKUP(INDEX(PkCapA,142),AcctTblA,4,0)),"—"))</f>
        <v/>
      </c>
      <c r="C1846" s="13">
        <f>IF($B1846="","",IF(142&gt;NCapA,"",INDEX(PkCapA,142)))</f>
        <v/>
      </c>
      <c r="D1846" s="12">
        <f>IF($B1846="","","c")</f>
        <v/>
      </c>
      <c r="E1846" s="14">
        <f>IF($B1846="","",IF(142&gt;NCapA,0,SUMIF(CalcDebit,INDEX(PkCapA,142),CalcAmt)+SUMIF(CalcDebit2,INDEX(PkCapA,142),CalcAmt2)))</f>
        <v/>
      </c>
      <c r="F1846" s="14">
        <f>IF($B1846="","",IF(142&gt;NCapA,0,SUMIF(CalcCredit,INDEX(PkCapA,142),CalcAmt)+SUMIF(CalcCredit2,INDEX(PkCapA,142),CalcAmt2)))</f>
        <v/>
      </c>
      <c r="G1846" s="15">
        <f>IF($B1846="","",ROUND($E1846-$F1846,0))</f>
        <v/>
      </c>
      <c r="H1846" s="12">
        <f>IF($B1846="","",IF(ROUND($G1846,0)&gt;0,"بدهکار",IF(ROUND($G1846,0)&lt;0,"بستانکار","تسویه")))</f>
        <v/>
      </c>
    </row>
    <row r="1847">
      <c r="A1847" s="16">
        <f>IF($B1847="","",1838)</f>
        <v/>
      </c>
      <c r="B1847" s="17">
        <f>IF(143&gt;NCapA,"",IFERROR(IF(VLOOKUP(INDEX(PkCapA,143),AcctTblA,4,0)="","(بدون نام)",VLOOKUP(INDEX(PkCapA,143),AcctTblA,4,0)),"—"))</f>
        <v/>
      </c>
      <c r="C1847" s="18">
        <f>IF($B1847="","",IF(143&gt;NCapA,"",INDEX(PkCapA,143)))</f>
        <v/>
      </c>
      <c r="D1847" s="17">
        <f>IF($B1847="","","c")</f>
        <v/>
      </c>
      <c r="E1847" s="19">
        <f>IF($B1847="","",IF(143&gt;NCapA,0,SUMIF(CalcDebit,INDEX(PkCapA,143),CalcAmt)+SUMIF(CalcDebit2,INDEX(PkCapA,143),CalcAmt2)))</f>
        <v/>
      </c>
      <c r="F1847" s="19">
        <f>IF($B1847="","",IF(143&gt;NCapA,0,SUMIF(CalcCredit,INDEX(PkCapA,143),CalcAmt)+SUMIF(CalcCredit2,INDEX(PkCapA,143),CalcAmt2)))</f>
        <v/>
      </c>
      <c r="G1847" s="20">
        <f>IF($B1847="","",ROUND($E1847-$F1847,0))</f>
        <v/>
      </c>
      <c r="H1847" s="17">
        <f>IF($B1847="","",IF(ROUND($G1847,0)&gt;0,"بدهکار",IF(ROUND($G1847,0)&lt;0,"بستانکار","تسویه")))</f>
        <v/>
      </c>
    </row>
    <row r="1848">
      <c r="A1848" s="11">
        <f>IF($B1848="","",1839)</f>
        <v/>
      </c>
      <c r="B1848" s="12">
        <f>IF(144&gt;NCapA,"",IFERROR(IF(VLOOKUP(INDEX(PkCapA,144),AcctTblA,4,0)="","(بدون نام)",VLOOKUP(INDEX(PkCapA,144),AcctTblA,4,0)),"—"))</f>
        <v/>
      </c>
      <c r="C1848" s="13">
        <f>IF($B1848="","",IF(144&gt;NCapA,"",INDEX(PkCapA,144)))</f>
        <v/>
      </c>
      <c r="D1848" s="12">
        <f>IF($B1848="","","c")</f>
        <v/>
      </c>
      <c r="E1848" s="14">
        <f>IF($B1848="","",IF(144&gt;NCapA,0,SUMIF(CalcDebit,INDEX(PkCapA,144),CalcAmt)+SUMIF(CalcDebit2,INDEX(PkCapA,144),CalcAmt2)))</f>
        <v/>
      </c>
      <c r="F1848" s="14">
        <f>IF($B1848="","",IF(144&gt;NCapA,0,SUMIF(CalcCredit,INDEX(PkCapA,144),CalcAmt)+SUMIF(CalcCredit2,INDEX(PkCapA,144),CalcAmt2)))</f>
        <v/>
      </c>
      <c r="G1848" s="15">
        <f>IF($B1848="","",ROUND($E1848-$F1848,0))</f>
        <v/>
      </c>
      <c r="H1848" s="12">
        <f>IF($B1848="","",IF(ROUND($G1848,0)&gt;0,"بدهکار",IF(ROUND($G1848,0)&lt;0,"بستانکار","تسویه")))</f>
        <v/>
      </c>
    </row>
    <row r="1849">
      <c r="A1849" s="16">
        <f>IF($B1849="","",1840)</f>
        <v/>
      </c>
      <c r="B1849" s="17">
        <f>IF(145&gt;NCapA,"",IFERROR(IF(VLOOKUP(INDEX(PkCapA,145),AcctTblA,4,0)="","(بدون نام)",VLOOKUP(INDEX(PkCapA,145),AcctTblA,4,0)),"—"))</f>
        <v/>
      </c>
      <c r="C1849" s="18">
        <f>IF($B1849="","",IF(145&gt;NCapA,"",INDEX(PkCapA,145)))</f>
        <v/>
      </c>
      <c r="D1849" s="17">
        <f>IF($B1849="","","c")</f>
        <v/>
      </c>
      <c r="E1849" s="19">
        <f>IF($B1849="","",IF(145&gt;NCapA,0,SUMIF(CalcDebit,INDEX(PkCapA,145),CalcAmt)+SUMIF(CalcDebit2,INDEX(PkCapA,145),CalcAmt2)))</f>
        <v/>
      </c>
      <c r="F1849" s="19">
        <f>IF($B1849="","",IF(145&gt;NCapA,0,SUMIF(CalcCredit,INDEX(PkCapA,145),CalcAmt)+SUMIF(CalcCredit2,INDEX(PkCapA,145),CalcAmt2)))</f>
        <v/>
      </c>
      <c r="G1849" s="20">
        <f>IF($B1849="","",ROUND($E1849-$F1849,0))</f>
        <v/>
      </c>
      <c r="H1849" s="17">
        <f>IF($B1849="","",IF(ROUND($G1849,0)&gt;0,"بدهکار",IF(ROUND($G1849,0)&lt;0,"بستانکار","تسویه")))</f>
        <v/>
      </c>
    </row>
    <row r="1850">
      <c r="A1850" s="11">
        <f>IF($B1850="","",1841)</f>
        <v/>
      </c>
      <c r="B1850" s="12">
        <f>IF(146&gt;NCapA,"",IFERROR(IF(VLOOKUP(INDEX(PkCapA,146),AcctTblA,4,0)="","(بدون نام)",VLOOKUP(INDEX(PkCapA,146),AcctTblA,4,0)),"—"))</f>
        <v/>
      </c>
      <c r="C1850" s="13">
        <f>IF($B1850="","",IF(146&gt;NCapA,"",INDEX(PkCapA,146)))</f>
        <v/>
      </c>
      <c r="D1850" s="12">
        <f>IF($B1850="","","c")</f>
        <v/>
      </c>
      <c r="E1850" s="14">
        <f>IF($B1850="","",IF(146&gt;NCapA,0,SUMIF(CalcDebit,INDEX(PkCapA,146),CalcAmt)+SUMIF(CalcDebit2,INDEX(PkCapA,146),CalcAmt2)))</f>
        <v/>
      </c>
      <c r="F1850" s="14">
        <f>IF($B1850="","",IF(146&gt;NCapA,0,SUMIF(CalcCredit,INDEX(PkCapA,146),CalcAmt)+SUMIF(CalcCredit2,INDEX(PkCapA,146),CalcAmt2)))</f>
        <v/>
      </c>
      <c r="G1850" s="15">
        <f>IF($B1850="","",ROUND($E1850-$F1850,0))</f>
        <v/>
      </c>
      <c r="H1850" s="12">
        <f>IF($B1850="","",IF(ROUND($G1850,0)&gt;0,"بدهکار",IF(ROUND($G1850,0)&lt;0,"بستانکار","تسویه")))</f>
        <v/>
      </c>
    </row>
    <row r="1851">
      <c r="A1851" s="16">
        <f>IF($B1851="","",1842)</f>
        <v/>
      </c>
      <c r="B1851" s="17">
        <f>IF(147&gt;NCapA,"",IFERROR(IF(VLOOKUP(INDEX(PkCapA,147),AcctTblA,4,0)="","(بدون نام)",VLOOKUP(INDEX(PkCapA,147),AcctTblA,4,0)),"—"))</f>
        <v/>
      </c>
      <c r="C1851" s="18">
        <f>IF($B1851="","",IF(147&gt;NCapA,"",INDEX(PkCapA,147)))</f>
        <v/>
      </c>
      <c r="D1851" s="17">
        <f>IF($B1851="","","c")</f>
        <v/>
      </c>
      <c r="E1851" s="19">
        <f>IF($B1851="","",IF(147&gt;NCapA,0,SUMIF(CalcDebit,INDEX(PkCapA,147),CalcAmt)+SUMIF(CalcDebit2,INDEX(PkCapA,147),CalcAmt2)))</f>
        <v/>
      </c>
      <c r="F1851" s="19">
        <f>IF($B1851="","",IF(147&gt;NCapA,0,SUMIF(CalcCredit,INDEX(PkCapA,147),CalcAmt)+SUMIF(CalcCredit2,INDEX(PkCapA,147),CalcAmt2)))</f>
        <v/>
      </c>
      <c r="G1851" s="20">
        <f>IF($B1851="","",ROUND($E1851-$F1851,0))</f>
        <v/>
      </c>
      <c r="H1851" s="17">
        <f>IF($B1851="","",IF(ROUND($G1851,0)&gt;0,"بدهکار",IF(ROUND($G1851,0)&lt;0,"بستانکار","تسویه")))</f>
        <v/>
      </c>
    </row>
    <row r="1852">
      <c r="A1852" s="11">
        <f>IF($B1852="","",1843)</f>
        <v/>
      </c>
      <c r="B1852" s="12">
        <f>IF(148&gt;NCapA,"",IFERROR(IF(VLOOKUP(INDEX(PkCapA,148),AcctTblA,4,0)="","(بدون نام)",VLOOKUP(INDEX(PkCapA,148),AcctTblA,4,0)),"—"))</f>
        <v/>
      </c>
      <c r="C1852" s="13">
        <f>IF($B1852="","",IF(148&gt;NCapA,"",INDEX(PkCapA,148)))</f>
        <v/>
      </c>
      <c r="D1852" s="12">
        <f>IF($B1852="","","c")</f>
        <v/>
      </c>
      <c r="E1852" s="14">
        <f>IF($B1852="","",IF(148&gt;NCapA,0,SUMIF(CalcDebit,INDEX(PkCapA,148),CalcAmt)+SUMIF(CalcDebit2,INDEX(PkCapA,148),CalcAmt2)))</f>
        <v/>
      </c>
      <c r="F1852" s="14">
        <f>IF($B1852="","",IF(148&gt;NCapA,0,SUMIF(CalcCredit,INDEX(PkCapA,148),CalcAmt)+SUMIF(CalcCredit2,INDEX(PkCapA,148),CalcAmt2)))</f>
        <v/>
      </c>
      <c r="G1852" s="15">
        <f>IF($B1852="","",ROUND($E1852-$F1852,0))</f>
        <v/>
      </c>
      <c r="H1852" s="12">
        <f>IF($B1852="","",IF(ROUND($G1852,0)&gt;0,"بدهکار",IF(ROUND($G1852,0)&lt;0,"بستانکار","تسویه")))</f>
        <v/>
      </c>
    </row>
    <row r="1853">
      <c r="A1853" s="16">
        <f>IF($B1853="","",1844)</f>
        <v/>
      </c>
      <c r="B1853" s="17">
        <f>IF(149&gt;NCapA,"",IFERROR(IF(VLOOKUP(INDEX(PkCapA,149),AcctTblA,4,0)="","(بدون نام)",VLOOKUP(INDEX(PkCapA,149),AcctTblA,4,0)),"—"))</f>
        <v/>
      </c>
      <c r="C1853" s="18">
        <f>IF($B1853="","",IF(149&gt;NCapA,"",INDEX(PkCapA,149)))</f>
        <v/>
      </c>
      <c r="D1853" s="17">
        <f>IF($B1853="","","c")</f>
        <v/>
      </c>
      <c r="E1853" s="19">
        <f>IF($B1853="","",IF(149&gt;NCapA,0,SUMIF(CalcDebit,INDEX(PkCapA,149),CalcAmt)+SUMIF(CalcDebit2,INDEX(PkCapA,149),CalcAmt2)))</f>
        <v/>
      </c>
      <c r="F1853" s="19">
        <f>IF($B1853="","",IF(149&gt;NCapA,0,SUMIF(CalcCredit,INDEX(PkCapA,149),CalcAmt)+SUMIF(CalcCredit2,INDEX(PkCapA,149),CalcAmt2)))</f>
        <v/>
      </c>
      <c r="G1853" s="20">
        <f>IF($B1853="","",ROUND($E1853-$F1853,0))</f>
        <v/>
      </c>
      <c r="H1853" s="17">
        <f>IF($B1853="","",IF(ROUND($G1853,0)&gt;0,"بدهکار",IF(ROUND($G1853,0)&lt;0,"بستانکار","تسویه")))</f>
        <v/>
      </c>
    </row>
    <row r="1854">
      <c r="A1854" s="11">
        <f>IF($B1854="","",1845)</f>
        <v/>
      </c>
      <c r="B1854" s="12">
        <f>IF(150&gt;NCapA,"",IFERROR(IF(VLOOKUP(INDEX(PkCapA,150),AcctTblA,4,0)="","(بدون نام)",VLOOKUP(INDEX(PkCapA,150),AcctTblA,4,0)),"—"))</f>
        <v/>
      </c>
      <c r="C1854" s="13">
        <f>IF($B1854="","",IF(150&gt;NCapA,"",INDEX(PkCapA,150)))</f>
        <v/>
      </c>
      <c r="D1854" s="12">
        <f>IF($B1854="","","c")</f>
        <v/>
      </c>
      <c r="E1854" s="14">
        <f>IF($B1854="","",IF(150&gt;NCapA,0,SUMIF(CalcDebit,INDEX(PkCapA,150),CalcAmt)+SUMIF(CalcDebit2,INDEX(PkCapA,150),CalcAmt2)))</f>
        <v/>
      </c>
      <c r="F1854" s="14">
        <f>IF($B1854="","",IF(150&gt;NCapA,0,SUMIF(CalcCredit,INDEX(PkCapA,150),CalcAmt)+SUMIF(CalcCredit2,INDEX(PkCapA,150),CalcAmt2)))</f>
        <v/>
      </c>
      <c r="G1854" s="15">
        <f>IF($B1854="","",ROUND($E1854-$F1854,0))</f>
        <v/>
      </c>
      <c r="H1854" s="12">
        <f>IF($B1854="","",IF(ROUND($G1854,0)&gt;0,"بدهکار",IF(ROUND($G1854,0)&lt;0,"بستانکار","تسویه")))</f>
        <v/>
      </c>
    </row>
    <row r="1855">
      <c r="A1855" s="16">
        <f>IF($B1855="","",1846)</f>
        <v/>
      </c>
      <c r="B1855" s="17">
        <f>IF(151&gt;NCapA,"",IFERROR(IF(VLOOKUP(INDEX(PkCapA,151),AcctTblA,4,0)="","(بدون نام)",VLOOKUP(INDEX(PkCapA,151),AcctTblA,4,0)),"—"))</f>
        <v/>
      </c>
      <c r="C1855" s="18">
        <f>IF($B1855="","",IF(151&gt;NCapA,"",INDEX(PkCapA,151)))</f>
        <v/>
      </c>
      <c r="D1855" s="17">
        <f>IF($B1855="","","c")</f>
        <v/>
      </c>
      <c r="E1855" s="19">
        <f>IF($B1855="","",IF(151&gt;NCapA,0,SUMIF(CalcDebit,INDEX(PkCapA,151),CalcAmt)+SUMIF(CalcDebit2,INDEX(PkCapA,151),CalcAmt2)))</f>
        <v/>
      </c>
      <c r="F1855" s="19">
        <f>IF($B1855="","",IF(151&gt;NCapA,0,SUMIF(CalcCredit,INDEX(PkCapA,151),CalcAmt)+SUMIF(CalcCredit2,INDEX(PkCapA,151),CalcAmt2)))</f>
        <v/>
      </c>
      <c r="G1855" s="20">
        <f>IF($B1855="","",ROUND($E1855-$F1855,0))</f>
        <v/>
      </c>
      <c r="H1855" s="17">
        <f>IF($B1855="","",IF(ROUND($G1855,0)&gt;0,"بدهکار",IF(ROUND($G1855,0)&lt;0,"بستانکار","تسویه")))</f>
        <v/>
      </c>
    </row>
    <row r="1856">
      <c r="A1856" s="11">
        <f>IF($B1856="","",1847)</f>
        <v/>
      </c>
      <c r="B1856" s="12">
        <f>IF(152&gt;NCapA,"",IFERROR(IF(VLOOKUP(INDEX(PkCapA,152),AcctTblA,4,0)="","(بدون نام)",VLOOKUP(INDEX(PkCapA,152),AcctTblA,4,0)),"—"))</f>
        <v/>
      </c>
      <c r="C1856" s="13">
        <f>IF($B1856="","",IF(152&gt;NCapA,"",INDEX(PkCapA,152)))</f>
        <v/>
      </c>
      <c r="D1856" s="12">
        <f>IF($B1856="","","c")</f>
        <v/>
      </c>
      <c r="E1856" s="14">
        <f>IF($B1856="","",IF(152&gt;NCapA,0,SUMIF(CalcDebit,INDEX(PkCapA,152),CalcAmt)+SUMIF(CalcDebit2,INDEX(PkCapA,152),CalcAmt2)))</f>
        <v/>
      </c>
      <c r="F1856" s="14">
        <f>IF($B1856="","",IF(152&gt;NCapA,0,SUMIF(CalcCredit,INDEX(PkCapA,152),CalcAmt)+SUMIF(CalcCredit2,INDEX(PkCapA,152),CalcAmt2)))</f>
        <v/>
      </c>
      <c r="G1856" s="15">
        <f>IF($B1856="","",ROUND($E1856-$F1856,0))</f>
        <v/>
      </c>
      <c r="H1856" s="12">
        <f>IF($B1856="","",IF(ROUND($G1856,0)&gt;0,"بدهکار",IF(ROUND($G1856,0)&lt;0,"بستانکار","تسویه")))</f>
        <v/>
      </c>
    </row>
    <row r="1857">
      <c r="A1857" s="16">
        <f>IF($B1857="","",1848)</f>
        <v/>
      </c>
      <c r="B1857" s="17">
        <f>IF(153&gt;NCapA,"",IFERROR(IF(VLOOKUP(INDEX(PkCapA,153),AcctTblA,4,0)="","(بدون نام)",VLOOKUP(INDEX(PkCapA,153),AcctTblA,4,0)),"—"))</f>
        <v/>
      </c>
      <c r="C1857" s="18">
        <f>IF($B1857="","",IF(153&gt;NCapA,"",INDEX(PkCapA,153)))</f>
        <v/>
      </c>
      <c r="D1857" s="17">
        <f>IF($B1857="","","c")</f>
        <v/>
      </c>
      <c r="E1857" s="19">
        <f>IF($B1857="","",IF(153&gt;NCapA,0,SUMIF(CalcDebit,INDEX(PkCapA,153),CalcAmt)+SUMIF(CalcDebit2,INDEX(PkCapA,153),CalcAmt2)))</f>
        <v/>
      </c>
      <c r="F1857" s="19">
        <f>IF($B1857="","",IF(153&gt;NCapA,0,SUMIF(CalcCredit,INDEX(PkCapA,153),CalcAmt)+SUMIF(CalcCredit2,INDEX(PkCapA,153),CalcAmt2)))</f>
        <v/>
      </c>
      <c r="G1857" s="20">
        <f>IF($B1857="","",ROUND($E1857-$F1857,0))</f>
        <v/>
      </c>
      <c r="H1857" s="17">
        <f>IF($B1857="","",IF(ROUND($G1857,0)&gt;0,"بدهکار",IF(ROUND($G1857,0)&lt;0,"بستانکار","تسویه")))</f>
        <v/>
      </c>
    </row>
    <row r="1858">
      <c r="A1858" s="11">
        <f>IF($B1858="","",1849)</f>
        <v/>
      </c>
      <c r="B1858" s="12">
        <f>IF(154&gt;NCapA,"",IFERROR(IF(VLOOKUP(INDEX(PkCapA,154),AcctTblA,4,0)="","(بدون نام)",VLOOKUP(INDEX(PkCapA,154),AcctTblA,4,0)),"—"))</f>
        <v/>
      </c>
      <c r="C1858" s="13">
        <f>IF($B1858="","",IF(154&gt;NCapA,"",INDEX(PkCapA,154)))</f>
        <v/>
      </c>
      <c r="D1858" s="12">
        <f>IF($B1858="","","c")</f>
        <v/>
      </c>
      <c r="E1858" s="14">
        <f>IF($B1858="","",IF(154&gt;NCapA,0,SUMIF(CalcDebit,INDEX(PkCapA,154),CalcAmt)+SUMIF(CalcDebit2,INDEX(PkCapA,154),CalcAmt2)))</f>
        <v/>
      </c>
      <c r="F1858" s="14">
        <f>IF($B1858="","",IF(154&gt;NCapA,0,SUMIF(CalcCredit,INDEX(PkCapA,154),CalcAmt)+SUMIF(CalcCredit2,INDEX(PkCapA,154),CalcAmt2)))</f>
        <v/>
      </c>
      <c r="G1858" s="15">
        <f>IF($B1858="","",ROUND($E1858-$F1858,0))</f>
        <v/>
      </c>
      <c r="H1858" s="12">
        <f>IF($B1858="","",IF(ROUND($G1858,0)&gt;0,"بدهکار",IF(ROUND($G1858,0)&lt;0,"بستانکار","تسویه")))</f>
        <v/>
      </c>
    </row>
    <row r="1859">
      <c r="A1859" s="16">
        <f>IF($B1859="","",1850)</f>
        <v/>
      </c>
      <c r="B1859" s="17">
        <f>IF(155&gt;NCapA,"",IFERROR(IF(VLOOKUP(INDEX(PkCapA,155),AcctTblA,4,0)="","(بدون نام)",VLOOKUP(INDEX(PkCapA,155),AcctTblA,4,0)),"—"))</f>
        <v/>
      </c>
      <c r="C1859" s="18">
        <f>IF($B1859="","",IF(155&gt;NCapA,"",INDEX(PkCapA,155)))</f>
        <v/>
      </c>
      <c r="D1859" s="17">
        <f>IF($B1859="","","c")</f>
        <v/>
      </c>
      <c r="E1859" s="19">
        <f>IF($B1859="","",IF(155&gt;NCapA,0,SUMIF(CalcDebit,INDEX(PkCapA,155),CalcAmt)+SUMIF(CalcDebit2,INDEX(PkCapA,155),CalcAmt2)))</f>
        <v/>
      </c>
      <c r="F1859" s="19">
        <f>IF($B1859="","",IF(155&gt;NCapA,0,SUMIF(CalcCredit,INDEX(PkCapA,155),CalcAmt)+SUMIF(CalcCredit2,INDEX(PkCapA,155),CalcAmt2)))</f>
        <v/>
      </c>
      <c r="G1859" s="20">
        <f>IF($B1859="","",ROUND($E1859-$F1859,0))</f>
        <v/>
      </c>
      <c r="H1859" s="17">
        <f>IF($B1859="","",IF(ROUND($G1859,0)&gt;0,"بدهکار",IF(ROUND($G1859,0)&lt;0,"بستانکار","تسویه")))</f>
        <v/>
      </c>
    </row>
    <row r="1860">
      <c r="A1860" s="11">
        <f>IF($B1860="","",1851)</f>
        <v/>
      </c>
      <c r="B1860" s="12">
        <f>IF(156&gt;NCapA,"",IFERROR(IF(VLOOKUP(INDEX(PkCapA,156),AcctTblA,4,0)="","(بدون نام)",VLOOKUP(INDEX(PkCapA,156),AcctTblA,4,0)),"—"))</f>
        <v/>
      </c>
      <c r="C1860" s="13">
        <f>IF($B1860="","",IF(156&gt;NCapA,"",INDEX(PkCapA,156)))</f>
        <v/>
      </c>
      <c r="D1860" s="12">
        <f>IF($B1860="","","c")</f>
        <v/>
      </c>
      <c r="E1860" s="14">
        <f>IF($B1860="","",IF(156&gt;NCapA,0,SUMIF(CalcDebit,INDEX(PkCapA,156),CalcAmt)+SUMIF(CalcDebit2,INDEX(PkCapA,156),CalcAmt2)))</f>
        <v/>
      </c>
      <c r="F1860" s="14">
        <f>IF($B1860="","",IF(156&gt;NCapA,0,SUMIF(CalcCredit,INDEX(PkCapA,156),CalcAmt)+SUMIF(CalcCredit2,INDEX(PkCapA,156),CalcAmt2)))</f>
        <v/>
      </c>
      <c r="G1860" s="15">
        <f>IF($B1860="","",ROUND($E1860-$F1860,0))</f>
        <v/>
      </c>
      <c r="H1860" s="12">
        <f>IF($B1860="","",IF(ROUND($G1860,0)&gt;0,"بدهکار",IF(ROUND($G1860,0)&lt;0,"بستانکار","تسویه")))</f>
        <v/>
      </c>
    </row>
    <row r="1861">
      <c r="A1861" s="16">
        <f>IF($B1861="","",1852)</f>
        <v/>
      </c>
      <c r="B1861" s="17">
        <f>IF(157&gt;NCapA,"",IFERROR(IF(VLOOKUP(INDEX(PkCapA,157),AcctTblA,4,0)="","(بدون نام)",VLOOKUP(INDEX(PkCapA,157),AcctTblA,4,0)),"—"))</f>
        <v/>
      </c>
      <c r="C1861" s="18">
        <f>IF($B1861="","",IF(157&gt;NCapA,"",INDEX(PkCapA,157)))</f>
        <v/>
      </c>
      <c r="D1861" s="17">
        <f>IF($B1861="","","c")</f>
        <v/>
      </c>
      <c r="E1861" s="19">
        <f>IF($B1861="","",IF(157&gt;NCapA,0,SUMIF(CalcDebit,INDEX(PkCapA,157),CalcAmt)+SUMIF(CalcDebit2,INDEX(PkCapA,157),CalcAmt2)))</f>
        <v/>
      </c>
      <c r="F1861" s="19">
        <f>IF($B1861="","",IF(157&gt;NCapA,0,SUMIF(CalcCredit,INDEX(PkCapA,157),CalcAmt)+SUMIF(CalcCredit2,INDEX(PkCapA,157),CalcAmt2)))</f>
        <v/>
      </c>
      <c r="G1861" s="20">
        <f>IF($B1861="","",ROUND($E1861-$F1861,0))</f>
        <v/>
      </c>
      <c r="H1861" s="17">
        <f>IF($B1861="","",IF(ROUND($G1861,0)&gt;0,"بدهکار",IF(ROUND($G1861,0)&lt;0,"بستانکار","تسویه")))</f>
        <v/>
      </c>
    </row>
    <row r="1862">
      <c r="A1862" s="11">
        <f>IF($B1862="","",1853)</f>
        <v/>
      </c>
      <c r="B1862" s="12">
        <f>IF(158&gt;NCapA,"",IFERROR(IF(VLOOKUP(INDEX(PkCapA,158),AcctTblA,4,0)="","(بدون نام)",VLOOKUP(INDEX(PkCapA,158),AcctTblA,4,0)),"—"))</f>
        <v/>
      </c>
      <c r="C1862" s="13">
        <f>IF($B1862="","",IF(158&gt;NCapA,"",INDEX(PkCapA,158)))</f>
        <v/>
      </c>
      <c r="D1862" s="12">
        <f>IF($B1862="","","c")</f>
        <v/>
      </c>
      <c r="E1862" s="14">
        <f>IF($B1862="","",IF(158&gt;NCapA,0,SUMIF(CalcDebit,INDEX(PkCapA,158),CalcAmt)+SUMIF(CalcDebit2,INDEX(PkCapA,158),CalcAmt2)))</f>
        <v/>
      </c>
      <c r="F1862" s="14">
        <f>IF($B1862="","",IF(158&gt;NCapA,0,SUMIF(CalcCredit,INDEX(PkCapA,158),CalcAmt)+SUMIF(CalcCredit2,INDEX(PkCapA,158),CalcAmt2)))</f>
        <v/>
      </c>
      <c r="G1862" s="15">
        <f>IF($B1862="","",ROUND($E1862-$F1862,0))</f>
        <v/>
      </c>
      <c r="H1862" s="12">
        <f>IF($B1862="","",IF(ROUND($G1862,0)&gt;0,"بدهکار",IF(ROUND($G1862,0)&lt;0,"بستانکار","تسویه")))</f>
        <v/>
      </c>
    </row>
    <row r="1863">
      <c r="A1863" s="16">
        <f>IF($B1863="","",1854)</f>
        <v/>
      </c>
      <c r="B1863" s="17">
        <f>IF(159&gt;NCapA,"",IFERROR(IF(VLOOKUP(INDEX(PkCapA,159),AcctTblA,4,0)="","(بدون نام)",VLOOKUP(INDEX(PkCapA,159),AcctTblA,4,0)),"—"))</f>
        <v/>
      </c>
      <c r="C1863" s="18">
        <f>IF($B1863="","",IF(159&gt;NCapA,"",INDEX(PkCapA,159)))</f>
        <v/>
      </c>
      <c r="D1863" s="17">
        <f>IF($B1863="","","c")</f>
        <v/>
      </c>
      <c r="E1863" s="19">
        <f>IF($B1863="","",IF(159&gt;NCapA,0,SUMIF(CalcDebit,INDEX(PkCapA,159),CalcAmt)+SUMIF(CalcDebit2,INDEX(PkCapA,159),CalcAmt2)))</f>
        <v/>
      </c>
      <c r="F1863" s="19">
        <f>IF($B1863="","",IF(159&gt;NCapA,0,SUMIF(CalcCredit,INDEX(PkCapA,159),CalcAmt)+SUMIF(CalcCredit2,INDEX(PkCapA,159),CalcAmt2)))</f>
        <v/>
      </c>
      <c r="G1863" s="20">
        <f>IF($B1863="","",ROUND($E1863-$F1863,0))</f>
        <v/>
      </c>
      <c r="H1863" s="17">
        <f>IF($B1863="","",IF(ROUND($G1863,0)&gt;0,"بدهکار",IF(ROUND($G1863,0)&lt;0,"بستانکار","تسویه")))</f>
        <v/>
      </c>
    </row>
    <row r="1864">
      <c r="A1864" s="11">
        <f>IF($B1864="","",1855)</f>
        <v/>
      </c>
      <c r="B1864" s="12">
        <f>IF(160&gt;NCapA,"",IFERROR(IF(VLOOKUP(INDEX(PkCapA,160),AcctTblA,4,0)="","(بدون نام)",VLOOKUP(INDEX(PkCapA,160),AcctTblA,4,0)),"—"))</f>
        <v/>
      </c>
      <c r="C1864" s="13">
        <f>IF($B1864="","",IF(160&gt;NCapA,"",INDEX(PkCapA,160)))</f>
        <v/>
      </c>
      <c r="D1864" s="12">
        <f>IF($B1864="","","c")</f>
        <v/>
      </c>
      <c r="E1864" s="14">
        <f>IF($B1864="","",IF(160&gt;NCapA,0,SUMIF(CalcDebit,INDEX(PkCapA,160),CalcAmt)+SUMIF(CalcDebit2,INDEX(PkCapA,160),CalcAmt2)))</f>
        <v/>
      </c>
      <c r="F1864" s="14">
        <f>IF($B1864="","",IF(160&gt;NCapA,0,SUMIF(CalcCredit,INDEX(PkCapA,160),CalcAmt)+SUMIF(CalcCredit2,INDEX(PkCapA,160),CalcAmt2)))</f>
        <v/>
      </c>
      <c r="G1864" s="15">
        <f>IF($B1864="","",ROUND($E1864-$F1864,0))</f>
        <v/>
      </c>
      <c r="H1864" s="12">
        <f>IF($B1864="","",IF(ROUND($G1864,0)&gt;0,"بدهکار",IF(ROUND($G1864,0)&lt;0,"بستانکار","تسویه")))</f>
        <v/>
      </c>
    </row>
    <row r="1865">
      <c r="A1865" s="16">
        <f>IF($B1865="","",1856)</f>
        <v/>
      </c>
      <c r="B1865" s="17">
        <f>IF(161&gt;NCapA,"",IFERROR(IF(VLOOKUP(INDEX(PkCapA,161),AcctTblA,4,0)="","(بدون نام)",VLOOKUP(INDEX(PkCapA,161),AcctTblA,4,0)),"—"))</f>
        <v/>
      </c>
      <c r="C1865" s="18">
        <f>IF($B1865="","",IF(161&gt;NCapA,"",INDEX(PkCapA,161)))</f>
        <v/>
      </c>
      <c r="D1865" s="17">
        <f>IF($B1865="","","c")</f>
        <v/>
      </c>
      <c r="E1865" s="19">
        <f>IF($B1865="","",IF(161&gt;NCapA,0,SUMIF(CalcDebit,INDEX(PkCapA,161),CalcAmt)+SUMIF(CalcDebit2,INDEX(PkCapA,161),CalcAmt2)))</f>
        <v/>
      </c>
      <c r="F1865" s="19">
        <f>IF($B1865="","",IF(161&gt;NCapA,0,SUMIF(CalcCredit,INDEX(PkCapA,161),CalcAmt)+SUMIF(CalcCredit2,INDEX(PkCapA,161),CalcAmt2)))</f>
        <v/>
      </c>
      <c r="G1865" s="20">
        <f>IF($B1865="","",ROUND($E1865-$F1865,0))</f>
        <v/>
      </c>
      <c r="H1865" s="17">
        <f>IF($B1865="","",IF(ROUND($G1865,0)&gt;0,"بدهکار",IF(ROUND($G1865,0)&lt;0,"بستانکار","تسویه")))</f>
        <v/>
      </c>
    </row>
    <row r="1866">
      <c r="A1866" s="11">
        <f>IF($B1866="","",1857)</f>
        <v/>
      </c>
      <c r="B1866" s="12">
        <f>IF(162&gt;NCapA,"",IFERROR(IF(VLOOKUP(INDEX(PkCapA,162),AcctTblA,4,0)="","(بدون نام)",VLOOKUP(INDEX(PkCapA,162),AcctTblA,4,0)),"—"))</f>
        <v/>
      </c>
      <c r="C1866" s="13">
        <f>IF($B1866="","",IF(162&gt;NCapA,"",INDEX(PkCapA,162)))</f>
        <v/>
      </c>
      <c r="D1866" s="12">
        <f>IF($B1866="","","c")</f>
        <v/>
      </c>
      <c r="E1866" s="14">
        <f>IF($B1866="","",IF(162&gt;NCapA,0,SUMIF(CalcDebit,INDEX(PkCapA,162),CalcAmt)+SUMIF(CalcDebit2,INDEX(PkCapA,162),CalcAmt2)))</f>
        <v/>
      </c>
      <c r="F1866" s="14">
        <f>IF($B1866="","",IF(162&gt;NCapA,0,SUMIF(CalcCredit,INDEX(PkCapA,162),CalcAmt)+SUMIF(CalcCredit2,INDEX(PkCapA,162),CalcAmt2)))</f>
        <v/>
      </c>
      <c r="G1866" s="15">
        <f>IF($B1866="","",ROUND($E1866-$F1866,0))</f>
        <v/>
      </c>
      <c r="H1866" s="12">
        <f>IF($B1866="","",IF(ROUND($G1866,0)&gt;0,"بدهکار",IF(ROUND($G1866,0)&lt;0,"بستانکار","تسویه")))</f>
        <v/>
      </c>
    </row>
    <row r="1867">
      <c r="A1867" s="16">
        <f>IF($B1867="","",1858)</f>
        <v/>
      </c>
      <c r="B1867" s="17">
        <f>IF(163&gt;NCapA,"",IFERROR(IF(VLOOKUP(INDEX(PkCapA,163),AcctTblA,4,0)="","(بدون نام)",VLOOKUP(INDEX(PkCapA,163),AcctTblA,4,0)),"—"))</f>
        <v/>
      </c>
      <c r="C1867" s="18">
        <f>IF($B1867="","",IF(163&gt;NCapA,"",INDEX(PkCapA,163)))</f>
        <v/>
      </c>
      <c r="D1867" s="17">
        <f>IF($B1867="","","c")</f>
        <v/>
      </c>
      <c r="E1867" s="19">
        <f>IF($B1867="","",IF(163&gt;NCapA,0,SUMIF(CalcDebit,INDEX(PkCapA,163),CalcAmt)+SUMIF(CalcDebit2,INDEX(PkCapA,163),CalcAmt2)))</f>
        <v/>
      </c>
      <c r="F1867" s="19">
        <f>IF($B1867="","",IF(163&gt;NCapA,0,SUMIF(CalcCredit,INDEX(PkCapA,163),CalcAmt)+SUMIF(CalcCredit2,INDEX(PkCapA,163),CalcAmt2)))</f>
        <v/>
      </c>
      <c r="G1867" s="20">
        <f>IF($B1867="","",ROUND($E1867-$F1867,0))</f>
        <v/>
      </c>
      <c r="H1867" s="17">
        <f>IF($B1867="","",IF(ROUND($G1867,0)&gt;0,"بدهکار",IF(ROUND($G1867,0)&lt;0,"بستانکار","تسویه")))</f>
        <v/>
      </c>
    </row>
    <row r="1868">
      <c r="A1868" s="11">
        <f>IF($B1868="","",1859)</f>
        <v/>
      </c>
      <c r="B1868" s="12">
        <f>IF(164&gt;NCapA,"",IFERROR(IF(VLOOKUP(INDEX(PkCapA,164),AcctTblA,4,0)="","(بدون نام)",VLOOKUP(INDEX(PkCapA,164),AcctTblA,4,0)),"—"))</f>
        <v/>
      </c>
      <c r="C1868" s="13">
        <f>IF($B1868="","",IF(164&gt;NCapA,"",INDEX(PkCapA,164)))</f>
        <v/>
      </c>
      <c r="D1868" s="12">
        <f>IF($B1868="","","c")</f>
        <v/>
      </c>
      <c r="E1868" s="14">
        <f>IF($B1868="","",IF(164&gt;NCapA,0,SUMIF(CalcDebit,INDEX(PkCapA,164),CalcAmt)+SUMIF(CalcDebit2,INDEX(PkCapA,164),CalcAmt2)))</f>
        <v/>
      </c>
      <c r="F1868" s="14">
        <f>IF($B1868="","",IF(164&gt;NCapA,0,SUMIF(CalcCredit,INDEX(PkCapA,164),CalcAmt)+SUMIF(CalcCredit2,INDEX(PkCapA,164),CalcAmt2)))</f>
        <v/>
      </c>
      <c r="G1868" s="15">
        <f>IF($B1868="","",ROUND($E1868-$F1868,0))</f>
        <v/>
      </c>
      <c r="H1868" s="12">
        <f>IF($B1868="","",IF(ROUND($G1868,0)&gt;0,"بدهکار",IF(ROUND($G1868,0)&lt;0,"بستانکار","تسویه")))</f>
        <v/>
      </c>
    </row>
    <row r="1869">
      <c r="A1869" s="16">
        <f>IF($B1869="","",1860)</f>
        <v/>
      </c>
      <c r="B1869" s="17">
        <f>IF(165&gt;NCapA,"",IFERROR(IF(VLOOKUP(INDEX(PkCapA,165),AcctTblA,4,0)="","(بدون نام)",VLOOKUP(INDEX(PkCapA,165),AcctTblA,4,0)),"—"))</f>
        <v/>
      </c>
      <c r="C1869" s="18">
        <f>IF($B1869="","",IF(165&gt;NCapA,"",INDEX(PkCapA,165)))</f>
        <v/>
      </c>
      <c r="D1869" s="17">
        <f>IF($B1869="","","c")</f>
        <v/>
      </c>
      <c r="E1869" s="19">
        <f>IF($B1869="","",IF(165&gt;NCapA,0,SUMIF(CalcDebit,INDEX(PkCapA,165),CalcAmt)+SUMIF(CalcDebit2,INDEX(PkCapA,165),CalcAmt2)))</f>
        <v/>
      </c>
      <c r="F1869" s="19">
        <f>IF($B1869="","",IF(165&gt;NCapA,0,SUMIF(CalcCredit,INDEX(PkCapA,165),CalcAmt)+SUMIF(CalcCredit2,INDEX(PkCapA,165),CalcAmt2)))</f>
        <v/>
      </c>
      <c r="G1869" s="20">
        <f>IF($B1869="","",ROUND($E1869-$F1869,0))</f>
        <v/>
      </c>
      <c r="H1869" s="17">
        <f>IF($B1869="","",IF(ROUND($G1869,0)&gt;0,"بدهکار",IF(ROUND($G1869,0)&lt;0,"بستانکار","تسویه")))</f>
        <v/>
      </c>
    </row>
    <row r="1870">
      <c r="A1870" s="11">
        <f>IF($B1870="","",1861)</f>
        <v/>
      </c>
      <c r="B1870" s="12">
        <f>IF(166&gt;NCapA,"",IFERROR(IF(VLOOKUP(INDEX(PkCapA,166),AcctTblA,4,0)="","(بدون نام)",VLOOKUP(INDEX(PkCapA,166),AcctTblA,4,0)),"—"))</f>
        <v/>
      </c>
      <c r="C1870" s="13">
        <f>IF($B1870="","",IF(166&gt;NCapA,"",INDEX(PkCapA,166)))</f>
        <v/>
      </c>
      <c r="D1870" s="12">
        <f>IF($B1870="","","c")</f>
        <v/>
      </c>
      <c r="E1870" s="14">
        <f>IF($B1870="","",IF(166&gt;NCapA,0,SUMIF(CalcDebit,INDEX(PkCapA,166),CalcAmt)+SUMIF(CalcDebit2,INDEX(PkCapA,166),CalcAmt2)))</f>
        <v/>
      </c>
      <c r="F1870" s="14">
        <f>IF($B1870="","",IF(166&gt;NCapA,0,SUMIF(CalcCredit,INDEX(PkCapA,166),CalcAmt)+SUMIF(CalcCredit2,INDEX(PkCapA,166),CalcAmt2)))</f>
        <v/>
      </c>
      <c r="G1870" s="15">
        <f>IF($B1870="","",ROUND($E1870-$F1870,0))</f>
        <v/>
      </c>
      <c r="H1870" s="12">
        <f>IF($B1870="","",IF(ROUND($G1870,0)&gt;0,"بدهکار",IF(ROUND($G1870,0)&lt;0,"بستانکار","تسویه")))</f>
        <v/>
      </c>
    </row>
    <row r="1871">
      <c r="A1871" s="16">
        <f>IF($B1871="","",1862)</f>
        <v/>
      </c>
      <c r="B1871" s="17">
        <f>IF(167&gt;NCapA,"",IFERROR(IF(VLOOKUP(INDEX(PkCapA,167),AcctTblA,4,0)="","(بدون نام)",VLOOKUP(INDEX(PkCapA,167),AcctTblA,4,0)),"—"))</f>
        <v/>
      </c>
      <c r="C1871" s="18">
        <f>IF($B1871="","",IF(167&gt;NCapA,"",INDEX(PkCapA,167)))</f>
        <v/>
      </c>
      <c r="D1871" s="17">
        <f>IF($B1871="","","c")</f>
        <v/>
      </c>
      <c r="E1871" s="19">
        <f>IF($B1871="","",IF(167&gt;NCapA,0,SUMIF(CalcDebit,INDEX(PkCapA,167),CalcAmt)+SUMIF(CalcDebit2,INDEX(PkCapA,167),CalcAmt2)))</f>
        <v/>
      </c>
      <c r="F1871" s="19">
        <f>IF($B1871="","",IF(167&gt;NCapA,0,SUMIF(CalcCredit,INDEX(PkCapA,167),CalcAmt)+SUMIF(CalcCredit2,INDEX(PkCapA,167),CalcAmt2)))</f>
        <v/>
      </c>
      <c r="G1871" s="20">
        <f>IF($B1871="","",ROUND($E1871-$F1871,0))</f>
        <v/>
      </c>
      <c r="H1871" s="17">
        <f>IF($B1871="","",IF(ROUND($G1871,0)&gt;0,"بدهکار",IF(ROUND($G1871,0)&lt;0,"بستانکار","تسویه")))</f>
        <v/>
      </c>
    </row>
    <row r="1872">
      <c r="A1872" s="11">
        <f>IF($B1872="","",1863)</f>
        <v/>
      </c>
      <c r="B1872" s="12">
        <f>IF(168&gt;NCapA,"",IFERROR(IF(VLOOKUP(INDEX(PkCapA,168),AcctTblA,4,0)="","(بدون نام)",VLOOKUP(INDEX(PkCapA,168),AcctTblA,4,0)),"—"))</f>
        <v/>
      </c>
      <c r="C1872" s="13">
        <f>IF($B1872="","",IF(168&gt;NCapA,"",INDEX(PkCapA,168)))</f>
        <v/>
      </c>
      <c r="D1872" s="12">
        <f>IF($B1872="","","c")</f>
        <v/>
      </c>
      <c r="E1872" s="14">
        <f>IF($B1872="","",IF(168&gt;NCapA,0,SUMIF(CalcDebit,INDEX(PkCapA,168),CalcAmt)+SUMIF(CalcDebit2,INDEX(PkCapA,168),CalcAmt2)))</f>
        <v/>
      </c>
      <c r="F1872" s="14">
        <f>IF($B1872="","",IF(168&gt;NCapA,0,SUMIF(CalcCredit,INDEX(PkCapA,168),CalcAmt)+SUMIF(CalcCredit2,INDEX(PkCapA,168),CalcAmt2)))</f>
        <v/>
      </c>
      <c r="G1872" s="15">
        <f>IF($B1872="","",ROUND($E1872-$F1872,0))</f>
        <v/>
      </c>
      <c r="H1872" s="12">
        <f>IF($B1872="","",IF(ROUND($G1872,0)&gt;0,"بدهکار",IF(ROUND($G1872,0)&lt;0,"بستانکار","تسویه")))</f>
        <v/>
      </c>
    </row>
    <row r="1873">
      <c r="A1873" s="16">
        <f>IF($B1873="","",1864)</f>
        <v/>
      </c>
      <c r="B1873" s="17">
        <f>IF(169&gt;NCapA,"",IFERROR(IF(VLOOKUP(INDEX(PkCapA,169),AcctTblA,4,0)="","(بدون نام)",VLOOKUP(INDEX(PkCapA,169),AcctTblA,4,0)),"—"))</f>
        <v/>
      </c>
      <c r="C1873" s="18">
        <f>IF($B1873="","",IF(169&gt;NCapA,"",INDEX(PkCapA,169)))</f>
        <v/>
      </c>
      <c r="D1873" s="17">
        <f>IF($B1873="","","c")</f>
        <v/>
      </c>
      <c r="E1873" s="19">
        <f>IF($B1873="","",IF(169&gt;NCapA,0,SUMIF(CalcDebit,INDEX(PkCapA,169),CalcAmt)+SUMIF(CalcDebit2,INDEX(PkCapA,169),CalcAmt2)))</f>
        <v/>
      </c>
      <c r="F1873" s="19">
        <f>IF($B1873="","",IF(169&gt;NCapA,0,SUMIF(CalcCredit,INDEX(PkCapA,169),CalcAmt)+SUMIF(CalcCredit2,INDEX(PkCapA,169),CalcAmt2)))</f>
        <v/>
      </c>
      <c r="G1873" s="20">
        <f>IF($B1873="","",ROUND($E1873-$F1873,0))</f>
        <v/>
      </c>
      <c r="H1873" s="17">
        <f>IF($B1873="","",IF(ROUND($G1873,0)&gt;0,"بدهکار",IF(ROUND($G1873,0)&lt;0,"بستانکار","تسویه")))</f>
        <v/>
      </c>
    </row>
    <row r="1874">
      <c r="A1874" s="11">
        <f>IF($B1874="","",1865)</f>
        <v/>
      </c>
      <c r="B1874" s="12">
        <f>IF(170&gt;NCapA,"",IFERROR(IF(VLOOKUP(INDEX(PkCapA,170),AcctTblA,4,0)="","(بدون نام)",VLOOKUP(INDEX(PkCapA,170),AcctTblA,4,0)),"—"))</f>
        <v/>
      </c>
      <c r="C1874" s="13">
        <f>IF($B1874="","",IF(170&gt;NCapA,"",INDEX(PkCapA,170)))</f>
        <v/>
      </c>
      <c r="D1874" s="12">
        <f>IF($B1874="","","c")</f>
        <v/>
      </c>
      <c r="E1874" s="14">
        <f>IF($B1874="","",IF(170&gt;NCapA,0,SUMIF(CalcDebit,INDEX(PkCapA,170),CalcAmt)+SUMIF(CalcDebit2,INDEX(PkCapA,170),CalcAmt2)))</f>
        <v/>
      </c>
      <c r="F1874" s="14">
        <f>IF($B1874="","",IF(170&gt;NCapA,0,SUMIF(CalcCredit,INDEX(PkCapA,170),CalcAmt)+SUMIF(CalcCredit2,INDEX(PkCapA,170),CalcAmt2)))</f>
        <v/>
      </c>
      <c r="G1874" s="15">
        <f>IF($B1874="","",ROUND($E1874-$F1874,0))</f>
        <v/>
      </c>
      <c r="H1874" s="12">
        <f>IF($B1874="","",IF(ROUND($G1874,0)&gt;0,"بدهکار",IF(ROUND($G1874,0)&lt;0,"بستانکار","تسویه")))</f>
        <v/>
      </c>
    </row>
    <row r="1875">
      <c r="A1875" s="16">
        <f>IF($B1875="","",1866)</f>
        <v/>
      </c>
      <c r="B1875" s="17">
        <f>IF(171&gt;NCapA,"",IFERROR(IF(VLOOKUP(INDEX(PkCapA,171),AcctTblA,4,0)="","(بدون نام)",VLOOKUP(INDEX(PkCapA,171),AcctTblA,4,0)),"—"))</f>
        <v/>
      </c>
      <c r="C1875" s="18">
        <f>IF($B1875="","",IF(171&gt;NCapA,"",INDEX(PkCapA,171)))</f>
        <v/>
      </c>
      <c r="D1875" s="17">
        <f>IF($B1875="","","c")</f>
        <v/>
      </c>
      <c r="E1875" s="19">
        <f>IF($B1875="","",IF(171&gt;NCapA,0,SUMIF(CalcDebit,INDEX(PkCapA,171),CalcAmt)+SUMIF(CalcDebit2,INDEX(PkCapA,171),CalcAmt2)))</f>
        <v/>
      </c>
      <c r="F1875" s="19">
        <f>IF($B1875="","",IF(171&gt;NCapA,0,SUMIF(CalcCredit,INDEX(PkCapA,171),CalcAmt)+SUMIF(CalcCredit2,INDEX(PkCapA,171),CalcAmt2)))</f>
        <v/>
      </c>
      <c r="G1875" s="20">
        <f>IF($B1875="","",ROUND($E1875-$F1875,0))</f>
        <v/>
      </c>
      <c r="H1875" s="17">
        <f>IF($B1875="","",IF(ROUND($G1875,0)&gt;0,"بدهکار",IF(ROUND($G1875,0)&lt;0,"بستانکار","تسویه")))</f>
        <v/>
      </c>
    </row>
    <row r="1876">
      <c r="A1876" s="11">
        <f>IF($B1876="","",1867)</f>
        <v/>
      </c>
      <c r="B1876" s="12">
        <f>IF(172&gt;NCapA,"",IFERROR(IF(VLOOKUP(INDEX(PkCapA,172),AcctTblA,4,0)="","(بدون نام)",VLOOKUP(INDEX(PkCapA,172),AcctTblA,4,0)),"—"))</f>
        <v/>
      </c>
      <c r="C1876" s="13">
        <f>IF($B1876="","",IF(172&gt;NCapA,"",INDEX(PkCapA,172)))</f>
        <v/>
      </c>
      <c r="D1876" s="12">
        <f>IF($B1876="","","c")</f>
        <v/>
      </c>
      <c r="E1876" s="14">
        <f>IF($B1876="","",IF(172&gt;NCapA,0,SUMIF(CalcDebit,INDEX(PkCapA,172),CalcAmt)+SUMIF(CalcDebit2,INDEX(PkCapA,172),CalcAmt2)))</f>
        <v/>
      </c>
      <c r="F1876" s="14">
        <f>IF($B1876="","",IF(172&gt;NCapA,0,SUMIF(CalcCredit,INDEX(PkCapA,172),CalcAmt)+SUMIF(CalcCredit2,INDEX(PkCapA,172),CalcAmt2)))</f>
        <v/>
      </c>
      <c r="G1876" s="15">
        <f>IF($B1876="","",ROUND($E1876-$F1876,0))</f>
        <v/>
      </c>
      <c r="H1876" s="12">
        <f>IF($B1876="","",IF(ROUND($G1876,0)&gt;0,"بدهکار",IF(ROUND($G1876,0)&lt;0,"بستانکار","تسویه")))</f>
        <v/>
      </c>
    </row>
    <row r="1877">
      <c r="A1877" s="16">
        <f>IF($B1877="","",1868)</f>
        <v/>
      </c>
      <c r="B1877" s="17">
        <f>IF(173&gt;NCapA,"",IFERROR(IF(VLOOKUP(INDEX(PkCapA,173),AcctTblA,4,0)="","(بدون نام)",VLOOKUP(INDEX(PkCapA,173),AcctTblA,4,0)),"—"))</f>
        <v/>
      </c>
      <c r="C1877" s="18">
        <f>IF($B1877="","",IF(173&gt;NCapA,"",INDEX(PkCapA,173)))</f>
        <v/>
      </c>
      <c r="D1877" s="17">
        <f>IF($B1877="","","c")</f>
        <v/>
      </c>
      <c r="E1877" s="19">
        <f>IF($B1877="","",IF(173&gt;NCapA,0,SUMIF(CalcDebit,INDEX(PkCapA,173),CalcAmt)+SUMIF(CalcDebit2,INDEX(PkCapA,173),CalcAmt2)))</f>
        <v/>
      </c>
      <c r="F1877" s="19">
        <f>IF($B1877="","",IF(173&gt;NCapA,0,SUMIF(CalcCredit,INDEX(PkCapA,173),CalcAmt)+SUMIF(CalcCredit2,INDEX(PkCapA,173),CalcAmt2)))</f>
        <v/>
      </c>
      <c r="G1877" s="20">
        <f>IF($B1877="","",ROUND($E1877-$F1877,0))</f>
        <v/>
      </c>
      <c r="H1877" s="17">
        <f>IF($B1877="","",IF(ROUND($G1877,0)&gt;0,"بدهکار",IF(ROUND($G1877,0)&lt;0,"بستانکار","تسویه")))</f>
        <v/>
      </c>
    </row>
    <row r="1878">
      <c r="A1878" s="11">
        <f>IF($B1878="","",1869)</f>
        <v/>
      </c>
      <c r="B1878" s="12">
        <f>IF(174&gt;NCapA,"",IFERROR(IF(VLOOKUP(INDEX(PkCapA,174),AcctTblA,4,0)="","(بدون نام)",VLOOKUP(INDEX(PkCapA,174),AcctTblA,4,0)),"—"))</f>
        <v/>
      </c>
      <c r="C1878" s="13">
        <f>IF($B1878="","",IF(174&gt;NCapA,"",INDEX(PkCapA,174)))</f>
        <v/>
      </c>
      <c r="D1878" s="12">
        <f>IF($B1878="","","c")</f>
        <v/>
      </c>
      <c r="E1878" s="14">
        <f>IF($B1878="","",IF(174&gt;NCapA,0,SUMIF(CalcDebit,INDEX(PkCapA,174),CalcAmt)+SUMIF(CalcDebit2,INDEX(PkCapA,174),CalcAmt2)))</f>
        <v/>
      </c>
      <c r="F1878" s="14">
        <f>IF($B1878="","",IF(174&gt;NCapA,0,SUMIF(CalcCredit,INDEX(PkCapA,174),CalcAmt)+SUMIF(CalcCredit2,INDEX(PkCapA,174),CalcAmt2)))</f>
        <v/>
      </c>
      <c r="G1878" s="15">
        <f>IF($B1878="","",ROUND($E1878-$F1878,0))</f>
        <v/>
      </c>
      <c r="H1878" s="12">
        <f>IF($B1878="","",IF(ROUND($G1878,0)&gt;0,"بدهکار",IF(ROUND($G1878,0)&lt;0,"بستانکار","تسویه")))</f>
        <v/>
      </c>
    </row>
    <row r="1879">
      <c r="A1879" s="16">
        <f>IF($B1879="","",1870)</f>
        <v/>
      </c>
      <c r="B1879" s="17">
        <f>IF(175&gt;NCapA,"",IFERROR(IF(VLOOKUP(INDEX(PkCapA,175),AcctTblA,4,0)="","(بدون نام)",VLOOKUP(INDEX(PkCapA,175),AcctTblA,4,0)),"—"))</f>
        <v/>
      </c>
      <c r="C1879" s="18">
        <f>IF($B1879="","",IF(175&gt;NCapA,"",INDEX(PkCapA,175)))</f>
        <v/>
      </c>
      <c r="D1879" s="17">
        <f>IF($B1879="","","c")</f>
        <v/>
      </c>
      <c r="E1879" s="19">
        <f>IF($B1879="","",IF(175&gt;NCapA,0,SUMIF(CalcDebit,INDEX(PkCapA,175),CalcAmt)+SUMIF(CalcDebit2,INDEX(PkCapA,175),CalcAmt2)))</f>
        <v/>
      </c>
      <c r="F1879" s="19">
        <f>IF($B1879="","",IF(175&gt;NCapA,0,SUMIF(CalcCredit,INDEX(PkCapA,175),CalcAmt)+SUMIF(CalcCredit2,INDEX(PkCapA,175),CalcAmt2)))</f>
        <v/>
      </c>
      <c r="G1879" s="20">
        <f>IF($B1879="","",ROUND($E1879-$F1879,0))</f>
        <v/>
      </c>
      <c r="H1879" s="17">
        <f>IF($B1879="","",IF(ROUND($G1879,0)&gt;0,"بدهکار",IF(ROUND($G1879,0)&lt;0,"بستانکار","تسویه")))</f>
        <v/>
      </c>
    </row>
    <row r="1880">
      <c r="A1880" s="11">
        <f>IF($B1880="","",1871)</f>
        <v/>
      </c>
      <c r="B1880" s="12">
        <f>IF(176&gt;NCapA,"",IFERROR(IF(VLOOKUP(INDEX(PkCapA,176),AcctTblA,4,0)="","(بدون نام)",VLOOKUP(INDEX(PkCapA,176),AcctTblA,4,0)),"—"))</f>
        <v/>
      </c>
      <c r="C1880" s="13">
        <f>IF($B1880="","",IF(176&gt;NCapA,"",INDEX(PkCapA,176)))</f>
        <v/>
      </c>
      <c r="D1880" s="12">
        <f>IF($B1880="","","c")</f>
        <v/>
      </c>
      <c r="E1880" s="14">
        <f>IF($B1880="","",IF(176&gt;NCapA,0,SUMIF(CalcDebit,INDEX(PkCapA,176),CalcAmt)+SUMIF(CalcDebit2,INDEX(PkCapA,176),CalcAmt2)))</f>
        <v/>
      </c>
      <c r="F1880" s="14">
        <f>IF($B1880="","",IF(176&gt;NCapA,0,SUMIF(CalcCredit,INDEX(PkCapA,176),CalcAmt)+SUMIF(CalcCredit2,INDEX(PkCapA,176),CalcAmt2)))</f>
        <v/>
      </c>
      <c r="G1880" s="15">
        <f>IF($B1880="","",ROUND($E1880-$F1880,0))</f>
        <v/>
      </c>
      <c r="H1880" s="12">
        <f>IF($B1880="","",IF(ROUND($G1880,0)&gt;0,"بدهکار",IF(ROUND($G1880,0)&lt;0,"بستانکار","تسویه")))</f>
        <v/>
      </c>
    </row>
    <row r="1881">
      <c r="A1881" s="16">
        <f>IF($B1881="","",1872)</f>
        <v/>
      </c>
      <c r="B1881" s="17">
        <f>IF(177&gt;NCapA,"",IFERROR(IF(VLOOKUP(INDEX(PkCapA,177),AcctTblA,4,0)="","(بدون نام)",VLOOKUP(INDEX(PkCapA,177),AcctTblA,4,0)),"—"))</f>
        <v/>
      </c>
      <c r="C1881" s="18">
        <f>IF($B1881="","",IF(177&gt;NCapA,"",INDEX(PkCapA,177)))</f>
        <v/>
      </c>
      <c r="D1881" s="17">
        <f>IF($B1881="","","c")</f>
        <v/>
      </c>
      <c r="E1881" s="19">
        <f>IF($B1881="","",IF(177&gt;NCapA,0,SUMIF(CalcDebit,INDEX(PkCapA,177),CalcAmt)+SUMIF(CalcDebit2,INDEX(PkCapA,177),CalcAmt2)))</f>
        <v/>
      </c>
      <c r="F1881" s="19">
        <f>IF($B1881="","",IF(177&gt;NCapA,0,SUMIF(CalcCredit,INDEX(PkCapA,177),CalcAmt)+SUMIF(CalcCredit2,INDEX(PkCapA,177),CalcAmt2)))</f>
        <v/>
      </c>
      <c r="G1881" s="20">
        <f>IF($B1881="","",ROUND($E1881-$F1881,0))</f>
        <v/>
      </c>
      <c r="H1881" s="17">
        <f>IF($B1881="","",IF(ROUND($G1881,0)&gt;0,"بدهکار",IF(ROUND($G1881,0)&lt;0,"بستانکار","تسویه")))</f>
        <v/>
      </c>
    </row>
    <row r="1882">
      <c r="A1882" s="11">
        <f>IF($B1882="","",1873)</f>
        <v/>
      </c>
      <c r="B1882" s="12">
        <f>IF(178&gt;NCapA,"",IFERROR(IF(VLOOKUP(INDEX(PkCapA,178),AcctTblA,4,0)="","(بدون نام)",VLOOKUP(INDEX(PkCapA,178),AcctTblA,4,0)),"—"))</f>
        <v/>
      </c>
      <c r="C1882" s="13">
        <f>IF($B1882="","",IF(178&gt;NCapA,"",INDEX(PkCapA,178)))</f>
        <v/>
      </c>
      <c r="D1882" s="12">
        <f>IF($B1882="","","c")</f>
        <v/>
      </c>
      <c r="E1882" s="14">
        <f>IF($B1882="","",IF(178&gt;NCapA,0,SUMIF(CalcDebit,INDEX(PkCapA,178),CalcAmt)+SUMIF(CalcDebit2,INDEX(PkCapA,178),CalcAmt2)))</f>
        <v/>
      </c>
      <c r="F1882" s="14">
        <f>IF($B1882="","",IF(178&gt;NCapA,0,SUMIF(CalcCredit,INDEX(PkCapA,178),CalcAmt)+SUMIF(CalcCredit2,INDEX(PkCapA,178),CalcAmt2)))</f>
        <v/>
      </c>
      <c r="G1882" s="15">
        <f>IF($B1882="","",ROUND($E1882-$F1882,0))</f>
        <v/>
      </c>
      <c r="H1882" s="12">
        <f>IF($B1882="","",IF(ROUND($G1882,0)&gt;0,"بدهکار",IF(ROUND($G1882,0)&lt;0,"بستانکار","تسویه")))</f>
        <v/>
      </c>
    </row>
    <row r="1883">
      <c r="A1883" s="16">
        <f>IF($B1883="","",1874)</f>
        <v/>
      </c>
      <c r="B1883" s="17">
        <f>IF(179&gt;NCapA,"",IFERROR(IF(VLOOKUP(INDEX(PkCapA,179),AcctTblA,4,0)="","(بدون نام)",VLOOKUP(INDEX(PkCapA,179),AcctTblA,4,0)),"—"))</f>
        <v/>
      </c>
      <c r="C1883" s="18">
        <f>IF($B1883="","",IF(179&gt;NCapA,"",INDEX(PkCapA,179)))</f>
        <v/>
      </c>
      <c r="D1883" s="17">
        <f>IF($B1883="","","c")</f>
        <v/>
      </c>
      <c r="E1883" s="19">
        <f>IF($B1883="","",IF(179&gt;NCapA,0,SUMIF(CalcDebit,INDEX(PkCapA,179),CalcAmt)+SUMIF(CalcDebit2,INDEX(PkCapA,179),CalcAmt2)))</f>
        <v/>
      </c>
      <c r="F1883" s="19">
        <f>IF($B1883="","",IF(179&gt;NCapA,0,SUMIF(CalcCredit,INDEX(PkCapA,179),CalcAmt)+SUMIF(CalcCredit2,INDEX(PkCapA,179),CalcAmt2)))</f>
        <v/>
      </c>
      <c r="G1883" s="20">
        <f>IF($B1883="","",ROUND($E1883-$F1883,0))</f>
        <v/>
      </c>
      <c r="H1883" s="17">
        <f>IF($B1883="","",IF(ROUND($G1883,0)&gt;0,"بدهکار",IF(ROUND($G1883,0)&lt;0,"بستانکار","تسویه")))</f>
        <v/>
      </c>
    </row>
    <row r="1884">
      <c r="A1884" s="11">
        <f>IF($B1884="","",1875)</f>
        <v/>
      </c>
      <c r="B1884" s="12">
        <f>IF(180&gt;NCapA,"",IFERROR(IF(VLOOKUP(INDEX(PkCapA,180),AcctTblA,4,0)="","(بدون نام)",VLOOKUP(INDEX(PkCapA,180),AcctTblA,4,0)),"—"))</f>
        <v/>
      </c>
      <c r="C1884" s="13">
        <f>IF($B1884="","",IF(180&gt;NCapA,"",INDEX(PkCapA,180)))</f>
        <v/>
      </c>
      <c r="D1884" s="12">
        <f>IF($B1884="","","c")</f>
        <v/>
      </c>
      <c r="E1884" s="14">
        <f>IF($B1884="","",IF(180&gt;NCapA,0,SUMIF(CalcDebit,INDEX(PkCapA,180),CalcAmt)+SUMIF(CalcDebit2,INDEX(PkCapA,180),CalcAmt2)))</f>
        <v/>
      </c>
      <c r="F1884" s="14">
        <f>IF($B1884="","",IF(180&gt;NCapA,0,SUMIF(CalcCredit,INDEX(PkCapA,180),CalcAmt)+SUMIF(CalcCredit2,INDEX(PkCapA,180),CalcAmt2)))</f>
        <v/>
      </c>
      <c r="G1884" s="15">
        <f>IF($B1884="","",ROUND($E1884-$F1884,0))</f>
        <v/>
      </c>
      <c r="H1884" s="12">
        <f>IF($B1884="","",IF(ROUND($G1884,0)&gt;0,"بدهکار",IF(ROUND($G1884,0)&lt;0,"بستانکار","تسویه")))</f>
        <v/>
      </c>
    </row>
    <row r="1885">
      <c r="A1885" s="16">
        <f>IF($B1885="","",1876)</f>
        <v/>
      </c>
      <c r="B1885" s="17">
        <f>IF(181&gt;NCapA,"",IFERROR(IF(VLOOKUP(INDEX(PkCapA,181),AcctTblA,4,0)="","(بدون نام)",VLOOKUP(INDEX(PkCapA,181),AcctTblA,4,0)),"—"))</f>
        <v/>
      </c>
      <c r="C1885" s="18">
        <f>IF($B1885="","",IF(181&gt;NCapA,"",INDEX(PkCapA,181)))</f>
        <v/>
      </c>
      <c r="D1885" s="17">
        <f>IF($B1885="","","c")</f>
        <v/>
      </c>
      <c r="E1885" s="19">
        <f>IF($B1885="","",IF(181&gt;NCapA,0,SUMIF(CalcDebit,INDEX(PkCapA,181),CalcAmt)+SUMIF(CalcDebit2,INDEX(PkCapA,181),CalcAmt2)))</f>
        <v/>
      </c>
      <c r="F1885" s="19">
        <f>IF($B1885="","",IF(181&gt;NCapA,0,SUMIF(CalcCredit,INDEX(PkCapA,181),CalcAmt)+SUMIF(CalcCredit2,INDEX(PkCapA,181),CalcAmt2)))</f>
        <v/>
      </c>
      <c r="G1885" s="20">
        <f>IF($B1885="","",ROUND($E1885-$F1885,0))</f>
        <v/>
      </c>
      <c r="H1885" s="17">
        <f>IF($B1885="","",IF(ROUND($G1885,0)&gt;0,"بدهکار",IF(ROUND($G1885,0)&lt;0,"بستانکار","تسویه")))</f>
        <v/>
      </c>
    </row>
    <row r="1886">
      <c r="A1886" s="11">
        <f>IF($B1886="","",1877)</f>
        <v/>
      </c>
      <c r="B1886" s="12">
        <f>IF(182&gt;NCapA,"",IFERROR(IF(VLOOKUP(INDEX(PkCapA,182),AcctTblA,4,0)="","(بدون نام)",VLOOKUP(INDEX(PkCapA,182),AcctTblA,4,0)),"—"))</f>
        <v/>
      </c>
      <c r="C1886" s="13">
        <f>IF($B1886="","",IF(182&gt;NCapA,"",INDEX(PkCapA,182)))</f>
        <v/>
      </c>
      <c r="D1886" s="12">
        <f>IF($B1886="","","c")</f>
        <v/>
      </c>
      <c r="E1886" s="14">
        <f>IF($B1886="","",IF(182&gt;NCapA,0,SUMIF(CalcDebit,INDEX(PkCapA,182),CalcAmt)+SUMIF(CalcDebit2,INDEX(PkCapA,182),CalcAmt2)))</f>
        <v/>
      </c>
      <c r="F1886" s="14">
        <f>IF($B1886="","",IF(182&gt;NCapA,0,SUMIF(CalcCredit,INDEX(PkCapA,182),CalcAmt)+SUMIF(CalcCredit2,INDEX(PkCapA,182),CalcAmt2)))</f>
        <v/>
      </c>
      <c r="G1886" s="15">
        <f>IF($B1886="","",ROUND($E1886-$F1886,0))</f>
        <v/>
      </c>
      <c r="H1886" s="12">
        <f>IF($B1886="","",IF(ROUND($G1886,0)&gt;0,"بدهکار",IF(ROUND($G1886,0)&lt;0,"بستانکار","تسویه")))</f>
        <v/>
      </c>
    </row>
    <row r="1887">
      <c r="A1887" s="16">
        <f>IF($B1887="","",1878)</f>
        <v/>
      </c>
      <c r="B1887" s="17">
        <f>IF(183&gt;NCapA,"",IFERROR(IF(VLOOKUP(INDEX(PkCapA,183),AcctTblA,4,0)="","(بدون نام)",VLOOKUP(INDEX(PkCapA,183),AcctTblA,4,0)),"—"))</f>
        <v/>
      </c>
      <c r="C1887" s="18">
        <f>IF($B1887="","",IF(183&gt;NCapA,"",INDEX(PkCapA,183)))</f>
        <v/>
      </c>
      <c r="D1887" s="17">
        <f>IF($B1887="","","c")</f>
        <v/>
      </c>
      <c r="E1887" s="19">
        <f>IF($B1887="","",IF(183&gt;NCapA,0,SUMIF(CalcDebit,INDEX(PkCapA,183),CalcAmt)+SUMIF(CalcDebit2,INDEX(PkCapA,183),CalcAmt2)))</f>
        <v/>
      </c>
      <c r="F1887" s="19">
        <f>IF($B1887="","",IF(183&gt;NCapA,0,SUMIF(CalcCredit,INDEX(PkCapA,183),CalcAmt)+SUMIF(CalcCredit2,INDEX(PkCapA,183),CalcAmt2)))</f>
        <v/>
      </c>
      <c r="G1887" s="20">
        <f>IF($B1887="","",ROUND($E1887-$F1887,0))</f>
        <v/>
      </c>
      <c r="H1887" s="17">
        <f>IF($B1887="","",IF(ROUND($G1887,0)&gt;0,"بدهکار",IF(ROUND($G1887,0)&lt;0,"بستانکار","تسویه")))</f>
        <v/>
      </c>
    </row>
    <row r="1888">
      <c r="A1888" s="11">
        <f>IF($B1888="","",1879)</f>
        <v/>
      </c>
      <c r="B1888" s="12">
        <f>IF(184&gt;NCapA,"",IFERROR(IF(VLOOKUP(INDEX(PkCapA,184),AcctTblA,4,0)="","(بدون نام)",VLOOKUP(INDEX(PkCapA,184),AcctTblA,4,0)),"—"))</f>
        <v/>
      </c>
      <c r="C1888" s="13">
        <f>IF($B1888="","",IF(184&gt;NCapA,"",INDEX(PkCapA,184)))</f>
        <v/>
      </c>
      <c r="D1888" s="12">
        <f>IF($B1888="","","c")</f>
        <v/>
      </c>
      <c r="E1888" s="14">
        <f>IF($B1888="","",IF(184&gt;NCapA,0,SUMIF(CalcDebit,INDEX(PkCapA,184),CalcAmt)+SUMIF(CalcDebit2,INDEX(PkCapA,184),CalcAmt2)))</f>
        <v/>
      </c>
      <c r="F1888" s="14">
        <f>IF($B1888="","",IF(184&gt;NCapA,0,SUMIF(CalcCredit,INDEX(PkCapA,184),CalcAmt)+SUMIF(CalcCredit2,INDEX(PkCapA,184),CalcAmt2)))</f>
        <v/>
      </c>
      <c r="G1888" s="15">
        <f>IF($B1888="","",ROUND($E1888-$F1888,0))</f>
        <v/>
      </c>
      <c r="H1888" s="12">
        <f>IF($B1888="","",IF(ROUND($G1888,0)&gt;0,"بدهکار",IF(ROUND($G1888,0)&lt;0,"بستانکار","تسویه")))</f>
        <v/>
      </c>
    </row>
    <row r="1889">
      <c r="A1889" s="16">
        <f>IF($B1889="","",1880)</f>
        <v/>
      </c>
      <c r="B1889" s="17">
        <f>IF(185&gt;NCapA,"",IFERROR(IF(VLOOKUP(INDEX(PkCapA,185),AcctTblA,4,0)="","(بدون نام)",VLOOKUP(INDEX(PkCapA,185),AcctTblA,4,0)),"—"))</f>
        <v/>
      </c>
      <c r="C1889" s="18">
        <f>IF($B1889="","",IF(185&gt;NCapA,"",INDEX(PkCapA,185)))</f>
        <v/>
      </c>
      <c r="D1889" s="17">
        <f>IF($B1889="","","c")</f>
        <v/>
      </c>
      <c r="E1889" s="19">
        <f>IF($B1889="","",IF(185&gt;NCapA,0,SUMIF(CalcDebit,INDEX(PkCapA,185),CalcAmt)+SUMIF(CalcDebit2,INDEX(PkCapA,185),CalcAmt2)))</f>
        <v/>
      </c>
      <c r="F1889" s="19">
        <f>IF($B1889="","",IF(185&gt;NCapA,0,SUMIF(CalcCredit,INDEX(PkCapA,185),CalcAmt)+SUMIF(CalcCredit2,INDEX(PkCapA,185),CalcAmt2)))</f>
        <v/>
      </c>
      <c r="G1889" s="20">
        <f>IF($B1889="","",ROUND($E1889-$F1889,0))</f>
        <v/>
      </c>
      <c r="H1889" s="17">
        <f>IF($B1889="","",IF(ROUND($G1889,0)&gt;0,"بدهکار",IF(ROUND($G1889,0)&lt;0,"بستانکار","تسویه")))</f>
        <v/>
      </c>
    </row>
    <row r="1890">
      <c r="A1890" s="11">
        <f>IF($B1890="","",1881)</f>
        <v/>
      </c>
      <c r="B1890" s="12">
        <f>IF(186&gt;NCapA,"",IFERROR(IF(VLOOKUP(INDEX(PkCapA,186),AcctTblA,4,0)="","(بدون نام)",VLOOKUP(INDEX(PkCapA,186),AcctTblA,4,0)),"—"))</f>
        <v/>
      </c>
      <c r="C1890" s="13">
        <f>IF($B1890="","",IF(186&gt;NCapA,"",INDEX(PkCapA,186)))</f>
        <v/>
      </c>
      <c r="D1890" s="12">
        <f>IF($B1890="","","c")</f>
        <v/>
      </c>
      <c r="E1890" s="14">
        <f>IF($B1890="","",IF(186&gt;NCapA,0,SUMIF(CalcDebit,INDEX(PkCapA,186),CalcAmt)+SUMIF(CalcDebit2,INDEX(PkCapA,186),CalcAmt2)))</f>
        <v/>
      </c>
      <c r="F1890" s="14">
        <f>IF($B1890="","",IF(186&gt;NCapA,0,SUMIF(CalcCredit,INDEX(PkCapA,186),CalcAmt)+SUMIF(CalcCredit2,INDEX(PkCapA,186),CalcAmt2)))</f>
        <v/>
      </c>
      <c r="G1890" s="15">
        <f>IF($B1890="","",ROUND($E1890-$F1890,0))</f>
        <v/>
      </c>
      <c r="H1890" s="12">
        <f>IF($B1890="","",IF(ROUND($G1890,0)&gt;0,"بدهکار",IF(ROUND($G1890,0)&lt;0,"بستانکار","تسویه")))</f>
        <v/>
      </c>
    </row>
    <row r="1891">
      <c r="A1891" s="16">
        <f>IF($B1891="","",1882)</f>
        <v/>
      </c>
      <c r="B1891" s="17">
        <f>IF(187&gt;NCapA,"",IFERROR(IF(VLOOKUP(INDEX(PkCapA,187),AcctTblA,4,0)="","(بدون نام)",VLOOKUP(INDEX(PkCapA,187),AcctTblA,4,0)),"—"))</f>
        <v/>
      </c>
      <c r="C1891" s="18">
        <f>IF($B1891="","",IF(187&gt;NCapA,"",INDEX(PkCapA,187)))</f>
        <v/>
      </c>
      <c r="D1891" s="17">
        <f>IF($B1891="","","c")</f>
        <v/>
      </c>
      <c r="E1891" s="19">
        <f>IF($B1891="","",IF(187&gt;NCapA,0,SUMIF(CalcDebit,INDEX(PkCapA,187),CalcAmt)+SUMIF(CalcDebit2,INDEX(PkCapA,187),CalcAmt2)))</f>
        <v/>
      </c>
      <c r="F1891" s="19">
        <f>IF($B1891="","",IF(187&gt;NCapA,0,SUMIF(CalcCredit,INDEX(PkCapA,187),CalcAmt)+SUMIF(CalcCredit2,INDEX(PkCapA,187),CalcAmt2)))</f>
        <v/>
      </c>
      <c r="G1891" s="20">
        <f>IF($B1891="","",ROUND($E1891-$F1891,0))</f>
        <v/>
      </c>
      <c r="H1891" s="17">
        <f>IF($B1891="","",IF(ROUND($G1891,0)&gt;0,"بدهکار",IF(ROUND($G1891,0)&lt;0,"بستانکار","تسویه")))</f>
        <v/>
      </c>
    </row>
    <row r="1892">
      <c r="A1892" s="11">
        <f>IF($B1892="","",1883)</f>
        <v/>
      </c>
      <c r="B1892" s="12">
        <f>IF(188&gt;NCapA,"",IFERROR(IF(VLOOKUP(INDEX(PkCapA,188),AcctTblA,4,0)="","(بدون نام)",VLOOKUP(INDEX(PkCapA,188),AcctTblA,4,0)),"—"))</f>
        <v/>
      </c>
      <c r="C1892" s="13">
        <f>IF($B1892="","",IF(188&gt;NCapA,"",INDEX(PkCapA,188)))</f>
        <v/>
      </c>
      <c r="D1892" s="12">
        <f>IF($B1892="","","c")</f>
        <v/>
      </c>
      <c r="E1892" s="14">
        <f>IF($B1892="","",IF(188&gt;NCapA,0,SUMIF(CalcDebit,INDEX(PkCapA,188),CalcAmt)+SUMIF(CalcDebit2,INDEX(PkCapA,188),CalcAmt2)))</f>
        <v/>
      </c>
      <c r="F1892" s="14">
        <f>IF($B1892="","",IF(188&gt;NCapA,0,SUMIF(CalcCredit,INDEX(PkCapA,188),CalcAmt)+SUMIF(CalcCredit2,INDEX(PkCapA,188),CalcAmt2)))</f>
        <v/>
      </c>
      <c r="G1892" s="15">
        <f>IF($B1892="","",ROUND($E1892-$F1892,0))</f>
        <v/>
      </c>
      <c r="H1892" s="12">
        <f>IF($B1892="","",IF(ROUND($G1892,0)&gt;0,"بدهکار",IF(ROUND($G1892,0)&lt;0,"بستانکار","تسویه")))</f>
        <v/>
      </c>
    </row>
    <row r="1893">
      <c r="A1893" s="16">
        <f>IF($B1893="","",1884)</f>
        <v/>
      </c>
      <c r="B1893" s="17">
        <f>IF(189&gt;NCapA,"",IFERROR(IF(VLOOKUP(INDEX(PkCapA,189),AcctTblA,4,0)="","(بدون نام)",VLOOKUP(INDEX(PkCapA,189),AcctTblA,4,0)),"—"))</f>
        <v/>
      </c>
      <c r="C1893" s="18">
        <f>IF($B1893="","",IF(189&gt;NCapA,"",INDEX(PkCapA,189)))</f>
        <v/>
      </c>
      <c r="D1893" s="17">
        <f>IF($B1893="","","c")</f>
        <v/>
      </c>
      <c r="E1893" s="19">
        <f>IF($B1893="","",IF(189&gt;NCapA,0,SUMIF(CalcDebit,INDEX(PkCapA,189),CalcAmt)+SUMIF(CalcDebit2,INDEX(PkCapA,189),CalcAmt2)))</f>
        <v/>
      </c>
      <c r="F1893" s="19">
        <f>IF($B1893="","",IF(189&gt;NCapA,0,SUMIF(CalcCredit,INDEX(PkCapA,189),CalcAmt)+SUMIF(CalcCredit2,INDEX(PkCapA,189),CalcAmt2)))</f>
        <v/>
      </c>
      <c r="G1893" s="20">
        <f>IF($B1893="","",ROUND($E1893-$F1893,0))</f>
        <v/>
      </c>
      <c r="H1893" s="17">
        <f>IF($B1893="","",IF(ROUND($G1893,0)&gt;0,"بدهکار",IF(ROUND($G1893,0)&lt;0,"بستانکار","تسویه")))</f>
        <v/>
      </c>
    </row>
    <row r="1894">
      <c r="A1894" s="11">
        <f>IF($B1894="","",1885)</f>
        <v/>
      </c>
      <c r="B1894" s="12">
        <f>IF(190&gt;NCapA,"",IFERROR(IF(VLOOKUP(INDEX(PkCapA,190),AcctTblA,4,0)="","(بدون نام)",VLOOKUP(INDEX(PkCapA,190),AcctTblA,4,0)),"—"))</f>
        <v/>
      </c>
      <c r="C1894" s="13">
        <f>IF($B1894="","",IF(190&gt;NCapA,"",INDEX(PkCapA,190)))</f>
        <v/>
      </c>
      <c r="D1894" s="12">
        <f>IF($B1894="","","c")</f>
        <v/>
      </c>
      <c r="E1894" s="14">
        <f>IF($B1894="","",IF(190&gt;NCapA,0,SUMIF(CalcDebit,INDEX(PkCapA,190),CalcAmt)+SUMIF(CalcDebit2,INDEX(PkCapA,190),CalcAmt2)))</f>
        <v/>
      </c>
      <c r="F1894" s="14">
        <f>IF($B1894="","",IF(190&gt;NCapA,0,SUMIF(CalcCredit,INDEX(PkCapA,190),CalcAmt)+SUMIF(CalcCredit2,INDEX(PkCapA,190),CalcAmt2)))</f>
        <v/>
      </c>
      <c r="G1894" s="15">
        <f>IF($B1894="","",ROUND($E1894-$F1894,0))</f>
        <v/>
      </c>
      <c r="H1894" s="12">
        <f>IF($B1894="","",IF(ROUND($G1894,0)&gt;0,"بدهکار",IF(ROUND($G1894,0)&lt;0,"بستانکار","تسویه")))</f>
        <v/>
      </c>
    </row>
    <row r="1895">
      <c r="A1895" s="16">
        <f>IF($B1895="","",1886)</f>
        <v/>
      </c>
      <c r="B1895" s="17">
        <f>IF(191&gt;NCapA,"",IFERROR(IF(VLOOKUP(INDEX(PkCapA,191),AcctTblA,4,0)="","(بدون نام)",VLOOKUP(INDEX(PkCapA,191),AcctTblA,4,0)),"—"))</f>
        <v/>
      </c>
      <c r="C1895" s="18">
        <f>IF($B1895="","",IF(191&gt;NCapA,"",INDEX(PkCapA,191)))</f>
        <v/>
      </c>
      <c r="D1895" s="17">
        <f>IF($B1895="","","c")</f>
        <v/>
      </c>
      <c r="E1895" s="19">
        <f>IF($B1895="","",IF(191&gt;NCapA,0,SUMIF(CalcDebit,INDEX(PkCapA,191),CalcAmt)+SUMIF(CalcDebit2,INDEX(PkCapA,191),CalcAmt2)))</f>
        <v/>
      </c>
      <c r="F1895" s="19">
        <f>IF($B1895="","",IF(191&gt;NCapA,0,SUMIF(CalcCredit,INDEX(PkCapA,191),CalcAmt)+SUMIF(CalcCredit2,INDEX(PkCapA,191),CalcAmt2)))</f>
        <v/>
      </c>
      <c r="G1895" s="20">
        <f>IF($B1895="","",ROUND($E1895-$F1895,0))</f>
        <v/>
      </c>
      <c r="H1895" s="17">
        <f>IF($B1895="","",IF(ROUND($G1895,0)&gt;0,"بدهکار",IF(ROUND($G1895,0)&lt;0,"بستانکار","تسویه")))</f>
        <v/>
      </c>
    </row>
    <row r="1896">
      <c r="A1896" s="11">
        <f>IF($B1896="","",1887)</f>
        <v/>
      </c>
      <c r="B1896" s="12">
        <f>IF(192&gt;NCapA,"",IFERROR(IF(VLOOKUP(INDEX(PkCapA,192),AcctTblA,4,0)="","(بدون نام)",VLOOKUP(INDEX(PkCapA,192),AcctTblA,4,0)),"—"))</f>
        <v/>
      </c>
      <c r="C1896" s="13">
        <f>IF($B1896="","",IF(192&gt;NCapA,"",INDEX(PkCapA,192)))</f>
        <v/>
      </c>
      <c r="D1896" s="12">
        <f>IF($B1896="","","c")</f>
        <v/>
      </c>
      <c r="E1896" s="14">
        <f>IF($B1896="","",IF(192&gt;NCapA,0,SUMIF(CalcDebit,INDEX(PkCapA,192),CalcAmt)+SUMIF(CalcDebit2,INDEX(PkCapA,192),CalcAmt2)))</f>
        <v/>
      </c>
      <c r="F1896" s="14">
        <f>IF($B1896="","",IF(192&gt;NCapA,0,SUMIF(CalcCredit,INDEX(PkCapA,192),CalcAmt)+SUMIF(CalcCredit2,INDEX(PkCapA,192),CalcAmt2)))</f>
        <v/>
      </c>
      <c r="G1896" s="15">
        <f>IF($B1896="","",ROUND($E1896-$F1896,0))</f>
        <v/>
      </c>
      <c r="H1896" s="12">
        <f>IF($B1896="","",IF(ROUND($G1896,0)&gt;0,"بدهکار",IF(ROUND($G1896,0)&lt;0,"بستانکار","تسویه")))</f>
        <v/>
      </c>
    </row>
    <row r="1897">
      <c r="A1897" s="16">
        <f>IF($B1897="","",1888)</f>
        <v/>
      </c>
      <c r="B1897" s="17">
        <f>IF(193&gt;NCapA,"",IFERROR(IF(VLOOKUP(INDEX(PkCapA,193),AcctTblA,4,0)="","(بدون نام)",VLOOKUP(INDEX(PkCapA,193),AcctTblA,4,0)),"—"))</f>
        <v/>
      </c>
      <c r="C1897" s="18">
        <f>IF($B1897="","",IF(193&gt;NCapA,"",INDEX(PkCapA,193)))</f>
        <v/>
      </c>
      <c r="D1897" s="17">
        <f>IF($B1897="","","c")</f>
        <v/>
      </c>
      <c r="E1897" s="19">
        <f>IF($B1897="","",IF(193&gt;NCapA,0,SUMIF(CalcDebit,INDEX(PkCapA,193),CalcAmt)+SUMIF(CalcDebit2,INDEX(PkCapA,193),CalcAmt2)))</f>
        <v/>
      </c>
      <c r="F1897" s="19">
        <f>IF($B1897="","",IF(193&gt;NCapA,0,SUMIF(CalcCredit,INDEX(PkCapA,193),CalcAmt)+SUMIF(CalcCredit2,INDEX(PkCapA,193),CalcAmt2)))</f>
        <v/>
      </c>
      <c r="G1897" s="20">
        <f>IF($B1897="","",ROUND($E1897-$F1897,0))</f>
        <v/>
      </c>
      <c r="H1897" s="17">
        <f>IF($B1897="","",IF(ROUND($G1897,0)&gt;0,"بدهکار",IF(ROUND($G1897,0)&lt;0,"بستانکار","تسویه")))</f>
        <v/>
      </c>
    </row>
    <row r="1898">
      <c r="A1898" s="11">
        <f>IF($B1898="","",1889)</f>
        <v/>
      </c>
      <c r="B1898" s="12">
        <f>IF(194&gt;NCapA,"",IFERROR(IF(VLOOKUP(INDEX(PkCapA,194),AcctTblA,4,0)="","(بدون نام)",VLOOKUP(INDEX(PkCapA,194),AcctTblA,4,0)),"—"))</f>
        <v/>
      </c>
      <c r="C1898" s="13">
        <f>IF($B1898="","",IF(194&gt;NCapA,"",INDEX(PkCapA,194)))</f>
        <v/>
      </c>
      <c r="D1898" s="12">
        <f>IF($B1898="","","c")</f>
        <v/>
      </c>
      <c r="E1898" s="14">
        <f>IF($B1898="","",IF(194&gt;NCapA,0,SUMIF(CalcDebit,INDEX(PkCapA,194),CalcAmt)+SUMIF(CalcDebit2,INDEX(PkCapA,194),CalcAmt2)))</f>
        <v/>
      </c>
      <c r="F1898" s="14">
        <f>IF($B1898="","",IF(194&gt;NCapA,0,SUMIF(CalcCredit,INDEX(PkCapA,194),CalcAmt)+SUMIF(CalcCredit2,INDEX(PkCapA,194),CalcAmt2)))</f>
        <v/>
      </c>
      <c r="G1898" s="15">
        <f>IF($B1898="","",ROUND($E1898-$F1898,0))</f>
        <v/>
      </c>
      <c r="H1898" s="12">
        <f>IF($B1898="","",IF(ROUND($G1898,0)&gt;0,"بدهکار",IF(ROUND($G1898,0)&lt;0,"بستانکار","تسویه")))</f>
        <v/>
      </c>
    </row>
    <row r="1899">
      <c r="A1899" s="16">
        <f>IF($B1899="","",1890)</f>
        <v/>
      </c>
      <c r="B1899" s="17">
        <f>IF(195&gt;NCapA,"",IFERROR(IF(VLOOKUP(INDEX(PkCapA,195),AcctTblA,4,0)="","(بدون نام)",VLOOKUP(INDEX(PkCapA,195),AcctTblA,4,0)),"—"))</f>
        <v/>
      </c>
      <c r="C1899" s="18">
        <f>IF($B1899="","",IF(195&gt;NCapA,"",INDEX(PkCapA,195)))</f>
        <v/>
      </c>
      <c r="D1899" s="17">
        <f>IF($B1899="","","c")</f>
        <v/>
      </c>
      <c r="E1899" s="19">
        <f>IF($B1899="","",IF(195&gt;NCapA,0,SUMIF(CalcDebit,INDEX(PkCapA,195),CalcAmt)+SUMIF(CalcDebit2,INDEX(PkCapA,195),CalcAmt2)))</f>
        <v/>
      </c>
      <c r="F1899" s="19">
        <f>IF($B1899="","",IF(195&gt;NCapA,0,SUMIF(CalcCredit,INDEX(PkCapA,195),CalcAmt)+SUMIF(CalcCredit2,INDEX(PkCapA,195),CalcAmt2)))</f>
        <v/>
      </c>
      <c r="G1899" s="20">
        <f>IF($B1899="","",ROUND($E1899-$F1899,0))</f>
        <v/>
      </c>
      <c r="H1899" s="17">
        <f>IF($B1899="","",IF(ROUND($G1899,0)&gt;0,"بدهکار",IF(ROUND($G1899,0)&lt;0,"بستانکار","تسویه")))</f>
        <v/>
      </c>
    </row>
    <row r="1900">
      <c r="A1900" s="11">
        <f>IF($B1900="","",1891)</f>
        <v/>
      </c>
      <c r="B1900" s="12">
        <f>IF(196&gt;NCapA,"",IFERROR(IF(VLOOKUP(INDEX(PkCapA,196),AcctTblA,4,0)="","(بدون نام)",VLOOKUP(INDEX(PkCapA,196),AcctTblA,4,0)),"—"))</f>
        <v/>
      </c>
      <c r="C1900" s="13">
        <f>IF($B1900="","",IF(196&gt;NCapA,"",INDEX(PkCapA,196)))</f>
        <v/>
      </c>
      <c r="D1900" s="12">
        <f>IF($B1900="","","c")</f>
        <v/>
      </c>
      <c r="E1900" s="14">
        <f>IF($B1900="","",IF(196&gt;NCapA,0,SUMIF(CalcDebit,INDEX(PkCapA,196),CalcAmt)+SUMIF(CalcDebit2,INDEX(PkCapA,196),CalcAmt2)))</f>
        <v/>
      </c>
      <c r="F1900" s="14">
        <f>IF($B1900="","",IF(196&gt;NCapA,0,SUMIF(CalcCredit,INDEX(PkCapA,196),CalcAmt)+SUMIF(CalcCredit2,INDEX(PkCapA,196),CalcAmt2)))</f>
        <v/>
      </c>
      <c r="G1900" s="15">
        <f>IF($B1900="","",ROUND($E1900-$F1900,0))</f>
        <v/>
      </c>
      <c r="H1900" s="12">
        <f>IF($B1900="","",IF(ROUND($G1900,0)&gt;0,"بدهکار",IF(ROUND($G1900,0)&lt;0,"بستانکار","تسویه")))</f>
        <v/>
      </c>
    </row>
    <row r="1901">
      <c r="A1901" s="16">
        <f>IF($B1901="","",1892)</f>
        <v/>
      </c>
      <c r="B1901" s="17">
        <f>IF(197&gt;NCapA,"",IFERROR(IF(VLOOKUP(INDEX(PkCapA,197),AcctTblA,4,0)="","(بدون نام)",VLOOKUP(INDEX(PkCapA,197),AcctTblA,4,0)),"—"))</f>
        <v/>
      </c>
      <c r="C1901" s="18">
        <f>IF($B1901="","",IF(197&gt;NCapA,"",INDEX(PkCapA,197)))</f>
        <v/>
      </c>
      <c r="D1901" s="17">
        <f>IF($B1901="","","c")</f>
        <v/>
      </c>
      <c r="E1901" s="19">
        <f>IF($B1901="","",IF(197&gt;NCapA,0,SUMIF(CalcDebit,INDEX(PkCapA,197),CalcAmt)+SUMIF(CalcDebit2,INDEX(PkCapA,197),CalcAmt2)))</f>
        <v/>
      </c>
      <c r="F1901" s="19">
        <f>IF($B1901="","",IF(197&gt;NCapA,0,SUMIF(CalcCredit,INDEX(PkCapA,197),CalcAmt)+SUMIF(CalcCredit2,INDEX(PkCapA,197),CalcAmt2)))</f>
        <v/>
      </c>
      <c r="G1901" s="20">
        <f>IF($B1901="","",ROUND($E1901-$F1901,0))</f>
        <v/>
      </c>
      <c r="H1901" s="17">
        <f>IF($B1901="","",IF(ROUND($G1901,0)&gt;0,"بدهکار",IF(ROUND($G1901,0)&lt;0,"بستانکار","تسویه")))</f>
        <v/>
      </c>
    </row>
    <row r="1902">
      <c r="A1902" s="11">
        <f>IF($B1902="","",1893)</f>
        <v/>
      </c>
      <c r="B1902" s="12">
        <f>IF(198&gt;NCapA,"",IFERROR(IF(VLOOKUP(INDEX(PkCapA,198),AcctTblA,4,0)="","(بدون نام)",VLOOKUP(INDEX(PkCapA,198),AcctTblA,4,0)),"—"))</f>
        <v/>
      </c>
      <c r="C1902" s="13">
        <f>IF($B1902="","",IF(198&gt;NCapA,"",INDEX(PkCapA,198)))</f>
        <v/>
      </c>
      <c r="D1902" s="12">
        <f>IF($B1902="","","c")</f>
        <v/>
      </c>
      <c r="E1902" s="14">
        <f>IF($B1902="","",IF(198&gt;NCapA,0,SUMIF(CalcDebit,INDEX(PkCapA,198),CalcAmt)+SUMIF(CalcDebit2,INDEX(PkCapA,198),CalcAmt2)))</f>
        <v/>
      </c>
      <c r="F1902" s="14">
        <f>IF($B1902="","",IF(198&gt;NCapA,0,SUMIF(CalcCredit,INDEX(PkCapA,198),CalcAmt)+SUMIF(CalcCredit2,INDEX(PkCapA,198),CalcAmt2)))</f>
        <v/>
      </c>
      <c r="G1902" s="15">
        <f>IF($B1902="","",ROUND($E1902-$F1902,0))</f>
        <v/>
      </c>
      <c r="H1902" s="12">
        <f>IF($B1902="","",IF(ROUND($G1902,0)&gt;0,"بدهکار",IF(ROUND($G1902,0)&lt;0,"بستانکار","تسویه")))</f>
        <v/>
      </c>
    </row>
    <row r="1903">
      <c r="A1903" s="16">
        <f>IF($B1903="","",1894)</f>
        <v/>
      </c>
      <c r="B1903" s="17">
        <f>IF(199&gt;NCapA,"",IFERROR(IF(VLOOKUP(INDEX(PkCapA,199),AcctTblA,4,0)="","(بدون نام)",VLOOKUP(INDEX(PkCapA,199),AcctTblA,4,0)),"—"))</f>
        <v/>
      </c>
      <c r="C1903" s="18">
        <f>IF($B1903="","",IF(199&gt;NCapA,"",INDEX(PkCapA,199)))</f>
        <v/>
      </c>
      <c r="D1903" s="17">
        <f>IF($B1903="","","c")</f>
        <v/>
      </c>
      <c r="E1903" s="19">
        <f>IF($B1903="","",IF(199&gt;NCapA,0,SUMIF(CalcDebit,INDEX(PkCapA,199),CalcAmt)+SUMIF(CalcDebit2,INDEX(PkCapA,199),CalcAmt2)))</f>
        <v/>
      </c>
      <c r="F1903" s="19">
        <f>IF($B1903="","",IF(199&gt;NCapA,0,SUMIF(CalcCredit,INDEX(PkCapA,199),CalcAmt)+SUMIF(CalcCredit2,INDEX(PkCapA,199),CalcAmt2)))</f>
        <v/>
      </c>
      <c r="G1903" s="20">
        <f>IF($B1903="","",ROUND($E1903-$F1903,0))</f>
        <v/>
      </c>
      <c r="H1903" s="17">
        <f>IF($B1903="","",IF(ROUND($G1903,0)&gt;0,"بدهکار",IF(ROUND($G1903,0)&lt;0,"بستانکار","تسویه")))</f>
        <v/>
      </c>
    </row>
    <row r="1904">
      <c r="A1904" s="11">
        <f>IF($B1904="","",1895)</f>
        <v/>
      </c>
      <c r="B1904" s="12">
        <f>IF(200&gt;NCapA,"",IFERROR(IF(VLOOKUP(INDEX(PkCapA,200),AcctTblA,4,0)="","(بدون نام)",VLOOKUP(INDEX(PkCapA,200),AcctTblA,4,0)),"—"))</f>
        <v/>
      </c>
      <c r="C1904" s="13">
        <f>IF($B1904="","",IF(200&gt;NCapA,"",INDEX(PkCapA,200)))</f>
        <v/>
      </c>
      <c r="D1904" s="12">
        <f>IF($B1904="","","c")</f>
        <v/>
      </c>
      <c r="E1904" s="14">
        <f>IF($B1904="","",IF(200&gt;NCapA,0,SUMIF(CalcDebit,INDEX(PkCapA,200),CalcAmt)+SUMIF(CalcDebit2,INDEX(PkCapA,200),CalcAmt2)))</f>
        <v/>
      </c>
      <c r="F1904" s="14">
        <f>IF($B1904="","",IF(200&gt;NCapA,0,SUMIF(CalcCredit,INDEX(PkCapA,200),CalcAmt)+SUMIF(CalcCredit2,INDEX(PkCapA,200),CalcAmt2)))</f>
        <v/>
      </c>
      <c r="G1904" s="15">
        <f>IF($B1904="","",ROUND($E1904-$F1904,0))</f>
        <v/>
      </c>
      <c r="H1904" s="12">
        <f>IF($B1904="","",IF(ROUND($G1904,0)&gt;0,"بدهکار",IF(ROUND($G1904,0)&lt;0,"بستانکار","تسویه")))</f>
        <v/>
      </c>
    </row>
    <row r="1905">
      <c r="A1905" s="16">
        <f>IF($B1905="","",1896)</f>
        <v/>
      </c>
      <c r="B1905" s="17">
        <f>IF(201&gt;NCapA,"",IFERROR(IF(VLOOKUP(INDEX(PkCapA,201),AcctTblA,4,0)="","(بدون نام)",VLOOKUP(INDEX(PkCapA,201),AcctTblA,4,0)),"—"))</f>
        <v/>
      </c>
      <c r="C1905" s="18">
        <f>IF($B1905="","",IF(201&gt;NCapA,"",INDEX(PkCapA,201)))</f>
        <v/>
      </c>
      <c r="D1905" s="17">
        <f>IF($B1905="","","c")</f>
        <v/>
      </c>
      <c r="E1905" s="19">
        <f>IF($B1905="","",IF(201&gt;NCapA,0,SUMIF(CalcDebit,INDEX(PkCapA,201),CalcAmt)+SUMIF(CalcDebit2,INDEX(PkCapA,201),CalcAmt2)))</f>
        <v/>
      </c>
      <c r="F1905" s="19">
        <f>IF($B1905="","",IF(201&gt;NCapA,0,SUMIF(CalcCredit,INDEX(PkCapA,201),CalcAmt)+SUMIF(CalcCredit2,INDEX(PkCapA,201),CalcAmt2)))</f>
        <v/>
      </c>
      <c r="G1905" s="20">
        <f>IF($B1905="","",ROUND($E1905-$F1905,0))</f>
        <v/>
      </c>
      <c r="H1905" s="17">
        <f>IF($B1905="","",IF(ROUND($G1905,0)&gt;0,"بدهکار",IF(ROUND($G1905,0)&lt;0,"بستانکار","تسویه")))</f>
        <v/>
      </c>
    </row>
    <row r="1906">
      <c r="A1906" s="11">
        <f>IF($B1906="","",1897)</f>
        <v/>
      </c>
      <c r="B1906" s="12">
        <f>IF(202&gt;NCapA,"",IFERROR(IF(VLOOKUP(INDEX(PkCapA,202),AcctTblA,4,0)="","(بدون نام)",VLOOKUP(INDEX(PkCapA,202),AcctTblA,4,0)),"—"))</f>
        <v/>
      </c>
      <c r="C1906" s="13">
        <f>IF($B1906="","",IF(202&gt;NCapA,"",INDEX(PkCapA,202)))</f>
        <v/>
      </c>
      <c r="D1906" s="12">
        <f>IF($B1906="","","c")</f>
        <v/>
      </c>
      <c r="E1906" s="14">
        <f>IF($B1906="","",IF(202&gt;NCapA,0,SUMIF(CalcDebit,INDEX(PkCapA,202),CalcAmt)+SUMIF(CalcDebit2,INDEX(PkCapA,202),CalcAmt2)))</f>
        <v/>
      </c>
      <c r="F1906" s="14">
        <f>IF($B1906="","",IF(202&gt;NCapA,0,SUMIF(CalcCredit,INDEX(PkCapA,202),CalcAmt)+SUMIF(CalcCredit2,INDEX(PkCapA,202),CalcAmt2)))</f>
        <v/>
      </c>
      <c r="G1906" s="15">
        <f>IF($B1906="","",ROUND($E1906-$F1906,0))</f>
        <v/>
      </c>
      <c r="H1906" s="12">
        <f>IF($B1906="","",IF(ROUND($G1906,0)&gt;0,"بدهکار",IF(ROUND($G1906,0)&lt;0,"بستانکار","تسویه")))</f>
        <v/>
      </c>
    </row>
    <row r="1907">
      <c r="A1907" s="16">
        <f>IF($B1907="","",1898)</f>
        <v/>
      </c>
      <c r="B1907" s="17">
        <f>IF(203&gt;NCapA,"",IFERROR(IF(VLOOKUP(INDEX(PkCapA,203),AcctTblA,4,0)="","(بدون نام)",VLOOKUP(INDEX(PkCapA,203),AcctTblA,4,0)),"—"))</f>
        <v/>
      </c>
      <c r="C1907" s="18">
        <f>IF($B1907="","",IF(203&gt;NCapA,"",INDEX(PkCapA,203)))</f>
        <v/>
      </c>
      <c r="D1907" s="17">
        <f>IF($B1907="","","c")</f>
        <v/>
      </c>
      <c r="E1907" s="19">
        <f>IF($B1907="","",IF(203&gt;NCapA,0,SUMIF(CalcDebit,INDEX(PkCapA,203),CalcAmt)+SUMIF(CalcDebit2,INDEX(PkCapA,203),CalcAmt2)))</f>
        <v/>
      </c>
      <c r="F1907" s="19">
        <f>IF($B1907="","",IF(203&gt;NCapA,0,SUMIF(CalcCredit,INDEX(PkCapA,203),CalcAmt)+SUMIF(CalcCredit2,INDEX(PkCapA,203),CalcAmt2)))</f>
        <v/>
      </c>
      <c r="G1907" s="20">
        <f>IF($B1907="","",ROUND($E1907-$F1907,0))</f>
        <v/>
      </c>
      <c r="H1907" s="17">
        <f>IF($B1907="","",IF(ROUND($G1907,0)&gt;0,"بدهکار",IF(ROUND($G1907,0)&lt;0,"بستانکار","تسویه")))</f>
        <v/>
      </c>
    </row>
    <row r="1908">
      <c r="A1908" s="11">
        <f>IF($B1908="","",1899)</f>
        <v/>
      </c>
      <c r="B1908" s="12">
        <f>IF(204&gt;NCapA,"",IFERROR(IF(VLOOKUP(INDEX(PkCapA,204),AcctTblA,4,0)="","(بدون نام)",VLOOKUP(INDEX(PkCapA,204),AcctTblA,4,0)),"—"))</f>
        <v/>
      </c>
      <c r="C1908" s="13">
        <f>IF($B1908="","",IF(204&gt;NCapA,"",INDEX(PkCapA,204)))</f>
        <v/>
      </c>
      <c r="D1908" s="12">
        <f>IF($B1908="","","c")</f>
        <v/>
      </c>
      <c r="E1908" s="14">
        <f>IF($B1908="","",IF(204&gt;NCapA,0,SUMIF(CalcDebit,INDEX(PkCapA,204),CalcAmt)+SUMIF(CalcDebit2,INDEX(PkCapA,204),CalcAmt2)))</f>
        <v/>
      </c>
      <c r="F1908" s="14">
        <f>IF($B1908="","",IF(204&gt;NCapA,0,SUMIF(CalcCredit,INDEX(PkCapA,204),CalcAmt)+SUMIF(CalcCredit2,INDEX(PkCapA,204),CalcAmt2)))</f>
        <v/>
      </c>
      <c r="G1908" s="15">
        <f>IF($B1908="","",ROUND($E1908-$F1908,0))</f>
        <v/>
      </c>
      <c r="H1908" s="12">
        <f>IF($B1908="","",IF(ROUND($G1908,0)&gt;0,"بدهکار",IF(ROUND($G1908,0)&lt;0,"بستانکار","تسویه")))</f>
        <v/>
      </c>
    </row>
    <row r="1909">
      <c r="A1909" s="16">
        <f>IF($B1909="","",1900)</f>
        <v/>
      </c>
      <c r="B1909" s="17">
        <f>IF(205&gt;NCapA,"",IFERROR(IF(VLOOKUP(INDEX(PkCapA,205),AcctTblA,4,0)="","(بدون نام)",VLOOKUP(INDEX(PkCapA,205),AcctTblA,4,0)),"—"))</f>
        <v/>
      </c>
      <c r="C1909" s="18">
        <f>IF($B1909="","",IF(205&gt;NCapA,"",INDEX(PkCapA,205)))</f>
        <v/>
      </c>
      <c r="D1909" s="17">
        <f>IF($B1909="","","c")</f>
        <v/>
      </c>
      <c r="E1909" s="19">
        <f>IF($B1909="","",IF(205&gt;NCapA,0,SUMIF(CalcDebit,INDEX(PkCapA,205),CalcAmt)+SUMIF(CalcDebit2,INDEX(PkCapA,205),CalcAmt2)))</f>
        <v/>
      </c>
      <c r="F1909" s="19">
        <f>IF($B1909="","",IF(205&gt;NCapA,0,SUMIF(CalcCredit,INDEX(PkCapA,205),CalcAmt)+SUMIF(CalcCredit2,INDEX(PkCapA,205),CalcAmt2)))</f>
        <v/>
      </c>
      <c r="G1909" s="20">
        <f>IF($B1909="","",ROUND($E1909-$F1909,0))</f>
        <v/>
      </c>
      <c r="H1909" s="17">
        <f>IF($B1909="","",IF(ROUND($G1909,0)&gt;0,"بدهکار",IF(ROUND($G1909,0)&lt;0,"بستانکار","تسویه")))</f>
        <v/>
      </c>
    </row>
    <row r="1910">
      <c r="A1910" s="11">
        <f>IF($B1910="","",1901)</f>
        <v/>
      </c>
      <c r="B1910" s="12">
        <f>IF(206&gt;NCapA,"",IFERROR(IF(VLOOKUP(INDEX(PkCapA,206),AcctTblA,4,0)="","(بدون نام)",VLOOKUP(INDEX(PkCapA,206),AcctTblA,4,0)),"—"))</f>
        <v/>
      </c>
      <c r="C1910" s="13">
        <f>IF($B1910="","",IF(206&gt;NCapA,"",INDEX(PkCapA,206)))</f>
        <v/>
      </c>
      <c r="D1910" s="12">
        <f>IF($B1910="","","c")</f>
        <v/>
      </c>
      <c r="E1910" s="14">
        <f>IF($B1910="","",IF(206&gt;NCapA,0,SUMIF(CalcDebit,INDEX(PkCapA,206),CalcAmt)+SUMIF(CalcDebit2,INDEX(PkCapA,206),CalcAmt2)))</f>
        <v/>
      </c>
      <c r="F1910" s="14">
        <f>IF($B1910="","",IF(206&gt;NCapA,0,SUMIF(CalcCredit,INDEX(PkCapA,206),CalcAmt)+SUMIF(CalcCredit2,INDEX(PkCapA,206),CalcAmt2)))</f>
        <v/>
      </c>
      <c r="G1910" s="15">
        <f>IF($B1910="","",ROUND($E1910-$F1910,0))</f>
        <v/>
      </c>
      <c r="H1910" s="12">
        <f>IF($B1910="","",IF(ROUND($G1910,0)&gt;0,"بدهکار",IF(ROUND($G1910,0)&lt;0,"بستانکار","تسویه")))</f>
        <v/>
      </c>
    </row>
    <row r="1911">
      <c r="A1911" s="16">
        <f>IF($B1911="","",1902)</f>
        <v/>
      </c>
      <c r="B1911" s="17">
        <f>IF(207&gt;NCapA,"",IFERROR(IF(VLOOKUP(INDEX(PkCapA,207),AcctTblA,4,0)="","(بدون نام)",VLOOKUP(INDEX(PkCapA,207),AcctTblA,4,0)),"—"))</f>
        <v/>
      </c>
      <c r="C1911" s="18">
        <f>IF($B1911="","",IF(207&gt;NCapA,"",INDEX(PkCapA,207)))</f>
        <v/>
      </c>
      <c r="D1911" s="17">
        <f>IF($B1911="","","c")</f>
        <v/>
      </c>
      <c r="E1911" s="19">
        <f>IF($B1911="","",IF(207&gt;NCapA,0,SUMIF(CalcDebit,INDEX(PkCapA,207),CalcAmt)+SUMIF(CalcDebit2,INDEX(PkCapA,207),CalcAmt2)))</f>
        <v/>
      </c>
      <c r="F1911" s="19">
        <f>IF($B1911="","",IF(207&gt;NCapA,0,SUMIF(CalcCredit,INDEX(PkCapA,207),CalcAmt)+SUMIF(CalcCredit2,INDEX(PkCapA,207),CalcAmt2)))</f>
        <v/>
      </c>
      <c r="G1911" s="20">
        <f>IF($B1911="","",ROUND($E1911-$F1911,0))</f>
        <v/>
      </c>
      <c r="H1911" s="17">
        <f>IF($B1911="","",IF(ROUND($G1911,0)&gt;0,"بدهکار",IF(ROUND($G1911,0)&lt;0,"بستانکار","تسویه")))</f>
        <v/>
      </c>
    </row>
    <row r="1912">
      <c r="A1912" s="11">
        <f>IF($B1912="","",1903)</f>
        <v/>
      </c>
      <c r="B1912" s="12">
        <f>IF(208&gt;NCapA,"",IFERROR(IF(VLOOKUP(INDEX(PkCapA,208),AcctTblA,4,0)="","(بدون نام)",VLOOKUP(INDEX(PkCapA,208),AcctTblA,4,0)),"—"))</f>
        <v/>
      </c>
      <c r="C1912" s="13">
        <f>IF($B1912="","",IF(208&gt;NCapA,"",INDEX(PkCapA,208)))</f>
        <v/>
      </c>
      <c r="D1912" s="12">
        <f>IF($B1912="","","c")</f>
        <v/>
      </c>
      <c r="E1912" s="14">
        <f>IF($B1912="","",IF(208&gt;NCapA,0,SUMIF(CalcDebit,INDEX(PkCapA,208),CalcAmt)+SUMIF(CalcDebit2,INDEX(PkCapA,208),CalcAmt2)))</f>
        <v/>
      </c>
      <c r="F1912" s="14">
        <f>IF($B1912="","",IF(208&gt;NCapA,0,SUMIF(CalcCredit,INDEX(PkCapA,208),CalcAmt)+SUMIF(CalcCredit2,INDEX(PkCapA,208),CalcAmt2)))</f>
        <v/>
      </c>
      <c r="G1912" s="15">
        <f>IF($B1912="","",ROUND($E1912-$F1912,0))</f>
        <v/>
      </c>
      <c r="H1912" s="12">
        <f>IF($B1912="","",IF(ROUND($G1912,0)&gt;0,"بدهکار",IF(ROUND($G1912,0)&lt;0,"بستانکار","تسویه")))</f>
        <v/>
      </c>
    </row>
    <row r="1913">
      <c r="A1913" s="16">
        <f>IF($B1913="","",1904)</f>
        <v/>
      </c>
      <c r="B1913" s="17">
        <f>IF(209&gt;NCapA,"",IFERROR(IF(VLOOKUP(INDEX(PkCapA,209),AcctTblA,4,0)="","(بدون نام)",VLOOKUP(INDEX(PkCapA,209),AcctTblA,4,0)),"—"))</f>
        <v/>
      </c>
      <c r="C1913" s="18">
        <f>IF($B1913="","",IF(209&gt;NCapA,"",INDEX(PkCapA,209)))</f>
        <v/>
      </c>
      <c r="D1913" s="17">
        <f>IF($B1913="","","c")</f>
        <v/>
      </c>
      <c r="E1913" s="19">
        <f>IF($B1913="","",IF(209&gt;NCapA,0,SUMIF(CalcDebit,INDEX(PkCapA,209),CalcAmt)+SUMIF(CalcDebit2,INDEX(PkCapA,209),CalcAmt2)))</f>
        <v/>
      </c>
      <c r="F1913" s="19">
        <f>IF($B1913="","",IF(209&gt;NCapA,0,SUMIF(CalcCredit,INDEX(PkCapA,209),CalcAmt)+SUMIF(CalcCredit2,INDEX(PkCapA,209),CalcAmt2)))</f>
        <v/>
      </c>
      <c r="G1913" s="20">
        <f>IF($B1913="","",ROUND($E1913-$F1913,0))</f>
        <v/>
      </c>
      <c r="H1913" s="17">
        <f>IF($B1913="","",IF(ROUND($G1913,0)&gt;0,"بدهکار",IF(ROUND($G1913,0)&lt;0,"بستانکار","تسویه")))</f>
        <v/>
      </c>
    </row>
    <row r="1914">
      <c r="A1914" s="11">
        <f>IF($B1914="","",1905)</f>
        <v/>
      </c>
      <c r="B1914" s="12">
        <f>IF(210&gt;NCapA,"",IFERROR(IF(VLOOKUP(INDEX(PkCapA,210),AcctTblA,4,0)="","(بدون نام)",VLOOKUP(INDEX(PkCapA,210),AcctTblA,4,0)),"—"))</f>
        <v/>
      </c>
      <c r="C1914" s="13">
        <f>IF($B1914="","",IF(210&gt;NCapA,"",INDEX(PkCapA,210)))</f>
        <v/>
      </c>
      <c r="D1914" s="12">
        <f>IF($B1914="","","c")</f>
        <v/>
      </c>
      <c r="E1914" s="14">
        <f>IF($B1914="","",IF(210&gt;NCapA,0,SUMIF(CalcDebit,INDEX(PkCapA,210),CalcAmt)+SUMIF(CalcDebit2,INDEX(PkCapA,210),CalcAmt2)))</f>
        <v/>
      </c>
      <c r="F1914" s="14">
        <f>IF($B1914="","",IF(210&gt;NCapA,0,SUMIF(CalcCredit,INDEX(PkCapA,210),CalcAmt)+SUMIF(CalcCredit2,INDEX(PkCapA,210),CalcAmt2)))</f>
        <v/>
      </c>
      <c r="G1914" s="15">
        <f>IF($B1914="","",ROUND($E1914-$F1914,0))</f>
        <v/>
      </c>
      <c r="H1914" s="12">
        <f>IF($B1914="","",IF(ROUND($G1914,0)&gt;0,"بدهکار",IF(ROUND($G1914,0)&lt;0,"بستانکار","تسویه")))</f>
        <v/>
      </c>
    </row>
    <row r="1915">
      <c r="A1915" s="16">
        <f>IF($B1915="","",1906)</f>
        <v/>
      </c>
      <c r="B1915" s="17">
        <f>IF(211&gt;NCapA,"",IFERROR(IF(VLOOKUP(INDEX(PkCapA,211),AcctTblA,4,0)="","(بدون نام)",VLOOKUP(INDEX(PkCapA,211),AcctTblA,4,0)),"—"))</f>
        <v/>
      </c>
      <c r="C1915" s="18">
        <f>IF($B1915="","",IF(211&gt;NCapA,"",INDEX(PkCapA,211)))</f>
        <v/>
      </c>
      <c r="D1915" s="17">
        <f>IF($B1915="","","c")</f>
        <v/>
      </c>
      <c r="E1915" s="19">
        <f>IF($B1915="","",IF(211&gt;NCapA,0,SUMIF(CalcDebit,INDEX(PkCapA,211),CalcAmt)+SUMIF(CalcDebit2,INDEX(PkCapA,211),CalcAmt2)))</f>
        <v/>
      </c>
      <c r="F1915" s="19">
        <f>IF($B1915="","",IF(211&gt;NCapA,0,SUMIF(CalcCredit,INDEX(PkCapA,211),CalcAmt)+SUMIF(CalcCredit2,INDEX(PkCapA,211),CalcAmt2)))</f>
        <v/>
      </c>
      <c r="G1915" s="20">
        <f>IF($B1915="","",ROUND($E1915-$F1915,0))</f>
        <v/>
      </c>
      <c r="H1915" s="17">
        <f>IF($B1915="","",IF(ROUND($G1915,0)&gt;0,"بدهکار",IF(ROUND($G1915,0)&lt;0,"بستانکار","تسویه")))</f>
        <v/>
      </c>
    </row>
    <row r="1916">
      <c r="A1916" s="11">
        <f>IF($B1916="","",1907)</f>
        <v/>
      </c>
      <c r="B1916" s="12">
        <f>IF(212&gt;NCapA,"",IFERROR(IF(VLOOKUP(INDEX(PkCapA,212),AcctTblA,4,0)="","(بدون نام)",VLOOKUP(INDEX(PkCapA,212),AcctTblA,4,0)),"—"))</f>
        <v/>
      </c>
      <c r="C1916" s="13">
        <f>IF($B1916="","",IF(212&gt;NCapA,"",INDEX(PkCapA,212)))</f>
        <v/>
      </c>
      <c r="D1916" s="12">
        <f>IF($B1916="","","c")</f>
        <v/>
      </c>
      <c r="E1916" s="14">
        <f>IF($B1916="","",IF(212&gt;NCapA,0,SUMIF(CalcDebit,INDEX(PkCapA,212),CalcAmt)+SUMIF(CalcDebit2,INDEX(PkCapA,212),CalcAmt2)))</f>
        <v/>
      </c>
      <c r="F1916" s="14">
        <f>IF($B1916="","",IF(212&gt;NCapA,0,SUMIF(CalcCredit,INDEX(PkCapA,212),CalcAmt)+SUMIF(CalcCredit2,INDEX(PkCapA,212),CalcAmt2)))</f>
        <v/>
      </c>
      <c r="G1916" s="15">
        <f>IF($B1916="","",ROUND($E1916-$F1916,0))</f>
        <v/>
      </c>
      <c r="H1916" s="12">
        <f>IF($B1916="","",IF(ROUND($G1916,0)&gt;0,"بدهکار",IF(ROUND($G1916,0)&lt;0,"بستانکار","تسویه")))</f>
        <v/>
      </c>
    </row>
    <row r="1917">
      <c r="A1917" s="16">
        <f>IF($B1917="","",1908)</f>
        <v/>
      </c>
      <c r="B1917" s="17">
        <f>IF(213&gt;NCapA,"",IFERROR(IF(VLOOKUP(INDEX(PkCapA,213),AcctTblA,4,0)="","(بدون نام)",VLOOKUP(INDEX(PkCapA,213),AcctTblA,4,0)),"—"))</f>
        <v/>
      </c>
      <c r="C1917" s="18">
        <f>IF($B1917="","",IF(213&gt;NCapA,"",INDEX(PkCapA,213)))</f>
        <v/>
      </c>
      <c r="D1917" s="17">
        <f>IF($B1917="","","c")</f>
        <v/>
      </c>
      <c r="E1917" s="19">
        <f>IF($B1917="","",IF(213&gt;NCapA,0,SUMIF(CalcDebit,INDEX(PkCapA,213),CalcAmt)+SUMIF(CalcDebit2,INDEX(PkCapA,213),CalcAmt2)))</f>
        <v/>
      </c>
      <c r="F1917" s="19">
        <f>IF($B1917="","",IF(213&gt;NCapA,0,SUMIF(CalcCredit,INDEX(PkCapA,213),CalcAmt)+SUMIF(CalcCredit2,INDEX(PkCapA,213),CalcAmt2)))</f>
        <v/>
      </c>
      <c r="G1917" s="20">
        <f>IF($B1917="","",ROUND($E1917-$F1917,0))</f>
        <v/>
      </c>
      <c r="H1917" s="17">
        <f>IF($B1917="","",IF(ROUND($G1917,0)&gt;0,"بدهکار",IF(ROUND($G1917,0)&lt;0,"بستانکار","تسویه")))</f>
        <v/>
      </c>
    </row>
    <row r="1918">
      <c r="A1918" s="11">
        <f>IF($B1918="","",1909)</f>
        <v/>
      </c>
      <c r="B1918" s="12">
        <f>IF(214&gt;NCapA,"",IFERROR(IF(VLOOKUP(INDEX(PkCapA,214),AcctTblA,4,0)="","(بدون نام)",VLOOKUP(INDEX(PkCapA,214),AcctTblA,4,0)),"—"))</f>
        <v/>
      </c>
      <c r="C1918" s="13">
        <f>IF($B1918="","",IF(214&gt;NCapA,"",INDEX(PkCapA,214)))</f>
        <v/>
      </c>
      <c r="D1918" s="12">
        <f>IF($B1918="","","c")</f>
        <v/>
      </c>
      <c r="E1918" s="14">
        <f>IF($B1918="","",IF(214&gt;NCapA,0,SUMIF(CalcDebit,INDEX(PkCapA,214),CalcAmt)+SUMIF(CalcDebit2,INDEX(PkCapA,214),CalcAmt2)))</f>
        <v/>
      </c>
      <c r="F1918" s="14">
        <f>IF($B1918="","",IF(214&gt;NCapA,0,SUMIF(CalcCredit,INDEX(PkCapA,214),CalcAmt)+SUMIF(CalcCredit2,INDEX(PkCapA,214),CalcAmt2)))</f>
        <v/>
      </c>
      <c r="G1918" s="15">
        <f>IF($B1918="","",ROUND($E1918-$F1918,0))</f>
        <v/>
      </c>
      <c r="H1918" s="12">
        <f>IF($B1918="","",IF(ROUND($G1918,0)&gt;0,"بدهکار",IF(ROUND($G1918,0)&lt;0,"بستانکار","تسویه")))</f>
        <v/>
      </c>
    </row>
    <row r="1919">
      <c r="A1919" s="16">
        <f>IF($B1919="","",1910)</f>
        <v/>
      </c>
      <c r="B1919" s="17">
        <f>IF(215&gt;NCapA,"",IFERROR(IF(VLOOKUP(INDEX(PkCapA,215),AcctTblA,4,0)="","(بدون نام)",VLOOKUP(INDEX(PkCapA,215),AcctTblA,4,0)),"—"))</f>
        <v/>
      </c>
      <c r="C1919" s="18">
        <f>IF($B1919="","",IF(215&gt;NCapA,"",INDEX(PkCapA,215)))</f>
        <v/>
      </c>
      <c r="D1919" s="17">
        <f>IF($B1919="","","c")</f>
        <v/>
      </c>
      <c r="E1919" s="19">
        <f>IF($B1919="","",IF(215&gt;NCapA,0,SUMIF(CalcDebit,INDEX(PkCapA,215),CalcAmt)+SUMIF(CalcDebit2,INDEX(PkCapA,215),CalcAmt2)))</f>
        <v/>
      </c>
      <c r="F1919" s="19">
        <f>IF($B1919="","",IF(215&gt;NCapA,0,SUMIF(CalcCredit,INDEX(PkCapA,215),CalcAmt)+SUMIF(CalcCredit2,INDEX(PkCapA,215),CalcAmt2)))</f>
        <v/>
      </c>
      <c r="G1919" s="20">
        <f>IF($B1919="","",ROUND($E1919-$F1919,0))</f>
        <v/>
      </c>
      <c r="H1919" s="17">
        <f>IF($B1919="","",IF(ROUND($G1919,0)&gt;0,"بدهکار",IF(ROUND($G1919,0)&lt;0,"بستانکار","تسویه")))</f>
        <v/>
      </c>
    </row>
    <row r="1920">
      <c r="A1920" s="11">
        <f>IF($B1920="","",1911)</f>
        <v/>
      </c>
      <c r="B1920" s="12">
        <f>IF(216&gt;NCapA,"",IFERROR(IF(VLOOKUP(INDEX(PkCapA,216),AcctTblA,4,0)="","(بدون نام)",VLOOKUP(INDEX(PkCapA,216),AcctTblA,4,0)),"—"))</f>
        <v/>
      </c>
      <c r="C1920" s="13">
        <f>IF($B1920="","",IF(216&gt;NCapA,"",INDEX(PkCapA,216)))</f>
        <v/>
      </c>
      <c r="D1920" s="12">
        <f>IF($B1920="","","c")</f>
        <v/>
      </c>
      <c r="E1920" s="14">
        <f>IF($B1920="","",IF(216&gt;NCapA,0,SUMIF(CalcDebit,INDEX(PkCapA,216),CalcAmt)+SUMIF(CalcDebit2,INDEX(PkCapA,216),CalcAmt2)))</f>
        <v/>
      </c>
      <c r="F1920" s="14">
        <f>IF($B1920="","",IF(216&gt;NCapA,0,SUMIF(CalcCredit,INDEX(PkCapA,216),CalcAmt)+SUMIF(CalcCredit2,INDEX(PkCapA,216),CalcAmt2)))</f>
        <v/>
      </c>
      <c r="G1920" s="15">
        <f>IF($B1920="","",ROUND($E1920-$F1920,0))</f>
        <v/>
      </c>
      <c r="H1920" s="12">
        <f>IF($B1920="","",IF(ROUND($G1920,0)&gt;0,"بدهکار",IF(ROUND($G1920,0)&lt;0,"بستانکار","تسویه")))</f>
        <v/>
      </c>
    </row>
    <row r="1921">
      <c r="A1921" s="16">
        <f>IF($B1921="","",1912)</f>
        <v/>
      </c>
      <c r="B1921" s="17">
        <f>IF(217&gt;NCapA,"",IFERROR(IF(VLOOKUP(INDEX(PkCapA,217),AcctTblA,4,0)="","(بدون نام)",VLOOKUP(INDEX(PkCapA,217),AcctTblA,4,0)),"—"))</f>
        <v/>
      </c>
      <c r="C1921" s="18">
        <f>IF($B1921="","",IF(217&gt;NCapA,"",INDEX(PkCapA,217)))</f>
        <v/>
      </c>
      <c r="D1921" s="17">
        <f>IF($B1921="","","c")</f>
        <v/>
      </c>
      <c r="E1921" s="19">
        <f>IF($B1921="","",IF(217&gt;NCapA,0,SUMIF(CalcDebit,INDEX(PkCapA,217),CalcAmt)+SUMIF(CalcDebit2,INDEX(PkCapA,217),CalcAmt2)))</f>
        <v/>
      </c>
      <c r="F1921" s="19">
        <f>IF($B1921="","",IF(217&gt;NCapA,0,SUMIF(CalcCredit,INDEX(PkCapA,217),CalcAmt)+SUMIF(CalcCredit2,INDEX(PkCapA,217),CalcAmt2)))</f>
        <v/>
      </c>
      <c r="G1921" s="20">
        <f>IF($B1921="","",ROUND($E1921-$F1921,0))</f>
        <v/>
      </c>
      <c r="H1921" s="17">
        <f>IF($B1921="","",IF(ROUND($G1921,0)&gt;0,"بدهکار",IF(ROUND($G1921,0)&lt;0,"بستانکار","تسویه")))</f>
        <v/>
      </c>
    </row>
    <row r="1922">
      <c r="A1922" s="11">
        <f>IF($B1922="","",1913)</f>
        <v/>
      </c>
      <c r="B1922" s="12">
        <f>IF(218&gt;NCapA,"",IFERROR(IF(VLOOKUP(INDEX(PkCapA,218),AcctTblA,4,0)="","(بدون نام)",VLOOKUP(INDEX(PkCapA,218),AcctTblA,4,0)),"—"))</f>
        <v/>
      </c>
      <c r="C1922" s="13">
        <f>IF($B1922="","",IF(218&gt;NCapA,"",INDEX(PkCapA,218)))</f>
        <v/>
      </c>
      <c r="D1922" s="12">
        <f>IF($B1922="","","c")</f>
        <v/>
      </c>
      <c r="E1922" s="14">
        <f>IF($B1922="","",IF(218&gt;NCapA,0,SUMIF(CalcDebit,INDEX(PkCapA,218),CalcAmt)+SUMIF(CalcDebit2,INDEX(PkCapA,218),CalcAmt2)))</f>
        <v/>
      </c>
      <c r="F1922" s="14">
        <f>IF($B1922="","",IF(218&gt;NCapA,0,SUMIF(CalcCredit,INDEX(PkCapA,218),CalcAmt)+SUMIF(CalcCredit2,INDEX(PkCapA,218),CalcAmt2)))</f>
        <v/>
      </c>
      <c r="G1922" s="15">
        <f>IF($B1922="","",ROUND($E1922-$F1922,0))</f>
        <v/>
      </c>
      <c r="H1922" s="12">
        <f>IF($B1922="","",IF(ROUND($G1922,0)&gt;0,"بدهکار",IF(ROUND($G1922,0)&lt;0,"بستانکار","تسویه")))</f>
        <v/>
      </c>
    </row>
    <row r="1923">
      <c r="A1923" s="16">
        <f>IF($B1923="","",1914)</f>
        <v/>
      </c>
      <c r="B1923" s="17">
        <f>IF(219&gt;NCapA,"",IFERROR(IF(VLOOKUP(INDEX(PkCapA,219),AcctTblA,4,0)="","(بدون نام)",VLOOKUP(INDEX(PkCapA,219),AcctTblA,4,0)),"—"))</f>
        <v/>
      </c>
      <c r="C1923" s="18">
        <f>IF($B1923="","",IF(219&gt;NCapA,"",INDEX(PkCapA,219)))</f>
        <v/>
      </c>
      <c r="D1923" s="17">
        <f>IF($B1923="","","c")</f>
        <v/>
      </c>
      <c r="E1923" s="19">
        <f>IF($B1923="","",IF(219&gt;NCapA,0,SUMIF(CalcDebit,INDEX(PkCapA,219),CalcAmt)+SUMIF(CalcDebit2,INDEX(PkCapA,219),CalcAmt2)))</f>
        <v/>
      </c>
      <c r="F1923" s="19">
        <f>IF($B1923="","",IF(219&gt;NCapA,0,SUMIF(CalcCredit,INDEX(PkCapA,219),CalcAmt)+SUMIF(CalcCredit2,INDEX(PkCapA,219),CalcAmt2)))</f>
        <v/>
      </c>
      <c r="G1923" s="20">
        <f>IF($B1923="","",ROUND($E1923-$F1923,0))</f>
        <v/>
      </c>
      <c r="H1923" s="17">
        <f>IF($B1923="","",IF(ROUND($G1923,0)&gt;0,"بدهکار",IF(ROUND($G1923,0)&lt;0,"بستانکار","تسویه")))</f>
        <v/>
      </c>
    </row>
    <row r="1924">
      <c r="A1924" s="11">
        <f>IF($B1924="","",1915)</f>
        <v/>
      </c>
      <c r="B1924" s="12">
        <f>IF(220&gt;NCapA,"",IFERROR(IF(VLOOKUP(INDEX(PkCapA,220),AcctTblA,4,0)="","(بدون نام)",VLOOKUP(INDEX(PkCapA,220),AcctTblA,4,0)),"—"))</f>
        <v/>
      </c>
      <c r="C1924" s="13">
        <f>IF($B1924="","",IF(220&gt;NCapA,"",INDEX(PkCapA,220)))</f>
        <v/>
      </c>
      <c r="D1924" s="12">
        <f>IF($B1924="","","c")</f>
        <v/>
      </c>
      <c r="E1924" s="14">
        <f>IF($B1924="","",IF(220&gt;NCapA,0,SUMIF(CalcDebit,INDEX(PkCapA,220),CalcAmt)+SUMIF(CalcDebit2,INDEX(PkCapA,220),CalcAmt2)))</f>
        <v/>
      </c>
      <c r="F1924" s="14">
        <f>IF($B1924="","",IF(220&gt;NCapA,0,SUMIF(CalcCredit,INDEX(PkCapA,220),CalcAmt)+SUMIF(CalcCredit2,INDEX(PkCapA,220),CalcAmt2)))</f>
        <v/>
      </c>
      <c r="G1924" s="15">
        <f>IF($B1924="","",ROUND($E1924-$F1924,0))</f>
        <v/>
      </c>
      <c r="H1924" s="12">
        <f>IF($B1924="","",IF(ROUND($G1924,0)&gt;0,"بدهکار",IF(ROUND($G1924,0)&lt;0,"بستانکار","تسویه")))</f>
        <v/>
      </c>
    </row>
    <row r="1925">
      <c r="A1925" s="16">
        <f>IF($B1925="","",1916)</f>
        <v/>
      </c>
      <c r="B1925" s="17">
        <f>IF(221&gt;NCapA,"",IFERROR(IF(VLOOKUP(INDEX(PkCapA,221),AcctTblA,4,0)="","(بدون نام)",VLOOKUP(INDEX(PkCapA,221),AcctTblA,4,0)),"—"))</f>
        <v/>
      </c>
      <c r="C1925" s="18">
        <f>IF($B1925="","",IF(221&gt;NCapA,"",INDEX(PkCapA,221)))</f>
        <v/>
      </c>
      <c r="D1925" s="17">
        <f>IF($B1925="","","c")</f>
        <v/>
      </c>
      <c r="E1925" s="19">
        <f>IF($B1925="","",IF(221&gt;NCapA,0,SUMIF(CalcDebit,INDEX(PkCapA,221),CalcAmt)+SUMIF(CalcDebit2,INDEX(PkCapA,221),CalcAmt2)))</f>
        <v/>
      </c>
      <c r="F1925" s="19">
        <f>IF($B1925="","",IF(221&gt;NCapA,0,SUMIF(CalcCredit,INDEX(PkCapA,221),CalcAmt)+SUMIF(CalcCredit2,INDEX(PkCapA,221),CalcAmt2)))</f>
        <v/>
      </c>
      <c r="G1925" s="20">
        <f>IF($B1925="","",ROUND($E1925-$F1925,0))</f>
        <v/>
      </c>
      <c r="H1925" s="17">
        <f>IF($B1925="","",IF(ROUND($G1925,0)&gt;0,"بدهکار",IF(ROUND($G1925,0)&lt;0,"بستانکار","تسویه")))</f>
        <v/>
      </c>
    </row>
    <row r="1926">
      <c r="A1926" s="11">
        <f>IF($B1926="","",1917)</f>
        <v/>
      </c>
      <c r="B1926" s="12">
        <f>IF(222&gt;NCapA,"",IFERROR(IF(VLOOKUP(INDEX(PkCapA,222),AcctTblA,4,0)="","(بدون نام)",VLOOKUP(INDEX(PkCapA,222),AcctTblA,4,0)),"—"))</f>
        <v/>
      </c>
      <c r="C1926" s="13">
        <f>IF($B1926="","",IF(222&gt;NCapA,"",INDEX(PkCapA,222)))</f>
        <v/>
      </c>
      <c r="D1926" s="12">
        <f>IF($B1926="","","c")</f>
        <v/>
      </c>
      <c r="E1926" s="14">
        <f>IF($B1926="","",IF(222&gt;NCapA,0,SUMIF(CalcDebit,INDEX(PkCapA,222),CalcAmt)+SUMIF(CalcDebit2,INDEX(PkCapA,222),CalcAmt2)))</f>
        <v/>
      </c>
      <c r="F1926" s="14">
        <f>IF($B1926="","",IF(222&gt;NCapA,0,SUMIF(CalcCredit,INDEX(PkCapA,222),CalcAmt)+SUMIF(CalcCredit2,INDEX(PkCapA,222),CalcAmt2)))</f>
        <v/>
      </c>
      <c r="G1926" s="15">
        <f>IF($B1926="","",ROUND($E1926-$F1926,0))</f>
        <v/>
      </c>
      <c r="H1926" s="12">
        <f>IF($B1926="","",IF(ROUND($G1926,0)&gt;0,"بدهکار",IF(ROUND($G1926,0)&lt;0,"بستانکار","تسویه")))</f>
        <v/>
      </c>
    </row>
    <row r="1927">
      <c r="A1927" s="16">
        <f>IF($B1927="","",1918)</f>
        <v/>
      </c>
      <c r="B1927" s="17">
        <f>IF(223&gt;NCapA,"",IFERROR(IF(VLOOKUP(INDEX(PkCapA,223),AcctTblA,4,0)="","(بدون نام)",VLOOKUP(INDEX(PkCapA,223),AcctTblA,4,0)),"—"))</f>
        <v/>
      </c>
      <c r="C1927" s="18">
        <f>IF($B1927="","",IF(223&gt;NCapA,"",INDEX(PkCapA,223)))</f>
        <v/>
      </c>
      <c r="D1927" s="17">
        <f>IF($B1927="","","c")</f>
        <v/>
      </c>
      <c r="E1927" s="19">
        <f>IF($B1927="","",IF(223&gt;NCapA,0,SUMIF(CalcDebit,INDEX(PkCapA,223),CalcAmt)+SUMIF(CalcDebit2,INDEX(PkCapA,223),CalcAmt2)))</f>
        <v/>
      </c>
      <c r="F1927" s="19">
        <f>IF($B1927="","",IF(223&gt;NCapA,0,SUMIF(CalcCredit,INDEX(PkCapA,223),CalcAmt)+SUMIF(CalcCredit2,INDEX(PkCapA,223),CalcAmt2)))</f>
        <v/>
      </c>
      <c r="G1927" s="20">
        <f>IF($B1927="","",ROUND($E1927-$F1927,0))</f>
        <v/>
      </c>
      <c r="H1927" s="17">
        <f>IF($B1927="","",IF(ROUND($G1927,0)&gt;0,"بدهکار",IF(ROUND($G1927,0)&lt;0,"بستانکار","تسویه")))</f>
        <v/>
      </c>
    </row>
    <row r="1928">
      <c r="A1928" s="11">
        <f>IF($B1928="","",1919)</f>
        <v/>
      </c>
      <c r="B1928" s="12">
        <f>IF(224&gt;NCapA,"",IFERROR(IF(VLOOKUP(INDEX(PkCapA,224),AcctTblA,4,0)="","(بدون نام)",VLOOKUP(INDEX(PkCapA,224),AcctTblA,4,0)),"—"))</f>
        <v/>
      </c>
      <c r="C1928" s="13">
        <f>IF($B1928="","",IF(224&gt;NCapA,"",INDEX(PkCapA,224)))</f>
        <v/>
      </c>
      <c r="D1928" s="12">
        <f>IF($B1928="","","c")</f>
        <v/>
      </c>
      <c r="E1928" s="14">
        <f>IF($B1928="","",IF(224&gt;NCapA,0,SUMIF(CalcDebit,INDEX(PkCapA,224),CalcAmt)+SUMIF(CalcDebit2,INDEX(PkCapA,224),CalcAmt2)))</f>
        <v/>
      </c>
      <c r="F1928" s="14">
        <f>IF($B1928="","",IF(224&gt;NCapA,0,SUMIF(CalcCredit,INDEX(PkCapA,224),CalcAmt)+SUMIF(CalcCredit2,INDEX(PkCapA,224),CalcAmt2)))</f>
        <v/>
      </c>
      <c r="G1928" s="15">
        <f>IF($B1928="","",ROUND($E1928-$F1928,0))</f>
        <v/>
      </c>
      <c r="H1928" s="12">
        <f>IF($B1928="","",IF(ROUND($G1928,0)&gt;0,"بدهکار",IF(ROUND($G1928,0)&lt;0,"بستانکار","تسویه")))</f>
        <v/>
      </c>
    </row>
    <row r="1929">
      <c r="A1929" s="16">
        <f>IF($B1929="","",1920)</f>
        <v/>
      </c>
      <c r="B1929" s="17">
        <f>IF(225&gt;NCapA,"",IFERROR(IF(VLOOKUP(INDEX(PkCapA,225),AcctTblA,4,0)="","(بدون نام)",VLOOKUP(INDEX(PkCapA,225),AcctTblA,4,0)),"—"))</f>
        <v/>
      </c>
      <c r="C1929" s="18">
        <f>IF($B1929="","",IF(225&gt;NCapA,"",INDEX(PkCapA,225)))</f>
        <v/>
      </c>
      <c r="D1929" s="17">
        <f>IF($B1929="","","c")</f>
        <v/>
      </c>
      <c r="E1929" s="19">
        <f>IF($B1929="","",IF(225&gt;NCapA,0,SUMIF(CalcDebit,INDEX(PkCapA,225),CalcAmt)+SUMIF(CalcDebit2,INDEX(PkCapA,225),CalcAmt2)))</f>
        <v/>
      </c>
      <c r="F1929" s="19">
        <f>IF($B1929="","",IF(225&gt;NCapA,0,SUMIF(CalcCredit,INDEX(PkCapA,225),CalcAmt)+SUMIF(CalcCredit2,INDEX(PkCapA,225),CalcAmt2)))</f>
        <v/>
      </c>
      <c r="G1929" s="20">
        <f>IF($B1929="","",ROUND($E1929-$F1929,0))</f>
        <v/>
      </c>
      <c r="H1929" s="17">
        <f>IF($B1929="","",IF(ROUND($G1929,0)&gt;0,"بدهکار",IF(ROUND($G1929,0)&lt;0,"بستانکار","تسویه")))</f>
        <v/>
      </c>
    </row>
    <row r="1930">
      <c r="A1930" s="11">
        <f>IF($B1930="","",1921)</f>
        <v/>
      </c>
      <c r="B1930" s="12">
        <f>IF(226&gt;NCapA,"",IFERROR(IF(VLOOKUP(INDEX(PkCapA,226),AcctTblA,4,0)="","(بدون نام)",VLOOKUP(INDEX(PkCapA,226),AcctTblA,4,0)),"—"))</f>
        <v/>
      </c>
      <c r="C1930" s="13">
        <f>IF($B1930="","",IF(226&gt;NCapA,"",INDEX(PkCapA,226)))</f>
        <v/>
      </c>
      <c r="D1930" s="12">
        <f>IF($B1930="","","c")</f>
        <v/>
      </c>
      <c r="E1930" s="14">
        <f>IF($B1930="","",IF(226&gt;NCapA,0,SUMIF(CalcDebit,INDEX(PkCapA,226),CalcAmt)+SUMIF(CalcDebit2,INDEX(PkCapA,226),CalcAmt2)))</f>
        <v/>
      </c>
      <c r="F1930" s="14">
        <f>IF($B1930="","",IF(226&gt;NCapA,0,SUMIF(CalcCredit,INDEX(PkCapA,226),CalcAmt)+SUMIF(CalcCredit2,INDEX(PkCapA,226),CalcAmt2)))</f>
        <v/>
      </c>
      <c r="G1930" s="15">
        <f>IF($B1930="","",ROUND($E1930-$F1930,0))</f>
        <v/>
      </c>
      <c r="H1930" s="12">
        <f>IF($B1930="","",IF(ROUND($G1930,0)&gt;0,"بدهکار",IF(ROUND($G1930,0)&lt;0,"بستانکار","تسویه")))</f>
        <v/>
      </c>
    </row>
    <row r="1931">
      <c r="A1931" s="16">
        <f>IF($B1931="","",1922)</f>
        <v/>
      </c>
      <c r="B1931" s="17">
        <f>IF(227&gt;NCapA,"",IFERROR(IF(VLOOKUP(INDEX(PkCapA,227),AcctTblA,4,0)="","(بدون نام)",VLOOKUP(INDEX(PkCapA,227),AcctTblA,4,0)),"—"))</f>
        <v/>
      </c>
      <c r="C1931" s="18">
        <f>IF($B1931="","",IF(227&gt;NCapA,"",INDEX(PkCapA,227)))</f>
        <v/>
      </c>
      <c r="D1931" s="17">
        <f>IF($B1931="","","c")</f>
        <v/>
      </c>
      <c r="E1931" s="19">
        <f>IF($B1931="","",IF(227&gt;NCapA,0,SUMIF(CalcDebit,INDEX(PkCapA,227),CalcAmt)+SUMIF(CalcDebit2,INDEX(PkCapA,227),CalcAmt2)))</f>
        <v/>
      </c>
      <c r="F1931" s="19">
        <f>IF($B1931="","",IF(227&gt;NCapA,0,SUMIF(CalcCredit,INDEX(PkCapA,227),CalcAmt)+SUMIF(CalcCredit2,INDEX(PkCapA,227),CalcAmt2)))</f>
        <v/>
      </c>
      <c r="G1931" s="20">
        <f>IF($B1931="","",ROUND($E1931-$F1931,0))</f>
        <v/>
      </c>
      <c r="H1931" s="17">
        <f>IF($B1931="","",IF(ROUND($G1931,0)&gt;0,"بدهکار",IF(ROUND($G1931,0)&lt;0,"بستانکار","تسویه")))</f>
        <v/>
      </c>
    </row>
    <row r="1932">
      <c r="A1932" s="11">
        <f>IF($B1932="","",1923)</f>
        <v/>
      </c>
      <c r="B1932" s="12">
        <f>IF(228&gt;NCapA,"",IFERROR(IF(VLOOKUP(INDEX(PkCapA,228),AcctTblA,4,0)="","(بدون نام)",VLOOKUP(INDEX(PkCapA,228),AcctTblA,4,0)),"—"))</f>
        <v/>
      </c>
      <c r="C1932" s="13">
        <f>IF($B1932="","",IF(228&gt;NCapA,"",INDEX(PkCapA,228)))</f>
        <v/>
      </c>
      <c r="D1932" s="12">
        <f>IF($B1932="","","c")</f>
        <v/>
      </c>
      <c r="E1932" s="14">
        <f>IF($B1932="","",IF(228&gt;NCapA,0,SUMIF(CalcDebit,INDEX(PkCapA,228),CalcAmt)+SUMIF(CalcDebit2,INDEX(PkCapA,228),CalcAmt2)))</f>
        <v/>
      </c>
      <c r="F1932" s="14">
        <f>IF($B1932="","",IF(228&gt;NCapA,0,SUMIF(CalcCredit,INDEX(PkCapA,228),CalcAmt)+SUMIF(CalcCredit2,INDEX(PkCapA,228),CalcAmt2)))</f>
        <v/>
      </c>
      <c r="G1932" s="15">
        <f>IF($B1932="","",ROUND($E1932-$F1932,0))</f>
        <v/>
      </c>
      <c r="H1932" s="12">
        <f>IF($B1932="","",IF(ROUND($G1932,0)&gt;0,"بدهکار",IF(ROUND($G1932,0)&lt;0,"بستانکار","تسویه")))</f>
        <v/>
      </c>
    </row>
    <row r="1933">
      <c r="A1933" s="16">
        <f>IF($B1933="","",1924)</f>
        <v/>
      </c>
      <c r="B1933" s="17">
        <f>IF(229&gt;NCapA,"",IFERROR(IF(VLOOKUP(INDEX(PkCapA,229),AcctTblA,4,0)="","(بدون نام)",VLOOKUP(INDEX(PkCapA,229),AcctTblA,4,0)),"—"))</f>
        <v/>
      </c>
      <c r="C1933" s="18">
        <f>IF($B1933="","",IF(229&gt;NCapA,"",INDEX(PkCapA,229)))</f>
        <v/>
      </c>
      <c r="D1933" s="17">
        <f>IF($B1933="","","c")</f>
        <v/>
      </c>
      <c r="E1933" s="19">
        <f>IF($B1933="","",IF(229&gt;NCapA,0,SUMIF(CalcDebit,INDEX(PkCapA,229),CalcAmt)+SUMIF(CalcDebit2,INDEX(PkCapA,229),CalcAmt2)))</f>
        <v/>
      </c>
      <c r="F1933" s="19">
        <f>IF($B1933="","",IF(229&gt;NCapA,0,SUMIF(CalcCredit,INDEX(PkCapA,229),CalcAmt)+SUMIF(CalcCredit2,INDEX(PkCapA,229),CalcAmt2)))</f>
        <v/>
      </c>
      <c r="G1933" s="20">
        <f>IF($B1933="","",ROUND($E1933-$F1933,0))</f>
        <v/>
      </c>
      <c r="H1933" s="17">
        <f>IF($B1933="","",IF(ROUND($G1933,0)&gt;0,"بدهکار",IF(ROUND($G1933,0)&lt;0,"بستانکار","تسویه")))</f>
        <v/>
      </c>
    </row>
    <row r="1934">
      <c r="A1934" s="11">
        <f>IF($B1934="","",1925)</f>
        <v/>
      </c>
      <c r="B1934" s="12">
        <f>IF(230&gt;NCapA,"",IFERROR(IF(VLOOKUP(INDEX(PkCapA,230),AcctTblA,4,0)="","(بدون نام)",VLOOKUP(INDEX(PkCapA,230),AcctTblA,4,0)),"—"))</f>
        <v/>
      </c>
      <c r="C1934" s="13">
        <f>IF($B1934="","",IF(230&gt;NCapA,"",INDEX(PkCapA,230)))</f>
        <v/>
      </c>
      <c r="D1934" s="12">
        <f>IF($B1934="","","c")</f>
        <v/>
      </c>
      <c r="E1934" s="14">
        <f>IF($B1934="","",IF(230&gt;NCapA,0,SUMIF(CalcDebit,INDEX(PkCapA,230),CalcAmt)+SUMIF(CalcDebit2,INDEX(PkCapA,230),CalcAmt2)))</f>
        <v/>
      </c>
      <c r="F1934" s="14">
        <f>IF($B1934="","",IF(230&gt;NCapA,0,SUMIF(CalcCredit,INDEX(PkCapA,230),CalcAmt)+SUMIF(CalcCredit2,INDEX(PkCapA,230),CalcAmt2)))</f>
        <v/>
      </c>
      <c r="G1934" s="15">
        <f>IF($B1934="","",ROUND($E1934-$F1934,0))</f>
        <v/>
      </c>
      <c r="H1934" s="12">
        <f>IF($B1934="","",IF(ROUND($G1934,0)&gt;0,"بدهکار",IF(ROUND($G1934,0)&lt;0,"بستانکار","تسویه")))</f>
        <v/>
      </c>
    </row>
    <row r="1935">
      <c r="A1935" s="16">
        <f>IF($B1935="","",1926)</f>
        <v/>
      </c>
      <c r="B1935" s="17">
        <f>IF(231&gt;NCapA,"",IFERROR(IF(VLOOKUP(INDEX(PkCapA,231),AcctTblA,4,0)="","(بدون نام)",VLOOKUP(INDEX(PkCapA,231),AcctTblA,4,0)),"—"))</f>
        <v/>
      </c>
      <c r="C1935" s="18">
        <f>IF($B1935="","",IF(231&gt;NCapA,"",INDEX(PkCapA,231)))</f>
        <v/>
      </c>
      <c r="D1935" s="17">
        <f>IF($B1935="","","c")</f>
        <v/>
      </c>
      <c r="E1935" s="19">
        <f>IF($B1935="","",IF(231&gt;NCapA,0,SUMIF(CalcDebit,INDEX(PkCapA,231),CalcAmt)+SUMIF(CalcDebit2,INDEX(PkCapA,231),CalcAmt2)))</f>
        <v/>
      </c>
      <c r="F1935" s="19">
        <f>IF($B1935="","",IF(231&gt;NCapA,0,SUMIF(CalcCredit,INDEX(PkCapA,231),CalcAmt)+SUMIF(CalcCredit2,INDEX(PkCapA,231),CalcAmt2)))</f>
        <v/>
      </c>
      <c r="G1935" s="20">
        <f>IF($B1935="","",ROUND($E1935-$F1935,0))</f>
        <v/>
      </c>
      <c r="H1935" s="17">
        <f>IF($B1935="","",IF(ROUND($G1935,0)&gt;0,"بدهکار",IF(ROUND($G1935,0)&lt;0,"بستانکار","تسویه")))</f>
        <v/>
      </c>
    </row>
    <row r="1936">
      <c r="A1936" s="11">
        <f>IF($B1936="","",1927)</f>
        <v/>
      </c>
      <c r="B1936" s="12">
        <f>IF(232&gt;NCapA,"",IFERROR(IF(VLOOKUP(INDEX(PkCapA,232),AcctTblA,4,0)="","(بدون نام)",VLOOKUP(INDEX(PkCapA,232),AcctTblA,4,0)),"—"))</f>
        <v/>
      </c>
      <c r="C1936" s="13">
        <f>IF($B1936="","",IF(232&gt;NCapA,"",INDEX(PkCapA,232)))</f>
        <v/>
      </c>
      <c r="D1936" s="12">
        <f>IF($B1936="","","c")</f>
        <v/>
      </c>
      <c r="E1936" s="14">
        <f>IF($B1936="","",IF(232&gt;NCapA,0,SUMIF(CalcDebit,INDEX(PkCapA,232),CalcAmt)+SUMIF(CalcDebit2,INDEX(PkCapA,232),CalcAmt2)))</f>
        <v/>
      </c>
      <c r="F1936" s="14">
        <f>IF($B1936="","",IF(232&gt;NCapA,0,SUMIF(CalcCredit,INDEX(PkCapA,232),CalcAmt)+SUMIF(CalcCredit2,INDEX(PkCapA,232),CalcAmt2)))</f>
        <v/>
      </c>
      <c r="G1936" s="15">
        <f>IF($B1936="","",ROUND($E1936-$F1936,0))</f>
        <v/>
      </c>
      <c r="H1936" s="12">
        <f>IF($B1936="","",IF(ROUND($G1936,0)&gt;0,"بدهکار",IF(ROUND($G1936,0)&lt;0,"بستانکار","تسویه")))</f>
        <v/>
      </c>
    </row>
    <row r="1937">
      <c r="A1937" s="16">
        <f>IF($B1937="","",1928)</f>
        <v/>
      </c>
      <c r="B1937" s="17">
        <f>IF(233&gt;NCapA,"",IFERROR(IF(VLOOKUP(INDEX(PkCapA,233),AcctTblA,4,0)="","(بدون نام)",VLOOKUP(INDEX(PkCapA,233),AcctTblA,4,0)),"—"))</f>
        <v/>
      </c>
      <c r="C1937" s="18">
        <f>IF($B1937="","",IF(233&gt;NCapA,"",INDEX(PkCapA,233)))</f>
        <v/>
      </c>
      <c r="D1937" s="17">
        <f>IF($B1937="","","c")</f>
        <v/>
      </c>
      <c r="E1937" s="19">
        <f>IF($B1937="","",IF(233&gt;NCapA,0,SUMIF(CalcDebit,INDEX(PkCapA,233),CalcAmt)+SUMIF(CalcDebit2,INDEX(PkCapA,233),CalcAmt2)))</f>
        <v/>
      </c>
      <c r="F1937" s="19">
        <f>IF($B1937="","",IF(233&gt;NCapA,0,SUMIF(CalcCredit,INDEX(PkCapA,233),CalcAmt)+SUMIF(CalcCredit2,INDEX(PkCapA,233),CalcAmt2)))</f>
        <v/>
      </c>
      <c r="G1937" s="20">
        <f>IF($B1937="","",ROUND($E1937-$F1937,0))</f>
        <v/>
      </c>
      <c r="H1937" s="17">
        <f>IF($B1937="","",IF(ROUND($G1937,0)&gt;0,"بدهکار",IF(ROUND($G1937,0)&lt;0,"بستانکار","تسویه")))</f>
        <v/>
      </c>
    </row>
    <row r="1938">
      <c r="A1938" s="11">
        <f>IF($B1938="","",1929)</f>
        <v/>
      </c>
      <c r="B1938" s="12">
        <f>IF(234&gt;NCapA,"",IFERROR(IF(VLOOKUP(INDEX(PkCapA,234),AcctTblA,4,0)="","(بدون نام)",VLOOKUP(INDEX(PkCapA,234),AcctTblA,4,0)),"—"))</f>
        <v/>
      </c>
      <c r="C1938" s="13">
        <f>IF($B1938="","",IF(234&gt;NCapA,"",INDEX(PkCapA,234)))</f>
        <v/>
      </c>
      <c r="D1938" s="12">
        <f>IF($B1938="","","c")</f>
        <v/>
      </c>
      <c r="E1938" s="14">
        <f>IF($B1938="","",IF(234&gt;NCapA,0,SUMIF(CalcDebit,INDEX(PkCapA,234),CalcAmt)+SUMIF(CalcDebit2,INDEX(PkCapA,234),CalcAmt2)))</f>
        <v/>
      </c>
      <c r="F1938" s="14">
        <f>IF($B1938="","",IF(234&gt;NCapA,0,SUMIF(CalcCredit,INDEX(PkCapA,234),CalcAmt)+SUMIF(CalcCredit2,INDEX(PkCapA,234),CalcAmt2)))</f>
        <v/>
      </c>
      <c r="G1938" s="15">
        <f>IF($B1938="","",ROUND($E1938-$F1938,0))</f>
        <v/>
      </c>
      <c r="H1938" s="12">
        <f>IF($B1938="","",IF(ROUND($G1938,0)&gt;0,"بدهکار",IF(ROUND($G1938,0)&lt;0,"بستانکار","تسویه")))</f>
        <v/>
      </c>
    </row>
    <row r="1939">
      <c r="A1939" s="16">
        <f>IF($B1939="","",1930)</f>
        <v/>
      </c>
      <c r="B1939" s="17">
        <f>IF(235&gt;NCapA,"",IFERROR(IF(VLOOKUP(INDEX(PkCapA,235),AcctTblA,4,0)="","(بدون نام)",VLOOKUP(INDEX(PkCapA,235),AcctTblA,4,0)),"—"))</f>
        <v/>
      </c>
      <c r="C1939" s="18">
        <f>IF($B1939="","",IF(235&gt;NCapA,"",INDEX(PkCapA,235)))</f>
        <v/>
      </c>
      <c r="D1939" s="17">
        <f>IF($B1939="","","c")</f>
        <v/>
      </c>
      <c r="E1939" s="19">
        <f>IF($B1939="","",IF(235&gt;NCapA,0,SUMIF(CalcDebit,INDEX(PkCapA,235),CalcAmt)+SUMIF(CalcDebit2,INDEX(PkCapA,235),CalcAmt2)))</f>
        <v/>
      </c>
      <c r="F1939" s="19">
        <f>IF($B1939="","",IF(235&gt;NCapA,0,SUMIF(CalcCredit,INDEX(PkCapA,235),CalcAmt)+SUMIF(CalcCredit2,INDEX(PkCapA,235),CalcAmt2)))</f>
        <v/>
      </c>
      <c r="G1939" s="20">
        <f>IF($B1939="","",ROUND($E1939-$F1939,0))</f>
        <v/>
      </c>
      <c r="H1939" s="17">
        <f>IF($B1939="","",IF(ROUND($G1939,0)&gt;0,"بدهکار",IF(ROUND($G1939,0)&lt;0,"بستانکار","تسویه")))</f>
        <v/>
      </c>
    </row>
    <row r="1940">
      <c r="A1940" s="11">
        <f>IF($B1940="","",1931)</f>
        <v/>
      </c>
      <c r="B1940" s="12">
        <f>IF(236&gt;NCapA,"",IFERROR(IF(VLOOKUP(INDEX(PkCapA,236),AcctTblA,4,0)="","(بدون نام)",VLOOKUP(INDEX(PkCapA,236),AcctTblA,4,0)),"—"))</f>
        <v/>
      </c>
      <c r="C1940" s="13">
        <f>IF($B1940="","",IF(236&gt;NCapA,"",INDEX(PkCapA,236)))</f>
        <v/>
      </c>
      <c r="D1940" s="12">
        <f>IF($B1940="","","c")</f>
        <v/>
      </c>
      <c r="E1940" s="14">
        <f>IF($B1940="","",IF(236&gt;NCapA,0,SUMIF(CalcDebit,INDEX(PkCapA,236),CalcAmt)+SUMIF(CalcDebit2,INDEX(PkCapA,236),CalcAmt2)))</f>
        <v/>
      </c>
      <c r="F1940" s="14">
        <f>IF($B1940="","",IF(236&gt;NCapA,0,SUMIF(CalcCredit,INDEX(PkCapA,236),CalcAmt)+SUMIF(CalcCredit2,INDEX(PkCapA,236),CalcAmt2)))</f>
        <v/>
      </c>
      <c r="G1940" s="15">
        <f>IF($B1940="","",ROUND($E1940-$F1940,0))</f>
        <v/>
      </c>
      <c r="H1940" s="12">
        <f>IF($B1940="","",IF(ROUND($G1940,0)&gt;0,"بدهکار",IF(ROUND($G1940,0)&lt;0,"بستانکار","تسویه")))</f>
        <v/>
      </c>
    </row>
    <row r="1941">
      <c r="A1941" s="16">
        <f>IF($B1941="","",1932)</f>
        <v/>
      </c>
      <c r="B1941" s="17">
        <f>IF(237&gt;NCapA,"",IFERROR(IF(VLOOKUP(INDEX(PkCapA,237),AcctTblA,4,0)="","(بدون نام)",VLOOKUP(INDEX(PkCapA,237),AcctTblA,4,0)),"—"))</f>
        <v/>
      </c>
      <c r="C1941" s="18">
        <f>IF($B1941="","",IF(237&gt;NCapA,"",INDEX(PkCapA,237)))</f>
        <v/>
      </c>
      <c r="D1941" s="17">
        <f>IF($B1941="","","c")</f>
        <v/>
      </c>
      <c r="E1941" s="19">
        <f>IF($B1941="","",IF(237&gt;NCapA,0,SUMIF(CalcDebit,INDEX(PkCapA,237),CalcAmt)+SUMIF(CalcDebit2,INDEX(PkCapA,237),CalcAmt2)))</f>
        <v/>
      </c>
      <c r="F1941" s="19">
        <f>IF($B1941="","",IF(237&gt;NCapA,0,SUMIF(CalcCredit,INDEX(PkCapA,237),CalcAmt)+SUMIF(CalcCredit2,INDEX(PkCapA,237),CalcAmt2)))</f>
        <v/>
      </c>
      <c r="G1941" s="20">
        <f>IF($B1941="","",ROUND($E1941-$F1941,0))</f>
        <v/>
      </c>
      <c r="H1941" s="17">
        <f>IF($B1941="","",IF(ROUND($G1941,0)&gt;0,"بدهکار",IF(ROUND($G1941,0)&lt;0,"بستانکار","تسویه")))</f>
        <v/>
      </c>
    </row>
    <row r="1942">
      <c r="A1942" s="11">
        <f>IF($B1942="","",1933)</f>
        <v/>
      </c>
      <c r="B1942" s="12">
        <f>IF(238&gt;NCapA,"",IFERROR(IF(VLOOKUP(INDEX(PkCapA,238),AcctTblA,4,0)="","(بدون نام)",VLOOKUP(INDEX(PkCapA,238),AcctTblA,4,0)),"—"))</f>
        <v/>
      </c>
      <c r="C1942" s="13">
        <f>IF($B1942="","",IF(238&gt;NCapA,"",INDEX(PkCapA,238)))</f>
        <v/>
      </c>
      <c r="D1942" s="12">
        <f>IF($B1942="","","c")</f>
        <v/>
      </c>
      <c r="E1942" s="14">
        <f>IF($B1942="","",IF(238&gt;NCapA,0,SUMIF(CalcDebit,INDEX(PkCapA,238),CalcAmt)+SUMIF(CalcDebit2,INDEX(PkCapA,238),CalcAmt2)))</f>
        <v/>
      </c>
      <c r="F1942" s="14">
        <f>IF($B1942="","",IF(238&gt;NCapA,0,SUMIF(CalcCredit,INDEX(PkCapA,238),CalcAmt)+SUMIF(CalcCredit2,INDEX(PkCapA,238),CalcAmt2)))</f>
        <v/>
      </c>
      <c r="G1942" s="15">
        <f>IF($B1942="","",ROUND($E1942-$F1942,0))</f>
        <v/>
      </c>
      <c r="H1942" s="12">
        <f>IF($B1942="","",IF(ROUND($G1942,0)&gt;0,"بدهکار",IF(ROUND($G1942,0)&lt;0,"بستانکار","تسویه")))</f>
        <v/>
      </c>
    </row>
    <row r="1943">
      <c r="A1943" s="16">
        <f>IF($B1943="","",1934)</f>
        <v/>
      </c>
      <c r="B1943" s="17">
        <f>IF(239&gt;NCapA,"",IFERROR(IF(VLOOKUP(INDEX(PkCapA,239),AcctTblA,4,0)="","(بدون نام)",VLOOKUP(INDEX(PkCapA,239),AcctTblA,4,0)),"—"))</f>
        <v/>
      </c>
      <c r="C1943" s="18">
        <f>IF($B1943="","",IF(239&gt;NCapA,"",INDEX(PkCapA,239)))</f>
        <v/>
      </c>
      <c r="D1943" s="17">
        <f>IF($B1943="","","c")</f>
        <v/>
      </c>
      <c r="E1943" s="19">
        <f>IF($B1943="","",IF(239&gt;NCapA,0,SUMIF(CalcDebit,INDEX(PkCapA,239),CalcAmt)+SUMIF(CalcDebit2,INDEX(PkCapA,239),CalcAmt2)))</f>
        <v/>
      </c>
      <c r="F1943" s="19">
        <f>IF($B1943="","",IF(239&gt;NCapA,0,SUMIF(CalcCredit,INDEX(PkCapA,239),CalcAmt)+SUMIF(CalcCredit2,INDEX(PkCapA,239),CalcAmt2)))</f>
        <v/>
      </c>
      <c r="G1943" s="20">
        <f>IF($B1943="","",ROUND($E1943-$F1943,0))</f>
        <v/>
      </c>
      <c r="H1943" s="17">
        <f>IF($B1943="","",IF(ROUND($G1943,0)&gt;0,"بدهکار",IF(ROUND($G1943,0)&lt;0,"بستانکار","تسویه")))</f>
        <v/>
      </c>
    </row>
    <row r="1944">
      <c r="A1944" s="11">
        <f>IF($B1944="","",1935)</f>
        <v/>
      </c>
      <c r="B1944" s="12">
        <f>IF(240&gt;NCapA,"",IFERROR(IF(VLOOKUP(INDEX(PkCapA,240),AcctTblA,4,0)="","(بدون نام)",VLOOKUP(INDEX(PkCapA,240),AcctTblA,4,0)),"—"))</f>
        <v/>
      </c>
      <c r="C1944" s="13">
        <f>IF($B1944="","",IF(240&gt;NCapA,"",INDEX(PkCapA,240)))</f>
        <v/>
      </c>
      <c r="D1944" s="12">
        <f>IF($B1944="","","c")</f>
        <v/>
      </c>
      <c r="E1944" s="14">
        <f>IF($B1944="","",IF(240&gt;NCapA,0,SUMIF(CalcDebit,INDEX(PkCapA,240),CalcAmt)+SUMIF(CalcDebit2,INDEX(PkCapA,240),CalcAmt2)))</f>
        <v/>
      </c>
      <c r="F1944" s="14">
        <f>IF($B1944="","",IF(240&gt;NCapA,0,SUMIF(CalcCredit,INDEX(PkCapA,240),CalcAmt)+SUMIF(CalcCredit2,INDEX(PkCapA,240),CalcAmt2)))</f>
        <v/>
      </c>
      <c r="G1944" s="15">
        <f>IF($B1944="","",ROUND($E1944-$F1944,0))</f>
        <v/>
      </c>
      <c r="H1944" s="12">
        <f>IF($B1944="","",IF(ROUND($G1944,0)&gt;0,"بدهکار",IF(ROUND($G1944,0)&lt;0,"بستانکار","تسویه")))</f>
        <v/>
      </c>
    </row>
    <row r="1945">
      <c r="A1945" s="16">
        <f>IF($B1945="","",1936)</f>
        <v/>
      </c>
      <c r="B1945" s="17">
        <f>IF(241&gt;NCapA,"",IFERROR(IF(VLOOKUP(INDEX(PkCapA,241),AcctTblA,4,0)="","(بدون نام)",VLOOKUP(INDEX(PkCapA,241),AcctTblA,4,0)),"—"))</f>
        <v/>
      </c>
      <c r="C1945" s="18">
        <f>IF($B1945="","",IF(241&gt;NCapA,"",INDEX(PkCapA,241)))</f>
        <v/>
      </c>
      <c r="D1945" s="17">
        <f>IF($B1945="","","c")</f>
        <v/>
      </c>
      <c r="E1945" s="19">
        <f>IF($B1945="","",IF(241&gt;NCapA,0,SUMIF(CalcDebit,INDEX(PkCapA,241),CalcAmt)+SUMIF(CalcDebit2,INDEX(PkCapA,241),CalcAmt2)))</f>
        <v/>
      </c>
      <c r="F1945" s="19">
        <f>IF($B1945="","",IF(241&gt;NCapA,0,SUMIF(CalcCredit,INDEX(PkCapA,241),CalcAmt)+SUMIF(CalcCredit2,INDEX(PkCapA,241),CalcAmt2)))</f>
        <v/>
      </c>
      <c r="G1945" s="20">
        <f>IF($B1945="","",ROUND($E1945-$F1945,0))</f>
        <v/>
      </c>
      <c r="H1945" s="17">
        <f>IF($B1945="","",IF(ROUND($G1945,0)&gt;0,"بدهکار",IF(ROUND($G1945,0)&lt;0,"بستانکار","تسویه")))</f>
        <v/>
      </c>
    </row>
    <row r="1946">
      <c r="A1946" s="11">
        <f>IF($B1946="","",1937)</f>
        <v/>
      </c>
      <c r="B1946" s="12">
        <f>IF(242&gt;NCapA,"",IFERROR(IF(VLOOKUP(INDEX(PkCapA,242),AcctTblA,4,0)="","(بدون نام)",VLOOKUP(INDEX(PkCapA,242),AcctTblA,4,0)),"—"))</f>
        <v/>
      </c>
      <c r="C1946" s="13">
        <f>IF($B1946="","",IF(242&gt;NCapA,"",INDEX(PkCapA,242)))</f>
        <v/>
      </c>
      <c r="D1946" s="12">
        <f>IF($B1946="","","c")</f>
        <v/>
      </c>
      <c r="E1946" s="14">
        <f>IF($B1946="","",IF(242&gt;NCapA,0,SUMIF(CalcDebit,INDEX(PkCapA,242),CalcAmt)+SUMIF(CalcDebit2,INDEX(PkCapA,242),CalcAmt2)))</f>
        <v/>
      </c>
      <c r="F1946" s="14">
        <f>IF($B1946="","",IF(242&gt;NCapA,0,SUMIF(CalcCredit,INDEX(PkCapA,242),CalcAmt)+SUMIF(CalcCredit2,INDEX(PkCapA,242),CalcAmt2)))</f>
        <v/>
      </c>
      <c r="G1946" s="15">
        <f>IF($B1946="","",ROUND($E1946-$F1946,0))</f>
        <v/>
      </c>
      <c r="H1946" s="12">
        <f>IF($B1946="","",IF(ROUND($G1946,0)&gt;0,"بدهکار",IF(ROUND($G1946,0)&lt;0,"بستانکار","تسویه")))</f>
        <v/>
      </c>
    </row>
    <row r="1947">
      <c r="A1947" s="16">
        <f>IF($B1947="","",1938)</f>
        <v/>
      </c>
      <c r="B1947" s="17">
        <f>IF(243&gt;NCapA,"",IFERROR(IF(VLOOKUP(INDEX(PkCapA,243),AcctTblA,4,0)="","(بدون نام)",VLOOKUP(INDEX(PkCapA,243),AcctTblA,4,0)),"—"))</f>
        <v/>
      </c>
      <c r="C1947" s="18">
        <f>IF($B1947="","",IF(243&gt;NCapA,"",INDEX(PkCapA,243)))</f>
        <v/>
      </c>
      <c r="D1947" s="17">
        <f>IF($B1947="","","c")</f>
        <v/>
      </c>
      <c r="E1947" s="19">
        <f>IF($B1947="","",IF(243&gt;NCapA,0,SUMIF(CalcDebit,INDEX(PkCapA,243),CalcAmt)+SUMIF(CalcDebit2,INDEX(PkCapA,243),CalcAmt2)))</f>
        <v/>
      </c>
      <c r="F1947" s="19">
        <f>IF($B1947="","",IF(243&gt;NCapA,0,SUMIF(CalcCredit,INDEX(PkCapA,243),CalcAmt)+SUMIF(CalcCredit2,INDEX(PkCapA,243),CalcAmt2)))</f>
        <v/>
      </c>
      <c r="G1947" s="20">
        <f>IF($B1947="","",ROUND($E1947-$F1947,0))</f>
        <v/>
      </c>
      <c r="H1947" s="17">
        <f>IF($B1947="","",IF(ROUND($G1947,0)&gt;0,"بدهکار",IF(ROUND($G1947,0)&lt;0,"بستانکار","تسویه")))</f>
        <v/>
      </c>
    </row>
    <row r="1948">
      <c r="A1948" s="11">
        <f>IF($B1948="","",1939)</f>
        <v/>
      </c>
      <c r="B1948" s="12">
        <f>IF(244&gt;NCapA,"",IFERROR(IF(VLOOKUP(INDEX(PkCapA,244),AcctTblA,4,0)="","(بدون نام)",VLOOKUP(INDEX(PkCapA,244),AcctTblA,4,0)),"—"))</f>
        <v/>
      </c>
      <c r="C1948" s="13">
        <f>IF($B1948="","",IF(244&gt;NCapA,"",INDEX(PkCapA,244)))</f>
        <v/>
      </c>
      <c r="D1948" s="12">
        <f>IF($B1948="","","c")</f>
        <v/>
      </c>
      <c r="E1948" s="14">
        <f>IF($B1948="","",IF(244&gt;NCapA,0,SUMIF(CalcDebit,INDEX(PkCapA,244),CalcAmt)+SUMIF(CalcDebit2,INDEX(PkCapA,244),CalcAmt2)))</f>
        <v/>
      </c>
      <c r="F1948" s="14">
        <f>IF($B1948="","",IF(244&gt;NCapA,0,SUMIF(CalcCredit,INDEX(PkCapA,244),CalcAmt)+SUMIF(CalcCredit2,INDEX(PkCapA,244),CalcAmt2)))</f>
        <v/>
      </c>
      <c r="G1948" s="15">
        <f>IF($B1948="","",ROUND($E1948-$F1948,0))</f>
        <v/>
      </c>
      <c r="H1948" s="12">
        <f>IF($B1948="","",IF(ROUND($G1948,0)&gt;0,"بدهکار",IF(ROUND($G1948,0)&lt;0,"بستانکار","تسویه")))</f>
        <v/>
      </c>
    </row>
    <row r="1949">
      <c r="A1949" s="16">
        <f>IF($B1949="","",1940)</f>
        <v/>
      </c>
      <c r="B1949" s="17">
        <f>IF(245&gt;NCapA,"",IFERROR(IF(VLOOKUP(INDEX(PkCapA,245),AcctTblA,4,0)="","(بدون نام)",VLOOKUP(INDEX(PkCapA,245),AcctTblA,4,0)),"—"))</f>
        <v/>
      </c>
      <c r="C1949" s="18">
        <f>IF($B1949="","",IF(245&gt;NCapA,"",INDEX(PkCapA,245)))</f>
        <v/>
      </c>
      <c r="D1949" s="17">
        <f>IF($B1949="","","c")</f>
        <v/>
      </c>
      <c r="E1949" s="19">
        <f>IF($B1949="","",IF(245&gt;NCapA,0,SUMIF(CalcDebit,INDEX(PkCapA,245),CalcAmt)+SUMIF(CalcDebit2,INDEX(PkCapA,245),CalcAmt2)))</f>
        <v/>
      </c>
      <c r="F1949" s="19">
        <f>IF($B1949="","",IF(245&gt;NCapA,0,SUMIF(CalcCredit,INDEX(PkCapA,245),CalcAmt)+SUMIF(CalcCredit2,INDEX(PkCapA,245),CalcAmt2)))</f>
        <v/>
      </c>
      <c r="G1949" s="20">
        <f>IF($B1949="","",ROUND($E1949-$F1949,0))</f>
        <v/>
      </c>
      <c r="H1949" s="17">
        <f>IF($B1949="","",IF(ROUND($G1949,0)&gt;0,"بدهکار",IF(ROUND($G1949,0)&lt;0,"بستانکار","تسویه")))</f>
        <v/>
      </c>
    </row>
    <row r="1950">
      <c r="A1950" s="11">
        <f>IF($B1950="","",1941)</f>
        <v/>
      </c>
      <c r="B1950" s="12">
        <f>IF(246&gt;NCapA,"",IFERROR(IF(VLOOKUP(INDEX(PkCapA,246),AcctTblA,4,0)="","(بدون نام)",VLOOKUP(INDEX(PkCapA,246),AcctTblA,4,0)),"—"))</f>
        <v/>
      </c>
      <c r="C1950" s="13">
        <f>IF($B1950="","",IF(246&gt;NCapA,"",INDEX(PkCapA,246)))</f>
        <v/>
      </c>
      <c r="D1950" s="12">
        <f>IF($B1950="","","c")</f>
        <v/>
      </c>
      <c r="E1950" s="14">
        <f>IF($B1950="","",IF(246&gt;NCapA,0,SUMIF(CalcDebit,INDEX(PkCapA,246),CalcAmt)+SUMIF(CalcDebit2,INDEX(PkCapA,246),CalcAmt2)))</f>
        <v/>
      </c>
      <c r="F1950" s="14">
        <f>IF($B1950="","",IF(246&gt;NCapA,0,SUMIF(CalcCredit,INDEX(PkCapA,246),CalcAmt)+SUMIF(CalcCredit2,INDEX(PkCapA,246),CalcAmt2)))</f>
        <v/>
      </c>
      <c r="G1950" s="15">
        <f>IF($B1950="","",ROUND($E1950-$F1950,0))</f>
        <v/>
      </c>
      <c r="H1950" s="12">
        <f>IF($B1950="","",IF(ROUND($G1950,0)&gt;0,"بدهکار",IF(ROUND($G1950,0)&lt;0,"بستانکار","تسویه")))</f>
        <v/>
      </c>
    </row>
    <row r="1951">
      <c r="A1951" s="16">
        <f>IF($B1951="","",1942)</f>
        <v/>
      </c>
      <c r="B1951" s="17">
        <f>IF(247&gt;NCapA,"",IFERROR(IF(VLOOKUP(INDEX(PkCapA,247),AcctTblA,4,0)="","(بدون نام)",VLOOKUP(INDEX(PkCapA,247),AcctTblA,4,0)),"—"))</f>
        <v/>
      </c>
      <c r="C1951" s="18">
        <f>IF($B1951="","",IF(247&gt;NCapA,"",INDEX(PkCapA,247)))</f>
        <v/>
      </c>
      <c r="D1951" s="17">
        <f>IF($B1951="","","c")</f>
        <v/>
      </c>
      <c r="E1951" s="19">
        <f>IF($B1951="","",IF(247&gt;NCapA,0,SUMIF(CalcDebit,INDEX(PkCapA,247),CalcAmt)+SUMIF(CalcDebit2,INDEX(PkCapA,247),CalcAmt2)))</f>
        <v/>
      </c>
      <c r="F1951" s="19">
        <f>IF($B1951="","",IF(247&gt;NCapA,0,SUMIF(CalcCredit,INDEX(PkCapA,247),CalcAmt)+SUMIF(CalcCredit2,INDEX(PkCapA,247),CalcAmt2)))</f>
        <v/>
      </c>
      <c r="G1951" s="20">
        <f>IF($B1951="","",ROUND($E1951-$F1951,0))</f>
        <v/>
      </c>
      <c r="H1951" s="17">
        <f>IF($B1951="","",IF(ROUND($G1951,0)&gt;0,"بدهکار",IF(ROUND($G1951,0)&lt;0,"بستانکار","تسویه")))</f>
        <v/>
      </c>
    </row>
    <row r="1952">
      <c r="A1952" s="11">
        <f>IF($B1952="","",1943)</f>
        <v/>
      </c>
      <c r="B1952" s="12">
        <f>IF(248&gt;NCapA,"",IFERROR(IF(VLOOKUP(INDEX(PkCapA,248),AcctTblA,4,0)="","(بدون نام)",VLOOKUP(INDEX(PkCapA,248),AcctTblA,4,0)),"—"))</f>
        <v/>
      </c>
      <c r="C1952" s="13">
        <f>IF($B1952="","",IF(248&gt;NCapA,"",INDEX(PkCapA,248)))</f>
        <v/>
      </c>
      <c r="D1952" s="12">
        <f>IF($B1952="","","c")</f>
        <v/>
      </c>
      <c r="E1952" s="14">
        <f>IF($B1952="","",IF(248&gt;NCapA,0,SUMIF(CalcDebit,INDEX(PkCapA,248),CalcAmt)+SUMIF(CalcDebit2,INDEX(PkCapA,248),CalcAmt2)))</f>
        <v/>
      </c>
      <c r="F1952" s="14">
        <f>IF($B1952="","",IF(248&gt;NCapA,0,SUMIF(CalcCredit,INDEX(PkCapA,248),CalcAmt)+SUMIF(CalcCredit2,INDEX(PkCapA,248),CalcAmt2)))</f>
        <v/>
      </c>
      <c r="G1952" s="15">
        <f>IF($B1952="","",ROUND($E1952-$F1952,0))</f>
        <v/>
      </c>
      <c r="H1952" s="12">
        <f>IF($B1952="","",IF(ROUND($G1952,0)&gt;0,"بدهکار",IF(ROUND($G1952,0)&lt;0,"بستانکار","تسویه")))</f>
        <v/>
      </c>
    </row>
    <row r="1953">
      <c r="A1953" s="16">
        <f>IF($B1953="","",1944)</f>
        <v/>
      </c>
      <c r="B1953" s="17">
        <f>IF(249&gt;NCapA,"",IFERROR(IF(VLOOKUP(INDEX(PkCapA,249),AcctTblA,4,0)="","(بدون نام)",VLOOKUP(INDEX(PkCapA,249),AcctTblA,4,0)),"—"))</f>
        <v/>
      </c>
      <c r="C1953" s="18">
        <f>IF($B1953="","",IF(249&gt;NCapA,"",INDEX(PkCapA,249)))</f>
        <v/>
      </c>
      <c r="D1953" s="17">
        <f>IF($B1953="","","c")</f>
        <v/>
      </c>
      <c r="E1953" s="19">
        <f>IF($B1953="","",IF(249&gt;NCapA,0,SUMIF(CalcDebit,INDEX(PkCapA,249),CalcAmt)+SUMIF(CalcDebit2,INDEX(PkCapA,249),CalcAmt2)))</f>
        <v/>
      </c>
      <c r="F1953" s="19">
        <f>IF($B1953="","",IF(249&gt;NCapA,0,SUMIF(CalcCredit,INDEX(PkCapA,249),CalcAmt)+SUMIF(CalcCredit2,INDEX(PkCapA,249),CalcAmt2)))</f>
        <v/>
      </c>
      <c r="G1953" s="20">
        <f>IF($B1953="","",ROUND($E1953-$F1953,0))</f>
        <v/>
      </c>
      <c r="H1953" s="17">
        <f>IF($B1953="","",IF(ROUND($G1953,0)&gt;0,"بدهکار",IF(ROUND($G1953,0)&lt;0,"بستانکار","تسویه")))</f>
        <v/>
      </c>
    </row>
    <row r="1954">
      <c r="A1954" s="11">
        <f>IF($B1954="","",1945)</f>
        <v/>
      </c>
      <c r="B1954" s="12">
        <f>IF(250&gt;NCapA,"",IFERROR(IF(VLOOKUP(INDEX(PkCapA,250),AcctTblA,4,0)="","(بدون نام)",VLOOKUP(INDEX(PkCapA,250),AcctTblA,4,0)),"—"))</f>
        <v/>
      </c>
      <c r="C1954" s="13">
        <f>IF($B1954="","",IF(250&gt;NCapA,"",INDEX(PkCapA,250)))</f>
        <v/>
      </c>
      <c r="D1954" s="12">
        <f>IF($B1954="","","c")</f>
        <v/>
      </c>
      <c r="E1954" s="14">
        <f>IF($B1954="","",IF(250&gt;NCapA,0,SUMIF(CalcDebit,INDEX(PkCapA,250),CalcAmt)+SUMIF(CalcDebit2,INDEX(PkCapA,250),CalcAmt2)))</f>
        <v/>
      </c>
      <c r="F1954" s="14">
        <f>IF($B1954="","",IF(250&gt;NCapA,0,SUMIF(CalcCredit,INDEX(PkCapA,250),CalcAmt)+SUMIF(CalcCredit2,INDEX(PkCapA,250),CalcAmt2)))</f>
        <v/>
      </c>
      <c r="G1954" s="15">
        <f>IF($B1954="","",ROUND($E1954-$F1954,0))</f>
        <v/>
      </c>
      <c r="H1954" s="12">
        <f>IF($B1954="","",IF(ROUND($G1954,0)&gt;0,"بدهکار",IF(ROUND($G1954,0)&lt;0,"بستانکار","تسویه")))</f>
        <v/>
      </c>
    </row>
    <row r="1955">
      <c r="A1955" s="16">
        <f>IF($B1955="","",1946)</f>
        <v/>
      </c>
      <c r="B1955" s="17">
        <f>IF(251&gt;NCapA,"",IFERROR(IF(VLOOKUP(INDEX(PkCapA,251),AcctTblA,4,0)="","(بدون نام)",VLOOKUP(INDEX(PkCapA,251),AcctTblA,4,0)),"—"))</f>
        <v/>
      </c>
      <c r="C1955" s="18">
        <f>IF($B1955="","",IF(251&gt;NCapA,"",INDEX(PkCapA,251)))</f>
        <v/>
      </c>
      <c r="D1955" s="17">
        <f>IF($B1955="","","c")</f>
        <v/>
      </c>
      <c r="E1955" s="19">
        <f>IF($B1955="","",IF(251&gt;NCapA,0,SUMIF(CalcDebit,INDEX(PkCapA,251),CalcAmt)+SUMIF(CalcDebit2,INDEX(PkCapA,251),CalcAmt2)))</f>
        <v/>
      </c>
      <c r="F1955" s="19">
        <f>IF($B1955="","",IF(251&gt;NCapA,0,SUMIF(CalcCredit,INDEX(PkCapA,251),CalcAmt)+SUMIF(CalcCredit2,INDEX(PkCapA,251),CalcAmt2)))</f>
        <v/>
      </c>
      <c r="G1955" s="20">
        <f>IF($B1955="","",ROUND($E1955-$F1955,0))</f>
        <v/>
      </c>
      <c r="H1955" s="17">
        <f>IF($B1955="","",IF(ROUND($G1955,0)&gt;0,"بدهکار",IF(ROUND($G1955,0)&lt;0,"بستانکار","تسویه")))</f>
        <v/>
      </c>
    </row>
    <row r="1956">
      <c r="A1956" s="11">
        <f>IF($B1956="","",1947)</f>
        <v/>
      </c>
      <c r="B1956" s="12">
        <f>IF(252&gt;NCapA,"",IFERROR(IF(VLOOKUP(INDEX(PkCapA,252),AcctTblA,4,0)="","(بدون نام)",VLOOKUP(INDEX(PkCapA,252),AcctTblA,4,0)),"—"))</f>
        <v/>
      </c>
      <c r="C1956" s="13">
        <f>IF($B1956="","",IF(252&gt;NCapA,"",INDEX(PkCapA,252)))</f>
        <v/>
      </c>
      <c r="D1956" s="12">
        <f>IF($B1956="","","c")</f>
        <v/>
      </c>
      <c r="E1956" s="14">
        <f>IF($B1956="","",IF(252&gt;NCapA,0,SUMIF(CalcDebit,INDEX(PkCapA,252),CalcAmt)+SUMIF(CalcDebit2,INDEX(PkCapA,252),CalcAmt2)))</f>
        <v/>
      </c>
      <c r="F1956" s="14">
        <f>IF($B1956="","",IF(252&gt;NCapA,0,SUMIF(CalcCredit,INDEX(PkCapA,252),CalcAmt)+SUMIF(CalcCredit2,INDEX(PkCapA,252),CalcAmt2)))</f>
        <v/>
      </c>
      <c r="G1956" s="15">
        <f>IF($B1956="","",ROUND($E1956-$F1956,0))</f>
        <v/>
      </c>
      <c r="H1956" s="12">
        <f>IF($B1956="","",IF(ROUND($G1956,0)&gt;0,"بدهکار",IF(ROUND($G1956,0)&lt;0,"بستانکار","تسویه")))</f>
        <v/>
      </c>
    </row>
    <row r="1957">
      <c r="A1957" s="16">
        <f>IF($B1957="","",1948)</f>
        <v/>
      </c>
      <c r="B1957" s="17">
        <f>IF(253&gt;NCapA,"",IFERROR(IF(VLOOKUP(INDEX(PkCapA,253),AcctTblA,4,0)="","(بدون نام)",VLOOKUP(INDEX(PkCapA,253),AcctTblA,4,0)),"—"))</f>
        <v/>
      </c>
      <c r="C1957" s="18">
        <f>IF($B1957="","",IF(253&gt;NCapA,"",INDEX(PkCapA,253)))</f>
        <v/>
      </c>
      <c r="D1957" s="17">
        <f>IF($B1957="","","c")</f>
        <v/>
      </c>
      <c r="E1957" s="19">
        <f>IF($B1957="","",IF(253&gt;NCapA,0,SUMIF(CalcDebit,INDEX(PkCapA,253),CalcAmt)+SUMIF(CalcDebit2,INDEX(PkCapA,253),CalcAmt2)))</f>
        <v/>
      </c>
      <c r="F1957" s="19">
        <f>IF($B1957="","",IF(253&gt;NCapA,0,SUMIF(CalcCredit,INDEX(PkCapA,253),CalcAmt)+SUMIF(CalcCredit2,INDEX(PkCapA,253),CalcAmt2)))</f>
        <v/>
      </c>
      <c r="G1957" s="20">
        <f>IF($B1957="","",ROUND($E1957-$F1957,0))</f>
        <v/>
      </c>
      <c r="H1957" s="17">
        <f>IF($B1957="","",IF(ROUND($G1957,0)&gt;0,"بدهکار",IF(ROUND($G1957,0)&lt;0,"بستانکار","تسویه")))</f>
        <v/>
      </c>
    </row>
    <row r="1958">
      <c r="A1958" s="11">
        <f>IF($B1958="","",1949)</f>
        <v/>
      </c>
      <c r="B1958" s="12">
        <f>IF(254&gt;NCapA,"",IFERROR(IF(VLOOKUP(INDEX(PkCapA,254),AcctTblA,4,0)="","(بدون نام)",VLOOKUP(INDEX(PkCapA,254),AcctTblA,4,0)),"—"))</f>
        <v/>
      </c>
      <c r="C1958" s="13">
        <f>IF($B1958="","",IF(254&gt;NCapA,"",INDEX(PkCapA,254)))</f>
        <v/>
      </c>
      <c r="D1958" s="12">
        <f>IF($B1958="","","c")</f>
        <v/>
      </c>
      <c r="E1958" s="14">
        <f>IF($B1958="","",IF(254&gt;NCapA,0,SUMIF(CalcDebit,INDEX(PkCapA,254),CalcAmt)+SUMIF(CalcDebit2,INDEX(PkCapA,254),CalcAmt2)))</f>
        <v/>
      </c>
      <c r="F1958" s="14">
        <f>IF($B1958="","",IF(254&gt;NCapA,0,SUMIF(CalcCredit,INDEX(PkCapA,254),CalcAmt)+SUMIF(CalcCredit2,INDEX(PkCapA,254),CalcAmt2)))</f>
        <v/>
      </c>
      <c r="G1958" s="15">
        <f>IF($B1958="","",ROUND($E1958-$F1958,0))</f>
        <v/>
      </c>
      <c r="H1958" s="12">
        <f>IF($B1958="","",IF(ROUND($G1958,0)&gt;0,"بدهکار",IF(ROUND($G1958,0)&lt;0,"بستانکار","تسویه")))</f>
        <v/>
      </c>
    </row>
    <row r="1959">
      <c r="A1959" s="16">
        <f>IF($B1959="","",1950)</f>
        <v/>
      </c>
      <c r="B1959" s="17">
        <f>IF(255&gt;NCapA,"",IFERROR(IF(VLOOKUP(INDEX(PkCapA,255),AcctTblA,4,0)="","(بدون نام)",VLOOKUP(INDEX(PkCapA,255),AcctTblA,4,0)),"—"))</f>
        <v/>
      </c>
      <c r="C1959" s="18">
        <f>IF($B1959="","",IF(255&gt;NCapA,"",INDEX(PkCapA,255)))</f>
        <v/>
      </c>
      <c r="D1959" s="17">
        <f>IF($B1959="","","c")</f>
        <v/>
      </c>
      <c r="E1959" s="19">
        <f>IF($B1959="","",IF(255&gt;NCapA,0,SUMIF(CalcDebit,INDEX(PkCapA,255),CalcAmt)+SUMIF(CalcDebit2,INDEX(PkCapA,255),CalcAmt2)))</f>
        <v/>
      </c>
      <c r="F1959" s="19">
        <f>IF($B1959="","",IF(255&gt;NCapA,0,SUMIF(CalcCredit,INDEX(PkCapA,255),CalcAmt)+SUMIF(CalcCredit2,INDEX(PkCapA,255),CalcAmt2)))</f>
        <v/>
      </c>
      <c r="G1959" s="20">
        <f>IF($B1959="","",ROUND($E1959-$F1959,0))</f>
        <v/>
      </c>
      <c r="H1959" s="17">
        <f>IF($B1959="","",IF(ROUND($G1959,0)&gt;0,"بدهکار",IF(ROUND($G1959,0)&lt;0,"بستانکار","تسویه")))</f>
        <v/>
      </c>
    </row>
    <row r="1960">
      <c r="A1960" s="11">
        <f>IF($B1960="","",1951)</f>
        <v/>
      </c>
      <c r="B1960" s="12">
        <f>IF(256&gt;NCapA,"",IFERROR(IF(VLOOKUP(INDEX(PkCapA,256),AcctTblA,4,0)="","(بدون نام)",VLOOKUP(INDEX(PkCapA,256),AcctTblA,4,0)),"—"))</f>
        <v/>
      </c>
      <c r="C1960" s="13">
        <f>IF($B1960="","",IF(256&gt;NCapA,"",INDEX(PkCapA,256)))</f>
        <v/>
      </c>
      <c r="D1960" s="12">
        <f>IF($B1960="","","c")</f>
        <v/>
      </c>
      <c r="E1960" s="14">
        <f>IF($B1960="","",IF(256&gt;NCapA,0,SUMIF(CalcDebit,INDEX(PkCapA,256),CalcAmt)+SUMIF(CalcDebit2,INDEX(PkCapA,256),CalcAmt2)))</f>
        <v/>
      </c>
      <c r="F1960" s="14">
        <f>IF($B1960="","",IF(256&gt;NCapA,0,SUMIF(CalcCredit,INDEX(PkCapA,256),CalcAmt)+SUMIF(CalcCredit2,INDEX(PkCapA,256),CalcAmt2)))</f>
        <v/>
      </c>
      <c r="G1960" s="15">
        <f>IF($B1960="","",ROUND($E1960-$F1960,0))</f>
        <v/>
      </c>
      <c r="H1960" s="12">
        <f>IF($B1960="","",IF(ROUND($G1960,0)&gt;0,"بدهکار",IF(ROUND($G1960,0)&lt;0,"بستانکار","تسویه")))</f>
        <v/>
      </c>
    </row>
    <row r="1961">
      <c r="A1961" s="16">
        <f>IF($B1961="","",1952)</f>
        <v/>
      </c>
      <c r="B1961" s="17">
        <f>IF(257&gt;NCapA,"",IFERROR(IF(VLOOKUP(INDEX(PkCapA,257),AcctTblA,4,0)="","(بدون نام)",VLOOKUP(INDEX(PkCapA,257),AcctTblA,4,0)),"—"))</f>
        <v/>
      </c>
      <c r="C1961" s="18">
        <f>IF($B1961="","",IF(257&gt;NCapA,"",INDEX(PkCapA,257)))</f>
        <v/>
      </c>
      <c r="D1961" s="17">
        <f>IF($B1961="","","c")</f>
        <v/>
      </c>
      <c r="E1961" s="19">
        <f>IF($B1961="","",IF(257&gt;NCapA,0,SUMIF(CalcDebit,INDEX(PkCapA,257),CalcAmt)+SUMIF(CalcDebit2,INDEX(PkCapA,257),CalcAmt2)))</f>
        <v/>
      </c>
      <c r="F1961" s="19">
        <f>IF($B1961="","",IF(257&gt;NCapA,0,SUMIF(CalcCredit,INDEX(PkCapA,257),CalcAmt)+SUMIF(CalcCredit2,INDEX(PkCapA,257),CalcAmt2)))</f>
        <v/>
      </c>
      <c r="G1961" s="20">
        <f>IF($B1961="","",ROUND($E1961-$F1961,0))</f>
        <v/>
      </c>
      <c r="H1961" s="17">
        <f>IF($B1961="","",IF(ROUND($G1961,0)&gt;0,"بدهکار",IF(ROUND($G1961,0)&lt;0,"بستانکار","تسویه")))</f>
        <v/>
      </c>
    </row>
    <row r="1962">
      <c r="A1962" s="11">
        <f>IF($B1962="","",1953)</f>
        <v/>
      </c>
      <c r="B1962" s="12">
        <f>IF(258&gt;NCapA,"",IFERROR(IF(VLOOKUP(INDEX(PkCapA,258),AcctTblA,4,0)="","(بدون نام)",VLOOKUP(INDEX(PkCapA,258),AcctTblA,4,0)),"—"))</f>
        <v/>
      </c>
      <c r="C1962" s="13">
        <f>IF($B1962="","",IF(258&gt;NCapA,"",INDEX(PkCapA,258)))</f>
        <v/>
      </c>
      <c r="D1962" s="12">
        <f>IF($B1962="","","c")</f>
        <v/>
      </c>
      <c r="E1962" s="14">
        <f>IF($B1962="","",IF(258&gt;NCapA,0,SUMIF(CalcDebit,INDEX(PkCapA,258),CalcAmt)+SUMIF(CalcDebit2,INDEX(PkCapA,258),CalcAmt2)))</f>
        <v/>
      </c>
      <c r="F1962" s="14">
        <f>IF($B1962="","",IF(258&gt;NCapA,0,SUMIF(CalcCredit,INDEX(PkCapA,258),CalcAmt)+SUMIF(CalcCredit2,INDEX(PkCapA,258),CalcAmt2)))</f>
        <v/>
      </c>
      <c r="G1962" s="15">
        <f>IF($B1962="","",ROUND($E1962-$F1962,0))</f>
        <v/>
      </c>
      <c r="H1962" s="12">
        <f>IF($B1962="","",IF(ROUND($G1962,0)&gt;0,"بدهکار",IF(ROUND($G1962,0)&lt;0,"بستانکار","تسویه")))</f>
        <v/>
      </c>
    </row>
    <row r="1963">
      <c r="A1963" s="16">
        <f>IF($B1963="","",1954)</f>
        <v/>
      </c>
      <c r="B1963" s="17">
        <f>IF(259&gt;NCapA,"",IFERROR(IF(VLOOKUP(INDEX(PkCapA,259),AcctTblA,4,0)="","(بدون نام)",VLOOKUP(INDEX(PkCapA,259),AcctTblA,4,0)),"—"))</f>
        <v/>
      </c>
      <c r="C1963" s="18">
        <f>IF($B1963="","",IF(259&gt;NCapA,"",INDEX(PkCapA,259)))</f>
        <v/>
      </c>
      <c r="D1963" s="17">
        <f>IF($B1963="","","c")</f>
        <v/>
      </c>
      <c r="E1963" s="19">
        <f>IF($B1963="","",IF(259&gt;NCapA,0,SUMIF(CalcDebit,INDEX(PkCapA,259),CalcAmt)+SUMIF(CalcDebit2,INDEX(PkCapA,259),CalcAmt2)))</f>
        <v/>
      </c>
      <c r="F1963" s="19">
        <f>IF($B1963="","",IF(259&gt;NCapA,0,SUMIF(CalcCredit,INDEX(PkCapA,259),CalcAmt)+SUMIF(CalcCredit2,INDEX(PkCapA,259),CalcAmt2)))</f>
        <v/>
      </c>
      <c r="G1963" s="20">
        <f>IF($B1963="","",ROUND($E1963-$F1963,0))</f>
        <v/>
      </c>
      <c r="H1963" s="17">
        <f>IF($B1963="","",IF(ROUND($G1963,0)&gt;0,"بدهکار",IF(ROUND($G1963,0)&lt;0,"بستانکار","تسویه")))</f>
        <v/>
      </c>
    </row>
    <row r="1964">
      <c r="A1964" s="11">
        <f>IF($B1964="","",1955)</f>
        <v/>
      </c>
      <c r="B1964" s="12">
        <f>IF(260&gt;NCapA,"",IFERROR(IF(VLOOKUP(INDEX(PkCapA,260),AcctTblA,4,0)="","(بدون نام)",VLOOKUP(INDEX(PkCapA,260),AcctTblA,4,0)),"—"))</f>
        <v/>
      </c>
      <c r="C1964" s="13">
        <f>IF($B1964="","",IF(260&gt;NCapA,"",INDEX(PkCapA,260)))</f>
        <v/>
      </c>
      <c r="D1964" s="12">
        <f>IF($B1964="","","c")</f>
        <v/>
      </c>
      <c r="E1964" s="14">
        <f>IF($B1964="","",IF(260&gt;NCapA,0,SUMIF(CalcDebit,INDEX(PkCapA,260),CalcAmt)+SUMIF(CalcDebit2,INDEX(PkCapA,260),CalcAmt2)))</f>
        <v/>
      </c>
      <c r="F1964" s="14">
        <f>IF($B1964="","",IF(260&gt;NCapA,0,SUMIF(CalcCredit,INDEX(PkCapA,260),CalcAmt)+SUMIF(CalcCredit2,INDEX(PkCapA,260),CalcAmt2)))</f>
        <v/>
      </c>
      <c r="G1964" s="15">
        <f>IF($B1964="","",ROUND($E1964-$F1964,0))</f>
        <v/>
      </c>
      <c r="H1964" s="12">
        <f>IF($B1964="","",IF(ROUND($G1964,0)&gt;0,"بدهکار",IF(ROUND($G1964,0)&lt;0,"بستانکار","تسویه")))</f>
        <v/>
      </c>
    </row>
    <row r="1965">
      <c r="A1965" s="16">
        <f>IF($B1965="","",1956)</f>
        <v/>
      </c>
      <c r="B1965" s="17">
        <f>IF(261&gt;NCapA,"",IFERROR(IF(VLOOKUP(INDEX(PkCapA,261),AcctTblA,4,0)="","(بدون نام)",VLOOKUP(INDEX(PkCapA,261),AcctTblA,4,0)),"—"))</f>
        <v/>
      </c>
      <c r="C1965" s="18">
        <f>IF($B1965="","",IF(261&gt;NCapA,"",INDEX(PkCapA,261)))</f>
        <v/>
      </c>
      <c r="D1965" s="17">
        <f>IF($B1965="","","c")</f>
        <v/>
      </c>
      <c r="E1965" s="19">
        <f>IF($B1965="","",IF(261&gt;NCapA,0,SUMIF(CalcDebit,INDEX(PkCapA,261),CalcAmt)+SUMIF(CalcDebit2,INDEX(PkCapA,261),CalcAmt2)))</f>
        <v/>
      </c>
      <c r="F1965" s="19">
        <f>IF($B1965="","",IF(261&gt;NCapA,0,SUMIF(CalcCredit,INDEX(PkCapA,261),CalcAmt)+SUMIF(CalcCredit2,INDEX(PkCapA,261),CalcAmt2)))</f>
        <v/>
      </c>
      <c r="G1965" s="20">
        <f>IF($B1965="","",ROUND($E1965-$F1965,0))</f>
        <v/>
      </c>
      <c r="H1965" s="17">
        <f>IF($B1965="","",IF(ROUND($G1965,0)&gt;0,"بدهکار",IF(ROUND($G1965,0)&lt;0,"بستانکار","تسویه")))</f>
        <v/>
      </c>
    </row>
    <row r="1966">
      <c r="A1966" s="11">
        <f>IF($B1966="","",1957)</f>
        <v/>
      </c>
      <c r="B1966" s="12">
        <f>IF(262&gt;NCapA,"",IFERROR(IF(VLOOKUP(INDEX(PkCapA,262),AcctTblA,4,0)="","(بدون نام)",VLOOKUP(INDEX(PkCapA,262),AcctTblA,4,0)),"—"))</f>
        <v/>
      </c>
      <c r="C1966" s="13">
        <f>IF($B1966="","",IF(262&gt;NCapA,"",INDEX(PkCapA,262)))</f>
        <v/>
      </c>
      <c r="D1966" s="12">
        <f>IF($B1966="","","c")</f>
        <v/>
      </c>
      <c r="E1966" s="14">
        <f>IF($B1966="","",IF(262&gt;NCapA,0,SUMIF(CalcDebit,INDEX(PkCapA,262),CalcAmt)+SUMIF(CalcDebit2,INDEX(PkCapA,262),CalcAmt2)))</f>
        <v/>
      </c>
      <c r="F1966" s="14">
        <f>IF($B1966="","",IF(262&gt;NCapA,0,SUMIF(CalcCredit,INDEX(PkCapA,262),CalcAmt)+SUMIF(CalcCredit2,INDEX(PkCapA,262),CalcAmt2)))</f>
        <v/>
      </c>
      <c r="G1966" s="15">
        <f>IF($B1966="","",ROUND($E1966-$F1966,0))</f>
        <v/>
      </c>
      <c r="H1966" s="12">
        <f>IF($B1966="","",IF(ROUND($G1966,0)&gt;0,"بدهکار",IF(ROUND($G1966,0)&lt;0,"بستانکار","تسویه")))</f>
        <v/>
      </c>
    </row>
    <row r="1967">
      <c r="A1967" s="16">
        <f>IF($B1967="","",1958)</f>
        <v/>
      </c>
      <c r="B1967" s="17">
        <f>IF(263&gt;NCapA,"",IFERROR(IF(VLOOKUP(INDEX(PkCapA,263),AcctTblA,4,0)="","(بدون نام)",VLOOKUP(INDEX(PkCapA,263),AcctTblA,4,0)),"—"))</f>
        <v/>
      </c>
      <c r="C1967" s="18">
        <f>IF($B1967="","",IF(263&gt;NCapA,"",INDEX(PkCapA,263)))</f>
        <v/>
      </c>
      <c r="D1967" s="17">
        <f>IF($B1967="","","c")</f>
        <v/>
      </c>
      <c r="E1967" s="19">
        <f>IF($B1967="","",IF(263&gt;NCapA,0,SUMIF(CalcDebit,INDEX(PkCapA,263),CalcAmt)+SUMIF(CalcDebit2,INDEX(PkCapA,263),CalcAmt2)))</f>
        <v/>
      </c>
      <c r="F1967" s="19">
        <f>IF($B1967="","",IF(263&gt;NCapA,0,SUMIF(CalcCredit,INDEX(PkCapA,263),CalcAmt)+SUMIF(CalcCredit2,INDEX(PkCapA,263),CalcAmt2)))</f>
        <v/>
      </c>
      <c r="G1967" s="20">
        <f>IF($B1967="","",ROUND($E1967-$F1967,0))</f>
        <v/>
      </c>
      <c r="H1967" s="17">
        <f>IF($B1967="","",IF(ROUND($G1967,0)&gt;0,"بدهکار",IF(ROUND($G1967,0)&lt;0,"بستانکار","تسویه")))</f>
        <v/>
      </c>
    </row>
    <row r="1968">
      <c r="A1968" s="11">
        <f>IF($B1968="","",1959)</f>
        <v/>
      </c>
      <c r="B1968" s="12">
        <f>IF(264&gt;NCapA,"",IFERROR(IF(VLOOKUP(INDEX(PkCapA,264),AcctTblA,4,0)="","(بدون نام)",VLOOKUP(INDEX(PkCapA,264),AcctTblA,4,0)),"—"))</f>
        <v/>
      </c>
      <c r="C1968" s="13">
        <f>IF($B1968="","",IF(264&gt;NCapA,"",INDEX(PkCapA,264)))</f>
        <v/>
      </c>
      <c r="D1968" s="12">
        <f>IF($B1968="","","c")</f>
        <v/>
      </c>
      <c r="E1968" s="14">
        <f>IF($B1968="","",IF(264&gt;NCapA,0,SUMIF(CalcDebit,INDEX(PkCapA,264),CalcAmt)+SUMIF(CalcDebit2,INDEX(PkCapA,264),CalcAmt2)))</f>
        <v/>
      </c>
      <c r="F1968" s="14">
        <f>IF($B1968="","",IF(264&gt;NCapA,0,SUMIF(CalcCredit,INDEX(PkCapA,264),CalcAmt)+SUMIF(CalcCredit2,INDEX(PkCapA,264),CalcAmt2)))</f>
        <v/>
      </c>
      <c r="G1968" s="15">
        <f>IF($B1968="","",ROUND($E1968-$F1968,0))</f>
        <v/>
      </c>
      <c r="H1968" s="12">
        <f>IF($B1968="","",IF(ROUND($G1968,0)&gt;0,"بدهکار",IF(ROUND($G1968,0)&lt;0,"بستانکار","تسویه")))</f>
        <v/>
      </c>
    </row>
    <row r="1969">
      <c r="A1969" s="16">
        <f>IF($B1969="","",1960)</f>
        <v/>
      </c>
      <c r="B1969" s="17">
        <f>IF(265&gt;NCapA,"",IFERROR(IF(VLOOKUP(INDEX(PkCapA,265),AcctTblA,4,0)="","(بدون نام)",VLOOKUP(INDEX(PkCapA,265),AcctTblA,4,0)),"—"))</f>
        <v/>
      </c>
      <c r="C1969" s="18">
        <f>IF($B1969="","",IF(265&gt;NCapA,"",INDEX(PkCapA,265)))</f>
        <v/>
      </c>
      <c r="D1969" s="17">
        <f>IF($B1969="","","c")</f>
        <v/>
      </c>
      <c r="E1969" s="19">
        <f>IF($B1969="","",IF(265&gt;NCapA,0,SUMIF(CalcDebit,INDEX(PkCapA,265),CalcAmt)+SUMIF(CalcDebit2,INDEX(PkCapA,265),CalcAmt2)))</f>
        <v/>
      </c>
      <c r="F1969" s="19">
        <f>IF($B1969="","",IF(265&gt;NCapA,0,SUMIF(CalcCredit,INDEX(PkCapA,265),CalcAmt)+SUMIF(CalcCredit2,INDEX(PkCapA,265),CalcAmt2)))</f>
        <v/>
      </c>
      <c r="G1969" s="20">
        <f>IF($B1969="","",ROUND($E1969-$F1969,0))</f>
        <v/>
      </c>
      <c r="H1969" s="17">
        <f>IF($B1969="","",IF(ROUND($G1969,0)&gt;0,"بدهکار",IF(ROUND($G1969,0)&lt;0,"بستانکار","تسویه")))</f>
        <v/>
      </c>
    </row>
    <row r="1970">
      <c r="A1970" s="11">
        <f>IF($B1970="","",1961)</f>
        <v/>
      </c>
      <c r="B1970" s="12">
        <f>IF(266&gt;NCapA,"",IFERROR(IF(VLOOKUP(INDEX(PkCapA,266),AcctTblA,4,0)="","(بدون نام)",VLOOKUP(INDEX(PkCapA,266),AcctTblA,4,0)),"—"))</f>
        <v/>
      </c>
      <c r="C1970" s="13">
        <f>IF($B1970="","",IF(266&gt;NCapA,"",INDEX(PkCapA,266)))</f>
        <v/>
      </c>
      <c r="D1970" s="12">
        <f>IF($B1970="","","c")</f>
        <v/>
      </c>
      <c r="E1970" s="14">
        <f>IF($B1970="","",IF(266&gt;NCapA,0,SUMIF(CalcDebit,INDEX(PkCapA,266),CalcAmt)+SUMIF(CalcDebit2,INDEX(PkCapA,266),CalcAmt2)))</f>
        <v/>
      </c>
      <c r="F1970" s="14">
        <f>IF($B1970="","",IF(266&gt;NCapA,0,SUMIF(CalcCredit,INDEX(PkCapA,266),CalcAmt)+SUMIF(CalcCredit2,INDEX(PkCapA,266),CalcAmt2)))</f>
        <v/>
      </c>
      <c r="G1970" s="15">
        <f>IF($B1970="","",ROUND($E1970-$F1970,0))</f>
        <v/>
      </c>
      <c r="H1970" s="12">
        <f>IF($B1970="","",IF(ROUND($G1970,0)&gt;0,"بدهکار",IF(ROUND($G1970,0)&lt;0,"بستانکار","تسویه")))</f>
        <v/>
      </c>
    </row>
    <row r="1971">
      <c r="A1971" s="16">
        <f>IF($B1971="","",1962)</f>
        <v/>
      </c>
      <c r="B1971" s="17">
        <f>IF(267&gt;NCapA,"",IFERROR(IF(VLOOKUP(INDEX(PkCapA,267),AcctTblA,4,0)="","(بدون نام)",VLOOKUP(INDEX(PkCapA,267),AcctTblA,4,0)),"—"))</f>
        <v/>
      </c>
      <c r="C1971" s="18">
        <f>IF($B1971="","",IF(267&gt;NCapA,"",INDEX(PkCapA,267)))</f>
        <v/>
      </c>
      <c r="D1971" s="17">
        <f>IF($B1971="","","c")</f>
        <v/>
      </c>
      <c r="E1971" s="19">
        <f>IF($B1971="","",IF(267&gt;NCapA,0,SUMIF(CalcDebit,INDEX(PkCapA,267),CalcAmt)+SUMIF(CalcDebit2,INDEX(PkCapA,267),CalcAmt2)))</f>
        <v/>
      </c>
      <c r="F1971" s="19">
        <f>IF($B1971="","",IF(267&gt;NCapA,0,SUMIF(CalcCredit,INDEX(PkCapA,267),CalcAmt)+SUMIF(CalcCredit2,INDEX(PkCapA,267),CalcAmt2)))</f>
        <v/>
      </c>
      <c r="G1971" s="20">
        <f>IF($B1971="","",ROUND($E1971-$F1971,0))</f>
        <v/>
      </c>
      <c r="H1971" s="17">
        <f>IF($B1971="","",IF(ROUND($G1971,0)&gt;0,"بدهکار",IF(ROUND($G1971,0)&lt;0,"بستانکار","تسویه")))</f>
        <v/>
      </c>
    </row>
    <row r="1972">
      <c r="A1972" s="11">
        <f>IF($B1972="","",1963)</f>
        <v/>
      </c>
      <c r="B1972" s="12">
        <f>IF(268&gt;NCapA,"",IFERROR(IF(VLOOKUP(INDEX(PkCapA,268),AcctTblA,4,0)="","(بدون نام)",VLOOKUP(INDEX(PkCapA,268),AcctTblA,4,0)),"—"))</f>
        <v/>
      </c>
      <c r="C1972" s="13">
        <f>IF($B1972="","",IF(268&gt;NCapA,"",INDEX(PkCapA,268)))</f>
        <v/>
      </c>
      <c r="D1972" s="12">
        <f>IF($B1972="","","c")</f>
        <v/>
      </c>
      <c r="E1972" s="14">
        <f>IF($B1972="","",IF(268&gt;NCapA,0,SUMIF(CalcDebit,INDEX(PkCapA,268),CalcAmt)+SUMIF(CalcDebit2,INDEX(PkCapA,268),CalcAmt2)))</f>
        <v/>
      </c>
      <c r="F1972" s="14">
        <f>IF($B1972="","",IF(268&gt;NCapA,0,SUMIF(CalcCredit,INDEX(PkCapA,268),CalcAmt)+SUMIF(CalcCredit2,INDEX(PkCapA,268),CalcAmt2)))</f>
        <v/>
      </c>
      <c r="G1972" s="15">
        <f>IF($B1972="","",ROUND($E1972-$F1972,0))</f>
        <v/>
      </c>
      <c r="H1972" s="12">
        <f>IF($B1972="","",IF(ROUND($G1972,0)&gt;0,"بدهکار",IF(ROUND($G1972,0)&lt;0,"بستانکار","تسویه")))</f>
        <v/>
      </c>
    </row>
    <row r="1973">
      <c r="A1973" s="16">
        <f>IF($B1973="","",1964)</f>
        <v/>
      </c>
      <c r="B1973" s="17">
        <f>IF(269&gt;NCapA,"",IFERROR(IF(VLOOKUP(INDEX(PkCapA,269),AcctTblA,4,0)="","(بدون نام)",VLOOKUP(INDEX(PkCapA,269),AcctTblA,4,0)),"—"))</f>
        <v/>
      </c>
      <c r="C1973" s="18">
        <f>IF($B1973="","",IF(269&gt;NCapA,"",INDEX(PkCapA,269)))</f>
        <v/>
      </c>
      <c r="D1973" s="17">
        <f>IF($B1973="","","c")</f>
        <v/>
      </c>
      <c r="E1973" s="19">
        <f>IF($B1973="","",IF(269&gt;NCapA,0,SUMIF(CalcDebit,INDEX(PkCapA,269),CalcAmt)+SUMIF(CalcDebit2,INDEX(PkCapA,269),CalcAmt2)))</f>
        <v/>
      </c>
      <c r="F1973" s="19">
        <f>IF($B1973="","",IF(269&gt;NCapA,0,SUMIF(CalcCredit,INDEX(PkCapA,269),CalcAmt)+SUMIF(CalcCredit2,INDEX(PkCapA,269),CalcAmt2)))</f>
        <v/>
      </c>
      <c r="G1973" s="20">
        <f>IF($B1973="","",ROUND($E1973-$F1973,0))</f>
        <v/>
      </c>
      <c r="H1973" s="17">
        <f>IF($B1973="","",IF(ROUND($G1973,0)&gt;0,"بدهکار",IF(ROUND($G1973,0)&lt;0,"بستانکار","تسویه")))</f>
        <v/>
      </c>
    </row>
    <row r="1974">
      <c r="A1974" s="11">
        <f>IF($B1974="","",1965)</f>
        <v/>
      </c>
      <c r="B1974" s="12">
        <f>IF(270&gt;NCapA,"",IFERROR(IF(VLOOKUP(INDEX(PkCapA,270),AcctTblA,4,0)="","(بدون نام)",VLOOKUP(INDEX(PkCapA,270),AcctTblA,4,0)),"—"))</f>
        <v/>
      </c>
      <c r="C1974" s="13">
        <f>IF($B1974="","",IF(270&gt;NCapA,"",INDEX(PkCapA,270)))</f>
        <v/>
      </c>
      <c r="D1974" s="12">
        <f>IF($B1974="","","c")</f>
        <v/>
      </c>
      <c r="E1974" s="14">
        <f>IF($B1974="","",IF(270&gt;NCapA,0,SUMIF(CalcDebit,INDEX(PkCapA,270),CalcAmt)+SUMIF(CalcDebit2,INDEX(PkCapA,270),CalcAmt2)))</f>
        <v/>
      </c>
      <c r="F1974" s="14">
        <f>IF($B1974="","",IF(270&gt;NCapA,0,SUMIF(CalcCredit,INDEX(PkCapA,270),CalcAmt)+SUMIF(CalcCredit2,INDEX(PkCapA,270),CalcAmt2)))</f>
        <v/>
      </c>
      <c r="G1974" s="15">
        <f>IF($B1974="","",ROUND($E1974-$F1974,0))</f>
        <v/>
      </c>
      <c r="H1974" s="12">
        <f>IF($B1974="","",IF(ROUND($G1974,0)&gt;0,"بدهکار",IF(ROUND($G1974,0)&lt;0,"بستانکار","تسویه")))</f>
        <v/>
      </c>
    </row>
    <row r="1975">
      <c r="A1975" s="16">
        <f>IF($B1975="","",1966)</f>
        <v/>
      </c>
      <c r="B1975" s="17">
        <f>IF(271&gt;NCapA,"",IFERROR(IF(VLOOKUP(INDEX(PkCapA,271),AcctTblA,4,0)="","(بدون نام)",VLOOKUP(INDEX(PkCapA,271),AcctTblA,4,0)),"—"))</f>
        <v/>
      </c>
      <c r="C1975" s="18">
        <f>IF($B1975="","",IF(271&gt;NCapA,"",INDEX(PkCapA,271)))</f>
        <v/>
      </c>
      <c r="D1975" s="17">
        <f>IF($B1975="","","c")</f>
        <v/>
      </c>
      <c r="E1975" s="19">
        <f>IF($B1975="","",IF(271&gt;NCapA,0,SUMIF(CalcDebit,INDEX(PkCapA,271),CalcAmt)+SUMIF(CalcDebit2,INDEX(PkCapA,271),CalcAmt2)))</f>
        <v/>
      </c>
      <c r="F1975" s="19">
        <f>IF($B1975="","",IF(271&gt;NCapA,0,SUMIF(CalcCredit,INDEX(PkCapA,271),CalcAmt)+SUMIF(CalcCredit2,INDEX(PkCapA,271),CalcAmt2)))</f>
        <v/>
      </c>
      <c r="G1975" s="20">
        <f>IF($B1975="","",ROUND($E1975-$F1975,0))</f>
        <v/>
      </c>
      <c r="H1975" s="17">
        <f>IF($B1975="","",IF(ROUND($G1975,0)&gt;0,"بدهکار",IF(ROUND($G1975,0)&lt;0,"بستانکار","تسویه")))</f>
        <v/>
      </c>
    </row>
    <row r="1976">
      <c r="A1976" s="11">
        <f>IF($B1976="","",1967)</f>
        <v/>
      </c>
      <c r="B1976" s="12">
        <f>IF(272&gt;NCapA,"",IFERROR(IF(VLOOKUP(INDEX(PkCapA,272),AcctTblA,4,0)="","(بدون نام)",VLOOKUP(INDEX(PkCapA,272),AcctTblA,4,0)),"—"))</f>
        <v/>
      </c>
      <c r="C1976" s="13">
        <f>IF($B1976="","",IF(272&gt;NCapA,"",INDEX(PkCapA,272)))</f>
        <v/>
      </c>
      <c r="D1976" s="12">
        <f>IF($B1976="","","c")</f>
        <v/>
      </c>
      <c r="E1976" s="14">
        <f>IF($B1976="","",IF(272&gt;NCapA,0,SUMIF(CalcDebit,INDEX(PkCapA,272),CalcAmt)+SUMIF(CalcDebit2,INDEX(PkCapA,272),CalcAmt2)))</f>
        <v/>
      </c>
      <c r="F1976" s="14">
        <f>IF($B1976="","",IF(272&gt;NCapA,0,SUMIF(CalcCredit,INDEX(PkCapA,272),CalcAmt)+SUMIF(CalcCredit2,INDEX(PkCapA,272),CalcAmt2)))</f>
        <v/>
      </c>
      <c r="G1976" s="15">
        <f>IF($B1976="","",ROUND($E1976-$F1976,0))</f>
        <v/>
      </c>
      <c r="H1976" s="12">
        <f>IF($B1976="","",IF(ROUND($G1976,0)&gt;0,"بدهکار",IF(ROUND($G1976,0)&lt;0,"بستانکار","تسویه")))</f>
        <v/>
      </c>
    </row>
    <row r="1977">
      <c r="A1977" s="16">
        <f>IF($B1977="","",1968)</f>
        <v/>
      </c>
      <c r="B1977" s="17">
        <f>IF(273&gt;NCapA,"",IFERROR(IF(VLOOKUP(INDEX(PkCapA,273),AcctTblA,4,0)="","(بدون نام)",VLOOKUP(INDEX(PkCapA,273),AcctTblA,4,0)),"—"))</f>
        <v/>
      </c>
      <c r="C1977" s="18">
        <f>IF($B1977="","",IF(273&gt;NCapA,"",INDEX(PkCapA,273)))</f>
        <v/>
      </c>
      <c r="D1977" s="17">
        <f>IF($B1977="","","c")</f>
        <v/>
      </c>
      <c r="E1977" s="19">
        <f>IF($B1977="","",IF(273&gt;NCapA,0,SUMIF(CalcDebit,INDEX(PkCapA,273),CalcAmt)+SUMIF(CalcDebit2,INDEX(PkCapA,273),CalcAmt2)))</f>
        <v/>
      </c>
      <c r="F1977" s="19">
        <f>IF($B1977="","",IF(273&gt;NCapA,0,SUMIF(CalcCredit,INDEX(PkCapA,273),CalcAmt)+SUMIF(CalcCredit2,INDEX(PkCapA,273),CalcAmt2)))</f>
        <v/>
      </c>
      <c r="G1977" s="20">
        <f>IF($B1977="","",ROUND($E1977-$F1977,0))</f>
        <v/>
      </c>
      <c r="H1977" s="17">
        <f>IF($B1977="","",IF(ROUND($G1977,0)&gt;0,"بدهکار",IF(ROUND($G1977,0)&lt;0,"بستانکار","تسویه")))</f>
        <v/>
      </c>
    </row>
    <row r="1978">
      <c r="A1978" s="11">
        <f>IF($B1978="","",1969)</f>
        <v/>
      </c>
      <c r="B1978" s="12">
        <f>IF(274&gt;NCapA,"",IFERROR(IF(VLOOKUP(INDEX(PkCapA,274),AcctTblA,4,0)="","(بدون نام)",VLOOKUP(INDEX(PkCapA,274),AcctTblA,4,0)),"—"))</f>
        <v/>
      </c>
      <c r="C1978" s="13">
        <f>IF($B1978="","",IF(274&gt;NCapA,"",INDEX(PkCapA,274)))</f>
        <v/>
      </c>
      <c r="D1978" s="12">
        <f>IF($B1978="","","c")</f>
        <v/>
      </c>
      <c r="E1978" s="14">
        <f>IF($B1978="","",IF(274&gt;NCapA,0,SUMIF(CalcDebit,INDEX(PkCapA,274),CalcAmt)+SUMIF(CalcDebit2,INDEX(PkCapA,274),CalcAmt2)))</f>
        <v/>
      </c>
      <c r="F1978" s="14">
        <f>IF($B1978="","",IF(274&gt;NCapA,0,SUMIF(CalcCredit,INDEX(PkCapA,274),CalcAmt)+SUMIF(CalcCredit2,INDEX(PkCapA,274),CalcAmt2)))</f>
        <v/>
      </c>
      <c r="G1978" s="15">
        <f>IF($B1978="","",ROUND($E1978-$F1978,0))</f>
        <v/>
      </c>
      <c r="H1978" s="12">
        <f>IF($B1978="","",IF(ROUND($G1978,0)&gt;0,"بدهکار",IF(ROUND($G1978,0)&lt;0,"بستانکار","تسویه")))</f>
        <v/>
      </c>
    </row>
    <row r="1979">
      <c r="A1979" s="16">
        <f>IF($B1979="","",1970)</f>
        <v/>
      </c>
      <c r="B1979" s="17">
        <f>IF(275&gt;NCapA,"",IFERROR(IF(VLOOKUP(INDEX(PkCapA,275),AcctTblA,4,0)="","(بدون نام)",VLOOKUP(INDEX(PkCapA,275),AcctTblA,4,0)),"—"))</f>
        <v/>
      </c>
      <c r="C1979" s="18">
        <f>IF($B1979="","",IF(275&gt;NCapA,"",INDEX(PkCapA,275)))</f>
        <v/>
      </c>
      <c r="D1979" s="17">
        <f>IF($B1979="","","c")</f>
        <v/>
      </c>
      <c r="E1979" s="19">
        <f>IF($B1979="","",IF(275&gt;NCapA,0,SUMIF(CalcDebit,INDEX(PkCapA,275),CalcAmt)+SUMIF(CalcDebit2,INDEX(PkCapA,275),CalcAmt2)))</f>
        <v/>
      </c>
      <c r="F1979" s="19">
        <f>IF($B1979="","",IF(275&gt;NCapA,0,SUMIF(CalcCredit,INDEX(PkCapA,275),CalcAmt)+SUMIF(CalcCredit2,INDEX(PkCapA,275),CalcAmt2)))</f>
        <v/>
      </c>
      <c r="G1979" s="20">
        <f>IF($B1979="","",ROUND($E1979-$F1979,0))</f>
        <v/>
      </c>
      <c r="H1979" s="17">
        <f>IF($B1979="","",IF(ROUND($G1979,0)&gt;0,"بدهکار",IF(ROUND($G1979,0)&lt;0,"بستانکار","تسویه")))</f>
        <v/>
      </c>
    </row>
    <row r="1980">
      <c r="A1980" s="11">
        <f>IF($B1980="","",1971)</f>
        <v/>
      </c>
      <c r="B1980" s="12">
        <f>IF(276&gt;NCapA,"",IFERROR(IF(VLOOKUP(INDEX(PkCapA,276),AcctTblA,4,0)="","(بدون نام)",VLOOKUP(INDEX(PkCapA,276),AcctTblA,4,0)),"—"))</f>
        <v/>
      </c>
      <c r="C1980" s="13">
        <f>IF($B1980="","",IF(276&gt;NCapA,"",INDEX(PkCapA,276)))</f>
        <v/>
      </c>
      <c r="D1980" s="12">
        <f>IF($B1980="","","c")</f>
        <v/>
      </c>
      <c r="E1980" s="14">
        <f>IF($B1980="","",IF(276&gt;NCapA,0,SUMIF(CalcDebit,INDEX(PkCapA,276),CalcAmt)+SUMIF(CalcDebit2,INDEX(PkCapA,276),CalcAmt2)))</f>
        <v/>
      </c>
      <c r="F1980" s="14">
        <f>IF($B1980="","",IF(276&gt;NCapA,0,SUMIF(CalcCredit,INDEX(PkCapA,276),CalcAmt)+SUMIF(CalcCredit2,INDEX(PkCapA,276),CalcAmt2)))</f>
        <v/>
      </c>
      <c r="G1980" s="15">
        <f>IF($B1980="","",ROUND($E1980-$F1980,0))</f>
        <v/>
      </c>
      <c r="H1980" s="12">
        <f>IF($B1980="","",IF(ROUND($G1980,0)&gt;0,"بدهکار",IF(ROUND($G1980,0)&lt;0,"بستانکار","تسویه")))</f>
        <v/>
      </c>
    </row>
    <row r="1981">
      <c r="A1981" s="16">
        <f>IF($B1981="","",1972)</f>
        <v/>
      </c>
      <c r="B1981" s="17">
        <f>IF(277&gt;NCapA,"",IFERROR(IF(VLOOKUP(INDEX(PkCapA,277),AcctTblA,4,0)="","(بدون نام)",VLOOKUP(INDEX(PkCapA,277),AcctTblA,4,0)),"—"))</f>
        <v/>
      </c>
      <c r="C1981" s="18">
        <f>IF($B1981="","",IF(277&gt;NCapA,"",INDEX(PkCapA,277)))</f>
        <v/>
      </c>
      <c r="D1981" s="17">
        <f>IF($B1981="","","c")</f>
        <v/>
      </c>
      <c r="E1981" s="19">
        <f>IF($B1981="","",IF(277&gt;NCapA,0,SUMIF(CalcDebit,INDEX(PkCapA,277),CalcAmt)+SUMIF(CalcDebit2,INDEX(PkCapA,277),CalcAmt2)))</f>
        <v/>
      </c>
      <c r="F1981" s="19">
        <f>IF($B1981="","",IF(277&gt;NCapA,0,SUMIF(CalcCredit,INDEX(PkCapA,277),CalcAmt)+SUMIF(CalcCredit2,INDEX(PkCapA,277),CalcAmt2)))</f>
        <v/>
      </c>
      <c r="G1981" s="20">
        <f>IF($B1981="","",ROUND($E1981-$F1981,0))</f>
        <v/>
      </c>
      <c r="H1981" s="17">
        <f>IF($B1981="","",IF(ROUND($G1981,0)&gt;0,"بدهکار",IF(ROUND($G1981,0)&lt;0,"بستانکار","تسویه")))</f>
        <v/>
      </c>
    </row>
    <row r="1982">
      <c r="A1982" s="11">
        <f>IF($B1982="","",1973)</f>
        <v/>
      </c>
      <c r="B1982" s="12">
        <f>IF(278&gt;NCapA,"",IFERROR(IF(VLOOKUP(INDEX(PkCapA,278),AcctTblA,4,0)="","(بدون نام)",VLOOKUP(INDEX(PkCapA,278),AcctTblA,4,0)),"—"))</f>
        <v/>
      </c>
      <c r="C1982" s="13">
        <f>IF($B1982="","",IF(278&gt;NCapA,"",INDEX(PkCapA,278)))</f>
        <v/>
      </c>
      <c r="D1982" s="12">
        <f>IF($B1982="","","c")</f>
        <v/>
      </c>
      <c r="E1982" s="14">
        <f>IF($B1982="","",IF(278&gt;NCapA,0,SUMIF(CalcDebit,INDEX(PkCapA,278),CalcAmt)+SUMIF(CalcDebit2,INDEX(PkCapA,278),CalcAmt2)))</f>
        <v/>
      </c>
      <c r="F1982" s="14">
        <f>IF($B1982="","",IF(278&gt;NCapA,0,SUMIF(CalcCredit,INDEX(PkCapA,278),CalcAmt)+SUMIF(CalcCredit2,INDEX(PkCapA,278),CalcAmt2)))</f>
        <v/>
      </c>
      <c r="G1982" s="15">
        <f>IF($B1982="","",ROUND($E1982-$F1982,0))</f>
        <v/>
      </c>
      <c r="H1982" s="12">
        <f>IF($B1982="","",IF(ROUND($G1982,0)&gt;0,"بدهکار",IF(ROUND($G1982,0)&lt;0,"بستانکار","تسویه")))</f>
        <v/>
      </c>
    </row>
    <row r="1983">
      <c r="A1983" s="16">
        <f>IF($B1983="","",1974)</f>
        <v/>
      </c>
      <c r="B1983" s="17">
        <f>IF(279&gt;NCapA,"",IFERROR(IF(VLOOKUP(INDEX(PkCapA,279),AcctTblA,4,0)="","(بدون نام)",VLOOKUP(INDEX(PkCapA,279),AcctTblA,4,0)),"—"))</f>
        <v/>
      </c>
      <c r="C1983" s="18">
        <f>IF($B1983="","",IF(279&gt;NCapA,"",INDEX(PkCapA,279)))</f>
        <v/>
      </c>
      <c r="D1983" s="17">
        <f>IF($B1983="","","c")</f>
        <v/>
      </c>
      <c r="E1983" s="19">
        <f>IF($B1983="","",IF(279&gt;NCapA,0,SUMIF(CalcDebit,INDEX(PkCapA,279),CalcAmt)+SUMIF(CalcDebit2,INDEX(PkCapA,279),CalcAmt2)))</f>
        <v/>
      </c>
      <c r="F1983" s="19">
        <f>IF($B1983="","",IF(279&gt;NCapA,0,SUMIF(CalcCredit,INDEX(PkCapA,279),CalcAmt)+SUMIF(CalcCredit2,INDEX(PkCapA,279),CalcAmt2)))</f>
        <v/>
      </c>
      <c r="G1983" s="20">
        <f>IF($B1983="","",ROUND($E1983-$F1983,0))</f>
        <v/>
      </c>
      <c r="H1983" s="17">
        <f>IF($B1983="","",IF(ROUND($G1983,0)&gt;0,"بدهکار",IF(ROUND($G1983,0)&lt;0,"بستانکار","تسویه")))</f>
        <v/>
      </c>
    </row>
    <row r="1984">
      <c r="A1984" s="11">
        <f>IF($B1984="","",1975)</f>
        <v/>
      </c>
      <c r="B1984" s="12">
        <f>IF(280&gt;NCapA,"",IFERROR(IF(VLOOKUP(INDEX(PkCapA,280),AcctTblA,4,0)="","(بدون نام)",VLOOKUP(INDEX(PkCapA,280),AcctTblA,4,0)),"—"))</f>
        <v/>
      </c>
      <c r="C1984" s="13">
        <f>IF($B1984="","",IF(280&gt;NCapA,"",INDEX(PkCapA,280)))</f>
        <v/>
      </c>
      <c r="D1984" s="12">
        <f>IF($B1984="","","c")</f>
        <v/>
      </c>
      <c r="E1984" s="14">
        <f>IF($B1984="","",IF(280&gt;NCapA,0,SUMIF(CalcDebit,INDEX(PkCapA,280),CalcAmt)+SUMIF(CalcDebit2,INDEX(PkCapA,280),CalcAmt2)))</f>
        <v/>
      </c>
      <c r="F1984" s="14">
        <f>IF($B1984="","",IF(280&gt;NCapA,0,SUMIF(CalcCredit,INDEX(PkCapA,280),CalcAmt)+SUMIF(CalcCredit2,INDEX(PkCapA,280),CalcAmt2)))</f>
        <v/>
      </c>
      <c r="G1984" s="15">
        <f>IF($B1984="","",ROUND($E1984-$F1984,0))</f>
        <v/>
      </c>
      <c r="H1984" s="12">
        <f>IF($B1984="","",IF(ROUND($G1984,0)&gt;0,"بدهکار",IF(ROUND($G1984,0)&lt;0,"بستانکار","تسویه")))</f>
        <v/>
      </c>
    </row>
    <row r="1985">
      <c r="A1985" s="16">
        <f>IF($B1985="","",1976)</f>
        <v/>
      </c>
      <c r="B1985" s="17">
        <f>IF(281&gt;NCapA,"",IFERROR(IF(VLOOKUP(INDEX(PkCapA,281),AcctTblA,4,0)="","(بدون نام)",VLOOKUP(INDEX(PkCapA,281),AcctTblA,4,0)),"—"))</f>
        <v/>
      </c>
      <c r="C1985" s="18">
        <f>IF($B1985="","",IF(281&gt;NCapA,"",INDEX(PkCapA,281)))</f>
        <v/>
      </c>
      <c r="D1985" s="17">
        <f>IF($B1985="","","c")</f>
        <v/>
      </c>
      <c r="E1985" s="19">
        <f>IF($B1985="","",IF(281&gt;NCapA,0,SUMIF(CalcDebit,INDEX(PkCapA,281),CalcAmt)+SUMIF(CalcDebit2,INDEX(PkCapA,281),CalcAmt2)))</f>
        <v/>
      </c>
      <c r="F1985" s="19">
        <f>IF($B1985="","",IF(281&gt;NCapA,0,SUMIF(CalcCredit,INDEX(PkCapA,281),CalcAmt)+SUMIF(CalcCredit2,INDEX(PkCapA,281),CalcAmt2)))</f>
        <v/>
      </c>
      <c r="G1985" s="20">
        <f>IF($B1985="","",ROUND($E1985-$F1985,0))</f>
        <v/>
      </c>
      <c r="H1985" s="17">
        <f>IF($B1985="","",IF(ROUND($G1985,0)&gt;0,"بدهکار",IF(ROUND($G1985,0)&lt;0,"بستانکار","تسویه")))</f>
        <v/>
      </c>
    </row>
    <row r="1986">
      <c r="A1986" s="11">
        <f>IF($B1986="","",1977)</f>
        <v/>
      </c>
      <c r="B1986" s="12">
        <f>IF(282&gt;NCapA,"",IFERROR(IF(VLOOKUP(INDEX(PkCapA,282),AcctTblA,4,0)="","(بدون نام)",VLOOKUP(INDEX(PkCapA,282),AcctTblA,4,0)),"—"))</f>
        <v/>
      </c>
      <c r="C1986" s="13">
        <f>IF($B1986="","",IF(282&gt;NCapA,"",INDEX(PkCapA,282)))</f>
        <v/>
      </c>
      <c r="D1986" s="12">
        <f>IF($B1986="","","c")</f>
        <v/>
      </c>
      <c r="E1986" s="14">
        <f>IF($B1986="","",IF(282&gt;NCapA,0,SUMIF(CalcDebit,INDEX(PkCapA,282),CalcAmt)+SUMIF(CalcDebit2,INDEX(PkCapA,282),CalcAmt2)))</f>
        <v/>
      </c>
      <c r="F1986" s="14">
        <f>IF($B1986="","",IF(282&gt;NCapA,0,SUMIF(CalcCredit,INDEX(PkCapA,282),CalcAmt)+SUMIF(CalcCredit2,INDEX(PkCapA,282),CalcAmt2)))</f>
        <v/>
      </c>
      <c r="G1986" s="15">
        <f>IF($B1986="","",ROUND($E1986-$F1986,0))</f>
        <v/>
      </c>
      <c r="H1986" s="12">
        <f>IF($B1986="","",IF(ROUND($G1986,0)&gt;0,"بدهکار",IF(ROUND($G1986,0)&lt;0,"بستانکار","تسویه")))</f>
        <v/>
      </c>
    </row>
    <row r="1987">
      <c r="A1987" s="16">
        <f>IF($B1987="","",1978)</f>
        <v/>
      </c>
      <c r="B1987" s="17">
        <f>IF(283&gt;NCapA,"",IFERROR(IF(VLOOKUP(INDEX(PkCapA,283),AcctTblA,4,0)="","(بدون نام)",VLOOKUP(INDEX(PkCapA,283),AcctTblA,4,0)),"—"))</f>
        <v/>
      </c>
      <c r="C1987" s="18">
        <f>IF($B1987="","",IF(283&gt;NCapA,"",INDEX(PkCapA,283)))</f>
        <v/>
      </c>
      <c r="D1987" s="17">
        <f>IF($B1987="","","c")</f>
        <v/>
      </c>
      <c r="E1987" s="19">
        <f>IF($B1987="","",IF(283&gt;NCapA,0,SUMIF(CalcDebit,INDEX(PkCapA,283),CalcAmt)+SUMIF(CalcDebit2,INDEX(PkCapA,283),CalcAmt2)))</f>
        <v/>
      </c>
      <c r="F1987" s="19">
        <f>IF($B1987="","",IF(283&gt;NCapA,0,SUMIF(CalcCredit,INDEX(PkCapA,283),CalcAmt)+SUMIF(CalcCredit2,INDEX(PkCapA,283),CalcAmt2)))</f>
        <v/>
      </c>
      <c r="G1987" s="20">
        <f>IF($B1987="","",ROUND($E1987-$F1987,0))</f>
        <v/>
      </c>
      <c r="H1987" s="17">
        <f>IF($B1987="","",IF(ROUND($G1987,0)&gt;0,"بدهکار",IF(ROUND($G1987,0)&lt;0,"بستانکار","تسویه")))</f>
        <v/>
      </c>
    </row>
    <row r="1988">
      <c r="A1988" s="11">
        <f>IF($B1988="","",1979)</f>
        <v/>
      </c>
      <c r="B1988" s="12">
        <f>IF(284&gt;NCapA,"",IFERROR(IF(VLOOKUP(INDEX(PkCapA,284),AcctTblA,4,0)="","(بدون نام)",VLOOKUP(INDEX(PkCapA,284),AcctTblA,4,0)),"—"))</f>
        <v/>
      </c>
      <c r="C1988" s="13">
        <f>IF($B1988="","",IF(284&gt;NCapA,"",INDEX(PkCapA,284)))</f>
        <v/>
      </c>
      <c r="D1988" s="12">
        <f>IF($B1988="","","c")</f>
        <v/>
      </c>
      <c r="E1988" s="14">
        <f>IF($B1988="","",IF(284&gt;NCapA,0,SUMIF(CalcDebit,INDEX(PkCapA,284),CalcAmt)+SUMIF(CalcDebit2,INDEX(PkCapA,284),CalcAmt2)))</f>
        <v/>
      </c>
      <c r="F1988" s="14">
        <f>IF($B1988="","",IF(284&gt;NCapA,0,SUMIF(CalcCredit,INDEX(PkCapA,284),CalcAmt)+SUMIF(CalcCredit2,INDEX(PkCapA,284),CalcAmt2)))</f>
        <v/>
      </c>
      <c r="G1988" s="15">
        <f>IF($B1988="","",ROUND($E1988-$F1988,0))</f>
        <v/>
      </c>
      <c r="H1988" s="12">
        <f>IF($B1988="","",IF(ROUND($G1988,0)&gt;0,"بدهکار",IF(ROUND($G1988,0)&lt;0,"بستانکار","تسویه")))</f>
        <v/>
      </c>
    </row>
    <row r="1989">
      <c r="A1989" s="16">
        <f>IF($B1989="","",1980)</f>
        <v/>
      </c>
      <c r="B1989" s="17">
        <f>IF(285&gt;NCapA,"",IFERROR(IF(VLOOKUP(INDEX(PkCapA,285),AcctTblA,4,0)="","(بدون نام)",VLOOKUP(INDEX(PkCapA,285),AcctTblA,4,0)),"—"))</f>
        <v/>
      </c>
      <c r="C1989" s="18">
        <f>IF($B1989="","",IF(285&gt;NCapA,"",INDEX(PkCapA,285)))</f>
        <v/>
      </c>
      <c r="D1989" s="17">
        <f>IF($B1989="","","c")</f>
        <v/>
      </c>
      <c r="E1989" s="19">
        <f>IF($B1989="","",IF(285&gt;NCapA,0,SUMIF(CalcDebit,INDEX(PkCapA,285),CalcAmt)+SUMIF(CalcDebit2,INDEX(PkCapA,285),CalcAmt2)))</f>
        <v/>
      </c>
      <c r="F1989" s="19">
        <f>IF($B1989="","",IF(285&gt;NCapA,0,SUMIF(CalcCredit,INDEX(PkCapA,285),CalcAmt)+SUMIF(CalcCredit2,INDEX(PkCapA,285),CalcAmt2)))</f>
        <v/>
      </c>
      <c r="G1989" s="20">
        <f>IF($B1989="","",ROUND($E1989-$F1989,0))</f>
        <v/>
      </c>
      <c r="H1989" s="17">
        <f>IF($B1989="","",IF(ROUND($G1989,0)&gt;0,"بدهکار",IF(ROUND($G1989,0)&lt;0,"بستانکار","تسویه")))</f>
        <v/>
      </c>
    </row>
    <row r="1990">
      <c r="A1990" s="11">
        <f>IF($B1990="","",1981)</f>
        <v/>
      </c>
      <c r="B1990" s="12">
        <f>IF(286&gt;NCapA,"",IFERROR(IF(VLOOKUP(INDEX(PkCapA,286),AcctTblA,4,0)="","(بدون نام)",VLOOKUP(INDEX(PkCapA,286),AcctTblA,4,0)),"—"))</f>
        <v/>
      </c>
      <c r="C1990" s="13">
        <f>IF($B1990="","",IF(286&gt;NCapA,"",INDEX(PkCapA,286)))</f>
        <v/>
      </c>
      <c r="D1990" s="12">
        <f>IF($B1990="","","c")</f>
        <v/>
      </c>
      <c r="E1990" s="14">
        <f>IF($B1990="","",IF(286&gt;NCapA,0,SUMIF(CalcDebit,INDEX(PkCapA,286),CalcAmt)+SUMIF(CalcDebit2,INDEX(PkCapA,286),CalcAmt2)))</f>
        <v/>
      </c>
      <c r="F1990" s="14">
        <f>IF($B1990="","",IF(286&gt;NCapA,0,SUMIF(CalcCredit,INDEX(PkCapA,286),CalcAmt)+SUMIF(CalcCredit2,INDEX(PkCapA,286),CalcAmt2)))</f>
        <v/>
      </c>
      <c r="G1990" s="15">
        <f>IF($B1990="","",ROUND($E1990-$F1990,0))</f>
        <v/>
      </c>
      <c r="H1990" s="12">
        <f>IF($B1990="","",IF(ROUND($G1990,0)&gt;0,"بدهکار",IF(ROUND($G1990,0)&lt;0,"بستانکار","تسویه")))</f>
        <v/>
      </c>
    </row>
    <row r="1991">
      <c r="A1991" s="16">
        <f>IF($B1991="","",1982)</f>
        <v/>
      </c>
      <c r="B1991" s="17">
        <f>IF(287&gt;NCapA,"",IFERROR(IF(VLOOKUP(INDEX(PkCapA,287),AcctTblA,4,0)="","(بدون نام)",VLOOKUP(INDEX(PkCapA,287),AcctTblA,4,0)),"—"))</f>
        <v/>
      </c>
      <c r="C1991" s="18">
        <f>IF($B1991="","",IF(287&gt;NCapA,"",INDEX(PkCapA,287)))</f>
        <v/>
      </c>
      <c r="D1991" s="17">
        <f>IF($B1991="","","c")</f>
        <v/>
      </c>
      <c r="E1991" s="19">
        <f>IF($B1991="","",IF(287&gt;NCapA,0,SUMIF(CalcDebit,INDEX(PkCapA,287),CalcAmt)+SUMIF(CalcDebit2,INDEX(PkCapA,287),CalcAmt2)))</f>
        <v/>
      </c>
      <c r="F1991" s="19">
        <f>IF($B1991="","",IF(287&gt;NCapA,0,SUMIF(CalcCredit,INDEX(PkCapA,287),CalcAmt)+SUMIF(CalcCredit2,INDEX(PkCapA,287),CalcAmt2)))</f>
        <v/>
      </c>
      <c r="G1991" s="20">
        <f>IF($B1991="","",ROUND($E1991-$F1991,0))</f>
        <v/>
      </c>
      <c r="H1991" s="17">
        <f>IF($B1991="","",IF(ROUND($G1991,0)&gt;0,"بدهکار",IF(ROUND($G1991,0)&lt;0,"بستانکار","تسویه")))</f>
        <v/>
      </c>
    </row>
    <row r="1992">
      <c r="A1992" s="11">
        <f>IF($B1992="","",1983)</f>
        <v/>
      </c>
      <c r="B1992" s="12">
        <f>IF(288&gt;NCapA,"",IFERROR(IF(VLOOKUP(INDEX(PkCapA,288),AcctTblA,4,0)="","(بدون نام)",VLOOKUP(INDEX(PkCapA,288),AcctTblA,4,0)),"—"))</f>
        <v/>
      </c>
      <c r="C1992" s="13">
        <f>IF($B1992="","",IF(288&gt;NCapA,"",INDEX(PkCapA,288)))</f>
        <v/>
      </c>
      <c r="D1992" s="12">
        <f>IF($B1992="","","c")</f>
        <v/>
      </c>
      <c r="E1992" s="14">
        <f>IF($B1992="","",IF(288&gt;NCapA,0,SUMIF(CalcDebit,INDEX(PkCapA,288),CalcAmt)+SUMIF(CalcDebit2,INDEX(PkCapA,288),CalcAmt2)))</f>
        <v/>
      </c>
      <c r="F1992" s="14">
        <f>IF($B1992="","",IF(288&gt;NCapA,0,SUMIF(CalcCredit,INDEX(PkCapA,288),CalcAmt)+SUMIF(CalcCredit2,INDEX(PkCapA,288),CalcAmt2)))</f>
        <v/>
      </c>
      <c r="G1992" s="15">
        <f>IF($B1992="","",ROUND($E1992-$F1992,0))</f>
        <v/>
      </c>
      <c r="H1992" s="12">
        <f>IF($B1992="","",IF(ROUND($G1992,0)&gt;0,"بدهکار",IF(ROUND($G1992,0)&lt;0,"بستانکار","تسویه")))</f>
        <v/>
      </c>
    </row>
    <row r="1993">
      <c r="A1993" s="16">
        <f>IF($B1993="","",1984)</f>
        <v/>
      </c>
      <c r="B1993" s="17">
        <f>IF(289&gt;NCapA,"",IFERROR(IF(VLOOKUP(INDEX(PkCapA,289),AcctTblA,4,0)="","(بدون نام)",VLOOKUP(INDEX(PkCapA,289),AcctTblA,4,0)),"—"))</f>
        <v/>
      </c>
      <c r="C1993" s="18">
        <f>IF($B1993="","",IF(289&gt;NCapA,"",INDEX(PkCapA,289)))</f>
        <v/>
      </c>
      <c r="D1993" s="17">
        <f>IF($B1993="","","c")</f>
        <v/>
      </c>
      <c r="E1993" s="19">
        <f>IF($B1993="","",IF(289&gt;NCapA,0,SUMIF(CalcDebit,INDEX(PkCapA,289),CalcAmt)+SUMIF(CalcDebit2,INDEX(PkCapA,289),CalcAmt2)))</f>
        <v/>
      </c>
      <c r="F1993" s="19">
        <f>IF($B1993="","",IF(289&gt;NCapA,0,SUMIF(CalcCredit,INDEX(PkCapA,289),CalcAmt)+SUMIF(CalcCredit2,INDEX(PkCapA,289),CalcAmt2)))</f>
        <v/>
      </c>
      <c r="G1993" s="20">
        <f>IF($B1993="","",ROUND($E1993-$F1993,0))</f>
        <v/>
      </c>
      <c r="H1993" s="17">
        <f>IF($B1993="","",IF(ROUND($G1993,0)&gt;0,"بدهکار",IF(ROUND($G1993,0)&lt;0,"بستانکار","تسویه")))</f>
        <v/>
      </c>
    </row>
    <row r="1994">
      <c r="A1994" s="11">
        <f>IF($B1994="","",1985)</f>
        <v/>
      </c>
      <c r="B1994" s="12">
        <f>IF(290&gt;NCapA,"",IFERROR(IF(VLOOKUP(INDEX(PkCapA,290),AcctTblA,4,0)="","(بدون نام)",VLOOKUP(INDEX(PkCapA,290),AcctTblA,4,0)),"—"))</f>
        <v/>
      </c>
      <c r="C1994" s="13">
        <f>IF($B1994="","",IF(290&gt;NCapA,"",INDEX(PkCapA,290)))</f>
        <v/>
      </c>
      <c r="D1994" s="12">
        <f>IF($B1994="","","c")</f>
        <v/>
      </c>
      <c r="E1994" s="14">
        <f>IF($B1994="","",IF(290&gt;NCapA,0,SUMIF(CalcDebit,INDEX(PkCapA,290),CalcAmt)+SUMIF(CalcDebit2,INDEX(PkCapA,290),CalcAmt2)))</f>
        <v/>
      </c>
      <c r="F1994" s="14">
        <f>IF($B1994="","",IF(290&gt;NCapA,0,SUMIF(CalcCredit,INDEX(PkCapA,290),CalcAmt)+SUMIF(CalcCredit2,INDEX(PkCapA,290),CalcAmt2)))</f>
        <v/>
      </c>
      <c r="G1994" s="15">
        <f>IF($B1994="","",ROUND($E1994-$F1994,0))</f>
        <v/>
      </c>
      <c r="H1994" s="12">
        <f>IF($B1994="","",IF(ROUND($G1994,0)&gt;0,"بدهکار",IF(ROUND($G1994,0)&lt;0,"بستانکار","تسویه")))</f>
        <v/>
      </c>
    </row>
    <row r="1995">
      <c r="A1995" s="16">
        <f>IF($B1995="","",1986)</f>
        <v/>
      </c>
      <c r="B1995" s="17">
        <f>IF(291&gt;NCapA,"",IFERROR(IF(VLOOKUP(INDEX(PkCapA,291),AcctTblA,4,0)="","(بدون نام)",VLOOKUP(INDEX(PkCapA,291),AcctTblA,4,0)),"—"))</f>
        <v/>
      </c>
      <c r="C1995" s="18">
        <f>IF($B1995="","",IF(291&gt;NCapA,"",INDEX(PkCapA,291)))</f>
        <v/>
      </c>
      <c r="D1995" s="17">
        <f>IF($B1995="","","c")</f>
        <v/>
      </c>
      <c r="E1995" s="19">
        <f>IF($B1995="","",IF(291&gt;NCapA,0,SUMIF(CalcDebit,INDEX(PkCapA,291),CalcAmt)+SUMIF(CalcDebit2,INDEX(PkCapA,291),CalcAmt2)))</f>
        <v/>
      </c>
      <c r="F1995" s="19">
        <f>IF($B1995="","",IF(291&gt;NCapA,0,SUMIF(CalcCredit,INDEX(PkCapA,291),CalcAmt)+SUMIF(CalcCredit2,INDEX(PkCapA,291),CalcAmt2)))</f>
        <v/>
      </c>
      <c r="G1995" s="20">
        <f>IF($B1995="","",ROUND($E1995-$F1995,0))</f>
        <v/>
      </c>
      <c r="H1995" s="17">
        <f>IF($B1995="","",IF(ROUND($G1995,0)&gt;0,"بدهکار",IF(ROUND($G1995,0)&lt;0,"بستانکار","تسویه")))</f>
        <v/>
      </c>
    </row>
    <row r="1996">
      <c r="A1996" s="11">
        <f>IF($B1996="","",1987)</f>
        <v/>
      </c>
      <c r="B1996" s="12">
        <f>IF(292&gt;NCapA,"",IFERROR(IF(VLOOKUP(INDEX(PkCapA,292),AcctTblA,4,0)="","(بدون نام)",VLOOKUP(INDEX(PkCapA,292),AcctTblA,4,0)),"—"))</f>
        <v/>
      </c>
      <c r="C1996" s="13">
        <f>IF($B1996="","",IF(292&gt;NCapA,"",INDEX(PkCapA,292)))</f>
        <v/>
      </c>
      <c r="D1996" s="12">
        <f>IF($B1996="","","c")</f>
        <v/>
      </c>
      <c r="E1996" s="14">
        <f>IF($B1996="","",IF(292&gt;NCapA,0,SUMIF(CalcDebit,INDEX(PkCapA,292),CalcAmt)+SUMIF(CalcDebit2,INDEX(PkCapA,292),CalcAmt2)))</f>
        <v/>
      </c>
      <c r="F1996" s="14">
        <f>IF($B1996="","",IF(292&gt;NCapA,0,SUMIF(CalcCredit,INDEX(PkCapA,292),CalcAmt)+SUMIF(CalcCredit2,INDEX(PkCapA,292),CalcAmt2)))</f>
        <v/>
      </c>
      <c r="G1996" s="15">
        <f>IF($B1996="","",ROUND($E1996-$F1996,0))</f>
        <v/>
      </c>
      <c r="H1996" s="12">
        <f>IF($B1996="","",IF(ROUND($G1996,0)&gt;0,"بدهکار",IF(ROUND($G1996,0)&lt;0,"بستانکار","تسویه")))</f>
        <v/>
      </c>
    </row>
    <row r="1997">
      <c r="A1997" s="16">
        <f>IF($B1997="","",1988)</f>
        <v/>
      </c>
      <c r="B1997" s="17">
        <f>IF(293&gt;NCapA,"",IFERROR(IF(VLOOKUP(INDEX(PkCapA,293),AcctTblA,4,0)="","(بدون نام)",VLOOKUP(INDEX(PkCapA,293),AcctTblA,4,0)),"—"))</f>
        <v/>
      </c>
      <c r="C1997" s="18">
        <f>IF($B1997="","",IF(293&gt;NCapA,"",INDEX(PkCapA,293)))</f>
        <v/>
      </c>
      <c r="D1997" s="17">
        <f>IF($B1997="","","c")</f>
        <v/>
      </c>
      <c r="E1997" s="19">
        <f>IF($B1997="","",IF(293&gt;NCapA,0,SUMIF(CalcDebit,INDEX(PkCapA,293),CalcAmt)+SUMIF(CalcDebit2,INDEX(PkCapA,293),CalcAmt2)))</f>
        <v/>
      </c>
      <c r="F1997" s="19">
        <f>IF($B1997="","",IF(293&gt;NCapA,0,SUMIF(CalcCredit,INDEX(PkCapA,293),CalcAmt)+SUMIF(CalcCredit2,INDEX(PkCapA,293),CalcAmt2)))</f>
        <v/>
      </c>
      <c r="G1997" s="20">
        <f>IF($B1997="","",ROUND($E1997-$F1997,0))</f>
        <v/>
      </c>
      <c r="H1997" s="17">
        <f>IF($B1997="","",IF(ROUND($G1997,0)&gt;0,"بدهکار",IF(ROUND($G1997,0)&lt;0,"بستانکار","تسویه")))</f>
        <v/>
      </c>
    </row>
    <row r="1998">
      <c r="A1998" s="11">
        <f>IF($B1998="","",1989)</f>
        <v/>
      </c>
      <c r="B1998" s="12">
        <f>IF(294&gt;NCapA,"",IFERROR(IF(VLOOKUP(INDEX(PkCapA,294),AcctTblA,4,0)="","(بدون نام)",VLOOKUP(INDEX(PkCapA,294),AcctTblA,4,0)),"—"))</f>
        <v/>
      </c>
      <c r="C1998" s="13">
        <f>IF($B1998="","",IF(294&gt;NCapA,"",INDEX(PkCapA,294)))</f>
        <v/>
      </c>
      <c r="D1998" s="12">
        <f>IF($B1998="","","c")</f>
        <v/>
      </c>
      <c r="E1998" s="14">
        <f>IF($B1998="","",IF(294&gt;NCapA,0,SUMIF(CalcDebit,INDEX(PkCapA,294),CalcAmt)+SUMIF(CalcDebit2,INDEX(PkCapA,294),CalcAmt2)))</f>
        <v/>
      </c>
      <c r="F1998" s="14">
        <f>IF($B1998="","",IF(294&gt;NCapA,0,SUMIF(CalcCredit,INDEX(PkCapA,294),CalcAmt)+SUMIF(CalcCredit2,INDEX(PkCapA,294),CalcAmt2)))</f>
        <v/>
      </c>
      <c r="G1998" s="15">
        <f>IF($B1998="","",ROUND($E1998-$F1998,0))</f>
        <v/>
      </c>
      <c r="H1998" s="12">
        <f>IF($B1998="","",IF(ROUND($G1998,0)&gt;0,"بدهکار",IF(ROUND($G1998,0)&lt;0,"بستانکار","تسویه")))</f>
        <v/>
      </c>
    </row>
    <row r="1999">
      <c r="A1999" s="16">
        <f>IF($B1999="","",1990)</f>
        <v/>
      </c>
      <c r="B1999" s="17">
        <f>IF(295&gt;NCapA,"",IFERROR(IF(VLOOKUP(INDEX(PkCapA,295),AcctTblA,4,0)="","(بدون نام)",VLOOKUP(INDEX(PkCapA,295),AcctTblA,4,0)),"—"))</f>
        <v/>
      </c>
      <c r="C1999" s="18">
        <f>IF($B1999="","",IF(295&gt;NCapA,"",INDEX(PkCapA,295)))</f>
        <v/>
      </c>
      <c r="D1999" s="17">
        <f>IF($B1999="","","c")</f>
        <v/>
      </c>
      <c r="E1999" s="19">
        <f>IF($B1999="","",IF(295&gt;NCapA,0,SUMIF(CalcDebit,INDEX(PkCapA,295),CalcAmt)+SUMIF(CalcDebit2,INDEX(PkCapA,295),CalcAmt2)))</f>
        <v/>
      </c>
      <c r="F1999" s="19">
        <f>IF($B1999="","",IF(295&gt;NCapA,0,SUMIF(CalcCredit,INDEX(PkCapA,295),CalcAmt)+SUMIF(CalcCredit2,INDEX(PkCapA,295),CalcAmt2)))</f>
        <v/>
      </c>
      <c r="G1999" s="20">
        <f>IF($B1999="","",ROUND($E1999-$F1999,0))</f>
        <v/>
      </c>
      <c r="H1999" s="17">
        <f>IF($B1999="","",IF(ROUND($G1999,0)&gt;0,"بدهکار",IF(ROUND($G1999,0)&lt;0,"بستانکار","تسویه")))</f>
        <v/>
      </c>
    </row>
    <row r="2000">
      <c r="A2000" s="11">
        <f>IF($B2000="","",1991)</f>
        <v/>
      </c>
      <c r="B2000" s="12">
        <f>IF(296&gt;NCapA,"",IFERROR(IF(VLOOKUP(INDEX(PkCapA,296),AcctTblA,4,0)="","(بدون نام)",VLOOKUP(INDEX(PkCapA,296),AcctTblA,4,0)),"—"))</f>
        <v/>
      </c>
      <c r="C2000" s="13">
        <f>IF($B2000="","",IF(296&gt;NCapA,"",INDEX(PkCapA,296)))</f>
        <v/>
      </c>
      <c r="D2000" s="12">
        <f>IF($B2000="","","c")</f>
        <v/>
      </c>
      <c r="E2000" s="14">
        <f>IF($B2000="","",IF(296&gt;NCapA,0,SUMIF(CalcDebit,INDEX(PkCapA,296),CalcAmt)+SUMIF(CalcDebit2,INDEX(PkCapA,296),CalcAmt2)))</f>
        <v/>
      </c>
      <c r="F2000" s="14">
        <f>IF($B2000="","",IF(296&gt;NCapA,0,SUMIF(CalcCredit,INDEX(PkCapA,296),CalcAmt)+SUMIF(CalcCredit2,INDEX(PkCapA,296),CalcAmt2)))</f>
        <v/>
      </c>
      <c r="G2000" s="15">
        <f>IF($B2000="","",ROUND($E2000-$F2000,0))</f>
        <v/>
      </c>
      <c r="H2000" s="12">
        <f>IF($B2000="","",IF(ROUND($G2000,0)&gt;0,"بدهکار",IF(ROUND($G2000,0)&lt;0,"بستانکار","تسویه")))</f>
        <v/>
      </c>
    </row>
    <row r="2001">
      <c r="A2001" s="16">
        <f>IF($B2001="","",1992)</f>
        <v/>
      </c>
      <c r="B2001" s="17">
        <f>IF(297&gt;NCapA,"",IFERROR(IF(VLOOKUP(INDEX(PkCapA,297),AcctTblA,4,0)="","(بدون نام)",VLOOKUP(INDEX(PkCapA,297),AcctTblA,4,0)),"—"))</f>
        <v/>
      </c>
      <c r="C2001" s="18">
        <f>IF($B2001="","",IF(297&gt;NCapA,"",INDEX(PkCapA,297)))</f>
        <v/>
      </c>
      <c r="D2001" s="17">
        <f>IF($B2001="","","c")</f>
        <v/>
      </c>
      <c r="E2001" s="19">
        <f>IF($B2001="","",IF(297&gt;NCapA,0,SUMIF(CalcDebit,INDEX(PkCapA,297),CalcAmt)+SUMIF(CalcDebit2,INDEX(PkCapA,297),CalcAmt2)))</f>
        <v/>
      </c>
      <c r="F2001" s="19">
        <f>IF($B2001="","",IF(297&gt;NCapA,0,SUMIF(CalcCredit,INDEX(PkCapA,297),CalcAmt)+SUMIF(CalcCredit2,INDEX(PkCapA,297),CalcAmt2)))</f>
        <v/>
      </c>
      <c r="G2001" s="20">
        <f>IF($B2001="","",ROUND($E2001-$F2001,0))</f>
        <v/>
      </c>
      <c r="H2001" s="17">
        <f>IF($B2001="","",IF(ROUND($G2001,0)&gt;0,"بدهکار",IF(ROUND($G2001,0)&lt;0,"بستانکار","تسویه")))</f>
        <v/>
      </c>
    </row>
    <row r="2002">
      <c r="A2002" s="11">
        <f>IF($B2002="","",1993)</f>
        <v/>
      </c>
      <c r="B2002" s="12">
        <f>IF(298&gt;NCapA,"",IFERROR(IF(VLOOKUP(INDEX(PkCapA,298),AcctTblA,4,0)="","(بدون نام)",VLOOKUP(INDEX(PkCapA,298),AcctTblA,4,0)),"—"))</f>
        <v/>
      </c>
      <c r="C2002" s="13">
        <f>IF($B2002="","",IF(298&gt;NCapA,"",INDEX(PkCapA,298)))</f>
        <v/>
      </c>
      <c r="D2002" s="12">
        <f>IF($B2002="","","c")</f>
        <v/>
      </c>
      <c r="E2002" s="14">
        <f>IF($B2002="","",IF(298&gt;NCapA,0,SUMIF(CalcDebit,INDEX(PkCapA,298),CalcAmt)+SUMIF(CalcDebit2,INDEX(PkCapA,298),CalcAmt2)))</f>
        <v/>
      </c>
      <c r="F2002" s="14">
        <f>IF($B2002="","",IF(298&gt;NCapA,0,SUMIF(CalcCredit,INDEX(PkCapA,298),CalcAmt)+SUMIF(CalcCredit2,INDEX(PkCapA,298),CalcAmt2)))</f>
        <v/>
      </c>
      <c r="G2002" s="15">
        <f>IF($B2002="","",ROUND($E2002-$F2002,0))</f>
        <v/>
      </c>
      <c r="H2002" s="12">
        <f>IF($B2002="","",IF(ROUND($G2002,0)&gt;0,"بدهکار",IF(ROUND($G2002,0)&lt;0,"بستانکار","تسویه")))</f>
        <v/>
      </c>
    </row>
    <row r="2003">
      <c r="A2003" s="16">
        <f>IF($B2003="","",1994)</f>
        <v/>
      </c>
      <c r="B2003" s="17">
        <f>IF(299&gt;NCapA,"",IFERROR(IF(VLOOKUP(INDEX(PkCapA,299),AcctTblA,4,0)="","(بدون نام)",VLOOKUP(INDEX(PkCapA,299),AcctTblA,4,0)),"—"))</f>
        <v/>
      </c>
      <c r="C2003" s="18">
        <f>IF($B2003="","",IF(299&gt;NCapA,"",INDEX(PkCapA,299)))</f>
        <v/>
      </c>
      <c r="D2003" s="17">
        <f>IF($B2003="","","c")</f>
        <v/>
      </c>
      <c r="E2003" s="19">
        <f>IF($B2003="","",IF(299&gt;NCapA,0,SUMIF(CalcDebit,INDEX(PkCapA,299),CalcAmt)+SUMIF(CalcDebit2,INDEX(PkCapA,299),CalcAmt2)))</f>
        <v/>
      </c>
      <c r="F2003" s="19">
        <f>IF($B2003="","",IF(299&gt;NCapA,0,SUMIF(CalcCredit,INDEX(PkCapA,299),CalcAmt)+SUMIF(CalcCredit2,INDEX(PkCapA,299),CalcAmt2)))</f>
        <v/>
      </c>
      <c r="G2003" s="20">
        <f>IF($B2003="","",ROUND($E2003-$F2003,0))</f>
        <v/>
      </c>
      <c r="H2003" s="17">
        <f>IF($B2003="","",IF(ROUND($G2003,0)&gt;0,"بدهکار",IF(ROUND($G2003,0)&lt;0,"بستانکار","تسویه")))</f>
        <v/>
      </c>
    </row>
    <row r="2004">
      <c r="A2004" s="11">
        <f>IF($B2004="","",1995)</f>
        <v/>
      </c>
      <c r="B2004" s="12">
        <f>IF(300&gt;NCapA,"",IFERROR(IF(VLOOKUP(INDEX(PkCapA,300),AcctTblA,4,0)="","(بدون نام)",VLOOKUP(INDEX(PkCapA,300),AcctTblA,4,0)),"—"))</f>
        <v/>
      </c>
      <c r="C2004" s="13">
        <f>IF($B2004="","",IF(300&gt;NCapA,"",INDEX(PkCapA,300)))</f>
        <v/>
      </c>
      <c r="D2004" s="12">
        <f>IF($B2004="","","c")</f>
        <v/>
      </c>
      <c r="E2004" s="14">
        <f>IF($B2004="","",IF(300&gt;NCapA,0,SUMIF(CalcDebit,INDEX(PkCapA,300),CalcAmt)+SUMIF(CalcDebit2,INDEX(PkCapA,300),CalcAmt2)))</f>
        <v/>
      </c>
      <c r="F2004" s="14">
        <f>IF($B2004="","",IF(300&gt;NCapA,0,SUMIF(CalcCredit,INDEX(PkCapA,300),CalcAmt)+SUMIF(CalcCredit2,INDEX(PkCapA,300),CalcAmt2)))</f>
        <v/>
      </c>
      <c r="G2004" s="15">
        <f>IF($B2004="","",ROUND($E2004-$F2004,0))</f>
        <v/>
      </c>
      <c r="H2004" s="12">
        <f>IF($B2004="","",IF(ROUND($G2004,0)&gt;0,"بدهکار",IF(ROUND($G2004,0)&lt;0,"بستانکار","تسویه")))</f>
        <v/>
      </c>
    </row>
    <row r="2005">
      <c r="A2005" s="16">
        <f>IF($B2005="","",1996)</f>
        <v/>
      </c>
      <c r="B2005" s="17">
        <f>IF(301&gt;NCapA,"",IFERROR(IF(VLOOKUP(INDEX(PkCapA,301),AcctTblA,4,0)="","(بدون نام)",VLOOKUP(INDEX(PkCapA,301),AcctTblA,4,0)),"—"))</f>
        <v/>
      </c>
      <c r="C2005" s="18">
        <f>IF($B2005="","",IF(301&gt;NCapA,"",INDEX(PkCapA,301)))</f>
        <v/>
      </c>
      <c r="D2005" s="17">
        <f>IF($B2005="","","c")</f>
        <v/>
      </c>
      <c r="E2005" s="19">
        <f>IF($B2005="","",IF(301&gt;NCapA,0,SUMIF(CalcDebit,INDEX(PkCapA,301),CalcAmt)+SUMIF(CalcDebit2,INDEX(PkCapA,301),CalcAmt2)))</f>
        <v/>
      </c>
      <c r="F2005" s="19">
        <f>IF($B2005="","",IF(301&gt;NCapA,0,SUMIF(CalcCredit,INDEX(PkCapA,301),CalcAmt)+SUMIF(CalcCredit2,INDEX(PkCapA,301),CalcAmt2)))</f>
        <v/>
      </c>
      <c r="G2005" s="20">
        <f>IF($B2005="","",ROUND($E2005-$F2005,0))</f>
        <v/>
      </c>
      <c r="H2005" s="17">
        <f>IF($B2005="","",IF(ROUND($G2005,0)&gt;0,"بدهکار",IF(ROUND($G2005,0)&lt;0,"بستانکار","تسویه")))</f>
        <v/>
      </c>
    </row>
    <row r="2006">
      <c r="A2006" s="11">
        <f>IF($B2006="","",1997)</f>
        <v/>
      </c>
      <c r="B2006" s="12">
        <f>IF(302&gt;NCapA,"",IFERROR(IF(VLOOKUP(INDEX(PkCapA,302),AcctTblA,4,0)="","(بدون نام)",VLOOKUP(INDEX(PkCapA,302),AcctTblA,4,0)),"—"))</f>
        <v/>
      </c>
      <c r="C2006" s="13">
        <f>IF($B2006="","",IF(302&gt;NCapA,"",INDEX(PkCapA,302)))</f>
        <v/>
      </c>
      <c r="D2006" s="12">
        <f>IF($B2006="","","c")</f>
        <v/>
      </c>
      <c r="E2006" s="14">
        <f>IF($B2006="","",IF(302&gt;NCapA,0,SUMIF(CalcDebit,INDEX(PkCapA,302),CalcAmt)+SUMIF(CalcDebit2,INDEX(PkCapA,302),CalcAmt2)))</f>
        <v/>
      </c>
      <c r="F2006" s="14">
        <f>IF($B2006="","",IF(302&gt;NCapA,0,SUMIF(CalcCredit,INDEX(PkCapA,302),CalcAmt)+SUMIF(CalcCredit2,INDEX(PkCapA,302),CalcAmt2)))</f>
        <v/>
      </c>
      <c r="G2006" s="15">
        <f>IF($B2006="","",ROUND($E2006-$F2006,0))</f>
        <v/>
      </c>
      <c r="H2006" s="12">
        <f>IF($B2006="","",IF(ROUND($G2006,0)&gt;0,"بدهکار",IF(ROUND($G2006,0)&lt;0,"بستانکار","تسویه")))</f>
        <v/>
      </c>
    </row>
    <row r="2007">
      <c r="A2007" s="16">
        <f>IF($B2007="","",1998)</f>
        <v/>
      </c>
      <c r="B2007" s="17">
        <f>IF(303&gt;NCapA,"",IFERROR(IF(VLOOKUP(INDEX(PkCapA,303),AcctTblA,4,0)="","(بدون نام)",VLOOKUP(INDEX(PkCapA,303),AcctTblA,4,0)),"—"))</f>
        <v/>
      </c>
      <c r="C2007" s="18">
        <f>IF($B2007="","",IF(303&gt;NCapA,"",INDEX(PkCapA,303)))</f>
        <v/>
      </c>
      <c r="D2007" s="17">
        <f>IF($B2007="","","c")</f>
        <v/>
      </c>
      <c r="E2007" s="19">
        <f>IF($B2007="","",IF(303&gt;NCapA,0,SUMIF(CalcDebit,INDEX(PkCapA,303),CalcAmt)+SUMIF(CalcDebit2,INDEX(PkCapA,303),CalcAmt2)))</f>
        <v/>
      </c>
      <c r="F2007" s="19">
        <f>IF($B2007="","",IF(303&gt;NCapA,0,SUMIF(CalcCredit,INDEX(PkCapA,303),CalcAmt)+SUMIF(CalcCredit2,INDEX(PkCapA,303),CalcAmt2)))</f>
        <v/>
      </c>
      <c r="G2007" s="20">
        <f>IF($B2007="","",ROUND($E2007-$F2007,0))</f>
        <v/>
      </c>
      <c r="H2007" s="17">
        <f>IF($B2007="","",IF(ROUND($G2007,0)&gt;0,"بدهکار",IF(ROUND($G2007,0)&lt;0,"بستانکار","تسویه")))</f>
        <v/>
      </c>
    </row>
    <row r="2008">
      <c r="A2008" s="11">
        <f>IF($B2008="","",1999)</f>
        <v/>
      </c>
      <c r="B2008" s="12">
        <f>IF(304&gt;NCapA,"",IFERROR(IF(VLOOKUP(INDEX(PkCapA,304),AcctTblA,4,0)="","(بدون نام)",VLOOKUP(INDEX(PkCapA,304),AcctTblA,4,0)),"—"))</f>
        <v/>
      </c>
      <c r="C2008" s="13">
        <f>IF($B2008="","",IF(304&gt;NCapA,"",INDEX(PkCapA,304)))</f>
        <v/>
      </c>
      <c r="D2008" s="12">
        <f>IF($B2008="","","c")</f>
        <v/>
      </c>
      <c r="E2008" s="14">
        <f>IF($B2008="","",IF(304&gt;NCapA,0,SUMIF(CalcDebit,INDEX(PkCapA,304),CalcAmt)+SUMIF(CalcDebit2,INDEX(PkCapA,304),CalcAmt2)))</f>
        <v/>
      </c>
      <c r="F2008" s="14">
        <f>IF($B2008="","",IF(304&gt;NCapA,0,SUMIF(CalcCredit,INDEX(PkCapA,304),CalcAmt)+SUMIF(CalcCredit2,INDEX(PkCapA,304),CalcAmt2)))</f>
        <v/>
      </c>
      <c r="G2008" s="15">
        <f>IF($B2008="","",ROUND($E2008-$F2008,0))</f>
        <v/>
      </c>
      <c r="H2008" s="12">
        <f>IF($B2008="","",IF(ROUND($G2008,0)&gt;0,"بدهکار",IF(ROUND($G2008,0)&lt;0,"بستانکار","تسویه")))</f>
        <v/>
      </c>
    </row>
    <row r="2009">
      <c r="A2009" s="16">
        <f>IF($B2009="","",2000)</f>
        <v/>
      </c>
      <c r="B2009" s="17">
        <f>IF(305&gt;NCapA,"",IFERROR(IF(VLOOKUP(INDEX(PkCapA,305),AcctTblA,4,0)="","(بدون نام)",VLOOKUP(INDEX(PkCapA,305),AcctTblA,4,0)),"—"))</f>
        <v/>
      </c>
      <c r="C2009" s="18">
        <f>IF($B2009="","",IF(305&gt;NCapA,"",INDEX(PkCapA,305)))</f>
        <v/>
      </c>
      <c r="D2009" s="17">
        <f>IF($B2009="","","c")</f>
        <v/>
      </c>
      <c r="E2009" s="19">
        <f>IF($B2009="","",IF(305&gt;NCapA,0,SUMIF(CalcDebit,INDEX(PkCapA,305),CalcAmt)+SUMIF(CalcDebit2,INDEX(PkCapA,305),CalcAmt2)))</f>
        <v/>
      </c>
      <c r="F2009" s="19">
        <f>IF($B2009="","",IF(305&gt;NCapA,0,SUMIF(CalcCredit,INDEX(PkCapA,305),CalcAmt)+SUMIF(CalcCredit2,INDEX(PkCapA,305),CalcAmt2)))</f>
        <v/>
      </c>
      <c r="G2009" s="20">
        <f>IF($B2009="","",ROUND($E2009-$F2009,0))</f>
        <v/>
      </c>
      <c r="H2009" s="17">
        <f>IF($B2009="","",IF(ROUND($G2009,0)&gt;0,"بدهکار",IF(ROUND($G2009,0)&lt;0,"بستانکار","تسویه")))</f>
        <v/>
      </c>
    </row>
    <row r="2010">
      <c r="A2010" s="11">
        <f>IF($B2010="","",2001)</f>
        <v/>
      </c>
      <c r="B2010" s="12">
        <f>IF(306&gt;NCapA,"",IFERROR(IF(VLOOKUP(INDEX(PkCapA,306),AcctTblA,4,0)="","(بدون نام)",VLOOKUP(INDEX(PkCapA,306),AcctTblA,4,0)),"—"))</f>
        <v/>
      </c>
      <c r="C2010" s="13">
        <f>IF($B2010="","",IF(306&gt;NCapA,"",INDEX(PkCapA,306)))</f>
        <v/>
      </c>
      <c r="D2010" s="12">
        <f>IF($B2010="","","c")</f>
        <v/>
      </c>
      <c r="E2010" s="14">
        <f>IF($B2010="","",IF(306&gt;NCapA,0,SUMIF(CalcDebit,INDEX(PkCapA,306),CalcAmt)+SUMIF(CalcDebit2,INDEX(PkCapA,306),CalcAmt2)))</f>
        <v/>
      </c>
      <c r="F2010" s="14">
        <f>IF($B2010="","",IF(306&gt;NCapA,0,SUMIF(CalcCredit,INDEX(PkCapA,306),CalcAmt)+SUMIF(CalcCredit2,INDEX(PkCapA,306),CalcAmt2)))</f>
        <v/>
      </c>
      <c r="G2010" s="15">
        <f>IF($B2010="","",ROUND($E2010-$F2010,0))</f>
        <v/>
      </c>
      <c r="H2010" s="12">
        <f>IF($B2010="","",IF(ROUND($G2010,0)&gt;0,"بدهکار",IF(ROUND($G2010,0)&lt;0,"بستانکار","تسویه")))</f>
        <v/>
      </c>
    </row>
    <row r="2011">
      <c r="A2011" s="16">
        <f>IF($B2011="","",2002)</f>
        <v/>
      </c>
      <c r="B2011" s="17">
        <f>IF(307&gt;NCapA,"",IFERROR(IF(VLOOKUP(INDEX(PkCapA,307),AcctTblA,4,0)="","(بدون نام)",VLOOKUP(INDEX(PkCapA,307),AcctTblA,4,0)),"—"))</f>
        <v/>
      </c>
      <c r="C2011" s="18">
        <f>IF($B2011="","",IF(307&gt;NCapA,"",INDEX(PkCapA,307)))</f>
        <v/>
      </c>
      <c r="D2011" s="17">
        <f>IF($B2011="","","c")</f>
        <v/>
      </c>
      <c r="E2011" s="19">
        <f>IF($B2011="","",IF(307&gt;NCapA,0,SUMIF(CalcDebit,INDEX(PkCapA,307),CalcAmt)+SUMIF(CalcDebit2,INDEX(PkCapA,307),CalcAmt2)))</f>
        <v/>
      </c>
      <c r="F2011" s="19">
        <f>IF($B2011="","",IF(307&gt;NCapA,0,SUMIF(CalcCredit,INDEX(PkCapA,307),CalcAmt)+SUMIF(CalcCredit2,INDEX(PkCapA,307),CalcAmt2)))</f>
        <v/>
      </c>
      <c r="G2011" s="20">
        <f>IF($B2011="","",ROUND($E2011-$F2011,0))</f>
        <v/>
      </c>
      <c r="H2011" s="17">
        <f>IF($B2011="","",IF(ROUND($G2011,0)&gt;0,"بدهکار",IF(ROUND($G2011,0)&lt;0,"بستانکار","تسویه")))</f>
        <v/>
      </c>
    </row>
    <row r="2012">
      <c r="A2012" s="11">
        <f>IF($B2012="","",2003)</f>
        <v/>
      </c>
      <c r="B2012" s="12">
        <f>IF(308&gt;NCapA,"",IFERROR(IF(VLOOKUP(INDEX(PkCapA,308),AcctTblA,4,0)="","(بدون نام)",VLOOKUP(INDEX(PkCapA,308),AcctTblA,4,0)),"—"))</f>
        <v/>
      </c>
      <c r="C2012" s="13">
        <f>IF($B2012="","",IF(308&gt;NCapA,"",INDEX(PkCapA,308)))</f>
        <v/>
      </c>
      <c r="D2012" s="12">
        <f>IF($B2012="","","c")</f>
        <v/>
      </c>
      <c r="E2012" s="14">
        <f>IF($B2012="","",IF(308&gt;NCapA,0,SUMIF(CalcDebit,INDEX(PkCapA,308),CalcAmt)+SUMIF(CalcDebit2,INDEX(PkCapA,308),CalcAmt2)))</f>
        <v/>
      </c>
      <c r="F2012" s="14">
        <f>IF($B2012="","",IF(308&gt;NCapA,0,SUMIF(CalcCredit,INDEX(PkCapA,308),CalcAmt)+SUMIF(CalcCredit2,INDEX(PkCapA,308),CalcAmt2)))</f>
        <v/>
      </c>
      <c r="G2012" s="15">
        <f>IF($B2012="","",ROUND($E2012-$F2012,0))</f>
        <v/>
      </c>
      <c r="H2012" s="12">
        <f>IF($B2012="","",IF(ROUND($G2012,0)&gt;0,"بدهکار",IF(ROUND($G2012,0)&lt;0,"بستانکار","تسویه")))</f>
        <v/>
      </c>
    </row>
    <row r="2013">
      <c r="A2013" s="16">
        <f>IF($B2013="","",2004)</f>
        <v/>
      </c>
      <c r="B2013" s="17">
        <f>IF(309&gt;NCapA,"",IFERROR(IF(VLOOKUP(INDEX(PkCapA,309),AcctTblA,4,0)="","(بدون نام)",VLOOKUP(INDEX(PkCapA,309),AcctTblA,4,0)),"—"))</f>
        <v/>
      </c>
      <c r="C2013" s="18">
        <f>IF($B2013="","",IF(309&gt;NCapA,"",INDEX(PkCapA,309)))</f>
        <v/>
      </c>
      <c r="D2013" s="17">
        <f>IF($B2013="","","c")</f>
        <v/>
      </c>
      <c r="E2013" s="19">
        <f>IF($B2013="","",IF(309&gt;NCapA,0,SUMIF(CalcDebit,INDEX(PkCapA,309),CalcAmt)+SUMIF(CalcDebit2,INDEX(PkCapA,309),CalcAmt2)))</f>
        <v/>
      </c>
      <c r="F2013" s="19">
        <f>IF($B2013="","",IF(309&gt;NCapA,0,SUMIF(CalcCredit,INDEX(PkCapA,309),CalcAmt)+SUMIF(CalcCredit2,INDEX(PkCapA,309),CalcAmt2)))</f>
        <v/>
      </c>
      <c r="G2013" s="20">
        <f>IF($B2013="","",ROUND($E2013-$F2013,0))</f>
        <v/>
      </c>
      <c r="H2013" s="17">
        <f>IF($B2013="","",IF(ROUND($G2013,0)&gt;0,"بدهکار",IF(ROUND($G2013,0)&lt;0,"بستانکار","تسویه")))</f>
        <v/>
      </c>
    </row>
    <row r="2014">
      <c r="A2014" s="11">
        <f>IF($B2014="","",2005)</f>
        <v/>
      </c>
      <c r="B2014" s="12">
        <f>IF(310&gt;NCapA,"",IFERROR(IF(VLOOKUP(INDEX(PkCapA,310),AcctTblA,4,0)="","(بدون نام)",VLOOKUP(INDEX(PkCapA,310),AcctTblA,4,0)),"—"))</f>
        <v/>
      </c>
      <c r="C2014" s="13">
        <f>IF($B2014="","",IF(310&gt;NCapA,"",INDEX(PkCapA,310)))</f>
        <v/>
      </c>
      <c r="D2014" s="12">
        <f>IF($B2014="","","c")</f>
        <v/>
      </c>
      <c r="E2014" s="14">
        <f>IF($B2014="","",IF(310&gt;NCapA,0,SUMIF(CalcDebit,INDEX(PkCapA,310),CalcAmt)+SUMIF(CalcDebit2,INDEX(PkCapA,310),CalcAmt2)))</f>
        <v/>
      </c>
      <c r="F2014" s="14">
        <f>IF($B2014="","",IF(310&gt;NCapA,0,SUMIF(CalcCredit,INDEX(PkCapA,310),CalcAmt)+SUMIF(CalcCredit2,INDEX(PkCapA,310),CalcAmt2)))</f>
        <v/>
      </c>
      <c r="G2014" s="15">
        <f>IF($B2014="","",ROUND($E2014-$F2014,0))</f>
        <v/>
      </c>
      <c r="H2014" s="12">
        <f>IF($B2014="","",IF(ROUND($G2014,0)&gt;0,"بدهکار",IF(ROUND($G2014,0)&lt;0,"بستانکار","تسویه")))</f>
        <v/>
      </c>
    </row>
    <row r="2015">
      <c r="A2015" s="16">
        <f>IF($B2015="","",2006)</f>
        <v/>
      </c>
      <c r="B2015" s="17">
        <f>IF(311&gt;NCapA,"",IFERROR(IF(VLOOKUP(INDEX(PkCapA,311),AcctTblA,4,0)="","(بدون نام)",VLOOKUP(INDEX(PkCapA,311),AcctTblA,4,0)),"—"))</f>
        <v/>
      </c>
      <c r="C2015" s="18">
        <f>IF($B2015="","",IF(311&gt;NCapA,"",INDEX(PkCapA,311)))</f>
        <v/>
      </c>
      <c r="D2015" s="17">
        <f>IF($B2015="","","c")</f>
        <v/>
      </c>
      <c r="E2015" s="19">
        <f>IF($B2015="","",IF(311&gt;NCapA,0,SUMIF(CalcDebit,INDEX(PkCapA,311),CalcAmt)+SUMIF(CalcDebit2,INDEX(PkCapA,311),CalcAmt2)))</f>
        <v/>
      </c>
      <c r="F2015" s="19">
        <f>IF($B2015="","",IF(311&gt;NCapA,0,SUMIF(CalcCredit,INDEX(PkCapA,311),CalcAmt)+SUMIF(CalcCredit2,INDEX(PkCapA,311),CalcAmt2)))</f>
        <v/>
      </c>
      <c r="G2015" s="20">
        <f>IF($B2015="","",ROUND($E2015-$F2015,0))</f>
        <v/>
      </c>
      <c r="H2015" s="17">
        <f>IF($B2015="","",IF(ROUND($G2015,0)&gt;0,"بدهکار",IF(ROUND($G2015,0)&lt;0,"بستانکار","تسویه")))</f>
        <v/>
      </c>
    </row>
    <row r="2016">
      <c r="A2016" s="11">
        <f>IF($B2016="","",2007)</f>
        <v/>
      </c>
      <c r="B2016" s="12">
        <f>IF(312&gt;NCapA,"",IFERROR(IF(VLOOKUP(INDEX(PkCapA,312),AcctTblA,4,0)="","(بدون نام)",VLOOKUP(INDEX(PkCapA,312),AcctTblA,4,0)),"—"))</f>
        <v/>
      </c>
      <c r="C2016" s="13">
        <f>IF($B2016="","",IF(312&gt;NCapA,"",INDEX(PkCapA,312)))</f>
        <v/>
      </c>
      <c r="D2016" s="12">
        <f>IF($B2016="","","c")</f>
        <v/>
      </c>
      <c r="E2016" s="14">
        <f>IF($B2016="","",IF(312&gt;NCapA,0,SUMIF(CalcDebit,INDEX(PkCapA,312),CalcAmt)+SUMIF(CalcDebit2,INDEX(PkCapA,312),CalcAmt2)))</f>
        <v/>
      </c>
      <c r="F2016" s="14">
        <f>IF($B2016="","",IF(312&gt;NCapA,0,SUMIF(CalcCredit,INDEX(PkCapA,312),CalcAmt)+SUMIF(CalcCredit2,INDEX(PkCapA,312),CalcAmt2)))</f>
        <v/>
      </c>
      <c r="G2016" s="15">
        <f>IF($B2016="","",ROUND($E2016-$F2016,0))</f>
        <v/>
      </c>
      <c r="H2016" s="12">
        <f>IF($B2016="","",IF(ROUND($G2016,0)&gt;0,"بدهکار",IF(ROUND($G2016,0)&lt;0,"بستانکار","تسویه")))</f>
        <v/>
      </c>
    </row>
    <row r="2017">
      <c r="A2017" s="16">
        <f>IF($B2017="","",2008)</f>
        <v/>
      </c>
      <c r="B2017" s="17">
        <f>IF(313&gt;NCapA,"",IFERROR(IF(VLOOKUP(INDEX(PkCapA,313),AcctTblA,4,0)="","(بدون نام)",VLOOKUP(INDEX(PkCapA,313),AcctTblA,4,0)),"—"))</f>
        <v/>
      </c>
      <c r="C2017" s="18">
        <f>IF($B2017="","",IF(313&gt;NCapA,"",INDEX(PkCapA,313)))</f>
        <v/>
      </c>
      <c r="D2017" s="17">
        <f>IF($B2017="","","c")</f>
        <v/>
      </c>
      <c r="E2017" s="19">
        <f>IF($B2017="","",IF(313&gt;NCapA,0,SUMIF(CalcDebit,INDEX(PkCapA,313),CalcAmt)+SUMIF(CalcDebit2,INDEX(PkCapA,313),CalcAmt2)))</f>
        <v/>
      </c>
      <c r="F2017" s="19">
        <f>IF($B2017="","",IF(313&gt;NCapA,0,SUMIF(CalcCredit,INDEX(PkCapA,313),CalcAmt)+SUMIF(CalcCredit2,INDEX(PkCapA,313),CalcAmt2)))</f>
        <v/>
      </c>
      <c r="G2017" s="20">
        <f>IF($B2017="","",ROUND($E2017-$F2017,0))</f>
        <v/>
      </c>
      <c r="H2017" s="17">
        <f>IF($B2017="","",IF(ROUND($G2017,0)&gt;0,"بدهکار",IF(ROUND($G2017,0)&lt;0,"بستانکار","تسویه")))</f>
        <v/>
      </c>
    </row>
    <row r="2018">
      <c r="A2018" s="11">
        <f>IF($B2018="","",2009)</f>
        <v/>
      </c>
      <c r="B2018" s="12">
        <f>IF(314&gt;NCapA,"",IFERROR(IF(VLOOKUP(INDEX(PkCapA,314),AcctTblA,4,0)="","(بدون نام)",VLOOKUP(INDEX(PkCapA,314),AcctTblA,4,0)),"—"))</f>
        <v/>
      </c>
      <c r="C2018" s="13">
        <f>IF($B2018="","",IF(314&gt;NCapA,"",INDEX(PkCapA,314)))</f>
        <v/>
      </c>
      <c r="D2018" s="12">
        <f>IF($B2018="","","c")</f>
        <v/>
      </c>
      <c r="E2018" s="14">
        <f>IF($B2018="","",IF(314&gt;NCapA,0,SUMIF(CalcDebit,INDEX(PkCapA,314),CalcAmt)+SUMIF(CalcDebit2,INDEX(PkCapA,314),CalcAmt2)))</f>
        <v/>
      </c>
      <c r="F2018" s="14">
        <f>IF($B2018="","",IF(314&gt;NCapA,0,SUMIF(CalcCredit,INDEX(PkCapA,314),CalcAmt)+SUMIF(CalcCredit2,INDEX(PkCapA,314),CalcAmt2)))</f>
        <v/>
      </c>
      <c r="G2018" s="15">
        <f>IF($B2018="","",ROUND($E2018-$F2018,0))</f>
        <v/>
      </c>
      <c r="H2018" s="12">
        <f>IF($B2018="","",IF(ROUND($G2018,0)&gt;0,"بدهکار",IF(ROUND($G2018,0)&lt;0,"بستانکار","تسویه")))</f>
        <v/>
      </c>
    </row>
    <row r="2019">
      <c r="A2019" s="16">
        <f>IF($B2019="","",2010)</f>
        <v/>
      </c>
      <c r="B2019" s="17">
        <f>IF(315&gt;NCapA,"",IFERROR(IF(VLOOKUP(INDEX(PkCapA,315),AcctTblA,4,0)="","(بدون نام)",VLOOKUP(INDEX(PkCapA,315),AcctTblA,4,0)),"—"))</f>
        <v/>
      </c>
      <c r="C2019" s="18">
        <f>IF($B2019="","",IF(315&gt;NCapA,"",INDEX(PkCapA,315)))</f>
        <v/>
      </c>
      <c r="D2019" s="17">
        <f>IF($B2019="","","c")</f>
        <v/>
      </c>
      <c r="E2019" s="19">
        <f>IF($B2019="","",IF(315&gt;NCapA,0,SUMIF(CalcDebit,INDEX(PkCapA,315),CalcAmt)+SUMIF(CalcDebit2,INDEX(PkCapA,315),CalcAmt2)))</f>
        <v/>
      </c>
      <c r="F2019" s="19">
        <f>IF($B2019="","",IF(315&gt;NCapA,0,SUMIF(CalcCredit,INDEX(PkCapA,315),CalcAmt)+SUMIF(CalcCredit2,INDEX(PkCapA,315),CalcAmt2)))</f>
        <v/>
      </c>
      <c r="G2019" s="20">
        <f>IF($B2019="","",ROUND($E2019-$F2019,0))</f>
        <v/>
      </c>
      <c r="H2019" s="17">
        <f>IF($B2019="","",IF(ROUND($G2019,0)&gt;0,"بدهکار",IF(ROUND($G2019,0)&lt;0,"بستانکار","تسویه")))</f>
        <v/>
      </c>
    </row>
    <row r="2020">
      <c r="A2020" s="11">
        <f>IF($B2020="","",2011)</f>
        <v/>
      </c>
      <c r="B2020" s="12">
        <f>IF(316&gt;NCapA,"",IFERROR(IF(VLOOKUP(INDEX(PkCapA,316),AcctTblA,4,0)="","(بدون نام)",VLOOKUP(INDEX(PkCapA,316),AcctTblA,4,0)),"—"))</f>
        <v/>
      </c>
      <c r="C2020" s="13">
        <f>IF($B2020="","",IF(316&gt;NCapA,"",INDEX(PkCapA,316)))</f>
        <v/>
      </c>
      <c r="D2020" s="12">
        <f>IF($B2020="","","c")</f>
        <v/>
      </c>
      <c r="E2020" s="14">
        <f>IF($B2020="","",IF(316&gt;NCapA,0,SUMIF(CalcDebit,INDEX(PkCapA,316),CalcAmt)+SUMIF(CalcDebit2,INDEX(PkCapA,316),CalcAmt2)))</f>
        <v/>
      </c>
      <c r="F2020" s="14">
        <f>IF($B2020="","",IF(316&gt;NCapA,0,SUMIF(CalcCredit,INDEX(PkCapA,316),CalcAmt)+SUMIF(CalcCredit2,INDEX(PkCapA,316),CalcAmt2)))</f>
        <v/>
      </c>
      <c r="G2020" s="15">
        <f>IF($B2020="","",ROUND($E2020-$F2020,0))</f>
        <v/>
      </c>
      <c r="H2020" s="12">
        <f>IF($B2020="","",IF(ROUND($G2020,0)&gt;0,"بدهکار",IF(ROUND($G2020,0)&lt;0,"بستانکار","تسویه")))</f>
        <v/>
      </c>
    </row>
    <row r="2021">
      <c r="A2021" s="16">
        <f>IF($B2021="","",2012)</f>
        <v/>
      </c>
      <c r="B2021" s="17">
        <f>IF(317&gt;NCapA,"",IFERROR(IF(VLOOKUP(INDEX(PkCapA,317),AcctTblA,4,0)="","(بدون نام)",VLOOKUP(INDEX(PkCapA,317),AcctTblA,4,0)),"—"))</f>
        <v/>
      </c>
      <c r="C2021" s="18">
        <f>IF($B2021="","",IF(317&gt;NCapA,"",INDEX(PkCapA,317)))</f>
        <v/>
      </c>
      <c r="D2021" s="17">
        <f>IF($B2021="","","c")</f>
        <v/>
      </c>
      <c r="E2021" s="19">
        <f>IF($B2021="","",IF(317&gt;NCapA,0,SUMIF(CalcDebit,INDEX(PkCapA,317),CalcAmt)+SUMIF(CalcDebit2,INDEX(PkCapA,317),CalcAmt2)))</f>
        <v/>
      </c>
      <c r="F2021" s="19">
        <f>IF($B2021="","",IF(317&gt;NCapA,0,SUMIF(CalcCredit,INDEX(PkCapA,317),CalcAmt)+SUMIF(CalcCredit2,INDEX(PkCapA,317),CalcAmt2)))</f>
        <v/>
      </c>
      <c r="G2021" s="20">
        <f>IF($B2021="","",ROUND($E2021-$F2021,0))</f>
        <v/>
      </c>
      <c r="H2021" s="17">
        <f>IF($B2021="","",IF(ROUND($G2021,0)&gt;0,"بدهکار",IF(ROUND($G2021,0)&lt;0,"بستانکار","تسویه")))</f>
        <v/>
      </c>
    </row>
    <row r="2022">
      <c r="A2022" s="11">
        <f>IF($B2022="","",2013)</f>
        <v/>
      </c>
      <c r="B2022" s="12">
        <f>IF(318&gt;NCapA,"",IFERROR(IF(VLOOKUP(INDEX(PkCapA,318),AcctTblA,4,0)="","(بدون نام)",VLOOKUP(INDEX(PkCapA,318),AcctTblA,4,0)),"—"))</f>
        <v/>
      </c>
      <c r="C2022" s="13">
        <f>IF($B2022="","",IF(318&gt;NCapA,"",INDEX(PkCapA,318)))</f>
        <v/>
      </c>
      <c r="D2022" s="12">
        <f>IF($B2022="","","c")</f>
        <v/>
      </c>
      <c r="E2022" s="14">
        <f>IF($B2022="","",IF(318&gt;NCapA,0,SUMIF(CalcDebit,INDEX(PkCapA,318),CalcAmt)+SUMIF(CalcDebit2,INDEX(PkCapA,318),CalcAmt2)))</f>
        <v/>
      </c>
      <c r="F2022" s="14">
        <f>IF($B2022="","",IF(318&gt;NCapA,0,SUMIF(CalcCredit,INDEX(PkCapA,318),CalcAmt)+SUMIF(CalcCredit2,INDEX(PkCapA,318),CalcAmt2)))</f>
        <v/>
      </c>
      <c r="G2022" s="15">
        <f>IF($B2022="","",ROUND($E2022-$F2022,0))</f>
        <v/>
      </c>
      <c r="H2022" s="12">
        <f>IF($B2022="","",IF(ROUND($G2022,0)&gt;0,"بدهکار",IF(ROUND($G2022,0)&lt;0,"بستانکار","تسویه")))</f>
        <v/>
      </c>
    </row>
    <row r="2023">
      <c r="A2023" s="16">
        <f>IF($B2023="","",2014)</f>
        <v/>
      </c>
      <c r="B2023" s="17">
        <f>IF(319&gt;NCapA,"",IFERROR(IF(VLOOKUP(INDEX(PkCapA,319),AcctTblA,4,0)="","(بدون نام)",VLOOKUP(INDEX(PkCapA,319),AcctTblA,4,0)),"—"))</f>
        <v/>
      </c>
      <c r="C2023" s="18">
        <f>IF($B2023="","",IF(319&gt;NCapA,"",INDEX(PkCapA,319)))</f>
        <v/>
      </c>
      <c r="D2023" s="17">
        <f>IF($B2023="","","c")</f>
        <v/>
      </c>
      <c r="E2023" s="19">
        <f>IF($B2023="","",IF(319&gt;NCapA,0,SUMIF(CalcDebit,INDEX(PkCapA,319),CalcAmt)+SUMIF(CalcDebit2,INDEX(PkCapA,319),CalcAmt2)))</f>
        <v/>
      </c>
      <c r="F2023" s="19">
        <f>IF($B2023="","",IF(319&gt;NCapA,0,SUMIF(CalcCredit,INDEX(PkCapA,319),CalcAmt)+SUMIF(CalcCredit2,INDEX(PkCapA,319),CalcAmt2)))</f>
        <v/>
      </c>
      <c r="G2023" s="20">
        <f>IF($B2023="","",ROUND($E2023-$F2023,0))</f>
        <v/>
      </c>
      <c r="H2023" s="17">
        <f>IF($B2023="","",IF(ROUND($G2023,0)&gt;0,"بدهکار",IF(ROUND($G2023,0)&lt;0,"بستانکار","تسویه")))</f>
        <v/>
      </c>
    </row>
    <row r="2024">
      <c r="A2024" s="11">
        <f>IF($B2024="","",2015)</f>
        <v/>
      </c>
      <c r="B2024" s="12">
        <f>IF(320&gt;NCapA,"",IFERROR(IF(VLOOKUP(INDEX(PkCapA,320),AcctTblA,4,0)="","(بدون نام)",VLOOKUP(INDEX(PkCapA,320),AcctTblA,4,0)),"—"))</f>
        <v/>
      </c>
      <c r="C2024" s="13">
        <f>IF($B2024="","",IF(320&gt;NCapA,"",INDEX(PkCapA,320)))</f>
        <v/>
      </c>
      <c r="D2024" s="12">
        <f>IF($B2024="","","c")</f>
        <v/>
      </c>
      <c r="E2024" s="14">
        <f>IF($B2024="","",IF(320&gt;NCapA,0,SUMIF(CalcDebit,INDEX(PkCapA,320),CalcAmt)+SUMIF(CalcDebit2,INDEX(PkCapA,320),CalcAmt2)))</f>
        <v/>
      </c>
      <c r="F2024" s="14">
        <f>IF($B2024="","",IF(320&gt;NCapA,0,SUMIF(CalcCredit,INDEX(PkCapA,320),CalcAmt)+SUMIF(CalcCredit2,INDEX(PkCapA,320),CalcAmt2)))</f>
        <v/>
      </c>
      <c r="G2024" s="15">
        <f>IF($B2024="","",ROUND($E2024-$F2024,0))</f>
        <v/>
      </c>
      <c r="H2024" s="12">
        <f>IF($B2024="","",IF(ROUND($G2024,0)&gt;0,"بدهکار",IF(ROUND($G2024,0)&lt;0,"بستانکار","تسویه")))</f>
        <v/>
      </c>
    </row>
    <row r="2025">
      <c r="A2025" s="16">
        <f>IF($B2025="","",2016)</f>
        <v/>
      </c>
      <c r="B2025" s="17">
        <f>IF(321&gt;NCapA,"",IFERROR(IF(VLOOKUP(INDEX(PkCapA,321),AcctTblA,4,0)="","(بدون نام)",VLOOKUP(INDEX(PkCapA,321),AcctTblA,4,0)),"—"))</f>
        <v/>
      </c>
      <c r="C2025" s="18">
        <f>IF($B2025="","",IF(321&gt;NCapA,"",INDEX(PkCapA,321)))</f>
        <v/>
      </c>
      <c r="D2025" s="17">
        <f>IF($B2025="","","c")</f>
        <v/>
      </c>
      <c r="E2025" s="19">
        <f>IF($B2025="","",IF(321&gt;NCapA,0,SUMIF(CalcDebit,INDEX(PkCapA,321),CalcAmt)+SUMIF(CalcDebit2,INDEX(PkCapA,321),CalcAmt2)))</f>
        <v/>
      </c>
      <c r="F2025" s="19">
        <f>IF($B2025="","",IF(321&gt;NCapA,0,SUMIF(CalcCredit,INDEX(PkCapA,321),CalcAmt)+SUMIF(CalcCredit2,INDEX(PkCapA,321),CalcAmt2)))</f>
        <v/>
      </c>
      <c r="G2025" s="20">
        <f>IF($B2025="","",ROUND($E2025-$F2025,0))</f>
        <v/>
      </c>
      <c r="H2025" s="17">
        <f>IF($B2025="","",IF(ROUND($G2025,0)&gt;0,"بدهکار",IF(ROUND($G2025,0)&lt;0,"بستانکار","تسویه")))</f>
        <v/>
      </c>
    </row>
    <row r="2026">
      <c r="A2026" s="11">
        <f>IF($B2026="","",2017)</f>
        <v/>
      </c>
      <c r="B2026" s="12">
        <f>IF(322&gt;NCapA,"",IFERROR(IF(VLOOKUP(INDEX(PkCapA,322),AcctTblA,4,0)="","(بدون نام)",VLOOKUP(INDEX(PkCapA,322),AcctTblA,4,0)),"—"))</f>
        <v/>
      </c>
      <c r="C2026" s="13">
        <f>IF($B2026="","",IF(322&gt;NCapA,"",INDEX(PkCapA,322)))</f>
        <v/>
      </c>
      <c r="D2026" s="12">
        <f>IF($B2026="","","c")</f>
        <v/>
      </c>
      <c r="E2026" s="14">
        <f>IF($B2026="","",IF(322&gt;NCapA,0,SUMIF(CalcDebit,INDEX(PkCapA,322),CalcAmt)+SUMIF(CalcDebit2,INDEX(PkCapA,322),CalcAmt2)))</f>
        <v/>
      </c>
      <c r="F2026" s="14">
        <f>IF($B2026="","",IF(322&gt;NCapA,0,SUMIF(CalcCredit,INDEX(PkCapA,322),CalcAmt)+SUMIF(CalcCredit2,INDEX(PkCapA,322),CalcAmt2)))</f>
        <v/>
      </c>
      <c r="G2026" s="15">
        <f>IF($B2026="","",ROUND($E2026-$F2026,0))</f>
        <v/>
      </c>
      <c r="H2026" s="12">
        <f>IF($B2026="","",IF(ROUND($G2026,0)&gt;0,"بدهکار",IF(ROUND($G2026,0)&lt;0,"بستانکار","تسویه")))</f>
        <v/>
      </c>
    </row>
    <row r="2027">
      <c r="A2027" s="16">
        <f>IF($B2027="","",2018)</f>
        <v/>
      </c>
      <c r="B2027" s="17">
        <f>IF(323&gt;NCapA,"",IFERROR(IF(VLOOKUP(INDEX(PkCapA,323),AcctTblA,4,0)="","(بدون نام)",VLOOKUP(INDEX(PkCapA,323),AcctTblA,4,0)),"—"))</f>
        <v/>
      </c>
      <c r="C2027" s="18">
        <f>IF($B2027="","",IF(323&gt;NCapA,"",INDEX(PkCapA,323)))</f>
        <v/>
      </c>
      <c r="D2027" s="17">
        <f>IF($B2027="","","c")</f>
        <v/>
      </c>
      <c r="E2027" s="19">
        <f>IF($B2027="","",IF(323&gt;NCapA,0,SUMIF(CalcDebit,INDEX(PkCapA,323),CalcAmt)+SUMIF(CalcDebit2,INDEX(PkCapA,323),CalcAmt2)))</f>
        <v/>
      </c>
      <c r="F2027" s="19">
        <f>IF($B2027="","",IF(323&gt;NCapA,0,SUMIF(CalcCredit,INDEX(PkCapA,323),CalcAmt)+SUMIF(CalcCredit2,INDEX(PkCapA,323),CalcAmt2)))</f>
        <v/>
      </c>
      <c r="G2027" s="20">
        <f>IF($B2027="","",ROUND($E2027-$F2027,0))</f>
        <v/>
      </c>
      <c r="H2027" s="17">
        <f>IF($B2027="","",IF(ROUND($G2027,0)&gt;0,"بدهکار",IF(ROUND($G2027,0)&lt;0,"بستانکار","تسویه")))</f>
        <v/>
      </c>
    </row>
    <row r="2028">
      <c r="A2028" s="11">
        <f>IF($B2028="","",2019)</f>
        <v/>
      </c>
      <c r="B2028" s="12">
        <f>IF(324&gt;NCapA,"",IFERROR(IF(VLOOKUP(INDEX(PkCapA,324),AcctTblA,4,0)="","(بدون نام)",VLOOKUP(INDEX(PkCapA,324),AcctTblA,4,0)),"—"))</f>
        <v/>
      </c>
      <c r="C2028" s="13">
        <f>IF($B2028="","",IF(324&gt;NCapA,"",INDEX(PkCapA,324)))</f>
        <v/>
      </c>
      <c r="D2028" s="12">
        <f>IF($B2028="","","c")</f>
        <v/>
      </c>
      <c r="E2028" s="14">
        <f>IF($B2028="","",IF(324&gt;NCapA,0,SUMIF(CalcDebit,INDEX(PkCapA,324),CalcAmt)+SUMIF(CalcDebit2,INDEX(PkCapA,324),CalcAmt2)))</f>
        <v/>
      </c>
      <c r="F2028" s="14">
        <f>IF($B2028="","",IF(324&gt;NCapA,0,SUMIF(CalcCredit,INDEX(PkCapA,324),CalcAmt)+SUMIF(CalcCredit2,INDEX(PkCapA,324),CalcAmt2)))</f>
        <v/>
      </c>
      <c r="G2028" s="15">
        <f>IF($B2028="","",ROUND($E2028-$F2028,0))</f>
        <v/>
      </c>
      <c r="H2028" s="12">
        <f>IF($B2028="","",IF(ROUND($G2028,0)&gt;0,"بدهکار",IF(ROUND($G2028,0)&lt;0,"بستانکار","تسویه")))</f>
        <v/>
      </c>
    </row>
    <row r="2029">
      <c r="A2029" s="16">
        <f>IF($B2029="","",2020)</f>
        <v/>
      </c>
      <c r="B2029" s="17">
        <f>IF(325&gt;NCapA,"",IFERROR(IF(VLOOKUP(INDEX(PkCapA,325),AcctTblA,4,0)="","(بدون نام)",VLOOKUP(INDEX(PkCapA,325),AcctTblA,4,0)),"—"))</f>
        <v/>
      </c>
      <c r="C2029" s="18">
        <f>IF($B2029="","",IF(325&gt;NCapA,"",INDEX(PkCapA,325)))</f>
        <v/>
      </c>
      <c r="D2029" s="17">
        <f>IF($B2029="","","c")</f>
        <v/>
      </c>
      <c r="E2029" s="19">
        <f>IF($B2029="","",IF(325&gt;NCapA,0,SUMIF(CalcDebit,INDEX(PkCapA,325),CalcAmt)+SUMIF(CalcDebit2,INDEX(PkCapA,325),CalcAmt2)))</f>
        <v/>
      </c>
      <c r="F2029" s="19">
        <f>IF($B2029="","",IF(325&gt;NCapA,0,SUMIF(CalcCredit,INDEX(PkCapA,325),CalcAmt)+SUMIF(CalcCredit2,INDEX(PkCapA,325),CalcAmt2)))</f>
        <v/>
      </c>
      <c r="G2029" s="20">
        <f>IF($B2029="","",ROUND($E2029-$F2029,0))</f>
        <v/>
      </c>
      <c r="H2029" s="17">
        <f>IF($B2029="","",IF(ROUND($G2029,0)&gt;0,"بدهکار",IF(ROUND($G2029,0)&lt;0,"بستانکار","تسویه")))</f>
        <v/>
      </c>
    </row>
    <row r="2030">
      <c r="A2030" s="11">
        <f>IF($B2030="","",2021)</f>
        <v/>
      </c>
      <c r="B2030" s="12">
        <f>IF(326&gt;NCapA,"",IFERROR(IF(VLOOKUP(INDEX(PkCapA,326),AcctTblA,4,0)="","(بدون نام)",VLOOKUP(INDEX(PkCapA,326),AcctTblA,4,0)),"—"))</f>
        <v/>
      </c>
      <c r="C2030" s="13">
        <f>IF($B2030="","",IF(326&gt;NCapA,"",INDEX(PkCapA,326)))</f>
        <v/>
      </c>
      <c r="D2030" s="12">
        <f>IF($B2030="","","c")</f>
        <v/>
      </c>
      <c r="E2030" s="14">
        <f>IF($B2030="","",IF(326&gt;NCapA,0,SUMIF(CalcDebit,INDEX(PkCapA,326),CalcAmt)+SUMIF(CalcDebit2,INDEX(PkCapA,326),CalcAmt2)))</f>
        <v/>
      </c>
      <c r="F2030" s="14">
        <f>IF($B2030="","",IF(326&gt;NCapA,0,SUMIF(CalcCredit,INDEX(PkCapA,326),CalcAmt)+SUMIF(CalcCredit2,INDEX(PkCapA,326),CalcAmt2)))</f>
        <v/>
      </c>
      <c r="G2030" s="15">
        <f>IF($B2030="","",ROUND($E2030-$F2030,0))</f>
        <v/>
      </c>
      <c r="H2030" s="12">
        <f>IF($B2030="","",IF(ROUND($G2030,0)&gt;0,"بدهکار",IF(ROUND($G2030,0)&lt;0,"بستانکار","تسویه")))</f>
        <v/>
      </c>
    </row>
    <row r="2031">
      <c r="A2031" s="16">
        <f>IF($B2031="","",2022)</f>
        <v/>
      </c>
      <c r="B2031" s="17">
        <f>IF(327&gt;NCapA,"",IFERROR(IF(VLOOKUP(INDEX(PkCapA,327),AcctTblA,4,0)="","(بدون نام)",VLOOKUP(INDEX(PkCapA,327),AcctTblA,4,0)),"—"))</f>
        <v/>
      </c>
      <c r="C2031" s="18">
        <f>IF($B2031="","",IF(327&gt;NCapA,"",INDEX(PkCapA,327)))</f>
        <v/>
      </c>
      <c r="D2031" s="17">
        <f>IF($B2031="","","c")</f>
        <v/>
      </c>
      <c r="E2031" s="19">
        <f>IF($B2031="","",IF(327&gt;NCapA,0,SUMIF(CalcDebit,INDEX(PkCapA,327),CalcAmt)+SUMIF(CalcDebit2,INDEX(PkCapA,327),CalcAmt2)))</f>
        <v/>
      </c>
      <c r="F2031" s="19">
        <f>IF($B2031="","",IF(327&gt;NCapA,0,SUMIF(CalcCredit,INDEX(PkCapA,327),CalcAmt)+SUMIF(CalcCredit2,INDEX(PkCapA,327),CalcAmt2)))</f>
        <v/>
      </c>
      <c r="G2031" s="20">
        <f>IF($B2031="","",ROUND($E2031-$F2031,0))</f>
        <v/>
      </c>
      <c r="H2031" s="17">
        <f>IF($B2031="","",IF(ROUND($G2031,0)&gt;0,"بدهکار",IF(ROUND($G2031,0)&lt;0,"بستانکار","تسویه")))</f>
        <v/>
      </c>
    </row>
    <row r="2032">
      <c r="A2032" s="11">
        <f>IF($B2032="","",2023)</f>
        <v/>
      </c>
      <c r="B2032" s="12">
        <f>IF(328&gt;NCapA,"",IFERROR(IF(VLOOKUP(INDEX(PkCapA,328),AcctTblA,4,0)="","(بدون نام)",VLOOKUP(INDEX(PkCapA,328),AcctTblA,4,0)),"—"))</f>
        <v/>
      </c>
      <c r="C2032" s="13">
        <f>IF($B2032="","",IF(328&gt;NCapA,"",INDEX(PkCapA,328)))</f>
        <v/>
      </c>
      <c r="D2032" s="12">
        <f>IF($B2032="","","c")</f>
        <v/>
      </c>
      <c r="E2032" s="14">
        <f>IF($B2032="","",IF(328&gt;NCapA,0,SUMIF(CalcDebit,INDEX(PkCapA,328),CalcAmt)+SUMIF(CalcDebit2,INDEX(PkCapA,328),CalcAmt2)))</f>
        <v/>
      </c>
      <c r="F2032" s="14">
        <f>IF($B2032="","",IF(328&gt;NCapA,0,SUMIF(CalcCredit,INDEX(PkCapA,328),CalcAmt)+SUMIF(CalcCredit2,INDEX(PkCapA,328),CalcAmt2)))</f>
        <v/>
      </c>
      <c r="G2032" s="15">
        <f>IF($B2032="","",ROUND($E2032-$F2032,0))</f>
        <v/>
      </c>
      <c r="H2032" s="12">
        <f>IF($B2032="","",IF(ROUND($G2032,0)&gt;0,"بدهکار",IF(ROUND($G2032,0)&lt;0,"بستانکار","تسویه")))</f>
        <v/>
      </c>
    </row>
    <row r="2033">
      <c r="A2033" s="16">
        <f>IF($B2033="","",2024)</f>
        <v/>
      </c>
      <c r="B2033" s="17">
        <f>IF(329&gt;NCapA,"",IFERROR(IF(VLOOKUP(INDEX(PkCapA,329),AcctTblA,4,0)="","(بدون نام)",VLOOKUP(INDEX(PkCapA,329),AcctTblA,4,0)),"—"))</f>
        <v/>
      </c>
      <c r="C2033" s="18">
        <f>IF($B2033="","",IF(329&gt;NCapA,"",INDEX(PkCapA,329)))</f>
        <v/>
      </c>
      <c r="D2033" s="17">
        <f>IF($B2033="","","c")</f>
        <v/>
      </c>
      <c r="E2033" s="19">
        <f>IF($B2033="","",IF(329&gt;NCapA,0,SUMIF(CalcDebit,INDEX(PkCapA,329),CalcAmt)+SUMIF(CalcDebit2,INDEX(PkCapA,329),CalcAmt2)))</f>
        <v/>
      </c>
      <c r="F2033" s="19">
        <f>IF($B2033="","",IF(329&gt;NCapA,0,SUMIF(CalcCredit,INDEX(PkCapA,329),CalcAmt)+SUMIF(CalcCredit2,INDEX(PkCapA,329),CalcAmt2)))</f>
        <v/>
      </c>
      <c r="G2033" s="20">
        <f>IF($B2033="","",ROUND($E2033-$F2033,0))</f>
        <v/>
      </c>
      <c r="H2033" s="17">
        <f>IF($B2033="","",IF(ROUND($G2033,0)&gt;0,"بدهکار",IF(ROUND($G2033,0)&lt;0,"بستانکار","تسویه")))</f>
        <v/>
      </c>
    </row>
    <row r="2034">
      <c r="A2034" s="11">
        <f>IF($B2034="","",2025)</f>
        <v/>
      </c>
      <c r="B2034" s="12">
        <f>IF(330&gt;NCapA,"",IFERROR(IF(VLOOKUP(INDEX(PkCapA,330),AcctTblA,4,0)="","(بدون نام)",VLOOKUP(INDEX(PkCapA,330),AcctTblA,4,0)),"—"))</f>
        <v/>
      </c>
      <c r="C2034" s="13">
        <f>IF($B2034="","",IF(330&gt;NCapA,"",INDEX(PkCapA,330)))</f>
        <v/>
      </c>
      <c r="D2034" s="12">
        <f>IF($B2034="","","c")</f>
        <v/>
      </c>
      <c r="E2034" s="14">
        <f>IF($B2034="","",IF(330&gt;NCapA,0,SUMIF(CalcDebit,INDEX(PkCapA,330),CalcAmt)+SUMIF(CalcDebit2,INDEX(PkCapA,330),CalcAmt2)))</f>
        <v/>
      </c>
      <c r="F2034" s="14">
        <f>IF($B2034="","",IF(330&gt;NCapA,0,SUMIF(CalcCredit,INDEX(PkCapA,330),CalcAmt)+SUMIF(CalcCredit2,INDEX(PkCapA,330),CalcAmt2)))</f>
        <v/>
      </c>
      <c r="G2034" s="15">
        <f>IF($B2034="","",ROUND($E2034-$F2034,0))</f>
        <v/>
      </c>
      <c r="H2034" s="12">
        <f>IF($B2034="","",IF(ROUND($G2034,0)&gt;0,"بدهکار",IF(ROUND($G2034,0)&lt;0,"بستانکار","تسویه")))</f>
        <v/>
      </c>
    </row>
    <row r="2035">
      <c r="A2035" s="16">
        <f>IF($B2035="","",2026)</f>
        <v/>
      </c>
      <c r="B2035" s="17">
        <f>IF(331&gt;NCapA,"",IFERROR(IF(VLOOKUP(INDEX(PkCapA,331),AcctTblA,4,0)="","(بدون نام)",VLOOKUP(INDEX(PkCapA,331),AcctTblA,4,0)),"—"))</f>
        <v/>
      </c>
      <c r="C2035" s="18">
        <f>IF($B2035="","",IF(331&gt;NCapA,"",INDEX(PkCapA,331)))</f>
        <v/>
      </c>
      <c r="D2035" s="17">
        <f>IF($B2035="","","c")</f>
        <v/>
      </c>
      <c r="E2035" s="19">
        <f>IF($B2035="","",IF(331&gt;NCapA,0,SUMIF(CalcDebit,INDEX(PkCapA,331),CalcAmt)+SUMIF(CalcDebit2,INDEX(PkCapA,331),CalcAmt2)))</f>
        <v/>
      </c>
      <c r="F2035" s="19">
        <f>IF($B2035="","",IF(331&gt;NCapA,0,SUMIF(CalcCredit,INDEX(PkCapA,331),CalcAmt)+SUMIF(CalcCredit2,INDEX(PkCapA,331),CalcAmt2)))</f>
        <v/>
      </c>
      <c r="G2035" s="20">
        <f>IF($B2035="","",ROUND($E2035-$F2035,0))</f>
        <v/>
      </c>
      <c r="H2035" s="17">
        <f>IF($B2035="","",IF(ROUND($G2035,0)&gt;0,"بدهکار",IF(ROUND($G2035,0)&lt;0,"بستانکار","تسویه")))</f>
        <v/>
      </c>
    </row>
    <row r="2036">
      <c r="A2036" s="11">
        <f>IF($B2036="","",2027)</f>
        <v/>
      </c>
      <c r="B2036" s="12">
        <f>IF(332&gt;NCapA,"",IFERROR(IF(VLOOKUP(INDEX(PkCapA,332),AcctTblA,4,0)="","(بدون نام)",VLOOKUP(INDEX(PkCapA,332),AcctTblA,4,0)),"—"))</f>
        <v/>
      </c>
      <c r="C2036" s="13">
        <f>IF($B2036="","",IF(332&gt;NCapA,"",INDEX(PkCapA,332)))</f>
        <v/>
      </c>
      <c r="D2036" s="12">
        <f>IF($B2036="","","c")</f>
        <v/>
      </c>
      <c r="E2036" s="14">
        <f>IF($B2036="","",IF(332&gt;NCapA,0,SUMIF(CalcDebit,INDEX(PkCapA,332),CalcAmt)+SUMIF(CalcDebit2,INDEX(PkCapA,332),CalcAmt2)))</f>
        <v/>
      </c>
      <c r="F2036" s="14">
        <f>IF($B2036="","",IF(332&gt;NCapA,0,SUMIF(CalcCredit,INDEX(PkCapA,332),CalcAmt)+SUMIF(CalcCredit2,INDEX(PkCapA,332),CalcAmt2)))</f>
        <v/>
      </c>
      <c r="G2036" s="15">
        <f>IF($B2036="","",ROUND($E2036-$F2036,0))</f>
        <v/>
      </c>
      <c r="H2036" s="12">
        <f>IF($B2036="","",IF(ROUND($G2036,0)&gt;0,"بدهکار",IF(ROUND($G2036,0)&lt;0,"بستانکار","تسویه")))</f>
        <v/>
      </c>
    </row>
    <row r="2037">
      <c r="A2037" s="16">
        <f>IF($B2037="","",2028)</f>
        <v/>
      </c>
      <c r="B2037" s="17">
        <f>IF(333&gt;NCapA,"",IFERROR(IF(VLOOKUP(INDEX(PkCapA,333),AcctTblA,4,0)="","(بدون نام)",VLOOKUP(INDEX(PkCapA,333),AcctTblA,4,0)),"—"))</f>
        <v/>
      </c>
      <c r="C2037" s="18">
        <f>IF($B2037="","",IF(333&gt;NCapA,"",INDEX(PkCapA,333)))</f>
        <v/>
      </c>
      <c r="D2037" s="17">
        <f>IF($B2037="","","c")</f>
        <v/>
      </c>
      <c r="E2037" s="19">
        <f>IF($B2037="","",IF(333&gt;NCapA,0,SUMIF(CalcDebit,INDEX(PkCapA,333),CalcAmt)+SUMIF(CalcDebit2,INDEX(PkCapA,333),CalcAmt2)))</f>
        <v/>
      </c>
      <c r="F2037" s="19">
        <f>IF($B2037="","",IF(333&gt;NCapA,0,SUMIF(CalcCredit,INDEX(PkCapA,333),CalcAmt)+SUMIF(CalcCredit2,INDEX(PkCapA,333),CalcAmt2)))</f>
        <v/>
      </c>
      <c r="G2037" s="20">
        <f>IF($B2037="","",ROUND($E2037-$F2037,0))</f>
        <v/>
      </c>
      <c r="H2037" s="17">
        <f>IF($B2037="","",IF(ROUND($G2037,0)&gt;0,"بدهکار",IF(ROUND($G2037,0)&lt;0,"بستانکار","تسویه")))</f>
        <v/>
      </c>
    </row>
    <row r="2038">
      <c r="A2038" s="11">
        <f>IF($B2038="","",2029)</f>
        <v/>
      </c>
      <c r="B2038" s="12">
        <f>IF(334&gt;NCapA,"",IFERROR(IF(VLOOKUP(INDEX(PkCapA,334),AcctTblA,4,0)="","(بدون نام)",VLOOKUP(INDEX(PkCapA,334),AcctTblA,4,0)),"—"))</f>
        <v/>
      </c>
      <c r="C2038" s="13">
        <f>IF($B2038="","",IF(334&gt;NCapA,"",INDEX(PkCapA,334)))</f>
        <v/>
      </c>
      <c r="D2038" s="12">
        <f>IF($B2038="","","c")</f>
        <v/>
      </c>
      <c r="E2038" s="14">
        <f>IF($B2038="","",IF(334&gt;NCapA,0,SUMIF(CalcDebit,INDEX(PkCapA,334),CalcAmt)+SUMIF(CalcDebit2,INDEX(PkCapA,334),CalcAmt2)))</f>
        <v/>
      </c>
      <c r="F2038" s="14">
        <f>IF($B2038="","",IF(334&gt;NCapA,0,SUMIF(CalcCredit,INDEX(PkCapA,334),CalcAmt)+SUMIF(CalcCredit2,INDEX(PkCapA,334),CalcAmt2)))</f>
        <v/>
      </c>
      <c r="G2038" s="15">
        <f>IF($B2038="","",ROUND($E2038-$F2038,0))</f>
        <v/>
      </c>
      <c r="H2038" s="12">
        <f>IF($B2038="","",IF(ROUND($G2038,0)&gt;0,"بدهکار",IF(ROUND($G2038,0)&lt;0,"بستانکار","تسویه")))</f>
        <v/>
      </c>
    </row>
    <row r="2039">
      <c r="A2039" s="16">
        <f>IF($B2039="","",2030)</f>
        <v/>
      </c>
      <c r="B2039" s="17">
        <f>IF(335&gt;NCapA,"",IFERROR(IF(VLOOKUP(INDEX(PkCapA,335),AcctTblA,4,0)="","(بدون نام)",VLOOKUP(INDEX(PkCapA,335),AcctTblA,4,0)),"—"))</f>
        <v/>
      </c>
      <c r="C2039" s="18">
        <f>IF($B2039="","",IF(335&gt;NCapA,"",INDEX(PkCapA,335)))</f>
        <v/>
      </c>
      <c r="D2039" s="17">
        <f>IF($B2039="","","c")</f>
        <v/>
      </c>
      <c r="E2039" s="19">
        <f>IF($B2039="","",IF(335&gt;NCapA,0,SUMIF(CalcDebit,INDEX(PkCapA,335),CalcAmt)+SUMIF(CalcDebit2,INDEX(PkCapA,335),CalcAmt2)))</f>
        <v/>
      </c>
      <c r="F2039" s="19">
        <f>IF($B2039="","",IF(335&gt;NCapA,0,SUMIF(CalcCredit,INDEX(PkCapA,335),CalcAmt)+SUMIF(CalcCredit2,INDEX(PkCapA,335),CalcAmt2)))</f>
        <v/>
      </c>
      <c r="G2039" s="20">
        <f>IF($B2039="","",ROUND($E2039-$F2039,0))</f>
        <v/>
      </c>
      <c r="H2039" s="17">
        <f>IF($B2039="","",IF(ROUND($G2039,0)&gt;0,"بدهکار",IF(ROUND($G2039,0)&lt;0,"بستانکار","تسویه")))</f>
        <v/>
      </c>
    </row>
    <row r="2040">
      <c r="A2040" s="11">
        <f>IF($B2040="","",2031)</f>
        <v/>
      </c>
      <c r="B2040" s="12">
        <f>IF(336&gt;NCapA,"",IFERROR(IF(VLOOKUP(INDEX(PkCapA,336),AcctTblA,4,0)="","(بدون نام)",VLOOKUP(INDEX(PkCapA,336),AcctTblA,4,0)),"—"))</f>
        <v/>
      </c>
      <c r="C2040" s="13">
        <f>IF($B2040="","",IF(336&gt;NCapA,"",INDEX(PkCapA,336)))</f>
        <v/>
      </c>
      <c r="D2040" s="12">
        <f>IF($B2040="","","c")</f>
        <v/>
      </c>
      <c r="E2040" s="14">
        <f>IF($B2040="","",IF(336&gt;NCapA,0,SUMIF(CalcDebit,INDEX(PkCapA,336),CalcAmt)+SUMIF(CalcDebit2,INDEX(PkCapA,336),CalcAmt2)))</f>
        <v/>
      </c>
      <c r="F2040" s="14">
        <f>IF($B2040="","",IF(336&gt;NCapA,0,SUMIF(CalcCredit,INDEX(PkCapA,336),CalcAmt)+SUMIF(CalcCredit2,INDEX(PkCapA,336),CalcAmt2)))</f>
        <v/>
      </c>
      <c r="G2040" s="15">
        <f>IF($B2040="","",ROUND($E2040-$F2040,0))</f>
        <v/>
      </c>
      <c r="H2040" s="12">
        <f>IF($B2040="","",IF(ROUND($G2040,0)&gt;0,"بدهکار",IF(ROUND($G2040,0)&lt;0,"بستانکار","تسویه")))</f>
        <v/>
      </c>
    </row>
    <row r="2041">
      <c r="A2041" s="16">
        <f>IF($B2041="","",2032)</f>
        <v/>
      </c>
      <c r="B2041" s="17">
        <f>IF(337&gt;NCapA,"",IFERROR(IF(VLOOKUP(INDEX(PkCapA,337),AcctTblA,4,0)="","(بدون نام)",VLOOKUP(INDEX(PkCapA,337),AcctTblA,4,0)),"—"))</f>
        <v/>
      </c>
      <c r="C2041" s="18">
        <f>IF($B2041="","",IF(337&gt;NCapA,"",INDEX(PkCapA,337)))</f>
        <v/>
      </c>
      <c r="D2041" s="17">
        <f>IF($B2041="","","c")</f>
        <v/>
      </c>
      <c r="E2041" s="19">
        <f>IF($B2041="","",IF(337&gt;NCapA,0,SUMIF(CalcDebit,INDEX(PkCapA,337),CalcAmt)+SUMIF(CalcDebit2,INDEX(PkCapA,337),CalcAmt2)))</f>
        <v/>
      </c>
      <c r="F2041" s="19">
        <f>IF($B2041="","",IF(337&gt;NCapA,0,SUMIF(CalcCredit,INDEX(PkCapA,337),CalcAmt)+SUMIF(CalcCredit2,INDEX(PkCapA,337),CalcAmt2)))</f>
        <v/>
      </c>
      <c r="G2041" s="20">
        <f>IF($B2041="","",ROUND($E2041-$F2041,0))</f>
        <v/>
      </c>
      <c r="H2041" s="17">
        <f>IF($B2041="","",IF(ROUND($G2041,0)&gt;0,"بدهکار",IF(ROUND($G2041,0)&lt;0,"بستانکار","تسویه")))</f>
        <v/>
      </c>
    </row>
    <row r="2042">
      <c r="A2042" s="11">
        <f>IF($B2042="","",2033)</f>
        <v/>
      </c>
      <c r="B2042" s="12">
        <f>IF(338&gt;NCapA,"",IFERROR(IF(VLOOKUP(INDEX(PkCapA,338),AcctTblA,4,0)="","(بدون نام)",VLOOKUP(INDEX(PkCapA,338),AcctTblA,4,0)),"—"))</f>
        <v/>
      </c>
      <c r="C2042" s="13">
        <f>IF($B2042="","",IF(338&gt;NCapA,"",INDEX(PkCapA,338)))</f>
        <v/>
      </c>
      <c r="D2042" s="12">
        <f>IF($B2042="","","c")</f>
        <v/>
      </c>
      <c r="E2042" s="14">
        <f>IF($B2042="","",IF(338&gt;NCapA,0,SUMIF(CalcDebit,INDEX(PkCapA,338),CalcAmt)+SUMIF(CalcDebit2,INDEX(PkCapA,338),CalcAmt2)))</f>
        <v/>
      </c>
      <c r="F2042" s="14">
        <f>IF($B2042="","",IF(338&gt;NCapA,0,SUMIF(CalcCredit,INDEX(PkCapA,338),CalcAmt)+SUMIF(CalcCredit2,INDEX(PkCapA,338),CalcAmt2)))</f>
        <v/>
      </c>
      <c r="G2042" s="15">
        <f>IF($B2042="","",ROUND($E2042-$F2042,0))</f>
        <v/>
      </c>
      <c r="H2042" s="12">
        <f>IF($B2042="","",IF(ROUND($G2042,0)&gt;0,"بدهکار",IF(ROUND($G2042,0)&lt;0,"بستانکار","تسویه")))</f>
        <v/>
      </c>
    </row>
    <row r="2043">
      <c r="A2043" s="16">
        <f>IF($B2043="","",2034)</f>
        <v/>
      </c>
      <c r="B2043" s="17">
        <f>IF(339&gt;NCapA,"",IFERROR(IF(VLOOKUP(INDEX(PkCapA,339),AcctTblA,4,0)="","(بدون نام)",VLOOKUP(INDEX(PkCapA,339),AcctTblA,4,0)),"—"))</f>
        <v/>
      </c>
      <c r="C2043" s="18">
        <f>IF($B2043="","",IF(339&gt;NCapA,"",INDEX(PkCapA,339)))</f>
        <v/>
      </c>
      <c r="D2043" s="17">
        <f>IF($B2043="","","c")</f>
        <v/>
      </c>
      <c r="E2043" s="19">
        <f>IF($B2043="","",IF(339&gt;NCapA,0,SUMIF(CalcDebit,INDEX(PkCapA,339),CalcAmt)+SUMIF(CalcDebit2,INDEX(PkCapA,339),CalcAmt2)))</f>
        <v/>
      </c>
      <c r="F2043" s="19">
        <f>IF($B2043="","",IF(339&gt;NCapA,0,SUMIF(CalcCredit,INDEX(PkCapA,339),CalcAmt)+SUMIF(CalcCredit2,INDEX(PkCapA,339),CalcAmt2)))</f>
        <v/>
      </c>
      <c r="G2043" s="20">
        <f>IF($B2043="","",ROUND($E2043-$F2043,0))</f>
        <v/>
      </c>
      <c r="H2043" s="17">
        <f>IF($B2043="","",IF(ROUND($G2043,0)&gt;0,"بدهکار",IF(ROUND($G2043,0)&lt;0,"بستانکار","تسویه")))</f>
        <v/>
      </c>
    </row>
    <row r="2044">
      <c r="A2044" s="11">
        <f>IF($B2044="","",2035)</f>
        <v/>
      </c>
      <c r="B2044" s="12">
        <f>IF(340&gt;NCapA,"",IFERROR(IF(VLOOKUP(INDEX(PkCapA,340),AcctTblA,4,0)="","(بدون نام)",VLOOKUP(INDEX(PkCapA,340),AcctTblA,4,0)),"—"))</f>
        <v/>
      </c>
      <c r="C2044" s="13">
        <f>IF($B2044="","",IF(340&gt;NCapA,"",INDEX(PkCapA,340)))</f>
        <v/>
      </c>
      <c r="D2044" s="12">
        <f>IF($B2044="","","c")</f>
        <v/>
      </c>
      <c r="E2044" s="14">
        <f>IF($B2044="","",IF(340&gt;NCapA,0,SUMIF(CalcDebit,INDEX(PkCapA,340),CalcAmt)+SUMIF(CalcDebit2,INDEX(PkCapA,340),CalcAmt2)))</f>
        <v/>
      </c>
      <c r="F2044" s="14">
        <f>IF($B2044="","",IF(340&gt;NCapA,0,SUMIF(CalcCredit,INDEX(PkCapA,340),CalcAmt)+SUMIF(CalcCredit2,INDEX(PkCapA,340),CalcAmt2)))</f>
        <v/>
      </c>
      <c r="G2044" s="15">
        <f>IF($B2044="","",ROUND($E2044-$F2044,0))</f>
        <v/>
      </c>
      <c r="H2044" s="12">
        <f>IF($B2044="","",IF(ROUND($G2044,0)&gt;0,"بدهکار",IF(ROUND($G2044,0)&lt;0,"بستانکار","تسویه")))</f>
        <v/>
      </c>
    </row>
    <row r="2045">
      <c r="A2045" s="16">
        <f>IF($B2045="","",2036)</f>
        <v/>
      </c>
      <c r="B2045" s="17">
        <f>IF(341&gt;NCapA,"",IFERROR(IF(VLOOKUP(INDEX(PkCapA,341),AcctTblA,4,0)="","(بدون نام)",VLOOKUP(INDEX(PkCapA,341),AcctTblA,4,0)),"—"))</f>
        <v/>
      </c>
      <c r="C2045" s="18">
        <f>IF($B2045="","",IF(341&gt;NCapA,"",INDEX(PkCapA,341)))</f>
        <v/>
      </c>
      <c r="D2045" s="17">
        <f>IF($B2045="","","c")</f>
        <v/>
      </c>
      <c r="E2045" s="19">
        <f>IF($B2045="","",IF(341&gt;NCapA,0,SUMIF(CalcDebit,INDEX(PkCapA,341),CalcAmt)+SUMIF(CalcDebit2,INDEX(PkCapA,341),CalcAmt2)))</f>
        <v/>
      </c>
      <c r="F2045" s="19">
        <f>IF($B2045="","",IF(341&gt;NCapA,0,SUMIF(CalcCredit,INDEX(PkCapA,341),CalcAmt)+SUMIF(CalcCredit2,INDEX(PkCapA,341),CalcAmt2)))</f>
        <v/>
      </c>
      <c r="G2045" s="20">
        <f>IF($B2045="","",ROUND($E2045-$F2045,0))</f>
        <v/>
      </c>
      <c r="H2045" s="17">
        <f>IF($B2045="","",IF(ROUND($G2045,0)&gt;0,"بدهکار",IF(ROUND($G2045,0)&lt;0,"بستانکار","تسویه")))</f>
        <v/>
      </c>
    </row>
    <row r="2046">
      <c r="A2046" s="11">
        <f>IF($B2046="","",2037)</f>
        <v/>
      </c>
      <c r="B2046" s="12">
        <f>IF(342&gt;NCapA,"",IFERROR(IF(VLOOKUP(INDEX(PkCapA,342),AcctTblA,4,0)="","(بدون نام)",VLOOKUP(INDEX(PkCapA,342),AcctTblA,4,0)),"—"))</f>
        <v/>
      </c>
      <c r="C2046" s="13">
        <f>IF($B2046="","",IF(342&gt;NCapA,"",INDEX(PkCapA,342)))</f>
        <v/>
      </c>
      <c r="D2046" s="12">
        <f>IF($B2046="","","c")</f>
        <v/>
      </c>
      <c r="E2046" s="14">
        <f>IF($B2046="","",IF(342&gt;NCapA,0,SUMIF(CalcDebit,INDEX(PkCapA,342),CalcAmt)+SUMIF(CalcDebit2,INDEX(PkCapA,342),CalcAmt2)))</f>
        <v/>
      </c>
      <c r="F2046" s="14">
        <f>IF($B2046="","",IF(342&gt;NCapA,0,SUMIF(CalcCredit,INDEX(PkCapA,342),CalcAmt)+SUMIF(CalcCredit2,INDEX(PkCapA,342),CalcAmt2)))</f>
        <v/>
      </c>
      <c r="G2046" s="15">
        <f>IF($B2046="","",ROUND($E2046-$F2046,0))</f>
        <v/>
      </c>
      <c r="H2046" s="12">
        <f>IF($B2046="","",IF(ROUND($G2046,0)&gt;0,"بدهکار",IF(ROUND($G2046,0)&lt;0,"بستانکار","تسویه")))</f>
        <v/>
      </c>
    </row>
    <row r="2047">
      <c r="A2047" s="16">
        <f>IF($B2047="","",2038)</f>
        <v/>
      </c>
      <c r="B2047" s="17">
        <f>IF(343&gt;NCapA,"",IFERROR(IF(VLOOKUP(INDEX(PkCapA,343),AcctTblA,4,0)="","(بدون نام)",VLOOKUP(INDEX(PkCapA,343),AcctTblA,4,0)),"—"))</f>
        <v/>
      </c>
      <c r="C2047" s="18">
        <f>IF($B2047="","",IF(343&gt;NCapA,"",INDEX(PkCapA,343)))</f>
        <v/>
      </c>
      <c r="D2047" s="17">
        <f>IF($B2047="","","c")</f>
        <v/>
      </c>
      <c r="E2047" s="19">
        <f>IF($B2047="","",IF(343&gt;NCapA,0,SUMIF(CalcDebit,INDEX(PkCapA,343),CalcAmt)+SUMIF(CalcDebit2,INDEX(PkCapA,343),CalcAmt2)))</f>
        <v/>
      </c>
      <c r="F2047" s="19">
        <f>IF($B2047="","",IF(343&gt;NCapA,0,SUMIF(CalcCredit,INDEX(PkCapA,343),CalcAmt)+SUMIF(CalcCredit2,INDEX(PkCapA,343),CalcAmt2)))</f>
        <v/>
      </c>
      <c r="G2047" s="20">
        <f>IF($B2047="","",ROUND($E2047-$F2047,0))</f>
        <v/>
      </c>
      <c r="H2047" s="17">
        <f>IF($B2047="","",IF(ROUND($G2047,0)&gt;0,"بدهکار",IF(ROUND($G2047,0)&lt;0,"بستانکار","تسویه")))</f>
        <v/>
      </c>
    </row>
    <row r="2048">
      <c r="A2048" s="11">
        <f>IF($B2048="","",2039)</f>
        <v/>
      </c>
      <c r="B2048" s="12">
        <f>IF(344&gt;NCapA,"",IFERROR(IF(VLOOKUP(INDEX(PkCapA,344),AcctTblA,4,0)="","(بدون نام)",VLOOKUP(INDEX(PkCapA,344),AcctTblA,4,0)),"—"))</f>
        <v/>
      </c>
      <c r="C2048" s="13">
        <f>IF($B2048="","",IF(344&gt;NCapA,"",INDEX(PkCapA,344)))</f>
        <v/>
      </c>
      <c r="D2048" s="12">
        <f>IF($B2048="","","c")</f>
        <v/>
      </c>
      <c r="E2048" s="14">
        <f>IF($B2048="","",IF(344&gt;NCapA,0,SUMIF(CalcDebit,INDEX(PkCapA,344),CalcAmt)+SUMIF(CalcDebit2,INDEX(PkCapA,344),CalcAmt2)))</f>
        <v/>
      </c>
      <c r="F2048" s="14">
        <f>IF($B2048="","",IF(344&gt;NCapA,0,SUMIF(CalcCredit,INDEX(PkCapA,344),CalcAmt)+SUMIF(CalcCredit2,INDEX(PkCapA,344),CalcAmt2)))</f>
        <v/>
      </c>
      <c r="G2048" s="15">
        <f>IF($B2048="","",ROUND($E2048-$F2048,0))</f>
        <v/>
      </c>
      <c r="H2048" s="12">
        <f>IF($B2048="","",IF(ROUND($G2048,0)&gt;0,"بدهکار",IF(ROUND($G2048,0)&lt;0,"بستانکار","تسویه")))</f>
        <v/>
      </c>
    </row>
    <row r="2049">
      <c r="A2049" s="16">
        <f>IF($B2049="","",2040)</f>
        <v/>
      </c>
      <c r="B2049" s="17">
        <f>IF(345&gt;NCapA,"",IFERROR(IF(VLOOKUP(INDEX(PkCapA,345),AcctTblA,4,0)="","(بدون نام)",VLOOKUP(INDEX(PkCapA,345),AcctTblA,4,0)),"—"))</f>
        <v/>
      </c>
      <c r="C2049" s="18">
        <f>IF($B2049="","",IF(345&gt;NCapA,"",INDEX(PkCapA,345)))</f>
        <v/>
      </c>
      <c r="D2049" s="17">
        <f>IF($B2049="","","c")</f>
        <v/>
      </c>
      <c r="E2049" s="19">
        <f>IF($B2049="","",IF(345&gt;NCapA,0,SUMIF(CalcDebit,INDEX(PkCapA,345),CalcAmt)+SUMIF(CalcDebit2,INDEX(PkCapA,345),CalcAmt2)))</f>
        <v/>
      </c>
      <c r="F2049" s="19">
        <f>IF($B2049="","",IF(345&gt;NCapA,0,SUMIF(CalcCredit,INDEX(PkCapA,345),CalcAmt)+SUMIF(CalcCredit2,INDEX(PkCapA,345),CalcAmt2)))</f>
        <v/>
      </c>
      <c r="G2049" s="20">
        <f>IF($B2049="","",ROUND($E2049-$F2049,0))</f>
        <v/>
      </c>
      <c r="H2049" s="17">
        <f>IF($B2049="","",IF(ROUND($G2049,0)&gt;0,"بدهکار",IF(ROUND($G2049,0)&lt;0,"بستانکار","تسویه")))</f>
        <v/>
      </c>
    </row>
    <row r="2050">
      <c r="A2050" s="11">
        <f>IF($B2050="","",2041)</f>
        <v/>
      </c>
      <c r="B2050" s="12">
        <f>IF(346&gt;NCapA,"",IFERROR(IF(VLOOKUP(INDEX(PkCapA,346),AcctTblA,4,0)="","(بدون نام)",VLOOKUP(INDEX(PkCapA,346),AcctTblA,4,0)),"—"))</f>
        <v/>
      </c>
      <c r="C2050" s="13">
        <f>IF($B2050="","",IF(346&gt;NCapA,"",INDEX(PkCapA,346)))</f>
        <v/>
      </c>
      <c r="D2050" s="12">
        <f>IF($B2050="","","c")</f>
        <v/>
      </c>
      <c r="E2050" s="14">
        <f>IF($B2050="","",IF(346&gt;NCapA,0,SUMIF(CalcDebit,INDEX(PkCapA,346),CalcAmt)+SUMIF(CalcDebit2,INDEX(PkCapA,346),CalcAmt2)))</f>
        <v/>
      </c>
      <c r="F2050" s="14">
        <f>IF($B2050="","",IF(346&gt;NCapA,0,SUMIF(CalcCredit,INDEX(PkCapA,346),CalcAmt)+SUMIF(CalcCredit2,INDEX(PkCapA,346),CalcAmt2)))</f>
        <v/>
      </c>
      <c r="G2050" s="15">
        <f>IF($B2050="","",ROUND($E2050-$F2050,0))</f>
        <v/>
      </c>
      <c r="H2050" s="12">
        <f>IF($B2050="","",IF(ROUND($G2050,0)&gt;0,"بدهکار",IF(ROUND($G2050,0)&lt;0,"بستانکار","تسویه")))</f>
        <v/>
      </c>
    </row>
    <row r="2051">
      <c r="A2051" s="16">
        <f>IF($B2051="","",2042)</f>
        <v/>
      </c>
      <c r="B2051" s="17">
        <f>IF(347&gt;NCapA,"",IFERROR(IF(VLOOKUP(INDEX(PkCapA,347),AcctTblA,4,0)="","(بدون نام)",VLOOKUP(INDEX(PkCapA,347),AcctTblA,4,0)),"—"))</f>
        <v/>
      </c>
      <c r="C2051" s="18">
        <f>IF($B2051="","",IF(347&gt;NCapA,"",INDEX(PkCapA,347)))</f>
        <v/>
      </c>
      <c r="D2051" s="17">
        <f>IF($B2051="","","c")</f>
        <v/>
      </c>
      <c r="E2051" s="19">
        <f>IF($B2051="","",IF(347&gt;NCapA,0,SUMIF(CalcDebit,INDEX(PkCapA,347),CalcAmt)+SUMIF(CalcDebit2,INDEX(PkCapA,347),CalcAmt2)))</f>
        <v/>
      </c>
      <c r="F2051" s="19">
        <f>IF($B2051="","",IF(347&gt;NCapA,0,SUMIF(CalcCredit,INDEX(PkCapA,347),CalcAmt)+SUMIF(CalcCredit2,INDEX(PkCapA,347),CalcAmt2)))</f>
        <v/>
      </c>
      <c r="G2051" s="20">
        <f>IF($B2051="","",ROUND($E2051-$F2051,0))</f>
        <v/>
      </c>
      <c r="H2051" s="17">
        <f>IF($B2051="","",IF(ROUND($G2051,0)&gt;0,"بدهکار",IF(ROUND($G2051,0)&lt;0,"بستانکار","تسویه")))</f>
        <v/>
      </c>
    </row>
    <row r="2052">
      <c r="A2052" s="11">
        <f>IF($B2052="","",2043)</f>
        <v/>
      </c>
      <c r="B2052" s="12">
        <f>IF(348&gt;NCapA,"",IFERROR(IF(VLOOKUP(INDEX(PkCapA,348),AcctTblA,4,0)="","(بدون نام)",VLOOKUP(INDEX(PkCapA,348),AcctTblA,4,0)),"—"))</f>
        <v/>
      </c>
      <c r="C2052" s="13">
        <f>IF($B2052="","",IF(348&gt;NCapA,"",INDEX(PkCapA,348)))</f>
        <v/>
      </c>
      <c r="D2052" s="12">
        <f>IF($B2052="","","c")</f>
        <v/>
      </c>
      <c r="E2052" s="14">
        <f>IF($B2052="","",IF(348&gt;NCapA,0,SUMIF(CalcDebit,INDEX(PkCapA,348),CalcAmt)+SUMIF(CalcDebit2,INDEX(PkCapA,348),CalcAmt2)))</f>
        <v/>
      </c>
      <c r="F2052" s="14">
        <f>IF($B2052="","",IF(348&gt;NCapA,0,SUMIF(CalcCredit,INDEX(PkCapA,348),CalcAmt)+SUMIF(CalcCredit2,INDEX(PkCapA,348),CalcAmt2)))</f>
        <v/>
      </c>
      <c r="G2052" s="15">
        <f>IF($B2052="","",ROUND($E2052-$F2052,0))</f>
        <v/>
      </c>
      <c r="H2052" s="12">
        <f>IF($B2052="","",IF(ROUND($G2052,0)&gt;0,"بدهکار",IF(ROUND($G2052,0)&lt;0,"بستانکار","تسویه")))</f>
        <v/>
      </c>
    </row>
    <row r="2053">
      <c r="A2053" s="16">
        <f>IF($B2053="","",2044)</f>
        <v/>
      </c>
      <c r="B2053" s="17">
        <f>IF(349&gt;NCapA,"",IFERROR(IF(VLOOKUP(INDEX(PkCapA,349),AcctTblA,4,0)="","(بدون نام)",VLOOKUP(INDEX(PkCapA,349),AcctTblA,4,0)),"—"))</f>
        <v/>
      </c>
      <c r="C2053" s="18">
        <f>IF($B2053="","",IF(349&gt;NCapA,"",INDEX(PkCapA,349)))</f>
        <v/>
      </c>
      <c r="D2053" s="17">
        <f>IF($B2053="","","c")</f>
        <v/>
      </c>
      <c r="E2053" s="19">
        <f>IF($B2053="","",IF(349&gt;NCapA,0,SUMIF(CalcDebit,INDEX(PkCapA,349),CalcAmt)+SUMIF(CalcDebit2,INDEX(PkCapA,349),CalcAmt2)))</f>
        <v/>
      </c>
      <c r="F2053" s="19">
        <f>IF($B2053="","",IF(349&gt;NCapA,0,SUMIF(CalcCredit,INDEX(PkCapA,349),CalcAmt)+SUMIF(CalcCredit2,INDEX(PkCapA,349),CalcAmt2)))</f>
        <v/>
      </c>
      <c r="G2053" s="20">
        <f>IF($B2053="","",ROUND($E2053-$F2053,0))</f>
        <v/>
      </c>
      <c r="H2053" s="17">
        <f>IF($B2053="","",IF(ROUND($G2053,0)&gt;0,"بدهکار",IF(ROUND($G2053,0)&lt;0,"بستانکار","تسویه")))</f>
        <v/>
      </c>
    </row>
    <row r="2054">
      <c r="A2054" s="11">
        <f>IF($B2054="","",2045)</f>
        <v/>
      </c>
      <c r="B2054" s="12">
        <f>IF(350&gt;NCapA,"",IFERROR(IF(VLOOKUP(INDEX(PkCapA,350),AcctTblA,4,0)="","(بدون نام)",VLOOKUP(INDEX(PkCapA,350),AcctTblA,4,0)),"—"))</f>
        <v/>
      </c>
      <c r="C2054" s="13">
        <f>IF($B2054="","",IF(350&gt;NCapA,"",INDEX(PkCapA,350)))</f>
        <v/>
      </c>
      <c r="D2054" s="12">
        <f>IF($B2054="","","c")</f>
        <v/>
      </c>
      <c r="E2054" s="14">
        <f>IF($B2054="","",IF(350&gt;NCapA,0,SUMIF(CalcDebit,INDEX(PkCapA,350),CalcAmt)+SUMIF(CalcDebit2,INDEX(PkCapA,350),CalcAmt2)))</f>
        <v/>
      </c>
      <c r="F2054" s="14">
        <f>IF($B2054="","",IF(350&gt;NCapA,0,SUMIF(CalcCredit,INDEX(PkCapA,350),CalcAmt)+SUMIF(CalcCredit2,INDEX(PkCapA,350),CalcAmt2)))</f>
        <v/>
      </c>
      <c r="G2054" s="15">
        <f>IF($B2054="","",ROUND($E2054-$F2054,0))</f>
        <v/>
      </c>
      <c r="H2054" s="12">
        <f>IF($B2054="","",IF(ROUND($G2054,0)&gt;0,"بدهکار",IF(ROUND($G2054,0)&lt;0,"بستانکار","تسویه")))</f>
        <v/>
      </c>
    </row>
    <row r="2055">
      <c r="A2055" s="16">
        <f>IF($B2055="","",2046)</f>
        <v/>
      </c>
      <c r="B2055" s="17">
        <f>IF(351&gt;NCapA,"",IFERROR(IF(VLOOKUP(INDEX(PkCapA,351),AcctTblA,4,0)="","(بدون نام)",VLOOKUP(INDEX(PkCapA,351),AcctTblA,4,0)),"—"))</f>
        <v/>
      </c>
      <c r="C2055" s="18">
        <f>IF($B2055="","",IF(351&gt;NCapA,"",INDEX(PkCapA,351)))</f>
        <v/>
      </c>
      <c r="D2055" s="17">
        <f>IF($B2055="","","c")</f>
        <v/>
      </c>
      <c r="E2055" s="19">
        <f>IF($B2055="","",IF(351&gt;NCapA,0,SUMIF(CalcDebit,INDEX(PkCapA,351),CalcAmt)+SUMIF(CalcDebit2,INDEX(PkCapA,351),CalcAmt2)))</f>
        <v/>
      </c>
      <c r="F2055" s="19">
        <f>IF($B2055="","",IF(351&gt;NCapA,0,SUMIF(CalcCredit,INDEX(PkCapA,351),CalcAmt)+SUMIF(CalcCredit2,INDEX(PkCapA,351),CalcAmt2)))</f>
        <v/>
      </c>
      <c r="G2055" s="20">
        <f>IF($B2055="","",ROUND($E2055-$F2055,0))</f>
        <v/>
      </c>
      <c r="H2055" s="17">
        <f>IF($B2055="","",IF(ROUND($G2055,0)&gt;0,"بدهکار",IF(ROUND($G2055,0)&lt;0,"بستانکار","تسویه")))</f>
        <v/>
      </c>
    </row>
    <row r="2056">
      <c r="A2056" s="11">
        <f>IF($B2056="","",2047)</f>
        <v/>
      </c>
      <c r="B2056" s="12">
        <f>IF(352&gt;NCapA,"",IFERROR(IF(VLOOKUP(INDEX(PkCapA,352),AcctTblA,4,0)="","(بدون نام)",VLOOKUP(INDEX(PkCapA,352),AcctTblA,4,0)),"—"))</f>
        <v/>
      </c>
      <c r="C2056" s="13">
        <f>IF($B2056="","",IF(352&gt;NCapA,"",INDEX(PkCapA,352)))</f>
        <v/>
      </c>
      <c r="D2056" s="12">
        <f>IF($B2056="","","c")</f>
        <v/>
      </c>
      <c r="E2056" s="14">
        <f>IF($B2056="","",IF(352&gt;NCapA,0,SUMIF(CalcDebit,INDEX(PkCapA,352),CalcAmt)+SUMIF(CalcDebit2,INDEX(PkCapA,352),CalcAmt2)))</f>
        <v/>
      </c>
      <c r="F2056" s="14">
        <f>IF($B2056="","",IF(352&gt;NCapA,0,SUMIF(CalcCredit,INDEX(PkCapA,352),CalcAmt)+SUMIF(CalcCredit2,INDEX(PkCapA,352),CalcAmt2)))</f>
        <v/>
      </c>
      <c r="G2056" s="15">
        <f>IF($B2056="","",ROUND($E2056-$F2056,0))</f>
        <v/>
      </c>
      <c r="H2056" s="12">
        <f>IF($B2056="","",IF(ROUND($G2056,0)&gt;0,"بدهکار",IF(ROUND($G2056,0)&lt;0,"بستانکار","تسویه")))</f>
        <v/>
      </c>
    </row>
    <row r="2057">
      <c r="A2057" s="16">
        <f>IF($B2057="","",2048)</f>
        <v/>
      </c>
      <c r="B2057" s="17">
        <f>IF(353&gt;NCapA,"",IFERROR(IF(VLOOKUP(INDEX(PkCapA,353),AcctTblA,4,0)="","(بدون نام)",VLOOKUP(INDEX(PkCapA,353),AcctTblA,4,0)),"—"))</f>
        <v/>
      </c>
      <c r="C2057" s="18">
        <f>IF($B2057="","",IF(353&gt;NCapA,"",INDEX(PkCapA,353)))</f>
        <v/>
      </c>
      <c r="D2057" s="17">
        <f>IF($B2057="","","c")</f>
        <v/>
      </c>
      <c r="E2057" s="19">
        <f>IF($B2057="","",IF(353&gt;NCapA,0,SUMIF(CalcDebit,INDEX(PkCapA,353),CalcAmt)+SUMIF(CalcDebit2,INDEX(PkCapA,353),CalcAmt2)))</f>
        <v/>
      </c>
      <c r="F2057" s="19">
        <f>IF($B2057="","",IF(353&gt;NCapA,0,SUMIF(CalcCredit,INDEX(PkCapA,353),CalcAmt)+SUMIF(CalcCredit2,INDEX(PkCapA,353),CalcAmt2)))</f>
        <v/>
      </c>
      <c r="G2057" s="20">
        <f>IF($B2057="","",ROUND($E2057-$F2057,0))</f>
        <v/>
      </c>
      <c r="H2057" s="17">
        <f>IF($B2057="","",IF(ROUND($G2057,0)&gt;0,"بدهکار",IF(ROUND($G2057,0)&lt;0,"بستانکار","تسویه")))</f>
        <v/>
      </c>
    </row>
    <row r="2058">
      <c r="A2058" s="11">
        <f>IF($B2058="","",2049)</f>
        <v/>
      </c>
      <c r="B2058" s="12">
        <f>IF(354&gt;NCapA,"",IFERROR(IF(VLOOKUP(INDEX(PkCapA,354),AcctTblA,4,0)="","(بدون نام)",VLOOKUP(INDEX(PkCapA,354),AcctTblA,4,0)),"—"))</f>
        <v/>
      </c>
      <c r="C2058" s="13">
        <f>IF($B2058="","",IF(354&gt;NCapA,"",INDEX(PkCapA,354)))</f>
        <v/>
      </c>
      <c r="D2058" s="12">
        <f>IF($B2058="","","c")</f>
        <v/>
      </c>
      <c r="E2058" s="14">
        <f>IF($B2058="","",IF(354&gt;NCapA,0,SUMIF(CalcDebit,INDEX(PkCapA,354),CalcAmt)+SUMIF(CalcDebit2,INDEX(PkCapA,354),CalcAmt2)))</f>
        <v/>
      </c>
      <c r="F2058" s="14">
        <f>IF($B2058="","",IF(354&gt;NCapA,0,SUMIF(CalcCredit,INDEX(PkCapA,354),CalcAmt)+SUMIF(CalcCredit2,INDEX(PkCapA,354),CalcAmt2)))</f>
        <v/>
      </c>
      <c r="G2058" s="15">
        <f>IF($B2058="","",ROUND($E2058-$F2058,0))</f>
        <v/>
      </c>
      <c r="H2058" s="12">
        <f>IF($B2058="","",IF(ROUND($G2058,0)&gt;0,"بدهکار",IF(ROUND($G2058,0)&lt;0,"بستانکار","تسویه")))</f>
        <v/>
      </c>
    </row>
    <row r="2059">
      <c r="A2059" s="16">
        <f>IF($B2059="","",2050)</f>
        <v/>
      </c>
      <c r="B2059" s="17">
        <f>IF(355&gt;NCapA,"",IFERROR(IF(VLOOKUP(INDEX(PkCapA,355),AcctTblA,4,0)="","(بدون نام)",VLOOKUP(INDEX(PkCapA,355),AcctTblA,4,0)),"—"))</f>
        <v/>
      </c>
      <c r="C2059" s="18">
        <f>IF($B2059="","",IF(355&gt;NCapA,"",INDEX(PkCapA,355)))</f>
        <v/>
      </c>
      <c r="D2059" s="17">
        <f>IF($B2059="","","c")</f>
        <v/>
      </c>
      <c r="E2059" s="19">
        <f>IF($B2059="","",IF(355&gt;NCapA,0,SUMIF(CalcDebit,INDEX(PkCapA,355),CalcAmt)+SUMIF(CalcDebit2,INDEX(PkCapA,355),CalcAmt2)))</f>
        <v/>
      </c>
      <c r="F2059" s="19">
        <f>IF($B2059="","",IF(355&gt;NCapA,0,SUMIF(CalcCredit,INDEX(PkCapA,355),CalcAmt)+SUMIF(CalcCredit2,INDEX(PkCapA,355),CalcAmt2)))</f>
        <v/>
      </c>
      <c r="G2059" s="20">
        <f>IF($B2059="","",ROUND($E2059-$F2059,0))</f>
        <v/>
      </c>
      <c r="H2059" s="17">
        <f>IF($B2059="","",IF(ROUND($G2059,0)&gt;0,"بدهکار",IF(ROUND($G2059,0)&lt;0,"بستانکار","تسویه")))</f>
        <v/>
      </c>
    </row>
    <row r="2060">
      <c r="A2060" s="11">
        <f>IF($B2060="","",2051)</f>
        <v/>
      </c>
      <c r="B2060" s="12">
        <f>IF(356&gt;NCapA,"",IFERROR(IF(VLOOKUP(INDEX(PkCapA,356),AcctTblA,4,0)="","(بدون نام)",VLOOKUP(INDEX(PkCapA,356),AcctTblA,4,0)),"—"))</f>
        <v/>
      </c>
      <c r="C2060" s="13">
        <f>IF($B2060="","",IF(356&gt;NCapA,"",INDEX(PkCapA,356)))</f>
        <v/>
      </c>
      <c r="D2060" s="12">
        <f>IF($B2060="","","c")</f>
        <v/>
      </c>
      <c r="E2060" s="14">
        <f>IF($B2060="","",IF(356&gt;NCapA,0,SUMIF(CalcDebit,INDEX(PkCapA,356),CalcAmt)+SUMIF(CalcDebit2,INDEX(PkCapA,356),CalcAmt2)))</f>
        <v/>
      </c>
      <c r="F2060" s="14">
        <f>IF($B2060="","",IF(356&gt;NCapA,0,SUMIF(CalcCredit,INDEX(PkCapA,356),CalcAmt)+SUMIF(CalcCredit2,INDEX(PkCapA,356),CalcAmt2)))</f>
        <v/>
      </c>
      <c r="G2060" s="15">
        <f>IF($B2060="","",ROUND($E2060-$F2060,0))</f>
        <v/>
      </c>
      <c r="H2060" s="12">
        <f>IF($B2060="","",IF(ROUND($G2060,0)&gt;0,"بدهکار",IF(ROUND($G2060,0)&lt;0,"بستانکار","تسویه")))</f>
        <v/>
      </c>
    </row>
    <row r="2061">
      <c r="A2061" s="16">
        <f>IF($B2061="","",2052)</f>
        <v/>
      </c>
      <c r="B2061" s="17">
        <f>IF(357&gt;NCapA,"",IFERROR(IF(VLOOKUP(INDEX(PkCapA,357),AcctTblA,4,0)="","(بدون نام)",VLOOKUP(INDEX(PkCapA,357),AcctTblA,4,0)),"—"))</f>
        <v/>
      </c>
      <c r="C2061" s="18">
        <f>IF($B2061="","",IF(357&gt;NCapA,"",INDEX(PkCapA,357)))</f>
        <v/>
      </c>
      <c r="D2061" s="17">
        <f>IF($B2061="","","c")</f>
        <v/>
      </c>
      <c r="E2061" s="19">
        <f>IF($B2061="","",IF(357&gt;NCapA,0,SUMIF(CalcDebit,INDEX(PkCapA,357),CalcAmt)+SUMIF(CalcDebit2,INDEX(PkCapA,357),CalcAmt2)))</f>
        <v/>
      </c>
      <c r="F2061" s="19">
        <f>IF($B2061="","",IF(357&gt;NCapA,0,SUMIF(CalcCredit,INDEX(PkCapA,357),CalcAmt)+SUMIF(CalcCredit2,INDEX(PkCapA,357),CalcAmt2)))</f>
        <v/>
      </c>
      <c r="G2061" s="20">
        <f>IF($B2061="","",ROUND($E2061-$F2061,0))</f>
        <v/>
      </c>
      <c r="H2061" s="17">
        <f>IF($B2061="","",IF(ROUND($G2061,0)&gt;0,"بدهکار",IF(ROUND($G2061,0)&lt;0,"بستانکار","تسویه")))</f>
        <v/>
      </c>
    </row>
    <row r="2062">
      <c r="A2062" s="11">
        <f>IF($B2062="","",2053)</f>
        <v/>
      </c>
      <c r="B2062" s="12">
        <f>IF(358&gt;NCapA,"",IFERROR(IF(VLOOKUP(INDEX(PkCapA,358),AcctTblA,4,0)="","(بدون نام)",VLOOKUP(INDEX(PkCapA,358),AcctTblA,4,0)),"—"))</f>
        <v/>
      </c>
      <c r="C2062" s="13">
        <f>IF($B2062="","",IF(358&gt;NCapA,"",INDEX(PkCapA,358)))</f>
        <v/>
      </c>
      <c r="D2062" s="12">
        <f>IF($B2062="","","c")</f>
        <v/>
      </c>
      <c r="E2062" s="14">
        <f>IF($B2062="","",IF(358&gt;NCapA,0,SUMIF(CalcDebit,INDEX(PkCapA,358),CalcAmt)+SUMIF(CalcDebit2,INDEX(PkCapA,358),CalcAmt2)))</f>
        <v/>
      </c>
      <c r="F2062" s="14">
        <f>IF($B2062="","",IF(358&gt;NCapA,0,SUMIF(CalcCredit,INDEX(PkCapA,358),CalcAmt)+SUMIF(CalcCredit2,INDEX(PkCapA,358),CalcAmt2)))</f>
        <v/>
      </c>
      <c r="G2062" s="15">
        <f>IF($B2062="","",ROUND($E2062-$F2062,0))</f>
        <v/>
      </c>
      <c r="H2062" s="12">
        <f>IF($B2062="","",IF(ROUND($G2062,0)&gt;0,"بدهکار",IF(ROUND($G2062,0)&lt;0,"بستانکار","تسویه")))</f>
        <v/>
      </c>
    </row>
    <row r="2063">
      <c r="A2063" s="16">
        <f>IF($B2063="","",2054)</f>
        <v/>
      </c>
      <c r="B2063" s="17">
        <f>IF(359&gt;NCapA,"",IFERROR(IF(VLOOKUP(INDEX(PkCapA,359),AcctTblA,4,0)="","(بدون نام)",VLOOKUP(INDEX(PkCapA,359),AcctTblA,4,0)),"—"))</f>
        <v/>
      </c>
      <c r="C2063" s="18">
        <f>IF($B2063="","",IF(359&gt;NCapA,"",INDEX(PkCapA,359)))</f>
        <v/>
      </c>
      <c r="D2063" s="17">
        <f>IF($B2063="","","c")</f>
        <v/>
      </c>
      <c r="E2063" s="19">
        <f>IF($B2063="","",IF(359&gt;NCapA,0,SUMIF(CalcDebit,INDEX(PkCapA,359),CalcAmt)+SUMIF(CalcDebit2,INDEX(PkCapA,359),CalcAmt2)))</f>
        <v/>
      </c>
      <c r="F2063" s="19">
        <f>IF($B2063="","",IF(359&gt;NCapA,0,SUMIF(CalcCredit,INDEX(PkCapA,359),CalcAmt)+SUMIF(CalcCredit2,INDEX(PkCapA,359),CalcAmt2)))</f>
        <v/>
      </c>
      <c r="G2063" s="20">
        <f>IF($B2063="","",ROUND($E2063-$F2063,0))</f>
        <v/>
      </c>
      <c r="H2063" s="17">
        <f>IF($B2063="","",IF(ROUND($G2063,0)&gt;0,"بدهکار",IF(ROUND($G2063,0)&lt;0,"بستانکار","تسویه")))</f>
        <v/>
      </c>
    </row>
    <row r="2064">
      <c r="A2064" s="11">
        <f>IF($B2064="","",2055)</f>
        <v/>
      </c>
      <c r="B2064" s="12">
        <f>IF(360&gt;NCapA,"",IFERROR(IF(VLOOKUP(INDEX(PkCapA,360),AcctTblA,4,0)="","(بدون نام)",VLOOKUP(INDEX(PkCapA,360),AcctTblA,4,0)),"—"))</f>
        <v/>
      </c>
      <c r="C2064" s="13">
        <f>IF($B2064="","",IF(360&gt;NCapA,"",INDEX(PkCapA,360)))</f>
        <v/>
      </c>
      <c r="D2064" s="12">
        <f>IF($B2064="","","c")</f>
        <v/>
      </c>
      <c r="E2064" s="14">
        <f>IF($B2064="","",IF(360&gt;NCapA,0,SUMIF(CalcDebit,INDEX(PkCapA,360),CalcAmt)+SUMIF(CalcDebit2,INDEX(PkCapA,360),CalcAmt2)))</f>
        <v/>
      </c>
      <c r="F2064" s="14">
        <f>IF($B2064="","",IF(360&gt;NCapA,0,SUMIF(CalcCredit,INDEX(PkCapA,360),CalcAmt)+SUMIF(CalcCredit2,INDEX(PkCapA,360),CalcAmt2)))</f>
        <v/>
      </c>
      <c r="G2064" s="15">
        <f>IF($B2064="","",ROUND($E2064-$F2064,0))</f>
        <v/>
      </c>
      <c r="H2064" s="12">
        <f>IF($B2064="","",IF(ROUND($G2064,0)&gt;0,"بدهکار",IF(ROUND($G2064,0)&lt;0,"بستانکار","تسویه")))</f>
        <v/>
      </c>
    </row>
    <row r="2065">
      <c r="A2065" s="16">
        <f>IF($B2065="","",2056)</f>
        <v/>
      </c>
      <c r="B2065" s="17">
        <f>IF(361&gt;NCapA,"",IFERROR(IF(VLOOKUP(INDEX(PkCapA,361),AcctTblA,4,0)="","(بدون نام)",VLOOKUP(INDEX(PkCapA,361),AcctTblA,4,0)),"—"))</f>
        <v/>
      </c>
      <c r="C2065" s="18">
        <f>IF($B2065="","",IF(361&gt;NCapA,"",INDEX(PkCapA,361)))</f>
        <v/>
      </c>
      <c r="D2065" s="17">
        <f>IF($B2065="","","c")</f>
        <v/>
      </c>
      <c r="E2065" s="19">
        <f>IF($B2065="","",IF(361&gt;NCapA,0,SUMIF(CalcDebit,INDEX(PkCapA,361),CalcAmt)+SUMIF(CalcDebit2,INDEX(PkCapA,361),CalcAmt2)))</f>
        <v/>
      </c>
      <c r="F2065" s="19">
        <f>IF($B2065="","",IF(361&gt;NCapA,0,SUMIF(CalcCredit,INDEX(PkCapA,361),CalcAmt)+SUMIF(CalcCredit2,INDEX(PkCapA,361),CalcAmt2)))</f>
        <v/>
      </c>
      <c r="G2065" s="20">
        <f>IF($B2065="","",ROUND($E2065-$F2065,0))</f>
        <v/>
      </c>
      <c r="H2065" s="17">
        <f>IF($B2065="","",IF(ROUND($G2065,0)&gt;0,"بدهکار",IF(ROUND($G2065,0)&lt;0,"بستانکار","تسویه")))</f>
        <v/>
      </c>
    </row>
    <row r="2066">
      <c r="A2066" s="11">
        <f>IF($B2066="","",2057)</f>
        <v/>
      </c>
      <c r="B2066" s="12">
        <f>IF(362&gt;NCapA,"",IFERROR(IF(VLOOKUP(INDEX(PkCapA,362),AcctTblA,4,0)="","(بدون نام)",VLOOKUP(INDEX(PkCapA,362),AcctTblA,4,0)),"—"))</f>
        <v/>
      </c>
      <c r="C2066" s="13">
        <f>IF($B2066="","",IF(362&gt;NCapA,"",INDEX(PkCapA,362)))</f>
        <v/>
      </c>
      <c r="D2066" s="12">
        <f>IF($B2066="","","c")</f>
        <v/>
      </c>
      <c r="E2066" s="14">
        <f>IF($B2066="","",IF(362&gt;NCapA,0,SUMIF(CalcDebit,INDEX(PkCapA,362),CalcAmt)+SUMIF(CalcDebit2,INDEX(PkCapA,362),CalcAmt2)))</f>
        <v/>
      </c>
      <c r="F2066" s="14">
        <f>IF($B2066="","",IF(362&gt;NCapA,0,SUMIF(CalcCredit,INDEX(PkCapA,362),CalcAmt)+SUMIF(CalcCredit2,INDEX(PkCapA,362),CalcAmt2)))</f>
        <v/>
      </c>
      <c r="G2066" s="15">
        <f>IF($B2066="","",ROUND($E2066-$F2066,0))</f>
        <v/>
      </c>
      <c r="H2066" s="12">
        <f>IF($B2066="","",IF(ROUND($G2066,0)&gt;0,"بدهکار",IF(ROUND($G2066,0)&lt;0,"بستانکار","تسویه")))</f>
        <v/>
      </c>
    </row>
    <row r="2067">
      <c r="A2067" s="16">
        <f>IF($B2067="","",2058)</f>
        <v/>
      </c>
      <c r="B2067" s="17">
        <f>IF(363&gt;NCapA,"",IFERROR(IF(VLOOKUP(INDEX(PkCapA,363),AcctTblA,4,0)="","(بدون نام)",VLOOKUP(INDEX(PkCapA,363),AcctTblA,4,0)),"—"))</f>
        <v/>
      </c>
      <c r="C2067" s="18">
        <f>IF($B2067="","",IF(363&gt;NCapA,"",INDEX(PkCapA,363)))</f>
        <v/>
      </c>
      <c r="D2067" s="17">
        <f>IF($B2067="","","c")</f>
        <v/>
      </c>
      <c r="E2067" s="19">
        <f>IF($B2067="","",IF(363&gt;NCapA,0,SUMIF(CalcDebit,INDEX(PkCapA,363),CalcAmt)+SUMIF(CalcDebit2,INDEX(PkCapA,363),CalcAmt2)))</f>
        <v/>
      </c>
      <c r="F2067" s="19">
        <f>IF($B2067="","",IF(363&gt;NCapA,0,SUMIF(CalcCredit,INDEX(PkCapA,363),CalcAmt)+SUMIF(CalcCredit2,INDEX(PkCapA,363),CalcAmt2)))</f>
        <v/>
      </c>
      <c r="G2067" s="20">
        <f>IF($B2067="","",ROUND($E2067-$F2067,0))</f>
        <v/>
      </c>
      <c r="H2067" s="17">
        <f>IF($B2067="","",IF(ROUND($G2067,0)&gt;0,"بدهکار",IF(ROUND($G2067,0)&lt;0,"بستانکار","تسویه")))</f>
        <v/>
      </c>
    </row>
    <row r="2068">
      <c r="A2068" s="11">
        <f>IF($B2068="","",2059)</f>
        <v/>
      </c>
      <c r="B2068" s="12">
        <f>IF(364&gt;NCapA,"",IFERROR(IF(VLOOKUP(INDEX(PkCapA,364),AcctTblA,4,0)="","(بدون نام)",VLOOKUP(INDEX(PkCapA,364),AcctTblA,4,0)),"—"))</f>
        <v/>
      </c>
      <c r="C2068" s="13">
        <f>IF($B2068="","",IF(364&gt;NCapA,"",INDEX(PkCapA,364)))</f>
        <v/>
      </c>
      <c r="D2068" s="12">
        <f>IF($B2068="","","c")</f>
        <v/>
      </c>
      <c r="E2068" s="14">
        <f>IF($B2068="","",IF(364&gt;NCapA,0,SUMIF(CalcDebit,INDEX(PkCapA,364),CalcAmt)+SUMIF(CalcDebit2,INDEX(PkCapA,364),CalcAmt2)))</f>
        <v/>
      </c>
      <c r="F2068" s="14">
        <f>IF($B2068="","",IF(364&gt;NCapA,0,SUMIF(CalcCredit,INDEX(PkCapA,364),CalcAmt)+SUMIF(CalcCredit2,INDEX(PkCapA,364),CalcAmt2)))</f>
        <v/>
      </c>
      <c r="G2068" s="15">
        <f>IF($B2068="","",ROUND($E2068-$F2068,0))</f>
        <v/>
      </c>
      <c r="H2068" s="12">
        <f>IF($B2068="","",IF(ROUND($G2068,0)&gt;0,"بدهکار",IF(ROUND($G2068,0)&lt;0,"بستانکار","تسویه")))</f>
        <v/>
      </c>
    </row>
    <row r="2069">
      <c r="A2069" s="16">
        <f>IF($B2069="","",2060)</f>
        <v/>
      </c>
      <c r="B2069" s="17">
        <f>IF(365&gt;NCapA,"",IFERROR(IF(VLOOKUP(INDEX(PkCapA,365),AcctTblA,4,0)="","(بدون نام)",VLOOKUP(INDEX(PkCapA,365),AcctTblA,4,0)),"—"))</f>
        <v/>
      </c>
      <c r="C2069" s="18">
        <f>IF($B2069="","",IF(365&gt;NCapA,"",INDEX(PkCapA,365)))</f>
        <v/>
      </c>
      <c r="D2069" s="17">
        <f>IF($B2069="","","c")</f>
        <v/>
      </c>
      <c r="E2069" s="19">
        <f>IF($B2069="","",IF(365&gt;NCapA,0,SUMIF(CalcDebit,INDEX(PkCapA,365),CalcAmt)+SUMIF(CalcDebit2,INDEX(PkCapA,365),CalcAmt2)))</f>
        <v/>
      </c>
      <c r="F2069" s="19">
        <f>IF($B2069="","",IF(365&gt;NCapA,0,SUMIF(CalcCredit,INDEX(PkCapA,365),CalcAmt)+SUMIF(CalcCredit2,INDEX(PkCapA,365),CalcAmt2)))</f>
        <v/>
      </c>
      <c r="G2069" s="20">
        <f>IF($B2069="","",ROUND($E2069-$F2069,0))</f>
        <v/>
      </c>
      <c r="H2069" s="17">
        <f>IF($B2069="","",IF(ROUND($G2069,0)&gt;0,"بدهکار",IF(ROUND($G2069,0)&lt;0,"بستانکار","تسویه")))</f>
        <v/>
      </c>
    </row>
    <row r="2070">
      <c r="A2070" s="11">
        <f>IF($B2070="","",2061)</f>
        <v/>
      </c>
      <c r="B2070" s="12">
        <f>IF(366&gt;NCapA,"",IFERROR(IF(VLOOKUP(INDEX(PkCapA,366),AcctTblA,4,0)="","(بدون نام)",VLOOKUP(INDEX(PkCapA,366),AcctTblA,4,0)),"—"))</f>
        <v/>
      </c>
      <c r="C2070" s="13">
        <f>IF($B2070="","",IF(366&gt;NCapA,"",INDEX(PkCapA,366)))</f>
        <v/>
      </c>
      <c r="D2070" s="12">
        <f>IF($B2070="","","c")</f>
        <v/>
      </c>
      <c r="E2070" s="14">
        <f>IF($B2070="","",IF(366&gt;NCapA,0,SUMIF(CalcDebit,INDEX(PkCapA,366),CalcAmt)+SUMIF(CalcDebit2,INDEX(PkCapA,366),CalcAmt2)))</f>
        <v/>
      </c>
      <c r="F2070" s="14">
        <f>IF($B2070="","",IF(366&gt;NCapA,0,SUMIF(CalcCredit,INDEX(PkCapA,366),CalcAmt)+SUMIF(CalcCredit2,INDEX(PkCapA,366),CalcAmt2)))</f>
        <v/>
      </c>
      <c r="G2070" s="15">
        <f>IF($B2070="","",ROUND($E2070-$F2070,0))</f>
        <v/>
      </c>
      <c r="H2070" s="12">
        <f>IF($B2070="","",IF(ROUND($G2070,0)&gt;0,"بدهکار",IF(ROUND($G2070,0)&lt;0,"بستانکار","تسویه")))</f>
        <v/>
      </c>
    </row>
    <row r="2071">
      <c r="A2071" s="16">
        <f>IF($B2071="","",2062)</f>
        <v/>
      </c>
      <c r="B2071" s="17">
        <f>IF(367&gt;NCapA,"",IFERROR(IF(VLOOKUP(INDEX(PkCapA,367),AcctTblA,4,0)="","(بدون نام)",VLOOKUP(INDEX(PkCapA,367),AcctTblA,4,0)),"—"))</f>
        <v/>
      </c>
      <c r="C2071" s="18">
        <f>IF($B2071="","",IF(367&gt;NCapA,"",INDEX(PkCapA,367)))</f>
        <v/>
      </c>
      <c r="D2071" s="17">
        <f>IF($B2071="","","c")</f>
        <v/>
      </c>
      <c r="E2071" s="19">
        <f>IF($B2071="","",IF(367&gt;NCapA,0,SUMIF(CalcDebit,INDEX(PkCapA,367),CalcAmt)+SUMIF(CalcDebit2,INDEX(PkCapA,367),CalcAmt2)))</f>
        <v/>
      </c>
      <c r="F2071" s="19">
        <f>IF($B2071="","",IF(367&gt;NCapA,0,SUMIF(CalcCredit,INDEX(PkCapA,367),CalcAmt)+SUMIF(CalcCredit2,INDEX(PkCapA,367),CalcAmt2)))</f>
        <v/>
      </c>
      <c r="G2071" s="20">
        <f>IF($B2071="","",ROUND($E2071-$F2071,0))</f>
        <v/>
      </c>
      <c r="H2071" s="17">
        <f>IF($B2071="","",IF(ROUND($G2071,0)&gt;0,"بدهکار",IF(ROUND($G2071,0)&lt;0,"بستانکار","تسویه")))</f>
        <v/>
      </c>
    </row>
    <row r="2072">
      <c r="A2072" s="11">
        <f>IF($B2072="","",2063)</f>
        <v/>
      </c>
      <c r="B2072" s="12">
        <f>IF(368&gt;NCapA,"",IFERROR(IF(VLOOKUP(INDEX(PkCapA,368),AcctTblA,4,0)="","(بدون نام)",VLOOKUP(INDEX(PkCapA,368),AcctTblA,4,0)),"—"))</f>
        <v/>
      </c>
      <c r="C2072" s="13">
        <f>IF($B2072="","",IF(368&gt;NCapA,"",INDEX(PkCapA,368)))</f>
        <v/>
      </c>
      <c r="D2072" s="12">
        <f>IF($B2072="","","c")</f>
        <v/>
      </c>
      <c r="E2072" s="14">
        <f>IF($B2072="","",IF(368&gt;NCapA,0,SUMIF(CalcDebit,INDEX(PkCapA,368),CalcAmt)+SUMIF(CalcDebit2,INDEX(PkCapA,368),CalcAmt2)))</f>
        <v/>
      </c>
      <c r="F2072" s="14">
        <f>IF($B2072="","",IF(368&gt;NCapA,0,SUMIF(CalcCredit,INDEX(PkCapA,368),CalcAmt)+SUMIF(CalcCredit2,INDEX(PkCapA,368),CalcAmt2)))</f>
        <v/>
      </c>
      <c r="G2072" s="15">
        <f>IF($B2072="","",ROUND($E2072-$F2072,0))</f>
        <v/>
      </c>
      <c r="H2072" s="12">
        <f>IF($B2072="","",IF(ROUND($G2072,0)&gt;0,"بدهکار",IF(ROUND($G2072,0)&lt;0,"بستانکار","تسویه")))</f>
        <v/>
      </c>
    </row>
    <row r="2073">
      <c r="A2073" s="16">
        <f>IF($B2073="","",2064)</f>
        <v/>
      </c>
      <c r="B2073" s="17">
        <f>IF(369&gt;NCapA,"",IFERROR(IF(VLOOKUP(INDEX(PkCapA,369),AcctTblA,4,0)="","(بدون نام)",VLOOKUP(INDEX(PkCapA,369),AcctTblA,4,0)),"—"))</f>
        <v/>
      </c>
      <c r="C2073" s="18">
        <f>IF($B2073="","",IF(369&gt;NCapA,"",INDEX(PkCapA,369)))</f>
        <v/>
      </c>
      <c r="D2073" s="17">
        <f>IF($B2073="","","c")</f>
        <v/>
      </c>
      <c r="E2073" s="19">
        <f>IF($B2073="","",IF(369&gt;NCapA,0,SUMIF(CalcDebit,INDEX(PkCapA,369),CalcAmt)+SUMIF(CalcDebit2,INDEX(PkCapA,369),CalcAmt2)))</f>
        <v/>
      </c>
      <c r="F2073" s="19">
        <f>IF($B2073="","",IF(369&gt;NCapA,0,SUMIF(CalcCredit,INDEX(PkCapA,369),CalcAmt)+SUMIF(CalcCredit2,INDEX(PkCapA,369),CalcAmt2)))</f>
        <v/>
      </c>
      <c r="G2073" s="20">
        <f>IF($B2073="","",ROUND($E2073-$F2073,0))</f>
        <v/>
      </c>
      <c r="H2073" s="17">
        <f>IF($B2073="","",IF(ROUND($G2073,0)&gt;0,"بدهکار",IF(ROUND($G2073,0)&lt;0,"بستانکار","تسویه")))</f>
        <v/>
      </c>
    </row>
    <row r="2074">
      <c r="A2074" s="11">
        <f>IF($B2074="","",2065)</f>
        <v/>
      </c>
      <c r="B2074" s="12">
        <f>IF(370&gt;NCapA,"",IFERROR(IF(VLOOKUP(INDEX(PkCapA,370),AcctTblA,4,0)="","(بدون نام)",VLOOKUP(INDEX(PkCapA,370),AcctTblA,4,0)),"—"))</f>
        <v/>
      </c>
      <c r="C2074" s="13">
        <f>IF($B2074="","",IF(370&gt;NCapA,"",INDEX(PkCapA,370)))</f>
        <v/>
      </c>
      <c r="D2074" s="12">
        <f>IF($B2074="","","c")</f>
        <v/>
      </c>
      <c r="E2074" s="14">
        <f>IF($B2074="","",IF(370&gt;NCapA,0,SUMIF(CalcDebit,INDEX(PkCapA,370),CalcAmt)+SUMIF(CalcDebit2,INDEX(PkCapA,370),CalcAmt2)))</f>
        <v/>
      </c>
      <c r="F2074" s="14">
        <f>IF($B2074="","",IF(370&gt;NCapA,0,SUMIF(CalcCredit,INDEX(PkCapA,370),CalcAmt)+SUMIF(CalcCredit2,INDEX(PkCapA,370),CalcAmt2)))</f>
        <v/>
      </c>
      <c r="G2074" s="15">
        <f>IF($B2074="","",ROUND($E2074-$F2074,0))</f>
        <v/>
      </c>
      <c r="H2074" s="12">
        <f>IF($B2074="","",IF(ROUND($G2074,0)&gt;0,"بدهکار",IF(ROUND($G2074,0)&lt;0,"بستانکار","تسویه")))</f>
        <v/>
      </c>
    </row>
    <row r="2075">
      <c r="A2075" s="16">
        <f>IF($B2075="","",2066)</f>
        <v/>
      </c>
      <c r="B2075" s="17">
        <f>IF(371&gt;NCapA,"",IFERROR(IF(VLOOKUP(INDEX(PkCapA,371),AcctTblA,4,0)="","(بدون نام)",VLOOKUP(INDEX(PkCapA,371),AcctTblA,4,0)),"—"))</f>
        <v/>
      </c>
      <c r="C2075" s="18">
        <f>IF($B2075="","",IF(371&gt;NCapA,"",INDEX(PkCapA,371)))</f>
        <v/>
      </c>
      <c r="D2075" s="17">
        <f>IF($B2075="","","c")</f>
        <v/>
      </c>
      <c r="E2075" s="19">
        <f>IF($B2075="","",IF(371&gt;NCapA,0,SUMIF(CalcDebit,INDEX(PkCapA,371),CalcAmt)+SUMIF(CalcDebit2,INDEX(PkCapA,371),CalcAmt2)))</f>
        <v/>
      </c>
      <c r="F2075" s="19">
        <f>IF($B2075="","",IF(371&gt;NCapA,0,SUMIF(CalcCredit,INDEX(PkCapA,371),CalcAmt)+SUMIF(CalcCredit2,INDEX(PkCapA,371),CalcAmt2)))</f>
        <v/>
      </c>
      <c r="G2075" s="20">
        <f>IF($B2075="","",ROUND($E2075-$F2075,0))</f>
        <v/>
      </c>
      <c r="H2075" s="17">
        <f>IF($B2075="","",IF(ROUND($G2075,0)&gt;0,"بدهکار",IF(ROUND($G2075,0)&lt;0,"بستانکار","تسویه")))</f>
        <v/>
      </c>
    </row>
    <row r="2076">
      <c r="A2076" s="11">
        <f>IF($B2076="","",2067)</f>
        <v/>
      </c>
      <c r="B2076" s="12">
        <f>IF(372&gt;NCapA,"",IFERROR(IF(VLOOKUP(INDEX(PkCapA,372),AcctTblA,4,0)="","(بدون نام)",VLOOKUP(INDEX(PkCapA,372),AcctTblA,4,0)),"—"))</f>
        <v/>
      </c>
      <c r="C2076" s="13">
        <f>IF($B2076="","",IF(372&gt;NCapA,"",INDEX(PkCapA,372)))</f>
        <v/>
      </c>
      <c r="D2076" s="12">
        <f>IF($B2076="","","c")</f>
        <v/>
      </c>
      <c r="E2076" s="14">
        <f>IF($B2076="","",IF(372&gt;NCapA,0,SUMIF(CalcDebit,INDEX(PkCapA,372),CalcAmt)+SUMIF(CalcDebit2,INDEX(PkCapA,372),CalcAmt2)))</f>
        <v/>
      </c>
      <c r="F2076" s="14">
        <f>IF($B2076="","",IF(372&gt;NCapA,0,SUMIF(CalcCredit,INDEX(PkCapA,372),CalcAmt)+SUMIF(CalcCredit2,INDEX(PkCapA,372),CalcAmt2)))</f>
        <v/>
      </c>
      <c r="G2076" s="15">
        <f>IF($B2076="","",ROUND($E2076-$F2076,0))</f>
        <v/>
      </c>
      <c r="H2076" s="12">
        <f>IF($B2076="","",IF(ROUND($G2076,0)&gt;0,"بدهکار",IF(ROUND($G2076,0)&lt;0,"بستانکار","تسویه")))</f>
        <v/>
      </c>
    </row>
    <row r="2077">
      <c r="A2077" s="16">
        <f>IF($B2077="","",2068)</f>
        <v/>
      </c>
      <c r="B2077" s="17">
        <f>IF(373&gt;NCapA,"",IFERROR(IF(VLOOKUP(INDEX(PkCapA,373),AcctTblA,4,0)="","(بدون نام)",VLOOKUP(INDEX(PkCapA,373),AcctTblA,4,0)),"—"))</f>
        <v/>
      </c>
      <c r="C2077" s="18">
        <f>IF($B2077="","",IF(373&gt;NCapA,"",INDEX(PkCapA,373)))</f>
        <v/>
      </c>
      <c r="D2077" s="17">
        <f>IF($B2077="","","c")</f>
        <v/>
      </c>
      <c r="E2077" s="19">
        <f>IF($B2077="","",IF(373&gt;NCapA,0,SUMIF(CalcDebit,INDEX(PkCapA,373),CalcAmt)+SUMIF(CalcDebit2,INDEX(PkCapA,373),CalcAmt2)))</f>
        <v/>
      </c>
      <c r="F2077" s="19">
        <f>IF($B2077="","",IF(373&gt;NCapA,0,SUMIF(CalcCredit,INDEX(PkCapA,373),CalcAmt)+SUMIF(CalcCredit2,INDEX(PkCapA,373),CalcAmt2)))</f>
        <v/>
      </c>
      <c r="G2077" s="20">
        <f>IF($B2077="","",ROUND($E2077-$F2077,0))</f>
        <v/>
      </c>
      <c r="H2077" s="17">
        <f>IF($B2077="","",IF(ROUND($G2077,0)&gt;0,"بدهکار",IF(ROUND($G2077,0)&lt;0,"بستانکار","تسویه")))</f>
        <v/>
      </c>
    </row>
    <row r="2078">
      <c r="A2078" s="11">
        <f>IF($B2078="","",2069)</f>
        <v/>
      </c>
      <c r="B2078" s="12">
        <f>IF(374&gt;NCapA,"",IFERROR(IF(VLOOKUP(INDEX(PkCapA,374),AcctTblA,4,0)="","(بدون نام)",VLOOKUP(INDEX(PkCapA,374),AcctTblA,4,0)),"—"))</f>
        <v/>
      </c>
      <c r="C2078" s="13">
        <f>IF($B2078="","",IF(374&gt;NCapA,"",INDEX(PkCapA,374)))</f>
        <v/>
      </c>
      <c r="D2078" s="12">
        <f>IF($B2078="","","c")</f>
        <v/>
      </c>
      <c r="E2078" s="14">
        <f>IF($B2078="","",IF(374&gt;NCapA,0,SUMIF(CalcDebit,INDEX(PkCapA,374),CalcAmt)+SUMIF(CalcDebit2,INDEX(PkCapA,374),CalcAmt2)))</f>
        <v/>
      </c>
      <c r="F2078" s="14">
        <f>IF($B2078="","",IF(374&gt;NCapA,0,SUMIF(CalcCredit,INDEX(PkCapA,374),CalcAmt)+SUMIF(CalcCredit2,INDEX(PkCapA,374),CalcAmt2)))</f>
        <v/>
      </c>
      <c r="G2078" s="15">
        <f>IF($B2078="","",ROUND($E2078-$F2078,0))</f>
        <v/>
      </c>
      <c r="H2078" s="12">
        <f>IF($B2078="","",IF(ROUND($G2078,0)&gt;0,"بدهکار",IF(ROUND($G2078,0)&lt;0,"بستانکار","تسویه")))</f>
        <v/>
      </c>
    </row>
    <row r="2079">
      <c r="A2079" s="16">
        <f>IF($B2079="","",2070)</f>
        <v/>
      </c>
      <c r="B2079" s="17">
        <f>IF(375&gt;NCapA,"",IFERROR(IF(VLOOKUP(INDEX(PkCapA,375),AcctTblA,4,0)="","(بدون نام)",VLOOKUP(INDEX(PkCapA,375),AcctTblA,4,0)),"—"))</f>
        <v/>
      </c>
      <c r="C2079" s="18">
        <f>IF($B2079="","",IF(375&gt;NCapA,"",INDEX(PkCapA,375)))</f>
        <v/>
      </c>
      <c r="D2079" s="17">
        <f>IF($B2079="","","c")</f>
        <v/>
      </c>
      <c r="E2079" s="19">
        <f>IF($B2079="","",IF(375&gt;NCapA,0,SUMIF(CalcDebit,INDEX(PkCapA,375),CalcAmt)+SUMIF(CalcDebit2,INDEX(PkCapA,375),CalcAmt2)))</f>
        <v/>
      </c>
      <c r="F2079" s="19">
        <f>IF($B2079="","",IF(375&gt;NCapA,0,SUMIF(CalcCredit,INDEX(PkCapA,375),CalcAmt)+SUMIF(CalcCredit2,INDEX(PkCapA,375),CalcAmt2)))</f>
        <v/>
      </c>
      <c r="G2079" s="20">
        <f>IF($B2079="","",ROUND($E2079-$F2079,0))</f>
        <v/>
      </c>
      <c r="H2079" s="17">
        <f>IF($B2079="","",IF(ROUND($G2079,0)&gt;0,"بدهکار",IF(ROUND($G2079,0)&lt;0,"بستانکار","تسویه")))</f>
        <v/>
      </c>
    </row>
    <row r="2080">
      <c r="A2080" s="11">
        <f>IF($B2080="","",2071)</f>
        <v/>
      </c>
      <c r="B2080" s="12">
        <f>IF(376&gt;NCapA,"",IFERROR(IF(VLOOKUP(INDEX(PkCapA,376),AcctTblA,4,0)="","(بدون نام)",VLOOKUP(INDEX(PkCapA,376),AcctTblA,4,0)),"—"))</f>
        <v/>
      </c>
      <c r="C2080" s="13">
        <f>IF($B2080="","",IF(376&gt;NCapA,"",INDEX(PkCapA,376)))</f>
        <v/>
      </c>
      <c r="D2080" s="12">
        <f>IF($B2080="","","c")</f>
        <v/>
      </c>
      <c r="E2080" s="14">
        <f>IF($B2080="","",IF(376&gt;NCapA,0,SUMIF(CalcDebit,INDEX(PkCapA,376),CalcAmt)+SUMIF(CalcDebit2,INDEX(PkCapA,376),CalcAmt2)))</f>
        <v/>
      </c>
      <c r="F2080" s="14">
        <f>IF($B2080="","",IF(376&gt;NCapA,0,SUMIF(CalcCredit,INDEX(PkCapA,376),CalcAmt)+SUMIF(CalcCredit2,INDEX(PkCapA,376),CalcAmt2)))</f>
        <v/>
      </c>
      <c r="G2080" s="15">
        <f>IF($B2080="","",ROUND($E2080-$F2080,0))</f>
        <v/>
      </c>
      <c r="H2080" s="12">
        <f>IF($B2080="","",IF(ROUND($G2080,0)&gt;0,"بدهکار",IF(ROUND($G2080,0)&lt;0,"بستانکار","تسویه")))</f>
        <v/>
      </c>
    </row>
    <row r="2081">
      <c r="A2081" s="16">
        <f>IF($B2081="","",2072)</f>
        <v/>
      </c>
      <c r="B2081" s="17">
        <f>IF(377&gt;NCapA,"",IFERROR(IF(VLOOKUP(INDEX(PkCapA,377),AcctTblA,4,0)="","(بدون نام)",VLOOKUP(INDEX(PkCapA,377),AcctTblA,4,0)),"—"))</f>
        <v/>
      </c>
      <c r="C2081" s="18">
        <f>IF($B2081="","",IF(377&gt;NCapA,"",INDEX(PkCapA,377)))</f>
        <v/>
      </c>
      <c r="D2081" s="17">
        <f>IF($B2081="","","c")</f>
        <v/>
      </c>
      <c r="E2081" s="19">
        <f>IF($B2081="","",IF(377&gt;NCapA,0,SUMIF(CalcDebit,INDEX(PkCapA,377),CalcAmt)+SUMIF(CalcDebit2,INDEX(PkCapA,377),CalcAmt2)))</f>
        <v/>
      </c>
      <c r="F2081" s="19">
        <f>IF($B2081="","",IF(377&gt;NCapA,0,SUMIF(CalcCredit,INDEX(PkCapA,377),CalcAmt)+SUMIF(CalcCredit2,INDEX(PkCapA,377),CalcAmt2)))</f>
        <v/>
      </c>
      <c r="G2081" s="20">
        <f>IF($B2081="","",ROUND($E2081-$F2081,0))</f>
        <v/>
      </c>
      <c r="H2081" s="17">
        <f>IF($B2081="","",IF(ROUND($G2081,0)&gt;0,"بدهکار",IF(ROUND($G2081,0)&lt;0,"بستانکار","تسویه")))</f>
        <v/>
      </c>
    </row>
    <row r="2082">
      <c r="A2082" s="11">
        <f>IF($B2082="","",2073)</f>
        <v/>
      </c>
      <c r="B2082" s="12">
        <f>IF(378&gt;NCapA,"",IFERROR(IF(VLOOKUP(INDEX(PkCapA,378),AcctTblA,4,0)="","(بدون نام)",VLOOKUP(INDEX(PkCapA,378),AcctTblA,4,0)),"—"))</f>
        <v/>
      </c>
      <c r="C2082" s="13">
        <f>IF($B2082="","",IF(378&gt;NCapA,"",INDEX(PkCapA,378)))</f>
        <v/>
      </c>
      <c r="D2082" s="12">
        <f>IF($B2082="","","c")</f>
        <v/>
      </c>
      <c r="E2082" s="14">
        <f>IF($B2082="","",IF(378&gt;NCapA,0,SUMIF(CalcDebit,INDEX(PkCapA,378),CalcAmt)+SUMIF(CalcDebit2,INDEX(PkCapA,378),CalcAmt2)))</f>
        <v/>
      </c>
      <c r="F2082" s="14">
        <f>IF($B2082="","",IF(378&gt;NCapA,0,SUMIF(CalcCredit,INDEX(PkCapA,378),CalcAmt)+SUMIF(CalcCredit2,INDEX(PkCapA,378),CalcAmt2)))</f>
        <v/>
      </c>
      <c r="G2082" s="15">
        <f>IF($B2082="","",ROUND($E2082-$F2082,0))</f>
        <v/>
      </c>
      <c r="H2082" s="12">
        <f>IF($B2082="","",IF(ROUND($G2082,0)&gt;0,"بدهکار",IF(ROUND($G2082,0)&lt;0,"بستانکار","تسویه")))</f>
        <v/>
      </c>
    </row>
    <row r="2083">
      <c r="A2083" s="16">
        <f>IF($B2083="","",2074)</f>
        <v/>
      </c>
      <c r="B2083" s="17">
        <f>IF(379&gt;NCapA,"",IFERROR(IF(VLOOKUP(INDEX(PkCapA,379),AcctTblA,4,0)="","(بدون نام)",VLOOKUP(INDEX(PkCapA,379),AcctTblA,4,0)),"—"))</f>
        <v/>
      </c>
      <c r="C2083" s="18">
        <f>IF($B2083="","",IF(379&gt;NCapA,"",INDEX(PkCapA,379)))</f>
        <v/>
      </c>
      <c r="D2083" s="17">
        <f>IF($B2083="","","c")</f>
        <v/>
      </c>
      <c r="E2083" s="19">
        <f>IF($B2083="","",IF(379&gt;NCapA,0,SUMIF(CalcDebit,INDEX(PkCapA,379),CalcAmt)+SUMIF(CalcDebit2,INDEX(PkCapA,379),CalcAmt2)))</f>
        <v/>
      </c>
      <c r="F2083" s="19">
        <f>IF($B2083="","",IF(379&gt;NCapA,0,SUMIF(CalcCredit,INDEX(PkCapA,379),CalcAmt)+SUMIF(CalcCredit2,INDEX(PkCapA,379),CalcAmt2)))</f>
        <v/>
      </c>
      <c r="G2083" s="20">
        <f>IF($B2083="","",ROUND($E2083-$F2083,0))</f>
        <v/>
      </c>
      <c r="H2083" s="17">
        <f>IF($B2083="","",IF(ROUND($G2083,0)&gt;0,"بدهکار",IF(ROUND($G2083,0)&lt;0,"بستانکار","تسویه")))</f>
        <v/>
      </c>
    </row>
    <row r="2084">
      <c r="A2084" s="11">
        <f>IF($B2084="","",2075)</f>
        <v/>
      </c>
      <c r="B2084" s="12">
        <f>IF(380&gt;NCapA,"",IFERROR(IF(VLOOKUP(INDEX(PkCapA,380),AcctTblA,4,0)="","(بدون نام)",VLOOKUP(INDEX(PkCapA,380),AcctTblA,4,0)),"—"))</f>
        <v/>
      </c>
      <c r="C2084" s="13">
        <f>IF($B2084="","",IF(380&gt;NCapA,"",INDEX(PkCapA,380)))</f>
        <v/>
      </c>
      <c r="D2084" s="12">
        <f>IF($B2084="","","c")</f>
        <v/>
      </c>
      <c r="E2084" s="14">
        <f>IF($B2084="","",IF(380&gt;NCapA,0,SUMIF(CalcDebit,INDEX(PkCapA,380),CalcAmt)+SUMIF(CalcDebit2,INDEX(PkCapA,380),CalcAmt2)))</f>
        <v/>
      </c>
      <c r="F2084" s="14">
        <f>IF($B2084="","",IF(380&gt;NCapA,0,SUMIF(CalcCredit,INDEX(PkCapA,380),CalcAmt)+SUMIF(CalcCredit2,INDEX(PkCapA,380),CalcAmt2)))</f>
        <v/>
      </c>
      <c r="G2084" s="15">
        <f>IF($B2084="","",ROUND($E2084-$F2084,0))</f>
        <v/>
      </c>
      <c r="H2084" s="12">
        <f>IF($B2084="","",IF(ROUND($G2084,0)&gt;0,"بدهکار",IF(ROUND($G2084,0)&lt;0,"بستانکار","تسویه")))</f>
        <v/>
      </c>
    </row>
    <row r="2085">
      <c r="A2085" s="16">
        <f>IF($B2085="","",2076)</f>
        <v/>
      </c>
      <c r="B2085" s="17">
        <f>IF(381&gt;NCapA,"",IFERROR(IF(VLOOKUP(INDEX(PkCapA,381),AcctTblA,4,0)="","(بدون نام)",VLOOKUP(INDEX(PkCapA,381),AcctTblA,4,0)),"—"))</f>
        <v/>
      </c>
      <c r="C2085" s="18">
        <f>IF($B2085="","",IF(381&gt;NCapA,"",INDEX(PkCapA,381)))</f>
        <v/>
      </c>
      <c r="D2085" s="17">
        <f>IF($B2085="","","c")</f>
        <v/>
      </c>
      <c r="E2085" s="19">
        <f>IF($B2085="","",IF(381&gt;NCapA,0,SUMIF(CalcDebit,INDEX(PkCapA,381),CalcAmt)+SUMIF(CalcDebit2,INDEX(PkCapA,381),CalcAmt2)))</f>
        <v/>
      </c>
      <c r="F2085" s="19">
        <f>IF($B2085="","",IF(381&gt;NCapA,0,SUMIF(CalcCredit,INDEX(PkCapA,381),CalcAmt)+SUMIF(CalcCredit2,INDEX(PkCapA,381),CalcAmt2)))</f>
        <v/>
      </c>
      <c r="G2085" s="20">
        <f>IF($B2085="","",ROUND($E2085-$F2085,0))</f>
        <v/>
      </c>
      <c r="H2085" s="17">
        <f>IF($B2085="","",IF(ROUND($G2085,0)&gt;0,"بدهکار",IF(ROUND($G2085,0)&lt;0,"بستانکار","تسویه")))</f>
        <v/>
      </c>
    </row>
    <row r="2086">
      <c r="A2086" s="11">
        <f>IF($B2086="","",2077)</f>
        <v/>
      </c>
      <c r="B2086" s="12">
        <f>IF(382&gt;NCapA,"",IFERROR(IF(VLOOKUP(INDEX(PkCapA,382),AcctTblA,4,0)="","(بدون نام)",VLOOKUP(INDEX(PkCapA,382),AcctTblA,4,0)),"—"))</f>
        <v/>
      </c>
      <c r="C2086" s="13">
        <f>IF($B2086="","",IF(382&gt;NCapA,"",INDEX(PkCapA,382)))</f>
        <v/>
      </c>
      <c r="D2086" s="12">
        <f>IF($B2086="","","c")</f>
        <v/>
      </c>
      <c r="E2086" s="14">
        <f>IF($B2086="","",IF(382&gt;NCapA,0,SUMIF(CalcDebit,INDEX(PkCapA,382),CalcAmt)+SUMIF(CalcDebit2,INDEX(PkCapA,382),CalcAmt2)))</f>
        <v/>
      </c>
      <c r="F2086" s="14">
        <f>IF($B2086="","",IF(382&gt;NCapA,0,SUMIF(CalcCredit,INDEX(PkCapA,382),CalcAmt)+SUMIF(CalcCredit2,INDEX(PkCapA,382),CalcAmt2)))</f>
        <v/>
      </c>
      <c r="G2086" s="15">
        <f>IF($B2086="","",ROUND($E2086-$F2086,0))</f>
        <v/>
      </c>
      <c r="H2086" s="12">
        <f>IF($B2086="","",IF(ROUND($G2086,0)&gt;0,"بدهکار",IF(ROUND($G2086,0)&lt;0,"بستانکار","تسویه")))</f>
        <v/>
      </c>
    </row>
    <row r="2087">
      <c r="A2087" s="16">
        <f>IF($B2087="","",2078)</f>
        <v/>
      </c>
      <c r="B2087" s="17">
        <f>IF(383&gt;NCapA,"",IFERROR(IF(VLOOKUP(INDEX(PkCapA,383),AcctTblA,4,0)="","(بدون نام)",VLOOKUP(INDEX(PkCapA,383),AcctTblA,4,0)),"—"))</f>
        <v/>
      </c>
      <c r="C2087" s="18">
        <f>IF($B2087="","",IF(383&gt;NCapA,"",INDEX(PkCapA,383)))</f>
        <v/>
      </c>
      <c r="D2087" s="17">
        <f>IF($B2087="","","c")</f>
        <v/>
      </c>
      <c r="E2087" s="19">
        <f>IF($B2087="","",IF(383&gt;NCapA,0,SUMIF(CalcDebit,INDEX(PkCapA,383),CalcAmt)+SUMIF(CalcDebit2,INDEX(PkCapA,383),CalcAmt2)))</f>
        <v/>
      </c>
      <c r="F2087" s="19">
        <f>IF($B2087="","",IF(383&gt;NCapA,0,SUMIF(CalcCredit,INDEX(PkCapA,383),CalcAmt)+SUMIF(CalcCredit2,INDEX(PkCapA,383),CalcAmt2)))</f>
        <v/>
      </c>
      <c r="G2087" s="20">
        <f>IF($B2087="","",ROUND($E2087-$F2087,0))</f>
        <v/>
      </c>
      <c r="H2087" s="17">
        <f>IF($B2087="","",IF(ROUND($G2087,0)&gt;0,"بدهکار",IF(ROUND($G2087,0)&lt;0,"بستانکار","تسویه")))</f>
        <v/>
      </c>
    </row>
    <row r="2088">
      <c r="A2088" s="11">
        <f>IF($B2088="","",2079)</f>
        <v/>
      </c>
      <c r="B2088" s="12">
        <f>IF(384&gt;NCapA,"",IFERROR(IF(VLOOKUP(INDEX(PkCapA,384),AcctTblA,4,0)="","(بدون نام)",VLOOKUP(INDEX(PkCapA,384),AcctTblA,4,0)),"—"))</f>
        <v/>
      </c>
      <c r="C2088" s="13">
        <f>IF($B2088="","",IF(384&gt;NCapA,"",INDEX(PkCapA,384)))</f>
        <v/>
      </c>
      <c r="D2088" s="12">
        <f>IF($B2088="","","c")</f>
        <v/>
      </c>
      <c r="E2088" s="14">
        <f>IF($B2088="","",IF(384&gt;NCapA,0,SUMIF(CalcDebit,INDEX(PkCapA,384),CalcAmt)+SUMIF(CalcDebit2,INDEX(PkCapA,384),CalcAmt2)))</f>
        <v/>
      </c>
      <c r="F2088" s="14">
        <f>IF($B2088="","",IF(384&gt;NCapA,0,SUMIF(CalcCredit,INDEX(PkCapA,384),CalcAmt)+SUMIF(CalcCredit2,INDEX(PkCapA,384),CalcAmt2)))</f>
        <v/>
      </c>
      <c r="G2088" s="15">
        <f>IF($B2088="","",ROUND($E2088-$F2088,0))</f>
        <v/>
      </c>
      <c r="H2088" s="12">
        <f>IF($B2088="","",IF(ROUND($G2088,0)&gt;0,"بدهکار",IF(ROUND($G2088,0)&lt;0,"بستانکار","تسویه")))</f>
        <v/>
      </c>
    </row>
    <row r="2089">
      <c r="A2089" s="16">
        <f>IF($B2089="","",2080)</f>
        <v/>
      </c>
      <c r="B2089" s="17">
        <f>IF(385&gt;NCapA,"",IFERROR(IF(VLOOKUP(INDEX(PkCapA,385),AcctTblA,4,0)="","(بدون نام)",VLOOKUP(INDEX(PkCapA,385),AcctTblA,4,0)),"—"))</f>
        <v/>
      </c>
      <c r="C2089" s="18">
        <f>IF($B2089="","",IF(385&gt;NCapA,"",INDEX(PkCapA,385)))</f>
        <v/>
      </c>
      <c r="D2089" s="17">
        <f>IF($B2089="","","c")</f>
        <v/>
      </c>
      <c r="E2089" s="19">
        <f>IF($B2089="","",IF(385&gt;NCapA,0,SUMIF(CalcDebit,INDEX(PkCapA,385),CalcAmt)+SUMIF(CalcDebit2,INDEX(PkCapA,385),CalcAmt2)))</f>
        <v/>
      </c>
      <c r="F2089" s="19">
        <f>IF($B2089="","",IF(385&gt;NCapA,0,SUMIF(CalcCredit,INDEX(PkCapA,385),CalcAmt)+SUMIF(CalcCredit2,INDEX(PkCapA,385),CalcAmt2)))</f>
        <v/>
      </c>
      <c r="G2089" s="20">
        <f>IF($B2089="","",ROUND($E2089-$F2089,0))</f>
        <v/>
      </c>
      <c r="H2089" s="17">
        <f>IF($B2089="","",IF(ROUND($G2089,0)&gt;0,"بدهکار",IF(ROUND($G2089,0)&lt;0,"بستانکار","تسویه")))</f>
        <v/>
      </c>
    </row>
    <row r="2090">
      <c r="A2090" s="11">
        <f>IF($B2090="","",2081)</f>
        <v/>
      </c>
      <c r="B2090" s="12">
        <f>IF(386&gt;NCapA,"",IFERROR(IF(VLOOKUP(INDEX(PkCapA,386),AcctTblA,4,0)="","(بدون نام)",VLOOKUP(INDEX(PkCapA,386),AcctTblA,4,0)),"—"))</f>
        <v/>
      </c>
      <c r="C2090" s="13">
        <f>IF($B2090="","",IF(386&gt;NCapA,"",INDEX(PkCapA,386)))</f>
        <v/>
      </c>
      <c r="D2090" s="12">
        <f>IF($B2090="","","c")</f>
        <v/>
      </c>
      <c r="E2090" s="14">
        <f>IF($B2090="","",IF(386&gt;NCapA,0,SUMIF(CalcDebit,INDEX(PkCapA,386),CalcAmt)+SUMIF(CalcDebit2,INDEX(PkCapA,386),CalcAmt2)))</f>
        <v/>
      </c>
      <c r="F2090" s="14">
        <f>IF($B2090="","",IF(386&gt;NCapA,0,SUMIF(CalcCredit,INDEX(PkCapA,386),CalcAmt)+SUMIF(CalcCredit2,INDEX(PkCapA,386),CalcAmt2)))</f>
        <v/>
      </c>
      <c r="G2090" s="15">
        <f>IF($B2090="","",ROUND($E2090-$F2090,0))</f>
        <v/>
      </c>
      <c r="H2090" s="12">
        <f>IF($B2090="","",IF(ROUND($G2090,0)&gt;0,"بدهکار",IF(ROUND($G2090,0)&lt;0,"بستانکار","تسویه")))</f>
        <v/>
      </c>
    </row>
    <row r="2091">
      <c r="A2091" s="16">
        <f>IF($B2091="","",2082)</f>
        <v/>
      </c>
      <c r="B2091" s="17">
        <f>IF(387&gt;NCapA,"",IFERROR(IF(VLOOKUP(INDEX(PkCapA,387),AcctTblA,4,0)="","(بدون نام)",VLOOKUP(INDEX(PkCapA,387),AcctTblA,4,0)),"—"))</f>
        <v/>
      </c>
      <c r="C2091" s="18">
        <f>IF($B2091="","",IF(387&gt;NCapA,"",INDEX(PkCapA,387)))</f>
        <v/>
      </c>
      <c r="D2091" s="17">
        <f>IF($B2091="","","c")</f>
        <v/>
      </c>
      <c r="E2091" s="19">
        <f>IF($B2091="","",IF(387&gt;NCapA,0,SUMIF(CalcDebit,INDEX(PkCapA,387),CalcAmt)+SUMIF(CalcDebit2,INDEX(PkCapA,387),CalcAmt2)))</f>
        <v/>
      </c>
      <c r="F2091" s="19">
        <f>IF($B2091="","",IF(387&gt;NCapA,0,SUMIF(CalcCredit,INDEX(PkCapA,387),CalcAmt)+SUMIF(CalcCredit2,INDEX(PkCapA,387),CalcAmt2)))</f>
        <v/>
      </c>
      <c r="G2091" s="20">
        <f>IF($B2091="","",ROUND($E2091-$F2091,0))</f>
        <v/>
      </c>
      <c r="H2091" s="17">
        <f>IF($B2091="","",IF(ROUND($G2091,0)&gt;0,"بدهکار",IF(ROUND($G2091,0)&lt;0,"بستانکار","تسویه")))</f>
        <v/>
      </c>
    </row>
    <row r="2092">
      <c r="A2092" s="11">
        <f>IF($B2092="","",2083)</f>
        <v/>
      </c>
      <c r="B2092" s="12">
        <f>IF(388&gt;NCapA,"",IFERROR(IF(VLOOKUP(INDEX(PkCapA,388),AcctTblA,4,0)="","(بدون نام)",VLOOKUP(INDEX(PkCapA,388),AcctTblA,4,0)),"—"))</f>
        <v/>
      </c>
      <c r="C2092" s="13">
        <f>IF($B2092="","",IF(388&gt;NCapA,"",INDEX(PkCapA,388)))</f>
        <v/>
      </c>
      <c r="D2092" s="12">
        <f>IF($B2092="","","c")</f>
        <v/>
      </c>
      <c r="E2092" s="14">
        <f>IF($B2092="","",IF(388&gt;NCapA,0,SUMIF(CalcDebit,INDEX(PkCapA,388),CalcAmt)+SUMIF(CalcDebit2,INDEX(PkCapA,388),CalcAmt2)))</f>
        <v/>
      </c>
      <c r="F2092" s="14">
        <f>IF($B2092="","",IF(388&gt;NCapA,0,SUMIF(CalcCredit,INDEX(PkCapA,388),CalcAmt)+SUMIF(CalcCredit2,INDEX(PkCapA,388),CalcAmt2)))</f>
        <v/>
      </c>
      <c r="G2092" s="15">
        <f>IF($B2092="","",ROUND($E2092-$F2092,0))</f>
        <v/>
      </c>
      <c r="H2092" s="12">
        <f>IF($B2092="","",IF(ROUND($G2092,0)&gt;0,"بدهکار",IF(ROUND($G2092,0)&lt;0,"بستانکار","تسویه")))</f>
        <v/>
      </c>
    </row>
    <row r="2093">
      <c r="A2093" s="16">
        <f>IF($B2093="","",2084)</f>
        <v/>
      </c>
      <c r="B2093" s="17">
        <f>IF(389&gt;NCapA,"",IFERROR(IF(VLOOKUP(INDEX(PkCapA,389),AcctTblA,4,0)="","(بدون نام)",VLOOKUP(INDEX(PkCapA,389),AcctTblA,4,0)),"—"))</f>
        <v/>
      </c>
      <c r="C2093" s="18">
        <f>IF($B2093="","",IF(389&gt;NCapA,"",INDEX(PkCapA,389)))</f>
        <v/>
      </c>
      <c r="D2093" s="17">
        <f>IF($B2093="","","c")</f>
        <v/>
      </c>
      <c r="E2093" s="19">
        <f>IF($B2093="","",IF(389&gt;NCapA,0,SUMIF(CalcDebit,INDEX(PkCapA,389),CalcAmt)+SUMIF(CalcDebit2,INDEX(PkCapA,389),CalcAmt2)))</f>
        <v/>
      </c>
      <c r="F2093" s="19">
        <f>IF($B2093="","",IF(389&gt;NCapA,0,SUMIF(CalcCredit,INDEX(PkCapA,389),CalcAmt)+SUMIF(CalcCredit2,INDEX(PkCapA,389),CalcAmt2)))</f>
        <v/>
      </c>
      <c r="G2093" s="20">
        <f>IF($B2093="","",ROUND($E2093-$F2093,0))</f>
        <v/>
      </c>
      <c r="H2093" s="17">
        <f>IF($B2093="","",IF(ROUND($G2093,0)&gt;0,"بدهکار",IF(ROUND($G2093,0)&lt;0,"بستانکار","تسویه")))</f>
        <v/>
      </c>
    </row>
    <row r="2094">
      <c r="A2094" s="11">
        <f>IF($B2094="","",2085)</f>
        <v/>
      </c>
      <c r="B2094" s="12">
        <f>IF(390&gt;NCapA,"",IFERROR(IF(VLOOKUP(INDEX(PkCapA,390),AcctTblA,4,0)="","(بدون نام)",VLOOKUP(INDEX(PkCapA,390),AcctTblA,4,0)),"—"))</f>
        <v/>
      </c>
      <c r="C2094" s="13">
        <f>IF($B2094="","",IF(390&gt;NCapA,"",INDEX(PkCapA,390)))</f>
        <v/>
      </c>
      <c r="D2094" s="12">
        <f>IF($B2094="","","c")</f>
        <v/>
      </c>
      <c r="E2094" s="14">
        <f>IF($B2094="","",IF(390&gt;NCapA,0,SUMIF(CalcDebit,INDEX(PkCapA,390),CalcAmt)+SUMIF(CalcDebit2,INDEX(PkCapA,390),CalcAmt2)))</f>
        <v/>
      </c>
      <c r="F2094" s="14">
        <f>IF($B2094="","",IF(390&gt;NCapA,0,SUMIF(CalcCredit,INDEX(PkCapA,390),CalcAmt)+SUMIF(CalcCredit2,INDEX(PkCapA,390),CalcAmt2)))</f>
        <v/>
      </c>
      <c r="G2094" s="15">
        <f>IF($B2094="","",ROUND($E2094-$F2094,0))</f>
        <v/>
      </c>
      <c r="H2094" s="12">
        <f>IF($B2094="","",IF(ROUND($G2094,0)&gt;0,"بدهکار",IF(ROUND($G2094,0)&lt;0,"بستانکار","تسویه")))</f>
        <v/>
      </c>
    </row>
    <row r="2095">
      <c r="A2095" s="16">
        <f>IF($B2095="","",2086)</f>
        <v/>
      </c>
      <c r="B2095" s="17">
        <f>IF(391&gt;NCapA,"",IFERROR(IF(VLOOKUP(INDEX(PkCapA,391),AcctTblA,4,0)="","(بدون نام)",VLOOKUP(INDEX(PkCapA,391),AcctTblA,4,0)),"—"))</f>
        <v/>
      </c>
      <c r="C2095" s="18">
        <f>IF($B2095="","",IF(391&gt;NCapA,"",INDEX(PkCapA,391)))</f>
        <v/>
      </c>
      <c r="D2095" s="17">
        <f>IF($B2095="","","c")</f>
        <v/>
      </c>
      <c r="E2095" s="19">
        <f>IF($B2095="","",IF(391&gt;NCapA,0,SUMIF(CalcDebit,INDEX(PkCapA,391),CalcAmt)+SUMIF(CalcDebit2,INDEX(PkCapA,391),CalcAmt2)))</f>
        <v/>
      </c>
      <c r="F2095" s="19">
        <f>IF($B2095="","",IF(391&gt;NCapA,0,SUMIF(CalcCredit,INDEX(PkCapA,391),CalcAmt)+SUMIF(CalcCredit2,INDEX(PkCapA,391),CalcAmt2)))</f>
        <v/>
      </c>
      <c r="G2095" s="20">
        <f>IF($B2095="","",ROUND($E2095-$F2095,0))</f>
        <v/>
      </c>
      <c r="H2095" s="17">
        <f>IF($B2095="","",IF(ROUND($G2095,0)&gt;0,"بدهکار",IF(ROUND($G2095,0)&lt;0,"بستانکار","تسویه")))</f>
        <v/>
      </c>
    </row>
    <row r="2096">
      <c r="A2096" s="11">
        <f>IF($B2096="","",2087)</f>
        <v/>
      </c>
      <c r="B2096" s="12">
        <f>IF(392&gt;NCapA,"",IFERROR(IF(VLOOKUP(INDEX(PkCapA,392),AcctTblA,4,0)="","(بدون نام)",VLOOKUP(INDEX(PkCapA,392),AcctTblA,4,0)),"—"))</f>
        <v/>
      </c>
      <c r="C2096" s="13">
        <f>IF($B2096="","",IF(392&gt;NCapA,"",INDEX(PkCapA,392)))</f>
        <v/>
      </c>
      <c r="D2096" s="12">
        <f>IF($B2096="","","c")</f>
        <v/>
      </c>
      <c r="E2096" s="14">
        <f>IF($B2096="","",IF(392&gt;NCapA,0,SUMIF(CalcDebit,INDEX(PkCapA,392),CalcAmt)+SUMIF(CalcDebit2,INDEX(PkCapA,392),CalcAmt2)))</f>
        <v/>
      </c>
      <c r="F2096" s="14">
        <f>IF($B2096="","",IF(392&gt;NCapA,0,SUMIF(CalcCredit,INDEX(PkCapA,392),CalcAmt)+SUMIF(CalcCredit2,INDEX(PkCapA,392),CalcAmt2)))</f>
        <v/>
      </c>
      <c r="G2096" s="15">
        <f>IF($B2096="","",ROUND($E2096-$F2096,0))</f>
        <v/>
      </c>
      <c r="H2096" s="12">
        <f>IF($B2096="","",IF(ROUND($G2096,0)&gt;0,"بدهکار",IF(ROUND($G2096,0)&lt;0,"بستانکار","تسویه")))</f>
        <v/>
      </c>
    </row>
    <row r="2097">
      <c r="A2097" s="16">
        <f>IF($B2097="","",2088)</f>
        <v/>
      </c>
      <c r="B2097" s="17">
        <f>IF(393&gt;NCapA,"",IFERROR(IF(VLOOKUP(INDEX(PkCapA,393),AcctTblA,4,0)="","(بدون نام)",VLOOKUP(INDEX(PkCapA,393),AcctTblA,4,0)),"—"))</f>
        <v/>
      </c>
      <c r="C2097" s="18">
        <f>IF($B2097="","",IF(393&gt;NCapA,"",INDEX(PkCapA,393)))</f>
        <v/>
      </c>
      <c r="D2097" s="17">
        <f>IF($B2097="","","c")</f>
        <v/>
      </c>
      <c r="E2097" s="19">
        <f>IF($B2097="","",IF(393&gt;NCapA,0,SUMIF(CalcDebit,INDEX(PkCapA,393),CalcAmt)+SUMIF(CalcDebit2,INDEX(PkCapA,393),CalcAmt2)))</f>
        <v/>
      </c>
      <c r="F2097" s="19">
        <f>IF($B2097="","",IF(393&gt;NCapA,0,SUMIF(CalcCredit,INDEX(PkCapA,393),CalcAmt)+SUMIF(CalcCredit2,INDEX(PkCapA,393),CalcAmt2)))</f>
        <v/>
      </c>
      <c r="G2097" s="20">
        <f>IF($B2097="","",ROUND($E2097-$F2097,0))</f>
        <v/>
      </c>
      <c r="H2097" s="17">
        <f>IF($B2097="","",IF(ROUND($G2097,0)&gt;0,"بدهکار",IF(ROUND($G2097,0)&lt;0,"بستانکار","تسویه")))</f>
        <v/>
      </c>
    </row>
    <row r="2098">
      <c r="A2098" s="11">
        <f>IF($B2098="","",2089)</f>
        <v/>
      </c>
      <c r="B2098" s="12">
        <f>IF(394&gt;NCapA,"",IFERROR(IF(VLOOKUP(INDEX(PkCapA,394),AcctTblA,4,0)="","(بدون نام)",VLOOKUP(INDEX(PkCapA,394),AcctTblA,4,0)),"—"))</f>
        <v/>
      </c>
      <c r="C2098" s="13">
        <f>IF($B2098="","",IF(394&gt;NCapA,"",INDEX(PkCapA,394)))</f>
        <v/>
      </c>
      <c r="D2098" s="12">
        <f>IF($B2098="","","c")</f>
        <v/>
      </c>
      <c r="E2098" s="14">
        <f>IF($B2098="","",IF(394&gt;NCapA,0,SUMIF(CalcDebit,INDEX(PkCapA,394),CalcAmt)+SUMIF(CalcDebit2,INDEX(PkCapA,394),CalcAmt2)))</f>
        <v/>
      </c>
      <c r="F2098" s="14">
        <f>IF($B2098="","",IF(394&gt;NCapA,0,SUMIF(CalcCredit,INDEX(PkCapA,394),CalcAmt)+SUMIF(CalcCredit2,INDEX(PkCapA,394),CalcAmt2)))</f>
        <v/>
      </c>
      <c r="G2098" s="15">
        <f>IF($B2098="","",ROUND($E2098-$F2098,0))</f>
        <v/>
      </c>
      <c r="H2098" s="12">
        <f>IF($B2098="","",IF(ROUND($G2098,0)&gt;0,"بدهکار",IF(ROUND($G2098,0)&lt;0,"بستانکار","تسویه")))</f>
        <v/>
      </c>
    </row>
    <row r="2099">
      <c r="A2099" s="16">
        <f>IF($B2099="","",2090)</f>
        <v/>
      </c>
      <c r="B2099" s="17">
        <f>IF(395&gt;NCapA,"",IFERROR(IF(VLOOKUP(INDEX(PkCapA,395),AcctTblA,4,0)="","(بدون نام)",VLOOKUP(INDEX(PkCapA,395),AcctTblA,4,0)),"—"))</f>
        <v/>
      </c>
      <c r="C2099" s="18">
        <f>IF($B2099="","",IF(395&gt;NCapA,"",INDEX(PkCapA,395)))</f>
        <v/>
      </c>
      <c r="D2099" s="17">
        <f>IF($B2099="","","c")</f>
        <v/>
      </c>
      <c r="E2099" s="19">
        <f>IF($B2099="","",IF(395&gt;NCapA,0,SUMIF(CalcDebit,INDEX(PkCapA,395),CalcAmt)+SUMIF(CalcDebit2,INDEX(PkCapA,395),CalcAmt2)))</f>
        <v/>
      </c>
      <c r="F2099" s="19">
        <f>IF($B2099="","",IF(395&gt;NCapA,0,SUMIF(CalcCredit,INDEX(PkCapA,395),CalcAmt)+SUMIF(CalcCredit2,INDEX(PkCapA,395),CalcAmt2)))</f>
        <v/>
      </c>
      <c r="G2099" s="20">
        <f>IF($B2099="","",ROUND($E2099-$F2099,0))</f>
        <v/>
      </c>
      <c r="H2099" s="17">
        <f>IF($B2099="","",IF(ROUND($G2099,0)&gt;0,"بدهکار",IF(ROUND($G2099,0)&lt;0,"بستانکار","تسویه")))</f>
        <v/>
      </c>
    </row>
    <row r="2100">
      <c r="A2100" s="11">
        <f>IF($B2100="","",2091)</f>
        <v/>
      </c>
      <c r="B2100" s="12">
        <f>IF(396&gt;NCapA,"",IFERROR(IF(VLOOKUP(INDEX(PkCapA,396),AcctTblA,4,0)="","(بدون نام)",VLOOKUP(INDEX(PkCapA,396),AcctTblA,4,0)),"—"))</f>
        <v/>
      </c>
      <c r="C2100" s="13">
        <f>IF($B2100="","",IF(396&gt;NCapA,"",INDEX(PkCapA,396)))</f>
        <v/>
      </c>
      <c r="D2100" s="12">
        <f>IF($B2100="","","c")</f>
        <v/>
      </c>
      <c r="E2100" s="14">
        <f>IF($B2100="","",IF(396&gt;NCapA,0,SUMIF(CalcDebit,INDEX(PkCapA,396),CalcAmt)+SUMIF(CalcDebit2,INDEX(PkCapA,396),CalcAmt2)))</f>
        <v/>
      </c>
      <c r="F2100" s="14">
        <f>IF($B2100="","",IF(396&gt;NCapA,0,SUMIF(CalcCredit,INDEX(PkCapA,396),CalcAmt)+SUMIF(CalcCredit2,INDEX(PkCapA,396),CalcAmt2)))</f>
        <v/>
      </c>
      <c r="G2100" s="15">
        <f>IF($B2100="","",ROUND($E2100-$F2100,0))</f>
        <v/>
      </c>
      <c r="H2100" s="12">
        <f>IF($B2100="","",IF(ROUND($G2100,0)&gt;0,"بدهکار",IF(ROUND($G2100,0)&lt;0,"بستانکار","تسویه")))</f>
        <v/>
      </c>
    </row>
    <row r="2101">
      <c r="A2101" s="16">
        <f>IF($B2101="","",2092)</f>
        <v/>
      </c>
      <c r="B2101" s="17">
        <f>IF(397&gt;NCapA,"",IFERROR(IF(VLOOKUP(INDEX(PkCapA,397),AcctTblA,4,0)="","(بدون نام)",VLOOKUP(INDEX(PkCapA,397),AcctTblA,4,0)),"—"))</f>
        <v/>
      </c>
      <c r="C2101" s="18">
        <f>IF($B2101="","",IF(397&gt;NCapA,"",INDEX(PkCapA,397)))</f>
        <v/>
      </c>
      <c r="D2101" s="17">
        <f>IF($B2101="","","c")</f>
        <v/>
      </c>
      <c r="E2101" s="19">
        <f>IF($B2101="","",IF(397&gt;NCapA,0,SUMIF(CalcDebit,INDEX(PkCapA,397),CalcAmt)+SUMIF(CalcDebit2,INDEX(PkCapA,397),CalcAmt2)))</f>
        <v/>
      </c>
      <c r="F2101" s="19">
        <f>IF($B2101="","",IF(397&gt;NCapA,0,SUMIF(CalcCredit,INDEX(PkCapA,397),CalcAmt)+SUMIF(CalcCredit2,INDEX(PkCapA,397),CalcAmt2)))</f>
        <v/>
      </c>
      <c r="G2101" s="20">
        <f>IF($B2101="","",ROUND($E2101-$F2101,0))</f>
        <v/>
      </c>
      <c r="H2101" s="17">
        <f>IF($B2101="","",IF(ROUND($G2101,0)&gt;0,"بدهکار",IF(ROUND($G2101,0)&lt;0,"بستانکار","تسویه")))</f>
        <v/>
      </c>
    </row>
    <row r="2102">
      <c r="A2102" s="11">
        <f>IF($B2102="","",2093)</f>
        <v/>
      </c>
      <c r="B2102" s="12">
        <f>IF(398&gt;NCapA,"",IFERROR(IF(VLOOKUP(INDEX(PkCapA,398),AcctTblA,4,0)="","(بدون نام)",VLOOKUP(INDEX(PkCapA,398),AcctTblA,4,0)),"—"))</f>
        <v/>
      </c>
      <c r="C2102" s="13">
        <f>IF($B2102="","",IF(398&gt;NCapA,"",INDEX(PkCapA,398)))</f>
        <v/>
      </c>
      <c r="D2102" s="12">
        <f>IF($B2102="","","c")</f>
        <v/>
      </c>
      <c r="E2102" s="14">
        <f>IF($B2102="","",IF(398&gt;NCapA,0,SUMIF(CalcDebit,INDEX(PkCapA,398),CalcAmt)+SUMIF(CalcDebit2,INDEX(PkCapA,398),CalcAmt2)))</f>
        <v/>
      </c>
      <c r="F2102" s="14">
        <f>IF($B2102="","",IF(398&gt;NCapA,0,SUMIF(CalcCredit,INDEX(PkCapA,398),CalcAmt)+SUMIF(CalcCredit2,INDEX(PkCapA,398),CalcAmt2)))</f>
        <v/>
      </c>
      <c r="G2102" s="15">
        <f>IF($B2102="","",ROUND($E2102-$F2102,0))</f>
        <v/>
      </c>
      <c r="H2102" s="12">
        <f>IF($B2102="","",IF(ROUND($G2102,0)&gt;0,"بدهکار",IF(ROUND($G2102,0)&lt;0,"بستانکار","تسویه")))</f>
        <v/>
      </c>
    </row>
    <row r="2103">
      <c r="A2103" s="16">
        <f>IF($B2103="","",2094)</f>
        <v/>
      </c>
      <c r="B2103" s="17">
        <f>IF(399&gt;NCapA,"",IFERROR(IF(VLOOKUP(INDEX(PkCapA,399),AcctTblA,4,0)="","(بدون نام)",VLOOKUP(INDEX(PkCapA,399),AcctTblA,4,0)),"—"))</f>
        <v/>
      </c>
      <c r="C2103" s="18">
        <f>IF($B2103="","",IF(399&gt;NCapA,"",INDEX(PkCapA,399)))</f>
        <v/>
      </c>
      <c r="D2103" s="17">
        <f>IF($B2103="","","c")</f>
        <v/>
      </c>
      <c r="E2103" s="19">
        <f>IF($B2103="","",IF(399&gt;NCapA,0,SUMIF(CalcDebit,INDEX(PkCapA,399),CalcAmt)+SUMIF(CalcDebit2,INDEX(PkCapA,399),CalcAmt2)))</f>
        <v/>
      </c>
      <c r="F2103" s="19">
        <f>IF($B2103="","",IF(399&gt;NCapA,0,SUMIF(CalcCredit,INDEX(PkCapA,399),CalcAmt)+SUMIF(CalcCredit2,INDEX(PkCapA,399),CalcAmt2)))</f>
        <v/>
      </c>
      <c r="G2103" s="20">
        <f>IF($B2103="","",ROUND($E2103-$F2103,0))</f>
        <v/>
      </c>
      <c r="H2103" s="17">
        <f>IF($B2103="","",IF(ROUND($G2103,0)&gt;0,"بدهکار",IF(ROUND($G2103,0)&lt;0,"بستانکار","تسویه")))</f>
        <v/>
      </c>
    </row>
    <row r="2104">
      <c r="A2104" s="11">
        <f>IF($B2104="","",2095)</f>
        <v/>
      </c>
      <c r="B2104" s="12">
        <f>IF(400&gt;NCapA,"",IFERROR(IF(VLOOKUP(INDEX(PkCapA,400),AcctTblA,4,0)="","(بدون نام)",VLOOKUP(INDEX(PkCapA,400),AcctTblA,4,0)),"—"))</f>
        <v/>
      </c>
      <c r="C2104" s="13">
        <f>IF($B2104="","",IF(400&gt;NCapA,"",INDEX(PkCapA,400)))</f>
        <v/>
      </c>
      <c r="D2104" s="12">
        <f>IF($B2104="","","c")</f>
        <v/>
      </c>
      <c r="E2104" s="14">
        <f>IF($B2104="","",IF(400&gt;NCapA,0,SUMIF(CalcDebit,INDEX(PkCapA,400),CalcAmt)+SUMIF(CalcDebit2,INDEX(PkCapA,400),CalcAmt2)))</f>
        <v/>
      </c>
      <c r="F2104" s="14">
        <f>IF($B2104="","",IF(400&gt;NCapA,0,SUMIF(CalcCredit,INDEX(PkCapA,400),CalcAmt)+SUMIF(CalcCredit2,INDEX(PkCapA,400),CalcAmt2)))</f>
        <v/>
      </c>
      <c r="G2104" s="15">
        <f>IF($B2104="","",ROUND($E2104-$F2104,0))</f>
        <v/>
      </c>
      <c r="H2104" s="12">
        <f>IF($B2104="","",IF(ROUND($G2104,0)&gt;0,"بدهکار",IF(ROUND($G2104,0)&lt;0,"بستانکار","تسویه")))</f>
        <v/>
      </c>
    </row>
    <row r="2105">
      <c r="A2105" s="16">
        <f>IF($B2105="","",2096)</f>
        <v/>
      </c>
      <c r="B2105" s="17">
        <f>IF(401&gt;NCapA,"",IFERROR(IF(VLOOKUP(INDEX(PkCapA,401),AcctTblA,4,0)="","(بدون نام)",VLOOKUP(INDEX(PkCapA,401),AcctTblA,4,0)),"—"))</f>
        <v/>
      </c>
      <c r="C2105" s="18">
        <f>IF($B2105="","",IF(401&gt;NCapA,"",INDEX(PkCapA,401)))</f>
        <v/>
      </c>
      <c r="D2105" s="17">
        <f>IF($B2105="","","c")</f>
        <v/>
      </c>
      <c r="E2105" s="19">
        <f>IF($B2105="","",IF(401&gt;NCapA,0,SUMIF(CalcDebit,INDEX(PkCapA,401),CalcAmt)+SUMIF(CalcDebit2,INDEX(PkCapA,401),CalcAmt2)))</f>
        <v/>
      </c>
      <c r="F2105" s="19">
        <f>IF($B2105="","",IF(401&gt;NCapA,0,SUMIF(CalcCredit,INDEX(PkCapA,401),CalcAmt)+SUMIF(CalcCredit2,INDEX(PkCapA,401),CalcAmt2)))</f>
        <v/>
      </c>
      <c r="G2105" s="20">
        <f>IF($B2105="","",ROUND($E2105-$F2105,0))</f>
        <v/>
      </c>
      <c r="H2105" s="17">
        <f>IF($B2105="","",IF(ROUND($G2105,0)&gt;0,"بدهکار",IF(ROUND($G2105,0)&lt;0,"بستانکار","تسویه")))</f>
        <v/>
      </c>
    </row>
    <row r="2106">
      <c r="A2106" s="11">
        <f>IF($B2106="","",2097)</f>
        <v/>
      </c>
      <c r="B2106" s="12">
        <f>IF(402&gt;NCapA,"",IFERROR(IF(VLOOKUP(INDEX(PkCapA,402),AcctTblA,4,0)="","(بدون نام)",VLOOKUP(INDEX(PkCapA,402),AcctTblA,4,0)),"—"))</f>
        <v/>
      </c>
      <c r="C2106" s="13">
        <f>IF($B2106="","",IF(402&gt;NCapA,"",INDEX(PkCapA,402)))</f>
        <v/>
      </c>
      <c r="D2106" s="12">
        <f>IF($B2106="","","c")</f>
        <v/>
      </c>
      <c r="E2106" s="14">
        <f>IF($B2106="","",IF(402&gt;NCapA,0,SUMIF(CalcDebit,INDEX(PkCapA,402),CalcAmt)+SUMIF(CalcDebit2,INDEX(PkCapA,402),CalcAmt2)))</f>
        <v/>
      </c>
      <c r="F2106" s="14">
        <f>IF($B2106="","",IF(402&gt;NCapA,0,SUMIF(CalcCredit,INDEX(PkCapA,402),CalcAmt)+SUMIF(CalcCredit2,INDEX(PkCapA,402),CalcAmt2)))</f>
        <v/>
      </c>
      <c r="G2106" s="15">
        <f>IF($B2106="","",ROUND($E2106-$F2106,0))</f>
        <v/>
      </c>
      <c r="H2106" s="12">
        <f>IF($B2106="","",IF(ROUND($G2106,0)&gt;0,"بدهکار",IF(ROUND($G2106,0)&lt;0,"بستانکار","تسویه")))</f>
        <v/>
      </c>
    </row>
    <row r="2107">
      <c r="A2107" s="16">
        <f>IF($B2107="","",2098)</f>
        <v/>
      </c>
      <c r="B2107" s="17">
        <f>IF(403&gt;NCapA,"",IFERROR(IF(VLOOKUP(INDEX(PkCapA,403),AcctTblA,4,0)="","(بدون نام)",VLOOKUP(INDEX(PkCapA,403),AcctTblA,4,0)),"—"))</f>
        <v/>
      </c>
      <c r="C2107" s="18">
        <f>IF($B2107="","",IF(403&gt;NCapA,"",INDEX(PkCapA,403)))</f>
        <v/>
      </c>
      <c r="D2107" s="17">
        <f>IF($B2107="","","c")</f>
        <v/>
      </c>
      <c r="E2107" s="19">
        <f>IF($B2107="","",IF(403&gt;NCapA,0,SUMIF(CalcDebit,INDEX(PkCapA,403),CalcAmt)+SUMIF(CalcDebit2,INDEX(PkCapA,403),CalcAmt2)))</f>
        <v/>
      </c>
      <c r="F2107" s="19">
        <f>IF($B2107="","",IF(403&gt;NCapA,0,SUMIF(CalcCredit,INDEX(PkCapA,403),CalcAmt)+SUMIF(CalcCredit2,INDEX(PkCapA,403),CalcAmt2)))</f>
        <v/>
      </c>
      <c r="G2107" s="20">
        <f>IF($B2107="","",ROUND($E2107-$F2107,0))</f>
        <v/>
      </c>
      <c r="H2107" s="17">
        <f>IF($B2107="","",IF(ROUND($G2107,0)&gt;0,"بدهکار",IF(ROUND($G2107,0)&lt;0,"بستانکار","تسویه")))</f>
        <v/>
      </c>
    </row>
    <row r="2108">
      <c r="A2108" s="11">
        <f>IF($B2108="","",2099)</f>
        <v/>
      </c>
      <c r="B2108" s="12">
        <f>IF(404&gt;NCapA,"",IFERROR(IF(VLOOKUP(INDEX(PkCapA,404),AcctTblA,4,0)="","(بدون نام)",VLOOKUP(INDEX(PkCapA,404),AcctTblA,4,0)),"—"))</f>
        <v/>
      </c>
      <c r="C2108" s="13">
        <f>IF($B2108="","",IF(404&gt;NCapA,"",INDEX(PkCapA,404)))</f>
        <v/>
      </c>
      <c r="D2108" s="12">
        <f>IF($B2108="","","c")</f>
        <v/>
      </c>
      <c r="E2108" s="14">
        <f>IF($B2108="","",IF(404&gt;NCapA,0,SUMIF(CalcDebit,INDEX(PkCapA,404),CalcAmt)+SUMIF(CalcDebit2,INDEX(PkCapA,404),CalcAmt2)))</f>
        <v/>
      </c>
      <c r="F2108" s="14">
        <f>IF($B2108="","",IF(404&gt;NCapA,0,SUMIF(CalcCredit,INDEX(PkCapA,404),CalcAmt)+SUMIF(CalcCredit2,INDEX(PkCapA,404),CalcAmt2)))</f>
        <v/>
      </c>
      <c r="G2108" s="15">
        <f>IF($B2108="","",ROUND($E2108-$F2108,0))</f>
        <v/>
      </c>
      <c r="H2108" s="12">
        <f>IF($B2108="","",IF(ROUND($G2108,0)&gt;0,"بدهکار",IF(ROUND($G2108,0)&lt;0,"بستانکار","تسویه")))</f>
        <v/>
      </c>
    </row>
    <row r="2109">
      <c r="A2109" s="16">
        <f>IF($B2109="","",2100)</f>
        <v/>
      </c>
      <c r="B2109" s="17">
        <f>IF(405&gt;NCapA,"",IFERROR(IF(VLOOKUP(INDEX(PkCapA,405),AcctTblA,4,0)="","(بدون نام)",VLOOKUP(INDEX(PkCapA,405),AcctTblA,4,0)),"—"))</f>
        <v/>
      </c>
      <c r="C2109" s="18">
        <f>IF($B2109="","",IF(405&gt;NCapA,"",INDEX(PkCapA,405)))</f>
        <v/>
      </c>
      <c r="D2109" s="17">
        <f>IF($B2109="","","c")</f>
        <v/>
      </c>
      <c r="E2109" s="19">
        <f>IF($B2109="","",IF(405&gt;NCapA,0,SUMIF(CalcDebit,INDEX(PkCapA,405),CalcAmt)+SUMIF(CalcDebit2,INDEX(PkCapA,405),CalcAmt2)))</f>
        <v/>
      </c>
      <c r="F2109" s="19">
        <f>IF($B2109="","",IF(405&gt;NCapA,0,SUMIF(CalcCredit,INDEX(PkCapA,405),CalcAmt)+SUMIF(CalcCredit2,INDEX(PkCapA,405),CalcAmt2)))</f>
        <v/>
      </c>
      <c r="G2109" s="20">
        <f>IF($B2109="","",ROUND($E2109-$F2109,0))</f>
        <v/>
      </c>
      <c r="H2109" s="17">
        <f>IF($B2109="","",IF(ROUND($G2109,0)&gt;0,"بدهکار",IF(ROUND($G2109,0)&lt;0,"بستانکار","تسویه")))</f>
        <v/>
      </c>
    </row>
    <row r="2110">
      <c r="A2110" s="11">
        <f>IF($B2110="","",2101)</f>
        <v/>
      </c>
      <c r="B2110" s="12">
        <f>IF(406&gt;NCapA,"",IFERROR(IF(VLOOKUP(INDEX(PkCapA,406),AcctTblA,4,0)="","(بدون نام)",VLOOKUP(INDEX(PkCapA,406),AcctTblA,4,0)),"—"))</f>
        <v/>
      </c>
      <c r="C2110" s="13">
        <f>IF($B2110="","",IF(406&gt;NCapA,"",INDEX(PkCapA,406)))</f>
        <v/>
      </c>
      <c r="D2110" s="12">
        <f>IF($B2110="","","c")</f>
        <v/>
      </c>
      <c r="E2110" s="14">
        <f>IF($B2110="","",IF(406&gt;NCapA,0,SUMIF(CalcDebit,INDEX(PkCapA,406),CalcAmt)+SUMIF(CalcDebit2,INDEX(PkCapA,406),CalcAmt2)))</f>
        <v/>
      </c>
      <c r="F2110" s="14">
        <f>IF($B2110="","",IF(406&gt;NCapA,0,SUMIF(CalcCredit,INDEX(PkCapA,406),CalcAmt)+SUMIF(CalcCredit2,INDEX(PkCapA,406),CalcAmt2)))</f>
        <v/>
      </c>
      <c r="G2110" s="15">
        <f>IF($B2110="","",ROUND($E2110-$F2110,0))</f>
        <v/>
      </c>
      <c r="H2110" s="12">
        <f>IF($B2110="","",IF(ROUND($G2110,0)&gt;0,"بدهکار",IF(ROUND($G2110,0)&lt;0,"بستانکار","تسویه")))</f>
        <v/>
      </c>
    </row>
    <row r="2111">
      <c r="A2111" s="16">
        <f>IF($B2111="","",2102)</f>
        <v/>
      </c>
      <c r="B2111" s="17">
        <f>IF(407&gt;NCapA,"",IFERROR(IF(VLOOKUP(INDEX(PkCapA,407),AcctTblA,4,0)="","(بدون نام)",VLOOKUP(INDEX(PkCapA,407),AcctTblA,4,0)),"—"))</f>
        <v/>
      </c>
      <c r="C2111" s="18">
        <f>IF($B2111="","",IF(407&gt;NCapA,"",INDEX(PkCapA,407)))</f>
        <v/>
      </c>
      <c r="D2111" s="17">
        <f>IF($B2111="","","c")</f>
        <v/>
      </c>
      <c r="E2111" s="19">
        <f>IF($B2111="","",IF(407&gt;NCapA,0,SUMIF(CalcDebit,INDEX(PkCapA,407),CalcAmt)+SUMIF(CalcDebit2,INDEX(PkCapA,407),CalcAmt2)))</f>
        <v/>
      </c>
      <c r="F2111" s="19">
        <f>IF($B2111="","",IF(407&gt;NCapA,0,SUMIF(CalcCredit,INDEX(PkCapA,407),CalcAmt)+SUMIF(CalcCredit2,INDEX(PkCapA,407),CalcAmt2)))</f>
        <v/>
      </c>
      <c r="G2111" s="20">
        <f>IF($B2111="","",ROUND($E2111-$F2111,0))</f>
        <v/>
      </c>
      <c r="H2111" s="17">
        <f>IF($B2111="","",IF(ROUND($G2111,0)&gt;0,"بدهکار",IF(ROUND($G2111,0)&lt;0,"بستانکار","تسویه")))</f>
        <v/>
      </c>
    </row>
    <row r="2112">
      <c r="A2112" s="11">
        <f>IF($B2112="","",2103)</f>
        <v/>
      </c>
      <c r="B2112" s="12">
        <f>IF(408&gt;NCapA,"",IFERROR(IF(VLOOKUP(INDEX(PkCapA,408),AcctTblA,4,0)="","(بدون نام)",VLOOKUP(INDEX(PkCapA,408),AcctTblA,4,0)),"—"))</f>
        <v/>
      </c>
      <c r="C2112" s="13">
        <f>IF($B2112="","",IF(408&gt;NCapA,"",INDEX(PkCapA,408)))</f>
        <v/>
      </c>
      <c r="D2112" s="12">
        <f>IF($B2112="","","c")</f>
        <v/>
      </c>
      <c r="E2112" s="14">
        <f>IF($B2112="","",IF(408&gt;NCapA,0,SUMIF(CalcDebit,INDEX(PkCapA,408),CalcAmt)+SUMIF(CalcDebit2,INDEX(PkCapA,408),CalcAmt2)))</f>
        <v/>
      </c>
      <c r="F2112" s="14">
        <f>IF($B2112="","",IF(408&gt;NCapA,0,SUMIF(CalcCredit,INDEX(PkCapA,408),CalcAmt)+SUMIF(CalcCredit2,INDEX(PkCapA,408),CalcAmt2)))</f>
        <v/>
      </c>
      <c r="G2112" s="15">
        <f>IF($B2112="","",ROUND($E2112-$F2112,0))</f>
        <v/>
      </c>
      <c r="H2112" s="12">
        <f>IF($B2112="","",IF(ROUND($G2112,0)&gt;0,"بدهکار",IF(ROUND($G2112,0)&lt;0,"بستانکار","تسویه")))</f>
        <v/>
      </c>
    </row>
    <row r="2113">
      <c r="A2113" s="16">
        <f>IF($B2113="","",2104)</f>
        <v/>
      </c>
      <c r="B2113" s="17">
        <f>IF(409&gt;NCapA,"",IFERROR(IF(VLOOKUP(INDEX(PkCapA,409),AcctTblA,4,0)="","(بدون نام)",VLOOKUP(INDEX(PkCapA,409),AcctTblA,4,0)),"—"))</f>
        <v/>
      </c>
      <c r="C2113" s="18">
        <f>IF($B2113="","",IF(409&gt;NCapA,"",INDEX(PkCapA,409)))</f>
        <v/>
      </c>
      <c r="D2113" s="17">
        <f>IF($B2113="","","c")</f>
        <v/>
      </c>
      <c r="E2113" s="19">
        <f>IF($B2113="","",IF(409&gt;NCapA,0,SUMIF(CalcDebit,INDEX(PkCapA,409),CalcAmt)+SUMIF(CalcDebit2,INDEX(PkCapA,409),CalcAmt2)))</f>
        <v/>
      </c>
      <c r="F2113" s="19">
        <f>IF($B2113="","",IF(409&gt;NCapA,0,SUMIF(CalcCredit,INDEX(PkCapA,409),CalcAmt)+SUMIF(CalcCredit2,INDEX(PkCapA,409),CalcAmt2)))</f>
        <v/>
      </c>
      <c r="G2113" s="20">
        <f>IF($B2113="","",ROUND($E2113-$F2113,0))</f>
        <v/>
      </c>
      <c r="H2113" s="17">
        <f>IF($B2113="","",IF(ROUND($G2113,0)&gt;0,"بدهکار",IF(ROUND($G2113,0)&lt;0,"بستانکار","تسویه")))</f>
        <v/>
      </c>
    </row>
    <row r="2114">
      <c r="A2114" s="11">
        <f>IF($B2114="","",2105)</f>
        <v/>
      </c>
      <c r="B2114" s="12">
        <f>IF(410&gt;NCapA,"",IFERROR(IF(VLOOKUP(INDEX(PkCapA,410),AcctTblA,4,0)="","(بدون نام)",VLOOKUP(INDEX(PkCapA,410),AcctTblA,4,0)),"—"))</f>
        <v/>
      </c>
      <c r="C2114" s="13">
        <f>IF($B2114="","",IF(410&gt;NCapA,"",INDEX(PkCapA,410)))</f>
        <v/>
      </c>
      <c r="D2114" s="12">
        <f>IF($B2114="","","c")</f>
        <v/>
      </c>
      <c r="E2114" s="14">
        <f>IF($B2114="","",IF(410&gt;NCapA,0,SUMIF(CalcDebit,INDEX(PkCapA,410),CalcAmt)+SUMIF(CalcDebit2,INDEX(PkCapA,410),CalcAmt2)))</f>
        <v/>
      </c>
      <c r="F2114" s="14">
        <f>IF($B2114="","",IF(410&gt;NCapA,0,SUMIF(CalcCredit,INDEX(PkCapA,410),CalcAmt)+SUMIF(CalcCredit2,INDEX(PkCapA,410),CalcAmt2)))</f>
        <v/>
      </c>
      <c r="G2114" s="15">
        <f>IF($B2114="","",ROUND($E2114-$F2114,0))</f>
        <v/>
      </c>
      <c r="H2114" s="12">
        <f>IF($B2114="","",IF(ROUND($G2114,0)&gt;0,"بدهکار",IF(ROUND($G2114,0)&lt;0,"بستانکار","تسویه")))</f>
        <v/>
      </c>
    </row>
    <row r="2115">
      <c r="A2115" s="16">
        <f>IF($B2115="","",2106)</f>
        <v/>
      </c>
      <c r="B2115" s="17">
        <f>IF(411&gt;NCapA,"",IFERROR(IF(VLOOKUP(INDEX(PkCapA,411),AcctTblA,4,0)="","(بدون نام)",VLOOKUP(INDEX(PkCapA,411),AcctTblA,4,0)),"—"))</f>
        <v/>
      </c>
      <c r="C2115" s="18">
        <f>IF($B2115="","",IF(411&gt;NCapA,"",INDEX(PkCapA,411)))</f>
        <v/>
      </c>
      <c r="D2115" s="17">
        <f>IF($B2115="","","c")</f>
        <v/>
      </c>
      <c r="E2115" s="19">
        <f>IF($B2115="","",IF(411&gt;NCapA,0,SUMIF(CalcDebit,INDEX(PkCapA,411),CalcAmt)+SUMIF(CalcDebit2,INDEX(PkCapA,411),CalcAmt2)))</f>
        <v/>
      </c>
      <c r="F2115" s="19">
        <f>IF($B2115="","",IF(411&gt;NCapA,0,SUMIF(CalcCredit,INDEX(PkCapA,411),CalcAmt)+SUMIF(CalcCredit2,INDEX(PkCapA,411),CalcAmt2)))</f>
        <v/>
      </c>
      <c r="G2115" s="20">
        <f>IF($B2115="","",ROUND($E2115-$F2115,0))</f>
        <v/>
      </c>
      <c r="H2115" s="17">
        <f>IF($B2115="","",IF(ROUND($G2115,0)&gt;0,"بدهکار",IF(ROUND($G2115,0)&lt;0,"بستانکار","تسویه")))</f>
        <v/>
      </c>
    </row>
    <row r="2116">
      <c r="A2116" s="11">
        <f>IF($B2116="","",2107)</f>
        <v/>
      </c>
      <c r="B2116" s="12">
        <f>IF(412&gt;NCapA,"",IFERROR(IF(VLOOKUP(INDEX(PkCapA,412),AcctTblA,4,0)="","(بدون نام)",VLOOKUP(INDEX(PkCapA,412),AcctTblA,4,0)),"—"))</f>
        <v/>
      </c>
      <c r="C2116" s="13">
        <f>IF($B2116="","",IF(412&gt;NCapA,"",INDEX(PkCapA,412)))</f>
        <v/>
      </c>
      <c r="D2116" s="12">
        <f>IF($B2116="","","c")</f>
        <v/>
      </c>
      <c r="E2116" s="14">
        <f>IF($B2116="","",IF(412&gt;NCapA,0,SUMIF(CalcDebit,INDEX(PkCapA,412),CalcAmt)+SUMIF(CalcDebit2,INDEX(PkCapA,412),CalcAmt2)))</f>
        <v/>
      </c>
      <c r="F2116" s="14">
        <f>IF($B2116="","",IF(412&gt;NCapA,0,SUMIF(CalcCredit,INDEX(PkCapA,412),CalcAmt)+SUMIF(CalcCredit2,INDEX(PkCapA,412),CalcAmt2)))</f>
        <v/>
      </c>
      <c r="G2116" s="15">
        <f>IF($B2116="","",ROUND($E2116-$F2116,0))</f>
        <v/>
      </c>
      <c r="H2116" s="12">
        <f>IF($B2116="","",IF(ROUND($G2116,0)&gt;0,"بدهکار",IF(ROUND($G2116,0)&lt;0,"بستانکار","تسویه")))</f>
        <v/>
      </c>
    </row>
    <row r="2117">
      <c r="A2117" s="16">
        <f>IF($B2117="","",2108)</f>
        <v/>
      </c>
      <c r="B2117" s="17">
        <f>IF(413&gt;NCapA,"",IFERROR(IF(VLOOKUP(INDEX(PkCapA,413),AcctTblA,4,0)="","(بدون نام)",VLOOKUP(INDEX(PkCapA,413),AcctTblA,4,0)),"—"))</f>
        <v/>
      </c>
      <c r="C2117" s="18">
        <f>IF($B2117="","",IF(413&gt;NCapA,"",INDEX(PkCapA,413)))</f>
        <v/>
      </c>
      <c r="D2117" s="17">
        <f>IF($B2117="","","c")</f>
        <v/>
      </c>
      <c r="E2117" s="19">
        <f>IF($B2117="","",IF(413&gt;NCapA,0,SUMIF(CalcDebit,INDEX(PkCapA,413),CalcAmt)+SUMIF(CalcDebit2,INDEX(PkCapA,413),CalcAmt2)))</f>
        <v/>
      </c>
      <c r="F2117" s="19">
        <f>IF($B2117="","",IF(413&gt;NCapA,0,SUMIF(CalcCredit,INDEX(PkCapA,413),CalcAmt)+SUMIF(CalcCredit2,INDEX(PkCapA,413),CalcAmt2)))</f>
        <v/>
      </c>
      <c r="G2117" s="20">
        <f>IF($B2117="","",ROUND($E2117-$F2117,0))</f>
        <v/>
      </c>
      <c r="H2117" s="17">
        <f>IF($B2117="","",IF(ROUND($G2117,0)&gt;0,"بدهکار",IF(ROUND($G2117,0)&lt;0,"بستانکار","تسویه")))</f>
        <v/>
      </c>
    </row>
    <row r="2118">
      <c r="A2118" s="11">
        <f>IF($B2118="","",2109)</f>
        <v/>
      </c>
      <c r="B2118" s="12">
        <f>IF(414&gt;NCapA,"",IFERROR(IF(VLOOKUP(INDEX(PkCapA,414),AcctTblA,4,0)="","(بدون نام)",VLOOKUP(INDEX(PkCapA,414),AcctTblA,4,0)),"—"))</f>
        <v/>
      </c>
      <c r="C2118" s="13">
        <f>IF($B2118="","",IF(414&gt;NCapA,"",INDEX(PkCapA,414)))</f>
        <v/>
      </c>
      <c r="D2118" s="12">
        <f>IF($B2118="","","c")</f>
        <v/>
      </c>
      <c r="E2118" s="14">
        <f>IF($B2118="","",IF(414&gt;NCapA,0,SUMIF(CalcDebit,INDEX(PkCapA,414),CalcAmt)+SUMIF(CalcDebit2,INDEX(PkCapA,414),CalcAmt2)))</f>
        <v/>
      </c>
      <c r="F2118" s="14">
        <f>IF($B2118="","",IF(414&gt;NCapA,0,SUMIF(CalcCredit,INDEX(PkCapA,414),CalcAmt)+SUMIF(CalcCredit2,INDEX(PkCapA,414),CalcAmt2)))</f>
        <v/>
      </c>
      <c r="G2118" s="15">
        <f>IF($B2118="","",ROUND($E2118-$F2118,0))</f>
        <v/>
      </c>
      <c r="H2118" s="12">
        <f>IF($B2118="","",IF(ROUND($G2118,0)&gt;0,"بدهکار",IF(ROUND($G2118,0)&lt;0,"بستانکار","تسویه")))</f>
        <v/>
      </c>
    </row>
    <row r="2119">
      <c r="A2119" s="16">
        <f>IF($B2119="","",2110)</f>
        <v/>
      </c>
      <c r="B2119" s="17">
        <f>IF(415&gt;NCapA,"",IFERROR(IF(VLOOKUP(INDEX(PkCapA,415),AcctTblA,4,0)="","(بدون نام)",VLOOKUP(INDEX(PkCapA,415),AcctTblA,4,0)),"—"))</f>
        <v/>
      </c>
      <c r="C2119" s="18">
        <f>IF($B2119="","",IF(415&gt;NCapA,"",INDEX(PkCapA,415)))</f>
        <v/>
      </c>
      <c r="D2119" s="17">
        <f>IF($B2119="","","c")</f>
        <v/>
      </c>
      <c r="E2119" s="19">
        <f>IF($B2119="","",IF(415&gt;NCapA,0,SUMIF(CalcDebit,INDEX(PkCapA,415),CalcAmt)+SUMIF(CalcDebit2,INDEX(PkCapA,415),CalcAmt2)))</f>
        <v/>
      </c>
      <c r="F2119" s="19">
        <f>IF($B2119="","",IF(415&gt;NCapA,0,SUMIF(CalcCredit,INDEX(PkCapA,415),CalcAmt)+SUMIF(CalcCredit2,INDEX(PkCapA,415),CalcAmt2)))</f>
        <v/>
      </c>
      <c r="G2119" s="20">
        <f>IF($B2119="","",ROUND($E2119-$F2119,0))</f>
        <v/>
      </c>
      <c r="H2119" s="17">
        <f>IF($B2119="","",IF(ROUND($G2119,0)&gt;0,"بدهکار",IF(ROUND($G2119,0)&lt;0,"بستانکار","تسویه")))</f>
        <v/>
      </c>
    </row>
    <row r="2120">
      <c r="A2120" s="11">
        <f>IF($B2120="","",2111)</f>
        <v/>
      </c>
      <c r="B2120" s="12">
        <f>IF(416&gt;NCapA,"",IFERROR(IF(VLOOKUP(INDEX(PkCapA,416),AcctTblA,4,0)="","(بدون نام)",VLOOKUP(INDEX(PkCapA,416),AcctTblA,4,0)),"—"))</f>
        <v/>
      </c>
      <c r="C2120" s="13">
        <f>IF($B2120="","",IF(416&gt;NCapA,"",INDEX(PkCapA,416)))</f>
        <v/>
      </c>
      <c r="D2120" s="12">
        <f>IF($B2120="","","c")</f>
        <v/>
      </c>
      <c r="E2120" s="14">
        <f>IF($B2120="","",IF(416&gt;NCapA,0,SUMIF(CalcDebit,INDEX(PkCapA,416),CalcAmt)+SUMIF(CalcDebit2,INDEX(PkCapA,416),CalcAmt2)))</f>
        <v/>
      </c>
      <c r="F2120" s="14">
        <f>IF($B2120="","",IF(416&gt;NCapA,0,SUMIF(CalcCredit,INDEX(PkCapA,416),CalcAmt)+SUMIF(CalcCredit2,INDEX(PkCapA,416),CalcAmt2)))</f>
        <v/>
      </c>
      <c r="G2120" s="15">
        <f>IF($B2120="","",ROUND($E2120-$F2120,0))</f>
        <v/>
      </c>
      <c r="H2120" s="12">
        <f>IF($B2120="","",IF(ROUND($G2120,0)&gt;0,"بدهکار",IF(ROUND($G2120,0)&lt;0,"بستانکار","تسویه")))</f>
        <v/>
      </c>
    </row>
    <row r="2121">
      <c r="A2121" s="16">
        <f>IF($B2121="","",2112)</f>
        <v/>
      </c>
      <c r="B2121" s="17">
        <f>IF(417&gt;NCapA,"",IFERROR(IF(VLOOKUP(INDEX(PkCapA,417),AcctTblA,4,0)="","(بدون نام)",VLOOKUP(INDEX(PkCapA,417),AcctTblA,4,0)),"—"))</f>
        <v/>
      </c>
      <c r="C2121" s="18">
        <f>IF($B2121="","",IF(417&gt;NCapA,"",INDEX(PkCapA,417)))</f>
        <v/>
      </c>
      <c r="D2121" s="17">
        <f>IF($B2121="","","c")</f>
        <v/>
      </c>
      <c r="E2121" s="19">
        <f>IF($B2121="","",IF(417&gt;NCapA,0,SUMIF(CalcDebit,INDEX(PkCapA,417),CalcAmt)+SUMIF(CalcDebit2,INDEX(PkCapA,417),CalcAmt2)))</f>
        <v/>
      </c>
      <c r="F2121" s="19">
        <f>IF($B2121="","",IF(417&gt;NCapA,0,SUMIF(CalcCredit,INDEX(PkCapA,417),CalcAmt)+SUMIF(CalcCredit2,INDEX(PkCapA,417),CalcAmt2)))</f>
        <v/>
      </c>
      <c r="G2121" s="20">
        <f>IF($B2121="","",ROUND($E2121-$F2121,0))</f>
        <v/>
      </c>
      <c r="H2121" s="17">
        <f>IF($B2121="","",IF(ROUND($G2121,0)&gt;0,"بدهکار",IF(ROUND($G2121,0)&lt;0,"بستانکار","تسویه")))</f>
        <v/>
      </c>
    </row>
    <row r="2122">
      <c r="A2122" s="11">
        <f>IF($B2122="","",2113)</f>
        <v/>
      </c>
      <c r="B2122" s="12">
        <f>IF(418&gt;NCapA,"",IFERROR(IF(VLOOKUP(INDEX(PkCapA,418),AcctTblA,4,0)="","(بدون نام)",VLOOKUP(INDEX(PkCapA,418),AcctTblA,4,0)),"—"))</f>
        <v/>
      </c>
      <c r="C2122" s="13">
        <f>IF($B2122="","",IF(418&gt;NCapA,"",INDEX(PkCapA,418)))</f>
        <v/>
      </c>
      <c r="D2122" s="12">
        <f>IF($B2122="","","c")</f>
        <v/>
      </c>
      <c r="E2122" s="14">
        <f>IF($B2122="","",IF(418&gt;NCapA,0,SUMIF(CalcDebit,INDEX(PkCapA,418),CalcAmt)+SUMIF(CalcDebit2,INDEX(PkCapA,418),CalcAmt2)))</f>
        <v/>
      </c>
      <c r="F2122" s="14">
        <f>IF($B2122="","",IF(418&gt;NCapA,0,SUMIF(CalcCredit,INDEX(PkCapA,418),CalcAmt)+SUMIF(CalcCredit2,INDEX(PkCapA,418),CalcAmt2)))</f>
        <v/>
      </c>
      <c r="G2122" s="15">
        <f>IF($B2122="","",ROUND($E2122-$F2122,0))</f>
        <v/>
      </c>
      <c r="H2122" s="12">
        <f>IF($B2122="","",IF(ROUND($G2122,0)&gt;0,"بدهکار",IF(ROUND($G2122,0)&lt;0,"بستانکار","تسویه")))</f>
        <v/>
      </c>
    </row>
    <row r="2123">
      <c r="A2123" s="16">
        <f>IF($B2123="","",2114)</f>
        <v/>
      </c>
      <c r="B2123" s="17">
        <f>IF(419&gt;NCapA,"",IFERROR(IF(VLOOKUP(INDEX(PkCapA,419),AcctTblA,4,0)="","(بدون نام)",VLOOKUP(INDEX(PkCapA,419),AcctTblA,4,0)),"—"))</f>
        <v/>
      </c>
      <c r="C2123" s="18">
        <f>IF($B2123="","",IF(419&gt;NCapA,"",INDEX(PkCapA,419)))</f>
        <v/>
      </c>
      <c r="D2123" s="17">
        <f>IF($B2123="","","c")</f>
        <v/>
      </c>
      <c r="E2123" s="19">
        <f>IF($B2123="","",IF(419&gt;NCapA,0,SUMIF(CalcDebit,INDEX(PkCapA,419),CalcAmt)+SUMIF(CalcDebit2,INDEX(PkCapA,419),CalcAmt2)))</f>
        <v/>
      </c>
      <c r="F2123" s="19">
        <f>IF($B2123="","",IF(419&gt;NCapA,0,SUMIF(CalcCredit,INDEX(PkCapA,419),CalcAmt)+SUMIF(CalcCredit2,INDEX(PkCapA,419),CalcAmt2)))</f>
        <v/>
      </c>
      <c r="G2123" s="20">
        <f>IF($B2123="","",ROUND($E2123-$F2123,0))</f>
        <v/>
      </c>
      <c r="H2123" s="17">
        <f>IF($B2123="","",IF(ROUND($G2123,0)&gt;0,"بدهکار",IF(ROUND($G2123,0)&lt;0,"بستانکار","تسویه")))</f>
        <v/>
      </c>
    </row>
    <row r="2124">
      <c r="A2124" s="11">
        <f>IF($B2124="","",2115)</f>
        <v/>
      </c>
      <c r="B2124" s="12">
        <f>IF(420&gt;NCapA,"",IFERROR(IF(VLOOKUP(INDEX(PkCapA,420),AcctTblA,4,0)="","(بدون نام)",VLOOKUP(INDEX(PkCapA,420),AcctTblA,4,0)),"—"))</f>
        <v/>
      </c>
      <c r="C2124" s="13">
        <f>IF($B2124="","",IF(420&gt;NCapA,"",INDEX(PkCapA,420)))</f>
        <v/>
      </c>
      <c r="D2124" s="12">
        <f>IF($B2124="","","c")</f>
        <v/>
      </c>
      <c r="E2124" s="14">
        <f>IF($B2124="","",IF(420&gt;NCapA,0,SUMIF(CalcDebit,INDEX(PkCapA,420),CalcAmt)+SUMIF(CalcDebit2,INDEX(PkCapA,420),CalcAmt2)))</f>
        <v/>
      </c>
      <c r="F2124" s="14">
        <f>IF($B2124="","",IF(420&gt;NCapA,0,SUMIF(CalcCredit,INDEX(PkCapA,420),CalcAmt)+SUMIF(CalcCredit2,INDEX(PkCapA,420),CalcAmt2)))</f>
        <v/>
      </c>
      <c r="G2124" s="15">
        <f>IF($B2124="","",ROUND($E2124-$F2124,0))</f>
        <v/>
      </c>
      <c r="H2124" s="12">
        <f>IF($B2124="","",IF(ROUND($G2124,0)&gt;0,"بدهکار",IF(ROUND($G2124,0)&lt;0,"بستانکار","تسویه")))</f>
        <v/>
      </c>
    </row>
    <row r="2125">
      <c r="A2125" s="16">
        <f>IF($B2125="","",2116)</f>
        <v/>
      </c>
      <c r="B2125" s="17">
        <f>IF(421&gt;NCapA,"",IFERROR(IF(VLOOKUP(INDEX(PkCapA,421),AcctTblA,4,0)="","(بدون نام)",VLOOKUP(INDEX(PkCapA,421),AcctTblA,4,0)),"—"))</f>
        <v/>
      </c>
      <c r="C2125" s="18">
        <f>IF($B2125="","",IF(421&gt;NCapA,"",INDEX(PkCapA,421)))</f>
        <v/>
      </c>
      <c r="D2125" s="17">
        <f>IF($B2125="","","c")</f>
        <v/>
      </c>
      <c r="E2125" s="19">
        <f>IF($B2125="","",IF(421&gt;NCapA,0,SUMIF(CalcDebit,INDEX(PkCapA,421),CalcAmt)+SUMIF(CalcDebit2,INDEX(PkCapA,421),CalcAmt2)))</f>
        <v/>
      </c>
      <c r="F2125" s="19">
        <f>IF($B2125="","",IF(421&gt;NCapA,0,SUMIF(CalcCredit,INDEX(PkCapA,421),CalcAmt)+SUMIF(CalcCredit2,INDEX(PkCapA,421),CalcAmt2)))</f>
        <v/>
      </c>
      <c r="G2125" s="20">
        <f>IF($B2125="","",ROUND($E2125-$F2125,0))</f>
        <v/>
      </c>
      <c r="H2125" s="17">
        <f>IF($B2125="","",IF(ROUND($G2125,0)&gt;0,"بدهکار",IF(ROUND($G2125,0)&lt;0,"بستانکار","تسویه")))</f>
        <v/>
      </c>
    </row>
    <row r="2126">
      <c r="A2126" s="11">
        <f>IF($B2126="","",2117)</f>
        <v/>
      </c>
      <c r="B2126" s="12">
        <f>IF(422&gt;NCapA,"",IFERROR(IF(VLOOKUP(INDEX(PkCapA,422),AcctTblA,4,0)="","(بدون نام)",VLOOKUP(INDEX(PkCapA,422),AcctTblA,4,0)),"—"))</f>
        <v/>
      </c>
      <c r="C2126" s="13">
        <f>IF($B2126="","",IF(422&gt;NCapA,"",INDEX(PkCapA,422)))</f>
        <v/>
      </c>
      <c r="D2126" s="12">
        <f>IF($B2126="","","c")</f>
        <v/>
      </c>
      <c r="E2126" s="14">
        <f>IF($B2126="","",IF(422&gt;NCapA,0,SUMIF(CalcDebit,INDEX(PkCapA,422),CalcAmt)+SUMIF(CalcDebit2,INDEX(PkCapA,422),CalcAmt2)))</f>
        <v/>
      </c>
      <c r="F2126" s="14">
        <f>IF($B2126="","",IF(422&gt;NCapA,0,SUMIF(CalcCredit,INDEX(PkCapA,422),CalcAmt)+SUMIF(CalcCredit2,INDEX(PkCapA,422),CalcAmt2)))</f>
        <v/>
      </c>
      <c r="G2126" s="15">
        <f>IF($B2126="","",ROUND($E2126-$F2126,0))</f>
        <v/>
      </c>
      <c r="H2126" s="12">
        <f>IF($B2126="","",IF(ROUND($G2126,0)&gt;0,"بدهکار",IF(ROUND($G2126,0)&lt;0,"بستانکار","تسویه")))</f>
        <v/>
      </c>
    </row>
    <row r="2127">
      <c r="A2127" s="16">
        <f>IF($B2127="","",2118)</f>
        <v/>
      </c>
      <c r="B2127" s="17">
        <f>IF(423&gt;NCapA,"",IFERROR(IF(VLOOKUP(INDEX(PkCapA,423),AcctTblA,4,0)="","(بدون نام)",VLOOKUP(INDEX(PkCapA,423),AcctTblA,4,0)),"—"))</f>
        <v/>
      </c>
      <c r="C2127" s="18">
        <f>IF($B2127="","",IF(423&gt;NCapA,"",INDEX(PkCapA,423)))</f>
        <v/>
      </c>
      <c r="D2127" s="17">
        <f>IF($B2127="","","c")</f>
        <v/>
      </c>
      <c r="E2127" s="19">
        <f>IF($B2127="","",IF(423&gt;NCapA,0,SUMIF(CalcDebit,INDEX(PkCapA,423),CalcAmt)+SUMIF(CalcDebit2,INDEX(PkCapA,423),CalcAmt2)))</f>
        <v/>
      </c>
      <c r="F2127" s="19">
        <f>IF($B2127="","",IF(423&gt;NCapA,0,SUMIF(CalcCredit,INDEX(PkCapA,423),CalcAmt)+SUMIF(CalcCredit2,INDEX(PkCapA,423),CalcAmt2)))</f>
        <v/>
      </c>
      <c r="G2127" s="20">
        <f>IF($B2127="","",ROUND($E2127-$F2127,0))</f>
        <v/>
      </c>
      <c r="H2127" s="17">
        <f>IF($B2127="","",IF(ROUND($G2127,0)&gt;0,"بدهکار",IF(ROUND($G2127,0)&lt;0,"بستانکار","تسویه")))</f>
        <v/>
      </c>
    </row>
    <row r="2128">
      <c r="A2128" s="11">
        <f>IF($B2128="","",2119)</f>
        <v/>
      </c>
      <c r="B2128" s="12">
        <f>IF(424&gt;NCapA,"",IFERROR(IF(VLOOKUP(INDEX(PkCapA,424),AcctTblA,4,0)="","(بدون نام)",VLOOKUP(INDEX(PkCapA,424),AcctTblA,4,0)),"—"))</f>
        <v/>
      </c>
      <c r="C2128" s="13">
        <f>IF($B2128="","",IF(424&gt;NCapA,"",INDEX(PkCapA,424)))</f>
        <v/>
      </c>
      <c r="D2128" s="12">
        <f>IF($B2128="","","c")</f>
        <v/>
      </c>
      <c r="E2128" s="14">
        <f>IF($B2128="","",IF(424&gt;NCapA,0,SUMIF(CalcDebit,INDEX(PkCapA,424),CalcAmt)+SUMIF(CalcDebit2,INDEX(PkCapA,424),CalcAmt2)))</f>
        <v/>
      </c>
      <c r="F2128" s="14">
        <f>IF($B2128="","",IF(424&gt;NCapA,0,SUMIF(CalcCredit,INDEX(PkCapA,424),CalcAmt)+SUMIF(CalcCredit2,INDEX(PkCapA,424),CalcAmt2)))</f>
        <v/>
      </c>
      <c r="G2128" s="15">
        <f>IF($B2128="","",ROUND($E2128-$F2128,0))</f>
        <v/>
      </c>
      <c r="H2128" s="12">
        <f>IF($B2128="","",IF(ROUND($G2128,0)&gt;0,"بدهکار",IF(ROUND($G2128,0)&lt;0,"بستانکار","تسویه")))</f>
        <v/>
      </c>
    </row>
    <row r="2129">
      <c r="A2129" s="16">
        <f>IF($B2129="","",2120)</f>
        <v/>
      </c>
      <c r="B2129" s="17">
        <f>IF(425&gt;NCapA,"",IFERROR(IF(VLOOKUP(INDEX(PkCapA,425),AcctTblA,4,0)="","(بدون نام)",VLOOKUP(INDEX(PkCapA,425),AcctTblA,4,0)),"—"))</f>
        <v/>
      </c>
      <c r="C2129" s="18">
        <f>IF($B2129="","",IF(425&gt;NCapA,"",INDEX(PkCapA,425)))</f>
        <v/>
      </c>
      <c r="D2129" s="17">
        <f>IF($B2129="","","c")</f>
        <v/>
      </c>
      <c r="E2129" s="19">
        <f>IF($B2129="","",IF(425&gt;NCapA,0,SUMIF(CalcDebit,INDEX(PkCapA,425),CalcAmt)+SUMIF(CalcDebit2,INDEX(PkCapA,425),CalcAmt2)))</f>
        <v/>
      </c>
      <c r="F2129" s="19">
        <f>IF($B2129="","",IF(425&gt;NCapA,0,SUMIF(CalcCredit,INDEX(PkCapA,425),CalcAmt)+SUMIF(CalcCredit2,INDEX(PkCapA,425),CalcAmt2)))</f>
        <v/>
      </c>
      <c r="G2129" s="20">
        <f>IF($B2129="","",ROUND($E2129-$F2129,0))</f>
        <v/>
      </c>
      <c r="H2129" s="17">
        <f>IF($B2129="","",IF(ROUND($G2129,0)&gt;0,"بدهکار",IF(ROUND($G2129,0)&lt;0,"بستانکار","تسویه")))</f>
        <v/>
      </c>
    </row>
    <row r="2130">
      <c r="A2130" s="11">
        <f>IF($B2130="","",2121)</f>
        <v/>
      </c>
      <c r="B2130" s="12">
        <f>IF(426&gt;NCapA,"",IFERROR(IF(VLOOKUP(INDEX(PkCapA,426),AcctTblA,4,0)="","(بدون نام)",VLOOKUP(INDEX(PkCapA,426),AcctTblA,4,0)),"—"))</f>
        <v/>
      </c>
      <c r="C2130" s="13">
        <f>IF($B2130="","",IF(426&gt;NCapA,"",INDEX(PkCapA,426)))</f>
        <v/>
      </c>
      <c r="D2130" s="12">
        <f>IF($B2130="","","c")</f>
        <v/>
      </c>
      <c r="E2130" s="14">
        <f>IF($B2130="","",IF(426&gt;NCapA,0,SUMIF(CalcDebit,INDEX(PkCapA,426),CalcAmt)+SUMIF(CalcDebit2,INDEX(PkCapA,426),CalcAmt2)))</f>
        <v/>
      </c>
      <c r="F2130" s="14">
        <f>IF($B2130="","",IF(426&gt;NCapA,0,SUMIF(CalcCredit,INDEX(PkCapA,426),CalcAmt)+SUMIF(CalcCredit2,INDEX(PkCapA,426),CalcAmt2)))</f>
        <v/>
      </c>
      <c r="G2130" s="15">
        <f>IF($B2130="","",ROUND($E2130-$F2130,0))</f>
        <v/>
      </c>
      <c r="H2130" s="12">
        <f>IF($B2130="","",IF(ROUND($G2130,0)&gt;0,"بدهکار",IF(ROUND($G2130,0)&lt;0,"بستانکار","تسویه")))</f>
        <v/>
      </c>
    </row>
    <row r="2131">
      <c r="A2131" s="16">
        <f>IF($B2131="","",2122)</f>
        <v/>
      </c>
      <c r="B2131" s="17">
        <f>IF(427&gt;NCapA,"",IFERROR(IF(VLOOKUP(INDEX(PkCapA,427),AcctTblA,4,0)="","(بدون نام)",VLOOKUP(INDEX(PkCapA,427),AcctTblA,4,0)),"—"))</f>
        <v/>
      </c>
      <c r="C2131" s="18">
        <f>IF($B2131="","",IF(427&gt;NCapA,"",INDEX(PkCapA,427)))</f>
        <v/>
      </c>
      <c r="D2131" s="17">
        <f>IF($B2131="","","c")</f>
        <v/>
      </c>
      <c r="E2131" s="19">
        <f>IF($B2131="","",IF(427&gt;NCapA,0,SUMIF(CalcDebit,INDEX(PkCapA,427),CalcAmt)+SUMIF(CalcDebit2,INDEX(PkCapA,427),CalcAmt2)))</f>
        <v/>
      </c>
      <c r="F2131" s="19">
        <f>IF($B2131="","",IF(427&gt;NCapA,0,SUMIF(CalcCredit,INDEX(PkCapA,427),CalcAmt)+SUMIF(CalcCredit2,INDEX(PkCapA,427),CalcAmt2)))</f>
        <v/>
      </c>
      <c r="G2131" s="20">
        <f>IF($B2131="","",ROUND($E2131-$F2131,0))</f>
        <v/>
      </c>
      <c r="H2131" s="17">
        <f>IF($B2131="","",IF(ROUND($G2131,0)&gt;0,"بدهکار",IF(ROUND($G2131,0)&lt;0,"بستانکار","تسویه")))</f>
        <v/>
      </c>
    </row>
    <row r="2132">
      <c r="A2132" s="11">
        <f>IF($B2132="","",2123)</f>
        <v/>
      </c>
      <c r="B2132" s="12">
        <f>IF(428&gt;NCapA,"",IFERROR(IF(VLOOKUP(INDEX(PkCapA,428),AcctTblA,4,0)="","(بدون نام)",VLOOKUP(INDEX(PkCapA,428),AcctTblA,4,0)),"—"))</f>
        <v/>
      </c>
      <c r="C2132" s="13">
        <f>IF($B2132="","",IF(428&gt;NCapA,"",INDEX(PkCapA,428)))</f>
        <v/>
      </c>
      <c r="D2132" s="12">
        <f>IF($B2132="","","c")</f>
        <v/>
      </c>
      <c r="E2132" s="14">
        <f>IF($B2132="","",IF(428&gt;NCapA,0,SUMIF(CalcDebit,INDEX(PkCapA,428),CalcAmt)+SUMIF(CalcDebit2,INDEX(PkCapA,428),CalcAmt2)))</f>
        <v/>
      </c>
      <c r="F2132" s="14">
        <f>IF($B2132="","",IF(428&gt;NCapA,0,SUMIF(CalcCredit,INDEX(PkCapA,428),CalcAmt)+SUMIF(CalcCredit2,INDEX(PkCapA,428),CalcAmt2)))</f>
        <v/>
      </c>
      <c r="G2132" s="15">
        <f>IF($B2132="","",ROUND($E2132-$F2132,0))</f>
        <v/>
      </c>
      <c r="H2132" s="12">
        <f>IF($B2132="","",IF(ROUND($G2132,0)&gt;0,"بدهکار",IF(ROUND($G2132,0)&lt;0,"بستانکار","تسویه")))</f>
        <v/>
      </c>
    </row>
    <row r="2133">
      <c r="A2133" s="16">
        <f>IF($B2133="","",2124)</f>
        <v/>
      </c>
      <c r="B2133" s="17">
        <f>IF(429&gt;NCapA,"",IFERROR(IF(VLOOKUP(INDEX(PkCapA,429),AcctTblA,4,0)="","(بدون نام)",VLOOKUP(INDEX(PkCapA,429),AcctTblA,4,0)),"—"))</f>
        <v/>
      </c>
      <c r="C2133" s="18">
        <f>IF($B2133="","",IF(429&gt;NCapA,"",INDEX(PkCapA,429)))</f>
        <v/>
      </c>
      <c r="D2133" s="17">
        <f>IF($B2133="","","c")</f>
        <v/>
      </c>
      <c r="E2133" s="19">
        <f>IF($B2133="","",IF(429&gt;NCapA,0,SUMIF(CalcDebit,INDEX(PkCapA,429),CalcAmt)+SUMIF(CalcDebit2,INDEX(PkCapA,429),CalcAmt2)))</f>
        <v/>
      </c>
      <c r="F2133" s="19">
        <f>IF($B2133="","",IF(429&gt;NCapA,0,SUMIF(CalcCredit,INDEX(PkCapA,429),CalcAmt)+SUMIF(CalcCredit2,INDEX(PkCapA,429),CalcAmt2)))</f>
        <v/>
      </c>
      <c r="G2133" s="20">
        <f>IF($B2133="","",ROUND($E2133-$F2133,0))</f>
        <v/>
      </c>
      <c r="H2133" s="17">
        <f>IF($B2133="","",IF(ROUND($G2133,0)&gt;0,"بدهکار",IF(ROUND($G2133,0)&lt;0,"بستانکار","تسویه")))</f>
        <v/>
      </c>
    </row>
    <row r="2134">
      <c r="A2134" s="11">
        <f>IF($B2134="","",2125)</f>
        <v/>
      </c>
      <c r="B2134" s="12">
        <f>IF(430&gt;NCapA,"",IFERROR(IF(VLOOKUP(INDEX(PkCapA,430),AcctTblA,4,0)="","(بدون نام)",VLOOKUP(INDEX(PkCapA,430),AcctTblA,4,0)),"—"))</f>
        <v/>
      </c>
      <c r="C2134" s="13">
        <f>IF($B2134="","",IF(430&gt;NCapA,"",INDEX(PkCapA,430)))</f>
        <v/>
      </c>
      <c r="D2134" s="12">
        <f>IF($B2134="","","c")</f>
        <v/>
      </c>
      <c r="E2134" s="14">
        <f>IF($B2134="","",IF(430&gt;NCapA,0,SUMIF(CalcDebit,INDEX(PkCapA,430),CalcAmt)+SUMIF(CalcDebit2,INDEX(PkCapA,430),CalcAmt2)))</f>
        <v/>
      </c>
      <c r="F2134" s="14">
        <f>IF($B2134="","",IF(430&gt;NCapA,0,SUMIF(CalcCredit,INDEX(PkCapA,430),CalcAmt)+SUMIF(CalcCredit2,INDEX(PkCapA,430),CalcAmt2)))</f>
        <v/>
      </c>
      <c r="G2134" s="15">
        <f>IF($B2134="","",ROUND($E2134-$F2134,0))</f>
        <v/>
      </c>
      <c r="H2134" s="12">
        <f>IF($B2134="","",IF(ROUND($G2134,0)&gt;0,"بدهکار",IF(ROUND($G2134,0)&lt;0,"بستانکار","تسویه")))</f>
        <v/>
      </c>
    </row>
    <row r="2135">
      <c r="A2135" s="16">
        <f>IF($B2135="","",2126)</f>
        <v/>
      </c>
      <c r="B2135" s="17">
        <f>IF(431&gt;NCapA,"",IFERROR(IF(VLOOKUP(INDEX(PkCapA,431),AcctTblA,4,0)="","(بدون نام)",VLOOKUP(INDEX(PkCapA,431),AcctTblA,4,0)),"—"))</f>
        <v/>
      </c>
      <c r="C2135" s="18">
        <f>IF($B2135="","",IF(431&gt;NCapA,"",INDEX(PkCapA,431)))</f>
        <v/>
      </c>
      <c r="D2135" s="17">
        <f>IF($B2135="","","c")</f>
        <v/>
      </c>
      <c r="E2135" s="19">
        <f>IF($B2135="","",IF(431&gt;NCapA,0,SUMIF(CalcDebit,INDEX(PkCapA,431),CalcAmt)+SUMIF(CalcDebit2,INDEX(PkCapA,431),CalcAmt2)))</f>
        <v/>
      </c>
      <c r="F2135" s="19">
        <f>IF($B2135="","",IF(431&gt;NCapA,0,SUMIF(CalcCredit,INDEX(PkCapA,431),CalcAmt)+SUMIF(CalcCredit2,INDEX(PkCapA,431),CalcAmt2)))</f>
        <v/>
      </c>
      <c r="G2135" s="20">
        <f>IF($B2135="","",ROUND($E2135-$F2135,0))</f>
        <v/>
      </c>
      <c r="H2135" s="17">
        <f>IF($B2135="","",IF(ROUND($G2135,0)&gt;0,"بدهکار",IF(ROUND($G2135,0)&lt;0,"بستانکار","تسویه")))</f>
        <v/>
      </c>
    </row>
    <row r="2136">
      <c r="A2136" s="11">
        <f>IF($B2136="","",2127)</f>
        <v/>
      </c>
      <c r="B2136" s="12">
        <f>IF(432&gt;NCapA,"",IFERROR(IF(VLOOKUP(INDEX(PkCapA,432),AcctTblA,4,0)="","(بدون نام)",VLOOKUP(INDEX(PkCapA,432),AcctTblA,4,0)),"—"))</f>
        <v/>
      </c>
      <c r="C2136" s="13">
        <f>IF($B2136="","",IF(432&gt;NCapA,"",INDEX(PkCapA,432)))</f>
        <v/>
      </c>
      <c r="D2136" s="12">
        <f>IF($B2136="","","c")</f>
        <v/>
      </c>
      <c r="E2136" s="14">
        <f>IF($B2136="","",IF(432&gt;NCapA,0,SUMIF(CalcDebit,INDEX(PkCapA,432),CalcAmt)+SUMIF(CalcDebit2,INDEX(PkCapA,432),CalcAmt2)))</f>
        <v/>
      </c>
      <c r="F2136" s="14">
        <f>IF($B2136="","",IF(432&gt;NCapA,0,SUMIF(CalcCredit,INDEX(PkCapA,432),CalcAmt)+SUMIF(CalcCredit2,INDEX(PkCapA,432),CalcAmt2)))</f>
        <v/>
      </c>
      <c r="G2136" s="15">
        <f>IF($B2136="","",ROUND($E2136-$F2136,0))</f>
        <v/>
      </c>
      <c r="H2136" s="12">
        <f>IF($B2136="","",IF(ROUND($G2136,0)&gt;0,"بدهکار",IF(ROUND($G2136,0)&lt;0,"بستانکار","تسویه")))</f>
        <v/>
      </c>
    </row>
    <row r="2137">
      <c r="A2137" s="16">
        <f>IF($B2137="","",2128)</f>
        <v/>
      </c>
      <c r="B2137" s="17">
        <f>IF(433&gt;NCapA,"",IFERROR(IF(VLOOKUP(INDEX(PkCapA,433),AcctTblA,4,0)="","(بدون نام)",VLOOKUP(INDEX(PkCapA,433),AcctTblA,4,0)),"—"))</f>
        <v/>
      </c>
      <c r="C2137" s="18">
        <f>IF($B2137="","",IF(433&gt;NCapA,"",INDEX(PkCapA,433)))</f>
        <v/>
      </c>
      <c r="D2137" s="17">
        <f>IF($B2137="","","c")</f>
        <v/>
      </c>
      <c r="E2137" s="19">
        <f>IF($B2137="","",IF(433&gt;NCapA,0,SUMIF(CalcDebit,INDEX(PkCapA,433),CalcAmt)+SUMIF(CalcDebit2,INDEX(PkCapA,433),CalcAmt2)))</f>
        <v/>
      </c>
      <c r="F2137" s="19">
        <f>IF($B2137="","",IF(433&gt;NCapA,0,SUMIF(CalcCredit,INDEX(PkCapA,433),CalcAmt)+SUMIF(CalcCredit2,INDEX(PkCapA,433),CalcAmt2)))</f>
        <v/>
      </c>
      <c r="G2137" s="20">
        <f>IF($B2137="","",ROUND($E2137-$F2137,0))</f>
        <v/>
      </c>
      <c r="H2137" s="17">
        <f>IF($B2137="","",IF(ROUND($G2137,0)&gt;0,"بدهکار",IF(ROUND($G2137,0)&lt;0,"بستانکار","تسویه")))</f>
        <v/>
      </c>
    </row>
    <row r="2138">
      <c r="A2138" s="11">
        <f>IF($B2138="","",2129)</f>
        <v/>
      </c>
      <c r="B2138" s="12">
        <f>IF(434&gt;NCapA,"",IFERROR(IF(VLOOKUP(INDEX(PkCapA,434),AcctTblA,4,0)="","(بدون نام)",VLOOKUP(INDEX(PkCapA,434),AcctTblA,4,0)),"—"))</f>
        <v/>
      </c>
      <c r="C2138" s="13">
        <f>IF($B2138="","",IF(434&gt;NCapA,"",INDEX(PkCapA,434)))</f>
        <v/>
      </c>
      <c r="D2138" s="12">
        <f>IF($B2138="","","c")</f>
        <v/>
      </c>
      <c r="E2138" s="14">
        <f>IF($B2138="","",IF(434&gt;NCapA,0,SUMIF(CalcDebit,INDEX(PkCapA,434),CalcAmt)+SUMIF(CalcDebit2,INDEX(PkCapA,434),CalcAmt2)))</f>
        <v/>
      </c>
      <c r="F2138" s="14">
        <f>IF($B2138="","",IF(434&gt;NCapA,0,SUMIF(CalcCredit,INDEX(PkCapA,434),CalcAmt)+SUMIF(CalcCredit2,INDEX(PkCapA,434),CalcAmt2)))</f>
        <v/>
      </c>
      <c r="G2138" s="15">
        <f>IF($B2138="","",ROUND($E2138-$F2138,0))</f>
        <v/>
      </c>
      <c r="H2138" s="12">
        <f>IF($B2138="","",IF(ROUND($G2138,0)&gt;0,"بدهکار",IF(ROUND($G2138,0)&lt;0,"بستانکار","تسویه")))</f>
        <v/>
      </c>
    </row>
    <row r="2139">
      <c r="A2139" s="16">
        <f>IF($B2139="","",2130)</f>
        <v/>
      </c>
      <c r="B2139" s="17">
        <f>IF(435&gt;NCapA,"",IFERROR(IF(VLOOKUP(INDEX(PkCapA,435),AcctTblA,4,0)="","(بدون نام)",VLOOKUP(INDEX(PkCapA,435),AcctTblA,4,0)),"—"))</f>
        <v/>
      </c>
      <c r="C2139" s="18">
        <f>IF($B2139="","",IF(435&gt;NCapA,"",INDEX(PkCapA,435)))</f>
        <v/>
      </c>
      <c r="D2139" s="17">
        <f>IF($B2139="","","c")</f>
        <v/>
      </c>
      <c r="E2139" s="19">
        <f>IF($B2139="","",IF(435&gt;NCapA,0,SUMIF(CalcDebit,INDEX(PkCapA,435),CalcAmt)+SUMIF(CalcDebit2,INDEX(PkCapA,435),CalcAmt2)))</f>
        <v/>
      </c>
      <c r="F2139" s="19">
        <f>IF($B2139="","",IF(435&gt;NCapA,0,SUMIF(CalcCredit,INDEX(PkCapA,435),CalcAmt)+SUMIF(CalcCredit2,INDEX(PkCapA,435),CalcAmt2)))</f>
        <v/>
      </c>
      <c r="G2139" s="20">
        <f>IF($B2139="","",ROUND($E2139-$F2139,0))</f>
        <v/>
      </c>
      <c r="H2139" s="17">
        <f>IF($B2139="","",IF(ROUND($G2139,0)&gt;0,"بدهکار",IF(ROUND($G2139,0)&lt;0,"بستانکار","تسویه")))</f>
        <v/>
      </c>
    </row>
    <row r="2140">
      <c r="A2140" s="11">
        <f>IF($B2140="","",2131)</f>
        <v/>
      </c>
      <c r="B2140" s="12">
        <f>IF(436&gt;NCapA,"",IFERROR(IF(VLOOKUP(INDEX(PkCapA,436),AcctTblA,4,0)="","(بدون نام)",VLOOKUP(INDEX(PkCapA,436),AcctTblA,4,0)),"—"))</f>
        <v/>
      </c>
      <c r="C2140" s="13">
        <f>IF($B2140="","",IF(436&gt;NCapA,"",INDEX(PkCapA,436)))</f>
        <v/>
      </c>
      <c r="D2140" s="12">
        <f>IF($B2140="","","c")</f>
        <v/>
      </c>
      <c r="E2140" s="14">
        <f>IF($B2140="","",IF(436&gt;NCapA,0,SUMIF(CalcDebit,INDEX(PkCapA,436),CalcAmt)+SUMIF(CalcDebit2,INDEX(PkCapA,436),CalcAmt2)))</f>
        <v/>
      </c>
      <c r="F2140" s="14">
        <f>IF($B2140="","",IF(436&gt;NCapA,0,SUMIF(CalcCredit,INDEX(PkCapA,436),CalcAmt)+SUMIF(CalcCredit2,INDEX(PkCapA,436),CalcAmt2)))</f>
        <v/>
      </c>
      <c r="G2140" s="15">
        <f>IF($B2140="","",ROUND($E2140-$F2140,0))</f>
        <v/>
      </c>
      <c r="H2140" s="12">
        <f>IF($B2140="","",IF(ROUND($G2140,0)&gt;0,"بدهکار",IF(ROUND($G2140,0)&lt;0,"بستانکار","تسویه")))</f>
        <v/>
      </c>
    </row>
    <row r="2141">
      <c r="A2141" s="16">
        <f>IF($B2141="","",2132)</f>
        <v/>
      </c>
      <c r="B2141" s="17">
        <f>IF(437&gt;NCapA,"",IFERROR(IF(VLOOKUP(INDEX(PkCapA,437),AcctTblA,4,0)="","(بدون نام)",VLOOKUP(INDEX(PkCapA,437),AcctTblA,4,0)),"—"))</f>
        <v/>
      </c>
      <c r="C2141" s="18">
        <f>IF($B2141="","",IF(437&gt;NCapA,"",INDEX(PkCapA,437)))</f>
        <v/>
      </c>
      <c r="D2141" s="17">
        <f>IF($B2141="","","c")</f>
        <v/>
      </c>
      <c r="E2141" s="19">
        <f>IF($B2141="","",IF(437&gt;NCapA,0,SUMIF(CalcDebit,INDEX(PkCapA,437),CalcAmt)+SUMIF(CalcDebit2,INDEX(PkCapA,437),CalcAmt2)))</f>
        <v/>
      </c>
      <c r="F2141" s="19">
        <f>IF($B2141="","",IF(437&gt;NCapA,0,SUMIF(CalcCredit,INDEX(PkCapA,437),CalcAmt)+SUMIF(CalcCredit2,INDEX(PkCapA,437),CalcAmt2)))</f>
        <v/>
      </c>
      <c r="G2141" s="20">
        <f>IF($B2141="","",ROUND($E2141-$F2141,0))</f>
        <v/>
      </c>
      <c r="H2141" s="17">
        <f>IF($B2141="","",IF(ROUND($G2141,0)&gt;0,"بدهکار",IF(ROUND($G2141,0)&lt;0,"بستانکار","تسویه")))</f>
        <v/>
      </c>
    </row>
    <row r="2142">
      <c r="A2142" s="11">
        <f>IF($B2142="","",2133)</f>
        <v/>
      </c>
      <c r="B2142" s="12">
        <f>IF(438&gt;NCapA,"",IFERROR(IF(VLOOKUP(INDEX(PkCapA,438),AcctTblA,4,0)="","(بدون نام)",VLOOKUP(INDEX(PkCapA,438),AcctTblA,4,0)),"—"))</f>
        <v/>
      </c>
      <c r="C2142" s="13">
        <f>IF($B2142="","",IF(438&gt;NCapA,"",INDEX(PkCapA,438)))</f>
        <v/>
      </c>
      <c r="D2142" s="12">
        <f>IF($B2142="","","c")</f>
        <v/>
      </c>
      <c r="E2142" s="14">
        <f>IF($B2142="","",IF(438&gt;NCapA,0,SUMIF(CalcDebit,INDEX(PkCapA,438),CalcAmt)+SUMIF(CalcDebit2,INDEX(PkCapA,438),CalcAmt2)))</f>
        <v/>
      </c>
      <c r="F2142" s="14">
        <f>IF($B2142="","",IF(438&gt;NCapA,0,SUMIF(CalcCredit,INDEX(PkCapA,438),CalcAmt)+SUMIF(CalcCredit2,INDEX(PkCapA,438),CalcAmt2)))</f>
        <v/>
      </c>
      <c r="G2142" s="15">
        <f>IF($B2142="","",ROUND($E2142-$F2142,0))</f>
        <v/>
      </c>
      <c r="H2142" s="12">
        <f>IF($B2142="","",IF(ROUND($G2142,0)&gt;0,"بدهکار",IF(ROUND($G2142,0)&lt;0,"بستانکار","تسویه")))</f>
        <v/>
      </c>
    </row>
    <row r="2143">
      <c r="A2143" s="16">
        <f>IF($B2143="","",2134)</f>
        <v/>
      </c>
      <c r="B2143" s="17">
        <f>IF(439&gt;NCapA,"",IFERROR(IF(VLOOKUP(INDEX(PkCapA,439),AcctTblA,4,0)="","(بدون نام)",VLOOKUP(INDEX(PkCapA,439),AcctTblA,4,0)),"—"))</f>
        <v/>
      </c>
      <c r="C2143" s="18">
        <f>IF($B2143="","",IF(439&gt;NCapA,"",INDEX(PkCapA,439)))</f>
        <v/>
      </c>
      <c r="D2143" s="17">
        <f>IF($B2143="","","c")</f>
        <v/>
      </c>
      <c r="E2143" s="19">
        <f>IF($B2143="","",IF(439&gt;NCapA,0,SUMIF(CalcDebit,INDEX(PkCapA,439),CalcAmt)+SUMIF(CalcDebit2,INDEX(PkCapA,439),CalcAmt2)))</f>
        <v/>
      </c>
      <c r="F2143" s="19">
        <f>IF($B2143="","",IF(439&gt;NCapA,0,SUMIF(CalcCredit,INDEX(PkCapA,439),CalcAmt)+SUMIF(CalcCredit2,INDEX(PkCapA,439),CalcAmt2)))</f>
        <v/>
      </c>
      <c r="G2143" s="20">
        <f>IF($B2143="","",ROUND($E2143-$F2143,0))</f>
        <v/>
      </c>
      <c r="H2143" s="17">
        <f>IF($B2143="","",IF(ROUND($G2143,0)&gt;0,"بدهکار",IF(ROUND($G2143,0)&lt;0,"بستانکار","تسویه")))</f>
        <v/>
      </c>
    </row>
    <row r="2144">
      <c r="A2144" s="11">
        <f>IF($B2144="","",2135)</f>
        <v/>
      </c>
      <c r="B2144" s="12">
        <f>IF(440&gt;NCapA,"",IFERROR(IF(VLOOKUP(INDEX(PkCapA,440),AcctTblA,4,0)="","(بدون نام)",VLOOKUP(INDEX(PkCapA,440),AcctTblA,4,0)),"—"))</f>
        <v/>
      </c>
      <c r="C2144" s="13">
        <f>IF($B2144="","",IF(440&gt;NCapA,"",INDEX(PkCapA,440)))</f>
        <v/>
      </c>
      <c r="D2144" s="12">
        <f>IF($B2144="","","c")</f>
        <v/>
      </c>
      <c r="E2144" s="14">
        <f>IF($B2144="","",IF(440&gt;NCapA,0,SUMIF(CalcDebit,INDEX(PkCapA,440),CalcAmt)+SUMIF(CalcDebit2,INDEX(PkCapA,440),CalcAmt2)))</f>
        <v/>
      </c>
      <c r="F2144" s="14">
        <f>IF($B2144="","",IF(440&gt;NCapA,0,SUMIF(CalcCredit,INDEX(PkCapA,440),CalcAmt)+SUMIF(CalcCredit2,INDEX(PkCapA,440),CalcAmt2)))</f>
        <v/>
      </c>
      <c r="G2144" s="15">
        <f>IF($B2144="","",ROUND($E2144-$F2144,0))</f>
        <v/>
      </c>
      <c r="H2144" s="12">
        <f>IF($B2144="","",IF(ROUND($G2144,0)&gt;0,"بدهکار",IF(ROUND($G2144,0)&lt;0,"بستانکار","تسویه")))</f>
        <v/>
      </c>
    </row>
    <row r="2145">
      <c r="A2145" s="16">
        <f>IF($B2145="","",2136)</f>
        <v/>
      </c>
      <c r="B2145" s="17">
        <f>IF(441&gt;NCapA,"",IFERROR(IF(VLOOKUP(INDEX(PkCapA,441),AcctTblA,4,0)="","(بدون نام)",VLOOKUP(INDEX(PkCapA,441),AcctTblA,4,0)),"—"))</f>
        <v/>
      </c>
      <c r="C2145" s="18">
        <f>IF($B2145="","",IF(441&gt;NCapA,"",INDEX(PkCapA,441)))</f>
        <v/>
      </c>
      <c r="D2145" s="17">
        <f>IF($B2145="","","c")</f>
        <v/>
      </c>
      <c r="E2145" s="19">
        <f>IF($B2145="","",IF(441&gt;NCapA,0,SUMIF(CalcDebit,INDEX(PkCapA,441),CalcAmt)+SUMIF(CalcDebit2,INDEX(PkCapA,441),CalcAmt2)))</f>
        <v/>
      </c>
      <c r="F2145" s="19">
        <f>IF($B2145="","",IF(441&gt;NCapA,0,SUMIF(CalcCredit,INDEX(PkCapA,441),CalcAmt)+SUMIF(CalcCredit2,INDEX(PkCapA,441),CalcAmt2)))</f>
        <v/>
      </c>
      <c r="G2145" s="20">
        <f>IF($B2145="","",ROUND($E2145-$F2145,0))</f>
        <v/>
      </c>
      <c r="H2145" s="17">
        <f>IF($B2145="","",IF(ROUND($G2145,0)&gt;0,"بدهکار",IF(ROUND($G2145,0)&lt;0,"بستانکار","تسویه")))</f>
        <v/>
      </c>
    </row>
    <row r="2146">
      <c r="A2146" s="11">
        <f>IF($B2146="","",2137)</f>
        <v/>
      </c>
      <c r="B2146" s="12">
        <f>IF(442&gt;NCapA,"",IFERROR(IF(VLOOKUP(INDEX(PkCapA,442),AcctTblA,4,0)="","(بدون نام)",VLOOKUP(INDEX(PkCapA,442),AcctTblA,4,0)),"—"))</f>
        <v/>
      </c>
      <c r="C2146" s="13">
        <f>IF($B2146="","",IF(442&gt;NCapA,"",INDEX(PkCapA,442)))</f>
        <v/>
      </c>
      <c r="D2146" s="12">
        <f>IF($B2146="","","c")</f>
        <v/>
      </c>
      <c r="E2146" s="14">
        <f>IF($B2146="","",IF(442&gt;NCapA,0,SUMIF(CalcDebit,INDEX(PkCapA,442),CalcAmt)+SUMIF(CalcDebit2,INDEX(PkCapA,442),CalcAmt2)))</f>
        <v/>
      </c>
      <c r="F2146" s="14">
        <f>IF($B2146="","",IF(442&gt;NCapA,0,SUMIF(CalcCredit,INDEX(PkCapA,442),CalcAmt)+SUMIF(CalcCredit2,INDEX(PkCapA,442),CalcAmt2)))</f>
        <v/>
      </c>
      <c r="G2146" s="15">
        <f>IF($B2146="","",ROUND($E2146-$F2146,0))</f>
        <v/>
      </c>
      <c r="H2146" s="12">
        <f>IF($B2146="","",IF(ROUND($G2146,0)&gt;0,"بدهکار",IF(ROUND($G2146,0)&lt;0,"بستانکار","تسویه")))</f>
        <v/>
      </c>
    </row>
    <row r="2147">
      <c r="A2147" s="16">
        <f>IF($B2147="","",2138)</f>
        <v/>
      </c>
      <c r="B2147" s="17">
        <f>IF(443&gt;NCapA,"",IFERROR(IF(VLOOKUP(INDEX(PkCapA,443),AcctTblA,4,0)="","(بدون نام)",VLOOKUP(INDEX(PkCapA,443),AcctTblA,4,0)),"—"))</f>
        <v/>
      </c>
      <c r="C2147" s="18">
        <f>IF($B2147="","",IF(443&gt;NCapA,"",INDEX(PkCapA,443)))</f>
        <v/>
      </c>
      <c r="D2147" s="17">
        <f>IF($B2147="","","c")</f>
        <v/>
      </c>
      <c r="E2147" s="19">
        <f>IF($B2147="","",IF(443&gt;NCapA,0,SUMIF(CalcDebit,INDEX(PkCapA,443),CalcAmt)+SUMIF(CalcDebit2,INDEX(PkCapA,443),CalcAmt2)))</f>
        <v/>
      </c>
      <c r="F2147" s="19">
        <f>IF($B2147="","",IF(443&gt;NCapA,0,SUMIF(CalcCredit,INDEX(PkCapA,443),CalcAmt)+SUMIF(CalcCredit2,INDEX(PkCapA,443),CalcAmt2)))</f>
        <v/>
      </c>
      <c r="G2147" s="20">
        <f>IF($B2147="","",ROUND($E2147-$F2147,0))</f>
        <v/>
      </c>
      <c r="H2147" s="17">
        <f>IF($B2147="","",IF(ROUND($G2147,0)&gt;0,"بدهکار",IF(ROUND($G2147,0)&lt;0,"بستانکار","تسویه")))</f>
        <v/>
      </c>
    </row>
    <row r="2148">
      <c r="A2148" s="11">
        <f>IF($B2148="","",2139)</f>
        <v/>
      </c>
      <c r="B2148" s="12">
        <f>IF(444&gt;NCapA,"",IFERROR(IF(VLOOKUP(INDEX(PkCapA,444),AcctTblA,4,0)="","(بدون نام)",VLOOKUP(INDEX(PkCapA,444),AcctTblA,4,0)),"—"))</f>
        <v/>
      </c>
      <c r="C2148" s="13">
        <f>IF($B2148="","",IF(444&gt;NCapA,"",INDEX(PkCapA,444)))</f>
        <v/>
      </c>
      <c r="D2148" s="12">
        <f>IF($B2148="","","c")</f>
        <v/>
      </c>
      <c r="E2148" s="14">
        <f>IF($B2148="","",IF(444&gt;NCapA,0,SUMIF(CalcDebit,INDEX(PkCapA,444),CalcAmt)+SUMIF(CalcDebit2,INDEX(PkCapA,444),CalcAmt2)))</f>
        <v/>
      </c>
      <c r="F2148" s="14">
        <f>IF($B2148="","",IF(444&gt;NCapA,0,SUMIF(CalcCredit,INDEX(PkCapA,444),CalcAmt)+SUMIF(CalcCredit2,INDEX(PkCapA,444),CalcAmt2)))</f>
        <v/>
      </c>
      <c r="G2148" s="15">
        <f>IF($B2148="","",ROUND($E2148-$F2148,0))</f>
        <v/>
      </c>
      <c r="H2148" s="12">
        <f>IF($B2148="","",IF(ROUND($G2148,0)&gt;0,"بدهکار",IF(ROUND($G2148,0)&lt;0,"بستانکار","تسویه")))</f>
        <v/>
      </c>
    </row>
    <row r="2149">
      <c r="A2149" s="16">
        <f>IF($B2149="","",2140)</f>
        <v/>
      </c>
      <c r="B2149" s="17">
        <f>IF(445&gt;NCapA,"",IFERROR(IF(VLOOKUP(INDEX(PkCapA,445),AcctTblA,4,0)="","(بدون نام)",VLOOKUP(INDEX(PkCapA,445),AcctTblA,4,0)),"—"))</f>
        <v/>
      </c>
      <c r="C2149" s="18">
        <f>IF($B2149="","",IF(445&gt;NCapA,"",INDEX(PkCapA,445)))</f>
        <v/>
      </c>
      <c r="D2149" s="17">
        <f>IF($B2149="","","c")</f>
        <v/>
      </c>
      <c r="E2149" s="19">
        <f>IF($B2149="","",IF(445&gt;NCapA,0,SUMIF(CalcDebit,INDEX(PkCapA,445),CalcAmt)+SUMIF(CalcDebit2,INDEX(PkCapA,445),CalcAmt2)))</f>
        <v/>
      </c>
      <c r="F2149" s="19">
        <f>IF($B2149="","",IF(445&gt;NCapA,0,SUMIF(CalcCredit,INDEX(PkCapA,445),CalcAmt)+SUMIF(CalcCredit2,INDEX(PkCapA,445),CalcAmt2)))</f>
        <v/>
      </c>
      <c r="G2149" s="20">
        <f>IF($B2149="","",ROUND($E2149-$F2149,0))</f>
        <v/>
      </c>
      <c r="H2149" s="17">
        <f>IF($B2149="","",IF(ROUND($G2149,0)&gt;0,"بدهکار",IF(ROUND($G2149,0)&lt;0,"بستانکار","تسویه")))</f>
        <v/>
      </c>
    </row>
    <row r="2150">
      <c r="A2150" s="11">
        <f>IF($B2150="","",2141)</f>
        <v/>
      </c>
      <c r="B2150" s="12">
        <f>IF(446&gt;NCapA,"",IFERROR(IF(VLOOKUP(INDEX(PkCapA,446),AcctTblA,4,0)="","(بدون نام)",VLOOKUP(INDEX(PkCapA,446),AcctTblA,4,0)),"—"))</f>
        <v/>
      </c>
      <c r="C2150" s="13">
        <f>IF($B2150="","",IF(446&gt;NCapA,"",INDEX(PkCapA,446)))</f>
        <v/>
      </c>
      <c r="D2150" s="12">
        <f>IF($B2150="","","c")</f>
        <v/>
      </c>
      <c r="E2150" s="14">
        <f>IF($B2150="","",IF(446&gt;NCapA,0,SUMIF(CalcDebit,INDEX(PkCapA,446),CalcAmt)+SUMIF(CalcDebit2,INDEX(PkCapA,446),CalcAmt2)))</f>
        <v/>
      </c>
      <c r="F2150" s="14">
        <f>IF($B2150="","",IF(446&gt;NCapA,0,SUMIF(CalcCredit,INDEX(PkCapA,446),CalcAmt)+SUMIF(CalcCredit2,INDEX(PkCapA,446),CalcAmt2)))</f>
        <v/>
      </c>
      <c r="G2150" s="15">
        <f>IF($B2150="","",ROUND($E2150-$F2150,0))</f>
        <v/>
      </c>
      <c r="H2150" s="12">
        <f>IF($B2150="","",IF(ROUND($G2150,0)&gt;0,"بدهکار",IF(ROUND($G2150,0)&lt;0,"بستانکار","تسویه")))</f>
        <v/>
      </c>
    </row>
    <row r="2151">
      <c r="A2151" s="16">
        <f>IF($B2151="","",2142)</f>
        <v/>
      </c>
      <c r="B2151" s="17">
        <f>IF(447&gt;NCapA,"",IFERROR(IF(VLOOKUP(INDEX(PkCapA,447),AcctTblA,4,0)="","(بدون نام)",VLOOKUP(INDEX(PkCapA,447),AcctTblA,4,0)),"—"))</f>
        <v/>
      </c>
      <c r="C2151" s="18">
        <f>IF($B2151="","",IF(447&gt;NCapA,"",INDEX(PkCapA,447)))</f>
        <v/>
      </c>
      <c r="D2151" s="17">
        <f>IF($B2151="","","c")</f>
        <v/>
      </c>
      <c r="E2151" s="19">
        <f>IF($B2151="","",IF(447&gt;NCapA,0,SUMIF(CalcDebit,INDEX(PkCapA,447),CalcAmt)+SUMIF(CalcDebit2,INDEX(PkCapA,447),CalcAmt2)))</f>
        <v/>
      </c>
      <c r="F2151" s="19">
        <f>IF($B2151="","",IF(447&gt;NCapA,0,SUMIF(CalcCredit,INDEX(PkCapA,447),CalcAmt)+SUMIF(CalcCredit2,INDEX(PkCapA,447),CalcAmt2)))</f>
        <v/>
      </c>
      <c r="G2151" s="20">
        <f>IF($B2151="","",ROUND($E2151-$F2151,0))</f>
        <v/>
      </c>
      <c r="H2151" s="17">
        <f>IF($B2151="","",IF(ROUND($G2151,0)&gt;0,"بدهکار",IF(ROUND($G2151,0)&lt;0,"بستانکار","تسویه")))</f>
        <v/>
      </c>
    </row>
    <row r="2152">
      <c r="A2152" s="11">
        <f>IF($B2152="","",2143)</f>
        <v/>
      </c>
      <c r="B2152" s="12">
        <f>IF(448&gt;NCapA,"",IFERROR(IF(VLOOKUP(INDEX(PkCapA,448),AcctTblA,4,0)="","(بدون نام)",VLOOKUP(INDEX(PkCapA,448),AcctTblA,4,0)),"—"))</f>
        <v/>
      </c>
      <c r="C2152" s="13">
        <f>IF($B2152="","",IF(448&gt;NCapA,"",INDEX(PkCapA,448)))</f>
        <v/>
      </c>
      <c r="D2152" s="12">
        <f>IF($B2152="","","c")</f>
        <v/>
      </c>
      <c r="E2152" s="14">
        <f>IF($B2152="","",IF(448&gt;NCapA,0,SUMIF(CalcDebit,INDEX(PkCapA,448),CalcAmt)+SUMIF(CalcDebit2,INDEX(PkCapA,448),CalcAmt2)))</f>
        <v/>
      </c>
      <c r="F2152" s="14">
        <f>IF($B2152="","",IF(448&gt;NCapA,0,SUMIF(CalcCredit,INDEX(PkCapA,448),CalcAmt)+SUMIF(CalcCredit2,INDEX(PkCapA,448),CalcAmt2)))</f>
        <v/>
      </c>
      <c r="G2152" s="15">
        <f>IF($B2152="","",ROUND($E2152-$F2152,0))</f>
        <v/>
      </c>
      <c r="H2152" s="12">
        <f>IF($B2152="","",IF(ROUND($G2152,0)&gt;0,"بدهکار",IF(ROUND($G2152,0)&lt;0,"بستانکار","تسویه")))</f>
        <v/>
      </c>
    </row>
    <row r="2153">
      <c r="A2153" s="16">
        <f>IF($B2153="","",2144)</f>
        <v/>
      </c>
      <c r="B2153" s="17">
        <f>IF(449&gt;NCapA,"",IFERROR(IF(VLOOKUP(INDEX(PkCapA,449),AcctTblA,4,0)="","(بدون نام)",VLOOKUP(INDEX(PkCapA,449),AcctTblA,4,0)),"—"))</f>
        <v/>
      </c>
      <c r="C2153" s="18">
        <f>IF($B2153="","",IF(449&gt;NCapA,"",INDEX(PkCapA,449)))</f>
        <v/>
      </c>
      <c r="D2153" s="17">
        <f>IF($B2153="","","c")</f>
        <v/>
      </c>
      <c r="E2153" s="19">
        <f>IF($B2153="","",IF(449&gt;NCapA,0,SUMIF(CalcDebit,INDEX(PkCapA,449),CalcAmt)+SUMIF(CalcDebit2,INDEX(PkCapA,449),CalcAmt2)))</f>
        <v/>
      </c>
      <c r="F2153" s="19">
        <f>IF($B2153="","",IF(449&gt;NCapA,0,SUMIF(CalcCredit,INDEX(PkCapA,449),CalcAmt)+SUMIF(CalcCredit2,INDEX(PkCapA,449),CalcAmt2)))</f>
        <v/>
      </c>
      <c r="G2153" s="20">
        <f>IF($B2153="","",ROUND($E2153-$F2153,0))</f>
        <v/>
      </c>
      <c r="H2153" s="17">
        <f>IF($B2153="","",IF(ROUND($G2153,0)&gt;0,"بدهکار",IF(ROUND($G2153,0)&lt;0,"بستانکار","تسویه")))</f>
        <v/>
      </c>
    </row>
    <row r="2154">
      <c r="A2154" s="11">
        <f>IF($B2154="","",2145)</f>
        <v/>
      </c>
      <c r="B2154" s="12">
        <f>IF(450&gt;NCapA,"",IFERROR(IF(VLOOKUP(INDEX(PkCapA,450),AcctTblA,4,0)="","(بدون نام)",VLOOKUP(INDEX(PkCapA,450),AcctTblA,4,0)),"—"))</f>
        <v/>
      </c>
      <c r="C2154" s="13">
        <f>IF($B2154="","",IF(450&gt;NCapA,"",INDEX(PkCapA,450)))</f>
        <v/>
      </c>
      <c r="D2154" s="12">
        <f>IF($B2154="","","c")</f>
        <v/>
      </c>
      <c r="E2154" s="14">
        <f>IF($B2154="","",IF(450&gt;NCapA,0,SUMIF(CalcDebit,INDEX(PkCapA,450),CalcAmt)+SUMIF(CalcDebit2,INDEX(PkCapA,450),CalcAmt2)))</f>
        <v/>
      </c>
      <c r="F2154" s="14">
        <f>IF($B2154="","",IF(450&gt;NCapA,0,SUMIF(CalcCredit,INDEX(PkCapA,450),CalcAmt)+SUMIF(CalcCredit2,INDEX(PkCapA,450),CalcAmt2)))</f>
        <v/>
      </c>
      <c r="G2154" s="15">
        <f>IF($B2154="","",ROUND($E2154-$F2154,0))</f>
        <v/>
      </c>
      <c r="H2154" s="12">
        <f>IF($B2154="","",IF(ROUND($G2154,0)&gt;0,"بدهکار",IF(ROUND($G2154,0)&lt;0,"بستانکار","تسویه")))</f>
        <v/>
      </c>
    </row>
    <row r="2155">
      <c r="A2155" s="16">
        <f>IF($B2155="","",2146)</f>
        <v/>
      </c>
      <c r="B2155" s="17">
        <f>IF(451&gt;NCapA,"",IFERROR(IF(VLOOKUP(INDEX(PkCapA,451),AcctTblA,4,0)="","(بدون نام)",VLOOKUP(INDEX(PkCapA,451),AcctTblA,4,0)),"—"))</f>
        <v/>
      </c>
      <c r="C2155" s="18">
        <f>IF($B2155="","",IF(451&gt;NCapA,"",INDEX(PkCapA,451)))</f>
        <v/>
      </c>
      <c r="D2155" s="17">
        <f>IF($B2155="","","c")</f>
        <v/>
      </c>
      <c r="E2155" s="19">
        <f>IF($B2155="","",IF(451&gt;NCapA,0,SUMIF(CalcDebit,INDEX(PkCapA,451),CalcAmt)+SUMIF(CalcDebit2,INDEX(PkCapA,451),CalcAmt2)))</f>
        <v/>
      </c>
      <c r="F2155" s="19">
        <f>IF($B2155="","",IF(451&gt;NCapA,0,SUMIF(CalcCredit,INDEX(PkCapA,451),CalcAmt)+SUMIF(CalcCredit2,INDEX(PkCapA,451),CalcAmt2)))</f>
        <v/>
      </c>
      <c r="G2155" s="20">
        <f>IF($B2155="","",ROUND($E2155-$F2155,0))</f>
        <v/>
      </c>
      <c r="H2155" s="17">
        <f>IF($B2155="","",IF(ROUND($G2155,0)&gt;0,"بدهکار",IF(ROUND($G2155,0)&lt;0,"بستانکار","تسویه")))</f>
        <v/>
      </c>
    </row>
    <row r="2156">
      <c r="A2156" s="11">
        <f>IF($B2156="","",2147)</f>
        <v/>
      </c>
      <c r="B2156" s="12">
        <f>IF(452&gt;NCapA,"",IFERROR(IF(VLOOKUP(INDEX(PkCapA,452),AcctTblA,4,0)="","(بدون نام)",VLOOKUP(INDEX(PkCapA,452),AcctTblA,4,0)),"—"))</f>
        <v/>
      </c>
      <c r="C2156" s="13">
        <f>IF($B2156="","",IF(452&gt;NCapA,"",INDEX(PkCapA,452)))</f>
        <v/>
      </c>
      <c r="D2156" s="12">
        <f>IF($B2156="","","c")</f>
        <v/>
      </c>
      <c r="E2156" s="14">
        <f>IF($B2156="","",IF(452&gt;NCapA,0,SUMIF(CalcDebit,INDEX(PkCapA,452),CalcAmt)+SUMIF(CalcDebit2,INDEX(PkCapA,452),CalcAmt2)))</f>
        <v/>
      </c>
      <c r="F2156" s="14">
        <f>IF($B2156="","",IF(452&gt;NCapA,0,SUMIF(CalcCredit,INDEX(PkCapA,452),CalcAmt)+SUMIF(CalcCredit2,INDEX(PkCapA,452),CalcAmt2)))</f>
        <v/>
      </c>
      <c r="G2156" s="15">
        <f>IF($B2156="","",ROUND($E2156-$F2156,0))</f>
        <v/>
      </c>
      <c r="H2156" s="12">
        <f>IF($B2156="","",IF(ROUND($G2156,0)&gt;0,"بدهکار",IF(ROUND($G2156,0)&lt;0,"بستانکار","تسویه")))</f>
        <v/>
      </c>
    </row>
    <row r="2157">
      <c r="A2157" s="16">
        <f>IF($B2157="","",2148)</f>
        <v/>
      </c>
      <c r="B2157" s="17">
        <f>IF(453&gt;NCapA,"",IFERROR(IF(VLOOKUP(INDEX(PkCapA,453),AcctTblA,4,0)="","(بدون نام)",VLOOKUP(INDEX(PkCapA,453),AcctTblA,4,0)),"—"))</f>
        <v/>
      </c>
      <c r="C2157" s="18">
        <f>IF($B2157="","",IF(453&gt;NCapA,"",INDEX(PkCapA,453)))</f>
        <v/>
      </c>
      <c r="D2157" s="17">
        <f>IF($B2157="","","c")</f>
        <v/>
      </c>
      <c r="E2157" s="19">
        <f>IF($B2157="","",IF(453&gt;NCapA,0,SUMIF(CalcDebit,INDEX(PkCapA,453),CalcAmt)+SUMIF(CalcDebit2,INDEX(PkCapA,453),CalcAmt2)))</f>
        <v/>
      </c>
      <c r="F2157" s="19">
        <f>IF($B2157="","",IF(453&gt;NCapA,0,SUMIF(CalcCredit,INDEX(PkCapA,453),CalcAmt)+SUMIF(CalcCredit2,INDEX(PkCapA,453),CalcAmt2)))</f>
        <v/>
      </c>
      <c r="G2157" s="20">
        <f>IF($B2157="","",ROUND($E2157-$F2157,0))</f>
        <v/>
      </c>
      <c r="H2157" s="17">
        <f>IF($B2157="","",IF(ROUND($G2157,0)&gt;0,"بدهکار",IF(ROUND($G2157,0)&lt;0,"بستانکار","تسویه")))</f>
        <v/>
      </c>
    </row>
    <row r="2158">
      <c r="A2158" s="11">
        <f>IF($B2158="","",2149)</f>
        <v/>
      </c>
      <c r="B2158" s="12">
        <f>IF(454&gt;NCapA,"",IFERROR(IF(VLOOKUP(INDEX(PkCapA,454),AcctTblA,4,0)="","(بدون نام)",VLOOKUP(INDEX(PkCapA,454),AcctTblA,4,0)),"—"))</f>
        <v/>
      </c>
      <c r="C2158" s="13">
        <f>IF($B2158="","",IF(454&gt;NCapA,"",INDEX(PkCapA,454)))</f>
        <v/>
      </c>
      <c r="D2158" s="12">
        <f>IF($B2158="","","c")</f>
        <v/>
      </c>
      <c r="E2158" s="14">
        <f>IF($B2158="","",IF(454&gt;NCapA,0,SUMIF(CalcDebit,INDEX(PkCapA,454),CalcAmt)+SUMIF(CalcDebit2,INDEX(PkCapA,454),CalcAmt2)))</f>
        <v/>
      </c>
      <c r="F2158" s="14">
        <f>IF($B2158="","",IF(454&gt;NCapA,0,SUMIF(CalcCredit,INDEX(PkCapA,454),CalcAmt)+SUMIF(CalcCredit2,INDEX(PkCapA,454),CalcAmt2)))</f>
        <v/>
      </c>
      <c r="G2158" s="15">
        <f>IF($B2158="","",ROUND($E2158-$F2158,0))</f>
        <v/>
      </c>
      <c r="H2158" s="12">
        <f>IF($B2158="","",IF(ROUND($G2158,0)&gt;0,"بدهکار",IF(ROUND($G2158,0)&lt;0,"بستانکار","تسویه")))</f>
        <v/>
      </c>
    </row>
    <row r="2159">
      <c r="A2159" s="16">
        <f>IF($B2159="","",2150)</f>
        <v/>
      </c>
      <c r="B2159" s="17">
        <f>IF(455&gt;NCapA,"",IFERROR(IF(VLOOKUP(INDEX(PkCapA,455),AcctTblA,4,0)="","(بدون نام)",VLOOKUP(INDEX(PkCapA,455),AcctTblA,4,0)),"—"))</f>
        <v/>
      </c>
      <c r="C2159" s="18">
        <f>IF($B2159="","",IF(455&gt;NCapA,"",INDEX(PkCapA,455)))</f>
        <v/>
      </c>
      <c r="D2159" s="17">
        <f>IF($B2159="","","c")</f>
        <v/>
      </c>
      <c r="E2159" s="19">
        <f>IF($B2159="","",IF(455&gt;NCapA,0,SUMIF(CalcDebit,INDEX(PkCapA,455),CalcAmt)+SUMIF(CalcDebit2,INDEX(PkCapA,455),CalcAmt2)))</f>
        <v/>
      </c>
      <c r="F2159" s="19">
        <f>IF($B2159="","",IF(455&gt;NCapA,0,SUMIF(CalcCredit,INDEX(PkCapA,455),CalcAmt)+SUMIF(CalcCredit2,INDEX(PkCapA,455),CalcAmt2)))</f>
        <v/>
      </c>
      <c r="G2159" s="20">
        <f>IF($B2159="","",ROUND($E2159-$F2159,0))</f>
        <v/>
      </c>
      <c r="H2159" s="17">
        <f>IF($B2159="","",IF(ROUND($G2159,0)&gt;0,"بدهکار",IF(ROUND($G2159,0)&lt;0,"بستانکار","تسویه")))</f>
        <v/>
      </c>
    </row>
    <row r="2160">
      <c r="A2160" s="11">
        <f>IF($B2160="","",2151)</f>
        <v/>
      </c>
      <c r="B2160" s="12">
        <f>IF(456&gt;NCapA,"",IFERROR(IF(VLOOKUP(INDEX(PkCapA,456),AcctTblA,4,0)="","(بدون نام)",VLOOKUP(INDEX(PkCapA,456),AcctTblA,4,0)),"—"))</f>
        <v/>
      </c>
      <c r="C2160" s="13">
        <f>IF($B2160="","",IF(456&gt;NCapA,"",INDEX(PkCapA,456)))</f>
        <v/>
      </c>
      <c r="D2160" s="12">
        <f>IF($B2160="","","c")</f>
        <v/>
      </c>
      <c r="E2160" s="14">
        <f>IF($B2160="","",IF(456&gt;NCapA,0,SUMIF(CalcDebit,INDEX(PkCapA,456),CalcAmt)+SUMIF(CalcDebit2,INDEX(PkCapA,456),CalcAmt2)))</f>
        <v/>
      </c>
      <c r="F2160" s="14">
        <f>IF($B2160="","",IF(456&gt;NCapA,0,SUMIF(CalcCredit,INDEX(PkCapA,456),CalcAmt)+SUMIF(CalcCredit2,INDEX(PkCapA,456),CalcAmt2)))</f>
        <v/>
      </c>
      <c r="G2160" s="15">
        <f>IF($B2160="","",ROUND($E2160-$F2160,0))</f>
        <v/>
      </c>
      <c r="H2160" s="12">
        <f>IF($B2160="","",IF(ROUND($G2160,0)&gt;0,"بدهکار",IF(ROUND($G2160,0)&lt;0,"بستانکار","تسویه")))</f>
        <v/>
      </c>
    </row>
    <row r="2161">
      <c r="A2161" s="16">
        <f>IF($B2161="","",2152)</f>
        <v/>
      </c>
      <c r="B2161" s="17">
        <f>IF(457&gt;NCapA,"",IFERROR(IF(VLOOKUP(INDEX(PkCapA,457),AcctTblA,4,0)="","(بدون نام)",VLOOKUP(INDEX(PkCapA,457),AcctTblA,4,0)),"—"))</f>
        <v/>
      </c>
      <c r="C2161" s="18">
        <f>IF($B2161="","",IF(457&gt;NCapA,"",INDEX(PkCapA,457)))</f>
        <v/>
      </c>
      <c r="D2161" s="17">
        <f>IF($B2161="","","c")</f>
        <v/>
      </c>
      <c r="E2161" s="19">
        <f>IF($B2161="","",IF(457&gt;NCapA,0,SUMIF(CalcDebit,INDEX(PkCapA,457),CalcAmt)+SUMIF(CalcDebit2,INDEX(PkCapA,457),CalcAmt2)))</f>
        <v/>
      </c>
      <c r="F2161" s="19">
        <f>IF($B2161="","",IF(457&gt;NCapA,0,SUMIF(CalcCredit,INDEX(PkCapA,457),CalcAmt)+SUMIF(CalcCredit2,INDEX(PkCapA,457),CalcAmt2)))</f>
        <v/>
      </c>
      <c r="G2161" s="20">
        <f>IF($B2161="","",ROUND($E2161-$F2161,0))</f>
        <v/>
      </c>
      <c r="H2161" s="17">
        <f>IF($B2161="","",IF(ROUND($G2161,0)&gt;0,"بدهکار",IF(ROUND($G2161,0)&lt;0,"بستانکار","تسویه")))</f>
        <v/>
      </c>
    </row>
    <row r="2162">
      <c r="A2162" s="11">
        <f>IF($B2162="","",2153)</f>
        <v/>
      </c>
      <c r="B2162" s="12">
        <f>IF(458&gt;NCapA,"",IFERROR(IF(VLOOKUP(INDEX(PkCapA,458),AcctTblA,4,0)="","(بدون نام)",VLOOKUP(INDEX(PkCapA,458),AcctTblA,4,0)),"—"))</f>
        <v/>
      </c>
      <c r="C2162" s="13">
        <f>IF($B2162="","",IF(458&gt;NCapA,"",INDEX(PkCapA,458)))</f>
        <v/>
      </c>
      <c r="D2162" s="12">
        <f>IF($B2162="","","c")</f>
        <v/>
      </c>
      <c r="E2162" s="14">
        <f>IF($B2162="","",IF(458&gt;NCapA,0,SUMIF(CalcDebit,INDEX(PkCapA,458),CalcAmt)+SUMIF(CalcDebit2,INDEX(PkCapA,458),CalcAmt2)))</f>
        <v/>
      </c>
      <c r="F2162" s="14">
        <f>IF($B2162="","",IF(458&gt;NCapA,0,SUMIF(CalcCredit,INDEX(PkCapA,458),CalcAmt)+SUMIF(CalcCredit2,INDEX(PkCapA,458),CalcAmt2)))</f>
        <v/>
      </c>
      <c r="G2162" s="15">
        <f>IF($B2162="","",ROUND($E2162-$F2162,0))</f>
        <v/>
      </c>
      <c r="H2162" s="12">
        <f>IF($B2162="","",IF(ROUND($G2162,0)&gt;0,"بدهکار",IF(ROUND($G2162,0)&lt;0,"بستانکار","تسویه")))</f>
        <v/>
      </c>
    </row>
    <row r="2163">
      <c r="A2163" s="16">
        <f>IF($B2163="","",2154)</f>
        <v/>
      </c>
      <c r="B2163" s="17">
        <f>IF(459&gt;NCapA,"",IFERROR(IF(VLOOKUP(INDEX(PkCapA,459),AcctTblA,4,0)="","(بدون نام)",VLOOKUP(INDEX(PkCapA,459),AcctTblA,4,0)),"—"))</f>
        <v/>
      </c>
      <c r="C2163" s="18">
        <f>IF($B2163="","",IF(459&gt;NCapA,"",INDEX(PkCapA,459)))</f>
        <v/>
      </c>
      <c r="D2163" s="17">
        <f>IF($B2163="","","c")</f>
        <v/>
      </c>
      <c r="E2163" s="19">
        <f>IF($B2163="","",IF(459&gt;NCapA,0,SUMIF(CalcDebit,INDEX(PkCapA,459),CalcAmt)+SUMIF(CalcDebit2,INDEX(PkCapA,459),CalcAmt2)))</f>
        <v/>
      </c>
      <c r="F2163" s="19">
        <f>IF($B2163="","",IF(459&gt;NCapA,0,SUMIF(CalcCredit,INDEX(PkCapA,459),CalcAmt)+SUMIF(CalcCredit2,INDEX(PkCapA,459),CalcAmt2)))</f>
        <v/>
      </c>
      <c r="G2163" s="20">
        <f>IF($B2163="","",ROUND($E2163-$F2163,0))</f>
        <v/>
      </c>
      <c r="H2163" s="17">
        <f>IF($B2163="","",IF(ROUND($G2163,0)&gt;0,"بدهکار",IF(ROUND($G2163,0)&lt;0,"بستانکار","تسویه")))</f>
        <v/>
      </c>
    </row>
    <row r="2164">
      <c r="A2164" s="11">
        <f>IF($B2164="","",2155)</f>
        <v/>
      </c>
      <c r="B2164" s="12">
        <f>IF(460&gt;NCapA,"",IFERROR(IF(VLOOKUP(INDEX(PkCapA,460),AcctTblA,4,0)="","(بدون نام)",VLOOKUP(INDEX(PkCapA,460),AcctTblA,4,0)),"—"))</f>
        <v/>
      </c>
      <c r="C2164" s="13">
        <f>IF($B2164="","",IF(460&gt;NCapA,"",INDEX(PkCapA,460)))</f>
        <v/>
      </c>
      <c r="D2164" s="12">
        <f>IF($B2164="","","c")</f>
        <v/>
      </c>
      <c r="E2164" s="14">
        <f>IF($B2164="","",IF(460&gt;NCapA,0,SUMIF(CalcDebit,INDEX(PkCapA,460),CalcAmt)+SUMIF(CalcDebit2,INDEX(PkCapA,460),CalcAmt2)))</f>
        <v/>
      </c>
      <c r="F2164" s="14">
        <f>IF($B2164="","",IF(460&gt;NCapA,0,SUMIF(CalcCredit,INDEX(PkCapA,460),CalcAmt)+SUMIF(CalcCredit2,INDEX(PkCapA,460),CalcAmt2)))</f>
        <v/>
      </c>
      <c r="G2164" s="15">
        <f>IF($B2164="","",ROUND($E2164-$F2164,0))</f>
        <v/>
      </c>
      <c r="H2164" s="12">
        <f>IF($B2164="","",IF(ROUND($G2164,0)&gt;0,"بدهکار",IF(ROUND($G2164,0)&lt;0,"بستانکار","تسویه")))</f>
        <v/>
      </c>
    </row>
    <row r="2165">
      <c r="A2165" s="16">
        <f>IF($B2165="","",2156)</f>
        <v/>
      </c>
      <c r="B2165" s="17">
        <f>IF(461&gt;NCapA,"",IFERROR(IF(VLOOKUP(INDEX(PkCapA,461),AcctTblA,4,0)="","(بدون نام)",VLOOKUP(INDEX(PkCapA,461),AcctTblA,4,0)),"—"))</f>
        <v/>
      </c>
      <c r="C2165" s="18">
        <f>IF($B2165="","",IF(461&gt;NCapA,"",INDEX(PkCapA,461)))</f>
        <v/>
      </c>
      <c r="D2165" s="17">
        <f>IF($B2165="","","c")</f>
        <v/>
      </c>
      <c r="E2165" s="19">
        <f>IF($B2165="","",IF(461&gt;NCapA,0,SUMIF(CalcDebit,INDEX(PkCapA,461),CalcAmt)+SUMIF(CalcDebit2,INDEX(PkCapA,461),CalcAmt2)))</f>
        <v/>
      </c>
      <c r="F2165" s="19">
        <f>IF($B2165="","",IF(461&gt;NCapA,0,SUMIF(CalcCredit,INDEX(PkCapA,461),CalcAmt)+SUMIF(CalcCredit2,INDEX(PkCapA,461),CalcAmt2)))</f>
        <v/>
      </c>
      <c r="G2165" s="20">
        <f>IF($B2165="","",ROUND($E2165-$F2165,0))</f>
        <v/>
      </c>
      <c r="H2165" s="17">
        <f>IF($B2165="","",IF(ROUND($G2165,0)&gt;0,"بدهکار",IF(ROUND($G2165,0)&lt;0,"بستانکار","تسویه")))</f>
        <v/>
      </c>
    </row>
    <row r="2166">
      <c r="A2166" s="11">
        <f>IF($B2166="","",2157)</f>
        <v/>
      </c>
      <c r="B2166" s="12">
        <f>IF(462&gt;NCapA,"",IFERROR(IF(VLOOKUP(INDEX(PkCapA,462),AcctTblA,4,0)="","(بدون نام)",VLOOKUP(INDEX(PkCapA,462),AcctTblA,4,0)),"—"))</f>
        <v/>
      </c>
      <c r="C2166" s="13">
        <f>IF($B2166="","",IF(462&gt;NCapA,"",INDEX(PkCapA,462)))</f>
        <v/>
      </c>
      <c r="D2166" s="12">
        <f>IF($B2166="","","c")</f>
        <v/>
      </c>
      <c r="E2166" s="14">
        <f>IF($B2166="","",IF(462&gt;NCapA,0,SUMIF(CalcDebit,INDEX(PkCapA,462),CalcAmt)+SUMIF(CalcDebit2,INDEX(PkCapA,462),CalcAmt2)))</f>
        <v/>
      </c>
      <c r="F2166" s="14">
        <f>IF($B2166="","",IF(462&gt;NCapA,0,SUMIF(CalcCredit,INDEX(PkCapA,462),CalcAmt)+SUMIF(CalcCredit2,INDEX(PkCapA,462),CalcAmt2)))</f>
        <v/>
      </c>
      <c r="G2166" s="15">
        <f>IF($B2166="","",ROUND($E2166-$F2166,0))</f>
        <v/>
      </c>
      <c r="H2166" s="12">
        <f>IF($B2166="","",IF(ROUND($G2166,0)&gt;0,"بدهکار",IF(ROUND($G2166,0)&lt;0,"بستانکار","تسویه")))</f>
        <v/>
      </c>
    </row>
    <row r="2167">
      <c r="A2167" s="16">
        <f>IF($B2167="","",2158)</f>
        <v/>
      </c>
      <c r="B2167" s="17">
        <f>IF(463&gt;NCapA,"",IFERROR(IF(VLOOKUP(INDEX(PkCapA,463),AcctTblA,4,0)="","(بدون نام)",VLOOKUP(INDEX(PkCapA,463),AcctTblA,4,0)),"—"))</f>
        <v/>
      </c>
      <c r="C2167" s="18">
        <f>IF($B2167="","",IF(463&gt;NCapA,"",INDEX(PkCapA,463)))</f>
        <v/>
      </c>
      <c r="D2167" s="17">
        <f>IF($B2167="","","c")</f>
        <v/>
      </c>
      <c r="E2167" s="19">
        <f>IF($B2167="","",IF(463&gt;NCapA,0,SUMIF(CalcDebit,INDEX(PkCapA,463),CalcAmt)+SUMIF(CalcDebit2,INDEX(PkCapA,463),CalcAmt2)))</f>
        <v/>
      </c>
      <c r="F2167" s="19">
        <f>IF($B2167="","",IF(463&gt;NCapA,0,SUMIF(CalcCredit,INDEX(PkCapA,463),CalcAmt)+SUMIF(CalcCredit2,INDEX(PkCapA,463),CalcAmt2)))</f>
        <v/>
      </c>
      <c r="G2167" s="20">
        <f>IF($B2167="","",ROUND($E2167-$F2167,0))</f>
        <v/>
      </c>
      <c r="H2167" s="17">
        <f>IF($B2167="","",IF(ROUND($G2167,0)&gt;0,"بدهکار",IF(ROUND($G2167,0)&lt;0,"بستانکار","تسویه")))</f>
        <v/>
      </c>
    </row>
    <row r="2168">
      <c r="A2168" s="11">
        <f>IF($B2168="","",2159)</f>
        <v/>
      </c>
      <c r="B2168" s="12">
        <f>IF(464&gt;NCapA,"",IFERROR(IF(VLOOKUP(INDEX(PkCapA,464),AcctTblA,4,0)="","(بدون نام)",VLOOKUP(INDEX(PkCapA,464),AcctTblA,4,0)),"—"))</f>
        <v/>
      </c>
      <c r="C2168" s="13">
        <f>IF($B2168="","",IF(464&gt;NCapA,"",INDEX(PkCapA,464)))</f>
        <v/>
      </c>
      <c r="D2168" s="12">
        <f>IF($B2168="","","c")</f>
        <v/>
      </c>
      <c r="E2168" s="14">
        <f>IF($B2168="","",IF(464&gt;NCapA,0,SUMIF(CalcDebit,INDEX(PkCapA,464),CalcAmt)+SUMIF(CalcDebit2,INDEX(PkCapA,464),CalcAmt2)))</f>
        <v/>
      </c>
      <c r="F2168" s="14">
        <f>IF($B2168="","",IF(464&gt;NCapA,0,SUMIF(CalcCredit,INDEX(PkCapA,464),CalcAmt)+SUMIF(CalcCredit2,INDEX(PkCapA,464),CalcAmt2)))</f>
        <v/>
      </c>
      <c r="G2168" s="15">
        <f>IF($B2168="","",ROUND($E2168-$F2168,0))</f>
        <v/>
      </c>
      <c r="H2168" s="12">
        <f>IF($B2168="","",IF(ROUND($G2168,0)&gt;0,"بدهکار",IF(ROUND($G2168,0)&lt;0,"بستانکار","تسویه")))</f>
        <v/>
      </c>
    </row>
    <row r="2169">
      <c r="A2169" s="16">
        <f>IF($B2169="","",2160)</f>
        <v/>
      </c>
      <c r="B2169" s="17">
        <f>IF(465&gt;NCapA,"",IFERROR(IF(VLOOKUP(INDEX(PkCapA,465),AcctTblA,4,0)="","(بدون نام)",VLOOKUP(INDEX(PkCapA,465),AcctTblA,4,0)),"—"))</f>
        <v/>
      </c>
      <c r="C2169" s="18">
        <f>IF($B2169="","",IF(465&gt;NCapA,"",INDEX(PkCapA,465)))</f>
        <v/>
      </c>
      <c r="D2169" s="17">
        <f>IF($B2169="","","c")</f>
        <v/>
      </c>
      <c r="E2169" s="19">
        <f>IF($B2169="","",IF(465&gt;NCapA,0,SUMIF(CalcDebit,INDEX(PkCapA,465),CalcAmt)+SUMIF(CalcDebit2,INDEX(PkCapA,465),CalcAmt2)))</f>
        <v/>
      </c>
      <c r="F2169" s="19">
        <f>IF($B2169="","",IF(465&gt;NCapA,0,SUMIF(CalcCredit,INDEX(PkCapA,465),CalcAmt)+SUMIF(CalcCredit2,INDEX(PkCapA,465),CalcAmt2)))</f>
        <v/>
      </c>
      <c r="G2169" s="20">
        <f>IF($B2169="","",ROUND($E2169-$F2169,0))</f>
        <v/>
      </c>
      <c r="H2169" s="17">
        <f>IF($B2169="","",IF(ROUND($G2169,0)&gt;0,"بدهکار",IF(ROUND($G2169,0)&lt;0,"بستانکار","تسویه")))</f>
        <v/>
      </c>
    </row>
    <row r="2170">
      <c r="A2170" s="11">
        <f>IF($B2170="","",2161)</f>
        <v/>
      </c>
      <c r="B2170" s="12">
        <f>IF(466&gt;NCapA,"",IFERROR(IF(VLOOKUP(INDEX(PkCapA,466),AcctTblA,4,0)="","(بدون نام)",VLOOKUP(INDEX(PkCapA,466),AcctTblA,4,0)),"—"))</f>
        <v/>
      </c>
      <c r="C2170" s="13">
        <f>IF($B2170="","",IF(466&gt;NCapA,"",INDEX(PkCapA,466)))</f>
        <v/>
      </c>
      <c r="D2170" s="12">
        <f>IF($B2170="","","c")</f>
        <v/>
      </c>
      <c r="E2170" s="14">
        <f>IF($B2170="","",IF(466&gt;NCapA,0,SUMIF(CalcDebit,INDEX(PkCapA,466),CalcAmt)+SUMIF(CalcDebit2,INDEX(PkCapA,466),CalcAmt2)))</f>
        <v/>
      </c>
      <c r="F2170" s="14">
        <f>IF($B2170="","",IF(466&gt;NCapA,0,SUMIF(CalcCredit,INDEX(PkCapA,466),CalcAmt)+SUMIF(CalcCredit2,INDEX(PkCapA,466),CalcAmt2)))</f>
        <v/>
      </c>
      <c r="G2170" s="15">
        <f>IF($B2170="","",ROUND($E2170-$F2170,0))</f>
        <v/>
      </c>
      <c r="H2170" s="12">
        <f>IF($B2170="","",IF(ROUND($G2170,0)&gt;0,"بدهکار",IF(ROUND($G2170,0)&lt;0,"بستانکار","تسویه")))</f>
        <v/>
      </c>
    </row>
    <row r="2171">
      <c r="A2171" s="16">
        <f>IF($B2171="","",2162)</f>
        <v/>
      </c>
      <c r="B2171" s="17">
        <f>IF(467&gt;NCapA,"",IFERROR(IF(VLOOKUP(INDEX(PkCapA,467),AcctTblA,4,0)="","(بدون نام)",VLOOKUP(INDEX(PkCapA,467),AcctTblA,4,0)),"—"))</f>
        <v/>
      </c>
      <c r="C2171" s="18">
        <f>IF($B2171="","",IF(467&gt;NCapA,"",INDEX(PkCapA,467)))</f>
        <v/>
      </c>
      <c r="D2171" s="17">
        <f>IF($B2171="","","c")</f>
        <v/>
      </c>
      <c r="E2171" s="19">
        <f>IF($B2171="","",IF(467&gt;NCapA,0,SUMIF(CalcDebit,INDEX(PkCapA,467),CalcAmt)+SUMIF(CalcDebit2,INDEX(PkCapA,467),CalcAmt2)))</f>
        <v/>
      </c>
      <c r="F2171" s="19">
        <f>IF($B2171="","",IF(467&gt;NCapA,0,SUMIF(CalcCredit,INDEX(PkCapA,467),CalcAmt)+SUMIF(CalcCredit2,INDEX(PkCapA,467),CalcAmt2)))</f>
        <v/>
      </c>
      <c r="G2171" s="20">
        <f>IF($B2171="","",ROUND($E2171-$F2171,0))</f>
        <v/>
      </c>
      <c r="H2171" s="17">
        <f>IF($B2171="","",IF(ROUND($G2171,0)&gt;0,"بدهکار",IF(ROUND($G2171,0)&lt;0,"بستانکار","تسویه")))</f>
        <v/>
      </c>
    </row>
    <row r="2172">
      <c r="A2172" s="11">
        <f>IF($B2172="","",2163)</f>
        <v/>
      </c>
      <c r="B2172" s="12">
        <f>IF(468&gt;NCapA,"",IFERROR(IF(VLOOKUP(INDEX(PkCapA,468),AcctTblA,4,0)="","(بدون نام)",VLOOKUP(INDEX(PkCapA,468),AcctTblA,4,0)),"—"))</f>
        <v/>
      </c>
      <c r="C2172" s="13">
        <f>IF($B2172="","",IF(468&gt;NCapA,"",INDEX(PkCapA,468)))</f>
        <v/>
      </c>
      <c r="D2172" s="12">
        <f>IF($B2172="","","c")</f>
        <v/>
      </c>
      <c r="E2172" s="14">
        <f>IF($B2172="","",IF(468&gt;NCapA,0,SUMIF(CalcDebit,INDEX(PkCapA,468),CalcAmt)+SUMIF(CalcDebit2,INDEX(PkCapA,468),CalcAmt2)))</f>
        <v/>
      </c>
      <c r="F2172" s="14">
        <f>IF($B2172="","",IF(468&gt;NCapA,0,SUMIF(CalcCredit,INDEX(PkCapA,468),CalcAmt)+SUMIF(CalcCredit2,INDEX(PkCapA,468),CalcAmt2)))</f>
        <v/>
      </c>
      <c r="G2172" s="15">
        <f>IF($B2172="","",ROUND($E2172-$F2172,0))</f>
        <v/>
      </c>
      <c r="H2172" s="12">
        <f>IF($B2172="","",IF(ROUND($G2172,0)&gt;0,"بدهکار",IF(ROUND($G2172,0)&lt;0,"بستانکار","تسویه")))</f>
        <v/>
      </c>
    </row>
    <row r="2173">
      <c r="A2173" s="16">
        <f>IF($B2173="","",2164)</f>
        <v/>
      </c>
      <c r="B2173" s="17">
        <f>IF(469&gt;NCapA,"",IFERROR(IF(VLOOKUP(INDEX(PkCapA,469),AcctTblA,4,0)="","(بدون نام)",VLOOKUP(INDEX(PkCapA,469),AcctTblA,4,0)),"—"))</f>
        <v/>
      </c>
      <c r="C2173" s="18">
        <f>IF($B2173="","",IF(469&gt;NCapA,"",INDEX(PkCapA,469)))</f>
        <v/>
      </c>
      <c r="D2173" s="17">
        <f>IF($B2173="","","c")</f>
        <v/>
      </c>
      <c r="E2173" s="19">
        <f>IF($B2173="","",IF(469&gt;NCapA,0,SUMIF(CalcDebit,INDEX(PkCapA,469),CalcAmt)+SUMIF(CalcDebit2,INDEX(PkCapA,469),CalcAmt2)))</f>
        <v/>
      </c>
      <c r="F2173" s="19">
        <f>IF($B2173="","",IF(469&gt;NCapA,0,SUMIF(CalcCredit,INDEX(PkCapA,469),CalcAmt)+SUMIF(CalcCredit2,INDEX(PkCapA,469),CalcAmt2)))</f>
        <v/>
      </c>
      <c r="G2173" s="20">
        <f>IF($B2173="","",ROUND($E2173-$F2173,0))</f>
        <v/>
      </c>
      <c r="H2173" s="17">
        <f>IF($B2173="","",IF(ROUND($G2173,0)&gt;0,"بدهکار",IF(ROUND($G2173,0)&lt;0,"بستانکار","تسویه")))</f>
        <v/>
      </c>
    </row>
    <row r="2174">
      <c r="A2174" s="11">
        <f>IF($B2174="","",2165)</f>
        <v/>
      </c>
      <c r="B2174" s="12">
        <f>IF(470&gt;NCapA,"",IFERROR(IF(VLOOKUP(INDEX(PkCapA,470),AcctTblA,4,0)="","(بدون نام)",VLOOKUP(INDEX(PkCapA,470),AcctTblA,4,0)),"—"))</f>
        <v/>
      </c>
      <c r="C2174" s="13">
        <f>IF($B2174="","",IF(470&gt;NCapA,"",INDEX(PkCapA,470)))</f>
        <v/>
      </c>
      <c r="D2174" s="12">
        <f>IF($B2174="","","c")</f>
        <v/>
      </c>
      <c r="E2174" s="14">
        <f>IF($B2174="","",IF(470&gt;NCapA,0,SUMIF(CalcDebit,INDEX(PkCapA,470),CalcAmt)+SUMIF(CalcDebit2,INDEX(PkCapA,470),CalcAmt2)))</f>
        <v/>
      </c>
      <c r="F2174" s="14">
        <f>IF($B2174="","",IF(470&gt;NCapA,0,SUMIF(CalcCredit,INDEX(PkCapA,470),CalcAmt)+SUMIF(CalcCredit2,INDEX(PkCapA,470),CalcAmt2)))</f>
        <v/>
      </c>
      <c r="G2174" s="15">
        <f>IF($B2174="","",ROUND($E2174-$F2174,0))</f>
        <v/>
      </c>
      <c r="H2174" s="12">
        <f>IF($B2174="","",IF(ROUND($G2174,0)&gt;0,"بدهکار",IF(ROUND($G2174,0)&lt;0,"بستانکار","تسویه")))</f>
        <v/>
      </c>
    </row>
    <row r="2175">
      <c r="A2175" s="16">
        <f>IF($B2175="","",2166)</f>
        <v/>
      </c>
      <c r="B2175" s="17">
        <f>IF(471&gt;NCapA,"",IFERROR(IF(VLOOKUP(INDEX(PkCapA,471),AcctTblA,4,0)="","(بدون نام)",VLOOKUP(INDEX(PkCapA,471),AcctTblA,4,0)),"—"))</f>
        <v/>
      </c>
      <c r="C2175" s="18">
        <f>IF($B2175="","",IF(471&gt;NCapA,"",INDEX(PkCapA,471)))</f>
        <v/>
      </c>
      <c r="D2175" s="17">
        <f>IF($B2175="","","c")</f>
        <v/>
      </c>
      <c r="E2175" s="19">
        <f>IF($B2175="","",IF(471&gt;NCapA,0,SUMIF(CalcDebit,INDEX(PkCapA,471),CalcAmt)+SUMIF(CalcDebit2,INDEX(PkCapA,471),CalcAmt2)))</f>
        <v/>
      </c>
      <c r="F2175" s="19">
        <f>IF($B2175="","",IF(471&gt;NCapA,0,SUMIF(CalcCredit,INDEX(PkCapA,471),CalcAmt)+SUMIF(CalcCredit2,INDEX(PkCapA,471),CalcAmt2)))</f>
        <v/>
      </c>
      <c r="G2175" s="20">
        <f>IF($B2175="","",ROUND($E2175-$F2175,0))</f>
        <v/>
      </c>
      <c r="H2175" s="17">
        <f>IF($B2175="","",IF(ROUND($G2175,0)&gt;0,"بدهکار",IF(ROUND($G2175,0)&lt;0,"بستانکار","تسویه")))</f>
        <v/>
      </c>
    </row>
    <row r="2176">
      <c r="A2176" s="11">
        <f>IF($B2176="","",2167)</f>
        <v/>
      </c>
      <c r="B2176" s="12">
        <f>IF(472&gt;NCapA,"",IFERROR(IF(VLOOKUP(INDEX(PkCapA,472),AcctTblA,4,0)="","(بدون نام)",VLOOKUP(INDEX(PkCapA,472),AcctTblA,4,0)),"—"))</f>
        <v/>
      </c>
      <c r="C2176" s="13">
        <f>IF($B2176="","",IF(472&gt;NCapA,"",INDEX(PkCapA,472)))</f>
        <v/>
      </c>
      <c r="D2176" s="12">
        <f>IF($B2176="","","c")</f>
        <v/>
      </c>
      <c r="E2176" s="14">
        <f>IF($B2176="","",IF(472&gt;NCapA,0,SUMIF(CalcDebit,INDEX(PkCapA,472),CalcAmt)+SUMIF(CalcDebit2,INDEX(PkCapA,472),CalcAmt2)))</f>
        <v/>
      </c>
      <c r="F2176" s="14">
        <f>IF($B2176="","",IF(472&gt;NCapA,0,SUMIF(CalcCredit,INDEX(PkCapA,472),CalcAmt)+SUMIF(CalcCredit2,INDEX(PkCapA,472),CalcAmt2)))</f>
        <v/>
      </c>
      <c r="G2176" s="15">
        <f>IF($B2176="","",ROUND($E2176-$F2176,0))</f>
        <v/>
      </c>
      <c r="H2176" s="12">
        <f>IF($B2176="","",IF(ROUND($G2176,0)&gt;0,"بدهکار",IF(ROUND($G2176,0)&lt;0,"بستانکار","تسویه")))</f>
        <v/>
      </c>
    </row>
    <row r="2177">
      <c r="A2177" s="16">
        <f>IF($B2177="","",2168)</f>
        <v/>
      </c>
      <c r="B2177" s="17">
        <f>IF(473&gt;NCapA,"",IFERROR(IF(VLOOKUP(INDEX(PkCapA,473),AcctTblA,4,0)="","(بدون نام)",VLOOKUP(INDEX(PkCapA,473),AcctTblA,4,0)),"—"))</f>
        <v/>
      </c>
      <c r="C2177" s="18">
        <f>IF($B2177="","",IF(473&gt;NCapA,"",INDEX(PkCapA,473)))</f>
        <v/>
      </c>
      <c r="D2177" s="17">
        <f>IF($B2177="","","c")</f>
        <v/>
      </c>
      <c r="E2177" s="19">
        <f>IF($B2177="","",IF(473&gt;NCapA,0,SUMIF(CalcDebit,INDEX(PkCapA,473),CalcAmt)+SUMIF(CalcDebit2,INDEX(PkCapA,473),CalcAmt2)))</f>
        <v/>
      </c>
      <c r="F2177" s="19">
        <f>IF($B2177="","",IF(473&gt;NCapA,0,SUMIF(CalcCredit,INDEX(PkCapA,473),CalcAmt)+SUMIF(CalcCredit2,INDEX(PkCapA,473),CalcAmt2)))</f>
        <v/>
      </c>
      <c r="G2177" s="20">
        <f>IF($B2177="","",ROUND($E2177-$F2177,0))</f>
        <v/>
      </c>
      <c r="H2177" s="17">
        <f>IF($B2177="","",IF(ROUND($G2177,0)&gt;0,"بدهکار",IF(ROUND($G2177,0)&lt;0,"بستانکار","تسویه")))</f>
        <v/>
      </c>
    </row>
    <row r="2178">
      <c r="A2178" s="11">
        <f>IF($B2178="","",2169)</f>
        <v/>
      </c>
      <c r="B2178" s="12">
        <f>IF(474&gt;NCapA,"",IFERROR(IF(VLOOKUP(INDEX(PkCapA,474),AcctTblA,4,0)="","(بدون نام)",VLOOKUP(INDEX(PkCapA,474),AcctTblA,4,0)),"—"))</f>
        <v/>
      </c>
      <c r="C2178" s="13">
        <f>IF($B2178="","",IF(474&gt;NCapA,"",INDEX(PkCapA,474)))</f>
        <v/>
      </c>
      <c r="D2178" s="12">
        <f>IF($B2178="","","c")</f>
        <v/>
      </c>
      <c r="E2178" s="14">
        <f>IF($B2178="","",IF(474&gt;NCapA,0,SUMIF(CalcDebit,INDEX(PkCapA,474),CalcAmt)+SUMIF(CalcDebit2,INDEX(PkCapA,474),CalcAmt2)))</f>
        <v/>
      </c>
      <c r="F2178" s="14">
        <f>IF($B2178="","",IF(474&gt;NCapA,0,SUMIF(CalcCredit,INDEX(PkCapA,474),CalcAmt)+SUMIF(CalcCredit2,INDEX(PkCapA,474),CalcAmt2)))</f>
        <v/>
      </c>
      <c r="G2178" s="15">
        <f>IF($B2178="","",ROUND($E2178-$F2178,0))</f>
        <v/>
      </c>
      <c r="H2178" s="12">
        <f>IF($B2178="","",IF(ROUND($G2178,0)&gt;0,"بدهکار",IF(ROUND($G2178,0)&lt;0,"بستانکار","تسویه")))</f>
        <v/>
      </c>
    </row>
    <row r="2179">
      <c r="A2179" s="16">
        <f>IF($B2179="","",2170)</f>
        <v/>
      </c>
      <c r="B2179" s="17">
        <f>IF(475&gt;NCapA,"",IFERROR(IF(VLOOKUP(INDEX(PkCapA,475),AcctTblA,4,0)="","(بدون نام)",VLOOKUP(INDEX(PkCapA,475),AcctTblA,4,0)),"—"))</f>
        <v/>
      </c>
      <c r="C2179" s="18">
        <f>IF($B2179="","",IF(475&gt;NCapA,"",INDEX(PkCapA,475)))</f>
        <v/>
      </c>
      <c r="D2179" s="17">
        <f>IF($B2179="","","c")</f>
        <v/>
      </c>
      <c r="E2179" s="19">
        <f>IF($B2179="","",IF(475&gt;NCapA,0,SUMIF(CalcDebit,INDEX(PkCapA,475),CalcAmt)+SUMIF(CalcDebit2,INDEX(PkCapA,475),CalcAmt2)))</f>
        <v/>
      </c>
      <c r="F2179" s="19">
        <f>IF($B2179="","",IF(475&gt;NCapA,0,SUMIF(CalcCredit,INDEX(PkCapA,475),CalcAmt)+SUMIF(CalcCredit2,INDEX(PkCapA,475),CalcAmt2)))</f>
        <v/>
      </c>
      <c r="G2179" s="20">
        <f>IF($B2179="","",ROUND($E2179-$F2179,0))</f>
        <v/>
      </c>
      <c r="H2179" s="17">
        <f>IF($B2179="","",IF(ROUND($G2179,0)&gt;0,"بدهکار",IF(ROUND($G2179,0)&lt;0,"بستانکار","تسویه")))</f>
        <v/>
      </c>
    </row>
    <row r="2180">
      <c r="A2180" s="11">
        <f>IF($B2180="","",2171)</f>
        <v/>
      </c>
      <c r="B2180" s="12">
        <f>IF(476&gt;NCapA,"",IFERROR(IF(VLOOKUP(INDEX(PkCapA,476),AcctTblA,4,0)="","(بدون نام)",VLOOKUP(INDEX(PkCapA,476),AcctTblA,4,0)),"—"))</f>
        <v/>
      </c>
      <c r="C2180" s="13">
        <f>IF($B2180="","",IF(476&gt;NCapA,"",INDEX(PkCapA,476)))</f>
        <v/>
      </c>
      <c r="D2180" s="12">
        <f>IF($B2180="","","c")</f>
        <v/>
      </c>
      <c r="E2180" s="14">
        <f>IF($B2180="","",IF(476&gt;NCapA,0,SUMIF(CalcDebit,INDEX(PkCapA,476),CalcAmt)+SUMIF(CalcDebit2,INDEX(PkCapA,476),CalcAmt2)))</f>
        <v/>
      </c>
      <c r="F2180" s="14">
        <f>IF($B2180="","",IF(476&gt;NCapA,0,SUMIF(CalcCredit,INDEX(PkCapA,476),CalcAmt)+SUMIF(CalcCredit2,INDEX(PkCapA,476),CalcAmt2)))</f>
        <v/>
      </c>
      <c r="G2180" s="15">
        <f>IF($B2180="","",ROUND($E2180-$F2180,0))</f>
        <v/>
      </c>
      <c r="H2180" s="12">
        <f>IF($B2180="","",IF(ROUND($G2180,0)&gt;0,"بدهکار",IF(ROUND($G2180,0)&lt;0,"بستانکار","تسویه")))</f>
        <v/>
      </c>
    </row>
    <row r="2181">
      <c r="A2181" s="16">
        <f>IF($B2181="","",2172)</f>
        <v/>
      </c>
      <c r="B2181" s="17">
        <f>IF(477&gt;NCapA,"",IFERROR(IF(VLOOKUP(INDEX(PkCapA,477),AcctTblA,4,0)="","(بدون نام)",VLOOKUP(INDEX(PkCapA,477),AcctTblA,4,0)),"—"))</f>
        <v/>
      </c>
      <c r="C2181" s="18">
        <f>IF($B2181="","",IF(477&gt;NCapA,"",INDEX(PkCapA,477)))</f>
        <v/>
      </c>
      <c r="D2181" s="17">
        <f>IF($B2181="","","c")</f>
        <v/>
      </c>
      <c r="E2181" s="19">
        <f>IF($B2181="","",IF(477&gt;NCapA,0,SUMIF(CalcDebit,INDEX(PkCapA,477),CalcAmt)+SUMIF(CalcDebit2,INDEX(PkCapA,477),CalcAmt2)))</f>
        <v/>
      </c>
      <c r="F2181" s="19">
        <f>IF($B2181="","",IF(477&gt;NCapA,0,SUMIF(CalcCredit,INDEX(PkCapA,477),CalcAmt)+SUMIF(CalcCredit2,INDEX(PkCapA,477),CalcAmt2)))</f>
        <v/>
      </c>
      <c r="G2181" s="20">
        <f>IF($B2181="","",ROUND($E2181-$F2181,0))</f>
        <v/>
      </c>
      <c r="H2181" s="17">
        <f>IF($B2181="","",IF(ROUND($G2181,0)&gt;0,"بدهکار",IF(ROUND($G2181,0)&lt;0,"بستانکار","تسویه")))</f>
        <v/>
      </c>
    </row>
    <row r="2182">
      <c r="A2182" s="11">
        <f>IF($B2182="","",2173)</f>
        <v/>
      </c>
      <c r="B2182" s="12">
        <f>IF(478&gt;NCapA,"",IFERROR(IF(VLOOKUP(INDEX(PkCapA,478),AcctTblA,4,0)="","(بدون نام)",VLOOKUP(INDEX(PkCapA,478),AcctTblA,4,0)),"—"))</f>
        <v/>
      </c>
      <c r="C2182" s="13">
        <f>IF($B2182="","",IF(478&gt;NCapA,"",INDEX(PkCapA,478)))</f>
        <v/>
      </c>
      <c r="D2182" s="12">
        <f>IF($B2182="","","c")</f>
        <v/>
      </c>
      <c r="E2182" s="14">
        <f>IF($B2182="","",IF(478&gt;NCapA,0,SUMIF(CalcDebit,INDEX(PkCapA,478),CalcAmt)+SUMIF(CalcDebit2,INDEX(PkCapA,478),CalcAmt2)))</f>
        <v/>
      </c>
      <c r="F2182" s="14">
        <f>IF($B2182="","",IF(478&gt;NCapA,0,SUMIF(CalcCredit,INDEX(PkCapA,478),CalcAmt)+SUMIF(CalcCredit2,INDEX(PkCapA,478),CalcAmt2)))</f>
        <v/>
      </c>
      <c r="G2182" s="15">
        <f>IF($B2182="","",ROUND($E2182-$F2182,0))</f>
        <v/>
      </c>
      <c r="H2182" s="12">
        <f>IF($B2182="","",IF(ROUND($G2182,0)&gt;0,"بدهکار",IF(ROUND($G2182,0)&lt;0,"بستانکار","تسویه")))</f>
        <v/>
      </c>
    </row>
    <row r="2183">
      <c r="A2183" s="16">
        <f>IF($B2183="","",2174)</f>
        <v/>
      </c>
      <c r="B2183" s="17">
        <f>IF(479&gt;NCapA,"",IFERROR(IF(VLOOKUP(INDEX(PkCapA,479),AcctTblA,4,0)="","(بدون نام)",VLOOKUP(INDEX(PkCapA,479),AcctTblA,4,0)),"—"))</f>
        <v/>
      </c>
      <c r="C2183" s="18">
        <f>IF($B2183="","",IF(479&gt;NCapA,"",INDEX(PkCapA,479)))</f>
        <v/>
      </c>
      <c r="D2183" s="17">
        <f>IF($B2183="","","c")</f>
        <v/>
      </c>
      <c r="E2183" s="19">
        <f>IF($B2183="","",IF(479&gt;NCapA,0,SUMIF(CalcDebit,INDEX(PkCapA,479),CalcAmt)+SUMIF(CalcDebit2,INDEX(PkCapA,479),CalcAmt2)))</f>
        <v/>
      </c>
      <c r="F2183" s="19">
        <f>IF($B2183="","",IF(479&gt;NCapA,0,SUMIF(CalcCredit,INDEX(PkCapA,479),CalcAmt)+SUMIF(CalcCredit2,INDEX(PkCapA,479),CalcAmt2)))</f>
        <v/>
      </c>
      <c r="G2183" s="20">
        <f>IF($B2183="","",ROUND($E2183-$F2183,0))</f>
        <v/>
      </c>
      <c r="H2183" s="17">
        <f>IF($B2183="","",IF(ROUND($G2183,0)&gt;0,"بدهکار",IF(ROUND($G2183,0)&lt;0,"بستانکار","تسویه")))</f>
        <v/>
      </c>
    </row>
    <row r="2184">
      <c r="A2184" s="11">
        <f>IF($B2184="","",2175)</f>
        <v/>
      </c>
      <c r="B2184" s="12">
        <f>IF(480&gt;NCapA,"",IFERROR(IF(VLOOKUP(INDEX(PkCapA,480),AcctTblA,4,0)="","(بدون نام)",VLOOKUP(INDEX(PkCapA,480),AcctTblA,4,0)),"—"))</f>
        <v/>
      </c>
      <c r="C2184" s="13">
        <f>IF($B2184="","",IF(480&gt;NCapA,"",INDEX(PkCapA,480)))</f>
        <v/>
      </c>
      <c r="D2184" s="12">
        <f>IF($B2184="","","c")</f>
        <v/>
      </c>
      <c r="E2184" s="14">
        <f>IF($B2184="","",IF(480&gt;NCapA,0,SUMIF(CalcDebit,INDEX(PkCapA,480),CalcAmt)+SUMIF(CalcDebit2,INDEX(PkCapA,480),CalcAmt2)))</f>
        <v/>
      </c>
      <c r="F2184" s="14">
        <f>IF($B2184="","",IF(480&gt;NCapA,0,SUMIF(CalcCredit,INDEX(PkCapA,480),CalcAmt)+SUMIF(CalcCredit2,INDEX(PkCapA,480),CalcAmt2)))</f>
        <v/>
      </c>
      <c r="G2184" s="15">
        <f>IF($B2184="","",ROUND($E2184-$F2184,0))</f>
        <v/>
      </c>
      <c r="H2184" s="12">
        <f>IF($B2184="","",IF(ROUND($G2184,0)&gt;0,"بدهکار",IF(ROUND($G2184,0)&lt;0,"بستانکار","تسویه")))</f>
        <v/>
      </c>
    </row>
    <row r="2185">
      <c r="A2185" s="16">
        <f>IF($B2185="","",2176)</f>
        <v/>
      </c>
      <c r="B2185" s="17">
        <f>IF(481&gt;NCapA,"",IFERROR(IF(VLOOKUP(INDEX(PkCapA,481),AcctTblA,4,0)="","(بدون نام)",VLOOKUP(INDEX(PkCapA,481),AcctTblA,4,0)),"—"))</f>
        <v/>
      </c>
      <c r="C2185" s="18">
        <f>IF($B2185="","",IF(481&gt;NCapA,"",INDEX(PkCapA,481)))</f>
        <v/>
      </c>
      <c r="D2185" s="17">
        <f>IF($B2185="","","c")</f>
        <v/>
      </c>
      <c r="E2185" s="19">
        <f>IF($B2185="","",IF(481&gt;NCapA,0,SUMIF(CalcDebit,INDEX(PkCapA,481),CalcAmt)+SUMIF(CalcDebit2,INDEX(PkCapA,481),CalcAmt2)))</f>
        <v/>
      </c>
      <c r="F2185" s="19">
        <f>IF($B2185="","",IF(481&gt;NCapA,0,SUMIF(CalcCredit,INDEX(PkCapA,481),CalcAmt)+SUMIF(CalcCredit2,INDEX(PkCapA,481),CalcAmt2)))</f>
        <v/>
      </c>
      <c r="G2185" s="20">
        <f>IF($B2185="","",ROUND($E2185-$F2185,0))</f>
        <v/>
      </c>
      <c r="H2185" s="17">
        <f>IF($B2185="","",IF(ROUND($G2185,0)&gt;0,"بدهکار",IF(ROUND($G2185,0)&lt;0,"بستانکار","تسویه")))</f>
        <v/>
      </c>
    </row>
    <row r="2186">
      <c r="A2186" s="11">
        <f>IF($B2186="","",2177)</f>
        <v/>
      </c>
      <c r="B2186" s="12">
        <f>IF(482&gt;NCapA,"",IFERROR(IF(VLOOKUP(INDEX(PkCapA,482),AcctTblA,4,0)="","(بدون نام)",VLOOKUP(INDEX(PkCapA,482),AcctTblA,4,0)),"—"))</f>
        <v/>
      </c>
      <c r="C2186" s="13">
        <f>IF($B2186="","",IF(482&gt;NCapA,"",INDEX(PkCapA,482)))</f>
        <v/>
      </c>
      <c r="D2186" s="12">
        <f>IF($B2186="","","c")</f>
        <v/>
      </c>
      <c r="E2186" s="14">
        <f>IF($B2186="","",IF(482&gt;NCapA,0,SUMIF(CalcDebit,INDEX(PkCapA,482),CalcAmt)+SUMIF(CalcDebit2,INDEX(PkCapA,482),CalcAmt2)))</f>
        <v/>
      </c>
      <c r="F2186" s="14">
        <f>IF($B2186="","",IF(482&gt;NCapA,0,SUMIF(CalcCredit,INDEX(PkCapA,482),CalcAmt)+SUMIF(CalcCredit2,INDEX(PkCapA,482),CalcAmt2)))</f>
        <v/>
      </c>
      <c r="G2186" s="15">
        <f>IF($B2186="","",ROUND($E2186-$F2186,0))</f>
        <v/>
      </c>
      <c r="H2186" s="12">
        <f>IF($B2186="","",IF(ROUND($G2186,0)&gt;0,"بدهکار",IF(ROUND($G2186,0)&lt;0,"بستانکار","تسویه")))</f>
        <v/>
      </c>
    </row>
    <row r="2187">
      <c r="A2187" s="16">
        <f>IF($B2187="","",2178)</f>
        <v/>
      </c>
      <c r="B2187" s="17">
        <f>IF(483&gt;NCapA,"",IFERROR(IF(VLOOKUP(INDEX(PkCapA,483),AcctTblA,4,0)="","(بدون نام)",VLOOKUP(INDEX(PkCapA,483),AcctTblA,4,0)),"—"))</f>
        <v/>
      </c>
      <c r="C2187" s="18">
        <f>IF($B2187="","",IF(483&gt;NCapA,"",INDEX(PkCapA,483)))</f>
        <v/>
      </c>
      <c r="D2187" s="17">
        <f>IF($B2187="","","c")</f>
        <v/>
      </c>
      <c r="E2187" s="19">
        <f>IF($B2187="","",IF(483&gt;NCapA,0,SUMIF(CalcDebit,INDEX(PkCapA,483),CalcAmt)+SUMIF(CalcDebit2,INDEX(PkCapA,483),CalcAmt2)))</f>
        <v/>
      </c>
      <c r="F2187" s="19">
        <f>IF($B2187="","",IF(483&gt;NCapA,0,SUMIF(CalcCredit,INDEX(PkCapA,483),CalcAmt)+SUMIF(CalcCredit2,INDEX(PkCapA,483),CalcAmt2)))</f>
        <v/>
      </c>
      <c r="G2187" s="20">
        <f>IF($B2187="","",ROUND($E2187-$F2187,0))</f>
        <v/>
      </c>
      <c r="H2187" s="17">
        <f>IF($B2187="","",IF(ROUND($G2187,0)&gt;0,"بدهکار",IF(ROUND($G2187,0)&lt;0,"بستانکار","تسویه")))</f>
        <v/>
      </c>
    </row>
    <row r="2188">
      <c r="A2188" s="11">
        <f>IF($B2188="","",2179)</f>
        <v/>
      </c>
      <c r="B2188" s="12">
        <f>IF(484&gt;NCapA,"",IFERROR(IF(VLOOKUP(INDEX(PkCapA,484),AcctTblA,4,0)="","(بدون نام)",VLOOKUP(INDEX(PkCapA,484),AcctTblA,4,0)),"—"))</f>
        <v/>
      </c>
      <c r="C2188" s="13">
        <f>IF($B2188="","",IF(484&gt;NCapA,"",INDEX(PkCapA,484)))</f>
        <v/>
      </c>
      <c r="D2188" s="12">
        <f>IF($B2188="","","c")</f>
        <v/>
      </c>
      <c r="E2188" s="14">
        <f>IF($B2188="","",IF(484&gt;NCapA,0,SUMIF(CalcDebit,INDEX(PkCapA,484),CalcAmt)+SUMIF(CalcDebit2,INDEX(PkCapA,484),CalcAmt2)))</f>
        <v/>
      </c>
      <c r="F2188" s="14">
        <f>IF($B2188="","",IF(484&gt;NCapA,0,SUMIF(CalcCredit,INDEX(PkCapA,484),CalcAmt)+SUMIF(CalcCredit2,INDEX(PkCapA,484),CalcAmt2)))</f>
        <v/>
      </c>
      <c r="G2188" s="15">
        <f>IF($B2188="","",ROUND($E2188-$F2188,0))</f>
        <v/>
      </c>
      <c r="H2188" s="12">
        <f>IF($B2188="","",IF(ROUND($G2188,0)&gt;0,"بدهکار",IF(ROUND($G2188,0)&lt;0,"بستانکار","تسویه")))</f>
        <v/>
      </c>
    </row>
    <row r="2189">
      <c r="A2189" s="16">
        <f>IF($B2189="","",2180)</f>
        <v/>
      </c>
      <c r="B2189" s="17">
        <f>IF(485&gt;NCapA,"",IFERROR(IF(VLOOKUP(INDEX(PkCapA,485),AcctTblA,4,0)="","(بدون نام)",VLOOKUP(INDEX(PkCapA,485),AcctTblA,4,0)),"—"))</f>
        <v/>
      </c>
      <c r="C2189" s="18">
        <f>IF($B2189="","",IF(485&gt;NCapA,"",INDEX(PkCapA,485)))</f>
        <v/>
      </c>
      <c r="D2189" s="17">
        <f>IF($B2189="","","c")</f>
        <v/>
      </c>
      <c r="E2189" s="19">
        <f>IF($B2189="","",IF(485&gt;NCapA,0,SUMIF(CalcDebit,INDEX(PkCapA,485),CalcAmt)+SUMIF(CalcDebit2,INDEX(PkCapA,485),CalcAmt2)))</f>
        <v/>
      </c>
      <c r="F2189" s="19">
        <f>IF($B2189="","",IF(485&gt;NCapA,0,SUMIF(CalcCredit,INDEX(PkCapA,485),CalcAmt)+SUMIF(CalcCredit2,INDEX(PkCapA,485),CalcAmt2)))</f>
        <v/>
      </c>
      <c r="G2189" s="20">
        <f>IF($B2189="","",ROUND($E2189-$F2189,0))</f>
        <v/>
      </c>
      <c r="H2189" s="17">
        <f>IF($B2189="","",IF(ROUND($G2189,0)&gt;0,"بدهکار",IF(ROUND($G2189,0)&lt;0,"بستانکار","تسویه")))</f>
        <v/>
      </c>
    </row>
    <row r="2190">
      <c r="A2190" s="11">
        <f>IF($B2190="","",2181)</f>
        <v/>
      </c>
      <c r="B2190" s="12">
        <f>IF(486&gt;NCapA,"",IFERROR(IF(VLOOKUP(INDEX(PkCapA,486),AcctTblA,4,0)="","(بدون نام)",VLOOKUP(INDEX(PkCapA,486),AcctTblA,4,0)),"—"))</f>
        <v/>
      </c>
      <c r="C2190" s="13">
        <f>IF($B2190="","",IF(486&gt;NCapA,"",INDEX(PkCapA,486)))</f>
        <v/>
      </c>
      <c r="D2190" s="12">
        <f>IF($B2190="","","c")</f>
        <v/>
      </c>
      <c r="E2190" s="14">
        <f>IF($B2190="","",IF(486&gt;NCapA,0,SUMIF(CalcDebit,INDEX(PkCapA,486),CalcAmt)+SUMIF(CalcDebit2,INDEX(PkCapA,486),CalcAmt2)))</f>
        <v/>
      </c>
      <c r="F2190" s="14">
        <f>IF($B2190="","",IF(486&gt;NCapA,0,SUMIF(CalcCredit,INDEX(PkCapA,486),CalcAmt)+SUMIF(CalcCredit2,INDEX(PkCapA,486),CalcAmt2)))</f>
        <v/>
      </c>
      <c r="G2190" s="15">
        <f>IF($B2190="","",ROUND($E2190-$F2190,0))</f>
        <v/>
      </c>
      <c r="H2190" s="12">
        <f>IF($B2190="","",IF(ROUND($G2190,0)&gt;0,"بدهکار",IF(ROUND($G2190,0)&lt;0,"بستانکار","تسویه")))</f>
        <v/>
      </c>
    </row>
    <row r="2191">
      <c r="A2191" s="16">
        <f>IF($B2191="","",2182)</f>
        <v/>
      </c>
      <c r="B2191" s="17">
        <f>IF(487&gt;NCapA,"",IFERROR(IF(VLOOKUP(INDEX(PkCapA,487),AcctTblA,4,0)="","(بدون نام)",VLOOKUP(INDEX(PkCapA,487),AcctTblA,4,0)),"—"))</f>
        <v/>
      </c>
      <c r="C2191" s="18">
        <f>IF($B2191="","",IF(487&gt;NCapA,"",INDEX(PkCapA,487)))</f>
        <v/>
      </c>
      <c r="D2191" s="17">
        <f>IF($B2191="","","c")</f>
        <v/>
      </c>
      <c r="E2191" s="19">
        <f>IF($B2191="","",IF(487&gt;NCapA,0,SUMIF(CalcDebit,INDEX(PkCapA,487),CalcAmt)+SUMIF(CalcDebit2,INDEX(PkCapA,487),CalcAmt2)))</f>
        <v/>
      </c>
      <c r="F2191" s="19">
        <f>IF($B2191="","",IF(487&gt;NCapA,0,SUMIF(CalcCredit,INDEX(PkCapA,487),CalcAmt)+SUMIF(CalcCredit2,INDEX(PkCapA,487),CalcAmt2)))</f>
        <v/>
      </c>
      <c r="G2191" s="20">
        <f>IF($B2191="","",ROUND($E2191-$F2191,0))</f>
        <v/>
      </c>
      <c r="H2191" s="17">
        <f>IF($B2191="","",IF(ROUND($G2191,0)&gt;0,"بدهکار",IF(ROUND($G2191,0)&lt;0,"بستانکار","تسویه")))</f>
        <v/>
      </c>
    </row>
    <row r="2192">
      <c r="A2192" s="11">
        <f>IF($B2192="","",2183)</f>
        <v/>
      </c>
      <c r="B2192" s="12">
        <f>IF(488&gt;NCapA,"",IFERROR(IF(VLOOKUP(INDEX(PkCapA,488),AcctTblA,4,0)="","(بدون نام)",VLOOKUP(INDEX(PkCapA,488),AcctTblA,4,0)),"—"))</f>
        <v/>
      </c>
      <c r="C2192" s="13">
        <f>IF($B2192="","",IF(488&gt;NCapA,"",INDEX(PkCapA,488)))</f>
        <v/>
      </c>
      <c r="D2192" s="12">
        <f>IF($B2192="","","c")</f>
        <v/>
      </c>
      <c r="E2192" s="14">
        <f>IF($B2192="","",IF(488&gt;NCapA,0,SUMIF(CalcDebit,INDEX(PkCapA,488),CalcAmt)+SUMIF(CalcDebit2,INDEX(PkCapA,488),CalcAmt2)))</f>
        <v/>
      </c>
      <c r="F2192" s="14">
        <f>IF($B2192="","",IF(488&gt;NCapA,0,SUMIF(CalcCredit,INDEX(PkCapA,488),CalcAmt)+SUMIF(CalcCredit2,INDEX(PkCapA,488),CalcAmt2)))</f>
        <v/>
      </c>
      <c r="G2192" s="15">
        <f>IF($B2192="","",ROUND($E2192-$F2192,0))</f>
        <v/>
      </c>
      <c r="H2192" s="12">
        <f>IF($B2192="","",IF(ROUND($G2192,0)&gt;0,"بدهکار",IF(ROUND($G2192,0)&lt;0,"بستانکار","تسویه")))</f>
        <v/>
      </c>
    </row>
    <row r="2193">
      <c r="A2193" s="16">
        <f>IF($B2193="","",2184)</f>
        <v/>
      </c>
      <c r="B2193" s="17">
        <f>IF(489&gt;NCapA,"",IFERROR(IF(VLOOKUP(INDEX(PkCapA,489),AcctTblA,4,0)="","(بدون نام)",VLOOKUP(INDEX(PkCapA,489),AcctTblA,4,0)),"—"))</f>
        <v/>
      </c>
      <c r="C2193" s="18">
        <f>IF($B2193="","",IF(489&gt;NCapA,"",INDEX(PkCapA,489)))</f>
        <v/>
      </c>
      <c r="D2193" s="17">
        <f>IF($B2193="","","c")</f>
        <v/>
      </c>
      <c r="E2193" s="19">
        <f>IF($B2193="","",IF(489&gt;NCapA,0,SUMIF(CalcDebit,INDEX(PkCapA,489),CalcAmt)+SUMIF(CalcDebit2,INDEX(PkCapA,489),CalcAmt2)))</f>
        <v/>
      </c>
      <c r="F2193" s="19">
        <f>IF($B2193="","",IF(489&gt;NCapA,0,SUMIF(CalcCredit,INDEX(PkCapA,489),CalcAmt)+SUMIF(CalcCredit2,INDEX(PkCapA,489),CalcAmt2)))</f>
        <v/>
      </c>
      <c r="G2193" s="20">
        <f>IF($B2193="","",ROUND($E2193-$F2193,0))</f>
        <v/>
      </c>
      <c r="H2193" s="17">
        <f>IF($B2193="","",IF(ROUND($G2193,0)&gt;0,"بدهکار",IF(ROUND($G2193,0)&lt;0,"بستانکار","تسویه")))</f>
        <v/>
      </c>
    </row>
    <row r="2194">
      <c r="A2194" s="11">
        <f>IF($B2194="","",2185)</f>
        <v/>
      </c>
      <c r="B2194" s="12">
        <f>IF(490&gt;NCapA,"",IFERROR(IF(VLOOKUP(INDEX(PkCapA,490),AcctTblA,4,0)="","(بدون نام)",VLOOKUP(INDEX(PkCapA,490),AcctTblA,4,0)),"—"))</f>
        <v/>
      </c>
      <c r="C2194" s="13">
        <f>IF($B2194="","",IF(490&gt;NCapA,"",INDEX(PkCapA,490)))</f>
        <v/>
      </c>
      <c r="D2194" s="12">
        <f>IF($B2194="","","c")</f>
        <v/>
      </c>
      <c r="E2194" s="14">
        <f>IF($B2194="","",IF(490&gt;NCapA,0,SUMIF(CalcDebit,INDEX(PkCapA,490),CalcAmt)+SUMIF(CalcDebit2,INDEX(PkCapA,490),CalcAmt2)))</f>
        <v/>
      </c>
      <c r="F2194" s="14">
        <f>IF($B2194="","",IF(490&gt;NCapA,0,SUMIF(CalcCredit,INDEX(PkCapA,490),CalcAmt)+SUMIF(CalcCredit2,INDEX(PkCapA,490),CalcAmt2)))</f>
        <v/>
      </c>
      <c r="G2194" s="15">
        <f>IF($B2194="","",ROUND($E2194-$F2194,0))</f>
        <v/>
      </c>
      <c r="H2194" s="12">
        <f>IF($B2194="","",IF(ROUND($G2194,0)&gt;0,"بدهکار",IF(ROUND($G2194,0)&lt;0,"بستانکار","تسویه")))</f>
        <v/>
      </c>
    </row>
    <row r="2195">
      <c r="A2195" s="16">
        <f>IF($B2195="","",2186)</f>
        <v/>
      </c>
      <c r="B2195" s="17">
        <f>IF(491&gt;NCapA,"",IFERROR(IF(VLOOKUP(INDEX(PkCapA,491),AcctTblA,4,0)="","(بدون نام)",VLOOKUP(INDEX(PkCapA,491),AcctTblA,4,0)),"—"))</f>
        <v/>
      </c>
      <c r="C2195" s="18">
        <f>IF($B2195="","",IF(491&gt;NCapA,"",INDEX(PkCapA,491)))</f>
        <v/>
      </c>
      <c r="D2195" s="17">
        <f>IF($B2195="","","c")</f>
        <v/>
      </c>
      <c r="E2195" s="19">
        <f>IF($B2195="","",IF(491&gt;NCapA,0,SUMIF(CalcDebit,INDEX(PkCapA,491),CalcAmt)+SUMIF(CalcDebit2,INDEX(PkCapA,491),CalcAmt2)))</f>
        <v/>
      </c>
      <c r="F2195" s="19">
        <f>IF($B2195="","",IF(491&gt;NCapA,0,SUMIF(CalcCredit,INDEX(PkCapA,491),CalcAmt)+SUMIF(CalcCredit2,INDEX(PkCapA,491),CalcAmt2)))</f>
        <v/>
      </c>
      <c r="G2195" s="20">
        <f>IF($B2195="","",ROUND($E2195-$F2195,0))</f>
        <v/>
      </c>
      <c r="H2195" s="17">
        <f>IF($B2195="","",IF(ROUND($G2195,0)&gt;0,"بدهکار",IF(ROUND($G2195,0)&lt;0,"بستانکار","تسویه")))</f>
        <v/>
      </c>
    </row>
    <row r="2196">
      <c r="A2196" s="11">
        <f>IF($B2196="","",2187)</f>
        <v/>
      </c>
      <c r="B2196" s="12">
        <f>IF(492&gt;NCapA,"",IFERROR(IF(VLOOKUP(INDEX(PkCapA,492),AcctTblA,4,0)="","(بدون نام)",VLOOKUP(INDEX(PkCapA,492),AcctTblA,4,0)),"—"))</f>
        <v/>
      </c>
      <c r="C2196" s="13">
        <f>IF($B2196="","",IF(492&gt;NCapA,"",INDEX(PkCapA,492)))</f>
        <v/>
      </c>
      <c r="D2196" s="12">
        <f>IF($B2196="","","c")</f>
        <v/>
      </c>
      <c r="E2196" s="14">
        <f>IF($B2196="","",IF(492&gt;NCapA,0,SUMIF(CalcDebit,INDEX(PkCapA,492),CalcAmt)+SUMIF(CalcDebit2,INDEX(PkCapA,492),CalcAmt2)))</f>
        <v/>
      </c>
      <c r="F2196" s="14">
        <f>IF($B2196="","",IF(492&gt;NCapA,0,SUMIF(CalcCredit,INDEX(PkCapA,492),CalcAmt)+SUMIF(CalcCredit2,INDEX(PkCapA,492),CalcAmt2)))</f>
        <v/>
      </c>
      <c r="G2196" s="15">
        <f>IF($B2196="","",ROUND($E2196-$F2196,0))</f>
        <v/>
      </c>
      <c r="H2196" s="12">
        <f>IF($B2196="","",IF(ROUND($G2196,0)&gt;0,"بدهکار",IF(ROUND($G2196,0)&lt;0,"بستانکار","تسویه")))</f>
        <v/>
      </c>
    </row>
    <row r="2197">
      <c r="A2197" s="16">
        <f>IF($B2197="","",2188)</f>
        <v/>
      </c>
      <c r="B2197" s="17">
        <f>IF(493&gt;NCapA,"",IFERROR(IF(VLOOKUP(INDEX(PkCapA,493),AcctTblA,4,0)="","(بدون نام)",VLOOKUP(INDEX(PkCapA,493),AcctTblA,4,0)),"—"))</f>
        <v/>
      </c>
      <c r="C2197" s="18">
        <f>IF($B2197="","",IF(493&gt;NCapA,"",INDEX(PkCapA,493)))</f>
        <v/>
      </c>
      <c r="D2197" s="17">
        <f>IF($B2197="","","c")</f>
        <v/>
      </c>
      <c r="E2197" s="19">
        <f>IF($B2197="","",IF(493&gt;NCapA,0,SUMIF(CalcDebit,INDEX(PkCapA,493),CalcAmt)+SUMIF(CalcDebit2,INDEX(PkCapA,493),CalcAmt2)))</f>
        <v/>
      </c>
      <c r="F2197" s="19">
        <f>IF($B2197="","",IF(493&gt;NCapA,0,SUMIF(CalcCredit,INDEX(PkCapA,493),CalcAmt)+SUMIF(CalcCredit2,INDEX(PkCapA,493),CalcAmt2)))</f>
        <v/>
      </c>
      <c r="G2197" s="20">
        <f>IF($B2197="","",ROUND($E2197-$F2197,0))</f>
        <v/>
      </c>
      <c r="H2197" s="17">
        <f>IF($B2197="","",IF(ROUND($G2197,0)&gt;0,"بدهکار",IF(ROUND($G2197,0)&lt;0,"بستانکار","تسویه")))</f>
        <v/>
      </c>
    </row>
    <row r="2198">
      <c r="A2198" s="11">
        <f>IF($B2198="","",2189)</f>
        <v/>
      </c>
      <c r="B2198" s="12">
        <f>IF(494&gt;NCapA,"",IFERROR(IF(VLOOKUP(INDEX(PkCapA,494),AcctTblA,4,0)="","(بدون نام)",VLOOKUP(INDEX(PkCapA,494),AcctTblA,4,0)),"—"))</f>
        <v/>
      </c>
      <c r="C2198" s="13">
        <f>IF($B2198="","",IF(494&gt;NCapA,"",INDEX(PkCapA,494)))</f>
        <v/>
      </c>
      <c r="D2198" s="12">
        <f>IF($B2198="","","c")</f>
        <v/>
      </c>
      <c r="E2198" s="14">
        <f>IF($B2198="","",IF(494&gt;NCapA,0,SUMIF(CalcDebit,INDEX(PkCapA,494),CalcAmt)+SUMIF(CalcDebit2,INDEX(PkCapA,494),CalcAmt2)))</f>
        <v/>
      </c>
      <c r="F2198" s="14">
        <f>IF($B2198="","",IF(494&gt;NCapA,0,SUMIF(CalcCredit,INDEX(PkCapA,494),CalcAmt)+SUMIF(CalcCredit2,INDEX(PkCapA,494),CalcAmt2)))</f>
        <v/>
      </c>
      <c r="G2198" s="15">
        <f>IF($B2198="","",ROUND($E2198-$F2198,0))</f>
        <v/>
      </c>
      <c r="H2198" s="12">
        <f>IF($B2198="","",IF(ROUND($G2198,0)&gt;0,"بدهکار",IF(ROUND($G2198,0)&lt;0,"بستانکار","تسویه")))</f>
        <v/>
      </c>
    </row>
    <row r="2199">
      <c r="A2199" s="16">
        <f>IF($B2199="","",2190)</f>
        <v/>
      </c>
      <c r="B2199" s="17">
        <f>IF(495&gt;NCapA,"",IFERROR(IF(VLOOKUP(INDEX(PkCapA,495),AcctTblA,4,0)="","(بدون نام)",VLOOKUP(INDEX(PkCapA,495),AcctTblA,4,0)),"—"))</f>
        <v/>
      </c>
      <c r="C2199" s="18">
        <f>IF($B2199="","",IF(495&gt;NCapA,"",INDEX(PkCapA,495)))</f>
        <v/>
      </c>
      <c r="D2199" s="17">
        <f>IF($B2199="","","c")</f>
        <v/>
      </c>
      <c r="E2199" s="19">
        <f>IF($B2199="","",IF(495&gt;NCapA,0,SUMIF(CalcDebit,INDEX(PkCapA,495),CalcAmt)+SUMIF(CalcDebit2,INDEX(PkCapA,495),CalcAmt2)))</f>
        <v/>
      </c>
      <c r="F2199" s="19">
        <f>IF($B2199="","",IF(495&gt;NCapA,0,SUMIF(CalcCredit,INDEX(PkCapA,495),CalcAmt)+SUMIF(CalcCredit2,INDEX(PkCapA,495),CalcAmt2)))</f>
        <v/>
      </c>
      <c r="G2199" s="20">
        <f>IF($B2199="","",ROUND($E2199-$F2199,0))</f>
        <v/>
      </c>
      <c r="H2199" s="17">
        <f>IF($B2199="","",IF(ROUND($G2199,0)&gt;0,"بدهکار",IF(ROUND($G2199,0)&lt;0,"بستانکار","تسویه")))</f>
        <v/>
      </c>
    </row>
    <row r="2200">
      <c r="A2200" s="11">
        <f>IF($B2200="","",2191)</f>
        <v/>
      </c>
      <c r="B2200" s="12">
        <f>IF(496&gt;NCapA,"",IFERROR(IF(VLOOKUP(INDEX(PkCapA,496),AcctTblA,4,0)="","(بدون نام)",VLOOKUP(INDEX(PkCapA,496),AcctTblA,4,0)),"—"))</f>
        <v/>
      </c>
      <c r="C2200" s="13">
        <f>IF($B2200="","",IF(496&gt;NCapA,"",INDEX(PkCapA,496)))</f>
        <v/>
      </c>
      <c r="D2200" s="12">
        <f>IF($B2200="","","c")</f>
        <v/>
      </c>
      <c r="E2200" s="14">
        <f>IF($B2200="","",IF(496&gt;NCapA,0,SUMIF(CalcDebit,INDEX(PkCapA,496),CalcAmt)+SUMIF(CalcDebit2,INDEX(PkCapA,496),CalcAmt2)))</f>
        <v/>
      </c>
      <c r="F2200" s="14">
        <f>IF($B2200="","",IF(496&gt;NCapA,0,SUMIF(CalcCredit,INDEX(PkCapA,496),CalcAmt)+SUMIF(CalcCredit2,INDEX(PkCapA,496),CalcAmt2)))</f>
        <v/>
      </c>
      <c r="G2200" s="15">
        <f>IF($B2200="","",ROUND($E2200-$F2200,0))</f>
        <v/>
      </c>
      <c r="H2200" s="12">
        <f>IF($B2200="","",IF(ROUND($G2200,0)&gt;0,"بدهکار",IF(ROUND($G2200,0)&lt;0,"بستانکار","تسویه")))</f>
        <v/>
      </c>
    </row>
    <row r="2201">
      <c r="A2201" s="16">
        <f>IF($B2201="","",2192)</f>
        <v/>
      </c>
      <c r="B2201" s="17">
        <f>IF(497&gt;NCapA,"",IFERROR(IF(VLOOKUP(INDEX(PkCapA,497),AcctTblA,4,0)="","(بدون نام)",VLOOKUP(INDEX(PkCapA,497),AcctTblA,4,0)),"—"))</f>
        <v/>
      </c>
      <c r="C2201" s="18">
        <f>IF($B2201="","",IF(497&gt;NCapA,"",INDEX(PkCapA,497)))</f>
        <v/>
      </c>
      <c r="D2201" s="17">
        <f>IF($B2201="","","c")</f>
        <v/>
      </c>
      <c r="E2201" s="19">
        <f>IF($B2201="","",IF(497&gt;NCapA,0,SUMIF(CalcDebit,INDEX(PkCapA,497),CalcAmt)+SUMIF(CalcDebit2,INDEX(PkCapA,497),CalcAmt2)))</f>
        <v/>
      </c>
      <c r="F2201" s="19">
        <f>IF($B2201="","",IF(497&gt;NCapA,0,SUMIF(CalcCredit,INDEX(PkCapA,497),CalcAmt)+SUMIF(CalcCredit2,INDEX(PkCapA,497),CalcAmt2)))</f>
        <v/>
      </c>
      <c r="G2201" s="20">
        <f>IF($B2201="","",ROUND($E2201-$F2201,0))</f>
        <v/>
      </c>
      <c r="H2201" s="17">
        <f>IF($B2201="","",IF(ROUND($G2201,0)&gt;0,"بدهکار",IF(ROUND($G2201,0)&lt;0,"بستانکار","تسویه")))</f>
        <v/>
      </c>
    </row>
    <row r="2202">
      <c r="A2202" s="11">
        <f>IF($B2202="","",2193)</f>
        <v/>
      </c>
      <c r="B2202" s="12">
        <f>IF(498&gt;NCapA,"",IFERROR(IF(VLOOKUP(INDEX(PkCapA,498),AcctTblA,4,0)="","(بدون نام)",VLOOKUP(INDEX(PkCapA,498),AcctTblA,4,0)),"—"))</f>
        <v/>
      </c>
      <c r="C2202" s="13">
        <f>IF($B2202="","",IF(498&gt;NCapA,"",INDEX(PkCapA,498)))</f>
        <v/>
      </c>
      <c r="D2202" s="12">
        <f>IF($B2202="","","c")</f>
        <v/>
      </c>
      <c r="E2202" s="14">
        <f>IF($B2202="","",IF(498&gt;NCapA,0,SUMIF(CalcDebit,INDEX(PkCapA,498),CalcAmt)+SUMIF(CalcDebit2,INDEX(PkCapA,498),CalcAmt2)))</f>
        <v/>
      </c>
      <c r="F2202" s="14">
        <f>IF($B2202="","",IF(498&gt;NCapA,0,SUMIF(CalcCredit,INDEX(PkCapA,498),CalcAmt)+SUMIF(CalcCredit2,INDEX(PkCapA,498),CalcAmt2)))</f>
        <v/>
      </c>
      <c r="G2202" s="15">
        <f>IF($B2202="","",ROUND($E2202-$F2202,0))</f>
        <v/>
      </c>
      <c r="H2202" s="12">
        <f>IF($B2202="","",IF(ROUND($G2202,0)&gt;0,"بدهکار",IF(ROUND($G2202,0)&lt;0,"بستانکار","تسویه")))</f>
        <v/>
      </c>
    </row>
    <row r="2203">
      <c r="A2203" s="16">
        <f>IF($B2203="","",2194)</f>
        <v/>
      </c>
      <c r="B2203" s="17">
        <f>IF(499&gt;NCapA,"",IFERROR(IF(VLOOKUP(INDEX(PkCapA,499),AcctTblA,4,0)="","(بدون نام)",VLOOKUP(INDEX(PkCapA,499),AcctTblA,4,0)),"—"))</f>
        <v/>
      </c>
      <c r="C2203" s="18">
        <f>IF($B2203="","",IF(499&gt;NCapA,"",INDEX(PkCapA,499)))</f>
        <v/>
      </c>
      <c r="D2203" s="17">
        <f>IF($B2203="","","c")</f>
        <v/>
      </c>
      <c r="E2203" s="19">
        <f>IF($B2203="","",IF(499&gt;NCapA,0,SUMIF(CalcDebit,INDEX(PkCapA,499),CalcAmt)+SUMIF(CalcDebit2,INDEX(PkCapA,499),CalcAmt2)))</f>
        <v/>
      </c>
      <c r="F2203" s="19">
        <f>IF($B2203="","",IF(499&gt;NCapA,0,SUMIF(CalcCredit,INDEX(PkCapA,499),CalcAmt)+SUMIF(CalcCredit2,INDEX(PkCapA,499),CalcAmt2)))</f>
        <v/>
      </c>
      <c r="G2203" s="20">
        <f>IF($B2203="","",ROUND($E2203-$F2203,0))</f>
        <v/>
      </c>
      <c r="H2203" s="17">
        <f>IF($B2203="","",IF(ROUND($G2203,0)&gt;0,"بدهکار",IF(ROUND($G2203,0)&lt;0,"بستانکار","تسویه")))</f>
        <v/>
      </c>
    </row>
    <row r="2204">
      <c r="A2204" s="11">
        <f>IF($B2204="","",2195)</f>
        <v/>
      </c>
      <c r="B2204" s="12">
        <f>IF(500&gt;NCapA,"",IFERROR(IF(VLOOKUP(INDEX(PkCapA,500),AcctTblA,4,0)="","(بدون نام)",VLOOKUP(INDEX(PkCapA,500),AcctTblA,4,0)),"—"))</f>
        <v/>
      </c>
      <c r="C2204" s="13">
        <f>IF($B2204="","",IF(500&gt;NCapA,"",INDEX(PkCapA,500)))</f>
        <v/>
      </c>
      <c r="D2204" s="12">
        <f>IF($B2204="","","c")</f>
        <v/>
      </c>
      <c r="E2204" s="14">
        <f>IF($B2204="","",IF(500&gt;NCapA,0,SUMIF(CalcDebit,INDEX(PkCapA,500),CalcAmt)+SUMIF(CalcDebit2,INDEX(PkCapA,500),CalcAmt2)))</f>
        <v/>
      </c>
      <c r="F2204" s="14">
        <f>IF($B2204="","",IF(500&gt;NCapA,0,SUMIF(CalcCredit,INDEX(PkCapA,500),CalcAmt)+SUMIF(CalcCredit2,INDEX(PkCapA,500),CalcAmt2)))</f>
        <v/>
      </c>
      <c r="G2204" s="15">
        <f>IF($B2204="","",ROUND($E2204-$F2204,0))</f>
        <v/>
      </c>
      <c r="H2204" s="12">
        <f>IF($B2204="","",IF(ROUND($G2204,0)&gt;0,"بدهکار",IF(ROUND($G2204,0)&lt;0,"بستانکار","تسویه")))</f>
        <v/>
      </c>
    </row>
    <row r="2205">
      <c r="A2205" s="16">
        <f>IF($B2205="","",2196)</f>
        <v/>
      </c>
      <c r="B2205" s="17">
        <f>IF(501&gt;NCapA,"",IFERROR(IF(VLOOKUP(INDEX(PkCapA,501),AcctTblA,4,0)="","(بدون نام)",VLOOKUP(INDEX(PkCapA,501),AcctTblA,4,0)),"—"))</f>
        <v/>
      </c>
      <c r="C2205" s="18">
        <f>IF($B2205="","",IF(501&gt;NCapA,"",INDEX(PkCapA,501)))</f>
        <v/>
      </c>
      <c r="D2205" s="17">
        <f>IF($B2205="","","c")</f>
        <v/>
      </c>
      <c r="E2205" s="19">
        <f>IF($B2205="","",IF(501&gt;NCapA,0,SUMIF(CalcDebit,INDEX(PkCapA,501),CalcAmt)+SUMIF(CalcDebit2,INDEX(PkCapA,501),CalcAmt2)))</f>
        <v/>
      </c>
      <c r="F2205" s="19">
        <f>IF($B2205="","",IF(501&gt;NCapA,0,SUMIF(CalcCredit,INDEX(PkCapA,501),CalcAmt)+SUMIF(CalcCredit2,INDEX(PkCapA,501),CalcAmt2)))</f>
        <v/>
      </c>
      <c r="G2205" s="20">
        <f>IF($B2205="","",ROUND($E2205-$F2205,0))</f>
        <v/>
      </c>
      <c r="H2205" s="17">
        <f>IF($B2205="","",IF(ROUND($G2205,0)&gt;0,"بدهکار",IF(ROUND($G2205,0)&lt;0,"بستانکار","تسویه")))</f>
        <v/>
      </c>
    </row>
    <row r="2206">
      <c r="A2206" s="11">
        <f>IF($B2206="","",2197)</f>
        <v/>
      </c>
      <c r="B2206" s="12">
        <f>IF(502&gt;NCapA,"",IFERROR(IF(VLOOKUP(INDEX(PkCapA,502),AcctTblA,4,0)="","(بدون نام)",VLOOKUP(INDEX(PkCapA,502),AcctTblA,4,0)),"—"))</f>
        <v/>
      </c>
      <c r="C2206" s="13">
        <f>IF($B2206="","",IF(502&gt;NCapA,"",INDEX(PkCapA,502)))</f>
        <v/>
      </c>
      <c r="D2206" s="12">
        <f>IF($B2206="","","c")</f>
        <v/>
      </c>
      <c r="E2206" s="14">
        <f>IF($B2206="","",IF(502&gt;NCapA,0,SUMIF(CalcDebit,INDEX(PkCapA,502),CalcAmt)+SUMIF(CalcDebit2,INDEX(PkCapA,502),CalcAmt2)))</f>
        <v/>
      </c>
      <c r="F2206" s="14">
        <f>IF($B2206="","",IF(502&gt;NCapA,0,SUMIF(CalcCredit,INDEX(PkCapA,502),CalcAmt)+SUMIF(CalcCredit2,INDEX(PkCapA,502),CalcAmt2)))</f>
        <v/>
      </c>
      <c r="G2206" s="15">
        <f>IF($B2206="","",ROUND($E2206-$F2206,0))</f>
        <v/>
      </c>
      <c r="H2206" s="12">
        <f>IF($B2206="","",IF(ROUND($G2206,0)&gt;0,"بدهکار",IF(ROUND($G2206,0)&lt;0,"بستانکار","تسویه")))</f>
        <v/>
      </c>
    </row>
    <row r="2207">
      <c r="A2207" s="16">
        <f>IF($B2207="","",2198)</f>
        <v/>
      </c>
      <c r="B2207" s="17">
        <f>IF(503&gt;NCapA,"",IFERROR(IF(VLOOKUP(INDEX(PkCapA,503),AcctTblA,4,0)="","(بدون نام)",VLOOKUP(INDEX(PkCapA,503),AcctTblA,4,0)),"—"))</f>
        <v/>
      </c>
      <c r="C2207" s="18">
        <f>IF($B2207="","",IF(503&gt;NCapA,"",INDEX(PkCapA,503)))</f>
        <v/>
      </c>
      <c r="D2207" s="17">
        <f>IF($B2207="","","c")</f>
        <v/>
      </c>
      <c r="E2207" s="19">
        <f>IF($B2207="","",IF(503&gt;NCapA,0,SUMIF(CalcDebit,INDEX(PkCapA,503),CalcAmt)+SUMIF(CalcDebit2,INDEX(PkCapA,503),CalcAmt2)))</f>
        <v/>
      </c>
      <c r="F2207" s="19">
        <f>IF($B2207="","",IF(503&gt;NCapA,0,SUMIF(CalcCredit,INDEX(PkCapA,503),CalcAmt)+SUMIF(CalcCredit2,INDEX(PkCapA,503),CalcAmt2)))</f>
        <v/>
      </c>
      <c r="G2207" s="20">
        <f>IF($B2207="","",ROUND($E2207-$F2207,0))</f>
        <v/>
      </c>
      <c r="H2207" s="17">
        <f>IF($B2207="","",IF(ROUND($G2207,0)&gt;0,"بدهکار",IF(ROUND($G2207,0)&lt;0,"بستانکار","تسویه")))</f>
        <v/>
      </c>
    </row>
    <row r="2208">
      <c r="A2208" s="11">
        <f>IF($B2208="","",2199)</f>
        <v/>
      </c>
      <c r="B2208" s="12">
        <f>IF(504&gt;NCapA,"",IFERROR(IF(VLOOKUP(INDEX(PkCapA,504),AcctTblA,4,0)="","(بدون نام)",VLOOKUP(INDEX(PkCapA,504),AcctTblA,4,0)),"—"))</f>
        <v/>
      </c>
      <c r="C2208" s="13">
        <f>IF($B2208="","",IF(504&gt;NCapA,"",INDEX(PkCapA,504)))</f>
        <v/>
      </c>
      <c r="D2208" s="12">
        <f>IF($B2208="","","c")</f>
        <v/>
      </c>
      <c r="E2208" s="14">
        <f>IF($B2208="","",IF(504&gt;NCapA,0,SUMIF(CalcDebit,INDEX(PkCapA,504),CalcAmt)+SUMIF(CalcDebit2,INDEX(PkCapA,504),CalcAmt2)))</f>
        <v/>
      </c>
      <c r="F2208" s="14">
        <f>IF($B2208="","",IF(504&gt;NCapA,0,SUMIF(CalcCredit,INDEX(PkCapA,504),CalcAmt)+SUMIF(CalcCredit2,INDEX(PkCapA,504),CalcAmt2)))</f>
        <v/>
      </c>
      <c r="G2208" s="15">
        <f>IF($B2208="","",ROUND($E2208-$F2208,0))</f>
        <v/>
      </c>
      <c r="H2208" s="12">
        <f>IF($B2208="","",IF(ROUND($G2208,0)&gt;0,"بدهکار",IF(ROUND($G2208,0)&lt;0,"بستانکار","تسویه")))</f>
        <v/>
      </c>
    </row>
    <row r="2209">
      <c r="A2209" s="16">
        <f>IF($B2209="","",2200)</f>
        <v/>
      </c>
      <c r="B2209" s="17">
        <f>IF(505&gt;NCapA,"",IFERROR(IF(VLOOKUP(INDEX(PkCapA,505),AcctTblA,4,0)="","(بدون نام)",VLOOKUP(INDEX(PkCapA,505),AcctTblA,4,0)),"—"))</f>
        <v/>
      </c>
      <c r="C2209" s="18">
        <f>IF($B2209="","",IF(505&gt;NCapA,"",INDEX(PkCapA,505)))</f>
        <v/>
      </c>
      <c r="D2209" s="17">
        <f>IF($B2209="","","c")</f>
        <v/>
      </c>
      <c r="E2209" s="19">
        <f>IF($B2209="","",IF(505&gt;NCapA,0,SUMIF(CalcDebit,INDEX(PkCapA,505),CalcAmt)+SUMIF(CalcDebit2,INDEX(PkCapA,505),CalcAmt2)))</f>
        <v/>
      </c>
      <c r="F2209" s="19">
        <f>IF($B2209="","",IF(505&gt;NCapA,0,SUMIF(CalcCredit,INDEX(PkCapA,505),CalcAmt)+SUMIF(CalcCredit2,INDEX(PkCapA,505),CalcAmt2)))</f>
        <v/>
      </c>
      <c r="G2209" s="20">
        <f>IF($B2209="","",ROUND($E2209-$F2209,0))</f>
        <v/>
      </c>
      <c r="H2209" s="17">
        <f>IF($B2209="","",IF(ROUND($G2209,0)&gt;0,"بدهکار",IF(ROUND($G2209,0)&lt;0,"بستانکار","تسویه")))</f>
        <v/>
      </c>
    </row>
    <row r="2210">
      <c r="A2210" s="11">
        <f>IF($B2210="","",2201)</f>
        <v/>
      </c>
      <c r="B2210" s="12">
        <f>IF(506&gt;NCapA,"",IFERROR(IF(VLOOKUP(INDEX(PkCapA,506),AcctTblA,4,0)="","(بدون نام)",VLOOKUP(INDEX(PkCapA,506),AcctTblA,4,0)),"—"))</f>
        <v/>
      </c>
      <c r="C2210" s="13">
        <f>IF($B2210="","",IF(506&gt;NCapA,"",INDEX(PkCapA,506)))</f>
        <v/>
      </c>
      <c r="D2210" s="12">
        <f>IF($B2210="","","c")</f>
        <v/>
      </c>
      <c r="E2210" s="14">
        <f>IF($B2210="","",IF(506&gt;NCapA,0,SUMIF(CalcDebit,INDEX(PkCapA,506),CalcAmt)+SUMIF(CalcDebit2,INDEX(PkCapA,506),CalcAmt2)))</f>
        <v/>
      </c>
      <c r="F2210" s="14">
        <f>IF($B2210="","",IF(506&gt;NCapA,0,SUMIF(CalcCredit,INDEX(PkCapA,506),CalcAmt)+SUMIF(CalcCredit2,INDEX(PkCapA,506),CalcAmt2)))</f>
        <v/>
      </c>
      <c r="G2210" s="15">
        <f>IF($B2210="","",ROUND($E2210-$F2210,0))</f>
        <v/>
      </c>
      <c r="H2210" s="12">
        <f>IF($B2210="","",IF(ROUND($G2210,0)&gt;0,"بدهکار",IF(ROUND($G2210,0)&lt;0,"بستانکار","تسویه")))</f>
        <v/>
      </c>
    </row>
    <row r="2211">
      <c r="A2211" s="16">
        <f>IF($B2211="","",2202)</f>
        <v/>
      </c>
      <c r="B2211" s="17">
        <f>IF(507&gt;NCapA,"",IFERROR(IF(VLOOKUP(INDEX(PkCapA,507),AcctTblA,4,0)="","(بدون نام)",VLOOKUP(INDEX(PkCapA,507),AcctTblA,4,0)),"—"))</f>
        <v/>
      </c>
      <c r="C2211" s="18">
        <f>IF($B2211="","",IF(507&gt;NCapA,"",INDEX(PkCapA,507)))</f>
        <v/>
      </c>
      <c r="D2211" s="17">
        <f>IF($B2211="","","c")</f>
        <v/>
      </c>
      <c r="E2211" s="19">
        <f>IF($B2211="","",IF(507&gt;NCapA,0,SUMIF(CalcDebit,INDEX(PkCapA,507),CalcAmt)+SUMIF(CalcDebit2,INDEX(PkCapA,507),CalcAmt2)))</f>
        <v/>
      </c>
      <c r="F2211" s="19">
        <f>IF($B2211="","",IF(507&gt;NCapA,0,SUMIF(CalcCredit,INDEX(PkCapA,507),CalcAmt)+SUMIF(CalcCredit2,INDEX(PkCapA,507),CalcAmt2)))</f>
        <v/>
      </c>
      <c r="G2211" s="20">
        <f>IF($B2211="","",ROUND($E2211-$F2211,0))</f>
        <v/>
      </c>
      <c r="H2211" s="17">
        <f>IF($B2211="","",IF(ROUND($G2211,0)&gt;0,"بدهکار",IF(ROUND($G2211,0)&lt;0,"بستانکار","تسویه")))</f>
        <v/>
      </c>
    </row>
    <row r="2212">
      <c r="A2212" s="11">
        <f>IF($B2212="","",2203)</f>
        <v/>
      </c>
      <c r="B2212" s="12">
        <f>IF(508&gt;NCapA,"",IFERROR(IF(VLOOKUP(INDEX(PkCapA,508),AcctTblA,4,0)="","(بدون نام)",VLOOKUP(INDEX(PkCapA,508),AcctTblA,4,0)),"—"))</f>
        <v/>
      </c>
      <c r="C2212" s="13">
        <f>IF($B2212="","",IF(508&gt;NCapA,"",INDEX(PkCapA,508)))</f>
        <v/>
      </c>
      <c r="D2212" s="12">
        <f>IF($B2212="","","c")</f>
        <v/>
      </c>
      <c r="E2212" s="14">
        <f>IF($B2212="","",IF(508&gt;NCapA,0,SUMIF(CalcDebit,INDEX(PkCapA,508),CalcAmt)+SUMIF(CalcDebit2,INDEX(PkCapA,508),CalcAmt2)))</f>
        <v/>
      </c>
      <c r="F2212" s="14">
        <f>IF($B2212="","",IF(508&gt;NCapA,0,SUMIF(CalcCredit,INDEX(PkCapA,508),CalcAmt)+SUMIF(CalcCredit2,INDEX(PkCapA,508),CalcAmt2)))</f>
        <v/>
      </c>
      <c r="G2212" s="15">
        <f>IF($B2212="","",ROUND($E2212-$F2212,0))</f>
        <v/>
      </c>
      <c r="H2212" s="12">
        <f>IF($B2212="","",IF(ROUND($G2212,0)&gt;0,"بدهکار",IF(ROUND($G2212,0)&lt;0,"بستانکار","تسویه")))</f>
        <v/>
      </c>
    </row>
    <row r="2213">
      <c r="A2213" s="16">
        <f>IF($B2213="","",2204)</f>
        <v/>
      </c>
      <c r="B2213" s="17">
        <f>IF(509&gt;NCapA,"",IFERROR(IF(VLOOKUP(INDEX(PkCapA,509),AcctTblA,4,0)="","(بدون نام)",VLOOKUP(INDEX(PkCapA,509),AcctTblA,4,0)),"—"))</f>
        <v/>
      </c>
      <c r="C2213" s="18">
        <f>IF($B2213="","",IF(509&gt;NCapA,"",INDEX(PkCapA,509)))</f>
        <v/>
      </c>
      <c r="D2213" s="17">
        <f>IF($B2213="","","c")</f>
        <v/>
      </c>
      <c r="E2213" s="19">
        <f>IF($B2213="","",IF(509&gt;NCapA,0,SUMIF(CalcDebit,INDEX(PkCapA,509),CalcAmt)+SUMIF(CalcDebit2,INDEX(PkCapA,509),CalcAmt2)))</f>
        <v/>
      </c>
      <c r="F2213" s="19">
        <f>IF($B2213="","",IF(509&gt;NCapA,0,SUMIF(CalcCredit,INDEX(PkCapA,509),CalcAmt)+SUMIF(CalcCredit2,INDEX(PkCapA,509),CalcAmt2)))</f>
        <v/>
      </c>
      <c r="G2213" s="20">
        <f>IF($B2213="","",ROUND($E2213-$F2213,0))</f>
        <v/>
      </c>
      <c r="H2213" s="17">
        <f>IF($B2213="","",IF(ROUND($G2213,0)&gt;0,"بدهکار",IF(ROUND($G2213,0)&lt;0,"بستانکار","تسویه")))</f>
        <v/>
      </c>
    </row>
    <row r="2214">
      <c r="A2214" s="11">
        <f>IF($B2214="","",2205)</f>
        <v/>
      </c>
      <c r="B2214" s="12">
        <f>IF(510&gt;NCapA,"",IFERROR(IF(VLOOKUP(INDEX(PkCapA,510),AcctTblA,4,0)="","(بدون نام)",VLOOKUP(INDEX(PkCapA,510),AcctTblA,4,0)),"—"))</f>
        <v/>
      </c>
      <c r="C2214" s="13">
        <f>IF($B2214="","",IF(510&gt;NCapA,"",INDEX(PkCapA,510)))</f>
        <v/>
      </c>
      <c r="D2214" s="12">
        <f>IF($B2214="","","c")</f>
        <v/>
      </c>
      <c r="E2214" s="14">
        <f>IF($B2214="","",IF(510&gt;NCapA,0,SUMIF(CalcDebit,INDEX(PkCapA,510),CalcAmt)+SUMIF(CalcDebit2,INDEX(PkCapA,510),CalcAmt2)))</f>
        <v/>
      </c>
      <c r="F2214" s="14">
        <f>IF($B2214="","",IF(510&gt;NCapA,0,SUMIF(CalcCredit,INDEX(PkCapA,510),CalcAmt)+SUMIF(CalcCredit2,INDEX(PkCapA,510),CalcAmt2)))</f>
        <v/>
      </c>
      <c r="G2214" s="15">
        <f>IF($B2214="","",ROUND($E2214-$F2214,0))</f>
        <v/>
      </c>
      <c r="H2214" s="12">
        <f>IF($B2214="","",IF(ROUND($G2214,0)&gt;0,"بدهکار",IF(ROUND($G2214,0)&lt;0,"بستانکار","تسویه")))</f>
        <v/>
      </c>
    </row>
    <row r="2215">
      <c r="A2215" s="16">
        <f>IF($B2215="","",2206)</f>
        <v/>
      </c>
      <c r="B2215" s="17">
        <f>IF(511&gt;NCapA,"",IFERROR(IF(VLOOKUP(INDEX(PkCapA,511),AcctTblA,4,0)="","(بدون نام)",VLOOKUP(INDEX(PkCapA,511),AcctTblA,4,0)),"—"))</f>
        <v/>
      </c>
      <c r="C2215" s="18">
        <f>IF($B2215="","",IF(511&gt;NCapA,"",INDEX(PkCapA,511)))</f>
        <v/>
      </c>
      <c r="D2215" s="17">
        <f>IF($B2215="","","c")</f>
        <v/>
      </c>
      <c r="E2215" s="19">
        <f>IF($B2215="","",IF(511&gt;NCapA,0,SUMIF(CalcDebit,INDEX(PkCapA,511),CalcAmt)+SUMIF(CalcDebit2,INDEX(PkCapA,511),CalcAmt2)))</f>
        <v/>
      </c>
      <c r="F2215" s="19">
        <f>IF($B2215="","",IF(511&gt;NCapA,0,SUMIF(CalcCredit,INDEX(PkCapA,511),CalcAmt)+SUMIF(CalcCredit2,INDEX(PkCapA,511),CalcAmt2)))</f>
        <v/>
      </c>
      <c r="G2215" s="20">
        <f>IF($B2215="","",ROUND($E2215-$F2215,0))</f>
        <v/>
      </c>
      <c r="H2215" s="17">
        <f>IF($B2215="","",IF(ROUND($G2215,0)&gt;0,"بدهکار",IF(ROUND($G2215,0)&lt;0,"بستانکار","تسویه")))</f>
        <v/>
      </c>
    </row>
    <row r="2216">
      <c r="A2216" s="11">
        <f>IF($B2216="","",2207)</f>
        <v/>
      </c>
      <c r="B2216" s="12">
        <f>IF(512&gt;NCapA,"",IFERROR(IF(VLOOKUP(INDEX(PkCapA,512),AcctTblA,4,0)="","(بدون نام)",VLOOKUP(INDEX(PkCapA,512),AcctTblA,4,0)),"—"))</f>
        <v/>
      </c>
      <c r="C2216" s="13">
        <f>IF($B2216="","",IF(512&gt;NCapA,"",INDEX(PkCapA,512)))</f>
        <v/>
      </c>
      <c r="D2216" s="12">
        <f>IF($B2216="","","c")</f>
        <v/>
      </c>
      <c r="E2216" s="14">
        <f>IF($B2216="","",IF(512&gt;NCapA,0,SUMIF(CalcDebit,INDEX(PkCapA,512),CalcAmt)+SUMIF(CalcDebit2,INDEX(PkCapA,512),CalcAmt2)))</f>
        <v/>
      </c>
      <c r="F2216" s="14">
        <f>IF($B2216="","",IF(512&gt;NCapA,0,SUMIF(CalcCredit,INDEX(PkCapA,512),CalcAmt)+SUMIF(CalcCredit2,INDEX(PkCapA,512),CalcAmt2)))</f>
        <v/>
      </c>
      <c r="G2216" s="15">
        <f>IF($B2216="","",ROUND($E2216-$F2216,0))</f>
        <v/>
      </c>
      <c r="H2216" s="12">
        <f>IF($B2216="","",IF(ROUND($G2216,0)&gt;0,"بدهکار",IF(ROUND($G2216,0)&lt;0,"بستانکار","تسویه")))</f>
        <v/>
      </c>
    </row>
    <row r="2217">
      <c r="A2217" s="16">
        <f>IF($B2217="","",2208)</f>
        <v/>
      </c>
      <c r="B2217" s="17">
        <f>IF(513&gt;NCapA,"",IFERROR(IF(VLOOKUP(INDEX(PkCapA,513),AcctTblA,4,0)="","(بدون نام)",VLOOKUP(INDEX(PkCapA,513),AcctTblA,4,0)),"—"))</f>
        <v/>
      </c>
      <c r="C2217" s="18">
        <f>IF($B2217="","",IF(513&gt;NCapA,"",INDEX(PkCapA,513)))</f>
        <v/>
      </c>
      <c r="D2217" s="17">
        <f>IF($B2217="","","c")</f>
        <v/>
      </c>
      <c r="E2217" s="19">
        <f>IF($B2217="","",IF(513&gt;NCapA,0,SUMIF(CalcDebit,INDEX(PkCapA,513),CalcAmt)+SUMIF(CalcDebit2,INDEX(PkCapA,513),CalcAmt2)))</f>
        <v/>
      </c>
      <c r="F2217" s="19">
        <f>IF($B2217="","",IF(513&gt;NCapA,0,SUMIF(CalcCredit,INDEX(PkCapA,513),CalcAmt)+SUMIF(CalcCredit2,INDEX(PkCapA,513),CalcAmt2)))</f>
        <v/>
      </c>
      <c r="G2217" s="20">
        <f>IF($B2217="","",ROUND($E2217-$F2217,0))</f>
        <v/>
      </c>
      <c r="H2217" s="17">
        <f>IF($B2217="","",IF(ROUND($G2217,0)&gt;0,"بدهکار",IF(ROUND($G2217,0)&lt;0,"بستانکار","تسویه")))</f>
        <v/>
      </c>
    </row>
    <row r="2218">
      <c r="A2218" s="11">
        <f>IF($B2218="","",2209)</f>
        <v/>
      </c>
      <c r="B2218" s="12">
        <f>IF(514&gt;NCapA,"",IFERROR(IF(VLOOKUP(INDEX(PkCapA,514),AcctTblA,4,0)="","(بدون نام)",VLOOKUP(INDEX(PkCapA,514),AcctTblA,4,0)),"—"))</f>
        <v/>
      </c>
      <c r="C2218" s="13">
        <f>IF($B2218="","",IF(514&gt;NCapA,"",INDEX(PkCapA,514)))</f>
        <v/>
      </c>
      <c r="D2218" s="12">
        <f>IF($B2218="","","c")</f>
        <v/>
      </c>
      <c r="E2218" s="14">
        <f>IF($B2218="","",IF(514&gt;NCapA,0,SUMIF(CalcDebit,INDEX(PkCapA,514),CalcAmt)+SUMIF(CalcDebit2,INDEX(PkCapA,514),CalcAmt2)))</f>
        <v/>
      </c>
      <c r="F2218" s="14">
        <f>IF($B2218="","",IF(514&gt;NCapA,0,SUMIF(CalcCredit,INDEX(PkCapA,514),CalcAmt)+SUMIF(CalcCredit2,INDEX(PkCapA,514),CalcAmt2)))</f>
        <v/>
      </c>
      <c r="G2218" s="15">
        <f>IF($B2218="","",ROUND($E2218-$F2218,0))</f>
        <v/>
      </c>
      <c r="H2218" s="12">
        <f>IF($B2218="","",IF(ROUND($G2218,0)&gt;0,"بدهکار",IF(ROUND($G2218,0)&lt;0,"بستانکار","تسویه")))</f>
        <v/>
      </c>
    </row>
    <row r="2219">
      <c r="A2219" s="16">
        <f>IF($B2219="","",2210)</f>
        <v/>
      </c>
      <c r="B2219" s="17">
        <f>IF(515&gt;NCapA,"",IFERROR(IF(VLOOKUP(INDEX(PkCapA,515),AcctTblA,4,0)="","(بدون نام)",VLOOKUP(INDEX(PkCapA,515),AcctTblA,4,0)),"—"))</f>
        <v/>
      </c>
      <c r="C2219" s="18">
        <f>IF($B2219="","",IF(515&gt;NCapA,"",INDEX(PkCapA,515)))</f>
        <v/>
      </c>
      <c r="D2219" s="17">
        <f>IF($B2219="","","c")</f>
        <v/>
      </c>
      <c r="E2219" s="19">
        <f>IF($B2219="","",IF(515&gt;NCapA,0,SUMIF(CalcDebit,INDEX(PkCapA,515),CalcAmt)+SUMIF(CalcDebit2,INDEX(PkCapA,515),CalcAmt2)))</f>
        <v/>
      </c>
      <c r="F2219" s="19">
        <f>IF($B2219="","",IF(515&gt;NCapA,0,SUMIF(CalcCredit,INDEX(PkCapA,515),CalcAmt)+SUMIF(CalcCredit2,INDEX(PkCapA,515),CalcAmt2)))</f>
        <v/>
      </c>
      <c r="G2219" s="20">
        <f>IF($B2219="","",ROUND($E2219-$F2219,0))</f>
        <v/>
      </c>
      <c r="H2219" s="17">
        <f>IF($B2219="","",IF(ROUND($G2219,0)&gt;0,"بدهکار",IF(ROUND($G2219,0)&lt;0,"بستانکار","تسویه")))</f>
        <v/>
      </c>
    </row>
    <row r="2220">
      <c r="A2220" s="11">
        <f>IF($B2220="","",2211)</f>
        <v/>
      </c>
      <c r="B2220" s="12">
        <f>IF(516&gt;NCapA,"",IFERROR(IF(VLOOKUP(INDEX(PkCapA,516),AcctTblA,4,0)="","(بدون نام)",VLOOKUP(INDEX(PkCapA,516),AcctTblA,4,0)),"—"))</f>
        <v/>
      </c>
      <c r="C2220" s="13">
        <f>IF($B2220="","",IF(516&gt;NCapA,"",INDEX(PkCapA,516)))</f>
        <v/>
      </c>
      <c r="D2220" s="12">
        <f>IF($B2220="","","c")</f>
        <v/>
      </c>
      <c r="E2220" s="14">
        <f>IF($B2220="","",IF(516&gt;NCapA,0,SUMIF(CalcDebit,INDEX(PkCapA,516),CalcAmt)+SUMIF(CalcDebit2,INDEX(PkCapA,516),CalcAmt2)))</f>
        <v/>
      </c>
      <c r="F2220" s="14">
        <f>IF($B2220="","",IF(516&gt;NCapA,0,SUMIF(CalcCredit,INDEX(PkCapA,516),CalcAmt)+SUMIF(CalcCredit2,INDEX(PkCapA,516),CalcAmt2)))</f>
        <v/>
      </c>
      <c r="G2220" s="15">
        <f>IF($B2220="","",ROUND($E2220-$F2220,0))</f>
        <v/>
      </c>
      <c r="H2220" s="12">
        <f>IF($B2220="","",IF(ROUND($G2220,0)&gt;0,"بدهکار",IF(ROUND($G2220,0)&lt;0,"بستانکار","تسویه")))</f>
        <v/>
      </c>
    </row>
    <row r="2221">
      <c r="A2221" s="16">
        <f>IF($B2221="","",2212)</f>
        <v/>
      </c>
      <c r="B2221" s="17">
        <f>IF(517&gt;NCapA,"",IFERROR(IF(VLOOKUP(INDEX(PkCapA,517),AcctTblA,4,0)="","(بدون نام)",VLOOKUP(INDEX(PkCapA,517),AcctTblA,4,0)),"—"))</f>
        <v/>
      </c>
      <c r="C2221" s="18">
        <f>IF($B2221="","",IF(517&gt;NCapA,"",INDEX(PkCapA,517)))</f>
        <v/>
      </c>
      <c r="D2221" s="17">
        <f>IF($B2221="","","c")</f>
        <v/>
      </c>
      <c r="E2221" s="19">
        <f>IF($B2221="","",IF(517&gt;NCapA,0,SUMIF(CalcDebit,INDEX(PkCapA,517),CalcAmt)+SUMIF(CalcDebit2,INDEX(PkCapA,517),CalcAmt2)))</f>
        <v/>
      </c>
      <c r="F2221" s="19">
        <f>IF($B2221="","",IF(517&gt;NCapA,0,SUMIF(CalcCredit,INDEX(PkCapA,517),CalcAmt)+SUMIF(CalcCredit2,INDEX(PkCapA,517),CalcAmt2)))</f>
        <v/>
      </c>
      <c r="G2221" s="20">
        <f>IF($B2221="","",ROUND($E2221-$F2221,0))</f>
        <v/>
      </c>
      <c r="H2221" s="17">
        <f>IF($B2221="","",IF(ROUND($G2221,0)&gt;0,"بدهکار",IF(ROUND($G2221,0)&lt;0,"بستانکار","تسویه")))</f>
        <v/>
      </c>
    </row>
    <row r="2222">
      <c r="A2222" s="11">
        <f>IF($B2222="","",2213)</f>
        <v/>
      </c>
      <c r="B2222" s="12">
        <f>IF(518&gt;NCapA,"",IFERROR(IF(VLOOKUP(INDEX(PkCapA,518),AcctTblA,4,0)="","(بدون نام)",VLOOKUP(INDEX(PkCapA,518),AcctTblA,4,0)),"—"))</f>
        <v/>
      </c>
      <c r="C2222" s="13">
        <f>IF($B2222="","",IF(518&gt;NCapA,"",INDEX(PkCapA,518)))</f>
        <v/>
      </c>
      <c r="D2222" s="12">
        <f>IF($B2222="","","c")</f>
        <v/>
      </c>
      <c r="E2222" s="14">
        <f>IF($B2222="","",IF(518&gt;NCapA,0,SUMIF(CalcDebit,INDEX(PkCapA,518),CalcAmt)+SUMIF(CalcDebit2,INDEX(PkCapA,518),CalcAmt2)))</f>
        <v/>
      </c>
      <c r="F2222" s="14">
        <f>IF($B2222="","",IF(518&gt;NCapA,0,SUMIF(CalcCredit,INDEX(PkCapA,518),CalcAmt)+SUMIF(CalcCredit2,INDEX(PkCapA,518),CalcAmt2)))</f>
        <v/>
      </c>
      <c r="G2222" s="15">
        <f>IF($B2222="","",ROUND($E2222-$F2222,0))</f>
        <v/>
      </c>
      <c r="H2222" s="12">
        <f>IF($B2222="","",IF(ROUND($G2222,0)&gt;0,"بدهکار",IF(ROUND($G2222,0)&lt;0,"بستانکار","تسویه")))</f>
        <v/>
      </c>
    </row>
    <row r="2223">
      <c r="A2223" s="16">
        <f>IF($B2223="","",2214)</f>
        <v/>
      </c>
      <c r="B2223" s="17">
        <f>IF(519&gt;NCapA,"",IFERROR(IF(VLOOKUP(INDEX(PkCapA,519),AcctTblA,4,0)="","(بدون نام)",VLOOKUP(INDEX(PkCapA,519),AcctTblA,4,0)),"—"))</f>
        <v/>
      </c>
      <c r="C2223" s="18">
        <f>IF($B2223="","",IF(519&gt;NCapA,"",INDEX(PkCapA,519)))</f>
        <v/>
      </c>
      <c r="D2223" s="17">
        <f>IF($B2223="","","c")</f>
        <v/>
      </c>
      <c r="E2223" s="19">
        <f>IF($B2223="","",IF(519&gt;NCapA,0,SUMIF(CalcDebit,INDEX(PkCapA,519),CalcAmt)+SUMIF(CalcDebit2,INDEX(PkCapA,519),CalcAmt2)))</f>
        <v/>
      </c>
      <c r="F2223" s="19">
        <f>IF($B2223="","",IF(519&gt;NCapA,0,SUMIF(CalcCredit,INDEX(PkCapA,519),CalcAmt)+SUMIF(CalcCredit2,INDEX(PkCapA,519),CalcAmt2)))</f>
        <v/>
      </c>
      <c r="G2223" s="20">
        <f>IF($B2223="","",ROUND($E2223-$F2223,0))</f>
        <v/>
      </c>
      <c r="H2223" s="17">
        <f>IF($B2223="","",IF(ROUND($G2223,0)&gt;0,"بدهکار",IF(ROUND($G2223,0)&lt;0,"بستانکار","تسویه")))</f>
        <v/>
      </c>
    </row>
    <row r="2224">
      <c r="A2224" s="11">
        <f>IF($B2224="","",2215)</f>
        <v/>
      </c>
      <c r="B2224" s="12">
        <f>IF(520&gt;NCapA,"",IFERROR(IF(VLOOKUP(INDEX(PkCapA,520),AcctTblA,4,0)="","(بدون نام)",VLOOKUP(INDEX(PkCapA,520),AcctTblA,4,0)),"—"))</f>
        <v/>
      </c>
      <c r="C2224" s="13">
        <f>IF($B2224="","",IF(520&gt;NCapA,"",INDEX(PkCapA,520)))</f>
        <v/>
      </c>
      <c r="D2224" s="12">
        <f>IF($B2224="","","c")</f>
        <v/>
      </c>
      <c r="E2224" s="14">
        <f>IF($B2224="","",IF(520&gt;NCapA,0,SUMIF(CalcDebit,INDEX(PkCapA,520),CalcAmt)+SUMIF(CalcDebit2,INDEX(PkCapA,520),CalcAmt2)))</f>
        <v/>
      </c>
      <c r="F2224" s="14">
        <f>IF($B2224="","",IF(520&gt;NCapA,0,SUMIF(CalcCredit,INDEX(PkCapA,520),CalcAmt)+SUMIF(CalcCredit2,INDEX(PkCapA,520),CalcAmt2)))</f>
        <v/>
      </c>
      <c r="G2224" s="15">
        <f>IF($B2224="","",ROUND($E2224-$F2224,0))</f>
        <v/>
      </c>
      <c r="H2224" s="12">
        <f>IF($B2224="","",IF(ROUND($G2224,0)&gt;0,"بدهکار",IF(ROUND($G2224,0)&lt;0,"بستانکار","تسویه")))</f>
        <v/>
      </c>
    </row>
    <row r="2225">
      <c r="A2225" s="16">
        <f>IF($B2225="","",2216)</f>
        <v/>
      </c>
      <c r="B2225" s="17">
        <f>IF(521&gt;NCapA,"",IFERROR(IF(VLOOKUP(INDEX(PkCapA,521),AcctTblA,4,0)="","(بدون نام)",VLOOKUP(INDEX(PkCapA,521),AcctTblA,4,0)),"—"))</f>
        <v/>
      </c>
      <c r="C2225" s="18">
        <f>IF($B2225="","",IF(521&gt;NCapA,"",INDEX(PkCapA,521)))</f>
        <v/>
      </c>
      <c r="D2225" s="17">
        <f>IF($B2225="","","c")</f>
        <v/>
      </c>
      <c r="E2225" s="19">
        <f>IF($B2225="","",IF(521&gt;NCapA,0,SUMIF(CalcDebit,INDEX(PkCapA,521),CalcAmt)+SUMIF(CalcDebit2,INDEX(PkCapA,521),CalcAmt2)))</f>
        <v/>
      </c>
      <c r="F2225" s="19">
        <f>IF($B2225="","",IF(521&gt;NCapA,0,SUMIF(CalcCredit,INDEX(PkCapA,521),CalcAmt)+SUMIF(CalcCredit2,INDEX(PkCapA,521),CalcAmt2)))</f>
        <v/>
      </c>
      <c r="G2225" s="20">
        <f>IF($B2225="","",ROUND($E2225-$F2225,0))</f>
        <v/>
      </c>
      <c r="H2225" s="17">
        <f>IF($B2225="","",IF(ROUND($G2225,0)&gt;0,"بدهکار",IF(ROUND($G2225,0)&lt;0,"بستانکار","تسویه")))</f>
        <v/>
      </c>
    </row>
    <row r="2226">
      <c r="A2226" s="11">
        <f>IF($B2226="","",2217)</f>
        <v/>
      </c>
      <c r="B2226" s="12">
        <f>IF(522&gt;NCapA,"",IFERROR(IF(VLOOKUP(INDEX(PkCapA,522),AcctTblA,4,0)="","(بدون نام)",VLOOKUP(INDEX(PkCapA,522),AcctTblA,4,0)),"—"))</f>
        <v/>
      </c>
      <c r="C2226" s="13">
        <f>IF($B2226="","",IF(522&gt;NCapA,"",INDEX(PkCapA,522)))</f>
        <v/>
      </c>
      <c r="D2226" s="12">
        <f>IF($B2226="","","c")</f>
        <v/>
      </c>
      <c r="E2226" s="14">
        <f>IF($B2226="","",IF(522&gt;NCapA,0,SUMIF(CalcDebit,INDEX(PkCapA,522),CalcAmt)+SUMIF(CalcDebit2,INDEX(PkCapA,522),CalcAmt2)))</f>
        <v/>
      </c>
      <c r="F2226" s="14">
        <f>IF($B2226="","",IF(522&gt;NCapA,0,SUMIF(CalcCredit,INDEX(PkCapA,522),CalcAmt)+SUMIF(CalcCredit2,INDEX(PkCapA,522),CalcAmt2)))</f>
        <v/>
      </c>
      <c r="G2226" s="15">
        <f>IF($B2226="","",ROUND($E2226-$F2226,0))</f>
        <v/>
      </c>
      <c r="H2226" s="12">
        <f>IF($B2226="","",IF(ROUND($G2226,0)&gt;0,"بدهکار",IF(ROUND($G2226,0)&lt;0,"بستانکار","تسویه")))</f>
        <v/>
      </c>
    </row>
    <row r="2227">
      <c r="A2227" s="16">
        <f>IF($B2227="","",2218)</f>
        <v/>
      </c>
      <c r="B2227" s="17">
        <f>IF(523&gt;NCapA,"",IFERROR(IF(VLOOKUP(INDEX(PkCapA,523),AcctTblA,4,0)="","(بدون نام)",VLOOKUP(INDEX(PkCapA,523),AcctTblA,4,0)),"—"))</f>
        <v/>
      </c>
      <c r="C2227" s="18">
        <f>IF($B2227="","",IF(523&gt;NCapA,"",INDEX(PkCapA,523)))</f>
        <v/>
      </c>
      <c r="D2227" s="17">
        <f>IF($B2227="","","c")</f>
        <v/>
      </c>
      <c r="E2227" s="19">
        <f>IF($B2227="","",IF(523&gt;NCapA,0,SUMIF(CalcDebit,INDEX(PkCapA,523),CalcAmt)+SUMIF(CalcDebit2,INDEX(PkCapA,523),CalcAmt2)))</f>
        <v/>
      </c>
      <c r="F2227" s="19">
        <f>IF($B2227="","",IF(523&gt;NCapA,0,SUMIF(CalcCredit,INDEX(PkCapA,523),CalcAmt)+SUMIF(CalcCredit2,INDEX(PkCapA,523),CalcAmt2)))</f>
        <v/>
      </c>
      <c r="G2227" s="20">
        <f>IF($B2227="","",ROUND($E2227-$F2227,0))</f>
        <v/>
      </c>
      <c r="H2227" s="17">
        <f>IF($B2227="","",IF(ROUND($G2227,0)&gt;0,"بدهکار",IF(ROUND($G2227,0)&lt;0,"بستانکار","تسویه")))</f>
        <v/>
      </c>
    </row>
    <row r="2228">
      <c r="A2228" s="11">
        <f>IF($B2228="","",2219)</f>
        <v/>
      </c>
      <c r="B2228" s="12">
        <f>IF(524&gt;NCapA,"",IFERROR(IF(VLOOKUP(INDEX(PkCapA,524),AcctTblA,4,0)="","(بدون نام)",VLOOKUP(INDEX(PkCapA,524),AcctTblA,4,0)),"—"))</f>
        <v/>
      </c>
      <c r="C2228" s="13">
        <f>IF($B2228="","",IF(524&gt;NCapA,"",INDEX(PkCapA,524)))</f>
        <v/>
      </c>
      <c r="D2228" s="12">
        <f>IF($B2228="","","c")</f>
        <v/>
      </c>
      <c r="E2228" s="14">
        <f>IF($B2228="","",IF(524&gt;NCapA,0,SUMIF(CalcDebit,INDEX(PkCapA,524),CalcAmt)+SUMIF(CalcDebit2,INDEX(PkCapA,524),CalcAmt2)))</f>
        <v/>
      </c>
      <c r="F2228" s="14">
        <f>IF($B2228="","",IF(524&gt;NCapA,0,SUMIF(CalcCredit,INDEX(PkCapA,524),CalcAmt)+SUMIF(CalcCredit2,INDEX(PkCapA,524),CalcAmt2)))</f>
        <v/>
      </c>
      <c r="G2228" s="15">
        <f>IF($B2228="","",ROUND($E2228-$F2228,0))</f>
        <v/>
      </c>
      <c r="H2228" s="12">
        <f>IF($B2228="","",IF(ROUND($G2228,0)&gt;0,"بدهکار",IF(ROUND($G2228,0)&lt;0,"بستانکار","تسویه")))</f>
        <v/>
      </c>
    </row>
    <row r="2229">
      <c r="A2229" s="16">
        <f>IF($B2229="","",2220)</f>
        <v/>
      </c>
      <c r="B2229" s="17">
        <f>IF(525&gt;NCapA,"",IFERROR(IF(VLOOKUP(INDEX(PkCapA,525),AcctTblA,4,0)="","(بدون نام)",VLOOKUP(INDEX(PkCapA,525),AcctTblA,4,0)),"—"))</f>
        <v/>
      </c>
      <c r="C2229" s="18">
        <f>IF($B2229="","",IF(525&gt;NCapA,"",INDEX(PkCapA,525)))</f>
        <v/>
      </c>
      <c r="D2229" s="17">
        <f>IF($B2229="","","c")</f>
        <v/>
      </c>
      <c r="E2229" s="19">
        <f>IF($B2229="","",IF(525&gt;NCapA,0,SUMIF(CalcDebit,INDEX(PkCapA,525),CalcAmt)+SUMIF(CalcDebit2,INDEX(PkCapA,525),CalcAmt2)))</f>
        <v/>
      </c>
      <c r="F2229" s="19">
        <f>IF($B2229="","",IF(525&gt;NCapA,0,SUMIF(CalcCredit,INDEX(PkCapA,525),CalcAmt)+SUMIF(CalcCredit2,INDEX(PkCapA,525),CalcAmt2)))</f>
        <v/>
      </c>
      <c r="G2229" s="20">
        <f>IF($B2229="","",ROUND($E2229-$F2229,0))</f>
        <v/>
      </c>
      <c r="H2229" s="17">
        <f>IF($B2229="","",IF(ROUND($G2229,0)&gt;0,"بدهکار",IF(ROUND($G2229,0)&lt;0,"بستانکار","تسویه")))</f>
        <v/>
      </c>
    </row>
    <row r="2230">
      <c r="A2230" s="11">
        <f>IF($B2230="","",2221)</f>
        <v/>
      </c>
      <c r="B2230" s="12">
        <f>IF(526&gt;NCapA,"",IFERROR(IF(VLOOKUP(INDEX(PkCapA,526),AcctTblA,4,0)="","(بدون نام)",VLOOKUP(INDEX(PkCapA,526),AcctTblA,4,0)),"—"))</f>
        <v/>
      </c>
      <c r="C2230" s="13">
        <f>IF($B2230="","",IF(526&gt;NCapA,"",INDEX(PkCapA,526)))</f>
        <v/>
      </c>
      <c r="D2230" s="12">
        <f>IF($B2230="","","c")</f>
        <v/>
      </c>
      <c r="E2230" s="14">
        <f>IF($B2230="","",IF(526&gt;NCapA,0,SUMIF(CalcDebit,INDEX(PkCapA,526),CalcAmt)+SUMIF(CalcDebit2,INDEX(PkCapA,526),CalcAmt2)))</f>
        <v/>
      </c>
      <c r="F2230" s="14">
        <f>IF($B2230="","",IF(526&gt;NCapA,0,SUMIF(CalcCredit,INDEX(PkCapA,526),CalcAmt)+SUMIF(CalcCredit2,INDEX(PkCapA,526),CalcAmt2)))</f>
        <v/>
      </c>
      <c r="G2230" s="15">
        <f>IF($B2230="","",ROUND($E2230-$F2230,0))</f>
        <v/>
      </c>
      <c r="H2230" s="12">
        <f>IF($B2230="","",IF(ROUND($G2230,0)&gt;0,"بدهکار",IF(ROUND($G2230,0)&lt;0,"بستانکار","تسویه")))</f>
        <v/>
      </c>
    </row>
    <row r="2231">
      <c r="A2231" s="16">
        <f>IF($B2231="","",2222)</f>
        <v/>
      </c>
      <c r="B2231" s="17">
        <f>IF(527&gt;NCapA,"",IFERROR(IF(VLOOKUP(INDEX(PkCapA,527),AcctTblA,4,0)="","(بدون نام)",VLOOKUP(INDEX(PkCapA,527),AcctTblA,4,0)),"—"))</f>
        <v/>
      </c>
      <c r="C2231" s="18">
        <f>IF($B2231="","",IF(527&gt;NCapA,"",INDEX(PkCapA,527)))</f>
        <v/>
      </c>
      <c r="D2231" s="17">
        <f>IF($B2231="","","c")</f>
        <v/>
      </c>
      <c r="E2231" s="19">
        <f>IF($B2231="","",IF(527&gt;NCapA,0,SUMIF(CalcDebit,INDEX(PkCapA,527),CalcAmt)+SUMIF(CalcDebit2,INDEX(PkCapA,527),CalcAmt2)))</f>
        <v/>
      </c>
      <c r="F2231" s="19">
        <f>IF($B2231="","",IF(527&gt;NCapA,0,SUMIF(CalcCredit,INDEX(PkCapA,527),CalcAmt)+SUMIF(CalcCredit2,INDEX(PkCapA,527),CalcAmt2)))</f>
        <v/>
      </c>
      <c r="G2231" s="20">
        <f>IF($B2231="","",ROUND($E2231-$F2231,0))</f>
        <v/>
      </c>
      <c r="H2231" s="17">
        <f>IF($B2231="","",IF(ROUND($G2231,0)&gt;0,"بدهکار",IF(ROUND($G2231,0)&lt;0,"بستانکار","تسویه")))</f>
        <v/>
      </c>
    </row>
    <row r="2232">
      <c r="A2232" s="11">
        <f>IF($B2232="","",2223)</f>
        <v/>
      </c>
      <c r="B2232" s="12">
        <f>IF(528&gt;NCapA,"",IFERROR(IF(VLOOKUP(INDEX(PkCapA,528),AcctTblA,4,0)="","(بدون نام)",VLOOKUP(INDEX(PkCapA,528),AcctTblA,4,0)),"—"))</f>
        <v/>
      </c>
      <c r="C2232" s="13">
        <f>IF($B2232="","",IF(528&gt;NCapA,"",INDEX(PkCapA,528)))</f>
        <v/>
      </c>
      <c r="D2232" s="12">
        <f>IF($B2232="","","c")</f>
        <v/>
      </c>
      <c r="E2232" s="14">
        <f>IF($B2232="","",IF(528&gt;NCapA,0,SUMIF(CalcDebit,INDEX(PkCapA,528),CalcAmt)+SUMIF(CalcDebit2,INDEX(PkCapA,528),CalcAmt2)))</f>
        <v/>
      </c>
      <c r="F2232" s="14">
        <f>IF($B2232="","",IF(528&gt;NCapA,0,SUMIF(CalcCredit,INDEX(PkCapA,528),CalcAmt)+SUMIF(CalcCredit2,INDEX(PkCapA,528),CalcAmt2)))</f>
        <v/>
      </c>
      <c r="G2232" s="15">
        <f>IF($B2232="","",ROUND($E2232-$F2232,0))</f>
        <v/>
      </c>
      <c r="H2232" s="12">
        <f>IF($B2232="","",IF(ROUND($G2232,0)&gt;0,"بدهکار",IF(ROUND($G2232,0)&lt;0,"بستانکار","تسویه")))</f>
        <v/>
      </c>
    </row>
    <row r="2233">
      <c r="A2233" s="16">
        <f>IF($B2233="","",2224)</f>
        <v/>
      </c>
      <c r="B2233" s="17">
        <f>IF(529&gt;NCapA,"",IFERROR(IF(VLOOKUP(INDEX(PkCapA,529),AcctTblA,4,0)="","(بدون نام)",VLOOKUP(INDEX(PkCapA,529),AcctTblA,4,0)),"—"))</f>
        <v/>
      </c>
      <c r="C2233" s="18">
        <f>IF($B2233="","",IF(529&gt;NCapA,"",INDEX(PkCapA,529)))</f>
        <v/>
      </c>
      <c r="D2233" s="17">
        <f>IF($B2233="","","c")</f>
        <v/>
      </c>
      <c r="E2233" s="19">
        <f>IF($B2233="","",IF(529&gt;NCapA,0,SUMIF(CalcDebit,INDEX(PkCapA,529),CalcAmt)+SUMIF(CalcDebit2,INDEX(PkCapA,529),CalcAmt2)))</f>
        <v/>
      </c>
      <c r="F2233" s="19">
        <f>IF($B2233="","",IF(529&gt;NCapA,0,SUMIF(CalcCredit,INDEX(PkCapA,529),CalcAmt)+SUMIF(CalcCredit2,INDEX(PkCapA,529),CalcAmt2)))</f>
        <v/>
      </c>
      <c r="G2233" s="20">
        <f>IF($B2233="","",ROUND($E2233-$F2233,0))</f>
        <v/>
      </c>
      <c r="H2233" s="17">
        <f>IF($B2233="","",IF(ROUND($G2233,0)&gt;0,"بدهکار",IF(ROUND($G2233,0)&lt;0,"بستانکار","تسویه")))</f>
        <v/>
      </c>
    </row>
    <row r="2234">
      <c r="A2234" s="11">
        <f>IF($B2234="","",2225)</f>
        <v/>
      </c>
      <c r="B2234" s="12">
        <f>IF(530&gt;NCapA,"",IFERROR(IF(VLOOKUP(INDEX(PkCapA,530),AcctTblA,4,0)="","(بدون نام)",VLOOKUP(INDEX(PkCapA,530),AcctTblA,4,0)),"—"))</f>
        <v/>
      </c>
      <c r="C2234" s="13">
        <f>IF($B2234="","",IF(530&gt;NCapA,"",INDEX(PkCapA,530)))</f>
        <v/>
      </c>
      <c r="D2234" s="12">
        <f>IF($B2234="","","c")</f>
        <v/>
      </c>
      <c r="E2234" s="14">
        <f>IF($B2234="","",IF(530&gt;NCapA,0,SUMIF(CalcDebit,INDEX(PkCapA,530),CalcAmt)+SUMIF(CalcDebit2,INDEX(PkCapA,530),CalcAmt2)))</f>
        <v/>
      </c>
      <c r="F2234" s="14">
        <f>IF($B2234="","",IF(530&gt;NCapA,0,SUMIF(CalcCredit,INDEX(PkCapA,530),CalcAmt)+SUMIF(CalcCredit2,INDEX(PkCapA,530),CalcAmt2)))</f>
        <v/>
      </c>
      <c r="G2234" s="15">
        <f>IF($B2234="","",ROUND($E2234-$F2234,0))</f>
        <v/>
      </c>
      <c r="H2234" s="12">
        <f>IF($B2234="","",IF(ROUND($G2234,0)&gt;0,"بدهکار",IF(ROUND($G2234,0)&lt;0,"بستانکار","تسویه")))</f>
        <v/>
      </c>
    </row>
    <row r="2235">
      <c r="A2235" s="16">
        <f>IF($B2235="","",2226)</f>
        <v/>
      </c>
      <c r="B2235" s="17">
        <f>IF(531&gt;NCapA,"",IFERROR(IF(VLOOKUP(INDEX(PkCapA,531),AcctTblA,4,0)="","(بدون نام)",VLOOKUP(INDEX(PkCapA,531),AcctTblA,4,0)),"—"))</f>
        <v/>
      </c>
      <c r="C2235" s="18">
        <f>IF($B2235="","",IF(531&gt;NCapA,"",INDEX(PkCapA,531)))</f>
        <v/>
      </c>
      <c r="D2235" s="17">
        <f>IF($B2235="","","c")</f>
        <v/>
      </c>
      <c r="E2235" s="19">
        <f>IF($B2235="","",IF(531&gt;NCapA,0,SUMIF(CalcDebit,INDEX(PkCapA,531),CalcAmt)+SUMIF(CalcDebit2,INDEX(PkCapA,531),CalcAmt2)))</f>
        <v/>
      </c>
      <c r="F2235" s="19">
        <f>IF($B2235="","",IF(531&gt;NCapA,0,SUMIF(CalcCredit,INDEX(PkCapA,531),CalcAmt)+SUMIF(CalcCredit2,INDEX(PkCapA,531),CalcAmt2)))</f>
        <v/>
      </c>
      <c r="G2235" s="20">
        <f>IF($B2235="","",ROUND($E2235-$F2235,0))</f>
        <v/>
      </c>
      <c r="H2235" s="17">
        <f>IF($B2235="","",IF(ROUND($G2235,0)&gt;0,"بدهکار",IF(ROUND($G2235,0)&lt;0,"بستانکار","تسویه")))</f>
        <v/>
      </c>
    </row>
    <row r="2236">
      <c r="A2236" s="11">
        <f>IF($B2236="","",2227)</f>
        <v/>
      </c>
      <c r="B2236" s="12">
        <f>IF(532&gt;NCapA,"",IFERROR(IF(VLOOKUP(INDEX(PkCapA,532),AcctTblA,4,0)="","(بدون نام)",VLOOKUP(INDEX(PkCapA,532),AcctTblA,4,0)),"—"))</f>
        <v/>
      </c>
      <c r="C2236" s="13">
        <f>IF($B2236="","",IF(532&gt;NCapA,"",INDEX(PkCapA,532)))</f>
        <v/>
      </c>
      <c r="D2236" s="12">
        <f>IF($B2236="","","c")</f>
        <v/>
      </c>
      <c r="E2236" s="14">
        <f>IF($B2236="","",IF(532&gt;NCapA,0,SUMIF(CalcDebit,INDEX(PkCapA,532),CalcAmt)+SUMIF(CalcDebit2,INDEX(PkCapA,532),CalcAmt2)))</f>
        <v/>
      </c>
      <c r="F2236" s="14">
        <f>IF($B2236="","",IF(532&gt;NCapA,0,SUMIF(CalcCredit,INDEX(PkCapA,532),CalcAmt)+SUMIF(CalcCredit2,INDEX(PkCapA,532),CalcAmt2)))</f>
        <v/>
      </c>
      <c r="G2236" s="15">
        <f>IF($B2236="","",ROUND($E2236-$F2236,0))</f>
        <v/>
      </c>
      <c r="H2236" s="12">
        <f>IF($B2236="","",IF(ROUND($G2236,0)&gt;0,"بدهکار",IF(ROUND($G2236,0)&lt;0,"بستانکار","تسویه")))</f>
        <v/>
      </c>
    </row>
    <row r="2237">
      <c r="A2237" s="16">
        <f>IF($B2237="","",2228)</f>
        <v/>
      </c>
      <c r="B2237" s="17">
        <f>IF(533&gt;NCapA,"",IFERROR(IF(VLOOKUP(INDEX(PkCapA,533),AcctTblA,4,0)="","(بدون نام)",VLOOKUP(INDEX(PkCapA,533),AcctTblA,4,0)),"—"))</f>
        <v/>
      </c>
      <c r="C2237" s="18">
        <f>IF($B2237="","",IF(533&gt;NCapA,"",INDEX(PkCapA,533)))</f>
        <v/>
      </c>
      <c r="D2237" s="17">
        <f>IF($B2237="","","c")</f>
        <v/>
      </c>
      <c r="E2237" s="19">
        <f>IF($B2237="","",IF(533&gt;NCapA,0,SUMIF(CalcDebit,INDEX(PkCapA,533),CalcAmt)+SUMIF(CalcDebit2,INDEX(PkCapA,533),CalcAmt2)))</f>
        <v/>
      </c>
      <c r="F2237" s="19">
        <f>IF($B2237="","",IF(533&gt;NCapA,0,SUMIF(CalcCredit,INDEX(PkCapA,533),CalcAmt)+SUMIF(CalcCredit2,INDEX(PkCapA,533),CalcAmt2)))</f>
        <v/>
      </c>
      <c r="G2237" s="20">
        <f>IF($B2237="","",ROUND($E2237-$F2237,0))</f>
        <v/>
      </c>
      <c r="H2237" s="17">
        <f>IF($B2237="","",IF(ROUND($G2237,0)&gt;0,"بدهکار",IF(ROUND($G2237,0)&lt;0,"بستانکار","تسویه")))</f>
        <v/>
      </c>
    </row>
    <row r="2238">
      <c r="A2238" s="11">
        <f>IF($B2238="","",2229)</f>
        <v/>
      </c>
      <c r="B2238" s="12">
        <f>IF(534&gt;NCapA,"",IFERROR(IF(VLOOKUP(INDEX(PkCapA,534),AcctTblA,4,0)="","(بدون نام)",VLOOKUP(INDEX(PkCapA,534),AcctTblA,4,0)),"—"))</f>
        <v/>
      </c>
      <c r="C2238" s="13">
        <f>IF($B2238="","",IF(534&gt;NCapA,"",INDEX(PkCapA,534)))</f>
        <v/>
      </c>
      <c r="D2238" s="12">
        <f>IF($B2238="","","c")</f>
        <v/>
      </c>
      <c r="E2238" s="14">
        <f>IF($B2238="","",IF(534&gt;NCapA,0,SUMIF(CalcDebit,INDEX(PkCapA,534),CalcAmt)+SUMIF(CalcDebit2,INDEX(PkCapA,534),CalcAmt2)))</f>
        <v/>
      </c>
      <c r="F2238" s="14">
        <f>IF($B2238="","",IF(534&gt;NCapA,0,SUMIF(CalcCredit,INDEX(PkCapA,534),CalcAmt)+SUMIF(CalcCredit2,INDEX(PkCapA,534),CalcAmt2)))</f>
        <v/>
      </c>
      <c r="G2238" s="15">
        <f>IF($B2238="","",ROUND($E2238-$F2238,0))</f>
        <v/>
      </c>
      <c r="H2238" s="12">
        <f>IF($B2238="","",IF(ROUND($G2238,0)&gt;0,"بدهکار",IF(ROUND($G2238,0)&lt;0,"بستانکار","تسویه")))</f>
        <v/>
      </c>
    </row>
    <row r="2239">
      <c r="A2239" s="16">
        <f>IF($B2239="","",2230)</f>
        <v/>
      </c>
      <c r="B2239" s="17">
        <f>IF(535&gt;NCapA,"",IFERROR(IF(VLOOKUP(INDEX(PkCapA,535),AcctTblA,4,0)="","(بدون نام)",VLOOKUP(INDEX(PkCapA,535),AcctTblA,4,0)),"—"))</f>
        <v/>
      </c>
      <c r="C2239" s="18">
        <f>IF($B2239="","",IF(535&gt;NCapA,"",INDEX(PkCapA,535)))</f>
        <v/>
      </c>
      <c r="D2239" s="17">
        <f>IF($B2239="","","c")</f>
        <v/>
      </c>
      <c r="E2239" s="19">
        <f>IF($B2239="","",IF(535&gt;NCapA,0,SUMIF(CalcDebit,INDEX(PkCapA,535),CalcAmt)+SUMIF(CalcDebit2,INDEX(PkCapA,535),CalcAmt2)))</f>
        <v/>
      </c>
      <c r="F2239" s="19">
        <f>IF($B2239="","",IF(535&gt;NCapA,0,SUMIF(CalcCredit,INDEX(PkCapA,535),CalcAmt)+SUMIF(CalcCredit2,INDEX(PkCapA,535),CalcAmt2)))</f>
        <v/>
      </c>
      <c r="G2239" s="20">
        <f>IF($B2239="","",ROUND($E2239-$F2239,0))</f>
        <v/>
      </c>
      <c r="H2239" s="17">
        <f>IF($B2239="","",IF(ROUND($G2239,0)&gt;0,"بدهکار",IF(ROUND($G2239,0)&lt;0,"بستانکار","تسویه")))</f>
        <v/>
      </c>
    </row>
    <row r="2240">
      <c r="A2240" s="11">
        <f>IF($B2240="","",2231)</f>
        <v/>
      </c>
      <c r="B2240" s="12">
        <f>IF(536&gt;NCapA,"",IFERROR(IF(VLOOKUP(INDEX(PkCapA,536),AcctTblA,4,0)="","(بدون نام)",VLOOKUP(INDEX(PkCapA,536),AcctTblA,4,0)),"—"))</f>
        <v/>
      </c>
      <c r="C2240" s="13">
        <f>IF($B2240="","",IF(536&gt;NCapA,"",INDEX(PkCapA,536)))</f>
        <v/>
      </c>
      <c r="D2240" s="12">
        <f>IF($B2240="","","c")</f>
        <v/>
      </c>
      <c r="E2240" s="14">
        <f>IF($B2240="","",IF(536&gt;NCapA,0,SUMIF(CalcDebit,INDEX(PkCapA,536),CalcAmt)+SUMIF(CalcDebit2,INDEX(PkCapA,536),CalcAmt2)))</f>
        <v/>
      </c>
      <c r="F2240" s="14">
        <f>IF($B2240="","",IF(536&gt;NCapA,0,SUMIF(CalcCredit,INDEX(PkCapA,536),CalcAmt)+SUMIF(CalcCredit2,INDEX(PkCapA,536),CalcAmt2)))</f>
        <v/>
      </c>
      <c r="G2240" s="15">
        <f>IF($B2240="","",ROUND($E2240-$F2240,0))</f>
        <v/>
      </c>
      <c r="H2240" s="12">
        <f>IF($B2240="","",IF(ROUND($G2240,0)&gt;0,"بدهکار",IF(ROUND($G2240,0)&lt;0,"بستانکار","تسویه")))</f>
        <v/>
      </c>
    </row>
    <row r="2241">
      <c r="A2241" s="16">
        <f>IF($B2241="","",2232)</f>
        <v/>
      </c>
      <c r="B2241" s="17">
        <f>IF(537&gt;NCapA,"",IFERROR(IF(VLOOKUP(INDEX(PkCapA,537),AcctTblA,4,0)="","(بدون نام)",VLOOKUP(INDEX(PkCapA,537),AcctTblA,4,0)),"—"))</f>
        <v/>
      </c>
      <c r="C2241" s="18">
        <f>IF($B2241="","",IF(537&gt;NCapA,"",INDEX(PkCapA,537)))</f>
        <v/>
      </c>
      <c r="D2241" s="17">
        <f>IF($B2241="","","c")</f>
        <v/>
      </c>
      <c r="E2241" s="19">
        <f>IF($B2241="","",IF(537&gt;NCapA,0,SUMIF(CalcDebit,INDEX(PkCapA,537),CalcAmt)+SUMIF(CalcDebit2,INDEX(PkCapA,537),CalcAmt2)))</f>
        <v/>
      </c>
      <c r="F2241" s="19">
        <f>IF($B2241="","",IF(537&gt;NCapA,0,SUMIF(CalcCredit,INDEX(PkCapA,537),CalcAmt)+SUMIF(CalcCredit2,INDEX(PkCapA,537),CalcAmt2)))</f>
        <v/>
      </c>
      <c r="G2241" s="20">
        <f>IF($B2241="","",ROUND($E2241-$F2241,0))</f>
        <v/>
      </c>
      <c r="H2241" s="17">
        <f>IF($B2241="","",IF(ROUND($G2241,0)&gt;0,"بدهکار",IF(ROUND($G2241,0)&lt;0,"بستانکار","تسویه")))</f>
        <v/>
      </c>
    </row>
    <row r="2242">
      <c r="A2242" s="11">
        <f>IF($B2242="","",2233)</f>
        <v/>
      </c>
      <c r="B2242" s="12">
        <f>IF(538&gt;NCapA,"",IFERROR(IF(VLOOKUP(INDEX(PkCapA,538),AcctTblA,4,0)="","(بدون نام)",VLOOKUP(INDEX(PkCapA,538),AcctTblA,4,0)),"—"))</f>
        <v/>
      </c>
      <c r="C2242" s="13">
        <f>IF($B2242="","",IF(538&gt;NCapA,"",INDEX(PkCapA,538)))</f>
        <v/>
      </c>
      <c r="D2242" s="12">
        <f>IF($B2242="","","c")</f>
        <v/>
      </c>
      <c r="E2242" s="14">
        <f>IF($B2242="","",IF(538&gt;NCapA,0,SUMIF(CalcDebit,INDEX(PkCapA,538),CalcAmt)+SUMIF(CalcDebit2,INDEX(PkCapA,538),CalcAmt2)))</f>
        <v/>
      </c>
      <c r="F2242" s="14">
        <f>IF($B2242="","",IF(538&gt;NCapA,0,SUMIF(CalcCredit,INDEX(PkCapA,538),CalcAmt)+SUMIF(CalcCredit2,INDEX(PkCapA,538),CalcAmt2)))</f>
        <v/>
      </c>
      <c r="G2242" s="15">
        <f>IF($B2242="","",ROUND($E2242-$F2242,0))</f>
        <v/>
      </c>
      <c r="H2242" s="12">
        <f>IF($B2242="","",IF(ROUND($G2242,0)&gt;0,"بدهکار",IF(ROUND($G2242,0)&lt;0,"بستانکار","تسویه")))</f>
        <v/>
      </c>
    </row>
    <row r="2243">
      <c r="A2243" s="16">
        <f>IF($B2243="","",2234)</f>
        <v/>
      </c>
      <c r="B2243" s="17">
        <f>IF(539&gt;NCapA,"",IFERROR(IF(VLOOKUP(INDEX(PkCapA,539),AcctTblA,4,0)="","(بدون نام)",VLOOKUP(INDEX(PkCapA,539),AcctTblA,4,0)),"—"))</f>
        <v/>
      </c>
      <c r="C2243" s="18">
        <f>IF($B2243="","",IF(539&gt;NCapA,"",INDEX(PkCapA,539)))</f>
        <v/>
      </c>
      <c r="D2243" s="17">
        <f>IF($B2243="","","c")</f>
        <v/>
      </c>
      <c r="E2243" s="19">
        <f>IF($B2243="","",IF(539&gt;NCapA,0,SUMIF(CalcDebit,INDEX(PkCapA,539),CalcAmt)+SUMIF(CalcDebit2,INDEX(PkCapA,539),CalcAmt2)))</f>
        <v/>
      </c>
      <c r="F2243" s="19">
        <f>IF($B2243="","",IF(539&gt;NCapA,0,SUMIF(CalcCredit,INDEX(PkCapA,539),CalcAmt)+SUMIF(CalcCredit2,INDEX(PkCapA,539),CalcAmt2)))</f>
        <v/>
      </c>
      <c r="G2243" s="20">
        <f>IF($B2243="","",ROUND($E2243-$F2243,0))</f>
        <v/>
      </c>
      <c r="H2243" s="17">
        <f>IF($B2243="","",IF(ROUND($G2243,0)&gt;0,"بدهکار",IF(ROUND($G2243,0)&lt;0,"بستانکار","تسویه")))</f>
        <v/>
      </c>
    </row>
    <row r="2244">
      <c r="A2244" s="11">
        <f>IF($B2244="","",2235)</f>
        <v/>
      </c>
      <c r="B2244" s="12">
        <f>IF(540&gt;NCapA,"",IFERROR(IF(VLOOKUP(INDEX(PkCapA,540),AcctTblA,4,0)="","(بدون نام)",VLOOKUP(INDEX(PkCapA,540),AcctTblA,4,0)),"—"))</f>
        <v/>
      </c>
      <c r="C2244" s="13">
        <f>IF($B2244="","",IF(540&gt;NCapA,"",INDEX(PkCapA,540)))</f>
        <v/>
      </c>
      <c r="D2244" s="12">
        <f>IF($B2244="","","c")</f>
        <v/>
      </c>
      <c r="E2244" s="14">
        <f>IF($B2244="","",IF(540&gt;NCapA,0,SUMIF(CalcDebit,INDEX(PkCapA,540),CalcAmt)+SUMIF(CalcDebit2,INDEX(PkCapA,540),CalcAmt2)))</f>
        <v/>
      </c>
      <c r="F2244" s="14">
        <f>IF($B2244="","",IF(540&gt;NCapA,0,SUMIF(CalcCredit,INDEX(PkCapA,540),CalcAmt)+SUMIF(CalcCredit2,INDEX(PkCapA,540),CalcAmt2)))</f>
        <v/>
      </c>
      <c r="G2244" s="15">
        <f>IF($B2244="","",ROUND($E2244-$F2244,0))</f>
        <v/>
      </c>
      <c r="H2244" s="12">
        <f>IF($B2244="","",IF(ROUND($G2244,0)&gt;0,"بدهکار",IF(ROUND($G2244,0)&lt;0,"بستانکار","تسویه")))</f>
        <v/>
      </c>
    </row>
    <row r="2245">
      <c r="A2245" s="16">
        <f>IF($B2245="","",2236)</f>
        <v/>
      </c>
      <c r="B2245" s="17">
        <f>IF(541&gt;NCapA,"",IFERROR(IF(VLOOKUP(INDEX(PkCapA,541),AcctTblA,4,0)="","(بدون نام)",VLOOKUP(INDEX(PkCapA,541),AcctTblA,4,0)),"—"))</f>
        <v/>
      </c>
      <c r="C2245" s="18">
        <f>IF($B2245="","",IF(541&gt;NCapA,"",INDEX(PkCapA,541)))</f>
        <v/>
      </c>
      <c r="D2245" s="17">
        <f>IF($B2245="","","c")</f>
        <v/>
      </c>
      <c r="E2245" s="19">
        <f>IF($B2245="","",IF(541&gt;NCapA,0,SUMIF(CalcDebit,INDEX(PkCapA,541),CalcAmt)+SUMIF(CalcDebit2,INDEX(PkCapA,541),CalcAmt2)))</f>
        <v/>
      </c>
      <c r="F2245" s="19">
        <f>IF($B2245="","",IF(541&gt;NCapA,0,SUMIF(CalcCredit,INDEX(PkCapA,541),CalcAmt)+SUMIF(CalcCredit2,INDEX(PkCapA,541),CalcAmt2)))</f>
        <v/>
      </c>
      <c r="G2245" s="20">
        <f>IF($B2245="","",ROUND($E2245-$F2245,0))</f>
        <v/>
      </c>
      <c r="H2245" s="17">
        <f>IF($B2245="","",IF(ROUND($G2245,0)&gt;0,"بدهکار",IF(ROUND($G2245,0)&lt;0,"بستانکار","تسویه")))</f>
        <v/>
      </c>
    </row>
    <row r="2246">
      <c r="A2246" s="11">
        <f>IF($B2246="","",2237)</f>
        <v/>
      </c>
      <c r="B2246" s="12">
        <f>IF(542&gt;NCapA,"",IFERROR(IF(VLOOKUP(INDEX(PkCapA,542),AcctTblA,4,0)="","(بدون نام)",VLOOKUP(INDEX(PkCapA,542),AcctTblA,4,0)),"—"))</f>
        <v/>
      </c>
      <c r="C2246" s="13">
        <f>IF($B2246="","",IF(542&gt;NCapA,"",INDEX(PkCapA,542)))</f>
        <v/>
      </c>
      <c r="D2246" s="12">
        <f>IF($B2246="","","c")</f>
        <v/>
      </c>
      <c r="E2246" s="14">
        <f>IF($B2246="","",IF(542&gt;NCapA,0,SUMIF(CalcDebit,INDEX(PkCapA,542),CalcAmt)+SUMIF(CalcDebit2,INDEX(PkCapA,542),CalcAmt2)))</f>
        <v/>
      </c>
      <c r="F2246" s="14">
        <f>IF($B2246="","",IF(542&gt;NCapA,0,SUMIF(CalcCredit,INDEX(PkCapA,542),CalcAmt)+SUMIF(CalcCredit2,INDEX(PkCapA,542),CalcAmt2)))</f>
        <v/>
      </c>
      <c r="G2246" s="15">
        <f>IF($B2246="","",ROUND($E2246-$F2246,0))</f>
        <v/>
      </c>
      <c r="H2246" s="12">
        <f>IF($B2246="","",IF(ROUND($G2246,0)&gt;0,"بدهکار",IF(ROUND($G2246,0)&lt;0,"بستانکار","تسویه")))</f>
        <v/>
      </c>
    </row>
    <row r="2247">
      <c r="A2247" s="16">
        <f>IF($B2247="","",2238)</f>
        <v/>
      </c>
      <c r="B2247" s="17">
        <f>IF(543&gt;NCapA,"",IFERROR(IF(VLOOKUP(INDEX(PkCapA,543),AcctTblA,4,0)="","(بدون نام)",VLOOKUP(INDEX(PkCapA,543),AcctTblA,4,0)),"—"))</f>
        <v/>
      </c>
      <c r="C2247" s="18">
        <f>IF($B2247="","",IF(543&gt;NCapA,"",INDEX(PkCapA,543)))</f>
        <v/>
      </c>
      <c r="D2247" s="17">
        <f>IF($B2247="","","c")</f>
        <v/>
      </c>
      <c r="E2247" s="19">
        <f>IF($B2247="","",IF(543&gt;NCapA,0,SUMIF(CalcDebit,INDEX(PkCapA,543),CalcAmt)+SUMIF(CalcDebit2,INDEX(PkCapA,543),CalcAmt2)))</f>
        <v/>
      </c>
      <c r="F2247" s="19">
        <f>IF($B2247="","",IF(543&gt;NCapA,0,SUMIF(CalcCredit,INDEX(PkCapA,543),CalcAmt)+SUMIF(CalcCredit2,INDEX(PkCapA,543),CalcAmt2)))</f>
        <v/>
      </c>
      <c r="G2247" s="20">
        <f>IF($B2247="","",ROUND($E2247-$F2247,0))</f>
        <v/>
      </c>
      <c r="H2247" s="17">
        <f>IF($B2247="","",IF(ROUND($G2247,0)&gt;0,"بدهکار",IF(ROUND($G2247,0)&lt;0,"بستانکار","تسویه")))</f>
        <v/>
      </c>
    </row>
    <row r="2248">
      <c r="A2248" s="11">
        <f>IF($B2248="","",2239)</f>
        <v/>
      </c>
      <c r="B2248" s="12">
        <f>IF(544&gt;NCapA,"",IFERROR(IF(VLOOKUP(INDEX(PkCapA,544),AcctTblA,4,0)="","(بدون نام)",VLOOKUP(INDEX(PkCapA,544),AcctTblA,4,0)),"—"))</f>
        <v/>
      </c>
      <c r="C2248" s="13">
        <f>IF($B2248="","",IF(544&gt;NCapA,"",INDEX(PkCapA,544)))</f>
        <v/>
      </c>
      <c r="D2248" s="12">
        <f>IF($B2248="","","c")</f>
        <v/>
      </c>
      <c r="E2248" s="14">
        <f>IF($B2248="","",IF(544&gt;NCapA,0,SUMIF(CalcDebit,INDEX(PkCapA,544),CalcAmt)+SUMIF(CalcDebit2,INDEX(PkCapA,544),CalcAmt2)))</f>
        <v/>
      </c>
      <c r="F2248" s="14">
        <f>IF($B2248="","",IF(544&gt;NCapA,0,SUMIF(CalcCredit,INDEX(PkCapA,544),CalcAmt)+SUMIF(CalcCredit2,INDEX(PkCapA,544),CalcAmt2)))</f>
        <v/>
      </c>
      <c r="G2248" s="15">
        <f>IF($B2248="","",ROUND($E2248-$F2248,0))</f>
        <v/>
      </c>
      <c r="H2248" s="12">
        <f>IF($B2248="","",IF(ROUND($G2248,0)&gt;0,"بدهکار",IF(ROUND($G2248,0)&lt;0,"بستانکار","تسویه")))</f>
        <v/>
      </c>
    </row>
    <row r="2249">
      <c r="A2249" s="16">
        <f>IF($B2249="","",2240)</f>
        <v/>
      </c>
      <c r="B2249" s="17">
        <f>IF(545&gt;NCapA,"",IFERROR(IF(VLOOKUP(INDEX(PkCapA,545),AcctTblA,4,0)="","(بدون نام)",VLOOKUP(INDEX(PkCapA,545),AcctTblA,4,0)),"—"))</f>
        <v/>
      </c>
      <c r="C2249" s="18">
        <f>IF($B2249="","",IF(545&gt;NCapA,"",INDEX(PkCapA,545)))</f>
        <v/>
      </c>
      <c r="D2249" s="17">
        <f>IF($B2249="","","c")</f>
        <v/>
      </c>
      <c r="E2249" s="19">
        <f>IF($B2249="","",IF(545&gt;NCapA,0,SUMIF(CalcDebit,INDEX(PkCapA,545),CalcAmt)+SUMIF(CalcDebit2,INDEX(PkCapA,545),CalcAmt2)))</f>
        <v/>
      </c>
      <c r="F2249" s="19">
        <f>IF($B2249="","",IF(545&gt;NCapA,0,SUMIF(CalcCredit,INDEX(PkCapA,545),CalcAmt)+SUMIF(CalcCredit2,INDEX(PkCapA,545),CalcAmt2)))</f>
        <v/>
      </c>
      <c r="G2249" s="20">
        <f>IF($B2249="","",ROUND($E2249-$F2249,0))</f>
        <v/>
      </c>
      <c r="H2249" s="17">
        <f>IF($B2249="","",IF(ROUND($G2249,0)&gt;0,"بدهکار",IF(ROUND($G2249,0)&lt;0,"بستانکار","تسویه")))</f>
        <v/>
      </c>
    </row>
    <row r="2250">
      <c r="A2250" s="11">
        <f>IF($B2250="","",2241)</f>
        <v/>
      </c>
      <c r="B2250" s="12">
        <f>IF(546&gt;NCapA,"",IFERROR(IF(VLOOKUP(INDEX(PkCapA,546),AcctTblA,4,0)="","(بدون نام)",VLOOKUP(INDEX(PkCapA,546),AcctTblA,4,0)),"—"))</f>
        <v/>
      </c>
      <c r="C2250" s="13">
        <f>IF($B2250="","",IF(546&gt;NCapA,"",INDEX(PkCapA,546)))</f>
        <v/>
      </c>
      <c r="D2250" s="12">
        <f>IF($B2250="","","c")</f>
        <v/>
      </c>
      <c r="E2250" s="14">
        <f>IF($B2250="","",IF(546&gt;NCapA,0,SUMIF(CalcDebit,INDEX(PkCapA,546),CalcAmt)+SUMIF(CalcDebit2,INDEX(PkCapA,546),CalcAmt2)))</f>
        <v/>
      </c>
      <c r="F2250" s="14">
        <f>IF($B2250="","",IF(546&gt;NCapA,0,SUMIF(CalcCredit,INDEX(PkCapA,546),CalcAmt)+SUMIF(CalcCredit2,INDEX(PkCapA,546),CalcAmt2)))</f>
        <v/>
      </c>
      <c r="G2250" s="15">
        <f>IF($B2250="","",ROUND($E2250-$F2250,0))</f>
        <v/>
      </c>
      <c r="H2250" s="12">
        <f>IF($B2250="","",IF(ROUND($G2250,0)&gt;0,"بدهکار",IF(ROUND($G2250,0)&lt;0,"بستانکار","تسویه")))</f>
        <v/>
      </c>
    </row>
    <row r="2251">
      <c r="A2251" s="16">
        <f>IF($B2251="","",2242)</f>
        <v/>
      </c>
      <c r="B2251" s="17">
        <f>IF(547&gt;NCapA,"",IFERROR(IF(VLOOKUP(INDEX(PkCapA,547),AcctTblA,4,0)="","(بدون نام)",VLOOKUP(INDEX(PkCapA,547),AcctTblA,4,0)),"—"))</f>
        <v/>
      </c>
      <c r="C2251" s="18">
        <f>IF($B2251="","",IF(547&gt;NCapA,"",INDEX(PkCapA,547)))</f>
        <v/>
      </c>
      <c r="D2251" s="17">
        <f>IF($B2251="","","c")</f>
        <v/>
      </c>
      <c r="E2251" s="19">
        <f>IF($B2251="","",IF(547&gt;NCapA,0,SUMIF(CalcDebit,INDEX(PkCapA,547),CalcAmt)+SUMIF(CalcDebit2,INDEX(PkCapA,547),CalcAmt2)))</f>
        <v/>
      </c>
      <c r="F2251" s="19">
        <f>IF($B2251="","",IF(547&gt;NCapA,0,SUMIF(CalcCredit,INDEX(PkCapA,547),CalcAmt)+SUMIF(CalcCredit2,INDEX(PkCapA,547),CalcAmt2)))</f>
        <v/>
      </c>
      <c r="G2251" s="20">
        <f>IF($B2251="","",ROUND($E2251-$F2251,0))</f>
        <v/>
      </c>
      <c r="H2251" s="17">
        <f>IF($B2251="","",IF(ROUND($G2251,0)&gt;0,"بدهکار",IF(ROUND($G2251,0)&lt;0,"بستانکار","تسویه")))</f>
        <v/>
      </c>
    </row>
    <row r="2252">
      <c r="A2252" s="11">
        <f>IF($B2252="","",2243)</f>
        <v/>
      </c>
      <c r="B2252" s="12">
        <f>IF(548&gt;NCapA,"",IFERROR(IF(VLOOKUP(INDEX(PkCapA,548),AcctTblA,4,0)="","(بدون نام)",VLOOKUP(INDEX(PkCapA,548),AcctTblA,4,0)),"—"))</f>
        <v/>
      </c>
      <c r="C2252" s="13">
        <f>IF($B2252="","",IF(548&gt;NCapA,"",INDEX(PkCapA,548)))</f>
        <v/>
      </c>
      <c r="D2252" s="12">
        <f>IF($B2252="","","c")</f>
        <v/>
      </c>
      <c r="E2252" s="14">
        <f>IF($B2252="","",IF(548&gt;NCapA,0,SUMIF(CalcDebit,INDEX(PkCapA,548),CalcAmt)+SUMIF(CalcDebit2,INDEX(PkCapA,548),CalcAmt2)))</f>
        <v/>
      </c>
      <c r="F2252" s="14">
        <f>IF($B2252="","",IF(548&gt;NCapA,0,SUMIF(CalcCredit,INDEX(PkCapA,548),CalcAmt)+SUMIF(CalcCredit2,INDEX(PkCapA,548),CalcAmt2)))</f>
        <v/>
      </c>
      <c r="G2252" s="15">
        <f>IF($B2252="","",ROUND($E2252-$F2252,0))</f>
        <v/>
      </c>
      <c r="H2252" s="12">
        <f>IF($B2252="","",IF(ROUND($G2252,0)&gt;0,"بدهکار",IF(ROUND($G2252,0)&lt;0,"بستانکار","تسویه")))</f>
        <v/>
      </c>
    </row>
    <row r="2253">
      <c r="A2253" s="16">
        <f>IF($B2253="","",2244)</f>
        <v/>
      </c>
      <c r="B2253" s="17">
        <f>IF(549&gt;NCapA,"",IFERROR(IF(VLOOKUP(INDEX(PkCapA,549),AcctTblA,4,0)="","(بدون نام)",VLOOKUP(INDEX(PkCapA,549),AcctTblA,4,0)),"—"))</f>
        <v/>
      </c>
      <c r="C2253" s="18">
        <f>IF($B2253="","",IF(549&gt;NCapA,"",INDEX(PkCapA,549)))</f>
        <v/>
      </c>
      <c r="D2253" s="17">
        <f>IF($B2253="","","c")</f>
        <v/>
      </c>
      <c r="E2253" s="19">
        <f>IF($B2253="","",IF(549&gt;NCapA,0,SUMIF(CalcDebit,INDEX(PkCapA,549),CalcAmt)+SUMIF(CalcDebit2,INDEX(PkCapA,549),CalcAmt2)))</f>
        <v/>
      </c>
      <c r="F2253" s="19">
        <f>IF($B2253="","",IF(549&gt;NCapA,0,SUMIF(CalcCredit,INDEX(PkCapA,549),CalcAmt)+SUMIF(CalcCredit2,INDEX(PkCapA,549),CalcAmt2)))</f>
        <v/>
      </c>
      <c r="G2253" s="20">
        <f>IF($B2253="","",ROUND($E2253-$F2253,0))</f>
        <v/>
      </c>
      <c r="H2253" s="17">
        <f>IF($B2253="","",IF(ROUND($G2253,0)&gt;0,"بدهکار",IF(ROUND($G2253,0)&lt;0,"بستانکار","تسویه")))</f>
        <v/>
      </c>
    </row>
    <row r="2254">
      <c r="A2254" s="11">
        <f>IF($B2254="","",2245)</f>
        <v/>
      </c>
      <c r="B2254" s="12">
        <f>IF(550&gt;NCapA,"",IFERROR(IF(VLOOKUP(INDEX(PkCapA,550),AcctTblA,4,0)="","(بدون نام)",VLOOKUP(INDEX(PkCapA,550),AcctTblA,4,0)),"—"))</f>
        <v/>
      </c>
      <c r="C2254" s="13">
        <f>IF($B2254="","",IF(550&gt;NCapA,"",INDEX(PkCapA,550)))</f>
        <v/>
      </c>
      <c r="D2254" s="12">
        <f>IF($B2254="","","c")</f>
        <v/>
      </c>
      <c r="E2254" s="14">
        <f>IF($B2254="","",IF(550&gt;NCapA,0,SUMIF(CalcDebit,INDEX(PkCapA,550),CalcAmt)+SUMIF(CalcDebit2,INDEX(PkCapA,550),CalcAmt2)))</f>
        <v/>
      </c>
      <c r="F2254" s="14">
        <f>IF($B2254="","",IF(550&gt;NCapA,0,SUMIF(CalcCredit,INDEX(PkCapA,550),CalcAmt)+SUMIF(CalcCredit2,INDEX(PkCapA,550),CalcAmt2)))</f>
        <v/>
      </c>
      <c r="G2254" s="15">
        <f>IF($B2254="","",ROUND($E2254-$F2254,0))</f>
        <v/>
      </c>
      <c r="H2254" s="12">
        <f>IF($B2254="","",IF(ROUND($G2254,0)&gt;0,"بدهکار",IF(ROUND($G2254,0)&lt;0,"بستانکار","تسویه")))</f>
        <v/>
      </c>
    </row>
    <row r="2255">
      <c r="A2255" s="16">
        <f>IF($B2255="","",2246)</f>
        <v/>
      </c>
      <c r="B2255" s="17">
        <f>IF(551&gt;NCapA,"",IFERROR(IF(VLOOKUP(INDEX(PkCapA,551),AcctTblA,4,0)="","(بدون نام)",VLOOKUP(INDEX(PkCapA,551),AcctTblA,4,0)),"—"))</f>
        <v/>
      </c>
      <c r="C2255" s="18">
        <f>IF($B2255="","",IF(551&gt;NCapA,"",INDEX(PkCapA,551)))</f>
        <v/>
      </c>
      <c r="D2255" s="17">
        <f>IF($B2255="","","c")</f>
        <v/>
      </c>
      <c r="E2255" s="19">
        <f>IF($B2255="","",IF(551&gt;NCapA,0,SUMIF(CalcDebit,INDEX(PkCapA,551),CalcAmt)+SUMIF(CalcDebit2,INDEX(PkCapA,551),CalcAmt2)))</f>
        <v/>
      </c>
      <c r="F2255" s="19">
        <f>IF($B2255="","",IF(551&gt;NCapA,0,SUMIF(CalcCredit,INDEX(PkCapA,551),CalcAmt)+SUMIF(CalcCredit2,INDEX(PkCapA,551),CalcAmt2)))</f>
        <v/>
      </c>
      <c r="G2255" s="20">
        <f>IF($B2255="","",ROUND($E2255-$F2255,0))</f>
        <v/>
      </c>
      <c r="H2255" s="17">
        <f>IF($B2255="","",IF(ROUND($G2255,0)&gt;0,"بدهکار",IF(ROUND($G2255,0)&lt;0,"بستانکار","تسویه")))</f>
        <v/>
      </c>
    </row>
    <row r="2256">
      <c r="A2256" s="11">
        <f>IF($B2256="","",2247)</f>
        <v/>
      </c>
      <c r="B2256" s="12">
        <f>IF(552&gt;NCapA,"",IFERROR(IF(VLOOKUP(INDEX(PkCapA,552),AcctTblA,4,0)="","(بدون نام)",VLOOKUP(INDEX(PkCapA,552),AcctTblA,4,0)),"—"))</f>
        <v/>
      </c>
      <c r="C2256" s="13">
        <f>IF($B2256="","",IF(552&gt;NCapA,"",INDEX(PkCapA,552)))</f>
        <v/>
      </c>
      <c r="D2256" s="12">
        <f>IF($B2256="","","c")</f>
        <v/>
      </c>
      <c r="E2256" s="14">
        <f>IF($B2256="","",IF(552&gt;NCapA,0,SUMIF(CalcDebit,INDEX(PkCapA,552),CalcAmt)+SUMIF(CalcDebit2,INDEX(PkCapA,552),CalcAmt2)))</f>
        <v/>
      </c>
      <c r="F2256" s="14">
        <f>IF($B2256="","",IF(552&gt;NCapA,0,SUMIF(CalcCredit,INDEX(PkCapA,552),CalcAmt)+SUMIF(CalcCredit2,INDEX(PkCapA,552),CalcAmt2)))</f>
        <v/>
      </c>
      <c r="G2256" s="15">
        <f>IF($B2256="","",ROUND($E2256-$F2256,0))</f>
        <v/>
      </c>
      <c r="H2256" s="12">
        <f>IF($B2256="","",IF(ROUND($G2256,0)&gt;0,"بدهکار",IF(ROUND($G2256,0)&lt;0,"بستانکار","تسویه")))</f>
        <v/>
      </c>
    </row>
    <row r="2257">
      <c r="A2257" s="16">
        <f>IF($B2257="","",2248)</f>
        <v/>
      </c>
      <c r="B2257" s="17">
        <f>IF(553&gt;NCapA,"",IFERROR(IF(VLOOKUP(INDEX(PkCapA,553),AcctTblA,4,0)="","(بدون نام)",VLOOKUP(INDEX(PkCapA,553),AcctTblA,4,0)),"—"))</f>
        <v/>
      </c>
      <c r="C2257" s="18">
        <f>IF($B2257="","",IF(553&gt;NCapA,"",INDEX(PkCapA,553)))</f>
        <v/>
      </c>
      <c r="D2257" s="17">
        <f>IF($B2257="","","c")</f>
        <v/>
      </c>
      <c r="E2257" s="19">
        <f>IF($B2257="","",IF(553&gt;NCapA,0,SUMIF(CalcDebit,INDEX(PkCapA,553),CalcAmt)+SUMIF(CalcDebit2,INDEX(PkCapA,553),CalcAmt2)))</f>
        <v/>
      </c>
      <c r="F2257" s="19">
        <f>IF($B2257="","",IF(553&gt;NCapA,0,SUMIF(CalcCredit,INDEX(PkCapA,553),CalcAmt)+SUMIF(CalcCredit2,INDEX(PkCapA,553),CalcAmt2)))</f>
        <v/>
      </c>
      <c r="G2257" s="20">
        <f>IF($B2257="","",ROUND($E2257-$F2257,0))</f>
        <v/>
      </c>
      <c r="H2257" s="17">
        <f>IF($B2257="","",IF(ROUND($G2257,0)&gt;0,"بدهکار",IF(ROUND($G2257,0)&lt;0,"بستانکار","تسویه")))</f>
        <v/>
      </c>
    </row>
    <row r="2258">
      <c r="A2258" s="11">
        <f>IF($B2258="","",2249)</f>
        <v/>
      </c>
      <c r="B2258" s="12">
        <f>IF(554&gt;NCapA,"",IFERROR(IF(VLOOKUP(INDEX(PkCapA,554),AcctTblA,4,0)="","(بدون نام)",VLOOKUP(INDEX(PkCapA,554),AcctTblA,4,0)),"—"))</f>
        <v/>
      </c>
      <c r="C2258" s="13">
        <f>IF($B2258="","",IF(554&gt;NCapA,"",INDEX(PkCapA,554)))</f>
        <v/>
      </c>
      <c r="D2258" s="12">
        <f>IF($B2258="","","c")</f>
        <v/>
      </c>
      <c r="E2258" s="14">
        <f>IF($B2258="","",IF(554&gt;NCapA,0,SUMIF(CalcDebit,INDEX(PkCapA,554),CalcAmt)+SUMIF(CalcDebit2,INDEX(PkCapA,554),CalcAmt2)))</f>
        <v/>
      </c>
      <c r="F2258" s="14">
        <f>IF($B2258="","",IF(554&gt;NCapA,0,SUMIF(CalcCredit,INDEX(PkCapA,554),CalcAmt)+SUMIF(CalcCredit2,INDEX(PkCapA,554),CalcAmt2)))</f>
        <v/>
      </c>
      <c r="G2258" s="15">
        <f>IF($B2258="","",ROUND($E2258-$F2258,0))</f>
        <v/>
      </c>
      <c r="H2258" s="12">
        <f>IF($B2258="","",IF(ROUND($G2258,0)&gt;0,"بدهکار",IF(ROUND($G2258,0)&lt;0,"بستانکار","تسویه")))</f>
        <v/>
      </c>
    </row>
    <row r="2259">
      <c r="A2259" s="16">
        <f>IF($B2259="","",2250)</f>
        <v/>
      </c>
      <c r="B2259" s="17">
        <f>IF(555&gt;NCapA,"",IFERROR(IF(VLOOKUP(INDEX(PkCapA,555),AcctTblA,4,0)="","(بدون نام)",VLOOKUP(INDEX(PkCapA,555),AcctTblA,4,0)),"—"))</f>
        <v/>
      </c>
      <c r="C2259" s="18">
        <f>IF($B2259="","",IF(555&gt;NCapA,"",INDEX(PkCapA,555)))</f>
        <v/>
      </c>
      <c r="D2259" s="17">
        <f>IF($B2259="","","c")</f>
        <v/>
      </c>
      <c r="E2259" s="19">
        <f>IF($B2259="","",IF(555&gt;NCapA,0,SUMIF(CalcDebit,INDEX(PkCapA,555),CalcAmt)+SUMIF(CalcDebit2,INDEX(PkCapA,555),CalcAmt2)))</f>
        <v/>
      </c>
      <c r="F2259" s="19">
        <f>IF($B2259="","",IF(555&gt;NCapA,0,SUMIF(CalcCredit,INDEX(PkCapA,555),CalcAmt)+SUMIF(CalcCredit2,INDEX(PkCapA,555),CalcAmt2)))</f>
        <v/>
      </c>
      <c r="G2259" s="20">
        <f>IF($B2259="","",ROUND($E2259-$F2259,0))</f>
        <v/>
      </c>
      <c r="H2259" s="17">
        <f>IF($B2259="","",IF(ROUND($G2259,0)&gt;0,"بدهکار",IF(ROUND($G2259,0)&lt;0,"بستانکار","تسویه")))</f>
        <v/>
      </c>
    </row>
    <row r="2260">
      <c r="A2260" s="11">
        <f>IF($B2260="","",2251)</f>
        <v/>
      </c>
      <c r="B2260" s="12">
        <f>IF(556&gt;NCapA,"",IFERROR(IF(VLOOKUP(INDEX(PkCapA,556),AcctTblA,4,0)="","(بدون نام)",VLOOKUP(INDEX(PkCapA,556),AcctTblA,4,0)),"—"))</f>
        <v/>
      </c>
      <c r="C2260" s="13">
        <f>IF($B2260="","",IF(556&gt;NCapA,"",INDEX(PkCapA,556)))</f>
        <v/>
      </c>
      <c r="D2260" s="12">
        <f>IF($B2260="","","c")</f>
        <v/>
      </c>
      <c r="E2260" s="14">
        <f>IF($B2260="","",IF(556&gt;NCapA,0,SUMIF(CalcDebit,INDEX(PkCapA,556),CalcAmt)+SUMIF(CalcDebit2,INDEX(PkCapA,556),CalcAmt2)))</f>
        <v/>
      </c>
      <c r="F2260" s="14">
        <f>IF($B2260="","",IF(556&gt;NCapA,0,SUMIF(CalcCredit,INDEX(PkCapA,556),CalcAmt)+SUMIF(CalcCredit2,INDEX(PkCapA,556),CalcAmt2)))</f>
        <v/>
      </c>
      <c r="G2260" s="15">
        <f>IF($B2260="","",ROUND($E2260-$F2260,0))</f>
        <v/>
      </c>
      <c r="H2260" s="12">
        <f>IF($B2260="","",IF(ROUND($G2260,0)&gt;0,"بدهکار",IF(ROUND($G2260,0)&lt;0,"بستانکار","تسویه")))</f>
        <v/>
      </c>
    </row>
    <row r="2261">
      <c r="A2261" s="16">
        <f>IF($B2261="","",2252)</f>
        <v/>
      </c>
      <c r="B2261" s="17">
        <f>IF(557&gt;NCapA,"",IFERROR(IF(VLOOKUP(INDEX(PkCapA,557),AcctTblA,4,0)="","(بدون نام)",VLOOKUP(INDEX(PkCapA,557),AcctTblA,4,0)),"—"))</f>
        <v/>
      </c>
      <c r="C2261" s="18">
        <f>IF($B2261="","",IF(557&gt;NCapA,"",INDEX(PkCapA,557)))</f>
        <v/>
      </c>
      <c r="D2261" s="17">
        <f>IF($B2261="","","c")</f>
        <v/>
      </c>
      <c r="E2261" s="19">
        <f>IF($B2261="","",IF(557&gt;NCapA,0,SUMIF(CalcDebit,INDEX(PkCapA,557),CalcAmt)+SUMIF(CalcDebit2,INDEX(PkCapA,557),CalcAmt2)))</f>
        <v/>
      </c>
      <c r="F2261" s="19">
        <f>IF($B2261="","",IF(557&gt;NCapA,0,SUMIF(CalcCredit,INDEX(PkCapA,557),CalcAmt)+SUMIF(CalcCredit2,INDEX(PkCapA,557),CalcAmt2)))</f>
        <v/>
      </c>
      <c r="G2261" s="20">
        <f>IF($B2261="","",ROUND($E2261-$F2261,0))</f>
        <v/>
      </c>
      <c r="H2261" s="17">
        <f>IF($B2261="","",IF(ROUND($G2261,0)&gt;0,"بدهکار",IF(ROUND($G2261,0)&lt;0,"بستانکار","تسویه")))</f>
        <v/>
      </c>
    </row>
    <row r="2262">
      <c r="A2262" s="11">
        <f>IF($B2262="","",2253)</f>
        <v/>
      </c>
      <c r="B2262" s="12">
        <f>IF(558&gt;NCapA,"",IFERROR(IF(VLOOKUP(INDEX(PkCapA,558),AcctTblA,4,0)="","(بدون نام)",VLOOKUP(INDEX(PkCapA,558),AcctTblA,4,0)),"—"))</f>
        <v/>
      </c>
      <c r="C2262" s="13">
        <f>IF($B2262="","",IF(558&gt;NCapA,"",INDEX(PkCapA,558)))</f>
        <v/>
      </c>
      <c r="D2262" s="12">
        <f>IF($B2262="","","c")</f>
        <v/>
      </c>
      <c r="E2262" s="14">
        <f>IF($B2262="","",IF(558&gt;NCapA,0,SUMIF(CalcDebit,INDEX(PkCapA,558),CalcAmt)+SUMIF(CalcDebit2,INDEX(PkCapA,558),CalcAmt2)))</f>
        <v/>
      </c>
      <c r="F2262" s="14">
        <f>IF($B2262="","",IF(558&gt;NCapA,0,SUMIF(CalcCredit,INDEX(PkCapA,558),CalcAmt)+SUMIF(CalcCredit2,INDEX(PkCapA,558),CalcAmt2)))</f>
        <v/>
      </c>
      <c r="G2262" s="15">
        <f>IF($B2262="","",ROUND($E2262-$F2262,0))</f>
        <v/>
      </c>
      <c r="H2262" s="12">
        <f>IF($B2262="","",IF(ROUND($G2262,0)&gt;0,"بدهکار",IF(ROUND($G2262,0)&lt;0,"بستانکار","تسویه")))</f>
        <v/>
      </c>
    </row>
    <row r="2263">
      <c r="A2263" s="16">
        <f>IF($B2263="","",2254)</f>
        <v/>
      </c>
      <c r="B2263" s="17">
        <f>IF(559&gt;NCapA,"",IFERROR(IF(VLOOKUP(INDEX(PkCapA,559),AcctTblA,4,0)="","(بدون نام)",VLOOKUP(INDEX(PkCapA,559),AcctTblA,4,0)),"—"))</f>
        <v/>
      </c>
      <c r="C2263" s="18">
        <f>IF($B2263="","",IF(559&gt;NCapA,"",INDEX(PkCapA,559)))</f>
        <v/>
      </c>
      <c r="D2263" s="17">
        <f>IF($B2263="","","c")</f>
        <v/>
      </c>
      <c r="E2263" s="19">
        <f>IF($B2263="","",IF(559&gt;NCapA,0,SUMIF(CalcDebit,INDEX(PkCapA,559),CalcAmt)+SUMIF(CalcDebit2,INDEX(PkCapA,559),CalcAmt2)))</f>
        <v/>
      </c>
      <c r="F2263" s="19">
        <f>IF($B2263="","",IF(559&gt;NCapA,0,SUMIF(CalcCredit,INDEX(PkCapA,559),CalcAmt)+SUMIF(CalcCredit2,INDEX(PkCapA,559),CalcAmt2)))</f>
        <v/>
      </c>
      <c r="G2263" s="20">
        <f>IF($B2263="","",ROUND($E2263-$F2263,0))</f>
        <v/>
      </c>
      <c r="H2263" s="17">
        <f>IF($B2263="","",IF(ROUND($G2263,0)&gt;0,"بدهکار",IF(ROUND($G2263,0)&lt;0,"بستانکار","تسویه")))</f>
        <v/>
      </c>
    </row>
    <row r="2264">
      <c r="A2264" s="11">
        <f>IF($B2264="","",2255)</f>
        <v/>
      </c>
      <c r="B2264" s="12">
        <f>IF(560&gt;NCapA,"",IFERROR(IF(VLOOKUP(INDEX(PkCapA,560),AcctTblA,4,0)="","(بدون نام)",VLOOKUP(INDEX(PkCapA,560),AcctTblA,4,0)),"—"))</f>
        <v/>
      </c>
      <c r="C2264" s="13">
        <f>IF($B2264="","",IF(560&gt;NCapA,"",INDEX(PkCapA,560)))</f>
        <v/>
      </c>
      <c r="D2264" s="12">
        <f>IF($B2264="","","c")</f>
        <v/>
      </c>
      <c r="E2264" s="14">
        <f>IF($B2264="","",IF(560&gt;NCapA,0,SUMIF(CalcDebit,INDEX(PkCapA,560),CalcAmt)+SUMIF(CalcDebit2,INDEX(PkCapA,560),CalcAmt2)))</f>
        <v/>
      </c>
      <c r="F2264" s="14">
        <f>IF($B2264="","",IF(560&gt;NCapA,0,SUMIF(CalcCredit,INDEX(PkCapA,560),CalcAmt)+SUMIF(CalcCredit2,INDEX(PkCapA,560),CalcAmt2)))</f>
        <v/>
      </c>
      <c r="G2264" s="15">
        <f>IF($B2264="","",ROUND($E2264-$F2264,0))</f>
        <v/>
      </c>
      <c r="H2264" s="12">
        <f>IF($B2264="","",IF(ROUND($G2264,0)&gt;0,"بدهکار",IF(ROUND($G2264,0)&lt;0,"بستانکار","تسویه")))</f>
        <v/>
      </c>
    </row>
    <row r="2265">
      <c r="A2265" s="16">
        <f>IF($B2265="","",2256)</f>
        <v/>
      </c>
      <c r="B2265" s="17">
        <f>IF(1&gt;NExpA,"","هزینه: "&amp;INDEX(PkExpA,1))</f>
        <v/>
      </c>
      <c r="C2265" s="18">
        <f>IF($B2265="","","هزینه: "&amp;IF(1&gt;NExpA,"",INDEX(PkExpA,1)))</f>
        <v/>
      </c>
      <c r="D2265" s="17">
        <f>IF($B2265="","","e")</f>
        <v/>
      </c>
      <c r="E2265" s="19">
        <f>IF($B2265="","",IF(1&gt;NExpA,0,SUMIF(CalcDebit,"هزینه: "&amp;INDEX(PkExpA,1),CalcAmt)))</f>
        <v/>
      </c>
      <c r="F2265" s="19">
        <f>IF($B2265="","",IF(1&gt;NExpA,0,SUMIF(CalcCredit,"هزینه: "&amp;INDEX(PkExpA,1),CalcAmt)))</f>
        <v/>
      </c>
      <c r="G2265" s="20">
        <f>IF($B2265="","",ROUND($E2265-$F2265,0))</f>
        <v/>
      </c>
      <c r="H2265" s="17">
        <f>IF($B2265="","",IF(ROUND($G2265,0)&gt;0,"بدهکار",IF(ROUND($G2265,0)&lt;0,"بستانکار","تسویه")))</f>
        <v/>
      </c>
    </row>
    <row r="2266">
      <c r="A2266" s="11">
        <f>IF($B2266="","",2257)</f>
        <v/>
      </c>
      <c r="B2266" s="12">
        <f>IF(2&gt;NExpA,"","هزینه: "&amp;INDEX(PkExpA,2))</f>
        <v/>
      </c>
      <c r="C2266" s="13">
        <f>IF($B2266="","","هزینه: "&amp;IF(2&gt;NExpA,"",INDEX(PkExpA,2)))</f>
        <v/>
      </c>
      <c r="D2266" s="12">
        <f>IF($B2266="","","e")</f>
        <v/>
      </c>
      <c r="E2266" s="14">
        <f>IF($B2266="","",IF(2&gt;NExpA,0,SUMIF(CalcDebit,"هزینه: "&amp;INDEX(PkExpA,2),CalcAmt)))</f>
        <v/>
      </c>
      <c r="F2266" s="14">
        <f>IF($B2266="","",IF(2&gt;NExpA,0,SUMIF(CalcCredit,"هزینه: "&amp;INDEX(PkExpA,2),CalcAmt)))</f>
        <v/>
      </c>
      <c r="G2266" s="15">
        <f>IF($B2266="","",ROUND($E2266-$F2266,0))</f>
        <v/>
      </c>
      <c r="H2266" s="12">
        <f>IF($B2266="","",IF(ROUND($G2266,0)&gt;0,"بدهکار",IF(ROUND($G2266,0)&lt;0,"بستانکار","تسویه")))</f>
        <v/>
      </c>
    </row>
    <row r="2267">
      <c r="A2267" s="16">
        <f>IF($B2267="","",2258)</f>
        <v/>
      </c>
      <c r="B2267" s="17">
        <f>IF(3&gt;NExpA,"","هزینه: "&amp;INDEX(PkExpA,3))</f>
        <v/>
      </c>
      <c r="C2267" s="18">
        <f>IF($B2267="","","هزینه: "&amp;IF(3&gt;NExpA,"",INDEX(PkExpA,3)))</f>
        <v/>
      </c>
      <c r="D2267" s="17">
        <f>IF($B2267="","","e")</f>
        <v/>
      </c>
      <c r="E2267" s="19">
        <f>IF($B2267="","",IF(3&gt;NExpA,0,SUMIF(CalcDebit,"هزینه: "&amp;INDEX(PkExpA,3),CalcAmt)))</f>
        <v/>
      </c>
      <c r="F2267" s="19">
        <f>IF($B2267="","",IF(3&gt;NExpA,0,SUMIF(CalcCredit,"هزینه: "&amp;INDEX(PkExpA,3),CalcAmt)))</f>
        <v/>
      </c>
      <c r="G2267" s="20">
        <f>IF($B2267="","",ROUND($E2267-$F2267,0))</f>
        <v/>
      </c>
      <c r="H2267" s="17">
        <f>IF($B2267="","",IF(ROUND($G2267,0)&gt;0,"بدهکار",IF(ROUND($G2267,0)&lt;0,"بستانکار","تسویه")))</f>
        <v/>
      </c>
    </row>
    <row r="2268">
      <c r="A2268" s="11">
        <f>IF($B2268="","",2259)</f>
        <v/>
      </c>
      <c r="B2268" s="12">
        <f>IF(4&gt;NExpA,"","هزینه: "&amp;INDEX(PkExpA,4))</f>
        <v/>
      </c>
      <c r="C2268" s="13">
        <f>IF($B2268="","","هزینه: "&amp;IF(4&gt;NExpA,"",INDEX(PkExpA,4)))</f>
        <v/>
      </c>
      <c r="D2268" s="12">
        <f>IF($B2268="","","e")</f>
        <v/>
      </c>
      <c r="E2268" s="14">
        <f>IF($B2268="","",IF(4&gt;NExpA,0,SUMIF(CalcDebit,"هزینه: "&amp;INDEX(PkExpA,4),CalcAmt)))</f>
        <v/>
      </c>
      <c r="F2268" s="14">
        <f>IF($B2268="","",IF(4&gt;NExpA,0,SUMIF(CalcCredit,"هزینه: "&amp;INDEX(PkExpA,4),CalcAmt)))</f>
        <v/>
      </c>
      <c r="G2268" s="15">
        <f>IF($B2268="","",ROUND($E2268-$F2268,0))</f>
        <v/>
      </c>
      <c r="H2268" s="12">
        <f>IF($B2268="","",IF(ROUND($G2268,0)&gt;0,"بدهکار",IF(ROUND($G2268,0)&lt;0,"بستانکار","تسویه")))</f>
        <v/>
      </c>
    </row>
    <row r="2269">
      <c r="A2269" s="16">
        <f>IF($B2269="","",2260)</f>
        <v/>
      </c>
      <c r="B2269" s="17">
        <f>IF(5&gt;NExpA,"","هزینه: "&amp;INDEX(PkExpA,5))</f>
        <v/>
      </c>
      <c r="C2269" s="18">
        <f>IF($B2269="","","هزینه: "&amp;IF(5&gt;NExpA,"",INDEX(PkExpA,5)))</f>
        <v/>
      </c>
      <c r="D2269" s="17">
        <f>IF($B2269="","","e")</f>
        <v/>
      </c>
      <c r="E2269" s="19">
        <f>IF($B2269="","",IF(5&gt;NExpA,0,SUMIF(CalcDebit,"هزینه: "&amp;INDEX(PkExpA,5),CalcAmt)))</f>
        <v/>
      </c>
      <c r="F2269" s="19">
        <f>IF($B2269="","",IF(5&gt;NExpA,0,SUMIF(CalcCredit,"هزینه: "&amp;INDEX(PkExpA,5),CalcAmt)))</f>
        <v/>
      </c>
      <c r="G2269" s="20">
        <f>IF($B2269="","",ROUND($E2269-$F2269,0))</f>
        <v/>
      </c>
      <c r="H2269" s="17">
        <f>IF($B2269="","",IF(ROUND($G2269,0)&gt;0,"بدهکار",IF(ROUND($G2269,0)&lt;0,"بستانکار","تسویه")))</f>
        <v/>
      </c>
    </row>
    <row r="2270">
      <c r="A2270" s="11">
        <f>IF($B2270="","",2261)</f>
        <v/>
      </c>
      <c r="B2270" s="12">
        <f>IF(6&gt;NExpA,"","هزینه: "&amp;INDEX(PkExpA,6))</f>
        <v/>
      </c>
      <c r="C2270" s="13">
        <f>IF($B2270="","","هزینه: "&amp;IF(6&gt;NExpA,"",INDEX(PkExpA,6)))</f>
        <v/>
      </c>
      <c r="D2270" s="12">
        <f>IF($B2270="","","e")</f>
        <v/>
      </c>
      <c r="E2270" s="14">
        <f>IF($B2270="","",IF(6&gt;NExpA,0,SUMIF(CalcDebit,"هزینه: "&amp;INDEX(PkExpA,6),CalcAmt)))</f>
        <v/>
      </c>
      <c r="F2270" s="14">
        <f>IF($B2270="","",IF(6&gt;NExpA,0,SUMIF(CalcCredit,"هزینه: "&amp;INDEX(PkExpA,6),CalcAmt)))</f>
        <v/>
      </c>
      <c r="G2270" s="15">
        <f>IF($B2270="","",ROUND($E2270-$F2270,0))</f>
        <v/>
      </c>
      <c r="H2270" s="12">
        <f>IF($B2270="","",IF(ROUND($G2270,0)&gt;0,"بدهکار",IF(ROUND($G2270,0)&lt;0,"بستانکار","تسویه")))</f>
        <v/>
      </c>
    </row>
    <row r="2271">
      <c r="A2271" s="16">
        <f>IF($B2271="","",2262)</f>
        <v/>
      </c>
      <c r="B2271" s="17">
        <f>IF(7&gt;NExpA,"","هزینه: "&amp;INDEX(PkExpA,7))</f>
        <v/>
      </c>
      <c r="C2271" s="18">
        <f>IF($B2271="","","هزینه: "&amp;IF(7&gt;NExpA,"",INDEX(PkExpA,7)))</f>
        <v/>
      </c>
      <c r="D2271" s="17">
        <f>IF($B2271="","","e")</f>
        <v/>
      </c>
      <c r="E2271" s="19">
        <f>IF($B2271="","",IF(7&gt;NExpA,0,SUMIF(CalcDebit,"هزینه: "&amp;INDEX(PkExpA,7),CalcAmt)))</f>
        <v/>
      </c>
      <c r="F2271" s="19">
        <f>IF($B2271="","",IF(7&gt;NExpA,0,SUMIF(CalcCredit,"هزینه: "&amp;INDEX(PkExpA,7),CalcAmt)))</f>
        <v/>
      </c>
      <c r="G2271" s="20">
        <f>IF($B2271="","",ROUND($E2271-$F2271,0))</f>
        <v/>
      </c>
      <c r="H2271" s="17">
        <f>IF($B2271="","",IF(ROUND($G2271,0)&gt;0,"بدهکار",IF(ROUND($G2271,0)&lt;0,"بستانکار","تسویه")))</f>
        <v/>
      </c>
    </row>
    <row r="2272">
      <c r="A2272" s="11">
        <f>IF($B2272="","",2263)</f>
        <v/>
      </c>
      <c r="B2272" s="12">
        <f>IF(8&gt;NExpA,"","هزینه: "&amp;INDEX(PkExpA,8))</f>
        <v/>
      </c>
      <c r="C2272" s="13">
        <f>IF($B2272="","","هزینه: "&amp;IF(8&gt;NExpA,"",INDEX(PkExpA,8)))</f>
        <v/>
      </c>
      <c r="D2272" s="12">
        <f>IF($B2272="","","e")</f>
        <v/>
      </c>
      <c r="E2272" s="14">
        <f>IF($B2272="","",IF(8&gt;NExpA,0,SUMIF(CalcDebit,"هزینه: "&amp;INDEX(PkExpA,8),CalcAmt)))</f>
        <v/>
      </c>
      <c r="F2272" s="14">
        <f>IF($B2272="","",IF(8&gt;NExpA,0,SUMIF(CalcCredit,"هزینه: "&amp;INDEX(PkExpA,8),CalcAmt)))</f>
        <v/>
      </c>
      <c r="G2272" s="15">
        <f>IF($B2272="","",ROUND($E2272-$F2272,0))</f>
        <v/>
      </c>
      <c r="H2272" s="12">
        <f>IF($B2272="","",IF(ROUND($G2272,0)&gt;0,"بدهکار",IF(ROUND($G2272,0)&lt;0,"بستانکار","تسویه")))</f>
        <v/>
      </c>
    </row>
    <row r="2273">
      <c r="A2273" s="16">
        <f>IF($B2273="","",2264)</f>
        <v/>
      </c>
      <c r="B2273" s="17">
        <f>IF(9&gt;NExpA,"","هزینه: "&amp;INDEX(PkExpA,9))</f>
        <v/>
      </c>
      <c r="C2273" s="18">
        <f>IF($B2273="","","هزینه: "&amp;IF(9&gt;NExpA,"",INDEX(PkExpA,9)))</f>
        <v/>
      </c>
      <c r="D2273" s="17">
        <f>IF($B2273="","","e")</f>
        <v/>
      </c>
      <c r="E2273" s="19">
        <f>IF($B2273="","",IF(9&gt;NExpA,0,SUMIF(CalcDebit,"هزینه: "&amp;INDEX(PkExpA,9),CalcAmt)))</f>
        <v/>
      </c>
      <c r="F2273" s="19">
        <f>IF($B2273="","",IF(9&gt;NExpA,0,SUMIF(CalcCredit,"هزینه: "&amp;INDEX(PkExpA,9),CalcAmt)))</f>
        <v/>
      </c>
      <c r="G2273" s="20">
        <f>IF($B2273="","",ROUND($E2273-$F2273,0))</f>
        <v/>
      </c>
      <c r="H2273" s="17">
        <f>IF($B2273="","",IF(ROUND($G2273,0)&gt;0,"بدهکار",IF(ROUND($G2273,0)&lt;0,"بستانکار","تسویه")))</f>
        <v/>
      </c>
    </row>
    <row r="2274">
      <c r="A2274" s="11">
        <f>IF($B2274="","",2265)</f>
        <v/>
      </c>
      <c r="B2274" s="12">
        <f>IF(10&gt;NExpA,"","هزینه: "&amp;INDEX(PkExpA,10))</f>
        <v/>
      </c>
      <c r="C2274" s="13">
        <f>IF($B2274="","","هزینه: "&amp;IF(10&gt;NExpA,"",INDEX(PkExpA,10)))</f>
        <v/>
      </c>
      <c r="D2274" s="12">
        <f>IF($B2274="","","e")</f>
        <v/>
      </c>
      <c r="E2274" s="14">
        <f>IF($B2274="","",IF(10&gt;NExpA,0,SUMIF(CalcDebit,"هزینه: "&amp;INDEX(PkExpA,10),CalcAmt)))</f>
        <v/>
      </c>
      <c r="F2274" s="14">
        <f>IF($B2274="","",IF(10&gt;NExpA,0,SUMIF(CalcCredit,"هزینه: "&amp;INDEX(PkExpA,10),CalcAmt)))</f>
        <v/>
      </c>
      <c r="G2274" s="15">
        <f>IF($B2274="","",ROUND($E2274-$F2274,0))</f>
        <v/>
      </c>
      <c r="H2274" s="12">
        <f>IF($B2274="","",IF(ROUND($G2274,0)&gt;0,"بدهکار",IF(ROUND($G2274,0)&lt;0,"بستانکار","تسویه")))</f>
        <v/>
      </c>
    </row>
    <row r="2275">
      <c r="A2275" s="16">
        <f>IF($B2275="","",2266)</f>
        <v/>
      </c>
      <c r="B2275" s="17">
        <f>IF(11&gt;NExpA,"","هزینه: "&amp;INDEX(PkExpA,11))</f>
        <v/>
      </c>
      <c r="C2275" s="18">
        <f>IF($B2275="","","هزینه: "&amp;IF(11&gt;NExpA,"",INDEX(PkExpA,11)))</f>
        <v/>
      </c>
      <c r="D2275" s="17">
        <f>IF($B2275="","","e")</f>
        <v/>
      </c>
      <c r="E2275" s="19">
        <f>IF($B2275="","",IF(11&gt;NExpA,0,SUMIF(CalcDebit,"هزینه: "&amp;INDEX(PkExpA,11),CalcAmt)))</f>
        <v/>
      </c>
      <c r="F2275" s="19">
        <f>IF($B2275="","",IF(11&gt;NExpA,0,SUMIF(CalcCredit,"هزینه: "&amp;INDEX(PkExpA,11),CalcAmt)))</f>
        <v/>
      </c>
      <c r="G2275" s="20">
        <f>IF($B2275="","",ROUND($E2275-$F2275,0))</f>
        <v/>
      </c>
      <c r="H2275" s="17">
        <f>IF($B2275="","",IF(ROUND($G2275,0)&gt;0,"بدهکار",IF(ROUND($G2275,0)&lt;0,"بستانکار","تسویه")))</f>
        <v/>
      </c>
    </row>
    <row r="2276">
      <c r="A2276" s="11">
        <f>IF($B2276="","",2267)</f>
        <v/>
      </c>
      <c r="B2276" s="12">
        <f>IF(12&gt;NExpA,"","هزینه: "&amp;INDEX(PkExpA,12))</f>
        <v/>
      </c>
      <c r="C2276" s="13">
        <f>IF($B2276="","","هزینه: "&amp;IF(12&gt;NExpA,"",INDEX(PkExpA,12)))</f>
        <v/>
      </c>
      <c r="D2276" s="12">
        <f>IF($B2276="","","e")</f>
        <v/>
      </c>
      <c r="E2276" s="14">
        <f>IF($B2276="","",IF(12&gt;NExpA,0,SUMIF(CalcDebit,"هزینه: "&amp;INDEX(PkExpA,12),CalcAmt)))</f>
        <v/>
      </c>
      <c r="F2276" s="14">
        <f>IF($B2276="","",IF(12&gt;NExpA,0,SUMIF(CalcCredit,"هزینه: "&amp;INDEX(PkExpA,12),CalcAmt)))</f>
        <v/>
      </c>
      <c r="G2276" s="15">
        <f>IF($B2276="","",ROUND($E2276-$F2276,0))</f>
        <v/>
      </c>
      <c r="H2276" s="12">
        <f>IF($B2276="","",IF(ROUND($G2276,0)&gt;0,"بدهکار",IF(ROUND($G2276,0)&lt;0,"بستانکار","تسویه")))</f>
        <v/>
      </c>
    </row>
    <row r="2277">
      <c r="A2277" s="16">
        <f>IF($B2277="","",2268)</f>
        <v/>
      </c>
      <c r="B2277" s="17">
        <f>IF(13&gt;NExpA,"","هزینه: "&amp;INDEX(PkExpA,13))</f>
        <v/>
      </c>
      <c r="C2277" s="18">
        <f>IF($B2277="","","هزینه: "&amp;IF(13&gt;NExpA,"",INDEX(PkExpA,13)))</f>
        <v/>
      </c>
      <c r="D2277" s="17">
        <f>IF($B2277="","","e")</f>
        <v/>
      </c>
      <c r="E2277" s="19">
        <f>IF($B2277="","",IF(13&gt;NExpA,0,SUMIF(CalcDebit,"هزینه: "&amp;INDEX(PkExpA,13),CalcAmt)))</f>
        <v/>
      </c>
      <c r="F2277" s="19">
        <f>IF($B2277="","",IF(13&gt;NExpA,0,SUMIF(CalcCredit,"هزینه: "&amp;INDEX(PkExpA,13),CalcAmt)))</f>
        <v/>
      </c>
      <c r="G2277" s="20">
        <f>IF($B2277="","",ROUND($E2277-$F2277,0))</f>
        <v/>
      </c>
      <c r="H2277" s="17">
        <f>IF($B2277="","",IF(ROUND($G2277,0)&gt;0,"بدهکار",IF(ROUND($G2277,0)&lt;0,"بستانکار","تسویه")))</f>
        <v/>
      </c>
    </row>
    <row r="2278">
      <c r="A2278" s="11">
        <f>IF($B2278="","",2269)</f>
        <v/>
      </c>
      <c r="B2278" s="12">
        <f>IF(14&gt;NExpA,"","هزینه: "&amp;INDEX(PkExpA,14))</f>
        <v/>
      </c>
      <c r="C2278" s="13">
        <f>IF($B2278="","","هزینه: "&amp;IF(14&gt;NExpA,"",INDEX(PkExpA,14)))</f>
        <v/>
      </c>
      <c r="D2278" s="12">
        <f>IF($B2278="","","e")</f>
        <v/>
      </c>
      <c r="E2278" s="14">
        <f>IF($B2278="","",IF(14&gt;NExpA,0,SUMIF(CalcDebit,"هزینه: "&amp;INDEX(PkExpA,14),CalcAmt)))</f>
        <v/>
      </c>
      <c r="F2278" s="14">
        <f>IF($B2278="","",IF(14&gt;NExpA,0,SUMIF(CalcCredit,"هزینه: "&amp;INDEX(PkExpA,14),CalcAmt)))</f>
        <v/>
      </c>
      <c r="G2278" s="15">
        <f>IF($B2278="","",ROUND($E2278-$F2278,0))</f>
        <v/>
      </c>
      <c r="H2278" s="12">
        <f>IF($B2278="","",IF(ROUND($G2278,0)&gt;0,"بدهکار",IF(ROUND($G2278,0)&lt;0,"بستانکار","تسویه")))</f>
        <v/>
      </c>
    </row>
    <row r="2279">
      <c r="A2279" s="16">
        <f>IF($B2279="","",2270)</f>
        <v/>
      </c>
      <c r="B2279" s="17">
        <f>IF(15&gt;NExpA,"","هزینه: "&amp;INDEX(PkExpA,15))</f>
        <v/>
      </c>
      <c r="C2279" s="18">
        <f>IF($B2279="","","هزینه: "&amp;IF(15&gt;NExpA,"",INDEX(PkExpA,15)))</f>
        <v/>
      </c>
      <c r="D2279" s="17">
        <f>IF($B2279="","","e")</f>
        <v/>
      </c>
      <c r="E2279" s="19">
        <f>IF($B2279="","",IF(15&gt;NExpA,0,SUMIF(CalcDebit,"هزینه: "&amp;INDEX(PkExpA,15),CalcAmt)))</f>
        <v/>
      </c>
      <c r="F2279" s="19">
        <f>IF($B2279="","",IF(15&gt;NExpA,0,SUMIF(CalcCredit,"هزینه: "&amp;INDEX(PkExpA,15),CalcAmt)))</f>
        <v/>
      </c>
      <c r="G2279" s="20">
        <f>IF($B2279="","",ROUND($E2279-$F2279,0))</f>
        <v/>
      </c>
      <c r="H2279" s="17">
        <f>IF($B2279="","",IF(ROUND($G2279,0)&gt;0,"بدهکار",IF(ROUND($G2279,0)&lt;0,"بستانکار","تسویه")))</f>
        <v/>
      </c>
    </row>
    <row r="2280">
      <c r="A2280" s="11">
        <f>IF($B2280="","",2271)</f>
        <v/>
      </c>
      <c r="B2280" s="12">
        <f>IF(16&gt;NExpA,"","هزینه: "&amp;INDEX(PkExpA,16))</f>
        <v/>
      </c>
      <c r="C2280" s="13">
        <f>IF($B2280="","","هزینه: "&amp;IF(16&gt;NExpA,"",INDEX(PkExpA,16)))</f>
        <v/>
      </c>
      <c r="D2280" s="12">
        <f>IF($B2280="","","e")</f>
        <v/>
      </c>
      <c r="E2280" s="14">
        <f>IF($B2280="","",IF(16&gt;NExpA,0,SUMIF(CalcDebit,"هزینه: "&amp;INDEX(PkExpA,16),CalcAmt)))</f>
        <v/>
      </c>
      <c r="F2280" s="14">
        <f>IF($B2280="","",IF(16&gt;NExpA,0,SUMIF(CalcCredit,"هزینه: "&amp;INDEX(PkExpA,16),CalcAmt)))</f>
        <v/>
      </c>
      <c r="G2280" s="15">
        <f>IF($B2280="","",ROUND($E2280-$F2280,0))</f>
        <v/>
      </c>
      <c r="H2280" s="12">
        <f>IF($B2280="","",IF(ROUND($G2280,0)&gt;0,"بدهکار",IF(ROUND($G2280,0)&lt;0,"بستانکار","تسویه")))</f>
        <v/>
      </c>
    </row>
    <row r="2281">
      <c r="A2281" s="16">
        <f>IF($B2281="","",2272)</f>
        <v/>
      </c>
      <c r="B2281" s="17">
        <f>IF(17&gt;NExpA,"","هزینه: "&amp;INDEX(PkExpA,17))</f>
        <v/>
      </c>
      <c r="C2281" s="18">
        <f>IF($B2281="","","هزینه: "&amp;IF(17&gt;NExpA,"",INDEX(PkExpA,17)))</f>
        <v/>
      </c>
      <c r="D2281" s="17">
        <f>IF($B2281="","","e")</f>
        <v/>
      </c>
      <c r="E2281" s="19">
        <f>IF($B2281="","",IF(17&gt;NExpA,0,SUMIF(CalcDebit,"هزینه: "&amp;INDEX(PkExpA,17),CalcAmt)))</f>
        <v/>
      </c>
      <c r="F2281" s="19">
        <f>IF($B2281="","",IF(17&gt;NExpA,0,SUMIF(CalcCredit,"هزینه: "&amp;INDEX(PkExpA,17),CalcAmt)))</f>
        <v/>
      </c>
      <c r="G2281" s="20">
        <f>IF($B2281="","",ROUND($E2281-$F2281,0))</f>
        <v/>
      </c>
      <c r="H2281" s="17">
        <f>IF($B2281="","",IF(ROUND($G2281,0)&gt;0,"بدهکار",IF(ROUND($G2281,0)&lt;0,"بستانکار","تسویه")))</f>
        <v/>
      </c>
    </row>
    <row r="2282">
      <c r="A2282" s="11">
        <f>IF($B2282="","",2273)</f>
        <v/>
      </c>
      <c r="B2282" s="12">
        <f>IF(18&gt;NExpA,"","هزینه: "&amp;INDEX(PkExpA,18))</f>
        <v/>
      </c>
      <c r="C2282" s="13">
        <f>IF($B2282="","","هزینه: "&amp;IF(18&gt;NExpA,"",INDEX(PkExpA,18)))</f>
        <v/>
      </c>
      <c r="D2282" s="12">
        <f>IF($B2282="","","e")</f>
        <v/>
      </c>
      <c r="E2282" s="14">
        <f>IF($B2282="","",IF(18&gt;NExpA,0,SUMIF(CalcDebit,"هزینه: "&amp;INDEX(PkExpA,18),CalcAmt)))</f>
        <v/>
      </c>
      <c r="F2282" s="14">
        <f>IF($B2282="","",IF(18&gt;NExpA,0,SUMIF(CalcCredit,"هزینه: "&amp;INDEX(PkExpA,18),CalcAmt)))</f>
        <v/>
      </c>
      <c r="G2282" s="15">
        <f>IF($B2282="","",ROUND($E2282-$F2282,0))</f>
        <v/>
      </c>
      <c r="H2282" s="12">
        <f>IF($B2282="","",IF(ROUND($G2282,0)&gt;0,"بدهکار",IF(ROUND($G2282,0)&lt;0,"بستانکار","تسویه")))</f>
        <v/>
      </c>
    </row>
    <row r="2283">
      <c r="A2283" s="16">
        <f>IF($B2283="","",2274)</f>
        <v/>
      </c>
      <c r="B2283" s="17">
        <f>IF(19&gt;NExpA,"","هزینه: "&amp;INDEX(PkExpA,19))</f>
        <v/>
      </c>
      <c r="C2283" s="18">
        <f>IF($B2283="","","هزینه: "&amp;IF(19&gt;NExpA,"",INDEX(PkExpA,19)))</f>
        <v/>
      </c>
      <c r="D2283" s="17">
        <f>IF($B2283="","","e")</f>
        <v/>
      </c>
      <c r="E2283" s="19">
        <f>IF($B2283="","",IF(19&gt;NExpA,0,SUMIF(CalcDebit,"هزینه: "&amp;INDEX(PkExpA,19),CalcAmt)))</f>
        <v/>
      </c>
      <c r="F2283" s="19">
        <f>IF($B2283="","",IF(19&gt;NExpA,0,SUMIF(CalcCredit,"هزینه: "&amp;INDEX(PkExpA,19),CalcAmt)))</f>
        <v/>
      </c>
      <c r="G2283" s="20">
        <f>IF($B2283="","",ROUND($E2283-$F2283,0))</f>
        <v/>
      </c>
      <c r="H2283" s="17">
        <f>IF($B2283="","",IF(ROUND($G2283,0)&gt;0,"بدهکار",IF(ROUND($G2283,0)&lt;0,"بستانکار","تسویه")))</f>
        <v/>
      </c>
    </row>
    <row r="2284">
      <c r="A2284" s="11">
        <f>IF($B2284="","",2275)</f>
        <v/>
      </c>
      <c r="B2284" s="12">
        <f>IF(20&gt;NExpA,"","هزینه: "&amp;INDEX(PkExpA,20))</f>
        <v/>
      </c>
      <c r="C2284" s="13">
        <f>IF($B2284="","","هزینه: "&amp;IF(20&gt;NExpA,"",INDEX(PkExpA,20)))</f>
        <v/>
      </c>
      <c r="D2284" s="12">
        <f>IF($B2284="","","e")</f>
        <v/>
      </c>
      <c r="E2284" s="14">
        <f>IF($B2284="","",IF(20&gt;NExpA,0,SUMIF(CalcDebit,"هزینه: "&amp;INDEX(PkExpA,20),CalcAmt)))</f>
        <v/>
      </c>
      <c r="F2284" s="14">
        <f>IF($B2284="","",IF(20&gt;NExpA,0,SUMIF(CalcCredit,"هزینه: "&amp;INDEX(PkExpA,20),CalcAmt)))</f>
        <v/>
      </c>
      <c r="G2284" s="15">
        <f>IF($B2284="","",ROUND($E2284-$F2284,0))</f>
        <v/>
      </c>
      <c r="H2284" s="12">
        <f>IF($B2284="","",IF(ROUND($G2284,0)&gt;0,"بدهکار",IF(ROUND($G2284,0)&lt;0,"بستانکار","تسویه")))</f>
        <v/>
      </c>
    </row>
    <row r="2285">
      <c r="A2285" s="16">
        <f>IF($B2285="","",2276)</f>
        <v/>
      </c>
      <c r="B2285" s="17">
        <f>IF(21&gt;NExpA,"","هزینه: "&amp;INDEX(PkExpA,21))</f>
        <v/>
      </c>
      <c r="C2285" s="18">
        <f>IF($B2285="","","هزینه: "&amp;IF(21&gt;NExpA,"",INDEX(PkExpA,21)))</f>
        <v/>
      </c>
      <c r="D2285" s="17">
        <f>IF($B2285="","","e")</f>
        <v/>
      </c>
      <c r="E2285" s="19">
        <f>IF($B2285="","",IF(21&gt;NExpA,0,SUMIF(CalcDebit,"هزینه: "&amp;INDEX(PkExpA,21),CalcAmt)))</f>
        <v/>
      </c>
      <c r="F2285" s="19">
        <f>IF($B2285="","",IF(21&gt;NExpA,0,SUMIF(CalcCredit,"هزینه: "&amp;INDEX(PkExpA,21),CalcAmt)))</f>
        <v/>
      </c>
      <c r="G2285" s="20">
        <f>IF($B2285="","",ROUND($E2285-$F2285,0))</f>
        <v/>
      </c>
      <c r="H2285" s="17">
        <f>IF($B2285="","",IF(ROUND($G2285,0)&gt;0,"بدهکار",IF(ROUND($G2285,0)&lt;0,"بستانکار","تسویه")))</f>
        <v/>
      </c>
    </row>
    <row r="2286">
      <c r="A2286" s="11">
        <f>IF($B2286="","",2277)</f>
        <v/>
      </c>
      <c r="B2286" s="12">
        <f>IF(22&gt;NExpA,"","هزینه: "&amp;INDEX(PkExpA,22))</f>
        <v/>
      </c>
      <c r="C2286" s="13">
        <f>IF($B2286="","","هزینه: "&amp;IF(22&gt;NExpA,"",INDEX(PkExpA,22)))</f>
        <v/>
      </c>
      <c r="D2286" s="12">
        <f>IF($B2286="","","e")</f>
        <v/>
      </c>
      <c r="E2286" s="14">
        <f>IF($B2286="","",IF(22&gt;NExpA,0,SUMIF(CalcDebit,"هزینه: "&amp;INDEX(PkExpA,22),CalcAmt)))</f>
        <v/>
      </c>
      <c r="F2286" s="14">
        <f>IF($B2286="","",IF(22&gt;NExpA,0,SUMIF(CalcCredit,"هزینه: "&amp;INDEX(PkExpA,22),CalcAmt)))</f>
        <v/>
      </c>
      <c r="G2286" s="15">
        <f>IF($B2286="","",ROUND($E2286-$F2286,0))</f>
        <v/>
      </c>
      <c r="H2286" s="12">
        <f>IF($B2286="","",IF(ROUND($G2286,0)&gt;0,"بدهکار",IF(ROUND($G2286,0)&lt;0,"بستانکار","تسویه")))</f>
        <v/>
      </c>
    </row>
    <row r="2287">
      <c r="A2287" s="16">
        <f>IF($B2287="","",2278)</f>
        <v/>
      </c>
      <c r="B2287" s="17">
        <f>IF(23&gt;NExpA,"","هزینه: "&amp;INDEX(PkExpA,23))</f>
        <v/>
      </c>
      <c r="C2287" s="18">
        <f>IF($B2287="","","هزینه: "&amp;IF(23&gt;NExpA,"",INDEX(PkExpA,23)))</f>
        <v/>
      </c>
      <c r="D2287" s="17">
        <f>IF($B2287="","","e")</f>
        <v/>
      </c>
      <c r="E2287" s="19">
        <f>IF($B2287="","",IF(23&gt;NExpA,0,SUMIF(CalcDebit,"هزینه: "&amp;INDEX(PkExpA,23),CalcAmt)))</f>
        <v/>
      </c>
      <c r="F2287" s="19">
        <f>IF($B2287="","",IF(23&gt;NExpA,0,SUMIF(CalcCredit,"هزینه: "&amp;INDEX(PkExpA,23),CalcAmt)))</f>
        <v/>
      </c>
      <c r="G2287" s="20">
        <f>IF($B2287="","",ROUND($E2287-$F2287,0))</f>
        <v/>
      </c>
      <c r="H2287" s="17">
        <f>IF($B2287="","",IF(ROUND($G2287,0)&gt;0,"بدهکار",IF(ROUND($G2287,0)&lt;0,"بستانکار","تسویه")))</f>
        <v/>
      </c>
    </row>
    <row r="2288">
      <c r="A2288" s="11">
        <f>IF($B2288="","",2279)</f>
        <v/>
      </c>
      <c r="B2288" s="12">
        <f>IF(24&gt;NExpA,"","هزینه: "&amp;INDEX(PkExpA,24))</f>
        <v/>
      </c>
      <c r="C2288" s="13">
        <f>IF($B2288="","","هزینه: "&amp;IF(24&gt;NExpA,"",INDEX(PkExpA,24)))</f>
        <v/>
      </c>
      <c r="D2288" s="12">
        <f>IF($B2288="","","e")</f>
        <v/>
      </c>
      <c r="E2288" s="14">
        <f>IF($B2288="","",IF(24&gt;NExpA,0,SUMIF(CalcDebit,"هزینه: "&amp;INDEX(PkExpA,24),CalcAmt)))</f>
        <v/>
      </c>
      <c r="F2288" s="14">
        <f>IF($B2288="","",IF(24&gt;NExpA,0,SUMIF(CalcCredit,"هزینه: "&amp;INDEX(PkExpA,24),CalcAmt)))</f>
        <v/>
      </c>
      <c r="G2288" s="15">
        <f>IF($B2288="","",ROUND($E2288-$F2288,0))</f>
        <v/>
      </c>
      <c r="H2288" s="12">
        <f>IF($B2288="","",IF(ROUND($G2288,0)&gt;0,"بدهکار",IF(ROUND($G2288,0)&lt;0,"بستانکار","تسویه")))</f>
        <v/>
      </c>
    </row>
    <row r="2289">
      <c r="A2289" s="16">
        <f>IF($B2289="","",2280)</f>
        <v/>
      </c>
      <c r="B2289" s="17">
        <f>IF(25&gt;NExpA,"","هزینه: "&amp;INDEX(PkExpA,25))</f>
        <v/>
      </c>
      <c r="C2289" s="18">
        <f>IF($B2289="","","هزینه: "&amp;IF(25&gt;NExpA,"",INDEX(PkExpA,25)))</f>
        <v/>
      </c>
      <c r="D2289" s="17">
        <f>IF($B2289="","","e")</f>
        <v/>
      </c>
      <c r="E2289" s="19">
        <f>IF($B2289="","",IF(25&gt;NExpA,0,SUMIF(CalcDebit,"هزینه: "&amp;INDEX(PkExpA,25),CalcAmt)))</f>
        <v/>
      </c>
      <c r="F2289" s="19">
        <f>IF($B2289="","",IF(25&gt;NExpA,0,SUMIF(CalcCredit,"هزینه: "&amp;INDEX(PkExpA,25),CalcAmt)))</f>
        <v/>
      </c>
      <c r="G2289" s="20">
        <f>IF($B2289="","",ROUND($E2289-$F2289,0))</f>
        <v/>
      </c>
      <c r="H2289" s="17">
        <f>IF($B2289="","",IF(ROUND($G2289,0)&gt;0,"بدهکار",IF(ROUND($G2289,0)&lt;0,"بستانکار","تسویه")))</f>
        <v/>
      </c>
    </row>
    <row r="2290">
      <c r="A2290" s="11">
        <f>IF($B2290="","",2281)</f>
        <v/>
      </c>
      <c r="B2290" s="12">
        <f>IF(26&gt;NExpA,"","هزینه: "&amp;INDEX(PkExpA,26))</f>
        <v/>
      </c>
      <c r="C2290" s="13">
        <f>IF($B2290="","","هزینه: "&amp;IF(26&gt;NExpA,"",INDEX(PkExpA,26)))</f>
        <v/>
      </c>
      <c r="D2290" s="12">
        <f>IF($B2290="","","e")</f>
        <v/>
      </c>
      <c r="E2290" s="14">
        <f>IF($B2290="","",IF(26&gt;NExpA,0,SUMIF(CalcDebit,"هزینه: "&amp;INDEX(PkExpA,26),CalcAmt)))</f>
        <v/>
      </c>
      <c r="F2290" s="14">
        <f>IF($B2290="","",IF(26&gt;NExpA,0,SUMIF(CalcCredit,"هزینه: "&amp;INDEX(PkExpA,26),CalcAmt)))</f>
        <v/>
      </c>
      <c r="G2290" s="15">
        <f>IF($B2290="","",ROUND($E2290-$F2290,0))</f>
        <v/>
      </c>
      <c r="H2290" s="12">
        <f>IF($B2290="","",IF(ROUND($G2290,0)&gt;0,"بدهکار",IF(ROUND($G2290,0)&lt;0,"بستانکار","تسویه")))</f>
        <v/>
      </c>
    </row>
    <row r="2291">
      <c r="A2291" s="16">
        <f>IF($B2291="","",2282)</f>
        <v/>
      </c>
      <c r="B2291" s="17">
        <f>IF(27&gt;NExpA,"","هزینه: "&amp;INDEX(PkExpA,27))</f>
        <v/>
      </c>
      <c r="C2291" s="18">
        <f>IF($B2291="","","هزینه: "&amp;IF(27&gt;NExpA,"",INDEX(PkExpA,27)))</f>
        <v/>
      </c>
      <c r="D2291" s="17">
        <f>IF($B2291="","","e")</f>
        <v/>
      </c>
      <c r="E2291" s="19">
        <f>IF($B2291="","",IF(27&gt;NExpA,0,SUMIF(CalcDebit,"هزینه: "&amp;INDEX(PkExpA,27),CalcAmt)))</f>
        <v/>
      </c>
      <c r="F2291" s="19">
        <f>IF($B2291="","",IF(27&gt;NExpA,0,SUMIF(CalcCredit,"هزینه: "&amp;INDEX(PkExpA,27),CalcAmt)))</f>
        <v/>
      </c>
      <c r="G2291" s="20">
        <f>IF($B2291="","",ROUND($E2291-$F2291,0))</f>
        <v/>
      </c>
      <c r="H2291" s="17">
        <f>IF($B2291="","",IF(ROUND($G2291,0)&gt;0,"بدهکار",IF(ROUND($G2291,0)&lt;0,"بستانکار","تسویه")))</f>
        <v/>
      </c>
    </row>
    <row r="2292">
      <c r="A2292" s="11">
        <f>IF($B2292="","",2283)</f>
        <v/>
      </c>
      <c r="B2292" s="12">
        <f>IF(28&gt;NExpA,"","هزینه: "&amp;INDEX(PkExpA,28))</f>
        <v/>
      </c>
      <c r="C2292" s="13">
        <f>IF($B2292="","","هزینه: "&amp;IF(28&gt;NExpA,"",INDEX(PkExpA,28)))</f>
        <v/>
      </c>
      <c r="D2292" s="12">
        <f>IF($B2292="","","e")</f>
        <v/>
      </c>
      <c r="E2292" s="14">
        <f>IF($B2292="","",IF(28&gt;NExpA,0,SUMIF(CalcDebit,"هزینه: "&amp;INDEX(PkExpA,28),CalcAmt)))</f>
        <v/>
      </c>
      <c r="F2292" s="14">
        <f>IF($B2292="","",IF(28&gt;NExpA,0,SUMIF(CalcCredit,"هزینه: "&amp;INDEX(PkExpA,28),CalcAmt)))</f>
        <v/>
      </c>
      <c r="G2292" s="15">
        <f>IF($B2292="","",ROUND($E2292-$F2292,0))</f>
        <v/>
      </c>
      <c r="H2292" s="12">
        <f>IF($B2292="","",IF(ROUND($G2292,0)&gt;0,"بدهکار",IF(ROUND($G2292,0)&lt;0,"بستانکار","تسویه")))</f>
        <v/>
      </c>
    </row>
    <row r="2293">
      <c r="A2293" s="16">
        <f>IF($B2293="","",2284)</f>
        <v/>
      </c>
      <c r="B2293" s="17">
        <f>IF(29&gt;NExpA,"","هزینه: "&amp;INDEX(PkExpA,29))</f>
        <v/>
      </c>
      <c r="C2293" s="18">
        <f>IF($B2293="","","هزینه: "&amp;IF(29&gt;NExpA,"",INDEX(PkExpA,29)))</f>
        <v/>
      </c>
      <c r="D2293" s="17">
        <f>IF($B2293="","","e")</f>
        <v/>
      </c>
      <c r="E2293" s="19">
        <f>IF($B2293="","",IF(29&gt;NExpA,0,SUMIF(CalcDebit,"هزینه: "&amp;INDEX(PkExpA,29),CalcAmt)))</f>
        <v/>
      </c>
      <c r="F2293" s="19">
        <f>IF($B2293="","",IF(29&gt;NExpA,0,SUMIF(CalcCredit,"هزینه: "&amp;INDEX(PkExpA,29),CalcAmt)))</f>
        <v/>
      </c>
      <c r="G2293" s="20">
        <f>IF($B2293="","",ROUND($E2293-$F2293,0))</f>
        <v/>
      </c>
      <c r="H2293" s="17">
        <f>IF($B2293="","",IF(ROUND($G2293,0)&gt;0,"بدهکار",IF(ROUND($G2293,0)&lt;0,"بستانکار","تسویه")))</f>
        <v/>
      </c>
    </row>
    <row r="2294">
      <c r="A2294" s="11">
        <f>IF($B2294="","",2285)</f>
        <v/>
      </c>
      <c r="B2294" s="12">
        <f>IF(30&gt;NExpA,"","هزینه: "&amp;INDEX(PkExpA,30))</f>
        <v/>
      </c>
      <c r="C2294" s="13">
        <f>IF($B2294="","","هزینه: "&amp;IF(30&gt;NExpA,"",INDEX(PkExpA,30)))</f>
        <v/>
      </c>
      <c r="D2294" s="12">
        <f>IF($B2294="","","e")</f>
        <v/>
      </c>
      <c r="E2294" s="14">
        <f>IF($B2294="","",IF(30&gt;NExpA,0,SUMIF(CalcDebit,"هزینه: "&amp;INDEX(PkExpA,30),CalcAmt)))</f>
        <v/>
      </c>
      <c r="F2294" s="14">
        <f>IF($B2294="","",IF(30&gt;NExpA,0,SUMIF(CalcCredit,"هزینه: "&amp;INDEX(PkExpA,30),CalcAmt)))</f>
        <v/>
      </c>
      <c r="G2294" s="15">
        <f>IF($B2294="","",ROUND($E2294-$F2294,0))</f>
        <v/>
      </c>
      <c r="H2294" s="12">
        <f>IF($B2294="","",IF(ROUND($G2294,0)&gt;0,"بدهکار",IF(ROUND($G2294,0)&lt;0,"بستانکار","تسویه")))</f>
        <v/>
      </c>
    </row>
    <row r="2295">
      <c r="A2295" s="16">
        <f>IF($B2295="","",2286)</f>
        <v/>
      </c>
      <c r="B2295" s="17">
        <f>IF(31&gt;NExpA,"","هزینه: "&amp;INDEX(PkExpA,31))</f>
        <v/>
      </c>
      <c r="C2295" s="18">
        <f>IF($B2295="","","هزینه: "&amp;IF(31&gt;NExpA,"",INDEX(PkExpA,31)))</f>
        <v/>
      </c>
      <c r="D2295" s="17">
        <f>IF($B2295="","","e")</f>
        <v/>
      </c>
      <c r="E2295" s="19">
        <f>IF($B2295="","",IF(31&gt;NExpA,0,SUMIF(CalcDebit,"هزینه: "&amp;INDEX(PkExpA,31),CalcAmt)))</f>
        <v/>
      </c>
      <c r="F2295" s="19">
        <f>IF($B2295="","",IF(31&gt;NExpA,0,SUMIF(CalcCredit,"هزینه: "&amp;INDEX(PkExpA,31),CalcAmt)))</f>
        <v/>
      </c>
      <c r="G2295" s="20">
        <f>IF($B2295="","",ROUND($E2295-$F2295,0))</f>
        <v/>
      </c>
      <c r="H2295" s="17">
        <f>IF($B2295="","",IF(ROUND($G2295,0)&gt;0,"بدهکار",IF(ROUND($G2295,0)&lt;0,"بستانکار","تسویه")))</f>
        <v/>
      </c>
    </row>
    <row r="2296">
      <c r="A2296" s="11">
        <f>IF($B2296="","",2287)</f>
        <v/>
      </c>
      <c r="B2296" s="12">
        <f>IF(32&gt;NExpA,"","هزینه: "&amp;INDEX(PkExpA,32))</f>
        <v/>
      </c>
      <c r="C2296" s="13">
        <f>IF($B2296="","","هزینه: "&amp;IF(32&gt;NExpA,"",INDEX(PkExpA,32)))</f>
        <v/>
      </c>
      <c r="D2296" s="12">
        <f>IF($B2296="","","e")</f>
        <v/>
      </c>
      <c r="E2296" s="14">
        <f>IF($B2296="","",IF(32&gt;NExpA,0,SUMIF(CalcDebit,"هزینه: "&amp;INDEX(PkExpA,32),CalcAmt)))</f>
        <v/>
      </c>
      <c r="F2296" s="14">
        <f>IF($B2296="","",IF(32&gt;NExpA,0,SUMIF(CalcCredit,"هزینه: "&amp;INDEX(PkExpA,32),CalcAmt)))</f>
        <v/>
      </c>
      <c r="G2296" s="15">
        <f>IF($B2296="","",ROUND($E2296-$F2296,0))</f>
        <v/>
      </c>
      <c r="H2296" s="12">
        <f>IF($B2296="","",IF(ROUND($G2296,0)&gt;0,"بدهکار",IF(ROUND($G2296,0)&lt;0,"بستانکار","تسویه")))</f>
        <v/>
      </c>
    </row>
    <row r="2297">
      <c r="A2297" s="16">
        <f>IF($B2297="","",2288)</f>
        <v/>
      </c>
      <c r="B2297" s="17">
        <f>IF(33&gt;NExpA,"","هزینه: "&amp;INDEX(PkExpA,33))</f>
        <v/>
      </c>
      <c r="C2297" s="18">
        <f>IF($B2297="","","هزینه: "&amp;IF(33&gt;NExpA,"",INDEX(PkExpA,33)))</f>
        <v/>
      </c>
      <c r="D2297" s="17">
        <f>IF($B2297="","","e")</f>
        <v/>
      </c>
      <c r="E2297" s="19">
        <f>IF($B2297="","",IF(33&gt;NExpA,0,SUMIF(CalcDebit,"هزینه: "&amp;INDEX(PkExpA,33),CalcAmt)))</f>
        <v/>
      </c>
      <c r="F2297" s="19">
        <f>IF($B2297="","",IF(33&gt;NExpA,0,SUMIF(CalcCredit,"هزینه: "&amp;INDEX(PkExpA,33),CalcAmt)))</f>
        <v/>
      </c>
      <c r="G2297" s="20">
        <f>IF($B2297="","",ROUND($E2297-$F2297,0))</f>
        <v/>
      </c>
      <c r="H2297" s="17">
        <f>IF($B2297="","",IF(ROUND($G2297,0)&gt;0,"بدهکار",IF(ROUND($G2297,0)&lt;0,"بستانکار","تسویه")))</f>
        <v/>
      </c>
    </row>
    <row r="2298">
      <c r="A2298" s="11">
        <f>IF($B2298="","",2289)</f>
        <v/>
      </c>
      <c r="B2298" s="12">
        <f>IF(34&gt;NExpA,"","هزینه: "&amp;INDEX(PkExpA,34))</f>
        <v/>
      </c>
      <c r="C2298" s="13">
        <f>IF($B2298="","","هزینه: "&amp;IF(34&gt;NExpA,"",INDEX(PkExpA,34)))</f>
        <v/>
      </c>
      <c r="D2298" s="12">
        <f>IF($B2298="","","e")</f>
        <v/>
      </c>
      <c r="E2298" s="14">
        <f>IF($B2298="","",IF(34&gt;NExpA,0,SUMIF(CalcDebit,"هزینه: "&amp;INDEX(PkExpA,34),CalcAmt)))</f>
        <v/>
      </c>
      <c r="F2298" s="14">
        <f>IF($B2298="","",IF(34&gt;NExpA,0,SUMIF(CalcCredit,"هزینه: "&amp;INDEX(PkExpA,34),CalcAmt)))</f>
        <v/>
      </c>
      <c r="G2298" s="15">
        <f>IF($B2298="","",ROUND($E2298-$F2298,0))</f>
        <v/>
      </c>
      <c r="H2298" s="12">
        <f>IF($B2298="","",IF(ROUND($G2298,0)&gt;0,"بدهکار",IF(ROUND($G2298,0)&lt;0,"بستانکار","تسویه")))</f>
        <v/>
      </c>
    </row>
    <row r="2299">
      <c r="A2299" s="16">
        <f>IF($B2299="","",2290)</f>
        <v/>
      </c>
      <c r="B2299" s="17">
        <f>IF(35&gt;NExpA,"","هزینه: "&amp;INDEX(PkExpA,35))</f>
        <v/>
      </c>
      <c r="C2299" s="18">
        <f>IF($B2299="","","هزینه: "&amp;IF(35&gt;NExpA,"",INDEX(PkExpA,35)))</f>
        <v/>
      </c>
      <c r="D2299" s="17">
        <f>IF($B2299="","","e")</f>
        <v/>
      </c>
      <c r="E2299" s="19">
        <f>IF($B2299="","",IF(35&gt;NExpA,0,SUMIF(CalcDebit,"هزینه: "&amp;INDEX(PkExpA,35),CalcAmt)))</f>
        <v/>
      </c>
      <c r="F2299" s="19">
        <f>IF($B2299="","",IF(35&gt;NExpA,0,SUMIF(CalcCredit,"هزینه: "&amp;INDEX(PkExpA,35),CalcAmt)))</f>
        <v/>
      </c>
      <c r="G2299" s="20">
        <f>IF($B2299="","",ROUND($E2299-$F2299,0))</f>
        <v/>
      </c>
      <c r="H2299" s="17">
        <f>IF($B2299="","",IF(ROUND($G2299,0)&gt;0,"بدهکار",IF(ROUND($G2299,0)&lt;0,"بستانکار","تسویه")))</f>
        <v/>
      </c>
    </row>
    <row r="2300">
      <c r="A2300" s="11">
        <f>IF($B2300="","",2291)</f>
        <v/>
      </c>
      <c r="B2300" s="12">
        <f>IF(36&gt;NExpA,"","هزینه: "&amp;INDEX(PkExpA,36))</f>
        <v/>
      </c>
      <c r="C2300" s="13">
        <f>IF($B2300="","","هزینه: "&amp;IF(36&gt;NExpA,"",INDEX(PkExpA,36)))</f>
        <v/>
      </c>
      <c r="D2300" s="12">
        <f>IF($B2300="","","e")</f>
        <v/>
      </c>
      <c r="E2300" s="14">
        <f>IF($B2300="","",IF(36&gt;NExpA,0,SUMIF(CalcDebit,"هزینه: "&amp;INDEX(PkExpA,36),CalcAmt)))</f>
        <v/>
      </c>
      <c r="F2300" s="14">
        <f>IF($B2300="","",IF(36&gt;NExpA,0,SUMIF(CalcCredit,"هزینه: "&amp;INDEX(PkExpA,36),CalcAmt)))</f>
        <v/>
      </c>
      <c r="G2300" s="15">
        <f>IF($B2300="","",ROUND($E2300-$F2300,0))</f>
        <v/>
      </c>
      <c r="H2300" s="12">
        <f>IF($B2300="","",IF(ROUND($G2300,0)&gt;0,"بدهکار",IF(ROUND($G2300,0)&lt;0,"بستانکار","تسویه")))</f>
        <v/>
      </c>
    </row>
    <row r="2301">
      <c r="A2301" s="16">
        <f>IF($B2301="","",2292)</f>
        <v/>
      </c>
      <c r="B2301" s="17">
        <f>IF(37&gt;NExpA,"","هزینه: "&amp;INDEX(PkExpA,37))</f>
        <v/>
      </c>
      <c r="C2301" s="18">
        <f>IF($B2301="","","هزینه: "&amp;IF(37&gt;NExpA,"",INDEX(PkExpA,37)))</f>
        <v/>
      </c>
      <c r="D2301" s="17">
        <f>IF($B2301="","","e")</f>
        <v/>
      </c>
      <c r="E2301" s="19">
        <f>IF($B2301="","",IF(37&gt;NExpA,0,SUMIF(CalcDebit,"هزینه: "&amp;INDEX(PkExpA,37),CalcAmt)))</f>
        <v/>
      </c>
      <c r="F2301" s="19">
        <f>IF($B2301="","",IF(37&gt;NExpA,0,SUMIF(CalcCredit,"هزینه: "&amp;INDEX(PkExpA,37),CalcAmt)))</f>
        <v/>
      </c>
      <c r="G2301" s="20">
        <f>IF($B2301="","",ROUND($E2301-$F2301,0))</f>
        <v/>
      </c>
      <c r="H2301" s="17">
        <f>IF($B2301="","",IF(ROUND($G2301,0)&gt;0,"بدهکار",IF(ROUND($G2301,0)&lt;0,"بستانکار","تسویه")))</f>
        <v/>
      </c>
    </row>
    <row r="2302">
      <c r="A2302" s="11">
        <f>IF($B2302="","",2293)</f>
        <v/>
      </c>
      <c r="B2302" s="12">
        <f>IF(38&gt;NExpA,"","هزینه: "&amp;INDEX(PkExpA,38))</f>
        <v/>
      </c>
      <c r="C2302" s="13">
        <f>IF($B2302="","","هزینه: "&amp;IF(38&gt;NExpA,"",INDEX(PkExpA,38)))</f>
        <v/>
      </c>
      <c r="D2302" s="12">
        <f>IF($B2302="","","e")</f>
        <v/>
      </c>
      <c r="E2302" s="14">
        <f>IF($B2302="","",IF(38&gt;NExpA,0,SUMIF(CalcDebit,"هزینه: "&amp;INDEX(PkExpA,38),CalcAmt)))</f>
        <v/>
      </c>
      <c r="F2302" s="14">
        <f>IF($B2302="","",IF(38&gt;NExpA,0,SUMIF(CalcCredit,"هزینه: "&amp;INDEX(PkExpA,38),CalcAmt)))</f>
        <v/>
      </c>
      <c r="G2302" s="15">
        <f>IF($B2302="","",ROUND($E2302-$F2302,0))</f>
        <v/>
      </c>
      <c r="H2302" s="12">
        <f>IF($B2302="","",IF(ROUND($G2302,0)&gt;0,"بدهکار",IF(ROUND($G2302,0)&lt;0,"بستانکار","تسویه")))</f>
        <v/>
      </c>
    </row>
    <row r="2303">
      <c r="A2303" s="16">
        <f>IF($B2303="","",2294)</f>
        <v/>
      </c>
      <c r="B2303" s="17">
        <f>IF(39&gt;NExpA,"","هزینه: "&amp;INDEX(PkExpA,39))</f>
        <v/>
      </c>
      <c r="C2303" s="18">
        <f>IF($B2303="","","هزینه: "&amp;IF(39&gt;NExpA,"",INDEX(PkExpA,39)))</f>
        <v/>
      </c>
      <c r="D2303" s="17">
        <f>IF($B2303="","","e")</f>
        <v/>
      </c>
      <c r="E2303" s="19">
        <f>IF($B2303="","",IF(39&gt;NExpA,0,SUMIF(CalcDebit,"هزینه: "&amp;INDEX(PkExpA,39),CalcAmt)))</f>
        <v/>
      </c>
      <c r="F2303" s="19">
        <f>IF($B2303="","",IF(39&gt;NExpA,0,SUMIF(CalcCredit,"هزینه: "&amp;INDEX(PkExpA,39),CalcAmt)))</f>
        <v/>
      </c>
      <c r="G2303" s="20">
        <f>IF($B2303="","",ROUND($E2303-$F2303,0))</f>
        <v/>
      </c>
      <c r="H2303" s="17">
        <f>IF($B2303="","",IF(ROUND($G2303,0)&gt;0,"بدهکار",IF(ROUND($G2303,0)&lt;0,"بستانکار","تسویه")))</f>
        <v/>
      </c>
    </row>
    <row r="2304">
      <c r="A2304" s="11">
        <f>IF($B2304="","",2295)</f>
        <v/>
      </c>
      <c r="B2304" s="12">
        <f>IF(40&gt;NExpA,"","هزینه: "&amp;INDEX(PkExpA,40))</f>
        <v/>
      </c>
      <c r="C2304" s="13">
        <f>IF($B2304="","","هزینه: "&amp;IF(40&gt;NExpA,"",INDEX(PkExpA,40)))</f>
        <v/>
      </c>
      <c r="D2304" s="12">
        <f>IF($B2304="","","e")</f>
        <v/>
      </c>
      <c r="E2304" s="14">
        <f>IF($B2304="","",IF(40&gt;NExpA,0,SUMIF(CalcDebit,"هزینه: "&amp;INDEX(PkExpA,40),CalcAmt)))</f>
        <v/>
      </c>
      <c r="F2304" s="14">
        <f>IF($B2304="","",IF(40&gt;NExpA,0,SUMIF(CalcCredit,"هزینه: "&amp;INDEX(PkExpA,40),CalcAmt)))</f>
        <v/>
      </c>
      <c r="G2304" s="15">
        <f>IF($B2304="","",ROUND($E2304-$F2304,0))</f>
        <v/>
      </c>
      <c r="H2304" s="12">
        <f>IF($B2304="","",IF(ROUND($G2304,0)&gt;0,"بدهکار",IF(ROUND($G2304,0)&lt;0,"بستانکار","تسویه")))</f>
        <v/>
      </c>
    </row>
    <row r="2305">
      <c r="A2305" s="16">
        <f>IF($B2305="","",2296)</f>
        <v/>
      </c>
      <c r="B2305" s="17">
        <f>IF(41&gt;NExpA,"","هزینه: "&amp;INDEX(PkExpA,41))</f>
        <v/>
      </c>
      <c r="C2305" s="18">
        <f>IF($B2305="","","هزینه: "&amp;IF(41&gt;NExpA,"",INDEX(PkExpA,41)))</f>
        <v/>
      </c>
      <c r="D2305" s="17">
        <f>IF($B2305="","","e")</f>
        <v/>
      </c>
      <c r="E2305" s="19">
        <f>IF($B2305="","",IF(41&gt;NExpA,0,SUMIF(CalcDebit,"هزینه: "&amp;INDEX(PkExpA,41),CalcAmt)))</f>
        <v/>
      </c>
      <c r="F2305" s="19">
        <f>IF($B2305="","",IF(41&gt;NExpA,0,SUMIF(CalcCredit,"هزینه: "&amp;INDEX(PkExpA,41),CalcAmt)))</f>
        <v/>
      </c>
      <c r="G2305" s="20">
        <f>IF($B2305="","",ROUND($E2305-$F2305,0))</f>
        <v/>
      </c>
      <c r="H2305" s="17">
        <f>IF($B2305="","",IF(ROUND($G2305,0)&gt;0,"بدهکار",IF(ROUND($G2305,0)&lt;0,"بستانکار","تسویه")))</f>
        <v/>
      </c>
    </row>
    <row r="2306">
      <c r="A2306" s="11">
        <f>IF($B2306="","",2297)</f>
        <v/>
      </c>
      <c r="B2306" s="12">
        <f>IF(42&gt;NExpA,"","هزینه: "&amp;INDEX(PkExpA,42))</f>
        <v/>
      </c>
      <c r="C2306" s="13">
        <f>IF($B2306="","","هزینه: "&amp;IF(42&gt;NExpA,"",INDEX(PkExpA,42)))</f>
        <v/>
      </c>
      <c r="D2306" s="12">
        <f>IF($B2306="","","e")</f>
        <v/>
      </c>
      <c r="E2306" s="14">
        <f>IF($B2306="","",IF(42&gt;NExpA,0,SUMIF(CalcDebit,"هزینه: "&amp;INDEX(PkExpA,42),CalcAmt)))</f>
        <v/>
      </c>
      <c r="F2306" s="14">
        <f>IF($B2306="","",IF(42&gt;NExpA,0,SUMIF(CalcCredit,"هزینه: "&amp;INDEX(PkExpA,42),CalcAmt)))</f>
        <v/>
      </c>
      <c r="G2306" s="15">
        <f>IF($B2306="","",ROUND($E2306-$F2306,0))</f>
        <v/>
      </c>
      <c r="H2306" s="12">
        <f>IF($B2306="","",IF(ROUND($G2306,0)&gt;0,"بدهکار",IF(ROUND($G2306,0)&lt;0,"بستانکار","تسویه")))</f>
        <v/>
      </c>
    </row>
    <row r="2307">
      <c r="A2307" s="16">
        <f>IF($B2307="","",2298)</f>
        <v/>
      </c>
      <c r="B2307" s="17">
        <f>IF(43&gt;NExpA,"","هزینه: "&amp;INDEX(PkExpA,43))</f>
        <v/>
      </c>
      <c r="C2307" s="18">
        <f>IF($B2307="","","هزینه: "&amp;IF(43&gt;NExpA,"",INDEX(PkExpA,43)))</f>
        <v/>
      </c>
      <c r="D2307" s="17">
        <f>IF($B2307="","","e")</f>
        <v/>
      </c>
      <c r="E2307" s="19">
        <f>IF($B2307="","",IF(43&gt;NExpA,0,SUMIF(CalcDebit,"هزینه: "&amp;INDEX(PkExpA,43),CalcAmt)))</f>
        <v/>
      </c>
      <c r="F2307" s="19">
        <f>IF($B2307="","",IF(43&gt;NExpA,0,SUMIF(CalcCredit,"هزینه: "&amp;INDEX(PkExpA,43),CalcAmt)))</f>
        <v/>
      </c>
      <c r="G2307" s="20">
        <f>IF($B2307="","",ROUND($E2307-$F2307,0))</f>
        <v/>
      </c>
      <c r="H2307" s="17">
        <f>IF($B2307="","",IF(ROUND($G2307,0)&gt;0,"بدهکار",IF(ROUND($G2307,0)&lt;0,"بستانکار","تسویه")))</f>
        <v/>
      </c>
    </row>
    <row r="2308">
      <c r="A2308" s="11">
        <f>IF($B2308="","",2299)</f>
        <v/>
      </c>
      <c r="B2308" s="12">
        <f>IF(44&gt;NExpA,"","هزینه: "&amp;INDEX(PkExpA,44))</f>
        <v/>
      </c>
      <c r="C2308" s="13">
        <f>IF($B2308="","","هزینه: "&amp;IF(44&gt;NExpA,"",INDEX(PkExpA,44)))</f>
        <v/>
      </c>
      <c r="D2308" s="12">
        <f>IF($B2308="","","e")</f>
        <v/>
      </c>
      <c r="E2308" s="14">
        <f>IF($B2308="","",IF(44&gt;NExpA,0,SUMIF(CalcDebit,"هزینه: "&amp;INDEX(PkExpA,44),CalcAmt)))</f>
        <v/>
      </c>
      <c r="F2308" s="14">
        <f>IF($B2308="","",IF(44&gt;NExpA,0,SUMIF(CalcCredit,"هزینه: "&amp;INDEX(PkExpA,44),CalcAmt)))</f>
        <v/>
      </c>
      <c r="G2308" s="15">
        <f>IF($B2308="","",ROUND($E2308-$F2308,0))</f>
        <v/>
      </c>
      <c r="H2308" s="12">
        <f>IF($B2308="","",IF(ROUND($G2308,0)&gt;0,"بدهکار",IF(ROUND($G2308,0)&lt;0,"بستانکار","تسویه")))</f>
        <v/>
      </c>
    </row>
    <row r="2309">
      <c r="A2309" s="16">
        <f>IF($B2309="","",2300)</f>
        <v/>
      </c>
      <c r="B2309" s="17">
        <f>IF(45&gt;NExpA,"","هزینه: "&amp;INDEX(PkExpA,45))</f>
        <v/>
      </c>
      <c r="C2309" s="18">
        <f>IF($B2309="","","هزینه: "&amp;IF(45&gt;NExpA,"",INDEX(PkExpA,45)))</f>
        <v/>
      </c>
      <c r="D2309" s="17">
        <f>IF($B2309="","","e")</f>
        <v/>
      </c>
      <c r="E2309" s="19">
        <f>IF($B2309="","",IF(45&gt;NExpA,0,SUMIF(CalcDebit,"هزینه: "&amp;INDEX(PkExpA,45),CalcAmt)))</f>
        <v/>
      </c>
      <c r="F2309" s="19">
        <f>IF($B2309="","",IF(45&gt;NExpA,0,SUMIF(CalcCredit,"هزینه: "&amp;INDEX(PkExpA,45),CalcAmt)))</f>
        <v/>
      </c>
      <c r="G2309" s="20">
        <f>IF($B2309="","",ROUND($E2309-$F2309,0))</f>
        <v/>
      </c>
      <c r="H2309" s="17">
        <f>IF($B2309="","",IF(ROUND($G2309,0)&gt;0,"بدهکار",IF(ROUND($G2309,0)&lt;0,"بستانکار","تسویه")))</f>
        <v/>
      </c>
    </row>
    <row r="2310">
      <c r="A2310" s="11">
        <f>IF($B2310="","",2301)</f>
        <v/>
      </c>
      <c r="B2310" s="12">
        <f>IF(46&gt;NExpA,"","هزینه: "&amp;INDEX(PkExpA,46))</f>
        <v/>
      </c>
      <c r="C2310" s="13">
        <f>IF($B2310="","","هزینه: "&amp;IF(46&gt;NExpA,"",INDEX(PkExpA,46)))</f>
        <v/>
      </c>
      <c r="D2310" s="12">
        <f>IF($B2310="","","e")</f>
        <v/>
      </c>
      <c r="E2310" s="14">
        <f>IF($B2310="","",IF(46&gt;NExpA,0,SUMIF(CalcDebit,"هزینه: "&amp;INDEX(PkExpA,46),CalcAmt)))</f>
        <v/>
      </c>
      <c r="F2310" s="14">
        <f>IF($B2310="","",IF(46&gt;NExpA,0,SUMIF(CalcCredit,"هزینه: "&amp;INDEX(PkExpA,46),CalcAmt)))</f>
        <v/>
      </c>
      <c r="G2310" s="15">
        <f>IF($B2310="","",ROUND($E2310-$F2310,0))</f>
        <v/>
      </c>
      <c r="H2310" s="12">
        <f>IF($B2310="","",IF(ROUND($G2310,0)&gt;0,"بدهکار",IF(ROUND($G2310,0)&lt;0,"بستانکار","تسویه")))</f>
        <v/>
      </c>
    </row>
    <row r="2311">
      <c r="A2311" s="16">
        <f>IF($B2311="","",2302)</f>
        <v/>
      </c>
      <c r="B2311" s="17">
        <f>IF(47&gt;NExpA,"","هزینه: "&amp;INDEX(PkExpA,47))</f>
        <v/>
      </c>
      <c r="C2311" s="18">
        <f>IF($B2311="","","هزینه: "&amp;IF(47&gt;NExpA,"",INDEX(PkExpA,47)))</f>
        <v/>
      </c>
      <c r="D2311" s="17">
        <f>IF($B2311="","","e")</f>
        <v/>
      </c>
      <c r="E2311" s="19">
        <f>IF($B2311="","",IF(47&gt;NExpA,0,SUMIF(CalcDebit,"هزینه: "&amp;INDEX(PkExpA,47),CalcAmt)))</f>
        <v/>
      </c>
      <c r="F2311" s="19">
        <f>IF($B2311="","",IF(47&gt;NExpA,0,SUMIF(CalcCredit,"هزینه: "&amp;INDEX(PkExpA,47),CalcAmt)))</f>
        <v/>
      </c>
      <c r="G2311" s="20">
        <f>IF($B2311="","",ROUND($E2311-$F2311,0))</f>
        <v/>
      </c>
      <c r="H2311" s="17">
        <f>IF($B2311="","",IF(ROUND($G2311,0)&gt;0,"بدهکار",IF(ROUND($G2311,0)&lt;0,"بستانکار","تسویه")))</f>
        <v/>
      </c>
    </row>
    <row r="2312">
      <c r="A2312" s="11">
        <f>IF($B2312="","",2303)</f>
        <v/>
      </c>
      <c r="B2312" s="12">
        <f>IF(48&gt;NExpA,"","هزینه: "&amp;INDEX(PkExpA,48))</f>
        <v/>
      </c>
      <c r="C2312" s="13">
        <f>IF($B2312="","","هزینه: "&amp;IF(48&gt;NExpA,"",INDEX(PkExpA,48)))</f>
        <v/>
      </c>
      <c r="D2312" s="12">
        <f>IF($B2312="","","e")</f>
        <v/>
      </c>
      <c r="E2312" s="14">
        <f>IF($B2312="","",IF(48&gt;NExpA,0,SUMIF(CalcDebit,"هزینه: "&amp;INDEX(PkExpA,48),CalcAmt)))</f>
        <v/>
      </c>
      <c r="F2312" s="14">
        <f>IF($B2312="","",IF(48&gt;NExpA,0,SUMIF(CalcCredit,"هزینه: "&amp;INDEX(PkExpA,48),CalcAmt)))</f>
        <v/>
      </c>
      <c r="G2312" s="15">
        <f>IF($B2312="","",ROUND($E2312-$F2312,0))</f>
        <v/>
      </c>
      <c r="H2312" s="12">
        <f>IF($B2312="","",IF(ROUND($G2312,0)&gt;0,"بدهکار",IF(ROUND($G2312,0)&lt;0,"بستانکار","تسویه")))</f>
        <v/>
      </c>
    </row>
    <row r="2313">
      <c r="A2313" s="16">
        <f>IF($B2313="","",2304)</f>
        <v/>
      </c>
      <c r="B2313" s="17">
        <f>IF(49&gt;NExpA,"","هزینه: "&amp;INDEX(PkExpA,49))</f>
        <v/>
      </c>
      <c r="C2313" s="18">
        <f>IF($B2313="","","هزینه: "&amp;IF(49&gt;NExpA,"",INDEX(PkExpA,49)))</f>
        <v/>
      </c>
      <c r="D2313" s="17">
        <f>IF($B2313="","","e")</f>
        <v/>
      </c>
      <c r="E2313" s="19">
        <f>IF($B2313="","",IF(49&gt;NExpA,0,SUMIF(CalcDebit,"هزینه: "&amp;INDEX(PkExpA,49),CalcAmt)))</f>
        <v/>
      </c>
      <c r="F2313" s="19">
        <f>IF($B2313="","",IF(49&gt;NExpA,0,SUMIF(CalcCredit,"هزینه: "&amp;INDEX(PkExpA,49),CalcAmt)))</f>
        <v/>
      </c>
      <c r="G2313" s="20">
        <f>IF($B2313="","",ROUND($E2313-$F2313,0))</f>
        <v/>
      </c>
      <c r="H2313" s="17">
        <f>IF($B2313="","",IF(ROUND($G2313,0)&gt;0,"بدهکار",IF(ROUND($G2313,0)&lt;0,"بستانکار","تسویه")))</f>
        <v/>
      </c>
    </row>
    <row r="2314">
      <c r="A2314" s="11">
        <f>IF($B2314="","",2305)</f>
        <v/>
      </c>
      <c r="B2314" s="12">
        <f>IF(50&gt;NExpA,"","هزینه: "&amp;INDEX(PkExpA,50))</f>
        <v/>
      </c>
      <c r="C2314" s="13">
        <f>IF($B2314="","","هزینه: "&amp;IF(50&gt;NExpA,"",INDEX(PkExpA,50)))</f>
        <v/>
      </c>
      <c r="D2314" s="12">
        <f>IF($B2314="","","e")</f>
        <v/>
      </c>
      <c r="E2314" s="14">
        <f>IF($B2314="","",IF(50&gt;NExpA,0,SUMIF(CalcDebit,"هزینه: "&amp;INDEX(PkExpA,50),CalcAmt)))</f>
        <v/>
      </c>
      <c r="F2314" s="14">
        <f>IF($B2314="","",IF(50&gt;NExpA,0,SUMIF(CalcCredit,"هزینه: "&amp;INDEX(PkExpA,50),CalcAmt)))</f>
        <v/>
      </c>
      <c r="G2314" s="15">
        <f>IF($B2314="","",ROUND($E2314-$F2314,0))</f>
        <v/>
      </c>
      <c r="H2314" s="12">
        <f>IF($B2314="","",IF(ROUND($G2314,0)&gt;0,"بدهکار",IF(ROUND($G2314,0)&lt;0,"بستانکار","تسویه")))</f>
        <v/>
      </c>
    </row>
    <row r="2315">
      <c r="A2315" s="16">
        <f>IF($B2315="","",2306)</f>
        <v/>
      </c>
      <c r="B2315" s="17">
        <f>IF(51&gt;NExpA,"","هزینه: "&amp;INDEX(PkExpA,51))</f>
        <v/>
      </c>
      <c r="C2315" s="18">
        <f>IF($B2315="","","هزینه: "&amp;IF(51&gt;NExpA,"",INDEX(PkExpA,51)))</f>
        <v/>
      </c>
      <c r="D2315" s="17">
        <f>IF($B2315="","","e")</f>
        <v/>
      </c>
      <c r="E2315" s="19">
        <f>IF($B2315="","",IF(51&gt;NExpA,0,SUMIF(CalcDebit,"هزینه: "&amp;INDEX(PkExpA,51),CalcAmt)))</f>
        <v/>
      </c>
      <c r="F2315" s="19">
        <f>IF($B2315="","",IF(51&gt;NExpA,0,SUMIF(CalcCredit,"هزینه: "&amp;INDEX(PkExpA,51),CalcAmt)))</f>
        <v/>
      </c>
      <c r="G2315" s="20">
        <f>IF($B2315="","",ROUND($E2315-$F2315,0))</f>
        <v/>
      </c>
      <c r="H2315" s="17">
        <f>IF($B2315="","",IF(ROUND($G2315,0)&gt;0,"بدهکار",IF(ROUND($G2315,0)&lt;0,"بستانکار","تسویه")))</f>
        <v/>
      </c>
    </row>
    <row r="2316">
      <c r="A2316" s="11">
        <f>IF($B2316="","",2307)</f>
        <v/>
      </c>
      <c r="B2316" s="12">
        <f>IF(52&gt;NExpA,"","هزینه: "&amp;INDEX(PkExpA,52))</f>
        <v/>
      </c>
      <c r="C2316" s="13">
        <f>IF($B2316="","","هزینه: "&amp;IF(52&gt;NExpA,"",INDEX(PkExpA,52)))</f>
        <v/>
      </c>
      <c r="D2316" s="12">
        <f>IF($B2316="","","e")</f>
        <v/>
      </c>
      <c r="E2316" s="14">
        <f>IF($B2316="","",IF(52&gt;NExpA,0,SUMIF(CalcDebit,"هزینه: "&amp;INDEX(PkExpA,52),CalcAmt)))</f>
        <v/>
      </c>
      <c r="F2316" s="14">
        <f>IF($B2316="","",IF(52&gt;NExpA,0,SUMIF(CalcCredit,"هزینه: "&amp;INDEX(PkExpA,52),CalcAmt)))</f>
        <v/>
      </c>
      <c r="G2316" s="15">
        <f>IF($B2316="","",ROUND($E2316-$F2316,0))</f>
        <v/>
      </c>
      <c r="H2316" s="12">
        <f>IF($B2316="","",IF(ROUND($G2316,0)&gt;0,"بدهکار",IF(ROUND($G2316,0)&lt;0,"بستانکار","تسویه")))</f>
        <v/>
      </c>
    </row>
    <row r="2317">
      <c r="A2317" s="16">
        <f>IF($B2317="","",2308)</f>
        <v/>
      </c>
      <c r="B2317" s="17">
        <f>IF(53&gt;NExpA,"","هزینه: "&amp;INDEX(PkExpA,53))</f>
        <v/>
      </c>
      <c r="C2317" s="18">
        <f>IF($B2317="","","هزینه: "&amp;IF(53&gt;NExpA,"",INDEX(PkExpA,53)))</f>
        <v/>
      </c>
      <c r="D2317" s="17">
        <f>IF($B2317="","","e")</f>
        <v/>
      </c>
      <c r="E2317" s="19">
        <f>IF($B2317="","",IF(53&gt;NExpA,0,SUMIF(CalcDebit,"هزینه: "&amp;INDEX(PkExpA,53),CalcAmt)))</f>
        <v/>
      </c>
      <c r="F2317" s="19">
        <f>IF($B2317="","",IF(53&gt;NExpA,0,SUMIF(CalcCredit,"هزینه: "&amp;INDEX(PkExpA,53),CalcAmt)))</f>
        <v/>
      </c>
      <c r="G2317" s="20">
        <f>IF($B2317="","",ROUND($E2317-$F2317,0))</f>
        <v/>
      </c>
      <c r="H2317" s="17">
        <f>IF($B2317="","",IF(ROUND($G2317,0)&gt;0,"بدهکار",IF(ROUND($G2317,0)&lt;0,"بستانکار","تسویه")))</f>
        <v/>
      </c>
    </row>
    <row r="2318">
      <c r="A2318" s="11">
        <f>IF($B2318="","",2309)</f>
        <v/>
      </c>
      <c r="B2318" s="12">
        <f>IF(54&gt;NExpA,"","هزینه: "&amp;INDEX(PkExpA,54))</f>
        <v/>
      </c>
      <c r="C2318" s="13">
        <f>IF($B2318="","","هزینه: "&amp;IF(54&gt;NExpA,"",INDEX(PkExpA,54)))</f>
        <v/>
      </c>
      <c r="D2318" s="12">
        <f>IF($B2318="","","e")</f>
        <v/>
      </c>
      <c r="E2318" s="14">
        <f>IF($B2318="","",IF(54&gt;NExpA,0,SUMIF(CalcDebit,"هزینه: "&amp;INDEX(PkExpA,54),CalcAmt)))</f>
        <v/>
      </c>
      <c r="F2318" s="14">
        <f>IF($B2318="","",IF(54&gt;NExpA,0,SUMIF(CalcCredit,"هزینه: "&amp;INDEX(PkExpA,54),CalcAmt)))</f>
        <v/>
      </c>
      <c r="G2318" s="15">
        <f>IF($B2318="","",ROUND($E2318-$F2318,0))</f>
        <v/>
      </c>
      <c r="H2318" s="12">
        <f>IF($B2318="","",IF(ROUND($G2318,0)&gt;0,"بدهکار",IF(ROUND($G2318,0)&lt;0,"بستانکار","تسویه")))</f>
        <v/>
      </c>
    </row>
    <row r="2319">
      <c r="A2319" s="16">
        <f>IF($B2319="","",2310)</f>
        <v/>
      </c>
      <c r="B2319" s="17">
        <f>IF(55&gt;NExpA,"","هزینه: "&amp;INDEX(PkExpA,55))</f>
        <v/>
      </c>
      <c r="C2319" s="18">
        <f>IF($B2319="","","هزینه: "&amp;IF(55&gt;NExpA,"",INDEX(PkExpA,55)))</f>
        <v/>
      </c>
      <c r="D2319" s="17">
        <f>IF($B2319="","","e")</f>
        <v/>
      </c>
      <c r="E2319" s="19">
        <f>IF($B2319="","",IF(55&gt;NExpA,0,SUMIF(CalcDebit,"هزینه: "&amp;INDEX(PkExpA,55),CalcAmt)))</f>
        <v/>
      </c>
      <c r="F2319" s="19">
        <f>IF($B2319="","",IF(55&gt;NExpA,0,SUMIF(CalcCredit,"هزینه: "&amp;INDEX(PkExpA,55),CalcAmt)))</f>
        <v/>
      </c>
      <c r="G2319" s="20">
        <f>IF($B2319="","",ROUND($E2319-$F2319,0))</f>
        <v/>
      </c>
      <c r="H2319" s="17">
        <f>IF($B2319="","",IF(ROUND($G2319,0)&gt;0,"بدهکار",IF(ROUND($G2319,0)&lt;0,"بستانکار","تسویه")))</f>
        <v/>
      </c>
    </row>
    <row r="2320">
      <c r="A2320" s="11">
        <f>IF($B2320="","",2311)</f>
        <v/>
      </c>
      <c r="B2320" s="12">
        <f>IF(56&gt;NExpA,"","هزینه: "&amp;INDEX(PkExpA,56))</f>
        <v/>
      </c>
      <c r="C2320" s="13">
        <f>IF($B2320="","","هزینه: "&amp;IF(56&gt;NExpA,"",INDEX(PkExpA,56)))</f>
        <v/>
      </c>
      <c r="D2320" s="12">
        <f>IF($B2320="","","e")</f>
        <v/>
      </c>
      <c r="E2320" s="14">
        <f>IF($B2320="","",IF(56&gt;NExpA,0,SUMIF(CalcDebit,"هزینه: "&amp;INDEX(PkExpA,56),CalcAmt)))</f>
        <v/>
      </c>
      <c r="F2320" s="14">
        <f>IF($B2320="","",IF(56&gt;NExpA,0,SUMIF(CalcCredit,"هزینه: "&amp;INDEX(PkExpA,56),CalcAmt)))</f>
        <v/>
      </c>
      <c r="G2320" s="15">
        <f>IF($B2320="","",ROUND($E2320-$F2320,0))</f>
        <v/>
      </c>
      <c r="H2320" s="12">
        <f>IF($B2320="","",IF(ROUND($G2320,0)&gt;0,"بدهکار",IF(ROUND($G2320,0)&lt;0,"بستانکار","تسویه")))</f>
        <v/>
      </c>
    </row>
    <row r="2321">
      <c r="A2321" s="16">
        <f>IF($B2321="","",2312)</f>
        <v/>
      </c>
      <c r="B2321" s="17">
        <f>IF(57&gt;NExpA,"","هزینه: "&amp;INDEX(PkExpA,57))</f>
        <v/>
      </c>
      <c r="C2321" s="18">
        <f>IF($B2321="","","هزینه: "&amp;IF(57&gt;NExpA,"",INDEX(PkExpA,57)))</f>
        <v/>
      </c>
      <c r="D2321" s="17">
        <f>IF($B2321="","","e")</f>
        <v/>
      </c>
      <c r="E2321" s="19">
        <f>IF($B2321="","",IF(57&gt;NExpA,0,SUMIF(CalcDebit,"هزینه: "&amp;INDEX(PkExpA,57),CalcAmt)))</f>
        <v/>
      </c>
      <c r="F2321" s="19">
        <f>IF($B2321="","",IF(57&gt;NExpA,0,SUMIF(CalcCredit,"هزینه: "&amp;INDEX(PkExpA,57),CalcAmt)))</f>
        <v/>
      </c>
      <c r="G2321" s="20">
        <f>IF($B2321="","",ROUND($E2321-$F2321,0))</f>
        <v/>
      </c>
      <c r="H2321" s="17">
        <f>IF($B2321="","",IF(ROUND($G2321,0)&gt;0,"بدهکار",IF(ROUND($G2321,0)&lt;0,"بستانکار","تسویه")))</f>
        <v/>
      </c>
    </row>
    <row r="2322">
      <c r="A2322" s="11">
        <f>IF($B2322="","",2313)</f>
        <v/>
      </c>
      <c r="B2322" s="12">
        <f>IF(58&gt;NExpA,"","هزینه: "&amp;INDEX(PkExpA,58))</f>
        <v/>
      </c>
      <c r="C2322" s="13">
        <f>IF($B2322="","","هزینه: "&amp;IF(58&gt;NExpA,"",INDEX(PkExpA,58)))</f>
        <v/>
      </c>
      <c r="D2322" s="12">
        <f>IF($B2322="","","e")</f>
        <v/>
      </c>
      <c r="E2322" s="14">
        <f>IF($B2322="","",IF(58&gt;NExpA,0,SUMIF(CalcDebit,"هزینه: "&amp;INDEX(PkExpA,58),CalcAmt)))</f>
        <v/>
      </c>
      <c r="F2322" s="14">
        <f>IF($B2322="","",IF(58&gt;NExpA,0,SUMIF(CalcCredit,"هزینه: "&amp;INDEX(PkExpA,58),CalcAmt)))</f>
        <v/>
      </c>
      <c r="G2322" s="15">
        <f>IF($B2322="","",ROUND($E2322-$F2322,0))</f>
        <v/>
      </c>
      <c r="H2322" s="12">
        <f>IF($B2322="","",IF(ROUND($G2322,0)&gt;0,"بدهکار",IF(ROUND($G2322,0)&lt;0,"بستانکار","تسویه")))</f>
        <v/>
      </c>
    </row>
    <row r="2323">
      <c r="A2323" s="16">
        <f>IF($B2323="","",2314)</f>
        <v/>
      </c>
      <c r="B2323" s="17">
        <f>IF(59&gt;NExpA,"","هزینه: "&amp;INDEX(PkExpA,59))</f>
        <v/>
      </c>
      <c r="C2323" s="18">
        <f>IF($B2323="","","هزینه: "&amp;IF(59&gt;NExpA,"",INDEX(PkExpA,59)))</f>
        <v/>
      </c>
      <c r="D2323" s="17">
        <f>IF($B2323="","","e")</f>
        <v/>
      </c>
      <c r="E2323" s="19">
        <f>IF($B2323="","",IF(59&gt;NExpA,0,SUMIF(CalcDebit,"هزینه: "&amp;INDEX(PkExpA,59),CalcAmt)))</f>
        <v/>
      </c>
      <c r="F2323" s="19">
        <f>IF($B2323="","",IF(59&gt;NExpA,0,SUMIF(CalcCredit,"هزینه: "&amp;INDEX(PkExpA,59),CalcAmt)))</f>
        <v/>
      </c>
      <c r="G2323" s="20">
        <f>IF($B2323="","",ROUND($E2323-$F2323,0))</f>
        <v/>
      </c>
      <c r="H2323" s="17">
        <f>IF($B2323="","",IF(ROUND($G2323,0)&gt;0,"بدهکار",IF(ROUND($G2323,0)&lt;0,"بستانکار","تسویه")))</f>
        <v/>
      </c>
    </row>
    <row r="2324">
      <c r="A2324" s="11">
        <f>IF($B2324="","",2315)</f>
        <v/>
      </c>
      <c r="B2324" s="12">
        <f>IF(60&gt;NExpA,"","هزینه: "&amp;INDEX(PkExpA,60))</f>
        <v/>
      </c>
      <c r="C2324" s="13">
        <f>IF($B2324="","","هزینه: "&amp;IF(60&gt;NExpA,"",INDEX(PkExpA,60)))</f>
        <v/>
      </c>
      <c r="D2324" s="12">
        <f>IF($B2324="","","e")</f>
        <v/>
      </c>
      <c r="E2324" s="14">
        <f>IF($B2324="","",IF(60&gt;NExpA,0,SUMIF(CalcDebit,"هزینه: "&amp;INDEX(PkExpA,60),CalcAmt)))</f>
        <v/>
      </c>
      <c r="F2324" s="14">
        <f>IF($B2324="","",IF(60&gt;NExpA,0,SUMIF(CalcCredit,"هزینه: "&amp;INDEX(PkExpA,60),CalcAmt)))</f>
        <v/>
      </c>
      <c r="G2324" s="15">
        <f>IF($B2324="","",ROUND($E2324-$F2324,0))</f>
        <v/>
      </c>
      <c r="H2324" s="12">
        <f>IF($B2324="","",IF(ROUND($G2324,0)&gt;0,"بدهکار",IF(ROUND($G2324,0)&lt;0,"بستانکار","تسویه")))</f>
        <v/>
      </c>
    </row>
    <row r="2325">
      <c r="A2325" s="16">
        <f>IF($B2325="","",2316)</f>
        <v/>
      </c>
      <c r="B2325" s="17">
        <f>IF(61&gt;NExpA,"","هزینه: "&amp;INDEX(PkExpA,61))</f>
        <v/>
      </c>
      <c r="C2325" s="18">
        <f>IF($B2325="","","هزینه: "&amp;IF(61&gt;NExpA,"",INDEX(PkExpA,61)))</f>
        <v/>
      </c>
      <c r="D2325" s="17">
        <f>IF($B2325="","","e")</f>
        <v/>
      </c>
      <c r="E2325" s="19">
        <f>IF($B2325="","",IF(61&gt;NExpA,0,SUMIF(CalcDebit,"هزینه: "&amp;INDEX(PkExpA,61),CalcAmt)))</f>
        <v/>
      </c>
      <c r="F2325" s="19">
        <f>IF($B2325="","",IF(61&gt;NExpA,0,SUMIF(CalcCredit,"هزینه: "&amp;INDEX(PkExpA,61),CalcAmt)))</f>
        <v/>
      </c>
      <c r="G2325" s="20">
        <f>IF($B2325="","",ROUND($E2325-$F2325,0))</f>
        <v/>
      </c>
      <c r="H2325" s="17">
        <f>IF($B2325="","",IF(ROUND($G2325,0)&gt;0,"بدهکار",IF(ROUND($G2325,0)&lt;0,"بستانکار","تسویه")))</f>
        <v/>
      </c>
    </row>
    <row r="2326">
      <c r="A2326" s="11">
        <f>IF($B2326="","",2317)</f>
        <v/>
      </c>
      <c r="B2326" s="12">
        <f>IF(62&gt;NExpA,"","هزینه: "&amp;INDEX(PkExpA,62))</f>
        <v/>
      </c>
      <c r="C2326" s="13">
        <f>IF($B2326="","","هزینه: "&amp;IF(62&gt;NExpA,"",INDEX(PkExpA,62)))</f>
        <v/>
      </c>
      <c r="D2326" s="12">
        <f>IF($B2326="","","e")</f>
        <v/>
      </c>
      <c r="E2326" s="14">
        <f>IF($B2326="","",IF(62&gt;NExpA,0,SUMIF(CalcDebit,"هزینه: "&amp;INDEX(PkExpA,62),CalcAmt)))</f>
        <v/>
      </c>
      <c r="F2326" s="14">
        <f>IF($B2326="","",IF(62&gt;NExpA,0,SUMIF(CalcCredit,"هزینه: "&amp;INDEX(PkExpA,62),CalcAmt)))</f>
        <v/>
      </c>
      <c r="G2326" s="15">
        <f>IF($B2326="","",ROUND($E2326-$F2326,0))</f>
        <v/>
      </c>
      <c r="H2326" s="12">
        <f>IF($B2326="","",IF(ROUND($G2326,0)&gt;0,"بدهکار",IF(ROUND($G2326,0)&lt;0,"بستانکار","تسویه")))</f>
        <v/>
      </c>
    </row>
    <row r="2327">
      <c r="A2327" s="16">
        <f>IF($B2327="","",2318)</f>
        <v/>
      </c>
      <c r="B2327" s="17">
        <f>IF(63&gt;NExpA,"","هزینه: "&amp;INDEX(PkExpA,63))</f>
        <v/>
      </c>
      <c r="C2327" s="18">
        <f>IF($B2327="","","هزینه: "&amp;IF(63&gt;NExpA,"",INDEX(PkExpA,63)))</f>
        <v/>
      </c>
      <c r="D2327" s="17">
        <f>IF($B2327="","","e")</f>
        <v/>
      </c>
      <c r="E2327" s="19">
        <f>IF($B2327="","",IF(63&gt;NExpA,0,SUMIF(CalcDebit,"هزینه: "&amp;INDEX(PkExpA,63),CalcAmt)))</f>
        <v/>
      </c>
      <c r="F2327" s="19">
        <f>IF($B2327="","",IF(63&gt;NExpA,0,SUMIF(CalcCredit,"هزینه: "&amp;INDEX(PkExpA,63),CalcAmt)))</f>
        <v/>
      </c>
      <c r="G2327" s="20">
        <f>IF($B2327="","",ROUND($E2327-$F2327,0))</f>
        <v/>
      </c>
      <c r="H2327" s="17">
        <f>IF($B2327="","",IF(ROUND($G2327,0)&gt;0,"بدهکار",IF(ROUND($G2327,0)&lt;0,"بستانکار","تسویه")))</f>
        <v/>
      </c>
    </row>
    <row r="2328">
      <c r="A2328" s="11">
        <f>IF($B2328="","",2319)</f>
        <v/>
      </c>
      <c r="B2328" s="12">
        <f>IF(64&gt;NExpA,"","هزینه: "&amp;INDEX(PkExpA,64))</f>
        <v/>
      </c>
      <c r="C2328" s="13">
        <f>IF($B2328="","","هزینه: "&amp;IF(64&gt;NExpA,"",INDEX(PkExpA,64)))</f>
        <v/>
      </c>
      <c r="D2328" s="12">
        <f>IF($B2328="","","e")</f>
        <v/>
      </c>
      <c r="E2328" s="14">
        <f>IF($B2328="","",IF(64&gt;NExpA,0,SUMIF(CalcDebit,"هزینه: "&amp;INDEX(PkExpA,64),CalcAmt)))</f>
        <v/>
      </c>
      <c r="F2328" s="14">
        <f>IF($B2328="","",IF(64&gt;NExpA,0,SUMIF(CalcCredit,"هزینه: "&amp;INDEX(PkExpA,64),CalcAmt)))</f>
        <v/>
      </c>
      <c r="G2328" s="15">
        <f>IF($B2328="","",ROUND($E2328-$F2328,0))</f>
        <v/>
      </c>
      <c r="H2328" s="12">
        <f>IF($B2328="","",IF(ROUND($G2328,0)&gt;0,"بدهکار",IF(ROUND($G2328,0)&lt;0,"بستانکار","تسویه")))</f>
        <v/>
      </c>
    </row>
    <row r="2329">
      <c r="A2329" s="16">
        <f>IF($B2329="","",2320)</f>
        <v/>
      </c>
      <c r="B2329" s="17">
        <f>IF(65&gt;NExpA,"","هزینه: "&amp;INDEX(PkExpA,65))</f>
        <v/>
      </c>
      <c r="C2329" s="18">
        <f>IF($B2329="","","هزینه: "&amp;IF(65&gt;NExpA,"",INDEX(PkExpA,65)))</f>
        <v/>
      </c>
      <c r="D2329" s="17">
        <f>IF($B2329="","","e")</f>
        <v/>
      </c>
      <c r="E2329" s="19">
        <f>IF($B2329="","",IF(65&gt;NExpA,0,SUMIF(CalcDebit,"هزینه: "&amp;INDEX(PkExpA,65),CalcAmt)))</f>
        <v/>
      </c>
      <c r="F2329" s="19">
        <f>IF($B2329="","",IF(65&gt;NExpA,0,SUMIF(CalcCredit,"هزینه: "&amp;INDEX(PkExpA,65),CalcAmt)))</f>
        <v/>
      </c>
      <c r="G2329" s="20">
        <f>IF($B2329="","",ROUND($E2329-$F2329,0))</f>
        <v/>
      </c>
      <c r="H2329" s="17">
        <f>IF($B2329="","",IF(ROUND($G2329,0)&gt;0,"بدهکار",IF(ROUND($G2329,0)&lt;0,"بستانکار","تسویه")))</f>
        <v/>
      </c>
    </row>
    <row r="2330">
      <c r="A2330" s="11">
        <f>IF($B2330="","",2321)</f>
        <v/>
      </c>
      <c r="B2330" s="12">
        <f>IF(66&gt;NExpA,"","هزینه: "&amp;INDEX(PkExpA,66))</f>
        <v/>
      </c>
      <c r="C2330" s="13">
        <f>IF($B2330="","","هزینه: "&amp;IF(66&gt;NExpA,"",INDEX(PkExpA,66)))</f>
        <v/>
      </c>
      <c r="D2330" s="12">
        <f>IF($B2330="","","e")</f>
        <v/>
      </c>
      <c r="E2330" s="14">
        <f>IF($B2330="","",IF(66&gt;NExpA,0,SUMIF(CalcDebit,"هزینه: "&amp;INDEX(PkExpA,66),CalcAmt)))</f>
        <v/>
      </c>
      <c r="F2330" s="14">
        <f>IF($B2330="","",IF(66&gt;NExpA,0,SUMIF(CalcCredit,"هزینه: "&amp;INDEX(PkExpA,66),CalcAmt)))</f>
        <v/>
      </c>
      <c r="G2330" s="15">
        <f>IF($B2330="","",ROUND($E2330-$F2330,0))</f>
        <v/>
      </c>
      <c r="H2330" s="12">
        <f>IF($B2330="","",IF(ROUND($G2330,0)&gt;0,"بدهکار",IF(ROUND($G2330,0)&lt;0,"بستانکار","تسویه")))</f>
        <v/>
      </c>
    </row>
    <row r="2331">
      <c r="A2331" s="16">
        <f>IF($B2331="","",2322)</f>
        <v/>
      </c>
      <c r="B2331" s="17">
        <f>IF(67&gt;NExpA,"","هزینه: "&amp;INDEX(PkExpA,67))</f>
        <v/>
      </c>
      <c r="C2331" s="18">
        <f>IF($B2331="","","هزینه: "&amp;IF(67&gt;NExpA,"",INDEX(PkExpA,67)))</f>
        <v/>
      </c>
      <c r="D2331" s="17">
        <f>IF($B2331="","","e")</f>
        <v/>
      </c>
      <c r="E2331" s="19">
        <f>IF($B2331="","",IF(67&gt;NExpA,0,SUMIF(CalcDebit,"هزینه: "&amp;INDEX(PkExpA,67),CalcAmt)))</f>
        <v/>
      </c>
      <c r="F2331" s="19">
        <f>IF($B2331="","",IF(67&gt;NExpA,0,SUMIF(CalcCredit,"هزینه: "&amp;INDEX(PkExpA,67),CalcAmt)))</f>
        <v/>
      </c>
      <c r="G2331" s="20">
        <f>IF($B2331="","",ROUND($E2331-$F2331,0))</f>
        <v/>
      </c>
      <c r="H2331" s="17">
        <f>IF($B2331="","",IF(ROUND($G2331,0)&gt;0,"بدهکار",IF(ROUND($G2331,0)&lt;0,"بستانکار","تسویه")))</f>
        <v/>
      </c>
    </row>
    <row r="2332">
      <c r="A2332" s="11">
        <f>IF($B2332="","",2323)</f>
        <v/>
      </c>
      <c r="B2332" s="12">
        <f>IF(68&gt;NExpA,"","هزینه: "&amp;INDEX(PkExpA,68))</f>
        <v/>
      </c>
      <c r="C2332" s="13">
        <f>IF($B2332="","","هزینه: "&amp;IF(68&gt;NExpA,"",INDEX(PkExpA,68)))</f>
        <v/>
      </c>
      <c r="D2332" s="12">
        <f>IF($B2332="","","e")</f>
        <v/>
      </c>
      <c r="E2332" s="14">
        <f>IF($B2332="","",IF(68&gt;NExpA,0,SUMIF(CalcDebit,"هزینه: "&amp;INDEX(PkExpA,68),CalcAmt)))</f>
        <v/>
      </c>
      <c r="F2332" s="14">
        <f>IF($B2332="","",IF(68&gt;NExpA,0,SUMIF(CalcCredit,"هزینه: "&amp;INDEX(PkExpA,68),CalcAmt)))</f>
        <v/>
      </c>
      <c r="G2332" s="15">
        <f>IF($B2332="","",ROUND($E2332-$F2332,0))</f>
        <v/>
      </c>
      <c r="H2332" s="12">
        <f>IF($B2332="","",IF(ROUND($G2332,0)&gt;0,"بدهکار",IF(ROUND($G2332,0)&lt;0,"بستانکار","تسویه")))</f>
        <v/>
      </c>
    </row>
    <row r="2333">
      <c r="A2333" s="16">
        <f>IF($B2333="","",2324)</f>
        <v/>
      </c>
      <c r="B2333" s="17">
        <f>IF(69&gt;NExpA,"","هزینه: "&amp;INDEX(PkExpA,69))</f>
        <v/>
      </c>
      <c r="C2333" s="18">
        <f>IF($B2333="","","هزینه: "&amp;IF(69&gt;NExpA,"",INDEX(PkExpA,69)))</f>
        <v/>
      </c>
      <c r="D2333" s="17">
        <f>IF($B2333="","","e")</f>
        <v/>
      </c>
      <c r="E2333" s="19">
        <f>IF($B2333="","",IF(69&gt;NExpA,0,SUMIF(CalcDebit,"هزینه: "&amp;INDEX(PkExpA,69),CalcAmt)))</f>
        <v/>
      </c>
      <c r="F2333" s="19">
        <f>IF($B2333="","",IF(69&gt;NExpA,0,SUMIF(CalcCredit,"هزینه: "&amp;INDEX(PkExpA,69),CalcAmt)))</f>
        <v/>
      </c>
      <c r="G2333" s="20">
        <f>IF($B2333="","",ROUND($E2333-$F2333,0))</f>
        <v/>
      </c>
      <c r="H2333" s="17">
        <f>IF($B2333="","",IF(ROUND($G2333,0)&gt;0,"بدهکار",IF(ROUND($G2333,0)&lt;0,"بستانکار","تسویه")))</f>
        <v/>
      </c>
    </row>
    <row r="2334">
      <c r="A2334" s="11">
        <f>IF($B2334="","",2325)</f>
        <v/>
      </c>
      <c r="B2334" s="12">
        <f>IF(70&gt;NExpA,"","هزینه: "&amp;INDEX(PkExpA,70))</f>
        <v/>
      </c>
      <c r="C2334" s="13">
        <f>IF($B2334="","","هزینه: "&amp;IF(70&gt;NExpA,"",INDEX(PkExpA,70)))</f>
        <v/>
      </c>
      <c r="D2334" s="12">
        <f>IF($B2334="","","e")</f>
        <v/>
      </c>
      <c r="E2334" s="14">
        <f>IF($B2334="","",IF(70&gt;NExpA,0,SUMIF(CalcDebit,"هزینه: "&amp;INDEX(PkExpA,70),CalcAmt)))</f>
        <v/>
      </c>
      <c r="F2334" s="14">
        <f>IF($B2334="","",IF(70&gt;NExpA,0,SUMIF(CalcCredit,"هزینه: "&amp;INDEX(PkExpA,70),CalcAmt)))</f>
        <v/>
      </c>
      <c r="G2334" s="15">
        <f>IF($B2334="","",ROUND($E2334-$F2334,0))</f>
        <v/>
      </c>
      <c r="H2334" s="12">
        <f>IF($B2334="","",IF(ROUND($G2334,0)&gt;0,"بدهکار",IF(ROUND($G2334,0)&lt;0,"بستانکار","تسویه")))</f>
        <v/>
      </c>
    </row>
    <row r="2335">
      <c r="A2335" s="16">
        <f>IF($B2335="","",2326)</f>
        <v/>
      </c>
      <c r="B2335" s="17">
        <f>IF(71&gt;NExpA,"","هزینه: "&amp;INDEX(PkExpA,71))</f>
        <v/>
      </c>
      <c r="C2335" s="18">
        <f>IF($B2335="","","هزینه: "&amp;IF(71&gt;NExpA,"",INDEX(PkExpA,71)))</f>
        <v/>
      </c>
      <c r="D2335" s="17">
        <f>IF($B2335="","","e")</f>
        <v/>
      </c>
      <c r="E2335" s="19">
        <f>IF($B2335="","",IF(71&gt;NExpA,0,SUMIF(CalcDebit,"هزینه: "&amp;INDEX(PkExpA,71),CalcAmt)))</f>
        <v/>
      </c>
      <c r="F2335" s="19">
        <f>IF($B2335="","",IF(71&gt;NExpA,0,SUMIF(CalcCredit,"هزینه: "&amp;INDEX(PkExpA,71),CalcAmt)))</f>
        <v/>
      </c>
      <c r="G2335" s="20">
        <f>IF($B2335="","",ROUND($E2335-$F2335,0))</f>
        <v/>
      </c>
      <c r="H2335" s="17">
        <f>IF($B2335="","",IF(ROUND($G2335,0)&gt;0,"بدهکار",IF(ROUND($G2335,0)&lt;0,"بستانکار","تسویه")))</f>
        <v/>
      </c>
    </row>
    <row r="2336">
      <c r="A2336" s="11">
        <f>IF($B2336="","",2327)</f>
        <v/>
      </c>
      <c r="B2336" s="12">
        <f>IF(72&gt;NExpA,"","هزینه: "&amp;INDEX(PkExpA,72))</f>
        <v/>
      </c>
      <c r="C2336" s="13">
        <f>IF($B2336="","","هزینه: "&amp;IF(72&gt;NExpA,"",INDEX(PkExpA,72)))</f>
        <v/>
      </c>
      <c r="D2336" s="12">
        <f>IF($B2336="","","e")</f>
        <v/>
      </c>
      <c r="E2336" s="14">
        <f>IF($B2336="","",IF(72&gt;NExpA,0,SUMIF(CalcDebit,"هزینه: "&amp;INDEX(PkExpA,72),CalcAmt)))</f>
        <v/>
      </c>
      <c r="F2336" s="14">
        <f>IF($B2336="","",IF(72&gt;NExpA,0,SUMIF(CalcCredit,"هزینه: "&amp;INDEX(PkExpA,72),CalcAmt)))</f>
        <v/>
      </c>
      <c r="G2336" s="15">
        <f>IF($B2336="","",ROUND($E2336-$F2336,0))</f>
        <v/>
      </c>
      <c r="H2336" s="12">
        <f>IF($B2336="","",IF(ROUND($G2336,0)&gt;0,"بدهکار",IF(ROUND($G2336,0)&lt;0,"بستانکار","تسویه")))</f>
        <v/>
      </c>
    </row>
    <row r="2337">
      <c r="A2337" s="16">
        <f>IF($B2337="","",2328)</f>
        <v/>
      </c>
      <c r="B2337" s="17">
        <f>IF(73&gt;NExpA,"","هزینه: "&amp;INDEX(PkExpA,73))</f>
        <v/>
      </c>
      <c r="C2337" s="18">
        <f>IF($B2337="","","هزینه: "&amp;IF(73&gt;NExpA,"",INDEX(PkExpA,73)))</f>
        <v/>
      </c>
      <c r="D2337" s="17">
        <f>IF($B2337="","","e")</f>
        <v/>
      </c>
      <c r="E2337" s="19">
        <f>IF($B2337="","",IF(73&gt;NExpA,0,SUMIF(CalcDebit,"هزینه: "&amp;INDEX(PkExpA,73),CalcAmt)))</f>
        <v/>
      </c>
      <c r="F2337" s="19">
        <f>IF($B2337="","",IF(73&gt;NExpA,0,SUMIF(CalcCredit,"هزینه: "&amp;INDEX(PkExpA,73),CalcAmt)))</f>
        <v/>
      </c>
      <c r="G2337" s="20">
        <f>IF($B2337="","",ROUND($E2337-$F2337,0))</f>
        <v/>
      </c>
      <c r="H2337" s="17">
        <f>IF($B2337="","",IF(ROUND($G2337,0)&gt;0,"بدهکار",IF(ROUND($G2337,0)&lt;0,"بستانکار","تسویه")))</f>
        <v/>
      </c>
    </row>
    <row r="2338">
      <c r="A2338" s="11">
        <f>IF($B2338="","",2329)</f>
        <v/>
      </c>
      <c r="B2338" s="12">
        <f>IF(74&gt;NExpA,"","هزینه: "&amp;INDEX(PkExpA,74))</f>
        <v/>
      </c>
      <c r="C2338" s="13">
        <f>IF($B2338="","","هزینه: "&amp;IF(74&gt;NExpA,"",INDEX(PkExpA,74)))</f>
        <v/>
      </c>
      <c r="D2338" s="12">
        <f>IF($B2338="","","e")</f>
        <v/>
      </c>
      <c r="E2338" s="14">
        <f>IF($B2338="","",IF(74&gt;NExpA,0,SUMIF(CalcDebit,"هزینه: "&amp;INDEX(PkExpA,74),CalcAmt)))</f>
        <v/>
      </c>
      <c r="F2338" s="14">
        <f>IF($B2338="","",IF(74&gt;NExpA,0,SUMIF(CalcCredit,"هزینه: "&amp;INDEX(PkExpA,74),CalcAmt)))</f>
        <v/>
      </c>
      <c r="G2338" s="15">
        <f>IF($B2338="","",ROUND($E2338-$F2338,0))</f>
        <v/>
      </c>
      <c r="H2338" s="12">
        <f>IF($B2338="","",IF(ROUND($G2338,0)&gt;0,"بدهکار",IF(ROUND($G2338,0)&lt;0,"بستانکار","تسویه")))</f>
        <v/>
      </c>
    </row>
    <row r="2339">
      <c r="A2339" s="16">
        <f>IF($B2339="","",2330)</f>
        <v/>
      </c>
      <c r="B2339" s="17">
        <f>IF(75&gt;NExpA,"","هزینه: "&amp;INDEX(PkExpA,75))</f>
        <v/>
      </c>
      <c r="C2339" s="18">
        <f>IF($B2339="","","هزینه: "&amp;IF(75&gt;NExpA,"",INDEX(PkExpA,75)))</f>
        <v/>
      </c>
      <c r="D2339" s="17">
        <f>IF($B2339="","","e")</f>
        <v/>
      </c>
      <c r="E2339" s="19">
        <f>IF($B2339="","",IF(75&gt;NExpA,0,SUMIF(CalcDebit,"هزینه: "&amp;INDEX(PkExpA,75),CalcAmt)))</f>
        <v/>
      </c>
      <c r="F2339" s="19">
        <f>IF($B2339="","",IF(75&gt;NExpA,0,SUMIF(CalcCredit,"هزینه: "&amp;INDEX(PkExpA,75),CalcAmt)))</f>
        <v/>
      </c>
      <c r="G2339" s="20">
        <f>IF($B2339="","",ROUND($E2339-$F2339,0))</f>
        <v/>
      </c>
      <c r="H2339" s="17">
        <f>IF($B2339="","",IF(ROUND($G2339,0)&gt;0,"بدهکار",IF(ROUND($G2339,0)&lt;0,"بستانکار","تسویه")))</f>
        <v/>
      </c>
    </row>
    <row r="2340">
      <c r="A2340" s="11">
        <f>IF($B2340="","",2331)</f>
        <v/>
      </c>
      <c r="B2340" s="12">
        <f>IF(76&gt;NExpA,"","هزینه: "&amp;INDEX(PkExpA,76))</f>
        <v/>
      </c>
      <c r="C2340" s="13">
        <f>IF($B2340="","","هزینه: "&amp;IF(76&gt;NExpA,"",INDEX(PkExpA,76)))</f>
        <v/>
      </c>
      <c r="D2340" s="12">
        <f>IF($B2340="","","e")</f>
        <v/>
      </c>
      <c r="E2340" s="14">
        <f>IF($B2340="","",IF(76&gt;NExpA,0,SUMIF(CalcDebit,"هزینه: "&amp;INDEX(PkExpA,76),CalcAmt)))</f>
        <v/>
      </c>
      <c r="F2340" s="14">
        <f>IF($B2340="","",IF(76&gt;NExpA,0,SUMIF(CalcCredit,"هزینه: "&amp;INDEX(PkExpA,76),CalcAmt)))</f>
        <v/>
      </c>
      <c r="G2340" s="15">
        <f>IF($B2340="","",ROUND($E2340-$F2340,0))</f>
        <v/>
      </c>
      <c r="H2340" s="12">
        <f>IF($B2340="","",IF(ROUND($G2340,0)&gt;0,"بدهکار",IF(ROUND($G2340,0)&lt;0,"بستانکار","تسویه")))</f>
        <v/>
      </c>
    </row>
    <row r="2341">
      <c r="A2341" s="16">
        <f>IF($B2341="","",2332)</f>
        <v/>
      </c>
      <c r="B2341" s="17">
        <f>IF(77&gt;NExpA,"","هزینه: "&amp;INDEX(PkExpA,77))</f>
        <v/>
      </c>
      <c r="C2341" s="18">
        <f>IF($B2341="","","هزینه: "&amp;IF(77&gt;NExpA,"",INDEX(PkExpA,77)))</f>
        <v/>
      </c>
      <c r="D2341" s="17">
        <f>IF($B2341="","","e")</f>
        <v/>
      </c>
      <c r="E2341" s="19">
        <f>IF($B2341="","",IF(77&gt;NExpA,0,SUMIF(CalcDebit,"هزینه: "&amp;INDEX(PkExpA,77),CalcAmt)))</f>
        <v/>
      </c>
      <c r="F2341" s="19">
        <f>IF($B2341="","",IF(77&gt;NExpA,0,SUMIF(CalcCredit,"هزینه: "&amp;INDEX(PkExpA,77),CalcAmt)))</f>
        <v/>
      </c>
      <c r="G2341" s="20">
        <f>IF($B2341="","",ROUND($E2341-$F2341,0))</f>
        <v/>
      </c>
      <c r="H2341" s="17">
        <f>IF($B2341="","",IF(ROUND($G2341,0)&gt;0,"بدهکار",IF(ROUND($G2341,0)&lt;0,"بستانکار","تسویه")))</f>
        <v/>
      </c>
    </row>
    <row r="2342">
      <c r="A2342" s="11">
        <f>IF($B2342="","",2333)</f>
        <v/>
      </c>
      <c r="B2342" s="12">
        <f>IF(78&gt;NExpA,"","هزینه: "&amp;INDEX(PkExpA,78))</f>
        <v/>
      </c>
      <c r="C2342" s="13">
        <f>IF($B2342="","","هزینه: "&amp;IF(78&gt;NExpA,"",INDEX(PkExpA,78)))</f>
        <v/>
      </c>
      <c r="D2342" s="12">
        <f>IF($B2342="","","e")</f>
        <v/>
      </c>
      <c r="E2342" s="14">
        <f>IF($B2342="","",IF(78&gt;NExpA,0,SUMIF(CalcDebit,"هزینه: "&amp;INDEX(PkExpA,78),CalcAmt)))</f>
        <v/>
      </c>
      <c r="F2342" s="14">
        <f>IF($B2342="","",IF(78&gt;NExpA,0,SUMIF(CalcCredit,"هزینه: "&amp;INDEX(PkExpA,78),CalcAmt)))</f>
        <v/>
      </c>
      <c r="G2342" s="15">
        <f>IF($B2342="","",ROUND($E2342-$F2342,0))</f>
        <v/>
      </c>
      <c r="H2342" s="12">
        <f>IF($B2342="","",IF(ROUND($G2342,0)&gt;0,"بدهکار",IF(ROUND($G2342,0)&lt;0,"بستانکار","تسویه")))</f>
        <v/>
      </c>
    </row>
    <row r="2343">
      <c r="A2343" s="16">
        <f>IF($B2343="","",2334)</f>
        <v/>
      </c>
      <c r="B2343" s="17">
        <f>IF(79&gt;NExpA,"","هزینه: "&amp;INDEX(PkExpA,79))</f>
        <v/>
      </c>
      <c r="C2343" s="18">
        <f>IF($B2343="","","هزینه: "&amp;IF(79&gt;NExpA,"",INDEX(PkExpA,79)))</f>
        <v/>
      </c>
      <c r="D2343" s="17">
        <f>IF($B2343="","","e")</f>
        <v/>
      </c>
      <c r="E2343" s="19">
        <f>IF($B2343="","",IF(79&gt;NExpA,0,SUMIF(CalcDebit,"هزینه: "&amp;INDEX(PkExpA,79),CalcAmt)))</f>
        <v/>
      </c>
      <c r="F2343" s="19">
        <f>IF($B2343="","",IF(79&gt;NExpA,0,SUMIF(CalcCredit,"هزینه: "&amp;INDEX(PkExpA,79),CalcAmt)))</f>
        <v/>
      </c>
      <c r="G2343" s="20">
        <f>IF($B2343="","",ROUND($E2343-$F2343,0))</f>
        <v/>
      </c>
      <c r="H2343" s="17">
        <f>IF($B2343="","",IF(ROUND($G2343,0)&gt;0,"بدهکار",IF(ROUND($G2343,0)&lt;0,"بستانکار","تسویه")))</f>
        <v/>
      </c>
    </row>
    <row r="2344">
      <c r="A2344" s="11">
        <f>IF($B2344="","",2335)</f>
        <v/>
      </c>
      <c r="B2344" s="12">
        <f>IF(80&gt;NExpA,"","هزینه: "&amp;INDEX(PkExpA,80))</f>
        <v/>
      </c>
      <c r="C2344" s="13">
        <f>IF($B2344="","","هزینه: "&amp;IF(80&gt;NExpA,"",INDEX(PkExpA,80)))</f>
        <v/>
      </c>
      <c r="D2344" s="12">
        <f>IF($B2344="","","e")</f>
        <v/>
      </c>
      <c r="E2344" s="14">
        <f>IF($B2344="","",IF(80&gt;NExpA,0,SUMIF(CalcDebit,"هزینه: "&amp;INDEX(PkExpA,80),CalcAmt)))</f>
        <v/>
      </c>
      <c r="F2344" s="14">
        <f>IF($B2344="","",IF(80&gt;NExpA,0,SUMIF(CalcCredit,"هزینه: "&amp;INDEX(PkExpA,80),CalcAmt)))</f>
        <v/>
      </c>
      <c r="G2344" s="15">
        <f>IF($B2344="","",ROUND($E2344-$F2344,0))</f>
        <v/>
      </c>
      <c r="H2344" s="12">
        <f>IF($B2344="","",IF(ROUND($G2344,0)&gt;0,"بدهکار",IF(ROUND($G2344,0)&lt;0,"بستانکار","تسویه")))</f>
        <v/>
      </c>
    </row>
    <row r="2345">
      <c r="A2345" s="16">
        <f>IF($B2345="","",2336)</f>
        <v/>
      </c>
      <c r="B2345" s="17">
        <f>IF(81&gt;NExpA,"","هزینه: "&amp;INDEX(PkExpA,81))</f>
        <v/>
      </c>
      <c r="C2345" s="18">
        <f>IF($B2345="","","هزینه: "&amp;IF(81&gt;NExpA,"",INDEX(PkExpA,81)))</f>
        <v/>
      </c>
      <c r="D2345" s="17">
        <f>IF($B2345="","","e")</f>
        <v/>
      </c>
      <c r="E2345" s="19">
        <f>IF($B2345="","",IF(81&gt;NExpA,0,SUMIF(CalcDebit,"هزینه: "&amp;INDEX(PkExpA,81),CalcAmt)))</f>
        <v/>
      </c>
      <c r="F2345" s="19">
        <f>IF($B2345="","",IF(81&gt;NExpA,0,SUMIF(CalcCredit,"هزینه: "&amp;INDEX(PkExpA,81),CalcAmt)))</f>
        <v/>
      </c>
      <c r="G2345" s="20">
        <f>IF($B2345="","",ROUND($E2345-$F2345,0))</f>
        <v/>
      </c>
      <c r="H2345" s="17">
        <f>IF($B2345="","",IF(ROUND($G2345,0)&gt;0,"بدهکار",IF(ROUND($G2345,0)&lt;0,"بستانکار","تسویه")))</f>
        <v/>
      </c>
    </row>
    <row r="2346">
      <c r="A2346" s="11">
        <f>IF($B2346="","",2337)</f>
        <v/>
      </c>
      <c r="B2346" s="12">
        <f>IF(82&gt;NExpA,"","هزینه: "&amp;INDEX(PkExpA,82))</f>
        <v/>
      </c>
      <c r="C2346" s="13">
        <f>IF($B2346="","","هزینه: "&amp;IF(82&gt;NExpA,"",INDEX(PkExpA,82)))</f>
        <v/>
      </c>
      <c r="D2346" s="12">
        <f>IF($B2346="","","e")</f>
        <v/>
      </c>
      <c r="E2346" s="14">
        <f>IF($B2346="","",IF(82&gt;NExpA,0,SUMIF(CalcDebit,"هزینه: "&amp;INDEX(PkExpA,82),CalcAmt)))</f>
        <v/>
      </c>
      <c r="F2346" s="14">
        <f>IF($B2346="","",IF(82&gt;NExpA,0,SUMIF(CalcCredit,"هزینه: "&amp;INDEX(PkExpA,82),CalcAmt)))</f>
        <v/>
      </c>
      <c r="G2346" s="15">
        <f>IF($B2346="","",ROUND($E2346-$F2346,0))</f>
        <v/>
      </c>
      <c r="H2346" s="12">
        <f>IF($B2346="","",IF(ROUND($G2346,0)&gt;0,"بدهکار",IF(ROUND($G2346,0)&lt;0,"بستانکار","تسویه")))</f>
        <v/>
      </c>
    </row>
    <row r="2347">
      <c r="A2347" s="16">
        <f>IF($B2347="","",2338)</f>
        <v/>
      </c>
      <c r="B2347" s="17">
        <f>IF(83&gt;NExpA,"","هزینه: "&amp;INDEX(PkExpA,83))</f>
        <v/>
      </c>
      <c r="C2347" s="18">
        <f>IF($B2347="","","هزینه: "&amp;IF(83&gt;NExpA,"",INDEX(PkExpA,83)))</f>
        <v/>
      </c>
      <c r="D2347" s="17">
        <f>IF($B2347="","","e")</f>
        <v/>
      </c>
      <c r="E2347" s="19">
        <f>IF($B2347="","",IF(83&gt;NExpA,0,SUMIF(CalcDebit,"هزینه: "&amp;INDEX(PkExpA,83),CalcAmt)))</f>
        <v/>
      </c>
      <c r="F2347" s="19">
        <f>IF($B2347="","",IF(83&gt;NExpA,0,SUMIF(CalcCredit,"هزینه: "&amp;INDEX(PkExpA,83),CalcAmt)))</f>
        <v/>
      </c>
      <c r="G2347" s="20">
        <f>IF($B2347="","",ROUND($E2347-$F2347,0))</f>
        <v/>
      </c>
      <c r="H2347" s="17">
        <f>IF($B2347="","",IF(ROUND($G2347,0)&gt;0,"بدهکار",IF(ROUND($G2347,0)&lt;0,"بستانکار","تسویه")))</f>
        <v/>
      </c>
    </row>
    <row r="2348">
      <c r="A2348" s="11">
        <f>IF($B2348="","",2339)</f>
        <v/>
      </c>
      <c r="B2348" s="12">
        <f>IF(84&gt;NExpA,"","هزینه: "&amp;INDEX(PkExpA,84))</f>
        <v/>
      </c>
      <c r="C2348" s="13">
        <f>IF($B2348="","","هزینه: "&amp;IF(84&gt;NExpA,"",INDEX(PkExpA,84)))</f>
        <v/>
      </c>
      <c r="D2348" s="12">
        <f>IF($B2348="","","e")</f>
        <v/>
      </c>
      <c r="E2348" s="14">
        <f>IF($B2348="","",IF(84&gt;NExpA,0,SUMIF(CalcDebit,"هزینه: "&amp;INDEX(PkExpA,84),CalcAmt)))</f>
        <v/>
      </c>
      <c r="F2348" s="14">
        <f>IF($B2348="","",IF(84&gt;NExpA,0,SUMIF(CalcCredit,"هزینه: "&amp;INDEX(PkExpA,84),CalcAmt)))</f>
        <v/>
      </c>
      <c r="G2348" s="15">
        <f>IF($B2348="","",ROUND($E2348-$F2348,0))</f>
        <v/>
      </c>
      <c r="H2348" s="12">
        <f>IF($B2348="","",IF(ROUND($G2348,0)&gt;0,"بدهکار",IF(ROUND($G2348,0)&lt;0,"بستانکار","تسویه")))</f>
        <v/>
      </c>
    </row>
    <row r="2349">
      <c r="A2349" s="16">
        <f>IF($B2349="","",2340)</f>
        <v/>
      </c>
      <c r="B2349" s="17">
        <f>IF(85&gt;NExpA,"","هزینه: "&amp;INDEX(PkExpA,85))</f>
        <v/>
      </c>
      <c r="C2349" s="18">
        <f>IF($B2349="","","هزینه: "&amp;IF(85&gt;NExpA,"",INDEX(PkExpA,85)))</f>
        <v/>
      </c>
      <c r="D2349" s="17">
        <f>IF($B2349="","","e")</f>
        <v/>
      </c>
      <c r="E2349" s="19">
        <f>IF($B2349="","",IF(85&gt;NExpA,0,SUMIF(CalcDebit,"هزینه: "&amp;INDEX(PkExpA,85),CalcAmt)))</f>
        <v/>
      </c>
      <c r="F2349" s="19">
        <f>IF($B2349="","",IF(85&gt;NExpA,0,SUMIF(CalcCredit,"هزینه: "&amp;INDEX(PkExpA,85),CalcAmt)))</f>
        <v/>
      </c>
      <c r="G2349" s="20">
        <f>IF($B2349="","",ROUND($E2349-$F2349,0))</f>
        <v/>
      </c>
      <c r="H2349" s="17">
        <f>IF($B2349="","",IF(ROUND($G2349,0)&gt;0,"بدهکار",IF(ROUND($G2349,0)&lt;0,"بستانکار","تسویه")))</f>
        <v/>
      </c>
    </row>
    <row r="2350">
      <c r="A2350" s="11">
        <f>IF($B2350="","",2341)</f>
        <v/>
      </c>
      <c r="B2350" s="12">
        <f>IF(86&gt;NExpA,"","هزینه: "&amp;INDEX(PkExpA,86))</f>
        <v/>
      </c>
      <c r="C2350" s="13">
        <f>IF($B2350="","","هزینه: "&amp;IF(86&gt;NExpA,"",INDEX(PkExpA,86)))</f>
        <v/>
      </c>
      <c r="D2350" s="12">
        <f>IF($B2350="","","e")</f>
        <v/>
      </c>
      <c r="E2350" s="14">
        <f>IF($B2350="","",IF(86&gt;NExpA,0,SUMIF(CalcDebit,"هزینه: "&amp;INDEX(PkExpA,86),CalcAmt)))</f>
        <v/>
      </c>
      <c r="F2350" s="14">
        <f>IF($B2350="","",IF(86&gt;NExpA,0,SUMIF(CalcCredit,"هزینه: "&amp;INDEX(PkExpA,86),CalcAmt)))</f>
        <v/>
      </c>
      <c r="G2350" s="15">
        <f>IF($B2350="","",ROUND($E2350-$F2350,0))</f>
        <v/>
      </c>
      <c r="H2350" s="12">
        <f>IF($B2350="","",IF(ROUND($G2350,0)&gt;0,"بدهکار",IF(ROUND($G2350,0)&lt;0,"بستانکار","تسویه")))</f>
        <v/>
      </c>
    </row>
    <row r="2351">
      <c r="A2351" s="16">
        <f>IF($B2351="","",2342)</f>
        <v/>
      </c>
      <c r="B2351" s="17">
        <f>IF(87&gt;NExpA,"","هزینه: "&amp;INDEX(PkExpA,87))</f>
        <v/>
      </c>
      <c r="C2351" s="18">
        <f>IF($B2351="","","هزینه: "&amp;IF(87&gt;NExpA,"",INDEX(PkExpA,87)))</f>
        <v/>
      </c>
      <c r="D2351" s="17">
        <f>IF($B2351="","","e")</f>
        <v/>
      </c>
      <c r="E2351" s="19">
        <f>IF($B2351="","",IF(87&gt;NExpA,0,SUMIF(CalcDebit,"هزینه: "&amp;INDEX(PkExpA,87),CalcAmt)))</f>
        <v/>
      </c>
      <c r="F2351" s="19">
        <f>IF($B2351="","",IF(87&gt;NExpA,0,SUMIF(CalcCredit,"هزینه: "&amp;INDEX(PkExpA,87),CalcAmt)))</f>
        <v/>
      </c>
      <c r="G2351" s="20">
        <f>IF($B2351="","",ROUND($E2351-$F2351,0))</f>
        <v/>
      </c>
      <c r="H2351" s="17">
        <f>IF($B2351="","",IF(ROUND($G2351,0)&gt;0,"بدهکار",IF(ROUND($G2351,0)&lt;0,"بستانکار","تسویه")))</f>
        <v/>
      </c>
    </row>
    <row r="2352">
      <c r="A2352" s="11">
        <f>IF($B2352="","",2343)</f>
        <v/>
      </c>
      <c r="B2352" s="12">
        <f>IF(88&gt;NExpA,"","هزینه: "&amp;INDEX(PkExpA,88))</f>
        <v/>
      </c>
      <c r="C2352" s="13">
        <f>IF($B2352="","","هزینه: "&amp;IF(88&gt;NExpA,"",INDEX(PkExpA,88)))</f>
        <v/>
      </c>
      <c r="D2352" s="12">
        <f>IF($B2352="","","e")</f>
        <v/>
      </c>
      <c r="E2352" s="14">
        <f>IF($B2352="","",IF(88&gt;NExpA,0,SUMIF(CalcDebit,"هزینه: "&amp;INDEX(PkExpA,88),CalcAmt)))</f>
        <v/>
      </c>
      <c r="F2352" s="14">
        <f>IF($B2352="","",IF(88&gt;NExpA,0,SUMIF(CalcCredit,"هزینه: "&amp;INDEX(PkExpA,88),CalcAmt)))</f>
        <v/>
      </c>
      <c r="G2352" s="15">
        <f>IF($B2352="","",ROUND($E2352-$F2352,0))</f>
        <v/>
      </c>
      <c r="H2352" s="12">
        <f>IF($B2352="","",IF(ROUND($G2352,0)&gt;0,"بدهکار",IF(ROUND($G2352,0)&lt;0,"بستانکار","تسویه")))</f>
        <v/>
      </c>
    </row>
    <row r="2353">
      <c r="A2353" s="16">
        <f>IF($B2353="","",2344)</f>
        <v/>
      </c>
      <c r="B2353" s="17">
        <f>IF(89&gt;NExpA,"","هزینه: "&amp;INDEX(PkExpA,89))</f>
        <v/>
      </c>
      <c r="C2353" s="18">
        <f>IF($B2353="","","هزینه: "&amp;IF(89&gt;NExpA,"",INDEX(PkExpA,89)))</f>
        <v/>
      </c>
      <c r="D2353" s="17">
        <f>IF($B2353="","","e")</f>
        <v/>
      </c>
      <c r="E2353" s="19">
        <f>IF($B2353="","",IF(89&gt;NExpA,0,SUMIF(CalcDebit,"هزینه: "&amp;INDEX(PkExpA,89),CalcAmt)))</f>
        <v/>
      </c>
      <c r="F2353" s="19">
        <f>IF($B2353="","",IF(89&gt;NExpA,0,SUMIF(CalcCredit,"هزینه: "&amp;INDEX(PkExpA,89),CalcAmt)))</f>
        <v/>
      </c>
      <c r="G2353" s="20">
        <f>IF($B2353="","",ROUND($E2353-$F2353,0))</f>
        <v/>
      </c>
      <c r="H2353" s="17">
        <f>IF($B2353="","",IF(ROUND($G2353,0)&gt;0,"بدهکار",IF(ROUND($G2353,0)&lt;0,"بستانکار","تسویه")))</f>
        <v/>
      </c>
    </row>
    <row r="2354">
      <c r="A2354" s="11">
        <f>IF($B2354="","",2345)</f>
        <v/>
      </c>
      <c r="B2354" s="12">
        <f>IF(90&gt;NExpA,"","هزینه: "&amp;INDEX(PkExpA,90))</f>
        <v/>
      </c>
      <c r="C2354" s="13">
        <f>IF($B2354="","","هزینه: "&amp;IF(90&gt;NExpA,"",INDEX(PkExpA,90)))</f>
        <v/>
      </c>
      <c r="D2354" s="12">
        <f>IF($B2354="","","e")</f>
        <v/>
      </c>
      <c r="E2354" s="14">
        <f>IF($B2354="","",IF(90&gt;NExpA,0,SUMIF(CalcDebit,"هزینه: "&amp;INDEX(PkExpA,90),CalcAmt)))</f>
        <v/>
      </c>
      <c r="F2354" s="14">
        <f>IF($B2354="","",IF(90&gt;NExpA,0,SUMIF(CalcCredit,"هزینه: "&amp;INDEX(PkExpA,90),CalcAmt)))</f>
        <v/>
      </c>
      <c r="G2354" s="15">
        <f>IF($B2354="","",ROUND($E2354-$F2354,0))</f>
        <v/>
      </c>
      <c r="H2354" s="12">
        <f>IF($B2354="","",IF(ROUND($G2354,0)&gt;0,"بدهکار",IF(ROUND($G2354,0)&lt;0,"بستانکار","تسویه")))</f>
        <v/>
      </c>
    </row>
    <row r="2355">
      <c r="A2355" s="16">
        <f>IF($B2355="","",2346)</f>
        <v/>
      </c>
      <c r="B2355" s="17">
        <f>IF(91&gt;NExpA,"","هزینه: "&amp;INDEX(PkExpA,91))</f>
        <v/>
      </c>
      <c r="C2355" s="18">
        <f>IF($B2355="","","هزینه: "&amp;IF(91&gt;NExpA,"",INDEX(PkExpA,91)))</f>
        <v/>
      </c>
      <c r="D2355" s="17">
        <f>IF($B2355="","","e")</f>
        <v/>
      </c>
      <c r="E2355" s="19">
        <f>IF($B2355="","",IF(91&gt;NExpA,0,SUMIF(CalcDebit,"هزینه: "&amp;INDEX(PkExpA,91),CalcAmt)))</f>
        <v/>
      </c>
      <c r="F2355" s="19">
        <f>IF($B2355="","",IF(91&gt;NExpA,0,SUMIF(CalcCredit,"هزینه: "&amp;INDEX(PkExpA,91),CalcAmt)))</f>
        <v/>
      </c>
      <c r="G2355" s="20">
        <f>IF($B2355="","",ROUND($E2355-$F2355,0))</f>
        <v/>
      </c>
      <c r="H2355" s="17">
        <f>IF($B2355="","",IF(ROUND($G2355,0)&gt;0,"بدهکار",IF(ROUND($G2355,0)&lt;0,"بستانکار","تسویه")))</f>
        <v/>
      </c>
    </row>
    <row r="2356">
      <c r="A2356" s="11">
        <f>IF($B2356="","",2347)</f>
        <v/>
      </c>
      <c r="B2356" s="12">
        <f>IF(92&gt;NExpA,"","هزینه: "&amp;INDEX(PkExpA,92))</f>
        <v/>
      </c>
      <c r="C2356" s="13">
        <f>IF($B2356="","","هزینه: "&amp;IF(92&gt;NExpA,"",INDEX(PkExpA,92)))</f>
        <v/>
      </c>
      <c r="D2356" s="12">
        <f>IF($B2356="","","e")</f>
        <v/>
      </c>
      <c r="E2356" s="14">
        <f>IF($B2356="","",IF(92&gt;NExpA,0,SUMIF(CalcDebit,"هزینه: "&amp;INDEX(PkExpA,92),CalcAmt)))</f>
        <v/>
      </c>
      <c r="F2356" s="14">
        <f>IF($B2356="","",IF(92&gt;NExpA,0,SUMIF(CalcCredit,"هزینه: "&amp;INDEX(PkExpA,92),CalcAmt)))</f>
        <v/>
      </c>
      <c r="G2356" s="15">
        <f>IF($B2356="","",ROUND($E2356-$F2356,0))</f>
        <v/>
      </c>
      <c r="H2356" s="12">
        <f>IF($B2356="","",IF(ROUND($G2356,0)&gt;0,"بدهکار",IF(ROUND($G2356,0)&lt;0,"بستانکار","تسویه")))</f>
        <v/>
      </c>
    </row>
    <row r="2357">
      <c r="A2357" s="16">
        <f>IF($B2357="","",2348)</f>
        <v/>
      </c>
      <c r="B2357" s="17">
        <f>IF(93&gt;NExpA,"","هزینه: "&amp;INDEX(PkExpA,93))</f>
        <v/>
      </c>
      <c r="C2357" s="18">
        <f>IF($B2357="","","هزینه: "&amp;IF(93&gt;NExpA,"",INDEX(PkExpA,93)))</f>
        <v/>
      </c>
      <c r="D2357" s="17">
        <f>IF($B2357="","","e")</f>
        <v/>
      </c>
      <c r="E2357" s="19">
        <f>IF($B2357="","",IF(93&gt;NExpA,0,SUMIF(CalcDebit,"هزینه: "&amp;INDEX(PkExpA,93),CalcAmt)))</f>
        <v/>
      </c>
      <c r="F2357" s="19">
        <f>IF($B2357="","",IF(93&gt;NExpA,0,SUMIF(CalcCredit,"هزینه: "&amp;INDEX(PkExpA,93),CalcAmt)))</f>
        <v/>
      </c>
      <c r="G2357" s="20">
        <f>IF($B2357="","",ROUND($E2357-$F2357,0))</f>
        <v/>
      </c>
      <c r="H2357" s="17">
        <f>IF($B2357="","",IF(ROUND($G2357,0)&gt;0,"بدهکار",IF(ROUND($G2357,0)&lt;0,"بستانکار","تسویه")))</f>
        <v/>
      </c>
    </row>
    <row r="2358">
      <c r="A2358" s="11">
        <f>IF($B2358="","",2349)</f>
        <v/>
      </c>
      <c r="B2358" s="12">
        <f>IF(94&gt;NExpA,"","هزینه: "&amp;INDEX(PkExpA,94))</f>
        <v/>
      </c>
      <c r="C2358" s="13">
        <f>IF($B2358="","","هزینه: "&amp;IF(94&gt;NExpA,"",INDEX(PkExpA,94)))</f>
        <v/>
      </c>
      <c r="D2358" s="12">
        <f>IF($B2358="","","e")</f>
        <v/>
      </c>
      <c r="E2358" s="14">
        <f>IF($B2358="","",IF(94&gt;NExpA,0,SUMIF(CalcDebit,"هزینه: "&amp;INDEX(PkExpA,94),CalcAmt)))</f>
        <v/>
      </c>
      <c r="F2358" s="14">
        <f>IF($B2358="","",IF(94&gt;NExpA,0,SUMIF(CalcCredit,"هزینه: "&amp;INDEX(PkExpA,94),CalcAmt)))</f>
        <v/>
      </c>
      <c r="G2358" s="15">
        <f>IF($B2358="","",ROUND($E2358-$F2358,0))</f>
        <v/>
      </c>
      <c r="H2358" s="12">
        <f>IF($B2358="","",IF(ROUND($G2358,0)&gt;0,"بدهکار",IF(ROUND($G2358,0)&lt;0,"بستانکار","تسویه")))</f>
        <v/>
      </c>
    </row>
    <row r="2359">
      <c r="A2359" s="16">
        <f>IF($B2359="","",2350)</f>
        <v/>
      </c>
      <c r="B2359" s="17">
        <f>IF(95&gt;NExpA,"","هزینه: "&amp;INDEX(PkExpA,95))</f>
        <v/>
      </c>
      <c r="C2359" s="18">
        <f>IF($B2359="","","هزینه: "&amp;IF(95&gt;NExpA,"",INDEX(PkExpA,95)))</f>
        <v/>
      </c>
      <c r="D2359" s="17">
        <f>IF($B2359="","","e")</f>
        <v/>
      </c>
      <c r="E2359" s="19">
        <f>IF($B2359="","",IF(95&gt;NExpA,0,SUMIF(CalcDebit,"هزینه: "&amp;INDEX(PkExpA,95),CalcAmt)))</f>
        <v/>
      </c>
      <c r="F2359" s="19">
        <f>IF($B2359="","",IF(95&gt;NExpA,0,SUMIF(CalcCredit,"هزینه: "&amp;INDEX(PkExpA,95),CalcAmt)))</f>
        <v/>
      </c>
      <c r="G2359" s="20">
        <f>IF($B2359="","",ROUND($E2359-$F2359,0))</f>
        <v/>
      </c>
      <c r="H2359" s="17">
        <f>IF($B2359="","",IF(ROUND($G2359,0)&gt;0,"بدهکار",IF(ROUND($G2359,0)&lt;0,"بستانکار","تسویه")))</f>
        <v/>
      </c>
    </row>
    <row r="2360">
      <c r="A2360" s="11">
        <f>IF($B2360="","",2351)</f>
        <v/>
      </c>
      <c r="B2360" s="12">
        <f>IF(96&gt;NExpA,"","هزینه: "&amp;INDEX(PkExpA,96))</f>
        <v/>
      </c>
      <c r="C2360" s="13">
        <f>IF($B2360="","","هزینه: "&amp;IF(96&gt;NExpA,"",INDEX(PkExpA,96)))</f>
        <v/>
      </c>
      <c r="D2360" s="12">
        <f>IF($B2360="","","e")</f>
        <v/>
      </c>
      <c r="E2360" s="14">
        <f>IF($B2360="","",IF(96&gt;NExpA,0,SUMIF(CalcDebit,"هزینه: "&amp;INDEX(PkExpA,96),CalcAmt)))</f>
        <v/>
      </c>
      <c r="F2360" s="14">
        <f>IF($B2360="","",IF(96&gt;NExpA,0,SUMIF(CalcCredit,"هزینه: "&amp;INDEX(PkExpA,96),CalcAmt)))</f>
        <v/>
      </c>
      <c r="G2360" s="15">
        <f>IF($B2360="","",ROUND($E2360-$F2360,0))</f>
        <v/>
      </c>
      <c r="H2360" s="12">
        <f>IF($B2360="","",IF(ROUND($G2360,0)&gt;0,"بدهکار",IF(ROUND($G2360,0)&lt;0,"بستانکار","تسویه")))</f>
        <v/>
      </c>
    </row>
    <row r="2361">
      <c r="A2361" s="16">
        <f>IF($B2361="","",2352)</f>
        <v/>
      </c>
      <c r="B2361" s="17">
        <f>IF(97&gt;NExpA,"","هزینه: "&amp;INDEX(PkExpA,97))</f>
        <v/>
      </c>
      <c r="C2361" s="18">
        <f>IF($B2361="","","هزینه: "&amp;IF(97&gt;NExpA,"",INDEX(PkExpA,97)))</f>
        <v/>
      </c>
      <c r="D2361" s="17">
        <f>IF($B2361="","","e")</f>
        <v/>
      </c>
      <c r="E2361" s="19">
        <f>IF($B2361="","",IF(97&gt;NExpA,0,SUMIF(CalcDebit,"هزینه: "&amp;INDEX(PkExpA,97),CalcAmt)))</f>
        <v/>
      </c>
      <c r="F2361" s="19">
        <f>IF($B2361="","",IF(97&gt;NExpA,0,SUMIF(CalcCredit,"هزینه: "&amp;INDEX(PkExpA,97),CalcAmt)))</f>
        <v/>
      </c>
      <c r="G2361" s="20">
        <f>IF($B2361="","",ROUND($E2361-$F2361,0))</f>
        <v/>
      </c>
      <c r="H2361" s="17">
        <f>IF($B2361="","",IF(ROUND($G2361,0)&gt;0,"بدهکار",IF(ROUND($G2361,0)&lt;0,"بستانکار","تسویه")))</f>
        <v/>
      </c>
    </row>
    <row r="2362">
      <c r="A2362" s="11">
        <f>IF($B2362="","",2353)</f>
        <v/>
      </c>
      <c r="B2362" s="12">
        <f>IF(98&gt;NExpA,"","هزینه: "&amp;INDEX(PkExpA,98))</f>
        <v/>
      </c>
      <c r="C2362" s="13">
        <f>IF($B2362="","","هزینه: "&amp;IF(98&gt;NExpA,"",INDEX(PkExpA,98)))</f>
        <v/>
      </c>
      <c r="D2362" s="12">
        <f>IF($B2362="","","e")</f>
        <v/>
      </c>
      <c r="E2362" s="14">
        <f>IF($B2362="","",IF(98&gt;NExpA,0,SUMIF(CalcDebit,"هزینه: "&amp;INDEX(PkExpA,98),CalcAmt)))</f>
        <v/>
      </c>
      <c r="F2362" s="14">
        <f>IF($B2362="","",IF(98&gt;NExpA,0,SUMIF(CalcCredit,"هزینه: "&amp;INDEX(PkExpA,98),CalcAmt)))</f>
        <v/>
      </c>
      <c r="G2362" s="15">
        <f>IF($B2362="","",ROUND($E2362-$F2362,0))</f>
        <v/>
      </c>
      <c r="H2362" s="12">
        <f>IF($B2362="","",IF(ROUND($G2362,0)&gt;0,"بدهکار",IF(ROUND($G2362,0)&lt;0,"بستانکار","تسویه")))</f>
        <v/>
      </c>
    </row>
    <row r="2363">
      <c r="A2363" s="16">
        <f>IF($B2363="","",2354)</f>
        <v/>
      </c>
      <c r="B2363" s="17">
        <f>IF(99&gt;NExpA,"","هزینه: "&amp;INDEX(PkExpA,99))</f>
        <v/>
      </c>
      <c r="C2363" s="18">
        <f>IF($B2363="","","هزینه: "&amp;IF(99&gt;NExpA,"",INDEX(PkExpA,99)))</f>
        <v/>
      </c>
      <c r="D2363" s="17">
        <f>IF($B2363="","","e")</f>
        <v/>
      </c>
      <c r="E2363" s="19">
        <f>IF($B2363="","",IF(99&gt;NExpA,0,SUMIF(CalcDebit,"هزینه: "&amp;INDEX(PkExpA,99),CalcAmt)))</f>
        <v/>
      </c>
      <c r="F2363" s="19">
        <f>IF($B2363="","",IF(99&gt;NExpA,0,SUMIF(CalcCredit,"هزینه: "&amp;INDEX(PkExpA,99),CalcAmt)))</f>
        <v/>
      </c>
      <c r="G2363" s="20">
        <f>IF($B2363="","",ROUND($E2363-$F2363,0))</f>
        <v/>
      </c>
      <c r="H2363" s="17">
        <f>IF($B2363="","",IF(ROUND($G2363,0)&gt;0,"بدهکار",IF(ROUND($G2363,0)&lt;0,"بستانکار","تسویه")))</f>
        <v/>
      </c>
    </row>
    <row r="2364">
      <c r="A2364" s="11">
        <f>IF($B2364="","",2355)</f>
        <v/>
      </c>
      <c r="B2364" s="12">
        <f>IF(100&gt;NExpA,"","هزینه: "&amp;INDEX(PkExpA,100))</f>
        <v/>
      </c>
      <c r="C2364" s="13">
        <f>IF($B2364="","","هزینه: "&amp;IF(100&gt;NExpA,"",INDEX(PkExpA,100)))</f>
        <v/>
      </c>
      <c r="D2364" s="12">
        <f>IF($B2364="","","e")</f>
        <v/>
      </c>
      <c r="E2364" s="14">
        <f>IF($B2364="","",IF(100&gt;NExpA,0,SUMIF(CalcDebit,"هزینه: "&amp;INDEX(PkExpA,100),CalcAmt)))</f>
        <v/>
      </c>
      <c r="F2364" s="14">
        <f>IF($B2364="","",IF(100&gt;NExpA,0,SUMIF(CalcCredit,"هزینه: "&amp;INDEX(PkExpA,100),CalcAmt)))</f>
        <v/>
      </c>
      <c r="G2364" s="15">
        <f>IF($B2364="","",ROUND($E2364-$F2364,0))</f>
        <v/>
      </c>
      <c r="H2364" s="12">
        <f>IF($B2364="","",IF(ROUND($G2364,0)&gt;0,"بدهکار",IF(ROUND($G2364,0)&lt;0,"بستانکار","تسویه")))</f>
        <v/>
      </c>
    </row>
    <row r="2365">
      <c r="A2365" s="16">
        <f>IF($B2365="","",2356)</f>
        <v/>
      </c>
      <c r="B2365" s="17">
        <f>"هزینه: متفرقه (بدون زیرگروه)"</f>
        <v/>
      </c>
      <c r="C2365" s="18">
        <f>IF($B2365="","","هزینه: متفرقه")</f>
        <v/>
      </c>
      <c r="D2365" s="17">
        <f>IF($B2365="","","e")</f>
        <v/>
      </c>
      <c r="E2365" s="19">
        <f>IF($B2365="","",SUMIF(CalcDebit,"هزینه: متفرقه",CalcAmt))</f>
        <v/>
      </c>
      <c r="F2365" s="19">
        <f>IF($B2365="","",SUMIF(CalcCredit,"هزینه: متفرقه",CalcAmt))</f>
        <v/>
      </c>
      <c r="G2365" s="20">
        <f>IF($B2365="","",ROUND($E2365-$F2365,0))</f>
        <v/>
      </c>
      <c r="H2365" s="17">
        <f>IF($B2365="","",IF(ROUND($G2365,0)&gt;0,"بدهکار",IF(ROUND($G2365,0)&lt;0,"بستانکار","تسویه")))</f>
        <v/>
      </c>
    </row>
    <row r="2366">
      <c r="A2366" s="21" t="inlineStr">
        <is>
          <t>جمع کل — کنترل توازن</t>
        </is>
      </c>
      <c r="B2366" s="21" t="n"/>
      <c r="C2366" s="21" t="n"/>
      <c r="D2366" s="21" t="n"/>
      <c r="E2366" s="22">
        <f>SUM(E10:E2365)</f>
        <v/>
      </c>
      <c r="F2366" s="22">
        <f>SUM(F10:F2365)</f>
        <v/>
      </c>
      <c r="G2366" s="22">
        <f>SUM(G10:G2365)</f>
        <v/>
      </c>
      <c r="H2366" s="23">
        <f>IF(ROUND(E2366-F2366,0)=0,"√","▲")</f>
        <v/>
      </c>
    </row>
  </sheetData>
  <mergeCells count="13">
    <mergeCell ref="A4:H4"/>
    <mergeCell ref="A2366:D2366"/>
    <mergeCell ref="A3:H3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</mergeCells>
  <conditionalFormatting sqref="H10:H2365">
    <cfRule type="cellIs" priority="1" operator="equal" dxfId="0">
      <formula>"بدهکار"</formula>
    </cfRule>
    <cfRule type="cellIs" priority="2" operator="equal" dxfId="1">
      <formula>"بستانکار"</formula>
    </cfRule>
  </conditionalFormatting>
  <conditionalFormatting sqref="E10:E2365">
    <cfRule type="dataBar" priority="3">
      <dataBar showValue="1">
        <cfvo type="num" val="0"/>
        <cfvo type="max"/>
        <color rgb="00A5D6A7"/>
      </dataBar>
    </cfRule>
  </conditionalFormatting>
  <conditionalFormatting sqref="F10:F2365">
    <cfRule type="dataBar" priority="4">
      <dataBar showValue="1">
        <cfvo type="num" val="0"/>
        <cfvo type="max"/>
        <color rgb="00FFB74D"/>
      </dataBar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تراز آزمایشی — تراکنش‌ها و چک‌ها&amp;R&amp;"Tahoma"&amp;8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J29"/>
  <sheetViews>
    <sheetView showGridLines="0" rightToLeft="1" zoomScale="115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8" customWidth="1" min="4" max="4"/>
    <col width="17" customWidth="1" min="5" max="5"/>
    <col width="10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 ht="26" customHeight="1">
      <c r="A1" s="1">
        <f>IF(Sync!$P$6="","مازندشت",Sync!$P$6)&amp;" — "&amp;IF(Sync!$P$9="","سورتینگ و بسته‌بندی مرکبات",Sync!$P$9)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4" customHeight="1">
      <c r="A2" s="2">
        <f>IF(Sync!$P$7="","باغدشت، بخش مرکزی، شهرستان قائم‌شهر، استان مازندران، ایران",Sync!$P$7)&amp;"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ترازنامه گزارشی — از تراکنش‌ها و چک‌های پرداختی (خودکار)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42" customHeight="1">
      <c r="A4" s="4" t="inlineStr">
        <is>
          <t>دارایی = نقد بانک‌ها + طلب اشخاص + سبد و ظروف + دارایی‌های ثابت (F…) · بدهی = دیون اشخاص + چک‌های پاس‌نشده + وام‌ها (L…) + متفرقه · حقوق صاحبان = افتتاحیه + سرمایه و آورده (CAP…) − هزینه‌های دوره − تراکنش‌های شخصی. ستون «درصد از جمع» سهم هر ردیف از جمع همان بخش است؛ ستون «دوره قبل» اختیاری و دستی است (برای ترازنامه تطبیقی، ارقام پایان دوره قبل را بنویسید) تا ستون «اختلاف» خودکار محاسبه شود. ارقام جاری از شیت Trial (تراز آزمایشی) جمع می‌شوند — پس از تغییر تراکنش‌ها: Data ← Edit Links ← Update Values.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3" customHeight="1">
      <c r="A5" s="5" t="inlineStr">
        <is>
          <t>جمع دارایی‌ها (ریال)</t>
        </is>
      </c>
      <c r="B5" s="5" t="n"/>
      <c r="C5" s="5" t="inlineStr">
        <is>
          <t>جمع بدهی‌ها (ریال)</t>
        </is>
      </c>
      <c r="D5" s="5" t="n"/>
      <c r="E5" s="5" t="inlineStr">
        <is>
          <t>حقوق صاحبان (ریال)</t>
        </is>
      </c>
      <c r="F5" s="5" t="n"/>
      <c r="G5" s="5" t="inlineStr">
        <is>
          <t>کنترل ترازنامه</t>
        </is>
      </c>
      <c r="H5" s="5" t="n"/>
      <c r="I5" s="5" t="inlineStr">
        <is>
          <t>نسبت جاری (پوشش بدهی کوتاه‌مدت)</t>
        </is>
      </c>
      <c r="J5" s="5" t="n"/>
    </row>
    <row r="6" ht="20" customHeight="1">
      <c r="A6" s="6">
        <f>E15</f>
        <v/>
      </c>
      <c r="B6" s="6" t="n"/>
      <c r="C6" s="6">
        <f>E21</f>
        <v/>
      </c>
      <c r="D6" s="6" t="n"/>
      <c r="E6" s="6">
        <f>E27</f>
        <v/>
      </c>
      <c r="F6" s="6" t="n"/>
      <c r="G6" s="7">
        <f>IF(ROUND(E15-(E21+E27),0)=0,"√ تراز است","▲ مغایرت")</f>
        <v/>
      </c>
      <c r="H6" s="7" t="n"/>
      <c r="I6" s="24">
        <f>IFERROR(ROUND((E11+E12)/(E17+E18+E20),2),"—")</f>
        <v/>
      </c>
      <c r="J6" s="24" t="n"/>
    </row>
    <row r="8" ht="13" customHeight="1">
      <c r="A8" s="5" t="inlineStr">
        <is>
          <t>واریزهای فروش (ریال)</t>
        </is>
      </c>
      <c r="B8" s="5" t="n"/>
      <c r="C8" s="5" t="inlineStr">
        <is>
          <t>برداشت‌های خرید (ریال)</t>
        </is>
      </c>
      <c r="D8" s="5" t="n"/>
      <c r="E8" s="5" t="inlineStr">
        <is>
          <t>هزینه‌های دوره (ریال)</t>
        </is>
      </c>
      <c r="F8" s="5" t="n"/>
      <c r="G8" s="5" t="inlineStr">
        <is>
          <t>چک‌های پاس‌نشده (ریال)</t>
        </is>
      </c>
      <c r="H8" s="5" t="n"/>
      <c r="I8" s="5" t="inlineStr">
        <is>
          <t>سود نقدی دوره (تقریبی)</t>
        </is>
      </c>
      <c r="J8" s="5" t="n"/>
    </row>
    <row r="9" ht="20" customHeight="1">
      <c r="A9" s="6">
        <f>SUMIF(CalcGroup,"فروش",CalcDep)</f>
        <v/>
      </c>
      <c r="B9" s="6" t="n"/>
      <c r="C9" s="6">
        <f>SUMIF(CalcGroup,"خرید",CalcWit)</f>
        <v/>
      </c>
      <c r="D9" s="6" t="n"/>
      <c r="E9" s="6">
        <f>SUMIF(CalcGroup,"هزینه",CalcWit)-SUMIF(CalcGroup,"هزینه",CalcDep)</f>
        <v/>
      </c>
      <c r="F9" s="6" t="n"/>
      <c r="G9" s="6">
        <f>-SUMIFS(TrialBal,TrialType,"q")</f>
        <v/>
      </c>
      <c r="H9" s="6" t="n"/>
      <c r="I9" s="6">
        <f>SUMIF(CalcGroup,"فروش",CalcDep)-SUMIF(CalcGroup,"خرید",CalcWit)-(SUMIF(CalcGroup,"هزینه",CalcWit)-SUMIF(CalcGroup,"هزینه",CalcDep))</f>
        <v/>
      </c>
      <c r="J9" s="6" t="n"/>
    </row>
    <row r="10" ht="20" customHeight="1">
      <c r="A10" s="25" t="inlineStr">
        <is>
          <t>بخش</t>
        </is>
      </c>
      <c r="B10" s="25" t="inlineStr">
        <is>
          <t>شرح</t>
        </is>
      </c>
      <c r="C10" s="25" t="n"/>
      <c r="D10" s="25" t="inlineStr">
        <is>
          <t>کد طبقه</t>
        </is>
      </c>
      <c r="E10" s="25" t="inlineStr">
        <is>
          <t>مبلغ (ریال)</t>
        </is>
      </c>
      <c r="F10" s="25" t="inlineStr">
        <is>
          <t>٪ از جمع</t>
        </is>
      </c>
      <c r="G10" s="25" t="inlineStr">
        <is>
          <t>دوره قبل (دستی)</t>
        </is>
      </c>
      <c r="H10" s="25" t="inlineStr">
        <is>
          <t>اختلاف با دوره قبل</t>
        </is>
      </c>
    </row>
    <row r="11">
      <c r="A11" s="26" t="inlineStr">
        <is>
          <t>دارایی</t>
        </is>
      </c>
      <c r="B11" s="27" t="inlineStr">
        <is>
          <t>موجودی نقدی بانک‌ها</t>
        </is>
      </c>
      <c r="C11" s="27" t="n"/>
      <c r="D11" s="28" t="inlineStr">
        <is>
          <t>b</t>
        </is>
      </c>
      <c r="E11" s="29">
        <f>SUMIFS(TrialBal,TrialType,"b")</f>
        <v/>
      </c>
      <c r="F11" s="30">
        <f>IFERROR(E11/E$15,"")</f>
        <v/>
      </c>
      <c r="G11" s="31" t="n"/>
      <c r="H11" s="32">
        <f>IF($G11="","",E11-$G11)</f>
        <v/>
      </c>
    </row>
    <row r="12">
      <c r="A12" s="26" t="inlineStr">
        <is>
          <t>دارایی</t>
        </is>
      </c>
      <c r="B12" s="27" t="inlineStr">
        <is>
          <t>طلب از اشخاص (مانده بدهکار / پیش‌پرداخت)</t>
        </is>
      </c>
      <c r="C12" s="27" t="n"/>
      <c r="D12" s="28" t="inlineStr">
        <is>
          <t>p+</t>
        </is>
      </c>
      <c r="E12" s="29">
        <f>SUMIFS(TrialBal,TrialType,"p",TrialBal,"&gt;0")</f>
        <v/>
      </c>
      <c r="F12" s="30">
        <f>IFERROR(E12/E$15,"")</f>
        <v/>
      </c>
      <c r="G12" s="31" t="n"/>
      <c r="H12" s="32">
        <f>IF($G12="","",E12-$G12)</f>
        <v/>
      </c>
    </row>
    <row r="13">
      <c r="A13" s="26" t="inlineStr">
        <is>
          <t>دارایی</t>
        </is>
      </c>
      <c r="B13" s="27" t="inlineStr">
        <is>
          <t>سبد و ظروف (دفتر Baskets)</t>
        </is>
      </c>
      <c r="C13" s="27" t="n"/>
      <c r="D13" s="28" t="inlineStr">
        <is>
          <t>s</t>
        </is>
      </c>
      <c r="E13" s="29">
        <f>SUMIFS(TrialBal,TrialType,"s")</f>
        <v/>
      </c>
      <c r="F13" s="30">
        <f>IFERROR(E13/E$15,"")</f>
        <v/>
      </c>
      <c r="G13" s="31" t="n"/>
      <c r="H13" s="32">
        <f>IF($G13="","",E13-$G13)</f>
        <v/>
      </c>
    </row>
    <row r="14">
      <c r="A14" s="26" t="inlineStr">
        <is>
          <t>دارایی</t>
        </is>
      </c>
      <c r="B14" s="27" t="inlineStr">
        <is>
          <t>دارایی‌های ثابت — زمین، خودرو، تجهیزات (F…)</t>
        </is>
      </c>
      <c r="C14" s="27" t="n"/>
      <c r="D14" s="28" t="inlineStr">
        <is>
          <t>f</t>
        </is>
      </c>
      <c r="E14" s="29">
        <f>SUMIFS(TrialBal,TrialType,"f")</f>
        <v/>
      </c>
      <c r="F14" s="30">
        <f>IFERROR(E14/E$15,"")</f>
        <v/>
      </c>
      <c r="G14" s="31" t="n"/>
      <c r="H14" s="32">
        <f>IF($G14="","",E14-$G14)</f>
        <v/>
      </c>
    </row>
    <row r="15" ht="20" customHeight="1">
      <c r="A15" s="33" t="inlineStr">
        <is>
          <t>جمع دارایی‌ها</t>
        </is>
      </c>
      <c r="B15" s="33" t="n"/>
      <c r="C15" s="33" t="n"/>
      <c r="D15" s="33" t="n"/>
      <c r="E15" s="34">
        <f>SUM(E11:E14)</f>
        <v/>
      </c>
      <c r="F15" s="35">
        <f>IFERROR(E15/E$15,"")</f>
        <v/>
      </c>
      <c r="G15" s="36">
        <f>SUM(G11:G14)</f>
        <v/>
      </c>
      <c r="H15" s="37">
        <f>IF(COUNT(G11:G14)=0,"",E15-G15)</f>
        <v/>
      </c>
    </row>
    <row r="17">
      <c r="A17" s="26" t="inlineStr">
        <is>
          <t>بدهی</t>
        </is>
      </c>
      <c r="B17" s="27" t="inlineStr">
        <is>
          <t>دیون اشخاص (مانده بستانکار)</t>
        </is>
      </c>
      <c r="C17" s="27" t="n"/>
      <c r="D17" s="28" t="inlineStr">
        <is>
          <t>p-</t>
        </is>
      </c>
      <c r="E17" s="29">
        <f>-SUMIFS(TrialBal,TrialType,"p",TrialBal,"&lt;0")</f>
        <v/>
      </c>
      <c r="F17" s="30">
        <f>IFERROR(E17/E$21,"")</f>
        <v/>
      </c>
      <c r="G17" s="31" t="n"/>
      <c r="H17" s="32">
        <f>IF($G17="","",E17-$G17)</f>
        <v/>
      </c>
    </row>
    <row r="18">
      <c r="A18" s="26" t="inlineStr">
        <is>
          <t>بدهی</t>
        </is>
      </c>
      <c r="B18" s="27" t="inlineStr">
        <is>
          <t>اسناد چک پرداختی — پاس‌نشده</t>
        </is>
      </c>
      <c r="C18" s="27" t="n"/>
      <c r="D18" s="28" t="inlineStr">
        <is>
          <t>q</t>
        </is>
      </c>
      <c r="E18" s="29">
        <f>-SUMIFS(TrialBal,TrialType,"q")</f>
        <v/>
      </c>
      <c r="F18" s="30">
        <f>IFERROR(E18/E$21,"")</f>
        <v/>
      </c>
      <c r="G18" s="31" t="n"/>
      <c r="H18" s="32">
        <f>IF($G18="","",E18-$G18)</f>
        <v/>
      </c>
    </row>
    <row r="19">
      <c r="A19" s="26" t="inlineStr">
        <is>
          <t>بدهی</t>
        </is>
      </c>
      <c r="B19" s="27" t="inlineStr">
        <is>
          <t>وام‌ها و تسهیلات (L…)</t>
        </is>
      </c>
      <c r="C19" s="27" t="n"/>
      <c r="D19" s="28" t="inlineStr">
        <is>
          <t>l</t>
        </is>
      </c>
      <c r="E19" s="29">
        <f>-SUMIFS(TrialBal,TrialType,"l")</f>
        <v/>
      </c>
      <c r="F19" s="30">
        <f>IFERROR(E19/E$21,"")</f>
        <v/>
      </c>
      <c r="G19" s="31" t="n"/>
      <c r="H19" s="32">
        <f>IF($G19="","",E19-$G19)</f>
        <v/>
      </c>
    </row>
    <row r="20">
      <c r="A20" s="26" t="inlineStr">
        <is>
          <t>بدهی</t>
        </is>
      </c>
      <c r="B20" s="27" t="inlineStr">
        <is>
          <t>متفرقه / در انتظار تعریف (شیت Control)</t>
        </is>
      </c>
      <c r="C20" s="27" t="n"/>
      <c r="D20" s="28" t="inlineStr">
        <is>
          <t>m</t>
        </is>
      </c>
      <c r="E20" s="29">
        <f>-SUMIFS(TrialBal,TrialType,"m")</f>
        <v/>
      </c>
      <c r="F20" s="30">
        <f>IFERROR(E20/E$21,"")</f>
        <v/>
      </c>
      <c r="G20" s="31" t="n"/>
      <c r="H20" s="32">
        <f>IF($G20="","",E20-$G20)</f>
        <v/>
      </c>
    </row>
    <row r="21" ht="20" customHeight="1">
      <c r="A21" s="33" t="inlineStr">
        <is>
          <t>جمع بدهی‌ها</t>
        </is>
      </c>
      <c r="B21" s="33" t="n"/>
      <c r="C21" s="33" t="n"/>
      <c r="D21" s="33" t="n"/>
      <c r="E21" s="34">
        <f>SUM(E17:E20)</f>
        <v/>
      </c>
      <c r="F21" s="35">
        <f>IFERROR(E21/E$21,"")</f>
        <v/>
      </c>
      <c r="G21" s="36">
        <f>SUM(G17:G20)</f>
        <v/>
      </c>
      <c r="H21" s="37">
        <f>IF(COUNT(G17:G20)=0,"",E21-G21)</f>
        <v/>
      </c>
    </row>
    <row r="23">
      <c r="A23" s="26" t="inlineStr">
        <is>
          <t>حقوق صاحبان</t>
        </is>
      </c>
      <c r="B23" s="27" t="inlineStr">
        <is>
          <t>افتتاحیه (مانده اولیه بانک‌ها)</t>
        </is>
      </c>
      <c r="C23" s="27" t="n"/>
      <c r="D23" s="28" t="inlineStr">
        <is>
          <t>o</t>
        </is>
      </c>
      <c r="E23" s="29">
        <f>SUMIFS(TrialBal,TrialType,"o")*-1</f>
        <v/>
      </c>
      <c r="F23" s="30">
        <f>IFERROR(E23/E$27,"")</f>
        <v/>
      </c>
      <c r="G23" s="31" t="n"/>
      <c r="H23" s="32">
        <f>IF($G23="","",E23-$G23)</f>
        <v/>
      </c>
    </row>
    <row r="24">
      <c r="A24" s="26" t="inlineStr">
        <is>
          <t>حقوق صاحبان</t>
        </is>
      </c>
      <c r="B24" s="27" t="inlineStr">
        <is>
          <t>سرمایه و آورده صاحبان (CAP…)</t>
        </is>
      </c>
      <c r="C24" s="27" t="n"/>
      <c r="D24" s="28" t="inlineStr">
        <is>
          <t>c</t>
        </is>
      </c>
      <c r="E24" s="29">
        <f>SUMIFS(TrialBal,TrialType,"c")*-1</f>
        <v/>
      </c>
      <c r="F24" s="30">
        <f>IFERROR(E24/E$27,"")</f>
        <v/>
      </c>
      <c r="G24" s="31" t="n"/>
      <c r="H24" s="32">
        <f>IF($G24="","",E24-$G24)</f>
        <v/>
      </c>
    </row>
    <row r="25">
      <c r="A25" s="26" t="inlineStr">
        <is>
          <t>حقوق صاحبان</t>
        </is>
      </c>
      <c r="B25" s="27" t="inlineStr">
        <is>
          <t>هزینه‌های دوره (کسر — مبنای نقدی)</t>
        </is>
      </c>
      <c r="C25" s="27" t="n"/>
      <c r="D25" s="28" t="inlineStr">
        <is>
          <t>e</t>
        </is>
      </c>
      <c r="E25" s="29">
        <f>SUMIFS(TrialBal,TrialType,"e")*-1</f>
        <v/>
      </c>
      <c r="F25" s="30">
        <f>IFERROR(E25/E$27,"")</f>
        <v/>
      </c>
      <c r="G25" s="31" t="n"/>
      <c r="H25" s="32">
        <f>IF($G25="","",E25-$G25)</f>
        <v/>
      </c>
    </row>
    <row r="26">
      <c r="A26" s="26" t="inlineStr">
        <is>
          <t>حقوق صاحبان</t>
        </is>
      </c>
      <c r="B26" s="27" t="inlineStr">
        <is>
          <t>تراکنش‌های شخصی قاسم (خارج از شرکت، کسر)</t>
        </is>
      </c>
      <c r="C26" s="27" t="n"/>
      <c r="D26" s="28" t="inlineStr">
        <is>
          <t>x</t>
        </is>
      </c>
      <c r="E26" s="29">
        <f>SUMIFS(TrialBal,TrialType,"x")*-1</f>
        <v/>
      </c>
      <c r="F26" s="30">
        <f>IFERROR(E26/E$27,"")</f>
        <v/>
      </c>
      <c r="G26" s="31" t="n"/>
      <c r="H26" s="32">
        <f>IF($G26="","",E26-$G26)</f>
        <v/>
      </c>
    </row>
    <row r="27" ht="20" customHeight="1">
      <c r="A27" s="33" t="inlineStr">
        <is>
          <t>جمع حقوق صاحبان (مبنای نقدی)</t>
        </is>
      </c>
      <c r="B27" s="33" t="n"/>
      <c r="C27" s="33" t="n"/>
      <c r="D27" s="33" t="n"/>
      <c r="E27" s="34">
        <f>SUM(E23:E26)</f>
        <v/>
      </c>
      <c r="F27" s="35">
        <f>IFERROR(E27/E$27,"")</f>
        <v/>
      </c>
      <c r="G27" s="36">
        <f>SUM(G23:G26)</f>
        <v/>
      </c>
      <c r="H27" s="37">
        <f>IF(COUNT(G23:G26)=0,"",E27-G27)</f>
        <v/>
      </c>
    </row>
    <row r="29" ht="30" customHeight="1">
      <c r="A29" s="38" t="inlineStr">
        <is>
          <t>⚠️ مبنای این ترازنامه نقدی است: درآمد فروش تا تطبیق با فاکتورها در «دیون اشخاص» (پیش‌دریافت) می‌نشیند و هنوز سود شناسایی‌شده نیست؛ سود واقعی دوره = درآمد فاکتورشده (فایل Sales) − بهای تمام‌شده (Purchases) − هزینه‌ها (Expenses). «متفرقه» حساب معلق است و تا تعریف شدن (شیت Control) در بدهی‌ها می‌ماند.</t>
        </is>
      </c>
      <c r="B29" s="38" t="n"/>
      <c r="C29" s="38" t="n"/>
      <c r="D29" s="38" t="n"/>
      <c r="E29" s="38" t="n"/>
      <c r="F29" s="38" t="n"/>
      <c r="G29" s="38" t="n"/>
      <c r="H29" s="38" t="n"/>
    </row>
  </sheetData>
  <mergeCells count="41">
    <mergeCell ref="C6:D6"/>
    <mergeCell ref="I6:J6"/>
    <mergeCell ref="B25:C25"/>
    <mergeCell ref="C5:D5"/>
    <mergeCell ref="E5:F5"/>
    <mergeCell ref="A4:J4"/>
    <mergeCell ref="G8:H8"/>
    <mergeCell ref="B18:C18"/>
    <mergeCell ref="E8:F8"/>
    <mergeCell ref="A6:B6"/>
    <mergeCell ref="B12:C12"/>
    <mergeCell ref="B11:C11"/>
    <mergeCell ref="B23:C23"/>
    <mergeCell ref="A15:D15"/>
    <mergeCell ref="B14:C14"/>
    <mergeCell ref="G6:H6"/>
    <mergeCell ref="C9:D9"/>
    <mergeCell ref="B17:C17"/>
    <mergeCell ref="E9:F9"/>
    <mergeCell ref="B13:C13"/>
    <mergeCell ref="A1:J1"/>
    <mergeCell ref="E6:F6"/>
    <mergeCell ref="B19:C19"/>
    <mergeCell ref="B10:C10"/>
    <mergeCell ref="A5:B5"/>
    <mergeCell ref="G5:H5"/>
    <mergeCell ref="I5:J5"/>
    <mergeCell ref="I8:J8"/>
    <mergeCell ref="A8:B8"/>
    <mergeCell ref="C8:D8"/>
    <mergeCell ref="B24:C24"/>
    <mergeCell ref="A27:D27"/>
    <mergeCell ref="B26:C26"/>
    <mergeCell ref="A29:H29"/>
    <mergeCell ref="B20:C20"/>
    <mergeCell ref="A3:J3"/>
    <mergeCell ref="A21:D21"/>
    <mergeCell ref="A2:J2"/>
    <mergeCell ref="A9:B9"/>
    <mergeCell ref="G9:H9"/>
    <mergeCell ref="I9:J9"/>
  </mergeCells>
  <conditionalFormatting sqref="E11:H27">
    <cfRule type="cellIs" priority="1" operator="lessThan" dxfId="2">
      <formula>0</formula>
    </cfRule>
  </conditionalFormatting>
  <conditionalFormatting sqref="G11:G26">
    <cfRule type="expression" priority="2" dxfId="3">
      <formula>AND(G11&lt;&gt;"",G11&lt;&gt;0)</formula>
    </cfRule>
  </conditionalFormatting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ترازنامه گزارشی — سامانه مازندشت&amp;R&amp;"Tahoma"&amp;8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H25"/>
  <sheetViews>
    <sheetView showGridLines="0" rightToLeft="1" zoomScale="10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7" customWidth="1" min="4" max="4"/>
    <col width="20" customWidth="1" min="5" max="5"/>
    <col width="16" customWidth="1" min="6" max="6"/>
    <col width="16" customWidth="1" min="7" max="7"/>
    <col width="17" customWidth="1" min="8" max="8"/>
  </cols>
  <sheetData>
    <row r="1" ht="26" customHeight="1">
      <c r="A1" s="1">
        <f>IF(Sync!$P$6="","مازندشت",Sync!$P$6)&amp;" — "&amp;IF(Sync!$P$9="","سورتینگ و بسته‌بندی مرکبات",Sync!$P$9)</f>
        <v/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>
        <f>IF(Sync!$P$7="","باغدشت، بخش مرکزی، شهرستان قائم‌شهر، استان مازندران، ایران",Sync!$P$7)&amp;"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ترازنامه کلاسیک دوستونه — سبک سنتی (خودکار)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چیدمان سنتی: دارایی‌ها یک سمت، بدهی‌ها و حقوق صاحبان سمت دیگر — ارقام هر دو سمت از شیت Trial جمع می‌شوند و باید برابر باشند (معادله حسابداری). «متفرقه» تا تعریف شدن در شیت Control، در بدهی‌های کوتاه‌مدت می‌ماند.</t>
        </is>
      </c>
      <c r="B4" s="4" t="n"/>
      <c r="C4" s="4" t="n"/>
      <c r="D4" s="4" t="n"/>
      <c r="E4" s="4" t="n"/>
      <c r="F4" s="4" t="n"/>
      <c r="G4" s="4" t="n"/>
      <c r="H4" s="4" t="n"/>
    </row>
    <row r="10" ht="20" customHeight="1">
      <c r="A10" s="39" t="inlineStr">
        <is>
          <t>دارایی‌ها</t>
        </is>
      </c>
      <c r="B10" s="39" t="n"/>
      <c r="C10" s="39" t="n"/>
      <c r="D10" s="25" t="inlineStr">
        <is>
          <t>مبلغ (ریال)</t>
        </is>
      </c>
      <c r="E10" s="40" t="inlineStr">
        <is>
          <t>بدهی‌ها و حقوق صاحبان</t>
        </is>
      </c>
      <c r="F10" s="40" t="n"/>
      <c r="G10" s="40" t="n"/>
      <c r="H10" s="41" t="inlineStr">
        <is>
          <t>مبلغ (ریال)</t>
        </is>
      </c>
    </row>
    <row r="11">
      <c r="A11" s="27" t="inlineStr">
        <is>
          <t>موجودی نقدی بانک‌ها</t>
        </is>
      </c>
      <c r="B11" s="27" t="n"/>
      <c r="C11" s="27" t="n"/>
      <c r="D11" s="29">
        <f>SUMIFS(TrialBal,TrialType,"b")</f>
        <v/>
      </c>
      <c r="E11" s="27" t="inlineStr">
        <is>
          <t>دیون اشخاص (بستانکار)</t>
        </is>
      </c>
      <c r="F11" s="27" t="n"/>
      <c r="G11" s="27" t="n"/>
      <c r="H11" s="29">
        <f>-SUMIFS(TrialBal,TrialType,"p",TrialBal,"&lt;0")</f>
        <v/>
      </c>
    </row>
    <row r="12">
      <c r="A12" s="42" t="inlineStr">
        <is>
          <t>طلب از اشخاص (بدهکار)</t>
        </is>
      </c>
      <c r="B12" s="42" t="n"/>
      <c r="C12" s="42" t="n"/>
      <c r="D12" s="43">
        <f>SUMIFS(TrialBal,TrialType,"p",TrialBal,"&gt;0")</f>
        <v/>
      </c>
      <c r="E12" s="42" t="inlineStr">
        <is>
          <t>اسناد چک پرداختی — پاس‌نشده</t>
        </is>
      </c>
      <c r="F12" s="42" t="n"/>
      <c r="G12" s="42" t="n"/>
      <c r="H12" s="43">
        <f>-SUMIFS(TrialBal,TrialType,"q")</f>
        <v/>
      </c>
    </row>
    <row r="13">
      <c r="A13" s="27" t="inlineStr">
        <is>
          <t>دارایی‌های ثابت (F…)</t>
        </is>
      </c>
      <c r="B13" s="27" t="n"/>
      <c r="C13" s="27" t="n"/>
      <c r="D13" s="29">
        <f>SUMIFS(TrialBal,TrialType,"f")</f>
        <v/>
      </c>
      <c r="E13" s="27" t="inlineStr">
        <is>
          <t>وام‌ها و تسهیلات (L…)</t>
        </is>
      </c>
      <c r="F13" s="27" t="n"/>
      <c r="G13" s="27" t="n"/>
      <c r="H13" s="29">
        <f>-SUMIFS(TrialBal,TrialType,"l")</f>
        <v/>
      </c>
    </row>
    <row r="14">
      <c r="A14" s="42" t="inlineStr">
        <is>
          <t>سبد و ظروف (دفتر Baskets)</t>
        </is>
      </c>
      <c r="B14" s="42" t="n"/>
      <c r="C14" s="42" t="n"/>
      <c r="D14" s="43">
        <f>SUMIFS(TrialBal,TrialType,"s")</f>
        <v/>
      </c>
      <c r="E14" s="42" t="inlineStr">
        <is>
          <t>متفرقه — در انتظار تعریف</t>
        </is>
      </c>
      <c r="F14" s="42" t="n"/>
      <c r="G14" s="42" t="n"/>
      <c r="H14" s="43">
        <f>-SUMIFS(TrialBal,TrialType,"m")</f>
        <v/>
      </c>
    </row>
    <row r="15" ht="19" customHeight="1">
      <c r="A15" s="27" t="inlineStr"/>
      <c r="B15" s="27" t="n"/>
      <c r="C15" s="27" t="n"/>
      <c r="D15" s="27" t="n"/>
      <c r="E15" s="44" t="inlineStr">
        <is>
          <t>جمع بدهی‌ها</t>
        </is>
      </c>
      <c r="F15" s="44" t="n"/>
      <c r="G15" s="44" t="n"/>
      <c r="H15" s="45">
        <f>SUM(H11:H14)</f>
        <v/>
      </c>
    </row>
    <row r="17">
      <c r="A17" s="27" t="inlineStr"/>
      <c r="B17" s="27" t="n"/>
      <c r="C17" s="27" t="n"/>
      <c r="D17" s="27" t="n"/>
      <c r="E17" s="27" t="inlineStr">
        <is>
          <t>سرمایه و آورده صاحبان (CAP…)</t>
        </is>
      </c>
      <c r="F17" s="27" t="n"/>
      <c r="G17" s="27" t="n"/>
      <c r="H17" s="29">
        <f>-SUMIFS(TrialBal,TrialType,"c")</f>
        <v/>
      </c>
    </row>
    <row r="18">
      <c r="A18" s="42" t="inlineStr"/>
      <c r="B18" s="42" t="n"/>
      <c r="C18" s="42" t="n"/>
      <c r="D18" s="42" t="n"/>
      <c r="E18" s="42" t="inlineStr">
        <is>
          <t>افتتاحیه (آورده اولیه)</t>
        </is>
      </c>
      <c r="F18" s="42" t="n"/>
      <c r="G18" s="42" t="n"/>
      <c r="H18" s="43">
        <f>-SUMIFS(TrialBal,TrialType,"o")</f>
        <v/>
      </c>
    </row>
    <row r="19">
      <c r="A19" s="27" t="inlineStr"/>
      <c r="B19" s="27" t="n"/>
      <c r="C19" s="27" t="n"/>
      <c r="D19" s="27" t="n"/>
      <c r="E19" s="27" t="inlineStr">
        <is>
          <t>تغییرات نقدی دوره (− هزینه‌ها − شخصی)</t>
        </is>
      </c>
      <c r="F19" s="27" t="n"/>
      <c r="G19" s="27" t="n"/>
      <c r="H19" s="29">
        <f>-SUMIFS(TrialBal,TrialType,"e")-SUMIFS(TrialBal,TrialType,"x")</f>
        <v/>
      </c>
    </row>
    <row r="20" ht="19" customHeight="1">
      <c r="A20" s="46" t="inlineStr">
        <is>
          <t>جمع دارایی‌ها</t>
        </is>
      </c>
      <c r="B20" s="46" t="n"/>
      <c r="C20" s="46" t="n"/>
      <c r="D20" s="47">
        <f>SUM(D11:D14)</f>
        <v/>
      </c>
      <c r="E20" s="44" t="inlineStr">
        <is>
          <t>جمع حقوق صاحبان</t>
        </is>
      </c>
      <c r="F20" s="44" t="n"/>
      <c r="G20" s="44" t="n"/>
      <c r="H20" s="45">
        <f>SUM(H17:H19)</f>
        <v/>
      </c>
    </row>
    <row r="21" ht="21" customHeight="1">
      <c r="A21" s="48" t="inlineStr">
        <is>
          <t>جمع کل دارایی‌ها</t>
        </is>
      </c>
      <c r="B21" s="48" t="n"/>
      <c r="C21" s="48" t="n"/>
      <c r="D21" s="34">
        <f>D20</f>
        <v/>
      </c>
      <c r="E21" s="49" t="inlineStr">
        <is>
          <t>جمع کل بدهی‌ها + حقوق صاحبان</t>
        </is>
      </c>
      <c r="F21" s="49" t="n"/>
      <c r="G21" s="49" t="n"/>
      <c r="H21" s="50">
        <f>H15+H20</f>
        <v/>
      </c>
    </row>
    <row r="23" ht="24" customHeight="1">
      <c r="A23" s="51">
        <f>IF(ROUND(D21-H21,0)=0,"√ تراز است — دارایی‌ها = بدهی‌ها + حقوق صاحبان","▲ مغایرت: دارایی‌ها ≠ بدهی‌ها + حقوق صاحبان")</f>
        <v/>
      </c>
      <c r="B23" s="51" t="n"/>
      <c r="C23" s="51" t="n"/>
      <c r="D23" s="51" t="n"/>
      <c r="E23" s="51" t="n"/>
      <c r="F23" s="51" t="n"/>
      <c r="G23" s="51" t="n"/>
      <c r="H23" s="51" t="n"/>
    </row>
    <row r="25" ht="26" customHeight="1">
      <c r="A25" s="52" t="inlineStr">
        <is>
          <t>مبنای نقدی: واریزهای فروش تا تطبیق با فاکتور در «دیون اشخاص» است و سود واقعی دوره از فاکتورهای فروش/خرید محاسبه می‌شود (فایل‌های Sales و Purchases و Expenses).</t>
        </is>
      </c>
      <c r="B25" s="52" t="n"/>
      <c r="C25" s="52" t="n"/>
      <c r="D25" s="52" t="n"/>
      <c r="E25" s="52" t="n"/>
      <c r="F25" s="52" t="n"/>
      <c r="G25" s="52" t="n"/>
      <c r="H25" s="52" t="n"/>
    </row>
  </sheetData>
  <mergeCells count="31">
    <mergeCell ref="E10:G10"/>
    <mergeCell ref="A17:D17"/>
    <mergeCell ref="E13:G13"/>
    <mergeCell ref="E19:G19"/>
    <mergeCell ref="A18:C18"/>
    <mergeCell ref="A21:C21"/>
    <mergeCell ref="A19:D19"/>
    <mergeCell ref="A1:H1"/>
    <mergeCell ref="A12:C12"/>
    <mergeCell ref="E15:G15"/>
    <mergeCell ref="E11:G11"/>
    <mergeCell ref="A25:H25"/>
    <mergeCell ref="A14:C14"/>
    <mergeCell ref="A17:C17"/>
    <mergeCell ref="A15:D15"/>
    <mergeCell ref="A20:C20"/>
    <mergeCell ref="A10:C10"/>
    <mergeCell ref="A3:H3"/>
    <mergeCell ref="A13:C13"/>
    <mergeCell ref="A19:C19"/>
    <mergeCell ref="A2:H2"/>
    <mergeCell ref="E12:G12"/>
    <mergeCell ref="E18:G18"/>
    <mergeCell ref="E21:G21"/>
    <mergeCell ref="A23:H23"/>
    <mergeCell ref="A4:H4"/>
    <mergeCell ref="A18:D18"/>
    <mergeCell ref="A11:C11"/>
    <mergeCell ref="E14:G14"/>
    <mergeCell ref="E17:G17"/>
    <mergeCell ref="E20:G20"/>
  </mergeCells>
  <conditionalFormatting sqref="D11:H21">
    <cfRule type="cellIs" priority="1" operator="lessThan" dxfId="2">
      <formula>0</formula>
    </cfRule>
  </conditionalFormatting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ترازنامه کلاسیک — سامانه مازندشت&amp;R&amp;"Tahoma"&amp;8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 fitToPage="1"/>
  </sheetPr>
  <dimension ref="A1:H41"/>
  <sheetViews>
    <sheetView showGridLines="0" rightToLeft="1" zoomScale="9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0" customWidth="1" min="4" max="4"/>
    <col width="10" customWidth="1" min="5" max="5"/>
    <col width="13" customWidth="1" min="6" max="6"/>
    <col width="15" customWidth="1" min="7" max="7"/>
    <col width="12" customWidth="1" min="8" max="8"/>
  </cols>
  <sheetData>
    <row r="1" ht="26" customHeight="1">
      <c r="A1" s="1">
        <f>IF(Sync!$P$6="","مازندشت",Sync!$P$6)&amp;" — "&amp;IF(Sync!$P$9="","سورتینگ و بسته‌بندی مرکبات",Sync!$P$9)</f>
        <v/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>
        <f>IF(Sync!$P$7="","باغدشت، بخش مرکزی، شهرستان قائم‌شهر، استان مازندران، ایران",Sync!$P$7)&amp;"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کنترل و اعتبارسنجی — موارد تعریف‌نشده یا نیازمند تعریف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این شیت خودکار است: هر تراکنش یا چکی که به حساب/زیرگروه/شماره‌ی تعریف‌نشده اشاره کند اینجا فهرست می‌شود تا در INFO (یا Transactions / Cheques) تعریف و اصلاحش کنید. موارد ناشناس تا تعریف نشوند، در «متفرقه» تراز می‌مانند. پس از اصلاح: Data ← Edit Links ← Update Values.</t>
        </is>
      </c>
      <c r="B4" s="4" t="n"/>
      <c r="C4" s="4" t="n"/>
      <c r="D4" s="4" t="n"/>
      <c r="E4" s="4" t="n"/>
      <c r="F4" s="4" t="n"/>
      <c r="G4" s="4" t="n"/>
      <c r="H4" s="4" t="n"/>
    </row>
    <row r="5" ht="13" customHeight="1">
      <c r="A5" s="5" t="inlineStr">
        <is>
          <t>موارد نیازمند اقدام</t>
        </is>
      </c>
      <c r="B5" s="5" t="n"/>
      <c r="C5" s="5" t="inlineStr">
        <is>
          <t>جمع مبلغ تراکنش‌های مشکل‌دار (ریال)</t>
        </is>
      </c>
      <c r="D5" s="5" t="n"/>
      <c r="E5" s="5" t="inlineStr">
        <is>
          <t>هزینه بدون زیرگروه (ریال)</t>
        </is>
      </c>
      <c r="F5" s="5" t="n"/>
      <c r="G5" s="5" t="inlineStr">
        <is>
          <t>مانده متفرقه — در انتظار تعریف (ریال)</t>
        </is>
      </c>
      <c r="H5" s="5" t="n"/>
    </row>
    <row r="6" ht="20" customHeight="1">
      <c r="A6" s="8">
        <f>COUNTIF(CalcRank1,"&gt;0")+COUNTIF(CalcRank2,"&gt;0")</f>
        <v/>
      </c>
      <c r="B6" s="8" t="n"/>
      <c r="C6" s="6">
        <f>SUMIF(CalcRank1,"&gt;0",CalcAmt)</f>
        <v/>
      </c>
      <c r="D6" s="6" t="n"/>
      <c r="E6" s="6">
        <f>SUMIF(CalcProb1,"هزینه بدون زیرگروه",CalcAmt)</f>
        <v/>
      </c>
      <c r="F6" s="6" t="n"/>
      <c r="G6" s="6">
        <f>-SUMIFS(TrialBal,TrialType,"m")</f>
        <v/>
      </c>
      <c r="H6" s="6" t="n"/>
    </row>
    <row r="7" ht="20" customHeight="1">
      <c r="A7" s="53">
        <f>IF(COUNTIF(CalcRank1,"&gt;0")+COUNTIF(CalcRank2,"&gt;0")=0,"✓ همه‌چیز تعریف‌شده — موردی برای اقدام نیست","▲ "&amp;COUNTIF(CalcRank1,"&gt;0")+COUNTIF(CalcRank2,"&gt;0")&amp;" مورد نیازمند تعریف — فهرست زیر را اصلاح کنید")</f>
        <v/>
      </c>
      <c r="B7" s="53" t="n"/>
      <c r="C7" s="53" t="n"/>
      <c r="D7" s="53" t="n"/>
      <c r="E7" s="53" t="n"/>
      <c r="F7" s="53" t="n"/>
      <c r="G7" s="53" t="n"/>
      <c r="H7" s="53" t="n"/>
    </row>
    <row r="9" ht="18" customHeight="1">
      <c r="A9" s="33" t="inlineStr">
        <is>
          <t>الف) تراکنش‌های نیازمند تعریف — از Transactions ← Entry</t>
        </is>
      </c>
      <c r="B9" s="33" t="n"/>
      <c r="C9" s="33" t="n"/>
      <c r="D9" s="33" t="n"/>
      <c r="E9" s="33" t="n"/>
      <c r="F9" s="33" t="n"/>
      <c r="G9" s="33" t="n"/>
    </row>
    <row r="10" ht="30" customHeight="1">
      <c r="A10" s="9" t="inlineStr">
        <is>
          <t>ردیف</t>
        </is>
      </c>
      <c r="B10" s="9" t="inlineStr">
        <is>
          <t>نوع مشکل</t>
        </is>
      </c>
      <c r="C10" s="9" t="inlineStr">
        <is>
          <t>تاریخ</t>
        </is>
      </c>
      <c r="D10" s="9" t="inlineStr">
        <is>
          <t>بانک</t>
        </is>
      </c>
      <c r="E10" s="9" t="inlineStr">
        <is>
          <t>طرف</t>
        </is>
      </c>
      <c r="F10" s="9" t="inlineStr">
        <is>
          <t>نوع تراکنش</t>
        </is>
      </c>
      <c r="G10" s="9" t="inlineStr">
        <is>
          <t>مبلغ (ریال)</t>
        </is>
      </c>
    </row>
    <row r="11" ht="13" customHeight="1">
      <c r="A11" s="10" t="inlineStr">
        <is>
          <t>No.</t>
        </is>
      </c>
      <c r="B11" s="10" t="inlineStr">
        <is>
          <t>Issue</t>
        </is>
      </c>
      <c r="C11" s="10" t="inlineStr">
        <is>
          <t>Date</t>
        </is>
      </c>
      <c r="D11" s="10" t="inlineStr">
        <is>
          <t>Bank</t>
        </is>
      </c>
      <c r="E11" s="10" t="inlineStr">
        <is>
          <t>Party</t>
        </is>
      </c>
      <c r="F11" s="10" t="inlineStr">
        <is>
          <t>Txn Type</t>
        </is>
      </c>
      <c r="G11" s="10" t="inlineStr">
        <is>
          <t>Amount</t>
        </is>
      </c>
    </row>
    <row r="12" ht="16" customHeight="1">
      <c r="A12" s="11">
        <f>IF(IFERROR(MATCH(1,CalcRank1,0),0)=0,"",1)</f>
        <v/>
      </c>
      <c r="B12" s="54">
        <f>IF(IFERROR(MATCH(1,CalcRank1,0),0)=0,"",INDEX(CalcProb1,IFERROR(MATCH(1,CalcRank1,0),0)))</f>
        <v/>
      </c>
      <c r="C12" s="12">
        <f>IF(IFERROR(MATCH(1,CalcRank1,0),0)=0,"",INDEX(Sync!$AK$6:$AK$2005,IFERROR(MATCH(1,CalcRank1,0),0)))</f>
        <v/>
      </c>
      <c r="D12" s="12">
        <f>IF(IFERROR(MATCH(1,CalcRank1,0),0)=0,"",INDEX(Calc!$A$6:$A$2005,IFERROR(MATCH(1,CalcRank1,0),0)))</f>
        <v/>
      </c>
      <c r="E12" s="12">
        <f>IF(IFERROR(MATCH(1,CalcRank1,0),0)=0,"",INDEX(Calc!$B$6:$B$2005,IFERROR(MATCH(1,CalcRank1,0),0)))</f>
        <v/>
      </c>
      <c r="F12" s="12">
        <f>IF(IFERROR(MATCH(1,CalcRank1,0),0)=0,"",INDEX(Calc!$C$6:$C$2005,IFERROR(MATCH(1,CalcRank1,0),0)))</f>
        <v/>
      </c>
      <c r="G12" s="14">
        <f>IF(IFERROR(MATCH(1,CalcRank1,0),0)=0,"",INDEX(Calc!$H$6:$H$2005,IFERROR(MATCH(1,CalcRank1,0),0)))</f>
        <v/>
      </c>
    </row>
    <row r="13" ht="16" customHeight="1">
      <c r="A13" s="16">
        <f>IF(IFERROR(MATCH(2,CalcRank1,0),0)=0,"",2)</f>
        <v/>
      </c>
      <c r="B13" s="55">
        <f>IF(IFERROR(MATCH(2,CalcRank1,0),0)=0,"",INDEX(CalcProb1,IFERROR(MATCH(2,CalcRank1,0),0)))</f>
        <v/>
      </c>
      <c r="C13" s="17">
        <f>IF(IFERROR(MATCH(2,CalcRank1,0),0)=0,"",INDEX(Sync!$AK$6:$AK$2005,IFERROR(MATCH(2,CalcRank1,0),0)))</f>
        <v/>
      </c>
      <c r="D13" s="17">
        <f>IF(IFERROR(MATCH(2,CalcRank1,0),0)=0,"",INDEX(Calc!$A$6:$A$2005,IFERROR(MATCH(2,CalcRank1,0),0)))</f>
        <v/>
      </c>
      <c r="E13" s="17">
        <f>IF(IFERROR(MATCH(2,CalcRank1,0),0)=0,"",INDEX(Calc!$B$6:$B$2005,IFERROR(MATCH(2,CalcRank1,0),0)))</f>
        <v/>
      </c>
      <c r="F13" s="17">
        <f>IF(IFERROR(MATCH(2,CalcRank1,0),0)=0,"",INDEX(Calc!$C$6:$C$2005,IFERROR(MATCH(2,CalcRank1,0),0)))</f>
        <v/>
      </c>
      <c r="G13" s="19">
        <f>IF(IFERROR(MATCH(2,CalcRank1,0),0)=0,"",INDEX(Calc!$H$6:$H$2005,IFERROR(MATCH(2,CalcRank1,0),0)))</f>
        <v/>
      </c>
    </row>
    <row r="14" ht="16" customHeight="1">
      <c r="A14" s="11">
        <f>IF(IFERROR(MATCH(3,CalcRank1,0),0)=0,"",3)</f>
        <v/>
      </c>
      <c r="B14" s="54">
        <f>IF(IFERROR(MATCH(3,CalcRank1,0),0)=0,"",INDEX(CalcProb1,IFERROR(MATCH(3,CalcRank1,0),0)))</f>
        <v/>
      </c>
      <c r="C14" s="12">
        <f>IF(IFERROR(MATCH(3,CalcRank1,0),0)=0,"",INDEX(Sync!$AK$6:$AK$2005,IFERROR(MATCH(3,CalcRank1,0),0)))</f>
        <v/>
      </c>
      <c r="D14" s="12">
        <f>IF(IFERROR(MATCH(3,CalcRank1,0),0)=0,"",INDEX(Calc!$A$6:$A$2005,IFERROR(MATCH(3,CalcRank1,0),0)))</f>
        <v/>
      </c>
      <c r="E14" s="12">
        <f>IF(IFERROR(MATCH(3,CalcRank1,0),0)=0,"",INDEX(Calc!$B$6:$B$2005,IFERROR(MATCH(3,CalcRank1,0),0)))</f>
        <v/>
      </c>
      <c r="F14" s="12">
        <f>IF(IFERROR(MATCH(3,CalcRank1,0),0)=0,"",INDEX(Calc!$C$6:$C$2005,IFERROR(MATCH(3,CalcRank1,0),0)))</f>
        <v/>
      </c>
      <c r="G14" s="14">
        <f>IF(IFERROR(MATCH(3,CalcRank1,0),0)=0,"",INDEX(Calc!$H$6:$H$2005,IFERROR(MATCH(3,CalcRank1,0),0)))</f>
        <v/>
      </c>
    </row>
    <row r="15" ht="16" customHeight="1">
      <c r="A15" s="16">
        <f>IF(IFERROR(MATCH(4,CalcRank1,0),0)=0,"",4)</f>
        <v/>
      </c>
      <c r="B15" s="55">
        <f>IF(IFERROR(MATCH(4,CalcRank1,0),0)=0,"",INDEX(CalcProb1,IFERROR(MATCH(4,CalcRank1,0),0)))</f>
        <v/>
      </c>
      <c r="C15" s="17">
        <f>IF(IFERROR(MATCH(4,CalcRank1,0),0)=0,"",INDEX(Sync!$AK$6:$AK$2005,IFERROR(MATCH(4,CalcRank1,0),0)))</f>
        <v/>
      </c>
      <c r="D15" s="17">
        <f>IF(IFERROR(MATCH(4,CalcRank1,0),0)=0,"",INDEX(Calc!$A$6:$A$2005,IFERROR(MATCH(4,CalcRank1,0),0)))</f>
        <v/>
      </c>
      <c r="E15" s="17">
        <f>IF(IFERROR(MATCH(4,CalcRank1,0),0)=0,"",INDEX(Calc!$B$6:$B$2005,IFERROR(MATCH(4,CalcRank1,0),0)))</f>
        <v/>
      </c>
      <c r="F15" s="17">
        <f>IF(IFERROR(MATCH(4,CalcRank1,0),0)=0,"",INDEX(Calc!$C$6:$C$2005,IFERROR(MATCH(4,CalcRank1,0),0)))</f>
        <v/>
      </c>
      <c r="G15" s="19">
        <f>IF(IFERROR(MATCH(4,CalcRank1,0),0)=0,"",INDEX(Calc!$H$6:$H$2005,IFERROR(MATCH(4,CalcRank1,0),0)))</f>
        <v/>
      </c>
    </row>
    <row r="16" ht="16" customHeight="1">
      <c r="A16" s="11">
        <f>IF(IFERROR(MATCH(5,CalcRank1,0),0)=0,"",5)</f>
        <v/>
      </c>
      <c r="B16" s="54">
        <f>IF(IFERROR(MATCH(5,CalcRank1,0),0)=0,"",INDEX(CalcProb1,IFERROR(MATCH(5,CalcRank1,0),0)))</f>
        <v/>
      </c>
      <c r="C16" s="12">
        <f>IF(IFERROR(MATCH(5,CalcRank1,0),0)=0,"",INDEX(Sync!$AK$6:$AK$2005,IFERROR(MATCH(5,CalcRank1,0),0)))</f>
        <v/>
      </c>
      <c r="D16" s="12">
        <f>IF(IFERROR(MATCH(5,CalcRank1,0),0)=0,"",INDEX(Calc!$A$6:$A$2005,IFERROR(MATCH(5,CalcRank1,0),0)))</f>
        <v/>
      </c>
      <c r="E16" s="12">
        <f>IF(IFERROR(MATCH(5,CalcRank1,0),0)=0,"",INDEX(Calc!$B$6:$B$2005,IFERROR(MATCH(5,CalcRank1,0),0)))</f>
        <v/>
      </c>
      <c r="F16" s="12">
        <f>IF(IFERROR(MATCH(5,CalcRank1,0),0)=0,"",INDEX(Calc!$C$6:$C$2005,IFERROR(MATCH(5,CalcRank1,0),0)))</f>
        <v/>
      </c>
      <c r="G16" s="14">
        <f>IF(IFERROR(MATCH(5,CalcRank1,0),0)=0,"",INDEX(Calc!$H$6:$H$2005,IFERROR(MATCH(5,CalcRank1,0),0)))</f>
        <v/>
      </c>
    </row>
    <row r="17" ht="16" customHeight="1">
      <c r="A17" s="16">
        <f>IF(IFERROR(MATCH(6,CalcRank1,0),0)=0,"",6)</f>
        <v/>
      </c>
      <c r="B17" s="55">
        <f>IF(IFERROR(MATCH(6,CalcRank1,0),0)=0,"",INDEX(CalcProb1,IFERROR(MATCH(6,CalcRank1,0),0)))</f>
        <v/>
      </c>
      <c r="C17" s="17">
        <f>IF(IFERROR(MATCH(6,CalcRank1,0),0)=0,"",INDEX(Sync!$AK$6:$AK$2005,IFERROR(MATCH(6,CalcRank1,0),0)))</f>
        <v/>
      </c>
      <c r="D17" s="17">
        <f>IF(IFERROR(MATCH(6,CalcRank1,0),0)=0,"",INDEX(Calc!$A$6:$A$2005,IFERROR(MATCH(6,CalcRank1,0),0)))</f>
        <v/>
      </c>
      <c r="E17" s="17">
        <f>IF(IFERROR(MATCH(6,CalcRank1,0),0)=0,"",INDEX(Calc!$B$6:$B$2005,IFERROR(MATCH(6,CalcRank1,0),0)))</f>
        <v/>
      </c>
      <c r="F17" s="17">
        <f>IF(IFERROR(MATCH(6,CalcRank1,0),0)=0,"",INDEX(Calc!$C$6:$C$2005,IFERROR(MATCH(6,CalcRank1,0),0)))</f>
        <v/>
      </c>
      <c r="G17" s="19">
        <f>IF(IFERROR(MATCH(6,CalcRank1,0),0)=0,"",INDEX(Calc!$H$6:$H$2005,IFERROR(MATCH(6,CalcRank1,0),0)))</f>
        <v/>
      </c>
    </row>
    <row r="18" ht="16" customHeight="1">
      <c r="A18" s="11">
        <f>IF(IFERROR(MATCH(7,CalcRank1,0),0)=0,"",7)</f>
        <v/>
      </c>
      <c r="B18" s="54">
        <f>IF(IFERROR(MATCH(7,CalcRank1,0),0)=0,"",INDEX(CalcProb1,IFERROR(MATCH(7,CalcRank1,0),0)))</f>
        <v/>
      </c>
      <c r="C18" s="12">
        <f>IF(IFERROR(MATCH(7,CalcRank1,0),0)=0,"",INDEX(Sync!$AK$6:$AK$2005,IFERROR(MATCH(7,CalcRank1,0),0)))</f>
        <v/>
      </c>
      <c r="D18" s="12">
        <f>IF(IFERROR(MATCH(7,CalcRank1,0),0)=0,"",INDEX(Calc!$A$6:$A$2005,IFERROR(MATCH(7,CalcRank1,0),0)))</f>
        <v/>
      </c>
      <c r="E18" s="12">
        <f>IF(IFERROR(MATCH(7,CalcRank1,0),0)=0,"",INDEX(Calc!$B$6:$B$2005,IFERROR(MATCH(7,CalcRank1,0),0)))</f>
        <v/>
      </c>
      <c r="F18" s="12">
        <f>IF(IFERROR(MATCH(7,CalcRank1,0),0)=0,"",INDEX(Calc!$C$6:$C$2005,IFERROR(MATCH(7,CalcRank1,0),0)))</f>
        <v/>
      </c>
      <c r="G18" s="14">
        <f>IF(IFERROR(MATCH(7,CalcRank1,0),0)=0,"",INDEX(Calc!$H$6:$H$2005,IFERROR(MATCH(7,CalcRank1,0),0)))</f>
        <v/>
      </c>
    </row>
    <row r="19" ht="16" customHeight="1">
      <c r="A19" s="16">
        <f>IF(IFERROR(MATCH(8,CalcRank1,0),0)=0,"",8)</f>
        <v/>
      </c>
      <c r="B19" s="55">
        <f>IF(IFERROR(MATCH(8,CalcRank1,0),0)=0,"",INDEX(CalcProb1,IFERROR(MATCH(8,CalcRank1,0),0)))</f>
        <v/>
      </c>
      <c r="C19" s="17">
        <f>IF(IFERROR(MATCH(8,CalcRank1,0),0)=0,"",INDEX(Sync!$AK$6:$AK$2005,IFERROR(MATCH(8,CalcRank1,0),0)))</f>
        <v/>
      </c>
      <c r="D19" s="17">
        <f>IF(IFERROR(MATCH(8,CalcRank1,0),0)=0,"",INDEX(Calc!$A$6:$A$2005,IFERROR(MATCH(8,CalcRank1,0),0)))</f>
        <v/>
      </c>
      <c r="E19" s="17">
        <f>IF(IFERROR(MATCH(8,CalcRank1,0),0)=0,"",INDEX(Calc!$B$6:$B$2005,IFERROR(MATCH(8,CalcRank1,0),0)))</f>
        <v/>
      </c>
      <c r="F19" s="17">
        <f>IF(IFERROR(MATCH(8,CalcRank1,0),0)=0,"",INDEX(Calc!$C$6:$C$2005,IFERROR(MATCH(8,CalcRank1,0),0)))</f>
        <v/>
      </c>
      <c r="G19" s="19">
        <f>IF(IFERROR(MATCH(8,CalcRank1,0),0)=0,"",INDEX(Calc!$H$6:$H$2005,IFERROR(MATCH(8,CalcRank1,0),0)))</f>
        <v/>
      </c>
    </row>
    <row r="20" ht="16" customHeight="1">
      <c r="A20" s="11">
        <f>IF(IFERROR(MATCH(9,CalcRank1,0),0)=0,"",9)</f>
        <v/>
      </c>
      <c r="B20" s="54">
        <f>IF(IFERROR(MATCH(9,CalcRank1,0),0)=0,"",INDEX(CalcProb1,IFERROR(MATCH(9,CalcRank1,0),0)))</f>
        <v/>
      </c>
      <c r="C20" s="12">
        <f>IF(IFERROR(MATCH(9,CalcRank1,0),0)=0,"",INDEX(Sync!$AK$6:$AK$2005,IFERROR(MATCH(9,CalcRank1,0),0)))</f>
        <v/>
      </c>
      <c r="D20" s="12">
        <f>IF(IFERROR(MATCH(9,CalcRank1,0),0)=0,"",INDEX(Calc!$A$6:$A$2005,IFERROR(MATCH(9,CalcRank1,0),0)))</f>
        <v/>
      </c>
      <c r="E20" s="12">
        <f>IF(IFERROR(MATCH(9,CalcRank1,0),0)=0,"",INDEX(Calc!$B$6:$B$2005,IFERROR(MATCH(9,CalcRank1,0),0)))</f>
        <v/>
      </c>
      <c r="F20" s="12">
        <f>IF(IFERROR(MATCH(9,CalcRank1,0),0)=0,"",INDEX(Calc!$C$6:$C$2005,IFERROR(MATCH(9,CalcRank1,0),0)))</f>
        <v/>
      </c>
      <c r="G20" s="14">
        <f>IF(IFERROR(MATCH(9,CalcRank1,0),0)=0,"",INDEX(Calc!$H$6:$H$2005,IFERROR(MATCH(9,CalcRank1,0),0)))</f>
        <v/>
      </c>
    </row>
    <row r="21" ht="16" customHeight="1">
      <c r="A21" s="16">
        <f>IF(IFERROR(MATCH(10,CalcRank1,0),0)=0,"",10)</f>
        <v/>
      </c>
      <c r="B21" s="55">
        <f>IF(IFERROR(MATCH(10,CalcRank1,0),0)=0,"",INDEX(CalcProb1,IFERROR(MATCH(10,CalcRank1,0),0)))</f>
        <v/>
      </c>
      <c r="C21" s="17">
        <f>IF(IFERROR(MATCH(10,CalcRank1,0),0)=0,"",INDEX(Sync!$AK$6:$AK$2005,IFERROR(MATCH(10,CalcRank1,0),0)))</f>
        <v/>
      </c>
      <c r="D21" s="17">
        <f>IF(IFERROR(MATCH(10,CalcRank1,0),0)=0,"",INDEX(Calc!$A$6:$A$2005,IFERROR(MATCH(10,CalcRank1,0),0)))</f>
        <v/>
      </c>
      <c r="E21" s="17">
        <f>IF(IFERROR(MATCH(10,CalcRank1,0),0)=0,"",INDEX(Calc!$B$6:$B$2005,IFERROR(MATCH(10,CalcRank1,0),0)))</f>
        <v/>
      </c>
      <c r="F21" s="17">
        <f>IF(IFERROR(MATCH(10,CalcRank1,0),0)=0,"",INDEX(Calc!$C$6:$C$2005,IFERROR(MATCH(10,CalcRank1,0),0)))</f>
        <v/>
      </c>
      <c r="G21" s="19">
        <f>IF(IFERROR(MATCH(10,CalcRank1,0),0)=0,"",INDEX(Calc!$H$6:$H$2005,IFERROR(MATCH(10,CalcRank1,0),0)))</f>
        <v/>
      </c>
    </row>
    <row r="22" ht="16" customHeight="1">
      <c r="A22" s="11">
        <f>IF(IFERROR(MATCH(11,CalcRank1,0),0)=0,"",11)</f>
        <v/>
      </c>
      <c r="B22" s="54">
        <f>IF(IFERROR(MATCH(11,CalcRank1,0),0)=0,"",INDEX(CalcProb1,IFERROR(MATCH(11,CalcRank1,0),0)))</f>
        <v/>
      </c>
      <c r="C22" s="12">
        <f>IF(IFERROR(MATCH(11,CalcRank1,0),0)=0,"",INDEX(Sync!$AK$6:$AK$2005,IFERROR(MATCH(11,CalcRank1,0),0)))</f>
        <v/>
      </c>
      <c r="D22" s="12">
        <f>IF(IFERROR(MATCH(11,CalcRank1,0),0)=0,"",INDEX(Calc!$A$6:$A$2005,IFERROR(MATCH(11,CalcRank1,0),0)))</f>
        <v/>
      </c>
      <c r="E22" s="12">
        <f>IF(IFERROR(MATCH(11,CalcRank1,0),0)=0,"",INDEX(Calc!$B$6:$B$2005,IFERROR(MATCH(11,CalcRank1,0),0)))</f>
        <v/>
      </c>
      <c r="F22" s="12">
        <f>IF(IFERROR(MATCH(11,CalcRank1,0),0)=0,"",INDEX(Calc!$C$6:$C$2005,IFERROR(MATCH(11,CalcRank1,0),0)))</f>
        <v/>
      </c>
      <c r="G22" s="14">
        <f>IF(IFERROR(MATCH(11,CalcRank1,0),0)=0,"",INDEX(Calc!$H$6:$H$2005,IFERROR(MATCH(11,CalcRank1,0),0)))</f>
        <v/>
      </c>
    </row>
    <row r="23" ht="16" customHeight="1">
      <c r="A23" s="16">
        <f>IF(IFERROR(MATCH(12,CalcRank1,0),0)=0,"",12)</f>
        <v/>
      </c>
      <c r="B23" s="55">
        <f>IF(IFERROR(MATCH(12,CalcRank1,0),0)=0,"",INDEX(CalcProb1,IFERROR(MATCH(12,CalcRank1,0),0)))</f>
        <v/>
      </c>
      <c r="C23" s="17">
        <f>IF(IFERROR(MATCH(12,CalcRank1,0),0)=0,"",INDEX(Sync!$AK$6:$AK$2005,IFERROR(MATCH(12,CalcRank1,0),0)))</f>
        <v/>
      </c>
      <c r="D23" s="17">
        <f>IF(IFERROR(MATCH(12,CalcRank1,0),0)=0,"",INDEX(Calc!$A$6:$A$2005,IFERROR(MATCH(12,CalcRank1,0),0)))</f>
        <v/>
      </c>
      <c r="E23" s="17">
        <f>IF(IFERROR(MATCH(12,CalcRank1,0),0)=0,"",INDEX(Calc!$B$6:$B$2005,IFERROR(MATCH(12,CalcRank1,0),0)))</f>
        <v/>
      </c>
      <c r="F23" s="17">
        <f>IF(IFERROR(MATCH(12,CalcRank1,0),0)=0,"",INDEX(Calc!$C$6:$C$2005,IFERROR(MATCH(12,CalcRank1,0),0)))</f>
        <v/>
      </c>
      <c r="G23" s="19">
        <f>IF(IFERROR(MATCH(12,CalcRank1,0),0)=0,"",INDEX(Calc!$H$6:$H$2005,IFERROR(MATCH(12,CalcRank1,0),0)))</f>
        <v/>
      </c>
    </row>
    <row r="24" ht="16" customHeight="1">
      <c r="A24" s="11">
        <f>IF(IFERROR(MATCH(13,CalcRank1,0),0)=0,"",13)</f>
        <v/>
      </c>
      <c r="B24" s="54">
        <f>IF(IFERROR(MATCH(13,CalcRank1,0),0)=0,"",INDEX(CalcProb1,IFERROR(MATCH(13,CalcRank1,0),0)))</f>
        <v/>
      </c>
      <c r="C24" s="12">
        <f>IF(IFERROR(MATCH(13,CalcRank1,0),0)=0,"",INDEX(Sync!$AK$6:$AK$2005,IFERROR(MATCH(13,CalcRank1,0),0)))</f>
        <v/>
      </c>
      <c r="D24" s="12">
        <f>IF(IFERROR(MATCH(13,CalcRank1,0),0)=0,"",INDEX(Calc!$A$6:$A$2005,IFERROR(MATCH(13,CalcRank1,0),0)))</f>
        <v/>
      </c>
      <c r="E24" s="12">
        <f>IF(IFERROR(MATCH(13,CalcRank1,0),0)=0,"",INDEX(Calc!$B$6:$B$2005,IFERROR(MATCH(13,CalcRank1,0),0)))</f>
        <v/>
      </c>
      <c r="F24" s="12">
        <f>IF(IFERROR(MATCH(13,CalcRank1,0),0)=0,"",INDEX(Calc!$C$6:$C$2005,IFERROR(MATCH(13,CalcRank1,0),0)))</f>
        <v/>
      </c>
      <c r="G24" s="14">
        <f>IF(IFERROR(MATCH(13,CalcRank1,0),0)=0,"",INDEX(Calc!$H$6:$H$2005,IFERROR(MATCH(13,CalcRank1,0),0)))</f>
        <v/>
      </c>
    </row>
    <row r="25" ht="16" customHeight="1">
      <c r="A25" s="16">
        <f>IF(IFERROR(MATCH(14,CalcRank1,0),0)=0,"",14)</f>
        <v/>
      </c>
      <c r="B25" s="55">
        <f>IF(IFERROR(MATCH(14,CalcRank1,0),0)=0,"",INDEX(CalcProb1,IFERROR(MATCH(14,CalcRank1,0),0)))</f>
        <v/>
      </c>
      <c r="C25" s="17">
        <f>IF(IFERROR(MATCH(14,CalcRank1,0),0)=0,"",INDEX(Sync!$AK$6:$AK$2005,IFERROR(MATCH(14,CalcRank1,0),0)))</f>
        <v/>
      </c>
      <c r="D25" s="17">
        <f>IF(IFERROR(MATCH(14,CalcRank1,0),0)=0,"",INDEX(Calc!$A$6:$A$2005,IFERROR(MATCH(14,CalcRank1,0),0)))</f>
        <v/>
      </c>
      <c r="E25" s="17">
        <f>IF(IFERROR(MATCH(14,CalcRank1,0),0)=0,"",INDEX(Calc!$B$6:$B$2005,IFERROR(MATCH(14,CalcRank1,0),0)))</f>
        <v/>
      </c>
      <c r="F25" s="17">
        <f>IF(IFERROR(MATCH(14,CalcRank1,0),0)=0,"",INDEX(Calc!$C$6:$C$2005,IFERROR(MATCH(14,CalcRank1,0),0)))</f>
        <v/>
      </c>
      <c r="G25" s="19">
        <f>IF(IFERROR(MATCH(14,CalcRank1,0),0)=0,"",INDEX(Calc!$H$6:$H$2005,IFERROR(MATCH(14,CalcRank1,0),0)))</f>
        <v/>
      </c>
    </row>
    <row r="26" ht="16" customHeight="1">
      <c r="A26" s="11">
        <f>IF(IFERROR(MATCH(15,CalcRank1,0),0)=0,"",15)</f>
        <v/>
      </c>
      <c r="B26" s="54">
        <f>IF(IFERROR(MATCH(15,CalcRank1,0),0)=0,"",INDEX(CalcProb1,IFERROR(MATCH(15,CalcRank1,0),0)))</f>
        <v/>
      </c>
      <c r="C26" s="12">
        <f>IF(IFERROR(MATCH(15,CalcRank1,0),0)=0,"",INDEX(Sync!$AK$6:$AK$2005,IFERROR(MATCH(15,CalcRank1,0),0)))</f>
        <v/>
      </c>
      <c r="D26" s="12">
        <f>IF(IFERROR(MATCH(15,CalcRank1,0),0)=0,"",INDEX(Calc!$A$6:$A$2005,IFERROR(MATCH(15,CalcRank1,0),0)))</f>
        <v/>
      </c>
      <c r="E26" s="12">
        <f>IF(IFERROR(MATCH(15,CalcRank1,0),0)=0,"",INDEX(Calc!$B$6:$B$2005,IFERROR(MATCH(15,CalcRank1,0),0)))</f>
        <v/>
      </c>
      <c r="F26" s="12">
        <f>IF(IFERROR(MATCH(15,CalcRank1,0),0)=0,"",INDEX(Calc!$C$6:$C$2005,IFERROR(MATCH(15,CalcRank1,0),0)))</f>
        <v/>
      </c>
      <c r="G26" s="14">
        <f>IF(IFERROR(MATCH(15,CalcRank1,0),0)=0,"",INDEX(Calc!$H$6:$H$2005,IFERROR(MATCH(15,CalcRank1,0),0)))</f>
        <v/>
      </c>
    </row>
    <row r="28" ht="18" customHeight="1">
      <c r="A28" s="33" t="inlineStr">
        <is>
          <t>ب) چک‌های صادره با ذی‌نفع تعریف‌نشده — از Cheques ← Issues</t>
        </is>
      </c>
      <c r="B28" s="33" t="n"/>
      <c r="C28" s="33" t="n"/>
      <c r="D28" s="33" t="n"/>
      <c r="E28" s="33" t="n"/>
      <c r="F28" s="33" t="n"/>
    </row>
    <row r="29" ht="30" customHeight="1">
      <c r="A29" s="9" t="inlineStr">
        <is>
          <t>ردیف</t>
        </is>
      </c>
      <c r="B29" s="9" t="inlineStr">
        <is>
          <t>شماره چک</t>
        </is>
      </c>
      <c r="C29" s="9" t="inlineStr">
        <is>
          <t>تاریخ چک</t>
        </is>
      </c>
      <c r="D29" s="9" t="inlineStr">
        <is>
          <t>مبلغ (ریال)</t>
        </is>
      </c>
      <c r="E29" s="9" t="inlineStr">
        <is>
          <t>ذی‌نفع</t>
        </is>
      </c>
      <c r="F29" s="9" t="inlineStr">
        <is>
          <t>نوع مشکل</t>
        </is>
      </c>
    </row>
    <row r="30" ht="13" customHeight="1">
      <c r="A30" s="10" t="inlineStr">
        <is>
          <t>No.</t>
        </is>
      </c>
      <c r="B30" s="10" t="inlineStr">
        <is>
          <t>Cheque No.</t>
        </is>
      </c>
      <c r="C30" s="10" t="inlineStr">
        <is>
          <t>Date</t>
        </is>
      </c>
      <c r="D30" s="10" t="inlineStr">
        <is>
          <t>Amount</t>
        </is>
      </c>
      <c r="E30" s="10" t="inlineStr">
        <is>
          <t>Beneficiary</t>
        </is>
      </c>
      <c r="F30" s="10" t="inlineStr">
        <is>
          <t>Issue</t>
        </is>
      </c>
    </row>
    <row r="31" ht="16" customHeight="1">
      <c r="A31" s="11">
        <f>IF(IFERROR(MATCH(1,CalcRank2,0),0)=0,"",1)</f>
        <v/>
      </c>
      <c r="B31" s="12">
        <f>IF(IFERROR(MATCH(1,CalcRank2,0),0)=0,"",INDEX(Sync!$AG$6:$AG$505,IFERROR(MATCH(1,CalcRank2,0),0)))</f>
        <v/>
      </c>
      <c r="C31" s="12">
        <f>IF(IFERROR(MATCH(1,CalcRank2,0),0)=0,"",INDEX(Sync!$AW$6:$AW$505,IFERROR(MATCH(1,CalcRank2,0),0)))</f>
        <v/>
      </c>
      <c r="D31" s="14">
        <f>IF(IFERROR(MATCH(1,CalcRank2,0),0)=0,"",INDEX(Sync!$AH$6:$AH$505,IFERROR(MATCH(1,CalcRank2,0),0)))</f>
        <v/>
      </c>
      <c r="E31" s="12">
        <f>IF(IFERROR(MATCH(1,CalcRank2,0),0)=0,"",INDEX(Sync!$AI$6:$AI$505,IFERROR(MATCH(1,CalcRank2,0),0)))</f>
        <v/>
      </c>
      <c r="F31" s="54">
        <f>IF(IFERROR(MATCH(1,CalcRank2,0),0)=0,"",INDEX(CalcProb2,IFERROR(MATCH(1,CalcRank2,0),0)))</f>
        <v/>
      </c>
    </row>
    <row r="32" ht="16" customHeight="1">
      <c r="A32" s="16">
        <f>IF(IFERROR(MATCH(2,CalcRank2,0),0)=0,"",2)</f>
        <v/>
      </c>
      <c r="B32" s="17">
        <f>IF(IFERROR(MATCH(2,CalcRank2,0),0)=0,"",INDEX(Sync!$AG$6:$AG$505,IFERROR(MATCH(2,CalcRank2,0),0)))</f>
        <v/>
      </c>
      <c r="C32" s="17">
        <f>IF(IFERROR(MATCH(2,CalcRank2,0),0)=0,"",INDEX(Sync!$AW$6:$AW$505,IFERROR(MATCH(2,CalcRank2,0),0)))</f>
        <v/>
      </c>
      <c r="D32" s="19">
        <f>IF(IFERROR(MATCH(2,CalcRank2,0),0)=0,"",INDEX(Sync!$AH$6:$AH$505,IFERROR(MATCH(2,CalcRank2,0),0)))</f>
        <v/>
      </c>
      <c r="E32" s="17">
        <f>IF(IFERROR(MATCH(2,CalcRank2,0),0)=0,"",INDEX(Sync!$AI$6:$AI$505,IFERROR(MATCH(2,CalcRank2,0),0)))</f>
        <v/>
      </c>
      <c r="F32" s="55">
        <f>IF(IFERROR(MATCH(2,CalcRank2,0),0)=0,"",INDEX(CalcProb2,IFERROR(MATCH(2,CalcRank2,0),0)))</f>
        <v/>
      </c>
    </row>
    <row r="33" ht="16" customHeight="1">
      <c r="A33" s="11">
        <f>IF(IFERROR(MATCH(3,CalcRank2,0),0)=0,"",3)</f>
        <v/>
      </c>
      <c r="B33" s="12">
        <f>IF(IFERROR(MATCH(3,CalcRank2,0),0)=0,"",INDEX(Sync!$AG$6:$AG$505,IFERROR(MATCH(3,CalcRank2,0),0)))</f>
        <v/>
      </c>
      <c r="C33" s="12">
        <f>IF(IFERROR(MATCH(3,CalcRank2,0),0)=0,"",INDEX(Sync!$AW$6:$AW$505,IFERROR(MATCH(3,CalcRank2,0),0)))</f>
        <v/>
      </c>
      <c r="D33" s="14">
        <f>IF(IFERROR(MATCH(3,CalcRank2,0),0)=0,"",INDEX(Sync!$AH$6:$AH$505,IFERROR(MATCH(3,CalcRank2,0),0)))</f>
        <v/>
      </c>
      <c r="E33" s="12">
        <f>IF(IFERROR(MATCH(3,CalcRank2,0),0)=0,"",INDEX(Sync!$AI$6:$AI$505,IFERROR(MATCH(3,CalcRank2,0),0)))</f>
        <v/>
      </c>
      <c r="F33" s="54">
        <f>IF(IFERROR(MATCH(3,CalcRank2,0),0)=0,"",INDEX(CalcProb2,IFERROR(MATCH(3,CalcRank2,0),0)))</f>
        <v/>
      </c>
    </row>
    <row r="34" ht="16" customHeight="1">
      <c r="A34" s="16">
        <f>IF(IFERROR(MATCH(4,CalcRank2,0),0)=0,"",4)</f>
        <v/>
      </c>
      <c r="B34" s="17">
        <f>IF(IFERROR(MATCH(4,CalcRank2,0),0)=0,"",INDEX(Sync!$AG$6:$AG$505,IFERROR(MATCH(4,CalcRank2,0),0)))</f>
        <v/>
      </c>
      <c r="C34" s="17">
        <f>IF(IFERROR(MATCH(4,CalcRank2,0),0)=0,"",INDEX(Sync!$AW$6:$AW$505,IFERROR(MATCH(4,CalcRank2,0),0)))</f>
        <v/>
      </c>
      <c r="D34" s="19">
        <f>IF(IFERROR(MATCH(4,CalcRank2,0),0)=0,"",INDEX(Sync!$AH$6:$AH$505,IFERROR(MATCH(4,CalcRank2,0),0)))</f>
        <v/>
      </c>
      <c r="E34" s="17">
        <f>IF(IFERROR(MATCH(4,CalcRank2,0),0)=0,"",INDEX(Sync!$AI$6:$AI$505,IFERROR(MATCH(4,CalcRank2,0),0)))</f>
        <v/>
      </c>
      <c r="F34" s="55">
        <f>IF(IFERROR(MATCH(4,CalcRank2,0),0)=0,"",INDEX(CalcProb2,IFERROR(MATCH(4,CalcRank2,0),0)))</f>
        <v/>
      </c>
    </row>
    <row r="35" ht="16" customHeight="1">
      <c r="A35" s="11">
        <f>IF(IFERROR(MATCH(5,CalcRank2,0),0)=0,"",5)</f>
        <v/>
      </c>
      <c r="B35" s="12">
        <f>IF(IFERROR(MATCH(5,CalcRank2,0),0)=0,"",INDEX(Sync!$AG$6:$AG$505,IFERROR(MATCH(5,CalcRank2,0),0)))</f>
        <v/>
      </c>
      <c r="C35" s="12">
        <f>IF(IFERROR(MATCH(5,CalcRank2,0),0)=0,"",INDEX(Sync!$AW$6:$AW$505,IFERROR(MATCH(5,CalcRank2,0),0)))</f>
        <v/>
      </c>
      <c r="D35" s="14">
        <f>IF(IFERROR(MATCH(5,CalcRank2,0),0)=0,"",INDEX(Sync!$AH$6:$AH$505,IFERROR(MATCH(5,CalcRank2,0),0)))</f>
        <v/>
      </c>
      <c r="E35" s="12">
        <f>IF(IFERROR(MATCH(5,CalcRank2,0),0)=0,"",INDEX(Sync!$AI$6:$AI$505,IFERROR(MATCH(5,CalcRank2,0),0)))</f>
        <v/>
      </c>
      <c r="F35" s="54">
        <f>IF(IFERROR(MATCH(5,CalcRank2,0),0)=0,"",INDEX(CalcProb2,IFERROR(MATCH(5,CalcRank2,0),0)))</f>
        <v/>
      </c>
    </row>
    <row r="36" ht="16" customHeight="1">
      <c r="A36" s="16">
        <f>IF(IFERROR(MATCH(6,CalcRank2,0),0)=0,"",6)</f>
        <v/>
      </c>
      <c r="B36" s="17">
        <f>IF(IFERROR(MATCH(6,CalcRank2,0),0)=0,"",INDEX(Sync!$AG$6:$AG$505,IFERROR(MATCH(6,CalcRank2,0),0)))</f>
        <v/>
      </c>
      <c r="C36" s="17">
        <f>IF(IFERROR(MATCH(6,CalcRank2,0),0)=0,"",INDEX(Sync!$AW$6:$AW$505,IFERROR(MATCH(6,CalcRank2,0),0)))</f>
        <v/>
      </c>
      <c r="D36" s="19">
        <f>IF(IFERROR(MATCH(6,CalcRank2,0),0)=0,"",INDEX(Sync!$AH$6:$AH$505,IFERROR(MATCH(6,CalcRank2,0),0)))</f>
        <v/>
      </c>
      <c r="E36" s="17">
        <f>IF(IFERROR(MATCH(6,CalcRank2,0),0)=0,"",INDEX(Sync!$AI$6:$AI$505,IFERROR(MATCH(6,CalcRank2,0),0)))</f>
        <v/>
      </c>
      <c r="F36" s="55">
        <f>IF(IFERROR(MATCH(6,CalcRank2,0),0)=0,"",INDEX(CalcProb2,IFERROR(MATCH(6,CalcRank2,0),0)))</f>
        <v/>
      </c>
    </row>
    <row r="37" ht="16" customHeight="1">
      <c r="A37" s="11">
        <f>IF(IFERROR(MATCH(7,CalcRank2,0),0)=0,"",7)</f>
        <v/>
      </c>
      <c r="B37" s="12">
        <f>IF(IFERROR(MATCH(7,CalcRank2,0),0)=0,"",INDEX(Sync!$AG$6:$AG$505,IFERROR(MATCH(7,CalcRank2,0),0)))</f>
        <v/>
      </c>
      <c r="C37" s="12">
        <f>IF(IFERROR(MATCH(7,CalcRank2,0),0)=0,"",INDEX(Sync!$AW$6:$AW$505,IFERROR(MATCH(7,CalcRank2,0),0)))</f>
        <v/>
      </c>
      <c r="D37" s="14">
        <f>IF(IFERROR(MATCH(7,CalcRank2,0),0)=0,"",INDEX(Sync!$AH$6:$AH$505,IFERROR(MATCH(7,CalcRank2,0),0)))</f>
        <v/>
      </c>
      <c r="E37" s="12">
        <f>IF(IFERROR(MATCH(7,CalcRank2,0),0)=0,"",INDEX(Sync!$AI$6:$AI$505,IFERROR(MATCH(7,CalcRank2,0),0)))</f>
        <v/>
      </c>
      <c r="F37" s="54">
        <f>IF(IFERROR(MATCH(7,CalcRank2,0),0)=0,"",INDEX(CalcProb2,IFERROR(MATCH(7,CalcRank2,0),0)))</f>
        <v/>
      </c>
    </row>
    <row r="38" ht="16" customHeight="1">
      <c r="A38" s="16">
        <f>IF(IFERROR(MATCH(8,CalcRank2,0),0)=0,"",8)</f>
        <v/>
      </c>
      <c r="B38" s="17">
        <f>IF(IFERROR(MATCH(8,CalcRank2,0),0)=0,"",INDEX(Sync!$AG$6:$AG$505,IFERROR(MATCH(8,CalcRank2,0),0)))</f>
        <v/>
      </c>
      <c r="C38" s="17">
        <f>IF(IFERROR(MATCH(8,CalcRank2,0),0)=0,"",INDEX(Sync!$AW$6:$AW$505,IFERROR(MATCH(8,CalcRank2,0),0)))</f>
        <v/>
      </c>
      <c r="D38" s="19">
        <f>IF(IFERROR(MATCH(8,CalcRank2,0),0)=0,"",INDEX(Sync!$AH$6:$AH$505,IFERROR(MATCH(8,CalcRank2,0),0)))</f>
        <v/>
      </c>
      <c r="E38" s="17">
        <f>IF(IFERROR(MATCH(8,CalcRank2,0),0)=0,"",INDEX(Sync!$AI$6:$AI$505,IFERROR(MATCH(8,CalcRank2,0),0)))</f>
        <v/>
      </c>
      <c r="F38" s="55">
        <f>IF(IFERROR(MATCH(8,CalcRank2,0),0)=0,"",INDEX(CalcProb2,IFERROR(MATCH(8,CalcRank2,0),0)))</f>
        <v/>
      </c>
    </row>
    <row r="39" ht="16" customHeight="1">
      <c r="A39" s="11">
        <f>IF(IFERROR(MATCH(9,CalcRank2,0),0)=0,"",9)</f>
        <v/>
      </c>
      <c r="B39" s="12">
        <f>IF(IFERROR(MATCH(9,CalcRank2,0),0)=0,"",INDEX(Sync!$AG$6:$AG$505,IFERROR(MATCH(9,CalcRank2,0),0)))</f>
        <v/>
      </c>
      <c r="C39" s="12">
        <f>IF(IFERROR(MATCH(9,CalcRank2,0),0)=0,"",INDEX(Sync!$AW$6:$AW$505,IFERROR(MATCH(9,CalcRank2,0),0)))</f>
        <v/>
      </c>
      <c r="D39" s="14">
        <f>IF(IFERROR(MATCH(9,CalcRank2,0),0)=0,"",INDEX(Sync!$AH$6:$AH$505,IFERROR(MATCH(9,CalcRank2,0),0)))</f>
        <v/>
      </c>
      <c r="E39" s="12">
        <f>IF(IFERROR(MATCH(9,CalcRank2,0),0)=0,"",INDEX(Sync!$AI$6:$AI$505,IFERROR(MATCH(9,CalcRank2,0),0)))</f>
        <v/>
      </c>
      <c r="F39" s="54">
        <f>IF(IFERROR(MATCH(9,CalcRank2,0),0)=0,"",INDEX(CalcProb2,IFERROR(MATCH(9,CalcRank2,0),0)))</f>
        <v/>
      </c>
    </row>
    <row r="40" ht="16" customHeight="1">
      <c r="A40" s="16">
        <f>IF(IFERROR(MATCH(10,CalcRank2,0),0)=0,"",10)</f>
        <v/>
      </c>
      <c r="B40" s="17">
        <f>IF(IFERROR(MATCH(10,CalcRank2,0),0)=0,"",INDEX(Sync!$AG$6:$AG$505,IFERROR(MATCH(10,CalcRank2,0),0)))</f>
        <v/>
      </c>
      <c r="C40" s="17">
        <f>IF(IFERROR(MATCH(10,CalcRank2,0),0)=0,"",INDEX(Sync!$AW$6:$AW$505,IFERROR(MATCH(10,CalcRank2,0),0)))</f>
        <v/>
      </c>
      <c r="D40" s="19">
        <f>IF(IFERROR(MATCH(10,CalcRank2,0),0)=0,"",INDEX(Sync!$AH$6:$AH$505,IFERROR(MATCH(10,CalcRank2,0),0)))</f>
        <v/>
      </c>
      <c r="E40" s="17">
        <f>IF(IFERROR(MATCH(10,CalcRank2,0),0)=0,"",INDEX(Sync!$AI$6:$AI$505,IFERROR(MATCH(10,CalcRank2,0),0)))</f>
        <v/>
      </c>
      <c r="F40" s="55">
        <f>IF(IFERROR(MATCH(10,CalcRank2,0),0)=0,"",INDEX(CalcProb2,IFERROR(MATCH(10,CalcRank2,0),0)))</f>
        <v/>
      </c>
    </row>
    <row r="41" ht="28" customHeight="1">
      <c r="A41" s="38" t="inlineStr">
        <is>
          <t>راه‌حل هر مورد: کد طرف/ذی‌نفع ناشناس ← در INFO ← شیت Accounts تعریف کنید (کد از پیش‌گذاشته) · هزینه بدون زیرگروه ← در Transactions ستون زیرگروه را انتخاب کنید · شماره چک نامعتبر ← شماره را اصلاح یا چک را در Cheques ← Issues صادر کنید.</t>
        </is>
      </c>
      <c r="B41" s="38" t="n"/>
      <c r="C41" s="38" t="n"/>
      <c r="D41" s="38" t="n"/>
      <c r="E41" s="38" t="n"/>
      <c r="F41" s="38" t="n"/>
      <c r="G41" s="38" t="n"/>
      <c r="H41" s="38" t="n"/>
    </row>
  </sheetData>
  <mergeCells count="16">
    <mergeCell ref="A4:H4"/>
    <mergeCell ref="A3:H3"/>
    <mergeCell ref="E6:F6"/>
    <mergeCell ref="C6:D6"/>
    <mergeCell ref="A28:F28"/>
    <mergeCell ref="A9:G9"/>
    <mergeCell ref="A7:H7"/>
    <mergeCell ref="A2:H2"/>
    <mergeCell ref="C5:D5"/>
    <mergeCell ref="A5:B5"/>
    <mergeCell ref="G5:H5"/>
    <mergeCell ref="E5:F5"/>
    <mergeCell ref="A41:H41"/>
    <mergeCell ref="G6:H6"/>
    <mergeCell ref="A1:H1"/>
    <mergeCell ref="A6:B6"/>
  </mergeCells>
  <conditionalFormatting sqref="B12:B26">
    <cfRule type="expression" priority="1" dxfId="4">
      <formula>$B12&lt;&gt;""</formula>
    </cfRule>
  </conditionalFormatting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کنترل و اعتبارسنجی — سامانه مازندشت&amp;R&amp;"Tahoma"&amp;8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I106"/>
  <sheetViews>
    <sheetView showGridLines="0" rightToLeft="1" zoomScale="105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2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56" t="inlineStr">
        <is>
          <t>آموزش حسابداری و کدگذاری — مفاهیم، سناریوهای ثبت و نقشه سامانه</t>
        </is>
      </c>
      <c r="B3" s="56" t="n"/>
      <c r="C3" s="56" t="n"/>
      <c r="D3" s="56" t="n"/>
      <c r="E3" s="56" t="n"/>
      <c r="F3" s="56" t="n"/>
      <c r="G3" s="56" t="n"/>
      <c r="H3" s="56" t="n"/>
      <c r="I3" s="56" t="n"/>
    </row>
    <row r="5" ht="19" customHeight="1">
      <c r="A5" s="57" t="inlineStr">
        <is>
          <t>۱) مفاهیم پایه (علم حسابداری)</t>
        </is>
      </c>
      <c r="B5" s="57" t="n"/>
      <c r="C5" s="57" t="n"/>
      <c r="D5" s="57" t="n"/>
      <c r="E5" s="57" t="n"/>
      <c r="F5" s="57" t="n"/>
      <c r="G5" s="57" t="n"/>
      <c r="H5" s="57" t="n"/>
      <c r="I5" s="57" t="n"/>
    </row>
    <row r="6" ht="17" customHeight="1">
      <c r="A6" s="58" t="inlineStr">
        <is>
          <t>• معادله بنیادین حسابداری: دارایی = بدهی + حقوق صاحبان — ترازنامه همین معادله است و کنترل √ یعنی برقراری آن.</t>
        </is>
      </c>
      <c r="B6" s="58" t="n"/>
      <c r="C6" s="58" t="n"/>
      <c r="D6" s="58" t="n"/>
      <c r="E6" s="58" t="n"/>
      <c r="F6" s="58" t="n"/>
      <c r="G6" s="58" t="n"/>
      <c r="H6" s="58" t="n"/>
      <c r="I6" s="58" t="n"/>
    </row>
    <row r="7" ht="17" customHeight="1">
      <c r="A7" s="59" t="inlineStr">
        <is>
          <t>• بدهکار (Dr) = سمت چپ ثبت؛ یعنی افزایش دارایی/هزینه یا کاهش بدهی/حقوق. بستانکار (Cr) = سمت راست ثبت؛ یعنی افزایش بدهی/حقوق/درآمد یا کاهش دارایی.</t>
        </is>
      </c>
      <c r="B7" s="59" t="n"/>
      <c r="C7" s="59" t="n"/>
      <c r="D7" s="59" t="n"/>
      <c r="E7" s="59" t="n"/>
      <c r="F7" s="59" t="n"/>
      <c r="G7" s="59" t="n"/>
      <c r="H7" s="59" t="n"/>
      <c r="I7" s="59" t="n"/>
    </row>
    <row r="8" ht="17" customHeight="1">
      <c r="A8" s="58" t="inlineStr">
        <is>
          <t>• هر تراکنش دوطرفه ثبت می‌شود (مزدوج): یک حساب بدهکار و یک حساب بستانکار با مبلغ برابر — به همین دلیل جمع تراز آزمایشی همیشه برابر است.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</row>
    <row r="9" ht="17" customHeight="1">
      <c r="A9" s="59" t="inlineStr">
        <is>
          <t>• دارایی جاری = نقد و طلب‌هایی که ظرف یک سال نقد می‌شوند (موجودی بانک، طلب اشخاص) · دارایی ثابت = زمین، خودرو، ماشین‌آلات (حساب‌های F…).</t>
        </is>
      </c>
      <c r="B9" s="59" t="n"/>
      <c r="C9" s="59" t="n"/>
      <c r="D9" s="59" t="n"/>
      <c r="E9" s="59" t="n"/>
      <c r="F9" s="59" t="n"/>
      <c r="G9" s="59" t="n"/>
      <c r="H9" s="59" t="n"/>
      <c r="I9" s="59" t="n"/>
    </row>
    <row r="10" ht="17" customHeight="1">
      <c r="A10" s="58" t="inlineStr">
        <is>
          <t>• بدهی جاری = دیون کوتاه‌مدت (دیون اشخاص، چک‌های پاس‌نشده) · بدهی بلندمدت = وام‌ها و تسهیلات (L…) که قسط‌بندی می‌شوند.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</row>
    <row r="11" ht="17" customHeight="1">
      <c r="A11" s="59" t="inlineStr">
        <is>
          <t>• حقوق صاحبان = آورده اولیه (افتتاحیه) + سرمایه و آورده (CAP…) + سود/زیان انباشته (− هزینه‌ها − تراکنش‌های شخصی).</t>
        </is>
      </c>
      <c r="B11" s="59" t="n"/>
      <c r="C11" s="59" t="n"/>
      <c r="D11" s="59" t="n"/>
      <c r="E11" s="59" t="n"/>
      <c r="F11" s="59" t="n"/>
      <c r="G11" s="59" t="n"/>
      <c r="H11" s="59" t="n"/>
      <c r="I11" s="59" t="n"/>
    </row>
    <row r="12" ht="17" customHeight="1">
      <c r="A12" s="58" t="inlineStr">
        <is>
          <t>• حساب «متفرقه» (Suspense) محل موقت مبالغی است که طرفشان هنوز تعریف نشده — نباید مانده بماند؛ شیت Control آنها را فهرست می‌کند.</t>
        </is>
      </c>
      <c r="B12" s="58" t="n"/>
      <c r="C12" s="58" t="n"/>
      <c r="D12" s="58" t="n"/>
      <c r="E12" s="58" t="n"/>
      <c r="F12" s="58" t="n"/>
      <c r="G12" s="58" t="n"/>
      <c r="H12" s="58" t="n"/>
      <c r="I12" s="58" t="n"/>
    </row>
    <row r="14" ht="19" customHeight="1">
      <c r="A14" s="57" t="inlineStr">
        <is>
          <t>۲) سناریوهای ثبت — از رخداد تا ترازنامه</t>
        </is>
      </c>
      <c r="B14" s="57" t="n"/>
      <c r="C14" s="57" t="n"/>
      <c r="D14" s="57" t="n"/>
      <c r="E14" s="57" t="n"/>
      <c r="F14" s="57" t="n"/>
      <c r="G14" s="57" t="n"/>
      <c r="H14" s="57" t="n"/>
      <c r="I14" s="57" t="n"/>
    </row>
    <row r="15" ht="30" customHeight="1">
      <c r="A15" s="9" t="inlineStr">
        <is>
          <t>رخداد</t>
        </is>
      </c>
      <c r="B15" s="9" t="inlineStr">
        <is>
          <t>ثبت کجا</t>
        </is>
      </c>
      <c r="C15" s="9" t="inlineStr">
        <is>
          <t>بدهکار (Dr)</t>
        </is>
      </c>
      <c r="D15" s="9" t="inlineStr">
        <is>
          <t>بستانکار (Cr)</t>
        </is>
      </c>
      <c r="E15" s="9" t="inlineStr">
        <is>
          <t>اثر در ترازنامه</t>
        </is>
      </c>
    </row>
    <row r="16" ht="13" customHeight="1">
      <c r="A16" s="10" t="inlineStr">
        <is>
          <t>Event</t>
        </is>
      </c>
      <c r="B16" s="10" t="inlineStr">
        <is>
          <t>Where</t>
        </is>
      </c>
      <c r="C16" s="10" t="inlineStr">
        <is>
          <t>Debit</t>
        </is>
      </c>
      <c r="D16" s="10" t="inlineStr">
        <is>
          <t>Credit</t>
        </is>
      </c>
      <c r="E16" s="10" t="inlineStr">
        <is>
          <t>Effect</t>
        </is>
      </c>
    </row>
    <row r="17" ht="17" customHeight="1">
      <c r="A17" s="58" t="inlineStr">
        <is>
          <t>فروش کالا (توزین فروش)</t>
        </is>
      </c>
      <c r="B17" s="58" t="inlineStr">
        <is>
          <t>Baskol</t>
        </is>
      </c>
      <c r="C17" s="58" t="inlineStr">
        <is>
          <t>— (فقط کالا)</t>
        </is>
      </c>
      <c r="D17" s="58" t="inlineStr">
        <is>
          <t>— (فقط کالا)</t>
        </is>
      </c>
      <c r="E17" s="58" t="inlineStr">
        <is>
          <t>تا تسویه، طلب مشتری از پرداخت‌ها ساخته می‌شود</t>
        </is>
      </c>
    </row>
    <row r="18" ht="17" customHeight="1">
      <c r="A18" s="59" t="inlineStr">
        <is>
          <t>واریز پول مشتری</t>
        </is>
      </c>
      <c r="B18" s="59" t="inlineStr">
        <is>
          <t>Transactions ← واریز</t>
        </is>
      </c>
      <c r="C18" s="59" t="inlineStr">
        <is>
          <t>بانک</t>
        </is>
      </c>
      <c r="D18" s="59" t="inlineStr">
        <is>
          <t>مشتری (C…)</t>
        </is>
      </c>
      <c r="E18" s="59" t="inlineStr">
        <is>
          <t>دارایی نقد ↑ / طلب مشتری ↓</t>
        </is>
      </c>
    </row>
    <row r="19" ht="17" customHeight="1">
      <c r="A19" s="58" t="inlineStr">
        <is>
          <t>خرید مرکبات (توزین خرید)</t>
        </is>
      </c>
      <c r="B19" s="58" t="inlineStr">
        <is>
          <t>Baskol</t>
        </is>
      </c>
      <c r="C19" s="58" t="inlineStr">
        <is>
          <t>— (فقط کالا)</t>
        </is>
      </c>
      <c r="D19" s="58" t="inlineStr">
        <is>
          <t>— (فقط کالا)</t>
        </is>
      </c>
      <c r="E19" s="58" t="inlineStr">
        <is>
          <t>تا تسویه، بدهی به تأمین‌کننده ساخته می‌شود</t>
        </is>
      </c>
    </row>
    <row r="20" ht="17" customHeight="1">
      <c r="A20" s="59" t="inlineStr">
        <is>
          <t>پرداخت نقدی به تأمین‌کننده</t>
        </is>
      </c>
      <c r="B20" s="59" t="inlineStr">
        <is>
          <t>Transactions ← برداشت</t>
        </is>
      </c>
      <c r="C20" s="59" t="inlineStr">
        <is>
          <t>تأمین‌کننده (S…)</t>
        </is>
      </c>
      <c r="D20" s="59" t="inlineStr">
        <is>
          <t>بانک</t>
        </is>
      </c>
      <c r="E20" s="59" t="inlineStr">
        <is>
          <t>بدهی ↓ / نقد ↓</t>
        </is>
      </c>
    </row>
    <row r="21" ht="17" customHeight="1">
      <c r="A21" s="58" t="inlineStr">
        <is>
          <t>ثبت هزینه عملیاتی</t>
        </is>
      </c>
      <c r="B21" s="58" t="inlineStr">
        <is>
          <t>Transactions ← برداشت + گروه هزینه</t>
        </is>
      </c>
      <c r="C21" s="58" t="inlineStr">
        <is>
          <t>هزینه: زیرگروه (SG…)</t>
        </is>
      </c>
      <c r="D21" s="58" t="inlineStr">
        <is>
          <t>بانک</t>
        </is>
      </c>
      <c r="E21" s="58" t="inlineStr">
        <is>
          <t>از حقوق (سود) کم می‌شود</t>
        </is>
      </c>
    </row>
    <row r="22" ht="17" customHeight="1">
      <c r="A22" s="59" t="inlineStr">
        <is>
          <t>فروش دارایی شخصی و آورده به شرکت</t>
        </is>
      </c>
      <c r="B22" s="59" t="inlineStr">
        <is>
          <t>Transactions ← واریز + گروه سرمایه</t>
        </is>
      </c>
      <c r="C22" s="59" t="inlineStr">
        <is>
          <t>بانک</t>
        </is>
      </c>
      <c r="D22" s="59" t="inlineStr">
        <is>
          <t>سرمایه و آورده (CAP…)</t>
        </is>
      </c>
      <c r="E22" s="59" t="inlineStr">
        <is>
          <t>دارایی نقد ↑ / حقوق ↑</t>
        </is>
      </c>
    </row>
    <row r="23" ht="17" customHeight="1">
      <c r="A23" s="58" t="inlineStr">
        <is>
          <t>برداشت سرمایه توسط صاحب</t>
        </is>
      </c>
      <c r="B23" s="58" t="inlineStr">
        <is>
          <t>Transactions ← برداشت + گروه سرمایه</t>
        </is>
      </c>
      <c r="C23" s="58" t="inlineStr">
        <is>
          <t>سرمایه و آورده (CAP…)</t>
        </is>
      </c>
      <c r="D23" s="58" t="inlineStr">
        <is>
          <t>بانک</t>
        </is>
      </c>
      <c r="E23" s="58" t="inlineStr">
        <is>
          <t>حقوق ↓ / نقد ↓</t>
        </is>
      </c>
    </row>
    <row r="24" ht="17" customHeight="1">
      <c r="A24" s="59" t="inlineStr">
        <is>
          <t>دریافت وام بانکی</t>
        </is>
      </c>
      <c r="B24" s="59" t="inlineStr">
        <is>
          <t>Transactions ← واریز + گروه وام</t>
        </is>
      </c>
      <c r="C24" s="59" t="inlineStr">
        <is>
          <t>بانک</t>
        </is>
      </c>
      <c r="D24" s="59" t="inlineStr">
        <is>
          <t>وام (L…)</t>
        </is>
      </c>
      <c r="E24" s="59" t="inlineStr">
        <is>
          <t>نقد ↑ / بدهی بلندمدت ↑</t>
        </is>
      </c>
    </row>
    <row r="25" ht="17" customHeight="1">
      <c r="A25" s="58" t="inlineStr">
        <is>
          <t>پرداخت قسط وام (اصل)</t>
        </is>
      </c>
      <c r="B25" s="58" t="inlineStr">
        <is>
          <t>Transactions ← برداشت + گروه وام</t>
        </is>
      </c>
      <c r="C25" s="58" t="inlineStr">
        <is>
          <t>وام (L…)</t>
        </is>
      </c>
      <c r="D25" s="58" t="inlineStr">
        <is>
          <t>بانک</t>
        </is>
      </c>
      <c r="E25" s="58" t="inlineStr">
        <is>
          <t>بدهی ↓ / نقد ↓</t>
        </is>
      </c>
    </row>
    <row r="26" ht="17" customHeight="1">
      <c r="A26" s="59" t="inlineStr">
        <is>
          <t>پرداخت بهره/کارمزد وام</t>
        </is>
      </c>
      <c r="B26" s="59" t="inlineStr">
        <is>
          <t>Transactions ← برداشت + گروه هزینه + زیرگروه بهره</t>
        </is>
      </c>
      <c r="C26" s="59" t="inlineStr">
        <is>
          <t>هزینه: بهره و کارمزد وام</t>
        </is>
      </c>
      <c r="D26" s="59" t="inlineStr">
        <is>
          <t>بانک</t>
        </is>
      </c>
      <c r="E26" s="59" t="inlineStr">
        <is>
          <t>از حقوق کم می‌شود</t>
        </is>
      </c>
    </row>
    <row r="27" ht="17" customHeight="1">
      <c r="A27" s="58" t="inlineStr">
        <is>
          <t>خرید خودرو/تجهیزات نقدی</t>
        </is>
      </c>
      <c r="B27" s="58" t="inlineStr">
        <is>
          <t>Transactions ← برداشت + گروه دارایی ثابت</t>
        </is>
      </c>
      <c r="C27" s="58" t="inlineStr">
        <is>
          <t>دارایی ثابت (F…)</t>
        </is>
      </c>
      <c r="D27" s="58" t="inlineStr">
        <is>
          <t>بانک</t>
        </is>
      </c>
      <c r="E27" s="58" t="inlineStr">
        <is>
          <t>دارایی ثابت ↑ / نقد ↓</t>
        </is>
      </c>
    </row>
    <row r="28" ht="17" customHeight="1">
      <c r="A28" s="59" t="inlineStr">
        <is>
          <t>خرید زمین با چک</t>
        </is>
      </c>
      <c r="B28" s="59" t="inlineStr">
        <is>
          <t>Cheques ← Issues (ذی‌نفع = F…)</t>
        </is>
      </c>
      <c r="C28" s="59" t="inlineStr">
        <is>
          <t>دارایی ثابت (F…)</t>
        </is>
      </c>
      <c r="D28" s="59" t="inlineStr">
        <is>
          <t>اسناد چک پرداختی</t>
        </is>
      </c>
      <c r="E28" s="59" t="inlineStr">
        <is>
          <t>دارایی ثابت ↑ / بدهی چک ↑</t>
        </is>
      </c>
    </row>
    <row r="29" ht="17" customHeight="1">
      <c r="A29" s="58" t="inlineStr">
        <is>
          <t>فروش دارایی شرکت</t>
        </is>
      </c>
      <c r="B29" s="58" t="inlineStr">
        <is>
          <t>Transactions ← واریز + گروه دارایی ثابت</t>
        </is>
      </c>
      <c r="C29" s="58" t="inlineStr">
        <is>
          <t>بانک</t>
        </is>
      </c>
      <c r="D29" s="58" t="inlineStr">
        <is>
          <t>دارایی ثابت (F…)</t>
        </is>
      </c>
      <c r="E29" s="58" t="inlineStr">
        <is>
          <t>نقد ↑ / دارایی ثابت ↓</t>
        </is>
      </c>
    </row>
    <row r="30" ht="17" customHeight="1">
      <c r="A30" s="59" t="inlineStr">
        <is>
          <t>پاس شدن چک صادره</t>
        </is>
      </c>
      <c r="B30" s="59" t="inlineStr">
        <is>
          <t>Transactions ← نوع پاس چک + شماره چک</t>
        </is>
      </c>
      <c r="C30" s="59" t="inlineStr">
        <is>
          <t>اسناد چک پرداختی</t>
        </is>
      </c>
      <c r="D30" s="59" t="inlineStr">
        <is>
          <t>بانک</t>
        </is>
      </c>
      <c r="E30" s="59" t="inlineStr">
        <is>
          <t>بدهی چک ↓ / نقد ↓</t>
        </is>
      </c>
    </row>
    <row r="32" ht="19" customHeight="1">
      <c r="A32" s="57" t="inlineStr">
        <is>
          <t>۳) کدگذاری سامانه (پیشوندها — هرگز تغییر ندهید)</t>
        </is>
      </c>
      <c r="B32" s="57" t="n"/>
      <c r="C32" s="57" t="n"/>
      <c r="D32" s="57" t="n"/>
      <c r="E32" s="57" t="n"/>
      <c r="F32" s="57" t="n"/>
      <c r="G32" s="57" t="n"/>
      <c r="H32" s="57" t="n"/>
      <c r="I32" s="57" t="n"/>
    </row>
    <row r="33" ht="30" customHeight="1">
      <c r="A33" s="9" t="inlineStr">
        <is>
          <t>پیشوند</t>
        </is>
      </c>
      <c r="B33" s="9" t="inlineStr">
        <is>
          <t>چه چیزی</t>
        </is>
      </c>
      <c r="C33" s="9" t="inlineStr">
        <is>
          <t>تعریف در</t>
        </is>
      </c>
      <c r="D33" s="9" t="inlineStr">
        <is>
          <t>مثال</t>
        </is>
      </c>
    </row>
    <row r="34" ht="13" customHeight="1">
      <c r="A34" s="10" t="inlineStr">
        <is>
          <t>Prefix</t>
        </is>
      </c>
      <c r="B34" s="10" t="inlineStr">
        <is>
          <t>What</t>
        </is>
      </c>
      <c r="C34" s="10" t="inlineStr">
        <is>
          <t>Defined in</t>
        </is>
      </c>
      <c r="D34" s="10" t="inlineStr">
        <is>
          <t>Example</t>
        </is>
      </c>
    </row>
    <row r="35" ht="17" customHeight="1">
      <c r="A35" s="58" t="inlineStr">
        <is>
          <t>C…</t>
        </is>
      </c>
      <c r="B35" s="58" t="inlineStr">
        <is>
          <t>مشتری</t>
        </is>
      </c>
      <c r="C35" s="58" t="inlineStr">
        <is>
          <t>INFO ← Accounts</t>
        </is>
      </c>
      <c r="D35" s="58" t="inlineStr">
        <is>
          <t>C001</t>
        </is>
      </c>
    </row>
    <row r="36" ht="17" customHeight="1">
      <c r="A36" s="59" t="inlineStr">
        <is>
          <t>SL…</t>
        </is>
      </c>
      <c r="B36" s="59" t="inlineStr">
        <is>
          <t>فروشنده</t>
        </is>
      </c>
      <c r="C36" s="59" t="inlineStr">
        <is>
          <t>INFO ← Accounts</t>
        </is>
      </c>
      <c r="D36" s="59" t="inlineStr">
        <is>
          <t>SL001</t>
        </is>
      </c>
    </row>
    <row r="37" ht="17" customHeight="1">
      <c r="A37" s="58" t="inlineStr">
        <is>
          <t>S…</t>
        </is>
      </c>
      <c r="B37" s="58" t="inlineStr">
        <is>
          <t>تأمین‌کننده</t>
        </is>
      </c>
      <c r="C37" s="58" t="inlineStr">
        <is>
          <t>INFO ← Accounts</t>
        </is>
      </c>
      <c r="D37" s="58" t="inlineStr">
        <is>
          <t>S001</t>
        </is>
      </c>
    </row>
    <row r="38" ht="17" customHeight="1">
      <c r="A38" s="59" t="inlineStr">
        <is>
          <t>E…</t>
        </is>
      </c>
      <c r="B38" s="59" t="inlineStr">
        <is>
          <t>کارمند</t>
        </is>
      </c>
      <c r="C38" s="59" t="inlineStr">
        <is>
          <t>INFO ← Accounts</t>
        </is>
      </c>
      <c r="D38" s="59" t="inlineStr">
        <is>
          <t>E002</t>
        </is>
      </c>
    </row>
    <row r="39" ht="17" customHeight="1">
      <c r="A39" s="58" t="inlineStr">
        <is>
          <t>X…</t>
        </is>
      </c>
      <c r="B39" s="58" t="inlineStr">
        <is>
          <t>سایر حساب (اداری، مالیات، صندوق…)</t>
        </is>
      </c>
      <c r="C39" s="58" t="inlineStr">
        <is>
          <t>INFO ← Accounts</t>
        </is>
      </c>
      <c r="D39" s="58" t="inlineStr">
        <is>
          <t>X001</t>
        </is>
      </c>
    </row>
    <row r="40" ht="17" customHeight="1">
      <c r="A40" s="59" t="inlineStr">
        <is>
          <t>F…</t>
        </is>
      </c>
      <c r="B40" s="59" t="inlineStr">
        <is>
          <t>دارایی ثابت (زمین، خودرو، تجهیزات)</t>
        </is>
      </c>
      <c r="C40" s="59" t="inlineStr">
        <is>
          <t>INFO ← Accounts</t>
        </is>
      </c>
      <c r="D40" s="59" t="inlineStr">
        <is>
          <t>F001</t>
        </is>
      </c>
    </row>
    <row r="41" ht="17" customHeight="1">
      <c r="A41" s="58" t="inlineStr">
        <is>
          <t>L…</t>
        </is>
      </c>
      <c r="B41" s="58" t="inlineStr">
        <is>
          <t>وام و تسهیلات</t>
        </is>
      </c>
      <c r="C41" s="58" t="inlineStr">
        <is>
          <t>INFO ← Accounts</t>
        </is>
      </c>
      <c r="D41" s="58" t="inlineStr">
        <is>
          <t>L001</t>
        </is>
      </c>
    </row>
    <row r="42" ht="17" customHeight="1">
      <c r="A42" s="59" t="inlineStr">
        <is>
          <t>CAP…</t>
        </is>
      </c>
      <c r="B42" s="59" t="inlineStr">
        <is>
          <t>سرمایه و آورده صاحبان</t>
        </is>
      </c>
      <c r="C42" s="59" t="inlineStr">
        <is>
          <t>INFO ← Accounts</t>
        </is>
      </c>
      <c r="D42" s="59" t="inlineStr">
        <is>
          <t>CAP001</t>
        </is>
      </c>
    </row>
    <row r="43" ht="17" customHeight="1">
      <c r="A43" s="58" t="inlineStr">
        <is>
          <t>BANK…</t>
        </is>
      </c>
      <c r="B43" s="58" t="inlineStr">
        <is>
          <t>حساب بانکی</t>
        </is>
      </c>
      <c r="C43" s="58" t="inlineStr">
        <is>
          <t>INFO ← Banks</t>
        </is>
      </c>
      <c r="D43" s="58" t="inlineStr">
        <is>
          <t>BANK01</t>
        </is>
      </c>
    </row>
    <row r="44" ht="17" customHeight="1">
      <c r="A44" s="59" t="inlineStr">
        <is>
          <t>G…</t>
        </is>
      </c>
      <c r="B44" s="59" t="inlineStr">
        <is>
          <t>گروه اصلی تراکنش (G01 خرید … G07 دارایی ثابت)</t>
        </is>
      </c>
      <c r="C44" s="59" t="inlineStr">
        <is>
          <t>INFO ← MainGroups</t>
        </is>
      </c>
      <c r="D44" s="59" t="inlineStr">
        <is>
          <t>G05</t>
        </is>
      </c>
    </row>
    <row r="45" ht="17" customHeight="1">
      <c r="A45" s="58" t="inlineStr">
        <is>
          <t>SG…</t>
        </is>
      </c>
      <c r="B45" s="58" t="inlineStr">
        <is>
          <t>زیرگروه (عمدتاً هزینه)</t>
        </is>
      </c>
      <c r="C45" s="58" t="inlineStr">
        <is>
          <t>INFO ← SubGroups</t>
        </is>
      </c>
      <c r="D45" s="58" t="inlineStr">
        <is>
          <t>SG003</t>
        </is>
      </c>
    </row>
    <row r="46" ht="17" customHeight="1">
      <c r="A46" s="59" t="inlineStr">
        <is>
          <t>T…</t>
        </is>
      </c>
      <c r="B46" s="59" t="inlineStr">
        <is>
          <t>نوع تراکنش پولی (T05 = پاس چک)</t>
        </is>
      </c>
      <c r="C46" s="59" t="inlineStr">
        <is>
          <t>INFO ← TxnTypes</t>
        </is>
      </c>
      <c r="D46" s="59" t="inlineStr">
        <is>
          <t>T05</t>
        </is>
      </c>
    </row>
    <row r="47" ht="17" customHeight="1">
      <c r="A47" s="58" t="inlineStr">
        <is>
          <t>WG…</t>
        </is>
      </c>
      <c r="B47" s="58" t="inlineStr">
        <is>
          <t>گروه کاری دستمزد</t>
        </is>
      </c>
      <c r="C47" s="58" t="inlineStr">
        <is>
          <t>INFO ← WorkGroups</t>
        </is>
      </c>
      <c r="D47" s="58" t="inlineStr">
        <is>
          <t>WG01</t>
        </is>
      </c>
    </row>
    <row r="48" ht="17" customHeight="1">
      <c r="A48" s="59" t="inlineStr">
        <is>
          <t>OP… / PB… / PS… / BK… / W… / P…</t>
        </is>
      </c>
      <c r="B48" s="59" t="inlineStr">
        <is>
          <t>عملیات باسکول / محصول خرید / محصول فروش / سبد / انبار / پارامتر</t>
        </is>
      </c>
      <c r="C48" s="59" t="inlineStr">
        <is>
          <t>INFO ← شیت مربوطه</t>
        </is>
      </c>
      <c r="D48" s="59" t="inlineStr">
        <is>
          <t>OP01 / PB01 / P01</t>
        </is>
      </c>
    </row>
    <row r="50" ht="19" customHeight="1">
      <c r="A50" s="57" t="inlineStr">
        <is>
          <t>۴) نقشه ارتباط فایل‌ها (لینک‌های خارجی — همیشه در یک پوشه)</t>
        </is>
      </c>
      <c r="B50" s="57" t="n"/>
      <c r="C50" s="57" t="n"/>
      <c r="D50" s="57" t="n"/>
      <c r="E50" s="57" t="n"/>
      <c r="F50" s="57" t="n"/>
      <c r="G50" s="57" t="n"/>
      <c r="H50" s="57" t="n"/>
      <c r="I50" s="57" t="n"/>
    </row>
    <row r="51" ht="30" customHeight="1">
      <c r="A51" s="9" t="inlineStr">
        <is>
          <t>فایل</t>
        </is>
      </c>
      <c r="B51" s="9" t="inlineStr">
        <is>
          <t>نقش</t>
        </is>
      </c>
      <c r="C51" s="9" t="inlineStr">
        <is>
          <t>ورود داده</t>
        </is>
      </c>
      <c r="D51" s="9" t="inlineStr">
        <is>
          <t>از چه فایل‌هایی می‌خواند</t>
        </is>
      </c>
    </row>
    <row r="52" ht="13" customHeight="1">
      <c r="A52" s="10" t="inlineStr">
        <is>
          <t>File</t>
        </is>
      </c>
      <c r="B52" s="10" t="inlineStr">
        <is>
          <t>Role</t>
        </is>
      </c>
      <c r="C52" s="10" t="inlineStr">
        <is>
          <t>Input</t>
        </is>
      </c>
      <c r="D52" s="10" t="inlineStr">
        <is>
          <t>Reads from</t>
        </is>
      </c>
    </row>
    <row r="53" ht="17" customHeight="1">
      <c r="A53" s="58" t="inlineStr">
        <is>
          <t>INFO.xlsx</t>
        </is>
      </c>
      <c r="B53" s="58" t="inlineStr">
        <is>
          <t>مادر — همه تعریف‌ها + راهنما</t>
        </is>
      </c>
      <c r="C53" s="58" t="inlineStr">
        <is>
          <t>تعریف‌ها</t>
        </is>
      </c>
      <c r="D53" s="58" t="inlineStr">
        <is>
          <t>— (هیچ لینکی ندارد)</t>
        </is>
      </c>
    </row>
    <row r="54" ht="17" customHeight="1">
      <c r="A54" s="59" t="inlineStr">
        <is>
          <t>Baskol.xlsx</t>
        </is>
      </c>
      <c r="B54" s="59" t="inlineStr">
        <is>
          <t>دفتر باسکول — تنها ورود کالا</t>
        </is>
      </c>
      <c r="C54" s="59" t="inlineStr">
        <is>
          <t>✅</t>
        </is>
      </c>
      <c r="D54" s="59" t="inlineStr">
        <is>
          <t>INFO</t>
        </is>
      </c>
    </row>
    <row r="55" ht="17" customHeight="1">
      <c r="A55" s="58" t="inlineStr">
        <is>
          <t>Transactions.xlsx</t>
        </is>
      </c>
      <c r="B55" s="58" t="inlineStr">
        <is>
          <t>پول — واریز/برداشت + پاس چک</t>
        </is>
      </c>
      <c r="C55" s="58" t="inlineStr">
        <is>
          <t>✅</t>
        </is>
      </c>
      <c r="D55" s="58" t="inlineStr">
        <is>
          <t>INFO</t>
        </is>
      </c>
    </row>
    <row r="56" ht="17" customHeight="1">
      <c r="A56" s="59" t="inlineStr">
        <is>
          <t>Sales.xlsx</t>
        </is>
      </c>
      <c r="B56" s="59" t="inlineStr">
        <is>
          <t>صورت‌حساب فروش کدمحور</t>
        </is>
      </c>
      <c r="C56" s="59" t="inlineStr">
        <is>
          <t>—</t>
        </is>
      </c>
      <c r="D56" s="59" t="inlineStr">
        <is>
          <t>INFO، Baskol، Transactions</t>
        </is>
      </c>
    </row>
    <row r="57" ht="17" customHeight="1">
      <c r="A57" s="58" t="inlineStr">
        <is>
          <t>Purchases.xlsx</t>
        </is>
      </c>
      <c r="B57" s="58" t="inlineStr">
        <is>
          <t>گزارش خرید کدمحور</t>
        </is>
      </c>
      <c r="C57" s="58" t="inlineStr">
        <is>
          <t>—</t>
        </is>
      </c>
      <c r="D57" s="58" t="inlineStr">
        <is>
          <t>INFO، Baskol، Transactions</t>
        </is>
      </c>
    </row>
    <row r="58" ht="17" customHeight="1">
      <c r="A58" s="59" t="inlineStr">
        <is>
          <t>Expenses.xlsx</t>
        </is>
      </c>
      <c r="B58" s="59" t="inlineStr">
        <is>
          <t>گزارش هزینه به تفکیک زیرگروه</t>
        </is>
      </c>
      <c r="C58" s="59" t="inlineStr">
        <is>
          <t>—</t>
        </is>
      </c>
      <c r="D58" s="59" t="inlineStr">
        <is>
          <t>INFO، Transactions</t>
        </is>
      </c>
    </row>
    <row r="59" ht="17" customHeight="1">
      <c r="A59" s="58" t="inlineStr">
        <is>
          <t>Employees.xlsx</t>
        </is>
      </c>
      <c r="B59" s="58" t="inlineStr">
        <is>
          <t>دفتر دستمزد فردی/گروهی</t>
        </is>
      </c>
      <c r="C59" s="58" t="inlineStr">
        <is>
          <t>✅</t>
        </is>
      </c>
      <c r="D59" s="58" t="inlineStr">
        <is>
          <t>INFO، Transactions</t>
        </is>
      </c>
    </row>
    <row r="60" ht="17" customHeight="1">
      <c r="A60" s="59" t="inlineStr">
        <is>
          <t>Baskets.xlsx</t>
        </is>
      </c>
      <c r="B60" s="59" t="inlineStr">
        <is>
          <t>دفتر سبد — خرید سبد از فروشنده + کارتکس</t>
        </is>
      </c>
      <c r="C60" s="59" t="inlineStr">
        <is>
          <t>✅ خرید سبد</t>
        </is>
      </c>
      <c r="D60" s="59" t="inlineStr">
        <is>
          <t>INFO، Transactions</t>
        </is>
      </c>
    </row>
    <row r="61" ht="17" customHeight="1">
      <c r="A61" s="58" t="inlineStr">
        <is>
          <t>Cheques.xlsx</t>
        </is>
      </c>
      <c r="B61" s="58" t="inlineStr">
        <is>
          <t>دفتر چک‌های پرداختی</t>
        </is>
      </c>
      <c r="C61" s="58" t="inlineStr">
        <is>
          <t>صدور چک</t>
        </is>
      </c>
      <c r="D61" s="58" t="inlineStr">
        <is>
          <t>INFO، Transactions</t>
        </is>
      </c>
    </row>
    <row r="62" ht="17" customHeight="1">
      <c r="A62" s="59" t="inlineStr">
        <is>
          <t>Accounting.xlsx</t>
        </is>
      </c>
      <c r="B62" s="59" t="inlineStr">
        <is>
          <t>تراز آزمایشی، ترازنامه، کنترل، آموزش</t>
        </is>
      </c>
      <c r="C62" s="59" t="inlineStr">
        <is>
          <t>—</t>
        </is>
      </c>
      <c r="D62" s="59" t="inlineStr">
        <is>
          <t>INFO، Transactions، Cheques</t>
        </is>
      </c>
    </row>
    <row r="64" ht="19" customHeight="1">
      <c r="A64" s="57" t="inlineStr">
        <is>
          <t>۵) شیت‌های همین فایل (Accounting.xlsx)</t>
        </is>
      </c>
      <c r="B64" s="57" t="n"/>
      <c r="C64" s="57" t="n"/>
      <c r="D64" s="57" t="n"/>
      <c r="E64" s="57" t="n"/>
      <c r="F64" s="57" t="n"/>
      <c r="G64" s="57" t="n"/>
      <c r="H64" s="57" t="n"/>
      <c r="I64" s="57" t="n"/>
    </row>
    <row r="65" ht="30" customHeight="1">
      <c r="A65" s="9" t="inlineStr">
        <is>
          <t>شیت</t>
        </is>
      </c>
      <c r="B65" s="9" t="inlineStr">
        <is>
          <t>نقش</t>
        </is>
      </c>
    </row>
    <row r="66" ht="13" customHeight="1">
      <c r="A66" s="10" t="inlineStr">
        <is>
          <t>Sheet</t>
        </is>
      </c>
      <c r="B66" s="10" t="inlineStr">
        <is>
          <t>Role</t>
        </is>
      </c>
    </row>
    <row r="67" ht="17" customHeight="1">
      <c r="A67" s="58" t="inlineStr">
        <is>
          <t>Trial</t>
        </is>
      </c>
      <c r="B67" s="58" t="inlineStr">
        <is>
          <t>تراز آزمایشی همه حساب‌ها (بانک، اشخاص، دارایی ثابت، وام، سرمایه، هزینه، چک، متفرقه) + کنترل √</t>
        </is>
      </c>
    </row>
    <row r="68" ht="17" customHeight="1">
      <c r="A68" s="59" t="inlineStr">
        <is>
          <t>Balance</t>
        </is>
      </c>
      <c r="B68" s="59" t="inlineStr">
        <is>
          <t>ترازنامه گزارشی: مبلغ، درصد از جمع، دوره قبل (دستی) و اختلاف + نسبت جاری</t>
        </is>
      </c>
    </row>
    <row r="69" ht="17" customHeight="1">
      <c r="A69" s="58" t="inlineStr">
        <is>
          <t>BalanceClassic</t>
        </is>
      </c>
      <c r="B69" s="58" t="inlineStr">
        <is>
          <t>ترازنامه کلاسیک دوستونه — دارایی‌ها روبروی بدهی‌ها و حقوق</t>
        </is>
      </c>
    </row>
    <row r="70" ht="17" customHeight="1">
      <c r="A70" s="59" t="inlineStr">
        <is>
          <t>Control</t>
        </is>
      </c>
      <c r="B70" s="59" t="inlineStr">
        <is>
          <t>کنترل و اعتبارسنجی: موارد تعریف‌نشده یا نیازمند تعریف، با مبلغ و تاریخ</t>
        </is>
      </c>
    </row>
    <row r="71" ht="17" customHeight="1">
      <c r="A71" s="58" t="inlineStr">
        <is>
          <t>Learn</t>
        </is>
      </c>
      <c r="B71" s="58" t="inlineStr">
        <is>
          <t>همین شیت آموزش — مفاهیم، سناریوها، کدگذاری و نقشه فایل‌ها</t>
        </is>
      </c>
    </row>
    <row r="72" ht="17" customHeight="1">
      <c r="A72" s="59" t="inlineStr">
        <is>
          <t>Sync / Calc</t>
        </is>
      </c>
      <c r="B72" s="59" t="inlineStr">
        <is>
          <t>برگه‌های فنی (آینه لینک‌ها و موتور تشخیص بدهکار/بستانکار) — تغییر ندهید</t>
        </is>
      </c>
    </row>
    <row r="73" ht="17" customHeight="1">
      <c r="A73" s="58" t="inlineStr">
        <is>
          <t>Help</t>
        </is>
      </c>
      <c r="B73" s="58" t="inlineStr">
        <is>
          <t>راهنمای کوتاه فایل</t>
        </is>
      </c>
    </row>
    <row r="75" ht="19" customHeight="1">
      <c r="A75" s="57" t="inlineStr">
        <is>
          <t>۶) طرز استفاده روزمره — گام‌به‌گام</t>
        </is>
      </c>
      <c r="B75" s="57" t="n"/>
      <c r="C75" s="57" t="n"/>
      <c r="D75" s="57" t="n"/>
      <c r="E75" s="57" t="n"/>
      <c r="F75" s="57" t="n"/>
      <c r="G75" s="57" t="n"/>
      <c r="H75" s="57" t="n"/>
      <c r="I75" s="57" t="n"/>
    </row>
    <row r="76" ht="17" customHeight="1">
      <c r="A76" s="58" t="inlineStr">
        <is>
          <t>• گام ۱ (یک‌بار): در INFO همه تعریف‌ها را انجام دهید — حساب‌ها (Accounts)، بانک‌ها (Banks)، گروه‌ها (MainGroups/SubGroups)، انواع سبد (Baskets)، پارامترها.</t>
        </is>
      </c>
      <c r="B76" s="58" t="n"/>
      <c r="C76" s="58" t="n"/>
      <c r="D76" s="58" t="n"/>
      <c r="E76" s="58" t="n"/>
      <c r="F76" s="58" t="n"/>
      <c r="G76" s="58" t="n"/>
      <c r="H76" s="58" t="n"/>
      <c r="I76" s="58" t="n"/>
    </row>
    <row r="77" ht="17" customHeight="1">
      <c r="A77" s="59" t="inlineStr">
        <is>
          <t>• گام ۲ (روزانه): هر توزین کالا را در Baskol.xlsx یک ردیف ثبت کنید (خرید/فروش/مرجوعی).</t>
        </is>
      </c>
      <c r="B77" s="59" t="n"/>
      <c r="C77" s="59" t="n"/>
      <c r="D77" s="59" t="n"/>
      <c r="E77" s="59" t="n"/>
      <c r="F77" s="59" t="n"/>
      <c r="G77" s="59" t="n"/>
      <c r="H77" s="59" t="n"/>
      <c r="I77" s="59" t="n"/>
    </row>
    <row r="78" ht="17" customHeight="1">
      <c r="A78" s="58" t="inlineStr">
        <is>
          <t>• گام ۳ (روزانه): هر حرکت پول را در Transactions.xlsx ثبت کنید (واریز/برداشت + گروه اصلی + زیرگروه). خرید سبد در Baskets.xlsx و صدور چک در Cheques.xlsx.</t>
        </is>
      </c>
      <c r="B78" s="58" t="n"/>
      <c r="C78" s="58" t="n"/>
      <c r="D78" s="58" t="n"/>
      <c r="E78" s="58" t="n"/>
      <c r="F78" s="58" t="n"/>
      <c r="G78" s="58" t="n"/>
      <c r="H78" s="58" t="n"/>
      <c r="I78" s="58" t="n"/>
    </row>
    <row r="79" ht="17" customHeight="1">
      <c r="A79" s="59" t="inlineStr">
        <is>
          <t>• گام ۴ (هر وقت خواستید گزارش): فایل گزارش مربوط را باز کنید، کد/بازه را وارد کنید، Data ← Edit Links ← Update Values.</t>
        </is>
      </c>
      <c r="B79" s="59" t="n"/>
      <c r="C79" s="59" t="n"/>
      <c r="D79" s="59" t="n"/>
      <c r="E79" s="59" t="n"/>
      <c r="F79" s="59" t="n"/>
      <c r="G79" s="59" t="n"/>
      <c r="H79" s="59" t="n"/>
      <c r="I79" s="59" t="n"/>
    </row>
    <row r="80" ht="17" customHeight="1">
      <c r="A80" s="58" t="inlineStr">
        <is>
          <t>• گام ۵ (هر ماه): در Accounting.xlsx شیت Control را خالی کنید (همه موارد را تعریف/اصلاح کنید) و ترازنامه را چاپ/بایگانی کنید.</t>
        </is>
      </c>
      <c r="B80" s="58" t="n"/>
      <c r="C80" s="58" t="n"/>
      <c r="D80" s="58" t="n"/>
      <c r="E80" s="58" t="n"/>
      <c r="F80" s="58" t="n"/>
      <c r="G80" s="58" t="n"/>
      <c r="H80" s="58" t="n"/>
      <c r="I80" s="58" t="n"/>
    </row>
    <row r="81" ht="17" customHeight="1">
      <c r="A81" s="59" t="inlineStr">
        <is>
          <t>• قاعده طلایی: تعریف فقط در INFO · کالا فقط در Baskol · پول فقط در Transactions · سبد در Baskets · چک در Cheques · دستمزد در Employees — گزارش‌ها هیچ‌وقت داده نمی‌گیرند.</t>
        </is>
      </c>
      <c r="B81" s="59" t="n"/>
      <c r="C81" s="59" t="n"/>
      <c r="D81" s="59" t="n"/>
      <c r="E81" s="59" t="n"/>
      <c r="F81" s="59" t="n"/>
      <c r="G81" s="59" t="n"/>
      <c r="H81" s="59" t="n"/>
      <c r="I81" s="59" t="n"/>
    </row>
    <row r="83" ht="19" customHeight="1">
      <c r="A83" s="57" t="inlineStr">
        <is>
          <t>۷) کدام گزارش برای کدام نیاز؟ (نقشه گزارش‌های کاربردی)</t>
        </is>
      </c>
      <c r="B83" s="57" t="n"/>
      <c r="C83" s="57" t="n"/>
      <c r="D83" s="57" t="n"/>
      <c r="E83" s="57" t="n"/>
      <c r="F83" s="57" t="n"/>
      <c r="G83" s="57" t="n"/>
      <c r="H83" s="57" t="n"/>
      <c r="I83" s="57" t="n"/>
    </row>
    <row r="84" ht="30" customHeight="1">
      <c r="A84" s="9" t="inlineStr">
        <is>
          <t>من می‌خواهم بدانم…</t>
        </is>
      </c>
      <c r="B84" s="9" t="inlineStr">
        <is>
          <t>فایل / شیت</t>
        </is>
      </c>
      <c r="C84" s="9" t="inlineStr">
        <is>
          <t>ورودی</t>
        </is>
      </c>
    </row>
    <row r="85" ht="13" customHeight="1">
      <c r="A85" s="10" t="inlineStr">
        <is>
          <t>Need</t>
        </is>
      </c>
      <c r="B85" s="10" t="inlineStr">
        <is>
          <t>Where</t>
        </is>
      </c>
      <c r="C85" s="10" t="inlineStr">
        <is>
          <t>Input</t>
        </is>
      </c>
    </row>
    <row r="86" ht="17" customHeight="1">
      <c r="A86" s="58" t="inlineStr">
        <is>
          <t>صورت‌حساب کامل یک فروشنده مرکبات</t>
        </is>
      </c>
      <c r="B86" s="58" t="inlineStr">
        <is>
          <t>Sales.xlsx ← Report</t>
        </is>
      </c>
      <c r="C86" s="58" t="inlineStr">
        <is>
          <t>کد فروشنده (SL…)</t>
        </is>
      </c>
    </row>
    <row r="87" ht="17" customHeight="1">
      <c r="A87" s="59" t="inlineStr">
        <is>
          <t>گزارش خرید و بدهی یک تأمین‌کننده مرکبات</t>
        </is>
      </c>
      <c r="B87" s="59" t="inlineStr">
        <is>
          <t>Purchases.xlsx ← Report</t>
        </is>
      </c>
      <c r="C87" s="59" t="inlineStr">
        <is>
          <t>کد حساب (S…)</t>
        </is>
      </c>
    </row>
    <row r="88" ht="17" customHeight="1">
      <c r="A88" s="58" t="inlineStr">
        <is>
          <t>مجموع خرید از همه تأمین‌کنندگان + سهم‌ها</t>
        </is>
      </c>
      <c r="B88" s="58" t="inlineStr">
        <is>
          <t>Purchases.xlsx ← Summary</t>
        </is>
      </c>
      <c r="C88" s="58" t="inlineStr">
        <is>
          <t>—</t>
        </is>
      </c>
    </row>
    <row r="89" ht="17" customHeight="1">
      <c r="A89" s="59" t="inlineStr">
        <is>
          <t>هزینه‌ها به تفکیک نوع + جزئیات هر نوع</t>
        </is>
      </c>
      <c r="B89" s="59" t="inlineStr">
        <is>
          <t>Expenses.xlsx ← Summary / Report</t>
        </is>
      </c>
      <c r="C89" s="59" t="inlineStr">
        <is>
          <t>کد زیرگروه (SG…)</t>
        </is>
      </c>
    </row>
    <row r="90" ht="17" customHeight="1">
      <c r="A90" s="58" t="inlineStr">
        <is>
          <t>دستمزد و مانده هر نفر / هر گروه کاری</t>
        </is>
      </c>
      <c r="B90" s="58" t="inlineStr">
        <is>
          <t>Employees.xlsx ← Report / GroupReport</t>
        </is>
      </c>
      <c r="C90" s="58" t="inlineStr">
        <is>
          <t>کد E… / WG…</t>
        </is>
      </c>
    </row>
    <row r="91" ht="17" customHeight="1">
      <c r="A91" s="59" t="inlineStr">
        <is>
          <t>خرید سبد از هر فروشنده + مانده‌اش</t>
        </is>
      </c>
      <c r="B91" s="59" t="inlineStr">
        <is>
          <t>Baskets.xlsx ← Report / Summary</t>
        </is>
      </c>
      <c r="C91" s="59" t="inlineStr">
        <is>
          <t>کد فروشنده سبد (S…)</t>
        </is>
      </c>
    </row>
    <row r="92" ht="17" customHeight="1">
      <c r="A92" s="58" t="inlineStr">
        <is>
          <t>چک‌های پاس‌نشده و نزدیک‌ترین سررسید</t>
        </is>
      </c>
      <c r="B92" s="58" t="inlineStr">
        <is>
          <t>Cheques.xlsx ← Unpaid</t>
        </is>
      </c>
      <c r="C92" s="58" t="inlineStr">
        <is>
          <t>بازه از/تا</t>
        </is>
      </c>
    </row>
    <row r="93" ht="17" customHeight="1">
      <c r="A93" s="59" t="inlineStr">
        <is>
          <t>گردش همه چک‌های یک بازه (ماهانه)</t>
        </is>
      </c>
      <c r="B93" s="59" t="inlineStr">
        <is>
          <t>Cheques.xlsx ← Month</t>
        </is>
      </c>
      <c r="C93" s="59" t="inlineStr">
        <is>
          <t>بازه از/تا</t>
        </is>
      </c>
    </row>
    <row r="94" ht="17" customHeight="1">
      <c r="A94" s="58" t="inlineStr">
        <is>
          <t>موجودی و مغایرت هر بانک</t>
        </is>
      </c>
      <c r="B94" s="58" t="inlineStr">
        <is>
          <t>Transactions.xlsx ← Summary</t>
        </is>
      </c>
      <c r="C94" s="58" t="inlineStr">
        <is>
          <t>—</t>
        </is>
      </c>
    </row>
    <row r="95" ht="17" customHeight="1">
      <c r="A95" s="59" t="inlineStr">
        <is>
          <t>بدهی/طلب یک شخص از شرکت (همه جریان‌ها)</t>
        </is>
      </c>
      <c r="B95" s="59" t="inlineStr">
        <is>
          <t>Accounting.xlsx ← Trial</t>
        </is>
      </c>
      <c r="C95" s="59" t="inlineStr">
        <is>
          <t>ردیف حساب</t>
        </is>
      </c>
    </row>
    <row r="96" ht="17" customHeight="1">
      <c r="A96" s="58" t="inlineStr">
        <is>
          <t>دارایی‌ها، بدهی‌ها و حقوق شرکت</t>
        </is>
      </c>
      <c r="B96" s="58" t="inlineStr">
        <is>
          <t>Accounting.xlsx ← Balance / BalanceClassic</t>
        </is>
      </c>
      <c r="C96" s="58" t="inlineStr">
        <is>
          <t>—</t>
        </is>
      </c>
    </row>
    <row r="97" ht="17" customHeight="1">
      <c r="A97" s="59" t="inlineStr">
        <is>
          <t>سود نقدی دوره</t>
        </is>
      </c>
      <c r="B97" s="59" t="inlineStr">
        <is>
          <t>Accounting.xlsx ← Balance (کارت)</t>
        </is>
      </c>
      <c r="C97" s="59" t="inlineStr">
        <is>
          <t>—</t>
        </is>
      </c>
    </row>
    <row r="98" ht="17" customHeight="1">
      <c r="A98" s="58" t="inlineStr">
        <is>
          <t>چه چیزهایی هنوز تعریف نشده؟</t>
        </is>
      </c>
      <c r="B98" s="58" t="inlineStr">
        <is>
          <t>Accounting.xlsx ← Control</t>
        </is>
      </c>
      <c r="C98" s="58" t="inlineStr">
        <is>
          <t>—</t>
        </is>
      </c>
    </row>
    <row r="99" ht="17" customHeight="1">
      <c r="A99" s="59" t="inlineStr">
        <is>
          <t>آموزش مفاهیم و کدگذاری</t>
        </is>
      </c>
      <c r="B99" s="59" t="inlineStr">
        <is>
          <t>Accounting.xlsx ← Learn</t>
        </is>
      </c>
      <c r="C99" s="59" t="inlineStr">
        <is>
          <t>—</t>
        </is>
      </c>
    </row>
    <row r="101" ht="19" customHeight="1">
      <c r="A101" s="57" t="inlineStr">
        <is>
          <t>۸) نکات طلایی</t>
        </is>
      </c>
      <c r="B101" s="57" t="n"/>
      <c r="C101" s="57" t="n"/>
      <c r="D101" s="57" t="n"/>
      <c r="E101" s="57" t="n"/>
      <c r="F101" s="57" t="n"/>
      <c r="G101" s="57" t="n"/>
      <c r="H101" s="57" t="n"/>
      <c r="I101" s="57" t="n"/>
    </row>
    <row r="102" ht="17" customHeight="1">
      <c r="A102" s="58" t="inlineStr">
        <is>
          <t>• بعد از هر تغییر در منابع (INFO، Baskol، Transactions، Baskets، Cheques): در فایل‌های گزارش و Accounting، Data ← Edit Links ← Update Values.</t>
        </is>
      </c>
      <c r="B102" s="58" t="n"/>
      <c r="C102" s="58" t="n"/>
      <c r="D102" s="58" t="n"/>
      <c r="E102" s="58" t="n"/>
      <c r="F102" s="58" t="n"/>
      <c r="G102" s="58" t="n"/>
      <c r="H102" s="58" t="n"/>
      <c r="I102" s="58" t="n"/>
    </row>
    <row r="103" ht="17" customHeight="1">
      <c r="A103" s="59" t="inlineStr">
        <is>
          <t>• کد طرفِ ناشناس = حساب متفرقه؛ فهرستش در شیت Control — بعد از تعریف در INFO ← Accounts خودکار درست می‌شود.</t>
        </is>
      </c>
      <c r="B103" s="59" t="n"/>
      <c r="C103" s="59" t="n"/>
      <c r="D103" s="59" t="n"/>
      <c r="E103" s="59" t="n"/>
      <c r="F103" s="59" t="n"/>
      <c r="G103" s="59" t="n"/>
      <c r="H103" s="59" t="n"/>
      <c r="I103" s="59" t="n"/>
    </row>
    <row r="104" ht="17" customHeight="1">
      <c r="A104" s="58" t="inlineStr">
        <is>
          <t>• گزارش‌های کدمحور (Sales، Purchases، Baskets، گزارش‌های Cheques) را با کپی شیت + تغییر کد/بازه برای هر حساب/ماه جدا کنید.</t>
        </is>
      </c>
      <c r="B104" s="58" t="n"/>
      <c r="C104" s="58" t="n"/>
      <c r="D104" s="58" t="n"/>
      <c r="E104" s="58" t="n"/>
      <c r="F104" s="58" t="n"/>
      <c r="G104" s="58" t="n"/>
      <c r="H104" s="58" t="n"/>
      <c r="I104" s="58" t="n"/>
    </row>
    <row r="105" ht="17" customHeight="1">
      <c r="A105" s="59" t="inlineStr">
        <is>
          <t>• روی سرستون‌ها نشانگر تولتیپ (💬) دارید — ماوس را روی هر ستون نگه دارید تا توضیحش باز شود.</t>
        </is>
      </c>
      <c r="B105" s="59" t="n"/>
      <c r="C105" s="59" t="n"/>
      <c r="D105" s="59" t="n"/>
      <c r="E105" s="59" t="n"/>
      <c r="F105" s="59" t="n"/>
      <c r="G105" s="59" t="n"/>
      <c r="H105" s="59" t="n"/>
      <c r="I105" s="59" t="n"/>
    </row>
    <row r="106" ht="17" customHeight="1">
      <c r="A106" s="58" t="inlineStr">
        <is>
          <t>• ظرفیت هر ردیف با کپی فرمول ردیف آخر قابل افزایش است؛ کدها هرگز عوض نشوند.</t>
        </is>
      </c>
      <c r="B106" s="58" t="n"/>
      <c r="C106" s="58" t="n"/>
      <c r="D106" s="58" t="n"/>
      <c r="E106" s="58" t="n"/>
      <c r="F106" s="58" t="n"/>
      <c r="G106" s="58" t="n"/>
      <c r="H106" s="58" t="n"/>
      <c r="I106" s="58" t="n"/>
    </row>
  </sheetData>
  <mergeCells count="251">
    <mergeCell ref="A7:I7"/>
    <mergeCell ref="C23"/>
    <mergeCell ref="E26"/>
    <mergeCell ref="B92"/>
    <mergeCell ref="B30"/>
    <mergeCell ref="A91"/>
    <mergeCell ref="D30"/>
    <mergeCell ref="D39"/>
    <mergeCell ref="C91"/>
    <mergeCell ref="A43"/>
    <mergeCell ref="B20"/>
    <mergeCell ref="D29"/>
    <mergeCell ref="C57"/>
    <mergeCell ref="D23"/>
    <mergeCell ref="D54"/>
    <mergeCell ref="A93"/>
    <mergeCell ref="A67"/>
    <mergeCell ref="B94"/>
    <mergeCell ref="A101:I101"/>
    <mergeCell ref="A2:I2"/>
    <mergeCell ref="C18"/>
    <mergeCell ref="E18"/>
    <mergeCell ref="B62"/>
    <mergeCell ref="B54"/>
    <mergeCell ref="C42"/>
    <mergeCell ref="B72"/>
    <mergeCell ref="B46"/>
    <mergeCell ref="D46"/>
    <mergeCell ref="C35"/>
    <mergeCell ref="B56"/>
    <mergeCell ref="B96"/>
    <mergeCell ref="B70"/>
    <mergeCell ref="B48"/>
    <mergeCell ref="A69"/>
    <mergeCell ref="A25"/>
    <mergeCell ref="A9:I9"/>
    <mergeCell ref="C25"/>
    <mergeCell ref="E19"/>
    <mergeCell ref="D57"/>
    <mergeCell ref="C99"/>
    <mergeCell ref="E28"/>
    <mergeCell ref="B98"/>
    <mergeCell ref="D27"/>
    <mergeCell ref="D41"/>
    <mergeCell ref="B17"/>
    <mergeCell ref="A11:I11"/>
    <mergeCell ref="B73"/>
    <mergeCell ref="D17"/>
    <mergeCell ref="B88"/>
    <mergeCell ref="A103:I103"/>
    <mergeCell ref="E30"/>
    <mergeCell ref="A55"/>
    <mergeCell ref="C59"/>
    <mergeCell ref="A86"/>
    <mergeCell ref="A95"/>
    <mergeCell ref="D43"/>
    <mergeCell ref="C46"/>
    <mergeCell ref="A79:I79"/>
    <mergeCell ref="B19"/>
    <mergeCell ref="C61"/>
    <mergeCell ref="C39"/>
    <mergeCell ref="A97"/>
    <mergeCell ref="C48"/>
    <mergeCell ref="B68"/>
    <mergeCell ref="A29"/>
    <mergeCell ref="D25"/>
    <mergeCell ref="A38"/>
    <mergeCell ref="A96"/>
    <mergeCell ref="D55"/>
    <mergeCell ref="C38"/>
    <mergeCell ref="A105:I105"/>
    <mergeCell ref="B36"/>
    <mergeCell ref="A44"/>
    <mergeCell ref="B45"/>
    <mergeCell ref="A58"/>
    <mergeCell ref="D59"/>
    <mergeCell ref="A40"/>
    <mergeCell ref="C87"/>
    <mergeCell ref="D20"/>
    <mergeCell ref="D60"/>
    <mergeCell ref="A76:I76"/>
    <mergeCell ref="A24"/>
    <mergeCell ref="B47"/>
    <mergeCell ref="A73"/>
    <mergeCell ref="A8:I8"/>
    <mergeCell ref="C24"/>
    <mergeCell ref="E24"/>
    <mergeCell ref="B59"/>
    <mergeCell ref="B22"/>
    <mergeCell ref="A60"/>
    <mergeCell ref="C89"/>
    <mergeCell ref="D22"/>
    <mergeCell ref="D45"/>
    <mergeCell ref="D40"/>
    <mergeCell ref="C88"/>
    <mergeCell ref="E17"/>
    <mergeCell ref="A10:I10"/>
    <mergeCell ref="C26"/>
    <mergeCell ref="B21"/>
    <mergeCell ref="B86"/>
    <mergeCell ref="D21"/>
    <mergeCell ref="B39"/>
    <mergeCell ref="A102:I102"/>
    <mergeCell ref="A99"/>
    <mergeCell ref="A77:I77"/>
    <mergeCell ref="A83:I83"/>
    <mergeCell ref="C93"/>
    <mergeCell ref="B23"/>
    <mergeCell ref="C55"/>
    <mergeCell ref="A27"/>
    <mergeCell ref="C92"/>
    <mergeCell ref="A18"/>
    <mergeCell ref="C43"/>
    <mergeCell ref="A1:I1"/>
    <mergeCell ref="B87"/>
    <mergeCell ref="A42"/>
    <mergeCell ref="C36"/>
    <mergeCell ref="D62"/>
    <mergeCell ref="A47"/>
    <mergeCell ref="A78:I78"/>
    <mergeCell ref="A22"/>
    <mergeCell ref="D18"/>
    <mergeCell ref="A35"/>
    <mergeCell ref="D58"/>
    <mergeCell ref="A62"/>
    <mergeCell ref="A75:I75"/>
    <mergeCell ref="A20"/>
    <mergeCell ref="A80:I80"/>
    <mergeCell ref="A72"/>
    <mergeCell ref="A3:I3"/>
    <mergeCell ref="A28"/>
    <mergeCell ref="D42"/>
    <mergeCell ref="A12:I12"/>
    <mergeCell ref="C28"/>
    <mergeCell ref="E22"/>
    <mergeCell ref="C37"/>
    <mergeCell ref="B41"/>
    <mergeCell ref="A104:I104"/>
    <mergeCell ref="B35"/>
    <mergeCell ref="D35"/>
    <mergeCell ref="C96"/>
    <mergeCell ref="A48"/>
    <mergeCell ref="A5:I5"/>
    <mergeCell ref="A30"/>
    <mergeCell ref="A32:I32"/>
    <mergeCell ref="E21"/>
    <mergeCell ref="A14:I14"/>
    <mergeCell ref="C30"/>
    <mergeCell ref="B25"/>
    <mergeCell ref="D44"/>
    <mergeCell ref="D19"/>
    <mergeCell ref="A59"/>
    <mergeCell ref="B91"/>
    <mergeCell ref="C62"/>
    <mergeCell ref="A106:I106"/>
    <mergeCell ref="A98"/>
    <mergeCell ref="C98"/>
    <mergeCell ref="B27"/>
    <mergeCell ref="E23"/>
    <mergeCell ref="A61"/>
    <mergeCell ref="B93"/>
    <mergeCell ref="A88"/>
    <mergeCell ref="D36"/>
    <mergeCell ref="A70"/>
    <mergeCell ref="A54"/>
    <mergeCell ref="C54"/>
    <mergeCell ref="A41"/>
    <mergeCell ref="A90"/>
    <mergeCell ref="C41"/>
    <mergeCell ref="B67"/>
    <mergeCell ref="B61"/>
    <mergeCell ref="D61"/>
    <mergeCell ref="A56"/>
    <mergeCell ref="D48"/>
    <mergeCell ref="A26"/>
    <mergeCell ref="C56"/>
    <mergeCell ref="C90"/>
    <mergeCell ref="B29"/>
    <mergeCell ref="B69"/>
    <mergeCell ref="B38"/>
    <mergeCell ref="A71"/>
    <mergeCell ref="A6:I6"/>
    <mergeCell ref="C27"/>
    <mergeCell ref="E27"/>
    <mergeCell ref="A17"/>
    <mergeCell ref="B40"/>
    <mergeCell ref="D56"/>
    <mergeCell ref="C17"/>
    <mergeCell ref="A53"/>
    <mergeCell ref="B55"/>
    <mergeCell ref="B24"/>
    <mergeCell ref="E25"/>
    <mergeCell ref="B95"/>
    <mergeCell ref="D24"/>
    <mergeCell ref="B89"/>
    <mergeCell ref="D38"/>
    <mergeCell ref="A19"/>
    <mergeCell ref="A50:I50"/>
    <mergeCell ref="A68"/>
    <mergeCell ref="C19"/>
    <mergeCell ref="C53"/>
    <mergeCell ref="B26"/>
    <mergeCell ref="B97"/>
    <mergeCell ref="D26"/>
    <mergeCell ref="A92"/>
    <mergeCell ref="A39"/>
    <mergeCell ref="C86"/>
    <mergeCell ref="C58"/>
    <mergeCell ref="B90"/>
    <mergeCell ref="A36"/>
    <mergeCell ref="A45"/>
    <mergeCell ref="A94"/>
    <mergeCell ref="C45"/>
    <mergeCell ref="B71"/>
    <mergeCell ref="A81:I81"/>
    <mergeCell ref="C97"/>
    <mergeCell ref="B43"/>
    <mergeCell ref="B18"/>
    <mergeCell ref="B58"/>
    <mergeCell ref="C20"/>
    <mergeCell ref="E20"/>
    <mergeCell ref="C29"/>
    <mergeCell ref="A87"/>
    <mergeCell ref="E29"/>
    <mergeCell ref="C94"/>
    <mergeCell ref="C47"/>
    <mergeCell ref="B42"/>
    <mergeCell ref="C44"/>
    <mergeCell ref="B60"/>
    <mergeCell ref="C22"/>
    <mergeCell ref="A37"/>
    <mergeCell ref="A46"/>
    <mergeCell ref="B57"/>
    <mergeCell ref="A64:I64"/>
    <mergeCell ref="A89"/>
    <mergeCell ref="C40"/>
    <mergeCell ref="A21"/>
    <mergeCell ref="B44"/>
    <mergeCell ref="B53"/>
    <mergeCell ref="C21"/>
    <mergeCell ref="D53"/>
    <mergeCell ref="D47"/>
    <mergeCell ref="A57"/>
    <mergeCell ref="C95"/>
    <mergeCell ref="B28"/>
    <mergeCell ref="C60"/>
    <mergeCell ref="B99"/>
    <mergeCell ref="D28"/>
    <mergeCell ref="B37"/>
    <mergeCell ref="D37"/>
    <mergeCell ref="A23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آموزش حسابداری — سامانه مازندشت&amp;R&amp;"Tahoma"&amp;8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90A4AE"/>
    <outlinePr summaryBelow="1" summaryRight="1"/>
    <pageSetUpPr/>
  </sheetPr>
  <dimension ref="A1:AZ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8" customWidth="1" min="4" max="4"/>
    <col width="9" customWidth="1" min="6" max="6"/>
    <col width="12" customWidth="1" min="7" max="7"/>
    <col width="14" customWidth="1" min="8" max="8"/>
    <col width="26" customWidth="1" min="9" max="9"/>
    <col width="9" customWidth="1" min="11" max="11"/>
    <col width="10" customWidth="1" min="12" max="12"/>
    <col width="16" customWidth="1" min="13" max="13"/>
    <col width="16" customWidth="1" min="14" max="14"/>
    <col width="30" customWidth="1" min="16" max="16"/>
    <col width="5" customWidth="1" min="18" max="18"/>
    <col width="7" customWidth="1" min="19" max="19"/>
    <col width="9" customWidth="1" min="20" max="20"/>
    <col width="5" customWidth="1" min="22" max="22"/>
    <col width="7" customWidth="1" min="23" max="23"/>
    <col width="18" customWidth="1" min="24" max="24"/>
    <col width="26" customWidth="1" min="26" max="26"/>
    <col width="10" customWidth="1" min="27" max="27"/>
    <col width="15" customWidth="1" min="28" max="28"/>
    <col width="12" customWidth="1" min="29" max="29"/>
    <col width="14" customWidth="1" min="30" max="30"/>
    <col width="13" customWidth="1" min="31" max="31"/>
    <col width="13" customWidth="1" min="32" max="32"/>
    <col width="13" customWidth="1" min="33" max="33"/>
    <col width="13" customWidth="1" min="34" max="34"/>
    <col width="10" customWidth="1" min="35" max="35"/>
    <col width="12" customWidth="1" min="36" max="36"/>
    <col width="12" customWidth="1" min="37" max="37"/>
    <col width="8" customWidth="1" min="38" max="38"/>
    <col width="5" customWidth="1" min="39" max="39"/>
    <col width="7" customWidth="1" min="40" max="40"/>
    <col width="9" customWidth="1" min="41" max="41"/>
    <col width="5" customWidth="1" min="42" max="42"/>
    <col width="7" customWidth="1" min="43" max="43"/>
    <col width="9" customWidth="1" min="44" max="44"/>
    <col width="5" customWidth="1" min="45" max="45"/>
    <col width="7" customWidth="1" min="46" max="46"/>
    <col width="9" customWidth="1" min="47" max="47"/>
    <col width="12" customWidth="1" min="49" max="49"/>
    <col width="10" customWidth="1" min="50" max="50"/>
    <col width="8" customWidth="1" min="51" max="51"/>
    <col width="10" customWidth="1" min="52" max="52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60" t="inlineStr">
        <is>
          <t>برگه فنی — آینه‌ی فایل مادر (INFO)، تراکنش‌ها (Transactions)، چک‌ها (Cheques) و سبد (Baskets) برای تراز. فرمول‌ها را تغییر ندهید. اگر همه سلول‌ها خالی شدند یعنی لینک به‌روز نشده: Data ← Edit Links ← Update Values.</t>
        </is>
      </c>
      <c r="B3" s="60" t="n"/>
      <c r="C3" s="60" t="n"/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  <c r="Z3" s="60" t="n"/>
      <c r="AA3" s="60" t="n"/>
      <c r="AB3" s="60" t="n"/>
      <c r="AC3" s="60" t="n"/>
      <c r="AD3" s="60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  <c r="AQ3" s="60" t="n"/>
      <c r="AR3" s="60" t="n"/>
      <c r="AS3" s="60" t="n"/>
      <c r="AT3" s="60" t="n"/>
      <c r="AU3" s="60" t="n"/>
      <c r="AV3" s="60" t="n"/>
      <c r="AW3" s="60" t="n"/>
      <c r="AX3" s="60" t="n"/>
      <c r="AY3" s="60" t="n"/>
      <c r="AZ3" s="60" t="n"/>
    </row>
    <row r="5">
      <c r="A5" s="61" t="inlineStr">
        <is>
          <t>Bank · Code</t>
        </is>
      </c>
      <c r="B5" s="61" t="inlineStr">
        <is>
          <t>· Title</t>
        </is>
      </c>
      <c r="C5" s="61" t="inlineStr">
        <is>
          <t>· Opening</t>
        </is>
      </c>
      <c r="D5" s="61" t="inlineStr">
        <is>
          <t>· Active</t>
        </is>
      </c>
      <c r="F5" s="61" t="inlineStr">
        <is>
          <t>Acct · Code</t>
        </is>
      </c>
      <c r="G5" s="61" t="inlineStr">
        <is>
          <t>· Nature</t>
        </is>
      </c>
      <c r="H5" s="61" t="inlineStr">
        <is>
          <t>· Sub</t>
        </is>
      </c>
      <c r="I5" s="61" t="inlineStr">
        <is>
          <t>· Name</t>
        </is>
      </c>
      <c r="K5" s="61" t="inlineStr">
        <is>
          <t>SG · Code</t>
        </is>
      </c>
      <c r="L5" s="61" t="inlineStr">
        <is>
          <t>· Group</t>
        </is>
      </c>
      <c r="M5" s="61" t="inlineStr">
        <is>
          <t>· Title</t>
        </is>
      </c>
      <c r="N5" s="61" t="inlineStr">
        <is>
          <t>· Desc</t>
        </is>
      </c>
      <c r="P5" s="61" t="inlineStr">
        <is>
          <t>Company</t>
        </is>
      </c>
      <c r="R5" s="61" t="inlineStr">
        <is>
          <t>flg</t>
        </is>
      </c>
      <c r="S5" s="61" t="inlineStr">
        <is>
          <t>cum·N</t>
        </is>
      </c>
      <c r="T5" s="61" t="inlineStr">
        <is>
          <t>packed·P</t>
        </is>
      </c>
      <c r="V5" s="61" t="inlineStr">
        <is>
          <t>flg</t>
        </is>
      </c>
      <c r="W5" s="61" t="inlineStr">
        <is>
          <t>cum·N</t>
        </is>
      </c>
      <c r="X5" s="61" t="inlineStr">
        <is>
          <t>packed·E</t>
        </is>
      </c>
      <c r="Z5" s="61" t="inlineStr">
        <is>
          <t>Entry · E</t>
        </is>
      </c>
      <c r="AA5" s="61" t="inlineStr">
        <is>
          <t>Entry · G</t>
        </is>
      </c>
      <c r="AB5" s="61" t="inlineStr">
        <is>
          <t>Entry · J</t>
        </is>
      </c>
      <c r="AC5" s="61" t="inlineStr">
        <is>
          <t>Entry · K</t>
        </is>
      </c>
      <c r="AD5" s="61" t="inlineStr">
        <is>
          <t>Entry · L</t>
        </is>
      </c>
      <c r="AE5" s="61" t="inlineStr">
        <is>
          <t>Entry · M</t>
        </is>
      </c>
      <c r="AF5" s="61" t="inlineStr">
        <is>
          <t>Entry · N</t>
        </is>
      </c>
      <c r="AG5" s="61" t="inlineStr">
        <is>
          <t>Issues · Cheque No.</t>
        </is>
      </c>
      <c r="AH5" s="61" t="inlineStr">
        <is>
          <t>Issues · Amount</t>
        </is>
      </c>
      <c r="AI5" s="61" t="inlineStr">
        <is>
          <t>Issues · Party</t>
        </is>
      </c>
      <c r="AJ5" s="61" t="inlineStr">
        <is>
          <t>Entry · S</t>
        </is>
      </c>
      <c r="AK5" s="61" t="inlineStr">
        <is>
          <t>Entry · C</t>
        </is>
      </c>
      <c r="AL5" s="61" t="inlineStr">
        <is>
          <t>Entry · D</t>
        </is>
      </c>
      <c r="AM5" s="61" t="inlineStr">
        <is>
          <t>flg</t>
        </is>
      </c>
      <c r="AN5" s="61" t="inlineStr">
        <is>
          <t>cum·N</t>
        </is>
      </c>
      <c r="AO5" s="61" t="inlineStr">
        <is>
          <t>packed·A</t>
        </is>
      </c>
      <c r="AP5" s="61" t="inlineStr">
        <is>
          <t>flg</t>
        </is>
      </c>
      <c r="AQ5" s="61" t="inlineStr">
        <is>
          <t>cum·N</t>
        </is>
      </c>
      <c r="AR5" s="61" t="inlineStr">
        <is>
          <t>packed·A</t>
        </is>
      </c>
      <c r="AS5" s="61" t="inlineStr">
        <is>
          <t>flg</t>
        </is>
      </c>
      <c r="AT5" s="61" t="inlineStr">
        <is>
          <t>cum·N</t>
        </is>
      </c>
      <c r="AU5" s="61" t="inlineStr">
        <is>
          <t>packed·A</t>
        </is>
      </c>
      <c r="AW5" s="61" t="inlineStr">
        <is>
          <t>Issues · Date</t>
        </is>
      </c>
      <c r="AX5" s="61" t="inlineStr">
        <is>
          <t>Bsk · Seller</t>
        </is>
      </c>
      <c r="AY5" s="61" t="inlineStr">
        <is>
          <t>Bsk · Qty</t>
        </is>
      </c>
      <c r="AZ5" s="61" t="inlineStr">
        <is>
          <t>Bsk · Price</t>
        </is>
      </c>
    </row>
    <row r="6">
      <c r="A6">
        <f>IF([1]Banks!$B$7="","",[1]Banks!$A$7)</f>
        <v/>
      </c>
      <c r="B6">
        <f>IF([1]Banks!$B$7="","",[1]Banks!$B$7)</f>
        <v/>
      </c>
      <c r="C6">
        <f>IF([1]Banks!$B$7="","",[1]Banks!$C$7)</f>
        <v/>
      </c>
      <c r="D6">
        <f>IF([1]Banks!$B$7="","",[1]Banks!$D$7)</f>
        <v/>
      </c>
      <c r="F6">
        <f>IF([1]Accounts!$D$7="","",[1]Accounts!$A$7)</f>
        <v/>
      </c>
      <c r="G6">
        <f>IF([1]Accounts!$D$7="","",[1]Accounts!$B$7)</f>
        <v/>
      </c>
      <c r="H6">
        <f>IF([1]Accounts!$D$7="","",[1]Accounts!$C$7)</f>
        <v/>
      </c>
      <c r="I6">
        <f>IF([1]Accounts!$D$7="","",[1]Accounts!$D$7)</f>
        <v/>
      </c>
      <c r="K6">
        <f>IF([1]SubGroups!$C$7="","",[1]SubGroups!$A$7)</f>
        <v/>
      </c>
      <c r="L6">
        <f>IF([1]SubGroups!$C$7="","",[1]SubGroups!$B$7)</f>
        <v/>
      </c>
      <c r="M6">
        <f>IF([1]SubGroups!$C$7="","",[1]SubGroups!$C$7)</f>
        <v/>
      </c>
      <c r="N6">
        <f>IF([1]SubGroups!$C$7="","",[1]SubGroups!$D$7)</f>
        <v/>
      </c>
      <c r="P6">
        <f>IF([1]Company!$C$5="","",[1]Company!$C$5)</f>
        <v/>
      </c>
      <c r="R6">
        <f>IF(AND($F6&lt;&gt;"",$I6&lt;&gt;""),IF(OR($G6="دارایی ثابت",$G6="وام و تسهیلات",$G6="سرمایه و آورده صاحبان"),0,1),0)</f>
        <v/>
      </c>
      <c r="S6">
        <f>SUM($R$6:$R6)</f>
        <v/>
      </c>
      <c r="T6">
        <f>IFERROR(INDEX($F$6:$F$565,MATCH(ROW()-5,$S$6:$S$565,0)),"")</f>
        <v/>
      </c>
      <c r="V6">
        <f>IF(AND($K6&lt;&gt;"",$M6&lt;&gt;""),$L6="هزینه",0)*1</f>
        <v/>
      </c>
      <c r="W6">
        <f>SUM($V$6:$V6)</f>
        <v/>
      </c>
      <c r="X6">
        <f>IFERROR(INDEX($M$6:$M$105,MATCH(ROW()-5,$W$6:$W$105,0)),"")</f>
        <v/>
      </c>
      <c r="Z6">
        <f>IF([2]Entry!$E$9="","",[2]Entry!$E$9)</f>
        <v/>
      </c>
      <c r="AA6">
        <f>IF([2]Entry!$G$9="","",[2]Entry!$G$9)</f>
        <v/>
      </c>
      <c r="AB6">
        <f>IF([2]Entry!$J$9="","",[2]Entry!$J$9)</f>
        <v/>
      </c>
      <c r="AC6">
        <f>IF([2]Entry!$K$9="","",[2]Entry!$K$9)</f>
        <v/>
      </c>
      <c r="AD6">
        <f>IF([2]Entry!$L$9="","",[2]Entry!$L$9)</f>
        <v/>
      </c>
      <c r="AE6">
        <f>IF([2]Entry!$M$9="","",[2]Entry!$M$9)</f>
        <v/>
      </c>
      <c r="AF6">
        <f>IF([2]Entry!$N$9="","",[2]Entry!$N$9)</f>
        <v/>
      </c>
      <c r="AG6">
        <f>IF([3]Issues!$B$9="","",[3]Issues!$B$9)</f>
        <v/>
      </c>
      <c r="AH6">
        <f>IF([3]Issues!$D$9="","",[3]Issues!$D$9)</f>
        <v/>
      </c>
      <c r="AI6">
        <f>IF([3]Issues!$E$9="","",[3]Issues!$E$9)</f>
        <v/>
      </c>
      <c r="AJ6">
        <f>IF([2]Entry!$S$9="","",[2]Entry!$S$9)</f>
        <v/>
      </c>
      <c r="AK6">
        <f>IF([2]Entry!$C$9="","",[2]Entry!$C$9)</f>
        <v/>
      </c>
      <c r="AL6">
        <f>IF([2]Entry!$D$9="","",[2]Entry!$D$9)</f>
        <v/>
      </c>
      <c r="AM6">
        <f>IF(AND($F6&lt;&gt;"",$I6&lt;&gt;""),IF($G6="دارایی ثابت",1,0),0)</f>
        <v/>
      </c>
      <c r="AN6">
        <f>SUM($AM$6:$AM6)</f>
        <v/>
      </c>
      <c r="AO6">
        <f>IFERROR(INDEX($F$6:$F$565,MATCH(ROW()-5,$AN$6:$AN$565,0)),"")</f>
        <v/>
      </c>
      <c r="AP6">
        <f>IF(AND($F6&lt;&gt;"",$I6&lt;&gt;""),IF($G6="وام و تسهیلات",1,0),0)</f>
        <v/>
      </c>
      <c r="AQ6">
        <f>SUM($AP$6:$AP6)</f>
        <v/>
      </c>
      <c r="AR6">
        <f>IFERROR(INDEX($F$6:$F$565,MATCH(ROW()-5,$AQ$6:$AQ$565,0)),"")</f>
        <v/>
      </c>
      <c r="AS6">
        <f>IF(AND($F6&lt;&gt;"",$I6&lt;&gt;""),IF($G6="سرمایه و آورده صاحبان",1,0),0)</f>
        <v/>
      </c>
      <c r="AT6">
        <f>SUM($AS$6:$AS6)</f>
        <v/>
      </c>
      <c r="AU6">
        <f>IFERROR(INDEX($F$6:$F$565,MATCH(ROW()-5,$AT$6:$AT$565,0)),"")</f>
        <v/>
      </c>
      <c r="AW6">
        <f>IF([3]Issues!$C$9="","",[3]Issues!$C$9)</f>
        <v/>
      </c>
      <c r="AX6">
        <f>IF([4]Entry!$E$9="","",[4]Entry!$E$9)</f>
        <v/>
      </c>
      <c r="AY6">
        <f>IF([4]Entry!$H$9="","",[4]Entry!$H$9)</f>
        <v/>
      </c>
      <c r="AZ6">
        <f>IF([4]Entry!$I$9="","",[4]Entry!$I$9)</f>
        <v/>
      </c>
    </row>
    <row r="7">
      <c r="A7">
        <f>IF([1]Banks!$B$8="","",[1]Banks!$A$8)</f>
        <v/>
      </c>
      <c r="B7">
        <f>IF([1]Banks!$B$8="","",[1]Banks!$B$8)</f>
        <v/>
      </c>
      <c r="C7">
        <f>IF([1]Banks!$B$8="","",[1]Banks!$C$8)</f>
        <v/>
      </c>
      <c r="D7">
        <f>IF([1]Banks!$B$8="","",[1]Banks!$D$8)</f>
        <v/>
      </c>
      <c r="F7">
        <f>IF([1]Accounts!$D$8="","",[1]Accounts!$A$8)</f>
        <v/>
      </c>
      <c r="G7">
        <f>IF([1]Accounts!$D$8="","",[1]Accounts!$B$8)</f>
        <v/>
      </c>
      <c r="H7">
        <f>IF([1]Accounts!$D$8="","",[1]Accounts!$C$8)</f>
        <v/>
      </c>
      <c r="I7">
        <f>IF([1]Accounts!$D$8="","",[1]Accounts!$D$8)</f>
        <v/>
      </c>
      <c r="K7">
        <f>IF([1]SubGroups!$C$8="","",[1]SubGroups!$A$8)</f>
        <v/>
      </c>
      <c r="L7">
        <f>IF([1]SubGroups!$C$8="","",[1]SubGroups!$B$8)</f>
        <v/>
      </c>
      <c r="M7">
        <f>IF([1]SubGroups!$C$8="","",[1]SubGroups!$C$8)</f>
        <v/>
      </c>
      <c r="N7">
        <f>IF([1]SubGroups!$C$8="","",[1]SubGroups!$D$8)</f>
        <v/>
      </c>
      <c r="P7">
        <f>IF([1]Company!$C$8="","",[1]Company!$C$8)</f>
        <v/>
      </c>
      <c r="R7">
        <f>IF(AND($F7&lt;&gt;"",$I7&lt;&gt;""),IF(OR($G7="دارایی ثابت",$G7="وام و تسهیلات",$G7="سرمایه و آورده صاحبان"),0,1),0)</f>
        <v/>
      </c>
      <c r="S7">
        <f>SUM($R$6:$R7)</f>
        <v/>
      </c>
      <c r="T7">
        <f>IFERROR(INDEX($F$6:$F$565,MATCH(ROW()-5,$S$6:$S$565,0)),"")</f>
        <v/>
      </c>
      <c r="V7">
        <f>IF(AND($K7&lt;&gt;"",$M7&lt;&gt;""),$L7="هزینه",0)*1</f>
        <v/>
      </c>
      <c r="W7">
        <f>SUM($V$6:$V7)</f>
        <v/>
      </c>
      <c r="X7">
        <f>IFERROR(INDEX($M$6:$M$105,MATCH(ROW()-5,$W$6:$W$105,0)),"")</f>
        <v/>
      </c>
      <c r="Z7">
        <f>IF([2]Entry!$E$10="","",[2]Entry!$E$10)</f>
        <v/>
      </c>
      <c r="AA7">
        <f>IF([2]Entry!$G$10="","",[2]Entry!$G$10)</f>
        <v/>
      </c>
      <c r="AB7">
        <f>IF([2]Entry!$J$10="","",[2]Entry!$J$10)</f>
        <v/>
      </c>
      <c r="AC7">
        <f>IF([2]Entry!$K$10="","",[2]Entry!$K$10)</f>
        <v/>
      </c>
      <c r="AD7">
        <f>IF([2]Entry!$L$10="","",[2]Entry!$L$10)</f>
        <v/>
      </c>
      <c r="AE7">
        <f>IF([2]Entry!$M$10="","",[2]Entry!$M$10)</f>
        <v/>
      </c>
      <c r="AF7">
        <f>IF([2]Entry!$N$10="","",[2]Entry!$N$10)</f>
        <v/>
      </c>
      <c r="AG7">
        <f>IF([3]Issues!$B$10="","",[3]Issues!$B$10)</f>
        <v/>
      </c>
      <c r="AH7">
        <f>IF([3]Issues!$D$10="","",[3]Issues!$D$10)</f>
        <v/>
      </c>
      <c r="AI7">
        <f>IF([3]Issues!$E$10="","",[3]Issues!$E$10)</f>
        <v/>
      </c>
      <c r="AJ7">
        <f>IF([2]Entry!$S$10="","",[2]Entry!$S$10)</f>
        <v/>
      </c>
      <c r="AK7">
        <f>IF([2]Entry!$C$10="","",[2]Entry!$C$10)</f>
        <v/>
      </c>
      <c r="AL7">
        <f>IF([2]Entry!$D$10="","",[2]Entry!$D$10)</f>
        <v/>
      </c>
      <c r="AM7">
        <f>IF(AND($F7&lt;&gt;"",$I7&lt;&gt;""),IF($G7="دارایی ثابت",1,0),0)</f>
        <v/>
      </c>
      <c r="AN7">
        <f>SUM($AM$6:$AM7)</f>
        <v/>
      </c>
      <c r="AO7">
        <f>IFERROR(INDEX($F$6:$F$565,MATCH(ROW()-5,$AN$6:$AN$565,0)),"")</f>
        <v/>
      </c>
      <c r="AP7">
        <f>IF(AND($F7&lt;&gt;"",$I7&lt;&gt;""),IF($G7="وام و تسهیلات",1,0),0)</f>
        <v/>
      </c>
      <c r="AQ7">
        <f>SUM($AP$6:$AP7)</f>
        <v/>
      </c>
      <c r="AR7">
        <f>IFERROR(INDEX($F$6:$F$565,MATCH(ROW()-5,$AQ$6:$AQ$565,0)),"")</f>
        <v/>
      </c>
      <c r="AS7">
        <f>IF(AND($F7&lt;&gt;"",$I7&lt;&gt;""),IF($G7="سرمایه و آورده صاحبان",1,0),0)</f>
        <v/>
      </c>
      <c r="AT7">
        <f>SUM($AS$6:$AS7)</f>
        <v/>
      </c>
      <c r="AU7">
        <f>IFERROR(INDEX($F$6:$F$565,MATCH(ROW()-5,$AT$6:$AT$565,0)),"")</f>
        <v/>
      </c>
      <c r="AW7">
        <f>IF([3]Issues!$C$10="","",[3]Issues!$C$10)</f>
        <v/>
      </c>
      <c r="AX7">
        <f>IF([4]Entry!$E$10="","",[4]Entry!$E$10)</f>
        <v/>
      </c>
      <c r="AY7">
        <f>IF([4]Entry!$H$10="","",[4]Entry!$H$10)</f>
        <v/>
      </c>
      <c r="AZ7">
        <f>IF([4]Entry!$I$10="","",[4]Entry!$I$10)</f>
        <v/>
      </c>
    </row>
    <row r="8">
      <c r="A8">
        <f>IF([1]Banks!$B$9="","",[1]Banks!$A$9)</f>
        <v/>
      </c>
      <c r="B8">
        <f>IF([1]Banks!$B$9="","",[1]Banks!$B$9)</f>
        <v/>
      </c>
      <c r="C8">
        <f>IF([1]Banks!$B$9="","",[1]Banks!$C$9)</f>
        <v/>
      </c>
      <c r="D8">
        <f>IF([1]Banks!$B$9="","",[1]Banks!$D$9)</f>
        <v/>
      </c>
      <c r="F8">
        <f>IF([1]Accounts!$D$9="","",[1]Accounts!$A$9)</f>
        <v/>
      </c>
      <c r="G8">
        <f>IF([1]Accounts!$D$9="","",[1]Accounts!$B$9)</f>
        <v/>
      </c>
      <c r="H8">
        <f>IF([1]Accounts!$D$9="","",[1]Accounts!$C$9)</f>
        <v/>
      </c>
      <c r="I8">
        <f>IF([1]Accounts!$D$9="","",[1]Accounts!$D$9)</f>
        <v/>
      </c>
      <c r="K8">
        <f>IF([1]SubGroups!$C$9="","",[1]SubGroups!$A$9)</f>
        <v/>
      </c>
      <c r="L8">
        <f>IF([1]SubGroups!$C$9="","",[1]SubGroups!$B$9)</f>
        <v/>
      </c>
      <c r="M8">
        <f>IF([1]SubGroups!$C$9="","",[1]SubGroups!$C$9)</f>
        <v/>
      </c>
      <c r="N8">
        <f>IF([1]SubGroups!$C$9="","",[1]SubGroups!$D$9)</f>
        <v/>
      </c>
      <c r="P8">
        <f>IF([1]Company!$C$9="","",[1]Company!$C$9)</f>
        <v/>
      </c>
      <c r="R8">
        <f>IF(AND($F8&lt;&gt;"",$I8&lt;&gt;""),IF(OR($G8="دارایی ثابت",$G8="وام و تسهیلات",$G8="سرمایه و آورده صاحبان"),0,1),0)</f>
        <v/>
      </c>
      <c r="S8">
        <f>SUM($R$6:$R8)</f>
        <v/>
      </c>
      <c r="T8">
        <f>IFERROR(INDEX($F$6:$F$565,MATCH(ROW()-5,$S$6:$S$565,0)),"")</f>
        <v/>
      </c>
      <c r="V8">
        <f>IF(AND($K8&lt;&gt;"",$M8&lt;&gt;""),$L8="هزینه",0)*1</f>
        <v/>
      </c>
      <c r="W8">
        <f>SUM($V$6:$V8)</f>
        <v/>
      </c>
      <c r="X8">
        <f>IFERROR(INDEX($M$6:$M$105,MATCH(ROW()-5,$W$6:$W$105,0)),"")</f>
        <v/>
      </c>
      <c r="Z8">
        <f>IF([2]Entry!$E$11="","",[2]Entry!$E$11)</f>
        <v/>
      </c>
      <c r="AA8">
        <f>IF([2]Entry!$G$11="","",[2]Entry!$G$11)</f>
        <v/>
      </c>
      <c r="AB8">
        <f>IF([2]Entry!$J$11="","",[2]Entry!$J$11)</f>
        <v/>
      </c>
      <c r="AC8">
        <f>IF([2]Entry!$K$11="","",[2]Entry!$K$11)</f>
        <v/>
      </c>
      <c r="AD8">
        <f>IF([2]Entry!$L$11="","",[2]Entry!$L$11)</f>
        <v/>
      </c>
      <c r="AE8">
        <f>IF([2]Entry!$M$11="","",[2]Entry!$M$11)</f>
        <v/>
      </c>
      <c r="AF8">
        <f>IF([2]Entry!$N$11="","",[2]Entry!$N$11)</f>
        <v/>
      </c>
      <c r="AG8">
        <f>IF([3]Issues!$B$11="","",[3]Issues!$B$11)</f>
        <v/>
      </c>
      <c r="AH8">
        <f>IF([3]Issues!$D$11="","",[3]Issues!$D$11)</f>
        <v/>
      </c>
      <c r="AI8">
        <f>IF([3]Issues!$E$11="","",[3]Issues!$E$11)</f>
        <v/>
      </c>
      <c r="AJ8">
        <f>IF([2]Entry!$S$11="","",[2]Entry!$S$11)</f>
        <v/>
      </c>
      <c r="AK8">
        <f>IF([2]Entry!$C$11="","",[2]Entry!$C$11)</f>
        <v/>
      </c>
      <c r="AL8">
        <f>IF([2]Entry!$D$11="","",[2]Entry!$D$11)</f>
        <v/>
      </c>
      <c r="AM8">
        <f>IF(AND($F8&lt;&gt;"",$I8&lt;&gt;""),IF($G8="دارایی ثابت",1,0),0)</f>
        <v/>
      </c>
      <c r="AN8">
        <f>SUM($AM$6:$AM8)</f>
        <v/>
      </c>
      <c r="AO8">
        <f>IFERROR(INDEX($F$6:$F$565,MATCH(ROW()-5,$AN$6:$AN$565,0)),"")</f>
        <v/>
      </c>
      <c r="AP8">
        <f>IF(AND($F8&lt;&gt;"",$I8&lt;&gt;""),IF($G8="وام و تسهیلات",1,0),0)</f>
        <v/>
      </c>
      <c r="AQ8">
        <f>SUM($AP$6:$AP8)</f>
        <v/>
      </c>
      <c r="AR8">
        <f>IFERROR(INDEX($F$6:$F$565,MATCH(ROW()-5,$AQ$6:$AQ$565,0)),"")</f>
        <v/>
      </c>
      <c r="AS8">
        <f>IF(AND($F8&lt;&gt;"",$I8&lt;&gt;""),IF($G8="سرمایه و آورده صاحبان",1,0),0)</f>
        <v/>
      </c>
      <c r="AT8">
        <f>SUM($AS$6:$AS8)</f>
        <v/>
      </c>
      <c r="AU8">
        <f>IFERROR(INDEX($F$6:$F$565,MATCH(ROW()-5,$AT$6:$AT$565,0)),"")</f>
        <v/>
      </c>
      <c r="AW8">
        <f>IF([3]Issues!$C$11="","",[3]Issues!$C$11)</f>
        <v/>
      </c>
      <c r="AX8">
        <f>IF([4]Entry!$E$11="","",[4]Entry!$E$11)</f>
        <v/>
      </c>
      <c r="AY8">
        <f>IF([4]Entry!$H$11="","",[4]Entry!$H$11)</f>
        <v/>
      </c>
      <c r="AZ8">
        <f>IF([4]Entry!$I$11="","",[4]Entry!$I$11)</f>
        <v/>
      </c>
    </row>
    <row r="9">
      <c r="A9">
        <f>IF([1]Banks!$B$10="","",[1]Banks!$A$10)</f>
        <v/>
      </c>
      <c r="B9">
        <f>IF([1]Banks!$B$10="","",[1]Banks!$B$10)</f>
        <v/>
      </c>
      <c r="C9">
        <f>IF([1]Banks!$B$10="","",[1]Banks!$C$10)</f>
        <v/>
      </c>
      <c r="D9">
        <f>IF([1]Banks!$B$10="","",[1]Banks!$D$10)</f>
        <v/>
      </c>
      <c r="F9">
        <f>IF([1]Accounts!$D$10="","",[1]Accounts!$A$10)</f>
        <v/>
      </c>
      <c r="G9">
        <f>IF([1]Accounts!$D$10="","",[1]Accounts!$B$10)</f>
        <v/>
      </c>
      <c r="H9">
        <f>IF([1]Accounts!$D$10="","",[1]Accounts!$C$10)</f>
        <v/>
      </c>
      <c r="I9">
        <f>IF([1]Accounts!$D$10="","",[1]Accounts!$D$10)</f>
        <v/>
      </c>
      <c r="K9">
        <f>IF([1]SubGroups!$C$10="","",[1]SubGroups!$A$10)</f>
        <v/>
      </c>
      <c r="L9">
        <f>IF([1]SubGroups!$C$10="","",[1]SubGroups!$B$10)</f>
        <v/>
      </c>
      <c r="M9">
        <f>IF([1]SubGroups!$C$10="","",[1]SubGroups!$C$10)</f>
        <v/>
      </c>
      <c r="N9">
        <f>IF([1]SubGroups!$C$10="","",[1]SubGroups!$D$10)</f>
        <v/>
      </c>
      <c r="P9">
        <f>IF([1]Company!$C$7="","",[1]Company!$C$7)</f>
        <v/>
      </c>
      <c r="R9">
        <f>IF(AND($F9&lt;&gt;"",$I9&lt;&gt;""),IF(OR($G9="دارایی ثابت",$G9="وام و تسهیلات",$G9="سرمایه و آورده صاحبان"),0,1),0)</f>
        <v/>
      </c>
      <c r="S9">
        <f>SUM($R$6:$R9)</f>
        <v/>
      </c>
      <c r="T9">
        <f>IFERROR(INDEX($F$6:$F$565,MATCH(ROW()-5,$S$6:$S$565,0)),"")</f>
        <v/>
      </c>
      <c r="V9">
        <f>IF(AND($K9&lt;&gt;"",$M9&lt;&gt;""),$L9="هزینه",0)*1</f>
        <v/>
      </c>
      <c r="W9">
        <f>SUM($V$6:$V9)</f>
        <v/>
      </c>
      <c r="X9">
        <f>IFERROR(INDEX($M$6:$M$105,MATCH(ROW()-5,$W$6:$W$105,0)),"")</f>
        <v/>
      </c>
      <c r="Z9">
        <f>IF([2]Entry!$E$12="","",[2]Entry!$E$12)</f>
        <v/>
      </c>
      <c r="AA9">
        <f>IF([2]Entry!$G$12="","",[2]Entry!$G$12)</f>
        <v/>
      </c>
      <c r="AB9">
        <f>IF([2]Entry!$J$12="","",[2]Entry!$J$12)</f>
        <v/>
      </c>
      <c r="AC9">
        <f>IF([2]Entry!$K$12="","",[2]Entry!$K$12)</f>
        <v/>
      </c>
      <c r="AD9">
        <f>IF([2]Entry!$L$12="","",[2]Entry!$L$12)</f>
        <v/>
      </c>
      <c r="AE9">
        <f>IF([2]Entry!$M$12="","",[2]Entry!$M$12)</f>
        <v/>
      </c>
      <c r="AF9">
        <f>IF([2]Entry!$N$12="","",[2]Entry!$N$12)</f>
        <v/>
      </c>
      <c r="AG9">
        <f>IF([3]Issues!$B$12="","",[3]Issues!$B$12)</f>
        <v/>
      </c>
      <c r="AH9">
        <f>IF([3]Issues!$D$12="","",[3]Issues!$D$12)</f>
        <v/>
      </c>
      <c r="AI9">
        <f>IF([3]Issues!$E$12="","",[3]Issues!$E$12)</f>
        <v/>
      </c>
      <c r="AJ9">
        <f>IF([2]Entry!$S$12="","",[2]Entry!$S$12)</f>
        <v/>
      </c>
      <c r="AK9">
        <f>IF([2]Entry!$C$12="","",[2]Entry!$C$12)</f>
        <v/>
      </c>
      <c r="AL9">
        <f>IF([2]Entry!$D$12="","",[2]Entry!$D$12)</f>
        <v/>
      </c>
      <c r="AM9">
        <f>IF(AND($F9&lt;&gt;"",$I9&lt;&gt;""),IF($G9="دارایی ثابت",1,0),0)</f>
        <v/>
      </c>
      <c r="AN9">
        <f>SUM($AM$6:$AM9)</f>
        <v/>
      </c>
      <c r="AO9">
        <f>IFERROR(INDEX($F$6:$F$565,MATCH(ROW()-5,$AN$6:$AN$565,0)),"")</f>
        <v/>
      </c>
      <c r="AP9">
        <f>IF(AND($F9&lt;&gt;"",$I9&lt;&gt;""),IF($G9="وام و تسهیلات",1,0),0)</f>
        <v/>
      </c>
      <c r="AQ9">
        <f>SUM($AP$6:$AP9)</f>
        <v/>
      </c>
      <c r="AR9">
        <f>IFERROR(INDEX($F$6:$F$565,MATCH(ROW()-5,$AQ$6:$AQ$565,0)),"")</f>
        <v/>
      </c>
      <c r="AS9">
        <f>IF(AND($F9&lt;&gt;"",$I9&lt;&gt;""),IF($G9="سرمایه و آورده صاحبان",1,0),0)</f>
        <v/>
      </c>
      <c r="AT9">
        <f>SUM($AS$6:$AS9)</f>
        <v/>
      </c>
      <c r="AU9">
        <f>IFERROR(INDEX($F$6:$F$565,MATCH(ROW()-5,$AT$6:$AT$565,0)),"")</f>
        <v/>
      </c>
      <c r="AW9">
        <f>IF([3]Issues!$C$12="","",[3]Issues!$C$12)</f>
        <v/>
      </c>
      <c r="AX9">
        <f>IF([4]Entry!$E$12="","",[4]Entry!$E$12)</f>
        <v/>
      </c>
      <c r="AY9">
        <f>IF([4]Entry!$H$12="","",[4]Entry!$H$12)</f>
        <v/>
      </c>
      <c r="AZ9">
        <f>IF([4]Entry!$I$12="","",[4]Entry!$I$12)</f>
        <v/>
      </c>
    </row>
    <row r="10">
      <c r="A10">
        <f>IF([1]Banks!$B$11="","",[1]Banks!$A$11)</f>
        <v/>
      </c>
      <c r="B10">
        <f>IF([1]Banks!$B$11="","",[1]Banks!$B$11)</f>
        <v/>
      </c>
      <c r="C10">
        <f>IF([1]Banks!$B$11="","",[1]Banks!$C$11)</f>
        <v/>
      </c>
      <c r="D10">
        <f>IF([1]Banks!$B$11="","",[1]Banks!$D$11)</f>
        <v/>
      </c>
      <c r="F10">
        <f>IF([1]Accounts!$D$11="","",[1]Accounts!$A$11)</f>
        <v/>
      </c>
      <c r="G10">
        <f>IF([1]Accounts!$D$11="","",[1]Accounts!$B$11)</f>
        <v/>
      </c>
      <c r="H10">
        <f>IF([1]Accounts!$D$11="","",[1]Accounts!$C$11)</f>
        <v/>
      </c>
      <c r="I10">
        <f>IF([1]Accounts!$D$11="","",[1]Accounts!$D$11)</f>
        <v/>
      </c>
      <c r="K10">
        <f>IF([1]SubGroups!$C$11="","",[1]SubGroups!$A$11)</f>
        <v/>
      </c>
      <c r="L10">
        <f>IF([1]SubGroups!$C$11="","",[1]SubGroups!$B$11)</f>
        <v/>
      </c>
      <c r="M10">
        <f>IF([1]SubGroups!$C$11="","",[1]SubGroups!$C$11)</f>
        <v/>
      </c>
      <c r="N10">
        <f>IF([1]SubGroups!$C$11="","",[1]SubGroups!$D$11)</f>
        <v/>
      </c>
      <c r="R10">
        <f>IF(AND($F10&lt;&gt;"",$I10&lt;&gt;""),IF(OR($G10="دارایی ثابت",$G10="وام و تسهیلات",$G10="سرمایه و آورده صاحبان"),0,1),0)</f>
        <v/>
      </c>
      <c r="S10">
        <f>SUM($R$6:$R10)</f>
        <v/>
      </c>
      <c r="T10">
        <f>IFERROR(INDEX($F$6:$F$565,MATCH(ROW()-5,$S$6:$S$565,0)),"")</f>
        <v/>
      </c>
      <c r="V10">
        <f>IF(AND($K10&lt;&gt;"",$M10&lt;&gt;""),$L10="هزینه",0)*1</f>
        <v/>
      </c>
      <c r="W10">
        <f>SUM($V$6:$V10)</f>
        <v/>
      </c>
      <c r="X10">
        <f>IFERROR(INDEX($M$6:$M$105,MATCH(ROW()-5,$W$6:$W$105,0)),"")</f>
        <v/>
      </c>
      <c r="Z10">
        <f>IF([2]Entry!$E$13="","",[2]Entry!$E$13)</f>
        <v/>
      </c>
      <c r="AA10">
        <f>IF([2]Entry!$G$13="","",[2]Entry!$G$13)</f>
        <v/>
      </c>
      <c r="AB10">
        <f>IF([2]Entry!$J$13="","",[2]Entry!$J$13)</f>
        <v/>
      </c>
      <c r="AC10">
        <f>IF([2]Entry!$K$13="","",[2]Entry!$K$13)</f>
        <v/>
      </c>
      <c r="AD10">
        <f>IF([2]Entry!$L$13="","",[2]Entry!$L$13)</f>
        <v/>
      </c>
      <c r="AE10">
        <f>IF([2]Entry!$M$13="","",[2]Entry!$M$13)</f>
        <v/>
      </c>
      <c r="AF10">
        <f>IF([2]Entry!$N$13="","",[2]Entry!$N$13)</f>
        <v/>
      </c>
      <c r="AG10">
        <f>IF([3]Issues!$B$13="","",[3]Issues!$B$13)</f>
        <v/>
      </c>
      <c r="AH10">
        <f>IF([3]Issues!$D$13="","",[3]Issues!$D$13)</f>
        <v/>
      </c>
      <c r="AI10">
        <f>IF([3]Issues!$E$13="","",[3]Issues!$E$13)</f>
        <v/>
      </c>
      <c r="AJ10">
        <f>IF([2]Entry!$S$13="","",[2]Entry!$S$13)</f>
        <v/>
      </c>
      <c r="AK10">
        <f>IF([2]Entry!$C$13="","",[2]Entry!$C$13)</f>
        <v/>
      </c>
      <c r="AL10">
        <f>IF([2]Entry!$D$13="","",[2]Entry!$D$13)</f>
        <v/>
      </c>
      <c r="AM10">
        <f>IF(AND($F10&lt;&gt;"",$I10&lt;&gt;""),IF($G10="دارایی ثابت",1,0),0)</f>
        <v/>
      </c>
      <c r="AN10">
        <f>SUM($AM$6:$AM10)</f>
        <v/>
      </c>
      <c r="AO10">
        <f>IFERROR(INDEX($F$6:$F$565,MATCH(ROW()-5,$AN$6:$AN$565,0)),"")</f>
        <v/>
      </c>
      <c r="AP10">
        <f>IF(AND($F10&lt;&gt;"",$I10&lt;&gt;""),IF($G10="وام و تسهیلات",1,0),0)</f>
        <v/>
      </c>
      <c r="AQ10">
        <f>SUM($AP$6:$AP10)</f>
        <v/>
      </c>
      <c r="AR10">
        <f>IFERROR(INDEX($F$6:$F$565,MATCH(ROW()-5,$AQ$6:$AQ$565,0)),"")</f>
        <v/>
      </c>
      <c r="AS10">
        <f>IF(AND($F10&lt;&gt;"",$I10&lt;&gt;""),IF($G10="سرمایه و آورده صاحبان",1,0),0)</f>
        <v/>
      </c>
      <c r="AT10">
        <f>SUM($AS$6:$AS10)</f>
        <v/>
      </c>
      <c r="AU10">
        <f>IFERROR(INDEX($F$6:$F$565,MATCH(ROW()-5,$AT$6:$AT$565,0)),"")</f>
        <v/>
      </c>
      <c r="AW10">
        <f>IF([3]Issues!$C$13="","",[3]Issues!$C$13)</f>
        <v/>
      </c>
      <c r="AX10">
        <f>IF([4]Entry!$E$13="","",[4]Entry!$E$13)</f>
        <v/>
      </c>
      <c r="AY10">
        <f>IF([4]Entry!$H$13="","",[4]Entry!$H$13)</f>
        <v/>
      </c>
      <c r="AZ10">
        <f>IF([4]Entry!$I$13="","",[4]Entry!$I$13)</f>
        <v/>
      </c>
    </row>
    <row r="11">
      <c r="A11">
        <f>IF([1]Banks!$B$12="","",[1]Banks!$A$12)</f>
        <v/>
      </c>
      <c r="B11">
        <f>IF([1]Banks!$B$12="","",[1]Banks!$B$12)</f>
        <v/>
      </c>
      <c r="C11">
        <f>IF([1]Banks!$B$12="","",[1]Banks!$C$12)</f>
        <v/>
      </c>
      <c r="D11">
        <f>IF([1]Banks!$B$12="","",[1]Banks!$D$12)</f>
        <v/>
      </c>
      <c r="F11">
        <f>IF([1]Accounts!$D$12="","",[1]Accounts!$A$12)</f>
        <v/>
      </c>
      <c r="G11">
        <f>IF([1]Accounts!$D$12="","",[1]Accounts!$B$12)</f>
        <v/>
      </c>
      <c r="H11">
        <f>IF([1]Accounts!$D$12="","",[1]Accounts!$C$12)</f>
        <v/>
      </c>
      <c r="I11">
        <f>IF([1]Accounts!$D$12="","",[1]Accounts!$D$12)</f>
        <v/>
      </c>
      <c r="K11">
        <f>IF([1]SubGroups!$C$12="","",[1]SubGroups!$A$12)</f>
        <v/>
      </c>
      <c r="L11">
        <f>IF([1]SubGroups!$C$12="","",[1]SubGroups!$B$12)</f>
        <v/>
      </c>
      <c r="M11">
        <f>IF([1]SubGroups!$C$12="","",[1]SubGroups!$C$12)</f>
        <v/>
      </c>
      <c r="N11">
        <f>IF([1]SubGroups!$C$12="","",[1]SubGroups!$D$12)</f>
        <v/>
      </c>
      <c r="R11">
        <f>IF(AND($F11&lt;&gt;"",$I11&lt;&gt;""),IF(OR($G11="دارایی ثابت",$G11="وام و تسهیلات",$G11="سرمایه و آورده صاحبان"),0,1),0)</f>
        <v/>
      </c>
      <c r="S11">
        <f>SUM($R$6:$R11)</f>
        <v/>
      </c>
      <c r="T11">
        <f>IFERROR(INDEX($F$6:$F$565,MATCH(ROW()-5,$S$6:$S$565,0)),"")</f>
        <v/>
      </c>
      <c r="V11">
        <f>IF(AND($K11&lt;&gt;"",$M11&lt;&gt;""),$L11="هزینه",0)*1</f>
        <v/>
      </c>
      <c r="W11">
        <f>SUM($V$6:$V11)</f>
        <v/>
      </c>
      <c r="X11">
        <f>IFERROR(INDEX($M$6:$M$105,MATCH(ROW()-5,$W$6:$W$105,0)),"")</f>
        <v/>
      </c>
      <c r="Z11">
        <f>IF([2]Entry!$E$14="","",[2]Entry!$E$14)</f>
        <v/>
      </c>
      <c r="AA11">
        <f>IF([2]Entry!$G$14="","",[2]Entry!$G$14)</f>
        <v/>
      </c>
      <c r="AB11">
        <f>IF([2]Entry!$J$14="","",[2]Entry!$J$14)</f>
        <v/>
      </c>
      <c r="AC11">
        <f>IF([2]Entry!$K$14="","",[2]Entry!$K$14)</f>
        <v/>
      </c>
      <c r="AD11">
        <f>IF([2]Entry!$L$14="","",[2]Entry!$L$14)</f>
        <v/>
      </c>
      <c r="AE11">
        <f>IF([2]Entry!$M$14="","",[2]Entry!$M$14)</f>
        <v/>
      </c>
      <c r="AF11">
        <f>IF([2]Entry!$N$14="","",[2]Entry!$N$14)</f>
        <v/>
      </c>
      <c r="AG11">
        <f>IF([3]Issues!$B$14="","",[3]Issues!$B$14)</f>
        <v/>
      </c>
      <c r="AH11">
        <f>IF([3]Issues!$D$14="","",[3]Issues!$D$14)</f>
        <v/>
      </c>
      <c r="AI11">
        <f>IF([3]Issues!$E$14="","",[3]Issues!$E$14)</f>
        <v/>
      </c>
      <c r="AJ11">
        <f>IF([2]Entry!$S$14="","",[2]Entry!$S$14)</f>
        <v/>
      </c>
      <c r="AK11">
        <f>IF([2]Entry!$C$14="","",[2]Entry!$C$14)</f>
        <v/>
      </c>
      <c r="AL11">
        <f>IF([2]Entry!$D$14="","",[2]Entry!$D$14)</f>
        <v/>
      </c>
      <c r="AM11">
        <f>IF(AND($F11&lt;&gt;"",$I11&lt;&gt;""),IF($G11="دارایی ثابت",1,0),0)</f>
        <v/>
      </c>
      <c r="AN11">
        <f>SUM($AM$6:$AM11)</f>
        <v/>
      </c>
      <c r="AO11">
        <f>IFERROR(INDEX($F$6:$F$565,MATCH(ROW()-5,$AN$6:$AN$565,0)),"")</f>
        <v/>
      </c>
      <c r="AP11">
        <f>IF(AND($F11&lt;&gt;"",$I11&lt;&gt;""),IF($G11="وام و تسهیلات",1,0),0)</f>
        <v/>
      </c>
      <c r="AQ11">
        <f>SUM($AP$6:$AP11)</f>
        <v/>
      </c>
      <c r="AR11">
        <f>IFERROR(INDEX($F$6:$F$565,MATCH(ROW()-5,$AQ$6:$AQ$565,0)),"")</f>
        <v/>
      </c>
      <c r="AS11">
        <f>IF(AND($F11&lt;&gt;"",$I11&lt;&gt;""),IF($G11="سرمایه و آورده صاحبان",1,0),0)</f>
        <v/>
      </c>
      <c r="AT11">
        <f>SUM($AS$6:$AS11)</f>
        <v/>
      </c>
      <c r="AU11">
        <f>IFERROR(INDEX($F$6:$F$565,MATCH(ROW()-5,$AT$6:$AT$565,0)),"")</f>
        <v/>
      </c>
      <c r="AW11">
        <f>IF([3]Issues!$C$14="","",[3]Issues!$C$14)</f>
        <v/>
      </c>
      <c r="AX11">
        <f>IF([4]Entry!$E$14="","",[4]Entry!$E$14)</f>
        <v/>
      </c>
      <c r="AY11">
        <f>IF([4]Entry!$H$14="","",[4]Entry!$H$14)</f>
        <v/>
      </c>
      <c r="AZ11">
        <f>IF([4]Entry!$I$14="","",[4]Entry!$I$14)</f>
        <v/>
      </c>
    </row>
    <row r="12">
      <c r="A12">
        <f>IF([1]Banks!$B$13="","",[1]Banks!$A$13)</f>
        <v/>
      </c>
      <c r="B12">
        <f>IF([1]Banks!$B$13="","",[1]Banks!$B$13)</f>
        <v/>
      </c>
      <c r="C12">
        <f>IF([1]Banks!$B$13="","",[1]Banks!$C$13)</f>
        <v/>
      </c>
      <c r="D12">
        <f>IF([1]Banks!$B$13="","",[1]Banks!$D$13)</f>
        <v/>
      </c>
      <c r="F12">
        <f>IF([1]Accounts!$D$13="","",[1]Accounts!$A$13)</f>
        <v/>
      </c>
      <c r="G12">
        <f>IF([1]Accounts!$D$13="","",[1]Accounts!$B$13)</f>
        <v/>
      </c>
      <c r="H12">
        <f>IF([1]Accounts!$D$13="","",[1]Accounts!$C$13)</f>
        <v/>
      </c>
      <c r="I12">
        <f>IF([1]Accounts!$D$13="","",[1]Accounts!$D$13)</f>
        <v/>
      </c>
      <c r="K12">
        <f>IF([1]SubGroups!$C$13="","",[1]SubGroups!$A$13)</f>
        <v/>
      </c>
      <c r="L12">
        <f>IF([1]SubGroups!$C$13="","",[1]SubGroups!$B$13)</f>
        <v/>
      </c>
      <c r="M12">
        <f>IF([1]SubGroups!$C$13="","",[1]SubGroups!$C$13)</f>
        <v/>
      </c>
      <c r="N12">
        <f>IF([1]SubGroups!$C$13="","",[1]SubGroups!$D$13)</f>
        <v/>
      </c>
      <c r="R12">
        <f>IF(AND($F12&lt;&gt;"",$I12&lt;&gt;""),IF(OR($G12="دارایی ثابت",$G12="وام و تسهیلات",$G12="سرمایه و آورده صاحبان"),0,1),0)</f>
        <v/>
      </c>
      <c r="S12">
        <f>SUM($R$6:$R12)</f>
        <v/>
      </c>
      <c r="T12">
        <f>IFERROR(INDEX($F$6:$F$565,MATCH(ROW()-5,$S$6:$S$565,0)),"")</f>
        <v/>
      </c>
      <c r="V12">
        <f>IF(AND($K12&lt;&gt;"",$M12&lt;&gt;""),$L12="هزینه",0)*1</f>
        <v/>
      </c>
      <c r="W12">
        <f>SUM($V$6:$V12)</f>
        <v/>
      </c>
      <c r="X12">
        <f>IFERROR(INDEX($M$6:$M$105,MATCH(ROW()-5,$W$6:$W$105,0)),"")</f>
        <v/>
      </c>
      <c r="Z12">
        <f>IF([2]Entry!$E$15="","",[2]Entry!$E$15)</f>
        <v/>
      </c>
      <c r="AA12">
        <f>IF([2]Entry!$G$15="","",[2]Entry!$G$15)</f>
        <v/>
      </c>
      <c r="AB12">
        <f>IF([2]Entry!$J$15="","",[2]Entry!$J$15)</f>
        <v/>
      </c>
      <c r="AC12">
        <f>IF([2]Entry!$K$15="","",[2]Entry!$K$15)</f>
        <v/>
      </c>
      <c r="AD12">
        <f>IF([2]Entry!$L$15="","",[2]Entry!$L$15)</f>
        <v/>
      </c>
      <c r="AE12">
        <f>IF([2]Entry!$M$15="","",[2]Entry!$M$15)</f>
        <v/>
      </c>
      <c r="AF12">
        <f>IF([2]Entry!$N$15="","",[2]Entry!$N$15)</f>
        <v/>
      </c>
      <c r="AG12">
        <f>IF([3]Issues!$B$15="","",[3]Issues!$B$15)</f>
        <v/>
      </c>
      <c r="AH12">
        <f>IF([3]Issues!$D$15="","",[3]Issues!$D$15)</f>
        <v/>
      </c>
      <c r="AI12">
        <f>IF([3]Issues!$E$15="","",[3]Issues!$E$15)</f>
        <v/>
      </c>
      <c r="AJ12">
        <f>IF([2]Entry!$S$15="","",[2]Entry!$S$15)</f>
        <v/>
      </c>
      <c r="AK12">
        <f>IF([2]Entry!$C$15="","",[2]Entry!$C$15)</f>
        <v/>
      </c>
      <c r="AL12">
        <f>IF([2]Entry!$D$15="","",[2]Entry!$D$15)</f>
        <v/>
      </c>
      <c r="AM12">
        <f>IF(AND($F12&lt;&gt;"",$I12&lt;&gt;""),IF($G12="دارایی ثابت",1,0),0)</f>
        <v/>
      </c>
      <c r="AN12">
        <f>SUM($AM$6:$AM12)</f>
        <v/>
      </c>
      <c r="AO12">
        <f>IFERROR(INDEX($F$6:$F$565,MATCH(ROW()-5,$AN$6:$AN$565,0)),"")</f>
        <v/>
      </c>
      <c r="AP12">
        <f>IF(AND($F12&lt;&gt;"",$I12&lt;&gt;""),IF($G12="وام و تسهیلات",1,0),0)</f>
        <v/>
      </c>
      <c r="AQ12">
        <f>SUM($AP$6:$AP12)</f>
        <v/>
      </c>
      <c r="AR12">
        <f>IFERROR(INDEX($F$6:$F$565,MATCH(ROW()-5,$AQ$6:$AQ$565,0)),"")</f>
        <v/>
      </c>
      <c r="AS12">
        <f>IF(AND($F12&lt;&gt;"",$I12&lt;&gt;""),IF($G12="سرمایه و آورده صاحبان",1,0),0)</f>
        <v/>
      </c>
      <c r="AT12">
        <f>SUM($AS$6:$AS12)</f>
        <v/>
      </c>
      <c r="AU12">
        <f>IFERROR(INDEX($F$6:$F$565,MATCH(ROW()-5,$AT$6:$AT$565,0)),"")</f>
        <v/>
      </c>
      <c r="AW12">
        <f>IF([3]Issues!$C$15="","",[3]Issues!$C$15)</f>
        <v/>
      </c>
      <c r="AX12">
        <f>IF([4]Entry!$E$15="","",[4]Entry!$E$15)</f>
        <v/>
      </c>
      <c r="AY12">
        <f>IF([4]Entry!$H$15="","",[4]Entry!$H$15)</f>
        <v/>
      </c>
      <c r="AZ12">
        <f>IF([4]Entry!$I$15="","",[4]Entry!$I$15)</f>
        <v/>
      </c>
    </row>
    <row r="13">
      <c r="A13">
        <f>IF([1]Banks!$B$14="","",[1]Banks!$A$14)</f>
        <v/>
      </c>
      <c r="B13">
        <f>IF([1]Banks!$B$14="","",[1]Banks!$B$14)</f>
        <v/>
      </c>
      <c r="C13">
        <f>IF([1]Banks!$B$14="","",[1]Banks!$C$14)</f>
        <v/>
      </c>
      <c r="D13">
        <f>IF([1]Banks!$B$14="","",[1]Banks!$D$14)</f>
        <v/>
      </c>
      <c r="F13">
        <f>IF([1]Accounts!$D$14="","",[1]Accounts!$A$14)</f>
        <v/>
      </c>
      <c r="G13">
        <f>IF([1]Accounts!$D$14="","",[1]Accounts!$B$14)</f>
        <v/>
      </c>
      <c r="H13">
        <f>IF([1]Accounts!$D$14="","",[1]Accounts!$C$14)</f>
        <v/>
      </c>
      <c r="I13">
        <f>IF([1]Accounts!$D$14="","",[1]Accounts!$D$14)</f>
        <v/>
      </c>
      <c r="K13">
        <f>IF([1]SubGroups!$C$14="","",[1]SubGroups!$A$14)</f>
        <v/>
      </c>
      <c r="L13">
        <f>IF([1]SubGroups!$C$14="","",[1]SubGroups!$B$14)</f>
        <v/>
      </c>
      <c r="M13">
        <f>IF([1]SubGroups!$C$14="","",[1]SubGroups!$C$14)</f>
        <v/>
      </c>
      <c r="N13">
        <f>IF([1]SubGroups!$C$14="","",[1]SubGroups!$D$14)</f>
        <v/>
      </c>
      <c r="R13">
        <f>IF(AND($F13&lt;&gt;"",$I13&lt;&gt;""),IF(OR($G13="دارایی ثابت",$G13="وام و تسهیلات",$G13="سرمایه و آورده صاحبان"),0,1),0)</f>
        <v/>
      </c>
      <c r="S13">
        <f>SUM($R$6:$R13)</f>
        <v/>
      </c>
      <c r="T13">
        <f>IFERROR(INDEX($F$6:$F$565,MATCH(ROW()-5,$S$6:$S$565,0)),"")</f>
        <v/>
      </c>
      <c r="V13">
        <f>IF(AND($K13&lt;&gt;"",$M13&lt;&gt;""),$L13="هزینه",0)*1</f>
        <v/>
      </c>
      <c r="W13">
        <f>SUM($V$6:$V13)</f>
        <v/>
      </c>
      <c r="X13">
        <f>IFERROR(INDEX($M$6:$M$105,MATCH(ROW()-5,$W$6:$W$105,0)),"")</f>
        <v/>
      </c>
      <c r="Z13">
        <f>IF([2]Entry!$E$16="","",[2]Entry!$E$16)</f>
        <v/>
      </c>
      <c r="AA13">
        <f>IF([2]Entry!$G$16="","",[2]Entry!$G$16)</f>
        <v/>
      </c>
      <c r="AB13">
        <f>IF([2]Entry!$J$16="","",[2]Entry!$J$16)</f>
        <v/>
      </c>
      <c r="AC13">
        <f>IF([2]Entry!$K$16="","",[2]Entry!$K$16)</f>
        <v/>
      </c>
      <c r="AD13">
        <f>IF([2]Entry!$L$16="","",[2]Entry!$L$16)</f>
        <v/>
      </c>
      <c r="AE13">
        <f>IF([2]Entry!$M$16="","",[2]Entry!$M$16)</f>
        <v/>
      </c>
      <c r="AF13">
        <f>IF([2]Entry!$N$16="","",[2]Entry!$N$16)</f>
        <v/>
      </c>
      <c r="AG13">
        <f>IF([3]Issues!$B$16="","",[3]Issues!$B$16)</f>
        <v/>
      </c>
      <c r="AH13">
        <f>IF([3]Issues!$D$16="","",[3]Issues!$D$16)</f>
        <v/>
      </c>
      <c r="AI13">
        <f>IF([3]Issues!$E$16="","",[3]Issues!$E$16)</f>
        <v/>
      </c>
      <c r="AJ13">
        <f>IF([2]Entry!$S$16="","",[2]Entry!$S$16)</f>
        <v/>
      </c>
      <c r="AK13">
        <f>IF([2]Entry!$C$16="","",[2]Entry!$C$16)</f>
        <v/>
      </c>
      <c r="AL13">
        <f>IF([2]Entry!$D$16="","",[2]Entry!$D$16)</f>
        <v/>
      </c>
      <c r="AM13">
        <f>IF(AND($F13&lt;&gt;"",$I13&lt;&gt;""),IF($G13="دارایی ثابت",1,0),0)</f>
        <v/>
      </c>
      <c r="AN13">
        <f>SUM($AM$6:$AM13)</f>
        <v/>
      </c>
      <c r="AO13">
        <f>IFERROR(INDEX($F$6:$F$565,MATCH(ROW()-5,$AN$6:$AN$565,0)),"")</f>
        <v/>
      </c>
      <c r="AP13">
        <f>IF(AND($F13&lt;&gt;"",$I13&lt;&gt;""),IF($G13="وام و تسهیلات",1,0),0)</f>
        <v/>
      </c>
      <c r="AQ13">
        <f>SUM($AP$6:$AP13)</f>
        <v/>
      </c>
      <c r="AR13">
        <f>IFERROR(INDEX($F$6:$F$565,MATCH(ROW()-5,$AQ$6:$AQ$565,0)),"")</f>
        <v/>
      </c>
      <c r="AS13">
        <f>IF(AND($F13&lt;&gt;"",$I13&lt;&gt;""),IF($G13="سرمایه و آورده صاحبان",1,0),0)</f>
        <v/>
      </c>
      <c r="AT13">
        <f>SUM($AS$6:$AS13)</f>
        <v/>
      </c>
      <c r="AU13">
        <f>IFERROR(INDEX($F$6:$F$565,MATCH(ROW()-5,$AT$6:$AT$565,0)),"")</f>
        <v/>
      </c>
      <c r="AW13">
        <f>IF([3]Issues!$C$16="","",[3]Issues!$C$16)</f>
        <v/>
      </c>
      <c r="AX13">
        <f>IF([4]Entry!$E$16="","",[4]Entry!$E$16)</f>
        <v/>
      </c>
      <c r="AY13">
        <f>IF([4]Entry!$H$16="","",[4]Entry!$H$16)</f>
        <v/>
      </c>
      <c r="AZ13">
        <f>IF([4]Entry!$I$16="","",[4]Entry!$I$16)</f>
        <v/>
      </c>
    </row>
    <row r="14">
      <c r="A14">
        <f>IF([1]Banks!$B$15="","",[1]Banks!$A$15)</f>
        <v/>
      </c>
      <c r="B14">
        <f>IF([1]Banks!$B$15="","",[1]Banks!$B$15)</f>
        <v/>
      </c>
      <c r="C14">
        <f>IF([1]Banks!$B$15="","",[1]Banks!$C$15)</f>
        <v/>
      </c>
      <c r="D14">
        <f>IF([1]Banks!$B$15="","",[1]Banks!$D$15)</f>
        <v/>
      </c>
      <c r="F14">
        <f>IF([1]Accounts!$D$15="","",[1]Accounts!$A$15)</f>
        <v/>
      </c>
      <c r="G14">
        <f>IF([1]Accounts!$D$15="","",[1]Accounts!$B$15)</f>
        <v/>
      </c>
      <c r="H14">
        <f>IF([1]Accounts!$D$15="","",[1]Accounts!$C$15)</f>
        <v/>
      </c>
      <c r="I14">
        <f>IF([1]Accounts!$D$15="","",[1]Accounts!$D$15)</f>
        <v/>
      </c>
      <c r="K14">
        <f>IF([1]SubGroups!$C$15="","",[1]SubGroups!$A$15)</f>
        <v/>
      </c>
      <c r="L14">
        <f>IF([1]SubGroups!$C$15="","",[1]SubGroups!$B$15)</f>
        <v/>
      </c>
      <c r="M14">
        <f>IF([1]SubGroups!$C$15="","",[1]SubGroups!$C$15)</f>
        <v/>
      </c>
      <c r="N14">
        <f>IF([1]SubGroups!$C$15="","",[1]SubGroups!$D$15)</f>
        <v/>
      </c>
      <c r="R14">
        <f>IF(AND($F14&lt;&gt;"",$I14&lt;&gt;""),IF(OR($G14="دارایی ثابت",$G14="وام و تسهیلات",$G14="سرمایه و آورده صاحبان"),0,1),0)</f>
        <v/>
      </c>
      <c r="S14">
        <f>SUM($R$6:$R14)</f>
        <v/>
      </c>
      <c r="T14">
        <f>IFERROR(INDEX($F$6:$F$565,MATCH(ROW()-5,$S$6:$S$565,0)),"")</f>
        <v/>
      </c>
      <c r="V14">
        <f>IF(AND($K14&lt;&gt;"",$M14&lt;&gt;""),$L14="هزینه",0)*1</f>
        <v/>
      </c>
      <c r="W14">
        <f>SUM($V$6:$V14)</f>
        <v/>
      </c>
      <c r="X14">
        <f>IFERROR(INDEX($M$6:$M$105,MATCH(ROW()-5,$W$6:$W$105,0)),"")</f>
        <v/>
      </c>
      <c r="Z14">
        <f>IF([2]Entry!$E$17="","",[2]Entry!$E$17)</f>
        <v/>
      </c>
      <c r="AA14">
        <f>IF([2]Entry!$G$17="","",[2]Entry!$G$17)</f>
        <v/>
      </c>
      <c r="AB14">
        <f>IF([2]Entry!$J$17="","",[2]Entry!$J$17)</f>
        <v/>
      </c>
      <c r="AC14">
        <f>IF([2]Entry!$K$17="","",[2]Entry!$K$17)</f>
        <v/>
      </c>
      <c r="AD14">
        <f>IF([2]Entry!$L$17="","",[2]Entry!$L$17)</f>
        <v/>
      </c>
      <c r="AE14">
        <f>IF([2]Entry!$M$17="","",[2]Entry!$M$17)</f>
        <v/>
      </c>
      <c r="AF14">
        <f>IF([2]Entry!$N$17="","",[2]Entry!$N$17)</f>
        <v/>
      </c>
      <c r="AG14">
        <f>IF([3]Issues!$B$17="","",[3]Issues!$B$17)</f>
        <v/>
      </c>
      <c r="AH14">
        <f>IF([3]Issues!$D$17="","",[3]Issues!$D$17)</f>
        <v/>
      </c>
      <c r="AI14">
        <f>IF([3]Issues!$E$17="","",[3]Issues!$E$17)</f>
        <v/>
      </c>
      <c r="AJ14">
        <f>IF([2]Entry!$S$17="","",[2]Entry!$S$17)</f>
        <v/>
      </c>
      <c r="AK14">
        <f>IF([2]Entry!$C$17="","",[2]Entry!$C$17)</f>
        <v/>
      </c>
      <c r="AL14">
        <f>IF([2]Entry!$D$17="","",[2]Entry!$D$17)</f>
        <v/>
      </c>
      <c r="AM14">
        <f>IF(AND($F14&lt;&gt;"",$I14&lt;&gt;""),IF($G14="دارایی ثابت",1,0),0)</f>
        <v/>
      </c>
      <c r="AN14">
        <f>SUM($AM$6:$AM14)</f>
        <v/>
      </c>
      <c r="AO14">
        <f>IFERROR(INDEX($F$6:$F$565,MATCH(ROW()-5,$AN$6:$AN$565,0)),"")</f>
        <v/>
      </c>
      <c r="AP14">
        <f>IF(AND($F14&lt;&gt;"",$I14&lt;&gt;""),IF($G14="وام و تسهیلات",1,0),0)</f>
        <v/>
      </c>
      <c r="AQ14">
        <f>SUM($AP$6:$AP14)</f>
        <v/>
      </c>
      <c r="AR14">
        <f>IFERROR(INDEX($F$6:$F$565,MATCH(ROW()-5,$AQ$6:$AQ$565,0)),"")</f>
        <v/>
      </c>
      <c r="AS14">
        <f>IF(AND($F14&lt;&gt;"",$I14&lt;&gt;""),IF($G14="سرمایه و آورده صاحبان",1,0),0)</f>
        <v/>
      </c>
      <c r="AT14">
        <f>SUM($AS$6:$AS14)</f>
        <v/>
      </c>
      <c r="AU14">
        <f>IFERROR(INDEX($F$6:$F$565,MATCH(ROW()-5,$AT$6:$AT$565,0)),"")</f>
        <v/>
      </c>
      <c r="AW14">
        <f>IF([3]Issues!$C$17="","",[3]Issues!$C$17)</f>
        <v/>
      </c>
      <c r="AX14">
        <f>IF([4]Entry!$E$17="","",[4]Entry!$E$17)</f>
        <v/>
      </c>
      <c r="AY14">
        <f>IF([4]Entry!$H$17="","",[4]Entry!$H$17)</f>
        <v/>
      </c>
      <c r="AZ14">
        <f>IF([4]Entry!$I$17="","",[4]Entry!$I$17)</f>
        <v/>
      </c>
    </row>
    <row r="15">
      <c r="A15">
        <f>IF([1]Banks!$B$16="","",[1]Banks!$A$16)</f>
        <v/>
      </c>
      <c r="B15">
        <f>IF([1]Banks!$B$16="","",[1]Banks!$B$16)</f>
        <v/>
      </c>
      <c r="C15">
        <f>IF([1]Banks!$B$16="","",[1]Banks!$C$16)</f>
        <v/>
      </c>
      <c r="D15">
        <f>IF([1]Banks!$B$16="","",[1]Banks!$D$16)</f>
        <v/>
      </c>
      <c r="F15">
        <f>IF([1]Accounts!$D$16="","",[1]Accounts!$A$16)</f>
        <v/>
      </c>
      <c r="G15">
        <f>IF([1]Accounts!$D$16="","",[1]Accounts!$B$16)</f>
        <v/>
      </c>
      <c r="H15">
        <f>IF([1]Accounts!$D$16="","",[1]Accounts!$C$16)</f>
        <v/>
      </c>
      <c r="I15">
        <f>IF([1]Accounts!$D$16="","",[1]Accounts!$D$16)</f>
        <v/>
      </c>
      <c r="K15">
        <f>IF([1]SubGroups!$C$16="","",[1]SubGroups!$A$16)</f>
        <v/>
      </c>
      <c r="L15">
        <f>IF([1]SubGroups!$C$16="","",[1]SubGroups!$B$16)</f>
        <v/>
      </c>
      <c r="M15">
        <f>IF([1]SubGroups!$C$16="","",[1]SubGroups!$C$16)</f>
        <v/>
      </c>
      <c r="N15">
        <f>IF([1]SubGroups!$C$16="","",[1]SubGroups!$D$16)</f>
        <v/>
      </c>
      <c r="R15">
        <f>IF(AND($F15&lt;&gt;"",$I15&lt;&gt;""),IF(OR($G15="دارایی ثابت",$G15="وام و تسهیلات",$G15="سرمایه و آورده صاحبان"),0,1),0)</f>
        <v/>
      </c>
      <c r="S15">
        <f>SUM($R$6:$R15)</f>
        <v/>
      </c>
      <c r="T15">
        <f>IFERROR(INDEX($F$6:$F$565,MATCH(ROW()-5,$S$6:$S$565,0)),"")</f>
        <v/>
      </c>
      <c r="V15">
        <f>IF(AND($K15&lt;&gt;"",$M15&lt;&gt;""),$L15="هزینه",0)*1</f>
        <v/>
      </c>
      <c r="W15">
        <f>SUM($V$6:$V15)</f>
        <v/>
      </c>
      <c r="X15">
        <f>IFERROR(INDEX($M$6:$M$105,MATCH(ROW()-5,$W$6:$W$105,0)),"")</f>
        <v/>
      </c>
      <c r="Z15">
        <f>IF([2]Entry!$E$18="","",[2]Entry!$E$18)</f>
        <v/>
      </c>
      <c r="AA15">
        <f>IF([2]Entry!$G$18="","",[2]Entry!$G$18)</f>
        <v/>
      </c>
      <c r="AB15">
        <f>IF([2]Entry!$J$18="","",[2]Entry!$J$18)</f>
        <v/>
      </c>
      <c r="AC15">
        <f>IF([2]Entry!$K$18="","",[2]Entry!$K$18)</f>
        <v/>
      </c>
      <c r="AD15">
        <f>IF([2]Entry!$L$18="","",[2]Entry!$L$18)</f>
        <v/>
      </c>
      <c r="AE15">
        <f>IF([2]Entry!$M$18="","",[2]Entry!$M$18)</f>
        <v/>
      </c>
      <c r="AF15">
        <f>IF([2]Entry!$N$18="","",[2]Entry!$N$18)</f>
        <v/>
      </c>
      <c r="AG15">
        <f>IF([3]Issues!$B$18="","",[3]Issues!$B$18)</f>
        <v/>
      </c>
      <c r="AH15">
        <f>IF([3]Issues!$D$18="","",[3]Issues!$D$18)</f>
        <v/>
      </c>
      <c r="AI15">
        <f>IF([3]Issues!$E$18="","",[3]Issues!$E$18)</f>
        <v/>
      </c>
      <c r="AJ15">
        <f>IF([2]Entry!$S$18="","",[2]Entry!$S$18)</f>
        <v/>
      </c>
      <c r="AK15">
        <f>IF([2]Entry!$C$18="","",[2]Entry!$C$18)</f>
        <v/>
      </c>
      <c r="AL15">
        <f>IF([2]Entry!$D$18="","",[2]Entry!$D$18)</f>
        <v/>
      </c>
      <c r="AM15">
        <f>IF(AND($F15&lt;&gt;"",$I15&lt;&gt;""),IF($G15="دارایی ثابت",1,0),0)</f>
        <v/>
      </c>
      <c r="AN15">
        <f>SUM($AM$6:$AM15)</f>
        <v/>
      </c>
      <c r="AO15">
        <f>IFERROR(INDEX($F$6:$F$565,MATCH(ROW()-5,$AN$6:$AN$565,0)),"")</f>
        <v/>
      </c>
      <c r="AP15">
        <f>IF(AND($F15&lt;&gt;"",$I15&lt;&gt;""),IF($G15="وام و تسهیلات",1,0),0)</f>
        <v/>
      </c>
      <c r="AQ15">
        <f>SUM($AP$6:$AP15)</f>
        <v/>
      </c>
      <c r="AR15">
        <f>IFERROR(INDEX($F$6:$F$565,MATCH(ROW()-5,$AQ$6:$AQ$565,0)),"")</f>
        <v/>
      </c>
      <c r="AS15">
        <f>IF(AND($F15&lt;&gt;"",$I15&lt;&gt;""),IF($G15="سرمایه و آورده صاحبان",1,0),0)</f>
        <v/>
      </c>
      <c r="AT15">
        <f>SUM($AS$6:$AS15)</f>
        <v/>
      </c>
      <c r="AU15">
        <f>IFERROR(INDEX($F$6:$F$565,MATCH(ROW()-5,$AT$6:$AT$565,0)),"")</f>
        <v/>
      </c>
      <c r="AW15">
        <f>IF([3]Issues!$C$18="","",[3]Issues!$C$18)</f>
        <v/>
      </c>
      <c r="AX15">
        <f>IF([4]Entry!$E$18="","",[4]Entry!$E$18)</f>
        <v/>
      </c>
      <c r="AY15">
        <f>IF([4]Entry!$H$18="","",[4]Entry!$H$18)</f>
        <v/>
      </c>
      <c r="AZ15">
        <f>IF([4]Entry!$I$18="","",[4]Entry!$I$18)</f>
        <v/>
      </c>
    </row>
    <row r="16">
      <c r="F16">
        <f>IF([1]Accounts!$D$17="","",[1]Accounts!$A$17)</f>
        <v/>
      </c>
      <c r="G16">
        <f>IF([1]Accounts!$D$17="","",[1]Accounts!$B$17)</f>
        <v/>
      </c>
      <c r="H16">
        <f>IF([1]Accounts!$D$17="","",[1]Accounts!$C$17)</f>
        <v/>
      </c>
      <c r="I16">
        <f>IF([1]Accounts!$D$17="","",[1]Accounts!$D$17)</f>
        <v/>
      </c>
      <c r="K16">
        <f>IF([1]SubGroups!$C$17="","",[1]SubGroups!$A$17)</f>
        <v/>
      </c>
      <c r="L16">
        <f>IF([1]SubGroups!$C$17="","",[1]SubGroups!$B$17)</f>
        <v/>
      </c>
      <c r="M16">
        <f>IF([1]SubGroups!$C$17="","",[1]SubGroups!$C$17)</f>
        <v/>
      </c>
      <c r="N16">
        <f>IF([1]SubGroups!$C$17="","",[1]SubGroups!$D$17)</f>
        <v/>
      </c>
      <c r="R16">
        <f>IF(AND($F16&lt;&gt;"",$I16&lt;&gt;""),IF(OR($G16="دارایی ثابت",$G16="وام و تسهیلات",$G16="سرمایه و آورده صاحبان"),0,1),0)</f>
        <v/>
      </c>
      <c r="S16">
        <f>SUM($R$6:$R16)</f>
        <v/>
      </c>
      <c r="T16">
        <f>IFERROR(INDEX($F$6:$F$565,MATCH(ROW()-5,$S$6:$S$565,0)),"")</f>
        <v/>
      </c>
      <c r="V16">
        <f>IF(AND($K16&lt;&gt;"",$M16&lt;&gt;""),$L16="هزینه",0)*1</f>
        <v/>
      </c>
      <c r="W16">
        <f>SUM($V$6:$V16)</f>
        <v/>
      </c>
      <c r="X16">
        <f>IFERROR(INDEX($M$6:$M$105,MATCH(ROW()-5,$W$6:$W$105,0)),"")</f>
        <v/>
      </c>
      <c r="Z16">
        <f>IF([2]Entry!$E$19="","",[2]Entry!$E$19)</f>
        <v/>
      </c>
      <c r="AA16">
        <f>IF([2]Entry!$G$19="","",[2]Entry!$G$19)</f>
        <v/>
      </c>
      <c r="AB16">
        <f>IF([2]Entry!$J$19="","",[2]Entry!$J$19)</f>
        <v/>
      </c>
      <c r="AC16">
        <f>IF([2]Entry!$K$19="","",[2]Entry!$K$19)</f>
        <v/>
      </c>
      <c r="AD16">
        <f>IF([2]Entry!$L$19="","",[2]Entry!$L$19)</f>
        <v/>
      </c>
      <c r="AE16">
        <f>IF([2]Entry!$M$19="","",[2]Entry!$M$19)</f>
        <v/>
      </c>
      <c r="AF16">
        <f>IF([2]Entry!$N$19="","",[2]Entry!$N$19)</f>
        <v/>
      </c>
      <c r="AG16">
        <f>IF([3]Issues!$B$19="","",[3]Issues!$B$19)</f>
        <v/>
      </c>
      <c r="AH16">
        <f>IF([3]Issues!$D$19="","",[3]Issues!$D$19)</f>
        <v/>
      </c>
      <c r="AI16">
        <f>IF([3]Issues!$E$19="","",[3]Issues!$E$19)</f>
        <v/>
      </c>
      <c r="AJ16">
        <f>IF([2]Entry!$S$19="","",[2]Entry!$S$19)</f>
        <v/>
      </c>
      <c r="AK16">
        <f>IF([2]Entry!$C$19="","",[2]Entry!$C$19)</f>
        <v/>
      </c>
      <c r="AL16">
        <f>IF([2]Entry!$D$19="","",[2]Entry!$D$19)</f>
        <v/>
      </c>
      <c r="AM16">
        <f>IF(AND($F16&lt;&gt;"",$I16&lt;&gt;""),IF($G16="دارایی ثابت",1,0),0)</f>
        <v/>
      </c>
      <c r="AN16">
        <f>SUM($AM$6:$AM16)</f>
        <v/>
      </c>
      <c r="AO16">
        <f>IFERROR(INDEX($F$6:$F$565,MATCH(ROW()-5,$AN$6:$AN$565,0)),"")</f>
        <v/>
      </c>
      <c r="AP16">
        <f>IF(AND($F16&lt;&gt;"",$I16&lt;&gt;""),IF($G16="وام و تسهیلات",1,0),0)</f>
        <v/>
      </c>
      <c r="AQ16">
        <f>SUM($AP$6:$AP16)</f>
        <v/>
      </c>
      <c r="AR16">
        <f>IFERROR(INDEX($F$6:$F$565,MATCH(ROW()-5,$AQ$6:$AQ$565,0)),"")</f>
        <v/>
      </c>
      <c r="AS16">
        <f>IF(AND($F16&lt;&gt;"",$I16&lt;&gt;""),IF($G16="سرمایه و آورده صاحبان",1,0),0)</f>
        <v/>
      </c>
      <c r="AT16">
        <f>SUM($AS$6:$AS16)</f>
        <v/>
      </c>
      <c r="AU16">
        <f>IFERROR(INDEX($F$6:$F$565,MATCH(ROW()-5,$AT$6:$AT$565,0)),"")</f>
        <v/>
      </c>
      <c r="AW16">
        <f>IF([3]Issues!$C$19="","",[3]Issues!$C$19)</f>
        <v/>
      </c>
      <c r="AX16">
        <f>IF([4]Entry!$E$19="","",[4]Entry!$E$19)</f>
        <v/>
      </c>
      <c r="AY16">
        <f>IF([4]Entry!$H$19="","",[4]Entry!$H$19)</f>
        <v/>
      </c>
      <c r="AZ16">
        <f>IF([4]Entry!$I$19="","",[4]Entry!$I$19)</f>
        <v/>
      </c>
    </row>
    <row r="17">
      <c r="F17">
        <f>IF([1]Accounts!$D$18="","",[1]Accounts!$A$18)</f>
        <v/>
      </c>
      <c r="G17">
        <f>IF([1]Accounts!$D$18="","",[1]Accounts!$B$18)</f>
        <v/>
      </c>
      <c r="H17">
        <f>IF([1]Accounts!$D$18="","",[1]Accounts!$C$18)</f>
        <v/>
      </c>
      <c r="I17">
        <f>IF([1]Accounts!$D$18="","",[1]Accounts!$D$18)</f>
        <v/>
      </c>
      <c r="K17">
        <f>IF([1]SubGroups!$C$18="","",[1]SubGroups!$A$18)</f>
        <v/>
      </c>
      <c r="L17">
        <f>IF([1]SubGroups!$C$18="","",[1]SubGroups!$B$18)</f>
        <v/>
      </c>
      <c r="M17">
        <f>IF([1]SubGroups!$C$18="","",[1]SubGroups!$C$18)</f>
        <v/>
      </c>
      <c r="N17">
        <f>IF([1]SubGroups!$C$18="","",[1]SubGroups!$D$18)</f>
        <v/>
      </c>
      <c r="R17">
        <f>IF(AND($F17&lt;&gt;"",$I17&lt;&gt;""),IF(OR($G17="دارایی ثابت",$G17="وام و تسهیلات",$G17="سرمایه و آورده صاحبان"),0,1),0)</f>
        <v/>
      </c>
      <c r="S17">
        <f>SUM($R$6:$R17)</f>
        <v/>
      </c>
      <c r="T17">
        <f>IFERROR(INDEX($F$6:$F$565,MATCH(ROW()-5,$S$6:$S$565,0)),"")</f>
        <v/>
      </c>
      <c r="V17">
        <f>IF(AND($K17&lt;&gt;"",$M17&lt;&gt;""),$L17="هزینه",0)*1</f>
        <v/>
      </c>
      <c r="W17">
        <f>SUM($V$6:$V17)</f>
        <v/>
      </c>
      <c r="X17">
        <f>IFERROR(INDEX($M$6:$M$105,MATCH(ROW()-5,$W$6:$W$105,0)),"")</f>
        <v/>
      </c>
      <c r="Z17">
        <f>IF([2]Entry!$E$20="","",[2]Entry!$E$20)</f>
        <v/>
      </c>
      <c r="AA17">
        <f>IF([2]Entry!$G$20="","",[2]Entry!$G$20)</f>
        <v/>
      </c>
      <c r="AB17">
        <f>IF([2]Entry!$J$20="","",[2]Entry!$J$20)</f>
        <v/>
      </c>
      <c r="AC17">
        <f>IF([2]Entry!$K$20="","",[2]Entry!$K$20)</f>
        <v/>
      </c>
      <c r="AD17">
        <f>IF([2]Entry!$L$20="","",[2]Entry!$L$20)</f>
        <v/>
      </c>
      <c r="AE17">
        <f>IF([2]Entry!$M$20="","",[2]Entry!$M$20)</f>
        <v/>
      </c>
      <c r="AF17">
        <f>IF([2]Entry!$N$20="","",[2]Entry!$N$20)</f>
        <v/>
      </c>
      <c r="AG17">
        <f>IF([3]Issues!$B$20="","",[3]Issues!$B$20)</f>
        <v/>
      </c>
      <c r="AH17">
        <f>IF([3]Issues!$D$20="","",[3]Issues!$D$20)</f>
        <v/>
      </c>
      <c r="AI17">
        <f>IF([3]Issues!$E$20="","",[3]Issues!$E$20)</f>
        <v/>
      </c>
      <c r="AJ17">
        <f>IF([2]Entry!$S$20="","",[2]Entry!$S$20)</f>
        <v/>
      </c>
      <c r="AK17">
        <f>IF([2]Entry!$C$20="","",[2]Entry!$C$20)</f>
        <v/>
      </c>
      <c r="AL17">
        <f>IF([2]Entry!$D$20="","",[2]Entry!$D$20)</f>
        <v/>
      </c>
      <c r="AM17">
        <f>IF(AND($F17&lt;&gt;"",$I17&lt;&gt;""),IF($G17="دارایی ثابت",1,0),0)</f>
        <v/>
      </c>
      <c r="AN17">
        <f>SUM($AM$6:$AM17)</f>
        <v/>
      </c>
      <c r="AO17">
        <f>IFERROR(INDEX($F$6:$F$565,MATCH(ROW()-5,$AN$6:$AN$565,0)),"")</f>
        <v/>
      </c>
      <c r="AP17">
        <f>IF(AND($F17&lt;&gt;"",$I17&lt;&gt;""),IF($G17="وام و تسهیلات",1,0),0)</f>
        <v/>
      </c>
      <c r="AQ17">
        <f>SUM($AP$6:$AP17)</f>
        <v/>
      </c>
      <c r="AR17">
        <f>IFERROR(INDEX($F$6:$F$565,MATCH(ROW()-5,$AQ$6:$AQ$565,0)),"")</f>
        <v/>
      </c>
      <c r="AS17">
        <f>IF(AND($F17&lt;&gt;"",$I17&lt;&gt;""),IF($G17="سرمایه و آورده صاحبان",1,0),0)</f>
        <v/>
      </c>
      <c r="AT17">
        <f>SUM($AS$6:$AS17)</f>
        <v/>
      </c>
      <c r="AU17">
        <f>IFERROR(INDEX($F$6:$F$565,MATCH(ROW()-5,$AT$6:$AT$565,0)),"")</f>
        <v/>
      </c>
      <c r="AW17">
        <f>IF([3]Issues!$C$20="","",[3]Issues!$C$20)</f>
        <v/>
      </c>
      <c r="AX17">
        <f>IF([4]Entry!$E$20="","",[4]Entry!$E$20)</f>
        <v/>
      </c>
      <c r="AY17">
        <f>IF([4]Entry!$H$20="","",[4]Entry!$H$20)</f>
        <v/>
      </c>
      <c r="AZ17">
        <f>IF([4]Entry!$I$20="","",[4]Entry!$I$20)</f>
        <v/>
      </c>
    </row>
    <row r="18">
      <c r="F18">
        <f>IF([1]Accounts!$D$19="","",[1]Accounts!$A$19)</f>
        <v/>
      </c>
      <c r="G18">
        <f>IF([1]Accounts!$D$19="","",[1]Accounts!$B$19)</f>
        <v/>
      </c>
      <c r="H18">
        <f>IF([1]Accounts!$D$19="","",[1]Accounts!$C$19)</f>
        <v/>
      </c>
      <c r="I18">
        <f>IF([1]Accounts!$D$19="","",[1]Accounts!$D$19)</f>
        <v/>
      </c>
      <c r="K18">
        <f>IF([1]SubGroups!$C$19="","",[1]SubGroups!$A$19)</f>
        <v/>
      </c>
      <c r="L18">
        <f>IF([1]SubGroups!$C$19="","",[1]SubGroups!$B$19)</f>
        <v/>
      </c>
      <c r="M18">
        <f>IF([1]SubGroups!$C$19="","",[1]SubGroups!$C$19)</f>
        <v/>
      </c>
      <c r="N18">
        <f>IF([1]SubGroups!$C$19="","",[1]SubGroups!$D$19)</f>
        <v/>
      </c>
      <c r="R18">
        <f>IF(AND($F18&lt;&gt;"",$I18&lt;&gt;""),IF(OR($G18="دارایی ثابت",$G18="وام و تسهیلات",$G18="سرمایه و آورده صاحبان"),0,1),0)</f>
        <v/>
      </c>
      <c r="S18">
        <f>SUM($R$6:$R18)</f>
        <v/>
      </c>
      <c r="T18">
        <f>IFERROR(INDEX($F$6:$F$565,MATCH(ROW()-5,$S$6:$S$565,0)),"")</f>
        <v/>
      </c>
      <c r="V18">
        <f>IF(AND($K18&lt;&gt;"",$M18&lt;&gt;""),$L18="هزینه",0)*1</f>
        <v/>
      </c>
      <c r="W18">
        <f>SUM($V$6:$V18)</f>
        <v/>
      </c>
      <c r="X18">
        <f>IFERROR(INDEX($M$6:$M$105,MATCH(ROW()-5,$W$6:$W$105,0)),"")</f>
        <v/>
      </c>
      <c r="Z18">
        <f>IF([2]Entry!$E$21="","",[2]Entry!$E$21)</f>
        <v/>
      </c>
      <c r="AA18">
        <f>IF([2]Entry!$G$21="","",[2]Entry!$G$21)</f>
        <v/>
      </c>
      <c r="AB18">
        <f>IF([2]Entry!$J$21="","",[2]Entry!$J$21)</f>
        <v/>
      </c>
      <c r="AC18">
        <f>IF([2]Entry!$K$21="","",[2]Entry!$K$21)</f>
        <v/>
      </c>
      <c r="AD18">
        <f>IF([2]Entry!$L$21="","",[2]Entry!$L$21)</f>
        <v/>
      </c>
      <c r="AE18">
        <f>IF([2]Entry!$M$21="","",[2]Entry!$M$21)</f>
        <v/>
      </c>
      <c r="AF18">
        <f>IF([2]Entry!$N$21="","",[2]Entry!$N$21)</f>
        <v/>
      </c>
      <c r="AG18">
        <f>IF([3]Issues!$B$21="","",[3]Issues!$B$21)</f>
        <v/>
      </c>
      <c r="AH18">
        <f>IF([3]Issues!$D$21="","",[3]Issues!$D$21)</f>
        <v/>
      </c>
      <c r="AI18">
        <f>IF([3]Issues!$E$21="","",[3]Issues!$E$21)</f>
        <v/>
      </c>
      <c r="AJ18">
        <f>IF([2]Entry!$S$21="","",[2]Entry!$S$21)</f>
        <v/>
      </c>
      <c r="AK18">
        <f>IF([2]Entry!$C$21="","",[2]Entry!$C$21)</f>
        <v/>
      </c>
      <c r="AL18">
        <f>IF([2]Entry!$D$21="","",[2]Entry!$D$21)</f>
        <v/>
      </c>
      <c r="AM18">
        <f>IF(AND($F18&lt;&gt;"",$I18&lt;&gt;""),IF($G18="دارایی ثابت",1,0),0)</f>
        <v/>
      </c>
      <c r="AN18">
        <f>SUM($AM$6:$AM18)</f>
        <v/>
      </c>
      <c r="AO18">
        <f>IFERROR(INDEX($F$6:$F$565,MATCH(ROW()-5,$AN$6:$AN$565,0)),"")</f>
        <v/>
      </c>
      <c r="AP18">
        <f>IF(AND($F18&lt;&gt;"",$I18&lt;&gt;""),IF($G18="وام و تسهیلات",1,0),0)</f>
        <v/>
      </c>
      <c r="AQ18">
        <f>SUM($AP$6:$AP18)</f>
        <v/>
      </c>
      <c r="AR18">
        <f>IFERROR(INDEX($F$6:$F$565,MATCH(ROW()-5,$AQ$6:$AQ$565,0)),"")</f>
        <v/>
      </c>
      <c r="AS18">
        <f>IF(AND($F18&lt;&gt;"",$I18&lt;&gt;""),IF($G18="سرمایه و آورده صاحبان",1,0),0)</f>
        <v/>
      </c>
      <c r="AT18">
        <f>SUM($AS$6:$AS18)</f>
        <v/>
      </c>
      <c r="AU18">
        <f>IFERROR(INDEX($F$6:$F$565,MATCH(ROW()-5,$AT$6:$AT$565,0)),"")</f>
        <v/>
      </c>
      <c r="AW18">
        <f>IF([3]Issues!$C$21="","",[3]Issues!$C$21)</f>
        <v/>
      </c>
      <c r="AX18">
        <f>IF([4]Entry!$E$21="","",[4]Entry!$E$21)</f>
        <v/>
      </c>
      <c r="AY18">
        <f>IF([4]Entry!$H$21="","",[4]Entry!$H$21)</f>
        <v/>
      </c>
      <c r="AZ18">
        <f>IF([4]Entry!$I$21="","",[4]Entry!$I$21)</f>
        <v/>
      </c>
    </row>
    <row r="19">
      <c r="F19">
        <f>IF([1]Accounts!$D$20="","",[1]Accounts!$A$20)</f>
        <v/>
      </c>
      <c r="G19">
        <f>IF([1]Accounts!$D$20="","",[1]Accounts!$B$20)</f>
        <v/>
      </c>
      <c r="H19">
        <f>IF([1]Accounts!$D$20="","",[1]Accounts!$C$20)</f>
        <v/>
      </c>
      <c r="I19">
        <f>IF([1]Accounts!$D$20="","",[1]Accounts!$D$20)</f>
        <v/>
      </c>
      <c r="K19">
        <f>IF([1]SubGroups!$C$20="","",[1]SubGroups!$A$20)</f>
        <v/>
      </c>
      <c r="L19">
        <f>IF([1]SubGroups!$C$20="","",[1]SubGroups!$B$20)</f>
        <v/>
      </c>
      <c r="M19">
        <f>IF([1]SubGroups!$C$20="","",[1]SubGroups!$C$20)</f>
        <v/>
      </c>
      <c r="N19">
        <f>IF([1]SubGroups!$C$20="","",[1]SubGroups!$D$20)</f>
        <v/>
      </c>
      <c r="R19">
        <f>IF(AND($F19&lt;&gt;"",$I19&lt;&gt;""),IF(OR($G19="دارایی ثابت",$G19="وام و تسهیلات",$G19="سرمایه و آورده صاحبان"),0,1),0)</f>
        <v/>
      </c>
      <c r="S19">
        <f>SUM($R$6:$R19)</f>
        <v/>
      </c>
      <c r="T19">
        <f>IFERROR(INDEX($F$6:$F$565,MATCH(ROW()-5,$S$6:$S$565,0)),"")</f>
        <v/>
      </c>
      <c r="V19">
        <f>IF(AND($K19&lt;&gt;"",$M19&lt;&gt;""),$L19="هزینه",0)*1</f>
        <v/>
      </c>
      <c r="W19">
        <f>SUM($V$6:$V19)</f>
        <v/>
      </c>
      <c r="X19">
        <f>IFERROR(INDEX($M$6:$M$105,MATCH(ROW()-5,$W$6:$W$105,0)),"")</f>
        <v/>
      </c>
      <c r="Z19">
        <f>IF([2]Entry!$E$22="","",[2]Entry!$E$22)</f>
        <v/>
      </c>
      <c r="AA19">
        <f>IF([2]Entry!$G$22="","",[2]Entry!$G$22)</f>
        <v/>
      </c>
      <c r="AB19">
        <f>IF([2]Entry!$J$22="","",[2]Entry!$J$22)</f>
        <v/>
      </c>
      <c r="AC19">
        <f>IF([2]Entry!$K$22="","",[2]Entry!$K$22)</f>
        <v/>
      </c>
      <c r="AD19">
        <f>IF([2]Entry!$L$22="","",[2]Entry!$L$22)</f>
        <v/>
      </c>
      <c r="AE19">
        <f>IF([2]Entry!$M$22="","",[2]Entry!$M$22)</f>
        <v/>
      </c>
      <c r="AF19">
        <f>IF([2]Entry!$N$22="","",[2]Entry!$N$22)</f>
        <v/>
      </c>
      <c r="AG19">
        <f>IF([3]Issues!$B$22="","",[3]Issues!$B$22)</f>
        <v/>
      </c>
      <c r="AH19">
        <f>IF([3]Issues!$D$22="","",[3]Issues!$D$22)</f>
        <v/>
      </c>
      <c r="AI19">
        <f>IF([3]Issues!$E$22="","",[3]Issues!$E$22)</f>
        <v/>
      </c>
      <c r="AJ19">
        <f>IF([2]Entry!$S$22="","",[2]Entry!$S$22)</f>
        <v/>
      </c>
      <c r="AK19">
        <f>IF([2]Entry!$C$22="","",[2]Entry!$C$22)</f>
        <v/>
      </c>
      <c r="AL19">
        <f>IF([2]Entry!$D$22="","",[2]Entry!$D$22)</f>
        <v/>
      </c>
      <c r="AM19">
        <f>IF(AND($F19&lt;&gt;"",$I19&lt;&gt;""),IF($G19="دارایی ثابت",1,0),0)</f>
        <v/>
      </c>
      <c r="AN19">
        <f>SUM($AM$6:$AM19)</f>
        <v/>
      </c>
      <c r="AO19">
        <f>IFERROR(INDEX($F$6:$F$565,MATCH(ROW()-5,$AN$6:$AN$565,0)),"")</f>
        <v/>
      </c>
      <c r="AP19">
        <f>IF(AND($F19&lt;&gt;"",$I19&lt;&gt;""),IF($G19="وام و تسهیلات",1,0),0)</f>
        <v/>
      </c>
      <c r="AQ19">
        <f>SUM($AP$6:$AP19)</f>
        <v/>
      </c>
      <c r="AR19">
        <f>IFERROR(INDEX($F$6:$F$565,MATCH(ROW()-5,$AQ$6:$AQ$565,0)),"")</f>
        <v/>
      </c>
      <c r="AS19">
        <f>IF(AND($F19&lt;&gt;"",$I19&lt;&gt;""),IF($G19="سرمایه و آورده صاحبان",1,0),0)</f>
        <v/>
      </c>
      <c r="AT19">
        <f>SUM($AS$6:$AS19)</f>
        <v/>
      </c>
      <c r="AU19">
        <f>IFERROR(INDEX($F$6:$F$565,MATCH(ROW()-5,$AT$6:$AT$565,0)),"")</f>
        <v/>
      </c>
      <c r="AW19">
        <f>IF([3]Issues!$C$22="","",[3]Issues!$C$22)</f>
        <v/>
      </c>
      <c r="AX19">
        <f>IF([4]Entry!$E$22="","",[4]Entry!$E$22)</f>
        <v/>
      </c>
      <c r="AY19">
        <f>IF([4]Entry!$H$22="","",[4]Entry!$H$22)</f>
        <v/>
      </c>
      <c r="AZ19">
        <f>IF([4]Entry!$I$22="","",[4]Entry!$I$22)</f>
        <v/>
      </c>
    </row>
    <row r="20">
      <c r="F20">
        <f>IF([1]Accounts!$D$21="","",[1]Accounts!$A$21)</f>
        <v/>
      </c>
      <c r="G20">
        <f>IF([1]Accounts!$D$21="","",[1]Accounts!$B$21)</f>
        <v/>
      </c>
      <c r="H20">
        <f>IF([1]Accounts!$D$21="","",[1]Accounts!$C$21)</f>
        <v/>
      </c>
      <c r="I20">
        <f>IF([1]Accounts!$D$21="","",[1]Accounts!$D$21)</f>
        <v/>
      </c>
      <c r="K20">
        <f>IF([1]SubGroups!$C$21="","",[1]SubGroups!$A$21)</f>
        <v/>
      </c>
      <c r="L20">
        <f>IF([1]SubGroups!$C$21="","",[1]SubGroups!$B$21)</f>
        <v/>
      </c>
      <c r="M20">
        <f>IF([1]SubGroups!$C$21="","",[1]SubGroups!$C$21)</f>
        <v/>
      </c>
      <c r="N20">
        <f>IF([1]SubGroups!$C$21="","",[1]SubGroups!$D$21)</f>
        <v/>
      </c>
      <c r="R20">
        <f>IF(AND($F20&lt;&gt;"",$I20&lt;&gt;""),IF(OR($G20="دارایی ثابت",$G20="وام و تسهیلات",$G20="سرمایه و آورده صاحبان"),0,1),0)</f>
        <v/>
      </c>
      <c r="S20">
        <f>SUM($R$6:$R20)</f>
        <v/>
      </c>
      <c r="T20">
        <f>IFERROR(INDEX($F$6:$F$565,MATCH(ROW()-5,$S$6:$S$565,0)),"")</f>
        <v/>
      </c>
      <c r="V20">
        <f>IF(AND($K20&lt;&gt;"",$M20&lt;&gt;""),$L20="هزینه",0)*1</f>
        <v/>
      </c>
      <c r="W20">
        <f>SUM($V$6:$V20)</f>
        <v/>
      </c>
      <c r="X20">
        <f>IFERROR(INDEX($M$6:$M$105,MATCH(ROW()-5,$W$6:$W$105,0)),"")</f>
        <v/>
      </c>
      <c r="Z20">
        <f>IF([2]Entry!$E$23="","",[2]Entry!$E$23)</f>
        <v/>
      </c>
      <c r="AA20">
        <f>IF([2]Entry!$G$23="","",[2]Entry!$G$23)</f>
        <v/>
      </c>
      <c r="AB20">
        <f>IF([2]Entry!$J$23="","",[2]Entry!$J$23)</f>
        <v/>
      </c>
      <c r="AC20">
        <f>IF([2]Entry!$K$23="","",[2]Entry!$K$23)</f>
        <v/>
      </c>
      <c r="AD20">
        <f>IF([2]Entry!$L$23="","",[2]Entry!$L$23)</f>
        <v/>
      </c>
      <c r="AE20">
        <f>IF([2]Entry!$M$23="","",[2]Entry!$M$23)</f>
        <v/>
      </c>
      <c r="AF20">
        <f>IF([2]Entry!$N$23="","",[2]Entry!$N$23)</f>
        <v/>
      </c>
      <c r="AG20">
        <f>IF([3]Issues!$B$23="","",[3]Issues!$B$23)</f>
        <v/>
      </c>
      <c r="AH20">
        <f>IF([3]Issues!$D$23="","",[3]Issues!$D$23)</f>
        <v/>
      </c>
      <c r="AI20">
        <f>IF([3]Issues!$E$23="","",[3]Issues!$E$23)</f>
        <v/>
      </c>
      <c r="AJ20">
        <f>IF([2]Entry!$S$23="","",[2]Entry!$S$23)</f>
        <v/>
      </c>
      <c r="AK20">
        <f>IF([2]Entry!$C$23="","",[2]Entry!$C$23)</f>
        <v/>
      </c>
      <c r="AL20">
        <f>IF([2]Entry!$D$23="","",[2]Entry!$D$23)</f>
        <v/>
      </c>
      <c r="AM20">
        <f>IF(AND($F20&lt;&gt;"",$I20&lt;&gt;""),IF($G20="دارایی ثابت",1,0),0)</f>
        <v/>
      </c>
      <c r="AN20">
        <f>SUM($AM$6:$AM20)</f>
        <v/>
      </c>
      <c r="AO20">
        <f>IFERROR(INDEX($F$6:$F$565,MATCH(ROW()-5,$AN$6:$AN$565,0)),"")</f>
        <v/>
      </c>
      <c r="AP20">
        <f>IF(AND($F20&lt;&gt;"",$I20&lt;&gt;""),IF($G20="وام و تسهیلات",1,0),0)</f>
        <v/>
      </c>
      <c r="AQ20">
        <f>SUM($AP$6:$AP20)</f>
        <v/>
      </c>
      <c r="AR20">
        <f>IFERROR(INDEX($F$6:$F$565,MATCH(ROW()-5,$AQ$6:$AQ$565,0)),"")</f>
        <v/>
      </c>
      <c r="AS20">
        <f>IF(AND($F20&lt;&gt;"",$I20&lt;&gt;""),IF($G20="سرمایه و آورده صاحبان",1,0),0)</f>
        <v/>
      </c>
      <c r="AT20">
        <f>SUM($AS$6:$AS20)</f>
        <v/>
      </c>
      <c r="AU20">
        <f>IFERROR(INDEX($F$6:$F$565,MATCH(ROW()-5,$AT$6:$AT$565,0)),"")</f>
        <v/>
      </c>
      <c r="AW20">
        <f>IF([3]Issues!$C$23="","",[3]Issues!$C$23)</f>
        <v/>
      </c>
      <c r="AX20">
        <f>IF([4]Entry!$E$23="","",[4]Entry!$E$23)</f>
        <v/>
      </c>
      <c r="AY20">
        <f>IF([4]Entry!$H$23="","",[4]Entry!$H$23)</f>
        <v/>
      </c>
      <c r="AZ20">
        <f>IF([4]Entry!$I$23="","",[4]Entry!$I$23)</f>
        <v/>
      </c>
    </row>
    <row r="21">
      <c r="F21">
        <f>IF([1]Accounts!$D$22="","",[1]Accounts!$A$22)</f>
        <v/>
      </c>
      <c r="G21">
        <f>IF([1]Accounts!$D$22="","",[1]Accounts!$B$22)</f>
        <v/>
      </c>
      <c r="H21">
        <f>IF([1]Accounts!$D$22="","",[1]Accounts!$C$22)</f>
        <v/>
      </c>
      <c r="I21">
        <f>IF([1]Accounts!$D$22="","",[1]Accounts!$D$22)</f>
        <v/>
      </c>
      <c r="K21">
        <f>IF([1]SubGroups!$C$22="","",[1]SubGroups!$A$22)</f>
        <v/>
      </c>
      <c r="L21">
        <f>IF([1]SubGroups!$C$22="","",[1]SubGroups!$B$22)</f>
        <v/>
      </c>
      <c r="M21">
        <f>IF([1]SubGroups!$C$22="","",[1]SubGroups!$C$22)</f>
        <v/>
      </c>
      <c r="N21">
        <f>IF([1]SubGroups!$C$22="","",[1]SubGroups!$D$22)</f>
        <v/>
      </c>
      <c r="R21">
        <f>IF(AND($F21&lt;&gt;"",$I21&lt;&gt;""),IF(OR($G21="دارایی ثابت",$G21="وام و تسهیلات",$G21="سرمایه و آورده صاحبان"),0,1),0)</f>
        <v/>
      </c>
      <c r="S21">
        <f>SUM($R$6:$R21)</f>
        <v/>
      </c>
      <c r="T21">
        <f>IFERROR(INDEX($F$6:$F$565,MATCH(ROW()-5,$S$6:$S$565,0)),"")</f>
        <v/>
      </c>
      <c r="V21">
        <f>IF(AND($K21&lt;&gt;"",$M21&lt;&gt;""),$L21="هزینه",0)*1</f>
        <v/>
      </c>
      <c r="W21">
        <f>SUM($V$6:$V21)</f>
        <v/>
      </c>
      <c r="X21">
        <f>IFERROR(INDEX($M$6:$M$105,MATCH(ROW()-5,$W$6:$W$105,0)),"")</f>
        <v/>
      </c>
      <c r="Z21">
        <f>IF([2]Entry!$E$24="","",[2]Entry!$E$24)</f>
        <v/>
      </c>
      <c r="AA21">
        <f>IF([2]Entry!$G$24="","",[2]Entry!$G$24)</f>
        <v/>
      </c>
      <c r="AB21">
        <f>IF([2]Entry!$J$24="","",[2]Entry!$J$24)</f>
        <v/>
      </c>
      <c r="AC21">
        <f>IF([2]Entry!$K$24="","",[2]Entry!$K$24)</f>
        <v/>
      </c>
      <c r="AD21">
        <f>IF([2]Entry!$L$24="","",[2]Entry!$L$24)</f>
        <v/>
      </c>
      <c r="AE21">
        <f>IF([2]Entry!$M$24="","",[2]Entry!$M$24)</f>
        <v/>
      </c>
      <c r="AF21">
        <f>IF([2]Entry!$N$24="","",[2]Entry!$N$24)</f>
        <v/>
      </c>
      <c r="AG21">
        <f>IF([3]Issues!$B$24="","",[3]Issues!$B$24)</f>
        <v/>
      </c>
      <c r="AH21">
        <f>IF([3]Issues!$D$24="","",[3]Issues!$D$24)</f>
        <v/>
      </c>
      <c r="AI21">
        <f>IF([3]Issues!$E$24="","",[3]Issues!$E$24)</f>
        <v/>
      </c>
      <c r="AJ21">
        <f>IF([2]Entry!$S$24="","",[2]Entry!$S$24)</f>
        <v/>
      </c>
      <c r="AK21">
        <f>IF([2]Entry!$C$24="","",[2]Entry!$C$24)</f>
        <v/>
      </c>
      <c r="AL21">
        <f>IF([2]Entry!$D$24="","",[2]Entry!$D$24)</f>
        <v/>
      </c>
      <c r="AM21">
        <f>IF(AND($F21&lt;&gt;"",$I21&lt;&gt;""),IF($G21="دارایی ثابت",1,0),0)</f>
        <v/>
      </c>
      <c r="AN21">
        <f>SUM($AM$6:$AM21)</f>
        <v/>
      </c>
      <c r="AO21">
        <f>IFERROR(INDEX($F$6:$F$565,MATCH(ROW()-5,$AN$6:$AN$565,0)),"")</f>
        <v/>
      </c>
      <c r="AP21">
        <f>IF(AND($F21&lt;&gt;"",$I21&lt;&gt;""),IF($G21="وام و تسهیلات",1,0),0)</f>
        <v/>
      </c>
      <c r="AQ21">
        <f>SUM($AP$6:$AP21)</f>
        <v/>
      </c>
      <c r="AR21">
        <f>IFERROR(INDEX($F$6:$F$565,MATCH(ROW()-5,$AQ$6:$AQ$565,0)),"")</f>
        <v/>
      </c>
      <c r="AS21">
        <f>IF(AND($F21&lt;&gt;"",$I21&lt;&gt;""),IF($G21="سرمایه و آورده صاحبان",1,0),0)</f>
        <v/>
      </c>
      <c r="AT21">
        <f>SUM($AS$6:$AS21)</f>
        <v/>
      </c>
      <c r="AU21">
        <f>IFERROR(INDEX($F$6:$F$565,MATCH(ROW()-5,$AT$6:$AT$565,0)),"")</f>
        <v/>
      </c>
      <c r="AW21">
        <f>IF([3]Issues!$C$24="","",[3]Issues!$C$24)</f>
        <v/>
      </c>
      <c r="AX21">
        <f>IF([4]Entry!$E$24="","",[4]Entry!$E$24)</f>
        <v/>
      </c>
      <c r="AY21">
        <f>IF([4]Entry!$H$24="","",[4]Entry!$H$24)</f>
        <v/>
      </c>
      <c r="AZ21">
        <f>IF([4]Entry!$I$24="","",[4]Entry!$I$24)</f>
        <v/>
      </c>
    </row>
    <row r="22">
      <c r="F22">
        <f>IF([1]Accounts!$D$23="","",[1]Accounts!$A$23)</f>
        <v/>
      </c>
      <c r="G22">
        <f>IF([1]Accounts!$D$23="","",[1]Accounts!$B$23)</f>
        <v/>
      </c>
      <c r="H22">
        <f>IF([1]Accounts!$D$23="","",[1]Accounts!$C$23)</f>
        <v/>
      </c>
      <c r="I22">
        <f>IF([1]Accounts!$D$23="","",[1]Accounts!$D$23)</f>
        <v/>
      </c>
      <c r="K22">
        <f>IF([1]SubGroups!$C$23="","",[1]SubGroups!$A$23)</f>
        <v/>
      </c>
      <c r="L22">
        <f>IF([1]SubGroups!$C$23="","",[1]SubGroups!$B$23)</f>
        <v/>
      </c>
      <c r="M22">
        <f>IF([1]SubGroups!$C$23="","",[1]SubGroups!$C$23)</f>
        <v/>
      </c>
      <c r="N22">
        <f>IF([1]SubGroups!$C$23="","",[1]SubGroups!$D$23)</f>
        <v/>
      </c>
      <c r="R22">
        <f>IF(AND($F22&lt;&gt;"",$I22&lt;&gt;""),IF(OR($G22="دارایی ثابت",$G22="وام و تسهیلات",$G22="سرمایه و آورده صاحبان"),0,1),0)</f>
        <v/>
      </c>
      <c r="S22">
        <f>SUM($R$6:$R22)</f>
        <v/>
      </c>
      <c r="T22">
        <f>IFERROR(INDEX($F$6:$F$565,MATCH(ROW()-5,$S$6:$S$565,0)),"")</f>
        <v/>
      </c>
      <c r="V22">
        <f>IF(AND($K22&lt;&gt;"",$M22&lt;&gt;""),$L22="هزینه",0)*1</f>
        <v/>
      </c>
      <c r="W22">
        <f>SUM($V$6:$V22)</f>
        <v/>
      </c>
      <c r="X22">
        <f>IFERROR(INDEX($M$6:$M$105,MATCH(ROW()-5,$W$6:$W$105,0)),"")</f>
        <v/>
      </c>
      <c r="Z22">
        <f>IF([2]Entry!$E$25="","",[2]Entry!$E$25)</f>
        <v/>
      </c>
      <c r="AA22">
        <f>IF([2]Entry!$G$25="","",[2]Entry!$G$25)</f>
        <v/>
      </c>
      <c r="AB22">
        <f>IF([2]Entry!$J$25="","",[2]Entry!$J$25)</f>
        <v/>
      </c>
      <c r="AC22">
        <f>IF([2]Entry!$K$25="","",[2]Entry!$K$25)</f>
        <v/>
      </c>
      <c r="AD22">
        <f>IF([2]Entry!$L$25="","",[2]Entry!$L$25)</f>
        <v/>
      </c>
      <c r="AE22">
        <f>IF([2]Entry!$M$25="","",[2]Entry!$M$25)</f>
        <v/>
      </c>
      <c r="AF22">
        <f>IF([2]Entry!$N$25="","",[2]Entry!$N$25)</f>
        <v/>
      </c>
      <c r="AG22">
        <f>IF([3]Issues!$B$25="","",[3]Issues!$B$25)</f>
        <v/>
      </c>
      <c r="AH22">
        <f>IF([3]Issues!$D$25="","",[3]Issues!$D$25)</f>
        <v/>
      </c>
      <c r="AI22">
        <f>IF([3]Issues!$E$25="","",[3]Issues!$E$25)</f>
        <v/>
      </c>
      <c r="AJ22">
        <f>IF([2]Entry!$S$25="","",[2]Entry!$S$25)</f>
        <v/>
      </c>
      <c r="AK22">
        <f>IF([2]Entry!$C$25="","",[2]Entry!$C$25)</f>
        <v/>
      </c>
      <c r="AL22">
        <f>IF([2]Entry!$D$25="","",[2]Entry!$D$25)</f>
        <v/>
      </c>
      <c r="AM22">
        <f>IF(AND($F22&lt;&gt;"",$I22&lt;&gt;""),IF($G22="دارایی ثابت",1,0),0)</f>
        <v/>
      </c>
      <c r="AN22">
        <f>SUM($AM$6:$AM22)</f>
        <v/>
      </c>
      <c r="AO22">
        <f>IFERROR(INDEX($F$6:$F$565,MATCH(ROW()-5,$AN$6:$AN$565,0)),"")</f>
        <v/>
      </c>
      <c r="AP22">
        <f>IF(AND($F22&lt;&gt;"",$I22&lt;&gt;""),IF($G22="وام و تسهیلات",1,0),0)</f>
        <v/>
      </c>
      <c r="AQ22">
        <f>SUM($AP$6:$AP22)</f>
        <v/>
      </c>
      <c r="AR22">
        <f>IFERROR(INDEX($F$6:$F$565,MATCH(ROW()-5,$AQ$6:$AQ$565,0)),"")</f>
        <v/>
      </c>
      <c r="AS22">
        <f>IF(AND($F22&lt;&gt;"",$I22&lt;&gt;""),IF($G22="سرمایه و آورده صاحبان",1,0),0)</f>
        <v/>
      </c>
      <c r="AT22">
        <f>SUM($AS$6:$AS22)</f>
        <v/>
      </c>
      <c r="AU22">
        <f>IFERROR(INDEX($F$6:$F$565,MATCH(ROW()-5,$AT$6:$AT$565,0)),"")</f>
        <v/>
      </c>
      <c r="AW22">
        <f>IF([3]Issues!$C$25="","",[3]Issues!$C$25)</f>
        <v/>
      </c>
      <c r="AX22">
        <f>IF([4]Entry!$E$25="","",[4]Entry!$E$25)</f>
        <v/>
      </c>
      <c r="AY22">
        <f>IF([4]Entry!$H$25="","",[4]Entry!$H$25)</f>
        <v/>
      </c>
      <c r="AZ22">
        <f>IF([4]Entry!$I$25="","",[4]Entry!$I$25)</f>
        <v/>
      </c>
    </row>
    <row r="23">
      <c r="F23">
        <f>IF([1]Accounts!$D$24="","",[1]Accounts!$A$24)</f>
        <v/>
      </c>
      <c r="G23">
        <f>IF([1]Accounts!$D$24="","",[1]Accounts!$B$24)</f>
        <v/>
      </c>
      <c r="H23">
        <f>IF([1]Accounts!$D$24="","",[1]Accounts!$C$24)</f>
        <v/>
      </c>
      <c r="I23">
        <f>IF([1]Accounts!$D$24="","",[1]Accounts!$D$24)</f>
        <v/>
      </c>
      <c r="K23">
        <f>IF([1]SubGroups!$C$24="","",[1]SubGroups!$A$24)</f>
        <v/>
      </c>
      <c r="L23">
        <f>IF([1]SubGroups!$C$24="","",[1]SubGroups!$B$24)</f>
        <v/>
      </c>
      <c r="M23">
        <f>IF([1]SubGroups!$C$24="","",[1]SubGroups!$C$24)</f>
        <v/>
      </c>
      <c r="N23">
        <f>IF([1]SubGroups!$C$24="","",[1]SubGroups!$D$24)</f>
        <v/>
      </c>
      <c r="R23">
        <f>IF(AND($F23&lt;&gt;"",$I23&lt;&gt;""),IF(OR($G23="دارایی ثابت",$G23="وام و تسهیلات",$G23="سرمایه و آورده صاحبان"),0,1),0)</f>
        <v/>
      </c>
      <c r="S23">
        <f>SUM($R$6:$R23)</f>
        <v/>
      </c>
      <c r="T23">
        <f>IFERROR(INDEX($F$6:$F$565,MATCH(ROW()-5,$S$6:$S$565,0)),"")</f>
        <v/>
      </c>
      <c r="V23">
        <f>IF(AND($K23&lt;&gt;"",$M23&lt;&gt;""),$L23="هزینه",0)*1</f>
        <v/>
      </c>
      <c r="W23">
        <f>SUM($V$6:$V23)</f>
        <v/>
      </c>
      <c r="X23">
        <f>IFERROR(INDEX($M$6:$M$105,MATCH(ROW()-5,$W$6:$W$105,0)),"")</f>
        <v/>
      </c>
      <c r="Z23">
        <f>IF([2]Entry!$E$26="","",[2]Entry!$E$26)</f>
        <v/>
      </c>
      <c r="AA23">
        <f>IF([2]Entry!$G$26="","",[2]Entry!$G$26)</f>
        <v/>
      </c>
      <c r="AB23">
        <f>IF([2]Entry!$J$26="","",[2]Entry!$J$26)</f>
        <v/>
      </c>
      <c r="AC23">
        <f>IF([2]Entry!$K$26="","",[2]Entry!$K$26)</f>
        <v/>
      </c>
      <c r="AD23">
        <f>IF([2]Entry!$L$26="","",[2]Entry!$L$26)</f>
        <v/>
      </c>
      <c r="AE23">
        <f>IF([2]Entry!$M$26="","",[2]Entry!$M$26)</f>
        <v/>
      </c>
      <c r="AF23">
        <f>IF([2]Entry!$N$26="","",[2]Entry!$N$26)</f>
        <v/>
      </c>
      <c r="AG23">
        <f>IF([3]Issues!$B$26="","",[3]Issues!$B$26)</f>
        <v/>
      </c>
      <c r="AH23">
        <f>IF([3]Issues!$D$26="","",[3]Issues!$D$26)</f>
        <v/>
      </c>
      <c r="AI23">
        <f>IF([3]Issues!$E$26="","",[3]Issues!$E$26)</f>
        <v/>
      </c>
      <c r="AJ23">
        <f>IF([2]Entry!$S$26="","",[2]Entry!$S$26)</f>
        <v/>
      </c>
      <c r="AK23">
        <f>IF([2]Entry!$C$26="","",[2]Entry!$C$26)</f>
        <v/>
      </c>
      <c r="AL23">
        <f>IF([2]Entry!$D$26="","",[2]Entry!$D$26)</f>
        <v/>
      </c>
      <c r="AM23">
        <f>IF(AND($F23&lt;&gt;"",$I23&lt;&gt;""),IF($G23="دارایی ثابت",1,0),0)</f>
        <v/>
      </c>
      <c r="AN23">
        <f>SUM($AM$6:$AM23)</f>
        <v/>
      </c>
      <c r="AO23">
        <f>IFERROR(INDEX($F$6:$F$565,MATCH(ROW()-5,$AN$6:$AN$565,0)),"")</f>
        <v/>
      </c>
      <c r="AP23">
        <f>IF(AND($F23&lt;&gt;"",$I23&lt;&gt;""),IF($G23="وام و تسهیلات",1,0),0)</f>
        <v/>
      </c>
      <c r="AQ23">
        <f>SUM($AP$6:$AP23)</f>
        <v/>
      </c>
      <c r="AR23">
        <f>IFERROR(INDEX($F$6:$F$565,MATCH(ROW()-5,$AQ$6:$AQ$565,0)),"")</f>
        <v/>
      </c>
      <c r="AS23">
        <f>IF(AND($F23&lt;&gt;"",$I23&lt;&gt;""),IF($G23="سرمایه و آورده صاحبان",1,0),0)</f>
        <v/>
      </c>
      <c r="AT23">
        <f>SUM($AS$6:$AS23)</f>
        <v/>
      </c>
      <c r="AU23">
        <f>IFERROR(INDEX($F$6:$F$565,MATCH(ROW()-5,$AT$6:$AT$565,0)),"")</f>
        <v/>
      </c>
      <c r="AW23">
        <f>IF([3]Issues!$C$26="","",[3]Issues!$C$26)</f>
        <v/>
      </c>
      <c r="AX23">
        <f>IF([4]Entry!$E$26="","",[4]Entry!$E$26)</f>
        <v/>
      </c>
      <c r="AY23">
        <f>IF([4]Entry!$H$26="","",[4]Entry!$H$26)</f>
        <v/>
      </c>
      <c r="AZ23">
        <f>IF([4]Entry!$I$26="","",[4]Entry!$I$26)</f>
        <v/>
      </c>
    </row>
    <row r="24">
      <c r="F24">
        <f>IF([1]Accounts!$D$25="","",[1]Accounts!$A$25)</f>
        <v/>
      </c>
      <c r="G24">
        <f>IF([1]Accounts!$D$25="","",[1]Accounts!$B$25)</f>
        <v/>
      </c>
      <c r="H24">
        <f>IF([1]Accounts!$D$25="","",[1]Accounts!$C$25)</f>
        <v/>
      </c>
      <c r="I24">
        <f>IF([1]Accounts!$D$25="","",[1]Accounts!$D$25)</f>
        <v/>
      </c>
      <c r="K24">
        <f>IF([1]SubGroups!$C$25="","",[1]SubGroups!$A$25)</f>
        <v/>
      </c>
      <c r="L24">
        <f>IF([1]SubGroups!$C$25="","",[1]SubGroups!$B$25)</f>
        <v/>
      </c>
      <c r="M24">
        <f>IF([1]SubGroups!$C$25="","",[1]SubGroups!$C$25)</f>
        <v/>
      </c>
      <c r="N24">
        <f>IF([1]SubGroups!$C$25="","",[1]SubGroups!$D$25)</f>
        <v/>
      </c>
      <c r="R24">
        <f>IF(AND($F24&lt;&gt;"",$I24&lt;&gt;""),IF(OR($G24="دارایی ثابت",$G24="وام و تسهیلات",$G24="سرمایه و آورده صاحبان"),0,1),0)</f>
        <v/>
      </c>
      <c r="S24">
        <f>SUM($R$6:$R24)</f>
        <v/>
      </c>
      <c r="T24">
        <f>IFERROR(INDEX($F$6:$F$565,MATCH(ROW()-5,$S$6:$S$565,0)),"")</f>
        <v/>
      </c>
      <c r="V24">
        <f>IF(AND($K24&lt;&gt;"",$M24&lt;&gt;""),$L24="هزینه",0)*1</f>
        <v/>
      </c>
      <c r="W24">
        <f>SUM($V$6:$V24)</f>
        <v/>
      </c>
      <c r="X24">
        <f>IFERROR(INDEX($M$6:$M$105,MATCH(ROW()-5,$W$6:$W$105,0)),"")</f>
        <v/>
      </c>
      <c r="Z24">
        <f>IF([2]Entry!$E$27="","",[2]Entry!$E$27)</f>
        <v/>
      </c>
      <c r="AA24">
        <f>IF([2]Entry!$G$27="","",[2]Entry!$G$27)</f>
        <v/>
      </c>
      <c r="AB24">
        <f>IF([2]Entry!$J$27="","",[2]Entry!$J$27)</f>
        <v/>
      </c>
      <c r="AC24">
        <f>IF([2]Entry!$K$27="","",[2]Entry!$K$27)</f>
        <v/>
      </c>
      <c r="AD24">
        <f>IF([2]Entry!$L$27="","",[2]Entry!$L$27)</f>
        <v/>
      </c>
      <c r="AE24">
        <f>IF([2]Entry!$M$27="","",[2]Entry!$M$27)</f>
        <v/>
      </c>
      <c r="AF24">
        <f>IF([2]Entry!$N$27="","",[2]Entry!$N$27)</f>
        <v/>
      </c>
      <c r="AG24">
        <f>IF([3]Issues!$B$27="","",[3]Issues!$B$27)</f>
        <v/>
      </c>
      <c r="AH24">
        <f>IF([3]Issues!$D$27="","",[3]Issues!$D$27)</f>
        <v/>
      </c>
      <c r="AI24">
        <f>IF([3]Issues!$E$27="","",[3]Issues!$E$27)</f>
        <v/>
      </c>
      <c r="AJ24">
        <f>IF([2]Entry!$S$27="","",[2]Entry!$S$27)</f>
        <v/>
      </c>
      <c r="AK24">
        <f>IF([2]Entry!$C$27="","",[2]Entry!$C$27)</f>
        <v/>
      </c>
      <c r="AL24">
        <f>IF([2]Entry!$D$27="","",[2]Entry!$D$27)</f>
        <v/>
      </c>
      <c r="AM24">
        <f>IF(AND($F24&lt;&gt;"",$I24&lt;&gt;""),IF($G24="دارایی ثابت",1,0),0)</f>
        <v/>
      </c>
      <c r="AN24">
        <f>SUM($AM$6:$AM24)</f>
        <v/>
      </c>
      <c r="AO24">
        <f>IFERROR(INDEX($F$6:$F$565,MATCH(ROW()-5,$AN$6:$AN$565,0)),"")</f>
        <v/>
      </c>
      <c r="AP24">
        <f>IF(AND($F24&lt;&gt;"",$I24&lt;&gt;""),IF($G24="وام و تسهیلات",1,0),0)</f>
        <v/>
      </c>
      <c r="AQ24">
        <f>SUM($AP$6:$AP24)</f>
        <v/>
      </c>
      <c r="AR24">
        <f>IFERROR(INDEX($F$6:$F$565,MATCH(ROW()-5,$AQ$6:$AQ$565,0)),"")</f>
        <v/>
      </c>
      <c r="AS24">
        <f>IF(AND($F24&lt;&gt;"",$I24&lt;&gt;""),IF($G24="سرمایه و آورده صاحبان",1,0),0)</f>
        <v/>
      </c>
      <c r="AT24">
        <f>SUM($AS$6:$AS24)</f>
        <v/>
      </c>
      <c r="AU24">
        <f>IFERROR(INDEX($F$6:$F$565,MATCH(ROW()-5,$AT$6:$AT$565,0)),"")</f>
        <v/>
      </c>
      <c r="AW24">
        <f>IF([3]Issues!$C$27="","",[3]Issues!$C$27)</f>
        <v/>
      </c>
      <c r="AX24">
        <f>IF([4]Entry!$E$27="","",[4]Entry!$E$27)</f>
        <v/>
      </c>
      <c r="AY24">
        <f>IF([4]Entry!$H$27="","",[4]Entry!$H$27)</f>
        <v/>
      </c>
      <c r="AZ24">
        <f>IF([4]Entry!$I$27="","",[4]Entry!$I$27)</f>
        <v/>
      </c>
    </row>
    <row r="25">
      <c r="F25">
        <f>IF([1]Accounts!$D$26="","",[1]Accounts!$A$26)</f>
        <v/>
      </c>
      <c r="G25">
        <f>IF([1]Accounts!$D$26="","",[1]Accounts!$B$26)</f>
        <v/>
      </c>
      <c r="H25">
        <f>IF([1]Accounts!$D$26="","",[1]Accounts!$C$26)</f>
        <v/>
      </c>
      <c r="I25">
        <f>IF([1]Accounts!$D$26="","",[1]Accounts!$D$26)</f>
        <v/>
      </c>
      <c r="K25">
        <f>IF([1]SubGroups!$C$26="","",[1]SubGroups!$A$26)</f>
        <v/>
      </c>
      <c r="L25">
        <f>IF([1]SubGroups!$C$26="","",[1]SubGroups!$B$26)</f>
        <v/>
      </c>
      <c r="M25">
        <f>IF([1]SubGroups!$C$26="","",[1]SubGroups!$C$26)</f>
        <v/>
      </c>
      <c r="N25">
        <f>IF([1]SubGroups!$C$26="","",[1]SubGroups!$D$26)</f>
        <v/>
      </c>
      <c r="R25">
        <f>IF(AND($F25&lt;&gt;"",$I25&lt;&gt;""),IF(OR($G25="دارایی ثابت",$G25="وام و تسهیلات",$G25="سرمایه و آورده صاحبان"),0,1),0)</f>
        <v/>
      </c>
      <c r="S25">
        <f>SUM($R$6:$R25)</f>
        <v/>
      </c>
      <c r="T25">
        <f>IFERROR(INDEX($F$6:$F$565,MATCH(ROW()-5,$S$6:$S$565,0)),"")</f>
        <v/>
      </c>
      <c r="V25">
        <f>IF(AND($K25&lt;&gt;"",$M25&lt;&gt;""),$L25="هزینه",0)*1</f>
        <v/>
      </c>
      <c r="W25">
        <f>SUM($V$6:$V25)</f>
        <v/>
      </c>
      <c r="X25">
        <f>IFERROR(INDEX($M$6:$M$105,MATCH(ROW()-5,$W$6:$W$105,0)),"")</f>
        <v/>
      </c>
      <c r="Z25">
        <f>IF([2]Entry!$E$28="","",[2]Entry!$E$28)</f>
        <v/>
      </c>
      <c r="AA25">
        <f>IF([2]Entry!$G$28="","",[2]Entry!$G$28)</f>
        <v/>
      </c>
      <c r="AB25">
        <f>IF([2]Entry!$J$28="","",[2]Entry!$J$28)</f>
        <v/>
      </c>
      <c r="AC25">
        <f>IF([2]Entry!$K$28="","",[2]Entry!$K$28)</f>
        <v/>
      </c>
      <c r="AD25">
        <f>IF([2]Entry!$L$28="","",[2]Entry!$L$28)</f>
        <v/>
      </c>
      <c r="AE25">
        <f>IF([2]Entry!$M$28="","",[2]Entry!$M$28)</f>
        <v/>
      </c>
      <c r="AF25">
        <f>IF([2]Entry!$N$28="","",[2]Entry!$N$28)</f>
        <v/>
      </c>
      <c r="AG25">
        <f>IF([3]Issues!$B$28="","",[3]Issues!$B$28)</f>
        <v/>
      </c>
      <c r="AH25">
        <f>IF([3]Issues!$D$28="","",[3]Issues!$D$28)</f>
        <v/>
      </c>
      <c r="AI25">
        <f>IF([3]Issues!$E$28="","",[3]Issues!$E$28)</f>
        <v/>
      </c>
      <c r="AJ25">
        <f>IF([2]Entry!$S$28="","",[2]Entry!$S$28)</f>
        <v/>
      </c>
      <c r="AK25">
        <f>IF([2]Entry!$C$28="","",[2]Entry!$C$28)</f>
        <v/>
      </c>
      <c r="AL25">
        <f>IF([2]Entry!$D$28="","",[2]Entry!$D$28)</f>
        <v/>
      </c>
      <c r="AM25">
        <f>IF(AND($F25&lt;&gt;"",$I25&lt;&gt;""),IF($G25="دارایی ثابت",1,0),0)</f>
        <v/>
      </c>
      <c r="AN25">
        <f>SUM($AM$6:$AM25)</f>
        <v/>
      </c>
      <c r="AO25">
        <f>IFERROR(INDEX($F$6:$F$565,MATCH(ROW()-5,$AN$6:$AN$565,0)),"")</f>
        <v/>
      </c>
      <c r="AP25">
        <f>IF(AND($F25&lt;&gt;"",$I25&lt;&gt;""),IF($G25="وام و تسهیلات",1,0),0)</f>
        <v/>
      </c>
      <c r="AQ25">
        <f>SUM($AP$6:$AP25)</f>
        <v/>
      </c>
      <c r="AR25">
        <f>IFERROR(INDEX($F$6:$F$565,MATCH(ROW()-5,$AQ$6:$AQ$565,0)),"")</f>
        <v/>
      </c>
      <c r="AS25">
        <f>IF(AND($F25&lt;&gt;"",$I25&lt;&gt;""),IF($G25="سرمایه و آورده صاحبان",1,0),0)</f>
        <v/>
      </c>
      <c r="AT25">
        <f>SUM($AS$6:$AS25)</f>
        <v/>
      </c>
      <c r="AU25">
        <f>IFERROR(INDEX($F$6:$F$565,MATCH(ROW()-5,$AT$6:$AT$565,0)),"")</f>
        <v/>
      </c>
      <c r="AW25">
        <f>IF([3]Issues!$C$28="","",[3]Issues!$C$28)</f>
        <v/>
      </c>
      <c r="AX25">
        <f>IF([4]Entry!$E$28="","",[4]Entry!$E$28)</f>
        <v/>
      </c>
      <c r="AY25">
        <f>IF([4]Entry!$H$28="","",[4]Entry!$H$28)</f>
        <v/>
      </c>
      <c r="AZ25">
        <f>IF([4]Entry!$I$28="","",[4]Entry!$I$28)</f>
        <v/>
      </c>
    </row>
    <row r="26">
      <c r="F26">
        <f>IF([1]Accounts!$D$27="","",[1]Accounts!$A$27)</f>
        <v/>
      </c>
      <c r="G26">
        <f>IF([1]Accounts!$D$27="","",[1]Accounts!$B$27)</f>
        <v/>
      </c>
      <c r="H26">
        <f>IF([1]Accounts!$D$27="","",[1]Accounts!$C$27)</f>
        <v/>
      </c>
      <c r="I26">
        <f>IF([1]Accounts!$D$27="","",[1]Accounts!$D$27)</f>
        <v/>
      </c>
      <c r="K26">
        <f>IF([1]SubGroups!$C$27="","",[1]SubGroups!$A$27)</f>
        <v/>
      </c>
      <c r="L26">
        <f>IF([1]SubGroups!$C$27="","",[1]SubGroups!$B$27)</f>
        <v/>
      </c>
      <c r="M26">
        <f>IF([1]SubGroups!$C$27="","",[1]SubGroups!$C$27)</f>
        <v/>
      </c>
      <c r="N26">
        <f>IF([1]SubGroups!$C$27="","",[1]SubGroups!$D$27)</f>
        <v/>
      </c>
      <c r="R26">
        <f>IF(AND($F26&lt;&gt;"",$I26&lt;&gt;""),IF(OR($G26="دارایی ثابت",$G26="وام و تسهیلات",$G26="سرمایه و آورده صاحبان"),0,1),0)</f>
        <v/>
      </c>
      <c r="S26">
        <f>SUM($R$6:$R26)</f>
        <v/>
      </c>
      <c r="T26">
        <f>IFERROR(INDEX($F$6:$F$565,MATCH(ROW()-5,$S$6:$S$565,0)),"")</f>
        <v/>
      </c>
      <c r="V26">
        <f>IF(AND($K26&lt;&gt;"",$M26&lt;&gt;""),$L26="هزینه",0)*1</f>
        <v/>
      </c>
      <c r="W26">
        <f>SUM($V$6:$V26)</f>
        <v/>
      </c>
      <c r="X26">
        <f>IFERROR(INDEX($M$6:$M$105,MATCH(ROW()-5,$W$6:$W$105,0)),"")</f>
        <v/>
      </c>
      <c r="Z26">
        <f>IF([2]Entry!$E$29="","",[2]Entry!$E$29)</f>
        <v/>
      </c>
      <c r="AA26">
        <f>IF([2]Entry!$G$29="","",[2]Entry!$G$29)</f>
        <v/>
      </c>
      <c r="AB26">
        <f>IF([2]Entry!$J$29="","",[2]Entry!$J$29)</f>
        <v/>
      </c>
      <c r="AC26">
        <f>IF([2]Entry!$K$29="","",[2]Entry!$K$29)</f>
        <v/>
      </c>
      <c r="AD26">
        <f>IF([2]Entry!$L$29="","",[2]Entry!$L$29)</f>
        <v/>
      </c>
      <c r="AE26">
        <f>IF([2]Entry!$M$29="","",[2]Entry!$M$29)</f>
        <v/>
      </c>
      <c r="AF26">
        <f>IF([2]Entry!$N$29="","",[2]Entry!$N$29)</f>
        <v/>
      </c>
      <c r="AG26">
        <f>IF([3]Issues!$B$29="","",[3]Issues!$B$29)</f>
        <v/>
      </c>
      <c r="AH26">
        <f>IF([3]Issues!$D$29="","",[3]Issues!$D$29)</f>
        <v/>
      </c>
      <c r="AI26">
        <f>IF([3]Issues!$E$29="","",[3]Issues!$E$29)</f>
        <v/>
      </c>
      <c r="AJ26">
        <f>IF([2]Entry!$S$29="","",[2]Entry!$S$29)</f>
        <v/>
      </c>
      <c r="AK26">
        <f>IF([2]Entry!$C$29="","",[2]Entry!$C$29)</f>
        <v/>
      </c>
      <c r="AL26">
        <f>IF([2]Entry!$D$29="","",[2]Entry!$D$29)</f>
        <v/>
      </c>
      <c r="AM26">
        <f>IF(AND($F26&lt;&gt;"",$I26&lt;&gt;""),IF($G26="دارایی ثابت",1,0),0)</f>
        <v/>
      </c>
      <c r="AN26">
        <f>SUM($AM$6:$AM26)</f>
        <v/>
      </c>
      <c r="AO26">
        <f>IFERROR(INDEX($F$6:$F$565,MATCH(ROW()-5,$AN$6:$AN$565,0)),"")</f>
        <v/>
      </c>
      <c r="AP26">
        <f>IF(AND($F26&lt;&gt;"",$I26&lt;&gt;""),IF($G26="وام و تسهیلات",1,0),0)</f>
        <v/>
      </c>
      <c r="AQ26">
        <f>SUM($AP$6:$AP26)</f>
        <v/>
      </c>
      <c r="AR26">
        <f>IFERROR(INDEX($F$6:$F$565,MATCH(ROW()-5,$AQ$6:$AQ$565,0)),"")</f>
        <v/>
      </c>
      <c r="AS26">
        <f>IF(AND($F26&lt;&gt;"",$I26&lt;&gt;""),IF($G26="سرمایه و آورده صاحبان",1,0),0)</f>
        <v/>
      </c>
      <c r="AT26">
        <f>SUM($AS$6:$AS26)</f>
        <v/>
      </c>
      <c r="AU26">
        <f>IFERROR(INDEX($F$6:$F$565,MATCH(ROW()-5,$AT$6:$AT$565,0)),"")</f>
        <v/>
      </c>
      <c r="AW26">
        <f>IF([3]Issues!$C$29="","",[3]Issues!$C$29)</f>
        <v/>
      </c>
      <c r="AX26">
        <f>IF([4]Entry!$E$29="","",[4]Entry!$E$29)</f>
        <v/>
      </c>
      <c r="AY26">
        <f>IF([4]Entry!$H$29="","",[4]Entry!$H$29)</f>
        <v/>
      </c>
      <c r="AZ26">
        <f>IF([4]Entry!$I$29="","",[4]Entry!$I$29)</f>
        <v/>
      </c>
    </row>
    <row r="27">
      <c r="F27">
        <f>IF([1]Accounts!$D$28="","",[1]Accounts!$A$28)</f>
        <v/>
      </c>
      <c r="G27">
        <f>IF([1]Accounts!$D$28="","",[1]Accounts!$B$28)</f>
        <v/>
      </c>
      <c r="H27">
        <f>IF([1]Accounts!$D$28="","",[1]Accounts!$C$28)</f>
        <v/>
      </c>
      <c r="I27">
        <f>IF([1]Accounts!$D$28="","",[1]Accounts!$D$28)</f>
        <v/>
      </c>
      <c r="K27">
        <f>IF([1]SubGroups!$C$28="","",[1]SubGroups!$A$28)</f>
        <v/>
      </c>
      <c r="L27">
        <f>IF([1]SubGroups!$C$28="","",[1]SubGroups!$B$28)</f>
        <v/>
      </c>
      <c r="M27">
        <f>IF([1]SubGroups!$C$28="","",[1]SubGroups!$C$28)</f>
        <v/>
      </c>
      <c r="N27">
        <f>IF([1]SubGroups!$C$28="","",[1]SubGroups!$D$28)</f>
        <v/>
      </c>
      <c r="R27">
        <f>IF(AND($F27&lt;&gt;"",$I27&lt;&gt;""),IF(OR($G27="دارایی ثابت",$G27="وام و تسهیلات",$G27="سرمایه و آورده صاحبان"),0,1),0)</f>
        <v/>
      </c>
      <c r="S27">
        <f>SUM($R$6:$R27)</f>
        <v/>
      </c>
      <c r="T27">
        <f>IFERROR(INDEX($F$6:$F$565,MATCH(ROW()-5,$S$6:$S$565,0)),"")</f>
        <v/>
      </c>
      <c r="V27">
        <f>IF(AND($K27&lt;&gt;"",$M27&lt;&gt;""),$L27="هزینه",0)*1</f>
        <v/>
      </c>
      <c r="W27">
        <f>SUM($V$6:$V27)</f>
        <v/>
      </c>
      <c r="X27">
        <f>IFERROR(INDEX($M$6:$M$105,MATCH(ROW()-5,$W$6:$W$105,0)),"")</f>
        <v/>
      </c>
      <c r="Z27">
        <f>IF([2]Entry!$E$30="","",[2]Entry!$E$30)</f>
        <v/>
      </c>
      <c r="AA27">
        <f>IF([2]Entry!$G$30="","",[2]Entry!$G$30)</f>
        <v/>
      </c>
      <c r="AB27">
        <f>IF([2]Entry!$J$30="","",[2]Entry!$J$30)</f>
        <v/>
      </c>
      <c r="AC27">
        <f>IF([2]Entry!$K$30="","",[2]Entry!$K$30)</f>
        <v/>
      </c>
      <c r="AD27">
        <f>IF([2]Entry!$L$30="","",[2]Entry!$L$30)</f>
        <v/>
      </c>
      <c r="AE27">
        <f>IF([2]Entry!$M$30="","",[2]Entry!$M$30)</f>
        <v/>
      </c>
      <c r="AF27">
        <f>IF([2]Entry!$N$30="","",[2]Entry!$N$30)</f>
        <v/>
      </c>
      <c r="AG27">
        <f>IF([3]Issues!$B$30="","",[3]Issues!$B$30)</f>
        <v/>
      </c>
      <c r="AH27">
        <f>IF([3]Issues!$D$30="","",[3]Issues!$D$30)</f>
        <v/>
      </c>
      <c r="AI27">
        <f>IF([3]Issues!$E$30="","",[3]Issues!$E$30)</f>
        <v/>
      </c>
      <c r="AJ27">
        <f>IF([2]Entry!$S$30="","",[2]Entry!$S$30)</f>
        <v/>
      </c>
      <c r="AK27">
        <f>IF([2]Entry!$C$30="","",[2]Entry!$C$30)</f>
        <v/>
      </c>
      <c r="AL27">
        <f>IF([2]Entry!$D$30="","",[2]Entry!$D$30)</f>
        <v/>
      </c>
      <c r="AM27">
        <f>IF(AND($F27&lt;&gt;"",$I27&lt;&gt;""),IF($G27="دارایی ثابت",1,0),0)</f>
        <v/>
      </c>
      <c r="AN27">
        <f>SUM($AM$6:$AM27)</f>
        <v/>
      </c>
      <c r="AO27">
        <f>IFERROR(INDEX($F$6:$F$565,MATCH(ROW()-5,$AN$6:$AN$565,0)),"")</f>
        <v/>
      </c>
      <c r="AP27">
        <f>IF(AND($F27&lt;&gt;"",$I27&lt;&gt;""),IF($G27="وام و تسهیلات",1,0),0)</f>
        <v/>
      </c>
      <c r="AQ27">
        <f>SUM($AP$6:$AP27)</f>
        <v/>
      </c>
      <c r="AR27">
        <f>IFERROR(INDEX($F$6:$F$565,MATCH(ROW()-5,$AQ$6:$AQ$565,0)),"")</f>
        <v/>
      </c>
      <c r="AS27">
        <f>IF(AND($F27&lt;&gt;"",$I27&lt;&gt;""),IF($G27="سرمایه و آورده صاحبان",1,0),0)</f>
        <v/>
      </c>
      <c r="AT27">
        <f>SUM($AS$6:$AS27)</f>
        <v/>
      </c>
      <c r="AU27">
        <f>IFERROR(INDEX($F$6:$F$565,MATCH(ROW()-5,$AT$6:$AT$565,0)),"")</f>
        <v/>
      </c>
      <c r="AW27">
        <f>IF([3]Issues!$C$30="","",[3]Issues!$C$30)</f>
        <v/>
      </c>
      <c r="AX27">
        <f>IF([4]Entry!$E$30="","",[4]Entry!$E$30)</f>
        <v/>
      </c>
      <c r="AY27">
        <f>IF([4]Entry!$H$30="","",[4]Entry!$H$30)</f>
        <v/>
      </c>
      <c r="AZ27">
        <f>IF([4]Entry!$I$30="","",[4]Entry!$I$30)</f>
        <v/>
      </c>
    </row>
    <row r="28">
      <c r="F28">
        <f>IF([1]Accounts!$D$29="","",[1]Accounts!$A$29)</f>
        <v/>
      </c>
      <c r="G28">
        <f>IF([1]Accounts!$D$29="","",[1]Accounts!$B$29)</f>
        <v/>
      </c>
      <c r="H28">
        <f>IF([1]Accounts!$D$29="","",[1]Accounts!$C$29)</f>
        <v/>
      </c>
      <c r="I28">
        <f>IF([1]Accounts!$D$29="","",[1]Accounts!$D$29)</f>
        <v/>
      </c>
      <c r="K28">
        <f>IF([1]SubGroups!$C$29="","",[1]SubGroups!$A$29)</f>
        <v/>
      </c>
      <c r="L28">
        <f>IF([1]SubGroups!$C$29="","",[1]SubGroups!$B$29)</f>
        <v/>
      </c>
      <c r="M28">
        <f>IF([1]SubGroups!$C$29="","",[1]SubGroups!$C$29)</f>
        <v/>
      </c>
      <c r="N28">
        <f>IF([1]SubGroups!$C$29="","",[1]SubGroups!$D$29)</f>
        <v/>
      </c>
      <c r="R28">
        <f>IF(AND($F28&lt;&gt;"",$I28&lt;&gt;""),IF(OR($G28="دارایی ثابت",$G28="وام و تسهیلات",$G28="سرمایه و آورده صاحبان"),0,1),0)</f>
        <v/>
      </c>
      <c r="S28">
        <f>SUM($R$6:$R28)</f>
        <v/>
      </c>
      <c r="T28">
        <f>IFERROR(INDEX($F$6:$F$565,MATCH(ROW()-5,$S$6:$S$565,0)),"")</f>
        <v/>
      </c>
      <c r="V28">
        <f>IF(AND($K28&lt;&gt;"",$M28&lt;&gt;""),$L28="هزینه",0)*1</f>
        <v/>
      </c>
      <c r="W28">
        <f>SUM($V$6:$V28)</f>
        <v/>
      </c>
      <c r="X28">
        <f>IFERROR(INDEX($M$6:$M$105,MATCH(ROW()-5,$W$6:$W$105,0)),"")</f>
        <v/>
      </c>
      <c r="Z28">
        <f>IF([2]Entry!$E$31="","",[2]Entry!$E$31)</f>
        <v/>
      </c>
      <c r="AA28">
        <f>IF([2]Entry!$G$31="","",[2]Entry!$G$31)</f>
        <v/>
      </c>
      <c r="AB28">
        <f>IF([2]Entry!$J$31="","",[2]Entry!$J$31)</f>
        <v/>
      </c>
      <c r="AC28">
        <f>IF([2]Entry!$K$31="","",[2]Entry!$K$31)</f>
        <v/>
      </c>
      <c r="AD28">
        <f>IF([2]Entry!$L$31="","",[2]Entry!$L$31)</f>
        <v/>
      </c>
      <c r="AE28">
        <f>IF([2]Entry!$M$31="","",[2]Entry!$M$31)</f>
        <v/>
      </c>
      <c r="AF28">
        <f>IF([2]Entry!$N$31="","",[2]Entry!$N$31)</f>
        <v/>
      </c>
      <c r="AG28">
        <f>IF([3]Issues!$B$31="","",[3]Issues!$B$31)</f>
        <v/>
      </c>
      <c r="AH28">
        <f>IF([3]Issues!$D$31="","",[3]Issues!$D$31)</f>
        <v/>
      </c>
      <c r="AI28">
        <f>IF([3]Issues!$E$31="","",[3]Issues!$E$31)</f>
        <v/>
      </c>
      <c r="AJ28">
        <f>IF([2]Entry!$S$31="","",[2]Entry!$S$31)</f>
        <v/>
      </c>
      <c r="AK28">
        <f>IF([2]Entry!$C$31="","",[2]Entry!$C$31)</f>
        <v/>
      </c>
      <c r="AL28">
        <f>IF([2]Entry!$D$31="","",[2]Entry!$D$31)</f>
        <v/>
      </c>
      <c r="AM28">
        <f>IF(AND($F28&lt;&gt;"",$I28&lt;&gt;""),IF($G28="دارایی ثابت",1,0),0)</f>
        <v/>
      </c>
      <c r="AN28">
        <f>SUM($AM$6:$AM28)</f>
        <v/>
      </c>
      <c r="AO28">
        <f>IFERROR(INDEX($F$6:$F$565,MATCH(ROW()-5,$AN$6:$AN$565,0)),"")</f>
        <v/>
      </c>
      <c r="AP28">
        <f>IF(AND($F28&lt;&gt;"",$I28&lt;&gt;""),IF($G28="وام و تسهیلات",1,0),0)</f>
        <v/>
      </c>
      <c r="AQ28">
        <f>SUM($AP$6:$AP28)</f>
        <v/>
      </c>
      <c r="AR28">
        <f>IFERROR(INDEX($F$6:$F$565,MATCH(ROW()-5,$AQ$6:$AQ$565,0)),"")</f>
        <v/>
      </c>
      <c r="AS28">
        <f>IF(AND($F28&lt;&gt;"",$I28&lt;&gt;""),IF($G28="سرمایه و آورده صاحبان",1,0),0)</f>
        <v/>
      </c>
      <c r="AT28">
        <f>SUM($AS$6:$AS28)</f>
        <v/>
      </c>
      <c r="AU28">
        <f>IFERROR(INDEX($F$6:$F$565,MATCH(ROW()-5,$AT$6:$AT$565,0)),"")</f>
        <v/>
      </c>
      <c r="AW28">
        <f>IF([3]Issues!$C$31="","",[3]Issues!$C$31)</f>
        <v/>
      </c>
      <c r="AX28">
        <f>IF([4]Entry!$E$31="","",[4]Entry!$E$31)</f>
        <v/>
      </c>
      <c r="AY28">
        <f>IF([4]Entry!$H$31="","",[4]Entry!$H$31)</f>
        <v/>
      </c>
      <c r="AZ28">
        <f>IF([4]Entry!$I$31="","",[4]Entry!$I$31)</f>
        <v/>
      </c>
    </row>
    <row r="29">
      <c r="F29">
        <f>IF([1]Accounts!$D$30="","",[1]Accounts!$A$30)</f>
        <v/>
      </c>
      <c r="G29">
        <f>IF([1]Accounts!$D$30="","",[1]Accounts!$B$30)</f>
        <v/>
      </c>
      <c r="H29">
        <f>IF([1]Accounts!$D$30="","",[1]Accounts!$C$30)</f>
        <v/>
      </c>
      <c r="I29">
        <f>IF([1]Accounts!$D$30="","",[1]Accounts!$D$30)</f>
        <v/>
      </c>
      <c r="K29">
        <f>IF([1]SubGroups!$C$30="","",[1]SubGroups!$A$30)</f>
        <v/>
      </c>
      <c r="L29">
        <f>IF([1]SubGroups!$C$30="","",[1]SubGroups!$B$30)</f>
        <v/>
      </c>
      <c r="M29">
        <f>IF([1]SubGroups!$C$30="","",[1]SubGroups!$C$30)</f>
        <v/>
      </c>
      <c r="N29">
        <f>IF([1]SubGroups!$C$30="","",[1]SubGroups!$D$30)</f>
        <v/>
      </c>
      <c r="R29">
        <f>IF(AND($F29&lt;&gt;"",$I29&lt;&gt;""),IF(OR($G29="دارایی ثابت",$G29="وام و تسهیلات",$G29="سرمایه و آورده صاحبان"),0,1),0)</f>
        <v/>
      </c>
      <c r="S29">
        <f>SUM($R$6:$R29)</f>
        <v/>
      </c>
      <c r="T29">
        <f>IFERROR(INDEX($F$6:$F$565,MATCH(ROW()-5,$S$6:$S$565,0)),"")</f>
        <v/>
      </c>
      <c r="V29">
        <f>IF(AND($K29&lt;&gt;"",$M29&lt;&gt;""),$L29="هزینه",0)*1</f>
        <v/>
      </c>
      <c r="W29">
        <f>SUM($V$6:$V29)</f>
        <v/>
      </c>
      <c r="X29">
        <f>IFERROR(INDEX($M$6:$M$105,MATCH(ROW()-5,$W$6:$W$105,0)),"")</f>
        <v/>
      </c>
      <c r="Z29">
        <f>IF([2]Entry!$E$32="","",[2]Entry!$E$32)</f>
        <v/>
      </c>
      <c r="AA29">
        <f>IF([2]Entry!$G$32="","",[2]Entry!$G$32)</f>
        <v/>
      </c>
      <c r="AB29">
        <f>IF([2]Entry!$J$32="","",[2]Entry!$J$32)</f>
        <v/>
      </c>
      <c r="AC29">
        <f>IF([2]Entry!$K$32="","",[2]Entry!$K$32)</f>
        <v/>
      </c>
      <c r="AD29">
        <f>IF([2]Entry!$L$32="","",[2]Entry!$L$32)</f>
        <v/>
      </c>
      <c r="AE29">
        <f>IF([2]Entry!$M$32="","",[2]Entry!$M$32)</f>
        <v/>
      </c>
      <c r="AF29">
        <f>IF([2]Entry!$N$32="","",[2]Entry!$N$32)</f>
        <v/>
      </c>
      <c r="AG29">
        <f>IF([3]Issues!$B$32="","",[3]Issues!$B$32)</f>
        <v/>
      </c>
      <c r="AH29">
        <f>IF([3]Issues!$D$32="","",[3]Issues!$D$32)</f>
        <v/>
      </c>
      <c r="AI29">
        <f>IF([3]Issues!$E$32="","",[3]Issues!$E$32)</f>
        <v/>
      </c>
      <c r="AJ29">
        <f>IF([2]Entry!$S$32="","",[2]Entry!$S$32)</f>
        <v/>
      </c>
      <c r="AK29">
        <f>IF([2]Entry!$C$32="","",[2]Entry!$C$32)</f>
        <v/>
      </c>
      <c r="AL29">
        <f>IF([2]Entry!$D$32="","",[2]Entry!$D$32)</f>
        <v/>
      </c>
      <c r="AM29">
        <f>IF(AND($F29&lt;&gt;"",$I29&lt;&gt;""),IF($G29="دارایی ثابت",1,0),0)</f>
        <v/>
      </c>
      <c r="AN29">
        <f>SUM($AM$6:$AM29)</f>
        <v/>
      </c>
      <c r="AO29">
        <f>IFERROR(INDEX($F$6:$F$565,MATCH(ROW()-5,$AN$6:$AN$565,0)),"")</f>
        <v/>
      </c>
      <c r="AP29">
        <f>IF(AND($F29&lt;&gt;"",$I29&lt;&gt;""),IF($G29="وام و تسهیلات",1,0),0)</f>
        <v/>
      </c>
      <c r="AQ29">
        <f>SUM($AP$6:$AP29)</f>
        <v/>
      </c>
      <c r="AR29">
        <f>IFERROR(INDEX($F$6:$F$565,MATCH(ROW()-5,$AQ$6:$AQ$565,0)),"")</f>
        <v/>
      </c>
      <c r="AS29">
        <f>IF(AND($F29&lt;&gt;"",$I29&lt;&gt;""),IF($G29="سرمایه و آورده صاحبان",1,0),0)</f>
        <v/>
      </c>
      <c r="AT29">
        <f>SUM($AS$6:$AS29)</f>
        <v/>
      </c>
      <c r="AU29">
        <f>IFERROR(INDEX($F$6:$F$565,MATCH(ROW()-5,$AT$6:$AT$565,0)),"")</f>
        <v/>
      </c>
      <c r="AW29">
        <f>IF([3]Issues!$C$32="","",[3]Issues!$C$32)</f>
        <v/>
      </c>
      <c r="AX29">
        <f>IF([4]Entry!$E$32="","",[4]Entry!$E$32)</f>
        <v/>
      </c>
      <c r="AY29">
        <f>IF([4]Entry!$H$32="","",[4]Entry!$H$32)</f>
        <v/>
      </c>
      <c r="AZ29">
        <f>IF([4]Entry!$I$32="","",[4]Entry!$I$32)</f>
        <v/>
      </c>
    </row>
    <row r="30">
      <c r="F30">
        <f>IF([1]Accounts!$D$31="","",[1]Accounts!$A$31)</f>
        <v/>
      </c>
      <c r="G30">
        <f>IF([1]Accounts!$D$31="","",[1]Accounts!$B$31)</f>
        <v/>
      </c>
      <c r="H30">
        <f>IF([1]Accounts!$D$31="","",[1]Accounts!$C$31)</f>
        <v/>
      </c>
      <c r="I30">
        <f>IF([1]Accounts!$D$31="","",[1]Accounts!$D$31)</f>
        <v/>
      </c>
      <c r="K30">
        <f>IF([1]SubGroups!$C$31="","",[1]SubGroups!$A$31)</f>
        <v/>
      </c>
      <c r="L30">
        <f>IF([1]SubGroups!$C$31="","",[1]SubGroups!$B$31)</f>
        <v/>
      </c>
      <c r="M30">
        <f>IF([1]SubGroups!$C$31="","",[1]SubGroups!$C$31)</f>
        <v/>
      </c>
      <c r="N30">
        <f>IF([1]SubGroups!$C$31="","",[1]SubGroups!$D$31)</f>
        <v/>
      </c>
      <c r="R30">
        <f>IF(AND($F30&lt;&gt;"",$I30&lt;&gt;""),IF(OR($G30="دارایی ثابت",$G30="وام و تسهیلات",$G30="سرمایه و آورده صاحبان"),0,1),0)</f>
        <v/>
      </c>
      <c r="S30">
        <f>SUM($R$6:$R30)</f>
        <v/>
      </c>
      <c r="T30">
        <f>IFERROR(INDEX($F$6:$F$565,MATCH(ROW()-5,$S$6:$S$565,0)),"")</f>
        <v/>
      </c>
      <c r="V30">
        <f>IF(AND($K30&lt;&gt;"",$M30&lt;&gt;""),$L30="هزینه",0)*1</f>
        <v/>
      </c>
      <c r="W30">
        <f>SUM($V$6:$V30)</f>
        <v/>
      </c>
      <c r="X30">
        <f>IFERROR(INDEX($M$6:$M$105,MATCH(ROW()-5,$W$6:$W$105,0)),"")</f>
        <v/>
      </c>
      <c r="Z30">
        <f>IF([2]Entry!$E$33="","",[2]Entry!$E$33)</f>
        <v/>
      </c>
      <c r="AA30">
        <f>IF([2]Entry!$G$33="","",[2]Entry!$G$33)</f>
        <v/>
      </c>
      <c r="AB30">
        <f>IF([2]Entry!$J$33="","",[2]Entry!$J$33)</f>
        <v/>
      </c>
      <c r="AC30">
        <f>IF([2]Entry!$K$33="","",[2]Entry!$K$33)</f>
        <v/>
      </c>
      <c r="AD30">
        <f>IF([2]Entry!$L$33="","",[2]Entry!$L$33)</f>
        <v/>
      </c>
      <c r="AE30">
        <f>IF([2]Entry!$M$33="","",[2]Entry!$M$33)</f>
        <v/>
      </c>
      <c r="AF30">
        <f>IF([2]Entry!$N$33="","",[2]Entry!$N$33)</f>
        <v/>
      </c>
      <c r="AG30">
        <f>IF([3]Issues!$B$33="","",[3]Issues!$B$33)</f>
        <v/>
      </c>
      <c r="AH30">
        <f>IF([3]Issues!$D$33="","",[3]Issues!$D$33)</f>
        <v/>
      </c>
      <c r="AI30">
        <f>IF([3]Issues!$E$33="","",[3]Issues!$E$33)</f>
        <v/>
      </c>
      <c r="AJ30">
        <f>IF([2]Entry!$S$33="","",[2]Entry!$S$33)</f>
        <v/>
      </c>
      <c r="AK30">
        <f>IF([2]Entry!$C$33="","",[2]Entry!$C$33)</f>
        <v/>
      </c>
      <c r="AL30">
        <f>IF([2]Entry!$D$33="","",[2]Entry!$D$33)</f>
        <v/>
      </c>
      <c r="AM30">
        <f>IF(AND($F30&lt;&gt;"",$I30&lt;&gt;""),IF($G30="دارایی ثابت",1,0),0)</f>
        <v/>
      </c>
      <c r="AN30">
        <f>SUM($AM$6:$AM30)</f>
        <v/>
      </c>
      <c r="AO30">
        <f>IFERROR(INDEX($F$6:$F$565,MATCH(ROW()-5,$AN$6:$AN$565,0)),"")</f>
        <v/>
      </c>
      <c r="AP30">
        <f>IF(AND($F30&lt;&gt;"",$I30&lt;&gt;""),IF($G30="وام و تسهیلات",1,0),0)</f>
        <v/>
      </c>
      <c r="AQ30">
        <f>SUM($AP$6:$AP30)</f>
        <v/>
      </c>
      <c r="AR30">
        <f>IFERROR(INDEX($F$6:$F$565,MATCH(ROW()-5,$AQ$6:$AQ$565,0)),"")</f>
        <v/>
      </c>
      <c r="AS30">
        <f>IF(AND($F30&lt;&gt;"",$I30&lt;&gt;""),IF($G30="سرمایه و آورده صاحبان",1,0),0)</f>
        <v/>
      </c>
      <c r="AT30">
        <f>SUM($AS$6:$AS30)</f>
        <v/>
      </c>
      <c r="AU30">
        <f>IFERROR(INDEX($F$6:$F$565,MATCH(ROW()-5,$AT$6:$AT$565,0)),"")</f>
        <v/>
      </c>
      <c r="AW30">
        <f>IF([3]Issues!$C$33="","",[3]Issues!$C$33)</f>
        <v/>
      </c>
      <c r="AX30">
        <f>IF([4]Entry!$E$33="","",[4]Entry!$E$33)</f>
        <v/>
      </c>
      <c r="AY30">
        <f>IF([4]Entry!$H$33="","",[4]Entry!$H$33)</f>
        <v/>
      </c>
      <c r="AZ30">
        <f>IF([4]Entry!$I$33="","",[4]Entry!$I$33)</f>
        <v/>
      </c>
    </row>
    <row r="31">
      <c r="F31">
        <f>IF([1]Accounts!$D$32="","",[1]Accounts!$A$32)</f>
        <v/>
      </c>
      <c r="G31">
        <f>IF([1]Accounts!$D$32="","",[1]Accounts!$B$32)</f>
        <v/>
      </c>
      <c r="H31">
        <f>IF([1]Accounts!$D$32="","",[1]Accounts!$C$32)</f>
        <v/>
      </c>
      <c r="I31">
        <f>IF([1]Accounts!$D$32="","",[1]Accounts!$D$32)</f>
        <v/>
      </c>
      <c r="K31">
        <f>IF([1]SubGroups!$C$32="","",[1]SubGroups!$A$32)</f>
        <v/>
      </c>
      <c r="L31">
        <f>IF([1]SubGroups!$C$32="","",[1]SubGroups!$B$32)</f>
        <v/>
      </c>
      <c r="M31">
        <f>IF([1]SubGroups!$C$32="","",[1]SubGroups!$C$32)</f>
        <v/>
      </c>
      <c r="N31">
        <f>IF([1]SubGroups!$C$32="","",[1]SubGroups!$D$32)</f>
        <v/>
      </c>
      <c r="R31">
        <f>IF(AND($F31&lt;&gt;"",$I31&lt;&gt;""),IF(OR($G31="دارایی ثابت",$G31="وام و تسهیلات",$G31="سرمایه و آورده صاحبان"),0,1),0)</f>
        <v/>
      </c>
      <c r="S31">
        <f>SUM($R$6:$R31)</f>
        <v/>
      </c>
      <c r="T31">
        <f>IFERROR(INDEX($F$6:$F$565,MATCH(ROW()-5,$S$6:$S$565,0)),"")</f>
        <v/>
      </c>
      <c r="V31">
        <f>IF(AND($K31&lt;&gt;"",$M31&lt;&gt;""),$L31="هزینه",0)*1</f>
        <v/>
      </c>
      <c r="W31">
        <f>SUM($V$6:$V31)</f>
        <v/>
      </c>
      <c r="X31">
        <f>IFERROR(INDEX($M$6:$M$105,MATCH(ROW()-5,$W$6:$W$105,0)),"")</f>
        <v/>
      </c>
      <c r="Z31">
        <f>IF([2]Entry!$E$34="","",[2]Entry!$E$34)</f>
        <v/>
      </c>
      <c r="AA31">
        <f>IF([2]Entry!$G$34="","",[2]Entry!$G$34)</f>
        <v/>
      </c>
      <c r="AB31">
        <f>IF([2]Entry!$J$34="","",[2]Entry!$J$34)</f>
        <v/>
      </c>
      <c r="AC31">
        <f>IF([2]Entry!$K$34="","",[2]Entry!$K$34)</f>
        <v/>
      </c>
      <c r="AD31">
        <f>IF([2]Entry!$L$34="","",[2]Entry!$L$34)</f>
        <v/>
      </c>
      <c r="AE31">
        <f>IF([2]Entry!$M$34="","",[2]Entry!$M$34)</f>
        <v/>
      </c>
      <c r="AF31">
        <f>IF([2]Entry!$N$34="","",[2]Entry!$N$34)</f>
        <v/>
      </c>
      <c r="AG31">
        <f>IF([3]Issues!$B$34="","",[3]Issues!$B$34)</f>
        <v/>
      </c>
      <c r="AH31">
        <f>IF([3]Issues!$D$34="","",[3]Issues!$D$34)</f>
        <v/>
      </c>
      <c r="AI31">
        <f>IF([3]Issues!$E$34="","",[3]Issues!$E$34)</f>
        <v/>
      </c>
      <c r="AJ31">
        <f>IF([2]Entry!$S$34="","",[2]Entry!$S$34)</f>
        <v/>
      </c>
      <c r="AK31">
        <f>IF([2]Entry!$C$34="","",[2]Entry!$C$34)</f>
        <v/>
      </c>
      <c r="AL31">
        <f>IF([2]Entry!$D$34="","",[2]Entry!$D$34)</f>
        <v/>
      </c>
      <c r="AM31">
        <f>IF(AND($F31&lt;&gt;"",$I31&lt;&gt;""),IF($G31="دارایی ثابت",1,0),0)</f>
        <v/>
      </c>
      <c r="AN31">
        <f>SUM($AM$6:$AM31)</f>
        <v/>
      </c>
      <c r="AO31">
        <f>IFERROR(INDEX($F$6:$F$565,MATCH(ROW()-5,$AN$6:$AN$565,0)),"")</f>
        <v/>
      </c>
      <c r="AP31">
        <f>IF(AND($F31&lt;&gt;"",$I31&lt;&gt;""),IF($G31="وام و تسهیلات",1,0),0)</f>
        <v/>
      </c>
      <c r="AQ31">
        <f>SUM($AP$6:$AP31)</f>
        <v/>
      </c>
      <c r="AR31">
        <f>IFERROR(INDEX($F$6:$F$565,MATCH(ROW()-5,$AQ$6:$AQ$565,0)),"")</f>
        <v/>
      </c>
      <c r="AS31">
        <f>IF(AND($F31&lt;&gt;"",$I31&lt;&gt;""),IF($G31="سرمایه و آورده صاحبان",1,0),0)</f>
        <v/>
      </c>
      <c r="AT31">
        <f>SUM($AS$6:$AS31)</f>
        <v/>
      </c>
      <c r="AU31">
        <f>IFERROR(INDEX($F$6:$F$565,MATCH(ROW()-5,$AT$6:$AT$565,0)),"")</f>
        <v/>
      </c>
      <c r="AW31">
        <f>IF([3]Issues!$C$34="","",[3]Issues!$C$34)</f>
        <v/>
      </c>
      <c r="AX31">
        <f>IF([4]Entry!$E$34="","",[4]Entry!$E$34)</f>
        <v/>
      </c>
      <c r="AY31">
        <f>IF([4]Entry!$H$34="","",[4]Entry!$H$34)</f>
        <v/>
      </c>
      <c r="AZ31">
        <f>IF([4]Entry!$I$34="","",[4]Entry!$I$34)</f>
        <v/>
      </c>
    </row>
    <row r="32">
      <c r="F32">
        <f>IF([1]Accounts!$D$33="","",[1]Accounts!$A$33)</f>
        <v/>
      </c>
      <c r="G32">
        <f>IF([1]Accounts!$D$33="","",[1]Accounts!$B$33)</f>
        <v/>
      </c>
      <c r="H32">
        <f>IF([1]Accounts!$D$33="","",[1]Accounts!$C$33)</f>
        <v/>
      </c>
      <c r="I32">
        <f>IF([1]Accounts!$D$33="","",[1]Accounts!$D$33)</f>
        <v/>
      </c>
      <c r="K32">
        <f>IF([1]SubGroups!$C$33="","",[1]SubGroups!$A$33)</f>
        <v/>
      </c>
      <c r="L32">
        <f>IF([1]SubGroups!$C$33="","",[1]SubGroups!$B$33)</f>
        <v/>
      </c>
      <c r="M32">
        <f>IF([1]SubGroups!$C$33="","",[1]SubGroups!$C$33)</f>
        <v/>
      </c>
      <c r="N32">
        <f>IF([1]SubGroups!$C$33="","",[1]SubGroups!$D$33)</f>
        <v/>
      </c>
      <c r="R32">
        <f>IF(AND($F32&lt;&gt;"",$I32&lt;&gt;""),IF(OR($G32="دارایی ثابت",$G32="وام و تسهیلات",$G32="سرمایه و آورده صاحبان"),0,1),0)</f>
        <v/>
      </c>
      <c r="S32">
        <f>SUM($R$6:$R32)</f>
        <v/>
      </c>
      <c r="T32">
        <f>IFERROR(INDEX($F$6:$F$565,MATCH(ROW()-5,$S$6:$S$565,0)),"")</f>
        <v/>
      </c>
      <c r="V32">
        <f>IF(AND($K32&lt;&gt;"",$M32&lt;&gt;""),$L32="هزینه",0)*1</f>
        <v/>
      </c>
      <c r="W32">
        <f>SUM($V$6:$V32)</f>
        <v/>
      </c>
      <c r="X32">
        <f>IFERROR(INDEX($M$6:$M$105,MATCH(ROW()-5,$W$6:$W$105,0)),"")</f>
        <v/>
      </c>
      <c r="Z32">
        <f>IF([2]Entry!$E$35="","",[2]Entry!$E$35)</f>
        <v/>
      </c>
      <c r="AA32">
        <f>IF([2]Entry!$G$35="","",[2]Entry!$G$35)</f>
        <v/>
      </c>
      <c r="AB32">
        <f>IF([2]Entry!$J$35="","",[2]Entry!$J$35)</f>
        <v/>
      </c>
      <c r="AC32">
        <f>IF([2]Entry!$K$35="","",[2]Entry!$K$35)</f>
        <v/>
      </c>
      <c r="AD32">
        <f>IF([2]Entry!$L$35="","",[2]Entry!$L$35)</f>
        <v/>
      </c>
      <c r="AE32">
        <f>IF([2]Entry!$M$35="","",[2]Entry!$M$35)</f>
        <v/>
      </c>
      <c r="AF32">
        <f>IF([2]Entry!$N$35="","",[2]Entry!$N$35)</f>
        <v/>
      </c>
      <c r="AG32">
        <f>IF([3]Issues!$B$35="","",[3]Issues!$B$35)</f>
        <v/>
      </c>
      <c r="AH32">
        <f>IF([3]Issues!$D$35="","",[3]Issues!$D$35)</f>
        <v/>
      </c>
      <c r="AI32">
        <f>IF([3]Issues!$E$35="","",[3]Issues!$E$35)</f>
        <v/>
      </c>
      <c r="AJ32">
        <f>IF([2]Entry!$S$35="","",[2]Entry!$S$35)</f>
        <v/>
      </c>
      <c r="AK32">
        <f>IF([2]Entry!$C$35="","",[2]Entry!$C$35)</f>
        <v/>
      </c>
      <c r="AL32">
        <f>IF([2]Entry!$D$35="","",[2]Entry!$D$35)</f>
        <v/>
      </c>
      <c r="AM32">
        <f>IF(AND($F32&lt;&gt;"",$I32&lt;&gt;""),IF($G32="دارایی ثابت",1,0),0)</f>
        <v/>
      </c>
      <c r="AN32">
        <f>SUM($AM$6:$AM32)</f>
        <v/>
      </c>
      <c r="AO32">
        <f>IFERROR(INDEX($F$6:$F$565,MATCH(ROW()-5,$AN$6:$AN$565,0)),"")</f>
        <v/>
      </c>
      <c r="AP32">
        <f>IF(AND($F32&lt;&gt;"",$I32&lt;&gt;""),IF($G32="وام و تسهیلات",1,0),0)</f>
        <v/>
      </c>
      <c r="AQ32">
        <f>SUM($AP$6:$AP32)</f>
        <v/>
      </c>
      <c r="AR32">
        <f>IFERROR(INDEX($F$6:$F$565,MATCH(ROW()-5,$AQ$6:$AQ$565,0)),"")</f>
        <v/>
      </c>
      <c r="AS32">
        <f>IF(AND($F32&lt;&gt;"",$I32&lt;&gt;""),IF($G32="سرمایه و آورده صاحبان",1,0),0)</f>
        <v/>
      </c>
      <c r="AT32">
        <f>SUM($AS$6:$AS32)</f>
        <v/>
      </c>
      <c r="AU32">
        <f>IFERROR(INDEX($F$6:$F$565,MATCH(ROW()-5,$AT$6:$AT$565,0)),"")</f>
        <v/>
      </c>
      <c r="AW32">
        <f>IF([3]Issues!$C$35="","",[3]Issues!$C$35)</f>
        <v/>
      </c>
      <c r="AX32">
        <f>IF([4]Entry!$E$35="","",[4]Entry!$E$35)</f>
        <v/>
      </c>
      <c r="AY32">
        <f>IF([4]Entry!$H$35="","",[4]Entry!$H$35)</f>
        <v/>
      </c>
      <c r="AZ32">
        <f>IF([4]Entry!$I$35="","",[4]Entry!$I$35)</f>
        <v/>
      </c>
    </row>
    <row r="33">
      <c r="F33">
        <f>IF([1]Accounts!$D$34="","",[1]Accounts!$A$34)</f>
        <v/>
      </c>
      <c r="G33">
        <f>IF([1]Accounts!$D$34="","",[1]Accounts!$B$34)</f>
        <v/>
      </c>
      <c r="H33">
        <f>IF([1]Accounts!$D$34="","",[1]Accounts!$C$34)</f>
        <v/>
      </c>
      <c r="I33">
        <f>IF([1]Accounts!$D$34="","",[1]Accounts!$D$34)</f>
        <v/>
      </c>
      <c r="K33">
        <f>IF([1]SubGroups!$C$34="","",[1]SubGroups!$A$34)</f>
        <v/>
      </c>
      <c r="L33">
        <f>IF([1]SubGroups!$C$34="","",[1]SubGroups!$B$34)</f>
        <v/>
      </c>
      <c r="M33">
        <f>IF([1]SubGroups!$C$34="","",[1]SubGroups!$C$34)</f>
        <v/>
      </c>
      <c r="N33">
        <f>IF([1]SubGroups!$C$34="","",[1]SubGroups!$D$34)</f>
        <v/>
      </c>
      <c r="R33">
        <f>IF(AND($F33&lt;&gt;"",$I33&lt;&gt;""),IF(OR($G33="دارایی ثابت",$G33="وام و تسهیلات",$G33="سرمایه و آورده صاحبان"),0,1),0)</f>
        <v/>
      </c>
      <c r="S33">
        <f>SUM($R$6:$R33)</f>
        <v/>
      </c>
      <c r="T33">
        <f>IFERROR(INDEX($F$6:$F$565,MATCH(ROW()-5,$S$6:$S$565,0)),"")</f>
        <v/>
      </c>
      <c r="V33">
        <f>IF(AND($K33&lt;&gt;"",$M33&lt;&gt;""),$L33="هزینه",0)*1</f>
        <v/>
      </c>
      <c r="W33">
        <f>SUM($V$6:$V33)</f>
        <v/>
      </c>
      <c r="X33">
        <f>IFERROR(INDEX($M$6:$M$105,MATCH(ROW()-5,$W$6:$W$105,0)),"")</f>
        <v/>
      </c>
      <c r="Z33">
        <f>IF([2]Entry!$E$36="","",[2]Entry!$E$36)</f>
        <v/>
      </c>
      <c r="AA33">
        <f>IF([2]Entry!$G$36="","",[2]Entry!$G$36)</f>
        <v/>
      </c>
      <c r="AB33">
        <f>IF([2]Entry!$J$36="","",[2]Entry!$J$36)</f>
        <v/>
      </c>
      <c r="AC33">
        <f>IF([2]Entry!$K$36="","",[2]Entry!$K$36)</f>
        <v/>
      </c>
      <c r="AD33">
        <f>IF([2]Entry!$L$36="","",[2]Entry!$L$36)</f>
        <v/>
      </c>
      <c r="AE33">
        <f>IF([2]Entry!$M$36="","",[2]Entry!$M$36)</f>
        <v/>
      </c>
      <c r="AF33">
        <f>IF([2]Entry!$N$36="","",[2]Entry!$N$36)</f>
        <v/>
      </c>
      <c r="AG33">
        <f>IF([3]Issues!$B$36="","",[3]Issues!$B$36)</f>
        <v/>
      </c>
      <c r="AH33">
        <f>IF([3]Issues!$D$36="","",[3]Issues!$D$36)</f>
        <v/>
      </c>
      <c r="AI33">
        <f>IF([3]Issues!$E$36="","",[3]Issues!$E$36)</f>
        <v/>
      </c>
      <c r="AJ33">
        <f>IF([2]Entry!$S$36="","",[2]Entry!$S$36)</f>
        <v/>
      </c>
      <c r="AK33">
        <f>IF([2]Entry!$C$36="","",[2]Entry!$C$36)</f>
        <v/>
      </c>
      <c r="AL33">
        <f>IF([2]Entry!$D$36="","",[2]Entry!$D$36)</f>
        <v/>
      </c>
      <c r="AM33">
        <f>IF(AND($F33&lt;&gt;"",$I33&lt;&gt;""),IF($G33="دارایی ثابت",1,0),0)</f>
        <v/>
      </c>
      <c r="AN33">
        <f>SUM($AM$6:$AM33)</f>
        <v/>
      </c>
      <c r="AO33">
        <f>IFERROR(INDEX($F$6:$F$565,MATCH(ROW()-5,$AN$6:$AN$565,0)),"")</f>
        <v/>
      </c>
      <c r="AP33">
        <f>IF(AND($F33&lt;&gt;"",$I33&lt;&gt;""),IF($G33="وام و تسهیلات",1,0),0)</f>
        <v/>
      </c>
      <c r="AQ33">
        <f>SUM($AP$6:$AP33)</f>
        <v/>
      </c>
      <c r="AR33">
        <f>IFERROR(INDEX($F$6:$F$565,MATCH(ROW()-5,$AQ$6:$AQ$565,0)),"")</f>
        <v/>
      </c>
      <c r="AS33">
        <f>IF(AND($F33&lt;&gt;"",$I33&lt;&gt;""),IF($G33="سرمایه و آورده صاحبان",1,0),0)</f>
        <v/>
      </c>
      <c r="AT33">
        <f>SUM($AS$6:$AS33)</f>
        <v/>
      </c>
      <c r="AU33">
        <f>IFERROR(INDEX($F$6:$F$565,MATCH(ROW()-5,$AT$6:$AT$565,0)),"")</f>
        <v/>
      </c>
      <c r="AW33">
        <f>IF([3]Issues!$C$36="","",[3]Issues!$C$36)</f>
        <v/>
      </c>
      <c r="AX33">
        <f>IF([4]Entry!$E$36="","",[4]Entry!$E$36)</f>
        <v/>
      </c>
      <c r="AY33">
        <f>IF([4]Entry!$H$36="","",[4]Entry!$H$36)</f>
        <v/>
      </c>
      <c r="AZ33">
        <f>IF([4]Entry!$I$36="","",[4]Entry!$I$36)</f>
        <v/>
      </c>
    </row>
    <row r="34">
      <c r="F34">
        <f>IF([1]Accounts!$D$35="","",[1]Accounts!$A$35)</f>
        <v/>
      </c>
      <c r="G34">
        <f>IF([1]Accounts!$D$35="","",[1]Accounts!$B$35)</f>
        <v/>
      </c>
      <c r="H34">
        <f>IF([1]Accounts!$D$35="","",[1]Accounts!$C$35)</f>
        <v/>
      </c>
      <c r="I34">
        <f>IF([1]Accounts!$D$35="","",[1]Accounts!$D$35)</f>
        <v/>
      </c>
      <c r="K34">
        <f>IF([1]SubGroups!$C$35="","",[1]SubGroups!$A$35)</f>
        <v/>
      </c>
      <c r="L34">
        <f>IF([1]SubGroups!$C$35="","",[1]SubGroups!$B$35)</f>
        <v/>
      </c>
      <c r="M34">
        <f>IF([1]SubGroups!$C$35="","",[1]SubGroups!$C$35)</f>
        <v/>
      </c>
      <c r="N34">
        <f>IF([1]SubGroups!$C$35="","",[1]SubGroups!$D$35)</f>
        <v/>
      </c>
      <c r="R34">
        <f>IF(AND($F34&lt;&gt;"",$I34&lt;&gt;""),IF(OR($G34="دارایی ثابت",$G34="وام و تسهیلات",$G34="سرمایه و آورده صاحبان"),0,1),0)</f>
        <v/>
      </c>
      <c r="S34">
        <f>SUM($R$6:$R34)</f>
        <v/>
      </c>
      <c r="T34">
        <f>IFERROR(INDEX($F$6:$F$565,MATCH(ROW()-5,$S$6:$S$565,0)),"")</f>
        <v/>
      </c>
      <c r="V34">
        <f>IF(AND($K34&lt;&gt;"",$M34&lt;&gt;""),$L34="هزینه",0)*1</f>
        <v/>
      </c>
      <c r="W34">
        <f>SUM($V$6:$V34)</f>
        <v/>
      </c>
      <c r="X34">
        <f>IFERROR(INDEX($M$6:$M$105,MATCH(ROW()-5,$W$6:$W$105,0)),"")</f>
        <v/>
      </c>
      <c r="Z34">
        <f>IF([2]Entry!$E$37="","",[2]Entry!$E$37)</f>
        <v/>
      </c>
      <c r="AA34">
        <f>IF([2]Entry!$G$37="","",[2]Entry!$G$37)</f>
        <v/>
      </c>
      <c r="AB34">
        <f>IF([2]Entry!$J$37="","",[2]Entry!$J$37)</f>
        <v/>
      </c>
      <c r="AC34">
        <f>IF([2]Entry!$K$37="","",[2]Entry!$K$37)</f>
        <v/>
      </c>
      <c r="AD34">
        <f>IF([2]Entry!$L$37="","",[2]Entry!$L$37)</f>
        <v/>
      </c>
      <c r="AE34">
        <f>IF([2]Entry!$M$37="","",[2]Entry!$M$37)</f>
        <v/>
      </c>
      <c r="AF34">
        <f>IF([2]Entry!$N$37="","",[2]Entry!$N$37)</f>
        <v/>
      </c>
      <c r="AG34">
        <f>IF([3]Issues!$B$37="","",[3]Issues!$B$37)</f>
        <v/>
      </c>
      <c r="AH34">
        <f>IF([3]Issues!$D$37="","",[3]Issues!$D$37)</f>
        <v/>
      </c>
      <c r="AI34">
        <f>IF([3]Issues!$E$37="","",[3]Issues!$E$37)</f>
        <v/>
      </c>
      <c r="AJ34">
        <f>IF([2]Entry!$S$37="","",[2]Entry!$S$37)</f>
        <v/>
      </c>
      <c r="AK34">
        <f>IF([2]Entry!$C$37="","",[2]Entry!$C$37)</f>
        <v/>
      </c>
      <c r="AL34">
        <f>IF([2]Entry!$D$37="","",[2]Entry!$D$37)</f>
        <v/>
      </c>
      <c r="AM34">
        <f>IF(AND($F34&lt;&gt;"",$I34&lt;&gt;""),IF($G34="دارایی ثابت",1,0),0)</f>
        <v/>
      </c>
      <c r="AN34">
        <f>SUM($AM$6:$AM34)</f>
        <v/>
      </c>
      <c r="AO34">
        <f>IFERROR(INDEX($F$6:$F$565,MATCH(ROW()-5,$AN$6:$AN$565,0)),"")</f>
        <v/>
      </c>
      <c r="AP34">
        <f>IF(AND($F34&lt;&gt;"",$I34&lt;&gt;""),IF($G34="وام و تسهیلات",1,0),0)</f>
        <v/>
      </c>
      <c r="AQ34">
        <f>SUM($AP$6:$AP34)</f>
        <v/>
      </c>
      <c r="AR34">
        <f>IFERROR(INDEX($F$6:$F$565,MATCH(ROW()-5,$AQ$6:$AQ$565,0)),"")</f>
        <v/>
      </c>
      <c r="AS34">
        <f>IF(AND($F34&lt;&gt;"",$I34&lt;&gt;""),IF($G34="سرمایه و آورده صاحبان",1,0),0)</f>
        <v/>
      </c>
      <c r="AT34">
        <f>SUM($AS$6:$AS34)</f>
        <v/>
      </c>
      <c r="AU34">
        <f>IFERROR(INDEX($F$6:$F$565,MATCH(ROW()-5,$AT$6:$AT$565,0)),"")</f>
        <v/>
      </c>
      <c r="AW34">
        <f>IF([3]Issues!$C$37="","",[3]Issues!$C$37)</f>
        <v/>
      </c>
      <c r="AX34">
        <f>IF([4]Entry!$E$37="","",[4]Entry!$E$37)</f>
        <v/>
      </c>
      <c r="AY34">
        <f>IF([4]Entry!$H$37="","",[4]Entry!$H$37)</f>
        <v/>
      </c>
      <c r="AZ34">
        <f>IF([4]Entry!$I$37="","",[4]Entry!$I$37)</f>
        <v/>
      </c>
    </row>
    <row r="35">
      <c r="F35">
        <f>IF([1]Accounts!$D$36="","",[1]Accounts!$A$36)</f>
        <v/>
      </c>
      <c r="G35">
        <f>IF([1]Accounts!$D$36="","",[1]Accounts!$B$36)</f>
        <v/>
      </c>
      <c r="H35">
        <f>IF([1]Accounts!$D$36="","",[1]Accounts!$C$36)</f>
        <v/>
      </c>
      <c r="I35">
        <f>IF([1]Accounts!$D$36="","",[1]Accounts!$D$36)</f>
        <v/>
      </c>
      <c r="K35">
        <f>IF([1]SubGroups!$C$36="","",[1]SubGroups!$A$36)</f>
        <v/>
      </c>
      <c r="L35">
        <f>IF([1]SubGroups!$C$36="","",[1]SubGroups!$B$36)</f>
        <v/>
      </c>
      <c r="M35">
        <f>IF([1]SubGroups!$C$36="","",[1]SubGroups!$C$36)</f>
        <v/>
      </c>
      <c r="N35">
        <f>IF([1]SubGroups!$C$36="","",[1]SubGroups!$D$36)</f>
        <v/>
      </c>
      <c r="R35">
        <f>IF(AND($F35&lt;&gt;"",$I35&lt;&gt;""),IF(OR($G35="دارایی ثابت",$G35="وام و تسهیلات",$G35="سرمایه و آورده صاحبان"),0,1),0)</f>
        <v/>
      </c>
      <c r="S35">
        <f>SUM($R$6:$R35)</f>
        <v/>
      </c>
      <c r="T35">
        <f>IFERROR(INDEX($F$6:$F$565,MATCH(ROW()-5,$S$6:$S$565,0)),"")</f>
        <v/>
      </c>
      <c r="V35">
        <f>IF(AND($K35&lt;&gt;"",$M35&lt;&gt;""),$L35="هزینه",0)*1</f>
        <v/>
      </c>
      <c r="W35">
        <f>SUM($V$6:$V35)</f>
        <v/>
      </c>
      <c r="X35">
        <f>IFERROR(INDEX($M$6:$M$105,MATCH(ROW()-5,$W$6:$W$105,0)),"")</f>
        <v/>
      </c>
      <c r="Z35">
        <f>IF([2]Entry!$E$38="","",[2]Entry!$E$38)</f>
        <v/>
      </c>
      <c r="AA35">
        <f>IF([2]Entry!$G$38="","",[2]Entry!$G$38)</f>
        <v/>
      </c>
      <c r="AB35">
        <f>IF([2]Entry!$J$38="","",[2]Entry!$J$38)</f>
        <v/>
      </c>
      <c r="AC35">
        <f>IF([2]Entry!$K$38="","",[2]Entry!$K$38)</f>
        <v/>
      </c>
      <c r="AD35">
        <f>IF([2]Entry!$L$38="","",[2]Entry!$L$38)</f>
        <v/>
      </c>
      <c r="AE35">
        <f>IF([2]Entry!$M$38="","",[2]Entry!$M$38)</f>
        <v/>
      </c>
      <c r="AF35">
        <f>IF([2]Entry!$N$38="","",[2]Entry!$N$38)</f>
        <v/>
      </c>
      <c r="AG35">
        <f>IF([3]Issues!$B$38="","",[3]Issues!$B$38)</f>
        <v/>
      </c>
      <c r="AH35">
        <f>IF([3]Issues!$D$38="","",[3]Issues!$D$38)</f>
        <v/>
      </c>
      <c r="AI35">
        <f>IF([3]Issues!$E$38="","",[3]Issues!$E$38)</f>
        <v/>
      </c>
      <c r="AJ35">
        <f>IF([2]Entry!$S$38="","",[2]Entry!$S$38)</f>
        <v/>
      </c>
      <c r="AK35">
        <f>IF([2]Entry!$C$38="","",[2]Entry!$C$38)</f>
        <v/>
      </c>
      <c r="AL35">
        <f>IF([2]Entry!$D$38="","",[2]Entry!$D$38)</f>
        <v/>
      </c>
      <c r="AM35">
        <f>IF(AND($F35&lt;&gt;"",$I35&lt;&gt;""),IF($G35="دارایی ثابت",1,0),0)</f>
        <v/>
      </c>
      <c r="AN35">
        <f>SUM($AM$6:$AM35)</f>
        <v/>
      </c>
      <c r="AO35">
        <f>IFERROR(INDEX($F$6:$F$565,MATCH(ROW()-5,$AN$6:$AN$565,0)),"")</f>
        <v/>
      </c>
      <c r="AP35">
        <f>IF(AND($F35&lt;&gt;"",$I35&lt;&gt;""),IF($G35="وام و تسهیلات",1,0),0)</f>
        <v/>
      </c>
      <c r="AQ35">
        <f>SUM($AP$6:$AP35)</f>
        <v/>
      </c>
      <c r="AR35">
        <f>IFERROR(INDEX($F$6:$F$565,MATCH(ROW()-5,$AQ$6:$AQ$565,0)),"")</f>
        <v/>
      </c>
      <c r="AS35">
        <f>IF(AND($F35&lt;&gt;"",$I35&lt;&gt;""),IF($G35="سرمایه و آورده صاحبان",1,0),0)</f>
        <v/>
      </c>
      <c r="AT35">
        <f>SUM($AS$6:$AS35)</f>
        <v/>
      </c>
      <c r="AU35">
        <f>IFERROR(INDEX($F$6:$F$565,MATCH(ROW()-5,$AT$6:$AT$565,0)),"")</f>
        <v/>
      </c>
      <c r="AW35">
        <f>IF([3]Issues!$C$38="","",[3]Issues!$C$38)</f>
        <v/>
      </c>
      <c r="AX35">
        <f>IF([4]Entry!$E$38="","",[4]Entry!$E$38)</f>
        <v/>
      </c>
      <c r="AY35">
        <f>IF([4]Entry!$H$38="","",[4]Entry!$H$38)</f>
        <v/>
      </c>
      <c r="AZ35">
        <f>IF([4]Entry!$I$38="","",[4]Entry!$I$38)</f>
        <v/>
      </c>
    </row>
    <row r="36">
      <c r="F36">
        <f>IF([1]Accounts!$D$37="","",[1]Accounts!$A$37)</f>
        <v/>
      </c>
      <c r="G36">
        <f>IF([1]Accounts!$D$37="","",[1]Accounts!$B$37)</f>
        <v/>
      </c>
      <c r="H36">
        <f>IF([1]Accounts!$D$37="","",[1]Accounts!$C$37)</f>
        <v/>
      </c>
      <c r="I36">
        <f>IF([1]Accounts!$D$37="","",[1]Accounts!$D$37)</f>
        <v/>
      </c>
      <c r="K36">
        <f>IF([1]SubGroups!$C$37="","",[1]SubGroups!$A$37)</f>
        <v/>
      </c>
      <c r="L36">
        <f>IF([1]SubGroups!$C$37="","",[1]SubGroups!$B$37)</f>
        <v/>
      </c>
      <c r="M36">
        <f>IF([1]SubGroups!$C$37="","",[1]SubGroups!$C$37)</f>
        <v/>
      </c>
      <c r="N36">
        <f>IF([1]SubGroups!$C$37="","",[1]SubGroups!$D$37)</f>
        <v/>
      </c>
      <c r="R36">
        <f>IF(AND($F36&lt;&gt;"",$I36&lt;&gt;""),IF(OR($G36="دارایی ثابت",$G36="وام و تسهیلات",$G36="سرمایه و آورده صاحبان"),0,1),0)</f>
        <v/>
      </c>
      <c r="S36">
        <f>SUM($R$6:$R36)</f>
        <v/>
      </c>
      <c r="T36">
        <f>IFERROR(INDEX($F$6:$F$565,MATCH(ROW()-5,$S$6:$S$565,0)),"")</f>
        <v/>
      </c>
      <c r="V36">
        <f>IF(AND($K36&lt;&gt;"",$M36&lt;&gt;""),$L36="هزینه",0)*1</f>
        <v/>
      </c>
      <c r="W36">
        <f>SUM($V$6:$V36)</f>
        <v/>
      </c>
      <c r="X36">
        <f>IFERROR(INDEX($M$6:$M$105,MATCH(ROW()-5,$W$6:$W$105,0)),"")</f>
        <v/>
      </c>
      <c r="Z36">
        <f>IF([2]Entry!$E$39="","",[2]Entry!$E$39)</f>
        <v/>
      </c>
      <c r="AA36">
        <f>IF([2]Entry!$G$39="","",[2]Entry!$G$39)</f>
        <v/>
      </c>
      <c r="AB36">
        <f>IF([2]Entry!$J$39="","",[2]Entry!$J$39)</f>
        <v/>
      </c>
      <c r="AC36">
        <f>IF([2]Entry!$K$39="","",[2]Entry!$K$39)</f>
        <v/>
      </c>
      <c r="AD36">
        <f>IF([2]Entry!$L$39="","",[2]Entry!$L$39)</f>
        <v/>
      </c>
      <c r="AE36">
        <f>IF([2]Entry!$M$39="","",[2]Entry!$M$39)</f>
        <v/>
      </c>
      <c r="AF36">
        <f>IF([2]Entry!$N$39="","",[2]Entry!$N$39)</f>
        <v/>
      </c>
      <c r="AG36">
        <f>IF([3]Issues!$B$39="","",[3]Issues!$B$39)</f>
        <v/>
      </c>
      <c r="AH36">
        <f>IF([3]Issues!$D$39="","",[3]Issues!$D$39)</f>
        <v/>
      </c>
      <c r="AI36">
        <f>IF([3]Issues!$E$39="","",[3]Issues!$E$39)</f>
        <v/>
      </c>
      <c r="AJ36">
        <f>IF([2]Entry!$S$39="","",[2]Entry!$S$39)</f>
        <v/>
      </c>
      <c r="AK36">
        <f>IF([2]Entry!$C$39="","",[2]Entry!$C$39)</f>
        <v/>
      </c>
      <c r="AL36">
        <f>IF([2]Entry!$D$39="","",[2]Entry!$D$39)</f>
        <v/>
      </c>
      <c r="AM36">
        <f>IF(AND($F36&lt;&gt;"",$I36&lt;&gt;""),IF($G36="دارایی ثابت",1,0),0)</f>
        <v/>
      </c>
      <c r="AN36">
        <f>SUM($AM$6:$AM36)</f>
        <v/>
      </c>
      <c r="AO36">
        <f>IFERROR(INDEX($F$6:$F$565,MATCH(ROW()-5,$AN$6:$AN$565,0)),"")</f>
        <v/>
      </c>
      <c r="AP36">
        <f>IF(AND($F36&lt;&gt;"",$I36&lt;&gt;""),IF($G36="وام و تسهیلات",1,0),0)</f>
        <v/>
      </c>
      <c r="AQ36">
        <f>SUM($AP$6:$AP36)</f>
        <v/>
      </c>
      <c r="AR36">
        <f>IFERROR(INDEX($F$6:$F$565,MATCH(ROW()-5,$AQ$6:$AQ$565,0)),"")</f>
        <v/>
      </c>
      <c r="AS36">
        <f>IF(AND($F36&lt;&gt;"",$I36&lt;&gt;""),IF($G36="سرمایه و آورده صاحبان",1,0),0)</f>
        <v/>
      </c>
      <c r="AT36">
        <f>SUM($AS$6:$AS36)</f>
        <v/>
      </c>
      <c r="AU36">
        <f>IFERROR(INDEX($F$6:$F$565,MATCH(ROW()-5,$AT$6:$AT$565,0)),"")</f>
        <v/>
      </c>
      <c r="AW36">
        <f>IF([3]Issues!$C$39="","",[3]Issues!$C$39)</f>
        <v/>
      </c>
      <c r="AX36">
        <f>IF([4]Entry!$E$39="","",[4]Entry!$E$39)</f>
        <v/>
      </c>
      <c r="AY36">
        <f>IF([4]Entry!$H$39="","",[4]Entry!$H$39)</f>
        <v/>
      </c>
      <c r="AZ36">
        <f>IF([4]Entry!$I$39="","",[4]Entry!$I$39)</f>
        <v/>
      </c>
    </row>
    <row r="37">
      <c r="F37">
        <f>IF([1]Accounts!$D$38="","",[1]Accounts!$A$38)</f>
        <v/>
      </c>
      <c r="G37">
        <f>IF([1]Accounts!$D$38="","",[1]Accounts!$B$38)</f>
        <v/>
      </c>
      <c r="H37">
        <f>IF([1]Accounts!$D$38="","",[1]Accounts!$C$38)</f>
        <v/>
      </c>
      <c r="I37">
        <f>IF([1]Accounts!$D$38="","",[1]Accounts!$D$38)</f>
        <v/>
      </c>
      <c r="K37">
        <f>IF([1]SubGroups!$C$38="","",[1]SubGroups!$A$38)</f>
        <v/>
      </c>
      <c r="L37">
        <f>IF([1]SubGroups!$C$38="","",[1]SubGroups!$B$38)</f>
        <v/>
      </c>
      <c r="M37">
        <f>IF([1]SubGroups!$C$38="","",[1]SubGroups!$C$38)</f>
        <v/>
      </c>
      <c r="N37">
        <f>IF([1]SubGroups!$C$38="","",[1]SubGroups!$D$38)</f>
        <v/>
      </c>
      <c r="R37">
        <f>IF(AND($F37&lt;&gt;"",$I37&lt;&gt;""),IF(OR($G37="دارایی ثابت",$G37="وام و تسهیلات",$G37="سرمایه و آورده صاحبان"),0,1),0)</f>
        <v/>
      </c>
      <c r="S37">
        <f>SUM($R$6:$R37)</f>
        <v/>
      </c>
      <c r="T37">
        <f>IFERROR(INDEX($F$6:$F$565,MATCH(ROW()-5,$S$6:$S$565,0)),"")</f>
        <v/>
      </c>
      <c r="V37">
        <f>IF(AND($K37&lt;&gt;"",$M37&lt;&gt;""),$L37="هزینه",0)*1</f>
        <v/>
      </c>
      <c r="W37">
        <f>SUM($V$6:$V37)</f>
        <v/>
      </c>
      <c r="X37">
        <f>IFERROR(INDEX($M$6:$M$105,MATCH(ROW()-5,$W$6:$W$105,0)),"")</f>
        <v/>
      </c>
      <c r="Z37">
        <f>IF([2]Entry!$E$40="","",[2]Entry!$E$40)</f>
        <v/>
      </c>
      <c r="AA37">
        <f>IF([2]Entry!$G$40="","",[2]Entry!$G$40)</f>
        <v/>
      </c>
      <c r="AB37">
        <f>IF([2]Entry!$J$40="","",[2]Entry!$J$40)</f>
        <v/>
      </c>
      <c r="AC37">
        <f>IF([2]Entry!$K$40="","",[2]Entry!$K$40)</f>
        <v/>
      </c>
      <c r="AD37">
        <f>IF([2]Entry!$L$40="","",[2]Entry!$L$40)</f>
        <v/>
      </c>
      <c r="AE37">
        <f>IF([2]Entry!$M$40="","",[2]Entry!$M$40)</f>
        <v/>
      </c>
      <c r="AF37">
        <f>IF([2]Entry!$N$40="","",[2]Entry!$N$40)</f>
        <v/>
      </c>
      <c r="AG37">
        <f>IF([3]Issues!$B$40="","",[3]Issues!$B$40)</f>
        <v/>
      </c>
      <c r="AH37">
        <f>IF([3]Issues!$D$40="","",[3]Issues!$D$40)</f>
        <v/>
      </c>
      <c r="AI37">
        <f>IF([3]Issues!$E$40="","",[3]Issues!$E$40)</f>
        <v/>
      </c>
      <c r="AJ37">
        <f>IF([2]Entry!$S$40="","",[2]Entry!$S$40)</f>
        <v/>
      </c>
      <c r="AK37">
        <f>IF([2]Entry!$C$40="","",[2]Entry!$C$40)</f>
        <v/>
      </c>
      <c r="AL37">
        <f>IF([2]Entry!$D$40="","",[2]Entry!$D$40)</f>
        <v/>
      </c>
      <c r="AM37">
        <f>IF(AND($F37&lt;&gt;"",$I37&lt;&gt;""),IF($G37="دارایی ثابت",1,0),0)</f>
        <v/>
      </c>
      <c r="AN37">
        <f>SUM($AM$6:$AM37)</f>
        <v/>
      </c>
      <c r="AO37">
        <f>IFERROR(INDEX($F$6:$F$565,MATCH(ROW()-5,$AN$6:$AN$565,0)),"")</f>
        <v/>
      </c>
      <c r="AP37">
        <f>IF(AND($F37&lt;&gt;"",$I37&lt;&gt;""),IF($G37="وام و تسهیلات",1,0),0)</f>
        <v/>
      </c>
      <c r="AQ37">
        <f>SUM($AP$6:$AP37)</f>
        <v/>
      </c>
      <c r="AR37">
        <f>IFERROR(INDEX($F$6:$F$565,MATCH(ROW()-5,$AQ$6:$AQ$565,0)),"")</f>
        <v/>
      </c>
      <c r="AS37">
        <f>IF(AND($F37&lt;&gt;"",$I37&lt;&gt;""),IF($G37="سرمایه و آورده صاحبان",1,0),0)</f>
        <v/>
      </c>
      <c r="AT37">
        <f>SUM($AS$6:$AS37)</f>
        <v/>
      </c>
      <c r="AU37">
        <f>IFERROR(INDEX($F$6:$F$565,MATCH(ROW()-5,$AT$6:$AT$565,0)),"")</f>
        <v/>
      </c>
      <c r="AW37">
        <f>IF([3]Issues!$C$40="","",[3]Issues!$C$40)</f>
        <v/>
      </c>
      <c r="AX37">
        <f>IF([4]Entry!$E$40="","",[4]Entry!$E$40)</f>
        <v/>
      </c>
      <c r="AY37">
        <f>IF([4]Entry!$H$40="","",[4]Entry!$H$40)</f>
        <v/>
      </c>
      <c r="AZ37">
        <f>IF([4]Entry!$I$40="","",[4]Entry!$I$40)</f>
        <v/>
      </c>
    </row>
    <row r="38">
      <c r="F38">
        <f>IF([1]Accounts!$D$39="","",[1]Accounts!$A$39)</f>
        <v/>
      </c>
      <c r="G38">
        <f>IF([1]Accounts!$D$39="","",[1]Accounts!$B$39)</f>
        <v/>
      </c>
      <c r="H38">
        <f>IF([1]Accounts!$D$39="","",[1]Accounts!$C$39)</f>
        <v/>
      </c>
      <c r="I38">
        <f>IF([1]Accounts!$D$39="","",[1]Accounts!$D$39)</f>
        <v/>
      </c>
      <c r="K38">
        <f>IF([1]SubGroups!$C$39="","",[1]SubGroups!$A$39)</f>
        <v/>
      </c>
      <c r="L38">
        <f>IF([1]SubGroups!$C$39="","",[1]SubGroups!$B$39)</f>
        <v/>
      </c>
      <c r="M38">
        <f>IF([1]SubGroups!$C$39="","",[1]SubGroups!$C$39)</f>
        <v/>
      </c>
      <c r="N38">
        <f>IF([1]SubGroups!$C$39="","",[1]SubGroups!$D$39)</f>
        <v/>
      </c>
      <c r="R38">
        <f>IF(AND($F38&lt;&gt;"",$I38&lt;&gt;""),IF(OR($G38="دارایی ثابت",$G38="وام و تسهیلات",$G38="سرمایه و آورده صاحبان"),0,1),0)</f>
        <v/>
      </c>
      <c r="S38">
        <f>SUM($R$6:$R38)</f>
        <v/>
      </c>
      <c r="T38">
        <f>IFERROR(INDEX($F$6:$F$565,MATCH(ROW()-5,$S$6:$S$565,0)),"")</f>
        <v/>
      </c>
      <c r="V38">
        <f>IF(AND($K38&lt;&gt;"",$M38&lt;&gt;""),$L38="هزینه",0)*1</f>
        <v/>
      </c>
      <c r="W38">
        <f>SUM($V$6:$V38)</f>
        <v/>
      </c>
      <c r="X38">
        <f>IFERROR(INDEX($M$6:$M$105,MATCH(ROW()-5,$W$6:$W$105,0)),"")</f>
        <v/>
      </c>
      <c r="Z38">
        <f>IF([2]Entry!$E$41="","",[2]Entry!$E$41)</f>
        <v/>
      </c>
      <c r="AA38">
        <f>IF([2]Entry!$G$41="","",[2]Entry!$G$41)</f>
        <v/>
      </c>
      <c r="AB38">
        <f>IF([2]Entry!$J$41="","",[2]Entry!$J$41)</f>
        <v/>
      </c>
      <c r="AC38">
        <f>IF([2]Entry!$K$41="","",[2]Entry!$K$41)</f>
        <v/>
      </c>
      <c r="AD38">
        <f>IF([2]Entry!$L$41="","",[2]Entry!$L$41)</f>
        <v/>
      </c>
      <c r="AE38">
        <f>IF([2]Entry!$M$41="","",[2]Entry!$M$41)</f>
        <v/>
      </c>
      <c r="AF38">
        <f>IF([2]Entry!$N$41="","",[2]Entry!$N$41)</f>
        <v/>
      </c>
      <c r="AG38">
        <f>IF([3]Issues!$B$41="","",[3]Issues!$B$41)</f>
        <v/>
      </c>
      <c r="AH38">
        <f>IF([3]Issues!$D$41="","",[3]Issues!$D$41)</f>
        <v/>
      </c>
      <c r="AI38">
        <f>IF([3]Issues!$E$41="","",[3]Issues!$E$41)</f>
        <v/>
      </c>
      <c r="AJ38">
        <f>IF([2]Entry!$S$41="","",[2]Entry!$S$41)</f>
        <v/>
      </c>
      <c r="AK38">
        <f>IF([2]Entry!$C$41="","",[2]Entry!$C$41)</f>
        <v/>
      </c>
      <c r="AL38">
        <f>IF([2]Entry!$D$41="","",[2]Entry!$D$41)</f>
        <v/>
      </c>
      <c r="AM38">
        <f>IF(AND($F38&lt;&gt;"",$I38&lt;&gt;""),IF($G38="دارایی ثابت",1,0),0)</f>
        <v/>
      </c>
      <c r="AN38">
        <f>SUM($AM$6:$AM38)</f>
        <v/>
      </c>
      <c r="AO38">
        <f>IFERROR(INDEX($F$6:$F$565,MATCH(ROW()-5,$AN$6:$AN$565,0)),"")</f>
        <v/>
      </c>
      <c r="AP38">
        <f>IF(AND($F38&lt;&gt;"",$I38&lt;&gt;""),IF($G38="وام و تسهیلات",1,0),0)</f>
        <v/>
      </c>
      <c r="AQ38">
        <f>SUM($AP$6:$AP38)</f>
        <v/>
      </c>
      <c r="AR38">
        <f>IFERROR(INDEX($F$6:$F$565,MATCH(ROW()-5,$AQ$6:$AQ$565,0)),"")</f>
        <v/>
      </c>
      <c r="AS38">
        <f>IF(AND($F38&lt;&gt;"",$I38&lt;&gt;""),IF($G38="سرمایه و آورده صاحبان",1,0),0)</f>
        <v/>
      </c>
      <c r="AT38">
        <f>SUM($AS$6:$AS38)</f>
        <v/>
      </c>
      <c r="AU38">
        <f>IFERROR(INDEX($F$6:$F$565,MATCH(ROW()-5,$AT$6:$AT$565,0)),"")</f>
        <v/>
      </c>
      <c r="AW38">
        <f>IF([3]Issues!$C$41="","",[3]Issues!$C$41)</f>
        <v/>
      </c>
      <c r="AX38">
        <f>IF([4]Entry!$E$41="","",[4]Entry!$E$41)</f>
        <v/>
      </c>
      <c r="AY38">
        <f>IF([4]Entry!$H$41="","",[4]Entry!$H$41)</f>
        <v/>
      </c>
      <c r="AZ38">
        <f>IF([4]Entry!$I$41="","",[4]Entry!$I$41)</f>
        <v/>
      </c>
    </row>
    <row r="39">
      <c r="F39">
        <f>IF([1]Accounts!$D$40="","",[1]Accounts!$A$40)</f>
        <v/>
      </c>
      <c r="G39">
        <f>IF([1]Accounts!$D$40="","",[1]Accounts!$B$40)</f>
        <v/>
      </c>
      <c r="H39">
        <f>IF([1]Accounts!$D$40="","",[1]Accounts!$C$40)</f>
        <v/>
      </c>
      <c r="I39">
        <f>IF([1]Accounts!$D$40="","",[1]Accounts!$D$40)</f>
        <v/>
      </c>
      <c r="K39">
        <f>IF([1]SubGroups!$C$40="","",[1]SubGroups!$A$40)</f>
        <v/>
      </c>
      <c r="L39">
        <f>IF([1]SubGroups!$C$40="","",[1]SubGroups!$B$40)</f>
        <v/>
      </c>
      <c r="M39">
        <f>IF([1]SubGroups!$C$40="","",[1]SubGroups!$C$40)</f>
        <v/>
      </c>
      <c r="N39">
        <f>IF([1]SubGroups!$C$40="","",[1]SubGroups!$D$40)</f>
        <v/>
      </c>
      <c r="R39">
        <f>IF(AND($F39&lt;&gt;"",$I39&lt;&gt;""),IF(OR($G39="دارایی ثابت",$G39="وام و تسهیلات",$G39="سرمایه و آورده صاحبان"),0,1),0)</f>
        <v/>
      </c>
      <c r="S39">
        <f>SUM($R$6:$R39)</f>
        <v/>
      </c>
      <c r="T39">
        <f>IFERROR(INDEX($F$6:$F$565,MATCH(ROW()-5,$S$6:$S$565,0)),"")</f>
        <v/>
      </c>
      <c r="V39">
        <f>IF(AND($K39&lt;&gt;"",$M39&lt;&gt;""),$L39="هزینه",0)*1</f>
        <v/>
      </c>
      <c r="W39">
        <f>SUM($V$6:$V39)</f>
        <v/>
      </c>
      <c r="X39">
        <f>IFERROR(INDEX($M$6:$M$105,MATCH(ROW()-5,$W$6:$W$105,0)),"")</f>
        <v/>
      </c>
      <c r="Z39">
        <f>IF([2]Entry!$E$42="","",[2]Entry!$E$42)</f>
        <v/>
      </c>
      <c r="AA39">
        <f>IF([2]Entry!$G$42="","",[2]Entry!$G$42)</f>
        <v/>
      </c>
      <c r="AB39">
        <f>IF([2]Entry!$J$42="","",[2]Entry!$J$42)</f>
        <v/>
      </c>
      <c r="AC39">
        <f>IF([2]Entry!$K$42="","",[2]Entry!$K$42)</f>
        <v/>
      </c>
      <c r="AD39">
        <f>IF([2]Entry!$L$42="","",[2]Entry!$L$42)</f>
        <v/>
      </c>
      <c r="AE39">
        <f>IF([2]Entry!$M$42="","",[2]Entry!$M$42)</f>
        <v/>
      </c>
      <c r="AF39">
        <f>IF([2]Entry!$N$42="","",[2]Entry!$N$42)</f>
        <v/>
      </c>
      <c r="AG39">
        <f>IF([3]Issues!$B$42="","",[3]Issues!$B$42)</f>
        <v/>
      </c>
      <c r="AH39">
        <f>IF([3]Issues!$D$42="","",[3]Issues!$D$42)</f>
        <v/>
      </c>
      <c r="AI39">
        <f>IF([3]Issues!$E$42="","",[3]Issues!$E$42)</f>
        <v/>
      </c>
      <c r="AJ39">
        <f>IF([2]Entry!$S$42="","",[2]Entry!$S$42)</f>
        <v/>
      </c>
      <c r="AK39">
        <f>IF([2]Entry!$C$42="","",[2]Entry!$C$42)</f>
        <v/>
      </c>
      <c r="AL39">
        <f>IF([2]Entry!$D$42="","",[2]Entry!$D$42)</f>
        <v/>
      </c>
      <c r="AM39">
        <f>IF(AND($F39&lt;&gt;"",$I39&lt;&gt;""),IF($G39="دارایی ثابت",1,0),0)</f>
        <v/>
      </c>
      <c r="AN39">
        <f>SUM($AM$6:$AM39)</f>
        <v/>
      </c>
      <c r="AO39">
        <f>IFERROR(INDEX($F$6:$F$565,MATCH(ROW()-5,$AN$6:$AN$565,0)),"")</f>
        <v/>
      </c>
      <c r="AP39">
        <f>IF(AND($F39&lt;&gt;"",$I39&lt;&gt;""),IF($G39="وام و تسهیلات",1,0),0)</f>
        <v/>
      </c>
      <c r="AQ39">
        <f>SUM($AP$6:$AP39)</f>
        <v/>
      </c>
      <c r="AR39">
        <f>IFERROR(INDEX($F$6:$F$565,MATCH(ROW()-5,$AQ$6:$AQ$565,0)),"")</f>
        <v/>
      </c>
      <c r="AS39">
        <f>IF(AND($F39&lt;&gt;"",$I39&lt;&gt;""),IF($G39="سرمایه و آورده صاحبان",1,0),0)</f>
        <v/>
      </c>
      <c r="AT39">
        <f>SUM($AS$6:$AS39)</f>
        <v/>
      </c>
      <c r="AU39">
        <f>IFERROR(INDEX($F$6:$F$565,MATCH(ROW()-5,$AT$6:$AT$565,0)),"")</f>
        <v/>
      </c>
      <c r="AW39">
        <f>IF([3]Issues!$C$42="","",[3]Issues!$C$42)</f>
        <v/>
      </c>
      <c r="AX39">
        <f>IF([4]Entry!$E$42="","",[4]Entry!$E$42)</f>
        <v/>
      </c>
      <c r="AY39">
        <f>IF([4]Entry!$H$42="","",[4]Entry!$H$42)</f>
        <v/>
      </c>
      <c r="AZ39">
        <f>IF([4]Entry!$I$42="","",[4]Entry!$I$42)</f>
        <v/>
      </c>
    </row>
    <row r="40">
      <c r="F40">
        <f>IF([1]Accounts!$D$41="","",[1]Accounts!$A$41)</f>
        <v/>
      </c>
      <c r="G40">
        <f>IF([1]Accounts!$D$41="","",[1]Accounts!$B$41)</f>
        <v/>
      </c>
      <c r="H40">
        <f>IF([1]Accounts!$D$41="","",[1]Accounts!$C$41)</f>
        <v/>
      </c>
      <c r="I40">
        <f>IF([1]Accounts!$D$41="","",[1]Accounts!$D$41)</f>
        <v/>
      </c>
      <c r="K40">
        <f>IF([1]SubGroups!$C$41="","",[1]SubGroups!$A$41)</f>
        <v/>
      </c>
      <c r="L40">
        <f>IF([1]SubGroups!$C$41="","",[1]SubGroups!$B$41)</f>
        <v/>
      </c>
      <c r="M40">
        <f>IF([1]SubGroups!$C$41="","",[1]SubGroups!$C$41)</f>
        <v/>
      </c>
      <c r="N40">
        <f>IF([1]SubGroups!$C$41="","",[1]SubGroups!$D$41)</f>
        <v/>
      </c>
      <c r="R40">
        <f>IF(AND($F40&lt;&gt;"",$I40&lt;&gt;""),IF(OR($G40="دارایی ثابت",$G40="وام و تسهیلات",$G40="سرمایه و آورده صاحبان"),0,1),0)</f>
        <v/>
      </c>
      <c r="S40">
        <f>SUM($R$6:$R40)</f>
        <v/>
      </c>
      <c r="T40">
        <f>IFERROR(INDEX($F$6:$F$565,MATCH(ROW()-5,$S$6:$S$565,0)),"")</f>
        <v/>
      </c>
      <c r="V40">
        <f>IF(AND($K40&lt;&gt;"",$M40&lt;&gt;""),$L40="هزینه",0)*1</f>
        <v/>
      </c>
      <c r="W40">
        <f>SUM($V$6:$V40)</f>
        <v/>
      </c>
      <c r="X40">
        <f>IFERROR(INDEX($M$6:$M$105,MATCH(ROW()-5,$W$6:$W$105,0)),"")</f>
        <v/>
      </c>
      <c r="Z40">
        <f>IF([2]Entry!$E$43="","",[2]Entry!$E$43)</f>
        <v/>
      </c>
      <c r="AA40">
        <f>IF([2]Entry!$G$43="","",[2]Entry!$G$43)</f>
        <v/>
      </c>
      <c r="AB40">
        <f>IF([2]Entry!$J$43="","",[2]Entry!$J$43)</f>
        <v/>
      </c>
      <c r="AC40">
        <f>IF([2]Entry!$K$43="","",[2]Entry!$K$43)</f>
        <v/>
      </c>
      <c r="AD40">
        <f>IF([2]Entry!$L$43="","",[2]Entry!$L$43)</f>
        <v/>
      </c>
      <c r="AE40">
        <f>IF([2]Entry!$M$43="","",[2]Entry!$M$43)</f>
        <v/>
      </c>
      <c r="AF40">
        <f>IF([2]Entry!$N$43="","",[2]Entry!$N$43)</f>
        <v/>
      </c>
      <c r="AG40">
        <f>IF([3]Issues!$B$43="","",[3]Issues!$B$43)</f>
        <v/>
      </c>
      <c r="AH40">
        <f>IF([3]Issues!$D$43="","",[3]Issues!$D$43)</f>
        <v/>
      </c>
      <c r="AI40">
        <f>IF([3]Issues!$E$43="","",[3]Issues!$E$43)</f>
        <v/>
      </c>
      <c r="AJ40">
        <f>IF([2]Entry!$S$43="","",[2]Entry!$S$43)</f>
        <v/>
      </c>
      <c r="AK40">
        <f>IF([2]Entry!$C$43="","",[2]Entry!$C$43)</f>
        <v/>
      </c>
      <c r="AL40">
        <f>IF([2]Entry!$D$43="","",[2]Entry!$D$43)</f>
        <v/>
      </c>
      <c r="AM40">
        <f>IF(AND($F40&lt;&gt;"",$I40&lt;&gt;""),IF($G40="دارایی ثابت",1,0),0)</f>
        <v/>
      </c>
      <c r="AN40">
        <f>SUM($AM$6:$AM40)</f>
        <v/>
      </c>
      <c r="AO40">
        <f>IFERROR(INDEX($F$6:$F$565,MATCH(ROW()-5,$AN$6:$AN$565,0)),"")</f>
        <v/>
      </c>
      <c r="AP40">
        <f>IF(AND($F40&lt;&gt;"",$I40&lt;&gt;""),IF($G40="وام و تسهیلات",1,0),0)</f>
        <v/>
      </c>
      <c r="AQ40">
        <f>SUM($AP$6:$AP40)</f>
        <v/>
      </c>
      <c r="AR40">
        <f>IFERROR(INDEX($F$6:$F$565,MATCH(ROW()-5,$AQ$6:$AQ$565,0)),"")</f>
        <v/>
      </c>
      <c r="AS40">
        <f>IF(AND($F40&lt;&gt;"",$I40&lt;&gt;""),IF($G40="سرمایه و آورده صاحبان",1,0),0)</f>
        <v/>
      </c>
      <c r="AT40">
        <f>SUM($AS$6:$AS40)</f>
        <v/>
      </c>
      <c r="AU40">
        <f>IFERROR(INDEX($F$6:$F$565,MATCH(ROW()-5,$AT$6:$AT$565,0)),"")</f>
        <v/>
      </c>
      <c r="AW40">
        <f>IF([3]Issues!$C$43="","",[3]Issues!$C$43)</f>
        <v/>
      </c>
      <c r="AX40">
        <f>IF([4]Entry!$E$43="","",[4]Entry!$E$43)</f>
        <v/>
      </c>
      <c r="AY40">
        <f>IF([4]Entry!$H$43="","",[4]Entry!$H$43)</f>
        <v/>
      </c>
      <c r="AZ40">
        <f>IF([4]Entry!$I$43="","",[4]Entry!$I$43)</f>
        <v/>
      </c>
    </row>
    <row r="41">
      <c r="F41">
        <f>IF([1]Accounts!$D$42="","",[1]Accounts!$A$42)</f>
        <v/>
      </c>
      <c r="G41">
        <f>IF([1]Accounts!$D$42="","",[1]Accounts!$B$42)</f>
        <v/>
      </c>
      <c r="H41">
        <f>IF([1]Accounts!$D$42="","",[1]Accounts!$C$42)</f>
        <v/>
      </c>
      <c r="I41">
        <f>IF([1]Accounts!$D$42="","",[1]Accounts!$D$42)</f>
        <v/>
      </c>
      <c r="K41">
        <f>IF([1]SubGroups!$C$42="","",[1]SubGroups!$A$42)</f>
        <v/>
      </c>
      <c r="L41">
        <f>IF([1]SubGroups!$C$42="","",[1]SubGroups!$B$42)</f>
        <v/>
      </c>
      <c r="M41">
        <f>IF([1]SubGroups!$C$42="","",[1]SubGroups!$C$42)</f>
        <v/>
      </c>
      <c r="N41">
        <f>IF([1]SubGroups!$C$42="","",[1]SubGroups!$D$42)</f>
        <v/>
      </c>
      <c r="R41">
        <f>IF(AND($F41&lt;&gt;"",$I41&lt;&gt;""),IF(OR($G41="دارایی ثابت",$G41="وام و تسهیلات",$G41="سرمایه و آورده صاحبان"),0,1),0)</f>
        <v/>
      </c>
      <c r="S41">
        <f>SUM($R$6:$R41)</f>
        <v/>
      </c>
      <c r="T41">
        <f>IFERROR(INDEX($F$6:$F$565,MATCH(ROW()-5,$S$6:$S$565,0)),"")</f>
        <v/>
      </c>
      <c r="V41">
        <f>IF(AND($K41&lt;&gt;"",$M41&lt;&gt;""),$L41="هزینه",0)*1</f>
        <v/>
      </c>
      <c r="W41">
        <f>SUM($V$6:$V41)</f>
        <v/>
      </c>
      <c r="X41">
        <f>IFERROR(INDEX($M$6:$M$105,MATCH(ROW()-5,$W$6:$W$105,0)),"")</f>
        <v/>
      </c>
      <c r="Z41">
        <f>IF([2]Entry!$E$44="","",[2]Entry!$E$44)</f>
        <v/>
      </c>
      <c r="AA41">
        <f>IF([2]Entry!$G$44="","",[2]Entry!$G$44)</f>
        <v/>
      </c>
      <c r="AB41">
        <f>IF([2]Entry!$J$44="","",[2]Entry!$J$44)</f>
        <v/>
      </c>
      <c r="AC41">
        <f>IF([2]Entry!$K$44="","",[2]Entry!$K$44)</f>
        <v/>
      </c>
      <c r="AD41">
        <f>IF([2]Entry!$L$44="","",[2]Entry!$L$44)</f>
        <v/>
      </c>
      <c r="AE41">
        <f>IF([2]Entry!$M$44="","",[2]Entry!$M$44)</f>
        <v/>
      </c>
      <c r="AF41">
        <f>IF([2]Entry!$N$44="","",[2]Entry!$N$44)</f>
        <v/>
      </c>
      <c r="AG41">
        <f>IF([3]Issues!$B$44="","",[3]Issues!$B$44)</f>
        <v/>
      </c>
      <c r="AH41">
        <f>IF([3]Issues!$D$44="","",[3]Issues!$D$44)</f>
        <v/>
      </c>
      <c r="AI41">
        <f>IF([3]Issues!$E$44="","",[3]Issues!$E$44)</f>
        <v/>
      </c>
      <c r="AJ41">
        <f>IF([2]Entry!$S$44="","",[2]Entry!$S$44)</f>
        <v/>
      </c>
      <c r="AK41">
        <f>IF([2]Entry!$C$44="","",[2]Entry!$C$44)</f>
        <v/>
      </c>
      <c r="AL41">
        <f>IF([2]Entry!$D$44="","",[2]Entry!$D$44)</f>
        <v/>
      </c>
      <c r="AM41">
        <f>IF(AND($F41&lt;&gt;"",$I41&lt;&gt;""),IF($G41="دارایی ثابت",1,0),0)</f>
        <v/>
      </c>
      <c r="AN41">
        <f>SUM($AM$6:$AM41)</f>
        <v/>
      </c>
      <c r="AO41">
        <f>IFERROR(INDEX($F$6:$F$565,MATCH(ROW()-5,$AN$6:$AN$565,0)),"")</f>
        <v/>
      </c>
      <c r="AP41">
        <f>IF(AND($F41&lt;&gt;"",$I41&lt;&gt;""),IF($G41="وام و تسهیلات",1,0),0)</f>
        <v/>
      </c>
      <c r="AQ41">
        <f>SUM($AP$6:$AP41)</f>
        <v/>
      </c>
      <c r="AR41">
        <f>IFERROR(INDEX($F$6:$F$565,MATCH(ROW()-5,$AQ$6:$AQ$565,0)),"")</f>
        <v/>
      </c>
      <c r="AS41">
        <f>IF(AND($F41&lt;&gt;"",$I41&lt;&gt;""),IF($G41="سرمایه و آورده صاحبان",1,0),0)</f>
        <v/>
      </c>
      <c r="AT41">
        <f>SUM($AS$6:$AS41)</f>
        <v/>
      </c>
      <c r="AU41">
        <f>IFERROR(INDEX($F$6:$F$565,MATCH(ROW()-5,$AT$6:$AT$565,0)),"")</f>
        <v/>
      </c>
      <c r="AW41">
        <f>IF([3]Issues!$C$44="","",[3]Issues!$C$44)</f>
        <v/>
      </c>
      <c r="AX41">
        <f>IF([4]Entry!$E$44="","",[4]Entry!$E$44)</f>
        <v/>
      </c>
      <c r="AY41">
        <f>IF([4]Entry!$H$44="","",[4]Entry!$H$44)</f>
        <v/>
      </c>
      <c r="AZ41">
        <f>IF([4]Entry!$I$44="","",[4]Entry!$I$44)</f>
        <v/>
      </c>
    </row>
    <row r="42">
      <c r="F42">
        <f>IF([1]Accounts!$D$43="","",[1]Accounts!$A$43)</f>
        <v/>
      </c>
      <c r="G42">
        <f>IF([1]Accounts!$D$43="","",[1]Accounts!$B$43)</f>
        <v/>
      </c>
      <c r="H42">
        <f>IF([1]Accounts!$D$43="","",[1]Accounts!$C$43)</f>
        <v/>
      </c>
      <c r="I42">
        <f>IF([1]Accounts!$D$43="","",[1]Accounts!$D$43)</f>
        <v/>
      </c>
      <c r="K42">
        <f>IF([1]SubGroups!$C$43="","",[1]SubGroups!$A$43)</f>
        <v/>
      </c>
      <c r="L42">
        <f>IF([1]SubGroups!$C$43="","",[1]SubGroups!$B$43)</f>
        <v/>
      </c>
      <c r="M42">
        <f>IF([1]SubGroups!$C$43="","",[1]SubGroups!$C$43)</f>
        <v/>
      </c>
      <c r="N42">
        <f>IF([1]SubGroups!$C$43="","",[1]SubGroups!$D$43)</f>
        <v/>
      </c>
      <c r="R42">
        <f>IF(AND($F42&lt;&gt;"",$I42&lt;&gt;""),IF(OR($G42="دارایی ثابت",$G42="وام و تسهیلات",$G42="سرمایه و آورده صاحبان"),0,1),0)</f>
        <v/>
      </c>
      <c r="S42">
        <f>SUM($R$6:$R42)</f>
        <v/>
      </c>
      <c r="T42">
        <f>IFERROR(INDEX($F$6:$F$565,MATCH(ROW()-5,$S$6:$S$565,0)),"")</f>
        <v/>
      </c>
      <c r="V42">
        <f>IF(AND($K42&lt;&gt;"",$M42&lt;&gt;""),$L42="هزینه",0)*1</f>
        <v/>
      </c>
      <c r="W42">
        <f>SUM($V$6:$V42)</f>
        <v/>
      </c>
      <c r="X42">
        <f>IFERROR(INDEX($M$6:$M$105,MATCH(ROW()-5,$W$6:$W$105,0)),"")</f>
        <v/>
      </c>
      <c r="Z42">
        <f>IF([2]Entry!$E$45="","",[2]Entry!$E$45)</f>
        <v/>
      </c>
      <c r="AA42">
        <f>IF([2]Entry!$G$45="","",[2]Entry!$G$45)</f>
        <v/>
      </c>
      <c r="AB42">
        <f>IF([2]Entry!$J$45="","",[2]Entry!$J$45)</f>
        <v/>
      </c>
      <c r="AC42">
        <f>IF([2]Entry!$K$45="","",[2]Entry!$K$45)</f>
        <v/>
      </c>
      <c r="AD42">
        <f>IF([2]Entry!$L$45="","",[2]Entry!$L$45)</f>
        <v/>
      </c>
      <c r="AE42">
        <f>IF([2]Entry!$M$45="","",[2]Entry!$M$45)</f>
        <v/>
      </c>
      <c r="AF42">
        <f>IF([2]Entry!$N$45="","",[2]Entry!$N$45)</f>
        <v/>
      </c>
      <c r="AG42">
        <f>IF([3]Issues!$B$45="","",[3]Issues!$B$45)</f>
        <v/>
      </c>
      <c r="AH42">
        <f>IF([3]Issues!$D$45="","",[3]Issues!$D$45)</f>
        <v/>
      </c>
      <c r="AI42">
        <f>IF([3]Issues!$E$45="","",[3]Issues!$E$45)</f>
        <v/>
      </c>
      <c r="AJ42">
        <f>IF([2]Entry!$S$45="","",[2]Entry!$S$45)</f>
        <v/>
      </c>
      <c r="AK42">
        <f>IF([2]Entry!$C$45="","",[2]Entry!$C$45)</f>
        <v/>
      </c>
      <c r="AL42">
        <f>IF([2]Entry!$D$45="","",[2]Entry!$D$45)</f>
        <v/>
      </c>
      <c r="AM42">
        <f>IF(AND($F42&lt;&gt;"",$I42&lt;&gt;""),IF($G42="دارایی ثابت",1,0),0)</f>
        <v/>
      </c>
      <c r="AN42">
        <f>SUM($AM$6:$AM42)</f>
        <v/>
      </c>
      <c r="AO42">
        <f>IFERROR(INDEX($F$6:$F$565,MATCH(ROW()-5,$AN$6:$AN$565,0)),"")</f>
        <v/>
      </c>
      <c r="AP42">
        <f>IF(AND($F42&lt;&gt;"",$I42&lt;&gt;""),IF($G42="وام و تسهیلات",1,0),0)</f>
        <v/>
      </c>
      <c r="AQ42">
        <f>SUM($AP$6:$AP42)</f>
        <v/>
      </c>
      <c r="AR42">
        <f>IFERROR(INDEX($F$6:$F$565,MATCH(ROW()-5,$AQ$6:$AQ$565,0)),"")</f>
        <v/>
      </c>
      <c r="AS42">
        <f>IF(AND($F42&lt;&gt;"",$I42&lt;&gt;""),IF($G42="سرمایه و آورده صاحبان",1,0),0)</f>
        <v/>
      </c>
      <c r="AT42">
        <f>SUM($AS$6:$AS42)</f>
        <v/>
      </c>
      <c r="AU42">
        <f>IFERROR(INDEX($F$6:$F$565,MATCH(ROW()-5,$AT$6:$AT$565,0)),"")</f>
        <v/>
      </c>
      <c r="AW42">
        <f>IF([3]Issues!$C$45="","",[3]Issues!$C$45)</f>
        <v/>
      </c>
      <c r="AX42">
        <f>IF([4]Entry!$E$45="","",[4]Entry!$E$45)</f>
        <v/>
      </c>
      <c r="AY42">
        <f>IF([4]Entry!$H$45="","",[4]Entry!$H$45)</f>
        <v/>
      </c>
      <c r="AZ42">
        <f>IF([4]Entry!$I$45="","",[4]Entry!$I$45)</f>
        <v/>
      </c>
    </row>
    <row r="43">
      <c r="F43">
        <f>IF([1]Accounts!$D$44="","",[1]Accounts!$A$44)</f>
        <v/>
      </c>
      <c r="G43">
        <f>IF([1]Accounts!$D$44="","",[1]Accounts!$B$44)</f>
        <v/>
      </c>
      <c r="H43">
        <f>IF([1]Accounts!$D$44="","",[1]Accounts!$C$44)</f>
        <v/>
      </c>
      <c r="I43">
        <f>IF([1]Accounts!$D$44="","",[1]Accounts!$D$44)</f>
        <v/>
      </c>
      <c r="K43">
        <f>IF([1]SubGroups!$C$44="","",[1]SubGroups!$A$44)</f>
        <v/>
      </c>
      <c r="L43">
        <f>IF([1]SubGroups!$C$44="","",[1]SubGroups!$B$44)</f>
        <v/>
      </c>
      <c r="M43">
        <f>IF([1]SubGroups!$C$44="","",[1]SubGroups!$C$44)</f>
        <v/>
      </c>
      <c r="N43">
        <f>IF([1]SubGroups!$C$44="","",[1]SubGroups!$D$44)</f>
        <v/>
      </c>
      <c r="R43">
        <f>IF(AND($F43&lt;&gt;"",$I43&lt;&gt;""),IF(OR($G43="دارایی ثابت",$G43="وام و تسهیلات",$G43="سرمایه و آورده صاحبان"),0,1),0)</f>
        <v/>
      </c>
      <c r="S43">
        <f>SUM($R$6:$R43)</f>
        <v/>
      </c>
      <c r="T43">
        <f>IFERROR(INDEX($F$6:$F$565,MATCH(ROW()-5,$S$6:$S$565,0)),"")</f>
        <v/>
      </c>
      <c r="V43">
        <f>IF(AND($K43&lt;&gt;"",$M43&lt;&gt;""),$L43="هزینه",0)*1</f>
        <v/>
      </c>
      <c r="W43">
        <f>SUM($V$6:$V43)</f>
        <v/>
      </c>
      <c r="X43">
        <f>IFERROR(INDEX($M$6:$M$105,MATCH(ROW()-5,$W$6:$W$105,0)),"")</f>
        <v/>
      </c>
      <c r="Z43">
        <f>IF([2]Entry!$E$46="","",[2]Entry!$E$46)</f>
        <v/>
      </c>
      <c r="AA43">
        <f>IF([2]Entry!$G$46="","",[2]Entry!$G$46)</f>
        <v/>
      </c>
      <c r="AB43">
        <f>IF([2]Entry!$J$46="","",[2]Entry!$J$46)</f>
        <v/>
      </c>
      <c r="AC43">
        <f>IF([2]Entry!$K$46="","",[2]Entry!$K$46)</f>
        <v/>
      </c>
      <c r="AD43">
        <f>IF([2]Entry!$L$46="","",[2]Entry!$L$46)</f>
        <v/>
      </c>
      <c r="AE43">
        <f>IF([2]Entry!$M$46="","",[2]Entry!$M$46)</f>
        <v/>
      </c>
      <c r="AF43">
        <f>IF([2]Entry!$N$46="","",[2]Entry!$N$46)</f>
        <v/>
      </c>
      <c r="AG43">
        <f>IF([3]Issues!$B$46="","",[3]Issues!$B$46)</f>
        <v/>
      </c>
      <c r="AH43">
        <f>IF([3]Issues!$D$46="","",[3]Issues!$D$46)</f>
        <v/>
      </c>
      <c r="AI43">
        <f>IF([3]Issues!$E$46="","",[3]Issues!$E$46)</f>
        <v/>
      </c>
      <c r="AJ43">
        <f>IF([2]Entry!$S$46="","",[2]Entry!$S$46)</f>
        <v/>
      </c>
      <c r="AK43">
        <f>IF([2]Entry!$C$46="","",[2]Entry!$C$46)</f>
        <v/>
      </c>
      <c r="AL43">
        <f>IF([2]Entry!$D$46="","",[2]Entry!$D$46)</f>
        <v/>
      </c>
      <c r="AM43">
        <f>IF(AND($F43&lt;&gt;"",$I43&lt;&gt;""),IF($G43="دارایی ثابت",1,0),0)</f>
        <v/>
      </c>
      <c r="AN43">
        <f>SUM($AM$6:$AM43)</f>
        <v/>
      </c>
      <c r="AO43">
        <f>IFERROR(INDEX($F$6:$F$565,MATCH(ROW()-5,$AN$6:$AN$565,0)),"")</f>
        <v/>
      </c>
      <c r="AP43">
        <f>IF(AND($F43&lt;&gt;"",$I43&lt;&gt;""),IF($G43="وام و تسهیلات",1,0),0)</f>
        <v/>
      </c>
      <c r="AQ43">
        <f>SUM($AP$6:$AP43)</f>
        <v/>
      </c>
      <c r="AR43">
        <f>IFERROR(INDEX($F$6:$F$565,MATCH(ROW()-5,$AQ$6:$AQ$565,0)),"")</f>
        <v/>
      </c>
      <c r="AS43">
        <f>IF(AND($F43&lt;&gt;"",$I43&lt;&gt;""),IF($G43="سرمایه و آورده صاحبان",1,0),0)</f>
        <v/>
      </c>
      <c r="AT43">
        <f>SUM($AS$6:$AS43)</f>
        <v/>
      </c>
      <c r="AU43">
        <f>IFERROR(INDEX($F$6:$F$565,MATCH(ROW()-5,$AT$6:$AT$565,0)),"")</f>
        <v/>
      </c>
      <c r="AW43">
        <f>IF([3]Issues!$C$46="","",[3]Issues!$C$46)</f>
        <v/>
      </c>
      <c r="AX43">
        <f>IF([4]Entry!$E$46="","",[4]Entry!$E$46)</f>
        <v/>
      </c>
      <c r="AY43">
        <f>IF([4]Entry!$H$46="","",[4]Entry!$H$46)</f>
        <v/>
      </c>
      <c r="AZ43">
        <f>IF([4]Entry!$I$46="","",[4]Entry!$I$46)</f>
        <v/>
      </c>
    </row>
    <row r="44">
      <c r="F44">
        <f>IF([1]Accounts!$D$45="","",[1]Accounts!$A$45)</f>
        <v/>
      </c>
      <c r="G44">
        <f>IF([1]Accounts!$D$45="","",[1]Accounts!$B$45)</f>
        <v/>
      </c>
      <c r="H44">
        <f>IF([1]Accounts!$D$45="","",[1]Accounts!$C$45)</f>
        <v/>
      </c>
      <c r="I44">
        <f>IF([1]Accounts!$D$45="","",[1]Accounts!$D$45)</f>
        <v/>
      </c>
      <c r="K44">
        <f>IF([1]SubGroups!$C$45="","",[1]SubGroups!$A$45)</f>
        <v/>
      </c>
      <c r="L44">
        <f>IF([1]SubGroups!$C$45="","",[1]SubGroups!$B$45)</f>
        <v/>
      </c>
      <c r="M44">
        <f>IF([1]SubGroups!$C$45="","",[1]SubGroups!$C$45)</f>
        <v/>
      </c>
      <c r="N44">
        <f>IF([1]SubGroups!$C$45="","",[1]SubGroups!$D$45)</f>
        <v/>
      </c>
      <c r="R44">
        <f>IF(AND($F44&lt;&gt;"",$I44&lt;&gt;""),IF(OR($G44="دارایی ثابت",$G44="وام و تسهیلات",$G44="سرمایه و آورده صاحبان"),0,1),0)</f>
        <v/>
      </c>
      <c r="S44">
        <f>SUM($R$6:$R44)</f>
        <v/>
      </c>
      <c r="T44">
        <f>IFERROR(INDEX($F$6:$F$565,MATCH(ROW()-5,$S$6:$S$565,0)),"")</f>
        <v/>
      </c>
      <c r="V44">
        <f>IF(AND($K44&lt;&gt;"",$M44&lt;&gt;""),$L44="هزینه",0)*1</f>
        <v/>
      </c>
      <c r="W44">
        <f>SUM($V$6:$V44)</f>
        <v/>
      </c>
      <c r="X44">
        <f>IFERROR(INDEX($M$6:$M$105,MATCH(ROW()-5,$W$6:$W$105,0)),"")</f>
        <v/>
      </c>
      <c r="Z44">
        <f>IF([2]Entry!$E$47="","",[2]Entry!$E$47)</f>
        <v/>
      </c>
      <c r="AA44">
        <f>IF([2]Entry!$G$47="","",[2]Entry!$G$47)</f>
        <v/>
      </c>
      <c r="AB44">
        <f>IF([2]Entry!$J$47="","",[2]Entry!$J$47)</f>
        <v/>
      </c>
      <c r="AC44">
        <f>IF([2]Entry!$K$47="","",[2]Entry!$K$47)</f>
        <v/>
      </c>
      <c r="AD44">
        <f>IF([2]Entry!$L$47="","",[2]Entry!$L$47)</f>
        <v/>
      </c>
      <c r="AE44">
        <f>IF([2]Entry!$M$47="","",[2]Entry!$M$47)</f>
        <v/>
      </c>
      <c r="AF44">
        <f>IF([2]Entry!$N$47="","",[2]Entry!$N$47)</f>
        <v/>
      </c>
      <c r="AG44">
        <f>IF([3]Issues!$B$47="","",[3]Issues!$B$47)</f>
        <v/>
      </c>
      <c r="AH44">
        <f>IF([3]Issues!$D$47="","",[3]Issues!$D$47)</f>
        <v/>
      </c>
      <c r="AI44">
        <f>IF([3]Issues!$E$47="","",[3]Issues!$E$47)</f>
        <v/>
      </c>
      <c r="AJ44">
        <f>IF([2]Entry!$S$47="","",[2]Entry!$S$47)</f>
        <v/>
      </c>
      <c r="AK44">
        <f>IF([2]Entry!$C$47="","",[2]Entry!$C$47)</f>
        <v/>
      </c>
      <c r="AL44">
        <f>IF([2]Entry!$D$47="","",[2]Entry!$D$47)</f>
        <v/>
      </c>
      <c r="AM44">
        <f>IF(AND($F44&lt;&gt;"",$I44&lt;&gt;""),IF($G44="دارایی ثابت",1,0),0)</f>
        <v/>
      </c>
      <c r="AN44">
        <f>SUM($AM$6:$AM44)</f>
        <v/>
      </c>
      <c r="AO44">
        <f>IFERROR(INDEX($F$6:$F$565,MATCH(ROW()-5,$AN$6:$AN$565,0)),"")</f>
        <v/>
      </c>
      <c r="AP44">
        <f>IF(AND($F44&lt;&gt;"",$I44&lt;&gt;""),IF($G44="وام و تسهیلات",1,0),0)</f>
        <v/>
      </c>
      <c r="AQ44">
        <f>SUM($AP$6:$AP44)</f>
        <v/>
      </c>
      <c r="AR44">
        <f>IFERROR(INDEX($F$6:$F$565,MATCH(ROW()-5,$AQ$6:$AQ$565,0)),"")</f>
        <v/>
      </c>
      <c r="AS44">
        <f>IF(AND($F44&lt;&gt;"",$I44&lt;&gt;""),IF($G44="سرمایه و آورده صاحبان",1,0),0)</f>
        <v/>
      </c>
      <c r="AT44">
        <f>SUM($AS$6:$AS44)</f>
        <v/>
      </c>
      <c r="AU44">
        <f>IFERROR(INDEX($F$6:$F$565,MATCH(ROW()-5,$AT$6:$AT$565,0)),"")</f>
        <v/>
      </c>
      <c r="AW44">
        <f>IF([3]Issues!$C$47="","",[3]Issues!$C$47)</f>
        <v/>
      </c>
      <c r="AX44">
        <f>IF([4]Entry!$E$47="","",[4]Entry!$E$47)</f>
        <v/>
      </c>
      <c r="AY44">
        <f>IF([4]Entry!$H$47="","",[4]Entry!$H$47)</f>
        <v/>
      </c>
      <c r="AZ44">
        <f>IF([4]Entry!$I$47="","",[4]Entry!$I$47)</f>
        <v/>
      </c>
    </row>
    <row r="45">
      <c r="F45">
        <f>IF([1]Accounts!$D$46="","",[1]Accounts!$A$46)</f>
        <v/>
      </c>
      <c r="G45">
        <f>IF([1]Accounts!$D$46="","",[1]Accounts!$B$46)</f>
        <v/>
      </c>
      <c r="H45">
        <f>IF([1]Accounts!$D$46="","",[1]Accounts!$C$46)</f>
        <v/>
      </c>
      <c r="I45">
        <f>IF([1]Accounts!$D$46="","",[1]Accounts!$D$46)</f>
        <v/>
      </c>
      <c r="K45">
        <f>IF([1]SubGroups!$C$46="","",[1]SubGroups!$A$46)</f>
        <v/>
      </c>
      <c r="L45">
        <f>IF([1]SubGroups!$C$46="","",[1]SubGroups!$B$46)</f>
        <v/>
      </c>
      <c r="M45">
        <f>IF([1]SubGroups!$C$46="","",[1]SubGroups!$C$46)</f>
        <v/>
      </c>
      <c r="N45">
        <f>IF([1]SubGroups!$C$46="","",[1]SubGroups!$D$46)</f>
        <v/>
      </c>
      <c r="R45">
        <f>IF(AND($F45&lt;&gt;"",$I45&lt;&gt;""),IF(OR($G45="دارایی ثابت",$G45="وام و تسهیلات",$G45="سرمایه و آورده صاحبان"),0,1),0)</f>
        <v/>
      </c>
      <c r="S45">
        <f>SUM($R$6:$R45)</f>
        <v/>
      </c>
      <c r="T45">
        <f>IFERROR(INDEX($F$6:$F$565,MATCH(ROW()-5,$S$6:$S$565,0)),"")</f>
        <v/>
      </c>
      <c r="V45">
        <f>IF(AND($K45&lt;&gt;"",$M45&lt;&gt;""),$L45="هزینه",0)*1</f>
        <v/>
      </c>
      <c r="W45">
        <f>SUM($V$6:$V45)</f>
        <v/>
      </c>
      <c r="X45">
        <f>IFERROR(INDEX($M$6:$M$105,MATCH(ROW()-5,$W$6:$W$105,0)),"")</f>
        <v/>
      </c>
      <c r="Z45">
        <f>IF([2]Entry!$E$48="","",[2]Entry!$E$48)</f>
        <v/>
      </c>
      <c r="AA45">
        <f>IF([2]Entry!$G$48="","",[2]Entry!$G$48)</f>
        <v/>
      </c>
      <c r="AB45">
        <f>IF([2]Entry!$J$48="","",[2]Entry!$J$48)</f>
        <v/>
      </c>
      <c r="AC45">
        <f>IF([2]Entry!$K$48="","",[2]Entry!$K$48)</f>
        <v/>
      </c>
      <c r="AD45">
        <f>IF([2]Entry!$L$48="","",[2]Entry!$L$48)</f>
        <v/>
      </c>
      <c r="AE45">
        <f>IF([2]Entry!$M$48="","",[2]Entry!$M$48)</f>
        <v/>
      </c>
      <c r="AF45">
        <f>IF([2]Entry!$N$48="","",[2]Entry!$N$48)</f>
        <v/>
      </c>
      <c r="AG45">
        <f>IF([3]Issues!$B$48="","",[3]Issues!$B$48)</f>
        <v/>
      </c>
      <c r="AH45">
        <f>IF([3]Issues!$D$48="","",[3]Issues!$D$48)</f>
        <v/>
      </c>
      <c r="AI45">
        <f>IF([3]Issues!$E$48="","",[3]Issues!$E$48)</f>
        <v/>
      </c>
      <c r="AJ45">
        <f>IF([2]Entry!$S$48="","",[2]Entry!$S$48)</f>
        <v/>
      </c>
      <c r="AK45">
        <f>IF([2]Entry!$C$48="","",[2]Entry!$C$48)</f>
        <v/>
      </c>
      <c r="AL45">
        <f>IF([2]Entry!$D$48="","",[2]Entry!$D$48)</f>
        <v/>
      </c>
      <c r="AM45">
        <f>IF(AND($F45&lt;&gt;"",$I45&lt;&gt;""),IF($G45="دارایی ثابت",1,0),0)</f>
        <v/>
      </c>
      <c r="AN45">
        <f>SUM($AM$6:$AM45)</f>
        <v/>
      </c>
      <c r="AO45">
        <f>IFERROR(INDEX($F$6:$F$565,MATCH(ROW()-5,$AN$6:$AN$565,0)),"")</f>
        <v/>
      </c>
      <c r="AP45">
        <f>IF(AND($F45&lt;&gt;"",$I45&lt;&gt;""),IF($G45="وام و تسهیلات",1,0),0)</f>
        <v/>
      </c>
      <c r="AQ45">
        <f>SUM($AP$6:$AP45)</f>
        <v/>
      </c>
      <c r="AR45">
        <f>IFERROR(INDEX($F$6:$F$565,MATCH(ROW()-5,$AQ$6:$AQ$565,0)),"")</f>
        <v/>
      </c>
      <c r="AS45">
        <f>IF(AND($F45&lt;&gt;"",$I45&lt;&gt;""),IF($G45="سرمایه و آورده صاحبان",1,0),0)</f>
        <v/>
      </c>
      <c r="AT45">
        <f>SUM($AS$6:$AS45)</f>
        <v/>
      </c>
      <c r="AU45">
        <f>IFERROR(INDEX($F$6:$F$565,MATCH(ROW()-5,$AT$6:$AT$565,0)),"")</f>
        <v/>
      </c>
      <c r="AW45">
        <f>IF([3]Issues!$C$48="","",[3]Issues!$C$48)</f>
        <v/>
      </c>
      <c r="AX45">
        <f>IF([4]Entry!$E$48="","",[4]Entry!$E$48)</f>
        <v/>
      </c>
      <c r="AY45">
        <f>IF([4]Entry!$H$48="","",[4]Entry!$H$48)</f>
        <v/>
      </c>
      <c r="AZ45">
        <f>IF([4]Entry!$I$48="","",[4]Entry!$I$48)</f>
        <v/>
      </c>
    </row>
    <row r="46">
      <c r="F46">
        <f>IF([1]Accounts!$D$47="","",[1]Accounts!$A$47)</f>
        <v/>
      </c>
      <c r="G46">
        <f>IF([1]Accounts!$D$47="","",[1]Accounts!$B$47)</f>
        <v/>
      </c>
      <c r="H46">
        <f>IF([1]Accounts!$D$47="","",[1]Accounts!$C$47)</f>
        <v/>
      </c>
      <c r="I46">
        <f>IF([1]Accounts!$D$47="","",[1]Accounts!$D$47)</f>
        <v/>
      </c>
      <c r="K46">
        <f>IF([1]SubGroups!$C$47="","",[1]SubGroups!$A$47)</f>
        <v/>
      </c>
      <c r="L46">
        <f>IF([1]SubGroups!$C$47="","",[1]SubGroups!$B$47)</f>
        <v/>
      </c>
      <c r="M46">
        <f>IF([1]SubGroups!$C$47="","",[1]SubGroups!$C$47)</f>
        <v/>
      </c>
      <c r="N46">
        <f>IF([1]SubGroups!$C$47="","",[1]SubGroups!$D$47)</f>
        <v/>
      </c>
      <c r="R46">
        <f>IF(AND($F46&lt;&gt;"",$I46&lt;&gt;""),IF(OR($G46="دارایی ثابت",$G46="وام و تسهیلات",$G46="سرمایه و آورده صاحبان"),0,1),0)</f>
        <v/>
      </c>
      <c r="S46">
        <f>SUM($R$6:$R46)</f>
        <v/>
      </c>
      <c r="T46">
        <f>IFERROR(INDEX($F$6:$F$565,MATCH(ROW()-5,$S$6:$S$565,0)),"")</f>
        <v/>
      </c>
      <c r="V46">
        <f>IF(AND($K46&lt;&gt;"",$M46&lt;&gt;""),$L46="هزینه",0)*1</f>
        <v/>
      </c>
      <c r="W46">
        <f>SUM($V$6:$V46)</f>
        <v/>
      </c>
      <c r="X46">
        <f>IFERROR(INDEX($M$6:$M$105,MATCH(ROW()-5,$W$6:$W$105,0)),"")</f>
        <v/>
      </c>
      <c r="Z46">
        <f>IF([2]Entry!$E$49="","",[2]Entry!$E$49)</f>
        <v/>
      </c>
      <c r="AA46">
        <f>IF([2]Entry!$G$49="","",[2]Entry!$G$49)</f>
        <v/>
      </c>
      <c r="AB46">
        <f>IF([2]Entry!$J$49="","",[2]Entry!$J$49)</f>
        <v/>
      </c>
      <c r="AC46">
        <f>IF([2]Entry!$K$49="","",[2]Entry!$K$49)</f>
        <v/>
      </c>
      <c r="AD46">
        <f>IF([2]Entry!$L$49="","",[2]Entry!$L$49)</f>
        <v/>
      </c>
      <c r="AE46">
        <f>IF([2]Entry!$M$49="","",[2]Entry!$M$49)</f>
        <v/>
      </c>
      <c r="AF46">
        <f>IF([2]Entry!$N$49="","",[2]Entry!$N$49)</f>
        <v/>
      </c>
      <c r="AG46">
        <f>IF([3]Issues!$B$49="","",[3]Issues!$B$49)</f>
        <v/>
      </c>
      <c r="AH46">
        <f>IF([3]Issues!$D$49="","",[3]Issues!$D$49)</f>
        <v/>
      </c>
      <c r="AI46">
        <f>IF([3]Issues!$E$49="","",[3]Issues!$E$49)</f>
        <v/>
      </c>
      <c r="AJ46">
        <f>IF([2]Entry!$S$49="","",[2]Entry!$S$49)</f>
        <v/>
      </c>
      <c r="AK46">
        <f>IF([2]Entry!$C$49="","",[2]Entry!$C$49)</f>
        <v/>
      </c>
      <c r="AL46">
        <f>IF([2]Entry!$D$49="","",[2]Entry!$D$49)</f>
        <v/>
      </c>
      <c r="AM46">
        <f>IF(AND($F46&lt;&gt;"",$I46&lt;&gt;""),IF($G46="دارایی ثابت",1,0),0)</f>
        <v/>
      </c>
      <c r="AN46">
        <f>SUM($AM$6:$AM46)</f>
        <v/>
      </c>
      <c r="AO46">
        <f>IFERROR(INDEX($F$6:$F$565,MATCH(ROW()-5,$AN$6:$AN$565,0)),"")</f>
        <v/>
      </c>
      <c r="AP46">
        <f>IF(AND($F46&lt;&gt;"",$I46&lt;&gt;""),IF($G46="وام و تسهیلات",1,0),0)</f>
        <v/>
      </c>
      <c r="AQ46">
        <f>SUM($AP$6:$AP46)</f>
        <v/>
      </c>
      <c r="AR46">
        <f>IFERROR(INDEX($F$6:$F$565,MATCH(ROW()-5,$AQ$6:$AQ$565,0)),"")</f>
        <v/>
      </c>
      <c r="AS46">
        <f>IF(AND($F46&lt;&gt;"",$I46&lt;&gt;""),IF($G46="سرمایه و آورده صاحبان",1,0),0)</f>
        <v/>
      </c>
      <c r="AT46">
        <f>SUM($AS$6:$AS46)</f>
        <v/>
      </c>
      <c r="AU46">
        <f>IFERROR(INDEX($F$6:$F$565,MATCH(ROW()-5,$AT$6:$AT$565,0)),"")</f>
        <v/>
      </c>
      <c r="AW46">
        <f>IF([3]Issues!$C$49="","",[3]Issues!$C$49)</f>
        <v/>
      </c>
      <c r="AX46">
        <f>IF([4]Entry!$E$49="","",[4]Entry!$E$49)</f>
        <v/>
      </c>
      <c r="AY46">
        <f>IF([4]Entry!$H$49="","",[4]Entry!$H$49)</f>
        <v/>
      </c>
      <c r="AZ46">
        <f>IF([4]Entry!$I$49="","",[4]Entry!$I$49)</f>
        <v/>
      </c>
    </row>
    <row r="47">
      <c r="F47">
        <f>IF([1]Accounts!$D$48="","",[1]Accounts!$A$48)</f>
        <v/>
      </c>
      <c r="G47">
        <f>IF([1]Accounts!$D$48="","",[1]Accounts!$B$48)</f>
        <v/>
      </c>
      <c r="H47">
        <f>IF([1]Accounts!$D$48="","",[1]Accounts!$C$48)</f>
        <v/>
      </c>
      <c r="I47">
        <f>IF([1]Accounts!$D$48="","",[1]Accounts!$D$48)</f>
        <v/>
      </c>
      <c r="K47">
        <f>IF([1]SubGroups!$C$48="","",[1]SubGroups!$A$48)</f>
        <v/>
      </c>
      <c r="L47">
        <f>IF([1]SubGroups!$C$48="","",[1]SubGroups!$B$48)</f>
        <v/>
      </c>
      <c r="M47">
        <f>IF([1]SubGroups!$C$48="","",[1]SubGroups!$C$48)</f>
        <v/>
      </c>
      <c r="N47">
        <f>IF([1]SubGroups!$C$48="","",[1]SubGroups!$D$48)</f>
        <v/>
      </c>
      <c r="R47">
        <f>IF(AND($F47&lt;&gt;"",$I47&lt;&gt;""),IF(OR($G47="دارایی ثابت",$G47="وام و تسهیلات",$G47="سرمایه و آورده صاحبان"),0,1),0)</f>
        <v/>
      </c>
      <c r="S47">
        <f>SUM($R$6:$R47)</f>
        <v/>
      </c>
      <c r="T47">
        <f>IFERROR(INDEX($F$6:$F$565,MATCH(ROW()-5,$S$6:$S$565,0)),"")</f>
        <v/>
      </c>
      <c r="V47">
        <f>IF(AND($K47&lt;&gt;"",$M47&lt;&gt;""),$L47="هزینه",0)*1</f>
        <v/>
      </c>
      <c r="W47">
        <f>SUM($V$6:$V47)</f>
        <v/>
      </c>
      <c r="X47">
        <f>IFERROR(INDEX($M$6:$M$105,MATCH(ROW()-5,$W$6:$W$105,0)),"")</f>
        <v/>
      </c>
      <c r="Z47">
        <f>IF([2]Entry!$E$50="","",[2]Entry!$E$50)</f>
        <v/>
      </c>
      <c r="AA47">
        <f>IF([2]Entry!$G$50="","",[2]Entry!$G$50)</f>
        <v/>
      </c>
      <c r="AB47">
        <f>IF([2]Entry!$J$50="","",[2]Entry!$J$50)</f>
        <v/>
      </c>
      <c r="AC47">
        <f>IF([2]Entry!$K$50="","",[2]Entry!$K$50)</f>
        <v/>
      </c>
      <c r="AD47">
        <f>IF([2]Entry!$L$50="","",[2]Entry!$L$50)</f>
        <v/>
      </c>
      <c r="AE47">
        <f>IF([2]Entry!$M$50="","",[2]Entry!$M$50)</f>
        <v/>
      </c>
      <c r="AF47">
        <f>IF([2]Entry!$N$50="","",[2]Entry!$N$50)</f>
        <v/>
      </c>
      <c r="AG47">
        <f>IF([3]Issues!$B$50="","",[3]Issues!$B$50)</f>
        <v/>
      </c>
      <c r="AH47">
        <f>IF([3]Issues!$D$50="","",[3]Issues!$D$50)</f>
        <v/>
      </c>
      <c r="AI47">
        <f>IF([3]Issues!$E$50="","",[3]Issues!$E$50)</f>
        <v/>
      </c>
      <c r="AJ47">
        <f>IF([2]Entry!$S$50="","",[2]Entry!$S$50)</f>
        <v/>
      </c>
      <c r="AK47">
        <f>IF([2]Entry!$C$50="","",[2]Entry!$C$50)</f>
        <v/>
      </c>
      <c r="AL47">
        <f>IF([2]Entry!$D$50="","",[2]Entry!$D$50)</f>
        <v/>
      </c>
      <c r="AM47">
        <f>IF(AND($F47&lt;&gt;"",$I47&lt;&gt;""),IF($G47="دارایی ثابت",1,0),0)</f>
        <v/>
      </c>
      <c r="AN47">
        <f>SUM($AM$6:$AM47)</f>
        <v/>
      </c>
      <c r="AO47">
        <f>IFERROR(INDEX($F$6:$F$565,MATCH(ROW()-5,$AN$6:$AN$565,0)),"")</f>
        <v/>
      </c>
      <c r="AP47">
        <f>IF(AND($F47&lt;&gt;"",$I47&lt;&gt;""),IF($G47="وام و تسهیلات",1,0),0)</f>
        <v/>
      </c>
      <c r="AQ47">
        <f>SUM($AP$6:$AP47)</f>
        <v/>
      </c>
      <c r="AR47">
        <f>IFERROR(INDEX($F$6:$F$565,MATCH(ROW()-5,$AQ$6:$AQ$565,0)),"")</f>
        <v/>
      </c>
      <c r="AS47">
        <f>IF(AND($F47&lt;&gt;"",$I47&lt;&gt;""),IF($G47="سرمایه و آورده صاحبان",1,0),0)</f>
        <v/>
      </c>
      <c r="AT47">
        <f>SUM($AS$6:$AS47)</f>
        <v/>
      </c>
      <c r="AU47">
        <f>IFERROR(INDEX($F$6:$F$565,MATCH(ROW()-5,$AT$6:$AT$565,0)),"")</f>
        <v/>
      </c>
      <c r="AW47">
        <f>IF([3]Issues!$C$50="","",[3]Issues!$C$50)</f>
        <v/>
      </c>
      <c r="AX47">
        <f>IF([4]Entry!$E$50="","",[4]Entry!$E$50)</f>
        <v/>
      </c>
      <c r="AY47">
        <f>IF([4]Entry!$H$50="","",[4]Entry!$H$50)</f>
        <v/>
      </c>
      <c r="AZ47">
        <f>IF([4]Entry!$I$50="","",[4]Entry!$I$50)</f>
        <v/>
      </c>
    </row>
    <row r="48">
      <c r="F48">
        <f>IF([1]Accounts!$D$49="","",[1]Accounts!$A$49)</f>
        <v/>
      </c>
      <c r="G48">
        <f>IF([1]Accounts!$D$49="","",[1]Accounts!$B$49)</f>
        <v/>
      </c>
      <c r="H48">
        <f>IF([1]Accounts!$D$49="","",[1]Accounts!$C$49)</f>
        <v/>
      </c>
      <c r="I48">
        <f>IF([1]Accounts!$D$49="","",[1]Accounts!$D$49)</f>
        <v/>
      </c>
      <c r="K48">
        <f>IF([1]SubGroups!$C$49="","",[1]SubGroups!$A$49)</f>
        <v/>
      </c>
      <c r="L48">
        <f>IF([1]SubGroups!$C$49="","",[1]SubGroups!$B$49)</f>
        <v/>
      </c>
      <c r="M48">
        <f>IF([1]SubGroups!$C$49="","",[1]SubGroups!$C$49)</f>
        <v/>
      </c>
      <c r="N48">
        <f>IF([1]SubGroups!$C$49="","",[1]SubGroups!$D$49)</f>
        <v/>
      </c>
      <c r="R48">
        <f>IF(AND($F48&lt;&gt;"",$I48&lt;&gt;""),IF(OR($G48="دارایی ثابت",$G48="وام و تسهیلات",$G48="سرمایه و آورده صاحبان"),0,1),0)</f>
        <v/>
      </c>
      <c r="S48">
        <f>SUM($R$6:$R48)</f>
        <v/>
      </c>
      <c r="T48">
        <f>IFERROR(INDEX($F$6:$F$565,MATCH(ROW()-5,$S$6:$S$565,0)),"")</f>
        <v/>
      </c>
      <c r="V48">
        <f>IF(AND($K48&lt;&gt;"",$M48&lt;&gt;""),$L48="هزینه",0)*1</f>
        <v/>
      </c>
      <c r="W48">
        <f>SUM($V$6:$V48)</f>
        <v/>
      </c>
      <c r="X48">
        <f>IFERROR(INDEX($M$6:$M$105,MATCH(ROW()-5,$W$6:$W$105,0)),"")</f>
        <v/>
      </c>
      <c r="Z48">
        <f>IF([2]Entry!$E$51="","",[2]Entry!$E$51)</f>
        <v/>
      </c>
      <c r="AA48">
        <f>IF([2]Entry!$G$51="","",[2]Entry!$G$51)</f>
        <v/>
      </c>
      <c r="AB48">
        <f>IF([2]Entry!$J$51="","",[2]Entry!$J$51)</f>
        <v/>
      </c>
      <c r="AC48">
        <f>IF([2]Entry!$K$51="","",[2]Entry!$K$51)</f>
        <v/>
      </c>
      <c r="AD48">
        <f>IF([2]Entry!$L$51="","",[2]Entry!$L$51)</f>
        <v/>
      </c>
      <c r="AE48">
        <f>IF([2]Entry!$M$51="","",[2]Entry!$M$51)</f>
        <v/>
      </c>
      <c r="AF48">
        <f>IF([2]Entry!$N$51="","",[2]Entry!$N$51)</f>
        <v/>
      </c>
      <c r="AG48">
        <f>IF([3]Issues!$B$51="","",[3]Issues!$B$51)</f>
        <v/>
      </c>
      <c r="AH48">
        <f>IF([3]Issues!$D$51="","",[3]Issues!$D$51)</f>
        <v/>
      </c>
      <c r="AI48">
        <f>IF([3]Issues!$E$51="","",[3]Issues!$E$51)</f>
        <v/>
      </c>
      <c r="AJ48">
        <f>IF([2]Entry!$S$51="","",[2]Entry!$S$51)</f>
        <v/>
      </c>
      <c r="AK48">
        <f>IF([2]Entry!$C$51="","",[2]Entry!$C$51)</f>
        <v/>
      </c>
      <c r="AL48">
        <f>IF([2]Entry!$D$51="","",[2]Entry!$D$51)</f>
        <v/>
      </c>
      <c r="AM48">
        <f>IF(AND($F48&lt;&gt;"",$I48&lt;&gt;""),IF($G48="دارایی ثابت",1,0),0)</f>
        <v/>
      </c>
      <c r="AN48">
        <f>SUM($AM$6:$AM48)</f>
        <v/>
      </c>
      <c r="AO48">
        <f>IFERROR(INDEX($F$6:$F$565,MATCH(ROW()-5,$AN$6:$AN$565,0)),"")</f>
        <v/>
      </c>
      <c r="AP48">
        <f>IF(AND($F48&lt;&gt;"",$I48&lt;&gt;""),IF($G48="وام و تسهیلات",1,0),0)</f>
        <v/>
      </c>
      <c r="AQ48">
        <f>SUM($AP$6:$AP48)</f>
        <v/>
      </c>
      <c r="AR48">
        <f>IFERROR(INDEX($F$6:$F$565,MATCH(ROW()-5,$AQ$6:$AQ$565,0)),"")</f>
        <v/>
      </c>
      <c r="AS48">
        <f>IF(AND($F48&lt;&gt;"",$I48&lt;&gt;""),IF($G48="سرمایه و آورده صاحبان",1,0),0)</f>
        <v/>
      </c>
      <c r="AT48">
        <f>SUM($AS$6:$AS48)</f>
        <v/>
      </c>
      <c r="AU48">
        <f>IFERROR(INDEX($F$6:$F$565,MATCH(ROW()-5,$AT$6:$AT$565,0)),"")</f>
        <v/>
      </c>
      <c r="AW48">
        <f>IF([3]Issues!$C$51="","",[3]Issues!$C$51)</f>
        <v/>
      </c>
      <c r="AX48">
        <f>IF([4]Entry!$E$51="","",[4]Entry!$E$51)</f>
        <v/>
      </c>
      <c r="AY48">
        <f>IF([4]Entry!$H$51="","",[4]Entry!$H$51)</f>
        <v/>
      </c>
      <c r="AZ48">
        <f>IF([4]Entry!$I$51="","",[4]Entry!$I$51)</f>
        <v/>
      </c>
    </row>
    <row r="49">
      <c r="F49">
        <f>IF([1]Accounts!$D$50="","",[1]Accounts!$A$50)</f>
        <v/>
      </c>
      <c r="G49">
        <f>IF([1]Accounts!$D$50="","",[1]Accounts!$B$50)</f>
        <v/>
      </c>
      <c r="H49">
        <f>IF([1]Accounts!$D$50="","",[1]Accounts!$C$50)</f>
        <v/>
      </c>
      <c r="I49">
        <f>IF([1]Accounts!$D$50="","",[1]Accounts!$D$50)</f>
        <v/>
      </c>
      <c r="K49">
        <f>IF([1]SubGroups!$C$50="","",[1]SubGroups!$A$50)</f>
        <v/>
      </c>
      <c r="L49">
        <f>IF([1]SubGroups!$C$50="","",[1]SubGroups!$B$50)</f>
        <v/>
      </c>
      <c r="M49">
        <f>IF([1]SubGroups!$C$50="","",[1]SubGroups!$C$50)</f>
        <v/>
      </c>
      <c r="N49">
        <f>IF([1]SubGroups!$C$50="","",[1]SubGroups!$D$50)</f>
        <v/>
      </c>
      <c r="R49">
        <f>IF(AND($F49&lt;&gt;"",$I49&lt;&gt;""),IF(OR($G49="دارایی ثابت",$G49="وام و تسهیلات",$G49="سرمایه و آورده صاحبان"),0,1),0)</f>
        <v/>
      </c>
      <c r="S49">
        <f>SUM($R$6:$R49)</f>
        <v/>
      </c>
      <c r="T49">
        <f>IFERROR(INDEX($F$6:$F$565,MATCH(ROW()-5,$S$6:$S$565,0)),"")</f>
        <v/>
      </c>
      <c r="V49">
        <f>IF(AND($K49&lt;&gt;"",$M49&lt;&gt;""),$L49="هزینه",0)*1</f>
        <v/>
      </c>
      <c r="W49">
        <f>SUM($V$6:$V49)</f>
        <v/>
      </c>
      <c r="X49">
        <f>IFERROR(INDEX($M$6:$M$105,MATCH(ROW()-5,$W$6:$W$105,0)),"")</f>
        <v/>
      </c>
      <c r="Z49">
        <f>IF([2]Entry!$E$52="","",[2]Entry!$E$52)</f>
        <v/>
      </c>
      <c r="AA49">
        <f>IF([2]Entry!$G$52="","",[2]Entry!$G$52)</f>
        <v/>
      </c>
      <c r="AB49">
        <f>IF([2]Entry!$J$52="","",[2]Entry!$J$52)</f>
        <v/>
      </c>
      <c r="AC49">
        <f>IF([2]Entry!$K$52="","",[2]Entry!$K$52)</f>
        <v/>
      </c>
      <c r="AD49">
        <f>IF([2]Entry!$L$52="","",[2]Entry!$L$52)</f>
        <v/>
      </c>
      <c r="AE49">
        <f>IF([2]Entry!$M$52="","",[2]Entry!$M$52)</f>
        <v/>
      </c>
      <c r="AF49">
        <f>IF([2]Entry!$N$52="","",[2]Entry!$N$52)</f>
        <v/>
      </c>
      <c r="AG49">
        <f>IF([3]Issues!$B$52="","",[3]Issues!$B$52)</f>
        <v/>
      </c>
      <c r="AH49">
        <f>IF([3]Issues!$D$52="","",[3]Issues!$D$52)</f>
        <v/>
      </c>
      <c r="AI49">
        <f>IF([3]Issues!$E$52="","",[3]Issues!$E$52)</f>
        <v/>
      </c>
      <c r="AJ49">
        <f>IF([2]Entry!$S$52="","",[2]Entry!$S$52)</f>
        <v/>
      </c>
      <c r="AK49">
        <f>IF([2]Entry!$C$52="","",[2]Entry!$C$52)</f>
        <v/>
      </c>
      <c r="AL49">
        <f>IF([2]Entry!$D$52="","",[2]Entry!$D$52)</f>
        <v/>
      </c>
      <c r="AM49">
        <f>IF(AND($F49&lt;&gt;"",$I49&lt;&gt;""),IF($G49="دارایی ثابت",1,0),0)</f>
        <v/>
      </c>
      <c r="AN49">
        <f>SUM($AM$6:$AM49)</f>
        <v/>
      </c>
      <c r="AO49">
        <f>IFERROR(INDEX($F$6:$F$565,MATCH(ROW()-5,$AN$6:$AN$565,0)),"")</f>
        <v/>
      </c>
      <c r="AP49">
        <f>IF(AND($F49&lt;&gt;"",$I49&lt;&gt;""),IF($G49="وام و تسهیلات",1,0),0)</f>
        <v/>
      </c>
      <c r="AQ49">
        <f>SUM($AP$6:$AP49)</f>
        <v/>
      </c>
      <c r="AR49">
        <f>IFERROR(INDEX($F$6:$F$565,MATCH(ROW()-5,$AQ$6:$AQ$565,0)),"")</f>
        <v/>
      </c>
      <c r="AS49">
        <f>IF(AND($F49&lt;&gt;"",$I49&lt;&gt;""),IF($G49="سرمایه و آورده صاحبان",1,0),0)</f>
        <v/>
      </c>
      <c r="AT49">
        <f>SUM($AS$6:$AS49)</f>
        <v/>
      </c>
      <c r="AU49">
        <f>IFERROR(INDEX($F$6:$F$565,MATCH(ROW()-5,$AT$6:$AT$565,0)),"")</f>
        <v/>
      </c>
      <c r="AW49">
        <f>IF([3]Issues!$C$52="","",[3]Issues!$C$52)</f>
        <v/>
      </c>
      <c r="AX49">
        <f>IF([4]Entry!$E$52="","",[4]Entry!$E$52)</f>
        <v/>
      </c>
      <c r="AY49">
        <f>IF([4]Entry!$H$52="","",[4]Entry!$H$52)</f>
        <v/>
      </c>
      <c r="AZ49">
        <f>IF([4]Entry!$I$52="","",[4]Entry!$I$52)</f>
        <v/>
      </c>
    </row>
    <row r="50">
      <c r="F50">
        <f>IF([1]Accounts!$D$51="","",[1]Accounts!$A$51)</f>
        <v/>
      </c>
      <c r="G50">
        <f>IF([1]Accounts!$D$51="","",[1]Accounts!$B$51)</f>
        <v/>
      </c>
      <c r="H50">
        <f>IF([1]Accounts!$D$51="","",[1]Accounts!$C$51)</f>
        <v/>
      </c>
      <c r="I50">
        <f>IF([1]Accounts!$D$51="","",[1]Accounts!$D$51)</f>
        <v/>
      </c>
      <c r="K50">
        <f>IF([1]SubGroups!$C$51="","",[1]SubGroups!$A$51)</f>
        <v/>
      </c>
      <c r="L50">
        <f>IF([1]SubGroups!$C$51="","",[1]SubGroups!$B$51)</f>
        <v/>
      </c>
      <c r="M50">
        <f>IF([1]SubGroups!$C$51="","",[1]SubGroups!$C$51)</f>
        <v/>
      </c>
      <c r="N50">
        <f>IF([1]SubGroups!$C$51="","",[1]SubGroups!$D$51)</f>
        <v/>
      </c>
      <c r="R50">
        <f>IF(AND($F50&lt;&gt;"",$I50&lt;&gt;""),IF(OR($G50="دارایی ثابت",$G50="وام و تسهیلات",$G50="سرمایه و آورده صاحبان"),0,1),0)</f>
        <v/>
      </c>
      <c r="S50">
        <f>SUM($R$6:$R50)</f>
        <v/>
      </c>
      <c r="T50">
        <f>IFERROR(INDEX($F$6:$F$565,MATCH(ROW()-5,$S$6:$S$565,0)),"")</f>
        <v/>
      </c>
      <c r="V50">
        <f>IF(AND($K50&lt;&gt;"",$M50&lt;&gt;""),$L50="هزینه",0)*1</f>
        <v/>
      </c>
      <c r="W50">
        <f>SUM($V$6:$V50)</f>
        <v/>
      </c>
      <c r="X50">
        <f>IFERROR(INDEX($M$6:$M$105,MATCH(ROW()-5,$W$6:$W$105,0)),"")</f>
        <v/>
      </c>
      <c r="Z50">
        <f>IF([2]Entry!$E$53="","",[2]Entry!$E$53)</f>
        <v/>
      </c>
      <c r="AA50">
        <f>IF([2]Entry!$G$53="","",[2]Entry!$G$53)</f>
        <v/>
      </c>
      <c r="AB50">
        <f>IF([2]Entry!$J$53="","",[2]Entry!$J$53)</f>
        <v/>
      </c>
      <c r="AC50">
        <f>IF([2]Entry!$K$53="","",[2]Entry!$K$53)</f>
        <v/>
      </c>
      <c r="AD50">
        <f>IF([2]Entry!$L$53="","",[2]Entry!$L$53)</f>
        <v/>
      </c>
      <c r="AE50">
        <f>IF([2]Entry!$M$53="","",[2]Entry!$M$53)</f>
        <v/>
      </c>
      <c r="AF50">
        <f>IF([2]Entry!$N$53="","",[2]Entry!$N$53)</f>
        <v/>
      </c>
      <c r="AG50">
        <f>IF([3]Issues!$B$53="","",[3]Issues!$B$53)</f>
        <v/>
      </c>
      <c r="AH50">
        <f>IF([3]Issues!$D$53="","",[3]Issues!$D$53)</f>
        <v/>
      </c>
      <c r="AI50">
        <f>IF([3]Issues!$E$53="","",[3]Issues!$E$53)</f>
        <v/>
      </c>
      <c r="AJ50">
        <f>IF([2]Entry!$S$53="","",[2]Entry!$S$53)</f>
        <v/>
      </c>
      <c r="AK50">
        <f>IF([2]Entry!$C$53="","",[2]Entry!$C$53)</f>
        <v/>
      </c>
      <c r="AL50">
        <f>IF([2]Entry!$D$53="","",[2]Entry!$D$53)</f>
        <v/>
      </c>
      <c r="AM50">
        <f>IF(AND($F50&lt;&gt;"",$I50&lt;&gt;""),IF($G50="دارایی ثابت",1,0),0)</f>
        <v/>
      </c>
      <c r="AN50">
        <f>SUM($AM$6:$AM50)</f>
        <v/>
      </c>
      <c r="AO50">
        <f>IFERROR(INDEX($F$6:$F$565,MATCH(ROW()-5,$AN$6:$AN$565,0)),"")</f>
        <v/>
      </c>
      <c r="AP50">
        <f>IF(AND($F50&lt;&gt;"",$I50&lt;&gt;""),IF($G50="وام و تسهیلات",1,0),0)</f>
        <v/>
      </c>
      <c r="AQ50">
        <f>SUM($AP$6:$AP50)</f>
        <v/>
      </c>
      <c r="AR50">
        <f>IFERROR(INDEX($F$6:$F$565,MATCH(ROW()-5,$AQ$6:$AQ$565,0)),"")</f>
        <v/>
      </c>
      <c r="AS50">
        <f>IF(AND($F50&lt;&gt;"",$I50&lt;&gt;""),IF($G50="سرمایه و آورده صاحبان",1,0),0)</f>
        <v/>
      </c>
      <c r="AT50">
        <f>SUM($AS$6:$AS50)</f>
        <v/>
      </c>
      <c r="AU50">
        <f>IFERROR(INDEX($F$6:$F$565,MATCH(ROW()-5,$AT$6:$AT$565,0)),"")</f>
        <v/>
      </c>
      <c r="AW50">
        <f>IF([3]Issues!$C$53="","",[3]Issues!$C$53)</f>
        <v/>
      </c>
      <c r="AX50">
        <f>IF([4]Entry!$E$53="","",[4]Entry!$E$53)</f>
        <v/>
      </c>
      <c r="AY50">
        <f>IF([4]Entry!$H$53="","",[4]Entry!$H$53)</f>
        <v/>
      </c>
      <c r="AZ50">
        <f>IF([4]Entry!$I$53="","",[4]Entry!$I$53)</f>
        <v/>
      </c>
    </row>
    <row r="51">
      <c r="F51">
        <f>IF([1]Accounts!$D$52="","",[1]Accounts!$A$52)</f>
        <v/>
      </c>
      <c r="G51">
        <f>IF([1]Accounts!$D$52="","",[1]Accounts!$B$52)</f>
        <v/>
      </c>
      <c r="H51">
        <f>IF([1]Accounts!$D$52="","",[1]Accounts!$C$52)</f>
        <v/>
      </c>
      <c r="I51">
        <f>IF([1]Accounts!$D$52="","",[1]Accounts!$D$52)</f>
        <v/>
      </c>
      <c r="K51">
        <f>IF([1]SubGroups!$C$52="","",[1]SubGroups!$A$52)</f>
        <v/>
      </c>
      <c r="L51">
        <f>IF([1]SubGroups!$C$52="","",[1]SubGroups!$B$52)</f>
        <v/>
      </c>
      <c r="M51">
        <f>IF([1]SubGroups!$C$52="","",[1]SubGroups!$C$52)</f>
        <v/>
      </c>
      <c r="N51">
        <f>IF([1]SubGroups!$C$52="","",[1]SubGroups!$D$52)</f>
        <v/>
      </c>
      <c r="R51">
        <f>IF(AND($F51&lt;&gt;"",$I51&lt;&gt;""),IF(OR($G51="دارایی ثابت",$G51="وام و تسهیلات",$G51="سرمایه و آورده صاحبان"),0,1),0)</f>
        <v/>
      </c>
      <c r="S51">
        <f>SUM($R$6:$R51)</f>
        <v/>
      </c>
      <c r="T51">
        <f>IFERROR(INDEX($F$6:$F$565,MATCH(ROW()-5,$S$6:$S$565,0)),"")</f>
        <v/>
      </c>
      <c r="V51">
        <f>IF(AND($K51&lt;&gt;"",$M51&lt;&gt;""),$L51="هزینه",0)*1</f>
        <v/>
      </c>
      <c r="W51">
        <f>SUM($V$6:$V51)</f>
        <v/>
      </c>
      <c r="X51">
        <f>IFERROR(INDEX($M$6:$M$105,MATCH(ROW()-5,$W$6:$W$105,0)),"")</f>
        <v/>
      </c>
      <c r="Z51">
        <f>IF([2]Entry!$E$54="","",[2]Entry!$E$54)</f>
        <v/>
      </c>
      <c r="AA51">
        <f>IF([2]Entry!$G$54="","",[2]Entry!$G$54)</f>
        <v/>
      </c>
      <c r="AB51">
        <f>IF([2]Entry!$J$54="","",[2]Entry!$J$54)</f>
        <v/>
      </c>
      <c r="AC51">
        <f>IF([2]Entry!$K$54="","",[2]Entry!$K$54)</f>
        <v/>
      </c>
      <c r="AD51">
        <f>IF([2]Entry!$L$54="","",[2]Entry!$L$54)</f>
        <v/>
      </c>
      <c r="AE51">
        <f>IF([2]Entry!$M$54="","",[2]Entry!$M$54)</f>
        <v/>
      </c>
      <c r="AF51">
        <f>IF([2]Entry!$N$54="","",[2]Entry!$N$54)</f>
        <v/>
      </c>
      <c r="AG51">
        <f>IF([3]Issues!$B$54="","",[3]Issues!$B$54)</f>
        <v/>
      </c>
      <c r="AH51">
        <f>IF([3]Issues!$D$54="","",[3]Issues!$D$54)</f>
        <v/>
      </c>
      <c r="AI51">
        <f>IF([3]Issues!$E$54="","",[3]Issues!$E$54)</f>
        <v/>
      </c>
      <c r="AJ51">
        <f>IF([2]Entry!$S$54="","",[2]Entry!$S$54)</f>
        <v/>
      </c>
      <c r="AK51">
        <f>IF([2]Entry!$C$54="","",[2]Entry!$C$54)</f>
        <v/>
      </c>
      <c r="AL51">
        <f>IF([2]Entry!$D$54="","",[2]Entry!$D$54)</f>
        <v/>
      </c>
      <c r="AM51">
        <f>IF(AND($F51&lt;&gt;"",$I51&lt;&gt;""),IF($G51="دارایی ثابت",1,0),0)</f>
        <v/>
      </c>
      <c r="AN51">
        <f>SUM($AM$6:$AM51)</f>
        <v/>
      </c>
      <c r="AO51">
        <f>IFERROR(INDEX($F$6:$F$565,MATCH(ROW()-5,$AN$6:$AN$565,0)),"")</f>
        <v/>
      </c>
      <c r="AP51">
        <f>IF(AND($F51&lt;&gt;"",$I51&lt;&gt;""),IF($G51="وام و تسهیلات",1,0),0)</f>
        <v/>
      </c>
      <c r="AQ51">
        <f>SUM($AP$6:$AP51)</f>
        <v/>
      </c>
      <c r="AR51">
        <f>IFERROR(INDEX($F$6:$F$565,MATCH(ROW()-5,$AQ$6:$AQ$565,0)),"")</f>
        <v/>
      </c>
      <c r="AS51">
        <f>IF(AND($F51&lt;&gt;"",$I51&lt;&gt;""),IF($G51="سرمایه و آورده صاحبان",1,0),0)</f>
        <v/>
      </c>
      <c r="AT51">
        <f>SUM($AS$6:$AS51)</f>
        <v/>
      </c>
      <c r="AU51">
        <f>IFERROR(INDEX($F$6:$F$565,MATCH(ROW()-5,$AT$6:$AT$565,0)),"")</f>
        <v/>
      </c>
      <c r="AW51">
        <f>IF([3]Issues!$C$54="","",[3]Issues!$C$54)</f>
        <v/>
      </c>
      <c r="AX51">
        <f>IF([4]Entry!$E$54="","",[4]Entry!$E$54)</f>
        <v/>
      </c>
      <c r="AY51">
        <f>IF([4]Entry!$H$54="","",[4]Entry!$H$54)</f>
        <v/>
      </c>
      <c r="AZ51">
        <f>IF([4]Entry!$I$54="","",[4]Entry!$I$54)</f>
        <v/>
      </c>
    </row>
    <row r="52">
      <c r="F52">
        <f>IF([1]Accounts!$D$53="","",[1]Accounts!$A$53)</f>
        <v/>
      </c>
      <c r="G52">
        <f>IF([1]Accounts!$D$53="","",[1]Accounts!$B$53)</f>
        <v/>
      </c>
      <c r="H52">
        <f>IF([1]Accounts!$D$53="","",[1]Accounts!$C$53)</f>
        <v/>
      </c>
      <c r="I52">
        <f>IF([1]Accounts!$D$53="","",[1]Accounts!$D$53)</f>
        <v/>
      </c>
      <c r="K52">
        <f>IF([1]SubGroups!$C$53="","",[1]SubGroups!$A$53)</f>
        <v/>
      </c>
      <c r="L52">
        <f>IF([1]SubGroups!$C$53="","",[1]SubGroups!$B$53)</f>
        <v/>
      </c>
      <c r="M52">
        <f>IF([1]SubGroups!$C$53="","",[1]SubGroups!$C$53)</f>
        <v/>
      </c>
      <c r="N52">
        <f>IF([1]SubGroups!$C$53="","",[1]SubGroups!$D$53)</f>
        <v/>
      </c>
      <c r="R52">
        <f>IF(AND($F52&lt;&gt;"",$I52&lt;&gt;""),IF(OR($G52="دارایی ثابت",$G52="وام و تسهیلات",$G52="سرمایه و آورده صاحبان"),0,1),0)</f>
        <v/>
      </c>
      <c r="S52">
        <f>SUM($R$6:$R52)</f>
        <v/>
      </c>
      <c r="T52">
        <f>IFERROR(INDEX($F$6:$F$565,MATCH(ROW()-5,$S$6:$S$565,0)),"")</f>
        <v/>
      </c>
      <c r="V52">
        <f>IF(AND($K52&lt;&gt;"",$M52&lt;&gt;""),$L52="هزینه",0)*1</f>
        <v/>
      </c>
      <c r="W52">
        <f>SUM($V$6:$V52)</f>
        <v/>
      </c>
      <c r="X52">
        <f>IFERROR(INDEX($M$6:$M$105,MATCH(ROW()-5,$W$6:$W$105,0)),"")</f>
        <v/>
      </c>
      <c r="Z52">
        <f>IF([2]Entry!$E$55="","",[2]Entry!$E$55)</f>
        <v/>
      </c>
      <c r="AA52">
        <f>IF([2]Entry!$G$55="","",[2]Entry!$G$55)</f>
        <v/>
      </c>
      <c r="AB52">
        <f>IF([2]Entry!$J$55="","",[2]Entry!$J$55)</f>
        <v/>
      </c>
      <c r="AC52">
        <f>IF([2]Entry!$K$55="","",[2]Entry!$K$55)</f>
        <v/>
      </c>
      <c r="AD52">
        <f>IF([2]Entry!$L$55="","",[2]Entry!$L$55)</f>
        <v/>
      </c>
      <c r="AE52">
        <f>IF([2]Entry!$M$55="","",[2]Entry!$M$55)</f>
        <v/>
      </c>
      <c r="AF52">
        <f>IF([2]Entry!$N$55="","",[2]Entry!$N$55)</f>
        <v/>
      </c>
      <c r="AG52">
        <f>IF([3]Issues!$B$55="","",[3]Issues!$B$55)</f>
        <v/>
      </c>
      <c r="AH52">
        <f>IF([3]Issues!$D$55="","",[3]Issues!$D$55)</f>
        <v/>
      </c>
      <c r="AI52">
        <f>IF([3]Issues!$E$55="","",[3]Issues!$E$55)</f>
        <v/>
      </c>
      <c r="AJ52">
        <f>IF([2]Entry!$S$55="","",[2]Entry!$S$55)</f>
        <v/>
      </c>
      <c r="AK52">
        <f>IF([2]Entry!$C$55="","",[2]Entry!$C$55)</f>
        <v/>
      </c>
      <c r="AL52">
        <f>IF([2]Entry!$D$55="","",[2]Entry!$D$55)</f>
        <v/>
      </c>
      <c r="AM52">
        <f>IF(AND($F52&lt;&gt;"",$I52&lt;&gt;""),IF($G52="دارایی ثابت",1,0),0)</f>
        <v/>
      </c>
      <c r="AN52">
        <f>SUM($AM$6:$AM52)</f>
        <v/>
      </c>
      <c r="AO52">
        <f>IFERROR(INDEX($F$6:$F$565,MATCH(ROW()-5,$AN$6:$AN$565,0)),"")</f>
        <v/>
      </c>
      <c r="AP52">
        <f>IF(AND($F52&lt;&gt;"",$I52&lt;&gt;""),IF($G52="وام و تسهیلات",1,0),0)</f>
        <v/>
      </c>
      <c r="AQ52">
        <f>SUM($AP$6:$AP52)</f>
        <v/>
      </c>
      <c r="AR52">
        <f>IFERROR(INDEX($F$6:$F$565,MATCH(ROW()-5,$AQ$6:$AQ$565,0)),"")</f>
        <v/>
      </c>
      <c r="AS52">
        <f>IF(AND($F52&lt;&gt;"",$I52&lt;&gt;""),IF($G52="سرمایه و آورده صاحبان",1,0),0)</f>
        <v/>
      </c>
      <c r="AT52">
        <f>SUM($AS$6:$AS52)</f>
        <v/>
      </c>
      <c r="AU52">
        <f>IFERROR(INDEX($F$6:$F$565,MATCH(ROW()-5,$AT$6:$AT$565,0)),"")</f>
        <v/>
      </c>
      <c r="AW52">
        <f>IF([3]Issues!$C$55="","",[3]Issues!$C$55)</f>
        <v/>
      </c>
      <c r="AX52">
        <f>IF([4]Entry!$E$55="","",[4]Entry!$E$55)</f>
        <v/>
      </c>
      <c r="AY52">
        <f>IF([4]Entry!$H$55="","",[4]Entry!$H$55)</f>
        <v/>
      </c>
      <c r="AZ52">
        <f>IF([4]Entry!$I$55="","",[4]Entry!$I$55)</f>
        <v/>
      </c>
    </row>
    <row r="53">
      <c r="F53">
        <f>IF([1]Accounts!$D$54="","",[1]Accounts!$A$54)</f>
        <v/>
      </c>
      <c r="G53">
        <f>IF([1]Accounts!$D$54="","",[1]Accounts!$B$54)</f>
        <v/>
      </c>
      <c r="H53">
        <f>IF([1]Accounts!$D$54="","",[1]Accounts!$C$54)</f>
        <v/>
      </c>
      <c r="I53">
        <f>IF([1]Accounts!$D$54="","",[1]Accounts!$D$54)</f>
        <v/>
      </c>
      <c r="K53">
        <f>IF([1]SubGroups!$C$54="","",[1]SubGroups!$A$54)</f>
        <v/>
      </c>
      <c r="L53">
        <f>IF([1]SubGroups!$C$54="","",[1]SubGroups!$B$54)</f>
        <v/>
      </c>
      <c r="M53">
        <f>IF([1]SubGroups!$C$54="","",[1]SubGroups!$C$54)</f>
        <v/>
      </c>
      <c r="N53">
        <f>IF([1]SubGroups!$C$54="","",[1]SubGroups!$D$54)</f>
        <v/>
      </c>
      <c r="R53">
        <f>IF(AND($F53&lt;&gt;"",$I53&lt;&gt;""),IF(OR($G53="دارایی ثابت",$G53="وام و تسهیلات",$G53="سرمایه و آورده صاحبان"),0,1),0)</f>
        <v/>
      </c>
      <c r="S53">
        <f>SUM($R$6:$R53)</f>
        <v/>
      </c>
      <c r="T53">
        <f>IFERROR(INDEX($F$6:$F$565,MATCH(ROW()-5,$S$6:$S$565,0)),"")</f>
        <v/>
      </c>
      <c r="V53">
        <f>IF(AND($K53&lt;&gt;"",$M53&lt;&gt;""),$L53="هزینه",0)*1</f>
        <v/>
      </c>
      <c r="W53">
        <f>SUM($V$6:$V53)</f>
        <v/>
      </c>
      <c r="X53">
        <f>IFERROR(INDEX($M$6:$M$105,MATCH(ROW()-5,$W$6:$W$105,0)),"")</f>
        <v/>
      </c>
      <c r="Z53">
        <f>IF([2]Entry!$E$56="","",[2]Entry!$E$56)</f>
        <v/>
      </c>
      <c r="AA53">
        <f>IF([2]Entry!$G$56="","",[2]Entry!$G$56)</f>
        <v/>
      </c>
      <c r="AB53">
        <f>IF([2]Entry!$J$56="","",[2]Entry!$J$56)</f>
        <v/>
      </c>
      <c r="AC53">
        <f>IF([2]Entry!$K$56="","",[2]Entry!$K$56)</f>
        <v/>
      </c>
      <c r="AD53">
        <f>IF([2]Entry!$L$56="","",[2]Entry!$L$56)</f>
        <v/>
      </c>
      <c r="AE53">
        <f>IF([2]Entry!$M$56="","",[2]Entry!$M$56)</f>
        <v/>
      </c>
      <c r="AF53">
        <f>IF([2]Entry!$N$56="","",[2]Entry!$N$56)</f>
        <v/>
      </c>
      <c r="AG53">
        <f>IF([3]Issues!$B$56="","",[3]Issues!$B$56)</f>
        <v/>
      </c>
      <c r="AH53">
        <f>IF([3]Issues!$D$56="","",[3]Issues!$D$56)</f>
        <v/>
      </c>
      <c r="AI53">
        <f>IF([3]Issues!$E$56="","",[3]Issues!$E$56)</f>
        <v/>
      </c>
      <c r="AJ53">
        <f>IF([2]Entry!$S$56="","",[2]Entry!$S$56)</f>
        <v/>
      </c>
      <c r="AK53">
        <f>IF([2]Entry!$C$56="","",[2]Entry!$C$56)</f>
        <v/>
      </c>
      <c r="AL53">
        <f>IF([2]Entry!$D$56="","",[2]Entry!$D$56)</f>
        <v/>
      </c>
      <c r="AM53">
        <f>IF(AND($F53&lt;&gt;"",$I53&lt;&gt;""),IF($G53="دارایی ثابت",1,0),0)</f>
        <v/>
      </c>
      <c r="AN53">
        <f>SUM($AM$6:$AM53)</f>
        <v/>
      </c>
      <c r="AO53">
        <f>IFERROR(INDEX($F$6:$F$565,MATCH(ROW()-5,$AN$6:$AN$565,0)),"")</f>
        <v/>
      </c>
      <c r="AP53">
        <f>IF(AND($F53&lt;&gt;"",$I53&lt;&gt;""),IF($G53="وام و تسهیلات",1,0),0)</f>
        <v/>
      </c>
      <c r="AQ53">
        <f>SUM($AP$6:$AP53)</f>
        <v/>
      </c>
      <c r="AR53">
        <f>IFERROR(INDEX($F$6:$F$565,MATCH(ROW()-5,$AQ$6:$AQ$565,0)),"")</f>
        <v/>
      </c>
      <c r="AS53">
        <f>IF(AND($F53&lt;&gt;"",$I53&lt;&gt;""),IF($G53="سرمایه و آورده صاحبان",1,0),0)</f>
        <v/>
      </c>
      <c r="AT53">
        <f>SUM($AS$6:$AS53)</f>
        <v/>
      </c>
      <c r="AU53">
        <f>IFERROR(INDEX($F$6:$F$565,MATCH(ROW()-5,$AT$6:$AT$565,0)),"")</f>
        <v/>
      </c>
      <c r="AW53">
        <f>IF([3]Issues!$C$56="","",[3]Issues!$C$56)</f>
        <v/>
      </c>
      <c r="AX53">
        <f>IF([4]Entry!$E$56="","",[4]Entry!$E$56)</f>
        <v/>
      </c>
      <c r="AY53">
        <f>IF([4]Entry!$H$56="","",[4]Entry!$H$56)</f>
        <v/>
      </c>
      <c r="AZ53">
        <f>IF([4]Entry!$I$56="","",[4]Entry!$I$56)</f>
        <v/>
      </c>
    </row>
    <row r="54">
      <c r="F54">
        <f>IF([1]Accounts!$D$55="","",[1]Accounts!$A$55)</f>
        <v/>
      </c>
      <c r="G54">
        <f>IF([1]Accounts!$D$55="","",[1]Accounts!$B$55)</f>
        <v/>
      </c>
      <c r="H54">
        <f>IF([1]Accounts!$D$55="","",[1]Accounts!$C$55)</f>
        <v/>
      </c>
      <c r="I54">
        <f>IF([1]Accounts!$D$55="","",[1]Accounts!$D$55)</f>
        <v/>
      </c>
      <c r="K54">
        <f>IF([1]SubGroups!$C$55="","",[1]SubGroups!$A$55)</f>
        <v/>
      </c>
      <c r="L54">
        <f>IF([1]SubGroups!$C$55="","",[1]SubGroups!$B$55)</f>
        <v/>
      </c>
      <c r="M54">
        <f>IF([1]SubGroups!$C$55="","",[1]SubGroups!$C$55)</f>
        <v/>
      </c>
      <c r="N54">
        <f>IF([1]SubGroups!$C$55="","",[1]SubGroups!$D$55)</f>
        <v/>
      </c>
      <c r="R54">
        <f>IF(AND($F54&lt;&gt;"",$I54&lt;&gt;""),IF(OR($G54="دارایی ثابت",$G54="وام و تسهیلات",$G54="سرمایه و آورده صاحبان"),0,1),0)</f>
        <v/>
      </c>
      <c r="S54">
        <f>SUM($R$6:$R54)</f>
        <v/>
      </c>
      <c r="T54">
        <f>IFERROR(INDEX($F$6:$F$565,MATCH(ROW()-5,$S$6:$S$565,0)),"")</f>
        <v/>
      </c>
      <c r="V54">
        <f>IF(AND($K54&lt;&gt;"",$M54&lt;&gt;""),$L54="هزینه",0)*1</f>
        <v/>
      </c>
      <c r="W54">
        <f>SUM($V$6:$V54)</f>
        <v/>
      </c>
      <c r="X54">
        <f>IFERROR(INDEX($M$6:$M$105,MATCH(ROW()-5,$W$6:$W$105,0)),"")</f>
        <v/>
      </c>
      <c r="Z54">
        <f>IF([2]Entry!$E$57="","",[2]Entry!$E$57)</f>
        <v/>
      </c>
      <c r="AA54">
        <f>IF([2]Entry!$G$57="","",[2]Entry!$G$57)</f>
        <v/>
      </c>
      <c r="AB54">
        <f>IF([2]Entry!$J$57="","",[2]Entry!$J$57)</f>
        <v/>
      </c>
      <c r="AC54">
        <f>IF([2]Entry!$K$57="","",[2]Entry!$K$57)</f>
        <v/>
      </c>
      <c r="AD54">
        <f>IF([2]Entry!$L$57="","",[2]Entry!$L$57)</f>
        <v/>
      </c>
      <c r="AE54">
        <f>IF([2]Entry!$M$57="","",[2]Entry!$M$57)</f>
        <v/>
      </c>
      <c r="AF54">
        <f>IF([2]Entry!$N$57="","",[2]Entry!$N$57)</f>
        <v/>
      </c>
      <c r="AG54">
        <f>IF([3]Issues!$B$57="","",[3]Issues!$B$57)</f>
        <v/>
      </c>
      <c r="AH54">
        <f>IF([3]Issues!$D$57="","",[3]Issues!$D$57)</f>
        <v/>
      </c>
      <c r="AI54">
        <f>IF([3]Issues!$E$57="","",[3]Issues!$E$57)</f>
        <v/>
      </c>
      <c r="AJ54">
        <f>IF([2]Entry!$S$57="","",[2]Entry!$S$57)</f>
        <v/>
      </c>
      <c r="AK54">
        <f>IF([2]Entry!$C$57="","",[2]Entry!$C$57)</f>
        <v/>
      </c>
      <c r="AL54">
        <f>IF([2]Entry!$D$57="","",[2]Entry!$D$57)</f>
        <v/>
      </c>
      <c r="AM54">
        <f>IF(AND($F54&lt;&gt;"",$I54&lt;&gt;""),IF($G54="دارایی ثابت",1,0),0)</f>
        <v/>
      </c>
      <c r="AN54">
        <f>SUM($AM$6:$AM54)</f>
        <v/>
      </c>
      <c r="AO54">
        <f>IFERROR(INDEX($F$6:$F$565,MATCH(ROW()-5,$AN$6:$AN$565,0)),"")</f>
        <v/>
      </c>
      <c r="AP54">
        <f>IF(AND($F54&lt;&gt;"",$I54&lt;&gt;""),IF($G54="وام و تسهیلات",1,0),0)</f>
        <v/>
      </c>
      <c r="AQ54">
        <f>SUM($AP$6:$AP54)</f>
        <v/>
      </c>
      <c r="AR54">
        <f>IFERROR(INDEX($F$6:$F$565,MATCH(ROW()-5,$AQ$6:$AQ$565,0)),"")</f>
        <v/>
      </c>
      <c r="AS54">
        <f>IF(AND($F54&lt;&gt;"",$I54&lt;&gt;""),IF($G54="سرمایه و آورده صاحبان",1,0),0)</f>
        <v/>
      </c>
      <c r="AT54">
        <f>SUM($AS$6:$AS54)</f>
        <v/>
      </c>
      <c r="AU54">
        <f>IFERROR(INDEX($F$6:$F$565,MATCH(ROW()-5,$AT$6:$AT$565,0)),"")</f>
        <v/>
      </c>
      <c r="AW54">
        <f>IF([3]Issues!$C$57="","",[3]Issues!$C$57)</f>
        <v/>
      </c>
      <c r="AX54">
        <f>IF([4]Entry!$E$57="","",[4]Entry!$E$57)</f>
        <v/>
      </c>
      <c r="AY54">
        <f>IF([4]Entry!$H$57="","",[4]Entry!$H$57)</f>
        <v/>
      </c>
      <c r="AZ54">
        <f>IF([4]Entry!$I$57="","",[4]Entry!$I$57)</f>
        <v/>
      </c>
    </row>
    <row r="55">
      <c r="F55">
        <f>IF([1]Accounts!$D$56="","",[1]Accounts!$A$56)</f>
        <v/>
      </c>
      <c r="G55">
        <f>IF([1]Accounts!$D$56="","",[1]Accounts!$B$56)</f>
        <v/>
      </c>
      <c r="H55">
        <f>IF([1]Accounts!$D$56="","",[1]Accounts!$C$56)</f>
        <v/>
      </c>
      <c r="I55">
        <f>IF([1]Accounts!$D$56="","",[1]Accounts!$D$56)</f>
        <v/>
      </c>
      <c r="K55">
        <f>IF([1]SubGroups!$C$56="","",[1]SubGroups!$A$56)</f>
        <v/>
      </c>
      <c r="L55">
        <f>IF([1]SubGroups!$C$56="","",[1]SubGroups!$B$56)</f>
        <v/>
      </c>
      <c r="M55">
        <f>IF([1]SubGroups!$C$56="","",[1]SubGroups!$C$56)</f>
        <v/>
      </c>
      <c r="N55">
        <f>IF([1]SubGroups!$C$56="","",[1]SubGroups!$D$56)</f>
        <v/>
      </c>
      <c r="R55">
        <f>IF(AND($F55&lt;&gt;"",$I55&lt;&gt;""),IF(OR($G55="دارایی ثابت",$G55="وام و تسهیلات",$G55="سرمایه و آورده صاحبان"),0,1),0)</f>
        <v/>
      </c>
      <c r="S55">
        <f>SUM($R$6:$R55)</f>
        <v/>
      </c>
      <c r="T55">
        <f>IFERROR(INDEX($F$6:$F$565,MATCH(ROW()-5,$S$6:$S$565,0)),"")</f>
        <v/>
      </c>
      <c r="V55">
        <f>IF(AND($K55&lt;&gt;"",$M55&lt;&gt;""),$L55="هزینه",0)*1</f>
        <v/>
      </c>
      <c r="W55">
        <f>SUM($V$6:$V55)</f>
        <v/>
      </c>
      <c r="X55">
        <f>IFERROR(INDEX($M$6:$M$105,MATCH(ROW()-5,$W$6:$W$105,0)),"")</f>
        <v/>
      </c>
      <c r="Z55">
        <f>IF([2]Entry!$E$58="","",[2]Entry!$E$58)</f>
        <v/>
      </c>
      <c r="AA55">
        <f>IF([2]Entry!$G$58="","",[2]Entry!$G$58)</f>
        <v/>
      </c>
      <c r="AB55">
        <f>IF([2]Entry!$J$58="","",[2]Entry!$J$58)</f>
        <v/>
      </c>
      <c r="AC55">
        <f>IF([2]Entry!$K$58="","",[2]Entry!$K$58)</f>
        <v/>
      </c>
      <c r="AD55">
        <f>IF([2]Entry!$L$58="","",[2]Entry!$L$58)</f>
        <v/>
      </c>
      <c r="AE55">
        <f>IF([2]Entry!$M$58="","",[2]Entry!$M$58)</f>
        <v/>
      </c>
      <c r="AF55">
        <f>IF([2]Entry!$N$58="","",[2]Entry!$N$58)</f>
        <v/>
      </c>
      <c r="AG55">
        <f>IF([3]Issues!$B$58="","",[3]Issues!$B$58)</f>
        <v/>
      </c>
      <c r="AH55">
        <f>IF([3]Issues!$D$58="","",[3]Issues!$D$58)</f>
        <v/>
      </c>
      <c r="AI55">
        <f>IF([3]Issues!$E$58="","",[3]Issues!$E$58)</f>
        <v/>
      </c>
      <c r="AJ55">
        <f>IF([2]Entry!$S$58="","",[2]Entry!$S$58)</f>
        <v/>
      </c>
      <c r="AK55">
        <f>IF([2]Entry!$C$58="","",[2]Entry!$C$58)</f>
        <v/>
      </c>
      <c r="AL55">
        <f>IF([2]Entry!$D$58="","",[2]Entry!$D$58)</f>
        <v/>
      </c>
      <c r="AM55">
        <f>IF(AND($F55&lt;&gt;"",$I55&lt;&gt;""),IF($G55="دارایی ثابت",1,0),0)</f>
        <v/>
      </c>
      <c r="AN55">
        <f>SUM($AM$6:$AM55)</f>
        <v/>
      </c>
      <c r="AO55">
        <f>IFERROR(INDEX($F$6:$F$565,MATCH(ROW()-5,$AN$6:$AN$565,0)),"")</f>
        <v/>
      </c>
      <c r="AP55">
        <f>IF(AND($F55&lt;&gt;"",$I55&lt;&gt;""),IF($G55="وام و تسهیلات",1,0),0)</f>
        <v/>
      </c>
      <c r="AQ55">
        <f>SUM($AP$6:$AP55)</f>
        <v/>
      </c>
      <c r="AR55">
        <f>IFERROR(INDEX($F$6:$F$565,MATCH(ROW()-5,$AQ$6:$AQ$565,0)),"")</f>
        <v/>
      </c>
      <c r="AS55">
        <f>IF(AND($F55&lt;&gt;"",$I55&lt;&gt;""),IF($G55="سرمایه و آورده صاحبان",1,0),0)</f>
        <v/>
      </c>
      <c r="AT55">
        <f>SUM($AS$6:$AS55)</f>
        <v/>
      </c>
      <c r="AU55">
        <f>IFERROR(INDEX($F$6:$F$565,MATCH(ROW()-5,$AT$6:$AT$565,0)),"")</f>
        <v/>
      </c>
      <c r="AW55">
        <f>IF([3]Issues!$C$58="","",[3]Issues!$C$58)</f>
        <v/>
      </c>
      <c r="AX55">
        <f>IF([4]Entry!$E$58="","",[4]Entry!$E$58)</f>
        <v/>
      </c>
      <c r="AY55">
        <f>IF([4]Entry!$H$58="","",[4]Entry!$H$58)</f>
        <v/>
      </c>
      <c r="AZ55">
        <f>IF([4]Entry!$I$58="","",[4]Entry!$I$58)</f>
        <v/>
      </c>
    </row>
    <row r="56">
      <c r="F56">
        <f>IF([1]Accounts!$D$57="","",[1]Accounts!$A$57)</f>
        <v/>
      </c>
      <c r="G56">
        <f>IF([1]Accounts!$D$57="","",[1]Accounts!$B$57)</f>
        <v/>
      </c>
      <c r="H56">
        <f>IF([1]Accounts!$D$57="","",[1]Accounts!$C$57)</f>
        <v/>
      </c>
      <c r="I56">
        <f>IF([1]Accounts!$D$57="","",[1]Accounts!$D$57)</f>
        <v/>
      </c>
      <c r="K56">
        <f>IF([1]SubGroups!$C$57="","",[1]SubGroups!$A$57)</f>
        <v/>
      </c>
      <c r="L56">
        <f>IF([1]SubGroups!$C$57="","",[1]SubGroups!$B$57)</f>
        <v/>
      </c>
      <c r="M56">
        <f>IF([1]SubGroups!$C$57="","",[1]SubGroups!$C$57)</f>
        <v/>
      </c>
      <c r="N56">
        <f>IF([1]SubGroups!$C$57="","",[1]SubGroups!$D$57)</f>
        <v/>
      </c>
      <c r="R56">
        <f>IF(AND($F56&lt;&gt;"",$I56&lt;&gt;""),IF(OR($G56="دارایی ثابت",$G56="وام و تسهیلات",$G56="سرمایه و آورده صاحبان"),0,1),0)</f>
        <v/>
      </c>
      <c r="S56">
        <f>SUM($R$6:$R56)</f>
        <v/>
      </c>
      <c r="T56">
        <f>IFERROR(INDEX($F$6:$F$565,MATCH(ROW()-5,$S$6:$S$565,0)),"")</f>
        <v/>
      </c>
      <c r="V56">
        <f>IF(AND($K56&lt;&gt;"",$M56&lt;&gt;""),$L56="هزینه",0)*1</f>
        <v/>
      </c>
      <c r="W56">
        <f>SUM($V$6:$V56)</f>
        <v/>
      </c>
      <c r="X56">
        <f>IFERROR(INDEX($M$6:$M$105,MATCH(ROW()-5,$W$6:$W$105,0)),"")</f>
        <v/>
      </c>
      <c r="Z56">
        <f>IF([2]Entry!$E$59="","",[2]Entry!$E$59)</f>
        <v/>
      </c>
      <c r="AA56">
        <f>IF([2]Entry!$G$59="","",[2]Entry!$G$59)</f>
        <v/>
      </c>
      <c r="AB56">
        <f>IF([2]Entry!$J$59="","",[2]Entry!$J$59)</f>
        <v/>
      </c>
      <c r="AC56">
        <f>IF([2]Entry!$K$59="","",[2]Entry!$K$59)</f>
        <v/>
      </c>
      <c r="AD56">
        <f>IF([2]Entry!$L$59="","",[2]Entry!$L$59)</f>
        <v/>
      </c>
      <c r="AE56">
        <f>IF([2]Entry!$M$59="","",[2]Entry!$M$59)</f>
        <v/>
      </c>
      <c r="AF56">
        <f>IF([2]Entry!$N$59="","",[2]Entry!$N$59)</f>
        <v/>
      </c>
      <c r="AG56">
        <f>IF([3]Issues!$B$59="","",[3]Issues!$B$59)</f>
        <v/>
      </c>
      <c r="AH56">
        <f>IF([3]Issues!$D$59="","",[3]Issues!$D$59)</f>
        <v/>
      </c>
      <c r="AI56">
        <f>IF([3]Issues!$E$59="","",[3]Issues!$E$59)</f>
        <v/>
      </c>
      <c r="AJ56">
        <f>IF([2]Entry!$S$59="","",[2]Entry!$S$59)</f>
        <v/>
      </c>
      <c r="AK56">
        <f>IF([2]Entry!$C$59="","",[2]Entry!$C$59)</f>
        <v/>
      </c>
      <c r="AL56">
        <f>IF([2]Entry!$D$59="","",[2]Entry!$D$59)</f>
        <v/>
      </c>
      <c r="AM56">
        <f>IF(AND($F56&lt;&gt;"",$I56&lt;&gt;""),IF($G56="دارایی ثابت",1,0),0)</f>
        <v/>
      </c>
      <c r="AN56">
        <f>SUM($AM$6:$AM56)</f>
        <v/>
      </c>
      <c r="AO56">
        <f>IFERROR(INDEX($F$6:$F$565,MATCH(ROW()-5,$AN$6:$AN$565,0)),"")</f>
        <v/>
      </c>
      <c r="AP56">
        <f>IF(AND($F56&lt;&gt;"",$I56&lt;&gt;""),IF($G56="وام و تسهیلات",1,0),0)</f>
        <v/>
      </c>
      <c r="AQ56">
        <f>SUM($AP$6:$AP56)</f>
        <v/>
      </c>
      <c r="AR56">
        <f>IFERROR(INDEX($F$6:$F$565,MATCH(ROW()-5,$AQ$6:$AQ$565,0)),"")</f>
        <v/>
      </c>
      <c r="AS56">
        <f>IF(AND($F56&lt;&gt;"",$I56&lt;&gt;""),IF($G56="سرمایه و آورده صاحبان",1,0),0)</f>
        <v/>
      </c>
      <c r="AT56">
        <f>SUM($AS$6:$AS56)</f>
        <v/>
      </c>
      <c r="AU56">
        <f>IFERROR(INDEX($F$6:$F$565,MATCH(ROW()-5,$AT$6:$AT$565,0)),"")</f>
        <v/>
      </c>
      <c r="AW56">
        <f>IF([3]Issues!$C$59="","",[3]Issues!$C$59)</f>
        <v/>
      </c>
      <c r="AX56">
        <f>IF([4]Entry!$E$59="","",[4]Entry!$E$59)</f>
        <v/>
      </c>
      <c r="AY56">
        <f>IF([4]Entry!$H$59="","",[4]Entry!$H$59)</f>
        <v/>
      </c>
      <c r="AZ56">
        <f>IF([4]Entry!$I$59="","",[4]Entry!$I$59)</f>
        <v/>
      </c>
    </row>
    <row r="57">
      <c r="F57">
        <f>IF([1]Accounts!$D$58="","",[1]Accounts!$A$58)</f>
        <v/>
      </c>
      <c r="G57">
        <f>IF([1]Accounts!$D$58="","",[1]Accounts!$B$58)</f>
        <v/>
      </c>
      <c r="H57">
        <f>IF([1]Accounts!$D$58="","",[1]Accounts!$C$58)</f>
        <v/>
      </c>
      <c r="I57">
        <f>IF([1]Accounts!$D$58="","",[1]Accounts!$D$58)</f>
        <v/>
      </c>
      <c r="K57">
        <f>IF([1]SubGroups!$C$58="","",[1]SubGroups!$A$58)</f>
        <v/>
      </c>
      <c r="L57">
        <f>IF([1]SubGroups!$C$58="","",[1]SubGroups!$B$58)</f>
        <v/>
      </c>
      <c r="M57">
        <f>IF([1]SubGroups!$C$58="","",[1]SubGroups!$C$58)</f>
        <v/>
      </c>
      <c r="N57">
        <f>IF([1]SubGroups!$C$58="","",[1]SubGroups!$D$58)</f>
        <v/>
      </c>
      <c r="R57">
        <f>IF(AND($F57&lt;&gt;"",$I57&lt;&gt;""),IF(OR($G57="دارایی ثابت",$G57="وام و تسهیلات",$G57="سرمایه و آورده صاحبان"),0,1),0)</f>
        <v/>
      </c>
      <c r="S57">
        <f>SUM($R$6:$R57)</f>
        <v/>
      </c>
      <c r="T57">
        <f>IFERROR(INDEX($F$6:$F$565,MATCH(ROW()-5,$S$6:$S$565,0)),"")</f>
        <v/>
      </c>
      <c r="V57">
        <f>IF(AND($K57&lt;&gt;"",$M57&lt;&gt;""),$L57="هزینه",0)*1</f>
        <v/>
      </c>
      <c r="W57">
        <f>SUM($V$6:$V57)</f>
        <v/>
      </c>
      <c r="X57">
        <f>IFERROR(INDEX($M$6:$M$105,MATCH(ROW()-5,$W$6:$W$105,0)),"")</f>
        <v/>
      </c>
      <c r="Z57">
        <f>IF([2]Entry!$E$60="","",[2]Entry!$E$60)</f>
        <v/>
      </c>
      <c r="AA57">
        <f>IF([2]Entry!$G$60="","",[2]Entry!$G$60)</f>
        <v/>
      </c>
      <c r="AB57">
        <f>IF([2]Entry!$J$60="","",[2]Entry!$J$60)</f>
        <v/>
      </c>
      <c r="AC57">
        <f>IF([2]Entry!$K$60="","",[2]Entry!$K$60)</f>
        <v/>
      </c>
      <c r="AD57">
        <f>IF([2]Entry!$L$60="","",[2]Entry!$L$60)</f>
        <v/>
      </c>
      <c r="AE57">
        <f>IF([2]Entry!$M$60="","",[2]Entry!$M$60)</f>
        <v/>
      </c>
      <c r="AF57">
        <f>IF([2]Entry!$N$60="","",[2]Entry!$N$60)</f>
        <v/>
      </c>
      <c r="AG57">
        <f>IF([3]Issues!$B$60="","",[3]Issues!$B$60)</f>
        <v/>
      </c>
      <c r="AH57">
        <f>IF([3]Issues!$D$60="","",[3]Issues!$D$60)</f>
        <v/>
      </c>
      <c r="AI57">
        <f>IF([3]Issues!$E$60="","",[3]Issues!$E$60)</f>
        <v/>
      </c>
      <c r="AJ57">
        <f>IF([2]Entry!$S$60="","",[2]Entry!$S$60)</f>
        <v/>
      </c>
      <c r="AK57">
        <f>IF([2]Entry!$C$60="","",[2]Entry!$C$60)</f>
        <v/>
      </c>
      <c r="AL57">
        <f>IF([2]Entry!$D$60="","",[2]Entry!$D$60)</f>
        <v/>
      </c>
      <c r="AM57">
        <f>IF(AND($F57&lt;&gt;"",$I57&lt;&gt;""),IF($G57="دارایی ثابت",1,0),0)</f>
        <v/>
      </c>
      <c r="AN57">
        <f>SUM($AM$6:$AM57)</f>
        <v/>
      </c>
      <c r="AO57">
        <f>IFERROR(INDEX($F$6:$F$565,MATCH(ROW()-5,$AN$6:$AN$565,0)),"")</f>
        <v/>
      </c>
      <c r="AP57">
        <f>IF(AND($F57&lt;&gt;"",$I57&lt;&gt;""),IF($G57="وام و تسهیلات",1,0),0)</f>
        <v/>
      </c>
      <c r="AQ57">
        <f>SUM($AP$6:$AP57)</f>
        <v/>
      </c>
      <c r="AR57">
        <f>IFERROR(INDEX($F$6:$F$565,MATCH(ROW()-5,$AQ$6:$AQ$565,0)),"")</f>
        <v/>
      </c>
      <c r="AS57">
        <f>IF(AND($F57&lt;&gt;"",$I57&lt;&gt;""),IF($G57="سرمایه و آورده صاحبان",1,0),0)</f>
        <v/>
      </c>
      <c r="AT57">
        <f>SUM($AS$6:$AS57)</f>
        <v/>
      </c>
      <c r="AU57">
        <f>IFERROR(INDEX($F$6:$F$565,MATCH(ROW()-5,$AT$6:$AT$565,0)),"")</f>
        <v/>
      </c>
      <c r="AW57">
        <f>IF([3]Issues!$C$60="","",[3]Issues!$C$60)</f>
        <v/>
      </c>
      <c r="AX57">
        <f>IF([4]Entry!$E$60="","",[4]Entry!$E$60)</f>
        <v/>
      </c>
      <c r="AY57">
        <f>IF([4]Entry!$H$60="","",[4]Entry!$H$60)</f>
        <v/>
      </c>
      <c r="AZ57">
        <f>IF([4]Entry!$I$60="","",[4]Entry!$I$60)</f>
        <v/>
      </c>
    </row>
    <row r="58">
      <c r="F58">
        <f>IF([1]Accounts!$D$59="","",[1]Accounts!$A$59)</f>
        <v/>
      </c>
      <c r="G58">
        <f>IF([1]Accounts!$D$59="","",[1]Accounts!$B$59)</f>
        <v/>
      </c>
      <c r="H58">
        <f>IF([1]Accounts!$D$59="","",[1]Accounts!$C$59)</f>
        <v/>
      </c>
      <c r="I58">
        <f>IF([1]Accounts!$D$59="","",[1]Accounts!$D$59)</f>
        <v/>
      </c>
      <c r="K58">
        <f>IF([1]SubGroups!$C$59="","",[1]SubGroups!$A$59)</f>
        <v/>
      </c>
      <c r="L58">
        <f>IF([1]SubGroups!$C$59="","",[1]SubGroups!$B$59)</f>
        <v/>
      </c>
      <c r="M58">
        <f>IF([1]SubGroups!$C$59="","",[1]SubGroups!$C$59)</f>
        <v/>
      </c>
      <c r="N58">
        <f>IF([1]SubGroups!$C$59="","",[1]SubGroups!$D$59)</f>
        <v/>
      </c>
      <c r="R58">
        <f>IF(AND($F58&lt;&gt;"",$I58&lt;&gt;""),IF(OR($G58="دارایی ثابت",$G58="وام و تسهیلات",$G58="سرمایه و آورده صاحبان"),0,1),0)</f>
        <v/>
      </c>
      <c r="S58">
        <f>SUM($R$6:$R58)</f>
        <v/>
      </c>
      <c r="T58">
        <f>IFERROR(INDEX($F$6:$F$565,MATCH(ROW()-5,$S$6:$S$565,0)),"")</f>
        <v/>
      </c>
      <c r="V58">
        <f>IF(AND($K58&lt;&gt;"",$M58&lt;&gt;""),$L58="هزینه",0)*1</f>
        <v/>
      </c>
      <c r="W58">
        <f>SUM($V$6:$V58)</f>
        <v/>
      </c>
      <c r="X58">
        <f>IFERROR(INDEX($M$6:$M$105,MATCH(ROW()-5,$W$6:$W$105,0)),"")</f>
        <v/>
      </c>
      <c r="Z58">
        <f>IF([2]Entry!$E$61="","",[2]Entry!$E$61)</f>
        <v/>
      </c>
      <c r="AA58">
        <f>IF([2]Entry!$G$61="","",[2]Entry!$G$61)</f>
        <v/>
      </c>
      <c r="AB58">
        <f>IF([2]Entry!$J$61="","",[2]Entry!$J$61)</f>
        <v/>
      </c>
      <c r="AC58">
        <f>IF([2]Entry!$K$61="","",[2]Entry!$K$61)</f>
        <v/>
      </c>
      <c r="AD58">
        <f>IF([2]Entry!$L$61="","",[2]Entry!$L$61)</f>
        <v/>
      </c>
      <c r="AE58">
        <f>IF([2]Entry!$M$61="","",[2]Entry!$M$61)</f>
        <v/>
      </c>
      <c r="AF58">
        <f>IF([2]Entry!$N$61="","",[2]Entry!$N$61)</f>
        <v/>
      </c>
      <c r="AG58">
        <f>IF([3]Issues!$B$61="","",[3]Issues!$B$61)</f>
        <v/>
      </c>
      <c r="AH58">
        <f>IF([3]Issues!$D$61="","",[3]Issues!$D$61)</f>
        <v/>
      </c>
      <c r="AI58">
        <f>IF([3]Issues!$E$61="","",[3]Issues!$E$61)</f>
        <v/>
      </c>
      <c r="AJ58">
        <f>IF([2]Entry!$S$61="","",[2]Entry!$S$61)</f>
        <v/>
      </c>
      <c r="AK58">
        <f>IF([2]Entry!$C$61="","",[2]Entry!$C$61)</f>
        <v/>
      </c>
      <c r="AL58">
        <f>IF([2]Entry!$D$61="","",[2]Entry!$D$61)</f>
        <v/>
      </c>
      <c r="AM58">
        <f>IF(AND($F58&lt;&gt;"",$I58&lt;&gt;""),IF($G58="دارایی ثابت",1,0),0)</f>
        <v/>
      </c>
      <c r="AN58">
        <f>SUM($AM$6:$AM58)</f>
        <v/>
      </c>
      <c r="AO58">
        <f>IFERROR(INDEX($F$6:$F$565,MATCH(ROW()-5,$AN$6:$AN$565,0)),"")</f>
        <v/>
      </c>
      <c r="AP58">
        <f>IF(AND($F58&lt;&gt;"",$I58&lt;&gt;""),IF($G58="وام و تسهیلات",1,0),0)</f>
        <v/>
      </c>
      <c r="AQ58">
        <f>SUM($AP$6:$AP58)</f>
        <v/>
      </c>
      <c r="AR58">
        <f>IFERROR(INDEX($F$6:$F$565,MATCH(ROW()-5,$AQ$6:$AQ$565,0)),"")</f>
        <v/>
      </c>
      <c r="AS58">
        <f>IF(AND($F58&lt;&gt;"",$I58&lt;&gt;""),IF($G58="سرمایه و آورده صاحبان",1,0),0)</f>
        <v/>
      </c>
      <c r="AT58">
        <f>SUM($AS$6:$AS58)</f>
        <v/>
      </c>
      <c r="AU58">
        <f>IFERROR(INDEX($F$6:$F$565,MATCH(ROW()-5,$AT$6:$AT$565,0)),"")</f>
        <v/>
      </c>
      <c r="AW58">
        <f>IF([3]Issues!$C$61="","",[3]Issues!$C$61)</f>
        <v/>
      </c>
      <c r="AX58">
        <f>IF([4]Entry!$E$61="","",[4]Entry!$E$61)</f>
        <v/>
      </c>
      <c r="AY58">
        <f>IF([4]Entry!$H$61="","",[4]Entry!$H$61)</f>
        <v/>
      </c>
      <c r="AZ58">
        <f>IF([4]Entry!$I$61="","",[4]Entry!$I$61)</f>
        <v/>
      </c>
    </row>
    <row r="59">
      <c r="F59">
        <f>IF([1]Accounts!$D$60="","",[1]Accounts!$A$60)</f>
        <v/>
      </c>
      <c r="G59">
        <f>IF([1]Accounts!$D$60="","",[1]Accounts!$B$60)</f>
        <v/>
      </c>
      <c r="H59">
        <f>IF([1]Accounts!$D$60="","",[1]Accounts!$C$60)</f>
        <v/>
      </c>
      <c r="I59">
        <f>IF([1]Accounts!$D$60="","",[1]Accounts!$D$60)</f>
        <v/>
      </c>
      <c r="K59">
        <f>IF([1]SubGroups!$C$60="","",[1]SubGroups!$A$60)</f>
        <v/>
      </c>
      <c r="L59">
        <f>IF([1]SubGroups!$C$60="","",[1]SubGroups!$B$60)</f>
        <v/>
      </c>
      <c r="M59">
        <f>IF([1]SubGroups!$C$60="","",[1]SubGroups!$C$60)</f>
        <v/>
      </c>
      <c r="N59">
        <f>IF([1]SubGroups!$C$60="","",[1]SubGroups!$D$60)</f>
        <v/>
      </c>
      <c r="R59">
        <f>IF(AND($F59&lt;&gt;"",$I59&lt;&gt;""),IF(OR($G59="دارایی ثابت",$G59="وام و تسهیلات",$G59="سرمایه و آورده صاحبان"),0,1),0)</f>
        <v/>
      </c>
      <c r="S59">
        <f>SUM($R$6:$R59)</f>
        <v/>
      </c>
      <c r="T59">
        <f>IFERROR(INDEX($F$6:$F$565,MATCH(ROW()-5,$S$6:$S$565,0)),"")</f>
        <v/>
      </c>
      <c r="V59">
        <f>IF(AND($K59&lt;&gt;"",$M59&lt;&gt;""),$L59="هزینه",0)*1</f>
        <v/>
      </c>
      <c r="W59">
        <f>SUM($V$6:$V59)</f>
        <v/>
      </c>
      <c r="X59">
        <f>IFERROR(INDEX($M$6:$M$105,MATCH(ROW()-5,$W$6:$W$105,0)),"")</f>
        <v/>
      </c>
      <c r="Z59">
        <f>IF([2]Entry!$E$62="","",[2]Entry!$E$62)</f>
        <v/>
      </c>
      <c r="AA59">
        <f>IF([2]Entry!$G$62="","",[2]Entry!$G$62)</f>
        <v/>
      </c>
      <c r="AB59">
        <f>IF([2]Entry!$J$62="","",[2]Entry!$J$62)</f>
        <v/>
      </c>
      <c r="AC59">
        <f>IF([2]Entry!$K$62="","",[2]Entry!$K$62)</f>
        <v/>
      </c>
      <c r="AD59">
        <f>IF([2]Entry!$L$62="","",[2]Entry!$L$62)</f>
        <v/>
      </c>
      <c r="AE59">
        <f>IF([2]Entry!$M$62="","",[2]Entry!$M$62)</f>
        <v/>
      </c>
      <c r="AF59">
        <f>IF([2]Entry!$N$62="","",[2]Entry!$N$62)</f>
        <v/>
      </c>
      <c r="AG59">
        <f>IF([3]Issues!$B$62="","",[3]Issues!$B$62)</f>
        <v/>
      </c>
      <c r="AH59">
        <f>IF([3]Issues!$D$62="","",[3]Issues!$D$62)</f>
        <v/>
      </c>
      <c r="AI59">
        <f>IF([3]Issues!$E$62="","",[3]Issues!$E$62)</f>
        <v/>
      </c>
      <c r="AJ59">
        <f>IF([2]Entry!$S$62="","",[2]Entry!$S$62)</f>
        <v/>
      </c>
      <c r="AK59">
        <f>IF([2]Entry!$C$62="","",[2]Entry!$C$62)</f>
        <v/>
      </c>
      <c r="AL59">
        <f>IF([2]Entry!$D$62="","",[2]Entry!$D$62)</f>
        <v/>
      </c>
      <c r="AM59">
        <f>IF(AND($F59&lt;&gt;"",$I59&lt;&gt;""),IF($G59="دارایی ثابت",1,0),0)</f>
        <v/>
      </c>
      <c r="AN59">
        <f>SUM($AM$6:$AM59)</f>
        <v/>
      </c>
      <c r="AO59">
        <f>IFERROR(INDEX($F$6:$F$565,MATCH(ROW()-5,$AN$6:$AN$565,0)),"")</f>
        <v/>
      </c>
      <c r="AP59">
        <f>IF(AND($F59&lt;&gt;"",$I59&lt;&gt;""),IF($G59="وام و تسهیلات",1,0),0)</f>
        <v/>
      </c>
      <c r="AQ59">
        <f>SUM($AP$6:$AP59)</f>
        <v/>
      </c>
      <c r="AR59">
        <f>IFERROR(INDEX($F$6:$F$565,MATCH(ROW()-5,$AQ$6:$AQ$565,0)),"")</f>
        <v/>
      </c>
      <c r="AS59">
        <f>IF(AND($F59&lt;&gt;"",$I59&lt;&gt;""),IF($G59="سرمایه و آورده صاحبان",1,0),0)</f>
        <v/>
      </c>
      <c r="AT59">
        <f>SUM($AS$6:$AS59)</f>
        <v/>
      </c>
      <c r="AU59">
        <f>IFERROR(INDEX($F$6:$F$565,MATCH(ROW()-5,$AT$6:$AT$565,0)),"")</f>
        <v/>
      </c>
      <c r="AW59">
        <f>IF([3]Issues!$C$62="","",[3]Issues!$C$62)</f>
        <v/>
      </c>
      <c r="AX59">
        <f>IF([4]Entry!$E$62="","",[4]Entry!$E$62)</f>
        <v/>
      </c>
      <c r="AY59">
        <f>IF([4]Entry!$H$62="","",[4]Entry!$H$62)</f>
        <v/>
      </c>
      <c r="AZ59">
        <f>IF([4]Entry!$I$62="","",[4]Entry!$I$62)</f>
        <v/>
      </c>
    </row>
    <row r="60">
      <c r="F60">
        <f>IF([1]Accounts!$D$61="","",[1]Accounts!$A$61)</f>
        <v/>
      </c>
      <c r="G60">
        <f>IF([1]Accounts!$D$61="","",[1]Accounts!$B$61)</f>
        <v/>
      </c>
      <c r="H60">
        <f>IF([1]Accounts!$D$61="","",[1]Accounts!$C$61)</f>
        <v/>
      </c>
      <c r="I60">
        <f>IF([1]Accounts!$D$61="","",[1]Accounts!$D$61)</f>
        <v/>
      </c>
      <c r="K60">
        <f>IF([1]SubGroups!$C$61="","",[1]SubGroups!$A$61)</f>
        <v/>
      </c>
      <c r="L60">
        <f>IF([1]SubGroups!$C$61="","",[1]SubGroups!$B$61)</f>
        <v/>
      </c>
      <c r="M60">
        <f>IF([1]SubGroups!$C$61="","",[1]SubGroups!$C$61)</f>
        <v/>
      </c>
      <c r="N60">
        <f>IF([1]SubGroups!$C$61="","",[1]SubGroups!$D$61)</f>
        <v/>
      </c>
      <c r="R60">
        <f>IF(AND($F60&lt;&gt;"",$I60&lt;&gt;""),IF(OR($G60="دارایی ثابت",$G60="وام و تسهیلات",$G60="سرمایه و آورده صاحبان"),0,1),0)</f>
        <v/>
      </c>
      <c r="S60">
        <f>SUM($R$6:$R60)</f>
        <v/>
      </c>
      <c r="T60">
        <f>IFERROR(INDEX($F$6:$F$565,MATCH(ROW()-5,$S$6:$S$565,0)),"")</f>
        <v/>
      </c>
      <c r="V60">
        <f>IF(AND($K60&lt;&gt;"",$M60&lt;&gt;""),$L60="هزینه",0)*1</f>
        <v/>
      </c>
      <c r="W60">
        <f>SUM($V$6:$V60)</f>
        <v/>
      </c>
      <c r="X60">
        <f>IFERROR(INDEX($M$6:$M$105,MATCH(ROW()-5,$W$6:$W$105,0)),"")</f>
        <v/>
      </c>
      <c r="Z60">
        <f>IF([2]Entry!$E$63="","",[2]Entry!$E$63)</f>
        <v/>
      </c>
      <c r="AA60">
        <f>IF([2]Entry!$G$63="","",[2]Entry!$G$63)</f>
        <v/>
      </c>
      <c r="AB60">
        <f>IF([2]Entry!$J$63="","",[2]Entry!$J$63)</f>
        <v/>
      </c>
      <c r="AC60">
        <f>IF([2]Entry!$K$63="","",[2]Entry!$K$63)</f>
        <v/>
      </c>
      <c r="AD60">
        <f>IF([2]Entry!$L$63="","",[2]Entry!$L$63)</f>
        <v/>
      </c>
      <c r="AE60">
        <f>IF([2]Entry!$M$63="","",[2]Entry!$M$63)</f>
        <v/>
      </c>
      <c r="AF60">
        <f>IF([2]Entry!$N$63="","",[2]Entry!$N$63)</f>
        <v/>
      </c>
      <c r="AG60">
        <f>IF([3]Issues!$B$63="","",[3]Issues!$B$63)</f>
        <v/>
      </c>
      <c r="AH60">
        <f>IF([3]Issues!$D$63="","",[3]Issues!$D$63)</f>
        <v/>
      </c>
      <c r="AI60">
        <f>IF([3]Issues!$E$63="","",[3]Issues!$E$63)</f>
        <v/>
      </c>
      <c r="AJ60">
        <f>IF([2]Entry!$S$63="","",[2]Entry!$S$63)</f>
        <v/>
      </c>
      <c r="AK60">
        <f>IF([2]Entry!$C$63="","",[2]Entry!$C$63)</f>
        <v/>
      </c>
      <c r="AL60">
        <f>IF([2]Entry!$D$63="","",[2]Entry!$D$63)</f>
        <v/>
      </c>
      <c r="AM60">
        <f>IF(AND($F60&lt;&gt;"",$I60&lt;&gt;""),IF($G60="دارایی ثابت",1,0),0)</f>
        <v/>
      </c>
      <c r="AN60">
        <f>SUM($AM$6:$AM60)</f>
        <v/>
      </c>
      <c r="AO60">
        <f>IFERROR(INDEX($F$6:$F$565,MATCH(ROW()-5,$AN$6:$AN$565,0)),"")</f>
        <v/>
      </c>
      <c r="AP60">
        <f>IF(AND($F60&lt;&gt;"",$I60&lt;&gt;""),IF($G60="وام و تسهیلات",1,0),0)</f>
        <v/>
      </c>
      <c r="AQ60">
        <f>SUM($AP$6:$AP60)</f>
        <v/>
      </c>
      <c r="AR60">
        <f>IFERROR(INDEX($F$6:$F$565,MATCH(ROW()-5,$AQ$6:$AQ$565,0)),"")</f>
        <v/>
      </c>
      <c r="AS60">
        <f>IF(AND($F60&lt;&gt;"",$I60&lt;&gt;""),IF($G60="سرمایه و آورده صاحبان",1,0),0)</f>
        <v/>
      </c>
      <c r="AT60">
        <f>SUM($AS$6:$AS60)</f>
        <v/>
      </c>
      <c r="AU60">
        <f>IFERROR(INDEX($F$6:$F$565,MATCH(ROW()-5,$AT$6:$AT$565,0)),"")</f>
        <v/>
      </c>
      <c r="AW60">
        <f>IF([3]Issues!$C$63="","",[3]Issues!$C$63)</f>
        <v/>
      </c>
      <c r="AX60">
        <f>IF([4]Entry!$E$63="","",[4]Entry!$E$63)</f>
        <v/>
      </c>
      <c r="AY60">
        <f>IF([4]Entry!$H$63="","",[4]Entry!$H$63)</f>
        <v/>
      </c>
      <c r="AZ60">
        <f>IF([4]Entry!$I$63="","",[4]Entry!$I$63)</f>
        <v/>
      </c>
    </row>
    <row r="61">
      <c r="F61">
        <f>IF([1]Accounts!$D$62="","",[1]Accounts!$A$62)</f>
        <v/>
      </c>
      <c r="G61">
        <f>IF([1]Accounts!$D$62="","",[1]Accounts!$B$62)</f>
        <v/>
      </c>
      <c r="H61">
        <f>IF([1]Accounts!$D$62="","",[1]Accounts!$C$62)</f>
        <v/>
      </c>
      <c r="I61">
        <f>IF([1]Accounts!$D$62="","",[1]Accounts!$D$62)</f>
        <v/>
      </c>
      <c r="K61">
        <f>IF([1]SubGroups!$C$62="","",[1]SubGroups!$A$62)</f>
        <v/>
      </c>
      <c r="L61">
        <f>IF([1]SubGroups!$C$62="","",[1]SubGroups!$B$62)</f>
        <v/>
      </c>
      <c r="M61">
        <f>IF([1]SubGroups!$C$62="","",[1]SubGroups!$C$62)</f>
        <v/>
      </c>
      <c r="N61">
        <f>IF([1]SubGroups!$C$62="","",[1]SubGroups!$D$62)</f>
        <v/>
      </c>
      <c r="R61">
        <f>IF(AND($F61&lt;&gt;"",$I61&lt;&gt;""),IF(OR($G61="دارایی ثابت",$G61="وام و تسهیلات",$G61="سرمایه و آورده صاحبان"),0,1),0)</f>
        <v/>
      </c>
      <c r="S61">
        <f>SUM($R$6:$R61)</f>
        <v/>
      </c>
      <c r="T61">
        <f>IFERROR(INDEX($F$6:$F$565,MATCH(ROW()-5,$S$6:$S$565,0)),"")</f>
        <v/>
      </c>
      <c r="V61">
        <f>IF(AND($K61&lt;&gt;"",$M61&lt;&gt;""),$L61="هزینه",0)*1</f>
        <v/>
      </c>
      <c r="W61">
        <f>SUM($V$6:$V61)</f>
        <v/>
      </c>
      <c r="X61">
        <f>IFERROR(INDEX($M$6:$M$105,MATCH(ROW()-5,$W$6:$W$105,0)),"")</f>
        <v/>
      </c>
      <c r="Z61">
        <f>IF([2]Entry!$E$64="","",[2]Entry!$E$64)</f>
        <v/>
      </c>
      <c r="AA61">
        <f>IF([2]Entry!$G$64="","",[2]Entry!$G$64)</f>
        <v/>
      </c>
      <c r="AB61">
        <f>IF([2]Entry!$J$64="","",[2]Entry!$J$64)</f>
        <v/>
      </c>
      <c r="AC61">
        <f>IF([2]Entry!$K$64="","",[2]Entry!$K$64)</f>
        <v/>
      </c>
      <c r="AD61">
        <f>IF([2]Entry!$L$64="","",[2]Entry!$L$64)</f>
        <v/>
      </c>
      <c r="AE61">
        <f>IF([2]Entry!$M$64="","",[2]Entry!$M$64)</f>
        <v/>
      </c>
      <c r="AF61">
        <f>IF([2]Entry!$N$64="","",[2]Entry!$N$64)</f>
        <v/>
      </c>
      <c r="AG61">
        <f>IF([3]Issues!$B$64="","",[3]Issues!$B$64)</f>
        <v/>
      </c>
      <c r="AH61">
        <f>IF([3]Issues!$D$64="","",[3]Issues!$D$64)</f>
        <v/>
      </c>
      <c r="AI61">
        <f>IF([3]Issues!$E$64="","",[3]Issues!$E$64)</f>
        <v/>
      </c>
      <c r="AJ61">
        <f>IF([2]Entry!$S$64="","",[2]Entry!$S$64)</f>
        <v/>
      </c>
      <c r="AK61">
        <f>IF([2]Entry!$C$64="","",[2]Entry!$C$64)</f>
        <v/>
      </c>
      <c r="AL61">
        <f>IF([2]Entry!$D$64="","",[2]Entry!$D$64)</f>
        <v/>
      </c>
      <c r="AM61">
        <f>IF(AND($F61&lt;&gt;"",$I61&lt;&gt;""),IF($G61="دارایی ثابت",1,0),0)</f>
        <v/>
      </c>
      <c r="AN61">
        <f>SUM($AM$6:$AM61)</f>
        <v/>
      </c>
      <c r="AO61">
        <f>IFERROR(INDEX($F$6:$F$565,MATCH(ROW()-5,$AN$6:$AN$565,0)),"")</f>
        <v/>
      </c>
      <c r="AP61">
        <f>IF(AND($F61&lt;&gt;"",$I61&lt;&gt;""),IF($G61="وام و تسهیلات",1,0),0)</f>
        <v/>
      </c>
      <c r="AQ61">
        <f>SUM($AP$6:$AP61)</f>
        <v/>
      </c>
      <c r="AR61">
        <f>IFERROR(INDEX($F$6:$F$565,MATCH(ROW()-5,$AQ$6:$AQ$565,0)),"")</f>
        <v/>
      </c>
      <c r="AS61">
        <f>IF(AND($F61&lt;&gt;"",$I61&lt;&gt;""),IF($G61="سرمایه و آورده صاحبان",1,0),0)</f>
        <v/>
      </c>
      <c r="AT61">
        <f>SUM($AS$6:$AS61)</f>
        <v/>
      </c>
      <c r="AU61">
        <f>IFERROR(INDEX($F$6:$F$565,MATCH(ROW()-5,$AT$6:$AT$565,0)),"")</f>
        <v/>
      </c>
      <c r="AW61">
        <f>IF([3]Issues!$C$64="","",[3]Issues!$C$64)</f>
        <v/>
      </c>
      <c r="AX61">
        <f>IF([4]Entry!$E$64="","",[4]Entry!$E$64)</f>
        <v/>
      </c>
      <c r="AY61">
        <f>IF([4]Entry!$H$64="","",[4]Entry!$H$64)</f>
        <v/>
      </c>
      <c r="AZ61">
        <f>IF([4]Entry!$I$64="","",[4]Entry!$I$64)</f>
        <v/>
      </c>
    </row>
    <row r="62">
      <c r="F62">
        <f>IF([1]Accounts!$D$63="","",[1]Accounts!$A$63)</f>
        <v/>
      </c>
      <c r="G62">
        <f>IF([1]Accounts!$D$63="","",[1]Accounts!$B$63)</f>
        <v/>
      </c>
      <c r="H62">
        <f>IF([1]Accounts!$D$63="","",[1]Accounts!$C$63)</f>
        <v/>
      </c>
      <c r="I62">
        <f>IF([1]Accounts!$D$63="","",[1]Accounts!$D$63)</f>
        <v/>
      </c>
      <c r="K62">
        <f>IF([1]SubGroups!$C$63="","",[1]SubGroups!$A$63)</f>
        <v/>
      </c>
      <c r="L62">
        <f>IF([1]SubGroups!$C$63="","",[1]SubGroups!$B$63)</f>
        <v/>
      </c>
      <c r="M62">
        <f>IF([1]SubGroups!$C$63="","",[1]SubGroups!$C$63)</f>
        <v/>
      </c>
      <c r="N62">
        <f>IF([1]SubGroups!$C$63="","",[1]SubGroups!$D$63)</f>
        <v/>
      </c>
      <c r="R62">
        <f>IF(AND($F62&lt;&gt;"",$I62&lt;&gt;""),IF(OR($G62="دارایی ثابت",$G62="وام و تسهیلات",$G62="سرمایه و آورده صاحبان"),0,1),0)</f>
        <v/>
      </c>
      <c r="S62">
        <f>SUM($R$6:$R62)</f>
        <v/>
      </c>
      <c r="T62">
        <f>IFERROR(INDEX($F$6:$F$565,MATCH(ROW()-5,$S$6:$S$565,0)),"")</f>
        <v/>
      </c>
      <c r="V62">
        <f>IF(AND($K62&lt;&gt;"",$M62&lt;&gt;""),$L62="هزینه",0)*1</f>
        <v/>
      </c>
      <c r="W62">
        <f>SUM($V$6:$V62)</f>
        <v/>
      </c>
      <c r="X62">
        <f>IFERROR(INDEX($M$6:$M$105,MATCH(ROW()-5,$W$6:$W$105,0)),"")</f>
        <v/>
      </c>
      <c r="Z62">
        <f>IF([2]Entry!$E$65="","",[2]Entry!$E$65)</f>
        <v/>
      </c>
      <c r="AA62">
        <f>IF([2]Entry!$G$65="","",[2]Entry!$G$65)</f>
        <v/>
      </c>
      <c r="AB62">
        <f>IF([2]Entry!$J$65="","",[2]Entry!$J$65)</f>
        <v/>
      </c>
      <c r="AC62">
        <f>IF([2]Entry!$K$65="","",[2]Entry!$K$65)</f>
        <v/>
      </c>
      <c r="AD62">
        <f>IF([2]Entry!$L$65="","",[2]Entry!$L$65)</f>
        <v/>
      </c>
      <c r="AE62">
        <f>IF([2]Entry!$M$65="","",[2]Entry!$M$65)</f>
        <v/>
      </c>
      <c r="AF62">
        <f>IF([2]Entry!$N$65="","",[2]Entry!$N$65)</f>
        <v/>
      </c>
      <c r="AG62">
        <f>IF([3]Issues!$B$65="","",[3]Issues!$B$65)</f>
        <v/>
      </c>
      <c r="AH62">
        <f>IF([3]Issues!$D$65="","",[3]Issues!$D$65)</f>
        <v/>
      </c>
      <c r="AI62">
        <f>IF([3]Issues!$E$65="","",[3]Issues!$E$65)</f>
        <v/>
      </c>
      <c r="AJ62">
        <f>IF([2]Entry!$S$65="","",[2]Entry!$S$65)</f>
        <v/>
      </c>
      <c r="AK62">
        <f>IF([2]Entry!$C$65="","",[2]Entry!$C$65)</f>
        <v/>
      </c>
      <c r="AL62">
        <f>IF([2]Entry!$D$65="","",[2]Entry!$D$65)</f>
        <v/>
      </c>
      <c r="AM62">
        <f>IF(AND($F62&lt;&gt;"",$I62&lt;&gt;""),IF($G62="دارایی ثابت",1,0),0)</f>
        <v/>
      </c>
      <c r="AN62">
        <f>SUM($AM$6:$AM62)</f>
        <v/>
      </c>
      <c r="AO62">
        <f>IFERROR(INDEX($F$6:$F$565,MATCH(ROW()-5,$AN$6:$AN$565,0)),"")</f>
        <v/>
      </c>
      <c r="AP62">
        <f>IF(AND($F62&lt;&gt;"",$I62&lt;&gt;""),IF($G62="وام و تسهیلات",1,0),0)</f>
        <v/>
      </c>
      <c r="AQ62">
        <f>SUM($AP$6:$AP62)</f>
        <v/>
      </c>
      <c r="AR62">
        <f>IFERROR(INDEX($F$6:$F$565,MATCH(ROW()-5,$AQ$6:$AQ$565,0)),"")</f>
        <v/>
      </c>
      <c r="AS62">
        <f>IF(AND($F62&lt;&gt;"",$I62&lt;&gt;""),IF($G62="سرمایه و آورده صاحبان",1,0),0)</f>
        <v/>
      </c>
      <c r="AT62">
        <f>SUM($AS$6:$AS62)</f>
        <v/>
      </c>
      <c r="AU62">
        <f>IFERROR(INDEX($F$6:$F$565,MATCH(ROW()-5,$AT$6:$AT$565,0)),"")</f>
        <v/>
      </c>
      <c r="AW62">
        <f>IF([3]Issues!$C$65="","",[3]Issues!$C$65)</f>
        <v/>
      </c>
      <c r="AX62">
        <f>IF([4]Entry!$E$65="","",[4]Entry!$E$65)</f>
        <v/>
      </c>
      <c r="AY62">
        <f>IF([4]Entry!$H$65="","",[4]Entry!$H$65)</f>
        <v/>
      </c>
      <c r="AZ62">
        <f>IF([4]Entry!$I$65="","",[4]Entry!$I$65)</f>
        <v/>
      </c>
    </row>
    <row r="63">
      <c r="F63">
        <f>IF([1]Accounts!$D$64="","",[1]Accounts!$A$64)</f>
        <v/>
      </c>
      <c r="G63">
        <f>IF([1]Accounts!$D$64="","",[1]Accounts!$B$64)</f>
        <v/>
      </c>
      <c r="H63">
        <f>IF([1]Accounts!$D$64="","",[1]Accounts!$C$64)</f>
        <v/>
      </c>
      <c r="I63">
        <f>IF([1]Accounts!$D$64="","",[1]Accounts!$D$64)</f>
        <v/>
      </c>
      <c r="K63">
        <f>IF([1]SubGroups!$C$64="","",[1]SubGroups!$A$64)</f>
        <v/>
      </c>
      <c r="L63">
        <f>IF([1]SubGroups!$C$64="","",[1]SubGroups!$B$64)</f>
        <v/>
      </c>
      <c r="M63">
        <f>IF([1]SubGroups!$C$64="","",[1]SubGroups!$C$64)</f>
        <v/>
      </c>
      <c r="N63">
        <f>IF([1]SubGroups!$C$64="","",[1]SubGroups!$D$64)</f>
        <v/>
      </c>
      <c r="R63">
        <f>IF(AND($F63&lt;&gt;"",$I63&lt;&gt;""),IF(OR($G63="دارایی ثابت",$G63="وام و تسهیلات",$G63="سرمایه و آورده صاحبان"),0,1),0)</f>
        <v/>
      </c>
      <c r="S63">
        <f>SUM($R$6:$R63)</f>
        <v/>
      </c>
      <c r="T63">
        <f>IFERROR(INDEX($F$6:$F$565,MATCH(ROW()-5,$S$6:$S$565,0)),"")</f>
        <v/>
      </c>
      <c r="V63">
        <f>IF(AND($K63&lt;&gt;"",$M63&lt;&gt;""),$L63="هزینه",0)*1</f>
        <v/>
      </c>
      <c r="W63">
        <f>SUM($V$6:$V63)</f>
        <v/>
      </c>
      <c r="X63">
        <f>IFERROR(INDEX($M$6:$M$105,MATCH(ROW()-5,$W$6:$W$105,0)),"")</f>
        <v/>
      </c>
      <c r="Z63">
        <f>IF([2]Entry!$E$66="","",[2]Entry!$E$66)</f>
        <v/>
      </c>
      <c r="AA63">
        <f>IF([2]Entry!$G$66="","",[2]Entry!$G$66)</f>
        <v/>
      </c>
      <c r="AB63">
        <f>IF([2]Entry!$J$66="","",[2]Entry!$J$66)</f>
        <v/>
      </c>
      <c r="AC63">
        <f>IF([2]Entry!$K$66="","",[2]Entry!$K$66)</f>
        <v/>
      </c>
      <c r="AD63">
        <f>IF([2]Entry!$L$66="","",[2]Entry!$L$66)</f>
        <v/>
      </c>
      <c r="AE63">
        <f>IF([2]Entry!$M$66="","",[2]Entry!$M$66)</f>
        <v/>
      </c>
      <c r="AF63">
        <f>IF([2]Entry!$N$66="","",[2]Entry!$N$66)</f>
        <v/>
      </c>
      <c r="AG63">
        <f>IF([3]Issues!$B$66="","",[3]Issues!$B$66)</f>
        <v/>
      </c>
      <c r="AH63">
        <f>IF([3]Issues!$D$66="","",[3]Issues!$D$66)</f>
        <v/>
      </c>
      <c r="AI63">
        <f>IF([3]Issues!$E$66="","",[3]Issues!$E$66)</f>
        <v/>
      </c>
      <c r="AJ63">
        <f>IF([2]Entry!$S$66="","",[2]Entry!$S$66)</f>
        <v/>
      </c>
      <c r="AK63">
        <f>IF([2]Entry!$C$66="","",[2]Entry!$C$66)</f>
        <v/>
      </c>
      <c r="AL63">
        <f>IF([2]Entry!$D$66="","",[2]Entry!$D$66)</f>
        <v/>
      </c>
      <c r="AM63">
        <f>IF(AND($F63&lt;&gt;"",$I63&lt;&gt;""),IF($G63="دارایی ثابت",1,0),0)</f>
        <v/>
      </c>
      <c r="AN63">
        <f>SUM($AM$6:$AM63)</f>
        <v/>
      </c>
      <c r="AO63">
        <f>IFERROR(INDEX($F$6:$F$565,MATCH(ROW()-5,$AN$6:$AN$565,0)),"")</f>
        <v/>
      </c>
      <c r="AP63">
        <f>IF(AND($F63&lt;&gt;"",$I63&lt;&gt;""),IF($G63="وام و تسهیلات",1,0),0)</f>
        <v/>
      </c>
      <c r="AQ63">
        <f>SUM($AP$6:$AP63)</f>
        <v/>
      </c>
      <c r="AR63">
        <f>IFERROR(INDEX($F$6:$F$565,MATCH(ROW()-5,$AQ$6:$AQ$565,0)),"")</f>
        <v/>
      </c>
      <c r="AS63">
        <f>IF(AND($F63&lt;&gt;"",$I63&lt;&gt;""),IF($G63="سرمایه و آورده صاحبان",1,0),0)</f>
        <v/>
      </c>
      <c r="AT63">
        <f>SUM($AS$6:$AS63)</f>
        <v/>
      </c>
      <c r="AU63">
        <f>IFERROR(INDEX($F$6:$F$565,MATCH(ROW()-5,$AT$6:$AT$565,0)),"")</f>
        <v/>
      </c>
      <c r="AW63">
        <f>IF([3]Issues!$C$66="","",[3]Issues!$C$66)</f>
        <v/>
      </c>
      <c r="AX63">
        <f>IF([4]Entry!$E$66="","",[4]Entry!$E$66)</f>
        <v/>
      </c>
      <c r="AY63">
        <f>IF([4]Entry!$H$66="","",[4]Entry!$H$66)</f>
        <v/>
      </c>
      <c r="AZ63">
        <f>IF([4]Entry!$I$66="","",[4]Entry!$I$66)</f>
        <v/>
      </c>
    </row>
    <row r="64">
      <c r="F64">
        <f>IF([1]Accounts!$D$65="","",[1]Accounts!$A$65)</f>
        <v/>
      </c>
      <c r="G64">
        <f>IF([1]Accounts!$D$65="","",[1]Accounts!$B$65)</f>
        <v/>
      </c>
      <c r="H64">
        <f>IF([1]Accounts!$D$65="","",[1]Accounts!$C$65)</f>
        <v/>
      </c>
      <c r="I64">
        <f>IF([1]Accounts!$D$65="","",[1]Accounts!$D$65)</f>
        <v/>
      </c>
      <c r="K64">
        <f>IF([1]SubGroups!$C$65="","",[1]SubGroups!$A$65)</f>
        <v/>
      </c>
      <c r="L64">
        <f>IF([1]SubGroups!$C$65="","",[1]SubGroups!$B$65)</f>
        <v/>
      </c>
      <c r="M64">
        <f>IF([1]SubGroups!$C$65="","",[1]SubGroups!$C$65)</f>
        <v/>
      </c>
      <c r="N64">
        <f>IF([1]SubGroups!$C$65="","",[1]SubGroups!$D$65)</f>
        <v/>
      </c>
      <c r="R64">
        <f>IF(AND($F64&lt;&gt;"",$I64&lt;&gt;""),IF(OR($G64="دارایی ثابت",$G64="وام و تسهیلات",$G64="سرمایه و آورده صاحبان"),0,1),0)</f>
        <v/>
      </c>
      <c r="S64">
        <f>SUM($R$6:$R64)</f>
        <v/>
      </c>
      <c r="T64">
        <f>IFERROR(INDEX($F$6:$F$565,MATCH(ROW()-5,$S$6:$S$565,0)),"")</f>
        <v/>
      </c>
      <c r="V64">
        <f>IF(AND($K64&lt;&gt;"",$M64&lt;&gt;""),$L64="هزینه",0)*1</f>
        <v/>
      </c>
      <c r="W64">
        <f>SUM($V$6:$V64)</f>
        <v/>
      </c>
      <c r="X64">
        <f>IFERROR(INDEX($M$6:$M$105,MATCH(ROW()-5,$W$6:$W$105,0)),"")</f>
        <v/>
      </c>
      <c r="Z64">
        <f>IF([2]Entry!$E$67="","",[2]Entry!$E$67)</f>
        <v/>
      </c>
      <c r="AA64">
        <f>IF([2]Entry!$G$67="","",[2]Entry!$G$67)</f>
        <v/>
      </c>
      <c r="AB64">
        <f>IF([2]Entry!$J$67="","",[2]Entry!$J$67)</f>
        <v/>
      </c>
      <c r="AC64">
        <f>IF([2]Entry!$K$67="","",[2]Entry!$K$67)</f>
        <v/>
      </c>
      <c r="AD64">
        <f>IF([2]Entry!$L$67="","",[2]Entry!$L$67)</f>
        <v/>
      </c>
      <c r="AE64">
        <f>IF([2]Entry!$M$67="","",[2]Entry!$M$67)</f>
        <v/>
      </c>
      <c r="AF64">
        <f>IF([2]Entry!$N$67="","",[2]Entry!$N$67)</f>
        <v/>
      </c>
      <c r="AG64">
        <f>IF([3]Issues!$B$67="","",[3]Issues!$B$67)</f>
        <v/>
      </c>
      <c r="AH64">
        <f>IF([3]Issues!$D$67="","",[3]Issues!$D$67)</f>
        <v/>
      </c>
      <c r="AI64">
        <f>IF([3]Issues!$E$67="","",[3]Issues!$E$67)</f>
        <v/>
      </c>
      <c r="AJ64">
        <f>IF([2]Entry!$S$67="","",[2]Entry!$S$67)</f>
        <v/>
      </c>
      <c r="AK64">
        <f>IF([2]Entry!$C$67="","",[2]Entry!$C$67)</f>
        <v/>
      </c>
      <c r="AL64">
        <f>IF([2]Entry!$D$67="","",[2]Entry!$D$67)</f>
        <v/>
      </c>
      <c r="AM64">
        <f>IF(AND($F64&lt;&gt;"",$I64&lt;&gt;""),IF($G64="دارایی ثابت",1,0),0)</f>
        <v/>
      </c>
      <c r="AN64">
        <f>SUM($AM$6:$AM64)</f>
        <v/>
      </c>
      <c r="AO64">
        <f>IFERROR(INDEX($F$6:$F$565,MATCH(ROW()-5,$AN$6:$AN$565,0)),"")</f>
        <v/>
      </c>
      <c r="AP64">
        <f>IF(AND($F64&lt;&gt;"",$I64&lt;&gt;""),IF($G64="وام و تسهیلات",1,0),0)</f>
        <v/>
      </c>
      <c r="AQ64">
        <f>SUM($AP$6:$AP64)</f>
        <v/>
      </c>
      <c r="AR64">
        <f>IFERROR(INDEX($F$6:$F$565,MATCH(ROW()-5,$AQ$6:$AQ$565,0)),"")</f>
        <v/>
      </c>
      <c r="AS64">
        <f>IF(AND($F64&lt;&gt;"",$I64&lt;&gt;""),IF($G64="سرمایه و آورده صاحبان",1,0),0)</f>
        <v/>
      </c>
      <c r="AT64">
        <f>SUM($AS$6:$AS64)</f>
        <v/>
      </c>
      <c r="AU64">
        <f>IFERROR(INDEX($F$6:$F$565,MATCH(ROW()-5,$AT$6:$AT$565,0)),"")</f>
        <v/>
      </c>
      <c r="AW64">
        <f>IF([3]Issues!$C$67="","",[3]Issues!$C$67)</f>
        <v/>
      </c>
      <c r="AX64">
        <f>IF([4]Entry!$E$67="","",[4]Entry!$E$67)</f>
        <v/>
      </c>
      <c r="AY64">
        <f>IF([4]Entry!$H$67="","",[4]Entry!$H$67)</f>
        <v/>
      </c>
      <c r="AZ64">
        <f>IF([4]Entry!$I$67="","",[4]Entry!$I$67)</f>
        <v/>
      </c>
    </row>
    <row r="65">
      <c r="F65">
        <f>IF([1]Accounts!$D$66="","",[1]Accounts!$A$66)</f>
        <v/>
      </c>
      <c r="G65">
        <f>IF([1]Accounts!$D$66="","",[1]Accounts!$B$66)</f>
        <v/>
      </c>
      <c r="H65">
        <f>IF([1]Accounts!$D$66="","",[1]Accounts!$C$66)</f>
        <v/>
      </c>
      <c r="I65">
        <f>IF([1]Accounts!$D$66="","",[1]Accounts!$D$66)</f>
        <v/>
      </c>
      <c r="K65">
        <f>IF([1]SubGroups!$C$66="","",[1]SubGroups!$A$66)</f>
        <v/>
      </c>
      <c r="L65">
        <f>IF([1]SubGroups!$C$66="","",[1]SubGroups!$B$66)</f>
        <v/>
      </c>
      <c r="M65">
        <f>IF([1]SubGroups!$C$66="","",[1]SubGroups!$C$66)</f>
        <v/>
      </c>
      <c r="N65">
        <f>IF([1]SubGroups!$C$66="","",[1]SubGroups!$D$66)</f>
        <v/>
      </c>
      <c r="R65">
        <f>IF(AND($F65&lt;&gt;"",$I65&lt;&gt;""),IF(OR($G65="دارایی ثابت",$G65="وام و تسهیلات",$G65="سرمایه و آورده صاحبان"),0,1),0)</f>
        <v/>
      </c>
      <c r="S65">
        <f>SUM($R$6:$R65)</f>
        <v/>
      </c>
      <c r="T65">
        <f>IFERROR(INDEX($F$6:$F$565,MATCH(ROW()-5,$S$6:$S$565,0)),"")</f>
        <v/>
      </c>
      <c r="V65">
        <f>IF(AND($K65&lt;&gt;"",$M65&lt;&gt;""),$L65="هزینه",0)*1</f>
        <v/>
      </c>
      <c r="W65">
        <f>SUM($V$6:$V65)</f>
        <v/>
      </c>
      <c r="X65">
        <f>IFERROR(INDEX($M$6:$M$105,MATCH(ROW()-5,$W$6:$W$105,0)),"")</f>
        <v/>
      </c>
      <c r="Z65">
        <f>IF([2]Entry!$E$68="","",[2]Entry!$E$68)</f>
        <v/>
      </c>
      <c r="AA65">
        <f>IF([2]Entry!$G$68="","",[2]Entry!$G$68)</f>
        <v/>
      </c>
      <c r="AB65">
        <f>IF([2]Entry!$J$68="","",[2]Entry!$J$68)</f>
        <v/>
      </c>
      <c r="AC65">
        <f>IF([2]Entry!$K$68="","",[2]Entry!$K$68)</f>
        <v/>
      </c>
      <c r="AD65">
        <f>IF([2]Entry!$L$68="","",[2]Entry!$L$68)</f>
        <v/>
      </c>
      <c r="AE65">
        <f>IF([2]Entry!$M$68="","",[2]Entry!$M$68)</f>
        <v/>
      </c>
      <c r="AF65">
        <f>IF([2]Entry!$N$68="","",[2]Entry!$N$68)</f>
        <v/>
      </c>
      <c r="AG65">
        <f>IF([3]Issues!$B$68="","",[3]Issues!$B$68)</f>
        <v/>
      </c>
      <c r="AH65">
        <f>IF([3]Issues!$D$68="","",[3]Issues!$D$68)</f>
        <v/>
      </c>
      <c r="AI65">
        <f>IF([3]Issues!$E$68="","",[3]Issues!$E$68)</f>
        <v/>
      </c>
      <c r="AJ65">
        <f>IF([2]Entry!$S$68="","",[2]Entry!$S$68)</f>
        <v/>
      </c>
      <c r="AK65">
        <f>IF([2]Entry!$C$68="","",[2]Entry!$C$68)</f>
        <v/>
      </c>
      <c r="AL65">
        <f>IF([2]Entry!$D$68="","",[2]Entry!$D$68)</f>
        <v/>
      </c>
      <c r="AM65">
        <f>IF(AND($F65&lt;&gt;"",$I65&lt;&gt;""),IF($G65="دارایی ثابت",1,0),0)</f>
        <v/>
      </c>
      <c r="AN65">
        <f>SUM($AM$6:$AM65)</f>
        <v/>
      </c>
      <c r="AO65">
        <f>IFERROR(INDEX($F$6:$F$565,MATCH(ROW()-5,$AN$6:$AN$565,0)),"")</f>
        <v/>
      </c>
      <c r="AP65">
        <f>IF(AND($F65&lt;&gt;"",$I65&lt;&gt;""),IF($G65="وام و تسهیلات",1,0),0)</f>
        <v/>
      </c>
      <c r="AQ65">
        <f>SUM($AP$6:$AP65)</f>
        <v/>
      </c>
      <c r="AR65">
        <f>IFERROR(INDEX($F$6:$F$565,MATCH(ROW()-5,$AQ$6:$AQ$565,0)),"")</f>
        <v/>
      </c>
      <c r="AS65">
        <f>IF(AND($F65&lt;&gt;"",$I65&lt;&gt;""),IF($G65="سرمایه و آورده صاحبان",1,0),0)</f>
        <v/>
      </c>
      <c r="AT65">
        <f>SUM($AS$6:$AS65)</f>
        <v/>
      </c>
      <c r="AU65">
        <f>IFERROR(INDEX($F$6:$F$565,MATCH(ROW()-5,$AT$6:$AT$565,0)),"")</f>
        <v/>
      </c>
      <c r="AW65">
        <f>IF([3]Issues!$C$68="","",[3]Issues!$C$68)</f>
        <v/>
      </c>
      <c r="AX65">
        <f>IF([4]Entry!$E$68="","",[4]Entry!$E$68)</f>
        <v/>
      </c>
      <c r="AY65">
        <f>IF([4]Entry!$H$68="","",[4]Entry!$H$68)</f>
        <v/>
      </c>
      <c r="AZ65">
        <f>IF([4]Entry!$I$68="","",[4]Entry!$I$68)</f>
        <v/>
      </c>
    </row>
    <row r="66">
      <c r="F66">
        <f>IF([1]Accounts!$D$67="","",[1]Accounts!$A$67)</f>
        <v/>
      </c>
      <c r="G66">
        <f>IF([1]Accounts!$D$67="","",[1]Accounts!$B$67)</f>
        <v/>
      </c>
      <c r="H66">
        <f>IF([1]Accounts!$D$67="","",[1]Accounts!$C$67)</f>
        <v/>
      </c>
      <c r="I66">
        <f>IF([1]Accounts!$D$67="","",[1]Accounts!$D$67)</f>
        <v/>
      </c>
      <c r="K66">
        <f>IF([1]SubGroups!$C$67="","",[1]SubGroups!$A$67)</f>
        <v/>
      </c>
      <c r="L66">
        <f>IF([1]SubGroups!$C$67="","",[1]SubGroups!$B$67)</f>
        <v/>
      </c>
      <c r="M66">
        <f>IF([1]SubGroups!$C$67="","",[1]SubGroups!$C$67)</f>
        <v/>
      </c>
      <c r="N66">
        <f>IF([1]SubGroups!$C$67="","",[1]SubGroups!$D$67)</f>
        <v/>
      </c>
      <c r="R66">
        <f>IF(AND($F66&lt;&gt;"",$I66&lt;&gt;""),IF(OR($G66="دارایی ثابت",$G66="وام و تسهیلات",$G66="سرمایه و آورده صاحبان"),0,1),0)</f>
        <v/>
      </c>
      <c r="S66">
        <f>SUM($R$6:$R66)</f>
        <v/>
      </c>
      <c r="T66">
        <f>IFERROR(INDEX($F$6:$F$565,MATCH(ROW()-5,$S$6:$S$565,0)),"")</f>
        <v/>
      </c>
      <c r="V66">
        <f>IF(AND($K66&lt;&gt;"",$M66&lt;&gt;""),$L66="هزینه",0)*1</f>
        <v/>
      </c>
      <c r="W66">
        <f>SUM($V$6:$V66)</f>
        <v/>
      </c>
      <c r="X66">
        <f>IFERROR(INDEX($M$6:$M$105,MATCH(ROW()-5,$W$6:$W$105,0)),"")</f>
        <v/>
      </c>
      <c r="Z66">
        <f>IF([2]Entry!$E$69="","",[2]Entry!$E$69)</f>
        <v/>
      </c>
      <c r="AA66">
        <f>IF([2]Entry!$G$69="","",[2]Entry!$G$69)</f>
        <v/>
      </c>
      <c r="AB66">
        <f>IF([2]Entry!$J$69="","",[2]Entry!$J$69)</f>
        <v/>
      </c>
      <c r="AC66">
        <f>IF([2]Entry!$K$69="","",[2]Entry!$K$69)</f>
        <v/>
      </c>
      <c r="AD66">
        <f>IF([2]Entry!$L$69="","",[2]Entry!$L$69)</f>
        <v/>
      </c>
      <c r="AE66">
        <f>IF([2]Entry!$M$69="","",[2]Entry!$M$69)</f>
        <v/>
      </c>
      <c r="AF66">
        <f>IF([2]Entry!$N$69="","",[2]Entry!$N$69)</f>
        <v/>
      </c>
      <c r="AG66">
        <f>IF([3]Issues!$B$69="","",[3]Issues!$B$69)</f>
        <v/>
      </c>
      <c r="AH66">
        <f>IF([3]Issues!$D$69="","",[3]Issues!$D$69)</f>
        <v/>
      </c>
      <c r="AI66">
        <f>IF([3]Issues!$E$69="","",[3]Issues!$E$69)</f>
        <v/>
      </c>
      <c r="AJ66">
        <f>IF([2]Entry!$S$69="","",[2]Entry!$S$69)</f>
        <v/>
      </c>
      <c r="AK66">
        <f>IF([2]Entry!$C$69="","",[2]Entry!$C$69)</f>
        <v/>
      </c>
      <c r="AL66">
        <f>IF([2]Entry!$D$69="","",[2]Entry!$D$69)</f>
        <v/>
      </c>
      <c r="AM66">
        <f>IF(AND($F66&lt;&gt;"",$I66&lt;&gt;""),IF($G66="دارایی ثابت",1,0),0)</f>
        <v/>
      </c>
      <c r="AN66">
        <f>SUM($AM$6:$AM66)</f>
        <v/>
      </c>
      <c r="AO66">
        <f>IFERROR(INDEX($F$6:$F$565,MATCH(ROW()-5,$AN$6:$AN$565,0)),"")</f>
        <v/>
      </c>
      <c r="AP66">
        <f>IF(AND($F66&lt;&gt;"",$I66&lt;&gt;""),IF($G66="وام و تسهیلات",1,0),0)</f>
        <v/>
      </c>
      <c r="AQ66">
        <f>SUM($AP$6:$AP66)</f>
        <v/>
      </c>
      <c r="AR66">
        <f>IFERROR(INDEX($F$6:$F$565,MATCH(ROW()-5,$AQ$6:$AQ$565,0)),"")</f>
        <v/>
      </c>
      <c r="AS66">
        <f>IF(AND($F66&lt;&gt;"",$I66&lt;&gt;""),IF($G66="سرمایه و آورده صاحبان",1,0),0)</f>
        <v/>
      </c>
      <c r="AT66">
        <f>SUM($AS$6:$AS66)</f>
        <v/>
      </c>
      <c r="AU66">
        <f>IFERROR(INDEX($F$6:$F$565,MATCH(ROW()-5,$AT$6:$AT$565,0)),"")</f>
        <v/>
      </c>
      <c r="AW66">
        <f>IF([3]Issues!$C$69="","",[3]Issues!$C$69)</f>
        <v/>
      </c>
      <c r="AX66">
        <f>IF([4]Entry!$E$69="","",[4]Entry!$E$69)</f>
        <v/>
      </c>
      <c r="AY66">
        <f>IF([4]Entry!$H$69="","",[4]Entry!$H$69)</f>
        <v/>
      </c>
      <c r="AZ66">
        <f>IF([4]Entry!$I$69="","",[4]Entry!$I$69)</f>
        <v/>
      </c>
    </row>
    <row r="67">
      <c r="F67">
        <f>IF([1]Accounts!$D$68="","",[1]Accounts!$A$68)</f>
        <v/>
      </c>
      <c r="G67">
        <f>IF([1]Accounts!$D$68="","",[1]Accounts!$B$68)</f>
        <v/>
      </c>
      <c r="H67">
        <f>IF([1]Accounts!$D$68="","",[1]Accounts!$C$68)</f>
        <v/>
      </c>
      <c r="I67">
        <f>IF([1]Accounts!$D$68="","",[1]Accounts!$D$68)</f>
        <v/>
      </c>
      <c r="K67">
        <f>IF([1]SubGroups!$C$68="","",[1]SubGroups!$A$68)</f>
        <v/>
      </c>
      <c r="L67">
        <f>IF([1]SubGroups!$C$68="","",[1]SubGroups!$B$68)</f>
        <v/>
      </c>
      <c r="M67">
        <f>IF([1]SubGroups!$C$68="","",[1]SubGroups!$C$68)</f>
        <v/>
      </c>
      <c r="N67">
        <f>IF([1]SubGroups!$C$68="","",[1]SubGroups!$D$68)</f>
        <v/>
      </c>
      <c r="R67">
        <f>IF(AND($F67&lt;&gt;"",$I67&lt;&gt;""),IF(OR($G67="دارایی ثابت",$G67="وام و تسهیلات",$G67="سرمایه و آورده صاحبان"),0,1),0)</f>
        <v/>
      </c>
      <c r="S67">
        <f>SUM($R$6:$R67)</f>
        <v/>
      </c>
      <c r="T67">
        <f>IFERROR(INDEX($F$6:$F$565,MATCH(ROW()-5,$S$6:$S$565,0)),"")</f>
        <v/>
      </c>
      <c r="V67">
        <f>IF(AND($K67&lt;&gt;"",$M67&lt;&gt;""),$L67="هزینه",0)*1</f>
        <v/>
      </c>
      <c r="W67">
        <f>SUM($V$6:$V67)</f>
        <v/>
      </c>
      <c r="X67">
        <f>IFERROR(INDEX($M$6:$M$105,MATCH(ROW()-5,$W$6:$W$105,0)),"")</f>
        <v/>
      </c>
      <c r="Z67">
        <f>IF([2]Entry!$E$70="","",[2]Entry!$E$70)</f>
        <v/>
      </c>
      <c r="AA67">
        <f>IF([2]Entry!$G$70="","",[2]Entry!$G$70)</f>
        <v/>
      </c>
      <c r="AB67">
        <f>IF([2]Entry!$J$70="","",[2]Entry!$J$70)</f>
        <v/>
      </c>
      <c r="AC67">
        <f>IF([2]Entry!$K$70="","",[2]Entry!$K$70)</f>
        <v/>
      </c>
      <c r="AD67">
        <f>IF([2]Entry!$L$70="","",[2]Entry!$L$70)</f>
        <v/>
      </c>
      <c r="AE67">
        <f>IF([2]Entry!$M$70="","",[2]Entry!$M$70)</f>
        <v/>
      </c>
      <c r="AF67">
        <f>IF([2]Entry!$N$70="","",[2]Entry!$N$70)</f>
        <v/>
      </c>
      <c r="AG67">
        <f>IF([3]Issues!$B$70="","",[3]Issues!$B$70)</f>
        <v/>
      </c>
      <c r="AH67">
        <f>IF([3]Issues!$D$70="","",[3]Issues!$D$70)</f>
        <v/>
      </c>
      <c r="AI67">
        <f>IF([3]Issues!$E$70="","",[3]Issues!$E$70)</f>
        <v/>
      </c>
      <c r="AJ67">
        <f>IF([2]Entry!$S$70="","",[2]Entry!$S$70)</f>
        <v/>
      </c>
      <c r="AK67">
        <f>IF([2]Entry!$C$70="","",[2]Entry!$C$70)</f>
        <v/>
      </c>
      <c r="AL67">
        <f>IF([2]Entry!$D$70="","",[2]Entry!$D$70)</f>
        <v/>
      </c>
      <c r="AM67">
        <f>IF(AND($F67&lt;&gt;"",$I67&lt;&gt;""),IF($G67="دارایی ثابت",1,0),0)</f>
        <v/>
      </c>
      <c r="AN67">
        <f>SUM($AM$6:$AM67)</f>
        <v/>
      </c>
      <c r="AO67">
        <f>IFERROR(INDEX($F$6:$F$565,MATCH(ROW()-5,$AN$6:$AN$565,0)),"")</f>
        <v/>
      </c>
      <c r="AP67">
        <f>IF(AND($F67&lt;&gt;"",$I67&lt;&gt;""),IF($G67="وام و تسهیلات",1,0),0)</f>
        <v/>
      </c>
      <c r="AQ67">
        <f>SUM($AP$6:$AP67)</f>
        <v/>
      </c>
      <c r="AR67">
        <f>IFERROR(INDEX($F$6:$F$565,MATCH(ROW()-5,$AQ$6:$AQ$565,0)),"")</f>
        <v/>
      </c>
      <c r="AS67">
        <f>IF(AND($F67&lt;&gt;"",$I67&lt;&gt;""),IF($G67="سرمایه و آورده صاحبان",1,0),0)</f>
        <v/>
      </c>
      <c r="AT67">
        <f>SUM($AS$6:$AS67)</f>
        <v/>
      </c>
      <c r="AU67">
        <f>IFERROR(INDEX($F$6:$F$565,MATCH(ROW()-5,$AT$6:$AT$565,0)),"")</f>
        <v/>
      </c>
      <c r="AW67">
        <f>IF([3]Issues!$C$70="","",[3]Issues!$C$70)</f>
        <v/>
      </c>
      <c r="AX67">
        <f>IF([4]Entry!$E$70="","",[4]Entry!$E$70)</f>
        <v/>
      </c>
      <c r="AY67">
        <f>IF([4]Entry!$H$70="","",[4]Entry!$H$70)</f>
        <v/>
      </c>
      <c r="AZ67">
        <f>IF([4]Entry!$I$70="","",[4]Entry!$I$70)</f>
        <v/>
      </c>
    </row>
    <row r="68">
      <c r="F68">
        <f>IF([1]Accounts!$D$69="","",[1]Accounts!$A$69)</f>
        <v/>
      </c>
      <c r="G68">
        <f>IF([1]Accounts!$D$69="","",[1]Accounts!$B$69)</f>
        <v/>
      </c>
      <c r="H68">
        <f>IF([1]Accounts!$D$69="","",[1]Accounts!$C$69)</f>
        <v/>
      </c>
      <c r="I68">
        <f>IF([1]Accounts!$D$69="","",[1]Accounts!$D$69)</f>
        <v/>
      </c>
      <c r="K68">
        <f>IF([1]SubGroups!$C$69="","",[1]SubGroups!$A$69)</f>
        <v/>
      </c>
      <c r="L68">
        <f>IF([1]SubGroups!$C$69="","",[1]SubGroups!$B$69)</f>
        <v/>
      </c>
      <c r="M68">
        <f>IF([1]SubGroups!$C$69="","",[1]SubGroups!$C$69)</f>
        <v/>
      </c>
      <c r="N68">
        <f>IF([1]SubGroups!$C$69="","",[1]SubGroups!$D$69)</f>
        <v/>
      </c>
      <c r="R68">
        <f>IF(AND($F68&lt;&gt;"",$I68&lt;&gt;""),IF(OR($G68="دارایی ثابت",$G68="وام و تسهیلات",$G68="سرمایه و آورده صاحبان"),0,1),0)</f>
        <v/>
      </c>
      <c r="S68">
        <f>SUM($R$6:$R68)</f>
        <v/>
      </c>
      <c r="T68">
        <f>IFERROR(INDEX($F$6:$F$565,MATCH(ROW()-5,$S$6:$S$565,0)),"")</f>
        <v/>
      </c>
      <c r="V68">
        <f>IF(AND($K68&lt;&gt;"",$M68&lt;&gt;""),$L68="هزینه",0)*1</f>
        <v/>
      </c>
      <c r="W68">
        <f>SUM($V$6:$V68)</f>
        <v/>
      </c>
      <c r="X68">
        <f>IFERROR(INDEX($M$6:$M$105,MATCH(ROW()-5,$W$6:$W$105,0)),"")</f>
        <v/>
      </c>
      <c r="Z68">
        <f>IF([2]Entry!$E$71="","",[2]Entry!$E$71)</f>
        <v/>
      </c>
      <c r="AA68">
        <f>IF([2]Entry!$G$71="","",[2]Entry!$G$71)</f>
        <v/>
      </c>
      <c r="AB68">
        <f>IF([2]Entry!$J$71="","",[2]Entry!$J$71)</f>
        <v/>
      </c>
      <c r="AC68">
        <f>IF([2]Entry!$K$71="","",[2]Entry!$K$71)</f>
        <v/>
      </c>
      <c r="AD68">
        <f>IF([2]Entry!$L$71="","",[2]Entry!$L$71)</f>
        <v/>
      </c>
      <c r="AE68">
        <f>IF([2]Entry!$M$71="","",[2]Entry!$M$71)</f>
        <v/>
      </c>
      <c r="AF68">
        <f>IF([2]Entry!$N$71="","",[2]Entry!$N$71)</f>
        <v/>
      </c>
      <c r="AG68">
        <f>IF([3]Issues!$B$71="","",[3]Issues!$B$71)</f>
        <v/>
      </c>
      <c r="AH68">
        <f>IF([3]Issues!$D$71="","",[3]Issues!$D$71)</f>
        <v/>
      </c>
      <c r="AI68">
        <f>IF([3]Issues!$E$71="","",[3]Issues!$E$71)</f>
        <v/>
      </c>
      <c r="AJ68">
        <f>IF([2]Entry!$S$71="","",[2]Entry!$S$71)</f>
        <v/>
      </c>
      <c r="AK68">
        <f>IF([2]Entry!$C$71="","",[2]Entry!$C$71)</f>
        <v/>
      </c>
      <c r="AL68">
        <f>IF([2]Entry!$D$71="","",[2]Entry!$D$71)</f>
        <v/>
      </c>
      <c r="AM68">
        <f>IF(AND($F68&lt;&gt;"",$I68&lt;&gt;""),IF($G68="دارایی ثابت",1,0),0)</f>
        <v/>
      </c>
      <c r="AN68">
        <f>SUM($AM$6:$AM68)</f>
        <v/>
      </c>
      <c r="AO68">
        <f>IFERROR(INDEX($F$6:$F$565,MATCH(ROW()-5,$AN$6:$AN$565,0)),"")</f>
        <v/>
      </c>
      <c r="AP68">
        <f>IF(AND($F68&lt;&gt;"",$I68&lt;&gt;""),IF($G68="وام و تسهیلات",1,0),0)</f>
        <v/>
      </c>
      <c r="AQ68">
        <f>SUM($AP$6:$AP68)</f>
        <v/>
      </c>
      <c r="AR68">
        <f>IFERROR(INDEX($F$6:$F$565,MATCH(ROW()-5,$AQ$6:$AQ$565,0)),"")</f>
        <v/>
      </c>
      <c r="AS68">
        <f>IF(AND($F68&lt;&gt;"",$I68&lt;&gt;""),IF($G68="سرمایه و آورده صاحبان",1,0),0)</f>
        <v/>
      </c>
      <c r="AT68">
        <f>SUM($AS$6:$AS68)</f>
        <v/>
      </c>
      <c r="AU68">
        <f>IFERROR(INDEX($F$6:$F$565,MATCH(ROW()-5,$AT$6:$AT$565,0)),"")</f>
        <v/>
      </c>
      <c r="AW68">
        <f>IF([3]Issues!$C$71="","",[3]Issues!$C$71)</f>
        <v/>
      </c>
      <c r="AX68">
        <f>IF([4]Entry!$E$71="","",[4]Entry!$E$71)</f>
        <v/>
      </c>
      <c r="AY68">
        <f>IF([4]Entry!$H$71="","",[4]Entry!$H$71)</f>
        <v/>
      </c>
      <c r="AZ68">
        <f>IF([4]Entry!$I$71="","",[4]Entry!$I$71)</f>
        <v/>
      </c>
    </row>
    <row r="69">
      <c r="F69">
        <f>IF([1]Accounts!$D$70="","",[1]Accounts!$A$70)</f>
        <v/>
      </c>
      <c r="G69">
        <f>IF([1]Accounts!$D$70="","",[1]Accounts!$B$70)</f>
        <v/>
      </c>
      <c r="H69">
        <f>IF([1]Accounts!$D$70="","",[1]Accounts!$C$70)</f>
        <v/>
      </c>
      <c r="I69">
        <f>IF([1]Accounts!$D$70="","",[1]Accounts!$D$70)</f>
        <v/>
      </c>
      <c r="K69">
        <f>IF([1]SubGroups!$C$70="","",[1]SubGroups!$A$70)</f>
        <v/>
      </c>
      <c r="L69">
        <f>IF([1]SubGroups!$C$70="","",[1]SubGroups!$B$70)</f>
        <v/>
      </c>
      <c r="M69">
        <f>IF([1]SubGroups!$C$70="","",[1]SubGroups!$C$70)</f>
        <v/>
      </c>
      <c r="N69">
        <f>IF([1]SubGroups!$C$70="","",[1]SubGroups!$D$70)</f>
        <v/>
      </c>
      <c r="R69">
        <f>IF(AND($F69&lt;&gt;"",$I69&lt;&gt;""),IF(OR($G69="دارایی ثابت",$G69="وام و تسهیلات",$G69="سرمایه و آورده صاحبان"),0,1),0)</f>
        <v/>
      </c>
      <c r="S69">
        <f>SUM($R$6:$R69)</f>
        <v/>
      </c>
      <c r="T69">
        <f>IFERROR(INDEX($F$6:$F$565,MATCH(ROW()-5,$S$6:$S$565,0)),"")</f>
        <v/>
      </c>
      <c r="V69">
        <f>IF(AND($K69&lt;&gt;"",$M69&lt;&gt;""),$L69="هزینه",0)*1</f>
        <v/>
      </c>
      <c r="W69">
        <f>SUM($V$6:$V69)</f>
        <v/>
      </c>
      <c r="X69">
        <f>IFERROR(INDEX($M$6:$M$105,MATCH(ROW()-5,$W$6:$W$105,0)),"")</f>
        <v/>
      </c>
      <c r="Z69">
        <f>IF([2]Entry!$E$72="","",[2]Entry!$E$72)</f>
        <v/>
      </c>
      <c r="AA69">
        <f>IF([2]Entry!$G$72="","",[2]Entry!$G$72)</f>
        <v/>
      </c>
      <c r="AB69">
        <f>IF([2]Entry!$J$72="","",[2]Entry!$J$72)</f>
        <v/>
      </c>
      <c r="AC69">
        <f>IF([2]Entry!$K$72="","",[2]Entry!$K$72)</f>
        <v/>
      </c>
      <c r="AD69">
        <f>IF([2]Entry!$L$72="","",[2]Entry!$L$72)</f>
        <v/>
      </c>
      <c r="AE69">
        <f>IF([2]Entry!$M$72="","",[2]Entry!$M$72)</f>
        <v/>
      </c>
      <c r="AF69">
        <f>IF([2]Entry!$N$72="","",[2]Entry!$N$72)</f>
        <v/>
      </c>
      <c r="AG69">
        <f>IF([3]Issues!$B$72="","",[3]Issues!$B$72)</f>
        <v/>
      </c>
      <c r="AH69">
        <f>IF([3]Issues!$D$72="","",[3]Issues!$D$72)</f>
        <v/>
      </c>
      <c r="AI69">
        <f>IF([3]Issues!$E$72="","",[3]Issues!$E$72)</f>
        <v/>
      </c>
      <c r="AJ69">
        <f>IF([2]Entry!$S$72="","",[2]Entry!$S$72)</f>
        <v/>
      </c>
      <c r="AK69">
        <f>IF([2]Entry!$C$72="","",[2]Entry!$C$72)</f>
        <v/>
      </c>
      <c r="AL69">
        <f>IF([2]Entry!$D$72="","",[2]Entry!$D$72)</f>
        <v/>
      </c>
      <c r="AM69">
        <f>IF(AND($F69&lt;&gt;"",$I69&lt;&gt;""),IF($G69="دارایی ثابت",1,0),0)</f>
        <v/>
      </c>
      <c r="AN69">
        <f>SUM($AM$6:$AM69)</f>
        <v/>
      </c>
      <c r="AO69">
        <f>IFERROR(INDEX($F$6:$F$565,MATCH(ROW()-5,$AN$6:$AN$565,0)),"")</f>
        <v/>
      </c>
      <c r="AP69">
        <f>IF(AND($F69&lt;&gt;"",$I69&lt;&gt;""),IF($G69="وام و تسهیلات",1,0),0)</f>
        <v/>
      </c>
      <c r="AQ69">
        <f>SUM($AP$6:$AP69)</f>
        <v/>
      </c>
      <c r="AR69">
        <f>IFERROR(INDEX($F$6:$F$565,MATCH(ROW()-5,$AQ$6:$AQ$565,0)),"")</f>
        <v/>
      </c>
      <c r="AS69">
        <f>IF(AND($F69&lt;&gt;"",$I69&lt;&gt;""),IF($G69="سرمایه و آورده صاحبان",1,0),0)</f>
        <v/>
      </c>
      <c r="AT69">
        <f>SUM($AS$6:$AS69)</f>
        <v/>
      </c>
      <c r="AU69">
        <f>IFERROR(INDEX($F$6:$F$565,MATCH(ROW()-5,$AT$6:$AT$565,0)),"")</f>
        <v/>
      </c>
      <c r="AW69">
        <f>IF([3]Issues!$C$72="","",[3]Issues!$C$72)</f>
        <v/>
      </c>
      <c r="AX69">
        <f>IF([4]Entry!$E$72="","",[4]Entry!$E$72)</f>
        <v/>
      </c>
      <c r="AY69">
        <f>IF([4]Entry!$H$72="","",[4]Entry!$H$72)</f>
        <v/>
      </c>
      <c r="AZ69">
        <f>IF([4]Entry!$I$72="","",[4]Entry!$I$72)</f>
        <v/>
      </c>
    </row>
    <row r="70">
      <c r="F70">
        <f>IF([1]Accounts!$D$71="","",[1]Accounts!$A$71)</f>
        <v/>
      </c>
      <c r="G70">
        <f>IF([1]Accounts!$D$71="","",[1]Accounts!$B$71)</f>
        <v/>
      </c>
      <c r="H70">
        <f>IF([1]Accounts!$D$71="","",[1]Accounts!$C$71)</f>
        <v/>
      </c>
      <c r="I70">
        <f>IF([1]Accounts!$D$71="","",[1]Accounts!$D$71)</f>
        <v/>
      </c>
      <c r="K70">
        <f>IF([1]SubGroups!$C$71="","",[1]SubGroups!$A$71)</f>
        <v/>
      </c>
      <c r="L70">
        <f>IF([1]SubGroups!$C$71="","",[1]SubGroups!$B$71)</f>
        <v/>
      </c>
      <c r="M70">
        <f>IF([1]SubGroups!$C$71="","",[1]SubGroups!$C$71)</f>
        <v/>
      </c>
      <c r="N70">
        <f>IF([1]SubGroups!$C$71="","",[1]SubGroups!$D$71)</f>
        <v/>
      </c>
      <c r="R70">
        <f>IF(AND($F70&lt;&gt;"",$I70&lt;&gt;""),IF(OR($G70="دارایی ثابت",$G70="وام و تسهیلات",$G70="سرمایه و آورده صاحبان"),0,1),0)</f>
        <v/>
      </c>
      <c r="S70">
        <f>SUM($R$6:$R70)</f>
        <v/>
      </c>
      <c r="T70">
        <f>IFERROR(INDEX($F$6:$F$565,MATCH(ROW()-5,$S$6:$S$565,0)),"")</f>
        <v/>
      </c>
      <c r="V70">
        <f>IF(AND($K70&lt;&gt;"",$M70&lt;&gt;""),$L70="هزینه",0)*1</f>
        <v/>
      </c>
      <c r="W70">
        <f>SUM($V$6:$V70)</f>
        <v/>
      </c>
      <c r="X70">
        <f>IFERROR(INDEX($M$6:$M$105,MATCH(ROW()-5,$W$6:$W$105,0)),"")</f>
        <v/>
      </c>
      <c r="Z70">
        <f>IF([2]Entry!$E$73="","",[2]Entry!$E$73)</f>
        <v/>
      </c>
      <c r="AA70">
        <f>IF([2]Entry!$G$73="","",[2]Entry!$G$73)</f>
        <v/>
      </c>
      <c r="AB70">
        <f>IF([2]Entry!$J$73="","",[2]Entry!$J$73)</f>
        <v/>
      </c>
      <c r="AC70">
        <f>IF([2]Entry!$K$73="","",[2]Entry!$K$73)</f>
        <v/>
      </c>
      <c r="AD70">
        <f>IF([2]Entry!$L$73="","",[2]Entry!$L$73)</f>
        <v/>
      </c>
      <c r="AE70">
        <f>IF([2]Entry!$M$73="","",[2]Entry!$M$73)</f>
        <v/>
      </c>
      <c r="AF70">
        <f>IF([2]Entry!$N$73="","",[2]Entry!$N$73)</f>
        <v/>
      </c>
      <c r="AG70">
        <f>IF([3]Issues!$B$73="","",[3]Issues!$B$73)</f>
        <v/>
      </c>
      <c r="AH70">
        <f>IF([3]Issues!$D$73="","",[3]Issues!$D$73)</f>
        <v/>
      </c>
      <c r="AI70">
        <f>IF([3]Issues!$E$73="","",[3]Issues!$E$73)</f>
        <v/>
      </c>
      <c r="AJ70">
        <f>IF([2]Entry!$S$73="","",[2]Entry!$S$73)</f>
        <v/>
      </c>
      <c r="AK70">
        <f>IF([2]Entry!$C$73="","",[2]Entry!$C$73)</f>
        <v/>
      </c>
      <c r="AL70">
        <f>IF([2]Entry!$D$73="","",[2]Entry!$D$73)</f>
        <v/>
      </c>
      <c r="AM70">
        <f>IF(AND($F70&lt;&gt;"",$I70&lt;&gt;""),IF($G70="دارایی ثابت",1,0),0)</f>
        <v/>
      </c>
      <c r="AN70">
        <f>SUM($AM$6:$AM70)</f>
        <v/>
      </c>
      <c r="AO70">
        <f>IFERROR(INDEX($F$6:$F$565,MATCH(ROW()-5,$AN$6:$AN$565,0)),"")</f>
        <v/>
      </c>
      <c r="AP70">
        <f>IF(AND($F70&lt;&gt;"",$I70&lt;&gt;""),IF($G70="وام و تسهیلات",1,0),0)</f>
        <v/>
      </c>
      <c r="AQ70">
        <f>SUM($AP$6:$AP70)</f>
        <v/>
      </c>
      <c r="AR70">
        <f>IFERROR(INDEX($F$6:$F$565,MATCH(ROW()-5,$AQ$6:$AQ$565,0)),"")</f>
        <v/>
      </c>
      <c r="AS70">
        <f>IF(AND($F70&lt;&gt;"",$I70&lt;&gt;""),IF($G70="سرمایه و آورده صاحبان",1,0),0)</f>
        <v/>
      </c>
      <c r="AT70">
        <f>SUM($AS$6:$AS70)</f>
        <v/>
      </c>
      <c r="AU70">
        <f>IFERROR(INDEX($F$6:$F$565,MATCH(ROW()-5,$AT$6:$AT$565,0)),"")</f>
        <v/>
      </c>
      <c r="AW70">
        <f>IF([3]Issues!$C$73="","",[3]Issues!$C$73)</f>
        <v/>
      </c>
      <c r="AX70">
        <f>IF([4]Entry!$E$73="","",[4]Entry!$E$73)</f>
        <v/>
      </c>
      <c r="AY70">
        <f>IF([4]Entry!$H$73="","",[4]Entry!$H$73)</f>
        <v/>
      </c>
      <c r="AZ70">
        <f>IF([4]Entry!$I$73="","",[4]Entry!$I$73)</f>
        <v/>
      </c>
    </row>
    <row r="71">
      <c r="F71">
        <f>IF([1]Accounts!$D$72="","",[1]Accounts!$A$72)</f>
        <v/>
      </c>
      <c r="G71">
        <f>IF([1]Accounts!$D$72="","",[1]Accounts!$B$72)</f>
        <v/>
      </c>
      <c r="H71">
        <f>IF([1]Accounts!$D$72="","",[1]Accounts!$C$72)</f>
        <v/>
      </c>
      <c r="I71">
        <f>IF([1]Accounts!$D$72="","",[1]Accounts!$D$72)</f>
        <v/>
      </c>
      <c r="K71">
        <f>IF([1]SubGroups!$C$72="","",[1]SubGroups!$A$72)</f>
        <v/>
      </c>
      <c r="L71">
        <f>IF([1]SubGroups!$C$72="","",[1]SubGroups!$B$72)</f>
        <v/>
      </c>
      <c r="M71">
        <f>IF([1]SubGroups!$C$72="","",[1]SubGroups!$C$72)</f>
        <v/>
      </c>
      <c r="N71">
        <f>IF([1]SubGroups!$C$72="","",[1]SubGroups!$D$72)</f>
        <v/>
      </c>
      <c r="R71">
        <f>IF(AND($F71&lt;&gt;"",$I71&lt;&gt;""),IF(OR($G71="دارایی ثابت",$G71="وام و تسهیلات",$G71="سرمایه و آورده صاحبان"),0,1),0)</f>
        <v/>
      </c>
      <c r="S71">
        <f>SUM($R$6:$R71)</f>
        <v/>
      </c>
      <c r="T71">
        <f>IFERROR(INDEX($F$6:$F$565,MATCH(ROW()-5,$S$6:$S$565,0)),"")</f>
        <v/>
      </c>
      <c r="V71">
        <f>IF(AND($K71&lt;&gt;"",$M71&lt;&gt;""),$L71="هزینه",0)*1</f>
        <v/>
      </c>
      <c r="W71">
        <f>SUM($V$6:$V71)</f>
        <v/>
      </c>
      <c r="X71">
        <f>IFERROR(INDEX($M$6:$M$105,MATCH(ROW()-5,$W$6:$W$105,0)),"")</f>
        <v/>
      </c>
      <c r="Z71">
        <f>IF([2]Entry!$E$74="","",[2]Entry!$E$74)</f>
        <v/>
      </c>
      <c r="AA71">
        <f>IF([2]Entry!$G$74="","",[2]Entry!$G$74)</f>
        <v/>
      </c>
      <c r="AB71">
        <f>IF([2]Entry!$J$74="","",[2]Entry!$J$74)</f>
        <v/>
      </c>
      <c r="AC71">
        <f>IF([2]Entry!$K$74="","",[2]Entry!$K$74)</f>
        <v/>
      </c>
      <c r="AD71">
        <f>IF([2]Entry!$L$74="","",[2]Entry!$L$74)</f>
        <v/>
      </c>
      <c r="AE71">
        <f>IF([2]Entry!$M$74="","",[2]Entry!$M$74)</f>
        <v/>
      </c>
      <c r="AF71">
        <f>IF([2]Entry!$N$74="","",[2]Entry!$N$74)</f>
        <v/>
      </c>
      <c r="AG71">
        <f>IF([3]Issues!$B$74="","",[3]Issues!$B$74)</f>
        <v/>
      </c>
      <c r="AH71">
        <f>IF([3]Issues!$D$74="","",[3]Issues!$D$74)</f>
        <v/>
      </c>
      <c r="AI71">
        <f>IF([3]Issues!$E$74="","",[3]Issues!$E$74)</f>
        <v/>
      </c>
      <c r="AJ71">
        <f>IF([2]Entry!$S$74="","",[2]Entry!$S$74)</f>
        <v/>
      </c>
      <c r="AK71">
        <f>IF([2]Entry!$C$74="","",[2]Entry!$C$74)</f>
        <v/>
      </c>
      <c r="AL71">
        <f>IF([2]Entry!$D$74="","",[2]Entry!$D$74)</f>
        <v/>
      </c>
      <c r="AM71">
        <f>IF(AND($F71&lt;&gt;"",$I71&lt;&gt;""),IF($G71="دارایی ثابت",1,0),0)</f>
        <v/>
      </c>
      <c r="AN71">
        <f>SUM($AM$6:$AM71)</f>
        <v/>
      </c>
      <c r="AO71">
        <f>IFERROR(INDEX($F$6:$F$565,MATCH(ROW()-5,$AN$6:$AN$565,0)),"")</f>
        <v/>
      </c>
      <c r="AP71">
        <f>IF(AND($F71&lt;&gt;"",$I71&lt;&gt;""),IF($G71="وام و تسهیلات",1,0),0)</f>
        <v/>
      </c>
      <c r="AQ71">
        <f>SUM($AP$6:$AP71)</f>
        <v/>
      </c>
      <c r="AR71">
        <f>IFERROR(INDEX($F$6:$F$565,MATCH(ROW()-5,$AQ$6:$AQ$565,0)),"")</f>
        <v/>
      </c>
      <c r="AS71">
        <f>IF(AND($F71&lt;&gt;"",$I71&lt;&gt;""),IF($G71="سرمایه و آورده صاحبان",1,0),0)</f>
        <v/>
      </c>
      <c r="AT71">
        <f>SUM($AS$6:$AS71)</f>
        <v/>
      </c>
      <c r="AU71">
        <f>IFERROR(INDEX($F$6:$F$565,MATCH(ROW()-5,$AT$6:$AT$565,0)),"")</f>
        <v/>
      </c>
      <c r="AW71">
        <f>IF([3]Issues!$C$74="","",[3]Issues!$C$74)</f>
        <v/>
      </c>
      <c r="AX71">
        <f>IF([4]Entry!$E$74="","",[4]Entry!$E$74)</f>
        <v/>
      </c>
      <c r="AY71">
        <f>IF([4]Entry!$H$74="","",[4]Entry!$H$74)</f>
        <v/>
      </c>
      <c r="AZ71">
        <f>IF([4]Entry!$I$74="","",[4]Entry!$I$74)</f>
        <v/>
      </c>
    </row>
    <row r="72">
      <c r="F72">
        <f>IF([1]Accounts!$D$73="","",[1]Accounts!$A$73)</f>
        <v/>
      </c>
      <c r="G72">
        <f>IF([1]Accounts!$D$73="","",[1]Accounts!$B$73)</f>
        <v/>
      </c>
      <c r="H72">
        <f>IF([1]Accounts!$D$73="","",[1]Accounts!$C$73)</f>
        <v/>
      </c>
      <c r="I72">
        <f>IF([1]Accounts!$D$73="","",[1]Accounts!$D$73)</f>
        <v/>
      </c>
      <c r="K72">
        <f>IF([1]SubGroups!$C$73="","",[1]SubGroups!$A$73)</f>
        <v/>
      </c>
      <c r="L72">
        <f>IF([1]SubGroups!$C$73="","",[1]SubGroups!$B$73)</f>
        <v/>
      </c>
      <c r="M72">
        <f>IF([1]SubGroups!$C$73="","",[1]SubGroups!$C$73)</f>
        <v/>
      </c>
      <c r="N72">
        <f>IF([1]SubGroups!$C$73="","",[1]SubGroups!$D$73)</f>
        <v/>
      </c>
      <c r="R72">
        <f>IF(AND($F72&lt;&gt;"",$I72&lt;&gt;""),IF(OR($G72="دارایی ثابت",$G72="وام و تسهیلات",$G72="سرمایه و آورده صاحبان"),0,1),0)</f>
        <v/>
      </c>
      <c r="S72">
        <f>SUM($R$6:$R72)</f>
        <v/>
      </c>
      <c r="T72">
        <f>IFERROR(INDEX($F$6:$F$565,MATCH(ROW()-5,$S$6:$S$565,0)),"")</f>
        <v/>
      </c>
      <c r="V72">
        <f>IF(AND($K72&lt;&gt;"",$M72&lt;&gt;""),$L72="هزینه",0)*1</f>
        <v/>
      </c>
      <c r="W72">
        <f>SUM($V$6:$V72)</f>
        <v/>
      </c>
      <c r="X72">
        <f>IFERROR(INDEX($M$6:$M$105,MATCH(ROW()-5,$W$6:$W$105,0)),"")</f>
        <v/>
      </c>
      <c r="Z72">
        <f>IF([2]Entry!$E$75="","",[2]Entry!$E$75)</f>
        <v/>
      </c>
      <c r="AA72">
        <f>IF([2]Entry!$G$75="","",[2]Entry!$G$75)</f>
        <v/>
      </c>
      <c r="AB72">
        <f>IF([2]Entry!$J$75="","",[2]Entry!$J$75)</f>
        <v/>
      </c>
      <c r="AC72">
        <f>IF([2]Entry!$K$75="","",[2]Entry!$K$75)</f>
        <v/>
      </c>
      <c r="AD72">
        <f>IF([2]Entry!$L$75="","",[2]Entry!$L$75)</f>
        <v/>
      </c>
      <c r="AE72">
        <f>IF([2]Entry!$M$75="","",[2]Entry!$M$75)</f>
        <v/>
      </c>
      <c r="AF72">
        <f>IF([2]Entry!$N$75="","",[2]Entry!$N$75)</f>
        <v/>
      </c>
      <c r="AG72">
        <f>IF([3]Issues!$B$75="","",[3]Issues!$B$75)</f>
        <v/>
      </c>
      <c r="AH72">
        <f>IF([3]Issues!$D$75="","",[3]Issues!$D$75)</f>
        <v/>
      </c>
      <c r="AI72">
        <f>IF([3]Issues!$E$75="","",[3]Issues!$E$75)</f>
        <v/>
      </c>
      <c r="AJ72">
        <f>IF([2]Entry!$S$75="","",[2]Entry!$S$75)</f>
        <v/>
      </c>
      <c r="AK72">
        <f>IF([2]Entry!$C$75="","",[2]Entry!$C$75)</f>
        <v/>
      </c>
      <c r="AL72">
        <f>IF([2]Entry!$D$75="","",[2]Entry!$D$75)</f>
        <v/>
      </c>
      <c r="AM72">
        <f>IF(AND($F72&lt;&gt;"",$I72&lt;&gt;""),IF($G72="دارایی ثابت",1,0),0)</f>
        <v/>
      </c>
      <c r="AN72">
        <f>SUM($AM$6:$AM72)</f>
        <v/>
      </c>
      <c r="AO72">
        <f>IFERROR(INDEX($F$6:$F$565,MATCH(ROW()-5,$AN$6:$AN$565,0)),"")</f>
        <v/>
      </c>
      <c r="AP72">
        <f>IF(AND($F72&lt;&gt;"",$I72&lt;&gt;""),IF($G72="وام و تسهیلات",1,0),0)</f>
        <v/>
      </c>
      <c r="AQ72">
        <f>SUM($AP$6:$AP72)</f>
        <v/>
      </c>
      <c r="AR72">
        <f>IFERROR(INDEX($F$6:$F$565,MATCH(ROW()-5,$AQ$6:$AQ$565,0)),"")</f>
        <v/>
      </c>
      <c r="AS72">
        <f>IF(AND($F72&lt;&gt;"",$I72&lt;&gt;""),IF($G72="سرمایه و آورده صاحبان",1,0),0)</f>
        <v/>
      </c>
      <c r="AT72">
        <f>SUM($AS$6:$AS72)</f>
        <v/>
      </c>
      <c r="AU72">
        <f>IFERROR(INDEX($F$6:$F$565,MATCH(ROW()-5,$AT$6:$AT$565,0)),"")</f>
        <v/>
      </c>
      <c r="AW72">
        <f>IF([3]Issues!$C$75="","",[3]Issues!$C$75)</f>
        <v/>
      </c>
      <c r="AX72">
        <f>IF([4]Entry!$E$75="","",[4]Entry!$E$75)</f>
        <v/>
      </c>
      <c r="AY72">
        <f>IF([4]Entry!$H$75="","",[4]Entry!$H$75)</f>
        <v/>
      </c>
      <c r="AZ72">
        <f>IF([4]Entry!$I$75="","",[4]Entry!$I$75)</f>
        <v/>
      </c>
    </row>
    <row r="73">
      <c r="F73">
        <f>IF([1]Accounts!$D$74="","",[1]Accounts!$A$74)</f>
        <v/>
      </c>
      <c r="G73">
        <f>IF([1]Accounts!$D$74="","",[1]Accounts!$B$74)</f>
        <v/>
      </c>
      <c r="H73">
        <f>IF([1]Accounts!$D$74="","",[1]Accounts!$C$74)</f>
        <v/>
      </c>
      <c r="I73">
        <f>IF([1]Accounts!$D$74="","",[1]Accounts!$D$74)</f>
        <v/>
      </c>
      <c r="K73">
        <f>IF([1]SubGroups!$C$74="","",[1]SubGroups!$A$74)</f>
        <v/>
      </c>
      <c r="L73">
        <f>IF([1]SubGroups!$C$74="","",[1]SubGroups!$B$74)</f>
        <v/>
      </c>
      <c r="M73">
        <f>IF([1]SubGroups!$C$74="","",[1]SubGroups!$C$74)</f>
        <v/>
      </c>
      <c r="N73">
        <f>IF([1]SubGroups!$C$74="","",[1]SubGroups!$D$74)</f>
        <v/>
      </c>
      <c r="R73">
        <f>IF(AND($F73&lt;&gt;"",$I73&lt;&gt;""),IF(OR($G73="دارایی ثابت",$G73="وام و تسهیلات",$G73="سرمایه و آورده صاحبان"),0,1),0)</f>
        <v/>
      </c>
      <c r="S73">
        <f>SUM($R$6:$R73)</f>
        <v/>
      </c>
      <c r="T73">
        <f>IFERROR(INDEX($F$6:$F$565,MATCH(ROW()-5,$S$6:$S$565,0)),"")</f>
        <v/>
      </c>
      <c r="V73">
        <f>IF(AND($K73&lt;&gt;"",$M73&lt;&gt;""),$L73="هزینه",0)*1</f>
        <v/>
      </c>
      <c r="W73">
        <f>SUM($V$6:$V73)</f>
        <v/>
      </c>
      <c r="X73">
        <f>IFERROR(INDEX($M$6:$M$105,MATCH(ROW()-5,$W$6:$W$105,0)),"")</f>
        <v/>
      </c>
      <c r="Z73">
        <f>IF([2]Entry!$E$76="","",[2]Entry!$E$76)</f>
        <v/>
      </c>
      <c r="AA73">
        <f>IF([2]Entry!$G$76="","",[2]Entry!$G$76)</f>
        <v/>
      </c>
      <c r="AB73">
        <f>IF([2]Entry!$J$76="","",[2]Entry!$J$76)</f>
        <v/>
      </c>
      <c r="AC73">
        <f>IF([2]Entry!$K$76="","",[2]Entry!$K$76)</f>
        <v/>
      </c>
      <c r="AD73">
        <f>IF([2]Entry!$L$76="","",[2]Entry!$L$76)</f>
        <v/>
      </c>
      <c r="AE73">
        <f>IF([2]Entry!$M$76="","",[2]Entry!$M$76)</f>
        <v/>
      </c>
      <c r="AF73">
        <f>IF([2]Entry!$N$76="","",[2]Entry!$N$76)</f>
        <v/>
      </c>
      <c r="AG73">
        <f>IF([3]Issues!$B$76="","",[3]Issues!$B$76)</f>
        <v/>
      </c>
      <c r="AH73">
        <f>IF([3]Issues!$D$76="","",[3]Issues!$D$76)</f>
        <v/>
      </c>
      <c r="AI73">
        <f>IF([3]Issues!$E$76="","",[3]Issues!$E$76)</f>
        <v/>
      </c>
      <c r="AJ73">
        <f>IF([2]Entry!$S$76="","",[2]Entry!$S$76)</f>
        <v/>
      </c>
      <c r="AK73">
        <f>IF([2]Entry!$C$76="","",[2]Entry!$C$76)</f>
        <v/>
      </c>
      <c r="AL73">
        <f>IF([2]Entry!$D$76="","",[2]Entry!$D$76)</f>
        <v/>
      </c>
      <c r="AM73">
        <f>IF(AND($F73&lt;&gt;"",$I73&lt;&gt;""),IF($G73="دارایی ثابت",1,0),0)</f>
        <v/>
      </c>
      <c r="AN73">
        <f>SUM($AM$6:$AM73)</f>
        <v/>
      </c>
      <c r="AO73">
        <f>IFERROR(INDEX($F$6:$F$565,MATCH(ROW()-5,$AN$6:$AN$565,0)),"")</f>
        <v/>
      </c>
      <c r="AP73">
        <f>IF(AND($F73&lt;&gt;"",$I73&lt;&gt;""),IF($G73="وام و تسهیلات",1,0),0)</f>
        <v/>
      </c>
      <c r="AQ73">
        <f>SUM($AP$6:$AP73)</f>
        <v/>
      </c>
      <c r="AR73">
        <f>IFERROR(INDEX($F$6:$F$565,MATCH(ROW()-5,$AQ$6:$AQ$565,0)),"")</f>
        <v/>
      </c>
      <c r="AS73">
        <f>IF(AND($F73&lt;&gt;"",$I73&lt;&gt;""),IF($G73="سرمایه و آورده صاحبان",1,0),0)</f>
        <v/>
      </c>
      <c r="AT73">
        <f>SUM($AS$6:$AS73)</f>
        <v/>
      </c>
      <c r="AU73">
        <f>IFERROR(INDEX($F$6:$F$565,MATCH(ROW()-5,$AT$6:$AT$565,0)),"")</f>
        <v/>
      </c>
      <c r="AW73">
        <f>IF([3]Issues!$C$76="","",[3]Issues!$C$76)</f>
        <v/>
      </c>
      <c r="AX73">
        <f>IF([4]Entry!$E$76="","",[4]Entry!$E$76)</f>
        <v/>
      </c>
      <c r="AY73">
        <f>IF([4]Entry!$H$76="","",[4]Entry!$H$76)</f>
        <v/>
      </c>
      <c r="AZ73">
        <f>IF([4]Entry!$I$76="","",[4]Entry!$I$76)</f>
        <v/>
      </c>
    </row>
    <row r="74">
      <c r="F74">
        <f>IF([1]Accounts!$D$75="","",[1]Accounts!$A$75)</f>
        <v/>
      </c>
      <c r="G74">
        <f>IF([1]Accounts!$D$75="","",[1]Accounts!$B$75)</f>
        <v/>
      </c>
      <c r="H74">
        <f>IF([1]Accounts!$D$75="","",[1]Accounts!$C$75)</f>
        <v/>
      </c>
      <c r="I74">
        <f>IF([1]Accounts!$D$75="","",[1]Accounts!$D$75)</f>
        <v/>
      </c>
      <c r="K74">
        <f>IF([1]SubGroups!$C$75="","",[1]SubGroups!$A$75)</f>
        <v/>
      </c>
      <c r="L74">
        <f>IF([1]SubGroups!$C$75="","",[1]SubGroups!$B$75)</f>
        <v/>
      </c>
      <c r="M74">
        <f>IF([1]SubGroups!$C$75="","",[1]SubGroups!$C$75)</f>
        <v/>
      </c>
      <c r="N74">
        <f>IF([1]SubGroups!$C$75="","",[1]SubGroups!$D$75)</f>
        <v/>
      </c>
      <c r="R74">
        <f>IF(AND($F74&lt;&gt;"",$I74&lt;&gt;""),IF(OR($G74="دارایی ثابت",$G74="وام و تسهیلات",$G74="سرمایه و آورده صاحبان"),0,1),0)</f>
        <v/>
      </c>
      <c r="S74">
        <f>SUM($R$6:$R74)</f>
        <v/>
      </c>
      <c r="T74">
        <f>IFERROR(INDEX($F$6:$F$565,MATCH(ROW()-5,$S$6:$S$565,0)),"")</f>
        <v/>
      </c>
      <c r="V74">
        <f>IF(AND($K74&lt;&gt;"",$M74&lt;&gt;""),$L74="هزینه",0)*1</f>
        <v/>
      </c>
      <c r="W74">
        <f>SUM($V$6:$V74)</f>
        <v/>
      </c>
      <c r="X74">
        <f>IFERROR(INDEX($M$6:$M$105,MATCH(ROW()-5,$W$6:$W$105,0)),"")</f>
        <v/>
      </c>
      <c r="Z74">
        <f>IF([2]Entry!$E$77="","",[2]Entry!$E$77)</f>
        <v/>
      </c>
      <c r="AA74">
        <f>IF([2]Entry!$G$77="","",[2]Entry!$G$77)</f>
        <v/>
      </c>
      <c r="AB74">
        <f>IF([2]Entry!$J$77="","",[2]Entry!$J$77)</f>
        <v/>
      </c>
      <c r="AC74">
        <f>IF([2]Entry!$K$77="","",[2]Entry!$K$77)</f>
        <v/>
      </c>
      <c r="AD74">
        <f>IF([2]Entry!$L$77="","",[2]Entry!$L$77)</f>
        <v/>
      </c>
      <c r="AE74">
        <f>IF([2]Entry!$M$77="","",[2]Entry!$M$77)</f>
        <v/>
      </c>
      <c r="AF74">
        <f>IF([2]Entry!$N$77="","",[2]Entry!$N$77)</f>
        <v/>
      </c>
      <c r="AG74">
        <f>IF([3]Issues!$B$77="","",[3]Issues!$B$77)</f>
        <v/>
      </c>
      <c r="AH74">
        <f>IF([3]Issues!$D$77="","",[3]Issues!$D$77)</f>
        <v/>
      </c>
      <c r="AI74">
        <f>IF([3]Issues!$E$77="","",[3]Issues!$E$77)</f>
        <v/>
      </c>
      <c r="AJ74">
        <f>IF([2]Entry!$S$77="","",[2]Entry!$S$77)</f>
        <v/>
      </c>
      <c r="AK74">
        <f>IF([2]Entry!$C$77="","",[2]Entry!$C$77)</f>
        <v/>
      </c>
      <c r="AL74">
        <f>IF([2]Entry!$D$77="","",[2]Entry!$D$77)</f>
        <v/>
      </c>
      <c r="AM74">
        <f>IF(AND($F74&lt;&gt;"",$I74&lt;&gt;""),IF($G74="دارایی ثابت",1,0),0)</f>
        <v/>
      </c>
      <c r="AN74">
        <f>SUM($AM$6:$AM74)</f>
        <v/>
      </c>
      <c r="AO74">
        <f>IFERROR(INDEX($F$6:$F$565,MATCH(ROW()-5,$AN$6:$AN$565,0)),"")</f>
        <v/>
      </c>
      <c r="AP74">
        <f>IF(AND($F74&lt;&gt;"",$I74&lt;&gt;""),IF($G74="وام و تسهیلات",1,0),0)</f>
        <v/>
      </c>
      <c r="AQ74">
        <f>SUM($AP$6:$AP74)</f>
        <v/>
      </c>
      <c r="AR74">
        <f>IFERROR(INDEX($F$6:$F$565,MATCH(ROW()-5,$AQ$6:$AQ$565,0)),"")</f>
        <v/>
      </c>
      <c r="AS74">
        <f>IF(AND($F74&lt;&gt;"",$I74&lt;&gt;""),IF($G74="سرمایه و آورده صاحبان",1,0),0)</f>
        <v/>
      </c>
      <c r="AT74">
        <f>SUM($AS$6:$AS74)</f>
        <v/>
      </c>
      <c r="AU74">
        <f>IFERROR(INDEX($F$6:$F$565,MATCH(ROW()-5,$AT$6:$AT$565,0)),"")</f>
        <v/>
      </c>
      <c r="AW74">
        <f>IF([3]Issues!$C$77="","",[3]Issues!$C$77)</f>
        <v/>
      </c>
      <c r="AX74">
        <f>IF([4]Entry!$E$77="","",[4]Entry!$E$77)</f>
        <v/>
      </c>
      <c r="AY74">
        <f>IF([4]Entry!$H$77="","",[4]Entry!$H$77)</f>
        <v/>
      </c>
      <c r="AZ74">
        <f>IF([4]Entry!$I$77="","",[4]Entry!$I$77)</f>
        <v/>
      </c>
    </row>
    <row r="75">
      <c r="F75">
        <f>IF([1]Accounts!$D$76="","",[1]Accounts!$A$76)</f>
        <v/>
      </c>
      <c r="G75">
        <f>IF([1]Accounts!$D$76="","",[1]Accounts!$B$76)</f>
        <v/>
      </c>
      <c r="H75">
        <f>IF([1]Accounts!$D$76="","",[1]Accounts!$C$76)</f>
        <v/>
      </c>
      <c r="I75">
        <f>IF([1]Accounts!$D$76="","",[1]Accounts!$D$76)</f>
        <v/>
      </c>
      <c r="K75">
        <f>IF([1]SubGroups!$C$76="","",[1]SubGroups!$A$76)</f>
        <v/>
      </c>
      <c r="L75">
        <f>IF([1]SubGroups!$C$76="","",[1]SubGroups!$B$76)</f>
        <v/>
      </c>
      <c r="M75">
        <f>IF([1]SubGroups!$C$76="","",[1]SubGroups!$C$76)</f>
        <v/>
      </c>
      <c r="N75">
        <f>IF([1]SubGroups!$C$76="","",[1]SubGroups!$D$76)</f>
        <v/>
      </c>
      <c r="R75">
        <f>IF(AND($F75&lt;&gt;"",$I75&lt;&gt;""),IF(OR($G75="دارایی ثابت",$G75="وام و تسهیلات",$G75="سرمایه و آورده صاحبان"),0,1),0)</f>
        <v/>
      </c>
      <c r="S75">
        <f>SUM($R$6:$R75)</f>
        <v/>
      </c>
      <c r="T75">
        <f>IFERROR(INDEX($F$6:$F$565,MATCH(ROW()-5,$S$6:$S$565,0)),"")</f>
        <v/>
      </c>
      <c r="V75">
        <f>IF(AND($K75&lt;&gt;"",$M75&lt;&gt;""),$L75="هزینه",0)*1</f>
        <v/>
      </c>
      <c r="W75">
        <f>SUM($V$6:$V75)</f>
        <v/>
      </c>
      <c r="X75">
        <f>IFERROR(INDEX($M$6:$M$105,MATCH(ROW()-5,$W$6:$W$105,0)),"")</f>
        <v/>
      </c>
      <c r="Z75">
        <f>IF([2]Entry!$E$78="","",[2]Entry!$E$78)</f>
        <v/>
      </c>
      <c r="AA75">
        <f>IF([2]Entry!$G$78="","",[2]Entry!$G$78)</f>
        <v/>
      </c>
      <c r="AB75">
        <f>IF([2]Entry!$J$78="","",[2]Entry!$J$78)</f>
        <v/>
      </c>
      <c r="AC75">
        <f>IF([2]Entry!$K$78="","",[2]Entry!$K$78)</f>
        <v/>
      </c>
      <c r="AD75">
        <f>IF([2]Entry!$L$78="","",[2]Entry!$L$78)</f>
        <v/>
      </c>
      <c r="AE75">
        <f>IF([2]Entry!$M$78="","",[2]Entry!$M$78)</f>
        <v/>
      </c>
      <c r="AF75">
        <f>IF([2]Entry!$N$78="","",[2]Entry!$N$78)</f>
        <v/>
      </c>
      <c r="AG75">
        <f>IF([3]Issues!$B$78="","",[3]Issues!$B$78)</f>
        <v/>
      </c>
      <c r="AH75">
        <f>IF([3]Issues!$D$78="","",[3]Issues!$D$78)</f>
        <v/>
      </c>
      <c r="AI75">
        <f>IF([3]Issues!$E$78="","",[3]Issues!$E$78)</f>
        <v/>
      </c>
      <c r="AJ75">
        <f>IF([2]Entry!$S$78="","",[2]Entry!$S$78)</f>
        <v/>
      </c>
      <c r="AK75">
        <f>IF([2]Entry!$C$78="","",[2]Entry!$C$78)</f>
        <v/>
      </c>
      <c r="AL75">
        <f>IF([2]Entry!$D$78="","",[2]Entry!$D$78)</f>
        <v/>
      </c>
      <c r="AM75">
        <f>IF(AND($F75&lt;&gt;"",$I75&lt;&gt;""),IF($G75="دارایی ثابت",1,0),0)</f>
        <v/>
      </c>
      <c r="AN75">
        <f>SUM($AM$6:$AM75)</f>
        <v/>
      </c>
      <c r="AO75">
        <f>IFERROR(INDEX($F$6:$F$565,MATCH(ROW()-5,$AN$6:$AN$565,0)),"")</f>
        <v/>
      </c>
      <c r="AP75">
        <f>IF(AND($F75&lt;&gt;"",$I75&lt;&gt;""),IF($G75="وام و تسهیلات",1,0),0)</f>
        <v/>
      </c>
      <c r="AQ75">
        <f>SUM($AP$6:$AP75)</f>
        <v/>
      </c>
      <c r="AR75">
        <f>IFERROR(INDEX($F$6:$F$565,MATCH(ROW()-5,$AQ$6:$AQ$565,0)),"")</f>
        <v/>
      </c>
      <c r="AS75">
        <f>IF(AND($F75&lt;&gt;"",$I75&lt;&gt;""),IF($G75="سرمایه و آورده صاحبان",1,0),0)</f>
        <v/>
      </c>
      <c r="AT75">
        <f>SUM($AS$6:$AS75)</f>
        <v/>
      </c>
      <c r="AU75">
        <f>IFERROR(INDEX($F$6:$F$565,MATCH(ROW()-5,$AT$6:$AT$565,0)),"")</f>
        <v/>
      </c>
      <c r="AW75">
        <f>IF([3]Issues!$C$78="","",[3]Issues!$C$78)</f>
        <v/>
      </c>
      <c r="AX75">
        <f>IF([4]Entry!$E$78="","",[4]Entry!$E$78)</f>
        <v/>
      </c>
      <c r="AY75">
        <f>IF([4]Entry!$H$78="","",[4]Entry!$H$78)</f>
        <v/>
      </c>
      <c r="AZ75">
        <f>IF([4]Entry!$I$78="","",[4]Entry!$I$78)</f>
        <v/>
      </c>
    </row>
    <row r="76">
      <c r="F76">
        <f>IF([1]Accounts!$D$77="","",[1]Accounts!$A$77)</f>
        <v/>
      </c>
      <c r="G76">
        <f>IF([1]Accounts!$D$77="","",[1]Accounts!$B$77)</f>
        <v/>
      </c>
      <c r="H76">
        <f>IF([1]Accounts!$D$77="","",[1]Accounts!$C$77)</f>
        <v/>
      </c>
      <c r="I76">
        <f>IF([1]Accounts!$D$77="","",[1]Accounts!$D$77)</f>
        <v/>
      </c>
      <c r="K76">
        <f>IF([1]SubGroups!$C$77="","",[1]SubGroups!$A$77)</f>
        <v/>
      </c>
      <c r="L76">
        <f>IF([1]SubGroups!$C$77="","",[1]SubGroups!$B$77)</f>
        <v/>
      </c>
      <c r="M76">
        <f>IF([1]SubGroups!$C$77="","",[1]SubGroups!$C$77)</f>
        <v/>
      </c>
      <c r="N76">
        <f>IF([1]SubGroups!$C$77="","",[1]SubGroups!$D$77)</f>
        <v/>
      </c>
      <c r="R76">
        <f>IF(AND($F76&lt;&gt;"",$I76&lt;&gt;""),IF(OR($G76="دارایی ثابت",$G76="وام و تسهیلات",$G76="سرمایه و آورده صاحبان"),0,1),0)</f>
        <v/>
      </c>
      <c r="S76">
        <f>SUM($R$6:$R76)</f>
        <v/>
      </c>
      <c r="T76">
        <f>IFERROR(INDEX($F$6:$F$565,MATCH(ROW()-5,$S$6:$S$565,0)),"")</f>
        <v/>
      </c>
      <c r="V76">
        <f>IF(AND($K76&lt;&gt;"",$M76&lt;&gt;""),$L76="هزینه",0)*1</f>
        <v/>
      </c>
      <c r="W76">
        <f>SUM($V$6:$V76)</f>
        <v/>
      </c>
      <c r="X76">
        <f>IFERROR(INDEX($M$6:$M$105,MATCH(ROW()-5,$W$6:$W$105,0)),"")</f>
        <v/>
      </c>
      <c r="Z76">
        <f>IF([2]Entry!$E$79="","",[2]Entry!$E$79)</f>
        <v/>
      </c>
      <c r="AA76">
        <f>IF([2]Entry!$G$79="","",[2]Entry!$G$79)</f>
        <v/>
      </c>
      <c r="AB76">
        <f>IF([2]Entry!$J$79="","",[2]Entry!$J$79)</f>
        <v/>
      </c>
      <c r="AC76">
        <f>IF([2]Entry!$K$79="","",[2]Entry!$K$79)</f>
        <v/>
      </c>
      <c r="AD76">
        <f>IF([2]Entry!$L$79="","",[2]Entry!$L$79)</f>
        <v/>
      </c>
      <c r="AE76">
        <f>IF([2]Entry!$M$79="","",[2]Entry!$M$79)</f>
        <v/>
      </c>
      <c r="AF76">
        <f>IF([2]Entry!$N$79="","",[2]Entry!$N$79)</f>
        <v/>
      </c>
      <c r="AG76">
        <f>IF([3]Issues!$B$79="","",[3]Issues!$B$79)</f>
        <v/>
      </c>
      <c r="AH76">
        <f>IF([3]Issues!$D$79="","",[3]Issues!$D$79)</f>
        <v/>
      </c>
      <c r="AI76">
        <f>IF([3]Issues!$E$79="","",[3]Issues!$E$79)</f>
        <v/>
      </c>
      <c r="AJ76">
        <f>IF([2]Entry!$S$79="","",[2]Entry!$S$79)</f>
        <v/>
      </c>
      <c r="AK76">
        <f>IF([2]Entry!$C$79="","",[2]Entry!$C$79)</f>
        <v/>
      </c>
      <c r="AL76">
        <f>IF([2]Entry!$D$79="","",[2]Entry!$D$79)</f>
        <v/>
      </c>
      <c r="AM76">
        <f>IF(AND($F76&lt;&gt;"",$I76&lt;&gt;""),IF($G76="دارایی ثابت",1,0),0)</f>
        <v/>
      </c>
      <c r="AN76">
        <f>SUM($AM$6:$AM76)</f>
        <v/>
      </c>
      <c r="AO76">
        <f>IFERROR(INDEX($F$6:$F$565,MATCH(ROW()-5,$AN$6:$AN$565,0)),"")</f>
        <v/>
      </c>
      <c r="AP76">
        <f>IF(AND($F76&lt;&gt;"",$I76&lt;&gt;""),IF($G76="وام و تسهیلات",1,0),0)</f>
        <v/>
      </c>
      <c r="AQ76">
        <f>SUM($AP$6:$AP76)</f>
        <v/>
      </c>
      <c r="AR76">
        <f>IFERROR(INDEX($F$6:$F$565,MATCH(ROW()-5,$AQ$6:$AQ$565,0)),"")</f>
        <v/>
      </c>
      <c r="AS76">
        <f>IF(AND($F76&lt;&gt;"",$I76&lt;&gt;""),IF($G76="سرمایه و آورده صاحبان",1,0),0)</f>
        <v/>
      </c>
      <c r="AT76">
        <f>SUM($AS$6:$AS76)</f>
        <v/>
      </c>
      <c r="AU76">
        <f>IFERROR(INDEX($F$6:$F$565,MATCH(ROW()-5,$AT$6:$AT$565,0)),"")</f>
        <v/>
      </c>
      <c r="AW76">
        <f>IF([3]Issues!$C$79="","",[3]Issues!$C$79)</f>
        <v/>
      </c>
      <c r="AX76">
        <f>IF([4]Entry!$E$79="","",[4]Entry!$E$79)</f>
        <v/>
      </c>
      <c r="AY76">
        <f>IF([4]Entry!$H$79="","",[4]Entry!$H$79)</f>
        <v/>
      </c>
      <c r="AZ76">
        <f>IF([4]Entry!$I$79="","",[4]Entry!$I$79)</f>
        <v/>
      </c>
    </row>
    <row r="77">
      <c r="F77">
        <f>IF([1]Accounts!$D$78="","",[1]Accounts!$A$78)</f>
        <v/>
      </c>
      <c r="G77">
        <f>IF([1]Accounts!$D$78="","",[1]Accounts!$B$78)</f>
        <v/>
      </c>
      <c r="H77">
        <f>IF([1]Accounts!$D$78="","",[1]Accounts!$C$78)</f>
        <v/>
      </c>
      <c r="I77">
        <f>IF([1]Accounts!$D$78="","",[1]Accounts!$D$78)</f>
        <v/>
      </c>
      <c r="K77">
        <f>IF([1]SubGroups!$C$78="","",[1]SubGroups!$A$78)</f>
        <v/>
      </c>
      <c r="L77">
        <f>IF([1]SubGroups!$C$78="","",[1]SubGroups!$B$78)</f>
        <v/>
      </c>
      <c r="M77">
        <f>IF([1]SubGroups!$C$78="","",[1]SubGroups!$C$78)</f>
        <v/>
      </c>
      <c r="N77">
        <f>IF([1]SubGroups!$C$78="","",[1]SubGroups!$D$78)</f>
        <v/>
      </c>
      <c r="R77">
        <f>IF(AND($F77&lt;&gt;"",$I77&lt;&gt;""),IF(OR($G77="دارایی ثابت",$G77="وام و تسهیلات",$G77="سرمایه و آورده صاحبان"),0,1),0)</f>
        <v/>
      </c>
      <c r="S77">
        <f>SUM($R$6:$R77)</f>
        <v/>
      </c>
      <c r="T77">
        <f>IFERROR(INDEX($F$6:$F$565,MATCH(ROW()-5,$S$6:$S$565,0)),"")</f>
        <v/>
      </c>
      <c r="V77">
        <f>IF(AND($K77&lt;&gt;"",$M77&lt;&gt;""),$L77="هزینه",0)*1</f>
        <v/>
      </c>
      <c r="W77">
        <f>SUM($V$6:$V77)</f>
        <v/>
      </c>
      <c r="X77">
        <f>IFERROR(INDEX($M$6:$M$105,MATCH(ROW()-5,$W$6:$W$105,0)),"")</f>
        <v/>
      </c>
      <c r="Z77">
        <f>IF([2]Entry!$E$80="","",[2]Entry!$E$80)</f>
        <v/>
      </c>
      <c r="AA77">
        <f>IF([2]Entry!$G$80="","",[2]Entry!$G$80)</f>
        <v/>
      </c>
      <c r="AB77">
        <f>IF([2]Entry!$J$80="","",[2]Entry!$J$80)</f>
        <v/>
      </c>
      <c r="AC77">
        <f>IF([2]Entry!$K$80="","",[2]Entry!$K$80)</f>
        <v/>
      </c>
      <c r="AD77">
        <f>IF([2]Entry!$L$80="","",[2]Entry!$L$80)</f>
        <v/>
      </c>
      <c r="AE77">
        <f>IF([2]Entry!$M$80="","",[2]Entry!$M$80)</f>
        <v/>
      </c>
      <c r="AF77">
        <f>IF([2]Entry!$N$80="","",[2]Entry!$N$80)</f>
        <v/>
      </c>
      <c r="AG77">
        <f>IF([3]Issues!$B$80="","",[3]Issues!$B$80)</f>
        <v/>
      </c>
      <c r="AH77">
        <f>IF([3]Issues!$D$80="","",[3]Issues!$D$80)</f>
        <v/>
      </c>
      <c r="AI77">
        <f>IF([3]Issues!$E$80="","",[3]Issues!$E$80)</f>
        <v/>
      </c>
      <c r="AJ77">
        <f>IF([2]Entry!$S$80="","",[2]Entry!$S$80)</f>
        <v/>
      </c>
      <c r="AK77">
        <f>IF([2]Entry!$C$80="","",[2]Entry!$C$80)</f>
        <v/>
      </c>
      <c r="AL77">
        <f>IF([2]Entry!$D$80="","",[2]Entry!$D$80)</f>
        <v/>
      </c>
      <c r="AM77">
        <f>IF(AND($F77&lt;&gt;"",$I77&lt;&gt;""),IF($G77="دارایی ثابت",1,0),0)</f>
        <v/>
      </c>
      <c r="AN77">
        <f>SUM($AM$6:$AM77)</f>
        <v/>
      </c>
      <c r="AO77">
        <f>IFERROR(INDEX($F$6:$F$565,MATCH(ROW()-5,$AN$6:$AN$565,0)),"")</f>
        <v/>
      </c>
      <c r="AP77">
        <f>IF(AND($F77&lt;&gt;"",$I77&lt;&gt;""),IF($G77="وام و تسهیلات",1,0),0)</f>
        <v/>
      </c>
      <c r="AQ77">
        <f>SUM($AP$6:$AP77)</f>
        <v/>
      </c>
      <c r="AR77">
        <f>IFERROR(INDEX($F$6:$F$565,MATCH(ROW()-5,$AQ$6:$AQ$565,0)),"")</f>
        <v/>
      </c>
      <c r="AS77">
        <f>IF(AND($F77&lt;&gt;"",$I77&lt;&gt;""),IF($G77="سرمایه و آورده صاحبان",1,0),0)</f>
        <v/>
      </c>
      <c r="AT77">
        <f>SUM($AS$6:$AS77)</f>
        <v/>
      </c>
      <c r="AU77">
        <f>IFERROR(INDEX($F$6:$F$565,MATCH(ROW()-5,$AT$6:$AT$565,0)),"")</f>
        <v/>
      </c>
      <c r="AW77">
        <f>IF([3]Issues!$C$80="","",[3]Issues!$C$80)</f>
        <v/>
      </c>
      <c r="AX77">
        <f>IF([4]Entry!$E$80="","",[4]Entry!$E$80)</f>
        <v/>
      </c>
      <c r="AY77">
        <f>IF([4]Entry!$H$80="","",[4]Entry!$H$80)</f>
        <v/>
      </c>
      <c r="AZ77">
        <f>IF([4]Entry!$I$80="","",[4]Entry!$I$80)</f>
        <v/>
      </c>
    </row>
    <row r="78">
      <c r="F78">
        <f>IF([1]Accounts!$D$79="","",[1]Accounts!$A$79)</f>
        <v/>
      </c>
      <c r="G78">
        <f>IF([1]Accounts!$D$79="","",[1]Accounts!$B$79)</f>
        <v/>
      </c>
      <c r="H78">
        <f>IF([1]Accounts!$D$79="","",[1]Accounts!$C$79)</f>
        <v/>
      </c>
      <c r="I78">
        <f>IF([1]Accounts!$D$79="","",[1]Accounts!$D$79)</f>
        <v/>
      </c>
      <c r="K78">
        <f>IF([1]SubGroups!$C$79="","",[1]SubGroups!$A$79)</f>
        <v/>
      </c>
      <c r="L78">
        <f>IF([1]SubGroups!$C$79="","",[1]SubGroups!$B$79)</f>
        <v/>
      </c>
      <c r="M78">
        <f>IF([1]SubGroups!$C$79="","",[1]SubGroups!$C$79)</f>
        <v/>
      </c>
      <c r="N78">
        <f>IF([1]SubGroups!$C$79="","",[1]SubGroups!$D$79)</f>
        <v/>
      </c>
      <c r="R78">
        <f>IF(AND($F78&lt;&gt;"",$I78&lt;&gt;""),IF(OR($G78="دارایی ثابت",$G78="وام و تسهیلات",$G78="سرمایه و آورده صاحبان"),0,1),0)</f>
        <v/>
      </c>
      <c r="S78">
        <f>SUM($R$6:$R78)</f>
        <v/>
      </c>
      <c r="T78">
        <f>IFERROR(INDEX($F$6:$F$565,MATCH(ROW()-5,$S$6:$S$565,0)),"")</f>
        <v/>
      </c>
      <c r="V78">
        <f>IF(AND($K78&lt;&gt;"",$M78&lt;&gt;""),$L78="هزینه",0)*1</f>
        <v/>
      </c>
      <c r="W78">
        <f>SUM($V$6:$V78)</f>
        <v/>
      </c>
      <c r="X78">
        <f>IFERROR(INDEX($M$6:$M$105,MATCH(ROW()-5,$W$6:$W$105,0)),"")</f>
        <v/>
      </c>
      <c r="Z78">
        <f>IF([2]Entry!$E$81="","",[2]Entry!$E$81)</f>
        <v/>
      </c>
      <c r="AA78">
        <f>IF([2]Entry!$G$81="","",[2]Entry!$G$81)</f>
        <v/>
      </c>
      <c r="AB78">
        <f>IF([2]Entry!$J$81="","",[2]Entry!$J$81)</f>
        <v/>
      </c>
      <c r="AC78">
        <f>IF([2]Entry!$K$81="","",[2]Entry!$K$81)</f>
        <v/>
      </c>
      <c r="AD78">
        <f>IF([2]Entry!$L$81="","",[2]Entry!$L$81)</f>
        <v/>
      </c>
      <c r="AE78">
        <f>IF([2]Entry!$M$81="","",[2]Entry!$M$81)</f>
        <v/>
      </c>
      <c r="AF78">
        <f>IF([2]Entry!$N$81="","",[2]Entry!$N$81)</f>
        <v/>
      </c>
      <c r="AG78">
        <f>IF([3]Issues!$B$81="","",[3]Issues!$B$81)</f>
        <v/>
      </c>
      <c r="AH78">
        <f>IF([3]Issues!$D$81="","",[3]Issues!$D$81)</f>
        <v/>
      </c>
      <c r="AI78">
        <f>IF([3]Issues!$E$81="","",[3]Issues!$E$81)</f>
        <v/>
      </c>
      <c r="AJ78">
        <f>IF([2]Entry!$S$81="","",[2]Entry!$S$81)</f>
        <v/>
      </c>
      <c r="AK78">
        <f>IF([2]Entry!$C$81="","",[2]Entry!$C$81)</f>
        <v/>
      </c>
      <c r="AL78">
        <f>IF([2]Entry!$D$81="","",[2]Entry!$D$81)</f>
        <v/>
      </c>
      <c r="AM78">
        <f>IF(AND($F78&lt;&gt;"",$I78&lt;&gt;""),IF($G78="دارایی ثابت",1,0),0)</f>
        <v/>
      </c>
      <c r="AN78">
        <f>SUM($AM$6:$AM78)</f>
        <v/>
      </c>
      <c r="AO78">
        <f>IFERROR(INDEX($F$6:$F$565,MATCH(ROW()-5,$AN$6:$AN$565,0)),"")</f>
        <v/>
      </c>
      <c r="AP78">
        <f>IF(AND($F78&lt;&gt;"",$I78&lt;&gt;""),IF($G78="وام و تسهیلات",1,0),0)</f>
        <v/>
      </c>
      <c r="AQ78">
        <f>SUM($AP$6:$AP78)</f>
        <v/>
      </c>
      <c r="AR78">
        <f>IFERROR(INDEX($F$6:$F$565,MATCH(ROW()-5,$AQ$6:$AQ$565,0)),"")</f>
        <v/>
      </c>
      <c r="AS78">
        <f>IF(AND($F78&lt;&gt;"",$I78&lt;&gt;""),IF($G78="سرمایه و آورده صاحبان",1,0),0)</f>
        <v/>
      </c>
      <c r="AT78">
        <f>SUM($AS$6:$AS78)</f>
        <v/>
      </c>
      <c r="AU78">
        <f>IFERROR(INDEX($F$6:$F$565,MATCH(ROW()-5,$AT$6:$AT$565,0)),"")</f>
        <v/>
      </c>
      <c r="AW78">
        <f>IF([3]Issues!$C$81="","",[3]Issues!$C$81)</f>
        <v/>
      </c>
      <c r="AX78">
        <f>IF([4]Entry!$E$81="","",[4]Entry!$E$81)</f>
        <v/>
      </c>
      <c r="AY78">
        <f>IF([4]Entry!$H$81="","",[4]Entry!$H$81)</f>
        <v/>
      </c>
      <c r="AZ78">
        <f>IF([4]Entry!$I$81="","",[4]Entry!$I$81)</f>
        <v/>
      </c>
    </row>
    <row r="79">
      <c r="F79">
        <f>IF([1]Accounts!$D$80="","",[1]Accounts!$A$80)</f>
        <v/>
      </c>
      <c r="G79">
        <f>IF([1]Accounts!$D$80="","",[1]Accounts!$B$80)</f>
        <v/>
      </c>
      <c r="H79">
        <f>IF([1]Accounts!$D$80="","",[1]Accounts!$C$80)</f>
        <v/>
      </c>
      <c r="I79">
        <f>IF([1]Accounts!$D$80="","",[1]Accounts!$D$80)</f>
        <v/>
      </c>
      <c r="K79">
        <f>IF([1]SubGroups!$C$80="","",[1]SubGroups!$A$80)</f>
        <v/>
      </c>
      <c r="L79">
        <f>IF([1]SubGroups!$C$80="","",[1]SubGroups!$B$80)</f>
        <v/>
      </c>
      <c r="M79">
        <f>IF([1]SubGroups!$C$80="","",[1]SubGroups!$C$80)</f>
        <v/>
      </c>
      <c r="N79">
        <f>IF([1]SubGroups!$C$80="","",[1]SubGroups!$D$80)</f>
        <v/>
      </c>
      <c r="R79">
        <f>IF(AND($F79&lt;&gt;"",$I79&lt;&gt;""),IF(OR($G79="دارایی ثابت",$G79="وام و تسهیلات",$G79="سرمایه و آورده صاحبان"),0,1),0)</f>
        <v/>
      </c>
      <c r="S79">
        <f>SUM($R$6:$R79)</f>
        <v/>
      </c>
      <c r="T79">
        <f>IFERROR(INDEX($F$6:$F$565,MATCH(ROW()-5,$S$6:$S$565,0)),"")</f>
        <v/>
      </c>
      <c r="V79">
        <f>IF(AND($K79&lt;&gt;"",$M79&lt;&gt;""),$L79="هزینه",0)*1</f>
        <v/>
      </c>
      <c r="W79">
        <f>SUM($V$6:$V79)</f>
        <v/>
      </c>
      <c r="X79">
        <f>IFERROR(INDEX($M$6:$M$105,MATCH(ROW()-5,$W$6:$W$105,0)),"")</f>
        <v/>
      </c>
      <c r="Z79">
        <f>IF([2]Entry!$E$82="","",[2]Entry!$E$82)</f>
        <v/>
      </c>
      <c r="AA79">
        <f>IF([2]Entry!$G$82="","",[2]Entry!$G$82)</f>
        <v/>
      </c>
      <c r="AB79">
        <f>IF([2]Entry!$J$82="","",[2]Entry!$J$82)</f>
        <v/>
      </c>
      <c r="AC79">
        <f>IF([2]Entry!$K$82="","",[2]Entry!$K$82)</f>
        <v/>
      </c>
      <c r="AD79">
        <f>IF([2]Entry!$L$82="","",[2]Entry!$L$82)</f>
        <v/>
      </c>
      <c r="AE79">
        <f>IF([2]Entry!$M$82="","",[2]Entry!$M$82)</f>
        <v/>
      </c>
      <c r="AF79">
        <f>IF([2]Entry!$N$82="","",[2]Entry!$N$82)</f>
        <v/>
      </c>
      <c r="AG79">
        <f>IF([3]Issues!$B$82="","",[3]Issues!$B$82)</f>
        <v/>
      </c>
      <c r="AH79">
        <f>IF([3]Issues!$D$82="","",[3]Issues!$D$82)</f>
        <v/>
      </c>
      <c r="AI79">
        <f>IF([3]Issues!$E$82="","",[3]Issues!$E$82)</f>
        <v/>
      </c>
      <c r="AJ79">
        <f>IF([2]Entry!$S$82="","",[2]Entry!$S$82)</f>
        <v/>
      </c>
      <c r="AK79">
        <f>IF([2]Entry!$C$82="","",[2]Entry!$C$82)</f>
        <v/>
      </c>
      <c r="AL79">
        <f>IF([2]Entry!$D$82="","",[2]Entry!$D$82)</f>
        <v/>
      </c>
      <c r="AM79">
        <f>IF(AND($F79&lt;&gt;"",$I79&lt;&gt;""),IF($G79="دارایی ثابت",1,0),0)</f>
        <v/>
      </c>
      <c r="AN79">
        <f>SUM($AM$6:$AM79)</f>
        <v/>
      </c>
      <c r="AO79">
        <f>IFERROR(INDEX($F$6:$F$565,MATCH(ROW()-5,$AN$6:$AN$565,0)),"")</f>
        <v/>
      </c>
      <c r="AP79">
        <f>IF(AND($F79&lt;&gt;"",$I79&lt;&gt;""),IF($G79="وام و تسهیلات",1,0),0)</f>
        <v/>
      </c>
      <c r="AQ79">
        <f>SUM($AP$6:$AP79)</f>
        <v/>
      </c>
      <c r="AR79">
        <f>IFERROR(INDEX($F$6:$F$565,MATCH(ROW()-5,$AQ$6:$AQ$565,0)),"")</f>
        <v/>
      </c>
      <c r="AS79">
        <f>IF(AND($F79&lt;&gt;"",$I79&lt;&gt;""),IF($G79="سرمایه و آورده صاحبان",1,0),0)</f>
        <v/>
      </c>
      <c r="AT79">
        <f>SUM($AS$6:$AS79)</f>
        <v/>
      </c>
      <c r="AU79">
        <f>IFERROR(INDEX($F$6:$F$565,MATCH(ROW()-5,$AT$6:$AT$565,0)),"")</f>
        <v/>
      </c>
      <c r="AW79">
        <f>IF([3]Issues!$C$82="","",[3]Issues!$C$82)</f>
        <v/>
      </c>
      <c r="AX79">
        <f>IF([4]Entry!$E$82="","",[4]Entry!$E$82)</f>
        <v/>
      </c>
      <c r="AY79">
        <f>IF([4]Entry!$H$82="","",[4]Entry!$H$82)</f>
        <v/>
      </c>
      <c r="AZ79">
        <f>IF([4]Entry!$I$82="","",[4]Entry!$I$82)</f>
        <v/>
      </c>
    </row>
    <row r="80">
      <c r="F80">
        <f>IF([1]Accounts!$D$81="","",[1]Accounts!$A$81)</f>
        <v/>
      </c>
      <c r="G80">
        <f>IF([1]Accounts!$D$81="","",[1]Accounts!$B$81)</f>
        <v/>
      </c>
      <c r="H80">
        <f>IF([1]Accounts!$D$81="","",[1]Accounts!$C$81)</f>
        <v/>
      </c>
      <c r="I80">
        <f>IF([1]Accounts!$D$81="","",[1]Accounts!$D$81)</f>
        <v/>
      </c>
      <c r="K80">
        <f>IF([1]SubGroups!$C$81="","",[1]SubGroups!$A$81)</f>
        <v/>
      </c>
      <c r="L80">
        <f>IF([1]SubGroups!$C$81="","",[1]SubGroups!$B$81)</f>
        <v/>
      </c>
      <c r="M80">
        <f>IF([1]SubGroups!$C$81="","",[1]SubGroups!$C$81)</f>
        <v/>
      </c>
      <c r="N80">
        <f>IF([1]SubGroups!$C$81="","",[1]SubGroups!$D$81)</f>
        <v/>
      </c>
      <c r="R80">
        <f>IF(AND($F80&lt;&gt;"",$I80&lt;&gt;""),IF(OR($G80="دارایی ثابت",$G80="وام و تسهیلات",$G80="سرمایه و آورده صاحبان"),0,1),0)</f>
        <v/>
      </c>
      <c r="S80">
        <f>SUM($R$6:$R80)</f>
        <v/>
      </c>
      <c r="T80">
        <f>IFERROR(INDEX($F$6:$F$565,MATCH(ROW()-5,$S$6:$S$565,0)),"")</f>
        <v/>
      </c>
      <c r="V80">
        <f>IF(AND($K80&lt;&gt;"",$M80&lt;&gt;""),$L80="هزینه",0)*1</f>
        <v/>
      </c>
      <c r="W80">
        <f>SUM($V$6:$V80)</f>
        <v/>
      </c>
      <c r="X80">
        <f>IFERROR(INDEX($M$6:$M$105,MATCH(ROW()-5,$W$6:$W$105,0)),"")</f>
        <v/>
      </c>
      <c r="Z80">
        <f>IF([2]Entry!$E$83="","",[2]Entry!$E$83)</f>
        <v/>
      </c>
      <c r="AA80">
        <f>IF([2]Entry!$G$83="","",[2]Entry!$G$83)</f>
        <v/>
      </c>
      <c r="AB80">
        <f>IF([2]Entry!$J$83="","",[2]Entry!$J$83)</f>
        <v/>
      </c>
      <c r="AC80">
        <f>IF([2]Entry!$K$83="","",[2]Entry!$K$83)</f>
        <v/>
      </c>
      <c r="AD80">
        <f>IF([2]Entry!$L$83="","",[2]Entry!$L$83)</f>
        <v/>
      </c>
      <c r="AE80">
        <f>IF([2]Entry!$M$83="","",[2]Entry!$M$83)</f>
        <v/>
      </c>
      <c r="AF80">
        <f>IF([2]Entry!$N$83="","",[2]Entry!$N$83)</f>
        <v/>
      </c>
      <c r="AG80">
        <f>IF([3]Issues!$B$83="","",[3]Issues!$B$83)</f>
        <v/>
      </c>
      <c r="AH80">
        <f>IF([3]Issues!$D$83="","",[3]Issues!$D$83)</f>
        <v/>
      </c>
      <c r="AI80">
        <f>IF([3]Issues!$E$83="","",[3]Issues!$E$83)</f>
        <v/>
      </c>
      <c r="AJ80">
        <f>IF([2]Entry!$S$83="","",[2]Entry!$S$83)</f>
        <v/>
      </c>
      <c r="AK80">
        <f>IF([2]Entry!$C$83="","",[2]Entry!$C$83)</f>
        <v/>
      </c>
      <c r="AL80">
        <f>IF([2]Entry!$D$83="","",[2]Entry!$D$83)</f>
        <v/>
      </c>
      <c r="AM80">
        <f>IF(AND($F80&lt;&gt;"",$I80&lt;&gt;""),IF($G80="دارایی ثابت",1,0),0)</f>
        <v/>
      </c>
      <c r="AN80">
        <f>SUM($AM$6:$AM80)</f>
        <v/>
      </c>
      <c r="AO80">
        <f>IFERROR(INDEX($F$6:$F$565,MATCH(ROW()-5,$AN$6:$AN$565,0)),"")</f>
        <v/>
      </c>
      <c r="AP80">
        <f>IF(AND($F80&lt;&gt;"",$I80&lt;&gt;""),IF($G80="وام و تسهیلات",1,0),0)</f>
        <v/>
      </c>
      <c r="AQ80">
        <f>SUM($AP$6:$AP80)</f>
        <v/>
      </c>
      <c r="AR80">
        <f>IFERROR(INDEX($F$6:$F$565,MATCH(ROW()-5,$AQ$6:$AQ$565,0)),"")</f>
        <v/>
      </c>
      <c r="AS80">
        <f>IF(AND($F80&lt;&gt;"",$I80&lt;&gt;""),IF($G80="سرمایه و آورده صاحبان",1,0),0)</f>
        <v/>
      </c>
      <c r="AT80">
        <f>SUM($AS$6:$AS80)</f>
        <v/>
      </c>
      <c r="AU80">
        <f>IFERROR(INDEX($F$6:$F$565,MATCH(ROW()-5,$AT$6:$AT$565,0)),"")</f>
        <v/>
      </c>
      <c r="AW80">
        <f>IF([3]Issues!$C$83="","",[3]Issues!$C$83)</f>
        <v/>
      </c>
      <c r="AX80">
        <f>IF([4]Entry!$E$83="","",[4]Entry!$E$83)</f>
        <v/>
      </c>
      <c r="AY80">
        <f>IF([4]Entry!$H$83="","",[4]Entry!$H$83)</f>
        <v/>
      </c>
      <c r="AZ80">
        <f>IF([4]Entry!$I$83="","",[4]Entry!$I$83)</f>
        <v/>
      </c>
    </row>
    <row r="81">
      <c r="F81">
        <f>IF([1]Accounts!$D$82="","",[1]Accounts!$A$82)</f>
        <v/>
      </c>
      <c r="G81">
        <f>IF([1]Accounts!$D$82="","",[1]Accounts!$B$82)</f>
        <v/>
      </c>
      <c r="H81">
        <f>IF([1]Accounts!$D$82="","",[1]Accounts!$C$82)</f>
        <v/>
      </c>
      <c r="I81">
        <f>IF([1]Accounts!$D$82="","",[1]Accounts!$D$82)</f>
        <v/>
      </c>
      <c r="K81">
        <f>IF([1]SubGroups!$C$82="","",[1]SubGroups!$A$82)</f>
        <v/>
      </c>
      <c r="L81">
        <f>IF([1]SubGroups!$C$82="","",[1]SubGroups!$B$82)</f>
        <v/>
      </c>
      <c r="M81">
        <f>IF([1]SubGroups!$C$82="","",[1]SubGroups!$C$82)</f>
        <v/>
      </c>
      <c r="N81">
        <f>IF([1]SubGroups!$C$82="","",[1]SubGroups!$D$82)</f>
        <v/>
      </c>
      <c r="R81">
        <f>IF(AND($F81&lt;&gt;"",$I81&lt;&gt;""),IF(OR($G81="دارایی ثابت",$G81="وام و تسهیلات",$G81="سرمایه و آورده صاحبان"),0,1),0)</f>
        <v/>
      </c>
      <c r="S81">
        <f>SUM($R$6:$R81)</f>
        <v/>
      </c>
      <c r="T81">
        <f>IFERROR(INDEX($F$6:$F$565,MATCH(ROW()-5,$S$6:$S$565,0)),"")</f>
        <v/>
      </c>
      <c r="V81">
        <f>IF(AND($K81&lt;&gt;"",$M81&lt;&gt;""),$L81="هزینه",0)*1</f>
        <v/>
      </c>
      <c r="W81">
        <f>SUM($V$6:$V81)</f>
        <v/>
      </c>
      <c r="X81">
        <f>IFERROR(INDEX($M$6:$M$105,MATCH(ROW()-5,$W$6:$W$105,0)),"")</f>
        <v/>
      </c>
      <c r="Z81">
        <f>IF([2]Entry!$E$84="","",[2]Entry!$E$84)</f>
        <v/>
      </c>
      <c r="AA81">
        <f>IF([2]Entry!$G$84="","",[2]Entry!$G$84)</f>
        <v/>
      </c>
      <c r="AB81">
        <f>IF([2]Entry!$J$84="","",[2]Entry!$J$84)</f>
        <v/>
      </c>
      <c r="AC81">
        <f>IF([2]Entry!$K$84="","",[2]Entry!$K$84)</f>
        <v/>
      </c>
      <c r="AD81">
        <f>IF([2]Entry!$L$84="","",[2]Entry!$L$84)</f>
        <v/>
      </c>
      <c r="AE81">
        <f>IF([2]Entry!$M$84="","",[2]Entry!$M$84)</f>
        <v/>
      </c>
      <c r="AF81">
        <f>IF([2]Entry!$N$84="","",[2]Entry!$N$84)</f>
        <v/>
      </c>
      <c r="AG81">
        <f>IF([3]Issues!$B$84="","",[3]Issues!$B$84)</f>
        <v/>
      </c>
      <c r="AH81">
        <f>IF([3]Issues!$D$84="","",[3]Issues!$D$84)</f>
        <v/>
      </c>
      <c r="AI81">
        <f>IF([3]Issues!$E$84="","",[3]Issues!$E$84)</f>
        <v/>
      </c>
      <c r="AJ81">
        <f>IF([2]Entry!$S$84="","",[2]Entry!$S$84)</f>
        <v/>
      </c>
      <c r="AK81">
        <f>IF([2]Entry!$C$84="","",[2]Entry!$C$84)</f>
        <v/>
      </c>
      <c r="AL81">
        <f>IF([2]Entry!$D$84="","",[2]Entry!$D$84)</f>
        <v/>
      </c>
      <c r="AM81">
        <f>IF(AND($F81&lt;&gt;"",$I81&lt;&gt;""),IF($G81="دارایی ثابت",1,0),0)</f>
        <v/>
      </c>
      <c r="AN81">
        <f>SUM($AM$6:$AM81)</f>
        <v/>
      </c>
      <c r="AO81">
        <f>IFERROR(INDEX($F$6:$F$565,MATCH(ROW()-5,$AN$6:$AN$565,0)),"")</f>
        <v/>
      </c>
      <c r="AP81">
        <f>IF(AND($F81&lt;&gt;"",$I81&lt;&gt;""),IF($G81="وام و تسهیلات",1,0),0)</f>
        <v/>
      </c>
      <c r="AQ81">
        <f>SUM($AP$6:$AP81)</f>
        <v/>
      </c>
      <c r="AR81">
        <f>IFERROR(INDEX($F$6:$F$565,MATCH(ROW()-5,$AQ$6:$AQ$565,0)),"")</f>
        <v/>
      </c>
      <c r="AS81">
        <f>IF(AND($F81&lt;&gt;"",$I81&lt;&gt;""),IF($G81="سرمایه و آورده صاحبان",1,0),0)</f>
        <v/>
      </c>
      <c r="AT81">
        <f>SUM($AS$6:$AS81)</f>
        <v/>
      </c>
      <c r="AU81">
        <f>IFERROR(INDEX($F$6:$F$565,MATCH(ROW()-5,$AT$6:$AT$565,0)),"")</f>
        <v/>
      </c>
      <c r="AW81">
        <f>IF([3]Issues!$C$84="","",[3]Issues!$C$84)</f>
        <v/>
      </c>
      <c r="AX81">
        <f>IF([4]Entry!$E$84="","",[4]Entry!$E$84)</f>
        <v/>
      </c>
      <c r="AY81">
        <f>IF([4]Entry!$H$84="","",[4]Entry!$H$84)</f>
        <v/>
      </c>
      <c r="AZ81">
        <f>IF([4]Entry!$I$84="","",[4]Entry!$I$84)</f>
        <v/>
      </c>
    </row>
    <row r="82">
      <c r="F82">
        <f>IF([1]Accounts!$D$83="","",[1]Accounts!$A$83)</f>
        <v/>
      </c>
      <c r="G82">
        <f>IF([1]Accounts!$D$83="","",[1]Accounts!$B$83)</f>
        <v/>
      </c>
      <c r="H82">
        <f>IF([1]Accounts!$D$83="","",[1]Accounts!$C$83)</f>
        <v/>
      </c>
      <c r="I82">
        <f>IF([1]Accounts!$D$83="","",[1]Accounts!$D$83)</f>
        <v/>
      </c>
      <c r="K82">
        <f>IF([1]SubGroups!$C$83="","",[1]SubGroups!$A$83)</f>
        <v/>
      </c>
      <c r="L82">
        <f>IF([1]SubGroups!$C$83="","",[1]SubGroups!$B$83)</f>
        <v/>
      </c>
      <c r="M82">
        <f>IF([1]SubGroups!$C$83="","",[1]SubGroups!$C$83)</f>
        <v/>
      </c>
      <c r="N82">
        <f>IF([1]SubGroups!$C$83="","",[1]SubGroups!$D$83)</f>
        <v/>
      </c>
      <c r="R82">
        <f>IF(AND($F82&lt;&gt;"",$I82&lt;&gt;""),IF(OR($G82="دارایی ثابت",$G82="وام و تسهیلات",$G82="سرمایه و آورده صاحبان"),0,1),0)</f>
        <v/>
      </c>
      <c r="S82">
        <f>SUM($R$6:$R82)</f>
        <v/>
      </c>
      <c r="T82">
        <f>IFERROR(INDEX($F$6:$F$565,MATCH(ROW()-5,$S$6:$S$565,0)),"")</f>
        <v/>
      </c>
      <c r="V82">
        <f>IF(AND($K82&lt;&gt;"",$M82&lt;&gt;""),$L82="هزینه",0)*1</f>
        <v/>
      </c>
      <c r="W82">
        <f>SUM($V$6:$V82)</f>
        <v/>
      </c>
      <c r="X82">
        <f>IFERROR(INDEX($M$6:$M$105,MATCH(ROW()-5,$W$6:$W$105,0)),"")</f>
        <v/>
      </c>
      <c r="Z82">
        <f>IF([2]Entry!$E$85="","",[2]Entry!$E$85)</f>
        <v/>
      </c>
      <c r="AA82">
        <f>IF([2]Entry!$G$85="","",[2]Entry!$G$85)</f>
        <v/>
      </c>
      <c r="AB82">
        <f>IF([2]Entry!$J$85="","",[2]Entry!$J$85)</f>
        <v/>
      </c>
      <c r="AC82">
        <f>IF([2]Entry!$K$85="","",[2]Entry!$K$85)</f>
        <v/>
      </c>
      <c r="AD82">
        <f>IF([2]Entry!$L$85="","",[2]Entry!$L$85)</f>
        <v/>
      </c>
      <c r="AE82">
        <f>IF([2]Entry!$M$85="","",[2]Entry!$M$85)</f>
        <v/>
      </c>
      <c r="AF82">
        <f>IF([2]Entry!$N$85="","",[2]Entry!$N$85)</f>
        <v/>
      </c>
      <c r="AG82">
        <f>IF([3]Issues!$B$85="","",[3]Issues!$B$85)</f>
        <v/>
      </c>
      <c r="AH82">
        <f>IF([3]Issues!$D$85="","",[3]Issues!$D$85)</f>
        <v/>
      </c>
      <c r="AI82">
        <f>IF([3]Issues!$E$85="","",[3]Issues!$E$85)</f>
        <v/>
      </c>
      <c r="AJ82">
        <f>IF([2]Entry!$S$85="","",[2]Entry!$S$85)</f>
        <v/>
      </c>
      <c r="AK82">
        <f>IF([2]Entry!$C$85="","",[2]Entry!$C$85)</f>
        <v/>
      </c>
      <c r="AL82">
        <f>IF([2]Entry!$D$85="","",[2]Entry!$D$85)</f>
        <v/>
      </c>
      <c r="AM82">
        <f>IF(AND($F82&lt;&gt;"",$I82&lt;&gt;""),IF($G82="دارایی ثابت",1,0),0)</f>
        <v/>
      </c>
      <c r="AN82">
        <f>SUM($AM$6:$AM82)</f>
        <v/>
      </c>
      <c r="AO82">
        <f>IFERROR(INDEX($F$6:$F$565,MATCH(ROW()-5,$AN$6:$AN$565,0)),"")</f>
        <v/>
      </c>
      <c r="AP82">
        <f>IF(AND($F82&lt;&gt;"",$I82&lt;&gt;""),IF($G82="وام و تسهیلات",1,0),0)</f>
        <v/>
      </c>
      <c r="AQ82">
        <f>SUM($AP$6:$AP82)</f>
        <v/>
      </c>
      <c r="AR82">
        <f>IFERROR(INDEX($F$6:$F$565,MATCH(ROW()-5,$AQ$6:$AQ$565,0)),"")</f>
        <v/>
      </c>
      <c r="AS82">
        <f>IF(AND($F82&lt;&gt;"",$I82&lt;&gt;""),IF($G82="سرمایه و آورده صاحبان",1,0),0)</f>
        <v/>
      </c>
      <c r="AT82">
        <f>SUM($AS$6:$AS82)</f>
        <v/>
      </c>
      <c r="AU82">
        <f>IFERROR(INDEX($F$6:$F$565,MATCH(ROW()-5,$AT$6:$AT$565,0)),"")</f>
        <v/>
      </c>
      <c r="AW82">
        <f>IF([3]Issues!$C$85="","",[3]Issues!$C$85)</f>
        <v/>
      </c>
      <c r="AX82">
        <f>IF([4]Entry!$E$85="","",[4]Entry!$E$85)</f>
        <v/>
      </c>
      <c r="AY82">
        <f>IF([4]Entry!$H$85="","",[4]Entry!$H$85)</f>
        <v/>
      </c>
      <c r="AZ82">
        <f>IF([4]Entry!$I$85="","",[4]Entry!$I$85)</f>
        <v/>
      </c>
    </row>
    <row r="83">
      <c r="F83">
        <f>IF([1]Accounts!$D$84="","",[1]Accounts!$A$84)</f>
        <v/>
      </c>
      <c r="G83">
        <f>IF([1]Accounts!$D$84="","",[1]Accounts!$B$84)</f>
        <v/>
      </c>
      <c r="H83">
        <f>IF([1]Accounts!$D$84="","",[1]Accounts!$C$84)</f>
        <v/>
      </c>
      <c r="I83">
        <f>IF([1]Accounts!$D$84="","",[1]Accounts!$D$84)</f>
        <v/>
      </c>
      <c r="K83">
        <f>IF([1]SubGroups!$C$84="","",[1]SubGroups!$A$84)</f>
        <v/>
      </c>
      <c r="L83">
        <f>IF([1]SubGroups!$C$84="","",[1]SubGroups!$B$84)</f>
        <v/>
      </c>
      <c r="M83">
        <f>IF([1]SubGroups!$C$84="","",[1]SubGroups!$C$84)</f>
        <v/>
      </c>
      <c r="N83">
        <f>IF([1]SubGroups!$C$84="","",[1]SubGroups!$D$84)</f>
        <v/>
      </c>
      <c r="R83">
        <f>IF(AND($F83&lt;&gt;"",$I83&lt;&gt;""),IF(OR($G83="دارایی ثابت",$G83="وام و تسهیلات",$G83="سرمایه و آورده صاحبان"),0,1),0)</f>
        <v/>
      </c>
      <c r="S83">
        <f>SUM($R$6:$R83)</f>
        <v/>
      </c>
      <c r="T83">
        <f>IFERROR(INDEX($F$6:$F$565,MATCH(ROW()-5,$S$6:$S$565,0)),"")</f>
        <v/>
      </c>
      <c r="V83">
        <f>IF(AND($K83&lt;&gt;"",$M83&lt;&gt;""),$L83="هزینه",0)*1</f>
        <v/>
      </c>
      <c r="W83">
        <f>SUM($V$6:$V83)</f>
        <v/>
      </c>
      <c r="X83">
        <f>IFERROR(INDEX($M$6:$M$105,MATCH(ROW()-5,$W$6:$W$105,0)),"")</f>
        <v/>
      </c>
      <c r="Z83">
        <f>IF([2]Entry!$E$86="","",[2]Entry!$E$86)</f>
        <v/>
      </c>
      <c r="AA83">
        <f>IF([2]Entry!$G$86="","",[2]Entry!$G$86)</f>
        <v/>
      </c>
      <c r="AB83">
        <f>IF([2]Entry!$J$86="","",[2]Entry!$J$86)</f>
        <v/>
      </c>
      <c r="AC83">
        <f>IF([2]Entry!$K$86="","",[2]Entry!$K$86)</f>
        <v/>
      </c>
      <c r="AD83">
        <f>IF([2]Entry!$L$86="","",[2]Entry!$L$86)</f>
        <v/>
      </c>
      <c r="AE83">
        <f>IF([2]Entry!$M$86="","",[2]Entry!$M$86)</f>
        <v/>
      </c>
      <c r="AF83">
        <f>IF([2]Entry!$N$86="","",[2]Entry!$N$86)</f>
        <v/>
      </c>
      <c r="AG83">
        <f>IF([3]Issues!$B$86="","",[3]Issues!$B$86)</f>
        <v/>
      </c>
      <c r="AH83">
        <f>IF([3]Issues!$D$86="","",[3]Issues!$D$86)</f>
        <v/>
      </c>
      <c r="AI83">
        <f>IF([3]Issues!$E$86="","",[3]Issues!$E$86)</f>
        <v/>
      </c>
      <c r="AJ83">
        <f>IF([2]Entry!$S$86="","",[2]Entry!$S$86)</f>
        <v/>
      </c>
      <c r="AK83">
        <f>IF([2]Entry!$C$86="","",[2]Entry!$C$86)</f>
        <v/>
      </c>
      <c r="AL83">
        <f>IF([2]Entry!$D$86="","",[2]Entry!$D$86)</f>
        <v/>
      </c>
      <c r="AM83">
        <f>IF(AND($F83&lt;&gt;"",$I83&lt;&gt;""),IF($G83="دارایی ثابت",1,0),0)</f>
        <v/>
      </c>
      <c r="AN83">
        <f>SUM($AM$6:$AM83)</f>
        <v/>
      </c>
      <c r="AO83">
        <f>IFERROR(INDEX($F$6:$F$565,MATCH(ROW()-5,$AN$6:$AN$565,0)),"")</f>
        <v/>
      </c>
      <c r="AP83">
        <f>IF(AND($F83&lt;&gt;"",$I83&lt;&gt;""),IF($G83="وام و تسهیلات",1,0),0)</f>
        <v/>
      </c>
      <c r="AQ83">
        <f>SUM($AP$6:$AP83)</f>
        <v/>
      </c>
      <c r="AR83">
        <f>IFERROR(INDEX($F$6:$F$565,MATCH(ROW()-5,$AQ$6:$AQ$565,0)),"")</f>
        <v/>
      </c>
      <c r="AS83">
        <f>IF(AND($F83&lt;&gt;"",$I83&lt;&gt;""),IF($G83="سرمایه و آورده صاحبان",1,0),0)</f>
        <v/>
      </c>
      <c r="AT83">
        <f>SUM($AS$6:$AS83)</f>
        <v/>
      </c>
      <c r="AU83">
        <f>IFERROR(INDEX($F$6:$F$565,MATCH(ROW()-5,$AT$6:$AT$565,0)),"")</f>
        <v/>
      </c>
      <c r="AW83">
        <f>IF([3]Issues!$C$86="","",[3]Issues!$C$86)</f>
        <v/>
      </c>
      <c r="AX83">
        <f>IF([4]Entry!$E$86="","",[4]Entry!$E$86)</f>
        <v/>
      </c>
      <c r="AY83">
        <f>IF([4]Entry!$H$86="","",[4]Entry!$H$86)</f>
        <v/>
      </c>
      <c r="AZ83">
        <f>IF([4]Entry!$I$86="","",[4]Entry!$I$86)</f>
        <v/>
      </c>
    </row>
    <row r="84">
      <c r="F84">
        <f>IF([1]Accounts!$D$85="","",[1]Accounts!$A$85)</f>
        <v/>
      </c>
      <c r="G84">
        <f>IF([1]Accounts!$D$85="","",[1]Accounts!$B$85)</f>
        <v/>
      </c>
      <c r="H84">
        <f>IF([1]Accounts!$D$85="","",[1]Accounts!$C$85)</f>
        <v/>
      </c>
      <c r="I84">
        <f>IF([1]Accounts!$D$85="","",[1]Accounts!$D$85)</f>
        <v/>
      </c>
      <c r="K84">
        <f>IF([1]SubGroups!$C$85="","",[1]SubGroups!$A$85)</f>
        <v/>
      </c>
      <c r="L84">
        <f>IF([1]SubGroups!$C$85="","",[1]SubGroups!$B$85)</f>
        <v/>
      </c>
      <c r="M84">
        <f>IF([1]SubGroups!$C$85="","",[1]SubGroups!$C$85)</f>
        <v/>
      </c>
      <c r="N84">
        <f>IF([1]SubGroups!$C$85="","",[1]SubGroups!$D$85)</f>
        <v/>
      </c>
      <c r="R84">
        <f>IF(AND($F84&lt;&gt;"",$I84&lt;&gt;""),IF(OR($G84="دارایی ثابت",$G84="وام و تسهیلات",$G84="سرمایه و آورده صاحبان"),0,1),0)</f>
        <v/>
      </c>
      <c r="S84">
        <f>SUM($R$6:$R84)</f>
        <v/>
      </c>
      <c r="T84">
        <f>IFERROR(INDEX($F$6:$F$565,MATCH(ROW()-5,$S$6:$S$565,0)),"")</f>
        <v/>
      </c>
      <c r="V84">
        <f>IF(AND($K84&lt;&gt;"",$M84&lt;&gt;""),$L84="هزینه",0)*1</f>
        <v/>
      </c>
      <c r="W84">
        <f>SUM($V$6:$V84)</f>
        <v/>
      </c>
      <c r="X84">
        <f>IFERROR(INDEX($M$6:$M$105,MATCH(ROW()-5,$W$6:$W$105,0)),"")</f>
        <v/>
      </c>
      <c r="Z84">
        <f>IF([2]Entry!$E$87="","",[2]Entry!$E$87)</f>
        <v/>
      </c>
      <c r="AA84">
        <f>IF([2]Entry!$G$87="","",[2]Entry!$G$87)</f>
        <v/>
      </c>
      <c r="AB84">
        <f>IF([2]Entry!$J$87="","",[2]Entry!$J$87)</f>
        <v/>
      </c>
      <c r="AC84">
        <f>IF([2]Entry!$K$87="","",[2]Entry!$K$87)</f>
        <v/>
      </c>
      <c r="AD84">
        <f>IF([2]Entry!$L$87="","",[2]Entry!$L$87)</f>
        <v/>
      </c>
      <c r="AE84">
        <f>IF([2]Entry!$M$87="","",[2]Entry!$M$87)</f>
        <v/>
      </c>
      <c r="AF84">
        <f>IF([2]Entry!$N$87="","",[2]Entry!$N$87)</f>
        <v/>
      </c>
      <c r="AG84">
        <f>IF([3]Issues!$B$87="","",[3]Issues!$B$87)</f>
        <v/>
      </c>
      <c r="AH84">
        <f>IF([3]Issues!$D$87="","",[3]Issues!$D$87)</f>
        <v/>
      </c>
      <c r="AI84">
        <f>IF([3]Issues!$E$87="","",[3]Issues!$E$87)</f>
        <v/>
      </c>
      <c r="AJ84">
        <f>IF([2]Entry!$S$87="","",[2]Entry!$S$87)</f>
        <v/>
      </c>
      <c r="AK84">
        <f>IF([2]Entry!$C$87="","",[2]Entry!$C$87)</f>
        <v/>
      </c>
      <c r="AL84">
        <f>IF([2]Entry!$D$87="","",[2]Entry!$D$87)</f>
        <v/>
      </c>
      <c r="AM84">
        <f>IF(AND($F84&lt;&gt;"",$I84&lt;&gt;""),IF($G84="دارایی ثابت",1,0),0)</f>
        <v/>
      </c>
      <c r="AN84">
        <f>SUM($AM$6:$AM84)</f>
        <v/>
      </c>
      <c r="AO84">
        <f>IFERROR(INDEX($F$6:$F$565,MATCH(ROW()-5,$AN$6:$AN$565,0)),"")</f>
        <v/>
      </c>
      <c r="AP84">
        <f>IF(AND($F84&lt;&gt;"",$I84&lt;&gt;""),IF($G84="وام و تسهیلات",1,0),0)</f>
        <v/>
      </c>
      <c r="AQ84">
        <f>SUM($AP$6:$AP84)</f>
        <v/>
      </c>
      <c r="AR84">
        <f>IFERROR(INDEX($F$6:$F$565,MATCH(ROW()-5,$AQ$6:$AQ$565,0)),"")</f>
        <v/>
      </c>
      <c r="AS84">
        <f>IF(AND($F84&lt;&gt;"",$I84&lt;&gt;""),IF($G84="سرمایه و آورده صاحبان",1,0),0)</f>
        <v/>
      </c>
      <c r="AT84">
        <f>SUM($AS$6:$AS84)</f>
        <v/>
      </c>
      <c r="AU84">
        <f>IFERROR(INDEX($F$6:$F$565,MATCH(ROW()-5,$AT$6:$AT$565,0)),"")</f>
        <v/>
      </c>
      <c r="AW84">
        <f>IF([3]Issues!$C$87="","",[3]Issues!$C$87)</f>
        <v/>
      </c>
      <c r="AX84">
        <f>IF([4]Entry!$E$87="","",[4]Entry!$E$87)</f>
        <v/>
      </c>
      <c r="AY84">
        <f>IF([4]Entry!$H$87="","",[4]Entry!$H$87)</f>
        <v/>
      </c>
      <c r="AZ84">
        <f>IF([4]Entry!$I$87="","",[4]Entry!$I$87)</f>
        <v/>
      </c>
    </row>
    <row r="85">
      <c r="F85">
        <f>IF([1]Accounts!$D$86="","",[1]Accounts!$A$86)</f>
        <v/>
      </c>
      <c r="G85">
        <f>IF([1]Accounts!$D$86="","",[1]Accounts!$B$86)</f>
        <v/>
      </c>
      <c r="H85">
        <f>IF([1]Accounts!$D$86="","",[1]Accounts!$C$86)</f>
        <v/>
      </c>
      <c r="I85">
        <f>IF([1]Accounts!$D$86="","",[1]Accounts!$D$86)</f>
        <v/>
      </c>
      <c r="K85">
        <f>IF([1]SubGroups!$C$86="","",[1]SubGroups!$A$86)</f>
        <v/>
      </c>
      <c r="L85">
        <f>IF([1]SubGroups!$C$86="","",[1]SubGroups!$B$86)</f>
        <v/>
      </c>
      <c r="M85">
        <f>IF([1]SubGroups!$C$86="","",[1]SubGroups!$C$86)</f>
        <v/>
      </c>
      <c r="N85">
        <f>IF([1]SubGroups!$C$86="","",[1]SubGroups!$D$86)</f>
        <v/>
      </c>
      <c r="R85">
        <f>IF(AND($F85&lt;&gt;"",$I85&lt;&gt;""),IF(OR($G85="دارایی ثابت",$G85="وام و تسهیلات",$G85="سرمایه و آورده صاحبان"),0,1),0)</f>
        <v/>
      </c>
      <c r="S85">
        <f>SUM($R$6:$R85)</f>
        <v/>
      </c>
      <c r="T85">
        <f>IFERROR(INDEX($F$6:$F$565,MATCH(ROW()-5,$S$6:$S$565,0)),"")</f>
        <v/>
      </c>
      <c r="V85">
        <f>IF(AND($K85&lt;&gt;"",$M85&lt;&gt;""),$L85="هزینه",0)*1</f>
        <v/>
      </c>
      <c r="W85">
        <f>SUM($V$6:$V85)</f>
        <v/>
      </c>
      <c r="X85">
        <f>IFERROR(INDEX($M$6:$M$105,MATCH(ROW()-5,$W$6:$W$105,0)),"")</f>
        <v/>
      </c>
      <c r="Z85">
        <f>IF([2]Entry!$E$88="","",[2]Entry!$E$88)</f>
        <v/>
      </c>
      <c r="AA85">
        <f>IF([2]Entry!$G$88="","",[2]Entry!$G$88)</f>
        <v/>
      </c>
      <c r="AB85">
        <f>IF([2]Entry!$J$88="","",[2]Entry!$J$88)</f>
        <v/>
      </c>
      <c r="AC85">
        <f>IF([2]Entry!$K$88="","",[2]Entry!$K$88)</f>
        <v/>
      </c>
      <c r="AD85">
        <f>IF([2]Entry!$L$88="","",[2]Entry!$L$88)</f>
        <v/>
      </c>
      <c r="AE85">
        <f>IF([2]Entry!$M$88="","",[2]Entry!$M$88)</f>
        <v/>
      </c>
      <c r="AF85">
        <f>IF([2]Entry!$N$88="","",[2]Entry!$N$88)</f>
        <v/>
      </c>
      <c r="AG85">
        <f>IF([3]Issues!$B$88="","",[3]Issues!$B$88)</f>
        <v/>
      </c>
      <c r="AH85">
        <f>IF([3]Issues!$D$88="","",[3]Issues!$D$88)</f>
        <v/>
      </c>
      <c r="AI85">
        <f>IF([3]Issues!$E$88="","",[3]Issues!$E$88)</f>
        <v/>
      </c>
      <c r="AJ85">
        <f>IF([2]Entry!$S$88="","",[2]Entry!$S$88)</f>
        <v/>
      </c>
      <c r="AK85">
        <f>IF([2]Entry!$C$88="","",[2]Entry!$C$88)</f>
        <v/>
      </c>
      <c r="AL85">
        <f>IF([2]Entry!$D$88="","",[2]Entry!$D$88)</f>
        <v/>
      </c>
      <c r="AM85">
        <f>IF(AND($F85&lt;&gt;"",$I85&lt;&gt;""),IF($G85="دارایی ثابت",1,0),0)</f>
        <v/>
      </c>
      <c r="AN85">
        <f>SUM($AM$6:$AM85)</f>
        <v/>
      </c>
      <c r="AO85">
        <f>IFERROR(INDEX($F$6:$F$565,MATCH(ROW()-5,$AN$6:$AN$565,0)),"")</f>
        <v/>
      </c>
      <c r="AP85">
        <f>IF(AND($F85&lt;&gt;"",$I85&lt;&gt;""),IF($G85="وام و تسهیلات",1,0),0)</f>
        <v/>
      </c>
      <c r="AQ85">
        <f>SUM($AP$6:$AP85)</f>
        <v/>
      </c>
      <c r="AR85">
        <f>IFERROR(INDEX($F$6:$F$565,MATCH(ROW()-5,$AQ$6:$AQ$565,0)),"")</f>
        <v/>
      </c>
      <c r="AS85">
        <f>IF(AND($F85&lt;&gt;"",$I85&lt;&gt;""),IF($G85="سرمایه و آورده صاحبان",1,0),0)</f>
        <v/>
      </c>
      <c r="AT85">
        <f>SUM($AS$6:$AS85)</f>
        <v/>
      </c>
      <c r="AU85">
        <f>IFERROR(INDEX($F$6:$F$565,MATCH(ROW()-5,$AT$6:$AT$565,0)),"")</f>
        <v/>
      </c>
      <c r="AW85">
        <f>IF([3]Issues!$C$88="","",[3]Issues!$C$88)</f>
        <v/>
      </c>
      <c r="AX85">
        <f>IF([4]Entry!$E$88="","",[4]Entry!$E$88)</f>
        <v/>
      </c>
      <c r="AY85">
        <f>IF([4]Entry!$H$88="","",[4]Entry!$H$88)</f>
        <v/>
      </c>
      <c r="AZ85">
        <f>IF([4]Entry!$I$88="","",[4]Entry!$I$88)</f>
        <v/>
      </c>
    </row>
    <row r="86">
      <c r="F86">
        <f>IF([1]Accounts!$D$87="","",[1]Accounts!$A$87)</f>
        <v/>
      </c>
      <c r="G86">
        <f>IF([1]Accounts!$D$87="","",[1]Accounts!$B$87)</f>
        <v/>
      </c>
      <c r="H86">
        <f>IF([1]Accounts!$D$87="","",[1]Accounts!$C$87)</f>
        <v/>
      </c>
      <c r="I86">
        <f>IF([1]Accounts!$D$87="","",[1]Accounts!$D$87)</f>
        <v/>
      </c>
      <c r="K86">
        <f>IF([1]SubGroups!$C$87="","",[1]SubGroups!$A$87)</f>
        <v/>
      </c>
      <c r="L86">
        <f>IF([1]SubGroups!$C$87="","",[1]SubGroups!$B$87)</f>
        <v/>
      </c>
      <c r="M86">
        <f>IF([1]SubGroups!$C$87="","",[1]SubGroups!$C$87)</f>
        <v/>
      </c>
      <c r="N86">
        <f>IF([1]SubGroups!$C$87="","",[1]SubGroups!$D$87)</f>
        <v/>
      </c>
      <c r="R86">
        <f>IF(AND($F86&lt;&gt;"",$I86&lt;&gt;""),IF(OR($G86="دارایی ثابت",$G86="وام و تسهیلات",$G86="سرمایه و آورده صاحبان"),0,1),0)</f>
        <v/>
      </c>
      <c r="S86">
        <f>SUM($R$6:$R86)</f>
        <v/>
      </c>
      <c r="T86">
        <f>IFERROR(INDEX($F$6:$F$565,MATCH(ROW()-5,$S$6:$S$565,0)),"")</f>
        <v/>
      </c>
      <c r="V86">
        <f>IF(AND($K86&lt;&gt;"",$M86&lt;&gt;""),$L86="هزینه",0)*1</f>
        <v/>
      </c>
      <c r="W86">
        <f>SUM($V$6:$V86)</f>
        <v/>
      </c>
      <c r="X86">
        <f>IFERROR(INDEX($M$6:$M$105,MATCH(ROW()-5,$W$6:$W$105,0)),"")</f>
        <v/>
      </c>
      <c r="Z86">
        <f>IF([2]Entry!$E$89="","",[2]Entry!$E$89)</f>
        <v/>
      </c>
      <c r="AA86">
        <f>IF([2]Entry!$G$89="","",[2]Entry!$G$89)</f>
        <v/>
      </c>
      <c r="AB86">
        <f>IF([2]Entry!$J$89="","",[2]Entry!$J$89)</f>
        <v/>
      </c>
      <c r="AC86">
        <f>IF([2]Entry!$K$89="","",[2]Entry!$K$89)</f>
        <v/>
      </c>
      <c r="AD86">
        <f>IF([2]Entry!$L$89="","",[2]Entry!$L$89)</f>
        <v/>
      </c>
      <c r="AE86">
        <f>IF([2]Entry!$M$89="","",[2]Entry!$M$89)</f>
        <v/>
      </c>
      <c r="AF86">
        <f>IF([2]Entry!$N$89="","",[2]Entry!$N$89)</f>
        <v/>
      </c>
      <c r="AG86">
        <f>IF([3]Issues!$B$89="","",[3]Issues!$B$89)</f>
        <v/>
      </c>
      <c r="AH86">
        <f>IF([3]Issues!$D$89="","",[3]Issues!$D$89)</f>
        <v/>
      </c>
      <c r="AI86">
        <f>IF([3]Issues!$E$89="","",[3]Issues!$E$89)</f>
        <v/>
      </c>
      <c r="AJ86">
        <f>IF([2]Entry!$S$89="","",[2]Entry!$S$89)</f>
        <v/>
      </c>
      <c r="AK86">
        <f>IF([2]Entry!$C$89="","",[2]Entry!$C$89)</f>
        <v/>
      </c>
      <c r="AL86">
        <f>IF([2]Entry!$D$89="","",[2]Entry!$D$89)</f>
        <v/>
      </c>
      <c r="AM86">
        <f>IF(AND($F86&lt;&gt;"",$I86&lt;&gt;""),IF($G86="دارایی ثابت",1,0),0)</f>
        <v/>
      </c>
      <c r="AN86">
        <f>SUM($AM$6:$AM86)</f>
        <v/>
      </c>
      <c r="AO86">
        <f>IFERROR(INDEX($F$6:$F$565,MATCH(ROW()-5,$AN$6:$AN$565,0)),"")</f>
        <v/>
      </c>
      <c r="AP86">
        <f>IF(AND($F86&lt;&gt;"",$I86&lt;&gt;""),IF($G86="وام و تسهیلات",1,0),0)</f>
        <v/>
      </c>
      <c r="AQ86">
        <f>SUM($AP$6:$AP86)</f>
        <v/>
      </c>
      <c r="AR86">
        <f>IFERROR(INDEX($F$6:$F$565,MATCH(ROW()-5,$AQ$6:$AQ$565,0)),"")</f>
        <v/>
      </c>
      <c r="AS86">
        <f>IF(AND($F86&lt;&gt;"",$I86&lt;&gt;""),IF($G86="سرمایه و آورده صاحبان",1,0),0)</f>
        <v/>
      </c>
      <c r="AT86">
        <f>SUM($AS$6:$AS86)</f>
        <v/>
      </c>
      <c r="AU86">
        <f>IFERROR(INDEX($F$6:$F$565,MATCH(ROW()-5,$AT$6:$AT$565,0)),"")</f>
        <v/>
      </c>
      <c r="AW86">
        <f>IF([3]Issues!$C$89="","",[3]Issues!$C$89)</f>
        <v/>
      </c>
      <c r="AX86">
        <f>IF([4]Entry!$E$89="","",[4]Entry!$E$89)</f>
        <v/>
      </c>
      <c r="AY86">
        <f>IF([4]Entry!$H$89="","",[4]Entry!$H$89)</f>
        <v/>
      </c>
      <c r="AZ86">
        <f>IF([4]Entry!$I$89="","",[4]Entry!$I$89)</f>
        <v/>
      </c>
    </row>
    <row r="87">
      <c r="F87">
        <f>IF([1]Accounts!$D$88="","",[1]Accounts!$A$88)</f>
        <v/>
      </c>
      <c r="G87">
        <f>IF([1]Accounts!$D$88="","",[1]Accounts!$B$88)</f>
        <v/>
      </c>
      <c r="H87">
        <f>IF([1]Accounts!$D$88="","",[1]Accounts!$C$88)</f>
        <v/>
      </c>
      <c r="I87">
        <f>IF([1]Accounts!$D$88="","",[1]Accounts!$D$88)</f>
        <v/>
      </c>
      <c r="K87">
        <f>IF([1]SubGroups!$C$88="","",[1]SubGroups!$A$88)</f>
        <v/>
      </c>
      <c r="L87">
        <f>IF([1]SubGroups!$C$88="","",[1]SubGroups!$B$88)</f>
        <v/>
      </c>
      <c r="M87">
        <f>IF([1]SubGroups!$C$88="","",[1]SubGroups!$C$88)</f>
        <v/>
      </c>
      <c r="N87">
        <f>IF([1]SubGroups!$C$88="","",[1]SubGroups!$D$88)</f>
        <v/>
      </c>
      <c r="R87">
        <f>IF(AND($F87&lt;&gt;"",$I87&lt;&gt;""),IF(OR($G87="دارایی ثابت",$G87="وام و تسهیلات",$G87="سرمایه و آورده صاحبان"),0,1),0)</f>
        <v/>
      </c>
      <c r="S87">
        <f>SUM($R$6:$R87)</f>
        <v/>
      </c>
      <c r="T87">
        <f>IFERROR(INDEX($F$6:$F$565,MATCH(ROW()-5,$S$6:$S$565,0)),"")</f>
        <v/>
      </c>
      <c r="V87">
        <f>IF(AND($K87&lt;&gt;"",$M87&lt;&gt;""),$L87="هزینه",0)*1</f>
        <v/>
      </c>
      <c r="W87">
        <f>SUM($V$6:$V87)</f>
        <v/>
      </c>
      <c r="X87">
        <f>IFERROR(INDEX($M$6:$M$105,MATCH(ROW()-5,$W$6:$W$105,0)),"")</f>
        <v/>
      </c>
      <c r="Z87">
        <f>IF([2]Entry!$E$90="","",[2]Entry!$E$90)</f>
        <v/>
      </c>
      <c r="AA87">
        <f>IF([2]Entry!$G$90="","",[2]Entry!$G$90)</f>
        <v/>
      </c>
      <c r="AB87">
        <f>IF([2]Entry!$J$90="","",[2]Entry!$J$90)</f>
        <v/>
      </c>
      <c r="AC87">
        <f>IF([2]Entry!$K$90="","",[2]Entry!$K$90)</f>
        <v/>
      </c>
      <c r="AD87">
        <f>IF([2]Entry!$L$90="","",[2]Entry!$L$90)</f>
        <v/>
      </c>
      <c r="AE87">
        <f>IF([2]Entry!$M$90="","",[2]Entry!$M$90)</f>
        <v/>
      </c>
      <c r="AF87">
        <f>IF([2]Entry!$N$90="","",[2]Entry!$N$90)</f>
        <v/>
      </c>
      <c r="AG87">
        <f>IF([3]Issues!$B$90="","",[3]Issues!$B$90)</f>
        <v/>
      </c>
      <c r="AH87">
        <f>IF([3]Issues!$D$90="","",[3]Issues!$D$90)</f>
        <v/>
      </c>
      <c r="AI87">
        <f>IF([3]Issues!$E$90="","",[3]Issues!$E$90)</f>
        <v/>
      </c>
      <c r="AJ87">
        <f>IF([2]Entry!$S$90="","",[2]Entry!$S$90)</f>
        <v/>
      </c>
      <c r="AK87">
        <f>IF([2]Entry!$C$90="","",[2]Entry!$C$90)</f>
        <v/>
      </c>
      <c r="AL87">
        <f>IF([2]Entry!$D$90="","",[2]Entry!$D$90)</f>
        <v/>
      </c>
      <c r="AM87">
        <f>IF(AND($F87&lt;&gt;"",$I87&lt;&gt;""),IF($G87="دارایی ثابت",1,0),0)</f>
        <v/>
      </c>
      <c r="AN87">
        <f>SUM($AM$6:$AM87)</f>
        <v/>
      </c>
      <c r="AO87">
        <f>IFERROR(INDEX($F$6:$F$565,MATCH(ROW()-5,$AN$6:$AN$565,0)),"")</f>
        <v/>
      </c>
      <c r="AP87">
        <f>IF(AND($F87&lt;&gt;"",$I87&lt;&gt;""),IF($G87="وام و تسهیلات",1,0),0)</f>
        <v/>
      </c>
      <c r="AQ87">
        <f>SUM($AP$6:$AP87)</f>
        <v/>
      </c>
      <c r="AR87">
        <f>IFERROR(INDEX($F$6:$F$565,MATCH(ROW()-5,$AQ$6:$AQ$565,0)),"")</f>
        <v/>
      </c>
      <c r="AS87">
        <f>IF(AND($F87&lt;&gt;"",$I87&lt;&gt;""),IF($G87="سرمایه و آورده صاحبان",1,0),0)</f>
        <v/>
      </c>
      <c r="AT87">
        <f>SUM($AS$6:$AS87)</f>
        <v/>
      </c>
      <c r="AU87">
        <f>IFERROR(INDEX($F$6:$F$565,MATCH(ROW()-5,$AT$6:$AT$565,0)),"")</f>
        <v/>
      </c>
      <c r="AW87">
        <f>IF([3]Issues!$C$90="","",[3]Issues!$C$90)</f>
        <v/>
      </c>
      <c r="AX87">
        <f>IF([4]Entry!$E$90="","",[4]Entry!$E$90)</f>
        <v/>
      </c>
      <c r="AY87">
        <f>IF([4]Entry!$H$90="","",[4]Entry!$H$90)</f>
        <v/>
      </c>
      <c r="AZ87">
        <f>IF([4]Entry!$I$90="","",[4]Entry!$I$90)</f>
        <v/>
      </c>
    </row>
    <row r="88">
      <c r="F88">
        <f>IF([1]Accounts!$D$89="","",[1]Accounts!$A$89)</f>
        <v/>
      </c>
      <c r="G88">
        <f>IF([1]Accounts!$D$89="","",[1]Accounts!$B$89)</f>
        <v/>
      </c>
      <c r="H88">
        <f>IF([1]Accounts!$D$89="","",[1]Accounts!$C$89)</f>
        <v/>
      </c>
      <c r="I88">
        <f>IF([1]Accounts!$D$89="","",[1]Accounts!$D$89)</f>
        <v/>
      </c>
      <c r="K88">
        <f>IF([1]SubGroups!$C$89="","",[1]SubGroups!$A$89)</f>
        <v/>
      </c>
      <c r="L88">
        <f>IF([1]SubGroups!$C$89="","",[1]SubGroups!$B$89)</f>
        <v/>
      </c>
      <c r="M88">
        <f>IF([1]SubGroups!$C$89="","",[1]SubGroups!$C$89)</f>
        <v/>
      </c>
      <c r="N88">
        <f>IF([1]SubGroups!$C$89="","",[1]SubGroups!$D$89)</f>
        <v/>
      </c>
      <c r="R88">
        <f>IF(AND($F88&lt;&gt;"",$I88&lt;&gt;""),IF(OR($G88="دارایی ثابت",$G88="وام و تسهیلات",$G88="سرمایه و آورده صاحبان"),0,1),0)</f>
        <v/>
      </c>
      <c r="S88">
        <f>SUM($R$6:$R88)</f>
        <v/>
      </c>
      <c r="T88">
        <f>IFERROR(INDEX($F$6:$F$565,MATCH(ROW()-5,$S$6:$S$565,0)),"")</f>
        <v/>
      </c>
      <c r="V88">
        <f>IF(AND($K88&lt;&gt;"",$M88&lt;&gt;""),$L88="هزینه",0)*1</f>
        <v/>
      </c>
      <c r="W88">
        <f>SUM($V$6:$V88)</f>
        <v/>
      </c>
      <c r="X88">
        <f>IFERROR(INDEX($M$6:$M$105,MATCH(ROW()-5,$W$6:$W$105,0)),"")</f>
        <v/>
      </c>
      <c r="Z88">
        <f>IF([2]Entry!$E$91="","",[2]Entry!$E$91)</f>
        <v/>
      </c>
      <c r="AA88">
        <f>IF([2]Entry!$G$91="","",[2]Entry!$G$91)</f>
        <v/>
      </c>
      <c r="AB88">
        <f>IF([2]Entry!$J$91="","",[2]Entry!$J$91)</f>
        <v/>
      </c>
      <c r="AC88">
        <f>IF([2]Entry!$K$91="","",[2]Entry!$K$91)</f>
        <v/>
      </c>
      <c r="AD88">
        <f>IF([2]Entry!$L$91="","",[2]Entry!$L$91)</f>
        <v/>
      </c>
      <c r="AE88">
        <f>IF([2]Entry!$M$91="","",[2]Entry!$M$91)</f>
        <v/>
      </c>
      <c r="AF88">
        <f>IF([2]Entry!$N$91="","",[2]Entry!$N$91)</f>
        <v/>
      </c>
      <c r="AG88">
        <f>IF([3]Issues!$B$91="","",[3]Issues!$B$91)</f>
        <v/>
      </c>
      <c r="AH88">
        <f>IF([3]Issues!$D$91="","",[3]Issues!$D$91)</f>
        <v/>
      </c>
      <c r="AI88">
        <f>IF([3]Issues!$E$91="","",[3]Issues!$E$91)</f>
        <v/>
      </c>
      <c r="AJ88">
        <f>IF([2]Entry!$S$91="","",[2]Entry!$S$91)</f>
        <v/>
      </c>
      <c r="AK88">
        <f>IF([2]Entry!$C$91="","",[2]Entry!$C$91)</f>
        <v/>
      </c>
      <c r="AL88">
        <f>IF([2]Entry!$D$91="","",[2]Entry!$D$91)</f>
        <v/>
      </c>
      <c r="AM88">
        <f>IF(AND($F88&lt;&gt;"",$I88&lt;&gt;""),IF($G88="دارایی ثابت",1,0),0)</f>
        <v/>
      </c>
      <c r="AN88">
        <f>SUM($AM$6:$AM88)</f>
        <v/>
      </c>
      <c r="AO88">
        <f>IFERROR(INDEX($F$6:$F$565,MATCH(ROW()-5,$AN$6:$AN$565,0)),"")</f>
        <v/>
      </c>
      <c r="AP88">
        <f>IF(AND($F88&lt;&gt;"",$I88&lt;&gt;""),IF($G88="وام و تسهیلات",1,0),0)</f>
        <v/>
      </c>
      <c r="AQ88">
        <f>SUM($AP$6:$AP88)</f>
        <v/>
      </c>
      <c r="AR88">
        <f>IFERROR(INDEX($F$6:$F$565,MATCH(ROW()-5,$AQ$6:$AQ$565,0)),"")</f>
        <v/>
      </c>
      <c r="AS88">
        <f>IF(AND($F88&lt;&gt;"",$I88&lt;&gt;""),IF($G88="سرمایه و آورده صاحبان",1,0),0)</f>
        <v/>
      </c>
      <c r="AT88">
        <f>SUM($AS$6:$AS88)</f>
        <v/>
      </c>
      <c r="AU88">
        <f>IFERROR(INDEX($F$6:$F$565,MATCH(ROW()-5,$AT$6:$AT$565,0)),"")</f>
        <v/>
      </c>
      <c r="AW88">
        <f>IF([3]Issues!$C$91="","",[3]Issues!$C$91)</f>
        <v/>
      </c>
      <c r="AX88">
        <f>IF([4]Entry!$E$91="","",[4]Entry!$E$91)</f>
        <v/>
      </c>
      <c r="AY88">
        <f>IF([4]Entry!$H$91="","",[4]Entry!$H$91)</f>
        <v/>
      </c>
      <c r="AZ88">
        <f>IF([4]Entry!$I$91="","",[4]Entry!$I$91)</f>
        <v/>
      </c>
    </row>
    <row r="89">
      <c r="F89">
        <f>IF([1]Accounts!$D$90="","",[1]Accounts!$A$90)</f>
        <v/>
      </c>
      <c r="G89">
        <f>IF([1]Accounts!$D$90="","",[1]Accounts!$B$90)</f>
        <v/>
      </c>
      <c r="H89">
        <f>IF([1]Accounts!$D$90="","",[1]Accounts!$C$90)</f>
        <v/>
      </c>
      <c r="I89">
        <f>IF([1]Accounts!$D$90="","",[1]Accounts!$D$90)</f>
        <v/>
      </c>
      <c r="K89">
        <f>IF([1]SubGroups!$C$90="","",[1]SubGroups!$A$90)</f>
        <v/>
      </c>
      <c r="L89">
        <f>IF([1]SubGroups!$C$90="","",[1]SubGroups!$B$90)</f>
        <v/>
      </c>
      <c r="M89">
        <f>IF([1]SubGroups!$C$90="","",[1]SubGroups!$C$90)</f>
        <v/>
      </c>
      <c r="N89">
        <f>IF([1]SubGroups!$C$90="","",[1]SubGroups!$D$90)</f>
        <v/>
      </c>
      <c r="R89">
        <f>IF(AND($F89&lt;&gt;"",$I89&lt;&gt;""),IF(OR($G89="دارایی ثابت",$G89="وام و تسهیلات",$G89="سرمایه و آورده صاحبان"),0,1),0)</f>
        <v/>
      </c>
      <c r="S89">
        <f>SUM($R$6:$R89)</f>
        <v/>
      </c>
      <c r="T89">
        <f>IFERROR(INDEX($F$6:$F$565,MATCH(ROW()-5,$S$6:$S$565,0)),"")</f>
        <v/>
      </c>
      <c r="V89">
        <f>IF(AND($K89&lt;&gt;"",$M89&lt;&gt;""),$L89="هزینه",0)*1</f>
        <v/>
      </c>
      <c r="W89">
        <f>SUM($V$6:$V89)</f>
        <v/>
      </c>
      <c r="X89">
        <f>IFERROR(INDEX($M$6:$M$105,MATCH(ROW()-5,$W$6:$W$105,0)),"")</f>
        <v/>
      </c>
      <c r="Z89">
        <f>IF([2]Entry!$E$92="","",[2]Entry!$E$92)</f>
        <v/>
      </c>
      <c r="AA89">
        <f>IF([2]Entry!$G$92="","",[2]Entry!$G$92)</f>
        <v/>
      </c>
      <c r="AB89">
        <f>IF([2]Entry!$J$92="","",[2]Entry!$J$92)</f>
        <v/>
      </c>
      <c r="AC89">
        <f>IF([2]Entry!$K$92="","",[2]Entry!$K$92)</f>
        <v/>
      </c>
      <c r="AD89">
        <f>IF([2]Entry!$L$92="","",[2]Entry!$L$92)</f>
        <v/>
      </c>
      <c r="AE89">
        <f>IF([2]Entry!$M$92="","",[2]Entry!$M$92)</f>
        <v/>
      </c>
      <c r="AF89">
        <f>IF([2]Entry!$N$92="","",[2]Entry!$N$92)</f>
        <v/>
      </c>
      <c r="AG89">
        <f>IF([3]Issues!$B$92="","",[3]Issues!$B$92)</f>
        <v/>
      </c>
      <c r="AH89">
        <f>IF([3]Issues!$D$92="","",[3]Issues!$D$92)</f>
        <v/>
      </c>
      <c r="AI89">
        <f>IF([3]Issues!$E$92="","",[3]Issues!$E$92)</f>
        <v/>
      </c>
      <c r="AJ89">
        <f>IF([2]Entry!$S$92="","",[2]Entry!$S$92)</f>
        <v/>
      </c>
      <c r="AK89">
        <f>IF([2]Entry!$C$92="","",[2]Entry!$C$92)</f>
        <v/>
      </c>
      <c r="AL89">
        <f>IF([2]Entry!$D$92="","",[2]Entry!$D$92)</f>
        <v/>
      </c>
      <c r="AM89">
        <f>IF(AND($F89&lt;&gt;"",$I89&lt;&gt;""),IF($G89="دارایی ثابت",1,0),0)</f>
        <v/>
      </c>
      <c r="AN89">
        <f>SUM($AM$6:$AM89)</f>
        <v/>
      </c>
      <c r="AO89">
        <f>IFERROR(INDEX($F$6:$F$565,MATCH(ROW()-5,$AN$6:$AN$565,0)),"")</f>
        <v/>
      </c>
      <c r="AP89">
        <f>IF(AND($F89&lt;&gt;"",$I89&lt;&gt;""),IF($G89="وام و تسهیلات",1,0),0)</f>
        <v/>
      </c>
      <c r="AQ89">
        <f>SUM($AP$6:$AP89)</f>
        <v/>
      </c>
      <c r="AR89">
        <f>IFERROR(INDEX($F$6:$F$565,MATCH(ROW()-5,$AQ$6:$AQ$565,0)),"")</f>
        <v/>
      </c>
      <c r="AS89">
        <f>IF(AND($F89&lt;&gt;"",$I89&lt;&gt;""),IF($G89="سرمایه و آورده صاحبان",1,0),0)</f>
        <v/>
      </c>
      <c r="AT89">
        <f>SUM($AS$6:$AS89)</f>
        <v/>
      </c>
      <c r="AU89">
        <f>IFERROR(INDEX($F$6:$F$565,MATCH(ROW()-5,$AT$6:$AT$565,0)),"")</f>
        <v/>
      </c>
      <c r="AW89">
        <f>IF([3]Issues!$C$92="","",[3]Issues!$C$92)</f>
        <v/>
      </c>
      <c r="AX89">
        <f>IF([4]Entry!$E$92="","",[4]Entry!$E$92)</f>
        <v/>
      </c>
      <c r="AY89">
        <f>IF([4]Entry!$H$92="","",[4]Entry!$H$92)</f>
        <v/>
      </c>
      <c r="AZ89">
        <f>IF([4]Entry!$I$92="","",[4]Entry!$I$92)</f>
        <v/>
      </c>
    </row>
    <row r="90">
      <c r="F90">
        <f>IF([1]Accounts!$D$91="","",[1]Accounts!$A$91)</f>
        <v/>
      </c>
      <c r="G90">
        <f>IF([1]Accounts!$D$91="","",[1]Accounts!$B$91)</f>
        <v/>
      </c>
      <c r="H90">
        <f>IF([1]Accounts!$D$91="","",[1]Accounts!$C$91)</f>
        <v/>
      </c>
      <c r="I90">
        <f>IF([1]Accounts!$D$91="","",[1]Accounts!$D$91)</f>
        <v/>
      </c>
      <c r="K90">
        <f>IF([1]SubGroups!$C$91="","",[1]SubGroups!$A$91)</f>
        <v/>
      </c>
      <c r="L90">
        <f>IF([1]SubGroups!$C$91="","",[1]SubGroups!$B$91)</f>
        <v/>
      </c>
      <c r="M90">
        <f>IF([1]SubGroups!$C$91="","",[1]SubGroups!$C$91)</f>
        <v/>
      </c>
      <c r="N90">
        <f>IF([1]SubGroups!$C$91="","",[1]SubGroups!$D$91)</f>
        <v/>
      </c>
      <c r="R90">
        <f>IF(AND($F90&lt;&gt;"",$I90&lt;&gt;""),IF(OR($G90="دارایی ثابت",$G90="وام و تسهیلات",$G90="سرمایه و آورده صاحبان"),0,1),0)</f>
        <v/>
      </c>
      <c r="S90">
        <f>SUM($R$6:$R90)</f>
        <v/>
      </c>
      <c r="T90">
        <f>IFERROR(INDEX($F$6:$F$565,MATCH(ROW()-5,$S$6:$S$565,0)),"")</f>
        <v/>
      </c>
      <c r="V90">
        <f>IF(AND($K90&lt;&gt;"",$M90&lt;&gt;""),$L90="هزینه",0)*1</f>
        <v/>
      </c>
      <c r="W90">
        <f>SUM($V$6:$V90)</f>
        <v/>
      </c>
      <c r="X90">
        <f>IFERROR(INDEX($M$6:$M$105,MATCH(ROW()-5,$W$6:$W$105,0)),"")</f>
        <v/>
      </c>
      <c r="Z90">
        <f>IF([2]Entry!$E$93="","",[2]Entry!$E$93)</f>
        <v/>
      </c>
      <c r="AA90">
        <f>IF([2]Entry!$G$93="","",[2]Entry!$G$93)</f>
        <v/>
      </c>
      <c r="AB90">
        <f>IF([2]Entry!$J$93="","",[2]Entry!$J$93)</f>
        <v/>
      </c>
      <c r="AC90">
        <f>IF([2]Entry!$K$93="","",[2]Entry!$K$93)</f>
        <v/>
      </c>
      <c r="AD90">
        <f>IF([2]Entry!$L$93="","",[2]Entry!$L$93)</f>
        <v/>
      </c>
      <c r="AE90">
        <f>IF([2]Entry!$M$93="","",[2]Entry!$M$93)</f>
        <v/>
      </c>
      <c r="AF90">
        <f>IF([2]Entry!$N$93="","",[2]Entry!$N$93)</f>
        <v/>
      </c>
      <c r="AG90">
        <f>IF([3]Issues!$B$93="","",[3]Issues!$B$93)</f>
        <v/>
      </c>
      <c r="AH90">
        <f>IF([3]Issues!$D$93="","",[3]Issues!$D$93)</f>
        <v/>
      </c>
      <c r="AI90">
        <f>IF([3]Issues!$E$93="","",[3]Issues!$E$93)</f>
        <v/>
      </c>
      <c r="AJ90">
        <f>IF([2]Entry!$S$93="","",[2]Entry!$S$93)</f>
        <v/>
      </c>
      <c r="AK90">
        <f>IF([2]Entry!$C$93="","",[2]Entry!$C$93)</f>
        <v/>
      </c>
      <c r="AL90">
        <f>IF([2]Entry!$D$93="","",[2]Entry!$D$93)</f>
        <v/>
      </c>
      <c r="AM90">
        <f>IF(AND($F90&lt;&gt;"",$I90&lt;&gt;""),IF($G90="دارایی ثابت",1,0),0)</f>
        <v/>
      </c>
      <c r="AN90">
        <f>SUM($AM$6:$AM90)</f>
        <v/>
      </c>
      <c r="AO90">
        <f>IFERROR(INDEX($F$6:$F$565,MATCH(ROW()-5,$AN$6:$AN$565,0)),"")</f>
        <v/>
      </c>
      <c r="AP90">
        <f>IF(AND($F90&lt;&gt;"",$I90&lt;&gt;""),IF($G90="وام و تسهیلات",1,0),0)</f>
        <v/>
      </c>
      <c r="AQ90">
        <f>SUM($AP$6:$AP90)</f>
        <v/>
      </c>
      <c r="AR90">
        <f>IFERROR(INDEX($F$6:$F$565,MATCH(ROW()-5,$AQ$6:$AQ$565,0)),"")</f>
        <v/>
      </c>
      <c r="AS90">
        <f>IF(AND($F90&lt;&gt;"",$I90&lt;&gt;""),IF($G90="سرمایه و آورده صاحبان",1,0),0)</f>
        <v/>
      </c>
      <c r="AT90">
        <f>SUM($AS$6:$AS90)</f>
        <v/>
      </c>
      <c r="AU90">
        <f>IFERROR(INDEX($F$6:$F$565,MATCH(ROW()-5,$AT$6:$AT$565,0)),"")</f>
        <v/>
      </c>
      <c r="AW90">
        <f>IF([3]Issues!$C$93="","",[3]Issues!$C$93)</f>
        <v/>
      </c>
      <c r="AX90">
        <f>IF([4]Entry!$E$93="","",[4]Entry!$E$93)</f>
        <v/>
      </c>
      <c r="AY90">
        <f>IF([4]Entry!$H$93="","",[4]Entry!$H$93)</f>
        <v/>
      </c>
      <c r="AZ90">
        <f>IF([4]Entry!$I$93="","",[4]Entry!$I$93)</f>
        <v/>
      </c>
    </row>
    <row r="91">
      <c r="F91">
        <f>IF([1]Accounts!$D$92="","",[1]Accounts!$A$92)</f>
        <v/>
      </c>
      <c r="G91">
        <f>IF([1]Accounts!$D$92="","",[1]Accounts!$B$92)</f>
        <v/>
      </c>
      <c r="H91">
        <f>IF([1]Accounts!$D$92="","",[1]Accounts!$C$92)</f>
        <v/>
      </c>
      <c r="I91">
        <f>IF([1]Accounts!$D$92="","",[1]Accounts!$D$92)</f>
        <v/>
      </c>
      <c r="K91">
        <f>IF([1]SubGroups!$C$92="","",[1]SubGroups!$A$92)</f>
        <v/>
      </c>
      <c r="L91">
        <f>IF([1]SubGroups!$C$92="","",[1]SubGroups!$B$92)</f>
        <v/>
      </c>
      <c r="M91">
        <f>IF([1]SubGroups!$C$92="","",[1]SubGroups!$C$92)</f>
        <v/>
      </c>
      <c r="N91">
        <f>IF([1]SubGroups!$C$92="","",[1]SubGroups!$D$92)</f>
        <v/>
      </c>
      <c r="R91">
        <f>IF(AND($F91&lt;&gt;"",$I91&lt;&gt;""),IF(OR($G91="دارایی ثابت",$G91="وام و تسهیلات",$G91="سرمایه و آورده صاحبان"),0,1),0)</f>
        <v/>
      </c>
      <c r="S91">
        <f>SUM($R$6:$R91)</f>
        <v/>
      </c>
      <c r="T91">
        <f>IFERROR(INDEX($F$6:$F$565,MATCH(ROW()-5,$S$6:$S$565,0)),"")</f>
        <v/>
      </c>
      <c r="V91">
        <f>IF(AND($K91&lt;&gt;"",$M91&lt;&gt;""),$L91="هزینه",0)*1</f>
        <v/>
      </c>
      <c r="W91">
        <f>SUM($V$6:$V91)</f>
        <v/>
      </c>
      <c r="X91">
        <f>IFERROR(INDEX($M$6:$M$105,MATCH(ROW()-5,$W$6:$W$105,0)),"")</f>
        <v/>
      </c>
      <c r="Z91">
        <f>IF([2]Entry!$E$94="","",[2]Entry!$E$94)</f>
        <v/>
      </c>
      <c r="AA91">
        <f>IF([2]Entry!$G$94="","",[2]Entry!$G$94)</f>
        <v/>
      </c>
      <c r="AB91">
        <f>IF([2]Entry!$J$94="","",[2]Entry!$J$94)</f>
        <v/>
      </c>
      <c r="AC91">
        <f>IF([2]Entry!$K$94="","",[2]Entry!$K$94)</f>
        <v/>
      </c>
      <c r="AD91">
        <f>IF([2]Entry!$L$94="","",[2]Entry!$L$94)</f>
        <v/>
      </c>
      <c r="AE91">
        <f>IF([2]Entry!$M$94="","",[2]Entry!$M$94)</f>
        <v/>
      </c>
      <c r="AF91">
        <f>IF([2]Entry!$N$94="","",[2]Entry!$N$94)</f>
        <v/>
      </c>
      <c r="AG91">
        <f>IF([3]Issues!$B$94="","",[3]Issues!$B$94)</f>
        <v/>
      </c>
      <c r="AH91">
        <f>IF([3]Issues!$D$94="","",[3]Issues!$D$94)</f>
        <v/>
      </c>
      <c r="AI91">
        <f>IF([3]Issues!$E$94="","",[3]Issues!$E$94)</f>
        <v/>
      </c>
      <c r="AJ91">
        <f>IF([2]Entry!$S$94="","",[2]Entry!$S$94)</f>
        <v/>
      </c>
      <c r="AK91">
        <f>IF([2]Entry!$C$94="","",[2]Entry!$C$94)</f>
        <v/>
      </c>
      <c r="AL91">
        <f>IF([2]Entry!$D$94="","",[2]Entry!$D$94)</f>
        <v/>
      </c>
      <c r="AM91">
        <f>IF(AND($F91&lt;&gt;"",$I91&lt;&gt;""),IF($G91="دارایی ثابت",1,0),0)</f>
        <v/>
      </c>
      <c r="AN91">
        <f>SUM($AM$6:$AM91)</f>
        <v/>
      </c>
      <c r="AO91">
        <f>IFERROR(INDEX($F$6:$F$565,MATCH(ROW()-5,$AN$6:$AN$565,0)),"")</f>
        <v/>
      </c>
      <c r="AP91">
        <f>IF(AND($F91&lt;&gt;"",$I91&lt;&gt;""),IF($G91="وام و تسهیلات",1,0),0)</f>
        <v/>
      </c>
      <c r="AQ91">
        <f>SUM($AP$6:$AP91)</f>
        <v/>
      </c>
      <c r="AR91">
        <f>IFERROR(INDEX($F$6:$F$565,MATCH(ROW()-5,$AQ$6:$AQ$565,0)),"")</f>
        <v/>
      </c>
      <c r="AS91">
        <f>IF(AND($F91&lt;&gt;"",$I91&lt;&gt;""),IF($G91="سرمایه و آورده صاحبان",1,0),0)</f>
        <v/>
      </c>
      <c r="AT91">
        <f>SUM($AS$6:$AS91)</f>
        <v/>
      </c>
      <c r="AU91">
        <f>IFERROR(INDEX($F$6:$F$565,MATCH(ROW()-5,$AT$6:$AT$565,0)),"")</f>
        <v/>
      </c>
      <c r="AW91">
        <f>IF([3]Issues!$C$94="","",[3]Issues!$C$94)</f>
        <v/>
      </c>
      <c r="AX91">
        <f>IF([4]Entry!$E$94="","",[4]Entry!$E$94)</f>
        <v/>
      </c>
      <c r="AY91">
        <f>IF([4]Entry!$H$94="","",[4]Entry!$H$94)</f>
        <v/>
      </c>
      <c r="AZ91">
        <f>IF([4]Entry!$I$94="","",[4]Entry!$I$94)</f>
        <v/>
      </c>
    </row>
    <row r="92">
      <c r="F92">
        <f>IF([1]Accounts!$D$93="","",[1]Accounts!$A$93)</f>
        <v/>
      </c>
      <c r="G92">
        <f>IF([1]Accounts!$D$93="","",[1]Accounts!$B$93)</f>
        <v/>
      </c>
      <c r="H92">
        <f>IF([1]Accounts!$D$93="","",[1]Accounts!$C$93)</f>
        <v/>
      </c>
      <c r="I92">
        <f>IF([1]Accounts!$D$93="","",[1]Accounts!$D$93)</f>
        <v/>
      </c>
      <c r="K92">
        <f>IF([1]SubGroups!$C$93="","",[1]SubGroups!$A$93)</f>
        <v/>
      </c>
      <c r="L92">
        <f>IF([1]SubGroups!$C$93="","",[1]SubGroups!$B$93)</f>
        <v/>
      </c>
      <c r="M92">
        <f>IF([1]SubGroups!$C$93="","",[1]SubGroups!$C$93)</f>
        <v/>
      </c>
      <c r="N92">
        <f>IF([1]SubGroups!$C$93="","",[1]SubGroups!$D$93)</f>
        <v/>
      </c>
      <c r="R92">
        <f>IF(AND($F92&lt;&gt;"",$I92&lt;&gt;""),IF(OR($G92="دارایی ثابت",$G92="وام و تسهیلات",$G92="سرمایه و آورده صاحبان"),0,1),0)</f>
        <v/>
      </c>
      <c r="S92">
        <f>SUM($R$6:$R92)</f>
        <v/>
      </c>
      <c r="T92">
        <f>IFERROR(INDEX($F$6:$F$565,MATCH(ROW()-5,$S$6:$S$565,0)),"")</f>
        <v/>
      </c>
      <c r="V92">
        <f>IF(AND($K92&lt;&gt;"",$M92&lt;&gt;""),$L92="هزینه",0)*1</f>
        <v/>
      </c>
      <c r="W92">
        <f>SUM($V$6:$V92)</f>
        <v/>
      </c>
      <c r="X92">
        <f>IFERROR(INDEX($M$6:$M$105,MATCH(ROW()-5,$W$6:$W$105,0)),"")</f>
        <v/>
      </c>
      <c r="Z92">
        <f>IF([2]Entry!$E$95="","",[2]Entry!$E$95)</f>
        <v/>
      </c>
      <c r="AA92">
        <f>IF([2]Entry!$G$95="","",[2]Entry!$G$95)</f>
        <v/>
      </c>
      <c r="AB92">
        <f>IF([2]Entry!$J$95="","",[2]Entry!$J$95)</f>
        <v/>
      </c>
      <c r="AC92">
        <f>IF([2]Entry!$K$95="","",[2]Entry!$K$95)</f>
        <v/>
      </c>
      <c r="AD92">
        <f>IF([2]Entry!$L$95="","",[2]Entry!$L$95)</f>
        <v/>
      </c>
      <c r="AE92">
        <f>IF([2]Entry!$M$95="","",[2]Entry!$M$95)</f>
        <v/>
      </c>
      <c r="AF92">
        <f>IF([2]Entry!$N$95="","",[2]Entry!$N$95)</f>
        <v/>
      </c>
      <c r="AG92">
        <f>IF([3]Issues!$B$95="","",[3]Issues!$B$95)</f>
        <v/>
      </c>
      <c r="AH92">
        <f>IF([3]Issues!$D$95="","",[3]Issues!$D$95)</f>
        <v/>
      </c>
      <c r="AI92">
        <f>IF([3]Issues!$E$95="","",[3]Issues!$E$95)</f>
        <v/>
      </c>
      <c r="AJ92">
        <f>IF([2]Entry!$S$95="","",[2]Entry!$S$95)</f>
        <v/>
      </c>
      <c r="AK92">
        <f>IF([2]Entry!$C$95="","",[2]Entry!$C$95)</f>
        <v/>
      </c>
      <c r="AL92">
        <f>IF([2]Entry!$D$95="","",[2]Entry!$D$95)</f>
        <v/>
      </c>
      <c r="AM92">
        <f>IF(AND($F92&lt;&gt;"",$I92&lt;&gt;""),IF($G92="دارایی ثابت",1,0),0)</f>
        <v/>
      </c>
      <c r="AN92">
        <f>SUM($AM$6:$AM92)</f>
        <v/>
      </c>
      <c r="AO92">
        <f>IFERROR(INDEX($F$6:$F$565,MATCH(ROW()-5,$AN$6:$AN$565,0)),"")</f>
        <v/>
      </c>
      <c r="AP92">
        <f>IF(AND($F92&lt;&gt;"",$I92&lt;&gt;""),IF($G92="وام و تسهیلات",1,0),0)</f>
        <v/>
      </c>
      <c r="AQ92">
        <f>SUM($AP$6:$AP92)</f>
        <v/>
      </c>
      <c r="AR92">
        <f>IFERROR(INDEX($F$6:$F$565,MATCH(ROW()-5,$AQ$6:$AQ$565,0)),"")</f>
        <v/>
      </c>
      <c r="AS92">
        <f>IF(AND($F92&lt;&gt;"",$I92&lt;&gt;""),IF($G92="سرمایه و آورده صاحبان",1,0),0)</f>
        <v/>
      </c>
      <c r="AT92">
        <f>SUM($AS$6:$AS92)</f>
        <v/>
      </c>
      <c r="AU92">
        <f>IFERROR(INDEX($F$6:$F$565,MATCH(ROW()-5,$AT$6:$AT$565,0)),"")</f>
        <v/>
      </c>
      <c r="AW92">
        <f>IF([3]Issues!$C$95="","",[3]Issues!$C$95)</f>
        <v/>
      </c>
      <c r="AX92">
        <f>IF([4]Entry!$E$95="","",[4]Entry!$E$95)</f>
        <v/>
      </c>
      <c r="AY92">
        <f>IF([4]Entry!$H$95="","",[4]Entry!$H$95)</f>
        <v/>
      </c>
      <c r="AZ92">
        <f>IF([4]Entry!$I$95="","",[4]Entry!$I$95)</f>
        <v/>
      </c>
    </row>
    <row r="93">
      <c r="F93">
        <f>IF([1]Accounts!$D$94="","",[1]Accounts!$A$94)</f>
        <v/>
      </c>
      <c r="G93">
        <f>IF([1]Accounts!$D$94="","",[1]Accounts!$B$94)</f>
        <v/>
      </c>
      <c r="H93">
        <f>IF([1]Accounts!$D$94="","",[1]Accounts!$C$94)</f>
        <v/>
      </c>
      <c r="I93">
        <f>IF([1]Accounts!$D$94="","",[1]Accounts!$D$94)</f>
        <v/>
      </c>
      <c r="K93">
        <f>IF([1]SubGroups!$C$94="","",[1]SubGroups!$A$94)</f>
        <v/>
      </c>
      <c r="L93">
        <f>IF([1]SubGroups!$C$94="","",[1]SubGroups!$B$94)</f>
        <v/>
      </c>
      <c r="M93">
        <f>IF([1]SubGroups!$C$94="","",[1]SubGroups!$C$94)</f>
        <v/>
      </c>
      <c r="N93">
        <f>IF([1]SubGroups!$C$94="","",[1]SubGroups!$D$94)</f>
        <v/>
      </c>
      <c r="R93">
        <f>IF(AND($F93&lt;&gt;"",$I93&lt;&gt;""),IF(OR($G93="دارایی ثابت",$G93="وام و تسهیلات",$G93="سرمایه و آورده صاحبان"),0,1),0)</f>
        <v/>
      </c>
      <c r="S93">
        <f>SUM($R$6:$R93)</f>
        <v/>
      </c>
      <c r="T93">
        <f>IFERROR(INDEX($F$6:$F$565,MATCH(ROW()-5,$S$6:$S$565,0)),"")</f>
        <v/>
      </c>
      <c r="V93">
        <f>IF(AND($K93&lt;&gt;"",$M93&lt;&gt;""),$L93="هزینه",0)*1</f>
        <v/>
      </c>
      <c r="W93">
        <f>SUM($V$6:$V93)</f>
        <v/>
      </c>
      <c r="X93">
        <f>IFERROR(INDEX($M$6:$M$105,MATCH(ROW()-5,$W$6:$W$105,0)),"")</f>
        <v/>
      </c>
      <c r="Z93">
        <f>IF([2]Entry!$E$96="","",[2]Entry!$E$96)</f>
        <v/>
      </c>
      <c r="AA93">
        <f>IF([2]Entry!$G$96="","",[2]Entry!$G$96)</f>
        <v/>
      </c>
      <c r="AB93">
        <f>IF([2]Entry!$J$96="","",[2]Entry!$J$96)</f>
        <v/>
      </c>
      <c r="AC93">
        <f>IF([2]Entry!$K$96="","",[2]Entry!$K$96)</f>
        <v/>
      </c>
      <c r="AD93">
        <f>IF([2]Entry!$L$96="","",[2]Entry!$L$96)</f>
        <v/>
      </c>
      <c r="AE93">
        <f>IF([2]Entry!$M$96="","",[2]Entry!$M$96)</f>
        <v/>
      </c>
      <c r="AF93">
        <f>IF([2]Entry!$N$96="","",[2]Entry!$N$96)</f>
        <v/>
      </c>
      <c r="AG93">
        <f>IF([3]Issues!$B$96="","",[3]Issues!$B$96)</f>
        <v/>
      </c>
      <c r="AH93">
        <f>IF([3]Issues!$D$96="","",[3]Issues!$D$96)</f>
        <v/>
      </c>
      <c r="AI93">
        <f>IF([3]Issues!$E$96="","",[3]Issues!$E$96)</f>
        <v/>
      </c>
      <c r="AJ93">
        <f>IF([2]Entry!$S$96="","",[2]Entry!$S$96)</f>
        <v/>
      </c>
      <c r="AK93">
        <f>IF([2]Entry!$C$96="","",[2]Entry!$C$96)</f>
        <v/>
      </c>
      <c r="AL93">
        <f>IF([2]Entry!$D$96="","",[2]Entry!$D$96)</f>
        <v/>
      </c>
      <c r="AM93">
        <f>IF(AND($F93&lt;&gt;"",$I93&lt;&gt;""),IF($G93="دارایی ثابت",1,0),0)</f>
        <v/>
      </c>
      <c r="AN93">
        <f>SUM($AM$6:$AM93)</f>
        <v/>
      </c>
      <c r="AO93">
        <f>IFERROR(INDEX($F$6:$F$565,MATCH(ROW()-5,$AN$6:$AN$565,0)),"")</f>
        <v/>
      </c>
      <c r="AP93">
        <f>IF(AND($F93&lt;&gt;"",$I93&lt;&gt;""),IF($G93="وام و تسهیلات",1,0),0)</f>
        <v/>
      </c>
      <c r="AQ93">
        <f>SUM($AP$6:$AP93)</f>
        <v/>
      </c>
      <c r="AR93">
        <f>IFERROR(INDEX($F$6:$F$565,MATCH(ROW()-5,$AQ$6:$AQ$565,0)),"")</f>
        <v/>
      </c>
      <c r="AS93">
        <f>IF(AND($F93&lt;&gt;"",$I93&lt;&gt;""),IF($G93="سرمایه و آورده صاحبان",1,0),0)</f>
        <v/>
      </c>
      <c r="AT93">
        <f>SUM($AS$6:$AS93)</f>
        <v/>
      </c>
      <c r="AU93">
        <f>IFERROR(INDEX($F$6:$F$565,MATCH(ROW()-5,$AT$6:$AT$565,0)),"")</f>
        <v/>
      </c>
      <c r="AW93">
        <f>IF([3]Issues!$C$96="","",[3]Issues!$C$96)</f>
        <v/>
      </c>
      <c r="AX93">
        <f>IF([4]Entry!$E$96="","",[4]Entry!$E$96)</f>
        <v/>
      </c>
      <c r="AY93">
        <f>IF([4]Entry!$H$96="","",[4]Entry!$H$96)</f>
        <v/>
      </c>
      <c r="AZ93">
        <f>IF([4]Entry!$I$96="","",[4]Entry!$I$96)</f>
        <v/>
      </c>
    </row>
    <row r="94">
      <c r="F94">
        <f>IF([1]Accounts!$D$95="","",[1]Accounts!$A$95)</f>
        <v/>
      </c>
      <c r="G94">
        <f>IF([1]Accounts!$D$95="","",[1]Accounts!$B$95)</f>
        <v/>
      </c>
      <c r="H94">
        <f>IF([1]Accounts!$D$95="","",[1]Accounts!$C$95)</f>
        <v/>
      </c>
      <c r="I94">
        <f>IF([1]Accounts!$D$95="","",[1]Accounts!$D$95)</f>
        <v/>
      </c>
      <c r="K94">
        <f>IF([1]SubGroups!$C$95="","",[1]SubGroups!$A$95)</f>
        <v/>
      </c>
      <c r="L94">
        <f>IF([1]SubGroups!$C$95="","",[1]SubGroups!$B$95)</f>
        <v/>
      </c>
      <c r="M94">
        <f>IF([1]SubGroups!$C$95="","",[1]SubGroups!$C$95)</f>
        <v/>
      </c>
      <c r="N94">
        <f>IF([1]SubGroups!$C$95="","",[1]SubGroups!$D$95)</f>
        <v/>
      </c>
      <c r="R94">
        <f>IF(AND($F94&lt;&gt;"",$I94&lt;&gt;""),IF(OR($G94="دارایی ثابت",$G94="وام و تسهیلات",$G94="سرمایه و آورده صاحبان"),0,1),0)</f>
        <v/>
      </c>
      <c r="S94">
        <f>SUM($R$6:$R94)</f>
        <v/>
      </c>
      <c r="T94">
        <f>IFERROR(INDEX($F$6:$F$565,MATCH(ROW()-5,$S$6:$S$565,0)),"")</f>
        <v/>
      </c>
      <c r="V94">
        <f>IF(AND($K94&lt;&gt;"",$M94&lt;&gt;""),$L94="هزینه",0)*1</f>
        <v/>
      </c>
      <c r="W94">
        <f>SUM($V$6:$V94)</f>
        <v/>
      </c>
      <c r="X94">
        <f>IFERROR(INDEX($M$6:$M$105,MATCH(ROW()-5,$W$6:$W$105,0)),"")</f>
        <v/>
      </c>
      <c r="Z94">
        <f>IF([2]Entry!$E$97="","",[2]Entry!$E$97)</f>
        <v/>
      </c>
      <c r="AA94">
        <f>IF([2]Entry!$G$97="","",[2]Entry!$G$97)</f>
        <v/>
      </c>
      <c r="AB94">
        <f>IF([2]Entry!$J$97="","",[2]Entry!$J$97)</f>
        <v/>
      </c>
      <c r="AC94">
        <f>IF([2]Entry!$K$97="","",[2]Entry!$K$97)</f>
        <v/>
      </c>
      <c r="AD94">
        <f>IF([2]Entry!$L$97="","",[2]Entry!$L$97)</f>
        <v/>
      </c>
      <c r="AE94">
        <f>IF([2]Entry!$M$97="","",[2]Entry!$M$97)</f>
        <v/>
      </c>
      <c r="AF94">
        <f>IF([2]Entry!$N$97="","",[2]Entry!$N$97)</f>
        <v/>
      </c>
      <c r="AG94">
        <f>IF([3]Issues!$B$97="","",[3]Issues!$B$97)</f>
        <v/>
      </c>
      <c r="AH94">
        <f>IF([3]Issues!$D$97="","",[3]Issues!$D$97)</f>
        <v/>
      </c>
      <c r="AI94">
        <f>IF([3]Issues!$E$97="","",[3]Issues!$E$97)</f>
        <v/>
      </c>
      <c r="AJ94">
        <f>IF([2]Entry!$S$97="","",[2]Entry!$S$97)</f>
        <v/>
      </c>
      <c r="AK94">
        <f>IF([2]Entry!$C$97="","",[2]Entry!$C$97)</f>
        <v/>
      </c>
      <c r="AL94">
        <f>IF([2]Entry!$D$97="","",[2]Entry!$D$97)</f>
        <v/>
      </c>
      <c r="AM94">
        <f>IF(AND($F94&lt;&gt;"",$I94&lt;&gt;""),IF($G94="دارایی ثابت",1,0),0)</f>
        <v/>
      </c>
      <c r="AN94">
        <f>SUM($AM$6:$AM94)</f>
        <v/>
      </c>
      <c r="AO94">
        <f>IFERROR(INDEX($F$6:$F$565,MATCH(ROW()-5,$AN$6:$AN$565,0)),"")</f>
        <v/>
      </c>
      <c r="AP94">
        <f>IF(AND($F94&lt;&gt;"",$I94&lt;&gt;""),IF($G94="وام و تسهیلات",1,0),0)</f>
        <v/>
      </c>
      <c r="AQ94">
        <f>SUM($AP$6:$AP94)</f>
        <v/>
      </c>
      <c r="AR94">
        <f>IFERROR(INDEX($F$6:$F$565,MATCH(ROW()-5,$AQ$6:$AQ$565,0)),"")</f>
        <v/>
      </c>
      <c r="AS94">
        <f>IF(AND($F94&lt;&gt;"",$I94&lt;&gt;""),IF($G94="سرمایه و آورده صاحبان",1,0),0)</f>
        <v/>
      </c>
      <c r="AT94">
        <f>SUM($AS$6:$AS94)</f>
        <v/>
      </c>
      <c r="AU94">
        <f>IFERROR(INDEX($F$6:$F$565,MATCH(ROW()-5,$AT$6:$AT$565,0)),"")</f>
        <v/>
      </c>
      <c r="AW94">
        <f>IF([3]Issues!$C$97="","",[3]Issues!$C$97)</f>
        <v/>
      </c>
      <c r="AX94">
        <f>IF([4]Entry!$E$97="","",[4]Entry!$E$97)</f>
        <v/>
      </c>
      <c r="AY94">
        <f>IF([4]Entry!$H$97="","",[4]Entry!$H$97)</f>
        <v/>
      </c>
      <c r="AZ94">
        <f>IF([4]Entry!$I$97="","",[4]Entry!$I$97)</f>
        <v/>
      </c>
    </row>
    <row r="95">
      <c r="F95">
        <f>IF([1]Accounts!$D$96="","",[1]Accounts!$A$96)</f>
        <v/>
      </c>
      <c r="G95">
        <f>IF([1]Accounts!$D$96="","",[1]Accounts!$B$96)</f>
        <v/>
      </c>
      <c r="H95">
        <f>IF([1]Accounts!$D$96="","",[1]Accounts!$C$96)</f>
        <v/>
      </c>
      <c r="I95">
        <f>IF([1]Accounts!$D$96="","",[1]Accounts!$D$96)</f>
        <v/>
      </c>
      <c r="K95">
        <f>IF([1]SubGroups!$C$96="","",[1]SubGroups!$A$96)</f>
        <v/>
      </c>
      <c r="L95">
        <f>IF([1]SubGroups!$C$96="","",[1]SubGroups!$B$96)</f>
        <v/>
      </c>
      <c r="M95">
        <f>IF([1]SubGroups!$C$96="","",[1]SubGroups!$C$96)</f>
        <v/>
      </c>
      <c r="N95">
        <f>IF([1]SubGroups!$C$96="","",[1]SubGroups!$D$96)</f>
        <v/>
      </c>
      <c r="R95">
        <f>IF(AND($F95&lt;&gt;"",$I95&lt;&gt;""),IF(OR($G95="دارایی ثابت",$G95="وام و تسهیلات",$G95="سرمایه و آورده صاحبان"),0,1),0)</f>
        <v/>
      </c>
      <c r="S95">
        <f>SUM($R$6:$R95)</f>
        <v/>
      </c>
      <c r="T95">
        <f>IFERROR(INDEX($F$6:$F$565,MATCH(ROW()-5,$S$6:$S$565,0)),"")</f>
        <v/>
      </c>
      <c r="V95">
        <f>IF(AND($K95&lt;&gt;"",$M95&lt;&gt;""),$L95="هزینه",0)*1</f>
        <v/>
      </c>
      <c r="W95">
        <f>SUM($V$6:$V95)</f>
        <v/>
      </c>
      <c r="X95">
        <f>IFERROR(INDEX($M$6:$M$105,MATCH(ROW()-5,$W$6:$W$105,0)),"")</f>
        <v/>
      </c>
      <c r="Z95">
        <f>IF([2]Entry!$E$98="","",[2]Entry!$E$98)</f>
        <v/>
      </c>
      <c r="AA95">
        <f>IF([2]Entry!$G$98="","",[2]Entry!$G$98)</f>
        <v/>
      </c>
      <c r="AB95">
        <f>IF([2]Entry!$J$98="","",[2]Entry!$J$98)</f>
        <v/>
      </c>
      <c r="AC95">
        <f>IF([2]Entry!$K$98="","",[2]Entry!$K$98)</f>
        <v/>
      </c>
      <c r="AD95">
        <f>IF([2]Entry!$L$98="","",[2]Entry!$L$98)</f>
        <v/>
      </c>
      <c r="AE95">
        <f>IF([2]Entry!$M$98="","",[2]Entry!$M$98)</f>
        <v/>
      </c>
      <c r="AF95">
        <f>IF([2]Entry!$N$98="","",[2]Entry!$N$98)</f>
        <v/>
      </c>
      <c r="AG95">
        <f>IF([3]Issues!$B$98="","",[3]Issues!$B$98)</f>
        <v/>
      </c>
      <c r="AH95">
        <f>IF([3]Issues!$D$98="","",[3]Issues!$D$98)</f>
        <v/>
      </c>
      <c r="AI95">
        <f>IF([3]Issues!$E$98="","",[3]Issues!$E$98)</f>
        <v/>
      </c>
      <c r="AJ95">
        <f>IF([2]Entry!$S$98="","",[2]Entry!$S$98)</f>
        <v/>
      </c>
      <c r="AK95">
        <f>IF([2]Entry!$C$98="","",[2]Entry!$C$98)</f>
        <v/>
      </c>
      <c r="AL95">
        <f>IF([2]Entry!$D$98="","",[2]Entry!$D$98)</f>
        <v/>
      </c>
      <c r="AM95">
        <f>IF(AND($F95&lt;&gt;"",$I95&lt;&gt;""),IF($G95="دارایی ثابت",1,0),0)</f>
        <v/>
      </c>
      <c r="AN95">
        <f>SUM($AM$6:$AM95)</f>
        <v/>
      </c>
      <c r="AO95">
        <f>IFERROR(INDEX($F$6:$F$565,MATCH(ROW()-5,$AN$6:$AN$565,0)),"")</f>
        <v/>
      </c>
      <c r="AP95">
        <f>IF(AND($F95&lt;&gt;"",$I95&lt;&gt;""),IF($G95="وام و تسهیلات",1,0),0)</f>
        <v/>
      </c>
      <c r="AQ95">
        <f>SUM($AP$6:$AP95)</f>
        <v/>
      </c>
      <c r="AR95">
        <f>IFERROR(INDEX($F$6:$F$565,MATCH(ROW()-5,$AQ$6:$AQ$565,0)),"")</f>
        <v/>
      </c>
      <c r="AS95">
        <f>IF(AND($F95&lt;&gt;"",$I95&lt;&gt;""),IF($G95="سرمایه و آورده صاحبان",1,0),0)</f>
        <v/>
      </c>
      <c r="AT95">
        <f>SUM($AS$6:$AS95)</f>
        <v/>
      </c>
      <c r="AU95">
        <f>IFERROR(INDEX($F$6:$F$565,MATCH(ROW()-5,$AT$6:$AT$565,0)),"")</f>
        <v/>
      </c>
      <c r="AW95">
        <f>IF([3]Issues!$C$98="","",[3]Issues!$C$98)</f>
        <v/>
      </c>
      <c r="AX95">
        <f>IF([4]Entry!$E$98="","",[4]Entry!$E$98)</f>
        <v/>
      </c>
      <c r="AY95">
        <f>IF([4]Entry!$H$98="","",[4]Entry!$H$98)</f>
        <v/>
      </c>
      <c r="AZ95">
        <f>IF([4]Entry!$I$98="","",[4]Entry!$I$98)</f>
        <v/>
      </c>
    </row>
    <row r="96">
      <c r="F96">
        <f>IF([1]Accounts!$D$97="","",[1]Accounts!$A$97)</f>
        <v/>
      </c>
      <c r="G96">
        <f>IF([1]Accounts!$D$97="","",[1]Accounts!$B$97)</f>
        <v/>
      </c>
      <c r="H96">
        <f>IF([1]Accounts!$D$97="","",[1]Accounts!$C$97)</f>
        <v/>
      </c>
      <c r="I96">
        <f>IF([1]Accounts!$D$97="","",[1]Accounts!$D$97)</f>
        <v/>
      </c>
      <c r="K96">
        <f>IF([1]SubGroups!$C$97="","",[1]SubGroups!$A$97)</f>
        <v/>
      </c>
      <c r="L96">
        <f>IF([1]SubGroups!$C$97="","",[1]SubGroups!$B$97)</f>
        <v/>
      </c>
      <c r="M96">
        <f>IF([1]SubGroups!$C$97="","",[1]SubGroups!$C$97)</f>
        <v/>
      </c>
      <c r="N96">
        <f>IF([1]SubGroups!$C$97="","",[1]SubGroups!$D$97)</f>
        <v/>
      </c>
      <c r="R96">
        <f>IF(AND($F96&lt;&gt;"",$I96&lt;&gt;""),IF(OR($G96="دارایی ثابت",$G96="وام و تسهیلات",$G96="سرمایه و آورده صاحبان"),0,1),0)</f>
        <v/>
      </c>
      <c r="S96">
        <f>SUM($R$6:$R96)</f>
        <v/>
      </c>
      <c r="T96">
        <f>IFERROR(INDEX($F$6:$F$565,MATCH(ROW()-5,$S$6:$S$565,0)),"")</f>
        <v/>
      </c>
      <c r="V96">
        <f>IF(AND($K96&lt;&gt;"",$M96&lt;&gt;""),$L96="هزینه",0)*1</f>
        <v/>
      </c>
      <c r="W96">
        <f>SUM($V$6:$V96)</f>
        <v/>
      </c>
      <c r="X96">
        <f>IFERROR(INDEX($M$6:$M$105,MATCH(ROW()-5,$W$6:$W$105,0)),"")</f>
        <v/>
      </c>
      <c r="Z96">
        <f>IF([2]Entry!$E$99="","",[2]Entry!$E$99)</f>
        <v/>
      </c>
      <c r="AA96">
        <f>IF([2]Entry!$G$99="","",[2]Entry!$G$99)</f>
        <v/>
      </c>
      <c r="AB96">
        <f>IF([2]Entry!$J$99="","",[2]Entry!$J$99)</f>
        <v/>
      </c>
      <c r="AC96">
        <f>IF([2]Entry!$K$99="","",[2]Entry!$K$99)</f>
        <v/>
      </c>
      <c r="AD96">
        <f>IF([2]Entry!$L$99="","",[2]Entry!$L$99)</f>
        <v/>
      </c>
      <c r="AE96">
        <f>IF([2]Entry!$M$99="","",[2]Entry!$M$99)</f>
        <v/>
      </c>
      <c r="AF96">
        <f>IF([2]Entry!$N$99="","",[2]Entry!$N$99)</f>
        <v/>
      </c>
      <c r="AG96">
        <f>IF([3]Issues!$B$99="","",[3]Issues!$B$99)</f>
        <v/>
      </c>
      <c r="AH96">
        <f>IF([3]Issues!$D$99="","",[3]Issues!$D$99)</f>
        <v/>
      </c>
      <c r="AI96">
        <f>IF([3]Issues!$E$99="","",[3]Issues!$E$99)</f>
        <v/>
      </c>
      <c r="AJ96">
        <f>IF([2]Entry!$S$99="","",[2]Entry!$S$99)</f>
        <v/>
      </c>
      <c r="AK96">
        <f>IF([2]Entry!$C$99="","",[2]Entry!$C$99)</f>
        <v/>
      </c>
      <c r="AL96">
        <f>IF([2]Entry!$D$99="","",[2]Entry!$D$99)</f>
        <v/>
      </c>
      <c r="AM96">
        <f>IF(AND($F96&lt;&gt;"",$I96&lt;&gt;""),IF($G96="دارایی ثابت",1,0),0)</f>
        <v/>
      </c>
      <c r="AN96">
        <f>SUM($AM$6:$AM96)</f>
        <v/>
      </c>
      <c r="AO96">
        <f>IFERROR(INDEX($F$6:$F$565,MATCH(ROW()-5,$AN$6:$AN$565,0)),"")</f>
        <v/>
      </c>
      <c r="AP96">
        <f>IF(AND($F96&lt;&gt;"",$I96&lt;&gt;""),IF($G96="وام و تسهیلات",1,0),0)</f>
        <v/>
      </c>
      <c r="AQ96">
        <f>SUM($AP$6:$AP96)</f>
        <v/>
      </c>
      <c r="AR96">
        <f>IFERROR(INDEX($F$6:$F$565,MATCH(ROW()-5,$AQ$6:$AQ$565,0)),"")</f>
        <v/>
      </c>
      <c r="AS96">
        <f>IF(AND($F96&lt;&gt;"",$I96&lt;&gt;""),IF($G96="سرمایه و آورده صاحبان",1,0),0)</f>
        <v/>
      </c>
      <c r="AT96">
        <f>SUM($AS$6:$AS96)</f>
        <v/>
      </c>
      <c r="AU96">
        <f>IFERROR(INDEX($F$6:$F$565,MATCH(ROW()-5,$AT$6:$AT$565,0)),"")</f>
        <v/>
      </c>
      <c r="AW96">
        <f>IF([3]Issues!$C$99="","",[3]Issues!$C$99)</f>
        <v/>
      </c>
      <c r="AX96">
        <f>IF([4]Entry!$E$99="","",[4]Entry!$E$99)</f>
        <v/>
      </c>
      <c r="AY96">
        <f>IF([4]Entry!$H$99="","",[4]Entry!$H$99)</f>
        <v/>
      </c>
      <c r="AZ96">
        <f>IF([4]Entry!$I$99="","",[4]Entry!$I$99)</f>
        <v/>
      </c>
    </row>
    <row r="97">
      <c r="F97">
        <f>IF([1]Accounts!$D$98="","",[1]Accounts!$A$98)</f>
        <v/>
      </c>
      <c r="G97">
        <f>IF([1]Accounts!$D$98="","",[1]Accounts!$B$98)</f>
        <v/>
      </c>
      <c r="H97">
        <f>IF([1]Accounts!$D$98="","",[1]Accounts!$C$98)</f>
        <v/>
      </c>
      <c r="I97">
        <f>IF([1]Accounts!$D$98="","",[1]Accounts!$D$98)</f>
        <v/>
      </c>
      <c r="K97">
        <f>IF([1]SubGroups!$C$98="","",[1]SubGroups!$A$98)</f>
        <v/>
      </c>
      <c r="L97">
        <f>IF([1]SubGroups!$C$98="","",[1]SubGroups!$B$98)</f>
        <v/>
      </c>
      <c r="M97">
        <f>IF([1]SubGroups!$C$98="","",[1]SubGroups!$C$98)</f>
        <v/>
      </c>
      <c r="N97">
        <f>IF([1]SubGroups!$C$98="","",[1]SubGroups!$D$98)</f>
        <v/>
      </c>
      <c r="R97">
        <f>IF(AND($F97&lt;&gt;"",$I97&lt;&gt;""),IF(OR($G97="دارایی ثابت",$G97="وام و تسهیلات",$G97="سرمایه و آورده صاحبان"),0,1),0)</f>
        <v/>
      </c>
      <c r="S97">
        <f>SUM($R$6:$R97)</f>
        <v/>
      </c>
      <c r="T97">
        <f>IFERROR(INDEX($F$6:$F$565,MATCH(ROW()-5,$S$6:$S$565,0)),"")</f>
        <v/>
      </c>
      <c r="V97">
        <f>IF(AND($K97&lt;&gt;"",$M97&lt;&gt;""),$L97="هزینه",0)*1</f>
        <v/>
      </c>
      <c r="W97">
        <f>SUM($V$6:$V97)</f>
        <v/>
      </c>
      <c r="X97">
        <f>IFERROR(INDEX($M$6:$M$105,MATCH(ROW()-5,$W$6:$W$105,0)),"")</f>
        <v/>
      </c>
      <c r="Z97">
        <f>IF([2]Entry!$E$100="","",[2]Entry!$E$100)</f>
        <v/>
      </c>
      <c r="AA97">
        <f>IF([2]Entry!$G$100="","",[2]Entry!$G$100)</f>
        <v/>
      </c>
      <c r="AB97">
        <f>IF([2]Entry!$J$100="","",[2]Entry!$J$100)</f>
        <v/>
      </c>
      <c r="AC97">
        <f>IF([2]Entry!$K$100="","",[2]Entry!$K$100)</f>
        <v/>
      </c>
      <c r="AD97">
        <f>IF([2]Entry!$L$100="","",[2]Entry!$L$100)</f>
        <v/>
      </c>
      <c r="AE97">
        <f>IF([2]Entry!$M$100="","",[2]Entry!$M$100)</f>
        <v/>
      </c>
      <c r="AF97">
        <f>IF([2]Entry!$N$100="","",[2]Entry!$N$100)</f>
        <v/>
      </c>
      <c r="AG97">
        <f>IF([3]Issues!$B$100="","",[3]Issues!$B$100)</f>
        <v/>
      </c>
      <c r="AH97">
        <f>IF([3]Issues!$D$100="","",[3]Issues!$D$100)</f>
        <v/>
      </c>
      <c r="AI97">
        <f>IF([3]Issues!$E$100="","",[3]Issues!$E$100)</f>
        <v/>
      </c>
      <c r="AJ97">
        <f>IF([2]Entry!$S$100="","",[2]Entry!$S$100)</f>
        <v/>
      </c>
      <c r="AK97">
        <f>IF([2]Entry!$C$100="","",[2]Entry!$C$100)</f>
        <v/>
      </c>
      <c r="AL97">
        <f>IF([2]Entry!$D$100="","",[2]Entry!$D$100)</f>
        <v/>
      </c>
      <c r="AM97">
        <f>IF(AND($F97&lt;&gt;"",$I97&lt;&gt;""),IF($G97="دارایی ثابت",1,0),0)</f>
        <v/>
      </c>
      <c r="AN97">
        <f>SUM($AM$6:$AM97)</f>
        <v/>
      </c>
      <c r="AO97">
        <f>IFERROR(INDEX($F$6:$F$565,MATCH(ROW()-5,$AN$6:$AN$565,0)),"")</f>
        <v/>
      </c>
      <c r="AP97">
        <f>IF(AND($F97&lt;&gt;"",$I97&lt;&gt;""),IF($G97="وام و تسهیلات",1,0),0)</f>
        <v/>
      </c>
      <c r="AQ97">
        <f>SUM($AP$6:$AP97)</f>
        <v/>
      </c>
      <c r="AR97">
        <f>IFERROR(INDEX($F$6:$F$565,MATCH(ROW()-5,$AQ$6:$AQ$565,0)),"")</f>
        <v/>
      </c>
      <c r="AS97">
        <f>IF(AND($F97&lt;&gt;"",$I97&lt;&gt;""),IF($G97="سرمایه و آورده صاحبان",1,0),0)</f>
        <v/>
      </c>
      <c r="AT97">
        <f>SUM($AS$6:$AS97)</f>
        <v/>
      </c>
      <c r="AU97">
        <f>IFERROR(INDEX($F$6:$F$565,MATCH(ROW()-5,$AT$6:$AT$565,0)),"")</f>
        <v/>
      </c>
      <c r="AW97">
        <f>IF([3]Issues!$C$100="","",[3]Issues!$C$100)</f>
        <v/>
      </c>
      <c r="AX97">
        <f>IF([4]Entry!$E$100="","",[4]Entry!$E$100)</f>
        <v/>
      </c>
      <c r="AY97">
        <f>IF([4]Entry!$H$100="","",[4]Entry!$H$100)</f>
        <v/>
      </c>
      <c r="AZ97">
        <f>IF([4]Entry!$I$100="","",[4]Entry!$I$100)</f>
        <v/>
      </c>
    </row>
    <row r="98">
      <c r="F98">
        <f>IF([1]Accounts!$D$99="","",[1]Accounts!$A$99)</f>
        <v/>
      </c>
      <c r="G98">
        <f>IF([1]Accounts!$D$99="","",[1]Accounts!$B$99)</f>
        <v/>
      </c>
      <c r="H98">
        <f>IF([1]Accounts!$D$99="","",[1]Accounts!$C$99)</f>
        <v/>
      </c>
      <c r="I98">
        <f>IF([1]Accounts!$D$99="","",[1]Accounts!$D$99)</f>
        <v/>
      </c>
      <c r="K98">
        <f>IF([1]SubGroups!$C$99="","",[1]SubGroups!$A$99)</f>
        <v/>
      </c>
      <c r="L98">
        <f>IF([1]SubGroups!$C$99="","",[1]SubGroups!$B$99)</f>
        <v/>
      </c>
      <c r="M98">
        <f>IF([1]SubGroups!$C$99="","",[1]SubGroups!$C$99)</f>
        <v/>
      </c>
      <c r="N98">
        <f>IF([1]SubGroups!$C$99="","",[1]SubGroups!$D$99)</f>
        <v/>
      </c>
      <c r="R98">
        <f>IF(AND($F98&lt;&gt;"",$I98&lt;&gt;""),IF(OR($G98="دارایی ثابت",$G98="وام و تسهیلات",$G98="سرمایه و آورده صاحبان"),0,1),0)</f>
        <v/>
      </c>
      <c r="S98">
        <f>SUM($R$6:$R98)</f>
        <v/>
      </c>
      <c r="T98">
        <f>IFERROR(INDEX($F$6:$F$565,MATCH(ROW()-5,$S$6:$S$565,0)),"")</f>
        <v/>
      </c>
      <c r="V98">
        <f>IF(AND($K98&lt;&gt;"",$M98&lt;&gt;""),$L98="هزینه",0)*1</f>
        <v/>
      </c>
      <c r="W98">
        <f>SUM($V$6:$V98)</f>
        <v/>
      </c>
      <c r="X98">
        <f>IFERROR(INDEX($M$6:$M$105,MATCH(ROW()-5,$W$6:$W$105,0)),"")</f>
        <v/>
      </c>
      <c r="Z98">
        <f>IF([2]Entry!$E$101="","",[2]Entry!$E$101)</f>
        <v/>
      </c>
      <c r="AA98">
        <f>IF([2]Entry!$G$101="","",[2]Entry!$G$101)</f>
        <v/>
      </c>
      <c r="AB98">
        <f>IF([2]Entry!$J$101="","",[2]Entry!$J$101)</f>
        <v/>
      </c>
      <c r="AC98">
        <f>IF([2]Entry!$K$101="","",[2]Entry!$K$101)</f>
        <v/>
      </c>
      <c r="AD98">
        <f>IF([2]Entry!$L$101="","",[2]Entry!$L$101)</f>
        <v/>
      </c>
      <c r="AE98">
        <f>IF([2]Entry!$M$101="","",[2]Entry!$M$101)</f>
        <v/>
      </c>
      <c r="AF98">
        <f>IF([2]Entry!$N$101="","",[2]Entry!$N$101)</f>
        <v/>
      </c>
      <c r="AG98">
        <f>IF([3]Issues!$B$101="","",[3]Issues!$B$101)</f>
        <v/>
      </c>
      <c r="AH98">
        <f>IF([3]Issues!$D$101="","",[3]Issues!$D$101)</f>
        <v/>
      </c>
      <c r="AI98">
        <f>IF([3]Issues!$E$101="","",[3]Issues!$E$101)</f>
        <v/>
      </c>
      <c r="AJ98">
        <f>IF([2]Entry!$S$101="","",[2]Entry!$S$101)</f>
        <v/>
      </c>
      <c r="AK98">
        <f>IF([2]Entry!$C$101="","",[2]Entry!$C$101)</f>
        <v/>
      </c>
      <c r="AL98">
        <f>IF([2]Entry!$D$101="","",[2]Entry!$D$101)</f>
        <v/>
      </c>
      <c r="AM98">
        <f>IF(AND($F98&lt;&gt;"",$I98&lt;&gt;""),IF($G98="دارایی ثابت",1,0),0)</f>
        <v/>
      </c>
      <c r="AN98">
        <f>SUM($AM$6:$AM98)</f>
        <v/>
      </c>
      <c r="AO98">
        <f>IFERROR(INDEX($F$6:$F$565,MATCH(ROW()-5,$AN$6:$AN$565,0)),"")</f>
        <v/>
      </c>
      <c r="AP98">
        <f>IF(AND($F98&lt;&gt;"",$I98&lt;&gt;""),IF($G98="وام و تسهیلات",1,0),0)</f>
        <v/>
      </c>
      <c r="AQ98">
        <f>SUM($AP$6:$AP98)</f>
        <v/>
      </c>
      <c r="AR98">
        <f>IFERROR(INDEX($F$6:$F$565,MATCH(ROW()-5,$AQ$6:$AQ$565,0)),"")</f>
        <v/>
      </c>
      <c r="AS98">
        <f>IF(AND($F98&lt;&gt;"",$I98&lt;&gt;""),IF($G98="سرمایه و آورده صاحبان",1,0),0)</f>
        <v/>
      </c>
      <c r="AT98">
        <f>SUM($AS$6:$AS98)</f>
        <v/>
      </c>
      <c r="AU98">
        <f>IFERROR(INDEX($F$6:$F$565,MATCH(ROW()-5,$AT$6:$AT$565,0)),"")</f>
        <v/>
      </c>
      <c r="AW98">
        <f>IF([3]Issues!$C$101="","",[3]Issues!$C$101)</f>
        <v/>
      </c>
      <c r="AX98">
        <f>IF([4]Entry!$E$101="","",[4]Entry!$E$101)</f>
        <v/>
      </c>
      <c r="AY98">
        <f>IF([4]Entry!$H$101="","",[4]Entry!$H$101)</f>
        <v/>
      </c>
      <c r="AZ98">
        <f>IF([4]Entry!$I$101="","",[4]Entry!$I$101)</f>
        <v/>
      </c>
    </row>
    <row r="99">
      <c r="F99">
        <f>IF([1]Accounts!$D$100="","",[1]Accounts!$A$100)</f>
        <v/>
      </c>
      <c r="G99">
        <f>IF([1]Accounts!$D$100="","",[1]Accounts!$B$100)</f>
        <v/>
      </c>
      <c r="H99">
        <f>IF([1]Accounts!$D$100="","",[1]Accounts!$C$100)</f>
        <v/>
      </c>
      <c r="I99">
        <f>IF([1]Accounts!$D$100="","",[1]Accounts!$D$100)</f>
        <v/>
      </c>
      <c r="K99">
        <f>IF([1]SubGroups!$C$100="","",[1]SubGroups!$A$100)</f>
        <v/>
      </c>
      <c r="L99">
        <f>IF([1]SubGroups!$C$100="","",[1]SubGroups!$B$100)</f>
        <v/>
      </c>
      <c r="M99">
        <f>IF([1]SubGroups!$C$100="","",[1]SubGroups!$C$100)</f>
        <v/>
      </c>
      <c r="N99">
        <f>IF([1]SubGroups!$C$100="","",[1]SubGroups!$D$100)</f>
        <v/>
      </c>
      <c r="R99">
        <f>IF(AND($F99&lt;&gt;"",$I99&lt;&gt;""),IF(OR($G99="دارایی ثابت",$G99="وام و تسهیلات",$G99="سرمایه و آورده صاحبان"),0,1),0)</f>
        <v/>
      </c>
      <c r="S99">
        <f>SUM($R$6:$R99)</f>
        <v/>
      </c>
      <c r="T99">
        <f>IFERROR(INDEX($F$6:$F$565,MATCH(ROW()-5,$S$6:$S$565,0)),"")</f>
        <v/>
      </c>
      <c r="V99">
        <f>IF(AND($K99&lt;&gt;"",$M99&lt;&gt;""),$L99="هزینه",0)*1</f>
        <v/>
      </c>
      <c r="W99">
        <f>SUM($V$6:$V99)</f>
        <v/>
      </c>
      <c r="X99">
        <f>IFERROR(INDEX($M$6:$M$105,MATCH(ROW()-5,$W$6:$W$105,0)),"")</f>
        <v/>
      </c>
      <c r="Z99">
        <f>IF([2]Entry!$E$102="","",[2]Entry!$E$102)</f>
        <v/>
      </c>
      <c r="AA99">
        <f>IF([2]Entry!$G$102="","",[2]Entry!$G$102)</f>
        <v/>
      </c>
      <c r="AB99">
        <f>IF([2]Entry!$J$102="","",[2]Entry!$J$102)</f>
        <v/>
      </c>
      <c r="AC99">
        <f>IF([2]Entry!$K$102="","",[2]Entry!$K$102)</f>
        <v/>
      </c>
      <c r="AD99">
        <f>IF([2]Entry!$L$102="","",[2]Entry!$L$102)</f>
        <v/>
      </c>
      <c r="AE99">
        <f>IF([2]Entry!$M$102="","",[2]Entry!$M$102)</f>
        <v/>
      </c>
      <c r="AF99">
        <f>IF([2]Entry!$N$102="","",[2]Entry!$N$102)</f>
        <v/>
      </c>
      <c r="AG99">
        <f>IF([3]Issues!$B$102="","",[3]Issues!$B$102)</f>
        <v/>
      </c>
      <c r="AH99">
        <f>IF([3]Issues!$D$102="","",[3]Issues!$D$102)</f>
        <v/>
      </c>
      <c r="AI99">
        <f>IF([3]Issues!$E$102="","",[3]Issues!$E$102)</f>
        <v/>
      </c>
      <c r="AJ99">
        <f>IF([2]Entry!$S$102="","",[2]Entry!$S$102)</f>
        <v/>
      </c>
      <c r="AK99">
        <f>IF([2]Entry!$C$102="","",[2]Entry!$C$102)</f>
        <v/>
      </c>
      <c r="AL99">
        <f>IF([2]Entry!$D$102="","",[2]Entry!$D$102)</f>
        <v/>
      </c>
      <c r="AM99">
        <f>IF(AND($F99&lt;&gt;"",$I99&lt;&gt;""),IF($G99="دارایی ثابت",1,0),0)</f>
        <v/>
      </c>
      <c r="AN99">
        <f>SUM($AM$6:$AM99)</f>
        <v/>
      </c>
      <c r="AO99">
        <f>IFERROR(INDEX($F$6:$F$565,MATCH(ROW()-5,$AN$6:$AN$565,0)),"")</f>
        <v/>
      </c>
      <c r="AP99">
        <f>IF(AND($F99&lt;&gt;"",$I99&lt;&gt;""),IF($G99="وام و تسهیلات",1,0),0)</f>
        <v/>
      </c>
      <c r="AQ99">
        <f>SUM($AP$6:$AP99)</f>
        <v/>
      </c>
      <c r="AR99">
        <f>IFERROR(INDEX($F$6:$F$565,MATCH(ROW()-5,$AQ$6:$AQ$565,0)),"")</f>
        <v/>
      </c>
      <c r="AS99">
        <f>IF(AND($F99&lt;&gt;"",$I99&lt;&gt;""),IF($G99="سرمایه و آورده صاحبان",1,0),0)</f>
        <v/>
      </c>
      <c r="AT99">
        <f>SUM($AS$6:$AS99)</f>
        <v/>
      </c>
      <c r="AU99">
        <f>IFERROR(INDEX($F$6:$F$565,MATCH(ROW()-5,$AT$6:$AT$565,0)),"")</f>
        <v/>
      </c>
      <c r="AW99">
        <f>IF([3]Issues!$C$102="","",[3]Issues!$C$102)</f>
        <v/>
      </c>
      <c r="AX99">
        <f>IF([4]Entry!$E$102="","",[4]Entry!$E$102)</f>
        <v/>
      </c>
      <c r="AY99">
        <f>IF([4]Entry!$H$102="","",[4]Entry!$H$102)</f>
        <v/>
      </c>
      <c r="AZ99">
        <f>IF([4]Entry!$I$102="","",[4]Entry!$I$102)</f>
        <v/>
      </c>
    </row>
    <row r="100">
      <c r="F100">
        <f>IF([1]Accounts!$D$101="","",[1]Accounts!$A$101)</f>
        <v/>
      </c>
      <c r="G100">
        <f>IF([1]Accounts!$D$101="","",[1]Accounts!$B$101)</f>
        <v/>
      </c>
      <c r="H100">
        <f>IF([1]Accounts!$D$101="","",[1]Accounts!$C$101)</f>
        <v/>
      </c>
      <c r="I100">
        <f>IF([1]Accounts!$D$101="","",[1]Accounts!$D$101)</f>
        <v/>
      </c>
      <c r="K100">
        <f>IF([1]SubGroups!$C$101="","",[1]SubGroups!$A$101)</f>
        <v/>
      </c>
      <c r="L100">
        <f>IF([1]SubGroups!$C$101="","",[1]SubGroups!$B$101)</f>
        <v/>
      </c>
      <c r="M100">
        <f>IF([1]SubGroups!$C$101="","",[1]SubGroups!$C$101)</f>
        <v/>
      </c>
      <c r="N100">
        <f>IF([1]SubGroups!$C$101="","",[1]SubGroups!$D$101)</f>
        <v/>
      </c>
      <c r="R100">
        <f>IF(AND($F100&lt;&gt;"",$I100&lt;&gt;""),IF(OR($G100="دارایی ثابت",$G100="وام و تسهیلات",$G100="سرمایه و آورده صاحبان"),0,1),0)</f>
        <v/>
      </c>
      <c r="S100">
        <f>SUM($R$6:$R100)</f>
        <v/>
      </c>
      <c r="T100">
        <f>IFERROR(INDEX($F$6:$F$565,MATCH(ROW()-5,$S$6:$S$565,0)),"")</f>
        <v/>
      </c>
      <c r="V100">
        <f>IF(AND($K100&lt;&gt;"",$M100&lt;&gt;""),$L100="هزینه",0)*1</f>
        <v/>
      </c>
      <c r="W100">
        <f>SUM($V$6:$V100)</f>
        <v/>
      </c>
      <c r="X100">
        <f>IFERROR(INDEX($M$6:$M$105,MATCH(ROW()-5,$W$6:$W$105,0)),"")</f>
        <v/>
      </c>
      <c r="Z100">
        <f>IF([2]Entry!$E$103="","",[2]Entry!$E$103)</f>
        <v/>
      </c>
      <c r="AA100">
        <f>IF([2]Entry!$G$103="","",[2]Entry!$G$103)</f>
        <v/>
      </c>
      <c r="AB100">
        <f>IF([2]Entry!$J$103="","",[2]Entry!$J$103)</f>
        <v/>
      </c>
      <c r="AC100">
        <f>IF([2]Entry!$K$103="","",[2]Entry!$K$103)</f>
        <v/>
      </c>
      <c r="AD100">
        <f>IF([2]Entry!$L$103="","",[2]Entry!$L$103)</f>
        <v/>
      </c>
      <c r="AE100">
        <f>IF([2]Entry!$M$103="","",[2]Entry!$M$103)</f>
        <v/>
      </c>
      <c r="AF100">
        <f>IF([2]Entry!$N$103="","",[2]Entry!$N$103)</f>
        <v/>
      </c>
      <c r="AG100">
        <f>IF([3]Issues!$B$103="","",[3]Issues!$B$103)</f>
        <v/>
      </c>
      <c r="AH100">
        <f>IF([3]Issues!$D$103="","",[3]Issues!$D$103)</f>
        <v/>
      </c>
      <c r="AI100">
        <f>IF([3]Issues!$E$103="","",[3]Issues!$E$103)</f>
        <v/>
      </c>
      <c r="AJ100">
        <f>IF([2]Entry!$S$103="","",[2]Entry!$S$103)</f>
        <v/>
      </c>
      <c r="AK100">
        <f>IF([2]Entry!$C$103="","",[2]Entry!$C$103)</f>
        <v/>
      </c>
      <c r="AL100">
        <f>IF([2]Entry!$D$103="","",[2]Entry!$D$103)</f>
        <v/>
      </c>
      <c r="AM100">
        <f>IF(AND($F100&lt;&gt;"",$I100&lt;&gt;""),IF($G100="دارایی ثابت",1,0),0)</f>
        <v/>
      </c>
      <c r="AN100">
        <f>SUM($AM$6:$AM100)</f>
        <v/>
      </c>
      <c r="AO100">
        <f>IFERROR(INDEX($F$6:$F$565,MATCH(ROW()-5,$AN$6:$AN$565,0)),"")</f>
        <v/>
      </c>
      <c r="AP100">
        <f>IF(AND($F100&lt;&gt;"",$I100&lt;&gt;""),IF($G100="وام و تسهیلات",1,0),0)</f>
        <v/>
      </c>
      <c r="AQ100">
        <f>SUM($AP$6:$AP100)</f>
        <v/>
      </c>
      <c r="AR100">
        <f>IFERROR(INDEX($F$6:$F$565,MATCH(ROW()-5,$AQ$6:$AQ$565,0)),"")</f>
        <v/>
      </c>
      <c r="AS100">
        <f>IF(AND($F100&lt;&gt;"",$I100&lt;&gt;""),IF($G100="سرمایه و آورده صاحبان",1,0),0)</f>
        <v/>
      </c>
      <c r="AT100">
        <f>SUM($AS$6:$AS100)</f>
        <v/>
      </c>
      <c r="AU100">
        <f>IFERROR(INDEX($F$6:$F$565,MATCH(ROW()-5,$AT$6:$AT$565,0)),"")</f>
        <v/>
      </c>
      <c r="AW100">
        <f>IF([3]Issues!$C$103="","",[3]Issues!$C$103)</f>
        <v/>
      </c>
      <c r="AX100">
        <f>IF([4]Entry!$E$103="","",[4]Entry!$E$103)</f>
        <v/>
      </c>
      <c r="AY100">
        <f>IF([4]Entry!$H$103="","",[4]Entry!$H$103)</f>
        <v/>
      </c>
      <c r="AZ100">
        <f>IF([4]Entry!$I$103="","",[4]Entry!$I$103)</f>
        <v/>
      </c>
    </row>
    <row r="101">
      <c r="F101">
        <f>IF([1]Accounts!$D$102="","",[1]Accounts!$A$102)</f>
        <v/>
      </c>
      <c r="G101">
        <f>IF([1]Accounts!$D$102="","",[1]Accounts!$B$102)</f>
        <v/>
      </c>
      <c r="H101">
        <f>IF([1]Accounts!$D$102="","",[1]Accounts!$C$102)</f>
        <v/>
      </c>
      <c r="I101">
        <f>IF([1]Accounts!$D$102="","",[1]Accounts!$D$102)</f>
        <v/>
      </c>
      <c r="K101">
        <f>IF([1]SubGroups!$C$102="","",[1]SubGroups!$A$102)</f>
        <v/>
      </c>
      <c r="L101">
        <f>IF([1]SubGroups!$C$102="","",[1]SubGroups!$B$102)</f>
        <v/>
      </c>
      <c r="M101">
        <f>IF([1]SubGroups!$C$102="","",[1]SubGroups!$C$102)</f>
        <v/>
      </c>
      <c r="N101">
        <f>IF([1]SubGroups!$C$102="","",[1]SubGroups!$D$102)</f>
        <v/>
      </c>
      <c r="R101">
        <f>IF(AND($F101&lt;&gt;"",$I101&lt;&gt;""),IF(OR($G101="دارایی ثابت",$G101="وام و تسهیلات",$G101="سرمایه و آورده صاحبان"),0,1),0)</f>
        <v/>
      </c>
      <c r="S101">
        <f>SUM($R$6:$R101)</f>
        <v/>
      </c>
      <c r="T101">
        <f>IFERROR(INDEX($F$6:$F$565,MATCH(ROW()-5,$S$6:$S$565,0)),"")</f>
        <v/>
      </c>
      <c r="V101">
        <f>IF(AND($K101&lt;&gt;"",$M101&lt;&gt;""),$L101="هزینه",0)*1</f>
        <v/>
      </c>
      <c r="W101">
        <f>SUM($V$6:$V101)</f>
        <v/>
      </c>
      <c r="X101">
        <f>IFERROR(INDEX($M$6:$M$105,MATCH(ROW()-5,$W$6:$W$105,0)),"")</f>
        <v/>
      </c>
      <c r="Z101">
        <f>IF([2]Entry!$E$104="","",[2]Entry!$E$104)</f>
        <v/>
      </c>
      <c r="AA101">
        <f>IF([2]Entry!$G$104="","",[2]Entry!$G$104)</f>
        <v/>
      </c>
      <c r="AB101">
        <f>IF([2]Entry!$J$104="","",[2]Entry!$J$104)</f>
        <v/>
      </c>
      <c r="AC101">
        <f>IF([2]Entry!$K$104="","",[2]Entry!$K$104)</f>
        <v/>
      </c>
      <c r="AD101">
        <f>IF([2]Entry!$L$104="","",[2]Entry!$L$104)</f>
        <v/>
      </c>
      <c r="AE101">
        <f>IF([2]Entry!$M$104="","",[2]Entry!$M$104)</f>
        <v/>
      </c>
      <c r="AF101">
        <f>IF([2]Entry!$N$104="","",[2]Entry!$N$104)</f>
        <v/>
      </c>
      <c r="AG101">
        <f>IF([3]Issues!$B$104="","",[3]Issues!$B$104)</f>
        <v/>
      </c>
      <c r="AH101">
        <f>IF([3]Issues!$D$104="","",[3]Issues!$D$104)</f>
        <v/>
      </c>
      <c r="AI101">
        <f>IF([3]Issues!$E$104="","",[3]Issues!$E$104)</f>
        <v/>
      </c>
      <c r="AJ101">
        <f>IF([2]Entry!$S$104="","",[2]Entry!$S$104)</f>
        <v/>
      </c>
      <c r="AK101">
        <f>IF([2]Entry!$C$104="","",[2]Entry!$C$104)</f>
        <v/>
      </c>
      <c r="AL101">
        <f>IF([2]Entry!$D$104="","",[2]Entry!$D$104)</f>
        <v/>
      </c>
      <c r="AM101">
        <f>IF(AND($F101&lt;&gt;"",$I101&lt;&gt;""),IF($G101="دارایی ثابت",1,0),0)</f>
        <v/>
      </c>
      <c r="AN101">
        <f>SUM($AM$6:$AM101)</f>
        <v/>
      </c>
      <c r="AO101">
        <f>IFERROR(INDEX($F$6:$F$565,MATCH(ROW()-5,$AN$6:$AN$565,0)),"")</f>
        <v/>
      </c>
      <c r="AP101">
        <f>IF(AND($F101&lt;&gt;"",$I101&lt;&gt;""),IF($G101="وام و تسهیلات",1,0),0)</f>
        <v/>
      </c>
      <c r="AQ101">
        <f>SUM($AP$6:$AP101)</f>
        <v/>
      </c>
      <c r="AR101">
        <f>IFERROR(INDEX($F$6:$F$565,MATCH(ROW()-5,$AQ$6:$AQ$565,0)),"")</f>
        <v/>
      </c>
      <c r="AS101">
        <f>IF(AND($F101&lt;&gt;"",$I101&lt;&gt;""),IF($G101="سرمایه و آورده صاحبان",1,0),0)</f>
        <v/>
      </c>
      <c r="AT101">
        <f>SUM($AS$6:$AS101)</f>
        <v/>
      </c>
      <c r="AU101">
        <f>IFERROR(INDEX($F$6:$F$565,MATCH(ROW()-5,$AT$6:$AT$565,0)),"")</f>
        <v/>
      </c>
      <c r="AW101">
        <f>IF([3]Issues!$C$104="","",[3]Issues!$C$104)</f>
        <v/>
      </c>
      <c r="AX101">
        <f>IF([4]Entry!$E$104="","",[4]Entry!$E$104)</f>
        <v/>
      </c>
      <c r="AY101">
        <f>IF([4]Entry!$H$104="","",[4]Entry!$H$104)</f>
        <v/>
      </c>
      <c r="AZ101">
        <f>IF([4]Entry!$I$104="","",[4]Entry!$I$104)</f>
        <v/>
      </c>
    </row>
    <row r="102">
      <c r="F102">
        <f>IF([1]Accounts!$D$103="","",[1]Accounts!$A$103)</f>
        <v/>
      </c>
      <c r="G102">
        <f>IF([1]Accounts!$D$103="","",[1]Accounts!$B$103)</f>
        <v/>
      </c>
      <c r="H102">
        <f>IF([1]Accounts!$D$103="","",[1]Accounts!$C$103)</f>
        <v/>
      </c>
      <c r="I102">
        <f>IF([1]Accounts!$D$103="","",[1]Accounts!$D$103)</f>
        <v/>
      </c>
      <c r="K102">
        <f>IF([1]SubGroups!$C$103="","",[1]SubGroups!$A$103)</f>
        <v/>
      </c>
      <c r="L102">
        <f>IF([1]SubGroups!$C$103="","",[1]SubGroups!$B$103)</f>
        <v/>
      </c>
      <c r="M102">
        <f>IF([1]SubGroups!$C$103="","",[1]SubGroups!$C$103)</f>
        <v/>
      </c>
      <c r="N102">
        <f>IF([1]SubGroups!$C$103="","",[1]SubGroups!$D$103)</f>
        <v/>
      </c>
      <c r="R102">
        <f>IF(AND($F102&lt;&gt;"",$I102&lt;&gt;""),IF(OR($G102="دارایی ثابت",$G102="وام و تسهیلات",$G102="سرمایه و آورده صاحبان"),0,1),0)</f>
        <v/>
      </c>
      <c r="S102">
        <f>SUM($R$6:$R102)</f>
        <v/>
      </c>
      <c r="T102">
        <f>IFERROR(INDEX($F$6:$F$565,MATCH(ROW()-5,$S$6:$S$565,0)),"")</f>
        <v/>
      </c>
      <c r="V102">
        <f>IF(AND($K102&lt;&gt;"",$M102&lt;&gt;""),$L102="هزینه",0)*1</f>
        <v/>
      </c>
      <c r="W102">
        <f>SUM($V$6:$V102)</f>
        <v/>
      </c>
      <c r="X102">
        <f>IFERROR(INDEX($M$6:$M$105,MATCH(ROW()-5,$W$6:$W$105,0)),"")</f>
        <v/>
      </c>
      <c r="Z102">
        <f>IF([2]Entry!$E$105="","",[2]Entry!$E$105)</f>
        <v/>
      </c>
      <c r="AA102">
        <f>IF([2]Entry!$G$105="","",[2]Entry!$G$105)</f>
        <v/>
      </c>
      <c r="AB102">
        <f>IF([2]Entry!$J$105="","",[2]Entry!$J$105)</f>
        <v/>
      </c>
      <c r="AC102">
        <f>IF([2]Entry!$K$105="","",[2]Entry!$K$105)</f>
        <v/>
      </c>
      <c r="AD102">
        <f>IF([2]Entry!$L$105="","",[2]Entry!$L$105)</f>
        <v/>
      </c>
      <c r="AE102">
        <f>IF([2]Entry!$M$105="","",[2]Entry!$M$105)</f>
        <v/>
      </c>
      <c r="AF102">
        <f>IF([2]Entry!$N$105="","",[2]Entry!$N$105)</f>
        <v/>
      </c>
      <c r="AG102">
        <f>IF([3]Issues!$B$105="","",[3]Issues!$B$105)</f>
        <v/>
      </c>
      <c r="AH102">
        <f>IF([3]Issues!$D$105="","",[3]Issues!$D$105)</f>
        <v/>
      </c>
      <c r="AI102">
        <f>IF([3]Issues!$E$105="","",[3]Issues!$E$105)</f>
        <v/>
      </c>
      <c r="AJ102">
        <f>IF([2]Entry!$S$105="","",[2]Entry!$S$105)</f>
        <v/>
      </c>
      <c r="AK102">
        <f>IF([2]Entry!$C$105="","",[2]Entry!$C$105)</f>
        <v/>
      </c>
      <c r="AL102">
        <f>IF([2]Entry!$D$105="","",[2]Entry!$D$105)</f>
        <v/>
      </c>
      <c r="AM102">
        <f>IF(AND($F102&lt;&gt;"",$I102&lt;&gt;""),IF($G102="دارایی ثابت",1,0),0)</f>
        <v/>
      </c>
      <c r="AN102">
        <f>SUM($AM$6:$AM102)</f>
        <v/>
      </c>
      <c r="AO102">
        <f>IFERROR(INDEX($F$6:$F$565,MATCH(ROW()-5,$AN$6:$AN$565,0)),"")</f>
        <v/>
      </c>
      <c r="AP102">
        <f>IF(AND($F102&lt;&gt;"",$I102&lt;&gt;""),IF($G102="وام و تسهیلات",1,0),0)</f>
        <v/>
      </c>
      <c r="AQ102">
        <f>SUM($AP$6:$AP102)</f>
        <v/>
      </c>
      <c r="AR102">
        <f>IFERROR(INDEX($F$6:$F$565,MATCH(ROW()-5,$AQ$6:$AQ$565,0)),"")</f>
        <v/>
      </c>
      <c r="AS102">
        <f>IF(AND($F102&lt;&gt;"",$I102&lt;&gt;""),IF($G102="سرمایه و آورده صاحبان",1,0),0)</f>
        <v/>
      </c>
      <c r="AT102">
        <f>SUM($AS$6:$AS102)</f>
        <v/>
      </c>
      <c r="AU102">
        <f>IFERROR(INDEX($F$6:$F$565,MATCH(ROW()-5,$AT$6:$AT$565,0)),"")</f>
        <v/>
      </c>
      <c r="AW102">
        <f>IF([3]Issues!$C$105="","",[3]Issues!$C$105)</f>
        <v/>
      </c>
      <c r="AX102">
        <f>IF([4]Entry!$E$105="","",[4]Entry!$E$105)</f>
        <v/>
      </c>
      <c r="AY102">
        <f>IF([4]Entry!$H$105="","",[4]Entry!$H$105)</f>
        <v/>
      </c>
      <c r="AZ102">
        <f>IF([4]Entry!$I$105="","",[4]Entry!$I$105)</f>
        <v/>
      </c>
    </row>
    <row r="103">
      <c r="F103">
        <f>IF([1]Accounts!$D$104="","",[1]Accounts!$A$104)</f>
        <v/>
      </c>
      <c r="G103">
        <f>IF([1]Accounts!$D$104="","",[1]Accounts!$B$104)</f>
        <v/>
      </c>
      <c r="H103">
        <f>IF([1]Accounts!$D$104="","",[1]Accounts!$C$104)</f>
        <v/>
      </c>
      <c r="I103">
        <f>IF([1]Accounts!$D$104="","",[1]Accounts!$D$104)</f>
        <v/>
      </c>
      <c r="K103">
        <f>IF([1]SubGroups!$C$104="","",[1]SubGroups!$A$104)</f>
        <v/>
      </c>
      <c r="L103">
        <f>IF([1]SubGroups!$C$104="","",[1]SubGroups!$B$104)</f>
        <v/>
      </c>
      <c r="M103">
        <f>IF([1]SubGroups!$C$104="","",[1]SubGroups!$C$104)</f>
        <v/>
      </c>
      <c r="N103">
        <f>IF([1]SubGroups!$C$104="","",[1]SubGroups!$D$104)</f>
        <v/>
      </c>
      <c r="R103">
        <f>IF(AND($F103&lt;&gt;"",$I103&lt;&gt;""),IF(OR($G103="دارایی ثابت",$G103="وام و تسهیلات",$G103="سرمایه و آورده صاحبان"),0,1),0)</f>
        <v/>
      </c>
      <c r="S103">
        <f>SUM($R$6:$R103)</f>
        <v/>
      </c>
      <c r="T103">
        <f>IFERROR(INDEX($F$6:$F$565,MATCH(ROW()-5,$S$6:$S$565,0)),"")</f>
        <v/>
      </c>
      <c r="V103">
        <f>IF(AND($K103&lt;&gt;"",$M103&lt;&gt;""),$L103="هزینه",0)*1</f>
        <v/>
      </c>
      <c r="W103">
        <f>SUM($V$6:$V103)</f>
        <v/>
      </c>
      <c r="X103">
        <f>IFERROR(INDEX($M$6:$M$105,MATCH(ROW()-5,$W$6:$W$105,0)),"")</f>
        <v/>
      </c>
      <c r="Z103">
        <f>IF([2]Entry!$E$106="","",[2]Entry!$E$106)</f>
        <v/>
      </c>
      <c r="AA103">
        <f>IF([2]Entry!$G$106="","",[2]Entry!$G$106)</f>
        <v/>
      </c>
      <c r="AB103">
        <f>IF([2]Entry!$J$106="","",[2]Entry!$J$106)</f>
        <v/>
      </c>
      <c r="AC103">
        <f>IF([2]Entry!$K$106="","",[2]Entry!$K$106)</f>
        <v/>
      </c>
      <c r="AD103">
        <f>IF([2]Entry!$L$106="","",[2]Entry!$L$106)</f>
        <v/>
      </c>
      <c r="AE103">
        <f>IF([2]Entry!$M$106="","",[2]Entry!$M$106)</f>
        <v/>
      </c>
      <c r="AF103">
        <f>IF([2]Entry!$N$106="","",[2]Entry!$N$106)</f>
        <v/>
      </c>
      <c r="AG103">
        <f>IF([3]Issues!$B$106="","",[3]Issues!$B$106)</f>
        <v/>
      </c>
      <c r="AH103">
        <f>IF([3]Issues!$D$106="","",[3]Issues!$D$106)</f>
        <v/>
      </c>
      <c r="AI103">
        <f>IF([3]Issues!$E$106="","",[3]Issues!$E$106)</f>
        <v/>
      </c>
      <c r="AJ103">
        <f>IF([2]Entry!$S$106="","",[2]Entry!$S$106)</f>
        <v/>
      </c>
      <c r="AK103">
        <f>IF([2]Entry!$C$106="","",[2]Entry!$C$106)</f>
        <v/>
      </c>
      <c r="AL103">
        <f>IF([2]Entry!$D$106="","",[2]Entry!$D$106)</f>
        <v/>
      </c>
      <c r="AM103">
        <f>IF(AND($F103&lt;&gt;"",$I103&lt;&gt;""),IF($G103="دارایی ثابت",1,0),0)</f>
        <v/>
      </c>
      <c r="AN103">
        <f>SUM($AM$6:$AM103)</f>
        <v/>
      </c>
      <c r="AO103">
        <f>IFERROR(INDEX($F$6:$F$565,MATCH(ROW()-5,$AN$6:$AN$565,0)),"")</f>
        <v/>
      </c>
      <c r="AP103">
        <f>IF(AND($F103&lt;&gt;"",$I103&lt;&gt;""),IF($G103="وام و تسهیلات",1,0),0)</f>
        <v/>
      </c>
      <c r="AQ103">
        <f>SUM($AP$6:$AP103)</f>
        <v/>
      </c>
      <c r="AR103">
        <f>IFERROR(INDEX($F$6:$F$565,MATCH(ROW()-5,$AQ$6:$AQ$565,0)),"")</f>
        <v/>
      </c>
      <c r="AS103">
        <f>IF(AND($F103&lt;&gt;"",$I103&lt;&gt;""),IF($G103="سرمایه و آورده صاحبان",1,0),0)</f>
        <v/>
      </c>
      <c r="AT103">
        <f>SUM($AS$6:$AS103)</f>
        <v/>
      </c>
      <c r="AU103">
        <f>IFERROR(INDEX($F$6:$F$565,MATCH(ROW()-5,$AT$6:$AT$565,0)),"")</f>
        <v/>
      </c>
      <c r="AW103">
        <f>IF([3]Issues!$C$106="","",[3]Issues!$C$106)</f>
        <v/>
      </c>
      <c r="AX103">
        <f>IF([4]Entry!$E$106="","",[4]Entry!$E$106)</f>
        <v/>
      </c>
      <c r="AY103">
        <f>IF([4]Entry!$H$106="","",[4]Entry!$H$106)</f>
        <v/>
      </c>
      <c r="AZ103">
        <f>IF([4]Entry!$I$106="","",[4]Entry!$I$106)</f>
        <v/>
      </c>
    </row>
    <row r="104">
      <c r="F104">
        <f>IF([1]Accounts!$D$105="","",[1]Accounts!$A$105)</f>
        <v/>
      </c>
      <c r="G104">
        <f>IF([1]Accounts!$D$105="","",[1]Accounts!$B$105)</f>
        <v/>
      </c>
      <c r="H104">
        <f>IF([1]Accounts!$D$105="","",[1]Accounts!$C$105)</f>
        <v/>
      </c>
      <c r="I104">
        <f>IF([1]Accounts!$D$105="","",[1]Accounts!$D$105)</f>
        <v/>
      </c>
      <c r="K104">
        <f>IF([1]SubGroups!$C$105="","",[1]SubGroups!$A$105)</f>
        <v/>
      </c>
      <c r="L104">
        <f>IF([1]SubGroups!$C$105="","",[1]SubGroups!$B$105)</f>
        <v/>
      </c>
      <c r="M104">
        <f>IF([1]SubGroups!$C$105="","",[1]SubGroups!$C$105)</f>
        <v/>
      </c>
      <c r="N104">
        <f>IF([1]SubGroups!$C$105="","",[1]SubGroups!$D$105)</f>
        <v/>
      </c>
      <c r="R104">
        <f>IF(AND($F104&lt;&gt;"",$I104&lt;&gt;""),IF(OR($G104="دارایی ثابت",$G104="وام و تسهیلات",$G104="سرمایه و آورده صاحبان"),0,1),0)</f>
        <v/>
      </c>
      <c r="S104">
        <f>SUM($R$6:$R104)</f>
        <v/>
      </c>
      <c r="T104">
        <f>IFERROR(INDEX($F$6:$F$565,MATCH(ROW()-5,$S$6:$S$565,0)),"")</f>
        <v/>
      </c>
      <c r="V104">
        <f>IF(AND($K104&lt;&gt;"",$M104&lt;&gt;""),$L104="هزینه",0)*1</f>
        <v/>
      </c>
      <c r="W104">
        <f>SUM($V$6:$V104)</f>
        <v/>
      </c>
      <c r="X104">
        <f>IFERROR(INDEX($M$6:$M$105,MATCH(ROW()-5,$W$6:$W$105,0)),"")</f>
        <v/>
      </c>
      <c r="Z104">
        <f>IF([2]Entry!$E$107="","",[2]Entry!$E$107)</f>
        <v/>
      </c>
      <c r="AA104">
        <f>IF([2]Entry!$G$107="","",[2]Entry!$G$107)</f>
        <v/>
      </c>
      <c r="AB104">
        <f>IF([2]Entry!$J$107="","",[2]Entry!$J$107)</f>
        <v/>
      </c>
      <c r="AC104">
        <f>IF([2]Entry!$K$107="","",[2]Entry!$K$107)</f>
        <v/>
      </c>
      <c r="AD104">
        <f>IF([2]Entry!$L$107="","",[2]Entry!$L$107)</f>
        <v/>
      </c>
      <c r="AE104">
        <f>IF([2]Entry!$M$107="","",[2]Entry!$M$107)</f>
        <v/>
      </c>
      <c r="AF104">
        <f>IF([2]Entry!$N$107="","",[2]Entry!$N$107)</f>
        <v/>
      </c>
      <c r="AG104">
        <f>IF([3]Issues!$B$107="","",[3]Issues!$B$107)</f>
        <v/>
      </c>
      <c r="AH104">
        <f>IF([3]Issues!$D$107="","",[3]Issues!$D$107)</f>
        <v/>
      </c>
      <c r="AI104">
        <f>IF([3]Issues!$E$107="","",[3]Issues!$E$107)</f>
        <v/>
      </c>
      <c r="AJ104">
        <f>IF([2]Entry!$S$107="","",[2]Entry!$S$107)</f>
        <v/>
      </c>
      <c r="AK104">
        <f>IF([2]Entry!$C$107="","",[2]Entry!$C$107)</f>
        <v/>
      </c>
      <c r="AL104">
        <f>IF([2]Entry!$D$107="","",[2]Entry!$D$107)</f>
        <v/>
      </c>
      <c r="AM104">
        <f>IF(AND($F104&lt;&gt;"",$I104&lt;&gt;""),IF($G104="دارایی ثابت",1,0),0)</f>
        <v/>
      </c>
      <c r="AN104">
        <f>SUM($AM$6:$AM104)</f>
        <v/>
      </c>
      <c r="AO104">
        <f>IFERROR(INDEX($F$6:$F$565,MATCH(ROW()-5,$AN$6:$AN$565,0)),"")</f>
        <v/>
      </c>
      <c r="AP104">
        <f>IF(AND($F104&lt;&gt;"",$I104&lt;&gt;""),IF($G104="وام و تسهیلات",1,0),0)</f>
        <v/>
      </c>
      <c r="AQ104">
        <f>SUM($AP$6:$AP104)</f>
        <v/>
      </c>
      <c r="AR104">
        <f>IFERROR(INDEX($F$6:$F$565,MATCH(ROW()-5,$AQ$6:$AQ$565,0)),"")</f>
        <v/>
      </c>
      <c r="AS104">
        <f>IF(AND($F104&lt;&gt;"",$I104&lt;&gt;""),IF($G104="سرمایه و آورده صاحبان",1,0),0)</f>
        <v/>
      </c>
      <c r="AT104">
        <f>SUM($AS$6:$AS104)</f>
        <v/>
      </c>
      <c r="AU104">
        <f>IFERROR(INDEX($F$6:$F$565,MATCH(ROW()-5,$AT$6:$AT$565,0)),"")</f>
        <v/>
      </c>
      <c r="AW104">
        <f>IF([3]Issues!$C$107="","",[3]Issues!$C$107)</f>
        <v/>
      </c>
      <c r="AX104">
        <f>IF([4]Entry!$E$107="","",[4]Entry!$E$107)</f>
        <v/>
      </c>
      <c r="AY104">
        <f>IF([4]Entry!$H$107="","",[4]Entry!$H$107)</f>
        <v/>
      </c>
      <c r="AZ104">
        <f>IF([4]Entry!$I$107="","",[4]Entry!$I$107)</f>
        <v/>
      </c>
    </row>
    <row r="105">
      <c r="F105">
        <f>IF([1]Accounts!$D$106="","",[1]Accounts!$A$106)</f>
        <v/>
      </c>
      <c r="G105">
        <f>IF([1]Accounts!$D$106="","",[1]Accounts!$B$106)</f>
        <v/>
      </c>
      <c r="H105">
        <f>IF([1]Accounts!$D$106="","",[1]Accounts!$C$106)</f>
        <v/>
      </c>
      <c r="I105">
        <f>IF([1]Accounts!$D$106="","",[1]Accounts!$D$106)</f>
        <v/>
      </c>
      <c r="K105">
        <f>IF([1]SubGroups!$C$106="","",[1]SubGroups!$A$106)</f>
        <v/>
      </c>
      <c r="L105">
        <f>IF([1]SubGroups!$C$106="","",[1]SubGroups!$B$106)</f>
        <v/>
      </c>
      <c r="M105">
        <f>IF([1]SubGroups!$C$106="","",[1]SubGroups!$C$106)</f>
        <v/>
      </c>
      <c r="N105">
        <f>IF([1]SubGroups!$C$106="","",[1]SubGroups!$D$106)</f>
        <v/>
      </c>
      <c r="R105">
        <f>IF(AND($F105&lt;&gt;"",$I105&lt;&gt;""),IF(OR($G105="دارایی ثابت",$G105="وام و تسهیلات",$G105="سرمایه و آورده صاحبان"),0,1),0)</f>
        <v/>
      </c>
      <c r="S105">
        <f>SUM($R$6:$R105)</f>
        <v/>
      </c>
      <c r="T105">
        <f>IFERROR(INDEX($F$6:$F$565,MATCH(ROW()-5,$S$6:$S$565,0)),"")</f>
        <v/>
      </c>
      <c r="V105">
        <f>IF(AND($K105&lt;&gt;"",$M105&lt;&gt;""),$L105="هزینه",0)*1</f>
        <v/>
      </c>
      <c r="W105">
        <f>SUM($V$6:$V105)</f>
        <v/>
      </c>
      <c r="X105">
        <f>IFERROR(INDEX($M$6:$M$105,MATCH(ROW()-5,$W$6:$W$105,0)),"")</f>
        <v/>
      </c>
      <c r="Z105">
        <f>IF([2]Entry!$E$108="","",[2]Entry!$E$108)</f>
        <v/>
      </c>
      <c r="AA105">
        <f>IF([2]Entry!$G$108="","",[2]Entry!$G$108)</f>
        <v/>
      </c>
      <c r="AB105">
        <f>IF([2]Entry!$J$108="","",[2]Entry!$J$108)</f>
        <v/>
      </c>
      <c r="AC105">
        <f>IF([2]Entry!$K$108="","",[2]Entry!$K$108)</f>
        <v/>
      </c>
      <c r="AD105">
        <f>IF([2]Entry!$L$108="","",[2]Entry!$L$108)</f>
        <v/>
      </c>
      <c r="AE105">
        <f>IF([2]Entry!$M$108="","",[2]Entry!$M$108)</f>
        <v/>
      </c>
      <c r="AF105">
        <f>IF([2]Entry!$N$108="","",[2]Entry!$N$108)</f>
        <v/>
      </c>
      <c r="AG105">
        <f>IF([3]Issues!$B$108="","",[3]Issues!$B$108)</f>
        <v/>
      </c>
      <c r="AH105">
        <f>IF([3]Issues!$D$108="","",[3]Issues!$D$108)</f>
        <v/>
      </c>
      <c r="AI105">
        <f>IF([3]Issues!$E$108="","",[3]Issues!$E$108)</f>
        <v/>
      </c>
      <c r="AJ105">
        <f>IF([2]Entry!$S$108="","",[2]Entry!$S$108)</f>
        <v/>
      </c>
      <c r="AK105">
        <f>IF([2]Entry!$C$108="","",[2]Entry!$C$108)</f>
        <v/>
      </c>
      <c r="AL105">
        <f>IF([2]Entry!$D$108="","",[2]Entry!$D$108)</f>
        <v/>
      </c>
      <c r="AM105">
        <f>IF(AND($F105&lt;&gt;"",$I105&lt;&gt;""),IF($G105="دارایی ثابت",1,0),0)</f>
        <v/>
      </c>
      <c r="AN105">
        <f>SUM($AM$6:$AM105)</f>
        <v/>
      </c>
      <c r="AO105">
        <f>IFERROR(INDEX($F$6:$F$565,MATCH(ROW()-5,$AN$6:$AN$565,0)),"")</f>
        <v/>
      </c>
      <c r="AP105">
        <f>IF(AND($F105&lt;&gt;"",$I105&lt;&gt;""),IF($G105="وام و تسهیلات",1,0),0)</f>
        <v/>
      </c>
      <c r="AQ105">
        <f>SUM($AP$6:$AP105)</f>
        <v/>
      </c>
      <c r="AR105">
        <f>IFERROR(INDEX($F$6:$F$565,MATCH(ROW()-5,$AQ$6:$AQ$565,0)),"")</f>
        <v/>
      </c>
      <c r="AS105">
        <f>IF(AND($F105&lt;&gt;"",$I105&lt;&gt;""),IF($G105="سرمایه و آورده صاحبان",1,0),0)</f>
        <v/>
      </c>
      <c r="AT105">
        <f>SUM($AS$6:$AS105)</f>
        <v/>
      </c>
      <c r="AU105">
        <f>IFERROR(INDEX($F$6:$F$565,MATCH(ROW()-5,$AT$6:$AT$565,0)),"")</f>
        <v/>
      </c>
      <c r="AW105">
        <f>IF([3]Issues!$C$108="","",[3]Issues!$C$108)</f>
        <v/>
      </c>
      <c r="AX105">
        <f>IF([4]Entry!$E$108="","",[4]Entry!$E$108)</f>
        <v/>
      </c>
      <c r="AY105">
        <f>IF([4]Entry!$H$108="","",[4]Entry!$H$108)</f>
        <v/>
      </c>
      <c r="AZ105">
        <f>IF([4]Entry!$I$108="","",[4]Entry!$I$108)</f>
        <v/>
      </c>
    </row>
    <row r="106">
      <c r="F106">
        <f>IF([1]Accounts!$D$107="","",[1]Accounts!$A$107)</f>
        <v/>
      </c>
      <c r="G106">
        <f>IF([1]Accounts!$D$107="","",[1]Accounts!$B$107)</f>
        <v/>
      </c>
      <c r="H106">
        <f>IF([1]Accounts!$D$107="","",[1]Accounts!$C$107)</f>
        <v/>
      </c>
      <c r="I106">
        <f>IF([1]Accounts!$D$107="","",[1]Accounts!$D$107)</f>
        <v/>
      </c>
      <c r="R106">
        <f>IF(AND($F106&lt;&gt;"",$I106&lt;&gt;""),IF(OR($G106="دارایی ثابت",$G106="وام و تسهیلات",$G106="سرمایه و آورده صاحبان"),0,1),0)</f>
        <v/>
      </c>
      <c r="S106">
        <f>SUM($R$6:$R106)</f>
        <v/>
      </c>
      <c r="T106">
        <f>IFERROR(INDEX($F$6:$F$565,MATCH(ROW()-5,$S$6:$S$565,0)),"")</f>
        <v/>
      </c>
      <c r="Z106">
        <f>IF([2]Entry!$E$109="","",[2]Entry!$E$109)</f>
        <v/>
      </c>
      <c r="AA106">
        <f>IF([2]Entry!$G$109="","",[2]Entry!$G$109)</f>
        <v/>
      </c>
      <c r="AB106">
        <f>IF([2]Entry!$J$109="","",[2]Entry!$J$109)</f>
        <v/>
      </c>
      <c r="AC106">
        <f>IF([2]Entry!$K$109="","",[2]Entry!$K$109)</f>
        <v/>
      </c>
      <c r="AD106">
        <f>IF([2]Entry!$L$109="","",[2]Entry!$L$109)</f>
        <v/>
      </c>
      <c r="AE106">
        <f>IF([2]Entry!$M$109="","",[2]Entry!$M$109)</f>
        <v/>
      </c>
      <c r="AF106">
        <f>IF([2]Entry!$N$109="","",[2]Entry!$N$109)</f>
        <v/>
      </c>
      <c r="AG106">
        <f>IF([3]Issues!$B$109="","",[3]Issues!$B$109)</f>
        <v/>
      </c>
      <c r="AH106">
        <f>IF([3]Issues!$D$109="","",[3]Issues!$D$109)</f>
        <v/>
      </c>
      <c r="AI106">
        <f>IF([3]Issues!$E$109="","",[3]Issues!$E$109)</f>
        <v/>
      </c>
      <c r="AJ106">
        <f>IF([2]Entry!$S$109="","",[2]Entry!$S$109)</f>
        <v/>
      </c>
      <c r="AK106">
        <f>IF([2]Entry!$C$109="","",[2]Entry!$C$109)</f>
        <v/>
      </c>
      <c r="AL106">
        <f>IF([2]Entry!$D$109="","",[2]Entry!$D$109)</f>
        <v/>
      </c>
      <c r="AM106">
        <f>IF(AND($F106&lt;&gt;"",$I106&lt;&gt;""),IF($G106="دارایی ثابت",1,0),0)</f>
        <v/>
      </c>
      <c r="AN106">
        <f>SUM($AM$6:$AM106)</f>
        <v/>
      </c>
      <c r="AO106">
        <f>IFERROR(INDEX($F$6:$F$565,MATCH(ROW()-5,$AN$6:$AN$565,0)),"")</f>
        <v/>
      </c>
      <c r="AP106">
        <f>IF(AND($F106&lt;&gt;"",$I106&lt;&gt;""),IF($G106="وام و تسهیلات",1,0),0)</f>
        <v/>
      </c>
      <c r="AQ106">
        <f>SUM($AP$6:$AP106)</f>
        <v/>
      </c>
      <c r="AR106">
        <f>IFERROR(INDEX($F$6:$F$565,MATCH(ROW()-5,$AQ$6:$AQ$565,0)),"")</f>
        <v/>
      </c>
      <c r="AS106">
        <f>IF(AND($F106&lt;&gt;"",$I106&lt;&gt;""),IF($G106="سرمایه و آورده صاحبان",1,0),0)</f>
        <v/>
      </c>
      <c r="AT106">
        <f>SUM($AS$6:$AS106)</f>
        <v/>
      </c>
      <c r="AU106">
        <f>IFERROR(INDEX($F$6:$F$565,MATCH(ROW()-5,$AT$6:$AT$565,0)),"")</f>
        <v/>
      </c>
      <c r="AW106">
        <f>IF([3]Issues!$C$109="","",[3]Issues!$C$109)</f>
        <v/>
      </c>
      <c r="AX106">
        <f>IF([4]Entry!$E$109="","",[4]Entry!$E$109)</f>
        <v/>
      </c>
      <c r="AY106">
        <f>IF([4]Entry!$H$109="","",[4]Entry!$H$109)</f>
        <v/>
      </c>
      <c r="AZ106">
        <f>IF([4]Entry!$I$109="","",[4]Entry!$I$109)</f>
        <v/>
      </c>
    </row>
    <row r="107">
      <c r="F107">
        <f>IF([1]Accounts!$D$108="","",[1]Accounts!$A$108)</f>
        <v/>
      </c>
      <c r="G107">
        <f>IF([1]Accounts!$D$108="","",[1]Accounts!$B$108)</f>
        <v/>
      </c>
      <c r="H107">
        <f>IF([1]Accounts!$D$108="","",[1]Accounts!$C$108)</f>
        <v/>
      </c>
      <c r="I107">
        <f>IF([1]Accounts!$D$108="","",[1]Accounts!$D$108)</f>
        <v/>
      </c>
      <c r="R107">
        <f>IF(AND($F107&lt;&gt;"",$I107&lt;&gt;""),IF(OR($G107="دارایی ثابت",$G107="وام و تسهیلات",$G107="سرمایه و آورده صاحبان"),0,1),0)</f>
        <v/>
      </c>
      <c r="S107">
        <f>SUM($R$6:$R107)</f>
        <v/>
      </c>
      <c r="T107">
        <f>IFERROR(INDEX($F$6:$F$565,MATCH(ROW()-5,$S$6:$S$565,0)),"")</f>
        <v/>
      </c>
      <c r="Z107">
        <f>IF([2]Entry!$E$110="","",[2]Entry!$E$110)</f>
        <v/>
      </c>
      <c r="AA107">
        <f>IF([2]Entry!$G$110="","",[2]Entry!$G$110)</f>
        <v/>
      </c>
      <c r="AB107">
        <f>IF([2]Entry!$J$110="","",[2]Entry!$J$110)</f>
        <v/>
      </c>
      <c r="AC107">
        <f>IF([2]Entry!$K$110="","",[2]Entry!$K$110)</f>
        <v/>
      </c>
      <c r="AD107">
        <f>IF([2]Entry!$L$110="","",[2]Entry!$L$110)</f>
        <v/>
      </c>
      <c r="AE107">
        <f>IF([2]Entry!$M$110="","",[2]Entry!$M$110)</f>
        <v/>
      </c>
      <c r="AF107">
        <f>IF([2]Entry!$N$110="","",[2]Entry!$N$110)</f>
        <v/>
      </c>
      <c r="AG107">
        <f>IF([3]Issues!$B$110="","",[3]Issues!$B$110)</f>
        <v/>
      </c>
      <c r="AH107">
        <f>IF([3]Issues!$D$110="","",[3]Issues!$D$110)</f>
        <v/>
      </c>
      <c r="AI107">
        <f>IF([3]Issues!$E$110="","",[3]Issues!$E$110)</f>
        <v/>
      </c>
      <c r="AJ107">
        <f>IF([2]Entry!$S$110="","",[2]Entry!$S$110)</f>
        <v/>
      </c>
      <c r="AK107">
        <f>IF([2]Entry!$C$110="","",[2]Entry!$C$110)</f>
        <v/>
      </c>
      <c r="AL107">
        <f>IF([2]Entry!$D$110="","",[2]Entry!$D$110)</f>
        <v/>
      </c>
      <c r="AM107">
        <f>IF(AND($F107&lt;&gt;"",$I107&lt;&gt;""),IF($G107="دارایی ثابت",1,0),0)</f>
        <v/>
      </c>
      <c r="AN107">
        <f>SUM($AM$6:$AM107)</f>
        <v/>
      </c>
      <c r="AO107">
        <f>IFERROR(INDEX($F$6:$F$565,MATCH(ROW()-5,$AN$6:$AN$565,0)),"")</f>
        <v/>
      </c>
      <c r="AP107">
        <f>IF(AND($F107&lt;&gt;"",$I107&lt;&gt;""),IF($G107="وام و تسهیلات",1,0),0)</f>
        <v/>
      </c>
      <c r="AQ107">
        <f>SUM($AP$6:$AP107)</f>
        <v/>
      </c>
      <c r="AR107">
        <f>IFERROR(INDEX($F$6:$F$565,MATCH(ROW()-5,$AQ$6:$AQ$565,0)),"")</f>
        <v/>
      </c>
      <c r="AS107">
        <f>IF(AND($F107&lt;&gt;"",$I107&lt;&gt;""),IF($G107="سرمایه و آورده صاحبان",1,0),0)</f>
        <v/>
      </c>
      <c r="AT107">
        <f>SUM($AS$6:$AS107)</f>
        <v/>
      </c>
      <c r="AU107">
        <f>IFERROR(INDEX($F$6:$F$565,MATCH(ROW()-5,$AT$6:$AT$565,0)),"")</f>
        <v/>
      </c>
      <c r="AW107">
        <f>IF([3]Issues!$C$110="","",[3]Issues!$C$110)</f>
        <v/>
      </c>
      <c r="AX107">
        <f>IF([4]Entry!$E$110="","",[4]Entry!$E$110)</f>
        <v/>
      </c>
      <c r="AY107">
        <f>IF([4]Entry!$H$110="","",[4]Entry!$H$110)</f>
        <v/>
      </c>
      <c r="AZ107">
        <f>IF([4]Entry!$I$110="","",[4]Entry!$I$110)</f>
        <v/>
      </c>
    </row>
    <row r="108">
      <c r="F108">
        <f>IF([1]Accounts!$D$109="","",[1]Accounts!$A$109)</f>
        <v/>
      </c>
      <c r="G108">
        <f>IF([1]Accounts!$D$109="","",[1]Accounts!$B$109)</f>
        <v/>
      </c>
      <c r="H108">
        <f>IF([1]Accounts!$D$109="","",[1]Accounts!$C$109)</f>
        <v/>
      </c>
      <c r="I108">
        <f>IF([1]Accounts!$D$109="","",[1]Accounts!$D$109)</f>
        <v/>
      </c>
      <c r="R108">
        <f>IF(AND($F108&lt;&gt;"",$I108&lt;&gt;""),IF(OR($G108="دارایی ثابت",$G108="وام و تسهیلات",$G108="سرمایه و آورده صاحبان"),0,1),0)</f>
        <v/>
      </c>
      <c r="S108">
        <f>SUM($R$6:$R108)</f>
        <v/>
      </c>
      <c r="T108">
        <f>IFERROR(INDEX($F$6:$F$565,MATCH(ROW()-5,$S$6:$S$565,0)),"")</f>
        <v/>
      </c>
      <c r="Z108">
        <f>IF([2]Entry!$E$111="","",[2]Entry!$E$111)</f>
        <v/>
      </c>
      <c r="AA108">
        <f>IF([2]Entry!$G$111="","",[2]Entry!$G$111)</f>
        <v/>
      </c>
      <c r="AB108">
        <f>IF([2]Entry!$J$111="","",[2]Entry!$J$111)</f>
        <v/>
      </c>
      <c r="AC108">
        <f>IF([2]Entry!$K$111="","",[2]Entry!$K$111)</f>
        <v/>
      </c>
      <c r="AD108">
        <f>IF([2]Entry!$L$111="","",[2]Entry!$L$111)</f>
        <v/>
      </c>
      <c r="AE108">
        <f>IF([2]Entry!$M$111="","",[2]Entry!$M$111)</f>
        <v/>
      </c>
      <c r="AF108">
        <f>IF([2]Entry!$N$111="","",[2]Entry!$N$111)</f>
        <v/>
      </c>
      <c r="AG108">
        <f>IF([3]Issues!$B$111="","",[3]Issues!$B$111)</f>
        <v/>
      </c>
      <c r="AH108">
        <f>IF([3]Issues!$D$111="","",[3]Issues!$D$111)</f>
        <v/>
      </c>
      <c r="AI108">
        <f>IF([3]Issues!$E$111="","",[3]Issues!$E$111)</f>
        <v/>
      </c>
      <c r="AJ108">
        <f>IF([2]Entry!$S$111="","",[2]Entry!$S$111)</f>
        <v/>
      </c>
      <c r="AK108">
        <f>IF([2]Entry!$C$111="","",[2]Entry!$C$111)</f>
        <v/>
      </c>
      <c r="AL108">
        <f>IF([2]Entry!$D$111="","",[2]Entry!$D$111)</f>
        <v/>
      </c>
      <c r="AM108">
        <f>IF(AND($F108&lt;&gt;"",$I108&lt;&gt;""),IF($G108="دارایی ثابت",1,0),0)</f>
        <v/>
      </c>
      <c r="AN108">
        <f>SUM($AM$6:$AM108)</f>
        <v/>
      </c>
      <c r="AO108">
        <f>IFERROR(INDEX($F$6:$F$565,MATCH(ROW()-5,$AN$6:$AN$565,0)),"")</f>
        <v/>
      </c>
      <c r="AP108">
        <f>IF(AND($F108&lt;&gt;"",$I108&lt;&gt;""),IF($G108="وام و تسهیلات",1,0),0)</f>
        <v/>
      </c>
      <c r="AQ108">
        <f>SUM($AP$6:$AP108)</f>
        <v/>
      </c>
      <c r="AR108">
        <f>IFERROR(INDEX($F$6:$F$565,MATCH(ROW()-5,$AQ$6:$AQ$565,0)),"")</f>
        <v/>
      </c>
      <c r="AS108">
        <f>IF(AND($F108&lt;&gt;"",$I108&lt;&gt;""),IF($G108="سرمایه و آورده صاحبان",1,0),0)</f>
        <v/>
      </c>
      <c r="AT108">
        <f>SUM($AS$6:$AS108)</f>
        <v/>
      </c>
      <c r="AU108">
        <f>IFERROR(INDEX($F$6:$F$565,MATCH(ROW()-5,$AT$6:$AT$565,0)),"")</f>
        <v/>
      </c>
      <c r="AW108">
        <f>IF([3]Issues!$C$111="","",[3]Issues!$C$111)</f>
        <v/>
      </c>
      <c r="AX108">
        <f>IF([4]Entry!$E$111="","",[4]Entry!$E$111)</f>
        <v/>
      </c>
      <c r="AY108">
        <f>IF([4]Entry!$H$111="","",[4]Entry!$H$111)</f>
        <v/>
      </c>
      <c r="AZ108">
        <f>IF([4]Entry!$I$111="","",[4]Entry!$I$111)</f>
        <v/>
      </c>
    </row>
    <row r="109">
      <c r="F109">
        <f>IF([1]Accounts!$D$110="","",[1]Accounts!$A$110)</f>
        <v/>
      </c>
      <c r="G109">
        <f>IF([1]Accounts!$D$110="","",[1]Accounts!$B$110)</f>
        <v/>
      </c>
      <c r="H109">
        <f>IF([1]Accounts!$D$110="","",[1]Accounts!$C$110)</f>
        <v/>
      </c>
      <c r="I109">
        <f>IF([1]Accounts!$D$110="","",[1]Accounts!$D$110)</f>
        <v/>
      </c>
      <c r="R109">
        <f>IF(AND($F109&lt;&gt;"",$I109&lt;&gt;""),IF(OR($G109="دارایی ثابت",$G109="وام و تسهیلات",$G109="سرمایه و آورده صاحبان"),0,1),0)</f>
        <v/>
      </c>
      <c r="S109">
        <f>SUM($R$6:$R109)</f>
        <v/>
      </c>
      <c r="T109">
        <f>IFERROR(INDEX($F$6:$F$565,MATCH(ROW()-5,$S$6:$S$565,0)),"")</f>
        <v/>
      </c>
      <c r="Z109">
        <f>IF([2]Entry!$E$112="","",[2]Entry!$E$112)</f>
        <v/>
      </c>
      <c r="AA109">
        <f>IF([2]Entry!$G$112="","",[2]Entry!$G$112)</f>
        <v/>
      </c>
      <c r="AB109">
        <f>IF([2]Entry!$J$112="","",[2]Entry!$J$112)</f>
        <v/>
      </c>
      <c r="AC109">
        <f>IF([2]Entry!$K$112="","",[2]Entry!$K$112)</f>
        <v/>
      </c>
      <c r="AD109">
        <f>IF([2]Entry!$L$112="","",[2]Entry!$L$112)</f>
        <v/>
      </c>
      <c r="AE109">
        <f>IF([2]Entry!$M$112="","",[2]Entry!$M$112)</f>
        <v/>
      </c>
      <c r="AF109">
        <f>IF([2]Entry!$N$112="","",[2]Entry!$N$112)</f>
        <v/>
      </c>
      <c r="AG109">
        <f>IF([3]Issues!$B$112="","",[3]Issues!$B$112)</f>
        <v/>
      </c>
      <c r="AH109">
        <f>IF([3]Issues!$D$112="","",[3]Issues!$D$112)</f>
        <v/>
      </c>
      <c r="AI109">
        <f>IF([3]Issues!$E$112="","",[3]Issues!$E$112)</f>
        <v/>
      </c>
      <c r="AJ109">
        <f>IF([2]Entry!$S$112="","",[2]Entry!$S$112)</f>
        <v/>
      </c>
      <c r="AK109">
        <f>IF([2]Entry!$C$112="","",[2]Entry!$C$112)</f>
        <v/>
      </c>
      <c r="AL109">
        <f>IF([2]Entry!$D$112="","",[2]Entry!$D$112)</f>
        <v/>
      </c>
      <c r="AM109">
        <f>IF(AND($F109&lt;&gt;"",$I109&lt;&gt;""),IF($G109="دارایی ثابت",1,0),0)</f>
        <v/>
      </c>
      <c r="AN109">
        <f>SUM($AM$6:$AM109)</f>
        <v/>
      </c>
      <c r="AO109">
        <f>IFERROR(INDEX($F$6:$F$565,MATCH(ROW()-5,$AN$6:$AN$565,0)),"")</f>
        <v/>
      </c>
      <c r="AP109">
        <f>IF(AND($F109&lt;&gt;"",$I109&lt;&gt;""),IF($G109="وام و تسهیلات",1,0),0)</f>
        <v/>
      </c>
      <c r="AQ109">
        <f>SUM($AP$6:$AP109)</f>
        <v/>
      </c>
      <c r="AR109">
        <f>IFERROR(INDEX($F$6:$F$565,MATCH(ROW()-5,$AQ$6:$AQ$565,0)),"")</f>
        <v/>
      </c>
      <c r="AS109">
        <f>IF(AND($F109&lt;&gt;"",$I109&lt;&gt;""),IF($G109="سرمایه و آورده صاحبان",1,0),0)</f>
        <v/>
      </c>
      <c r="AT109">
        <f>SUM($AS$6:$AS109)</f>
        <v/>
      </c>
      <c r="AU109">
        <f>IFERROR(INDEX($F$6:$F$565,MATCH(ROW()-5,$AT$6:$AT$565,0)),"")</f>
        <v/>
      </c>
      <c r="AW109">
        <f>IF([3]Issues!$C$112="","",[3]Issues!$C$112)</f>
        <v/>
      </c>
      <c r="AX109">
        <f>IF([4]Entry!$E$112="","",[4]Entry!$E$112)</f>
        <v/>
      </c>
      <c r="AY109">
        <f>IF([4]Entry!$H$112="","",[4]Entry!$H$112)</f>
        <v/>
      </c>
      <c r="AZ109">
        <f>IF([4]Entry!$I$112="","",[4]Entry!$I$112)</f>
        <v/>
      </c>
    </row>
    <row r="110">
      <c r="F110">
        <f>IF([1]Accounts!$D$111="","",[1]Accounts!$A$111)</f>
        <v/>
      </c>
      <c r="G110">
        <f>IF([1]Accounts!$D$111="","",[1]Accounts!$B$111)</f>
        <v/>
      </c>
      <c r="H110">
        <f>IF([1]Accounts!$D$111="","",[1]Accounts!$C$111)</f>
        <v/>
      </c>
      <c r="I110">
        <f>IF([1]Accounts!$D$111="","",[1]Accounts!$D$111)</f>
        <v/>
      </c>
      <c r="R110">
        <f>IF(AND($F110&lt;&gt;"",$I110&lt;&gt;""),IF(OR($G110="دارایی ثابت",$G110="وام و تسهیلات",$G110="سرمایه و آورده صاحبان"),0,1),0)</f>
        <v/>
      </c>
      <c r="S110">
        <f>SUM($R$6:$R110)</f>
        <v/>
      </c>
      <c r="T110">
        <f>IFERROR(INDEX($F$6:$F$565,MATCH(ROW()-5,$S$6:$S$565,0)),"")</f>
        <v/>
      </c>
      <c r="Z110">
        <f>IF([2]Entry!$E$113="","",[2]Entry!$E$113)</f>
        <v/>
      </c>
      <c r="AA110">
        <f>IF([2]Entry!$G$113="","",[2]Entry!$G$113)</f>
        <v/>
      </c>
      <c r="AB110">
        <f>IF([2]Entry!$J$113="","",[2]Entry!$J$113)</f>
        <v/>
      </c>
      <c r="AC110">
        <f>IF([2]Entry!$K$113="","",[2]Entry!$K$113)</f>
        <v/>
      </c>
      <c r="AD110">
        <f>IF([2]Entry!$L$113="","",[2]Entry!$L$113)</f>
        <v/>
      </c>
      <c r="AE110">
        <f>IF([2]Entry!$M$113="","",[2]Entry!$M$113)</f>
        <v/>
      </c>
      <c r="AF110">
        <f>IF([2]Entry!$N$113="","",[2]Entry!$N$113)</f>
        <v/>
      </c>
      <c r="AG110">
        <f>IF([3]Issues!$B$113="","",[3]Issues!$B$113)</f>
        <v/>
      </c>
      <c r="AH110">
        <f>IF([3]Issues!$D$113="","",[3]Issues!$D$113)</f>
        <v/>
      </c>
      <c r="AI110">
        <f>IF([3]Issues!$E$113="","",[3]Issues!$E$113)</f>
        <v/>
      </c>
      <c r="AJ110">
        <f>IF([2]Entry!$S$113="","",[2]Entry!$S$113)</f>
        <v/>
      </c>
      <c r="AK110">
        <f>IF([2]Entry!$C$113="","",[2]Entry!$C$113)</f>
        <v/>
      </c>
      <c r="AL110">
        <f>IF([2]Entry!$D$113="","",[2]Entry!$D$113)</f>
        <v/>
      </c>
      <c r="AM110">
        <f>IF(AND($F110&lt;&gt;"",$I110&lt;&gt;""),IF($G110="دارایی ثابت",1,0),0)</f>
        <v/>
      </c>
      <c r="AN110">
        <f>SUM($AM$6:$AM110)</f>
        <v/>
      </c>
      <c r="AO110">
        <f>IFERROR(INDEX($F$6:$F$565,MATCH(ROW()-5,$AN$6:$AN$565,0)),"")</f>
        <v/>
      </c>
      <c r="AP110">
        <f>IF(AND($F110&lt;&gt;"",$I110&lt;&gt;""),IF($G110="وام و تسهیلات",1,0),0)</f>
        <v/>
      </c>
      <c r="AQ110">
        <f>SUM($AP$6:$AP110)</f>
        <v/>
      </c>
      <c r="AR110">
        <f>IFERROR(INDEX($F$6:$F$565,MATCH(ROW()-5,$AQ$6:$AQ$565,0)),"")</f>
        <v/>
      </c>
      <c r="AS110">
        <f>IF(AND($F110&lt;&gt;"",$I110&lt;&gt;""),IF($G110="سرمایه و آورده صاحبان",1,0),0)</f>
        <v/>
      </c>
      <c r="AT110">
        <f>SUM($AS$6:$AS110)</f>
        <v/>
      </c>
      <c r="AU110">
        <f>IFERROR(INDEX($F$6:$F$565,MATCH(ROW()-5,$AT$6:$AT$565,0)),"")</f>
        <v/>
      </c>
      <c r="AW110">
        <f>IF([3]Issues!$C$113="","",[3]Issues!$C$113)</f>
        <v/>
      </c>
      <c r="AX110">
        <f>IF([4]Entry!$E$113="","",[4]Entry!$E$113)</f>
        <v/>
      </c>
      <c r="AY110">
        <f>IF([4]Entry!$H$113="","",[4]Entry!$H$113)</f>
        <v/>
      </c>
      <c r="AZ110">
        <f>IF([4]Entry!$I$113="","",[4]Entry!$I$113)</f>
        <v/>
      </c>
    </row>
    <row r="111">
      <c r="F111">
        <f>IF([1]Accounts!$D$112="","",[1]Accounts!$A$112)</f>
        <v/>
      </c>
      <c r="G111">
        <f>IF([1]Accounts!$D$112="","",[1]Accounts!$B$112)</f>
        <v/>
      </c>
      <c r="H111">
        <f>IF([1]Accounts!$D$112="","",[1]Accounts!$C$112)</f>
        <v/>
      </c>
      <c r="I111">
        <f>IF([1]Accounts!$D$112="","",[1]Accounts!$D$112)</f>
        <v/>
      </c>
      <c r="R111">
        <f>IF(AND($F111&lt;&gt;"",$I111&lt;&gt;""),IF(OR($G111="دارایی ثابت",$G111="وام و تسهیلات",$G111="سرمایه و آورده صاحبان"),0,1),0)</f>
        <v/>
      </c>
      <c r="S111">
        <f>SUM($R$6:$R111)</f>
        <v/>
      </c>
      <c r="T111">
        <f>IFERROR(INDEX($F$6:$F$565,MATCH(ROW()-5,$S$6:$S$565,0)),"")</f>
        <v/>
      </c>
      <c r="Z111">
        <f>IF([2]Entry!$E$114="","",[2]Entry!$E$114)</f>
        <v/>
      </c>
      <c r="AA111">
        <f>IF([2]Entry!$G$114="","",[2]Entry!$G$114)</f>
        <v/>
      </c>
      <c r="AB111">
        <f>IF([2]Entry!$J$114="","",[2]Entry!$J$114)</f>
        <v/>
      </c>
      <c r="AC111">
        <f>IF([2]Entry!$K$114="","",[2]Entry!$K$114)</f>
        <v/>
      </c>
      <c r="AD111">
        <f>IF([2]Entry!$L$114="","",[2]Entry!$L$114)</f>
        <v/>
      </c>
      <c r="AE111">
        <f>IF([2]Entry!$M$114="","",[2]Entry!$M$114)</f>
        <v/>
      </c>
      <c r="AF111">
        <f>IF([2]Entry!$N$114="","",[2]Entry!$N$114)</f>
        <v/>
      </c>
      <c r="AG111">
        <f>IF([3]Issues!$B$114="","",[3]Issues!$B$114)</f>
        <v/>
      </c>
      <c r="AH111">
        <f>IF([3]Issues!$D$114="","",[3]Issues!$D$114)</f>
        <v/>
      </c>
      <c r="AI111">
        <f>IF([3]Issues!$E$114="","",[3]Issues!$E$114)</f>
        <v/>
      </c>
      <c r="AJ111">
        <f>IF([2]Entry!$S$114="","",[2]Entry!$S$114)</f>
        <v/>
      </c>
      <c r="AK111">
        <f>IF([2]Entry!$C$114="","",[2]Entry!$C$114)</f>
        <v/>
      </c>
      <c r="AL111">
        <f>IF([2]Entry!$D$114="","",[2]Entry!$D$114)</f>
        <v/>
      </c>
      <c r="AM111">
        <f>IF(AND($F111&lt;&gt;"",$I111&lt;&gt;""),IF($G111="دارایی ثابت",1,0),0)</f>
        <v/>
      </c>
      <c r="AN111">
        <f>SUM($AM$6:$AM111)</f>
        <v/>
      </c>
      <c r="AO111">
        <f>IFERROR(INDEX($F$6:$F$565,MATCH(ROW()-5,$AN$6:$AN$565,0)),"")</f>
        <v/>
      </c>
      <c r="AP111">
        <f>IF(AND($F111&lt;&gt;"",$I111&lt;&gt;""),IF($G111="وام و تسهیلات",1,0),0)</f>
        <v/>
      </c>
      <c r="AQ111">
        <f>SUM($AP$6:$AP111)</f>
        <v/>
      </c>
      <c r="AR111">
        <f>IFERROR(INDEX($F$6:$F$565,MATCH(ROW()-5,$AQ$6:$AQ$565,0)),"")</f>
        <v/>
      </c>
      <c r="AS111">
        <f>IF(AND($F111&lt;&gt;"",$I111&lt;&gt;""),IF($G111="سرمایه و آورده صاحبان",1,0),0)</f>
        <v/>
      </c>
      <c r="AT111">
        <f>SUM($AS$6:$AS111)</f>
        <v/>
      </c>
      <c r="AU111">
        <f>IFERROR(INDEX($F$6:$F$565,MATCH(ROW()-5,$AT$6:$AT$565,0)),"")</f>
        <v/>
      </c>
      <c r="AW111">
        <f>IF([3]Issues!$C$114="","",[3]Issues!$C$114)</f>
        <v/>
      </c>
      <c r="AX111">
        <f>IF([4]Entry!$E$114="","",[4]Entry!$E$114)</f>
        <v/>
      </c>
      <c r="AY111">
        <f>IF([4]Entry!$H$114="","",[4]Entry!$H$114)</f>
        <v/>
      </c>
      <c r="AZ111">
        <f>IF([4]Entry!$I$114="","",[4]Entry!$I$114)</f>
        <v/>
      </c>
    </row>
    <row r="112">
      <c r="F112">
        <f>IF([1]Accounts!$D$113="","",[1]Accounts!$A$113)</f>
        <v/>
      </c>
      <c r="G112">
        <f>IF([1]Accounts!$D$113="","",[1]Accounts!$B$113)</f>
        <v/>
      </c>
      <c r="H112">
        <f>IF([1]Accounts!$D$113="","",[1]Accounts!$C$113)</f>
        <v/>
      </c>
      <c r="I112">
        <f>IF([1]Accounts!$D$113="","",[1]Accounts!$D$113)</f>
        <v/>
      </c>
      <c r="R112">
        <f>IF(AND($F112&lt;&gt;"",$I112&lt;&gt;""),IF(OR($G112="دارایی ثابت",$G112="وام و تسهیلات",$G112="سرمایه و آورده صاحبان"),0,1),0)</f>
        <v/>
      </c>
      <c r="S112">
        <f>SUM($R$6:$R112)</f>
        <v/>
      </c>
      <c r="T112">
        <f>IFERROR(INDEX($F$6:$F$565,MATCH(ROW()-5,$S$6:$S$565,0)),"")</f>
        <v/>
      </c>
      <c r="Z112">
        <f>IF([2]Entry!$E$115="","",[2]Entry!$E$115)</f>
        <v/>
      </c>
      <c r="AA112">
        <f>IF([2]Entry!$G$115="","",[2]Entry!$G$115)</f>
        <v/>
      </c>
      <c r="AB112">
        <f>IF([2]Entry!$J$115="","",[2]Entry!$J$115)</f>
        <v/>
      </c>
      <c r="AC112">
        <f>IF([2]Entry!$K$115="","",[2]Entry!$K$115)</f>
        <v/>
      </c>
      <c r="AD112">
        <f>IF([2]Entry!$L$115="","",[2]Entry!$L$115)</f>
        <v/>
      </c>
      <c r="AE112">
        <f>IF([2]Entry!$M$115="","",[2]Entry!$M$115)</f>
        <v/>
      </c>
      <c r="AF112">
        <f>IF([2]Entry!$N$115="","",[2]Entry!$N$115)</f>
        <v/>
      </c>
      <c r="AG112">
        <f>IF([3]Issues!$B$115="","",[3]Issues!$B$115)</f>
        <v/>
      </c>
      <c r="AH112">
        <f>IF([3]Issues!$D$115="","",[3]Issues!$D$115)</f>
        <v/>
      </c>
      <c r="AI112">
        <f>IF([3]Issues!$E$115="","",[3]Issues!$E$115)</f>
        <v/>
      </c>
      <c r="AJ112">
        <f>IF([2]Entry!$S$115="","",[2]Entry!$S$115)</f>
        <v/>
      </c>
      <c r="AK112">
        <f>IF([2]Entry!$C$115="","",[2]Entry!$C$115)</f>
        <v/>
      </c>
      <c r="AL112">
        <f>IF([2]Entry!$D$115="","",[2]Entry!$D$115)</f>
        <v/>
      </c>
      <c r="AM112">
        <f>IF(AND($F112&lt;&gt;"",$I112&lt;&gt;""),IF($G112="دارایی ثابت",1,0),0)</f>
        <v/>
      </c>
      <c r="AN112">
        <f>SUM($AM$6:$AM112)</f>
        <v/>
      </c>
      <c r="AO112">
        <f>IFERROR(INDEX($F$6:$F$565,MATCH(ROW()-5,$AN$6:$AN$565,0)),"")</f>
        <v/>
      </c>
      <c r="AP112">
        <f>IF(AND($F112&lt;&gt;"",$I112&lt;&gt;""),IF($G112="وام و تسهیلات",1,0),0)</f>
        <v/>
      </c>
      <c r="AQ112">
        <f>SUM($AP$6:$AP112)</f>
        <v/>
      </c>
      <c r="AR112">
        <f>IFERROR(INDEX($F$6:$F$565,MATCH(ROW()-5,$AQ$6:$AQ$565,0)),"")</f>
        <v/>
      </c>
      <c r="AS112">
        <f>IF(AND($F112&lt;&gt;"",$I112&lt;&gt;""),IF($G112="سرمایه و آورده صاحبان",1,0),0)</f>
        <v/>
      </c>
      <c r="AT112">
        <f>SUM($AS$6:$AS112)</f>
        <v/>
      </c>
      <c r="AU112">
        <f>IFERROR(INDEX($F$6:$F$565,MATCH(ROW()-5,$AT$6:$AT$565,0)),"")</f>
        <v/>
      </c>
      <c r="AW112">
        <f>IF([3]Issues!$C$115="","",[3]Issues!$C$115)</f>
        <v/>
      </c>
      <c r="AX112">
        <f>IF([4]Entry!$E$115="","",[4]Entry!$E$115)</f>
        <v/>
      </c>
      <c r="AY112">
        <f>IF([4]Entry!$H$115="","",[4]Entry!$H$115)</f>
        <v/>
      </c>
      <c r="AZ112">
        <f>IF([4]Entry!$I$115="","",[4]Entry!$I$115)</f>
        <v/>
      </c>
    </row>
    <row r="113">
      <c r="F113">
        <f>IF([1]Accounts!$D$114="","",[1]Accounts!$A$114)</f>
        <v/>
      </c>
      <c r="G113">
        <f>IF([1]Accounts!$D$114="","",[1]Accounts!$B$114)</f>
        <v/>
      </c>
      <c r="H113">
        <f>IF([1]Accounts!$D$114="","",[1]Accounts!$C$114)</f>
        <v/>
      </c>
      <c r="I113">
        <f>IF([1]Accounts!$D$114="","",[1]Accounts!$D$114)</f>
        <v/>
      </c>
      <c r="R113">
        <f>IF(AND($F113&lt;&gt;"",$I113&lt;&gt;""),IF(OR($G113="دارایی ثابت",$G113="وام و تسهیلات",$G113="سرمایه و آورده صاحبان"),0,1),0)</f>
        <v/>
      </c>
      <c r="S113">
        <f>SUM($R$6:$R113)</f>
        <v/>
      </c>
      <c r="T113">
        <f>IFERROR(INDEX($F$6:$F$565,MATCH(ROW()-5,$S$6:$S$565,0)),"")</f>
        <v/>
      </c>
      <c r="Z113">
        <f>IF([2]Entry!$E$116="","",[2]Entry!$E$116)</f>
        <v/>
      </c>
      <c r="AA113">
        <f>IF([2]Entry!$G$116="","",[2]Entry!$G$116)</f>
        <v/>
      </c>
      <c r="AB113">
        <f>IF([2]Entry!$J$116="","",[2]Entry!$J$116)</f>
        <v/>
      </c>
      <c r="AC113">
        <f>IF([2]Entry!$K$116="","",[2]Entry!$K$116)</f>
        <v/>
      </c>
      <c r="AD113">
        <f>IF([2]Entry!$L$116="","",[2]Entry!$L$116)</f>
        <v/>
      </c>
      <c r="AE113">
        <f>IF([2]Entry!$M$116="","",[2]Entry!$M$116)</f>
        <v/>
      </c>
      <c r="AF113">
        <f>IF([2]Entry!$N$116="","",[2]Entry!$N$116)</f>
        <v/>
      </c>
      <c r="AG113">
        <f>IF([3]Issues!$B$116="","",[3]Issues!$B$116)</f>
        <v/>
      </c>
      <c r="AH113">
        <f>IF([3]Issues!$D$116="","",[3]Issues!$D$116)</f>
        <v/>
      </c>
      <c r="AI113">
        <f>IF([3]Issues!$E$116="","",[3]Issues!$E$116)</f>
        <v/>
      </c>
      <c r="AJ113">
        <f>IF([2]Entry!$S$116="","",[2]Entry!$S$116)</f>
        <v/>
      </c>
      <c r="AK113">
        <f>IF([2]Entry!$C$116="","",[2]Entry!$C$116)</f>
        <v/>
      </c>
      <c r="AL113">
        <f>IF([2]Entry!$D$116="","",[2]Entry!$D$116)</f>
        <v/>
      </c>
      <c r="AM113">
        <f>IF(AND($F113&lt;&gt;"",$I113&lt;&gt;""),IF($G113="دارایی ثابت",1,0),0)</f>
        <v/>
      </c>
      <c r="AN113">
        <f>SUM($AM$6:$AM113)</f>
        <v/>
      </c>
      <c r="AO113">
        <f>IFERROR(INDEX($F$6:$F$565,MATCH(ROW()-5,$AN$6:$AN$565,0)),"")</f>
        <v/>
      </c>
      <c r="AP113">
        <f>IF(AND($F113&lt;&gt;"",$I113&lt;&gt;""),IF($G113="وام و تسهیلات",1,0),0)</f>
        <v/>
      </c>
      <c r="AQ113">
        <f>SUM($AP$6:$AP113)</f>
        <v/>
      </c>
      <c r="AR113">
        <f>IFERROR(INDEX($F$6:$F$565,MATCH(ROW()-5,$AQ$6:$AQ$565,0)),"")</f>
        <v/>
      </c>
      <c r="AS113">
        <f>IF(AND($F113&lt;&gt;"",$I113&lt;&gt;""),IF($G113="سرمایه و آورده صاحبان",1,0),0)</f>
        <v/>
      </c>
      <c r="AT113">
        <f>SUM($AS$6:$AS113)</f>
        <v/>
      </c>
      <c r="AU113">
        <f>IFERROR(INDEX($F$6:$F$565,MATCH(ROW()-5,$AT$6:$AT$565,0)),"")</f>
        <v/>
      </c>
      <c r="AW113">
        <f>IF([3]Issues!$C$116="","",[3]Issues!$C$116)</f>
        <v/>
      </c>
      <c r="AX113">
        <f>IF([4]Entry!$E$116="","",[4]Entry!$E$116)</f>
        <v/>
      </c>
      <c r="AY113">
        <f>IF([4]Entry!$H$116="","",[4]Entry!$H$116)</f>
        <v/>
      </c>
      <c r="AZ113">
        <f>IF([4]Entry!$I$116="","",[4]Entry!$I$116)</f>
        <v/>
      </c>
    </row>
    <row r="114">
      <c r="F114">
        <f>IF([1]Accounts!$D$115="","",[1]Accounts!$A$115)</f>
        <v/>
      </c>
      <c r="G114">
        <f>IF([1]Accounts!$D$115="","",[1]Accounts!$B$115)</f>
        <v/>
      </c>
      <c r="H114">
        <f>IF([1]Accounts!$D$115="","",[1]Accounts!$C$115)</f>
        <v/>
      </c>
      <c r="I114">
        <f>IF([1]Accounts!$D$115="","",[1]Accounts!$D$115)</f>
        <v/>
      </c>
      <c r="R114">
        <f>IF(AND($F114&lt;&gt;"",$I114&lt;&gt;""),IF(OR($G114="دارایی ثابت",$G114="وام و تسهیلات",$G114="سرمایه و آورده صاحبان"),0,1),0)</f>
        <v/>
      </c>
      <c r="S114">
        <f>SUM($R$6:$R114)</f>
        <v/>
      </c>
      <c r="T114">
        <f>IFERROR(INDEX($F$6:$F$565,MATCH(ROW()-5,$S$6:$S$565,0)),"")</f>
        <v/>
      </c>
      <c r="Z114">
        <f>IF([2]Entry!$E$117="","",[2]Entry!$E$117)</f>
        <v/>
      </c>
      <c r="AA114">
        <f>IF([2]Entry!$G$117="","",[2]Entry!$G$117)</f>
        <v/>
      </c>
      <c r="AB114">
        <f>IF([2]Entry!$J$117="","",[2]Entry!$J$117)</f>
        <v/>
      </c>
      <c r="AC114">
        <f>IF([2]Entry!$K$117="","",[2]Entry!$K$117)</f>
        <v/>
      </c>
      <c r="AD114">
        <f>IF([2]Entry!$L$117="","",[2]Entry!$L$117)</f>
        <v/>
      </c>
      <c r="AE114">
        <f>IF([2]Entry!$M$117="","",[2]Entry!$M$117)</f>
        <v/>
      </c>
      <c r="AF114">
        <f>IF([2]Entry!$N$117="","",[2]Entry!$N$117)</f>
        <v/>
      </c>
      <c r="AG114">
        <f>IF([3]Issues!$B$117="","",[3]Issues!$B$117)</f>
        <v/>
      </c>
      <c r="AH114">
        <f>IF([3]Issues!$D$117="","",[3]Issues!$D$117)</f>
        <v/>
      </c>
      <c r="AI114">
        <f>IF([3]Issues!$E$117="","",[3]Issues!$E$117)</f>
        <v/>
      </c>
      <c r="AJ114">
        <f>IF([2]Entry!$S$117="","",[2]Entry!$S$117)</f>
        <v/>
      </c>
      <c r="AK114">
        <f>IF([2]Entry!$C$117="","",[2]Entry!$C$117)</f>
        <v/>
      </c>
      <c r="AL114">
        <f>IF([2]Entry!$D$117="","",[2]Entry!$D$117)</f>
        <v/>
      </c>
      <c r="AM114">
        <f>IF(AND($F114&lt;&gt;"",$I114&lt;&gt;""),IF($G114="دارایی ثابت",1,0),0)</f>
        <v/>
      </c>
      <c r="AN114">
        <f>SUM($AM$6:$AM114)</f>
        <v/>
      </c>
      <c r="AO114">
        <f>IFERROR(INDEX($F$6:$F$565,MATCH(ROW()-5,$AN$6:$AN$565,0)),"")</f>
        <v/>
      </c>
      <c r="AP114">
        <f>IF(AND($F114&lt;&gt;"",$I114&lt;&gt;""),IF($G114="وام و تسهیلات",1,0),0)</f>
        <v/>
      </c>
      <c r="AQ114">
        <f>SUM($AP$6:$AP114)</f>
        <v/>
      </c>
      <c r="AR114">
        <f>IFERROR(INDEX($F$6:$F$565,MATCH(ROW()-5,$AQ$6:$AQ$565,0)),"")</f>
        <v/>
      </c>
      <c r="AS114">
        <f>IF(AND($F114&lt;&gt;"",$I114&lt;&gt;""),IF($G114="سرمایه و آورده صاحبان",1,0),0)</f>
        <v/>
      </c>
      <c r="AT114">
        <f>SUM($AS$6:$AS114)</f>
        <v/>
      </c>
      <c r="AU114">
        <f>IFERROR(INDEX($F$6:$F$565,MATCH(ROW()-5,$AT$6:$AT$565,0)),"")</f>
        <v/>
      </c>
      <c r="AW114">
        <f>IF([3]Issues!$C$117="","",[3]Issues!$C$117)</f>
        <v/>
      </c>
      <c r="AX114">
        <f>IF([4]Entry!$E$117="","",[4]Entry!$E$117)</f>
        <v/>
      </c>
      <c r="AY114">
        <f>IF([4]Entry!$H$117="","",[4]Entry!$H$117)</f>
        <v/>
      </c>
      <c r="AZ114">
        <f>IF([4]Entry!$I$117="","",[4]Entry!$I$117)</f>
        <v/>
      </c>
    </row>
    <row r="115">
      <c r="F115">
        <f>IF([1]Accounts!$D$116="","",[1]Accounts!$A$116)</f>
        <v/>
      </c>
      <c r="G115">
        <f>IF([1]Accounts!$D$116="","",[1]Accounts!$B$116)</f>
        <v/>
      </c>
      <c r="H115">
        <f>IF([1]Accounts!$D$116="","",[1]Accounts!$C$116)</f>
        <v/>
      </c>
      <c r="I115">
        <f>IF([1]Accounts!$D$116="","",[1]Accounts!$D$116)</f>
        <v/>
      </c>
      <c r="R115">
        <f>IF(AND($F115&lt;&gt;"",$I115&lt;&gt;""),IF(OR($G115="دارایی ثابت",$G115="وام و تسهیلات",$G115="سرمایه و آورده صاحبان"),0,1),0)</f>
        <v/>
      </c>
      <c r="S115">
        <f>SUM($R$6:$R115)</f>
        <v/>
      </c>
      <c r="T115">
        <f>IFERROR(INDEX($F$6:$F$565,MATCH(ROW()-5,$S$6:$S$565,0)),"")</f>
        <v/>
      </c>
      <c r="Z115">
        <f>IF([2]Entry!$E$118="","",[2]Entry!$E$118)</f>
        <v/>
      </c>
      <c r="AA115">
        <f>IF([2]Entry!$G$118="","",[2]Entry!$G$118)</f>
        <v/>
      </c>
      <c r="AB115">
        <f>IF([2]Entry!$J$118="","",[2]Entry!$J$118)</f>
        <v/>
      </c>
      <c r="AC115">
        <f>IF([2]Entry!$K$118="","",[2]Entry!$K$118)</f>
        <v/>
      </c>
      <c r="AD115">
        <f>IF([2]Entry!$L$118="","",[2]Entry!$L$118)</f>
        <v/>
      </c>
      <c r="AE115">
        <f>IF([2]Entry!$M$118="","",[2]Entry!$M$118)</f>
        <v/>
      </c>
      <c r="AF115">
        <f>IF([2]Entry!$N$118="","",[2]Entry!$N$118)</f>
        <v/>
      </c>
      <c r="AG115">
        <f>IF([3]Issues!$B$118="","",[3]Issues!$B$118)</f>
        <v/>
      </c>
      <c r="AH115">
        <f>IF([3]Issues!$D$118="","",[3]Issues!$D$118)</f>
        <v/>
      </c>
      <c r="AI115">
        <f>IF([3]Issues!$E$118="","",[3]Issues!$E$118)</f>
        <v/>
      </c>
      <c r="AJ115">
        <f>IF([2]Entry!$S$118="","",[2]Entry!$S$118)</f>
        <v/>
      </c>
      <c r="AK115">
        <f>IF([2]Entry!$C$118="","",[2]Entry!$C$118)</f>
        <v/>
      </c>
      <c r="AL115">
        <f>IF([2]Entry!$D$118="","",[2]Entry!$D$118)</f>
        <v/>
      </c>
      <c r="AM115">
        <f>IF(AND($F115&lt;&gt;"",$I115&lt;&gt;""),IF($G115="دارایی ثابت",1,0),0)</f>
        <v/>
      </c>
      <c r="AN115">
        <f>SUM($AM$6:$AM115)</f>
        <v/>
      </c>
      <c r="AO115">
        <f>IFERROR(INDEX($F$6:$F$565,MATCH(ROW()-5,$AN$6:$AN$565,0)),"")</f>
        <v/>
      </c>
      <c r="AP115">
        <f>IF(AND($F115&lt;&gt;"",$I115&lt;&gt;""),IF($G115="وام و تسهیلات",1,0),0)</f>
        <v/>
      </c>
      <c r="AQ115">
        <f>SUM($AP$6:$AP115)</f>
        <v/>
      </c>
      <c r="AR115">
        <f>IFERROR(INDEX($F$6:$F$565,MATCH(ROW()-5,$AQ$6:$AQ$565,0)),"")</f>
        <v/>
      </c>
      <c r="AS115">
        <f>IF(AND($F115&lt;&gt;"",$I115&lt;&gt;""),IF($G115="سرمایه و آورده صاحبان",1,0),0)</f>
        <v/>
      </c>
      <c r="AT115">
        <f>SUM($AS$6:$AS115)</f>
        <v/>
      </c>
      <c r="AU115">
        <f>IFERROR(INDEX($F$6:$F$565,MATCH(ROW()-5,$AT$6:$AT$565,0)),"")</f>
        <v/>
      </c>
      <c r="AW115">
        <f>IF([3]Issues!$C$118="","",[3]Issues!$C$118)</f>
        <v/>
      </c>
      <c r="AX115">
        <f>IF([4]Entry!$E$118="","",[4]Entry!$E$118)</f>
        <v/>
      </c>
      <c r="AY115">
        <f>IF([4]Entry!$H$118="","",[4]Entry!$H$118)</f>
        <v/>
      </c>
      <c r="AZ115">
        <f>IF([4]Entry!$I$118="","",[4]Entry!$I$118)</f>
        <v/>
      </c>
    </row>
    <row r="116">
      <c r="F116">
        <f>IF([1]Accounts!$D$117="","",[1]Accounts!$A$117)</f>
        <v/>
      </c>
      <c r="G116">
        <f>IF([1]Accounts!$D$117="","",[1]Accounts!$B$117)</f>
        <v/>
      </c>
      <c r="H116">
        <f>IF([1]Accounts!$D$117="","",[1]Accounts!$C$117)</f>
        <v/>
      </c>
      <c r="I116">
        <f>IF([1]Accounts!$D$117="","",[1]Accounts!$D$117)</f>
        <v/>
      </c>
      <c r="R116">
        <f>IF(AND($F116&lt;&gt;"",$I116&lt;&gt;""),IF(OR($G116="دارایی ثابت",$G116="وام و تسهیلات",$G116="سرمایه و آورده صاحبان"),0,1),0)</f>
        <v/>
      </c>
      <c r="S116">
        <f>SUM($R$6:$R116)</f>
        <v/>
      </c>
      <c r="T116">
        <f>IFERROR(INDEX($F$6:$F$565,MATCH(ROW()-5,$S$6:$S$565,0)),"")</f>
        <v/>
      </c>
      <c r="Z116">
        <f>IF([2]Entry!$E$119="","",[2]Entry!$E$119)</f>
        <v/>
      </c>
      <c r="AA116">
        <f>IF([2]Entry!$G$119="","",[2]Entry!$G$119)</f>
        <v/>
      </c>
      <c r="AB116">
        <f>IF([2]Entry!$J$119="","",[2]Entry!$J$119)</f>
        <v/>
      </c>
      <c r="AC116">
        <f>IF([2]Entry!$K$119="","",[2]Entry!$K$119)</f>
        <v/>
      </c>
      <c r="AD116">
        <f>IF([2]Entry!$L$119="","",[2]Entry!$L$119)</f>
        <v/>
      </c>
      <c r="AE116">
        <f>IF([2]Entry!$M$119="","",[2]Entry!$M$119)</f>
        <v/>
      </c>
      <c r="AF116">
        <f>IF([2]Entry!$N$119="","",[2]Entry!$N$119)</f>
        <v/>
      </c>
      <c r="AG116">
        <f>IF([3]Issues!$B$119="","",[3]Issues!$B$119)</f>
        <v/>
      </c>
      <c r="AH116">
        <f>IF([3]Issues!$D$119="","",[3]Issues!$D$119)</f>
        <v/>
      </c>
      <c r="AI116">
        <f>IF([3]Issues!$E$119="","",[3]Issues!$E$119)</f>
        <v/>
      </c>
      <c r="AJ116">
        <f>IF([2]Entry!$S$119="","",[2]Entry!$S$119)</f>
        <v/>
      </c>
      <c r="AK116">
        <f>IF([2]Entry!$C$119="","",[2]Entry!$C$119)</f>
        <v/>
      </c>
      <c r="AL116">
        <f>IF([2]Entry!$D$119="","",[2]Entry!$D$119)</f>
        <v/>
      </c>
      <c r="AM116">
        <f>IF(AND($F116&lt;&gt;"",$I116&lt;&gt;""),IF($G116="دارایی ثابت",1,0),0)</f>
        <v/>
      </c>
      <c r="AN116">
        <f>SUM($AM$6:$AM116)</f>
        <v/>
      </c>
      <c r="AO116">
        <f>IFERROR(INDEX($F$6:$F$565,MATCH(ROW()-5,$AN$6:$AN$565,0)),"")</f>
        <v/>
      </c>
      <c r="AP116">
        <f>IF(AND($F116&lt;&gt;"",$I116&lt;&gt;""),IF($G116="وام و تسهیلات",1,0),0)</f>
        <v/>
      </c>
      <c r="AQ116">
        <f>SUM($AP$6:$AP116)</f>
        <v/>
      </c>
      <c r="AR116">
        <f>IFERROR(INDEX($F$6:$F$565,MATCH(ROW()-5,$AQ$6:$AQ$565,0)),"")</f>
        <v/>
      </c>
      <c r="AS116">
        <f>IF(AND($F116&lt;&gt;"",$I116&lt;&gt;""),IF($G116="سرمایه و آورده صاحبان",1,0),0)</f>
        <v/>
      </c>
      <c r="AT116">
        <f>SUM($AS$6:$AS116)</f>
        <v/>
      </c>
      <c r="AU116">
        <f>IFERROR(INDEX($F$6:$F$565,MATCH(ROW()-5,$AT$6:$AT$565,0)),"")</f>
        <v/>
      </c>
      <c r="AW116">
        <f>IF([3]Issues!$C$119="","",[3]Issues!$C$119)</f>
        <v/>
      </c>
      <c r="AX116">
        <f>IF([4]Entry!$E$119="","",[4]Entry!$E$119)</f>
        <v/>
      </c>
      <c r="AY116">
        <f>IF([4]Entry!$H$119="","",[4]Entry!$H$119)</f>
        <v/>
      </c>
      <c r="AZ116">
        <f>IF([4]Entry!$I$119="","",[4]Entry!$I$119)</f>
        <v/>
      </c>
    </row>
    <row r="117">
      <c r="F117">
        <f>IF([1]Accounts!$D$118="","",[1]Accounts!$A$118)</f>
        <v/>
      </c>
      <c r="G117">
        <f>IF([1]Accounts!$D$118="","",[1]Accounts!$B$118)</f>
        <v/>
      </c>
      <c r="H117">
        <f>IF([1]Accounts!$D$118="","",[1]Accounts!$C$118)</f>
        <v/>
      </c>
      <c r="I117">
        <f>IF([1]Accounts!$D$118="","",[1]Accounts!$D$118)</f>
        <v/>
      </c>
      <c r="R117">
        <f>IF(AND($F117&lt;&gt;"",$I117&lt;&gt;""),IF(OR($G117="دارایی ثابت",$G117="وام و تسهیلات",$G117="سرمایه و آورده صاحبان"),0,1),0)</f>
        <v/>
      </c>
      <c r="S117">
        <f>SUM($R$6:$R117)</f>
        <v/>
      </c>
      <c r="T117">
        <f>IFERROR(INDEX($F$6:$F$565,MATCH(ROW()-5,$S$6:$S$565,0)),"")</f>
        <v/>
      </c>
      <c r="Z117">
        <f>IF([2]Entry!$E$120="","",[2]Entry!$E$120)</f>
        <v/>
      </c>
      <c r="AA117">
        <f>IF([2]Entry!$G$120="","",[2]Entry!$G$120)</f>
        <v/>
      </c>
      <c r="AB117">
        <f>IF([2]Entry!$J$120="","",[2]Entry!$J$120)</f>
        <v/>
      </c>
      <c r="AC117">
        <f>IF([2]Entry!$K$120="","",[2]Entry!$K$120)</f>
        <v/>
      </c>
      <c r="AD117">
        <f>IF([2]Entry!$L$120="","",[2]Entry!$L$120)</f>
        <v/>
      </c>
      <c r="AE117">
        <f>IF([2]Entry!$M$120="","",[2]Entry!$M$120)</f>
        <v/>
      </c>
      <c r="AF117">
        <f>IF([2]Entry!$N$120="","",[2]Entry!$N$120)</f>
        <v/>
      </c>
      <c r="AG117">
        <f>IF([3]Issues!$B$120="","",[3]Issues!$B$120)</f>
        <v/>
      </c>
      <c r="AH117">
        <f>IF([3]Issues!$D$120="","",[3]Issues!$D$120)</f>
        <v/>
      </c>
      <c r="AI117">
        <f>IF([3]Issues!$E$120="","",[3]Issues!$E$120)</f>
        <v/>
      </c>
      <c r="AJ117">
        <f>IF([2]Entry!$S$120="","",[2]Entry!$S$120)</f>
        <v/>
      </c>
      <c r="AK117">
        <f>IF([2]Entry!$C$120="","",[2]Entry!$C$120)</f>
        <v/>
      </c>
      <c r="AL117">
        <f>IF([2]Entry!$D$120="","",[2]Entry!$D$120)</f>
        <v/>
      </c>
      <c r="AM117">
        <f>IF(AND($F117&lt;&gt;"",$I117&lt;&gt;""),IF($G117="دارایی ثابت",1,0),0)</f>
        <v/>
      </c>
      <c r="AN117">
        <f>SUM($AM$6:$AM117)</f>
        <v/>
      </c>
      <c r="AO117">
        <f>IFERROR(INDEX($F$6:$F$565,MATCH(ROW()-5,$AN$6:$AN$565,0)),"")</f>
        <v/>
      </c>
      <c r="AP117">
        <f>IF(AND($F117&lt;&gt;"",$I117&lt;&gt;""),IF($G117="وام و تسهیلات",1,0),0)</f>
        <v/>
      </c>
      <c r="AQ117">
        <f>SUM($AP$6:$AP117)</f>
        <v/>
      </c>
      <c r="AR117">
        <f>IFERROR(INDEX($F$6:$F$565,MATCH(ROW()-5,$AQ$6:$AQ$565,0)),"")</f>
        <v/>
      </c>
      <c r="AS117">
        <f>IF(AND($F117&lt;&gt;"",$I117&lt;&gt;""),IF($G117="سرمایه و آورده صاحبان",1,0),0)</f>
        <v/>
      </c>
      <c r="AT117">
        <f>SUM($AS$6:$AS117)</f>
        <v/>
      </c>
      <c r="AU117">
        <f>IFERROR(INDEX($F$6:$F$565,MATCH(ROW()-5,$AT$6:$AT$565,0)),"")</f>
        <v/>
      </c>
      <c r="AW117">
        <f>IF([3]Issues!$C$120="","",[3]Issues!$C$120)</f>
        <v/>
      </c>
      <c r="AX117">
        <f>IF([4]Entry!$E$120="","",[4]Entry!$E$120)</f>
        <v/>
      </c>
      <c r="AY117">
        <f>IF([4]Entry!$H$120="","",[4]Entry!$H$120)</f>
        <v/>
      </c>
      <c r="AZ117">
        <f>IF([4]Entry!$I$120="","",[4]Entry!$I$120)</f>
        <v/>
      </c>
    </row>
    <row r="118">
      <c r="F118">
        <f>IF([1]Accounts!$D$119="","",[1]Accounts!$A$119)</f>
        <v/>
      </c>
      <c r="G118">
        <f>IF([1]Accounts!$D$119="","",[1]Accounts!$B$119)</f>
        <v/>
      </c>
      <c r="H118">
        <f>IF([1]Accounts!$D$119="","",[1]Accounts!$C$119)</f>
        <v/>
      </c>
      <c r="I118">
        <f>IF([1]Accounts!$D$119="","",[1]Accounts!$D$119)</f>
        <v/>
      </c>
      <c r="R118">
        <f>IF(AND($F118&lt;&gt;"",$I118&lt;&gt;""),IF(OR($G118="دارایی ثابت",$G118="وام و تسهیلات",$G118="سرمایه و آورده صاحبان"),0,1),0)</f>
        <v/>
      </c>
      <c r="S118">
        <f>SUM($R$6:$R118)</f>
        <v/>
      </c>
      <c r="T118">
        <f>IFERROR(INDEX($F$6:$F$565,MATCH(ROW()-5,$S$6:$S$565,0)),"")</f>
        <v/>
      </c>
      <c r="Z118">
        <f>IF([2]Entry!$E$121="","",[2]Entry!$E$121)</f>
        <v/>
      </c>
      <c r="AA118">
        <f>IF([2]Entry!$G$121="","",[2]Entry!$G$121)</f>
        <v/>
      </c>
      <c r="AB118">
        <f>IF([2]Entry!$J$121="","",[2]Entry!$J$121)</f>
        <v/>
      </c>
      <c r="AC118">
        <f>IF([2]Entry!$K$121="","",[2]Entry!$K$121)</f>
        <v/>
      </c>
      <c r="AD118">
        <f>IF([2]Entry!$L$121="","",[2]Entry!$L$121)</f>
        <v/>
      </c>
      <c r="AE118">
        <f>IF([2]Entry!$M$121="","",[2]Entry!$M$121)</f>
        <v/>
      </c>
      <c r="AF118">
        <f>IF([2]Entry!$N$121="","",[2]Entry!$N$121)</f>
        <v/>
      </c>
      <c r="AG118">
        <f>IF([3]Issues!$B$121="","",[3]Issues!$B$121)</f>
        <v/>
      </c>
      <c r="AH118">
        <f>IF([3]Issues!$D$121="","",[3]Issues!$D$121)</f>
        <v/>
      </c>
      <c r="AI118">
        <f>IF([3]Issues!$E$121="","",[3]Issues!$E$121)</f>
        <v/>
      </c>
      <c r="AJ118">
        <f>IF([2]Entry!$S$121="","",[2]Entry!$S$121)</f>
        <v/>
      </c>
      <c r="AK118">
        <f>IF([2]Entry!$C$121="","",[2]Entry!$C$121)</f>
        <v/>
      </c>
      <c r="AL118">
        <f>IF([2]Entry!$D$121="","",[2]Entry!$D$121)</f>
        <v/>
      </c>
      <c r="AM118">
        <f>IF(AND($F118&lt;&gt;"",$I118&lt;&gt;""),IF($G118="دارایی ثابت",1,0),0)</f>
        <v/>
      </c>
      <c r="AN118">
        <f>SUM($AM$6:$AM118)</f>
        <v/>
      </c>
      <c r="AO118">
        <f>IFERROR(INDEX($F$6:$F$565,MATCH(ROW()-5,$AN$6:$AN$565,0)),"")</f>
        <v/>
      </c>
      <c r="AP118">
        <f>IF(AND($F118&lt;&gt;"",$I118&lt;&gt;""),IF($G118="وام و تسهیلات",1,0),0)</f>
        <v/>
      </c>
      <c r="AQ118">
        <f>SUM($AP$6:$AP118)</f>
        <v/>
      </c>
      <c r="AR118">
        <f>IFERROR(INDEX($F$6:$F$565,MATCH(ROW()-5,$AQ$6:$AQ$565,0)),"")</f>
        <v/>
      </c>
      <c r="AS118">
        <f>IF(AND($F118&lt;&gt;"",$I118&lt;&gt;""),IF($G118="سرمایه و آورده صاحبان",1,0),0)</f>
        <v/>
      </c>
      <c r="AT118">
        <f>SUM($AS$6:$AS118)</f>
        <v/>
      </c>
      <c r="AU118">
        <f>IFERROR(INDEX($F$6:$F$565,MATCH(ROW()-5,$AT$6:$AT$565,0)),"")</f>
        <v/>
      </c>
      <c r="AW118">
        <f>IF([3]Issues!$C$121="","",[3]Issues!$C$121)</f>
        <v/>
      </c>
      <c r="AX118">
        <f>IF([4]Entry!$E$121="","",[4]Entry!$E$121)</f>
        <v/>
      </c>
      <c r="AY118">
        <f>IF([4]Entry!$H$121="","",[4]Entry!$H$121)</f>
        <v/>
      </c>
      <c r="AZ118">
        <f>IF([4]Entry!$I$121="","",[4]Entry!$I$121)</f>
        <v/>
      </c>
    </row>
    <row r="119">
      <c r="F119">
        <f>IF([1]Accounts!$D$120="","",[1]Accounts!$A$120)</f>
        <v/>
      </c>
      <c r="G119">
        <f>IF([1]Accounts!$D$120="","",[1]Accounts!$B$120)</f>
        <v/>
      </c>
      <c r="H119">
        <f>IF([1]Accounts!$D$120="","",[1]Accounts!$C$120)</f>
        <v/>
      </c>
      <c r="I119">
        <f>IF([1]Accounts!$D$120="","",[1]Accounts!$D$120)</f>
        <v/>
      </c>
      <c r="R119">
        <f>IF(AND($F119&lt;&gt;"",$I119&lt;&gt;""),IF(OR($G119="دارایی ثابت",$G119="وام و تسهیلات",$G119="سرمایه و آورده صاحبان"),0,1),0)</f>
        <v/>
      </c>
      <c r="S119">
        <f>SUM($R$6:$R119)</f>
        <v/>
      </c>
      <c r="T119">
        <f>IFERROR(INDEX($F$6:$F$565,MATCH(ROW()-5,$S$6:$S$565,0)),"")</f>
        <v/>
      </c>
      <c r="Z119">
        <f>IF([2]Entry!$E$122="","",[2]Entry!$E$122)</f>
        <v/>
      </c>
      <c r="AA119">
        <f>IF([2]Entry!$G$122="","",[2]Entry!$G$122)</f>
        <v/>
      </c>
      <c r="AB119">
        <f>IF([2]Entry!$J$122="","",[2]Entry!$J$122)</f>
        <v/>
      </c>
      <c r="AC119">
        <f>IF([2]Entry!$K$122="","",[2]Entry!$K$122)</f>
        <v/>
      </c>
      <c r="AD119">
        <f>IF([2]Entry!$L$122="","",[2]Entry!$L$122)</f>
        <v/>
      </c>
      <c r="AE119">
        <f>IF([2]Entry!$M$122="","",[2]Entry!$M$122)</f>
        <v/>
      </c>
      <c r="AF119">
        <f>IF([2]Entry!$N$122="","",[2]Entry!$N$122)</f>
        <v/>
      </c>
      <c r="AG119">
        <f>IF([3]Issues!$B$122="","",[3]Issues!$B$122)</f>
        <v/>
      </c>
      <c r="AH119">
        <f>IF([3]Issues!$D$122="","",[3]Issues!$D$122)</f>
        <v/>
      </c>
      <c r="AI119">
        <f>IF([3]Issues!$E$122="","",[3]Issues!$E$122)</f>
        <v/>
      </c>
      <c r="AJ119">
        <f>IF([2]Entry!$S$122="","",[2]Entry!$S$122)</f>
        <v/>
      </c>
      <c r="AK119">
        <f>IF([2]Entry!$C$122="","",[2]Entry!$C$122)</f>
        <v/>
      </c>
      <c r="AL119">
        <f>IF([2]Entry!$D$122="","",[2]Entry!$D$122)</f>
        <v/>
      </c>
      <c r="AM119">
        <f>IF(AND($F119&lt;&gt;"",$I119&lt;&gt;""),IF($G119="دارایی ثابت",1,0),0)</f>
        <v/>
      </c>
      <c r="AN119">
        <f>SUM($AM$6:$AM119)</f>
        <v/>
      </c>
      <c r="AO119">
        <f>IFERROR(INDEX($F$6:$F$565,MATCH(ROW()-5,$AN$6:$AN$565,0)),"")</f>
        <v/>
      </c>
      <c r="AP119">
        <f>IF(AND($F119&lt;&gt;"",$I119&lt;&gt;""),IF($G119="وام و تسهیلات",1,0),0)</f>
        <v/>
      </c>
      <c r="AQ119">
        <f>SUM($AP$6:$AP119)</f>
        <v/>
      </c>
      <c r="AR119">
        <f>IFERROR(INDEX($F$6:$F$565,MATCH(ROW()-5,$AQ$6:$AQ$565,0)),"")</f>
        <v/>
      </c>
      <c r="AS119">
        <f>IF(AND($F119&lt;&gt;"",$I119&lt;&gt;""),IF($G119="سرمایه و آورده صاحبان",1,0),0)</f>
        <v/>
      </c>
      <c r="AT119">
        <f>SUM($AS$6:$AS119)</f>
        <v/>
      </c>
      <c r="AU119">
        <f>IFERROR(INDEX($F$6:$F$565,MATCH(ROW()-5,$AT$6:$AT$565,0)),"")</f>
        <v/>
      </c>
      <c r="AW119">
        <f>IF([3]Issues!$C$122="","",[3]Issues!$C$122)</f>
        <v/>
      </c>
      <c r="AX119">
        <f>IF([4]Entry!$E$122="","",[4]Entry!$E$122)</f>
        <v/>
      </c>
      <c r="AY119">
        <f>IF([4]Entry!$H$122="","",[4]Entry!$H$122)</f>
        <v/>
      </c>
      <c r="AZ119">
        <f>IF([4]Entry!$I$122="","",[4]Entry!$I$122)</f>
        <v/>
      </c>
    </row>
    <row r="120">
      <c r="F120">
        <f>IF([1]Accounts!$D$121="","",[1]Accounts!$A$121)</f>
        <v/>
      </c>
      <c r="G120">
        <f>IF([1]Accounts!$D$121="","",[1]Accounts!$B$121)</f>
        <v/>
      </c>
      <c r="H120">
        <f>IF([1]Accounts!$D$121="","",[1]Accounts!$C$121)</f>
        <v/>
      </c>
      <c r="I120">
        <f>IF([1]Accounts!$D$121="","",[1]Accounts!$D$121)</f>
        <v/>
      </c>
      <c r="R120">
        <f>IF(AND($F120&lt;&gt;"",$I120&lt;&gt;""),IF(OR($G120="دارایی ثابت",$G120="وام و تسهیلات",$G120="سرمایه و آورده صاحبان"),0,1),0)</f>
        <v/>
      </c>
      <c r="S120">
        <f>SUM($R$6:$R120)</f>
        <v/>
      </c>
      <c r="T120">
        <f>IFERROR(INDEX($F$6:$F$565,MATCH(ROW()-5,$S$6:$S$565,0)),"")</f>
        <v/>
      </c>
      <c r="Z120">
        <f>IF([2]Entry!$E$123="","",[2]Entry!$E$123)</f>
        <v/>
      </c>
      <c r="AA120">
        <f>IF([2]Entry!$G$123="","",[2]Entry!$G$123)</f>
        <v/>
      </c>
      <c r="AB120">
        <f>IF([2]Entry!$J$123="","",[2]Entry!$J$123)</f>
        <v/>
      </c>
      <c r="AC120">
        <f>IF([2]Entry!$K$123="","",[2]Entry!$K$123)</f>
        <v/>
      </c>
      <c r="AD120">
        <f>IF([2]Entry!$L$123="","",[2]Entry!$L$123)</f>
        <v/>
      </c>
      <c r="AE120">
        <f>IF([2]Entry!$M$123="","",[2]Entry!$M$123)</f>
        <v/>
      </c>
      <c r="AF120">
        <f>IF([2]Entry!$N$123="","",[2]Entry!$N$123)</f>
        <v/>
      </c>
      <c r="AG120">
        <f>IF([3]Issues!$B$123="","",[3]Issues!$B$123)</f>
        <v/>
      </c>
      <c r="AH120">
        <f>IF([3]Issues!$D$123="","",[3]Issues!$D$123)</f>
        <v/>
      </c>
      <c r="AI120">
        <f>IF([3]Issues!$E$123="","",[3]Issues!$E$123)</f>
        <v/>
      </c>
      <c r="AJ120">
        <f>IF([2]Entry!$S$123="","",[2]Entry!$S$123)</f>
        <v/>
      </c>
      <c r="AK120">
        <f>IF([2]Entry!$C$123="","",[2]Entry!$C$123)</f>
        <v/>
      </c>
      <c r="AL120">
        <f>IF([2]Entry!$D$123="","",[2]Entry!$D$123)</f>
        <v/>
      </c>
      <c r="AM120">
        <f>IF(AND($F120&lt;&gt;"",$I120&lt;&gt;""),IF($G120="دارایی ثابت",1,0),0)</f>
        <v/>
      </c>
      <c r="AN120">
        <f>SUM($AM$6:$AM120)</f>
        <v/>
      </c>
      <c r="AO120">
        <f>IFERROR(INDEX($F$6:$F$565,MATCH(ROW()-5,$AN$6:$AN$565,0)),"")</f>
        <v/>
      </c>
      <c r="AP120">
        <f>IF(AND($F120&lt;&gt;"",$I120&lt;&gt;""),IF($G120="وام و تسهیلات",1,0),0)</f>
        <v/>
      </c>
      <c r="AQ120">
        <f>SUM($AP$6:$AP120)</f>
        <v/>
      </c>
      <c r="AR120">
        <f>IFERROR(INDEX($F$6:$F$565,MATCH(ROW()-5,$AQ$6:$AQ$565,0)),"")</f>
        <v/>
      </c>
      <c r="AS120">
        <f>IF(AND($F120&lt;&gt;"",$I120&lt;&gt;""),IF($G120="سرمایه و آورده صاحبان",1,0),0)</f>
        <v/>
      </c>
      <c r="AT120">
        <f>SUM($AS$6:$AS120)</f>
        <v/>
      </c>
      <c r="AU120">
        <f>IFERROR(INDEX($F$6:$F$565,MATCH(ROW()-5,$AT$6:$AT$565,0)),"")</f>
        <v/>
      </c>
      <c r="AW120">
        <f>IF([3]Issues!$C$123="","",[3]Issues!$C$123)</f>
        <v/>
      </c>
      <c r="AX120">
        <f>IF([4]Entry!$E$123="","",[4]Entry!$E$123)</f>
        <v/>
      </c>
      <c r="AY120">
        <f>IF([4]Entry!$H$123="","",[4]Entry!$H$123)</f>
        <v/>
      </c>
      <c r="AZ120">
        <f>IF([4]Entry!$I$123="","",[4]Entry!$I$123)</f>
        <v/>
      </c>
    </row>
    <row r="121">
      <c r="F121">
        <f>IF([1]Accounts!$D$122="","",[1]Accounts!$A$122)</f>
        <v/>
      </c>
      <c r="G121">
        <f>IF([1]Accounts!$D$122="","",[1]Accounts!$B$122)</f>
        <v/>
      </c>
      <c r="H121">
        <f>IF([1]Accounts!$D$122="","",[1]Accounts!$C$122)</f>
        <v/>
      </c>
      <c r="I121">
        <f>IF([1]Accounts!$D$122="","",[1]Accounts!$D$122)</f>
        <v/>
      </c>
      <c r="R121">
        <f>IF(AND($F121&lt;&gt;"",$I121&lt;&gt;""),IF(OR($G121="دارایی ثابت",$G121="وام و تسهیلات",$G121="سرمایه و آورده صاحبان"),0,1),0)</f>
        <v/>
      </c>
      <c r="S121">
        <f>SUM($R$6:$R121)</f>
        <v/>
      </c>
      <c r="T121">
        <f>IFERROR(INDEX($F$6:$F$565,MATCH(ROW()-5,$S$6:$S$565,0)),"")</f>
        <v/>
      </c>
      <c r="Z121">
        <f>IF([2]Entry!$E$124="","",[2]Entry!$E$124)</f>
        <v/>
      </c>
      <c r="AA121">
        <f>IF([2]Entry!$G$124="","",[2]Entry!$G$124)</f>
        <v/>
      </c>
      <c r="AB121">
        <f>IF([2]Entry!$J$124="","",[2]Entry!$J$124)</f>
        <v/>
      </c>
      <c r="AC121">
        <f>IF([2]Entry!$K$124="","",[2]Entry!$K$124)</f>
        <v/>
      </c>
      <c r="AD121">
        <f>IF([2]Entry!$L$124="","",[2]Entry!$L$124)</f>
        <v/>
      </c>
      <c r="AE121">
        <f>IF([2]Entry!$M$124="","",[2]Entry!$M$124)</f>
        <v/>
      </c>
      <c r="AF121">
        <f>IF([2]Entry!$N$124="","",[2]Entry!$N$124)</f>
        <v/>
      </c>
      <c r="AG121">
        <f>IF([3]Issues!$B$124="","",[3]Issues!$B$124)</f>
        <v/>
      </c>
      <c r="AH121">
        <f>IF([3]Issues!$D$124="","",[3]Issues!$D$124)</f>
        <v/>
      </c>
      <c r="AI121">
        <f>IF([3]Issues!$E$124="","",[3]Issues!$E$124)</f>
        <v/>
      </c>
      <c r="AJ121">
        <f>IF([2]Entry!$S$124="","",[2]Entry!$S$124)</f>
        <v/>
      </c>
      <c r="AK121">
        <f>IF([2]Entry!$C$124="","",[2]Entry!$C$124)</f>
        <v/>
      </c>
      <c r="AL121">
        <f>IF([2]Entry!$D$124="","",[2]Entry!$D$124)</f>
        <v/>
      </c>
      <c r="AM121">
        <f>IF(AND($F121&lt;&gt;"",$I121&lt;&gt;""),IF($G121="دارایی ثابت",1,0),0)</f>
        <v/>
      </c>
      <c r="AN121">
        <f>SUM($AM$6:$AM121)</f>
        <v/>
      </c>
      <c r="AO121">
        <f>IFERROR(INDEX($F$6:$F$565,MATCH(ROW()-5,$AN$6:$AN$565,0)),"")</f>
        <v/>
      </c>
      <c r="AP121">
        <f>IF(AND($F121&lt;&gt;"",$I121&lt;&gt;""),IF($G121="وام و تسهیلات",1,0),0)</f>
        <v/>
      </c>
      <c r="AQ121">
        <f>SUM($AP$6:$AP121)</f>
        <v/>
      </c>
      <c r="AR121">
        <f>IFERROR(INDEX($F$6:$F$565,MATCH(ROW()-5,$AQ$6:$AQ$565,0)),"")</f>
        <v/>
      </c>
      <c r="AS121">
        <f>IF(AND($F121&lt;&gt;"",$I121&lt;&gt;""),IF($G121="سرمایه و آورده صاحبان",1,0),0)</f>
        <v/>
      </c>
      <c r="AT121">
        <f>SUM($AS$6:$AS121)</f>
        <v/>
      </c>
      <c r="AU121">
        <f>IFERROR(INDEX($F$6:$F$565,MATCH(ROW()-5,$AT$6:$AT$565,0)),"")</f>
        <v/>
      </c>
      <c r="AW121">
        <f>IF([3]Issues!$C$124="","",[3]Issues!$C$124)</f>
        <v/>
      </c>
      <c r="AX121">
        <f>IF([4]Entry!$E$124="","",[4]Entry!$E$124)</f>
        <v/>
      </c>
      <c r="AY121">
        <f>IF([4]Entry!$H$124="","",[4]Entry!$H$124)</f>
        <v/>
      </c>
      <c r="AZ121">
        <f>IF([4]Entry!$I$124="","",[4]Entry!$I$124)</f>
        <v/>
      </c>
    </row>
    <row r="122">
      <c r="F122">
        <f>IF([1]Accounts!$D$123="","",[1]Accounts!$A$123)</f>
        <v/>
      </c>
      <c r="G122">
        <f>IF([1]Accounts!$D$123="","",[1]Accounts!$B$123)</f>
        <v/>
      </c>
      <c r="H122">
        <f>IF([1]Accounts!$D$123="","",[1]Accounts!$C$123)</f>
        <v/>
      </c>
      <c r="I122">
        <f>IF([1]Accounts!$D$123="","",[1]Accounts!$D$123)</f>
        <v/>
      </c>
      <c r="R122">
        <f>IF(AND($F122&lt;&gt;"",$I122&lt;&gt;""),IF(OR($G122="دارایی ثابت",$G122="وام و تسهیلات",$G122="سرمایه و آورده صاحبان"),0,1),0)</f>
        <v/>
      </c>
      <c r="S122">
        <f>SUM($R$6:$R122)</f>
        <v/>
      </c>
      <c r="T122">
        <f>IFERROR(INDEX($F$6:$F$565,MATCH(ROW()-5,$S$6:$S$565,0)),"")</f>
        <v/>
      </c>
      <c r="Z122">
        <f>IF([2]Entry!$E$125="","",[2]Entry!$E$125)</f>
        <v/>
      </c>
      <c r="AA122">
        <f>IF([2]Entry!$G$125="","",[2]Entry!$G$125)</f>
        <v/>
      </c>
      <c r="AB122">
        <f>IF([2]Entry!$J$125="","",[2]Entry!$J$125)</f>
        <v/>
      </c>
      <c r="AC122">
        <f>IF([2]Entry!$K$125="","",[2]Entry!$K$125)</f>
        <v/>
      </c>
      <c r="AD122">
        <f>IF([2]Entry!$L$125="","",[2]Entry!$L$125)</f>
        <v/>
      </c>
      <c r="AE122">
        <f>IF([2]Entry!$M$125="","",[2]Entry!$M$125)</f>
        <v/>
      </c>
      <c r="AF122">
        <f>IF([2]Entry!$N$125="","",[2]Entry!$N$125)</f>
        <v/>
      </c>
      <c r="AG122">
        <f>IF([3]Issues!$B$125="","",[3]Issues!$B$125)</f>
        <v/>
      </c>
      <c r="AH122">
        <f>IF([3]Issues!$D$125="","",[3]Issues!$D$125)</f>
        <v/>
      </c>
      <c r="AI122">
        <f>IF([3]Issues!$E$125="","",[3]Issues!$E$125)</f>
        <v/>
      </c>
      <c r="AJ122">
        <f>IF([2]Entry!$S$125="","",[2]Entry!$S$125)</f>
        <v/>
      </c>
      <c r="AK122">
        <f>IF([2]Entry!$C$125="","",[2]Entry!$C$125)</f>
        <v/>
      </c>
      <c r="AL122">
        <f>IF([2]Entry!$D$125="","",[2]Entry!$D$125)</f>
        <v/>
      </c>
      <c r="AM122">
        <f>IF(AND($F122&lt;&gt;"",$I122&lt;&gt;""),IF($G122="دارایی ثابت",1,0),0)</f>
        <v/>
      </c>
      <c r="AN122">
        <f>SUM($AM$6:$AM122)</f>
        <v/>
      </c>
      <c r="AO122">
        <f>IFERROR(INDEX($F$6:$F$565,MATCH(ROW()-5,$AN$6:$AN$565,0)),"")</f>
        <v/>
      </c>
      <c r="AP122">
        <f>IF(AND($F122&lt;&gt;"",$I122&lt;&gt;""),IF($G122="وام و تسهیلات",1,0),0)</f>
        <v/>
      </c>
      <c r="AQ122">
        <f>SUM($AP$6:$AP122)</f>
        <v/>
      </c>
      <c r="AR122">
        <f>IFERROR(INDEX($F$6:$F$565,MATCH(ROW()-5,$AQ$6:$AQ$565,0)),"")</f>
        <v/>
      </c>
      <c r="AS122">
        <f>IF(AND($F122&lt;&gt;"",$I122&lt;&gt;""),IF($G122="سرمایه و آورده صاحبان",1,0),0)</f>
        <v/>
      </c>
      <c r="AT122">
        <f>SUM($AS$6:$AS122)</f>
        <v/>
      </c>
      <c r="AU122">
        <f>IFERROR(INDEX($F$6:$F$565,MATCH(ROW()-5,$AT$6:$AT$565,0)),"")</f>
        <v/>
      </c>
      <c r="AW122">
        <f>IF([3]Issues!$C$125="","",[3]Issues!$C$125)</f>
        <v/>
      </c>
      <c r="AX122">
        <f>IF([4]Entry!$E$125="","",[4]Entry!$E$125)</f>
        <v/>
      </c>
      <c r="AY122">
        <f>IF([4]Entry!$H$125="","",[4]Entry!$H$125)</f>
        <v/>
      </c>
      <c r="AZ122">
        <f>IF([4]Entry!$I$125="","",[4]Entry!$I$125)</f>
        <v/>
      </c>
    </row>
    <row r="123">
      <c r="F123">
        <f>IF([1]Accounts!$D$124="","",[1]Accounts!$A$124)</f>
        <v/>
      </c>
      <c r="G123">
        <f>IF([1]Accounts!$D$124="","",[1]Accounts!$B$124)</f>
        <v/>
      </c>
      <c r="H123">
        <f>IF([1]Accounts!$D$124="","",[1]Accounts!$C$124)</f>
        <v/>
      </c>
      <c r="I123">
        <f>IF([1]Accounts!$D$124="","",[1]Accounts!$D$124)</f>
        <v/>
      </c>
      <c r="R123">
        <f>IF(AND($F123&lt;&gt;"",$I123&lt;&gt;""),IF(OR($G123="دارایی ثابت",$G123="وام و تسهیلات",$G123="سرمایه و آورده صاحبان"),0,1),0)</f>
        <v/>
      </c>
      <c r="S123">
        <f>SUM($R$6:$R123)</f>
        <v/>
      </c>
      <c r="T123">
        <f>IFERROR(INDEX($F$6:$F$565,MATCH(ROW()-5,$S$6:$S$565,0)),"")</f>
        <v/>
      </c>
      <c r="Z123">
        <f>IF([2]Entry!$E$126="","",[2]Entry!$E$126)</f>
        <v/>
      </c>
      <c r="AA123">
        <f>IF([2]Entry!$G$126="","",[2]Entry!$G$126)</f>
        <v/>
      </c>
      <c r="AB123">
        <f>IF([2]Entry!$J$126="","",[2]Entry!$J$126)</f>
        <v/>
      </c>
      <c r="AC123">
        <f>IF([2]Entry!$K$126="","",[2]Entry!$K$126)</f>
        <v/>
      </c>
      <c r="AD123">
        <f>IF([2]Entry!$L$126="","",[2]Entry!$L$126)</f>
        <v/>
      </c>
      <c r="AE123">
        <f>IF([2]Entry!$M$126="","",[2]Entry!$M$126)</f>
        <v/>
      </c>
      <c r="AF123">
        <f>IF([2]Entry!$N$126="","",[2]Entry!$N$126)</f>
        <v/>
      </c>
      <c r="AG123">
        <f>IF([3]Issues!$B$126="","",[3]Issues!$B$126)</f>
        <v/>
      </c>
      <c r="AH123">
        <f>IF([3]Issues!$D$126="","",[3]Issues!$D$126)</f>
        <v/>
      </c>
      <c r="AI123">
        <f>IF([3]Issues!$E$126="","",[3]Issues!$E$126)</f>
        <v/>
      </c>
      <c r="AJ123">
        <f>IF([2]Entry!$S$126="","",[2]Entry!$S$126)</f>
        <v/>
      </c>
      <c r="AK123">
        <f>IF([2]Entry!$C$126="","",[2]Entry!$C$126)</f>
        <v/>
      </c>
      <c r="AL123">
        <f>IF([2]Entry!$D$126="","",[2]Entry!$D$126)</f>
        <v/>
      </c>
      <c r="AM123">
        <f>IF(AND($F123&lt;&gt;"",$I123&lt;&gt;""),IF($G123="دارایی ثابت",1,0),0)</f>
        <v/>
      </c>
      <c r="AN123">
        <f>SUM($AM$6:$AM123)</f>
        <v/>
      </c>
      <c r="AO123">
        <f>IFERROR(INDEX($F$6:$F$565,MATCH(ROW()-5,$AN$6:$AN$565,0)),"")</f>
        <v/>
      </c>
      <c r="AP123">
        <f>IF(AND($F123&lt;&gt;"",$I123&lt;&gt;""),IF($G123="وام و تسهیلات",1,0),0)</f>
        <v/>
      </c>
      <c r="AQ123">
        <f>SUM($AP$6:$AP123)</f>
        <v/>
      </c>
      <c r="AR123">
        <f>IFERROR(INDEX($F$6:$F$565,MATCH(ROW()-5,$AQ$6:$AQ$565,0)),"")</f>
        <v/>
      </c>
      <c r="AS123">
        <f>IF(AND($F123&lt;&gt;"",$I123&lt;&gt;""),IF($G123="سرمایه و آورده صاحبان",1,0),0)</f>
        <v/>
      </c>
      <c r="AT123">
        <f>SUM($AS$6:$AS123)</f>
        <v/>
      </c>
      <c r="AU123">
        <f>IFERROR(INDEX($F$6:$F$565,MATCH(ROW()-5,$AT$6:$AT$565,0)),"")</f>
        <v/>
      </c>
      <c r="AW123">
        <f>IF([3]Issues!$C$126="","",[3]Issues!$C$126)</f>
        <v/>
      </c>
      <c r="AX123">
        <f>IF([4]Entry!$E$126="","",[4]Entry!$E$126)</f>
        <v/>
      </c>
      <c r="AY123">
        <f>IF([4]Entry!$H$126="","",[4]Entry!$H$126)</f>
        <v/>
      </c>
      <c r="AZ123">
        <f>IF([4]Entry!$I$126="","",[4]Entry!$I$126)</f>
        <v/>
      </c>
    </row>
    <row r="124">
      <c r="F124">
        <f>IF([1]Accounts!$D$125="","",[1]Accounts!$A$125)</f>
        <v/>
      </c>
      <c r="G124">
        <f>IF([1]Accounts!$D$125="","",[1]Accounts!$B$125)</f>
        <v/>
      </c>
      <c r="H124">
        <f>IF([1]Accounts!$D$125="","",[1]Accounts!$C$125)</f>
        <v/>
      </c>
      <c r="I124">
        <f>IF([1]Accounts!$D$125="","",[1]Accounts!$D$125)</f>
        <v/>
      </c>
      <c r="R124">
        <f>IF(AND($F124&lt;&gt;"",$I124&lt;&gt;""),IF(OR($G124="دارایی ثابت",$G124="وام و تسهیلات",$G124="سرمایه و آورده صاحبان"),0,1),0)</f>
        <v/>
      </c>
      <c r="S124">
        <f>SUM($R$6:$R124)</f>
        <v/>
      </c>
      <c r="T124">
        <f>IFERROR(INDEX($F$6:$F$565,MATCH(ROW()-5,$S$6:$S$565,0)),"")</f>
        <v/>
      </c>
      <c r="Z124">
        <f>IF([2]Entry!$E$127="","",[2]Entry!$E$127)</f>
        <v/>
      </c>
      <c r="AA124">
        <f>IF([2]Entry!$G$127="","",[2]Entry!$G$127)</f>
        <v/>
      </c>
      <c r="AB124">
        <f>IF([2]Entry!$J$127="","",[2]Entry!$J$127)</f>
        <v/>
      </c>
      <c r="AC124">
        <f>IF([2]Entry!$K$127="","",[2]Entry!$K$127)</f>
        <v/>
      </c>
      <c r="AD124">
        <f>IF([2]Entry!$L$127="","",[2]Entry!$L$127)</f>
        <v/>
      </c>
      <c r="AE124">
        <f>IF([2]Entry!$M$127="","",[2]Entry!$M$127)</f>
        <v/>
      </c>
      <c r="AF124">
        <f>IF([2]Entry!$N$127="","",[2]Entry!$N$127)</f>
        <v/>
      </c>
      <c r="AG124">
        <f>IF([3]Issues!$B$127="","",[3]Issues!$B$127)</f>
        <v/>
      </c>
      <c r="AH124">
        <f>IF([3]Issues!$D$127="","",[3]Issues!$D$127)</f>
        <v/>
      </c>
      <c r="AI124">
        <f>IF([3]Issues!$E$127="","",[3]Issues!$E$127)</f>
        <v/>
      </c>
      <c r="AJ124">
        <f>IF([2]Entry!$S$127="","",[2]Entry!$S$127)</f>
        <v/>
      </c>
      <c r="AK124">
        <f>IF([2]Entry!$C$127="","",[2]Entry!$C$127)</f>
        <v/>
      </c>
      <c r="AL124">
        <f>IF([2]Entry!$D$127="","",[2]Entry!$D$127)</f>
        <v/>
      </c>
      <c r="AM124">
        <f>IF(AND($F124&lt;&gt;"",$I124&lt;&gt;""),IF($G124="دارایی ثابت",1,0),0)</f>
        <v/>
      </c>
      <c r="AN124">
        <f>SUM($AM$6:$AM124)</f>
        <v/>
      </c>
      <c r="AO124">
        <f>IFERROR(INDEX($F$6:$F$565,MATCH(ROW()-5,$AN$6:$AN$565,0)),"")</f>
        <v/>
      </c>
      <c r="AP124">
        <f>IF(AND($F124&lt;&gt;"",$I124&lt;&gt;""),IF($G124="وام و تسهیلات",1,0),0)</f>
        <v/>
      </c>
      <c r="AQ124">
        <f>SUM($AP$6:$AP124)</f>
        <v/>
      </c>
      <c r="AR124">
        <f>IFERROR(INDEX($F$6:$F$565,MATCH(ROW()-5,$AQ$6:$AQ$565,0)),"")</f>
        <v/>
      </c>
      <c r="AS124">
        <f>IF(AND($F124&lt;&gt;"",$I124&lt;&gt;""),IF($G124="سرمایه و آورده صاحبان",1,0),0)</f>
        <v/>
      </c>
      <c r="AT124">
        <f>SUM($AS$6:$AS124)</f>
        <v/>
      </c>
      <c r="AU124">
        <f>IFERROR(INDEX($F$6:$F$565,MATCH(ROW()-5,$AT$6:$AT$565,0)),"")</f>
        <v/>
      </c>
      <c r="AW124">
        <f>IF([3]Issues!$C$127="","",[3]Issues!$C$127)</f>
        <v/>
      </c>
      <c r="AX124">
        <f>IF([4]Entry!$E$127="","",[4]Entry!$E$127)</f>
        <v/>
      </c>
      <c r="AY124">
        <f>IF([4]Entry!$H$127="","",[4]Entry!$H$127)</f>
        <v/>
      </c>
      <c r="AZ124">
        <f>IF([4]Entry!$I$127="","",[4]Entry!$I$127)</f>
        <v/>
      </c>
    </row>
    <row r="125">
      <c r="F125">
        <f>IF([1]Accounts!$D$126="","",[1]Accounts!$A$126)</f>
        <v/>
      </c>
      <c r="G125">
        <f>IF([1]Accounts!$D$126="","",[1]Accounts!$B$126)</f>
        <v/>
      </c>
      <c r="H125">
        <f>IF([1]Accounts!$D$126="","",[1]Accounts!$C$126)</f>
        <v/>
      </c>
      <c r="I125">
        <f>IF([1]Accounts!$D$126="","",[1]Accounts!$D$126)</f>
        <v/>
      </c>
      <c r="R125">
        <f>IF(AND($F125&lt;&gt;"",$I125&lt;&gt;""),IF(OR($G125="دارایی ثابت",$G125="وام و تسهیلات",$G125="سرمایه و آورده صاحبان"),0,1),0)</f>
        <v/>
      </c>
      <c r="S125">
        <f>SUM($R$6:$R125)</f>
        <v/>
      </c>
      <c r="T125">
        <f>IFERROR(INDEX($F$6:$F$565,MATCH(ROW()-5,$S$6:$S$565,0)),"")</f>
        <v/>
      </c>
      <c r="Z125">
        <f>IF([2]Entry!$E$128="","",[2]Entry!$E$128)</f>
        <v/>
      </c>
      <c r="AA125">
        <f>IF([2]Entry!$G$128="","",[2]Entry!$G$128)</f>
        <v/>
      </c>
      <c r="AB125">
        <f>IF([2]Entry!$J$128="","",[2]Entry!$J$128)</f>
        <v/>
      </c>
      <c r="AC125">
        <f>IF([2]Entry!$K$128="","",[2]Entry!$K$128)</f>
        <v/>
      </c>
      <c r="AD125">
        <f>IF([2]Entry!$L$128="","",[2]Entry!$L$128)</f>
        <v/>
      </c>
      <c r="AE125">
        <f>IF([2]Entry!$M$128="","",[2]Entry!$M$128)</f>
        <v/>
      </c>
      <c r="AF125">
        <f>IF([2]Entry!$N$128="","",[2]Entry!$N$128)</f>
        <v/>
      </c>
      <c r="AG125">
        <f>IF([3]Issues!$B$128="","",[3]Issues!$B$128)</f>
        <v/>
      </c>
      <c r="AH125">
        <f>IF([3]Issues!$D$128="","",[3]Issues!$D$128)</f>
        <v/>
      </c>
      <c r="AI125">
        <f>IF([3]Issues!$E$128="","",[3]Issues!$E$128)</f>
        <v/>
      </c>
      <c r="AJ125">
        <f>IF([2]Entry!$S$128="","",[2]Entry!$S$128)</f>
        <v/>
      </c>
      <c r="AK125">
        <f>IF([2]Entry!$C$128="","",[2]Entry!$C$128)</f>
        <v/>
      </c>
      <c r="AL125">
        <f>IF([2]Entry!$D$128="","",[2]Entry!$D$128)</f>
        <v/>
      </c>
      <c r="AM125">
        <f>IF(AND($F125&lt;&gt;"",$I125&lt;&gt;""),IF($G125="دارایی ثابت",1,0),0)</f>
        <v/>
      </c>
      <c r="AN125">
        <f>SUM($AM$6:$AM125)</f>
        <v/>
      </c>
      <c r="AO125">
        <f>IFERROR(INDEX($F$6:$F$565,MATCH(ROW()-5,$AN$6:$AN$565,0)),"")</f>
        <v/>
      </c>
      <c r="AP125">
        <f>IF(AND($F125&lt;&gt;"",$I125&lt;&gt;""),IF($G125="وام و تسهیلات",1,0),0)</f>
        <v/>
      </c>
      <c r="AQ125">
        <f>SUM($AP$6:$AP125)</f>
        <v/>
      </c>
      <c r="AR125">
        <f>IFERROR(INDEX($F$6:$F$565,MATCH(ROW()-5,$AQ$6:$AQ$565,0)),"")</f>
        <v/>
      </c>
      <c r="AS125">
        <f>IF(AND($F125&lt;&gt;"",$I125&lt;&gt;""),IF($G125="سرمایه و آورده صاحبان",1,0),0)</f>
        <v/>
      </c>
      <c r="AT125">
        <f>SUM($AS$6:$AS125)</f>
        <v/>
      </c>
      <c r="AU125">
        <f>IFERROR(INDEX($F$6:$F$565,MATCH(ROW()-5,$AT$6:$AT$565,0)),"")</f>
        <v/>
      </c>
      <c r="AW125">
        <f>IF([3]Issues!$C$128="","",[3]Issues!$C$128)</f>
        <v/>
      </c>
      <c r="AX125">
        <f>IF([4]Entry!$E$128="","",[4]Entry!$E$128)</f>
        <v/>
      </c>
      <c r="AY125">
        <f>IF([4]Entry!$H$128="","",[4]Entry!$H$128)</f>
        <v/>
      </c>
      <c r="AZ125">
        <f>IF([4]Entry!$I$128="","",[4]Entry!$I$128)</f>
        <v/>
      </c>
    </row>
    <row r="126">
      <c r="F126">
        <f>IF([1]Accounts!$D$127="","",[1]Accounts!$A$127)</f>
        <v/>
      </c>
      <c r="G126">
        <f>IF([1]Accounts!$D$127="","",[1]Accounts!$B$127)</f>
        <v/>
      </c>
      <c r="H126">
        <f>IF([1]Accounts!$D$127="","",[1]Accounts!$C$127)</f>
        <v/>
      </c>
      <c r="I126">
        <f>IF([1]Accounts!$D$127="","",[1]Accounts!$D$127)</f>
        <v/>
      </c>
      <c r="R126">
        <f>IF(AND($F126&lt;&gt;"",$I126&lt;&gt;""),IF(OR($G126="دارایی ثابت",$G126="وام و تسهیلات",$G126="سرمایه و آورده صاحبان"),0,1),0)</f>
        <v/>
      </c>
      <c r="S126">
        <f>SUM($R$6:$R126)</f>
        <v/>
      </c>
      <c r="T126">
        <f>IFERROR(INDEX($F$6:$F$565,MATCH(ROW()-5,$S$6:$S$565,0)),"")</f>
        <v/>
      </c>
      <c r="Z126">
        <f>IF([2]Entry!$E$129="","",[2]Entry!$E$129)</f>
        <v/>
      </c>
      <c r="AA126">
        <f>IF([2]Entry!$G$129="","",[2]Entry!$G$129)</f>
        <v/>
      </c>
      <c r="AB126">
        <f>IF([2]Entry!$J$129="","",[2]Entry!$J$129)</f>
        <v/>
      </c>
      <c r="AC126">
        <f>IF([2]Entry!$K$129="","",[2]Entry!$K$129)</f>
        <v/>
      </c>
      <c r="AD126">
        <f>IF([2]Entry!$L$129="","",[2]Entry!$L$129)</f>
        <v/>
      </c>
      <c r="AE126">
        <f>IF([2]Entry!$M$129="","",[2]Entry!$M$129)</f>
        <v/>
      </c>
      <c r="AF126">
        <f>IF([2]Entry!$N$129="","",[2]Entry!$N$129)</f>
        <v/>
      </c>
      <c r="AG126">
        <f>IF([3]Issues!$B$129="","",[3]Issues!$B$129)</f>
        <v/>
      </c>
      <c r="AH126">
        <f>IF([3]Issues!$D$129="","",[3]Issues!$D$129)</f>
        <v/>
      </c>
      <c r="AI126">
        <f>IF([3]Issues!$E$129="","",[3]Issues!$E$129)</f>
        <v/>
      </c>
      <c r="AJ126">
        <f>IF([2]Entry!$S$129="","",[2]Entry!$S$129)</f>
        <v/>
      </c>
      <c r="AK126">
        <f>IF([2]Entry!$C$129="","",[2]Entry!$C$129)</f>
        <v/>
      </c>
      <c r="AL126">
        <f>IF([2]Entry!$D$129="","",[2]Entry!$D$129)</f>
        <v/>
      </c>
      <c r="AM126">
        <f>IF(AND($F126&lt;&gt;"",$I126&lt;&gt;""),IF($G126="دارایی ثابت",1,0),0)</f>
        <v/>
      </c>
      <c r="AN126">
        <f>SUM($AM$6:$AM126)</f>
        <v/>
      </c>
      <c r="AO126">
        <f>IFERROR(INDEX($F$6:$F$565,MATCH(ROW()-5,$AN$6:$AN$565,0)),"")</f>
        <v/>
      </c>
      <c r="AP126">
        <f>IF(AND($F126&lt;&gt;"",$I126&lt;&gt;""),IF($G126="وام و تسهیلات",1,0),0)</f>
        <v/>
      </c>
      <c r="AQ126">
        <f>SUM($AP$6:$AP126)</f>
        <v/>
      </c>
      <c r="AR126">
        <f>IFERROR(INDEX($F$6:$F$565,MATCH(ROW()-5,$AQ$6:$AQ$565,0)),"")</f>
        <v/>
      </c>
      <c r="AS126">
        <f>IF(AND($F126&lt;&gt;"",$I126&lt;&gt;""),IF($G126="سرمایه و آورده صاحبان",1,0),0)</f>
        <v/>
      </c>
      <c r="AT126">
        <f>SUM($AS$6:$AS126)</f>
        <v/>
      </c>
      <c r="AU126">
        <f>IFERROR(INDEX($F$6:$F$565,MATCH(ROW()-5,$AT$6:$AT$565,0)),"")</f>
        <v/>
      </c>
      <c r="AW126">
        <f>IF([3]Issues!$C$129="","",[3]Issues!$C$129)</f>
        <v/>
      </c>
      <c r="AX126">
        <f>IF([4]Entry!$E$129="","",[4]Entry!$E$129)</f>
        <v/>
      </c>
      <c r="AY126">
        <f>IF([4]Entry!$H$129="","",[4]Entry!$H$129)</f>
        <v/>
      </c>
      <c r="AZ126">
        <f>IF([4]Entry!$I$129="","",[4]Entry!$I$129)</f>
        <v/>
      </c>
    </row>
    <row r="127">
      <c r="F127">
        <f>IF([1]Accounts!$D$128="","",[1]Accounts!$A$128)</f>
        <v/>
      </c>
      <c r="G127">
        <f>IF([1]Accounts!$D$128="","",[1]Accounts!$B$128)</f>
        <v/>
      </c>
      <c r="H127">
        <f>IF([1]Accounts!$D$128="","",[1]Accounts!$C$128)</f>
        <v/>
      </c>
      <c r="I127">
        <f>IF([1]Accounts!$D$128="","",[1]Accounts!$D$128)</f>
        <v/>
      </c>
      <c r="R127">
        <f>IF(AND($F127&lt;&gt;"",$I127&lt;&gt;""),IF(OR($G127="دارایی ثابت",$G127="وام و تسهیلات",$G127="سرمایه و آورده صاحبان"),0,1),0)</f>
        <v/>
      </c>
      <c r="S127">
        <f>SUM($R$6:$R127)</f>
        <v/>
      </c>
      <c r="T127">
        <f>IFERROR(INDEX($F$6:$F$565,MATCH(ROW()-5,$S$6:$S$565,0)),"")</f>
        <v/>
      </c>
      <c r="Z127">
        <f>IF([2]Entry!$E$130="","",[2]Entry!$E$130)</f>
        <v/>
      </c>
      <c r="AA127">
        <f>IF([2]Entry!$G$130="","",[2]Entry!$G$130)</f>
        <v/>
      </c>
      <c r="AB127">
        <f>IF([2]Entry!$J$130="","",[2]Entry!$J$130)</f>
        <v/>
      </c>
      <c r="AC127">
        <f>IF([2]Entry!$K$130="","",[2]Entry!$K$130)</f>
        <v/>
      </c>
      <c r="AD127">
        <f>IF([2]Entry!$L$130="","",[2]Entry!$L$130)</f>
        <v/>
      </c>
      <c r="AE127">
        <f>IF([2]Entry!$M$130="","",[2]Entry!$M$130)</f>
        <v/>
      </c>
      <c r="AF127">
        <f>IF([2]Entry!$N$130="","",[2]Entry!$N$130)</f>
        <v/>
      </c>
      <c r="AG127">
        <f>IF([3]Issues!$B$130="","",[3]Issues!$B$130)</f>
        <v/>
      </c>
      <c r="AH127">
        <f>IF([3]Issues!$D$130="","",[3]Issues!$D$130)</f>
        <v/>
      </c>
      <c r="AI127">
        <f>IF([3]Issues!$E$130="","",[3]Issues!$E$130)</f>
        <v/>
      </c>
      <c r="AJ127">
        <f>IF([2]Entry!$S$130="","",[2]Entry!$S$130)</f>
        <v/>
      </c>
      <c r="AK127">
        <f>IF([2]Entry!$C$130="","",[2]Entry!$C$130)</f>
        <v/>
      </c>
      <c r="AL127">
        <f>IF([2]Entry!$D$130="","",[2]Entry!$D$130)</f>
        <v/>
      </c>
      <c r="AM127">
        <f>IF(AND($F127&lt;&gt;"",$I127&lt;&gt;""),IF($G127="دارایی ثابت",1,0),0)</f>
        <v/>
      </c>
      <c r="AN127">
        <f>SUM($AM$6:$AM127)</f>
        <v/>
      </c>
      <c r="AO127">
        <f>IFERROR(INDEX($F$6:$F$565,MATCH(ROW()-5,$AN$6:$AN$565,0)),"")</f>
        <v/>
      </c>
      <c r="AP127">
        <f>IF(AND($F127&lt;&gt;"",$I127&lt;&gt;""),IF($G127="وام و تسهیلات",1,0),0)</f>
        <v/>
      </c>
      <c r="AQ127">
        <f>SUM($AP$6:$AP127)</f>
        <v/>
      </c>
      <c r="AR127">
        <f>IFERROR(INDEX($F$6:$F$565,MATCH(ROW()-5,$AQ$6:$AQ$565,0)),"")</f>
        <v/>
      </c>
      <c r="AS127">
        <f>IF(AND($F127&lt;&gt;"",$I127&lt;&gt;""),IF($G127="سرمایه و آورده صاحبان",1,0),0)</f>
        <v/>
      </c>
      <c r="AT127">
        <f>SUM($AS$6:$AS127)</f>
        <v/>
      </c>
      <c r="AU127">
        <f>IFERROR(INDEX($F$6:$F$565,MATCH(ROW()-5,$AT$6:$AT$565,0)),"")</f>
        <v/>
      </c>
      <c r="AW127">
        <f>IF([3]Issues!$C$130="","",[3]Issues!$C$130)</f>
        <v/>
      </c>
      <c r="AX127">
        <f>IF([4]Entry!$E$130="","",[4]Entry!$E$130)</f>
        <v/>
      </c>
      <c r="AY127">
        <f>IF([4]Entry!$H$130="","",[4]Entry!$H$130)</f>
        <v/>
      </c>
      <c r="AZ127">
        <f>IF([4]Entry!$I$130="","",[4]Entry!$I$130)</f>
        <v/>
      </c>
    </row>
    <row r="128">
      <c r="F128">
        <f>IF([1]Accounts!$D$129="","",[1]Accounts!$A$129)</f>
        <v/>
      </c>
      <c r="G128">
        <f>IF([1]Accounts!$D$129="","",[1]Accounts!$B$129)</f>
        <v/>
      </c>
      <c r="H128">
        <f>IF([1]Accounts!$D$129="","",[1]Accounts!$C$129)</f>
        <v/>
      </c>
      <c r="I128">
        <f>IF([1]Accounts!$D$129="","",[1]Accounts!$D$129)</f>
        <v/>
      </c>
      <c r="R128">
        <f>IF(AND($F128&lt;&gt;"",$I128&lt;&gt;""),IF(OR($G128="دارایی ثابت",$G128="وام و تسهیلات",$G128="سرمایه و آورده صاحبان"),0,1),0)</f>
        <v/>
      </c>
      <c r="S128">
        <f>SUM($R$6:$R128)</f>
        <v/>
      </c>
      <c r="T128">
        <f>IFERROR(INDEX($F$6:$F$565,MATCH(ROW()-5,$S$6:$S$565,0)),"")</f>
        <v/>
      </c>
      <c r="Z128">
        <f>IF([2]Entry!$E$131="","",[2]Entry!$E$131)</f>
        <v/>
      </c>
      <c r="AA128">
        <f>IF([2]Entry!$G$131="","",[2]Entry!$G$131)</f>
        <v/>
      </c>
      <c r="AB128">
        <f>IF([2]Entry!$J$131="","",[2]Entry!$J$131)</f>
        <v/>
      </c>
      <c r="AC128">
        <f>IF([2]Entry!$K$131="","",[2]Entry!$K$131)</f>
        <v/>
      </c>
      <c r="AD128">
        <f>IF([2]Entry!$L$131="","",[2]Entry!$L$131)</f>
        <v/>
      </c>
      <c r="AE128">
        <f>IF([2]Entry!$M$131="","",[2]Entry!$M$131)</f>
        <v/>
      </c>
      <c r="AF128">
        <f>IF([2]Entry!$N$131="","",[2]Entry!$N$131)</f>
        <v/>
      </c>
      <c r="AG128">
        <f>IF([3]Issues!$B$131="","",[3]Issues!$B$131)</f>
        <v/>
      </c>
      <c r="AH128">
        <f>IF([3]Issues!$D$131="","",[3]Issues!$D$131)</f>
        <v/>
      </c>
      <c r="AI128">
        <f>IF([3]Issues!$E$131="","",[3]Issues!$E$131)</f>
        <v/>
      </c>
      <c r="AJ128">
        <f>IF([2]Entry!$S$131="","",[2]Entry!$S$131)</f>
        <v/>
      </c>
      <c r="AK128">
        <f>IF([2]Entry!$C$131="","",[2]Entry!$C$131)</f>
        <v/>
      </c>
      <c r="AL128">
        <f>IF([2]Entry!$D$131="","",[2]Entry!$D$131)</f>
        <v/>
      </c>
      <c r="AM128">
        <f>IF(AND($F128&lt;&gt;"",$I128&lt;&gt;""),IF($G128="دارایی ثابت",1,0),0)</f>
        <v/>
      </c>
      <c r="AN128">
        <f>SUM($AM$6:$AM128)</f>
        <v/>
      </c>
      <c r="AO128">
        <f>IFERROR(INDEX($F$6:$F$565,MATCH(ROW()-5,$AN$6:$AN$565,0)),"")</f>
        <v/>
      </c>
      <c r="AP128">
        <f>IF(AND($F128&lt;&gt;"",$I128&lt;&gt;""),IF($G128="وام و تسهیلات",1,0),0)</f>
        <v/>
      </c>
      <c r="AQ128">
        <f>SUM($AP$6:$AP128)</f>
        <v/>
      </c>
      <c r="AR128">
        <f>IFERROR(INDEX($F$6:$F$565,MATCH(ROW()-5,$AQ$6:$AQ$565,0)),"")</f>
        <v/>
      </c>
      <c r="AS128">
        <f>IF(AND($F128&lt;&gt;"",$I128&lt;&gt;""),IF($G128="سرمایه و آورده صاحبان",1,0),0)</f>
        <v/>
      </c>
      <c r="AT128">
        <f>SUM($AS$6:$AS128)</f>
        <v/>
      </c>
      <c r="AU128">
        <f>IFERROR(INDEX($F$6:$F$565,MATCH(ROW()-5,$AT$6:$AT$565,0)),"")</f>
        <v/>
      </c>
      <c r="AW128">
        <f>IF([3]Issues!$C$131="","",[3]Issues!$C$131)</f>
        <v/>
      </c>
      <c r="AX128">
        <f>IF([4]Entry!$E$131="","",[4]Entry!$E$131)</f>
        <v/>
      </c>
      <c r="AY128">
        <f>IF([4]Entry!$H$131="","",[4]Entry!$H$131)</f>
        <v/>
      </c>
      <c r="AZ128">
        <f>IF([4]Entry!$I$131="","",[4]Entry!$I$131)</f>
        <v/>
      </c>
    </row>
    <row r="129">
      <c r="F129">
        <f>IF([1]Accounts!$D$130="","",[1]Accounts!$A$130)</f>
        <v/>
      </c>
      <c r="G129">
        <f>IF([1]Accounts!$D$130="","",[1]Accounts!$B$130)</f>
        <v/>
      </c>
      <c r="H129">
        <f>IF([1]Accounts!$D$130="","",[1]Accounts!$C$130)</f>
        <v/>
      </c>
      <c r="I129">
        <f>IF([1]Accounts!$D$130="","",[1]Accounts!$D$130)</f>
        <v/>
      </c>
      <c r="R129">
        <f>IF(AND($F129&lt;&gt;"",$I129&lt;&gt;""),IF(OR($G129="دارایی ثابت",$G129="وام و تسهیلات",$G129="سرمایه و آورده صاحبان"),0,1),0)</f>
        <v/>
      </c>
      <c r="S129">
        <f>SUM($R$6:$R129)</f>
        <v/>
      </c>
      <c r="T129">
        <f>IFERROR(INDEX($F$6:$F$565,MATCH(ROW()-5,$S$6:$S$565,0)),"")</f>
        <v/>
      </c>
      <c r="Z129">
        <f>IF([2]Entry!$E$132="","",[2]Entry!$E$132)</f>
        <v/>
      </c>
      <c r="AA129">
        <f>IF([2]Entry!$G$132="","",[2]Entry!$G$132)</f>
        <v/>
      </c>
      <c r="AB129">
        <f>IF([2]Entry!$J$132="","",[2]Entry!$J$132)</f>
        <v/>
      </c>
      <c r="AC129">
        <f>IF([2]Entry!$K$132="","",[2]Entry!$K$132)</f>
        <v/>
      </c>
      <c r="AD129">
        <f>IF([2]Entry!$L$132="","",[2]Entry!$L$132)</f>
        <v/>
      </c>
      <c r="AE129">
        <f>IF([2]Entry!$M$132="","",[2]Entry!$M$132)</f>
        <v/>
      </c>
      <c r="AF129">
        <f>IF([2]Entry!$N$132="","",[2]Entry!$N$132)</f>
        <v/>
      </c>
      <c r="AG129">
        <f>IF([3]Issues!$B$132="","",[3]Issues!$B$132)</f>
        <v/>
      </c>
      <c r="AH129">
        <f>IF([3]Issues!$D$132="","",[3]Issues!$D$132)</f>
        <v/>
      </c>
      <c r="AI129">
        <f>IF([3]Issues!$E$132="","",[3]Issues!$E$132)</f>
        <v/>
      </c>
      <c r="AJ129">
        <f>IF([2]Entry!$S$132="","",[2]Entry!$S$132)</f>
        <v/>
      </c>
      <c r="AK129">
        <f>IF([2]Entry!$C$132="","",[2]Entry!$C$132)</f>
        <v/>
      </c>
      <c r="AL129">
        <f>IF([2]Entry!$D$132="","",[2]Entry!$D$132)</f>
        <v/>
      </c>
      <c r="AM129">
        <f>IF(AND($F129&lt;&gt;"",$I129&lt;&gt;""),IF($G129="دارایی ثابت",1,0),0)</f>
        <v/>
      </c>
      <c r="AN129">
        <f>SUM($AM$6:$AM129)</f>
        <v/>
      </c>
      <c r="AO129">
        <f>IFERROR(INDEX($F$6:$F$565,MATCH(ROW()-5,$AN$6:$AN$565,0)),"")</f>
        <v/>
      </c>
      <c r="AP129">
        <f>IF(AND($F129&lt;&gt;"",$I129&lt;&gt;""),IF($G129="وام و تسهیلات",1,0),0)</f>
        <v/>
      </c>
      <c r="AQ129">
        <f>SUM($AP$6:$AP129)</f>
        <v/>
      </c>
      <c r="AR129">
        <f>IFERROR(INDEX($F$6:$F$565,MATCH(ROW()-5,$AQ$6:$AQ$565,0)),"")</f>
        <v/>
      </c>
      <c r="AS129">
        <f>IF(AND($F129&lt;&gt;"",$I129&lt;&gt;""),IF($G129="سرمایه و آورده صاحبان",1,0),0)</f>
        <v/>
      </c>
      <c r="AT129">
        <f>SUM($AS$6:$AS129)</f>
        <v/>
      </c>
      <c r="AU129">
        <f>IFERROR(INDEX($F$6:$F$565,MATCH(ROW()-5,$AT$6:$AT$565,0)),"")</f>
        <v/>
      </c>
      <c r="AW129">
        <f>IF([3]Issues!$C$132="","",[3]Issues!$C$132)</f>
        <v/>
      </c>
      <c r="AX129">
        <f>IF([4]Entry!$E$132="","",[4]Entry!$E$132)</f>
        <v/>
      </c>
      <c r="AY129">
        <f>IF([4]Entry!$H$132="","",[4]Entry!$H$132)</f>
        <v/>
      </c>
      <c r="AZ129">
        <f>IF([4]Entry!$I$132="","",[4]Entry!$I$132)</f>
        <v/>
      </c>
    </row>
    <row r="130">
      <c r="F130">
        <f>IF([1]Accounts!$D$131="","",[1]Accounts!$A$131)</f>
        <v/>
      </c>
      <c r="G130">
        <f>IF([1]Accounts!$D$131="","",[1]Accounts!$B$131)</f>
        <v/>
      </c>
      <c r="H130">
        <f>IF([1]Accounts!$D$131="","",[1]Accounts!$C$131)</f>
        <v/>
      </c>
      <c r="I130">
        <f>IF([1]Accounts!$D$131="","",[1]Accounts!$D$131)</f>
        <v/>
      </c>
      <c r="R130">
        <f>IF(AND($F130&lt;&gt;"",$I130&lt;&gt;""),IF(OR($G130="دارایی ثابت",$G130="وام و تسهیلات",$G130="سرمایه و آورده صاحبان"),0,1),0)</f>
        <v/>
      </c>
      <c r="S130">
        <f>SUM($R$6:$R130)</f>
        <v/>
      </c>
      <c r="T130">
        <f>IFERROR(INDEX($F$6:$F$565,MATCH(ROW()-5,$S$6:$S$565,0)),"")</f>
        <v/>
      </c>
      <c r="Z130">
        <f>IF([2]Entry!$E$133="","",[2]Entry!$E$133)</f>
        <v/>
      </c>
      <c r="AA130">
        <f>IF([2]Entry!$G$133="","",[2]Entry!$G$133)</f>
        <v/>
      </c>
      <c r="AB130">
        <f>IF([2]Entry!$J$133="","",[2]Entry!$J$133)</f>
        <v/>
      </c>
      <c r="AC130">
        <f>IF([2]Entry!$K$133="","",[2]Entry!$K$133)</f>
        <v/>
      </c>
      <c r="AD130">
        <f>IF([2]Entry!$L$133="","",[2]Entry!$L$133)</f>
        <v/>
      </c>
      <c r="AE130">
        <f>IF([2]Entry!$M$133="","",[2]Entry!$M$133)</f>
        <v/>
      </c>
      <c r="AF130">
        <f>IF([2]Entry!$N$133="","",[2]Entry!$N$133)</f>
        <v/>
      </c>
      <c r="AG130">
        <f>IF([3]Issues!$B$133="","",[3]Issues!$B$133)</f>
        <v/>
      </c>
      <c r="AH130">
        <f>IF([3]Issues!$D$133="","",[3]Issues!$D$133)</f>
        <v/>
      </c>
      <c r="AI130">
        <f>IF([3]Issues!$E$133="","",[3]Issues!$E$133)</f>
        <v/>
      </c>
      <c r="AJ130">
        <f>IF([2]Entry!$S$133="","",[2]Entry!$S$133)</f>
        <v/>
      </c>
      <c r="AK130">
        <f>IF([2]Entry!$C$133="","",[2]Entry!$C$133)</f>
        <v/>
      </c>
      <c r="AL130">
        <f>IF([2]Entry!$D$133="","",[2]Entry!$D$133)</f>
        <v/>
      </c>
      <c r="AM130">
        <f>IF(AND($F130&lt;&gt;"",$I130&lt;&gt;""),IF($G130="دارایی ثابت",1,0),0)</f>
        <v/>
      </c>
      <c r="AN130">
        <f>SUM($AM$6:$AM130)</f>
        <v/>
      </c>
      <c r="AO130">
        <f>IFERROR(INDEX($F$6:$F$565,MATCH(ROW()-5,$AN$6:$AN$565,0)),"")</f>
        <v/>
      </c>
      <c r="AP130">
        <f>IF(AND($F130&lt;&gt;"",$I130&lt;&gt;""),IF($G130="وام و تسهیلات",1,0),0)</f>
        <v/>
      </c>
      <c r="AQ130">
        <f>SUM($AP$6:$AP130)</f>
        <v/>
      </c>
      <c r="AR130">
        <f>IFERROR(INDEX($F$6:$F$565,MATCH(ROW()-5,$AQ$6:$AQ$565,0)),"")</f>
        <v/>
      </c>
      <c r="AS130">
        <f>IF(AND($F130&lt;&gt;"",$I130&lt;&gt;""),IF($G130="سرمایه و آورده صاحبان",1,0),0)</f>
        <v/>
      </c>
      <c r="AT130">
        <f>SUM($AS$6:$AS130)</f>
        <v/>
      </c>
      <c r="AU130">
        <f>IFERROR(INDEX($F$6:$F$565,MATCH(ROW()-5,$AT$6:$AT$565,0)),"")</f>
        <v/>
      </c>
      <c r="AW130">
        <f>IF([3]Issues!$C$133="","",[3]Issues!$C$133)</f>
        <v/>
      </c>
      <c r="AX130">
        <f>IF([4]Entry!$E$133="","",[4]Entry!$E$133)</f>
        <v/>
      </c>
      <c r="AY130">
        <f>IF([4]Entry!$H$133="","",[4]Entry!$H$133)</f>
        <v/>
      </c>
      <c r="AZ130">
        <f>IF([4]Entry!$I$133="","",[4]Entry!$I$133)</f>
        <v/>
      </c>
    </row>
    <row r="131">
      <c r="F131">
        <f>IF([1]Accounts!$D$132="","",[1]Accounts!$A$132)</f>
        <v/>
      </c>
      <c r="G131">
        <f>IF([1]Accounts!$D$132="","",[1]Accounts!$B$132)</f>
        <v/>
      </c>
      <c r="H131">
        <f>IF([1]Accounts!$D$132="","",[1]Accounts!$C$132)</f>
        <v/>
      </c>
      <c r="I131">
        <f>IF([1]Accounts!$D$132="","",[1]Accounts!$D$132)</f>
        <v/>
      </c>
      <c r="R131">
        <f>IF(AND($F131&lt;&gt;"",$I131&lt;&gt;""),IF(OR($G131="دارایی ثابت",$G131="وام و تسهیلات",$G131="سرمایه و آورده صاحبان"),0,1),0)</f>
        <v/>
      </c>
      <c r="S131">
        <f>SUM($R$6:$R131)</f>
        <v/>
      </c>
      <c r="T131">
        <f>IFERROR(INDEX($F$6:$F$565,MATCH(ROW()-5,$S$6:$S$565,0)),"")</f>
        <v/>
      </c>
      <c r="Z131">
        <f>IF([2]Entry!$E$134="","",[2]Entry!$E$134)</f>
        <v/>
      </c>
      <c r="AA131">
        <f>IF([2]Entry!$G$134="","",[2]Entry!$G$134)</f>
        <v/>
      </c>
      <c r="AB131">
        <f>IF([2]Entry!$J$134="","",[2]Entry!$J$134)</f>
        <v/>
      </c>
      <c r="AC131">
        <f>IF([2]Entry!$K$134="","",[2]Entry!$K$134)</f>
        <v/>
      </c>
      <c r="AD131">
        <f>IF([2]Entry!$L$134="","",[2]Entry!$L$134)</f>
        <v/>
      </c>
      <c r="AE131">
        <f>IF([2]Entry!$M$134="","",[2]Entry!$M$134)</f>
        <v/>
      </c>
      <c r="AF131">
        <f>IF([2]Entry!$N$134="","",[2]Entry!$N$134)</f>
        <v/>
      </c>
      <c r="AG131">
        <f>IF([3]Issues!$B$134="","",[3]Issues!$B$134)</f>
        <v/>
      </c>
      <c r="AH131">
        <f>IF([3]Issues!$D$134="","",[3]Issues!$D$134)</f>
        <v/>
      </c>
      <c r="AI131">
        <f>IF([3]Issues!$E$134="","",[3]Issues!$E$134)</f>
        <v/>
      </c>
      <c r="AJ131">
        <f>IF([2]Entry!$S$134="","",[2]Entry!$S$134)</f>
        <v/>
      </c>
      <c r="AK131">
        <f>IF([2]Entry!$C$134="","",[2]Entry!$C$134)</f>
        <v/>
      </c>
      <c r="AL131">
        <f>IF([2]Entry!$D$134="","",[2]Entry!$D$134)</f>
        <v/>
      </c>
      <c r="AM131">
        <f>IF(AND($F131&lt;&gt;"",$I131&lt;&gt;""),IF($G131="دارایی ثابت",1,0),0)</f>
        <v/>
      </c>
      <c r="AN131">
        <f>SUM($AM$6:$AM131)</f>
        <v/>
      </c>
      <c r="AO131">
        <f>IFERROR(INDEX($F$6:$F$565,MATCH(ROW()-5,$AN$6:$AN$565,0)),"")</f>
        <v/>
      </c>
      <c r="AP131">
        <f>IF(AND($F131&lt;&gt;"",$I131&lt;&gt;""),IF($G131="وام و تسهیلات",1,0),0)</f>
        <v/>
      </c>
      <c r="AQ131">
        <f>SUM($AP$6:$AP131)</f>
        <v/>
      </c>
      <c r="AR131">
        <f>IFERROR(INDEX($F$6:$F$565,MATCH(ROW()-5,$AQ$6:$AQ$565,0)),"")</f>
        <v/>
      </c>
      <c r="AS131">
        <f>IF(AND($F131&lt;&gt;"",$I131&lt;&gt;""),IF($G131="سرمایه و آورده صاحبان",1,0),0)</f>
        <v/>
      </c>
      <c r="AT131">
        <f>SUM($AS$6:$AS131)</f>
        <v/>
      </c>
      <c r="AU131">
        <f>IFERROR(INDEX($F$6:$F$565,MATCH(ROW()-5,$AT$6:$AT$565,0)),"")</f>
        <v/>
      </c>
      <c r="AW131">
        <f>IF([3]Issues!$C$134="","",[3]Issues!$C$134)</f>
        <v/>
      </c>
      <c r="AX131">
        <f>IF([4]Entry!$E$134="","",[4]Entry!$E$134)</f>
        <v/>
      </c>
      <c r="AY131">
        <f>IF([4]Entry!$H$134="","",[4]Entry!$H$134)</f>
        <v/>
      </c>
      <c r="AZ131">
        <f>IF([4]Entry!$I$134="","",[4]Entry!$I$134)</f>
        <v/>
      </c>
    </row>
    <row r="132">
      <c r="F132">
        <f>IF([1]Accounts!$D$133="","",[1]Accounts!$A$133)</f>
        <v/>
      </c>
      <c r="G132">
        <f>IF([1]Accounts!$D$133="","",[1]Accounts!$B$133)</f>
        <v/>
      </c>
      <c r="H132">
        <f>IF([1]Accounts!$D$133="","",[1]Accounts!$C$133)</f>
        <v/>
      </c>
      <c r="I132">
        <f>IF([1]Accounts!$D$133="","",[1]Accounts!$D$133)</f>
        <v/>
      </c>
      <c r="R132">
        <f>IF(AND($F132&lt;&gt;"",$I132&lt;&gt;""),IF(OR($G132="دارایی ثابت",$G132="وام و تسهیلات",$G132="سرمایه و آورده صاحبان"),0,1),0)</f>
        <v/>
      </c>
      <c r="S132">
        <f>SUM($R$6:$R132)</f>
        <v/>
      </c>
      <c r="T132">
        <f>IFERROR(INDEX($F$6:$F$565,MATCH(ROW()-5,$S$6:$S$565,0)),"")</f>
        <v/>
      </c>
      <c r="Z132">
        <f>IF([2]Entry!$E$135="","",[2]Entry!$E$135)</f>
        <v/>
      </c>
      <c r="AA132">
        <f>IF([2]Entry!$G$135="","",[2]Entry!$G$135)</f>
        <v/>
      </c>
      <c r="AB132">
        <f>IF([2]Entry!$J$135="","",[2]Entry!$J$135)</f>
        <v/>
      </c>
      <c r="AC132">
        <f>IF([2]Entry!$K$135="","",[2]Entry!$K$135)</f>
        <v/>
      </c>
      <c r="AD132">
        <f>IF([2]Entry!$L$135="","",[2]Entry!$L$135)</f>
        <v/>
      </c>
      <c r="AE132">
        <f>IF([2]Entry!$M$135="","",[2]Entry!$M$135)</f>
        <v/>
      </c>
      <c r="AF132">
        <f>IF([2]Entry!$N$135="","",[2]Entry!$N$135)</f>
        <v/>
      </c>
      <c r="AG132">
        <f>IF([3]Issues!$B$135="","",[3]Issues!$B$135)</f>
        <v/>
      </c>
      <c r="AH132">
        <f>IF([3]Issues!$D$135="","",[3]Issues!$D$135)</f>
        <v/>
      </c>
      <c r="AI132">
        <f>IF([3]Issues!$E$135="","",[3]Issues!$E$135)</f>
        <v/>
      </c>
      <c r="AJ132">
        <f>IF([2]Entry!$S$135="","",[2]Entry!$S$135)</f>
        <v/>
      </c>
      <c r="AK132">
        <f>IF([2]Entry!$C$135="","",[2]Entry!$C$135)</f>
        <v/>
      </c>
      <c r="AL132">
        <f>IF([2]Entry!$D$135="","",[2]Entry!$D$135)</f>
        <v/>
      </c>
      <c r="AM132">
        <f>IF(AND($F132&lt;&gt;"",$I132&lt;&gt;""),IF($G132="دارایی ثابت",1,0),0)</f>
        <v/>
      </c>
      <c r="AN132">
        <f>SUM($AM$6:$AM132)</f>
        <v/>
      </c>
      <c r="AO132">
        <f>IFERROR(INDEX($F$6:$F$565,MATCH(ROW()-5,$AN$6:$AN$565,0)),"")</f>
        <v/>
      </c>
      <c r="AP132">
        <f>IF(AND($F132&lt;&gt;"",$I132&lt;&gt;""),IF($G132="وام و تسهیلات",1,0),0)</f>
        <v/>
      </c>
      <c r="AQ132">
        <f>SUM($AP$6:$AP132)</f>
        <v/>
      </c>
      <c r="AR132">
        <f>IFERROR(INDEX($F$6:$F$565,MATCH(ROW()-5,$AQ$6:$AQ$565,0)),"")</f>
        <v/>
      </c>
      <c r="AS132">
        <f>IF(AND($F132&lt;&gt;"",$I132&lt;&gt;""),IF($G132="سرمایه و آورده صاحبان",1,0),0)</f>
        <v/>
      </c>
      <c r="AT132">
        <f>SUM($AS$6:$AS132)</f>
        <v/>
      </c>
      <c r="AU132">
        <f>IFERROR(INDEX($F$6:$F$565,MATCH(ROW()-5,$AT$6:$AT$565,0)),"")</f>
        <v/>
      </c>
      <c r="AW132">
        <f>IF([3]Issues!$C$135="","",[3]Issues!$C$135)</f>
        <v/>
      </c>
      <c r="AX132">
        <f>IF([4]Entry!$E$135="","",[4]Entry!$E$135)</f>
        <v/>
      </c>
      <c r="AY132">
        <f>IF([4]Entry!$H$135="","",[4]Entry!$H$135)</f>
        <v/>
      </c>
      <c r="AZ132">
        <f>IF([4]Entry!$I$135="","",[4]Entry!$I$135)</f>
        <v/>
      </c>
    </row>
    <row r="133">
      <c r="F133">
        <f>IF([1]Accounts!$D$134="","",[1]Accounts!$A$134)</f>
        <v/>
      </c>
      <c r="G133">
        <f>IF([1]Accounts!$D$134="","",[1]Accounts!$B$134)</f>
        <v/>
      </c>
      <c r="H133">
        <f>IF([1]Accounts!$D$134="","",[1]Accounts!$C$134)</f>
        <v/>
      </c>
      <c r="I133">
        <f>IF([1]Accounts!$D$134="","",[1]Accounts!$D$134)</f>
        <v/>
      </c>
      <c r="R133">
        <f>IF(AND($F133&lt;&gt;"",$I133&lt;&gt;""),IF(OR($G133="دارایی ثابت",$G133="وام و تسهیلات",$G133="سرمایه و آورده صاحبان"),0,1),0)</f>
        <v/>
      </c>
      <c r="S133">
        <f>SUM($R$6:$R133)</f>
        <v/>
      </c>
      <c r="T133">
        <f>IFERROR(INDEX($F$6:$F$565,MATCH(ROW()-5,$S$6:$S$565,0)),"")</f>
        <v/>
      </c>
      <c r="Z133">
        <f>IF([2]Entry!$E$136="","",[2]Entry!$E$136)</f>
        <v/>
      </c>
      <c r="AA133">
        <f>IF([2]Entry!$G$136="","",[2]Entry!$G$136)</f>
        <v/>
      </c>
      <c r="AB133">
        <f>IF([2]Entry!$J$136="","",[2]Entry!$J$136)</f>
        <v/>
      </c>
      <c r="AC133">
        <f>IF([2]Entry!$K$136="","",[2]Entry!$K$136)</f>
        <v/>
      </c>
      <c r="AD133">
        <f>IF([2]Entry!$L$136="","",[2]Entry!$L$136)</f>
        <v/>
      </c>
      <c r="AE133">
        <f>IF([2]Entry!$M$136="","",[2]Entry!$M$136)</f>
        <v/>
      </c>
      <c r="AF133">
        <f>IF([2]Entry!$N$136="","",[2]Entry!$N$136)</f>
        <v/>
      </c>
      <c r="AG133">
        <f>IF([3]Issues!$B$136="","",[3]Issues!$B$136)</f>
        <v/>
      </c>
      <c r="AH133">
        <f>IF([3]Issues!$D$136="","",[3]Issues!$D$136)</f>
        <v/>
      </c>
      <c r="AI133">
        <f>IF([3]Issues!$E$136="","",[3]Issues!$E$136)</f>
        <v/>
      </c>
      <c r="AJ133">
        <f>IF([2]Entry!$S$136="","",[2]Entry!$S$136)</f>
        <v/>
      </c>
      <c r="AK133">
        <f>IF([2]Entry!$C$136="","",[2]Entry!$C$136)</f>
        <v/>
      </c>
      <c r="AL133">
        <f>IF([2]Entry!$D$136="","",[2]Entry!$D$136)</f>
        <v/>
      </c>
      <c r="AM133">
        <f>IF(AND($F133&lt;&gt;"",$I133&lt;&gt;""),IF($G133="دارایی ثابت",1,0),0)</f>
        <v/>
      </c>
      <c r="AN133">
        <f>SUM($AM$6:$AM133)</f>
        <v/>
      </c>
      <c r="AO133">
        <f>IFERROR(INDEX($F$6:$F$565,MATCH(ROW()-5,$AN$6:$AN$565,0)),"")</f>
        <v/>
      </c>
      <c r="AP133">
        <f>IF(AND($F133&lt;&gt;"",$I133&lt;&gt;""),IF($G133="وام و تسهیلات",1,0),0)</f>
        <v/>
      </c>
      <c r="AQ133">
        <f>SUM($AP$6:$AP133)</f>
        <v/>
      </c>
      <c r="AR133">
        <f>IFERROR(INDEX($F$6:$F$565,MATCH(ROW()-5,$AQ$6:$AQ$565,0)),"")</f>
        <v/>
      </c>
      <c r="AS133">
        <f>IF(AND($F133&lt;&gt;"",$I133&lt;&gt;""),IF($G133="سرمایه و آورده صاحبان",1,0),0)</f>
        <v/>
      </c>
      <c r="AT133">
        <f>SUM($AS$6:$AS133)</f>
        <v/>
      </c>
      <c r="AU133">
        <f>IFERROR(INDEX($F$6:$F$565,MATCH(ROW()-5,$AT$6:$AT$565,0)),"")</f>
        <v/>
      </c>
      <c r="AW133">
        <f>IF([3]Issues!$C$136="","",[3]Issues!$C$136)</f>
        <v/>
      </c>
      <c r="AX133">
        <f>IF([4]Entry!$E$136="","",[4]Entry!$E$136)</f>
        <v/>
      </c>
      <c r="AY133">
        <f>IF([4]Entry!$H$136="","",[4]Entry!$H$136)</f>
        <v/>
      </c>
      <c r="AZ133">
        <f>IF([4]Entry!$I$136="","",[4]Entry!$I$136)</f>
        <v/>
      </c>
    </row>
    <row r="134">
      <c r="F134">
        <f>IF([1]Accounts!$D$135="","",[1]Accounts!$A$135)</f>
        <v/>
      </c>
      <c r="G134">
        <f>IF([1]Accounts!$D$135="","",[1]Accounts!$B$135)</f>
        <v/>
      </c>
      <c r="H134">
        <f>IF([1]Accounts!$D$135="","",[1]Accounts!$C$135)</f>
        <v/>
      </c>
      <c r="I134">
        <f>IF([1]Accounts!$D$135="","",[1]Accounts!$D$135)</f>
        <v/>
      </c>
      <c r="R134">
        <f>IF(AND($F134&lt;&gt;"",$I134&lt;&gt;""),IF(OR($G134="دارایی ثابت",$G134="وام و تسهیلات",$G134="سرمایه و آورده صاحبان"),0,1),0)</f>
        <v/>
      </c>
      <c r="S134">
        <f>SUM($R$6:$R134)</f>
        <v/>
      </c>
      <c r="T134">
        <f>IFERROR(INDEX($F$6:$F$565,MATCH(ROW()-5,$S$6:$S$565,0)),"")</f>
        <v/>
      </c>
      <c r="Z134">
        <f>IF([2]Entry!$E$137="","",[2]Entry!$E$137)</f>
        <v/>
      </c>
      <c r="AA134">
        <f>IF([2]Entry!$G$137="","",[2]Entry!$G$137)</f>
        <v/>
      </c>
      <c r="AB134">
        <f>IF([2]Entry!$J$137="","",[2]Entry!$J$137)</f>
        <v/>
      </c>
      <c r="AC134">
        <f>IF([2]Entry!$K$137="","",[2]Entry!$K$137)</f>
        <v/>
      </c>
      <c r="AD134">
        <f>IF([2]Entry!$L$137="","",[2]Entry!$L$137)</f>
        <v/>
      </c>
      <c r="AE134">
        <f>IF([2]Entry!$M$137="","",[2]Entry!$M$137)</f>
        <v/>
      </c>
      <c r="AF134">
        <f>IF([2]Entry!$N$137="","",[2]Entry!$N$137)</f>
        <v/>
      </c>
      <c r="AG134">
        <f>IF([3]Issues!$B$137="","",[3]Issues!$B$137)</f>
        <v/>
      </c>
      <c r="AH134">
        <f>IF([3]Issues!$D$137="","",[3]Issues!$D$137)</f>
        <v/>
      </c>
      <c r="AI134">
        <f>IF([3]Issues!$E$137="","",[3]Issues!$E$137)</f>
        <v/>
      </c>
      <c r="AJ134">
        <f>IF([2]Entry!$S$137="","",[2]Entry!$S$137)</f>
        <v/>
      </c>
      <c r="AK134">
        <f>IF([2]Entry!$C$137="","",[2]Entry!$C$137)</f>
        <v/>
      </c>
      <c r="AL134">
        <f>IF([2]Entry!$D$137="","",[2]Entry!$D$137)</f>
        <v/>
      </c>
      <c r="AM134">
        <f>IF(AND($F134&lt;&gt;"",$I134&lt;&gt;""),IF($G134="دارایی ثابت",1,0),0)</f>
        <v/>
      </c>
      <c r="AN134">
        <f>SUM($AM$6:$AM134)</f>
        <v/>
      </c>
      <c r="AO134">
        <f>IFERROR(INDEX($F$6:$F$565,MATCH(ROW()-5,$AN$6:$AN$565,0)),"")</f>
        <v/>
      </c>
      <c r="AP134">
        <f>IF(AND($F134&lt;&gt;"",$I134&lt;&gt;""),IF($G134="وام و تسهیلات",1,0),0)</f>
        <v/>
      </c>
      <c r="AQ134">
        <f>SUM($AP$6:$AP134)</f>
        <v/>
      </c>
      <c r="AR134">
        <f>IFERROR(INDEX($F$6:$F$565,MATCH(ROW()-5,$AQ$6:$AQ$565,0)),"")</f>
        <v/>
      </c>
      <c r="AS134">
        <f>IF(AND($F134&lt;&gt;"",$I134&lt;&gt;""),IF($G134="سرمایه و آورده صاحبان",1,0),0)</f>
        <v/>
      </c>
      <c r="AT134">
        <f>SUM($AS$6:$AS134)</f>
        <v/>
      </c>
      <c r="AU134">
        <f>IFERROR(INDEX($F$6:$F$565,MATCH(ROW()-5,$AT$6:$AT$565,0)),"")</f>
        <v/>
      </c>
      <c r="AW134">
        <f>IF([3]Issues!$C$137="","",[3]Issues!$C$137)</f>
        <v/>
      </c>
      <c r="AX134">
        <f>IF([4]Entry!$E$137="","",[4]Entry!$E$137)</f>
        <v/>
      </c>
      <c r="AY134">
        <f>IF([4]Entry!$H$137="","",[4]Entry!$H$137)</f>
        <v/>
      </c>
      <c r="AZ134">
        <f>IF([4]Entry!$I$137="","",[4]Entry!$I$137)</f>
        <v/>
      </c>
    </row>
    <row r="135">
      <c r="F135">
        <f>IF([1]Accounts!$D$136="","",[1]Accounts!$A$136)</f>
        <v/>
      </c>
      <c r="G135">
        <f>IF([1]Accounts!$D$136="","",[1]Accounts!$B$136)</f>
        <v/>
      </c>
      <c r="H135">
        <f>IF([1]Accounts!$D$136="","",[1]Accounts!$C$136)</f>
        <v/>
      </c>
      <c r="I135">
        <f>IF([1]Accounts!$D$136="","",[1]Accounts!$D$136)</f>
        <v/>
      </c>
      <c r="R135">
        <f>IF(AND($F135&lt;&gt;"",$I135&lt;&gt;""),IF(OR($G135="دارایی ثابت",$G135="وام و تسهیلات",$G135="سرمایه و آورده صاحبان"),0,1),0)</f>
        <v/>
      </c>
      <c r="S135">
        <f>SUM($R$6:$R135)</f>
        <v/>
      </c>
      <c r="T135">
        <f>IFERROR(INDEX($F$6:$F$565,MATCH(ROW()-5,$S$6:$S$565,0)),"")</f>
        <v/>
      </c>
      <c r="Z135">
        <f>IF([2]Entry!$E$138="","",[2]Entry!$E$138)</f>
        <v/>
      </c>
      <c r="AA135">
        <f>IF([2]Entry!$G$138="","",[2]Entry!$G$138)</f>
        <v/>
      </c>
      <c r="AB135">
        <f>IF([2]Entry!$J$138="","",[2]Entry!$J$138)</f>
        <v/>
      </c>
      <c r="AC135">
        <f>IF([2]Entry!$K$138="","",[2]Entry!$K$138)</f>
        <v/>
      </c>
      <c r="AD135">
        <f>IF([2]Entry!$L$138="","",[2]Entry!$L$138)</f>
        <v/>
      </c>
      <c r="AE135">
        <f>IF([2]Entry!$M$138="","",[2]Entry!$M$138)</f>
        <v/>
      </c>
      <c r="AF135">
        <f>IF([2]Entry!$N$138="","",[2]Entry!$N$138)</f>
        <v/>
      </c>
      <c r="AG135">
        <f>IF([3]Issues!$B$138="","",[3]Issues!$B$138)</f>
        <v/>
      </c>
      <c r="AH135">
        <f>IF([3]Issues!$D$138="","",[3]Issues!$D$138)</f>
        <v/>
      </c>
      <c r="AI135">
        <f>IF([3]Issues!$E$138="","",[3]Issues!$E$138)</f>
        <v/>
      </c>
      <c r="AJ135">
        <f>IF([2]Entry!$S$138="","",[2]Entry!$S$138)</f>
        <v/>
      </c>
      <c r="AK135">
        <f>IF([2]Entry!$C$138="","",[2]Entry!$C$138)</f>
        <v/>
      </c>
      <c r="AL135">
        <f>IF([2]Entry!$D$138="","",[2]Entry!$D$138)</f>
        <v/>
      </c>
      <c r="AM135">
        <f>IF(AND($F135&lt;&gt;"",$I135&lt;&gt;""),IF($G135="دارایی ثابت",1,0),0)</f>
        <v/>
      </c>
      <c r="AN135">
        <f>SUM($AM$6:$AM135)</f>
        <v/>
      </c>
      <c r="AO135">
        <f>IFERROR(INDEX($F$6:$F$565,MATCH(ROW()-5,$AN$6:$AN$565,0)),"")</f>
        <v/>
      </c>
      <c r="AP135">
        <f>IF(AND($F135&lt;&gt;"",$I135&lt;&gt;""),IF($G135="وام و تسهیلات",1,0),0)</f>
        <v/>
      </c>
      <c r="AQ135">
        <f>SUM($AP$6:$AP135)</f>
        <v/>
      </c>
      <c r="AR135">
        <f>IFERROR(INDEX($F$6:$F$565,MATCH(ROW()-5,$AQ$6:$AQ$565,0)),"")</f>
        <v/>
      </c>
      <c r="AS135">
        <f>IF(AND($F135&lt;&gt;"",$I135&lt;&gt;""),IF($G135="سرمایه و آورده صاحبان",1,0),0)</f>
        <v/>
      </c>
      <c r="AT135">
        <f>SUM($AS$6:$AS135)</f>
        <v/>
      </c>
      <c r="AU135">
        <f>IFERROR(INDEX($F$6:$F$565,MATCH(ROW()-5,$AT$6:$AT$565,0)),"")</f>
        <v/>
      </c>
      <c r="AW135">
        <f>IF([3]Issues!$C$138="","",[3]Issues!$C$138)</f>
        <v/>
      </c>
      <c r="AX135">
        <f>IF([4]Entry!$E$138="","",[4]Entry!$E$138)</f>
        <v/>
      </c>
      <c r="AY135">
        <f>IF([4]Entry!$H$138="","",[4]Entry!$H$138)</f>
        <v/>
      </c>
      <c r="AZ135">
        <f>IF([4]Entry!$I$138="","",[4]Entry!$I$138)</f>
        <v/>
      </c>
    </row>
    <row r="136">
      <c r="F136">
        <f>IF([1]Accounts!$D$137="","",[1]Accounts!$A$137)</f>
        <v/>
      </c>
      <c r="G136">
        <f>IF([1]Accounts!$D$137="","",[1]Accounts!$B$137)</f>
        <v/>
      </c>
      <c r="H136">
        <f>IF([1]Accounts!$D$137="","",[1]Accounts!$C$137)</f>
        <v/>
      </c>
      <c r="I136">
        <f>IF([1]Accounts!$D$137="","",[1]Accounts!$D$137)</f>
        <v/>
      </c>
      <c r="R136">
        <f>IF(AND($F136&lt;&gt;"",$I136&lt;&gt;""),IF(OR($G136="دارایی ثابت",$G136="وام و تسهیلات",$G136="سرمایه و آورده صاحبان"),0,1),0)</f>
        <v/>
      </c>
      <c r="S136">
        <f>SUM($R$6:$R136)</f>
        <v/>
      </c>
      <c r="T136">
        <f>IFERROR(INDEX($F$6:$F$565,MATCH(ROW()-5,$S$6:$S$565,0)),"")</f>
        <v/>
      </c>
      <c r="Z136">
        <f>IF([2]Entry!$E$139="","",[2]Entry!$E$139)</f>
        <v/>
      </c>
      <c r="AA136">
        <f>IF([2]Entry!$G$139="","",[2]Entry!$G$139)</f>
        <v/>
      </c>
      <c r="AB136">
        <f>IF([2]Entry!$J$139="","",[2]Entry!$J$139)</f>
        <v/>
      </c>
      <c r="AC136">
        <f>IF([2]Entry!$K$139="","",[2]Entry!$K$139)</f>
        <v/>
      </c>
      <c r="AD136">
        <f>IF([2]Entry!$L$139="","",[2]Entry!$L$139)</f>
        <v/>
      </c>
      <c r="AE136">
        <f>IF([2]Entry!$M$139="","",[2]Entry!$M$139)</f>
        <v/>
      </c>
      <c r="AF136">
        <f>IF([2]Entry!$N$139="","",[2]Entry!$N$139)</f>
        <v/>
      </c>
      <c r="AG136">
        <f>IF([3]Issues!$B$139="","",[3]Issues!$B$139)</f>
        <v/>
      </c>
      <c r="AH136">
        <f>IF([3]Issues!$D$139="","",[3]Issues!$D$139)</f>
        <v/>
      </c>
      <c r="AI136">
        <f>IF([3]Issues!$E$139="","",[3]Issues!$E$139)</f>
        <v/>
      </c>
      <c r="AJ136">
        <f>IF([2]Entry!$S$139="","",[2]Entry!$S$139)</f>
        <v/>
      </c>
      <c r="AK136">
        <f>IF([2]Entry!$C$139="","",[2]Entry!$C$139)</f>
        <v/>
      </c>
      <c r="AL136">
        <f>IF([2]Entry!$D$139="","",[2]Entry!$D$139)</f>
        <v/>
      </c>
      <c r="AM136">
        <f>IF(AND($F136&lt;&gt;"",$I136&lt;&gt;""),IF($G136="دارایی ثابت",1,0),0)</f>
        <v/>
      </c>
      <c r="AN136">
        <f>SUM($AM$6:$AM136)</f>
        <v/>
      </c>
      <c r="AO136">
        <f>IFERROR(INDEX($F$6:$F$565,MATCH(ROW()-5,$AN$6:$AN$565,0)),"")</f>
        <v/>
      </c>
      <c r="AP136">
        <f>IF(AND($F136&lt;&gt;"",$I136&lt;&gt;""),IF($G136="وام و تسهیلات",1,0),0)</f>
        <v/>
      </c>
      <c r="AQ136">
        <f>SUM($AP$6:$AP136)</f>
        <v/>
      </c>
      <c r="AR136">
        <f>IFERROR(INDEX($F$6:$F$565,MATCH(ROW()-5,$AQ$6:$AQ$565,0)),"")</f>
        <v/>
      </c>
      <c r="AS136">
        <f>IF(AND($F136&lt;&gt;"",$I136&lt;&gt;""),IF($G136="سرمایه و آورده صاحبان",1,0),0)</f>
        <v/>
      </c>
      <c r="AT136">
        <f>SUM($AS$6:$AS136)</f>
        <v/>
      </c>
      <c r="AU136">
        <f>IFERROR(INDEX($F$6:$F$565,MATCH(ROW()-5,$AT$6:$AT$565,0)),"")</f>
        <v/>
      </c>
      <c r="AW136">
        <f>IF([3]Issues!$C$139="","",[3]Issues!$C$139)</f>
        <v/>
      </c>
      <c r="AX136">
        <f>IF([4]Entry!$E$139="","",[4]Entry!$E$139)</f>
        <v/>
      </c>
      <c r="AY136">
        <f>IF([4]Entry!$H$139="","",[4]Entry!$H$139)</f>
        <v/>
      </c>
      <c r="AZ136">
        <f>IF([4]Entry!$I$139="","",[4]Entry!$I$139)</f>
        <v/>
      </c>
    </row>
    <row r="137">
      <c r="F137">
        <f>IF([1]Accounts!$D$138="","",[1]Accounts!$A$138)</f>
        <v/>
      </c>
      <c r="G137">
        <f>IF([1]Accounts!$D$138="","",[1]Accounts!$B$138)</f>
        <v/>
      </c>
      <c r="H137">
        <f>IF([1]Accounts!$D$138="","",[1]Accounts!$C$138)</f>
        <v/>
      </c>
      <c r="I137">
        <f>IF([1]Accounts!$D$138="","",[1]Accounts!$D$138)</f>
        <v/>
      </c>
      <c r="R137">
        <f>IF(AND($F137&lt;&gt;"",$I137&lt;&gt;""),IF(OR($G137="دارایی ثابت",$G137="وام و تسهیلات",$G137="سرمایه و آورده صاحبان"),0,1),0)</f>
        <v/>
      </c>
      <c r="S137">
        <f>SUM($R$6:$R137)</f>
        <v/>
      </c>
      <c r="T137">
        <f>IFERROR(INDEX($F$6:$F$565,MATCH(ROW()-5,$S$6:$S$565,0)),"")</f>
        <v/>
      </c>
      <c r="Z137">
        <f>IF([2]Entry!$E$140="","",[2]Entry!$E$140)</f>
        <v/>
      </c>
      <c r="AA137">
        <f>IF([2]Entry!$G$140="","",[2]Entry!$G$140)</f>
        <v/>
      </c>
      <c r="AB137">
        <f>IF([2]Entry!$J$140="","",[2]Entry!$J$140)</f>
        <v/>
      </c>
      <c r="AC137">
        <f>IF([2]Entry!$K$140="","",[2]Entry!$K$140)</f>
        <v/>
      </c>
      <c r="AD137">
        <f>IF([2]Entry!$L$140="","",[2]Entry!$L$140)</f>
        <v/>
      </c>
      <c r="AE137">
        <f>IF([2]Entry!$M$140="","",[2]Entry!$M$140)</f>
        <v/>
      </c>
      <c r="AF137">
        <f>IF([2]Entry!$N$140="","",[2]Entry!$N$140)</f>
        <v/>
      </c>
      <c r="AG137">
        <f>IF([3]Issues!$B$140="","",[3]Issues!$B$140)</f>
        <v/>
      </c>
      <c r="AH137">
        <f>IF([3]Issues!$D$140="","",[3]Issues!$D$140)</f>
        <v/>
      </c>
      <c r="AI137">
        <f>IF([3]Issues!$E$140="","",[3]Issues!$E$140)</f>
        <v/>
      </c>
      <c r="AJ137">
        <f>IF([2]Entry!$S$140="","",[2]Entry!$S$140)</f>
        <v/>
      </c>
      <c r="AK137">
        <f>IF([2]Entry!$C$140="","",[2]Entry!$C$140)</f>
        <v/>
      </c>
      <c r="AL137">
        <f>IF([2]Entry!$D$140="","",[2]Entry!$D$140)</f>
        <v/>
      </c>
      <c r="AM137">
        <f>IF(AND($F137&lt;&gt;"",$I137&lt;&gt;""),IF($G137="دارایی ثابت",1,0),0)</f>
        <v/>
      </c>
      <c r="AN137">
        <f>SUM($AM$6:$AM137)</f>
        <v/>
      </c>
      <c r="AO137">
        <f>IFERROR(INDEX($F$6:$F$565,MATCH(ROW()-5,$AN$6:$AN$565,0)),"")</f>
        <v/>
      </c>
      <c r="AP137">
        <f>IF(AND($F137&lt;&gt;"",$I137&lt;&gt;""),IF($G137="وام و تسهیلات",1,0),0)</f>
        <v/>
      </c>
      <c r="AQ137">
        <f>SUM($AP$6:$AP137)</f>
        <v/>
      </c>
      <c r="AR137">
        <f>IFERROR(INDEX($F$6:$F$565,MATCH(ROW()-5,$AQ$6:$AQ$565,0)),"")</f>
        <v/>
      </c>
      <c r="AS137">
        <f>IF(AND($F137&lt;&gt;"",$I137&lt;&gt;""),IF($G137="سرمایه و آورده صاحبان",1,0),0)</f>
        <v/>
      </c>
      <c r="AT137">
        <f>SUM($AS$6:$AS137)</f>
        <v/>
      </c>
      <c r="AU137">
        <f>IFERROR(INDEX($F$6:$F$565,MATCH(ROW()-5,$AT$6:$AT$565,0)),"")</f>
        <v/>
      </c>
      <c r="AW137">
        <f>IF([3]Issues!$C$140="","",[3]Issues!$C$140)</f>
        <v/>
      </c>
      <c r="AX137">
        <f>IF([4]Entry!$E$140="","",[4]Entry!$E$140)</f>
        <v/>
      </c>
      <c r="AY137">
        <f>IF([4]Entry!$H$140="","",[4]Entry!$H$140)</f>
        <v/>
      </c>
      <c r="AZ137">
        <f>IF([4]Entry!$I$140="","",[4]Entry!$I$140)</f>
        <v/>
      </c>
    </row>
    <row r="138">
      <c r="F138">
        <f>IF([1]Accounts!$D$139="","",[1]Accounts!$A$139)</f>
        <v/>
      </c>
      <c r="G138">
        <f>IF([1]Accounts!$D$139="","",[1]Accounts!$B$139)</f>
        <v/>
      </c>
      <c r="H138">
        <f>IF([1]Accounts!$D$139="","",[1]Accounts!$C$139)</f>
        <v/>
      </c>
      <c r="I138">
        <f>IF([1]Accounts!$D$139="","",[1]Accounts!$D$139)</f>
        <v/>
      </c>
      <c r="R138">
        <f>IF(AND($F138&lt;&gt;"",$I138&lt;&gt;""),IF(OR($G138="دارایی ثابت",$G138="وام و تسهیلات",$G138="سرمایه و آورده صاحبان"),0,1),0)</f>
        <v/>
      </c>
      <c r="S138">
        <f>SUM($R$6:$R138)</f>
        <v/>
      </c>
      <c r="T138">
        <f>IFERROR(INDEX($F$6:$F$565,MATCH(ROW()-5,$S$6:$S$565,0)),"")</f>
        <v/>
      </c>
      <c r="Z138">
        <f>IF([2]Entry!$E$141="","",[2]Entry!$E$141)</f>
        <v/>
      </c>
      <c r="AA138">
        <f>IF([2]Entry!$G$141="","",[2]Entry!$G$141)</f>
        <v/>
      </c>
      <c r="AB138">
        <f>IF([2]Entry!$J$141="","",[2]Entry!$J$141)</f>
        <v/>
      </c>
      <c r="AC138">
        <f>IF([2]Entry!$K$141="","",[2]Entry!$K$141)</f>
        <v/>
      </c>
      <c r="AD138">
        <f>IF([2]Entry!$L$141="","",[2]Entry!$L$141)</f>
        <v/>
      </c>
      <c r="AE138">
        <f>IF([2]Entry!$M$141="","",[2]Entry!$M$141)</f>
        <v/>
      </c>
      <c r="AF138">
        <f>IF([2]Entry!$N$141="","",[2]Entry!$N$141)</f>
        <v/>
      </c>
      <c r="AG138">
        <f>IF([3]Issues!$B$141="","",[3]Issues!$B$141)</f>
        <v/>
      </c>
      <c r="AH138">
        <f>IF([3]Issues!$D$141="","",[3]Issues!$D$141)</f>
        <v/>
      </c>
      <c r="AI138">
        <f>IF([3]Issues!$E$141="","",[3]Issues!$E$141)</f>
        <v/>
      </c>
      <c r="AJ138">
        <f>IF([2]Entry!$S$141="","",[2]Entry!$S$141)</f>
        <v/>
      </c>
      <c r="AK138">
        <f>IF([2]Entry!$C$141="","",[2]Entry!$C$141)</f>
        <v/>
      </c>
      <c r="AL138">
        <f>IF([2]Entry!$D$141="","",[2]Entry!$D$141)</f>
        <v/>
      </c>
      <c r="AM138">
        <f>IF(AND($F138&lt;&gt;"",$I138&lt;&gt;""),IF($G138="دارایی ثابت",1,0),0)</f>
        <v/>
      </c>
      <c r="AN138">
        <f>SUM($AM$6:$AM138)</f>
        <v/>
      </c>
      <c r="AO138">
        <f>IFERROR(INDEX($F$6:$F$565,MATCH(ROW()-5,$AN$6:$AN$565,0)),"")</f>
        <v/>
      </c>
      <c r="AP138">
        <f>IF(AND($F138&lt;&gt;"",$I138&lt;&gt;""),IF($G138="وام و تسهیلات",1,0),0)</f>
        <v/>
      </c>
      <c r="AQ138">
        <f>SUM($AP$6:$AP138)</f>
        <v/>
      </c>
      <c r="AR138">
        <f>IFERROR(INDEX($F$6:$F$565,MATCH(ROW()-5,$AQ$6:$AQ$565,0)),"")</f>
        <v/>
      </c>
      <c r="AS138">
        <f>IF(AND($F138&lt;&gt;"",$I138&lt;&gt;""),IF($G138="سرمایه و آورده صاحبان",1,0),0)</f>
        <v/>
      </c>
      <c r="AT138">
        <f>SUM($AS$6:$AS138)</f>
        <v/>
      </c>
      <c r="AU138">
        <f>IFERROR(INDEX($F$6:$F$565,MATCH(ROW()-5,$AT$6:$AT$565,0)),"")</f>
        <v/>
      </c>
      <c r="AW138">
        <f>IF([3]Issues!$C$141="","",[3]Issues!$C$141)</f>
        <v/>
      </c>
      <c r="AX138">
        <f>IF([4]Entry!$E$141="","",[4]Entry!$E$141)</f>
        <v/>
      </c>
      <c r="AY138">
        <f>IF([4]Entry!$H$141="","",[4]Entry!$H$141)</f>
        <v/>
      </c>
      <c r="AZ138">
        <f>IF([4]Entry!$I$141="","",[4]Entry!$I$141)</f>
        <v/>
      </c>
    </row>
    <row r="139">
      <c r="F139">
        <f>IF([1]Accounts!$D$140="","",[1]Accounts!$A$140)</f>
        <v/>
      </c>
      <c r="G139">
        <f>IF([1]Accounts!$D$140="","",[1]Accounts!$B$140)</f>
        <v/>
      </c>
      <c r="H139">
        <f>IF([1]Accounts!$D$140="","",[1]Accounts!$C$140)</f>
        <v/>
      </c>
      <c r="I139">
        <f>IF([1]Accounts!$D$140="","",[1]Accounts!$D$140)</f>
        <v/>
      </c>
      <c r="R139">
        <f>IF(AND($F139&lt;&gt;"",$I139&lt;&gt;""),IF(OR($G139="دارایی ثابت",$G139="وام و تسهیلات",$G139="سرمایه و آورده صاحبان"),0,1),0)</f>
        <v/>
      </c>
      <c r="S139">
        <f>SUM($R$6:$R139)</f>
        <v/>
      </c>
      <c r="T139">
        <f>IFERROR(INDEX($F$6:$F$565,MATCH(ROW()-5,$S$6:$S$565,0)),"")</f>
        <v/>
      </c>
      <c r="Z139">
        <f>IF([2]Entry!$E$142="","",[2]Entry!$E$142)</f>
        <v/>
      </c>
      <c r="AA139">
        <f>IF([2]Entry!$G$142="","",[2]Entry!$G$142)</f>
        <v/>
      </c>
      <c r="AB139">
        <f>IF([2]Entry!$J$142="","",[2]Entry!$J$142)</f>
        <v/>
      </c>
      <c r="AC139">
        <f>IF([2]Entry!$K$142="","",[2]Entry!$K$142)</f>
        <v/>
      </c>
      <c r="AD139">
        <f>IF([2]Entry!$L$142="","",[2]Entry!$L$142)</f>
        <v/>
      </c>
      <c r="AE139">
        <f>IF([2]Entry!$M$142="","",[2]Entry!$M$142)</f>
        <v/>
      </c>
      <c r="AF139">
        <f>IF([2]Entry!$N$142="","",[2]Entry!$N$142)</f>
        <v/>
      </c>
      <c r="AG139">
        <f>IF([3]Issues!$B$142="","",[3]Issues!$B$142)</f>
        <v/>
      </c>
      <c r="AH139">
        <f>IF([3]Issues!$D$142="","",[3]Issues!$D$142)</f>
        <v/>
      </c>
      <c r="AI139">
        <f>IF([3]Issues!$E$142="","",[3]Issues!$E$142)</f>
        <v/>
      </c>
      <c r="AJ139">
        <f>IF([2]Entry!$S$142="","",[2]Entry!$S$142)</f>
        <v/>
      </c>
      <c r="AK139">
        <f>IF([2]Entry!$C$142="","",[2]Entry!$C$142)</f>
        <v/>
      </c>
      <c r="AL139">
        <f>IF([2]Entry!$D$142="","",[2]Entry!$D$142)</f>
        <v/>
      </c>
      <c r="AM139">
        <f>IF(AND($F139&lt;&gt;"",$I139&lt;&gt;""),IF($G139="دارایی ثابت",1,0),0)</f>
        <v/>
      </c>
      <c r="AN139">
        <f>SUM($AM$6:$AM139)</f>
        <v/>
      </c>
      <c r="AO139">
        <f>IFERROR(INDEX($F$6:$F$565,MATCH(ROW()-5,$AN$6:$AN$565,0)),"")</f>
        <v/>
      </c>
      <c r="AP139">
        <f>IF(AND($F139&lt;&gt;"",$I139&lt;&gt;""),IF($G139="وام و تسهیلات",1,0),0)</f>
        <v/>
      </c>
      <c r="AQ139">
        <f>SUM($AP$6:$AP139)</f>
        <v/>
      </c>
      <c r="AR139">
        <f>IFERROR(INDEX($F$6:$F$565,MATCH(ROW()-5,$AQ$6:$AQ$565,0)),"")</f>
        <v/>
      </c>
      <c r="AS139">
        <f>IF(AND($F139&lt;&gt;"",$I139&lt;&gt;""),IF($G139="سرمایه و آورده صاحبان",1,0),0)</f>
        <v/>
      </c>
      <c r="AT139">
        <f>SUM($AS$6:$AS139)</f>
        <v/>
      </c>
      <c r="AU139">
        <f>IFERROR(INDEX($F$6:$F$565,MATCH(ROW()-5,$AT$6:$AT$565,0)),"")</f>
        <v/>
      </c>
      <c r="AW139">
        <f>IF([3]Issues!$C$142="","",[3]Issues!$C$142)</f>
        <v/>
      </c>
      <c r="AX139">
        <f>IF([4]Entry!$E$142="","",[4]Entry!$E$142)</f>
        <v/>
      </c>
      <c r="AY139">
        <f>IF([4]Entry!$H$142="","",[4]Entry!$H$142)</f>
        <v/>
      </c>
      <c r="AZ139">
        <f>IF([4]Entry!$I$142="","",[4]Entry!$I$142)</f>
        <v/>
      </c>
    </row>
    <row r="140">
      <c r="F140">
        <f>IF([1]Accounts!$D$141="","",[1]Accounts!$A$141)</f>
        <v/>
      </c>
      <c r="G140">
        <f>IF([1]Accounts!$D$141="","",[1]Accounts!$B$141)</f>
        <v/>
      </c>
      <c r="H140">
        <f>IF([1]Accounts!$D$141="","",[1]Accounts!$C$141)</f>
        <v/>
      </c>
      <c r="I140">
        <f>IF([1]Accounts!$D$141="","",[1]Accounts!$D$141)</f>
        <v/>
      </c>
      <c r="R140">
        <f>IF(AND($F140&lt;&gt;"",$I140&lt;&gt;""),IF(OR($G140="دارایی ثابت",$G140="وام و تسهیلات",$G140="سرمایه و آورده صاحبان"),0,1),0)</f>
        <v/>
      </c>
      <c r="S140">
        <f>SUM($R$6:$R140)</f>
        <v/>
      </c>
      <c r="T140">
        <f>IFERROR(INDEX($F$6:$F$565,MATCH(ROW()-5,$S$6:$S$565,0)),"")</f>
        <v/>
      </c>
      <c r="Z140">
        <f>IF([2]Entry!$E$143="","",[2]Entry!$E$143)</f>
        <v/>
      </c>
      <c r="AA140">
        <f>IF([2]Entry!$G$143="","",[2]Entry!$G$143)</f>
        <v/>
      </c>
      <c r="AB140">
        <f>IF([2]Entry!$J$143="","",[2]Entry!$J$143)</f>
        <v/>
      </c>
      <c r="AC140">
        <f>IF([2]Entry!$K$143="","",[2]Entry!$K$143)</f>
        <v/>
      </c>
      <c r="AD140">
        <f>IF([2]Entry!$L$143="","",[2]Entry!$L$143)</f>
        <v/>
      </c>
      <c r="AE140">
        <f>IF([2]Entry!$M$143="","",[2]Entry!$M$143)</f>
        <v/>
      </c>
      <c r="AF140">
        <f>IF([2]Entry!$N$143="","",[2]Entry!$N$143)</f>
        <v/>
      </c>
      <c r="AG140">
        <f>IF([3]Issues!$B$143="","",[3]Issues!$B$143)</f>
        <v/>
      </c>
      <c r="AH140">
        <f>IF([3]Issues!$D$143="","",[3]Issues!$D$143)</f>
        <v/>
      </c>
      <c r="AI140">
        <f>IF([3]Issues!$E$143="","",[3]Issues!$E$143)</f>
        <v/>
      </c>
      <c r="AJ140">
        <f>IF([2]Entry!$S$143="","",[2]Entry!$S$143)</f>
        <v/>
      </c>
      <c r="AK140">
        <f>IF([2]Entry!$C$143="","",[2]Entry!$C$143)</f>
        <v/>
      </c>
      <c r="AL140">
        <f>IF([2]Entry!$D$143="","",[2]Entry!$D$143)</f>
        <v/>
      </c>
      <c r="AM140">
        <f>IF(AND($F140&lt;&gt;"",$I140&lt;&gt;""),IF($G140="دارایی ثابت",1,0),0)</f>
        <v/>
      </c>
      <c r="AN140">
        <f>SUM($AM$6:$AM140)</f>
        <v/>
      </c>
      <c r="AO140">
        <f>IFERROR(INDEX($F$6:$F$565,MATCH(ROW()-5,$AN$6:$AN$565,0)),"")</f>
        <v/>
      </c>
      <c r="AP140">
        <f>IF(AND($F140&lt;&gt;"",$I140&lt;&gt;""),IF($G140="وام و تسهیلات",1,0),0)</f>
        <v/>
      </c>
      <c r="AQ140">
        <f>SUM($AP$6:$AP140)</f>
        <v/>
      </c>
      <c r="AR140">
        <f>IFERROR(INDEX($F$6:$F$565,MATCH(ROW()-5,$AQ$6:$AQ$565,0)),"")</f>
        <v/>
      </c>
      <c r="AS140">
        <f>IF(AND($F140&lt;&gt;"",$I140&lt;&gt;""),IF($G140="سرمایه و آورده صاحبان",1,0),0)</f>
        <v/>
      </c>
      <c r="AT140">
        <f>SUM($AS$6:$AS140)</f>
        <v/>
      </c>
      <c r="AU140">
        <f>IFERROR(INDEX($F$6:$F$565,MATCH(ROW()-5,$AT$6:$AT$565,0)),"")</f>
        <v/>
      </c>
      <c r="AW140">
        <f>IF([3]Issues!$C$143="","",[3]Issues!$C$143)</f>
        <v/>
      </c>
      <c r="AX140">
        <f>IF([4]Entry!$E$143="","",[4]Entry!$E$143)</f>
        <v/>
      </c>
      <c r="AY140">
        <f>IF([4]Entry!$H$143="","",[4]Entry!$H$143)</f>
        <v/>
      </c>
      <c r="AZ140">
        <f>IF([4]Entry!$I$143="","",[4]Entry!$I$143)</f>
        <v/>
      </c>
    </row>
    <row r="141">
      <c r="F141">
        <f>IF([1]Accounts!$D$142="","",[1]Accounts!$A$142)</f>
        <v/>
      </c>
      <c r="G141">
        <f>IF([1]Accounts!$D$142="","",[1]Accounts!$B$142)</f>
        <v/>
      </c>
      <c r="H141">
        <f>IF([1]Accounts!$D$142="","",[1]Accounts!$C$142)</f>
        <v/>
      </c>
      <c r="I141">
        <f>IF([1]Accounts!$D$142="","",[1]Accounts!$D$142)</f>
        <v/>
      </c>
      <c r="R141">
        <f>IF(AND($F141&lt;&gt;"",$I141&lt;&gt;""),IF(OR($G141="دارایی ثابت",$G141="وام و تسهیلات",$G141="سرمایه و آورده صاحبان"),0,1),0)</f>
        <v/>
      </c>
      <c r="S141">
        <f>SUM($R$6:$R141)</f>
        <v/>
      </c>
      <c r="T141">
        <f>IFERROR(INDEX($F$6:$F$565,MATCH(ROW()-5,$S$6:$S$565,0)),"")</f>
        <v/>
      </c>
      <c r="Z141">
        <f>IF([2]Entry!$E$144="","",[2]Entry!$E$144)</f>
        <v/>
      </c>
      <c r="AA141">
        <f>IF([2]Entry!$G$144="","",[2]Entry!$G$144)</f>
        <v/>
      </c>
      <c r="AB141">
        <f>IF([2]Entry!$J$144="","",[2]Entry!$J$144)</f>
        <v/>
      </c>
      <c r="AC141">
        <f>IF([2]Entry!$K$144="","",[2]Entry!$K$144)</f>
        <v/>
      </c>
      <c r="AD141">
        <f>IF([2]Entry!$L$144="","",[2]Entry!$L$144)</f>
        <v/>
      </c>
      <c r="AE141">
        <f>IF([2]Entry!$M$144="","",[2]Entry!$M$144)</f>
        <v/>
      </c>
      <c r="AF141">
        <f>IF([2]Entry!$N$144="","",[2]Entry!$N$144)</f>
        <v/>
      </c>
      <c r="AG141">
        <f>IF([3]Issues!$B$144="","",[3]Issues!$B$144)</f>
        <v/>
      </c>
      <c r="AH141">
        <f>IF([3]Issues!$D$144="","",[3]Issues!$D$144)</f>
        <v/>
      </c>
      <c r="AI141">
        <f>IF([3]Issues!$E$144="","",[3]Issues!$E$144)</f>
        <v/>
      </c>
      <c r="AJ141">
        <f>IF([2]Entry!$S$144="","",[2]Entry!$S$144)</f>
        <v/>
      </c>
      <c r="AK141">
        <f>IF([2]Entry!$C$144="","",[2]Entry!$C$144)</f>
        <v/>
      </c>
      <c r="AL141">
        <f>IF([2]Entry!$D$144="","",[2]Entry!$D$144)</f>
        <v/>
      </c>
      <c r="AM141">
        <f>IF(AND($F141&lt;&gt;"",$I141&lt;&gt;""),IF($G141="دارایی ثابت",1,0),0)</f>
        <v/>
      </c>
      <c r="AN141">
        <f>SUM($AM$6:$AM141)</f>
        <v/>
      </c>
      <c r="AO141">
        <f>IFERROR(INDEX($F$6:$F$565,MATCH(ROW()-5,$AN$6:$AN$565,0)),"")</f>
        <v/>
      </c>
      <c r="AP141">
        <f>IF(AND($F141&lt;&gt;"",$I141&lt;&gt;""),IF($G141="وام و تسهیلات",1,0),0)</f>
        <v/>
      </c>
      <c r="AQ141">
        <f>SUM($AP$6:$AP141)</f>
        <v/>
      </c>
      <c r="AR141">
        <f>IFERROR(INDEX($F$6:$F$565,MATCH(ROW()-5,$AQ$6:$AQ$565,0)),"")</f>
        <v/>
      </c>
      <c r="AS141">
        <f>IF(AND($F141&lt;&gt;"",$I141&lt;&gt;""),IF($G141="سرمایه و آورده صاحبان",1,0),0)</f>
        <v/>
      </c>
      <c r="AT141">
        <f>SUM($AS$6:$AS141)</f>
        <v/>
      </c>
      <c r="AU141">
        <f>IFERROR(INDEX($F$6:$F$565,MATCH(ROW()-5,$AT$6:$AT$565,0)),"")</f>
        <v/>
      </c>
      <c r="AW141">
        <f>IF([3]Issues!$C$144="","",[3]Issues!$C$144)</f>
        <v/>
      </c>
      <c r="AX141">
        <f>IF([4]Entry!$E$144="","",[4]Entry!$E$144)</f>
        <v/>
      </c>
      <c r="AY141">
        <f>IF([4]Entry!$H$144="","",[4]Entry!$H$144)</f>
        <v/>
      </c>
      <c r="AZ141">
        <f>IF([4]Entry!$I$144="","",[4]Entry!$I$144)</f>
        <v/>
      </c>
    </row>
    <row r="142">
      <c r="F142">
        <f>IF([1]Accounts!$D$143="","",[1]Accounts!$A$143)</f>
        <v/>
      </c>
      <c r="G142">
        <f>IF([1]Accounts!$D$143="","",[1]Accounts!$B$143)</f>
        <v/>
      </c>
      <c r="H142">
        <f>IF([1]Accounts!$D$143="","",[1]Accounts!$C$143)</f>
        <v/>
      </c>
      <c r="I142">
        <f>IF([1]Accounts!$D$143="","",[1]Accounts!$D$143)</f>
        <v/>
      </c>
      <c r="R142">
        <f>IF(AND($F142&lt;&gt;"",$I142&lt;&gt;""),IF(OR($G142="دارایی ثابت",$G142="وام و تسهیلات",$G142="سرمایه و آورده صاحبان"),0,1),0)</f>
        <v/>
      </c>
      <c r="S142">
        <f>SUM($R$6:$R142)</f>
        <v/>
      </c>
      <c r="T142">
        <f>IFERROR(INDEX($F$6:$F$565,MATCH(ROW()-5,$S$6:$S$565,0)),"")</f>
        <v/>
      </c>
      <c r="Z142">
        <f>IF([2]Entry!$E$145="","",[2]Entry!$E$145)</f>
        <v/>
      </c>
      <c r="AA142">
        <f>IF([2]Entry!$G$145="","",[2]Entry!$G$145)</f>
        <v/>
      </c>
      <c r="AB142">
        <f>IF([2]Entry!$J$145="","",[2]Entry!$J$145)</f>
        <v/>
      </c>
      <c r="AC142">
        <f>IF([2]Entry!$K$145="","",[2]Entry!$K$145)</f>
        <v/>
      </c>
      <c r="AD142">
        <f>IF([2]Entry!$L$145="","",[2]Entry!$L$145)</f>
        <v/>
      </c>
      <c r="AE142">
        <f>IF([2]Entry!$M$145="","",[2]Entry!$M$145)</f>
        <v/>
      </c>
      <c r="AF142">
        <f>IF([2]Entry!$N$145="","",[2]Entry!$N$145)</f>
        <v/>
      </c>
      <c r="AG142">
        <f>IF([3]Issues!$B$145="","",[3]Issues!$B$145)</f>
        <v/>
      </c>
      <c r="AH142">
        <f>IF([3]Issues!$D$145="","",[3]Issues!$D$145)</f>
        <v/>
      </c>
      <c r="AI142">
        <f>IF([3]Issues!$E$145="","",[3]Issues!$E$145)</f>
        <v/>
      </c>
      <c r="AJ142">
        <f>IF([2]Entry!$S$145="","",[2]Entry!$S$145)</f>
        <v/>
      </c>
      <c r="AK142">
        <f>IF([2]Entry!$C$145="","",[2]Entry!$C$145)</f>
        <v/>
      </c>
      <c r="AL142">
        <f>IF([2]Entry!$D$145="","",[2]Entry!$D$145)</f>
        <v/>
      </c>
      <c r="AM142">
        <f>IF(AND($F142&lt;&gt;"",$I142&lt;&gt;""),IF($G142="دارایی ثابت",1,0),0)</f>
        <v/>
      </c>
      <c r="AN142">
        <f>SUM($AM$6:$AM142)</f>
        <v/>
      </c>
      <c r="AO142">
        <f>IFERROR(INDEX($F$6:$F$565,MATCH(ROW()-5,$AN$6:$AN$565,0)),"")</f>
        <v/>
      </c>
      <c r="AP142">
        <f>IF(AND($F142&lt;&gt;"",$I142&lt;&gt;""),IF($G142="وام و تسهیلات",1,0),0)</f>
        <v/>
      </c>
      <c r="AQ142">
        <f>SUM($AP$6:$AP142)</f>
        <v/>
      </c>
      <c r="AR142">
        <f>IFERROR(INDEX($F$6:$F$565,MATCH(ROW()-5,$AQ$6:$AQ$565,0)),"")</f>
        <v/>
      </c>
      <c r="AS142">
        <f>IF(AND($F142&lt;&gt;"",$I142&lt;&gt;""),IF($G142="سرمایه و آورده صاحبان",1,0),0)</f>
        <v/>
      </c>
      <c r="AT142">
        <f>SUM($AS$6:$AS142)</f>
        <v/>
      </c>
      <c r="AU142">
        <f>IFERROR(INDEX($F$6:$F$565,MATCH(ROW()-5,$AT$6:$AT$565,0)),"")</f>
        <v/>
      </c>
      <c r="AW142">
        <f>IF([3]Issues!$C$145="","",[3]Issues!$C$145)</f>
        <v/>
      </c>
      <c r="AX142">
        <f>IF([4]Entry!$E$145="","",[4]Entry!$E$145)</f>
        <v/>
      </c>
      <c r="AY142">
        <f>IF([4]Entry!$H$145="","",[4]Entry!$H$145)</f>
        <v/>
      </c>
      <c r="AZ142">
        <f>IF([4]Entry!$I$145="","",[4]Entry!$I$145)</f>
        <v/>
      </c>
    </row>
    <row r="143">
      <c r="F143">
        <f>IF([1]Accounts!$D$144="","",[1]Accounts!$A$144)</f>
        <v/>
      </c>
      <c r="G143">
        <f>IF([1]Accounts!$D$144="","",[1]Accounts!$B$144)</f>
        <v/>
      </c>
      <c r="H143">
        <f>IF([1]Accounts!$D$144="","",[1]Accounts!$C$144)</f>
        <v/>
      </c>
      <c r="I143">
        <f>IF([1]Accounts!$D$144="","",[1]Accounts!$D$144)</f>
        <v/>
      </c>
      <c r="R143">
        <f>IF(AND($F143&lt;&gt;"",$I143&lt;&gt;""),IF(OR($G143="دارایی ثابت",$G143="وام و تسهیلات",$G143="سرمایه و آورده صاحبان"),0,1),0)</f>
        <v/>
      </c>
      <c r="S143">
        <f>SUM($R$6:$R143)</f>
        <v/>
      </c>
      <c r="T143">
        <f>IFERROR(INDEX($F$6:$F$565,MATCH(ROW()-5,$S$6:$S$565,0)),"")</f>
        <v/>
      </c>
      <c r="Z143">
        <f>IF([2]Entry!$E$146="","",[2]Entry!$E$146)</f>
        <v/>
      </c>
      <c r="AA143">
        <f>IF([2]Entry!$G$146="","",[2]Entry!$G$146)</f>
        <v/>
      </c>
      <c r="AB143">
        <f>IF([2]Entry!$J$146="","",[2]Entry!$J$146)</f>
        <v/>
      </c>
      <c r="AC143">
        <f>IF([2]Entry!$K$146="","",[2]Entry!$K$146)</f>
        <v/>
      </c>
      <c r="AD143">
        <f>IF([2]Entry!$L$146="","",[2]Entry!$L$146)</f>
        <v/>
      </c>
      <c r="AE143">
        <f>IF([2]Entry!$M$146="","",[2]Entry!$M$146)</f>
        <v/>
      </c>
      <c r="AF143">
        <f>IF([2]Entry!$N$146="","",[2]Entry!$N$146)</f>
        <v/>
      </c>
      <c r="AG143">
        <f>IF([3]Issues!$B$146="","",[3]Issues!$B$146)</f>
        <v/>
      </c>
      <c r="AH143">
        <f>IF([3]Issues!$D$146="","",[3]Issues!$D$146)</f>
        <v/>
      </c>
      <c r="AI143">
        <f>IF([3]Issues!$E$146="","",[3]Issues!$E$146)</f>
        <v/>
      </c>
      <c r="AJ143">
        <f>IF([2]Entry!$S$146="","",[2]Entry!$S$146)</f>
        <v/>
      </c>
      <c r="AK143">
        <f>IF([2]Entry!$C$146="","",[2]Entry!$C$146)</f>
        <v/>
      </c>
      <c r="AL143">
        <f>IF([2]Entry!$D$146="","",[2]Entry!$D$146)</f>
        <v/>
      </c>
      <c r="AM143">
        <f>IF(AND($F143&lt;&gt;"",$I143&lt;&gt;""),IF($G143="دارایی ثابت",1,0),0)</f>
        <v/>
      </c>
      <c r="AN143">
        <f>SUM($AM$6:$AM143)</f>
        <v/>
      </c>
      <c r="AO143">
        <f>IFERROR(INDEX($F$6:$F$565,MATCH(ROW()-5,$AN$6:$AN$565,0)),"")</f>
        <v/>
      </c>
      <c r="AP143">
        <f>IF(AND($F143&lt;&gt;"",$I143&lt;&gt;""),IF($G143="وام و تسهیلات",1,0),0)</f>
        <v/>
      </c>
      <c r="AQ143">
        <f>SUM($AP$6:$AP143)</f>
        <v/>
      </c>
      <c r="AR143">
        <f>IFERROR(INDEX($F$6:$F$565,MATCH(ROW()-5,$AQ$6:$AQ$565,0)),"")</f>
        <v/>
      </c>
      <c r="AS143">
        <f>IF(AND($F143&lt;&gt;"",$I143&lt;&gt;""),IF($G143="سرمایه و آورده صاحبان",1,0),0)</f>
        <v/>
      </c>
      <c r="AT143">
        <f>SUM($AS$6:$AS143)</f>
        <v/>
      </c>
      <c r="AU143">
        <f>IFERROR(INDEX($F$6:$F$565,MATCH(ROW()-5,$AT$6:$AT$565,0)),"")</f>
        <v/>
      </c>
      <c r="AW143">
        <f>IF([3]Issues!$C$146="","",[3]Issues!$C$146)</f>
        <v/>
      </c>
      <c r="AX143">
        <f>IF([4]Entry!$E$146="","",[4]Entry!$E$146)</f>
        <v/>
      </c>
      <c r="AY143">
        <f>IF([4]Entry!$H$146="","",[4]Entry!$H$146)</f>
        <v/>
      </c>
      <c r="AZ143">
        <f>IF([4]Entry!$I$146="","",[4]Entry!$I$146)</f>
        <v/>
      </c>
    </row>
    <row r="144">
      <c r="F144">
        <f>IF([1]Accounts!$D$145="","",[1]Accounts!$A$145)</f>
        <v/>
      </c>
      <c r="G144">
        <f>IF([1]Accounts!$D$145="","",[1]Accounts!$B$145)</f>
        <v/>
      </c>
      <c r="H144">
        <f>IF([1]Accounts!$D$145="","",[1]Accounts!$C$145)</f>
        <v/>
      </c>
      <c r="I144">
        <f>IF([1]Accounts!$D$145="","",[1]Accounts!$D$145)</f>
        <v/>
      </c>
      <c r="R144">
        <f>IF(AND($F144&lt;&gt;"",$I144&lt;&gt;""),IF(OR($G144="دارایی ثابت",$G144="وام و تسهیلات",$G144="سرمایه و آورده صاحبان"),0,1),0)</f>
        <v/>
      </c>
      <c r="S144">
        <f>SUM($R$6:$R144)</f>
        <v/>
      </c>
      <c r="T144">
        <f>IFERROR(INDEX($F$6:$F$565,MATCH(ROW()-5,$S$6:$S$565,0)),"")</f>
        <v/>
      </c>
      <c r="Z144">
        <f>IF([2]Entry!$E$147="","",[2]Entry!$E$147)</f>
        <v/>
      </c>
      <c r="AA144">
        <f>IF([2]Entry!$G$147="","",[2]Entry!$G$147)</f>
        <v/>
      </c>
      <c r="AB144">
        <f>IF([2]Entry!$J$147="","",[2]Entry!$J$147)</f>
        <v/>
      </c>
      <c r="AC144">
        <f>IF([2]Entry!$K$147="","",[2]Entry!$K$147)</f>
        <v/>
      </c>
      <c r="AD144">
        <f>IF([2]Entry!$L$147="","",[2]Entry!$L$147)</f>
        <v/>
      </c>
      <c r="AE144">
        <f>IF([2]Entry!$M$147="","",[2]Entry!$M$147)</f>
        <v/>
      </c>
      <c r="AF144">
        <f>IF([2]Entry!$N$147="","",[2]Entry!$N$147)</f>
        <v/>
      </c>
      <c r="AG144">
        <f>IF([3]Issues!$B$147="","",[3]Issues!$B$147)</f>
        <v/>
      </c>
      <c r="AH144">
        <f>IF([3]Issues!$D$147="","",[3]Issues!$D$147)</f>
        <v/>
      </c>
      <c r="AI144">
        <f>IF([3]Issues!$E$147="","",[3]Issues!$E$147)</f>
        <v/>
      </c>
      <c r="AJ144">
        <f>IF([2]Entry!$S$147="","",[2]Entry!$S$147)</f>
        <v/>
      </c>
      <c r="AK144">
        <f>IF([2]Entry!$C$147="","",[2]Entry!$C$147)</f>
        <v/>
      </c>
      <c r="AL144">
        <f>IF([2]Entry!$D$147="","",[2]Entry!$D$147)</f>
        <v/>
      </c>
      <c r="AM144">
        <f>IF(AND($F144&lt;&gt;"",$I144&lt;&gt;""),IF($G144="دارایی ثابت",1,0),0)</f>
        <v/>
      </c>
      <c r="AN144">
        <f>SUM($AM$6:$AM144)</f>
        <v/>
      </c>
      <c r="AO144">
        <f>IFERROR(INDEX($F$6:$F$565,MATCH(ROW()-5,$AN$6:$AN$565,0)),"")</f>
        <v/>
      </c>
      <c r="AP144">
        <f>IF(AND($F144&lt;&gt;"",$I144&lt;&gt;""),IF($G144="وام و تسهیلات",1,0),0)</f>
        <v/>
      </c>
      <c r="AQ144">
        <f>SUM($AP$6:$AP144)</f>
        <v/>
      </c>
      <c r="AR144">
        <f>IFERROR(INDEX($F$6:$F$565,MATCH(ROW()-5,$AQ$6:$AQ$565,0)),"")</f>
        <v/>
      </c>
      <c r="AS144">
        <f>IF(AND($F144&lt;&gt;"",$I144&lt;&gt;""),IF($G144="سرمایه و آورده صاحبان",1,0),0)</f>
        <v/>
      </c>
      <c r="AT144">
        <f>SUM($AS$6:$AS144)</f>
        <v/>
      </c>
      <c r="AU144">
        <f>IFERROR(INDEX($F$6:$F$565,MATCH(ROW()-5,$AT$6:$AT$565,0)),"")</f>
        <v/>
      </c>
      <c r="AW144">
        <f>IF([3]Issues!$C$147="","",[3]Issues!$C$147)</f>
        <v/>
      </c>
      <c r="AX144">
        <f>IF([4]Entry!$E$147="","",[4]Entry!$E$147)</f>
        <v/>
      </c>
      <c r="AY144">
        <f>IF([4]Entry!$H$147="","",[4]Entry!$H$147)</f>
        <v/>
      </c>
      <c r="AZ144">
        <f>IF([4]Entry!$I$147="","",[4]Entry!$I$147)</f>
        <v/>
      </c>
    </row>
    <row r="145">
      <c r="F145">
        <f>IF([1]Accounts!$D$146="","",[1]Accounts!$A$146)</f>
        <v/>
      </c>
      <c r="G145">
        <f>IF([1]Accounts!$D$146="","",[1]Accounts!$B$146)</f>
        <v/>
      </c>
      <c r="H145">
        <f>IF([1]Accounts!$D$146="","",[1]Accounts!$C$146)</f>
        <v/>
      </c>
      <c r="I145">
        <f>IF([1]Accounts!$D$146="","",[1]Accounts!$D$146)</f>
        <v/>
      </c>
      <c r="R145">
        <f>IF(AND($F145&lt;&gt;"",$I145&lt;&gt;""),IF(OR($G145="دارایی ثابت",$G145="وام و تسهیلات",$G145="سرمایه و آورده صاحبان"),0,1),0)</f>
        <v/>
      </c>
      <c r="S145">
        <f>SUM($R$6:$R145)</f>
        <v/>
      </c>
      <c r="T145">
        <f>IFERROR(INDEX($F$6:$F$565,MATCH(ROW()-5,$S$6:$S$565,0)),"")</f>
        <v/>
      </c>
      <c r="Z145">
        <f>IF([2]Entry!$E$148="","",[2]Entry!$E$148)</f>
        <v/>
      </c>
      <c r="AA145">
        <f>IF([2]Entry!$G$148="","",[2]Entry!$G$148)</f>
        <v/>
      </c>
      <c r="AB145">
        <f>IF([2]Entry!$J$148="","",[2]Entry!$J$148)</f>
        <v/>
      </c>
      <c r="AC145">
        <f>IF([2]Entry!$K$148="","",[2]Entry!$K$148)</f>
        <v/>
      </c>
      <c r="AD145">
        <f>IF([2]Entry!$L$148="","",[2]Entry!$L$148)</f>
        <v/>
      </c>
      <c r="AE145">
        <f>IF([2]Entry!$M$148="","",[2]Entry!$M$148)</f>
        <v/>
      </c>
      <c r="AF145">
        <f>IF([2]Entry!$N$148="","",[2]Entry!$N$148)</f>
        <v/>
      </c>
      <c r="AG145">
        <f>IF([3]Issues!$B$148="","",[3]Issues!$B$148)</f>
        <v/>
      </c>
      <c r="AH145">
        <f>IF([3]Issues!$D$148="","",[3]Issues!$D$148)</f>
        <v/>
      </c>
      <c r="AI145">
        <f>IF([3]Issues!$E$148="","",[3]Issues!$E$148)</f>
        <v/>
      </c>
      <c r="AJ145">
        <f>IF([2]Entry!$S$148="","",[2]Entry!$S$148)</f>
        <v/>
      </c>
      <c r="AK145">
        <f>IF([2]Entry!$C$148="","",[2]Entry!$C$148)</f>
        <v/>
      </c>
      <c r="AL145">
        <f>IF([2]Entry!$D$148="","",[2]Entry!$D$148)</f>
        <v/>
      </c>
      <c r="AM145">
        <f>IF(AND($F145&lt;&gt;"",$I145&lt;&gt;""),IF($G145="دارایی ثابت",1,0),0)</f>
        <v/>
      </c>
      <c r="AN145">
        <f>SUM($AM$6:$AM145)</f>
        <v/>
      </c>
      <c r="AO145">
        <f>IFERROR(INDEX($F$6:$F$565,MATCH(ROW()-5,$AN$6:$AN$565,0)),"")</f>
        <v/>
      </c>
      <c r="AP145">
        <f>IF(AND($F145&lt;&gt;"",$I145&lt;&gt;""),IF($G145="وام و تسهیلات",1,0),0)</f>
        <v/>
      </c>
      <c r="AQ145">
        <f>SUM($AP$6:$AP145)</f>
        <v/>
      </c>
      <c r="AR145">
        <f>IFERROR(INDEX($F$6:$F$565,MATCH(ROW()-5,$AQ$6:$AQ$565,0)),"")</f>
        <v/>
      </c>
      <c r="AS145">
        <f>IF(AND($F145&lt;&gt;"",$I145&lt;&gt;""),IF($G145="سرمایه و آورده صاحبان",1,0),0)</f>
        <v/>
      </c>
      <c r="AT145">
        <f>SUM($AS$6:$AS145)</f>
        <v/>
      </c>
      <c r="AU145">
        <f>IFERROR(INDEX($F$6:$F$565,MATCH(ROW()-5,$AT$6:$AT$565,0)),"")</f>
        <v/>
      </c>
      <c r="AW145">
        <f>IF([3]Issues!$C$148="","",[3]Issues!$C$148)</f>
        <v/>
      </c>
      <c r="AX145">
        <f>IF([4]Entry!$E$148="","",[4]Entry!$E$148)</f>
        <v/>
      </c>
      <c r="AY145">
        <f>IF([4]Entry!$H$148="","",[4]Entry!$H$148)</f>
        <v/>
      </c>
      <c r="AZ145">
        <f>IF([4]Entry!$I$148="","",[4]Entry!$I$148)</f>
        <v/>
      </c>
    </row>
    <row r="146">
      <c r="F146">
        <f>IF([1]Accounts!$D$147="","",[1]Accounts!$A$147)</f>
        <v/>
      </c>
      <c r="G146">
        <f>IF([1]Accounts!$D$147="","",[1]Accounts!$B$147)</f>
        <v/>
      </c>
      <c r="H146">
        <f>IF([1]Accounts!$D$147="","",[1]Accounts!$C$147)</f>
        <v/>
      </c>
      <c r="I146">
        <f>IF([1]Accounts!$D$147="","",[1]Accounts!$D$147)</f>
        <v/>
      </c>
      <c r="R146">
        <f>IF(AND($F146&lt;&gt;"",$I146&lt;&gt;""),IF(OR($G146="دارایی ثابت",$G146="وام و تسهیلات",$G146="سرمایه و آورده صاحبان"),0,1),0)</f>
        <v/>
      </c>
      <c r="S146">
        <f>SUM($R$6:$R146)</f>
        <v/>
      </c>
      <c r="T146">
        <f>IFERROR(INDEX($F$6:$F$565,MATCH(ROW()-5,$S$6:$S$565,0)),"")</f>
        <v/>
      </c>
      <c r="Z146">
        <f>IF([2]Entry!$E$149="","",[2]Entry!$E$149)</f>
        <v/>
      </c>
      <c r="AA146">
        <f>IF([2]Entry!$G$149="","",[2]Entry!$G$149)</f>
        <v/>
      </c>
      <c r="AB146">
        <f>IF([2]Entry!$J$149="","",[2]Entry!$J$149)</f>
        <v/>
      </c>
      <c r="AC146">
        <f>IF([2]Entry!$K$149="","",[2]Entry!$K$149)</f>
        <v/>
      </c>
      <c r="AD146">
        <f>IF([2]Entry!$L$149="","",[2]Entry!$L$149)</f>
        <v/>
      </c>
      <c r="AE146">
        <f>IF([2]Entry!$M$149="","",[2]Entry!$M$149)</f>
        <v/>
      </c>
      <c r="AF146">
        <f>IF([2]Entry!$N$149="","",[2]Entry!$N$149)</f>
        <v/>
      </c>
      <c r="AG146">
        <f>IF([3]Issues!$B$149="","",[3]Issues!$B$149)</f>
        <v/>
      </c>
      <c r="AH146">
        <f>IF([3]Issues!$D$149="","",[3]Issues!$D$149)</f>
        <v/>
      </c>
      <c r="AI146">
        <f>IF([3]Issues!$E$149="","",[3]Issues!$E$149)</f>
        <v/>
      </c>
      <c r="AJ146">
        <f>IF([2]Entry!$S$149="","",[2]Entry!$S$149)</f>
        <v/>
      </c>
      <c r="AK146">
        <f>IF([2]Entry!$C$149="","",[2]Entry!$C$149)</f>
        <v/>
      </c>
      <c r="AL146">
        <f>IF([2]Entry!$D$149="","",[2]Entry!$D$149)</f>
        <v/>
      </c>
      <c r="AM146">
        <f>IF(AND($F146&lt;&gt;"",$I146&lt;&gt;""),IF($G146="دارایی ثابت",1,0),0)</f>
        <v/>
      </c>
      <c r="AN146">
        <f>SUM($AM$6:$AM146)</f>
        <v/>
      </c>
      <c r="AO146">
        <f>IFERROR(INDEX($F$6:$F$565,MATCH(ROW()-5,$AN$6:$AN$565,0)),"")</f>
        <v/>
      </c>
      <c r="AP146">
        <f>IF(AND($F146&lt;&gt;"",$I146&lt;&gt;""),IF($G146="وام و تسهیلات",1,0),0)</f>
        <v/>
      </c>
      <c r="AQ146">
        <f>SUM($AP$6:$AP146)</f>
        <v/>
      </c>
      <c r="AR146">
        <f>IFERROR(INDEX($F$6:$F$565,MATCH(ROW()-5,$AQ$6:$AQ$565,0)),"")</f>
        <v/>
      </c>
      <c r="AS146">
        <f>IF(AND($F146&lt;&gt;"",$I146&lt;&gt;""),IF($G146="سرمایه و آورده صاحبان",1,0),0)</f>
        <v/>
      </c>
      <c r="AT146">
        <f>SUM($AS$6:$AS146)</f>
        <v/>
      </c>
      <c r="AU146">
        <f>IFERROR(INDEX($F$6:$F$565,MATCH(ROW()-5,$AT$6:$AT$565,0)),"")</f>
        <v/>
      </c>
      <c r="AW146">
        <f>IF([3]Issues!$C$149="","",[3]Issues!$C$149)</f>
        <v/>
      </c>
      <c r="AX146">
        <f>IF([4]Entry!$E$149="","",[4]Entry!$E$149)</f>
        <v/>
      </c>
      <c r="AY146">
        <f>IF([4]Entry!$H$149="","",[4]Entry!$H$149)</f>
        <v/>
      </c>
      <c r="AZ146">
        <f>IF([4]Entry!$I$149="","",[4]Entry!$I$149)</f>
        <v/>
      </c>
    </row>
    <row r="147">
      <c r="F147">
        <f>IF([1]Accounts!$D$148="","",[1]Accounts!$A$148)</f>
        <v/>
      </c>
      <c r="G147">
        <f>IF([1]Accounts!$D$148="","",[1]Accounts!$B$148)</f>
        <v/>
      </c>
      <c r="H147">
        <f>IF([1]Accounts!$D$148="","",[1]Accounts!$C$148)</f>
        <v/>
      </c>
      <c r="I147">
        <f>IF([1]Accounts!$D$148="","",[1]Accounts!$D$148)</f>
        <v/>
      </c>
      <c r="R147">
        <f>IF(AND($F147&lt;&gt;"",$I147&lt;&gt;""),IF(OR($G147="دارایی ثابت",$G147="وام و تسهیلات",$G147="سرمایه و آورده صاحبان"),0,1),0)</f>
        <v/>
      </c>
      <c r="S147">
        <f>SUM($R$6:$R147)</f>
        <v/>
      </c>
      <c r="T147">
        <f>IFERROR(INDEX($F$6:$F$565,MATCH(ROW()-5,$S$6:$S$565,0)),"")</f>
        <v/>
      </c>
      <c r="Z147">
        <f>IF([2]Entry!$E$150="","",[2]Entry!$E$150)</f>
        <v/>
      </c>
      <c r="AA147">
        <f>IF([2]Entry!$G$150="","",[2]Entry!$G$150)</f>
        <v/>
      </c>
      <c r="AB147">
        <f>IF([2]Entry!$J$150="","",[2]Entry!$J$150)</f>
        <v/>
      </c>
      <c r="AC147">
        <f>IF([2]Entry!$K$150="","",[2]Entry!$K$150)</f>
        <v/>
      </c>
      <c r="AD147">
        <f>IF([2]Entry!$L$150="","",[2]Entry!$L$150)</f>
        <v/>
      </c>
      <c r="AE147">
        <f>IF([2]Entry!$M$150="","",[2]Entry!$M$150)</f>
        <v/>
      </c>
      <c r="AF147">
        <f>IF([2]Entry!$N$150="","",[2]Entry!$N$150)</f>
        <v/>
      </c>
      <c r="AG147">
        <f>IF([3]Issues!$B$150="","",[3]Issues!$B$150)</f>
        <v/>
      </c>
      <c r="AH147">
        <f>IF([3]Issues!$D$150="","",[3]Issues!$D$150)</f>
        <v/>
      </c>
      <c r="AI147">
        <f>IF([3]Issues!$E$150="","",[3]Issues!$E$150)</f>
        <v/>
      </c>
      <c r="AJ147">
        <f>IF([2]Entry!$S$150="","",[2]Entry!$S$150)</f>
        <v/>
      </c>
      <c r="AK147">
        <f>IF([2]Entry!$C$150="","",[2]Entry!$C$150)</f>
        <v/>
      </c>
      <c r="AL147">
        <f>IF([2]Entry!$D$150="","",[2]Entry!$D$150)</f>
        <v/>
      </c>
      <c r="AM147">
        <f>IF(AND($F147&lt;&gt;"",$I147&lt;&gt;""),IF($G147="دارایی ثابت",1,0),0)</f>
        <v/>
      </c>
      <c r="AN147">
        <f>SUM($AM$6:$AM147)</f>
        <v/>
      </c>
      <c r="AO147">
        <f>IFERROR(INDEX($F$6:$F$565,MATCH(ROW()-5,$AN$6:$AN$565,0)),"")</f>
        <v/>
      </c>
      <c r="AP147">
        <f>IF(AND($F147&lt;&gt;"",$I147&lt;&gt;""),IF($G147="وام و تسهیلات",1,0),0)</f>
        <v/>
      </c>
      <c r="AQ147">
        <f>SUM($AP$6:$AP147)</f>
        <v/>
      </c>
      <c r="AR147">
        <f>IFERROR(INDEX($F$6:$F$565,MATCH(ROW()-5,$AQ$6:$AQ$565,0)),"")</f>
        <v/>
      </c>
      <c r="AS147">
        <f>IF(AND($F147&lt;&gt;"",$I147&lt;&gt;""),IF($G147="سرمایه و آورده صاحبان",1,0),0)</f>
        <v/>
      </c>
      <c r="AT147">
        <f>SUM($AS$6:$AS147)</f>
        <v/>
      </c>
      <c r="AU147">
        <f>IFERROR(INDEX($F$6:$F$565,MATCH(ROW()-5,$AT$6:$AT$565,0)),"")</f>
        <v/>
      </c>
      <c r="AW147">
        <f>IF([3]Issues!$C$150="","",[3]Issues!$C$150)</f>
        <v/>
      </c>
      <c r="AX147">
        <f>IF([4]Entry!$E$150="","",[4]Entry!$E$150)</f>
        <v/>
      </c>
      <c r="AY147">
        <f>IF([4]Entry!$H$150="","",[4]Entry!$H$150)</f>
        <v/>
      </c>
      <c r="AZ147">
        <f>IF([4]Entry!$I$150="","",[4]Entry!$I$150)</f>
        <v/>
      </c>
    </row>
    <row r="148">
      <c r="F148">
        <f>IF([1]Accounts!$D$149="","",[1]Accounts!$A$149)</f>
        <v/>
      </c>
      <c r="G148">
        <f>IF([1]Accounts!$D$149="","",[1]Accounts!$B$149)</f>
        <v/>
      </c>
      <c r="H148">
        <f>IF([1]Accounts!$D$149="","",[1]Accounts!$C$149)</f>
        <v/>
      </c>
      <c r="I148">
        <f>IF([1]Accounts!$D$149="","",[1]Accounts!$D$149)</f>
        <v/>
      </c>
      <c r="R148">
        <f>IF(AND($F148&lt;&gt;"",$I148&lt;&gt;""),IF(OR($G148="دارایی ثابت",$G148="وام و تسهیلات",$G148="سرمایه و آورده صاحبان"),0,1),0)</f>
        <v/>
      </c>
      <c r="S148">
        <f>SUM($R$6:$R148)</f>
        <v/>
      </c>
      <c r="T148">
        <f>IFERROR(INDEX($F$6:$F$565,MATCH(ROW()-5,$S$6:$S$565,0)),"")</f>
        <v/>
      </c>
      <c r="Z148">
        <f>IF([2]Entry!$E$151="","",[2]Entry!$E$151)</f>
        <v/>
      </c>
      <c r="AA148">
        <f>IF([2]Entry!$G$151="","",[2]Entry!$G$151)</f>
        <v/>
      </c>
      <c r="AB148">
        <f>IF([2]Entry!$J$151="","",[2]Entry!$J$151)</f>
        <v/>
      </c>
      <c r="AC148">
        <f>IF([2]Entry!$K$151="","",[2]Entry!$K$151)</f>
        <v/>
      </c>
      <c r="AD148">
        <f>IF([2]Entry!$L$151="","",[2]Entry!$L$151)</f>
        <v/>
      </c>
      <c r="AE148">
        <f>IF([2]Entry!$M$151="","",[2]Entry!$M$151)</f>
        <v/>
      </c>
      <c r="AF148">
        <f>IF([2]Entry!$N$151="","",[2]Entry!$N$151)</f>
        <v/>
      </c>
      <c r="AG148">
        <f>IF([3]Issues!$B$151="","",[3]Issues!$B$151)</f>
        <v/>
      </c>
      <c r="AH148">
        <f>IF([3]Issues!$D$151="","",[3]Issues!$D$151)</f>
        <v/>
      </c>
      <c r="AI148">
        <f>IF([3]Issues!$E$151="","",[3]Issues!$E$151)</f>
        <v/>
      </c>
      <c r="AJ148">
        <f>IF([2]Entry!$S$151="","",[2]Entry!$S$151)</f>
        <v/>
      </c>
      <c r="AK148">
        <f>IF([2]Entry!$C$151="","",[2]Entry!$C$151)</f>
        <v/>
      </c>
      <c r="AL148">
        <f>IF([2]Entry!$D$151="","",[2]Entry!$D$151)</f>
        <v/>
      </c>
      <c r="AM148">
        <f>IF(AND($F148&lt;&gt;"",$I148&lt;&gt;""),IF($G148="دارایی ثابت",1,0),0)</f>
        <v/>
      </c>
      <c r="AN148">
        <f>SUM($AM$6:$AM148)</f>
        <v/>
      </c>
      <c r="AO148">
        <f>IFERROR(INDEX($F$6:$F$565,MATCH(ROW()-5,$AN$6:$AN$565,0)),"")</f>
        <v/>
      </c>
      <c r="AP148">
        <f>IF(AND($F148&lt;&gt;"",$I148&lt;&gt;""),IF($G148="وام و تسهیلات",1,0),0)</f>
        <v/>
      </c>
      <c r="AQ148">
        <f>SUM($AP$6:$AP148)</f>
        <v/>
      </c>
      <c r="AR148">
        <f>IFERROR(INDEX($F$6:$F$565,MATCH(ROW()-5,$AQ$6:$AQ$565,0)),"")</f>
        <v/>
      </c>
      <c r="AS148">
        <f>IF(AND($F148&lt;&gt;"",$I148&lt;&gt;""),IF($G148="سرمایه و آورده صاحبان",1,0),0)</f>
        <v/>
      </c>
      <c r="AT148">
        <f>SUM($AS$6:$AS148)</f>
        <v/>
      </c>
      <c r="AU148">
        <f>IFERROR(INDEX($F$6:$F$565,MATCH(ROW()-5,$AT$6:$AT$565,0)),"")</f>
        <v/>
      </c>
      <c r="AW148">
        <f>IF([3]Issues!$C$151="","",[3]Issues!$C$151)</f>
        <v/>
      </c>
      <c r="AX148">
        <f>IF([4]Entry!$E$151="","",[4]Entry!$E$151)</f>
        <v/>
      </c>
      <c r="AY148">
        <f>IF([4]Entry!$H$151="","",[4]Entry!$H$151)</f>
        <v/>
      </c>
      <c r="AZ148">
        <f>IF([4]Entry!$I$151="","",[4]Entry!$I$151)</f>
        <v/>
      </c>
    </row>
    <row r="149">
      <c r="F149">
        <f>IF([1]Accounts!$D$150="","",[1]Accounts!$A$150)</f>
        <v/>
      </c>
      <c r="G149">
        <f>IF([1]Accounts!$D$150="","",[1]Accounts!$B$150)</f>
        <v/>
      </c>
      <c r="H149">
        <f>IF([1]Accounts!$D$150="","",[1]Accounts!$C$150)</f>
        <v/>
      </c>
      <c r="I149">
        <f>IF([1]Accounts!$D$150="","",[1]Accounts!$D$150)</f>
        <v/>
      </c>
      <c r="R149">
        <f>IF(AND($F149&lt;&gt;"",$I149&lt;&gt;""),IF(OR($G149="دارایی ثابت",$G149="وام و تسهیلات",$G149="سرمایه و آورده صاحبان"),0,1),0)</f>
        <v/>
      </c>
      <c r="S149">
        <f>SUM($R$6:$R149)</f>
        <v/>
      </c>
      <c r="T149">
        <f>IFERROR(INDEX($F$6:$F$565,MATCH(ROW()-5,$S$6:$S$565,0)),"")</f>
        <v/>
      </c>
      <c r="Z149">
        <f>IF([2]Entry!$E$152="","",[2]Entry!$E$152)</f>
        <v/>
      </c>
      <c r="AA149">
        <f>IF([2]Entry!$G$152="","",[2]Entry!$G$152)</f>
        <v/>
      </c>
      <c r="AB149">
        <f>IF([2]Entry!$J$152="","",[2]Entry!$J$152)</f>
        <v/>
      </c>
      <c r="AC149">
        <f>IF([2]Entry!$K$152="","",[2]Entry!$K$152)</f>
        <v/>
      </c>
      <c r="AD149">
        <f>IF([2]Entry!$L$152="","",[2]Entry!$L$152)</f>
        <v/>
      </c>
      <c r="AE149">
        <f>IF([2]Entry!$M$152="","",[2]Entry!$M$152)</f>
        <v/>
      </c>
      <c r="AF149">
        <f>IF([2]Entry!$N$152="","",[2]Entry!$N$152)</f>
        <v/>
      </c>
      <c r="AG149">
        <f>IF([3]Issues!$B$152="","",[3]Issues!$B$152)</f>
        <v/>
      </c>
      <c r="AH149">
        <f>IF([3]Issues!$D$152="","",[3]Issues!$D$152)</f>
        <v/>
      </c>
      <c r="AI149">
        <f>IF([3]Issues!$E$152="","",[3]Issues!$E$152)</f>
        <v/>
      </c>
      <c r="AJ149">
        <f>IF([2]Entry!$S$152="","",[2]Entry!$S$152)</f>
        <v/>
      </c>
      <c r="AK149">
        <f>IF([2]Entry!$C$152="","",[2]Entry!$C$152)</f>
        <v/>
      </c>
      <c r="AL149">
        <f>IF([2]Entry!$D$152="","",[2]Entry!$D$152)</f>
        <v/>
      </c>
      <c r="AM149">
        <f>IF(AND($F149&lt;&gt;"",$I149&lt;&gt;""),IF($G149="دارایی ثابت",1,0),0)</f>
        <v/>
      </c>
      <c r="AN149">
        <f>SUM($AM$6:$AM149)</f>
        <v/>
      </c>
      <c r="AO149">
        <f>IFERROR(INDEX($F$6:$F$565,MATCH(ROW()-5,$AN$6:$AN$565,0)),"")</f>
        <v/>
      </c>
      <c r="AP149">
        <f>IF(AND($F149&lt;&gt;"",$I149&lt;&gt;""),IF($G149="وام و تسهیلات",1,0),0)</f>
        <v/>
      </c>
      <c r="AQ149">
        <f>SUM($AP$6:$AP149)</f>
        <v/>
      </c>
      <c r="AR149">
        <f>IFERROR(INDEX($F$6:$F$565,MATCH(ROW()-5,$AQ$6:$AQ$565,0)),"")</f>
        <v/>
      </c>
      <c r="AS149">
        <f>IF(AND($F149&lt;&gt;"",$I149&lt;&gt;""),IF($G149="سرمایه و آورده صاحبان",1,0),0)</f>
        <v/>
      </c>
      <c r="AT149">
        <f>SUM($AS$6:$AS149)</f>
        <v/>
      </c>
      <c r="AU149">
        <f>IFERROR(INDEX($F$6:$F$565,MATCH(ROW()-5,$AT$6:$AT$565,0)),"")</f>
        <v/>
      </c>
      <c r="AW149">
        <f>IF([3]Issues!$C$152="","",[3]Issues!$C$152)</f>
        <v/>
      </c>
      <c r="AX149">
        <f>IF([4]Entry!$E$152="","",[4]Entry!$E$152)</f>
        <v/>
      </c>
      <c r="AY149">
        <f>IF([4]Entry!$H$152="","",[4]Entry!$H$152)</f>
        <v/>
      </c>
      <c r="AZ149">
        <f>IF([4]Entry!$I$152="","",[4]Entry!$I$152)</f>
        <v/>
      </c>
    </row>
    <row r="150">
      <c r="F150">
        <f>IF([1]Accounts!$D$151="","",[1]Accounts!$A$151)</f>
        <v/>
      </c>
      <c r="G150">
        <f>IF([1]Accounts!$D$151="","",[1]Accounts!$B$151)</f>
        <v/>
      </c>
      <c r="H150">
        <f>IF([1]Accounts!$D$151="","",[1]Accounts!$C$151)</f>
        <v/>
      </c>
      <c r="I150">
        <f>IF([1]Accounts!$D$151="","",[1]Accounts!$D$151)</f>
        <v/>
      </c>
      <c r="R150">
        <f>IF(AND($F150&lt;&gt;"",$I150&lt;&gt;""),IF(OR($G150="دارایی ثابت",$G150="وام و تسهیلات",$G150="سرمایه و آورده صاحبان"),0,1),0)</f>
        <v/>
      </c>
      <c r="S150">
        <f>SUM($R$6:$R150)</f>
        <v/>
      </c>
      <c r="T150">
        <f>IFERROR(INDEX($F$6:$F$565,MATCH(ROW()-5,$S$6:$S$565,0)),"")</f>
        <v/>
      </c>
      <c r="Z150">
        <f>IF([2]Entry!$E$153="","",[2]Entry!$E$153)</f>
        <v/>
      </c>
      <c r="AA150">
        <f>IF([2]Entry!$G$153="","",[2]Entry!$G$153)</f>
        <v/>
      </c>
      <c r="AB150">
        <f>IF([2]Entry!$J$153="","",[2]Entry!$J$153)</f>
        <v/>
      </c>
      <c r="AC150">
        <f>IF([2]Entry!$K$153="","",[2]Entry!$K$153)</f>
        <v/>
      </c>
      <c r="AD150">
        <f>IF([2]Entry!$L$153="","",[2]Entry!$L$153)</f>
        <v/>
      </c>
      <c r="AE150">
        <f>IF([2]Entry!$M$153="","",[2]Entry!$M$153)</f>
        <v/>
      </c>
      <c r="AF150">
        <f>IF([2]Entry!$N$153="","",[2]Entry!$N$153)</f>
        <v/>
      </c>
      <c r="AG150">
        <f>IF([3]Issues!$B$153="","",[3]Issues!$B$153)</f>
        <v/>
      </c>
      <c r="AH150">
        <f>IF([3]Issues!$D$153="","",[3]Issues!$D$153)</f>
        <v/>
      </c>
      <c r="AI150">
        <f>IF([3]Issues!$E$153="","",[3]Issues!$E$153)</f>
        <v/>
      </c>
      <c r="AJ150">
        <f>IF([2]Entry!$S$153="","",[2]Entry!$S$153)</f>
        <v/>
      </c>
      <c r="AK150">
        <f>IF([2]Entry!$C$153="","",[2]Entry!$C$153)</f>
        <v/>
      </c>
      <c r="AL150">
        <f>IF([2]Entry!$D$153="","",[2]Entry!$D$153)</f>
        <v/>
      </c>
      <c r="AM150">
        <f>IF(AND($F150&lt;&gt;"",$I150&lt;&gt;""),IF($G150="دارایی ثابت",1,0),0)</f>
        <v/>
      </c>
      <c r="AN150">
        <f>SUM($AM$6:$AM150)</f>
        <v/>
      </c>
      <c r="AO150">
        <f>IFERROR(INDEX($F$6:$F$565,MATCH(ROW()-5,$AN$6:$AN$565,0)),"")</f>
        <v/>
      </c>
      <c r="AP150">
        <f>IF(AND($F150&lt;&gt;"",$I150&lt;&gt;""),IF($G150="وام و تسهیلات",1,0),0)</f>
        <v/>
      </c>
      <c r="AQ150">
        <f>SUM($AP$6:$AP150)</f>
        <v/>
      </c>
      <c r="AR150">
        <f>IFERROR(INDEX($F$6:$F$565,MATCH(ROW()-5,$AQ$6:$AQ$565,0)),"")</f>
        <v/>
      </c>
      <c r="AS150">
        <f>IF(AND($F150&lt;&gt;"",$I150&lt;&gt;""),IF($G150="سرمایه و آورده صاحبان",1,0),0)</f>
        <v/>
      </c>
      <c r="AT150">
        <f>SUM($AS$6:$AS150)</f>
        <v/>
      </c>
      <c r="AU150">
        <f>IFERROR(INDEX($F$6:$F$565,MATCH(ROW()-5,$AT$6:$AT$565,0)),"")</f>
        <v/>
      </c>
      <c r="AW150">
        <f>IF([3]Issues!$C$153="","",[3]Issues!$C$153)</f>
        <v/>
      </c>
      <c r="AX150">
        <f>IF([4]Entry!$E$153="","",[4]Entry!$E$153)</f>
        <v/>
      </c>
      <c r="AY150">
        <f>IF([4]Entry!$H$153="","",[4]Entry!$H$153)</f>
        <v/>
      </c>
      <c r="AZ150">
        <f>IF([4]Entry!$I$153="","",[4]Entry!$I$153)</f>
        <v/>
      </c>
    </row>
    <row r="151">
      <c r="F151">
        <f>IF([1]Accounts!$D$152="","",[1]Accounts!$A$152)</f>
        <v/>
      </c>
      <c r="G151">
        <f>IF([1]Accounts!$D$152="","",[1]Accounts!$B$152)</f>
        <v/>
      </c>
      <c r="H151">
        <f>IF([1]Accounts!$D$152="","",[1]Accounts!$C$152)</f>
        <v/>
      </c>
      <c r="I151">
        <f>IF([1]Accounts!$D$152="","",[1]Accounts!$D$152)</f>
        <v/>
      </c>
      <c r="R151">
        <f>IF(AND($F151&lt;&gt;"",$I151&lt;&gt;""),IF(OR($G151="دارایی ثابت",$G151="وام و تسهیلات",$G151="سرمایه و آورده صاحبان"),0,1),0)</f>
        <v/>
      </c>
      <c r="S151">
        <f>SUM($R$6:$R151)</f>
        <v/>
      </c>
      <c r="T151">
        <f>IFERROR(INDEX($F$6:$F$565,MATCH(ROW()-5,$S$6:$S$565,0)),"")</f>
        <v/>
      </c>
      <c r="Z151">
        <f>IF([2]Entry!$E$154="","",[2]Entry!$E$154)</f>
        <v/>
      </c>
      <c r="AA151">
        <f>IF([2]Entry!$G$154="","",[2]Entry!$G$154)</f>
        <v/>
      </c>
      <c r="AB151">
        <f>IF([2]Entry!$J$154="","",[2]Entry!$J$154)</f>
        <v/>
      </c>
      <c r="AC151">
        <f>IF([2]Entry!$K$154="","",[2]Entry!$K$154)</f>
        <v/>
      </c>
      <c r="AD151">
        <f>IF([2]Entry!$L$154="","",[2]Entry!$L$154)</f>
        <v/>
      </c>
      <c r="AE151">
        <f>IF([2]Entry!$M$154="","",[2]Entry!$M$154)</f>
        <v/>
      </c>
      <c r="AF151">
        <f>IF([2]Entry!$N$154="","",[2]Entry!$N$154)</f>
        <v/>
      </c>
      <c r="AG151">
        <f>IF([3]Issues!$B$154="","",[3]Issues!$B$154)</f>
        <v/>
      </c>
      <c r="AH151">
        <f>IF([3]Issues!$D$154="","",[3]Issues!$D$154)</f>
        <v/>
      </c>
      <c r="AI151">
        <f>IF([3]Issues!$E$154="","",[3]Issues!$E$154)</f>
        <v/>
      </c>
      <c r="AJ151">
        <f>IF([2]Entry!$S$154="","",[2]Entry!$S$154)</f>
        <v/>
      </c>
      <c r="AK151">
        <f>IF([2]Entry!$C$154="","",[2]Entry!$C$154)</f>
        <v/>
      </c>
      <c r="AL151">
        <f>IF([2]Entry!$D$154="","",[2]Entry!$D$154)</f>
        <v/>
      </c>
      <c r="AM151">
        <f>IF(AND($F151&lt;&gt;"",$I151&lt;&gt;""),IF($G151="دارایی ثابت",1,0),0)</f>
        <v/>
      </c>
      <c r="AN151">
        <f>SUM($AM$6:$AM151)</f>
        <v/>
      </c>
      <c r="AO151">
        <f>IFERROR(INDEX($F$6:$F$565,MATCH(ROW()-5,$AN$6:$AN$565,0)),"")</f>
        <v/>
      </c>
      <c r="AP151">
        <f>IF(AND($F151&lt;&gt;"",$I151&lt;&gt;""),IF($G151="وام و تسهیلات",1,0),0)</f>
        <v/>
      </c>
      <c r="AQ151">
        <f>SUM($AP$6:$AP151)</f>
        <v/>
      </c>
      <c r="AR151">
        <f>IFERROR(INDEX($F$6:$F$565,MATCH(ROW()-5,$AQ$6:$AQ$565,0)),"")</f>
        <v/>
      </c>
      <c r="AS151">
        <f>IF(AND($F151&lt;&gt;"",$I151&lt;&gt;""),IF($G151="سرمایه و آورده صاحبان",1,0),0)</f>
        <v/>
      </c>
      <c r="AT151">
        <f>SUM($AS$6:$AS151)</f>
        <v/>
      </c>
      <c r="AU151">
        <f>IFERROR(INDEX($F$6:$F$565,MATCH(ROW()-5,$AT$6:$AT$565,0)),"")</f>
        <v/>
      </c>
      <c r="AW151">
        <f>IF([3]Issues!$C$154="","",[3]Issues!$C$154)</f>
        <v/>
      </c>
      <c r="AX151">
        <f>IF([4]Entry!$E$154="","",[4]Entry!$E$154)</f>
        <v/>
      </c>
      <c r="AY151">
        <f>IF([4]Entry!$H$154="","",[4]Entry!$H$154)</f>
        <v/>
      </c>
      <c r="AZ151">
        <f>IF([4]Entry!$I$154="","",[4]Entry!$I$154)</f>
        <v/>
      </c>
    </row>
    <row r="152">
      <c r="F152">
        <f>IF([1]Accounts!$D$153="","",[1]Accounts!$A$153)</f>
        <v/>
      </c>
      <c r="G152">
        <f>IF([1]Accounts!$D$153="","",[1]Accounts!$B$153)</f>
        <v/>
      </c>
      <c r="H152">
        <f>IF([1]Accounts!$D$153="","",[1]Accounts!$C$153)</f>
        <v/>
      </c>
      <c r="I152">
        <f>IF([1]Accounts!$D$153="","",[1]Accounts!$D$153)</f>
        <v/>
      </c>
      <c r="R152">
        <f>IF(AND($F152&lt;&gt;"",$I152&lt;&gt;""),IF(OR($G152="دارایی ثابت",$G152="وام و تسهیلات",$G152="سرمایه و آورده صاحبان"),0,1),0)</f>
        <v/>
      </c>
      <c r="S152">
        <f>SUM($R$6:$R152)</f>
        <v/>
      </c>
      <c r="T152">
        <f>IFERROR(INDEX($F$6:$F$565,MATCH(ROW()-5,$S$6:$S$565,0)),"")</f>
        <v/>
      </c>
      <c r="Z152">
        <f>IF([2]Entry!$E$155="","",[2]Entry!$E$155)</f>
        <v/>
      </c>
      <c r="AA152">
        <f>IF([2]Entry!$G$155="","",[2]Entry!$G$155)</f>
        <v/>
      </c>
      <c r="AB152">
        <f>IF([2]Entry!$J$155="","",[2]Entry!$J$155)</f>
        <v/>
      </c>
      <c r="AC152">
        <f>IF([2]Entry!$K$155="","",[2]Entry!$K$155)</f>
        <v/>
      </c>
      <c r="AD152">
        <f>IF([2]Entry!$L$155="","",[2]Entry!$L$155)</f>
        <v/>
      </c>
      <c r="AE152">
        <f>IF([2]Entry!$M$155="","",[2]Entry!$M$155)</f>
        <v/>
      </c>
      <c r="AF152">
        <f>IF([2]Entry!$N$155="","",[2]Entry!$N$155)</f>
        <v/>
      </c>
      <c r="AG152">
        <f>IF([3]Issues!$B$155="","",[3]Issues!$B$155)</f>
        <v/>
      </c>
      <c r="AH152">
        <f>IF([3]Issues!$D$155="","",[3]Issues!$D$155)</f>
        <v/>
      </c>
      <c r="AI152">
        <f>IF([3]Issues!$E$155="","",[3]Issues!$E$155)</f>
        <v/>
      </c>
      <c r="AJ152">
        <f>IF([2]Entry!$S$155="","",[2]Entry!$S$155)</f>
        <v/>
      </c>
      <c r="AK152">
        <f>IF([2]Entry!$C$155="","",[2]Entry!$C$155)</f>
        <v/>
      </c>
      <c r="AL152">
        <f>IF([2]Entry!$D$155="","",[2]Entry!$D$155)</f>
        <v/>
      </c>
      <c r="AM152">
        <f>IF(AND($F152&lt;&gt;"",$I152&lt;&gt;""),IF($G152="دارایی ثابت",1,0),0)</f>
        <v/>
      </c>
      <c r="AN152">
        <f>SUM($AM$6:$AM152)</f>
        <v/>
      </c>
      <c r="AO152">
        <f>IFERROR(INDEX($F$6:$F$565,MATCH(ROW()-5,$AN$6:$AN$565,0)),"")</f>
        <v/>
      </c>
      <c r="AP152">
        <f>IF(AND($F152&lt;&gt;"",$I152&lt;&gt;""),IF($G152="وام و تسهیلات",1,0),0)</f>
        <v/>
      </c>
      <c r="AQ152">
        <f>SUM($AP$6:$AP152)</f>
        <v/>
      </c>
      <c r="AR152">
        <f>IFERROR(INDEX($F$6:$F$565,MATCH(ROW()-5,$AQ$6:$AQ$565,0)),"")</f>
        <v/>
      </c>
      <c r="AS152">
        <f>IF(AND($F152&lt;&gt;"",$I152&lt;&gt;""),IF($G152="سرمایه و آورده صاحبان",1,0),0)</f>
        <v/>
      </c>
      <c r="AT152">
        <f>SUM($AS$6:$AS152)</f>
        <v/>
      </c>
      <c r="AU152">
        <f>IFERROR(INDEX($F$6:$F$565,MATCH(ROW()-5,$AT$6:$AT$565,0)),"")</f>
        <v/>
      </c>
      <c r="AW152">
        <f>IF([3]Issues!$C$155="","",[3]Issues!$C$155)</f>
        <v/>
      </c>
      <c r="AX152">
        <f>IF([4]Entry!$E$155="","",[4]Entry!$E$155)</f>
        <v/>
      </c>
      <c r="AY152">
        <f>IF([4]Entry!$H$155="","",[4]Entry!$H$155)</f>
        <v/>
      </c>
      <c r="AZ152">
        <f>IF([4]Entry!$I$155="","",[4]Entry!$I$155)</f>
        <v/>
      </c>
    </row>
    <row r="153">
      <c r="F153">
        <f>IF([1]Accounts!$D$154="","",[1]Accounts!$A$154)</f>
        <v/>
      </c>
      <c r="G153">
        <f>IF([1]Accounts!$D$154="","",[1]Accounts!$B$154)</f>
        <v/>
      </c>
      <c r="H153">
        <f>IF([1]Accounts!$D$154="","",[1]Accounts!$C$154)</f>
        <v/>
      </c>
      <c r="I153">
        <f>IF([1]Accounts!$D$154="","",[1]Accounts!$D$154)</f>
        <v/>
      </c>
      <c r="R153">
        <f>IF(AND($F153&lt;&gt;"",$I153&lt;&gt;""),IF(OR($G153="دارایی ثابت",$G153="وام و تسهیلات",$G153="سرمایه و آورده صاحبان"),0,1),0)</f>
        <v/>
      </c>
      <c r="S153">
        <f>SUM($R$6:$R153)</f>
        <v/>
      </c>
      <c r="T153">
        <f>IFERROR(INDEX($F$6:$F$565,MATCH(ROW()-5,$S$6:$S$565,0)),"")</f>
        <v/>
      </c>
      <c r="Z153">
        <f>IF([2]Entry!$E$156="","",[2]Entry!$E$156)</f>
        <v/>
      </c>
      <c r="AA153">
        <f>IF([2]Entry!$G$156="","",[2]Entry!$G$156)</f>
        <v/>
      </c>
      <c r="AB153">
        <f>IF([2]Entry!$J$156="","",[2]Entry!$J$156)</f>
        <v/>
      </c>
      <c r="AC153">
        <f>IF([2]Entry!$K$156="","",[2]Entry!$K$156)</f>
        <v/>
      </c>
      <c r="AD153">
        <f>IF([2]Entry!$L$156="","",[2]Entry!$L$156)</f>
        <v/>
      </c>
      <c r="AE153">
        <f>IF([2]Entry!$M$156="","",[2]Entry!$M$156)</f>
        <v/>
      </c>
      <c r="AF153">
        <f>IF([2]Entry!$N$156="","",[2]Entry!$N$156)</f>
        <v/>
      </c>
      <c r="AG153">
        <f>IF([3]Issues!$B$156="","",[3]Issues!$B$156)</f>
        <v/>
      </c>
      <c r="AH153">
        <f>IF([3]Issues!$D$156="","",[3]Issues!$D$156)</f>
        <v/>
      </c>
      <c r="AI153">
        <f>IF([3]Issues!$E$156="","",[3]Issues!$E$156)</f>
        <v/>
      </c>
      <c r="AJ153">
        <f>IF([2]Entry!$S$156="","",[2]Entry!$S$156)</f>
        <v/>
      </c>
      <c r="AK153">
        <f>IF([2]Entry!$C$156="","",[2]Entry!$C$156)</f>
        <v/>
      </c>
      <c r="AL153">
        <f>IF([2]Entry!$D$156="","",[2]Entry!$D$156)</f>
        <v/>
      </c>
      <c r="AM153">
        <f>IF(AND($F153&lt;&gt;"",$I153&lt;&gt;""),IF($G153="دارایی ثابت",1,0),0)</f>
        <v/>
      </c>
      <c r="AN153">
        <f>SUM($AM$6:$AM153)</f>
        <v/>
      </c>
      <c r="AO153">
        <f>IFERROR(INDEX($F$6:$F$565,MATCH(ROW()-5,$AN$6:$AN$565,0)),"")</f>
        <v/>
      </c>
      <c r="AP153">
        <f>IF(AND($F153&lt;&gt;"",$I153&lt;&gt;""),IF($G153="وام و تسهیلات",1,0),0)</f>
        <v/>
      </c>
      <c r="AQ153">
        <f>SUM($AP$6:$AP153)</f>
        <v/>
      </c>
      <c r="AR153">
        <f>IFERROR(INDEX($F$6:$F$565,MATCH(ROW()-5,$AQ$6:$AQ$565,0)),"")</f>
        <v/>
      </c>
      <c r="AS153">
        <f>IF(AND($F153&lt;&gt;"",$I153&lt;&gt;""),IF($G153="سرمایه و آورده صاحبان",1,0),0)</f>
        <v/>
      </c>
      <c r="AT153">
        <f>SUM($AS$6:$AS153)</f>
        <v/>
      </c>
      <c r="AU153">
        <f>IFERROR(INDEX($F$6:$F$565,MATCH(ROW()-5,$AT$6:$AT$565,0)),"")</f>
        <v/>
      </c>
      <c r="AW153">
        <f>IF([3]Issues!$C$156="","",[3]Issues!$C$156)</f>
        <v/>
      </c>
      <c r="AX153">
        <f>IF([4]Entry!$E$156="","",[4]Entry!$E$156)</f>
        <v/>
      </c>
      <c r="AY153">
        <f>IF([4]Entry!$H$156="","",[4]Entry!$H$156)</f>
        <v/>
      </c>
      <c r="AZ153">
        <f>IF([4]Entry!$I$156="","",[4]Entry!$I$156)</f>
        <v/>
      </c>
    </row>
    <row r="154">
      <c r="F154">
        <f>IF([1]Accounts!$D$155="","",[1]Accounts!$A$155)</f>
        <v/>
      </c>
      <c r="G154">
        <f>IF([1]Accounts!$D$155="","",[1]Accounts!$B$155)</f>
        <v/>
      </c>
      <c r="H154">
        <f>IF([1]Accounts!$D$155="","",[1]Accounts!$C$155)</f>
        <v/>
      </c>
      <c r="I154">
        <f>IF([1]Accounts!$D$155="","",[1]Accounts!$D$155)</f>
        <v/>
      </c>
      <c r="R154">
        <f>IF(AND($F154&lt;&gt;"",$I154&lt;&gt;""),IF(OR($G154="دارایی ثابت",$G154="وام و تسهیلات",$G154="سرمایه و آورده صاحبان"),0,1),0)</f>
        <v/>
      </c>
      <c r="S154">
        <f>SUM($R$6:$R154)</f>
        <v/>
      </c>
      <c r="T154">
        <f>IFERROR(INDEX($F$6:$F$565,MATCH(ROW()-5,$S$6:$S$565,0)),"")</f>
        <v/>
      </c>
      <c r="Z154">
        <f>IF([2]Entry!$E$157="","",[2]Entry!$E$157)</f>
        <v/>
      </c>
      <c r="AA154">
        <f>IF([2]Entry!$G$157="","",[2]Entry!$G$157)</f>
        <v/>
      </c>
      <c r="AB154">
        <f>IF([2]Entry!$J$157="","",[2]Entry!$J$157)</f>
        <v/>
      </c>
      <c r="AC154">
        <f>IF([2]Entry!$K$157="","",[2]Entry!$K$157)</f>
        <v/>
      </c>
      <c r="AD154">
        <f>IF([2]Entry!$L$157="","",[2]Entry!$L$157)</f>
        <v/>
      </c>
      <c r="AE154">
        <f>IF([2]Entry!$M$157="","",[2]Entry!$M$157)</f>
        <v/>
      </c>
      <c r="AF154">
        <f>IF([2]Entry!$N$157="","",[2]Entry!$N$157)</f>
        <v/>
      </c>
      <c r="AG154">
        <f>IF([3]Issues!$B$157="","",[3]Issues!$B$157)</f>
        <v/>
      </c>
      <c r="AH154">
        <f>IF([3]Issues!$D$157="","",[3]Issues!$D$157)</f>
        <v/>
      </c>
      <c r="AI154">
        <f>IF([3]Issues!$E$157="","",[3]Issues!$E$157)</f>
        <v/>
      </c>
      <c r="AJ154">
        <f>IF([2]Entry!$S$157="","",[2]Entry!$S$157)</f>
        <v/>
      </c>
      <c r="AK154">
        <f>IF([2]Entry!$C$157="","",[2]Entry!$C$157)</f>
        <v/>
      </c>
      <c r="AL154">
        <f>IF([2]Entry!$D$157="","",[2]Entry!$D$157)</f>
        <v/>
      </c>
      <c r="AM154">
        <f>IF(AND($F154&lt;&gt;"",$I154&lt;&gt;""),IF($G154="دارایی ثابت",1,0),0)</f>
        <v/>
      </c>
      <c r="AN154">
        <f>SUM($AM$6:$AM154)</f>
        <v/>
      </c>
      <c r="AO154">
        <f>IFERROR(INDEX($F$6:$F$565,MATCH(ROW()-5,$AN$6:$AN$565,0)),"")</f>
        <v/>
      </c>
      <c r="AP154">
        <f>IF(AND($F154&lt;&gt;"",$I154&lt;&gt;""),IF($G154="وام و تسهیلات",1,0),0)</f>
        <v/>
      </c>
      <c r="AQ154">
        <f>SUM($AP$6:$AP154)</f>
        <v/>
      </c>
      <c r="AR154">
        <f>IFERROR(INDEX($F$6:$F$565,MATCH(ROW()-5,$AQ$6:$AQ$565,0)),"")</f>
        <v/>
      </c>
      <c r="AS154">
        <f>IF(AND($F154&lt;&gt;"",$I154&lt;&gt;""),IF($G154="سرمایه و آورده صاحبان",1,0),0)</f>
        <v/>
      </c>
      <c r="AT154">
        <f>SUM($AS$6:$AS154)</f>
        <v/>
      </c>
      <c r="AU154">
        <f>IFERROR(INDEX($F$6:$F$565,MATCH(ROW()-5,$AT$6:$AT$565,0)),"")</f>
        <v/>
      </c>
      <c r="AW154">
        <f>IF([3]Issues!$C$157="","",[3]Issues!$C$157)</f>
        <v/>
      </c>
      <c r="AX154">
        <f>IF([4]Entry!$E$157="","",[4]Entry!$E$157)</f>
        <v/>
      </c>
      <c r="AY154">
        <f>IF([4]Entry!$H$157="","",[4]Entry!$H$157)</f>
        <v/>
      </c>
      <c r="AZ154">
        <f>IF([4]Entry!$I$157="","",[4]Entry!$I$157)</f>
        <v/>
      </c>
    </row>
    <row r="155">
      <c r="F155">
        <f>IF([1]Accounts!$D$156="","",[1]Accounts!$A$156)</f>
        <v/>
      </c>
      <c r="G155">
        <f>IF([1]Accounts!$D$156="","",[1]Accounts!$B$156)</f>
        <v/>
      </c>
      <c r="H155">
        <f>IF([1]Accounts!$D$156="","",[1]Accounts!$C$156)</f>
        <v/>
      </c>
      <c r="I155">
        <f>IF([1]Accounts!$D$156="","",[1]Accounts!$D$156)</f>
        <v/>
      </c>
      <c r="R155">
        <f>IF(AND($F155&lt;&gt;"",$I155&lt;&gt;""),IF(OR($G155="دارایی ثابت",$G155="وام و تسهیلات",$G155="سرمایه و آورده صاحبان"),0,1),0)</f>
        <v/>
      </c>
      <c r="S155">
        <f>SUM($R$6:$R155)</f>
        <v/>
      </c>
      <c r="T155">
        <f>IFERROR(INDEX($F$6:$F$565,MATCH(ROW()-5,$S$6:$S$565,0)),"")</f>
        <v/>
      </c>
      <c r="Z155">
        <f>IF([2]Entry!$E$158="","",[2]Entry!$E$158)</f>
        <v/>
      </c>
      <c r="AA155">
        <f>IF([2]Entry!$G$158="","",[2]Entry!$G$158)</f>
        <v/>
      </c>
      <c r="AB155">
        <f>IF([2]Entry!$J$158="","",[2]Entry!$J$158)</f>
        <v/>
      </c>
      <c r="AC155">
        <f>IF([2]Entry!$K$158="","",[2]Entry!$K$158)</f>
        <v/>
      </c>
      <c r="AD155">
        <f>IF([2]Entry!$L$158="","",[2]Entry!$L$158)</f>
        <v/>
      </c>
      <c r="AE155">
        <f>IF([2]Entry!$M$158="","",[2]Entry!$M$158)</f>
        <v/>
      </c>
      <c r="AF155">
        <f>IF([2]Entry!$N$158="","",[2]Entry!$N$158)</f>
        <v/>
      </c>
      <c r="AG155">
        <f>IF([3]Issues!$B$158="","",[3]Issues!$B$158)</f>
        <v/>
      </c>
      <c r="AH155">
        <f>IF([3]Issues!$D$158="","",[3]Issues!$D$158)</f>
        <v/>
      </c>
      <c r="AI155">
        <f>IF([3]Issues!$E$158="","",[3]Issues!$E$158)</f>
        <v/>
      </c>
      <c r="AJ155">
        <f>IF([2]Entry!$S$158="","",[2]Entry!$S$158)</f>
        <v/>
      </c>
      <c r="AK155">
        <f>IF([2]Entry!$C$158="","",[2]Entry!$C$158)</f>
        <v/>
      </c>
      <c r="AL155">
        <f>IF([2]Entry!$D$158="","",[2]Entry!$D$158)</f>
        <v/>
      </c>
      <c r="AM155">
        <f>IF(AND($F155&lt;&gt;"",$I155&lt;&gt;""),IF($G155="دارایی ثابت",1,0),0)</f>
        <v/>
      </c>
      <c r="AN155">
        <f>SUM($AM$6:$AM155)</f>
        <v/>
      </c>
      <c r="AO155">
        <f>IFERROR(INDEX($F$6:$F$565,MATCH(ROW()-5,$AN$6:$AN$565,0)),"")</f>
        <v/>
      </c>
      <c r="AP155">
        <f>IF(AND($F155&lt;&gt;"",$I155&lt;&gt;""),IF($G155="وام و تسهیلات",1,0),0)</f>
        <v/>
      </c>
      <c r="AQ155">
        <f>SUM($AP$6:$AP155)</f>
        <v/>
      </c>
      <c r="AR155">
        <f>IFERROR(INDEX($F$6:$F$565,MATCH(ROW()-5,$AQ$6:$AQ$565,0)),"")</f>
        <v/>
      </c>
      <c r="AS155">
        <f>IF(AND($F155&lt;&gt;"",$I155&lt;&gt;""),IF($G155="سرمایه و آورده صاحبان",1,0),0)</f>
        <v/>
      </c>
      <c r="AT155">
        <f>SUM($AS$6:$AS155)</f>
        <v/>
      </c>
      <c r="AU155">
        <f>IFERROR(INDEX($F$6:$F$565,MATCH(ROW()-5,$AT$6:$AT$565,0)),"")</f>
        <v/>
      </c>
      <c r="AW155">
        <f>IF([3]Issues!$C$158="","",[3]Issues!$C$158)</f>
        <v/>
      </c>
      <c r="AX155">
        <f>IF([4]Entry!$E$158="","",[4]Entry!$E$158)</f>
        <v/>
      </c>
      <c r="AY155">
        <f>IF([4]Entry!$H$158="","",[4]Entry!$H$158)</f>
        <v/>
      </c>
      <c r="AZ155">
        <f>IF([4]Entry!$I$158="","",[4]Entry!$I$158)</f>
        <v/>
      </c>
    </row>
    <row r="156">
      <c r="F156">
        <f>IF([1]Accounts!$D$157="","",[1]Accounts!$A$157)</f>
        <v/>
      </c>
      <c r="G156">
        <f>IF([1]Accounts!$D$157="","",[1]Accounts!$B$157)</f>
        <v/>
      </c>
      <c r="H156">
        <f>IF([1]Accounts!$D$157="","",[1]Accounts!$C$157)</f>
        <v/>
      </c>
      <c r="I156">
        <f>IF([1]Accounts!$D$157="","",[1]Accounts!$D$157)</f>
        <v/>
      </c>
      <c r="R156">
        <f>IF(AND($F156&lt;&gt;"",$I156&lt;&gt;""),IF(OR($G156="دارایی ثابت",$G156="وام و تسهیلات",$G156="سرمایه و آورده صاحبان"),0,1),0)</f>
        <v/>
      </c>
      <c r="S156">
        <f>SUM($R$6:$R156)</f>
        <v/>
      </c>
      <c r="T156">
        <f>IFERROR(INDEX($F$6:$F$565,MATCH(ROW()-5,$S$6:$S$565,0)),"")</f>
        <v/>
      </c>
      <c r="Z156">
        <f>IF([2]Entry!$E$159="","",[2]Entry!$E$159)</f>
        <v/>
      </c>
      <c r="AA156">
        <f>IF([2]Entry!$G$159="","",[2]Entry!$G$159)</f>
        <v/>
      </c>
      <c r="AB156">
        <f>IF([2]Entry!$J$159="","",[2]Entry!$J$159)</f>
        <v/>
      </c>
      <c r="AC156">
        <f>IF([2]Entry!$K$159="","",[2]Entry!$K$159)</f>
        <v/>
      </c>
      <c r="AD156">
        <f>IF([2]Entry!$L$159="","",[2]Entry!$L$159)</f>
        <v/>
      </c>
      <c r="AE156">
        <f>IF([2]Entry!$M$159="","",[2]Entry!$M$159)</f>
        <v/>
      </c>
      <c r="AF156">
        <f>IF([2]Entry!$N$159="","",[2]Entry!$N$159)</f>
        <v/>
      </c>
      <c r="AG156">
        <f>IF([3]Issues!$B$159="","",[3]Issues!$B$159)</f>
        <v/>
      </c>
      <c r="AH156">
        <f>IF([3]Issues!$D$159="","",[3]Issues!$D$159)</f>
        <v/>
      </c>
      <c r="AI156">
        <f>IF([3]Issues!$E$159="","",[3]Issues!$E$159)</f>
        <v/>
      </c>
      <c r="AJ156">
        <f>IF([2]Entry!$S$159="","",[2]Entry!$S$159)</f>
        <v/>
      </c>
      <c r="AK156">
        <f>IF([2]Entry!$C$159="","",[2]Entry!$C$159)</f>
        <v/>
      </c>
      <c r="AL156">
        <f>IF([2]Entry!$D$159="","",[2]Entry!$D$159)</f>
        <v/>
      </c>
      <c r="AM156">
        <f>IF(AND($F156&lt;&gt;"",$I156&lt;&gt;""),IF($G156="دارایی ثابت",1,0),0)</f>
        <v/>
      </c>
      <c r="AN156">
        <f>SUM($AM$6:$AM156)</f>
        <v/>
      </c>
      <c r="AO156">
        <f>IFERROR(INDEX($F$6:$F$565,MATCH(ROW()-5,$AN$6:$AN$565,0)),"")</f>
        <v/>
      </c>
      <c r="AP156">
        <f>IF(AND($F156&lt;&gt;"",$I156&lt;&gt;""),IF($G156="وام و تسهیلات",1,0),0)</f>
        <v/>
      </c>
      <c r="AQ156">
        <f>SUM($AP$6:$AP156)</f>
        <v/>
      </c>
      <c r="AR156">
        <f>IFERROR(INDEX($F$6:$F$565,MATCH(ROW()-5,$AQ$6:$AQ$565,0)),"")</f>
        <v/>
      </c>
      <c r="AS156">
        <f>IF(AND($F156&lt;&gt;"",$I156&lt;&gt;""),IF($G156="سرمایه و آورده صاحبان",1,0),0)</f>
        <v/>
      </c>
      <c r="AT156">
        <f>SUM($AS$6:$AS156)</f>
        <v/>
      </c>
      <c r="AU156">
        <f>IFERROR(INDEX($F$6:$F$565,MATCH(ROW()-5,$AT$6:$AT$565,0)),"")</f>
        <v/>
      </c>
      <c r="AW156">
        <f>IF([3]Issues!$C$159="","",[3]Issues!$C$159)</f>
        <v/>
      </c>
      <c r="AX156">
        <f>IF([4]Entry!$E$159="","",[4]Entry!$E$159)</f>
        <v/>
      </c>
      <c r="AY156">
        <f>IF([4]Entry!$H$159="","",[4]Entry!$H$159)</f>
        <v/>
      </c>
      <c r="AZ156">
        <f>IF([4]Entry!$I$159="","",[4]Entry!$I$159)</f>
        <v/>
      </c>
    </row>
    <row r="157">
      <c r="F157">
        <f>IF([1]Accounts!$D$158="","",[1]Accounts!$A$158)</f>
        <v/>
      </c>
      <c r="G157">
        <f>IF([1]Accounts!$D$158="","",[1]Accounts!$B$158)</f>
        <v/>
      </c>
      <c r="H157">
        <f>IF([1]Accounts!$D$158="","",[1]Accounts!$C$158)</f>
        <v/>
      </c>
      <c r="I157">
        <f>IF([1]Accounts!$D$158="","",[1]Accounts!$D$158)</f>
        <v/>
      </c>
      <c r="R157">
        <f>IF(AND($F157&lt;&gt;"",$I157&lt;&gt;""),IF(OR($G157="دارایی ثابت",$G157="وام و تسهیلات",$G157="سرمایه و آورده صاحبان"),0,1),0)</f>
        <v/>
      </c>
      <c r="S157">
        <f>SUM($R$6:$R157)</f>
        <v/>
      </c>
      <c r="T157">
        <f>IFERROR(INDEX($F$6:$F$565,MATCH(ROW()-5,$S$6:$S$565,0)),"")</f>
        <v/>
      </c>
      <c r="Z157">
        <f>IF([2]Entry!$E$160="","",[2]Entry!$E$160)</f>
        <v/>
      </c>
      <c r="AA157">
        <f>IF([2]Entry!$G$160="","",[2]Entry!$G$160)</f>
        <v/>
      </c>
      <c r="AB157">
        <f>IF([2]Entry!$J$160="","",[2]Entry!$J$160)</f>
        <v/>
      </c>
      <c r="AC157">
        <f>IF([2]Entry!$K$160="","",[2]Entry!$K$160)</f>
        <v/>
      </c>
      <c r="AD157">
        <f>IF([2]Entry!$L$160="","",[2]Entry!$L$160)</f>
        <v/>
      </c>
      <c r="AE157">
        <f>IF([2]Entry!$M$160="","",[2]Entry!$M$160)</f>
        <v/>
      </c>
      <c r="AF157">
        <f>IF([2]Entry!$N$160="","",[2]Entry!$N$160)</f>
        <v/>
      </c>
      <c r="AG157">
        <f>IF([3]Issues!$B$160="","",[3]Issues!$B$160)</f>
        <v/>
      </c>
      <c r="AH157">
        <f>IF([3]Issues!$D$160="","",[3]Issues!$D$160)</f>
        <v/>
      </c>
      <c r="AI157">
        <f>IF([3]Issues!$E$160="","",[3]Issues!$E$160)</f>
        <v/>
      </c>
      <c r="AJ157">
        <f>IF([2]Entry!$S$160="","",[2]Entry!$S$160)</f>
        <v/>
      </c>
      <c r="AK157">
        <f>IF([2]Entry!$C$160="","",[2]Entry!$C$160)</f>
        <v/>
      </c>
      <c r="AL157">
        <f>IF([2]Entry!$D$160="","",[2]Entry!$D$160)</f>
        <v/>
      </c>
      <c r="AM157">
        <f>IF(AND($F157&lt;&gt;"",$I157&lt;&gt;""),IF($G157="دارایی ثابت",1,0),0)</f>
        <v/>
      </c>
      <c r="AN157">
        <f>SUM($AM$6:$AM157)</f>
        <v/>
      </c>
      <c r="AO157">
        <f>IFERROR(INDEX($F$6:$F$565,MATCH(ROW()-5,$AN$6:$AN$565,0)),"")</f>
        <v/>
      </c>
      <c r="AP157">
        <f>IF(AND($F157&lt;&gt;"",$I157&lt;&gt;""),IF($G157="وام و تسهیلات",1,0),0)</f>
        <v/>
      </c>
      <c r="AQ157">
        <f>SUM($AP$6:$AP157)</f>
        <v/>
      </c>
      <c r="AR157">
        <f>IFERROR(INDEX($F$6:$F$565,MATCH(ROW()-5,$AQ$6:$AQ$565,0)),"")</f>
        <v/>
      </c>
      <c r="AS157">
        <f>IF(AND($F157&lt;&gt;"",$I157&lt;&gt;""),IF($G157="سرمایه و آورده صاحبان",1,0),0)</f>
        <v/>
      </c>
      <c r="AT157">
        <f>SUM($AS$6:$AS157)</f>
        <v/>
      </c>
      <c r="AU157">
        <f>IFERROR(INDEX($F$6:$F$565,MATCH(ROW()-5,$AT$6:$AT$565,0)),"")</f>
        <v/>
      </c>
      <c r="AW157">
        <f>IF([3]Issues!$C$160="","",[3]Issues!$C$160)</f>
        <v/>
      </c>
      <c r="AX157">
        <f>IF([4]Entry!$E$160="","",[4]Entry!$E$160)</f>
        <v/>
      </c>
      <c r="AY157">
        <f>IF([4]Entry!$H$160="","",[4]Entry!$H$160)</f>
        <v/>
      </c>
      <c r="AZ157">
        <f>IF([4]Entry!$I$160="","",[4]Entry!$I$160)</f>
        <v/>
      </c>
    </row>
    <row r="158">
      <c r="F158">
        <f>IF([1]Accounts!$D$159="","",[1]Accounts!$A$159)</f>
        <v/>
      </c>
      <c r="G158">
        <f>IF([1]Accounts!$D$159="","",[1]Accounts!$B$159)</f>
        <v/>
      </c>
      <c r="H158">
        <f>IF([1]Accounts!$D$159="","",[1]Accounts!$C$159)</f>
        <v/>
      </c>
      <c r="I158">
        <f>IF([1]Accounts!$D$159="","",[1]Accounts!$D$159)</f>
        <v/>
      </c>
      <c r="R158">
        <f>IF(AND($F158&lt;&gt;"",$I158&lt;&gt;""),IF(OR($G158="دارایی ثابت",$G158="وام و تسهیلات",$G158="سرمایه و آورده صاحبان"),0,1),0)</f>
        <v/>
      </c>
      <c r="S158">
        <f>SUM($R$6:$R158)</f>
        <v/>
      </c>
      <c r="T158">
        <f>IFERROR(INDEX($F$6:$F$565,MATCH(ROW()-5,$S$6:$S$565,0)),"")</f>
        <v/>
      </c>
      <c r="Z158">
        <f>IF([2]Entry!$E$161="","",[2]Entry!$E$161)</f>
        <v/>
      </c>
      <c r="AA158">
        <f>IF([2]Entry!$G$161="","",[2]Entry!$G$161)</f>
        <v/>
      </c>
      <c r="AB158">
        <f>IF([2]Entry!$J$161="","",[2]Entry!$J$161)</f>
        <v/>
      </c>
      <c r="AC158">
        <f>IF([2]Entry!$K$161="","",[2]Entry!$K$161)</f>
        <v/>
      </c>
      <c r="AD158">
        <f>IF([2]Entry!$L$161="","",[2]Entry!$L$161)</f>
        <v/>
      </c>
      <c r="AE158">
        <f>IF([2]Entry!$M$161="","",[2]Entry!$M$161)</f>
        <v/>
      </c>
      <c r="AF158">
        <f>IF([2]Entry!$N$161="","",[2]Entry!$N$161)</f>
        <v/>
      </c>
      <c r="AG158">
        <f>IF([3]Issues!$B$161="","",[3]Issues!$B$161)</f>
        <v/>
      </c>
      <c r="AH158">
        <f>IF([3]Issues!$D$161="","",[3]Issues!$D$161)</f>
        <v/>
      </c>
      <c r="AI158">
        <f>IF([3]Issues!$E$161="","",[3]Issues!$E$161)</f>
        <v/>
      </c>
      <c r="AJ158">
        <f>IF([2]Entry!$S$161="","",[2]Entry!$S$161)</f>
        <v/>
      </c>
      <c r="AK158">
        <f>IF([2]Entry!$C$161="","",[2]Entry!$C$161)</f>
        <v/>
      </c>
      <c r="AL158">
        <f>IF([2]Entry!$D$161="","",[2]Entry!$D$161)</f>
        <v/>
      </c>
      <c r="AM158">
        <f>IF(AND($F158&lt;&gt;"",$I158&lt;&gt;""),IF($G158="دارایی ثابت",1,0),0)</f>
        <v/>
      </c>
      <c r="AN158">
        <f>SUM($AM$6:$AM158)</f>
        <v/>
      </c>
      <c r="AO158">
        <f>IFERROR(INDEX($F$6:$F$565,MATCH(ROW()-5,$AN$6:$AN$565,0)),"")</f>
        <v/>
      </c>
      <c r="AP158">
        <f>IF(AND($F158&lt;&gt;"",$I158&lt;&gt;""),IF($G158="وام و تسهیلات",1,0),0)</f>
        <v/>
      </c>
      <c r="AQ158">
        <f>SUM($AP$6:$AP158)</f>
        <v/>
      </c>
      <c r="AR158">
        <f>IFERROR(INDEX($F$6:$F$565,MATCH(ROW()-5,$AQ$6:$AQ$565,0)),"")</f>
        <v/>
      </c>
      <c r="AS158">
        <f>IF(AND($F158&lt;&gt;"",$I158&lt;&gt;""),IF($G158="سرمایه و آورده صاحبان",1,0),0)</f>
        <v/>
      </c>
      <c r="AT158">
        <f>SUM($AS$6:$AS158)</f>
        <v/>
      </c>
      <c r="AU158">
        <f>IFERROR(INDEX($F$6:$F$565,MATCH(ROW()-5,$AT$6:$AT$565,0)),"")</f>
        <v/>
      </c>
      <c r="AW158">
        <f>IF([3]Issues!$C$161="","",[3]Issues!$C$161)</f>
        <v/>
      </c>
      <c r="AX158">
        <f>IF([4]Entry!$E$161="","",[4]Entry!$E$161)</f>
        <v/>
      </c>
      <c r="AY158">
        <f>IF([4]Entry!$H$161="","",[4]Entry!$H$161)</f>
        <v/>
      </c>
      <c r="AZ158">
        <f>IF([4]Entry!$I$161="","",[4]Entry!$I$161)</f>
        <v/>
      </c>
    </row>
    <row r="159">
      <c r="F159">
        <f>IF([1]Accounts!$D$160="","",[1]Accounts!$A$160)</f>
        <v/>
      </c>
      <c r="G159">
        <f>IF([1]Accounts!$D$160="","",[1]Accounts!$B$160)</f>
        <v/>
      </c>
      <c r="H159">
        <f>IF([1]Accounts!$D$160="","",[1]Accounts!$C$160)</f>
        <v/>
      </c>
      <c r="I159">
        <f>IF([1]Accounts!$D$160="","",[1]Accounts!$D$160)</f>
        <v/>
      </c>
      <c r="R159">
        <f>IF(AND($F159&lt;&gt;"",$I159&lt;&gt;""),IF(OR($G159="دارایی ثابت",$G159="وام و تسهیلات",$G159="سرمایه و آورده صاحبان"),0,1),0)</f>
        <v/>
      </c>
      <c r="S159">
        <f>SUM($R$6:$R159)</f>
        <v/>
      </c>
      <c r="T159">
        <f>IFERROR(INDEX($F$6:$F$565,MATCH(ROW()-5,$S$6:$S$565,0)),"")</f>
        <v/>
      </c>
      <c r="Z159">
        <f>IF([2]Entry!$E$162="","",[2]Entry!$E$162)</f>
        <v/>
      </c>
      <c r="AA159">
        <f>IF([2]Entry!$G$162="","",[2]Entry!$G$162)</f>
        <v/>
      </c>
      <c r="AB159">
        <f>IF([2]Entry!$J$162="","",[2]Entry!$J$162)</f>
        <v/>
      </c>
      <c r="AC159">
        <f>IF([2]Entry!$K$162="","",[2]Entry!$K$162)</f>
        <v/>
      </c>
      <c r="AD159">
        <f>IF([2]Entry!$L$162="","",[2]Entry!$L$162)</f>
        <v/>
      </c>
      <c r="AE159">
        <f>IF([2]Entry!$M$162="","",[2]Entry!$M$162)</f>
        <v/>
      </c>
      <c r="AF159">
        <f>IF([2]Entry!$N$162="","",[2]Entry!$N$162)</f>
        <v/>
      </c>
      <c r="AG159">
        <f>IF([3]Issues!$B$162="","",[3]Issues!$B$162)</f>
        <v/>
      </c>
      <c r="AH159">
        <f>IF([3]Issues!$D$162="","",[3]Issues!$D$162)</f>
        <v/>
      </c>
      <c r="AI159">
        <f>IF([3]Issues!$E$162="","",[3]Issues!$E$162)</f>
        <v/>
      </c>
      <c r="AJ159">
        <f>IF([2]Entry!$S$162="","",[2]Entry!$S$162)</f>
        <v/>
      </c>
      <c r="AK159">
        <f>IF([2]Entry!$C$162="","",[2]Entry!$C$162)</f>
        <v/>
      </c>
      <c r="AL159">
        <f>IF([2]Entry!$D$162="","",[2]Entry!$D$162)</f>
        <v/>
      </c>
      <c r="AM159">
        <f>IF(AND($F159&lt;&gt;"",$I159&lt;&gt;""),IF($G159="دارایی ثابت",1,0),0)</f>
        <v/>
      </c>
      <c r="AN159">
        <f>SUM($AM$6:$AM159)</f>
        <v/>
      </c>
      <c r="AO159">
        <f>IFERROR(INDEX($F$6:$F$565,MATCH(ROW()-5,$AN$6:$AN$565,0)),"")</f>
        <v/>
      </c>
      <c r="AP159">
        <f>IF(AND($F159&lt;&gt;"",$I159&lt;&gt;""),IF($G159="وام و تسهیلات",1,0),0)</f>
        <v/>
      </c>
      <c r="AQ159">
        <f>SUM($AP$6:$AP159)</f>
        <v/>
      </c>
      <c r="AR159">
        <f>IFERROR(INDEX($F$6:$F$565,MATCH(ROW()-5,$AQ$6:$AQ$565,0)),"")</f>
        <v/>
      </c>
      <c r="AS159">
        <f>IF(AND($F159&lt;&gt;"",$I159&lt;&gt;""),IF($G159="سرمایه و آورده صاحبان",1,0),0)</f>
        <v/>
      </c>
      <c r="AT159">
        <f>SUM($AS$6:$AS159)</f>
        <v/>
      </c>
      <c r="AU159">
        <f>IFERROR(INDEX($F$6:$F$565,MATCH(ROW()-5,$AT$6:$AT$565,0)),"")</f>
        <v/>
      </c>
      <c r="AW159">
        <f>IF([3]Issues!$C$162="","",[3]Issues!$C$162)</f>
        <v/>
      </c>
      <c r="AX159">
        <f>IF([4]Entry!$E$162="","",[4]Entry!$E$162)</f>
        <v/>
      </c>
      <c r="AY159">
        <f>IF([4]Entry!$H$162="","",[4]Entry!$H$162)</f>
        <v/>
      </c>
      <c r="AZ159">
        <f>IF([4]Entry!$I$162="","",[4]Entry!$I$162)</f>
        <v/>
      </c>
    </row>
    <row r="160">
      <c r="F160">
        <f>IF([1]Accounts!$D$161="","",[1]Accounts!$A$161)</f>
        <v/>
      </c>
      <c r="G160">
        <f>IF([1]Accounts!$D$161="","",[1]Accounts!$B$161)</f>
        <v/>
      </c>
      <c r="H160">
        <f>IF([1]Accounts!$D$161="","",[1]Accounts!$C$161)</f>
        <v/>
      </c>
      <c r="I160">
        <f>IF([1]Accounts!$D$161="","",[1]Accounts!$D$161)</f>
        <v/>
      </c>
      <c r="R160">
        <f>IF(AND($F160&lt;&gt;"",$I160&lt;&gt;""),IF(OR($G160="دارایی ثابت",$G160="وام و تسهیلات",$G160="سرمایه و آورده صاحبان"),0,1),0)</f>
        <v/>
      </c>
      <c r="S160">
        <f>SUM($R$6:$R160)</f>
        <v/>
      </c>
      <c r="T160">
        <f>IFERROR(INDEX($F$6:$F$565,MATCH(ROW()-5,$S$6:$S$565,0)),"")</f>
        <v/>
      </c>
      <c r="Z160">
        <f>IF([2]Entry!$E$163="","",[2]Entry!$E$163)</f>
        <v/>
      </c>
      <c r="AA160">
        <f>IF([2]Entry!$G$163="","",[2]Entry!$G$163)</f>
        <v/>
      </c>
      <c r="AB160">
        <f>IF([2]Entry!$J$163="","",[2]Entry!$J$163)</f>
        <v/>
      </c>
      <c r="AC160">
        <f>IF([2]Entry!$K$163="","",[2]Entry!$K$163)</f>
        <v/>
      </c>
      <c r="AD160">
        <f>IF([2]Entry!$L$163="","",[2]Entry!$L$163)</f>
        <v/>
      </c>
      <c r="AE160">
        <f>IF([2]Entry!$M$163="","",[2]Entry!$M$163)</f>
        <v/>
      </c>
      <c r="AF160">
        <f>IF([2]Entry!$N$163="","",[2]Entry!$N$163)</f>
        <v/>
      </c>
      <c r="AG160">
        <f>IF([3]Issues!$B$163="","",[3]Issues!$B$163)</f>
        <v/>
      </c>
      <c r="AH160">
        <f>IF([3]Issues!$D$163="","",[3]Issues!$D$163)</f>
        <v/>
      </c>
      <c r="AI160">
        <f>IF([3]Issues!$E$163="","",[3]Issues!$E$163)</f>
        <v/>
      </c>
      <c r="AJ160">
        <f>IF([2]Entry!$S$163="","",[2]Entry!$S$163)</f>
        <v/>
      </c>
      <c r="AK160">
        <f>IF([2]Entry!$C$163="","",[2]Entry!$C$163)</f>
        <v/>
      </c>
      <c r="AL160">
        <f>IF([2]Entry!$D$163="","",[2]Entry!$D$163)</f>
        <v/>
      </c>
      <c r="AM160">
        <f>IF(AND($F160&lt;&gt;"",$I160&lt;&gt;""),IF($G160="دارایی ثابت",1,0),0)</f>
        <v/>
      </c>
      <c r="AN160">
        <f>SUM($AM$6:$AM160)</f>
        <v/>
      </c>
      <c r="AO160">
        <f>IFERROR(INDEX($F$6:$F$565,MATCH(ROW()-5,$AN$6:$AN$565,0)),"")</f>
        <v/>
      </c>
      <c r="AP160">
        <f>IF(AND($F160&lt;&gt;"",$I160&lt;&gt;""),IF($G160="وام و تسهیلات",1,0),0)</f>
        <v/>
      </c>
      <c r="AQ160">
        <f>SUM($AP$6:$AP160)</f>
        <v/>
      </c>
      <c r="AR160">
        <f>IFERROR(INDEX($F$6:$F$565,MATCH(ROW()-5,$AQ$6:$AQ$565,0)),"")</f>
        <v/>
      </c>
      <c r="AS160">
        <f>IF(AND($F160&lt;&gt;"",$I160&lt;&gt;""),IF($G160="سرمایه و آورده صاحبان",1,0),0)</f>
        <v/>
      </c>
      <c r="AT160">
        <f>SUM($AS$6:$AS160)</f>
        <v/>
      </c>
      <c r="AU160">
        <f>IFERROR(INDEX($F$6:$F$565,MATCH(ROW()-5,$AT$6:$AT$565,0)),"")</f>
        <v/>
      </c>
      <c r="AW160">
        <f>IF([3]Issues!$C$163="","",[3]Issues!$C$163)</f>
        <v/>
      </c>
      <c r="AX160">
        <f>IF([4]Entry!$E$163="","",[4]Entry!$E$163)</f>
        <v/>
      </c>
      <c r="AY160">
        <f>IF([4]Entry!$H$163="","",[4]Entry!$H$163)</f>
        <v/>
      </c>
      <c r="AZ160">
        <f>IF([4]Entry!$I$163="","",[4]Entry!$I$163)</f>
        <v/>
      </c>
    </row>
    <row r="161">
      <c r="F161">
        <f>IF([1]Accounts!$D$162="","",[1]Accounts!$A$162)</f>
        <v/>
      </c>
      <c r="G161">
        <f>IF([1]Accounts!$D$162="","",[1]Accounts!$B$162)</f>
        <v/>
      </c>
      <c r="H161">
        <f>IF([1]Accounts!$D$162="","",[1]Accounts!$C$162)</f>
        <v/>
      </c>
      <c r="I161">
        <f>IF([1]Accounts!$D$162="","",[1]Accounts!$D$162)</f>
        <v/>
      </c>
      <c r="R161">
        <f>IF(AND($F161&lt;&gt;"",$I161&lt;&gt;""),IF(OR($G161="دارایی ثابت",$G161="وام و تسهیلات",$G161="سرمایه و آورده صاحبان"),0,1),0)</f>
        <v/>
      </c>
      <c r="S161">
        <f>SUM($R$6:$R161)</f>
        <v/>
      </c>
      <c r="T161">
        <f>IFERROR(INDEX($F$6:$F$565,MATCH(ROW()-5,$S$6:$S$565,0)),"")</f>
        <v/>
      </c>
      <c r="Z161">
        <f>IF([2]Entry!$E$164="","",[2]Entry!$E$164)</f>
        <v/>
      </c>
      <c r="AA161">
        <f>IF([2]Entry!$G$164="","",[2]Entry!$G$164)</f>
        <v/>
      </c>
      <c r="AB161">
        <f>IF([2]Entry!$J$164="","",[2]Entry!$J$164)</f>
        <v/>
      </c>
      <c r="AC161">
        <f>IF([2]Entry!$K$164="","",[2]Entry!$K$164)</f>
        <v/>
      </c>
      <c r="AD161">
        <f>IF([2]Entry!$L$164="","",[2]Entry!$L$164)</f>
        <v/>
      </c>
      <c r="AE161">
        <f>IF([2]Entry!$M$164="","",[2]Entry!$M$164)</f>
        <v/>
      </c>
      <c r="AF161">
        <f>IF([2]Entry!$N$164="","",[2]Entry!$N$164)</f>
        <v/>
      </c>
      <c r="AG161">
        <f>IF([3]Issues!$B$164="","",[3]Issues!$B$164)</f>
        <v/>
      </c>
      <c r="AH161">
        <f>IF([3]Issues!$D$164="","",[3]Issues!$D$164)</f>
        <v/>
      </c>
      <c r="AI161">
        <f>IF([3]Issues!$E$164="","",[3]Issues!$E$164)</f>
        <v/>
      </c>
      <c r="AJ161">
        <f>IF([2]Entry!$S$164="","",[2]Entry!$S$164)</f>
        <v/>
      </c>
      <c r="AK161">
        <f>IF([2]Entry!$C$164="","",[2]Entry!$C$164)</f>
        <v/>
      </c>
      <c r="AL161">
        <f>IF([2]Entry!$D$164="","",[2]Entry!$D$164)</f>
        <v/>
      </c>
      <c r="AM161">
        <f>IF(AND($F161&lt;&gt;"",$I161&lt;&gt;""),IF($G161="دارایی ثابت",1,0),0)</f>
        <v/>
      </c>
      <c r="AN161">
        <f>SUM($AM$6:$AM161)</f>
        <v/>
      </c>
      <c r="AO161">
        <f>IFERROR(INDEX($F$6:$F$565,MATCH(ROW()-5,$AN$6:$AN$565,0)),"")</f>
        <v/>
      </c>
      <c r="AP161">
        <f>IF(AND($F161&lt;&gt;"",$I161&lt;&gt;""),IF($G161="وام و تسهیلات",1,0),0)</f>
        <v/>
      </c>
      <c r="AQ161">
        <f>SUM($AP$6:$AP161)</f>
        <v/>
      </c>
      <c r="AR161">
        <f>IFERROR(INDEX($F$6:$F$565,MATCH(ROW()-5,$AQ$6:$AQ$565,0)),"")</f>
        <v/>
      </c>
      <c r="AS161">
        <f>IF(AND($F161&lt;&gt;"",$I161&lt;&gt;""),IF($G161="سرمایه و آورده صاحبان",1,0),0)</f>
        <v/>
      </c>
      <c r="AT161">
        <f>SUM($AS$6:$AS161)</f>
        <v/>
      </c>
      <c r="AU161">
        <f>IFERROR(INDEX($F$6:$F$565,MATCH(ROW()-5,$AT$6:$AT$565,0)),"")</f>
        <v/>
      </c>
      <c r="AW161">
        <f>IF([3]Issues!$C$164="","",[3]Issues!$C$164)</f>
        <v/>
      </c>
      <c r="AX161">
        <f>IF([4]Entry!$E$164="","",[4]Entry!$E$164)</f>
        <v/>
      </c>
      <c r="AY161">
        <f>IF([4]Entry!$H$164="","",[4]Entry!$H$164)</f>
        <v/>
      </c>
      <c r="AZ161">
        <f>IF([4]Entry!$I$164="","",[4]Entry!$I$164)</f>
        <v/>
      </c>
    </row>
    <row r="162">
      <c r="F162">
        <f>IF([1]Accounts!$D$163="","",[1]Accounts!$A$163)</f>
        <v/>
      </c>
      <c r="G162">
        <f>IF([1]Accounts!$D$163="","",[1]Accounts!$B$163)</f>
        <v/>
      </c>
      <c r="H162">
        <f>IF([1]Accounts!$D$163="","",[1]Accounts!$C$163)</f>
        <v/>
      </c>
      <c r="I162">
        <f>IF([1]Accounts!$D$163="","",[1]Accounts!$D$163)</f>
        <v/>
      </c>
      <c r="R162">
        <f>IF(AND($F162&lt;&gt;"",$I162&lt;&gt;""),IF(OR($G162="دارایی ثابت",$G162="وام و تسهیلات",$G162="سرمایه و آورده صاحبان"),0,1),0)</f>
        <v/>
      </c>
      <c r="S162">
        <f>SUM($R$6:$R162)</f>
        <v/>
      </c>
      <c r="T162">
        <f>IFERROR(INDEX($F$6:$F$565,MATCH(ROW()-5,$S$6:$S$565,0)),"")</f>
        <v/>
      </c>
      <c r="Z162">
        <f>IF([2]Entry!$E$165="","",[2]Entry!$E$165)</f>
        <v/>
      </c>
      <c r="AA162">
        <f>IF([2]Entry!$G$165="","",[2]Entry!$G$165)</f>
        <v/>
      </c>
      <c r="AB162">
        <f>IF([2]Entry!$J$165="","",[2]Entry!$J$165)</f>
        <v/>
      </c>
      <c r="AC162">
        <f>IF([2]Entry!$K$165="","",[2]Entry!$K$165)</f>
        <v/>
      </c>
      <c r="AD162">
        <f>IF([2]Entry!$L$165="","",[2]Entry!$L$165)</f>
        <v/>
      </c>
      <c r="AE162">
        <f>IF([2]Entry!$M$165="","",[2]Entry!$M$165)</f>
        <v/>
      </c>
      <c r="AF162">
        <f>IF([2]Entry!$N$165="","",[2]Entry!$N$165)</f>
        <v/>
      </c>
      <c r="AG162">
        <f>IF([3]Issues!$B$165="","",[3]Issues!$B$165)</f>
        <v/>
      </c>
      <c r="AH162">
        <f>IF([3]Issues!$D$165="","",[3]Issues!$D$165)</f>
        <v/>
      </c>
      <c r="AI162">
        <f>IF([3]Issues!$E$165="","",[3]Issues!$E$165)</f>
        <v/>
      </c>
      <c r="AJ162">
        <f>IF([2]Entry!$S$165="","",[2]Entry!$S$165)</f>
        <v/>
      </c>
      <c r="AK162">
        <f>IF([2]Entry!$C$165="","",[2]Entry!$C$165)</f>
        <v/>
      </c>
      <c r="AL162">
        <f>IF([2]Entry!$D$165="","",[2]Entry!$D$165)</f>
        <v/>
      </c>
      <c r="AM162">
        <f>IF(AND($F162&lt;&gt;"",$I162&lt;&gt;""),IF($G162="دارایی ثابت",1,0),0)</f>
        <v/>
      </c>
      <c r="AN162">
        <f>SUM($AM$6:$AM162)</f>
        <v/>
      </c>
      <c r="AO162">
        <f>IFERROR(INDEX($F$6:$F$565,MATCH(ROW()-5,$AN$6:$AN$565,0)),"")</f>
        <v/>
      </c>
      <c r="AP162">
        <f>IF(AND($F162&lt;&gt;"",$I162&lt;&gt;""),IF($G162="وام و تسهیلات",1,0),0)</f>
        <v/>
      </c>
      <c r="AQ162">
        <f>SUM($AP$6:$AP162)</f>
        <v/>
      </c>
      <c r="AR162">
        <f>IFERROR(INDEX($F$6:$F$565,MATCH(ROW()-5,$AQ$6:$AQ$565,0)),"")</f>
        <v/>
      </c>
      <c r="AS162">
        <f>IF(AND($F162&lt;&gt;"",$I162&lt;&gt;""),IF($G162="سرمایه و آورده صاحبان",1,0),0)</f>
        <v/>
      </c>
      <c r="AT162">
        <f>SUM($AS$6:$AS162)</f>
        <v/>
      </c>
      <c r="AU162">
        <f>IFERROR(INDEX($F$6:$F$565,MATCH(ROW()-5,$AT$6:$AT$565,0)),"")</f>
        <v/>
      </c>
      <c r="AW162">
        <f>IF([3]Issues!$C$165="","",[3]Issues!$C$165)</f>
        <v/>
      </c>
      <c r="AX162">
        <f>IF([4]Entry!$E$165="","",[4]Entry!$E$165)</f>
        <v/>
      </c>
      <c r="AY162">
        <f>IF([4]Entry!$H$165="","",[4]Entry!$H$165)</f>
        <v/>
      </c>
      <c r="AZ162">
        <f>IF([4]Entry!$I$165="","",[4]Entry!$I$165)</f>
        <v/>
      </c>
    </row>
    <row r="163">
      <c r="F163">
        <f>IF([1]Accounts!$D$164="","",[1]Accounts!$A$164)</f>
        <v/>
      </c>
      <c r="G163">
        <f>IF([1]Accounts!$D$164="","",[1]Accounts!$B$164)</f>
        <v/>
      </c>
      <c r="H163">
        <f>IF([1]Accounts!$D$164="","",[1]Accounts!$C$164)</f>
        <v/>
      </c>
      <c r="I163">
        <f>IF([1]Accounts!$D$164="","",[1]Accounts!$D$164)</f>
        <v/>
      </c>
      <c r="R163">
        <f>IF(AND($F163&lt;&gt;"",$I163&lt;&gt;""),IF(OR($G163="دارایی ثابت",$G163="وام و تسهیلات",$G163="سرمایه و آورده صاحبان"),0,1),0)</f>
        <v/>
      </c>
      <c r="S163">
        <f>SUM($R$6:$R163)</f>
        <v/>
      </c>
      <c r="T163">
        <f>IFERROR(INDEX($F$6:$F$565,MATCH(ROW()-5,$S$6:$S$565,0)),"")</f>
        <v/>
      </c>
      <c r="Z163">
        <f>IF([2]Entry!$E$166="","",[2]Entry!$E$166)</f>
        <v/>
      </c>
      <c r="AA163">
        <f>IF([2]Entry!$G$166="","",[2]Entry!$G$166)</f>
        <v/>
      </c>
      <c r="AB163">
        <f>IF([2]Entry!$J$166="","",[2]Entry!$J$166)</f>
        <v/>
      </c>
      <c r="AC163">
        <f>IF([2]Entry!$K$166="","",[2]Entry!$K$166)</f>
        <v/>
      </c>
      <c r="AD163">
        <f>IF([2]Entry!$L$166="","",[2]Entry!$L$166)</f>
        <v/>
      </c>
      <c r="AE163">
        <f>IF([2]Entry!$M$166="","",[2]Entry!$M$166)</f>
        <v/>
      </c>
      <c r="AF163">
        <f>IF([2]Entry!$N$166="","",[2]Entry!$N$166)</f>
        <v/>
      </c>
      <c r="AG163">
        <f>IF([3]Issues!$B$166="","",[3]Issues!$B$166)</f>
        <v/>
      </c>
      <c r="AH163">
        <f>IF([3]Issues!$D$166="","",[3]Issues!$D$166)</f>
        <v/>
      </c>
      <c r="AI163">
        <f>IF([3]Issues!$E$166="","",[3]Issues!$E$166)</f>
        <v/>
      </c>
      <c r="AJ163">
        <f>IF([2]Entry!$S$166="","",[2]Entry!$S$166)</f>
        <v/>
      </c>
      <c r="AK163">
        <f>IF([2]Entry!$C$166="","",[2]Entry!$C$166)</f>
        <v/>
      </c>
      <c r="AL163">
        <f>IF([2]Entry!$D$166="","",[2]Entry!$D$166)</f>
        <v/>
      </c>
      <c r="AM163">
        <f>IF(AND($F163&lt;&gt;"",$I163&lt;&gt;""),IF($G163="دارایی ثابت",1,0),0)</f>
        <v/>
      </c>
      <c r="AN163">
        <f>SUM($AM$6:$AM163)</f>
        <v/>
      </c>
      <c r="AO163">
        <f>IFERROR(INDEX($F$6:$F$565,MATCH(ROW()-5,$AN$6:$AN$565,0)),"")</f>
        <v/>
      </c>
      <c r="AP163">
        <f>IF(AND($F163&lt;&gt;"",$I163&lt;&gt;""),IF($G163="وام و تسهیلات",1,0),0)</f>
        <v/>
      </c>
      <c r="AQ163">
        <f>SUM($AP$6:$AP163)</f>
        <v/>
      </c>
      <c r="AR163">
        <f>IFERROR(INDEX($F$6:$F$565,MATCH(ROW()-5,$AQ$6:$AQ$565,0)),"")</f>
        <v/>
      </c>
      <c r="AS163">
        <f>IF(AND($F163&lt;&gt;"",$I163&lt;&gt;""),IF($G163="سرمایه و آورده صاحبان",1,0),0)</f>
        <v/>
      </c>
      <c r="AT163">
        <f>SUM($AS$6:$AS163)</f>
        <v/>
      </c>
      <c r="AU163">
        <f>IFERROR(INDEX($F$6:$F$565,MATCH(ROW()-5,$AT$6:$AT$565,0)),"")</f>
        <v/>
      </c>
      <c r="AW163">
        <f>IF([3]Issues!$C$166="","",[3]Issues!$C$166)</f>
        <v/>
      </c>
      <c r="AX163">
        <f>IF([4]Entry!$E$166="","",[4]Entry!$E$166)</f>
        <v/>
      </c>
      <c r="AY163">
        <f>IF([4]Entry!$H$166="","",[4]Entry!$H$166)</f>
        <v/>
      </c>
      <c r="AZ163">
        <f>IF([4]Entry!$I$166="","",[4]Entry!$I$166)</f>
        <v/>
      </c>
    </row>
    <row r="164">
      <c r="F164">
        <f>IF([1]Accounts!$D$165="","",[1]Accounts!$A$165)</f>
        <v/>
      </c>
      <c r="G164">
        <f>IF([1]Accounts!$D$165="","",[1]Accounts!$B$165)</f>
        <v/>
      </c>
      <c r="H164">
        <f>IF([1]Accounts!$D$165="","",[1]Accounts!$C$165)</f>
        <v/>
      </c>
      <c r="I164">
        <f>IF([1]Accounts!$D$165="","",[1]Accounts!$D$165)</f>
        <v/>
      </c>
      <c r="R164">
        <f>IF(AND($F164&lt;&gt;"",$I164&lt;&gt;""),IF(OR($G164="دارایی ثابت",$G164="وام و تسهیلات",$G164="سرمایه و آورده صاحبان"),0,1),0)</f>
        <v/>
      </c>
      <c r="S164">
        <f>SUM($R$6:$R164)</f>
        <v/>
      </c>
      <c r="T164">
        <f>IFERROR(INDEX($F$6:$F$565,MATCH(ROW()-5,$S$6:$S$565,0)),"")</f>
        <v/>
      </c>
      <c r="Z164">
        <f>IF([2]Entry!$E$167="","",[2]Entry!$E$167)</f>
        <v/>
      </c>
      <c r="AA164">
        <f>IF([2]Entry!$G$167="","",[2]Entry!$G$167)</f>
        <v/>
      </c>
      <c r="AB164">
        <f>IF([2]Entry!$J$167="","",[2]Entry!$J$167)</f>
        <v/>
      </c>
      <c r="AC164">
        <f>IF([2]Entry!$K$167="","",[2]Entry!$K$167)</f>
        <v/>
      </c>
      <c r="AD164">
        <f>IF([2]Entry!$L$167="","",[2]Entry!$L$167)</f>
        <v/>
      </c>
      <c r="AE164">
        <f>IF([2]Entry!$M$167="","",[2]Entry!$M$167)</f>
        <v/>
      </c>
      <c r="AF164">
        <f>IF([2]Entry!$N$167="","",[2]Entry!$N$167)</f>
        <v/>
      </c>
      <c r="AG164">
        <f>IF([3]Issues!$B$167="","",[3]Issues!$B$167)</f>
        <v/>
      </c>
      <c r="AH164">
        <f>IF([3]Issues!$D$167="","",[3]Issues!$D$167)</f>
        <v/>
      </c>
      <c r="AI164">
        <f>IF([3]Issues!$E$167="","",[3]Issues!$E$167)</f>
        <v/>
      </c>
      <c r="AJ164">
        <f>IF([2]Entry!$S$167="","",[2]Entry!$S$167)</f>
        <v/>
      </c>
      <c r="AK164">
        <f>IF([2]Entry!$C$167="","",[2]Entry!$C$167)</f>
        <v/>
      </c>
      <c r="AL164">
        <f>IF([2]Entry!$D$167="","",[2]Entry!$D$167)</f>
        <v/>
      </c>
      <c r="AM164">
        <f>IF(AND($F164&lt;&gt;"",$I164&lt;&gt;""),IF($G164="دارایی ثابت",1,0),0)</f>
        <v/>
      </c>
      <c r="AN164">
        <f>SUM($AM$6:$AM164)</f>
        <v/>
      </c>
      <c r="AO164">
        <f>IFERROR(INDEX($F$6:$F$565,MATCH(ROW()-5,$AN$6:$AN$565,0)),"")</f>
        <v/>
      </c>
      <c r="AP164">
        <f>IF(AND($F164&lt;&gt;"",$I164&lt;&gt;""),IF($G164="وام و تسهیلات",1,0),0)</f>
        <v/>
      </c>
      <c r="AQ164">
        <f>SUM($AP$6:$AP164)</f>
        <v/>
      </c>
      <c r="AR164">
        <f>IFERROR(INDEX($F$6:$F$565,MATCH(ROW()-5,$AQ$6:$AQ$565,0)),"")</f>
        <v/>
      </c>
      <c r="AS164">
        <f>IF(AND($F164&lt;&gt;"",$I164&lt;&gt;""),IF($G164="سرمایه و آورده صاحبان",1,0),0)</f>
        <v/>
      </c>
      <c r="AT164">
        <f>SUM($AS$6:$AS164)</f>
        <v/>
      </c>
      <c r="AU164">
        <f>IFERROR(INDEX($F$6:$F$565,MATCH(ROW()-5,$AT$6:$AT$565,0)),"")</f>
        <v/>
      </c>
      <c r="AW164">
        <f>IF([3]Issues!$C$167="","",[3]Issues!$C$167)</f>
        <v/>
      </c>
      <c r="AX164">
        <f>IF([4]Entry!$E$167="","",[4]Entry!$E$167)</f>
        <v/>
      </c>
      <c r="AY164">
        <f>IF([4]Entry!$H$167="","",[4]Entry!$H$167)</f>
        <v/>
      </c>
      <c r="AZ164">
        <f>IF([4]Entry!$I$167="","",[4]Entry!$I$167)</f>
        <v/>
      </c>
    </row>
    <row r="165">
      <c r="F165">
        <f>IF([1]Accounts!$D$166="","",[1]Accounts!$A$166)</f>
        <v/>
      </c>
      <c r="G165">
        <f>IF([1]Accounts!$D$166="","",[1]Accounts!$B$166)</f>
        <v/>
      </c>
      <c r="H165">
        <f>IF([1]Accounts!$D$166="","",[1]Accounts!$C$166)</f>
        <v/>
      </c>
      <c r="I165">
        <f>IF([1]Accounts!$D$166="","",[1]Accounts!$D$166)</f>
        <v/>
      </c>
      <c r="R165">
        <f>IF(AND($F165&lt;&gt;"",$I165&lt;&gt;""),IF(OR($G165="دارایی ثابت",$G165="وام و تسهیلات",$G165="سرمایه و آورده صاحبان"),0,1),0)</f>
        <v/>
      </c>
      <c r="S165">
        <f>SUM($R$6:$R165)</f>
        <v/>
      </c>
      <c r="T165">
        <f>IFERROR(INDEX($F$6:$F$565,MATCH(ROW()-5,$S$6:$S$565,0)),"")</f>
        <v/>
      </c>
      <c r="Z165">
        <f>IF([2]Entry!$E$168="","",[2]Entry!$E$168)</f>
        <v/>
      </c>
      <c r="AA165">
        <f>IF([2]Entry!$G$168="","",[2]Entry!$G$168)</f>
        <v/>
      </c>
      <c r="AB165">
        <f>IF([2]Entry!$J$168="","",[2]Entry!$J$168)</f>
        <v/>
      </c>
      <c r="AC165">
        <f>IF([2]Entry!$K$168="","",[2]Entry!$K$168)</f>
        <v/>
      </c>
      <c r="AD165">
        <f>IF([2]Entry!$L$168="","",[2]Entry!$L$168)</f>
        <v/>
      </c>
      <c r="AE165">
        <f>IF([2]Entry!$M$168="","",[2]Entry!$M$168)</f>
        <v/>
      </c>
      <c r="AF165">
        <f>IF([2]Entry!$N$168="","",[2]Entry!$N$168)</f>
        <v/>
      </c>
      <c r="AG165">
        <f>IF([3]Issues!$B$168="","",[3]Issues!$B$168)</f>
        <v/>
      </c>
      <c r="AH165">
        <f>IF([3]Issues!$D$168="","",[3]Issues!$D$168)</f>
        <v/>
      </c>
      <c r="AI165">
        <f>IF([3]Issues!$E$168="","",[3]Issues!$E$168)</f>
        <v/>
      </c>
      <c r="AJ165">
        <f>IF([2]Entry!$S$168="","",[2]Entry!$S$168)</f>
        <v/>
      </c>
      <c r="AK165">
        <f>IF([2]Entry!$C$168="","",[2]Entry!$C$168)</f>
        <v/>
      </c>
      <c r="AL165">
        <f>IF([2]Entry!$D$168="","",[2]Entry!$D$168)</f>
        <v/>
      </c>
      <c r="AM165">
        <f>IF(AND($F165&lt;&gt;"",$I165&lt;&gt;""),IF($G165="دارایی ثابت",1,0),0)</f>
        <v/>
      </c>
      <c r="AN165">
        <f>SUM($AM$6:$AM165)</f>
        <v/>
      </c>
      <c r="AO165">
        <f>IFERROR(INDEX($F$6:$F$565,MATCH(ROW()-5,$AN$6:$AN$565,0)),"")</f>
        <v/>
      </c>
      <c r="AP165">
        <f>IF(AND($F165&lt;&gt;"",$I165&lt;&gt;""),IF($G165="وام و تسهیلات",1,0),0)</f>
        <v/>
      </c>
      <c r="AQ165">
        <f>SUM($AP$6:$AP165)</f>
        <v/>
      </c>
      <c r="AR165">
        <f>IFERROR(INDEX($F$6:$F$565,MATCH(ROW()-5,$AQ$6:$AQ$565,0)),"")</f>
        <v/>
      </c>
      <c r="AS165">
        <f>IF(AND($F165&lt;&gt;"",$I165&lt;&gt;""),IF($G165="سرمایه و آورده صاحبان",1,0),0)</f>
        <v/>
      </c>
      <c r="AT165">
        <f>SUM($AS$6:$AS165)</f>
        <v/>
      </c>
      <c r="AU165">
        <f>IFERROR(INDEX($F$6:$F$565,MATCH(ROW()-5,$AT$6:$AT$565,0)),"")</f>
        <v/>
      </c>
      <c r="AW165">
        <f>IF([3]Issues!$C$168="","",[3]Issues!$C$168)</f>
        <v/>
      </c>
      <c r="AX165">
        <f>IF([4]Entry!$E$168="","",[4]Entry!$E$168)</f>
        <v/>
      </c>
      <c r="AY165">
        <f>IF([4]Entry!$H$168="","",[4]Entry!$H$168)</f>
        <v/>
      </c>
      <c r="AZ165">
        <f>IF([4]Entry!$I$168="","",[4]Entry!$I$168)</f>
        <v/>
      </c>
    </row>
    <row r="166">
      <c r="F166">
        <f>IF([1]Accounts!$D$167="","",[1]Accounts!$A$167)</f>
        <v/>
      </c>
      <c r="G166">
        <f>IF([1]Accounts!$D$167="","",[1]Accounts!$B$167)</f>
        <v/>
      </c>
      <c r="H166">
        <f>IF([1]Accounts!$D$167="","",[1]Accounts!$C$167)</f>
        <v/>
      </c>
      <c r="I166">
        <f>IF([1]Accounts!$D$167="","",[1]Accounts!$D$167)</f>
        <v/>
      </c>
      <c r="R166">
        <f>IF(AND($F166&lt;&gt;"",$I166&lt;&gt;""),IF(OR($G166="دارایی ثابت",$G166="وام و تسهیلات",$G166="سرمایه و آورده صاحبان"),0,1),0)</f>
        <v/>
      </c>
      <c r="S166">
        <f>SUM($R$6:$R166)</f>
        <v/>
      </c>
      <c r="T166">
        <f>IFERROR(INDEX($F$6:$F$565,MATCH(ROW()-5,$S$6:$S$565,0)),"")</f>
        <v/>
      </c>
      <c r="Z166">
        <f>IF([2]Entry!$E$169="","",[2]Entry!$E$169)</f>
        <v/>
      </c>
      <c r="AA166">
        <f>IF([2]Entry!$G$169="","",[2]Entry!$G$169)</f>
        <v/>
      </c>
      <c r="AB166">
        <f>IF([2]Entry!$J$169="","",[2]Entry!$J$169)</f>
        <v/>
      </c>
      <c r="AC166">
        <f>IF([2]Entry!$K$169="","",[2]Entry!$K$169)</f>
        <v/>
      </c>
      <c r="AD166">
        <f>IF([2]Entry!$L$169="","",[2]Entry!$L$169)</f>
        <v/>
      </c>
      <c r="AE166">
        <f>IF([2]Entry!$M$169="","",[2]Entry!$M$169)</f>
        <v/>
      </c>
      <c r="AF166">
        <f>IF([2]Entry!$N$169="","",[2]Entry!$N$169)</f>
        <v/>
      </c>
      <c r="AG166">
        <f>IF([3]Issues!$B$169="","",[3]Issues!$B$169)</f>
        <v/>
      </c>
      <c r="AH166">
        <f>IF([3]Issues!$D$169="","",[3]Issues!$D$169)</f>
        <v/>
      </c>
      <c r="AI166">
        <f>IF([3]Issues!$E$169="","",[3]Issues!$E$169)</f>
        <v/>
      </c>
      <c r="AJ166">
        <f>IF([2]Entry!$S$169="","",[2]Entry!$S$169)</f>
        <v/>
      </c>
      <c r="AK166">
        <f>IF([2]Entry!$C$169="","",[2]Entry!$C$169)</f>
        <v/>
      </c>
      <c r="AL166">
        <f>IF([2]Entry!$D$169="","",[2]Entry!$D$169)</f>
        <v/>
      </c>
      <c r="AM166">
        <f>IF(AND($F166&lt;&gt;"",$I166&lt;&gt;""),IF($G166="دارایی ثابت",1,0),0)</f>
        <v/>
      </c>
      <c r="AN166">
        <f>SUM($AM$6:$AM166)</f>
        <v/>
      </c>
      <c r="AO166">
        <f>IFERROR(INDEX($F$6:$F$565,MATCH(ROW()-5,$AN$6:$AN$565,0)),"")</f>
        <v/>
      </c>
      <c r="AP166">
        <f>IF(AND($F166&lt;&gt;"",$I166&lt;&gt;""),IF($G166="وام و تسهیلات",1,0),0)</f>
        <v/>
      </c>
      <c r="AQ166">
        <f>SUM($AP$6:$AP166)</f>
        <v/>
      </c>
      <c r="AR166">
        <f>IFERROR(INDEX($F$6:$F$565,MATCH(ROW()-5,$AQ$6:$AQ$565,0)),"")</f>
        <v/>
      </c>
      <c r="AS166">
        <f>IF(AND($F166&lt;&gt;"",$I166&lt;&gt;""),IF($G166="سرمایه و آورده صاحبان",1,0),0)</f>
        <v/>
      </c>
      <c r="AT166">
        <f>SUM($AS$6:$AS166)</f>
        <v/>
      </c>
      <c r="AU166">
        <f>IFERROR(INDEX($F$6:$F$565,MATCH(ROW()-5,$AT$6:$AT$565,0)),"")</f>
        <v/>
      </c>
      <c r="AW166">
        <f>IF([3]Issues!$C$169="","",[3]Issues!$C$169)</f>
        <v/>
      </c>
      <c r="AX166">
        <f>IF([4]Entry!$E$169="","",[4]Entry!$E$169)</f>
        <v/>
      </c>
      <c r="AY166">
        <f>IF([4]Entry!$H$169="","",[4]Entry!$H$169)</f>
        <v/>
      </c>
      <c r="AZ166">
        <f>IF([4]Entry!$I$169="","",[4]Entry!$I$169)</f>
        <v/>
      </c>
    </row>
    <row r="167">
      <c r="F167">
        <f>IF([1]Accounts!$D$168="","",[1]Accounts!$A$168)</f>
        <v/>
      </c>
      <c r="G167">
        <f>IF([1]Accounts!$D$168="","",[1]Accounts!$B$168)</f>
        <v/>
      </c>
      <c r="H167">
        <f>IF([1]Accounts!$D$168="","",[1]Accounts!$C$168)</f>
        <v/>
      </c>
      <c r="I167">
        <f>IF([1]Accounts!$D$168="","",[1]Accounts!$D$168)</f>
        <v/>
      </c>
      <c r="R167">
        <f>IF(AND($F167&lt;&gt;"",$I167&lt;&gt;""),IF(OR($G167="دارایی ثابت",$G167="وام و تسهیلات",$G167="سرمایه و آورده صاحبان"),0,1),0)</f>
        <v/>
      </c>
      <c r="S167">
        <f>SUM($R$6:$R167)</f>
        <v/>
      </c>
      <c r="T167">
        <f>IFERROR(INDEX($F$6:$F$565,MATCH(ROW()-5,$S$6:$S$565,0)),"")</f>
        <v/>
      </c>
      <c r="Z167">
        <f>IF([2]Entry!$E$170="","",[2]Entry!$E$170)</f>
        <v/>
      </c>
      <c r="AA167">
        <f>IF([2]Entry!$G$170="","",[2]Entry!$G$170)</f>
        <v/>
      </c>
      <c r="AB167">
        <f>IF([2]Entry!$J$170="","",[2]Entry!$J$170)</f>
        <v/>
      </c>
      <c r="AC167">
        <f>IF([2]Entry!$K$170="","",[2]Entry!$K$170)</f>
        <v/>
      </c>
      <c r="AD167">
        <f>IF([2]Entry!$L$170="","",[2]Entry!$L$170)</f>
        <v/>
      </c>
      <c r="AE167">
        <f>IF([2]Entry!$M$170="","",[2]Entry!$M$170)</f>
        <v/>
      </c>
      <c r="AF167">
        <f>IF([2]Entry!$N$170="","",[2]Entry!$N$170)</f>
        <v/>
      </c>
      <c r="AG167">
        <f>IF([3]Issues!$B$170="","",[3]Issues!$B$170)</f>
        <v/>
      </c>
      <c r="AH167">
        <f>IF([3]Issues!$D$170="","",[3]Issues!$D$170)</f>
        <v/>
      </c>
      <c r="AI167">
        <f>IF([3]Issues!$E$170="","",[3]Issues!$E$170)</f>
        <v/>
      </c>
      <c r="AJ167">
        <f>IF([2]Entry!$S$170="","",[2]Entry!$S$170)</f>
        <v/>
      </c>
      <c r="AK167">
        <f>IF([2]Entry!$C$170="","",[2]Entry!$C$170)</f>
        <v/>
      </c>
      <c r="AL167">
        <f>IF([2]Entry!$D$170="","",[2]Entry!$D$170)</f>
        <v/>
      </c>
      <c r="AM167">
        <f>IF(AND($F167&lt;&gt;"",$I167&lt;&gt;""),IF($G167="دارایی ثابت",1,0),0)</f>
        <v/>
      </c>
      <c r="AN167">
        <f>SUM($AM$6:$AM167)</f>
        <v/>
      </c>
      <c r="AO167">
        <f>IFERROR(INDEX($F$6:$F$565,MATCH(ROW()-5,$AN$6:$AN$565,0)),"")</f>
        <v/>
      </c>
      <c r="AP167">
        <f>IF(AND($F167&lt;&gt;"",$I167&lt;&gt;""),IF($G167="وام و تسهیلات",1,0),0)</f>
        <v/>
      </c>
      <c r="AQ167">
        <f>SUM($AP$6:$AP167)</f>
        <v/>
      </c>
      <c r="AR167">
        <f>IFERROR(INDEX($F$6:$F$565,MATCH(ROW()-5,$AQ$6:$AQ$565,0)),"")</f>
        <v/>
      </c>
      <c r="AS167">
        <f>IF(AND($F167&lt;&gt;"",$I167&lt;&gt;""),IF($G167="سرمایه و آورده صاحبان",1,0),0)</f>
        <v/>
      </c>
      <c r="AT167">
        <f>SUM($AS$6:$AS167)</f>
        <v/>
      </c>
      <c r="AU167">
        <f>IFERROR(INDEX($F$6:$F$565,MATCH(ROW()-5,$AT$6:$AT$565,0)),"")</f>
        <v/>
      </c>
      <c r="AW167">
        <f>IF([3]Issues!$C$170="","",[3]Issues!$C$170)</f>
        <v/>
      </c>
      <c r="AX167">
        <f>IF([4]Entry!$E$170="","",[4]Entry!$E$170)</f>
        <v/>
      </c>
      <c r="AY167">
        <f>IF([4]Entry!$H$170="","",[4]Entry!$H$170)</f>
        <v/>
      </c>
      <c r="AZ167">
        <f>IF([4]Entry!$I$170="","",[4]Entry!$I$170)</f>
        <v/>
      </c>
    </row>
    <row r="168">
      <c r="F168">
        <f>IF([1]Accounts!$D$169="","",[1]Accounts!$A$169)</f>
        <v/>
      </c>
      <c r="G168">
        <f>IF([1]Accounts!$D$169="","",[1]Accounts!$B$169)</f>
        <v/>
      </c>
      <c r="H168">
        <f>IF([1]Accounts!$D$169="","",[1]Accounts!$C$169)</f>
        <v/>
      </c>
      <c r="I168">
        <f>IF([1]Accounts!$D$169="","",[1]Accounts!$D$169)</f>
        <v/>
      </c>
      <c r="R168">
        <f>IF(AND($F168&lt;&gt;"",$I168&lt;&gt;""),IF(OR($G168="دارایی ثابت",$G168="وام و تسهیلات",$G168="سرمایه و آورده صاحبان"),0,1),0)</f>
        <v/>
      </c>
      <c r="S168">
        <f>SUM($R$6:$R168)</f>
        <v/>
      </c>
      <c r="T168">
        <f>IFERROR(INDEX($F$6:$F$565,MATCH(ROW()-5,$S$6:$S$565,0)),"")</f>
        <v/>
      </c>
      <c r="Z168">
        <f>IF([2]Entry!$E$171="","",[2]Entry!$E$171)</f>
        <v/>
      </c>
      <c r="AA168">
        <f>IF([2]Entry!$G$171="","",[2]Entry!$G$171)</f>
        <v/>
      </c>
      <c r="AB168">
        <f>IF([2]Entry!$J$171="","",[2]Entry!$J$171)</f>
        <v/>
      </c>
      <c r="AC168">
        <f>IF([2]Entry!$K$171="","",[2]Entry!$K$171)</f>
        <v/>
      </c>
      <c r="AD168">
        <f>IF([2]Entry!$L$171="","",[2]Entry!$L$171)</f>
        <v/>
      </c>
      <c r="AE168">
        <f>IF([2]Entry!$M$171="","",[2]Entry!$M$171)</f>
        <v/>
      </c>
      <c r="AF168">
        <f>IF([2]Entry!$N$171="","",[2]Entry!$N$171)</f>
        <v/>
      </c>
      <c r="AG168">
        <f>IF([3]Issues!$B$171="","",[3]Issues!$B$171)</f>
        <v/>
      </c>
      <c r="AH168">
        <f>IF([3]Issues!$D$171="","",[3]Issues!$D$171)</f>
        <v/>
      </c>
      <c r="AI168">
        <f>IF([3]Issues!$E$171="","",[3]Issues!$E$171)</f>
        <v/>
      </c>
      <c r="AJ168">
        <f>IF([2]Entry!$S$171="","",[2]Entry!$S$171)</f>
        <v/>
      </c>
      <c r="AK168">
        <f>IF([2]Entry!$C$171="","",[2]Entry!$C$171)</f>
        <v/>
      </c>
      <c r="AL168">
        <f>IF([2]Entry!$D$171="","",[2]Entry!$D$171)</f>
        <v/>
      </c>
      <c r="AM168">
        <f>IF(AND($F168&lt;&gt;"",$I168&lt;&gt;""),IF($G168="دارایی ثابت",1,0),0)</f>
        <v/>
      </c>
      <c r="AN168">
        <f>SUM($AM$6:$AM168)</f>
        <v/>
      </c>
      <c r="AO168">
        <f>IFERROR(INDEX($F$6:$F$565,MATCH(ROW()-5,$AN$6:$AN$565,0)),"")</f>
        <v/>
      </c>
      <c r="AP168">
        <f>IF(AND($F168&lt;&gt;"",$I168&lt;&gt;""),IF($G168="وام و تسهیلات",1,0),0)</f>
        <v/>
      </c>
      <c r="AQ168">
        <f>SUM($AP$6:$AP168)</f>
        <v/>
      </c>
      <c r="AR168">
        <f>IFERROR(INDEX($F$6:$F$565,MATCH(ROW()-5,$AQ$6:$AQ$565,0)),"")</f>
        <v/>
      </c>
      <c r="AS168">
        <f>IF(AND($F168&lt;&gt;"",$I168&lt;&gt;""),IF($G168="سرمایه و آورده صاحبان",1,0),0)</f>
        <v/>
      </c>
      <c r="AT168">
        <f>SUM($AS$6:$AS168)</f>
        <v/>
      </c>
      <c r="AU168">
        <f>IFERROR(INDEX($F$6:$F$565,MATCH(ROW()-5,$AT$6:$AT$565,0)),"")</f>
        <v/>
      </c>
      <c r="AW168">
        <f>IF([3]Issues!$C$171="","",[3]Issues!$C$171)</f>
        <v/>
      </c>
      <c r="AX168">
        <f>IF([4]Entry!$E$171="","",[4]Entry!$E$171)</f>
        <v/>
      </c>
      <c r="AY168">
        <f>IF([4]Entry!$H$171="","",[4]Entry!$H$171)</f>
        <v/>
      </c>
      <c r="AZ168">
        <f>IF([4]Entry!$I$171="","",[4]Entry!$I$171)</f>
        <v/>
      </c>
    </row>
    <row r="169">
      <c r="F169">
        <f>IF([1]Accounts!$D$170="","",[1]Accounts!$A$170)</f>
        <v/>
      </c>
      <c r="G169">
        <f>IF([1]Accounts!$D$170="","",[1]Accounts!$B$170)</f>
        <v/>
      </c>
      <c r="H169">
        <f>IF([1]Accounts!$D$170="","",[1]Accounts!$C$170)</f>
        <v/>
      </c>
      <c r="I169">
        <f>IF([1]Accounts!$D$170="","",[1]Accounts!$D$170)</f>
        <v/>
      </c>
      <c r="R169">
        <f>IF(AND($F169&lt;&gt;"",$I169&lt;&gt;""),IF(OR($G169="دارایی ثابت",$G169="وام و تسهیلات",$G169="سرمایه و آورده صاحبان"),0,1),0)</f>
        <v/>
      </c>
      <c r="S169">
        <f>SUM($R$6:$R169)</f>
        <v/>
      </c>
      <c r="T169">
        <f>IFERROR(INDEX($F$6:$F$565,MATCH(ROW()-5,$S$6:$S$565,0)),"")</f>
        <v/>
      </c>
      <c r="Z169">
        <f>IF([2]Entry!$E$172="","",[2]Entry!$E$172)</f>
        <v/>
      </c>
      <c r="AA169">
        <f>IF([2]Entry!$G$172="","",[2]Entry!$G$172)</f>
        <v/>
      </c>
      <c r="AB169">
        <f>IF([2]Entry!$J$172="","",[2]Entry!$J$172)</f>
        <v/>
      </c>
      <c r="AC169">
        <f>IF([2]Entry!$K$172="","",[2]Entry!$K$172)</f>
        <v/>
      </c>
      <c r="AD169">
        <f>IF([2]Entry!$L$172="","",[2]Entry!$L$172)</f>
        <v/>
      </c>
      <c r="AE169">
        <f>IF([2]Entry!$M$172="","",[2]Entry!$M$172)</f>
        <v/>
      </c>
      <c r="AF169">
        <f>IF([2]Entry!$N$172="","",[2]Entry!$N$172)</f>
        <v/>
      </c>
      <c r="AG169">
        <f>IF([3]Issues!$B$172="","",[3]Issues!$B$172)</f>
        <v/>
      </c>
      <c r="AH169">
        <f>IF([3]Issues!$D$172="","",[3]Issues!$D$172)</f>
        <v/>
      </c>
      <c r="AI169">
        <f>IF([3]Issues!$E$172="","",[3]Issues!$E$172)</f>
        <v/>
      </c>
      <c r="AJ169">
        <f>IF([2]Entry!$S$172="","",[2]Entry!$S$172)</f>
        <v/>
      </c>
      <c r="AK169">
        <f>IF([2]Entry!$C$172="","",[2]Entry!$C$172)</f>
        <v/>
      </c>
      <c r="AL169">
        <f>IF([2]Entry!$D$172="","",[2]Entry!$D$172)</f>
        <v/>
      </c>
      <c r="AM169">
        <f>IF(AND($F169&lt;&gt;"",$I169&lt;&gt;""),IF($G169="دارایی ثابت",1,0),0)</f>
        <v/>
      </c>
      <c r="AN169">
        <f>SUM($AM$6:$AM169)</f>
        <v/>
      </c>
      <c r="AO169">
        <f>IFERROR(INDEX($F$6:$F$565,MATCH(ROW()-5,$AN$6:$AN$565,0)),"")</f>
        <v/>
      </c>
      <c r="AP169">
        <f>IF(AND($F169&lt;&gt;"",$I169&lt;&gt;""),IF($G169="وام و تسهیلات",1,0),0)</f>
        <v/>
      </c>
      <c r="AQ169">
        <f>SUM($AP$6:$AP169)</f>
        <v/>
      </c>
      <c r="AR169">
        <f>IFERROR(INDEX($F$6:$F$565,MATCH(ROW()-5,$AQ$6:$AQ$565,0)),"")</f>
        <v/>
      </c>
      <c r="AS169">
        <f>IF(AND($F169&lt;&gt;"",$I169&lt;&gt;""),IF($G169="سرمایه و آورده صاحبان",1,0),0)</f>
        <v/>
      </c>
      <c r="AT169">
        <f>SUM($AS$6:$AS169)</f>
        <v/>
      </c>
      <c r="AU169">
        <f>IFERROR(INDEX($F$6:$F$565,MATCH(ROW()-5,$AT$6:$AT$565,0)),"")</f>
        <v/>
      </c>
      <c r="AW169">
        <f>IF([3]Issues!$C$172="","",[3]Issues!$C$172)</f>
        <v/>
      </c>
      <c r="AX169">
        <f>IF([4]Entry!$E$172="","",[4]Entry!$E$172)</f>
        <v/>
      </c>
      <c r="AY169">
        <f>IF([4]Entry!$H$172="","",[4]Entry!$H$172)</f>
        <v/>
      </c>
      <c r="AZ169">
        <f>IF([4]Entry!$I$172="","",[4]Entry!$I$172)</f>
        <v/>
      </c>
    </row>
    <row r="170">
      <c r="F170">
        <f>IF([1]Accounts!$D$171="","",[1]Accounts!$A$171)</f>
        <v/>
      </c>
      <c r="G170">
        <f>IF([1]Accounts!$D$171="","",[1]Accounts!$B$171)</f>
        <v/>
      </c>
      <c r="H170">
        <f>IF([1]Accounts!$D$171="","",[1]Accounts!$C$171)</f>
        <v/>
      </c>
      <c r="I170">
        <f>IF([1]Accounts!$D$171="","",[1]Accounts!$D$171)</f>
        <v/>
      </c>
      <c r="R170">
        <f>IF(AND($F170&lt;&gt;"",$I170&lt;&gt;""),IF(OR($G170="دارایی ثابت",$G170="وام و تسهیلات",$G170="سرمایه و آورده صاحبان"),0,1),0)</f>
        <v/>
      </c>
      <c r="S170">
        <f>SUM($R$6:$R170)</f>
        <v/>
      </c>
      <c r="T170">
        <f>IFERROR(INDEX($F$6:$F$565,MATCH(ROW()-5,$S$6:$S$565,0)),"")</f>
        <v/>
      </c>
      <c r="Z170">
        <f>IF([2]Entry!$E$173="","",[2]Entry!$E$173)</f>
        <v/>
      </c>
      <c r="AA170">
        <f>IF([2]Entry!$G$173="","",[2]Entry!$G$173)</f>
        <v/>
      </c>
      <c r="AB170">
        <f>IF([2]Entry!$J$173="","",[2]Entry!$J$173)</f>
        <v/>
      </c>
      <c r="AC170">
        <f>IF([2]Entry!$K$173="","",[2]Entry!$K$173)</f>
        <v/>
      </c>
      <c r="AD170">
        <f>IF([2]Entry!$L$173="","",[2]Entry!$L$173)</f>
        <v/>
      </c>
      <c r="AE170">
        <f>IF([2]Entry!$M$173="","",[2]Entry!$M$173)</f>
        <v/>
      </c>
      <c r="AF170">
        <f>IF([2]Entry!$N$173="","",[2]Entry!$N$173)</f>
        <v/>
      </c>
      <c r="AG170">
        <f>IF([3]Issues!$B$173="","",[3]Issues!$B$173)</f>
        <v/>
      </c>
      <c r="AH170">
        <f>IF([3]Issues!$D$173="","",[3]Issues!$D$173)</f>
        <v/>
      </c>
      <c r="AI170">
        <f>IF([3]Issues!$E$173="","",[3]Issues!$E$173)</f>
        <v/>
      </c>
      <c r="AJ170">
        <f>IF([2]Entry!$S$173="","",[2]Entry!$S$173)</f>
        <v/>
      </c>
      <c r="AK170">
        <f>IF([2]Entry!$C$173="","",[2]Entry!$C$173)</f>
        <v/>
      </c>
      <c r="AL170">
        <f>IF([2]Entry!$D$173="","",[2]Entry!$D$173)</f>
        <v/>
      </c>
      <c r="AM170">
        <f>IF(AND($F170&lt;&gt;"",$I170&lt;&gt;""),IF($G170="دارایی ثابت",1,0),0)</f>
        <v/>
      </c>
      <c r="AN170">
        <f>SUM($AM$6:$AM170)</f>
        <v/>
      </c>
      <c r="AO170">
        <f>IFERROR(INDEX($F$6:$F$565,MATCH(ROW()-5,$AN$6:$AN$565,0)),"")</f>
        <v/>
      </c>
      <c r="AP170">
        <f>IF(AND($F170&lt;&gt;"",$I170&lt;&gt;""),IF($G170="وام و تسهیلات",1,0),0)</f>
        <v/>
      </c>
      <c r="AQ170">
        <f>SUM($AP$6:$AP170)</f>
        <v/>
      </c>
      <c r="AR170">
        <f>IFERROR(INDEX($F$6:$F$565,MATCH(ROW()-5,$AQ$6:$AQ$565,0)),"")</f>
        <v/>
      </c>
      <c r="AS170">
        <f>IF(AND($F170&lt;&gt;"",$I170&lt;&gt;""),IF($G170="سرمایه و آورده صاحبان",1,0),0)</f>
        <v/>
      </c>
      <c r="AT170">
        <f>SUM($AS$6:$AS170)</f>
        <v/>
      </c>
      <c r="AU170">
        <f>IFERROR(INDEX($F$6:$F$565,MATCH(ROW()-5,$AT$6:$AT$565,0)),"")</f>
        <v/>
      </c>
      <c r="AW170">
        <f>IF([3]Issues!$C$173="","",[3]Issues!$C$173)</f>
        <v/>
      </c>
      <c r="AX170">
        <f>IF([4]Entry!$E$173="","",[4]Entry!$E$173)</f>
        <v/>
      </c>
      <c r="AY170">
        <f>IF([4]Entry!$H$173="","",[4]Entry!$H$173)</f>
        <v/>
      </c>
      <c r="AZ170">
        <f>IF([4]Entry!$I$173="","",[4]Entry!$I$173)</f>
        <v/>
      </c>
    </row>
    <row r="171">
      <c r="F171">
        <f>IF([1]Accounts!$D$172="","",[1]Accounts!$A$172)</f>
        <v/>
      </c>
      <c r="G171">
        <f>IF([1]Accounts!$D$172="","",[1]Accounts!$B$172)</f>
        <v/>
      </c>
      <c r="H171">
        <f>IF([1]Accounts!$D$172="","",[1]Accounts!$C$172)</f>
        <v/>
      </c>
      <c r="I171">
        <f>IF([1]Accounts!$D$172="","",[1]Accounts!$D$172)</f>
        <v/>
      </c>
      <c r="R171">
        <f>IF(AND($F171&lt;&gt;"",$I171&lt;&gt;""),IF(OR($G171="دارایی ثابت",$G171="وام و تسهیلات",$G171="سرمایه و آورده صاحبان"),0,1),0)</f>
        <v/>
      </c>
      <c r="S171">
        <f>SUM($R$6:$R171)</f>
        <v/>
      </c>
      <c r="T171">
        <f>IFERROR(INDEX($F$6:$F$565,MATCH(ROW()-5,$S$6:$S$565,0)),"")</f>
        <v/>
      </c>
      <c r="Z171">
        <f>IF([2]Entry!$E$174="","",[2]Entry!$E$174)</f>
        <v/>
      </c>
      <c r="AA171">
        <f>IF([2]Entry!$G$174="","",[2]Entry!$G$174)</f>
        <v/>
      </c>
      <c r="AB171">
        <f>IF([2]Entry!$J$174="","",[2]Entry!$J$174)</f>
        <v/>
      </c>
      <c r="AC171">
        <f>IF([2]Entry!$K$174="","",[2]Entry!$K$174)</f>
        <v/>
      </c>
      <c r="AD171">
        <f>IF([2]Entry!$L$174="","",[2]Entry!$L$174)</f>
        <v/>
      </c>
      <c r="AE171">
        <f>IF([2]Entry!$M$174="","",[2]Entry!$M$174)</f>
        <v/>
      </c>
      <c r="AF171">
        <f>IF([2]Entry!$N$174="","",[2]Entry!$N$174)</f>
        <v/>
      </c>
      <c r="AG171">
        <f>IF([3]Issues!$B$174="","",[3]Issues!$B$174)</f>
        <v/>
      </c>
      <c r="AH171">
        <f>IF([3]Issues!$D$174="","",[3]Issues!$D$174)</f>
        <v/>
      </c>
      <c r="AI171">
        <f>IF([3]Issues!$E$174="","",[3]Issues!$E$174)</f>
        <v/>
      </c>
      <c r="AJ171">
        <f>IF([2]Entry!$S$174="","",[2]Entry!$S$174)</f>
        <v/>
      </c>
      <c r="AK171">
        <f>IF([2]Entry!$C$174="","",[2]Entry!$C$174)</f>
        <v/>
      </c>
      <c r="AL171">
        <f>IF([2]Entry!$D$174="","",[2]Entry!$D$174)</f>
        <v/>
      </c>
      <c r="AM171">
        <f>IF(AND($F171&lt;&gt;"",$I171&lt;&gt;""),IF($G171="دارایی ثابت",1,0),0)</f>
        <v/>
      </c>
      <c r="AN171">
        <f>SUM($AM$6:$AM171)</f>
        <v/>
      </c>
      <c r="AO171">
        <f>IFERROR(INDEX($F$6:$F$565,MATCH(ROW()-5,$AN$6:$AN$565,0)),"")</f>
        <v/>
      </c>
      <c r="AP171">
        <f>IF(AND($F171&lt;&gt;"",$I171&lt;&gt;""),IF($G171="وام و تسهیلات",1,0),0)</f>
        <v/>
      </c>
      <c r="AQ171">
        <f>SUM($AP$6:$AP171)</f>
        <v/>
      </c>
      <c r="AR171">
        <f>IFERROR(INDEX($F$6:$F$565,MATCH(ROW()-5,$AQ$6:$AQ$565,0)),"")</f>
        <v/>
      </c>
      <c r="AS171">
        <f>IF(AND($F171&lt;&gt;"",$I171&lt;&gt;""),IF($G171="سرمایه و آورده صاحبان",1,0),0)</f>
        <v/>
      </c>
      <c r="AT171">
        <f>SUM($AS$6:$AS171)</f>
        <v/>
      </c>
      <c r="AU171">
        <f>IFERROR(INDEX($F$6:$F$565,MATCH(ROW()-5,$AT$6:$AT$565,0)),"")</f>
        <v/>
      </c>
      <c r="AW171">
        <f>IF([3]Issues!$C$174="","",[3]Issues!$C$174)</f>
        <v/>
      </c>
      <c r="AX171">
        <f>IF([4]Entry!$E$174="","",[4]Entry!$E$174)</f>
        <v/>
      </c>
      <c r="AY171">
        <f>IF([4]Entry!$H$174="","",[4]Entry!$H$174)</f>
        <v/>
      </c>
      <c r="AZ171">
        <f>IF([4]Entry!$I$174="","",[4]Entry!$I$174)</f>
        <v/>
      </c>
    </row>
    <row r="172">
      <c r="F172">
        <f>IF([1]Accounts!$D$173="","",[1]Accounts!$A$173)</f>
        <v/>
      </c>
      <c r="G172">
        <f>IF([1]Accounts!$D$173="","",[1]Accounts!$B$173)</f>
        <v/>
      </c>
      <c r="H172">
        <f>IF([1]Accounts!$D$173="","",[1]Accounts!$C$173)</f>
        <v/>
      </c>
      <c r="I172">
        <f>IF([1]Accounts!$D$173="","",[1]Accounts!$D$173)</f>
        <v/>
      </c>
      <c r="R172">
        <f>IF(AND($F172&lt;&gt;"",$I172&lt;&gt;""),IF(OR($G172="دارایی ثابت",$G172="وام و تسهیلات",$G172="سرمایه و آورده صاحبان"),0,1),0)</f>
        <v/>
      </c>
      <c r="S172">
        <f>SUM($R$6:$R172)</f>
        <v/>
      </c>
      <c r="T172">
        <f>IFERROR(INDEX($F$6:$F$565,MATCH(ROW()-5,$S$6:$S$565,0)),"")</f>
        <v/>
      </c>
      <c r="Z172">
        <f>IF([2]Entry!$E$175="","",[2]Entry!$E$175)</f>
        <v/>
      </c>
      <c r="AA172">
        <f>IF([2]Entry!$G$175="","",[2]Entry!$G$175)</f>
        <v/>
      </c>
      <c r="AB172">
        <f>IF([2]Entry!$J$175="","",[2]Entry!$J$175)</f>
        <v/>
      </c>
      <c r="AC172">
        <f>IF([2]Entry!$K$175="","",[2]Entry!$K$175)</f>
        <v/>
      </c>
      <c r="AD172">
        <f>IF([2]Entry!$L$175="","",[2]Entry!$L$175)</f>
        <v/>
      </c>
      <c r="AE172">
        <f>IF([2]Entry!$M$175="","",[2]Entry!$M$175)</f>
        <v/>
      </c>
      <c r="AF172">
        <f>IF([2]Entry!$N$175="","",[2]Entry!$N$175)</f>
        <v/>
      </c>
      <c r="AG172">
        <f>IF([3]Issues!$B$175="","",[3]Issues!$B$175)</f>
        <v/>
      </c>
      <c r="AH172">
        <f>IF([3]Issues!$D$175="","",[3]Issues!$D$175)</f>
        <v/>
      </c>
      <c r="AI172">
        <f>IF([3]Issues!$E$175="","",[3]Issues!$E$175)</f>
        <v/>
      </c>
      <c r="AJ172">
        <f>IF([2]Entry!$S$175="","",[2]Entry!$S$175)</f>
        <v/>
      </c>
      <c r="AK172">
        <f>IF([2]Entry!$C$175="","",[2]Entry!$C$175)</f>
        <v/>
      </c>
      <c r="AL172">
        <f>IF([2]Entry!$D$175="","",[2]Entry!$D$175)</f>
        <v/>
      </c>
      <c r="AM172">
        <f>IF(AND($F172&lt;&gt;"",$I172&lt;&gt;""),IF($G172="دارایی ثابت",1,0),0)</f>
        <v/>
      </c>
      <c r="AN172">
        <f>SUM($AM$6:$AM172)</f>
        <v/>
      </c>
      <c r="AO172">
        <f>IFERROR(INDEX($F$6:$F$565,MATCH(ROW()-5,$AN$6:$AN$565,0)),"")</f>
        <v/>
      </c>
      <c r="AP172">
        <f>IF(AND($F172&lt;&gt;"",$I172&lt;&gt;""),IF($G172="وام و تسهیلات",1,0),0)</f>
        <v/>
      </c>
      <c r="AQ172">
        <f>SUM($AP$6:$AP172)</f>
        <v/>
      </c>
      <c r="AR172">
        <f>IFERROR(INDEX($F$6:$F$565,MATCH(ROW()-5,$AQ$6:$AQ$565,0)),"")</f>
        <v/>
      </c>
      <c r="AS172">
        <f>IF(AND($F172&lt;&gt;"",$I172&lt;&gt;""),IF($G172="سرمایه و آورده صاحبان",1,0),0)</f>
        <v/>
      </c>
      <c r="AT172">
        <f>SUM($AS$6:$AS172)</f>
        <v/>
      </c>
      <c r="AU172">
        <f>IFERROR(INDEX($F$6:$F$565,MATCH(ROW()-5,$AT$6:$AT$565,0)),"")</f>
        <v/>
      </c>
      <c r="AW172">
        <f>IF([3]Issues!$C$175="","",[3]Issues!$C$175)</f>
        <v/>
      </c>
      <c r="AX172">
        <f>IF([4]Entry!$E$175="","",[4]Entry!$E$175)</f>
        <v/>
      </c>
      <c r="AY172">
        <f>IF([4]Entry!$H$175="","",[4]Entry!$H$175)</f>
        <v/>
      </c>
      <c r="AZ172">
        <f>IF([4]Entry!$I$175="","",[4]Entry!$I$175)</f>
        <v/>
      </c>
    </row>
    <row r="173">
      <c r="F173">
        <f>IF([1]Accounts!$D$174="","",[1]Accounts!$A$174)</f>
        <v/>
      </c>
      <c r="G173">
        <f>IF([1]Accounts!$D$174="","",[1]Accounts!$B$174)</f>
        <v/>
      </c>
      <c r="H173">
        <f>IF([1]Accounts!$D$174="","",[1]Accounts!$C$174)</f>
        <v/>
      </c>
      <c r="I173">
        <f>IF([1]Accounts!$D$174="","",[1]Accounts!$D$174)</f>
        <v/>
      </c>
      <c r="R173">
        <f>IF(AND($F173&lt;&gt;"",$I173&lt;&gt;""),IF(OR($G173="دارایی ثابت",$G173="وام و تسهیلات",$G173="سرمایه و آورده صاحبان"),0,1),0)</f>
        <v/>
      </c>
      <c r="S173">
        <f>SUM($R$6:$R173)</f>
        <v/>
      </c>
      <c r="T173">
        <f>IFERROR(INDEX($F$6:$F$565,MATCH(ROW()-5,$S$6:$S$565,0)),"")</f>
        <v/>
      </c>
      <c r="Z173">
        <f>IF([2]Entry!$E$176="","",[2]Entry!$E$176)</f>
        <v/>
      </c>
      <c r="AA173">
        <f>IF([2]Entry!$G$176="","",[2]Entry!$G$176)</f>
        <v/>
      </c>
      <c r="AB173">
        <f>IF([2]Entry!$J$176="","",[2]Entry!$J$176)</f>
        <v/>
      </c>
      <c r="AC173">
        <f>IF([2]Entry!$K$176="","",[2]Entry!$K$176)</f>
        <v/>
      </c>
      <c r="AD173">
        <f>IF([2]Entry!$L$176="","",[2]Entry!$L$176)</f>
        <v/>
      </c>
      <c r="AE173">
        <f>IF([2]Entry!$M$176="","",[2]Entry!$M$176)</f>
        <v/>
      </c>
      <c r="AF173">
        <f>IF([2]Entry!$N$176="","",[2]Entry!$N$176)</f>
        <v/>
      </c>
      <c r="AG173">
        <f>IF([3]Issues!$B$176="","",[3]Issues!$B$176)</f>
        <v/>
      </c>
      <c r="AH173">
        <f>IF([3]Issues!$D$176="","",[3]Issues!$D$176)</f>
        <v/>
      </c>
      <c r="AI173">
        <f>IF([3]Issues!$E$176="","",[3]Issues!$E$176)</f>
        <v/>
      </c>
      <c r="AJ173">
        <f>IF([2]Entry!$S$176="","",[2]Entry!$S$176)</f>
        <v/>
      </c>
      <c r="AK173">
        <f>IF([2]Entry!$C$176="","",[2]Entry!$C$176)</f>
        <v/>
      </c>
      <c r="AL173">
        <f>IF([2]Entry!$D$176="","",[2]Entry!$D$176)</f>
        <v/>
      </c>
      <c r="AM173">
        <f>IF(AND($F173&lt;&gt;"",$I173&lt;&gt;""),IF($G173="دارایی ثابت",1,0),0)</f>
        <v/>
      </c>
      <c r="AN173">
        <f>SUM($AM$6:$AM173)</f>
        <v/>
      </c>
      <c r="AO173">
        <f>IFERROR(INDEX($F$6:$F$565,MATCH(ROW()-5,$AN$6:$AN$565,0)),"")</f>
        <v/>
      </c>
      <c r="AP173">
        <f>IF(AND($F173&lt;&gt;"",$I173&lt;&gt;""),IF($G173="وام و تسهیلات",1,0),0)</f>
        <v/>
      </c>
      <c r="AQ173">
        <f>SUM($AP$6:$AP173)</f>
        <v/>
      </c>
      <c r="AR173">
        <f>IFERROR(INDEX($F$6:$F$565,MATCH(ROW()-5,$AQ$6:$AQ$565,0)),"")</f>
        <v/>
      </c>
      <c r="AS173">
        <f>IF(AND($F173&lt;&gt;"",$I173&lt;&gt;""),IF($G173="سرمایه و آورده صاحبان",1,0),0)</f>
        <v/>
      </c>
      <c r="AT173">
        <f>SUM($AS$6:$AS173)</f>
        <v/>
      </c>
      <c r="AU173">
        <f>IFERROR(INDEX($F$6:$F$565,MATCH(ROW()-5,$AT$6:$AT$565,0)),"")</f>
        <v/>
      </c>
      <c r="AW173">
        <f>IF([3]Issues!$C$176="","",[3]Issues!$C$176)</f>
        <v/>
      </c>
      <c r="AX173">
        <f>IF([4]Entry!$E$176="","",[4]Entry!$E$176)</f>
        <v/>
      </c>
      <c r="AY173">
        <f>IF([4]Entry!$H$176="","",[4]Entry!$H$176)</f>
        <v/>
      </c>
      <c r="AZ173">
        <f>IF([4]Entry!$I$176="","",[4]Entry!$I$176)</f>
        <v/>
      </c>
    </row>
    <row r="174">
      <c r="F174">
        <f>IF([1]Accounts!$D$175="","",[1]Accounts!$A$175)</f>
        <v/>
      </c>
      <c r="G174">
        <f>IF([1]Accounts!$D$175="","",[1]Accounts!$B$175)</f>
        <v/>
      </c>
      <c r="H174">
        <f>IF([1]Accounts!$D$175="","",[1]Accounts!$C$175)</f>
        <v/>
      </c>
      <c r="I174">
        <f>IF([1]Accounts!$D$175="","",[1]Accounts!$D$175)</f>
        <v/>
      </c>
      <c r="R174">
        <f>IF(AND($F174&lt;&gt;"",$I174&lt;&gt;""),IF(OR($G174="دارایی ثابت",$G174="وام و تسهیلات",$G174="سرمایه و آورده صاحبان"),0,1),0)</f>
        <v/>
      </c>
      <c r="S174">
        <f>SUM($R$6:$R174)</f>
        <v/>
      </c>
      <c r="T174">
        <f>IFERROR(INDEX($F$6:$F$565,MATCH(ROW()-5,$S$6:$S$565,0)),"")</f>
        <v/>
      </c>
      <c r="Z174">
        <f>IF([2]Entry!$E$177="","",[2]Entry!$E$177)</f>
        <v/>
      </c>
      <c r="AA174">
        <f>IF([2]Entry!$G$177="","",[2]Entry!$G$177)</f>
        <v/>
      </c>
      <c r="AB174">
        <f>IF([2]Entry!$J$177="","",[2]Entry!$J$177)</f>
        <v/>
      </c>
      <c r="AC174">
        <f>IF([2]Entry!$K$177="","",[2]Entry!$K$177)</f>
        <v/>
      </c>
      <c r="AD174">
        <f>IF([2]Entry!$L$177="","",[2]Entry!$L$177)</f>
        <v/>
      </c>
      <c r="AE174">
        <f>IF([2]Entry!$M$177="","",[2]Entry!$M$177)</f>
        <v/>
      </c>
      <c r="AF174">
        <f>IF([2]Entry!$N$177="","",[2]Entry!$N$177)</f>
        <v/>
      </c>
      <c r="AG174">
        <f>IF([3]Issues!$B$177="","",[3]Issues!$B$177)</f>
        <v/>
      </c>
      <c r="AH174">
        <f>IF([3]Issues!$D$177="","",[3]Issues!$D$177)</f>
        <v/>
      </c>
      <c r="AI174">
        <f>IF([3]Issues!$E$177="","",[3]Issues!$E$177)</f>
        <v/>
      </c>
      <c r="AJ174">
        <f>IF([2]Entry!$S$177="","",[2]Entry!$S$177)</f>
        <v/>
      </c>
      <c r="AK174">
        <f>IF([2]Entry!$C$177="","",[2]Entry!$C$177)</f>
        <v/>
      </c>
      <c r="AL174">
        <f>IF([2]Entry!$D$177="","",[2]Entry!$D$177)</f>
        <v/>
      </c>
      <c r="AM174">
        <f>IF(AND($F174&lt;&gt;"",$I174&lt;&gt;""),IF($G174="دارایی ثابت",1,0),0)</f>
        <v/>
      </c>
      <c r="AN174">
        <f>SUM($AM$6:$AM174)</f>
        <v/>
      </c>
      <c r="AO174">
        <f>IFERROR(INDEX($F$6:$F$565,MATCH(ROW()-5,$AN$6:$AN$565,0)),"")</f>
        <v/>
      </c>
      <c r="AP174">
        <f>IF(AND($F174&lt;&gt;"",$I174&lt;&gt;""),IF($G174="وام و تسهیلات",1,0),0)</f>
        <v/>
      </c>
      <c r="AQ174">
        <f>SUM($AP$6:$AP174)</f>
        <v/>
      </c>
      <c r="AR174">
        <f>IFERROR(INDEX($F$6:$F$565,MATCH(ROW()-5,$AQ$6:$AQ$565,0)),"")</f>
        <v/>
      </c>
      <c r="AS174">
        <f>IF(AND($F174&lt;&gt;"",$I174&lt;&gt;""),IF($G174="سرمایه و آورده صاحبان",1,0),0)</f>
        <v/>
      </c>
      <c r="AT174">
        <f>SUM($AS$6:$AS174)</f>
        <v/>
      </c>
      <c r="AU174">
        <f>IFERROR(INDEX($F$6:$F$565,MATCH(ROW()-5,$AT$6:$AT$565,0)),"")</f>
        <v/>
      </c>
      <c r="AW174">
        <f>IF([3]Issues!$C$177="","",[3]Issues!$C$177)</f>
        <v/>
      </c>
      <c r="AX174">
        <f>IF([4]Entry!$E$177="","",[4]Entry!$E$177)</f>
        <v/>
      </c>
      <c r="AY174">
        <f>IF([4]Entry!$H$177="","",[4]Entry!$H$177)</f>
        <v/>
      </c>
      <c r="AZ174">
        <f>IF([4]Entry!$I$177="","",[4]Entry!$I$177)</f>
        <v/>
      </c>
    </row>
    <row r="175">
      <c r="F175">
        <f>IF([1]Accounts!$D$176="","",[1]Accounts!$A$176)</f>
        <v/>
      </c>
      <c r="G175">
        <f>IF([1]Accounts!$D$176="","",[1]Accounts!$B$176)</f>
        <v/>
      </c>
      <c r="H175">
        <f>IF([1]Accounts!$D$176="","",[1]Accounts!$C$176)</f>
        <v/>
      </c>
      <c r="I175">
        <f>IF([1]Accounts!$D$176="","",[1]Accounts!$D$176)</f>
        <v/>
      </c>
      <c r="R175">
        <f>IF(AND($F175&lt;&gt;"",$I175&lt;&gt;""),IF(OR($G175="دارایی ثابت",$G175="وام و تسهیلات",$G175="سرمایه و آورده صاحبان"),0,1),0)</f>
        <v/>
      </c>
      <c r="S175">
        <f>SUM($R$6:$R175)</f>
        <v/>
      </c>
      <c r="T175">
        <f>IFERROR(INDEX($F$6:$F$565,MATCH(ROW()-5,$S$6:$S$565,0)),"")</f>
        <v/>
      </c>
      <c r="Z175">
        <f>IF([2]Entry!$E$178="","",[2]Entry!$E$178)</f>
        <v/>
      </c>
      <c r="AA175">
        <f>IF([2]Entry!$G$178="","",[2]Entry!$G$178)</f>
        <v/>
      </c>
      <c r="AB175">
        <f>IF([2]Entry!$J$178="","",[2]Entry!$J$178)</f>
        <v/>
      </c>
      <c r="AC175">
        <f>IF([2]Entry!$K$178="","",[2]Entry!$K$178)</f>
        <v/>
      </c>
      <c r="AD175">
        <f>IF([2]Entry!$L$178="","",[2]Entry!$L$178)</f>
        <v/>
      </c>
      <c r="AE175">
        <f>IF([2]Entry!$M$178="","",[2]Entry!$M$178)</f>
        <v/>
      </c>
      <c r="AF175">
        <f>IF([2]Entry!$N$178="","",[2]Entry!$N$178)</f>
        <v/>
      </c>
      <c r="AG175">
        <f>IF([3]Issues!$B$178="","",[3]Issues!$B$178)</f>
        <v/>
      </c>
      <c r="AH175">
        <f>IF([3]Issues!$D$178="","",[3]Issues!$D$178)</f>
        <v/>
      </c>
      <c r="AI175">
        <f>IF([3]Issues!$E$178="","",[3]Issues!$E$178)</f>
        <v/>
      </c>
      <c r="AJ175">
        <f>IF([2]Entry!$S$178="","",[2]Entry!$S$178)</f>
        <v/>
      </c>
      <c r="AK175">
        <f>IF([2]Entry!$C$178="","",[2]Entry!$C$178)</f>
        <v/>
      </c>
      <c r="AL175">
        <f>IF([2]Entry!$D$178="","",[2]Entry!$D$178)</f>
        <v/>
      </c>
      <c r="AM175">
        <f>IF(AND($F175&lt;&gt;"",$I175&lt;&gt;""),IF($G175="دارایی ثابت",1,0),0)</f>
        <v/>
      </c>
      <c r="AN175">
        <f>SUM($AM$6:$AM175)</f>
        <v/>
      </c>
      <c r="AO175">
        <f>IFERROR(INDEX($F$6:$F$565,MATCH(ROW()-5,$AN$6:$AN$565,0)),"")</f>
        <v/>
      </c>
      <c r="AP175">
        <f>IF(AND($F175&lt;&gt;"",$I175&lt;&gt;""),IF($G175="وام و تسهیلات",1,0),0)</f>
        <v/>
      </c>
      <c r="AQ175">
        <f>SUM($AP$6:$AP175)</f>
        <v/>
      </c>
      <c r="AR175">
        <f>IFERROR(INDEX($F$6:$F$565,MATCH(ROW()-5,$AQ$6:$AQ$565,0)),"")</f>
        <v/>
      </c>
      <c r="AS175">
        <f>IF(AND($F175&lt;&gt;"",$I175&lt;&gt;""),IF($G175="سرمایه و آورده صاحبان",1,0),0)</f>
        <v/>
      </c>
      <c r="AT175">
        <f>SUM($AS$6:$AS175)</f>
        <v/>
      </c>
      <c r="AU175">
        <f>IFERROR(INDEX($F$6:$F$565,MATCH(ROW()-5,$AT$6:$AT$565,0)),"")</f>
        <v/>
      </c>
      <c r="AW175">
        <f>IF([3]Issues!$C$178="","",[3]Issues!$C$178)</f>
        <v/>
      </c>
      <c r="AX175">
        <f>IF([4]Entry!$E$178="","",[4]Entry!$E$178)</f>
        <v/>
      </c>
      <c r="AY175">
        <f>IF([4]Entry!$H$178="","",[4]Entry!$H$178)</f>
        <v/>
      </c>
      <c r="AZ175">
        <f>IF([4]Entry!$I$178="","",[4]Entry!$I$178)</f>
        <v/>
      </c>
    </row>
    <row r="176">
      <c r="F176">
        <f>IF([1]Accounts!$D$177="","",[1]Accounts!$A$177)</f>
        <v/>
      </c>
      <c r="G176">
        <f>IF([1]Accounts!$D$177="","",[1]Accounts!$B$177)</f>
        <v/>
      </c>
      <c r="H176">
        <f>IF([1]Accounts!$D$177="","",[1]Accounts!$C$177)</f>
        <v/>
      </c>
      <c r="I176">
        <f>IF([1]Accounts!$D$177="","",[1]Accounts!$D$177)</f>
        <v/>
      </c>
      <c r="R176">
        <f>IF(AND($F176&lt;&gt;"",$I176&lt;&gt;""),IF(OR($G176="دارایی ثابت",$G176="وام و تسهیلات",$G176="سرمایه و آورده صاحبان"),0,1),0)</f>
        <v/>
      </c>
      <c r="S176">
        <f>SUM($R$6:$R176)</f>
        <v/>
      </c>
      <c r="T176">
        <f>IFERROR(INDEX($F$6:$F$565,MATCH(ROW()-5,$S$6:$S$565,0)),"")</f>
        <v/>
      </c>
      <c r="Z176">
        <f>IF([2]Entry!$E$179="","",[2]Entry!$E$179)</f>
        <v/>
      </c>
      <c r="AA176">
        <f>IF([2]Entry!$G$179="","",[2]Entry!$G$179)</f>
        <v/>
      </c>
      <c r="AB176">
        <f>IF([2]Entry!$J$179="","",[2]Entry!$J$179)</f>
        <v/>
      </c>
      <c r="AC176">
        <f>IF([2]Entry!$K$179="","",[2]Entry!$K$179)</f>
        <v/>
      </c>
      <c r="AD176">
        <f>IF([2]Entry!$L$179="","",[2]Entry!$L$179)</f>
        <v/>
      </c>
      <c r="AE176">
        <f>IF([2]Entry!$M$179="","",[2]Entry!$M$179)</f>
        <v/>
      </c>
      <c r="AF176">
        <f>IF([2]Entry!$N$179="","",[2]Entry!$N$179)</f>
        <v/>
      </c>
      <c r="AG176">
        <f>IF([3]Issues!$B$179="","",[3]Issues!$B$179)</f>
        <v/>
      </c>
      <c r="AH176">
        <f>IF([3]Issues!$D$179="","",[3]Issues!$D$179)</f>
        <v/>
      </c>
      <c r="AI176">
        <f>IF([3]Issues!$E$179="","",[3]Issues!$E$179)</f>
        <v/>
      </c>
      <c r="AJ176">
        <f>IF([2]Entry!$S$179="","",[2]Entry!$S$179)</f>
        <v/>
      </c>
      <c r="AK176">
        <f>IF([2]Entry!$C$179="","",[2]Entry!$C$179)</f>
        <v/>
      </c>
      <c r="AL176">
        <f>IF([2]Entry!$D$179="","",[2]Entry!$D$179)</f>
        <v/>
      </c>
      <c r="AM176">
        <f>IF(AND($F176&lt;&gt;"",$I176&lt;&gt;""),IF($G176="دارایی ثابت",1,0),0)</f>
        <v/>
      </c>
      <c r="AN176">
        <f>SUM($AM$6:$AM176)</f>
        <v/>
      </c>
      <c r="AO176">
        <f>IFERROR(INDEX($F$6:$F$565,MATCH(ROW()-5,$AN$6:$AN$565,0)),"")</f>
        <v/>
      </c>
      <c r="AP176">
        <f>IF(AND($F176&lt;&gt;"",$I176&lt;&gt;""),IF($G176="وام و تسهیلات",1,0),0)</f>
        <v/>
      </c>
      <c r="AQ176">
        <f>SUM($AP$6:$AP176)</f>
        <v/>
      </c>
      <c r="AR176">
        <f>IFERROR(INDEX($F$6:$F$565,MATCH(ROW()-5,$AQ$6:$AQ$565,0)),"")</f>
        <v/>
      </c>
      <c r="AS176">
        <f>IF(AND($F176&lt;&gt;"",$I176&lt;&gt;""),IF($G176="سرمایه و آورده صاحبان",1,0),0)</f>
        <v/>
      </c>
      <c r="AT176">
        <f>SUM($AS$6:$AS176)</f>
        <v/>
      </c>
      <c r="AU176">
        <f>IFERROR(INDEX($F$6:$F$565,MATCH(ROW()-5,$AT$6:$AT$565,0)),"")</f>
        <v/>
      </c>
      <c r="AW176">
        <f>IF([3]Issues!$C$179="","",[3]Issues!$C$179)</f>
        <v/>
      </c>
      <c r="AX176">
        <f>IF([4]Entry!$E$179="","",[4]Entry!$E$179)</f>
        <v/>
      </c>
      <c r="AY176">
        <f>IF([4]Entry!$H$179="","",[4]Entry!$H$179)</f>
        <v/>
      </c>
      <c r="AZ176">
        <f>IF([4]Entry!$I$179="","",[4]Entry!$I$179)</f>
        <v/>
      </c>
    </row>
    <row r="177">
      <c r="F177">
        <f>IF([1]Accounts!$D$178="","",[1]Accounts!$A$178)</f>
        <v/>
      </c>
      <c r="G177">
        <f>IF([1]Accounts!$D$178="","",[1]Accounts!$B$178)</f>
        <v/>
      </c>
      <c r="H177">
        <f>IF([1]Accounts!$D$178="","",[1]Accounts!$C$178)</f>
        <v/>
      </c>
      <c r="I177">
        <f>IF([1]Accounts!$D$178="","",[1]Accounts!$D$178)</f>
        <v/>
      </c>
      <c r="R177">
        <f>IF(AND($F177&lt;&gt;"",$I177&lt;&gt;""),IF(OR($G177="دارایی ثابت",$G177="وام و تسهیلات",$G177="سرمایه و آورده صاحبان"),0,1),0)</f>
        <v/>
      </c>
      <c r="S177">
        <f>SUM($R$6:$R177)</f>
        <v/>
      </c>
      <c r="T177">
        <f>IFERROR(INDEX($F$6:$F$565,MATCH(ROW()-5,$S$6:$S$565,0)),"")</f>
        <v/>
      </c>
      <c r="Z177">
        <f>IF([2]Entry!$E$180="","",[2]Entry!$E$180)</f>
        <v/>
      </c>
      <c r="AA177">
        <f>IF([2]Entry!$G$180="","",[2]Entry!$G$180)</f>
        <v/>
      </c>
      <c r="AB177">
        <f>IF([2]Entry!$J$180="","",[2]Entry!$J$180)</f>
        <v/>
      </c>
      <c r="AC177">
        <f>IF([2]Entry!$K$180="","",[2]Entry!$K$180)</f>
        <v/>
      </c>
      <c r="AD177">
        <f>IF([2]Entry!$L$180="","",[2]Entry!$L$180)</f>
        <v/>
      </c>
      <c r="AE177">
        <f>IF([2]Entry!$M$180="","",[2]Entry!$M$180)</f>
        <v/>
      </c>
      <c r="AF177">
        <f>IF([2]Entry!$N$180="","",[2]Entry!$N$180)</f>
        <v/>
      </c>
      <c r="AG177">
        <f>IF([3]Issues!$B$180="","",[3]Issues!$B$180)</f>
        <v/>
      </c>
      <c r="AH177">
        <f>IF([3]Issues!$D$180="","",[3]Issues!$D$180)</f>
        <v/>
      </c>
      <c r="AI177">
        <f>IF([3]Issues!$E$180="","",[3]Issues!$E$180)</f>
        <v/>
      </c>
      <c r="AJ177">
        <f>IF([2]Entry!$S$180="","",[2]Entry!$S$180)</f>
        <v/>
      </c>
      <c r="AK177">
        <f>IF([2]Entry!$C$180="","",[2]Entry!$C$180)</f>
        <v/>
      </c>
      <c r="AL177">
        <f>IF([2]Entry!$D$180="","",[2]Entry!$D$180)</f>
        <v/>
      </c>
      <c r="AM177">
        <f>IF(AND($F177&lt;&gt;"",$I177&lt;&gt;""),IF($G177="دارایی ثابت",1,0),0)</f>
        <v/>
      </c>
      <c r="AN177">
        <f>SUM($AM$6:$AM177)</f>
        <v/>
      </c>
      <c r="AO177">
        <f>IFERROR(INDEX($F$6:$F$565,MATCH(ROW()-5,$AN$6:$AN$565,0)),"")</f>
        <v/>
      </c>
      <c r="AP177">
        <f>IF(AND($F177&lt;&gt;"",$I177&lt;&gt;""),IF($G177="وام و تسهیلات",1,0),0)</f>
        <v/>
      </c>
      <c r="AQ177">
        <f>SUM($AP$6:$AP177)</f>
        <v/>
      </c>
      <c r="AR177">
        <f>IFERROR(INDEX($F$6:$F$565,MATCH(ROW()-5,$AQ$6:$AQ$565,0)),"")</f>
        <v/>
      </c>
      <c r="AS177">
        <f>IF(AND($F177&lt;&gt;"",$I177&lt;&gt;""),IF($G177="سرمایه و آورده صاحبان",1,0),0)</f>
        <v/>
      </c>
      <c r="AT177">
        <f>SUM($AS$6:$AS177)</f>
        <v/>
      </c>
      <c r="AU177">
        <f>IFERROR(INDEX($F$6:$F$565,MATCH(ROW()-5,$AT$6:$AT$565,0)),"")</f>
        <v/>
      </c>
      <c r="AW177">
        <f>IF([3]Issues!$C$180="","",[3]Issues!$C$180)</f>
        <v/>
      </c>
      <c r="AX177">
        <f>IF([4]Entry!$E$180="","",[4]Entry!$E$180)</f>
        <v/>
      </c>
      <c r="AY177">
        <f>IF([4]Entry!$H$180="","",[4]Entry!$H$180)</f>
        <v/>
      </c>
      <c r="AZ177">
        <f>IF([4]Entry!$I$180="","",[4]Entry!$I$180)</f>
        <v/>
      </c>
    </row>
    <row r="178">
      <c r="F178">
        <f>IF([1]Accounts!$D$179="","",[1]Accounts!$A$179)</f>
        <v/>
      </c>
      <c r="G178">
        <f>IF([1]Accounts!$D$179="","",[1]Accounts!$B$179)</f>
        <v/>
      </c>
      <c r="H178">
        <f>IF([1]Accounts!$D$179="","",[1]Accounts!$C$179)</f>
        <v/>
      </c>
      <c r="I178">
        <f>IF([1]Accounts!$D$179="","",[1]Accounts!$D$179)</f>
        <v/>
      </c>
      <c r="R178">
        <f>IF(AND($F178&lt;&gt;"",$I178&lt;&gt;""),IF(OR($G178="دارایی ثابت",$G178="وام و تسهیلات",$G178="سرمایه و آورده صاحبان"),0,1),0)</f>
        <v/>
      </c>
      <c r="S178">
        <f>SUM($R$6:$R178)</f>
        <v/>
      </c>
      <c r="T178">
        <f>IFERROR(INDEX($F$6:$F$565,MATCH(ROW()-5,$S$6:$S$565,0)),"")</f>
        <v/>
      </c>
      <c r="Z178">
        <f>IF([2]Entry!$E$181="","",[2]Entry!$E$181)</f>
        <v/>
      </c>
      <c r="AA178">
        <f>IF([2]Entry!$G$181="","",[2]Entry!$G$181)</f>
        <v/>
      </c>
      <c r="AB178">
        <f>IF([2]Entry!$J$181="","",[2]Entry!$J$181)</f>
        <v/>
      </c>
      <c r="AC178">
        <f>IF([2]Entry!$K$181="","",[2]Entry!$K$181)</f>
        <v/>
      </c>
      <c r="AD178">
        <f>IF([2]Entry!$L$181="","",[2]Entry!$L$181)</f>
        <v/>
      </c>
      <c r="AE178">
        <f>IF([2]Entry!$M$181="","",[2]Entry!$M$181)</f>
        <v/>
      </c>
      <c r="AF178">
        <f>IF([2]Entry!$N$181="","",[2]Entry!$N$181)</f>
        <v/>
      </c>
      <c r="AG178">
        <f>IF([3]Issues!$B$181="","",[3]Issues!$B$181)</f>
        <v/>
      </c>
      <c r="AH178">
        <f>IF([3]Issues!$D$181="","",[3]Issues!$D$181)</f>
        <v/>
      </c>
      <c r="AI178">
        <f>IF([3]Issues!$E$181="","",[3]Issues!$E$181)</f>
        <v/>
      </c>
      <c r="AJ178">
        <f>IF([2]Entry!$S$181="","",[2]Entry!$S$181)</f>
        <v/>
      </c>
      <c r="AK178">
        <f>IF([2]Entry!$C$181="","",[2]Entry!$C$181)</f>
        <v/>
      </c>
      <c r="AL178">
        <f>IF([2]Entry!$D$181="","",[2]Entry!$D$181)</f>
        <v/>
      </c>
      <c r="AM178">
        <f>IF(AND($F178&lt;&gt;"",$I178&lt;&gt;""),IF($G178="دارایی ثابت",1,0),0)</f>
        <v/>
      </c>
      <c r="AN178">
        <f>SUM($AM$6:$AM178)</f>
        <v/>
      </c>
      <c r="AO178">
        <f>IFERROR(INDEX($F$6:$F$565,MATCH(ROW()-5,$AN$6:$AN$565,0)),"")</f>
        <v/>
      </c>
      <c r="AP178">
        <f>IF(AND($F178&lt;&gt;"",$I178&lt;&gt;""),IF($G178="وام و تسهیلات",1,0),0)</f>
        <v/>
      </c>
      <c r="AQ178">
        <f>SUM($AP$6:$AP178)</f>
        <v/>
      </c>
      <c r="AR178">
        <f>IFERROR(INDEX($F$6:$F$565,MATCH(ROW()-5,$AQ$6:$AQ$565,0)),"")</f>
        <v/>
      </c>
      <c r="AS178">
        <f>IF(AND($F178&lt;&gt;"",$I178&lt;&gt;""),IF($G178="سرمایه و آورده صاحبان",1,0),0)</f>
        <v/>
      </c>
      <c r="AT178">
        <f>SUM($AS$6:$AS178)</f>
        <v/>
      </c>
      <c r="AU178">
        <f>IFERROR(INDEX($F$6:$F$565,MATCH(ROW()-5,$AT$6:$AT$565,0)),"")</f>
        <v/>
      </c>
      <c r="AW178">
        <f>IF([3]Issues!$C$181="","",[3]Issues!$C$181)</f>
        <v/>
      </c>
      <c r="AX178">
        <f>IF([4]Entry!$E$181="","",[4]Entry!$E$181)</f>
        <v/>
      </c>
      <c r="AY178">
        <f>IF([4]Entry!$H$181="","",[4]Entry!$H$181)</f>
        <v/>
      </c>
      <c r="AZ178">
        <f>IF([4]Entry!$I$181="","",[4]Entry!$I$181)</f>
        <v/>
      </c>
    </row>
    <row r="179">
      <c r="F179">
        <f>IF([1]Accounts!$D$180="","",[1]Accounts!$A$180)</f>
        <v/>
      </c>
      <c r="G179">
        <f>IF([1]Accounts!$D$180="","",[1]Accounts!$B$180)</f>
        <v/>
      </c>
      <c r="H179">
        <f>IF([1]Accounts!$D$180="","",[1]Accounts!$C$180)</f>
        <v/>
      </c>
      <c r="I179">
        <f>IF([1]Accounts!$D$180="","",[1]Accounts!$D$180)</f>
        <v/>
      </c>
      <c r="R179">
        <f>IF(AND($F179&lt;&gt;"",$I179&lt;&gt;""),IF(OR($G179="دارایی ثابت",$G179="وام و تسهیلات",$G179="سرمایه و آورده صاحبان"),0,1),0)</f>
        <v/>
      </c>
      <c r="S179">
        <f>SUM($R$6:$R179)</f>
        <v/>
      </c>
      <c r="T179">
        <f>IFERROR(INDEX($F$6:$F$565,MATCH(ROW()-5,$S$6:$S$565,0)),"")</f>
        <v/>
      </c>
      <c r="Z179">
        <f>IF([2]Entry!$E$182="","",[2]Entry!$E$182)</f>
        <v/>
      </c>
      <c r="AA179">
        <f>IF([2]Entry!$G$182="","",[2]Entry!$G$182)</f>
        <v/>
      </c>
      <c r="AB179">
        <f>IF([2]Entry!$J$182="","",[2]Entry!$J$182)</f>
        <v/>
      </c>
      <c r="AC179">
        <f>IF([2]Entry!$K$182="","",[2]Entry!$K$182)</f>
        <v/>
      </c>
      <c r="AD179">
        <f>IF([2]Entry!$L$182="","",[2]Entry!$L$182)</f>
        <v/>
      </c>
      <c r="AE179">
        <f>IF([2]Entry!$M$182="","",[2]Entry!$M$182)</f>
        <v/>
      </c>
      <c r="AF179">
        <f>IF([2]Entry!$N$182="","",[2]Entry!$N$182)</f>
        <v/>
      </c>
      <c r="AG179">
        <f>IF([3]Issues!$B$182="","",[3]Issues!$B$182)</f>
        <v/>
      </c>
      <c r="AH179">
        <f>IF([3]Issues!$D$182="","",[3]Issues!$D$182)</f>
        <v/>
      </c>
      <c r="AI179">
        <f>IF([3]Issues!$E$182="","",[3]Issues!$E$182)</f>
        <v/>
      </c>
      <c r="AJ179">
        <f>IF([2]Entry!$S$182="","",[2]Entry!$S$182)</f>
        <v/>
      </c>
      <c r="AK179">
        <f>IF([2]Entry!$C$182="","",[2]Entry!$C$182)</f>
        <v/>
      </c>
      <c r="AL179">
        <f>IF([2]Entry!$D$182="","",[2]Entry!$D$182)</f>
        <v/>
      </c>
      <c r="AM179">
        <f>IF(AND($F179&lt;&gt;"",$I179&lt;&gt;""),IF($G179="دارایی ثابت",1,0),0)</f>
        <v/>
      </c>
      <c r="AN179">
        <f>SUM($AM$6:$AM179)</f>
        <v/>
      </c>
      <c r="AO179">
        <f>IFERROR(INDEX($F$6:$F$565,MATCH(ROW()-5,$AN$6:$AN$565,0)),"")</f>
        <v/>
      </c>
      <c r="AP179">
        <f>IF(AND($F179&lt;&gt;"",$I179&lt;&gt;""),IF($G179="وام و تسهیلات",1,0),0)</f>
        <v/>
      </c>
      <c r="AQ179">
        <f>SUM($AP$6:$AP179)</f>
        <v/>
      </c>
      <c r="AR179">
        <f>IFERROR(INDEX($F$6:$F$565,MATCH(ROW()-5,$AQ$6:$AQ$565,0)),"")</f>
        <v/>
      </c>
      <c r="AS179">
        <f>IF(AND($F179&lt;&gt;"",$I179&lt;&gt;""),IF($G179="سرمایه و آورده صاحبان",1,0),0)</f>
        <v/>
      </c>
      <c r="AT179">
        <f>SUM($AS$6:$AS179)</f>
        <v/>
      </c>
      <c r="AU179">
        <f>IFERROR(INDEX($F$6:$F$565,MATCH(ROW()-5,$AT$6:$AT$565,0)),"")</f>
        <v/>
      </c>
      <c r="AW179">
        <f>IF([3]Issues!$C$182="","",[3]Issues!$C$182)</f>
        <v/>
      </c>
      <c r="AX179">
        <f>IF([4]Entry!$E$182="","",[4]Entry!$E$182)</f>
        <v/>
      </c>
      <c r="AY179">
        <f>IF([4]Entry!$H$182="","",[4]Entry!$H$182)</f>
        <v/>
      </c>
      <c r="AZ179">
        <f>IF([4]Entry!$I$182="","",[4]Entry!$I$182)</f>
        <v/>
      </c>
    </row>
    <row r="180">
      <c r="F180">
        <f>IF([1]Accounts!$D$181="","",[1]Accounts!$A$181)</f>
        <v/>
      </c>
      <c r="G180">
        <f>IF([1]Accounts!$D$181="","",[1]Accounts!$B$181)</f>
        <v/>
      </c>
      <c r="H180">
        <f>IF([1]Accounts!$D$181="","",[1]Accounts!$C$181)</f>
        <v/>
      </c>
      <c r="I180">
        <f>IF([1]Accounts!$D$181="","",[1]Accounts!$D$181)</f>
        <v/>
      </c>
      <c r="R180">
        <f>IF(AND($F180&lt;&gt;"",$I180&lt;&gt;""),IF(OR($G180="دارایی ثابت",$G180="وام و تسهیلات",$G180="سرمایه و آورده صاحبان"),0,1),0)</f>
        <v/>
      </c>
      <c r="S180">
        <f>SUM($R$6:$R180)</f>
        <v/>
      </c>
      <c r="T180">
        <f>IFERROR(INDEX($F$6:$F$565,MATCH(ROW()-5,$S$6:$S$565,0)),"")</f>
        <v/>
      </c>
      <c r="Z180">
        <f>IF([2]Entry!$E$183="","",[2]Entry!$E$183)</f>
        <v/>
      </c>
      <c r="AA180">
        <f>IF([2]Entry!$G$183="","",[2]Entry!$G$183)</f>
        <v/>
      </c>
      <c r="AB180">
        <f>IF([2]Entry!$J$183="","",[2]Entry!$J$183)</f>
        <v/>
      </c>
      <c r="AC180">
        <f>IF([2]Entry!$K$183="","",[2]Entry!$K$183)</f>
        <v/>
      </c>
      <c r="AD180">
        <f>IF([2]Entry!$L$183="","",[2]Entry!$L$183)</f>
        <v/>
      </c>
      <c r="AE180">
        <f>IF([2]Entry!$M$183="","",[2]Entry!$M$183)</f>
        <v/>
      </c>
      <c r="AF180">
        <f>IF([2]Entry!$N$183="","",[2]Entry!$N$183)</f>
        <v/>
      </c>
      <c r="AG180">
        <f>IF([3]Issues!$B$183="","",[3]Issues!$B$183)</f>
        <v/>
      </c>
      <c r="AH180">
        <f>IF([3]Issues!$D$183="","",[3]Issues!$D$183)</f>
        <v/>
      </c>
      <c r="AI180">
        <f>IF([3]Issues!$E$183="","",[3]Issues!$E$183)</f>
        <v/>
      </c>
      <c r="AJ180">
        <f>IF([2]Entry!$S$183="","",[2]Entry!$S$183)</f>
        <v/>
      </c>
      <c r="AK180">
        <f>IF([2]Entry!$C$183="","",[2]Entry!$C$183)</f>
        <v/>
      </c>
      <c r="AL180">
        <f>IF([2]Entry!$D$183="","",[2]Entry!$D$183)</f>
        <v/>
      </c>
      <c r="AM180">
        <f>IF(AND($F180&lt;&gt;"",$I180&lt;&gt;""),IF($G180="دارایی ثابت",1,0),0)</f>
        <v/>
      </c>
      <c r="AN180">
        <f>SUM($AM$6:$AM180)</f>
        <v/>
      </c>
      <c r="AO180">
        <f>IFERROR(INDEX($F$6:$F$565,MATCH(ROW()-5,$AN$6:$AN$565,0)),"")</f>
        <v/>
      </c>
      <c r="AP180">
        <f>IF(AND($F180&lt;&gt;"",$I180&lt;&gt;""),IF($G180="وام و تسهیلات",1,0),0)</f>
        <v/>
      </c>
      <c r="AQ180">
        <f>SUM($AP$6:$AP180)</f>
        <v/>
      </c>
      <c r="AR180">
        <f>IFERROR(INDEX($F$6:$F$565,MATCH(ROW()-5,$AQ$6:$AQ$565,0)),"")</f>
        <v/>
      </c>
      <c r="AS180">
        <f>IF(AND($F180&lt;&gt;"",$I180&lt;&gt;""),IF($G180="سرمایه و آورده صاحبان",1,0),0)</f>
        <v/>
      </c>
      <c r="AT180">
        <f>SUM($AS$6:$AS180)</f>
        <v/>
      </c>
      <c r="AU180">
        <f>IFERROR(INDEX($F$6:$F$565,MATCH(ROW()-5,$AT$6:$AT$565,0)),"")</f>
        <v/>
      </c>
      <c r="AW180">
        <f>IF([3]Issues!$C$183="","",[3]Issues!$C$183)</f>
        <v/>
      </c>
      <c r="AX180">
        <f>IF([4]Entry!$E$183="","",[4]Entry!$E$183)</f>
        <v/>
      </c>
      <c r="AY180">
        <f>IF([4]Entry!$H$183="","",[4]Entry!$H$183)</f>
        <v/>
      </c>
      <c r="AZ180">
        <f>IF([4]Entry!$I$183="","",[4]Entry!$I$183)</f>
        <v/>
      </c>
    </row>
    <row r="181">
      <c r="F181">
        <f>IF([1]Accounts!$D$182="","",[1]Accounts!$A$182)</f>
        <v/>
      </c>
      <c r="G181">
        <f>IF([1]Accounts!$D$182="","",[1]Accounts!$B$182)</f>
        <v/>
      </c>
      <c r="H181">
        <f>IF([1]Accounts!$D$182="","",[1]Accounts!$C$182)</f>
        <v/>
      </c>
      <c r="I181">
        <f>IF([1]Accounts!$D$182="","",[1]Accounts!$D$182)</f>
        <v/>
      </c>
      <c r="R181">
        <f>IF(AND($F181&lt;&gt;"",$I181&lt;&gt;""),IF(OR($G181="دارایی ثابت",$G181="وام و تسهیلات",$G181="سرمایه و آورده صاحبان"),0,1),0)</f>
        <v/>
      </c>
      <c r="S181">
        <f>SUM($R$6:$R181)</f>
        <v/>
      </c>
      <c r="T181">
        <f>IFERROR(INDEX($F$6:$F$565,MATCH(ROW()-5,$S$6:$S$565,0)),"")</f>
        <v/>
      </c>
      <c r="Z181">
        <f>IF([2]Entry!$E$184="","",[2]Entry!$E$184)</f>
        <v/>
      </c>
      <c r="AA181">
        <f>IF([2]Entry!$G$184="","",[2]Entry!$G$184)</f>
        <v/>
      </c>
      <c r="AB181">
        <f>IF([2]Entry!$J$184="","",[2]Entry!$J$184)</f>
        <v/>
      </c>
      <c r="AC181">
        <f>IF([2]Entry!$K$184="","",[2]Entry!$K$184)</f>
        <v/>
      </c>
      <c r="AD181">
        <f>IF([2]Entry!$L$184="","",[2]Entry!$L$184)</f>
        <v/>
      </c>
      <c r="AE181">
        <f>IF([2]Entry!$M$184="","",[2]Entry!$M$184)</f>
        <v/>
      </c>
      <c r="AF181">
        <f>IF([2]Entry!$N$184="","",[2]Entry!$N$184)</f>
        <v/>
      </c>
      <c r="AG181">
        <f>IF([3]Issues!$B$184="","",[3]Issues!$B$184)</f>
        <v/>
      </c>
      <c r="AH181">
        <f>IF([3]Issues!$D$184="","",[3]Issues!$D$184)</f>
        <v/>
      </c>
      <c r="AI181">
        <f>IF([3]Issues!$E$184="","",[3]Issues!$E$184)</f>
        <v/>
      </c>
      <c r="AJ181">
        <f>IF([2]Entry!$S$184="","",[2]Entry!$S$184)</f>
        <v/>
      </c>
      <c r="AK181">
        <f>IF([2]Entry!$C$184="","",[2]Entry!$C$184)</f>
        <v/>
      </c>
      <c r="AL181">
        <f>IF([2]Entry!$D$184="","",[2]Entry!$D$184)</f>
        <v/>
      </c>
      <c r="AM181">
        <f>IF(AND($F181&lt;&gt;"",$I181&lt;&gt;""),IF($G181="دارایی ثابت",1,0),0)</f>
        <v/>
      </c>
      <c r="AN181">
        <f>SUM($AM$6:$AM181)</f>
        <v/>
      </c>
      <c r="AO181">
        <f>IFERROR(INDEX($F$6:$F$565,MATCH(ROW()-5,$AN$6:$AN$565,0)),"")</f>
        <v/>
      </c>
      <c r="AP181">
        <f>IF(AND($F181&lt;&gt;"",$I181&lt;&gt;""),IF($G181="وام و تسهیلات",1,0),0)</f>
        <v/>
      </c>
      <c r="AQ181">
        <f>SUM($AP$6:$AP181)</f>
        <v/>
      </c>
      <c r="AR181">
        <f>IFERROR(INDEX($F$6:$F$565,MATCH(ROW()-5,$AQ$6:$AQ$565,0)),"")</f>
        <v/>
      </c>
      <c r="AS181">
        <f>IF(AND($F181&lt;&gt;"",$I181&lt;&gt;""),IF($G181="سرمایه و آورده صاحبان",1,0),0)</f>
        <v/>
      </c>
      <c r="AT181">
        <f>SUM($AS$6:$AS181)</f>
        <v/>
      </c>
      <c r="AU181">
        <f>IFERROR(INDEX($F$6:$F$565,MATCH(ROW()-5,$AT$6:$AT$565,0)),"")</f>
        <v/>
      </c>
      <c r="AW181">
        <f>IF([3]Issues!$C$184="","",[3]Issues!$C$184)</f>
        <v/>
      </c>
      <c r="AX181">
        <f>IF([4]Entry!$E$184="","",[4]Entry!$E$184)</f>
        <v/>
      </c>
      <c r="AY181">
        <f>IF([4]Entry!$H$184="","",[4]Entry!$H$184)</f>
        <v/>
      </c>
      <c r="AZ181">
        <f>IF([4]Entry!$I$184="","",[4]Entry!$I$184)</f>
        <v/>
      </c>
    </row>
    <row r="182">
      <c r="F182">
        <f>IF([1]Accounts!$D$183="","",[1]Accounts!$A$183)</f>
        <v/>
      </c>
      <c r="G182">
        <f>IF([1]Accounts!$D$183="","",[1]Accounts!$B$183)</f>
        <v/>
      </c>
      <c r="H182">
        <f>IF([1]Accounts!$D$183="","",[1]Accounts!$C$183)</f>
        <v/>
      </c>
      <c r="I182">
        <f>IF([1]Accounts!$D$183="","",[1]Accounts!$D$183)</f>
        <v/>
      </c>
      <c r="R182">
        <f>IF(AND($F182&lt;&gt;"",$I182&lt;&gt;""),IF(OR($G182="دارایی ثابت",$G182="وام و تسهیلات",$G182="سرمایه و آورده صاحبان"),0,1),0)</f>
        <v/>
      </c>
      <c r="S182">
        <f>SUM($R$6:$R182)</f>
        <v/>
      </c>
      <c r="T182">
        <f>IFERROR(INDEX($F$6:$F$565,MATCH(ROW()-5,$S$6:$S$565,0)),"")</f>
        <v/>
      </c>
      <c r="Z182">
        <f>IF([2]Entry!$E$185="","",[2]Entry!$E$185)</f>
        <v/>
      </c>
      <c r="AA182">
        <f>IF([2]Entry!$G$185="","",[2]Entry!$G$185)</f>
        <v/>
      </c>
      <c r="AB182">
        <f>IF([2]Entry!$J$185="","",[2]Entry!$J$185)</f>
        <v/>
      </c>
      <c r="AC182">
        <f>IF([2]Entry!$K$185="","",[2]Entry!$K$185)</f>
        <v/>
      </c>
      <c r="AD182">
        <f>IF([2]Entry!$L$185="","",[2]Entry!$L$185)</f>
        <v/>
      </c>
      <c r="AE182">
        <f>IF([2]Entry!$M$185="","",[2]Entry!$M$185)</f>
        <v/>
      </c>
      <c r="AF182">
        <f>IF([2]Entry!$N$185="","",[2]Entry!$N$185)</f>
        <v/>
      </c>
      <c r="AG182">
        <f>IF([3]Issues!$B$185="","",[3]Issues!$B$185)</f>
        <v/>
      </c>
      <c r="AH182">
        <f>IF([3]Issues!$D$185="","",[3]Issues!$D$185)</f>
        <v/>
      </c>
      <c r="AI182">
        <f>IF([3]Issues!$E$185="","",[3]Issues!$E$185)</f>
        <v/>
      </c>
      <c r="AJ182">
        <f>IF([2]Entry!$S$185="","",[2]Entry!$S$185)</f>
        <v/>
      </c>
      <c r="AK182">
        <f>IF([2]Entry!$C$185="","",[2]Entry!$C$185)</f>
        <v/>
      </c>
      <c r="AL182">
        <f>IF([2]Entry!$D$185="","",[2]Entry!$D$185)</f>
        <v/>
      </c>
      <c r="AM182">
        <f>IF(AND($F182&lt;&gt;"",$I182&lt;&gt;""),IF($G182="دارایی ثابت",1,0),0)</f>
        <v/>
      </c>
      <c r="AN182">
        <f>SUM($AM$6:$AM182)</f>
        <v/>
      </c>
      <c r="AO182">
        <f>IFERROR(INDEX($F$6:$F$565,MATCH(ROW()-5,$AN$6:$AN$565,0)),"")</f>
        <v/>
      </c>
      <c r="AP182">
        <f>IF(AND($F182&lt;&gt;"",$I182&lt;&gt;""),IF($G182="وام و تسهیلات",1,0),0)</f>
        <v/>
      </c>
      <c r="AQ182">
        <f>SUM($AP$6:$AP182)</f>
        <v/>
      </c>
      <c r="AR182">
        <f>IFERROR(INDEX($F$6:$F$565,MATCH(ROW()-5,$AQ$6:$AQ$565,0)),"")</f>
        <v/>
      </c>
      <c r="AS182">
        <f>IF(AND($F182&lt;&gt;"",$I182&lt;&gt;""),IF($G182="سرمایه و آورده صاحبان",1,0),0)</f>
        <v/>
      </c>
      <c r="AT182">
        <f>SUM($AS$6:$AS182)</f>
        <v/>
      </c>
      <c r="AU182">
        <f>IFERROR(INDEX($F$6:$F$565,MATCH(ROW()-5,$AT$6:$AT$565,0)),"")</f>
        <v/>
      </c>
      <c r="AW182">
        <f>IF([3]Issues!$C$185="","",[3]Issues!$C$185)</f>
        <v/>
      </c>
      <c r="AX182">
        <f>IF([4]Entry!$E$185="","",[4]Entry!$E$185)</f>
        <v/>
      </c>
      <c r="AY182">
        <f>IF([4]Entry!$H$185="","",[4]Entry!$H$185)</f>
        <v/>
      </c>
      <c r="AZ182">
        <f>IF([4]Entry!$I$185="","",[4]Entry!$I$185)</f>
        <v/>
      </c>
    </row>
    <row r="183">
      <c r="F183">
        <f>IF([1]Accounts!$D$184="","",[1]Accounts!$A$184)</f>
        <v/>
      </c>
      <c r="G183">
        <f>IF([1]Accounts!$D$184="","",[1]Accounts!$B$184)</f>
        <v/>
      </c>
      <c r="H183">
        <f>IF([1]Accounts!$D$184="","",[1]Accounts!$C$184)</f>
        <v/>
      </c>
      <c r="I183">
        <f>IF([1]Accounts!$D$184="","",[1]Accounts!$D$184)</f>
        <v/>
      </c>
      <c r="R183">
        <f>IF(AND($F183&lt;&gt;"",$I183&lt;&gt;""),IF(OR($G183="دارایی ثابت",$G183="وام و تسهیلات",$G183="سرمایه و آورده صاحبان"),0,1),0)</f>
        <v/>
      </c>
      <c r="S183">
        <f>SUM($R$6:$R183)</f>
        <v/>
      </c>
      <c r="T183">
        <f>IFERROR(INDEX($F$6:$F$565,MATCH(ROW()-5,$S$6:$S$565,0)),"")</f>
        <v/>
      </c>
      <c r="Z183">
        <f>IF([2]Entry!$E$186="","",[2]Entry!$E$186)</f>
        <v/>
      </c>
      <c r="AA183">
        <f>IF([2]Entry!$G$186="","",[2]Entry!$G$186)</f>
        <v/>
      </c>
      <c r="AB183">
        <f>IF([2]Entry!$J$186="","",[2]Entry!$J$186)</f>
        <v/>
      </c>
      <c r="AC183">
        <f>IF([2]Entry!$K$186="","",[2]Entry!$K$186)</f>
        <v/>
      </c>
      <c r="AD183">
        <f>IF([2]Entry!$L$186="","",[2]Entry!$L$186)</f>
        <v/>
      </c>
      <c r="AE183">
        <f>IF([2]Entry!$M$186="","",[2]Entry!$M$186)</f>
        <v/>
      </c>
      <c r="AF183">
        <f>IF([2]Entry!$N$186="","",[2]Entry!$N$186)</f>
        <v/>
      </c>
      <c r="AG183">
        <f>IF([3]Issues!$B$186="","",[3]Issues!$B$186)</f>
        <v/>
      </c>
      <c r="AH183">
        <f>IF([3]Issues!$D$186="","",[3]Issues!$D$186)</f>
        <v/>
      </c>
      <c r="AI183">
        <f>IF([3]Issues!$E$186="","",[3]Issues!$E$186)</f>
        <v/>
      </c>
      <c r="AJ183">
        <f>IF([2]Entry!$S$186="","",[2]Entry!$S$186)</f>
        <v/>
      </c>
      <c r="AK183">
        <f>IF([2]Entry!$C$186="","",[2]Entry!$C$186)</f>
        <v/>
      </c>
      <c r="AL183">
        <f>IF([2]Entry!$D$186="","",[2]Entry!$D$186)</f>
        <v/>
      </c>
      <c r="AM183">
        <f>IF(AND($F183&lt;&gt;"",$I183&lt;&gt;""),IF($G183="دارایی ثابت",1,0),0)</f>
        <v/>
      </c>
      <c r="AN183">
        <f>SUM($AM$6:$AM183)</f>
        <v/>
      </c>
      <c r="AO183">
        <f>IFERROR(INDEX($F$6:$F$565,MATCH(ROW()-5,$AN$6:$AN$565,0)),"")</f>
        <v/>
      </c>
      <c r="AP183">
        <f>IF(AND($F183&lt;&gt;"",$I183&lt;&gt;""),IF($G183="وام و تسهیلات",1,0),0)</f>
        <v/>
      </c>
      <c r="AQ183">
        <f>SUM($AP$6:$AP183)</f>
        <v/>
      </c>
      <c r="AR183">
        <f>IFERROR(INDEX($F$6:$F$565,MATCH(ROW()-5,$AQ$6:$AQ$565,0)),"")</f>
        <v/>
      </c>
      <c r="AS183">
        <f>IF(AND($F183&lt;&gt;"",$I183&lt;&gt;""),IF($G183="سرمایه و آورده صاحبان",1,0),0)</f>
        <v/>
      </c>
      <c r="AT183">
        <f>SUM($AS$6:$AS183)</f>
        <v/>
      </c>
      <c r="AU183">
        <f>IFERROR(INDEX($F$6:$F$565,MATCH(ROW()-5,$AT$6:$AT$565,0)),"")</f>
        <v/>
      </c>
      <c r="AW183">
        <f>IF([3]Issues!$C$186="","",[3]Issues!$C$186)</f>
        <v/>
      </c>
      <c r="AX183">
        <f>IF([4]Entry!$E$186="","",[4]Entry!$E$186)</f>
        <v/>
      </c>
      <c r="AY183">
        <f>IF([4]Entry!$H$186="","",[4]Entry!$H$186)</f>
        <v/>
      </c>
      <c r="AZ183">
        <f>IF([4]Entry!$I$186="","",[4]Entry!$I$186)</f>
        <v/>
      </c>
    </row>
    <row r="184">
      <c r="F184">
        <f>IF([1]Accounts!$D$185="","",[1]Accounts!$A$185)</f>
        <v/>
      </c>
      <c r="G184">
        <f>IF([1]Accounts!$D$185="","",[1]Accounts!$B$185)</f>
        <v/>
      </c>
      <c r="H184">
        <f>IF([1]Accounts!$D$185="","",[1]Accounts!$C$185)</f>
        <v/>
      </c>
      <c r="I184">
        <f>IF([1]Accounts!$D$185="","",[1]Accounts!$D$185)</f>
        <v/>
      </c>
      <c r="R184">
        <f>IF(AND($F184&lt;&gt;"",$I184&lt;&gt;""),IF(OR($G184="دارایی ثابت",$G184="وام و تسهیلات",$G184="سرمایه و آورده صاحبان"),0,1),0)</f>
        <v/>
      </c>
      <c r="S184">
        <f>SUM($R$6:$R184)</f>
        <v/>
      </c>
      <c r="T184">
        <f>IFERROR(INDEX($F$6:$F$565,MATCH(ROW()-5,$S$6:$S$565,0)),"")</f>
        <v/>
      </c>
      <c r="Z184">
        <f>IF([2]Entry!$E$187="","",[2]Entry!$E$187)</f>
        <v/>
      </c>
      <c r="AA184">
        <f>IF([2]Entry!$G$187="","",[2]Entry!$G$187)</f>
        <v/>
      </c>
      <c r="AB184">
        <f>IF([2]Entry!$J$187="","",[2]Entry!$J$187)</f>
        <v/>
      </c>
      <c r="AC184">
        <f>IF([2]Entry!$K$187="","",[2]Entry!$K$187)</f>
        <v/>
      </c>
      <c r="AD184">
        <f>IF([2]Entry!$L$187="","",[2]Entry!$L$187)</f>
        <v/>
      </c>
      <c r="AE184">
        <f>IF([2]Entry!$M$187="","",[2]Entry!$M$187)</f>
        <v/>
      </c>
      <c r="AF184">
        <f>IF([2]Entry!$N$187="","",[2]Entry!$N$187)</f>
        <v/>
      </c>
      <c r="AG184">
        <f>IF([3]Issues!$B$187="","",[3]Issues!$B$187)</f>
        <v/>
      </c>
      <c r="AH184">
        <f>IF([3]Issues!$D$187="","",[3]Issues!$D$187)</f>
        <v/>
      </c>
      <c r="AI184">
        <f>IF([3]Issues!$E$187="","",[3]Issues!$E$187)</f>
        <v/>
      </c>
      <c r="AJ184">
        <f>IF([2]Entry!$S$187="","",[2]Entry!$S$187)</f>
        <v/>
      </c>
      <c r="AK184">
        <f>IF([2]Entry!$C$187="","",[2]Entry!$C$187)</f>
        <v/>
      </c>
      <c r="AL184">
        <f>IF([2]Entry!$D$187="","",[2]Entry!$D$187)</f>
        <v/>
      </c>
      <c r="AM184">
        <f>IF(AND($F184&lt;&gt;"",$I184&lt;&gt;""),IF($G184="دارایی ثابت",1,0),0)</f>
        <v/>
      </c>
      <c r="AN184">
        <f>SUM($AM$6:$AM184)</f>
        <v/>
      </c>
      <c r="AO184">
        <f>IFERROR(INDEX($F$6:$F$565,MATCH(ROW()-5,$AN$6:$AN$565,0)),"")</f>
        <v/>
      </c>
      <c r="AP184">
        <f>IF(AND($F184&lt;&gt;"",$I184&lt;&gt;""),IF($G184="وام و تسهیلات",1,0),0)</f>
        <v/>
      </c>
      <c r="AQ184">
        <f>SUM($AP$6:$AP184)</f>
        <v/>
      </c>
      <c r="AR184">
        <f>IFERROR(INDEX($F$6:$F$565,MATCH(ROW()-5,$AQ$6:$AQ$565,0)),"")</f>
        <v/>
      </c>
      <c r="AS184">
        <f>IF(AND($F184&lt;&gt;"",$I184&lt;&gt;""),IF($G184="سرمایه و آورده صاحبان",1,0),0)</f>
        <v/>
      </c>
      <c r="AT184">
        <f>SUM($AS$6:$AS184)</f>
        <v/>
      </c>
      <c r="AU184">
        <f>IFERROR(INDEX($F$6:$F$565,MATCH(ROW()-5,$AT$6:$AT$565,0)),"")</f>
        <v/>
      </c>
      <c r="AW184">
        <f>IF([3]Issues!$C$187="","",[3]Issues!$C$187)</f>
        <v/>
      </c>
      <c r="AX184">
        <f>IF([4]Entry!$E$187="","",[4]Entry!$E$187)</f>
        <v/>
      </c>
      <c r="AY184">
        <f>IF([4]Entry!$H$187="","",[4]Entry!$H$187)</f>
        <v/>
      </c>
      <c r="AZ184">
        <f>IF([4]Entry!$I$187="","",[4]Entry!$I$187)</f>
        <v/>
      </c>
    </row>
    <row r="185">
      <c r="F185">
        <f>IF([1]Accounts!$D$186="","",[1]Accounts!$A$186)</f>
        <v/>
      </c>
      <c r="G185">
        <f>IF([1]Accounts!$D$186="","",[1]Accounts!$B$186)</f>
        <v/>
      </c>
      <c r="H185">
        <f>IF([1]Accounts!$D$186="","",[1]Accounts!$C$186)</f>
        <v/>
      </c>
      <c r="I185">
        <f>IF([1]Accounts!$D$186="","",[1]Accounts!$D$186)</f>
        <v/>
      </c>
      <c r="R185">
        <f>IF(AND($F185&lt;&gt;"",$I185&lt;&gt;""),IF(OR($G185="دارایی ثابت",$G185="وام و تسهیلات",$G185="سرمایه و آورده صاحبان"),0,1),0)</f>
        <v/>
      </c>
      <c r="S185">
        <f>SUM($R$6:$R185)</f>
        <v/>
      </c>
      <c r="T185">
        <f>IFERROR(INDEX($F$6:$F$565,MATCH(ROW()-5,$S$6:$S$565,0)),"")</f>
        <v/>
      </c>
      <c r="Z185">
        <f>IF([2]Entry!$E$188="","",[2]Entry!$E$188)</f>
        <v/>
      </c>
      <c r="AA185">
        <f>IF([2]Entry!$G$188="","",[2]Entry!$G$188)</f>
        <v/>
      </c>
      <c r="AB185">
        <f>IF([2]Entry!$J$188="","",[2]Entry!$J$188)</f>
        <v/>
      </c>
      <c r="AC185">
        <f>IF([2]Entry!$K$188="","",[2]Entry!$K$188)</f>
        <v/>
      </c>
      <c r="AD185">
        <f>IF([2]Entry!$L$188="","",[2]Entry!$L$188)</f>
        <v/>
      </c>
      <c r="AE185">
        <f>IF([2]Entry!$M$188="","",[2]Entry!$M$188)</f>
        <v/>
      </c>
      <c r="AF185">
        <f>IF([2]Entry!$N$188="","",[2]Entry!$N$188)</f>
        <v/>
      </c>
      <c r="AG185">
        <f>IF([3]Issues!$B$188="","",[3]Issues!$B$188)</f>
        <v/>
      </c>
      <c r="AH185">
        <f>IF([3]Issues!$D$188="","",[3]Issues!$D$188)</f>
        <v/>
      </c>
      <c r="AI185">
        <f>IF([3]Issues!$E$188="","",[3]Issues!$E$188)</f>
        <v/>
      </c>
      <c r="AJ185">
        <f>IF([2]Entry!$S$188="","",[2]Entry!$S$188)</f>
        <v/>
      </c>
      <c r="AK185">
        <f>IF([2]Entry!$C$188="","",[2]Entry!$C$188)</f>
        <v/>
      </c>
      <c r="AL185">
        <f>IF([2]Entry!$D$188="","",[2]Entry!$D$188)</f>
        <v/>
      </c>
      <c r="AM185">
        <f>IF(AND($F185&lt;&gt;"",$I185&lt;&gt;""),IF($G185="دارایی ثابت",1,0),0)</f>
        <v/>
      </c>
      <c r="AN185">
        <f>SUM($AM$6:$AM185)</f>
        <v/>
      </c>
      <c r="AO185">
        <f>IFERROR(INDEX($F$6:$F$565,MATCH(ROW()-5,$AN$6:$AN$565,0)),"")</f>
        <v/>
      </c>
      <c r="AP185">
        <f>IF(AND($F185&lt;&gt;"",$I185&lt;&gt;""),IF($G185="وام و تسهیلات",1,0),0)</f>
        <v/>
      </c>
      <c r="AQ185">
        <f>SUM($AP$6:$AP185)</f>
        <v/>
      </c>
      <c r="AR185">
        <f>IFERROR(INDEX($F$6:$F$565,MATCH(ROW()-5,$AQ$6:$AQ$565,0)),"")</f>
        <v/>
      </c>
      <c r="AS185">
        <f>IF(AND($F185&lt;&gt;"",$I185&lt;&gt;""),IF($G185="سرمایه و آورده صاحبان",1,0),0)</f>
        <v/>
      </c>
      <c r="AT185">
        <f>SUM($AS$6:$AS185)</f>
        <v/>
      </c>
      <c r="AU185">
        <f>IFERROR(INDEX($F$6:$F$565,MATCH(ROW()-5,$AT$6:$AT$565,0)),"")</f>
        <v/>
      </c>
      <c r="AW185">
        <f>IF([3]Issues!$C$188="","",[3]Issues!$C$188)</f>
        <v/>
      </c>
      <c r="AX185">
        <f>IF([4]Entry!$E$188="","",[4]Entry!$E$188)</f>
        <v/>
      </c>
      <c r="AY185">
        <f>IF([4]Entry!$H$188="","",[4]Entry!$H$188)</f>
        <v/>
      </c>
      <c r="AZ185">
        <f>IF([4]Entry!$I$188="","",[4]Entry!$I$188)</f>
        <v/>
      </c>
    </row>
    <row r="186">
      <c r="F186">
        <f>IF([1]Accounts!$D$187="","",[1]Accounts!$A$187)</f>
        <v/>
      </c>
      <c r="G186">
        <f>IF([1]Accounts!$D$187="","",[1]Accounts!$B$187)</f>
        <v/>
      </c>
      <c r="H186">
        <f>IF([1]Accounts!$D$187="","",[1]Accounts!$C$187)</f>
        <v/>
      </c>
      <c r="I186">
        <f>IF([1]Accounts!$D$187="","",[1]Accounts!$D$187)</f>
        <v/>
      </c>
      <c r="R186">
        <f>IF(AND($F186&lt;&gt;"",$I186&lt;&gt;""),IF(OR($G186="دارایی ثابت",$G186="وام و تسهیلات",$G186="سرمایه و آورده صاحبان"),0,1),0)</f>
        <v/>
      </c>
      <c r="S186">
        <f>SUM($R$6:$R186)</f>
        <v/>
      </c>
      <c r="T186">
        <f>IFERROR(INDEX($F$6:$F$565,MATCH(ROW()-5,$S$6:$S$565,0)),"")</f>
        <v/>
      </c>
      <c r="Z186">
        <f>IF([2]Entry!$E$189="","",[2]Entry!$E$189)</f>
        <v/>
      </c>
      <c r="AA186">
        <f>IF([2]Entry!$G$189="","",[2]Entry!$G$189)</f>
        <v/>
      </c>
      <c r="AB186">
        <f>IF([2]Entry!$J$189="","",[2]Entry!$J$189)</f>
        <v/>
      </c>
      <c r="AC186">
        <f>IF([2]Entry!$K$189="","",[2]Entry!$K$189)</f>
        <v/>
      </c>
      <c r="AD186">
        <f>IF([2]Entry!$L$189="","",[2]Entry!$L$189)</f>
        <v/>
      </c>
      <c r="AE186">
        <f>IF([2]Entry!$M$189="","",[2]Entry!$M$189)</f>
        <v/>
      </c>
      <c r="AF186">
        <f>IF([2]Entry!$N$189="","",[2]Entry!$N$189)</f>
        <v/>
      </c>
      <c r="AG186">
        <f>IF([3]Issues!$B$189="","",[3]Issues!$B$189)</f>
        <v/>
      </c>
      <c r="AH186">
        <f>IF([3]Issues!$D$189="","",[3]Issues!$D$189)</f>
        <v/>
      </c>
      <c r="AI186">
        <f>IF([3]Issues!$E$189="","",[3]Issues!$E$189)</f>
        <v/>
      </c>
      <c r="AJ186">
        <f>IF([2]Entry!$S$189="","",[2]Entry!$S$189)</f>
        <v/>
      </c>
      <c r="AK186">
        <f>IF([2]Entry!$C$189="","",[2]Entry!$C$189)</f>
        <v/>
      </c>
      <c r="AL186">
        <f>IF([2]Entry!$D$189="","",[2]Entry!$D$189)</f>
        <v/>
      </c>
      <c r="AM186">
        <f>IF(AND($F186&lt;&gt;"",$I186&lt;&gt;""),IF($G186="دارایی ثابت",1,0),0)</f>
        <v/>
      </c>
      <c r="AN186">
        <f>SUM($AM$6:$AM186)</f>
        <v/>
      </c>
      <c r="AO186">
        <f>IFERROR(INDEX($F$6:$F$565,MATCH(ROW()-5,$AN$6:$AN$565,0)),"")</f>
        <v/>
      </c>
      <c r="AP186">
        <f>IF(AND($F186&lt;&gt;"",$I186&lt;&gt;""),IF($G186="وام و تسهیلات",1,0),0)</f>
        <v/>
      </c>
      <c r="AQ186">
        <f>SUM($AP$6:$AP186)</f>
        <v/>
      </c>
      <c r="AR186">
        <f>IFERROR(INDEX($F$6:$F$565,MATCH(ROW()-5,$AQ$6:$AQ$565,0)),"")</f>
        <v/>
      </c>
      <c r="AS186">
        <f>IF(AND($F186&lt;&gt;"",$I186&lt;&gt;""),IF($G186="سرمایه و آورده صاحبان",1,0),0)</f>
        <v/>
      </c>
      <c r="AT186">
        <f>SUM($AS$6:$AS186)</f>
        <v/>
      </c>
      <c r="AU186">
        <f>IFERROR(INDEX($F$6:$F$565,MATCH(ROW()-5,$AT$6:$AT$565,0)),"")</f>
        <v/>
      </c>
      <c r="AW186">
        <f>IF([3]Issues!$C$189="","",[3]Issues!$C$189)</f>
        <v/>
      </c>
      <c r="AX186">
        <f>IF([4]Entry!$E$189="","",[4]Entry!$E$189)</f>
        <v/>
      </c>
      <c r="AY186">
        <f>IF([4]Entry!$H$189="","",[4]Entry!$H$189)</f>
        <v/>
      </c>
      <c r="AZ186">
        <f>IF([4]Entry!$I$189="","",[4]Entry!$I$189)</f>
        <v/>
      </c>
    </row>
    <row r="187">
      <c r="F187">
        <f>IF([1]Accounts!$D$188="","",[1]Accounts!$A$188)</f>
        <v/>
      </c>
      <c r="G187">
        <f>IF([1]Accounts!$D$188="","",[1]Accounts!$B$188)</f>
        <v/>
      </c>
      <c r="H187">
        <f>IF([1]Accounts!$D$188="","",[1]Accounts!$C$188)</f>
        <v/>
      </c>
      <c r="I187">
        <f>IF([1]Accounts!$D$188="","",[1]Accounts!$D$188)</f>
        <v/>
      </c>
      <c r="R187">
        <f>IF(AND($F187&lt;&gt;"",$I187&lt;&gt;""),IF(OR($G187="دارایی ثابت",$G187="وام و تسهیلات",$G187="سرمایه و آورده صاحبان"),0,1),0)</f>
        <v/>
      </c>
      <c r="S187">
        <f>SUM($R$6:$R187)</f>
        <v/>
      </c>
      <c r="T187">
        <f>IFERROR(INDEX($F$6:$F$565,MATCH(ROW()-5,$S$6:$S$565,0)),"")</f>
        <v/>
      </c>
      <c r="Z187">
        <f>IF([2]Entry!$E$190="","",[2]Entry!$E$190)</f>
        <v/>
      </c>
      <c r="AA187">
        <f>IF([2]Entry!$G$190="","",[2]Entry!$G$190)</f>
        <v/>
      </c>
      <c r="AB187">
        <f>IF([2]Entry!$J$190="","",[2]Entry!$J$190)</f>
        <v/>
      </c>
      <c r="AC187">
        <f>IF([2]Entry!$K$190="","",[2]Entry!$K$190)</f>
        <v/>
      </c>
      <c r="AD187">
        <f>IF([2]Entry!$L$190="","",[2]Entry!$L$190)</f>
        <v/>
      </c>
      <c r="AE187">
        <f>IF([2]Entry!$M$190="","",[2]Entry!$M$190)</f>
        <v/>
      </c>
      <c r="AF187">
        <f>IF([2]Entry!$N$190="","",[2]Entry!$N$190)</f>
        <v/>
      </c>
      <c r="AG187">
        <f>IF([3]Issues!$B$190="","",[3]Issues!$B$190)</f>
        <v/>
      </c>
      <c r="AH187">
        <f>IF([3]Issues!$D$190="","",[3]Issues!$D$190)</f>
        <v/>
      </c>
      <c r="AI187">
        <f>IF([3]Issues!$E$190="","",[3]Issues!$E$190)</f>
        <v/>
      </c>
      <c r="AJ187">
        <f>IF([2]Entry!$S$190="","",[2]Entry!$S$190)</f>
        <v/>
      </c>
      <c r="AK187">
        <f>IF([2]Entry!$C$190="","",[2]Entry!$C$190)</f>
        <v/>
      </c>
      <c r="AL187">
        <f>IF([2]Entry!$D$190="","",[2]Entry!$D$190)</f>
        <v/>
      </c>
      <c r="AM187">
        <f>IF(AND($F187&lt;&gt;"",$I187&lt;&gt;""),IF($G187="دارایی ثابت",1,0),0)</f>
        <v/>
      </c>
      <c r="AN187">
        <f>SUM($AM$6:$AM187)</f>
        <v/>
      </c>
      <c r="AO187">
        <f>IFERROR(INDEX($F$6:$F$565,MATCH(ROW()-5,$AN$6:$AN$565,0)),"")</f>
        <v/>
      </c>
      <c r="AP187">
        <f>IF(AND($F187&lt;&gt;"",$I187&lt;&gt;""),IF($G187="وام و تسهیلات",1,0),0)</f>
        <v/>
      </c>
      <c r="AQ187">
        <f>SUM($AP$6:$AP187)</f>
        <v/>
      </c>
      <c r="AR187">
        <f>IFERROR(INDEX($F$6:$F$565,MATCH(ROW()-5,$AQ$6:$AQ$565,0)),"")</f>
        <v/>
      </c>
      <c r="AS187">
        <f>IF(AND($F187&lt;&gt;"",$I187&lt;&gt;""),IF($G187="سرمایه و آورده صاحبان",1,0),0)</f>
        <v/>
      </c>
      <c r="AT187">
        <f>SUM($AS$6:$AS187)</f>
        <v/>
      </c>
      <c r="AU187">
        <f>IFERROR(INDEX($F$6:$F$565,MATCH(ROW()-5,$AT$6:$AT$565,0)),"")</f>
        <v/>
      </c>
      <c r="AW187">
        <f>IF([3]Issues!$C$190="","",[3]Issues!$C$190)</f>
        <v/>
      </c>
      <c r="AX187">
        <f>IF([4]Entry!$E$190="","",[4]Entry!$E$190)</f>
        <v/>
      </c>
      <c r="AY187">
        <f>IF([4]Entry!$H$190="","",[4]Entry!$H$190)</f>
        <v/>
      </c>
      <c r="AZ187">
        <f>IF([4]Entry!$I$190="","",[4]Entry!$I$190)</f>
        <v/>
      </c>
    </row>
    <row r="188">
      <c r="F188">
        <f>IF([1]Accounts!$D$189="","",[1]Accounts!$A$189)</f>
        <v/>
      </c>
      <c r="G188">
        <f>IF([1]Accounts!$D$189="","",[1]Accounts!$B$189)</f>
        <v/>
      </c>
      <c r="H188">
        <f>IF([1]Accounts!$D$189="","",[1]Accounts!$C$189)</f>
        <v/>
      </c>
      <c r="I188">
        <f>IF([1]Accounts!$D$189="","",[1]Accounts!$D$189)</f>
        <v/>
      </c>
      <c r="R188">
        <f>IF(AND($F188&lt;&gt;"",$I188&lt;&gt;""),IF(OR($G188="دارایی ثابت",$G188="وام و تسهیلات",$G188="سرمایه و آورده صاحبان"),0,1),0)</f>
        <v/>
      </c>
      <c r="S188">
        <f>SUM($R$6:$R188)</f>
        <v/>
      </c>
      <c r="T188">
        <f>IFERROR(INDEX($F$6:$F$565,MATCH(ROW()-5,$S$6:$S$565,0)),"")</f>
        <v/>
      </c>
      <c r="Z188">
        <f>IF([2]Entry!$E$191="","",[2]Entry!$E$191)</f>
        <v/>
      </c>
      <c r="AA188">
        <f>IF([2]Entry!$G$191="","",[2]Entry!$G$191)</f>
        <v/>
      </c>
      <c r="AB188">
        <f>IF([2]Entry!$J$191="","",[2]Entry!$J$191)</f>
        <v/>
      </c>
      <c r="AC188">
        <f>IF([2]Entry!$K$191="","",[2]Entry!$K$191)</f>
        <v/>
      </c>
      <c r="AD188">
        <f>IF([2]Entry!$L$191="","",[2]Entry!$L$191)</f>
        <v/>
      </c>
      <c r="AE188">
        <f>IF([2]Entry!$M$191="","",[2]Entry!$M$191)</f>
        <v/>
      </c>
      <c r="AF188">
        <f>IF([2]Entry!$N$191="","",[2]Entry!$N$191)</f>
        <v/>
      </c>
      <c r="AG188">
        <f>IF([3]Issues!$B$191="","",[3]Issues!$B$191)</f>
        <v/>
      </c>
      <c r="AH188">
        <f>IF([3]Issues!$D$191="","",[3]Issues!$D$191)</f>
        <v/>
      </c>
      <c r="AI188">
        <f>IF([3]Issues!$E$191="","",[3]Issues!$E$191)</f>
        <v/>
      </c>
      <c r="AJ188">
        <f>IF([2]Entry!$S$191="","",[2]Entry!$S$191)</f>
        <v/>
      </c>
      <c r="AK188">
        <f>IF([2]Entry!$C$191="","",[2]Entry!$C$191)</f>
        <v/>
      </c>
      <c r="AL188">
        <f>IF([2]Entry!$D$191="","",[2]Entry!$D$191)</f>
        <v/>
      </c>
      <c r="AM188">
        <f>IF(AND($F188&lt;&gt;"",$I188&lt;&gt;""),IF($G188="دارایی ثابت",1,0),0)</f>
        <v/>
      </c>
      <c r="AN188">
        <f>SUM($AM$6:$AM188)</f>
        <v/>
      </c>
      <c r="AO188">
        <f>IFERROR(INDEX($F$6:$F$565,MATCH(ROW()-5,$AN$6:$AN$565,0)),"")</f>
        <v/>
      </c>
      <c r="AP188">
        <f>IF(AND($F188&lt;&gt;"",$I188&lt;&gt;""),IF($G188="وام و تسهیلات",1,0),0)</f>
        <v/>
      </c>
      <c r="AQ188">
        <f>SUM($AP$6:$AP188)</f>
        <v/>
      </c>
      <c r="AR188">
        <f>IFERROR(INDEX($F$6:$F$565,MATCH(ROW()-5,$AQ$6:$AQ$565,0)),"")</f>
        <v/>
      </c>
      <c r="AS188">
        <f>IF(AND($F188&lt;&gt;"",$I188&lt;&gt;""),IF($G188="سرمایه و آورده صاحبان",1,0),0)</f>
        <v/>
      </c>
      <c r="AT188">
        <f>SUM($AS$6:$AS188)</f>
        <v/>
      </c>
      <c r="AU188">
        <f>IFERROR(INDEX($F$6:$F$565,MATCH(ROW()-5,$AT$6:$AT$565,0)),"")</f>
        <v/>
      </c>
      <c r="AW188">
        <f>IF([3]Issues!$C$191="","",[3]Issues!$C$191)</f>
        <v/>
      </c>
      <c r="AX188">
        <f>IF([4]Entry!$E$191="","",[4]Entry!$E$191)</f>
        <v/>
      </c>
      <c r="AY188">
        <f>IF([4]Entry!$H$191="","",[4]Entry!$H$191)</f>
        <v/>
      </c>
      <c r="AZ188">
        <f>IF([4]Entry!$I$191="","",[4]Entry!$I$191)</f>
        <v/>
      </c>
    </row>
    <row r="189">
      <c r="F189">
        <f>IF([1]Accounts!$D$190="","",[1]Accounts!$A$190)</f>
        <v/>
      </c>
      <c r="G189">
        <f>IF([1]Accounts!$D$190="","",[1]Accounts!$B$190)</f>
        <v/>
      </c>
      <c r="H189">
        <f>IF([1]Accounts!$D$190="","",[1]Accounts!$C$190)</f>
        <v/>
      </c>
      <c r="I189">
        <f>IF([1]Accounts!$D$190="","",[1]Accounts!$D$190)</f>
        <v/>
      </c>
      <c r="R189">
        <f>IF(AND($F189&lt;&gt;"",$I189&lt;&gt;""),IF(OR($G189="دارایی ثابت",$G189="وام و تسهیلات",$G189="سرمایه و آورده صاحبان"),0,1),0)</f>
        <v/>
      </c>
      <c r="S189">
        <f>SUM($R$6:$R189)</f>
        <v/>
      </c>
      <c r="T189">
        <f>IFERROR(INDEX($F$6:$F$565,MATCH(ROW()-5,$S$6:$S$565,0)),"")</f>
        <v/>
      </c>
      <c r="Z189">
        <f>IF([2]Entry!$E$192="","",[2]Entry!$E$192)</f>
        <v/>
      </c>
      <c r="AA189">
        <f>IF([2]Entry!$G$192="","",[2]Entry!$G$192)</f>
        <v/>
      </c>
      <c r="AB189">
        <f>IF([2]Entry!$J$192="","",[2]Entry!$J$192)</f>
        <v/>
      </c>
      <c r="AC189">
        <f>IF([2]Entry!$K$192="","",[2]Entry!$K$192)</f>
        <v/>
      </c>
      <c r="AD189">
        <f>IF([2]Entry!$L$192="","",[2]Entry!$L$192)</f>
        <v/>
      </c>
      <c r="AE189">
        <f>IF([2]Entry!$M$192="","",[2]Entry!$M$192)</f>
        <v/>
      </c>
      <c r="AF189">
        <f>IF([2]Entry!$N$192="","",[2]Entry!$N$192)</f>
        <v/>
      </c>
      <c r="AG189">
        <f>IF([3]Issues!$B$192="","",[3]Issues!$B$192)</f>
        <v/>
      </c>
      <c r="AH189">
        <f>IF([3]Issues!$D$192="","",[3]Issues!$D$192)</f>
        <v/>
      </c>
      <c r="AI189">
        <f>IF([3]Issues!$E$192="","",[3]Issues!$E$192)</f>
        <v/>
      </c>
      <c r="AJ189">
        <f>IF([2]Entry!$S$192="","",[2]Entry!$S$192)</f>
        <v/>
      </c>
      <c r="AK189">
        <f>IF([2]Entry!$C$192="","",[2]Entry!$C$192)</f>
        <v/>
      </c>
      <c r="AL189">
        <f>IF([2]Entry!$D$192="","",[2]Entry!$D$192)</f>
        <v/>
      </c>
      <c r="AM189">
        <f>IF(AND($F189&lt;&gt;"",$I189&lt;&gt;""),IF($G189="دارایی ثابت",1,0),0)</f>
        <v/>
      </c>
      <c r="AN189">
        <f>SUM($AM$6:$AM189)</f>
        <v/>
      </c>
      <c r="AO189">
        <f>IFERROR(INDEX($F$6:$F$565,MATCH(ROW()-5,$AN$6:$AN$565,0)),"")</f>
        <v/>
      </c>
      <c r="AP189">
        <f>IF(AND($F189&lt;&gt;"",$I189&lt;&gt;""),IF($G189="وام و تسهیلات",1,0),0)</f>
        <v/>
      </c>
      <c r="AQ189">
        <f>SUM($AP$6:$AP189)</f>
        <v/>
      </c>
      <c r="AR189">
        <f>IFERROR(INDEX($F$6:$F$565,MATCH(ROW()-5,$AQ$6:$AQ$565,0)),"")</f>
        <v/>
      </c>
      <c r="AS189">
        <f>IF(AND($F189&lt;&gt;"",$I189&lt;&gt;""),IF($G189="سرمایه و آورده صاحبان",1,0),0)</f>
        <v/>
      </c>
      <c r="AT189">
        <f>SUM($AS$6:$AS189)</f>
        <v/>
      </c>
      <c r="AU189">
        <f>IFERROR(INDEX($F$6:$F$565,MATCH(ROW()-5,$AT$6:$AT$565,0)),"")</f>
        <v/>
      </c>
      <c r="AW189">
        <f>IF([3]Issues!$C$192="","",[3]Issues!$C$192)</f>
        <v/>
      </c>
      <c r="AX189">
        <f>IF([4]Entry!$E$192="","",[4]Entry!$E$192)</f>
        <v/>
      </c>
      <c r="AY189">
        <f>IF([4]Entry!$H$192="","",[4]Entry!$H$192)</f>
        <v/>
      </c>
      <c r="AZ189">
        <f>IF([4]Entry!$I$192="","",[4]Entry!$I$192)</f>
        <v/>
      </c>
    </row>
    <row r="190">
      <c r="F190">
        <f>IF([1]Accounts!$D$191="","",[1]Accounts!$A$191)</f>
        <v/>
      </c>
      <c r="G190">
        <f>IF([1]Accounts!$D$191="","",[1]Accounts!$B$191)</f>
        <v/>
      </c>
      <c r="H190">
        <f>IF([1]Accounts!$D$191="","",[1]Accounts!$C$191)</f>
        <v/>
      </c>
      <c r="I190">
        <f>IF([1]Accounts!$D$191="","",[1]Accounts!$D$191)</f>
        <v/>
      </c>
      <c r="R190">
        <f>IF(AND($F190&lt;&gt;"",$I190&lt;&gt;""),IF(OR($G190="دارایی ثابت",$G190="وام و تسهیلات",$G190="سرمایه و آورده صاحبان"),0,1),0)</f>
        <v/>
      </c>
      <c r="S190">
        <f>SUM($R$6:$R190)</f>
        <v/>
      </c>
      <c r="T190">
        <f>IFERROR(INDEX($F$6:$F$565,MATCH(ROW()-5,$S$6:$S$565,0)),"")</f>
        <v/>
      </c>
      <c r="Z190">
        <f>IF([2]Entry!$E$193="","",[2]Entry!$E$193)</f>
        <v/>
      </c>
      <c r="AA190">
        <f>IF([2]Entry!$G$193="","",[2]Entry!$G$193)</f>
        <v/>
      </c>
      <c r="AB190">
        <f>IF([2]Entry!$J$193="","",[2]Entry!$J$193)</f>
        <v/>
      </c>
      <c r="AC190">
        <f>IF([2]Entry!$K$193="","",[2]Entry!$K$193)</f>
        <v/>
      </c>
      <c r="AD190">
        <f>IF([2]Entry!$L$193="","",[2]Entry!$L$193)</f>
        <v/>
      </c>
      <c r="AE190">
        <f>IF([2]Entry!$M$193="","",[2]Entry!$M$193)</f>
        <v/>
      </c>
      <c r="AF190">
        <f>IF([2]Entry!$N$193="","",[2]Entry!$N$193)</f>
        <v/>
      </c>
      <c r="AG190">
        <f>IF([3]Issues!$B$193="","",[3]Issues!$B$193)</f>
        <v/>
      </c>
      <c r="AH190">
        <f>IF([3]Issues!$D$193="","",[3]Issues!$D$193)</f>
        <v/>
      </c>
      <c r="AI190">
        <f>IF([3]Issues!$E$193="","",[3]Issues!$E$193)</f>
        <v/>
      </c>
      <c r="AJ190">
        <f>IF([2]Entry!$S$193="","",[2]Entry!$S$193)</f>
        <v/>
      </c>
      <c r="AK190">
        <f>IF([2]Entry!$C$193="","",[2]Entry!$C$193)</f>
        <v/>
      </c>
      <c r="AL190">
        <f>IF([2]Entry!$D$193="","",[2]Entry!$D$193)</f>
        <v/>
      </c>
      <c r="AM190">
        <f>IF(AND($F190&lt;&gt;"",$I190&lt;&gt;""),IF($G190="دارایی ثابت",1,0),0)</f>
        <v/>
      </c>
      <c r="AN190">
        <f>SUM($AM$6:$AM190)</f>
        <v/>
      </c>
      <c r="AO190">
        <f>IFERROR(INDEX($F$6:$F$565,MATCH(ROW()-5,$AN$6:$AN$565,0)),"")</f>
        <v/>
      </c>
      <c r="AP190">
        <f>IF(AND($F190&lt;&gt;"",$I190&lt;&gt;""),IF($G190="وام و تسهیلات",1,0),0)</f>
        <v/>
      </c>
      <c r="AQ190">
        <f>SUM($AP$6:$AP190)</f>
        <v/>
      </c>
      <c r="AR190">
        <f>IFERROR(INDEX($F$6:$F$565,MATCH(ROW()-5,$AQ$6:$AQ$565,0)),"")</f>
        <v/>
      </c>
      <c r="AS190">
        <f>IF(AND($F190&lt;&gt;"",$I190&lt;&gt;""),IF($G190="سرمایه و آورده صاحبان",1,0),0)</f>
        <v/>
      </c>
      <c r="AT190">
        <f>SUM($AS$6:$AS190)</f>
        <v/>
      </c>
      <c r="AU190">
        <f>IFERROR(INDEX($F$6:$F$565,MATCH(ROW()-5,$AT$6:$AT$565,0)),"")</f>
        <v/>
      </c>
      <c r="AW190">
        <f>IF([3]Issues!$C$193="","",[3]Issues!$C$193)</f>
        <v/>
      </c>
      <c r="AX190">
        <f>IF([4]Entry!$E$193="","",[4]Entry!$E$193)</f>
        <v/>
      </c>
      <c r="AY190">
        <f>IF([4]Entry!$H$193="","",[4]Entry!$H$193)</f>
        <v/>
      </c>
      <c r="AZ190">
        <f>IF([4]Entry!$I$193="","",[4]Entry!$I$193)</f>
        <v/>
      </c>
    </row>
    <row r="191">
      <c r="F191">
        <f>IF([1]Accounts!$D$192="","",[1]Accounts!$A$192)</f>
        <v/>
      </c>
      <c r="G191">
        <f>IF([1]Accounts!$D$192="","",[1]Accounts!$B$192)</f>
        <v/>
      </c>
      <c r="H191">
        <f>IF([1]Accounts!$D$192="","",[1]Accounts!$C$192)</f>
        <v/>
      </c>
      <c r="I191">
        <f>IF([1]Accounts!$D$192="","",[1]Accounts!$D$192)</f>
        <v/>
      </c>
      <c r="R191">
        <f>IF(AND($F191&lt;&gt;"",$I191&lt;&gt;""),IF(OR($G191="دارایی ثابت",$G191="وام و تسهیلات",$G191="سرمایه و آورده صاحبان"),0,1),0)</f>
        <v/>
      </c>
      <c r="S191">
        <f>SUM($R$6:$R191)</f>
        <v/>
      </c>
      <c r="T191">
        <f>IFERROR(INDEX($F$6:$F$565,MATCH(ROW()-5,$S$6:$S$565,0)),"")</f>
        <v/>
      </c>
      <c r="Z191">
        <f>IF([2]Entry!$E$194="","",[2]Entry!$E$194)</f>
        <v/>
      </c>
      <c r="AA191">
        <f>IF([2]Entry!$G$194="","",[2]Entry!$G$194)</f>
        <v/>
      </c>
      <c r="AB191">
        <f>IF([2]Entry!$J$194="","",[2]Entry!$J$194)</f>
        <v/>
      </c>
      <c r="AC191">
        <f>IF([2]Entry!$K$194="","",[2]Entry!$K$194)</f>
        <v/>
      </c>
      <c r="AD191">
        <f>IF([2]Entry!$L$194="","",[2]Entry!$L$194)</f>
        <v/>
      </c>
      <c r="AE191">
        <f>IF([2]Entry!$M$194="","",[2]Entry!$M$194)</f>
        <v/>
      </c>
      <c r="AF191">
        <f>IF([2]Entry!$N$194="","",[2]Entry!$N$194)</f>
        <v/>
      </c>
      <c r="AG191">
        <f>IF([3]Issues!$B$194="","",[3]Issues!$B$194)</f>
        <v/>
      </c>
      <c r="AH191">
        <f>IF([3]Issues!$D$194="","",[3]Issues!$D$194)</f>
        <v/>
      </c>
      <c r="AI191">
        <f>IF([3]Issues!$E$194="","",[3]Issues!$E$194)</f>
        <v/>
      </c>
      <c r="AJ191">
        <f>IF([2]Entry!$S$194="","",[2]Entry!$S$194)</f>
        <v/>
      </c>
      <c r="AK191">
        <f>IF([2]Entry!$C$194="","",[2]Entry!$C$194)</f>
        <v/>
      </c>
      <c r="AL191">
        <f>IF([2]Entry!$D$194="","",[2]Entry!$D$194)</f>
        <v/>
      </c>
      <c r="AM191">
        <f>IF(AND($F191&lt;&gt;"",$I191&lt;&gt;""),IF($G191="دارایی ثابت",1,0),0)</f>
        <v/>
      </c>
      <c r="AN191">
        <f>SUM($AM$6:$AM191)</f>
        <v/>
      </c>
      <c r="AO191">
        <f>IFERROR(INDEX($F$6:$F$565,MATCH(ROW()-5,$AN$6:$AN$565,0)),"")</f>
        <v/>
      </c>
      <c r="AP191">
        <f>IF(AND($F191&lt;&gt;"",$I191&lt;&gt;""),IF($G191="وام و تسهیلات",1,0),0)</f>
        <v/>
      </c>
      <c r="AQ191">
        <f>SUM($AP$6:$AP191)</f>
        <v/>
      </c>
      <c r="AR191">
        <f>IFERROR(INDEX($F$6:$F$565,MATCH(ROW()-5,$AQ$6:$AQ$565,0)),"")</f>
        <v/>
      </c>
      <c r="AS191">
        <f>IF(AND($F191&lt;&gt;"",$I191&lt;&gt;""),IF($G191="سرمایه و آورده صاحبان",1,0),0)</f>
        <v/>
      </c>
      <c r="AT191">
        <f>SUM($AS$6:$AS191)</f>
        <v/>
      </c>
      <c r="AU191">
        <f>IFERROR(INDEX($F$6:$F$565,MATCH(ROW()-5,$AT$6:$AT$565,0)),"")</f>
        <v/>
      </c>
      <c r="AW191">
        <f>IF([3]Issues!$C$194="","",[3]Issues!$C$194)</f>
        <v/>
      </c>
      <c r="AX191">
        <f>IF([4]Entry!$E$194="","",[4]Entry!$E$194)</f>
        <v/>
      </c>
      <c r="AY191">
        <f>IF([4]Entry!$H$194="","",[4]Entry!$H$194)</f>
        <v/>
      </c>
      <c r="AZ191">
        <f>IF([4]Entry!$I$194="","",[4]Entry!$I$194)</f>
        <v/>
      </c>
    </row>
    <row r="192">
      <c r="F192">
        <f>IF([1]Accounts!$D$193="","",[1]Accounts!$A$193)</f>
        <v/>
      </c>
      <c r="G192">
        <f>IF([1]Accounts!$D$193="","",[1]Accounts!$B$193)</f>
        <v/>
      </c>
      <c r="H192">
        <f>IF([1]Accounts!$D$193="","",[1]Accounts!$C$193)</f>
        <v/>
      </c>
      <c r="I192">
        <f>IF([1]Accounts!$D$193="","",[1]Accounts!$D$193)</f>
        <v/>
      </c>
      <c r="R192">
        <f>IF(AND($F192&lt;&gt;"",$I192&lt;&gt;""),IF(OR($G192="دارایی ثابت",$G192="وام و تسهیلات",$G192="سرمایه و آورده صاحبان"),0,1),0)</f>
        <v/>
      </c>
      <c r="S192">
        <f>SUM($R$6:$R192)</f>
        <v/>
      </c>
      <c r="T192">
        <f>IFERROR(INDEX($F$6:$F$565,MATCH(ROW()-5,$S$6:$S$565,0)),"")</f>
        <v/>
      </c>
      <c r="Z192">
        <f>IF([2]Entry!$E$195="","",[2]Entry!$E$195)</f>
        <v/>
      </c>
      <c r="AA192">
        <f>IF([2]Entry!$G$195="","",[2]Entry!$G$195)</f>
        <v/>
      </c>
      <c r="AB192">
        <f>IF([2]Entry!$J$195="","",[2]Entry!$J$195)</f>
        <v/>
      </c>
      <c r="AC192">
        <f>IF([2]Entry!$K$195="","",[2]Entry!$K$195)</f>
        <v/>
      </c>
      <c r="AD192">
        <f>IF([2]Entry!$L$195="","",[2]Entry!$L$195)</f>
        <v/>
      </c>
      <c r="AE192">
        <f>IF([2]Entry!$M$195="","",[2]Entry!$M$195)</f>
        <v/>
      </c>
      <c r="AF192">
        <f>IF([2]Entry!$N$195="","",[2]Entry!$N$195)</f>
        <v/>
      </c>
      <c r="AG192">
        <f>IF([3]Issues!$B$195="","",[3]Issues!$B$195)</f>
        <v/>
      </c>
      <c r="AH192">
        <f>IF([3]Issues!$D$195="","",[3]Issues!$D$195)</f>
        <v/>
      </c>
      <c r="AI192">
        <f>IF([3]Issues!$E$195="","",[3]Issues!$E$195)</f>
        <v/>
      </c>
      <c r="AJ192">
        <f>IF([2]Entry!$S$195="","",[2]Entry!$S$195)</f>
        <v/>
      </c>
      <c r="AK192">
        <f>IF([2]Entry!$C$195="","",[2]Entry!$C$195)</f>
        <v/>
      </c>
      <c r="AL192">
        <f>IF([2]Entry!$D$195="","",[2]Entry!$D$195)</f>
        <v/>
      </c>
      <c r="AM192">
        <f>IF(AND($F192&lt;&gt;"",$I192&lt;&gt;""),IF($G192="دارایی ثابت",1,0),0)</f>
        <v/>
      </c>
      <c r="AN192">
        <f>SUM($AM$6:$AM192)</f>
        <v/>
      </c>
      <c r="AO192">
        <f>IFERROR(INDEX($F$6:$F$565,MATCH(ROW()-5,$AN$6:$AN$565,0)),"")</f>
        <v/>
      </c>
      <c r="AP192">
        <f>IF(AND($F192&lt;&gt;"",$I192&lt;&gt;""),IF($G192="وام و تسهیلات",1,0),0)</f>
        <v/>
      </c>
      <c r="AQ192">
        <f>SUM($AP$6:$AP192)</f>
        <v/>
      </c>
      <c r="AR192">
        <f>IFERROR(INDEX($F$6:$F$565,MATCH(ROW()-5,$AQ$6:$AQ$565,0)),"")</f>
        <v/>
      </c>
      <c r="AS192">
        <f>IF(AND($F192&lt;&gt;"",$I192&lt;&gt;""),IF($G192="سرمایه و آورده صاحبان",1,0),0)</f>
        <v/>
      </c>
      <c r="AT192">
        <f>SUM($AS$6:$AS192)</f>
        <v/>
      </c>
      <c r="AU192">
        <f>IFERROR(INDEX($F$6:$F$565,MATCH(ROW()-5,$AT$6:$AT$565,0)),"")</f>
        <v/>
      </c>
      <c r="AW192">
        <f>IF([3]Issues!$C$195="","",[3]Issues!$C$195)</f>
        <v/>
      </c>
      <c r="AX192">
        <f>IF([4]Entry!$E$195="","",[4]Entry!$E$195)</f>
        <v/>
      </c>
      <c r="AY192">
        <f>IF([4]Entry!$H$195="","",[4]Entry!$H$195)</f>
        <v/>
      </c>
      <c r="AZ192">
        <f>IF([4]Entry!$I$195="","",[4]Entry!$I$195)</f>
        <v/>
      </c>
    </row>
    <row r="193">
      <c r="F193">
        <f>IF([1]Accounts!$D$194="","",[1]Accounts!$A$194)</f>
        <v/>
      </c>
      <c r="G193">
        <f>IF([1]Accounts!$D$194="","",[1]Accounts!$B$194)</f>
        <v/>
      </c>
      <c r="H193">
        <f>IF([1]Accounts!$D$194="","",[1]Accounts!$C$194)</f>
        <v/>
      </c>
      <c r="I193">
        <f>IF([1]Accounts!$D$194="","",[1]Accounts!$D$194)</f>
        <v/>
      </c>
      <c r="R193">
        <f>IF(AND($F193&lt;&gt;"",$I193&lt;&gt;""),IF(OR($G193="دارایی ثابت",$G193="وام و تسهیلات",$G193="سرمایه و آورده صاحبان"),0,1),0)</f>
        <v/>
      </c>
      <c r="S193">
        <f>SUM($R$6:$R193)</f>
        <v/>
      </c>
      <c r="T193">
        <f>IFERROR(INDEX($F$6:$F$565,MATCH(ROW()-5,$S$6:$S$565,0)),"")</f>
        <v/>
      </c>
      <c r="Z193">
        <f>IF([2]Entry!$E$196="","",[2]Entry!$E$196)</f>
        <v/>
      </c>
      <c r="AA193">
        <f>IF([2]Entry!$G$196="","",[2]Entry!$G$196)</f>
        <v/>
      </c>
      <c r="AB193">
        <f>IF([2]Entry!$J$196="","",[2]Entry!$J$196)</f>
        <v/>
      </c>
      <c r="AC193">
        <f>IF([2]Entry!$K$196="","",[2]Entry!$K$196)</f>
        <v/>
      </c>
      <c r="AD193">
        <f>IF([2]Entry!$L$196="","",[2]Entry!$L$196)</f>
        <v/>
      </c>
      <c r="AE193">
        <f>IF([2]Entry!$M$196="","",[2]Entry!$M$196)</f>
        <v/>
      </c>
      <c r="AF193">
        <f>IF([2]Entry!$N$196="","",[2]Entry!$N$196)</f>
        <v/>
      </c>
      <c r="AG193">
        <f>IF([3]Issues!$B$196="","",[3]Issues!$B$196)</f>
        <v/>
      </c>
      <c r="AH193">
        <f>IF([3]Issues!$D$196="","",[3]Issues!$D$196)</f>
        <v/>
      </c>
      <c r="AI193">
        <f>IF([3]Issues!$E$196="","",[3]Issues!$E$196)</f>
        <v/>
      </c>
      <c r="AJ193">
        <f>IF([2]Entry!$S$196="","",[2]Entry!$S$196)</f>
        <v/>
      </c>
      <c r="AK193">
        <f>IF([2]Entry!$C$196="","",[2]Entry!$C$196)</f>
        <v/>
      </c>
      <c r="AL193">
        <f>IF([2]Entry!$D$196="","",[2]Entry!$D$196)</f>
        <v/>
      </c>
      <c r="AM193">
        <f>IF(AND($F193&lt;&gt;"",$I193&lt;&gt;""),IF($G193="دارایی ثابت",1,0),0)</f>
        <v/>
      </c>
      <c r="AN193">
        <f>SUM($AM$6:$AM193)</f>
        <v/>
      </c>
      <c r="AO193">
        <f>IFERROR(INDEX($F$6:$F$565,MATCH(ROW()-5,$AN$6:$AN$565,0)),"")</f>
        <v/>
      </c>
      <c r="AP193">
        <f>IF(AND($F193&lt;&gt;"",$I193&lt;&gt;""),IF($G193="وام و تسهیلات",1,0),0)</f>
        <v/>
      </c>
      <c r="AQ193">
        <f>SUM($AP$6:$AP193)</f>
        <v/>
      </c>
      <c r="AR193">
        <f>IFERROR(INDEX($F$6:$F$565,MATCH(ROW()-5,$AQ$6:$AQ$565,0)),"")</f>
        <v/>
      </c>
      <c r="AS193">
        <f>IF(AND($F193&lt;&gt;"",$I193&lt;&gt;""),IF($G193="سرمایه و آورده صاحبان",1,0),0)</f>
        <v/>
      </c>
      <c r="AT193">
        <f>SUM($AS$6:$AS193)</f>
        <v/>
      </c>
      <c r="AU193">
        <f>IFERROR(INDEX($F$6:$F$565,MATCH(ROW()-5,$AT$6:$AT$565,0)),"")</f>
        <v/>
      </c>
      <c r="AW193">
        <f>IF([3]Issues!$C$196="","",[3]Issues!$C$196)</f>
        <v/>
      </c>
      <c r="AX193">
        <f>IF([4]Entry!$E$196="","",[4]Entry!$E$196)</f>
        <v/>
      </c>
      <c r="AY193">
        <f>IF([4]Entry!$H$196="","",[4]Entry!$H$196)</f>
        <v/>
      </c>
      <c r="AZ193">
        <f>IF([4]Entry!$I$196="","",[4]Entry!$I$196)</f>
        <v/>
      </c>
    </row>
    <row r="194">
      <c r="F194">
        <f>IF([1]Accounts!$D$195="","",[1]Accounts!$A$195)</f>
        <v/>
      </c>
      <c r="G194">
        <f>IF([1]Accounts!$D$195="","",[1]Accounts!$B$195)</f>
        <v/>
      </c>
      <c r="H194">
        <f>IF([1]Accounts!$D$195="","",[1]Accounts!$C$195)</f>
        <v/>
      </c>
      <c r="I194">
        <f>IF([1]Accounts!$D$195="","",[1]Accounts!$D$195)</f>
        <v/>
      </c>
      <c r="R194">
        <f>IF(AND($F194&lt;&gt;"",$I194&lt;&gt;""),IF(OR($G194="دارایی ثابت",$G194="وام و تسهیلات",$G194="سرمایه و آورده صاحبان"),0,1),0)</f>
        <v/>
      </c>
      <c r="S194">
        <f>SUM($R$6:$R194)</f>
        <v/>
      </c>
      <c r="T194">
        <f>IFERROR(INDEX($F$6:$F$565,MATCH(ROW()-5,$S$6:$S$565,0)),"")</f>
        <v/>
      </c>
      <c r="Z194">
        <f>IF([2]Entry!$E$197="","",[2]Entry!$E$197)</f>
        <v/>
      </c>
      <c r="AA194">
        <f>IF([2]Entry!$G$197="","",[2]Entry!$G$197)</f>
        <v/>
      </c>
      <c r="AB194">
        <f>IF([2]Entry!$J$197="","",[2]Entry!$J$197)</f>
        <v/>
      </c>
      <c r="AC194">
        <f>IF([2]Entry!$K$197="","",[2]Entry!$K$197)</f>
        <v/>
      </c>
      <c r="AD194">
        <f>IF([2]Entry!$L$197="","",[2]Entry!$L$197)</f>
        <v/>
      </c>
      <c r="AE194">
        <f>IF([2]Entry!$M$197="","",[2]Entry!$M$197)</f>
        <v/>
      </c>
      <c r="AF194">
        <f>IF([2]Entry!$N$197="","",[2]Entry!$N$197)</f>
        <v/>
      </c>
      <c r="AG194">
        <f>IF([3]Issues!$B$197="","",[3]Issues!$B$197)</f>
        <v/>
      </c>
      <c r="AH194">
        <f>IF([3]Issues!$D$197="","",[3]Issues!$D$197)</f>
        <v/>
      </c>
      <c r="AI194">
        <f>IF([3]Issues!$E$197="","",[3]Issues!$E$197)</f>
        <v/>
      </c>
      <c r="AJ194">
        <f>IF([2]Entry!$S$197="","",[2]Entry!$S$197)</f>
        <v/>
      </c>
      <c r="AK194">
        <f>IF([2]Entry!$C$197="","",[2]Entry!$C$197)</f>
        <v/>
      </c>
      <c r="AL194">
        <f>IF([2]Entry!$D$197="","",[2]Entry!$D$197)</f>
        <v/>
      </c>
      <c r="AM194">
        <f>IF(AND($F194&lt;&gt;"",$I194&lt;&gt;""),IF($G194="دارایی ثابت",1,0),0)</f>
        <v/>
      </c>
      <c r="AN194">
        <f>SUM($AM$6:$AM194)</f>
        <v/>
      </c>
      <c r="AO194">
        <f>IFERROR(INDEX($F$6:$F$565,MATCH(ROW()-5,$AN$6:$AN$565,0)),"")</f>
        <v/>
      </c>
      <c r="AP194">
        <f>IF(AND($F194&lt;&gt;"",$I194&lt;&gt;""),IF($G194="وام و تسهیلات",1,0),0)</f>
        <v/>
      </c>
      <c r="AQ194">
        <f>SUM($AP$6:$AP194)</f>
        <v/>
      </c>
      <c r="AR194">
        <f>IFERROR(INDEX($F$6:$F$565,MATCH(ROW()-5,$AQ$6:$AQ$565,0)),"")</f>
        <v/>
      </c>
      <c r="AS194">
        <f>IF(AND($F194&lt;&gt;"",$I194&lt;&gt;""),IF($G194="سرمایه و آورده صاحبان",1,0),0)</f>
        <v/>
      </c>
      <c r="AT194">
        <f>SUM($AS$6:$AS194)</f>
        <v/>
      </c>
      <c r="AU194">
        <f>IFERROR(INDEX($F$6:$F$565,MATCH(ROW()-5,$AT$6:$AT$565,0)),"")</f>
        <v/>
      </c>
      <c r="AW194">
        <f>IF([3]Issues!$C$197="","",[3]Issues!$C$197)</f>
        <v/>
      </c>
      <c r="AX194">
        <f>IF([4]Entry!$E$197="","",[4]Entry!$E$197)</f>
        <v/>
      </c>
      <c r="AY194">
        <f>IF([4]Entry!$H$197="","",[4]Entry!$H$197)</f>
        <v/>
      </c>
      <c r="AZ194">
        <f>IF([4]Entry!$I$197="","",[4]Entry!$I$197)</f>
        <v/>
      </c>
    </row>
    <row r="195">
      <c r="F195">
        <f>IF([1]Accounts!$D$196="","",[1]Accounts!$A$196)</f>
        <v/>
      </c>
      <c r="G195">
        <f>IF([1]Accounts!$D$196="","",[1]Accounts!$B$196)</f>
        <v/>
      </c>
      <c r="H195">
        <f>IF([1]Accounts!$D$196="","",[1]Accounts!$C$196)</f>
        <v/>
      </c>
      <c r="I195">
        <f>IF([1]Accounts!$D$196="","",[1]Accounts!$D$196)</f>
        <v/>
      </c>
      <c r="R195">
        <f>IF(AND($F195&lt;&gt;"",$I195&lt;&gt;""),IF(OR($G195="دارایی ثابت",$G195="وام و تسهیلات",$G195="سرمایه و آورده صاحبان"),0,1),0)</f>
        <v/>
      </c>
      <c r="S195">
        <f>SUM($R$6:$R195)</f>
        <v/>
      </c>
      <c r="T195">
        <f>IFERROR(INDEX($F$6:$F$565,MATCH(ROW()-5,$S$6:$S$565,0)),"")</f>
        <v/>
      </c>
      <c r="Z195">
        <f>IF([2]Entry!$E$198="","",[2]Entry!$E$198)</f>
        <v/>
      </c>
      <c r="AA195">
        <f>IF([2]Entry!$G$198="","",[2]Entry!$G$198)</f>
        <v/>
      </c>
      <c r="AB195">
        <f>IF([2]Entry!$J$198="","",[2]Entry!$J$198)</f>
        <v/>
      </c>
      <c r="AC195">
        <f>IF([2]Entry!$K$198="","",[2]Entry!$K$198)</f>
        <v/>
      </c>
      <c r="AD195">
        <f>IF([2]Entry!$L$198="","",[2]Entry!$L$198)</f>
        <v/>
      </c>
      <c r="AE195">
        <f>IF([2]Entry!$M$198="","",[2]Entry!$M$198)</f>
        <v/>
      </c>
      <c r="AF195">
        <f>IF([2]Entry!$N$198="","",[2]Entry!$N$198)</f>
        <v/>
      </c>
      <c r="AG195">
        <f>IF([3]Issues!$B$198="","",[3]Issues!$B$198)</f>
        <v/>
      </c>
      <c r="AH195">
        <f>IF([3]Issues!$D$198="","",[3]Issues!$D$198)</f>
        <v/>
      </c>
      <c r="AI195">
        <f>IF([3]Issues!$E$198="","",[3]Issues!$E$198)</f>
        <v/>
      </c>
      <c r="AJ195">
        <f>IF([2]Entry!$S$198="","",[2]Entry!$S$198)</f>
        <v/>
      </c>
      <c r="AK195">
        <f>IF([2]Entry!$C$198="","",[2]Entry!$C$198)</f>
        <v/>
      </c>
      <c r="AL195">
        <f>IF([2]Entry!$D$198="","",[2]Entry!$D$198)</f>
        <v/>
      </c>
      <c r="AM195">
        <f>IF(AND($F195&lt;&gt;"",$I195&lt;&gt;""),IF($G195="دارایی ثابت",1,0),0)</f>
        <v/>
      </c>
      <c r="AN195">
        <f>SUM($AM$6:$AM195)</f>
        <v/>
      </c>
      <c r="AO195">
        <f>IFERROR(INDEX($F$6:$F$565,MATCH(ROW()-5,$AN$6:$AN$565,0)),"")</f>
        <v/>
      </c>
      <c r="AP195">
        <f>IF(AND($F195&lt;&gt;"",$I195&lt;&gt;""),IF($G195="وام و تسهیلات",1,0),0)</f>
        <v/>
      </c>
      <c r="AQ195">
        <f>SUM($AP$6:$AP195)</f>
        <v/>
      </c>
      <c r="AR195">
        <f>IFERROR(INDEX($F$6:$F$565,MATCH(ROW()-5,$AQ$6:$AQ$565,0)),"")</f>
        <v/>
      </c>
      <c r="AS195">
        <f>IF(AND($F195&lt;&gt;"",$I195&lt;&gt;""),IF($G195="سرمایه و آورده صاحبان",1,0),0)</f>
        <v/>
      </c>
      <c r="AT195">
        <f>SUM($AS$6:$AS195)</f>
        <v/>
      </c>
      <c r="AU195">
        <f>IFERROR(INDEX($F$6:$F$565,MATCH(ROW()-5,$AT$6:$AT$565,0)),"")</f>
        <v/>
      </c>
      <c r="AW195">
        <f>IF([3]Issues!$C$198="","",[3]Issues!$C$198)</f>
        <v/>
      </c>
      <c r="AX195">
        <f>IF([4]Entry!$E$198="","",[4]Entry!$E$198)</f>
        <v/>
      </c>
      <c r="AY195">
        <f>IF([4]Entry!$H$198="","",[4]Entry!$H$198)</f>
        <v/>
      </c>
      <c r="AZ195">
        <f>IF([4]Entry!$I$198="","",[4]Entry!$I$198)</f>
        <v/>
      </c>
    </row>
    <row r="196">
      <c r="F196">
        <f>IF([1]Accounts!$D$197="","",[1]Accounts!$A$197)</f>
        <v/>
      </c>
      <c r="G196">
        <f>IF([1]Accounts!$D$197="","",[1]Accounts!$B$197)</f>
        <v/>
      </c>
      <c r="H196">
        <f>IF([1]Accounts!$D$197="","",[1]Accounts!$C$197)</f>
        <v/>
      </c>
      <c r="I196">
        <f>IF([1]Accounts!$D$197="","",[1]Accounts!$D$197)</f>
        <v/>
      </c>
      <c r="R196">
        <f>IF(AND($F196&lt;&gt;"",$I196&lt;&gt;""),IF(OR($G196="دارایی ثابت",$G196="وام و تسهیلات",$G196="سرمایه و آورده صاحبان"),0,1),0)</f>
        <v/>
      </c>
      <c r="S196">
        <f>SUM($R$6:$R196)</f>
        <v/>
      </c>
      <c r="T196">
        <f>IFERROR(INDEX($F$6:$F$565,MATCH(ROW()-5,$S$6:$S$565,0)),"")</f>
        <v/>
      </c>
      <c r="Z196">
        <f>IF([2]Entry!$E$199="","",[2]Entry!$E$199)</f>
        <v/>
      </c>
      <c r="AA196">
        <f>IF([2]Entry!$G$199="","",[2]Entry!$G$199)</f>
        <v/>
      </c>
      <c r="AB196">
        <f>IF([2]Entry!$J$199="","",[2]Entry!$J$199)</f>
        <v/>
      </c>
      <c r="AC196">
        <f>IF([2]Entry!$K$199="","",[2]Entry!$K$199)</f>
        <v/>
      </c>
      <c r="AD196">
        <f>IF([2]Entry!$L$199="","",[2]Entry!$L$199)</f>
        <v/>
      </c>
      <c r="AE196">
        <f>IF([2]Entry!$M$199="","",[2]Entry!$M$199)</f>
        <v/>
      </c>
      <c r="AF196">
        <f>IF([2]Entry!$N$199="","",[2]Entry!$N$199)</f>
        <v/>
      </c>
      <c r="AG196">
        <f>IF([3]Issues!$B$199="","",[3]Issues!$B$199)</f>
        <v/>
      </c>
      <c r="AH196">
        <f>IF([3]Issues!$D$199="","",[3]Issues!$D$199)</f>
        <v/>
      </c>
      <c r="AI196">
        <f>IF([3]Issues!$E$199="","",[3]Issues!$E$199)</f>
        <v/>
      </c>
      <c r="AJ196">
        <f>IF([2]Entry!$S$199="","",[2]Entry!$S$199)</f>
        <v/>
      </c>
      <c r="AK196">
        <f>IF([2]Entry!$C$199="","",[2]Entry!$C$199)</f>
        <v/>
      </c>
      <c r="AL196">
        <f>IF([2]Entry!$D$199="","",[2]Entry!$D$199)</f>
        <v/>
      </c>
      <c r="AM196">
        <f>IF(AND($F196&lt;&gt;"",$I196&lt;&gt;""),IF($G196="دارایی ثابت",1,0),0)</f>
        <v/>
      </c>
      <c r="AN196">
        <f>SUM($AM$6:$AM196)</f>
        <v/>
      </c>
      <c r="AO196">
        <f>IFERROR(INDEX($F$6:$F$565,MATCH(ROW()-5,$AN$6:$AN$565,0)),"")</f>
        <v/>
      </c>
      <c r="AP196">
        <f>IF(AND($F196&lt;&gt;"",$I196&lt;&gt;""),IF($G196="وام و تسهیلات",1,0),0)</f>
        <v/>
      </c>
      <c r="AQ196">
        <f>SUM($AP$6:$AP196)</f>
        <v/>
      </c>
      <c r="AR196">
        <f>IFERROR(INDEX($F$6:$F$565,MATCH(ROW()-5,$AQ$6:$AQ$565,0)),"")</f>
        <v/>
      </c>
      <c r="AS196">
        <f>IF(AND($F196&lt;&gt;"",$I196&lt;&gt;""),IF($G196="سرمایه و آورده صاحبان",1,0),0)</f>
        <v/>
      </c>
      <c r="AT196">
        <f>SUM($AS$6:$AS196)</f>
        <v/>
      </c>
      <c r="AU196">
        <f>IFERROR(INDEX($F$6:$F$565,MATCH(ROW()-5,$AT$6:$AT$565,0)),"")</f>
        <v/>
      </c>
      <c r="AW196">
        <f>IF([3]Issues!$C$199="","",[3]Issues!$C$199)</f>
        <v/>
      </c>
      <c r="AX196">
        <f>IF([4]Entry!$E$199="","",[4]Entry!$E$199)</f>
        <v/>
      </c>
      <c r="AY196">
        <f>IF([4]Entry!$H$199="","",[4]Entry!$H$199)</f>
        <v/>
      </c>
      <c r="AZ196">
        <f>IF([4]Entry!$I$199="","",[4]Entry!$I$199)</f>
        <v/>
      </c>
    </row>
    <row r="197">
      <c r="F197">
        <f>IF([1]Accounts!$D$198="","",[1]Accounts!$A$198)</f>
        <v/>
      </c>
      <c r="G197">
        <f>IF([1]Accounts!$D$198="","",[1]Accounts!$B$198)</f>
        <v/>
      </c>
      <c r="H197">
        <f>IF([1]Accounts!$D$198="","",[1]Accounts!$C$198)</f>
        <v/>
      </c>
      <c r="I197">
        <f>IF([1]Accounts!$D$198="","",[1]Accounts!$D$198)</f>
        <v/>
      </c>
      <c r="R197">
        <f>IF(AND($F197&lt;&gt;"",$I197&lt;&gt;""),IF(OR($G197="دارایی ثابت",$G197="وام و تسهیلات",$G197="سرمایه و آورده صاحبان"),0,1),0)</f>
        <v/>
      </c>
      <c r="S197">
        <f>SUM($R$6:$R197)</f>
        <v/>
      </c>
      <c r="T197">
        <f>IFERROR(INDEX($F$6:$F$565,MATCH(ROW()-5,$S$6:$S$565,0)),"")</f>
        <v/>
      </c>
      <c r="Z197">
        <f>IF([2]Entry!$E$200="","",[2]Entry!$E$200)</f>
        <v/>
      </c>
      <c r="AA197">
        <f>IF([2]Entry!$G$200="","",[2]Entry!$G$200)</f>
        <v/>
      </c>
      <c r="AB197">
        <f>IF([2]Entry!$J$200="","",[2]Entry!$J$200)</f>
        <v/>
      </c>
      <c r="AC197">
        <f>IF([2]Entry!$K$200="","",[2]Entry!$K$200)</f>
        <v/>
      </c>
      <c r="AD197">
        <f>IF([2]Entry!$L$200="","",[2]Entry!$L$200)</f>
        <v/>
      </c>
      <c r="AE197">
        <f>IF([2]Entry!$M$200="","",[2]Entry!$M$200)</f>
        <v/>
      </c>
      <c r="AF197">
        <f>IF([2]Entry!$N$200="","",[2]Entry!$N$200)</f>
        <v/>
      </c>
      <c r="AG197">
        <f>IF([3]Issues!$B$200="","",[3]Issues!$B$200)</f>
        <v/>
      </c>
      <c r="AH197">
        <f>IF([3]Issues!$D$200="","",[3]Issues!$D$200)</f>
        <v/>
      </c>
      <c r="AI197">
        <f>IF([3]Issues!$E$200="","",[3]Issues!$E$200)</f>
        <v/>
      </c>
      <c r="AJ197">
        <f>IF([2]Entry!$S$200="","",[2]Entry!$S$200)</f>
        <v/>
      </c>
      <c r="AK197">
        <f>IF([2]Entry!$C$200="","",[2]Entry!$C$200)</f>
        <v/>
      </c>
      <c r="AL197">
        <f>IF([2]Entry!$D$200="","",[2]Entry!$D$200)</f>
        <v/>
      </c>
      <c r="AM197">
        <f>IF(AND($F197&lt;&gt;"",$I197&lt;&gt;""),IF($G197="دارایی ثابت",1,0),0)</f>
        <v/>
      </c>
      <c r="AN197">
        <f>SUM($AM$6:$AM197)</f>
        <v/>
      </c>
      <c r="AO197">
        <f>IFERROR(INDEX($F$6:$F$565,MATCH(ROW()-5,$AN$6:$AN$565,0)),"")</f>
        <v/>
      </c>
      <c r="AP197">
        <f>IF(AND($F197&lt;&gt;"",$I197&lt;&gt;""),IF($G197="وام و تسهیلات",1,0),0)</f>
        <v/>
      </c>
      <c r="AQ197">
        <f>SUM($AP$6:$AP197)</f>
        <v/>
      </c>
      <c r="AR197">
        <f>IFERROR(INDEX($F$6:$F$565,MATCH(ROW()-5,$AQ$6:$AQ$565,0)),"")</f>
        <v/>
      </c>
      <c r="AS197">
        <f>IF(AND($F197&lt;&gt;"",$I197&lt;&gt;""),IF($G197="سرمایه و آورده صاحبان",1,0),0)</f>
        <v/>
      </c>
      <c r="AT197">
        <f>SUM($AS$6:$AS197)</f>
        <v/>
      </c>
      <c r="AU197">
        <f>IFERROR(INDEX($F$6:$F$565,MATCH(ROW()-5,$AT$6:$AT$565,0)),"")</f>
        <v/>
      </c>
      <c r="AW197">
        <f>IF([3]Issues!$C$200="","",[3]Issues!$C$200)</f>
        <v/>
      </c>
      <c r="AX197">
        <f>IF([4]Entry!$E$200="","",[4]Entry!$E$200)</f>
        <v/>
      </c>
      <c r="AY197">
        <f>IF([4]Entry!$H$200="","",[4]Entry!$H$200)</f>
        <v/>
      </c>
      <c r="AZ197">
        <f>IF([4]Entry!$I$200="","",[4]Entry!$I$200)</f>
        <v/>
      </c>
    </row>
    <row r="198">
      <c r="F198">
        <f>IF([1]Accounts!$D$199="","",[1]Accounts!$A$199)</f>
        <v/>
      </c>
      <c r="G198">
        <f>IF([1]Accounts!$D$199="","",[1]Accounts!$B$199)</f>
        <v/>
      </c>
      <c r="H198">
        <f>IF([1]Accounts!$D$199="","",[1]Accounts!$C$199)</f>
        <v/>
      </c>
      <c r="I198">
        <f>IF([1]Accounts!$D$199="","",[1]Accounts!$D$199)</f>
        <v/>
      </c>
      <c r="R198">
        <f>IF(AND($F198&lt;&gt;"",$I198&lt;&gt;""),IF(OR($G198="دارایی ثابت",$G198="وام و تسهیلات",$G198="سرمایه و آورده صاحبان"),0,1),0)</f>
        <v/>
      </c>
      <c r="S198">
        <f>SUM($R$6:$R198)</f>
        <v/>
      </c>
      <c r="T198">
        <f>IFERROR(INDEX($F$6:$F$565,MATCH(ROW()-5,$S$6:$S$565,0)),"")</f>
        <v/>
      </c>
      <c r="Z198">
        <f>IF([2]Entry!$E$201="","",[2]Entry!$E$201)</f>
        <v/>
      </c>
      <c r="AA198">
        <f>IF([2]Entry!$G$201="","",[2]Entry!$G$201)</f>
        <v/>
      </c>
      <c r="AB198">
        <f>IF([2]Entry!$J$201="","",[2]Entry!$J$201)</f>
        <v/>
      </c>
      <c r="AC198">
        <f>IF([2]Entry!$K$201="","",[2]Entry!$K$201)</f>
        <v/>
      </c>
      <c r="AD198">
        <f>IF([2]Entry!$L$201="","",[2]Entry!$L$201)</f>
        <v/>
      </c>
      <c r="AE198">
        <f>IF([2]Entry!$M$201="","",[2]Entry!$M$201)</f>
        <v/>
      </c>
      <c r="AF198">
        <f>IF([2]Entry!$N$201="","",[2]Entry!$N$201)</f>
        <v/>
      </c>
      <c r="AG198">
        <f>IF([3]Issues!$B$201="","",[3]Issues!$B$201)</f>
        <v/>
      </c>
      <c r="AH198">
        <f>IF([3]Issues!$D$201="","",[3]Issues!$D$201)</f>
        <v/>
      </c>
      <c r="AI198">
        <f>IF([3]Issues!$E$201="","",[3]Issues!$E$201)</f>
        <v/>
      </c>
      <c r="AJ198">
        <f>IF([2]Entry!$S$201="","",[2]Entry!$S$201)</f>
        <v/>
      </c>
      <c r="AK198">
        <f>IF([2]Entry!$C$201="","",[2]Entry!$C$201)</f>
        <v/>
      </c>
      <c r="AL198">
        <f>IF([2]Entry!$D$201="","",[2]Entry!$D$201)</f>
        <v/>
      </c>
      <c r="AM198">
        <f>IF(AND($F198&lt;&gt;"",$I198&lt;&gt;""),IF($G198="دارایی ثابت",1,0),0)</f>
        <v/>
      </c>
      <c r="AN198">
        <f>SUM($AM$6:$AM198)</f>
        <v/>
      </c>
      <c r="AO198">
        <f>IFERROR(INDEX($F$6:$F$565,MATCH(ROW()-5,$AN$6:$AN$565,0)),"")</f>
        <v/>
      </c>
      <c r="AP198">
        <f>IF(AND($F198&lt;&gt;"",$I198&lt;&gt;""),IF($G198="وام و تسهیلات",1,0),0)</f>
        <v/>
      </c>
      <c r="AQ198">
        <f>SUM($AP$6:$AP198)</f>
        <v/>
      </c>
      <c r="AR198">
        <f>IFERROR(INDEX($F$6:$F$565,MATCH(ROW()-5,$AQ$6:$AQ$565,0)),"")</f>
        <v/>
      </c>
      <c r="AS198">
        <f>IF(AND($F198&lt;&gt;"",$I198&lt;&gt;""),IF($G198="سرمایه و آورده صاحبان",1,0),0)</f>
        <v/>
      </c>
      <c r="AT198">
        <f>SUM($AS$6:$AS198)</f>
        <v/>
      </c>
      <c r="AU198">
        <f>IFERROR(INDEX($F$6:$F$565,MATCH(ROW()-5,$AT$6:$AT$565,0)),"")</f>
        <v/>
      </c>
      <c r="AW198">
        <f>IF([3]Issues!$C$201="","",[3]Issues!$C$201)</f>
        <v/>
      </c>
      <c r="AX198">
        <f>IF([4]Entry!$E$201="","",[4]Entry!$E$201)</f>
        <v/>
      </c>
      <c r="AY198">
        <f>IF([4]Entry!$H$201="","",[4]Entry!$H$201)</f>
        <v/>
      </c>
      <c r="AZ198">
        <f>IF([4]Entry!$I$201="","",[4]Entry!$I$201)</f>
        <v/>
      </c>
    </row>
    <row r="199">
      <c r="F199">
        <f>IF([1]Accounts!$D$200="","",[1]Accounts!$A$200)</f>
        <v/>
      </c>
      <c r="G199">
        <f>IF([1]Accounts!$D$200="","",[1]Accounts!$B$200)</f>
        <v/>
      </c>
      <c r="H199">
        <f>IF([1]Accounts!$D$200="","",[1]Accounts!$C$200)</f>
        <v/>
      </c>
      <c r="I199">
        <f>IF([1]Accounts!$D$200="","",[1]Accounts!$D$200)</f>
        <v/>
      </c>
      <c r="R199">
        <f>IF(AND($F199&lt;&gt;"",$I199&lt;&gt;""),IF(OR($G199="دارایی ثابت",$G199="وام و تسهیلات",$G199="سرمایه و آورده صاحبان"),0,1),0)</f>
        <v/>
      </c>
      <c r="S199">
        <f>SUM($R$6:$R199)</f>
        <v/>
      </c>
      <c r="T199">
        <f>IFERROR(INDEX($F$6:$F$565,MATCH(ROW()-5,$S$6:$S$565,0)),"")</f>
        <v/>
      </c>
      <c r="Z199">
        <f>IF([2]Entry!$E$202="","",[2]Entry!$E$202)</f>
        <v/>
      </c>
      <c r="AA199">
        <f>IF([2]Entry!$G$202="","",[2]Entry!$G$202)</f>
        <v/>
      </c>
      <c r="AB199">
        <f>IF([2]Entry!$J$202="","",[2]Entry!$J$202)</f>
        <v/>
      </c>
      <c r="AC199">
        <f>IF([2]Entry!$K$202="","",[2]Entry!$K$202)</f>
        <v/>
      </c>
      <c r="AD199">
        <f>IF([2]Entry!$L$202="","",[2]Entry!$L$202)</f>
        <v/>
      </c>
      <c r="AE199">
        <f>IF([2]Entry!$M$202="","",[2]Entry!$M$202)</f>
        <v/>
      </c>
      <c r="AF199">
        <f>IF([2]Entry!$N$202="","",[2]Entry!$N$202)</f>
        <v/>
      </c>
      <c r="AG199">
        <f>IF([3]Issues!$B$202="","",[3]Issues!$B$202)</f>
        <v/>
      </c>
      <c r="AH199">
        <f>IF([3]Issues!$D$202="","",[3]Issues!$D$202)</f>
        <v/>
      </c>
      <c r="AI199">
        <f>IF([3]Issues!$E$202="","",[3]Issues!$E$202)</f>
        <v/>
      </c>
      <c r="AJ199">
        <f>IF([2]Entry!$S$202="","",[2]Entry!$S$202)</f>
        <v/>
      </c>
      <c r="AK199">
        <f>IF([2]Entry!$C$202="","",[2]Entry!$C$202)</f>
        <v/>
      </c>
      <c r="AL199">
        <f>IF([2]Entry!$D$202="","",[2]Entry!$D$202)</f>
        <v/>
      </c>
      <c r="AM199">
        <f>IF(AND($F199&lt;&gt;"",$I199&lt;&gt;""),IF($G199="دارایی ثابت",1,0),0)</f>
        <v/>
      </c>
      <c r="AN199">
        <f>SUM($AM$6:$AM199)</f>
        <v/>
      </c>
      <c r="AO199">
        <f>IFERROR(INDEX($F$6:$F$565,MATCH(ROW()-5,$AN$6:$AN$565,0)),"")</f>
        <v/>
      </c>
      <c r="AP199">
        <f>IF(AND($F199&lt;&gt;"",$I199&lt;&gt;""),IF($G199="وام و تسهیلات",1,0),0)</f>
        <v/>
      </c>
      <c r="AQ199">
        <f>SUM($AP$6:$AP199)</f>
        <v/>
      </c>
      <c r="AR199">
        <f>IFERROR(INDEX($F$6:$F$565,MATCH(ROW()-5,$AQ$6:$AQ$565,0)),"")</f>
        <v/>
      </c>
      <c r="AS199">
        <f>IF(AND($F199&lt;&gt;"",$I199&lt;&gt;""),IF($G199="سرمایه و آورده صاحبان",1,0),0)</f>
        <v/>
      </c>
      <c r="AT199">
        <f>SUM($AS$6:$AS199)</f>
        <v/>
      </c>
      <c r="AU199">
        <f>IFERROR(INDEX($F$6:$F$565,MATCH(ROW()-5,$AT$6:$AT$565,0)),"")</f>
        <v/>
      </c>
      <c r="AW199">
        <f>IF([3]Issues!$C$202="","",[3]Issues!$C$202)</f>
        <v/>
      </c>
      <c r="AX199">
        <f>IF([4]Entry!$E$202="","",[4]Entry!$E$202)</f>
        <v/>
      </c>
      <c r="AY199">
        <f>IF([4]Entry!$H$202="","",[4]Entry!$H$202)</f>
        <v/>
      </c>
      <c r="AZ199">
        <f>IF([4]Entry!$I$202="","",[4]Entry!$I$202)</f>
        <v/>
      </c>
    </row>
    <row r="200">
      <c r="F200">
        <f>IF([1]Accounts!$D$201="","",[1]Accounts!$A$201)</f>
        <v/>
      </c>
      <c r="G200">
        <f>IF([1]Accounts!$D$201="","",[1]Accounts!$B$201)</f>
        <v/>
      </c>
      <c r="H200">
        <f>IF([1]Accounts!$D$201="","",[1]Accounts!$C$201)</f>
        <v/>
      </c>
      <c r="I200">
        <f>IF([1]Accounts!$D$201="","",[1]Accounts!$D$201)</f>
        <v/>
      </c>
      <c r="R200">
        <f>IF(AND($F200&lt;&gt;"",$I200&lt;&gt;""),IF(OR($G200="دارایی ثابت",$G200="وام و تسهیلات",$G200="سرمایه و آورده صاحبان"),0,1),0)</f>
        <v/>
      </c>
      <c r="S200">
        <f>SUM($R$6:$R200)</f>
        <v/>
      </c>
      <c r="T200">
        <f>IFERROR(INDEX($F$6:$F$565,MATCH(ROW()-5,$S$6:$S$565,0)),"")</f>
        <v/>
      </c>
      <c r="Z200">
        <f>IF([2]Entry!$E$203="","",[2]Entry!$E$203)</f>
        <v/>
      </c>
      <c r="AA200">
        <f>IF([2]Entry!$G$203="","",[2]Entry!$G$203)</f>
        <v/>
      </c>
      <c r="AB200">
        <f>IF([2]Entry!$J$203="","",[2]Entry!$J$203)</f>
        <v/>
      </c>
      <c r="AC200">
        <f>IF([2]Entry!$K$203="","",[2]Entry!$K$203)</f>
        <v/>
      </c>
      <c r="AD200">
        <f>IF([2]Entry!$L$203="","",[2]Entry!$L$203)</f>
        <v/>
      </c>
      <c r="AE200">
        <f>IF([2]Entry!$M$203="","",[2]Entry!$M$203)</f>
        <v/>
      </c>
      <c r="AF200">
        <f>IF([2]Entry!$N$203="","",[2]Entry!$N$203)</f>
        <v/>
      </c>
      <c r="AG200">
        <f>IF([3]Issues!$B$203="","",[3]Issues!$B$203)</f>
        <v/>
      </c>
      <c r="AH200">
        <f>IF([3]Issues!$D$203="","",[3]Issues!$D$203)</f>
        <v/>
      </c>
      <c r="AI200">
        <f>IF([3]Issues!$E$203="","",[3]Issues!$E$203)</f>
        <v/>
      </c>
      <c r="AJ200">
        <f>IF([2]Entry!$S$203="","",[2]Entry!$S$203)</f>
        <v/>
      </c>
      <c r="AK200">
        <f>IF([2]Entry!$C$203="","",[2]Entry!$C$203)</f>
        <v/>
      </c>
      <c r="AL200">
        <f>IF([2]Entry!$D$203="","",[2]Entry!$D$203)</f>
        <v/>
      </c>
      <c r="AM200">
        <f>IF(AND($F200&lt;&gt;"",$I200&lt;&gt;""),IF($G200="دارایی ثابت",1,0),0)</f>
        <v/>
      </c>
      <c r="AN200">
        <f>SUM($AM$6:$AM200)</f>
        <v/>
      </c>
      <c r="AO200">
        <f>IFERROR(INDEX($F$6:$F$565,MATCH(ROW()-5,$AN$6:$AN$565,0)),"")</f>
        <v/>
      </c>
      <c r="AP200">
        <f>IF(AND($F200&lt;&gt;"",$I200&lt;&gt;""),IF($G200="وام و تسهیلات",1,0),0)</f>
        <v/>
      </c>
      <c r="AQ200">
        <f>SUM($AP$6:$AP200)</f>
        <v/>
      </c>
      <c r="AR200">
        <f>IFERROR(INDEX($F$6:$F$565,MATCH(ROW()-5,$AQ$6:$AQ$565,0)),"")</f>
        <v/>
      </c>
      <c r="AS200">
        <f>IF(AND($F200&lt;&gt;"",$I200&lt;&gt;""),IF($G200="سرمایه و آورده صاحبان",1,0),0)</f>
        <v/>
      </c>
      <c r="AT200">
        <f>SUM($AS$6:$AS200)</f>
        <v/>
      </c>
      <c r="AU200">
        <f>IFERROR(INDEX($F$6:$F$565,MATCH(ROW()-5,$AT$6:$AT$565,0)),"")</f>
        <v/>
      </c>
      <c r="AW200">
        <f>IF([3]Issues!$C$203="","",[3]Issues!$C$203)</f>
        <v/>
      </c>
      <c r="AX200">
        <f>IF([4]Entry!$E$203="","",[4]Entry!$E$203)</f>
        <v/>
      </c>
      <c r="AY200">
        <f>IF([4]Entry!$H$203="","",[4]Entry!$H$203)</f>
        <v/>
      </c>
      <c r="AZ200">
        <f>IF([4]Entry!$I$203="","",[4]Entry!$I$203)</f>
        <v/>
      </c>
    </row>
    <row r="201">
      <c r="F201">
        <f>IF([1]Accounts!$D$202="","",[1]Accounts!$A$202)</f>
        <v/>
      </c>
      <c r="G201">
        <f>IF([1]Accounts!$D$202="","",[1]Accounts!$B$202)</f>
        <v/>
      </c>
      <c r="H201">
        <f>IF([1]Accounts!$D$202="","",[1]Accounts!$C$202)</f>
        <v/>
      </c>
      <c r="I201">
        <f>IF([1]Accounts!$D$202="","",[1]Accounts!$D$202)</f>
        <v/>
      </c>
      <c r="R201">
        <f>IF(AND($F201&lt;&gt;"",$I201&lt;&gt;""),IF(OR($G201="دارایی ثابت",$G201="وام و تسهیلات",$G201="سرمایه و آورده صاحبان"),0,1),0)</f>
        <v/>
      </c>
      <c r="S201">
        <f>SUM($R$6:$R201)</f>
        <v/>
      </c>
      <c r="T201">
        <f>IFERROR(INDEX($F$6:$F$565,MATCH(ROW()-5,$S$6:$S$565,0)),"")</f>
        <v/>
      </c>
      <c r="Z201">
        <f>IF([2]Entry!$E$204="","",[2]Entry!$E$204)</f>
        <v/>
      </c>
      <c r="AA201">
        <f>IF([2]Entry!$G$204="","",[2]Entry!$G$204)</f>
        <v/>
      </c>
      <c r="AB201">
        <f>IF([2]Entry!$J$204="","",[2]Entry!$J$204)</f>
        <v/>
      </c>
      <c r="AC201">
        <f>IF([2]Entry!$K$204="","",[2]Entry!$K$204)</f>
        <v/>
      </c>
      <c r="AD201">
        <f>IF([2]Entry!$L$204="","",[2]Entry!$L$204)</f>
        <v/>
      </c>
      <c r="AE201">
        <f>IF([2]Entry!$M$204="","",[2]Entry!$M$204)</f>
        <v/>
      </c>
      <c r="AF201">
        <f>IF([2]Entry!$N$204="","",[2]Entry!$N$204)</f>
        <v/>
      </c>
      <c r="AG201">
        <f>IF([3]Issues!$B$204="","",[3]Issues!$B$204)</f>
        <v/>
      </c>
      <c r="AH201">
        <f>IF([3]Issues!$D$204="","",[3]Issues!$D$204)</f>
        <v/>
      </c>
      <c r="AI201">
        <f>IF([3]Issues!$E$204="","",[3]Issues!$E$204)</f>
        <v/>
      </c>
      <c r="AJ201">
        <f>IF([2]Entry!$S$204="","",[2]Entry!$S$204)</f>
        <v/>
      </c>
      <c r="AK201">
        <f>IF([2]Entry!$C$204="","",[2]Entry!$C$204)</f>
        <v/>
      </c>
      <c r="AL201">
        <f>IF([2]Entry!$D$204="","",[2]Entry!$D$204)</f>
        <v/>
      </c>
      <c r="AM201">
        <f>IF(AND($F201&lt;&gt;"",$I201&lt;&gt;""),IF($G201="دارایی ثابت",1,0),0)</f>
        <v/>
      </c>
      <c r="AN201">
        <f>SUM($AM$6:$AM201)</f>
        <v/>
      </c>
      <c r="AO201">
        <f>IFERROR(INDEX($F$6:$F$565,MATCH(ROW()-5,$AN$6:$AN$565,0)),"")</f>
        <v/>
      </c>
      <c r="AP201">
        <f>IF(AND($F201&lt;&gt;"",$I201&lt;&gt;""),IF($G201="وام و تسهیلات",1,0),0)</f>
        <v/>
      </c>
      <c r="AQ201">
        <f>SUM($AP$6:$AP201)</f>
        <v/>
      </c>
      <c r="AR201">
        <f>IFERROR(INDEX($F$6:$F$565,MATCH(ROW()-5,$AQ$6:$AQ$565,0)),"")</f>
        <v/>
      </c>
      <c r="AS201">
        <f>IF(AND($F201&lt;&gt;"",$I201&lt;&gt;""),IF($G201="سرمایه و آورده صاحبان",1,0),0)</f>
        <v/>
      </c>
      <c r="AT201">
        <f>SUM($AS$6:$AS201)</f>
        <v/>
      </c>
      <c r="AU201">
        <f>IFERROR(INDEX($F$6:$F$565,MATCH(ROW()-5,$AT$6:$AT$565,0)),"")</f>
        <v/>
      </c>
      <c r="AW201">
        <f>IF([3]Issues!$C$204="","",[3]Issues!$C$204)</f>
        <v/>
      </c>
      <c r="AX201">
        <f>IF([4]Entry!$E$204="","",[4]Entry!$E$204)</f>
        <v/>
      </c>
      <c r="AY201">
        <f>IF([4]Entry!$H$204="","",[4]Entry!$H$204)</f>
        <v/>
      </c>
      <c r="AZ201">
        <f>IF([4]Entry!$I$204="","",[4]Entry!$I$204)</f>
        <v/>
      </c>
    </row>
    <row r="202">
      <c r="F202">
        <f>IF([1]Accounts!$D$203="","",[1]Accounts!$A$203)</f>
        <v/>
      </c>
      <c r="G202">
        <f>IF([1]Accounts!$D$203="","",[1]Accounts!$B$203)</f>
        <v/>
      </c>
      <c r="H202">
        <f>IF([1]Accounts!$D$203="","",[1]Accounts!$C$203)</f>
        <v/>
      </c>
      <c r="I202">
        <f>IF([1]Accounts!$D$203="","",[1]Accounts!$D$203)</f>
        <v/>
      </c>
      <c r="R202">
        <f>IF(AND($F202&lt;&gt;"",$I202&lt;&gt;""),IF(OR($G202="دارایی ثابت",$G202="وام و تسهیلات",$G202="سرمایه و آورده صاحبان"),0,1),0)</f>
        <v/>
      </c>
      <c r="S202">
        <f>SUM($R$6:$R202)</f>
        <v/>
      </c>
      <c r="T202">
        <f>IFERROR(INDEX($F$6:$F$565,MATCH(ROW()-5,$S$6:$S$565,0)),"")</f>
        <v/>
      </c>
      <c r="Z202">
        <f>IF([2]Entry!$E$205="","",[2]Entry!$E$205)</f>
        <v/>
      </c>
      <c r="AA202">
        <f>IF([2]Entry!$G$205="","",[2]Entry!$G$205)</f>
        <v/>
      </c>
      <c r="AB202">
        <f>IF([2]Entry!$J$205="","",[2]Entry!$J$205)</f>
        <v/>
      </c>
      <c r="AC202">
        <f>IF([2]Entry!$K$205="","",[2]Entry!$K$205)</f>
        <v/>
      </c>
      <c r="AD202">
        <f>IF([2]Entry!$L$205="","",[2]Entry!$L$205)</f>
        <v/>
      </c>
      <c r="AE202">
        <f>IF([2]Entry!$M$205="","",[2]Entry!$M$205)</f>
        <v/>
      </c>
      <c r="AF202">
        <f>IF([2]Entry!$N$205="","",[2]Entry!$N$205)</f>
        <v/>
      </c>
      <c r="AG202">
        <f>IF([3]Issues!$B$205="","",[3]Issues!$B$205)</f>
        <v/>
      </c>
      <c r="AH202">
        <f>IF([3]Issues!$D$205="","",[3]Issues!$D$205)</f>
        <v/>
      </c>
      <c r="AI202">
        <f>IF([3]Issues!$E$205="","",[3]Issues!$E$205)</f>
        <v/>
      </c>
      <c r="AJ202">
        <f>IF([2]Entry!$S$205="","",[2]Entry!$S$205)</f>
        <v/>
      </c>
      <c r="AK202">
        <f>IF([2]Entry!$C$205="","",[2]Entry!$C$205)</f>
        <v/>
      </c>
      <c r="AL202">
        <f>IF([2]Entry!$D$205="","",[2]Entry!$D$205)</f>
        <v/>
      </c>
      <c r="AM202">
        <f>IF(AND($F202&lt;&gt;"",$I202&lt;&gt;""),IF($G202="دارایی ثابت",1,0),0)</f>
        <v/>
      </c>
      <c r="AN202">
        <f>SUM($AM$6:$AM202)</f>
        <v/>
      </c>
      <c r="AO202">
        <f>IFERROR(INDEX($F$6:$F$565,MATCH(ROW()-5,$AN$6:$AN$565,0)),"")</f>
        <v/>
      </c>
      <c r="AP202">
        <f>IF(AND($F202&lt;&gt;"",$I202&lt;&gt;""),IF($G202="وام و تسهیلات",1,0),0)</f>
        <v/>
      </c>
      <c r="AQ202">
        <f>SUM($AP$6:$AP202)</f>
        <v/>
      </c>
      <c r="AR202">
        <f>IFERROR(INDEX($F$6:$F$565,MATCH(ROW()-5,$AQ$6:$AQ$565,0)),"")</f>
        <v/>
      </c>
      <c r="AS202">
        <f>IF(AND($F202&lt;&gt;"",$I202&lt;&gt;""),IF($G202="سرمایه و آورده صاحبان",1,0),0)</f>
        <v/>
      </c>
      <c r="AT202">
        <f>SUM($AS$6:$AS202)</f>
        <v/>
      </c>
      <c r="AU202">
        <f>IFERROR(INDEX($F$6:$F$565,MATCH(ROW()-5,$AT$6:$AT$565,0)),"")</f>
        <v/>
      </c>
      <c r="AW202">
        <f>IF([3]Issues!$C$205="","",[3]Issues!$C$205)</f>
        <v/>
      </c>
      <c r="AX202">
        <f>IF([4]Entry!$E$205="","",[4]Entry!$E$205)</f>
        <v/>
      </c>
      <c r="AY202">
        <f>IF([4]Entry!$H$205="","",[4]Entry!$H$205)</f>
        <v/>
      </c>
      <c r="AZ202">
        <f>IF([4]Entry!$I$205="","",[4]Entry!$I$205)</f>
        <v/>
      </c>
    </row>
    <row r="203">
      <c r="F203">
        <f>IF([1]Accounts!$D$204="","",[1]Accounts!$A$204)</f>
        <v/>
      </c>
      <c r="G203">
        <f>IF([1]Accounts!$D$204="","",[1]Accounts!$B$204)</f>
        <v/>
      </c>
      <c r="H203">
        <f>IF([1]Accounts!$D$204="","",[1]Accounts!$C$204)</f>
        <v/>
      </c>
      <c r="I203">
        <f>IF([1]Accounts!$D$204="","",[1]Accounts!$D$204)</f>
        <v/>
      </c>
      <c r="R203">
        <f>IF(AND($F203&lt;&gt;"",$I203&lt;&gt;""),IF(OR($G203="دارایی ثابت",$G203="وام و تسهیلات",$G203="سرمایه و آورده صاحبان"),0,1),0)</f>
        <v/>
      </c>
      <c r="S203">
        <f>SUM($R$6:$R203)</f>
        <v/>
      </c>
      <c r="T203">
        <f>IFERROR(INDEX($F$6:$F$565,MATCH(ROW()-5,$S$6:$S$565,0)),"")</f>
        <v/>
      </c>
      <c r="Z203">
        <f>IF([2]Entry!$E$206="","",[2]Entry!$E$206)</f>
        <v/>
      </c>
      <c r="AA203">
        <f>IF([2]Entry!$G$206="","",[2]Entry!$G$206)</f>
        <v/>
      </c>
      <c r="AB203">
        <f>IF([2]Entry!$J$206="","",[2]Entry!$J$206)</f>
        <v/>
      </c>
      <c r="AC203">
        <f>IF([2]Entry!$K$206="","",[2]Entry!$K$206)</f>
        <v/>
      </c>
      <c r="AD203">
        <f>IF([2]Entry!$L$206="","",[2]Entry!$L$206)</f>
        <v/>
      </c>
      <c r="AE203">
        <f>IF([2]Entry!$M$206="","",[2]Entry!$M$206)</f>
        <v/>
      </c>
      <c r="AF203">
        <f>IF([2]Entry!$N$206="","",[2]Entry!$N$206)</f>
        <v/>
      </c>
      <c r="AG203">
        <f>IF([3]Issues!$B$206="","",[3]Issues!$B$206)</f>
        <v/>
      </c>
      <c r="AH203">
        <f>IF([3]Issues!$D$206="","",[3]Issues!$D$206)</f>
        <v/>
      </c>
      <c r="AI203">
        <f>IF([3]Issues!$E$206="","",[3]Issues!$E$206)</f>
        <v/>
      </c>
      <c r="AJ203">
        <f>IF([2]Entry!$S$206="","",[2]Entry!$S$206)</f>
        <v/>
      </c>
      <c r="AK203">
        <f>IF([2]Entry!$C$206="","",[2]Entry!$C$206)</f>
        <v/>
      </c>
      <c r="AL203">
        <f>IF([2]Entry!$D$206="","",[2]Entry!$D$206)</f>
        <v/>
      </c>
      <c r="AM203">
        <f>IF(AND($F203&lt;&gt;"",$I203&lt;&gt;""),IF($G203="دارایی ثابت",1,0),0)</f>
        <v/>
      </c>
      <c r="AN203">
        <f>SUM($AM$6:$AM203)</f>
        <v/>
      </c>
      <c r="AO203">
        <f>IFERROR(INDEX($F$6:$F$565,MATCH(ROW()-5,$AN$6:$AN$565,0)),"")</f>
        <v/>
      </c>
      <c r="AP203">
        <f>IF(AND($F203&lt;&gt;"",$I203&lt;&gt;""),IF($G203="وام و تسهیلات",1,0),0)</f>
        <v/>
      </c>
      <c r="AQ203">
        <f>SUM($AP$6:$AP203)</f>
        <v/>
      </c>
      <c r="AR203">
        <f>IFERROR(INDEX($F$6:$F$565,MATCH(ROW()-5,$AQ$6:$AQ$565,0)),"")</f>
        <v/>
      </c>
      <c r="AS203">
        <f>IF(AND($F203&lt;&gt;"",$I203&lt;&gt;""),IF($G203="سرمایه و آورده صاحبان",1,0),0)</f>
        <v/>
      </c>
      <c r="AT203">
        <f>SUM($AS$6:$AS203)</f>
        <v/>
      </c>
      <c r="AU203">
        <f>IFERROR(INDEX($F$6:$F$565,MATCH(ROW()-5,$AT$6:$AT$565,0)),"")</f>
        <v/>
      </c>
      <c r="AW203">
        <f>IF([3]Issues!$C$206="","",[3]Issues!$C$206)</f>
        <v/>
      </c>
      <c r="AX203">
        <f>IF([4]Entry!$E$206="","",[4]Entry!$E$206)</f>
        <v/>
      </c>
      <c r="AY203">
        <f>IF([4]Entry!$H$206="","",[4]Entry!$H$206)</f>
        <v/>
      </c>
      <c r="AZ203">
        <f>IF([4]Entry!$I$206="","",[4]Entry!$I$206)</f>
        <v/>
      </c>
    </row>
    <row r="204">
      <c r="F204">
        <f>IF([1]Accounts!$D$205="","",[1]Accounts!$A$205)</f>
        <v/>
      </c>
      <c r="G204">
        <f>IF([1]Accounts!$D$205="","",[1]Accounts!$B$205)</f>
        <v/>
      </c>
      <c r="H204">
        <f>IF([1]Accounts!$D$205="","",[1]Accounts!$C$205)</f>
        <v/>
      </c>
      <c r="I204">
        <f>IF([1]Accounts!$D$205="","",[1]Accounts!$D$205)</f>
        <v/>
      </c>
      <c r="R204">
        <f>IF(AND($F204&lt;&gt;"",$I204&lt;&gt;""),IF(OR($G204="دارایی ثابت",$G204="وام و تسهیلات",$G204="سرمایه و آورده صاحبان"),0,1),0)</f>
        <v/>
      </c>
      <c r="S204">
        <f>SUM($R$6:$R204)</f>
        <v/>
      </c>
      <c r="T204">
        <f>IFERROR(INDEX($F$6:$F$565,MATCH(ROW()-5,$S$6:$S$565,0)),"")</f>
        <v/>
      </c>
      <c r="Z204">
        <f>IF([2]Entry!$E$207="","",[2]Entry!$E$207)</f>
        <v/>
      </c>
      <c r="AA204">
        <f>IF([2]Entry!$G$207="","",[2]Entry!$G$207)</f>
        <v/>
      </c>
      <c r="AB204">
        <f>IF([2]Entry!$J$207="","",[2]Entry!$J$207)</f>
        <v/>
      </c>
      <c r="AC204">
        <f>IF([2]Entry!$K$207="","",[2]Entry!$K$207)</f>
        <v/>
      </c>
      <c r="AD204">
        <f>IF([2]Entry!$L$207="","",[2]Entry!$L$207)</f>
        <v/>
      </c>
      <c r="AE204">
        <f>IF([2]Entry!$M$207="","",[2]Entry!$M$207)</f>
        <v/>
      </c>
      <c r="AF204">
        <f>IF([2]Entry!$N$207="","",[2]Entry!$N$207)</f>
        <v/>
      </c>
      <c r="AG204">
        <f>IF([3]Issues!$B$207="","",[3]Issues!$B$207)</f>
        <v/>
      </c>
      <c r="AH204">
        <f>IF([3]Issues!$D$207="","",[3]Issues!$D$207)</f>
        <v/>
      </c>
      <c r="AI204">
        <f>IF([3]Issues!$E$207="","",[3]Issues!$E$207)</f>
        <v/>
      </c>
      <c r="AJ204">
        <f>IF([2]Entry!$S$207="","",[2]Entry!$S$207)</f>
        <v/>
      </c>
      <c r="AK204">
        <f>IF([2]Entry!$C$207="","",[2]Entry!$C$207)</f>
        <v/>
      </c>
      <c r="AL204">
        <f>IF([2]Entry!$D$207="","",[2]Entry!$D$207)</f>
        <v/>
      </c>
      <c r="AM204">
        <f>IF(AND($F204&lt;&gt;"",$I204&lt;&gt;""),IF($G204="دارایی ثابت",1,0),0)</f>
        <v/>
      </c>
      <c r="AN204">
        <f>SUM($AM$6:$AM204)</f>
        <v/>
      </c>
      <c r="AO204">
        <f>IFERROR(INDEX($F$6:$F$565,MATCH(ROW()-5,$AN$6:$AN$565,0)),"")</f>
        <v/>
      </c>
      <c r="AP204">
        <f>IF(AND($F204&lt;&gt;"",$I204&lt;&gt;""),IF($G204="وام و تسهیلات",1,0),0)</f>
        <v/>
      </c>
      <c r="AQ204">
        <f>SUM($AP$6:$AP204)</f>
        <v/>
      </c>
      <c r="AR204">
        <f>IFERROR(INDEX($F$6:$F$565,MATCH(ROW()-5,$AQ$6:$AQ$565,0)),"")</f>
        <v/>
      </c>
      <c r="AS204">
        <f>IF(AND($F204&lt;&gt;"",$I204&lt;&gt;""),IF($G204="سرمایه و آورده صاحبان",1,0),0)</f>
        <v/>
      </c>
      <c r="AT204">
        <f>SUM($AS$6:$AS204)</f>
        <v/>
      </c>
      <c r="AU204">
        <f>IFERROR(INDEX($F$6:$F$565,MATCH(ROW()-5,$AT$6:$AT$565,0)),"")</f>
        <v/>
      </c>
      <c r="AW204">
        <f>IF([3]Issues!$C$207="","",[3]Issues!$C$207)</f>
        <v/>
      </c>
      <c r="AX204">
        <f>IF([4]Entry!$E$207="","",[4]Entry!$E$207)</f>
        <v/>
      </c>
      <c r="AY204">
        <f>IF([4]Entry!$H$207="","",[4]Entry!$H$207)</f>
        <v/>
      </c>
      <c r="AZ204">
        <f>IF([4]Entry!$I$207="","",[4]Entry!$I$207)</f>
        <v/>
      </c>
    </row>
    <row r="205">
      <c r="F205">
        <f>IF([1]Accounts!$D$206="","",[1]Accounts!$A$206)</f>
        <v/>
      </c>
      <c r="G205">
        <f>IF([1]Accounts!$D$206="","",[1]Accounts!$B$206)</f>
        <v/>
      </c>
      <c r="H205">
        <f>IF([1]Accounts!$D$206="","",[1]Accounts!$C$206)</f>
        <v/>
      </c>
      <c r="I205">
        <f>IF([1]Accounts!$D$206="","",[1]Accounts!$D$206)</f>
        <v/>
      </c>
      <c r="R205">
        <f>IF(AND($F205&lt;&gt;"",$I205&lt;&gt;""),IF(OR($G205="دارایی ثابت",$G205="وام و تسهیلات",$G205="سرمایه و آورده صاحبان"),0,1),0)</f>
        <v/>
      </c>
      <c r="S205">
        <f>SUM($R$6:$R205)</f>
        <v/>
      </c>
      <c r="T205">
        <f>IFERROR(INDEX($F$6:$F$565,MATCH(ROW()-5,$S$6:$S$565,0)),"")</f>
        <v/>
      </c>
      <c r="Z205">
        <f>IF([2]Entry!$E$208="","",[2]Entry!$E$208)</f>
        <v/>
      </c>
      <c r="AA205">
        <f>IF([2]Entry!$G$208="","",[2]Entry!$G$208)</f>
        <v/>
      </c>
      <c r="AB205">
        <f>IF([2]Entry!$J$208="","",[2]Entry!$J$208)</f>
        <v/>
      </c>
      <c r="AC205">
        <f>IF([2]Entry!$K$208="","",[2]Entry!$K$208)</f>
        <v/>
      </c>
      <c r="AD205">
        <f>IF([2]Entry!$L$208="","",[2]Entry!$L$208)</f>
        <v/>
      </c>
      <c r="AE205">
        <f>IF([2]Entry!$M$208="","",[2]Entry!$M$208)</f>
        <v/>
      </c>
      <c r="AF205">
        <f>IF([2]Entry!$N$208="","",[2]Entry!$N$208)</f>
        <v/>
      </c>
      <c r="AG205">
        <f>IF([3]Issues!$B$208="","",[3]Issues!$B$208)</f>
        <v/>
      </c>
      <c r="AH205">
        <f>IF([3]Issues!$D$208="","",[3]Issues!$D$208)</f>
        <v/>
      </c>
      <c r="AI205">
        <f>IF([3]Issues!$E$208="","",[3]Issues!$E$208)</f>
        <v/>
      </c>
      <c r="AJ205">
        <f>IF([2]Entry!$S$208="","",[2]Entry!$S$208)</f>
        <v/>
      </c>
      <c r="AK205">
        <f>IF([2]Entry!$C$208="","",[2]Entry!$C$208)</f>
        <v/>
      </c>
      <c r="AL205">
        <f>IF([2]Entry!$D$208="","",[2]Entry!$D$208)</f>
        <v/>
      </c>
      <c r="AM205">
        <f>IF(AND($F205&lt;&gt;"",$I205&lt;&gt;""),IF($G205="دارایی ثابت",1,0),0)</f>
        <v/>
      </c>
      <c r="AN205">
        <f>SUM($AM$6:$AM205)</f>
        <v/>
      </c>
      <c r="AO205">
        <f>IFERROR(INDEX($F$6:$F$565,MATCH(ROW()-5,$AN$6:$AN$565,0)),"")</f>
        <v/>
      </c>
      <c r="AP205">
        <f>IF(AND($F205&lt;&gt;"",$I205&lt;&gt;""),IF($G205="وام و تسهیلات",1,0),0)</f>
        <v/>
      </c>
      <c r="AQ205">
        <f>SUM($AP$6:$AP205)</f>
        <v/>
      </c>
      <c r="AR205">
        <f>IFERROR(INDEX($F$6:$F$565,MATCH(ROW()-5,$AQ$6:$AQ$565,0)),"")</f>
        <v/>
      </c>
      <c r="AS205">
        <f>IF(AND($F205&lt;&gt;"",$I205&lt;&gt;""),IF($G205="سرمایه و آورده صاحبان",1,0),0)</f>
        <v/>
      </c>
      <c r="AT205">
        <f>SUM($AS$6:$AS205)</f>
        <v/>
      </c>
      <c r="AU205">
        <f>IFERROR(INDEX($F$6:$F$565,MATCH(ROW()-5,$AT$6:$AT$565,0)),"")</f>
        <v/>
      </c>
      <c r="AW205">
        <f>IF([3]Issues!$C$208="","",[3]Issues!$C$208)</f>
        <v/>
      </c>
      <c r="AX205">
        <f>IF([4]Entry!$E$208="","",[4]Entry!$E$208)</f>
        <v/>
      </c>
      <c r="AY205">
        <f>IF([4]Entry!$H$208="","",[4]Entry!$H$208)</f>
        <v/>
      </c>
      <c r="AZ205">
        <f>IF([4]Entry!$I$208="","",[4]Entry!$I$208)</f>
        <v/>
      </c>
    </row>
    <row r="206">
      <c r="F206">
        <f>IF([1]Accounts!$D$207="","",[1]Accounts!$A$207)</f>
        <v/>
      </c>
      <c r="G206">
        <f>IF([1]Accounts!$D$207="","",[1]Accounts!$B$207)</f>
        <v/>
      </c>
      <c r="H206">
        <f>IF([1]Accounts!$D$207="","",[1]Accounts!$C$207)</f>
        <v/>
      </c>
      <c r="I206">
        <f>IF([1]Accounts!$D$207="","",[1]Accounts!$D$207)</f>
        <v/>
      </c>
      <c r="R206">
        <f>IF(AND($F206&lt;&gt;"",$I206&lt;&gt;""),IF(OR($G206="دارایی ثابت",$G206="وام و تسهیلات",$G206="سرمایه و آورده صاحبان"),0,1),0)</f>
        <v/>
      </c>
      <c r="S206">
        <f>SUM($R$6:$R206)</f>
        <v/>
      </c>
      <c r="T206">
        <f>IFERROR(INDEX($F$6:$F$565,MATCH(ROW()-5,$S$6:$S$565,0)),"")</f>
        <v/>
      </c>
      <c r="Z206">
        <f>IF([2]Entry!$E$209="","",[2]Entry!$E$209)</f>
        <v/>
      </c>
      <c r="AA206">
        <f>IF([2]Entry!$G$209="","",[2]Entry!$G$209)</f>
        <v/>
      </c>
      <c r="AB206">
        <f>IF([2]Entry!$J$209="","",[2]Entry!$J$209)</f>
        <v/>
      </c>
      <c r="AC206">
        <f>IF([2]Entry!$K$209="","",[2]Entry!$K$209)</f>
        <v/>
      </c>
      <c r="AD206">
        <f>IF([2]Entry!$L$209="","",[2]Entry!$L$209)</f>
        <v/>
      </c>
      <c r="AE206">
        <f>IF([2]Entry!$M$209="","",[2]Entry!$M$209)</f>
        <v/>
      </c>
      <c r="AF206">
        <f>IF([2]Entry!$N$209="","",[2]Entry!$N$209)</f>
        <v/>
      </c>
      <c r="AG206">
        <f>IF([3]Issues!$B$209="","",[3]Issues!$B$209)</f>
        <v/>
      </c>
      <c r="AH206">
        <f>IF([3]Issues!$D$209="","",[3]Issues!$D$209)</f>
        <v/>
      </c>
      <c r="AI206">
        <f>IF([3]Issues!$E$209="","",[3]Issues!$E$209)</f>
        <v/>
      </c>
      <c r="AJ206">
        <f>IF([2]Entry!$S$209="","",[2]Entry!$S$209)</f>
        <v/>
      </c>
      <c r="AK206">
        <f>IF([2]Entry!$C$209="","",[2]Entry!$C$209)</f>
        <v/>
      </c>
      <c r="AL206">
        <f>IF([2]Entry!$D$209="","",[2]Entry!$D$209)</f>
        <v/>
      </c>
      <c r="AM206">
        <f>IF(AND($F206&lt;&gt;"",$I206&lt;&gt;""),IF($G206="دارایی ثابت",1,0),0)</f>
        <v/>
      </c>
      <c r="AN206">
        <f>SUM($AM$6:$AM206)</f>
        <v/>
      </c>
      <c r="AO206">
        <f>IFERROR(INDEX($F$6:$F$565,MATCH(ROW()-5,$AN$6:$AN$565,0)),"")</f>
        <v/>
      </c>
      <c r="AP206">
        <f>IF(AND($F206&lt;&gt;"",$I206&lt;&gt;""),IF($G206="وام و تسهیلات",1,0),0)</f>
        <v/>
      </c>
      <c r="AQ206">
        <f>SUM($AP$6:$AP206)</f>
        <v/>
      </c>
      <c r="AR206">
        <f>IFERROR(INDEX($F$6:$F$565,MATCH(ROW()-5,$AQ$6:$AQ$565,0)),"")</f>
        <v/>
      </c>
      <c r="AS206">
        <f>IF(AND($F206&lt;&gt;"",$I206&lt;&gt;""),IF($G206="سرمایه و آورده صاحبان",1,0),0)</f>
        <v/>
      </c>
      <c r="AT206">
        <f>SUM($AS$6:$AS206)</f>
        <v/>
      </c>
      <c r="AU206">
        <f>IFERROR(INDEX($F$6:$F$565,MATCH(ROW()-5,$AT$6:$AT$565,0)),"")</f>
        <v/>
      </c>
      <c r="AW206">
        <f>IF([3]Issues!$C$209="","",[3]Issues!$C$209)</f>
        <v/>
      </c>
      <c r="AX206">
        <f>IF([4]Entry!$E$209="","",[4]Entry!$E$209)</f>
        <v/>
      </c>
      <c r="AY206">
        <f>IF([4]Entry!$H$209="","",[4]Entry!$H$209)</f>
        <v/>
      </c>
      <c r="AZ206">
        <f>IF([4]Entry!$I$209="","",[4]Entry!$I$209)</f>
        <v/>
      </c>
    </row>
    <row r="207">
      <c r="F207">
        <f>IF([1]Accounts!$D$208="","",[1]Accounts!$A$208)</f>
        <v/>
      </c>
      <c r="G207">
        <f>IF([1]Accounts!$D$208="","",[1]Accounts!$B$208)</f>
        <v/>
      </c>
      <c r="H207">
        <f>IF([1]Accounts!$D$208="","",[1]Accounts!$C$208)</f>
        <v/>
      </c>
      <c r="I207">
        <f>IF([1]Accounts!$D$208="","",[1]Accounts!$D$208)</f>
        <v/>
      </c>
      <c r="R207">
        <f>IF(AND($F207&lt;&gt;"",$I207&lt;&gt;""),IF(OR($G207="دارایی ثابت",$G207="وام و تسهیلات",$G207="سرمایه و آورده صاحبان"),0,1),0)</f>
        <v/>
      </c>
      <c r="S207">
        <f>SUM($R$6:$R207)</f>
        <v/>
      </c>
      <c r="T207">
        <f>IFERROR(INDEX($F$6:$F$565,MATCH(ROW()-5,$S$6:$S$565,0)),"")</f>
        <v/>
      </c>
      <c r="Z207">
        <f>IF([2]Entry!$E$210="","",[2]Entry!$E$210)</f>
        <v/>
      </c>
      <c r="AA207">
        <f>IF([2]Entry!$G$210="","",[2]Entry!$G$210)</f>
        <v/>
      </c>
      <c r="AB207">
        <f>IF([2]Entry!$J$210="","",[2]Entry!$J$210)</f>
        <v/>
      </c>
      <c r="AC207">
        <f>IF([2]Entry!$K$210="","",[2]Entry!$K$210)</f>
        <v/>
      </c>
      <c r="AD207">
        <f>IF([2]Entry!$L$210="","",[2]Entry!$L$210)</f>
        <v/>
      </c>
      <c r="AE207">
        <f>IF([2]Entry!$M$210="","",[2]Entry!$M$210)</f>
        <v/>
      </c>
      <c r="AF207">
        <f>IF([2]Entry!$N$210="","",[2]Entry!$N$210)</f>
        <v/>
      </c>
      <c r="AG207">
        <f>IF([3]Issues!$B$210="","",[3]Issues!$B$210)</f>
        <v/>
      </c>
      <c r="AH207">
        <f>IF([3]Issues!$D$210="","",[3]Issues!$D$210)</f>
        <v/>
      </c>
      <c r="AI207">
        <f>IF([3]Issues!$E$210="","",[3]Issues!$E$210)</f>
        <v/>
      </c>
      <c r="AJ207">
        <f>IF([2]Entry!$S$210="","",[2]Entry!$S$210)</f>
        <v/>
      </c>
      <c r="AK207">
        <f>IF([2]Entry!$C$210="","",[2]Entry!$C$210)</f>
        <v/>
      </c>
      <c r="AL207">
        <f>IF([2]Entry!$D$210="","",[2]Entry!$D$210)</f>
        <v/>
      </c>
      <c r="AM207">
        <f>IF(AND($F207&lt;&gt;"",$I207&lt;&gt;""),IF($G207="دارایی ثابت",1,0),0)</f>
        <v/>
      </c>
      <c r="AN207">
        <f>SUM($AM$6:$AM207)</f>
        <v/>
      </c>
      <c r="AO207">
        <f>IFERROR(INDEX($F$6:$F$565,MATCH(ROW()-5,$AN$6:$AN$565,0)),"")</f>
        <v/>
      </c>
      <c r="AP207">
        <f>IF(AND($F207&lt;&gt;"",$I207&lt;&gt;""),IF($G207="وام و تسهیلات",1,0),0)</f>
        <v/>
      </c>
      <c r="AQ207">
        <f>SUM($AP$6:$AP207)</f>
        <v/>
      </c>
      <c r="AR207">
        <f>IFERROR(INDEX($F$6:$F$565,MATCH(ROW()-5,$AQ$6:$AQ$565,0)),"")</f>
        <v/>
      </c>
      <c r="AS207">
        <f>IF(AND($F207&lt;&gt;"",$I207&lt;&gt;""),IF($G207="سرمایه و آورده صاحبان",1,0),0)</f>
        <v/>
      </c>
      <c r="AT207">
        <f>SUM($AS$6:$AS207)</f>
        <v/>
      </c>
      <c r="AU207">
        <f>IFERROR(INDEX($F$6:$F$565,MATCH(ROW()-5,$AT$6:$AT$565,0)),"")</f>
        <v/>
      </c>
      <c r="AW207">
        <f>IF([3]Issues!$C$210="","",[3]Issues!$C$210)</f>
        <v/>
      </c>
      <c r="AX207">
        <f>IF([4]Entry!$E$210="","",[4]Entry!$E$210)</f>
        <v/>
      </c>
      <c r="AY207">
        <f>IF([4]Entry!$H$210="","",[4]Entry!$H$210)</f>
        <v/>
      </c>
      <c r="AZ207">
        <f>IF([4]Entry!$I$210="","",[4]Entry!$I$210)</f>
        <v/>
      </c>
    </row>
    <row r="208">
      <c r="F208">
        <f>IF([1]Accounts!$D$209="","",[1]Accounts!$A$209)</f>
        <v/>
      </c>
      <c r="G208">
        <f>IF([1]Accounts!$D$209="","",[1]Accounts!$B$209)</f>
        <v/>
      </c>
      <c r="H208">
        <f>IF([1]Accounts!$D$209="","",[1]Accounts!$C$209)</f>
        <v/>
      </c>
      <c r="I208">
        <f>IF([1]Accounts!$D$209="","",[1]Accounts!$D$209)</f>
        <v/>
      </c>
      <c r="R208">
        <f>IF(AND($F208&lt;&gt;"",$I208&lt;&gt;""),IF(OR($G208="دارایی ثابت",$G208="وام و تسهیلات",$G208="سرمایه و آورده صاحبان"),0,1),0)</f>
        <v/>
      </c>
      <c r="S208">
        <f>SUM($R$6:$R208)</f>
        <v/>
      </c>
      <c r="T208">
        <f>IFERROR(INDEX($F$6:$F$565,MATCH(ROW()-5,$S$6:$S$565,0)),"")</f>
        <v/>
      </c>
      <c r="Z208">
        <f>IF([2]Entry!$E$211="","",[2]Entry!$E$211)</f>
        <v/>
      </c>
      <c r="AA208">
        <f>IF([2]Entry!$G$211="","",[2]Entry!$G$211)</f>
        <v/>
      </c>
      <c r="AB208">
        <f>IF([2]Entry!$J$211="","",[2]Entry!$J$211)</f>
        <v/>
      </c>
      <c r="AC208">
        <f>IF([2]Entry!$K$211="","",[2]Entry!$K$211)</f>
        <v/>
      </c>
      <c r="AD208">
        <f>IF([2]Entry!$L$211="","",[2]Entry!$L$211)</f>
        <v/>
      </c>
      <c r="AE208">
        <f>IF([2]Entry!$M$211="","",[2]Entry!$M$211)</f>
        <v/>
      </c>
      <c r="AF208">
        <f>IF([2]Entry!$N$211="","",[2]Entry!$N$211)</f>
        <v/>
      </c>
      <c r="AG208">
        <f>IF([3]Issues!$B$211="","",[3]Issues!$B$211)</f>
        <v/>
      </c>
      <c r="AH208">
        <f>IF([3]Issues!$D$211="","",[3]Issues!$D$211)</f>
        <v/>
      </c>
      <c r="AI208">
        <f>IF([3]Issues!$E$211="","",[3]Issues!$E$211)</f>
        <v/>
      </c>
      <c r="AJ208">
        <f>IF([2]Entry!$S$211="","",[2]Entry!$S$211)</f>
        <v/>
      </c>
      <c r="AK208">
        <f>IF([2]Entry!$C$211="","",[2]Entry!$C$211)</f>
        <v/>
      </c>
      <c r="AL208">
        <f>IF([2]Entry!$D$211="","",[2]Entry!$D$211)</f>
        <v/>
      </c>
      <c r="AM208">
        <f>IF(AND($F208&lt;&gt;"",$I208&lt;&gt;""),IF($G208="دارایی ثابت",1,0),0)</f>
        <v/>
      </c>
      <c r="AN208">
        <f>SUM($AM$6:$AM208)</f>
        <v/>
      </c>
      <c r="AO208">
        <f>IFERROR(INDEX($F$6:$F$565,MATCH(ROW()-5,$AN$6:$AN$565,0)),"")</f>
        <v/>
      </c>
      <c r="AP208">
        <f>IF(AND($F208&lt;&gt;"",$I208&lt;&gt;""),IF($G208="وام و تسهیلات",1,0),0)</f>
        <v/>
      </c>
      <c r="AQ208">
        <f>SUM($AP$6:$AP208)</f>
        <v/>
      </c>
      <c r="AR208">
        <f>IFERROR(INDEX($F$6:$F$565,MATCH(ROW()-5,$AQ$6:$AQ$565,0)),"")</f>
        <v/>
      </c>
      <c r="AS208">
        <f>IF(AND($F208&lt;&gt;"",$I208&lt;&gt;""),IF($G208="سرمایه و آورده صاحبان",1,0),0)</f>
        <v/>
      </c>
      <c r="AT208">
        <f>SUM($AS$6:$AS208)</f>
        <v/>
      </c>
      <c r="AU208">
        <f>IFERROR(INDEX($F$6:$F$565,MATCH(ROW()-5,$AT$6:$AT$565,0)),"")</f>
        <v/>
      </c>
      <c r="AW208">
        <f>IF([3]Issues!$C$211="","",[3]Issues!$C$211)</f>
        <v/>
      </c>
      <c r="AX208">
        <f>IF([4]Entry!$E$211="","",[4]Entry!$E$211)</f>
        <v/>
      </c>
      <c r="AY208">
        <f>IF([4]Entry!$H$211="","",[4]Entry!$H$211)</f>
        <v/>
      </c>
      <c r="AZ208">
        <f>IF([4]Entry!$I$211="","",[4]Entry!$I$211)</f>
        <v/>
      </c>
    </row>
    <row r="209">
      <c r="F209">
        <f>IF([1]Accounts!$D$210="","",[1]Accounts!$A$210)</f>
        <v/>
      </c>
      <c r="G209">
        <f>IF([1]Accounts!$D$210="","",[1]Accounts!$B$210)</f>
        <v/>
      </c>
      <c r="H209">
        <f>IF([1]Accounts!$D$210="","",[1]Accounts!$C$210)</f>
        <v/>
      </c>
      <c r="I209">
        <f>IF([1]Accounts!$D$210="","",[1]Accounts!$D$210)</f>
        <v/>
      </c>
      <c r="R209">
        <f>IF(AND($F209&lt;&gt;"",$I209&lt;&gt;""),IF(OR($G209="دارایی ثابت",$G209="وام و تسهیلات",$G209="سرمایه و آورده صاحبان"),0,1),0)</f>
        <v/>
      </c>
      <c r="S209">
        <f>SUM($R$6:$R209)</f>
        <v/>
      </c>
      <c r="T209">
        <f>IFERROR(INDEX($F$6:$F$565,MATCH(ROW()-5,$S$6:$S$565,0)),"")</f>
        <v/>
      </c>
      <c r="Z209">
        <f>IF([2]Entry!$E$212="","",[2]Entry!$E$212)</f>
        <v/>
      </c>
      <c r="AA209">
        <f>IF([2]Entry!$G$212="","",[2]Entry!$G$212)</f>
        <v/>
      </c>
      <c r="AB209">
        <f>IF([2]Entry!$J$212="","",[2]Entry!$J$212)</f>
        <v/>
      </c>
      <c r="AC209">
        <f>IF([2]Entry!$K$212="","",[2]Entry!$K$212)</f>
        <v/>
      </c>
      <c r="AD209">
        <f>IF([2]Entry!$L$212="","",[2]Entry!$L$212)</f>
        <v/>
      </c>
      <c r="AE209">
        <f>IF([2]Entry!$M$212="","",[2]Entry!$M$212)</f>
        <v/>
      </c>
      <c r="AF209">
        <f>IF([2]Entry!$N$212="","",[2]Entry!$N$212)</f>
        <v/>
      </c>
      <c r="AG209">
        <f>IF([3]Issues!$B$212="","",[3]Issues!$B$212)</f>
        <v/>
      </c>
      <c r="AH209">
        <f>IF([3]Issues!$D$212="","",[3]Issues!$D$212)</f>
        <v/>
      </c>
      <c r="AI209">
        <f>IF([3]Issues!$E$212="","",[3]Issues!$E$212)</f>
        <v/>
      </c>
      <c r="AJ209">
        <f>IF([2]Entry!$S$212="","",[2]Entry!$S$212)</f>
        <v/>
      </c>
      <c r="AK209">
        <f>IF([2]Entry!$C$212="","",[2]Entry!$C$212)</f>
        <v/>
      </c>
      <c r="AL209">
        <f>IF([2]Entry!$D$212="","",[2]Entry!$D$212)</f>
        <v/>
      </c>
      <c r="AM209">
        <f>IF(AND($F209&lt;&gt;"",$I209&lt;&gt;""),IF($G209="دارایی ثابت",1,0),0)</f>
        <v/>
      </c>
      <c r="AN209">
        <f>SUM($AM$6:$AM209)</f>
        <v/>
      </c>
      <c r="AO209">
        <f>IFERROR(INDEX($F$6:$F$565,MATCH(ROW()-5,$AN$6:$AN$565,0)),"")</f>
        <v/>
      </c>
      <c r="AP209">
        <f>IF(AND($F209&lt;&gt;"",$I209&lt;&gt;""),IF($G209="وام و تسهیلات",1,0),0)</f>
        <v/>
      </c>
      <c r="AQ209">
        <f>SUM($AP$6:$AP209)</f>
        <v/>
      </c>
      <c r="AR209">
        <f>IFERROR(INDEX($F$6:$F$565,MATCH(ROW()-5,$AQ$6:$AQ$565,0)),"")</f>
        <v/>
      </c>
      <c r="AS209">
        <f>IF(AND($F209&lt;&gt;"",$I209&lt;&gt;""),IF($G209="سرمایه و آورده صاحبان",1,0),0)</f>
        <v/>
      </c>
      <c r="AT209">
        <f>SUM($AS$6:$AS209)</f>
        <v/>
      </c>
      <c r="AU209">
        <f>IFERROR(INDEX($F$6:$F$565,MATCH(ROW()-5,$AT$6:$AT$565,0)),"")</f>
        <v/>
      </c>
      <c r="AW209">
        <f>IF([3]Issues!$C$212="","",[3]Issues!$C$212)</f>
        <v/>
      </c>
      <c r="AX209">
        <f>IF([4]Entry!$E$212="","",[4]Entry!$E$212)</f>
        <v/>
      </c>
      <c r="AY209">
        <f>IF([4]Entry!$H$212="","",[4]Entry!$H$212)</f>
        <v/>
      </c>
      <c r="AZ209">
        <f>IF([4]Entry!$I$212="","",[4]Entry!$I$212)</f>
        <v/>
      </c>
    </row>
    <row r="210">
      <c r="F210">
        <f>IF([1]Accounts!$D$211="","",[1]Accounts!$A$211)</f>
        <v/>
      </c>
      <c r="G210">
        <f>IF([1]Accounts!$D$211="","",[1]Accounts!$B$211)</f>
        <v/>
      </c>
      <c r="H210">
        <f>IF([1]Accounts!$D$211="","",[1]Accounts!$C$211)</f>
        <v/>
      </c>
      <c r="I210">
        <f>IF([1]Accounts!$D$211="","",[1]Accounts!$D$211)</f>
        <v/>
      </c>
      <c r="R210">
        <f>IF(AND($F210&lt;&gt;"",$I210&lt;&gt;""),IF(OR($G210="دارایی ثابت",$G210="وام و تسهیلات",$G210="سرمایه و آورده صاحبان"),0,1),0)</f>
        <v/>
      </c>
      <c r="S210">
        <f>SUM($R$6:$R210)</f>
        <v/>
      </c>
      <c r="T210">
        <f>IFERROR(INDEX($F$6:$F$565,MATCH(ROW()-5,$S$6:$S$565,0)),"")</f>
        <v/>
      </c>
      <c r="Z210">
        <f>IF([2]Entry!$E$213="","",[2]Entry!$E$213)</f>
        <v/>
      </c>
      <c r="AA210">
        <f>IF([2]Entry!$G$213="","",[2]Entry!$G$213)</f>
        <v/>
      </c>
      <c r="AB210">
        <f>IF([2]Entry!$J$213="","",[2]Entry!$J$213)</f>
        <v/>
      </c>
      <c r="AC210">
        <f>IF([2]Entry!$K$213="","",[2]Entry!$K$213)</f>
        <v/>
      </c>
      <c r="AD210">
        <f>IF([2]Entry!$L$213="","",[2]Entry!$L$213)</f>
        <v/>
      </c>
      <c r="AE210">
        <f>IF([2]Entry!$M$213="","",[2]Entry!$M$213)</f>
        <v/>
      </c>
      <c r="AF210">
        <f>IF([2]Entry!$N$213="","",[2]Entry!$N$213)</f>
        <v/>
      </c>
      <c r="AG210">
        <f>IF([3]Issues!$B$213="","",[3]Issues!$B$213)</f>
        <v/>
      </c>
      <c r="AH210">
        <f>IF([3]Issues!$D$213="","",[3]Issues!$D$213)</f>
        <v/>
      </c>
      <c r="AI210">
        <f>IF([3]Issues!$E$213="","",[3]Issues!$E$213)</f>
        <v/>
      </c>
      <c r="AJ210">
        <f>IF([2]Entry!$S$213="","",[2]Entry!$S$213)</f>
        <v/>
      </c>
      <c r="AK210">
        <f>IF([2]Entry!$C$213="","",[2]Entry!$C$213)</f>
        <v/>
      </c>
      <c r="AL210">
        <f>IF([2]Entry!$D$213="","",[2]Entry!$D$213)</f>
        <v/>
      </c>
      <c r="AM210">
        <f>IF(AND($F210&lt;&gt;"",$I210&lt;&gt;""),IF($G210="دارایی ثابت",1,0),0)</f>
        <v/>
      </c>
      <c r="AN210">
        <f>SUM($AM$6:$AM210)</f>
        <v/>
      </c>
      <c r="AO210">
        <f>IFERROR(INDEX($F$6:$F$565,MATCH(ROW()-5,$AN$6:$AN$565,0)),"")</f>
        <v/>
      </c>
      <c r="AP210">
        <f>IF(AND($F210&lt;&gt;"",$I210&lt;&gt;""),IF($G210="وام و تسهیلات",1,0),0)</f>
        <v/>
      </c>
      <c r="AQ210">
        <f>SUM($AP$6:$AP210)</f>
        <v/>
      </c>
      <c r="AR210">
        <f>IFERROR(INDEX($F$6:$F$565,MATCH(ROW()-5,$AQ$6:$AQ$565,0)),"")</f>
        <v/>
      </c>
      <c r="AS210">
        <f>IF(AND($F210&lt;&gt;"",$I210&lt;&gt;""),IF($G210="سرمایه و آورده صاحبان",1,0),0)</f>
        <v/>
      </c>
      <c r="AT210">
        <f>SUM($AS$6:$AS210)</f>
        <v/>
      </c>
      <c r="AU210">
        <f>IFERROR(INDEX($F$6:$F$565,MATCH(ROW()-5,$AT$6:$AT$565,0)),"")</f>
        <v/>
      </c>
      <c r="AW210">
        <f>IF([3]Issues!$C$213="","",[3]Issues!$C$213)</f>
        <v/>
      </c>
      <c r="AX210">
        <f>IF([4]Entry!$E$213="","",[4]Entry!$E$213)</f>
        <v/>
      </c>
      <c r="AY210">
        <f>IF([4]Entry!$H$213="","",[4]Entry!$H$213)</f>
        <v/>
      </c>
      <c r="AZ210">
        <f>IF([4]Entry!$I$213="","",[4]Entry!$I$213)</f>
        <v/>
      </c>
    </row>
    <row r="211">
      <c r="F211">
        <f>IF([1]Accounts!$D$212="","",[1]Accounts!$A$212)</f>
        <v/>
      </c>
      <c r="G211">
        <f>IF([1]Accounts!$D$212="","",[1]Accounts!$B$212)</f>
        <v/>
      </c>
      <c r="H211">
        <f>IF([1]Accounts!$D$212="","",[1]Accounts!$C$212)</f>
        <v/>
      </c>
      <c r="I211">
        <f>IF([1]Accounts!$D$212="","",[1]Accounts!$D$212)</f>
        <v/>
      </c>
      <c r="R211">
        <f>IF(AND($F211&lt;&gt;"",$I211&lt;&gt;""),IF(OR($G211="دارایی ثابت",$G211="وام و تسهیلات",$G211="سرمایه و آورده صاحبان"),0,1),0)</f>
        <v/>
      </c>
      <c r="S211">
        <f>SUM($R$6:$R211)</f>
        <v/>
      </c>
      <c r="T211">
        <f>IFERROR(INDEX($F$6:$F$565,MATCH(ROW()-5,$S$6:$S$565,0)),"")</f>
        <v/>
      </c>
      <c r="Z211">
        <f>IF([2]Entry!$E$214="","",[2]Entry!$E$214)</f>
        <v/>
      </c>
      <c r="AA211">
        <f>IF([2]Entry!$G$214="","",[2]Entry!$G$214)</f>
        <v/>
      </c>
      <c r="AB211">
        <f>IF([2]Entry!$J$214="","",[2]Entry!$J$214)</f>
        <v/>
      </c>
      <c r="AC211">
        <f>IF([2]Entry!$K$214="","",[2]Entry!$K$214)</f>
        <v/>
      </c>
      <c r="AD211">
        <f>IF([2]Entry!$L$214="","",[2]Entry!$L$214)</f>
        <v/>
      </c>
      <c r="AE211">
        <f>IF([2]Entry!$M$214="","",[2]Entry!$M$214)</f>
        <v/>
      </c>
      <c r="AF211">
        <f>IF([2]Entry!$N$214="","",[2]Entry!$N$214)</f>
        <v/>
      </c>
      <c r="AG211">
        <f>IF([3]Issues!$B$214="","",[3]Issues!$B$214)</f>
        <v/>
      </c>
      <c r="AH211">
        <f>IF([3]Issues!$D$214="","",[3]Issues!$D$214)</f>
        <v/>
      </c>
      <c r="AI211">
        <f>IF([3]Issues!$E$214="","",[3]Issues!$E$214)</f>
        <v/>
      </c>
      <c r="AJ211">
        <f>IF([2]Entry!$S$214="","",[2]Entry!$S$214)</f>
        <v/>
      </c>
      <c r="AK211">
        <f>IF([2]Entry!$C$214="","",[2]Entry!$C$214)</f>
        <v/>
      </c>
      <c r="AL211">
        <f>IF([2]Entry!$D$214="","",[2]Entry!$D$214)</f>
        <v/>
      </c>
      <c r="AM211">
        <f>IF(AND($F211&lt;&gt;"",$I211&lt;&gt;""),IF($G211="دارایی ثابت",1,0),0)</f>
        <v/>
      </c>
      <c r="AN211">
        <f>SUM($AM$6:$AM211)</f>
        <v/>
      </c>
      <c r="AO211">
        <f>IFERROR(INDEX($F$6:$F$565,MATCH(ROW()-5,$AN$6:$AN$565,0)),"")</f>
        <v/>
      </c>
      <c r="AP211">
        <f>IF(AND($F211&lt;&gt;"",$I211&lt;&gt;""),IF($G211="وام و تسهیلات",1,0),0)</f>
        <v/>
      </c>
      <c r="AQ211">
        <f>SUM($AP$6:$AP211)</f>
        <v/>
      </c>
      <c r="AR211">
        <f>IFERROR(INDEX($F$6:$F$565,MATCH(ROW()-5,$AQ$6:$AQ$565,0)),"")</f>
        <v/>
      </c>
      <c r="AS211">
        <f>IF(AND($F211&lt;&gt;"",$I211&lt;&gt;""),IF($G211="سرمایه و آورده صاحبان",1,0),0)</f>
        <v/>
      </c>
      <c r="AT211">
        <f>SUM($AS$6:$AS211)</f>
        <v/>
      </c>
      <c r="AU211">
        <f>IFERROR(INDEX($F$6:$F$565,MATCH(ROW()-5,$AT$6:$AT$565,0)),"")</f>
        <v/>
      </c>
      <c r="AW211">
        <f>IF([3]Issues!$C$214="","",[3]Issues!$C$214)</f>
        <v/>
      </c>
      <c r="AX211">
        <f>IF([4]Entry!$E$214="","",[4]Entry!$E$214)</f>
        <v/>
      </c>
      <c r="AY211">
        <f>IF([4]Entry!$H$214="","",[4]Entry!$H$214)</f>
        <v/>
      </c>
      <c r="AZ211">
        <f>IF([4]Entry!$I$214="","",[4]Entry!$I$214)</f>
        <v/>
      </c>
    </row>
    <row r="212">
      <c r="F212">
        <f>IF([1]Accounts!$D$213="","",[1]Accounts!$A$213)</f>
        <v/>
      </c>
      <c r="G212">
        <f>IF([1]Accounts!$D$213="","",[1]Accounts!$B$213)</f>
        <v/>
      </c>
      <c r="H212">
        <f>IF([1]Accounts!$D$213="","",[1]Accounts!$C$213)</f>
        <v/>
      </c>
      <c r="I212">
        <f>IF([1]Accounts!$D$213="","",[1]Accounts!$D$213)</f>
        <v/>
      </c>
      <c r="R212">
        <f>IF(AND($F212&lt;&gt;"",$I212&lt;&gt;""),IF(OR($G212="دارایی ثابت",$G212="وام و تسهیلات",$G212="سرمایه و آورده صاحبان"),0,1),0)</f>
        <v/>
      </c>
      <c r="S212">
        <f>SUM($R$6:$R212)</f>
        <v/>
      </c>
      <c r="T212">
        <f>IFERROR(INDEX($F$6:$F$565,MATCH(ROW()-5,$S$6:$S$565,0)),"")</f>
        <v/>
      </c>
      <c r="Z212">
        <f>IF([2]Entry!$E$215="","",[2]Entry!$E$215)</f>
        <v/>
      </c>
      <c r="AA212">
        <f>IF([2]Entry!$G$215="","",[2]Entry!$G$215)</f>
        <v/>
      </c>
      <c r="AB212">
        <f>IF([2]Entry!$J$215="","",[2]Entry!$J$215)</f>
        <v/>
      </c>
      <c r="AC212">
        <f>IF([2]Entry!$K$215="","",[2]Entry!$K$215)</f>
        <v/>
      </c>
      <c r="AD212">
        <f>IF([2]Entry!$L$215="","",[2]Entry!$L$215)</f>
        <v/>
      </c>
      <c r="AE212">
        <f>IF([2]Entry!$M$215="","",[2]Entry!$M$215)</f>
        <v/>
      </c>
      <c r="AF212">
        <f>IF([2]Entry!$N$215="","",[2]Entry!$N$215)</f>
        <v/>
      </c>
      <c r="AG212">
        <f>IF([3]Issues!$B$215="","",[3]Issues!$B$215)</f>
        <v/>
      </c>
      <c r="AH212">
        <f>IF([3]Issues!$D$215="","",[3]Issues!$D$215)</f>
        <v/>
      </c>
      <c r="AI212">
        <f>IF([3]Issues!$E$215="","",[3]Issues!$E$215)</f>
        <v/>
      </c>
      <c r="AJ212">
        <f>IF([2]Entry!$S$215="","",[2]Entry!$S$215)</f>
        <v/>
      </c>
      <c r="AK212">
        <f>IF([2]Entry!$C$215="","",[2]Entry!$C$215)</f>
        <v/>
      </c>
      <c r="AL212">
        <f>IF([2]Entry!$D$215="","",[2]Entry!$D$215)</f>
        <v/>
      </c>
      <c r="AM212">
        <f>IF(AND($F212&lt;&gt;"",$I212&lt;&gt;""),IF($G212="دارایی ثابت",1,0),0)</f>
        <v/>
      </c>
      <c r="AN212">
        <f>SUM($AM$6:$AM212)</f>
        <v/>
      </c>
      <c r="AO212">
        <f>IFERROR(INDEX($F$6:$F$565,MATCH(ROW()-5,$AN$6:$AN$565,0)),"")</f>
        <v/>
      </c>
      <c r="AP212">
        <f>IF(AND($F212&lt;&gt;"",$I212&lt;&gt;""),IF($G212="وام و تسهیلات",1,0),0)</f>
        <v/>
      </c>
      <c r="AQ212">
        <f>SUM($AP$6:$AP212)</f>
        <v/>
      </c>
      <c r="AR212">
        <f>IFERROR(INDEX($F$6:$F$565,MATCH(ROW()-5,$AQ$6:$AQ$565,0)),"")</f>
        <v/>
      </c>
      <c r="AS212">
        <f>IF(AND($F212&lt;&gt;"",$I212&lt;&gt;""),IF($G212="سرمایه و آورده صاحبان",1,0),0)</f>
        <v/>
      </c>
      <c r="AT212">
        <f>SUM($AS$6:$AS212)</f>
        <v/>
      </c>
      <c r="AU212">
        <f>IFERROR(INDEX($F$6:$F$565,MATCH(ROW()-5,$AT$6:$AT$565,0)),"")</f>
        <v/>
      </c>
      <c r="AW212">
        <f>IF([3]Issues!$C$215="","",[3]Issues!$C$215)</f>
        <v/>
      </c>
      <c r="AX212">
        <f>IF([4]Entry!$E$215="","",[4]Entry!$E$215)</f>
        <v/>
      </c>
      <c r="AY212">
        <f>IF([4]Entry!$H$215="","",[4]Entry!$H$215)</f>
        <v/>
      </c>
      <c r="AZ212">
        <f>IF([4]Entry!$I$215="","",[4]Entry!$I$215)</f>
        <v/>
      </c>
    </row>
    <row r="213">
      <c r="F213">
        <f>IF([1]Accounts!$D$214="","",[1]Accounts!$A$214)</f>
        <v/>
      </c>
      <c r="G213">
        <f>IF([1]Accounts!$D$214="","",[1]Accounts!$B$214)</f>
        <v/>
      </c>
      <c r="H213">
        <f>IF([1]Accounts!$D$214="","",[1]Accounts!$C$214)</f>
        <v/>
      </c>
      <c r="I213">
        <f>IF([1]Accounts!$D$214="","",[1]Accounts!$D$214)</f>
        <v/>
      </c>
      <c r="R213">
        <f>IF(AND($F213&lt;&gt;"",$I213&lt;&gt;""),IF(OR($G213="دارایی ثابت",$G213="وام و تسهیلات",$G213="سرمایه و آورده صاحبان"),0,1),0)</f>
        <v/>
      </c>
      <c r="S213">
        <f>SUM($R$6:$R213)</f>
        <v/>
      </c>
      <c r="T213">
        <f>IFERROR(INDEX($F$6:$F$565,MATCH(ROW()-5,$S$6:$S$565,0)),"")</f>
        <v/>
      </c>
      <c r="Z213">
        <f>IF([2]Entry!$E$216="","",[2]Entry!$E$216)</f>
        <v/>
      </c>
      <c r="AA213">
        <f>IF([2]Entry!$G$216="","",[2]Entry!$G$216)</f>
        <v/>
      </c>
      <c r="AB213">
        <f>IF([2]Entry!$J$216="","",[2]Entry!$J$216)</f>
        <v/>
      </c>
      <c r="AC213">
        <f>IF([2]Entry!$K$216="","",[2]Entry!$K$216)</f>
        <v/>
      </c>
      <c r="AD213">
        <f>IF([2]Entry!$L$216="","",[2]Entry!$L$216)</f>
        <v/>
      </c>
      <c r="AE213">
        <f>IF([2]Entry!$M$216="","",[2]Entry!$M$216)</f>
        <v/>
      </c>
      <c r="AF213">
        <f>IF([2]Entry!$N$216="","",[2]Entry!$N$216)</f>
        <v/>
      </c>
      <c r="AG213">
        <f>IF([3]Issues!$B$216="","",[3]Issues!$B$216)</f>
        <v/>
      </c>
      <c r="AH213">
        <f>IF([3]Issues!$D$216="","",[3]Issues!$D$216)</f>
        <v/>
      </c>
      <c r="AI213">
        <f>IF([3]Issues!$E$216="","",[3]Issues!$E$216)</f>
        <v/>
      </c>
      <c r="AJ213">
        <f>IF([2]Entry!$S$216="","",[2]Entry!$S$216)</f>
        <v/>
      </c>
      <c r="AK213">
        <f>IF([2]Entry!$C$216="","",[2]Entry!$C$216)</f>
        <v/>
      </c>
      <c r="AL213">
        <f>IF([2]Entry!$D$216="","",[2]Entry!$D$216)</f>
        <v/>
      </c>
      <c r="AM213">
        <f>IF(AND($F213&lt;&gt;"",$I213&lt;&gt;""),IF($G213="دارایی ثابت",1,0),0)</f>
        <v/>
      </c>
      <c r="AN213">
        <f>SUM($AM$6:$AM213)</f>
        <v/>
      </c>
      <c r="AO213">
        <f>IFERROR(INDEX($F$6:$F$565,MATCH(ROW()-5,$AN$6:$AN$565,0)),"")</f>
        <v/>
      </c>
      <c r="AP213">
        <f>IF(AND($F213&lt;&gt;"",$I213&lt;&gt;""),IF($G213="وام و تسهیلات",1,0),0)</f>
        <v/>
      </c>
      <c r="AQ213">
        <f>SUM($AP$6:$AP213)</f>
        <v/>
      </c>
      <c r="AR213">
        <f>IFERROR(INDEX($F$6:$F$565,MATCH(ROW()-5,$AQ$6:$AQ$565,0)),"")</f>
        <v/>
      </c>
      <c r="AS213">
        <f>IF(AND($F213&lt;&gt;"",$I213&lt;&gt;""),IF($G213="سرمایه و آورده صاحبان",1,0),0)</f>
        <v/>
      </c>
      <c r="AT213">
        <f>SUM($AS$6:$AS213)</f>
        <v/>
      </c>
      <c r="AU213">
        <f>IFERROR(INDEX($F$6:$F$565,MATCH(ROW()-5,$AT$6:$AT$565,0)),"")</f>
        <v/>
      </c>
      <c r="AW213">
        <f>IF([3]Issues!$C$216="","",[3]Issues!$C$216)</f>
        <v/>
      </c>
      <c r="AX213">
        <f>IF([4]Entry!$E$216="","",[4]Entry!$E$216)</f>
        <v/>
      </c>
      <c r="AY213">
        <f>IF([4]Entry!$H$216="","",[4]Entry!$H$216)</f>
        <v/>
      </c>
      <c r="AZ213">
        <f>IF([4]Entry!$I$216="","",[4]Entry!$I$216)</f>
        <v/>
      </c>
    </row>
    <row r="214">
      <c r="F214">
        <f>IF([1]Accounts!$D$215="","",[1]Accounts!$A$215)</f>
        <v/>
      </c>
      <c r="G214">
        <f>IF([1]Accounts!$D$215="","",[1]Accounts!$B$215)</f>
        <v/>
      </c>
      <c r="H214">
        <f>IF([1]Accounts!$D$215="","",[1]Accounts!$C$215)</f>
        <v/>
      </c>
      <c r="I214">
        <f>IF([1]Accounts!$D$215="","",[1]Accounts!$D$215)</f>
        <v/>
      </c>
      <c r="R214">
        <f>IF(AND($F214&lt;&gt;"",$I214&lt;&gt;""),IF(OR($G214="دارایی ثابت",$G214="وام و تسهیلات",$G214="سرمایه و آورده صاحبان"),0,1),0)</f>
        <v/>
      </c>
      <c r="S214">
        <f>SUM($R$6:$R214)</f>
        <v/>
      </c>
      <c r="T214">
        <f>IFERROR(INDEX($F$6:$F$565,MATCH(ROW()-5,$S$6:$S$565,0)),"")</f>
        <v/>
      </c>
      <c r="Z214">
        <f>IF([2]Entry!$E$217="","",[2]Entry!$E$217)</f>
        <v/>
      </c>
      <c r="AA214">
        <f>IF([2]Entry!$G$217="","",[2]Entry!$G$217)</f>
        <v/>
      </c>
      <c r="AB214">
        <f>IF([2]Entry!$J$217="","",[2]Entry!$J$217)</f>
        <v/>
      </c>
      <c r="AC214">
        <f>IF([2]Entry!$K$217="","",[2]Entry!$K$217)</f>
        <v/>
      </c>
      <c r="AD214">
        <f>IF([2]Entry!$L$217="","",[2]Entry!$L$217)</f>
        <v/>
      </c>
      <c r="AE214">
        <f>IF([2]Entry!$M$217="","",[2]Entry!$M$217)</f>
        <v/>
      </c>
      <c r="AF214">
        <f>IF([2]Entry!$N$217="","",[2]Entry!$N$217)</f>
        <v/>
      </c>
      <c r="AG214">
        <f>IF([3]Issues!$B$217="","",[3]Issues!$B$217)</f>
        <v/>
      </c>
      <c r="AH214">
        <f>IF([3]Issues!$D$217="","",[3]Issues!$D$217)</f>
        <v/>
      </c>
      <c r="AI214">
        <f>IF([3]Issues!$E$217="","",[3]Issues!$E$217)</f>
        <v/>
      </c>
      <c r="AJ214">
        <f>IF([2]Entry!$S$217="","",[2]Entry!$S$217)</f>
        <v/>
      </c>
      <c r="AK214">
        <f>IF([2]Entry!$C$217="","",[2]Entry!$C$217)</f>
        <v/>
      </c>
      <c r="AL214">
        <f>IF([2]Entry!$D$217="","",[2]Entry!$D$217)</f>
        <v/>
      </c>
      <c r="AM214">
        <f>IF(AND($F214&lt;&gt;"",$I214&lt;&gt;""),IF($G214="دارایی ثابت",1,0),0)</f>
        <v/>
      </c>
      <c r="AN214">
        <f>SUM($AM$6:$AM214)</f>
        <v/>
      </c>
      <c r="AO214">
        <f>IFERROR(INDEX($F$6:$F$565,MATCH(ROW()-5,$AN$6:$AN$565,0)),"")</f>
        <v/>
      </c>
      <c r="AP214">
        <f>IF(AND($F214&lt;&gt;"",$I214&lt;&gt;""),IF($G214="وام و تسهیلات",1,0),0)</f>
        <v/>
      </c>
      <c r="AQ214">
        <f>SUM($AP$6:$AP214)</f>
        <v/>
      </c>
      <c r="AR214">
        <f>IFERROR(INDEX($F$6:$F$565,MATCH(ROW()-5,$AQ$6:$AQ$565,0)),"")</f>
        <v/>
      </c>
      <c r="AS214">
        <f>IF(AND($F214&lt;&gt;"",$I214&lt;&gt;""),IF($G214="سرمایه و آورده صاحبان",1,0),0)</f>
        <v/>
      </c>
      <c r="AT214">
        <f>SUM($AS$6:$AS214)</f>
        <v/>
      </c>
      <c r="AU214">
        <f>IFERROR(INDEX($F$6:$F$565,MATCH(ROW()-5,$AT$6:$AT$565,0)),"")</f>
        <v/>
      </c>
      <c r="AW214">
        <f>IF([3]Issues!$C$217="","",[3]Issues!$C$217)</f>
        <v/>
      </c>
      <c r="AX214">
        <f>IF([4]Entry!$E$217="","",[4]Entry!$E$217)</f>
        <v/>
      </c>
      <c r="AY214">
        <f>IF([4]Entry!$H$217="","",[4]Entry!$H$217)</f>
        <v/>
      </c>
      <c r="AZ214">
        <f>IF([4]Entry!$I$217="","",[4]Entry!$I$217)</f>
        <v/>
      </c>
    </row>
    <row r="215">
      <c r="F215">
        <f>IF([1]Accounts!$D$216="","",[1]Accounts!$A$216)</f>
        <v/>
      </c>
      <c r="G215">
        <f>IF([1]Accounts!$D$216="","",[1]Accounts!$B$216)</f>
        <v/>
      </c>
      <c r="H215">
        <f>IF([1]Accounts!$D$216="","",[1]Accounts!$C$216)</f>
        <v/>
      </c>
      <c r="I215">
        <f>IF([1]Accounts!$D$216="","",[1]Accounts!$D$216)</f>
        <v/>
      </c>
      <c r="R215">
        <f>IF(AND($F215&lt;&gt;"",$I215&lt;&gt;""),IF(OR($G215="دارایی ثابت",$G215="وام و تسهیلات",$G215="سرمایه و آورده صاحبان"),0,1),0)</f>
        <v/>
      </c>
      <c r="S215">
        <f>SUM($R$6:$R215)</f>
        <v/>
      </c>
      <c r="T215">
        <f>IFERROR(INDEX($F$6:$F$565,MATCH(ROW()-5,$S$6:$S$565,0)),"")</f>
        <v/>
      </c>
      <c r="Z215">
        <f>IF([2]Entry!$E$218="","",[2]Entry!$E$218)</f>
        <v/>
      </c>
      <c r="AA215">
        <f>IF([2]Entry!$G$218="","",[2]Entry!$G$218)</f>
        <v/>
      </c>
      <c r="AB215">
        <f>IF([2]Entry!$J$218="","",[2]Entry!$J$218)</f>
        <v/>
      </c>
      <c r="AC215">
        <f>IF([2]Entry!$K$218="","",[2]Entry!$K$218)</f>
        <v/>
      </c>
      <c r="AD215">
        <f>IF([2]Entry!$L$218="","",[2]Entry!$L$218)</f>
        <v/>
      </c>
      <c r="AE215">
        <f>IF([2]Entry!$M$218="","",[2]Entry!$M$218)</f>
        <v/>
      </c>
      <c r="AF215">
        <f>IF([2]Entry!$N$218="","",[2]Entry!$N$218)</f>
        <v/>
      </c>
      <c r="AG215">
        <f>IF([3]Issues!$B$218="","",[3]Issues!$B$218)</f>
        <v/>
      </c>
      <c r="AH215">
        <f>IF([3]Issues!$D$218="","",[3]Issues!$D$218)</f>
        <v/>
      </c>
      <c r="AI215">
        <f>IF([3]Issues!$E$218="","",[3]Issues!$E$218)</f>
        <v/>
      </c>
      <c r="AJ215">
        <f>IF([2]Entry!$S$218="","",[2]Entry!$S$218)</f>
        <v/>
      </c>
      <c r="AK215">
        <f>IF([2]Entry!$C$218="","",[2]Entry!$C$218)</f>
        <v/>
      </c>
      <c r="AL215">
        <f>IF([2]Entry!$D$218="","",[2]Entry!$D$218)</f>
        <v/>
      </c>
      <c r="AM215">
        <f>IF(AND($F215&lt;&gt;"",$I215&lt;&gt;""),IF($G215="دارایی ثابت",1,0),0)</f>
        <v/>
      </c>
      <c r="AN215">
        <f>SUM($AM$6:$AM215)</f>
        <v/>
      </c>
      <c r="AO215">
        <f>IFERROR(INDEX($F$6:$F$565,MATCH(ROW()-5,$AN$6:$AN$565,0)),"")</f>
        <v/>
      </c>
      <c r="AP215">
        <f>IF(AND($F215&lt;&gt;"",$I215&lt;&gt;""),IF($G215="وام و تسهیلات",1,0),0)</f>
        <v/>
      </c>
      <c r="AQ215">
        <f>SUM($AP$6:$AP215)</f>
        <v/>
      </c>
      <c r="AR215">
        <f>IFERROR(INDEX($F$6:$F$565,MATCH(ROW()-5,$AQ$6:$AQ$565,0)),"")</f>
        <v/>
      </c>
      <c r="AS215">
        <f>IF(AND($F215&lt;&gt;"",$I215&lt;&gt;""),IF($G215="سرمایه و آورده صاحبان",1,0),0)</f>
        <v/>
      </c>
      <c r="AT215">
        <f>SUM($AS$6:$AS215)</f>
        <v/>
      </c>
      <c r="AU215">
        <f>IFERROR(INDEX($F$6:$F$565,MATCH(ROW()-5,$AT$6:$AT$565,0)),"")</f>
        <v/>
      </c>
      <c r="AW215">
        <f>IF([3]Issues!$C$218="","",[3]Issues!$C$218)</f>
        <v/>
      </c>
      <c r="AX215">
        <f>IF([4]Entry!$E$218="","",[4]Entry!$E$218)</f>
        <v/>
      </c>
      <c r="AY215">
        <f>IF([4]Entry!$H$218="","",[4]Entry!$H$218)</f>
        <v/>
      </c>
      <c r="AZ215">
        <f>IF([4]Entry!$I$218="","",[4]Entry!$I$218)</f>
        <v/>
      </c>
    </row>
    <row r="216">
      <c r="F216">
        <f>IF([1]Accounts!$D$217="","",[1]Accounts!$A$217)</f>
        <v/>
      </c>
      <c r="G216">
        <f>IF([1]Accounts!$D$217="","",[1]Accounts!$B$217)</f>
        <v/>
      </c>
      <c r="H216">
        <f>IF([1]Accounts!$D$217="","",[1]Accounts!$C$217)</f>
        <v/>
      </c>
      <c r="I216">
        <f>IF([1]Accounts!$D$217="","",[1]Accounts!$D$217)</f>
        <v/>
      </c>
      <c r="R216">
        <f>IF(AND($F216&lt;&gt;"",$I216&lt;&gt;""),IF(OR($G216="دارایی ثابت",$G216="وام و تسهیلات",$G216="سرمایه و آورده صاحبان"),0,1),0)</f>
        <v/>
      </c>
      <c r="S216">
        <f>SUM($R$6:$R216)</f>
        <v/>
      </c>
      <c r="T216">
        <f>IFERROR(INDEX($F$6:$F$565,MATCH(ROW()-5,$S$6:$S$565,0)),"")</f>
        <v/>
      </c>
      <c r="Z216">
        <f>IF([2]Entry!$E$219="","",[2]Entry!$E$219)</f>
        <v/>
      </c>
      <c r="AA216">
        <f>IF([2]Entry!$G$219="","",[2]Entry!$G$219)</f>
        <v/>
      </c>
      <c r="AB216">
        <f>IF([2]Entry!$J$219="","",[2]Entry!$J$219)</f>
        <v/>
      </c>
      <c r="AC216">
        <f>IF([2]Entry!$K$219="","",[2]Entry!$K$219)</f>
        <v/>
      </c>
      <c r="AD216">
        <f>IF([2]Entry!$L$219="","",[2]Entry!$L$219)</f>
        <v/>
      </c>
      <c r="AE216">
        <f>IF([2]Entry!$M$219="","",[2]Entry!$M$219)</f>
        <v/>
      </c>
      <c r="AF216">
        <f>IF([2]Entry!$N$219="","",[2]Entry!$N$219)</f>
        <v/>
      </c>
      <c r="AG216">
        <f>IF([3]Issues!$B$219="","",[3]Issues!$B$219)</f>
        <v/>
      </c>
      <c r="AH216">
        <f>IF([3]Issues!$D$219="","",[3]Issues!$D$219)</f>
        <v/>
      </c>
      <c r="AI216">
        <f>IF([3]Issues!$E$219="","",[3]Issues!$E$219)</f>
        <v/>
      </c>
      <c r="AJ216">
        <f>IF([2]Entry!$S$219="","",[2]Entry!$S$219)</f>
        <v/>
      </c>
      <c r="AK216">
        <f>IF([2]Entry!$C$219="","",[2]Entry!$C$219)</f>
        <v/>
      </c>
      <c r="AL216">
        <f>IF([2]Entry!$D$219="","",[2]Entry!$D$219)</f>
        <v/>
      </c>
      <c r="AM216">
        <f>IF(AND($F216&lt;&gt;"",$I216&lt;&gt;""),IF($G216="دارایی ثابت",1,0),0)</f>
        <v/>
      </c>
      <c r="AN216">
        <f>SUM($AM$6:$AM216)</f>
        <v/>
      </c>
      <c r="AO216">
        <f>IFERROR(INDEX($F$6:$F$565,MATCH(ROW()-5,$AN$6:$AN$565,0)),"")</f>
        <v/>
      </c>
      <c r="AP216">
        <f>IF(AND($F216&lt;&gt;"",$I216&lt;&gt;""),IF($G216="وام و تسهیلات",1,0),0)</f>
        <v/>
      </c>
      <c r="AQ216">
        <f>SUM($AP$6:$AP216)</f>
        <v/>
      </c>
      <c r="AR216">
        <f>IFERROR(INDEX($F$6:$F$565,MATCH(ROW()-5,$AQ$6:$AQ$565,0)),"")</f>
        <v/>
      </c>
      <c r="AS216">
        <f>IF(AND($F216&lt;&gt;"",$I216&lt;&gt;""),IF($G216="سرمایه و آورده صاحبان",1,0),0)</f>
        <v/>
      </c>
      <c r="AT216">
        <f>SUM($AS$6:$AS216)</f>
        <v/>
      </c>
      <c r="AU216">
        <f>IFERROR(INDEX($F$6:$F$565,MATCH(ROW()-5,$AT$6:$AT$565,0)),"")</f>
        <v/>
      </c>
      <c r="AW216">
        <f>IF([3]Issues!$C$219="","",[3]Issues!$C$219)</f>
        <v/>
      </c>
      <c r="AX216">
        <f>IF([4]Entry!$E$219="","",[4]Entry!$E$219)</f>
        <v/>
      </c>
      <c r="AY216">
        <f>IF([4]Entry!$H$219="","",[4]Entry!$H$219)</f>
        <v/>
      </c>
      <c r="AZ216">
        <f>IF([4]Entry!$I$219="","",[4]Entry!$I$219)</f>
        <v/>
      </c>
    </row>
    <row r="217">
      <c r="F217">
        <f>IF([1]Accounts!$D$218="","",[1]Accounts!$A$218)</f>
        <v/>
      </c>
      <c r="G217">
        <f>IF([1]Accounts!$D$218="","",[1]Accounts!$B$218)</f>
        <v/>
      </c>
      <c r="H217">
        <f>IF([1]Accounts!$D$218="","",[1]Accounts!$C$218)</f>
        <v/>
      </c>
      <c r="I217">
        <f>IF([1]Accounts!$D$218="","",[1]Accounts!$D$218)</f>
        <v/>
      </c>
      <c r="R217">
        <f>IF(AND($F217&lt;&gt;"",$I217&lt;&gt;""),IF(OR($G217="دارایی ثابت",$G217="وام و تسهیلات",$G217="سرمایه و آورده صاحبان"),0,1),0)</f>
        <v/>
      </c>
      <c r="S217">
        <f>SUM($R$6:$R217)</f>
        <v/>
      </c>
      <c r="T217">
        <f>IFERROR(INDEX($F$6:$F$565,MATCH(ROW()-5,$S$6:$S$565,0)),"")</f>
        <v/>
      </c>
      <c r="Z217">
        <f>IF([2]Entry!$E$220="","",[2]Entry!$E$220)</f>
        <v/>
      </c>
      <c r="AA217">
        <f>IF([2]Entry!$G$220="","",[2]Entry!$G$220)</f>
        <v/>
      </c>
      <c r="AB217">
        <f>IF([2]Entry!$J$220="","",[2]Entry!$J$220)</f>
        <v/>
      </c>
      <c r="AC217">
        <f>IF([2]Entry!$K$220="","",[2]Entry!$K$220)</f>
        <v/>
      </c>
      <c r="AD217">
        <f>IF([2]Entry!$L$220="","",[2]Entry!$L$220)</f>
        <v/>
      </c>
      <c r="AE217">
        <f>IF([2]Entry!$M$220="","",[2]Entry!$M$220)</f>
        <v/>
      </c>
      <c r="AF217">
        <f>IF([2]Entry!$N$220="","",[2]Entry!$N$220)</f>
        <v/>
      </c>
      <c r="AG217">
        <f>IF([3]Issues!$B$220="","",[3]Issues!$B$220)</f>
        <v/>
      </c>
      <c r="AH217">
        <f>IF([3]Issues!$D$220="","",[3]Issues!$D$220)</f>
        <v/>
      </c>
      <c r="AI217">
        <f>IF([3]Issues!$E$220="","",[3]Issues!$E$220)</f>
        <v/>
      </c>
      <c r="AJ217">
        <f>IF([2]Entry!$S$220="","",[2]Entry!$S$220)</f>
        <v/>
      </c>
      <c r="AK217">
        <f>IF([2]Entry!$C$220="","",[2]Entry!$C$220)</f>
        <v/>
      </c>
      <c r="AL217">
        <f>IF([2]Entry!$D$220="","",[2]Entry!$D$220)</f>
        <v/>
      </c>
      <c r="AM217">
        <f>IF(AND($F217&lt;&gt;"",$I217&lt;&gt;""),IF($G217="دارایی ثابت",1,0),0)</f>
        <v/>
      </c>
      <c r="AN217">
        <f>SUM($AM$6:$AM217)</f>
        <v/>
      </c>
      <c r="AO217">
        <f>IFERROR(INDEX($F$6:$F$565,MATCH(ROW()-5,$AN$6:$AN$565,0)),"")</f>
        <v/>
      </c>
      <c r="AP217">
        <f>IF(AND($F217&lt;&gt;"",$I217&lt;&gt;""),IF($G217="وام و تسهیلات",1,0),0)</f>
        <v/>
      </c>
      <c r="AQ217">
        <f>SUM($AP$6:$AP217)</f>
        <v/>
      </c>
      <c r="AR217">
        <f>IFERROR(INDEX($F$6:$F$565,MATCH(ROW()-5,$AQ$6:$AQ$565,0)),"")</f>
        <v/>
      </c>
      <c r="AS217">
        <f>IF(AND($F217&lt;&gt;"",$I217&lt;&gt;""),IF($G217="سرمایه و آورده صاحبان",1,0),0)</f>
        <v/>
      </c>
      <c r="AT217">
        <f>SUM($AS$6:$AS217)</f>
        <v/>
      </c>
      <c r="AU217">
        <f>IFERROR(INDEX($F$6:$F$565,MATCH(ROW()-5,$AT$6:$AT$565,0)),"")</f>
        <v/>
      </c>
      <c r="AW217">
        <f>IF([3]Issues!$C$220="","",[3]Issues!$C$220)</f>
        <v/>
      </c>
      <c r="AX217">
        <f>IF([4]Entry!$E$220="","",[4]Entry!$E$220)</f>
        <v/>
      </c>
      <c r="AY217">
        <f>IF([4]Entry!$H$220="","",[4]Entry!$H$220)</f>
        <v/>
      </c>
      <c r="AZ217">
        <f>IF([4]Entry!$I$220="","",[4]Entry!$I$220)</f>
        <v/>
      </c>
    </row>
    <row r="218">
      <c r="F218">
        <f>IF([1]Accounts!$D$219="","",[1]Accounts!$A$219)</f>
        <v/>
      </c>
      <c r="G218">
        <f>IF([1]Accounts!$D$219="","",[1]Accounts!$B$219)</f>
        <v/>
      </c>
      <c r="H218">
        <f>IF([1]Accounts!$D$219="","",[1]Accounts!$C$219)</f>
        <v/>
      </c>
      <c r="I218">
        <f>IF([1]Accounts!$D$219="","",[1]Accounts!$D$219)</f>
        <v/>
      </c>
      <c r="R218">
        <f>IF(AND($F218&lt;&gt;"",$I218&lt;&gt;""),IF(OR($G218="دارایی ثابت",$G218="وام و تسهیلات",$G218="سرمایه و آورده صاحبان"),0,1),0)</f>
        <v/>
      </c>
      <c r="S218">
        <f>SUM($R$6:$R218)</f>
        <v/>
      </c>
      <c r="T218">
        <f>IFERROR(INDEX($F$6:$F$565,MATCH(ROW()-5,$S$6:$S$565,0)),"")</f>
        <v/>
      </c>
      <c r="Z218">
        <f>IF([2]Entry!$E$221="","",[2]Entry!$E$221)</f>
        <v/>
      </c>
      <c r="AA218">
        <f>IF([2]Entry!$G$221="","",[2]Entry!$G$221)</f>
        <v/>
      </c>
      <c r="AB218">
        <f>IF([2]Entry!$J$221="","",[2]Entry!$J$221)</f>
        <v/>
      </c>
      <c r="AC218">
        <f>IF([2]Entry!$K$221="","",[2]Entry!$K$221)</f>
        <v/>
      </c>
      <c r="AD218">
        <f>IF([2]Entry!$L$221="","",[2]Entry!$L$221)</f>
        <v/>
      </c>
      <c r="AE218">
        <f>IF([2]Entry!$M$221="","",[2]Entry!$M$221)</f>
        <v/>
      </c>
      <c r="AF218">
        <f>IF([2]Entry!$N$221="","",[2]Entry!$N$221)</f>
        <v/>
      </c>
      <c r="AG218">
        <f>IF([3]Issues!$B$221="","",[3]Issues!$B$221)</f>
        <v/>
      </c>
      <c r="AH218">
        <f>IF([3]Issues!$D$221="","",[3]Issues!$D$221)</f>
        <v/>
      </c>
      <c r="AI218">
        <f>IF([3]Issues!$E$221="","",[3]Issues!$E$221)</f>
        <v/>
      </c>
      <c r="AJ218">
        <f>IF([2]Entry!$S$221="","",[2]Entry!$S$221)</f>
        <v/>
      </c>
      <c r="AK218">
        <f>IF([2]Entry!$C$221="","",[2]Entry!$C$221)</f>
        <v/>
      </c>
      <c r="AL218">
        <f>IF([2]Entry!$D$221="","",[2]Entry!$D$221)</f>
        <v/>
      </c>
      <c r="AM218">
        <f>IF(AND($F218&lt;&gt;"",$I218&lt;&gt;""),IF($G218="دارایی ثابت",1,0),0)</f>
        <v/>
      </c>
      <c r="AN218">
        <f>SUM($AM$6:$AM218)</f>
        <v/>
      </c>
      <c r="AO218">
        <f>IFERROR(INDEX($F$6:$F$565,MATCH(ROW()-5,$AN$6:$AN$565,0)),"")</f>
        <v/>
      </c>
      <c r="AP218">
        <f>IF(AND($F218&lt;&gt;"",$I218&lt;&gt;""),IF($G218="وام و تسهیلات",1,0),0)</f>
        <v/>
      </c>
      <c r="AQ218">
        <f>SUM($AP$6:$AP218)</f>
        <v/>
      </c>
      <c r="AR218">
        <f>IFERROR(INDEX($F$6:$F$565,MATCH(ROW()-5,$AQ$6:$AQ$565,0)),"")</f>
        <v/>
      </c>
      <c r="AS218">
        <f>IF(AND($F218&lt;&gt;"",$I218&lt;&gt;""),IF($G218="سرمایه و آورده صاحبان",1,0),0)</f>
        <v/>
      </c>
      <c r="AT218">
        <f>SUM($AS$6:$AS218)</f>
        <v/>
      </c>
      <c r="AU218">
        <f>IFERROR(INDEX($F$6:$F$565,MATCH(ROW()-5,$AT$6:$AT$565,0)),"")</f>
        <v/>
      </c>
      <c r="AW218">
        <f>IF([3]Issues!$C$221="","",[3]Issues!$C$221)</f>
        <v/>
      </c>
      <c r="AX218">
        <f>IF([4]Entry!$E$221="","",[4]Entry!$E$221)</f>
        <v/>
      </c>
      <c r="AY218">
        <f>IF([4]Entry!$H$221="","",[4]Entry!$H$221)</f>
        <v/>
      </c>
      <c r="AZ218">
        <f>IF([4]Entry!$I$221="","",[4]Entry!$I$221)</f>
        <v/>
      </c>
    </row>
    <row r="219">
      <c r="F219">
        <f>IF([1]Accounts!$D$220="","",[1]Accounts!$A$220)</f>
        <v/>
      </c>
      <c r="G219">
        <f>IF([1]Accounts!$D$220="","",[1]Accounts!$B$220)</f>
        <v/>
      </c>
      <c r="H219">
        <f>IF([1]Accounts!$D$220="","",[1]Accounts!$C$220)</f>
        <v/>
      </c>
      <c r="I219">
        <f>IF([1]Accounts!$D$220="","",[1]Accounts!$D$220)</f>
        <v/>
      </c>
      <c r="R219">
        <f>IF(AND($F219&lt;&gt;"",$I219&lt;&gt;""),IF(OR($G219="دارایی ثابت",$G219="وام و تسهیلات",$G219="سرمایه و آورده صاحبان"),0,1),0)</f>
        <v/>
      </c>
      <c r="S219">
        <f>SUM($R$6:$R219)</f>
        <v/>
      </c>
      <c r="T219">
        <f>IFERROR(INDEX($F$6:$F$565,MATCH(ROW()-5,$S$6:$S$565,0)),"")</f>
        <v/>
      </c>
      <c r="Z219">
        <f>IF([2]Entry!$E$222="","",[2]Entry!$E$222)</f>
        <v/>
      </c>
      <c r="AA219">
        <f>IF([2]Entry!$G$222="","",[2]Entry!$G$222)</f>
        <v/>
      </c>
      <c r="AB219">
        <f>IF([2]Entry!$J$222="","",[2]Entry!$J$222)</f>
        <v/>
      </c>
      <c r="AC219">
        <f>IF([2]Entry!$K$222="","",[2]Entry!$K$222)</f>
        <v/>
      </c>
      <c r="AD219">
        <f>IF([2]Entry!$L$222="","",[2]Entry!$L$222)</f>
        <v/>
      </c>
      <c r="AE219">
        <f>IF([2]Entry!$M$222="","",[2]Entry!$M$222)</f>
        <v/>
      </c>
      <c r="AF219">
        <f>IF([2]Entry!$N$222="","",[2]Entry!$N$222)</f>
        <v/>
      </c>
      <c r="AG219">
        <f>IF([3]Issues!$B$222="","",[3]Issues!$B$222)</f>
        <v/>
      </c>
      <c r="AH219">
        <f>IF([3]Issues!$D$222="","",[3]Issues!$D$222)</f>
        <v/>
      </c>
      <c r="AI219">
        <f>IF([3]Issues!$E$222="","",[3]Issues!$E$222)</f>
        <v/>
      </c>
      <c r="AJ219">
        <f>IF([2]Entry!$S$222="","",[2]Entry!$S$222)</f>
        <v/>
      </c>
      <c r="AK219">
        <f>IF([2]Entry!$C$222="","",[2]Entry!$C$222)</f>
        <v/>
      </c>
      <c r="AL219">
        <f>IF([2]Entry!$D$222="","",[2]Entry!$D$222)</f>
        <v/>
      </c>
      <c r="AM219">
        <f>IF(AND($F219&lt;&gt;"",$I219&lt;&gt;""),IF($G219="دارایی ثابت",1,0),0)</f>
        <v/>
      </c>
      <c r="AN219">
        <f>SUM($AM$6:$AM219)</f>
        <v/>
      </c>
      <c r="AO219">
        <f>IFERROR(INDEX($F$6:$F$565,MATCH(ROW()-5,$AN$6:$AN$565,0)),"")</f>
        <v/>
      </c>
      <c r="AP219">
        <f>IF(AND($F219&lt;&gt;"",$I219&lt;&gt;""),IF($G219="وام و تسهیلات",1,0),0)</f>
        <v/>
      </c>
      <c r="AQ219">
        <f>SUM($AP$6:$AP219)</f>
        <v/>
      </c>
      <c r="AR219">
        <f>IFERROR(INDEX($F$6:$F$565,MATCH(ROW()-5,$AQ$6:$AQ$565,0)),"")</f>
        <v/>
      </c>
      <c r="AS219">
        <f>IF(AND($F219&lt;&gt;"",$I219&lt;&gt;""),IF($G219="سرمایه و آورده صاحبان",1,0),0)</f>
        <v/>
      </c>
      <c r="AT219">
        <f>SUM($AS$6:$AS219)</f>
        <v/>
      </c>
      <c r="AU219">
        <f>IFERROR(INDEX($F$6:$F$565,MATCH(ROW()-5,$AT$6:$AT$565,0)),"")</f>
        <v/>
      </c>
      <c r="AW219">
        <f>IF([3]Issues!$C$222="","",[3]Issues!$C$222)</f>
        <v/>
      </c>
      <c r="AX219">
        <f>IF([4]Entry!$E$222="","",[4]Entry!$E$222)</f>
        <v/>
      </c>
      <c r="AY219">
        <f>IF([4]Entry!$H$222="","",[4]Entry!$H$222)</f>
        <v/>
      </c>
      <c r="AZ219">
        <f>IF([4]Entry!$I$222="","",[4]Entry!$I$222)</f>
        <v/>
      </c>
    </row>
    <row r="220">
      <c r="F220">
        <f>IF([1]Accounts!$D$221="","",[1]Accounts!$A$221)</f>
        <v/>
      </c>
      <c r="G220">
        <f>IF([1]Accounts!$D$221="","",[1]Accounts!$B$221)</f>
        <v/>
      </c>
      <c r="H220">
        <f>IF([1]Accounts!$D$221="","",[1]Accounts!$C$221)</f>
        <v/>
      </c>
      <c r="I220">
        <f>IF([1]Accounts!$D$221="","",[1]Accounts!$D$221)</f>
        <v/>
      </c>
      <c r="R220">
        <f>IF(AND($F220&lt;&gt;"",$I220&lt;&gt;""),IF(OR($G220="دارایی ثابت",$G220="وام و تسهیلات",$G220="سرمایه و آورده صاحبان"),0,1),0)</f>
        <v/>
      </c>
      <c r="S220">
        <f>SUM($R$6:$R220)</f>
        <v/>
      </c>
      <c r="T220">
        <f>IFERROR(INDEX($F$6:$F$565,MATCH(ROW()-5,$S$6:$S$565,0)),"")</f>
        <v/>
      </c>
      <c r="Z220">
        <f>IF([2]Entry!$E$223="","",[2]Entry!$E$223)</f>
        <v/>
      </c>
      <c r="AA220">
        <f>IF([2]Entry!$G$223="","",[2]Entry!$G$223)</f>
        <v/>
      </c>
      <c r="AB220">
        <f>IF([2]Entry!$J$223="","",[2]Entry!$J$223)</f>
        <v/>
      </c>
      <c r="AC220">
        <f>IF([2]Entry!$K$223="","",[2]Entry!$K$223)</f>
        <v/>
      </c>
      <c r="AD220">
        <f>IF([2]Entry!$L$223="","",[2]Entry!$L$223)</f>
        <v/>
      </c>
      <c r="AE220">
        <f>IF([2]Entry!$M$223="","",[2]Entry!$M$223)</f>
        <v/>
      </c>
      <c r="AF220">
        <f>IF([2]Entry!$N$223="","",[2]Entry!$N$223)</f>
        <v/>
      </c>
      <c r="AG220">
        <f>IF([3]Issues!$B$223="","",[3]Issues!$B$223)</f>
        <v/>
      </c>
      <c r="AH220">
        <f>IF([3]Issues!$D$223="","",[3]Issues!$D$223)</f>
        <v/>
      </c>
      <c r="AI220">
        <f>IF([3]Issues!$E$223="","",[3]Issues!$E$223)</f>
        <v/>
      </c>
      <c r="AJ220">
        <f>IF([2]Entry!$S$223="","",[2]Entry!$S$223)</f>
        <v/>
      </c>
      <c r="AK220">
        <f>IF([2]Entry!$C$223="","",[2]Entry!$C$223)</f>
        <v/>
      </c>
      <c r="AL220">
        <f>IF([2]Entry!$D$223="","",[2]Entry!$D$223)</f>
        <v/>
      </c>
      <c r="AM220">
        <f>IF(AND($F220&lt;&gt;"",$I220&lt;&gt;""),IF($G220="دارایی ثابت",1,0),0)</f>
        <v/>
      </c>
      <c r="AN220">
        <f>SUM($AM$6:$AM220)</f>
        <v/>
      </c>
      <c r="AO220">
        <f>IFERROR(INDEX($F$6:$F$565,MATCH(ROW()-5,$AN$6:$AN$565,0)),"")</f>
        <v/>
      </c>
      <c r="AP220">
        <f>IF(AND($F220&lt;&gt;"",$I220&lt;&gt;""),IF($G220="وام و تسهیلات",1,0),0)</f>
        <v/>
      </c>
      <c r="AQ220">
        <f>SUM($AP$6:$AP220)</f>
        <v/>
      </c>
      <c r="AR220">
        <f>IFERROR(INDEX($F$6:$F$565,MATCH(ROW()-5,$AQ$6:$AQ$565,0)),"")</f>
        <v/>
      </c>
      <c r="AS220">
        <f>IF(AND($F220&lt;&gt;"",$I220&lt;&gt;""),IF($G220="سرمایه و آورده صاحبان",1,0),0)</f>
        <v/>
      </c>
      <c r="AT220">
        <f>SUM($AS$6:$AS220)</f>
        <v/>
      </c>
      <c r="AU220">
        <f>IFERROR(INDEX($F$6:$F$565,MATCH(ROW()-5,$AT$6:$AT$565,0)),"")</f>
        <v/>
      </c>
      <c r="AW220">
        <f>IF([3]Issues!$C$223="","",[3]Issues!$C$223)</f>
        <v/>
      </c>
      <c r="AX220">
        <f>IF([4]Entry!$E$223="","",[4]Entry!$E$223)</f>
        <v/>
      </c>
      <c r="AY220">
        <f>IF([4]Entry!$H$223="","",[4]Entry!$H$223)</f>
        <v/>
      </c>
      <c r="AZ220">
        <f>IF([4]Entry!$I$223="","",[4]Entry!$I$223)</f>
        <v/>
      </c>
    </row>
    <row r="221">
      <c r="F221">
        <f>IF([1]Accounts!$D$222="","",[1]Accounts!$A$222)</f>
        <v/>
      </c>
      <c r="G221">
        <f>IF([1]Accounts!$D$222="","",[1]Accounts!$B$222)</f>
        <v/>
      </c>
      <c r="H221">
        <f>IF([1]Accounts!$D$222="","",[1]Accounts!$C$222)</f>
        <v/>
      </c>
      <c r="I221">
        <f>IF([1]Accounts!$D$222="","",[1]Accounts!$D$222)</f>
        <v/>
      </c>
      <c r="R221">
        <f>IF(AND($F221&lt;&gt;"",$I221&lt;&gt;""),IF(OR($G221="دارایی ثابت",$G221="وام و تسهیلات",$G221="سرمایه و آورده صاحبان"),0,1),0)</f>
        <v/>
      </c>
      <c r="S221">
        <f>SUM($R$6:$R221)</f>
        <v/>
      </c>
      <c r="T221">
        <f>IFERROR(INDEX($F$6:$F$565,MATCH(ROW()-5,$S$6:$S$565,0)),"")</f>
        <v/>
      </c>
      <c r="Z221">
        <f>IF([2]Entry!$E$224="","",[2]Entry!$E$224)</f>
        <v/>
      </c>
      <c r="AA221">
        <f>IF([2]Entry!$G$224="","",[2]Entry!$G$224)</f>
        <v/>
      </c>
      <c r="AB221">
        <f>IF([2]Entry!$J$224="","",[2]Entry!$J$224)</f>
        <v/>
      </c>
      <c r="AC221">
        <f>IF([2]Entry!$K$224="","",[2]Entry!$K$224)</f>
        <v/>
      </c>
      <c r="AD221">
        <f>IF([2]Entry!$L$224="","",[2]Entry!$L$224)</f>
        <v/>
      </c>
      <c r="AE221">
        <f>IF([2]Entry!$M$224="","",[2]Entry!$M$224)</f>
        <v/>
      </c>
      <c r="AF221">
        <f>IF([2]Entry!$N$224="","",[2]Entry!$N$224)</f>
        <v/>
      </c>
      <c r="AG221">
        <f>IF([3]Issues!$B$224="","",[3]Issues!$B$224)</f>
        <v/>
      </c>
      <c r="AH221">
        <f>IF([3]Issues!$D$224="","",[3]Issues!$D$224)</f>
        <v/>
      </c>
      <c r="AI221">
        <f>IF([3]Issues!$E$224="","",[3]Issues!$E$224)</f>
        <v/>
      </c>
      <c r="AJ221">
        <f>IF([2]Entry!$S$224="","",[2]Entry!$S$224)</f>
        <v/>
      </c>
      <c r="AK221">
        <f>IF([2]Entry!$C$224="","",[2]Entry!$C$224)</f>
        <v/>
      </c>
      <c r="AL221">
        <f>IF([2]Entry!$D$224="","",[2]Entry!$D$224)</f>
        <v/>
      </c>
      <c r="AM221">
        <f>IF(AND($F221&lt;&gt;"",$I221&lt;&gt;""),IF($G221="دارایی ثابت",1,0),0)</f>
        <v/>
      </c>
      <c r="AN221">
        <f>SUM($AM$6:$AM221)</f>
        <v/>
      </c>
      <c r="AO221">
        <f>IFERROR(INDEX($F$6:$F$565,MATCH(ROW()-5,$AN$6:$AN$565,0)),"")</f>
        <v/>
      </c>
      <c r="AP221">
        <f>IF(AND($F221&lt;&gt;"",$I221&lt;&gt;""),IF($G221="وام و تسهیلات",1,0),0)</f>
        <v/>
      </c>
      <c r="AQ221">
        <f>SUM($AP$6:$AP221)</f>
        <v/>
      </c>
      <c r="AR221">
        <f>IFERROR(INDEX($F$6:$F$565,MATCH(ROW()-5,$AQ$6:$AQ$565,0)),"")</f>
        <v/>
      </c>
      <c r="AS221">
        <f>IF(AND($F221&lt;&gt;"",$I221&lt;&gt;""),IF($G221="سرمایه و آورده صاحبان",1,0),0)</f>
        <v/>
      </c>
      <c r="AT221">
        <f>SUM($AS$6:$AS221)</f>
        <v/>
      </c>
      <c r="AU221">
        <f>IFERROR(INDEX($F$6:$F$565,MATCH(ROW()-5,$AT$6:$AT$565,0)),"")</f>
        <v/>
      </c>
      <c r="AW221">
        <f>IF([3]Issues!$C$224="","",[3]Issues!$C$224)</f>
        <v/>
      </c>
      <c r="AX221">
        <f>IF([4]Entry!$E$224="","",[4]Entry!$E$224)</f>
        <v/>
      </c>
      <c r="AY221">
        <f>IF([4]Entry!$H$224="","",[4]Entry!$H$224)</f>
        <v/>
      </c>
      <c r="AZ221">
        <f>IF([4]Entry!$I$224="","",[4]Entry!$I$224)</f>
        <v/>
      </c>
    </row>
    <row r="222">
      <c r="F222">
        <f>IF([1]Accounts!$D$223="","",[1]Accounts!$A$223)</f>
        <v/>
      </c>
      <c r="G222">
        <f>IF([1]Accounts!$D$223="","",[1]Accounts!$B$223)</f>
        <v/>
      </c>
      <c r="H222">
        <f>IF([1]Accounts!$D$223="","",[1]Accounts!$C$223)</f>
        <v/>
      </c>
      <c r="I222">
        <f>IF([1]Accounts!$D$223="","",[1]Accounts!$D$223)</f>
        <v/>
      </c>
      <c r="R222">
        <f>IF(AND($F222&lt;&gt;"",$I222&lt;&gt;""),IF(OR($G222="دارایی ثابت",$G222="وام و تسهیلات",$G222="سرمایه و آورده صاحبان"),0,1),0)</f>
        <v/>
      </c>
      <c r="S222">
        <f>SUM($R$6:$R222)</f>
        <v/>
      </c>
      <c r="T222">
        <f>IFERROR(INDEX($F$6:$F$565,MATCH(ROW()-5,$S$6:$S$565,0)),"")</f>
        <v/>
      </c>
      <c r="Z222">
        <f>IF([2]Entry!$E$225="","",[2]Entry!$E$225)</f>
        <v/>
      </c>
      <c r="AA222">
        <f>IF([2]Entry!$G$225="","",[2]Entry!$G$225)</f>
        <v/>
      </c>
      <c r="AB222">
        <f>IF([2]Entry!$J$225="","",[2]Entry!$J$225)</f>
        <v/>
      </c>
      <c r="AC222">
        <f>IF([2]Entry!$K$225="","",[2]Entry!$K$225)</f>
        <v/>
      </c>
      <c r="AD222">
        <f>IF([2]Entry!$L$225="","",[2]Entry!$L$225)</f>
        <v/>
      </c>
      <c r="AE222">
        <f>IF([2]Entry!$M$225="","",[2]Entry!$M$225)</f>
        <v/>
      </c>
      <c r="AF222">
        <f>IF([2]Entry!$N$225="","",[2]Entry!$N$225)</f>
        <v/>
      </c>
      <c r="AG222">
        <f>IF([3]Issues!$B$225="","",[3]Issues!$B$225)</f>
        <v/>
      </c>
      <c r="AH222">
        <f>IF([3]Issues!$D$225="","",[3]Issues!$D$225)</f>
        <v/>
      </c>
      <c r="AI222">
        <f>IF([3]Issues!$E$225="","",[3]Issues!$E$225)</f>
        <v/>
      </c>
      <c r="AJ222">
        <f>IF([2]Entry!$S$225="","",[2]Entry!$S$225)</f>
        <v/>
      </c>
      <c r="AK222">
        <f>IF([2]Entry!$C$225="","",[2]Entry!$C$225)</f>
        <v/>
      </c>
      <c r="AL222">
        <f>IF([2]Entry!$D$225="","",[2]Entry!$D$225)</f>
        <v/>
      </c>
      <c r="AM222">
        <f>IF(AND($F222&lt;&gt;"",$I222&lt;&gt;""),IF($G222="دارایی ثابت",1,0),0)</f>
        <v/>
      </c>
      <c r="AN222">
        <f>SUM($AM$6:$AM222)</f>
        <v/>
      </c>
      <c r="AO222">
        <f>IFERROR(INDEX($F$6:$F$565,MATCH(ROW()-5,$AN$6:$AN$565,0)),"")</f>
        <v/>
      </c>
      <c r="AP222">
        <f>IF(AND($F222&lt;&gt;"",$I222&lt;&gt;""),IF($G222="وام و تسهیلات",1,0),0)</f>
        <v/>
      </c>
      <c r="AQ222">
        <f>SUM($AP$6:$AP222)</f>
        <v/>
      </c>
      <c r="AR222">
        <f>IFERROR(INDEX($F$6:$F$565,MATCH(ROW()-5,$AQ$6:$AQ$565,0)),"")</f>
        <v/>
      </c>
      <c r="AS222">
        <f>IF(AND($F222&lt;&gt;"",$I222&lt;&gt;""),IF($G222="سرمایه و آورده صاحبان",1,0),0)</f>
        <v/>
      </c>
      <c r="AT222">
        <f>SUM($AS$6:$AS222)</f>
        <v/>
      </c>
      <c r="AU222">
        <f>IFERROR(INDEX($F$6:$F$565,MATCH(ROW()-5,$AT$6:$AT$565,0)),"")</f>
        <v/>
      </c>
      <c r="AW222">
        <f>IF([3]Issues!$C$225="","",[3]Issues!$C$225)</f>
        <v/>
      </c>
      <c r="AX222">
        <f>IF([4]Entry!$E$225="","",[4]Entry!$E$225)</f>
        <v/>
      </c>
      <c r="AY222">
        <f>IF([4]Entry!$H$225="","",[4]Entry!$H$225)</f>
        <v/>
      </c>
      <c r="AZ222">
        <f>IF([4]Entry!$I$225="","",[4]Entry!$I$225)</f>
        <v/>
      </c>
    </row>
    <row r="223">
      <c r="F223">
        <f>IF([1]Accounts!$D$224="","",[1]Accounts!$A$224)</f>
        <v/>
      </c>
      <c r="G223">
        <f>IF([1]Accounts!$D$224="","",[1]Accounts!$B$224)</f>
        <v/>
      </c>
      <c r="H223">
        <f>IF([1]Accounts!$D$224="","",[1]Accounts!$C$224)</f>
        <v/>
      </c>
      <c r="I223">
        <f>IF([1]Accounts!$D$224="","",[1]Accounts!$D$224)</f>
        <v/>
      </c>
      <c r="R223">
        <f>IF(AND($F223&lt;&gt;"",$I223&lt;&gt;""),IF(OR($G223="دارایی ثابت",$G223="وام و تسهیلات",$G223="سرمایه و آورده صاحبان"),0,1),0)</f>
        <v/>
      </c>
      <c r="S223">
        <f>SUM($R$6:$R223)</f>
        <v/>
      </c>
      <c r="T223">
        <f>IFERROR(INDEX($F$6:$F$565,MATCH(ROW()-5,$S$6:$S$565,0)),"")</f>
        <v/>
      </c>
      <c r="Z223">
        <f>IF([2]Entry!$E$226="","",[2]Entry!$E$226)</f>
        <v/>
      </c>
      <c r="AA223">
        <f>IF([2]Entry!$G$226="","",[2]Entry!$G$226)</f>
        <v/>
      </c>
      <c r="AB223">
        <f>IF([2]Entry!$J$226="","",[2]Entry!$J$226)</f>
        <v/>
      </c>
      <c r="AC223">
        <f>IF([2]Entry!$K$226="","",[2]Entry!$K$226)</f>
        <v/>
      </c>
      <c r="AD223">
        <f>IF([2]Entry!$L$226="","",[2]Entry!$L$226)</f>
        <v/>
      </c>
      <c r="AE223">
        <f>IF([2]Entry!$M$226="","",[2]Entry!$M$226)</f>
        <v/>
      </c>
      <c r="AF223">
        <f>IF([2]Entry!$N$226="","",[2]Entry!$N$226)</f>
        <v/>
      </c>
      <c r="AG223">
        <f>IF([3]Issues!$B$226="","",[3]Issues!$B$226)</f>
        <v/>
      </c>
      <c r="AH223">
        <f>IF([3]Issues!$D$226="","",[3]Issues!$D$226)</f>
        <v/>
      </c>
      <c r="AI223">
        <f>IF([3]Issues!$E$226="","",[3]Issues!$E$226)</f>
        <v/>
      </c>
      <c r="AJ223">
        <f>IF([2]Entry!$S$226="","",[2]Entry!$S$226)</f>
        <v/>
      </c>
      <c r="AK223">
        <f>IF([2]Entry!$C$226="","",[2]Entry!$C$226)</f>
        <v/>
      </c>
      <c r="AL223">
        <f>IF([2]Entry!$D$226="","",[2]Entry!$D$226)</f>
        <v/>
      </c>
      <c r="AM223">
        <f>IF(AND($F223&lt;&gt;"",$I223&lt;&gt;""),IF($G223="دارایی ثابت",1,0),0)</f>
        <v/>
      </c>
      <c r="AN223">
        <f>SUM($AM$6:$AM223)</f>
        <v/>
      </c>
      <c r="AO223">
        <f>IFERROR(INDEX($F$6:$F$565,MATCH(ROW()-5,$AN$6:$AN$565,0)),"")</f>
        <v/>
      </c>
      <c r="AP223">
        <f>IF(AND($F223&lt;&gt;"",$I223&lt;&gt;""),IF($G223="وام و تسهیلات",1,0),0)</f>
        <v/>
      </c>
      <c r="AQ223">
        <f>SUM($AP$6:$AP223)</f>
        <v/>
      </c>
      <c r="AR223">
        <f>IFERROR(INDEX($F$6:$F$565,MATCH(ROW()-5,$AQ$6:$AQ$565,0)),"")</f>
        <v/>
      </c>
      <c r="AS223">
        <f>IF(AND($F223&lt;&gt;"",$I223&lt;&gt;""),IF($G223="سرمایه و آورده صاحبان",1,0),0)</f>
        <v/>
      </c>
      <c r="AT223">
        <f>SUM($AS$6:$AS223)</f>
        <v/>
      </c>
      <c r="AU223">
        <f>IFERROR(INDEX($F$6:$F$565,MATCH(ROW()-5,$AT$6:$AT$565,0)),"")</f>
        <v/>
      </c>
      <c r="AW223">
        <f>IF([3]Issues!$C$226="","",[3]Issues!$C$226)</f>
        <v/>
      </c>
      <c r="AX223">
        <f>IF([4]Entry!$E$226="","",[4]Entry!$E$226)</f>
        <v/>
      </c>
      <c r="AY223">
        <f>IF([4]Entry!$H$226="","",[4]Entry!$H$226)</f>
        <v/>
      </c>
      <c r="AZ223">
        <f>IF([4]Entry!$I$226="","",[4]Entry!$I$226)</f>
        <v/>
      </c>
    </row>
    <row r="224">
      <c r="F224">
        <f>IF([1]Accounts!$D$225="","",[1]Accounts!$A$225)</f>
        <v/>
      </c>
      <c r="G224">
        <f>IF([1]Accounts!$D$225="","",[1]Accounts!$B$225)</f>
        <v/>
      </c>
      <c r="H224">
        <f>IF([1]Accounts!$D$225="","",[1]Accounts!$C$225)</f>
        <v/>
      </c>
      <c r="I224">
        <f>IF([1]Accounts!$D$225="","",[1]Accounts!$D$225)</f>
        <v/>
      </c>
      <c r="R224">
        <f>IF(AND($F224&lt;&gt;"",$I224&lt;&gt;""),IF(OR($G224="دارایی ثابت",$G224="وام و تسهیلات",$G224="سرمایه و آورده صاحبان"),0,1),0)</f>
        <v/>
      </c>
      <c r="S224">
        <f>SUM($R$6:$R224)</f>
        <v/>
      </c>
      <c r="T224">
        <f>IFERROR(INDEX($F$6:$F$565,MATCH(ROW()-5,$S$6:$S$565,0)),"")</f>
        <v/>
      </c>
      <c r="Z224">
        <f>IF([2]Entry!$E$227="","",[2]Entry!$E$227)</f>
        <v/>
      </c>
      <c r="AA224">
        <f>IF([2]Entry!$G$227="","",[2]Entry!$G$227)</f>
        <v/>
      </c>
      <c r="AB224">
        <f>IF([2]Entry!$J$227="","",[2]Entry!$J$227)</f>
        <v/>
      </c>
      <c r="AC224">
        <f>IF([2]Entry!$K$227="","",[2]Entry!$K$227)</f>
        <v/>
      </c>
      <c r="AD224">
        <f>IF([2]Entry!$L$227="","",[2]Entry!$L$227)</f>
        <v/>
      </c>
      <c r="AE224">
        <f>IF([2]Entry!$M$227="","",[2]Entry!$M$227)</f>
        <v/>
      </c>
      <c r="AF224">
        <f>IF([2]Entry!$N$227="","",[2]Entry!$N$227)</f>
        <v/>
      </c>
      <c r="AG224">
        <f>IF([3]Issues!$B$227="","",[3]Issues!$B$227)</f>
        <v/>
      </c>
      <c r="AH224">
        <f>IF([3]Issues!$D$227="","",[3]Issues!$D$227)</f>
        <v/>
      </c>
      <c r="AI224">
        <f>IF([3]Issues!$E$227="","",[3]Issues!$E$227)</f>
        <v/>
      </c>
      <c r="AJ224">
        <f>IF([2]Entry!$S$227="","",[2]Entry!$S$227)</f>
        <v/>
      </c>
      <c r="AK224">
        <f>IF([2]Entry!$C$227="","",[2]Entry!$C$227)</f>
        <v/>
      </c>
      <c r="AL224">
        <f>IF([2]Entry!$D$227="","",[2]Entry!$D$227)</f>
        <v/>
      </c>
      <c r="AM224">
        <f>IF(AND($F224&lt;&gt;"",$I224&lt;&gt;""),IF($G224="دارایی ثابت",1,0),0)</f>
        <v/>
      </c>
      <c r="AN224">
        <f>SUM($AM$6:$AM224)</f>
        <v/>
      </c>
      <c r="AO224">
        <f>IFERROR(INDEX($F$6:$F$565,MATCH(ROW()-5,$AN$6:$AN$565,0)),"")</f>
        <v/>
      </c>
      <c r="AP224">
        <f>IF(AND($F224&lt;&gt;"",$I224&lt;&gt;""),IF($G224="وام و تسهیلات",1,0),0)</f>
        <v/>
      </c>
      <c r="AQ224">
        <f>SUM($AP$6:$AP224)</f>
        <v/>
      </c>
      <c r="AR224">
        <f>IFERROR(INDEX($F$6:$F$565,MATCH(ROW()-5,$AQ$6:$AQ$565,0)),"")</f>
        <v/>
      </c>
      <c r="AS224">
        <f>IF(AND($F224&lt;&gt;"",$I224&lt;&gt;""),IF($G224="سرمایه و آورده صاحبان",1,0),0)</f>
        <v/>
      </c>
      <c r="AT224">
        <f>SUM($AS$6:$AS224)</f>
        <v/>
      </c>
      <c r="AU224">
        <f>IFERROR(INDEX($F$6:$F$565,MATCH(ROW()-5,$AT$6:$AT$565,0)),"")</f>
        <v/>
      </c>
      <c r="AW224">
        <f>IF([3]Issues!$C$227="","",[3]Issues!$C$227)</f>
        <v/>
      </c>
      <c r="AX224">
        <f>IF([4]Entry!$E$227="","",[4]Entry!$E$227)</f>
        <v/>
      </c>
      <c r="AY224">
        <f>IF([4]Entry!$H$227="","",[4]Entry!$H$227)</f>
        <v/>
      </c>
      <c r="AZ224">
        <f>IF([4]Entry!$I$227="","",[4]Entry!$I$227)</f>
        <v/>
      </c>
    </row>
    <row r="225">
      <c r="F225">
        <f>IF([1]Accounts!$D$226="","",[1]Accounts!$A$226)</f>
        <v/>
      </c>
      <c r="G225">
        <f>IF([1]Accounts!$D$226="","",[1]Accounts!$B$226)</f>
        <v/>
      </c>
      <c r="H225">
        <f>IF([1]Accounts!$D$226="","",[1]Accounts!$C$226)</f>
        <v/>
      </c>
      <c r="I225">
        <f>IF([1]Accounts!$D$226="","",[1]Accounts!$D$226)</f>
        <v/>
      </c>
      <c r="R225">
        <f>IF(AND($F225&lt;&gt;"",$I225&lt;&gt;""),IF(OR($G225="دارایی ثابت",$G225="وام و تسهیلات",$G225="سرمایه و آورده صاحبان"),0,1),0)</f>
        <v/>
      </c>
      <c r="S225">
        <f>SUM($R$6:$R225)</f>
        <v/>
      </c>
      <c r="T225">
        <f>IFERROR(INDEX($F$6:$F$565,MATCH(ROW()-5,$S$6:$S$565,0)),"")</f>
        <v/>
      </c>
      <c r="Z225">
        <f>IF([2]Entry!$E$228="","",[2]Entry!$E$228)</f>
        <v/>
      </c>
      <c r="AA225">
        <f>IF([2]Entry!$G$228="","",[2]Entry!$G$228)</f>
        <v/>
      </c>
      <c r="AB225">
        <f>IF([2]Entry!$J$228="","",[2]Entry!$J$228)</f>
        <v/>
      </c>
      <c r="AC225">
        <f>IF([2]Entry!$K$228="","",[2]Entry!$K$228)</f>
        <v/>
      </c>
      <c r="AD225">
        <f>IF([2]Entry!$L$228="","",[2]Entry!$L$228)</f>
        <v/>
      </c>
      <c r="AE225">
        <f>IF([2]Entry!$M$228="","",[2]Entry!$M$228)</f>
        <v/>
      </c>
      <c r="AF225">
        <f>IF([2]Entry!$N$228="","",[2]Entry!$N$228)</f>
        <v/>
      </c>
      <c r="AG225">
        <f>IF([3]Issues!$B$228="","",[3]Issues!$B$228)</f>
        <v/>
      </c>
      <c r="AH225">
        <f>IF([3]Issues!$D$228="","",[3]Issues!$D$228)</f>
        <v/>
      </c>
      <c r="AI225">
        <f>IF([3]Issues!$E$228="","",[3]Issues!$E$228)</f>
        <v/>
      </c>
      <c r="AJ225">
        <f>IF([2]Entry!$S$228="","",[2]Entry!$S$228)</f>
        <v/>
      </c>
      <c r="AK225">
        <f>IF([2]Entry!$C$228="","",[2]Entry!$C$228)</f>
        <v/>
      </c>
      <c r="AL225">
        <f>IF([2]Entry!$D$228="","",[2]Entry!$D$228)</f>
        <v/>
      </c>
      <c r="AM225">
        <f>IF(AND($F225&lt;&gt;"",$I225&lt;&gt;""),IF($G225="دارایی ثابت",1,0),0)</f>
        <v/>
      </c>
      <c r="AN225">
        <f>SUM($AM$6:$AM225)</f>
        <v/>
      </c>
      <c r="AO225">
        <f>IFERROR(INDEX($F$6:$F$565,MATCH(ROW()-5,$AN$6:$AN$565,0)),"")</f>
        <v/>
      </c>
      <c r="AP225">
        <f>IF(AND($F225&lt;&gt;"",$I225&lt;&gt;""),IF($G225="وام و تسهیلات",1,0),0)</f>
        <v/>
      </c>
      <c r="AQ225">
        <f>SUM($AP$6:$AP225)</f>
        <v/>
      </c>
      <c r="AR225">
        <f>IFERROR(INDEX($F$6:$F$565,MATCH(ROW()-5,$AQ$6:$AQ$565,0)),"")</f>
        <v/>
      </c>
      <c r="AS225">
        <f>IF(AND($F225&lt;&gt;"",$I225&lt;&gt;""),IF($G225="سرمایه و آورده صاحبان",1,0),0)</f>
        <v/>
      </c>
      <c r="AT225">
        <f>SUM($AS$6:$AS225)</f>
        <v/>
      </c>
      <c r="AU225">
        <f>IFERROR(INDEX($F$6:$F$565,MATCH(ROW()-5,$AT$6:$AT$565,0)),"")</f>
        <v/>
      </c>
      <c r="AW225">
        <f>IF([3]Issues!$C$228="","",[3]Issues!$C$228)</f>
        <v/>
      </c>
      <c r="AX225">
        <f>IF([4]Entry!$E$228="","",[4]Entry!$E$228)</f>
        <v/>
      </c>
      <c r="AY225">
        <f>IF([4]Entry!$H$228="","",[4]Entry!$H$228)</f>
        <v/>
      </c>
      <c r="AZ225">
        <f>IF([4]Entry!$I$228="","",[4]Entry!$I$228)</f>
        <v/>
      </c>
    </row>
    <row r="226">
      <c r="F226">
        <f>IF([1]Accounts!$D$227="","",[1]Accounts!$A$227)</f>
        <v/>
      </c>
      <c r="G226">
        <f>IF([1]Accounts!$D$227="","",[1]Accounts!$B$227)</f>
        <v/>
      </c>
      <c r="H226">
        <f>IF([1]Accounts!$D$227="","",[1]Accounts!$C$227)</f>
        <v/>
      </c>
      <c r="I226">
        <f>IF([1]Accounts!$D$227="","",[1]Accounts!$D$227)</f>
        <v/>
      </c>
      <c r="R226">
        <f>IF(AND($F226&lt;&gt;"",$I226&lt;&gt;""),IF(OR($G226="دارایی ثابت",$G226="وام و تسهیلات",$G226="سرمایه و آورده صاحبان"),0,1),0)</f>
        <v/>
      </c>
      <c r="S226">
        <f>SUM($R$6:$R226)</f>
        <v/>
      </c>
      <c r="T226">
        <f>IFERROR(INDEX($F$6:$F$565,MATCH(ROW()-5,$S$6:$S$565,0)),"")</f>
        <v/>
      </c>
      <c r="Z226">
        <f>IF([2]Entry!$E$229="","",[2]Entry!$E$229)</f>
        <v/>
      </c>
      <c r="AA226">
        <f>IF([2]Entry!$G$229="","",[2]Entry!$G$229)</f>
        <v/>
      </c>
      <c r="AB226">
        <f>IF([2]Entry!$J$229="","",[2]Entry!$J$229)</f>
        <v/>
      </c>
      <c r="AC226">
        <f>IF([2]Entry!$K$229="","",[2]Entry!$K$229)</f>
        <v/>
      </c>
      <c r="AD226">
        <f>IF([2]Entry!$L$229="","",[2]Entry!$L$229)</f>
        <v/>
      </c>
      <c r="AE226">
        <f>IF([2]Entry!$M$229="","",[2]Entry!$M$229)</f>
        <v/>
      </c>
      <c r="AF226">
        <f>IF([2]Entry!$N$229="","",[2]Entry!$N$229)</f>
        <v/>
      </c>
      <c r="AG226">
        <f>IF([3]Issues!$B$229="","",[3]Issues!$B$229)</f>
        <v/>
      </c>
      <c r="AH226">
        <f>IF([3]Issues!$D$229="","",[3]Issues!$D$229)</f>
        <v/>
      </c>
      <c r="AI226">
        <f>IF([3]Issues!$E$229="","",[3]Issues!$E$229)</f>
        <v/>
      </c>
      <c r="AJ226">
        <f>IF([2]Entry!$S$229="","",[2]Entry!$S$229)</f>
        <v/>
      </c>
      <c r="AK226">
        <f>IF([2]Entry!$C$229="","",[2]Entry!$C$229)</f>
        <v/>
      </c>
      <c r="AL226">
        <f>IF([2]Entry!$D$229="","",[2]Entry!$D$229)</f>
        <v/>
      </c>
      <c r="AM226">
        <f>IF(AND($F226&lt;&gt;"",$I226&lt;&gt;""),IF($G226="دارایی ثابت",1,0),0)</f>
        <v/>
      </c>
      <c r="AN226">
        <f>SUM($AM$6:$AM226)</f>
        <v/>
      </c>
      <c r="AO226">
        <f>IFERROR(INDEX($F$6:$F$565,MATCH(ROW()-5,$AN$6:$AN$565,0)),"")</f>
        <v/>
      </c>
      <c r="AP226">
        <f>IF(AND($F226&lt;&gt;"",$I226&lt;&gt;""),IF($G226="وام و تسهیلات",1,0),0)</f>
        <v/>
      </c>
      <c r="AQ226">
        <f>SUM($AP$6:$AP226)</f>
        <v/>
      </c>
      <c r="AR226">
        <f>IFERROR(INDEX($F$6:$F$565,MATCH(ROW()-5,$AQ$6:$AQ$565,0)),"")</f>
        <v/>
      </c>
      <c r="AS226">
        <f>IF(AND($F226&lt;&gt;"",$I226&lt;&gt;""),IF($G226="سرمایه و آورده صاحبان",1,0),0)</f>
        <v/>
      </c>
      <c r="AT226">
        <f>SUM($AS$6:$AS226)</f>
        <v/>
      </c>
      <c r="AU226">
        <f>IFERROR(INDEX($F$6:$F$565,MATCH(ROW()-5,$AT$6:$AT$565,0)),"")</f>
        <v/>
      </c>
      <c r="AW226">
        <f>IF([3]Issues!$C$229="","",[3]Issues!$C$229)</f>
        <v/>
      </c>
      <c r="AX226">
        <f>IF([4]Entry!$E$229="","",[4]Entry!$E$229)</f>
        <v/>
      </c>
      <c r="AY226">
        <f>IF([4]Entry!$H$229="","",[4]Entry!$H$229)</f>
        <v/>
      </c>
      <c r="AZ226">
        <f>IF([4]Entry!$I$229="","",[4]Entry!$I$229)</f>
        <v/>
      </c>
    </row>
    <row r="227">
      <c r="F227">
        <f>IF([1]Accounts!$D$228="","",[1]Accounts!$A$228)</f>
        <v/>
      </c>
      <c r="G227">
        <f>IF([1]Accounts!$D$228="","",[1]Accounts!$B$228)</f>
        <v/>
      </c>
      <c r="H227">
        <f>IF([1]Accounts!$D$228="","",[1]Accounts!$C$228)</f>
        <v/>
      </c>
      <c r="I227">
        <f>IF([1]Accounts!$D$228="","",[1]Accounts!$D$228)</f>
        <v/>
      </c>
      <c r="R227">
        <f>IF(AND($F227&lt;&gt;"",$I227&lt;&gt;""),IF(OR($G227="دارایی ثابت",$G227="وام و تسهیلات",$G227="سرمایه و آورده صاحبان"),0,1),0)</f>
        <v/>
      </c>
      <c r="S227">
        <f>SUM($R$6:$R227)</f>
        <v/>
      </c>
      <c r="T227">
        <f>IFERROR(INDEX($F$6:$F$565,MATCH(ROW()-5,$S$6:$S$565,0)),"")</f>
        <v/>
      </c>
      <c r="Z227">
        <f>IF([2]Entry!$E$230="","",[2]Entry!$E$230)</f>
        <v/>
      </c>
      <c r="AA227">
        <f>IF([2]Entry!$G$230="","",[2]Entry!$G$230)</f>
        <v/>
      </c>
      <c r="AB227">
        <f>IF([2]Entry!$J$230="","",[2]Entry!$J$230)</f>
        <v/>
      </c>
      <c r="AC227">
        <f>IF([2]Entry!$K$230="","",[2]Entry!$K$230)</f>
        <v/>
      </c>
      <c r="AD227">
        <f>IF([2]Entry!$L$230="","",[2]Entry!$L$230)</f>
        <v/>
      </c>
      <c r="AE227">
        <f>IF([2]Entry!$M$230="","",[2]Entry!$M$230)</f>
        <v/>
      </c>
      <c r="AF227">
        <f>IF([2]Entry!$N$230="","",[2]Entry!$N$230)</f>
        <v/>
      </c>
      <c r="AG227">
        <f>IF([3]Issues!$B$230="","",[3]Issues!$B$230)</f>
        <v/>
      </c>
      <c r="AH227">
        <f>IF([3]Issues!$D$230="","",[3]Issues!$D$230)</f>
        <v/>
      </c>
      <c r="AI227">
        <f>IF([3]Issues!$E$230="","",[3]Issues!$E$230)</f>
        <v/>
      </c>
      <c r="AJ227">
        <f>IF([2]Entry!$S$230="","",[2]Entry!$S$230)</f>
        <v/>
      </c>
      <c r="AK227">
        <f>IF([2]Entry!$C$230="","",[2]Entry!$C$230)</f>
        <v/>
      </c>
      <c r="AL227">
        <f>IF([2]Entry!$D$230="","",[2]Entry!$D$230)</f>
        <v/>
      </c>
      <c r="AM227">
        <f>IF(AND($F227&lt;&gt;"",$I227&lt;&gt;""),IF($G227="دارایی ثابت",1,0),0)</f>
        <v/>
      </c>
      <c r="AN227">
        <f>SUM($AM$6:$AM227)</f>
        <v/>
      </c>
      <c r="AO227">
        <f>IFERROR(INDEX($F$6:$F$565,MATCH(ROW()-5,$AN$6:$AN$565,0)),"")</f>
        <v/>
      </c>
      <c r="AP227">
        <f>IF(AND($F227&lt;&gt;"",$I227&lt;&gt;""),IF($G227="وام و تسهیلات",1,0),0)</f>
        <v/>
      </c>
      <c r="AQ227">
        <f>SUM($AP$6:$AP227)</f>
        <v/>
      </c>
      <c r="AR227">
        <f>IFERROR(INDEX($F$6:$F$565,MATCH(ROW()-5,$AQ$6:$AQ$565,0)),"")</f>
        <v/>
      </c>
      <c r="AS227">
        <f>IF(AND($F227&lt;&gt;"",$I227&lt;&gt;""),IF($G227="سرمایه و آورده صاحبان",1,0),0)</f>
        <v/>
      </c>
      <c r="AT227">
        <f>SUM($AS$6:$AS227)</f>
        <v/>
      </c>
      <c r="AU227">
        <f>IFERROR(INDEX($F$6:$F$565,MATCH(ROW()-5,$AT$6:$AT$565,0)),"")</f>
        <v/>
      </c>
      <c r="AW227">
        <f>IF([3]Issues!$C$230="","",[3]Issues!$C$230)</f>
        <v/>
      </c>
      <c r="AX227">
        <f>IF([4]Entry!$E$230="","",[4]Entry!$E$230)</f>
        <v/>
      </c>
      <c r="AY227">
        <f>IF([4]Entry!$H$230="","",[4]Entry!$H$230)</f>
        <v/>
      </c>
      <c r="AZ227">
        <f>IF([4]Entry!$I$230="","",[4]Entry!$I$230)</f>
        <v/>
      </c>
    </row>
    <row r="228">
      <c r="F228">
        <f>IF([1]Accounts!$D$229="","",[1]Accounts!$A$229)</f>
        <v/>
      </c>
      <c r="G228">
        <f>IF([1]Accounts!$D$229="","",[1]Accounts!$B$229)</f>
        <v/>
      </c>
      <c r="H228">
        <f>IF([1]Accounts!$D$229="","",[1]Accounts!$C$229)</f>
        <v/>
      </c>
      <c r="I228">
        <f>IF([1]Accounts!$D$229="","",[1]Accounts!$D$229)</f>
        <v/>
      </c>
      <c r="R228">
        <f>IF(AND($F228&lt;&gt;"",$I228&lt;&gt;""),IF(OR($G228="دارایی ثابت",$G228="وام و تسهیلات",$G228="سرمایه و آورده صاحبان"),0,1),0)</f>
        <v/>
      </c>
      <c r="S228">
        <f>SUM($R$6:$R228)</f>
        <v/>
      </c>
      <c r="T228">
        <f>IFERROR(INDEX($F$6:$F$565,MATCH(ROW()-5,$S$6:$S$565,0)),"")</f>
        <v/>
      </c>
      <c r="Z228">
        <f>IF([2]Entry!$E$231="","",[2]Entry!$E$231)</f>
        <v/>
      </c>
      <c r="AA228">
        <f>IF([2]Entry!$G$231="","",[2]Entry!$G$231)</f>
        <v/>
      </c>
      <c r="AB228">
        <f>IF([2]Entry!$J$231="","",[2]Entry!$J$231)</f>
        <v/>
      </c>
      <c r="AC228">
        <f>IF([2]Entry!$K$231="","",[2]Entry!$K$231)</f>
        <v/>
      </c>
      <c r="AD228">
        <f>IF([2]Entry!$L$231="","",[2]Entry!$L$231)</f>
        <v/>
      </c>
      <c r="AE228">
        <f>IF([2]Entry!$M$231="","",[2]Entry!$M$231)</f>
        <v/>
      </c>
      <c r="AF228">
        <f>IF([2]Entry!$N$231="","",[2]Entry!$N$231)</f>
        <v/>
      </c>
      <c r="AG228">
        <f>IF([3]Issues!$B$231="","",[3]Issues!$B$231)</f>
        <v/>
      </c>
      <c r="AH228">
        <f>IF([3]Issues!$D$231="","",[3]Issues!$D$231)</f>
        <v/>
      </c>
      <c r="AI228">
        <f>IF([3]Issues!$E$231="","",[3]Issues!$E$231)</f>
        <v/>
      </c>
      <c r="AJ228">
        <f>IF([2]Entry!$S$231="","",[2]Entry!$S$231)</f>
        <v/>
      </c>
      <c r="AK228">
        <f>IF([2]Entry!$C$231="","",[2]Entry!$C$231)</f>
        <v/>
      </c>
      <c r="AL228">
        <f>IF([2]Entry!$D$231="","",[2]Entry!$D$231)</f>
        <v/>
      </c>
      <c r="AM228">
        <f>IF(AND($F228&lt;&gt;"",$I228&lt;&gt;""),IF($G228="دارایی ثابت",1,0),0)</f>
        <v/>
      </c>
      <c r="AN228">
        <f>SUM($AM$6:$AM228)</f>
        <v/>
      </c>
      <c r="AO228">
        <f>IFERROR(INDEX($F$6:$F$565,MATCH(ROW()-5,$AN$6:$AN$565,0)),"")</f>
        <v/>
      </c>
      <c r="AP228">
        <f>IF(AND($F228&lt;&gt;"",$I228&lt;&gt;""),IF($G228="وام و تسهیلات",1,0),0)</f>
        <v/>
      </c>
      <c r="AQ228">
        <f>SUM($AP$6:$AP228)</f>
        <v/>
      </c>
      <c r="AR228">
        <f>IFERROR(INDEX($F$6:$F$565,MATCH(ROW()-5,$AQ$6:$AQ$565,0)),"")</f>
        <v/>
      </c>
      <c r="AS228">
        <f>IF(AND($F228&lt;&gt;"",$I228&lt;&gt;""),IF($G228="سرمایه و آورده صاحبان",1,0),0)</f>
        <v/>
      </c>
      <c r="AT228">
        <f>SUM($AS$6:$AS228)</f>
        <v/>
      </c>
      <c r="AU228">
        <f>IFERROR(INDEX($F$6:$F$565,MATCH(ROW()-5,$AT$6:$AT$565,0)),"")</f>
        <v/>
      </c>
      <c r="AW228">
        <f>IF([3]Issues!$C$231="","",[3]Issues!$C$231)</f>
        <v/>
      </c>
      <c r="AX228">
        <f>IF([4]Entry!$E$231="","",[4]Entry!$E$231)</f>
        <v/>
      </c>
      <c r="AY228">
        <f>IF([4]Entry!$H$231="","",[4]Entry!$H$231)</f>
        <v/>
      </c>
      <c r="AZ228">
        <f>IF([4]Entry!$I$231="","",[4]Entry!$I$231)</f>
        <v/>
      </c>
    </row>
    <row r="229">
      <c r="F229">
        <f>IF([1]Accounts!$D$230="","",[1]Accounts!$A$230)</f>
        <v/>
      </c>
      <c r="G229">
        <f>IF([1]Accounts!$D$230="","",[1]Accounts!$B$230)</f>
        <v/>
      </c>
      <c r="H229">
        <f>IF([1]Accounts!$D$230="","",[1]Accounts!$C$230)</f>
        <v/>
      </c>
      <c r="I229">
        <f>IF([1]Accounts!$D$230="","",[1]Accounts!$D$230)</f>
        <v/>
      </c>
      <c r="R229">
        <f>IF(AND($F229&lt;&gt;"",$I229&lt;&gt;""),IF(OR($G229="دارایی ثابت",$G229="وام و تسهیلات",$G229="سرمایه و آورده صاحبان"),0,1),0)</f>
        <v/>
      </c>
      <c r="S229">
        <f>SUM($R$6:$R229)</f>
        <v/>
      </c>
      <c r="T229">
        <f>IFERROR(INDEX($F$6:$F$565,MATCH(ROW()-5,$S$6:$S$565,0)),"")</f>
        <v/>
      </c>
      <c r="Z229">
        <f>IF([2]Entry!$E$232="","",[2]Entry!$E$232)</f>
        <v/>
      </c>
      <c r="AA229">
        <f>IF([2]Entry!$G$232="","",[2]Entry!$G$232)</f>
        <v/>
      </c>
      <c r="AB229">
        <f>IF([2]Entry!$J$232="","",[2]Entry!$J$232)</f>
        <v/>
      </c>
      <c r="AC229">
        <f>IF([2]Entry!$K$232="","",[2]Entry!$K$232)</f>
        <v/>
      </c>
      <c r="AD229">
        <f>IF([2]Entry!$L$232="","",[2]Entry!$L$232)</f>
        <v/>
      </c>
      <c r="AE229">
        <f>IF([2]Entry!$M$232="","",[2]Entry!$M$232)</f>
        <v/>
      </c>
      <c r="AF229">
        <f>IF([2]Entry!$N$232="","",[2]Entry!$N$232)</f>
        <v/>
      </c>
      <c r="AG229">
        <f>IF([3]Issues!$B$232="","",[3]Issues!$B$232)</f>
        <v/>
      </c>
      <c r="AH229">
        <f>IF([3]Issues!$D$232="","",[3]Issues!$D$232)</f>
        <v/>
      </c>
      <c r="AI229">
        <f>IF([3]Issues!$E$232="","",[3]Issues!$E$232)</f>
        <v/>
      </c>
      <c r="AJ229">
        <f>IF([2]Entry!$S$232="","",[2]Entry!$S$232)</f>
        <v/>
      </c>
      <c r="AK229">
        <f>IF([2]Entry!$C$232="","",[2]Entry!$C$232)</f>
        <v/>
      </c>
      <c r="AL229">
        <f>IF([2]Entry!$D$232="","",[2]Entry!$D$232)</f>
        <v/>
      </c>
      <c r="AM229">
        <f>IF(AND($F229&lt;&gt;"",$I229&lt;&gt;""),IF($G229="دارایی ثابت",1,0),0)</f>
        <v/>
      </c>
      <c r="AN229">
        <f>SUM($AM$6:$AM229)</f>
        <v/>
      </c>
      <c r="AO229">
        <f>IFERROR(INDEX($F$6:$F$565,MATCH(ROW()-5,$AN$6:$AN$565,0)),"")</f>
        <v/>
      </c>
      <c r="AP229">
        <f>IF(AND($F229&lt;&gt;"",$I229&lt;&gt;""),IF($G229="وام و تسهیلات",1,0),0)</f>
        <v/>
      </c>
      <c r="AQ229">
        <f>SUM($AP$6:$AP229)</f>
        <v/>
      </c>
      <c r="AR229">
        <f>IFERROR(INDEX($F$6:$F$565,MATCH(ROW()-5,$AQ$6:$AQ$565,0)),"")</f>
        <v/>
      </c>
      <c r="AS229">
        <f>IF(AND($F229&lt;&gt;"",$I229&lt;&gt;""),IF($G229="سرمایه و آورده صاحبان",1,0),0)</f>
        <v/>
      </c>
      <c r="AT229">
        <f>SUM($AS$6:$AS229)</f>
        <v/>
      </c>
      <c r="AU229">
        <f>IFERROR(INDEX($F$6:$F$565,MATCH(ROW()-5,$AT$6:$AT$565,0)),"")</f>
        <v/>
      </c>
      <c r="AW229">
        <f>IF([3]Issues!$C$232="","",[3]Issues!$C$232)</f>
        <v/>
      </c>
      <c r="AX229">
        <f>IF([4]Entry!$E$232="","",[4]Entry!$E$232)</f>
        <v/>
      </c>
      <c r="AY229">
        <f>IF([4]Entry!$H$232="","",[4]Entry!$H$232)</f>
        <v/>
      </c>
      <c r="AZ229">
        <f>IF([4]Entry!$I$232="","",[4]Entry!$I$232)</f>
        <v/>
      </c>
    </row>
    <row r="230">
      <c r="F230">
        <f>IF([1]Accounts!$D$231="","",[1]Accounts!$A$231)</f>
        <v/>
      </c>
      <c r="G230">
        <f>IF([1]Accounts!$D$231="","",[1]Accounts!$B$231)</f>
        <v/>
      </c>
      <c r="H230">
        <f>IF([1]Accounts!$D$231="","",[1]Accounts!$C$231)</f>
        <v/>
      </c>
      <c r="I230">
        <f>IF([1]Accounts!$D$231="","",[1]Accounts!$D$231)</f>
        <v/>
      </c>
      <c r="R230">
        <f>IF(AND($F230&lt;&gt;"",$I230&lt;&gt;""),IF(OR($G230="دارایی ثابت",$G230="وام و تسهیلات",$G230="سرمایه و آورده صاحبان"),0,1),0)</f>
        <v/>
      </c>
      <c r="S230">
        <f>SUM($R$6:$R230)</f>
        <v/>
      </c>
      <c r="T230">
        <f>IFERROR(INDEX($F$6:$F$565,MATCH(ROW()-5,$S$6:$S$565,0)),"")</f>
        <v/>
      </c>
      <c r="Z230">
        <f>IF([2]Entry!$E$233="","",[2]Entry!$E$233)</f>
        <v/>
      </c>
      <c r="AA230">
        <f>IF([2]Entry!$G$233="","",[2]Entry!$G$233)</f>
        <v/>
      </c>
      <c r="AB230">
        <f>IF([2]Entry!$J$233="","",[2]Entry!$J$233)</f>
        <v/>
      </c>
      <c r="AC230">
        <f>IF([2]Entry!$K$233="","",[2]Entry!$K$233)</f>
        <v/>
      </c>
      <c r="AD230">
        <f>IF([2]Entry!$L$233="","",[2]Entry!$L$233)</f>
        <v/>
      </c>
      <c r="AE230">
        <f>IF([2]Entry!$M$233="","",[2]Entry!$M$233)</f>
        <v/>
      </c>
      <c r="AF230">
        <f>IF([2]Entry!$N$233="","",[2]Entry!$N$233)</f>
        <v/>
      </c>
      <c r="AG230">
        <f>IF([3]Issues!$B$233="","",[3]Issues!$B$233)</f>
        <v/>
      </c>
      <c r="AH230">
        <f>IF([3]Issues!$D$233="","",[3]Issues!$D$233)</f>
        <v/>
      </c>
      <c r="AI230">
        <f>IF([3]Issues!$E$233="","",[3]Issues!$E$233)</f>
        <v/>
      </c>
      <c r="AJ230">
        <f>IF([2]Entry!$S$233="","",[2]Entry!$S$233)</f>
        <v/>
      </c>
      <c r="AK230">
        <f>IF([2]Entry!$C$233="","",[2]Entry!$C$233)</f>
        <v/>
      </c>
      <c r="AL230">
        <f>IF([2]Entry!$D$233="","",[2]Entry!$D$233)</f>
        <v/>
      </c>
      <c r="AM230">
        <f>IF(AND($F230&lt;&gt;"",$I230&lt;&gt;""),IF($G230="دارایی ثابت",1,0),0)</f>
        <v/>
      </c>
      <c r="AN230">
        <f>SUM($AM$6:$AM230)</f>
        <v/>
      </c>
      <c r="AO230">
        <f>IFERROR(INDEX($F$6:$F$565,MATCH(ROW()-5,$AN$6:$AN$565,0)),"")</f>
        <v/>
      </c>
      <c r="AP230">
        <f>IF(AND($F230&lt;&gt;"",$I230&lt;&gt;""),IF($G230="وام و تسهیلات",1,0),0)</f>
        <v/>
      </c>
      <c r="AQ230">
        <f>SUM($AP$6:$AP230)</f>
        <v/>
      </c>
      <c r="AR230">
        <f>IFERROR(INDEX($F$6:$F$565,MATCH(ROW()-5,$AQ$6:$AQ$565,0)),"")</f>
        <v/>
      </c>
      <c r="AS230">
        <f>IF(AND($F230&lt;&gt;"",$I230&lt;&gt;""),IF($G230="سرمایه و آورده صاحبان",1,0),0)</f>
        <v/>
      </c>
      <c r="AT230">
        <f>SUM($AS$6:$AS230)</f>
        <v/>
      </c>
      <c r="AU230">
        <f>IFERROR(INDEX($F$6:$F$565,MATCH(ROW()-5,$AT$6:$AT$565,0)),"")</f>
        <v/>
      </c>
      <c r="AW230">
        <f>IF([3]Issues!$C$233="","",[3]Issues!$C$233)</f>
        <v/>
      </c>
      <c r="AX230">
        <f>IF([4]Entry!$E$233="","",[4]Entry!$E$233)</f>
        <v/>
      </c>
      <c r="AY230">
        <f>IF([4]Entry!$H$233="","",[4]Entry!$H$233)</f>
        <v/>
      </c>
      <c r="AZ230">
        <f>IF([4]Entry!$I$233="","",[4]Entry!$I$233)</f>
        <v/>
      </c>
    </row>
    <row r="231">
      <c r="F231">
        <f>IF([1]Accounts!$D$232="","",[1]Accounts!$A$232)</f>
        <v/>
      </c>
      <c r="G231">
        <f>IF([1]Accounts!$D$232="","",[1]Accounts!$B$232)</f>
        <v/>
      </c>
      <c r="H231">
        <f>IF([1]Accounts!$D$232="","",[1]Accounts!$C$232)</f>
        <v/>
      </c>
      <c r="I231">
        <f>IF([1]Accounts!$D$232="","",[1]Accounts!$D$232)</f>
        <v/>
      </c>
      <c r="R231">
        <f>IF(AND($F231&lt;&gt;"",$I231&lt;&gt;""),IF(OR($G231="دارایی ثابت",$G231="وام و تسهیلات",$G231="سرمایه و آورده صاحبان"),0,1),0)</f>
        <v/>
      </c>
      <c r="S231">
        <f>SUM($R$6:$R231)</f>
        <v/>
      </c>
      <c r="T231">
        <f>IFERROR(INDEX($F$6:$F$565,MATCH(ROW()-5,$S$6:$S$565,0)),"")</f>
        <v/>
      </c>
      <c r="Z231">
        <f>IF([2]Entry!$E$234="","",[2]Entry!$E$234)</f>
        <v/>
      </c>
      <c r="AA231">
        <f>IF([2]Entry!$G$234="","",[2]Entry!$G$234)</f>
        <v/>
      </c>
      <c r="AB231">
        <f>IF([2]Entry!$J$234="","",[2]Entry!$J$234)</f>
        <v/>
      </c>
      <c r="AC231">
        <f>IF([2]Entry!$K$234="","",[2]Entry!$K$234)</f>
        <v/>
      </c>
      <c r="AD231">
        <f>IF([2]Entry!$L$234="","",[2]Entry!$L$234)</f>
        <v/>
      </c>
      <c r="AE231">
        <f>IF([2]Entry!$M$234="","",[2]Entry!$M$234)</f>
        <v/>
      </c>
      <c r="AF231">
        <f>IF([2]Entry!$N$234="","",[2]Entry!$N$234)</f>
        <v/>
      </c>
      <c r="AG231">
        <f>IF([3]Issues!$B$234="","",[3]Issues!$B$234)</f>
        <v/>
      </c>
      <c r="AH231">
        <f>IF([3]Issues!$D$234="","",[3]Issues!$D$234)</f>
        <v/>
      </c>
      <c r="AI231">
        <f>IF([3]Issues!$E$234="","",[3]Issues!$E$234)</f>
        <v/>
      </c>
      <c r="AJ231">
        <f>IF([2]Entry!$S$234="","",[2]Entry!$S$234)</f>
        <v/>
      </c>
      <c r="AK231">
        <f>IF([2]Entry!$C$234="","",[2]Entry!$C$234)</f>
        <v/>
      </c>
      <c r="AL231">
        <f>IF([2]Entry!$D$234="","",[2]Entry!$D$234)</f>
        <v/>
      </c>
      <c r="AM231">
        <f>IF(AND($F231&lt;&gt;"",$I231&lt;&gt;""),IF($G231="دارایی ثابت",1,0),0)</f>
        <v/>
      </c>
      <c r="AN231">
        <f>SUM($AM$6:$AM231)</f>
        <v/>
      </c>
      <c r="AO231">
        <f>IFERROR(INDEX($F$6:$F$565,MATCH(ROW()-5,$AN$6:$AN$565,0)),"")</f>
        <v/>
      </c>
      <c r="AP231">
        <f>IF(AND($F231&lt;&gt;"",$I231&lt;&gt;""),IF($G231="وام و تسهیلات",1,0),0)</f>
        <v/>
      </c>
      <c r="AQ231">
        <f>SUM($AP$6:$AP231)</f>
        <v/>
      </c>
      <c r="AR231">
        <f>IFERROR(INDEX($F$6:$F$565,MATCH(ROW()-5,$AQ$6:$AQ$565,0)),"")</f>
        <v/>
      </c>
      <c r="AS231">
        <f>IF(AND($F231&lt;&gt;"",$I231&lt;&gt;""),IF($G231="سرمایه و آورده صاحبان",1,0),0)</f>
        <v/>
      </c>
      <c r="AT231">
        <f>SUM($AS$6:$AS231)</f>
        <v/>
      </c>
      <c r="AU231">
        <f>IFERROR(INDEX($F$6:$F$565,MATCH(ROW()-5,$AT$6:$AT$565,0)),"")</f>
        <v/>
      </c>
      <c r="AW231">
        <f>IF([3]Issues!$C$234="","",[3]Issues!$C$234)</f>
        <v/>
      </c>
      <c r="AX231">
        <f>IF([4]Entry!$E$234="","",[4]Entry!$E$234)</f>
        <v/>
      </c>
      <c r="AY231">
        <f>IF([4]Entry!$H$234="","",[4]Entry!$H$234)</f>
        <v/>
      </c>
      <c r="AZ231">
        <f>IF([4]Entry!$I$234="","",[4]Entry!$I$234)</f>
        <v/>
      </c>
    </row>
    <row r="232">
      <c r="F232">
        <f>IF([1]Accounts!$D$233="","",[1]Accounts!$A$233)</f>
        <v/>
      </c>
      <c r="G232">
        <f>IF([1]Accounts!$D$233="","",[1]Accounts!$B$233)</f>
        <v/>
      </c>
      <c r="H232">
        <f>IF([1]Accounts!$D$233="","",[1]Accounts!$C$233)</f>
        <v/>
      </c>
      <c r="I232">
        <f>IF([1]Accounts!$D$233="","",[1]Accounts!$D$233)</f>
        <v/>
      </c>
      <c r="R232">
        <f>IF(AND($F232&lt;&gt;"",$I232&lt;&gt;""),IF(OR($G232="دارایی ثابت",$G232="وام و تسهیلات",$G232="سرمایه و آورده صاحبان"),0,1),0)</f>
        <v/>
      </c>
      <c r="S232">
        <f>SUM($R$6:$R232)</f>
        <v/>
      </c>
      <c r="T232">
        <f>IFERROR(INDEX($F$6:$F$565,MATCH(ROW()-5,$S$6:$S$565,0)),"")</f>
        <v/>
      </c>
      <c r="Z232">
        <f>IF([2]Entry!$E$235="","",[2]Entry!$E$235)</f>
        <v/>
      </c>
      <c r="AA232">
        <f>IF([2]Entry!$G$235="","",[2]Entry!$G$235)</f>
        <v/>
      </c>
      <c r="AB232">
        <f>IF([2]Entry!$J$235="","",[2]Entry!$J$235)</f>
        <v/>
      </c>
      <c r="AC232">
        <f>IF([2]Entry!$K$235="","",[2]Entry!$K$235)</f>
        <v/>
      </c>
      <c r="AD232">
        <f>IF([2]Entry!$L$235="","",[2]Entry!$L$235)</f>
        <v/>
      </c>
      <c r="AE232">
        <f>IF([2]Entry!$M$235="","",[2]Entry!$M$235)</f>
        <v/>
      </c>
      <c r="AF232">
        <f>IF([2]Entry!$N$235="","",[2]Entry!$N$235)</f>
        <v/>
      </c>
      <c r="AG232">
        <f>IF([3]Issues!$B$235="","",[3]Issues!$B$235)</f>
        <v/>
      </c>
      <c r="AH232">
        <f>IF([3]Issues!$D$235="","",[3]Issues!$D$235)</f>
        <v/>
      </c>
      <c r="AI232">
        <f>IF([3]Issues!$E$235="","",[3]Issues!$E$235)</f>
        <v/>
      </c>
      <c r="AJ232">
        <f>IF([2]Entry!$S$235="","",[2]Entry!$S$235)</f>
        <v/>
      </c>
      <c r="AK232">
        <f>IF([2]Entry!$C$235="","",[2]Entry!$C$235)</f>
        <v/>
      </c>
      <c r="AL232">
        <f>IF([2]Entry!$D$235="","",[2]Entry!$D$235)</f>
        <v/>
      </c>
      <c r="AM232">
        <f>IF(AND($F232&lt;&gt;"",$I232&lt;&gt;""),IF($G232="دارایی ثابت",1,0),0)</f>
        <v/>
      </c>
      <c r="AN232">
        <f>SUM($AM$6:$AM232)</f>
        <v/>
      </c>
      <c r="AO232">
        <f>IFERROR(INDEX($F$6:$F$565,MATCH(ROW()-5,$AN$6:$AN$565,0)),"")</f>
        <v/>
      </c>
      <c r="AP232">
        <f>IF(AND($F232&lt;&gt;"",$I232&lt;&gt;""),IF($G232="وام و تسهیلات",1,0),0)</f>
        <v/>
      </c>
      <c r="AQ232">
        <f>SUM($AP$6:$AP232)</f>
        <v/>
      </c>
      <c r="AR232">
        <f>IFERROR(INDEX($F$6:$F$565,MATCH(ROW()-5,$AQ$6:$AQ$565,0)),"")</f>
        <v/>
      </c>
      <c r="AS232">
        <f>IF(AND($F232&lt;&gt;"",$I232&lt;&gt;""),IF($G232="سرمایه و آورده صاحبان",1,0),0)</f>
        <v/>
      </c>
      <c r="AT232">
        <f>SUM($AS$6:$AS232)</f>
        <v/>
      </c>
      <c r="AU232">
        <f>IFERROR(INDEX($F$6:$F$565,MATCH(ROW()-5,$AT$6:$AT$565,0)),"")</f>
        <v/>
      </c>
      <c r="AW232">
        <f>IF([3]Issues!$C$235="","",[3]Issues!$C$235)</f>
        <v/>
      </c>
      <c r="AX232">
        <f>IF([4]Entry!$E$235="","",[4]Entry!$E$235)</f>
        <v/>
      </c>
      <c r="AY232">
        <f>IF([4]Entry!$H$235="","",[4]Entry!$H$235)</f>
        <v/>
      </c>
      <c r="AZ232">
        <f>IF([4]Entry!$I$235="","",[4]Entry!$I$235)</f>
        <v/>
      </c>
    </row>
    <row r="233">
      <c r="F233">
        <f>IF([1]Accounts!$D$234="","",[1]Accounts!$A$234)</f>
        <v/>
      </c>
      <c r="G233">
        <f>IF([1]Accounts!$D$234="","",[1]Accounts!$B$234)</f>
        <v/>
      </c>
      <c r="H233">
        <f>IF([1]Accounts!$D$234="","",[1]Accounts!$C$234)</f>
        <v/>
      </c>
      <c r="I233">
        <f>IF([1]Accounts!$D$234="","",[1]Accounts!$D$234)</f>
        <v/>
      </c>
      <c r="R233">
        <f>IF(AND($F233&lt;&gt;"",$I233&lt;&gt;""),IF(OR($G233="دارایی ثابت",$G233="وام و تسهیلات",$G233="سرمایه و آورده صاحبان"),0,1),0)</f>
        <v/>
      </c>
      <c r="S233">
        <f>SUM($R$6:$R233)</f>
        <v/>
      </c>
      <c r="T233">
        <f>IFERROR(INDEX($F$6:$F$565,MATCH(ROW()-5,$S$6:$S$565,0)),"")</f>
        <v/>
      </c>
      <c r="Z233">
        <f>IF([2]Entry!$E$236="","",[2]Entry!$E$236)</f>
        <v/>
      </c>
      <c r="AA233">
        <f>IF([2]Entry!$G$236="","",[2]Entry!$G$236)</f>
        <v/>
      </c>
      <c r="AB233">
        <f>IF([2]Entry!$J$236="","",[2]Entry!$J$236)</f>
        <v/>
      </c>
      <c r="AC233">
        <f>IF([2]Entry!$K$236="","",[2]Entry!$K$236)</f>
        <v/>
      </c>
      <c r="AD233">
        <f>IF([2]Entry!$L$236="","",[2]Entry!$L$236)</f>
        <v/>
      </c>
      <c r="AE233">
        <f>IF([2]Entry!$M$236="","",[2]Entry!$M$236)</f>
        <v/>
      </c>
      <c r="AF233">
        <f>IF([2]Entry!$N$236="","",[2]Entry!$N$236)</f>
        <v/>
      </c>
      <c r="AG233">
        <f>IF([3]Issues!$B$236="","",[3]Issues!$B$236)</f>
        <v/>
      </c>
      <c r="AH233">
        <f>IF([3]Issues!$D$236="","",[3]Issues!$D$236)</f>
        <v/>
      </c>
      <c r="AI233">
        <f>IF([3]Issues!$E$236="","",[3]Issues!$E$236)</f>
        <v/>
      </c>
      <c r="AJ233">
        <f>IF([2]Entry!$S$236="","",[2]Entry!$S$236)</f>
        <v/>
      </c>
      <c r="AK233">
        <f>IF([2]Entry!$C$236="","",[2]Entry!$C$236)</f>
        <v/>
      </c>
      <c r="AL233">
        <f>IF([2]Entry!$D$236="","",[2]Entry!$D$236)</f>
        <v/>
      </c>
      <c r="AM233">
        <f>IF(AND($F233&lt;&gt;"",$I233&lt;&gt;""),IF($G233="دارایی ثابت",1,0),0)</f>
        <v/>
      </c>
      <c r="AN233">
        <f>SUM($AM$6:$AM233)</f>
        <v/>
      </c>
      <c r="AO233">
        <f>IFERROR(INDEX($F$6:$F$565,MATCH(ROW()-5,$AN$6:$AN$565,0)),"")</f>
        <v/>
      </c>
      <c r="AP233">
        <f>IF(AND($F233&lt;&gt;"",$I233&lt;&gt;""),IF($G233="وام و تسهیلات",1,0),0)</f>
        <v/>
      </c>
      <c r="AQ233">
        <f>SUM($AP$6:$AP233)</f>
        <v/>
      </c>
      <c r="AR233">
        <f>IFERROR(INDEX($F$6:$F$565,MATCH(ROW()-5,$AQ$6:$AQ$565,0)),"")</f>
        <v/>
      </c>
      <c r="AS233">
        <f>IF(AND($F233&lt;&gt;"",$I233&lt;&gt;""),IF($G233="سرمایه و آورده صاحبان",1,0),0)</f>
        <v/>
      </c>
      <c r="AT233">
        <f>SUM($AS$6:$AS233)</f>
        <v/>
      </c>
      <c r="AU233">
        <f>IFERROR(INDEX($F$6:$F$565,MATCH(ROW()-5,$AT$6:$AT$565,0)),"")</f>
        <v/>
      </c>
      <c r="AW233">
        <f>IF([3]Issues!$C$236="","",[3]Issues!$C$236)</f>
        <v/>
      </c>
      <c r="AX233">
        <f>IF([4]Entry!$E$236="","",[4]Entry!$E$236)</f>
        <v/>
      </c>
      <c r="AY233">
        <f>IF([4]Entry!$H$236="","",[4]Entry!$H$236)</f>
        <v/>
      </c>
      <c r="AZ233">
        <f>IF([4]Entry!$I$236="","",[4]Entry!$I$236)</f>
        <v/>
      </c>
    </row>
    <row r="234">
      <c r="F234">
        <f>IF([1]Accounts!$D$235="","",[1]Accounts!$A$235)</f>
        <v/>
      </c>
      <c r="G234">
        <f>IF([1]Accounts!$D$235="","",[1]Accounts!$B$235)</f>
        <v/>
      </c>
      <c r="H234">
        <f>IF([1]Accounts!$D$235="","",[1]Accounts!$C$235)</f>
        <v/>
      </c>
      <c r="I234">
        <f>IF([1]Accounts!$D$235="","",[1]Accounts!$D$235)</f>
        <v/>
      </c>
      <c r="R234">
        <f>IF(AND($F234&lt;&gt;"",$I234&lt;&gt;""),IF(OR($G234="دارایی ثابت",$G234="وام و تسهیلات",$G234="سرمایه و آورده صاحبان"),0,1),0)</f>
        <v/>
      </c>
      <c r="S234">
        <f>SUM($R$6:$R234)</f>
        <v/>
      </c>
      <c r="T234">
        <f>IFERROR(INDEX($F$6:$F$565,MATCH(ROW()-5,$S$6:$S$565,0)),"")</f>
        <v/>
      </c>
      <c r="Z234">
        <f>IF([2]Entry!$E$237="","",[2]Entry!$E$237)</f>
        <v/>
      </c>
      <c r="AA234">
        <f>IF([2]Entry!$G$237="","",[2]Entry!$G$237)</f>
        <v/>
      </c>
      <c r="AB234">
        <f>IF([2]Entry!$J$237="","",[2]Entry!$J$237)</f>
        <v/>
      </c>
      <c r="AC234">
        <f>IF([2]Entry!$K$237="","",[2]Entry!$K$237)</f>
        <v/>
      </c>
      <c r="AD234">
        <f>IF([2]Entry!$L$237="","",[2]Entry!$L$237)</f>
        <v/>
      </c>
      <c r="AE234">
        <f>IF([2]Entry!$M$237="","",[2]Entry!$M$237)</f>
        <v/>
      </c>
      <c r="AF234">
        <f>IF([2]Entry!$N$237="","",[2]Entry!$N$237)</f>
        <v/>
      </c>
      <c r="AG234">
        <f>IF([3]Issues!$B$237="","",[3]Issues!$B$237)</f>
        <v/>
      </c>
      <c r="AH234">
        <f>IF([3]Issues!$D$237="","",[3]Issues!$D$237)</f>
        <v/>
      </c>
      <c r="AI234">
        <f>IF([3]Issues!$E$237="","",[3]Issues!$E$237)</f>
        <v/>
      </c>
      <c r="AJ234">
        <f>IF([2]Entry!$S$237="","",[2]Entry!$S$237)</f>
        <v/>
      </c>
      <c r="AK234">
        <f>IF([2]Entry!$C$237="","",[2]Entry!$C$237)</f>
        <v/>
      </c>
      <c r="AL234">
        <f>IF([2]Entry!$D$237="","",[2]Entry!$D$237)</f>
        <v/>
      </c>
      <c r="AM234">
        <f>IF(AND($F234&lt;&gt;"",$I234&lt;&gt;""),IF($G234="دارایی ثابت",1,0),0)</f>
        <v/>
      </c>
      <c r="AN234">
        <f>SUM($AM$6:$AM234)</f>
        <v/>
      </c>
      <c r="AO234">
        <f>IFERROR(INDEX($F$6:$F$565,MATCH(ROW()-5,$AN$6:$AN$565,0)),"")</f>
        <v/>
      </c>
      <c r="AP234">
        <f>IF(AND($F234&lt;&gt;"",$I234&lt;&gt;""),IF($G234="وام و تسهیلات",1,0),0)</f>
        <v/>
      </c>
      <c r="AQ234">
        <f>SUM($AP$6:$AP234)</f>
        <v/>
      </c>
      <c r="AR234">
        <f>IFERROR(INDEX($F$6:$F$565,MATCH(ROW()-5,$AQ$6:$AQ$565,0)),"")</f>
        <v/>
      </c>
      <c r="AS234">
        <f>IF(AND($F234&lt;&gt;"",$I234&lt;&gt;""),IF($G234="سرمایه و آورده صاحبان",1,0),0)</f>
        <v/>
      </c>
      <c r="AT234">
        <f>SUM($AS$6:$AS234)</f>
        <v/>
      </c>
      <c r="AU234">
        <f>IFERROR(INDEX($F$6:$F$565,MATCH(ROW()-5,$AT$6:$AT$565,0)),"")</f>
        <v/>
      </c>
      <c r="AW234">
        <f>IF([3]Issues!$C$237="","",[3]Issues!$C$237)</f>
        <v/>
      </c>
      <c r="AX234">
        <f>IF([4]Entry!$E$237="","",[4]Entry!$E$237)</f>
        <v/>
      </c>
      <c r="AY234">
        <f>IF([4]Entry!$H$237="","",[4]Entry!$H$237)</f>
        <v/>
      </c>
      <c r="AZ234">
        <f>IF([4]Entry!$I$237="","",[4]Entry!$I$237)</f>
        <v/>
      </c>
    </row>
    <row r="235">
      <c r="F235">
        <f>IF([1]Accounts!$D$236="","",[1]Accounts!$A$236)</f>
        <v/>
      </c>
      <c r="G235">
        <f>IF([1]Accounts!$D$236="","",[1]Accounts!$B$236)</f>
        <v/>
      </c>
      <c r="H235">
        <f>IF([1]Accounts!$D$236="","",[1]Accounts!$C$236)</f>
        <v/>
      </c>
      <c r="I235">
        <f>IF([1]Accounts!$D$236="","",[1]Accounts!$D$236)</f>
        <v/>
      </c>
      <c r="R235">
        <f>IF(AND($F235&lt;&gt;"",$I235&lt;&gt;""),IF(OR($G235="دارایی ثابت",$G235="وام و تسهیلات",$G235="سرمایه و آورده صاحبان"),0,1),0)</f>
        <v/>
      </c>
      <c r="S235">
        <f>SUM($R$6:$R235)</f>
        <v/>
      </c>
      <c r="T235">
        <f>IFERROR(INDEX($F$6:$F$565,MATCH(ROW()-5,$S$6:$S$565,0)),"")</f>
        <v/>
      </c>
      <c r="Z235">
        <f>IF([2]Entry!$E$238="","",[2]Entry!$E$238)</f>
        <v/>
      </c>
      <c r="AA235">
        <f>IF([2]Entry!$G$238="","",[2]Entry!$G$238)</f>
        <v/>
      </c>
      <c r="AB235">
        <f>IF([2]Entry!$J$238="","",[2]Entry!$J$238)</f>
        <v/>
      </c>
      <c r="AC235">
        <f>IF([2]Entry!$K$238="","",[2]Entry!$K$238)</f>
        <v/>
      </c>
      <c r="AD235">
        <f>IF([2]Entry!$L$238="","",[2]Entry!$L$238)</f>
        <v/>
      </c>
      <c r="AE235">
        <f>IF([2]Entry!$M$238="","",[2]Entry!$M$238)</f>
        <v/>
      </c>
      <c r="AF235">
        <f>IF([2]Entry!$N$238="","",[2]Entry!$N$238)</f>
        <v/>
      </c>
      <c r="AG235">
        <f>IF([3]Issues!$B$238="","",[3]Issues!$B$238)</f>
        <v/>
      </c>
      <c r="AH235">
        <f>IF([3]Issues!$D$238="","",[3]Issues!$D$238)</f>
        <v/>
      </c>
      <c r="AI235">
        <f>IF([3]Issues!$E$238="","",[3]Issues!$E$238)</f>
        <v/>
      </c>
      <c r="AJ235">
        <f>IF([2]Entry!$S$238="","",[2]Entry!$S$238)</f>
        <v/>
      </c>
      <c r="AK235">
        <f>IF([2]Entry!$C$238="","",[2]Entry!$C$238)</f>
        <v/>
      </c>
      <c r="AL235">
        <f>IF([2]Entry!$D$238="","",[2]Entry!$D$238)</f>
        <v/>
      </c>
      <c r="AM235">
        <f>IF(AND($F235&lt;&gt;"",$I235&lt;&gt;""),IF($G235="دارایی ثابت",1,0),0)</f>
        <v/>
      </c>
      <c r="AN235">
        <f>SUM($AM$6:$AM235)</f>
        <v/>
      </c>
      <c r="AO235">
        <f>IFERROR(INDEX($F$6:$F$565,MATCH(ROW()-5,$AN$6:$AN$565,0)),"")</f>
        <v/>
      </c>
      <c r="AP235">
        <f>IF(AND($F235&lt;&gt;"",$I235&lt;&gt;""),IF($G235="وام و تسهیلات",1,0),0)</f>
        <v/>
      </c>
      <c r="AQ235">
        <f>SUM($AP$6:$AP235)</f>
        <v/>
      </c>
      <c r="AR235">
        <f>IFERROR(INDEX($F$6:$F$565,MATCH(ROW()-5,$AQ$6:$AQ$565,0)),"")</f>
        <v/>
      </c>
      <c r="AS235">
        <f>IF(AND($F235&lt;&gt;"",$I235&lt;&gt;""),IF($G235="سرمایه و آورده صاحبان",1,0),0)</f>
        <v/>
      </c>
      <c r="AT235">
        <f>SUM($AS$6:$AS235)</f>
        <v/>
      </c>
      <c r="AU235">
        <f>IFERROR(INDEX($F$6:$F$565,MATCH(ROW()-5,$AT$6:$AT$565,0)),"")</f>
        <v/>
      </c>
      <c r="AW235">
        <f>IF([3]Issues!$C$238="","",[3]Issues!$C$238)</f>
        <v/>
      </c>
      <c r="AX235">
        <f>IF([4]Entry!$E$238="","",[4]Entry!$E$238)</f>
        <v/>
      </c>
      <c r="AY235">
        <f>IF([4]Entry!$H$238="","",[4]Entry!$H$238)</f>
        <v/>
      </c>
      <c r="AZ235">
        <f>IF([4]Entry!$I$238="","",[4]Entry!$I$238)</f>
        <v/>
      </c>
    </row>
    <row r="236">
      <c r="F236">
        <f>IF([1]Accounts!$D$237="","",[1]Accounts!$A$237)</f>
        <v/>
      </c>
      <c r="G236">
        <f>IF([1]Accounts!$D$237="","",[1]Accounts!$B$237)</f>
        <v/>
      </c>
      <c r="H236">
        <f>IF([1]Accounts!$D$237="","",[1]Accounts!$C$237)</f>
        <v/>
      </c>
      <c r="I236">
        <f>IF([1]Accounts!$D$237="","",[1]Accounts!$D$237)</f>
        <v/>
      </c>
      <c r="R236">
        <f>IF(AND($F236&lt;&gt;"",$I236&lt;&gt;""),IF(OR($G236="دارایی ثابت",$G236="وام و تسهیلات",$G236="سرمایه و آورده صاحبان"),0,1),0)</f>
        <v/>
      </c>
      <c r="S236">
        <f>SUM($R$6:$R236)</f>
        <v/>
      </c>
      <c r="T236">
        <f>IFERROR(INDEX($F$6:$F$565,MATCH(ROW()-5,$S$6:$S$565,0)),"")</f>
        <v/>
      </c>
      <c r="Z236">
        <f>IF([2]Entry!$E$239="","",[2]Entry!$E$239)</f>
        <v/>
      </c>
      <c r="AA236">
        <f>IF([2]Entry!$G$239="","",[2]Entry!$G$239)</f>
        <v/>
      </c>
      <c r="AB236">
        <f>IF([2]Entry!$J$239="","",[2]Entry!$J$239)</f>
        <v/>
      </c>
      <c r="AC236">
        <f>IF([2]Entry!$K$239="","",[2]Entry!$K$239)</f>
        <v/>
      </c>
      <c r="AD236">
        <f>IF([2]Entry!$L$239="","",[2]Entry!$L$239)</f>
        <v/>
      </c>
      <c r="AE236">
        <f>IF([2]Entry!$M$239="","",[2]Entry!$M$239)</f>
        <v/>
      </c>
      <c r="AF236">
        <f>IF([2]Entry!$N$239="","",[2]Entry!$N$239)</f>
        <v/>
      </c>
      <c r="AG236">
        <f>IF([3]Issues!$B$239="","",[3]Issues!$B$239)</f>
        <v/>
      </c>
      <c r="AH236">
        <f>IF([3]Issues!$D$239="","",[3]Issues!$D$239)</f>
        <v/>
      </c>
      <c r="AI236">
        <f>IF([3]Issues!$E$239="","",[3]Issues!$E$239)</f>
        <v/>
      </c>
      <c r="AJ236">
        <f>IF([2]Entry!$S$239="","",[2]Entry!$S$239)</f>
        <v/>
      </c>
      <c r="AK236">
        <f>IF([2]Entry!$C$239="","",[2]Entry!$C$239)</f>
        <v/>
      </c>
      <c r="AL236">
        <f>IF([2]Entry!$D$239="","",[2]Entry!$D$239)</f>
        <v/>
      </c>
      <c r="AM236">
        <f>IF(AND($F236&lt;&gt;"",$I236&lt;&gt;""),IF($G236="دارایی ثابت",1,0),0)</f>
        <v/>
      </c>
      <c r="AN236">
        <f>SUM($AM$6:$AM236)</f>
        <v/>
      </c>
      <c r="AO236">
        <f>IFERROR(INDEX($F$6:$F$565,MATCH(ROW()-5,$AN$6:$AN$565,0)),"")</f>
        <v/>
      </c>
      <c r="AP236">
        <f>IF(AND($F236&lt;&gt;"",$I236&lt;&gt;""),IF($G236="وام و تسهیلات",1,0),0)</f>
        <v/>
      </c>
      <c r="AQ236">
        <f>SUM($AP$6:$AP236)</f>
        <v/>
      </c>
      <c r="AR236">
        <f>IFERROR(INDEX($F$6:$F$565,MATCH(ROW()-5,$AQ$6:$AQ$565,0)),"")</f>
        <v/>
      </c>
      <c r="AS236">
        <f>IF(AND($F236&lt;&gt;"",$I236&lt;&gt;""),IF($G236="سرمایه و آورده صاحبان",1,0),0)</f>
        <v/>
      </c>
      <c r="AT236">
        <f>SUM($AS$6:$AS236)</f>
        <v/>
      </c>
      <c r="AU236">
        <f>IFERROR(INDEX($F$6:$F$565,MATCH(ROW()-5,$AT$6:$AT$565,0)),"")</f>
        <v/>
      </c>
      <c r="AW236">
        <f>IF([3]Issues!$C$239="","",[3]Issues!$C$239)</f>
        <v/>
      </c>
      <c r="AX236">
        <f>IF([4]Entry!$E$239="","",[4]Entry!$E$239)</f>
        <v/>
      </c>
      <c r="AY236">
        <f>IF([4]Entry!$H$239="","",[4]Entry!$H$239)</f>
        <v/>
      </c>
      <c r="AZ236">
        <f>IF([4]Entry!$I$239="","",[4]Entry!$I$239)</f>
        <v/>
      </c>
    </row>
    <row r="237">
      <c r="F237">
        <f>IF([1]Accounts!$D$238="","",[1]Accounts!$A$238)</f>
        <v/>
      </c>
      <c r="G237">
        <f>IF([1]Accounts!$D$238="","",[1]Accounts!$B$238)</f>
        <v/>
      </c>
      <c r="H237">
        <f>IF([1]Accounts!$D$238="","",[1]Accounts!$C$238)</f>
        <v/>
      </c>
      <c r="I237">
        <f>IF([1]Accounts!$D$238="","",[1]Accounts!$D$238)</f>
        <v/>
      </c>
      <c r="R237">
        <f>IF(AND($F237&lt;&gt;"",$I237&lt;&gt;""),IF(OR($G237="دارایی ثابت",$G237="وام و تسهیلات",$G237="سرمایه و آورده صاحبان"),0,1),0)</f>
        <v/>
      </c>
      <c r="S237">
        <f>SUM($R$6:$R237)</f>
        <v/>
      </c>
      <c r="T237">
        <f>IFERROR(INDEX($F$6:$F$565,MATCH(ROW()-5,$S$6:$S$565,0)),"")</f>
        <v/>
      </c>
      <c r="Z237">
        <f>IF([2]Entry!$E$240="","",[2]Entry!$E$240)</f>
        <v/>
      </c>
      <c r="AA237">
        <f>IF([2]Entry!$G$240="","",[2]Entry!$G$240)</f>
        <v/>
      </c>
      <c r="AB237">
        <f>IF([2]Entry!$J$240="","",[2]Entry!$J$240)</f>
        <v/>
      </c>
      <c r="AC237">
        <f>IF([2]Entry!$K$240="","",[2]Entry!$K$240)</f>
        <v/>
      </c>
      <c r="AD237">
        <f>IF([2]Entry!$L$240="","",[2]Entry!$L$240)</f>
        <v/>
      </c>
      <c r="AE237">
        <f>IF([2]Entry!$M$240="","",[2]Entry!$M$240)</f>
        <v/>
      </c>
      <c r="AF237">
        <f>IF([2]Entry!$N$240="","",[2]Entry!$N$240)</f>
        <v/>
      </c>
      <c r="AG237">
        <f>IF([3]Issues!$B$240="","",[3]Issues!$B$240)</f>
        <v/>
      </c>
      <c r="AH237">
        <f>IF([3]Issues!$D$240="","",[3]Issues!$D$240)</f>
        <v/>
      </c>
      <c r="AI237">
        <f>IF([3]Issues!$E$240="","",[3]Issues!$E$240)</f>
        <v/>
      </c>
      <c r="AJ237">
        <f>IF([2]Entry!$S$240="","",[2]Entry!$S$240)</f>
        <v/>
      </c>
      <c r="AK237">
        <f>IF([2]Entry!$C$240="","",[2]Entry!$C$240)</f>
        <v/>
      </c>
      <c r="AL237">
        <f>IF([2]Entry!$D$240="","",[2]Entry!$D$240)</f>
        <v/>
      </c>
      <c r="AM237">
        <f>IF(AND($F237&lt;&gt;"",$I237&lt;&gt;""),IF($G237="دارایی ثابت",1,0),0)</f>
        <v/>
      </c>
      <c r="AN237">
        <f>SUM($AM$6:$AM237)</f>
        <v/>
      </c>
      <c r="AO237">
        <f>IFERROR(INDEX($F$6:$F$565,MATCH(ROW()-5,$AN$6:$AN$565,0)),"")</f>
        <v/>
      </c>
      <c r="AP237">
        <f>IF(AND($F237&lt;&gt;"",$I237&lt;&gt;""),IF($G237="وام و تسهیلات",1,0),0)</f>
        <v/>
      </c>
      <c r="AQ237">
        <f>SUM($AP$6:$AP237)</f>
        <v/>
      </c>
      <c r="AR237">
        <f>IFERROR(INDEX($F$6:$F$565,MATCH(ROW()-5,$AQ$6:$AQ$565,0)),"")</f>
        <v/>
      </c>
      <c r="AS237">
        <f>IF(AND($F237&lt;&gt;"",$I237&lt;&gt;""),IF($G237="سرمایه و آورده صاحبان",1,0),0)</f>
        <v/>
      </c>
      <c r="AT237">
        <f>SUM($AS$6:$AS237)</f>
        <v/>
      </c>
      <c r="AU237">
        <f>IFERROR(INDEX($F$6:$F$565,MATCH(ROW()-5,$AT$6:$AT$565,0)),"")</f>
        <v/>
      </c>
      <c r="AW237">
        <f>IF([3]Issues!$C$240="","",[3]Issues!$C$240)</f>
        <v/>
      </c>
      <c r="AX237">
        <f>IF([4]Entry!$E$240="","",[4]Entry!$E$240)</f>
        <v/>
      </c>
      <c r="AY237">
        <f>IF([4]Entry!$H$240="","",[4]Entry!$H$240)</f>
        <v/>
      </c>
      <c r="AZ237">
        <f>IF([4]Entry!$I$240="","",[4]Entry!$I$240)</f>
        <v/>
      </c>
    </row>
    <row r="238">
      <c r="F238">
        <f>IF([1]Accounts!$D$239="","",[1]Accounts!$A$239)</f>
        <v/>
      </c>
      <c r="G238">
        <f>IF([1]Accounts!$D$239="","",[1]Accounts!$B$239)</f>
        <v/>
      </c>
      <c r="H238">
        <f>IF([1]Accounts!$D$239="","",[1]Accounts!$C$239)</f>
        <v/>
      </c>
      <c r="I238">
        <f>IF([1]Accounts!$D$239="","",[1]Accounts!$D$239)</f>
        <v/>
      </c>
      <c r="R238">
        <f>IF(AND($F238&lt;&gt;"",$I238&lt;&gt;""),IF(OR($G238="دارایی ثابت",$G238="وام و تسهیلات",$G238="سرمایه و آورده صاحبان"),0,1),0)</f>
        <v/>
      </c>
      <c r="S238">
        <f>SUM($R$6:$R238)</f>
        <v/>
      </c>
      <c r="T238">
        <f>IFERROR(INDEX($F$6:$F$565,MATCH(ROW()-5,$S$6:$S$565,0)),"")</f>
        <v/>
      </c>
      <c r="Z238">
        <f>IF([2]Entry!$E$241="","",[2]Entry!$E$241)</f>
        <v/>
      </c>
      <c r="AA238">
        <f>IF([2]Entry!$G$241="","",[2]Entry!$G$241)</f>
        <v/>
      </c>
      <c r="AB238">
        <f>IF([2]Entry!$J$241="","",[2]Entry!$J$241)</f>
        <v/>
      </c>
      <c r="AC238">
        <f>IF([2]Entry!$K$241="","",[2]Entry!$K$241)</f>
        <v/>
      </c>
      <c r="AD238">
        <f>IF([2]Entry!$L$241="","",[2]Entry!$L$241)</f>
        <v/>
      </c>
      <c r="AE238">
        <f>IF([2]Entry!$M$241="","",[2]Entry!$M$241)</f>
        <v/>
      </c>
      <c r="AF238">
        <f>IF([2]Entry!$N$241="","",[2]Entry!$N$241)</f>
        <v/>
      </c>
      <c r="AG238">
        <f>IF([3]Issues!$B$241="","",[3]Issues!$B$241)</f>
        <v/>
      </c>
      <c r="AH238">
        <f>IF([3]Issues!$D$241="","",[3]Issues!$D$241)</f>
        <v/>
      </c>
      <c r="AI238">
        <f>IF([3]Issues!$E$241="","",[3]Issues!$E$241)</f>
        <v/>
      </c>
      <c r="AJ238">
        <f>IF([2]Entry!$S$241="","",[2]Entry!$S$241)</f>
        <v/>
      </c>
      <c r="AK238">
        <f>IF([2]Entry!$C$241="","",[2]Entry!$C$241)</f>
        <v/>
      </c>
      <c r="AL238">
        <f>IF([2]Entry!$D$241="","",[2]Entry!$D$241)</f>
        <v/>
      </c>
      <c r="AM238">
        <f>IF(AND($F238&lt;&gt;"",$I238&lt;&gt;""),IF($G238="دارایی ثابت",1,0),0)</f>
        <v/>
      </c>
      <c r="AN238">
        <f>SUM($AM$6:$AM238)</f>
        <v/>
      </c>
      <c r="AO238">
        <f>IFERROR(INDEX($F$6:$F$565,MATCH(ROW()-5,$AN$6:$AN$565,0)),"")</f>
        <v/>
      </c>
      <c r="AP238">
        <f>IF(AND($F238&lt;&gt;"",$I238&lt;&gt;""),IF($G238="وام و تسهیلات",1,0),0)</f>
        <v/>
      </c>
      <c r="AQ238">
        <f>SUM($AP$6:$AP238)</f>
        <v/>
      </c>
      <c r="AR238">
        <f>IFERROR(INDEX($F$6:$F$565,MATCH(ROW()-5,$AQ$6:$AQ$565,0)),"")</f>
        <v/>
      </c>
      <c r="AS238">
        <f>IF(AND($F238&lt;&gt;"",$I238&lt;&gt;""),IF($G238="سرمایه و آورده صاحبان",1,0),0)</f>
        <v/>
      </c>
      <c r="AT238">
        <f>SUM($AS$6:$AS238)</f>
        <v/>
      </c>
      <c r="AU238">
        <f>IFERROR(INDEX($F$6:$F$565,MATCH(ROW()-5,$AT$6:$AT$565,0)),"")</f>
        <v/>
      </c>
      <c r="AW238">
        <f>IF([3]Issues!$C$241="","",[3]Issues!$C$241)</f>
        <v/>
      </c>
      <c r="AX238">
        <f>IF([4]Entry!$E$241="","",[4]Entry!$E$241)</f>
        <v/>
      </c>
      <c r="AY238">
        <f>IF([4]Entry!$H$241="","",[4]Entry!$H$241)</f>
        <v/>
      </c>
      <c r="AZ238">
        <f>IF([4]Entry!$I$241="","",[4]Entry!$I$241)</f>
        <v/>
      </c>
    </row>
    <row r="239">
      <c r="F239">
        <f>IF([1]Accounts!$D$240="","",[1]Accounts!$A$240)</f>
        <v/>
      </c>
      <c r="G239">
        <f>IF([1]Accounts!$D$240="","",[1]Accounts!$B$240)</f>
        <v/>
      </c>
      <c r="H239">
        <f>IF([1]Accounts!$D$240="","",[1]Accounts!$C$240)</f>
        <v/>
      </c>
      <c r="I239">
        <f>IF([1]Accounts!$D$240="","",[1]Accounts!$D$240)</f>
        <v/>
      </c>
      <c r="R239">
        <f>IF(AND($F239&lt;&gt;"",$I239&lt;&gt;""),IF(OR($G239="دارایی ثابت",$G239="وام و تسهیلات",$G239="سرمایه و آورده صاحبان"),0,1),0)</f>
        <v/>
      </c>
      <c r="S239">
        <f>SUM($R$6:$R239)</f>
        <v/>
      </c>
      <c r="T239">
        <f>IFERROR(INDEX($F$6:$F$565,MATCH(ROW()-5,$S$6:$S$565,0)),"")</f>
        <v/>
      </c>
      <c r="Z239">
        <f>IF([2]Entry!$E$242="","",[2]Entry!$E$242)</f>
        <v/>
      </c>
      <c r="AA239">
        <f>IF([2]Entry!$G$242="","",[2]Entry!$G$242)</f>
        <v/>
      </c>
      <c r="AB239">
        <f>IF([2]Entry!$J$242="","",[2]Entry!$J$242)</f>
        <v/>
      </c>
      <c r="AC239">
        <f>IF([2]Entry!$K$242="","",[2]Entry!$K$242)</f>
        <v/>
      </c>
      <c r="AD239">
        <f>IF([2]Entry!$L$242="","",[2]Entry!$L$242)</f>
        <v/>
      </c>
      <c r="AE239">
        <f>IF([2]Entry!$M$242="","",[2]Entry!$M$242)</f>
        <v/>
      </c>
      <c r="AF239">
        <f>IF([2]Entry!$N$242="","",[2]Entry!$N$242)</f>
        <v/>
      </c>
      <c r="AG239">
        <f>IF([3]Issues!$B$242="","",[3]Issues!$B$242)</f>
        <v/>
      </c>
      <c r="AH239">
        <f>IF([3]Issues!$D$242="","",[3]Issues!$D$242)</f>
        <v/>
      </c>
      <c r="AI239">
        <f>IF([3]Issues!$E$242="","",[3]Issues!$E$242)</f>
        <v/>
      </c>
      <c r="AJ239">
        <f>IF([2]Entry!$S$242="","",[2]Entry!$S$242)</f>
        <v/>
      </c>
      <c r="AK239">
        <f>IF([2]Entry!$C$242="","",[2]Entry!$C$242)</f>
        <v/>
      </c>
      <c r="AL239">
        <f>IF([2]Entry!$D$242="","",[2]Entry!$D$242)</f>
        <v/>
      </c>
      <c r="AM239">
        <f>IF(AND($F239&lt;&gt;"",$I239&lt;&gt;""),IF($G239="دارایی ثابت",1,0),0)</f>
        <v/>
      </c>
      <c r="AN239">
        <f>SUM($AM$6:$AM239)</f>
        <v/>
      </c>
      <c r="AO239">
        <f>IFERROR(INDEX($F$6:$F$565,MATCH(ROW()-5,$AN$6:$AN$565,0)),"")</f>
        <v/>
      </c>
      <c r="AP239">
        <f>IF(AND($F239&lt;&gt;"",$I239&lt;&gt;""),IF($G239="وام و تسهیلات",1,0),0)</f>
        <v/>
      </c>
      <c r="AQ239">
        <f>SUM($AP$6:$AP239)</f>
        <v/>
      </c>
      <c r="AR239">
        <f>IFERROR(INDEX($F$6:$F$565,MATCH(ROW()-5,$AQ$6:$AQ$565,0)),"")</f>
        <v/>
      </c>
      <c r="AS239">
        <f>IF(AND($F239&lt;&gt;"",$I239&lt;&gt;""),IF($G239="سرمایه و آورده صاحبان",1,0),0)</f>
        <v/>
      </c>
      <c r="AT239">
        <f>SUM($AS$6:$AS239)</f>
        <v/>
      </c>
      <c r="AU239">
        <f>IFERROR(INDEX($F$6:$F$565,MATCH(ROW()-5,$AT$6:$AT$565,0)),"")</f>
        <v/>
      </c>
      <c r="AW239">
        <f>IF([3]Issues!$C$242="","",[3]Issues!$C$242)</f>
        <v/>
      </c>
      <c r="AX239">
        <f>IF([4]Entry!$E$242="","",[4]Entry!$E$242)</f>
        <v/>
      </c>
      <c r="AY239">
        <f>IF([4]Entry!$H$242="","",[4]Entry!$H$242)</f>
        <v/>
      </c>
      <c r="AZ239">
        <f>IF([4]Entry!$I$242="","",[4]Entry!$I$242)</f>
        <v/>
      </c>
    </row>
    <row r="240">
      <c r="F240">
        <f>IF([1]Accounts!$D$241="","",[1]Accounts!$A$241)</f>
        <v/>
      </c>
      <c r="G240">
        <f>IF([1]Accounts!$D$241="","",[1]Accounts!$B$241)</f>
        <v/>
      </c>
      <c r="H240">
        <f>IF([1]Accounts!$D$241="","",[1]Accounts!$C$241)</f>
        <v/>
      </c>
      <c r="I240">
        <f>IF([1]Accounts!$D$241="","",[1]Accounts!$D$241)</f>
        <v/>
      </c>
      <c r="R240">
        <f>IF(AND($F240&lt;&gt;"",$I240&lt;&gt;""),IF(OR($G240="دارایی ثابت",$G240="وام و تسهیلات",$G240="سرمایه و آورده صاحبان"),0,1),0)</f>
        <v/>
      </c>
      <c r="S240">
        <f>SUM($R$6:$R240)</f>
        <v/>
      </c>
      <c r="T240">
        <f>IFERROR(INDEX($F$6:$F$565,MATCH(ROW()-5,$S$6:$S$565,0)),"")</f>
        <v/>
      </c>
      <c r="Z240">
        <f>IF([2]Entry!$E$243="","",[2]Entry!$E$243)</f>
        <v/>
      </c>
      <c r="AA240">
        <f>IF([2]Entry!$G$243="","",[2]Entry!$G$243)</f>
        <v/>
      </c>
      <c r="AB240">
        <f>IF([2]Entry!$J$243="","",[2]Entry!$J$243)</f>
        <v/>
      </c>
      <c r="AC240">
        <f>IF([2]Entry!$K$243="","",[2]Entry!$K$243)</f>
        <v/>
      </c>
      <c r="AD240">
        <f>IF([2]Entry!$L$243="","",[2]Entry!$L$243)</f>
        <v/>
      </c>
      <c r="AE240">
        <f>IF([2]Entry!$M$243="","",[2]Entry!$M$243)</f>
        <v/>
      </c>
      <c r="AF240">
        <f>IF([2]Entry!$N$243="","",[2]Entry!$N$243)</f>
        <v/>
      </c>
      <c r="AG240">
        <f>IF([3]Issues!$B$243="","",[3]Issues!$B$243)</f>
        <v/>
      </c>
      <c r="AH240">
        <f>IF([3]Issues!$D$243="","",[3]Issues!$D$243)</f>
        <v/>
      </c>
      <c r="AI240">
        <f>IF([3]Issues!$E$243="","",[3]Issues!$E$243)</f>
        <v/>
      </c>
      <c r="AJ240">
        <f>IF([2]Entry!$S$243="","",[2]Entry!$S$243)</f>
        <v/>
      </c>
      <c r="AK240">
        <f>IF([2]Entry!$C$243="","",[2]Entry!$C$243)</f>
        <v/>
      </c>
      <c r="AL240">
        <f>IF([2]Entry!$D$243="","",[2]Entry!$D$243)</f>
        <v/>
      </c>
      <c r="AM240">
        <f>IF(AND($F240&lt;&gt;"",$I240&lt;&gt;""),IF($G240="دارایی ثابت",1,0),0)</f>
        <v/>
      </c>
      <c r="AN240">
        <f>SUM($AM$6:$AM240)</f>
        <v/>
      </c>
      <c r="AO240">
        <f>IFERROR(INDEX($F$6:$F$565,MATCH(ROW()-5,$AN$6:$AN$565,0)),"")</f>
        <v/>
      </c>
      <c r="AP240">
        <f>IF(AND($F240&lt;&gt;"",$I240&lt;&gt;""),IF($G240="وام و تسهیلات",1,0),0)</f>
        <v/>
      </c>
      <c r="AQ240">
        <f>SUM($AP$6:$AP240)</f>
        <v/>
      </c>
      <c r="AR240">
        <f>IFERROR(INDEX($F$6:$F$565,MATCH(ROW()-5,$AQ$6:$AQ$565,0)),"")</f>
        <v/>
      </c>
      <c r="AS240">
        <f>IF(AND($F240&lt;&gt;"",$I240&lt;&gt;""),IF($G240="سرمایه و آورده صاحبان",1,0),0)</f>
        <v/>
      </c>
      <c r="AT240">
        <f>SUM($AS$6:$AS240)</f>
        <v/>
      </c>
      <c r="AU240">
        <f>IFERROR(INDEX($F$6:$F$565,MATCH(ROW()-5,$AT$6:$AT$565,0)),"")</f>
        <v/>
      </c>
      <c r="AW240">
        <f>IF([3]Issues!$C$243="","",[3]Issues!$C$243)</f>
        <v/>
      </c>
      <c r="AX240">
        <f>IF([4]Entry!$E$243="","",[4]Entry!$E$243)</f>
        <v/>
      </c>
      <c r="AY240">
        <f>IF([4]Entry!$H$243="","",[4]Entry!$H$243)</f>
        <v/>
      </c>
      <c r="AZ240">
        <f>IF([4]Entry!$I$243="","",[4]Entry!$I$243)</f>
        <v/>
      </c>
    </row>
    <row r="241">
      <c r="F241">
        <f>IF([1]Accounts!$D$242="","",[1]Accounts!$A$242)</f>
        <v/>
      </c>
      <c r="G241">
        <f>IF([1]Accounts!$D$242="","",[1]Accounts!$B$242)</f>
        <v/>
      </c>
      <c r="H241">
        <f>IF([1]Accounts!$D$242="","",[1]Accounts!$C$242)</f>
        <v/>
      </c>
      <c r="I241">
        <f>IF([1]Accounts!$D$242="","",[1]Accounts!$D$242)</f>
        <v/>
      </c>
      <c r="R241">
        <f>IF(AND($F241&lt;&gt;"",$I241&lt;&gt;""),IF(OR($G241="دارایی ثابت",$G241="وام و تسهیلات",$G241="سرمایه و آورده صاحبان"),0,1),0)</f>
        <v/>
      </c>
      <c r="S241">
        <f>SUM($R$6:$R241)</f>
        <v/>
      </c>
      <c r="T241">
        <f>IFERROR(INDEX($F$6:$F$565,MATCH(ROW()-5,$S$6:$S$565,0)),"")</f>
        <v/>
      </c>
      <c r="Z241">
        <f>IF([2]Entry!$E$244="","",[2]Entry!$E$244)</f>
        <v/>
      </c>
      <c r="AA241">
        <f>IF([2]Entry!$G$244="","",[2]Entry!$G$244)</f>
        <v/>
      </c>
      <c r="AB241">
        <f>IF([2]Entry!$J$244="","",[2]Entry!$J$244)</f>
        <v/>
      </c>
      <c r="AC241">
        <f>IF([2]Entry!$K$244="","",[2]Entry!$K$244)</f>
        <v/>
      </c>
      <c r="AD241">
        <f>IF([2]Entry!$L$244="","",[2]Entry!$L$244)</f>
        <v/>
      </c>
      <c r="AE241">
        <f>IF([2]Entry!$M$244="","",[2]Entry!$M$244)</f>
        <v/>
      </c>
      <c r="AF241">
        <f>IF([2]Entry!$N$244="","",[2]Entry!$N$244)</f>
        <v/>
      </c>
      <c r="AG241">
        <f>IF([3]Issues!$B$244="","",[3]Issues!$B$244)</f>
        <v/>
      </c>
      <c r="AH241">
        <f>IF([3]Issues!$D$244="","",[3]Issues!$D$244)</f>
        <v/>
      </c>
      <c r="AI241">
        <f>IF([3]Issues!$E$244="","",[3]Issues!$E$244)</f>
        <v/>
      </c>
      <c r="AJ241">
        <f>IF([2]Entry!$S$244="","",[2]Entry!$S$244)</f>
        <v/>
      </c>
      <c r="AK241">
        <f>IF([2]Entry!$C$244="","",[2]Entry!$C$244)</f>
        <v/>
      </c>
      <c r="AL241">
        <f>IF([2]Entry!$D$244="","",[2]Entry!$D$244)</f>
        <v/>
      </c>
      <c r="AM241">
        <f>IF(AND($F241&lt;&gt;"",$I241&lt;&gt;""),IF($G241="دارایی ثابت",1,0),0)</f>
        <v/>
      </c>
      <c r="AN241">
        <f>SUM($AM$6:$AM241)</f>
        <v/>
      </c>
      <c r="AO241">
        <f>IFERROR(INDEX($F$6:$F$565,MATCH(ROW()-5,$AN$6:$AN$565,0)),"")</f>
        <v/>
      </c>
      <c r="AP241">
        <f>IF(AND($F241&lt;&gt;"",$I241&lt;&gt;""),IF($G241="وام و تسهیلات",1,0),0)</f>
        <v/>
      </c>
      <c r="AQ241">
        <f>SUM($AP$6:$AP241)</f>
        <v/>
      </c>
      <c r="AR241">
        <f>IFERROR(INDEX($F$6:$F$565,MATCH(ROW()-5,$AQ$6:$AQ$565,0)),"")</f>
        <v/>
      </c>
      <c r="AS241">
        <f>IF(AND($F241&lt;&gt;"",$I241&lt;&gt;""),IF($G241="سرمایه و آورده صاحبان",1,0),0)</f>
        <v/>
      </c>
      <c r="AT241">
        <f>SUM($AS$6:$AS241)</f>
        <v/>
      </c>
      <c r="AU241">
        <f>IFERROR(INDEX($F$6:$F$565,MATCH(ROW()-5,$AT$6:$AT$565,0)),"")</f>
        <v/>
      </c>
      <c r="AW241">
        <f>IF([3]Issues!$C$244="","",[3]Issues!$C$244)</f>
        <v/>
      </c>
      <c r="AX241">
        <f>IF([4]Entry!$E$244="","",[4]Entry!$E$244)</f>
        <v/>
      </c>
      <c r="AY241">
        <f>IF([4]Entry!$H$244="","",[4]Entry!$H$244)</f>
        <v/>
      </c>
      <c r="AZ241">
        <f>IF([4]Entry!$I$244="","",[4]Entry!$I$244)</f>
        <v/>
      </c>
    </row>
    <row r="242">
      <c r="F242">
        <f>IF([1]Accounts!$D$243="","",[1]Accounts!$A$243)</f>
        <v/>
      </c>
      <c r="G242">
        <f>IF([1]Accounts!$D$243="","",[1]Accounts!$B$243)</f>
        <v/>
      </c>
      <c r="H242">
        <f>IF([1]Accounts!$D$243="","",[1]Accounts!$C$243)</f>
        <v/>
      </c>
      <c r="I242">
        <f>IF([1]Accounts!$D$243="","",[1]Accounts!$D$243)</f>
        <v/>
      </c>
      <c r="R242">
        <f>IF(AND($F242&lt;&gt;"",$I242&lt;&gt;""),IF(OR($G242="دارایی ثابت",$G242="وام و تسهیلات",$G242="سرمایه و آورده صاحبان"),0,1),0)</f>
        <v/>
      </c>
      <c r="S242">
        <f>SUM($R$6:$R242)</f>
        <v/>
      </c>
      <c r="T242">
        <f>IFERROR(INDEX($F$6:$F$565,MATCH(ROW()-5,$S$6:$S$565,0)),"")</f>
        <v/>
      </c>
      <c r="Z242">
        <f>IF([2]Entry!$E$245="","",[2]Entry!$E$245)</f>
        <v/>
      </c>
      <c r="AA242">
        <f>IF([2]Entry!$G$245="","",[2]Entry!$G$245)</f>
        <v/>
      </c>
      <c r="AB242">
        <f>IF([2]Entry!$J$245="","",[2]Entry!$J$245)</f>
        <v/>
      </c>
      <c r="AC242">
        <f>IF([2]Entry!$K$245="","",[2]Entry!$K$245)</f>
        <v/>
      </c>
      <c r="AD242">
        <f>IF([2]Entry!$L$245="","",[2]Entry!$L$245)</f>
        <v/>
      </c>
      <c r="AE242">
        <f>IF([2]Entry!$M$245="","",[2]Entry!$M$245)</f>
        <v/>
      </c>
      <c r="AF242">
        <f>IF([2]Entry!$N$245="","",[2]Entry!$N$245)</f>
        <v/>
      </c>
      <c r="AG242">
        <f>IF([3]Issues!$B$245="","",[3]Issues!$B$245)</f>
        <v/>
      </c>
      <c r="AH242">
        <f>IF([3]Issues!$D$245="","",[3]Issues!$D$245)</f>
        <v/>
      </c>
      <c r="AI242">
        <f>IF([3]Issues!$E$245="","",[3]Issues!$E$245)</f>
        <v/>
      </c>
      <c r="AJ242">
        <f>IF([2]Entry!$S$245="","",[2]Entry!$S$245)</f>
        <v/>
      </c>
      <c r="AK242">
        <f>IF([2]Entry!$C$245="","",[2]Entry!$C$245)</f>
        <v/>
      </c>
      <c r="AL242">
        <f>IF([2]Entry!$D$245="","",[2]Entry!$D$245)</f>
        <v/>
      </c>
      <c r="AM242">
        <f>IF(AND($F242&lt;&gt;"",$I242&lt;&gt;""),IF($G242="دارایی ثابت",1,0),0)</f>
        <v/>
      </c>
      <c r="AN242">
        <f>SUM($AM$6:$AM242)</f>
        <v/>
      </c>
      <c r="AO242">
        <f>IFERROR(INDEX($F$6:$F$565,MATCH(ROW()-5,$AN$6:$AN$565,0)),"")</f>
        <v/>
      </c>
      <c r="AP242">
        <f>IF(AND($F242&lt;&gt;"",$I242&lt;&gt;""),IF($G242="وام و تسهیلات",1,0),0)</f>
        <v/>
      </c>
      <c r="AQ242">
        <f>SUM($AP$6:$AP242)</f>
        <v/>
      </c>
      <c r="AR242">
        <f>IFERROR(INDEX($F$6:$F$565,MATCH(ROW()-5,$AQ$6:$AQ$565,0)),"")</f>
        <v/>
      </c>
      <c r="AS242">
        <f>IF(AND($F242&lt;&gt;"",$I242&lt;&gt;""),IF($G242="سرمایه و آورده صاحبان",1,0),0)</f>
        <v/>
      </c>
      <c r="AT242">
        <f>SUM($AS$6:$AS242)</f>
        <v/>
      </c>
      <c r="AU242">
        <f>IFERROR(INDEX($F$6:$F$565,MATCH(ROW()-5,$AT$6:$AT$565,0)),"")</f>
        <v/>
      </c>
      <c r="AW242">
        <f>IF([3]Issues!$C$245="","",[3]Issues!$C$245)</f>
        <v/>
      </c>
      <c r="AX242">
        <f>IF([4]Entry!$E$245="","",[4]Entry!$E$245)</f>
        <v/>
      </c>
      <c r="AY242">
        <f>IF([4]Entry!$H$245="","",[4]Entry!$H$245)</f>
        <v/>
      </c>
      <c r="AZ242">
        <f>IF([4]Entry!$I$245="","",[4]Entry!$I$245)</f>
        <v/>
      </c>
    </row>
    <row r="243">
      <c r="F243">
        <f>IF([1]Accounts!$D$244="","",[1]Accounts!$A$244)</f>
        <v/>
      </c>
      <c r="G243">
        <f>IF([1]Accounts!$D$244="","",[1]Accounts!$B$244)</f>
        <v/>
      </c>
      <c r="H243">
        <f>IF([1]Accounts!$D$244="","",[1]Accounts!$C$244)</f>
        <v/>
      </c>
      <c r="I243">
        <f>IF([1]Accounts!$D$244="","",[1]Accounts!$D$244)</f>
        <v/>
      </c>
      <c r="R243">
        <f>IF(AND($F243&lt;&gt;"",$I243&lt;&gt;""),IF(OR($G243="دارایی ثابت",$G243="وام و تسهیلات",$G243="سرمایه و آورده صاحبان"),0,1),0)</f>
        <v/>
      </c>
      <c r="S243">
        <f>SUM($R$6:$R243)</f>
        <v/>
      </c>
      <c r="T243">
        <f>IFERROR(INDEX($F$6:$F$565,MATCH(ROW()-5,$S$6:$S$565,0)),"")</f>
        <v/>
      </c>
      <c r="Z243">
        <f>IF([2]Entry!$E$246="","",[2]Entry!$E$246)</f>
        <v/>
      </c>
      <c r="AA243">
        <f>IF([2]Entry!$G$246="","",[2]Entry!$G$246)</f>
        <v/>
      </c>
      <c r="AB243">
        <f>IF([2]Entry!$J$246="","",[2]Entry!$J$246)</f>
        <v/>
      </c>
      <c r="AC243">
        <f>IF([2]Entry!$K$246="","",[2]Entry!$K$246)</f>
        <v/>
      </c>
      <c r="AD243">
        <f>IF([2]Entry!$L$246="","",[2]Entry!$L$246)</f>
        <v/>
      </c>
      <c r="AE243">
        <f>IF([2]Entry!$M$246="","",[2]Entry!$M$246)</f>
        <v/>
      </c>
      <c r="AF243">
        <f>IF([2]Entry!$N$246="","",[2]Entry!$N$246)</f>
        <v/>
      </c>
      <c r="AG243">
        <f>IF([3]Issues!$B$246="","",[3]Issues!$B$246)</f>
        <v/>
      </c>
      <c r="AH243">
        <f>IF([3]Issues!$D$246="","",[3]Issues!$D$246)</f>
        <v/>
      </c>
      <c r="AI243">
        <f>IF([3]Issues!$E$246="","",[3]Issues!$E$246)</f>
        <v/>
      </c>
      <c r="AJ243">
        <f>IF([2]Entry!$S$246="","",[2]Entry!$S$246)</f>
        <v/>
      </c>
      <c r="AK243">
        <f>IF([2]Entry!$C$246="","",[2]Entry!$C$246)</f>
        <v/>
      </c>
      <c r="AL243">
        <f>IF([2]Entry!$D$246="","",[2]Entry!$D$246)</f>
        <v/>
      </c>
      <c r="AM243">
        <f>IF(AND($F243&lt;&gt;"",$I243&lt;&gt;""),IF($G243="دارایی ثابت",1,0),0)</f>
        <v/>
      </c>
      <c r="AN243">
        <f>SUM($AM$6:$AM243)</f>
        <v/>
      </c>
      <c r="AO243">
        <f>IFERROR(INDEX($F$6:$F$565,MATCH(ROW()-5,$AN$6:$AN$565,0)),"")</f>
        <v/>
      </c>
      <c r="AP243">
        <f>IF(AND($F243&lt;&gt;"",$I243&lt;&gt;""),IF($G243="وام و تسهیلات",1,0),0)</f>
        <v/>
      </c>
      <c r="AQ243">
        <f>SUM($AP$6:$AP243)</f>
        <v/>
      </c>
      <c r="AR243">
        <f>IFERROR(INDEX($F$6:$F$565,MATCH(ROW()-5,$AQ$6:$AQ$565,0)),"")</f>
        <v/>
      </c>
      <c r="AS243">
        <f>IF(AND($F243&lt;&gt;"",$I243&lt;&gt;""),IF($G243="سرمایه و آورده صاحبان",1,0),0)</f>
        <v/>
      </c>
      <c r="AT243">
        <f>SUM($AS$6:$AS243)</f>
        <v/>
      </c>
      <c r="AU243">
        <f>IFERROR(INDEX($F$6:$F$565,MATCH(ROW()-5,$AT$6:$AT$565,0)),"")</f>
        <v/>
      </c>
      <c r="AW243">
        <f>IF([3]Issues!$C$246="","",[3]Issues!$C$246)</f>
        <v/>
      </c>
      <c r="AX243">
        <f>IF([4]Entry!$E$246="","",[4]Entry!$E$246)</f>
        <v/>
      </c>
      <c r="AY243">
        <f>IF([4]Entry!$H$246="","",[4]Entry!$H$246)</f>
        <v/>
      </c>
      <c r="AZ243">
        <f>IF([4]Entry!$I$246="","",[4]Entry!$I$246)</f>
        <v/>
      </c>
    </row>
    <row r="244">
      <c r="F244">
        <f>IF([1]Accounts!$D$245="","",[1]Accounts!$A$245)</f>
        <v/>
      </c>
      <c r="G244">
        <f>IF([1]Accounts!$D$245="","",[1]Accounts!$B$245)</f>
        <v/>
      </c>
      <c r="H244">
        <f>IF([1]Accounts!$D$245="","",[1]Accounts!$C$245)</f>
        <v/>
      </c>
      <c r="I244">
        <f>IF([1]Accounts!$D$245="","",[1]Accounts!$D$245)</f>
        <v/>
      </c>
      <c r="R244">
        <f>IF(AND($F244&lt;&gt;"",$I244&lt;&gt;""),IF(OR($G244="دارایی ثابت",$G244="وام و تسهیلات",$G244="سرمایه و آورده صاحبان"),0,1),0)</f>
        <v/>
      </c>
      <c r="S244">
        <f>SUM($R$6:$R244)</f>
        <v/>
      </c>
      <c r="T244">
        <f>IFERROR(INDEX($F$6:$F$565,MATCH(ROW()-5,$S$6:$S$565,0)),"")</f>
        <v/>
      </c>
      <c r="Z244">
        <f>IF([2]Entry!$E$247="","",[2]Entry!$E$247)</f>
        <v/>
      </c>
      <c r="AA244">
        <f>IF([2]Entry!$G$247="","",[2]Entry!$G$247)</f>
        <v/>
      </c>
      <c r="AB244">
        <f>IF([2]Entry!$J$247="","",[2]Entry!$J$247)</f>
        <v/>
      </c>
      <c r="AC244">
        <f>IF([2]Entry!$K$247="","",[2]Entry!$K$247)</f>
        <v/>
      </c>
      <c r="AD244">
        <f>IF([2]Entry!$L$247="","",[2]Entry!$L$247)</f>
        <v/>
      </c>
      <c r="AE244">
        <f>IF([2]Entry!$M$247="","",[2]Entry!$M$247)</f>
        <v/>
      </c>
      <c r="AF244">
        <f>IF([2]Entry!$N$247="","",[2]Entry!$N$247)</f>
        <v/>
      </c>
      <c r="AG244">
        <f>IF([3]Issues!$B$247="","",[3]Issues!$B$247)</f>
        <v/>
      </c>
      <c r="AH244">
        <f>IF([3]Issues!$D$247="","",[3]Issues!$D$247)</f>
        <v/>
      </c>
      <c r="AI244">
        <f>IF([3]Issues!$E$247="","",[3]Issues!$E$247)</f>
        <v/>
      </c>
      <c r="AJ244">
        <f>IF([2]Entry!$S$247="","",[2]Entry!$S$247)</f>
        <v/>
      </c>
      <c r="AK244">
        <f>IF([2]Entry!$C$247="","",[2]Entry!$C$247)</f>
        <v/>
      </c>
      <c r="AL244">
        <f>IF([2]Entry!$D$247="","",[2]Entry!$D$247)</f>
        <v/>
      </c>
      <c r="AM244">
        <f>IF(AND($F244&lt;&gt;"",$I244&lt;&gt;""),IF($G244="دارایی ثابت",1,0),0)</f>
        <v/>
      </c>
      <c r="AN244">
        <f>SUM($AM$6:$AM244)</f>
        <v/>
      </c>
      <c r="AO244">
        <f>IFERROR(INDEX($F$6:$F$565,MATCH(ROW()-5,$AN$6:$AN$565,0)),"")</f>
        <v/>
      </c>
      <c r="AP244">
        <f>IF(AND($F244&lt;&gt;"",$I244&lt;&gt;""),IF($G244="وام و تسهیلات",1,0),0)</f>
        <v/>
      </c>
      <c r="AQ244">
        <f>SUM($AP$6:$AP244)</f>
        <v/>
      </c>
      <c r="AR244">
        <f>IFERROR(INDEX($F$6:$F$565,MATCH(ROW()-5,$AQ$6:$AQ$565,0)),"")</f>
        <v/>
      </c>
      <c r="AS244">
        <f>IF(AND($F244&lt;&gt;"",$I244&lt;&gt;""),IF($G244="سرمایه و آورده صاحبان",1,0),0)</f>
        <v/>
      </c>
      <c r="AT244">
        <f>SUM($AS$6:$AS244)</f>
        <v/>
      </c>
      <c r="AU244">
        <f>IFERROR(INDEX($F$6:$F$565,MATCH(ROW()-5,$AT$6:$AT$565,0)),"")</f>
        <v/>
      </c>
      <c r="AW244">
        <f>IF([3]Issues!$C$247="","",[3]Issues!$C$247)</f>
        <v/>
      </c>
      <c r="AX244">
        <f>IF([4]Entry!$E$247="","",[4]Entry!$E$247)</f>
        <v/>
      </c>
      <c r="AY244">
        <f>IF([4]Entry!$H$247="","",[4]Entry!$H$247)</f>
        <v/>
      </c>
      <c r="AZ244">
        <f>IF([4]Entry!$I$247="","",[4]Entry!$I$247)</f>
        <v/>
      </c>
    </row>
    <row r="245">
      <c r="F245">
        <f>IF([1]Accounts!$D$246="","",[1]Accounts!$A$246)</f>
        <v/>
      </c>
      <c r="G245">
        <f>IF([1]Accounts!$D$246="","",[1]Accounts!$B$246)</f>
        <v/>
      </c>
      <c r="H245">
        <f>IF([1]Accounts!$D$246="","",[1]Accounts!$C$246)</f>
        <v/>
      </c>
      <c r="I245">
        <f>IF([1]Accounts!$D$246="","",[1]Accounts!$D$246)</f>
        <v/>
      </c>
      <c r="R245">
        <f>IF(AND($F245&lt;&gt;"",$I245&lt;&gt;""),IF(OR($G245="دارایی ثابت",$G245="وام و تسهیلات",$G245="سرمایه و آورده صاحبان"),0,1),0)</f>
        <v/>
      </c>
      <c r="S245">
        <f>SUM($R$6:$R245)</f>
        <v/>
      </c>
      <c r="T245">
        <f>IFERROR(INDEX($F$6:$F$565,MATCH(ROW()-5,$S$6:$S$565,0)),"")</f>
        <v/>
      </c>
      <c r="Z245">
        <f>IF([2]Entry!$E$248="","",[2]Entry!$E$248)</f>
        <v/>
      </c>
      <c r="AA245">
        <f>IF([2]Entry!$G$248="","",[2]Entry!$G$248)</f>
        <v/>
      </c>
      <c r="AB245">
        <f>IF([2]Entry!$J$248="","",[2]Entry!$J$248)</f>
        <v/>
      </c>
      <c r="AC245">
        <f>IF([2]Entry!$K$248="","",[2]Entry!$K$248)</f>
        <v/>
      </c>
      <c r="AD245">
        <f>IF([2]Entry!$L$248="","",[2]Entry!$L$248)</f>
        <v/>
      </c>
      <c r="AE245">
        <f>IF([2]Entry!$M$248="","",[2]Entry!$M$248)</f>
        <v/>
      </c>
      <c r="AF245">
        <f>IF([2]Entry!$N$248="","",[2]Entry!$N$248)</f>
        <v/>
      </c>
      <c r="AG245">
        <f>IF([3]Issues!$B$248="","",[3]Issues!$B$248)</f>
        <v/>
      </c>
      <c r="AH245">
        <f>IF([3]Issues!$D$248="","",[3]Issues!$D$248)</f>
        <v/>
      </c>
      <c r="AI245">
        <f>IF([3]Issues!$E$248="","",[3]Issues!$E$248)</f>
        <v/>
      </c>
      <c r="AJ245">
        <f>IF([2]Entry!$S$248="","",[2]Entry!$S$248)</f>
        <v/>
      </c>
      <c r="AK245">
        <f>IF([2]Entry!$C$248="","",[2]Entry!$C$248)</f>
        <v/>
      </c>
      <c r="AL245">
        <f>IF([2]Entry!$D$248="","",[2]Entry!$D$248)</f>
        <v/>
      </c>
      <c r="AM245">
        <f>IF(AND($F245&lt;&gt;"",$I245&lt;&gt;""),IF($G245="دارایی ثابت",1,0),0)</f>
        <v/>
      </c>
      <c r="AN245">
        <f>SUM($AM$6:$AM245)</f>
        <v/>
      </c>
      <c r="AO245">
        <f>IFERROR(INDEX($F$6:$F$565,MATCH(ROW()-5,$AN$6:$AN$565,0)),"")</f>
        <v/>
      </c>
      <c r="AP245">
        <f>IF(AND($F245&lt;&gt;"",$I245&lt;&gt;""),IF($G245="وام و تسهیلات",1,0),0)</f>
        <v/>
      </c>
      <c r="AQ245">
        <f>SUM($AP$6:$AP245)</f>
        <v/>
      </c>
      <c r="AR245">
        <f>IFERROR(INDEX($F$6:$F$565,MATCH(ROW()-5,$AQ$6:$AQ$565,0)),"")</f>
        <v/>
      </c>
      <c r="AS245">
        <f>IF(AND($F245&lt;&gt;"",$I245&lt;&gt;""),IF($G245="سرمایه و آورده صاحبان",1,0),0)</f>
        <v/>
      </c>
      <c r="AT245">
        <f>SUM($AS$6:$AS245)</f>
        <v/>
      </c>
      <c r="AU245">
        <f>IFERROR(INDEX($F$6:$F$565,MATCH(ROW()-5,$AT$6:$AT$565,0)),"")</f>
        <v/>
      </c>
      <c r="AW245">
        <f>IF([3]Issues!$C$248="","",[3]Issues!$C$248)</f>
        <v/>
      </c>
      <c r="AX245">
        <f>IF([4]Entry!$E$248="","",[4]Entry!$E$248)</f>
        <v/>
      </c>
      <c r="AY245">
        <f>IF([4]Entry!$H$248="","",[4]Entry!$H$248)</f>
        <v/>
      </c>
      <c r="AZ245">
        <f>IF([4]Entry!$I$248="","",[4]Entry!$I$248)</f>
        <v/>
      </c>
    </row>
    <row r="246">
      <c r="F246">
        <f>IF([1]Accounts!$D$247="","",[1]Accounts!$A$247)</f>
        <v/>
      </c>
      <c r="G246">
        <f>IF([1]Accounts!$D$247="","",[1]Accounts!$B$247)</f>
        <v/>
      </c>
      <c r="H246">
        <f>IF([1]Accounts!$D$247="","",[1]Accounts!$C$247)</f>
        <v/>
      </c>
      <c r="I246">
        <f>IF([1]Accounts!$D$247="","",[1]Accounts!$D$247)</f>
        <v/>
      </c>
      <c r="R246">
        <f>IF(AND($F246&lt;&gt;"",$I246&lt;&gt;""),IF(OR($G246="دارایی ثابت",$G246="وام و تسهیلات",$G246="سرمایه و آورده صاحبان"),0,1),0)</f>
        <v/>
      </c>
      <c r="S246">
        <f>SUM($R$6:$R246)</f>
        <v/>
      </c>
      <c r="T246">
        <f>IFERROR(INDEX($F$6:$F$565,MATCH(ROW()-5,$S$6:$S$565,0)),"")</f>
        <v/>
      </c>
      <c r="Z246">
        <f>IF([2]Entry!$E$249="","",[2]Entry!$E$249)</f>
        <v/>
      </c>
      <c r="AA246">
        <f>IF([2]Entry!$G$249="","",[2]Entry!$G$249)</f>
        <v/>
      </c>
      <c r="AB246">
        <f>IF([2]Entry!$J$249="","",[2]Entry!$J$249)</f>
        <v/>
      </c>
      <c r="AC246">
        <f>IF([2]Entry!$K$249="","",[2]Entry!$K$249)</f>
        <v/>
      </c>
      <c r="AD246">
        <f>IF([2]Entry!$L$249="","",[2]Entry!$L$249)</f>
        <v/>
      </c>
      <c r="AE246">
        <f>IF([2]Entry!$M$249="","",[2]Entry!$M$249)</f>
        <v/>
      </c>
      <c r="AF246">
        <f>IF([2]Entry!$N$249="","",[2]Entry!$N$249)</f>
        <v/>
      </c>
      <c r="AG246">
        <f>IF([3]Issues!$B$249="","",[3]Issues!$B$249)</f>
        <v/>
      </c>
      <c r="AH246">
        <f>IF([3]Issues!$D$249="","",[3]Issues!$D$249)</f>
        <v/>
      </c>
      <c r="AI246">
        <f>IF([3]Issues!$E$249="","",[3]Issues!$E$249)</f>
        <v/>
      </c>
      <c r="AJ246">
        <f>IF([2]Entry!$S$249="","",[2]Entry!$S$249)</f>
        <v/>
      </c>
      <c r="AK246">
        <f>IF([2]Entry!$C$249="","",[2]Entry!$C$249)</f>
        <v/>
      </c>
      <c r="AL246">
        <f>IF([2]Entry!$D$249="","",[2]Entry!$D$249)</f>
        <v/>
      </c>
      <c r="AM246">
        <f>IF(AND($F246&lt;&gt;"",$I246&lt;&gt;""),IF($G246="دارایی ثابت",1,0),0)</f>
        <v/>
      </c>
      <c r="AN246">
        <f>SUM($AM$6:$AM246)</f>
        <v/>
      </c>
      <c r="AO246">
        <f>IFERROR(INDEX($F$6:$F$565,MATCH(ROW()-5,$AN$6:$AN$565,0)),"")</f>
        <v/>
      </c>
      <c r="AP246">
        <f>IF(AND($F246&lt;&gt;"",$I246&lt;&gt;""),IF($G246="وام و تسهیلات",1,0),0)</f>
        <v/>
      </c>
      <c r="AQ246">
        <f>SUM($AP$6:$AP246)</f>
        <v/>
      </c>
      <c r="AR246">
        <f>IFERROR(INDEX($F$6:$F$565,MATCH(ROW()-5,$AQ$6:$AQ$565,0)),"")</f>
        <v/>
      </c>
      <c r="AS246">
        <f>IF(AND($F246&lt;&gt;"",$I246&lt;&gt;""),IF($G246="سرمایه و آورده صاحبان",1,0),0)</f>
        <v/>
      </c>
      <c r="AT246">
        <f>SUM($AS$6:$AS246)</f>
        <v/>
      </c>
      <c r="AU246">
        <f>IFERROR(INDEX($F$6:$F$565,MATCH(ROW()-5,$AT$6:$AT$565,0)),"")</f>
        <v/>
      </c>
      <c r="AW246">
        <f>IF([3]Issues!$C$249="","",[3]Issues!$C$249)</f>
        <v/>
      </c>
      <c r="AX246">
        <f>IF([4]Entry!$E$249="","",[4]Entry!$E$249)</f>
        <v/>
      </c>
      <c r="AY246">
        <f>IF([4]Entry!$H$249="","",[4]Entry!$H$249)</f>
        <v/>
      </c>
      <c r="AZ246">
        <f>IF([4]Entry!$I$249="","",[4]Entry!$I$249)</f>
        <v/>
      </c>
    </row>
    <row r="247">
      <c r="F247">
        <f>IF([1]Accounts!$D$248="","",[1]Accounts!$A$248)</f>
        <v/>
      </c>
      <c r="G247">
        <f>IF([1]Accounts!$D$248="","",[1]Accounts!$B$248)</f>
        <v/>
      </c>
      <c r="H247">
        <f>IF([1]Accounts!$D$248="","",[1]Accounts!$C$248)</f>
        <v/>
      </c>
      <c r="I247">
        <f>IF([1]Accounts!$D$248="","",[1]Accounts!$D$248)</f>
        <v/>
      </c>
      <c r="R247">
        <f>IF(AND($F247&lt;&gt;"",$I247&lt;&gt;""),IF(OR($G247="دارایی ثابت",$G247="وام و تسهیلات",$G247="سرمایه و آورده صاحبان"),0,1),0)</f>
        <v/>
      </c>
      <c r="S247">
        <f>SUM($R$6:$R247)</f>
        <v/>
      </c>
      <c r="T247">
        <f>IFERROR(INDEX($F$6:$F$565,MATCH(ROW()-5,$S$6:$S$565,0)),"")</f>
        <v/>
      </c>
      <c r="Z247">
        <f>IF([2]Entry!$E$250="","",[2]Entry!$E$250)</f>
        <v/>
      </c>
      <c r="AA247">
        <f>IF([2]Entry!$G$250="","",[2]Entry!$G$250)</f>
        <v/>
      </c>
      <c r="AB247">
        <f>IF([2]Entry!$J$250="","",[2]Entry!$J$250)</f>
        <v/>
      </c>
      <c r="AC247">
        <f>IF([2]Entry!$K$250="","",[2]Entry!$K$250)</f>
        <v/>
      </c>
      <c r="AD247">
        <f>IF([2]Entry!$L$250="","",[2]Entry!$L$250)</f>
        <v/>
      </c>
      <c r="AE247">
        <f>IF([2]Entry!$M$250="","",[2]Entry!$M$250)</f>
        <v/>
      </c>
      <c r="AF247">
        <f>IF([2]Entry!$N$250="","",[2]Entry!$N$250)</f>
        <v/>
      </c>
      <c r="AG247">
        <f>IF([3]Issues!$B$250="","",[3]Issues!$B$250)</f>
        <v/>
      </c>
      <c r="AH247">
        <f>IF([3]Issues!$D$250="","",[3]Issues!$D$250)</f>
        <v/>
      </c>
      <c r="AI247">
        <f>IF([3]Issues!$E$250="","",[3]Issues!$E$250)</f>
        <v/>
      </c>
      <c r="AJ247">
        <f>IF([2]Entry!$S$250="","",[2]Entry!$S$250)</f>
        <v/>
      </c>
      <c r="AK247">
        <f>IF([2]Entry!$C$250="","",[2]Entry!$C$250)</f>
        <v/>
      </c>
      <c r="AL247">
        <f>IF([2]Entry!$D$250="","",[2]Entry!$D$250)</f>
        <v/>
      </c>
      <c r="AM247">
        <f>IF(AND($F247&lt;&gt;"",$I247&lt;&gt;""),IF($G247="دارایی ثابت",1,0),0)</f>
        <v/>
      </c>
      <c r="AN247">
        <f>SUM($AM$6:$AM247)</f>
        <v/>
      </c>
      <c r="AO247">
        <f>IFERROR(INDEX($F$6:$F$565,MATCH(ROW()-5,$AN$6:$AN$565,0)),"")</f>
        <v/>
      </c>
      <c r="AP247">
        <f>IF(AND($F247&lt;&gt;"",$I247&lt;&gt;""),IF($G247="وام و تسهیلات",1,0),0)</f>
        <v/>
      </c>
      <c r="AQ247">
        <f>SUM($AP$6:$AP247)</f>
        <v/>
      </c>
      <c r="AR247">
        <f>IFERROR(INDEX($F$6:$F$565,MATCH(ROW()-5,$AQ$6:$AQ$565,0)),"")</f>
        <v/>
      </c>
      <c r="AS247">
        <f>IF(AND($F247&lt;&gt;"",$I247&lt;&gt;""),IF($G247="سرمایه و آورده صاحبان",1,0),0)</f>
        <v/>
      </c>
      <c r="AT247">
        <f>SUM($AS$6:$AS247)</f>
        <v/>
      </c>
      <c r="AU247">
        <f>IFERROR(INDEX($F$6:$F$565,MATCH(ROW()-5,$AT$6:$AT$565,0)),"")</f>
        <v/>
      </c>
      <c r="AW247">
        <f>IF([3]Issues!$C$250="","",[3]Issues!$C$250)</f>
        <v/>
      </c>
      <c r="AX247">
        <f>IF([4]Entry!$E$250="","",[4]Entry!$E$250)</f>
        <v/>
      </c>
      <c r="AY247">
        <f>IF([4]Entry!$H$250="","",[4]Entry!$H$250)</f>
        <v/>
      </c>
      <c r="AZ247">
        <f>IF([4]Entry!$I$250="","",[4]Entry!$I$250)</f>
        <v/>
      </c>
    </row>
    <row r="248">
      <c r="F248">
        <f>IF([1]Accounts!$D$249="","",[1]Accounts!$A$249)</f>
        <v/>
      </c>
      <c r="G248">
        <f>IF([1]Accounts!$D$249="","",[1]Accounts!$B$249)</f>
        <v/>
      </c>
      <c r="H248">
        <f>IF([1]Accounts!$D$249="","",[1]Accounts!$C$249)</f>
        <v/>
      </c>
      <c r="I248">
        <f>IF([1]Accounts!$D$249="","",[1]Accounts!$D$249)</f>
        <v/>
      </c>
      <c r="R248">
        <f>IF(AND($F248&lt;&gt;"",$I248&lt;&gt;""),IF(OR($G248="دارایی ثابت",$G248="وام و تسهیلات",$G248="سرمایه و آورده صاحبان"),0,1),0)</f>
        <v/>
      </c>
      <c r="S248">
        <f>SUM($R$6:$R248)</f>
        <v/>
      </c>
      <c r="T248">
        <f>IFERROR(INDEX($F$6:$F$565,MATCH(ROW()-5,$S$6:$S$565,0)),"")</f>
        <v/>
      </c>
      <c r="Z248">
        <f>IF([2]Entry!$E$251="","",[2]Entry!$E$251)</f>
        <v/>
      </c>
      <c r="AA248">
        <f>IF([2]Entry!$G$251="","",[2]Entry!$G$251)</f>
        <v/>
      </c>
      <c r="AB248">
        <f>IF([2]Entry!$J$251="","",[2]Entry!$J$251)</f>
        <v/>
      </c>
      <c r="AC248">
        <f>IF([2]Entry!$K$251="","",[2]Entry!$K$251)</f>
        <v/>
      </c>
      <c r="AD248">
        <f>IF([2]Entry!$L$251="","",[2]Entry!$L$251)</f>
        <v/>
      </c>
      <c r="AE248">
        <f>IF([2]Entry!$M$251="","",[2]Entry!$M$251)</f>
        <v/>
      </c>
      <c r="AF248">
        <f>IF([2]Entry!$N$251="","",[2]Entry!$N$251)</f>
        <v/>
      </c>
      <c r="AG248">
        <f>IF([3]Issues!$B$251="","",[3]Issues!$B$251)</f>
        <v/>
      </c>
      <c r="AH248">
        <f>IF([3]Issues!$D$251="","",[3]Issues!$D$251)</f>
        <v/>
      </c>
      <c r="AI248">
        <f>IF([3]Issues!$E$251="","",[3]Issues!$E$251)</f>
        <v/>
      </c>
      <c r="AJ248">
        <f>IF([2]Entry!$S$251="","",[2]Entry!$S$251)</f>
        <v/>
      </c>
      <c r="AK248">
        <f>IF([2]Entry!$C$251="","",[2]Entry!$C$251)</f>
        <v/>
      </c>
      <c r="AL248">
        <f>IF([2]Entry!$D$251="","",[2]Entry!$D$251)</f>
        <v/>
      </c>
      <c r="AM248">
        <f>IF(AND($F248&lt;&gt;"",$I248&lt;&gt;""),IF($G248="دارایی ثابت",1,0),0)</f>
        <v/>
      </c>
      <c r="AN248">
        <f>SUM($AM$6:$AM248)</f>
        <v/>
      </c>
      <c r="AO248">
        <f>IFERROR(INDEX($F$6:$F$565,MATCH(ROW()-5,$AN$6:$AN$565,0)),"")</f>
        <v/>
      </c>
      <c r="AP248">
        <f>IF(AND($F248&lt;&gt;"",$I248&lt;&gt;""),IF($G248="وام و تسهیلات",1,0),0)</f>
        <v/>
      </c>
      <c r="AQ248">
        <f>SUM($AP$6:$AP248)</f>
        <v/>
      </c>
      <c r="AR248">
        <f>IFERROR(INDEX($F$6:$F$565,MATCH(ROW()-5,$AQ$6:$AQ$565,0)),"")</f>
        <v/>
      </c>
      <c r="AS248">
        <f>IF(AND($F248&lt;&gt;"",$I248&lt;&gt;""),IF($G248="سرمایه و آورده صاحبان",1,0),0)</f>
        <v/>
      </c>
      <c r="AT248">
        <f>SUM($AS$6:$AS248)</f>
        <v/>
      </c>
      <c r="AU248">
        <f>IFERROR(INDEX($F$6:$F$565,MATCH(ROW()-5,$AT$6:$AT$565,0)),"")</f>
        <v/>
      </c>
      <c r="AW248">
        <f>IF([3]Issues!$C$251="","",[3]Issues!$C$251)</f>
        <v/>
      </c>
      <c r="AX248">
        <f>IF([4]Entry!$E$251="","",[4]Entry!$E$251)</f>
        <v/>
      </c>
      <c r="AY248">
        <f>IF([4]Entry!$H$251="","",[4]Entry!$H$251)</f>
        <v/>
      </c>
      <c r="AZ248">
        <f>IF([4]Entry!$I$251="","",[4]Entry!$I$251)</f>
        <v/>
      </c>
    </row>
    <row r="249">
      <c r="F249">
        <f>IF([1]Accounts!$D$250="","",[1]Accounts!$A$250)</f>
        <v/>
      </c>
      <c r="G249">
        <f>IF([1]Accounts!$D$250="","",[1]Accounts!$B$250)</f>
        <v/>
      </c>
      <c r="H249">
        <f>IF([1]Accounts!$D$250="","",[1]Accounts!$C$250)</f>
        <v/>
      </c>
      <c r="I249">
        <f>IF([1]Accounts!$D$250="","",[1]Accounts!$D$250)</f>
        <v/>
      </c>
      <c r="R249">
        <f>IF(AND($F249&lt;&gt;"",$I249&lt;&gt;""),IF(OR($G249="دارایی ثابت",$G249="وام و تسهیلات",$G249="سرمایه و آورده صاحبان"),0,1),0)</f>
        <v/>
      </c>
      <c r="S249">
        <f>SUM($R$6:$R249)</f>
        <v/>
      </c>
      <c r="T249">
        <f>IFERROR(INDEX($F$6:$F$565,MATCH(ROW()-5,$S$6:$S$565,0)),"")</f>
        <v/>
      </c>
      <c r="Z249">
        <f>IF([2]Entry!$E$252="","",[2]Entry!$E$252)</f>
        <v/>
      </c>
      <c r="AA249">
        <f>IF([2]Entry!$G$252="","",[2]Entry!$G$252)</f>
        <v/>
      </c>
      <c r="AB249">
        <f>IF([2]Entry!$J$252="","",[2]Entry!$J$252)</f>
        <v/>
      </c>
      <c r="AC249">
        <f>IF([2]Entry!$K$252="","",[2]Entry!$K$252)</f>
        <v/>
      </c>
      <c r="AD249">
        <f>IF([2]Entry!$L$252="","",[2]Entry!$L$252)</f>
        <v/>
      </c>
      <c r="AE249">
        <f>IF([2]Entry!$M$252="","",[2]Entry!$M$252)</f>
        <v/>
      </c>
      <c r="AF249">
        <f>IF([2]Entry!$N$252="","",[2]Entry!$N$252)</f>
        <v/>
      </c>
      <c r="AG249">
        <f>IF([3]Issues!$B$252="","",[3]Issues!$B$252)</f>
        <v/>
      </c>
      <c r="AH249">
        <f>IF([3]Issues!$D$252="","",[3]Issues!$D$252)</f>
        <v/>
      </c>
      <c r="AI249">
        <f>IF([3]Issues!$E$252="","",[3]Issues!$E$252)</f>
        <v/>
      </c>
      <c r="AJ249">
        <f>IF([2]Entry!$S$252="","",[2]Entry!$S$252)</f>
        <v/>
      </c>
      <c r="AK249">
        <f>IF([2]Entry!$C$252="","",[2]Entry!$C$252)</f>
        <v/>
      </c>
      <c r="AL249">
        <f>IF([2]Entry!$D$252="","",[2]Entry!$D$252)</f>
        <v/>
      </c>
      <c r="AM249">
        <f>IF(AND($F249&lt;&gt;"",$I249&lt;&gt;""),IF($G249="دارایی ثابت",1,0),0)</f>
        <v/>
      </c>
      <c r="AN249">
        <f>SUM($AM$6:$AM249)</f>
        <v/>
      </c>
      <c r="AO249">
        <f>IFERROR(INDEX($F$6:$F$565,MATCH(ROW()-5,$AN$6:$AN$565,0)),"")</f>
        <v/>
      </c>
      <c r="AP249">
        <f>IF(AND($F249&lt;&gt;"",$I249&lt;&gt;""),IF($G249="وام و تسهیلات",1,0),0)</f>
        <v/>
      </c>
      <c r="AQ249">
        <f>SUM($AP$6:$AP249)</f>
        <v/>
      </c>
      <c r="AR249">
        <f>IFERROR(INDEX($F$6:$F$565,MATCH(ROW()-5,$AQ$6:$AQ$565,0)),"")</f>
        <v/>
      </c>
      <c r="AS249">
        <f>IF(AND($F249&lt;&gt;"",$I249&lt;&gt;""),IF($G249="سرمایه و آورده صاحبان",1,0),0)</f>
        <v/>
      </c>
      <c r="AT249">
        <f>SUM($AS$6:$AS249)</f>
        <v/>
      </c>
      <c r="AU249">
        <f>IFERROR(INDEX($F$6:$F$565,MATCH(ROW()-5,$AT$6:$AT$565,0)),"")</f>
        <v/>
      </c>
      <c r="AW249">
        <f>IF([3]Issues!$C$252="","",[3]Issues!$C$252)</f>
        <v/>
      </c>
      <c r="AX249">
        <f>IF([4]Entry!$E$252="","",[4]Entry!$E$252)</f>
        <v/>
      </c>
      <c r="AY249">
        <f>IF([4]Entry!$H$252="","",[4]Entry!$H$252)</f>
        <v/>
      </c>
      <c r="AZ249">
        <f>IF([4]Entry!$I$252="","",[4]Entry!$I$252)</f>
        <v/>
      </c>
    </row>
    <row r="250">
      <c r="F250">
        <f>IF([1]Accounts!$D$251="","",[1]Accounts!$A$251)</f>
        <v/>
      </c>
      <c r="G250">
        <f>IF([1]Accounts!$D$251="","",[1]Accounts!$B$251)</f>
        <v/>
      </c>
      <c r="H250">
        <f>IF([1]Accounts!$D$251="","",[1]Accounts!$C$251)</f>
        <v/>
      </c>
      <c r="I250">
        <f>IF([1]Accounts!$D$251="","",[1]Accounts!$D$251)</f>
        <v/>
      </c>
      <c r="R250">
        <f>IF(AND($F250&lt;&gt;"",$I250&lt;&gt;""),IF(OR($G250="دارایی ثابت",$G250="وام و تسهیلات",$G250="سرمایه و آورده صاحبان"),0,1),0)</f>
        <v/>
      </c>
      <c r="S250">
        <f>SUM($R$6:$R250)</f>
        <v/>
      </c>
      <c r="T250">
        <f>IFERROR(INDEX($F$6:$F$565,MATCH(ROW()-5,$S$6:$S$565,0)),"")</f>
        <v/>
      </c>
      <c r="Z250">
        <f>IF([2]Entry!$E$253="","",[2]Entry!$E$253)</f>
        <v/>
      </c>
      <c r="AA250">
        <f>IF([2]Entry!$G$253="","",[2]Entry!$G$253)</f>
        <v/>
      </c>
      <c r="AB250">
        <f>IF([2]Entry!$J$253="","",[2]Entry!$J$253)</f>
        <v/>
      </c>
      <c r="AC250">
        <f>IF([2]Entry!$K$253="","",[2]Entry!$K$253)</f>
        <v/>
      </c>
      <c r="AD250">
        <f>IF([2]Entry!$L$253="","",[2]Entry!$L$253)</f>
        <v/>
      </c>
      <c r="AE250">
        <f>IF([2]Entry!$M$253="","",[2]Entry!$M$253)</f>
        <v/>
      </c>
      <c r="AF250">
        <f>IF([2]Entry!$N$253="","",[2]Entry!$N$253)</f>
        <v/>
      </c>
      <c r="AG250">
        <f>IF([3]Issues!$B$253="","",[3]Issues!$B$253)</f>
        <v/>
      </c>
      <c r="AH250">
        <f>IF([3]Issues!$D$253="","",[3]Issues!$D$253)</f>
        <v/>
      </c>
      <c r="AI250">
        <f>IF([3]Issues!$E$253="","",[3]Issues!$E$253)</f>
        <v/>
      </c>
      <c r="AJ250">
        <f>IF([2]Entry!$S$253="","",[2]Entry!$S$253)</f>
        <v/>
      </c>
      <c r="AK250">
        <f>IF([2]Entry!$C$253="","",[2]Entry!$C$253)</f>
        <v/>
      </c>
      <c r="AL250">
        <f>IF([2]Entry!$D$253="","",[2]Entry!$D$253)</f>
        <v/>
      </c>
      <c r="AM250">
        <f>IF(AND($F250&lt;&gt;"",$I250&lt;&gt;""),IF($G250="دارایی ثابت",1,0),0)</f>
        <v/>
      </c>
      <c r="AN250">
        <f>SUM($AM$6:$AM250)</f>
        <v/>
      </c>
      <c r="AO250">
        <f>IFERROR(INDEX($F$6:$F$565,MATCH(ROW()-5,$AN$6:$AN$565,0)),"")</f>
        <v/>
      </c>
      <c r="AP250">
        <f>IF(AND($F250&lt;&gt;"",$I250&lt;&gt;""),IF($G250="وام و تسهیلات",1,0),0)</f>
        <v/>
      </c>
      <c r="AQ250">
        <f>SUM($AP$6:$AP250)</f>
        <v/>
      </c>
      <c r="AR250">
        <f>IFERROR(INDEX($F$6:$F$565,MATCH(ROW()-5,$AQ$6:$AQ$565,0)),"")</f>
        <v/>
      </c>
      <c r="AS250">
        <f>IF(AND($F250&lt;&gt;"",$I250&lt;&gt;""),IF($G250="سرمایه و آورده صاحبان",1,0),0)</f>
        <v/>
      </c>
      <c r="AT250">
        <f>SUM($AS$6:$AS250)</f>
        <v/>
      </c>
      <c r="AU250">
        <f>IFERROR(INDEX($F$6:$F$565,MATCH(ROW()-5,$AT$6:$AT$565,0)),"")</f>
        <v/>
      </c>
      <c r="AW250">
        <f>IF([3]Issues!$C$253="","",[3]Issues!$C$253)</f>
        <v/>
      </c>
      <c r="AX250">
        <f>IF([4]Entry!$E$253="","",[4]Entry!$E$253)</f>
        <v/>
      </c>
      <c r="AY250">
        <f>IF([4]Entry!$H$253="","",[4]Entry!$H$253)</f>
        <v/>
      </c>
      <c r="AZ250">
        <f>IF([4]Entry!$I$253="","",[4]Entry!$I$253)</f>
        <v/>
      </c>
    </row>
    <row r="251">
      <c r="F251">
        <f>IF([1]Accounts!$D$252="","",[1]Accounts!$A$252)</f>
        <v/>
      </c>
      <c r="G251">
        <f>IF([1]Accounts!$D$252="","",[1]Accounts!$B$252)</f>
        <v/>
      </c>
      <c r="H251">
        <f>IF([1]Accounts!$D$252="","",[1]Accounts!$C$252)</f>
        <v/>
      </c>
      <c r="I251">
        <f>IF([1]Accounts!$D$252="","",[1]Accounts!$D$252)</f>
        <v/>
      </c>
      <c r="R251">
        <f>IF(AND($F251&lt;&gt;"",$I251&lt;&gt;""),IF(OR($G251="دارایی ثابت",$G251="وام و تسهیلات",$G251="سرمایه و آورده صاحبان"),0,1),0)</f>
        <v/>
      </c>
      <c r="S251">
        <f>SUM($R$6:$R251)</f>
        <v/>
      </c>
      <c r="T251">
        <f>IFERROR(INDEX($F$6:$F$565,MATCH(ROW()-5,$S$6:$S$565,0)),"")</f>
        <v/>
      </c>
      <c r="Z251">
        <f>IF([2]Entry!$E$254="","",[2]Entry!$E$254)</f>
        <v/>
      </c>
      <c r="AA251">
        <f>IF([2]Entry!$G$254="","",[2]Entry!$G$254)</f>
        <v/>
      </c>
      <c r="AB251">
        <f>IF([2]Entry!$J$254="","",[2]Entry!$J$254)</f>
        <v/>
      </c>
      <c r="AC251">
        <f>IF([2]Entry!$K$254="","",[2]Entry!$K$254)</f>
        <v/>
      </c>
      <c r="AD251">
        <f>IF([2]Entry!$L$254="","",[2]Entry!$L$254)</f>
        <v/>
      </c>
      <c r="AE251">
        <f>IF([2]Entry!$M$254="","",[2]Entry!$M$254)</f>
        <v/>
      </c>
      <c r="AF251">
        <f>IF([2]Entry!$N$254="","",[2]Entry!$N$254)</f>
        <v/>
      </c>
      <c r="AG251">
        <f>IF([3]Issues!$B$254="","",[3]Issues!$B$254)</f>
        <v/>
      </c>
      <c r="AH251">
        <f>IF([3]Issues!$D$254="","",[3]Issues!$D$254)</f>
        <v/>
      </c>
      <c r="AI251">
        <f>IF([3]Issues!$E$254="","",[3]Issues!$E$254)</f>
        <v/>
      </c>
      <c r="AJ251">
        <f>IF([2]Entry!$S$254="","",[2]Entry!$S$254)</f>
        <v/>
      </c>
      <c r="AK251">
        <f>IF([2]Entry!$C$254="","",[2]Entry!$C$254)</f>
        <v/>
      </c>
      <c r="AL251">
        <f>IF([2]Entry!$D$254="","",[2]Entry!$D$254)</f>
        <v/>
      </c>
      <c r="AM251">
        <f>IF(AND($F251&lt;&gt;"",$I251&lt;&gt;""),IF($G251="دارایی ثابت",1,0),0)</f>
        <v/>
      </c>
      <c r="AN251">
        <f>SUM($AM$6:$AM251)</f>
        <v/>
      </c>
      <c r="AO251">
        <f>IFERROR(INDEX($F$6:$F$565,MATCH(ROW()-5,$AN$6:$AN$565,0)),"")</f>
        <v/>
      </c>
      <c r="AP251">
        <f>IF(AND($F251&lt;&gt;"",$I251&lt;&gt;""),IF($G251="وام و تسهیلات",1,0),0)</f>
        <v/>
      </c>
      <c r="AQ251">
        <f>SUM($AP$6:$AP251)</f>
        <v/>
      </c>
      <c r="AR251">
        <f>IFERROR(INDEX($F$6:$F$565,MATCH(ROW()-5,$AQ$6:$AQ$565,0)),"")</f>
        <v/>
      </c>
      <c r="AS251">
        <f>IF(AND($F251&lt;&gt;"",$I251&lt;&gt;""),IF($G251="سرمایه و آورده صاحبان",1,0),0)</f>
        <v/>
      </c>
      <c r="AT251">
        <f>SUM($AS$6:$AS251)</f>
        <v/>
      </c>
      <c r="AU251">
        <f>IFERROR(INDEX($F$6:$F$565,MATCH(ROW()-5,$AT$6:$AT$565,0)),"")</f>
        <v/>
      </c>
      <c r="AW251">
        <f>IF([3]Issues!$C$254="","",[3]Issues!$C$254)</f>
        <v/>
      </c>
      <c r="AX251">
        <f>IF([4]Entry!$E$254="","",[4]Entry!$E$254)</f>
        <v/>
      </c>
      <c r="AY251">
        <f>IF([4]Entry!$H$254="","",[4]Entry!$H$254)</f>
        <v/>
      </c>
      <c r="AZ251">
        <f>IF([4]Entry!$I$254="","",[4]Entry!$I$254)</f>
        <v/>
      </c>
    </row>
    <row r="252">
      <c r="F252">
        <f>IF([1]Accounts!$D$253="","",[1]Accounts!$A$253)</f>
        <v/>
      </c>
      <c r="G252">
        <f>IF([1]Accounts!$D$253="","",[1]Accounts!$B$253)</f>
        <v/>
      </c>
      <c r="H252">
        <f>IF([1]Accounts!$D$253="","",[1]Accounts!$C$253)</f>
        <v/>
      </c>
      <c r="I252">
        <f>IF([1]Accounts!$D$253="","",[1]Accounts!$D$253)</f>
        <v/>
      </c>
      <c r="R252">
        <f>IF(AND($F252&lt;&gt;"",$I252&lt;&gt;""),IF(OR($G252="دارایی ثابت",$G252="وام و تسهیلات",$G252="سرمایه و آورده صاحبان"),0,1),0)</f>
        <v/>
      </c>
      <c r="S252">
        <f>SUM($R$6:$R252)</f>
        <v/>
      </c>
      <c r="T252">
        <f>IFERROR(INDEX($F$6:$F$565,MATCH(ROW()-5,$S$6:$S$565,0)),"")</f>
        <v/>
      </c>
      <c r="Z252">
        <f>IF([2]Entry!$E$255="","",[2]Entry!$E$255)</f>
        <v/>
      </c>
      <c r="AA252">
        <f>IF([2]Entry!$G$255="","",[2]Entry!$G$255)</f>
        <v/>
      </c>
      <c r="AB252">
        <f>IF([2]Entry!$J$255="","",[2]Entry!$J$255)</f>
        <v/>
      </c>
      <c r="AC252">
        <f>IF([2]Entry!$K$255="","",[2]Entry!$K$255)</f>
        <v/>
      </c>
      <c r="AD252">
        <f>IF([2]Entry!$L$255="","",[2]Entry!$L$255)</f>
        <v/>
      </c>
      <c r="AE252">
        <f>IF([2]Entry!$M$255="","",[2]Entry!$M$255)</f>
        <v/>
      </c>
      <c r="AF252">
        <f>IF([2]Entry!$N$255="","",[2]Entry!$N$255)</f>
        <v/>
      </c>
      <c r="AG252">
        <f>IF([3]Issues!$B$255="","",[3]Issues!$B$255)</f>
        <v/>
      </c>
      <c r="AH252">
        <f>IF([3]Issues!$D$255="","",[3]Issues!$D$255)</f>
        <v/>
      </c>
      <c r="AI252">
        <f>IF([3]Issues!$E$255="","",[3]Issues!$E$255)</f>
        <v/>
      </c>
      <c r="AJ252">
        <f>IF([2]Entry!$S$255="","",[2]Entry!$S$255)</f>
        <v/>
      </c>
      <c r="AK252">
        <f>IF([2]Entry!$C$255="","",[2]Entry!$C$255)</f>
        <v/>
      </c>
      <c r="AL252">
        <f>IF([2]Entry!$D$255="","",[2]Entry!$D$255)</f>
        <v/>
      </c>
      <c r="AM252">
        <f>IF(AND($F252&lt;&gt;"",$I252&lt;&gt;""),IF($G252="دارایی ثابت",1,0),0)</f>
        <v/>
      </c>
      <c r="AN252">
        <f>SUM($AM$6:$AM252)</f>
        <v/>
      </c>
      <c r="AO252">
        <f>IFERROR(INDEX($F$6:$F$565,MATCH(ROW()-5,$AN$6:$AN$565,0)),"")</f>
        <v/>
      </c>
      <c r="AP252">
        <f>IF(AND($F252&lt;&gt;"",$I252&lt;&gt;""),IF($G252="وام و تسهیلات",1,0),0)</f>
        <v/>
      </c>
      <c r="AQ252">
        <f>SUM($AP$6:$AP252)</f>
        <v/>
      </c>
      <c r="AR252">
        <f>IFERROR(INDEX($F$6:$F$565,MATCH(ROW()-5,$AQ$6:$AQ$565,0)),"")</f>
        <v/>
      </c>
      <c r="AS252">
        <f>IF(AND($F252&lt;&gt;"",$I252&lt;&gt;""),IF($G252="سرمایه و آورده صاحبان",1,0),0)</f>
        <v/>
      </c>
      <c r="AT252">
        <f>SUM($AS$6:$AS252)</f>
        <v/>
      </c>
      <c r="AU252">
        <f>IFERROR(INDEX($F$6:$F$565,MATCH(ROW()-5,$AT$6:$AT$565,0)),"")</f>
        <v/>
      </c>
      <c r="AW252">
        <f>IF([3]Issues!$C$255="","",[3]Issues!$C$255)</f>
        <v/>
      </c>
      <c r="AX252">
        <f>IF([4]Entry!$E$255="","",[4]Entry!$E$255)</f>
        <v/>
      </c>
      <c r="AY252">
        <f>IF([4]Entry!$H$255="","",[4]Entry!$H$255)</f>
        <v/>
      </c>
      <c r="AZ252">
        <f>IF([4]Entry!$I$255="","",[4]Entry!$I$255)</f>
        <v/>
      </c>
    </row>
    <row r="253">
      <c r="F253">
        <f>IF([1]Accounts!$D$254="","",[1]Accounts!$A$254)</f>
        <v/>
      </c>
      <c r="G253">
        <f>IF([1]Accounts!$D$254="","",[1]Accounts!$B$254)</f>
        <v/>
      </c>
      <c r="H253">
        <f>IF([1]Accounts!$D$254="","",[1]Accounts!$C$254)</f>
        <v/>
      </c>
      <c r="I253">
        <f>IF([1]Accounts!$D$254="","",[1]Accounts!$D$254)</f>
        <v/>
      </c>
      <c r="R253">
        <f>IF(AND($F253&lt;&gt;"",$I253&lt;&gt;""),IF(OR($G253="دارایی ثابت",$G253="وام و تسهیلات",$G253="سرمایه و آورده صاحبان"),0,1),0)</f>
        <v/>
      </c>
      <c r="S253">
        <f>SUM($R$6:$R253)</f>
        <v/>
      </c>
      <c r="T253">
        <f>IFERROR(INDEX($F$6:$F$565,MATCH(ROW()-5,$S$6:$S$565,0)),"")</f>
        <v/>
      </c>
      <c r="Z253">
        <f>IF([2]Entry!$E$256="","",[2]Entry!$E$256)</f>
        <v/>
      </c>
      <c r="AA253">
        <f>IF([2]Entry!$G$256="","",[2]Entry!$G$256)</f>
        <v/>
      </c>
      <c r="AB253">
        <f>IF([2]Entry!$J$256="","",[2]Entry!$J$256)</f>
        <v/>
      </c>
      <c r="AC253">
        <f>IF([2]Entry!$K$256="","",[2]Entry!$K$256)</f>
        <v/>
      </c>
      <c r="AD253">
        <f>IF([2]Entry!$L$256="","",[2]Entry!$L$256)</f>
        <v/>
      </c>
      <c r="AE253">
        <f>IF([2]Entry!$M$256="","",[2]Entry!$M$256)</f>
        <v/>
      </c>
      <c r="AF253">
        <f>IF([2]Entry!$N$256="","",[2]Entry!$N$256)</f>
        <v/>
      </c>
      <c r="AG253">
        <f>IF([3]Issues!$B$256="","",[3]Issues!$B$256)</f>
        <v/>
      </c>
      <c r="AH253">
        <f>IF([3]Issues!$D$256="","",[3]Issues!$D$256)</f>
        <v/>
      </c>
      <c r="AI253">
        <f>IF([3]Issues!$E$256="","",[3]Issues!$E$256)</f>
        <v/>
      </c>
      <c r="AJ253">
        <f>IF([2]Entry!$S$256="","",[2]Entry!$S$256)</f>
        <v/>
      </c>
      <c r="AK253">
        <f>IF([2]Entry!$C$256="","",[2]Entry!$C$256)</f>
        <v/>
      </c>
      <c r="AL253">
        <f>IF([2]Entry!$D$256="","",[2]Entry!$D$256)</f>
        <v/>
      </c>
      <c r="AM253">
        <f>IF(AND($F253&lt;&gt;"",$I253&lt;&gt;""),IF($G253="دارایی ثابت",1,0),0)</f>
        <v/>
      </c>
      <c r="AN253">
        <f>SUM($AM$6:$AM253)</f>
        <v/>
      </c>
      <c r="AO253">
        <f>IFERROR(INDEX($F$6:$F$565,MATCH(ROW()-5,$AN$6:$AN$565,0)),"")</f>
        <v/>
      </c>
      <c r="AP253">
        <f>IF(AND($F253&lt;&gt;"",$I253&lt;&gt;""),IF($G253="وام و تسهیلات",1,0),0)</f>
        <v/>
      </c>
      <c r="AQ253">
        <f>SUM($AP$6:$AP253)</f>
        <v/>
      </c>
      <c r="AR253">
        <f>IFERROR(INDEX($F$6:$F$565,MATCH(ROW()-5,$AQ$6:$AQ$565,0)),"")</f>
        <v/>
      </c>
      <c r="AS253">
        <f>IF(AND($F253&lt;&gt;"",$I253&lt;&gt;""),IF($G253="سرمایه و آورده صاحبان",1,0),0)</f>
        <v/>
      </c>
      <c r="AT253">
        <f>SUM($AS$6:$AS253)</f>
        <v/>
      </c>
      <c r="AU253">
        <f>IFERROR(INDEX($F$6:$F$565,MATCH(ROW()-5,$AT$6:$AT$565,0)),"")</f>
        <v/>
      </c>
      <c r="AW253">
        <f>IF([3]Issues!$C$256="","",[3]Issues!$C$256)</f>
        <v/>
      </c>
      <c r="AX253">
        <f>IF([4]Entry!$E$256="","",[4]Entry!$E$256)</f>
        <v/>
      </c>
      <c r="AY253">
        <f>IF([4]Entry!$H$256="","",[4]Entry!$H$256)</f>
        <v/>
      </c>
      <c r="AZ253">
        <f>IF([4]Entry!$I$256="","",[4]Entry!$I$256)</f>
        <v/>
      </c>
    </row>
    <row r="254">
      <c r="F254">
        <f>IF([1]Accounts!$D$255="","",[1]Accounts!$A$255)</f>
        <v/>
      </c>
      <c r="G254">
        <f>IF([1]Accounts!$D$255="","",[1]Accounts!$B$255)</f>
        <v/>
      </c>
      <c r="H254">
        <f>IF([1]Accounts!$D$255="","",[1]Accounts!$C$255)</f>
        <v/>
      </c>
      <c r="I254">
        <f>IF([1]Accounts!$D$255="","",[1]Accounts!$D$255)</f>
        <v/>
      </c>
      <c r="R254">
        <f>IF(AND($F254&lt;&gt;"",$I254&lt;&gt;""),IF(OR($G254="دارایی ثابت",$G254="وام و تسهیلات",$G254="سرمایه و آورده صاحبان"),0,1),0)</f>
        <v/>
      </c>
      <c r="S254">
        <f>SUM($R$6:$R254)</f>
        <v/>
      </c>
      <c r="T254">
        <f>IFERROR(INDEX($F$6:$F$565,MATCH(ROW()-5,$S$6:$S$565,0)),"")</f>
        <v/>
      </c>
      <c r="Z254">
        <f>IF([2]Entry!$E$257="","",[2]Entry!$E$257)</f>
        <v/>
      </c>
      <c r="AA254">
        <f>IF([2]Entry!$G$257="","",[2]Entry!$G$257)</f>
        <v/>
      </c>
      <c r="AB254">
        <f>IF([2]Entry!$J$257="","",[2]Entry!$J$257)</f>
        <v/>
      </c>
      <c r="AC254">
        <f>IF([2]Entry!$K$257="","",[2]Entry!$K$257)</f>
        <v/>
      </c>
      <c r="AD254">
        <f>IF([2]Entry!$L$257="","",[2]Entry!$L$257)</f>
        <v/>
      </c>
      <c r="AE254">
        <f>IF([2]Entry!$M$257="","",[2]Entry!$M$257)</f>
        <v/>
      </c>
      <c r="AF254">
        <f>IF([2]Entry!$N$257="","",[2]Entry!$N$257)</f>
        <v/>
      </c>
      <c r="AG254">
        <f>IF([3]Issues!$B$257="","",[3]Issues!$B$257)</f>
        <v/>
      </c>
      <c r="AH254">
        <f>IF([3]Issues!$D$257="","",[3]Issues!$D$257)</f>
        <v/>
      </c>
      <c r="AI254">
        <f>IF([3]Issues!$E$257="","",[3]Issues!$E$257)</f>
        <v/>
      </c>
      <c r="AJ254">
        <f>IF([2]Entry!$S$257="","",[2]Entry!$S$257)</f>
        <v/>
      </c>
      <c r="AK254">
        <f>IF([2]Entry!$C$257="","",[2]Entry!$C$257)</f>
        <v/>
      </c>
      <c r="AL254">
        <f>IF([2]Entry!$D$257="","",[2]Entry!$D$257)</f>
        <v/>
      </c>
      <c r="AM254">
        <f>IF(AND($F254&lt;&gt;"",$I254&lt;&gt;""),IF($G254="دارایی ثابت",1,0),0)</f>
        <v/>
      </c>
      <c r="AN254">
        <f>SUM($AM$6:$AM254)</f>
        <v/>
      </c>
      <c r="AO254">
        <f>IFERROR(INDEX($F$6:$F$565,MATCH(ROW()-5,$AN$6:$AN$565,0)),"")</f>
        <v/>
      </c>
      <c r="AP254">
        <f>IF(AND($F254&lt;&gt;"",$I254&lt;&gt;""),IF($G254="وام و تسهیلات",1,0),0)</f>
        <v/>
      </c>
      <c r="AQ254">
        <f>SUM($AP$6:$AP254)</f>
        <v/>
      </c>
      <c r="AR254">
        <f>IFERROR(INDEX($F$6:$F$565,MATCH(ROW()-5,$AQ$6:$AQ$565,0)),"")</f>
        <v/>
      </c>
      <c r="AS254">
        <f>IF(AND($F254&lt;&gt;"",$I254&lt;&gt;""),IF($G254="سرمایه و آورده صاحبان",1,0),0)</f>
        <v/>
      </c>
      <c r="AT254">
        <f>SUM($AS$6:$AS254)</f>
        <v/>
      </c>
      <c r="AU254">
        <f>IFERROR(INDEX($F$6:$F$565,MATCH(ROW()-5,$AT$6:$AT$565,0)),"")</f>
        <v/>
      </c>
      <c r="AW254">
        <f>IF([3]Issues!$C$257="","",[3]Issues!$C$257)</f>
        <v/>
      </c>
      <c r="AX254">
        <f>IF([4]Entry!$E$257="","",[4]Entry!$E$257)</f>
        <v/>
      </c>
      <c r="AY254">
        <f>IF([4]Entry!$H$257="","",[4]Entry!$H$257)</f>
        <v/>
      </c>
      <c r="AZ254">
        <f>IF([4]Entry!$I$257="","",[4]Entry!$I$257)</f>
        <v/>
      </c>
    </row>
    <row r="255">
      <c r="F255">
        <f>IF([1]Accounts!$D$256="","",[1]Accounts!$A$256)</f>
        <v/>
      </c>
      <c r="G255">
        <f>IF([1]Accounts!$D$256="","",[1]Accounts!$B$256)</f>
        <v/>
      </c>
      <c r="H255">
        <f>IF([1]Accounts!$D$256="","",[1]Accounts!$C$256)</f>
        <v/>
      </c>
      <c r="I255">
        <f>IF([1]Accounts!$D$256="","",[1]Accounts!$D$256)</f>
        <v/>
      </c>
      <c r="R255">
        <f>IF(AND($F255&lt;&gt;"",$I255&lt;&gt;""),IF(OR($G255="دارایی ثابت",$G255="وام و تسهیلات",$G255="سرمایه و آورده صاحبان"),0,1),0)</f>
        <v/>
      </c>
      <c r="S255">
        <f>SUM($R$6:$R255)</f>
        <v/>
      </c>
      <c r="T255">
        <f>IFERROR(INDEX($F$6:$F$565,MATCH(ROW()-5,$S$6:$S$565,0)),"")</f>
        <v/>
      </c>
      <c r="Z255">
        <f>IF([2]Entry!$E$258="","",[2]Entry!$E$258)</f>
        <v/>
      </c>
      <c r="AA255">
        <f>IF([2]Entry!$G$258="","",[2]Entry!$G$258)</f>
        <v/>
      </c>
      <c r="AB255">
        <f>IF([2]Entry!$J$258="","",[2]Entry!$J$258)</f>
        <v/>
      </c>
      <c r="AC255">
        <f>IF([2]Entry!$K$258="","",[2]Entry!$K$258)</f>
        <v/>
      </c>
      <c r="AD255">
        <f>IF([2]Entry!$L$258="","",[2]Entry!$L$258)</f>
        <v/>
      </c>
      <c r="AE255">
        <f>IF([2]Entry!$M$258="","",[2]Entry!$M$258)</f>
        <v/>
      </c>
      <c r="AF255">
        <f>IF([2]Entry!$N$258="","",[2]Entry!$N$258)</f>
        <v/>
      </c>
      <c r="AG255">
        <f>IF([3]Issues!$B$258="","",[3]Issues!$B$258)</f>
        <v/>
      </c>
      <c r="AH255">
        <f>IF([3]Issues!$D$258="","",[3]Issues!$D$258)</f>
        <v/>
      </c>
      <c r="AI255">
        <f>IF([3]Issues!$E$258="","",[3]Issues!$E$258)</f>
        <v/>
      </c>
      <c r="AJ255">
        <f>IF([2]Entry!$S$258="","",[2]Entry!$S$258)</f>
        <v/>
      </c>
      <c r="AK255">
        <f>IF([2]Entry!$C$258="","",[2]Entry!$C$258)</f>
        <v/>
      </c>
      <c r="AL255">
        <f>IF([2]Entry!$D$258="","",[2]Entry!$D$258)</f>
        <v/>
      </c>
      <c r="AM255">
        <f>IF(AND($F255&lt;&gt;"",$I255&lt;&gt;""),IF($G255="دارایی ثابت",1,0),0)</f>
        <v/>
      </c>
      <c r="AN255">
        <f>SUM($AM$6:$AM255)</f>
        <v/>
      </c>
      <c r="AO255">
        <f>IFERROR(INDEX($F$6:$F$565,MATCH(ROW()-5,$AN$6:$AN$565,0)),"")</f>
        <v/>
      </c>
      <c r="AP255">
        <f>IF(AND($F255&lt;&gt;"",$I255&lt;&gt;""),IF($G255="وام و تسهیلات",1,0),0)</f>
        <v/>
      </c>
      <c r="AQ255">
        <f>SUM($AP$6:$AP255)</f>
        <v/>
      </c>
      <c r="AR255">
        <f>IFERROR(INDEX($F$6:$F$565,MATCH(ROW()-5,$AQ$6:$AQ$565,0)),"")</f>
        <v/>
      </c>
      <c r="AS255">
        <f>IF(AND($F255&lt;&gt;"",$I255&lt;&gt;""),IF($G255="سرمایه و آورده صاحبان",1,0),0)</f>
        <v/>
      </c>
      <c r="AT255">
        <f>SUM($AS$6:$AS255)</f>
        <v/>
      </c>
      <c r="AU255">
        <f>IFERROR(INDEX($F$6:$F$565,MATCH(ROW()-5,$AT$6:$AT$565,0)),"")</f>
        <v/>
      </c>
      <c r="AW255">
        <f>IF([3]Issues!$C$258="","",[3]Issues!$C$258)</f>
        <v/>
      </c>
      <c r="AX255">
        <f>IF([4]Entry!$E$258="","",[4]Entry!$E$258)</f>
        <v/>
      </c>
      <c r="AY255">
        <f>IF([4]Entry!$H$258="","",[4]Entry!$H$258)</f>
        <v/>
      </c>
      <c r="AZ255">
        <f>IF([4]Entry!$I$258="","",[4]Entry!$I$258)</f>
        <v/>
      </c>
    </row>
    <row r="256">
      <c r="F256">
        <f>IF([1]Accounts!$D$257="","",[1]Accounts!$A$257)</f>
        <v/>
      </c>
      <c r="G256">
        <f>IF([1]Accounts!$D$257="","",[1]Accounts!$B$257)</f>
        <v/>
      </c>
      <c r="H256">
        <f>IF([1]Accounts!$D$257="","",[1]Accounts!$C$257)</f>
        <v/>
      </c>
      <c r="I256">
        <f>IF([1]Accounts!$D$257="","",[1]Accounts!$D$257)</f>
        <v/>
      </c>
      <c r="R256">
        <f>IF(AND($F256&lt;&gt;"",$I256&lt;&gt;""),IF(OR($G256="دارایی ثابت",$G256="وام و تسهیلات",$G256="سرمایه و آورده صاحبان"),0,1),0)</f>
        <v/>
      </c>
      <c r="S256">
        <f>SUM($R$6:$R256)</f>
        <v/>
      </c>
      <c r="T256">
        <f>IFERROR(INDEX($F$6:$F$565,MATCH(ROW()-5,$S$6:$S$565,0)),"")</f>
        <v/>
      </c>
      <c r="Z256">
        <f>IF([2]Entry!$E$259="","",[2]Entry!$E$259)</f>
        <v/>
      </c>
      <c r="AA256">
        <f>IF([2]Entry!$G$259="","",[2]Entry!$G$259)</f>
        <v/>
      </c>
      <c r="AB256">
        <f>IF([2]Entry!$J$259="","",[2]Entry!$J$259)</f>
        <v/>
      </c>
      <c r="AC256">
        <f>IF([2]Entry!$K$259="","",[2]Entry!$K$259)</f>
        <v/>
      </c>
      <c r="AD256">
        <f>IF([2]Entry!$L$259="","",[2]Entry!$L$259)</f>
        <v/>
      </c>
      <c r="AE256">
        <f>IF([2]Entry!$M$259="","",[2]Entry!$M$259)</f>
        <v/>
      </c>
      <c r="AF256">
        <f>IF([2]Entry!$N$259="","",[2]Entry!$N$259)</f>
        <v/>
      </c>
      <c r="AG256">
        <f>IF([3]Issues!$B$259="","",[3]Issues!$B$259)</f>
        <v/>
      </c>
      <c r="AH256">
        <f>IF([3]Issues!$D$259="","",[3]Issues!$D$259)</f>
        <v/>
      </c>
      <c r="AI256">
        <f>IF([3]Issues!$E$259="","",[3]Issues!$E$259)</f>
        <v/>
      </c>
      <c r="AJ256">
        <f>IF([2]Entry!$S$259="","",[2]Entry!$S$259)</f>
        <v/>
      </c>
      <c r="AK256">
        <f>IF([2]Entry!$C$259="","",[2]Entry!$C$259)</f>
        <v/>
      </c>
      <c r="AL256">
        <f>IF([2]Entry!$D$259="","",[2]Entry!$D$259)</f>
        <v/>
      </c>
      <c r="AM256">
        <f>IF(AND($F256&lt;&gt;"",$I256&lt;&gt;""),IF($G256="دارایی ثابت",1,0),0)</f>
        <v/>
      </c>
      <c r="AN256">
        <f>SUM($AM$6:$AM256)</f>
        <v/>
      </c>
      <c r="AO256">
        <f>IFERROR(INDEX($F$6:$F$565,MATCH(ROW()-5,$AN$6:$AN$565,0)),"")</f>
        <v/>
      </c>
      <c r="AP256">
        <f>IF(AND($F256&lt;&gt;"",$I256&lt;&gt;""),IF($G256="وام و تسهیلات",1,0),0)</f>
        <v/>
      </c>
      <c r="AQ256">
        <f>SUM($AP$6:$AP256)</f>
        <v/>
      </c>
      <c r="AR256">
        <f>IFERROR(INDEX($F$6:$F$565,MATCH(ROW()-5,$AQ$6:$AQ$565,0)),"")</f>
        <v/>
      </c>
      <c r="AS256">
        <f>IF(AND($F256&lt;&gt;"",$I256&lt;&gt;""),IF($G256="سرمایه و آورده صاحبان",1,0),0)</f>
        <v/>
      </c>
      <c r="AT256">
        <f>SUM($AS$6:$AS256)</f>
        <v/>
      </c>
      <c r="AU256">
        <f>IFERROR(INDEX($F$6:$F$565,MATCH(ROW()-5,$AT$6:$AT$565,0)),"")</f>
        <v/>
      </c>
      <c r="AW256">
        <f>IF([3]Issues!$C$259="","",[3]Issues!$C$259)</f>
        <v/>
      </c>
      <c r="AX256">
        <f>IF([4]Entry!$E$259="","",[4]Entry!$E$259)</f>
        <v/>
      </c>
      <c r="AY256">
        <f>IF([4]Entry!$H$259="","",[4]Entry!$H$259)</f>
        <v/>
      </c>
      <c r="AZ256">
        <f>IF([4]Entry!$I$259="","",[4]Entry!$I$259)</f>
        <v/>
      </c>
    </row>
    <row r="257">
      <c r="F257">
        <f>IF([1]Accounts!$D$258="","",[1]Accounts!$A$258)</f>
        <v/>
      </c>
      <c r="G257">
        <f>IF([1]Accounts!$D$258="","",[1]Accounts!$B$258)</f>
        <v/>
      </c>
      <c r="H257">
        <f>IF([1]Accounts!$D$258="","",[1]Accounts!$C$258)</f>
        <v/>
      </c>
      <c r="I257">
        <f>IF([1]Accounts!$D$258="","",[1]Accounts!$D$258)</f>
        <v/>
      </c>
      <c r="R257">
        <f>IF(AND($F257&lt;&gt;"",$I257&lt;&gt;""),IF(OR($G257="دارایی ثابت",$G257="وام و تسهیلات",$G257="سرمایه و آورده صاحبان"),0,1),0)</f>
        <v/>
      </c>
      <c r="S257">
        <f>SUM($R$6:$R257)</f>
        <v/>
      </c>
      <c r="T257">
        <f>IFERROR(INDEX($F$6:$F$565,MATCH(ROW()-5,$S$6:$S$565,0)),"")</f>
        <v/>
      </c>
      <c r="Z257">
        <f>IF([2]Entry!$E$260="","",[2]Entry!$E$260)</f>
        <v/>
      </c>
      <c r="AA257">
        <f>IF([2]Entry!$G$260="","",[2]Entry!$G$260)</f>
        <v/>
      </c>
      <c r="AB257">
        <f>IF([2]Entry!$J$260="","",[2]Entry!$J$260)</f>
        <v/>
      </c>
      <c r="AC257">
        <f>IF([2]Entry!$K$260="","",[2]Entry!$K$260)</f>
        <v/>
      </c>
      <c r="AD257">
        <f>IF([2]Entry!$L$260="","",[2]Entry!$L$260)</f>
        <v/>
      </c>
      <c r="AE257">
        <f>IF([2]Entry!$M$260="","",[2]Entry!$M$260)</f>
        <v/>
      </c>
      <c r="AF257">
        <f>IF([2]Entry!$N$260="","",[2]Entry!$N$260)</f>
        <v/>
      </c>
      <c r="AG257">
        <f>IF([3]Issues!$B$260="","",[3]Issues!$B$260)</f>
        <v/>
      </c>
      <c r="AH257">
        <f>IF([3]Issues!$D$260="","",[3]Issues!$D$260)</f>
        <v/>
      </c>
      <c r="AI257">
        <f>IF([3]Issues!$E$260="","",[3]Issues!$E$260)</f>
        <v/>
      </c>
      <c r="AJ257">
        <f>IF([2]Entry!$S$260="","",[2]Entry!$S$260)</f>
        <v/>
      </c>
      <c r="AK257">
        <f>IF([2]Entry!$C$260="","",[2]Entry!$C$260)</f>
        <v/>
      </c>
      <c r="AL257">
        <f>IF([2]Entry!$D$260="","",[2]Entry!$D$260)</f>
        <v/>
      </c>
      <c r="AM257">
        <f>IF(AND($F257&lt;&gt;"",$I257&lt;&gt;""),IF($G257="دارایی ثابت",1,0),0)</f>
        <v/>
      </c>
      <c r="AN257">
        <f>SUM($AM$6:$AM257)</f>
        <v/>
      </c>
      <c r="AO257">
        <f>IFERROR(INDEX($F$6:$F$565,MATCH(ROW()-5,$AN$6:$AN$565,0)),"")</f>
        <v/>
      </c>
      <c r="AP257">
        <f>IF(AND($F257&lt;&gt;"",$I257&lt;&gt;""),IF($G257="وام و تسهیلات",1,0),0)</f>
        <v/>
      </c>
      <c r="AQ257">
        <f>SUM($AP$6:$AP257)</f>
        <v/>
      </c>
      <c r="AR257">
        <f>IFERROR(INDEX($F$6:$F$565,MATCH(ROW()-5,$AQ$6:$AQ$565,0)),"")</f>
        <v/>
      </c>
      <c r="AS257">
        <f>IF(AND($F257&lt;&gt;"",$I257&lt;&gt;""),IF($G257="سرمایه و آورده صاحبان",1,0),0)</f>
        <v/>
      </c>
      <c r="AT257">
        <f>SUM($AS$6:$AS257)</f>
        <v/>
      </c>
      <c r="AU257">
        <f>IFERROR(INDEX($F$6:$F$565,MATCH(ROW()-5,$AT$6:$AT$565,0)),"")</f>
        <v/>
      </c>
      <c r="AW257">
        <f>IF([3]Issues!$C$260="","",[3]Issues!$C$260)</f>
        <v/>
      </c>
      <c r="AX257">
        <f>IF([4]Entry!$E$260="","",[4]Entry!$E$260)</f>
        <v/>
      </c>
      <c r="AY257">
        <f>IF([4]Entry!$H$260="","",[4]Entry!$H$260)</f>
        <v/>
      </c>
      <c r="AZ257">
        <f>IF([4]Entry!$I$260="","",[4]Entry!$I$260)</f>
        <v/>
      </c>
    </row>
    <row r="258">
      <c r="F258">
        <f>IF([1]Accounts!$D$259="","",[1]Accounts!$A$259)</f>
        <v/>
      </c>
      <c r="G258">
        <f>IF([1]Accounts!$D$259="","",[1]Accounts!$B$259)</f>
        <v/>
      </c>
      <c r="H258">
        <f>IF([1]Accounts!$D$259="","",[1]Accounts!$C$259)</f>
        <v/>
      </c>
      <c r="I258">
        <f>IF([1]Accounts!$D$259="","",[1]Accounts!$D$259)</f>
        <v/>
      </c>
      <c r="R258">
        <f>IF(AND($F258&lt;&gt;"",$I258&lt;&gt;""),IF(OR($G258="دارایی ثابت",$G258="وام و تسهیلات",$G258="سرمایه و آورده صاحبان"),0,1),0)</f>
        <v/>
      </c>
      <c r="S258">
        <f>SUM($R$6:$R258)</f>
        <v/>
      </c>
      <c r="T258">
        <f>IFERROR(INDEX($F$6:$F$565,MATCH(ROW()-5,$S$6:$S$565,0)),"")</f>
        <v/>
      </c>
      <c r="Z258">
        <f>IF([2]Entry!$E$261="","",[2]Entry!$E$261)</f>
        <v/>
      </c>
      <c r="AA258">
        <f>IF([2]Entry!$G$261="","",[2]Entry!$G$261)</f>
        <v/>
      </c>
      <c r="AB258">
        <f>IF([2]Entry!$J$261="","",[2]Entry!$J$261)</f>
        <v/>
      </c>
      <c r="AC258">
        <f>IF([2]Entry!$K$261="","",[2]Entry!$K$261)</f>
        <v/>
      </c>
      <c r="AD258">
        <f>IF([2]Entry!$L$261="","",[2]Entry!$L$261)</f>
        <v/>
      </c>
      <c r="AE258">
        <f>IF([2]Entry!$M$261="","",[2]Entry!$M$261)</f>
        <v/>
      </c>
      <c r="AF258">
        <f>IF([2]Entry!$N$261="","",[2]Entry!$N$261)</f>
        <v/>
      </c>
      <c r="AG258">
        <f>IF([3]Issues!$B$261="","",[3]Issues!$B$261)</f>
        <v/>
      </c>
      <c r="AH258">
        <f>IF([3]Issues!$D$261="","",[3]Issues!$D$261)</f>
        <v/>
      </c>
      <c r="AI258">
        <f>IF([3]Issues!$E$261="","",[3]Issues!$E$261)</f>
        <v/>
      </c>
      <c r="AJ258">
        <f>IF([2]Entry!$S$261="","",[2]Entry!$S$261)</f>
        <v/>
      </c>
      <c r="AK258">
        <f>IF([2]Entry!$C$261="","",[2]Entry!$C$261)</f>
        <v/>
      </c>
      <c r="AL258">
        <f>IF([2]Entry!$D$261="","",[2]Entry!$D$261)</f>
        <v/>
      </c>
      <c r="AM258">
        <f>IF(AND($F258&lt;&gt;"",$I258&lt;&gt;""),IF($G258="دارایی ثابت",1,0),0)</f>
        <v/>
      </c>
      <c r="AN258">
        <f>SUM($AM$6:$AM258)</f>
        <v/>
      </c>
      <c r="AO258">
        <f>IFERROR(INDEX($F$6:$F$565,MATCH(ROW()-5,$AN$6:$AN$565,0)),"")</f>
        <v/>
      </c>
      <c r="AP258">
        <f>IF(AND($F258&lt;&gt;"",$I258&lt;&gt;""),IF($G258="وام و تسهیلات",1,0),0)</f>
        <v/>
      </c>
      <c r="AQ258">
        <f>SUM($AP$6:$AP258)</f>
        <v/>
      </c>
      <c r="AR258">
        <f>IFERROR(INDEX($F$6:$F$565,MATCH(ROW()-5,$AQ$6:$AQ$565,0)),"")</f>
        <v/>
      </c>
      <c r="AS258">
        <f>IF(AND($F258&lt;&gt;"",$I258&lt;&gt;""),IF($G258="سرمایه و آورده صاحبان",1,0),0)</f>
        <v/>
      </c>
      <c r="AT258">
        <f>SUM($AS$6:$AS258)</f>
        <v/>
      </c>
      <c r="AU258">
        <f>IFERROR(INDEX($F$6:$F$565,MATCH(ROW()-5,$AT$6:$AT$565,0)),"")</f>
        <v/>
      </c>
      <c r="AW258">
        <f>IF([3]Issues!$C$261="","",[3]Issues!$C$261)</f>
        <v/>
      </c>
      <c r="AX258">
        <f>IF([4]Entry!$E$261="","",[4]Entry!$E$261)</f>
        <v/>
      </c>
      <c r="AY258">
        <f>IF([4]Entry!$H$261="","",[4]Entry!$H$261)</f>
        <v/>
      </c>
      <c r="AZ258">
        <f>IF([4]Entry!$I$261="","",[4]Entry!$I$261)</f>
        <v/>
      </c>
    </row>
    <row r="259">
      <c r="F259">
        <f>IF([1]Accounts!$D$260="","",[1]Accounts!$A$260)</f>
        <v/>
      </c>
      <c r="G259">
        <f>IF([1]Accounts!$D$260="","",[1]Accounts!$B$260)</f>
        <v/>
      </c>
      <c r="H259">
        <f>IF([1]Accounts!$D$260="","",[1]Accounts!$C$260)</f>
        <v/>
      </c>
      <c r="I259">
        <f>IF([1]Accounts!$D$260="","",[1]Accounts!$D$260)</f>
        <v/>
      </c>
      <c r="R259">
        <f>IF(AND($F259&lt;&gt;"",$I259&lt;&gt;""),IF(OR($G259="دارایی ثابت",$G259="وام و تسهیلات",$G259="سرمایه و آورده صاحبان"),0,1),0)</f>
        <v/>
      </c>
      <c r="S259">
        <f>SUM($R$6:$R259)</f>
        <v/>
      </c>
      <c r="T259">
        <f>IFERROR(INDEX($F$6:$F$565,MATCH(ROW()-5,$S$6:$S$565,0)),"")</f>
        <v/>
      </c>
      <c r="Z259">
        <f>IF([2]Entry!$E$262="","",[2]Entry!$E$262)</f>
        <v/>
      </c>
      <c r="AA259">
        <f>IF([2]Entry!$G$262="","",[2]Entry!$G$262)</f>
        <v/>
      </c>
      <c r="AB259">
        <f>IF([2]Entry!$J$262="","",[2]Entry!$J$262)</f>
        <v/>
      </c>
      <c r="AC259">
        <f>IF([2]Entry!$K$262="","",[2]Entry!$K$262)</f>
        <v/>
      </c>
      <c r="AD259">
        <f>IF([2]Entry!$L$262="","",[2]Entry!$L$262)</f>
        <v/>
      </c>
      <c r="AE259">
        <f>IF([2]Entry!$M$262="","",[2]Entry!$M$262)</f>
        <v/>
      </c>
      <c r="AF259">
        <f>IF([2]Entry!$N$262="","",[2]Entry!$N$262)</f>
        <v/>
      </c>
      <c r="AG259">
        <f>IF([3]Issues!$B$262="","",[3]Issues!$B$262)</f>
        <v/>
      </c>
      <c r="AH259">
        <f>IF([3]Issues!$D$262="","",[3]Issues!$D$262)</f>
        <v/>
      </c>
      <c r="AI259">
        <f>IF([3]Issues!$E$262="","",[3]Issues!$E$262)</f>
        <v/>
      </c>
      <c r="AJ259">
        <f>IF([2]Entry!$S$262="","",[2]Entry!$S$262)</f>
        <v/>
      </c>
      <c r="AK259">
        <f>IF([2]Entry!$C$262="","",[2]Entry!$C$262)</f>
        <v/>
      </c>
      <c r="AL259">
        <f>IF([2]Entry!$D$262="","",[2]Entry!$D$262)</f>
        <v/>
      </c>
      <c r="AM259">
        <f>IF(AND($F259&lt;&gt;"",$I259&lt;&gt;""),IF($G259="دارایی ثابت",1,0),0)</f>
        <v/>
      </c>
      <c r="AN259">
        <f>SUM($AM$6:$AM259)</f>
        <v/>
      </c>
      <c r="AO259">
        <f>IFERROR(INDEX($F$6:$F$565,MATCH(ROW()-5,$AN$6:$AN$565,0)),"")</f>
        <v/>
      </c>
      <c r="AP259">
        <f>IF(AND($F259&lt;&gt;"",$I259&lt;&gt;""),IF($G259="وام و تسهیلات",1,0),0)</f>
        <v/>
      </c>
      <c r="AQ259">
        <f>SUM($AP$6:$AP259)</f>
        <v/>
      </c>
      <c r="AR259">
        <f>IFERROR(INDEX($F$6:$F$565,MATCH(ROW()-5,$AQ$6:$AQ$565,0)),"")</f>
        <v/>
      </c>
      <c r="AS259">
        <f>IF(AND($F259&lt;&gt;"",$I259&lt;&gt;""),IF($G259="سرمایه و آورده صاحبان",1,0),0)</f>
        <v/>
      </c>
      <c r="AT259">
        <f>SUM($AS$6:$AS259)</f>
        <v/>
      </c>
      <c r="AU259">
        <f>IFERROR(INDEX($F$6:$F$565,MATCH(ROW()-5,$AT$6:$AT$565,0)),"")</f>
        <v/>
      </c>
      <c r="AW259">
        <f>IF([3]Issues!$C$262="","",[3]Issues!$C$262)</f>
        <v/>
      </c>
      <c r="AX259">
        <f>IF([4]Entry!$E$262="","",[4]Entry!$E$262)</f>
        <v/>
      </c>
      <c r="AY259">
        <f>IF([4]Entry!$H$262="","",[4]Entry!$H$262)</f>
        <v/>
      </c>
      <c r="AZ259">
        <f>IF([4]Entry!$I$262="","",[4]Entry!$I$262)</f>
        <v/>
      </c>
    </row>
    <row r="260">
      <c r="F260">
        <f>IF([1]Accounts!$D$261="","",[1]Accounts!$A$261)</f>
        <v/>
      </c>
      <c r="G260">
        <f>IF([1]Accounts!$D$261="","",[1]Accounts!$B$261)</f>
        <v/>
      </c>
      <c r="H260">
        <f>IF([1]Accounts!$D$261="","",[1]Accounts!$C$261)</f>
        <v/>
      </c>
      <c r="I260">
        <f>IF([1]Accounts!$D$261="","",[1]Accounts!$D$261)</f>
        <v/>
      </c>
      <c r="R260">
        <f>IF(AND($F260&lt;&gt;"",$I260&lt;&gt;""),IF(OR($G260="دارایی ثابت",$G260="وام و تسهیلات",$G260="سرمایه و آورده صاحبان"),0,1),0)</f>
        <v/>
      </c>
      <c r="S260">
        <f>SUM($R$6:$R260)</f>
        <v/>
      </c>
      <c r="T260">
        <f>IFERROR(INDEX($F$6:$F$565,MATCH(ROW()-5,$S$6:$S$565,0)),"")</f>
        <v/>
      </c>
      <c r="Z260">
        <f>IF([2]Entry!$E$263="","",[2]Entry!$E$263)</f>
        <v/>
      </c>
      <c r="AA260">
        <f>IF([2]Entry!$G$263="","",[2]Entry!$G$263)</f>
        <v/>
      </c>
      <c r="AB260">
        <f>IF([2]Entry!$J$263="","",[2]Entry!$J$263)</f>
        <v/>
      </c>
      <c r="AC260">
        <f>IF([2]Entry!$K$263="","",[2]Entry!$K$263)</f>
        <v/>
      </c>
      <c r="AD260">
        <f>IF([2]Entry!$L$263="","",[2]Entry!$L$263)</f>
        <v/>
      </c>
      <c r="AE260">
        <f>IF([2]Entry!$M$263="","",[2]Entry!$M$263)</f>
        <v/>
      </c>
      <c r="AF260">
        <f>IF([2]Entry!$N$263="","",[2]Entry!$N$263)</f>
        <v/>
      </c>
      <c r="AG260">
        <f>IF([3]Issues!$B$263="","",[3]Issues!$B$263)</f>
        <v/>
      </c>
      <c r="AH260">
        <f>IF([3]Issues!$D$263="","",[3]Issues!$D$263)</f>
        <v/>
      </c>
      <c r="AI260">
        <f>IF([3]Issues!$E$263="","",[3]Issues!$E$263)</f>
        <v/>
      </c>
      <c r="AJ260">
        <f>IF([2]Entry!$S$263="","",[2]Entry!$S$263)</f>
        <v/>
      </c>
      <c r="AK260">
        <f>IF([2]Entry!$C$263="","",[2]Entry!$C$263)</f>
        <v/>
      </c>
      <c r="AL260">
        <f>IF([2]Entry!$D$263="","",[2]Entry!$D$263)</f>
        <v/>
      </c>
      <c r="AM260">
        <f>IF(AND($F260&lt;&gt;"",$I260&lt;&gt;""),IF($G260="دارایی ثابت",1,0),0)</f>
        <v/>
      </c>
      <c r="AN260">
        <f>SUM($AM$6:$AM260)</f>
        <v/>
      </c>
      <c r="AO260">
        <f>IFERROR(INDEX($F$6:$F$565,MATCH(ROW()-5,$AN$6:$AN$565,0)),"")</f>
        <v/>
      </c>
      <c r="AP260">
        <f>IF(AND($F260&lt;&gt;"",$I260&lt;&gt;""),IF($G260="وام و تسهیلات",1,0),0)</f>
        <v/>
      </c>
      <c r="AQ260">
        <f>SUM($AP$6:$AP260)</f>
        <v/>
      </c>
      <c r="AR260">
        <f>IFERROR(INDEX($F$6:$F$565,MATCH(ROW()-5,$AQ$6:$AQ$565,0)),"")</f>
        <v/>
      </c>
      <c r="AS260">
        <f>IF(AND($F260&lt;&gt;"",$I260&lt;&gt;""),IF($G260="سرمایه و آورده صاحبان",1,0),0)</f>
        <v/>
      </c>
      <c r="AT260">
        <f>SUM($AS$6:$AS260)</f>
        <v/>
      </c>
      <c r="AU260">
        <f>IFERROR(INDEX($F$6:$F$565,MATCH(ROW()-5,$AT$6:$AT$565,0)),"")</f>
        <v/>
      </c>
      <c r="AW260">
        <f>IF([3]Issues!$C$263="","",[3]Issues!$C$263)</f>
        <v/>
      </c>
      <c r="AX260">
        <f>IF([4]Entry!$E$263="","",[4]Entry!$E$263)</f>
        <v/>
      </c>
      <c r="AY260">
        <f>IF([4]Entry!$H$263="","",[4]Entry!$H$263)</f>
        <v/>
      </c>
      <c r="AZ260">
        <f>IF([4]Entry!$I$263="","",[4]Entry!$I$263)</f>
        <v/>
      </c>
    </row>
    <row r="261">
      <c r="F261">
        <f>IF([1]Accounts!$D$262="","",[1]Accounts!$A$262)</f>
        <v/>
      </c>
      <c r="G261">
        <f>IF([1]Accounts!$D$262="","",[1]Accounts!$B$262)</f>
        <v/>
      </c>
      <c r="H261">
        <f>IF([1]Accounts!$D$262="","",[1]Accounts!$C$262)</f>
        <v/>
      </c>
      <c r="I261">
        <f>IF([1]Accounts!$D$262="","",[1]Accounts!$D$262)</f>
        <v/>
      </c>
      <c r="R261">
        <f>IF(AND($F261&lt;&gt;"",$I261&lt;&gt;""),IF(OR($G261="دارایی ثابت",$G261="وام و تسهیلات",$G261="سرمایه و آورده صاحبان"),0,1),0)</f>
        <v/>
      </c>
      <c r="S261">
        <f>SUM($R$6:$R261)</f>
        <v/>
      </c>
      <c r="T261">
        <f>IFERROR(INDEX($F$6:$F$565,MATCH(ROW()-5,$S$6:$S$565,0)),"")</f>
        <v/>
      </c>
      <c r="Z261">
        <f>IF([2]Entry!$E$264="","",[2]Entry!$E$264)</f>
        <v/>
      </c>
      <c r="AA261">
        <f>IF([2]Entry!$G$264="","",[2]Entry!$G$264)</f>
        <v/>
      </c>
      <c r="AB261">
        <f>IF([2]Entry!$J$264="","",[2]Entry!$J$264)</f>
        <v/>
      </c>
      <c r="AC261">
        <f>IF([2]Entry!$K$264="","",[2]Entry!$K$264)</f>
        <v/>
      </c>
      <c r="AD261">
        <f>IF([2]Entry!$L$264="","",[2]Entry!$L$264)</f>
        <v/>
      </c>
      <c r="AE261">
        <f>IF([2]Entry!$M$264="","",[2]Entry!$M$264)</f>
        <v/>
      </c>
      <c r="AF261">
        <f>IF([2]Entry!$N$264="","",[2]Entry!$N$264)</f>
        <v/>
      </c>
      <c r="AG261">
        <f>IF([3]Issues!$B$264="","",[3]Issues!$B$264)</f>
        <v/>
      </c>
      <c r="AH261">
        <f>IF([3]Issues!$D$264="","",[3]Issues!$D$264)</f>
        <v/>
      </c>
      <c r="AI261">
        <f>IF([3]Issues!$E$264="","",[3]Issues!$E$264)</f>
        <v/>
      </c>
      <c r="AJ261">
        <f>IF([2]Entry!$S$264="","",[2]Entry!$S$264)</f>
        <v/>
      </c>
      <c r="AK261">
        <f>IF([2]Entry!$C$264="","",[2]Entry!$C$264)</f>
        <v/>
      </c>
      <c r="AL261">
        <f>IF([2]Entry!$D$264="","",[2]Entry!$D$264)</f>
        <v/>
      </c>
      <c r="AM261">
        <f>IF(AND($F261&lt;&gt;"",$I261&lt;&gt;""),IF($G261="دارایی ثابت",1,0),0)</f>
        <v/>
      </c>
      <c r="AN261">
        <f>SUM($AM$6:$AM261)</f>
        <v/>
      </c>
      <c r="AO261">
        <f>IFERROR(INDEX($F$6:$F$565,MATCH(ROW()-5,$AN$6:$AN$565,0)),"")</f>
        <v/>
      </c>
      <c r="AP261">
        <f>IF(AND($F261&lt;&gt;"",$I261&lt;&gt;""),IF($G261="وام و تسهیلات",1,0),0)</f>
        <v/>
      </c>
      <c r="AQ261">
        <f>SUM($AP$6:$AP261)</f>
        <v/>
      </c>
      <c r="AR261">
        <f>IFERROR(INDEX($F$6:$F$565,MATCH(ROW()-5,$AQ$6:$AQ$565,0)),"")</f>
        <v/>
      </c>
      <c r="AS261">
        <f>IF(AND($F261&lt;&gt;"",$I261&lt;&gt;""),IF($G261="سرمایه و آورده صاحبان",1,0),0)</f>
        <v/>
      </c>
      <c r="AT261">
        <f>SUM($AS$6:$AS261)</f>
        <v/>
      </c>
      <c r="AU261">
        <f>IFERROR(INDEX($F$6:$F$565,MATCH(ROW()-5,$AT$6:$AT$565,0)),"")</f>
        <v/>
      </c>
      <c r="AW261">
        <f>IF([3]Issues!$C$264="","",[3]Issues!$C$264)</f>
        <v/>
      </c>
      <c r="AX261">
        <f>IF([4]Entry!$E$264="","",[4]Entry!$E$264)</f>
        <v/>
      </c>
      <c r="AY261">
        <f>IF([4]Entry!$H$264="","",[4]Entry!$H$264)</f>
        <v/>
      </c>
      <c r="AZ261">
        <f>IF([4]Entry!$I$264="","",[4]Entry!$I$264)</f>
        <v/>
      </c>
    </row>
    <row r="262">
      <c r="F262">
        <f>IF([1]Accounts!$D$263="","",[1]Accounts!$A$263)</f>
        <v/>
      </c>
      <c r="G262">
        <f>IF([1]Accounts!$D$263="","",[1]Accounts!$B$263)</f>
        <v/>
      </c>
      <c r="H262">
        <f>IF([1]Accounts!$D$263="","",[1]Accounts!$C$263)</f>
        <v/>
      </c>
      <c r="I262">
        <f>IF([1]Accounts!$D$263="","",[1]Accounts!$D$263)</f>
        <v/>
      </c>
      <c r="R262">
        <f>IF(AND($F262&lt;&gt;"",$I262&lt;&gt;""),IF(OR($G262="دارایی ثابت",$G262="وام و تسهیلات",$G262="سرمایه و آورده صاحبان"),0,1),0)</f>
        <v/>
      </c>
      <c r="S262">
        <f>SUM($R$6:$R262)</f>
        <v/>
      </c>
      <c r="T262">
        <f>IFERROR(INDEX($F$6:$F$565,MATCH(ROW()-5,$S$6:$S$565,0)),"")</f>
        <v/>
      </c>
      <c r="Z262">
        <f>IF([2]Entry!$E$265="","",[2]Entry!$E$265)</f>
        <v/>
      </c>
      <c r="AA262">
        <f>IF([2]Entry!$G$265="","",[2]Entry!$G$265)</f>
        <v/>
      </c>
      <c r="AB262">
        <f>IF([2]Entry!$J$265="","",[2]Entry!$J$265)</f>
        <v/>
      </c>
      <c r="AC262">
        <f>IF([2]Entry!$K$265="","",[2]Entry!$K$265)</f>
        <v/>
      </c>
      <c r="AD262">
        <f>IF([2]Entry!$L$265="","",[2]Entry!$L$265)</f>
        <v/>
      </c>
      <c r="AE262">
        <f>IF([2]Entry!$M$265="","",[2]Entry!$M$265)</f>
        <v/>
      </c>
      <c r="AF262">
        <f>IF([2]Entry!$N$265="","",[2]Entry!$N$265)</f>
        <v/>
      </c>
      <c r="AG262">
        <f>IF([3]Issues!$B$265="","",[3]Issues!$B$265)</f>
        <v/>
      </c>
      <c r="AH262">
        <f>IF([3]Issues!$D$265="","",[3]Issues!$D$265)</f>
        <v/>
      </c>
      <c r="AI262">
        <f>IF([3]Issues!$E$265="","",[3]Issues!$E$265)</f>
        <v/>
      </c>
      <c r="AJ262">
        <f>IF([2]Entry!$S$265="","",[2]Entry!$S$265)</f>
        <v/>
      </c>
      <c r="AK262">
        <f>IF([2]Entry!$C$265="","",[2]Entry!$C$265)</f>
        <v/>
      </c>
      <c r="AL262">
        <f>IF([2]Entry!$D$265="","",[2]Entry!$D$265)</f>
        <v/>
      </c>
      <c r="AM262">
        <f>IF(AND($F262&lt;&gt;"",$I262&lt;&gt;""),IF($G262="دارایی ثابت",1,0),0)</f>
        <v/>
      </c>
      <c r="AN262">
        <f>SUM($AM$6:$AM262)</f>
        <v/>
      </c>
      <c r="AO262">
        <f>IFERROR(INDEX($F$6:$F$565,MATCH(ROW()-5,$AN$6:$AN$565,0)),"")</f>
        <v/>
      </c>
      <c r="AP262">
        <f>IF(AND($F262&lt;&gt;"",$I262&lt;&gt;""),IF($G262="وام و تسهیلات",1,0),0)</f>
        <v/>
      </c>
      <c r="AQ262">
        <f>SUM($AP$6:$AP262)</f>
        <v/>
      </c>
      <c r="AR262">
        <f>IFERROR(INDEX($F$6:$F$565,MATCH(ROW()-5,$AQ$6:$AQ$565,0)),"")</f>
        <v/>
      </c>
      <c r="AS262">
        <f>IF(AND($F262&lt;&gt;"",$I262&lt;&gt;""),IF($G262="سرمایه و آورده صاحبان",1,0),0)</f>
        <v/>
      </c>
      <c r="AT262">
        <f>SUM($AS$6:$AS262)</f>
        <v/>
      </c>
      <c r="AU262">
        <f>IFERROR(INDEX($F$6:$F$565,MATCH(ROW()-5,$AT$6:$AT$565,0)),"")</f>
        <v/>
      </c>
      <c r="AW262">
        <f>IF([3]Issues!$C$265="","",[3]Issues!$C$265)</f>
        <v/>
      </c>
      <c r="AX262">
        <f>IF([4]Entry!$E$265="","",[4]Entry!$E$265)</f>
        <v/>
      </c>
      <c r="AY262">
        <f>IF([4]Entry!$H$265="","",[4]Entry!$H$265)</f>
        <v/>
      </c>
      <c r="AZ262">
        <f>IF([4]Entry!$I$265="","",[4]Entry!$I$265)</f>
        <v/>
      </c>
    </row>
    <row r="263">
      <c r="F263">
        <f>IF([1]Accounts!$D$264="","",[1]Accounts!$A$264)</f>
        <v/>
      </c>
      <c r="G263">
        <f>IF([1]Accounts!$D$264="","",[1]Accounts!$B$264)</f>
        <v/>
      </c>
      <c r="H263">
        <f>IF([1]Accounts!$D$264="","",[1]Accounts!$C$264)</f>
        <v/>
      </c>
      <c r="I263">
        <f>IF([1]Accounts!$D$264="","",[1]Accounts!$D$264)</f>
        <v/>
      </c>
      <c r="R263">
        <f>IF(AND($F263&lt;&gt;"",$I263&lt;&gt;""),IF(OR($G263="دارایی ثابت",$G263="وام و تسهیلات",$G263="سرمایه و آورده صاحبان"),0,1),0)</f>
        <v/>
      </c>
      <c r="S263">
        <f>SUM($R$6:$R263)</f>
        <v/>
      </c>
      <c r="T263">
        <f>IFERROR(INDEX($F$6:$F$565,MATCH(ROW()-5,$S$6:$S$565,0)),"")</f>
        <v/>
      </c>
      <c r="Z263">
        <f>IF([2]Entry!$E$266="","",[2]Entry!$E$266)</f>
        <v/>
      </c>
      <c r="AA263">
        <f>IF([2]Entry!$G$266="","",[2]Entry!$G$266)</f>
        <v/>
      </c>
      <c r="AB263">
        <f>IF([2]Entry!$J$266="","",[2]Entry!$J$266)</f>
        <v/>
      </c>
      <c r="AC263">
        <f>IF([2]Entry!$K$266="","",[2]Entry!$K$266)</f>
        <v/>
      </c>
      <c r="AD263">
        <f>IF([2]Entry!$L$266="","",[2]Entry!$L$266)</f>
        <v/>
      </c>
      <c r="AE263">
        <f>IF([2]Entry!$M$266="","",[2]Entry!$M$266)</f>
        <v/>
      </c>
      <c r="AF263">
        <f>IF([2]Entry!$N$266="","",[2]Entry!$N$266)</f>
        <v/>
      </c>
      <c r="AG263">
        <f>IF([3]Issues!$B$266="","",[3]Issues!$B$266)</f>
        <v/>
      </c>
      <c r="AH263">
        <f>IF([3]Issues!$D$266="","",[3]Issues!$D$266)</f>
        <v/>
      </c>
      <c r="AI263">
        <f>IF([3]Issues!$E$266="","",[3]Issues!$E$266)</f>
        <v/>
      </c>
      <c r="AJ263">
        <f>IF([2]Entry!$S$266="","",[2]Entry!$S$266)</f>
        <v/>
      </c>
      <c r="AK263">
        <f>IF([2]Entry!$C$266="","",[2]Entry!$C$266)</f>
        <v/>
      </c>
      <c r="AL263">
        <f>IF([2]Entry!$D$266="","",[2]Entry!$D$266)</f>
        <v/>
      </c>
      <c r="AM263">
        <f>IF(AND($F263&lt;&gt;"",$I263&lt;&gt;""),IF($G263="دارایی ثابت",1,0),0)</f>
        <v/>
      </c>
      <c r="AN263">
        <f>SUM($AM$6:$AM263)</f>
        <v/>
      </c>
      <c r="AO263">
        <f>IFERROR(INDEX($F$6:$F$565,MATCH(ROW()-5,$AN$6:$AN$565,0)),"")</f>
        <v/>
      </c>
      <c r="AP263">
        <f>IF(AND($F263&lt;&gt;"",$I263&lt;&gt;""),IF($G263="وام و تسهیلات",1,0),0)</f>
        <v/>
      </c>
      <c r="AQ263">
        <f>SUM($AP$6:$AP263)</f>
        <v/>
      </c>
      <c r="AR263">
        <f>IFERROR(INDEX($F$6:$F$565,MATCH(ROW()-5,$AQ$6:$AQ$565,0)),"")</f>
        <v/>
      </c>
      <c r="AS263">
        <f>IF(AND($F263&lt;&gt;"",$I263&lt;&gt;""),IF($G263="سرمایه و آورده صاحبان",1,0),0)</f>
        <v/>
      </c>
      <c r="AT263">
        <f>SUM($AS$6:$AS263)</f>
        <v/>
      </c>
      <c r="AU263">
        <f>IFERROR(INDEX($F$6:$F$565,MATCH(ROW()-5,$AT$6:$AT$565,0)),"")</f>
        <v/>
      </c>
      <c r="AW263">
        <f>IF([3]Issues!$C$266="","",[3]Issues!$C$266)</f>
        <v/>
      </c>
      <c r="AX263">
        <f>IF([4]Entry!$E$266="","",[4]Entry!$E$266)</f>
        <v/>
      </c>
      <c r="AY263">
        <f>IF([4]Entry!$H$266="","",[4]Entry!$H$266)</f>
        <v/>
      </c>
      <c r="AZ263">
        <f>IF([4]Entry!$I$266="","",[4]Entry!$I$266)</f>
        <v/>
      </c>
    </row>
    <row r="264">
      <c r="F264">
        <f>IF([1]Accounts!$D$265="","",[1]Accounts!$A$265)</f>
        <v/>
      </c>
      <c r="G264">
        <f>IF([1]Accounts!$D$265="","",[1]Accounts!$B$265)</f>
        <v/>
      </c>
      <c r="H264">
        <f>IF([1]Accounts!$D$265="","",[1]Accounts!$C$265)</f>
        <v/>
      </c>
      <c r="I264">
        <f>IF([1]Accounts!$D$265="","",[1]Accounts!$D$265)</f>
        <v/>
      </c>
      <c r="R264">
        <f>IF(AND($F264&lt;&gt;"",$I264&lt;&gt;""),IF(OR($G264="دارایی ثابت",$G264="وام و تسهیلات",$G264="سرمایه و آورده صاحبان"),0,1),0)</f>
        <v/>
      </c>
      <c r="S264">
        <f>SUM($R$6:$R264)</f>
        <v/>
      </c>
      <c r="T264">
        <f>IFERROR(INDEX($F$6:$F$565,MATCH(ROW()-5,$S$6:$S$565,0)),"")</f>
        <v/>
      </c>
      <c r="Z264">
        <f>IF([2]Entry!$E$267="","",[2]Entry!$E$267)</f>
        <v/>
      </c>
      <c r="AA264">
        <f>IF([2]Entry!$G$267="","",[2]Entry!$G$267)</f>
        <v/>
      </c>
      <c r="AB264">
        <f>IF([2]Entry!$J$267="","",[2]Entry!$J$267)</f>
        <v/>
      </c>
      <c r="AC264">
        <f>IF([2]Entry!$K$267="","",[2]Entry!$K$267)</f>
        <v/>
      </c>
      <c r="AD264">
        <f>IF([2]Entry!$L$267="","",[2]Entry!$L$267)</f>
        <v/>
      </c>
      <c r="AE264">
        <f>IF([2]Entry!$M$267="","",[2]Entry!$M$267)</f>
        <v/>
      </c>
      <c r="AF264">
        <f>IF([2]Entry!$N$267="","",[2]Entry!$N$267)</f>
        <v/>
      </c>
      <c r="AG264">
        <f>IF([3]Issues!$B$267="","",[3]Issues!$B$267)</f>
        <v/>
      </c>
      <c r="AH264">
        <f>IF([3]Issues!$D$267="","",[3]Issues!$D$267)</f>
        <v/>
      </c>
      <c r="AI264">
        <f>IF([3]Issues!$E$267="","",[3]Issues!$E$267)</f>
        <v/>
      </c>
      <c r="AJ264">
        <f>IF([2]Entry!$S$267="","",[2]Entry!$S$267)</f>
        <v/>
      </c>
      <c r="AK264">
        <f>IF([2]Entry!$C$267="","",[2]Entry!$C$267)</f>
        <v/>
      </c>
      <c r="AL264">
        <f>IF([2]Entry!$D$267="","",[2]Entry!$D$267)</f>
        <v/>
      </c>
      <c r="AM264">
        <f>IF(AND($F264&lt;&gt;"",$I264&lt;&gt;""),IF($G264="دارایی ثابت",1,0),0)</f>
        <v/>
      </c>
      <c r="AN264">
        <f>SUM($AM$6:$AM264)</f>
        <v/>
      </c>
      <c r="AO264">
        <f>IFERROR(INDEX($F$6:$F$565,MATCH(ROW()-5,$AN$6:$AN$565,0)),"")</f>
        <v/>
      </c>
      <c r="AP264">
        <f>IF(AND($F264&lt;&gt;"",$I264&lt;&gt;""),IF($G264="وام و تسهیلات",1,0),0)</f>
        <v/>
      </c>
      <c r="AQ264">
        <f>SUM($AP$6:$AP264)</f>
        <v/>
      </c>
      <c r="AR264">
        <f>IFERROR(INDEX($F$6:$F$565,MATCH(ROW()-5,$AQ$6:$AQ$565,0)),"")</f>
        <v/>
      </c>
      <c r="AS264">
        <f>IF(AND($F264&lt;&gt;"",$I264&lt;&gt;""),IF($G264="سرمایه و آورده صاحبان",1,0),0)</f>
        <v/>
      </c>
      <c r="AT264">
        <f>SUM($AS$6:$AS264)</f>
        <v/>
      </c>
      <c r="AU264">
        <f>IFERROR(INDEX($F$6:$F$565,MATCH(ROW()-5,$AT$6:$AT$565,0)),"")</f>
        <v/>
      </c>
      <c r="AW264">
        <f>IF([3]Issues!$C$267="","",[3]Issues!$C$267)</f>
        <v/>
      </c>
      <c r="AX264">
        <f>IF([4]Entry!$E$267="","",[4]Entry!$E$267)</f>
        <v/>
      </c>
      <c r="AY264">
        <f>IF([4]Entry!$H$267="","",[4]Entry!$H$267)</f>
        <v/>
      </c>
      <c r="AZ264">
        <f>IF([4]Entry!$I$267="","",[4]Entry!$I$267)</f>
        <v/>
      </c>
    </row>
    <row r="265">
      <c r="F265">
        <f>IF([1]Accounts!$D$266="","",[1]Accounts!$A$266)</f>
        <v/>
      </c>
      <c r="G265">
        <f>IF([1]Accounts!$D$266="","",[1]Accounts!$B$266)</f>
        <v/>
      </c>
      <c r="H265">
        <f>IF([1]Accounts!$D$266="","",[1]Accounts!$C$266)</f>
        <v/>
      </c>
      <c r="I265">
        <f>IF([1]Accounts!$D$266="","",[1]Accounts!$D$266)</f>
        <v/>
      </c>
      <c r="R265">
        <f>IF(AND($F265&lt;&gt;"",$I265&lt;&gt;""),IF(OR($G265="دارایی ثابت",$G265="وام و تسهیلات",$G265="سرمایه و آورده صاحبان"),0,1),0)</f>
        <v/>
      </c>
      <c r="S265">
        <f>SUM($R$6:$R265)</f>
        <v/>
      </c>
      <c r="T265">
        <f>IFERROR(INDEX($F$6:$F$565,MATCH(ROW()-5,$S$6:$S$565,0)),"")</f>
        <v/>
      </c>
      <c r="Z265">
        <f>IF([2]Entry!$E$268="","",[2]Entry!$E$268)</f>
        <v/>
      </c>
      <c r="AA265">
        <f>IF([2]Entry!$G$268="","",[2]Entry!$G$268)</f>
        <v/>
      </c>
      <c r="AB265">
        <f>IF([2]Entry!$J$268="","",[2]Entry!$J$268)</f>
        <v/>
      </c>
      <c r="AC265">
        <f>IF([2]Entry!$K$268="","",[2]Entry!$K$268)</f>
        <v/>
      </c>
      <c r="AD265">
        <f>IF([2]Entry!$L$268="","",[2]Entry!$L$268)</f>
        <v/>
      </c>
      <c r="AE265">
        <f>IF([2]Entry!$M$268="","",[2]Entry!$M$268)</f>
        <v/>
      </c>
      <c r="AF265">
        <f>IF([2]Entry!$N$268="","",[2]Entry!$N$268)</f>
        <v/>
      </c>
      <c r="AG265">
        <f>IF([3]Issues!$B$268="","",[3]Issues!$B$268)</f>
        <v/>
      </c>
      <c r="AH265">
        <f>IF([3]Issues!$D$268="","",[3]Issues!$D$268)</f>
        <v/>
      </c>
      <c r="AI265">
        <f>IF([3]Issues!$E$268="","",[3]Issues!$E$268)</f>
        <v/>
      </c>
      <c r="AJ265">
        <f>IF([2]Entry!$S$268="","",[2]Entry!$S$268)</f>
        <v/>
      </c>
      <c r="AK265">
        <f>IF([2]Entry!$C$268="","",[2]Entry!$C$268)</f>
        <v/>
      </c>
      <c r="AL265">
        <f>IF([2]Entry!$D$268="","",[2]Entry!$D$268)</f>
        <v/>
      </c>
      <c r="AM265">
        <f>IF(AND($F265&lt;&gt;"",$I265&lt;&gt;""),IF($G265="دارایی ثابت",1,0),0)</f>
        <v/>
      </c>
      <c r="AN265">
        <f>SUM($AM$6:$AM265)</f>
        <v/>
      </c>
      <c r="AO265">
        <f>IFERROR(INDEX($F$6:$F$565,MATCH(ROW()-5,$AN$6:$AN$565,0)),"")</f>
        <v/>
      </c>
      <c r="AP265">
        <f>IF(AND($F265&lt;&gt;"",$I265&lt;&gt;""),IF($G265="وام و تسهیلات",1,0),0)</f>
        <v/>
      </c>
      <c r="AQ265">
        <f>SUM($AP$6:$AP265)</f>
        <v/>
      </c>
      <c r="AR265">
        <f>IFERROR(INDEX($F$6:$F$565,MATCH(ROW()-5,$AQ$6:$AQ$565,0)),"")</f>
        <v/>
      </c>
      <c r="AS265">
        <f>IF(AND($F265&lt;&gt;"",$I265&lt;&gt;""),IF($G265="سرمایه و آورده صاحبان",1,0),0)</f>
        <v/>
      </c>
      <c r="AT265">
        <f>SUM($AS$6:$AS265)</f>
        <v/>
      </c>
      <c r="AU265">
        <f>IFERROR(INDEX($F$6:$F$565,MATCH(ROW()-5,$AT$6:$AT$565,0)),"")</f>
        <v/>
      </c>
      <c r="AW265">
        <f>IF([3]Issues!$C$268="","",[3]Issues!$C$268)</f>
        <v/>
      </c>
      <c r="AX265">
        <f>IF([4]Entry!$E$268="","",[4]Entry!$E$268)</f>
        <v/>
      </c>
      <c r="AY265">
        <f>IF([4]Entry!$H$268="","",[4]Entry!$H$268)</f>
        <v/>
      </c>
      <c r="AZ265">
        <f>IF([4]Entry!$I$268="","",[4]Entry!$I$268)</f>
        <v/>
      </c>
    </row>
    <row r="266">
      <c r="F266">
        <f>IF([1]Accounts!$D$267="","",[1]Accounts!$A$267)</f>
        <v/>
      </c>
      <c r="G266">
        <f>IF([1]Accounts!$D$267="","",[1]Accounts!$B$267)</f>
        <v/>
      </c>
      <c r="H266">
        <f>IF([1]Accounts!$D$267="","",[1]Accounts!$C$267)</f>
        <v/>
      </c>
      <c r="I266">
        <f>IF([1]Accounts!$D$267="","",[1]Accounts!$D$267)</f>
        <v/>
      </c>
      <c r="R266">
        <f>IF(AND($F266&lt;&gt;"",$I266&lt;&gt;""),IF(OR($G266="دارایی ثابت",$G266="وام و تسهیلات",$G266="سرمایه و آورده صاحبان"),0,1),0)</f>
        <v/>
      </c>
      <c r="S266">
        <f>SUM($R$6:$R266)</f>
        <v/>
      </c>
      <c r="T266">
        <f>IFERROR(INDEX($F$6:$F$565,MATCH(ROW()-5,$S$6:$S$565,0)),"")</f>
        <v/>
      </c>
      <c r="Z266">
        <f>IF([2]Entry!$E$269="","",[2]Entry!$E$269)</f>
        <v/>
      </c>
      <c r="AA266">
        <f>IF([2]Entry!$G$269="","",[2]Entry!$G$269)</f>
        <v/>
      </c>
      <c r="AB266">
        <f>IF([2]Entry!$J$269="","",[2]Entry!$J$269)</f>
        <v/>
      </c>
      <c r="AC266">
        <f>IF([2]Entry!$K$269="","",[2]Entry!$K$269)</f>
        <v/>
      </c>
      <c r="AD266">
        <f>IF([2]Entry!$L$269="","",[2]Entry!$L$269)</f>
        <v/>
      </c>
      <c r="AE266">
        <f>IF([2]Entry!$M$269="","",[2]Entry!$M$269)</f>
        <v/>
      </c>
      <c r="AF266">
        <f>IF([2]Entry!$N$269="","",[2]Entry!$N$269)</f>
        <v/>
      </c>
      <c r="AG266">
        <f>IF([3]Issues!$B$269="","",[3]Issues!$B$269)</f>
        <v/>
      </c>
      <c r="AH266">
        <f>IF([3]Issues!$D$269="","",[3]Issues!$D$269)</f>
        <v/>
      </c>
      <c r="AI266">
        <f>IF([3]Issues!$E$269="","",[3]Issues!$E$269)</f>
        <v/>
      </c>
      <c r="AJ266">
        <f>IF([2]Entry!$S$269="","",[2]Entry!$S$269)</f>
        <v/>
      </c>
      <c r="AK266">
        <f>IF([2]Entry!$C$269="","",[2]Entry!$C$269)</f>
        <v/>
      </c>
      <c r="AL266">
        <f>IF([2]Entry!$D$269="","",[2]Entry!$D$269)</f>
        <v/>
      </c>
      <c r="AM266">
        <f>IF(AND($F266&lt;&gt;"",$I266&lt;&gt;""),IF($G266="دارایی ثابت",1,0),0)</f>
        <v/>
      </c>
      <c r="AN266">
        <f>SUM($AM$6:$AM266)</f>
        <v/>
      </c>
      <c r="AO266">
        <f>IFERROR(INDEX($F$6:$F$565,MATCH(ROW()-5,$AN$6:$AN$565,0)),"")</f>
        <v/>
      </c>
      <c r="AP266">
        <f>IF(AND($F266&lt;&gt;"",$I266&lt;&gt;""),IF($G266="وام و تسهیلات",1,0),0)</f>
        <v/>
      </c>
      <c r="AQ266">
        <f>SUM($AP$6:$AP266)</f>
        <v/>
      </c>
      <c r="AR266">
        <f>IFERROR(INDEX($F$6:$F$565,MATCH(ROW()-5,$AQ$6:$AQ$565,0)),"")</f>
        <v/>
      </c>
      <c r="AS266">
        <f>IF(AND($F266&lt;&gt;"",$I266&lt;&gt;""),IF($G266="سرمایه و آورده صاحبان",1,0),0)</f>
        <v/>
      </c>
      <c r="AT266">
        <f>SUM($AS$6:$AS266)</f>
        <v/>
      </c>
      <c r="AU266">
        <f>IFERROR(INDEX($F$6:$F$565,MATCH(ROW()-5,$AT$6:$AT$565,0)),"")</f>
        <v/>
      </c>
      <c r="AW266">
        <f>IF([3]Issues!$C$269="","",[3]Issues!$C$269)</f>
        <v/>
      </c>
      <c r="AX266">
        <f>IF([4]Entry!$E$269="","",[4]Entry!$E$269)</f>
        <v/>
      </c>
      <c r="AY266">
        <f>IF([4]Entry!$H$269="","",[4]Entry!$H$269)</f>
        <v/>
      </c>
      <c r="AZ266">
        <f>IF([4]Entry!$I$269="","",[4]Entry!$I$269)</f>
        <v/>
      </c>
    </row>
    <row r="267">
      <c r="F267">
        <f>IF([1]Accounts!$D$268="","",[1]Accounts!$A$268)</f>
        <v/>
      </c>
      <c r="G267">
        <f>IF([1]Accounts!$D$268="","",[1]Accounts!$B$268)</f>
        <v/>
      </c>
      <c r="H267">
        <f>IF([1]Accounts!$D$268="","",[1]Accounts!$C$268)</f>
        <v/>
      </c>
      <c r="I267">
        <f>IF([1]Accounts!$D$268="","",[1]Accounts!$D$268)</f>
        <v/>
      </c>
      <c r="R267">
        <f>IF(AND($F267&lt;&gt;"",$I267&lt;&gt;""),IF(OR($G267="دارایی ثابت",$G267="وام و تسهیلات",$G267="سرمایه و آورده صاحبان"),0,1),0)</f>
        <v/>
      </c>
      <c r="S267">
        <f>SUM($R$6:$R267)</f>
        <v/>
      </c>
      <c r="T267">
        <f>IFERROR(INDEX($F$6:$F$565,MATCH(ROW()-5,$S$6:$S$565,0)),"")</f>
        <v/>
      </c>
      <c r="Z267">
        <f>IF([2]Entry!$E$270="","",[2]Entry!$E$270)</f>
        <v/>
      </c>
      <c r="AA267">
        <f>IF([2]Entry!$G$270="","",[2]Entry!$G$270)</f>
        <v/>
      </c>
      <c r="AB267">
        <f>IF([2]Entry!$J$270="","",[2]Entry!$J$270)</f>
        <v/>
      </c>
      <c r="AC267">
        <f>IF([2]Entry!$K$270="","",[2]Entry!$K$270)</f>
        <v/>
      </c>
      <c r="AD267">
        <f>IF([2]Entry!$L$270="","",[2]Entry!$L$270)</f>
        <v/>
      </c>
      <c r="AE267">
        <f>IF([2]Entry!$M$270="","",[2]Entry!$M$270)</f>
        <v/>
      </c>
      <c r="AF267">
        <f>IF([2]Entry!$N$270="","",[2]Entry!$N$270)</f>
        <v/>
      </c>
      <c r="AG267">
        <f>IF([3]Issues!$B$270="","",[3]Issues!$B$270)</f>
        <v/>
      </c>
      <c r="AH267">
        <f>IF([3]Issues!$D$270="","",[3]Issues!$D$270)</f>
        <v/>
      </c>
      <c r="AI267">
        <f>IF([3]Issues!$E$270="","",[3]Issues!$E$270)</f>
        <v/>
      </c>
      <c r="AJ267">
        <f>IF([2]Entry!$S$270="","",[2]Entry!$S$270)</f>
        <v/>
      </c>
      <c r="AK267">
        <f>IF([2]Entry!$C$270="","",[2]Entry!$C$270)</f>
        <v/>
      </c>
      <c r="AL267">
        <f>IF([2]Entry!$D$270="","",[2]Entry!$D$270)</f>
        <v/>
      </c>
      <c r="AM267">
        <f>IF(AND($F267&lt;&gt;"",$I267&lt;&gt;""),IF($G267="دارایی ثابت",1,0),0)</f>
        <v/>
      </c>
      <c r="AN267">
        <f>SUM($AM$6:$AM267)</f>
        <v/>
      </c>
      <c r="AO267">
        <f>IFERROR(INDEX($F$6:$F$565,MATCH(ROW()-5,$AN$6:$AN$565,0)),"")</f>
        <v/>
      </c>
      <c r="AP267">
        <f>IF(AND($F267&lt;&gt;"",$I267&lt;&gt;""),IF($G267="وام و تسهیلات",1,0),0)</f>
        <v/>
      </c>
      <c r="AQ267">
        <f>SUM($AP$6:$AP267)</f>
        <v/>
      </c>
      <c r="AR267">
        <f>IFERROR(INDEX($F$6:$F$565,MATCH(ROW()-5,$AQ$6:$AQ$565,0)),"")</f>
        <v/>
      </c>
      <c r="AS267">
        <f>IF(AND($F267&lt;&gt;"",$I267&lt;&gt;""),IF($G267="سرمایه و آورده صاحبان",1,0),0)</f>
        <v/>
      </c>
      <c r="AT267">
        <f>SUM($AS$6:$AS267)</f>
        <v/>
      </c>
      <c r="AU267">
        <f>IFERROR(INDEX($F$6:$F$565,MATCH(ROW()-5,$AT$6:$AT$565,0)),"")</f>
        <v/>
      </c>
      <c r="AW267">
        <f>IF([3]Issues!$C$270="","",[3]Issues!$C$270)</f>
        <v/>
      </c>
      <c r="AX267">
        <f>IF([4]Entry!$E$270="","",[4]Entry!$E$270)</f>
        <v/>
      </c>
      <c r="AY267">
        <f>IF([4]Entry!$H$270="","",[4]Entry!$H$270)</f>
        <v/>
      </c>
      <c r="AZ267">
        <f>IF([4]Entry!$I$270="","",[4]Entry!$I$270)</f>
        <v/>
      </c>
    </row>
    <row r="268">
      <c r="F268">
        <f>IF([1]Accounts!$D$269="","",[1]Accounts!$A$269)</f>
        <v/>
      </c>
      <c r="G268">
        <f>IF([1]Accounts!$D$269="","",[1]Accounts!$B$269)</f>
        <v/>
      </c>
      <c r="H268">
        <f>IF([1]Accounts!$D$269="","",[1]Accounts!$C$269)</f>
        <v/>
      </c>
      <c r="I268">
        <f>IF([1]Accounts!$D$269="","",[1]Accounts!$D$269)</f>
        <v/>
      </c>
      <c r="R268">
        <f>IF(AND($F268&lt;&gt;"",$I268&lt;&gt;""),IF(OR($G268="دارایی ثابت",$G268="وام و تسهیلات",$G268="سرمایه و آورده صاحبان"),0,1),0)</f>
        <v/>
      </c>
      <c r="S268">
        <f>SUM($R$6:$R268)</f>
        <v/>
      </c>
      <c r="T268">
        <f>IFERROR(INDEX($F$6:$F$565,MATCH(ROW()-5,$S$6:$S$565,0)),"")</f>
        <v/>
      </c>
      <c r="Z268">
        <f>IF([2]Entry!$E$271="","",[2]Entry!$E$271)</f>
        <v/>
      </c>
      <c r="AA268">
        <f>IF([2]Entry!$G$271="","",[2]Entry!$G$271)</f>
        <v/>
      </c>
      <c r="AB268">
        <f>IF([2]Entry!$J$271="","",[2]Entry!$J$271)</f>
        <v/>
      </c>
      <c r="AC268">
        <f>IF([2]Entry!$K$271="","",[2]Entry!$K$271)</f>
        <v/>
      </c>
      <c r="AD268">
        <f>IF([2]Entry!$L$271="","",[2]Entry!$L$271)</f>
        <v/>
      </c>
      <c r="AE268">
        <f>IF([2]Entry!$M$271="","",[2]Entry!$M$271)</f>
        <v/>
      </c>
      <c r="AF268">
        <f>IF([2]Entry!$N$271="","",[2]Entry!$N$271)</f>
        <v/>
      </c>
      <c r="AG268">
        <f>IF([3]Issues!$B$271="","",[3]Issues!$B$271)</f>
        <v/>
      </c>
      <c r="AH268">
        <f>IF([3]Issues!$D$271="","",[3]Issues!$D$271)</f>
        <v/>
      </c>
      <c r="AI268">
        <f>IF([3]Issues!$E$271="","",[3]Issues!$E$271)</f>
        <v/>
      </c>
      <c r="AJ268">
        <f>IF([2]Entry!$S$271="","",[2]Entry!$S$271)</f>
        <v/>
      </c>
      <c r="AK268">
        <f>IF([2]Entry!$C$271="","",[2]Entry!$C$271)</f>
        <v/>
      </c>
      <c r="AL268">
        <f>IF([2]Entry!$D$271="","",[2]Entry!$D$271)</f>
        <v/>
      </c>
      <c r="AM268">
        <f>IF(AND($F268&lt;&gt;"",$I268&lt;&gt;""),IF($G268="دارایی ثابت",1,0),0)</f>
        <v/>
      </c>
      <c r="AN268">
        <f>SUM($AM$6:$AM268)</f>
        <v/>
      </c>
      <c r="AO268">
        <f>IFERROR(INDEX($F$6:$F$565,MATCH(ROW()-5,$AN$6:$AN$565,0)),"")</f>
        <v/>
      </c>
      <c r="AP268">
        <f>IF(AND($F268&lt;&gt;"",$I268&lt;&gt;""),IF($G268="وام و تسهیلات",1,0),0)</f>
        <v/>
      </c>
      <c r="AQ268">
        <f>SUM($AP$6:$AP268)</f>
        <v/>
      </c>
      <c r="AR268">
        <f>IFERROR(INDEX($F$6:$F$565,MATCH(ROW()-5,$AQ$6:$AQ$565,0)),"")</f>
        <v/>
      </c>
      <c r="AS268">
        <f>IF(AND($F268&lt;&gt;"",$I268&lt;&gt;""),IF($G268="سرمایه و آورده صاحبان",1,0),0)</f>
        <v/>
      </c>
      <c r="AT268">
        <f>SUM($AS$6:$AS268)</f>
        <v/>
      </c>
      <c r="AU268">
        <f>IFERROR(INDEX($F$6:$F$565,MATCH(ROW()-5,$AT$6:$AT$565,0)),"")</f>
        <v/>
      </c>
      <c r="AW268">
        <f>IF([3]Issues!$C$271="","",[3]Issues!$C$271)</f>
        <v/>
      </c>
      <c r="AX268">
        <f>IF([4]Entry!$E$271="","",[4]Entry!$E$271)</f>
        <v/>
      </c>
      <c r="AY268">
        <f>IF([4]Entry!$H$271="","",[4]Entry!$H$271)</f>
        <v/>
      </c>
      <c r="AZ268">
        <f>IF([4]Entry!$I$271="","",[4]Entry!$I$271)</f>
        <v/>
      </c>
    </row>
    <row r="269">
      <c r="F269">
        <f>IF([1]Accounts!$D$270="","",[1]Accounts!$A$270)</f>
        <v/>
      </c>
      <c r="G269">
        <f>IF([1]Accounts!$D$270="","",[1]Accounts!$B$270)</f>
        <v/>
      </c>
      <c r="H269">
        <f>IF([1]Accounts!$D$270="","",[1]Accounts!$C$270)</f>
        <v/>
      </c>
      <c r="I269">
        <f>IF([1]Accounts!$D$270="","",[1]Accounts!$D$270)</f>
        <v/>
      </c>
      <c r="R269">
        <f>IF(AND($F269&lt;&gt;"",$I269&lt;&gt;""),IF(OR($G269="دارایی ثابت",$G269="وام و تسهیلات",$G269="سرمایه و آورده صاحبان"),0,1),0)</f>
        <v/>
      </c>
      <c r="S269">
        <f>SUM($R$6:$R269)</f>
        <v/>
      </c>
      <c r="T269">
        <f>IFERROR(INDEX($F$6:$F$565,MATCH(ROW()-5,$S$6:$S$565,0)),"")</f>
        <v/>
      </c>
      <c r="Z269">
        <f>IF([2]Entry!$E$272="","",[2]Entry!$E$272)</f>
        <v/>
      </c>
      <c r="AA269">
        <f>IF([2]Entry!$G$272="","",[2]Entry!$G$272)</f>
        <v/>
      </c>
      <c r="AB269">
        <f>IF([2]Entry!$J$272="","",[2]Entry!$J$272)</f>
        <v/>
      </c>
      <c r="AC269">
        <f>IF([2]Entry!$K$272="","",[2]Entry!$K$272)</f>
        <v/>
      </c>
      <c r="AD269">
        <f>IF([2]Entry!$L$272="","",[2]Entry!$L$272)</f>
        <v/>
      </c>
      <c r="AE269">
        <f>IF([2]Entry!$M$272="","",[2]Entry!$M$272)</f>
        <v/>
      </c>
      <c r="AF269">
        <f>IF([2]Entry!$N$272="","",[2]Entry!$N$272)</f>
        <v/>
      </c>
      <c r="AG269">
        <f>IF([3]Issues!$B$272="","",[3]Issues!$B$272)</f>
        <v/>
      </c>
      <c r="AH269">
        <f>IF([3]Issues!$D$272="","",[3]Issues!$D$272)</f>
        <v/>
      </c>
      <c r="AI269">
        <f>IF([3]Issues!$E$272="","",[3]Issues!$E$272)</f>
        <v/>
      </c>
      <c r="AJ269">
        <f>IF([2]Entry!$S$272="","",[2]Entry!$S$272)</f>
        <v/>
      </c>
      <c r="AK269">
        <f>IF([2]Entry!$C$272="","",[2]Entry!$C$272)</f>
        <v/>
      </c>
      <c r="AL269">
        <f>IF([2]Entry!$D$272="","",[2]Entry!$D$272)</f>
        <v/>
      </c>
      <c r="AM269">
        <f>IF(AND($F269&lt;&gt;"",$I269&lt;&gt;""),IF($G269="دارایی ثابت",1,0),0)</f>
        <v/>
      </c>
      <c r="AN269">
        <f>SUM($AM$6:$AM269)</f>
        <v/>
      </c>
      <c r="AO269">
        <f>IFERROR(INDEX($F$6:$F$565,MATCH(ROW()-5,$AN$6:$AN$565,0)),"")</f>
        <v/>
      </c>
      <c r="AP269">
        <f>IF(AND($F269&lt;&gt;"",$I269&lt;&gt;""),IF($G269="وام و تسهیلات",1,0),0)</f>
        <v/>
      </c>
      <c r="AQ269">
        <f>SUM($AP$6:$AP269)</f>
        <v/>
      </c>
      <c r="AR269">
        <f>IFERROR(INDEX($F$6:$F$565,MATCH(ROW()-5,$AQ$6:$AQ$565,0)),"")</f>
        <v/>
      </c>
      <c r="AS269">
        <f>IF(AND($F269&lt;&gt;"",$I269&lt;&gt;""),IF($G269="سرمایه و آورده صاحبان",1,0),0)</f>
        <v/>
      </c>
      <c r="AT269">
        <f>SUM($AS$6:$AS269)</f>
        <v/>
      </c>
      <c r="AU269">
        <f>IFERROR(INDEX($F$6:$F$565,MATCH(ROW()-5,$AT$6:$AT$565,0)),"")</f>
        <v/>
      </c>
      <c r="AW269">
        <f>IF([3]Issues!$C$272="","",[3]Issues!$C$272)</f>
        <v/>
      </c>
      <c r="AX269">
        <f>IF([4]Entry!$E$272="","",[4]Entry!$E$272)</f>
        <v/>
      </c>
      <c r="AY269">
        <f>IF([4]Entry!$H$272="","",[4]Entry!$H$272)</f>
        <v/>
      </c>
      <c r="AZ269">
        <f>IF([4]Entry!$I$272="","",[4]Entry!$I$272)</f>
        <v/>
      </c>
    </row>
    <row r="270">
      <c r="F270">
        <f>IF([1]Accounts!$D$271="","",[1]Accounts!$A$271)</f>
        <v/>
      </c>
      <c r="G270">
        <f>IF([1]Accounts!$D$271="","",[1]Accounts!$B$271)</f>
        <v/>
      </c>
      <c r="H270">
        <f>IF([1]Accounts!$D$271="","",[1]Accounts!$C$271)</f>
        <v/>
      </c>
      <c r="I270">
        <f>IF([1]Accounts!$D$271="","",[1]Accounts!$D$271)</f>
        <v/>
      </c>
      <c r="R270">
        <f>IF(AND($F270&lt;&gt;"",$I270&lt;&gt;""),IF(OR($G270="دارایی ثابت",$G270="وام و تسهیلات",$G270="سرمایه و آورده صاحبان"),0,1),0)</f>
        <v/>
      </c>
      <c r="S270">
        <f>SUM($R$6:$R270)</f>
        <v/>
      </c>
      <c r="T270">
        <f>IFERROR(INDEX($F$6:$F$565,MATCH(ROW()-5,$S$6:$S$565,0)),"")</f>
        <v/>
      </c>
      <c r="Z270">
        <f>IF([2]Entry!$E$273="","",[2]Entry!$E$273)</f>
        <v/>
      </c>
      <c r="AA270">
        <f>IF([2]Entry!$G$273="","",[2]Entry!$G$273)</f>
        <v/>
      </c>
      <c r="AB270">
        <f>IF([2]Entry!$J$273="","",[2]Entry!$J$273)</f>
        <v/>
      </c>
      <c r="AC270">
        <f>IF([2]Entry!$K$273="","",[2]Entry!$K$273)</f>
        <v/>
      </c>
      <c r="AD270">
        <f>IF([2]Entry!$L$273="","",[2]Entry!$L$273)</f>
        <v/>
      </c>
      <c r="AE270">
        <f>IF([2]Entry!$M$273="","",[2]Entry!$M$273)</f>
        <v/>
      </c>
      <c r="AF270">
        <f>IF([2]Entry!$N$273="","",[2]Entry!$N$273)</f>
        <v/>
      </c>
      <c r="AG270">
        <f>IF([3]Issues!$B$273="","",[3]Issues!$B$273)</f>
        <v/>
      </c>
      <c r="AH270">
        <f>IF([3]Issues!$D$273="","",[3]Issues!$D$273)</f>
        <v/>
      </c>
      <c r="AI270">
        <f>IF([3]Issues!$E$273="","",[3]Issues!$E$273)</f>
        <v/>
      </c>
      <c r="AJ270">
        <f>IF([2]Entry!$S$273="","",[2]Entry!$S$273)</f>
        <v/>
      </c>
      <c r="AK270">
        <f>IF([2]Entry!$C$273="","",[2]Entry!$C$273)</f>
        <v/>
      </c>
      <c r="AL270">
        <f>IF([2]Entry!$D$273="","",[2]Entry!$D$273)</f>
        <v/>
      </c>
      <c r="AM270">
        <f>IF(AND($F270&lt;&gt;"",$I270&lt;&gt;""),IF($G270="دارایی ثابت",1,0),0)</f>
        <v/>
      </c>
      <c r="AN270">
        <f>SUM($AM$6:$AM270)</f>
        <v/>
      </c>
      <c r="AO270">
        <f>IFERROR(INDEX($F$6:$F$565,MATCH(ROW()-5,$AN$6:$AN$565,0)),"")</f>
        <v/>
      </c>
      <c r="AP270">
        <f>IF(AND($F270&lt;&gt;"",$I270&lt;&gt;""),IF($G270="وام و تسهیلات",1,0),0)</f>
        <v/>
      </c>
      <c r="AQ270">
        <f>SUM($AP$6:$AP270)</f>
        <v/>
      </c>
      <c r="AR270">
        <f>IFERROR(INDEX($F$6:$F$565,MATCH(ROW()-5,$AQ$6:$AQ$565,0)),"")</f>
        <v/>
      </c>
      <c r="AS270">
        <f>IF(AND($F270&lt;&gt;"",$I270&lt;&gt;""),IF($G270="سرمایه و آورده صاحبان",1,0),0)</f>
        <v/>
      </c>
      <c r="AT270">
        <f>SUM($AS$6:$AS270)</f>
        <v/>
      </c>
      <c r="AU270">
        <f>IFERROR(INDEX($F$6:$F$565,MATCH(ROW()-5,$AT$6:$AT$565,0)),"")</f>
        <v/>
      </c>
      <c r="AW270">
        <f>IF([3]Issues!$C$273="","",[3]Issues!$C$273)</f>
        <v/>
      </c>
      <c r="AX270">
        <f>IF([4]Entry!$E$273="","",[4]Entry!$E$273)</f>
        <v/>
      </c>
      <c r="AY270">
        <f>IF([4]Entry!$H$273="","",[4]Entry!$H$273)</f>
        <v/>
      </c>
      <c r="AZ270">
        <f>IF([4]Entry!$I$273="","",[4]Entry!$I$273)</f>
        <v/>
      </c>
    </row>
    <row r="271">
      <c r="F271">
        <f>IF([1]Accounts!$D$272="","",[1]Accounts!$A$272)</f>
        <v/>
      </c>
      <c r="G271">
        <f>IF([1]Accounts!$D$272="","",[1]Accounts!$B$272)</f>
        <v/>
      </c>
      <c r="H271">
        <f>IF([1]Accounts!$D$272="","",[1]Accounts!$C$272)</f>
        <v/>
      </c>
      <c r="I271">
        <f>IF([1]Accounts!$D$272="","",[1]Accounts!$D$272)</f>
        <v/>
      </c>
      <c r="R271">
        <f>IF(AND($F271&lt;&gt;"",$I271&lt;&gt;""),IF(OR($G271="دارایی ثابت",$G271="وام و تسهیلات",$G271="سرمایه و آورده صاحبان"),0,1),0)</f>
        <v/>
      </c>
      <c r="S271">
        <f>SUM($R$6:$R271)</f>
        <v/>
      </c>
      <c r="T271">
        <f>IFERROR(INDEX($F$6:$F$565,MATCH(ROW()-5,$S$6:$S$565,0)),"")</f>
        <v/>
      </c>
      <c r="Z271">
        <f>IF([2]Entry!$E$274="","",[2]Entry!$E$274)</f>
        <v/>
      </c>
      <c r="AA271">
        <f>IF([2]Entry!$G$274="","",[2]Entry!$G$274)</f>
        <v/>
      </c>
      <c r="AB271">
        <f>IF([2]Entry!$J$274="","",[2]Entry!$J$274)</f>
        <v/>
      </c>
      <c r="AC271">
        <f>IF([2]Entry!$K$274="","",[2]Entry!$K$274)</f>
        <v/>
      </c>
      <c r="AD271">
        <f>IF([2]Entry!$L$274="","",[2]Entry!$L$274)</f>
        <v/>
      </c>
      <c r="AE271">
        <f>IF([2]Entry!$M$274="","",[2]Entry!$M$274)</f>
        <v/>
      </c>
      <c r="AF271">
        <f>IF([2]Entry!$N$274="","",[2]Entry!$N$274)</f>
        <v/>
      </c>
      <c r="AG271">
        <f>IF([3]Issues!$B$274="","",[3]Issues!$B$274)</f>
        <v/>
      </c>
      <c r="AH271">
        <f>IF([3]Issues!$D$274="","",[3]Issues!$D$274)</f>
        <v/>
      </c>
      <c r="AI271">
        <f>IF([3]Issues!$E$274="","",[3]Issues!$E$274)</f>
        <v/>
      </c>
      <c r="AJ271">
        <f>IF([2]Entry!$S$274="","",[2]Entry!$S$274)</f>
        <v/>
      </c>
      <c r="AK271">
        <f>IF([2]Entry!$C$274="","",[2]Entry!$C$274)</f>
        <v/>
      </c>
      <c r="AL271">
        <f>IF([2]Entry!$D$274="","",[2]Entry!$D$274)</f>
        <v/>
      </c>
      <c r="AM271">
        <f>IF(AND($F271&lt;&gt;"",$I271&lt;&gt;""),IF($G271="دارایی ثابت",1,0),0)</f>
        <v/>
      </c>
      <c r="AN271">
        <f>SUM($AM$6:$AM271)</f>
        <v/>
      </c>
      <c r="AO271">
        <f>IFERROR(INDEX($F$6:$F$565,MATCH(ROW()-5,$AN$6:$AN$565,0)),"")</f>
        <v/>
      </c>
      <c r="AP271">
        <f>IF(AND($F271&lt;&gt;"",$I271&lt;&gt;""),IF($G271="وام و تسهیلات",1,0),0)</f>
        <v/>
      </c>
      <c r="AQ271">
        <f>SUM($AP$6:$AP271)</f>
        <v/>
      </c>
      <c r="AR271">
        <f>IFERROR(INDEX($F$6:$F$565,MATCH(ROW()-5,$AQ$6:$AQ$565,0)),"")</f>
        <v/>
      </c>
      <c r="AS271">
        <f>IF(AND($F271&lt;&gt;"",$I271&lt;&gt;""),IF($G271="سرمایه و آورده صاحبان",1,0),0)</f>
        <v/>
      </c>
      <c r="AT271">
        <f>SUM($AS$6:$AS271)</f>
        <v/>
      </c>
      <c r="AU271">
        <f>IFERROR(INDEX($F$6:$F$565,MATCH(ROW()-5,$AT$6:$AT$565,0)),"")</f>
        <v/>
      </c>
      <c r="AW271">
        <f>IF([3]Issues!$C$274="","",[3]Issues!$C$274)</f>
        <v/>
      </c>
      <c r="AX271">
        <f>IF([4]Entry!$E$274="","",[4]Entry!$E$274)</f>
        <v/>
      </c>
      <c r="AY271">
        <f>IF([4]Entry!$H$274="","",[4]Entry!$H$274)</f>
        <v/>
      </c>
      <c r="AZ271">
        <f>IF([4]Entry!$I$274="","",[4]Entry!$I$274)</f>
        <v/>
      </c>
    </row>
    <row r="272">
      <c r="F272">
        <f>IF([1]Accounts!$D$273="","",[1]Accounts!$A$273)</f>
        <v/>
      </c>
      <c r="G272">
        <f>IF([1]Accounts!$D$273="","",[1]Accounts!$B$273)</f>
        <v/>
      </c>
      <c r="H272">
        <f>IF([1]Accounts!$D$273="","",[1]Accounts!$C$273)</f>
        <v/>
      </c>
      <c r="I272">
        <f>IF([1]Accounts!$D$273="","",[1]Accounts!$D$273)</f>
        <v/>
      </c>
      <c r="R272">
        <f>IF(AND($F272&lt;&gt;"",$I272&lt;&gt;""),IF(OR($G272="دارایی ثابت",$G272="وام و تسهیلات",$G272="سرمایه و آورده صاحبان"),0,1),0)</f>
        <v/>
      </c>
      <c r="S272">
        <f>SUM($R$6:$R272)</f>
        <v/>
      </c>
      <c r="T272">
        <f>IFERROR(INDEX($F$6:$F$565,MATCH(ROW()-5,$S$6:$S$565,0)),"")</f>
        <v/>
      </c>
      <c r="Z272">
        <f>IF([2]Entry!$E$275="","",[2]Entry!$E$275)</f>
        <v/>
      </c>
      <c r="AA272">
        <f>IF([2]Entry!$G$275="","",[2]Entry!$G$275)</f>
        <v/>
      </c>
      <c r="AB272">
        <f>IF([2]Entry!$J$275="","",[2]Entry!$J$275)</f>
        <v/>
      </c>
      <c r="AC272">
        <f>IF([2]Entry!$K$275="","",[2]Entry!$K$275)</f>
        <v/>
      </c>
      <c r="AD272">
        <f>IF([2]Entry!$L$275="","",[2]Entry!$L$275)</f>
        <v/>
      </c>
      <c r="AE272">
        <f>IF([2]Entry!$M$275="","",[2]Entry!$M$275)</f>
        <v/>
      </c>
      <c r="AF272">
        <f>IF([2]Entry!$N$275="","",[2]Entry!$N$275)</f>
        <v/>
      </c>
      <c r="AG272">
        <f>IF([3]Issues!$B$275="","",[3]Issues!$B$275)</f>
        <v/>
      </c>
      <c r="AH272">
        <f>IF([3]Issues!$D$275="","",[3]Issues!$D$275)</f>
        <v/>
      </c>
      <c r="AI272">
        <f>IF([3]Issues!$E$275="","",[3]Issues!$E$275)</f>
        <v/>
      </c>
      <c r="AJ272">
        <f>IF([2]Entry!$S$275="","",[2]Entry!$S$275)</f>
        <v/>
      </c>
      <c r="AK272">
        <f>IF([2]Entry!$C$275="","",[2]Entry!$C$275)</f>
        <v/>
      </c>
      <c r="AL272">
        <f>IF([2]Entry!$D$275="","",[2]Entry!$D$275)</f>
        <v/>
      </c>
      <c r="AM272">
        <f>IF(AND($F272&lt;&gt;"",$I272&lt;&gt;""),IF($G272="دارایی ثابت",1,0),0)</f>
        <v/>
      </c>
      <c r="AN272">
        <f>SUM($AM$6:$AM272)</f>
        <v/>
      </c>
      <c r="AO272">
        <f>IFERROR(INDEX($F$6:$F$565,MATCH(ROW()-5,$AN$6:$AN$565,0)),"")</f>
        <v/>
      </c>
      <c r="AP272">
        <f>IF(AND($F272&lt;&gt;"",$I272&lt;&gt;""),IF($G272="وام و تسهیلات",1,0),0)</f>
        <v/>
      </c>
      <c r="AQ272">
        <f>SUM($AP$6:$AP272)</f>
        <v/>
      </c>
      <c r="AR272">
        <f>IFERROR(INDEX($F$6:$F$565,MATCH(ROW()-5,$AQ$6:$AQ$565,0)),"")</f>
        <v/>
      </c>
      <c r="AS272">
        <f>IF(AND($F272&lt;&gt;"",$I272&lt;&gt;""),IF($G272="سرمایه و آورده صاحبان",1,0),0)</f>
        <v/>
      </c>
      <c r="AT272">
        <f>SUM($AS$6:$AS272)</f>
        <v/>
      </c>
      <c r="AU272">
        <f>IFERROR(INDEX($F$6:$F$565,MATCH(ROW()-5,$AT$6:$AT$565,0)),"")</f>
        <v/>
      </c>
      <c r="AW272">
        <f>IF([3]Issues!$C$275="","",[3]Issues!$C$275)</f>
        <v/>
      </c>
      <c r="AX272">
        <f>IF([4]Entry!$E$275="","",[4]Entry!$E$275)</f>
        <v/>
      </c>
      <c r="AY272">
        <f>IF([4]Entry!$H$275="","",[4]Entry!$H$275)</f>
        <v/>
      </c>
      <c r="AZ272">
        <f>IF([4]Entry!$I$275="","",[4]Entry!$I$275)</f>
        <v/>
      </c>
    </row>
    <row r="273">
      <c r="F273">
        <f>IF([1]Accounts!$D$274="","",[1]Accounts!$A$274)</f>
        <v/>
      </c>
      <c r="G273">
        <f>IF([1]Accounts!$D$274="","",[1]Accounts!$B$274)</f>
        <v/>
      </c>
      <c r="H273">
        <f>IF([1]Accounts!$D$274="","",[1]Accounts!$C$274)</f>
        <v/>
      </c>
      <c r="I273">
        <f>IF([1]Accounts!$D$274="","",[1]Accounts!$D$274)</f>
        <v/>
      </c>
      <c r="R273">
        <f>IF(AND($F273&lt;&gt;"",$I273&lt;&gt;""),IF(OR($G273="دارایی ثابت",$G273="وام و تسهیلات",$G273="سرمایه و آورده صاحبان"),0,1),0)</f>
        <v/>
      </c>
      <c r="S273">
        <f>SUM($R$6:$R273)</f>
        <v/>
      </c>
      <c r="T273">
        <f>IFERROR(INDEX($F$6:$F$565,MATCH(ROW()-5,$S$6:$S$565,0)),"")</f>
        <v/>
      </c>
      <c r="Z273">
        <f>IF([2]Entry!$E$276="","",[2]Entry!$E$276)</f>
        <v/>
      </c>
      <c r="AA273">
        <f>IF([2]Entry!$G$276="","",[2]Entry!$G$276)</f>
        <v/>
      </c>
      <c r="AB273">
        <f>IF([2]Entry!$J$276="","",[2]Entry!$J$276)</f>
        <v/>
      </c>
      <c r="AC273">
        <f>IF([2]Entry!$K$276="","",[2]Entry!$K$276)</f>
        <v/>
      </c>
      <c r="AD273">
        <f>IF([2]Entry!$L$276="","",[2]Entry!$L$276)</f>
        <v/>
      </c>
      <c r="AE273">
        <f>IF([2]Entry!$M$276="","",[2]Entry!$M$276)</f>
        <v/>
      </c>
      <c r="AF273">
        <f>IF([2]Entry!$N$276="","",[2]Entry!$N$276)</f>
        <v/>
      </c>
      <c r="AG273">
        <f>IF([3]Issues!$B$276="","",[3]Issues!$B$276)</f>
        <v/>
      </c>
      <c r="AH273">
        <f>IF([3]Issues!$D$276="","",[3]Issues!$D$276)</f>
        <v/>
      </c>
      <c r="AI273">
        <f>IF([3]Issues!$E$276="","",[3]Issues!$E$276)</f>
        <v/>
      </c>
      <c r="AJ273">
        <f>IF([2]Entry!$S$276="","",[2]Entry!$S$276)</f>
        <v/>
      </c>
      <c r="AK273">
        <f>IF([2]Entry!$C$276="","",[2]Entry!$C$276)</f>
        <v/>
      </c>
      <c r="AL273">
        <f>IF([2]Entry!$D$276="","",[2]Entry!$D$276)</f>
        <v/>
      </c>
      <c r="AM273">
        <f>IF(AND($F273&lt;&gt;"",$I273&lt;&gt;""),IF($G273="دارایی ثابت",1,0),0)</f>
        <v/>
      </c>
      <c r="AN273">
        <f>SUM($AM$6:$AM273)</f>
        <v/>
      </c>
      <c r="AO273">
        <f>IFERROR(INDEX($F$6:$F$565,MATCH(ROW()-5,$AN$6:$AN$565,0)),"")</f>
        <v/>
      </c>
      <c r="AP273">
        <f>IF(AND($F273&lt;&gt;"",$I273&lt;&gt;""),IF($G273="وام و تسهیلات",1,0),0)</f>
        <v/>
      </c>
      <c r="AQ273">
        <f>SUM($AP$6:$AP273)</f>
        <v/>
      </c>
      <c r="AR273">
        <f>IFERROR(INDEX($F$6:$F$565,MATCH(ROW()-5,$AQ$6:$AQ$565,0)),"")</f>
        <v/>
      </c>
      <c r="AS273">
        <f>IF(AND($F273&lt;&gt;"",$I273&lt;&gt;""),IF($G273="سرمایه و آورده صاحبان",1,0),0)</f>
        <v/>
      </c>
      <c r="AT273">
        <f>SUM($AS$6:$AS273)</f>
        <v/>
      </c>
      <c r="AU273">
        <f>IFERROR(INDEX($F$6:$F$565,MATCH(ROW()-5,$AT$6:$AT$565,0)),"")</f>
        <v/>
      </c>
      <c r="AW273">
        <f>IF([3]Issues!$C$276="","",[3]Issues!$C$276)</f>
        <v/>
      </c>
      <c r="AX273">
        <f>IF([4]Entry!$E$276="","",[4]Entry!$E$276)</f>
        <v/>
      </c>
      <c r="AY273">
        <f>IF([4]Entry!$H$276="","",[4]Entry!$H$276)</f>
        <v/>
      </c>
      <c r="AZ273">
        <f>IF([4]Entry!$I$276="","",[4]Entry!$I$276)</f>
        <v/>
      </c>
    </row>
    <row r="274">
      <c r="F274">
        <f>IF([1]Accounts!$D$275="","",[1]Accounts!$A$275)</f>
        <v/>
      </c>
      <c r="G274">
        <f>IF([1]Accounts!$D$275="","",[1]Accounts!$B$275)</f>
        <v/>
      </c>
      <c r="H274">
        <f>IF([1]Accounts!$D$275="","",[1]Accounts!$C$275)</f>
        <v/>
      </c>
      <c r="I274">
        <f>IF([1]Accounts!$D$275="","",[1]Accounts!$D$275)</f>
        <v/>
      </c>
      <c r="R274">
        <f>IF(AND($F274&lt;&gt;"",$I274&lt;&gt;""),IF(OR($G274="دارایی ثابت",$G274="وام و تسهیلات",$G274="سرمایه و آورده صاحبان"),0,1),0)</f>
        <v/>
      </c>
      <c r="S274">
        <f>SUM($R$6:$R274)</f>
        <v/>
      </c>
      <c r="T274">
        <f>IFERROR(INDEX($F$6:$F$565,MATCH(ROW()-5,$S$6:$S$565,0)),"")</f>
        <v/>
      </c>
      <c r="Z274">
        <f>IF([2]Entry!$E$277="","",[2]Entry!$E$277)</f>
        <v/>
      </c>
      <c r="AA274">
        <f>IF([2]Entry!$G$277="","",[2]Entry!$G$277)</f>
        <v/>
      </c>
      <c r="AB274">
        <f>IF([2]Entry!$J$277="","",[2]Entry!$J$277)</f>
        <v/>
      </c>
      <c r="AC274">
        <f>IF([2]Entry!$K$277="","",[2]Entry!$K$277)</f>
        <v/>
      </c>
      <c r="AD274">
        <f>IF([2]Entry!$L$277="","",[2]Entry!$L$277)</f>
        <v/>
      </c>
      <c r="AE274">
        <f>IF([2]Entry!$M$277="","",[2]Entry!$M$277)</f>
        <v/>
      </c>
      <c r="AF274">
        <f>IF([2]Entry!$N$277="","",[2]Entry!$N$277)</f>
        <v/>
      </c>
      <c r="AG274">
        <f>IF([3]Issues!$B$277="","",[3]Issues!$B$277)</f>
        <v/>
      </c>
      <c r="AH274">
        <f>IF([3]Issues!$D$277="","",[3]Issues!$D$277)</f>
        <v/>
      </c>
      <c r="AI274">
        <f>IF([3]Issues!$E$277="","",[3]Issues!$E$277)</f>
        <v/>
      </c>
      <c r="AJ274">
        <f>IF([2]Entry!$S$277="","",[2]Entry!$S$277)</f>
        <v/>
      </c>
      <c r="AK274">
        <f>IF([2]Entry!$C$277="","",[2]Entry!$C$277)</f>
        <v/>
      </c>
      <c r="AL274">
        <f>IF([2]Entry!$D$277="","",[2]Entry!$D$277)</f>
        <v/>
      </c>
      <c r="AM274">
        <f>IF(AND($F274&lt;&gt;"",$I274&lt;&gt;""),IF($G274="دارایی ثابت",1,0),0)</f>
        <v/>
      </c>
      <c r="AN274">
        <f>SUM($AM$6:$AM274)</f>
        <v/>
      </c>
      <c r="AO274">
        <f>IFERROR(INDEX($F$6:$F$565,MATCH(ROW()-5,$AN$6:$AN$565,0)),"")</f>
        <v/>
      </c>
      <c r="AP274">
        <f>IF(AND($F274&lt;&gt;"",$I274&lt;&gt;""),IF($G274="وام و تسهیلات",1,0),0)</f>
        <v/>
      </c>
      <c r="AQ274">
        <f>SUM($AP$6:$AP274)</f>
        <v/>
      </c>
      <c r="AR274">
        <f>IFERROR(INDEX($F$6:$F$565,MATCH(ROW()-5,$AQ$6:$AQ$565,0)),"")</f>
        <v/>
      </c>
      <c r="AS274">
        <f>IF(AND($F274&lt;&gt;"",$I274&lt;&gt;""),IF($G274="سرمایه و آورده صاحبان",1,0),0)</f>
        <v/>
      </c>
      <c r="AT274">
        <f>SUM($AS$6:$AS274)</f>
        <v/>
      </c>
      <c r="AU274">
        <f>IFERROR(INDEX($F$6:$F$565,MATCH(ROW()-5,$AT$6:$AT$565,0)),"")</f>
        <v/>
      </c>
      <c r="AW274">
        <f>IF([3]Issues!$C$277="","",[3]Issues!$C$277)</f>
        <v/>
      </c>
      <c r="AX274">
        <f>IF([4]Entry!$E$277="","",[4]Entry!$E$277)</f>
        <v/>
      </c>
      <c r="AY274">
        <f>IF([4]Entry!$H$277="","",[4]Entry!$H$277)</f>
        <v/>
      </c>
      <c r="AZ274">
        <f>IF([4]Entry!$I$277="","",[4]Entry!$I$277)</f>
        <v/>
      </c>
    </row>
    <row r="275">
      <c r="F275">
        <f>IF([1]Accounts!$D$276="","",[1]Accounts!$A$276)</f>
        <v/>
      </c>
      <c r="G275">
        <f>IF([1]Accounts!$D$276="","",[1]Accounts!$B$276)</f>
        <v/>
      </c>
      <c r="H275">
        <f>IF([1]Accounts!$D$276="","",[1]Accounts!$C$276)</f>
        <v/>
      </c>
      <c r="I275">
        <f>IF([1]Accounts!$D$276="","",[1]Accounts!$D$276)</f>
        <v/>
      </c>
      <c r="R275">
        <f>IF(AND($F275&lt;&gt;"",$I275&lt;&gt;""),IF(OR($G275="دارایی ثابت",$G275="وام و تسهیلات",$G275="سرمایه و آورده صاحبان"),0,1),0)</f>
        <v/>
      </c>
      <c r="S275">
        <f>SUM($R$6:$R275)</f>
        <v/>
      </c>
      <c r="T275">
        <f>IFERROR(INDEX($F$6:$F$565,MATCH(ROW()-5,$S$6:$S$565,0)),"")</f>
        <v/>
      </c>
      <c r="Z275">
        <f>IF([2]Entry!$E$278="","",[2]Entry!$E$278)</f>
        <v/>
      </c>
      <c r="AA275">
        <f>IF([2]Entry!$G$278="","",[2]Entry!$G$278)</f>
        <v/>
      </c>
      <c r="AB275">
        <f>IF([2]Entry!$J$278="","",[2]Entry!$J$278)</f>
        <v/>
      </c>
      <c r="AC275">
        <f>IF([2]Entry!$K$278="","",[2]Entry!$K$278)</f>
        <v/>
      </c>
      <c r="AD275">
        <f>IF([2]Entry!$L$278="","",[2]Entry!$L$278)</f>
        <v/>
      </c>
      <c r="AE275">
        <f>IF([2]Entry!$M$278="","",[2]Entry!$M$278)</f>
        <v/>
      </c>
      <c r="AF275">
        <f>IF([2]Entry!$N$278="","",[2]Entry!$N$278)</f>
        <v/>
      </c>
      <c r="AG275">
        <f>IF([3]Issues!$B$278="","",[3]Issues!$B$278)</f>
        <v/>
      </c>
      <c r="AH275">
        <f>IF([3]Issues!$D$278="","",[3]Issues!$D$278)</f>
        <v/>
      </c>
      <c r="AI275">
        <f>IF([3]Issues!$E$278="","",[3]Issues!$E$278)</f>
        <v/>
      </c>
      <c r="AJ275">
        <f>IF([2]Entry!$S$278="","",[2]Entry!$S$278)</f>
        <v/>
      </c>
      <c r="AK275">
        <f>IF([2]Entry!$C$278="","",[2]Entry!$C$278)</f>
        <v/>
      </c>
      <c r="AL275">
        <f>IF([2]Entry!$D$278="","",[2]Entry!$D$278)</f>
        <v/>
      </c>
      <c r="AM275">
        <f>IF(AND($F275&lt;&gt;"",$I275&lt;&gt;""),IF($G275="دارایی ثابت",1,0),0)</f>
        <v/>
      </c>
      <c r="AN275">
        <f>SUM($AM$6:$AM275)</f>
        <v/>
      </c>
      <c r="AO275">
        <f>IFERROR(INDEX($F$6:$F$565,MATCH(ROW()-5,$AN$6:$AN$565,0)),"")</f>
        <v/>
      </c>
      <c r="AP275">
        <f>IF(AND($F275&lt;&gt;"",$I275&lt;&gt;""),IF($G275="وام و تسهیلات",1,0),0)</f>
        <v/>
      </c>
      <c r="AQ275">
        <f>SUM($AP$6:$AP275)</f>
        <v/>
      </c>
      <c r="AR275">
        <f>IFERROR(INDEX($F$6:$F$565,MATCH(ROW()-5,$AQ$6:$AQ$565,0)),"")</f>
        <v/>
      </c>
      <c r="AS275">
        <f>IF(AND($F275&lt;&gt;"",$I275&lt;&gt;""),IF($G275="سرمایه و آورده صاحبان",1,0),0)</f>
        <v/>
      </c>
      <c r="AT275">
        <f>SUM($AS$6:$AS275)</f>
        <v/>
      </c>
      <c r="AU275">
        <f>IFERROR(INDEX($F$6:$F$565,MATCH(ROW()-5,$AT$6:$AT$565,0)),"")</f>
        <v/>
      </c>
      <c r="AW275">
        <f>IF([3]Issues!$C$278="","",[3]Issues!$C$278)</f>
        <v/>
      </c>
      <c r="AX275">
        <f>IF([4]Entry!$E$278="","",[4]Entry!$E$278)</f>
        <v/>
      </c>
      <c r="AY275">
        <f>IF([4]Entry!$H$278="","",[4]Entry!$H$278)</f>
        <v/>
      </c>
      <c r="AZ275">
        <f>IF([4]Entry!$I$278="","",[4]Entry!$I$278)</f>
        <v/>
      </c>
    </row>
    <row r="276">
      <c r="F276">
        <f>IF([1]Accounts!$D$277="","",[1]Accounts!$A$277)</f>
        <v/>
      </c>
      <c r="G276">
        <f>IF([1]Accounts!$D$277="","",[1]Accounts!$B$277)</f>
        <v/>
      </c>
      <c r="H276">
        <f>IF([1]Accounts!$D$277="","",[1]Accounts!$C$277)</f>
        <v/>
      </c>
      <c r="I276">
        <f>IF([1]Accounts!$D$277="","",[1]Accounts!$D$277)</f>
        <v/>
      </c>
      <c r="R276">
        <f>IF(AND($F276&lt;&gt;"",$I276&lt;&gt;""),IF(OR($G276="دارایی ثابت",$G276="وام و تسهیلات",$G276="سرمایه و آورده صاحبان"),0,1),0)</f>
        <v/>
      </c>
      <c r="S276">
        <f>SUM($R$6:$R276)</f>
        <v/>
      </c>
      <c r="T276">
        <f>IFERROR(INDEX($F$6:$F$565,MATCH(ROW()-5,$S$6:$S$565,0)),"")</f>
        <v/>
      </c>
      <c r="Z276">
        <f>IF([2]Entry!$E$279="","",[2]Entry!$E$279)</f>
        <v/>
      </c>
      <c r="AA276">
        <f>IF([2]Entry!$G$279="","",[2]Entry!$G$279)</f>
        <v/>
      </c>
      <c r="AB276">
        <f>IF([2]Entry!$J$279="","",[2]Entry!$J$279)</f>
        <v/>
      </c>
      <c r="AC276">
        <f>IF([2]Entry!$K$279="","",[2]Entry!$K$279)</f>
        <v/>
      </c>
      <c r="AD276">
        <f>IF([2]Entry!$L$279="","",[2]Entry!$L$279)</f>
        <v/>
      </c>
      <c r="AE276">
        <f>IF([2]Entry!$M$279="","",[2]Entry!$M$279)</f>
        <v/>
      </c>
      <c r="AF276">
        <f>IF([2]Entry!$N$279="","",[2]Entry!$N$279)</f>
        <v/>
      </c>
      <c r="AG276">
        <f>IF([3]Issues!$B$279="","",[3]Issues!$B$279)</f>
        <v/>
      </c>
      <c r="AH276">
        <f>IF([3]Issues!$D$279="","",[3]Issues!$D$279)</f>
        <v/>
      </c>
      <c r="AI276">
        <f>IF([3]Issues!$E$279="","",[3]Issues!$E$279)</f>
        <v/>
      </c>
      <c r="AJ276">
        <f>IF([2]Entry!$S$279="","",[2]Entry!$S$279)</f>
        <v/>
      </c>
      <c r="AK276">
        <f>IF([2]Entry!$C$279="","",[2]Entry!$C$279)</f>
        <v/>
      </c>
      <c r="AL276">
        <f>IF([2]Entry!$D$279="","",[2]Entry!$D$279)</f>
        <v/>
      </c>
      <c r="AM276">
        <f>IF(AND($F276&lt;&gt;"",$I276&lt;&gt;""),IF($G276="دارایی ثابت",1,0),0)</f>
        <v/>
      </c>
      <c r="AN276">
        <f>SUM($AM$6:$AM276)</f>
        <v/>
      </c>
      <c r="AO276">
        <f>IFERROR(INDEX($F$6:$F$565,MATCH(ROW()-5,$AN$6:$AN$565,0)),"")</f>
        <v/>
      </c>
      <c r="AP276">
        <f>IF(AND($F276&lt;&gt;"",$I276&lt;&gt;""),IF($G276="وام و تسهیلات",1,0),0)</f>
        <v/>
      </c>
      <c r="AQ276">
        <f>SUM($AP$6:$AP276)</f>
        <v/>
      </c>
      <c r="AR276">
        <f>IFERROR(INDEX($F$6:$F$565,MATCH(ROW()-5,$AQ$6:$AQ$565,0)),"")</f>
        <v/>
      </c>
      <c r="AS276">
        <f>IF(AND($F276&lt;&gt;"",$I276&lt;&gt;""),IF($G276="سرمایه و آورده صاحبان",1,0),0)</f>
        <v/>
      </c>
      <c r="AT276">
        <f>SUM($AS$6:$AS276)</f>
        <v/>
      </c>
      <c r="AU276">
        <f>IFERROR(INDEX($F$6:$F$565,MATCH(ROW()-5,$AT$6:$AT$565,0)),"")</f>
        <v/>
      </c>
      <c r="AW276">
        <f>IF([3]Issues!$C$279="","",[3]Issues!$C$279)</f>
        <v/>
      </c>
      <c r="AX276">
        <f>IF([4]Entry!$E$279="","",[4]Entry!$E$279)</f>
        <v/>
      </c>
      <c r="AY276">
        <f>IF([4]Entry!$H$279="","",[4]Entry!$H$279)</f>
        <v/>
      </c>
      <c r="AZ276">
        <f>IF([4]Entry!$I$279="","",[4]Entry!$I$279)</f>
        <v/>
      </c>
    </row>
    <row r="277">
      <c r="F277">
        <f>IF([1]Accounts!$D$278="","",[1]Accounts!$A$278)</f>
        <v/>
      </c>
      <c r="G277">
        <f>IF([1]Accounts!$D$278="","",[1]Accounts!$B$278)</f>
        <v/>
      </c>
      <c r="H277">
        <f>IF([1]Accounts!$D$278="","",[1]Accounts!$C$278)</f>
        <v/>
      </c>
      <c r="I277">
        <f>IF([1]Accounts!$D$278="","",[1]Accounts!$D$278)</f>
        <v/>
      </c>
      <c r="R277">
        <f>IF(AND($F277&lt;&gt;"",$I277&lt;&gt;""),IF(OR($G277="دارایی ثابت",$G277="وام و تسهیلات",$G277="سرمایه و آورده صاحبان"),0,1),0)</f>
        <v/>
      </c>
      <c r="S277">
        <f>SUM($R$6:$R277)</f>
        <v/>
      </c>
      <c r="T277">
        <f>IFERROR(INDEX($F$6:$F$565,MATCH(ROW()-5,$S$6:$S$565,0)),"")</f>
        <v/>
      </c>
      <c r="Z277">
        <f>IF([2]Entry!$E$280="","",[2]Entry!$E$280)</f>
        <v/>
      </c>
      <c r="AA277">
        <f>IF([2]Entry!$G$280="","",[2]Entry!$G$280)</f>
        <v/>
      </c>
      <c r="AB277">
        <f>IF([2]Entry!$J$280="","",[2]Entry!$J$280)</f>
        <v/>
      </c>
      <c r="AC277">
        <f>IF([2]Entry!$K$280="","",[2]Entry!$K$280)</f>
        <v/>
      </c>
      <c r="AD277">
        <f>IF([2]Entry!$L$280="","",[2]Entry!$L$280)</f>
        <v/>
      </c>
      <c r="AE277">
        <f>IF([2]Entry!$M$280="","",[2]Entry!$M$280)</f>
        <v/>
      </c>
      <c r="AF277">
        <f>IF([2]Entry!$N$280="","",[2]Entry!$N$280)</f>
        <v/>
      </c>
      <c r="AG277">
        <f>IF([3]Issues!$B$280="","",[3]Issues!$B$280)</f>
        <v/>
      </c>
      <c r="AH277">
        <f>IF([3]Issues!$D$280="","",[3]Issues!$D$280)</f>
        <v/>
      </c>
      <c r="AI277">
        <f>IF([3]Issues!$E$280="","",[3]Issues!$E$280)</f>
        <v/>
      </c>
      <c r="AJ277">
        <f>IF([2]Entry!$S$280="","",[2]Entry!$S$280)</f>
        <v/>
      </c>
      <c r="AK277">
        <f>IF([2]Entry!$C$280="","",[2]Entry!$C$280)</f>
        <v/>
      </c>
      <c r="AL277">
        <f>IF([2]Entry!$D$280="","",[2]Entry!$D$280)</f>
        <v/>
      </c>
      <c r="AM277">
        <f>IF(AND($F277&lt;&gt;"",$I277&lt;&gt;""),IF($G277="دارایی ثابت",1,0),0)</f>
        <v/>
      </c>
      <c r="AN277">
        <f>SUM($AM$6:$AM277)</f>
        <v/>
      </c>
      <c r="AO277">
        <f>IFERROR(INDEX($F$6:$F$565,MATCH(ROW()-5,$AN$6:$AN$565,0)),"")</f>
        <v/>
      </c>
      <c r="AP277">
        <f>IF(AND($F277&lt;&gt;"",$I277&lt;&gt;""),IF($G277="وام و تسهیلات",1,0),0)</f>
        <v/>
      </c>
      <c r="AQ277">
        <f>SUM($AP$6:$AP277)</f>
        <v/>
      </c>
      <c r="AR277">
        <f>IFERROR(INDEX($F$6:$F$565,MATCH(ROW()-5,$AQ$6:$AQ$565,0)),"")</f>
        <v/>
      </c>
      <c r="AS277">
        <f>IF(AND($F277&lt;&gt;"",$I277&lt;&gt;""),IF($G277="سرمایه و آورده صاحبان",1,0),0)</f>
        <v/>
      </c>
      <c r="AT277">
        <f>SUM($AS$6:$AS277)</f>
        <v/>
      </c>
      <c r="AU277">
        <f>IFERROR(INDEX($F$6:$F$565,MATCH(ROW()-5,$AT$6:$AT$565,0)),"")</f>
        <v/>
      </c>
      <c r="AW277">
        <f>IF([3]Issues!$C$280="","",[3]Issues!$C$280)</f>
        <v/>
      </c>
      <c r="AX277">
        <f>IF([4]Entry!$E$280="","",[4]Entry!$E$280)</f>
        <v/>
      </c>
      <c r="AY277">
        <f>IF([4]Entry!$H$280="","",[4]Entry!$H$280)</f>
        <v/>
      </c>
      <c r="AZ277">
        <f>IF([4]Entry!$I$280="","",[4]Entry!$I$280)</f>
        <v/>
      </c>
    </row>
    <row r="278">
      <c r="F278">
        <f>IF([1]Accounts!$D$279="","",[1]Accounts!$A$279)</f>
        <v/>
      </c>
      <c r="G278">
        <f>IF([1]Accounts!$D$279="","",[1]Accounts!$B$279)</f>
        <v/>
      </c>
      <c r="H278">
        <f>IF([1]Accounts!$D$279="","",[1]Accounts!$C$279)</f>
        <v/>
      </c>
      <c r="I278">
        <f>IF([1]Accounts!$D$279="","",[1]Accounts!$D$279)</f>
        <v/>
      </c>
      <c r="R278">
        <f>IF(AND($F278&lt;&gt;"",$I278&lt;&gt;""),IF(OR($G278="دارایی ثابت",$G278="وام و تسهیلات",$G278="سرمایه و آورده صاحبان"),0,1),0)</f>
        <v/>
      </c>
      <c r="S278">
        <f>SUM($R$6:$R278)</f>
        <v/>
      </c>
      <c r="T278">
        <f>IFERROR(INDEX($F$6:$F$565,MATCH(ROW()-5,$S$6:$S$565,0)),"")</f>
        <v/>
      </c>
      <c r="Z278">
        <f>IF([2]Entry!$E$281="","",[2]Entry!$E$281)</f>
        <v/>
      </c>
      <c r="AA278">
        <f>IF([2]Entry!$G$281="","",[2]Entry!$G$281)</f>
        <v/>
      </c>
      <c r="AB278">
        <f>IF([2]Entry!$J$281="","",[2]Entry!$J$281)</f>
        <v/>
      </c>
      <c r="AC278">
        <f>IF([2]Entry!$K$281="","",[2]Entry!$K$281)</f>
        <v/>
      </c>
      <c r="AD278">
        <f>IF([2]Entry!$L$281="","",[2]Entry!$L$281)</f>
        <v/>
      </c>
      <c r="AE278">
        <f>IF([2]Entry!$M$281="","",[2]Entry!$M$281)</f>
        <v/>
      </c>
      <c r="AF278">
        <f>IF([2]Entry!$N$281="","",[2]Entry!$N$281)</f>
        <v/>
      </c>
      <c r="AG278">
        <f>IF([3]Issues!$B$281="","",[3]Issues!$B$281)</f>
        <v/>
      </c>
      <c r="AH278">
        <f>IF([3]Issues!$D$281="","",[3]Issues!$D$281)</f>
        <v/>
      </c>
      <c r="AI278">
        <f>IF([3]Issues!$E$281="","",[3]Issues!$E$281)</f>
        <v/>
      </c>
      <c r="AJ278">
        <f>IF([2]Entry!$S$281="","",[2]Entry!$S$281)</f>
        <v/>
      </c>
      <c r="AK278">
        <f>IF([2]Entry!$C$281="","",[2]Entry!$C$281)</f>
        <v/>
      </c>
      <c r="AL278">
        <f>IF([2]Entry!$D$281="","",[2]Entry!$D$281)</f>
        <v/>
      </c>
      <c r="AM278">
        <f>IF(AND($F278&lt;&gt;"",$I278&lt;&gt;""),IF($G278="دارایی ثابت",1,0),0)</f>
        <v/>
      </c>
      <c r="AN278">
        <f>SUM($AM$6:$AM278)</f>
        <v/>
      </c>
      <c r="AO278">
        <f>IFERROR(INDEX($F$6:$F$565,MATCH(ROW()-5,$AN$6:$AN$565,0)),"")</f>
        <v/>
      </c>
      <c r="AP278">
        <f>IF(AND($F278&lt;&gt;"",$I278&lt;&gt;""),IF($G278="وام و تسهیلات",1,0),0)</f>
        <v/>
      </c>
      <c r="AQ278">
        <f>SUM($AP$6:$AP278)</f>
        <v/>
      </c>
      <c r="AR278">
        <f>IFERROR(INDEX($F$6:$F$565,MATCH(ROW()-5,$AQ$6:$AQ$565,0)),"")</f>
        <v/>
      </c>
      <c r="AS278">
        <f>IF(AND($F278&lt;&gt;"",$I278&lt;&gt;""),IF($G278="سرمایه و آورده صاحبان",1,0),0)</f>
        <v/>
      </c>
      <c r="AT278">
        <f>SUM($AS$6:$AS278)</f>
        <v/>
      </c>
      <c r="AU278">
        <f>IFERROR(INDEX($F$6:$F$565,MATCH(ROW()-5,$AT$6:$AT$565,0)),"")</f>
        <v/>
      </c>
      <c r="AW278">
        <f>IF([3]Issues!$C$281="","",[3]Issues!$C$281)</f>
        <v/>
      </c>
      <c r="AX278">
        <f>IF([4]Entry!$E$281="","",[4]Entry!$E$281)</f>
        <v/>
      </c>
      <c r="AY278">
        <f>IF([4]Entry!$H$281="","",[4]Entry!$H$281)</f>
        <v/>
      </c>
      <c r="AZ278">
        <f>IF([4]Entry!$I$281="","",[4]Entry!$I$281)</f>
        <v/>
      </c>
    </row>
    <row r="279">
      <c r="F279">
        <f>IF([1]Accounts!$D$280="","",[1]Accounts!$A$280)</f>
        <v/>
      </c>
      <c r="G279">
        <f>IF([1]Accounts!$D$280="","",[1]Accounts!$B$280)</f>
        <v/>
      </c>
      <c r="H279">
        <f>IF([1]Accounts!$D$280="","",[1]Accounts!$C$280)</f>
        <v/>
      </c>
      <c r="I279">
        <f>IF([1]Accounts!$D$280="","",[1]Accounts!$D$280)</f>
        <v/>
      </c>
      <c r="R279">
        <f>IF(AND($F279&lt;&gt;"",$I279&lt;&gt;""),IF(OR($G279="دارایی ثابت",$G279="وام و تسهیلات",$G279="سرمایه و آورده صاحبان"),0,1),0)</f>
        <v/>
      </c>
      <c r="S279">
        <f>SUM($R$6:$R279)</f>
        <v/>
      </c>
      <c r="T279">
        <f>IFERROR(INDEX($F$6:$F$565,MATCH(ROW()-5,$S$6:$S$565,0)),"")</f>
        <v/>
      </c>
      <c r="Z279">
        <f>IF([2]Entry!$E$282="","",[2]Entry!$E$282)</f>
        <v/>
      </c>
      <c r="AA279">
        <f>IF([2]Entry!$G$282="","",[2]Entry!$G$282)</f>
        <v/>
      </c>
      <c r="AB279">
        <f>IF([2]Entry!$J$282="","",[2]Entry!$J$282)</f>
        <v/>
      </c>
      <c r="AC279">
        <f>IF([2]Entry!$K$282="","",[2]Entry!$K$282)</f>
        <v/>
      </c>
      <c r="AD279">
        <f>IF([2]Entry!$L$282="","",[2]Entry!$L$282)</f>
        <v/>
      </c>
      <c r="AE279">
        <f>IF([2]Entry!$M$282="","",[2]Entry!$M$282)</f>
        <v/>
      </c>
      <c r="AF279">
        <f>IF([2]Entry!$N$282="","",[2]Entry!$N$282)</f>
        <v/>
      </c>
      <c r="AG279">
        <f>IF([3]Issues!$B$282="","",[3]Issues!$B$282)</f>
        <v/>
      </c>
      <c r="AH279">
        <f>IF([3]Issues!$D$282="","",[3]Issues!$D$282)</f>
        <v/>
      </c>
      <c r="AI279">
        <f>IF([3]Issues!$E$282="","",[3]Issues!$E$282)</f>
        <v/>
      </c>
      <c r="AJ279">
        <f>IF([2]Entry!$S$282="","",[2]Entry!$S$282)</f>
        <v/>
      </c>
      <c r="AK279">
        <f>IF([2]Entry!$C$282="","",[2]Entry!$C$282)</f>
        <v/>
      </c>
      <c r="AL279">
        <f>IF([2]Entry!$D$282="","",[2]Entry!$D$282)</f>
        <v/>
      </c>
      <c r="AM279">
        <f>IF(AND($F279&lt;&gt;"",$I279&lt;&gt;""),IF($G279="دارایی ثابت",1,0),0)</f>
        <v/>
      </c>
      <c r="AN279">
        <f>SUM($AM$6:$AM279)</f>
        <v/>
      </c>
      <c r="AO279">
        <f>IFERROR(INDEX($F$6:$F$565,MATCH(ROW()-5,$AN$6:$AN$565,0)),"")</f>
        <v/>
      </c>
      <c r="AP279">
        <f>IF(AND($F279&lt;&gt;"",$I279&lt;&gt;""),IF($G279="وام و تسهیلات",1,0),0)</f>
        <v/>
      </c>
      <c r="AQ279">
        <f>SUM($AP$6:$AP279)</f>
        <v/>
      </c>
      <c r="AR279">
        <f>IFERROR(INDEX($F$6:$F$565,MATCH(ROW()-5,$AQ$6:$AQ$565,0)),"")</f>
        <v/>
      </c>
      <c r="AS279">
        <f>IF(AND($F279&lt;&gt;"",$I279&lt;&gt;""),IF($G279="سرمایه و آورده صاحبان",1,0),0)</f>
        <v/>
      </c>
      <c r="AT279">
        <f>SUM($AS$6:$AS279)</f>
        <v/>
      </c>
      <c r="AU279">
        <f>IFERROR(INDEX($F$6:$F$565,MATCH(ROW()-5,$AT$6:$AT$565,0)),"")</f>
        <v/>
      </c>
      <c r="AW279">
        <f>IF([3]Issues!$C$282="","",[3]Issues!$C$282)</f>
        <v/>
      </c>
      <c r="AX279">
        <f>IF([4]Entry!$E$282="","",[4]Entry!$E$282)</f>
        <v/>
      </c>
      <c r="AY279">
        <f>IF([4]Entry!$H$282="","",[4]Entry!$H$282)</f>
        <v/>
      </c>
      <c r="AZ279">
        <f>IF([4]Entry!$I$282="","",[4]Entry!$I$282)</f>
        <v/>
      </c>
    </row>
    <row r="280">
      <c r="F280">
        <f>IF([1]Accounts!$D$281="","",[1]Accounts!$A$281)</f>
        <v/>
      </c>
      <c r="G280">
        <f>IF([1]Accounts!$D$281="","",[1]Accounts!$B$281)</f>
        <v/>
      </c>
      <c r="H280">
        <f>IF([1]Accounts!$D$281="","",[1]Accounts!$C$281)</f>
        <v/>
      </c>
      <c r="I280">
        <f>IF([1]Accounts!$D$281="","",[1]Accounts!$D$281)</f>
        <v/>
      </c>
      <c r="R280">
        <f>IF(AND($F280&lt;&gt;"",$I280&lt;&gt;""),IF(OR($G280="دارایی ثابت",$G280="وام و تسهیلات",$G280="سرمایه و آورده صاحبان"),0,1),0)</f>
        <v/>
      </c>
      <c r="S280">
        <f>SUM($R$6:$R280)</f>
        <v/>
      </c>
      <c r="T280">
        <f>IFERROR(INDEX($F$6:$F$565,MATCH(ROW()-5,$S$6:$S$565,0)),"")</f>
        <v/>
      </c>
      <c r="Z280">
        <f>IF([2]Entry!$E$283="","",[2]Entry!$E$283)</f>
        <v/>
      </c>
      <c r="AA280">
        <f>IF([2]Entry!$G$283="","",[2]Entry!$G$283)</f>
        <v/>
      </c>
      <c r="AB280">
        <f>IF([2]Entry!$J$283="","",[2]Entry!$J$283)</f>
        <v/>
      </c>
      <c r="AC280">
        <f>IF([2]Entry!$K$283="","",[2]Entry!$K$283)</f>
        <v/>
      </c>
      <c r="AD280">
        <f>IF([2]Entry!$L$283="","",[2]Entry!$L$283)</f>
        <v/>
      </c>
      <c r="AE280">
        <f>IF([2]Entry!$M$283="","",[2]Entry!$M$283)</f>
        <v/>
      </c>
      <c r="AF280">
        <f>IF([2]Entry!$N$283="","",[2]Entry!$N$283)</f>
        <v/>
      </c>
      <c r="AG280">
        <f>IF([3]Issues!$B$283="","",[3]Issues!$B$283)</f>
        <v/>
      </c>
      <c r="AH280">
        <f>IF([3]Issues!$D$283="","",[3]Issues!$D$283)</f>
        <v/>
      </c>
      <c r="AI280">
        <f>IF([3]Issues!$E$283="","",[3]Issues!$E$283)</f>
        <v/>
      </c>
      <c r="AJ280">
        <f>IF([2]Entry!$S$283="","",[2]Entry!$S$283)</f>
        <v/>
      </c>
      <c r="AK280">
        <f>IF([2]Entry!$C$283="","",[2]Entry!$C$283)</f>
        <v/>
      </c>
      <c r="AL280">
        <f>IF([2]Entry!$D$283="","",[2]Entry!$D$283)</f>
        <v/>
      </c>
      <c r="AM280">
        <f>IF(AND($F280&lt;&gt;"",$I280&lt;&gt;""),IF($G280="دارایی ثابت",1,0),0)</f>
        <v/>
      </c>
      <c r="AN280">
        <f>SUM($AM$6:$AM280)</f>
        <v/>
      </c>
      <c r="AO280">
        <f>IFERROR(INDEX($F$6:$F$565,MATCH(ROW()-5,$AN$6:$AN$565,0)),"")</f>
        <v/>
      </c>
      <c r="AP280">
        <f>IF(AND($F280&lt;&gt;"",$I280&lt;&gt;""),IF($G280="وام و تسهیلات",1,0),0)</f>
        <v/>
      </c>
      <c r="AQ280">
        <f>SUM($AP$6:$AP280)</f>
        <v/>
      </c>
      <c r="AR280">
        <f>IFERROR(INDEX($F$6:$F$565,MATCH(ROW()-5,$AQ$6:$AQ$565,0)),"")</f>
        <v/>
      </c>
      <c r="AS280">
        <f>IF(AND($F280&lt;&gt;"",$I280&lt;&gt;""),IF($G280="سرمایه و آورده صاحبان",1,0),0)</f>
        <v/>
      </c>
      <c r="AT280">
        <f>SUM($AS$6:$AS280)</f>
        <v/>
      </c>
      <c r="AU280">
        <f>IFERROR(INDEX($F$6:$F$565,MATCH(ROW()-5,$AT$6:$AT$565,0)),"")</f>
        <v/>
      </c>
      <c r="AW280">
        <f>IF([3]Issues!$C$283="","",[3]Issues!$C$283)</f>
        <v/>
      </c>
      <c r="AX280">
        <f>IF([4]Entry!$E$283="","",[4]Entry!$E$283)</f>
        <v/>
      </c>
      <c r="AY280">
        <f>IF([4]Entry!$H$283="","",[4]Entry!$H$283)</f>
        <v/>
      </c>
      <c r="AZ280">
        <f>IF([4]Entry!$I$283="","",[4]Entry!$I$283)</f>
        <v/>
      </c>
    </row>
    <row r="281">
      <c r="F281">
        <f>IF([1]Accounts!$D$282="","",[1]Accounts!$A$282)</f>
        <v/>
      </c>
      <c r="G281">
        <f>IF([1]Accounts!$D$282="","",[1]Accounts!$B$282)</f>
        <v/>
      </c>
      <c r="H281">
        <f>IF([1]Accounts!$D$282="","",[1]Accounts!$C$282)</f>
        <v/>
      </c>
      <c r="I281">
        <f>IF([1]Accounts!$D$282="","",[1]Accounts!$D$282)</f>
        <v/>
      </c>
      <c r="R281">
        <f>IF(AND($F281&lt;&gt;"",$I281&lt;&gt;""),IF(OR($G281="دارایی ثابت",$G281="وام و تسهیلات",$G281="سرمایه و آورده صاحبان"),0,1),0)</f>
        <v/>
      </c>
      <c r="S281">
        <f>SUM($R$6:$R281)</f>
        <v/>
      </c>
      <c r="T281">
        <f>IFERROR(INDEX($F$6:$F$565,MATCH(ROW()-5,$S$6:$S$565,0)),"")</f>
        <v/>
      </c>
      <c r="Z281">
        <f>IF([2]Entry!$E$284="","",[2]Entry!$E$284)</f>
        <v/>
      </c>
      <c r="AA281">
        <f>IF([2]Entry!$G$284="","",[2]Entry!$G$284)</f>
        <v/>
      </c>
      <c r="AB281">
        <f>IF([2]Entry!$J$284="","",[2]Entry!$J$284)</f>
        <v/>
      </c>
      <c r="AC281">
        <f>IF([2]Entry!$K$284="","",[2]Entry!$K$284)</f>
        <v/>
      </c>
      <c r="AD281">
        <f>IF([2]Entry!$L$284="","",[2]Entry!$L$284)</f>
        <v/>
      </c>
      <c r="AE281">
        <f>IF([2]Entry!$M$284="","",[2]Entry!$M$284)</f>
        <v/>
      </c>
      <c r="AF281">
        <f>IF([2]Entry!$N$284="","",[2]Entry!$N$284)</f>
        <v/>
      </c>
      <c r="AG281">
        <f>IF([3]Issues!$B$284="","",[3]Issues!$B$284)</f>
        <v/>
      </c>
      <c r="AH281">
        <f>IF([3]Issues!$D$284="","",[3]Issues!$D$284)</f>
        <v/>
      </c>
      <c r="AI281">
        <f>IF([3]Issues!$E$284="","",[3]Issues!$E$284)</f>
        <v/>
      </c>
      <c r="AJ281">
        <f>IF([2]Entry!$S$284="","",[2]Entry!$S$284)</f>
        <v/>
      </c>
      <c r="AK281">
        <f>IF([2]Entry!$C$284="","",[2]Entry!$C$284)</f>
        <v/>
      </c>
      <c r="AL281">
        <f>IF([2]Entry!$D$284="","",[2]Entry!$D$284)</f>
        <v/>
      </c>
      <c r="AM281">
        <f>IF(AND($F281&lt;&gt;"",$I281&lt;&gt;""),IF($G281="دارایی ثابت",1,0),0)</f>
        <v/>
      </c>
      <c r="AN281">
        <f>SUM($AM$6:$AM281)</f>
        <v/>
      </c>
      <c r="AO281">
        <f>IFERROR(INDEX($F$6:$F$565,MATCH(ROW()-5,$AN$6:$AN$565,0)),"")</f>
        <v/>
      </c>
      <c r="AP281">
        <f>IF(AND($F281&lt;&gt;"",$I281&lt;&gt;""),IF($G281="وام و تسهیلات",1,0),0)</f>
        <v/>
      </c>
      <c r="AQ281">
        <f>SUM($AP$6:$AP281)</f>
        <v/>
      </c>
      <c r="AR281">
        <f>IFERROR(INDEX($F$6:$F$565,MATCH(ROW()-5,$AQ$6:$AQ$565,0)),"")</f>
        <v/>
      </c>
      <c r="AS281">
        <f>IF(AND($F281&lt;&gt;"",$I281&lt;&gt;""),IF($G281="سرمایه و آورده صاحبان",1,0),0)</f>
        <v/>
      </c>
      <c r="AT281">
        <f>SUM($AS$6:$AS281)</f>
        <v/>
      </c>
      <c r="AU281">
        <f>IFERROR(INDEX($F$6:$F$565,MATCH(ROW()-5,$AT$6:$AT$565,0)),"")</f>
        <v/>
      </c>
      <c r="AW281">
        <f>IF([3]Issues!$C$284="","",[3]Issues!$C$284)</f>
        <v/>
      </c>
      <c r="AX281">
        <f>IF([4]Entry!$E$284="","",[4]Entry!$E$284)</f>
        <v/>
      </c>
      <c r="AY281">
        <f>IF([4]Entry!$H$284="","",[4]Entry!$H$284)</f>
        <v/>
      </c>
      <c r="AZ281">
        <f>IF([4]Entry!$I$284="","",[4]Entry!$I$284)</f>
        <v/>
      </c>
    </row>
    <row r="282">
      <c r="F282">
        <f>IF([1]Accounts!$D$283="","",[1]Accounts!$A$283)</f>
        <v/>
      </c>
      <c r="G282">
        <f>IF([1]Accounts!$D$283="","",[1]Accounts!$B$283)</f>
        <v/>
      </c>
      <c r="H282">
        <f>IF([1]Accounts!$D$283="","",[1]Accounts!$C$283)</f>
        <v/>
      </c>
      <c r="I282">
        <f>IF([1]Accounts!$D$283="","",[1]Accounts!$D$283)</f>
        <v/>
      </c>
      <c r="R282">
        <f>IF(AND($F282&lt;&gt;"",$I282&lt;&gt;""),IF(OR($G282="دارایی ثابت",$G282="وام و تسهیلات",$G282="سرمایه و آورده صاحبان"),0,1),0)</f>
        <v/>
      </c>
      <c r="S282">
        <f>SUM($R$6:$R282)</f>
        <v/>
      </c>
      <c r="T282">
        <f>IFERROR(INDEX($F$6:$F$565,MATCH(ROW()-5,$S$6:$S$565,0)),"")</f>
        <v/>
      </c>
      <c r="Z282">
        <f>IF([2]Entry!$E$285="","",[2]Entry!$E$285)</f>
        <v/>
      </c>
      <c r="AA282">
        <f>IF([2]Entry!$G$285="","",[2]Entry!$G$285)</f>
        <v/>
      </c>
      <c r="AB282">
        <f>IF([2]Entry!$J$285="","",[2]Entry!$J$285)</f>
        <v/>
      </c>
      <c r="AC282">
        <f>IF([2]Entry!$K$285="","",[2]Entry!$K$285)</f>
        <v/>
      </c>
      <c r="AD282">
        <f>IF([2]Entry!$L$285="","",[2]Entry!$L$285)</f>
        <v/>
      </c>
      <c r="AE282">
        <f>IF([2]Entry!$M$285="","",[2]Entry!$M$285)</f>
        <v/>
      </c>
      <c r="AF282">
        <f>IF([2]Entry!$N$285="","",[2]Entry!$N$285)</f>
        <v/>
      </c>
      <c r="AG282">
        <f>IF([3]Issues!$B$285="","",[3]Issues!$B$285)</f>
        <v/>
      </c>
      <c r="AH282">
        <f>IF([3]Issues!$D$285="","",[3]Issues!$D$285)</f>
        <v/>
      </c>
      <c r="AI282">
        <f>IF([3]Issues!$E$285="","",[3]Issues!$E$285)</f>
        <v/>
      </c>
      <c r="AJ282">
        <f>IF([2]Entry!$S$285="","",[2]Entry!$S$285)</f>
        <v/>
      </c>
      <c r="AK282">
        <f>IF([2]Entry!$C$285="","",[2]Entry!$C$285)</f>
        <v/>
      </c>
      <c r="AL282">
        <f>IF([2]Entry!$D$285="","",[2]Entry!$D$285)</f>
        <v/>
      </c>
      <c r="AM282">
        <f>IF(AND($F282&lt;&gt;"",$I282&lt;&gt;""),IF($G282="دارایی ثابت",1,0),0)</f>
        <v/>
      </c>
      <c r="AN282">
        <f>SUM($AM$6:$AM282)</f>
        <v/>
      </c>
      <c r="AO282">
        <f>IFERROR(INDEX($F$6:$F$565,MATCH(ROW()-5,$AN$6:$AN$565,0)),"")</f>
        <v/>
      </c>
      <c r="AP282">
        <f>IF(AND($F282&lt;&gt;"",$I282&lt;&gt;""),IF($G282="وام و تسهیلات",1,0),0)</f>
        <v/>
      </c>
      <c r="AQ282">
        <f>SUM($AP$6:$AP282)</f>
        <v/>
      </c>
      <c r="AR282">
        <f>IFERROR(INDEX($F$6:$F$565,MATCH(ROW()-5,$AQ$6:$AQ$565,0)),"")</f>
        <v/>
      </c>
      <c r="AS282">
        <f>IF(AND($F282&lt;&gt;"",$I282&lt;&gt;""),IF($G282="سرمایه و آورده صاحبان",1,0),0)</f>
        <v/>
      </c>
      <c r="AT282">
        <f>SUM($AS$6:$AS282)</f>
        <v/>
      </c>
      <c r="AU282">
        <f>IFERROR(INDEX($F$6:$F$565,MATCH(ROW()-5,$AT$6:$AT$565,0)),"")</f>
        <v/>
      </c>
      <c r="AW282">
        <f>IF([3]Issues!$C$285="","",[3]Issues!$C$285)</f>
        <v/>
      </c>
      <c r="AX282">
        <f>IF([4]Entry!$E$285="","",[4]Entry!$E$285)</f>
        <v/>
      </c>
      <c r="AY282">
        <f>IF([4]Entry!$H$285="","",[4]Entry!$H$285)</f>
        <v/>
      </c>
      <c r="AZ282">
        <f>IF([4]Entry!$I$285="","",[4]Entry!$I$285)</f>
        <v/>
      </c>
    </row>
    <row r="283">
      <c r="F283">
        <f>IF([1]Accounts!$D$284="","",[1]Accounts!$A$284)</f>
        <v/>
      </c>
      <c r="G283">
        <f>IF([1]Accounts!$D$284="","",[1]Accounts!$B$284)</f>
        <v/>
      </c>
      <c r="H283">
        <f>IF([1]Accounts!$D$284="","",[1]Accounts!$C$284)</f>
        <v/>
      </c>
      <c r="I283">
        <f>IF([1]Accounts!$D$284="","",[1]Accounts!$D$284)</f>
        <v/>
      </c>
      <c r="R283">
        <f>IF(AND($F283&lt;&gt;"",$I283&lt;&gt;""),IF(OR($G283="دارایی ثابت",$G283="وام و تسهیلات",$G283="سرمایه و آورده صاحبان"),0,1),0)</f>
        <v/>
      </c>
      <c r="S283">
        <f>SUM($R$6:$R283)</f>
        <v/>
      </c>
      <c r="T283">
        <f>IFERROR(INDEX($F$6:$F$565,MATCH(ROW()-5,$S$6:$S$565,0)),"")</f>
        <v/>
      </c>
      <c r="Z283">
        <f>IF([2]Entry!$E$286="","",[2]Entry!$E$286)</f>
        <v/>
      </c>
      <c r="AA283">
        <f>IF([2]Entry!$G$286="","",[2]Entry!$G$286)</f>
        <v/>
      </c>
      <c r="AB283">
        <f>IF([2]Entry!$J$286="","",[2]Entry!$J$286)</f>
        <v/>
      </c>
      <c r="AC283">
        <f>IF([2]Entry!$K$286="","",[2]Entry!$K$286)</f>
        <v/>
      </c>
      <c r="AD283">
        <f>IF([2]Entry!$L$286="","",[2]Entry!$L$286)</f>
        <v/>
      </c>
      <c r="AE283">
        <f>IF([2]Entry!$M$286="","",[2]Entry!$M$286)</f>
        <v/>
      </c>
      <c r="AF283">
        <f>IF([2]Entry!$N$286="","",[2]Entry!$N$286)</f>
        <v/>
      </c>
      <c r="AG283">
        <f>IF([3]Issues!$B$286="","",[3]Issues!$B$286)</f>
        <v/>
      </c>
      <c r="AH283">
        <f>IF([3]Issues!$D$286="","",[3]Issues!$D$286)</f>
        <v/>
      </c>
      <c r="AI283">
        <f>IF([3]Issues!$E$286="","",[3]Issues!$E$286)</f>
        <v/>
      </c>
      <c r="AJ283">
        <f>IF([2]Entry!$S$286="","",[2]Entry!$S$286)</f>
        <v/>
      </c>
      <c r="AK283">
        <f>IF([2]Entry!$C$286="","",[2]Entry!$C$286)</f>
        <v/>
      </c>
      <c r="AL283">
        <f>IF([2]Entry!$D$286="","",[2]Entry!$D$286)</f>
        <v/>
      </c>
      <c r="AM283">
        <f>IF(AND($F283&lt;&gt;"",$I283&lt;&gt;""),IF($G283="دارایی ثابت",1,0),0)</f>
        <v/>
      </c>
      <c r="AN283">
        <f>SUM($AM$6:$AM283)</f>
        <v/>
      </c>
      <c r="AO283">
        <f>IFERROR(INDEX($F$6:$F$565,MATCH(ROW()-5,$AN$6:$AN$565,0)),"")</f>
        <v/>
      </c>
      <c r="AP283">
        <f>IF(AND($F283&lt;&gt;"",$I283&lt;&gt;""),IF($G283="وام و تسهیلات",1,0),0)</f>
        <v/>
      </c>
      <c r="AQ283">
        <f>SUM($AP$6:$AP283)</f>
        <v/>
      </c>
      <c r="AR283">
        <f>IFERROR(INDEX($F$6:$F$565,MATCH(ROW()-5,$AQ$6:$AQ$565,0)),"")</f>
        <v/>
      </c>
      <c r="AS283">
        <f>IF(AND($F283&lt;&gt;"",$I283&lt;&gt;""),IF($G283="سرمایه و آورده صاحبان",1,0),0)</f>
        <v/>
      </c>
      <c r="AT283">
        <f>SUM($AS$6:$AS283)</f>
        <v/>
      </c>
      <c r="AU283">
        <f>IFERROR(INDEX($F$6:$F$565,MATCH(ROW()-5,$AT$6:$AT$565,0)),"")</f>
        <v/>
      </c>
      <c r="AW283">
        <f>IF([3]Issues!$C$286="","",[3]Issues!$C$286)</f>
        <v/>
      </c>
      <c r="AX283">
        <f>IF([4]Entry!$E$286="","",[4]Entry!$E$286)</f>
        <v/>
      </c>
      <c r="AY283">
        <f>IF([4]Entry!$H$286="","",[4]Entry!$H$286)</f>
        <v/>
      </c>
      <c r="AZ283">
        <f>IF([4]Entry!$I$286="","",[4]Entry!$I$286)</f>
        <v/>
      </c>
    </row>
    <row r="284">
      <c r="F284">
        <f>IF([1]Accounts!$D$285="","",[1]Accounts!$A$285)</f>
        <v/>
      </c>
      <c r="G284">
        <f>IF([1]Accounts!$D$285="","",[1]Accounts!$B$285)</f>
        <v/>
      </c>
      <c r="H284">
        <f>IF([1]Accounts!$D$285="","",[1]Accounts!$C$285)</f>
        <v/>
      </c>
      <c r="I284">
        <f>IF([1]Accounts!$D$285="","",[1]Accounts!$D$285)</f>
        <v/>
      </c>
      <c r="R284">
        <f>IF(AND($F284&lt;&gt;"",$I284&lt;&gt;""),IF(OR($G284="دارایی ثابت",$G284="وام و تسهیلات",$G284="سرمایه و آورده صاحبان"),0,1),0)</f>
        <v/>
      </c>
      <c r="S284">
        <f>SUM($R$6:$R284)</f>
        <v/>
      </c>
      <c r="T284">
        <f>IFERROR(INDEX($F$6:$F$565,MATCH(ROW()-5,$S$6:$S$565,0)),"")</f>
        <v/>
      </c>
      <c r="Z284">
        <f>IF([2]Entry!$E$287="","",[2]Entry!$E$287)</f>
        <v/>
      </c>
      <c r="AA284">
        <f>IF([2]Entry!$G$287="","",[2]Entry!$G$287)</f>
        <v/>
      </c>
      <c r="AB284">
        <f>IF([2]Entry!$J$287="","",[2]Entry!$J$287)</f>
        <v/>
      </c>
      <c r="AC284">
        <f>IF([2]Entry!$K$287="","",[2]Entry!$K$287)</f>
        <v/>
      </c>
      <c r="AD284">
        <f>IF([2]Entry!$L$287="","",[2]Entry!$L$287)</f>
        <v/>
      </c>
      <c r="AE284">
        <f>IF([2]Entry!$M$287="","",[2]Entry!$M$287)</f>
        <v/>
      </c>
      <c r="AF284">
        <f>IF([2]Entry!$N$287="","",[2]Entry!$N$287)</f>
        <v/>
      </c>
      <c r="AG284">
        <f>IF([3]Issues!$B$287="","",[3]Issues!$B$287)</f>
        <v/>
      </c>
      <c r="AH284">
        <f>IF([3]Issues!$D$287="","",[3]Issues!$D$287)</f>
        <v/>
      </c>
      <c r="AI284">
        <f>IF([3]Issues!$E$287="","",[3]Issues!$E$287)</f>
        <v/>
      </c>
      <c r="AJ284">
        <f>IF([2]Entry!$S$287="","",[2]Entry!$S$287)</f>
        <v/>
      </c>
      <c r="AK284">
        <f>IF([2]Entry!$C$287="","",[2]Entry!$C$287)</f>
        <v/>
      </c>
      <c r="AL284">
        <f>IF([2]Entry!$D$287="","",[2]Entry!$D$287)</f>
        <v/>
      </c>
      <c r="AM284">
        <f>IF(AND($F284&lt;&gt;"",$I284&lt;&gt;""),IF($G284="دارایی ثابت",1,0),0)</f>
        <v/>
      </c>
      <c r="AN284">
        <f>SUM($AM$6:$AM284)</f>
        <v/>
      </c>
      <c r="AO284">
        <f>IFERROR(INDEX($F$6:$F$565,MATCH(ROW()-5,$AN$6:$AN$565,0)),"")</f>
        <v/>
      </c>
      <c r="AP284">
        <f>IF(AND($F284&lt;&gt;"",$I284&lt;&gt;""),IF($G284="وام و تسهیلات",1,0),0)</f>
        <v/>
      </c>
      <c r="AQ284">
        <f>SUM($AP$6:$AP284)</f>
        <v/>
      </c>
      <c r="AR284">
        <f>IFERROR(INDEX($F$6:$F$565,MATCH(ROW()-5,$AQ$6:$AQ$565,0)),"")</f>
        <v/>
      </c>
      <c r="AS284">
        <f>IF(AND($F284&lt;&gt;"",$I284&lt;&gt;""),IF($G284="سرمایه و آورده صاحبان",1,0),0)</f>
        <v/>
      </c>
      <c r="AT284">
        <f>SUM($AS$6:$AS284)</f>
        <v/>
      </c>
      <c r="AU284">
        <f>IFERROR(INDEX($F$6:$F$565,MATCH(ROW()-5,$AT$6:$AT$565,0)),"")</f>
        <v/>
      </c>
      <c r="AW284">
        <f>IF([3]Issues!$C$287="","",[3]Issues!$C$287)</f>
        <v/>
      </c>
      <c r="AX284">
        <f>IF([4]Entry!$E$287="","",[4]Entry!$E$287)</f>
        <v/>
      </c>
      <c r="AY284">
        <f>IF([4]Entry!$H$287="","",[4]Entry!$H$287)</f>
        <v/>
      </c>
      <c r="AZ284">
        <f>IF([4]Entry!$I$287="","",[4]Entry!$I$287)</f>
        <v/>
      </c>
    </row>
    <row r="285">
      <c r="F285">
        <f>IF([1]Accounts!$D$286="","",[1]Accounts!$A$286)</f>
        <v/>
      </c>
      <c r="G285">
        <f>IF([1]Accounts!$D$286="","",[1]Accounts!$B$286)</f>
        <v/>
      </c>
      <c r="H285">
        <f>IF([1]Accounts!$D$286="","",[1]Accounts!$C$286)</f>
        <v/>
      </c>
      <c r="I285">
        <f>IF([1]Accounts!$D$286="","",[1]Accounts!$D$286)</f>
        <v/>
      </c>
      <c r="R285">
        <f>IF(AND($F285&lt;&gt;"",$I285&lt;&gt;""),IF(OR($G285="دارایی ثابت",$G285="وام و تسهیلات",$G285="سرمایه و آورده صاحبان"),0,1),0)</f>
        <v/>
      </c>
      <c r="S285">
        <f>SUM($R$6:$R285)</f>
        <v/>
      </c>
      <c r="T285">
        <f>IFERROR(INDEX($F$6:$F$565,MATCH(ROW()-5,$S$6:$S$565,0)),"")</f>
        <v/>
      </c>
      <c r="Z285">
        <f>IF([2]Entry!$E$288="","",[2]Entry!$E$288)</f>
        <v/>
      </c>
      <c r="AA285">
        <f>IF([2]Entry!$G$288="","",[2]Entry!$G$288)</f>
        <v/>
      </c>
      <c r="AB285">
        <f>IF([2]Entry!$J$288="","",[2]Entry!$J$288)</f>
        <v/>
      </c>
      <c r="AC285">
        <f>IF([2]Entry!$K$288="","",[2]Entry!$K$288)</f>
        <v/>
      </c>
      <c r="AD285">
        <f>IF([2]Entry!$L$288="","",[2]Entry!$L$288)</f>
        <v/>
      </c>
      <c r="AE285">
        <f>IF([2]Entry!$M$288="","",[2]Entry!$M$288)</f>
        <v/>
      </c>
      <c r="AF285">
        <f>IF([2]Entry!$N$288="","",[2]Entry!$N$288)</f>
        <v/>
      </c>
      <c r="AG285">
        <f>IF([3]Issues!$B$288="","",[3]Issues!$B$288)</f>
        <v/>
      </c>
      <c r="AH285">
        <f>IF([3]Issues!$D$288="","",[3]Issues!$D$288)</f>
        <v/>
      </c>
      <c r="AI285">
        <f>IF([3]Issues!$E$288="","",[3]Issues!$E$288)</f>
        <v/>
      </c>
      <c r="AJ285">
        <f>IF([2]Entry!$S$288="","",[2]Entry!$S$288)</f>
        <v/>
      </c>
      <c r="AK285">
        <f>IF([2]Entry!$C$288="","",[2]Entry!$C$288)</f>
        <v/>
      </c>
      <c r="AL285">
        <f>IF([2]Entry!$D$288="","",[2]Entry!$D$288)</f>
        <v/>
      </c>
      <c r="AM285">
        <f>IF(AND($F285&lt;&gt;"",$I285&lt;&gt;""),IF($G285="دارایی ثابت",1,0),0)</f>
        <v/>
      </c>
      <c r="AN285">
        <f>SUM($AM$6:$AM285)</f>
        <v/>
      </c>
      <c r="AO285">
        <f>IFERROR(INDEX($F$6:$F$565,MATCH(ROW()-5,$AN$6:$AN$565,0)),"")</f>
        <v/>
      </c>
      <c r="AP285">
        <f>IF(AND($F285&lt;&gt;"",$I285&lt;&gt;""),IF($G285="وام و تسهیلات",1,0),0)</f>
        <v/>
      </c>
      <c r="AQ285">
        <f>SUM($AP$6:$AP285)</f>
        <v/>
      </c>
      <c r="AR285">
        <f>IFERROR(INDEX($F$6:$F$565,MATCH(ROW()-5,$AQ$6:$AQ$565,0)),"")</f>
        <v/>
      </c>
      <c r="AS285">
        <f>IF(AND($F285&lt;&gt;"",$I285&lt;&gt;""),IF($G285="سرمایه و آورده صاحبان",1,0),0)</f>
        <v/>
      </c>
      <c r="AT285">
        <f>SUM($AS$6:$AS285)</f>
        <v/>
      </c>
      <c r="AU285">
        <f>IFERROR(INDEX($F$6:$F$565,MATCH(ROW()-5,$AT$6:$AT$565,0)),"")</f>
        <v/>
      </c>
      <c r="AW285">
        <f>IF([3]Issues!$C$288="","",[3]Issues!$C$288)</f>
        <v/>
      </c>
      <c r="AX285">
        <f>IF([4]Entry!$E$288="","",[4]Entry!$E$288)</f>
        <v/>
      </c>
      <c r="AY285">
        <f>IF([4]Entry!$H$288="","",[4]Entry!$H$288)</f>
        <v/>
      </c>
      <c r="AZ285">
        <f>IF([4]Entry!$I$288="","",[4]Entry!$I$288)</f>
        <v/>
      </c>
    </row>
    <row r="286">
      <c r="F286">
        <f>IF([1]Accounts!$D$287="","",[1]Accounts!$A$287)</f>
        <v/>
      </c>
      <c r="G286">
        <f>IF([1]Accounts!$D$287="","",[1]Accounts!$B$287)</f>
        <v/>
      </c>
      <c r="H286">
        <f>IF([1]Accounts!$D$287="","",[1]Accounts!$C$287)</f>
        <v/>
      </c>
      <c r="I286">
        <f>IF([1]Accounts!$D$287="","",[1]Accounts!$D$287)</f>
        <v/>
      </c>
      <c r="R286">
        <f>IF(AND($F286&lt;&gt;"",$I286&lt;&gt;""),IF(OR($G286="دارایی ثابت",$G286="وام و تسهیلات",$G286="سرمایه و آورده صاحبان"),0,1),0)</f>
        <v/>
      </c>
      <c r="S286">
        <f>SUM($R$6:$R286)</f>
        <v/>
      </c>
      <c r="T286">
        <f>IFERROR(INDEX($F$6:$F$565,MATCH(ROW()-5,$S$6:$S$565,0)),"")</f>
        <v/>
      </c>
      <c r="Z286">
        <f>IF([2]Entry!$E$289="","",[2]Entry!$E$289)</f>
        <v/>
      </c>
      <c r="AA286">
        <f>IF([2]Entry!$G$289="","",[2]Entry!$G$289)</f>
        <v/>
      </c>
      <c r="AB286">
        <f>IF([2]Entry!$J$289="","",[2]Entry!$J$289)</f>
        <v/>
      </c>
      <c r="AC286">
        <f>IF([2]Entry!$K$289="","",[2]Entry!$K$289)</f>
        <v/>
      </c>
      <c r="AD286">
        <f>IF([2]Entry!$L$289="","",[2]Entry!$L$289)</f>
        <v/>
      </c>
      <c r="AE286">
        <f>IF([2]Entry!$M$289="","",[2]Entry!$M$289)</f>
        <v/>
      </c>
      <c r="AF286">
        <f>IF([2]Entry!$N$289="","",[2]Entry!$N$289)</f>
        <v/>
      </c>
      <c r="AG286">
        <f>IF([3]Issues!$B$289="","",[3]Issues!$B$289)</f>
        <v/>
      </c>
      <c r="AH286">
        <f>IF([3]Issues!$D$289="","",[3]Issues!$D$289)</f>
        <v/>
      </c>
      <c r="AI286">
        <f>IF([3]Issues!$E$289="","",[3]Issues!$E$289)</f>
        <v/>
      </c>
      <c r="AJ286">
        <f>IF([2]Entry!$S$289="","",[2]Entry!$S$289)</f>
        <v/>
      </c>
      <c r="AK286">
        <f>IF([2]Entry!$C$289="","",[2]Entry!$C$289)</f>
        <v/>
      </c>
      <c r="AL286">
        <f>IF([2]Entry!$D$289="","",[2]Entry!$D$289)</f>
        <v/>
      </c>
      <c r="AM286">
        <f>IF(AND($F286&lt;&gt;"",$I286&lt;&gt;""),IF($G286="دارایی ثابت",1,0),0)</f>
        <v/>
      </c>
      <c r="AN286">
        <f>SUM($AM$6:$AM286)</f>
        <v/>
      </c>
      <c r="AO286">
        <f>IFERROR(INDEX($F$6:$F$565,MATCH(ROW()-5,$AN$6:$AN$565,0)),"")</f>
        <v/>
      </c>
      <c r="AP286">
        <f>IF(AND($F286&lt;&gt;"",$I286&lt;&gt;""),IF($G286="وام و تسهیلات",1,0),0)</f>
        <v/>
      </c>
      <c r="AQ286">
        <f>SUM($AP$6:$AP286)</f>
        <v/>
      </c>
      <c r="AR286">
        <f>IFERROR(INDEX($F$6:$F$565,MATCH(ROW()-5,$AQ$6:$AQ$565,0)),"")</f>
        <v/>
      </c>
      <c r="AS286">
        <f>IF(AND($F286&lt;&gt;"",$I286&lt;&gt;""),IF($G286="سرمایه و آورده صاحبان",1,0),0)</f>
        <v/>
      </c>
      <c r="AT286">
        <f>SUM($AS$6:$AS286)</f>
        <v/>
      </c>
      <c r="AU286">
        <f>IFERROR(INDEX($F$6:$F$565,MATCH(ROW()-5,$AT$6:$AT$565,0)),"")</f>
        <v/>
      </c>
      <c r="AW286">
        <f>IF([3]Issues!$C$289="","",[3]Issues!$C$289)</f>
        <v/>
      </c>
      <c r="AX286">
        <f>IF([4]Entry!$E$289="","",[4]Entry!$E$289)</f>
        <v/>
      </c>
      <c r="AY286">
        <f>IF([4]Entry!$H$289="","",[4]Entry!$H$289)</f>
        <v/>
      </c>
      <c r="AZ286">
        <f>IF([4]Entry!$I$289="","",[4]Entry!$I$289)</f>
        <v/>
      </c>
    </row>
    <row r="287">
      <c r="F287">
        <f>IF([1]Accounts!$D$288="","",[1]Accounts!$A$288)</f>
        <v/>
      </c>
      <c r="G287">
        <f>IF([1]Accounts!$D$288="","",[1]Accounts!$B$288)</f>
        <v/>
      </c>
      <c r="H287">
        <f>IF([1]Accounts!$D$288="","",[1]Accounts!$C$288)</f>
        <v/>
      </c>
      <c r="I287">
        <f>IF([1]Accounts!$D$288="","",[1]Accounts!$D$288)</f>
        <v/>
      </c>
      <c r="R287">
        <f>IF(AND($F287&lt;&gt;"",$I287&lt;&gt;""),IF(OR($G287="دارایی ثابت",$G287="وام و تسهیلات",$G287="سرمایه و آورده صاحبان"),0,1),0)</f>
        <v/>
      </c>
      <c r="S287">
        <f>SUM($R$6:$R287)</f>
        <v/>
      </c>
      <c r="T287">
        <f>IFERROR(INDEX($F$6:$F$565,MATCH(ROW()-5,$S$6:$S$565,0)),"")</f>
        <v/>
      </c>
      <c r="Z287">
        <f>IF([2]Entry!$E$290="","",[2]Entry!$E$290)</f>
        <v/>
      </c>
      <c r="AA287">
        <f>IF([2]Entry!$G$290="","",[2]Entry!$G$290)</f>
        <v/>
      </c>
      <c r="AB287">
        <f>IF([2]Entry!$J$290="","",[2]Entry!$J$290)</f>
        <v/>
      </c>
      <c r="AC287">
        <f>IF([2]Entry!$K$290="","",[2]Entry!$K$290)</f>
        <v/>
      </c>
      <c r="AD287">
        <f>IF([2]Entry!$L$290="","",[2]Entry!$L$290)</f>
        <v/>
      </c>
      <c r="AE287">
        <f>IF([2]Entry!$M$290="","",[2]Entry!$M$290)</f>
        <v/>
      </c>
      <c r="AF287">
        <f>IF([2]Entry!$N$290="","",[2]Entry!$N$290)</f>
        <v/>
      </c>
      <c r="AG287">
        <f>IF([3]Issues!$B$290="","",[3]Issues!$B$290)</f>
        <v/>
      </c>
      <c r="AH287">
        <f>IF([3]Issues!$D$290="","",[3]Issues!$D$290)</f>
        <v/>
      </c>
      <c r="AI287">
        <f>IF([3]Issues!$E$290="","",[3]Issues!$E$290)</f>
        <v/>
      </c>
      <c r="AJ287">
        <f>IF([2]Entry!$S$290="","",[2]Entry!$S$290)</f>
        <v/>
      </c>
      <c r="AK287">
        <f>IF([2]Entry!$C$290="","",[2]Entry!$C$290)</f>
        <v/>
      </c>
      <c r="AL287">
        <f>IF([2]Entry!$D$290="","",[2]Entry!$D$290)</f>
        <v/>
      </c>
      <c r="AM287">
        <f>IF(AND($F287&lt;&gt;"",$I287&lt;&gt;""),IF($G287="دارایی ثابت",1,0),0)</f>
        <v/>
      </c>
      <c r="AN287">
        <f>SUM($AM$6:$AM287)</f>
        <v/>
      </c>
      <c r="AO287">
        <f>IFERROR(INDEX($F$6:$F$565,MATCH(ROW()-5,$AN$6:$AN$565,0)),"")</f>
        <v/>
      </c>
      <c r="AP287">
        <f>IF(AND($F287&lt;&gt;"",$I287&lt;&gt;""),IF($G287="وام و تسهیلات",1,0),0)</f>
        <v/>
      </c>
      <c r="AQ287">
        <f>SUM($AP$6:$AP287)</f>
        <v/>
      </c>
      <c r="AR287">
        <f>IFERROR(INDEX($F$6:$F$565,MATCH(ROW()-5,$AQ$6:$AQ$565,0)),"")</f>
        <v/>
      </c>
      <c r="AS287">
        <f>IF(AND($F287&lt;&gt;"",$I287&lt;&gt;""),IF($G287="سرمایه و آورده صاحبان",1,0),0)</f>
        <v/>
      </c>
      <c r="AT287">
        <f>SUM($AS$6:$AS287)</f>
        <v/>
      </c>
      <c r="AU287">
        <f>IFERROR(INDEX($F$6:$F$565,MATCH(ROW()-5,$AT$6:$AT$565,0)),"")</f>
        <v/>
      </c>
      <c r="AW287">
        <f>IF([3]Issues!$C$290="","",[3]Issues!$C$290)</f>
        <v/>
      </c>
      <c r="AX287">
        <f>IF([4]Entry!$E$290="","",[4]Entry!$E$290)</f>
        <v/>
      </c>
      <c r="AY287">
        <f>IF([4]Entry!$H$290="","",[4]Entry!$H$290)</f>
        <v/>
      </c>
      <c r="AZ287">
        <f>IF([4]Entry!$I$290="","",[4]Entry!$I$290)</f>
        <v/>
      </c>
    </row>
    <row r="288">
      <c r="F288">
        <f>IF([1]Accounts!$D$289="","",[1]Accounts!$A$289)</f>
        <v/>
      </c>
      <c r="G288">
        <f>IF([1]Accounts!$D$289="","",[1]Accounts!$B$289)</f>
        <v/>
      </c>
      <c r="H288">
        <f>IF([1]Accounts!$D$289="","",[1]Accounts!$C$289)</f>
        <v/>
      </c>
      <c r="I288">
        <f>IF([1]Accounts!$D$289="","",[1]Accounts!$D$289)</f>
        <v/>
      </c>
      <c r="R288">
        <f>IF(AND($F288&lt;&gt;"",$I288&lt;&gt;""),IF(OR($G288="دارایی ثابت",$G288="وام و تسهیلات",$G288="سرمایه و آورده صاحبان"),0,1),0)</f>
        <v/>
      </c>
      <c r="S288">
        <f>SUM($R$6:$R288)</f>
        <v/>
      </c>
      <c r="T288">
        <f>IFERROR(INDEX($F$6:$F$565,MATCH(ROW()-5,$S$6:$S$565,0)),"")</f>
        <v/>
      </c>
      <c r="Z288">
        <f>IF([2]Entry!$E$291="","",[2]Entry!$E$291)</f>
        <v/>
      </c>
      <c r="AA288">
        <f>IF([2]Entry!$G$291="","",[2]Entry!$G$291)</f>
        <v/>
      </c>
      <c r="AB288">
        <f>IF([2]Entry!$J$291="","",[2]Entry!$J$291)</f>
        <v/>
      </c>
      <c r="AC288">
        <f>IF([2]Entry!$K$291="","",[2]Entry!$K$291)</f>
        <v/>
      </c>
      <c r="AD288">
        <f>IF([2]Entry!$L$291="","",[2]Entry!$L$291)</f>
        <v/>
      </c>
      <c r="AE288">
        <f>IF([2]Entry!$M$291="","",[2]Entry!$M$291)</f>
        <v/>
      </c>
      <c r="AF288">
        <f>IF([2]Entry!$N$291="","",[2]Entry!$N$291)</f>
        <v/>
      </c>
      <c r="AG288">
        <f>IF([3]Issues!$B$291="","",[3]Issues!$B$291)</f>
        <v/>
      </c>
      <c r="AH288">
        <f>IF([3]Issues!$D$291="","",[3]Issues!$D$291)</f>
        <v/>
      </c>
      <c r="AI288">
        <f>IF([3]Issues!$E$291="","",[3]Issues!$E$291)</f>
        <v/>
      </c>
      <c r="AJ288">
        <f>IF([2]Entry!$S$291="","",[2]Entry!$S$291)</f>
        <v/>
      </c>
      <c r="AK288">
        <f>IF([2]Entry!$C$291="","",[2]Entry!$C$291)</f>
        <v/>
      </c>
      <c r="AL288">
        <f>IF([2]Entry!$D$291="","",[2]Entry!$D$291)</f>
        <v/>
      </c>
      <c r="AM288">
        <f>IF(AND($F288&lt;&gt;"",$I288&lt;&gt;""),IF($G288="دارایی ثابت",1,0),0)</f>
        <v/>
      </c>
      <c r="AN288">
        <f>SUM($AM$6:$AM288)</f>
        <v/>
      </c>
      <c r="AO288">
        <f>IFERROR(INDEX($F$6:$F$565,MATCH(ROW()-5,$AN$6:$AN$565,0)),"")</f>
        <v/>
      </c>
      <c r="AP288">
        <f>IF(AND($F288&lt;&gt;"",$I288&lt;&gt;""),IF($G288="وام و تسهیلات",1,0),0)</f>
        <v/>
      </c>
      <c r="AQ288">
        <f>SUM($AP$6:$AP288)</f>
        <v/>
      </c>
      <c r="AR288">
        <f>IFERROR(INDEX($F$6:$F$565,MATCH(ROW()-5,$AQ$6:$AQ$565,0)),"")</f>
        <v/>
      </c>
      <c r="AS288">
        <f>IF(AND($F288&lt;&gt;"",$I288&lt;&gt;""),IF($G288="سرمایه و آورده صاحبان",1,0),0)</f>
        <v/>
      </c>
      <c r="AT288">
        <f>SUM($AS$6:$AS288)</f>
        <v/>
      </c>
      <c r="AU288">
        <f>IFERROR(INDEX($F$6:$F$565,MATCH(ROW()-5,$AT$6:$AT$565,0)),"")</f>
        <v/>
      </c>
      <c r="AW288">
        <f>IF([3]Issues!$C$291="","",[3]Issues!$C$291)</f>
        <v/>
      </c>
      <c r="AX288">
        <f>IF([4]Entry!$E$291="","",[4]Entry!$E$291)</f>
        <v/>
      </c>
      <c r="AY288">
        <f>IF([4]Entry!$H$291="","",[4]Entry!$H$291)</f>
        <v/>
      </c>
      <c r="AZ288">
        <f>IF([4]Entry!$I$291="","",[4]Entry!$I$291)</f>
        <v/>
      </c>
    </row>
    <row r="289">
      <c r="F289">
        <f>IF([1]Accounts!$D$290="","",[1]Accounts!$A$290)</f>
        <v/>
      </c>
      <c r="G289">
        <f>IF([1]Accounts!$D$290="","",[1]Accounts!$B$290)</f>
        <v/>
      </c>
      <c r="H289">
        <f>IF([1]Accounts!$D$290="","",[1]Accounts!$C$290)</f>
        <v/>
      </c>
      <c r="I289">
        <f>IF([1]Accounts!$D$290="","",[1]Accounts!$D$290)</f>
        <v/>
      </c>
      <c r="R289">
        <f>IF(AND($F289&lt;&gt;"",$I289&lt;&gt;""),IF(OR($G289="دارایی ثابت",$G289="وام و تسهیلات",$G289="سرمایه و آورده صاحبان"),0,1),0)</f>
        <v/>
      </c>
      <c r="S289">
        <f>SUM($R$6:$R289)</f>
        <v/>
      </c>
      <c r="T289">
        <f>IFERROR(INDEX($F$6:$F$565,MATCH(ROW()-5,$S$6:$S$565,0)),"")</f>
        <v/>
      </c>
      <c r="Z289">
        <f>IF([2]Entry!$E$292="","",[2]Entry!$E$292)</f>
        <v/>
      </c>
      <c r="AA289">
        <f>IF([2]Entry!$G$292="","",[2]Entry!$G$292)</f>
        <v/>
      </c>
      <c r="AB289">
        <f>IF([2]Entry!$J$292="","",[2]Entry!$J$292)</f>
        <v/>
      </c>
      <c r="AC289">
        <f>IF([2]Entry!$K$292="","",[2]Entry!$K$292)</f>
        <v/>
      </c>
      <c r="AD289">
        <f>IF([2]Entry!$L$292="","",[2]Entry!$L$292)</f>
        <v/>
      </c>
      <c r="AE289">
        <f>IF([2]Entry!$M$292="","",[2]Entry!$M$292)</f>
        <v/>
      </c>
      <c r="AF289">
        <f>IF([2]Entry!$N$292="","",[2]Entry!$N$292)</f>
        <v/>
      </c>
      <c r="AG289">
        <f>IF([3]Issues!$B$292="","",[3]Issues!$B$292)</f>
        <v/>
      </c>
      <c r="AH289">
        <f>IF([3]Issues!$D$292="","",[3]Issues!$D$292)</f>
        <v/>
      </c>
      <c r="AI289">
        <f>IF([3]Issues!$E$292="","",[3]Issues!$E$292)</f>
        <v/>
      </c>
      <c r="AJ289">
        <f>IF([2]Entry!$S$292="","",[2]Entry!$S$292)</f>
        <v/>
      </c>
      <c r="AK289">
        <f>IF([2]Entry!$C$292="","",[2]Entry!$C$292)</f>
        <v/>
      </c>
      <c r="AL289">
        <f>IF([2]Entry!$D$292="","",[2]Entry!$D$292)</f>
        <v/>
      </c>
      <c r="AM289">
        <f>IF(AND($F289&lt;&gt;"",$I289&lt;&gt;""),IF($G289="دارایی ثابت",1,0),0)</f>
        <v/>
      </c>
      <c r="AN289">
        <f>SUM($AM$6:$AM289)</f>
        <v/>
      </c>
      <c r="AO289">
        <f>IFERROR(INDEX($F$6:$F$565,MATCH(ROW()-5,$AN$6:$AN$565,0)),"")</f>
        <v/>
      </c>
      <c r="AP289">
        <f>IF(AND($F289&lt;&gt;"",$I289&lt;&gt;""),IF($G289="وام و تسهیلات",1,0),0)</f>
        <v/>
      </c>
      <c r="AQ289">
        <f>SUM($AP$6:$AP289)</f>
        <v/>
      </c>
      <c r="AR289">
        <f>IFERROR(INDEX($F$6:$F$565,MATCH(ROW()-5,$AQ$6:$AQ$565,0)),"")</f>
        <v/>
      </c>
      <c r="AS289">
        <f>IF(AND($F289&lt;&gt;"",$I289&lt;&gt;""),IF($G289="سرمایه و آورده صاحبان",1,0),0)</f>
        <v/>
      </c>
      <c r="AT289">
        <f>SUM($AS$6:$AS289)</f>
        <v/>
      </c>
      <c r="AU289">
        <f>IFERROR(INDEX($F$6:$F$565,MATCH(ROW()-5,$AT$6:$AT$565,0)),"")</f>
        <v/>
      </c>
      <c r="AW289">
        <f>IF([3]Issues!$C$292="","",[3]Issues!$C$292)</f>
        <v/>
      </c>
      <c r="AX289">
        <f>IF([4]Entry!$E$292="","",[4]Entry!$E$292)</f>
        <v/>
      </c>
      <c r="AY289">
        <f>IF([4]Entry!$H$292="","",[4]Entry!$H$292)</f>
        <v/>
      </c>
      <c r="AZ289">
        <f>IF([4]Entry!$I$292="","",[4]Entry!$I$292)</f>
        <v/>
      </c>
    </row>
    <row r="290">
      <c r="F290">
        <f>IF([1]Accounts!$D$291="","",[1]Accounts!$A$291)</f>
        <v/>
      </c>
      <c r="G290">
        <f>IF([1]Accounts!$D$291="","",[1]Accounts!$B$291)</f>
        <v/>
      </c>
      <c r="H290">
        <f>IF([1]Accounts!$D$291="","",[1]Accounts!$C$291)</f>
        <v/>
      </c>
      <c r="I290">
        <f>IF([1]Accounts!$D$291="","",[1]Accounts!$D$291)</f>
        <v/>
      </c>
      <c r="R290">
        <f>IF(AND($F290&lt;&gt;"",$I290&lt;&gt;""),IF(OR($G290="دارایی ثابت",$G290="وام و تسهیلات",$G290="سرمایه و آورده صاحبان"),0,1),0)</f>
        <v/>
      </c>
      <c r="S290">
        <f>SUM($R$6:$R290)</f>
        <v/>
      </c>
      <c r="T290">
        <f>IFERROR(INDEX($F$6:$F$565,MATCH(ROW()-5,$S$6:$S$565,0)),"")</f>
        <v/>
      </c>
      <c r="Z290">
        <f>IF([2]Entry!$E$293="","",[2]Entry!$E$293)</f>
        <v/>
      </c>
      <c r="AA290">
        <f>IF([2]Entry!$G$293="","",[2]Entry!$G$293)</f>
        <v/>
      </c>
      <c r="AB290">
        <f>IF([2]Entry!$J$293="","",[2]Entry!$J$293)</f>
        <v/>
      </c>
      <c r="AC290">
        <f>IF([2]Entry!$K$293="","",[2]Entry!$K$293)</f>
        <v/>
      </c>
      <c r="AD290">
        <f>IF([2]Entry!$L$293="","",[2]Entry!$L$293)</f>
        <v/>
      </c>
      <c r="AE290">
        <f>IF([2]Entry!$M$293="","",[2]Entry!$M$293)</f>
        <v/>
      </c>
      <c r="AF290">
        <f>IF([2]Entry!$N$293="","",[2]Entry!$N$293)</f>
        <v/>
      </c>
      <c r="AG290">
        <f>IF([3]Issues!$B$293="","",[3]Issues!$B$293)</f>
        <v/>
      </c>
      <c r="AH290">
        <f>IF([3]Issues!$D$293="","",[3]Issues!$D$293)</f>
        <v/>
      </c>
      <c r="AI290">
        <f>IF([3]Issues!$E$293="","",[3]Issues!$E$293)</f>
        <v/>
      </c>
      <c r="AJ290">
        <f>IF([2]Entry!$S$293="","",[2]Entry!$S$293)</f>
        <v/>
      </c>
      <c r="AK290">
        <f>IF([2]Entry!$C$293="","",[2]Entry!$C$293)</f>
        <v/>
      </c>
      <c r="AL290">
        <f>IF([2]Entry!$D$293="","",[2]Entry!$D$293)</f>
        <v/>
      </c>
      <c r="AM290">
        <f>IF(AND($F290&lt;&gt;"",$I290&lt;&gt;""),IF($G290="دارایی ثابت",1,0),0)</f>
        <v/>
      </c>
      <c r="AN290">
        <f>SUM($AM$6:$AM290)</f>
        <v/>
      </c>
      <c r="AO290">
        <f>IFERROR(INDEX($F$6:$F$565,MATCH(ROW()-5,$AN$6:$AN$565,0)),"")</f>
        <v/>
      </c>
      <c r="AP290">
        <f>IF(AND($F290&lt;&gt;"",$I290&lt;&gt;""),IF($G290="وام و تسهیلات",1,0),0)</f>
        <v/>
      </c>
      <c r="AQ290">
        <f>SUM($AP$6:$AP290)</f>
        <v/>
      </c>
      <c r="AR290">
        <f>IFERROR(INDEX($F$6:$F$565,MATCH(ROW()-5,$AQ$6:$AQ$565,0)),"")</f>
        <v/>
      </c>
      <c r="AS290">
        <f>IF(AND($F290&lt;&gt;"",$I290&lt;&gt;""),IF($G290="سرمایه و آورده صاحبان",1,0),0)</f>
        <v/>
      </c>
      <c r="AT290">
        <f>SUM($AS$6:$AS290)</f>
        <v/>
      </c>
      <c r="AU290">
        <f>IFERROR(INDEX($F$6:$F$565,MATCH(ROW()-5,$AT$6:$AT$565,0)),"")</f>
        <v/>
      </c>
      <c r="AW290">
        <f>IF([3]Issues!$C$293="","",[3]Issues!$C$293)</f>
        <v/>
      </c>
      <c r="AX290">
        <f>IF([4]Entry!$E$293="","",[4]Entry!$E$293)</f>
        <v/>
      </c>
      <c r="AY290">
        <f>IF([4]Entry!$H$293="","",[4]Entry!$H$293)</f>
        <v/>
      </c>
      <c r="AZ290">
        <f>IF([4]Entry!$I$293="","",[4]Entry!$I$293)</f>
        <v/>
      </c>
    </row>
    <row r="291">
      <c r="F291">
        <f>IF([1]Accounts!$D$292="","",[1]Accounts!$A$292)</f>
        <v/>
      </c>
      <c r="G291">
        <f>IF([1]Accounts!$D$292="","",[1]Accounts!$B$292)</f>
        <v/>
      </c>
      <c r="H291">
        <f>IF([1]Accounts!$D$292="","",[1]Accounts!$C$292)</f>
        <v/>
      </c>
      <c r="I291">
        <f>IF([1]Accounts!$D$292="","",[1]Accounts!$D$292)</f>
        <v/>
      </c>
      <c r="R291">
        <f>IF(AND($F291&lt;&gt;"",$I291&lt;&gt;""),IF(OR($G291="دارایی ثابت",$G291="وام و تسهیلات",$G291="سرمایه و آورده صاحبان"),0,1),0)</f>
        <v/>
      </c>
      <c r="S291">
        <f>SUM($R$6:$R291)</f>
        <v/>
      </c>
      <c r="T291">
        <f>IFERROR(INDEX($F$6:$F$565,MATCH(ROW()-5,$S$6:$S$565,0)),"")</f>
        <v/>
      </c>
      <c r="Z291">
        <f>IF([2]Entry!$E$294="","",[2]Entry!$E$294)</f>
        <v/>
      </c>
      <c r="AA291">
        <f>IF([2]Entry!$G$294="","",[2]Entry!$G$294)</f>
        <v/>
      </c>
      <c r="AB291">
        <f>IF([2]Entry!$J$294="","",[2]Entry!$J$294)</f>
        <v/>
      </c>
      <c r="AC291">
        <f>IF([2]Entry!$K$294="","",[2]Entry!$K$294)</f>
        <v/>
      </c>
      <c r="AD291">
        <f>IF([2]Entry!$L$294="","",[2]Entry!$L$294)</f>
        <v/>
      </c>
      <c r="AE291">
        <f>IF([2]Entry!$M$294="","",[2]Entry!$M$294)</f>
        <v/>
      </c>
      <c r="AF291">
        <f>IF([2]Entry!$N$294="","",[2]Entry!$N$294)</f>
        <v/>
      </c>
      <c r="AG291">
        <f>IF([3]Issues!$B$294="","",[3]Issues!$B$294)</f>
        <v/>
      </c>
      <c r="AH291">
        <f>IF([3]Issues!$D$294="","",[3]Issues!$D$294)</f>
        <v/>
      </c>
      <c r="AI291">
        <f>IF([3]Issues!$E$294="","",[3]Issues!$E$294)</f>
        <v/>
      </c>
      <c r="AJ291">
        <f>IF([2]Entry!$S$294="","",[2]Entry!$S$294)</f>
        <v/>
      </c>
      <c r="AK291">
        <f>IF([2]Entry!$C$294="","",[2]Entry!$C$294)</f>
        <v/>
      </c>
      <c r="AL291">
        <f>IF([2]Entry!$D$294="","",[2]Entry!$D$294)</f>
        <v/>
      </c>
      <c r="AM291">
        <f>IF(AND($F291&lt;&gt;"",$I291&lt;&gt;""),IF($G291="دارایی ثابت",1,0),0)</f>
        <v/>
      </c>
      <c r="AN291">
        <f>SUM($AM$6:$AM291)</f>
        <v/>
      </c>
      <c r="AO291">
        <f>IFERROR(INDEX($F$6:$F$565,MATCH(ROW()-5,$AN$6:$AN$565,0)),"")</f>
        <v/>
      </c>
      <c r="AP291">
        <f>IF(AND($F291&lt;&gt;"",$I291&lt;&gt;""),IF($G291="وام و تسهیلات",1,0),0)</f>
        <v/>
      </c>
      <c r="AQ291">
        <f>SUM($AP$6:$AP291)</f>
        <v/>
      </c>
      <c r="AR291">
        <f>IFERROR(INDEX($F$6:$F$565,MATCH(ROW()-5,$AQ$6:$AQ$565,0)),"")</f>
        <v/>
      </c>
      <c r="AS291">
        <f>IF(AND($F291&lt;&gt;"",$I291&lt;&gt;""),IF($G291="سرمایه و آورده صاحبان",1,0),0)</f>
        <v/>
      </c>
      <c r="AT291">
        <f>SUM($AS$6:$AS291)</f>
        <v/>
      </c>
      <c r="AU291">
        <f>IFERROR(INDEX($F$6:$F$565,MATCH(ROW()-5,$AT$6:$AT$565,0)),"")</f>
        <v/>
      </c>
      <c r="AW291">
        <f>IF([3]Issues!$C$294="","",[3]Issues!$C$294)</f>
        <v/>
      </c>
      <c r="AX291">
        <f>IF([4]Entry!$E$294="","",[4]Entry!$E$294)</f>
        <v/>
      </c>
      <c r="AY291">
        <f>IF([4]Entry!$H$294="","",[4]Entry!$H$294)</f>
        <v/>
      </c>
      <c r="AZ291">
        <f>IF([4]Entry!$I$294="","",[4]Entry!$I$294)</f>
        <v/>
      </c>
    </row>
    <row r="292">
      <c r="F292">
        <f>IF([1]Accounts!$D$293="","",[1]Accounts!$A$293)</f>
        <v/>
      </c>
      <c r="G292">
        <f>IF([1]Accounts!$D$293="","",[1]Accounts!$B$293)</f>
        <v/>
      </c>
      <c r="H292">
        <f>IF([1]Accounts!$D$293="","",[1]Accounts!$C$293)</f>
        <v/>
      </c>
      <c r="I292">
        <f>IF([1]Accounts!$D$293="","",[1]Accounts!$D$293)</f>
        <v/>
      </c>
      <c r="R292">
        <f>IF(AND($F292&lt;&gt;"",$I292&lt;&gt;""),IF(OR($G292="دارایی ثابت",$G292="وام و تسهیلات",$G292="سرمایه و آورده صاحبان"),0,1),0)</f>
        <v/>
      </c>
      <c r="S292">
        <f>SUM($R$6:$R292)</f>
        <v/>
      </c>
      <c r="T292">
        <f>IFERROR(INDEX($F$6:$F$565,MATCH(ROW()-5,$S$6:$S$565,0)),"")</f>
        <v/>
      </c>
      <c r="Z292">
        <f>IF([2]Entry!$E$295="","",[2]Entry!$E$295)</f>
        <v/>
      </c>
      <c r="AA292">
        <f>IF([2]Entry!$G$295="","",[2]Entry!$G$295)</f>
        <v/>
      </c>
      <c r="AB292">
        <f>IF([2]Entry!$J$295="","",[2]Entry!$J$295)</f>
        <v/>
      </c>
      <c r="AC292">
        <f>IF([2]Entry!$K$295="","",[2]Entry!$K$295)</f>
        <v/>
      </c>
      <c r="AD292">
        <f>IF([2]Entry!$L$295="","",[2]Entry!$L$295)</f>
        <v/>
      </c>
      <c r="AE292">
        <f>IF([2]Entry!$M$295="","",[2]Entry!$M$295)</f>
        <v/>
      </c>
      <c r="AF292">
        <f>IF([2]Entry!$N$295="","",[2]Entry!$N$295)</f>
        <v/>
      </c>
      <c r="AG292">
        <f>IF([3]Issues!$B$295="","",[3]Issues!$B$295)</f>
        <v/>
      </c>
      <c r="AH292">
        <f>IF([3]Issues!$D$295="","",[3]Issues!$D$295)</f>
        <v/>
      </c>
      <c r="AI292">
        <f>IF([3]Issues!$E$295="","",[3]Issues!$E$295)</f>
        <v/>
      </c>
      <c r="AJ292">
        <f>IF([2]Entry!$S$295="","",[2]Entry!$S$295)</f>
        <v/>
      </c>
      <c r="AK292">
        <f>IF([2]Entry!$C$295="","",[2]Entry!$C$295)</f>
        <v/>
      </c>
      <c r="AL292">
        <f>IF([2]Entry!$D$295="","",[2]Entry!$D$295)</f>
        <v/>
      </c>
      <c r="AM292">
        <f>IF(AND($F292&lt;&gt;"",$I292&lt;&gt;""),IF($G292="دارایی ثابت",1,0),0)</f>
        <v/>
      </c>
      <c r="AN292">
        <f>SUM($AM$6:$AM292)</f>
        <v/>
      </c>
      <c r="AO292">
        <f>IFERROR(INDEX($F$6:$F$565,MATCH(ROW()-5,$AN$6:$AN$565,0)),"")</f>
        <v/>
      </c>
      <c r="AP292">
        <f>IF(AND($F292&lt;&gt;"",$I292&lt;&gt;""),IF($G292="وام و تسهیلات",1,0),0)</f>
        <v/>
      </c>
      <c r="AQ292">
        <f>SUM($AP$6:$AP292)</f>
        <v/>
      </c>
      <c r="AR292">
        <f>IFERROR(INDEX($F$6:$F$565,MATCH(ROW()-5,$AQ$6:$AQ$565,0)),"")</f>
        <v/>
      </c>
      <c r="AS292">
        <f>IF(AND($F292&lt;&gt;"",$I292&lt;&gt;""),IF($G292="سرمایه و آورده صاحبان",1,0),0)</f>
        <v/>
      </c>
      <c r="AT292">
        <f>SUM($AS$6:$AS292)</f>
        <v/>
      </c>
      <c r="AU292">
        <f>IFERROR(INDEX($F$6:$F$565,MATCH(ROW()-5,$AT$6:$AT$565,0)),"")</f>
        <v/>
      </c>
      <c r="AW292">
        <f>IF([3]Issues!$C$295="","",[3]Issues!$C$295)</f>
        <v/>
      </c>
      <c r="AX292">
        <f>IF([4]Entry!$E$295="","",[4]Entry!$E$295)</f>
        <v/>
      </c>
      <c r="AY292">
        <f>IF([4]Entry!$H$295="","",[4]Entry!$H$295)</f>
        <v/>
      </c>
      <c r="AZ292">
        <f>IF([4]Entry!$I$295="","",[4]Entry!$I$295)</f>
        <v/>
      </c>
    </row>
    <row r="293">
      <c r="F293">
        <f>IF([1]Accounts!$D$294="","",[1]Accounts!$A$294)</f>
        <v/>
      </c>
      <c r="G293">
        <f>IF([1]Accounts!$D$294="","",[1]Accounts!$B$294)</f>
        <v/>
      </c>
      <c r="H293">
        <f>IF([1]Accounts!$D$294="","",[1]Accounts!$C$294)</f>
        <v/>
      </c>
      <c r="I293">
        <f>IF([1]Accounts!$D$294="","",[1]Accounts!$D$294)</f>
        <v/>
      </c>
      <c r="R293">
        <f>IF(AND($F293&lt;&gt;"",$I293&lt;&gt;""),IF(OR($G293="دارایی ثابت",$G293="وام و تسهیلات",$G293="سرمایه و آورده صاحبان"),0,1),0)</f>
        <v/>
      </c>
      <c r="S293">
        <f>SUM($R$6:$R293)</f>
        <v/>
      </c>
      <c r="T293">
        <f>IFERROR(INDEX($F$6:$F$565,MATCH(ROW()-5,$S$6:$S$565,0)),"")</f>
        <v/>
      </c>
      <c r="Z293">
        <f>IF([2]Entry!$E$296="","",[2]Entry!$E$296)</f>
        <v/>
      </c>
      <c r="AA293">
        <f>IF([2]Entry!$G$296="","",[2]Entry!$G$296)</f>
        <v/>
      </c>
      <c r="AB293">
        <f>IF([2]Entry!$J$296="","",[2]Entry!$J$296)</f>
        <v/>
      </c>
      <c r="AC293">
        <f>IF([2]Entry!$K$296="","",[2]Entry!$K$296)</f>
        <v/>
      </c>
      <c r="AD293">
        <f>IF([2]Entry!$L$296="","",[2]Entry!$L$296)</f>
        <v/>
      </c>
      <c r="AE293">
        <f>IF([2]Entry!$M$296="","",[2]Entry!$M$296)</f>
        <v/>
      </c>
      <c r="AF293">
        <f>IF([2]Entry!$N$296="","",[2]Entry!$N$296)</f>
        <v/>
      </c>
      <c r="AG293">
        <f>IF([3]Issues!$B$296="","",[3]Issues!$B$296)</f>
        <v/>
      </c>
      <c r="AH293">
        <f>IF([3]Issues!$D$296="","",[3]Issues!$D$296)</f>
        <v/>
      </c>
      <c r="AI293">
        <f>IF([3]Issues!$E$296="","",[3]Issues!$E$296)</f>
        <v/>
      </c>
      <c r="AJ293">
        <f>IF([2]Entry!$S$296="","",[2]Entry!$S$296)</f>
        <v/>
      </c>
      <c r="AK293">
        <f>IF([2]Entry!$C$296="","",[2]Entry!$C$296)</f>
        <v/>
      </c>
      <c r="AL293">
        <f>IF([2]Entry!$D$296="","",[2]Entry!$D$296)</f>
        <v/>
      </c>
      <c r="AM293">
        <f>IF(AND($F293&lt;&gt;"",$I293&lt;&gt;""),IF($G293="دارایی ثابت",1,0),0)</f>
        <v/>
      </c>
      <c r="AN293">
        <f>SUM($AM$6:$AM293)</f>
        <v/>
      </c>
      <c r="AO293">
        <f>IFERROR(INDEX($F$6:$F$565,MATCH(ROW()-5,$AN$6:$AN$565,0)),"")</f>
        <v/>
      </c>
      <c r="AP293">
        <f>IF(AND($F293&lt;&gt;"",$I293&lt;&gt;""),IF($G293="وام و تسهیلات",1,0),0)</f>
        <v/>
      </c>
      <c r="AQ293">
        <f>SUM($AP$6:$AP293)</f>
        <v/>
      </c>
      <c r="AR293">
        <f>IFERROR(INDEX($F$6:$F$565,MATCH(ROW()-5,$AQ$6:$AQ$565,0)),"")</f>
        <v/>
      </c>
      <c r="AS293">
        <f>IF(AND($F293&lt;&gt;"",$I293&lt;&gt;""),IF($G293="سرمایه و آورده صاحبان",1,0),0)</f>
        <v/>
      </c>
      <c r="AT293">
        <f>SUM($AS$6:$AS293)</f>
        <v/>
      </c>
      <c r="AU293">
        <f>IFERROR(INDEX($F$6:$F$565,MATCH(ROW()-5,$AT$6:$AT$565,0)),"")</f>
        <v/>
      </c>
      <c r="AW293">
        <f>IF([3]Issues!$C$296="","",[3]Issues!$C$296)</f>
        <v/>
      </c>
      <c r="AX293">
        <f>IF([4]Entry!$E$296="","",[4]Entry!$E$296)</f>
        <v/>
      </c>
      <c r="AY293">
        <f>IF([4]Entry!$H$296="","",[4]Entry!$H$296)</f>
        <v/>
      </c>
      <c r="AZ293">
        <f>IF([4]Entry!$I$296="","",[4]Entry!$I$296)</f>
        <v/>
      </c>
    </row>
    <row r="294">
      <c r="F294">
        <f>IF([1]Accounts!$D$295="","",[1]Accounts!$A$295)</f>
        <v/>
      </c>
      <c r="G294">
        <f>IF([1]Accounts!$D$295="","",[1]Accounts!$B$295)</f>
        <v/>
      </c>
      <c r="H294">
        <f>IF([1]Accounts!$D$295="","",[1]Accounts!$C$295)</f>
        <v/>
      </c>
      <c r="I294">
        <f>IF([1]Accounts!$D$295="","",[1]Accounts!$D$295)</f>
        <v/>
      </c>
      <c r="R294">
        <f>IF(AND($F294&lt;&gt;"",$I294&lt;&gt;""),IF(OR($G294="دارایی ثابت",$G294="وام و تسهیلات",$G294="سرمایه و آورده صاحبان"),0,1),0)</f>
        <v/>
      </c>
      <c r="S294">
        <f>SUM($R$6:$R294)</f>
        <v/>
      </c>
      <c r="T294">
        <f>IFERROR(INDEX($F$6:$F$565,MATCH(ROW()-5,$S$6:$S$565,0)),"")</f>
        <v/>
      </c>
      <c r="Z294">
        <f>IF([2]Entry!$E$297="","",[2]Entry!$E$297)</f>
        <v/>
      </c>
      <c r="AA294">
        <f>IF([2]Entry!$G$297="","",[2]Entry!$G$297)</f>
        <v/>
      </c>
      <c r="AB294">
        <f>IF([2]Entry!$J$297="","",[2]Entry!$J$297)</f>
        <v/>
      </c>
      <c r="AC294">
        <f>IF([2]Entry!$K$297="","",[2]Entry!$K$297)</f>
        <v/>
      </c>
      <c r="AD294">
        <f>IF([2]Entry!$L$297="","",[2]Entry!$L$297)</f>
        <v/>
      </c>
      <c r="AE294">
        <f>IF([2]Entry!$M$297="","",[2]Entry!$M$297)</f>
        <v/>
      </c>
      <c r="AF294">
        <f>IF([2]Entry!$N$297="","",[2]Entry!$N$297)</f>
        <v/>
      </c>
      <c r="AG294">
        <f>IF([3]Issues!$B$297="","",[3]Issues!$B$297)</f>
        <v/>
      </c>
      <c r="AH294">
        <f>IF([3]Issues!$D$297="","",[3]Issues!$D$297)</f>
        <v/>
      </c>
      <c r="AI294">
        <f>IF([3]Issues!$E$297="","",[3]Issues!$E$297)</f>
        <v/>
      </c>
      <c r="AJ294">
        <f>IF([2]Entry!$S$297="","",[2]Entry!$S$297)</f>
        <v/>
      </c>
      <c r="AK294">
        <f>IF([2]Entry!$C$297="","",[2]Entry!$C$297)</f>
        <v/>
      </c>
      <c r="AL294">
        <f>IF([2]Entry!$D$297="","",[2]Entry!$D$297)</f>
        <v/>
      </c>
      <c r="AM294">
        <f>IF(AND($F294&lt;&gt;"",$I294&lt;&gt;""),IF($G294="دارایی ثابت",1,0),0)</f>
        <v/>
      </c>
      <c r="AN294">
        <f>SUM($AM$6:$AM294)</f>
        <v/>
      </c>
      <c r="AO294">
        <f>IFERROR(INDEX($F$6:$F$565,MATCH(ROW()-5,$AN$6:$AN$565,0)),"")</f>
        <v/>
      </c>
      <c r="AP294">
        <f>IF(AND($F294&lt;&gt;"",$I294&lt;&gt;""),IF($G294="وام و تسهیلات",1,0),0)</f>
        <v/>
      </c>
      <c r="AQ294">
        <f>SUM($AP$6:$AP294)</f>
        <v/>
      </c>
      <c r="AR294">
        <f>IFERROR(INDEX($F$6:$F$565,MATCH(ROW()-5,$AQ$6:$AQ$565,0)),"")</f>
        <v/>
      </c>
      <c r="AS294">
        <f>IF(AND($F294&lt;&gt;"",$I294&lt;&gt;""),IF($G294="سرمایه و آورده صاحبان",1,0),0)</f>
        <v/>
      </c>
      <c r="AT294">
        <f>SUM($AS$6:$AS294)</f>
        <v/>
      </c>
      <c r="AU294">
        <f>IFERROR(INDEX($F$6:$F$565,MATCH(ROW()-5,$AT$6:$AT$565,0)),"")</f>
        <v/>
      </c>
      <c r="AW294">
        <f>IF([3]Issues!$C$297="","",[3]Issues!$C$297)</f>
        <v/>
      </c>
      <c r="AX294">
        <f>IF([4]Entry!$E$297="","",[4]Entry!$E$297)</f>
        <v/>
      </c>
      <c r="AY294">
        <f>IF([4]Entry!$H$297="","",[4]Entry!$H$297)</f>
        <v/>
      </c>
      <c r="AZ294">
        <f>IF([4]Entry!$I$297="","",[4]Entry!$I$297)</f>
        <v/>
      </c>
    </row>
    <row r="295">
      <c r="F295">
        <f>IF([1]Accounts!$D$296="","",[1]Accounts!$A$296)</f>
        <v/>
      </c>
      <c r="G295">
        <f>IF([1]Accounts!$D$296="","",[1]Accounts!$B$296)</f>
        <v/>
      </c>
      <c r="H295">
        <f>IF([1]Accounts!$D$296="","",[1]Accounts!$C$296)</f>
        <v/>
      </c>
      <c r="I295">
        <f>IF([1]Accounts!$D$296="","",[1]Accounts!$D$296)</f>
        <v/>
      </c>
      <c r="R295">
        <f>IF(AND($F295&lt;&gt;"",$I295&lt;&gt;""),IF(OR($G295="دارایی ثابت",$G295="وام و تسهیلات",$G295="سرمایه و آورده صاحبان"),0,1),0)</f>
        <v/>
      </c>
      <c r="S295">
        <f>SUM($R$6:$R295)</f>
        <v/>
      </c>
      <c r="T295">
        <f>IFERROR(INDEX($F$6:$F$565,MATCH(ROW()-5,$S$6:$S$565,0)),"")</f>
        <v/>
      </c>
      <c r="Z295">
        <f>IF([2]Entry!$E$298="","",[2]Entry!$E$298)</f>
        <v/>
      </c>
      <c r="AA295">
        <f>IF([2]Entry!$G$298="","",[2]Entry!$G$298)</f>
        <v/>
      </c>
      <c r="AB295">
        <f>IF([2]Entry!$J$298="","",[2]Entry!$J$298)</f>
        <v/>
      </c>
      <c r="AC295">
        <f>IF([2]Entry!$K$298="","",[2]Entry!$K$298)</f>
        <v/>
      </c>
      <c r="AD295">
        <f>IF([2]Entry!$L$298="","",[2]Entry!$L$298)</f>
        <v/>
      </c>
      <c r="AE295">
        <f>IF([2]Entry!$M$298="","",[2]Entry!$M$298)</f>
        <v/>
      </c>
      <c r="AF295">
        <f>IF([2]Entry!$N$298="","",[2]Entry!$N$298)</f>
        <v/>
      </c>
      <c r="AG295">
        <f>IF([3]Issues!$B$298="","",[3]Issues!$B$298)</f>
        <v/>
      </c>
      <c r="AH295">
        <f>IF([3]Issues!$D$298="","",[3]Issues!$D$298)</f>
        <v/>
      </c>
      <c r="AI295">
        <f>IF([3]Issues!$E$298="","",[3]Issues!$E$298)</f>
        <v/>
      </c>
      <c r="AJ295">
        <f>IF([2]Entry!$S$298="","",[2]Entry!$S$298)</f>
        <v/>
      </c>
      <c r="AK295">
        <f>IF([2]Entry!$C$298="","",[2]Entry!$C$298)</f>
        <v/>
      </c>
      <c r="AL295">
        <f>IF([2]Entry!$D$298="","",[2]Entry!$D$298)</f>
        <v/>
      </c>
      <c r="AM295">
        <f>IF(AND($F295&lt;&gt;"",$I295&lt;&gt;""),IF($G295="دارایی ثابت",1,0),0)</f>
        <v/>
      </c>
      <c r="AN295">
        <f>SUM($AM$6:$AM295)</f>
        <v/>
      </c>
      <c r="AO295">
        <f>IFERROR(INDEX($F$6:$F$565,MATCH(ROW()-5,$AN$6:$AN$565,0)),"")</f>
        <v/>
      </c>
      <c r="AP295">
        <f>IF(AND($F295&lt;&gt;"",$I295&lt;&gt;""),IF($G295="وام و تسهیلات",1,0),0)</f>
        <v/>
      </c>
      <c r="AQ295">
        <f>SUM($AP$6:$AP295)</f>
        <v/>
      </c>
      <c r="AR295">
        <f>IFERROR(INDEX($F$6:$F$565,MATCH(ROW()-5,$AQ$6:$AQ$565,0)),"")</f>
        <v/>
      </c>
      <c r="AS295">
        <f>IF(AND($F295&lt;&gt;"",$I295&lt;&gt;""),IF($G295="سرمایه و آورده صاحبان",1,0),0)</f>
        <v/>
      </c>
      <c r="AT295">
        <f>SUM($AS$6:$AS295)</f>
        <v/>
      </c>
      <c r="AU295">
        <f>IFERROR(INDEX($F$6:$F$565,MATCH(ROW()-5,$AT$6:$AT$565,0)),"")</f>
        <v/>
      </c>
      <c r="AW295">
        <f>IF([3]Issues!$C$298="","",[3]Issues!$C$298)</f>
        <v/>
      </c>
      <c r="AX295">
        <f>IF([4]Entry!$E$298="","",[4]Entry!$E$298)</f>
        <v/>
      </c>
      <c r="AY295">
        <f>IF([4]Entry!$H$298="","",[4]Entry!$H$298)</f>
        <v/>
      </c>
      <c r="AZ295">
        <f>IF([4]Entry!$I$298="","",[4]Entry!$I$298)</f>
        <v/>
      </c>
    </row>
    <row r="296">
      <c r="F296">
        <f>IF([1]Accounts!$D$297="","",[1]Accounts!$A$297)</f>
        <v/>
      </c>
      <c r="G296">
        <f>IF([1]Accounts!$D$297="","",[1]Accounts!$B$297)</f>
        <v/>
      </c>
      <c r="H296">
        <f>IF([1]Accounts!$D$297="","",[1]Accounts!$C$297)</f>
        <v/>
      </c>
      <c r="I296">
        <f>IF([1]Accounts!$D$297="","",[1]Accounts!$D$297)</f>
        <v/>
      </c>
      <c r="R296">
        <f>IF(AND($F296&lt;&gt;"",$I296&lt;&gt;""),IF(OR($G296="دارایی ثابت",$G296="وام و تسهیلات",$G296="سرمایه و آورده صاحبان"),0,1),0)</f>
        <v/>
      </c>
      <c r="S296">
        <f>SUM($R$6:$R296)</f>
        <v/>
      </c>
      <c r="T296">
        <f>IFERROR(INDEX($F$6:$F$565,MATCH(ROW()-5,$S$6:$S$565,0)),"")</f>
        <v/>
      </c>
      <c r="Z296">
        <f>IF([2]Entry!$E$299="","",[2]Entry!$E$299)</f>
        <v/>
      </c>
      <c r="AA296">
        <f>IF([2]Entry!$G$299="","",[2]Entry!$G$299)</f>
        <v/>
      </c>
      <c r="AB296">
        <f>IF([2]Entry!$J$299="","",[2]Entry!$J$299)</f>
        <v/>
      </c>
      <c r="AC296">
        <f>IF([2]Entry!$K$299="","",[2]Entry!$K$299)</f>
        <v/>
      </c>
      <c r="AD296">
        <f>IF([2]Entry!$L$299="","",[2]Entry!$L$299)</f>
        <v/>
      </c>
      <c r="AE296">
        <f>IF([2]Entry!$M$299="","",[2]Entry!$M$299)</f>
        <v/>
      </c>
      <c r="AF296">
        <f>IF([2]Entry!$N$299="","",[2]Entry!$N$299)</f>
        <v/>
      </c>
      <c r="AG296">
        <f>IF([3]Issues!$B$299="","",[3]Issues!$B$299)</f>
        <v/>
      </c>
      <c r="AH296">
        <f>IF([3]Issues!$D$299="","",[3]Issues!$D$299)</f>
        <v/>
      </c>
      <c r="AI296">
        <f>IF([3]Issues!$E$299="","",[3]Issues!$E$299)</f>
        <v/>
      </c>
      <c r="AJ296">
        <f>IF([2]Entry!$S$299="","",[2]Entry!$S$299)</f>
        <v/>
      </c>
      <c r="AK296">
        <f>IF([2]Entry!$C$299="","",[2]Entry!$C$299)</f>
        <v/>
      </c>
      <c r="AL296">
        <f>IF([2]Entry!$D$299="","",[2]Entry!$D$299)</f>
        <v/>
      </c>
      <c r="AM296">
        <f>IF(AND($F296&lt;&gt;"",$I296&lt;&gt;""),IF($G296="دارایی ثابت",1,0),0)</f>
        <v/>
      </c>
      <c r="AN296">
        <f>SUM($AM$6:$AM296)</f>
        <v/>
      </c>
      <c r="AO296">
        <f>IFERROR(INDEX($F$6:$F$565,MATCH(ROW()-5,$AN$6:$AN$565,0)),"")</f>
        <v/>
      </c>
      <c r="AP296">
        <f>IF(AND($F296&lt;&gt;"",$I296&lt;&gt;""),IF($G296="وام و تسهیلات",1,0),0)</f>
        <v/>
      </c>
      <c r="AQ296">
        <f>SUM($AP$6:$AP296)</f>
        <v/>
      </c>
      <c r="AR296">
        <f>IFERROR(INDEX($F$6:$F$565,MATCH(ROW()-5,$AQ$6:$AQ$565,0)),"")</f>
        <v/>
      </c>
      <c r="AS296">
        <f>IF(AND($F296&lt;&gt;"",$I296&lt;&gt;""),IF($G296="سرمایه و آورده صاحبان",1,0),0)</f>
        <v/>
      </c>
      <c r="AT296">
        <f>SUM($AS$6:$AS296)</f>
        <v/>
      </c>
      <c r="AU296">
        <f>IFERROR(INDEX($F$6:$F$565,MATCH(ROW()-5,$AT$6:$AT$565,0)),"")</f>
        <v/>
      </c>
      <c r="AW296">
        <f>IF([3]Issues!$C$299="","",[3]Issues!$C$299)</f>
        <v/>
      </c>
      <c r="AX296">
        <f>IF([4]Entry!$E$299="","",[4]Entry!$E$299)</f>
        <v/>
      </c>
      <c r="AY296">
        <f>IF([4]Entry!$H$299="","",[4]Entry!$H$299)</f>
        <v/>
      </c>
      <c r="AZ296">
        <f>IF([4]Entry!$I$299="","",[4]Entry!$I$299)</f>
        <v/>
      </c>
    </row>
    <row r="297">
      <c r="F297">
        <f>IF([1]Accounts!$D$298="","",[1]Accounts!$A$298)</f>
        <v/>
      </c>
      <c r="G297">
        <f>IF([1]Accounts!$D$298="","",[1]Accounts!$B$298)</f>
        <v/>
      </c>
      <c r="H297">
        <f>IF([1]Accounts!$D$298="","",[1]Accounts!$C$298)</f>
        <v/>
      </c>
      <c r="I297">
        <f>IF([1]Accounts!$D$298="","",[1]Accounts!$D$298)</f>
        <v/>
      </c>
      <c r="R297">
        <f>IF(AND($F297&lt;&gt;"",$I297&lt;&gt;""),IF(OR($G297="دارایی ثابت",$G297="وام و تسهیلات",$G297="سرمایه و آورده صاحبان"),0,1),0)</f>
        <v/>
      </c>
      <c r="S297">
        <f>SUM($R$6:$R297)</f>
        <v/>
      </c>
      <c r="T297">
        <f>IFERROR(INDEX($F$6:$F$565,MATCH(ROW()-5,$S$6:$S$565,0)),"")</f>
        <v/>
      </c>
      <c r="Z297">
        <f>IF([2]Entry!$E$300="","",[2]Entry!$E$300)</f>
        <v/>
      </c>
      <c r="AA297">
        <f>IF([2]Entry!$G$300="","",[2]Entry!$G$300)</f>
        <v/>
      </c>
      <c r="AB297">
        <f>IF([2]Entry!$J$300="","",[2]Entry!$J$300)</f>
        <v/>
      </c>
      <c r="AC297">
        <f>IF([2]Entry!$K$300="","",[2]Entry!$K$300)</f>
        <v/>
      </c>
      <c r="AD297">
        <f>IF([2]Entry!$L$300="","",[2]Entry!$L$300)</f>
        <v/>
      </c>
      <c r="AE297">
        <f>IF([2]Entry!$M$300="","",[2]Entry!$M$300)</f>
        <v/>
      </c>
      <c r="AF297">
        <f>IF([2]Entry!$N$300="","",[2]Entry!$N$300)</f>
        <v/>
      </c>
      <c r="AG297">
        <f>IF([3]Issues!$B$300="","",[3]Issues!$B$300)</f>
        <v/>
      </c>
      <c r="AH297">
        <f>IF([3]Issues!$D$300="","",[3]Issues!$D$300)</f>
        <v/>
      </c>
      <c r="AI297">
        <f>IF([3]Issues!$E$300="","",[3]Issues!$E$300)</f>
        <v/>
      </c>
      <c r="AJ297">
        <f>IF([2]Entry!$S$300="","",[2]Entry!$S$300)</f>
        <v/>
      </c>
      <c r="AK297">
        <f>IF([2]Entry!$C$300="","",[2]Entry!$C$300)</f>
        <v/>
      </c>
      <c r="AL297">
        <f>IF([2]Entry!$D$300="","",[2]Entry!$D$300)</f>
        <v/>
      </c>
      <c r="AM297">
        <f>IF(AND($F297&lt;&gt;"",$I297&lt;&gt;""),IF($G297="دارایی ثابت",1,0),0)</f>
        <v/>
      </c>
      <c r="AN297">
        <f>SUM($AM$6:$AM297)</f>
        <v/>
      </c>
      <c r="AO297">
        <f>IFERROR(INDEX($F$6:$F$565,MATCH(ROW()-5,$AN$6:$AN$565,0)),"")</f>
        <v/>
      </c>
      <c r="AP297">
        <f>IF(AND($F297&lt;&gt;"",$I297&lt;&gt;""),IF($G297="وام و تسهیلات",1,0),0)</f>
        <v/>
      </c>
      <c r="AQ297">
        <f>SUM($AP$6:$AP297)</f>
        <v/>
      </c>
      <c r="AR297">
        <f>IFERROR(INDEX($F$6:$F$565,MATCH(ROW()-5,$AQ$6:$AQ$565,0)),"")</f>
        <v/>
      </c>
      <c r="AS297">
        <f>IF(AND($F297&lt;&gt;"",$I297&lt;&gt;""),IF($G297="سرمایه و آورده صاحبان",1,0),0)</f>
        <v/>
      </c>
      <c r="AT297">
        <f>SUM($AS$6:$AS297)</f>
        <v/>
      </c>
      <c r="AU297">
        <f>IFERROR(INDEX($F$6:$F$565,MATCH(ROW()-5,$AT$6:$AT$565,0)),"")</f>
        <v/>
      </c>
      <c r="AW297">
        <f>IF([3]Issues!$C$300="","",[3]Issues!$C$300)</f>
        <v/>
      </c>
      <c r="AX297">
        <f>IF([4]Entry!$E$300="","",[4]Entry!$E$300)</f>
        <v/>
      </c>
      <c r="AY297">
        <f>IF([4]Entry!$H$300="","",[4]Entry!$H$300)</f>
        <v/>
      </c>
      <c r="AZ297">
        <f>IF([4]Entry!$I$300="","",[4]Entry!$I$300)</f>
        <v/>
      </c>
    </row>
    <row r="298">
      <c r="F298">
        <f>IF([1]Accounts!$D$299="","",[1]Accounts!$A$299)</f>
        <v/>
      </c>
      <c r="G298">
        <f>IF([1]Accounts!$D$299="","",[1]Accounts!$B$299)</f>
        <v/>
      </c>
      <c r="H298">
        <f>IF([1]Accounts!$D$299="","",[1]Accounts!$C$299)</f>
        <v/>
      </c>
      <c r="I298">
        <f>IF([1]Accounts!$D$299="","",[1]Accounts!$D$299)</f>
        <v/>
      </c>
      <c r="R298">
        <f>IF(AND($F298&lt;&gt;"",$I298&lt;&gt;""),IF(OR($G298="دارایی ثابت",$G298="وام و تسهیلات",$G298="سرمایه و آورده صاحبان"),0,1),0)</f>
        <v/>
      </c>
      <c r="S298">
        <f>SUM($R$6:$R298)</f>
        <v/>
      </c>
      <c r="T298">
        <f>IFERROR(INDEX($F$6:$F$565,MATCH(ROW()-5,$S$6:$S$565,0)),"")</f>
        <v/>
      </c>
      <c r="Z298">
        <f>IF([2]Entry!$E$301="","",[2]Entry!$E$301)</f>
        <v/>
      </c>
      <c r="AA298">
        <f>IF([2]Entry!$G$301="","",[2]Entry!$G$301)</f>
        <v/>
      </c>
      <c r="AB298">
        <f>IF([2]Entry!$J$301="","",[2]Entry!$J$301)</f>
        <v/>
      </c>
      <c r="AC298">
        <f>IF([2]Entry!$K$301="","",[2]Entry!$K$301)</f>
        <v/>
      </c>
      <c r="AD298">
        <f>IF([2]Entry!$L$301="","",[2]Entry!$L$301)</f>
        <v/>
      </c>
      <c r="AE298">
        <f>IF([2]Entry!$M$301="","",[2]Entry!$M$301)</f>
        <v/>
      </c>
      <c r="AF298">
        <f>IF([2]Entry!$N$301="","",[2]Entry!$N$301)</f>
        <v/>
      </c>
      <c r="AG298">
        <f>IF([3]Issues!$B$301="","",[3]Issues!$B$301)</f>
        <v/>
      </c>
      <c r="AH298">
        <f>IF([3]Issues!$D$301="","",[3]Issues!$D$301)</f>
        <v/>
      </c>
      <c r="AI298">
        <f>IF([3]Issues!$E$301="","",[3]Issues!$E$301)</f>
        <v/>
      </c>
      <c r="AJ298">
        <f>IF([2]Entry!$S$301="","",[2]Entry!$S$301)</f>
        <v/>
      </c>
      <c r="AK298">
        <f>IF([2]Entry!$C$301="","",[2]Entry!$C$301)</f>
        <v/>
      </c>
      <c r="AL298">
        <f>IF([2]Entry!$D$301="","",[2]Entry!$D$301)</f>
        <v/>
      </c>
      <c r="AM298">
        <f>IF(AND($F298&lt;&gt;"",$I298&lt;&gt;""),IF($G298="دارایی ثابت",1,0),0)</f>
        <v/>
      </c>
      <c r="AN298">
        <f>SUM($AM$6:$AM298)</f>
        <v/>
      </c>
      <c r="AO298">
        <f>IFERROR(INDEX($F$6:$F$565,MATCH(ROW()-5,$AN$6:$AN$565,0)),"")</f>
        <v/>
      </c>
      <c r="AP298">
        <f>IF(AND($F298&lt;&gt;"",$I298&lt;&gt;""),IF($G298="وام و تسهیلات",1,0),0)</f>
        <v/>
      </c>
      <c r="AQ298">
        <f>SUM($AP$6:$AP298)</f>
        <v/>
      </c>
      <c r="AR298">
        <f>IFERROR(INDEX($F$6:$F$565,MATCH(ROW()-5,$AQ$6:$AQ$565,0)),"")</f>
        <v/>
      </c>
      <c r="AS298">
        <f>IF(AND($F298&lt;&gt;"",$I298&lt;&gt;""),IF($G298="سرمایه و آورده صاحبان",1,0),0)</f>
        <v/>
      </c>
      <c r="AT298">
        <f>SUM($AS$6:$AS298)</f>
        <v/>
      </c>
      <c r="AU298">
        <f>IFERROR(INDEX($F$6:$F$565,MATCH(ROW()-5,$AT$6:$AT$565,0)),"")</f>
        <v/>
      </c>
      <c r="AW298">
        <f>IF([3]Issues!$C$301="","",[3]Issues!$C$301)</f>
        <v/>
      </c>
      <c r="AX298">
        <f>IF([4]Entry!$E$301="","",[4]Entry!$E$301)</f>
        <v/>
      </c>
      <c r="AY298">
        <f>IF([4]Entry!$H$301="","",[4]Entry!$H$301)</f>
        <v/>
      </c>
      <c r="AZ298">
        <f>IF([4]Entry!$I$301="","",[4]Entry!$I$301)</f>
        <v/>
      </c>
    </row>
    <row r="299">
      <c r="F299">
        <f>IF([1]Accounts!$D$300="","",[1]Accounts!$A$300)</f>
        <v/>
      </c>
      <c r="G299">
        <f>IF([1]Accounts!$D$300="","",[1]Accounts!$B$300)</f>
        <v/>
      </c>
      <c r="H299">
        <f>IF([1]Accounts!$D$300="","",[1]Accounts!$C$300)</f>
        <v/>
      </c>
      <c r="I299">
        <f>IF([1]Accounts!$D$300="","",[1]Accounts!$D$300)</f>
        <v/>
      </c>
      <c r="R299">
        <f>IF(AND($F299&lt;&gt;"",$I299&lt;&gt;""),IF(OR($G299="دارایی ثابت",$G299="وام و تسهیلات",$G299="سرمایه و آورده صاحبان"),0,1),0)</f>
        <v/>
      </c>
      <c r="S299">
        <f>SUM($R$6:$R299)</f>
        <v/>
      </c>
      <c r="T299">
        <f>IFERROR(INDEX($F$6:$F$565,MATCH(ROW()-5,$S$6:$S$565,0)),"")</f>
        <v/>
      </c>
      <c r="Z299">
        <f>IF([2]Entry!$E$302="","",[2]Entry!$E$302)</f>
        <v/>
      </c>
      <c r="AA299">
        <f>IF([2]Entry!$G$302="","",[2]Entry!$G$302)</f>
        <v/>
      </c>
      <c r="AB299">
        <f>IF([2]Entry!$J$302="","",[2]Entry!$J$302)</f>
        <v/>
      </c>
      <c r="AC299">
        <f>IF([2]Entry!$K$302="","",[2]Entry!$K$302)</f>
        <v/>
      </c>
      <c r="AD299">
        <f>IF([2]Entry!$L$302="","",[2]Entry!$L$302)</f>
        <v/>
      </c>
      <c r="AE299">
        <f>IF([2]Entry!$M$302="","",[2]Entry!$M$302)</f>
        <v/>
      </c>
      <c r="AF299">
        <f>IF([2]Entry!$N$302="","",[2]Entry!$N$302)</f>
        <v/>
      </c>
      <c r="AG299">
        <f>IF([3]Issues!$B$302="","",[3]Issues!$B$302)</f>
        <v/>
      </c>
      <c r="AH299">
        <f>IF([3]Issues!$D$302="","",[3]Issues!$D$302)</f>
        <v/>
      </c>
      <c r="AI299">
        <f>IF([3]Issues!$E$302="","",[3]Issues!$E$302)</f>
        <v/>
      </c>
      <c r="AJ299">
        <f>IF([2]Entry!$S$302="","",[2]Entry!$S$302)</f>
        <v/>
      </c>
      <c r="AK299">
        <f>IF([2]Entry!$C$302="","",[2]Entry!$C$302)</f>
        <v/>
      </c>
      <c r="AL299">
        <f>IF([2]Entry!$D$302="","",[2]Entry!$D$302)</f>
        <v/>
      </c>
      <c r="AM299">
        <f>IF(AND($F299&lt;&gt;"",$I299&lt;&gt;""),IF($G299="دارایی ثابت",1,0),0)</f>
        <v/>
      </c>
      <c r="AN299">
        <f>SUM($AM$6:$AM299)</f>
        <v/>
      </c>
      <c r="AO299">
        <f>IFERROR(INDEX($F$6:$F$565,MATCH(ROW()-5,$AN$6:$AN$565,0)),"")</f>
        <v/>
      </c>
      <c r="AP299">
        <f>IF(AND($F299&lt;&gt;"",$I299&lt;&gt;""),IF($G299="وام و تسهیلات",1,0),0)</f>
        <v/>
      </c>
      <c r="AQ299">
        <f>SUM($AP$6:$AP299)</f>
        <v/>
      </c>
      <c r="AR299">
        <f>IFERROR(INDEX($F$6:$F$565,MATCH(ROW()-5,$AQ$6:$AQ$565,0)),"")</f>
        <v/>
      </c>
      <c r="AS299">
        <f>IF(AND($F299&lt;&gt;"",$I299&lt;&gt;""),IF($G299="سرمایه و آورده صاحبان",1,0),0)</f>
        <v/>
      </c>
      <c r="AT299">
        <f>SUM($AS$6:$AS299)</f>
        <v/>
      </c>
      <c r="AU299">
        <f>IFERROR(INDEX($F$6:$F$565,MATCH(ROW()-5,$AT$6:$AT$565,0)),"")</f>
        <v/>
      </c>
      <c r="AW299">
        <f>IF([3]Issues!$C$302="","",[3]Issues!$C$302)</f>
        <v/>
      </c>
      <c r="AX299">
        <f>IF([4]Entry!$E$302="","",[4]Entry!$E$302)</f>
        <v/>
      </c>
      <c r="AY299">
        <f>IF([4]Entry!$H$302="","",[4]Entry!$H$302)</f>
        <v/>
      </c>
      <c r="AZ299">
        <f>IF([4]Entry!$I$302="","",[4]Entry!$I$302)</f>
        <v/>
      </c>
    </row>
    <row r="300">
      <c r="F300">
        <f>IF([1]Accounts!$D$301="","",[1]Accounts!$A$301)</f>
        <v/>
      </c>
      <c r="G300">
        <f>IF([1]Accounts!$D$301="","",[1]Accounts!$B$301)</f>
        <v/>
      </c>
      <c r="H300">
        <f>IF([1]Accounts!$D$301="","",[1]Accounts!$C$301)</f>
        <v/>
      </c>
      <c r="I300">
        <f>IF([1]Accounts!$D$301="","",[1]Accounts!$D$301)</f>
        <v/>
      </c>
      <c r="R300">
        <f>IF(AND($F300&lt;&gt;"",$I300&lt;&gt;""),IF(OR($G300="دارایی ثابت",$G300="وام و تسهیلات",$G300="سرمایه و آورده صاحبان"),0,1),0)</f>
        <v/>
      </c>
      <c r="S300">
        <f>SUM($R$6:$R300)</f>
        <v/>
      </c>
      <c r="T300">
        <f>IFERROR(INDEX($F$6:$F$565,MATCH(ROW()-5,$S$6:$S$565,0)),"")</f>
        <v/>
      </c>
      <c r="Z300">
        <f>IF([2]Entry!$E$303="","",[2]Entry!$E$303)</f>
        <v/>
      </c>
      <c r="AA300">
        <f>IF([2]Entry!$G$303="","",[2]Entry!$G$303)</f>
        <v/>
      </c>
      <c r="AB300">
        <f>IF([2]Entry!$J$303="","",[2]Entry!$J$303)</f>
        <v/>
      </c>
      <c r="AC300">
        <f>IF([2]Entry!$K$303="","",[2]Entry!$K$303)</f>
        <v/>
      </c>
      <c r="AD300">
        <f>IF([2]Entry!$L$303="","",[2]Entry!$L$303)</f>
        <v/>
      </c>
      <c r="AE300">
        <f>IF([2]Entry!$M$303="","",[2]Entry!$M$303)</f>
        <v/>
      </c>
      <c r="AF300">
        <f>IF([2]Entry!$N$303="","",[2]Entry!$N$303)</f>
        <v/>
      </c>
      <c r="AG300">
        <f>IF([3]Issues!$B$303="","",[3]Issues!$B$303)</f>
        <v/>
      </c>
      <c r="AH300">
        <f>IF([3]Issues!$D$303="","",[3]Issues!$D$303)</f>
        <v/>
      </c>
      <c r="AI300">
        <f>IF([3]Issues!$E$303="","",[3]Issues!$E$303)</f>
        <v/>
      </c>
      <c r="AJ300">
        <f>IF([2]Entry!$S$303="","",[2]Entry!$S$303)</f>
        <v/>
      </c>
      <c r="AK300">
        <f>IF([2]Entry!$C$303="","",[2]Entry!$C$303)</f>
        <v/>
      </c>
      <c r="AL300">
        <f>IF([2]Entry!$D$303="","",[2]Entry!$D$303)</f>
        <v/>
      </c>
      <c r="AM300">
        <f>IF(AND($F300&lt;&gt;"",$I300&lt;&gt;""),IF($G300="دارایی ثابت",1,0),0)</f>
        <v/>
      </c>
      <c r="AN300">
        <f>SUM($AM$6:$AM300)</f>
        <v/>
      </c>
      <c r="AO300">
        <f>IFERROR(INDEX($F$6:$F$565,MATCH(ROW()-5,$AN$6:$AN$565,0)),"")</f>
        <v/>
      </c>
      <c r="AP300">
        <f>IF(AND($F300&lt;&gt;"",$I300&lt;&gt;""),IF($G300="وام و تسهیلات",1,0),0)</f>
        <v/>
      </c>
      <c r="AQ300">
        <f>SUM($AP$6:$AP300)</f>
        <v/>
      </c>
      <c r="AR300">
        <f>IFERROR(INDEX($F$6:$F$565,MATCH(ROW()-5,$AQ$6:$AQ$565,0)),"")</f>
        <v/>
      </c>
      <c r="AS300">
        <f>IF(AND($F300&lt;&gt;"",$I300&lt;&gt;""),IF($G300="سرمایه و آورده صاحبان",1,0),0)</f>
        <v/>
      </c>
      <c r="AT300">
        <f>SUM($AS$6:$AS300)</f>
        <v/>
      </c>
      <c r="AU300">
        <f>IFERROR(INDEX($F$6:$F$565,MATCH(ROW()-5,$AT$6:$AT$565,0)),"")</f>
        <v/>
      </c>
      <c r="AW300">
        <f>IF([3]Issues!$C$303="","",[3]Issues!$C$303)</f>
        <v/>
      </c>
      <c r="AX300">
        <f>IF([4]Entry!$E$303="","",[4]Entry!$E$303)</f>
        <v/>
      </c>
      <c r="AY300">
        <f>IF([4]Entry!$H$303="","",[4]Entry!$H$303)</f>
        <v/>
      </c>
      <c r="AZ300">
        <f>IF([4]Entry!$I$303="","",[4]Entry!$I$303)</f>
        <v/>
      </c>
    </row>
    <row r="301">
      <c r="F301">
        <f>IF([1]Accounts!$D$302="","",[1]Accounts!$A$302)</f>
        <v/>
      </c>
      <c r="G301">
        <f>IF([1]Accounts!$D$302="","",[1]Accounts!$B$302)</f>
        <v/>
      </c>
      <c r="H301">
        <f>IF([1]Accounts!$D$302="","",[1]Accounts!$C$302)</f>
        <v/>
      </c>
      <c r="I301">
        <f>IF([1]Accounts!$D$302="","",[1]Accounts!$D$302)</f>
        <v/>
      </c>
      <c r="R301">
        <f>IF(AND($F301&lt;&gt;"",$I301&lt;&gt;""),IF(OR($G301="دارایی ثابت",$G301="وام و تسهیلات",$G301="سرمایه و آورده صاحبان"),0,1),0)</f>
        <v/>
      </c>
      <c r="S301">
        <f>SUM($R$6:$R301)</f>
        <v/>
      </c>
      <c r="T301">
        <f>IFERROR(INDEX($F$6:$F$565,MATCH(ROW()-5,$S$6:$S$565,0)),"")</f>
        <v/>
      </c>
      <c r="Z301">
        <f>IF([2]Entry!$E$304="","",[2]Entry!$E$304)</f>
        <v/>
      </c>
      <c r="AA301">
        <f>IF([2]Entry!$G$304="","",[2]Entry!$G$304)</f>
        <v/>
      </c>
      <c r="AB301">
        <f>IF([2]Entry!$J$304="","",[2]Entry!$J$304)</f>
        <v/>
      </c>
      <c r="AC301">
        <f>IF([2]Entry!$K$304="","",[2]Entry!$K$304)</f>
        <v/>
      </c>
      <c r="AD301">
        <f>IF([2]Entry!$L$304="","",[2]Entry!$L$304)</f>
        <v/>
      </c>
      <c r="AE301">
        <f>IF([2]Entry!$M$304="","",[2]Entry!$M$304)</f>
        <v/>
      </c>
      <c r="AF301">
        <f>IF([2]Entry!$N$304="","",[2]Entry!$N$304)</f>
        <v/>
      </c>
      <c r="AG301">
        <f>IF([3]Issues!$B$304="","",[3]Issues!$B$304)</f>
        <v/>
      </c>
      <c r="AH301">
        <f>IF([3]Issues!$D$304="","",[3]Issues!$D$304)</f>
        <v/>
      </c>
      <c r="AI301">
        <f>IF([3]Issues!$E$304="","",[3]Issues!$E$304)</f>
        <v/>
      </c>
      <c r="AJ301">
        <f>IF([2]Entry!$S$304="","",[2]Entry!$S$304)</f>
        <v/>
      </c>
      <c r="AK301">
        <f>IF([2]Entry!$C$304="","",[2]Entry!$C$304)</f>
        <v/>
      </c>
      <c r="AL301">
        <f>IF([2]Entry!$D$304="","",[2]Entry!$D$304)</f>
        <v/>
      </c>
      <c r="AM301">
        <f>IF(AND($F301&lt;&gt;"",$I301&lt;&gt;""),IF($G301="دارایی ثابت",1,0),0)</f>
        <v/>
      </c>
      <c r="AN301">
        <f>SUM($AM$6:$AM301)</f>
        <v/>
      </c>
      <c r="AO301">
        <f>IFERROR(INDEX($F$6:$F$565,MATCH(ROW()-5,$AN$6:$AN$565,0)),"")</f>
        <v/>
      </c>
      <c r="AP301">
        <f>IF(AND($F301&lt;&gt;"",$I301&lt;&gt;""),IF($G301="وام و تسهیلات",1,0),0)</f>
        <v/>
      </c>
      <c r="AQ301">
        <f>SUM($AP$6:$AP301)</f>
        <v/>
      </c>
      <c r="AR301">
        <f>IFERROR(INDEX($F$6:$F$565,MATCH(ROW()-5,$AQ$6:$AQ$565,0)),"")</f>
        <v/>
      </c>
      <c r="AS301">
        <f>IF(AND($F301&lt;&gt;"",$I301&lt;&gt;""),IF($G301="سرمایه و آورده صاحبان",1,0),0)</f>
        <v/>
      </c>
      <c r="AT301">
        <f>SUM($AS$6:$AS301)</f>
        <v/>
      </c>
      <c r="AU301">
        <f>IFERROR(INDEX($F$6:$F$565,MATCH(ROW()-5,$AT$6:$AT$565,0)),"")</f>
        <v/>
      </c>
      <c r="AW301">
        <f>IF([3]Issues!$C$304="","",[3]Issues!$C$304)</f>
        <v/>
      </c>
      <c r="AX301">
        <f>IF([4]Entry!$E$304="","",[4]Entry!$E$304)</f>
        <v/>
      </c>
      <c r="AY301">
        <f>IF([4]Entry!$H$304="","",[4]Entry!$H$304)</f>
        <v/>
      </c>
      <c r="AZ301">
        <f>IF([4]Entry!$I$304="","",[4]Entry!$I$304)</f>
        <v/>
      </c>
    </row>
    <row r="302">
      <c r="F302">
        <f>IF([1]Accounts!$D$303="","",[1]Accounts!$A$303)</f>
        <v/>
      </c>
      <c r="G302">
        <f>IF([1]Accounts!$D$303="","",[1]Accounts!$B$303)</f>
        <v/>
      </c>
      <c r="H302">
        <f>IF([1]Accounts!$D$303="","",[1]Accounts!$C$303)</f>
        <v/>
      </c>
      <c r="I302">
        <f>IF([1]Accounts!$D$303="","",[1]Accounts!$D$303)</f>
        <v/>
      </c>
      <c r="R302">
        <f>IF(AND($F302&lt;&gt;"",$I302&lt;&gt;""),IF(OR($G302="دارایی ثابت",$G302="وام و تسهیلات",$G302="سرمایه و آورده صاحبان"),0,1),0)</f>
        <v/>
      </c>
      <c r="S302">
        <f>SUM($R$6:$R302)</f>
        <v/>
      </c>
      <c r="T302">
        <f>IFERROR(INDEX($F$6:$F$565,MATCH(ROW()-5,$S$6:$S$565,0)),"")</f>
        <v/>
      </c>
      <c r="Z302">
        <f>IF([2]Entry!$E$305="","",[2]Entry!$E$305)</f>
        <v/>
      </c>
      <c r="AA302">
        <f>IF([2]Entry!$G$305="","",[2]Entry!$G$305)</f>
        <v/>
      </c>
      <c r="AB302">
        <f>IF([2]Entry!$J$305="","",[2]Entry!$J$305)</f>
        <v/>
      </c>
      <c r="AC302">
        <f>IF([2]Entry!$K$305="","",[2]Entry!$K$305)</f>
        <v/>
      </c>
      <c r="AD302">
        <f>IF([2]Entry!$L$305="","",[2]Entry!$L$305)</f>
        <v/>
      </c>
      <c r="AE302">
        <f>IF([2]Entry!$M$305="","",[2]Entry!$M$305)</f>
        <v/>
      </c>
      <c r="AF302">
        <f>IF([2]Entry!$N$305="","",[2]Entry!$N$305)</f>
        <v/>
      </c>
      <c r="AG302">
        <f>IF([3]Issues!$B$305="","",[3]Issues!$B$305)</f>
        <v/>
      </c>
      <c r="AH302">
        <f>IF([3]Issues!$D$305="","",[3]Issues!$D$305)</f>
        <v/>
      </c>
      <c r="AI302">
        <f>IF([3]Issues!$E$305="","",[3]Issues!$E$305)</f>
        <v/>
      </c>
      <c r="AJ302">
        <f>IF([2]Entry!$S$305="","",[2]Entry!$S$305)</f>
        <v/>
      </c>
      <c r="AK302">
        <f>IF([2]Entry!$C$305="","",[2]Entry!$C$305)</f>
        <v/>
      </c>
      <c r="AL302">
        <f>IF([2]Entry!$D$305="","",[2]Entry!$D$305)</f>
        <v/>
      </c>
      <c r="AM302">
        <f>IF(AND($F302&lt;&gt;"",$I302&lt;&gt;""),IF($G302="دارایی ثابت",1,0),0)</f>
        <v/>
      </c>
      <c r="AN302">
        <f>SUM($AM$6:$AM302)</f>
        <v/>
      </c>
      <c r="AO302">
        <f>IFERROR(INDEX($F$6:$F$565,MATCH(ROW()-5,$AN$6:$AN$565,0)),"")</f>
        <v/>
      </c>
      <c r="AP302">
        <f>IF(AND($F302&lt;&gt;"",$I302&lt;&gt;""),IF($G302="وام و تسهیلات",1,0),0)</f>
        <v/>
      </c>
      <c r="AQ302">
        <f>SUM($AP$6:$AP302)</f>
        <v/>
      </c>
      <c r="AR302">
        <f>IFERROR(INDEX($F$6:$F$565,MATCH(ROW()-5,$AQ$6:$AQ$565,0)),"")</f>
        <v/>
      </c>
      <c r="AS302">
        <f>IF(AND($F302&lt;&gt;"",$I302&lt;&gt;""),IF($G302="سرمایه و آورده صاحبان",1,0),0)</f>
        <v/>
      </c>
      <c r="AT302">
        <f>SUM($AS$6:$AS302)</f>
        <v/>
      </c>
      <c r="AU302">
        <f>IFERROR(INDEX($F$6:$F$565,MATCH(ROW()-5,$AT$6:$AT$565,0)),"")</f>
        <v/>
      </c>
      <c r="AW302">
        <f>IF([3]Issues!$C$305="","",[3]Issues!$C$305)</f>
        <v/>
      </c>
      <c r="AX302">
        <f>IF([4]Entry!$E$305="","",[4]Entry!$E$305)</f>
        <v/>
      </c>
      <c r="AY302">
        <f>IF([4]Entry!$H$305="","",[4]Entry!$H$305)</f>
        <v/>
      </c>
      <c r="AZ302">
        <f>IF([4]Entry!$I$305="","",[4]Entry!$I$305)</f>
        <v/>
      </c>
    </row>
    <row r="303">
      <c r="F303">
        <f>IF([1]Accounts!$D$304="","",[1]Accounts!$A$304)</f>
        <v/>
      </c>
      <c r="G303">
        <f>IF([1]Accounts!$D$304="","",[1]Accounts!$B$304)</f>
        <v/>
      </c>
      <c r="H303">
        <f>IF([1]Accounts!$D$304="","",[1]Accounts!$C$304)</f>
        <v/>
      </c>
      <c r="I303">
        <f>IF([1]Accounts!$D$304="","",[1]Accounts!$D$304)</f>
        <v/>
      </c>
      <c r="R303">
        <f>IF(AND($F303&lt;&gt;"",$I303&lt;&gt;""),IF(OR($G303="دارایی ثابت",$G303="وام و تسهیلات",$G303="سرمایه و آورده صاحبان"),0,1),0)</f>
        <v/>
      </c>
      <c r="S303">
        <f>SUM($R$6:$R303)</f>
        <v/>
      </c>
      <c r="T303">
        <f>IFERROR(INDEX($F$6:$F$565,MATCH(ROW()-5,$S$6:$S$565,0)),"")</f>
        <v/>
      </c>
      <c r="Z303">
        <f>IF([2]Entry!$E$306="","",[2]Entry!$E$306)</f>
        <v/>
      </c>
      <c r="AA303">
        <f>IF([2]Entry!$G$306="","",[2]Entry!$G$306)</f>
        <v/>
      </c>
      <c r="AB303">
        <f>IF([2]Entry!$J$306="","",[2]Entry!$J$306)</f>
        <v/>
      </c>
      <c r="AC303">
        <f>IF([2]Entry!$K$306="","",[2]Entry!$K$306)</f>
        <v/>
      </c>
      <c r="AD303">
        <f>IF([2]Entry!$L$306="","",[2]Entry!$L$306)</f>
        <v/>
      </c>
      <c r="AE303">
        <f>IF([2]Entry!$M$306="","",[2]Entry!$M$306)</f>
        <v/>
      </c>
      <c r="AF303">
        <f>IF([2]Entry!$N$306="","",[2]Entry!$N$306)</f>
        <v/>
      </c>
      <c r="AG303">
        <f>IF([3]Issues!$B$306="","",[3]Issues!$B$306)</f>
        <v/>
      </c>
      <c r="AH303">
        <f>IF([3]Issues!$D$306="","",[3]Issues!$D$306)</f>
        <v/>
      </c>
      <c r="AI303">
        <f>IF([3]Issues!$E$306="","",[3]Issues!$E$306)</f>
        <v/>
      </c>
      <c r="AJ303">
        <f>IF([2]Entry!$S$306="","",[2]Entry!$S$306)</f>
        <v/>
      </c>
      <c r="AK303">
        <f>IF([2]Entry!$C$306="","",[2]Entry!$C$306)</f>
        <v/>
      </c>
      <c r="AL303">
        <f>IF([2]Entry!$D$306="","",[2]Entry!$D$306)</f>
        <v/>
      </c>
      <c r="AM303">
        <f>IF(AND($F303&lt;&gt;"",$I303&lt;&gt;""),IF($G303="دارایی ثابت",1,0),0)</f>
        <v/>
      </c>
      <c r="AN303">
        <f>SUM($AM$6:$AM303)</f>
        <v/>
      </c>
      <c r="AO303">
        <f>IFERROR(INDEX($F$6:$F$565,MATCH(ROW()-5,$AN$6:$AN$565,0)),"")</f>
        <v/>
      </c>
      <c r="AP303">
        <f>IF(AND($F303&lt;&gt;"",$I303&lt;&gt;""),IF($G303="وام و تسهیلات",1,0),0)</f>
        <v/>
      </c>
      <c r="AQ303">
        <f>SUM($AP$6:$AP303)</f>
        <v/>
      </c>
      <c r="AR303">
        <f>IFERROR(INDEX($F$6:$F$565,MATCH(ROW()-5,$AQ$6:$AQ$565,0)),"")</f>
        <v/>
      </c>
      <c r="AS303">
        <f>IF(AND($F303&lt;&gt;"",$I303&lt;&gt;""),IF($G303="سرمایه و آورده صاحبان",1,0),0)</f>
        <v/>
      </c>
      <c r="AT303">
        <f>SUM($AS$6:$AS303)</f>
        <v/>
      </c>
      <c r="AU303">
        <f>IFERROR(INDEX($F$6:$F$565,MATCH(ROW()-5,$AT$6:$AT$565,0)),"")</f>
        <v/>
      </c>
      <c r="AW303">
        <f>IF([3]Issues!$C$306="","",[3]Issues!$C$306)</f>
        <v/>
      </c>
      <c r="AX303">
        <f>IF([4]Entry!$E$306="","",[4]Entry!$E$306)</f>
        <v/>
      </c>
      <c r="AY303">
        <f>IF([4]Entry!$H$306="","",[4]Entry!$H$306)</f>
        <v/>
      </c>
      <c r="AZ303">
        <f>IF([4]Entry!$I$306="","",[4]Entry!$I$306)</f>
        <v/>
      </c>
    </row>
    <row r="304">
      <c r="F304">
        <f>IF([1]Accounts!$D$305="","",[1]Accounts!$A$305)</f>
        <v/>
      </c>
      <c r="G304">
        <f>IF([1]Accounts!$D$305="","",[1]Accounts!$B$305)</f>
        <v/>
      </c>
      <c r="H304">
        <f>IF([1]Accounts!$D$305="","",[1]Accounts!$C$305)</f>
        <v/>
      </c>
      <c r="I304">
        <f>IF([1]Accounts!$D$305="","",[1]Accounts!$D$305)</f>
        <v/>
      </c>
      <c r="R304">
        <f>IF(AND($F304&lt;&gt;"",$I304&lt;&gt;""),IF(OR($G304="دارایی ثابت",$G304="وام و تسهیلات",$G304="سرمایه و آورده صاحبان"),0,1),0)</f>
        <v/>
      </c>
      <c r="S304">
        <f>SUM($R$6:$R304)</f>
        <v/>
      </c>
      <c r="T304">
        <f>IFERROR(INDEX($F$6:$F$565,MATCH(ROW()-5,$S$6:$S$565,0)),"")</f>
        <v/>
      </c>
      <c r="Z304">
        <f>IF([2]Entry!$E$307="","",[2]Entry!$E$307)</f>
        <v/>
      </c>
      <c r="AA304">
        <f>IF([2]Entry!$G$307="","",[2]Entry!$G$307)</f>
        <v/>
      </c>
      <c r="AB304">
        <f>IF([2]Entry!$J$307="","",[2]Entry!$J$307)</f>
        <v/>
      </c>
      <c r="AC304">
        <f>IF([2]Entry!$K$307="","",[2]Entry!$K$307)</f>
        <v/>
      </c>
      <c r="AD304">
        <f>IF([2]Entry!$L$307="","",[2]Entry!$L$307)</f>
        <v/>
      </c>
      <c r="AE304">
        <f>IF([2]Entry!$M$307="","",[2]Entry!$M$307)</f>
        <v/>
      </c>
      <c r="AF304">
        <f>IF([2]Entry!$N$307="","",[2]Entry!$N$307)</f>
        <v/>
      </c>
      <c r="AG304">
        <f>IF([3]Issues!$B$307="","",[3]Issues!$B$307)</f>
        <v/>
      </c>
      <c r="AH304">
        <f>IF([3]Issues!$D$307="","",[3]Issues!$D$307)</f>
        <v/>
      </c>
      <c r="AI304">
        <f>IF([3]Issues!$E$307="","",[3]Issues!$E$307)</f>
        <v/>
      </c>
      <c r="AJ304">
        <f>IF([2]Entry!$S$307="","",[2]Entry!$S$307)</f>
        <v/>
      </c>
      <c r="AK304">
        <f>IF([2]Entry!$C$307="","",[2]Entry!$C$307)</f>
        <v/>
      </c>
      <c r="AL304">
        <f>IF([2]Entry!$D$307="","",[2]Entry!$D$307)</f>
        <v/>
      </c>
      <c r="AM304">
        <f>IF(AND($F304&lt;&gt;"",$I304&lt;&gt;""),IF($G304="دارایی ثابت",1,0),0)</f>
        <v/>
      </c>
      <c r="AN304">
        <f>SUM($AM$6:$AM304)</f>
        <v/>
      </c>
      <c r="AO304">
        <f>IFERROR(INDEX($F$6:$F$565,MATCH(ROW()-5,$AN$6:$AN$565,0)),"")</f>
        <v/>
      </c>
      <c r="AP304">
        <f>IF(AND($F304&lt;&gt;"",$I304&lt;&gt;""),IF($G304="وام و تسهیلات",1,0),0)</f>
        <v/>
      </c>
      <c r="AQ304">
        <f>SUM($AP$6:$AP304)</f>
        <v/>
      </c>
      <c r="AR304">
        <f>IFERROR(INDEX($F$6:$F$565,MATCH(ROW()-5,$AQ$6:$AQ$565,0)),"")</f>
        <v/>
      </c>
      <c r="AS304">
        <f>IF(AND($F304&lt;&gt;"",$I304&lt;&gt;""),IF($G304="سرمایه و آورده صاحبان",1,0),0)</f>
        <v/>
      </c>
      <c r="AT304">
        <f>SUM($AS$6:$AS304)</f>
        <v/>
      </c>
      <c r="AU304">
        <f>IFERROR(INDEX($F$6:$F$565,MATCH(ROW()-5,$AT$6:$AT$565,0)),"")</f>
        <v/>
      </c>
      <c r="AW304">
        <f>IF([3]Issues!$C$307="","",[3]Issues!$C$307)</f>
        <v/>
      </c>
      <c r="AX304">
        <f>IF([4]Entry!$E$307="","",[4]Entry!$E$307)</f>
        <v/>
      </c>
      <c r="AY304">
        <f>IF([4]Entry!$H$307="","",[4]Entry!$H$307)</f>
        <v/>
      </c>
      <c r="AZ304">
        <f>IF([4]Entry!$I$307="","",[4]Entry!$I$307)</f>
        <v/>
      </c>
    </row>
    <row r="305">
      <c r="F305">
        <f>IF([1]Accounts!$D$306="","",[1]Accounts!$A$306)</f>
        <v/>
      </c>
      <c r="G305">
        <f>IF([1]Accounts!$D$306="","",[1]Accounts!$B$306)</f>
        <v/>
      </c>
      <c r="H305">
        <f>IF([1]Accounts!$D$306="","",[1]Accounts!$C$306)</f>
        <v/>
      </c>
      <c r="I305">
        <f>IF([1]Accounts!$D$306="","",[1]Accounts!$D$306)</f>
        <v/>
      </c>
      <c r="R305">
        <f>IF(AND($F305&lt;&gt;"",$I305&lt;&gt;""),IF(OR($G305="دارایی ثابت",$G305="وام و تسهیلات",$G305="سرمایه و آورده صاحبان"),0,1),0)</f>
        <v/>
      </c>
      <c r="S305">
        <f>SUM($R$6:$R305)</f>
        <v/>
      </c>
      <c r="T305">
        <f>IFERROR(INDEX($F$6:$F$565,MATCH(ROW()-5,$S$6:$S$565,0)),"")</f>
        <v/>
      </c>
      <c r="Z305">
        <f>IF([2]Entry!$E$308="","",[2]Entry!$E$308)</f>
        <v/>
      </c>
      <c r="AA305">
        <f>IF([2]Entry!$G$308="","",[2]Entry!$G$308)</f>
        <v/>
      </c>
      <c r="AB305">
        <f>IF([2]Entry!$J$308="","",[2]Entry!$J$308)</f>
        <v/>
      </c>
      <c r="AC305">
        <f>IF([2]Entry!$K$308="","",[2]Entry!$K$308)</f>
        <v/>
      </c>
      <c r="AD305">
        <f>IF([2]Entry!$L$308="","",[2]Entry!$L$308)</f>
        <v/>
      </c>
      <c r="AE305">
        <f>IF([2]Entry!$M$308="","",[2]Entry!$M$308)</f>
        <v/>
      </c>
      <c r="AF305">
        <f>IF([2]Entry!$N$308="","",[2]Entry!$N$308)</f>
        <v/>
      </c>
      <c r="AG305">
        <f>IF([3]Issues!$B$308="","",[3]Issues!$B$308)</f>
        <v/>
      </c>
      <c r="AH305">
        <f>IF([3]Issues!$D$308="","",[3]Issues!$D$308)</f>
        <v/>
      </c>
      <c r="AI305">
        <f>IF([3]Issues!$E$308="","",[3]Issues!$E$308)</f>
        <v/>
      </c>
      <c r="AJ305">
        <f>IF([2]Entry!$S$308="","",[2]Entry!$S$308)</f>
        <v/>
      </c>
      <c r="AK305">
        <f>IF([2]Entry!$C$308="","",[2]Entry!$C$308)</f>
        <v/>
      </c>
      <c r="AL305">
        <f>IF([2]Entry!$D$308="","",[2]Entry!$D$308)</f>
        <v/>
      </c>
      <c r="AM305">
        <f>IF(AND($F305&lt;&gt;"",$I305&lt;&gt;""),IF($G305="دارایی ثابت",1,0),0)</f>
        <v/>
      </c>
      <c r="AN305">
        <f>SUM($AM$6:$AM305)</f>
        <v/>
      </c>
      <c r="AO305">
        <f>IFERROR(INDEX($F$6:$F$565,MATCH(ROW()-5,$AN$6:$AN$565,0)),"")</f>
        <v/>
      </c>
      <c r="AP305">
        <f>IF(AND($F305&lt;&gt;"",$I305&lt;&gt;""),IF($G305="وام و تسهیلات",1,0),0)</f>
        <v/>
      </c>
      <c r="AQ305">
        <f>SUM($AP$6:$AP305)</f>
        <v/>
      </c>
      <c r="AR305">
        <f>IFERROR(INDEX($F$6:$F$565,MATCH(ROW()-5,$AQ$6:$AQ$565,0)),"")</f>
        <v/>
      </c>
      <c r="AS305">
        <f>IF(AND($F305&lt;&gt;"",$I305&lt;&gt;""),IF($G305="سرمایه و آورده صاحبان",1,0),0)</f>
        <v/>
      </c>
      <c r="AT305">
        <f>SUM($AS$6:$AS305)</f>
        <v/>
      </c>
      <c r="AU305">
        <f>IFERROR(INDEX($F$6:$F$565,MATCH(ROW()-5,$AT$6:$AT$565,0)),"")</f>
        <v/>
      </c>
      <c r="AW305">
        <f>IF([3]Issues!$C$308="","",[3]Issues!$C$308)</f>
        <v/>
      </c>
      <c r="AX305">
        <f>IF([4]Entry!$E$308="","",[4]Entry!$E$308)</f>
        <v/>
      </c>
      <c r="AY305">
        <f>IF([4]Entry!$H$308="","",[4]Entry!$H$308)</f>
        <v/>
      </c>
      <c r="AZ305">
        <f>IF([4]Entry!$I$308="","",[4]Entry!$I$308)</f>
        <v/>
      </c>
    </row>
    <row r="306">
      <c r="F306">
        <f>IF([1]Accounts!$D$307="","",[1]Accounts!$A$307)</f>
        <v/>
      </c>
      <c r="G306">
        <f>IF([1]Accounts!$D$307="","",[1]Accounts!$B$307)</f>
        <v/>
      </c>
      <c r="H306">
        <f>IF([1]Accounts!$D$307="","",[1]Accounts!$C$307)</f>
        <v/>
      </c>
      <c r="I306">
        <f>IF([1]Accounts!$D$307="","",[1]Accounts!$D$307)</f>
        <v/>
      </c>
      <c r="R306">
        <f>IF(AND($F306&lt;&gt;"",$I306&lt;&gt;""),IF(OR($G306="دارایی ثابت",$G306="وام و تسهیلات",$G306="سرمایه و آورده صاحبان"),0,1),0)</f>
        <v/>
      </c>
      <c r="S306">
        <f>SUM($R$6:$R306)</f>
        <v/>
      </c>
      <c r="T306">
        <f>IFERROR(INDEX($F$6:$F$565,MATCH(ROW()-5,$S$6:$S$565,0)),"")</f>
        <v/>
      </c>
      <c r="Z306">
        <f>IF([2]Entry!$E$309="","",[2]Entry!$E$309)</f>
        <v/>
      </c>
      <c r="AA306">
        <f>IF([2]Entry!$G$309="","",[2]Entry!$G$309)</f>
        <v/>
      </c>
      <c r="AB306">
        <f>IF([2]Entry!$J$309="","",[2]Entry!$J$309)</f>
        <v/>
      </c>
      <c r="AC306">
        <f>IF([2]Entry!$K$309="","",[2]Entry!$K$309)</f>
        <v/>
      </c>
      <c r="AD306">
        <f>IF([2]Entry!$L$309="","",[2]Entry!$L$309)</f>
        <v/>
      </c>
      <c r="AE306">
        <f>IF([2]Entry!$M$309="","",[2]Entry!$M$309)</f>
        <v/>
      </c>
      <c r="AF306">
        <f>IF([2]Entry!$N$309="","",[2]Entry!$N$309)</f>
        <v/>
      </c>
      <c r="AG306">
        <f>IF([3]Issues!$B$309="","",[3]Issues!$B$309)</f>
        <v/>
      </c>
      <c r="AH306">
        <f>IF([3]Issues!$D$309="","",[3]Issues!$D$309)</f>
        <v/>
      </c>
      <c r="AI306">
        <f>IF([3]Issues!$E$309="","",[3]Issues!$E$309)</f>
        <v/>
      </c>
      <c r="AJ306">
        <f>IF([2]Entry!$S$309="","",[2]Entry!$S$309)</f>
        <v/>
      </c>
      <c r="AK306">
        <f>IF([2]Entry!$C$309="","",[2]Entry!$C$309)</f>
        <v/>
      </c>
      <c r="AL306">
        <f>IF([2]Entry!$D$309="","",[2]Entry!$D$309)</f>
        <v/>
      </c>
      <c r="AM306">
        <f>IF(AND($F306&lt;&gt;"",$I306&lt;&gt;""),IF($G306="دارایی ثابت",1,0),0)</f>
        <v/>
      </c>
      <c r="AN306">
        <f>SUM($AM$6:$AM306)</f>
        <v/>
      </c>
      <c r="AO306">
        <f>IFERROR(INDEX($F$6:$F$565,MATCH(ROW()-5,$AN$6:$AN$565,0)),"")</f>
        <v/>
      </c>
      <c r="AP306">
        <f>IF(AND($F306&lt;&gt;"",$I306&lt;&gt;""),IF($G306="وام و تسهیلات",1,0),0)</f>
        <v/>
      </c>
      <c r="AQ306">
        <f>SUM($AP$6:$AP306)</f>
        <v/>
      </c>
      <c r="AR306">
        <f>IFERROR(INDEX($F$6:$F$565,MATCH(ROW()-5,$AQ$6:$AQ$565,0)),"")</f>
        <v/>
      </c>
      <c r="AS306">
        <f>IF(AND($F306&lt;&gt;"",$I306&lt;&gt;""),IF($G306="سرمایه و آورده صاحبان",1,0),0)</f>
        <v/>
      </c>
      <c r="AT306">
        <f>SUM($AS$6:$AS306)</f>
        <v/>
      </c>
      <c r="AU306">
        <f>IFERROR(INDEX($F$6:$F$565,MATCH(ROW()-5,$AT$6:$AT$565,0)),"")</f>
        <v/>
      </c>
      <c r="AW306">
        <f>IF([3]Issues!$C$309="","",[3]Issues!$C$309)</f>
        <v/>
      </c>
      <c r="AX306">
        <f>IF([4]Entry!$E$309="","",[4]Entry!$E$309)</f>
        <v/>
      </c>
      <c r="AY306">
        <f>IF([4]Entry!$H$309="","",[4]Entry!$H$309)</f>
        <v/>
      </c>
      <c r="AZ306">
        <f>IF([4]Entry!$I$309="","",[4]Entry!$I$309)</f>
        <v/>
      </c>
    </row>
    <row r="307">
      <c r="F307">
        <f>IF([1]Accounts!$D$308="","",[1]Accounts!$A$308)</f>
        <v/>
      </c>
      <c r="G307">
        <f>IF([1]Accounts!$D$308="","",[1]Accounts!$B$308)</f>
        <v/>
      </c>
      <c r="H307">
        <f>IF([1]Accounts!$D$308="","",[1]Accounts!$C$308)</f>
        <v/>
      </c>
      <c r="I307">
        <f>IF([1]Accounts!$D$308="","",[1]Accounts!$D$308)</f>
        <v/>
      </c>
      <c r="R307">
        <f>IF(AND($F307&lt;&gt;"",$I307&lt;&gt;""),IF(OR($G307="دارایی ثابت",$G307="وام و تسهیلات",$G307="سرمایه و آورده صاحبان"),0,1),0)</f>
        <v/>
      </c>
      <c r="S307">
        <f>SUM($R$6:$R307)</f>
        <v/>
      </c>
      <c r="T307">
        <f>IFERROR(INDEX($F$6:$F$565,MATCH(ROW()-5,$S$6:$S$565,0)),"")</f>
        <v/>
      </c>
      <c r="Z307">
        <f>IF([2]Entry!$E$310="","",[2]Entry!$E$310)</f>
        <v/>
      </c>
      <c r="AA307">
        <f>IF([2]Entry!$G$310="","",[2]Entry!$G$310)</f>
        <v/>
      </c>
      <c r="AB307">
        <f>IF([2]Entry!$J$310="","",[2]Entry!$J$310)</f>
        <v/>
      </c>
      <c r="AC307">
        <f>IF([2]Entry!$K$310="","",[2]Entry!$K$310)</f>
        <v/>
      </c>
      <c r="AD307">
        <f>IF([2]Entry!$L$310="","",[2]Entry!$L$310)</f>
        <v/>
      </c>
      <c r="AE307">
        <f>IF([2]Entry!$M$310="","",[2]Entry!$M$310)</f>
        <v/>
      </c>
      <c r="AF307">
        <f>IF([2]Entry!$N$310="","",[2]Entry!$N$310)</f>
        <v/>
      </c>
      <c r="AG307">
        <f>IF([3]Issues!$B$310="","",[3]Issues!$B$310)</f>
        <v/>
      </c>
      <c r="AH307">
        <f>IF([3]Issues!$D$310="","",[3]Issues!$D$310)</f>
        <v/>
      </c>
      <c r="AI307">
        <f>IF([3]Issues!$E$310="","",[3]Issues!$E$310)</f>
        <v/>
      </c>
      <c r="AJ307">
        <f>IF([2]Entry!$S$310="","",[2]Entry!$S$310)</f>
        <v/>
      </c>
      <c r="AK307">
        <f>IF([2]Entry!$C$310="","",[2]Entry!$C$310)</f>
        <v/>
      </c>
      <c r="AL307">
        <f>IF([2]Entry!$D$310="","",[2]Entry!$D$310)</f>
        <v/>
      </c>
      <c r="AM307">
        <f>IF(AND($F307&lt;&gt;"",$I307&lt;&gt;""),IF($G307="دارایی ثابت",1,0),0)</f>
        <v/>
      </c>
      <c r="AN307">
        <f>SUM($AM$6:$AM307)</f>
        <v/>
      </c>
      <c r="AO307">
        <f>IFERROR(INDEX($F$6:$F$565,MATCH(ROW()-5,$AN$6:$AN$565,0)),"")</f>
        <v/>
      </c>
      <c r="AP307">
        <f>IF(AND($F307&lt;&gt;"",$I307&lt;&gt;""),IF($G307="وام و تسهیلات",1,0),0)</f>
        <v/>
      </c>
      <c r="AQ307">
        <f>SUM($AP$6:$AP307)</f>
        <v/>
      </c>
      <c r="AR307">
        <f>IFERROR(INDEX($F$6:$F$565,MATCH(ROW()-5,$AQ$6:$AQ$565,0)),"")</f>
        <v/>
      </c>
      <c r="AS307">
        <f>IF(AND($F307&lt;&gt;"",$I307&lt;&gt;""),IF($G307="سرمایه و آورده صاحبان",1,0),0)</f>
        <v/>
      </c>
      <c r="AT307">
        <f>SUM($AS$6:$AS307)</f>
        <v/>
      </c>
      <c r="AU307">
        <f>IFERROR(INDEX($F$6:$F$565,MATCH(ROW()-5,$AT$6:$AT$565,0)),"")</f>
        <v/>
      </c>
      <c r="AW307">
        <f>IF([3]Issues!$C$310="","",[3]Issues!$C$310)</f>
        <v/>
      </c>
      <c r="AX307">
        <f>IF([4]Entry!$E$310="","",[4]Entry!$E$310)</f>
        <v/>
      </c>
      <c r="AY307">
        <f>IF([4]Entry!$H$310="","",[4]Entry!$H$310)</f>
        <v/>
      </c>
      <c r="AZ307">
        <f>IF([4]Entry!$I$310="","",[4]Entry!$I$310)</f>
        <v/>
      </c>
    </row>
    <row r="308">
      <c r="F308">
        <f>IF([1]Accounts!$D$309="","",[1]Accounts!$A$309)</f>
        <v/>
      </c>
      <c r="G308">
        <f>IF([1]Accounts!$D$309="","",[1]Accounts!$B$309)</f>
        <v/>
      </c>
      <c r="H308">
        <f>IF([1]Accounts!$D$309="","",[1]Accounts!$C$309)</f>
        <v/>
      </c>
      <c r="I308">
        <f>IF([1]Accounts!$D$309="","",[1]Accounts!$D$309)</f>
        <v/>
      </c>
      <c r="R308">
        <f>IF(AND($F308&lt;&gt;"",$I308&lt;&gt;""),IF(OR($G308="دارایی ثابت",$G308="وام و تسهیلات",$G308="سرمایه و آورده صاحبان"),0,1),0)</f>
        <v/>
      </c>
      <c r="S308">
        <f>SUM($R$6:$R308)</f>
        <v/>
      </c>
      <c r="T308">
        <f>IFERROR(INDEX($F$6:$F$565,MATCH(ROW()-5,$S$6:$S$565,0)),"")</f>
        <v/>
      </c>
      <c r="Z308">
        <f>IF([2]Entry!$E$311="","",[2]Entry!$E$311)</f>
        <v/>
      </c>
      <c r="AA308">
        <f>IF([2]Entry!$G$311="","",[2]Entry!$G$311)</f>
        <v/>
      </c>
      <c r="AB308">
        <f>IF([2]Entry!$J$311="","",[2]Entry!$J$311)</f>
        <v/>
      </c>
      <c r="AC308">
        <f>IF([2]Entry!$K$311="","",[2]Entry!$K$311)</f>
        <v/>
      </c>
      <c r="AD308">
        <f>IF([2]Entry!$L$311="","",[2]Entry!$L$311)</f>
        <v/>
      </c>
      <c r="AE308">
        <f>IF([2]Entry!$M$311="","",[2]Entry!$M$311)</f>
        <v/>
      </c>
      <c r="AF308">
        <f>IF([2]Entry!$N$311="","",[2]Entry!$N$311)</f>
        <v/>
      </c>
      <c r="AG308">
        <f>IF([3]Issues!$B$311="","",[3]Issues!$B$311)</f>
        <v/>
      </c>
      <c r="AH308">
        <f>IF([3]Issues!$D$311="","",[3]Issues!$D$311)</f>
        <v/>
      </c>
      <c r="AI308">
        <f>IF([3]Issues!$E$311="","",[3]Issues!$E$311)</f>
        <v/>
      </c>
      <c r="AJ308">
        <f>IF([2]Entry!$S$311="","",[2]Entry!$S$311)</f>
        <v/>
      </c>
      <c r="AK308">
        <f>IF([2]Entry!$C$311="","",[2]Entry!$C$311)</f>
        <v/>
      </c>
      <c r="AL308">
        <f>IF([2]Entry!$D$311="","",[2]Entry!$D$311)</f>
        <v/>
      </c>
      <c r="AM308">
        <f>IF(AND($F308&lt;&gt;"",$I308&lt;&gt;""),IF($G308="دارایی ثابت",1,0),0)</f>
        <v/>
      </c>
      <c r="AN308">
        <f>SUM($AM$6:$AM308)</f>
        <v/>
      </c>
      <c r="AO308">
        <f>IFERROR(INDEX($F$6:$F$565,MATCH(ROW()-5,$AN$6:$AN$565,0)),"")</f>
        <v/>
      </c>
      <c r="AP308">
        <f>IF(AND($F308&lt;&gt;"",$I308&lt;&gt;""),IF($G308="وام و تسهیلات",1,0),0)</f>
        <v/>
      </c>
      <c r="AQ308">
        <f>SUM($AP$6:$AP308)</f>
        <v/>
      </c>
      <c r="AR308">
        <f>IFERROR(INDEX($F$6:$F$565,MATCH(ROW()-5,$AQ$6:$AQ$565,0)),"")</f>
        <v/>
      </c>
      <c r="AS308">
        <f>IF(AND($F308&lt;&gt;"",$I308&lt;&gt;""),IF($G308="سرمایه و آورده صاحبان",1,0),0)</f>
        <v/>
      </c>
      <c r="AT308">
        <f>SUM($AS$6:$AS308)</f>
        <v/>
      </c>
      <c r="AU308">
        <f>IFERROR(INDEX($F$6:$F$565,MATCH(ROW()-5,$AT$6:$AT$565,0)),"")</f>
        <v/>
      </c>
      <c r="AW308">
        <f>IF([3]Issues!$C$311="","",[3]Issues!$C$311)</f>
        <v/>
      </c>
      <c r="AX308">
        <f>IF([4]Entry!$E$311="","",[4]Entry!$E$311)</f>
        <v/>
      </c>
      <c r="AY308">
        <f>IF([4]Entry!$H$311="","",[4]Entry!$H$311)</f>
        <v/>
      </c>
      <c r="AZ308">
        <f>IF([4]Entry!$I$311="","",[4]Entry!$I$311)</f>
        <v/>
      </c>
    </row>
    <row r="309">
      <c r="F309">
        <f>IF([1]Accounts!$D$310="","",[1]Accounts!$A$310)</f>
        <v/>
      </c>
      <c r="G309">
        <f>IF([1]Accounts!$D$310="","",[1]Accounts!$B$310)</f>
        <v/>
      </c>
      <c r="H309">
        <f>IF([1]Accounts!$D$310="","",[1]Accounts!$C$310)</f>
        <v/>
      </c>
      <c r="I309">
        <f>IF([1]Accounts!$D$310="","",[1]Accounts!$D$310)</f>
        <v/>
      </c>
      <c r="R309">
        <f>IF(AND($F309&lt;&gt;"",$I309&lt;&gt;""),IF(OR($G309="دارایی ثابت",$G309="وام و تسهیلات",$G309="سرمایه و آورده صاحبان"),0,1),0)</f>
        <v/>
      </c>
      <c r="S309">
        <f>SUM($R$6:$R309)</f>
        <v/>
      </c>
      <c r="T309">
        <f>IFERROR(INDEX($F$6:$F$565,MATCH(ROW()-5,$S$6:$S$565,0)),"")</f>
        <v/>
      </c>
      <c r="Z309">
        <f>IF([2]Entry!$E$312="","",[2]Entry!$E$312)</f>
        <v/>
      </c>
      <c r="AA309">
        <f>IF([2]Entry!$G$312="","",[2]Entry!$G$312)</f>
        <v/>
      </c>
      <c r="AB309">
        <f>IF([2]Entry!$J$312="","",[2]Entry!$J$312)</f>
        <v/>
      </c>
      <c r="AC309">
        <f>IF([2]Entry!$K$312="","",[2]Entry!$K$312)</f>
        <v/>
      </c>
      <c r="AD309">
        <f>IF([2]Entry!$L$312="","",[2]Entry!$L$312)</f>
        <v/>
      </c>
      <c r="AE309">
        <f>IF([2]Entry!$M$312="","",[2]Entry!$M$312)</f>
        <v/>
      </c>
      <c r="AF309">
        <f>IF([2]Entry!$N$312="","",[2]Entry!$N$312)</f>
        <v/>
      </c>
      <c r="AG309">
        <f>IF([3]Issues!$B$312="","",[3]Issues!$B$312)</f>
        <v/>
      </c>
      <c r="AH309">
        <f>IF([3]Issues!$D$312="","",[3]Issues!$D$312)</f>
        <v/>
      </c>
      <c r="AI309">
        <f>IF([3]Issues!$E$312="","",[3]Issues!$E$312)</f>
        <v/>
      </c>
      <c r="AJ309">
        <f>IF([2]Entry!$S$312="","",[2]Entry!$S$312)</f>
        <v/>
      </c>
      <c r="AK309">
        <f>IF([2]Entry!$C$312="","",[2]Entry!$C$312)</f>
        <v/>
      </c>
      <c r="AL309">
        <f>IF([2]Entry!$D$312="","",[2]Entry!$D$312)</f>
        <v/>
      </c>
      <c r="AM309">
        <f>IF(AND($F309&lt;&gt;"",$I309&lt;&gt;""),IF($G309="دارایی ثابت",1,0),0)</f>
        <v/>
      </c>
      <c r="AN309">
        <f>SUM($AM$6:$AM309)</f>
        <v/>
      </c>
      <c r="AO309">
        <f>IFERROR(INDEX($F$6:$F$565,MATCH(ROW()-5,$AN$6:$AN$565,0)),"")</f>
        <v/>
      </c>
      <c r="AP309">
        <f>IF(AND($F309&lt;&gt;"",$I309&lt;&gt;""),IF($G309="وام و تسهیلات",1,0),0)</f>
        <v/>
      </c>
      <c r="AQ309">
        <f>SUM($AP$6:$AP309)</f>
        <v/>
      </c>
      <c r="AR309">
        <f>IFERROR(INDEX($F$6:$F$565,MATCH(ROW()-5,$AQ$6:$AQ$565,0)),"")</f>
        <v/>
      </c>
      <c r="AS309">
        <f>IF(AND($F309&lt;&gt;"",$I309&lt;&gt;""),IF($G309="سرمایه و آورده صاحبان",1,0),0)</f>
        <v/>
      </c>
      <c r="AT309">
        <f>SUM($AS$6:$AS309)</f>
        <v/>
      </c>
      <c r="AU309">
        <f>IFERROR(INDEX($F$6:$F$565,MATCH(ROW()-5,$AT$6:$AT$565,0)),"")</f>
        <v/>
      </c>
      <c r="AW309">
        <f>IF([3]Issues!$C$312="","",[3]Issues!$C$312)</f>
        <v/>
      </c>
      <c r="AX309">
        <f>IF([4]Entry!$E$312="","",[4]Entry!$E$312)</f>
        <v/>
      </c>
      <c r="AY309">
        <f>IF([4]Entry!$H$312="","",[4]Entry!$H$312)</f>
        <v/>
      </c>
      <c r="AZ309">
        <f>IF([4]Entry!$I$312="","",[4]Entry!$I$312)</f>
        <v/>
      </c>
    </row>
    <row r="310">
      <c r="F310">
        <f>IF([1]Accounts!$D$311="","",[1]Accounts!$A$311)</f>
        <v/>
      </c>
      <c r="G310">
        <f>IF([1]Accounts!$D$311="","",[1]Accounts!$B$311)</f>
        <v/>
      </c>
      <c r="H310">
        <f>IF([1]Accounts!$D$311="","",[1]Accounts!$C$311)</f>
        <v/>
      </c>
      <c r="I310">
        <f>IF([1]Accounts!$D$311="","",[1]Accounts!$D$311)</f>
        <v/>
      </c>
      <c r="R310">
        <f>IF(AND($F310&lt;&gt;"",$I310&lt;&gt;""),IF(OR($G310="دارایی ثابت",$G310="وام و تسهیلات",$G310="سرمایه و آورده صاحبان"),0,1),0)</f>
        <v/>
      </c>
      <c r="S310">
        <f>SUM($R$6:$R310)</f>
        <v/>
      </c>
      <c r="T310">
        <f>IFERROR(INDEX($F$6:$F$565,MATCH(ROW()-5,$S$6:$S$565,0)),"")</f>
        <v/>
      </c>
      <c r="Z310">
        <f>IF([2]Entry!$E$313="","",[2]Entry!$E$313)</f>
        <v/>
      </c>
      <c r="AA310">
        <f>IF([2]Entry!$G$313="","",[2]Entry!$G$313)</f>
        <v/>
      </c>
      <c r="AB310">
        <f>IF([2]Entry!$J$313="","",[2]Entry!$J$313)</f>
        <v/>
      </c>
      <c r="AC310">
        <f>IF([2]Entry!$K$313="","",[2]Entry!$K$313)</f>
        <v/>
      </c>
      <c r="AD310">
        <f>IF([2]Entry!$L$313="","",[2]Entry!$L$313)</f>
        <v/>
      </c>
      <c r="AE310">
        <f>IF([2]Entry!$M$313="","",[2]Entry!$M$313)</f>
        <v/>
      </c>
      <c r="AF310">
        <f>IF([2]Entry!$N$313="","",[2]Entry!$N$313)</f>
        <v/>
      </c>
      <c r="AG310">
        <f>IF([3]Issues!$B$313="","",[3]Issues!$B$313)</f>
        <v/>
      </c>
      <c r="AH310">
        <f>IF([3]Issues!$D$313="","",[3]Issues!$D$313)</f>
        <v/>
      </c>
      <c r="AI310">
        <f>IF([3]Issues!$E$313="","",[3]Issues!$E$313)</f>
        <v/>
      </c>
      <c r="AJ310">
        <f>IF([2]Entry!$S$313="","",[2]Entry!$S$313)</f>
        <v/>
      </c>
      <c r="AK310">
        <f>IF([2]Entry!$C$313="","",[2]Entry!$C$313)</f>
        <v/>
      </c>
      <c r="AL310">
        <f>IF([2]Entry!$D$313="","",[2]Entry!$D$313)</f>
        <v/>
      </c>
      <c r="AM310">
        <f>IF(AND($F310&lt;&gt;"",$I310&lt;&gt;""),IF($G310="دارایی ثابت",1,0),0)</f>
        <v/>
      </c>
      <c r="AN310">
        <f>SUM($AM$6:$AM310)</f>
        <v/>
      </c>
      <c r="AO310">
        <f>IFERROR(INDEX($F$6:$F$565,MATCH(ROW()-5,$AN$6:$AN$565,0)),"")</f>
        <v/>
      </c>
      <c r="AP310">
        <f>IF(AND($F310&lt;&gt;"",$I310&lt;&gt;""),IF($G310="وام و تسهیلات",1,0),0)</f>
        <v/>
      </c>
      <c r="AQ310">
        <f>SUM($AP$6:$AP310)</f>
        <v/>
      </c>
      <c r="AR310">
        <f>IFERROR(INDEX($F$6:$F$565,MATCH(ROW()-5,$AQ$6:$AQ$565,0)),"")</f>
        <v/>
      </c>
      <c r="AS310">
        <f>IF(AND($F310&lt;&gt;"",$I310&lt;&gt;""),IF($G310="سرمایه و آورده صاحبان",1,0),0)</f>
        <v/>
      </c>
      <c r="AT310">
        <f>SUM($AS$6:$AS310)</f>
        <v/>
      </c>
      <c r="AU310">
        <f>IFERROR(INDEX($F$6:$F$565,MATCH(ROW()-5,$AT$6:$AT$565,0)),"")</f>
        <v/>
      </c>
      <c r="AW310">
        <f>IF([3]Issues!$C$313="","",[3]Issues!$C$313)</f>
        <v/>
      </c>
      <c r="AX310">
        <f>IF([4]Entry!$E$313="","",[4]Entry!$E$313)</f>
        <v/>
      </c>
      <c r="AY310">
        <f>IF([4]Entry!$H$313="","",[4]Entry!$H$313)</f>
        <v/>
      </c>
      <c r="AZ310">
        <f>IF([4]Entry!$I$313="","",[4]Entry!$I$313)</f>
        <v/>
      </c>
    </row>
    <row r="311">
      <c r="F311">
        <f>IF([1]Accounts!$D$312="","",[1]Accounts!$A$312)</f>
        <v/>
      </c>
      <c r="G311">
        <f>IF([1]Accounts!$D$312="","",[1]Accounts!$B$312)</f>
        <v/>
      </c>
      <c r="H311">
        <f>IF([1]Accounts!$D$312="","",[1]Accounts!$C$312)</f>
        <v/>
      </c>
      <c r="I311">
        <f>IF([1]Accounts!$D$312="","",[1]Accounts!$D$312)</f>
        <v/>
      </c>
      <c r="R311">
        <f>IF(AND($F311&lt;&gt;"",$I311&lt;&gt;""),IF(OR($G311="دارایی ثابت",$G311="وام و تسهیلات",$G311="سرمایه و آورده صاحبان"),0,1),0)</f>
        <v/>
      </c>
      <c r="S311">
        <f>SUM($R$6:$R311)</f>
        <v/>
      </c>
      <c r="T311">
        <f>IFERROR(INDEX($F$6:$F$565,MATCH(ROW()-5,$S$6:$S$565,0)),"")</f>
        <v/>
      </c>
      <c r="Z311">
        <f>IF([2]Entry!$E$314="","",[2]Entry!$E$314)</f>
        <v/>
      </c>
      <c r="AA311">
        <f>IF([2]Entry!$G$314="","",[2]Entry!$G$314)</f>
        <v/>
      </c>
      <c r="AB311">
        <f>IF([2]Entry!$J$314="","",[2]Entry!$J$314)</f>
        <v/>
      </c>
      <c r="AC311">
        <f>IF([2]Entry!$K$314="","",[2]Entry!$K$314)</f>
        <v/>
      </c>
      <c r="AD311">
        <f>IF([2]Entry!$L$314="","",[2]Entry!$L$314)</f>
        <v/>
      </c>
      <c r="AE311">
        <f>IF([2]Entry!$M$314="","",[2]Entry!$M$314)</f>
        <v/>
      </c>
      <c r="AF311">
        <f>IF([2]Entry!$N$314="","",[2]Entry!$N$314)</f>
        <v/>
      </c>
      <c r="AG311">
        <f>IF([3]Issues!$B$314="","",[3]Issues!$B$314)</f>
        <v/>
      </c>
      <c r="AH311">
        <f>IF([3]Issues!$D$314="","",[3]Issues!$D$314)</f>
        <v/>
      </c>
      <c r="AI311">
        <f>IF([3]Issues!$E$314="","",[3]Issues!$E$314)</f>
        <v/>
      </c>
      <c r="AJ311">
        <f>IF([2]Entry!$S$314="","",[2]Entry!$S$314)</f>
        <v/>
      </c>
      <c r="AK311">
        <f>IF([2]Entry!$C$314="","",[2]Entry!$C$314)</f>
        <v/>
      </c>
      <c r="AL311">
        <f>IF([2]Entry!$D$314="","",[2]Entry!$D$314)</f>
        <v/>
      </c>
      <c r="AM311">
        <f>IF(AND($F311&lt;&gt;"",$I311&lt;&gt;""),IF($G311="دارایی ثابت",1,0),0)</f>
        <v/>
      </c>
      <c r="AN311">
        <f>SUM($AM$6:$AM311)</f>
        <v/>
      </c>
      <c r="AO311">
        <f>IFERROR(INDEX($F$6:$F$565,MATCH(ROW()-5,$AN$6:$AN$565,0)),"")</f>
        <v/>
      </c>
      <c r="AP311">
        <f>IF(AND($F311&lt;&gt;"",$I311&lt;&gt;""),IF($G311="وام و تسهیلات",1,0),0)</f>
        <v/>
      </c>
      <c r="AQ311">
        <f>SUM($AP$6:$AP311)</f>
        <v/>
      </c>
      <c r="AR311">
        <f>IFERROR(INDEX($F$6:$F$565,MATCH(ROW()-5,$AQ$6:$AQ$565,0)),"")</f>
        <v/>
      </c>
      <c r="AS311">
        <f>IF(AND($F311&lt;&gt;"",$I311&lt;&gt;""),IF($G311="سرمایه و آورده صاحبان",1,0),0)</f>
        <v/>
      </c>
      <c r="AT311">
        <f>SUM($AS$6:$AS311)</f>
        <v/>
      </c>
      <c r="AU311">
        <f>IFERROR(INDEX($F$6:$F$565,MATCH(ROW()-5,$AT$6:$AT$565,0)),"")</f>
        <v/>
      </c>
      <c r="AW311">
        <f>IF([3]Issues!$C$314="","",[3]Issues!$C$314)</f>
        <v/>
      </c>
      <c r="AX311">
        <f>IF([4]Entry!$E$314="","",[4]Entry!$E$314)</f>
        <v/>
      </c>
      <c r="AY311">
        <f>IF([4]Entry!$H$314="","",[4]Entry!$H$314)</f>
        <v/>
      </c>
      <c r="AZ311">
        <f>IF([4]Entry!$I$314="","",[4]Entry!$I$314)</f>
        <v/>
      </c>
    </row>
    <row r="312">
      <c r="F312">
        <f>IF([1]Accounts!$D$313="","",[1]Accounts!$A$313)</f>
        <v/>
      </c>
      <c r="G312">
        <f>IF([1]Accounts!$D$313="","",[1]Accounts!$B$313)</f>
        <v/>
      </c>
      <c r="H312">
        <f>IF([1]Accounts!$D$313="","",[1]Accounts!$C$313)</f>
        <v/>
      </c>
      <c r="I312">
        <f>IF([1]Accounts!$D$313="","",[1]Accounts!$D$313)</f>
        <v/>
      </c>
      <c r="R312">
        <f>IF(AND($F312&lt;&gt;"",$I312&lt;&gt;""),IF(OR($G312="دارایی ثابت",$G312="وام و تسهیلات",$G312="سرمایه و آورده صاحبان"),0,1),0)</f>
        <v/>
      </c>
      <c r="S312">
        <f>SUM($R$6:$R312)</f>
        <v/>
      </c>
      <c r="T312">
        <f>IFERROR(INDEX($F$6:$F$565,MATCH(ROW()-5,$S$6:$S$565,0)),"")</f>
        <v/>
      </c>
      <c r="Z312">
        <f>IF([2]Entry!$E$315="","",[2]Entry!$E$315)</f>
        <v/>
      </c>
      <c r="AA312">
        <f>IF([2]Entry!$G$315="","",[2]Entry!$G$315)</f>
        <v/>
      </c>
      <c r="AB312">
        <f>IF([2]Entry!$J$315="","",[2]Entry!$J$315)</f>
        <v/>
      </c>
      <c r="AC312">
        <f>IF([2]Entry!$K$315="","",[2]Entry!$K$315)</f>
        <v/>
      </c>
      <c r="AD312">
        <f>IF([2]Entry!$L$315="","",[2]Entry!$L$315)</f>
        <v/>
      </c>
      <c r="AE312">
        <f>IF([2]Entry!$M$315="","",[2]Entry!$M$315)</f>
        <v/>
      </c>
      <c r="AF312">
        <f>IF([2]Entry!$N$315="","",[2]Entry!$N$315)</f>
        <v/>
      </c>
      <c r="AG312">
        <f>IF([3]Issues!$B$315="","",[3]Issues!$B$315)</f>
        <v/>
      </c>
      <c r="AH312">
        <f>IF([3]Issues!$D$315="","",[3]Issues!$D$315)</f>
        <v/>
      </c>
      <c r="AI312">
        <f>IF([3]Issues!$E$315="","",[3]Issues!$E$315)</f>
        <v/>
      </c>
      <c r="AJ312">
        <f>IF([2]Entry!$S$315="","",[2]Entry!$S$315)</f>
        <v/>
      </c>
      <c r="AK312">
        <f>IF([2]Entry!$C$315="","",[2]Entry!$C$315)</f>
        <v/>
      </c>
      <c r="AL312">
        <f>IF([2]Entry!$D$315="","",[2]Entry!$D$315)</f>
        <v/>
      </c>
      <c r="AM312">
        <f>IF(AND($F312&lt;&gt;"",$I312&lt;&gt;""),IF($G312="دارایی ثابت",1,0),0)</f>
        <v/>
      </c>
      <c r="AN312">
        <f>SUM($AM$6:$AM312)</f>
        <v/>
      </c>
      <c r="AO312">
        <f>IFERROR(INDEX($F$6:$F$565,MATCH(ROW()-5,$AN$6:$AN$565,0)),"")</f>
        <v/>
      </c>
      <c r="AP312">
        <f>IF(AND($F312&lt;&gt;"",$I312&lt;&gt;""),IF($G312="وام و تسهیلات",1,0),0)</f>
        <v/>
      </c>
      <c r="AQ312">
        <f>SUM($AP$6:$AP312)</f>
        <v/>
      </c>
      <c r="AR312">
        <f>IFERROR(INDEX($F$6:$F$565,MATCH(ROW()-5,$AQ$6:$AQ$565,0)),"")</f>
        <v/>
      </c>
      <c r="AS312">
        <f>IF(AND($F312&lt;&gt;"",$I312&lt;&gt;""),IF($G312="سرمایه و آورده صاحبان",1,0),0)</f>
        <v/>
      </c>
      <c r="AT312">
        <f>SUM($AS$6:$AS312)</f>
        <v/>
      </c>
      <c r="AU312">
        <f>IFERROR(INDEX($F$6:$F$565,MATCH(ROW()-5,$AT$6:$AT$565,0)),"")</f>
        <v/>
      </c>
      <c r="AW312">
        <f>IF([3]Issues!$C$315="","",[3]Issues!$C$315)</f>
        <v/>
      </c>
      <c r="AX312">
        <f>IF([4]Entry!$E$315="","",[4]Entry!$E$315)</f>
        <v/>
      </c>
      <c r="AY312">
        <f>IF([4]Entry!$H$315="","",[4]Entry!$H$315)</f>
        <v/>
      </c>
      <c r="AZ312">
        <f>IF([4]Entry!$I$315="","",[4]Entry!$I$315)</f>
        <v/>
      </c>
    </row>
    <row r="313">
      <c r="F313">
        <f>IF([1]Accounts!$D$314="","",[1]Accounts!$A$314)</f>
        <v/>
      </c>
      <c r="G313">
        <f>IF([1]Accounts!$D$314="","",[1]Accounts!$B$314)</f>
        <v/>
      </c>
      <c r="H313">
        <f>IF([1]Accounts!$D$314="","",[1]Accounts!$C$314)</f>
        <v/>
      </c>
      <c r="I313">
        <f>IF([1]Accounts!$D$314="","",[1]Accounts!$D$314)</f>
        <v/>
      </c>
      <c r="R313">
        <f>IF(AND($F313&lt;&gt;"",$I313&lt;&gt;""),IF(OR($G313="دارایی ثابت",$G313="وام و تسهیلات",$G313="سرمایه و آورده صاحبان"),0,1),0)</f>
        <v/>
      </c>
      <c r="S313">
        <f>SUM($R$6:$R313)</f>
        <v/>
      </c>
      <c r="T313">
        <f>IFERROR(INDEX($F$6:$F$565,MATCH(ROW()-5,$S$6:$S$565,0)),"")</f>
        <v/>
      </c>
      <c r="Z313">
        <f>IF([2]Entry!$E$316="","",[2]Entry!$E$316)</f>
        <v/>
      </c>
      <c r="AA313">
        <f>IF([2]Entry!$G$316="","",[2]Entry!$G$316)</f>
        <v/>
      </c>
      <c r="AB313">
        <f>IF([2]Entry!$J$316="","",[2]Entry!$J$316)</f>
        <v/>
      </c>
      <c r="AC313">
        <f>IF([2]Entry!$K$316="","",[2]Entry!$K$316)</f>
        <v/>
      </c>
      <c r="AD313">
        <f>IF([2]Entry!$L$316="","",[2]Entry!$L$316)</f>
        <v/>
      </c>
      <c r="AE313">
        <f>IF([2]Entry!$M$316="","",[2]Entry!$M$316)</f>
        <v/>
      </c>
      <c r="AF313">
        <f>IF([2]Entry!$N$316="","",[2]Entry!$N$316)</f>
        <v/>
      </c>
      <c r="AG313">
        <f>IF([3]Issues!$B$316="","",[3]Issues!$B$316)</f>
        <v/>
      </c>
      <c r="AH313">
        <f>IF([3]Issues!$D$316="","",[3]Issues!$D$316)</f>
        <v/>
      </c>
      <c r="AI313">
        <f>IF([3]Issues!$E$316="","",[3]Issues!$E$316)</f>
        <v/>
      </c>
      <c r="AJ313">
        <f>IF([2]Entry!$S$316="","",[2]Entry!$S$316)</f>
        <v/>
      </c>
      <c r="AK313">
        <f>IF([2]Entry!$C$316="","",[2]Entry!$C$316)</f>
        <v/>
      </c>
      <c r="AL313">
        <f>IF([2]Entry!$D$316="","",[2]Entry!$D$316)</f>
        <v/>
      </c>
      <c r="AM313">
        <f>IF(AND($F313&lt;&gt;"",$I313&lt;&gt;""),IF($G313="دارایی ثابت",1,0),0)</f>
        <v/>
      </c>
      <c r="AN313">
        <f>SUM($AM$6:$AM313)</f>
        <v/>
      </c>
      <c r="AO313">
        <f>IFERROR(INDEX($F$6:$F$565,MATCH(ROW()-5,$AN$6:$AN$565,0)),"")</f>
        <v/>
      </c>
      <c r="AP313">
        <f>IF(AND($F313&lt;&gt;"",$I313&lt;&gt;""),IF($G313="وام و تسهیلات",1,0),0)</f>
        <v/>
      </c>
      <c r="AQ313">
        <f>SUM($AP$6:$AP313)</f>
        <v/>
      </c>
      <c r="AR313">
        <f>IFERROR(INDEX($F$6:$F$565,MATCH(ROW()-5,$AQ$6:$AQ$565,0)),"")</f>
        <v/>
      </c>
      <c r="AS313">
        <f>IF(AND($F313&lt;&gt;"",$I313&lt;&gt;""),IF($G313="سرمایه و آورده صاحبان",1,0),0)</f>
        <v/>
      </c>
      <c r="AT313">
        <f>SUM($AS$6:$AS313)</f>
        <v/>
      </c>
      <c r="AU313">
        <f>IFERROR(INDEX($F$6:$F$565,MATCH(ROW()-5,$AT$6:$AT$565,0)),"")</f>
        <v/>
      </c>
      <c r="AW313">
        <f>IF([3]Issues!$C$316="","",[3]Issues!$C$316)</f>
        <v/>
      </c>
      <c r="AX313">
        <f>IF([4]Entry!$E$316="","",[4]Entry!$E$316)</f>
        <v/>
      </c>
      <c r="AY313">
        <f>IF([4]Entry!$H$316="","",[4]Entry!$H$316)</f>
        <v/>
      </c>
      <c r="AZ313">
        <f>IF([4]Entry!$I$316="","",[4]Entry!$I$316)</f>
        <v/>
      </c>
    </row>
    <row r="314">
      <c r="F314">
        <f>IF([1]Accounts!$D$315="","",[1]Accounts!$A$315)</f>
        <v/>
      </c>
      <c r="G314">
        <f>IF([1]Accounts!$D$315="","",[1]Accounts!$B$315)</f>
        <v/>
      </c>
      <c r="H314">
        <f>IF([1]Accounts!$D$315="","",[1]Accounts!$C$315)</f>
        <v/>
      </c>
      <c r="I314">
        <f>IF([1]Accounts!$D$315="","",[1]Accounts!$D$315)</f>
        <v/>
      </c>
      <c r="R314">
        <f>IF(AND($F314&lt;&gt;"",$I314&lt;&gt;""),IF(OR($G314="دارایی ثابت",$G314="وام و تسهیلات",$G314="سرمایه و آورده صاحبان"),0,1),0)</f>
        <v/>
      </c>
      <c r="S314">
        <f>SUM($R$6:$R314)</f>
        <v/>
      </c>
      <c r="T314">
        <f>IFERROR(INDEX($F$6:$F$565,MATCH(ROW()-5,$S$6:$S$565,0)),"")</f>
        <v/>
      </c>
      <c r="Z314">
        <f>IF([2]Entry!$E$317="","",[2]Entry!$E$317)</f>
        <v/>
      </c>
      <c r="AA314">
        <f>IF([2]Entry!$G$317="","",[2]Entry!$G$317)</f>
        <v/>
      </c>
      <c r="AB314">
        <f>IF([2]Entry!$J$317="","",[2]Entry!$J$317)</f>
        <v/>
      </c>
      <c r="AC314">
        <f>IF([2]Entry!$K$317="","",[2]Entry!$K$317)</f>
        <v/>
      </c>
      <c r="AD314">
        <f>IF([2]Entry!$L$317="","",[2]Entry!$L$317)</f>
        <v/>
      </c>
      <c r="AE314">
        <f>IF([2]Entry!$M$317="","",[2]Entry!$M$317)</f>
        <v/>
      </c>
      <c r="AF314">
        <f>IF([2]Entry!$N$317="","",[2]Entry!$N$317)</f>
        <v/>
      </c>
      <c r="AG314">
        <f>IF([3]Issues!$B$317="","",[3]Issues!$B$317)</f>
        <v/>
      </c>
      <c r="AH314">
        <f>IF([3]Issues!$D$317="","",[3]Issues!$D$317)</f>
        <v/>
      </c>
      <c r="AI314">
        <f>IF([3]Issues!$E$317="","",[3]Issues!$E$317)</f>
        <v/>
      </c>
      <c r="AJ314">
        <f>IF([2]Entry!$S$317="","",[2]Entry!$S$317)</f>
        <v/>
      </c>
      <c r="AK314">
        <f>IF([2]Entry!$C$317="","",[2]Entry!$C$317)</f>
        <v/>
      </c>
      <c r="AL314">
        <f>IF([2]Entry!$D$317="","",[2]Entry!$D$317)</f>
        <v/>
      </c>
      <c r="AM314">
        <f>IF(AND($F314&lt;&gt;"",$I314&lt;&gt;""),IF($G314="دارایی ثابت",1,0),0)</f>
        <v/>
      </c>
      <c r="AN314">
        <f>SUM($AM$6:$AM314)</f>
        <v/>
      </c>
      <c r="AO314">
        <f>IFERROR(INDEX($F$6:$F$565,MATCH(ROW()-5,$AN$6:$AN$565,0)),"")</f>
        <v/>
      </c>
      <c r="AP314">
        <f>IF(AND($F314&lt;&gt;"",$I314&lt;&gt;""),IF($G314="وام و تسهیلات",1,0),0)</f>
        <v/>
      </c>
      <c r="AQ314">
        <f>SUM($AP$6:$AP314)</f>
        <v/>
      </c>
      <c r="AR314">
        <f>IFERROR(INDEX($F$6:$F$565,MATCH(ROW()-5,$AQ$6:$AQ$565,0)),"")</f>
        <v/>
      </c>
      <c r="AS314">
        <f>IF(AND($F314&lt;&gt;"",$I314&lt;&gt;""),IF($G314="سرمایه و آورده صاحبان",1,0),0)</f>
        <v/>
      </c>
      <c r="AT314">
        <f>SUM($AS$6:$AS314)</f>
        <v/>
      </c>
      <c r="AU314">
        <f>IFERROR(INDEX($F$6:$F$565,MATCH(ROW()-5,$AT$6:$AT$565,0)),"")</f>
        <v/>
      </c>
      <c r="AW314">
        <f>IF([3]Issues!$C$317="","",[3]Issues!$C$317)</f>
        <v/>
      </c>
      <c r="AX314">
        <f>IF([4]Entry!$E$317="","",[4]Entry!$E$317)</f>
        <v/>
      </c>
      <c r="AY314">
        <f>IF([4]Entry!$H$317="","",[4]Entry!$H$317)</f>
        <v/>
      </c>
      <c r="AZ314">
        <f>IF([4]Entry!$I$317="","",[4]Entry!$I$317)</f>
        <v/>
      </c>
    </row>
    <row r="315">
      <c r="F315">
        <f>IF([1]Accounts!$D$316="","",[1]Accounts!$A$316)</f>
        <v/>
      </c>
      <c r="G315">
        <f>IF([1]Accounts!$D$316="","",[1]Accounts!$B$316)</f>
        <v/>
      </c>
      <c r="H315">
        <f>IF([1]Accounts!$D$316="","",[1]Accounts!$C$316)</f>
        <v/>
      </c>
      <c r="I315">
        <f>IF([1]Accounts!$D$316="","",[1]Accounts!$D$316)</f>
        <v/>
      </c>
      <c r="R315">
        <f>IF(AND($F315&lt;&gt;"",$I315&lt;&gt;""),IF(OR($G315="دارایی ثابت",$G315="وام و تسهیلات",$G315="سرمایه و آورده صاحبان"),0,1),0)</f>
        <v/>
      </c>
      <c r="S315">
        <f>SUM($R$6:$R315)</f>
        <v/>
      </c>
      <c r="T315">
        <f>IFERROR(INDEX($F$6:$F$565,MATCH(ROW()-5,$S$6:$S$565,0)),"")</f>
        <v/>
      </c>
      <c r="Z315">
        <f>IF([2]Entry!$E$318="","",[2]Entry!$E$318)</f>
        <v/>
      </c>
      <c r="AA315">
        <f>IF([2]Entry!$G$318="","",[2]Entry!$G$318)</f>
        <v/>
      </c>
      <c r="AB315">
        <f>IF([2]Entry!$J$318="","",[2]Entry!$J$318)</f>
        <v/>
      </c>
      <c r="AC315">
        <f>IF([2]Entry!$K$318="","",[2]Entry!$K$318)</f>
        <v/>
      </c>
      <c r="AD315">
        <f>IF([2]Entry!$L$318="","",[2]Entry!$L$318)</f>
        <v/>
      </c>
      <c r="AE315">
        <f>IF([2]Entry!$M$318="","",[2]Entry!$M$318)</f>
        <v/>
      </c>
      <c r="AF315">
        <f>IF([2]Entry!$N$318="","",[2]Entry!$N$318)</f>
        <v/>
      </c>
      <c r="AG315">
        <f>IF([3]Issues!$B$318="","",[3]Issues!$B$318)</f>
        <v/>
      </c>
      <c r="AH315">
        <f>IF([3]Issues!$D$318="","",[3]Issues!$D$318)</f>
        <v/>
      </c>
      <c r="AI315">
        <f>IF([3]Issues!$E$318="","",[3]Issues!$E$318)</f>
        <v/>
      </c>
      <c r="AJ315">
        <f>IF([2]Entry!$S$318="","",[2]Entry!$S$318)</f>
        <v/>
      </c>
      <c r="AK315">
        <f>IF([2]Entry!$C$318="","",[2]Entry!$C$318)</f>
        <v/>
      </c>
      <c r="AL315">
        <f>IF([2]Entry!$D$318="","",[2]Entry!$D$318)</f>
        <v/>
      </c>
      <c r="AM315">
        <f>IF(AND($F315&lt;&gt;"",$I315&lt;&gt;""),IF($G315="دارایی ثابت",1,0),0)</f>
        <v/>
      </c>
      <c r="AN315">
        <f>SUM($AM$6:$AM315)</f>
        <v/>
      </c>
      <c r="AO315">
        <f>IFERROR(INDEX($F$6:$F$565,MATCH(ROW()-5,$AN$6:$AN$565,0)),"")</f>
        <v/>
      </c>
      <c r="AP315">
        <f>IF(AND($F315&lt;&gt;"",$I315&lt;&gt;""),IF($G315="وام و تسهیلات",1,0),0)</f>
        <v/>
      </c>
      <c r="AQ315">
        <f>SUM($AP$6:$AP315)</f>
        <v/>
      </c>
      <c r="AR315">
        <f>IFERROR(INDEX($F$6:$F$565,MATCH(ROW()-5,$AQ$6:$AQ$565,0)),"")</f>
        <v/>
      </c>
      <c r="AS315">
        <f>IF(AND($F315&lt;&gt;"",$I315&lt;&gt;""),IF($G315="سرمایه و آورده صاحبان",1,0),0)</f>
        <v/>
      </c>
      <c r="AT315">
        <f>SUM($AS$6:$AS315)</f>
        <v/>
      </c>
      <c r="AU315">
        <f>IFERROR(INDEX($F$6:$F$565,MATCH(ROW()-5,$AT$6:$AT$565,0)),"")</f>
        <v/>
      </c>
      <c r="AW315">
        <f>IF([3]Issues!$C$318="","",[3]Issues!$C$318)</f>
        <v/>
      </c>
      <c r="AX315">
        <f>IF([4]Entry!$E$318="","",[4]Entry!$E$318)</f>
        <v/>
      </c>
      <c r="AY315">
        <f>IF([4]Entry!$H$318="","",[4]Entry!$H$318)</f>
        <v/>
      </c>
      <c r="AZ315">
        <f>IF([4]Entry!$I$318="","",[4]Entry!$I$318)</f>
        <v/>
      </c>
    </row>
    <row r="316">
      <c r="F316">
        <f>IF([1]Accounts!$D$317="","",[1]Accounts!$A$317)</f>
        <v/>
      </c>
      <c r="G316">
        <f>IF([1]Accounts!$D$317="","",[1]Accounts!$B$317)</f>
        <v/>
      </c>
      <c r="H316">
        <f>IF([1]Accounts!$D$317="","",[1]Accounts!$C$317)</f>
        <v/>
      </c>
      <c r="I316">
        <f>IF([1]Accounts!$D$317="","",[1]Accounts!$D$317)</f>
        <v/>
      </c>
      <c r="R316">
        <f>IF(AND($F316&lt;&gt;"",$I316&lt;&gt;""),IF(OR($G316="دارایی ثابت",$G316="وام و تسهیلات",$G316="سرمایه و آورده صاحبان"),0,1),0)</f>
        <v/>
      </c>
      <c r="S316">
        <f>SUM($R$6:$R316)</f>
        <v/>
      </c>
      <c r="T316">
        <f>IFERROR(INDEX($F$6:$F$565,MATCH(ROW()-5,$S$6:$S$565,0)),"")</f>
        <v/>
      </c>
      <c r="Z316">
        <f>IF([2]Entry!$E$319="","",[2]Entry!$E$319)</f>
        <v/>
      </c>
      <c r="AA316">
        <f>IF([2]Entry!$G$319="","",[2]Entry!$G$319)</f>
        <v/>
      </c>
      <c r="AB316">
        <f>IF([2]Entry!$J$319="","",[2]Entry!$J$319)</f>
        <v/>
      </c>
      <c r="AC316">
        <f>IF([2]Entry!$K$319="","",[2]Entry!$K$319)</f>
        <v/>
      </c>
      <c r="AD316">
        <f>IF([2]Entry!$L$319="","",[2]Entry!$L$319)</f>
        <v/>
      </c>
      <c r="AE316">
        <f>IF([2]Entry!$M$319="","",[2]Entry!$M$319)</f>
        <v/>
      </c>
      <c r="AF316">
        <f>IF([2]Entry!$N$319="","",[2]Entry!$N$319)</f>
        <v/>
      </c>
      <c r="AG316">
        <f>IF([3]Issues!$B$319="","",[3]Issues!$B$319)</f>
        <v/>
      </c>
      <c r="AH316">
        <f>IF([3]Issues!$D$319="","",[3]Issues!$D$319)</f>
        <v/>
      </c>
      <c r="AI316">
        <f>IF([3]Issues!$E$319="","",[3]Issues!$E$319)</f>
        <v/>
      </c>
      <c r="AJ316">
        <f>IF([2]Entry!$S$319="","",[2]Entry!$S$319)</f>
        <v/>
      </c>
      <c r="AK316">
        <f>IF([2]Entry!$C$319="","",[2]Entry!$C$319)</f>
        <v/>
      </c>
      <c r="AL316">
        <f>IF([2]Entry!$D$319="","",[2]Entry!$D$319)</f>
        <v/>
      </c>
      <c r="AM316">
        <f>IF(AND($F316&lt;&gt;"",$I316&lt;&gt;""),IF($G316="دارایی ثابت",1,0),0)</f>
        <v/>
      </c>
      <c r="AN316">
        <f>SUM($AM$6:$AM316)</f>
        <v/>
      </c>
      <c r="AO316">
        <f>IFERROR(INDEX($F$6:$F$565,MATCH(ROW()-5,$AN$6:$AN$565,0)),"")</f>
        <v/>
      </c>
      <c r="AP316">
        <f>IF(AND($F316&lt;&gt;"",$I316&lt;&gt;""),IF($G316="وام و تسهیلات",1,0),0)</f>
        <v/>
      </c>
      <c r="AQ316">
        <f>SUM($AP$6:$AP316)</f>
        <v/>
      </c>
      <c r="AR316">
        <f>IFERROR(INDEX($F$6:$F$565,MATCH(ROW()-5,$AQ$6:$AQ$565,0)),"")</f>
        <v/>
      </c>
      <c r="AS316">
        <f>IF(AND($F316&lt;&gt;"",$I316&lt;&gt;""),IF($G316="سرمایه و آورده صاحبان",1,0),0)</f>
        <v/>
      </c>
      <c r="AT316">
        <f>SUM($AS$6:$AS316)</f>
        <v/>
      </c>
      <c r="AU316">
        <f>IFERROR(INDEX($F$6:$F$565,MATCH(ROW()-5,$AT$6:$AT$565,0)),"")</f>
        <v/>
      </c>
      <c r="AW316">
        <f>IF([3]Issues!$C$319="","",[3]Issues!$C$319)</f>
        <v/>
      </c>
      <c r="AX316">
        <f>IF([4]Entry!$E$319="","",[4]Entry!$E$319)</f>
        <v/>
      </c>
      <c r="AY316">
        <f>IF([4]Entry!$H$319="","",[4]Entry!$H$319)</f>
        <v/>
      </c>
      <c r="AZ316">
        <f>IF([4]Entry!$I$319="","",[4]Entry!$I$319)</f>
        <v/>
      </c>
    </row>
    <row r="317">
      <c r="F317">
        <f>IF([1]Accounts!$D$318="","",[1]Accounts!$A$318)</f>
        <v/>
      </c>
      <c r="G317">
        <f>IF([1]Accounts!$D$318="","",[1]Accounts!$B$318)</f>
        <v/>
      </c>
      <c r="H317">
        <f>IF([1]Accounts!$D$318="","",[1]Accounts!$C$318)</f>
        <v/>
      </c>
      <c r="I317">
        <f>IF([1]Accounts!$D$318="","",[1]Accounts!$D$318)</f>
        <v/>
      </c>
      <c r="R317">
        <f>IF(AND($F317&lt;&gt;"",$I317&lt;&gt;""),IF(OR($G317="دارایی ثابت",$G317="وام و تسهیلات",$G317="سرمایه و آورده صاحبان"),0,1),0)</f>
        <v/>
      </c>
      <c r="S317">
        <f>SUM($R$6:$R317)</f>
        <v/>
      </c>
      <c r="T317">
        <f>IFERROR(INDEX($F$6:$F$565,MATCH(ROW()-5,$S$6:$S$565,0)),"")</f>
        <v/>
      </c>
      <c r="Z317">
        <f>IF([2]Entry!$E$320="","",[2]Entry!$E$320)</f>
        <v/>
      </c>
      <c r="AA317">
        <f>IF([2]Entry!$G$320="","",[2]Entry!$G$320)</f>
        <v/>
      </c>
      <c r="AB317">
        <f>IF([2]Entry!$J$320="","",[2]Entry!$J$320)</f>
        <v/>
      </c>
      <c r="AC317">
        <f>IF([2]Entry!$K$320="","",[2]Entry!$K$320)</f>
        <v/>
      </c>
      <c r="AD317">
        <f>IF([2]Entry!$L$320="","",[2]Entry!$L$320)</f>
        <v/>
      </c>
      <c r="AE317">
        <f>IF([2]Entry!$M$320="","",[2]Entry!$M$320)</f>
        <v/>
      </c>
      <c r="AF317">
        <f>IF([2]Entry!$N$320="","",[2]Entry!$N$320)</f>
        <v/>
      </c>
      <c r="AG317">
        <f>IF([3]Issues!$B$320="","",[3]Issues!$B$320)</f>
        <v/>
      </c>
      <c r="AH317">
        <f>IF([3]Issues!$D$320="","",[3]Issues!$D$320)</f>
        <v/>
      </c>
      <c r="AI317">
        <f>IF([3]Issues!$E$320="","",[3]Issues!$E$320)</f>
        <v/>
      </c>
      <c r="AJ317">
        <f>IF([2]Entry!$S$320="","",[2]Entry!$S$320)</f>
        <v/>
      </c>
      <c r="AK317">
        <f>IF([2]Entry!$C$320="","",[2]Entry!$C$320)</f>
        <v/>
      </c>
      <c r="AL317">
        <f>IF([2]Entry!$D$320="","",[2]Entry!$D$320)</f>
        <v/>
      </c>
      <c r="AM317">
        <f>IF(AND($F317&lt;&gt;"",$I317&lt;&gt;""),IF($G317="دارایی ثابت",1,0),0)</f>
        <v/>
      </c>
      <c r="AN317">
        <f>SUM($AM$6:$AM317)</f>
        <v/>
      </c>
      <c r="AO317">
        <f>IFERROR(INDEX($F$6:$F$565,MATCH(ROW()-5,$AN$6:$AN$565,0)),"")</f>
        <v/>
      </c>
      <c r="AP317">
        <f>IF(AND($F317&lt;&gt;"",$I317&lt;&gt;""),IF($G317="وام و تسهیلات",1,0),0)</f>
        <v/>
      </c>
      <c r="AQ317">
        <f>SUM($AP$6:$AP317)</f>
        <v/>
      </c>
      <c r="AR317">
        <f>IFERROR(INDEX($F$6:$F$565,MATCH(ROW()-5,$AQ$6:$AQ$565,0)),"")</f>
        <v/>
      </c>
      <c r="AS317">
        <f>IF(AND($F317&lt;&gt;"",$I317&lt;&gt;""),IF($G317="سرمایه و آورده صاحبان",1,0),0)</f>
        <v/>
      </c>
      <c r="AT317">
        <f>SUM($AS$6:$AS317)</f>
        <v/>
      </c>
      <c r="AU317">
        <f>IFERROR(INDEX($F$6:$F$565,MATCH(ROW()-5,$AT$6:$AT$565,0)),"")</f>
        <v/>
      </c>
      <c r="AW317">
        <f>IF([3]Issues!$C$320="","",[3]Issues!$C$320)</f>
        <v/>
      </c>
      <c r="AX317">
        <f>IF([4]Entry!$E$320="","",[4]Entry!$E$320)</f>
        <v/>
      </c>
      <c r="AY317">
        <f>IF([4]Entry!$H$320="","",[4]Entry!$H$320)</f>
        <v/>
      </c>
      <c r="AZ317">
        <f>IF([4]Entry!$I$320="","",[4]Entry!$I$320)</f>
        <v/>
      </c>
    </row>
    <row r="318">
      <c r="F318">
        <f>IF([1]Accounts!$D$319="","",[1]Accounts!$A$319)</f>
        <v/>
      </c>
      <c r="G318">
        <f>IF([1]Accounts!$D$319="","",[1]Accounts!$B$319)</f>
        <v/>
      </c>
      <c r="H318">
        <f>IF([1]Accounts!$D$319="","",[1]Accounts!$C$319)</f>
        <v/>
      </c>
      <c r="I318">
        <f>IF([1]Accounts!$D$319="","",[1]Accounts!$D$319)</f>
        <v/>
      </c>
      <c r="R318">
        <f>IF(AND($F318&lt;&gt;"",$I318&lt;&gt;""),IF(OR($G318="دارایی ثابت",$G318="وام و تسهیلات",$G318="سرمایه و آورده صاحبان"),0,1),0)</f>
        <v/>
      </c>
      <c r="S318">
        <f>SUM($R$6:$R318)</f>
        <v/>
      </c>
      <c r="T318">
        <f>IFERROR(INDEX($F$6:$F$565,MATCH(ROW()-5,$S$6:$S$565,0)),"")</f>
        <v/>
      </c>
      <c r="Z318">
        <f>IF([2]Entry!$E$321="","",[2]Entry!$E$321)</f>
        <v/>
      </c>
      <c r="AA318">
        <f>IF([2]Entry!$G$321="","",[2]Entry!$G$321)</f>
        <v/>
      </c>
      <c r="AB318">
        <f>IF([2]Entry!$J$321="","",[2]Entry!$J$321)</f>
        <v/>
      </c>
      <c r="AC318">
        <f>IF([2]Entry!$K$321="","",[2]Entry!$K$321)</f>
        <v/>
      </c>
      <c r="AD318">
        <f>IF([2]Entry!$L$321="","",[2]Entry!$L$321)</f>
        <v/>
      </c>
      <c r="AE318">
        <f>IF([2]Entry!$M$321="","",[2]Entry!$M$321)</f>
        <v/>
      </c>
      <c r="AF318">
        <f>IF([2]Entry!$N$321="","",[2]Entry!$N$321)</f>
        <v/>
      </c>
      <c r="AG318">
        <f>IF([3]Issues!$B$321="","",[3]Issues!$B$321)</f>
        <v/>
      </c>
      <c r="AH318">
        <f>IF([3]Issues!$D$321="","",[3]Issues!$D$321)</f>
        <v/>
      </c>
      <c r="AI318">
        <f>IF([3]Issues!$E$321="","",[3]Issues!$E$321)</f>
        <v/>
      </c>
      <c r="AJ318">
        <f>IF([2]Entry!$S$321="","",[2]Entry!$S$321)</f>
        <v/>
      </c>
      <c r="AK318">
        <f>IF([2]Entry!$C$321="","",[2]Entry!$C$321)</f>
        <v/>
      </c>
      <c r="AL318">
        <f>IF([2]Entry!$D$321="","",[2]Entry!$D$321)</f>
        <v/>
      </c>
      <c r="AM318">
        <f>IF(AND($F318&lt;&gt;"",$I318&lt;&gt;""),IF($G318="دارایی ثابت",1,0),0)</f>
        <v/>
      </c>
      <c r="AN318">
        <f>SUM($AM$6:$AM318)</f>
        <v/>
      </c>
      <c r="AO318">
        <f>IFERROR(INDEX($F$6:$F$565,MATCH(ROW()-5,$AN$6:$AN$565,0)),"")</f>
        <v/>
      </c>
      <c r="AP318">
        <f>IF(AND($F318&lt;&gt;"",$I318&lt;&gt;""),IF($G318="وام و تسهیلات",1,0),0)</f>
        <v/>
      </c>
      <c r="AQ318">
        <f>SUM($AP$6:$AP318)</f>
        <v/>
      </c>
      <c r="AR318">
        <f>IFERROR(INDEX($F$6:$F$565,MATCH(ROW()-5,$AQ$6:$AQ$565,0)),"")</f>
        <v/>
      </c>
      <c r="AS318">
        <f>IF(AND($F318&lt;&gt;"",$I318&lt;&gt;""),IF($G318="سرمایه و آورده صاحبان",1,0),0)</f>
        <v/>
      </c>
      <c r="AT318">
        <f>SUM($AS$6:$AS318)</f>
        <v/>
      </c>
      <c r="AU318">
        <f>IFERROR(INDEX($F$6:$F$565,MATCH(ROW()-5,$AT$6:$AT$565,0)),"")</f>
        <v/>
      </c>
      <c r="AW318">
        <f>IF([3]Issues!$C$321="","",[3]Issues!$C$321)</f>
        <v/>
      </c>
      <c r="AX318">
        <f>IF([4]Entry!$E$321="","",[4]Entry!$E$321)</f>
        <v/>
      </c>
      <c r="AY318">
        <f>IF([4]Entry!$H$321="","",[4]Entry!$H$321)</f>
        <v/>
      </c>
      <c r="AZ318">
        <f>IF([4]Entry!$I$321="","",[4]Entry!$I$321)</f>
        <v/>
      </c>
    </row>
    <row r="319">
      <c r="F319">
        <f>IF([1]Accounts!$D$320="","",[1]Accounts!$A$320)</f>
        <v/>
      </c>
      <c r="G319">
        <f>IF([1]Accounts!$D$320="","",[1]Accounts!$B$320)</f>
        <v/>
      </c>
      <c r="H319">
        <f>IF([1]Accounts!$D$320="","",[1]Accounts!$C$320)</f>
        <v/>
      </c>
      <c r="I319">
        <f>IF([1]Accounts!$D$320="","",[1]Accounts!$D$320)</f>
        <v/>
      </c>
      <c r="R319">
        <f>IF(AND($F319&lt;&gt;"",$I319&lt;&gt;""),IF(OR($G319="دارایی ثابت",$G319="وام و تسهیلات",$G319="سرمایه و آورده صاحبان"),0,1),0)</f>
        <v/>
      </c>
      <c r="S319">
        <f>SUM($R$6:$R319)</f>
        <v/>
      </c>
      <c r="T319">
        <f>IFERROR(INDEX($F$6:$F$565,MATCH(ROW()-5,$S$6:$S$565,0)),"")</f>
        <v/>
      </c>
      <c r="Z319">
        <f>IF([2]Entry!$E$322="","",[2]Entry!$E$322)</f>
        <v/>
      </c>
      <c r="AA319">
        <f>IF([2]Entry!$G$322="","",[2]Entry!$G$322)</f>
        <v/>
      </c>
      <c r="AB319">
        <f>IF([2]Entry!$J$322="","",[2]Entry!$J$322)</f>
        <v/>
      </c>
      <c r="AC319">
        <f>IF([2]Entry!$K$322="","",[2]Entry!$K$322)</f>
        <v/>
      </c>
      <c r="AD319">
        <f>IF([2]Entry!$L$322="","",[2]Entry!$L$322)</f>
        <v/>
      </c>
      <c r="AE319">
        <f>IF([2]Entry!$M$322="","",[2]Entry!$M$322)</f>
        <v/>
      </c>
      <c r="AF319">
        <f>IF([2]Entry!$N$322="","",[2]Entry!$N$322)</f>
        <v/>
      </c>
      <c r="AG319">
        <f>IF([3]Issues!$B$322="","",[3]Issues!$B$322)</f>
        <v/>
      </c>
      <c r="AH319">
        <f>IF([3]Issues!$D$322="","",[3]Issues!$D$322)</f>
        <v/>
      </c>
      <c r="AI319">
        <f>IF([3]Issues!$E$322="","",[3]Issues!$E$322)</f>
        <v/>
      </c>
      <c r="AJ319">
        <f>IF([2]Entry!$S$322="","",[2]Entry!$S$322)</f>
        <v/>
      </c>
      <c r="AK319">
        <f>IF([2]Entry!$C$322="","",[2]Entry!$C$322)</f>
        <v/>
      </c>
      <c r="AL319">
        <f>IF([2]Entry!$D$322="","",[2]Entry!$D$322)</f>
        <v/>
      </c>
      <c r="AM319">
        <f>IF(AND($F319&lt;&gt;"",$I319&lt;&gt;""),IF($G319="دارایی ثابت",1,0),0)</f>
        <v/>
      </c>
      <c r="AN319">
        <f>SUM($AM$6:$AM319)</f>
        <v/>
      </c>
      <c r="AO319">
        <f>IFERROR(INDEX($F$6:$F$565,MATCH(ROW()-5,$AN$6:$AN$565,0)),"")</f>
        <v/>
      </c>
      <c r="AP319">
        <f>IF(AND($F319&lt;&gt;"",$I319&lt;&gt;""),IF($G319="وام و تسهیلات",1,0),0)</f>
        <v/>
      </c>
      <c r="AQ319">
        <f>SUM($AP$6:$AP319)</f>
        <v/>
      </c>
      <c r="AR319">
        <f>IFERROR(INDEX($F$6:$F$565,MATCH(ROW()-5,$AQ$6:$AQ$565,0)),"")</f>
        <v/>
      </c>
      <c r="AS319">
        <f>IF(AND($F319&lt;&gt;"",$I319&lt;&gt;""),IF($G319="سرمایه و آورده صاحبان",1,0),0)</f>
        <v/>
      </c>
      <c r="AT319">
        <f>SUM($AS$6:$AS319)</f>
        <v/>
      </c>
      <c r="AU319">
        <f>IFERROR(INDEX($F$6:$F$565,MATCH(ROW()-5,$AT$6:$AT$565,0)),"")</f>
        <v/>
      </c>
      <c r="AW319">
        <f>IF([3]Issues!$C$322="","",[3]Issues!$C$322)</f>
        <v/>
      </c>
      <c r="AX319">
        <f>IF([4]Entry!$E$322="","",[4]Entry!$E$322)</f>
        <v/>
      </c>
      <c r="AY319">
        <f>IF([4]Entry!$H$322="","",[4]Entry!$H$322)</f>
        <v/>
      </c>
      <c r="AZ319">
        <f>IF([4]Entry!$I$322="","",[4]Entry!$I$322)</f>
        <v/>
      </c>
    </row>
    <row r="320">
      <c r="F320">
        <f>IF([1]Accounts!$D$321="","",[1]Accounts!$A$321)</f>
        <v/>
      </c>
      <c r="G320">
        <f>IF([1]Accounts!$D$321="","",[1]Accounts!$B$321)</f>
        <v/>
      </c>
      <c r="H320">
        <f>IF([1]Accounts!$D$321="","",[1]Accounts!$C$321)</f>
        <v/>
      </c>
      <c r="I320">
        <f>IF([1]Accounts!$D$321="","",[1]Accounts!$D$321)</f>
        <v/>
      </c>
      <c r="R320">
        <f>IF(AND($F320&lt;&gt;"",$I320&lt;&gt;""),IF(OR($G320="دارایی ثابت",$G320="وام و تسهیلات",$G320="سرمایه و آورده صاحبان"),0,1),0)</f>
        <v/>
      </c>
      <c r="S320">
        <f>SUM($R$6:$R320)</f>
        <v/>
      </c>
      <c r="T320">
        <f>IFERROR(INDEX($F$6:$F$565,MATCH(ROW()-5,$S$6:$S$565,0)),"")</f>
        <v/>
      </c>
      <c r="Z320">
        <f>IF([2]Entry!$E$323="","",[2]Entry!$E$323)</f>
        <v/>
      </c>
      <c r="AA320">
        <f>IF([2]Entry!$G$323="","",[2]Entry!$G$323)</f>
        <v/>
      </c>
      <c r="AB320">
        <f>IF([2]Entry!$J$323="","",[2]Entry!$J$323)</f>
        <v/>
      </c>
      <c r="AC320">
        <f>IF([2]Entry!$K$323="","",[2]Entry!$K$323)</f>
        <v/>
      </c>
      <c r="AD320">
        <f>IF([2]Entry!$L$323="","",[2]Entry!$L$323)</f>
        <v/>
      </c>
      <c r="AE320">
        <f>IF([2]Entry!$M$323="","",[2]Entry!$M$323)</f>
        <v/>
      </c>
      <c r="AF320">
        <f>IF([2]Entry!$N$323="","",[2]Entry!$N$323)</f>
        <v/>
      </c>
      <c r="AG320">
        <f>IF([3]Issues!$B$323="","",[3]Issues!$B$323)</f>
        <v/>
      </c>
      <c r="AH320">
        <f>IF([3]Issues!$D$323="","",[3]Issues!$D$323)</f>
        <v/>
      </c>
      <c r="AI320">
        <f>IF([3]Issues!$E$323="","",[3]Issues!$E$323)</f>
        <v/>
      </c>
      <c r="AJ320">
        <f>IF([2]Entry!$S$323="","",[2]Entry!$S$323)</f>
        <v/>
      </c>
      <c r="AK320">
        <f>IF([2]Entry!$C$323="","",[2]Entry!$C$323)</f>
        <v/>
      </c>
      <c r="AL320">
        <f>IF([2]Entry!$D$323="","",[2]Entry!$D$323)</f>
        <v/>
      </c>
      <c r="AM320">
        <f>IF(AND($F320&lt;&gt;"",$I320&lt;&gt;""),IF($G320="دارایی ثابت",1,0),0)</f>
        <v/>
      </c>
      <c r="AN320">
        <f>SUM($AM$6:$AM320)</f>
        <v/>
      </c>
      <c r="AO320">
        <f>IFERROR(INDEX($F$6:$F$565,MATCH(ROW()-5,$AN$6:$AN$565,0)),"")</f>
        <v/>
      </c>
      <c r="AP320">
        <f>IF(AND($F320&lt;&gt;"",$I320&lt;&gt;""),IF($G320="وام و تسهیلات",1,0),0)</f>
        <v/>
      </c>
      <c r="AQ320">
        <f>SUM($AP$6:$AP320)</f>
        <v/>
      </c>
      <c r="AR320">
        <f>IFERROR(INDEX($F$6:$F$565,MATCH(ROW()-5,$AQ$6:$AQ$565,0)),"")</f>
        <v/>
      </c>
      <c r="AS320">
        <f>IF(AND($F320&lt;&gt;"",$I320&lt;&gt;""),IF($G320="سرمایه و آورده صاحبان",1,0),0)</f>
        <v/>
      </c>
      <c r="AT320">
        <f>SUM($AS$6:$AS320)</f>
        <v/>
      </c>
      <c r="AU320">
        <f>IFERROR(INDEX($F$6:$F$565,MATCH(ROW()-5,$AT$6:$AT$565,0)),"")</f>
        <v/>
      </c>
      <c r="AW320">
        <f>IF([3]Issues!$C$323="","",[3]Issues!$C$323)</f>
        <v/>
      </c>
      <c r="AX320">
        <f>IF([4]Entry!$E$323="","",[4]Entry!$E$323)</f>
        <v/>
      </c>
      <c r="AY320">
        <f>IF([4]Entry!$H$323="","",[4]Entry!$H$323)</f>
        <v/>
      </c>
      <c r="AZ320">
        <f>IF([4]Entry!$I$323="","",[4]Entry!$I$323)</f>
        <v/>
      </c>
    </row>
    <row r="321">
      <c r="F321">
        <f>IF([1]Accounts!$D$322="","",[1]Accounts!$A$322)</f>
        <v/>
      </c>
      <c r="G321">
        <f>IF([1]Accounts!$D$322="","",[1]Accounts!$B$322)</f>
        <v/>
      </c>
      <c r="H321">
        <f>IF([1]Accounts!$D$322="","",[1]Accounts!$C$322)</f>
        <v/>
      </c>
      <c r="I321">
        <f>IF([1]Accounts!$D$322="","",[1]Accounts!$D$322)</f>
        <v/>
      </c>
      <c r="R321">
        <f>IF(AND($F321&lt;&gt;"",$I321&lt;&gt;""),IF(OR($G321="دارایی ثابت",$G321="وام و تسهیلات",$G321="سرمایه و آورده صاحبان"),0,1),0)</f>
        <v/>
      </c>
      <c r="S321">
        <f>SUM($R$6:$R321)</f>
        <v/>
      </c>
      <c r="T321">
        <f>IFERROR(INDEX($F$6:$F$565,MATCH(ROW()-5,$S$6:$S$565,0)),"")</f>
        <v/>
      </c>
      <c r="Z321">
        <f>IF([2]Entry!$E$324="","",[2]Entry!$E$324)</f>
        <v/>
      </c>
      <c r="AA321">
        <f>IF([2]Entry!$G$324="","",[2]Entry!$G$324)</f>
        <v/>
      </c>
      <c r="AB321">
        <f>IF([2]Entry!$J$324="","",[2]Entry!$J$324)</f>
        <v/>
      </c>
      <c r="AC321">
        <f>IF([2]Entry!$K$324="","",[2]Entry!$K$324)</f>
        <v/>
      </c>
      <c r="AD321">
        <f>IF([2]Entry!$L$324="","",[2]Entry!$L$324)</f>
        <v/>
      </c>
      <c r="AE321">
        <f>IF([2]Entry!$M$324="","",[2]Entry!$M$324)</f>
        <v/>
      </c>
      <c r="AF321">
        <f>IF([2]Entry!$N$324="","",[2]Entry!$N$324)</f>
        <v/>
      </c>
      <c r="AG321">
        <f>IF([3]Issues!$B$324="","",[3]Issues!$B$324)</f>
        <v/>
      </c>
      <c r="AH321">
        <f>IF([3]Issues!$D$324="","",[3]Issues!$D$324)</f>
        <v/>
      </c>
      <c r="AI321">
        <f>IF([3]Issues!$E$324="","",[3]Issues!$E$324)</f>
        <v/>
      </c>
      <c r="AJ321">
        <f>IF([2]Entry!$S$324="","",[2]Entry!$S$324)</f>
        <v/>
      </c>
      <c r="AK321">
        <f>IF([2]Entry!$C$324="","",[2]Entry!$C$324)</f>
        <v/>
      </c>
      <c r="AL321">
        <f>IF([2]Entry!$D$324="","",[2]Entry!$D$324)</f>
        <v/>
      </c>
      <c r="AM321">
        <f>IF(AND($F321&lt;&gt;"",$I321&lt;&gt;""),IF($G321="دارایی ثابت",1,0),0)</f>
        <v/>
      </c>
      <c r="AN321">
        <f>SUM($AM$6:$AM321)</f>
        <v/>
      </c>
      <c r="AO321">
        <f>IFERROR(INDEX($F$6:$F$565,MATCH(ROW()-5,$AN$6:$AN$565,0)),"")</f>
        <v/>
      </c>
      <c r="AP321">
        <f>IF(AND($F321&lt;&gt;"",$I321&lt;&gt;""),IF($G321="وام و تسهیلات",1,0),0)</f>
        <v/>
      </c>
      <c r="AQ321">
        <f>SUM($AP$6:$AP321)</f>
        <v/>
      </c>
      <c r="AR321">
        <f>IFERROR(INDEX($F$6:$F$565,MATCH(ROW()-5,$AQ$6:$AQ$565,0)),"")</f>
        <v/>
      </c>
      <c r="AS321">
        <f>IF(AND($F321&lt;&gt;"",$I321&lt;&gt;""),IF($G321="سرمایه و آورده صاحبان",1,0),0)</f>
        <v/>
      </c>
      <c r="AT321">
        <f>SUM($AS$6:$AS321)</f>
        <v/>
      </c>
      <c r="AU321">
        <f>IFERROR(INDEX($F$6:$F$565,MATCH(ROW()-5,$AT$6:$AT$565,0)),"")</f>
        <v/>
      </c>
      <c r="AW321">
        <f>IF([3]Issues!$C$324="","",[3]Issues!$C$324)</f>
        <v/>
      </c>
      <c r="AX321">
        <f>IF([4]Entry!$E$324="","",[4]Entry!$E$324)</f>
        <v/>
      </c>
      <c r="AY321">
        <f>IF([4]Entry!$H$324="","",[4]Entry!$H$324)</f>
        <v/>
      </c>
      <c r="AZ321">
        <f>IF([4]Entry!$I$324="","",[4]Entry!$I$324)</f>
        <v/>
      </c>
    </row>
    <row r="322">
      <c r="F322">
        <f>IF([1]Accounts!$D$323="","",[1]Accounts!$A$323)</f>
        <v/>
      </c>
      <c r="G322">
        <f>IF([1]Accounts!$D$323="","",[1]Accounts!$B$323)</f>
        <v/>
      </c>
      <c r="H322">
        <f>IF([1]Accounts!$D$323="","",[1]Accounts!$C$323)</f>
        <v/>
      </c>
      <c r="I322">
        <f>IF([1]Accounts!$D$323="","",[1]Accounts!$D$323)</f>
        <v/>
      </c>
      <c r="R322">
        <f>IF(AND($F322&lt;&gt;"",$I322&lt;&gt;""),IF(OR($G322="دارایی ثابت",$G322="وام و تسهیلات",$G322="سرمایه و آورده صاحبان"),0,1),0)</f>
        <v/>
      </c>
      <c r="S322">
        <f>SUM($R$6:$R322)</f>
        <v/>
      </c>
      <c r="T322">
        <f>IFERROR(INDEX($F$6:$F$565,MATCH(ROW()-5,$S$6:$S$565,0)),"")</f>
        <v/>
      </c>
      <c r="Z322">
        <f>IF([2]Entry!$E$325="","",[2]Entry!$E$325)</f>
        <v/>
      </c>
      <c r="AA322">
        <f>IF([2]Entry!$G$325="","",[2]Entry!$G$325)</f>
        <v/>
      </c>
      <c r="AB322">
        <f>IF([2]Entry!$J$325="","",[2]Entry!$J$325)</f>
        <v/>
      </c>
      <c r="AC322">
        <f>IF([2]Entry!$K$325="","",[2]Entry!$K$325)</f>
        <v/>
      </c>
      <c r="AD322">
        <f>IF([2]Entry!$L$325="","",[2]Entry!$L$325)</f>
        <v/>
      </c>
      <c r="AE322">
        <f>IF([2]Entry!$M$325="","",[2]Entry!$M$325)</f>
        <v/>
      </c>
      <c r="AF322">
        <f>IF([2]Entry!$N$325="","",[2]Entry!$N$325)</f>
        <v/>
      </c>
      <c r="AG322">
        <f>IF([3]Issues!$B$325="","",[3]Issues!$B$325)</f>
        <v/>
      </c>
      <c r="AH322">
        <f>IF([3]Issues!$D$325="","",[3]Issues!$D$325)</f>
        <v/>
      </c>
      <c r="AI322">
        <f>IF([3]Issues!$E$325="","",[3]Issues!$E$325)</f>
        <v/>
      </c>
      <c r="AJ322">
        <f>IF([2]Entry!$S$325="","",[2]Entry!$S$325)</f>
        <v/>
      </c>
      <c r="AK322">
        <f>IF([2]Entry!$C$325="","",[2]Entry!$C$325)</f>
        <v/>
      </c>
      <c r="AL322">
        <f>IF([2]Entry!$D$325="","",[2]Entry!$D$325)</f>
        <v/>
      </c>
      <c r="AM322">
        <f>IF(AND($F322&lt;&gt;"",$I322&lt;&gt;""),IF($G322="دارایی ثابت",1,0),0)</f>
        <v/>
      </c>
      <c r="AN322">
        <f>SUM($AM$6:$AM322)</f>
        <v/>
      </c>
      <c r="AO322">
        <f>IFERROR(INDEX($F$6:$F$565,MATCH(ROW()-5,$AN$6:$AN$565,0)),"")</f>
        <v/>
      </c>
      <c r="AP322">
        <f>IF(AND($F322&lt;&gt;"",$I322&lt;&gt;""),IF($G322="وام و تسهیلات",1,0),0)</f>
        <v/>
      </c>
      <c r="AQ322">
        <f>SUM($AP$6:$AP322)</f>
        <v/>
      </c>
      <c r="AR322">
        <f>IFERROR(INDEX($F$6:$F$565,MATCH(ROW()-5,$AQ$6:$AQ$565,0)),"")</f>
        <v/>
      </c>
      <c r="AS322">
        <f>IF(AND($F322&lt;&gt;"",$I322&lt;&gt;""),IF($G322="سرمایه و آورده صاحبان",1,0),0)</f>
        <v/>
      </c>
      <c r="AT322">
        <f>SUM($AS$6:$AS322)</f>
        <v/>
      </c>
      <c r="AU322">
        <f>IFERROR(INDEX($F$6:$F$565,MATCH(ROW()-5,$AT$6:$AT$565,0)),"")</f>
        <v/>
      </c>
      <c r="AW322">
        <f>IF([3]Issues!$C$325="","",[3]Issues!$C$325)</f>
        <v/>
      </c>
      <c r="AX322">
        <f>IF([4]Entry!$E$325="","",[4]Entry!$E$325)</f>
        <v/>
      </c>
      <c r="AY322">
        <f>IF([4]Entry!$H$325="","",[4]Entry!$H$325)</f>
        <v/>
      </c>
      <c r="AZ322">
        <f>IF([4]Entry!$I$325="","",[4]Entry!$I$325)</f>
        <v/>
      </c>
    </row>
    <row r="323">
      <c r="F323">
        <f>IF([1]Accounts!$D$324="","",[1]Accounts!$A$324)</f>
        <v/>
      </c>
      <c r="G323">
        <f>IF([1]Accounts!$D$324="","",[1]Accounts!$B$324)</f>
        <v/>
      </c>
      <c r="H323">
        <f>IF([1]Accounts!$D$324="","",[1]Accounts!$C$324)</f>
        <v/>
      </c>
      <c r="I323">
        <f>IF([1]Accounts!$D$324="","",[1]Accounts!$D$324)</f>
        <v/>
      </c>
      <c r="R323">
        <f>IF(AND($F323&lt;&gt;"",$I323&lt;&gt;""),IF(OR($G323="دارایی ثابت",$G323="وام و تسهیلات",$G323="سرمایه و آورده صاحبان"),0,1),0)</f>
        <v/>
      </c>
      <c r="S323">
        <f>SUM($R$6:$R323)</f>
        <v/>
      </c>
      <c r="T323">
        <f>IFERROR(INDEX($F$6:$F$565,MATCH(ROW()-5,$S$6:$S$565,0)),"")</f>
        <v/>
      </c>
      <c r="Z323">
        <f>IF([2]Entry!$E$326="","",[2]Entry!$E$326)</f>
        <v/>
      </c>
      <c r="AA323">
        <f>IF([2]Entry!$G$326="","",[2]Entry!$G$326)</f>
        <v/>
      </c>
      <c r="AB323">
        <f>IF([2]Entry!$J$326="","",[2]Entry!$J$326)</f>
        <v/>
      </c>
      <c r="AC323">
        <f>IF([2]Entry!$K$326="","",[2]Entry!$K$326)</f>
        <v/>
      </c>
      <c r="AD323">
        <f>IF([2]Entry!$L$326="","",[2]Entry!$L$326)</f>
        <v/>
      </c>
      <c r="AE323">
        <f>IF([2]Entry!$M$326="","",[2]Entry!$M$326)</f>
        <v/>
      </c>
      <c r="AF323">
        <f>IF([2]Entry!$N$326="","",[2]Entry!$N$326)</f>
        <v/>
      </c>
      <c r="AG323">
        <f>IF([3]Issues!$B$326="","",[3]Issues!$B$326)</f>
        <v/>
      </c>
      <c r="AH323">
        <f>IF([3]Issues!$D$326="","",[3]Issues!$D$326)</f>
        <v/>
      </c>
      <c r="AI323">
        <f>IF([3]Issues!$E$326="","",[3]Issues!$E$326)</f>
        <v/>
      </c>
      <c r="AJ323">
        <f>IF([2]Entry!$S$326="","",[2]Entry!$S$326)</f>
        <v/>
      </c>
      <c r="AK323">
        <f>IF([2]Entry!$C$326="","",[2]Entry!$C$326)</f>
        <v/>
      </c>
      <c r="AL323">
        <f>IF([2]Entry!$D$326="","",[2]Entry!$D$326)</f>
        <v/>
      </c>
      <c r="AM323">
        <f>IF(AND($F323&lt;&gt;"",$I323&lt;&gt;""),IF($G323="دارایی ثابت",1,0),0)</f>
        <v/>
      </c>
      <c r="AN323">
        <f>SUM($AM$6:$AM323)</f>
        <v/>
      </c>
      <c r="AO323">
        <f>IFERROR(INDEX($F$6:$F$565,MATCH(ROW()-5,$AN$6:$AN$565,0)),"")</f>
        <v/>
      </c>
      <c r="AP323">
        <f>IF(AND($F323&lt;&gt;"",$I323&lt;&gt;""),IF($G323="وام و تسهیلات",1,0),0)</f>
        <v/>
      </c>
      <c r="AQ323">
        <f>SUM($AP$6:$AP323)</f>
        <v/>
      </c>
      <c r="AR323">
        <f>IFERROR(INDEX($F$6:$F$565,MATCH(ROW()-5,$AQ$6:$AQ$565,0)),"")</f>
        <v/>
      </c>
      <c r="AS323">
        <f>IF(AND($F323&lt;&gt;"",$I323&lt;&gt;""),IF($G323="سرمایه و آورده صاحبان",1,0),0)</f>
        <v/>
      </c>
      <c r="AT323">
        <f>SUM($AS$6:$AS323)</f>
        <v/>
      </c>
      <c r="AU323">
        <f>IFERROR(INDEX($F$6:$F$565,MATCH(ROW()-5,$AT$6:$AT$565,0)),"")</f>
        <v/>
      </c>
      <c r="AW323">
        <f>IF([3]Issues!$C$326="","",[3]Issues!$C$326)</f>
        <v/>
      </c>
      <c r="AX323">
        <f>IF([4]Entry!$E$326="","",[4]Entry!$E$326)</f>
        <v/>
      </c>
      <c r="AY323">
        <f>IF([4]Entry!$H$326="","",[4]Entry!$H$326)</f>
        <v/>
      </c>
      <c r="AZ323">
        <f>IF([4]Entry!$I$326="","",[4]Entry!$I$326)</f>
        <v/>
      </c>
    </row>
    <row r="324">
      <c r="F324">
        <f>IF([1]Accounts!$D$325="","",[1]Accounts!$A$325)</f>
        <v/>
      </c>
      <c r="G324">
        <f>IF([1]Accounts!$D$325="","",[1]Accounts!$B$325)</f>
        <v/>
      </c>
      <c r="H324">
        <f>IF([1]Accounts!$D$325="","",[1]Accounts!$C$325)</f>
        <v/>
      </c>
      <c r="I324">
        <f>IF([1]Accounts!$D$325="","",[1]Accounts!$D$325)</f>
        <v/>
      </c>
      <c r="R324">
        <f>IF(AND($F324&lt;&gt;"",$I324&lt;&gt;""),IF(OR($G324="دارایی ثابت",$G324="وام و تسهیلات",$G324="سرمایه و آورده صاحبان"),0,1),0)</f>
        <v/>
      </c>
      <c r="S324">
        <f>SUM($R$6:$R324)</f>
        <v/>
      </c>
      <c r="T324">
        <f>IFERROR(INDEX($F$6:$F$565,MATCH(ROW()-5,$S$6:$S$565,0)),"")</f>
        <v/>
      </c>
      <c r="Z324">
        <f>IF([2]Entry!$E$327="","",[2]Entry!$E$327)</f>
        <v/>
      </c>
      <c r="AA324">
        <f>IF([2]Entry!$G$327="","",[2]Entry!$G$327)</f>
        <v/>
      </c>
      <c r="AB324">
        <f>IF([2]Entry!$J$327="","",[2]Entry!$J$327)</f>
        <v/>
      </c>
      <c r="AC324">
        <f>IF([2]Entry!$K$327="","",[2]Entry!$K$327)</f>
        <v/>
      </c>
      <c r="AD324">
        <f>IF([2]Entry!$L$327="","",[2]Entry!$L$327)</f>
        <v/>
      </c>
      <c r="AE324">
        <f>IF([2]Entry!$M$327="","",[2]Entry!$M$327)</f>
        <v/>
      </c>
      <c r="AF324">
        <f>IF([2]Entry!$N$327="","",[2]Entry!$N$327)</f>
        <v/>
      </c>
      <c r="AG324">
        <f>IF([3]Issues!$B$327="","",[3]Issues!$B$327)</f>
        <v/>
      </c>
      <c r="AH324">
        <f>IF([3]Issues!$D$327="","",[3]Issues!$D$327)</f>
        <v/>
      </c>
      <c r="AI324">
        <f>IF([3]Issues!$E$327="","",[3]Issues!$E$327)</f>
        <v/>
      </c>
      <c r="AJ324">
        <f>IF([2]Entry!$S$327="","",[2]Entry!$S$327)</f>
        <v/>
      </c>
      <c r="AK324">
        <f>IF([2]Entry!$C$327="","",[2]Entry!$C$327)</f>
        <v/>
      </c>
      <c r="AL324">
        <f>IF([2]Entry!$D$327="","",[2]Entry!$D$327)</f>
        <v/>
      </c>
      <c r="AM324">
        <f>IF(AND($F324&lt;&gt;"",$I324&lt;&gt;""),IF($G324="دارایی ثابت",1,0),0)</f>
        <v/>
      </c>
      <c r="AN324">
        <f>SUM($AM$6:$AM324)</f>
        <v/>
      </c>
      <c r="AO324">
        <f>IFERROR(INDEX($F$6:$F$565,MATCH(ROW()-5,$AN$6:$AN$565,0)),"")</f>
        <v/>
      </c>
      <c r="AP324">
        <f>IF(AND($F324&lt;&gt;"",$I324&lt;&gt;""),IF($G324="وام و تسهیلات",1,0),0)</f>
        <v/>
      </c>
      <c r="AQ324">
        <f>SUM($AP$6:$AP324)</f>
        <v/>
      </c>
      <c r="AR324">
        <f>IFERROR(INDEX($F$6:$F$565,MATCH(ROW()-5,$AQ$6:$AQ$565,0)),"")</f>
        <v/>
      </c>
      <c r="AS324">
        <f>IF(AND($F324&lt;&gt;"",$I324&lt;&gt;""),IF($G324="سرمایه و آورده صاحبان",1,0),0)</f>
        <v/>
      </c>
      <c r="AT324">
        <f>SUM($AS$6:$AS324)</f>
        <v/>
      </c>
      <c r="AU324">
        <f>IFERROR(INDEX($F$6:$F$565,MATCH(ROW()-5,$AT$6:$AT$565,0)),"")</f>
        <v/>
      </c>
      <c r="AW324">
        <f>IF([3]Issues!$C$327="","",[3]Issues!$C$327)</f>
        <v/>
      </c>
      <c r="AX324">
        <f>IF([4]Entry!$E$327="","",[4]Entry!$E$327)</f>
        <v/>
      </c>
      <c r="AY324">
        <f>IF([4]Entry!$H$327="","",[4]Entry!$H$327)</f>
        <v/>
      </c>
      <c r="AZ324">
        <f>IF([4]Entry!$I$327="","",[4]Entry!$I$327)</f>
        <v/>
      </c>
    </row>
    <row r="325">
      <c r="F325">
        <f>IF([1]Accounts!$D$326="","",[1]Accounts!$A$326)</f>
        <v/>
      </c>
      <c r="G325">
        <f>IF([1]Accounts!$D$326="","",[1]Accounts!$B$326)</f>
        <v/>
      </c>
      <c r="H325">
        <f>IF([1]Accounts!$D$326="","",[1]Accounts!$C$326)</f>
        <v/>
      </c>
      <c r="I325">
        <f>IF([1]Accounts!$D$326="","",[1]Accounts!$D$326)</f>
        <v/>
      </c>
      <c r="R325">
        <f>IF(AND($F325&lt;&gt;"",$I325&lt;&gt;""),IF(OR($G325="دارایی ثابت",$G325="وام و تسهیلات",$G325="سرمایه و آورده صاحبان"),0,1),0)</f>
        <v/>
      </c>
      <c r="S325">
        <f>SUM($R$6:$R325)</f>
        <v/>
      </c>
      <c r="T325">
        <f>IFERROR(INDEX($F$6:$F$565,MATCH(ROW()-5,$S$6:$S$565,0)),"")</f>
        <v/>
      </c>
      <c r="Z325">
        <f>IF([2]Entry!$E$328="","",[2]Entry!$E$328)</f>
        <v/>
      </c>
      <c r="AA325">
        <f>IF([2]Entry!$G$328="","",[2]Entry!$G$328)</f>
        <v/>
      </c>
      <c r="AB325">
        <f>IF([2]Entry!$J$328="","",[2]Entry!$J$328)</f>
        <v/>
      </c>
      <c r="AC325">
        <f>IF([2]Entry!$K$328="","",[2]Entry!$K$328)</f>
        <v/>
      </c>
      <c r="AD325">
        <f>IF([2]Entry!$L$328="","",[2]Entry!$L$328)</f>
        <v/>
      </c>
      <c r="AE325">
        <f>IF([2]Entry!$M$328="","",[2]Entry!$M$328)</f>
        <v/>
      </c>
      <c r="AF325">
        <f>IF([2]Entry!$N$328="","",[2]Entry!$N$328)</f>
        <v/>
      </c>
      <c r="AG325">
        <f>IF([3]Issues!$B$328="","",[3]Issues!$B$328)</f>
        <v/>
      </c>
      <c r="AH325">
        <f>IF([3]Issues!$D$328="","",[3]Issues!$D$328)</f>
        <v/>
      </c>
      <c r="AI325">
        <f>IF([3]Issues!$E$328="","",[3]Issues!$E$328)</f>
        <v/>
      </c>
      <c r="AJ325">
        <f>IF([2]Entry!$S$328="","",[2]Entry!$S$328)</f>
        <v/>
      </c>
      <c r="AK325">
        <f>IF([2]Entry!$C$328="","",[2]Entry!$C$328)</f>
        <v/>
      </c>
      <c r="AL325">
        <f>IF([2]Entry!$D$328="","",[2]Entry!$D$328)</f>
        <v/>
      </c>
      <c r="AM325">
        <f>IF(AND($F325&lt;&gt;"",$I325&lt;&gt;""),IF($G325="دارایی ثابت",1,0),0)</f>
        <v/>
      </c>
      <c r="AN325">
        <f>SUM($AM$6:$AM325)</f>
        <v/>
      </c>
      <c r="AO325">
        <f>IFERROR(INDEX($F$6:$F$565,MATCH(ROW()-5,$AN$6:$AN$565,0)),"")</f>
        <v/>
      </c>
      <c r="AP325">
        <f>IF(AND($F325&lt;&gt;"",$I325&lt;&gt;""),IF($G325="وام و تسهیلات",1,0),0)</f>
        <v/>
      </c>
      <c r="AQ325">
        <f>SUM($AP$6:$AP325)</f>
        <v/>
      </c>
      <c r="AR325">
        <f>IFERROR(INDEX($F$6:$F$565,MATCH(ROW()-5,$AQ$6:$AQ$565,0)),"")</f>
        <v/>
      </c>
      <c r="AS325">
        <f>IF(AND($F325&lt;&gt;"",$I325&lt;&gt;""),IF($G325="سرمایه و آورده صاحبان",1,0),0)</f>
        <v/>
      </c>
      <c r="AT325">
        <f>SUM($AS$6:$AS325)</f>
        <v/>
      </c>
      <c r="AU325">
        <f>IFERROR(INDEX($F$6:$F$565,MATCH(ROW()-5,$AT$6:$AT$565,0)),"")</f>
        <v/>
      </c>
      <c r="AW325">
        <f>IF([3]Issues!$C$328="","",[3]Issues!$C$328)</f>
        <v/>
      </c>
      <c r="AX325">
        <f>IF([4]Entry!$E$328="","",[4]Entry!$E$328)</f>
        <v/>
      </c>
      <c r="AY325">
        <f>IF([4]Entry!$H$328="","",[4]Entry!$H$328)</f>
        <v/>
      </c>
      <c r="AZ325">
        <f>IF([4]Entry!$I$328="","",[4]Entry!$I$328)</f>
        <v/>
      </c>
    </row>
    <row r="326">
      <c r="F326">
        <f>IF([1]Accounts!$D$327="","",[1]Accounts!$A$327)</f>
        <v/>
      </c>
      <c r="G326">
        <f>IF([1]Accounts!$D$327="","",[1]Accounts!$B$327)</f>
        <v/>
      </c>
      <c r="H326">
        <f>IF([1]Accounts!$D$327="","",[1]Accounts!$C$327)</f>
        <v/>
      </c>
      <c r="I326">
        <f>IF([1]Accounts!$D$327="","",[1]Accounts!$D$327)</f>
        <v/>
      </c>
      <c r="R326">
        <f>IF(AND($F326&lt;&gt;"",$I326&lt;&gt;""),IF(OR($G326="دارایی ثابت",$G326="وام و تسهیلات",$G326="سرمایه و آورده صاحبان"),0,1),0)</f>
        <v/>
      </c>
      <c r="S326">
        <f>SUM($R$6:$R326)</f>
        <v/>
      </c>
      <c r="T326">
        <f>IFERROR(INDEX($F$6:$F$565,MATCH(ROW()-5,$S$6:$S$565,0)),"")</f>
        <v/>
      </c>
      <c r="Z326">
        <f>IF([2]Entry!$E$329="","",[2]Entry!$E$329)</f>
        <v/>
      </c>
      <c r="AA326">
        <f>IF([2]Entry!$G$329="","",[2]Entry!$G$329)</f>
        <v/>
      </c>
      <c r="AB326">
        <f>IF([2]Entry!$J$329="","",[2]Entry!$J$329)</f>
        <v/>
      </c>
      <c r="AC326">
        <f>IF([2]Entry!$K$329="","",[2]Entry!$K$329)</f>
        <v/>
      </c>
      <c r="AD326">
        <f>IF([2]Entry!$L$329="","",[2]Entry!$L$329)</f>
        <v/>
      </c>
      <c r="AE326">
        <f>IF([2]Entry!$M$329="","",[2]Entry!$M$329)</f>
        <v/>
      </c>
      <c r="AF326">
        <f>IF([2]Entry!$N$329="","",[2]Entry!$N$329)</f>
        <v/>
      </c>
      <c r="AG326">
        <f>IF([3]Issues!$B$329="","",[3]Issues!$B$329)</f>
        <v/>
      </c>
      <c r="AH326">
        <f>IF([3]Issues!$D$329="","",[3]Issues!$D$329)</f>
        <v/>
      </c>
      <c r="AI326">
        <f>IF([3]Issues!$E$329="","",[3]Issues!$E$329)</f>
        <v/>
      </c>
      <c r="AJ326">
        <f>IF([2]Entry!$S$329="","",[2]Entry!$S$329)</f>
        <v/>
      </c>
      <c r="AK326">
        <f>IF([2]Entry!$C$329="","",[2]Entry!$C$329)</f>
        <v/>
      </c>
      <c r="AL326">
        <f>IF([2]Entry!$D$329="","",[2]Entry!$D$329)</f>
        <v/>
      </c>
      <c r="AM326">
        <f>IF(AND($F326&lt;&gt;"",$I326&lt;&gt;""),IF($G326="دارایی ثابت",1,0),0)</f>
        <v/>
      </c>
      <c r="AN326">
        <f>SUM($AM$6:$AM326)</f>
        <v/>
      </c>
      <c r="AO326">
        <f>IFERROR(INDEX($F$6:$F$565,MATCH(ROW()-5,$AN$6:$AN$565,0)),"")</f>
        <v/>
      </c>
      <c r="AP326">
        <f>IF(AND($F326&lt;&gt;"",$I326&lt;&gt;""),IF($G326="وام و تسهیلات",1,0),0)</f>
        <v/>
      </c>
      <c r="AQ326">
        <f>SUM($AP$6:$AP326)</f>
        <v/>
      </c>
      <c r="AR326">
        <f>IFERROR(INDEX($F$6:$F$565,MATCH(ROW()-5,$AQ$6:$AQ$565,0)),"")</f>
        <v/>
      </c>
      <c r="AS326">
        <f>IF(AND($F326&lt;&gt;"",$I326&lt;&gt;""),IF($G326="سرمایه و آورده صاحبان",1,0),0)</f>
        <v/>
      </c>
      <c r="AT326">
        <f>SUM($AS$6:$AS326)</f>
        <v/>
      </c>
      <c r="AU326">
        <f>IFERROR(INDEX($F$6:$F$565,MATCH(ROW()-5,$AT$6:$AT$565,0)),"")</f>
        <v/>
      </c>
      <c r="AW326">
        <f>IF([3]Issues!$C$329="","",[3]Issues!$C$329)</f>
        <v/>
      </c>
      <c r="AX326">
        <f>IF([4]Entry!$E$329="","",[4]Entry!$E$329)</f>
        <v/>
      </c>
      <c r="AY326">
        <f>IF([4]Entry!$H$329="","",[4]Entry!$H$329)</f>
        <v/>
      </c>
      <c r="AZ326">
        <f>IF([4]Entry!$I$329="","",[4]Entry!$I$329)</f>
        <v/>
      </c>
    </row>
    <row r="327">
      <c r="F327">
        <f>IF([1]Accounts!$D$328="","",[1]Accounts!$A$328)</f>
        <v/>
      </c>
      <c r="G327">
        <f>IF([1]Accounts!$D$328="","",[1]Accounts!$B$328)</f>
        <v/>
      </c>
      <c r="H327">
        <f>IF([1]Accounts!$D$328="","",[1]Accounts!$C$328)</f>
        <v/>
      </c>
      <c r="I327">
        <f>IF([1]Accounts!$D$328="","",[1]Accounts!$D$328)</f>
        <v/>
      </c>
      <c r="R327">
        <f>IF(AND($F327&lt;&gt;"",$I327&lt;&gt;""),IF(OR($G327="دارایی ثابت",$G327="وام و تسهیلات",$G327="سرمایه و آورده صاحبان"),0,1),0)</f>
        <v/>
      </c>
      <c r="S327">
        <f>SUM($R$6:$R327)</f>
        <v/>
      </c>
      <c r="T327">
        <f>IFERROR(INDEX($F$6:$F$565,MATCH(ROW()-5,$S$6:$S$565,0)),"")</f>
        <v/>
      </c>
      <c r="Z327">
        <f>IF([2]Entry!$E$330="","",[2]Entry!$E$330)</f>
        <v/>
      </c>
      <c r="AA327">
        <f>IF([2]Entry!$G$330="","",[2]Entry!$G$330)</f>
        <v/>
      </c>
      <c r="AB327">
        <f>IF([2]Entry!$J$330="","",[2]Entry!$J$330)</f>
        <v/>
      </c>
      <c r="AC327">
        <f>IF([2]Entry!$K$330="","",[2]Entry!$K$330)</f>
        <v/>
      </c>
      <c r="AD327">
        <f>IF([2]Entry!$L$330="","",[2]Entry!$L$330)</f>
        <v/>
      </c>
      <c r="AE327">
        <f>IF([2]Entry!$M$330="","",[2]Entry!$M$330)</f>
        <v/>
      </c>
      <c r="AF327">
        <f>IF([2]Entry!$N$330="","",[2]Entry!$N$330)</f>
        <v/>
      </c>
      <c r="AG327">
        <f>IF([3]Issues!$B$330="","",[3]Issues!$B$330)</f>
        <v/>
      </c>
      <c r="AH327">
        <f>IF([3]Issues!$D$330="","",[3]Issues!$D$330)</f>
        <v/>
      </c>
      <c r="AI327">
        <f>IF([3]Issues!$E$330="","",[3]Issues!$E$330)</f>
        <v/>
      </c>
      <c r="AJ327">
        <f>IF([2]Entry!$S$330="","",[2]Entry!$S$330)</f>
        <v/>
      </c>
      <c r="AK327">
        <f>IF([2]Entry!$C$330="","",[2]Entry!$C$330)</f>
        <v/>
      </c>
      <c r="AL327">
        <f>IF([2]Entry!$D$330="","",[2]Entry!$D$330)</f>
        <v/>
      </c>
      <c r="AM327">
        <f>IF(AND($F327&lt;&gt;"",$I327&lt;&gt;""),IF($G327="دارایی ثابت",1,0),0)</f>
        <v/>
      </c>
      <c r="AN327">
        <f>SUM($AM$6:$AM327)</f>
        <v/>
      </c>
      <c r="AO327">
        <f>IFERROR(INDEX($F$6:$F$565,MATCH(ROW()-5,$AN$6:$AN$565,0)),"")</f>
        <v/>
      </c>
      <c r="AP327">
        <f>IF(AND($F327&lt;&gt;"",$I327&lt;&gt;""),IF($G327="وام و تسهیلات",1,0),0)</f>
        <v/>
      </c>
      <c r="AQ327">
        <f>SUM($AP$6:$AP327)</f>
        <v/>
      </c>
      <c r="AR327">
        <f>IFERROR(INDEX($F$6:$F$565,MATCH(ROW()-5,$AQ$6:$AQ$565,0)),"")</f>
        <v/>
      </c>
      <c r="AS327">
        <f>IF(AND($F327&lt;&gt;"",$I327&lt;&gt;""),IF($G327="سرمایه و آورده صاحبان",1,0),0)</f>
        <v/>
      </c>
      <c r="AT327">
        <f>SUM($AS$6:$AS327)</f>
        <v/>
      </c>
      <c r="AU327">
        <f>IFERROR(INDEX($F$6:$F$565,MATCH(ROW()-5,$AT$6:$AT$565,0)),"")</f>
        <v/>
      </c>
      <c r="AW327">
        <f>IF([3]Issues!$C$330="","",[3]Issues!$C$330)</f>
        <v/>
      </c>
      <c r="AX327">
        <f>IF([4]Entry!$E$330="","",[4]Entry!$E$330)</f>
        <v/>
      </c>
      <c r="AY327">
        <f>IF([4]Entry!$H$330="","",[4]Entry!$H$330)</f>
        <v/>
      </c>
      <c r="AZ327">
        <f>IF([4]Entry!$I$330="","",[4]Entry!$I$330)</f>
        <v/>
      </c>
    </row>
    <row r="328">
      <c r="F328">
        <f>IF([1]Accounts!$D$329="","",[1]Accounts!$A$329)</f>
        <v/>
      </c>
      <c r="G328">
        <f>IF([1]Accounts!$D$329="","",[1]Accounts!$B$329)</f>
        <v/>
      </c>
      <c r="H328">
        <f>IF([1]Accounts!$D$329="","",[1]Accounts!$C$329)</f>
        <v/>
      </c>
      <c r="I328">
        <f>IF([1]Accounts!$D$329="","",[1]Accounts!$D$329)</f>
        <v/>
      </c>
      <c r="R328">
        <f>IF(AND($F328&lt;&gt;"",$I328&lt;&gt;""),IF(OR($G328="دارایی ثابت",$G328="وام و تسهیلات",$G328="سرمایه و آورده صاحبان"),0,1),0)</f>
        <v/>
      </c>
      <c r="S328">
        <f>SUM($R$6:$R328)</f>
        <v/>
      </c>
      <c r="T328">
        <f>IFERROR(INDEX($F$6:$F$565,MATCH(ROW()-5,$S$6:$S$565,0)),"")</f>
        <v/>
      </c>
      <c r="Z328">
        <f>IF([2]Entry!$E$331="","",[2]Entry!$E$331)</f>
        <v/>
      </c>
      <c r="AA328">
        <f>IF([2]Entry!$G$331="","",[2]Entry!$G$331)</f>
        <v/>
      </c>
      <c r="AB328">
        <f>IF([2]Entry!$J$331="","",[2]Entry!$J$331)</f>
        <v/>
      </c>
      <c r="AC328">
        <f>IF([2]Entry!$K$331="","",[2]Entry!$K$331)</f>
        <v/>
      </c>
      <c r="AD328">
        <f>IF([2]Entry!$L$331="","",[2]Entry!$L$331)</f>
        <v/>
      </c>
      <c r="AE328">
        <f>IF([2]Entry!$M$331="","",[2]Entry!$M$331)</f>
        <v/>
      </c>
      <c r="AF328">
        <f>IF([2]Entry!$N$331="","",[2]Entry!$N$331)</f>
        <v/>
      </c>
      <c r="AG328">
        <f>IF([3]Issues!$B$331="","",[3]Issues!$B$331)</f>
        <v/>
      </c>
      <c r="AH328">
        <f>IF([3]Issues!$D$331="","",[3]Issues!$D$331)</f>
        <v/>
      </c>
      <c r="AI328">
        <f>IF([3]Issues!$E$331="","",[3]Issues!$E$331)</f>
        <v/>
      </c>
      <c r="AJ328">
        <f>IF([2]Entry!$S$331="","",[2]Entry!$S$331)</f>
        <v/>
      </c>
      <c r="AK328">
        <f>IF([2]Entry!$C$331="","",[2]Entry!$C$331)</f>
        <v/>
      </c>
      <c r="AL328">
        <f>IF([2]Entry!$D$331="","",[2]Entry!$D$331)</f>
        <v/>
      </c>
      <c r="AM328">
        <f>IF(AND($F328&lt;&gt;"",$I328&lt;&gt;""),IF($G328="دارایی ثابت",1,0),0)</f>
        <v/>
      </c>
      <c r="AN328">
        <f>SUM($AM$6:$AM328)</f>
        <v/>
      </c>
      <c r="AO328">
        <f>IFERROR(INDEX($F$6:$F$565,MATCH(ROW()-5,$AN$6:$AN$565,0)),"")</f>
        <v/>
      </c>
      <c r="AP328">
        <f>IF(AND($F328&lt;&gt;"",$I328&lt;&gt;""),IF($G328="وام و تسهیلات",1,0),0)</f>
        <v/>
      </c>
      <c r="AQ328">
        <f>SUM($AP$6:$AP328)</f>
        <v/>
      </c>
      <c r="AR328">
        <f>IFERROR(INDEX($F$6:$F$565,MATCH(ROW()-5,$AQ$6:$AQ$565,0)),"")</f>
        <v/>
      </c>
      <c r="AS328">
        <f>IF(AND($F328&lt;&gt;"",$I328&lt;&gt;""),IF($G328="سرمایه و آورده صاحبان",1,0),0)</f>
        <v/>
      </c>
      <c r="AT328">
        <f>SUM($AS$6:$AS328)</f>
        <v/>
      </c>
      <c r="AU328">
        <f>IFERROR(INDEX($F$6:$F$565,MATCH(ROW()-5,$AT$6:$AT$565,0)),"")</f>
        <v/>
      </c>
      <c r="AW328">
        <f>IF([3]Issues!$C$331="","",[3]Issues!$C$331)</f>
        <v/>
      </c>
      <c r="AX328">
        <f>IF([4]Entry!$E$331="","",[4]Entry!$E$331)</f>
        <v/>
      </c>
      <c r="AY328">
        <f>IF([4]Entry!$H$331="","",[4]Entry!$H$331)</f>
        <v/>
      </c>
      <c r="AZ328">
        <f>IF([4]Entry!$I$331="","",[4]Entry!$I$331)</f>
        <v/>
      </c>
    </row>
    <row r="329">
      <c r="F329">
        <f>IF([1]Accounts!$D$330="","",[1]Accounts!$A$330)</f>
        <v/>
      </c>
      <c r="G329">
        <f>IF([1]Accounts!$D$330="","",[1]Accounts!$B$330)</f>
        <v/>
      </c>
      <c r="H329">
        <f>IF([1]Accounts!$D$330="","",[1]Accounts!$C$330)</f>
        <v/>
      </c>
      <c r="I329">
        <f>IF([1]Accounts!$D$330="","",[1]Accounts!$D$330)</f>
        <v/>
      </c>
      <c r="R329">
        <f>IF(AND($F329&lt;&gt;"",$I329&lt;&gt;""),IF(OR($G329="دارایی ثابت",$G329="وام و تسهیلات",$G329="سرمایه و آورده صاحبان"),0,1),0)</f>
        <v/>
      </c>
      <c r="S329">
        <f>SUM($R$6:$R329)</f>
        <v/>
      </c>
      <c r="T329">
        <f>IFERROR(INDEX($F$6:$F$565,MATCH(ROW()-5,$S$6:$S$565,0)),"")</f>
        <v/>
      </c>
      <c r="Z329">
        <f>IF([2]Entry!$E$332="","",[2]Entry!$E$332)</f>
        <v/>
      </c>
      <c r="AA329">
        <f>IF([2]Entry!$G$332="","",[2]Entry!$G$332)</f>
        <v/>
      </c>
      <c r="AB329">
        <f>IF([2]Entry!$J$332="","",[2]Entry!$J$332)</f>
        <v/>
      </c>
      <c r="AC329">
        <f>IF([2]Entry!$K$332="","",[2]Entry!$K$332)</f>
        <v/>
      </c>
      <c r="AD329">
        <f>IF([2]Entry!$L$332="","",[2]Entry!$L$332)</f>
        <v/>
      </c>
      <c r="AE329">
        <f>IF([2]Entry!$M$332="","",[2]Entry!$M$332)</f>
        <v/>
      </c>
      <c r="AF329">
        <f>IF([2]Entry!$N$332="","",[2]Entry!$N$332)</f>
        <v/>
      </c>
      <c r="AG329">
        <f>IF([3]Issues!$B$332="","",[3]Issues!$B$332)</f>
        <v/>
      </c>
      <c r="AH329">
        <f>IF([3]Issues!$D$332="","",[3]Issues!$D$332)</f>
        <v/>
      </c>
      <c r="AI329">
        <f>IF([3]Issues!$E$332="","",[3]Issues!$E$332)</f>
        <v/>
      </c>
      <c r="AJ329">
        <f>IF([2]Entry!$S$332="","",[2]Entry!$S$332)</f>
        <v/>
      </c>
      <c r="AK329">
        <f>IF([2]Entry!$C$332="","",[2]Entry!$C$332)</f>
        <v/>
      </c>
      <c r="AL329">
        <f>IF([2]Entry!$D$332="","",[2]Entry!$D$332)</f>
        <v/>
      </c>
      <c r="AM329">
        <f>IF(AND($F329&lt;&gt;"",$I329&lt;&gt;""),IF($G329="دارایی ثابت",1,0),0)</f>
        <v/>
      </c>
      <c r="AN329">
        <f>SUM($AM$6:$AM329)</f>
        <v/>
      </c>
      <c r="AO329">
        <f>IFERROR(INDEX($F$6:$F$565,MATCH(ROW()-5,$AN$6:$AN$565,0)),"")</f>
        <v/>
      </c>
      <c r="AP329">
        <f>IF(AND($F329&lt;&gt;"",$I329&lt;&gt;""),IF($G329="وام و تسهیلات",1,0),0)</f>
        <v/>
      </c>
      <c r="AQ329">
        <f>SUM($AP$6:$AP329)</f>
        <v/>
      </c>
      <c r="AR329">
        <f>IFERROR(INDEX($F$6:$F$565,MATCH(ROW()-5,$AQ$6:$AQ$565,0)),"")</f>
        <v/>
      </c>
      <c r="AS329">
        <f>IF(AND($F329&lt;&gt;"",$I329&lt;&gt;""),IF($G329="سرمایه و آورده صاحبان",1,0),0)</f>
        <v/>
      </c>
      <c r="AT329">
        <f>SUM($AS$6:$AS329)</f>
        <v/>
      </c>
      <c r="AU329">
        <f>IFERROR(INDEX($F$6:$F$565,MATCH(ROW()-5,$AT$6:$AT$565,0)),"")</f>
        <v/>
      </c>
      <c r="AW329">
        <f>IF([3]Issues!$C$332="","",[3]Issues!$C$332)</f>
        <v/>
      </c>
      <c r="AX329">
        <f>IF([4]Entry!$E$332="","",[4]Entry!$E$332)</f>
        <v/>
      </c>
      <c r="AY329">
        <f>IF([4]Entry!$H$332="","",[4]Entry!$H$332)</f>
        <v/>
      </c>
      <c r="AZ329">
        <f>IF([4]Entry!$I$332="","",[4]Entry!$I$332)</f>
        <v/>
      </c>
    </row>
    <row r="330">
      <c r="F330">
        <f>IF([1]Accounts!$D$331="","",[1]Accounts!$A$331)</f>
        <v/>
      </c>
      <c r="G330">
        <f>IF([1]Accounts!$D$331="","",[1]Accounts!$B$331)</f>
        <v/>
      </c>
      <c r="H330">
        <f>IF([1]Accounts!$D$331="","",[1]Accounts!$C$331)</f>
        <v/>
      </c>
      <c r="I330">
        <f>IF([1]Accounts!$D$331="","",[1]Accounts!$D$331)</f>
        <v/>
      </c>
      <c r="R330">
        <f>IF(AND($F330&lt;&gt;"",$I330&lt;&gt;""),IF(OR($G330="دارایی ثابت",$G330="وام و تسهیلات",$G330="سرمایه و آورده صاحبان"),0,1),0)</f>
        <v/>
      </c>
      <c r="S330">
        <f>SUM($R$6:$R330)</f>
        <v/>
      </c>
      <c r="T330">
        <f>IFERROR(INDEX($F$6:$F$565,MATCH(ROW()-5,$S$6:$S$565,0)),"")</f>
        <v/>
      </c>
      <c r="Z330">
        <f>IF([2]Entry!$E$333="","",[2]Entry!$E$333)</f>
        <v/>
      </c>
      <c r="AA330">
        <f>IF([2]Entry!$G$333="","",[2]Entry!$G$333)</f>
        <v/>
      </c>
      <c r="AB330">
        <f>IF([2]Entry!$J$333="","",[2]Entry!$J$333)</f>
        <v/>
      </c>
      <c r="AC330">
        <f>IF([2]Entry!$K$333="","",[2]Entry!$K$333)</f>
        <v/>
      </c>
      <c r="AD330">
        <f>IF([2]Entry!$L$333="","",[2]Entry!$L$333)</f>
        <v/>
      </c>
      <c r="AE330">
        <f>IF([2]Entry!$M$333="","",[2]Entry!$M$333)</f>
        <v/>
      </c>
      <c r="AF330">
        <f>IF([2]Entry!$N$333="","",[2]Entry!$N$333)</f>
        <v/>
      </c>
      <c r="AG330">
        <f>IF([3]Issues!$B$333="","",[3]Issues!$B$333)</f>
        <v/>
      </c>
      <c r="AH330">
        <f>IF([3]Issues!$D$333="","",[3]Issues!$D$333)</f>
        <v/>
      </c>
      <c r="AI330">
        <f>IF([3]Issues!$E$333="","",[3]Issues!$E$333)</f>
        <v/>
      </c>
      <c r="AJ330">
        <f>IF([2]Entry!$S$333="","",[2]Entry!$S$333)</f>
        <v/>
      </c>
      <c r="AK330">
        <f>IF([2]Entry!$C$333="","",[2]Entry!$C$333)</f>
        <v/>
      </c>
      <c r="AL330">
        <f>IF([2]Entry!$D$333="","",[2]Entry!$D$333)</f>
        <v/>
      </c>
      <c r="AM330">
        <f>IF(AND($F330&lt;&gt;"",$I330&lt;&gt;""),IF($G330="دارایی ثابت",1,0),0)</f>
        <v/>
      </c>
      <c r="AN330">
        <f>SUM($AM$6:$AM330)</f>
        <v/>
      </c>
      <c r="AO330">
        <f>IFERROR(INDEX($F$6:$F$565,MATCH(ROW()-5,$AN$6:$AN$565,0)),"")</f>
        <v/>
      </c>
      <c r="AP330">
        <f>IF(AND($F330&lt;&gt;"",$I330&lt;&gt;""),IF($G330="وام و تسهیلات",1,0),0)</f>
        <v/>
      </c>
      <c r="AQ330">
        <f>SUM($AP$6:$AP330)</f>
        <v/>
      </c>
      <c r="AR330">
        <f>IFERROR(INDEX($F$6:$F$565,MATCH(ROW()-5,$AQ$6:$AQ$565,0)),"")</f>
        <v/>
      </c>
      <c r="AS330">
        <f>IF(AND($F330&lt;&gt;"",$I330&lt;&gt;""),IF($G330="سرمایه و آورده صاحبان",1,0),0)</f>
        <v/>
      </c>
      <c r="AT330">
        <f>SUM($AS$6:$AS330)</f>
        <v/>
      </c>
      <c r="AU330">
        <f>IFERROR(INDEX($F$6:$F$565,MATCH(ROW()-5,$AT$6:$AT$565,0)),"")</f>
        <v/>
      </c>
      <c r="AW330">
        <f>IF([3]Issues!$C$333="","",[3]Issues!$C$333)</f>
        <v/>
      </c>
      <c r="AX330">
        <f>IF([4]Entry!$E$333="","",[4]Entry!$E$333)</f>
        <v/>
      </c>
      <c r="AY330">
        <f>IF([4]Entry!$H$333="","",[4]Entry!$H$333)</f>
        <v/>
      </c>
      <c r="AZ330">
        <f>IF([4]Entry!$I$333="","",[4]Entry!$I$333)</f>
        <v/>
      </c>
    </row>
    <row r="331">
      <c r="F331">
        <f>IF([1]Accounts!$D$332="","",[1]Accounts!$A$332)</f>
        <v/>
      </c>
      <c r="G331">
        <f>IF([1]Accounts!$D$332="","",[1]Accounts!$B$332)</f>
        <v/>
      </c>
      <c r="H331">
        <f>IF([1]Accounts!$D$332="","",[1]Accounts!$C$332)</f>
        <v/>
      </c>
      <c r="I331">
        <f>IF([1]Accounts!$D$332="","",[1]Accounts!$D$332)</f>
        <v/>
      </c>
      <c r="R331">
        <f>IF(AND($F331&lt;&gt;"",$I331&lt;&gt;""),IF(OR($G331="دارایی ثابت",$G331="وام و تسهیلات",$G331="سرمایه و آورده صاحبان"),0,1),0)</f>
        <v/>
      </c>
      <c r="S331">
        <f>SUM($R$6:$R331)</f>
        <v/>
      </c>
      <c r="T331">
        <f>IFERROR(INDEX($F$6:$F$565,MATCH(ROW()-5,$S$6:$S$565,0)),"")</f>
        <v/>
      </c>
      <c r="Z331">
        <f>IF([2]Entry!$E$334="","",[2]Entry!$E$334)</f>
        <v/>
      </c>
      <c r="AA331">
        <f>IF([2]Entry!$G$334="","",[2]Entry!$G$334)</f>
        <v/>
      </c>
      <c r="AB331">
        <f>IF([2]Entry!$J$334="","",[2]Entry!$J$334)</f>
        <v/>
      </c>
      <c r="AC331">
        <f>IF([2]Entry!$K$334="","",[2]Entry!$K$334)</f>
        <v/>
      </c>
      <c r="AD331">
        <f>IF([2]Entry!$L$334="","",[2]Entry!$L$334)</f>
        <v/>
      </c>
      <c r="AE331">
        <f>IF([2]Entry!$M$334="","",[2]Entry!$M$334)</f>
        <v/>
      </c>
      <c r="AF331">
        <f>IF([2]Entry!$N$334="","",[2]Entry!$N$334)</f>
        <v/>
      </c>
      <c r="AG331">
        <f>IF([3]Issues!$B$334="","",[3]Issues!$B$334)</f>
        <v/>
      </c>
      <c r="AH331">
        <f>IF([3]Issues!$D$334="","",[3]Issues!$D$334)</f>
        <v/>
      </c>
      <c r="AI331">
        <f>IF([3]Issues!$E$334="","",[3]Issues!$E$334)</f>
        <v/>
      </c>
      <c r="AJ331">
        <f>IF([2]Entry!$S$334="","",[2]Entry!$S$334)</f>
        <v/>
      </c>
      <c r="AK331">
        <f>IF([2]Entry!$C$334="","",[2]Entry!$C$334)</f>
        <v/>
      </c>
      <c r="AL331">
        <f>IF([2]Entry!$D$334="","",[2]Entry!$D$334)</f>
        <v/>
      </c>
      <c r="AM331">
        <f>IF(AND($F331&lt;&gt;"",$I331&lt;&gt;""),IF($G331="دارایی ثابت",1,0),0)</f>
        <v/>
      </c>
      <c r="AN331">
        <f>SUM($AM$6:$AM331)</f>
        <v/>
      </c>
      <c r="AO331">
        <f>IFERROR(INDEX($F$6:$F$565,MATCH(ROW()-5,$AN$6:$AN$565,0)),"")</f>
        <v/>
      </c>
      <c r="AP331">
        <f>IF(AND($F331&lt;&gt;"",$I331&lt;&gt;""),IF($G331="وام و تسهیلات",1,0),0)</f>
        <v/>
      </c>
      <c r="AQ331">
        <f>SUM($AP$6:$AP331)</f>
        <v/>
      </c>
      <c r="AR331">
        <f>IFERROR(INDEX($F$6:$F$565,MATCH(ROW()-5,$AQ$6:$AQ$565,0)),"")</f>
        <v/>
      </c>
      <c r="AS331">
        <f>IF(AND($F331&lt;&gt;"",$I331&lt;&gt;""),IF($G331="سرمایه و آورده صاحبان",1,0),0)</f>
        <v/>
      </c>
      <c r="AT331">
        <f>SUM($AS$6:$AS331)</f>
        <v/>
      </c>
      <c r="AU331">
        <f>IFERROR(INDEX($F$6:$F$565,MATCH(ROW()-5,$AT$6:$AT$565,0)),"")</f>
        <v/>
      </c>
      <c r="AW331">
        <f>IF([3]Issues!$C$334="","",[3]Issues!$C$334)</f>
        <v/>
      </c>
      <c r="AX331">
        <f>IF([4]Entry!$E$334="","",[4]Entry!$E$334)</f>
        <v/>
      </c>
      <c r="AY331">
        <f>IF([4]Entry!$H$334="","",[4]Entry!$H$334)</f>
        <v/>
      </c>
      <c r="AZ331">
        <f>IF([4]Entry!$I$334="","",[4]Entry!$I$334)</f>
        <v/>
      </c>
    </row>
    <row r="332">
      <c r="F332">
        <f>IF([1]Accounts!$D$333="","",[1]Accounts!$A$333)</f>
        <v/>
      </c>
      <c r="G332">
        <f>IF([1]Accounts!$D$333="","",[1]Accounts!$B$333)</f>
        <v/>
      </c>
      <c r="H332">
        <f>IF([1]Accounts!$D$333="","",[1]Accounts!$C$333)</f>
        <v/>
      </c>
      <c r="I332">
        <f>IF([1]Accounts!$D$333="","",[1]Accounts!$D$333)</f>
        <v/>
      </c>
      <c r="R332">
        <f>IF(AND($F332&lt;&gt;"",$I332&lt;&gt;""),IF(OR($G332="دارایی ثابت",$G332="وام و تسهیلات",$G332="سرمایه و آورده صاحبان"),0,1),0)</f>
        <v/>
      </c>
      <c r="S332">
        <f>SUM($R$6:$R332)</f>
        <v/>
      </c>
      <c r="T332">
        <f>IFERROR(INDEX($F$6:$F$565,MATCH(ROW()-5,$S$6:$S$565,0)),"")</f>
        <v/>
      </c>
      <c r="Z332">
        <f>IF([2]Entry!$E$335="","",[2]Entry!$E$335)</f>
        <v/>
      </c>
      <c r="AA332">
        <f>IF([2]Entry!$G$335="","",[2]Entry!$G$335)</f>
        <v/>
      </c>
      <c r="AB332">
        <f>IF([2]Entry!$J$335="","",[2]Entry!$J$335)</f>
        <v/>
      </c>
      <c r="AC332">
        <f>IF([2]Entry!$K$335="","",[2]Entry!$K$335)</f>
        <v/>
      </c>
      <c r="AD332">
        <f>IF([2]Entry!$L$335="","",[2]Entry!$L$335)</f>
        <v/>
      </c>
      <c r="AE332">
        <f>IF([2]Entry!$M$335="","",[2]Entry!$M$335)</f>
        <v/>
      </c>
      <c r="AF332">
        <f>IF([2]Entry!$N$335="","",[2]Entry!$N$335)</f>
        <v/>
      </c>
      <c r="AG332">
        <f>IF([3]Issues!$B$335="","",[3]Issues!$B$335)</f>
        <v/>
      </c>
      <c r="AH332">
        <f>IF([3]Issues!$D$335="","",[3]Issues!$D$335)</f>
        <v/>
      </c>
      <c r="AI332">
        <f>IF([3]Issues!$E$335="","",[3]Issues!$E$335)</f>
        <v/>
      </c>
      <c r="AJ332">
        <f>IF([2]Entry!$S$335="","",[2]Entry!$S$335)</f>
        <v/>
      </c>
      <c r="AK332">
        <f>IF([2]Entry!$C$335="","",[2]Entry!$C$335)</f>
        <v/>
      </c>
      <c r="AL332">
        <f>IF([2]Entry!$D$335="","",[2]Entry!$D$335)</f>
        <v/>
      </c>
      <c r="AM332">
        <f>IF(AND($F332&lt;&gt;"",$I332&lt;&gt;""),IF($G332="دارایی ثابت",1,0),0)</f>
        <v/>
      </c>
      <c r="AN332">
        <f>SUM($AM$6:$AM332)</f>
        <v/>
      </c>
      <c r="AO332">
        <f>IFERROR(INDEX($F$6:$F$565,MATCH(ROW()-5,$AN$6:$AN$565,0)),"")</f>
        <v/>
      </c>
      <c r="AP332">
        <f>IF(AND($F332&lt;&gt;"",$I332&lt;&gt;""),IF($G332="وام و تسهیلات",1,0),0)</f>
        <v/>
      </c>
      <c r="AQ332">
        <f>SUM($AP$6:$AP332)</f>
        <v/>
      </c>
      <c r="AR332">
        <f>IFERROR(INDEX($F$6:$F$565,MATCH(ROW()-5,$AQ$6:$AQ$565,0)),"")</f>
        <v/>
      </c>
      <c r="AS332">
        <f>IF(AND($F332&lt;&gt;"",$I332&lt;&gt;""),IF($G332="سرمایه و آورده صاحبان",1,0),0)</f>
        <v/>
      </c>
      <c r="AT332">
        <f>SUM($AS$6:$AS332)</f>
        <v/>
      </c>
      <c r="AU332">
        <f>IFERROR(INDEX($F$6:$F$565,MATCH(ROW()-5,$AT$6:$AT$565,0)),"")</f>
        <v/>
      </c>
      <c r="AW332">
        <f>IF([3]Issues!$C$335="","",[3]Issues!$C$335)</f>
        <v/>
      </c>
      <c r="AX332">
        <f>IF([4]Entry!$E$335="","",[4]Entry!$E$335)</f>
        <v/>
      </c>
      <c r="AY332">
        <f>IF([4]Entry!$H$335="","",[4]Entry!$H$335)</f>
        <v/>
      </c>
      <c r="AZ332">
        <f>IF([4]Entry!$I$335="","",[4]Entry!$I$335)</f>
        <v/>
      </c>
    </row>
    <row r="333">
      <c r="F333">
        <f>IF([1]Accounts!$D$334="","",[1]Accounts!$A$334)</f>
        <v/>
      </c>
      <c r="G333">
        <f>IF([1]Accounts!$D$334="","",[1]Accounts!$B$334)</f>
        <v/>
      </c>
      <c r="H333">
        <f>IF([1]Accounts!$D$334="","",[1]Accounts!$C$334)</f>
        <v/>
      </c>
      <c r="I333">
        <f>IF([1]Accounts!$D$334="","",[1]Accounts!$D$334)</f>
        <v/>
      </c>
      <c r="R333">
        <f>IF(AND($F333&lt;&gt;"",$I333&lt;&gt;""),IF(OR($G333="دارایی ثابت",$G333="وام و تسهیلات",$G333="سرمایه و آورده صاحبان"),0,1),0)</f>
        <v/>
      </c>
      <c r="S333">
        <f>SUM($R$6:$R333)</f>
        <v/>
      </c>
      <c r="T333">
        <f>IFERROR(INDEX($F$6:$F$565,MATCH(ROW()-5,$S$6:$S$565,0)),"")</f>
        <v/>
      </c>
      <c r="Z333">
        <f>IF([2]Entry!$E$336="","",[2]Entry!$E$336)</f>
        <v/>
      </c>
      <c r="AA333">
        <f>IF([2]Entry!$G$336="","",[2]Entry!$G$336)</f>
        <v/>
      </c>
      <c r="AB333">
        <f>IF([2]Entry!$J$336="","",[2]Entry!$J$336)</f>
        <v/>
      </c>
      <c r="AC333">
        <f>IF([2]Entry!$K$336="","",[2]Entry!$K$336)</f>
        <v/>
      </c>
      <c r="AD333">
        <f>IF([2]Entry!$L$336="","",[2]Entry!$L$336)</f>
        <v/>
      </c>
      <c r="AE333">
        <f>IF([2]Entry!$M$336="","",[2]Entry!$M$336)</f>
        <v/>
      </c>
      <c r="AF333">
        <f>IF([2]Entry!$N$336="","",[2]Entry!$N$336)</f>
        <v/>
      </c>
      <c r="AG333">
        <f>IF([3]Issues!$B$336="","",[3]Issues!$B$336)</f>
        <v/>
      </c>
      <c r="AH333">
        <f>IF([3]Issues!$D$336="","",[3]Issues!$D$336)</f>
        <v/>
      </c>
      <c r="AI333">
        <f>IF([3]Issues!$E$336="","",[3]Issues!$E$336)</f>
        <v/>
      </c>
      <c r="AJ333">
        <f>IF([2]Entry!$S$336="","",[2]Entry!$S$336)</f>
        <v/>
      </c>
      <c r="AK333">
        <f>IF([2]Entry!$C$336="","",[2]Entry!$C$336)</f>
        <v/>
      </c>
      <c r="AL333">
        <f>IF([2]Entry!$D$336="","",[2]Entry!$D$336)</f>
        <v/>
      </c>
      <c r="AM333">
        <f>IF(AND($F333&lt;&gt;"",$I333&lt;&gt;""),IF($G333="دارایی ثابت",1,0),0)</f>
        <v/>
      </c>
      <c r="AN333">
        <f>SUM($AM$6:$AM333)</f>
        <v/>
      </c>
      <c r="AO333">
        <f>IFERROR(INDEX($F$6:$F$565,MATCH(ROW()-5,$AN$6:$AN$565,0)),"")</f>
        <v/>
      </c>
      <c r="AP333">
        <f>IF(AND($F333&lt;&gt;"",$I333&lt;&gt;""),IF($G333="وام و تسهیلات",1,0),0)</f>
        <v/>
      </c>
      <c r="AQ333">
        <f>SUM($AP$6:$AP333)</f>
        <v/>
      </c>
      <c r="AR333">
        <f>IFERROR(INDEX($F$6:$F$565,MATCH(ROW()-5,$AQ$6:$AQ$565,0)),"")</f>
        <v/>
      </c>
      <c r="AS333">
        <f>IF(AND($F333&lt;&gt;"",$I333&lt;&gt;""),IF($G333="سرمایه و آورده صاحبان",1,0),0)</f>
        <v/>
      </c>
      <c r="AT333">
        <f>SUM($AS$6:$AS333)</f>
        <v/>
      </c>
      <c r="AU333">
        <f>IFERROR(INDEX($F$6:$F$565,MATCH(ROW()-5,$AT$6:$AT$565,0)),"")</f>
        <v/>
      </c>
      <c r="AW333">
        <f>IF([3]Issues!$C$336="","",[3]Issues!$C$336)</f>
        <v/>
      </c>
      <c r="AX333">
        <f>IF([4]Entry!$E$336="","",[4]Entry!$E$336)</f>
        <v/>
      </c>
      <c r="AY333">
        <f>IF([4]Entry!$H$336="","",[4]Entry!$H$336)</f>
        <v/>
      </c>
      <c r="AZ333">
        <f>IF([4]Entry!$I$336="","",[4]Entry!$I$336)</f>
        <v/>
      </c>
    </row>
    <row r="334">
      <c r="F334">
        <f>IF([1]Accounts!$D$335="","",[1]Accounts!$A$335)</f>
        <v/>
      </c>
      <c r="G334">
        <f>IF([1]Accounts!$D$335="","",[1]Accounts!$B$335)</f>
        <v/>
      </c>
      <c r="H334">
        <f>IF([1]Accounts!$D$335="","",[1]Accounts!$C$335)</f>
        <v/>
      </c>
      <c r="I334">
        <f>IF([1]Accounts!$D$335="","",[1]Accounts!$D$335)</f>
        <v/>
      </c>
      <c r="R334">
        <f>IF(AND($F334&lt;&gt;"",$I334&lt;&gt;""),IF(OR($G334="دارایی ثابت",$G334="وام و تسهیلات",$G334="سرمایه و آورده صاحبان"),0,1),0)</f>
        <v/>
      </c>
      <c r="S334">
        <f>SUM($R$6:$R334)</f>
        <v/>
      </c>
      <c r="T334">
        <f>IFERROR(INDEX($F$6:$F$565,MATCH(ROW()-5,$S$6:$S$565,0)),"")</f>
        <v/>
      </c>
      <c r="Z334">
        <f>IF([2]Entry!$E$337="","",[2]Entry!$E$337)</f>
        <v/>
      </c>
      <c r="AA334">
        <f>IF([2]Entry!$G$337="","",[2]Entry!$G$337)</f>
        <v/>
      </c>
      <c r="AB334">
        <f>IF([2]Entry!$J$337="","",[2]Entry!$J$337)</f>
        <v/>
      </c>
      <c r="AC334">
        <f>IF([2]Entry!$K$337="","",[2]Entry!$K$337)</f>
        <v/>
      </c>
      <c r="AD334">
        <f>IF([2]Entry!$L$337="","",[2]Entry!$L$337)</f>
        <v/>
      </c>
      <c r="AE334">
        <f>IF([2]Entry!$M$337="","",[2]Entry!$M$337)</f>
        <v/>
      </c>
      <c r="AF334">
        <f>IF([2]Entry!$N$337="","",[2]Entry!$N$337)</f>
        <v/>
      </c>
      <c r="AG334">
        <f>IF([3]Issues!$B$337="","",[3]Issues!$B$337)</f>
        <v/>
      </c>
      <c r="AH334">
        <f>IF([3]Issues!$D$337="","",[3]Issues!$D$337)</f>
        <v/>
      </c>
      <c r="AI334">
        <f>IF([3]Issues!$E$337="","",[3]Issues!$E$337)</f>
        <v/>
      </c>
      <c r="AJ334">
        <f>IF([2]Entry!$S$337="","",[2]Entry!$S$337)</f>
        <v/>
      </c>
      <c r="AK334">
        <f>IF([2]Entry!$C$337="","",[2]Entry!$C$337)</f>
        <v/>
      </c>
      <c r="AL334">
        <f>IF([2]Entry!$D$337="","",[2]Entry!$D$337)</f>
        <v/>
      </c>
      <c r="AM334">
        <f>IF(AND($F334&lt;&gt;"",$I334&lt;&gt;""),IF($G334="دارایی ثابت",1,0),0)</f>
        <v/>
      </c>
      <c r="AN334">
        <f>SUM($AM$6:$AM334)</f>
        <v/>
      </c>
      <c r="AO334">
        <f>IFERROR(INDEX($F$6:$F$565,MATCH(ROW()-5,$AN$6:$AN$565,0)),"")</f>
        <v/>
      </c>
      <c r="AP334">
        <f>IF(AND($F334&lt;&gt;"",$I334&lt;&gt;""),IF($G334="وام و تسهیلات",1,0),0)</f>
        <v/>
      </c>
      <c r="AQ334">
        <f>SUM($AP$6:$AP334)</f>
        <v/>
      </c>
      <c r="AR334">
        <f>IFERROR(INDEX($F$6:$F$565,MATCH(ROW()-5,$AQ$6:$AQ$565,0)),"")</f>
        <v/>
      </c>
      <c r="AS334">
        <f>IF(AND($F334&lt;&gt;"",$I334&lt;&gt;""),IF($G334="سرمایه و آورده صاحبان",1,0),0)</f>
        <v/>
      </c>
      <c r="AT334">
        <f>SUM($AS$6:$AS334)</f>
        <v/>
      </c>
      <c r="AU334">
        <f>IFERROR(INDEX($F$6:$F$565,MATCH(ROW()-5,$AT$6:$AT$565,0)),"")</f>
        <v/>
      </c>
      <c r="AW334">
        <f>IF([3]Issues!$C$337="","",[3]Issues!$C$337)</f>
        <v/>
      </c>
      <c r="AX334">
        <f>IF([4]Entry!$E$337="","",[4]Entry!$E$337)</f>
        <v/>
      </c>
      <c r="AY334">
        <f>IF([4]Entry!$H$337="","",[4]Entry!$H$337)</f>
        <v/>
      </c>
      <c r="AZ334">
        <f>IF([4]Entry!$I$337="","",[4]Entry!$I$337)</f>
        <v/>
      </c>
    </row>
    <row r="335">
      <c r="F335">
        <f>IF([1]Accounts!$D$336="","",[1]Accounts!$A$336)</f>
        <v/>
      </c>
      <c r="G335">
        <f>IF([1]Accounts!$D$336="","",[1]Accounts!$B$336)</f>
        <v/>
      </c>
      <c r="H335">
        <f>IF([1]Accounts!$D$336="","",[1]Accounts!$C$336)</f>
        <v/>
      </c>
      <c r="I335">
        <f>IF([1]Accounts!$D$336="","",[1]Accounts!$D$336)</f>
        <v/>
      </c>
      <c r="R335">
        <f>IF(AND($F335&lt;&gt;"",$I335&lt;&gt;""),IF(OR($G335="دارایی ثابت",$G335="وام و تسهیلات",$G335="سرمایه و آورده صاحبان"),0,1),0)</f>
        <v/>
      </c>
      <c r="S335">
        <f>SUM($R$6:$R335)</f>
        <v/>
      </c>
      <c r="T335">
        <f>IFERROR(INDEX($F$6:$F$565,MATCH(ROW()-5,$S$6:$S$565,0)),"")</f>
        <v/>
      </c>
      <c r="Z335">
        <f>IF([2]Entry!$E$338="","",[2]Entry!$E$338)</f>
        <v/>
      </c>
      <c r="AA335">
        <f>IF([2]Entry!$G$338="","",[2]Entry!$G$338)</f>
        <v/>
      </c>
      <c r="AB335">
        <f>IF([2]Entry!$J$338="","",[2]Entry!$J$338)</f>
        <v/>
      </c>
      <c r="AC335">
        <f>IF([2]Entry!$K$338="","",[2]Entry!$K$338)</f>
        <v/>
      </c>
      <c r="AD335">
        <f>IF([2]Entry!$L$338="","",[2]Entry!$L$338)</f>
        <v/>
      </c>
      <c r="AE335">
        <f>IF([2]Entry!$M$338="","",[2]Entry!$M$338)</f>
        <v/>
      </c>
      <c r="AF335">
        <f>IF([2]Entry!$N$338="","",[2]Entry!$N$338)</f>
        <v/>
      </c>
      <c r="AG335">
        <f>IF([3]Issues!$B$338="","",[3]Issues!$B$338)</f>
        <v/>
      </c>
      <c r="AH335">
        <f>IF([3]Issues!$D$338="","",[3]Issues!$D$338)</f>
        <v/>
      </c>
      <c r="AI335">
        <f>IF([3]Issues!$E$338="","",[3]Issues!$E$338)</f>
        <v/>
      </c>
      <c r="AJ335">
        <f>IF([2]Entry!$S$338="","",[2]Entry!$S$338)</f>
        <v/>
      </c>
      <c r="AK335">
        <f>IF([2]Entry!$C$338="","",[2]Entry!$C$338)</f>
        <v/>
      </c>
      <c r="AL335">
        <f>IF([2]Entry!$D$338="","",[2]Entry!$D$338)</f>
        <v/>
      </c>
      <c r="AM335">
        <f>IF(AND($F335&lt;&gt;"",$I335&lt;&gt;""),IF($G335="دارایی ثابت",1,0),0)</f>
        <v/>
      </c>
      <c r="AN335">
        <f>SUM($AM$6:$AM335)</f>
        <v/>
      </c>
      <c r="AO335">
        <f>IFERROR(INDEX($F$6:$F$565,MATCH(ROW()-5,$AN$6:$AN$565,0)),"")</f>
        <v/>
      </c>
      <c r="AP335">
        <f>IF(AND($F335&lt;&gt;"",$I335&lt;&gt;""),IF($G335="وام و تسهیلات",1,0),0)</f>
        <v/>
      </c>
      <c r="AQ335">
        <f>SUM($AP$6:$AP335)</f>
        <v/>
      </c>
      <c r="AR335">
        <f>IFERROR(INDEX($F$6:$F$565,MATCH(ROW()-5,$AQ$6:$AQ$565,0)),"")</f>
        <v/>
      </c>
      <c r="AS335">
        <f>IF(AND($F335&lt;&gt;"",$I335&lt;&gt;""),IF($G335="سرمایه و آورده صاحبان",1,0),0)</f>
        <v/>
      </c>
      <c r="AT335">
        <f>SUM($AS$6:$AS335)</f>
        <v/>
      </c>
      <c r="AU335">
        <f>IFERROR(INDEX($F$6:$F$565,MATCH(ROW()-5,$AT$6:$AT$565,0)),"")</f>
        <v/>
      </c>
      <c r="AW335">
        <f>IF([3]Issues!$C$338="","",[3]Issues!$C$338)</f>
        <v/>
      </c>
      <c r="AX335">
        <f>IF([4]Entry!$E$338="","",[4]Entry!$E$338)</f>
        <v/>
      </c>
      <c r="AY335">
        <f>IF([4]Entry!$H$338="","",[4]Entry!$H$338)</f>
        <v/>
      </c>
      <c r="AZ335">
        <f>IF([4]Entry!$I$338="","",[4]Entry!$I$338)</f>
        <v/>
      </c>
    </row>
    <row r="336">
      <c r="F336">
        <f>IF([1]Accounts!$D$337="","",[1]Accounts!$A$337)</f>
        <v/>
      </c>
      <c r="G336">
        <f>IF([1]Accounts!$D$337="","",[1]Accounts!$B$337)</f>
        <v/>
      </c>
      <c r="H336">
        <f>IF([1]Accounts!$D$337="","",[1]Accounts!$C$337)</f>
        <v/>
      </c>
      <c r="I336">
        <f>IF([1]Accounts!$D$337="","",[1]Accounts!$D$337)</f>
        <v/>
      </c>
      <c r="R336">
        <f>IF(AND($F336&lt;&gt;"",$I336&lt;&gt;""),IF(OR($G336="دارایی ثابت",$G336="وام و تسهیلات",$G336="سرمایه و آورده صاحبان"),0,1),0)</f>
        <v/>
      </c>
      <c r="S336">
        <f>SUM($R$6:$R336)</f>
        <v/>
      </c>
      <c r="T336">
        <f>IFERROR(INDEX($F$6:$F$565,MATCH(ROW()-5,$S$6:$S$565,0)),"")</f>
        <v/>
      </c>
      <c r="Z336">
        <f>IF([2]Entry!$E$339="","",[2]Entry!$E$339)</f>
        <v/>
      </c>
      <c r="AA336">
        <f>IF([2]Entry!$G$339="","",[2]Entry!$G$339)</f>
        <v/>
      </c>
      <c r="AB336">
        <f>IF([2]Entry!$J$339="","",[2]Entry!$J$339)</f>
        <v/>
      </c>
      <c r="AC336">
        <f>IF([2]Entry!$K$339="","",[2]Entry!$K$339)</f>
        <v/>
      </c>
      <c r="AD336">
        <f>IF([2]Entry!$L$339="","",[2]Entry!$L$339)</f>
        <v/>
      </c>
      <c r="AE336">
        <f>IF([2]Entry!$M$339="","",[2]Entry!$M$339)</f>
        <v/>
      </c>
      <c r="AF336">
        <f>IF([2]Entry!$N$339="","",[2]Entry!$N$339)</f>
        <v/>
      </c>
      <c r="AG336">
        <f>IF([3]Issues!$B$339="","",[3]Issues!$B$339)</f>
        <v/>
      </c>
      <c r="AH336">
        <f>IF([3]Issues!$D$339="","",[3]Issues!$D$339)</f>
        <v/>
      </c>
      <c r="AI336">
        <f>IF([3]Issues!$E$339="","",[3]Issues!$E$339)</f>
        <v/>
      </c>
      <c r="AJ336">
        <f>IF([2]Entry!$S$339="","",[2]Entry!$S$339)</f>
        <v/>
      </c>
      <c r="AK336">
        <f>IF([2]Entry!$C$339="","",[2]Entry!$C$339)</f>
        <v/>
      </c>
      <c r="AL336">
        <f>IF([2]Entry!$D$339="","",[2]Entry!$D$339)</f>
        <v/>
      </c>
      <c r="AM336">
        <f>IF(AND($F336&lt;&gt;"",$I336&lt;&gt;""),IF($G336="دارایی ثابت",1,0),0)</f>
        <v/>
      </c>
      <c r="AN336">
        <f>SUM($AM$6:$AM336)</f>
        <v/>
      </c>
      <c r="AO336">
        <f>IFERROR(INDEX($F$6:$F$565,MATCH(ROW()-5,$AN$6:$AN$565,0)),"")</f>
        <v/>
      </c>
      <c r="AP336">
        <f>IF(AND($F336&lt;&gt;"",$I336&lt;&gt;""),IF($G336="وام و تسهیلات",1,0),0)</f>
        <v/>
      </c>
      <c r="AQ336">
        <f>SUM($AP$6:$AP336)</f>
        <v/>
      </c>
      <c r="AR336">
        <f>IFERROR(INDEX($F$6:$F$565,MATCH(ROW()-5,$AQ$6:$AQ$565,0)),"")</f>
        <v/>
      </c>
      <c r="AS336">
        <f>IF(AND($F336&lt;&gt;"",$I336&lt;&gt;""),IF($G336="سرمایه و آورده صاحبان",1,0),0)</f>
        <v/>
      </c>
      <c r="AT336">
        <f>SUM($AS$6:$AS336)</f>
        <v/>
      </c>
      <c r="AU336">
        <f>IFERROR(INDEX($F$6:$F$565,MATCH(ROW()-5,$AT$6:$AT$565,0)),"")</f>
        <v/>
      </c>
      <c r="AW336">
        <f>IF([3]Issues!$C$339="","",[3]Issues!$C$339)</f>
        <v/>
      </c>
      <c r="AX336">
        <f>IF([4]Entry!$E$339="","",[4]Entry!$E$339)</f>
        <v/>
      </c>
      <c r="AY336">
        <f>IF([4]Entry!$H$339="","",[4]Entry!$H$339)</f>
        <v/>
      </c>
      <c r="AZ336">
        <f>IF([4]Entry!$I$339="","",[4]Entry!$I$339)</f>
        <v/>
      </c>
    </row>
    <row r="337">
      <c r="F337">
        <f>IF([1]Accounts!$D$338="","",[1]Accounts!$A$338)</f>
        <v/>
      </c>
      <c r="G337">
        <f>IF([1]Accounts!$D$338="","",[1]Accounts!$B$338)</f>
        <v/>
      </c>
      <c r="H337">
        <f>IF([1]Accounts!$D$338="","",[1]Accounts!$C$338)</f>
        <v/>
      </c>
      <c r="I337">
        <f>IF([1]Accounts!$D$338="","",[1]Accounts!$D$338)</f>
        <v/>
      </c>
      <c r="R337">
        <f>IF(AND($F337&lt;&gt;"",$I337&lt;&gt;""),IF(OR($G337="دارایی ثابت",$G337="وام و تسهیلات",$G337="سرمایه و آورده صاحبان"),0,1),0)</f>
        <v/>
      </c>
      <c r="S337">
        <f>SUM($R$6:$R337)</f>
        <v/>
      </c>
      <c r="T337">
        <f>IFERROR(INDEX($F$6:$F$565,MATCH(ROW()-5,$S$6:$S$565,0)),"")</f>
        <v/>
      </c>
      <c r="Z337">
        <f>IF([2]Entry!$E$340="","",[2]Entry!$E$340)</f>
        <v/>
      </c>
      <c r="AA337">
        <f>IF([2]Entry!$G$340="","",[2]Entry!$G$340)</f>
        <v/>
      </c>
      <c r="AB337">
        <f>IF([2]Entry!$J$340="","",[2]Entry!$J$340)</f>
        <v/>
      </c>
      <c r="AC337">
        <f>IF([2]Entry!$K$340="","",[2]Entry!$K$340)</f>
        <v/>
      </c>
      <c r="AD337">
        <f>IF([2]Entry!$L$340="","",[2]Entry!$L$340)</f>
        <v/>
      </c>
      <c r="AE337">
        <f>IF([2]Entry!$M$340="","",[2]Entry!$M$340)</f>
        <v/>
      </c>
      <c r="AF337">
        <f>IF([2]Entry!$N$340="","",[2]Entry!$N$340)</f>
        <v/>
      </c>
      <c r="AG337">
        <f>IF([3]Issues!$B$340="","",[3]Issues!$B$340)</f>
        <v/>
      </c>
      <c r="AH337">
        <f>IF([3]Issues!$D$340="","",[3]Issues!$D$340)</f>
        <v/>
      </c>
      <c r="AI337">
        <f>IF([3]Issues!$E$340="","",[3]Issues!$E$340)</f>
        <v/>
      </c>
      <c r="AJ337">
        <f>IF([2]Entry!$S$340="","",[2]Entry!$S$340)</f>
        <v/>
      </c>
      <c r="AK337">
        <f>IF([2]Entry!$C$340="","",[2]Entry!$C$340)</f>
        <v/>
      </c>
      <c r="AL337">
        <f>IF([2]Entry!$D$340="","",[2]Entry!$D$340)</f>
        <v/>
      </c>
      <c r="AM337">
        <f>IF(AND($F337&lt;&gt;"",$I337&lt;&gt;""),IF($G337="دارایی ثابت",1,0),0)</f>
        <v/>
      </c>
      <c r="AN337">
        <f>SUM($AM$6:$AM337)</f>
        <v/>
      </c>
      <c r="AO337">
        <f>IFERROR(INDEX($F$6:$F$565,MATCH(ROW()-5,$AN$6:$AN$565,0)),"")</f>
        <v/>
      </c>
      <c r="AP337">
        <f>IF(AND($F337&lt;&gt;"",$I337&lt;&gt;""),IF($G337="وام و تسهیلات",1,0),0)</f>
        <v/>
      </c>
      <c r="AQ337">
        <f>SUM($AP$6:$AP337)</f>
        <v/>
      </c>
      <c r="AR337">
        <f>IFERROR(INDEX($F$6:$F$565,MATCH(ROW()-5,$AQ$6:$AQ$565,0)),"")</f>
        <v/>
      </c>
      <c r="AS337">
        <f>IF(AND($F337&lt;&gt;"",$I337&lt;&gt;""),IF($G337="سرمایه و آورده صاحبان",1,0),0)</f>
        <v/>
      </c>
      <c r="AT337">
        <f>SUM($AS$6:$AS337)</f>
        <v/>
      </c>
      <c r="AU337">
        <f>IFERROR(INDEX($F$6:$F$565,MATCH(ROW()-5,$AT$6:$AT$565,0)),"")</f>
        <v/>
      </c>
      <c r="AW337">
        <f>IF([3]Issues!$C$340="","",[3]Issues!$C$340)</f>
        <v/>
      </c>
      <c r="AX337">
        <f>IF([4]Entry!$E$340="","",[4]Entry!$E$340)</f>
        <v/>
      </c>
      <c r="AY337">
        <f>IF([4]Entry!$H$340="","",[4]Entry!$H$340)</f>
        <v/>
      </c>
      <c r="AZ337">
        <f>IF([4]Entry!$I$340="","",[4]Entry!$I$340)</f>
        <v/>
      </c>
    </row>
    <row r="338">
      <c r="F338">
        <f>IF([1]Accounts!$D$339="","",[1]Accounts!$A$339)</f>
        <v/>
      </c>
      <c r="G338">
        <f>IF([1]Accounts!$D$339="","",[1]Accounts!$B$339)</f>
        <v/>
      </c>
      <c r="H338">
        <f>IF([1]Accounts!$D$339="","",[1]Accounts!$C$339)</f>
        <v/>
      </c>
      <c r="I338">
        <f>IF([1]Accounts!$D$339="","",[1]Accounts!$D$339)</f>
        <v/>
      </c>
      <c r="R338">
        <f>IF(AND($F338&lt;&gt;"",$I338&lt;&gt;""),IF(OR($G338="دارایی ثابت",$G338="وام و تسهیلات",$G338="سرمایه و آورده صاحبان"),0,1),0)</f>
        <v/>
      </c>
      <c r="S338">
        <f>SUM($R$6:$R338)</f>
        <v/>
      </c>
      <c r="T338">
        <f>IFERROR(INDEX($F$6:$F$565,MATCH(ROW()-5,$S$6:$S$565,0)),"")</f>
        <v/>
      </c>
      <c r="Z338">
        <f>IF([2]Entry!$E$341="","",[2]Entry!$E$341)</f>
        <v/>
      </c>
      <c r="AA338">
        <f>IF([2]Entry!$G$341="","",[2]Entry!$G$341)</f>
        <v/>
      </c>
      <c r="AB338">
        <f>IF([2]Entry!$J$341="","",[2]Entry!$J$341)</f>
        <v/>
      </c>
      <c r="AC338">
        <f>IF([2]Entry!$K$341="","",[2]Entry!$K$341)</f>
        <v/>
      </c>
      <c r="AD338">
        <f>IF([2]Entry!$L$341="","",[2]Entry!$L$341)</f>
        <v/>
      </c>
      <c r="AE338">
        <f>IF([2]Entry!$M$341="","",[2]Entry!$M$341)</f>
        <v/>
      </c>
      <c r="AF338">
        <f>IF([2]Entry!$N$341="","",[2]Entry!$N$341)</f>
        <v/>
      </c>
      <c r="AG338">
        <f>IF([3]Issues!$B$341="","",[3]Issues!$B$341)</f>
        <v/>
      </c>
      <c r="AH338">
        <f>IF([3]Issues!$D$341="","",[3]Issues!$D$341)</f>
        <v/>
      </c>
      <c r="AI338">
        <f>IF([3]Issues!$E$341="","",[3]Issues!$E$341)</f>
        <v/>
      </c>
      <c r="AJ338">
        <f>IF([2]Entry!$S$341="","",[2]Entry!$S$341)</f>
        <v/>
      </c>
      <c r="AK338">
        <f>IF([2]Entry!$C$341="","",[2]Entry!$C$341)</f>
        <v/>
      </c>
      <c r="AL338">
        <f>IF([2]Entry!$D$341="","",[2]Entry!$D$341)</f>
        <v/>
      </c>
      <c r="AM338">
        <f>IF(AND($F338&lt;&gt;"",$I338&lt;&gt;""),IF($G338="دارایی ثابت",1,0),0)</f>
        <v/>
      </c>
      <c r="AN338">
        <f>SUM($AM$6:$AM338)</f>
        <v/>
      </c>
      <c r="AO338">
        <f>IFERROR(INDEX($F$6:$F$565,MATCH(ROW()-5,$AN$6:$AN$565,0)),"")</f>
        <v/>
      </c>
      <c r="AP338">
        <f>IF(AND($F338&lt;&gt;"",$I338&lt;&gt;""),IF($G338="وام و تسهیلات",1,0),0)</f>
        <v/>
      </c>
      <c r="AQ338">
        <f>SUM($AP$6:$AP338)</f>
        <v/>
      </c>
      <c r="AR338">
        <f>IFERROR(INDEX($F$6:$F$565,MATCH(ROW()-5,$AQ$6:$AQ$565,0)),"")</f>
        <v/>
      </c>
      <c r="AS338">
        <f>IF(AND($F338&lt;&gt;"",$I338&lt;&gt;""),IF($G338="سرمایه و آورده صاحبان",1,0),0)</f>
        <v/>
      </c>
      <c r="AT338">
        <f>SUM($AS$6:$AS338)</f>
        <v/>
      </c>
      <c r="AU338">
        <f>IFERROR(INDEX($F$6:$F$565,MATCH(ROW()-5,$AT$6:$AT$565,0)),"")</f>
        <v/>
      </c>
      <c r="AW338">
        <f>IF([3]Issues!$C$341="","",[3]Issues!$C$341)</f>
        <v/>
      </c>
      <c r="AX338">
        <f>IF([4]Entry!$E$341="","",[4]Entry!$E$341)</f>
        <v/>
      </c>
      <c r="AY338">
        <f>IF([4]Entry!$H$341="","",[4]Entry!$H$341)</f>
        <v/>
      </c>
      <c r="AZ338">
        <f>IF([4]Entry!$I$341="","",[4]Entry!$I$341)</f>
        <v/>
      </c>
    </row>
    <row r="339">
      <c r="F339">
        <f>IF([1]Accounts!$D$340="","",[1]Accounts!$A$340)</f>
        <v/>
      </c>
      <c r="G339">
        <f>IF([1]Accounts!$D$340="","",[1]Accounts!$B$340)</f>
        <v/>
      </c>
      <c r="H339">
        <f>IF([1]Accounts!$D$340="","",[1]Accounts!$C$340)</f>
        <v/>
      </c>
      <c r="I339">
        <f>IF([1]Accounts!$D$340="","",[1]Accounts!$D$340)</f>
        <v/>
      </c>
      <c r="R339">
        <f>IF(AND($F339&lt;&gt;"",$I339&lt;&gt;""),IF(OR($G339="دارایی ثابت",$G339="وام و تسهیلات",$G339="سرمایه و آورده صاحبان"),0,1),0)</f>
        <v/>
      </c>
      <c r="S339">
        <f>SUM($R$6:$R339)</f>
        <v/>
      </c>
      <c r="T339">
        <f>IFERROR(INDEX($F$6:$F$565,MATCH(ROW()-5,$S$6:$S$565,0)),"")</f>
        <v/>
      </c>
      <c r="Z339">
        <f>IF([2]Entry!$E$342="","",[2]Entry!$E$342)</f>
        <v/>
      </c>
      <c r="AA339">
        <f>IF([2]Entry!$G$342="","",[2]Entry!$G$342)</f>
        <v/>
      </c>
      <c r="AB339">
        <f>IF([2]Entry!$J$342="","",[2]Entry!$J$342)</f>
        <v/>
      </c>
      <c r="AC339">
        <f>IF([2]Entry!$K$342="","",[2]Entry!$K$342)</f>
        <v/>
      </c>
      <c r="AD339">
        <f>IF([2]Entry!$L$342="","",[2]Entry!$L$342)</f>
        <v/>
      </c>
      <c r="AE339">
        <f>IF([2]Entry!$M$342="","",[2]Entry!$M$342)</f>
        <v/>
      </c>
      <c r="AF339">
        <f>IF([2]Entry!$N$342="","",[2]Entry!$N$342)</f>
        <v/>
      </c>
      <c r="AG339">
        <f>IF([3]Issues!$B$342="","",[3]Issues!$B$342)</f>
        <v/>
      </c>
      <c r="AH339">
        <f>IF([3]Issues!$D$342="","",[3]Issues!$D$342)</f>
        <v/>
      </c>
      <c r="AI339">
        <f>IF([3]Issues!$E$342="","",[3]Issues!$E$342)</f>
        <v/>
      </c>
      <c r="AJ339">
        <f>IF([2]Entry!$S$342="","",[2]Entry!$S$342)</f>
        <v/>
      </c>
      <c r="AK339">
        <f>IF([2]Entry!$C$342="","",[2]Entry!$C$342)</f>
        <v/>
      </c>
      <c r="AL339">
        <f>IF([2]Entry!$D$342="","",[2]Entry!$D$342)</f>
        <v/>
      </c>
      <c r="AM339">
        <f>IF(AND($F339&lt;&gt;"",$I339&lt;&gt;""),IF($G339="دارایی ثابت",1,0),0)</f>
        <v/>
      </c>
      <c r="AN339">
        <f>SUM($AM$6:$AM339)</f>
        <v/>
      </c>
      <c r="AO339">
        <f>IFERROR(INDEX($F$6:$F$565,MATCH(ROW()-5,$AN$6:$AN$565,0)),"")</f>
        <v/>
      </c>
      <c r="AP339">
        <f>IF(AND($F339&lt;&gt;"",$I339&lt;&gt;""),IF($G339="وام و تسهیلات",1,0),0)</f>
        <v/>
      </c>
      <c r="AQ339">
        <f>SUM($AP$6:$AP339)</f>
        <v/>
      </c>
      <c r="AR339">
        <f>IFERROR(INDEX($F$6:$F$565,MATCH(ROW()-5,$AQ$6:$AQ$565,0)),"")</f>
        <v/>
      </c>
      <c r="AS339">
        <f>IF(AND($F339&lt;&gt;"",$I339&lt;&gt;""),IF($G339="سرمایه و آورده صاحبان",1,0),0)</f>
        <v/>
      </c>
      <c r="AT339">
        <f>SUM($AS$6:$AS339)</f>
        <v/>
      </c>
      <c r="AU339">
        <f>IFERROR(INDEX($F$6:$F$565,MATCH(ROW()-5,$AT$6:$AT$565,0)),"")</f>
        <v/>
      </c>
      <c r="AW339">
        <f>IF([3]Issues!$C$342="","",[3]Issues!$C$342)</f>
        <v/>
      </c>
      <c r="AX339">
        <f>IF([4]Entry!$E$342="","",[4]Entry!$E$342)</f>
        <v/>
      </c>
      <c r="AY339">
        <f>IF([4]Entry!$H$342="","",[4]Entry!$H$342)</f>
        <v/>
      </c>
      <c r="AZ339">
        <f>IF([4]Entry!$I$342="","",[4]Entry!$I$342)</f>
        <v/>
      </c>
    </row>
    <row r="340">
      <c r="F340">
        <f>IF([1]Accounts!$D$341="","",[1]Accounts!$A$341)</f>
        <v/>
      </c>
      <c r="G340">
        <f>IF([1]Accounts!$D$341="","",[1]Accounts!$B$341)</f>
        <v/>
      </c>
      <c r="H340">
        <f>IF([1]Accounts!$D$341="","",[1]Accounts!$C$341)</f>
        <v/>
      </c>
      <c r="I340">
        <f>IF([1]Accounts!$D$341="","",[1]Accounts!$D$341)</f>
        <v/>
      </c>
      <c r="R340">
        <f>IF(AND($F340&lt;&gt;"",$I340&lt;&gt;""),IF(OR($G340="دارایی ثابت",$G340="وام و تسهیلات",$G340="سرمایه و آورده صاحبان"),0,1),0)</f>
        <v/>
      </c>
      <c r="S340">
        <f>SUM($R$6:$R340)</f>
        <v/>
      </c>
      <c r="T340">
        <f>IFERROR(INDEX($F$6:$F$565,MATCH(ROW()-5,$S$6:$S$565,0)),"")</f>
        <v/>
      </c>
      <c r="Z340">
        <f>IF([2]Entry!$E$343="","",[2]Entry!$E$343)</f>
        <v/>
      </c>
      <c r="AA340">
        <f>IF([2]Entry!$G$343="","",[2]Entry!$G$343)</f>
        <v/>
      </c>
      <c r="AB340">
        <f>IF([2]Entry!$J$343="","",[2]Entry!$J$343)</f>
        <v/>
      </c>
      <c r="AC340">
        <f>IF([2]Entry!$K$343="","",[2]Entry!$K$343)</f>
        <v/>
      </c>
      <c r="AD340">
        <f>IF([2]Entry!$L$343="","",[2]Entry!$L$343)</f>
        <v/>
      </c>
      <c r="AE340">
        <f>IF([2]Entry!$M$343="","",[2]Entry!$M$343)</f>
        <v/>
      </c>
      <c r="AF340">
        <f>IF([2]Entry!$N$343="","",[2]Entry!$N$343)</f>
        <v/>
      </c>
      <c r="AG340">
        <f>IF([3]Issues!$B$343="","",[3]Issues!$B$343)</f>
        <v/>
      </c>
      <c r="AH340">
        <f>IF([3]Issues!$D$343="","",[3]Issues!$D$343)</f>
        <v/>
      </c>
      <c r="AI340">
        <f>IF([3]Issues!$E$343="","",[3]Issues!$E$343)</f>
        <v/>
      </c>
      <c r="AJ340">
        <f>IF([2]Entry!$S$343="","",[2]Entry!$S$343)</f>
        <v/>
      </c>
      <c r="AK340">
        <f>IF([2]Entry!$C$343="","",[2]Entry!$C$343)</f>
        <v/>
      </c>
      <c r="AL340">
        <f>IF([2]Entry!$D$343="","",[2]Entry!$D$343)</f>
        <v/>
      </c>
      <c r="AM340">
        <f>IF(AND($F340&lt;&gt;"",$I340&lt;&gt;""),IF($G340="دارایی ثابت",1,0),0)</f>
        <v/>
      </c>
      <c r="AN340">
        <f>SUM($AM$6:$AM340)</f>
        <v/>
      </c>
      <c r="AO340">
        <f>IFERROR(INDEX($F$6:$F$565,MATCH(ROW()-5,$AN$6:$AN$565,0)),"")</f>
        <v/>
      </c>
      <c r="AP340">
        <f>IF(AND($F340&lt;&gt;"",$I340&lt;&gt;""),IF($G340="وام و تسهیلات",1,0),0)</f>
        <v/>
      </c>
      <c r="AQ340">
        <f>SUM($AP$6:$AP340)</f>
        <v/>
      </c>
      <c r="AR340">
        <f>IFERROR(INDEX($F$6:$F$565,MATCH(ROW()-5,$AQ$6:$AQ$565,0)),"")</f>
        <v/>
      </c>
      <c r="AS340">
        <f>IF(AND($F340&lt;&gt;"",$I340&lt;&gt;""),IF($G340="سرمایه و آورده صاحبان",1,0),0)</f>
        <v/>
      </c>
      <c r="AT340">
        <f>SUM($AS$6:$AS340)</f>
        <v/>
      </c>
      <c r="AU340">
        <f>IFERROR(INDEX($F$6:$F$565,MATCH(ROW()-5,$AT$6:$AT$565,0)),"")</f>
        <v/>
      </c>
      <c r="AW340">
        <f>IF([3]Issues!$C$343="","",[3]Issues!$C$343)</f>
        <v/>
      </c>
      <c r="AX340">
        <f>IF([4]Entry!$E$343="","",[4]Entry!$E$343)</f>
        <v/>
      </c>
      <c r="AY340">
        <f>IF([4]Entry!$H$343="","",[4]Entry!$H$343)</f>
        <v/>
      </c>
      <c r="AZ340">
        <f>IF([4]Entry!$I$343="","",[4]Entry!$I$343)</f>
        <v/>
      </c>
    </row>
    <row r="341">
      <c r="F341">
        <f>IF([1]Accounts!$D$342="","",[1]Accounts!$A$342)</f>
        <v/>
      </c>
      <c r="G341">
        <f>IF([1]Accounts!$D$342="","",[1]Accounts!$B$342)</f>
        <v/>
      </c>
      <c r="H341">
        <f>IF([1]Accounts!$D$342="","",[1]Accounts!$C$342)</f>
        <v/>
      </c>
      <c r="I341">
        <f>IF([1]Accounts!$D$342="","",[1]Accounts!$D$342)</f>
        <v/>
      </c>
      <c r="R341">
        <f>IF(AND($F341&lt;&gt;"",$I341&lt;&gt;""),IF(OR($G341="دارایی ثابت",$G341="وام و تسهیلات",$G341="سرمایه و آورده صاحبان"),0,1),0)</f>
        <v/>
      </c>
      <c r="S341">
        <f>SUM($R$6:$R341)</f>
        <v/>
      </c>
      <c r="T341">
        <f>IFERROR(INDEX($F$6:$F$565,MATCH(ROW()-5,$S$6:$S$565,0)),"")</f>
        <v/>
      </c>
      <c r="Z341">
        <f>IF([2]Entry!$E$344="","",[2]Entry!$E$344)</f>
        <v/>
      </c>
      <c r="AA341">
        <f>IF([2]Entry!$G$344="","",[2]Entry!$G$344)</f>
        <v/>
      </c>
      <c r="AB341">
        <f>IF([2]Entry!$J$344="","",[2]Entry!$J$344)</f>
        <v/>
      </c>
      <c r="AC341">
        <f>IF([2]Entry!$K$344="","",[2]Entry!$K$344)</f>
        <v/>
      </c>
      <c r="AD341">
        <f>IF([2]Entry!$L$344="","",[2]Entry!$L$344)</f>
        <v/>
      </c>
      <c r="AE341">
        <f>IF([2]Entry!$M$344="","",[2]Entry!$M$344)</f>
        <v/>
      </c>
      <c r="AF341">
        <f>IF([2]Entry!$N$344="","",[2]Entry!$N$344)</f>
        <v/>
      </c>
      <c r="AG341">
        <f>IF([3]Issues!$B$344="","",[3]Issues!$B$344)</f>
        <v/>
      </c>
      <c r="AH341">
        <f>IF([3]Issues!$D$344="","",[3]Issues!$D$344)</f>
        <v/>
      </c>
      <c r="AI341">
        <f>IF([3]Issues!$E$344="","",[3]Issues!$E$344)</f>
        <v/>
      </c>
      <c r="AJ341">
        <f>IF([2]Entry!$S$344="","",[2]Entry!$S$344)</f>
        <v/>
      </c>
      <c r="AK341">
        <f>IF([2]Entry!$C$344="","",[2]Entry!$C$344)</f>
        <v/>
      </c>
      <c r="AL341">
        <f>IF([2]Entry!$D$344="","",[2]Entry!$D$344)</f>
        <v/>
      </c>
      <c r="AM341">
        <f>IF(AND($F341&lt;&gt;"",$I341&lt;&gt;""),IF($G341="دارایی ثابت",1,0),0)</f>
        <v/>
      </c>
      <c r="AN341">
        <f>SUM($AM$6:$AM341)</f>
        <v/>
      </c>
      <c r="AO341">
        <f>IFERROR(INDEX($F$6:$F$565,MATCH(ROW()-5,$AN$6:$AN$565,0)),"")</f>
        <v/>
      </c>
      <c r="AP341">
        <f>IF(AND($F341&lt;&gt;"",$I341&lt;&gt;""),IF($G341="وام و تسهیلات",1,0),0)</f>
        <v/>
      </c>
      <c r="AQ341">
        <f>SUM($AP$6:$AP341)</f>
        <v/>
      </c>
      <c r="AR341">
        <f>IFERROR(INDEX($F$6:$F$565,MATCH(ROW()-5,$AQ$6:$AQ$565,0)),"")</f>
        <v/>
      </c>
      <c r="AS341">
        <f>IF(AND($F341&lt;&gt;"",$I341&lt;&gt;""),IF($G341="سرمایه و آورده صاحبان",1,0),0)</f>
        <v/>
      </c>
      <c r="AT341">
        <f>SUM($AS$6:$AS341)</f>
        <v/>
      </c>
      <c r="AU341">
        <f>IFERROR(INDEX($F$6:$F$565,MATCH(ROW()-5,$AT$6:$AT$565,0)),"")</f>
        <v/>
      </c>
      <c r="AW341">
        <f>IF([3]Issues!$C$344="","",[3]Issues!$C$344)</f>
        <v/>
      </c>
      <c r="AX341">
        <f>IF([4]Entry!$E$344="","",[4]Entry!$E$344)</f>
        <v/>
      </c>
      <c r="AY341">
        <f>IF([4]Entry!$H$344="","",[4]Entry!$H$344)</f>
        <v/>
      </c>
      <c r="AZ341">
        <f>IF([4]Entry!$I$344="","",[4]Entry!$I$344)</f>
        <v/>
      </c>
    </row>
    <row r="342">
      <c r="F342">
        <f>IF([1]Accounts!$D$343="","",[1]Accounts!$A$343)</f>
        <v/>
      </c>
      <c r="G342">
        <f>IF([1]Accounts!$D$343="","",[1]Accounts!$B$343)</f>
        <v/>
      </c>
      <c r="H342">
        <f>IF([1]Accounts!$D$343="","",[1]Accounts!$C$343)</f>
        <v/>
      </c>
      <c r="I342">
        <f>IF([1]Accounts!$D$343="","",[1]Accounts!$D$343)</f>
        <v/>
      </c>
      <c r="R342">
        <f>IF(AND($F342&lt;&gt;"",$I342&lt;&gt;""),IF(OR($G342="دارایی ثابت",$G342="وام و تسهیلات",$G342="سرمایه و آورده صاحبان"),0,1),0)</f>
        <v/>
      </c>
      <c r="S342">
        <f>SUM($R$6:$R342)</f>
        <v/>
      </c>
      <c r="T342">
        <f>IFERROR(INDEX($F$6:$F$565,MATCH(ROW()-5,$S$6:$S$565,0)),"")</f>
        <v/>
      </c>
      <c r="Z342">
        <f>IF([2]Entry!$E$345="","",[2]Entry!$E$345)</f>
        <v/>
      </c>
      <c r="AA342">
        <f>IF([2]Entry!$G$345="","",[2]Entry!$G$345)</f>
        <v/>
      </c>
      <c r="AB342">
        <f>IF([2]Entry!$J$345="","",[2]Entry!$J$345)</f>
        <v/>
      </c>
      <c r="AC342">
        <f>IF([2]Entry!$K$345="","",[2]Entry!$K$345)</f>
        <v/>
      </c>
      <c r="AD342">
        <f>IF([2]Entry!$L$345="","",[2]Entry!$L$345)</f>
        <v/>
      </c>
      <c r="AE342">
        <f>IF([2]Entry!$M$345="","",[2]Entry!$M$345)</f>
        <v/>
      </c>
      <c r="AF342">
        <f>IF([2]Entry!$N$345="","",[2]Entry!$N$345)</f>
        <v/>
      </c>
      <c r="AG342">
        <f>IF([3]Issues!$B$345="","",[3]Issues!$B$345)</f>
        <v/>
      </c>
      <c r="AH342">
        <f>IF([3]Issues!$D$345="","",[3]Issues!$D$345)</f>
        <v/>
      </c>
      <c r="AI342">
        <f>IF([3]Issues!$E$345="","",[3]Issues!$E$345)</f>
        <v/>
      </c>
      <c r="AJ342">
        <f>IF([2]Entry!$S$345="","",[2]Entry!$S$345)</f>
        <v/>
      </c>
      <c r="AK342">
        <f>IF([2]Entry!$C$345="","",[2]Entry!$C$345)</f>
        <v/>
      </c>
      <c r="AL342">
        <f>IF([2]Entry!$D$345="","",[2]Entry!$D$345)</f>
        <v/>
      </c>
      <c r="AM342">
        <f>IF(AND($F342&lt;&gt;"",$I342&lt;&gt;""),IF($G342="دارایی ثابت",1,0),0)</f>
        <v/>
      </c>
      <c r="AN342">
        <f>SUM($AM$6:$AM342)</f>
        <v/>
      </c>
      <c r="AO342">
        <f>IFERROR(INDEX($F$6:$F$565,MATCH(ROW()-5,$AN$6:$AN$565,0)),"")</f>
        <v/>
      </c>
      <c r="AP342">
        <f>IF(AND($F342&lt;&gt;"",$I342&lt;&gt;""),IF($G342="وام و تسهیلات",1,0),0)</f>
        <v/>
      </c>
      <c r="AQ342">
        <f>SUM($AP$6:$AP342)</f>
        <v/>
      </c>
      <c r="AR342">
        <f>IFERROR(INDEX($F$6:$F$565,MATCH(ROW()-5,$AQ$6:$AQ$565,0)),"")</f>
        <v/>
      </c>
      <c r="AS342">
        <f>IF(AND($F342&lt;&gt;"",$I342&lt;&gt;""),IF($G342="سرمایه و آورده صاحبان",1,0),0)</f>
        <v/>
      </c>
      <c r="AT342">
        <f>SUM($AS$6:$AS342)</f>
        <v/>
      </c>
      <c r="AU342">
        <f>IFERROR(INDEX($F$6:$F$565,MATCH(ROW()-5,$AT$6:$AT$565,0)),"")</f>
        <v/>
      </c>
      <c r="AW342">
        <f>IF([3]Issues!$C$345="","",[3]Issues!$C$345)</f>
        <v/>
      </c>
      <c r="AX342">
        <f>IF([4]Entry!$E$345="","",[4]Entry!$E$345)</f>
        <v/>
      </c>
      <c r="AY342">
        <f>IF([4]Entry!$H$345="","",[4]Entry!$H$345)</f>
        <v/>
      </c>
      <c r="AZ342">
        <f>IF([4]Entry!$I$345="","",[4]Entry!$I$345)</f>
        <v/>
      </c>
    </row>
    <row r="343">
      <c r="F343">
        <f>IF([1]Accounts!$D$344="","",[1]Accounts!$A$344)</f>
        <v/>
      </c>
      <c r="G343">
        <f>IF([1]Accounts!$D$344="","",[1]Accounts!$B$344)</f>
        <v/>
      </c>
      <c r="H343">
        <f>IF([1]Accounts!$D$344="","",[1]Accounts!$C$344)</f>
        <v/>
      </c>
      <c r="I343">
        <f>IF([1]Accounts!$D$344="","",[1]Accounts!$D$344)</f>
        <v/>
      </c>
      <c r="R343">
        <f>IF(AND($F343&lt;&gt;"",$I343&lt;&gt;""),IF(OR($G343="دارایی ثابت",$G343="وام و تسهیلات",$G343="سرمایه و آورده صاحبان"),0,1),0)</f>
        <v/>
      </c>
      <c r="S343">
        <f>SUM($R$6:$R343)</f>
        <v/>
      </c>
      <c r="T343">
        <f>IFERROR(INDEX($F$6:$F$565,MATCH(ROW()-5,$S$6:$S$565,0)),"")</f>
        <v/>
      </c>
      <c r="Z343">
        <f>IF([2]Entry!$E$346="","",[2]Entry!$E$346)</f>
        <v/>
      </c>
      <c r="AA343">
        <f>IF([2]Entry!$G$346="","",[2]Entry!$G$346)</f>
        <v/>
      </c>
      <c r="AB343">
        <f>IF([2]Entry!$J$346="","",[2]Entry!$J$346)</f>
        <v/>
      </c>
      <c r="AC343">
        <f>IF([2]Entry!$K$346="","",[2]Entry!$K$346)</f>
        <v/>
      </c>
      <c r="AD343">
        <f>IF([2]Entry!$L$346="","",[2]Entry!$L$346)</f>
        <v/>
      </c>
      <c r="AE343">
        <f>IF([2]Entry!$M$346="","",[2]Entry!$M$346)</f>
        <v/>
      </c>
      <c r="AF343">
        <f>IF([2]Entry!$N$346="","",[2]Entry!$N$346)</f>
        <v/>
      </c>
      <c r="AG343">
        <f>IF([3]Issues!$B$346="","",[3]Issues!$B$346)</f>
        <v/>
      </c>
      <c r="AH343">
        <f>IF([3]Issues!$D$346="","",[3]Issues!$D$346)</f>
        <v/>
      </c>
      <c r="AI343">
        <f>IF([3]Issues!$E$346="","",[3]Issues!$E$346)</f>
        <v/>
      </c>
      <c r="AJ343">
        <f>IF([2]Entry!$S$346="","",[2]Entry!$S$346)</f>
        <v/>
      </c>
      <c r="AK343">
        <f>IF([2]Entry!$C$346="","",[2]Entry!$C$346)</f>
        <v/>
      </c>
      <c r="AL343">
        <f>IF([2]Entry!$D$346="","",[2]Entry!$D$346)</f>
        <v/>
      </c>
      <c r="AM343">
        <f>IF(AND($F343&lt;&gt;"",$I343&lt;&gt;""),IF($G343="دارایی ثابت",1,0),0)</f>
        <v/>
      </c>
      <c r="AN343">
        <f>SUM($AM$6:$AM343)</f>
        <v/>
      </c>
      <c r="AO343">
        <f>IFERROR(INDEX($F$6:$F$565,MATCH(ROW()-5,$AN$6:$AN$565,0)),"")</f>
        <v/>
      </c>
      <c r="AP343">
        <f>IF(AND($F343&lt;&gt;"",$I343&lt;&gt;""),IF($G343="وام و تسهیلات",1,0),0)</f>
        <v/>
      </c>
      <c r="AQ343">
        <f>SUM($AP$6:$AP343)</f>
        <v/>
      </c>
      <c r="AR343">
        <f>IFERROR(INDEX($F$6:$F$565,MATCH(ROW()-5,$AQ$6:$AQ$565,0)),"")</f>
        <v/>
      </c>
      <c r="AS343">
        <f>IF(AND($F343&lt;&gt;"",$I343&lt;&gt;""),IF($G343="سرمایه و آورده صاحبان",1,0),0)</f>
        <v/>
      </c>
      <c r="AT343">
        <f>SUM($AS$6:$AS343)</f>
        <v/>
      </c>
      <c r="AU343">
        <f>IFERROR(INDEX($F$6:$F$565,MATCH(ROW()-5,$AT$6:$AT$565,0)),"")</f>
        <v/>
      </c>
      <c r="AW343">
        <f>IF([3]Issues!$C$346="","",[3]Issues!$C$346)</f>
        <v/>
      </c>
      <c r="AX343">
        <f>IF([4]Entry!$E$346="","",[4]Entry!$E$346)</f>
        <v/>
      </c>
      <c r="AY343">
        <f>IF([4]Entry!$H$346="","",[4]Entry!$H$346)</f>
        <v/>
      </c>
      <c r="AZ343">
        <f>IF([4]Entry!$I$346="","",[4]Entry!$I$346)</f>
        <v/>
      </c>
    </row>
    <row r="344">
      <c r="F344">
        <f>IF([1]Accounts!$D$345="","",[1]Accounts!$A$345)</f>
        <v/>
      </c>
      <c r="G344">
        <f>IF([1]Accounts!$D$345="","",[1]Accounts!$B$345)</f>
        <v/>
      </c>
      <c r="H344">
        <f>IF([1]Accounts!$D$345="","",[1]Accounts!$C$345)</f>
        <v/>
      </c>
      <c r="I344">
        <f>IF([1]Accounts!$D$345="","",[1]Accounts!$D$345)</f>
        <v/>
      </c>
      <c r="R344">
        <f>IF(AND($F344&lt;&gt;"",$I344&lt;&gt;""),IF(OR($G344="دارایی ثابت",$G344="وام و تسهیلات",$G344="سرمایه و آورده صاحبان"),0,1),0)</f>
        <v/>
      </c>
      <c r="S344">
        <f>SUM($R$6:$R344)</f>
        <v/>
      </c>
      <c r="T344">
        <f>IFERROR(INDEX($F$6:$F$565,MATCH(ROW()-5,$S$6:$S$565,0)),"")</f>
        <v/>
      </c>
      <c r="Z344">
        <f>IF([2]Entry!$E$347="","",[2]Entry!$E$347)</f>
        <v/>
      </c>
      <c r="AA344">
        <f>IF([2]Entry!$G$347="","",[2]Entry!$G$347)</f>
        <v/>
      </c>
      <c r="AB344">
        <f>IF([2]Entry!$J$347="","",[2]Entry!$J$347)</f>
        <v/>
      </c>
      <c r="AC344">
        <f>IF([2]Entry!$K$347="","",[2]Entry!$K$347)</f>
        <v/>
      </c>
      <c r="AD344">
        <f>IF([2]Entry!$L$347="","",[2]Entry!$L$347)</f>
        <v/>
      </c>
      <c r="AE344">
        <f>IF([2]Entry!$M$347="","",[2]Entry!$M$347)</f>
        <v/>
      </c>
      <c r="AF344">
        <f>IF([2]Entry!$N$347="","",[2]Entry!$N$347)</f>
        <v/>
      </c>
      <c r="AG344">
        <f>IF([3]Issues!$B$347="","",[3]Issues!$B$347)</f>
        <v/>
      </c>
      <c r="AH344">
        <f>IF([3]Issues!$D$347="","",[3]Issues!$D$347)</f>
        <v/>
      </c>
      <c r="AI344">
        <f>IF([3]Issues!$E$347="","",[3]Issues!$E$347)</f>
        <v/>
      </c>
      <c r="AJ344">
        <f>IF([2]Entry!$S$347="","",[2]Entry!$S$347)</f>
        <v/>
      </c>
      <c r="AK344">
        <f>IF([2]Entry!$C$347="","",[2]Entry!$C$347)</f>
        <v/>
      </c>
      <c r="AL344">
        <f>IF([2]Entry!$D$347="","",[2]Entry!$D$347)</f>
        <v/>
      </c>
      <c r="AM344">
        <f>IF(AND($F344&lt;&gt;"",$I344&lt;&gt;""),IF($G344="دارایی ثابت",1,0),0)</f>
        <v/>
      </c>
      <c r="AN344">
        <f>SUM($AM$6:$AM344)</f>
        <v/>
      </c>
      <c r="AO344">
        <f>IFERROR(INDEX($F$6:$F$565,MATCH(ROW()-5,$AN$6:$AN$565,0)),"")</f>
        <v/>
      </c>
      <c r="AP344">
        <f>IF(AND($F344&lt;&gt;"",$I344&lt;&gt;""),IF($G344="وام و تسهیلات",1,0),0)</f>
        <v/>
      </c>
      <c r="AQ344">
        <f>SUM($AP$6:$AP344)</f>
        <v/>
      </c>
      <c r="AR344">
        <f>IFERROR(INDEX($F$6:$F$565,MATCH(ROW()-5,$AQ$6:$AQ$565,0)),"")</f>
        <v/>
      </c>
      <c r="AS344">
        <f>IF(AND($F344&lt;&gt;"",$I344&lt;&gt;""),IF($G344="سرمایه و آورده صاحبان",1,0),0)</f>
        <v/>
      </c>
      <c r="AT344">
        <f>SUM($AS$6:$AS344)</f>
        <v/>
      </c>
      <c r="AU344">
        <f>IFERROR(INDEX($F$6:$F$565,MATCH(ROW()-5,$AT$6:$AT$565,0)),"")</f>
        <v/>
      </c>
      <c r="AW344">
        <f>IF([3]Issues!$C$347="","",[3]Issues!$C$347)</f>
        <v/>
      </c>
      <c r="AX344">
        <f>IF([4]Entry!$E$347="","",[4]Entry!$E$347)</f>
        <v/>
      </c>
      <c r="AY344">
        <f>IF([4]Entry!$H$347="","",[4]Entry!$H$347)</f>
        <v/>
      </c>
      <c r="AZ344">
        <f>IF([4]Entry!$I$347="","",[4]Entry!$I$347)</f>
        <v/>
      </c>
    </row>
    <row r="345">
      <c r="F345">
        <f>IF([1]Accounts!$D$346="","",[1]Accounts!$A$346)</f>
        <v/>
      </c>
      <c r="G345">
        <f>IF([1]Accounts!$D$346="","",[1]Accounts!$B$346)</f>
        <v/>
      </c>
      <c r="H345">
        <f>IF([1]Accounts!$D$346="","",[1]Accounts!$C$346)</f>
        <v/>
      </c>
      <c r="I345">
        <f>IF([1]Accounts!$D$346="","",[1]Accounts!$D$346)</f>
        <v/>
      </c>
      <c r="R345">
        <f>IF(AND($F345&lt;&gt;"",$I345&lt;&gt;""),IF(OR($G345="دارایی ثابت",$G345="وام و تسهیلات",$G345="سرمایه و آورده صاحبان"),0,1),0)</f>
        <v/>
      </c>
      <c r="S345">
        <f>SUM($R$6:$R345)</f>
        <v/>
      </c>
      <c r="T345">
        <f>IFERROR(INDEX($F$6:$F$565,MATCH(ROW()-5,$S$6:$S$565,0)),"")</f>
        <v/>
      </c>
      <c r="Z345">
        <f>IF([2]Entry!$E$348="","",[2]Entry!$E$348)</f>
        <v/>
      </c>
      <c r="AA345">
        <f>IF([2]Entry!$G$348="","",[2]Entry!$G$348)</f>
        <v/>
      </c>
      <c r="AB345">
        <f>IF([2]Entry!$J$348="","",[2]Entry!$J$348)</f>
        <v/>
      </c>
      <c r="AC345">
        <f>IF([2]Entry!$K$348="","",[2]Entry!$K$348)</f>
        <v/>
      </c>
      <c r="AD345">
        <f>IF([2]Entry!$L$348="","",[2]Entry!$L$348)</f>
        <v/>
      </c>
      <c r="AE345">
        <f>IF([2]Entry!$M$348="","",[2]Entry!$M$348)</f>
        <v/>
      </c>
      <c r="AF345">
        <f>IF([2]Entry!$N$348="","",[2]Entry!$N$348)</f>
        <v/>
      </c>
      <c r="AG345">
        <f>IF([3]Issues!$B$348="","",[3]Issues!$B$348)</f>
        <v/>
      </c>
      <c r="AH345">
        <f>IF([3]Issues!$D$348="","",[3]Issues!$D$348)</f>
        <v/>
      </c>
      <c r="AI345">
        <f>IF([3]Issues!$E$348="","",[3]Issues!$E$348)</f>
        <v/>
      </c>
      <c r="AJ345">
        <f>IF([2]Entry!$S$348="","",[2]Entry!$S$348)</f>
        <v/>
      </c>
      <c r="AK345">
        <f>IF([2]Entry!$C$348="","",[2]Entry!$C$348)</f>
        <v/>
      </c>
      <c r="AL345">
        <f>IF([2]Entry!$D$348="","",[2]Entry!$D$348)</f>
        <v/>
      </c>
      <c r="AM345">
        <f>IF(AND($F345&lt;&gt;"",$I345&lt;&gt;""),IF($G345="دارایی ثابت",1,0),0)</f>
        <v/>
      </c>
      <c r="AN345">
        <f>SUM($AM$6:$AM345)</f>
        <v/>
      </c>
      <c r="AO345">
        <f>IFERROR(INDEX($F$6:$F$565,MATCH(ROW()-5,$AN$6:$AN$565,0)),"")</f>
        <v/>
      </c>
      <c r="AP345">
        <f>IF(AND($F345&lt;&gt;"",$I345&lt;&gt;""),IF($G345="وام و تسهیلات",1,0),0)</f>
        <v/>
      </c>
      <c r="AQ345">
        <f>SUM($AP$6:$AP345)</f>
        <v/>
      </c>
      <c r="AR345">
        <f>IFERROR(INDEX($F$6:$F$565,MATCH(ROW()-5,$AQ$6:$AQ$565,0)),"")</f>
        <v/>
      </c>
      <c r="AS345">
        <f>IF(AND($F345&lt;&gt;"",$I345&lt;&gt;""),IF($G345="سرمایه و آورده صاحبان",1,0),0)</f>
        <v/>
      </c>
      <c r="AT345">
        <f>SUM($AS$6:$AS345)</f>
        <v/>
      </c>
      <c r="AU345">
        <f>IFERROR(INDEX($F$6:$F$565,MATCH(ROW()-5,$AT$6:$AT$565,0)),"")</f>
        <v/>
      </c>
      <c r="AW345">
        <f>IF([3]Issues!$C$348="","",[3]Issues!$C$348)</f>
        <v/>
      </c>
      <c r="AX345">
        <f>IF([4]Entry!$E$348="","",[4]Entry!$E$348)</f>
        <v/>
      </c>
      <c r="AY345">
        <f>IF([4]Entry!$H$348="","",[4]Entry!$H$348)</f>
        <v/>
      </c>
      <c r="AZ345">
        <f>IF([4]Entry!$I$348="","",[4]Entry!$I$348)</f>
        <v/>
      </c>
    </row>
    <row r="346">
      <c r="F346">
        <f>IF([1]Accounts!$D$347="","",[1]Accounts!$A$347)</f>
        <v/>
      </c>
      <c r="G346">
        <f>IF([1]Accounts!$D$347="","",[1]Accounts!$B$347)</f>
        <v/>
      </c>
      <c r="H346">
        <f>IF([1]Accounts!$D$347="","",[1]Accounts!$C$347)</f>
        <v/>
      </c>
      <c r="I346">
        <f>IF([1]Accounts!$D$347="","",[1]Accounts!$D$347)</f>
        <v/>
      </c>
      <c r="R346">
        <f>IF(AND($F346&lt;&gt;"",$I346&lt;&gt;""),IF(OR($G346="دارایی ثابت",$G346="وام و تسهیلات",$G346="سرمایه و آورده صاحبان"),0,1),0)</f>
        <v/>
      </c>
      <c r="S346">
        <f>SUM($R$6:$R346)</f>
        <v/>
      </c>
      <c r="T346">
        <f>IFERROR(INDEX($F$6:$F$565,MATCH(ROW()-5,$S$6:$S$565,0)),"")</f>
        <v/>
      </c>
      <c r="Z346">
        <f>IF([2]Entry!$E$349="","",[2]Entry!$E$349)</f>
        <v/>
      </c>
      <c r="AA346">
        <f>IF([2]Entry!$G$349="","",[2]Entry!$G$349)</f>
        <v/>
      </c>
      <c r="AB346">
        <f>IF([2]Entry!$J$349="","",[2]Entry!$J$349)</f>
        <v/>
      </c>
      <c r="AC346">
        <f>IF([2]Entry!$K$349="","",[2]Entry!$K$349)</f>
        <v/>
      </c>
      <c r="AD346">
        <f>IF([2]Entry!$L$349="","",[2]Entry!$L$349)</f>
        <v/>
      </c>
      <c r="AE346">
        <f>IF([2]Entry!$M$349="","",[2]Entry!$M$349)</f>
        <v/>
      </c>
      <c r="AF346">
        <f>IF([2]Entry!$N$349="","",[2]Entry!$N$349)</f>
        <v/>
      </c>
      <c r="AG346">
        <f>IF([3]Issues!$B$349="","",[3]Issues!$B$349)</f>
        <v/>
      </c>
      <c r="AH346">
        <f>IF([3]Issues!$D$349="","",[3]Issues!$D$349)</f>
        <v/>
      </c>
      <c r="AI346">
        <f>IF([3]Issues!$E$349="","",[3]Issues!$E$349)</f>
        <v/>
      </c>
      <c r="AJ346">
        <f>IF([2]Entry!$S$349="","",[2]Entry!$S$349)</f>
        <v/>
      </c>
      <c r="AK346">
        <f>IF([2]Entry!$C$349="","",[2]Entry!$C$349)</f>
        <v/>
      </c>
      <c r="AL346">
        <f>IF([2]Entry!$D$349="","",[2]Entry!$D$349)</f>
        <v/>
      </c>
      <c r="AM346">
        <f>IF(AND($F346&lt;&gt;"",$I346&lt;&gt;""),IF($G346="دارایی ثابت",1,0),0)</f>
        <v/>
      </c>
      <c r="AN346">
        <f>SUM($AM$6:$AM346)</f>
        <v/>
      </c>
      <c r="AO346">
        <f>IFERROR(INDEX($F$6:$F$565,MATCH(ROW()-5,$AN$6:$AN$565,0)),"")</f>
        <v/>
      </c>
      <c r="AP346">
        <f>IF(AND($F346&lt;&gt;"",$I346&lt;&gt;""),IF($G346="وام و تسهیلات",1,0),0)</f>
        <v/>
      </c>
      <c r="AQ346">
        <f>SUM($AP$6:$AP346)</f>
        <v/>
      </c>
      <c r="AR346">
        <f>IFERROR(INDEX($F$6:$F$565,MATCH(ROW()-5,$AQ$6:$AQ$565,0)),"")</f>
        <v/>
      </c>
      <c r="AS346">
        <f>IF(AND($F346&lt;&gt;"",$I346&lt;&gt;""),IF($G346="سرمایه و آورده صاحبان",1,0),0)</f>
        <v/>
      </c>
      <c r="AT346">
        <f>SUM($AS$6:$AS346)</f>
        <v/>
      </c>
      <c r="AU346">
        <f>IFERROR(INDEX($F$6:$F$565,MATCH(ROW()-5,$AT$6:$AT$565,0)),"")</f>
        <v/>
      </c>
      <c r="AW346">
        <f>IF([3]Issues!$C$349="","",[3]Issues!$C$349)</f>
        <v/>
      </c>
      <c r="AX346">
        <f>IF([4]Entry!$E$349="","",[4]Entry!$E$349)</f>
        <v/>
      </c>
      <c r="AY346">
        <f>IF([4]Entry!$H$349="","",[4]Entry!$H$349)</f>
        <v/>
      </c>
      <c r="AZ346">
        <f>IF([4]Entry!$I$349="","",[4]Entry!$I$349)</f>
        <v/>
      </c>
    </row>
    <row r="347">
      <c r="F347">
        <f>IF([1]Accounts!$D$348="","",[1]Accounts!$A$348)</f>
        <v/>
      </c>
      <c r="G347">
        <f>IF([1]Accounts!$D$348="","",[1]Accounts!$B$348)</f>
        <v/>
      </c>
      <c r="H347">
        <f>IF([1]Accounts!$D$348="","",[1]Accounts!$C$348)</f>
        <v/>
      </c>
      <c r="I347">
        <f>IF([1]Accounts!$D$348="","",[1]Accounts!$D$348)</f>
        <v/>
      </c>
      <c r="R347">
        <f>IF(AND($F347&lt;&gt;"",$I347&lt;&gt;""),IF(OR($G347="دارایی ثابت",$G347="وام و تسهیلات",$G347="سرمایه و آورده صاحبان"),0,1),0)</f>
        <v/>
      </c>
      <c r="S347">
        <f>SUM($R$6:$R347)</f>
        <v/>
      </c>
      <c r="T347">
        <f>IFERROR(INDEX($F$6:$F$565,MATCH(ROW()-5,$S$6:$S$565,0)),"")</f>
        <v/>
      </c>
      <c r="Z347">
        <f>IF([2]Entry!$E$350="","",[2]Entry!$E$350)</f>
        <v/>
      </c>
      <c r="AA347">
        <f>IF([2]Entry!$G$350="","",[2]Entry!$G$350)</f>
        <v/>
      </c>
      <c r="AB347">
        <f>IF([2]Entry!$J$350="","",[2]Entry!$J$350)</f>
        <v/>
      </c>
      <c r="AC347">
        <f>IF([2]Entry!$K$350="","",[2]Entry!$K$350)</f>
        <v/>
      </c>
      <c r="AD347">
        <f>IF([2]Entry!$L$350="","",[2]Entry!$L$350)</f>
        <v/>
      </c>
      <c r="AE347">
        <f>IF([2]Entry!$M$350="","",[2]Entry!$M$350)</f>
        <v/>
      </c>
      <c r="AF347">
        <f>IF([2]Entry!$N$350="","",[2]Entry!$N$350)</f>
        <v/>
      </c>
      <c r="AG347">
        <f>IF([3]Issues!$B$350="","",[3]Issues!$B$350)</f>
        <v/>
      </c>
      <c r="AH347">
        <f>IF([3]Issues!$D$350="","",[3]Issues!$D$350)</f>
        <v/>
      </c>
      <c r="AI347">
        <f>IF([3]Issues!$E$350="","",[3]Issues!$E$350)</f>
        <v/>
      </c>
      <c r="AJ347">
        <f>IF([2]Entry!$S$350="","",[2]Entry!$S$350)</f>
        <v/>
      </c>
      <c r="AK347">
        <f>IF([2]Entry!$C$350="","",[2]Entry!$C$350)</f>
        <v/>
      </c>
      <c r="AL347">
        <f>IF([2]Entry!$D$350="","",[2]Entry!$D$350)</f>
        <v/>
      </c>
      <c r="AM347">
        <f>IF(AND($F347&lt;&gt;"",$I347&lt;&gt;""),IF($G347="دارایی ثابت",1,0),0)</f>
        <v/>
      </c>
      <c r="AN347">
        <f>SUM($AM$6:$AM347)</f>
        <v/>
      </c>
      <c r="AO347">
        <f>IFERROR(INDEX($F$6:$F$565,MATCH(ROW()-5,$AN$6:$AN$565,0)),"")</f>
        <v/>
      </c>
      <c r="AP347">
        <f>IF(AND($F347&lt;&gt;"",$I347&lt;&gt;""),IF($G347="وام و تسهیلات",1,0),0)</f>
        <v/>
      </c>
      <c r="AQ347">
        <f>SUM($AP$6:$AP347)</f>
        <v/>
      </c>
      <c r="AR347">
        <f>IFERROR(INDEX($F$6:$F$565,MATCH(ROW()-5,$AQ$6:$AQ$565,0)),"")</f>
        <v/>
      </c>
      <c r="AS347">
        <f>IF(AND($F347&lt;&gt;"",$I347&lt;&gt;""),IF($G347="سرمایه و آورده صاحبان",1,0),0)</f>
        <v/>
      </c>
      <c r="AT347">
        <f>SUM($AS$6:$AS347)</f>
        <v/>
      </c>
      <c r="AU347">
        <f>IFERROR(INDEX($F$6:$F$565,MATCH(ROW()-5,$AT$6:$AT$565,0)),"")</f>
        <v/>
      </c>
      <c r="AW347">
        <f>IF([3]Issues!$C$350="","",[3]Issues!$C$350)</f>
        <v/>
      </c>
      <c r="AX347">
        <f>IF([4]Entry!$E$350="","",[4]Entry!$E$350)</f>
        <v/>
      </c>
      <c r="AY347">
        <f>IF([4]Entry!$H$350="","",[4]Entry!$H$350)</f>
        <v/>
      </c>
      <c r="AZ347">
        <f>IF([4]Entry!$I$350="","",[4]Entry!$I$350)</f>
        <v/>
      </c>
    </row>
    <row r="348">
      <c r="F348">
        <f>IF([1]Accounts!$D$349="","",[1]Accounts!$A$349)</f>
        <v/>
      </c>
      <c r="G348">
        <f>IF([1]Accounts!$D$349="","",[1]Accounts!$B$349)</f>
        <v/>
      </c>
      <c r="H348">
        <f>IF([1]Accounts!$D$349="","",[1]Accounts!$C$349)</f>
        <v/>
      </c>
      <c r="I348">
        <f>IF([1]Accounts!$D$349="","",[1]Accounts!$D$349)</f>
        <v/>
      </c>
      <c r="R348">
        <f>IF(AND($F348&lt;&gt;"",$I348&lt;&gt;""),IF(OR($G348="دارایی ثابت",$G348="وام و تسهیلات",$G348="سرمایه و آورده صاحبان"),0,1),0)</f>
        <v/>
      </c>
      <c r="S348">
        <f>SUM($R$6:$R348)</f>
        <v/>
      </c>
      <c r="T348">
        <f>IFERROR(INDEX($F$6:$F$565,MATCH(ROW()-5,$S$6:$S$565,0)),"")</f>
        <v/>
      </c>
      <c r="Z348">
        <f>IF([2]Entry!$E$351="","",[2]Entry!$E$351)</f>
        <v/>
      </c>
      <c r="AA348">
        <f>IF([2]Entry!$G$351="","",[2]Entry!$G$351)</f>
        <v/>
      </c>
      <c r="AB348">
        <f>IF([2]Entry!$J$351="","",[2]Entry!$J$351)</f>
        <v/>
      </c>
      <c r="AC348">
        <f>IF([2]Entry!$K$351="","",[2]Entry!$K$351)</f>
        <v/>
      </c>
      <c r="AD348">
        <f>IF([2]Entry!$L$351="","",[2]Entry!$L$351)</f>
        <v/>
      </c>
      <c r="AE348">
        <f>IF([2]Entry!$M$351="","",[2]Entry!$M$351)</f>
        <v/>
      </c>
      <c r="AF348">
        <f>IF([2]Entry!$N$351="","",[2]Entry!$N$351)</f>
        <v/>
      </c>
      <c r="AG348">
        <f>IF([3]Issues!$B$351="","",[3]Issues!$B$351)</f>
        <v/>
      </c>
      <c r="AH348">
        <f>IF([3]Issues!$D$351="","",[3]Issues!$D$351)</f>
        <v/>
      </c>
      <c r="AI348">
        <f>IF([3]Issues!$E$351="","",[3]Issues!$E$351)</f>
        <v/>
      </c>
      <c r="AJ348">
        <f>IF([2]Entry!$S$351="","",[2]Entry!$S$351)</f>
        <v/>
      </c>
      <c r="AK348">
        <f>IF([2]Entry!$C$351="","",[2]Entry!$C$351)</f>
        <v/>
      </c>
      <c r="AL348">
        <f>IF([2]Entry!$D$351="","",[2]Entry!$D$351)</f>
        <v/>
      </c>
      <c r="AM348">
        <f>IF(AND($F348&lt;&gt;"",$I348&lt;&gt;""),IF($G348="دارایی ثابت",1,0),0)</f>
        <v/>
      </c>
      <c r="AN348">
        <f>SUM($AM$6:$AM348)</f>
        <v/>
      </c>
      <c r="AO348">
        <f>IFERROR(INDEX($F$6:$F$565,MATCH(ROW()-5,$AN$6:$AN$565,0)),"")</f>
        <v/>
      </c>
      <c r="AP348">
        <f>IF(AND($F348&lt;&gt;"",$I348&lt;&gt;""),IF($G348="وام و تسهیلات",1,0),0)</f>
        <v/>
      </c>
      <c r="AQ348">
        <f>SUM($AP$6:$AP348)</f>
        <v/>
      </c>
      <c r="AR348">
        <f>IFERROR(INDEX($F$6:$F$565,MATCH(ROW()-5,$AQ$6:$AQ$565,0)),"")</f>
        <v/>
      </c>
      <c r="AS348">
        <f>IF(AND($F348&lt;&gt;"",$I348&lt;&gt;""),IF($G348="سرمایه و آورده صاحبان",1,0),0)</f>
        <v/>
      </c>
      <c r="AT348">
        <f>SUM($AS$6:$AS348)</f>
        <v/>
      </c>
      <c r="AU348">
        <f>IFERROR(INDEX($F$6:$F$565,MATCH(ROW()-5,$AT$6:$AT$565,0)),"")</f>
        <v/>
      </c>
      <c r="AW348">
        <f>IF([3]Issues!$C$351="","",[3]Issues!$C$351)</f>
        <v/>
      </c>
      <c r="AX348">
        <f>IF([4]Entry!$E$351="","",[4]Entry!$E$351)</f>
        <v/>
      </c>
      <c r="AY348">
        <f>IF([4]Entry!$H$351="","",[4]Entry!$H$351)</f>
        <v/>
      </c>
      <c r="AZ348">
        <f>IF([4]Entry!$I$351="","",[4]Entry!$I$351)</f>
        <v/>
      </c>
    </row>
    <row r="349">
      <c r="F349">
        <f>IF([1]Accounts!$D$350="","",[1]Accounts!$A$350)</f>
        <v/>
      </c>
      <c r="G349">
        <f>IF([1]Accounts!$D$350="","",[1]Accounts!$B$350)</f>
        <v/>
      </c>
      <c r="H349">
        <f>IF([1]Accounts!$D$350="","",[1]Accounts!$C$350)</f>
        <v/>
      </c>
      <c r="I349">
        <f>IF([1]Accounts!$D$350="","",[1]Accounts!$D$350)</f>
        <v/>
      </c>
      <c r="R349">
        <f>IF(AND($F349&lt;&gt;"",$I349&lt;&gt;""),IF(OR($G349="دارایی ثابت",$G349="وام و تسهیلات",$G349="سرمایه و آورده صاحبان"),0,1),0)</f>
        <v/>
      </c>
      <c r="S349">
        <f>SUM($R$6:$R349)</f>
        <v/>
      </c>
      <c r="T349">
        <f>IFERROR(INDEX($F$6:$F$565,MATCH(ROW()-5,$S$6:$S$565,0)),"")</f>
        <v/>
      </c>
      <c r="Z349">
        <f>IF([2]Entry!$E$352="","",[2]Entry!$E$352)</f>
        <v/>
      </c>
      <c r="AA349">
        <f>IF([2]Entry!$G$352="","",[2]Entry!$G$352)</f>
        <v/>
      </c>
      <c r="AB349">
        <f>IF([2]Entry!$J$352="","",[2]Entry!$J$352)</f>
        <v/>
      </c>
      <c r="AC349">
        <f>IF([2]Entry!$K$352="","",[2]Entry!$K$352)</f>
        <v/>
      </c>
      <c r="AD349">
        <f>IF([2]Entry!$L$352="","",[2]Entry!$L$352)</f>
        <v/>
      </c>
      <c r="AE349">
        <f>IF([2]Entry!$M$352="","",[2]Entry!$M$352)</f>
        <v/>
      </c>
      <c r="AF349">
        <f>IF([2]Entry!$N$352="","",[2]Entry!$N$352)</f>
        <v/>
      </c>
      <c r="AG349">
        <f>IF([3]Issues!$B$352="","",[3]Issues!$B$352)</f>
        <v/>
      </c>
      <c r="AH349">
        <f>IF([3]Issues!$D$352="","",[3]Issues!$D$352)</f>
        <v/>
      </c>
      <c r="AI349">
        <f>IF([3]Issues!$E$352="","",[3]Issues!$E$352)</f>
        <v/>
      </c>
      <c r="AJ349">
        <f>IF([2]Entry!$S$352="","",[2]Entry!$S$352)</f>
        <v/>
      </c>
      <c r="AK349">
        <f>IF([2]Entry!$C$352="","",[2]Entry!$C$352)</f>
        <v/>
      </c>
      <c r="AL349">
        <f>IF([2]Entry!$D$352="","",[2]Entry!$D$352)</f>
        <v/>
      </c>
      <c r="AM349">
        <f>IF(AND($F349&lt;&gt;"",$I349&lt;&gt;""),IF($G349="دارایی ثابت",1,0),0)</f>
        <v/>
      </c>
      <c r="AN349">
        <f>SUM($AM$6:$AM349)</f>
        <v/>
      </c>
      <c r="AO349">
        <f>IFERROR(INDEX($F$6:$F$565,MATCH(ROW()-5,$AN$6:$AN$565,0)),"")</f>
        <v/>
      </c>
      <c r="AP349">
        <f>IF(AND($F349&lt;&gt;"",$I349&lt;&gt;""),IF($G349="وام و تسهیلات",1,0),0)</f>
        <v/>
      </c>
      <c r="AQ349">
        <f>SUM($AP$6:$AP349)</f>
        <v/>
      </c>
      <c r="AR349">
        <f>IFERROR(INDEX($F$6:$F$565,MATCH(ROW()-5,$AQ$6:$AQ$565,0)),"")</f>
        <v/>
      </c>
      <c r="AS349">
        <f>IF(AND($F349&lt;&gt;"",$I349&lt;&gt;""),IF($G349="سرمایه و آورده صاحبان",1,0),0)</f>
        <v/>
      </c>
      <c r="AT349">
        <f>SUM($AS$6:$AS349)</f>
        <v/>
      </c>
      <c r="AU349">
        <f>IFERROR(INDEX($F$6:$F$565,MATCH(ROW()-5,$AT$6:$AT$565,0)),"")</f>
        <v/>
      </c>
      <c r="AW349">
        <f>IF([3]Issues!$C$352="","",[3]Issues!$C$352)</f>
        <v/>
      </c>
      <c r="AX349">
        <f>IF([4]Entry!$E$352="","",[4]Entry!$E$352)</f>
        <v/>
      </c>
      <c r="AY349">
        <f>IF([4]Entry!$H$352="","",[4]Entry!$H$352)</f>
        <v/>
      </c>
      <c r="AZ349">
        <f>IF([4]Entry!$I$352="","",[4]Entry!$I$352)</f>
        <v/>
      </c>
    </row>
    <row r="350">
      <c r="F350">
        <f>IF([1]Accounts!$D$351="","",[1]Accounts!$A$351)</f>
        <v/>
      </c>
      <c r="G350">
        <f>IF([1]Accounts!$D$351="","",[1]Accounts!$B$351)</f>
        <v/>
      </c>
      <c r="H350">
        <f>IF([1]Accounts!$D$351="","",[1]Accounts!$C$351)</f>
        <v/>
      </c>
      <c r="I350">
        <f>IF([1]Accounts!$D$351="","",[1]Accounts!$D$351)</f>
        <v/>
      </c>
      <c r="R350">
        <f>IF(AND($F350&lt;&gt;"",$I350&lt;&gt;""),IF(OR($G350="دارایی ثابت",$G350="وام و تسهیلات",$G350="سرمایه و آورده صاحبان"),0,1),0)</f>
        <v/>
      </c>
      <c r="S350">
        <f>SUM($R$6:$R350)</f>
        <v/>
      </c>
      <c r="T350">
        <f>IFERROR(INDEX($F$6:$F$565,MATCH(ROW()-5,$S$6:$S$565,0)),"")</f>
        <v/>
      </c>
      <c r="Z350">
        <f>IF([2]Entry!$E$353="","",[2]Entry!$E$353)</f>
        <v/>
      </c>
      <c r="AA350">
        <f>IF([2]Entry!$G$353="","",[2]Entry!$G$353)</f>
        <v/>
      </c>
      <c r="AB350">
        <f>IF([2]Entry!$J$353="","",[2]Entry!$J$353)</f>
        <v/>
      </c>
      <c r="AC350">
        <f>IF([2]Entry!$K$353="","",[2]Entry!$K$353)</f>
        <v/>
      </c>
      <c r="AD350">
        <f>IF([2]Entry!$L$353="","",[2]Entry!$L$353)</f>
        <v/>
      </c>
      <c r="AE350">
        <f>IF([2]Entry!$M$353="","",[2]Entry!$M$353)</f>
        <v/>
      </c>
      <c r="AF350">
        <f>IF([2]Entry!$N$353="","",[2]Entry!$N$353)</f>
        <v/>
      </c>
      <c r="AG350">
        <f>IF([3]Issues!$B$353="","",[3]Issues!$B$353)</f>
        <v/>
      </c>
      <c r="AH350">
        <f>IF([3]Issues!$D$353="","",[3]Issues!$D$353)</f>
        <v/>
      </c>
      <c r="AI350">
        <f>IF([3]Issues!$E$353="","",[3]Issues!$E$353)</f>
        <v/>
      </c>
      <c r="AJ350">
        <f>IF([2]Entry!$S$353="","",[2]Entry!$S$353)</f>
        <v/>
      </c>
      <c r="AK350">
        <f>IF([2]Entry!$C$353="","",[2]Entry!$C$353)</f>
        <v/>
      </c>
      <c r="AL350">
        <f>IF([2]Entry!$D$353="","",[2]Entry!$D$353)</f>
        <v/>
      </c>
      <c r="AM350">
        <f>IF(AND($F350&lt;&gt;"",$I350&lt;&gt;""),IF($G350="دارایی ثابت",1,0),0)</f>
        <v/>
      </c>
      <c r="AN350">
        <f>SUM($AM$6:$AM350)</f>
        <v/>
      </c>
      <c r="AO350">
        <f>IFERROR(INDEX($F$6:$F$565,MATCH(ROW()-5,$AN$6:$AN$565,0)),"")</f>
        <v/>
      </c>
      <c r="AP350">
        <f>IF(AND($F350&lt;&gt;"",$I350&lt;&gt;""),IF($G350="وام و تسهیلات",1,0),0)</f>
        <v/>
      </c>
      <c r="AQ350">
        <f>SUM($AP$6:$AP350)</f>
        <v/>
      </c>
      <c r="AR350">
        <f>IFERROR(INDEX($F$6:$F$565,MATCH(ROW()-5,$AQ$6:$AQ$565,0)),"")</f>
        <v/>
      </c>
      <c r="AS350">
        <f>IF(AND($F350&lt;&gt;"",$I350&lt;&gt;""),IF($G350="سرمایه و آورده صاحبان",1,0),0)</f>
        <v/>
      </c>
      <c r="AT350">
        <f>SUM($AS$6:$AS350)</f>
        <v/>
      </c>
      <c r="AU350">
        <f>IFERROR(INDEX($F$6:$F$565,MATCH(ROW()-5,$AT$6:$AT$565,0)),"")</f>
        <v/>
      </c>
      <c r="AW350">
        <f>IF([3]Issues!$C$353="","",[3]Issues!$C$353)</f>
        <v/>
      </c>
      <c r="AX350">
        <f>IF([4]Entry!$E$353="","",[4]Entry!$E$353)</f>
        <v/>
      </c>
      <c r="AY350">
        <f>IF([4]Entry!$H$353="","",[4]Entry!$H$353)</f>
        <v/>
      </c>
      <c r="AZ350">
        <f>IF([4]Entry!$I$353="","",[4]Entry!$I$353)</f>
        <v/>
      </c>
    </row>
    <row r="351">
      <c r="F351">
        <f>IF([1]Accounts!$D$352="","",[1]Accounts!$A$352)</f>
        <v/>
      </c>
      <c r="G351">
        <f>IF([1]Accounts!$D$352="","",[1]Accounts!$B$352)</f>
        <v/>
      </c>
      <c r="H351">
        <f>IF([1]Accounts!$D$352="","",[1]Accounts!$C$352)</f>
        <v/>
      </c>
      <c r="I351">
        <f>IF([1]Accounts!$D$352="","",[1]Accounts!$D$352)</f>
        <v/>
      </c>
      <c r="R351">
        <f>IF(AND($F351&lt;&gt;"",$I351&lt;&gt;""),IF(OR($G351="دارایی ثابت",$G351="وام و تسهیلات",$G351="سرمایه و آورده صاحبان"),0,1),0)</f>
        <v/>
      </c>
      <c r="S351">
        <f>SUM($R$6:$R351)</f>
        <v/>
      </c>
      <c r="T351">
        <f>IFERROR(INDEX($F$6:$F$565,MATCH(ROW()-5,$S$6:$S$565,0)),"")</f>
        <v/>
      </c>
      <c r="Z351">
        <f>IF([2]Entry!$E$354="","",[2]Entry!$E$354)</f>
        <v/>
      </c>
      <c r="AA351">
        <f>IF([2]Entry!$G$354="","",[2]Entry!$G$354)</f>
        <v/>
      </c>
      <c r="AB351">
        <f>IF([2]Entry!$J$354="","",[2]Entry!$J$354)</f>
        <v/>
      </c>
      <c r="AC351">
        <f>IF([2]Entry!$K$354="","",[2]Entry!$K$354)</f>
        <v/>
      </c>
      <c r="AD351">
        <f>IF([2]Entry!$L$354="","",[2]Entry!$L$354)</f>
        <v/>
      </c>
      <c r="AE351">
        <f>IF([2]Entry!$M$354="","",[2]Entry!$M$354)</f>
        <v/>
      </c>
      <c r="AF351">
        <f>IF([2]Entry!$N$354="","",[2]Entry!$N$354)</f>
        <v/>
      </c>
      <c r="AG351">
        <f>IF([3]Issues!$B$354="","",[3]Issues!$B$354)</f>
        <v/>
      </c>
      <c r="AH351">
        <f>IF([3]Issues!$D$354="","",[3]Issues!$D$354)</f>
        <v/>
      </c>
      <c r="AI351">
        <f>IF([3]Issues!$E$354="","",[3]Issues!$E$354)</f>
        <v/>
      </c>
      <c r="AJ351">
        <f>IF([2]Entry!$S$354="","",[2]Entry!$S$354)</f>
        <v/>
      </c>
      <c r="AK351">
        <f>IF([2]Entry!$C$354="","",[2]Entry!$C$354)</f>
        <v/>
      </c>
      <c r="AL351">
        <f>IF([2]Entry!$D$354="","",[2]Entry!$D$354)</f>
        <v/>
      </c>
      <c r="AM351">
        <f>IF(AND($F351&lt;&gt;"",$I351&lt;&gt;""),IF($G351="دارایی ثابت",1,0),0)</f>
        <v/>
      </c>
      <c r="AN351">
        <f>SUM($AM$6:$AM351)</f>
        <v/>
      </c>
      <c r="AO351">
        <f>IFERROR(INDEX($F$6:$F$565,MATCH(ROW()-5,$AN$6:$AN$565,0)),"")</f>
        <v/>
      </c>
      <c r="AP351">
        <f>IF(AND($F351&lt;&gt;"",$I351&lt;&gt;""),IF($G351="وام و تسهیلات",1,0),0)</f>
        <v/>
      </c>
      <c r="AQ351">
        <f>SUM($AP$6:$AP351)</f>
        <v/>
      </c>
      <c r="AR351">
        <f>IFERROR(INDEX($F$6:$F$565,MATCH(ROW()-5,$AQ$6:$AQ$565,0)),"")</f>
        <v/>
      </c>
      <c r="AS351">
        <f>IF(AND($F351&lt;&gt;"",$I351&lt;&gt;""),IF($G351="سرمایه و آورده صاحبان",1,0),0)</f>
        <v/>
      </c>
      <c r="AT351">
        <f>SUM($AS$6:$AS351)</f>
        <v/>
      </c>
      <c r="AU351">
        <f>IFERROR(INDEX($F$6:$F$565,MATCH(ROW()-5,$AT$6:$AT$565,0)),"")</f>
        <v/>
      </c>
      <c r="AW351">
        <f>IF([3]Issues!$C$354="","",[3]Issues!$C$354)</f>
        <v/>
      </c>
      <c r="AX351">
        <f>IF([4]Entry!$E$354="","",[4]Entry!$E$354)</f>
        <v/>
      </c>
      <c r="AY351">
        <f>IF([4]Entry!$H$354="","",[4]Entry!$H$354)</f>
        <v/>
      </c>
      <c r="AZ351">
        <f>IF([4]Entry!$I$354="","",[4]Entry!$I$354)</f>
        <v/>
      </c>
    </row>
    <row r="352">
      <c r="F352">
        <f>IF([1]Accounts!$D$353="","",[1]Accounts!$A$353)</f>
        <v/>
      </c>
      <c r="G352">
        <f>IF([1]Accounts!$D$353="","",[1]Accounts!$B$353)</f>
        <v/>
      </c>
      <c r="H352">
        <f>IF([1]Accounts!$D$353="","",[1]Accounts!$C$353)</f>
        <v/>
      </c>
      <c r="I352">
        <f>IF([1]Accounts!$D$353="","",[1]Accounts!$D$353)</f>
        <v/>
      </c>
      <c r="R352">
        <f>IF(AND($F352&lt;&gt;"",$I352&lt;&gt;""),IF(OR($G352="دارایی ثابت",$G352="وام و تسهیلات",$G352="سرمایه و آورده صاحبان"),0,1),0)</f>
        <v/>
      </c>
      <c r="S352">
        <f>SUM($R$6:$R352)</f>
        <v/>
      </c>
      <c r="T352">
        <f>IFERROR(INDEX($F$6:$F$565,MATCH(ROW()-5,$S$6:$S$565,0)),"")</f>
        <v/>
      </c>
      <c r="Z352">
        <f>IF([2]Entry!$E$355="","",[2]Entry!$E$355)</f>
        <v/>
      </c>
      <c r="AA352">
        <f>IF([2]Entry!$G$355="","",[2]Entry!$G$355)</f>
        <v/>
      </c>
      <c r="AB352">
        <f>IF([2]Entry!$J$355="","",[2]Entry!$J$355)</f>
        <v/>
      </c>
      <c r="AC352">
        <f>IF([2]Entry!$K$355="","",[2]Entry!$K$355)</f>
        <v/>
      </c>
      <c r="AD352">
        <f>IF([2]Entry!$L$355="","",[2]Entry!$L$355)</f>
        <v/>
      </c>
      <c r="AE352">
        <f>IF([2]Entry!$M$355="","",[2]Entry!$M$355)</f>
        <v/>
      </c>
      <c r="AF352">
        <f>IF([2]Entry!$N$355="","",[2]Entry!$N$355)</f>
        <v/>
      </c>
      <c r="AG352">
        <f>IF([3]Issues!$B$355="","",[3]Issues!$B$355)</f>
        <v/>
      </c>
      <c r="AH352">
        <f>IF([3]Issues!$D$355="","",[3]Issues!$D$355)</f>
        <v/>
      </c>
      <c r="AI352">
        <f>IF([3]Issues!$E$355="","",[3]Issues!$E$355)</f>
        <v/>
      </c>
      <c r="AJ352">
        <f>IF([2]Entry!$S$355="","",[2]Entry!$S$355)</f>
        <v/>
      </c>
      <c r="AK352">
        <f>IF([2]Entry!$C$355="","",[2]Entry!$C$355)</f>
        <v/>
      </c>
      <c r="AL352">
        <f>IF([2]Entry!$D$355="","",[2]Entry!$D$355)</f>
        <v/>
      </c>
      <c r="AM352">
        <f>IF(AND($F352&lt;&gt;"",$I352&lt;&gt;""),IF($G352="دارایی ثابت",1,0),0)</f>
        <v/>
      </c>
      <c r="AN352">
        <f>SUM($AM$6:$AM352)</f>
        <v/>
      </c>
      <c r="AO352">
        <f>IFERROR(INDEX($F$6:$F$565,MATCH(ROW()-5,$AN$6:$AN$565,0)),"")</f>
        <v/>
      </c>
      <c r="AP352">
        <f>IF(AND($F352&lt;&gt;"",$I352&lt;&gt;""),IF($G352="وام و تسهیلات",1,0),0)</f>
        <v/>
      </c>
      <c r="AQ352">
        <f>SUM($AP$6:$AP352)</f>
        <v/>
      </c>
      <c r="AR352">
        <f>IFERROR(INDEX($F$6:$F$565,MATCH(ROW()-5,$AQ$6:$AQ$565,0)),"")</f>
        <v/>
      </c>
      <c r="AS352">
        <f>IF(AND($F352&lt;&gt;"",$I352&lt;&gt;""),IF($G352="سرمایه و آورده صاحبان",1,0),0)</f>
        <v/>
      </c>
      <c r="AT352">
        <f>SUM($AS$6:$AS352)</f>
        <v/>
      </c>
      <c r="AU352">
        <f>IFERROR(INDEX($F$6:$F$565,MATCH(ROW()-5,$AT$6:$AT$565,0)),"")</f>
        <v/>
      </c>
      <c r="AW352">
        <f>IF([3]Issues!$C$355="","",[3]Issues!$C$355)</f>
        <v/>
      </c>
      <c r="AX352">
        <f>IF([4]Entry!$E$355="","",[4]Entry!$E$355)</f>
        <v/>
      </c>
      <c r="AY352">
        <f>IF([4]Entry!$H$355="","",[4]Entry!$H$355)</f>
        <v/>
      </c>
      <c r="AZ352">
        <f>IF([4]Entry!$I$355="","",[4]Entry!$I$355)</f>
        <v/>
      </c>
    </row>
    <row r="353">
      <c r="F353">
        <f>IF([1]Accounts!$D$354="","",[1]Accounts!$A$354)</f>
        <v/>
      </c>
      <c r="G353">
        <f>IF([1]Accounts!$D$354="","",[1]Accounts!$B$354)</f>
        <v/>
      </c>
      <c r="H353">
        <f>IF([1]Accounts!$D$354="","",[1]Accounts!$C$354)</f>
        <v/>
      </c>
      <c r="I353">
        <f>IF([1]Accounts!$D$354="","",[1]Accounts!$D$354)</f>
        <v/>
      </c>
      <c r="R353">
        <f>IF(AND($F353&lt;&gt;"",$I353&lt;&gt;""),IF(OR($G353="دارایی ثابت",$G353="وام و تسهیلات",$G353="سرمایه و آورده صاحبان"),0,1),0)</f>
        <v/>
      </c>
      <c r="S353">
        <f>SUM($R$6:$R353)</f>
        <v/>
      </c>
      <c r="T353">
        <f>IFERROR(INDEX($F$6:$F$565,MATCH(ROW()-5,$S$6:$S$565,0)),"")</f>
        <v/>
      </c>
      <c r="Z353">
        <f>IF([2]Entry!$E$356="","",[2]Entry!$E$356)</f>
        <v/>
      </c>
      <c r="AA353">
        <f>IF([2]Entry!$G$356="","",[2]Entry!$G$356)</f>
        <v/>
      </c>
      <c r="AB353">
        <f>IF([2]Entry!$J$356="","",[2]Entry!$J$356)</f>
        <v/>
      </c>
      <c r="AC353">
        <f>IF([2]Entry!$K$356="","",[2]Entry!$K$356)</f>
        <v/>
      </c>
      <c r="AD353">
        <f>IF([2]Entry!$L$356="","",[2]Entry!$L$356)</f>
        <v/>
      </c>
      <c r="AE353">
        <f>IF([2]Entry!$M$356="","",[2]Entry!$M$356)</f>
        <v/>
      </c>
      <c r="AF353">
        <f>IF([2]Entry!$N$356="","",[2]Entry!$N$356)</f>
        <v/>
      </c>
      <c r="AG353">
        <f>IF([3]Issues!$B$356="","",[3]Issues!$B$356)</f>
        <v/>
      </c>
      <c r="AH353">
        <f>IF([3]Issues!$D$356="","",[3]Issues!$D$356)</f>
        <v/>
      </c>
      <c r="AI353">
        <f>IF([3]Issues!$E$356="","",[3]Issues!$E$356)</f>
        <v/>
      </c>
      <c r="AJ353">
        <f>IF([2]Entry!$S$356="","",[2]Entry!$S$356)</f>
        <v/>
      </c>
      <c r="AK353">
        <f>IF([2]Entry!$C$356="","",[2]Entry!$C$356)</f>
        <v/>
      </c>
      <c r="AL353">
        <f>IF([2]Entry!$D$356="","",[2]Entry!$D$356)</f>
        <v/>
      </c>
      <c r="AM353">
        <f>IF(AND($F353&lt;&gt;"",$I353&lt;&gt;""),IF($G353="دارایی ثابت",1,0),0)</f>
        <v/>
      </c>
      <c r="AN353">
        <f>SUM($AM$6:$AM353)</f>
        <v/>
      </c>
      <c r="AO353">
        <f>IFERROR(INDEX($F$6:$F$565,MATCH(ROW()-5,$AN$6:$AN$565,0)),"")</f>
        <v/>
      </c>
      <c r="AP353">
        <f>IF(AND($F353&lt;&gt;"",$I353&lt;&gt;""),IF($G353="وام و تسهیلات",1,0),0)</f>
        <v/>
      </c>
      <c r="AQ353">
        <f>SUM($AP$6:$AP353)</f>
        <v/>
      </c>
      <c r="AR353">
        <f>IFERROR(INDEX($F$6:$F$565,MATCH(ROW()-5,$AQ$6:$AQ$565,0)),"")</f>
        <v/>
      </c>
      <c r="AS353">
        <f>IF(AND($F353&lt;&gt;"",$I353&lt;&gt;""),IF($G353="سرمایه و آورده صاحبان",1,0),0)</f>
        <v/>
      </c>
      <c r="AT353">
        <f>SUM($AS$6:$AS353)</f>
        <v/>
      </c>
      <c r="AU353">
        <f>IFERROR(INDEX($F$6:$F$565,MATCH(ROW()-5,$AT$6:$AT$565,0)),"")</f>
        <v/>
      </c>
      <c r="AW353">
        <f>IF([3]Issues!$C$356="","",[3]Issues!$C$356)</f>
        <v/>
      </c>
      <c r="AX353">
        <f>IF([4]Entry!$E$356="","",[4]Entry!$E$356)</f>
        <v/>
      </c>
      <c r="AY353">
        <f>IF([4]Entry!$H$356="","",[4]Entry!$H$356)</f>
        <v/>
      </c>
      <c r="AZ353">
        <f>IF([4]Entry!$I$356="","",[4]Entry!$I$356)</f>
        <v/>
      </c>
    </row>
    <row r="354">
      <c r="F354">
        <f>IF([1]Accounts!$D$355="","",[1]Accounts!$A$355)</f>
        <v/>
      </c>
      <c r="G354">
        <f>IF([1]Accounts!$D$355="","",[1]Accounts!$B$355)</f>
        <v/>
      </c>
      <c r="H354">
        <f>IF([1]Accounts!$D$355="","",[1]Accounts!$C$355)</f>
        <v/>
      </c>
      <c r="I354">
        <f>IF([1]Accounts!$D$355="","",[1]Accounts!$D$355)</f>
        <v/>
      </c>
      <c r="R354">
        <f>IF(AND($F354&lt;&gt;"",$I354&lt;&gt;""),IF(OR($G354="دارایی ثابت",$G354="وام و تسهیلات",$G354="سرمایه و آورده صاحبان"),0,1),0)</f>
        <v/>
      </c>
      <c r="S354">
        <f>SUM($R$6:$R354)</f>
        <v/>
      </c>
      <c r="T354">
        <f>IFERROR(INDEX($F$6:$F$565,MATCH(ROW()-5,$S$6:$S$565,0)),"")</f>
        <v/>
      </c>
      <c r="Z354">
        <f>IF([2]Entry!$E$357="","",[2]Entry!$E$357)</f>
        <v/>
      </c>
      <c r="AA354">
        <f>IF([2]Entry!$G$357="","",[2]Entry!$G$357)</f>
        <v/>
      </c>
      <c r="AB354">
        <f>IF([2]Entry!$J$357="","",[2]Entry!$J$357)</f>
        <v/>
      </c>
      <c r="AC354">
        <f>IF([2]Entry!$K$357="","",[2]Entry!$K$357)</f>
        <v/>
      </c>
      <c r="AD354">
        <f>IF([2]Entry!$L$357="","",[2]Entry!$L$357)</f>
        <v/>
      </c>
      <c r="AE354">
        <f>IF([2]Entry!$M$357="","",[2]Entry!$M$357)</f>
        <v/>
      </c>
      <c r="AF354">
        <f>IF([2]Entry!$N$357="","",[2]Entry!$N$357)</f>
        <v/>
      </c>
      <c r="AG354">
        <f>IF([3]Issues!$B$357="","",[3]Issues!$B$357)</f>
        <v/>
      </c>
      <c r="AH354">
        <f>IF([3]Issues!$D$357="","",[3]Issues!$D$357)</f>
        <v/>
      </c>
      <c r="AI354">
        <f>IF([3]Issues!$E$357="","",[3]Issues!$E$357)</f>
        <v/>
      </c>
      <c r="AJ354">
        <f>IF([2]Entry!$S$357="","",[2]Entry!$S$357)</f>
        <v/>
      </c>
      <c r="AK354">
        <f>IF([2]Entry!$C$357="","",[2]Entry!$C$357)</f>
        <v/>
      </c>
      <c r="AL354">
        <f>IF([2]Entry!$D$357="","",[2]Entry!$D$357)</f>
        <v/>
      </c>
      <c r="AM354">
        <f>IF(AND($F354&lt;&gt;"",$I354&lt;&gt;""),IF($G354="دارایی ثابت",1,0),0)</f>
        <v/>
      </c>
      <c r="AN354">
        <f>SUM($AM$6:$AM354)</f>
        <v/>
      </c>
      <c r="AO354">
        <f>IFERROR(INDEX($F$6:$F$565,MATCH(ROW()-5,$AN$6:$AN$565,0)),"")</f>
        <v/>
      </c>
      <c r="AP354">
        <f>IF(AND($F354&lt;&gt;"",$I354&lt;&gt;""),IF($G354="وام و تسهیلات",1,0),0)</f>
        <v/>
      </c>
      <c r="AQ354">
        <f>SUM($AP$6:$AP354)</f>
        <v/>
      </c>
      <c r="AR354">
        <f>IFERROR(INDEX($F$6:$F$565,MATCH(ROW()-5,$AQ$6:$AQ$565,0)),"")</f>
        <v/>
      </c>
      <c r="AS354">
        <f>IF(AND($F354&lt;&gt;"",$I354&lt;&gt;""),IF($G354="سرمایه و آورده صاحبان",1,0),0)</f>
        <v/>
      </c>
      <c r="AT354">
        <f>SUM($AS$6:$AS354)</f>
        <v/>
      </c>
      <c r="AU354">
        <f>IFERROR(INDEX($F$6:$F$565,MATCH(ROW()-5,$AT$6:$AT$565,0)),"")</f>
        <v/>
      </c>
      <c r="AW354">
        <f>IF([3]Issues!$C$357="","",[3]Issues!$C$357)</f>
        <v/>
      </c>
      <c r="AX354">
        <f>IF([4]Entry!$E$357="","",[4]Entry!$E$357)</f>
        <v/>
      </c>
      <c r="AY354">
        <f>IF([4]Entry!$H$357="","",[4]Entry!$H$357)</f>
        <v/>
      </c>
      <c r="AZ354">
        <f>IF([4]Entry!$I$357="","",[4]Entry!$I$357)</f>
        <v/>
      </c>
    </row>
    <row r="355">
      <c r="F355">
        <f>IF([1]Accounts!$D$356="","",[1]Accounts!$A$356)</f>
        <v/>
      </c>
      <c r="G355">
        <f>IF([1]Accounts!$D$356="","",[1]Accounts!$B$356)</f>
        <v/>
      </c>
      <c r="H355">
        <f>IF([1]Accounts!$D$356="","",[1]Accounts!$C$356)</f>
        <v/>
      </c>
      <c r="I355">
        <f>IF([1]Accounts!$D$356="","",[1]Accounts!$D$356)</f>
        <v/>
      </c>
      <c r="R355">
        <f>IF(AND($F355&lt;&gt;"",$I355&lt;&gt;""),IF(OR($G355="دارایی ثابت",$G355="وام و تسهیلات",$G355="سرمایه و آورده صاحبان"),0,1),0)</f>
        <v/>
      </c>
      <c r="S355">
        <f>SUM($R$6:$R355)</f>
        <v/>
      </c>
      <c r="T355">
        <f>IFERROR(INDEX($F$6:$F$565,MATCH(ROW()-5,$S$6:$S$565,0)),"")</f>
        <v/>
      </c>
      <c r="Z355">
        <f>IF([2]Entry!$E$358="","",[2]Entry!$E$358)</f>
        <v/>
      </c>
      <c r="AA355">
        <f>IF([2]Entry!$G$358="","",[2]Entry!$G$358)</f>
        <v/>
      </c>
      <c r="AB355">
        <f>IF([2]Entry!$J$358="","",[2]Entry!$J$358)</f>
        <v/>
      </c>
      <c r="AC355">
        <f>IF([2]Entry!$K$358="","",[2]Entry!$K$358)</f>
        <v/>
      </c>
      <c r="AD355">
        <f>IF([2]Entry!$L$358="","",[2]Entry!$L$358)</f>
        <v/>
      </c>
      <c r="AE355">
        <f>IF([2]Entry!$M$358="","",[2]Entry!$M$358)</f>
        <v/>
      </c>
      <c r="AF355">
        <f>IF([2]Entry!$N$358="","",[2]Entry!$N$358)</f>
        <v/>
      </c>
      <c r="AG355">
        <f>IF([3]Issues!$B$358="","",[3]Issues!$B$358)</f>
        <v/>
      </c>
      <c r="AH355">
        <f>IF([3]Issues!$D$358="","",[3]Issues!$D$358)</f>
        <v/>
      </c>
      <c r="AI355">
        <f>IF([3]Issues!$E$358="","",[3]Issues!$E$358)</f>
        <v/>
      </c>
      <c r="AJ355">
        <f>IF([2]Entry!$S$358="","",[2]Entry!$S$358)</f>
        <v/>
      </c>
      <c r="AK355">
        <f>IF([2]Entry!$C$358="","",[2]Entry!$C$358)</f>
        <v/>
      </c>
      <c r="AL355">
        <f>IF([2]Entry!$D$358="","",[2]Entry!$D$358)</f>
        <v/>
      </c>
      <c r="AM355">
        <f>IF(AND($F355&lt;&gt;"",$I355&lt;&gt;""),IF($G355="دارایی ثابت",1,0),0)</f>
        <v/>
      </c>
      <c r="AN355">
        <f>SUM($AM$6:$AM355)</f>
        <v/>
      </c>
      <c r="AO355">
        <f>IFERROR(INDEX($F$6:$F$565,MATCH(ROW()-5,$AN$6:$AN$565,0)),"")</f>
        <v/>
      </c>
      <c r="AP355">
        <f>IF(AND($F355&lt;&gt;"",$I355&lt;&gt;""),IF($G355="وام و تسهیلات",1,0),0)</f>
        <v/>
      </c>
      <c r="AQ355">
        <f>SUM($AP$6:$AP355)</f>
        <v/>
      </c>
      <c r="AR355">
        <f>IFERROR(INDEX($F$6:$F$565,MATCH(ROW()-5,$AQ$6:$AQ$565,0)),"")</f>
        <v/>
      </c>
      <c r="AS355">
        <f>IF(AND($F355&lt;&gt;"",$I355&lt;&gt;""),IF($G355="سرمایه و آورده صاحبان",1,0),0)</f>
        <v/>
      </c>
      <c r="AT355">
        <f>SUM($AS$6:$AS355)</f>
        <v/>
      </c>
      <c r="AU355">
        <f>IFERROR(INDEX($F$6:$F$565,MATCH(ROW()-5,$AT$6:$AT$565,0)),"")</f>
        <v/>
      </c>
      <c r="AW355">
        <f>IF([3]Issues!$C$358="","",[3]Issues!$C$358)</f>
        <v/>
      </c>
      <c r="AX355">
        <f>IF([4]Entry!$E$358="","",[4]Entry!$E$358)</f>
        <v/>
      </c>
      <c r="AY355">
        <f>IF([4]Entry!$H$358="","",[4]Entry!$H$358)</f>
        <v/>
      </c>
      <c r="AZ355">
        <f>IF([4]Entry!$I$358="","",[4]Entry!$I$358)</f>
        <v/>
      </c>
    </row>
    <row r="356">
      <c r="F356">
        <f>IF([1]Accounts!$D$357="","",[1]Accounts!$A$357)</f>
        <v/>
      </c>
      <c r="G356">
        <f>IF([1]Accounts!$D$357="","",[1]Accounts!$B$357)</f>
        <v/>
      </c>
      <c r="H356">
        <f>IF([1]Accounts!$D$357="","",[1]Accounts!$C$357)</f>
        <v/>
      </c>
      <c r="I356">
        <f>IF([1]Accounts!$D$357="","",[1]Accounts!$D$357)</f>
        <v/>
      </c>
      <c r="R356">
        <f>IF(AND($F356&lt;&gt;"",$I356&lt;&gt;""),IF(OR($G356="دارایی ثابت",$G356="وام و تسهیلات",$G356="سرمایه و آورده صاحبان"),0,1),0)</f>
        <v/>
      </c>
      <c r="S356">
        <f>SUM($R$6:$R356)</f>
        <v/>
      </c>
      <c r="T356">
        <f>IFERROR(INDEX($F$6:$F$565,MATCH(ROW()-5,$S$6:$S$565,0)),"")</f>
        <v/>
      </c>
      <c r="Z356">
        <f>IF([2]Entry!$E$359="","",[2]Entry!$E$359)</f>
        <v/>
      </c>
      <c r="AA356">
        <f>IF([2]Entry!$G$359="","",[2]Entry!$G$359)</f>
        <v/>
      </c>
      <c r="AB356">
        <f>IF([2]Entry!$J$359="","",[2]Entry!$J$359)</f>
        <v/>
      </c>
      <c r="AC356">
        <f>IF([2]Entry!$K$359="","",[2]Entry!$K$359)</f>
        <v/>
      </c>
      <c r="AD356">
        <f>IF([2]Entry!$L$359="","",[2]Entry!$L$359)</f>
        <v/>
      </c>
      <c r="AE356">
        <f>IF([2]Entry!$M$359="","",[2]Entry!$M$359)</f>
        <v/>
      </c>
      <c r="AF356">
        <f>IF([2]Entry!$N$359="","",[2]Entry!$N$359)</f>
        <v/>
      </c>
      <c r="AG356">
        <f>IF([3]Issues!$B$359="","",[3]Issues!$B$359)</f>
        <v/>
      </c>
      <c r="AH356">
        <f>IF([3]Issues!$D$359="","",[3]Issues!$D$359)</f>
        <v/>
      </c>
      <c r="AI356">
        <f>IF([3]Issues!$E$359="","",[3]Issues!$E$359)</f>
        <v/>
      </c>
      <c r="AJ356">
        <f>IF([2]Entry!$S$359="","",[2]Entry!$S$359)</f>
        <v/>
      </c>
      <c r="AK356">
        <f>IF([2]Entry!$C$359="","",[2]Entry!$C$359)</f>
        <v/>
      </c>
      <c r="AL356">
        <f>IF([2]Entry!$D$359="","",[2]Entry!$D$359)</f>
        <v/>
      </c>
      <c r="AM356">
        <f>IF(AND($F356&lt;&gt;"",$I356&lt;&gt;""),IF($G356="دارایی ثابت",1,0),0)</f>
        <v/>
      </c>
      <c r="AN356">
        <f>SUM($AM$6:$AM356)</f>
        <v/>
      </c>
      <c r="AO356">
        <f>IFERROR(INDEX($F$6:$F$565,MATCH(ROW()-5,$AN$6:$AN$565,0)),"")</f>
        <v/>
      </c>
      <c r="AP356">
        <f>IF(AND($F356&lt;&gt;"",$I356&lt;&gt;""),IF($G356="وام و تسهیلات",1,0),0)</f>
        <v/>
      </c>
      <c r="AQ356">
        <f>SUM($AP$6:$AP356)</f>
        <v/>
      </c>
      <c r="AR356">
        <f>IFERROR(INDEX($F$6:$F$565,MATCH(ROW()-5,$AQ$6:$AQ$565,0)),"")</f>
        <v/>
      </c>
      <c r="AS356">
        <f>IF(AND($F356&lt;&gt;"",$I356&lt;&gt;""),IF($G356="سرمایه و آورده صاحبان",1,0),0)</f>
        <v/>
      </c>
      <c r="AT356">
        <f>SUM($AS$6:$AS356)</f>
        <v/>
      </c>
      <c r="AU356">
        <f>IFERROR(INDEX($F$6:$F$565,MATCH(ROW()-5,$AT$6:$AT$565,0)),"")</f>
        <v/>
      </c>
      <c r="AW356">
        <f>IF([3]Issues!$C$359="","",[3]Issues!$C$359)</f>
        <v/>
      </c>
      <c r="AX356">
        <f>IF([4]Entry!$E$359="","",[4]Entry!$E$359)</f>
        <v/>
      </c>
      <c r="AY356">
        <f>IF([4]Entry!$H$359="","",[4]Entry!$H$359)</f>
        <v/>
      </c>
      <c r="AZ356">
        <f>IF([4]Entry!$I$359="","",[4]Entry!$I$359)</f>
        <v/>
      </c>
    </row>
    <row r="357">
      <c r="F357">
        <f>IF([1]Accounts!$D$358="","",[1]Accounts!$A$358)</f>
        <v/>
      </c>
      <c r="G357">
        <f>IF([1]Accounts!$D$358="","",[1]Accounts!$B$358)</f>
        <v/>
      </c>
      <c r="H357">
        <f>IF([1]Accounts!$D$358="","",[1]Accounts!$C$358)</f>
        <v/>
      </c>
      <c r="I357">
        <f>IF([1]Accounts!$D$358="","",[1]Accounts!$D$358)</f>
        <v/>
      </c>
      <c r="R357">
        <f>IF(AND($F357&lt;&gt;"",$I357&lt;&gt;""),IF(OR($G357="دارایی ثابت",$G357="وام و تسهیلات",$G357="سرمایه و آورده صاحبان"),0,1),0)</f>
        <v/>
      </c>
      <c r="S357">
        <f>SUM($R$6:$R357)</f>
        <v/>
      </c>
      <c r="T357">
        <f>IFERROR(INDEX($F$6:$F$565,MATCH(ROW()-5,$S$6:$S$565,0)),"")</f>
        <v/>
      </c>
      <c r="Z357">
        <f>IF([2]Entry!$E$360="","",[2]Entry!$E$360)</f>
        <v/>
      </c>
      <c r="AA357">
        <f>IF([2]Entry!$G$360="","",[2]Entry!$G$360)</f>
        <v/>
      </c>
      <c r="AB357">
        <f>IF([2]Entry!$J$360="","",[2]Entry!$J$360)</f>
        <v/>
      </c>
      <c r="AC357">
        <f>IF([2]Entry!$K$360="","",[2]Entry!$K$360)</f>
        <v/>
      </c>
      <c r="AD357">
        <f>IF([2]Entry!$L$360="","",[2]Entry!$L$360)</f>
        <v/>
      </c>
      <c r="AE357">
        <f>IF([2]Entry!$M$360="","",[2]Entry!$M$360)</f>
        <v/>
      </c>
      <c r="AF357">
        <f>IF([2]Entry!$N$360="","",[2]Entry!$N$360)</f>
        <v/>
      </c>
      <c r="AG357">
        <f>IF([3]Issues!$B$360="","",[3]Issues!$B$360)</f>
        <v/>
      </c>
      <c r="AH357">
        <f>IF([3]Issues!$D$360="","",[3]Issues!$D$360)</f>
        <v/>
      </c>
      <c r="AI357">
        <f>IF([3]Issues!$E$360="","",[3]Issues!$E$360)</f>
        <v/>
      </c>
      <c r="AJ357">
        <f>IF([2]Entry!$S$360="","",[2]Entry!$S$360)</f>
        <v/>
      </c>
      <c r="AK357">
        <f>IF([2]Entry!$C$360="","",[2]Entry!$C$360)</f>
        <v/>
      </c>
      <c r="AL357">
        <f>IF([2]Entry!$D$360="","",[2]Entry!$D$360)</f>
        <v/>
      </c>
      <c r="AM357">
        <f>IF(AND($F357&lt;&gt;"",$I357&lt;&gt;""),IF($G357="دارایی ثابت",1,0),0)</f>
        <v/>
      </c>
      <c r="AN357">
        <f>SUM($AM$6:$AM357)</f>
        <v/>
      </c>
      <c r="AO357">
        <f>IFERROR(INDEX($F$6:$F$565,MATCH(ROW()-5,$AN$6:$AN$565,0)),"")</f>
        <v/>
      </c>
      <c r="AP357">
        <f>IF(AND($F357&lt;&gt;"",$I357&lt;&gt;""),IF($G357="وام و تسهیلات",1,0),0)</f>
        <v/>
      </c>
      <c r="AQ357">
        <f>SUM($AP$6:$AP357)</f>
        <v/>
      </c>
      <c r="AR357">
        <f>IFERROR(INDEX($F$6:$F$565,MATCH(ROW()-5,$AQ$6:$AQ$565,0)),"")</f>
        <v/>
      </c>
      <c r="AS357">
        <f>IF(AND($F357&lt;&gt;"",$I357&lt;&gt;""),IF($G357="سرمایه و آورده صاحبان",1,0),0)</f>
        <v/>
      </c>
      <c r="AT357">
        <f>SUM($AS$6:$AS357)</f>
        <v/>
      </c>
      <c r="AU357">
        <f>IFERROR(INDEX($F$6:$F$565,MATCH(ROW()-5,$AT$6:$AT$565,0)),"")</f>
        <v/>
      </c>
      <c r="AW357">
        <f>IF([3]Issues!$C$360="","",[3]Issues!$C$360)</f>
        <v/>
      </c>
      <c r="AX357">
        <f>IF([4]Entry!$E$360="","",[4]Entry!$E$360)</f>
        <v/>
      </c>
      <c r="AY357">
        <f>IF([4]Entry!$H$360="","",[4]Entry!$H$360)</f>
        <v/>
      </c>
      <c r="AZ357">
        <f>IF([4]Entry!$I$360="","",[4]Entry!$I$360)</f>
        <v/>
      </c>
    </row>
    <row r="358">
      <c r="F358">
        <f>IF([1]Accounts!$D$359="","",[1]Accounts!$A$359)</f>
        <v/>
      </c>
      <c r="G358">
        <f>IF([1]Accounts!$D$359="","",[1]Accounts!$B$359)</f>
        <v/>
      </c>
      <c r="H358">
        <f>IF([1]Accounts!$D$359="","",[1]Accounts!$C$359)</f>
        <v/>
      </c>
      <c r="I358">
        <f>IF([1]Accounts!$D$359="","",[1]Accounts!$D$359)</f>
        <v/>
      </c>
      <c r="R358">
        <f>IF(AND($F358&lt;&gt;"",$I358&lt;&gt;""),IF(OR($G358="دارایی ثابت",$G358="وام و تسهیلات",$G358="سرمایه و آورده صاحبان"),0,1),0)</f>
        <v/>
      </c>
      <c r="S358">
        <f>SUM($R$6:$R358)</f>
        <v/>
      </c>
      <c r="T358">
        <f>IFERROR(INDEX($F$6:$F$565,MATCH(ROW()-5,$S$6:$S$565,0)),"")</f>
        <v/>
      </c>
      <c r="Z358">
        <f>IF([2]Entry!$E$361="","",[2]Entry!$E$361)</f>
        <v/>
      </c>
      <c r="AA358">
        <f>IF([2]Entry!$G$361="","",[2]Entry!$G$361)</f>
        <v/>
      </c>
      <c r="AB358">
        <f>IF([2]Entry!$J$361="","",[2]Entry!$J$361)</f>
        <v/>
      </c>
      <c r="AC358">
        <f>IF([2]Entry!$K$361="","",[2]Entry!$K$361)</f>
        <v/>
      </c>
      <c r="AD358">
        <f>IF([2]Entry!$L$361="","",[2]Entry!$L$361)</f>
        <v/>
      </c>
      <c r="AE358">
        <f>IF([2]Entry!$M$361="","",[2]Entry!$M$361)</f>
        <v/>
      </c>
      <c r="AF358">
        <f>IF([2]Entry!$N$361="","",[2]Entry!$N$361)</f>
        <v/>
      </c>
      <c r="AG358">
        <f>IF([3]Issues!$B$361="","",[3]Issues!$B$361)</f>
        <v/>
      </c>
      <c r="AH358">
        <f>IF([3]Issues!$D$361="","",[3]Issues!$D$361)</f>
        <v/>
      </c>
      <c r="AI358">
        <f>IF([3]Issues!$E$361="","",[3]Issues!$E$361)</f>
        <v/>
      </c>
      <c r="AJ358">
        <f>IF([2]Entry!$S$361="","",[2]Entry!$S$361)</f>
        <v/>
      </c>
      <c r="AK358">
        <f>IF([2]Entry!$C$361="","",[2]Entry!$C$361)</f>
        <v/>
      </c>
      <c r="AL358">
        <f>IF([2]Entry!$D$361="","",[2]Entry!$D$361)</f>
        <v/>
      </c>
      <c r="AM358">
        <f>IF(AND($F358&lt;&gt;"",$I358&lt;&gt;""),IF($G358="دارایی ثابت",1,0),0)</f>
        <v/>
      </c>
      <c r="AN358">
        <f>SUM($AM$6:$AM358)</f>
        <v/>
      </c>
      <c r="AO358">
        <f>IFERROR(INDEX($F$6:$F$565,MATCH(ROW()-5,$AN$6:$AN$565,0)),"")</f>
        <v/>
      </c>
      <c r="AP358">
        <f>IF(AND($F358&lt;&gt;"",$I358&lt;&gt;""),IF($G358="وام و تسهیلات",1,0),0)</f>
        <v/>
      </c>
      <c r="AQ358">
        <f>SUM($AP$6:$AP358)</f>
        <v/>
      </c>
      <c r="AR358">
        <f>IFERROR(INDEX($F$6:$F$565,MATCH(ROW()-5,$AQ$6:$AQ$565,0)),"")</f>
        <v/>
      </c>
      <c r="AS358">
        <f>IF(AND($F358&lt;&gt;"",$I358&lt;&gt;""),IF($G358="سرمایه و آورده صاحبان",1,0),0)</f>
        <v/>
      </c>
      <c r="AT358">
        <f>SUM($AS$6:$AS358)</f>
        <v/>
      </c>
      <c r="AU358">
        <f>IFERROR(INDEX($F$6:$F$565,MATCH(ROW()-5,$AT$6:$AT$565,0)),"")</f>
        <v/>
      </c>
      <c r="AW358">
        <f>IF([3]Issues!$C$361="","",[3]Issues!$C$361)</f>
        <v/>
      </c>
      <c r="AX358">
        <f>IF([4]Entry!$E$361="","",[4]Entry!$E$361)</f>
        <v/>
      </c>
      <c r="AY358">
        <f>IF([4]Entry!$H$361="","",[4]Entry!$H$361)</f>
        <v/>
      </c>
      <c r="AZ358">
        <f>IF([4]Entry!$I$361="","",[4]Entry!$I$361)</f>
        <v/>
      </c>
    </row>
    <row r="359">
      <c r="F359">
        <f>IF([1]Accounts!$D$360="","",[1]Accounts!$A$360)</f>
        <v/>
      </c>
      <c r="G359">
        <f>IF([1]Accounts!$D$360="","",[1]Accounts!$B$360)</f>
        <v/>
      </c>
      <c r="H359">
        <f>IF([1]Accounts!$D$360="","",[1]Accounts!$C$360)</f>
        <v/>
      </c>
      <c r="I359">
        <f>IF([1]Accounts!$D$360="","",[1]Accounts!$D$360)</f>
        <v/>
      </c>
      <c r="R359">
        <f>IF(AND($F359&lt;&gt;"",$I359&lt;&gt;""),IF(OR($G359="دارایی ثابت",$G359="وام و تسهیلات",$G359="سرمایه و آورده صاحبان"),0,1),0)</f>
        <v/>
      </c>
      <c r="S359">
        <f>SUM($R$6:$R359)</f>
        <v/>
      </c>
      <c r="T359">
        <f>IFERROR(INDEX($F$6:$F$565,MATCH(ROW()-5,$S$6:$S$565,0)),"")</f>
        <v/>
      </c>
      <c r="Z359">
        <f>IF([2]Entry!$E$362="","",[2]Entry!$E$362)</f>
        <v/>
      </c>
      <c r="AA359">
        <f>IF([2]Entry!$G$362="","",[2]Entry!$G$362)</f>
        <v/>
      </c>
      <c r="AB359">
        <f>IF([2]Entry!$J$362="","",[2]Entry!$J$362)</f>
        <v/>
      </c>
      <c r="AC359">
        <f>IF([2]Entry!$K$362="","",[2]Entry!$K$362)</f>
        <v/>
      </c>
      <c r="AD359">
        <f>IF([2]Entry!$L$362="","",[2]Entry!$L$362)</f>
        <v/>
      </c>
      <c r="AE359">
        <f>IF([2]Entry!$M$362="","",[2]Entry!$M$362)</f>
        <v/>
      </c>
      <c r="AF359">
        <f>IF([2]Entry!$N$362="","",[2]Entry!$N$362)</f>
        <v/>
      </c>
      <c r="AG359">
        <f>IF([3]Issues!$B$362="","",[3]Issues!$B$362)</f>
        <v/>
      </c>
      <c r="AH359">
        <f>IF([3]Issues!$D$362="","",[3]Issues!$D$362)</f>
        <v/>
      </c>
      <c r="AI359">
        <f>IF([3]Issues!$E$362="","",[3]Issues!$E$362)</f>
        <v/>
      </c>
      <c r="AJ359">
        <f>IF([2]Entry!$S$362="","",[2]Entry!$S$362)</f>
        <v/>
      </c>
      <c r="AK359">
        <f>IF([2]Entry!$C$362="","",[2]Entry!$C$362)</f>
        <v/>
      </c>
      <c r="AL359">
        <f>IF([2]Entry!$D$362="","",[2]Entry!$D$362)</f>
        <v/>
      </c>
      <c r="AM359">
        <f>IF(AND($F359&lt;&gt;"",$I359&lt;&gt;""),IF($G359="دارایی ثابت",1,0),0)</f>
        <v/>
      </c>
      <c r="AN359">
        <f>SUM($AM$6:$AM359)</f>
        <v/>
      </c>
      <c r="AO359">
        <f>IFERROR(INDEX($F$6:$F$565,MATCH(ROW()-5,$AN$6:$AN$565,0)),"")</f>
        <v/>
      </c>
      <c r="AP359">
        <f>IF(AND($F359&lt;&gt;"",$I359&lt;&gt;""),IF($G359="وام و تسهیلات",1,0),0)</f>
        <v/>
      </c>
      <c r="AQ359">
        <f>SUM($AP$6:$AP359)</f>
        <v/>
      </c>
      <c r="AR359">
        <f>IFERROR(INDEX($F$6:$F$565,MATCH(ROW()-5,$AQ$6:$AQ$565,0)),"")</f>
        <v/>
      </c>
      <c r="AS359">
        <f>IF(AND($F359&lt;&gt;"",$I359&lt;&gt;""),IF($G359="سرمایه و آورده صاحبان",1,0),0)</f>
        <v/>
      </c>
      <c r="AT359">
        <f>SUM($AS$6:$AS359)</f>
        <v/>
      </c>
      <c r="AU359">
        <f>IFERROR(INDEX($F$6:$F$565,MATCH(ROW()-5,$AT$6:$AT$565,0)),"")</f>
        <v/>
      </c>
      <c r="AW359">
        <f>IF([3]Issues!$C$362="","",[3]Issues!$C$362)</f>
        <v/>
      </c>
      <c r="AX359">
        <f>IF([4]Entry!$E$362="","",[4]Entry!$E$362)</f>
        <v/>
      </c>
      <c r="AY359">
        <f>IF([4]Entry!$H$362="","",[4]Entry!$H$362)</f>
        <v/>
      </c>
      <c r="AZ359">
        <f>IF([4]Entry!$I$362="","",[4]Entry!$I$362)</f>
        <v/>
      </c>
    </row>
    <row r="360">
      <c r="F360">
        <f>IF([1]Accounts!$D$361="","",[1]Accounts!$A$361)</f>
        <v/>
      </c>
      <c r="G360">
        <f>IF([1]Accounts!$D$361="","",[1]Accounts!$B$361)</f>
        <v/>
      </c>
      <c r="H360">
        <f>IF([1]Accounts!$D$361="","",[1]Accounts!$C$361)</f>
        <v/>
      </c>
      <c r="I360">
        <f>IF([1]Accounts!$D$361="","",[1]Accounts!$D$361)</f>
        <v/>
      </c>
      <c r="R360">
        <f>IF(AND($F360&lt;&gt;"",$I360&lt;&gt;""),IF(OR($G360="دارایی ثابت",$G360="وام و تسهیلات",$G360="سرمایه و آورده صاحبان"),0,1),0)</f>
        <v/>
      </c>
      <c r="S360">
        <f>SUM($R$6:$R360)</f>
        <v/>
      </c>
      <c r="T360">
        <f>IFERROR(INDEX($F$6:$F$565,MATCH(ROW()-5,$S$6:$S$565,0)),"")</f>
        <v/>
      </c>
      <c r="Z360">
        <f>IF([2]Entry!$E$363="","",[2]Entry!$E$363)</f>
        <v/>
      </c>
      <c r="AA360">
        <f>IF([2]Entry!$G$363="","",[2]Entry!$G$363)</f>
        <v/>
      </c>
      <c r="AB360">
        <f>IF([2]Entry!$J$363="","",[2]Entry!$J$363)</f>
        <v/>
      </c>
      <c r="AC360">
        <f>IF([2]Entry!$K$363="","",[2]Entry!$K$363)</f>
        <v/>
      </c>
      <c r="AD360">
        <f>IF([2]Entry!$L$363="","",[2]Entry!$L$363)</f>
        <v/>
      </c>
      <c r="AE360">
        <f>IF([2]Entry!$M$363="","",[2]Entry!$M$363)</f>
        <v/>
      </c>
      <c r="AF360">
        <f>IF([2]Entry!$N$363="","",[2]Entry!$N$363)</f>
        <v/>
      </c>
      <c r="AG360">
        <f>IF([3]Issues!$B$363="","",[3]Issues!$B$363)</f>
        <v/>
      </c>
      <c r="AH360">
        <f>IF([3]Issues!$D$363="","",[3]Issues!$D$363)</f>
        <v/>
      </c>
      <c r="AI360">
        <f>IF([3]Issues!$E$363="","",[3]Issues!$E$363)</f>
        <v/>
      </c>
      <c r="AJ360">
        <f>IF([2]Entry!$S$363="","",[2]Entry!$S$363)</f>
        <v/>
      </c>
      <c r="AK360">
        <f>IF([2]Entry!$C$363="","",[2]Entry!$C$363)</f>
        <v/>
      </c>
      <c r="AL360">
        <f>IF([2]Entry!$D$363="","",[2]Entry!$D$363)</f>
        <v/>
      </c>
      <c r="AM360">
        <f>IF(AND($F360&lt;&gt;"",$I360&lt;&gt;""),IF($G360="دارایی ثابت",1,0),0)</f>
        <v/>
      </c>
      <c r="AN360">
        <f>SUM($AM$6:$AM360)</f>
        <v/>
      </c>
      <c r="AO360">
        <f>IFERROR(INDEX($F$6:$F$565,MATCH(ROW()-5,$AN$6:$AN$565,0)),"")</f>
        <v/>
      </c>
      <c r="AP360">
        <f>IF(AND($F360&lt;&gt;"",$I360&lt;&gt;""),IF($G360="وام و تسهیلات",1,0),0)</f>
        <v/>
      </c>
      <c r="AQ360">
        <f>SUM($AP$6:$AP360)</f>
        <v/>
      </c>
      <c r="AR360">
        <f>IFERROR(INDEX($F$6:$F$565,MATCH(ROW()-5,$AQ$6:$AQ$565,0)),"")</f>
        <v/>
      </c>
      <c r="AS360">
        <f>IF(AND($F360&lt;&gt;"",$I360&lt;&gt;""),IF($G360="سرمایه و آورده صاحبان",1,0),0)</f>
        <v/>
      </c>
      <c r="AT360">
        <f>SUM($AS$6:$AS360)</f>
        <v/>
      </c>
      <c r="AU360">
        <f>IFERROR(INDEX($F$6:$F$565,MATCH(ROW()-5,$AT$6:$AT$565,0)),"")</f>
        <v/>
      </c>
      <c r="AW360">
        <f>IF([3]Issues!$C$363="","",[3]Issues!$C$363)</f>
        <v/>
      </c>
      <c r="AX360">
        <f>IF([4]Entry!$E$363="","",[4]Entry!$E$363)</f>
        <v/>
      </c>
      <c r="AY360">
        <f>IF([4]Entry!$H$363="","",[4]Entry!$H$363)</f>
        <v/>
      </c>
      <c r="AZ360">
        <f>IF([4]Entry!$I$363="","",[4]Entry!$I$363)</f>
        <v/>
      </c>
    </row>
    <row r="361">
      <c r="F361">
        <f>IF([1]Accounts!$D$362="","",[1]Accounts!$A$362)</f>
        <v/>
      </c>
      <c r="G361">
        <f>IF([1]Accounts!$D$362="","",[1]Accounts!$B$362)</f>
        <v/>
      </c>
      <c r="H361">
        <f>IF([1]Accounts!$D$362="","",[1]Accounts!$C$362)</f>
        <v/>
      </c>
      <c r="I361">
        <f>IF([1]Accounts!$D$362="","",[1]Accounts!$D$362)</f>
        <v/>
      </c>
      <c r="R361">
        <f>IF(AND($F361&lt;&gt;"",$I361&lt;&gt;""),IF(OR($G361="دارایی ثابت",$G361="وام و تسهیلات",$G361="سرمایه و آورده صاحبان"),0,1),0)</f>
        <v/>
      </c>
      <c r="S361">
        <f>SUM($R$6:$R361)</f>
        <v/>
      </c>
      <c r="T361">
        <f>IFERROR(INDEX($F$6:$F$565,MATCH(ROW()-5,$S$6:$S$565,0)),"")</f>
        <v/>
      </c>
      <c r="Z361">
        <f>IF([2]Entry!$E$364="","",[2]Entry!$E$364)</f>
        <v/>
      </c>
      <c r="AA361">
        <f>IF([2]Entry!$G$364="","",[2]Entry!$G$364)</f>
        <v/>
      </c>
      <c r="AB361">
        <f>IF([2]Entry!$J$364="","",[2]Entry!$J$364)</f>
        <v/>
      </c>
      <c r="AC361">
        <f>IF([2]Entry!$K$364="","",[2]Entry!$K$364)</f>
        <v/>
      </c>
      <c r="AD361">
        <f>IF([2]Entry!$L$364="","",[2]Entry!$L$364)</f>
        <v/>
      </c>
      <c r="AE361">
        <f>IF([2]Entry!$M$364="","",[2]Entry!$M$364)</f>
        <v/>
      </c>
      <c r="AF361">
        <f>IF([2]Entry!$N$364="","",[2]Entry!$N$364)</f>
        <v/>
      </c>
      <c r="AG361">
        <f>IF([3]Issues!$B$364="","",[3]Issues!$B$364)</f>
        <v/>
      </c>
      <c r="AH361">
        <f>IF([3]Issues!$D$364="","",[3]Issues!$D$364)</f>
        <v/>
      </c>
      <c r="AI361">
        <f>IF([3]Issues!$E$364="","",[3]Issues!$E$364)</f>
        <v/>
      </c>
      <c r="AJ361">
        <f>IF([2]Entry!$S$364="","",[2]Entry!$S$364)</f>
        <v/>
      </c>
      <c r="AK361">
        <f>IF([2]Entry!$C$364="","",[2]Entry!$C$364)</f>
        <v/>
      </c>
      <c r="AL361">
        <f>IF([2]Entry!$D$364="","",[2]Entry!$D$364)</f>
        <v/>
      </c>
      <c r="AM361">
        <f>IF(AND($F361&lt;&gt;"",$I361&lt;&gt;""),IF($G361="دارایی ثابت",1,0),0)</f>
        <v/>
      </c>
      <c r="AN361">
        <f>SUM($AM$6:$AM361)</f>
        <v/>
      </c>
      <c r="AO361">
        <f>IFERROR(INDEX($F$6:$F$565,MATCH(ROW()-5,$AN$6:$AN$565,0)),"")</f>
        <v/>
      </c>
      <c r="AP361">
        <f>IF(AND($F361&lt;&gt;"",$I361&lt;&gt;""),IF($G361="وام و تسهیلات",1,0),0)</f>
        <v/>
      </c>
      <c r="AQ361">
        <f>SUM($AP$6:$AP361)</f>
        <v/>
      </c>
      <c r="AR361">
        <f>IFERROR(INDEX($F$6:$F$565,MATCH(ROW()-5,$AQ$6:$AQ$565,0)),"")</f>
        <v/>
      </c>
      <c r="AS361">
        <f>IF(AND($F361&lt;&gt;"",$I361&lt;&gt;""),IF($G361="سرمایه و آورده صاحبان",1,0),0)</f>
        <v/>
      </c>
      <c r="AT361">
        <f>SUM($AS$6:$AS361)</f>
        <v/>
      </c>
      <c r="AU361">
        <f>IFERROR(INDEX($F$6:$F$565,MATCH(ROW()-5,$AT$6:$AT$565,0)),"")</f>
        <v/>
      </c>
      <c r="AW361">
        <f>IF([3]Issues!$C$364="","",[3]Issues!$C$364)</f>
        <v/>
      </c>
      <c r="AX361">
        <f>IF([4]Entry!$E$364="","",[4]Entry!$E$364)</f>
        <v/>
      </c>
      <c r="AY361">
        <f>IF([4]Entry!$H$364="","",[4]Entry!$H$364)</f>
        <v/>
      </c>
      <c r="AZ361">
        <f>IF([4]Entry!$I$364="","",[4]Entry!$I$364)</f>
        <v/>
      </c>
    </row>
    <row r="362">
      <c r="F362">
        <f>IF([1]Accounts!$D$363="","",[1]Accounts!$A$363)</f>
        <v/>
      </c>
      <c r="G362">
        <f>IF([1]Accounts!$D$363="","",[1]Accounts!$B$363)</f>
        <v/>
      </c>
      <c r="H362">
        <f>IF([1]Accounts!$D$363="","",[1]Accounts!$C$363)</f>
        <v/>
      </c>
      <c r="I362">
        <f>IF([1]Accounts!$D$363="","",[1]Accounts!$D$363)</f>
        <v/>
      </c>
      <c r="R362">
        <f>IF(AND($F362&lt;&gt;"",$I362&lt;&gt;""),IF(OR($G362="دارایی ثابت",$G362="وام و تسهیلات",$G362="سرمایه و آورده صاحبان"),0,1),0)</f>
        <v/>
      </c>
      <c r="S362">
        <f>SUM($R$6:$R362)</f>
        <v/>
      </c>
      <c r="T362">
        <f>IFERROR(INDEX($F$6:$F$565,MATCH(ROW()-5,$S$6:$S$565,0)),"")</f>
        <v/>
      </c>
      <c r="Z362">
        <f>IF([2]Entry!$E$365="","",[2]Entry!$E$365)</f>
        <v/>
      </c>
      <c r="AA362">
        <f>IF([2]Entry!$G$365="","",[2]Entry!$G$365)</f>
        <v/>
      </c>
      <c r="AB362">
        <f>IF([2]Entry!$J$365="","",[2]Entry!$J$365)</f>
        <v/>
      </c>
      <c r="AC362">
        <f>IF([2]Entry!$K$365="","",[2]Entry!$K$365)</f>
        <v/>
      </c>
      <c r="AD362">
        <f>IF([2]Entry!$L$365="","",[2]Entry!$L$365)</f>
        <v/>
      </c>
      <c r="AE362">
        <f>IF([2]Entry!$M$365="","",[2]Entry!$M$365)</f>
        <v/>
      </c>
      <c r="AF362">
        <f>IF([2]Entry!$N$365="","",[2]Entry!$N$365)</f>
        <v/>
      </c>
      <c r="AG362">
        <f>IF([3]Issues!$B$365="","",[3]Issues!$B$365)</f>
        <v/>
      </c>
      <c r="AH362">
        <f>IF([3]Issues!$D$365="","",[3]Issues!$D$365)</f>
        <v/>
      </c>
      <c r="AI362">
        <f>IF([3]Issues!$E$365="","",[3]Issues!$E$365)</f>
        <v/>
      </c>
      <c r="AJ362">
        <f>IF([2]Entry!$S$365="","",[2]Entry!$S$365)</f>
        <v/>
      </c>
      <c r="AK362">
        <f>IF([2]Entry!$C$365="","",[2]Entry!$C$365)</f>
        <v/>
      </c>
      <c r="AL362">
        <f>IF([2]Entry!$D$365="","",[2]Entry!$D$365)</f>
        <v/>
      </c>
      <c r="AM362">
        <f>IF(AND($F362&lt;&gt;"",$I362&lt;&gt;""),IF($G362="دارایی ثابت",1,0),0)</f>
        <v/>
      </c>
      <c r="AN362">
        <f>SUM($AM$6:$AM362)</f>
        <v/>
      </c>
      <c r="AO362">
        <f>IFERROR(INDEX($F$6:$F$565,MATCH(ROW()-5,$AN$6:$AN$565,0)),"")</f>
        <v/>
      </c>
      <c r="AP362">
        <f>IF(AND($F362&lt;&gt;"",$I362&lt;&gt;""),IF($G362="وام و تسهیلات",1,0),0)</f>
        <v/>
      </c>
      <c r="AQ362">
        <f>SUM($AP$6:$AP362)</f>
        <v/>
      </c>
      <c r="AR362">
        <f>IFERROR(INDEX($F$6:$F$565,MATCH(ROW()-5,$AQ$6:$AQ$565,0)),"")</f>
        <v/>
      </c>
      <c r="AS362">
        <f>IF(AND($F362&lt;&gt;"",$I362&lt;&gt;""),IF($G362="سرمایه و آورده صاحبان",1,0),0)</f>
        <v/>
      </c>
      <c r="AT362">
        <f>SUM($AS$6:$AS362)</f>
        <v/>
      </c>
      <c r="AU362">
        <f>IFERROR(INDEX($F$6:$F$565,MATCH(ROW()-5,$AT$6:$AT$565,0)),"")</f>
        <v/>
      </c>
      <c r="AW362">
        <f>IF([3]Issues!$C$365="","",[3]Issues!$C$365)</f>
        <v/>
      </c>
      <c r="AX362">
        <f>IF([4]Entry!$E$365="","",[4]Entry!$E$365)</f>
        <v/>
      </c>
      <c r="AY362">
        <f>IF([4]Entry!$H$365="","",[4]Entry!$H$365)</f>
        <v/>
      </c>
      <c r="AZ362">
        <f>IF([4]Entry!$I$365="","",[4]Entry!$I$365)</f>
        <v/>
      </c>
    </row>
    <row r="363">
      <c r="F363">
        <f>IF([1]Accounts!$D$364="","",[1]Accounts!$A$364)</f>
        <v/>
      </c>
      <c r="G363">
        <f>IF([1]Accounts!$D$364="","",[1]Accounts!$B$364)</f>
        <v/>
      </c>
      <c r="H363">
        <f>IF([1]Accounts!$D$364="","",[1]Accounts!$C$364)</f>
        <v/>
      </c>
      <c r="I363">
        <f>IF([1]Accounts!$D$364="","",[1]Accounts!$D$364)</f>
        <v/>
      </c>
      <c r="R363">
        <f>IF(AND($F363&lt;&gt;"",$I363&lt;&gt;""),IF(OR($G363="دارایی ثابت",$G363="وام و تسهیلات",$G363="سرمایه و آورده صاحبان"),0,1),0)</f>
        <v/>
      </c>
      <c r="S363">
        <f>SUM($R$6:$R363)</f>
        <v/>
      </c>
      <c r="T363">
        <f>IFERROR(INDEX($F$6:$F$565,MATCH(ROW()-5,$S$6:$S$565,0)),"")</f>
        <v/>
      </c>
      <c r="Z363">
        <f>IF([2]Entry!$E$366="","",[2]Entry!$E$366)</f>
        <v/>
      </c>
      <c r="AA363">
        <f>IF([2]Entry!$G$366="","",[2]Entry!$G$366)</f>
        <v/>
      </c>
      <c r="AB363">
        <f>IF([2]Entry!$J$366="","",[2]Entry!$J$366)</f>
        <v/>
      </c>
      <c r="AC363">
        <f>IF([2]Entry!$K$366="","",[2]Entry!$K$366)</f>
        <v/>
      </c>
      <c r="AD363">
        <f>IF([2]Entry!$L$366="","",[2]Entry!$L$366)</f>
        <v/>
      </c>
      <c r="AE363">
        <f>IF([2]Entry!$M$366="","",[2]Entry!$M$366)</f>
        <v/>
      </c>
      <c r="AF363">
        <f>IF([2]Entry!$N$366="","",[2]Entry!$N$366)</f>
        <v/>
      </c>
      <c r="AG363">
        <f>IF([3]Issues!$B$366="","",[3]Issues!$B$366)</f>
        <v/>
      </c>
      <c r="AH363">
        <f>IF([3]Issues!$D$366="","",[3]Issues!$D$366)</f>
        <v/>
      </c>
      <c r="AI363">
        <f>IF([3]Issues!$E$366="","",[3]Issues!$E$366)</f>
        <v/>
      </c>
      <c r="AJ363">
        <f>IF([2]Entry!$S$366="","",[2]Entry!$S$366)</f>
        <v/>
      </c>
      <c r="AK363">
        <f>IF([2]Entry!$C$366="","",[2]Entry!$C$366)</f>
        <v/>
      </c>
      <c r="AL363">
        <f>IF([2]Entry!$D$366="","",[2]Entry!$D$366)</f>
        <v/>
      </c>
      <c r="AM363">
        <f>IF(AND($F363&lt;&gt;"",$I363&lt;&gt;""),IF($G363="دارایی ثابت",1,0),0)</f>
        <v/>
      </c>
      <c r="AN363">
        <f>SUM($AM$6:$AM363)</f>
        <v/>
      </c>
      <c r="AO363">
        <f>IFERROR(INDEX($F$6:$F$565,MATCH(ROW()-5,$AN$6:$AN$565,0)),"")</f>
        <v/>
      </c>
      <c r="AP363">
        <f>IF(AND($F363&lt;&gt;"",$I363&lt;&gt;""),IF($G363="وام و تسهیلات",1,0),0)</f>
        <v/>
      </c>
      <c r="AQ363">
        <f>SUM($AP$6:$AP363)</f>
        <v/>
      </c>
      <c r="AR363">
        <f>IFERROR(INDEX($F$6:$F$565,MATCH(ROW()-5,$AQ$6:$AQ$565,0)),"")</f>
        <v/>
      </c>
      <c r="AS363">
        <f>IF(AND($F363&lt;&gt;"",$I363&lt;&gt;""),IF($G363="سرمایه و آورده صاحبان",1,0),0)</f>
        <v/>
      </c>
      <c r="AT363">
        <f>SUM($AS$6:$AS363)</f>
        <v/>
      </c>
      <c r="AU363">
        <f>IFERROR(INDEX($F$6:$F$565,MATCH(ROW()-5,$AT$6:$AT$565,0)),"")</f>
        <v/>
      </c>
      <c r="AW363">
        <f>IF([3]Issues!$C$366="","",[3]Issues!$C$366)</f>
        <v/>
      </c>
      <c r="AX363">
        <f>IF([4]Entry!$E$366="","",[4]Entry!$E$366)</f>
        <v/>
      </c>
      <c r="AY363">
        <f>IF([4]Entry!$H$366="","",[4]Entry!$H$366)</f>
        <v/>
      </c>
      <c r="AZ363">
        <f>IF([4]Entry!$I$366="","",[4]Entry!$I$366)</f>
        <v/>
      </c>
    </row>
    <row r="364">
      <c r="F364">
        <f>IF([1]Accounts!$D$365="","",[1]Accounts!$A$365)</f>
        <v/>
      </c>
      <c r="G364">
        <f>IF([1]Accounts!$D$365="","",[1]Accounts!$B$365)</f>
        <v/>
      </c>
      <c r="H364">
        <f>IF([1]Accounts!$D$365="","",[1]Accounts!$C$365)</f>
        <v/>
      </c>
      <c r="I364">
        <f>IF([1]Accounts!$D$365="","",[1]Accounts!$D$365)</f>
        <v/>
      </c>
      <c r="R364">
        <f>IF(AND($F364&lt;&gt;"",$I364&lt;&gt;""),IF(OR($G364="دارایی ثابت",$G364="وام و تسهیلات",$G364="سرمایه و آورده صاحبان"),0,1),0)</f>
        <v/>
      </c>
      <c r="S364">
        <f>SUM($R$6:$R364)</f>
        <v/>
      </c>
      <c r="T364">
        <f>IFERROR(INDEX($F$6:$F$565,MATCH(ROW()-5,$S$6:$S$565,0)),"")</f>
        <v/>
      </c>
      <c r="Z364">
        <f>IF([2]Entry!$E$367="","",[2]Entry!$E$367)</f>
        <v/>
      </c>
      <c r="AA364">
        <f>IF([2]Entry!$G$367="","",[2]Entry!$G$367)</f>
        <v/>
      </c>
      <c r="AB364">
        <f>IF([2]Entry!$J$367="","",[2]Entry!$J$367)</f>
        <v/>
      </c>
      <c r="AC364">
        <f>IF([2]Entry!$K$367="","",[2]Entry!$K$367)</f>
        <v/>
      </c>
      <c r="AD364">
        <f>IF([2]Entry!$L$367="","",[2]Entry!$L$367)</f>
        <v/>
      </c>
      <c r="AE364">
        <f>IF([2]Entry!$M$367="","",[2]Entry!$M$367)</f>
        <v/>
      </c>
      <c r="AF364">
        <f>IF([2]Entry!$N$367="","",[2]Entry!$N$367)</f>
        <v/>
      </c>
      <c r="AG364">
        <f>IF([3]Issues!$B$367="","",[3]Issues!$B$367)</f>
        <v/>
      </c>
      <c r="AH364">
        <f>IF([3]Issues!$D$367="","",[3]Issues!$D$367)</f>
        <v/>
      </c>
      <c r="AI364">
        <f>IF([3]Issues!$E$367="","",[3]Issues!$E$367)</f>
        <v/>
      </c>
      <c r="AJ364">
        <f>IF([2]Entry!$S$367="","",[2]Entry!$S$367)</f>
        <v/>
      </c>
      <c r="AK364">
        <f>IF([2]Entry!$C$367="","",[2]Entry!$C$367)</f>
        <v/>
      </c>
      <c r="AL364">
        <f>IF([2]Entry!$D$367="","",[2]Entry!$D$367)</f>
        <v/>
      </c>
      <c r="AM364">
        <f>IF(AND($F364&lt;&gt;"",$I364&lt;&gt;""),IF($G364="دارایی ثابت",1,0),0)</f>
        <v/>
      </c>
      <c r="AN364">
        <f>SUM($AM$6:$AM364)</f>
        <v/>
      </c>
      <c r="AO364">
        <f>IFERROR(INDEX($F$6:$F$565,MATCH(ROW()-5,$AN$6:$AN$565,0)),"")</f>
        <v/>
      </c>
      <c r="AP364">
        <f>IF(AND($F364&lt;&gt;"",$I364&lt;&gt;""),IF($G364="وام و تسهیلات",1,0),0)</f>
        <v/>
      </c>
      <c r="AQ364">
        <f>SUM($AP$6:$AP364)</f>
        <v/>
      </c>
      <c r="AR364">
        <f>IFERROR(INDEX($F$6:$F$565,MATCH(ROW()-5,$AQ$6:$AQ$565,0)),"")</f>
        <v/>
      </c>
      <c r="AS364">
        <f>IF(AND($F364&lt;&gt;"",$I364&lt;&gt;""),IF($G364="سرمایه و آورده صاحبان",1,0),0)</f>
        <v/>
      </c>
      <c r="AT364">
        <f>SUM($AS$6:$AS364)</f>
        <v/>
      </c>
      <c r="AU364">
        <f>IFERROR(INDEX($F$6:$F$565,MATCH(ROW()-5,$AT$6:$AT$565,0)),"")</f>
        <v/>
      </c>
      <c r="AW364">
        <f>IF([3]Issues!$C$367="","",[3]Issues!$C$367)</f>
        <v/>
      </c>
      <c r="AX364">
        <f>IF([4]Entry!$E$367="","",[4]Entry!$E$367)</f>
        <v/>
      </c>
      <c r="AY364">
        <f>IF([4]Entry!$H$367="","",[4]Entry!$H$367)</f>
        <v/>
      </c>
      <c r="AZ364">
        <f>IF([4]Entry!$I$367="","",[4]Entry!$I$367)</f>
        <v/>
      </c>
    </row>
    <row r="365">
      <c r="F365">
        <f>IF([1]Accounts!$D$366="","",[1]Accounts!$A$366)</f>
        <v/>
      </c>
      <c r="G365">
        <f>IF([1]Accounts!$D$366="","",[1]Accounts!$B$366)</f>
        <v/>
      </c>
      <c r="H365">
        <f>IF([1]Accounts!$D$366="","",[1]Accounts!$C$366)</f>
        <v/>
      </c>
      <c r="I365">
        <f>IF([1]Accounts!$D$366="","",[1]Accounts!$D$366)</f>
        <v/>
      </c>
      <c r="R365">
        <f>IF(AND($F365&lt;&gt;"",$I365&lt;&gt;""),IF(OR($G365="دارایی ثابت",$G365="وام و تسهیلات",$G365="سرمایه و آورده صاحبان"),0,1),0)</f>
        <v/>
      </c>
      <c r="S365">
        <f>SUM($R$6:$R365)</f>
        <v/>
      </c>
      <c r="T365">
        <f>IFERROR(INDEX($F$6:$F$565,MATCH(ROW()-5,$S$6:$S$565,0)),"")</f>
        <v/>
      </c>
      <c r="Z365">
        <f>IF([2]Entry!$E$368="","",[2]Entry!$E$368)</f>
        <v/>
      </c>
      <c r="AA365">
        <f>IF([2]Entry!$G$368="","",[2]Entry!$G$368)</f>
        <v/>
      </c>
      <c r="AB365">
        <f>IF([2]Entry!$J$368="","",[2]Entry!$J$368)</f>
        <v/>
      </c>
      <c r="AC365">
        <f>IF([2]Entry!$K$368="","",[2]Entry!$K$368)</f>
        <v/>
      </c>
      <c r="AD365">
        <f>IF([2]Entry!$L$368="","",[2]Entry!$L$368)</f>
        <v/>
      </c>
      <c r="AE365">
        <f>IF([2]Entry!$M$368="","",[2]Entry!$M$368)</f>
        <v/>
      </c>
      <c r="AF365">
        <f>IF([2]Entry!$N$368="","",[2]Entry!$N$368)</f>
        <v/>
      </c>
      <c r="AG365">
        <f>IF([3]Issues!$B$368="","",[3]Issues!$B$368)</f>
        <v/>
      </c>
      <c r="AH365">
        <f>IF([3]Issues!$D$368="","",[3]Issues!$D$368)</f>
        <v/>
      </c>
      <c r="AI365">
        <f>IF([3]Issues!$E$368="","",[3]Issues!$E$368)</f>
        <v/>
      </c>
      <c r="AJ365">
        <f>IF([2]Entry!$S$368="","",[2]Entry!$S$368)</f>
        <v/>
      </c>
      <c r="AK365">
        <f>IF([2]Entry!$C$368="","",[2]Entry!$C$368)</f>
        <v/>
      </c>
      <c r="AL365">
        <f>IF([2]Entry!$D$368="","",[2]Entry!$D$368)</f>
        <v/>
      </c>
      <c r="AM365">
        <f>IF(AND($F365&lt;&gt;"",$I365&lt;&gt;""),IF($G365="دارایی ثابت",1,0),0)</f>
        <v/>
      </c>
      <c r="AN365">
        <f>SUM($AM$6:$AM365)</f>
        <v/>
      </c>
      <c r="AO365">
        <f>IFERROR(INDEX($F$6:$F$565,MATCH(ROW()-5,$AN$6:$AN$565,0)),"")</f>
        <v/>
      </c>
      <c r="AP365">
        <f>IF(AND($F365&lt;&gt;"",$I365&lt;&gt;""),IF($G365="وام و تسهیلات",1,0),0)</f>
        <v/>
      </c>
      <c r="AQ365">
        <f>SUM($AP$6:$AP365)</f>
        <v/>
      </c>
      <c r="AR365">
        <f>IFERROR(INDEX($F$6:$F$565,MATCH(ROW()-5,$AQ$6:$AQ$565,0)),"")</f>
        <v/>
      </c>
      <c r="AS365">
        <f>IF(AND($F365&lt;&gt;"",$I365&lt;&gt;""),IF($G365="سرمایه و آورده صاحبان",1,0),0)</f>
        <v/>
      </c>
      <c r="AT365">
        <f>SUM($AS$6:$AS365)</f>
        <v/>
      </c>
      <c r="AU365">
        <f>IFERROR(INDEX($F$6:$F$565,MATCH(ROW()-5,$AT$6:$AT$565,0)),"")</f>
        <v/>
      </c>
      <c r="AW365">
        <f>IF([3]Issues!$C$368="","",[3]Issues!$C$368)</f>
        <v/>
      </c>
      <c r="AX365">
        <f>IF([4]Entry!$E$368="","",[4]Entry!$E$368)</f>
        <v/>
      </c>
      <c r="AY365">
        <f>IF([4]Entry!$H$368="","",[4]Entry!$H$368)</f>
        <v/>
      </c>
      <c r="AZ365">
        <f>IF([4]Entry!$I$368="","",[4]Entry!$I$368)</f>
        <v/>
      </c>
    </row>
    <row r="366">
      <c r="F366">
        <f>IF([1]Accounts!$D$367="","",[1]Accounts!$A$367)</f>
        <v/>
      </c>
      <c r="G366">
        <f>IF([1]Accounts!$D$367="","",[1]Accounts!$B$367)</f>
        <v/>
      </c>
      <c r="H366">
        <f>IF([1]Accounts!$D$367="","",[1]Accounts!$C$367)</f>
        <v/>
      </c>
      <c r="I366">
        <f>IF([1]Accounts!$D$367="","",[1]Accounts!$D$367)</f>
        <v/>
      </c>
      <c r="R366">
        <f>IF(AND($F366&lt;&gt;"",$I366&lt;&gt;""),IF(OR($G366="دارایی ثابت",$G366="وام و تسهیلات",$G366="سرمایه و آورده صاحبان"),0,1),0)</f>
        <v/>
      </c>
      <c r="S366">
        <f>SUM($R$6:$R366)</f>
        <v/>
      </c>
      <c r="T366">
        <f>IFERROR(INDEX($F$6:$F$565,MATCH(ROW()-5,$S$6:$S$565,0)),"")</f>
        <v/>
      </c>
      <c r="Z366">
        <f>IF([2]Entry!$E$369="","",[2]Entry!$E$369)</f>
        <v/>
      </c>
      <c r="AA366">
        <f>IF([2]Entry!$G$369="","",[2]Entry!$G$369)</f>
        <v/>
      </c>
      <c r="AB366">
        <f>IF([2]Entry!$J$369="","",[2]Entry!$J$369)</f>
        <v/>
      </c>
      <c r="AC366">
        <f>IF([2]Entry!$K$369="","",[2]Entry!$K$369)</f>
        <v/>
      </c>
      <c r="AD366">
        <f>IF([2]Entry!$L$369="","",[2]Entry!$L$369)</f>
        <v/>
      </c>
      <c r="AE366">
        <f>IF([2]Entry!$M$369="","",[2]Entry!$M$369)</f>
        <v/>
      </c>
      <c r="AF366">
        <f>IF([2]Entry!$N$369="","",[2]Entry!$N$369)</f>
        <v/>
      </c>
      <c r="AG366">
        <f>IF([3]Issues!$B$369="","",[3]Issues!$B$369)</f>
        <v/>
      </c>
      <c r="AH366">
        <f>IF([3]Issues!$D$369="","",[3]Issues!$D$369)</f>
        <v/>
      </c>
      <c r="AI366">
        <f>IF([3]Issues!$E$369="","",[3]Issues!$E$369)</f>
        <v/>
      </c>
      <c r="AJ366">
        <f>IF([2]Entry!$S$369="","",[2]Entry!$S$369)</f>
        <v/>
      </c>
      <c r="AK366">
        <f>IF([2]Entry!$C$369="","",[2]Entry!$C$369)</f>
        <v/>
      </c>
      <c r="AL366">
        <f>IF([2]Entry!$D$369="","",[2]Entry!$D$369)</f>
        <v/>
      </c>
      <c r="AM366">
        <f>IF(AND($F366&lt;&gt;"",$I366&lt;&gt;""),IF($G366="دارایی ثابت",1,0),0)</f>
        <v/>
      </c>
      <c r="AN366">
        <f>SUM($AM$6:$AM366)</f>
        <v/>
      </c>
      <c r="AO366">
        <f>IFERROR(INDEX($F$6:$F$565,MATCH(ROW()-5,$AN$6:$AN$565,0)),"")</f>
        <v/>
      </c>
      <c r="AP366">
        <f>IF(AND($F366&lt;&gt;"",$I366&lt;&gt;""),IF($G366="وام و تسهیلات",1,0),0)</f>
        <v/>
      </c>
      <c r="AQ366">
        <f>SUM($AP$6:$AP366)</f>
        <v/>
      </c>
      <c r="AR366">
        <f>IFERROR(INDEX($F$6:$F$565,MATCH(ROW()-5,$AQ$6:$AQ$565,0)),"")</f>
        <v/>
      </c>
      <c r="AS366">
        <f>IF(AND($F366&lt;&gt;"",$I366&lt;&gt;""),IF($G366="سرمایه و آورده صاحبان",1,0),0)</f>
        <v/>
      </c>
      <c r="AT366">
        <f>SUM($AS$6:$AS366)</f>
        <v/>
      </c>
      <c r="AU366">
        <f>IFERROR(INDEX($F$6:$F$565,MATCH(ROW()-5,$AT$6:$AT$565,0)),"")</f>
        <v/>
      </c>
      <c r="AW366">
        <f>IF([3]Issues!$C$369="","",[3]Issues!$C$369)</f>
        <v/>
      </c>
      <c r="AX366">
        <f>IF([4]Entry!$E$369="","",[4]Entry!$E$369)</f>
        <v/>
      </c>
      <c r="AY366">
        <f>IF([4]Entry!$H$369="","",[4]Entry!$H$369)</f>
        <v/>
      </c>
      <c r="AZ366">
        <f>IF([4]Entry!$I$369="","",[4]Entry!$I$369)</f>
        <v/>
      </c>
    </row>
    <row r="367">
      <c r="F367">
        <f>IF([1]Accounts!$D$368="","",[1]Accounts!$A$368)</f>
        <v/>
      </c>
      <c r="G367">
        <f>IF([1]Accounts!$D$368="","",[1]Accounts!$B$368)</f>
        <v/>
      </c>
      <c r="H367">
        <f>IF([1]Accounts!$D$368="","",[1]Accounts!$C$368)</f>
        <v/>
      </c>
      <c r="I367">
        <f>IF([1]Accounts!$D$368="","",[1]Accounts!$D$368)</f>
        <v/>
      </c>
      <c r="R367">
        <f>IF(AND($F367&lt;&gt;"",$I367&lt;&gt;""),IF(OR($G367="دارایی ثابت",$G367="وام و تسهیلات",$G367="سرمایه و آورده صاحبان"),0,1),0)</f>
        <v/>
      </c>
      <c r="S367">
        <f>SUM($R$6:$R367)</f>
        <v/>
      </c>
      <c r="T367">
        <f>IFERROR(INDEX($F$6:$F$565,MATCH(ROW()-5,$S$6:$S$565,0)),"")</f>
        <v/>
      </c>
      <c r="Z367">
        <f>IF([2]Entry!$E$370="","",[2]Entry!$E$370)</f>
        <v/>
      </c>
      <c r="AA367">
        <f>IF([2]Entry!$G$370="","",[2]Entry!$G$370)</f>
        <v/>
      </c>
      <c r="AB367">
        <f>IF([2]Entry!$J$370="","",[2]Entry!$J$370)</f>
        <v/>
      </c>
      <c r="AC367">
        <f>IF([2]Entry!$K$370="","",[2]Entry!$K$370)</f>
        <v/>
      </c>
      <c r="AD367">
        <f>IF([2]Entry!$L$370="","",[2]Entry!$L$370)</f>
        <v/>
      </c>
      <c r="AE367">
        <f>IF([2]Entry!$M$370="","",[2]Entry!$M$370)</f>
        <v/>
      </c>
      <c r="AF367">
        <f>IF([2]Entry!$N$370="","",[2]Entry!$N$370)</f>
        <v/>
      </c>
      <c r="AG367">
        <f>IF([3]Issues!$B$370="","",[3]Issues!$B$370)</f>
        <v/>
      </c>
      <c r="AH367">
        <f>IF([3]Issues!$D$370="","",[3]Issues!$D$370)</f>
        <v/>
      </c>
      <c r="AI367">
        <f>IF([3]Issues!$E$370="","",[3]Issues!$E$370)</f>
        <v/>
      </c>
      <c r="AJ367">
        <f>IF([2]Entry!$S$370="","",[2]Entry!$S$370)</f>
        <v/>
      </c>
      <c r="AK367">
        <f>IF([2]Entry!$C$370="","",[2]Entry!$C$370)</f>
        <v/>
      </c>
      <c r="AL367">
        <f>IF([2]Entry!$D$370="","",[2]Entry!$D$370)</f>
        <v/>
      </c>
      <c r="AM367">
        <f>IF(AND($F367&lt;&gt;"",$I367&lt;&gt;""),IF($G367="دارایی ثابت",1,0),0)</f>
        <v/>
      </c>
      <c r="AN367">
        <f>SUM($AM$6:$AM367)</f>
        <v/>
      </c>
      <c r="AO367">
        <f>IFERROR(INDEX($F$6:$F$565,MATCH(ROW()-5,$AN$6:$AN$565,0)),"")</f>
        <v/>
      </c>
      <c r="AP367">
        <f>IF(AND($F367&lt;&gt;"",$I367&lt;&gt;""),IF($G367="وام و تسهیلات",1,0),0)</f>
        <v/>
      </c>
      <c r="AQ367">
        <f>SUM($AP$6:$AP367)</f>
        <v/>
      </c>
      <c r="AR367">
        <f>IFERROR(INDEX($F$6:$F$565,MATCH(ROW()-5,$AQ$6:$AQ$565,0)),"")</f>
        <v/>
      </c>
      <c r="AS367">
        <f>IF(AND($F367&lt;&gt;"",$I367&lt;&gt;""),IF($G367="سرمایه و آورده صاحبان",1,0),0)</f>
        <v/>
      </c>
      <c r="AT367">
        <f>SUM($AS$6:$AS367)</f>
        <v/>
      </c>
      <c r="AU367">
        <f>IFERROR(INDEX($F$6:$F$565,MATCH(ROW()-5,$AT$6:$AT$565,0)),"")</f>
        <v/>
      </c>
      <c r="AW367">
        <f>IF([3]Issues!$C$370="","",[3]Issues!$C$370)</f>
        <v/>
      </c>
      <c r="AX367">
        <f>IF([4]Entry!$E$370="","",[4]Entry!$E$370)</f>
        <v/>
      </c>
      <c r="AY367">
        <f>IF([4]Entry!$H$370="","",[4]Entry!$H$370)</f>
        <v/>
      </c>
      <c r="AZ367">
        <f>IF([4]Entry!$I$370="","",[4]Entry!$I$370)</f>
        <v/>
      </c>
    </row>
    <row r="368">
      <c r="F368">
        <f>IF([1]Accounts!$D$369="","",[1]Accounts!$A$369)</f>
        <v/>
      </c>
      <c r="G368">
        <f>IF([1]Accounts!$D$369="","",[1]Accounts!$B$369)</f>
        <v/>
      </c>
      <c r="H368">
        <f>IF([1]Accounts!$D$369="","",[1]Accounts!$C$369)</f>
        <v/>
      </c>
      <c r="I368">
        <f>IF([1]Accounts!$D$369="","",[1]Accounts!$D$369)</f>
        <v/>
      </c>
      <c r="R368">
        <f>IF(AND($F368&lt;&gt;"",$I368&lt;&gt;""),IF(OR($G368="دارایی ثابت",$G368="وام و تسهیلات",$G368="سرمایه و آورده صاحبان"),0,1),0)</f>
        <v/>
      </c>
      <c r="S368">
        <f>SUM($R$6:$R368)</f>
        <v/>
      </c>
      <c r="T368">
        <f>IFERROR(INDEX($F$6:$F$565,MATCH(ROW()-5,$S$6:$S$565,0)),"")</f>
        <v/>
      </c>
      <c r="Z368">
        <f>IF([2]Entry!$E$371="","",[2]Entry!$E$371)</f>
        <v/>
      </c>
      <c r="AA368">
        <f>IF([2]Entry!$G$371="","",[2]Entry!$G$371)</f>
        <v/>
      </c>
      <c r="AB368">
        <f>IF([2]Entry!$J$371="","",[2]Entry!$J$371)</f>
        <v/>
      </c>
      <c r="AC368">
        <f>IF([2]Entry!$K$371="","",[2]Entry!$K$371)</f>
        <v/>
      </c>
      <c r="AD368">
        <f>IF([2]Entry!$L$371="","",[2]Entry!$L$371)</f>
        <v/>
      </c>
      <c r="AE368">
        <f>IF([2]Entry!$M$371="","",[2]Entry!$M$371)</f>
        <v/>
      </c>
      <c r="AF368">
        <f>IF([2]Entry!$N$371="","",[2]Entry!$N$371)</f>
        <v/>
      </c>
      <c r="AG368">
        <f>IF([3]Issues!$B$371="","",[3]Issues!$B$371)</f>
        <v/>
      </c>
      <c r="AH368">
        <f>IF([3]Issues!$D$371="","",[3]Issues!$D$371)</f>
        <v/>
      </c>
      <c r="AI368">
        <f>IF([3]Issues!$E$371="","",[3]Issues!$E$371)</f>
        <v/>
      </c>
      <c r="AJ368">
        <f>IF([2]Entry!$S$371="","",[2]Entry!$S$371)</f>
        <v/>
      </c>
      <c r="AK368">
        <f>IF([2]Entry!$C$371="","",[2]Entry!$C$371)</f>
        <v/>
      </c>
      <c r="AL368">
        <f>IF([2]Entry!$D$371="","",[2]Entry!$D$371)</f>
        <v/>
      </c>
      <c r="AM368">
        <f>IF(AND($F368&lt;&gt;"",$I368&lt;&gt;""),IF($G368="دارایی ثابت",1,0),0)</f>
        <v/>
      </c>
      <c r="AN368">
        <f>SUM($AM$6:$AM368)</f>
        <v/>
      </c>
      <c r="AO368">
        <f>IFERROR(INDEX($F$6:$F$565,MATCH(ROW()-5,$AN$6:$AN$565,0)),"")</f>
        <v/>
      </c>
      <c r="AP368">
        <f>IF(AND($F368&lt;&gt;"",$I368&lt;&gt;""),IF($G368="وام و تسهیلات",1,0),0)</f>
        <v/>
      </c>
      <c r="AQ368">
        <f>SUM($AP$6:$AP368)</f>
        <v/>
      </c>
      <c r="AR368">
        <f>IFERROR(INDEX($F$6:$F$565,MATCH(ROW()-5,$AQ$6:$AQ$565,0)),"")</f>
        <v/>
      </c>
      <c r="AS368">
        <f>IF(AND($F368&lt;&gt;"",$I368&lt;&gt;""),IF($G368="سرمایه و آورده صاحبان",1,0),0)</f>
        <v/>
      </c>
      <c r="AT368">
        <f>SUM($AS$6:$AS368)</f>
        <v/>
      </c>
      <c r="AU368">
        <f>IFERROR(INDEX($F$6:$F$565,MATCH(ROW()-5,$AT$6:$AT$565,0)),"")</f>
        <v/>
      </c>
      <c r="AW368">
        <f>IF([3]Issues!$C$371="","",[3]Issues!$C$371)</f>
        <v/>
      </c>
      <c r="AX368">
        <f>IF([4]Entry!$E$371="","",[4]Entry!$E$371)</f>
        <v/>
      </c>
      <c r="AY368">
        <f>IF([4]Entry!$H$371="","",[4]Entry!$H$371)</f>
        <v/>
      </c>
      <c r="AZ368">
        <f>IF([4]Entry!$I$371="","",[4]Entry!$I$371)</f>
        <v/>
      </c>
    </row>
    <row r="369">
      <c r="F369">
        <f>IF([1]Accounts!$D$370="","",[1]Accounts!$A$370)</f>
        <v/>
      </c>
      <c r="G369">
        <f>IF([1]Accounts!$D$370="","",[1]Accounts!$B$370)</f>
        <v/>
      </c>
      <c r="H369">
        <f>IF([1]Accounts!$D$370="","",[1]Accounts!$C$370)</f>
        <v/>
      </c>
      <c r="I369">
        <f>IF([1]Accounts!$D$370="","",[1]Accounts!$D$370)</f>
        <v/>
      </c>
      <c r="R369">
        <f>IF(AND($F369&lt;&gt;"",$I369&lt;&gt;""),IF(OR($G369="دارایی ثابت",$G369="وام و تسهیلات",$G369="سرمایه و آورده صاحبان"),0,1),0)</f>
        <v/>
      </c>
      <c r="S369">
        <f>SUM($R$6:$R369)</f>
        <v/>
      </c>
      <c r="T369">
        <f>IFERROR(INDEX($F$6:$F$565,MATCH(ROW()-5,$S$6:$S$565,0)),"")</f>
        <v/>
      </c>
      <c r="Z369">
        <f>IF([2]Entry!$E$372="","",[2]Entry!$E$372)</f>
        <v/>
      </c>
      <c r="AA369">
        <f>IF([2]Entry!$G$372="","",[2]Entry!$G$372)</f>
        <v/>
      </c>
      <c r="AB369">
        <f>IF([2]Entry!$J$372="","",[2]Entry!$J$372)</f>
        <v/>
      </c>
      <c r="AC369">
        <f>IF([2]Entry!$K$372="","",[2]Entry!$K$372)</f>
        <v/>
      </c>
      <c r="AD369">
        <f>IF([2]Entry!$L$372="","",[2]Entry!$L$372)</f>
        <v/>
      </c>
      <c r="AE369">
        <f>IF([2]Entry!$M$372="","",[2]Entry!$M$372)</f>
        <v/>
      </c>
      <c r="AF369">
        <f>IF([2]Entry!$N$372="","",[2]Entry!$N$372)</f>
        <v/>
      </c>
      <c r="AG369">
        <f>IF([3]Issues!$B$372="","",[3]Issues!$B$372)</f>
        <v/>
      </c>
      <c r="AH369">
        <f>IF([3]Issues!$D$372="","",[3]Issues!$D$372)</f>
        <v/>
      </c>
      <c r="AI369">
        <f>IF([3]Issues!$E$372="","",[3]Issues!$E$372)</f>
        <v/>
      </c>
      <c r="AJ369">
        <f>IF([2]Entry!$S$372="","",[2]Entry!$S$372)</f>
        <v/>
      </c>
      <c r="AK369">
        <f>IF([2]Entry!$C$372="","",[2]Entry!$C$372)</f>
        <v/>
      </c>
      <c r="AL369">
        <f>IF([2]Entry!$D$372="","",[2]Entry!$D$372)</f>
        <v/>
      </c>
      <c r="AM369">
        <f>IF(AND($F369&lt;&gt;"",$I369&lt;&gt;""),IF($G369="دارایی ثابت",1,0),0)</f>
        <v/>
      </c>
      <c r="AN369">
        <f>SUM($AM$6:$AM369)</f>
        <v/>
      </c>
      <c r="AO369">
        <f>IFERROR(INDEX($F$6:$F$565,MATCH(ROW()-5,$AN$6:$AN$565,0)),"")</f>
        <v/>
      </c>
      <c r="AP369">
        <f>IF(AND($F369&lt;&gt;"",$I369&lt;&gt;""),IF($G369="وام و تسهیلات",1,0),0)</f>
        <v/>
      </c>
      <c r="AQ369">
        <f>SUM($AP$6:$AP369)</f>
        <v/>
      </c>
      <c r="AR369">
        <f>IFERROR(INDEX($F$6:$F$565,MATCH(ROW()-5,$AQ$6:$AQ$565,0)),"")</f>
        <v/>
      </c>
      <c r="AS369">
        <f>IF(AND($F369&lt;&gt;"",$I369&lt;&gt;""),IF($G369="سرمایه و آورده صاحبان",1,0),0)</f>
        <v/>
      </c>
      <c r="AT369">
        <f>SUM($AS$6:$AS369)</f>
        <v/>
      </c>
      <c r="AU369">
        <f>IFERROR(INDEX($F$6:$F$565,MATCH(ROW()-5,$AT$6:$AT$565,0)),"")</f>
        <v/>
      </c>
      <c r="AW369">
        <f>IF([3]Issues!$C$372="","",[3]Issues!$C$372)</f>
        <v/>
      </c>
      <c r="AX369">
        <f>IF([4]Entry!$E$372="","",[4]Entry!$E$372)</f>
        <v/>
      </c>
      <c r="AY369">
        <f>IF([4]Entry!$H$372="","",[4]Entry!$H$372)</f>
        <v/>
      </c>
      <c r="AZ369">
        <f>IF([4]Entry!$I$372="","",[4]Entry!$I$372)</f>
        <v/>
      </c>
    </row>
    <row r="370">
      <c r="F370">
        <f>IF([1]Accounts!$D$371="","",[1]Accounts!$A$371)</f>
        <v/>
      </c>
      <c r="G370">
        <f>IF([1]Accounts!$D$371="","",[1]Accounts!$B$371)</f>
        <v/>
      </c>
      <c r="H370">
        <f>IF([1]Accounts!$D$371="","",[1]Accounts!$C$371)</f>
        <v/>
      </c>
      <c r="I370">
        <f>IF([1]Accounts!$D$371="","",[1]Accounts!$D$371)</f>
        <v/>
      </c>
      <c r="R370">
        <f>IF(AND($F370&lt;&gt;"",$I370&lt;&gt;""),IF(OR($G370="دارایی ثابت",$G370="وام و تسهیلات",$G370="سرمایه و آورده صاحبان"),0,1),0)</f>
        <v/>
      </c>
      <c r="S370">
        <f>SUM($R$6:$R370)</f>
        <v/>
      </c>
      <c r="T370">
        <f>IFERROR(INDEX($F$6:$F$565,MATCH(ROW()-5,$S$6:$S$565,0)),"")</f>
        <v/>
      </c>
      <c r="Z370">
        <f>IF([2]Entry!$E$373="","",[2]Entry!$E$373)</f>
        <v/>
      </c>
      <c r="AA370">
        <f>IF([2]Entry!$G$373="","",[2]Entry!$G$373)</f>
        <v/>
      </c>
      <c r="AB370">
        <f>IF([2]Entry!$J$373="","",[2]Entry!$J$373)</f>
        <v/>
      </c>
      <c r="AC370">
        <f>IF([2]Entry!$K$373="","",[2]Entry!$K$373)</f>
        <v/>
      </c>
      <c r="AD370">
        <f>IF([2]Entry!$L$373="","",[2]Entry!$L$373)</f>
        <v/>
      </c>
      <c r="AE370">
        <f>IF([2]Entry!$M$373="","",[2]Entry!$M$373)</f>
        <v/>
      </c>
      <c r="AF370">
        <f>IF([2]Entry!$N$373="","",[2]Entry!$N$373)</f>
        <v/>
      </c>
      <c r="AG370">
        <f>IF([3]Issues!$B$373="","",[3]Issues!$B$373)</f>
        <v/>
      </c>
      <c r="AH370">
        <f>IF([3]Issues!$D$373="","",[3]Issues!$D$373)</f>
        <v/>
      </c>
      <c r="AI370">
        <f>IF([3]Issues!$E$373="","",[3]Issues!$E$373)</f>
        <v/>
      </c>
      <c r="AJ370">
        <f>IF([2]Entry!$S$373="","",[2]Entry!$S$373)</f>
        <v/>
      </c>
      <c r="AK370">
        <f>IF([2]Entry!$C$373="","",[2]Entry!$C$373)</f>
        <v/>
      </c>
      <c r="AL370">
        <f>IF([2]Entry!$D$373="","",[2]Entry!$D$373)</f>
        <v/>
      </c>
      <c r="AM370">
        <f>IF(AND($F370&lt;&gt;"",$I370&lt;&gt;""),IF($G370="دارایی ثابت",1,0),0)</f>
        <v/>
      </c>
      <c r="AN370">
        <f>SUM($AM$6:$AM370)</f>
        <v/>
      </c>
      <c r="AO370">
        <f>IFERROR(INDEX($F$6:$F$565,MATCH(ROW()-5,$AN$6:$AN$565,0)),"")</f>
        <v/>
      </c>
      <c r="AP370">
        <f>IF(AND($F370&lt;&gt;"",$I370&lt;&gt;""),IF($G370="وام و تسهیلات",1,0),0)</f>
        <v/>
      </c>
      <c r="AQ370">
        <f>SUM($AP$6:$AP370)</f>
        <v/>
      </c>
      <c r="AR370">
        <f>IFERROR(INDEX($F$6:$F$565,MATCH(ROW()-5,$AQ$6:$AQ$565,0)),"")</f>
        <v/>
      </c>
      <c r="AS370">
        <f>IF(AND($F370&lt;&gt;"",$I370&lt;&gt;""),IF($G370="سرمایه و آورده صاحبان",1,0),0)</f>
        <v/>
      </c>
      <c r="AT370">
        <f>SUM($AS$6:$AS370)</f>
        <v/>
      </c>
      <c r="AU370">
        <f>IFERROR(INDEX($F$6:$F$565,MATCH(ROW()-5,$AT$6:$AT$565,0)),"")</f>
        <v/>
      </c>
      <c r="AW370">
        <f>IF([3]Issues!$C$373="","",[3]Issues!$C$373)</f>
        <v/>
      </c>
      <c r="AX370">
        <f>IF([4]Entry!$E$373="","",[4]Entry!$E$373)</f>
        <v/>
      </c>
      <c r="AY370">
        <f>IF([4]Entry!$H$373="","",[4]Entry!$H$373)</f>
        <v/>
      </c>
      <c r="AZ370">
        <f>IF([4]Entry!$I$373="","",[4]Entry!$I$373)</f>
        <v/>
      </c>
    </row>
    <row r="371">
      <c r="F371">
        <f>IF([1]Accounts!$D$372="","",[1]Accounts!$A$372)</f>
        <v/>
      </c>
      <c r="G371">
        <f>IF([1]Accounts!$D$372="","",[1]Accounts!$B$372)</f>
        <v/>
      </c>
      <c r="H371">
        <f>IF([1]Accounts!$D$372="","",[1]Accounts!$C$372)</f>
        <v/>
      </c>
      <c r="I371">
        <f>IF([1]Accounts!$D$372="","",[1]Accounts!$D$372)</f>
        <v/>
      </c>
      <c r="R371">
        <f>IF(AND($F371&lt;&gt;"",$I371&lt;&gt;""),IF(OR($G371="دارایی ثابت",$G371="وام و تسهیلات",$G371="سرمایه و آورده صاحبان"),0,1),0)</f>
        <v/>
      </c>
      <c r="S371">
        <f>SUM($R$6:$R371)</f>
        <v/>
      </c>
      <c r="T371">
        <f>IFERROR(INDEX($F$6:$F$565,MATCH(ROW()-5,$S$6:$S$565,0)),"")</f>
        <v/>
      </c>
      <c r="Z371">
        <f>IF([2]Entry!$E$374="","",[2]Entry!$E$374)</f>
        <v/>
      </c>
      <c r="AA371">
        <f>IF([2]Entry!$G$374="","",[2]Entry!$G$374)</f>
        <v/>
      </c>
      <c r="AB371">
        <f>IF([2]Entry!$J$374="","",[2]Entry!$J$374)</f>
        <v/>
      </c>
      <c r="AC371">
        <f>IF([2]Entry!$K$374="","",[2]Entry!$K$374)</f>
        <v/>
      </c>
      <c r="AD371">
        <f>IF([2]Entry!$L$374="","",[2]Entry!$L$374)</f>
        <v/>
      </c>
      <c r="AE371">
        <f>IF([2]Entry!$M$374="","",[2]Entry!$M$374)</f>
        <v/>
      </c>
      <c r="AF371">
        <f>IF([2]Entry!$N$374="","",[2]Entry!$N$374)</f>
        <v/>
      </c>
      <c r="AG371">
        <f>IF([3]Issues!$B$374="","",[3]Issues!$B$374)</f>
        <v/>
      </c>
      <c r="AH371">
        <f>IF([3]Issues!$D$374="","",[3]Issues!$D$374)</f>
        <v/>
      </c>
      <c r="AI371">
        <f>IF([3]Issues!$E$374="","",[3]Issues!$E$374)</f>
        <v/>
      </c>
      <c r="AJ371">
        <f>IF([2]Entry!$S$374="","",[2]Entry!$S$374)</f>
        <v/>
      </c>
      <c r="AK371">
        <f>IF([2]Entry!$C$374="","",[2]Entry!$C$374)</f>
        <v/>
      </c>
      <c r="AL371">
        <f>IF([2]Entry!$D$374="","",[2]Entry!$D$374)</f>
        <v/>
      </c>
      <c r="AM371">
        <f>IF(AND($F371&lt;&gt;"",$I371&lt;&gt;""),IF($G371="دارایی ثابت",1,0),0)</f>
        <v/>
      </c>
      <c r="AN371">
        <f>SUM($AM$6:$AM371)</f>
        <v/>
      </c>
      <c r="AO371">
        <f>IFERROR(INDEX($F$6:$F$565,MATCH(ROW()-5,$AN$6:$AN$565,0)),"")</f>
        <v/>
      </c>
      <c r="AP371">
        <f>IF(AND($F371&lt;&gt;"",$I371&lt;&gt;""),IF($G371="وام و تسهیلات",1,0),0)</f>
        <v/>
      </c>
      <c r="AQ371">
        <f>SUM($AP$6:$AP371)</f>
        <v/>
      </c>
      <c r="AR371">
        <f>IFERROR(INDEX($F$6:$F$565,MATCH(ROW()-5,$AQ$6:$AQ$565,0)),"")</f>
        <v/>
      </c>
      <c r="AS371">
        <f>IF(AND($F371&lt;&gt;"",$I371&lt;&gt;""),IF($G371="سرمایه و آورده صاحبان",1,0),0)</f>
        <v/>
      </c>
      <c r="AT371">
        <f>SUM($AS$6:$AS371)</f>
        <v/>
      </c>
      <c r="AU371">
        <f>IFERROR(INDEX($F$6:$F$565,MATCH(ROW()-5,$AT$6:$AT$565,0)),"")</f>
        <v/>
      </c>
      <c r="AW371">
        <f>IF([3]Issues!$C$374="","",[3]Issues!$C$374)</f>
        <v/>
      </c>
      <c r="AX371">
        <f>IF([4]Entry!$E$374="","",[4]Entry!$E$374)</f>
        <v/>
      </c>
      <c r="AY371">
        <f>IF([4]Entry!$H$374="","",[4]Entry!$H$374)</f>
        <v/>
      </c>
      <c r="AZ371">
        <f>IF([4]Entry!$I$374="","",[4]Entry!$I$374)</f>
        <v/>
      </c>
    </row>
    <row r="372">
      <c r="F372">
        <f>IF([1]Accounts!$D$373="","",[1]Accounts!$A$373)</f>
        <v/>
      </c>
      <c r="G372">
        <f>IF([1]Accounts!$D$373="","",[1]Accounts!$B$373)</f>
        <v/>
      </c>
      <c r="H372">
        <f>IF([1]Accounts!$D$373="","",[1]Accounts!$C$373)</f>
        <v/>
      </c>
      <c r="I372">
        <f>IF([1]Accounts!$D$373="","",[1]Accounts!$D$373)</f>
        <v/>
      </c>
      <c r="R372">
        <f>IF(AND($F372&lt;&gt;"",$I372&lt;&gt;""),IF(OR($G372="دارایی ثابت",$G372="وام و تسهیلات",$G372="سرمایه و آورده صاحبان"),0,1),0)</f>
        <v/>
      </c>
      <c r="S372">
        <f>SUM($R$6:$R372)</f>
        <v/>
      </c>
      <c r="T372">
        <f>IFERROR(INDEX($F$6:$F$565,MATCH(ROW()-5,$S$6:$S$565,0)),"")</f>
        <v/>
      </c>
      <c r="Z372">
        <f>IF([2]Entry!$E$375="","",[2]Entry!$E$375)</f>
        <v/>
      </c>
      <c r="AA372">
        <f>IF([2]Entry!$G$375="","",[2]Entry!$G$375)</f>
        <v/>
      </c>
      <c r="AB372">
        <f>IF([2]Entry!$J$375="","",[2]Entry!$J$375)</f>
        <v/>
      </c>
      <c r="AC372">
        <f>IF([2]Entry!$K$375="","",[2]Entry!$K$375)</f>
        <v/>
      </c>
      <c r="AD372">
        <f>IF([2]Entry!$L$375="","",[2]Entry!$L$375)</f>
        <v/>
      </c>
      <c r="AE372">
        <f>IF([2]Entry!$M$375="","",[2]Entry!$M$375)</f>
        <v/>
      </c>
      <c r="AF372">
        <f>IF([2]Entry!$N$375="","",[2]Entry!$N$375)</f>
        <v/>
      </c>
      <c r="AG372">
        <f>IF([3]Issues!$B$375="","",[3]Issues!$B$375)</f>
        <v/>
      </c>
      <c r="AH372">
        <f>IF([3]Issues!$D$375="","",[3]Issues!$D$375)</f>
        <v/>
      </c>
      <c r="AI372">
        <f>IF([3]Issues!$E$375="","",[3]Issues!$E$375)</f>
        <v/>
      </c>
      <c r="AJ372">
        <f>IF([2]Entry!$S$375="","",[2]Entry!$S$375)</f>
        <v/>
      </c>
      <c r="AK372">
        <f>IF([2]Entry!$C$375="","",[2]Entry!$C$375)</f>
        <v/>
      </c>
      <c r="AL372">
        <f>IF([2]Entry!$D$375="","",[2]Entry!$D$375)</f>
        <v/>
      </c>
      <c r="AM372">
        <f>IF(AND($F372&lt;&gt;"",$I372&lt;&gt;""),IF($G372="دارایی ثابت",1,0),0)</f>
        <v/>
      </c>
      <c r="AN372">
        <f>SUM($AM$6:$AM372)</f>
        <v/>
      </c>
      <c r="AO372">
        <f>IFERROR(INDEX($F$6:$F$565,MATCH(ROW()-5,$AN$6:$AN$565,0)),"")</f>
        <v/>
      </c>
      <c r="AP372">
        <f>IF(AND($F372&lt;&gt;"",$I372&lt;&gt;""),IF($G372="وام و تسهیلات",1,0),0)</f>
        <v/>
      </c>
      <c r="AQ372">
        <f>SUM($AP$6:$AP372)</f>
        <v/>
      </c>
      <c r="AR372">
        <f>IFERROR(INDEX($F$6:$F$565,MATCH(ROW()-5,$AQ$6:$AQ$565,0)),"")</f>
        <v/>
      </c>
      <c r="AS372">
        <f>IF(AND($F372&lt;&gt;"",$I372&lt;&gt;""),IF($G372="سرمایه و آورده صاحبان",1,0),0)</f>
        <v/>
      </c>
      <c r="AT372">
        <f>SUM($AS$6:$AS372)</f>
        <v/>
      </c>
      <c r="AU372">
        <f>IFERROR(INDEX($F$6:$F$565,MATCH(ROW()-5,$AT$6:$AT$565,0)),"")</f>
        <v/>
      </c>
      <c r="AW372">
        <f>IF([3]Issues!$C$375="","",[3]Issues!$C$375)</f>
        <v/>
      </c>
      <c r="AX372">
        <f>IF([4]Entry!$E$375="","",[4]Entry!$E$375)</f>
        <v/>
      </c>
      <c r="AY372">
        <f>IF([4]Entry!$H$375="","",[4]Entry!$H$375)</f>
        <v/>
      </c>
      <c r="AZ372">
        <f>IF([4]Entry!$I$375="","",[4]Entry!$I$375)</f>
        <v/>
      </c>
    </row>
    <row r="373">
      <c r="F373">
        <f>IF([1]Accounts!$D$374="","",[1]Accounts!$A$374)</f>
        <v/>
      </c>
      <c r="G373">
        <f>IF([1]Accounts!$D$374="","",[1]Accounts!$B$374)</f>
        <v/>
      </c>
      <c r="H373">
        <f>IF([1]Accounts!$D$374="","",[1]Accounts!$C$374)</f>
        <v/>
      </c>
      <c r="I373">
        <f>IF([1]Accounts!$D$374="","",[1]Accounts!$D$374)</f>
        <v/>
      </c>
      <c r="R373">
        <f>IF(AND($F373&lt;&gt;"",$I373&lt;&gt;""),IF(OR($G373="دارایی ثابت",$G373="وام و تسهیلات",$G373="سرمایه و آورده صاحبان"),0,1),0)</f>
        <v/>
      </c>
      <c r="S373">
        <f>SUM($R$6:$R373)</f>
        <v/>
      </c>
      <c r="T373">
        <f>IFERROR(INDEX($F$6:$F$565,MATCH(ROW()-5,$S$6:$S$565,0)),"")</f>
        <v/>
      </c>
      <c r="Z373">
        <f>IF([2]Entry!$E$376="","",[2]Entry!$E$376)</f>
        <v/>
      </c>
      <c r="AA373">
        <f>IF([2]Entry!$G$376="","",[2]Entry!$G$376)</f>
        <v/>
      </c>
      <c r="AB373">
        <f>IF([2]Entry!$J$376="","",[2]Entry!$J$376)</f>
        <v/>
      </c>
      <c r="AC373">
        <f>IF([2]Entry!$K$376="","",[2]Entry!$K$376)</f>
        <v/>
      </c>
      <c r="AD373">
        <f>IF([2]Entry!$L$376="","",[2]Entry!$L$376)</f>
        <v/>
      </c>
      <c r="AE373">
        <f>IF([2]Entry!$M$376="","",[2]Entry!$M$376)</f>
        <v/>
      </c>
      <c r="AF373">
        <f>IF([2]Entry!$N$376="","",[2]Entry!$N$376)</f>
        <v/>
      </c>
      <c r="AG373">
        <f>IF([3]Issues!$B$376="","",[3]Issues!$B$376)</f>
        <v/>
      </c>
      <c r="AH373">
        <f>IF([3]Issues!$D$376="","",[3]Issues!$D$376)</f>
        <v/>
      </c>
      <c r="AI373">
        <f>IF([3]Issues!$E$376="","",[3]Issues!$E$376)</f>
        <v/>
      </c>
      <c r="AJ373">
        <f>IF([2]Entry!$S$376="","",[2]Entry!$S$376)</f>
        <v/>
      </c>
      <c r="AK373">
        <f>IF([2]Entry!$C$376="","",[2]Entry!$C$376)</f>
        <v/>
      </c>
      <c r="AL373">
        <f>IF([2]Entry!$D$376="","",[2]Entry!$D$376)</f>
        <v/>
      </c>
      <c r="AM373">
        <f>IF(AND($F373&lt;&gt;"",$I373&lt;&gt;""),IF($G373="دارایی ثابت",1,0),0)</f>
        <v/>
      </c>
      <c r="AN373">
        <f>SUM($AM$6:$AM373)</f>
        <v/>
      </c>
      <c r="AO373">
        <f>IFERROR(INDEX($F$6:$F$565,MATCH(ROW()-5,$AN$6:$AN$565,0)),"")</f>
        <v/>
      </c>
      <c r="AP373">
        <f>IF(AND($F373&lt;&gt;"",$I373&lt;&gt;""),IF($G373="وام و تسهیلات",1,0),0)</f>
        <v/>
      </c>
      <c r="AQ373">
        <f>SUM($AP$6:$AP373)</f>
        <v/>
      </c>
      <c r="AR373">
        <f>IFERROR(INDEX($F$6:$F$565,MATCH(ROW()-5,$AQ$6:$AQ$565,0)),"")</f>
        <v/>
      </c>
      <c r="AS373">
        <f>IF(AND($F373&lt;&gt;"",$I373&lt;&gt;""),IF($G373="سرمایه و آورده صاحبان",1,0),0)</f>
        <v/>
      </c>
      <c r="AT373">
        <f>SUM($AS$6:$AS373)</f>
        <v/>
      </c>
      <c r="AU373">
        <f>IFERROR(INDEX($F$6:$F$565,MATCH(ROW()-5,$AT$6:$AT$565,0)),"")</f>
        <v/>
      </c>
      <c r="AW373">
        <f>IF([3]Issues!$C$376="","",[3]Issues!$C$376)</f>
        <v/>
      </c>
      <c r="AX373">
        <f>IF([4]Entry!$E$376="","",[4]Entry!$E$376)</f>
        <v/>
      </c>
      <c r="AY373">
        <f>IF([4]Entry!$H$376="","",[4]Entry!$H$376)</f>
        <v/>
      </c>
      <c r="AZ373">
        <f>IF([4]Entry!$I$376="","",[4]Entry!$I$376)</f>
        <v/>
      </c>
    </row>
    <row r="374">
      <c r="F374">
        <f>IF([1]Accounts!$D$375="","",[1]Accounts!$A$375)</f>
        <v/>
      </c>
      <c r="G374">
        <f>IF([1]Accounts!$D$375="","",[1]Accounts!$B$375)</f>
        <v/>
      </c>
      <c r="H374">
        <f>IF([1]Accounts!$D$375="","",[1]Accounts!$C$375)</f>
        <v/>
      </c>
      <c r="I374">
        <f>IF([1]Accounts!$D$375="","",[1]Accounts!$D$375)</f>
        <v/>
      </c>
      <c r="R374">
        <f>IF(AND($F374&lt;&gt;"",$I374&lt;&gt;""),IF(OR($G374="دارایی ثابت",$G374="وام و تسهیلات",$G374="سرمایه و آورده صاحبان"),0,1),0)</f>
        <v/>
      </c>
      <c r="S374">
        <f>SUM($R$6:$R374)</f>
        <v/>
      </c>
      <c r="T374">
        <f>IFERROR(INDEX($F$6:$F$565,MATCH(ROW()-5,$S$6:$S$565,0)),"")</f>
        <v/>
      </c>
      <c r="Z374">
        <f>IF([2]Entry!$E$377="","",[2]Entry!$E$377)</f>
        <v/>
      </c>
      <c r="AA374">
        <f>IF([2]Entry!$G$377="","",[2]Entry!$G$377)</f>
        <v/>
      </c>
      <c r="AB374">
        <f>IF([2]Entry!$J$377="","",[2]Entry!$J$377)</f>
        <v/>
      </c>
      <c r="AC374">
        <f>IF([2]Entry!$K$377="","",[2]Entry!$K$377)</f>
        <v/>
      </c>
      <c r="AD374">
        <f>IF([2]Entry!$L$377="","",[2]Entry!$L$377)</f>
        <v/>
      </c>
      <c r="AE374">
        <f>IF([2]Entry!$M$377="","",[2]Entry!$M$377)</f>
        <v/>
      </c>
      <c r="AF374">
        <f>IF([2]Entry!$N$377="","",[2]Entry!$N$377)</f>
        <v/>
      </c>
      <c r="AG374">
        <f>IF([3]Issues!$B$377="","",[3]Issues!$B$377)</f>
        <v/>
      </c>
      <c r="AH374">
        <f>IF([3]Issues!$D$377="","",[3]Issues!$D$377)</f>
        <v/>
      </c>
      <c r="AI374">
        <f>IF([3]Issues!$E$377="","",[3]Issues!$E$377)</f>
        <v/>
      </c>
      <c r="AJ374">
        <f>IF([2]Entry!$S$377="","",[2]Entry!$S$377)</f>
        <v/>
      </c>
      <c r="AK374">
        <f>IF([2]Entry!$C$377="","",[2]Entry!$C$377)</f>
        <v/>
      </c>
      <c r="AL374">
        <f>IF([2]Entry!$D$377="","",[2]Entry!$D$377)</f>
        <v/>
      </c>
      <c r="AM374">
        <f>IF(AND($F374&lt;&gt;"",$I374&lt;&gt;""),IF($G374="دارایی ثابت",1,0),0)</f>
        <v/>
      </c>
      <c r="AN374">
        <f>SUM($AM$6:$AM374)</f>
        <v/>
      </c>
      <c r="AO374">
        <f>IFERROR(INDEX($F$6:$F$565,MATCH(ROW()-5,$AN$6:$AN$565,0)),"")</f>
        <v/>
      </c>
      <c r="AP374">
        <f>IF(AND($F374&lt;&gt;"",$I374&lt;&gt;""),IF($G374="وام و تسهیلات",1,0),0)</f>
        <v/>
      </c>
      <c r="AQ374">
        <f>SUM($AP$6:$AP374)</f>
        <v/>
      </c>
      <c r="AR374">
        <f>IFERROR(INDEX($F$6:$F$565,MATCH(ROW()-5,$AQ$6:$AQ$565,0)),"")</f>
        <v/>
      </c>
      <c r="AS374">
        <f>IF(AND($F374&lt;&gt;"",$I374&lt;&gt;""),IF($G374="سرمایه و آورده صاحبان",1,0),0)</f>
        <v/>
      </c>
      <c r="AT374">
        <f>SUM($AS$6:$AS374)</f>
        <v/>
      </c>
      <c r="AU374">
        <f>IFERROR(INDEX($F$6:$F$565,MATCH(ROW()-5,$AT$6:$AT$565,0)),"")</f>
        <v/>
      </c>
      <c r="AW374">
        <f>IF([3]Issues!$C$377="","",[3]Issues!$C$377)</f>
        <v/>
      </c>
      <c r="AX374">
        <f>IF([4]Entry!$E$377="","",[4]Entry!$E$377)</f>
        <v/>
      </c>
      <c r="AY374">
        <f>IF([4]Entry!$H$377="","",[4]Entry!$H$377)</f>
        <v/>
      </c>
      <c r="AZ374">
        <f>IF([4]Entry!$I$377="","",[4]Entry!$I$377)</f>
        <v/>
      </c>
    </row>
    <row r="375">
      <c r="F375">
        <f>IF([1]Accounts!$D$376="","",[1]Accounts!$A$376)</f>
        <v/>
      </c>
      <c r="G375">
        <f>IF([1]Accounts!$D$376="","",[1]Accounts!$B$376)</f>
        <v/>
      </c>
      <c r="H375">
        <f>IF([1]Accounts!$D$376="","",[1]Accounts!$C$376)</f>
        <v/>
      </c>
      <c r="I375">
        <f>IF([1]Accounts!$D$376="","",[1]Accounts!$D$376)</f>
        <v/>
      </c>
      <c r="R375">
        <f>IF(AND($F375&lt;&gt;"",$I375&lt;&gt;""),IF(OR($G375="دارایی ثابت",$G375="وام و تسهیلات",$G375="سرمایه و آورده صاحبان"),0,1),0)</f>
        <v/>
      </c>
      <c r="S375">
        <f>SUM($R$6:$R375)</f>
        <v/>
      </c>
      <c r="T375">
        <f>IFERROR(INDEX($F$6:$F$565,MATCH(ROW()-5,$S$6:$S$565,0)),"")</f>
        <v/>
      </c>
      <c r="Z375">
        <f>IF([2]Entry!$E$378="","",[2]Entry!$E$378)</f>
        <v/>
      </c>
      <c r="AA375">
        <f>IF([2]Entry!$G$378="","",[2]Entry!$G$378)</f>
        <v/>
      </c>
      <c r="AB375">
        <f>IF([2]Entry!$J$378="","",[2]Entry!$J$378)</f>
        <v/>
      </c>
      <c r="AC375">
        <f>IF([2]Entry!$K$378="","",[2]Entry!$K$378)</f>
        <v/>
      </c>
      <c r="AD375">
        <f>IF([2]Entry!$L$378="","",[2]Entry!$L$378)</f>
        <v/>
      </c>
      <c r="AE375">
        <f>IF([2]Entry!$M$378="","",[2]Entry!$M$378)</f>
        <v/>
      </c>
      <c r="AF375">
        <f>IF([2]Entry!$N$378="","",[2]Entry!$N$378)</f>
        <v/>
      </c>
      <c r="AG375">
        <f>IF([3]Issues!$B$378="","",[3]Issues!$B$378)</f>
        <v/>
      </c>
      <c r="AH375">
        <f>IF([3]Issues!$D$378="","",[3]Issues!$D$378)</f>
        <v/>
      </c>
      <c r="AI375">
        <f>IF([3]Issues!$E$378="","",[3]Issues!$E$378)</f>
        <v/>
      </c>
      <c r="AJ375">
        <f>IF([2]Entry!$S$378="","",[2]Entry!$S$378)</f>
        <v/>
      </c>
      <c r="AK375">
        <f>IF([2]Entry!$C$378="","",[2]Entry!$C$378)</f>
        <v/>
      </c>
      <c r="AL375">
        <f>IF([2]Entry!$D$378="","",[2]Entry!$D$378)</f>
        <v/>
      </c>
      <c r="AM375">
        <f>IF(AND($F375&lt;&gt;"",$I375&lt;&gt;""),IF($G375="دارایی ثابت",1,0),0)</f>
        <v/>
      </c>
      <c r="AN375">
        <f>SUM($AM$6:$AM375)</f>
        <v/>
      </c>
      <c r="AO375">
        <f>IFERROR(INDEX($F$6:$F$565,MATCH(ROW()-5,$AN$6:$AN$565,0)),"")</f>
        <v/>
      </c>
      <c r="AP375">
        <f>IF(AND($F375&lt;&gt;"",$I375&lt;&gt;""),IF($G375="وام و تسهیلات",1,0),0)</f>
        <v/>
      </c>
      <c r="AQ375">
        <f>SUM($AP$6:$AP375)</f>
        <v/>
      </c>
      <c r="AR375">
        <f>IFERROR(INDEX($F$6:$F$565,MATCH(ROW()-5,$AQ$6:$AQ$565,0)),"")</f>
        <v/>
      </c>
      <c r="AS375">
        <f>IF(AND($F375&lt;&gt;"",$I375&lt;&gt;""),IF($G375="سرمایه و آورده صاحبان",1,0),0)</f>
        <v/>
      </c>
      <c r="AT375">
        <f>SUM($AS$6:$AS375)</f>
        <v/>
      </c>
      <c r="AU375">
        <f>IFERROR(INDEX($F$6:$F$565,MATCH(ROW()-5,$AT$6:$AT$565,0)),"")</f>
        <v/>
      </c>
      <c r="AW375">
        <f>IF([3]Issues!$C$378="","",[3]Issues!$C$378)</f>
        <v/>
      </c>
      <c r="AX375">
        <f>IF([4]Entry!$E$378="","",[4]Entry!$E$378)</f>
        <v/>
      </c>
      <c r="AY375">
        <f>IF([4]Entry!$H$378="","",[4]Entry!$H$378)</f>
        <v/>
      </c>
      <c r="AZ375">
        <f>IF([4]Entry!$I$378="","",[4]Entry!$I$378)</f>
        <v/>
      </c>
    </row>
    <row r="376">
      <c r="F376">
        <f>IF([1]Accounts!$D$377="","",[1]Accounts!$A$377)</f>
        <v/>
      </c>
      <c r="G376">
        <f>IF([1]Accounts!$D$377="","",[1]Accounts!$B$377)</f>
        <v/>
      </c>
      <c r="H376">
        <f>IF([1]Accounts!$D$377="","",[1]Accounts!$C$377)</f>
        <v/>
      </c>
      <c r="I376">
        <f>IF([1]Accounts!$D$377="","",[1]Accounts!$D$377)</f>
        <v/>
      </c>
      <c r="R376">
        <f>IF(AND($F376&lt;&gt;"",$I376&lt;&gt;""),IF(OR($G376="دارایی ثابت",$G376="وام و تسهیلات",$G376="سرمایه و آورده صاحبان"),0,1),0)</f>
        <v/>
      </c>
      <c r="S376">
        <f>SUM($R$6:$R376)</f>
        <v/>
      </c>
      <c r="T376">
        <f>IFERROR(INDEX($F$6:$F$565,MATCH(ROW()-5,$S$6:$S$565,0)),"")</f>
        <v/>
      </c>
      <c r="Z376">
        <f>IF([2]Entry!$E$379="","",[2]Entry!$E$379)</f>
        <v/>
      </c>
      <c r="AA376">
        <f>IF([2]Entry!$G$379="","",[2]Entry!$G$379)</f>
        <v/>
      </c>
      <c r="AB376">
        <f>IF([2]Entry!$J$379="","",[2]Entry!$J$379)</f>
        <v/>
      </c>
      <c r="AC376">
        <f>IF([2]Entry!$K$379="","",[2]Entry!$K$379)</f>
        <v/>
      </c>
      <c r="AD376">
        <f>IF([2]Entry!$L$379="","",[2]Entry!$L$379)</f>
        <v/>
      </c>
      <c r="AE376">
        <f>IF([2]Entry!$M$379="","",[2]Entry!$M$379)</f>
        <v/>
      </c>
      <c r="AF376">
        <f>IF([2]Entry!$N$379="","",[2]Entry!$N$379)</f>
        <v/>
      </c>
      <c r="AG376">
        <f>IF([3]Issues!$B$379="","",[3]Issues!$B$379)</f>
        <v/>
      </c>
      <c r="AH376">
        <f>IF([3]Issues!$D$379="","",[3]Issues!$D$379)</f>
        <v/>
      </c>
      <c r="AI376">
        <f>IF([3]Issues!$E$379="","",[3]Issues!$E$379)</f>
        <v/>
      </c>
      <c r="AJ376">
        <f>IF([2]Entry!$S$379="","",[2]Entry!$S$379)</f>
        <v/>
      </c>
      <c r="AK376">
        <f>IF([2]Entry!$C$379="","",[2]Entry!$C$379)</f>
        <v/>
      </c>
      <c r="AL376">
        <f>IF([2]Entry!$D$379="","",[2]Entry!$D$379)</f>
        <v/>
      </c>
      <c r="AM376">
        <f>IF(AND($F376&lt;&gt;"",$I376&lt;&gt;""),IF($G376="دارایی ثابت",1,0),0)</f>
        <v/>
      </c>
      <c r="AN376">
        <f>SUM($AM$6:$AM376)</f>
        <v/>
      </c>
      <c r="AO376">
        <f>IFERROR(INDEX($F$6:$F$565,MATCH(ROW()-5,$AN$6:$AN$565,0)),"")</f>
        <v/>
      </c>
      <c r="AP376">
        <f>IF(AND($F376&lt;&gt;"",$I376&lt;&gt;""),IF($G376="وام و تسهیلات",1,0),0)</f>
        <v/>
      </c>
      <c r="AQ376">
        <f>SUM($AP$6:$AP376)</f>
        <v/>
      </c>
      <c r="AR376">
        <f>IFERROR(INDEX($F$6:$F$565,MATCH(ROW()-5,$AQ$6:$AQ$565,0)),"")</f>
        <v/>
      </c>
      <c r="AS376">
        <f>IF(AND($F376&lt;&gt;"",$I376&lt;&gt;""),IF($G376="سرمایه و آورده صاحبان",1,0),0)</f>
        <v/>
      </c>
      <c r="AT376">
        <f>SUM($AS$6:$AS376)</f>
        <v/>
      </c>
      <c r="AU376">
        <f>IFERROR(INDEX($F$6:$F$565,MATCH(ROW()-5,$AT$6:$AT$565,0)),"")</f>
        <v/>
      </c>
      <c r="AW376">
        <f>IF([3]Issues!$C$379="","",[3]Issues!$C$379)</f>
        <v/>
      </c>
      <c r="AX376">
        <f>IF([4]Entry!$E$379="","",[4]Entry!$E$379)</f>
        <v/>
      </c>
      <c r="AY376">
        <f>IF([4]Entry!$H$379="","",[4]Entry!$H$379)</f>
        <v/>
      </c>
      <c r="AZ376">
        <f>IF([4]Entry!$I$379="","",[4]Entry!$I$379)</f>
        <v/>
      </c>
    </row>
    <row r="377">
      <c r="F377">
        <f>IF([1]Accounts!$D$378="","",[1]Accounts!$A$378)</f>
        <v/>
      </c>
      <c r="G377">
        <f>IF([1]Accounts!$D$378="","",[1]Accounts!$B$378)</f>
        <v/>
      </c>
      <c r="H377">
        <f>IF([1]Accounts!$D$378="","",[1]Accounts!$C$378)</f>
        <v/>
      </c>
      <c r="I377">
        <f>IF([1]Accounts!$D$378="","",[1]Accounts!$D$378)</f>
        <v/>
      </c>
      <c r="R377">
        <f>IF(AND($F377&lt;&gt;"",$I377&lt;&gt;""),IF(OR($G377="دارایی ثابت",$G377="وام و تسهیلات",$G377="سرمایه و آورده صاحبان"),0,1),0)</f>
        <v/>
      </c>
      <c r="S377">
        <f>SUM($R$6:$R377)</f>
        <v/>
      </c>
      <c r="T377">
        <f>IFERROR(INDEX($F$6:$F$565,MATCH(ROW()-5,$S$6:$S$565,0)),"")</f>
        <v/>
      </c>
      <c r="Z377">
        <f>IF([2]Entry!$E$380="","",[2]Entry!$E$380)</f>
        <v/>
      </c>
      <c r="AA377">
        <f>IF([2]Entry!$G$380="","",[2]Entry!$G$380)</f>
        <v/>
      </c>
      <c r="AB377">
        <f>IF([2]Entry!$J$380="","",[2]Entry!$J$380)</f>
        <v/>
      </c>
      <c r="AC377">
        <f>IF([2]Entry!$K$380="","",[2]Entry!$K$380)</f>
        <v/>
      </c>
      <c r="AD377">
        <f>IF([2]Entry!$L$380="","",[2]Entry!$L$380)</f>
        <v/>
      </c>
      <c r="AE377">
        <f>IF([2]Entry!$M$380="","",[2]Entry!$M$380)</f>
        <v/>
      </c>
      <c r="AF377">
        <f>IF([2]Entry!$N$380="","",[2]Entry!$N$380)</f>
        <v/>
      </c>
      <c r="AG377">
        <f>IF([3]Issues!$B$380="","",[3]Issues!$B$380)</f>
        <v/>
      </c>
      <c r="AH377">
        <f>IF([3]Issues!$D$380="","",[3]Issues!$D$380)</f>
        <v/>
      </c>
      <c r="AI377">
        <f>IF([3]Issues!$E$380="","",[3]Issues!$E$380)</f>
        <v/>
      </c>
      <c r="AJ377">
        <f>IF([2]Entry!$S$380="","",[2]Entry!$S$380)</f>
        <v/>
      </c>
      <c r="AK377">
        <f>IF([2]Entry!$C$380="","",[2]Entry!$C$380)</f>
        <v/>
      </c>
      <c r="AL377">
        <f>IF([2]Entry!$D$380="","",[2]Entry!$D$380)</f>
        <v/>
      </c>
      <c r="AM377">
        <f>IF(AND($F377&lt;&gt;"",$I377&lt;&gt;""),IF($G377="دارایی ثابت",1,0),0)</f>
        <v/>
      </c>
      <c r="AN377">
        <f>SUM($AM$6:$AM377)</f>
        <v/>
      </c>
      <c r="AO377">
        <f>IFERROR(INDEX($F$6:$F$565,MATCH(ROW()-5,$AN$6:$AN$565,0)),"")</f>
        <v/>
      </c>
      <c r="AP377">
        <f>IF(AND($F377&lt;&gt;"",$I377&lt;&gt;""),IF($G377="وام و تسهیلات",1,0),0)</f>
        <v/>
      </c>
      <c r="AQ377">
        <f>SUM($AP$6:$AP377)</f>
        <v/>
      </c>
      <c r="AR377">
        <f>IFERROR(INDEX($F$6:$F$565,MATCH(ROW()-5,$AQ$6:$AQ$565,0)),"")</f>
        <v/>
      </c>
      <c r="AS377">
        <f>IF(AND($F377&lt;&gt;"",$I377&lt;&gt;""),IF($G377="سرمایه و آورده صاحبان",1,0),0)</f>
        <v/>
      </c>
      <c r="AT377">
        <f>SUM($AS$6:$AS377)</f>
        <v/>
      </c>
      <c r="AU377">
        <f>IFERROR(INDEX($F$6:$F$565,MATCH(ROW()-5,$AT$6:$AT$565,0)),"")</f>
        <v/>
      </c>
      <c r="AW377">
        <f>IF([3]Issues!$C$380="","",[3]Issues!$C$380)</f>
        <v/>
      </c>
      <c r="AX377">
        <f>IF([4]Entry!$E$380="","",[4]Entry!$E$380)</f>
        <v/>
      </c>
      <c r="AY377">
        <f>IF([4]Entry!$H$380="","",[4]Entry!$H$380)</f>
        <v/>
      </c>
      <c r="AZ377">
        <f>IF([4]Entry!$I$380="","",[4]Entry!$I$380)</f>
        <v/>
      </c>
    </row>
    <row r="378">
      <c r="F378">
        <f>IF([1]Accounts!$D$379="","",[1]Accounts!$A$379)</f>
        <v/>
      </c>
      <c r="G378">
        <f>IF([1]Accounts!$D$379="","",[1]Accounts!$B$379)</f>
        <v/>
      </c>
      <c r="H378">
        <f>IF([1]Accounts!$D$379="","",[1]Accounts!$C$379)</f>
        <v/>
      </c>
      <c r="I378">
        <f>IF([1]Accounts!$D$379="","",[1]Accounts!$D$379)</f>
        <v/>
      </c>
      <c r="R378">
        <f>IF(AND($F378&lt;&gt;"",$I378&lt;&gt;""),IF(OR($G378="دارایی ثابت",$G378="وام و تسهیلات",$G378="سرمایه و آورده صاحبان"),0,1),0)</f>
        <v/>
      </c>
      <c r="S378">
        <f>SUM($R$6:$R378)</f>
        <v/>
      </c>
      <c r="T378">
        <f>IFERROR(INDEX($F$6:$F$565,MATCH(ROW()-5,$S$6:$S$565,0)),"")</f>
        <v/>
      </c>
      <c r="Z378">
        <f>IF([2]Entry!$E$381="","",[2]Entry!$E$381)</f>
        <v/>
      </c>
      <c r="AA378">
        <f>IF([2]Entry!$G$381="","",[2]Entry!$G$381)</f>
        <v/>
      </c>
      <c r="AB378">
        <f>IF([2]Entry!$J$381="","",[2]Entry!$J$381)</f>
        <v/>
      </c>
      <c r="AC378">
        <f>IF([2]Entry!$K$381="","",[2]Entry!$K$381)</f>
        <v/>
      </c>
      <c r="AD378">
        <f>IF([2]Entry!$L$381="","",[2]Entry!$L$381)</f>
        <v/>
      </c>
      <c r="AE378">
        <f>IF([2]Entry!$M$381="","",[2]Entry!$M$381)</f>
        <v/>
      </c>
      <c r="AF378">
        <f>IF([2]Entry!$N$381="","",[2]Entry!$N$381)</f>
        <v/>
      </c>
      <c r="AG378">
        <f>IF([3]Issues!$B$381="","",[3]Issues!$B$381)</f>
        <v/>
      </c>
      <c r="AH378">
        <f>IF([3]Issues!$D$381="","",[3]Issues!$D$381)</f>
        <v/>
      </c>
      <c r="AI378">
        <f>IF([3]Issues!$E$381="","",[3]Issues!$E$381)</f>
        <v/>
      </c>
      <c r="AJ378">
        <f>IF([2]Entry!$S$381="","",[2]Entry!$S$381)</f>
        <v/>
      </c>
      <c r="AK378">
        <f>IF([2]Entry!$C$381="","",[2]Entry!$C$381)</f>
        <v/>
      </c>
      <c r="AL378">
        <f>IF([2]Entry!$D$381="","",[2]Entry!$D$381)</f>
        <v/>
      </c>
      <c r="AM378">
        <f>IF(AND($F378&lt;&gt;"",$I378&lt;&gt;""),IF($G378="دارایی ثابت",1,0),0)</f>
        <v/>
      </c>
      <c r="AN378">
        <f>SUM($AM$6:$AM378)</f>
        <v/>
      </c>
      <c r="AO378">
        <f>IFERROR(INDEX($F$6:$F$565,MATCH(ROW()-5,$AN$6:$AN$565,0)),"")</f>
        <v/>
      </c>
      <c r="AP378">
        <f>IF(AND($F378&lt;&gt;"",$I378&lt;&gt;""),IF($G378="وام و تسهیلات",1,0),0)</f>
        <v/>
      </c>
      <c r="AQ378">
        <f>SUM($AP$6:$AP378)</f>
        <v/>
      </c>
      <c r="AR378">
        <f>IFERROR(INDEX($F$6:$F$565,MATCH(ROW()-5,$AQ$6:$AQ$565,0)),"")</f>
        <v/>
      </c>
      <c r="AS378">
        <f>IF(AND($F378&lt;&gt;"",$I378&lt;&gt;""),IF($G378="سرمایه و آورده صاحبان",1,0),0)</f>
        <v/>
      </c>
      <c r="AT378">
        <f>SUM($AS$6:$AS378)</f>
        <v/>
      </c>
      <c r="AU378">
        <f>IFERROR(INDEX($F$6:$F$565,MATCH(ROW()-5,$AT$6:$AT$565,0)),"")</f>
        <v/>
      </c>
      <c r="AW378">
        <f>IF([3]Issues!$C$381="","",[3]Issues!$C$381)</f>
        <v/>
      </c>
      <c r="AX378">
        <f>IF([4]Entry!$E$381="","",[4]Entry!$E$381)</f>
        <v/>
      </c>
      <c r="AY378">
        <f>IF([4]Entry!$H$381="","",[4]Entry!$H$381)</f>
        <v/>
      </c>
      <c r="AZ378">
        <f>IF([4]Entry!$I$381="","",[4]Entry!$I$381)</f>
        <v/>
      </c>
    </row>
    <row r="379">
      <c r="F379">
        <f>IF([1]Accounts!$D$380="","",[1]Accounts!$A$380)</f>
        <v/>
      </c>
      <c r="G379">
        <f>IF([1]Accounts!$D$380="","",[1]Accounts!$B$380)</f>
        <v/>
      </c>
      <c r="H379">
        <f>IF([1]Accounts!$D$380="","",[1]Accounts!$C$380)</f>
        <v/>
      </c>
      <c r="I379">
        <f>IF([1]Accounts!$D$380="","",[1]Accounts!$D$380)</f>
        <v/>
      </c>
      <c r="R379">
        <f>IF(AND($F379&lt;&gt;"",$I379&lt;&gt;""),IF(OR($G379="دارایی ثابت",$G379="وام و تسهیلات",$G379="سرمایه و آورده صاحبان"),0,1),0)</f>
        <v/>
      </c>
      <c r="S379">
        <f>SUM($R$6:$R379)</f>
        <v/>
      </c>
      <c r="T379">
        <f>IFERROR(INDEX($F$6:$F$565,MATCH(ROW()-5,$S$6:$S$565,0)),"")</f>
        <v/>
      </c>
      <c r="Z379">
        <f>IF([2]Entry!$E$382="","",[2]Entry!$E$382)</f>
        <v/>
      </c>
      <c r="AA379">
        <f>IF([2]Entry!$G$382="","",[2]Entry!$G$382)</f>
        <v/>
      </c>
      <c r="AB379">
        <f>IF([2]Entry!$J$382="","",[2]Entry!$J$382)</f>
        <v/>
      </c>
      <c r="AC379">
        <f>IF([2]Entry!$K$382="","",[2]Entry!$K$382)</f>
        <v/>
      </c>
      <c r="AD379">
        <f>IF([2]Entry!$L$382="","",[2]Entry!$L$382)</f>
        <v/>
      </c>
      <c r="AE379">
        <f>IF([2]Entry!$M$382="","",[2]Entry!$M$382)</f>
        <v/>
      </c>
      <c r="AF379">
        <f>IF([2]Entry!$N$382="","",[2]Entry!$N$382)</f>
        <v/>
      </c>
      <c r="AG379">
        <f>IF([3]Issues!$B$382="","",[3]Issues!$B$382)</f>
        <v/>
      </c>
      <c r="AH379">
        <f>IF([3]Issues!$D$382="","",[3]Issues!$D$382)</f>
        <v/>
      </c>
      <c r="AI379">
        <f>IF([3]Issues!$E$382="","",[3]Issues!$E$382)</f>
        <v/>
      </c>
      <c r="AJ379">
        <f>IF([2]Entry!$S$382="","",[2]Entry!$S$382)</f>
        <v/>
      </c>
      <c r="AK379">
        <f>IF([2]Entry!$C$382="","",[2]Entry!$C$382)</f>
        <v/>
      </c>
      <c r="AL379">
        <f>IF([2]Entry!$D$382="","",[2]Entry!$D$382)</f>
        <v/>
      </c>
      <c r="AM379">
        <f>IF(AND($F379&lt;&gt;"",$I379&lt;&gt;""),IF($G379="دارایی ثابت",1,0),0)</f>
        <v/>
      </c>
      <c r="AN379">
        <f>SUM($AM$6:$AM379)</f>
        <v/>
      </c>
      <c r="AO379">
        <f>IFERROR(INDEX($F$6:$F$565,MATCH(ROW()-5,$AN$6:$AN$565,0)),"")</f>
        <v/>
      </c>
      <c r="AP379">
        <f>IF(AND($F379&lt;&gt;"",$I379&lt;&gt;""),IF($G379="وام و تسهیلات",1,0),0)</f>
        <v/>
      </c>
      <c r="AQ379">
        <f>SUM($AP$6:$AP379)</f>
        <v/>
      </c>
      <c r="AR379">
        <f>IFERROR(INDEX($F$6:$F$565,MATCH(ROW()-5,$AQ$6:$AQ$565,0)),"")</f>
        <v/>
      </c>
      <c r="AS379">
        <f>IF(AND($F379&lt;&gt;"",$I379&lt;&gt;""),IF($G379="سرمایه و آورده صاحبان",1,0),0)</f>
        <v/>
      </c>
      <c r="AT379">
        <f>SUM($AS$6:$AS379)</f>
        <v/>
      </c>
      <c r="AU379">
        <f>IFERROR(INDEX($F$6:$F$565,MATCH(ROW()-5,$AT$6:$AT$565,0)),"")</f>
        <v/>
      </c>
      <c r="AW379">
        <f>IF([3]Issues!$C$382="","",[3]Issues!$C$382)</f>
        <v/>
      </c>
      <c r="AX379">
        <f>IF([4]Entry!$E$382="","",[4]Entry!$E$382)</f>
        <v/>
      </c>
      <c r="AY379">
        <f>IF([4]Entry!$H$382="","",[4]Entry!$H$382)</f>
        <v/>
      </c>
      <c r="AZ379">
        <f>IF([4]Entry!$I$382="","",[4]Entry!$I$382)</f>
        <v/>
      </c>
    </row>
    <row r="380">
      <c r="F380">
        <f>IF([1]Accounts!$D$381="","",[1]Accounts!$A$381)</f>
        <v/>
      </c>
      <c r="G380">
        <f>IF([1]Accounts!$D$381="","",[1]Accounts!$B$381)</f>
        <v/>
      </c>
      <c r="H380">
        <f>IF([1]Accounts!$D$381="","",[1]Accounts!$C$381)</f>
        <v/>
      </c>
      <c r="I380">
        <f>IF([1]Accounts!$D$381="","",[1]Accounts!$D$381)</f>
        <v/>
      </c>
      <c r="R380">
        <f>IF(AND($F380&lt;&gt;"",$I380&lt;&gt;""),IF(OR($G380="دارایی ثابت",$G380="وام و تسهیلات",$G380="سرمایه و آورده صاحبان"),0,1),0)</f>
        <v/>
      </c>
      <c r="S380">
        <f>SUM($R$6:$R380)</f>
        <v/>
      </c>
      <c r="T380">
        <f>IFERROR(INDEX($F$6:$F$565,MATCH(ROW()-5,$S$6:$S$565,0)),"")</f>
        <v/>
      </c>
      <c r="Z380">
        <f>IF([2]Entry!$E$383="","",[2]Entry!$E$383)</f>
        <v/>
      </c>
      <c r="AA380">
        <f>IF([2]Entry!$G$383="","",[2]Entry!$G$383)</f>
        <v/>
      </c>
      <c r="AB380">
        <f>IF([2]Entry!$J$383="","",[2]Entry!$J$383)</f>
        <v/>
      </c>
      <c r="AC380">
        <f>IF([2]Entry!$K$383="","",[2]Entry!$K$383)</f>
        <v/>
      </c>
      <c r="AD380">
        <f>IF([2]Entry!$L$383="","",[2]Entry!$L$383)</f>
        <v/>
      </c>
      <c r="AE380">
        <f>IF([2]Entry!$M$383="","",[2]Entry!$M$383)</f>
        <v/>
      </c>
      <c r="AF380">
        <f>IF([2]Entry!$N$383="","",[2]Entry!$N$383)</f>
        <v/>
      </c>
      <c r="AG380">
        <f>IF([3]Issues!$B$383="","",[3]Issues!$B$383)</f>
        <v/>
      </c>
      <c r="AH380">
        <f>IF([3]Issues!$D$383="","",[3]Issues!$D$383)</f>
        <v/>
      </c>
      <c r="AI380">
        <f>IF([3]Issues!$E$383="","",[3]Issues!$E$383)</f>
        <v/>
      </c>
      <c r="AJ380">
        <f>IF([2]Entry!$S$383="","",[2]Entry!$S$383)</f>
        <v/>
      </c>
      <c r="AK380">
        <f>IF([2]Entry!$C$383="","",[2]Entry!$C$383)</f>
        <v/>
      </c>
      <c r="AL380">
        <f>IF([2]Entry!$D$383="","",[2]Entry!$D$383)</f>
        <v/>
      </c>
      <c r="AM380">
        <f>IF(AND($F380&lt;&gt;"",$I380&lt;&gt;""),IF($G380="دارایی ثابت",1,0),0)</f>
        <v/>
      </c>
      <c r="AN380">
        <f>SUM($AM$6:$AM380)</f>
        <v/>
      </c>
      <c r="AO380">
        <f>IFERROR(INDEX($F$6:$F$565,MATCH(ROW()-5,$AN$6:$AN$565,0)),"")</f>
        <v/>
      </c>
      <c r="AP380">
        <f>IF(AND($F380&lt;&gt;"",$I380&lt;&gt;""),IF($G380="وام و تسهیلات",1,0),0)</f>
        <v/>
      </c>
      <c r="AQ380">
        <f>SUM($AP$6:$AP380)</f>
        <v/>
      </c>
      <c r="AR380">
        <f>IFERROR(INDEX($F$6:$F$565,MATCH(ROW()-5,$AQ$6:$AQ$565,0)),"")</f>
        <v/>
      </c>
      <c r="AS380">
        <f>IF(AND($F380&lt;&gt;"",$I380&lt;&gt;""),IF($G380="سرمایه و آورده صاحبان",1,0),0)</f>
        <v/>
      </c>
      <c r="AT380">
        <f>SUM($AS$6:$AS380)</f>
        <v/>
      </c>
      <c r="AU380">
        <f>IFERROR(INDEX($F$6:$F$565,MATCH(ROW()-5,$AT$6:$AT$565,0)),"")</f>
        <v/>
      </c>
      <c r="AW380">
        <f>IF([3]Issues!$C$383="","",[3]Issues!$C$383)</f>
        <v/>
      </c>
      <c r="AX380">
        <f>IF([4]Entry!$E$383="","",[4]Entry!$E$383)</f>
        <v/>
      </c>
      <c r="AY380">
        <f>IF([4]Entry!$H$383="","",[4]Entry!$H$383)</f>
        <v/>
      </c>
      <c r="AZ380">
        <f>IF([4]Entry!$I$383="","",[4]Entry!$I$383)</f>
        <v/>
      </c>
    </row>
    <row r="381">
      <c r="F381">
        <f>IF([1]Accounts!$D$382="","",[1]Accounts!$A$382)</f>
        <v/>
      </c>
      <c r="G381">
        <f>IF([1]Accounts!$D$382="","",[1]Accounts!$B$382)</f>
        <v/>
      </c>
      <c r="H381">
        <f>IF([1]Accounts!$D$382="","",[1]Accounts!$C$382)</f>
        <v/>
      </c>
      <c r="I381">
        <f>IF([1]Accounts!$D$382="","",[1]Accounts!$D$382)</f>
        <v/>
      </c>
      <c r="R381">
        <f>IF(AND($F381&lt;&gt;"",$I381&lt;&gt;""),IF(OR($G381="دارایی ثابت",$G381="وام و تسهیلات",$G381="سرمایه و آورده صاحبان"),0,1),0)</f>
        <v/>
      </c>
      <c r="S381">
        <f>SUM($R$6:$R381)</f>
        <v/>
      </c>
      <c r="T381">
        <f>IFERROR(INDEX($F$6:$F$565,MATCH(ROW()-5,$S$6:$S$565,0)),"")</f>
        <v/>
      </c>
      <c r="Z381">
        <f>IF([2]Entry!$E$384="","",[2]Entry!$E$384)</f>
        <v/>
      </c>
      <c r="AA381">
        <f>IF([2]Entry!$G$384="","",[2]Entry!$G$384)</f>
        <v/>
      </c>
      <c r="AB381">
        <f>IF([2]Entry!$J$384="","",[2]Entry!$J$384)</f>
        <v/>
      </c>
      <c r="AC381">
        <f>IF([2]Entry!$K$384="","",[2]Entry!$K$384)</f>
        <v/>
      </c>
      <c r="AD381">
        <f>IF([2]Entry!$L$384="","",[2]Entry!$L$384)</f>
        <v/>
      </c>
      <c r="AE381">
        <f>IF([2]Entry!$M$384="","",[2]Entry!$M$384)</f>
        <v/>
      </c>
      <c r="AF381">
        <f>IF([2]Entry!$N$384="","",[2]Entry!$N$384)</f>
        <v/>
      </c>
      <c r="AG381">
        <f>IF([3]Issues!$B$384="","",[3]Issues!$B$384)</f>
        <v/>
      </c>
      <c r="AH381">
        <f>IF([3]Issues!$D$384="","",[3]Issues!$D$384)</f>
        <v/>
      </c>
      <c r="AI381">
        <f>IF([3]Issues!$E$384="","",[3]Issues!$E$384)</f>
        <v/>
      </c>
      <c r="AJ381">
        <f>IF([2]Entry!$S$384="","",[2]Entry!$S$384)</f>
        <v/>
      </c>
      <c r="AK381">
        <f>IF([2]Entry!$C$384="","",[2]Entry!$C$384)</f>
        <v/>
      </c>
      <c r="AL381">
        <f>IF([2]Entry!$D$384="","",[2]Entry!$D$384)</f>
        <v/>
      </c>
      <c r="AM381">
        <f>IF(AND($F381&lt;&gt;"",$I381&lt;&gt;""),IF($G381="دارایی ثابت",1,0),0)</f>
        <v/>
      </c>
      <c r="AN381">
        <f>SUM($AM$6:$AM381)</f>
        <v/>
      </c>
      <c r="AO381">
        <f>IFERROR(INDEX($F$6:$F$565,MATCH(ROW()-5,$AN$6:$AN$565,0)),"")</f>
        <v/>
      </c>
      <c r="AP381">
        <f>IF(AND($F381&lt;&gt;"",$I381&lt;&gt;""),IF($G381="وام و تسهیلات",1,0),0)</f>
        <v/>
      </c>
      <c r="AQ381">
        <f>SUM($AP$6:$AP381)</f>
        <v/>
      </c>
      <c r="AR381">
        <f>IFERROR(INDEX($F$6:$F$565,MATCH(ROW()-5,$AQ$6:$AQ$565,0)),"")</f>
        <v/>
      </c>
      <c r="AS381">
        <f>IF(AND($F381&lt;&gt;"",$I381&lt;&gt;""),IF($G381="سرمایه و آورده صاحبان",1,0),0)</f>
        <v/>
      </c>
      <c r="AT381">
        <f>SUM($AS$6:$AS381)</f>
        <v/>
      </c>
      <c r="AU381">
        <f>IFERROR(INDEX($F$6:$F$565,MATCH(ROW()-5,$AT$6:$AT$565,0)),"")</f>
        <v/>
      </c>
      <c r="AW381">
        <f>IF([3]Issues!$C$384="","",[3]Issues!$C$384)</f>
        <v/>
      </c>
      <c r="AX381">
        <f>IF([4]Entry!$E$384="","",[4]Entry!$E$384)</f>
        <v/>
      </c>
      <c r="AY381">
        <f>IF([4]Entry!$H$384="","",[4]Entry!$H$384)</f>
        <v/>
      </c>
      <c r="AZ381">
        <f>IF([4]Entry!$I$384="","",[4]Entry!$I$384)</f>
        <v/>
      </c>
    </row>
    <row r="382">
      <c r="F382">
        <f>IF([1]Accounts!$D$383="","",[1]Accounts!$A$383)</f>
        <v/>
      </c>
      <c r="G382">
        <f>IF([1]Accounts!$D$383="","",[1]Accounts!$B$383)</f>
        <v/>
      </c>
      <c r="H382">
        <f>IF([1]Accounts!$D$383="","",[1]Accounts!$C$383)</f>
        <v/>
      </c>
      <c r="I382">
        <f>IF([1]Accounts!$D$383="","",[1]Accounts!$D$383)</f>
        <v/>
      </c>
      <c r="R382">
        <f>IF(AND($F382&lt;&gt;"",$I382&lt;&gt;""),IF(OR($G382="دارایی ثابت",$G382="وام و تسهیلات",$G382="سرمایه و آورده صاحبان"),0,1),0)</f>
        <v/>
      </c>
      <c r="S382">
        <f>SUM($R$6:$R382)</f>
        <v/>
      </c>
      <c r="T382">
        <f>IFERROR(INDEX($F$6:$F$565,MATCH(ROW()-5,$S$6:$S$565,0)),"")</f>
        <v/>
      </c>
      <c r="Z382">
        <f>IF([2]Entry!$E$385="","",[2]Entry!$E$385)</f>
        <v/>
      </c>
      <c r="AA382">
        <f>IF([2]Entry!$G$385="","",[2]Entry!$G$385)</f>
        <v/>
      </c>
      <c r="AB382">
        <f>IF([2]Entry!$J$385="","",[2]Entry!$J$385)</f>
        <v/>
      </c>
      <c r="AC382">
        <f>IF([2]Entry!$K$385="","",[2]Entry!$K$385)</f>
        <v/>
      </c>
      <c r="AD382">
        <f>IF([2]Entry!$L$385="","",[2]Entry!$L$385)</f>
        <v/>
      </c>
      <c r="AE382">
        <f>IF([2]Entry!$M$385="","",[2]Entry!$M$385)</f>
        <v/>
      </c>
      <c r="AF382">
        <f>IF([2]Entry!$N$385="","",[2]Entry!$N$385)</f>
        <v/>
      </c>
      <c r="AG382">
        <f>IF([3]Issues!$B$385="","",[3]Issues!$B$385)</f>
        <v/>
      </c>
      <c r="AH382">
        <f>IF([3]Issues!$D$385="","",[3]Issues!$D$385)</f>
        <v/>
      </c>
      <c r="AI382">
        <f>IF([3]Issues!$E$385="","",[3]Issues!$E$385)</f>
        <v/>
      </c>
      <c r="AJ382">
        <f>IF([2]Entry!$S$385="","",[2]Entry!$S$385)</f>
        <v/>
      </c>
      <c r="AK382">
        <f>IF([2]Entry!$C$385="","",[2]Entry!$C$385)</f>
        <v/>
      </c>
      <c r="AL382">
        <f>IF([2]Entry!$D$385="","",[2]Entry!$D$385)</f>
        <v/>
      </c>
      <c r="AM382">
        <f>IF(AND($F382&lt;&gt;"",$I382&lt;&gt;""),IF($G382="دارایی ثابت",1,0),0)</f>
        <v/>
      </c>
      <c r="AN382">
        <f>SUM($AM$6:$AM382)</f>
        <v/>
      </c>
      <c r="AO382">
        <f>IFERROR(INDEX($F$6:$F$565,MATCH(ROW()-5,$AN$6:$AN$565,0)),"")</f>
        <v/>
      </c>
      <c r="AP382">
        <f>IF(AND($F382&lt;&gt;"",$I382&lt;&gt;""),IF($G382="وام و تسهیلات",1,0),0)</f>
        <v/>
      </c>
      <c r="AQ382">
        <f>SUM($AP$6:$AP382)</f>
        <v/>
      </c>
      <c r="AR382">
        <f>IFERROR(INDEX($F$6:$F$565,MATCH(ROW()-5,$AQ$6:$AQ$565,0)),"")</f>
        <v/>
      </c>
      <c r="AS382">
        <f>IF(AND($F382&lt;&gt;"",$I382&lt;&gt;""),IF($G382="سرمایه و آورده صاحبان",1,0),0)</f>
        <v/>
      </c>
      <c r="AT382">
        <f>SUM($AS$6:$AS382)</f>
        <v/>
      </c>
      <c r="AU382">
        <f>IFERROR(INDEX($F$6:$F$565,MATCH(ROW()-5,$AT$6:$AT$565,0)),"")</f>
        <v/>
      </c>
      <c r="AW382">
        <f>IF([3]Issues!$C$385="","",[3]Issues!$C$385)</f>
        <v/>
      </c>
      <c r="AX382">
        <f>IF([4]Entry!$E$385="","",[4]Entry!$E$385)</f>
        <v/>
      </c>
      <c r="AY382">
        <f>IF([4]Entry!$H$385="","",[4]Entry!$H$385)</f>
        <v/>
      </c>
      <c r="AZ382">
        <f>IF([4]Entry!$I$385="","",[4]Entry!$I$385)</f>
        <v/>
      </c>
    </row>
    <row r="383">
      <c r="F383">
        <f>IF([1]Accounts!$D$384="","",[1]Accounts!$A$384)</f>
        <v/>
      </c>
      <c r="G383">
        <f>IF([1]Accounts!$D$384="","",[1]Accounts!$B$384)</f>
        <v/>
      </c>
      <c r="H383">
        <f>IF([1]Accounts!$D$384="","",[1]Accounts!$C$384)</f>
        <v/>
      </c>
      <c r="I383">
        <f>IF([1]Accounts!$D$384="","",[1]Accounts!$D$384)</f>
        <v/>
      </c>
      <c r="R383">
        <f>IF(AND($F383&lt;&gt;"",$I383&lt;&gt;""),IF(OR($G383="دارایی ثابت",$G383="وام و تسهیلات",$G383="سرمایه و آورده صاحبان"),0,1),0)</f>
        <v/>
      </c>
      <c r="S383">
        <f>SUM($R$6:$R383)</f>
        <v/>
      </c>
      <c r="T383">
        <f>IFERROR(INDEX($F$6:$F$565,MATCH(ROW()-5,$S$6:$S$565,0)),"")</f>
        <v/>
      </c>
      <c r="Z383">
        <f>IF([2]Entry!$E$386="","",[2]Entry!$E$386)</f>
        <v/>
      </c>
      <c r="AA383">
        <f>IF([2]Entry!$G$386="","",[2]Entry!$G$386)</f>
        <v/>
      </c>
      <c r="AB383">
        <f>IF([2]Entry!$J$386="","",[2]Entry!$J$386)</f>
        <v/>
      </c>
      <c r="AC383">
        <f>IF([2]Entry!$K$386="","",[2]Entry!$K$386)</f>
        <v/>
      </c>
      <c r="AD383">
        <f>IF([2]Entry!$L$386="","",[2]Entry!$L$386)</f>
        <v/>
      </c>
      <c r="AE383">
        <f>IF([2]Entry!$M$386="","",[2]Entry!$M$386)</f>
        <v/>
      </c>
      <c r="AF383">
        <f>IF([2]Entry!$N$386="","",[2]Entry!$N$386)</f>
        <v/>
      </c>
      <c r="AG383">
        <f>IF([3]Issues!$B$386="","",[3]Issues!$B$386)</f>
        <v/>
      </c>
      <c r="AH383">
        <f>IF([3]Issues!$D$386="","",[3]Issues!$D$386)</f>
        <v/>
      </c>
      <c r="AI383">
        <f>IF([3]Issues!$E$386="","",[3]Issues!$E$386)</f>
        <v/>
      </c>
      <c r="AJ383">
        <f>IF([2]Entry!$S$386="","",[2]Entry!$S$386)</f>
        <v/>
      </c>
      <c r="AK383">
        <f>IF([2]Entry!$C$386="","",[2]Entry!$C$386)</f>
        <v/>
      </c>
      <c r="AL383">
        <f>IF([2]Entry!$D$386="","",[2]Entry!$D$386)</f>
        <v/>
      </c>
      <c r="AM383">
        <f>IF(AND($F383&lt;&gt;"",$I383&lt;&gt;""),IF($G383="دارایی ثابت",1,0),0)</f>
        <v/>
      </c>
      <c r="AN383">
        <f>SUM($AM$6:$AM383)</f>
        <v/>
      </c>
      <c r="AO383">
        <f>IFERROR(INDEX($F$6:$F$565,MATCH(ROW()-5,$AN$6:$AN$565,0)),"")</f>
        <v/>
      </c>
      <c r="AP383">
        <f>IF(AND($F383&lt;&gt;"",$I383&lt;&gt;""),IF($G383="وام و تسهیلات",1,0),0)</f>
        <v/>
      </c>
      <c r="AQ383">
        <f>SUM($AP$6:$AP383)</f>
        <v/>
      </c>
      <c r="AR383">
        <f>IFERROR(INDEX($F$6:$F$565,MATCH(ROW()-5,$AQ$6:$AQ$565,0)),"")</f>
        <v/>
      </c>
      <c r="AS383">
        <f>IF(AND($F383&lt;&gt;"",$I383&lt;&gt;""),IF($G383="سرمایه و آورده صاحبان",1,0),0)</f>
        <v/>
      </c>
      <c r="AT383">
        <f>SUM($AS$6:$AS383)</f>
        <v/>
      </c>
      <c r="AU383">
        <f>IFERROR(INDEX($F$6:$F$565,MATCH(ROW()-5,$AT$6:$AT$565,0)),"")</f>
        <v/>
      </c>
      <c r="AW383">
        <f>IF([3]Issues!$C$386="","",[3]Issues!$C$386)</f>
        <v/>
      </c>
      <c r="AX383">
        <f>IF([4]Entry!$E$386="","",[4]Entry!$E$386)</f>
        <v/>
      </c>
      <c r="AY383">
        <f>IF([4]Entry!$H$386="","",[4]Entry!$H$386)</f>
        <v/>
      </c>
      <c r="AZ383">
        <f>IF([4]Entry!$I$386="","",[4]Entry!$I$386)</f>
        <v/>
      </c>
    </row>
    <row r="384">
      <c r="F384">
        <f>IF([1]Accounts!$D$385="","",[1]Accounts!$A$385)</f>
        <v/>
      </c>
      <c r="G384">
        <f>IF([1]Accounts!$D$385="","",[1]Accounts!$B$385)</f>
        <v/>
      </c>
      <c r="H384">
        <f>IF([1]Accounts!$D$385="","",[1]Accounts!$C$385)</f>
        <v/>
      </c>
      <c r="I384">
        <f>IF([1]Accounts!$D$385="","",[1]Accounts!$D$385)</f>
        <v/>
      </c>
      <c r="R384">
        <f>IF(AND($F384&lt;&gt;"",$I384&lt;&gt;""),IF(OR($G384="دارایی ثابت",$G384="وام و تسهیلات",$G384="سرمایه و آورده صاحبان"),0,1),0)</f>
        <v/>
      </c>
      <c r="S384">
        <f>SUM($R$6:$R384)</f>
        <v/>
      </c>
      <c r="T384">
        <f>IFERROR(INDEX($F$6:$F$565,MATCH(ROW()-5,$S$6:$S$565,0)),"")</f>
        <v/>
      </c>
      <c r="Z384">
        <f>IF([2]Entry!$E$387="","",[2]Entry!$E$387)</f>
        <v/>
      </c>
      <c r="AA384">
        <f>IF([2]Entry!$G$387="","",[2]Entry!$G$387)</f>
        <v/>
      </c>
      <c r="AB384">
        <f>IF([2]Entry!$J$387="","",[2]Entry!$J$387)</f>
        <v/>
      </c>
      <c r="AC384">
        <f>IF([2]Entry!$K$387="","",[2]Entry!$K$387)</f>
        <v/>
      </c>
      <c r="AD384">
        <f>IF([2]Entry!$L$387="","",[2]Entry!$L$387)</f>
        <v/>
      </c>
      <c r="AE384">
        <f>IF([2]Entry!$M$387="","",[2]Entry!$M$387)</f>
        <v/>
      </c>
      <c r="AF384">
        <f>IF([2]Entry!$N$387="","",[2]Entry!$N$387)</f>
        <v/>
      </c>
      <c r="AG384">
        <f>IF([3]Issues!$B$387="","",[3]Issues!$B$387)</f>
        <v/>
      </c>
      <c r="AH384">
        <f>IF([3]Issues!$D$387="","",[3]Issues!$D$387)</f>
        <v/>
      </c>
      <c r="AI384">
        <f>IF([3]Issues!$E$387="","",[3]Issues!$E$387)</f>
        <v/>
      </c>
      <c r="AJ384">
        <f>IF([2]Entry!$S$387="","",[2]Entry!$S$387)</f>
        <v/>
      </c>
      <c r="AK384">
        <f>IF([2]Entry!$C$387="","",[2]Entry!$C$387)</f>
        <v/>
      </c>
      <c r="AL384">
        <f>IF([2]Entry!$D$387="","",[2]Entry!$D$387)</f>
        <v/>
      </c>
      <c r="AM384">
        <f>IF(AND($F384&lt;&gt;"",$I384&lt;&gt;""),IF($G384="دارایی ثابت",1,0),0)</f>
        <v/>
      </c>
      <c r="AN384">
        <f>SUM($AM$6:$AM384)</f>
        <v/>
      </c>
      <c r="AO384">
        <f>IFERROR(INDEX($F$6:$F$565,MATCH(ROW()-5,$AN$6:$AN$565,0)),"")</f>
        <v/>
      </c>
      <c r="AP384">
        <f>IF(AND($F384&lt;&gt;"",$I384&lt;&gt;""),IF($G384="وام و تسهیلات",1,0),0)</f>
        <v/>
      </c>
      <c r="AQ384">
        <f>SUM($AP$6:$AP384)</f>
        <v/>
      </c>
      <c r="AR384">
        <f>IFERROR(INDEX($F$6:$F$565,MATCH(ROW()-5,$AQ$6:$AQ$565,0)),"")</f>
        <v/>
      </c>
      <c r="AS384">
        <f>IF(AND($F384&lt;&gt;"",$I384&lt;&gt;""),IF($G384="سرمایه و آورده صاحبان",1,0),0)</f>
        <v/>
      </c>
      <c r="AT384">
        <f>SUM($AS$6:$AS384)</f>
        <v/>
      </c>
      <c r="AU384">
        <f>IFERROR(INDEX($F$6:$F$565,MATCH(ROW()-5,$AT$6:$AT$565,0)),"")</f>
        <v/>
      </c>
      <c r="AW384">
        <f>IF([3]Issues!$C$387="","",[3]Issues!$C$387)</f>
        <v/>
      </c>
      <c r="AX384">
        <f>IF([4]Entry!$E$387="","",[4]Entry!$E$387)</f>
        <v/>
      </c>
      <c r="AY384">
        <f>IF([4]Entry!$H$387="","",[4]Entry!$H$387)</f>
        <v/>
      </c>
      <c r="AZ384">
        <f>IF([4]Entry!$I$387="","",[4]Entry!$I$387)</f>
        <v/>
      </c>
    </row>
    <row r="385">
      <c r="F385">
        <f>IF([1]Accounts!$D$386="","",[1]Accounts!$A$386)</f>
        <v/>
      </c>
      <c r="G385">
        <f>IF([1]Accounts!$D$386="","",[1]Accounts!$B$386)</f>
        <v/>
      </c>
      <c r="H385">
        <f>IF([1]Accounts!$D$386="","",[1]Accounts!$C$386)</f>
        <v/>
      </c>
      <c r="I385">
        <f>IF([1]Accounts!$D$386="","",[1]Accounts!$D$386)</f>
        <v/>
      </c>
      <c r="R385">
        <f>IF(AND($F385&lt;&gt;"",$I385&lt;&gt;""),IF(OR($G385="دارایی ثابت",$G385="وام و تسهیلات",$G385="سرمایه و آورده صاحبان"),0,1),0)</f>
        <v/>
      </c>
      <c r="S385">
        <f>SUM($R$6:$R385)</f>
        <v/>
      </c>
      <c r="T385">
        <f>IFERROR(INDEX($F$6:$F$565,MATCH(ROW()-5,$S$6:$S$565,0)),"")</f>
        <v/>
      </c>
      <c r="Z385">
        <f>IF([2]Entry!$E$388="","",[2]Entry!$E$388)</f>
        <v/>
      </c>
      <c r="AA385">
        <f>IF([2]Entry!$G$388="","",[2]Entry!$G$388)</f>
        <v/>
      </c>
      <c r="AB385">
        <f>IF([2]Entry!$J$388="","",[2]Entry!$J$388)</f>
        <v/>
      </c>
      <c r="AC385">
        <f>IF([2]Entry!$K$388="","",[2]Entry!$K$388)</f>
        <v/>
      </c>
      <c r="AD385">
        <f>IF([2]Entry!$L$388="","",[2]Entry!$L$388)</f>
        <v/>
      </c>
      <c r="AE385">
        <f>IF([2]Entry!$M$388="","",[2]Entry!$M$388)</f>
        <v/>
      </c>
      <c r="AF385">
        <f>IF([2]Entry!$N$388="","",[2]Entry!$N$388)</f>
        <v/>
      </c>
      <c r="AG385">
        <f>IF([3]Issues!$B$388="","",[3]Issues!$B$388)</f>
        <v/>
      </c>
      <c r="AH385">
        <f>IF([3]Issues!$D$388="","",[3]Issues!$D$388)</f>
        <v/>
      </c>
      <c r="AI385">
        <f>IF([3]Issues!$E$388="","",[3]Issues!$E$388)</f>
        <v/>
      </c>
      <c r="AJ385">
        <f>IF([2]Entry!$S$388="","",[2]Entry!$S$388)</f>
        <v/>
      </c>
      <c r="AK385">
        <f>IF([2]Entry!$C$388="","",[2]Entry!$C$388)</f>
        <v/>
      </c>
      <c r="AL385">
        <f>IF([2]Entry!$D$388="","",[2]Entry!$D$388)</f>
        <v/>
      </c>
      <c r="AM385">
        <f>IF(AND($F385&lt;&gt;"",$I385&lt;&gt;""),IF($G385="دارایی ثابت",1,0),0)</f>
        <v/>
      </c>
      <c r="AN385">
        <f>SUM($AM$6:$AM385)</f>
        <v/>
      </c>
      <c r="AO385">
        <f>IFERROR(INDEX($F$6:$F$565,MATCH(ROW()-5,$AN$6:$AN$565,0)),"")</f>
        <v/>
      </c>
      <c r="AP385">
        <f>IF(AND($F385&lt;&gt;"",$I385&lt;&gt;""),IF($G385="وام و تسهیلات",1,0),0)</f>
        <v/>
      </c>
      <c r="AQ385">
        <f>SUM($AP$6:$AP385)</f>
        <v/>
      </c>
      <c r="AR385">
        <f>IFERROR(INDEX($F$6:$F$565,MATCH(ROW()-5,$AQ$6:$AQ$565,0)),"")</f>
        <v/>
      </c>
      <c r="AS385">
        <f>IF(AND($F385&lt;&gt;"",$I385&lt;&gt;""),IF($G385="سرمایه و آورده صاحبان",1,0),0)</f>
        <v/>
      </c>
      <c r="AT385">
        <f>SUM($AS$6:$AS385)</f>
        <v/>
      </c>
      <c r="AU385">
        <f>IFERROR(INDEX($F$6:$F$565,MATCH(ROW()-5,$AT$6:$AT$565,0)),"")</f>
        <v/>
      </c>
      <c r="AW385">
        <f>IF([3]Issues!$C$388="","",[3]Issues!$C$388)</f>
        <v/>
      </c>
      <c r="AX385">
        <f>IF([4]Entry!$E$388="","",[4]Entry!$E$388)</f>
        <v/>
      </c>
      <c r="AY385">
        <f>IF([4]Entry!$H$388="","",[4]Entry!$H$388)</f>
        <v/>
      </c>
      <c r="AZ385">
        <f>IF([4]Entry!$I$388="","",[4]Entry!$I$388)</f>
        <v/>
      </c>
    </row>
    <row r="386">
      <c r="F386">
        <f>IF([1]Accounts!$D$387="","",[1]Accounts!$A$387)</f>
        <v/>
      </c>
      <c r="G386">
        <f>IF([1]Accounts!$D$387="","",[1]Accounts!$B$387)</f>
        <v/>
      </c>
      <c r="H386">
        <f>IF([1]Accounts!$D$387="","",[1]Accounts!$C$387)</f>
        <v/>
      </c>
      <c r="I386">
        <f>IF([1]Accounts!$D$387="","",[1]Accounts!$D$387)</f>
        <v/>
      </c>
      <c r="R386">
        <f>IF(AND($F386&lt;&gt;"",$I386&lt;&gt;""),IF(OR($G386="دارایی ثابت",$G386="وام و تسهیلات",$G386="سرمایه و آورده صاحبان"),0,1),0)</f>
        <v/>
      </c>
      <c r="S386">
        <f>SUM($R$6:$R386)</f>
        <v/>
      </c>
      <c r="T386">
        <f>IFERROR(INDEX($F$6:$F$565,MATCH(ROW()-5,$S$6:$S$565,0)),"")</f>
        <v/>
      </c>
      <c r="Z386">
        <f>IF([2]Entry!$E$389="","",[2]Entry!$E$389)</f>
        <v/>
      </c>
      <c r="AA386">
        <f>IF([2]Entry!$G$389="","",[2]Entry!$G$389)</f>
        <v/>
      </c>
      <c r="AB386">
        <f>IF([2]Entry!$J$389="","",[2]Entry!$J$389)</f>
        <v/>
      </c>
      <c r="AC386">
        <f>IF([2]Entry!$K$389="","",[2]Entry!$K$389)</f>
        <v/>
      </c>
      <c r="AD386">
        <f>IF([2]Entry!$L$389="","",[2]Entry!$L$389)</f>
        <v/>
      </c>
      <c r="AE386">
        <f>IF([2]Entry!$M$389="","",[2]Entry!$M$389)</f>
        <v/>
      </c>
      <c r="AF386">
        <f>IF([2]Entry!$N$389="","",[2]Entry!$N$389)</f>
        <v/>
      </c>
      <c r="AG386">
        <f>IF([3]Issues!$B$389="","",[3]Issues!$B$389)</f>
        <v/>
      </c>
      <c r="AH386">
        <f>IF([3]Issues!$D$389="","",[3]Issues!$D$389)</f>
        <v/>
      </c>
      <c r="AI386">
        <f>IF([3]Issues!$E$389="","",[3]Issues!$E$389)</f>
        <v/>
      </c>
      <c r="AJ386">
        <f>IF([2]Entry!$S$389="","",[2]Entry!$S$389)</f>
        <v/>
      </c>
      <c r="AK386">
        <f>IF([2]Entry!$C$389="","",[2]Entry!$C$389)</f>
        <v/>
      </c>
      <c r="AL386">
        <f>IF([2]Entry!$D$389="","",[2]Entry!$D$389)</f>
        <v/>
      </c>
      <c r="AM386">
        <f>IF(AND($F386&lt;&gt;"",$I386&lt;&gt;""),IF($G386="دارایی ثابت",1,0),0)</f>
        <v/>
      </c>
      <c r="AN386">
        <f>SUM($AM$6:$AM386)</f>
        <v/>
      </c>
      <c r="AO386">
        <f>IFERROR(INDEX($F$6:$F$565,MATCH(ROW()-5,$AN$6:$AN$565,0)),"")</f>
        <v/>
      </c>
      <c r="AP386">
        <f>IF(AND($F386&lt;&gt;"",$I386&lt;&gt;""),IF($G386="وام و تسهیلات",1,0),0)</f>
        <v/>
      </c>
      <c r="AQ386">
        <f>SUM($AP$6:$AP386)</f>
        <v/>
      </c>
      <c r="AR386">
        <f>IFERROR(INDEX($F$6:$F$565,MATCH(ROW()-5,$AQ$6:$AQ$565,0)),"")</f>
        <v/>
      </c>
      <c r="AS386">
        <f>IF(AND($F386&lt;&gt;"",$I386&lt;&gt;""),IF($G386="سرمایه و آورده صاحبان",1,0),0)</f>
        <v/>
      </c>
      <c r="AT386">
        <f>SUM($AS$6:$AS386)</f>
        <v/>
      </c>
      <c r="AU386">
        <f>IFERROR(INDEX($F$6:$F$565,MATCH(ROW()-5,$AT$6:$AT$565,0)),"")</f>
        <v/>
      </c>
      <c r="AW386">
        <f>IF([3]Issues!$C$389="","",[3]Issues!$C$389)</f>
        <v/>
      </c>
      <c r="AX386">
        <f>IF([4]Entry!$E$389="","",[4]Entry!$E$389)</f>
        <v/>
      </c>
      <c r="AY386">
        <f>IF([4]Entry!$H$389="","",[4]Entry!$H$389)</f>
        <v/>
      </c>
      <c r="AZ386">
        <f>IF([4]Entry!$I$389="","",[4]Entry!$I$389)</f>
        <v/>
      </c>
    </row>
    <row r="387">
      <c r="F387">
        <f>IF([1]Accounts!$D$388="","",[1]Accounts!$A$388)</f>
        <v/>
      </c>
      <c r="G387">
        <f>IF([1]Accounts!$D$388="","",[1]Accounts!$B$388)</f>
        <v/>
      </c>
      <c r="H387">
        <f>IF([1]Accounts!$D$388="","",[1]Accounts!$C$388)</f>
        <v/>
      </c>
      <c r="I387">
        <f>IF([1]Accounts!$D$388="","",[1]Accounts!$D$388)</f>
        <v/>
      </c>
      <c r="R387">
        <f>IF(AND($F387&lt;&gt;"",$I387&lt;&gt;""),IF(OR($G387="دارایی ثابت",$G387="وام و تسهیلات",$G387="سرمایه و آورده صاحبان"),0,1),0)</f>
        <v/>
      </c>
      <c r="S387">
        <f>SUM($R$6:$R387)</f>
        <v/>
      </c>
      <c r="T387">
        <f>IFERROR(INDEX($F$6:$F$565,MATCH(ROW()-5,$S$6:$S$565,0)),"")</f>
        <v/>
      </c>
      <c r="Z387">
        <f>IF([2]Entry!$E$390="","",[2]Entry!$E$390)</f>
        <v/>
      </c>
      <c r="AA387">
        <f>IF([2]Entry!$G$390="","",[2]Entry!$G$390)</f>
        <v/>
      </c>
      <c r="AB387">
        <f>IF([2]Entry!$J$390="","",[2]Entry!$J$390)</f>
        <v/>
      </c>
      <c r="AC387">
        <f>IF([2]Entry!$K$390="","",[2]Entry!$K$390)</f>
        <v/>
      </c>
      <c r="AD387">
        <f>IF([2]Entry!$L$390="","",[2]Entry!$L$390)</f>
        <v/>
      </c>
      <c r="AE387">
        <f>IF([2]Entry!$M$390="","",[2]Entry!$M$390)</f>
        <v/>
      </c>
      <c r="AF387">
        <f>IF([2]Entry!$N$390="","",[2]Entry!$N$390)</f>
        <v/>
      </c>
      <c r="AG387">
        <f>IF([3]Issues!$B$390="","",[3]Issues!$B$390)</f>
        <v/>
      </c>
      <c r="AH387">
        <f>IF([3]Issues!$D$390="","",[3]Issues!$D$390)</f>
        <v/>
      </c>
      <c r="AI387">
        <f>IF([3]Issues!$E$390="","",[3]Issues!$E$390)</f>
        <v/>
      </c>
      <c r="AJ387">
        <f>IF([2]Entry!$S$390="","",[2]Entry!$S$390)</f>
        <v/>
      </c>
      <c r="AK387">
        <f>IF([2]Entry!$C$390="","",[2]Entry!$C$390)</f>
        <v/>
      </c>
      <c r="AL387">
        <f>IF([2]Entry!$D$390="","",[2]Entry!$D$390)</f>
        <v/>
      </c>
      <c r="AM387">
        <f>IF(AND($F387&lt;&gt;"",$I387&lt;&gt;""),IF($G387="دارایی ثابت",1,0),0)</f>
        <v/>
      </c>
      <c r="AN387">
        <f>SUM($AM$6:$AM387)</f>
        <v/>
      </c>
      <c r="AO387">
        <f>IFERROR(INDEX($F$6:$F$565,MATCH(ROW()-5,$AN$6:$AN$565,0)),"")</f>
        <v/>
      </c>
      <c r="AP387">
        <f>IF(AND($F387&lt;&gt;"",$I387&lt;&gt;""),IF($G387="وام و تسهیلات",1,0),0)</f>
        <v/>
      </c>
      <c r="AQ387">
        <f>SUM($AP$6:$AP387)</f>
        <v/>
      </c>
      <c r="AR387">
        <f>IFERROR(INDEX($F$6:$F$565,MATCH(ROW()-5,$AQ$6:$AQ$565,0)),"")</f>
        <v/>
      </c>
      <c r="AS387">
        <f>IF(AND($F387&lt;&gt;"",$I387&lt;&gt;""),IF($G387="سرمایه و آورده صاحبان",1,0),0)</f>
        <v/>
      </c>
      <c r="AT387">
        <f>SUM($AS$6:$AS387)</f>
        <v/>
      </c>
      <c r="AU387">
        <f>IFERROR(INDEX($F$6:$F$565,MATCH(ROW()-5,$AT$6:$AT$565,0)),"")</f>
        <v/>
      </c>
      <c r="AW387">
        <f>IF([3]Issues!$C$390="","",[3]Issues!$C$390)</f>
        <v/>
      </c>
      <c r="AX387">
        <f>IF([4]Entry!$E$390="","",[4]Entry!$E$390)</f>
        <v/>
      </c>
      <c r="AY387">
        <f>IF([4]Entry!$H$390="","",[4]Entry!$H$390)</f>
        <v/>
      </c>
      <c r="AZ387">
        <f>IF([4]Entry!$I$390="","",[4]Entry!$I$390)</f>
        <v/>
      </c>
    </row>
    <row r="388">
      <c r="F388">
        <f>IF([1]Accounts!$D$389="","",[1]Accounts!$A$389)</f>
        <v/>
      </c>
      <c r="G388">
        <f>IF([1]Accounts!$D$389="","",[1]Accounts!$B$389)</f>
        <v/>
      </c>
      <c r="H388">
        <f>IF([1]Accounts!$D$389="","",[1]Accounts!$C$389)</f>
        <v/>
      </c>
      <c r="I388">
        <f>IF([1]Accounts!$D$389="","",[1]Accounts!$D$389)</f>
        <v/>
      </c>
      <c r="R388">
        <f>IF(AND($F388&lt;&gt;"",$I388&lt;&gt;""),IF(OR($G388="دارایی ثابت",$G388="وام و تسهیلات",$G388="سرمایه و آورده صاحبان"),0,1),0)</f>
        <v/>
      </c>
      <c r="S388">
        <f>SUM($R$6:$R388)</f>
        <v/>
      </c>
      <c r="T388">
        <f>IFERROR(INDEX($F$6:$F$565,MATCH(ROW()-5,$S$6:$S$565,0)),"")</f>
        <v/>
      </c>
      <c r="Z388">
        <f>IF([2]Entry!$E$391="","",[2]Entry!$E$391)</f>
        <v/>
      </c>
      <c r="AA388">
        <f>IF([2]Entry!$G$391="","",[2]Entry!$G$391)</f>
        <v/>
      </c>
      <c r="AB388">
        <f>IF([2]Entry!$J$391="","",[2]Entry!$J$391)</f>
        <v/>
      </c>
      <c r="AC388">
        <f>IF([2]Entry!$K$391="","",[2]Entry!$K$391)</f>
        <v/>
      </c>
      <c r="AD388">
        <f>IF([2]Entry!$L$391="","",[2]Entry!$L$391)</f>
        <v/>
      </c>
      <c r="AE388">
        <f>IF([2]Entry!$M$391="","",[2]Entry!$M$391)</f>
        <v/>
      </c>
      <c r="AF388">
        <f>IF([2]Entry!$N$391="","",[2]Entry!$N$391)</f>
        <v/>
      </c>
      <c r="AG388">
        <f>IF([3]Issues!$B$391="","",[3]Issues!$B$391)</f>
        <v/>
      </c>
      <c r="AH388">
        <f>IF([3]Issues!$D$391="","",[3]Issues!$D$391)</f>
        <v/>
      </c>
      <c r="AI388">
        <f>IF([3]Issues!$E$391="","",[3]Issues!$E$391)</f>
        <v/>
      </c>
      <c r="AJ388">
        <f>IF([2]Entry!$S$391="","",[2]Entry!$S$391)</f>
        <v/>
      </c>
      <c r="AK388">
        <f>IF([2]Entry!$C$391="","",[2]Entry!$C$391)</f>
        <v/>
      </c>
      <c r="AL388">
        <f>IF([2]Entry!$D$391="","",[2]Entry!$D$391)</f>
        <v/>
      </c>
      <c r="AM388">
        <f>IF(AND($F388&lt;&gt;"",$I388&lt;&gt;""),IF($G388="دارایی ثابت",1,0),0)</f>
        <v/>
      </c>
      <c r="AN388">
        <f>SUM($AM$6:$AM388)</f>
        <v/>
      </c>
      <c r="AO388">
        <f>IFERROR(INDEX($F$6:$F$565,MATCH(ROW()-5,$AN$6:$AN$565,0)),"")</f>
        <v/>
      </c>
      <c r="AP388">
        <f>IF(AND($F388&lt;&gt;"",$I388&lt;&gt;""),IF($G388="وام و تسهیلات",1,0),0)</f>
        <v/>
      </c>
      <c r="AQ388">
        <f>SUM($AP$6:$AP388)</f>
        <v/>
      </c>
      <c r="AR388">
        <f>IFERROR(INDEX($F$6:$F$565,MATCH(ROW()-5,$AQ$6:$AQ$565,0)),"")</f>
        <v/>
      </c>
      <c r="AS388">
        <f>IF(AND($F388&lt;&gt;"",$I388&lt;&gt;""),IF($G388="سرمایه و آورده صاحبان",1,0),0)</f>
        <v/>
      </c>
      <c r="AT388">
        <f>SUM($AS$6:$AS388)</f>
        <v/>
      </c>
      <c r="AU388">
        <f>IFERROR(INDEX($F$6:$F$565,MATCH(ROW()-5,$AT$6:$AT$565,0)),"")</f>
        <v/>
      </c>
      <c r="AW388">
        <f>IF([3]Issues!$C$391="","",[3]Issues!$C$391)</f>
        <v/>
      </c>
      <c r="AX388">
        <f>IF([4]Entry!$E$391="","",[4]Entry!$E$391)</f>
        <v/>
      </c>
      <c r="AY388">
        <f>IF([4]Entry!$H$391="","",[4]Entry!$H$391)</f>
        <v/>
      </c>
      <c r="AZ388">
        <f>IF([4]Entry!$I$391="","",[4]Entry!$I$391)</f>
        <v/>
      </c>
    </row>
    <row r="389">
      <c r="F389">
        <f>IF([1]Accounts!$D$390="","",[1]Accounts!$A$390)</f>
        <v/>
      </c>
      <c r="G389">
        <f>IF([1]Accounts!$D$390="","",[1]Accounts!$B$390)</f>
        <v/>
      </c>
      <c r="H389">
        <f>IF([1]Accounts!$D$390="","",[1]Accounts!$C$390)</f>
        <v/>
      </c>
      <c r="I389">
        <f>IF([1]Accounts!$D$390="","",[1]Accounts!$D$390)</f>
        <v/>
      </c>
      <c r="R389">
        <f>IF(AND($F389&lt;&gt;"",$I389&lt;&gt;""),IF(OR($G389="دارایی ثابت",$G389="وام و تسهیلات",$G389="سرمایه و آورده صاحبان"),0,1),0)</f>
        <v/>
      </c>
      <c r="S389">
        <f>SUM($R$6:$R389)</f>
        <v/>
      </c>
      <c r="T389">
        <f>IFERROR(INDEX($F$6:$F$565,MATCH(ROW()-5,$S$6:$S$565,0)),"")</f>
        <v/>
      </c>
      <c r="Z389">
        <f>IF([2]Entry!$E$392="","",[2]Entry!$E$392)</f>
        <v/>
      </c>
      <c r="AA389">
        <f>IF([2]Entry!$G$392="","",[2]Entry!$G$392)</f>
        <v/>
      </c>
      <c r="AB389">
        <f>IF([2]Entry!$J$392="","",[2]Entry!$J$392)</f>
        <v/>
      </c>
      <c r="AC389">
        <f>IF([2]Entry!$K$392="","",[2]Entry!$K$392)</f>
        <v/>
      </c>
      <c r="AD389">
        <f>IF([2]Entry!$L$392="","",[2]Entry!$L$392)</f>
        <v/>
      </c>
      <c r="AE389">
        <f>IF([2]Entry!$M$392="","",[2]Entry!$M$392)</f>
        <v/>
      </c>
      <c r="AF389">
        <f>IF([2]Entry!$N$392="","",[2]Entry!$N$392)</f>
        <v/>
      </c>
      <c r="AG389">
        <f>IF([3]Issues!$B$392="","",[3]Issues!$B$392)</f>
        <v/>
      </c>
      <c r="AH389">
        <f>IF([3]Issues!$D$392="","",[3]Issues!$D$392)</f>
        <v/>
      </c>
      <c r="AI389">
        <f>IF([3]Issues!$E$392="","",[3]Issues!$E$392)</f>
        <v/>
      </c>
      <c r="AJ389">
        <f>IF([2]Entry!$S$392="","",[2]Entry!$S$392)</f>
        <v/>
      </c>
      <c r="AK389">
        <f>IF([2]Entry!$C$392="","",[2]Entry!$C$392)</f>
        <v/>
      </c>
      <c r="AL389">
        <f>IF([2]Entry!$D$392="","",[2]Entry!$D$392)</f>
        <v/>
      </c>
      <c r="AM389">
        <f>IF(AND($F389&lt;&gt;"",$I389&lt;&gt;""),IF($G389="دارایی ثابت",1,0),0)</f>
        <v/>
      </c>
      <c r="AN389">
        <f>SUM($AM$6:$AM389)</f>
        <v/>
      </c>
      <c r="AO389">
        <f>IFERROR(INDEX($F$6:$F$565,MATCH(ROW()-5,$AN$6:$AN$565,0)),"")</f>
        <v/>
      </c>
      <c r="AP389">
        <f>IF(AND($F389&lt;&gt;"",$I389&lt;&gt;""),IF($G389="وام و تسهیلات",1,0),0)</f>
        <v/>
      </c>
      <c r="AQ389">
        <f>SUM($AP$6:$AP389)</f>
        <v/>
      </c>
      <c r="AR389">
        <f>IFERROR(INDEX($F$6:$F$565,MATCH(ROW()-5,$AQ$6:$AQ$565,0)),"")</f>
        <v/>
      </c>
      <c r="AS389">
        <f>IF(AND($F389&lt;&gt;"",$I389&lt;&gt;""),IF($G389="سرمایه و آورده صاحبان",1,0),0)</f>
        <v/>
      </c>
      <c r="AT389">
        <f>SUM($AS$6:$AS389)</f>
        <v/>
      </c>
      <c r="AU389">
        <f>IFERROR(INDEX($F$6:$F$565,MATCH(ROW()-5,$AT$6:$AT$565,0)),"")</f>
        <v/>
      </c>
      <c r="AW389">
        <f>IF([3]Issues!$C$392="","",[3]Issues!$C$392)</f>
        <v/>
      </c>
      <c r="AX389">
        <f>IF([4]Entry!$E$392="","",[4]Entry!$E$392)</f>
        <v/>
      </c>
      <c r="AY389">
        <f>IF([4]Entry!$H$392="","",[4]Entry!$H$392)</f>
        <v/>
      </c>
      <c r="AZ389">
        <f>IF([4]Entry!$I$392="","",[4]Entry!$I$392)</f>
        <v/>
      </c>
    </row>
    <row r="390">
      <c r="F390">
        <f>IF([1]Accounts!$D$391="","",[1]Accounts!$A$391)</f>
        <v/>
      </c>
      <c r="G390">
        <f>IF([1]Accounts!$D$391="","",[1]Accounts!$B$391)</f>
        <v/>
      </c>
      <c r="H390">
        <f>IF([1]Accounts!$D$391="","",[1]Accounts!$C$391)</f>
        <v/>
      </c>
      <c r="I390">
        <f>IF([1]Accounts!$D$391="","",[1]Accounts!$D$391)</f>
        <v/>
      </c>
      <c r="R390">
        <f>IF(AND($F390&lt;&gt;"",$I390&lt;&gt;""),IF(OR($G390="دارایی ثابت",$G390="وام و تسهیلات",$G390="سرمایه و آورده صاحبان"),0,1),0)</f>
        <v/>
      </c>
      <c r="S390">
        <f>SUM($R$6:$R390)</f>
        <v/>
      </c>
      <c r="T390">
        <f>IFERROR(INDEX($F$6:$F$565,MATCH(ROW()-5,$S$6:$S$565,0)),"")</f>
        <v/>
      </c>
      <c r="Z390">
        <f>IF([2]Entry!$E$393="","",[2]Entry!$E$393)</f>
        <v/>
      </c>
      <c r="AA390">
        <f>IF([2]Entry!$G$393="","",[2]Entry!$G$393)</f>
        <v/>
      </c>
      <c r="AB390">
        <f>IF([2]Entry!$J$393="","",[2]Entry!$J$393)</f>
        <v/>
      </c>
      <c r="AC390">
        <f>IF([2]Entry!$K$393="","",[2]Entry!$K$393)</f>
        <v/>
      </c>
      <c r="AD390">
        <f>IF([2]Entry!$L$393="","",[2]Entry!$L$393)</f>
        <v/>
      </c>
      <c r="AE390">
        <f>IF([2]Entry!$M$393="","",[2]Entry!$M$393)</f>
        <v/>
      </c>
      <c r="AF390">
        <f>IF([2]Entry!$N$393="","",[2]Entry!$N$393)</f>
        <v/>
      </c>
      <c r="AG390">
        <f>IF([3]Issues!$B$393="","",[3]Issues!$B$393)</f>
        <v/>
      </c>
      <c r="AH390">
        <f>IF([3]Issues!$D$393="","",[3]Issues!$D$393)</f>
        <v/>
      </c>
      <c r="AI390">
        <f>IF([3]Issues!$E$393="","",[3]Issues!$E$393)</f>
        <v/>
      </c>
      <c r="AJ390">
        <f>IF([2]Entry!$S$393="","",[2]Entry!$S$393)</f>
        <v/>
      </c>
      <c r="AK390">
        <f>IF([2]Entry!$C$393="","",[2]Entry!$C$393)</f>
        <v/>
      </c>
      <c r="AL390">
        <f>IF([2]Entry!$D$393="","",[2]Entry!$D$393)</f>
        <v/>
      </c>
      <c r="AM390">
        <f>IF(AND($F390&lt;&gt;"",$I390&lt;&gt;""),IF($G390="دارایی ثابت",1,0),0)</f>
        <v/>
      </c>
      <c r="AN390">
        <f>SUM($AM$6:$AM390)</f>
        <v/>
      </c>
      <c r="AO390">
        <f>IFERROR(INDEX($F$6:$F$565,MATCH(ROW()-5,$AN$6:$AN$565,0)),"")</f>
        <v/>
      </c>
      <c r="AP390">
        <f>IF(AND($F390&lt;&gt;"",$I390&lt;&gt;""),IF($G390="وام و تسهیلات",1,0),0)</f>
        <v/>
      </c>
      <c r="AQ390">
        <f>SUM($AP$6:$AP390)</f>
        <v/>
      </c>
      <c r="AR390">
        <f>IFERROR(INDEX($F$6:$F$565,MATCH(ROW()-5,$AQ$6:$AQ$565,0)),"")</f>
        <v/>
      </c>
      <c r="AS390">
        <f>IF(AND($F390&lt;&gt;"",$I390&lt;&gt;""),IF($G390="سرمایه و آورده صاحبان",1,0),0)</f>
        <v/>
      </c>
      <c r="AT390">
        <f>SUM($AS$6:$AS390)</f>
        <v/>
      </c>
      <c r="AU390">
        <f>IFERROR(INDEX($F$6:$F$565,MATCH(ROW()-5,$AT$6:$AT$565,0)),"")</f>
        <v/>
      </c>
      <c r="AW390">
        <f>IF([3]Issues!$C$393="","",[3]Issues!$C$393)</f>
        <v/>
      </c>
      <c r="AX390">
        <f>IF([4]Entry!$E$393="","",[4]Entry!$E$393)</f>
        <v/>
      </c>
      <c r="AY390">
        <f>IF([4]Entry!$H$393="","",[4]Entry!$H$393)</f>
        <v/>
      </c>
      <c r="AZ390">
        <f>IF([4]Entry!$I$393="","",[4]Entry!$I$393)</f>
        <v/>
      </c>
    </row>
    <row r="391">
      <c r="F391">
        <f>IF([1]Accounts!$D$392="","",[1]Accounts!$A$392)</f>
        <v/>
      </c>
      <c r="G391">
        <f>IF([1]Accounts!$D$392="","",[1]Accounts!$B$392)</f>
        <v/>
      </c>
      <c r="H391">
        <f>IF([1]Accounts!$D$392="","",[1]Accounts!$C$392)</f>
        <v/>
      </c>
      <c r="I391">
        <f>IF([1]Accounts!$D$392="","",[1]Accounts!$D$392)</f>
        <v/>
      </c>
      <c r="R391">
        <f>IF(AND($F391&lt;&gt;"",$I391&lt;&gt;""),IF(OR($G391="دارایی ثابت",$G391="وام و تسهیلات",$G391="سرمایه و آورده صاحبان"),0,1),0)</f>
        <v/>
      </c>
      <c r="S391">
        <f>SUM($R$6:$R391)</f>
        <v/>
      </c>
      <c r="T391">
        <f>IFERROR(INDEX($F$6:$F$565,MATCH(ROW()-5,$S$6:$S$565,0)),"")</f>
        <v/>
      </c>
      <c r="Z391">
        <f>IF([2]Entry!$E$394="","",[2]Entry!$E$394)</f>
        <v/>
      </c>
      <c r="AA391">
        <f>IF([2]Entry!$G$394="","",[2]Entry!$G$394)</f>
        <v/>
      </c>
      <c r="AB391">
        <f>IF([2]Entry!$J$394="","",[2]Entry!$J$394)</f>
        <v/>
      </c>
      <c r="AC391">
        <f>IF([2]Entry!$K$394="","",[2]Entry!$K$394)</f>
        <v/>
      </c>
      <c r="AD391">
        <f>IF([2]Entry!$L$394="","",[2]Entry!$L$394)</f>
        <v/>
      </c>
      <c r="AE391">
        <f>IF([2]Entry!$M$394="","",[2]Entry!$M$394)</f>
        <v/>
      </c>
      <c r="AF391">
        <f>IF([2]Entry!$N$394="","",[2]Entry!$N$394)</f>
        <v/>
      </c>
      <c r="AG391">
        <f>IF([3]Issues!$B$394="","",[3]Issues!$B$394)</f>
        <v/>
      </c>
      <c r="AH391">
        <f>IF([3]Issues!$D$394="","",[3]Issues!$D$394)</f>
        <v/>
      </c>
      <c r="AI391">
        <f>IF([3]Issues!$E$394="","",[3]Issues!$E$394)</f>
        <v/>
      </c>
      <c r="AJ391">
        <f>IF([2]Entry!$S$394="","",[2]Entry!$S$394)</f>
        <v/>
      </c>
      <c r="AK391">
        <f>IF([2]Entry!$C$394="","",[2]Entry!$C$394)</f>
        <v/>
      </c>
      <c r="AL391">
        <f>IF([2]Entry!$D$394="","",[2]Entry!$D$394)</f>
        <v/>
      </c>
      <c r="AM391">
        <f>IF(AND($F391&lt;&gt;"",$I391&lt;&gt;""),IF($G391="دارایی ثابت",1,0),0)</f>
        <v/>
      </c>
      <c r="AN391">
        <f>SUM($AM$6:$AM391)</f>
        <v/>
      </c>
      <c r="AO391">
        <f>IFERROR(INDEX($F$6:$F$565,MATCH(ROW()-5,$AN$6:$AN$565,0)),"")</f>
        <v/>
      </c>
      <c r="AP391">
        <f>IF(AND($F391&lt;&gt;"",$I391&lt;&gt;""),IF($G391="وام و تسهیلات",1,0),0)</f>
        <v/>
      </c>
      <c r="AQ391">
        <f>SUM($AP$6:$AP391)</f>
        <v/>
      </c>
      <c r="AR391">
        <f>IFERROR(INDEX($F$6:$F$565,MATCH(ROW()-5,$AQ$6:$AQ$565,0)),"")</f>
        <v/>
      </c>
      <c r="AS391">
        <f>IF(AND($F391&lt;&gt;"",$I391&lt;&gt;""),IF($G391="سرمایه و آورده صاحبان",1,0),0)</f>
        <v/>
      </c>
      <c r="AT391">
        <f>SUM($AS$6:$AS391)</f>
        <v/>
      </c>
      <c r="AU391">
        <f>IFERROR(INDEX($F$6:$F$565,MATCH(ROW()-5,$AT$6:$AT$565,0)),"")</f>
        <v/>
      </c>
      <c r="AW391">
        <f>IF([3]Issues!$C$394="","",[3]Issues!$C$394)</f>
        <v/>
      </c>
      <c r="AX391">
        <f>IF([4]Entry!$E$394="","",[4]Entry!$E$394)</f>
        <v/>
      </c>
      <c r="AY391">
        <f>IF([4]Entry!$H$394="","",[4]Entry!$H$394)</f>
        <v/>
      </c>
      <c r="AZ391">
        <f>IF([4]Entry!$I$394="","",[4]Entry!$I$394)</f>
        <v/>
      </c>
    </row>
    <row r="392">
      <c r="F392">
        <f>IF([1]Accounts!$D$393="","",[1]Accounts!$A$393)</f>
        <v/>
      </c>
      <c r="G392">
        <f>IF([1]Accounts!$D$393="","",[1]Accounts!$B$393)</f>
        <v/>
      </c>
      <c r="H392">
        <f>IF([1]Accounts!$D$393="","",[1]Accounts!$C$393)</f>
        <v/>
      </c>
      <c r="I392">
        <f>IF([1]Accounts!$D$393="","",[1]Accounts!$D$393)</f>
        <v/>
      </c>
      <c r="R392">
        <f>IF(AND($F392&lt;&gt;"",$I392&lt;&gt;""),IF(OR($G392="دارایی ثابت",$G392="وام و تسهیلات",$G392="سرمایه و آورده صاحبان"),0,1),0)</f>
        <v/>
      </c>
      <c r="S392">
        <f>SUM($R$6:$R392)</f>
        <v/>
      </c>
      <c r="T392">
        <f>IFERROR(INDEX($F$6:$F$565,MATCH(ROW()-5,$S$6:$S$565,0)),"")</f>
        <v/>
      </c>
      <c r="Z392">
        <f>IF([2]Entry!$E$395="","",[2]Entry!$E$395)</f>
        <v/>
      </c>
      <c r="AA392">
        <f>IF([2]Entry!$G$395="","",[2]Entry!$G$395)</f>
        <v/>
      </c>
      <c r="AB392">
        <f>IF([2]Entry!$J$395="","",[2]Entry!$J$395)</f>
        <v/>
      </c>
      <c r="AC392">
        <f>IF([2]Entry!$K$395="","",[2]Entry!$K$395)</f>
        <v/>
      </c>
      <c r="AD392">
        <f>IF([2]Entry!$L$395="","",[2]Entry!$L$395)</f>
        <v/>
      </c>
      <c r="AE392">
        <f>IF([2]Entry!$M$395="","",[2]Entry!$M$395)</f>
        <v/>
      </c>
      <c r="AF392">
        <f>IF([2]Entry!$N$395="","",[2]Entry!$N$395)</f>
        <v/>
      </c>
      <c r="AG392">
        <f>IF([3]Issues!$B$395="","",[3]Issues!$B$395)</f>
        <v/>
      </c>
      <c r="AH392">
        <f>IF([3]Issues!$D$395="","",[3]Issues!$D$395)</f>
        <v/>
      </c>
      <c r="AI392">
        <f>IF([3]Issues!$E$395="","",[3]Issues!$E$395)</f>
        <v/>
      </c>
      <c r="AJ392">
        <f>IF([2]Entry!$S$395="","",[2]Entry!$S$395)</f>
        <v/>
      </c>
      <c r="AK392">
        <f>IF([2]Entry!$C$395="","",[2]Entry!$C$395)</f>
        <v/>
      </c>
      <c r="AL392">
        <f>IF([2]Entry!$D$395="","",[2]Entry!$D$395)</f>
        <v/>
      </c>
      <c r="AM392">
        <f>IF(AND($F392&lt;&gt;"",$I392&lt;&gt;""),IF($G392="دارایی ثابت",1,0),0)</f>
        <v/>
      </c>
      <c r="AN392">
        <f>SUM($AM$6:$AM392)</f>
        <v/>
      </c>
      <c r="AO392">
        <f>IFERROR(INDEX($F$6:$F$565,MATCH(ROW()-5,$AN$6:$AN$565,0)),"")</f>
        <v/>
      </c>
      <c r="AP392">
        <f>IF(AND($F392&lt;&gt;"",$I392&lt;&gt;""),IF($G392="وام و تسهیلات",1,0),0)</f>
        <v/>
      </c>
      <c r="AQ392">
        <f>SUM($AP$6:$AP392)</f>
        <v/>
      </c>
      <c r="AR392">
        <f>IFERROR(INDEX($F$6:$F$565,MATCH(ROW()-5,$AQ$6:$AQ$565,0)),"")</f>
        <v/>
      </c>
      <c r="AS392">
        <f>IF(AND($F392&lt;&gt;"",$I392&lt;&gt;""),IF($G392="سرمایه و آورده صاحبان",1,0),0)</f>
        <v/>
      </c>
      <c r="AT392">
        <f>SUM($AS$6:$AS392)</f>
        <v/>
      </c>
      <c r="AU392">
        <f>IFERROR(INDEX($F$6:$F$565,MATCH(ROW()-5,$AT$6:$AT$565,0)),"")</f>
        <v/>
      </c>
      <c r="AW392">
        <f>IF([3]Issues!$C$395="","",[3]Issues!$C$395)</f>
        <v/>
      </c>
      <c r="AX392">
        <f>IF([4]Entry!$E$395="","",[4]Entry!$E$395)</f>
        <v/>
      </c>
      <c r="AY392">
        <f>IF([4]Entry!$H$395="","",[4]Entry!$H$395)</f>
        <v/>
      </c>
      <c r="AZ392">
        <f>IF([4]Entry!$I$395="","",[4]Entry!$I$395)</f>
        <v/>
      </c>
    </row>
    <row r="393">
      <c r="F393">
        <f>IF([1]Accounts!$D$394="","",[1]Accounts!$A$394)</f>
        <v/>
      </c>
      <c r="G393">
        <f>IF([1]Accounts!$D$394="","",[1]Accounts!$B$394)</f>
        <v/>
      </c>
      <c r="H393">
        <f>IF([1]Accounts!$D$394="","",[1]Accounts!$C$394)</f>
        <v/>
      </c>
      <c r="I393">
        <f>IF([1]Accounts!$D$394="","",[1]Accounts!$D$394)</f>
        <v/>
      </c>
      <c r="R393">
        <f>IF(AND($F393&lt;&gt;"",$I393&lt;&gt;""),IF(OR($G393="دارایی ثابت",$G393="وام و تسهیلات",$G393="سرمایه و آورده صاحبان"),0,1),0)</f>
        <v/>
      </c>
      <c r="S393">
        <f>SUM($R$6:$R393)</f>
        <v/>
      </c>
      <c r="T393">
        <f>IFERROR(INDEX($F$6:$F$565,MATCH(ROW()-5,$S$6:$S$565,0)),"")</f>
        <v/>
      </c>
      <c r="Z393">
        <f>IF([2]Entry!$E$396="","",[2]Entry!$E$396)</f>
        <v/>
      </c>
      <c r="AA393">
        <f>IF([2]Entry!$G$396="","",[2]Entry!$G$396)</f>
        <v/>
      </c>
      <c r="AB393">
        <f>IF([2]Entry!$J$396="","",[2]Entry!$J$396)</f>
        <v/>
      </c>
      <c r="AC393">
        <f>IF([2]Entry!$K$396="","",[2]Entry!$K$396)</f>
        <v/>
      </c>
      <c r="AD393">
        <f>IF([2]Entry!$L$396="","",[2]Entry!$L$396)</f>
        <v/>
      </c>
      <c r="AE393">
        <f>IF([2]Entry!$M$396="","",[2]Entry!$M$396)</f>
        <v/>
      </c>
      <c r="AF393">
        <f>IF([2]Entry!$N$396="","",[2]Entry!$N$396)</f>
        <v/>
      </c>
      <c r="AG393">
        <f>IF([3]Issues!$B$396="","",[3]Issues!$B$396)</f>
        <v/>
      </c>
      <c r="AH393">
        <f>IF([3]Issues!$D$396="","",[3]Issues!$D$396)</f>
        <v/>
      </c>
      <c r="AI393">
        <f>IF([3]Issues!$E$396="","",[3]Issues!$E$396)</f>
        <v/>
      </c>
      <c r="AJ393">
        <f>IF([2]Entry!$S$396="","",[2]Entry!$S$396)</f>
        <v/>
      </c>
      <c r="AK393">
        <f>IF([2]Entry!$C$396="","",[2]Entry!$C$396)</f>
        <v/>
      </c>
      <c r="AL393">
        <f>IF([2]Entry!$D$396="","",[2]Entry!$D$396)</f>
        <v/>
      </c>
      <c r="AM393">
        <f>IF(AND($F393&lt;&gt;"",$I393&lt;&gt;""),IF($G393="دارایی ثابت",1,0),0)</f>
        <v/>
      </c>
      <c r="AN393">
        <f>SUM($AM$6:$AM393)</f>
        <v/>
      </c>
      <c r="AO393">
        <f>IFERROR(INDEX($F$6:$F$565,MATCH(ROW()-5,$AN$6:$AN$565,0)),"")</f>
        <v/>
      </c>
      <c r="AP393">
        <f>IF(AND($F393&lt;&gt;"",$I393&lt;&gt;""),IF($G393="وام و تسهیلات",1,0),0)</f>
        <v/>
      </c>
      <c r="AQ393">
        <f>SUM($AP$6:$AP393)</f>
        <v/>
      </c>
      <c r="AR393">
        <f>IFERROR(INDEX($F$6:$F$565,MATCH(ROW()-5,$AQ$6:$AQ$565,0)),"")</f>
        <v/>
      </c>
      <c r="AS393">
        <f>IF(AND($F393&lt;&gt;"",$I393&lt;&gt;""),IF($G393="سرمایه و آورده صاحبان",1,0),0)</f>
        <v/>
      </c>
      <c r="AT393">
        <f>SUM($AS$6:$AS393)</f>
        <v/>
      </c>
      <c r="AU393">
        <f>IFERROR(INDEX($F$6:$F$565,MATCH(ROW()-5,$AT$6:$AT$565,0)),"")</f>
        <v/>
      </c>
      <c r="AW393">
        <f>IF([3]Issues!$C$396="","",[3]Issues!$C$396)</f>
        <v/>
      </c>
      <c r="AX393">
        <f>IF([4]Entry!$E$396="","",[4]Entry!$E$396)</f>
        <v/>
      </c>
      <c r="AY393">
        <f>IF([4]Entry!$H$396="","",[4]Entry!$H$396)</f>
        <v/>
      </c>
      <c r="AZ393">
        <f>IF([4]Entry!$I$396="","",[4]Entry!$I$396)</f>
        <v/>
      </c>
    </row>
    <row r="394">
      <c r="F394">
        <f>IF([1]Accounts!$D$395="","",[1]Accounts!$A$395)</f>
        <v/>
      </c>
      <c r="G394">
        <f>IF([1]Accounts!$D$395="","",[1]Accounts!$B$395)</f>
        <v/>
      </c>
      <c r="H394">
        <f>IF([1]Accounts!$D$395="","",[1]Accounts!$C$395)</f>
        <v/>
      </c>
      <c r="I394">
        <f>IF([1]Accounts!$D$395="","",[1]Accounts!$D$395)</f>
        <v/>
      </c>
      <c r="R394">
        <f>IF(AND($F394&lt;&gt;"",$I394&lt;&gt;""),IF(OR($G394="دارایی ثابت",$G394="وام و تسهیلات",$G394="سرمایه و آورده صاحبان"),0,1),0)</f>
        <v/>
      </c>
      <c r="S394">
        <f>SUM($R$6:$R394)</f>
        <v/>
      </c>
      <c r="T394">
        <f>IFERROR(INDEX($F$6:$F$565,MATCH(ROW()-5,$S$6:$S$565,0)),"")</f>
        <v/>
      </c>
      <c r="Z394">
        <f>IF([2]Entry!$E$397="","",[2]Entry!$E$397)</f>
        <v/>
      </c>
      <c r="AA394">
        <f>IF([2]Entry!$G$397="","",[2]Entry!$G$397)</f>
        <v/>
      </c>
      <c r="AB394">
        <f>IF([2]Entry!$J$397="","",[2]Entry!$J$397)</f>
        <v/>
      </c>
      <c r="AC394">
        <f>IF([2]Entry!$K$397="","",[2]Entry!$K$397)</f>
        <v/>
      </c>
      <c r="AD394">
        <f>IF([2]Entry!$L$397="","",[2]Entry!$L$397)</f>
        <v/>
      </c>
      <c r="AE394">
        <f>IF([2]Entry!$M$397="","",[2]Entry!$M$397)</f>
        <v/>
      </c>
      <c r="AF394">
        <f>IF([2]Entry!$N$397="","",[2]Entry!$N$397)</f>
        <v/>
      </c>
      <c r="AG394">
        <f>IF([3]Issues!$B$397="","",[3]Issues!$B$397)</f>
        <v/>
      </c>
      <c r="AH394">
        <f>IF([3]Issues!$D$397="","",[3]Issues!$D$397)</f>
        <v/>
      </c>
      <c r="AI394">
        <f>IF([3]Issues!$E$397="","",[3]Issues!$E$397)</f>
        <v/>
      </c>
      <c r="AJ394">
        <f>IF([2]Entry!$S$397="","",[2]Entry!$S$397)</f>
        <v/>
      </c>
      <c r="AK394">
        <f>IF([2]Entry!$C$397="","",[2]Entry!$C$397)</f>
        <v/>
      </c>
      <c r="AL394">
        <f>IF([2]Entry!$D$397="","",[2]Entry!$D$397)</f>
        <v/>
      </c>
      <c r="AM394">
        <f>IF(AND($F394&lt;&gt;"",$I394&lt;&gt;""),IF($G394="دارایی ثابت",1,0),0)</f>
        <v/>
      </c>
      <c r="AN394">
        <f>SUM($AM$6:$AM394)</f>
        <v/>
      </c>
      <c r="AO394">
        <f>IFERROR(INDEX($F$6:$F$565,MATCH(ROW()-5,$AN$6:$AN$565,0)),"")</f>
        <v/>
      </c>
      <c r="AP394">
        <f>IF(AND($F394&lt;&gt;"",$I394&lt;&gt;""),IF($G394="وام و تسهیلات",1,0),0)</f>
        <v/>
      </c>
      <c r="AQ394">
        <f>SUM($AP$6:$AP394)</f>
        <v/>
      </c>
      <c r="AR394">
        <f>IFERROR(INDEX($F$6:$F$565,MATCH(ROW()-5,$AQ$6:$AQ$565,0)),"")</f>
        <v/>
      </c>
      <c r="AS394">
        <f>IF(AND($F394&lt;&gt;"",$I394&lt;&gt;""),IF($G394="سرمایه و آورده صاحبان",1,0),0)</f>
        <v/>
      </c>
      <c r="AT394">
        <f>SUM($AS$6:$AS394)</f>
        <v/>
      </c>
      <c r="AU394">
        <f>IFERROR(INDEX($F$6:$F$565,MATCH(ROW()-5,$AT$6:$AT$565,0)),"")</f>
        <v/>
      </c>
      <c r="AW394">
        <f>IF([3]Issues!$C$397="","",[3]Issues!$C$397)</f>
        <v/>
      </c>
      <c r="AX394">
        <f>IF([4]Entry!$E$397="","",[4]Entry!$E$397)</f>
        <v/>
      </c>
      <c r="AY394">
        <f>IF([4]Entry!$H$397="","",[4]Entry!$H$397)</f>
        <v/>
      </c>
      <c r="AZ394">
        <f>IF([4]Entry!$I$397="","",[4]Entry!$I$397)</f>
        <v/>
      </c>
    </row>
    <row r="395">
      <c r="F395">
        <f>IF([1]Accounts!$D$396="","",[1]Accounts!$A$396)</f>
        <v/>
      </c>
      <c r="G395">
        <f>IF([1]Accounts!$D$396="","",[1]Accounts!$B$396)</f>
        <v/>
      </c>
      <c r="H395">
        <f>IF([1]Accounts!$D$396="","",[1]Accounts!$C$396)</f>
        <v/>
      </c>
      <c r="I395">
        <f>IF([1]Accounts!$D$396="","",[1]Accounts!$D$396)</f>
        <v/>
      </c>
      <c r="R395">
        <f>IF(AND($F395&lt;&gt;"",$I395&lt;&gt;""),IF(OR($G395="دارایی ثابت",$G395="وام و تسهیلات",$G395="سرمایه و آورده صاحبان"),0,1),0)</f>
        <v/>
      </c>
      <c r="S395">
        <f>SUM($R$6:$R395)</f>
        <v/>
      </c>
      <c r="T395">
        <f>IFERROR(INDEX($F$6:$F$565,MATCH(ROW()-5,$S$6:$S$565,0)),"")</f>
        <v/>
      </c>
      <c r="Z395">
        <f>IF([2]Entry!$E$398="","",[2]Entry!$E$398)</f>
        <v/>
      </c>
      <c r="AA395">
        <f>IF([2]Entry!$G$398="","",[2]Entry!$G$398)</f>
        <v/>
      </c>
      <c r="AB395">
        <f>IF([2]Entry!$J$398="","",[2]Entry!$J$398)</f>
        <v/>
      </c>
      <c r="AC395">
        <f>IF([2]Entry!$K$398="","",[2]Entry!$K$398)</f>
        <v/>
      </c>
      <c r="AD395">
        <f>IF([2]Entry!$L$398="","",[2]Entry!$L$398)</f>
        <v/>
      </c>
      <c r="AE395">
        <f>IF([2]Entry!$M$398="","",[2]Entry!$M$398)</f>
        <v/>
      </c>
      <c r="AF395">
        <f>IF([2]Entry!$N$398="","",[2]Entry!$N$398)</f>
        <v/>
      </c>
      <c r="AG395">
        <f>IF([3]Issues!$B$398="","",[3]Issues!$B$398)</f>
        <v/>
      </c>
      <c r="AH395">
        <f>IF([3]Issues!$D$398="","",[3]Issues!$D$398)</f>
        <v/>
      </c>
      <c r="AI395">
        <f>IF([3]Issues!$E$398="","",[3]Issues!$E$398)</f>
        <v/>
      </c>
      <c r="AJ395">
        <f>IF([2]Entry!$S$398="","",[2]Entry!$S$398)</f>
        <v/>
      </c>
      <c r="AK395">
        <f>IF([2]Entry!$C$398="","",[2]Entry!$C$398)</f>
        <v/>
      </c>
      <c r="AL395">
        <f>IF([2]Entry!$D$398="","",[2]Entry!$D$398)</f>
        <v/>
      </c>
      <c r="AM395">
        <f>IF(AND($F395&lt;&gt;"",$I395&lt;&gt;""),IF($G395="دارایی ثابت",1,0),0)</f>
        <v/>
      </c>
      <c r="AN395">
        <f>SUM($AM$6:$AM395)</f>
        <v/>
      </c>
      <c r="AO395">
        <f>IFERROR(INDEX($F$6:$F$565,MATCH(ROW()-5,$AN$6:$AN$565,0)),"")</f>
        <v/>
      </c>
      <c r="AP395">
        <f>IF(AND($F395&lt;&gt;"",$I395&lt;&gt;""),IF($G395="وام و تسهیلات",1,0),0)</f>
        <v/>
      </c>
      <c r="AQ395">
        <f>SUM($AP$6:$AP395)</f>
        <v/>
      </c>
      <c r="AR395">
        <f>IFERROR(INDEX($F$6:$F$565,MATCH(ROW()-5,$AQ$6:$AQ$565,0)),"")</f>
        <v/>
      </c>
      <c r="AS395">
        <f>IF(AND($F395&lt;&gt;"",$I395&lt;&gt;""),IF($G395="سرمایه و آورده صاحبان",1,0),0)</f>
        <v/>
      </c>
      <c r="AT395">
        <f>SUM($AS$6:$AS395)</f>
        <v/>
      </c>
      <c r="AU395">
        <f>IFERROR(INDEX($F$6:$F$565,MATCH(ROW()-5,$AT$6:$AT$565,0)),"")</f>
        <v/>
      </c>
      <c r="AW395">
        <f>IF([3]Issues!$C$398="","",[3]Issues!$C$398)</f>
        <v/>
      </c>
      <c r="AX395">
        <f>IF([4]Entry!$E$398="","",[4]Entry!$E$398)</f>
        <v/>
      </c>
      <c r="AY395">
        <f>IF([4]Entry!$H$398="","",[4]Entry!$H$398)</f>
        <v/>
      </c>
      <c r="AZ395">
        <f>IF([4]Entry!$I$398="","",[4]Entry!$I$398)</f>
        <v/>
      </c>
    </row>
    <row r="396">
      <c r="F396">
        <f>IF([1]Accounts!$D$397="","",[1]Accounts!$A$397)</f>
        <v/>
      </c>
      <c r="G396">
        <f>IF([1]Accounts!$D$397="","",[1]Accounts!$B$397)</f>
        <v/>
      </c>
      <c r="H396">
        <f>IF([1]Accounts!$D$397="","",[1]Accounts!$C$397)</f>
        <v/>
      </c>
      <c r="I396">
        <f>IF([1]Accounts!$D$397="","",[1]Accounts!$D$397)</f>
        <v/>
      </c>
      <c r="R396">
        <f>IF(AND($F396&lt;&gt;"",$I396&lt;&gt;""),IF(OR($G396="دارایی ثابت",$G396="وام و تسهیلات",$G396="سرمایه و آورده صاحبان"),0,1),0)</f>
        <v/>
      </c>
      <c r="S396">
        <f>SUM($R$6:$R396)</f>
        <v/>
      </c>
      <c r="T396">
        <f>IFERROR(INDEX($F$6:$F$565,MATCH(ROW()-5,$S$6:$S$565,0)),"")</f>
        <v/>
      </c>
      <c r="Z396">
        <f>IF([2]Entry!$E$399="","",[2]Entry!$E$399)</f>
        <v/>
      </c>
      <c r="AA396">
        <f>IF([2]Entry!$G$399="","",[2]Entry!$G$399)</f>
        <v/>
      </c>
      <c r="AB396">
        <f>IF([2]Entry!$J$399="","",[2]Entry!$J$399)</f>
        <v/>
      </c>
      <c r="AC396">
        <f>IF([2]Entry!$K$399="","",[2]Entry!$K$399)</f>
        <v/>
      </c>
      <c r="AD396">
        <f>IF([2]Entry!$L$399="","",[2]Entry!$L$399)</f>
        <v/>
      </c>
      <c r="AE396">
        <f>IF([2]Entry!$M$399="","",[2]Entry!$M$399)</f>
        <v/>
      </c>
      <c r="AF396">
        <f>IF([2]Entry!$N$399="","",[2]Entry!$N$399)</f>
        <v/>
      </c>
      <c r="AG396">
        <f>IF([3]Issues!$B$399="","",[3]Issues!$B$399)</f>
        <v/>
      </c>
      <c r="AH396">
        <f>IF([3]Issues!$D$399="","",[3]Issues!$D$399)</f>
        <v/>
      </c>
      <c r="AI396">
        <f>IF([3]Issues!$E$399="","",[3]Issues!$E$399)</f>
        <v/>
      </c>
      <c r="AJ396">
        <f>IF([2]Entry!$S$399="","",[2]Entry!$S$399)</f>
        <v/>
      </c>
      <c r="AK396">
        <f>IF([2]Entry!$C$399="","",[2]Entry!$C$399)</f>
        <v/>
      </c>
      <c r="AL396">
        <f>IF([2]Entry!$D$399="","",[2]Entry!$D$399)</f>
        <v/>
      </c>
      <c r="AM396">
        <f>IF(AND($F396&lt;&gt;"",$I396&lt;&gt;""),IF($G396="دارایی ثابت",1,0),0)</f>
        <v/>
      </c>
      <c r="AN396">
        <f>SUM($AM$6:$AM396)</f>
        <v/>
      </c>
      <c r="AO396">
        <f>IFERROR(INDEX($F$6:$F$565,MATCH(ROW()-5,$AN$6:$AN$565,0)),"")</f>
        <v/>
      </c>
      <c r="AP396">
        <f>IF(AND($F396&lt;&gt;"",$I396&lt;&gt;""),IF($G396="وام و تسهیلات",1,0),0)</f>
        <v/>
      </c>
      <c r="AQ396">
        <f>SUM($AP$6:$AP396)</f>
        <v/>
      </c>
      <c r="AR396">
        <f>IFERROR(INDEX($F$6:$F$565,MATCH(ROW()-5,$AQ$6:$AQ$565,0)),"")</f>
        <v/>
      </c>
      <c r="AS396">
        <f>IF(AND($F396&lt;&gt;"",$I396&lt;&gt;""),IF($G396="سرمایه و آورده صاحبان",1,0),0)</f>
        <v/>
      </c>
      <c r="AT396">
        <f>SUM($AS$6:$AS396)</f>
        <v/>
      </c>
      <c r="AU396">
        <f>IFERROR(INDEX($F$6:$F$565,MATCH(ROW()-5,$AT$6:$AT$565,0)),"")</f>
        <v/>
      </c>
      <c r="AW396">
        <f>IF([3]Issues!$C$399="","",[3]Issues!$C$399)</f>
        <v/>
      </c>
      <c r="AX396">
        <f>IF([4]Entry!$E$399="","",[4]Entry!$E$399)</f>
        <v/>
      </c>
      <c r="AY396">
        <f>IF([4]Entry!$H$399="","",[4]Entry!$H$399)</f>
        <v/>
      </c>
      <c r="AZ396">
        <f>IF([4]Entry!$I$399="","",[4]Entry!$I$399)</f>
        <v/>
      </c>
    </row>
    <row r="397">
      <c r="F397">
        <f>IF([1]Accounts!$D$398="","",[1]Accounts!$A$398)</f>
        <v/>
      </c>
      <c r="G397">
        <f>IF([1]Accounts!$D$398="","",[1]Accounts!$B$398)</f>
        <v/>
      </c>
      <c r="H397">
        <f>IF([1]Accounts!$D$398="","",[1]Accounts!$C$398)</f>
        <v/>
      </c>
      <c r="I397">
        <f>IF([1]Accounts!$D$398="","",[1]Accounts!$D$398)</f>
        <v/>
      </c>
      <c r="R397">
        <f>IF(AND($F397&lt;&gt;"",$I397&lt;&gt;""),IF(OR($G397="دارایی ثابت",$G397="وام و تسهیلات",$G397="سرمایه و آورده صاحبان"),0,1),0)</f>
        <v/>
      </c>
      <c r="S397">
        <f>SUM($R$6:$R397)</f>
        <v/>
      </c>
      <c r="T397">
        <f>IFERROR(INDEX($F$6:$F$565,MATCH(ROW()-5,$S$6:$S$565,0)),"")</f>
        <v/>
      </c>
      <c r="Z397">
        <f>IF([2]Entry!$E$400="","",[2]Entry!$E$400)</f>
        <v/>
      </c>
      <c r="AA397">
        <f>IF([2]Entry!$G$400="","",[2]Entry!$G$400)</f>
        <v/>
      </c>
      <c r="AB397">
        <f>IF([2]Entry!$J$400="","",[2]Entry!$J$400)</f>
        <v/>
      </c>
      <c r="AC397">
        <f>IF([2]Entry!$K$400="","",[2]Entry!$K$400)</f>
        <v/>
      </c>
      <c r="AD397">
        <f>IF([2]Entry!$L$400="","",[2]Entry!$L$400)</f>
        <v/>
      </c>
      <c r="AE397">
        <f>IF([2]Entry!$M$400="","",[2]Entry!$M$400)</f>
        <v/>
      </c>
      <c r="AF397">
        <f>IF([2]Entry!$N$400="","",[2]Entry!$N$400)</f>
        <v/>
      </c>
      <c r="AG397">
        <f>IF([3]Issues!$B$400="","",[3]Issues!$B$400)</f>
        <v/>
      </c>
      <c r="AH397">
        <f>IF([3]Issues!$D$400="","",[3]Issues!$D$400)</f>
        <v/>
      </c>
      <c r="AI397">
        <f>IF([3]Issues!$E$400="","",[3]Issues!$E$400)</f>
        <v/>
      </c>
      <c r="AJ397">
        <f>IF([2]Entry!$S$400="","",[2]Entry!$S$400)</f>
        <v/>
      </c>
      <c r="AK397">
        <f>IF([2]Entry!$C$400="","",[2]Entry!$C$400)</f>
        <v/>
      </c>
      <c r="AL397">
        <f>IF([2]Entry!$D$400="","",[2]Entry!$D$400)</f>
        <v/>
      </c>
      <c r="AM397">
        <f>IF(AND($F397&lt;&gt;"",$I397&lt;&gt;""),IF($G397="دارایی ثابت",1,0),0)</f>
        <v/>
      </c>
      <c r="AN397">
        <f>SUM($AM$6:$AM397)</f>
        <v/>
      </c>
      <c r="AO397">
        <f>IFERROR(INDEX($F$6:$F$565,MATCH(ROW()-5,$AN$6:$AN$565,0)),"")</f>
        <v/>
      </c>
      <c r="AP397">
        <f>IF(AND($F397&lt;&gt;"",$I397&lt;&gt;""),IF($G397="وام و تسهیلات",1,0),0)</f>
        <v/>
      </c>
      <c r="AQ397">
        <f>SUM($AP$6:$AP397)</f>
        <v/>
      </c>
      <c r="AR397">
        <f>IFERROR(INDEX($F$6:$F$565,MATCH(ROW()-5,$AQ$6:$AQ$565,0)),"")</f>
        <v/>
      </c>
      <c r="AS397">
        <f>IF(AND($F397&lt;&gt;"",$I397&lt;&gt;""),IF($G397="سرمایه و آورده صاحبان",1,0),0)</f>
        <v/>
      </c>
      <c r="AT397">
        <f>SUM($AS$6:$AS397)</f>
        <v/>
      </c>
      <c r="AU397">
        <f>IFERROR(INDEX($F$6:$F$565,MATCH(ROW()-5,$AT$6:$AT$565,0)),"")</f>
        <v/>
      </c>
      <c r="AW397">
        <f>IF([3]Issues!$C$400="","",[3]Issues!$C$400)</f>
        <v/>
      </c>
      <c r="AX397">
        <f>IF([4]Entry!$E$400="","",[4]Entry!$E$400)</f>
        <v/>
      </c>
      <c r="AY397">
        <f>IF([4]Entry!$H$400="","",[4]Entry!$H$400)</f>
        <v/>
      </c>
      <c r="AZ397">
        <f>IF([4]Entry!$I$400="","",[4]Entry!$I$400)</f>
        <v/>
      </c>
    </row>
    <row r="398">
      <c r="F398">
        <f>IF([1]Accounts!$D$399="","",[1]Accounts!$A$399)</f>
        <v/>
      </c>
      <c r="G398">
        <f>IF([1]Accounts!$D$399="","",[1]Accounts!$B$399)</f>
        <v/>
      </c>
      <c r="H398">
        <f>IF([1]Accounts!$D$399="","",[1]Accounts!$C$399)</f>
        <v/>
      </c>
      <c r="I398">
        <f>IF([1]Accounts!$D$399="","",[1]Accounts!$D$399)</f>
        <v/>
      </c>
      <c r="R398">
        <f>IF(AND($F398&lt;&gt;"",$I398&lt;&gt;""),IF(OR($G398="دارایی ثابت",$G398="وام و تسهیلات",$G398="سرمایه و آورده صاحبان"),0,1),0)</f>
        <v/>
      </c>
      <c r="S398">
        <f>SUM($R$6:$R398)</f>
        <v/>
      </c>
      <c r="T398">
        <f>IFERROR(INDEX($F$6:$F$565,MATCH(ROW()-5,$S$6:$S$565,0)),"")</f>
        <v/>
      </c>
      <c r="Z398">
        <f>IF([2]Entry!$E$401="","",[2]Entry!$E$401)</f>
        <v/>
      </c>
      <c r="AA398">
        <f>IF([2]Entry!$G$401="","",[2]Entry!$G$401)</f>
        <v/>
      </c>
      <c r="AB398">
        <f>IF([2]Entry!$J$401="","",[2]Entry!$J$401)</f>
        <v/>
      </c>
      <c r="AC398">
        <f>IF([2]Entry!$K$401="","",[2]Entry!$K$401)</f>
        <v/>
      </c>
      <c r="AD398">
        <f>IF([2]Entry!$L$401="","",[2]Entry!$L$401)</f>
        <v/>
      </c>
      <c r="AE398">
        <f>IF([2]Entry!$M$401="","",[2]Entry!$M$401)</f>
        <v/>
      </c>
      <c r="AF398">
        <f>IF([2]Entry!$N$401="","",[2]Entry!$N$401)</f>
        <v/>
      </c>
      <c r="AG398">
        <f>IF([3]Issues!$B$401="","",[3]Issues!$B$401)</f>
        <v/>
      </c>
      <c r="AH398">
        <f>IF([3]Issues!$D$401="","",[3]Issues!$D$401)</f>
        <v/>
      </c>
      <c r="AI398">
        <f>IF([3]Issues!$E$401="","",[3]Issues!$E$401)</f>
        <v/>
      </c>
      <c r="AJ398">
        <f>IF([2]Entry!$S$401="","",[2]Entry!$S$401)</f>
        <v/>
      </c>
      <c r="AK398">
        <f>IF([2]Entry!$C$401="","",[2]Entry!$C$401)</f>
        <v/>
      </c>
      <c r="AL398">
        <f>IF([2]Entry!$D$401="","",[2]Entry!$D$401)</f>
        <v/>
      </c>
      <c r="AM398">
        <f>IF(AND($F398&lt;&gt;"",$I398&lt;&gt;""),IF($G398="دارایی ثابت",1,0),0)</f>
        <v/>
      </c>
      <c r="AN398">
        <f>SUM($AM$6:$AM398)</f>
        <v/>
      </c>
      <c r="AO398">
        <f>IFERROR(INDEX($F$6:$F$565,MATCH(ROW()-5,$AN$6:$AN$565,0)),"")</f>
        <v/>
      </c>
      <c r="AP398">
        <f>IF(AND($F398&lt;&gt;"",$I398&lt;&gt;""),IF($G398="وام و تسهیلات",1,0),0)</f>
        <v/>
      </c>
      <c r="AQ398">
        <f>SUM($AP$6:$AP398)</f>
        <v/>
      </c>
      <c r="AR398">
        <f>IFERROR(INDEX($F$6:$F$565,MATCH(ROW()-5,$AQ$6:$AQ$565,0)),"")</f>
        <v/>
      </c>
      <c r="AS398">
        <f>IF(AND($F398&lt;&gt;"",$I398&lt;&gt;""),IF($G398="سرمایه و آورده صاحبان",1,0),0)</f>
        <v/>
      </c>
      <c r="AT398">
        <f>SUM($AS$6:$AS398)</f>
        <v/>
      </c>
      <c r="AU398">
        <f>IFERROR(INDEX($F$6:$F$565,MATCH(ROW()-5,$AT$6:$AT$565,0)),"")</f>
        <v/>
      </c>
      <c r="AW398">
        <f>IF([3]Issues!$C$401="","",[3]Issues!$C$401)</f>
        <v/>
      </c>
      <c r="AX398">
        <f>IF([4]Entry!$E$401="","",[4]Entry!$E$401)</f>
        <v/>
      </c>
      <c r="AY398">
        <f>IF([4]Entry!$H$401="","",[4]Entry!$H$401)</f>
        <v/>
      </c>
      <c r="AZ398">
        <f>IF([4]Entry!$I$401="","",[4]Entry!$I$401)</f>
        <v/>
      </c>
    </row>
    <row r="399">
      <c r="F399">
        <f>IF([1]Accounts!$D$400="","",[1]Accounts!$A$400)</f>
        <v/>
      </c>
      <c r="G399">
        <f>IF([1]Accounts!$D$400="","",[1]Accounts!$B$400)</f>
        <v/>
      </c>
      <c r="H399">
        <f>IF([1]Accounts!$D$400="","",[1]Accounts!$C$400)</f>
        <v/>
      </c>
      <c r="I399">
        <f>IF([1]Accounts!$D$400="","",[1]Accounts!$D$400)</f>
        <v/>
      </c>
      <c r="R399">
        <f>IF(AND($F399&lt;&gt;"",$I399&lt;&gt;""),IF(OR($G399="دارایی ثابت",$G399="وام و تسهیلات",$G399="سرمایه و آورده صاحبان"),0,1),0)</f>
        <v/>
      </c>
      <c r="S399">
        <f>SUM($R$6:$R399)</f>
        <v/>
      </c>
      <c r="T399">
        <f>IFERROR(INDEX($F$6:$F$565,MATCH(ROW()-5,$S$6:$S$565,0)),"")</f>
        <v/>
      </c>
      <c r="Z399">
        <f>IF([2]Entry!$E$402="","",[2]Entry!$E$402)</f>
        <v/>
      </c>
      <c r="AA399">
        <f>IF([2]Entry!$G$402="","",[2]Entry!$G$402)</f>
        <v/>
      </c>
      <c r="AB399">
        <f>IF([2]Entry!$J$402="","",[2]Entry!$J$402)</f>
        <v/>
      </c>
      <c r="AC399">
        <f>IF([2]Entry!$K$402="","",[2]Entry!$K$402)</f>
        <v/>
      </c>
      <c r="AD399">
        <f>IF([2]Entry!$L$402="","",[2]Entry!$L$402)</f>
        <v/>
      </c>
      <c r="AE399">
        <f>IF([2]Entry!$M$402="","",[2]Entry!$M$402)</f>
        <v/>
      </c>
      <c r="AF399">
        <f>IF([2]Entry!$N$402="","",[2]Entry!$N$402)</f>
        <v/>
      </c>
      <c r="AG399">
        <f>IF([3]Issues!$B$402="","",[3]Issues!$B$402)</f>
        <v/>
      </c>
      <c r="AH399">
        <f>IF([3]Issues!$D$402="","",[3]Issues!$D$402)</f>
        <v/>
      </c>
      <c r="AI399">
        <f>IF([3]Issues!$E$402="","",[3]Issues!$E$402)</f>
        <v/>
      </c>
      <c r="AJ399">
        <f>IF([2]Entry!$S$402="","",[2]Entry!$S$402)</f>
        <v/>
      </c>
      <c r="AK399">
        <f>IF([2]Entry!$C$402="","",[2]Entry!$C$402)</f>
        <v/>
      </c>
      <c r="AL399">
        <f>IF([2]Entry!$D$402="","",[2]Entry!$D$402)</f>
        <v/>
      </c>
      <c r="AM399">
        <f>IF(AND($F399&lt;&gt;"",$I399&lt;&gt;""),IF($G399="دارایی ثابت",1,0),0)</f>
        <v/>
      </c>
      <c r="AN399">
        <f>SUM($AM$6:$AM399)</f>
        <v/>
      </c>
      <c r="AO399">
        <f>IFERROR(INDEX($F$6:$F$565,MATCH(ROW()-5,$AN$6:$AN$565,0)),"")</f>
        <v/>
      </c>
      <c r="AP399">
        <f>IF(AND($F399&lt;&gt;"",$I399&lt;&gt;""),IF($G399="وام و تسهیلات",1,0),0)</f>
        <v/>
      </c>
      <c r="AQ399">
        <f>SUM($AP$6:$AP399)</f>
        <v/>
      </c>
      <c r="AR399">
        <f>IFERROR(INDEX($F$6:$F$565,MATCH(ROW()-5,$AQ$6:$AQ$565,0)),"")</f>
        <v/>
      </c>
      <c r="AS399">
        <f>IF(AND($F399&lt;&gt;"",$I399&lt;&gt;""),IF($G399="سرمایه و آورده صاحبان",1,0),0)</f>
        <v/>
      </c>
      <c r="AT399">
        <f>SUM($AS$6:$AS399)</f>
        <v/>
      </c>
      <c r="AU399">
        <f>IFERROR(INDEX($F$6:$F$565,MATCH(ROW()-5,$AT$6:$AT$565,0)),"")</f>
        <v/>
      </c>
      <c r="AW399">
        <f>IF([3]Issues!$C$402="","",[3]Issues!$C$402)</f>
        <v/>
      </c>
      <c r="AX399">
        <f>IF([4]Entry!$E$402="","",[4]Entry!$E$402)</f>
        <v/>
      </c>
      <c r="AY399">
        <f>IF([4]Entry!$H$402="","",[4]Entry!$H$402)</f>
        <v/>
      </c>
      <c r="AZ399">
        <f>IF([4]Entry!$I$402="","",[4]Entry!$I$402)</f>
        <v/>
      </c>
    </row>
    <row r="400">
      <c r="F400">
        <f>IF([1]Accounts!$D$401="","",[1]Accounts!$A$401)</f>
        <v/>
      </c>
      <c r="G400">
        <f>IF([1]Accounts!$D$401="","",[1]Accounts!$B$401)</f>
        <v/>
      </c>
      <c r="H400">
        <f>IF([1]Accounts!$D$401="","",[1]Accounts!$C$401)</f>
        <v/>
      </c>
      <c r="I400">
        <f>IF([1]Accounts!$D$401="","",[1]Accounts!$D$401)</f>
        <v/>
      </c>
      <c r="R400">
        <f>IF(AND($F400&lt;&gt;"",$I400&lt;&gt;""),IF(OR($G400="دارایی ثابت",$G400="وام و تسهیلات",$G400="سرمایه و آورده صاحبان"),0,1),0)</f>
        <v/>
      </c>
      <c r="S400">
        <f>SUM($R$6:$R400)</f>
        <v/>
      </c>
      <c r="T400">
        <f>IFERROR(INDEX($F$6:$F$565,MATCH(ROW()-5,$S$6:$S$565,0)),"")</f>
        <v/>
      </c>
      <c r="Z400">
        <f>IF([2]Entry!$E$403="","",[2]Entry!$E$403)</f>
        <v/>
      </c>
      <c r="AA400">
        <f>IF([2]Entry!$G$403="","",[2]Entry!$G$403)</f>
        <v/>
      </c>
      <c r="AB400">
        <f>IF([2]Entry!$J$403="","",[2]Entry!$J$403)</f>
        <v/>
      </c>
      <c r="AC400">
        <f>IF([2]Entry!$K$403="","",[2]Entry!$K$403)</f>
        <v/>
      </c>
      <c r="AD400">
        <f>IF([2]Entry!$L$403="","",[2]Entry!$L$403)</f>
        <v/>
      </c>
      <c r="AE400">
        <f>IF([2]Entry!$M$403="","",[2]Entry!$M$403)</f>
        <v/>
      </c>
      <c r="AF400">
        <f>IF([2]Entry!$N$403="","",[2]Entry!$N$403)</f>
        <v/>
      </c>
      <c r="AG400">
        <f>IF([3]Issues!$B$403="","",[3]Issues!$B$403)</f>
        <v/>
      </c>
      <c r="AH400">
        <f>IF([3]Issues!$D$403="","",[3]Issues!$D$403)</f>
        <v/>
      </c>
      <c r="AI400">
        <f>IF([3]Issues!$E$403="","",[3]Issues!$E$403)</f>
        <v/>
      </c>
      <c r="AJ400">
        <f>IF([2]Entry!$S$403="","",[2]Entry!$S$403)</f>
        <v/>
      </c>
      <c r="AK400">
        <f>IF([2]Entry!$C$403="","",[2]Entry!$C$403)</f>
        <v/>
      </c>
      <c r="AL400">
        <f>IF([2]Entry!$D$403="","",[2]Entry!$D$403)</f>
        <v/>
      </c>
      <c r="AM400">
        <f>IF(AND($F400&lt;&gt;"",$I400&lt;&gt;""),IF($G400="دارایی ثابت",1,0),0)</f>
        <v/>
      </c>
      <c r="AN400">
        <f>SUM($AM$6:$AM400)</f>
        <v/>
      </c>
      <c r="AO400">
        <f>IFERROR(INDEX($F$6:$F$565,MATCH(ROW()-5,$AN$6:$AN$565,0)),"")</f>
        <v/>
      </c>
      <c r="AP400">
        <f>IF(AND($F400&lt;&gt;"",$I400&lt;&gt;""),IF($G400="وام و تسهیلات",1,0),0)</f>
        <v/>
      </c>
      <c r="AQ400">
        <f>SUM($AP$6:$AP400)</f>
        <v/>
      </c>
      <c r="AR400">
        <f>IFERROR(INDEX($F$6:$F$565,MATCH(ROW()-5,$AQ$6:$AQ$565,0)),"")</f>
        <v/>
      </c>
      <c r="AS400">
        <f>IF(AND($F400&lt;&gt;"",$I400&lt;&gt;""),IF($G400="سرمایه و آورده صاحبان",1,0),0)</f>
        <v/>
      </c>
      <c r="AT400">
        <f>SUM($AS$6:$AS400)</f>
        <v/>
      </c>
      <c r="AU400">
        <f>IFERROR(INDEX($F$6:$F$565,MATCH(ROW()-5,$AT$6:$AT$565,0)),"")</f>
        <v/>
      </c>
      <c r="AW400">
        <f>IF([3]Issues!$C$403="","",[3]Issues!$C$403)</f>
        <v/>
      </c>
      <c r="AX400">
        <f>IF([4]Entry!$E$403="","",[4]Entry!$E$403)</f>
        <v/>
      </c>
      <c r="AY400">
        <f>IF([4]Entry!$H$403="","",[4]Entry!$H$403)</f>
        <v/>
      </c>
      <c r="AZ400">
        <f>IF([4]Entry!$I$403="","",[4]Entry!$I$403)</f>
        <v/>
      </c>
    </row>
    <row r="401">
      <c r="F401">
        <f>IF([1]Accounts!$D$402="","",[1]Accounts!$A$402)</f>
        <v/>
      </c>
      <c r="G401">
        <f>IF([1]Accounts!$D$402="","",[1]Accounts!$B$402)</f>
        <v/>
      </c>
      <c r="H401">
        <f>IF([1]Accounts!$D$402="","",[1]Accounts!$C$402)</f>
        <v/>
      </c>
      <c r="I401">
        <f>IF([1]Accounts!$D$402="","",[1]Accounts!$D$402)</f>
        <v/>
      </c>
      <c r="R401">
        <f>IF(AND($F401&lt;&gt;"",$I401&lt;&gt;""),IF(OR($G401="دارایی ثابت",$G401="وام و تسهیلات",$G401="سرمایه و آورده صاحبان"),0,1),0)</f>
        <v/>
      </c>
      <c r="S401">
        <f>SUM($R$6:$R401)</f>
        <v/>
      </c>
      <c r="T401">
        <f>IFERROR(INDEX($F$6:$F$565,MATCH(ROW()-5,$S$6:$S$565,0)),"")</f>
        <v/>
      </c>
      <c r="Z401">
        <f>IF([2]Entry!$E$404="","",[2]Entry!$E$404)</f>
        <v/>
      </c>
      <c r="AA401">
        <f>IF([2]Entry!$G$404="","",[2]Entry!$G$404)</f>
        <v/>
      </c>
      <c r="AB401">
        <f>IF([2]Entry!$J$404="","",[2]Entry!$J$404)</f>
        <v/>
      </c>
      <c r="AC401">
        <f>IF([2]Entry!$K$404="","",[2]Entry!$K$404)</f>
        <v/>
      </c>
      <c r="AD401">
        <f>IF([2]Entry!$L$404="","",[2]Entry!$L$404)</f>
        <v/>
      </c>
      <c r="AE401">
        <f>IF([2]Entry!$M$404="","",[2]Entry!$M$404)</f>
        <v/>
      </c>
      <c r="AF401">
        <f>IF([2]Entry!$N$404="","",[2]Entry!$N$404)</f>
        <v/>
      </c>
      <c r="AG401">
        <f>IF([3]Issues!$B$404="","",[3]Issues!$B$404)</f>
        <v/>
      </c>
      <c r="AH401">
        <f>IF([3]Issues!$D$404="","",[3]Issues!$D$404)</f>
        <v/>
      </c>
      <c r="AI401">
        <f>IF([3]Issues!$E$404="","",[3]Issues!$E$404)</f>
        <v/>
      </c>
      <c r="AJ401">
        <f>IF([2]Entry!$S$404="","",[2]Entry!$S$404)</f>
        <v/>
      </c>
      <c r="AK401">
        <f>IF([2]Entry!$C$404="","",[2]Entry!$C$404)</f>
        <v/>
      </c>
      <c r="AL401">
        <f>IF([2]Entry!$D$404="","",[2]Entry!$D$404)</f>
        <v/>
      </c>
      <c r="AM401">
        <f>IF(AND($F401&lt;&gt;"",$I401&lt;&gt;""),IF($G401="دارایی ثابت",1,0),0)</f>
        <v/>
      </c>
      <c r="AN401">
        <f>SUM($AM$6:$AM401)</f>
        <v/>
      </c>
      <c r="AO401">
        <f>IFERROR(INDEX($F$6:$F$565,MATCH(ROW()-5,$AN$6:$AN$565,0)),"")</f>
        <v/>
      </c>
      <c r="AP401">
        <f>IF(AND($F401&lt;&gt;"",$I401&lt;&gt;""),IF($G401="وام و تسهیلات",1,0),0)</f>
        <v/>
      </c>
      <c r="AQ401">
        <f>SUM($AP$6:$AP401)</f>
        <v/>
      </c>
      <c r="AR401">
        <f>IFERROR(INDEX($F$6:$F$565,MATCH(ROW()-5,$AQ$6:$AQ$565,0)),"")</f>
        <v/>
      </c>
      <c r="AS401">
        <f>IF(AND($F401&lt;&gt;"",$I401&lt;&gt;""),IF($G401="سرمایه و آورده صاحبان",1,0),0)</f>
        <v/>
      </c>
      <c r="AT401">
        <f>SUM($AS$6:$AS401)</f>
        <v/>
      </c>
      <c r="AU401">
        <f>IFERROR(INDEX($F$6:$F$565,MATCH(ROW()-5,$AT$6:$AT$565,0)),"")</f>
        <v/>
      </c>
      <c r="AW401">
        <f>IF([3]Issues!$C$404="","",[3]Issues!$C$404)</f>
        <v/>
      </c>
      <c r="AX401">
        <f>IF([4]Entry!$E$404="","",[4]Entry!$E$404)</f>
        <v/>
      </c>
      <c r="AY401">
        <f>IF([4]Entry!$H$404="","",[4]Entry!$H$404)</f>
        <v/>
      </c>
      <c r="AZ401">
        <f>IF([4]Entry!$I$404="","",[4]Entry!$I$404)</f>
        <v/>
      </c>
    </row>
    <row r="402">
      <c r="F402">
        <f>IF([1]Accounts!$D$403="","",[1]Accounts!$A$403)</f>
        <v/>
      </c>
      <c r="G402">
        <f>IF([1]Accounts!$D$403="","",[1]Accounts!$B$403)</f>
        <v/>
      </c>
      <c r="H402">
        <f>IF([1]Accounts!$D$403="","",[1]Accounts!$C$403)</f>
        <v/>
      </c>
      <c r="I402">
        <f>IF([1]Accounts!$D$403="","",[1]Accounts!$D$403)</f>
        <v/>
      </c>
      <c r="R402">
        <f>IF(AND($F402&lt;&gt;"",$I402&lt;&gt;""),IF(OR($G402="دارایی ثابت",$G402="وام و تسهیلات",$G402="سرمایه و آورده صاحبان"),0,1),0)</f>
        <v/>
      </c>
      <c r="S402">
        <f>SUM($R$6:$R402)</f>
        <v/>
      </c>
      <c r="T402">
        <f>IFERROR(INDEX($F$6:$F$565,MATCH(ROW()-5,$S$6:$S$565,0)),"")</f>
        <v/>
      </c>
      <c r="Z402">
        <f>IF([2]Entry!$E$405="","",[2]Entry!$E$405)</f>
        <v/>
      </c>
      <c r="AA402">
        <f>IF([2]Entry!$G$405="","",[2]Entry!$G$405)</f>
        <v/>
      </c>
      <c r="AB402">
        <f>IF([2]Entry!$J$405="","",[2]Entry!$J$405)</f>
        <v/>
      </c>
      <c r="AC402">
        <f>IF([2]Entry!$K$405="","",[2]Entry!$K$405)</f>
        <v/>
      </c>
      <c r="AD402">
        <f>IF([2]Entry!$L$405="","",[2]Entry!$L$405)</f>
        <v/>
      </c>
      <c r="AE402">
        <f>IF([2]Entry!$M$405="","",[2]Entry!$M$405)</f>
        <v/>
      </c>
      <c r="AF402">
        <f>IF([2]Entry!$N$405="","",[2]Entry!$N$405)</f>
        <v/>
      </c>
      <c r="AG402">
        <f>IF([3]Issues!$B$405="","",[3]Issues!$B$405)</f>
        <v/>
      </c>
      <c r="AH402">
        <f>IF([3]Issues!$D$405="","",[3]Issues!$D$405)</f>
        <v/>
      </c>
      <c r="AI402">
        <f>IF([3]Issues!$E$405="","",[3]Issues!$E$405)</f>
        <v/>
      </c>
      <c r="AJ402">
        <f>IF([2]Entry!$S$405="","",[2]Entry!$S$405)</f>
        <v/>
      </c>
      <c r="AK402">
        <f>IF([2]Entry!$C$405="","",[2]Entry!$C$405)</f>
        <v/>
      </c>
      <c r="AL402">
        <f>IF([2]Entry!$D$405="","",[2]Entry!$D$405)</f>
        <v/>
      </c>
      <c r="AM402">
        <f>IF(AND($F402&lt;&gt;"",$I402&lt;&gt;""),IF($G402="دارایی ثابت",1,0),0)</f>
        <v/>
      </c>
      <c r="AN402">
        <f>SUM($AM$6:$AM402)</f>
        <v/>
      </c>
      <c r="AO402">
        <f>IFERROR(INDEX($F$6:$F$565,MATCH(ROW()-5,$AN$6:$AN$565,0)),"")</f>
        <v/>
      </c>
      <c r="AP402">
        <f>IF(AND($F402&lt;&gt;"",$I402&lt;&gt;""),IF($G402="وام و تسهیلات",1,0),0)</f>
        <v/>
      </c>
      <c r="AQ402">
        <f>SUM($AP$6:$AP402)</f>
        <v/>
      </c>
      <c r="AR402">
        <f>IFERROR(INDEX($F$6:$F$565,MATCH(ROW()-5,$AQ$6:$AQ$565,0)),"")</f>
        <v/>
      </c>
      <c r="AS402">
        <f>IF(AND($F402&lt;&gt;"",$I402&lt;&gt;""),IF($G402="سرمایه و آورده صاحبان",1,0),0)</f>
        <v/>
      </c>
      <c r="AT402">
        <f>SUM($AS$6:$AS402)</f>
        <v/>
      </c>
      <c r="AU402">
        <f>IFERROR(INDEX($F$6:$F$565,MATCH(ROW()-5,$AT$6:$AT$565,0)),"")</f>
        <v/>
      </c>
      <c r="AW402">
        <f>IF([3]Issues!$C$405="","",[3]Issues!$C$405)</f>
        <v/>
      </c>
      <c r="AX402">
        <f>IF([4]Entry!$E$405="","",[4]Entry!$E$405)</f>
        <v/>
      </c>
      <c r="AY402">
        <f>IF([4]Entry!$H$405="","",[4]Entry!$H$405)</f>
        <v/>
      </c>
      <c r="AZ402">
        <f>IF([4]Entry!$I$405="","",[4]Entry!$I$405)</f>
        <v/>
      </c>
    </row>
    <row r="403">
      <c r="F403">
        <f>IF([1]Accounts!$D$404="","",[1]Accounts!$A$404)</f>
        <v/>
      </c>
      <c r="G403">
        <f>IF([1]Accounts!$D$404="","",[1]Accounts!$B$404)</f>
        <v/>
      </c>
      <c r="H403">
        <f>IF([1]Accounts!$D$404="","",[1]Accounts!$C$404)</f>
        <v/>
      </c>
      <c r="I403">
        <f>IF([1]Accounts!$D$404="","",[1]Accounts!$D$404)</f>
        <v/>
      </c>
      <c r="R403">
        <f>IF(AND($F403&lt;&gt;"",$I403&lt;&gt;""),IF(OR($G403="دارایی ثابت",$G403="وام و تسهیلات",$G403="سرمایه و آورده صاحبان"),0,1),0)</f>
        <v/>
      </c>
      <c r="S403">
        <f>SUM($R$6:$R403)</f>
        <v/>
      </c>
      <c r="T403">
        <f>IFERROR(INDEX($F$6:$F$565,MATCH(ROW()-5,$S$6:$S$565,0)),"")</f>
        <v/>
      </c>
      <c r="Z403">
        <f>IF([2]Entry!$E$406="","",[2]Entry!$E$406)</f>
        <v/>
      </c>
      <c r="AA403">
        <f>IF([2]Entry!$G$406="","",[2]Entry!$G$406)</f>
        <v/>
      </c>
      <c r="AB403">
        <f>IF([2]Entry!$J$406="","",[2]Entry!$J$406)</f>
        <v/>
      </c>
      <c r="AC403">
        <f>IF([2]Entry!$K$406="","",[2]Entry!$K$406)</f>
        <v/>
      </c>
      <c r="AD403">
        <f>IF([2]Entry!$L$406="","",[2]Entry!$L$406)</f>
        <v/>
      </c>
      <c r="AE403">
        <f>IF([2]Entry!$M$406="","",[2]Entry!$M$406)</f>
        <v/>
      </c>
      <c r="AF403">
        <f>IF([2]Entry!$N$406="","",[2]Entry!$N$406)</f>
        <v/>
      </c>
      <c r="AG403">
        <f>IF([3]Issues!$B$406="","",[3]Issues!$B$406)</f>
        <v/>
      </c>
      <c r="AH403">
        <f>IF([3]Issues!$D$406="","",[3]Issues!$D$406)</f>
        <v/>
      </c>
      <c r="AI403">
        <f>IF([3]Issues!$E$406="","",[3]Issues!$E$406)</f>
        <v/>
      </c>
      <c r="AJ403">
        <f>IF([2]Entry!$S$406="","",[2]Entry!$S$406)</f>
        <v/>
      </c>
      <c r="AK403">
        <f>IF([2]Entry!$C$406="","",[2]Entry!$C$406)</f>
        <v/>
      </c>
      <c r="AL403">
        <f>IF([2]Entry!$D$406="","",[2]Entry!$D$406)</f>
        <v/>
      </c>
      <c r="AM403">
        <f>IF(AND($F403&lt;&gt;"",$I403&lt;&gt;""),IF($G403="دارایی ثابت",1,0),0)</f>
        <v/>
      </c>
      <c r="AN403">
        <f>SUM($AM$6:$AM403)</f>
        <v/>
      </c>
      <c r="AO403">
        <f>IFERROR(INDEX($F$6:$F$565,MATCH(ROW()-5,$AN$6:$AN$565,0)),"")</f>
        <v/>
      </c>
      <c r="AP403">
        <f>IF(AND($F403&lt;&gt;"",$I403&lt;&gt;""),IF($G403="وام و تسهیلات",1,0),0)</f>
        <v/>
      </c>
      <c r="AQ403">
        <f>SUM($AP$6:$AP403)</f>
        <v/>
      </c>
      <c r="AR403">
        <f>IFERROR(INDEX($F$6:$F$565,MATCH(ROW()-5,$AQ$6:$AQ$565,0)),"")</f>
        <v/>
      </c>
      <c r="AS403">
        <f>IF(AND($F403&lt;&gt;"",$I403&lt;&gt;""),IF($G403="سرمایه و آورده صاحبان",1,0),0)</f>
        <v/>
      </c>
      <c r="AT403">
        <f>SUM($AS$6:$AS403)</f>
        <v/>
      </c>
      <c r="AU403">
        <f>IFERROR(INDEX($F$6:$F$565,MATCH(ROW()-5,$AT$6:$AT$565,0)),"")</f>
        <v/>
      </c>
      <c r="AW403">
        <f>IF([3]Issues!$C$406="","",[3]Issues!$C$406)</f>
        <v/>
      </c>
      <c r="AX403">
        <f>IF([4]Entry!$E$406="","",[4]Entry!$E$406)</f>
        <v/>
      </c>
      <c r="AY403">
        <f>IF([4]Entry!$H$406="","",[4]Entry!$H$406)</f>
        <v/>
      </c>
      <c r="AZ403">
        <f>IF([4]Entry!$I$406="","",[4]Entry!$I$406)</f>
        <v/>
      </c>
    </row>
    <row r="404">
      <c r="F404">
        <f>IF([1]Accounts!$D$405="","",[1]Accounts!$A$405)</f>
        <v/>
      </c>
      <c r="G404">
        <f>IF([1]Accounts!$D$405="","",[1]Accounts!$B$405)</f>
        <v/>
      </c>
      <c r="H404">
        <f>IF([1]Accounts!$D$405="","",[1]Accounts!$C$405)</f>
        <v/>
      </c>
      <c r="I404">
        <f>IF([1]Accounts!$D$405="","",[1]Accounts!$D$405)</f>
        <v/>
      </c>
      <c r="R404">
        <f>IF(AND($F404&lt;&gt;"",$I404&lt;&gt;""),IF(OR($G404="دارایی ثابت",$G404="وام و تسهیلات",$G404="سرمایه و آورده صاحبان"),0,1),0)</f>
        <v/>
      </c>
      <c r="S404">
        <f>SUM($R$6:$R404)</f>
        <v/>
      </c>
      <c r="T404">
        <f>IFERROR(INDEX($F$6:$F$565,MATCH(ROW()-5,$S$6:$S$565,0)),"")</f>
        <v/>
      </c>
      <c r="Z404">
        <f>IF([2]Entry!$E$407="","",[2]Entry!$E$407)</f>
        <v/>
      </c>
      <c r="AA404">
        <f>IF([2]Entry!$G$407="","",[2]Entry!$G$407)</f>
        <v/>
      </c>
      <c r="AB404">
        <f>IF([2]Entry!$J$407="","",[2]Entry!$J$407)</f>
        <v/>
      </c>
      <c r="AC404">
        <f>IF([2]Entry!$K$407="","",[2]Entry!$K$407)</f>
        <v/>
      </c>
      <c r="AD404">
        <f>IF([2]Entry!$L$407="","",[2]Entry!$L$407)</f>
        <v/>
      </c>
      <c r="AE404">
        <f>IF([2]Entry!$M$407="","",[2]Entry!$M$407)</f>
        <v/>
      </c>
      <c r="AF404">
        <f>IF([2]Entry!$N$407="","",[2]Entry!$N$407)</f>
        <v/>
      </c>
      <c r="AG404">
        <f>IF([3]Issues!$B$407="","",[3]Issues!$B$407)</f>
        <v/>
      </c>
      <c r="AH404">
        <f>IF([3]Issues!$D$407="","",[3]Issues!$D$407)</f>
        <v/>
      </c>
      <c r="AI404">
        <f>IF([3]Issues!$E$407="","",[3]Issues!$E$407)</f>
        <v/>
      </c>
      <c r="AJ404">
        <f>IF([2]Entry!$S$407="","",[2]Entry!$S$407)</f>
        <v/>
      </c>
      <c r="AK404">
        <f>IF([2]Entry!$C$407="","",[2]Entry!$C$407)</f>
        <v/>
      </c>
      <c r="AL404">
        <f>IF([2]Entry!$D$407="","",[2]Entry!$D$407)</f>
        <v/>
      </c>
      <c r="AM404">
        <f>IF(AND($F404&lt;&gt;"",$I404&lt;&gt;""),IF($G404="دارایی ثابت",1,0),0)</f>
        <v/>
      </c>
      <c r="AN404">
        <f>SUM($AM$6:$AM404)</f>
        <v/>
      </c>
      <c r="AO404">
        <f>IFERROR(INDEX($F$6:$F$565,MATCH(ROW()-5,$AN$6:$AN$565,0)),"")</f>
        <v/>
      </c>
      <c r="AP404">
        <f>IF(AND($F404&lt;&gt;"",$I404&lt;&gt;""),IF($G404="وام و تسهیلات",1,0),0)</f>
        <v/>
      </c>
      <c r="AQ404">
        <f>SUM($AP$6:$AP404)</f>
        <v/>
      </c>
      <c r="AR404">
        <f>IFERROR(INDEX($F$6:$F$565,MATCH(ROW()-5,$AQ$6:$AQ$565,0)),"")</f>
        <v/>
      </c>
      <c r="AS404">
        <f>IF(AND($F404&lt;&gt;"",$I404&lt;&gt;""),IF($G404="سرمایه و آورده صاحبان",1,0),0)</f>
        <v/>
      </c>
      <c r="AT404">
        <f>SUM($AS$6:$AS404)</f>
        <v/>
      </c>
      <c r="AU404">
        <f>IFERROR(INDEX($F$6:$F$565,MATCH(ROW()-5,$AT$6:$AT$565,0)),"")</f>
        <v/>
      </c>
      <c r="AW404">
        <f>IF([3]Issues!$C$407="","",[3]Issues!$C$407)</f>
        <v/>
      </c>
      <c r="AX404">
        <f>IF([4]Entry!$E$407="","",[4]Entry!$E$407)</f>
        <v/>
      </c>
      <c r="AY404">
        <f>IF([4]Entry!$H$407="","",[4]Entry!$H$407)</f>
        <v/>
      </c>
      <c r="AZ404">
        <f>IF([4]Entry!$I$407="","",[4]Entry!$I$407)</f>
        <v/>
      </c>
    </row>
    <row r="405">
      <c r="F405">
        <f>IF([1]Accounts!$D$406="","",[1]Accounts!$A$406)</f>
        <v/>
      </c>
      <c r="G405">
        <f>IF([1]Accounts!$D$406="","",[1]Accounts!$B$406)</f>
        <v/>
      </c>
      <c r="H405">
        <f>IF([1]Accounts!$D$406="","",[1]Accounts!$C$406)</f>
        <v/>
      </c>
      <c r="I405">
        <f>IF([1]Accounts!$D$406="","",[1]Accounts!$D$406)</f>
        <v/>
      </c>
      <c r="R405">
        <f>IF(AND($F405&lt;&gt;"",$I405&lt;&gt;""),IF(OR($G405="دارایی ثابت",$G405="وام و تسهیلات",$G405="سرمایه و آورده صاحبان"),0,1),0)</f>
        <v/>
      </c>
      <c r="S405">
        <f>SUM($R$6:$R405)</f>
        <v/>
      </c>
      <c r="T405">
        <f>IFERROR(INDEX($F$6:$F$565,MATCH(ROW()-5,$S$6:$S$565,0)),"")</f>
        <v/>
      </c>
      <c r="Z405">
        <f>IF([2]Entry!$E$408="","",[2]Entry!$E$408)</f>
        <v/>
      </c>
      <c r="AA405">
        <f>IF([2]Entry!$G$408="","",[2]Entry!$G$408)</f>
        <v/>
      </c>
      <c r="AB405">
        <f>IF([2]Entry!$J$408="","",[2]Entry!$J$408)</f>
        <v/>
      </c>
      <c r="AC405">
        <f>IF([2]Entry!$K$408="","",[2]Entry!$K$408)</f>
        <v/>
      </c>
      <c r="AD405">
        <f>IF([2]Entry!$L$408="","",[2]Entry!$L$408)</f>
        <v/>
      </c>
      <c r="AE405">
        <f>IF([2]Entry!$M$408="","",[2]Entry!$M$408)</f>
        <v/>
      </c>
      <c r="AF405">
        <f>IF([2]Entry!$N$408="","",[2]Entry!$N$408)</f>
        <v/>
      </c>
      <c r="AG405">
        <f>IF([3]Issues!$B$408="","",[3]Issues!$B$408)</f>
        <v/>
      </c>
      <c r="AH405">
        <f>IF([3]Issues!$D$408="","",[3]Issues!$D$408)</f>
        <v/>
      </c>
      <c r="AI405">
        <f>IF([3]Issues!$E$408="","",[3]Issues!$E$408)</f>
        <v/>
      </c>
      <c r="AJ405">
        <f>IF([2]Entry!$S$408="","",[2]Entry!$S$408)</f>
        <v/>
      </c>
      <c r="AK405">
        <f>IF([2]Entry!$C$408="","",[2]Entry!$C$408)</f>
        <v/>
      </c>
      <c r="AL405">
        <f>IF([2]Entry!$D$408="","",[2]Entry!$D$408)</f>
        <v/>
      </c>
      <c r="AM405">
        <f>IF(AND($F405&lt;&gt;"",$I405&lt;&gt;""),IF($G405="دارایی ثابت",1,0),0)</f>
        <v/>
      </c>
      <c r="AN405">
        <f>SUM($AM$6:$AM405)</f>
        <v/>
      </c>
      <c r="AO405">
        <f>IFERROR(INDEX($F$6:$F$565,MATCH(ROW()-5,$AN$6:$AN$565,0)),"")</f>
        <v/>
      </c>
      <c r="AP405">
        <f>IF(AND($F405&lt;&gt;"",$I405&lt;&gt;""),IF($G405="وام و تسهیلات",1,0),0)</f>
        <v/>
      </c>
      <c r="AQ405">
        <f>SUM($AP$6:$AP405)</f>
        <v/>
      </c>
      <c r="AR405">
        <f>IFERROR(INDEX($F$6:$F$565,MATCH(ROW()-5,$AQ$6:$AQ$565,0)),"")</f>
        <v/>
      </c>
      <c r="AS405">
        <f>IF(AND($F405&lt;&gt;"",$I405&lt;&gt;""),IF($G405="سرمایه و آورده صاحبان",1,0),0)</f>
        <v/>
      </c>
      <c r="AT405">
        <f>SUM($AS$6:$AS405)</f>
        <v/>
      </c>
      <c r="AU405">
        <f>IFERROR(INDEX($F$6:$F$565,MATCH(ROW()-5,$AT$6:$AT$565,0)),"")</f>
        <v/>
      </c>
      <c r="AW405">
        <f>IF([3]Issues!$C$408="","",[3]Issues!$C$408)</f>
        <v/>
      </c>
      <c r="AX405">
        <f>IF([4]Entry!$E$408="","",[4]Entry!$E$408)</f>
        <v/>
      </c>
      <c r="AY405">
        <f>IF([4]Entry!$H$408="","",[4]Entry!$H$408)</f>
        <v/>
      </c>
      <c r="AZ405">
        <f>IF([4]Entry!$I$408="","",[4]Entry!$I$408)</f>
        <v/>
      </c>
    </row>
    <row r="406">
      <c r="F406">
        <f>IF([1]Accounts!$D$407="","",[1]Accounts!$A$407)</f>
        <v/>
      </c>
      <c r="G406">
        <f>IF([1]Accounts!$D$407="","",[1]Accounts!$B$407)</f>
        <v/>
      </c>
      <c r="H406">
        <f>IF([1]Accounts!$D$407="","",[1]Accounts!$C$407)</f>
        <v/>
      </c>
      <c r="I406">
        <f>IF([1]Accounts!$D$407="","",[1]Accounts!$D$407)</f>
        <v/>
      </c>
      <c r="R406">
        <f>IF(AND($F406&lt;&gt;"",$I406&lt;&gt;""),IF(OR($G406="دارایی ثابت",$G406="وام و تسهیلات",$G406="سرمایه و آورده صاحبان"),0,1),0)</f>
        <v/>
      </c>
      <c r="S406">
        <f>SUM($R$6:$R406)</f>
        <v/>
      </c>
      <c r="T406">
        <f>IFERROR(INDEX($F$6:$F$565,MATCH(ROW()-5,$S$6:$S$565,0)),"")</f>
        <v/>
      </c>
      <c r="Z406">
        <f>IF([2]Entry!$E$409="","",[2]Entry!$E$409)</f>
        <v/>
      </c>
      <c r="AA406">
        <f>IF([2]Entry!$G$409="","",[2]Entry!$G$409)</f>
        <v/>
      </c>
      <c r="AB406">
        <f>IF([2]Entry!$J$409="","",[2]Entry!$J$409)</f>
        <v/>
      </c>
      <c r="AC406">
        <f>IF([2]Entry!$K$409="","",[2]Entry!$K$409)</f>
        <v/>
      </c>
      <c r="AD406">
        <f>IF([2]Entry!$L$409="","",[2]Entry!$L$409)</f>
        <v/>
      </c>
      <c r="AE406">
        <f>IF([2]Entry!$M$409="","",[2]Entry!$M$409)</f>
        <v/>
      </c>
      <c r="AF406">
        <f>IF([2]Entry!$N$409="","",[2]Entry!$N$409)</f>
        <v/>
      </c>
      <c r="AG406">
        <f>IF([3]Issues!$B$409="","",[3]Issues!$B$409)</f>
        <v/>
      </c>
      <c r="AH406">
        <f>IF([3]Issues!$D$409="","",[3]Issues!$D$409)</f>
        <v/>
      </c>
      <c r="AI406">
        <f>IF([3]Issues!$E$409="","",[3]Issues!$E$409)</f>
        <v/>
      </c>
      <c r="AJ406">
        <f>IF([2]Entry!$S$409="","",[2]Entry!$S$409)</f>
        <v/>
      </c>
      <c r="AK406">
        <f>IF([2]Entry!$C$409="","",[2]Entry!$C$409)</f>
        <v/>
      </c>
      <c r="AL406">
        <f>IF([2]Entry!$D$409="","",[2]Entry!$D$409)</f>
        <v/>
      </c>
      <c r="AM406">
        <f>IF(AND($F406&lt;&gt;"",$I406&lt;&gt;""),IF($G406="دارایی ثابت",1,0),0)</f>
        <v/>
      </c>
      <c r="AN406">
        <f>SUM($AM$6:$AM406)</f>
        <v/>
      </c>
      <c r="AO406">
        <f>IFERROR(INDEX($F$6:$F$565,MATCH(ROW()-5,$AN$6:$AN$565,0)),"")</f>
        <v/>
      </c>
      <c r="AP406">
        <f>IF(AND($F406&lt;&gt;"",$I406&lt;&gt;""),IF($G406="وام و تسهیلات",1,0),0)</f>
        <v/>
      </c>
      <c r="AQ406">
        <f>SUM($AP$6:$AP406)</f>
        <v/>
      </c>
      <c r="AR406">
        <f>IFERROR(INDEX($F$6:$F$565,MATCH(ROW()-5,$AQ$6:$AQ$565,0)),"")</f>
        <v/>
      </c>
      <c r="AS406">
        <f>IF(AND($F406&lt;&gt;"",$I406&lt;&gt;""),IF($G406="سرمایه و آورده صاحبان",1,0),0)</f>
        <v/>
      </c>
      <c r="AT406">
        <f>SUM($AS$6:$AS406)</f>
        <v/>
      </c>
      <c r="AU406">
        <f>IFERROR(INDEX($F$6:$F$565,MATCH(ROW()-5,$AT$6:$AT$565,0)),"")</f>
        <v/>
      </c>
      <c r="AW406">
        <f>IF([3]Issues!$C$409="","",[3]Issues!$C$409)</f>
        <v/>
      </c>
      <c r="AX406">
        <f>IF([4]Entry!$E$409="","",[4]Entry!$E$409)</f>
        <v/>
      </c>
      <c r="AY406">
        <f>IF([4]Entry!$H$409="","",[4]Entry!$H$409)</f>
        <v/>
      </c>
      <c r="AZ406">
        <f>IF([4]Entry!$I$409="","",[4]Entry!$I$409)</f>
        <v/>
      </c>
    </row>
    <row r="407">
      <c r="F407">
        <f>IF([1]Accounts!$D$408="","",[1]Accounts!$A$408)</f>
        <v/>
      </c>
      <c r="G407">
        <f>IF([1]Accounts!$D$408="","",[1]Accounts!$B$408)</f>
        <v/>
      </c>
      <c r="H407">
        <f>IF([1]Accounts!$D$408="","",[1]Accounts!$C$408)</f>
        <v/>
      </c>
      <c r="I407">
        <f>IF([1]Accounts!$D$408="","",[1]Accounts!$D$408)</f>
        <v/>
      </c>
      <c r="R407">
        <f>IF(AND($F407&lt;&gt;"",$I407&lt;&gt;""),IF(OR($G407="دارایی ثابت",$G407="وام و تسهیلات",$G407="سرمایه و آورده صاحبان"),0,1),0)</f>
        <v/>
      </c>
      <c r="S407">
        <f>SUM($R$6:$R407)</f>
        <v/>
      </c>
      <c r="T407">
        <f>IFERROR(INDEX($F$6:$F$565,MATCH(ROW()-5,$S$6:$S$565,0)),"")</f>
        <v/>
      </c>
      <c r="Z407">
        <f>IF([2]Entry!$E$410="","",[2]Entry!$E$410)</f>
        <v/>
      </c>
      <c r="AA407">
        <f>IF([2]Entry!$G$410="","",[2]Entry!$G$410)</f>
        <v/>
      </c>
      <c r="AB407">
        <f>IF([2]Entry!$J$410="","",[2]Entry!$J$410)</f>
        <v/>
      </c>
      <c r="AC407">
        <f>IF([2]Entry!$K$410="","",[2]Entry!$K$410)</f>
        <v/>
      </c>
      <c r="AD407">
        <f>IF([2]Entry!$L$410="","",[2]Entry!$L$410)</f>
        <v/>
      </c>
      <c r="AE407">
        <f>IF([2]Entry!$M$410="","",[2]Entry!$M$410)</f>
        <v/>
      </c>
      <c r="AF407">
        <f>IF([2]Entry!$N$410="","",[2]Entry!$N$410)</f>
        <v/>
      </c>
      <c r="AG407">
        <f>IF([3]Issues!$B$410="","",[3]Issues!$B$410)</f>
        <v/>
      </c>
      <c r="AH407">
        <f>IF([3]Issues!$D$410="","",[3]Issues!$D$410)</f>
        <v/>
      </c>
      <c r="AI407">
        <f>IF([3]Issues!$E$410="","",[3]Issues!$E$410)</f>
        <v/>
      </c>
      <c r="AJ407">
        <f>IF([2]Entry!$S$410="","",[2]Entry!$S$410)</f>
        <v/>
      </c>
      <c r="AK407">
        <f>IF([2]Entry!$C$410="","",[2]Entry!$C$410)</f>
        <v/>
      </c>
      <c r="AL407">
        <f>IF([2]Entry!$D$410="","",[2]Entry!$D$410)</f>
        <v/>
      </c>
      <c r="AM407">
        <f>IF(AND($F407&lt;&gt;"",$I407&lt;&gt;""),IF($G407="دارایی ثابت",1,0),0)</f>
        <v/>
      </c>
      <c r="AN407">
        <f>SUM($AM$6:$AM407)</f>
        <v/>
      </c>
      <c r="AO407">
        <f>IFERROR(INDEX($F$6:$F$565,MATCH(ROW()-5,$AN$6:$AN$565,0)),"")</f>
        <v/>
      </c>
      <c r="AP407">
        <f>IF(AND($F407&lt;&gt;"",$I407&lt;&gt;""),IF($G407="وام و تسهیلات",1,0),0)</f>
        <v/>
      </c>
      <c r="AQ407">
        <f>SUM($AP$6:$AP407)</f>
        <v/>
      </c>
      <c r="AR407">
        <f>IFERROR(INDEX($F$6:$F$565,MATCH(ROW()-5,$AQ$6:$AQ$565,0)),"")</f>
        <v/>
      </c>
      <c r="AS407">
        <f>IF(AND($F407&lt;&gt;"",$I407&lt;&gt;""),IF($G407="سرمایه و آورده صاحبان",1,0),0)</f>
        <v/>
      </c>
      <c r="AT407">
        <f>SUM($AS$6:$AS407)</f>
        <v/>
      </c>
      <c r="AU407">
        <f>IFERROR(INDEX($F$6:$F$565,MATCH(ROW()-5,$AT$6:$AT$565,0)),"")</f>
        <v/>
      </c>
      <c r="AW407">
        <f>IF([3]Issues!$C$410="","",[3]Issues!$C$410)</f>
        <v/>
      </c>
      <c r="AX407">
        <f>IF([4]Entry!$E$410="","",[4]Entry!$E$410)</f>
        <v/>
      </c>
      <c r="AY407">
        <f>IF([4]Entry!$H$410="","",[4]Entry!$H$410)</f>
        <v/>
      </c>
      <c r="AZ407">
        <f>IF([4]Entry!$I$410="","",[4]Entry!$I$410)</f>
        <v/>
      </c>
    </row>
    <row r="408">
      <c r="F408">
        <f>IF([1]Accounts!$D$409="","",[1]Accounts!$A$409)</f>
        <v/>
      </c>
      <c r="G408">
        <f>IF([1]Accounts!$D$409="","",[1]Accounts!$B$409)</f>
        <v/>
      </c>
      <c r="H408">
        <f>IF([1]Accounts!$D$409="","",[1]Accounts!$C$409)</f>
        <v/>
      </c>
      <c r="I408">
        <f>IF([1]Accounts!$D$409="","",[1]Accounts!$D$409)</f>
        <v/>
      </c>
      <c r="R408">
        <f>IF(AND($F408&lt;&gt;"",$I408&lt;&gt;""),IF(OR($G408="دارایی ثابت",$G408="وام و تسهیلات",$G408="سرمایه و آورده صاحبان"),0,1),0)</f>
        <v/>
      </c>
      <c r="S408">
        <f>SUM($R$6:$R408)</f>
        <v/>
      </c>
      <c r="T408">
        <f>IFERROR(INDEX($F$6:$F$565,MATCH(ROW()-5,$S$6:$S$565,0)),"")</f>
        <v/>
      </c>
      <c r="Z408">
        <f>IF([2]Entry!$E$411="","",[2]Entry!$E$411)</f>
        <v/>
      </c>
      <c r="AA408">
        <f>IF([2]Entry!$G$411="","",[2]Entry!$G$411)</f>
        <v/>
      </c>
      <c r="AB408">
        <f>IF([2]Entry!$J$411="","",[2]Entry!$J$411)</f>
        <v/>
      </c>
      <c r="AC408">
        <f>IF([2]Entry!$K$411="","",[2]Entry!$K$411)</f>
        <v/>
      </c>
      <c r="AD408">
        <f>IF([2]Entry!$L$411="","",[2]Entry!$L$411)</f>
        <v/>
      </c>
      <c r="AE408">
        <f>IF([2]Entry!$M$411="","",[2]Entry!$M$411)</f>
        <v/>
      </c>
      <c r="AF408">
        <f>IF([2]Entry!$N$411="","",[2]Entry!$N$411)</f>
        <v/>
      </c>
      <c r="AG408">
        <f>IF([3]Issues!$B$411="","",[3]Issues!$B$411)</f>
        <v/>
      </c>
      <c r="AH408">
        <f>IF([3]Issues!$D$411="","",[3]Issues!$D$411)</f>
        <v/>
      </c>
      <c r="AI408">
        <f>IF([3]Issues!$E$411="","",[3]Issues!$E$411)</f>
        <v/>
      </c>
      <c r="AJ408">
        <f>IF([2]Entry!$S$411="","",[2]Entry!$S$411)</f>
        <v/>
      </c>
      <c r="AK408">
        <f>IF([2]Entry!$C$411="","",[2]Entry!$C$411)</f>
        <v/>
      </c>
      <c r="AL408">
        <f>IF([2]Entry!$D$411="","",[2]Entry!$D$411)</f>
        <v/>
      </c>
      <c r="AM408">
        <f>IF(AND($F408&lt;&gt;"",$I408&lt;&gt;""),IF($G408="دارایی ثابت",1,0),0)</f>
        <v/>
      </c>
      <c r="AN408">
        <f>SUM($AM$6:$AM408)</f>
        <v/>
      </c>
      <c r="AO408">
        <f>IFERROR(INDEX($F$6:$F$565,MATCH(ROW()-5,$AN$6:$AN$565,0)),"")</f>
        <v/>
      </c>
      <c r="AP408">
        <f>IF(AND($F408&lt;&gt;"",$I408&lt;&gt;""),IF($G408="وام و تسهیلات",1,0),0)</f>
        <v/>
      </c>
      <c r="AQ408">
        <f>SUM($AP$6:$AP408)</f>
        <v/>
      </c>
      <c r="AR408">
        <f>IFERROR(INDEX($F$6:$F$565,MATCH(ROW()-5,$AQ$6:$AQ$565,0)),"")</f>
        <v/>
      </c>
      <c r="AS408">
        <f>IF(AND($F408&lt;&gt;"",$I408&lt;&gt;""),IF($G408="سرمایه و آورده صاحبان",1,0),0)</f>
        <v/>
      </c>
      <c r="AT408">
        <f>SUM($AS$6:$AS408)</f>
        <v/>
      </c>
      <c r="AU408">
        <f>IFERROR(INDEX($F$6:$F$565,MATCH(ROW()-5,$AT$6:$AT$565,0)),"")</f>
        <v/>
      </c>
      <c r="AW408">
        <f>IF([3]Issues!$C$411="","",[3]Issues!$C$411)</f>
        <v/>
      </c>
      <c r="AX408">
        <f>IF([4]Entry!$E$411="","",[4]Entry!$E$411)</f>
        <v/>
      </c>
      <c r="AY408">
        <f>IF([4]Entry!$H$411="","",[4]Entry!$H$411)</f>
        <v/>
      </c>
      <c r="AZ408">
        <f>IF([4]Entry!$I$411="","",[4]Entry!$I$411)</f>
        <v/>
      </c>
    </row>
    <row r="409">
      <c r="F409">
        <f>IF([1]Accounts!$D$410="","",[1]Accounts!$A$410)</f>
        <v/>
      </c>
      <c r="G409">
        <f>IF([1]Accounts!$D$410="","",[1]Accounts!$B$410)</f>
        <v/>
      </c>
      <c r="H409">
        <f>IF([1]Accounts!$D$410="","",[1]Accounts!$C$410)</f>
        <v/>
      </c>
      <c r="I409">
        <f>IF([1]Accounts!$D$410="","",[1]Accounts!$D$410)</f>
        <v/>
      </c>
      <c r="R409">
        <f>IF(AND($F409&lt;&gt;"",$I409&lt;&gt;""),IF(OR($G409="دارایی ثابت",$G409="وام و تسهیلات",$G409="سرمایه و آورده صاحبان"),0,1),0)</f>
        <v/>
      </c>
      <c r="S409">
        <f>SUM($R$6:$R409)</f>
        <v/>
      </c>
      <c r="T409">
        <f>IFERROR(INDEX($F$6:$F$565,MATCH(ROW()-5,$S$6:$S$565,0)),"")</f>
        <v/>
      </c>
      <c r="Z409">
        <f>IF([2]Entry!$E$412="","",[2]Entry!$E$412)</f>
        <v/>
      </c>
      <c r="AA409">
        <f>IF([2]Entry!$G$412="","",[2]Entry!$G$412)</f>
        <v/>
      </c>
      <c r="AB409">
        <f>IF([2]Entry!$J$412="","",[2]Entry!$J$412)</f>
        <v/>
      </c>
      <c r="AC409">
        <f>IF([2]Entry!$K$412="","",[2]Entry!$K$412)</f>
        <v/>
      </c>
      <c r="AD409">
        <f>IF([2]Entry!$L$412="","",[2]Entry!$L$412)</f>
        <v/>
      </c>
      <c r="AE409">
        <f>IF([2]Entry!$M$412="","",[2]Entry!$M$412)</f>
        <v/>
      </c>
      <c r="AF409">
        <f>IF([2]Entry!$N$412="","",[2]Entry!$N$412)</f>
        <v/>
      </c>
      <c r="AG409">
        <f>IF([3]Issues!$B$412="","",[3]Issues!$B$412)</f>
        <v/>
      </c>
      <c r="AH409">
        <f>IF([3]Issues!$D$412="","",[3]Issues!$D$412)</f>
        <v/>
      </c>
      <c r="AI409">
        <f>IF([3]Issues!$E$412="","",[3]Issues!$E$412)</f>
        <v/>
      </c>
      <c r="AJ409">
        <f>IF([2]Entry!$S$412="","",[2]Entry!$S$412)</f>
        <v/>
      </c>
      <c r="AK409">
        <f>IF([2]Entry!$C$412="","",[2]Entry!$C$412)</f>
        <v/>
      </c>
      <c r="AL409">
        <f>IF([2]Entry!$D$412="","",[2]Entry!$D$412)</f>
        <v/>
      </c>
      <c r="AM409">
        <f>IF(AND($F409&lt;&gt;"",$I409&lt;&gt;""),IF($G409="دارایی ثابت",1,0),0)</f>
        <v/>
      </c>
      <c r="AN409">
        <f>SUM($AM$6:$AM409)</f>
        <v/>
      </c>
      <c r="AO409">
        <f>IFERROR(INDEX($F$6:$F$565,MATCH(ROW()-5,$AN$6:$AN$565,0)),"")</f>
        <v/>
      </c>
      <c r="AP409">
        <f>IF(AND($F409&lt;&gt;"",$I409&lt;&gt;""),IF($G409="وام و تسهیلات",1,0),0)</f>
        <v/>
      </c>
      <c r="AQ409">
        <f>SUM($AP$6:$AP409)</f>
        <v/>
      </c>
      <c r="AR409">
        <f>IFERROR(INDEX($F$6:$F$565,MATCH(ROW()-5,$AQ$6:$AQ$565,0)),"")</f>
        <v/>
      </c>
      <c r="AS409">
        <f>IF(AND($F409&lt;&gt;"",$I409&lt;&gt;""),IF($G409="سرمایه و آورده صاحبان",1,0),0)</f>
        <v/>
      </c>
      <c r="AT409">
        <f>SUM($AS$6:$AS409)</f>
        <v/>
      </c>
      <c r="AU409">
        <f>IFERROR(INDEX($F$6:$F$565,MATCH(ROW()-5,$AT$6:$AT$565,0)),"")</f>
        <v/>
      </c>
      <c r="AW409">
        <f>IF([3]Issues!$C$412="","",[3]Issues!$C$412)</f>
        <v/>
      </c>
      <c r="AX409">
        <f>IF([4]Entry!$E$412="","",[4]Entry!$E$412)</f>
        <v/>
      </c>
      <c r="AY409">
        <f>IF([4]Entry!$H$412="","",[4]Entry!$H$412)</f>
        <v/>
      </c>
      <c r="AZ409">
        <f>IF([4]Entry!$I$412="","",[4]Entry!$I$412)</f>
        <v/>
      </c>
    </row>
    <row r="410">
      <c r="F410">
        <f>IF([1]Accounts!$D$411="","",[1]Accounts!$A$411)</f>
        <v/>
      </c>
      <c r="G410">
        <f>IF([1]Accounts!$D$411="","",[1]Accounts!$B$411)</f>
        <v/>
      </c>
      <c r="H410">
        <f>IF([1]Accounts!$D$411="","",[1]Accounts!$C$411)</f>
        <v/>
      </c>
      <c r="I410">
        <f>IF([1]Accounts!$D$411="","",[1]Accounts!$D$411)</f>
        <v/>
      </c>
      <c r="R410">
        <f>IF(AND($F410&lt;&gt;"",$I410&lt;&gt;""),IF(OR($G410="دارایی ثابت",$G410="وام و تسهیلات",$G410="سرمایه و آورده صاحبان"),0,1),0)</f>
        <v/>
      </c>
      <c r="S410">
        <f>SUM($R$6:$R410)</f>
        <v/>
      </c>
      <c r="T410">
        <f>IFERROR(INDEX($F$6:$F$565,MATCH(ROW()-5,$S$6:$S$565,0)),"")</f>
        <v/>
      </c>
      <c r="Z410">
        <f>IF([2]Entry!$E$413="","",[2]Entry!$E$413)</f>
        <v/>
      </c>
      <c r="AA410">
        <f>IF([2]Entry!$G$413="","",[2]Entry!$G$413)</f>
        <v/>
      </c>
      <c r="AB410">
        <f>IF([2]Entry!$J$413="","",[2]Entry!$J$413)</f>
        <v/>
      </c>
      <c r="AC410">
        <f>IF([2]Entry!$K$413="","",[2]Entry!$K$413)</f>
        <v/>
      </c>
      <c r="AD410">
        <f>IF([2]Entry!$L$413="","",[2]Entry!$L$413)</f>
        <v/>
      </c>
      <c r="AE410">
        <f>IF([2]Entry!$M$413="","",[2]Entry!$M$413)</f>
        <v/>
      </c>
      <c r="AF410">
        <f>IF([2]Entry!$N$413="","",[2]Entry!$N$413)</f>
        <v/>
      </c>
      <c r="AG410">
        <f>IF([3]Issues!$B$413="","",[3]Issues!$B$413)</f>
        <v/>
      </c>
      <c r="AH410">
        <f>IF([3]Issues!$D$413="","",[3]Issues!$D$413)</f>
        <v/>
      </c>
      <c r="AI410">
        <f>IF([3]Issues!$E$413="","",[3]Issues!$E$413)</f>
        <v/>
      </c>
      <c r="AJ410">
        <f>IF([2]Entry!$S$413="","",[2]Entry!$S$413)</f>
        <v/>
      </c>
      <c r="AK410">
        <f>IF([2]Entry!$C$413="","",[2]Entry!$C$413)</f>
        <v/>
      </c>
      <c r="AL410">
        <f>IF([2]Entry!$D$413="","",[2]Entry!$D$413)</f>
        <v/>
      </c>
      <c r="AM410">
        <f>IF(AND($F410&lt;&gt;"",$I410&lt;&gt;""),IF($G410="دارایی ثابت",1,0),0)</f>
        <v/>
      </c>
      <c r="AN410">
        <f>SUM($AM$6:$AM410)</f>
        <v/>
      </c>
      <c r="AO410">
        <f>IFERROR(INDEX($F$6:$F$565,MATCH(ROW()-5,$AN$6:$AN$565,0)),"")</f>
        <v/>
      </c>
      <c r="AP410">
        <f>IF(AND($F410&lt;&gt;"",$I410&lt;&gt;""),IF($G410="وام و تسهیلات",1,0),0)</f>
        <v/>
      </c>
      <c r="AQ410">
        <f>SUM($AP$6:$AP410)</f>
        <v/>
      </c>
      <c r="AR410">
        <f>IFERROR(INDEX($F$6:$F$565,MATCH(ROW()-5,$AQ$6:$AQ$565,0)),"")</f>
        <v/>
      </c>
      <c r="AS410">
        <f>IF(AND($F410&lt;&gt;"",$I410&lt;&gt;""),IF($G410="سرمایه و آورده صاحبان",1,0),0)</f>
        <v/>
      </c>
      <c r="AT410">
        <f>SUM($AS$6:$AS410)</f>
        <v/>
      </c>
      <c r="AU410">
        <f>IFERROR(INDEX($F$6:$F$565,MATCH(ROW()-5,$AT$6:$AT$565,0)),"")</f>
        <v/>
      </c>
      <c r="AW410">
        <f>IF([3]Issues!$C$413="","",[3]Issues!$C$413)</f>
        <v/>
      </c>
      <c r="AX410">
        <f>IF([4]Entry!$E$413="","",[4]Entry!$E$413)</f>
        <v/>
      </c>
      <c r="AY410">
        <f>IF([4]Entry!$H$413="","",[4]Entry!$H$413)</f>
        <v/>
      </c>
      <c r="AZ410">
        <f>IF([4]Entry!$I$413="","",[4]Entry!$I$413)</f>
        <v/>
      </c>
    </row>
    <row r="411">
      <c r="F411">
        <f>IF([1]Accounts!$D$412="","",[1]Accounts!$A$412)</f>
        <v/>
      </c>
      <c r="G411">
        <f>IF([1]Accounts!$D$412="","",[1]Accounts!$B$412)</f>
        <v/>
      </c>
      <c r="H411">
        <f>IF([1]Accounts!$D$412="","",[1]Accounts!$C$412)</f>
        <v/>
      </c>
      <c r="I411">
        <f>IF([1]Accounts!$D$412="","",[1]Accounts!$D$412)</f>
        <v/>
      </c>
      <c r="R411">
        <f>IF(AND($F411&lt;&gt;"",$I411&lt;&gt;""),IF(OR($G411="دارایی ثابت",$G411="وام و تسهیلات",$G411="سرمایه و آورده صاحبان"),0,1),0)</f>
        <v/>
      </c>
      <c r="S411">
        <f>SUM($R$6:$R411)</f>
        <v/>
      </c>
      <c r="T411">
        <f>IFERROR(INDEX($F$6:$F$565,MATCH(ROW()-5,$S$6:$S$565,0)),"")</f>
        <v/>
      </c>
      <c r="Z411">
        <f>IF([2]Entry!$E$414="","",[2]Entry!$E$414)</f>
        <v/>
      </c>
      <c r="AA411">
        <f>IF([2]Entry!$G$414="","",[2]Entry!$G$414)</f>
        <v/>
      </c>
      <c r="AB411">
        <f>IF([2]Entry!$J$414="","",[2]Entry!$J$414)</f>
        <v/>
      </c>
      <c r="AC411">
        <f>IF([2]Entry!$K$414="","",[2]Entry!$K$414)</f>
        <v/>
      </c>
      <c r="AD411">
        <f>IF([2]Entry!$L$414="","",[2]Entry!$L$414)</f>
        <v/>
      </c>
      <c r="AE411">
        <f>IF([2]Entry!$M$414="","",[2]Entry!$M$414)</f>
        <v/>
      </c>
      <c r="AF411">
        <f>IF([2]Entry!$N$414="","",[2]Entry!$N$414)</f>
        <v/>
      </c>
      <c r="AG411">
        <f>IF([3]Issues!$B$414="","",[3]Issues!$B$414)</f>
        <v/>
      </c>
      <c r="AH411">
        <f>IF([3]Issues!$D$414="","",[3]Issues!$D$414)</f>
        <v/>
      </c>
      <c r="AI411">
        <f>IF([3]Issues!$E$414="","",[3]Issues!$E$414)</f>
        <v/>
      </c>
      <c r="AJ411">
        <f>IF([2]Entry!$S$414="","",[2]Entry!$S$414)</f>
        <v/>
      </c>
      <c r="AK411">
        <f>IF([2]Entry!$C$414="","",[2]Entry!$C$414)</f>
        <v/>
      </c>
      <c r="AL411">
        <f>IF([2]Entry!$D$414="","",[2]Entry!$D$414)</f>
        <v/>
      </c>
      <c r="AM411">
        <f>IF(AND($F411&lt;&gt;"",$I411&lt;&gt;""),IF($G411="دارایی ثابت",1,0),0)</f>
        <v/>
      </c>
      <c r="AN411">
        <f>SUM($AM$6:$AM411)</f>
        <v/>
      </c>
      <c r="AO411">
        <f>IFERROR(INDEX($F$6:$F$565,MATCH(ROW()-5,$AN$6:$AN$565,0)),"")</f>
        <v/>
      </c>
      <c r="AP411">
        <f>IF(AND($F411&lt;&gt;"",$I411&lt;&gt;""),IF($G411="وام و تسهیلات",1,0),0)</f>
        <v/>
      </c>
      <c r="AQ411">
        <f>SUM($AP$6:$AP411)</f>
        <v/>
      </c>
      <c r="AR411">
        <f>IFERROR(INDEX($F$6:$F$565,MATCH(ROW()-5,$AQ$6:$AQ$565,0)),"")</f>
        <v/>
      </c>
      <c r="AS411">
        <f>IF(AND($F411&lt;&gt;"",$I411&lt;&gt;""),IF($G411="سرمایه و آورده صاحبان",1,0),0)</f>
        <v/>
      </c>
      <c r="AT411">
        <f>SUM($AS$6:$AS411)</f>
        <v/>
      </c>
      <c r="AU411">
        <f>IFERROR(INDEX($F$6:$F$565,MATCH(ROW()-5,$AT$6:$AT$565,0)),"")</f>
        <v/>
      </c>
      <c r="AW411">
        <f>IF([3]Issues!$C$414="","",[3]Issues!$C$414)</f>
        <v/>
      </c>
      <c r="AX411">
        <f>IF([4]Entry!$E$414="","",[4]Entry!$E$414)</f>
        <v/>
      </c>
      <c r="AY411">
        <f>IF([4]Entry!$H$414="","",[4]Entry!$H$414)</f>
        <v/>
      </c>
      <c r="AZ411">
        <f>IF([4]Entry!$I$414="","",[4]Entry!$I$414)</f>
        <v/>
      </c>
    </row>
    <row r="412">
      <c r="F412">
        <f>IF([1]Accounts!$D$413="","",[1]Accounts!$A$413)</f>
        <v/>
      </c>
      <c r="G412">
        <f>IF([1]Accounts!$D$413="","",[1]Accounts!$B$413)</f>
        <v/>
      </c>
      <c r="H412">
        <f>IF([1]Accounts!$D$413="","",[1]Accounts!$C$413)</f>
        <v/>
      </c>
      <c r="I412">
        <f>IF([1]Accounts!$D$413="","",[1]Accounts!$D$413)</f>
        <v/>
      </c>
      <c r="R412">
        <f>IF(AND($F412&lt;&gt;"",$I412&lt;&gt;""),IF(OR($G412="دارایی ثابت",$G412="وام و تسهیلات",$G412="سرمایه و آورده صاحبان"),0,1),0)</f>
        <v/>
      </c>
      <c r="S412">
        <f>SUM($R$6:$R412)</f>
        <v/>
      </c>
      <c r="T412">
        <f>IFERROR(INDEX($F$6:$F$565,MATCH(ROW()-5,$S$6:$S$565,0)),"")</f>
        <v/>
      </c>
      <c r="Z412">
        <f>IF([2]Entry!$E$415="","",[2]Entry!$E$415)</f>
        <v/>
      </c>
      <c r="AA412">
        <f>IF([2]Entry!$G$415="","",[2]Entry!$G$415)</f>
        <v/>
      </c>
      <c r="AB412">
        <f>IF([2]Entry!$J$415="","",[2]Entry!$J$415)</f>
        <v/>
      </c>
      <c r="AC412">
        <f>IF([2]Entry!$K$415="","",[2]Entry!$K$415)</f>
        <v/>
      </c>
      <c r="AD412">
        <f>IF([2]Entry!$L$415="","",[2]Entry!$L$415)</f>
        <v/>
      </c>
      <c r="AE412">
        <f>IF([2]Entry!$M$415="","",[2]Entry!$M$415)</f>
        <v/>
      </c>
      <c r="AF412">
        <f>IF([2]Entry!$N$415="","",[2]Entry!$N$415)</f>
        <v/>
      </c>
      <c r="AG412">
        <f>IF([3]Issues!$B$415="","",[3]Issues!$B$415)</f>
        <v/>
      </c>
      <c r="AH412">
        <f>IF([3]Issues!$D$415="","",[3]Issues!$D$415)</f>
        <v/>
      </c>
      <c r="AI412">
        <f>IF([3]Issues!$E$415="","",[3]Issues!$E$415)</f>
        <v/>
      </c>
      <c r="AJ412">
        <f>IF([2]Entry!$S$415="","",[2]Entry!$S$415)</f>
        <v/>
      </c>
      <c r="AK412">
        <f>IF([2]Entry!$C$415="","",[2]Entry!$C$415)</f>
        <v/>
      </c>
      <c r="AL412">
        <f>IF([2]Entry!$D$415="","",[2]Entry!$D$415)</f>
        <v/>
      </c>
      <c r="AM412">
        <f>IF(AND($F412&lt;&gt;"",$I412&lt;&gt;""),IF($G412="دارایی ثابت",1,0),0)</f>
        <v/>
      </c>
      <c r="AN412">
        <f>SUM($AM$6:$AM412)</f>
        <v/>
      </c>
      <c r="AO412">
        <f>IFERROR(INDEX($F$6:$F$565,MATCH(ROW()-5,$AN$6:$AN$565,0)),"")</f>
        <v/>
      </c>
      <c r="AP412">
        <f>IF(AND($F412&lt;&gt;"",$I412&lt;&gt;""),IF($G412="وام و تسهیلات",1,0),0)</f>
        <v/>
      </c>
      <c r="AQ412">
        <f>SUM($AP$6:$AP412)</f>
        <v/>
      </c>
      <c r="AR412">
        <f>IFERROR(INDEX($F$6:$F$565,MATCH(ROW()-5,$AQ$6:$AQ$565,0)),"")</f>
        <v/>
      </c>
      <c r="AS412">
        <f>IF(AND($F412&lt;&gt;"",$I412&lt;&gt;""),IF($G412="سرمایه و آورده صاحبان",1,0),0)</f>
        <v/>
      </c>
      <c r="AT412">
        <f>SUM($AS$6:$AS412)</f>
        <v/>
      </c>
      <c r="AU412">
        <f>IFERROR(INDEX($F$6:$F$565,MATCH(ROW()-5,$AT$6:$AT$565,0)),"")</f>
        <v/>
      </c>
      <c r="AW412">
        <f>IF([3]Issues!$C$415="","",[3]Issues!$C$415)</f>
        <v/>
      </c>
      <c r="AX412">
        <f>IF([4]Entry!$E$415="","",[4]Entry!$E$415)</f>
        <v/>
      </c>
      <c r="AY412">
        <f>IF([4]Entry!$H$415="","",[4]Entry!$H$415)</f>
        <v/>
      </c>
      <c r="AZ412">
        <f>IF([4]Entry!$I$415="","",[4]Entry!$I$415)</f>
        <v/>
      </c>
    </row>
    <row r="413">
      <c r="F413">
        <f>IF([1]Accounts!$D$414="","",[1]Accounts!$A$414)</f>
        <v/>
      </c>
      <c r="G413">
        <f>IF([1]Accounts!$D$414="","",[1]Accounts!$B$414)</f>
        <v/>
      </c>
      <c r="H413">
        <f>IF([1]Accounts!$D$414="","",[1]Accounts!$C$414)</f>
        <v/>
      </c>
      <c r="I413">
        <f>IF([1]Accounts!$D$414="","",[1]Accounts!$D$414)</f>
        <v/>
      </c>
      <c r="R413">
        <f>IF(AND($F413&lt;&gt;"",$I413&lt;&gt;""),IF(OR($G413="دارایی ثابت",$G413="وام و تسهیلات",$G413="سرمایه و آورده صاحبان"),0,1),0)</f>
        <v/>
      </c>
      <c r="S413">
        <f>SUM($R$6:$R413)</f>
        <v/>
      </c>
      <c r="T413">
        <f>IFERROR(INDEX($F$6:$F$565,MATCH(ROW()-5,$S$6:$S$565,0)),"")</f>
        <v/>
      </c>
      <c r="Z413">
        <f>IF([2]Entry!$E$416="","",[2]Entry!$E$416)</f>
        <v/>
      </c>
      <c r="AA413">
        <f>IF([2]Entry!$G$416="","",[2]Entry!$G$416)</f>
        <v/>
      </c>
      <c r="AB413">
        <f>IF([2]Entry!$J$416="","",[2]Entry!$J$416)</f>
        <v/>
      </c>
      <c r="AC413">
        <f>IF([2]Entry!$K$416="","",[2]Entry!$K$416)</f>
        <v/>
      </c>
      <c r="AD413">
        <f>IF([2]Entry!$L$416="","",[2]Entry!$L$416)</f>
        <v/>
      </c>
      <c r="AE413">
        <f>IF([2]Entry!$M$416="","",[2]Entry!$M$416)</f>
        <v/>
      </c>
      <c r="AF413">
        <f>IF([2]Entry!$N$416="","",[2]Entry!$N$416)</f>
        <v/>
      </c>
      <c r="AG413">
        <f>IF([3]Issues!$B$416="","",[3]Issues!$B$416)</f>
        <v/>
      </c>
      <c r="AH413">
        <f>IF([3]Issues!$D$416="","",[3]Issues!$D$416)</f>
        <v/>
      </c>
      <c r="AI413">
        <f>IF([3]Issues!$E$416="","",[3]Issues!$E$416)</f>
        <v/>
      </c>
      <c r="AJ413">
        <f>IF([2]Entry!$S$416="","",[2]Entry!$S$416)</f>
        <v/>
      </c>
      <c r="AK413">
        <f>IF([2]Entry!$C$416="","",[2]Entry!$C$416)</f>
        <v/>
      </c>
      <c r="AL413">
        <f>IF([2]Entry!$D$416="","",[2]Entry!$D$416)</f>
        <v/>
      </c>
      <c r="AM413">
        <f>IF(AND($F413&lt;&gt;"",$I413&lt;&gt;""),IF($G413="دارایی ثابت",1,0),0)</f>
        <v/>
      </c>
      <c r="AN413">
        <f>SUM($AM$6:$AM413)</f>
        <v/>
      </c>
      <c r="AO413">
        <f>IFERROR(INDEX($F$6:$F$565,MATCH(ROW()-5,$AN$6:$AN$565,0)),"")</f>
        <v/>
      </c>
      <c r="AP413">
        <f>IF(AND($F413&lt;&gt;"",$I413&lt;&gt;""),IF($G413="وام و تسهیلات",1,0),0)</f>
        <v/>
      </c>
      <c r="AQ413">
        <f>SUM($AP$6:$AP413)</f>
        <v/>
      </c>
      <c r="AR413">
        <f>IFERROR(INDEX($F$6:$F$565,MATCH(ROW()-5,$AQ$6:$AQ$565,0)),"")</f>
        <v/>
      </c>
      <c r="AS413">
        <f>IF(AND($F413&lt;&gt;"",$I413&lt;&gt;""),IF($G413="سرمایه و آورده صاحبان",1,0),0)</f>
        <v/>
      </c>
      <c r="AT413">
        <f>SUM($AS$6:$AS413)</f>
        <v/>
      </c>
      <c r="AU413">
        <f>IFERROR(INDEX($F$6:$F$565,MATCH(ROW()-5,$AT$6:$AT$565,0)),"")</f>
        <v/>
      </c>
      <c r="AW413">
        <f>IF([3]Issues!$C$416="","",[3]Issues!$C$416)</f>
        <v/>
      </c>
      <c r="AX413">
        <f>IF([4]Entry!$E$416="","",[4]Entry!$E$416)</f>
        <v/>
      </c>
      <c r="AY413">
        <f>IF([4]Entry!$H$416="","",[4]Entry!$H$416)</f>
        <v/>
      </c>
      <c r="AZ413">
        <f>IF([4]Entry!$I$416="","",[4]Entry!$I$416)</f>
        <v/>
      </c>
    </row>
    <row r="414">
      <c r="F414">
        <f>IF([1]Accounts!$D$415="","",[1]Accounts!$A$415)</f>
        <v/>
      </c>
      <c r="G414">
        <f>IF([1]Accounts!$D$415="","",[1]Accounts!$B$415)</f>
        <v/>
      </c>
      <c r="H414">
        <f>IF([1]Accounts!$D$415="","",[1]Accounts!$C$415)</f>
        <v/>
      </c>
      <c r="I414">
        <f>IF([1]Accounts!$D$415="","",[1]Accounts!$D$415)</f>
        <v/>
      </c>
      <c r="R414">
        <f>IF(AND($F414&lt;&gt;"",$I414&lt;&gt;""),IF(OR($G414="دارایی ثابت",$G414="وام و تسهیلات",$G414="سرمایه و آورده صاحبان"),0,1),0)</f>
        <v/>
      </c>
      <c r="S414">
        <f>SUM($R$6:$R414)</f>
        <v/>
      </c>
      <c r="T414">
        <f>IFERROR(INDEX($F$6:$F$565,MATCH(ROW()-5,$S$6:$S$565,0)),"")</f>
        <v/>
      </c>
      <c r="Z414">
        <f>IF([2]Entry!$E$417="","",[2]Entry!$E$417)</f>
        <v/>
      </c>
      <c r="AA414">
        <f>IF([2]Entry!$G$417="","",[2]Entry!$G$417)</f>
        <v/>
      </c>
      <c r="AB414">
        <f>IF([2]Entry!$J$417="","",[2]Entry!$J$417)</f>
        <v/>
      </c>
      <c r="AC414">
        <f>IF([2]Entry!$K$417="","",[2]Entry!$K$417)</f>
        <v/>
      </c>
      <c r="AD414">
        <f>IF([2]Entry!$L$417="","",[2]Entry!$L$417)</f>
        <v/>
      </c>
      <c r="AE414">
        <f>IF([2]Entry!$M$417="","",[2]Entry!$M$417)</f>
        <v/>
      </c>
      <c r="AF414">
        <f>IF([2]Entry!$N$417="","",[2]Entry!$N$417)</f>
        <v/>
      </c>
      <c r="AG414">
        <f>IF([3]Issues!$B$417="","",[3]Issues!$B$417)</f>
        <v/>
      </c>
      <c r="AH414">
        <f>IF([3]Issues!$D$417="","",[3]Issues!$D$417)</f>
        <v/>
      </c>
      <c r="AI414">
        <f>IF([3]Issues!$E$417="","",[3]Issues!$E$417)</f>
        <v/>
      </c>
      <c r="AJ414">
        <f>IF([2]Entry!$S$417="","",[2]Entry!$S$417)</f>
        <v/>
      </c>
      <c r="AK414">
        <f>IF([2]Entry!$C$417="","",[2]Entry!$C$417)</f>
        <v/>
      </c>
      <c r="AL414">
        <f>IF([2]Entry!$D$417="","",[2]Entry!$D$417)</f>
        <v/>
      </c>
      <c r="AM414">
        <f>IF(AND($F414&lt;&gt;"",$I414&lt;&gt;""),IF($G414="دارایی ثابت",1,0),0)</f>
        <v/>
      </c>
      <c r="AN414">
        <f>SUM($AM$6:$AM414)</f>
        <v/>
      </c>
      <c r="AO414">
        <f>IFERROR(INDEX($F$6:$F$565,MATCH(ROW()-5,$AN$6:$AN$565,0)),"")</f>
        <v/>
      </c>
      <c r="AP414">
        <f>IF(AND($F414&lt;&gt;"",$I414&lt;&gt;""),IF($G414="وام و تسهیلات",1,0),0)</f>
        <v/>
      </c>
      <c r="AQ414">
        <f>SUM($AP$6:$AP414)</f>
        <v/>
      </c>
      <c r="AR414">
        <f>IFERROR(INDEX($F$6:$F$565,MATCH(ROW()-5,$AQ$6:$AQ$565,0)),"")</f>
        <v/>
      </c>
      <c r="AS414">
        <f>IF(AND($F414&lt;&gt;"",$I414&lt;&gt;""),IF($G414="سرمایه و آورده صاحبان",1,0),0)</f>
        <v/>
      </c>
      <c r="AT414">
        <f>SUM($AS$6:$AS414)</f>
        <v/>
      </c>
      <c r="AU414">
        <f>IFERROR(INDEX($F$6:$F$565,MATCH(ROW()-5,$AT$6:$AT$565,0)),"")</f>
        <v/>
      </c>
      <c r="AW414">
        <f>IF([3]Issues!$C$417="","",[3]Issues!$C$417)</f>
        <v/>
      </c>
      <c r="AX414">
        <f>IF([4]Entry!$E$417="","",[4]Entry!$E$417)</f>
        <v/>
      </c>
      <c r="AY414">
        <f>IF([4]Entry!$H$417="","",[4]Entry!$H$417)</f>
        <v/>
      </c>
      <c r="AZ414">
        <f>IF([4]Entry!$I$417="","",[4]Entry!$I$417)</f>
        <v/>
      </c>
    </row>
    <row r="415">
      <c r="F415">
        <f>IF([1]Accounts!$D$416="","",[1]Accounts!$A$416)</f>
        <v/>
      </c>
      <c r="G415">
        <f>IF([1]Accounts!$D$416="","",[1]Accounts!$B$416)</f>
        <v/>
      </c>
      <c r="H415">
        <f>IF([1]Accounts!$D$416="","",[1]Accounts!$C$416)</f>
        <v/>
      </c>
      <c r="I415">
        <f>IF([1]Accounts!$D$416="","",[1]Accounts!$D$416)</f>
        <v/>
      </c>
      <c r="R415">
        <f>IF(AND($F415&lt;&gt;"",$I415&lt;&gt;""),IF(OR($G415="دارایی ثابت",$G415="وام و تسهیلات",$G415="سرمایه و آورده صاحبان"),0,1),0)</f>
        <v/>
      </c>
      <c r="S415">
        <f>SUM($R$6:$R415)</f>
        <v/>
      </c>
      <c r="T415">
        <f>IFERROR(INDEX($F$6:$F$565,MATCH(ROW()-5,$S$6:$S$565,0)),"")</f>
        <v/>
      </c>
      <c r="Z415">
        <f>IF([2]Entry!$E$418="","",[2]Entry!$E$418)</f>
        <v/>
      </c>
      <c r="AA415">
        <f>IF([2]Entry!$G$418="","",[2]Entry!$G$418)</f>
        <v/>
      </c>
      <c r="AB415">
        <f>IF([2]Entry!$J$418="","",[2]Entry!$J$418)</f>
        <v/>
      </c>
      <c r="AC415">
        <f>IF([2]Entry!$K$418="","",[2]Entry!$K$418)</f>
        <v/>
      </c>
      <c r="AD415">
        <f>IF([2]Entry!$L$418="","",[2]Entry!$L$418)</f>
        <v/>
      </c>
      <c r="AE415">
        <f>IF([2]Entry!$M$418="","",[2]Entry!$M$418)</f>
        <v/>
      </c>
      <c r="AF415">
        <f>IF([2]Entry!$N$418="","",[2]Entry!$N$418)</f>
        <v/>
      </c>
      <c r="AG415">
        <f>IF([3]Issues!$B$418="","",[3]Issues!$B$418)</f>
        <v/>
      </c>
      <c r="AH415">
        <f>IF([3]Issues!$D$418="","",[3]Issues!$D$418)</f>
        <v/>
      </c>
      <c r="AI415">
        <f>IF([3]Issues!$E$418="","",[3]Issues!$E$418)</f>
        <v/>
      </c>
      <c r="AJ415">
        <f>IF([2]Entry!$S$418="","",[2]Entry!$S$418)</f>
        <v/>
      </c>
      <c r="AK415">
        <f>IF([2]Entry!$C$418="","",[2]Entry!$C$418)</f>
        <v/>
      </c>
      <c r="AL415">
        <f>IF([2]Entry!$D$418="","",[2]Entry!$D$418)</f>
        <v/>
      </c>
      <c r="AM415">
        <f>IF(AND($F415&lt;&gt;"",$I415&lt;&gt;""),IF($G415="دارایی ثابت",1,0),0)</f>
        <v/>
      </c>
      <c r="AN415">
        <f>SUM($AM$6:$AM415)</f>
        <v/>
      </c>
      <c r="AO415">
        <f>IFERROR(INDEX($F$6:$F$565,MATCH(ROW()-5,$AN$6:$AN$565,0)),"")</f>
        <v/>
      </c>
      <c r="AP415">
        <f>IF(AND($F415&lt;&gt;"",$I415&lt;&gt;""),IF($G415="وام و تسهیلات",1,0),0)</f>
        <v/>
      </c>
      <c r="AQ415">
        <f>SUM($AP$6:$AP415)</f>
        <v/>
      </c>
      <c r="AR415">
        <f>IFERROR(INDEX($F$6:$F$565,MATCH(ROW()-5,$AQ$6:$AQ$565,0)),"")</f>
        <v/>
      </c>
      <c r="AS415">
        <f>IF(AND($F415&lt;&gt;"",$I415&lt;&gt;""),IF($G415="سرمایه و آورده صاحبان",1,0),0)</f>
        <v/>
      </c>
      <c r="AT415">
        <f>SUM($AS$6:$AS415)</f>
        <v/>
      </c>
      <c r="AU415">
        <f>IFERROR(INDEX($F$6:$F$565,MATCH(ROW()-5,$AT$6:$AT$565,0)),"")</f>
        <v/>
      </c>
      <c r="AW415">
        <f>IF([3]Issues!$C$418="","",[3]Issues!$C$418)</f>
        <v/>
      </c>
      <c r="AX415">
        <f>IF([4]Entry!$E$418="","",[4]Entry!$E$418)</f>
        <v/>
      </c>
      <c r="AY415">
        <f>IF([4]Entry!$H$418="","",[4]Entry!$H$418)</f>
        <v/>
      </c>
      <c r="AZ415">
        <f>IF([4]Entry!$I$418="","",[4]Entry!$I$418)</f>
        <v/>
      </c>
    </row>
    <row r="416">
      <c r="F416">
        <f>IF([1]Accounts!$D$417="","",[1]Accounts!$A$417)</f>
        <v/>
      </c>
      <c r="G416">
        <f>IF([1]Accounts!$D$417="","",[1]Accounts!$B$417)</f>
        <v/>
      </c>
      <c r="H416">
        <f>IF([1]Accounts!$D$417="","",[1]Accounts!$C$417)</f>
        <v/>
      </c>
      <c r="I416">
        <f>IF([1]Accounts!$D$417="","",[1]Accounts!$D$417)</f>
        <v/>
      </c>
      <c r="R416">
        <f>IF(AND($F416&lt;&gt;"",$I416&lt;&gt;""),IF(OR($G416="دارایی ثابت",$G416="وام و تسهیلات",$G416="سرمایه و آورده صاحبان"),0,1),0)</f>
        <v/>
      </c>
      <c r="S416">
        <f>SUM($R$6:$R416)</f>
        <v/>
      </c>
      <c r="T416">
        <f>IFERROR(INDEX($F$6:$F$565,MATCH(ROW()-5,$S$6:$S$565,0)),"")</f>
        <v/>
      </c>
      <c r="Z416">
        <f>IF([2]Entry!$E$419="","",[2]Entry!$E$419)</f>
        <v/>
      </c>
      <c r="AA416">
        <f>IF([2]Entry!$G$419="","",[2]Entry!$G$419)</f>
        <v/>
      </c>
      <c r="AB416">
        <f>IF([2]Entry!$J$419="","",[2]Entry!$J$419)</f>
        <v/>
      </c>
      <c r="AC416">
        <f>IF([2]Entry!$K$419="","",[2]Entry!$K$419)</f>
        <v/>
      </c>
      <c r="AD416">
        <f>IF([2]Entry!$L$419="","",[2]Entry!$L$419)</f>
        <v/>
      </c>
      <c r="AE416">
        <f>IF([2]Entry!$M$419="","",[2]Entry!$M$419)</f>
        <v/>
      </c>
      <c r="AF416">
        <f>IF([2]Entry!$N$419="","",[2]Entry!$N$419)</f>
        <v/>
      </c>
      <c r="AG416">
        <f>IF([3]Issues!$B$419="","",[3]Issues!$B$419)</f>
        <v/>
      </c>
      <c r="AH416">
        <f>IF([3]Issues!$D$419="","",[3]Issues!$D$419)</f>
        <v/>
      </c>
      <c r="AI416">
        <f>IF([3]Issues!$E$419="","",[3]Issues!$E$419)</f>
        <v/>
      </c>
      <c r="AJ416">
        <f>IF([2]Entry!$S$419="","",[2]Entry!$S$419)</f>
        <v/>
      </c>
      <c r="AK416">
        <f>IF([2]Entry!$C$419="","",[2]Entry!$C$419)</f>
        <v/>
      </c>
      <c r="AL416">
        <f>IF([2]Entry!$D$419="","",[2]Entry!$D$419)</f>
        <v/>
      </c>
      <c r="AM416">
        <f>IF(AND($F416&lt;&gt;"",$I416&lt;&gt;""),IF($G416="دارایی ثابت",1,0),0)</f>
        <v/>
      </c>
      <c r="AN416">
        <f>SUM($AM$6:$AM416)</f>
        <v/>
      </c>
      <c r="AO416">
        <f>IFERROR(INDEX($F$6:$F$565,MATCH(ROW()-5,$AN$6:$AN$565,0)),"")</f>
        <v/>
      </c>
      <c r="AP416">
        <f>IF(AND($F416&lt;&gt;"",$I416&lt;&gt;""),IF($G416="وام و تسهیلات",1,0),0)</f>
        <v/>
      </c>
      <c r="AQ416">
        <f>SUM($AP$6:$AP416)</f>
        <v/>
      </c>
      <c r="AR416">
        <f>IFERROR(INDEX($F$6:$F$565,MATCH(ROW()-5,$AQ$6:$AQ$565,0)),"")</f>
        <v/>
      </c>
      <c r="AS416">
        <f>IF(AND($F416&lt;&gt;"",$I416&lt;&gt;""),IF($G416="سرمایه و آورده صاحبان",1,0),0)</f>
        <v/>
      </c>
      <c r="AT416">
        <f>SUM($AS$6:$AS416)</f>
        <v/>
      </c>
      <c r="AU416">
        <f>IFERROR(INDEX($F$6:$F$565,MATCH(ROW()-5,$AT$6:$AT$565,0)),"")</f>
        <v/>
      </c>
      <c r="AW416">
        <f>IF([3]Issues!$C$419="","",[3]Issues!$C$419)</f>
        <v/>
      </c>
      <c r="AX416">
        <f>IF([4]Entry!$E$419="","",[4]Entry!$E$419)</f>
        <v/>
      </c>
      <c r="AY416">
        <f>IF([4]Entry!$H$419="","",[4]Entry!$H$419)</f>
        <v/>
      </c>
      <c r="AZ416">
        <f>IF([4]Entry!$I$419="","",[4]Entry!$I$419)</f>
        <v/>
      </c>
    </row>
    <row r="417">
      <c r="F417">
        <f>IF([1]Accounts!$D$418="","",[1]Accounts!$A$418)</f>
        <v/>
      </c>
      <c r="G417">
        <f>IF([1]Accounts!$D$418="","",[1]Accounts!$B$418)</f>
        <v/>
      </c>
      <c r="H417">
        <f>IF([1]Accounts!$D$418="","",[1]Accounts!$C$418)</f>
        <v/>
      </c>
      <c r="I417">
        <f>IF([1]Accounts!$D$418="","",[1]Accounts!$D$418)</f>
        <v/>
      </c>
      <c r="R417">
        <f>IF(AND($F417&lt;&gt;"",$I417&lt;&gt;""),IF(OR($G417="دارایی ثابت",$G417="وام و تسهیلات",$G417="سرمایه و آورده صاحبان"),0,1),0)</f>
        <v/>
      </c>
      <c r="S417">
        <f>SUM($R$6:$R417)</f>
        <v/>
      </c>
      <c r="T417">
        <f>IFERROR(INDEX($F$6:$F$565,MATCH(ROW()-5,$S$6:$S$565,0)),"")</f>
        <v/>
      </c>
      <c r="Z417">
        <f>IF([2]Entry!$E$420="","",[2]Entry!$E$420)</f>
        <v/>
      </c>
      <c r="AA417">
        <f>IF([2]Entry!$G$420="","",[2]Entry!$G$420)</f>
        <v/>
      </c>
      <c r="AB417">
        <f>IF([2]Entry!$J$420="","",[2]Entry!$J$420)</f>
        <v/>
      </c>
      <c r="AC417">
        <f>IF([2]Entry!$K$420="","",[2]Entry!$K$420)</f>
        <v/>
      </c>
      <c r="AD417">
        <f>IF([2]Entry!$L$420="","",[2]Entry!$L$420)</f>
        <v/>
      </c>
      <c r="AE417">
        <f>IF([2]Entry!$M$420="","",[2]Entry!$M$420)</f>
        <v/>
      </c>
      <c r="AF417">
        <f>IF([2]Entry!$N$420="","",[2]Entry!$N$420)</f>
        <v/>
      </c>
      <c r="AG417">
        <f>IF([3]Issues!$B$420="","",[3]Issues!$B$420)</f>
        <v/>
      </c>
      <c r="AH417">
        <f>IF([3]Issues!$D$420="","",[3]Issues!$D$420)</f>
        <v/>
      </c>
      <c r="AI417">
        <f>IF([3]Issues!$E$420="","",[3]Issues!$E$420)</f>
        <v/>
      </c>
      <c r="AJ417">
        <f>IF([2]Entry!$S$420="","",[2]Entry!$S$420)</f>
        <v/>
      </c>
      <c r="AK417">
        <f>IF([2]Entry!$C$420="","",[2]Entry!$C$420)</f>
        <v/>
      </c>
      <c r="AL417">
        <f>IF([2]Entry!$D$420="","",[2]Entry!$D$420)</f>
        <v/>
      </c>
      <c r="AM417">
        <f>IF(AND($F417&lt;&gt;"",$I417&lt;&gt;""),IF($G417="دارایی ثابت",1,0),0)</f>
        <v/>
      </c>
      <c r="AN417">
        <f>SUM($AM$6:$AM417)</f>
        <v/>
      </c>
      <c r="AO417">
        <f>IFERROR(INDEX($F$6:$F$565,MATCH(ROW()-5,$AN$6:$AN$565,0)),"")</f>
        <v/>
      </c>
      <c r="AP417">
        <f>IF(AND($F417&lt;&gt;"",$I417&lt;&gt;""),IF($G417="وام و تسهیلات",1,0),0)</f>
        <v/>
      </c>
      <c r="AQ417">
        <f>SUM($AP$6:$AP417)</f>
        <v/>
      </c>
      <c r="AR417">
        <f>IFERROR(INDEX($F$6:$F$565,MATCH(ROW()-5,$AQ$6:$AQ$565,0)),"")</f>
        <v/>
      </c>
      <c r="AS417">
        <f>IF(AND($F417&lt;&gt;"",$I417&lt;&gt;""),IF($G417="سرمایه و آورده صاحبان",1,0),0)</f>
        <v/>
      </c>
      <c r="AT417">
        <f>SUM($AS$6:$AS417)</f>
        <v/>
      </c>
      <c r="AU417">
        <f>IFERROR(INDEX($F$6:$F$565,MATCH(ROW()-5,$AT$6:$AT$565,0)),"")</f>
        <v/>
      </c>
      <c r="AW417">
        <f>IF([3]Issues!$C$420="","",[3]Issues!$C$420)</f>
        <v/>
      </c>
      <c r="AX417">
        <f>IF([4]Entry!$E$420="","",[4]Entry!$E$420)</f>
        <v/>
      </c>
      <c r="AY417">
        <f>IF([4]Entry!$H$420="","",[4]Entry!$H$420)</f>
        <v/>
      </c>
      <c r="AZ417">
        <f>IF([4]Entry!$I$420="","",[4]Entry!$I$420)</f>
        <v/>
      </c>
    </row>
    <row r="418">
      <c r="F418">
        <f>IF([1]Accounts!$D$419="","",[1]Accounts!$A$419)</f>
        <v/>
      </c>
      <c r="G418">
        <f>IF([1]Accounts!$D$419="","",[1]Accounts!$B$419)</f>
        <v/>
      </c>
      <c r="H418">
        <f>IF([1]Accounts!$D$419="","",[1]Accounts!$C$419)</f>
        <v/>
      </c>
      <c r="I418">
        <f>IF([1]Accounts!$D$419="","",[1]Accounts!$D$419)</f>
        <v/>
      </c>
      <c r="R418">
        <f>IF(AND($F418&lt;&gt;"",$I418&lt;&gt;""),IF(OR($G418="دارایی ثابت",$G418="وام و تسهیلات",$G418="سرمایه و آورده صاحبان"),0,1),0)</f>
        <v/>
      </c>
      <c r="S418">
        <f>SUM($R$6:$R418)</f>
        <v/>
      </c>
      <c r="T418">
        <f>IFERROR(INDEX($F$6:$F$565,MATCH(ROW()-5,$S$6:$S$565,0)),"")</f>
        <v/>
      </c>
      <c r="Z418">
        <f>IF([2]Entry!$E$421="","",[2]Entry!$E$421)</f>
        <v/>
      </c>
      <c r="AA418">
        <f>IF([2]Entry!$G$421="","",[2]Entry!$G$421)</f>
        <v/>
      </c>
      <c r="AB418">
        <f>IF([2]Entry!$J$421="","",[2]Entry!$J$421)</f>
        <v/>
      </c>
      <c r="AC418">
        <f>IF([2]Entry!$K$421="","",[2]Entry!$K$421)</f>
        <v/>
      </c>
      <c r="AD418">
        <f>IF([2]Entry!$L$421="","",[2]Entry!$L$421)</f>
        <v/>
      </c>
      <c r="AE418">
        <f>IF([2]Entry!$M$421="","",[2]Entry!$M$421)</f>
        <v/>
      </c>
      <c r="AF418">
        <f>IF([2]Entry!$N$421="","",[2]Entry!$N$421)</f>
        <v/>
      </c>
      <c r="AG418">
        <f>IF([3]Issues!$B$421="","",[3]Issues!$B$421)</f>
        <v/>
      </c>
      <c r="AH418">
        <f>IF([3]Issues!$D$421="","",[3]Issues!$D$421)</f>
        <v/>
      </c>
      <c r="AI418">
        <f>IF([3]Issues!$E$421="","",[3]Issues!$E$421)</f>
        <v/>
      </c>
      <c r="AJ418">
        <f>IF([2]Entry!$S$421="","",[2]Entry!$S$421)</f>
        <v/>
      </c>
      <c r="AK418">
        <f>IF([2]Entry!$C$421="","",[2]Entry!$C$421)</f>
        <v/>
      </c>
      <c r="AL418">
        <f>IF([2]Entry!$D$421="","",[2]Entry!$D$421)</f>
        <v/>
      </c>
      <c r="AM418">
        <f>IF(AND($F418&lt;&gt;"",$I418&lt;&gt;""),IF($G418="دارایی ثابت",1,0),0)</f>
        <v/>
      </c>
      <c r="AN418">
        <f>SUM($AM$6:$AM418)</f>
        <v/>
      </c>
      <c r="AO418">
        <f>IFERROR(INDEX($F$6:$F$565,MATCH(ROW()-5,$AN$6:$AN$565,0)),"")</f>
        <v/>
      </c>
      <c r="AP418">
        <f>IF(AND($F418&lt;&gt;"",$I418&lt;&gt;""),IF($G418="وام و تسهیلات",1,0),0)</f>
        <v/>
      </c>
      <c r="AQ418">
        <f>SUM($AP$6:$AP418)</f>
        <v/>
      </c>
      <c r="AR418">
        <f>IFERROR(INDEX($F$6:$F$565,MATCH(ROW()-5,$AQ$6:$AQ$565,0)),"")</f>
        <v/>
      </c>
      <c r="AS418">
        <f>IF(AND($F418&lt;&gt;"",$I418&lt;&gt;""),IF($G418="سرمایه و آورده صاحبان",1,0),0)</f>
        <v/>
      </c>
      <c r="AT418">
        <f>SUM($AS$6:$AS418)</f>
        <v/>
      </c>
      <c r="AU418">
        <f>IFERROR(INDEX($F$6:$F$565,MATCH(ROW()-5,$AT$6:$AT$565,0)),"")</f>
        <v/>
      </c>
      <c r="AW418">
        <f>IF([3]Issues!$C$421="","",[3]Issues!$C$421)</f>
        <v/>
      </c>
      <c r="AX418">
        <f>IF([4]Entry!$E$421="","",[4]Entry!$E$421)</f>
        <v/>
      </c>
      <c r="AY418">
        <f>IF([4]Entry!$H$421="","",[4]Entry!$H$421)</f>
        <v/>
      </c>
      <c r="AZ418">
        <f>IF([4]Entry!$I$421="","",[4]Entry!$I$421)</f>
        <v/>
      </c>
    </row>
    <row r="419">
      <c r="F419">
        <f>IF([1]Accounts!$D$420="","",[1]Accounts!$A$420)</f>
        <v/>
      </c>
      <c r="G419">
        <f>IF([1]Accounts!$D$420="","",[1]Accounts!$B$420)</f>
        <v/>
      </c>
      <c r="H419">
        <f>IF([1]Accounts!$D$420="","",[1]Accounts!$C$420)</f>
        <v/>
      </c>
      <c r="I419">
        <f>IF([1]Accounts!$D$420="","",[1]Accounts!$D$420)</f>
        <v/>
      </c>
      <c r="R419">
        <f>IF(AND($F419&lt;&gt;"",$I419&lt;&gt;""),IF(OR($G419="دارایی ثابت",$G419="وام و تسهیلات",$G419="سرمایه و آورده صاحبان"),0,1),0)</f>
        <v/>
      </c>
      <c r="S419">
        <f>SUM($R$6:$R419)</f>
        <v/>
      </c>
      <c r="T419">
        <f>IFERROR(INDEX($F$6:$F$565,MATCH(ROW()-5,$S$6:$S$565,0)),"")</f>
        <v/>
      </c>
      <c r="Z419">
        <f>IF([2]Entry!$E$422="","",[2]Entry!$E$422)</f>
        <v/>
      </c>
      <c r="AA419">
        <f>IF([2]Entry!$G$422="","",[2]Entry!$G$422)</f>
        <v/>
      </c>
      <c r="AB419">
        <f>IF([2]Entry!$J$422="","",[2]Entry!$J$422)</f>
        <v/>
      </c>
      <c r="AC419">
        <f>IF([2]Entry!$K$422="","",[2]Entry!$K$422)</f>
        <v/>
      </c>
      <c r="AD419">
        <f>IF([2]Entry!$L$422="","",[2]Entry!$L$422)</f>
        <v/>
      </c>
      <c r="AE419">
        <f>IF([2]Entry!$M$422="","",[2]Entry!$M$422)</f>
        <v/>
      </c>
      <c r="AF419">
        <f>IF([2]Entry!$N$422="","",[2]Entry!$N$422)</f>
        <v/>
      </c>
      <c r="AG419">
        <f>IF([3]Issues!$B$422="","",[3]Issues!$B$422)</f>
        <v/>
      </c>
      <c r="AH419">
        <f>IF([3]Issues!$D$422="","",[3]Issues!$D$422)</f>
        <v/>
      </c>
      <c r="AI419">
        <f>IF([3]Issues!$E$422="","",[3]Issues!$E$422)</f>
        <v/>
      </c>
      <c r="AJ419">
        <f>IF([2]Entry!$S$422="","",[2]Entry!$S$422)</f>
        <v/>
      </c>
      <c r="AK419">
        <f>IF([2]Entry!$C$422="","",[2]Entry!$C$422)</f>
        <v/>
      </c>
      <c r="AL419">
        <f>IF([2]Entry!$D$422="","",[2]Entry!$D$422)</f>
        <v/>
      </c>
      <c r="AM419">
        <f>IF(AND($F419&lt;&gt;"",$I419&lt;&gt;""),IF($G419="دارایی ثابت",1,0),0)</f>
        <v/>
      </c>
      <c r="AN419">
        <f>SUM($AM$6:$AM419)</f>
        <v/>
      </c>
      <c r="AO419">
        <f>IFERROR(INDEX($F$6:$F$565,MATCH(ROW()-5,$AN$6:$AN$565,0)),"")</f>
        <v/>
      </c>
      <c r="AP419">
        <f>IF(AND($F419&lt;&gt;"",$I419&lt;&gt;""),IF($G419="وام و تسهیلات",1,0),0)</f>
        <v/>
      </c>
      <c r="AQ419">
        <f>SUM($AP$6:$AP419)</f>
        <v/>
      </c>
      <c r="AR419">
        <f>IFERROR(INDEX($F$6:$F$565,MATCH(ROW()-5,$AQ$6:$AQ$565,0)),"")</f>
        <v/>
      </c>
      <c r="AS419">
        <f>IF(AND($F419&lt;&gt;"",$I419&lt;&gt;""),IF($G419="سرمایه و آورده صاحبان",1,0),0)</f>
        <v/>
      </c>
      <c r="AT419">
        <f>SUM($AS$6:$AS419)</f>
        <v/>
      </c>
      <c r="AU419">
        <f>IFERROR(INDEX($F$6:$F$565,MATCH(ROW()-5,$AT$6:$AT$565,0)),"")</f>
        <v/>
      </c>
      <c r="AW419">
        <f>IF([3]Issues!$C$422="","",[3]Issues!$C$422)</f>
        <v/>
      </c>
      <c r="AX419">
        <f>IF([4]Entry!$E$422="","",[4]Entry!$E$422)</f>
        <v/>
      </c>
      <c r="AY419">
        <f>IF([4]Entry!$H$422="","",[4]Entry!$H$422)</f>
        <v/>
      </c>
      <c r="AZ419">
        <f>IF([4]Entry!$I$422="","",[4]Entry!$I$422)</f>
        <v/>
      </c>
    </row>
    <row r="420">
      <c r="F420">
        <f>IF([1]Accounts!$D$421="","",[1]Accounts!$A$421)</f>
        <v/>
      </c>
      <c r="G420">
        <f>IF([1]Accounts!$D$421="","",[1]Accounts!$B$421)</f>
        <v/>
      </c>
      <c r="H420">
        <f>IF([1]Accounts!$D$421="","",[1]Accounts!$C$421)</f>
        <v/>
      </c>
      <c r="I420">
        <f>IF([1]Accounts!$D$421="","",[1]Accounts!$D$421)</f>
        <v/>
      </c>
      <c r="R420">
        <f>IF(AND($F420&lt;&gt;"",$I420&lt;&gt;""),IF(OR($G420="دارایی ثابت",$G420="وام و تسهیلات",$G420="سرمایه و آورده صاحبان"),0,1),0)</f>
        <v/>
      </c>
      <c r="S420">
        <f>SUM($R$6:$R420)</f>
        <v/>
      </c>
      <c r="T420">
        <f>IFERROR(INDEX($F$6:$F$565,MATCH(ROW()-5,$S$6:$S$565,0)),"")</f>
        <v/>
      </c>
      <c r="Z420">
        <f>IF([2]Entry!$E$423="","",[2]Entry!$E$423)</f>
        <v/>
      </c>
      <c r="AA420">
        <f>IF([2]Entry!$G$423="","",[2]Entry!$G$423)</f>
        <v/>
      </c>
      <c r="AB420">
        <f>IF([2]Entry!$J$423="","",[2]Entry!$J$423)</f>
        <v/>
      </c>
      <c r="AC420">
        <f>IF([2]Entry!$K$423="","",[2]Entry!$K$423)</f>
        <v/>
      </c>
      <c r="AD420">
        <f>IF([2]Entry!$L$423="","",[2]Entry!$L$423)</f>
        <v/>
      </c>
      <c r="AE420">
        <f>IF([2]Entry!$M$423="","",[2]Entry!$M$423)</f>
        <v/>
      </c>
      <c r="AF420">
        <f>IF([2]Entry!$N$423="","",[2]Entry!$N$423)</f>
        <v/>
      </c>
      <c r="AG420">
        <f>IF([3]Issues!$B$423="","",[3]Issues!$B$423)</f>
        <v/>
      </c>
      <c r="AH420">
        <f>IF([3]Issues!$D$423="","",[3]Issues!$D$423)</f>
        <v/>
      </c>
      <c r="AI420">
        <f>IF([3]Issues!$E$423="","",[3]Issues!$E$423)</f>
        <v/>
      </c>
      <c r="AJ420">
        <f>IF([2]Entry!$S$423="","",[2]Entry!$S$423)</f>
        <v/>
      </c>
      <c r="AK420">
        <f>IF([2]Entry!$C$423="","",[2]Entry!$C$423)</f>
        <v/>
      </c>
      <c r="AL420">
        <f>IF([2]Entry!$D$423="","",[2]Entry!$D$423)</f>
        <v/>
      </c>
      <c r="AM420">
        <f>IF(AND($F420&lt;&gt;"",$I420&lt;&gt;""),IF($G420="دارایی ثابت",1,0),0)</f>
        <v/>
      </c>
      <c r="AN420">
        <f>SUM($AM$6:$AM420)</f>
        <v/>
      </c>
      <c r="AO420">
        <f>IFERROR(INDEX($F$6:$F$565,MATCH(ROW()-5,$AN$6:$AN$565,0)),"")</f>
        <v/>
      </c>
      <c r="AP420">
        <f>IF(AND($F420&lt;&gt;"",$I420&lt;&gt;""),IF($G420="وام و تسهیلات",1,0),0)</f>
        <v/>
      </c>
      <c r="AQ420">
        <f>SUM($AP$6:$AP420)</f>
        <v/>
      </c>
      <c r="AR420">
        <f>IFERROR(INDEX($F$6:$F$565,MATCH(ROW()-5,$AQ$6:$AQ$565,0)),"")</f>
        <v/>
      </c>
      <c r="AS420">
        <f>IF(AND($F420&lt;&gt;"",$I420&lt;&gt;""),IF($G420="سرمایه و آورده صاحبان",1,0),0)</f>
        <v/>
      </c>
      <c r="AT420">
        <f>SUM($AS$6:$AS420)</f>
        <v/>
      </c>
      <c r="AU420">
        <f>IFERROR(INDEX($F$6:$F$565,MATCH(ROW()-5,$AT$6:$AT$565,0)),"")</f>
        <v/>
      </c>
      <c r="AW420">
        <f>IF([3]Issues!$C$423="","",[3]Issues!$C$423)</f>
        <v/>
      </c>
      <c r="AX420">
        <f>IF([4]Entry!$E$423="","",[4]Entry!$E$423)</f>
        <v/>
      </c>
      <c r="AY420">
        <f>IF([4]Entry!$H$423="","",[4]Entry!$H$423)</f>
        <v/>
      </c>
      <c r="AZ420">
        <f>IF([4]Entry!$I$423="","",[4]Entry!$I$423)</f>
        <v/>
      </c>
    </row>
    <row r="421">
      <c r="F421">
        <f>IF([1]Accounts!$D$422="","",[1]Accounts!$A$422)</f>
        <v/>
      </c>
      <c r="G421">
        <f>IF([1]Accounts!$D$422="","",[1]Accounts!$B$422)</f>
        <v/>
      </c>
      <c r="H421">
        <f>IF([1]Accounts!$D$422="","",[1]Accounts!$C$422)</f>
        <v/>
      </c>
      <c r="I421">
        <f>IF([1]Accounts!$D$422="","",[1]Accounts!$D$422)</f>
        <v/>
      </c>
      <c r="R421">
        <f>IF(AND($F421&lt;&gt;"",$I421&lt;&gt;""),IF(OR($G421="دارایی ثابت",$G421="وام و تسهیلات",$G421="سرمایه و آورده صاحبان"),0,1),0)</f>
        <v/>
      </c>
      <c r="S421">
        <f>SUM($R$6:$R421)</f>
        <v/>
      </c>
      <c r="T421">
        <f>IFERROR(INDEX($F$6:$F$565,MATCH(ROW()-5,$S$6:$S$565,0)),"")</f>
        <v/>
      </c>
      <c r="Z421">
        <f>IF([2]Entry!$E$424="","",[2]Entry!$E$424)</f>
        <v/>
      </c>
      <c r="AA421">
        <f>IF([2]Entry!$G$424="","",[2]Entry!$G$424)</f>
        <v/>
      </c>
      <c r="AB421">
        <f>IF([2]Entry!$J$424="","",[2]Entry!$J$424)</f>
        <v/>
      </c>
      <c r="AC421">
        <f>IF([2]Entry!$K$424="","",[2]Entry!$K$424)</f>
        <v/>
      </c>
      <c r="AD421">
        <f>IF([2]Entry!$L$424="","",[2]Entry!$L$424)</f>
        <v/>
      </c>
      <c r="AE421">
        <f>IF([2]Entry!$M$424="","",[2]Entry!$M$424)</f>
        <v/>
      </c>
      <c r="AF421">
        <f>IF([2]Entry!$N$424="","",[2]Entry!$N$424)</f>
        <v/>
      </c>
      <c r="AG421">
        <f>IF([3]Issues!$B$424="","",[3]Issues!$B$424)</f>
        <v/>
      </c>
      <c r="AH421">
        <f>IF([3]Issues!$D$424="","",[3]Issues!$D$424)</f>
        <v/>
      </c>
      <c r="AI421">
        <f>IF([3]Issues!$E$424="","",[3]Issues!$E$424)</f>
        <v/>
      </c>
      <c r="AJ421">
        <f>IF([2]Entry!$S$424="","",[2]Entry!$S$424)</f>
        <v/>
      </c>
      <c r="AK421">
        <f>IF([2]Entry!$C$424="","",[2]Entry!$C$424)</f>
        <v/>
      </c>
      <c r="AL421">
        <f>IF([2]Entry!$D$424="","",[2]Entry!$D$424)</f>
        <v/>
      </c>
      <c r="AM421">
        <f>IF(AND($F421&lt;&gt;"",$I421&lt;&gt;""),IF($G421="دارایی ثابت",1,0),0)</f>
        <v/>
      </c>
      <c r="AN421">
        <f>SUM($AM$6:$AM421)</f>
        <v/>
      </c>
      <c r="AO421">
        <f>IFERROR(INDEX($F$6:$F$565,MATCH(ROW()-5,$AN$6:$AN$565,0)),"")</f>
        <v/>
      </c>
      <c r="AP421">
        <f>IF(AND($F421&lt;&gt;"",$I421&lt;&gt;""),IF($G421="وام و تسهیلات",1,0),0)</f>
        <v/>
      </c>
      <c r="AQ421">
        <f>SUM($AP$6:$AP421)</f>
        <v/>
      </c>
      <c r="AR421">
        <f>IFERROR(INDEX($F$6:$F$565,MATCH(ROW()-5,$AQ$6:$AQ$565,0)),"")</f>
        <v/>
      </c>
      <c r="AS421">
        <f>IF(AND($F421&lt;&gt;"",$I421&lt;&gt;""),IF($G421="سرمایه و آورده صاحبان",1,0),0)</f>
        <v/>
      </c>
      <c r="AT421">
        <f>SUM($AS$6:$AS421)</f>
        <v/>
      </c>
      <c r="AU421">
        <f>IFERROR(INDEX($F$6:$F$565,MATCH(ROW()-5,$AT$6:$AT$565,0)),"")</f>
        <v/>
      </c>
      <c r="AW421">
        <f>IF([3]Issues!$C$424="","",[3]Issues!$C$424)</f>
        <v/>
      </c>
      <c r="AX421">
        <f>IF([4]Entry!$E$424="","",[4]Entry!$E$424)</f>
        <v/>
      </c>
      <c r="AY421">
        <f>IF([4]Entry!$H$424="","",[4]Entry!$H$424)</f>
        <v/>
      </c>
      <c r="AZ421">
        <f>IF([4]Entry!$I$424="","",[4]Entry!$I$424)</f>
        <v/>
      </c>
    </row>
    <row r="422">
      <c r="F422">
        <f>IF([1]Accounts!$D$423="","",[1]Accounts!$A$423)</f>
        <v/>
      </c>
      <c r="G422">
        <f>IF([1]Accounts!$D$423="","",[1]Accounts!$B$423)</f>
        <v/>
      </c>
      <c r="H422">
        <f>IF([1]Accounts!$D$423="","",[1]Accounts!$C$423)</f>
        <v/>
      </c>
      <c r="I422">
        <f>IF([1]Accounts!$D$423="","",[1]Accounts!$D$423)</f>
        <v/>
      </c>
      <c r="R422">
        <f>IF(AND($F422&lt;&gt;"",$I422&lt;&gt;""),IF(OR($G422="دارایی ثابت",$G422="وام و تسهیلات",$G422="سرمایه و آورده صاحبان"),0,1),0)</f>
        <v/>
      </c>
      <c r="S422">
        <f>SUM($R$6:$R422)</f>
        <v/>
      </c>
      <c r="T422">
        <f>IFERROR(INDEX($F$6:$F$565,MATCH(ROW()-5,$S$6:$S$565,0)),"")</f>
        <v/>
      </c>
      <c r="Z422">
        <f>IF([2]Entry!$E$425="","",[2]Entry!$E$425)</f>
        <v/>
      </c>
      <c r="AA422">
        <f>IF([2]Entry!$G$425="","",[2]Entry!$G$425)</f>
        <v/>
      </c>
      <c r="AB422">
        <f>IF([2]Entry!$J$425="","",[2]Entry!$J$425)</f>
        <v/>
      </c>
      <c r="AC422">
        <f>IF([2]Entry!$K$425="","",[2]Entry!$K$425)</f>
        <v/>
      </c>
      <c r="AD422">
        <f>IF([2]Entry!$L$425="","",[2]Entry!$L$425)</f>
        <v/>
      </c>
      <c r="AE422">
        <f>IF([2]Entry!$M$425="","",[2]Entry!$M$425)</f>
        <v/>
      </c>
      <c r="AF422">
        <f>IF([2]Entry!$N$425="","",[2]Entry!$N$425)</f>
        <v/>
      </c>
      <c r="AG422">
        <f>IF([3]Issues!$B$425="","",[3]Issues!$B$425)</f>
        <v/>
      </c>
      <c r="AH422">
        <f>IF([3]Issues!$D$425="","",[3]Issues!$D$425)</f>
        <v/>
      </c>
      <c r="AI422">
        <f>IF([3]Issues!$E$425="","",[3]Issues!$E$425)</f>
        <v/>
      </c>
      <c r="AJ422">
        <f>IF([2]Entry!$S$425="","",[2]Entry!$S$425)</f>
        <v/>
      </c>
      <c r="AK422">
        <f>IF([2]Entry!$C$425="","",[2]Entry!$C$425)</f>
        <v/>
      </c>
      <c r="AL422">
        <f>IF([2]Entry!$D$425="","",[2]Entry!$D$425)</f>
        <v/>
      </c>
      <c r="AM422">
        <f>IF(AND($F422&lt;&gt;"",$I422&lt;&gt;""),IF($G422="دارایی ثابت",1,0),0)</f>
        <v/>
      </c>
      <c r="AN422">
        <f>SUM($AM$6:$AM422)</f>
        <v/>
      </c>
      <c r="AO422">
        <f>IFERROR(INDEX($F$6:$F$565,MATCH(ROW()-5,$AN$6:$AN$565,0)),"")</f>
        <v/>
      </c>
      <c r="AP422">
        <f>IF(AND($F422&lt;&gt;"",$I422&lt;&gt;""),IF($G422="وام و تسهیلات",1,0),0)</f>
        <v/>
      </c>
      <c r="AQ422">
        <f>SUM($AP$6:$AP422)</f>
        <v/>
      </c>
      <c r="AR422">
        <f>IFERROR(INDEX($F$6:$F$565,MATCH(ROW()-5,$AQ$6:$AQ$565,0)),"")</f>
        <v/>
      </c>
      <c r="AS422">
        <f>IF(AND($F422&lt;&gt;"",$I422&lt;&gt;""),IF($G422="سرمایه و آورده صاحبان",1,0),0)</f>
        <v/>
      </c>
      <c r="AT422">
        <f>SUM($AS$6:$AS422)</f>
        <v/>
      </c>
      <c r="AU422">
        <f>IFERROR(INDEX($F$6:$F$565,MATCH(ROW()-5,$AT$6:$AT$565,0)),"")</f>
        <v/>
      </c>
      <c r="AW422">
        <f>IF([3]Issues!$C$425="","",[3]Issues!$C$425)</f>
        <v/>
      </c>
      <c r="AX422">
        <f>IF([4]Entry!$E$425="","",[4]Entry!$E$425)</f>
        <v/>
      </c>
      <c r="AY422">
        <f>IF([4]Entry!$H$425="","",[4]Entry!$H$425)</f>
        <v/>
      </c>
      <c r="AZ422">
        <f>IF([4]Entry!$I$425="","",[4]Entry!$I$425)</f>
        <v/>
      </c>
    </row>
    <row r="423">
      <c r="F423">
        <f>IF([1]Accounts!$D$424="","",[1]Accounts!$A$424)</f>
        <v/>
      </c>
      <c r="G423">
        <f>IF([1]Accounts!$D$424="","",[1]Accounts!$B$424)</f>
        <v/>
      </c>
      <c r="H423">
        <f>IF([1]Accounts!$D$424="","",[1]Accounts!$C$424)</f>
        <v/>
      </c>
      <c r="I423">
        <f>IF([1]Accounts!$D$424="","",[1]Accounts!$D$424)</f>
        <v/>
      </c>
      <c r="R423">
        <f>IF(AND($F423&lt;&gt;"",$I423&lt;&gt;""),IF(OR($G423="دارایی ثابت",$G423="وام و تسهیلات",$G423="سرمایه و آورده صاحبان"),0,1),0)</f>
        <v/>
      </c>
      <c r="S423">
        <f>SUM($R$6:$R423)</f>
        <v/>
      </c>
      <c r="T423">
        <f>IFERROR(INDEX($F$6:$F$565,MATCH(ROW()-5,$S$6:$S$565,0)),"")</f>
        <v/>
      </c>
      <c r="Z423">
        <f>IF([2]Entry!$E$426="","",[2]Entry!$E$426)</f>
        <v/>
      </c>
      <c r="AA423">
        <f>IF([2]Entry!$G$426="","",[2]Entry!$G$426)</f>
        <v/>
      </c>
      <c r="AB423">
        <f>IF([2]Entry!$J$426="","",[2]Entry!$J$426)</f>
        <v/>
      </c>
      <c r="AC423">
        <f>IF([2]Entry!$K$426="","",[2]Entry!$K$426)</f>
        <v/>
      </c>
      <c r="AD423">
        <f>IF([2]Entry!$L$426="","",[2]Entry!$L$426)</f>
        <v/>
      </c>
      <c r="AE423">
        <f>IF([2]Entry!$M$426="","",[2]Entry!$M$426)</f>
        <v/>
      </c>
      <c r="AF423">
        <f>IF([2]Entry!$N$426="","",[2]Entry!$N$426)</f>
        <v/>
      </c>
      <c r="AG423">
        <f>IF([3]Issues!$B$426="","",[3]Issues!$B$426)</f>
        <v/>
      </c>
      <c r="AH423">
        <f>IF([3]Issues!$D$426="","",[3]Issues!$D$426)</f>
        <v/>
      </c>
      <c r="AI423">
        <f>IF([3]Issues!$E$426="","",[3]Issues!$E$426)</f>
        <v/>
      </c>
      <c r="AJ423">
        <f>IF([2]Entry!$S$426="","",[2]Entry!$S$426)</f>
        <v/>
      </c>
      <c r="AK423">
        <f>IF([2]Entry!$C$426="","",[2]Entry!$C$426)</f>
        <v/>
      </c>
      <c r="AL423">
        <f>IF([2]Entry!$D$426="","",[2]Entry!$D$426)</f>
        <v/>
      </c>
      <c r="AM423">
        <f>IF(AND($F423&lt;&gt;"",$I423&lt;&gt;""),IF($G423="دارایی ثابت",1,0),0)</f>
        <v/>
      </c>
      <c r="AN423">
        <f>SUM($AM$6:$AM423)</f>
        <v/>
      </c>
      <c r="AO423">
        <f>IFERROR(INDEX($F$6:$F$565,MATCH(ROW()-5,$AN$6:$AN$565,0)),"")</f>
        <v/>
      </c>
      <c r="AP423">
        <f>IF(AND($F423&lt;&gt;"",$I423&lt;&gt;""),IF($G423="وام و تسهیلات",1,0),0)</f>
        <v/>
      </c>
      <c r="AQ423">
        <f>SUM($AP$6:$AP423)</f>
        <v/>
      </c>
      <c r="AR423">
        <f>IFERROR(INDEX($F$6:$F$565,MATCH(ROW()-5,$AQ$6:$AQ$565,0)),"")</f>
        <v/>
      </c>
      <c r="AS423">
        <f>IF(AND($F423&lt;&gt;"",$I423&lt;&gt;""),IF($G423="سرمایه و آورده صاحبان",1,0),0)</f>
        <v/>
      </c>
      <c r="AT423">
        <f>SUM($AS$6:$AS423)</f>
        <v/>
      </c>
      <c r="AU423">
        <f>IFERROR(INDEX($F$6:$F$565,MATCH(ROW()-5,$AT$6:$AT$565,0)),"")</f>
        <v/>
      </c>
      <c r="AW423">
        <f>IF([3]Issues!$C$426="","",[3]Issues!$C$426)</f>
        <v/>
      </c>
      <c r="AX423">
        <f>IF([4]Entry!$E$426="","",[4]Entry!$E$426)</f>
        <v/>
      </c>
      <c r="AY423">
        <f>IF([4]Entry!$H$426="","",[4]Entry!$H$426)</f>
        <v/>
      </c>
      <c r="AZ423">
        <f>IF([4]Entry!$I$426="","",[4]Entry!$I$426)</f>
        <v/>
      </c>
    </row>
    <row r="424">
      <c r="F424">
        <f>IF([1]Accounts!$D$425="","",[1]Accounts!$A$425)</f>
        <v/>
      </c>
      <c r="G424">
        <f>IF([1]Accounts!$D$425="","",[1]Accounts!$B$425)</f>
        <v/>
      </c>
      <c r="H424">
        <f>IF([1]Accounts!$D$425="","",[1]Accounts!$C$425)</f>
        <v/>
      </c>
      <c r="I424">
        <f>IF([1]Accounts!$D$425="","",[1]Accounts!$D$425)</f>
        <v/>
      </c>
      <c r="R424">
        <f>IF(AND($F424&lt;&gt;"",$I424&lt;&gt;""),IF(OR($G424="دارایی ثابت",$G424="وام و تسهیلات",$G424="سرمایه و آورده صاحبان"),0,1),0)</f>
        <v/>
      </c>
      <c r="S424">
        <f>SUM($R$6:$R424)</f>
        <v/>
      </c>
      <c r="T424">
        <f>IFERROR(INDEX($F$6:$F$565,MATCH(ROW()-5,$S$6:$S$565,0)),"")</f>
        <v/>
      </c>
      <c r="Z424">
        <f>IF([2]Entry!$E$427="","",[2]Entry!$E$427)</f>
        <v/>
      </c>
      <c r="AA424">
        <f>IF([2]Entry!$G$427="","",[2]Entry!$G$427)</f>
        <v/>
      </c>
      <c r="AB424">
        <f>IF([2]Entry!$J$427="","",[2]Entry!$J$427)</f>
        <v/>
      </c>
      <c r="AC424">
        <f>IF([2]Entry!$K$427="","",[2]Entry!$K$427)</f>
        <v/>
      </c>
      <c r="AD424">
        <f>IF([2]Entry!$L$427="","",[2]Entry!$L$427)</f>
        <v/>
      </c>
      <c r="AE424">
        <f>IF([2]Entry!$M$427="","",[2]Entry!$M$427)</f>
        <v/>
      </c>
      <c r="AF424">
        <f>IF([2]Entry!$N$427="","",[2]Entry!$N$427)</f>
        <v/>
      </c>
      <c r="AG424">
        <f>IF([3]Issues!$B$427="","",[3]Issues!$B$427)</f>
        <v/>
      </c>
      <c r="AH424">
        <f>IF([3]Issues!$D$427="","",[3]Issues!$D$427)</f>
        <v/>
      </c>
      <c r="AI424">
        <f>IF([3]Issues!$E$427="","",[3]Issues!$E$427)</f>
        <v/>
      </c>
      <c r="AJ424">
        <f>IF([2]Entry!$S$427="","",[2]Entry!$S$427)</f>
        <v/>
      </c>
      <c r="AK424">
        <f>IF([2]Entry!$C$427="","",[2]Entry!$C$427)</f>
        <v/>
      </c>
      <c r="AL424">
        <f>IF([2]Entry!$D$427="","",[2]Entry!$D$427)</f>
        <v/>
      </c>
      <c r="AM424">
        <f>IF(AND($F424&lt;&gt;"",$I424&lt;&gt;""),IF($G424="دارایی ثابت",1,0),0)</f>
        <v/>
      </c>
      <c r="AN424">
        <f>SUM($AM$6:$AM424)</f>
        <v/>
      </c>
      <c r="AO424">
        <f>IFERROR(INDEX($F$6:$F$565,MATCH(ROW()-5,$AN$6:$AN$565,0)),"")</f>
        <v/>
      </c>
      <c r="AP424">
        <f>IF(AND($F424&lt;&gt;"",$I424&lt;&gt;""),IF($G424="وام و تسهیلات",1,0),0)</f>
        <v/>
      </c>
      <c r="AQ424">
        <f>SUM($AP$6:$AP424)</f>
        <v/>
      </c>
      <c r="AR424">
        <f>IFERROR(INDEX($F$6:$F$565,MATCH(ROW()-5,$AQ$6:$AQ$565,0)),"")</f>
        <v/>
      </c>
      <c r="AS424">
        <f>IF(AND($F424&lt;&gt;"",$I424&lt;&gt;""),IF($G424="سرمایه و آورده صاحبان",1,0),0)</f>
        <v/>
      </c>
      <c r="AT424">
        <f>SUM($AS$6:$AS424)</f>
        <v/>
      </c>
      <c r="AU424">
        <f>IFERROR(INDEX($F$6:$F$565,MATCH(ROW()-5,$AT$6:$AT$565,0)),"")</f>
        <v/>
      </c>
      <c r="AW424">
        <f>IF([3]Issues!$C$427="","",[3]Issues!$C$427)</f>
        <v/>
      </c>
      <c r="AX424">
        <f>IF([4]Entry!$E$427="","",[4]Entry!$E$427)</f>
        <v/>
      </c>
      <c r="AY424">
        <f>IF([4]Entry!$H$427="","",[4]Entry!$H$427)</f>
        <v/>
      </c>
      <c r="AZ424">
        <f>IF([4]Entry!$I$427="","",[4]Entry!$I$427)</f>
        <v/>
      </c>
    </row>
    <row r="425">
      <c r="F425">
        <f>IF([1]Accounts!$D$426="","",[1]Accounts!$A$426)</f>
        <v/>
      </c>
      <c r="G425">
        <f>IF([1]Accounts!$D$426="","",[1]Accounts!$B$426)</f>
        <v/>
      </c>
      <c r="H425">
        <f>IF([1]Accounts!$D$426="","",[1]Accounts!$C$426)</f>
        <v/>
      </c>
      <c r="I425">
        <f>IF([1]Accounts!$D$426="","",[1]Accounts!$D$426)</f>
        <v/>
      </c>
      <c r="R425">
        <f>IF(AND($F425&lt;&gt;"",$I425&lt;&gt;""),IF(OR($G425="دارایی ثابت",$G425="وام و تسهیلات",$G425="سرمایه و آورده صاحبان"),0,1),0)</f>
        <v/>
      </c>
      <c r="S425">
        <f>SUM($R$6:$R425)</f>
        <v/>
      </c>
      <c r="T425">
        <f>IFERROR(INDEX($F$6:$F$565,MATCH(ROW()-5,$S$6:$S$565,0)),"")</f>
        <v/>
      </c>
      <c r="Z425">
        <f>IF([2]Entry!$E$428="","",[2]Entry!$E$428)</f>
        <v/>
      </c>
      <c r="AA425">
        <f>IF([2]Entry!$G$428="","",[2]Entry!$G$428)</f>
        <v/>
      </c>
      <c r="AB425">
        <f>IF([2]Entry!$J$428="","",[2]Entry!$J$428)</f>
        <v/>
      </c>
      <c r="AC425">
        <f>IF([2]Entry!$K$428="","",[2]Entry!$K$428)</f>
        <v/>
      </c>
      <c r="AD425">
        <f>IF([2]Entry!$L$428="","",[2]Entry!$L$428)</f>
        <v/>
      </c>
      <c r="AE425">
        <f>IF([2]Entry!$M$428="","",[2]Entry!$M$428)</f>
        <v/>
      </c>
      <c r="AF425">
        <f>IF([2]Entry!$N$428="","",[2]Entry!$N$428)</f>
        <v/>
      </c>
      <c r="AG425">
        <f>IF([3]Issues!$B$428="","",[3]Issues!$B$428)</f>
        <v/>
      </c>
      <c r="AH425">
        <f>IF([3]Issues!$D$428="","",[3]Issues!$D$428)</f>
        <v/>
      </c>
      <c r="AI425">
        <f>IF([3]Issues!$E$428="","",[3]Issues!$E$428)</f>
        <v/>
      </c>
      <c r="AJ425">
        <f>IF([2]Entry!$S$428="","",[2]Entry!$S$428)</f>
        <v/>
      </c>
      <c r="AK425">
        <f>IF([2]Entry!$C$428="","",[2]Entry!$C$428)</f>
        <v/>
      </c>
      <c r="AL425">
        <f>IF([2]Entry!$D$428="","",[2]Entry!$D$428)</f>
        <v/>
      </c>
      <c r="AM425">
        <f>IF(AND($F425&lt;&gt;"",$I425&lt;&gt;""),IF($G425="دارایی ثابت",1,0),0)</f>
        <v/>
      </c>
      <c r="AN425">
        <f>SUM($AM$6:$AM425)</f>
        <v/>
      </c>
      <c r="AO425">
        <f>IFERROR(INDEX($F$6:$F$565,MATCH(ROW()-5,$AN$6:$AN$565,0)),"")</f>
        <v/>
      </c>
      <c r="AP425">
        <f>IF(AND($F425&lt;&gt;"",$I425&lt;&gt;""),IF($G425="وام و تسهیلات",1,0),0)</f>
        <v/>
      </c>
      <c r="AQ425">
        <f>SUM($AP$6:$AP425)</f>
        <v/>
      </c>
      <c r="AR425">
        <f>IFERROR(INDEX($F$6:$F$565,MATCH(ROW()-5,$AQ$6:$AQ$565,0)),"")</f>
        <v/>
      </c>
      <c r="AS425">
        <f>IF(AND($F425&lt;&gt;"",$I425&lt;&gt;""),IF($G425="سرمایه و آورده صاحبان",1,0),0)</f>
        <v/>
      </c>
      <c r="AT425">
        <f>SUM($AS$6:$AS425)</f>
        <v/>
      </c>
      <c r="AU425">
        <f>IFERROR(INDEX($F$6:$F$565,MATCH(ROW()-5,$AT$6:$AT$565,0)),"")</f>
        <v/>
      </c>
      <c r="AW425">
        <f>IF([3]Issues!$C$428="","",[3]Issues!$C$428)</f>
        <v/>
      </c>
      <c r="AX425">
        <f>IF([4]Entry!$E$428="","",[4]Entry!$E$428)</f>
        <v/>
      </c>
      <c r="AY425">
        <f>IF([4]Entry!$H$428="","",[4]Entry!$H$428)</f>
        <v/>
      </c>
      <c r="AZ425">
        <f>IF([4]Entry!$I$428="","",[4]Entry!$I$428)</f>
        <v/>
      </c>
    </row>
    <row r="426">
      <c r="F426">
        <f>IF([1]Accounts!$D$427="","",[1]Accounts!$A$427)</f>
        <v/>
      </c>
      <c r="G426">
        <f>IF([1]Accounts!$D$427="","",[1]Accounts!$B$427)</f>
        <v/>
      </c>
      <c r="H426">
        <f>IF([1]Accounts!$D$427="","",[1]Accounts!$C$427)</f>
        <v/>
      </c>
      <c r="I426">
        <f>IF([1]Accounts!$D$427="","",[1]Accounts!$D$427)</f>
        <v/>
      </c>
      <c r="R426">
        <f>IF(AND($F426&lt;&gt;"",$I426&lt;&gt;""),IF(OR($G426="دارایی ثابت",$G426="وام و تسهیلات",$G426="سرمایه و آورده صاحبان"),0,1),0)</f>
        <v/>
      </c>
      <c r="S426">
        <f>SUM($R$6:$R426)</f>
        <v/>
      </c>
      <c r="T426">
        <f>IFERROR(INDEX($F$6:$F$565,MATCH(ROW()-5,$S$6:$S$565,0)),"")</f>
        <v/>
      </c>
      <c r="Z426">
        <f>IF([2]Entry!$E$429="","",[2]Entry!$E$429)</f>
        <v/>
      </c>
      <c r="AA426">
        <f>IF([2]Entry!$G$429="","",[2]Entry!$G$429)</f>
        <v/>
      </c>
      <c r="AB426">
        <f>IF([2]Entry!$J$429="","",[2]Entry!$J$429)</f>
        <v/>
      </c>
      <c r="AC426">
        <f>IF([2]Entry!$K$429="","",[2]Entry!$K$429)</f>
        <v/>
      </c>
      <c r="AD426">
        <f>IF([2]Entry!$L$429="","",[2]Entry!$L$429)</f>
        <v/>
      </c>
      <c r="AE426">
        <f>IF([2]Entry!$M$429="","",[2]Entry!$M$429)</f>
        <v/>
      </c>
      <c r="AF426">
        <f>IF([2]Entry!$N$429="","",[2]Entry!$N$429)</f>
        <v/>
      </c>
      <c r="AG426">
        <f>IF([3]Issues!$B$429="","",[3]Issues!$B$429)</f>
        <v/>
      </c>
      <c r="AH426">
        <f>IF([3]Issues!$D$429="","",[3]Issues!$D$429)</f>
        <v/>
      </c>
      <c r="AI426">
        <f>IF([3]Issues!$E$429="","",[3]Issues!$E$429)</f>
        <v/>
      </c>
      <c r="AJ426">
        <f>IF([2]Entry!$S$429="","",[2]Entry!$S$429)</f>
        <v/>
      </c>
      <c r="AK426">
        <f>IF([2]Entry!$C$429="","",[2]Entry!$C$429)</f>
        <v/>
      </c>
      <c r="AL426">
        <f>IF([2]Entry!$D$429="","",[2]Entry!$D$429)</f>
        <v/>
      </c>
      <c r="AM426">
        <f>IF(AND($F426&lt;&gt;"",$I426&lt;&gt;""),IF($G426="دارایی ثابت",1,0),0)</f>
        <v/>
      </c>
      <c r="AN426">
        <f>SUM($AM$6:$AM426)</f>
        <v/>
      </c>
      <c r="AO426">
        <f>IFERROR(INDEX($F$6:$F$565,MATCH(ROW()-5,$AN$6:$AN$565,0)),"")</f>
        <v/>
      </c>
      <c r="AP426">
        <f>IF(AND($F426&lt;&gt;"",$I426&lt;&gt;""),IF($G426="وام و تسهیلات",1,0),0)</f>
        <v/>
      </c>
      <c r="AQ426">
        <f>SUM($AP$6:$AP426)</f>
        <v/>
      </c>
      <c r="AR426">
        <f>IFERROR(INDEX($F$6:$F$565,MATCH(ROW()-5,$AQ$6:$AQ$565,0)),"")</f>
        <v/>
      </c>
      <c r="AS426">
        <f>IF(AND($F426&lt;&gt;"",$I426&lt;&gt;""),IF($G426="سرمایه و آورده صاحبان",1,0),0)</f>
        <v/>
      </c>
      <c r="AT426">
        <f>SUM($AS$6:$AS426)</f>
        <v/>
      </c>
      <c r="AU426">
        <f>IFERROR(INDEX($F$6:$F$565,MATCH(ROW()-5,$AT$6:$AT$565,0)),"")</f>
        <v/>
      </c>
      <c r="AW426">
        <f>IF([3]Issues!$C$429="","",[3]Issues!$C$429)</f>
        <v/>
      </c>
      <c r="AX426">
        <f>IF([4]Entry!$E$429="","",[4]Entry!$E$429)</f>
        <v/>
      </c>
      <c r="AY426">
        <f>IF([4]Entry!$H$429="","",[4]Entry!$H$429)</f>
        <v/>
      </c>
      <c r="AZ426">
        <f>IF([4]Entry!$I$429="","",[4]Entry!$I$429)</f>
        <v/>
      </c>
    </row>
    <row r="427">
      <c r="F427">
        <f>IF([1]Accounts!$D$428="","",[1]Accounts!$A$428)</f>
        <v/>
      </c>
      <c r="G427">
        <f>IF([1]Accounts!$D$428="","",[1]Accounts!$B$428)</f>
        <v/>
      </c>
      <c r="H427">
        <f>IF([1]Accounts!$D$428="","",[1]Accounts!$C$428)</f>
        <v/>
      </c>
      <c r="I427">
        <f>IF([1]Accounts!$D$428="","",[1]Accounts!$D$428)</f>
        <v/>
      </c>
      <c r="R427">
        <f>IF(AND($F427&lt;&gt;"",$I427&lt;&gt;""),IF(OR($G427="دارایی ثابت",$G427="وام و تسهیلات",$G427="سرمایه و آورده صاحبان"),0,1),0)</f>
        <v/>
      </c>
      <c r="S427">
        <f>SUM($R$6:$R427)</f>
        <v/>
      </c>
      <c r="T427">
        <f>IFERROR(INDEX($F$6:$F$565,MATCH(ROW()-5,$S$6:$S$565,0)),"")</f>
        <v/>
      </c>
      <c r="Z427">
        <f>IF([2]Entry!$E$430="","",[2]Entry!$E$430)</f>
        <v/>
      </c>
      <c r="AA427">
        <f>IF([2]Entry!$G$430="","",[2]Entry!$G$430)</f>
        <v/>
      </c>
      <c r="AB427">
        <f>IF([2]Entry!$J$430="","",[2]Entry!$J$430)</f>
        <v/>
      </c>
      <c r="AC427">
        <f>IF([2]Entry!$K$430="","",[2]Entry!$K$430)</f>
        <v/>
      </c>
      <c r="AD427">
        <f>IF([2]Entry!$L$430="","",[2]Entry!$L$430)</f>
        <v/>
      </c>
      <c r="AE427">
        <f>IF([2]Entry!$M$430="","",[2]Entry!$M$430)</f>
        <v/>
      </c>
      <c r="AF427">
        <f>IF([2]Entry!$N$430="","",[2]Entry!$N$430)</f>
        <v/>
      </c>
      <c r="AG427">
        <f>IF([3]Issues!$B$430="","",[3]Issues!$B$430)</f>
        <v/>
      </c>
      <c r="AH427">
        <f>IF([3]Issues!$D$430="","",[3]Issues!$D$430)</f>
        <v/>
      </c>
      <c r="AI427">
        <f>IF([3]Issues!$E$430="","",[3]Issues!$E$430)</f>
        <v/>
      </c>
      <c r="AJ427">
        <f>IF([2]Entry!$S$430="","",[2]Entry!$S$430)</f>
        <v/>
      </c>
      <c r="AK427">
        <f>IF([2]Entry!$C$430="","",[2]Entry!$C$430)</f>
        <v/>
      </c>
      <c r="AL427">
        <f>IF([2]Entry!$D$430="","",[2]Entry!$D$430)</f>
        <v/>
      </c>
      <c r="AM427">
        <f>IF(AND($F427&lt;&gt;"",$I427&lt;&gt;""),IF($G427="دارایی ثابت",1,0),0)</f>
        <v/>
      </c>
      <c r="AN427">
        <f>SUM($AM$6:$AM427)</f>
        <v/>
      </c>
      <c r="AO427">
        <f>IFERROR(INDEX($F$6:$F$565,MATCH(ROW()-5,$AN$6:$AN$565,0)),"")</f>
        <v/>
      </c>
      <c r="AP427">
        <f>IF(AND($F427&lt;&gt;"",$I427&lt;&gt;""),IF($G427="وام و تسهیلات",1,0),0)</f>
        <v/>
      </c>
      <c r="AQ427">
        <f>SUM($AP$6:$AP427)</f>
        <v/>
      </c>
      <c r="AR427">
        <f>IFERROR(INDEX($F$6:$F$565,MATCH(ROW()-5,$AQ$6:$AQ$565,0)),"")</f>
        <v/>
      </c>
      <c r="AS427">
        <f>IF(AND($F427&lt;&gt;"",$I427&lt;&gt;""),IF($G427="سرمایه و آورده صاحبان",1,0),0)</f>
        <v/>
      </c>
      <c r="AT427">
        <f>SUM($AS$6:$AS427)</f>
        <v/>
      </c>
      <c r="AU427">
        <f>IFERROR(INDEX($F$6:$F$565,MATCH(ROW()-5,$AT$6:$AT$565,0)),"")</f>
        <v/>
      </c>
      <c r="AW427">
        <f>IF([3]Issues!$C$430="","",[3]Issues!$C$430)</f>
        <v/>
      </c>
      <c r="AX427">
        <f>IF([4]Entry!$E$430="","",[4]Entry!$E$430)</f>
        <v/>
      </c>
      <c r="AY427">
        <f>IF([4]Entry!$H$430="","",[4]Entry!$H$430)</f>
        <v/>
      </c>
      <c r="AZ427">
        <f>IF([4]Entry!$I$430="","",[4]Entry!$I$430)</f>
        <v/>
      </c>
    </row>
    <row r="428">
      <c r="F428">
        <f>IF([1]Accounts!$D$429="","",[1]Accounts!$A$429)</f>
        <v/>
      </c>
      <c r="G428">
        <f>IF([1]Accounts!$D$429="","",[1]Accounts!$B$429)</f>
        <v/>
      </c>
      <c r="H428">
        <f>IF([1]Accounts!$D$429="","",[1]Accounts!$C$429)</f>
        <v/>
      </c>
      <c r="I428">
        <f>IF([1]Accounts!$D$429="","",[1]Accounts!$D$429)</f>
        <v/>
      </c>
      <c r="R428">
        <f>IF(AND($F428&lt;&gt;"",$I428&lt;&gt;""),IF(OR($G428="دارایی ثابت",$G428="وام و تسهیلات",$G428="سرمایه و آورده صاحبان"),0,1),0)</f>
        <v/>
      </c>
      <c r="S428">
        <f>SUM($R$6:$R428)</f>
        <v/>
      </c>
      <c r="T428">
        <f>IFERROR(INDEX($F$6:$F$565,MATCH(ROW()-5,$S$6:$S$565,0)),"")</f>
        <v/>
      </c>
      <c r="Z428">
        <f>IF([2]Entry!$E$431="","",[2]Entry!$E$431)</f>
        <v/>
      </c>
      <c r="AA428">
        <f>IF([2]Entry!$G$431="","",[2]Entry!$G$431)</f>
        <v/>
      </c>
      <c r="AB428">
        <f>IF([2]Entry!$J$431="","",[2]Entry!$J$431)</f>
        <v/>
      </c>
      <c r="AC428">
        <f>IF([2]Entry!$K$431="","",[2]Entry!$K$431)</f>
        <v/>
      </c>
      <c r="AD428">
        <f>IF([2]Entry!$L$431="","",[2]Entry!$L$431)</f>
        <v/>
      </c>
      <c r="AE428">
        <f>IF([2]Entry!$M$431="","",[2]Entry!$M$431)</f>
        <v/>
      </c>
      <c r="AF428">
        <f>IF([2]Entry!$N$431="","",[2]Entry!$N$431)</f>
        <v/>
      </c>
      <c r="AG428">
        <f>IF([3]Issues!$B$431="","",[3]Issues!$B$431)</f>
        <v/>
      </c>
      <c r="AH428">
        <f>IF([3]Issues!$D$431="","",[3]Issues!$D$431)</f>
        <v/>
      </c>
      <c r="AI428">
        <f>IF([3]Issues!$E$431="","",[3]Issues!$E$431)</f>
        <v/>
      </c>
      <c r="AJ428">
        <f>IF([2]Entry!$S$431="","",[2]Entry!$S$431)</f>
        <v/>
      </c>
      <c r="AK428">
        <f>IF([2]Entry!$C$431="","",[2]Entry!$C$431)</f>
        <v/>
      </c>
      <c r="AL428">
        <f>IF([2]Entry!$D$431="","",[2]Entry!$D$431)</f>
        <v/>
      </c>
      <c r="AM428">
        <f>IF(AND($F428&lt;&gt;"",$I428&lt;&gt;""),IF($G428="دارایی ثابت",1,0),0)</f>
        <v/>
      </c>
      <c r="AN428">
        <f>SUM($AM$6:$AM428)</f>
        <v/>
      </c>
      <c r="AO428">
        <f>IFERROR(INDEX($F$6:$F$565,MATCH(ROW()-5,$AN$6:$AN$565,0)),"")</f>
        <v/>
      </c>
      <c r="AP428">
        <f>IF(AND($F428&lt;&gt;"",$I428&lt;&gt;""),IF($G428="وام و تسهیلات",1,0),0)</f>
        <v/>
      </c>
      <c r="AQ428">
        <f>SUM($AP$6:$AP428)</f>
        <v/>
      </c>
      <c r="AR428">
        <f>IFERROR(INDEX($F$6:$F$565,MATCH(ROW()-5,$AQ$6:$AQ$565,0)),"")</f>
        <v/>
      </c>
      <c r="AS428">
        <f>IF(AND($F428&lt;&gt;"",$I428&lt;&gt;""),IF($G428="سرمایه و آورده صاحبان",1,0),0)</f>
        <v/>
      </c>
      <c r="AT428">
        <f>SUM($AS$6:$AS428)</f>
        <v/>
      </c>
      <c r="AU428">
        <f>IFERROR(INDEX($F$6:$F$565,MATCH(ROW()-5,$AT$6:$AT$565,0)),"")</f>
        <v/>
      </c>
      <c r="AW428">
        <f>IF([3]Issues!$C$431="","",[3]Issues!$C$431)</f>
        <v/>
      </c>
      <c r="AX428">
        <f>IF([4]Entry!$E$431="","",[4]Entry!$E$431)</f>
        <v/>
      </c>
      <c r="AY428">
        <f>IF([4]Entry!$H$431="","",[4]Entry!$H$431)</f>
        <v/>
      </c>
      <c r="AZ428">
        <f>IF([4]Entry!$I$431="","",[4]Entry!$I$431)</f>
        <v/>
      </c>
    </row>
    <row r="429">
      <c r="F429">
        <f>IF([1]Accounts!$D$430="","",[1]Accounts!$A$430)</f>
        <v/>
      </c>
      <c r="G429">
        <f>IF([1]Accounts!$D$430="","",[1]Accounts!$B$430)</f>
        <v/>
      </c>
      <c r="H429">
        <f>IF([1]Accounts!$D$430="","",[1]Accounts!$C$430)</f>
        <v/>
      </c>
      <c r="I429">
        <f>IF([1]Accounts!$D$430="","",[1]Accounts!$D$430)</f>
        <v/>
      </c>
      <c r="R429">
        <f>IF(AND($F429&lt;&gt;"",$I429&lt;&gt;""),IF(OR($G429="دارایی ثابت",$G429="وام و تسهیلات",$G429="سرمایه و آورده صاحبان"),0,1),0)</f>
        <v/>
      </c>
      <c r="S429">
        <f>SUM($R$6:$R429)</f>
        <v/>
      </c>
      <c r="T429">
        <f>IFERROR(INDEX($F$6:$F$565,MATCH(ROW()-5,$S$6:$S$565,0)),"")</f>
        <v/>
      </c>
      <c r="Z429">
        <f>IF([2]Entry!$E$432="","",[2]Entry!$E$432)</f>
        <v/>
      </c>
      <c r="AA429">
        <f>IF([2]Entry!$G$432="","",[2]Entry!$G$432)</f>
        <v/>
      </c>
      <c r="AB429">
        <f>IF([2]Entry!$J$432="","",[2]Entry!$J$432)</f>
        <v/>
      </c>
      <c r="AC429">
        <f>IF([2]Entry!$K$432="","",[2]Entry!$K$432)</f>
        <v/>
      </c>
      <c r="AD429">
        <f>IF([2]Entry!$L$432="","",[2]Entry!$L$432)</f>
        <v/>
      </c>
      <c r="AE429">
        <f>IF([2]Entry!$M$432="","",[2]Entry!$M$432)</f>
        <v/>
      </c>
      <c r="AF429">
        <f>IF([2]Entry!$N$432="","",[2]Entry!$N$432)</f>
        <v/>
      </c>
      <c r="AG429">
        <f>IF([3]Issues!$B$432="","",[3]Issues!$B$432)</f>
        <v/>
      </c>
      <c r="AH429">
        <f>IF([3]Issues!$D$432="","",[3]Issues!$D$432)</f>
        <v/>
      </c>
      <c r="AI429">
        <f>IF([3]Issues!$E$432="","",[3]Issues!$E$432)</f>
        <v/>
      </c>
      <c r="AJ429">
        <f>IF([2]Entry!$S$432="","",[2]Entry!$S$432)</f>
        <v/>
      </c>
      <c r="AK429">
        <f>IF([2]Entry!$C$432="","",[2]Entry!$C$432)</f>
        <v/>
      </c>
      <c r="AL429">
        <f>IF([2]Entry!$D$432="","",[2]Entry!$D$432)</f>
        <v/>
      </c>
      <c r="AM429">
        <f>IF(AND($F429&lt;&gt;"",$I429&lt;&gt;""),IF($G429="دارایی ثابت",1,0),0)</f>
        <v/>
      </c>
      <c r="AN429">
        <f>SUM($AM$6:$AM429)</f>
        <v/>
      </c>
      <c r="AO429">
        <f>IFERROR(INDEX($F$6:$F$565,MATCH(ROW()-5,$AN$6:$AN$565,0)),"")</f>
        <v/>
      </c>
      <c r="AP429">
        <f>IF(AND($F429&lt;&gt;"",$I429&lt;&gt;""),IF($G429="وام و تسهیلات",1,0),0)</f>
        <v/>
      </c>
      <c r="AQ429">
        <f>SUM($AP$6:$AP429)</f>
        <v/>
      </c>
      <c r="AR429">
        <f>IFERROR(INDEX($F$6:$F$565,MATCH(ROW()-5,$AQ$6:$AQ$565,0)),"")</f>
        <v/>
      </c>
      <c r="AS429">
        <f>IF(AND($F429&lt;&gt;"",$I429&lt;&gt;""),IF($G429="سرمایه و آورده صاحبان",1,0),0)</f>
        <v/>
      </c>
      <c r="AT429">
        <f>SUM($AS$6:$AS429)</f>
        <v/>
      </c>
      <c r="AU429">
        <f>IFERROR(INDEX($F$6:$F$565,MATCH(ROW()-5,$AT$6:$AT$565,0)),"")</f>
        <v/>
      </c>
      <c r="AW429">
        <f>IF([3]Issues!$C$432="","",[3]Issues!$C$432)</f>
        <v/>
      </c>
      <c r="AX429">
        <f>IF([4]Entry!$E$432="","",[4]Entry!$E$432)</f>
        <v/>
      </c>
      <c r="AY429">
        <f>IF([4]Entry!$H$432="","",[4]Entry!$H$432)</f>
        <v/>
      </c>
      <c r="AZ429">
        <f>IF([4]Entry!$I$432="","",[4]Entry!$I$432)</f>
        <v/>
      </c>
    </row>
    <row r="430">
      <c r="F430">
        <f>IF([1]Accounts!$D$431="","",[1]Accounts!$A$431)</f>
        <v/>
      </c>
      <c r="G430">
        <f>IF([1]Accounts!$D$431="","",[1]Accounts!$B$431)</f>
        <v/>
      </c>
      <c r="H430">
        <f>IF([1]Accounts!$D$431="","",[1]Accounts!$C$431)</f>
        <v/>
      </c>
      <c r="I430">
        <f>IF([1]Accounts!$D$431="","",[1]Accounts!$D$431)</f>
        <v/>
      </c>
      <c r="R430">
        <f>IF(AND($F430&lt;&gt;"",$I430&lt;&gt;""),IF(OR($G430="دارایی ثابت",$G430="وام و تسهیلات",$G430="سرمایه و آورده صاحبان"),0,1),0)</f>
        <v/>
      </c>
      <c r="S430">
        <f>SUM($R$6:$R430)</f>
        <v/>
      </c>
      <c r="T430">
        <f>IFERROR(INDEX($F$6:$F$565,MATCH(ROW()-5,$S$6:$S$565,0)),"")</f>
        <v/>
      </c>
      <c r="Z430">
        <f>IF([2]Entry!$E$433="","",[2]Entry!$E$433)</f>
        <v/>
      </c>
      <c r="AA430">
        <f>IF([2]Entry!$G$433="","",[2]Entry!$G$433)</f>
        <v/>
      </c>
      <c r="AB430">
        <f>IF([2]Entry!$J$433="","",[2]Entry!$J$433)</f>
        <v/>
      </c>
      <c r="AC430">
        <f>IF([2]Entry!$K$433="","",[2]Entry!$K$433)</f>
        <v/>
      </c>
      <c r="AD430">
        <f>IF([2]Entry!$L$433="","",[2]Entry!$L$433)</f>
        <v/>
      </c>
      <c r="AE430">
        <f>IF([2]Entry!$M$433="","",[2]Entry!$M$433)</f>
        <v/>
      </c>
      <c r="AF430">
        <f>IF([2]Entry!$N$433="","",[2]Entry!$N$433)</f>
        <v/>
      </c>
      <c r="AG430">
        <f>IF([3]Issues!$B$433="","",[3]Issues!$B$433)</f>
        <v/>
      </c>
      <c r="AH430">
        <f>IF([3]Issues!$D$433="","",[3]Issues!$D$433)</f>
        <v/>
      </c>
      <c r="AI430">
        <f>IF([3]Issues!$E$433="","",[3]Issues!$E$433)</f>
        <v/>
      </c>
      <c r="AJ430">
        <f>IF([2]Entry!$S$433="","",[2]Entry!$S$433)</f>
        <v/>
      </c>
      <c r="AK430">
        <f>IF([2]Entry!$C$433="","",[2]Entry!$C$433)</f>
        <v/>
      </c>
      <c r="AL430">
        <f>IF([2]Entry!$D$433="","",[2]Entry!$D$433)</f>
        <v/>
      </c>
      <c r="AM430">
        <f>IF(AND($F430&lt;&gt;"",$I430&lt;&gt;""),IF($G430="دارایی ثابت",1,0),0)</f>
        <v/>
      </c>
      <c r="AN430">
        <f>SUM($AM$6:$AM430)</f>
        <v/>
      </c>
      <c r="AO430">
        <f>IFERROR(INDEX($F$6:$F$565,MATCH(ROW()-5,$AN$6:$AN$565,0)),"")</f>
        <v/>
      </c>
      <c r="AP430">
        <f>IF(AND($F430&lt;&gt;"",$I430&lt;&gt;""),IF($G430="وام و تسهیلات",1,0),0)</f>
        <v/>
      </c>
      <c r="AQ430">
        <f>SUM($AP$6:$AP430)</f>
        <v/>
      </c>
      <c r="AR430">
        <f>IFERROR(INDEX($F$6:$F$565,MATCH(ROW()-5,$AQ$6:$AQ$565,0)),"")</f>
        <v/>
      </c>
      <c r="AS430">
        <f>IF(AND($F430&lt;&gt;"",$I430&lt;&gt;""),IF($G430="سرمایه و آورده صاحبان",1,0),0)</f>
        <v/>
      </c>
      <c r="AT430">
        <f>SUM($AS$6:$AS430)</f>
        <v/>
      </c>
      <c r="AU430">
        <f>IFERROR(INDEX($F$6:$F$565,MATCH(ROW()-5,$AT$6:$AT$565,0)),"")</f>
        <v/>
      </c>
      <c r="AW430">
        <f>IF([3]Issues!$C$433="","",[3]Issues!$C$433)</f>
        <v/>
      </c>
      <c r="AX430">
        <f>IF([4]Entry!$E$433="","",[4]Entry!$E$433)</f>
        <v/>
      </c>
      <c r="AY430">
        <f>IF([4]Entry!$H$433="","",[4]Entry!$H$433)</f>
        <v/>
      </c>
      <c r="AZ430">
        <f>IF([4]Entry!$I$433="","",[4]Entry!$I$433)</f>
        <v/>
      </c>
    </row>
    <row r="431">
      <c r="F431">
        <f>IF([1]Accounts!$D$432="","",[1]Accounts!$A$432)</f>
        <v/>
      </c>
      <c r="G431">
        <f>IF([1]Accounts!$D$432="","",[1]Accounts!$B$432)</f>
        <v/>
      </c>
      <c r="H431">
        <f>IF([1]Accounts!$D$432="","",[1]Accounts!$C$432)</f>
        <v/>
      </c>
      <c r="I431">
        <f>IF([1]Accounts!$D$432="","",[1]Accounts!$D$432)</f>
        <v/>
      </c>
      <c r="R431">
        <f>IF(AND($F431&lt;&gt;"",$I431&lt;&gt;""),IF(OR($G431="دارایی ثابت",$G431="وام و تسهیلات",$G431="سرمایه و آورده صاحبان"),0,1),0)</f>
        <v/>
      </c>
      <c r="S431">
        <f>SUM($R$6:$R431)</f>
        <v/>
      </c>
      <c r="T431">
        <f>IFERROR(INDEX($F$6:$F$565,MATCH(ROW()-5,$S$6:$S$565,0)),"")</f>
        <v/>
      </c>
      <c r="Z431">
        <f>IF([2]Entry!$E$434="","",[2]Entry!$E$434)</f>
        <v/>
      </c>
      <c r="AA431">
        <f>IF([2]Entry!$G$434="","",[2]Entry!$G$434)</f>
        <v/>
      </c>
      <c r="AB431">
        <f>IF([2]Entry!$J$434="","",[2]Entry!$J$434)</f>
        <v/>
      </c>
      <c r="AC431">
        <f>IF([2]Entry!$K$434="","",[2]Entry!$K$434)</f>
        <v/>
      </c>
      <c r="AD431">
        <f>IF([2]Entry!$L$434="","",[2]Entry!$L$434)</f>
        <v/>
      </c>
      <c r="AE431">
        <f>IF([2]Entry!$M$434="","",[2]Entry!$M$434)</f>
        <v/>
      </c>
      <c r="AF431">
        <f>IF([2]Entry!$N$434="","",[2]Entry!$N$434)</f>
        <v/>
      </c>
      <c r="AG431">
        <f>IF([3]Issues!$B$434="","",[3]Issues!$B$434)</f>
        <v/>
      </c>
      <c r="AH431">
        <f>IF([3]Issues!$D$434="","",[3]Issues!$D$434)</f>
        <v/>
      </c>
      <c r="AI431">
        <f>IF([3]Issues!$E$434="","",[3]Issues!$E$434)</f>
        <v/>
      </c>
      <c r="AJ431">
        <f>IF([2]Entry!$S$434="","",[2]Entry!$S$434)</f>
        <v/>
      </c>
      <c r="AK431">
        <f>IF([2]Entry!$C$434="","",[2]Entry!$C$434)</f>
        <v/>
      </c>
      <c r="AL431">
        <f>IF([2]Entry!$D$434="","",[2]Entry!$D$434)</f>
        <v/>
      </c>
      <c r="AM431">
        <f>IF(AND($F431&lt;&gt;"",$I431&lt;&gt;""),IF($G431="دارایی ثابت",1,0),0)</f>
        <v/>
      </c>
      <c r="AN431">
        <f>SUM($AM$6:$AM431)</f>
        <v/>
      </c>
      <c r="AO431">
        <f>IFERROR(INDEX($F$6:$F$565,MATCH(ROW()-5,$AN$6:$AN$565,0)),"")</f>
        <v/>
      </c>
      <c r="AP431">
        <f>IF(AND($F431&lt;&gt;"",$I431&lt;&gt;""),IF($G431="وام و تسهیلات",1,0),0)</f>
        <v/>
      </c>
      <c r="AQ431">
        <f>SUM($AP$6:$AP431)</f>
        <v/>
      </c>
      <c r="AR431">
        <f>IFERROR(INDEX($F$6:$F$565,MATCH(ROW()-5,$AQ$6:$AQ$565,0)),"")</f>
        <v/>
      </c>
      <c r="AS431">
        <f>IF(AND($F431&lt;&gt;"",$I431&lt;&gt;""),IF($G431="سرمایه و آورده صاحبان",1,0),0)</f>
        <v/>
      </c>
      <c r="AT431">
        <f>SUM($AS$6:$AS431)</f>
        <v/>
      </c>
      <c r="AU431">
        <f>IFERROR(INDEX($F$6:$F$565,MATCH(ROW()-5,$AT$6:$AT$565,0)),"")</f>
        <v/>
      </c>
      <c r="AW431">
        <f>IF([3]Issues!$C$434="","",[3]Issues!$C$434)</f>
        <v/>
      </c>
      <c r="AX431">
        <f>IF([4]Entry!$E$434="","",[4]Entry!$E$434)</f>
        <v/>
      </c>
      <c r="AY431">
        <f>IF([4]Entry!$H$434="","",[4]Entry!$H$434)</f>
        <v/>
      </c>
      <c r="AZ431">
        <f>IF([4]Entry!$I$434="","",[4]Entry!$I$434)</f>
        <v/>
      </c>
    </row>
    <row r="432">
      <c r="F432">
        <f>IF([1]Accounts!$D$433="","",[1]Accounts!$A$433)</f>
        <v/>
      </c>
      <c r="G432">
        <f>IF([1]Accounts!$D$433="","",[1]Accounts!$B$433)</f>
        <v/>
      </c>
      <c r="H432">
        <f>IF([1]Accounts!$D$433="","",[1]Accounts!$C$433)</f>
        <v/>
      </c>
      <c r="I432">
        <f>IF([1]Accounts!$D$433="","",[1]Accounts!$D$433)</f>
        <v/>
      </c>
      <c r="R432">
        <f>IF(AND($F432&lt;&gt;"",$I432&lt;&gt;""),IF(OR($G432="دارایی ثابت",$G432="وام و تسهیلات",$G432="سرمایه و آورده صاحبان"),0,1),0)</f>
        <v/>
      </c>
      <c r="S432">
        <f>SUM($R$6:$R432)</f>
        <v/>
      </c>
      <c r="T432">
        <f>IFERROR(INDEX($F$6:$F$565,MATCH(ROW()-5,$S$6:$S$565,0)),"")</f>
        <v/>
      </c>
      <c r="Z432">
        <f>IF([2]Entry!$E$435="","",[2]Entry!$E$435)</f>
        <v/>
      </c>
      <c r="AA432">
        <f>IF([2]Entry!$G$435="","",[2]Entry!$G$435)</f>
        <v/>
      </c>
      <c r="AB432">
        <f>IF([2]Entry!$J$435="","",[2]Entry!$J$435)</f>
        <v/>
      </c>
      <c r="AC432">
        <f>IF([2]Entry!$K$435="","",[2]Entry!$K$435)</f>
        <v/>
      </c>
      <c r="AD432">
        <f>IF([2]Entry!$L$435="","",[2]Entry!$L$435)</f>
        <v/>
      </c>
      <c r="AE432">
        <f>IF([2]Entry!$M$435="","",[2]Entry!$M$435)</f>
        <v/>
      </c>
      <c r="AF432">
        <f>IF([2]Entry!$N$435="","",[2]Entry!$N$435)</f>
        <v/>
      </c>
      <c r="AG432">
        <f>IF([3]Issues!$B$435="","",[3]Issues!$B$435)</f>
        <v/>
      </c>
      <c r="AH432">
        <f>IF([3]Issues!$D$435="","",[3]Issues!$D$435)</f>
        <v/>
      </c>
      <c r="AI432">
        <f>IF([3]Issues!$E$435="","",[3]Issues!$E$435)</f>
        <v/>
      </c>
      <c r="AJ432">
        <f>IF([2]Entry!$S$435="","",[2]Entry!$S$435)</f>
        <v/>
      </c>
      <c r="AK432">
        <f>IF([2]Entry!$C$435="","",[2]Entry!$C$435)</f>
        <v/>
      </c>
      <c r="AL432">
        <f>IF([2]Entry!$D$435="","",[2]Entry!$D$435)</f>
        <v/>
      </c>
      <c r="AM432">
        <f>IF(AND($F432&lt;&gt;"",$I432&lt;&gt;""),IF($G432="دارایی ثابت",1,0),0)</f>
        <v/>
      </c>
      <c r="AN432">
        <f>SUM($AM$6:$AM432)</f>
        <v/>
      </c>
      <c r="AO432">
        <f>IFERROR(INDEX($F$6:$F$565,MATCH(ROW()-5,$AN$6:$AN$565,0)),"")</f>
        <v/>
      </c>
      <c r="AP432">
        <f>IF(AND($F432&lt;&gt;"",$I432&lt;&gt;""),IF($G432="وام و تسهیلات",1,0),0)</f>
        <v/>
      </c>
      <c r="AQ432">
        <f>SUM($AP$6:$AP432)</f>
        <v/>
      </c>
      <c r="AR432">
        <f>IFERROR(INDEX($F$6:$F$565,MATCH(ROW()-5,$AQ$6:$AQ$565,0)),"")</f>
        <v/>
      </c>
      <c r="AS432">
        <f>IF(AND($F432&lt;&gt;"",$I432&lt;&gt;""),IF($G432="سرمایه و آورده صاحبان",1,0),0)</f>
        <v/>
      </c>
      <c r="AT432">
        <f>SUM($AS$6:$AS432)</f>
        <v/>
      </c>
      <c r="AU432">
        <f>IFERROR(INDEX($F$6:$F$565,MATCH(ROW()-5,$AT$6:$AT$565,0)),"")</f>
        <v/>
      </c>
      <c r="AW432">
        <f>IF([3]Issues!$C$435="","",[3]Issues!$C$435)</f>
        <v/>
      </c>
      <c r="AX432">
        <f>IF([4]Entry!$E$435="","",[4]Entry!$E$435)</f>
        <v/>
      </c>
      <c r="AY432">
        <f>IF([4]Entry!$H$435="","",[4]Entry!$H$435)</f>
        <v/>
      </c>
      <c r="AZ432">
        <f>IF([4]Entry!$I$435="","",[4]Entry!$I$435)</f>
        <v/>
      </c>
    </row>
    <row r="433">
      <c r="F433">
        <f>IF([1]Accounts!$D$434="","",[1]Accounts!$A$434)</f>
        <v/>
      </c>
      <c r="G433">
        <f>IF([1]Accounts!$D$434="","",[1]Accounts!$B$434)</f>
        <v/>
      </c>
      <c r="H433">
        <f>IF([1]Accounts!$D$434="","",[1]Accounts!$C$434)</f>
        <v/>
      </c>
      <c r="I433">
        <f>IF([1]Accounts!$D$434="","",[1]Accounts!$D$434)</f>
        <v/>
      </c>
      <c r="R433">
        <f>IF(AND($F433&lt;&gt;"",$I433&lt;&gt;""),IF(OR($G433="دارایی ثابت",$G433="وام و تسهیلات",$G433="سرمایه و آورده صاحبان"),0,1),0)</f>
        <v/>
      </c>
      <c r="S433">
        <f>SUM($R$6:$R433)</f>
        <v/>
      </c>
      <c r="T433">
        <f>IFERROR(INDEX($F$6:$F$565,MATCH(ROW()-5,$S$6:$S$565,0)),"")</f>
        <v/>
      </c>
      <c r="Z433">
        <f>IF([2]Entry!$E$436="","",[2]Entry!$E$436)</f>
        <v/>
      </c>
      <c r="AA433">
        <f>IF([2]Entry!$G$436="","",[2]Entry!$G$436)</f>
        <v/>
      </c>
      <c r="AB433">
        <f>IF([2]Entry!$J$436="","",[2]Entry!$J$436)</f>
        <v/>
      </c>
      <c r="AC433">
        <f>IF([2]Entry!$K$436="","",[2]Entry!$K$436)</f>
        <v/>
      </c>
      <c r="AD433">
        <f>IF([2]Entry!$L$436="","",[2]Entry!$L$436)</f>
        <v/>
      </c>
      <c r="AE433">
        <f>IF([2]Entry!$M$436="","",[2]Entry!$M$436)</f>
        <v/>
      </c>
      <c r="AF433">
        <f>IF([2]Entry!$N$436="","",[2]Entry!$N$436)</f>
        <v/>
      </c>
      <c r="AG433">
        <f>IF([3]Issues!$B$436="","",[3]Issues!$B$436)</f>
        <v/>
      </c>
      <c r="AH433">
        <f>IF([3]Issues!$D$436="","",[3]Issues!$D$436)</f>
        <v/>
      </c>
      <c r="AI433">
        <f>IF([3]Issues!$E$436="","",[3]Issues!$E$436)</f>
        <v/>
      </c>
      <c r="AJ433">
        <f>IF([2]Entry!$S$436="","",[2]Entry!$S$436)</f>
        <v/>
      </c>
      <c r="AK433">
        <f>IF([2]Entry!$C$436="","",[2]Entry!$C$436)</f>
        <v/>
      </c>
      <c r="AL433">
        <f>IF([2]Entry!$D$436="","",[2]Entry!$D$436)</f>
        <v/>
      </c>
      <c r="AM433">
        <f>IF(AND($F433&lt;&gt;"",$I433&lt;&gt;""),IF($G433="دارایی ثابت",1,0),0)</f>
        <v/>
      </c>
      <c r="AN433">
        <f>SUM($AM$6:$AM433)</f>
        <v/>
      </c>
      <c r="AO433">
        <f>IFERROR(INDEX($F$6:$F$565,MATCH(ROW()-5,$AN$6:$AN$565,0)),"")</f>
        <v/>
      </c>
      <c r="AP433">
        <f>IF(AND($F433&lt;&gt;"",$I433&lt;&gt;""),IF($G433="وام و تسهیلات",1,0),0)</f>
        <v/>
      </c>
      <c r="AQ433">
        <f>SUM($AP$6:$AP433)</f>
        <v/>
      </c>
      <c r="AR433">
        <f>IFERROR(INDEX($F$6:$F$565,MATCH(ROW()-5,$AQ$6:$AQ$565,0)),"")</f>
        <v/>
      </c>
      <c r="AS433">
        <f>IF(AND($F433&lt;&gt;"",$I433&lt;&gt;""),IF($G433="سرمایه و آورده صاحبان",1,0),0)</f>
        <v/>
      </c>
      <c r="AT433">
        <f>SUM($AS$6:$AS433)</f>
        <v/>
      </c>
      <c r="AU433">
        <f>IFERROR(INDEX($F$6:$F$565,MATCH(ROW()-5,$AT$6:$AT$565,0)),"")</f>
        <v/>
      </c>
      <c r="AW433">
        <f>IF([3]Issues!$C$436="","",[3]Issues!$C$436)</f>
        <v/>
      </c>
      <c r="AX433">
        <f>IF([4]Entry!$E$436="","",[4]Entry!$E$436)</f>
        <v/>
      </c>
      <c r="AY433">
        <f>IF([4]Entry!$H$436="","",[4]Entry!$H$436)</f>
        <v/>
      </c>
      <c r="AZ433">
        <f>IF([4]Entry!$I$436="","",[4]Entry!$I$436)</f>
        <v/>
      </c>
    </row>
    <row r="434">
      <c r="F434">
        <f>IF([1]Accounts!$D$435="","",[1]Accounts!$A$435)</f>
        <v/>
      </c>
      <c r="G434">
        <f>IF([1]Accounts!$D$435="","",[1]Accounts!$B$435)</f>
        <v/>
      </c>
      <c r="H434">
        <f>IF([1]Accounts!$D$435="","",[1]Accounts!$C$435)</f>
        <v/>
      </c>
      <c r="I434">
        <f>IF([1]Accounts!$D$435="","",[1]Accounts!$D$435)</f>
        <v/>
      </c>
      <c r="R434">
        <f>IF(AND($F434&lt;&gt;"",$I434&lt;&gt;""),IF(OR($G434="دارایی ثابت",$G434="وام و تسهیلات",$G434="سرمایه و آورده صاحبان"),0,1),0)</f>
        <v/>
      </c>
      <c r="S434">
        <f>SUM($R$6:$R434)</f>
        <v/>
      </c>
      <c r="T434">
        <f>IFERROR(INDEX($F$6:$F$565,MATCH(ROW()-5,$S$6:$S$565,0)),"")</f>
        <v/>
      </c>
      <c r="Z434">
        <f>IF([2]Entry!$E$437="","",[2]Entry!$E$437)</f>
        <v/>
      </c>
      <c r="AA434">
        <f>IF([2]Entry!$G$437="","",[2]Entry!$G$437)</f>
        <v/>
      </c>
      <c r="AB434">
        <f>IF([2]Entry!$J$437="","",[2]Entry!$J$437)</f>
        <v/>
      </c>
      <c r="AC434">
        <f>IF([2]Entry!$K$437="","",[2]Entry!$K$437)</f>
        <v/>
      </c>
      <c r="AD434">
        <f>IF([2]Entry!$L$437="","",[2]Entry!$L$437)</f>
        <v/>
      </c>
      <c r="AE434">
        <f>IF([2]Entry!$M$437="","",[2]Entry!$M$437)</f>
        <v/>
      </c>
      <c r="AF434">
        <f>IF([2]Entry!$N$437="","",[2]Entry!$N$437)</f>
        <v/>
      </c>
      <c r="AG434">
        <f>IF([3]Issues!$B$437="","",[3]Issues!$B$437)</f>
        <v/>
      </c>
      <c r="AH434">
        <f>IF([3]Issues!$D$437="","",[3]Issues!$D$437)</f>
        <v/>
      </c>
      <c r="AI434">
        <f>IF([3]Issues!$E$437="","",[3]Issues!$E$437)</f>
        <v/>
      </c>
      <c r="AJ434">
        <f>IF([2]Entry!$S$437="","",[2]Entry!$S$437)</f>
        <v/>
      </c>
      <c r="AK434">
        <f>IF([2]Entry!$C$437="","",[2]Entry!$C$437)</f>
        <v/>
      </c>
      <c r="AL434">
        <f>IF([2]Entry!$D$437="","",[2]Entry!$D$437)</f>
        <v/>
      </c>
      <c r="AM434">
        <f>IF(AND($F434&lt;&gt;"",$I434&lt;&gt;""),IF($G434="دارایی ثابت",1,0),0)</f>
        <v/>
      </c>
      <c r="AN434">
        <f>SUM($AM$6:$AM434)</f>
        <v/>
      </c>
      <c r="AO434">
        <f>IFERROR(INDEX($F$6:$F$565,MATCH(ROW()-5,$AN$6:$AN$565,0)),"")</f>
        <v/>
      </c>
      <c r="AP434">
        <f>IF(AND($F434&lt;&gt;"",$I434&lt;&gt;""),IF($G434="وام و تسهیلات",1,0),0)</f>
        <v/>
      </c>
      <c r="AQ434">
        <f>SUM($AP$6:$AP434)</f>
        <v/>
      </c>
      <c r="AR434">
        <f>IFERROR(INDEX($F$6:$F$565,MATCH(ROW()-5,$AQ$6:$AQ$565,0)),"")</f>
        <v/>
      </c>
      <c r="AS434">
        <f>IF(AND($F434&lt;&gt;"",$I434&lt;&gt;""),IF($G434="سرمایه و آورده صاحبان",1,0),0)</f>
        <v/>
      </c>
      <c r="AT434">
        <f>SUM($AS$6:$AS434)</f>
        <v/>
      </c>
      <c r="AU434">
        <f>IFERROR(INDEX($F$6:$F$565,MATCH(ROW()-5,$AT$6:$AT$565,0)),"")</f>
        <v/>
      </c>
      <c r="AW434">
        <f>IF([3]Issues!$C$437="","",[3]Issues!$C$437)</f>
        <v/>
      </c>
      <c r="AX434">
        <f>IF([4]Entry!$E$437="","",[4]Entry!$E$437)</f>
        <v/>
      </c>
      <c r="AY434">
        <f>IF([4]Entry!$H$437="","",[4]Entry!$H$437)</f>
        <v/>
      </c>
      <c r="AZ434">
        <f>IF([4]Entry!$I$437="","",[4]Entry!$I$437)</f>
        <v/>
      </c>
    </row>
    <row r="435">
      <c r="F435">
        <f>IF([1]Accounts!$D$436="","",[1]Accounts!$A$436)</f>
        <v/>
      </c>
      <c r="G435">
        <f>IF([1]Accounts!$D$436="","",[1]Accounts!$B$436)</f>
        <v/>
      </c>
      <c r="H435">
        <f>IF([1]Accounts!$D$436="","",[1]Accounts!$C$436)</f>
        <v/>
      </c>
      <c r="I435">
        <f>IF([1]Accounts!$D$436="","",[1]Accounts!$D$436)</f>
        <v/>
      </c>
      <c r="R435">
        <f>IF(AND($F435&lt;&gt;"",$I435&lt;&gt;""),IF(OR($G435="دارایی ثابت",$G435="وام و تسهیلات",$G435="سرمایه و آورده صاحبان"),0,1),0)</f>
        <v/>
      </c>
      <c r="S435">
        <f>SUM($R$6:$R435)</f>
        <v/>
      </c>
      <c r="T435">
        <f>IFERROR(INDEX($F$6:$F$565,MATCH(ROW()-5,$S$6:$S$565,0)),"")</f>
        <v/>
      </c>
      <c r="Z435">
        <f>IF([2]Entry!$E$438="","",[2]Entry!$E$438)</f>
        <v/>
      </c>
      <c r="AA435">
        <f>IF([2]Entry!$G$438="","",[2]Entry!$G$438)</f>
        <v/>
      </c>
      <c r="AB435">
        <f>IF([2]Entry!$J$438="","",[2]Entry!$J$438)</f>
        <v/>
      </c>
      <c r="AC435">
        <f>IF([2]Entry!$K$438="","",[2]Entry!$K$438)</f>
        <v/>
      </c>
      <c r="AD435">
        <f>IF([2]Entry!$L$438="","",[2]Entry!$L$438)</f>
        <v/>
      </c>
      <c r="AE435">
        <f>IF([2]Entry!$M$438="","",[2]Entry!$M$438)</f>
        <v/>
      </c>
      <c r="AF435">
        <f>IF([2]Entry!$N$438="","",[2]Entry!$N$438)</f>
        <v/>
      </c>
      <c r="AG435">
        <f>IF([3]Issues!$B$438="","",[3]Issues!$B$438)</f>
        <v/>
      </c>
      <c r="AH435">
        <f>IF([3]Issues!$D$438="","",[3]Issues!$D$438)</f>
        <v/>
      </c>
      <c r="AI435">
        <f>IF([3]Issues!$E$438="","",[3]Issues!$E$438)</f>
        <v/>
      </c>
      <c r="AJ435">
        <f>IF([2]Entry!$S$438="","",[2]Entry!$S$438)</f>
        <v/>
      </c>
      <c r="AK435">
        <f>IF([2]Entry!$C$438="","",[2]Entry!$C$438)</f>
        <v/>
      </c>
      <c r="AL435">
        <f>IF([2]Entry!$D$438="","",[2]Entry!$D$438)</f>
        <v/>
      </c>
      <c r="AM435">
        <f>IF(AND($F435&lt;&gt;"",$I435&lt;&gt;""),IF($G435="دارایی ثابت",1,0),0)</f>
        <v/>
      </c>
      <c r="AN435">
        <f>SUM($AM$6:$AM435)</f>
        <v/>
      </c>
      <c r="AO435">
        <f>IFERROR(INDEX($F$6:$F$565,MATCH(ROW()-5,$AN$6:$AN$565,0)),"")</f>
        <v/>
      </c>
      <c r="AP435">
        <f>IF(AND($F435&lt;&gt;"",$I435&lt;&gt;""),IF($G435="وام و تسهیلات",1,0),0)</f>
        <v/>
      </c>
      <c r="AQ435">
        <f>SUM($AP$6:$AP435)</f>
        <v/>
      </c>
      <c r="AR435">
        <f>IFERROR(INDEX($F$6:$F$565,MATCH(ROW()-5,$AQ$6:$AQ$565,0)),"")</f>
        <v/>
      </c>
      <c r="AS435">
        <f>IF(AND($F435&lt;&gt;"",$I435&lt;&gt;""),IF($G435="سرمایه و آورده صاحبان",1,0),0)</f>
        <v/>
      </c>
      <c r="AT435">
        <f>SUM($AS$6:$AS435)</f>
        <v/>
      </c>
      <c r="AU435">
        <f>IFERROR(INDEX($F$6:$F$565,MATCH(ROW()-5,$AT$6:$AT$565,0)),"")</f>
        <v/>
      </c>
      <c r="AW435">
        <f>IF([3]Issues!$C$438="","",[3]Issues!$C$438)</f>
        <v/>
      </c>
      <c r="AX435">
        <f>IF([4]Entry!$E$438="","",[4]Entry!$E$438)</f>
        <v/>
      </c>
      <c r="AY435">
        <f>IF([4]Entry!$H$438="","",[4]Entry!$H$438)</f>
        <v/>
      </c>
      <c r="AZ435">
        <f>IF([4]Entry!$I$438="","",[4]Entry!$I$438)</f>
        <v/>
      </c>
    </row>
    <row r="436">
      <c r="F436">
        <f>IF([1]Accounts!$D$437="","",[1]Accounts!$A$437)</f>
        <v/>
      </c>
      <c r="G436">
        <f>IF([1]Accounts!$D$437="","",[1]Accounts!$B$437)</f>
        <v/>
      </c>
      <c r="H436">
        <f>IF([1]Accounts!$D$437="","",[1]Accounts!$C$437)</f>
        <v/>
      </c>
      <c r="I436">
        <f>IF([1]Accounts!$D$437="","",[1]Accounts!$D$437)</f>
        <v/>
      </c>
      <c r="R436">
        <f>IF(AND($F436&lt;&gt;"",$I436&lt;&gt;""),IF(OR($G436="دارایی ثابت",$G436="وام و تسهیلات",$G436="سرمایه و آورده صاحبان"),0,1),0)</f>
        <v/>
      </c>
      <c r="S436">
        <f>SUM($R$6:$R436)</f>
        <v/>
      </c>
      <c r="T436">
        <f>IFERROR(INDEX($F$6:$F$565,MATCH(ROW()-5,$S$6:$S$565,0)),"")</f>
        <v/>
      </c>
      <c r="Z436">
        <f>IF([2]Entry!$E$439="","",[2]Entry!$E$439)</f>
        <v/>
      </c>
      <c r="AA436">
        <f>IF([2]Entry!$G$439="","",[2]Entry!$G$439)</f>
        <v/>
      </c>
      <c r="AB436">
        <f>IF([2]Entry!$J$439="","",[2]Entry!$J$439)</f>
        <v/>
      </c>
      <c r="AC436">
        <f>IF([2]Entry!$K$439="","",[2]Entry!$K$439)</f>
        <v/>
      </c>
      <c r="AD436">
        <f>IF([2]Entry!$L$439="","",[2]Entry!$L$439)</f>
        <v/>
      </c>
      <c r="AE436">
        <f>IF([2]Entry!$M$439="","",[2]Entry!$M$439)</f>
        <v/>
      </c>
      <c r="AF436">
        <f>IF([2]Entry!$N$439="","",[2]Entry!$N$439)</f>
        <v/>
      </c>
      <c r="AG436">
        <f>IF([3]Issues!$B$439="","",[3]Issues!$B$439)</f>
        <v/>
      </c>
      <c r="AH436">
        <f>IF([3]Issues!$D$439="","",[3]Issues!$D$439)</f>
        <v/>
      </c>
      <c r="AI436">
        <f>IF([3]Issues!$E$439="","",[3]Issues!$E$439)</f>
        <v/>
      </c>
      <c r="AJ436">
        <f>IF([2]Entry!$S$439="","",[2]Entry!$S$439)</f>
        <v/>
      </c>
      <c r="AK436">
        <f>IF([2]Entry!$C$439="","",[2]Entry!$C$439)</f>
        <v/>
      </c>
      <c r="AL436">
        <f>IF([2]Entry!$D$439="","",[2]Entry!$D$439)</f>
        <v/>
      </c>
      <c r="AM436">
        <f>IF(AND($F436&lt;&gt;"",$I436&lt;&gt;""),IF($G436="دارایی ثابت",1,0),0)</f>
        <v/>
      </c>
      <c r="AN436">
        <f>SUM($AM$6:$AM436)</f>
        <v/>
      </c>
      <c r="AO436">
        <f>IFERROR(INDEX($F$6:$F$565,MATCH(ROW()-5,$AN$6:$AN$565,0)),"")</f>
        <v/>
      </c>
      <c r="AP436">
        <f>IF(AND($F436&lt;&gt;"",$I436&lt;&gt;""),IF($G436="وام و تسهیلات",1,0),0)</f>
        <v/>
      </c>
      <c r="AQ436">
        <f>SUM($AP$6:$AP436)</f>
        <v/>
      </c>
      <c r="AR436">
        <f>IFERROR(INDEX($F$6:$F$565,MATCH(ROW()-5,$AQ$6:$AQ$565,0)),"")</f>
        <v/>
      </c>
      <c r="AS436">
        <f>IF(AND($F436&lt;&gt;"",$I436&lt;&gt;""),IF($G436="سرمایه و آورده صاحبان",1,0),0)</f>
        <v/>
      </c>
      <c r="AT436">
        <f>SUM($AS$6:$AS436)</f>
        <v/>
      </c>
      <c r="AU436">
        <f>IFERROR(INDEX($F$6:$F$565,MATCH(ROW()-5,$AT$6:$AT$565,0)),"")</f>
        <v/>
      </c>
      <c r="AW436">
        <f>IF([3]Issues!$C$439="","",[3]Issues!$C$439)</f>
        <v/>
      </c>
      <c r="AX436">
        <f>IF([4]Entry!$E$439="","",[4]Entry!$E$439)</f>
        <v/>
      </c>
      <c r="AY436">
        <f>IF([4]Entry!$H$439="","",[4]Entry!$H$439)</f>
        <v/>
      </c>
      <c r="AZ436">
        <f>IF([4]Entry!$I$439="","",[4]Entry!$I$439)</f>
        <v/>
      </c>
    </row>
    <row r="437">
      <c r="F437">
        <f>IF([1]Accounts!$D$438="","",[1]Accounts!$A$438)</f>
        <v/>
      </c>
      <c r="G437">
        <f>IF([1]Accounts!$D$438="","",[1]Accounts!$B$438)</f>
        <v/>
      </c>
      <c r="H437">
        <f>IF([1]Accounts!$D$438="","",[1]Accounts!$C$438)</f>
        <v/>
      </c>
      <c r="I437">
        <f>IF([1]Accounts!$D$438="","",[1]Accounts!$D$438)</f>
        <v/>
      </c>
      <c r="R437">
        <f>IF(AND($F437&lt;&gt;"",$I437&lt;&gt;""),IF(OR($G437="دارایی ثابت",$G437="وام و تسهیلات",$G437="سرمایه و آورده صاحبان"),0,1),0)</f>
        <v/>
      </c>
      <c r="S437">
        <f>SUM($R$6:$R437)</f>
        <v/>
      </c>
      <c r="T437">
        <f>IFERROR(INDEX($F$6:$F$565,MATCH(ROW()-5,$S$6:$S$565,0)),"")</f>
        <v/>
      </c>
      <c r="Z437">
        <f>IF([2]Entry!$E$440="","",[2]Entry!$E$440)</f>
        <v/>
      </c>
      <c r="AA437">
        <f>IF([2]Entry!$G$440="","",[2]Entry!$G$440)</f>
        <v/>
      </c>
      <c r="AB437">
        <f>IF([2]Entry!$J$440="","",[2]Entry!$J$440)</f>
        <v/>
      </c>
      <c r="AC437">
        <f>IF([2]Entry!$K$440="","",[2]Entry!$K$440)</f>
        <v/>
      </c>
      <c r="AD437">
        <f>IF([2]Entry!$L$440="","",[2]Entry!$L$440)</f>
        <v/>
      </c>
      <c r="AE437">
        <f>IF([2]Entry!$M$440="","",[2]Entry!$M$440)</f>
        <v/>
      </c>
      <c r="AF437">
        <f>IF([2]Entry!$N$440="","",[2]Entry!$N$440)</f>
        <v/>
      </c>
      <c r="AG437">
        <f>IF([3]Issues!$B$440="","",[3]Issues!$B$440)</f>
        <v/>
      </c>
      <c r="AH437">
        <f>IF([3]Issues!$D$440="","",[3]Issues!$D$440)</f>
        <v/>
      </c>
      <c r="AI437">
        <f>IF([3]Issues!$E$440="","",[3]Issues!$E$440)</f>
        <v/>
      </c>
      <c r="AJ437">
        <f>IF([2]Entry!$S$440="","",[2]Entry!$S$440)</f>
        <v/>
      </c>
      <c r="AK437">
        <f>IF([2]Entry!$C$440="","",[2]Entry!$C$440)</f>
        <v/>
      </c>
      <c r="AL437">
        <f>IF([2]Entry!$D$440="","",[2]Entry!$D$440)</f>
        <v/>
      </c>
      <c r="AM437">
        <f>IF(AND($F437&lt;&gt;"",$I437&lt;&gt;""),IF($G437="دارایی ثابت",1,0),0)</f>
        <v/>
      </c>
      <c r="AN437">
        <f>SUM($AM$6:$AM437)</f>
        <v/>
      </c>
      <c r="AO437">
        <f>IFERROR(INDEX($F$6:$F$565,MATCH(ROW()-5,$AN$6:$AN$565,0)),"")</f>
        <v/>
      </c>
      <c r="AP437">
        <f>IF(AND($F437&lt;&gt;"",$I437&lt;&gt;""),IF($G437="وام و تسهیلات",1,0),0)</f>
        <v/>
      </c>
      <c r="AQ437">
        <f>SUM($AP$6:$AP437)</f>
        <v/>
      </c>
      <c r="AR437">
        <f>IFERROR(INDEX($F$6:$F$565,MATCH(ROW()-5,$AQ$6:$AQ$565,0)),"")</f>
        <v/>
      </c>
      <c r="AS437">
        <f>IF(AND($F437&lt;&gt;"",$I437&lt;&gt;""),IF($G437="سرمایه و آورده صاحبان",1,0),0)</f>
        <v/>
      </c>
      <c r="AT437">
        <f>SUM($AS$6:$AS437)</f>
        <v/>
      </c>
      <c r="AU437">
        <f>IFERROR(INDEX($F$6:$F$565,MATCH(ROW()-5,$AT$6:$AT$565,0)),"")</f>
        <v/>
      </c>
      <c r="AW437">
        <f>IF([3]Issues!$C$440="","",[3]Issues!$C$440)</f>
        <v/>
      </c>
      <c r="AX437">
        <f>IF([4]Entry!$E$440="","",[4]Entry!$E$440)</f>
        <v/>
      </c>
      <c r="AY437">
        <f>IF([4]Entry!$H$440="","",[4]Entry!$H$440)</f>
        <v/>
      </c>
      <c r="AZ437">
        <f>IF([4]Entry!$I$440="","",[4]Entry!$I$440)</f>
        <v/>
      </c>
    </row>
    <row r="438">
      <c r="F438">
        <f>IF([1]Accounts!$D$439="","",[1]Accounts!$A$439)</f>
        <v/>
      </c>
      <c r="G438">
        <f>IF([1]Accounts!$D$439="","",[1]Accounts!$B$439)</f>
        <v/>
      </c>
      <c r="H438">
        <f>IF([1]Accounts!$D$439="","",[1]Accounts!$C$439)</f>
        <v/>
      </c>
      <c r="I438">
        <f>IF([1]Accounts!$D$439="","",[1]Accounts!$D$439)</f>
        <v/>
      </c>
      <c r="R438">
        <f>IF(AND($F438&lt;&gt;"",$I438&lt;&gt;""),IF(OR($G438="دارایی ثابت",$G438="وام و تسهیلات",$G438="سرمایه و آورده صاحبان"),0,1),0)</f>
        <v/>
      </c>
      <c r="S438">
        <f>SUM($R$6:$R438)</f>
        <v/>
      </c>
      <c r="T438">
        <f>IFERROR(INDEX($F$6:$F$565,MATCH(ROW()-5,$S$6:$S$565,0)),"")</f>
        <v/>
      </c>
      <c r="Z438">
        <f>IF([2]Entry!$E$441="","",[2]Entry!$E$441)</f>
        <v/>
      </c>
      <c r="AA438">
        <f>IF([2]Entry!$G$441="","",[2]Entry!$G$441)</f>
        <v/>
      </c>
      <c r="AB438">
        <f>IF([2]Entry!$J$441="","",[2]Entry!$J$441)</f>
        <v/>
      </c>
      <c r="AC438">
        <f>IF([2]Entry!$K$441="","",[2]Entry!$K$441)</f>
        <v/>
      </c>
      <c r="AD438">
        <f>IF([2]Entry!$L$441="","",[2]Entry!$L$441)</f>
        <v/>
      </c>
      <c r="AE438">
        <f>IF([2]Entry!$M$441="","",[2]Entry!$M$441)</f>
        <v/>
      </c>
      <c r="AF438">
        <f>IF([2]Entry!$N$441="","",[2]Entry!$N$441)</f>
        <v/>
      </c>
      <c r="AG438">
        <f>IF([3]Issues!$B$441="","",[3]Issues!$B$441)</f>
        <v/>
      </c>
      <c r="AH438">
        <f>IF([3]Issues!$D$441="","",[3]Issues!$D$441)</f>
        <v/>
      </c>
      <c r="AI438">
        <f>IF([3]Issues!$E$441="","",[3]Issues!$E$441)</f>
        <v/>
      </c>
      <c r="AJ438">
        <f>IF([2]Entry!$S$441="","",[2]Entry!$S$441)</f>
        <v/>
      </c>
      <c r="AK438">
        <f>IF([2]Entry!$C$441="","",[2]Entry!$C$441)</f>
        <v/>
      </c>
      <c r="AL438">
        <f>IF([2]Entry!$D$441="","",[2]Entry!$D$441)</f>
        <v/>
      </c>
      <c r="AM438">
        <f>IF(AND($F438&lt;&gt;"",$I438&lt;&gt;""),IF($G438="دارایی ثابت",1,0),0)</f>
        <v/>
      </c>
      <c r="AN438">
        <f>SUM($AM$6:$AM438)</f>
        <v/>
      </c>
      <c r="AO438">
        <f>IFERROR(INDEX($F$6:$F$565,MATCH(ROW()-5,$AN$6:$AN$565,0)),"")</f>
        <v/>
      </c>
      <c r="AP438">
        <f>IF(AND($F438&lt;&gt;"",$I438&lt;&gt;""),IF($G438="وام و تسهیلات",1,0),0)</f>
        <v/>
      </c>
      <c r="AQ438">
        <f>SUM($AP$6:$AP438)</f>
        <v/>
      </c>
      <c r="AR438">
        <f>IFERROR(INDEX($F$6:$F$565,MATCH(ROW()-5,$AQ$6:$AQ$565,0)),"")</f>
        <v/>
      </c>
      <c r="AS438">
        <f>IF(AND($F438&lt;&gt;"",$I438&lt;&gt;""),IF($G438="سرمایه و آورده صاحبان",1,0),0)</f>
        <v/>
      </c>
      <c r="AT438">
        <f>SUM($AS$6:$AS438)</f>
        <v/>
      </c>
      <c r="AU438">
        <f>IFERROR(INDEX($F$6:$F$565,MATCH(ROW()-5,$AT$6:$AT$565,0)),"")</f>
        <v/>
      </c>
      <c r="AW438">
        <f>IF([3]Issues!$C$441="","",[3]Issues!$C$441)</f>
        <v/>
      </c>
      <c r="AX438">
        <f>IF([4]Entry!$E$441="","",[4]Entry!$E$441)</f>
        <v/>
      </c>
      <c r="AY438">
        <f>IF([4]Entry!$H$441="","",[4]Entry!$H$441)</f>
        <v/>
      </c>
      <c r="AZ438">
        <f>IF([4]Entry!$I$441="","",[4]Entry!$I$441)</f>
        <v/>
      </c>
    </row>
    <row r="439">
      <c r="F439">
        <f>IF([1]Accounts!$D$440="","",[1]Accounts!$A$440)</f>
        <v/>
      </c>
      <c r="G439">
        <f>IF([1]Accounts!$D$440="","",[1]Accounts!$B$440)</f>
        <v/>
      </c>
      <c r="H439">
        <f>IF([1]Accounts!$D$440="","",[1]Accounts!$C$440)</f>
        <v/>
      </c>
      <c r="I439">
        <f>IF([1]Accounts!$D$440="","",[1]Accounts!$D$440)</f>
        <v/>
      </c>
      <c r="R439">
        <f>IF(AND($F439&lt;&gt;"",$I439&lt;&gt;""),IF(OR($G439="دارایی ثابت",$G439="وام و تسهیلات",$G439="سرمایه و آورده صاحبان"),0,1),0)</f>
        <v/>
      </c>
      <c r="S439">
        <f>SUM($R$6:$R439)</f>
        <v/>
      </c>
      <c r="T439">
        <f>IFERROR(INDEX($F$6:$F$565,MATCH(ROW()-5,$S$6:$S$565,0)),"")</f>
        <v/>
      </c>
      <c r="Z439">
        <f>IF([2]Entry!$E$442="","",[2]Entry!$E$442)</f>
        <v/>
      </c>
      <c r="AA439">
        <f>IF([2]Entry!$G$442="","",[2]Entry!$G$442)</f>
        <v/>
      </c>
      <c r="AB439">
        <f>IF([2]Entry!$J$442="","",[2]Entry!$J$442)</f>
        <v/>
      </c>
      <c r="AC439">
        <f>IF([2]Entry!$K$442="","",[2]Entry!$K$442)</f>
        <v/>
      </c>
      <c r="AD439">
        <f>IF([2]Entry!$L$442="","",[2]Entry!$L$442)</f>
        <v/>
      </c>
      <c r="AE439">
        <f>IF([2]Entry!$M$442="","",[2]Entry!$M$442)</f>
        <v/>
      </c>
      <c r="AF439">
        <f>IF([2]Entry!$N$442="","",[2]Entry!$N$442)</f>
        <v/>
      </c>
      <c r="AG439">
        <f>IF([3]Issues!$B$442="","",[3]Issues!$B$442)</f>
        <v/>
      </c>
      <c r="AH439">
        <f>IF([3]Issues!$D$442="","",[3]Issues!$D$442)</f>
        <v/>
      </c>
      <c r="AI439">
        <f>IF([3]Issues!$E$442="","",[3]Issues!$E$442)</f>
        <v/>
      </c>
      <c r="AJ439">
        <f>IF([2]Entry!$S$442="","",[2]Entry!$S$442)</f>
        <v/>
      </c>
      <c r="AK439">
        <f>IF([2]Entry!$C$442="","",[2]Entry!$C$442)</f>
        <v/>
      </c>
      <c r="AL439">
        <f>IF([2]Entry!$D$442="","",[2]Entry!$D$442)</f>
        <v/>
      </c>
      <c r="AM439">
        <f>IF(AND($F439&lt;&gt;"",$I439&lt;&gt;""),IF($G439="دارایی ثابت",1,0),0)</f>
        <v/>
      </c>
      <c r="AN439">
        <f>SUM($AM$6:$AM439)</f>
        <v/>
      </c>
      <c r="AO439">
        <f>IFERROR(INDEX($F$6:$F$565,MATCH(ROW()-5,$AN$6:$AN$565,0)),"")</f>
        <v/>
      </c>
      <c r="AP439">
        <f>IF(AND($F439&lt;&gt;"",$I439&lt;&gt;""),IF($G439="وام و تسهیلات",1,0),0)</f>
        <v/>
      </c>
      <c r="AQ439">
        <f>SUM($AP$6:$AP439)</f>
        <v/>
      </c>
      <c r="AR439">
        <f>IFERROR(INDEX($F$6:$F$565,MATCH(ROW()-5,$AQ$6:$AQ$565,0)),"")</f>
        <v/>
      </c>
      <c r="AS439">
        <f>IF(AND($F439&lt;&gt;"",$I439&lt;&gt;""),IF($G439="سرمایه و آورده صاحبان",1,0),0)</f>
        <v/>
      </c>
      <c r="AT439">
        <f>SUM($AS$6:$AS439)</f>
        <v/>
      </c>
      <c r="AU439">
        <f>IFERROR(INDEX($F$6:$F$565,MATCH(ROW()-5,$AT$6:$AT$565,0)),"")</f>
        <v/>
      </c>
      <c r="AW439">
        <f>IF([3]Issues!$C$442="","",[3]Issues!$C$442)</f>
        <v/>
      </c>
      <c r="AX439">
        <f>IF([4]Entry!$E$442="","",[4]Entry!$E$442)</f>
        <v/>
      </c>
      <c r="AY439">
        <f>IF([4]Entry!$H$442="","",[4]Entry!$H$442)</f>
        <v/>
      </c>
      <c r="AZ439">
        <f>IF([4]Entry!$I$442="","",[4]Entry!$I$442)</f>
        <v/>
      </c>
    </row>
    <row r="440">
      <c r="F440">
        <f>IF([1]Accounts!$D$441="","",[1]Accounts!$A$441)</f>
        <v/>
      </c>
      <c r="G440">
        <f>IF([1]Accounts!$D$441="","",[1]Accounts!$B$441)</f>
        <v/>
      </c>
      <c r="H440">
        <f>IF([1]Accounts!$D$441="","",[1]Accounts!$C$441)</f>
        <v/>
      </c>
      <c r="I440">
        <f>IF([1]Accounts!$D$441="","",[1]Accounts!$D$441)</f>
        <v/>
      </c>
      <c r="R440">
        <f>IF(AND($F440&lt;&gt;"",$I440&lt;&gt;""),IF(OR($G440="دارایی ثابت",$G440="وام و تسهیلات",$G440="سرمایه و آورده صاحبان"),0,1),0)</f>
        <v/>
      </c>
      <c r="S440">
        <f>SUM($R$6:$R440)</f>
        <v/>
      </c>
      <c r="T440">
        <f>IFERROR(INDEX($F$6:$F$565,MATCH(ROW()-5,$S$6:$S$565,0)),"")</f>
        <v/>
      </c>
      <c r="Z440">
        <f>IF([2]Entry!$E$443="","",[2]Entry!$E$443)</f>
        <v/>
      </c>
      <c r="AA440">
        <f>IF([2]Entry!$G$443="","",[2]Entry!$G$443)</f>
        <v/>
      </c>
      <c r="AB440">
        <f>IF([2]Entry!$J$443="","",[2]Entry!$J$443)</f>
        <v/>
      </c>
      <c r="AC440">
        <f>IF([2]Entry!$K$443="","",[2]Entry!$K$443)</f>
        <v/>
      </c>
      <c r="AD440">
        <f>IF([2]Entry!$L$443="","",[2]Entry!$L$443)</f>
        <v/>
      </c>
      <c r="AE440">
        <f>IF([2]Entry!$M$443="","",[2]Entry!$M$443)</f>
        <v/>
      </c>
      <c r="AF440">
        <f>IF([2]Entry!$N$443="","",[2]Entry!$N$443)</f>
        <v/>
      </c>
      <c r="AG440">
        <f>IF([3]Issues!$B$443="","",[3]Issues!$B$443)</f>
        <v/>
      </c>
      <c r="AH440">
        <f>IF([3]Issues!$D$443="","",[3]Issues!$D$443)</f>
        <v/>
      </c>
      <c r="AI440">
        <f>IF([3]Issues!$E$443="","",[3]Issues!$E$443)</f>
        <v/>
      </c>
      <c r="AJ440">
        <f>IF([2]Entry!$S$443="","",[2]Entry!$S$443)</f>
        <v/>
      </c>
      <c r="AK440">
        <f>IF([2]Entry!$C$443="","",[2]Entry!$C$443)</f>
        <v/>
      </c>
      <c r="AL440">
        <f>IF([2]Entry!$D$443="","",[2]Entry!$D$443)</f>
        <v/>
      </c>
      <c r="AM440">
        <f>IF(AND($F440&lt;&gt;"",$I440&lt;&gt;""),IF($G440="دارایی ثابت",1,0),0)</f>
        <v/>
      </c>
      <c r="AN440">
        <f>SUM($AM$6:$AM440)</f>
        <v/>
      </c>
      <c r="AO440">
        <f>IFERROR(INDEX($F$6:$F$565,MATCH(ROW()-5,$AN$6:$AN$565,0)),"")</f>
        <v/>
      </c>
      <c r="AP440">
        <f>IF(AND($F440&lt;&gt;"",$I440&lt;&gt;""),IF($G440="وام و تسهیلات",1,0),0)</f>
        <v/>
      </c>
      <c r="AQ440">
        <f>SUM($AP$6:$AP440)</f>
        <v/>
      </c>
      <c r="AR440">
        <f>IFERROR(INDEX($F$6:$F$565,MATCH(ROW()-5,$AQ$6:$AQ$565,0)),"")</f>
        <v/>
      </c>
      <c r="AS440">
        <f>IF(AND($F440&lt;&gt;"",$I440&lt;&gt;""),IF($G440="سرمایه و آورده صاحبان",1,0),0)</f>
        <v/>
      </c>
      <c r="AT440">
        <f>SUM($AS$6:$AS440)</f>
        <v/>
      </c>
      <c r="AU440">
        <f>IFERROR(INDEX($F$6:$F$565,MATCH(ROW()-5,$AT$6:$AT$565,0)),"")</f>
        <v/>
      </c>
      <c r="AW440">
        <f>IF([3]Issues!$C$443="","",[3]Issues!$C$443)</f>
        <v/>
      </c>
      <c r="AX440">
        <f>IF([4]Entry!$E$443="","",[4]Entry!$E$443)</f>
        <v/>
      </c>
      <c r="AY440">
        <f>IF([4]Entry!$H$443="","",[4]Entry!$H$443)</f>
        <v/>
      </c>
      <c r="AZ440">
        <f>IF([4]Entry!$I$443="","",[4]Entry!$I$443)</f>
        <v/>
      </c>
    </row>
    <row r="441">
      <c r="F441">
        <f>IF([1]Accounts!$D$442="","",[1]Accounts!$A$442)</f>
        <v/>
      </c>
      <c r="G441">
        <f>IF([1]Accounts!$D$442="","",[1]Accounts!$B$442)</f>
        <v/>
      </c>
      <c r="H441">
        <f>IF([1]Accounts!$D$442="","",[1]Accounts!$C$442)</f>
        <v/>
      </c>
      <c r="I441">
        <f>IF([1]Accounts!$D$442="","",[1]Accounts!$D$442)</f>
        <v/>
      </c>
      <c r="R441">
        <f>IF(AND($F441&lt;&gt;"",$I441&lt;&gt;""),IF(OR($G441="دارایی ثابت",$G441="وام و تسهیلات",$G441="سرمایه و آورده صاحبان"),0,1),0)</f>
        <v/>
      </c>
      <c r="S441">
        <f>SUM($R$6:$R441)</f>
        <v/>
      </c>
      <c r="T441">
        <f>IFERROR(INDEX($F$6:$F$565,MATCH(ROW()-5,$S$6:$S$565,0)),"")</f>
        <v/>
      </c>
      <c r="Z441">
        <f>IF([2]Entry!$E$444="","",[2]Entry!$E$444)</f>
        <v/>
      </c>
      <c r="AA441">
        <f>IF([2]Entry!$G$444="","",[2]Entry!$G$444)</f>
        <v/>
      </c>
      <c r="AB441">
        <f>IF([2]Entry!$J$444="","",[2]Entry!$J$444)</f>
        <v/>
      </c>
      <c r="AC441">
        <f>IF([2]Entry!$K$444="","",[2]Entry!$K$444)</f>
        <v/>
      </c>
      <c r="AD441">
        <f>IF([2]Entry!$L$444="","",[2]Entry!$L$444)</f>
        <v/>
      </c>
      <c r="AE441">
        <f>IF([2]Entry!$M$444="","",[2]Entry!$M$444)</f>
        <v/>
      </c>
      <c r="AF441">
        <f>IF([2]Entry!$N$444="","",[2]Entry!$N$444)</f>
        <v/>
      </c>
      <c r="AG441">
        <f>IF([3]Issues!$B$444="","",[3]Issues!$B$444)</f>
        <v/>
      </c>
      <c r="AH441">
        <f>IF([3]Issues!$D$444="","",[3]Issues!$D$444)</f>
        <v/>
      </c>
      <c r="AI441">
        <f>IF([3]Issues!$E$444="","",[3]Issues!$E$444)</f>
        <v/>
      </c>
      <c r="AJ441">
        <f>IF([2]Entry!$S$444="","",[2]Entry!$S$444)</f>
        <v/>
      </c>
      <c r="AK441">
        <f>IF([2]Entry!$C$444="","",[2]Entry!$C$444)</f>
        <v/>
      </c>
      <c r="AL441">
        <f>IF([2]Entry!$D$444="","",[2]Entry!$D$444)</f>
        <v/>
      </c>
      <c r="AM441">
        <f>IF(AND($F441&lt;&gt;"",$I441&lt;&gt;""),IF($G441="دارایی ثابت",1,0),0)</f>
        <v/>
      </c>
      <c r="AN441">
        <f>SUM($AM$6:$AM441)</f>
        <v/>
      </c>
      <c r="AO441">
        <f>IFERROR(INDEX($F$6:$F$565,MATCH(ROW()-5,$AN$6:$AN$565,0)),"")</f>
        <v/>
      </c>
      <c r="AP441">
        <f>IF(AND($F441&lt;&gt;"",$I441&lt;&gt;""),IF($G441="وام و تسهیلات",1,0),0)</f>
        <v/>
      </c>
      <c r="AQ441">
        <f>SUM($AP$6:$AP441)</f>
        <v/>
      </c>
      <c r="AR441">
        <f>IFERROR(INDEX($F$6:$F$565,MATCH(ROW()-5,$AQ$6:$AQ$565,0)),"")</f>
        <v/>
      </c>
      <c r="AS441">
        <f>IF(AND($F441&lt;&gt;"",$I441&lt;&gt;""),IF($G441="سرمایه و آورده صاحبان",1,0),0)</f>
        <v/>
      </c>
      <c r="AT441">
        <f>SUM($AS$6:$AS441)</f>
        <v/>
      </c>
      <c r="AU441">
        <f>IFERROR(INDEX($F$6:$F$565,MATCH(ROW()-5,$AT$6:$AT$565,0)),"")</f>
        <v/>
      </c>
      <c r="AW441">
        <f>IF([3]Issues!$C$444="","",[3]Issues!$C$444)</f>
        <v/>
      </c>
      <c r="AX441">
        <f>IF([4]Entry!$E$444="","",[4]Entry!$E$444)</f>
        <v/>
      </c>
      <c r="AY441">
        <f>IF([4]Entry!$H$444="","",[4]Entry!$H$444)</f>
        <v/>
      </c>
      <c r="AZ441">
        <f>IF([4]Entry!$I$444="","",[4]Entry!$I$444)</f>
        <v/>
      </c>
    </row>
    <row r="442">
      <c r="F442">
        <f>IF([1]Accounts!$D$443="","",[1]Accounts!$A$443)</f>
        <v/>
      </c>
      <c r="G442">
        <f>IF([1]Accounts!$D$443="","",[1]Accounts!$B$443)</f>
        <v/>
      </c>
      <c r="H442">
        <f>IF([1]Accounts!$D$443="","",[1]Accounts!$C$443)</f>
        <v/>
      </c>
      <c r="I442">
        <f>IF([1]Accounts!$D$443="","",[1]Accounts!$D$443)</f>
        <v/>
      </c>
      <c r="R442">
        <f>IF(AND($F442&lt;&gt;"",$I442&lt;&gt;""),IF(OR($G442="دارایی ثابت",$G442="وام و تسهیلات",$G442="سرمایه و آورده صاحبان"),0,1),0)</f>
        <v/>
      </c>
      <c r="S442">
        <f>SUM($R$6:$R442)</f>
        <v/>
      </c>
      <c r="T442">
        <f>IFERROR(INDEX($F$6:$F$565,MATCH(ROW()-5,$S$6:$S$565,0)),"")</f>
        <v/>
      </c>
      <c r="Z442">
        <f>IF([2]Entry!$E$445="","",[2]Entry!$E$445)</f>
        <v/>
      </c>
      <c r="AA442">
        <f>IF([2]Entry!$G$445="","",[2]Entry!$G$445)</f>
        <v/>
      </c>
      <c r="AB442">
        <f>IF([2]Entry!$J$445="","",[2]Entry!$J$445)</f>
        <v/>
      </c>
      <c r="AC442">
        <f>IF([2]Entry!$K$445="","",[2]Entry!$K$445)</f>
        <v/>
      </c>
      <c r="AD442">
        <f>IF([2]Entry!$L$445="","",[2]Entry!$L$445)</f>
        <v/>
      </c>
      <c r="AE442">
        <f>IF([2]Entry!$M$445="","",[2]Entry!$M$445)</f>
        <v/>
      </c>
      <c r="AF442">
        <f>IF([2]Entry!$N$445="","",[2]Entry!$N$445)</f>
        <v/>
      </c>
      <c r="AG442">
        <f>IF([3]Issues!$B$445="","",[3]Issues!$B$445)</f>
        <v/>
      </c>
      <c r="AH442">
        <f>IF([3]Issues!$D$445="","",[3]Issues!$D$445)</f>
        <v/>
      </c>
      <c r="AI442">
        <f>IF([3]Issues!$E$445="","",[3]Issues!$E$445)</f>
        <v/>
      </c>
      <c r="AJ442">
        <f>IF([2]Entry!$S$445="","",[2]Entry!$S$445)</f>
        <v/>
      </c>
      <c r="AK442">
        <f>IF([2]Entry!$C$445="","",[2]Entry!$C$445)</f>
        <v/>
      </c>
      <c r="AL442">
        <f>IF([2]Entry!$D$445="","",[2]Entry!$D$445)</f>
        <v/>
      </c>
      <c r="AM442">
        <f>IF(AND($F442&lt;&gt;"",$I442&lt;&gt;""),IF($G442="دارایی ثابت",1,0),0)</f>
        <v/>
      </c>
      <c r="AN442">
        <f>SUM($AM$6:$AM442)</f>
        <v/>
      </c>
      <c r="AO442">
        <f>IFERROR(INDEX($F$6:$F$565,MATCH(ROW()-5,$AN$6:$AN$565,0)),"")</f>
        <v/>
      </c>
      <c r="AP442">
        <f>IF(AND($F442&lt;&gt;"",$I442&lt;&gt;""),IF($G442="وام و تسهیلات",1,0),0)</f>
        <v/>
      </c>
      <c r="AQ442">
        <f>SUM($AP$6:$AP442)</f>
        <v/>
      </c>
      <c r="AR442">
        <f>IFERROR(INDEX($F$6:$F$565,MATCH(ROW()-5,$AQ$6:$AQ$565,0)),"")</f>
        <v/>
      </c>
      <c r="AS442">
        <f>IF(AND($F442&lt;&gt;"",$I442&lt;&gt;""),IF($G442="سرمایه و آورده صاحبان",1,0),0)</f>
        <v/>
      </c>
      <c r="AT442">
        <f>SUM($AS$6:$AS442)</f>
        <v/>
      </c>
      <c r="AU442">
        <f>IFERROR(INDEX($F$6:$F$565,MATCH(ROW()-5,$AT$6:$AT$565,0)),"")</f>
        <v/>
      </c>
      <c r="AW442">
        <f>IF([3]Issues!$C$445="","",[3]Issues!$C$445)</f>
        <v/>
      </c>
      <c r="AX442">
        <f>IF([4]Entry!$E$445="","",[4]Entry!$E$445)</f>
        <v/>
      </c>
      <c r="AY442">
        <f>IF([4]Entry!$H$445="","",[4]Entry!$H$445)</f>
        <v/>
      </c>
      <c r="AZ442">
        <f>IF([4]Entry!$I$445="","",[4]Entry!$I$445)</f>
        <v/>
      </c>
    </row>
    <row r="443">
      <c r="F443">
        <f>IF([1]Accounts!$D$444="","",[1]Accounts!$A$444)</f>
        <v/>
      </c>
      <c r="G443">
        <f>IF([1]Accounts!$D$444="","",[1]Accounts!$B$444)</f>
        <v/>
      </c>
      <c r="H443">
        <f>IF([1]Accounts!$D$444="","",[1]Accounts!$C$444)</f>
        <v/>
      </c>
      <c r="I443">
        <f>IF([1]Accounts!$D$444="","",[1]Accounts!$D$444)</f>
        <v/>
      </c>
      <c r="R443">
        <f>IF(AND($F443&lt;&gt;"",$I443&lt;&gt;""),IF(OR($G443="دارایی ثابت",$G443="وام و تسهیلات",$G443="سرمایه و آورده صاحبان"),0,1),0)</f>
        <v/>
      </c>
      <c r="S443">
        <f>SUM($R$6:$R443)</f>
        <v/>
      </c>
      <c r="T443">
        <f>IFERROR(INDEX($F$6:$F$565,MATCH(ROW()-5,$S$6:$S$565,0)),"")</f>
        <v/>
      </c>
      <c r="Z443">
        <f>IF([2]Entry!$E$446="","",[2]Entry!$E$446)</f>
        <v/>
      </c>
      <c r="AA443">
        <f>IF([2]Entry!$G$446="","",[2]Entry!$G$446)</f>
        <v/>
      </c>
      <c r="AB443">
        <f>IF([2]Entry!$J$446="","",[2]Entry!$J$446)</f>
        <v/>
      </c>
      <c r="AC443">
        <f>IF([2]Entry!$K$446="","",[2]Entry!$K$446)</f>
        <v/>
      </c>
      <c r="AD443">
        <f>IF([2]Entry!$L$446="","",[2]Entry!$L$446)</f>
        <v/>
      </c>
      <c r="AE443">
        <f>IF([2]Entry!$M$446="","",[2]Entry!$M$446)</f>
        <v/>
      </c>
      <c r="AF443">
        <f>IF([2]Entry!$N$446="","",[2]Entry!$N$446)</f>
        <v/>
      </c>
      <c r="AG443">
        <f>IF([3]Issues!$B$446="","",[3]Issues!$B$446)</f>
        <v/>
      </c>
      <c r="AH443">
        <f>IF([3]Issues!$D$446="","",[3]Issues!$D$446)</f>
        <v/>
      </c>
      <c r="AI443">
        <f>IF([3]Issues!$E$446="","",[3]Issues!$E$446)</f>
        <v/>
      </c>
      <c r="AJ443">
        <f>IF([2]Entry!$S$446="","",[2]Entry!$S$446)</f>
        <v/>
      </c>
      <c r="AK443">
        <f>IF([2]Entry!$C$446="","",[2]Entry!$C$446)</f>
        <v/>
      </c>
      <c r="AL443">
        <f>IF([2]Entry!$D$446="","",[2]Entry!$D$446)</f>
        <v/>
      </c>
      <c r="AM443">
        <f>IF(AND($F443&lt;&gt;"",$I443&lt;&gt;""),IF($G443="دارایی ثابت",1,0),0)</f>
        <v/>
      </c>
      <c r="AN443">
        <f>SUM($AM$6:$AM443)</f>
        <v/>
      </c>
      <c r="AO443">
        <f>IFERROR(INDEX($F$6:$F$565,MATCH(ROW()-5,$AN$6:$AN$565,0)),"")</f>
        <v/>
      </c>
      <c r="AP443">
        <f>IF(AND($F443&lt;&gt;"",$I443&lt;&gt;""),IF($G443="وام و تسهیلات",1,0),0)</f>
        <v/>
      </c>
      <c r="AQ443">
        <f>SUM($AP$6:$AP443)</f>
        <v/>
      </c>
      <c r="AR443">
        <f>IFERROR(INDEX($F$6:$F$565,MATCH(ROW()-5,$AQ$6:$AQ$565,0)),"")</f>
        <v/>
      </c>
      <c r="AS443">
        <f>IF(AND($F443&lt;&gt;"",$I443&lt;&gt;""),IF($G443="سرمایه و آورده صاحبان",1,0),0)</f>
        <v/>
      </c>
      <c r="AT443">
        <f>SUM($AS$6:$AS443)</f>
        <v/>
      </c>
      <c r="AU443">
        <f>IFERROR(INDEX($F$6:$F$565,MATCH(ROW()-5,$AT$6:$AT$565,0)),"")</f>
        <v/>
      </c>
      <c r="AW443">
        <f>IF([3]Issues!$C$446="","",[3]Issues!$C$446)</f>
        <v/>
      </c>
      <c r="AX443">
        <f>IF([4]Entry!$E$446="","",[4]Entry!$E$446)</f>
        <v/>
      </c>
      <c r="AY443">
        <f>IF([4]Entry!$H$446="","",[4]Entry!$H$446)</f>
        <v/>
      </c>
      <c r="AZ443">
        <f>IF([4]Entry!$I$446="","",[4]Entry!$I$446)</f>
        <v/>
      </c>
    </row>
    <row r="444">
      <c r="F444">
        <f>IF([1]Accounts!$D$445="","",[1]Accounts!$A$445)</f>
        <v/>
      </c>
      <c r="G444">
        <f>IF([1]Accounts!$D$445="","",[1]Accounts!$B$445)</f>
        <v/>
      </c>
      <c r="H444">
        <f>IF([1]Accounts!$D$445="","",[1]Accounts!$C$445)</f>
        <v/>
      </c>
      <c r="I444">
        <f>IF([1]Accounts!$D$445="","",[1]Accounts!$D$445)</f>
        <v/>
      </c>
      <c r="R444">
        <f>IF(AND($F444&lt;&gt;"",$I444&lt;&gt;""),IF(OR($G444="دارایی ثابت",$G444="وام و تسهیلات",$G444="سرمایه و آورده صاحبان"),0,1),0)</f>
        <v/>
      </c>
      <c r="S444">
        <f>SUM($R$6:$R444)</f>
        <v/>
      </c>
      <c r="T444">
        <f>IFERROR(INDEX($F$6:$F$565,MATCH(ROW()-5,$S$6:$S$565,0)),"")</f>
        <v/>
      </c>
      <c r="Z444">
        <f>IF([2]Entry!$E$447="","",[2]Entry!$E$447)</f>
        <v/>
      </c>
      <c r="AA444">
        <f>IF([2]Entry!$G$447="","",[2]Entry!$G$447)</f>
        <v/>
      </c>
      <c r="AB444">
        <f>IF([2]Entry!$J$447="","",[2]Entry!$J$447)</f>
        <v/>
      </c>
      <c r="AC444">
        <f>IF([2]Entry!$K$447="","",[2]Entry!$K$447)</f>
        <v/>
      </c>
      <c r="AD444">
        <f>IF([2]Entry!$L$447="","",[2]Entry!$L$447)</f>
        <v/>
      </c>
      <c r="AE444">
        <f>IF([2]Entry!$M$447="","",[2]Entry!$M$447)</f>
        <v/>
      </c>
      <c r="AF444">
        <f>IF([2]Entry!$N$447="","",[2]Entry!$N$447)</f>
        <v/>
      </c>
      <c r="AG444">
        <f>IF([3]Issues!$B$447="","",[3]Issues!$B$447)</f>
        <v/>
      </c>
      <c r="AH444">
        <f>IF([3]Issues!$D$447="","",[3]Issues!$D$447)</f>
        <v/>
      </c>
      <c r="AI444">
        <f>IF([3]Issues!$E$447="","",[3]Issues!$E$447)</f>
        <v/>
      </c>
      <c r="AJ444">
        <f>IF([2]Entry!$S$447="","",[2]Entry!$S$447)</f>
        <v/>
      </c>
      <c r="AK444">
        <f>IF([2]Entry!$C$447="","",[2]Entry!$C$447)</f>
        <v/>
      </c>
      <c r="AL444">
        <f>IF([2]Entry!$D$447="","",[2]Entry!$D$447)</f>
        <v/>
      </c>
      <c r="AM444">
        <f>IF(AND($F444&lt;&gt;"",$I444&lt;&gt;""),IF($G444="دارایی ثابت",1,0),0)</f>
        <v/>
      </c>
      <c r="AN444">
        <f>SUM($AM$6:$AM444)</f>
        <v/>
      </c>
      <c r="AO444">
        <f>IFERROR(INDEX($F$6:$F$565,MATCH(ROW()-5,$AN$6:$AN$565,0)),"")</f>
        <v/>
      </c>
      <c r="AP444">
        <f>IF(AND($F444&lt;&gt;"",$I444&lt;&gt;""),IF($G444="وام و تسهیلات",1,0),0)</f>
        <v/>
      </c>
      <c r="AQ444">
        <f>SUM($AP$6:$AP444)</f>
        <v/>
      </c>
      <c r="AR444">
        <f>IFERROR(INDEX($F$6:$F$565,MATCH(ROW()-5,$AQ$6:$AQ$565,0)),"")</f>
        <v/>
      </c>
      <c r="AS444">
        <f>IF(AND($F444&lt;&gt;"",$I444&lt;&gt;""),IF($G444="سرمایه و آورده صاحبان",1,0),0)</f>
        <v/>
      </c>
      <c r="AT444">
        <f>SUM($AS$6:$AS444)</f>
        <v/>
      </c>
      <c r="AU444">
        <f>IFERROR(INDEX($F$6:$F$565,MATCH(ROW()-5,$AT$6:$AT$565,0)),"")</f>
        <v/>
      </c>
      <c r="AW444">
        <f>IF([3]Issues!$C$447="","",[3]Issues!$C$447)</f>
        <v/>
      </c>
      <c r="AX444">
        <f>IF([4]Entry!$E$447="","",[4]Entry!$E$447)</f>
        <v/>
      </c>
      <c r="AY444">
        <f>IF([4]Entry!$H$447="","",[4]Entry!$H$447)</f>
        <v/>
      </c>
      <c r="AZ444">
        <f>IF([4]Entry!$I$447="","",[4]Entry!$I$447)</f>
        <v/>
      </c>
    </row>
    <row r="445">
      <c r="F445">
        <f>IF([1]Accounts!$D$446="","",[1]Accounts!$A$446)</f>
        <v/>
      </c>
      <c r="G445">
        <f>IF([1]Accounts!$D$446="","",[1]Accounts!$B$446)</f>
        <v/>
      </c>
      <c r="H445">
        <f>IF([1]Accounts!$D$446="","",[1]Accounts!$C$446)</f>
        <v/>
      </c>
      <c r="I445">
        <f>IF([1]Accounts!$D$446="","",[1]Accounts!$D$446)</f>
        <v/>
      </c>
      <c r="R445">
        <f>IF(AND($F445&lt;&gt;"",$I445&lt;&gt;""),IF(OR($G445="دارایی ثابت",$G445="وام و تسهیلات",$G445="سرمایه و آورده صاحبان"),0,1),0)</f>
        <v/>
      </c>
      <c r="S445">
        <f>SUM($R$6:$R445)</f>
        <v/>
      </c>
      <c r="T445">
        <f>IFERROR(INDEX($F$6:$F$565,MATCH(ROW()-5,$S$6:$S$565,0)),"")</f>
        <v/>
      </c>
      <c r="Z445">
        <f>IF([2]Entry!$E$448="","",[2]Entry!$E$448)</f>
        <v/>
      </c>
      <c r="AA445">
        <f>IF([2]Entry!$G$448="","",[2]Entry!$G$448)</f>
        <v/>
      </c>
      <c r="AB445">
        <f>IF([2]Entry!$J$448="","",[2]Entry!$J$448)</f>
        <v/>
      </c>
      <c r="AC445">
        <f>IF([2]Entry!$K$448="","",[2]Entry!$K$448)</f>
        <v/>
      </c>
      <c r="AD445">
        <f>IF([2]Entry!$L$448="","",[2]Entry!$L$448)</f>
        <v/>
      </c>
      <c r="AE445">
        <f>IF([2]Entry!$M$448="","",[2]Entry!$M$448)</f>
        <v/>
      </c>
      <c r="AF445">
        <f>IF([2]Entry!$N$448="","",[2]Entry!$N$448)</f>
        <v/>
      </c>
      <c r="AG445">
        <f>IF([3]Issues!$B$448="","",[3]Issues!$B$448)</f>
        <v/>
      </c>
      <c r="AH445">
        <f>IF([3]Issues!$D$448="","",[3]Issues!$D$448)</f>
        <v/>
      </c>
      <c r="AI445">
        <f>IF([3]Issues!$E$448="","",[3]Issues!$E$448)</f>
        <v/>
      </c>
      <c r="AJ445">
        <f>IF([2]Entry!$S$448="","",[2]Entry!$S$448)</f>
        <v/>
      </c>
      <c r="AK445">
        <f>IF([2]Entry!$C$448="","",[2]Entry!$C$448)</f>
        <v/>
      </c>
      <c r="AL445">
        <f>IF([2]Entry!$D$448="","",[2]Entry!$D$448)</f>
        <v/>
      </c>
      <c r="AM445">
        <f>IF(AND($F445&lt;&gt;"",$I445&lt;&gt;""),IF($G445="دارایی ثابت",1,0),0)</f>
        <v/>
      </c>
      <c r="AN445">
        <f>SUM($AM$6:$AM445)</f>
        <v/>
      </c>
      <c r="AO445">
        <f>IFERROR(INDEX($F$6:$F$565,MATCH(ROW()-5,$AN$6:$AN$565,0)),"")</f>
        <v/>
      </c>
      <c r="AP445">
        <f>IF(AND($F445&lt;&gt;"",$I445&lt;&gt;""),IF($G445="وام و تسهیلات",1,0),0)</f>
        <v/>
      </c>
      <c r="AQ445">
        <f>SUM($AP$6:$AP445)</f>
        <v/>
      </c>
      <c r="AR445">
        <f>IFERROR(INDEX($F$6:$F$565,MATCH(ROW()-5,$AQ$6:$AQ$565,0)),"")</f>
        <v/>
      </c>
      <c r="AS445">
        <f>IF(AND($F445&lt;&gt;"",$I445&lt;&gt;""),IF($G445="سرمایه و آورده صاحبان",1,0),0)</f>
        <v/>
      </c>
      <c r="AT445">
        <f>SUM($AS$6:$AS445)</f>
        <v/>
      </c>
      <c r="AU445">
        <f>IFERROR(INDEX($F$6:$F$565,MATCH(ROW()-5,$AT$6:$AT$565,0)),"")</f>
        <v/>
      </c>
      <c r="AW445">
        <f>IF([3]Issues!$C$448="","",[3]Issues!$C$448)</f>
        <v/>
      </c>
      <c r="AX445">
        <f>IF([4]Entry!$E$448="","",[4]Entry!$E$448)</f>
        <v/>
      </c>
      <c r="AY445">
        <f>IF([4]Entry!$H$448="","",[4]Entry!$H$448)</f>
        <v/>
      </c>
      <c r="AZ445">
        <f>IF([4]Entry!$I$448="","",[4]Entry!$I$448)</f>
        <v/>
      </c>
    </row>
    <row r="446">
      <c r="F446">
        <f>IF([1]Accounts!$D$447="","",[1]Accounts!$A$447)</f>
        <v/>
      </c>
      <c r="G446">
        <f>IF([1]Accounts!$D$447="","",[1]Accounts!$B$447)</f>
        <v/>
      </c>
      <c r="H446">
        <f>IF([1]Accounts!$D$447="","",[1]Accounts!$C$447)</f>
        <v/>
      </c>
      <c r="I446">
        <f>IF([1]Accounts!$D$447="","",[1]Accounts!$D$447)</f>
        <v/>
      </c>
      <c r="R446">
        <f>IF(AND($F446&lt;&gt;"",$I446&lt;&gt;""),IF(OR($G446="دارایی ثابت",$G446="وام و تسهیلات",$G446="سرمایه و آورده صاحبان"),0,1),0)</f>
        <v/>
      </c>
      <c r="S446">
        <f>SUM($R$6:$R446)</f>
        <v/>
      </c>
      <c r="T446">
        <f>IFERROR(INDEX($F$6:$F$565,MATCH(ROW()-5,$S$6:$S$565,0)),"")</f>
        <v/>
      </c>
      <c r="Z446">
        <f>IF([2]Entry!$E$449="","",[2]Entry!$E$449)</f>
        <v/>
      </c>
      <c r="AA446">
        <f>IF([2]Entry!$G$449="","",[2]Entry!$G$449)</f>
        <v/>
      </c>
      <c r="AB446">
        <f>IF([2]Entry!$J$449="","",[2]Entry!$J$449)</f>
        <v/>
      </c>
      <c r="AC446">
        <f>IF([2]Entry!$K$449="","",[2]Entry!$K$449)</f>
        <v/>
      </c>
      <c r="AD446">
        <f>IF([2]Entry!$L$449="","",[2]Entry!$L$449)</f>
        <v/>
      </c>
      <c r="AE446">
        <f>IF([2]Entry!$M$449="","",[2]Entry!$M$449)</f>
        <v/>
      </c>
      <c r="AF446">
        <f>IF([2]Entry!$N$449="","",[2]Entry!$N$449)</f>
        <v/>
      </c>
      <c r="AG446">
        <f>IF([3]Issues!$B$449="","",[3]Issues!$B$449)</f>
        <v/>
      </c>
      <c r="AH446">
        <f>IF([3]Issues!$D$449="","",[3]Issues!$D$449)</f>
        <v/>
      </c>
      <c r="AI446">
        <f>IF([3]Issues!$E$449="","",[3]Issues!$E$449)</f>
        <v/>
      </c>
      <c r="AJ446">
        <f>IF([2]Entry!$S$449="","",[2]Entry!$S$449)</f>
        <v/>
      </c>
      <c r="AK446">
        <f>IF([2]Entry!$C$449="","",[2]Entry!$C$449)</f>
        <v/>
      </c>
      <c r="AL446">
        <f>IF([2]Entry!$D$449="","",[2]Entry!$D$449)</f>
        <v/>
      </c>
      <c r="AM446">
        <f>IF(AND($F446&lt;&gt;"",$I446&lt;&gt;""),IF($G446="دارایی ثابت",1,0),0)</f>
        <v/>
      </c>
      <c r="AN446">
        <f>SUM($AM$6:$AM446)</f>
        <v/>
      </c>
      <c r="AO446">
        <f>IFERROR(INDEX($F$6:$F$565,MATCH(ROW()-5,$AN$6:$AN$565,0)),"")</f>
        <v/>
      </c>
      <c r="AP446">
        <f>IF(AND($F446&lt;&gt;"",$I446&lt;&gt;""),IF($G446="وام و تسهیلات",1,0),0)</f>
        <v/>
      </c>
      <c r="AQ446">
        <f>SUM($AP$6:$AP446)</f>
        <v/>
      </c>
      <c r="AR446">
        <f>IFERROR(INDEX($F$6:$F$565,MATCH(ROW()-5,$AQ$6:$AQ$565,0)),"")</f>
        <v/>
      </c>
      <c r="AS446">
        <f>IF(AND($F446&lt;&gt;"",$I446&lt;&gt;""),IF($G446="سرمایه و آورده صاحبان",1,0),0)</f>
        <v/>
      </c>
      <c r="AT446">
        <f>SUM($AS$6:$AS446)</f>
        <v/>
      </c>
      <c r="AU446">
        <f>IFERROR(INDEX($F$6:$F$565,MATCH(ROW()-5,$AT$6:$AT$565,0)),"")</f>
        <v/>
      </c>
      <c r="AW446">
        <f>IF([3]Issues!$C$449="","",[3]Issues!$C$449)</f>
        <v/>
      </c>
      <c r="AX446">
        <f>IF([4]Entry!$E$449="","",[4]Entry!$E$449)</f>
        <v/>
      </c>
      <c r="AY446">
        <f>IF([4]Entry!$H$449="","",[4]Entry!$H$449)</f>
        <v/>
      </c>
      <c r="AZ446">
        <f>IF([4]Entry!$I$449="","",[4]Entry!$I$449)</f>
        <v/>
      </c>
    </row>
    <row r="447">
      <c r="F447">
        <f>IF([1]Accounts!$D$448="","",[1]Accounts!$A$448)</f>
        <v/>
      </c>
      <c r="G447">
        <f>IF([1]Accounts!$D$448="","",[1]Accounts!$B$448)</f>
        <v/>
      </c>
      <c r="H447">
        <f>IF([1]Accounts!$D$448="","",[1]Accounts!$C$448)</f>
        <v/>
      </c>
      <c r="I447">
        <f>IF([1]Accounts!$D$448="","",[1]Accounts!$D$448)</f>
        <v/>
      </c>
      <c r="R447">
        <f>IF(AND($F447&lt;&gt;"",$I447&lt;&gt;""),IF(OR($G447="دارایی ثابت",$G447="وام و تسهیلات",$G447="سرمایه و آورده صاحبان"),0,1),0)</f>
        <v/>
      </c>
      <c r="S447">
        <f>SUM($R$6:$R447)</f>
        <v/>
      </c>
      <c r="T447">
        <f>IFERROR(INDEX($F$6:$F$565,MATCH(ROW()-5,$S$6:$S$565,0)),"")</f>
        <v/>
      </c>
      <c r="Z447">
        <f>IF([2]Entry!$E$450="","",[2]Entry!$E$450)</f>
        <v/>
      </c>
      <c r="AA447">
        <f>IF([2]Entry!$G$450="","",[2]Entry!$G$450)</f>
        <v/>
      </c>
      <c r="AB447">
        <f>IF([2]Entry!$J$450="","",[2]Entry!$J$450)</f>
        <v/>
      </c>
      <c r="AC447">
        <f>IF([2]Entry!$K$450="","",[2]Entry!$K$450)</f>
        <v/>
      </c>
      <c r="AD447">
        <f>IF([2]Entry!$L$450="","",[2]Entry!$L$450)</f>
        <v/>
      </c>
      <c r="AE447">
        <f>IF([2]Entry!$M$450="","",[2]Entry!$M$450)</f>
        <v/>
      </c>
      <c r="AF447">
        <f>IF([2]Entry!$N$450="","",[2]Entry!$N$450)</f>
        <v/>
      </c>
      <c r="AG447">
        <f>IF([3]Issues!$B$450="","",[3]Issues!$B$450)</f>
        <v/>
      </c>
      <c r="AH447">
        <f>IF([3]Issues!$D$450="","",[3]Issues!$D$450)</f>
        <v/>
      </c>
      <c r="AI447">
        <f>IF([3]Issues!$E$450="","",[3]Issues!$E$450)</f>
        <v/>
      </c>
      <c r="AJ447">
        <f>IF([2]Entry!$S$450="","",[2]Entry!$S$450)</f>
        <v/>
      </c>
      <c r="AK447">
        <f>IF([2]Entry!$C$450="","",[2]Entry!$C$450)</f>
        <v/>
      </c>
      <c r="AL447">
        <f>IF([2]Entry!$D$450="","",[2]Entry!$D$450)</f>
        <v/>
      </c>
      <c r="AM447">
        <f>IF(AND($F447&lt;&gt;"",$I447&lt;&gt;""),IF($G447="دارایی ثابت",1,0),0)</f>
        <v/>
      </c>
      <c r="AN447">
        <f>SUM($AM$6:$AM447)</f>
        <v/>
      </c>
      <c r="AO447">
        <f>IFERROR(INDEX($F$6:$F$565,MATCH(ROW()-5,$AN$6:$AN$565,0)),"")</f>
        <v/>
      </c>
      <c r="AP447">
        <f>IF(AND($F447&lt;&gt;"",$I447&lt;&gt;""),IF($G447="وام و تسهیلات",1,0),0)</f>
        <v/>
      </c>
      <c r="AQ447">
        <f>SUM($AP$6:$AP447)</f>
        <v/>
      </c>
      <c r="AR447">
        <f>IFERROR(INDEX($F$6:$F$565,MATCH(ROW()-5,$AQ$6:$AQ$565,0)),"")</f>
        <v/>
      </c>
      <c r="AS447">
        <f>IF(AND($F447&lt;&gt;"",$I447&lt;&gt;""),IF($G447="سرمایه و آورده صاحبان",1,0),0)</f>
        <v/>
      </c>
      <c r="AT447">
        <f>SUM($AS$6:$AS447)</f>
        <v/>
      </c>
      <c r="AU447">
        <f>IFERROR(INDEX($F$6:$F$565,MATCH(ROW()-5,$AT$6:$AT$565,0)),"")</f>
        <v/>
      </c>
      <c r="AW447">
        <f>IF([3]Issues!$C$450="","",[3]Issues!$C$450)</f>
        <v/>
      </c>
      <c r="AX447">
        <f>IF([4]Entry!$E$450="","",[4]Entry!$E$450)</f>
        <v/>
      </c>
      <c r="AY447">
        <f>IF([4]Entry!$H$450="","",[4]Entry!$H$450)</f>
        <v/>
      </c>
      <c r="AZ447">
        <f>IF([4]Entry!$I$450="","",[4]Entry!$I$450)</f>
        <v/>
      </c>
    </row>
    <row r="448">
      <c r="F448">
        <f>IF([1]Accounts!$D$449="","",[1]Accounts!$A$449)</f>
        <v/>
      </c>
      <c r="G448">
        <f>IF([1]Accounts!$D$449="","",[1]Accounts!$B$449)</f>
        <v/>
      </c>
      <c r="H448">
        <f>IF([1]Accounts!$D$449="","",[1]Accounts!$C$449)</f>
        <v/>
      </c>
      <c r="I448">
        <f>IF([1]Accounts!$D$449="","",[1]Accounts!$D$449)</f>
        <v/>
      </c>
      <c r="R448">
        <f>IF(AND($F448&lt;&gt;"",$I448&lt;&gt;""),IF(OR($G448="دارایی ثابت",$G448="وام و تسهیلات",$G448="سرمایه و آورده صاحبان"),0,1),0)</f>
        <v/>
      </c>
      <c r="S448">
        <f>SUM($R$6:$R448)</f>
        <v/>
      </c>
      <c r="T448">
        <f>IFERROR(INDEX($F$6:$F$565,MATCH(ROW()-5,$S$6:$S$565,0)),"")</f>
        <v/>
      </c>
      <c r="Z448">
        <f>IF([2]Entry!$E$451="","",[2]Entry!$E$451)</f>
        <v/>
      </c>
      <c r="AA448">
        <f>IF([2]Entry!$G$451="","",[2]Entry!$G$451)</f>
        <v/>
      </c>
      <c r="AB448">
        <f>IF([2]Entry!$J$451="","",[2]Entry!$J$451)</f>
        <v/>
      </c>
      <c r="AC448">
        <f>IF([2]Entry!$K$451="","",[2]Entry!$K$451)</f>
        <v/>
      </c>
      <c r="AD448">
        <f>IF([2]Entry!$L$451="","",[2]Entry!$L$451)</f>
        <v/>
      </c>
      <c r="AE448">
        <f>IF([2]Entry!$M$451="","",[2]Entry!$M$451)</f>
        <v/>
      </c>
      <c r="AF448">
        <f>IF([2]Entry!$N$451="","",[2]Entry!$N$451)</f>
        <v/>
      </c>
      <c r="AG448">
        <f>IF([3]Issues!$B$451="","",[3]Issues!$B$451)</f>
        <v/>
      </c>
      <c r="AH448">
        <f>IF([3]Issues!$D$451="","",[3]Issues!$D$451)</f>
        <v/>
      </c>
      <c r="AI448">
        <f>IF([3]Issues!$E$451="","",[3]Issues!$E$451)</f>
        <v/>
      </c>
      <c r="AJ448">
        <f>IF([2]Entry!$S$451="","",[2]Entry!$S$451)</f>
        <v/>
      </c>
      <c r="AK448">
        <f>IF([2]Entry!$C$451="","",[2]Entry!$C$451)</f>
        <v/>
      </c>
      <c r="AL448">
        <f>IF([2]Entry!$D$451="","",[2]Entry!$D$451)</f>
        <v/>
      </c>
      <c r="AM448">
        <f>IF(AND($F448&lt;&gt;"",$I448&lt;&gt;""),IF($G448="دارایی ثابت",1,0),0)</f>
        <v/>
      </c>
      <c r="AN448">
        <f>SUM($AM$6:$AM448)</f>
        <v/>
      </c>
      <c r="AO448">
        <f>IFERROR(INDEX($F$6:$F$565,MATCH(ROW()-5,$AN$6:$AN$565,0)),"")</f>
        <v/>
      </c>
      <c r="AP448">
        <f>IF(AND($F448&lt;&gt;"",$I448&lt;&gt;""),IF($G448="وام و تسهیلات",1,0),0)</f>
        <v/>
      </c>
      <c r="AQ448">
        <f>SUM($AP$6:$AP448)</f>
        <v/>
      </c>
      <c r="AR448">
        <f>IFERROR(INDEX($F$6:$F$565,MATCH(ROW()-5,$AQ$6:$AQ$565,0)),"")</f>
        <v/>
      </c>
      <c r="AS448">
        <f>IF(AND($F448&lt;&gt;"",$I448&lt;&gt;""),IF($G448="سرمایه و آورده صاحبان",1,0),0)</f>
        <v/>
      </c>
      <c r="AT448">
        <f>SUM($AS$6:$AS448)</f>
        <v/>
      </c>
      <c r="AU448">
        <f>IFERROR(INDEX($F$6:$F$565,MATCH(ROW()-5,$AT$6:$AT$565,0)),"")</f>
        <v/>
      </c>
      <c r="AW448">
        <f>IF([3]Issues!$C$451="","",[3]Issues!$C$451)</f>
        <v/>
      </c>
      <c r="AX448">
        <f>IF([4]Entry!$E$451="","",[4]Entry!$E$451)</f>
        <v/>
      </c>
      <c r="AY448">
        <f>IF([4]Entry!$H$451="","",[4]Entry!$H$451)</f>
        <v/>
      </c>
      <c r="AZ448">
        <f>IF([4]Entry!$I$451="","",[4]Entry!$I$451)</f>
        <v/>
      </c>
    </row>
    <row r="449">
      <c r="F449">
        <f>IF([1]Accounts!$D$450="","",[1]Accounts!$A$450)</f>
        <v/>
      </c>
      <c r="G449">
        <f>IF([1]Accounts!$D$450="","",[1]Accounts!$B$450)</f>
        <v/>
      </c>
      <c r="H449">
        <f>IF([1]Accounts!$D$450="","",[1]Accounts!$C$450)</f>
        <v/>
      </c>
      <c r="I449">
        <f>IF([1]Accounts!$D$450="","",[1]Accounts!$D$450)</f>
        <v/>
      </c>
      <c r="R449">
        <f>IF(AND($F449&lt;&gt;"",$I449&lt;&gt;""),IF(OR($G449="دارایی ثابت",$G449="وام و تسهیلات",$G449="سرمایه و آورده صاحبان"),0,1),0)</f>
        <v/>
      </c>
      <c r="S449">
        <f>SUM($R$6:$R449)</f>
        <v/>
      </c>
      <c r="T449">
        <f>IFERROR(INDEX($F$6:$F$565,MATCH(ROW()-5,$S$6:$S$565,0)),"")</f>
        <v/>
      </c>
      <c r="Z449">
        <f>IF([2]Entry!$E$452="","",[2]Entry!$E$452)</f>
        <v/>
      </c>
      <c r="AA449">
        <f>IF([2]Entry!$G$452="","",[2]Entry!$G$452)</f>
        <v/>
      </c>
      <c r="AB449">
        <f>IF([2]Entry!$J$452="","",[2]Entry!$J$452)</f>
        <v/>
      </c>
      <c r="AC449">
        <f>IF([2]Entry!$K$452="","",[2]Entry!$K$452)</f>
        <v/>
      </c>
      <c r="AD449">
        <f>IF([2]Entry!$L$452="","",[2]Entry!$L$452)</f>
        <v/>
      </c>
      <c r="AE449">
        <f>IF([2]Entry!$M$452="","",[2]Entry!$M$452)</f>
        <v/>
      </c>
      <c r="AF449">
        <f>IF([2]Entry!$N$452="","",[2]Entry!$N$452)</f>
        <v/>
      </c>
      <c r="AG449">
        <f>IF([3]Issues!$B$452="","",[3]Issues!$B$452)</f>
        <v/>
      </c>
      <c r="AH449">
        <f>IF([3]Issues!$D$452="","",[3]Issues!$D$452)</f>
        <v/>
      </c>
      <c r="AI449">
        <f>IF([3]Issues!$E$452="","",[3]Issues!$E$452)</f>
        <v/>
      </c>
      <c r="AJ449">
        <f>IF([2]Entry!$S$452="","",[2]Entry!$S$452)</f>
        <v/>
      </c>
      <c r="AK449">
        <f>IF([2]Entry!$C$452="","",[2]Entry!$C$452)</f>
        <v/>
      </c>
      <c r="AL449">
        <f>IF([2]Entry!$D$452="","",[2]Entry!$D$452)</f>
        <v/>
      </c>
      <c r="AM449">
        <f>IF(AND($F449&lt;&gt;"",$I449&lt;&gt;""),IF($G449="دارایی ثابت",1,0),0)</f>
        <v/>
      </c>
      <c r="AN449">
        <f>SUM($AM$6:$AM449)</f>
        <v/>
      </c>
      <c r="AO449">
        <f>IFERROR(INDEX($F$6:$F$565,MATCH(ROW()-5,$AN$6:$AN$565,0)),"")</f>
        <v/>
      </c>
      <c r="AP449">
        <f>IF(AND($F449&lt;&gt;"",$I449&lt;&gt;""),IF($G449="وام و تسهیلات",1,0),0)</f>
        <v/>
      </c>
      <c r="AQ449">
        <f>SUM($AP$6:$AP449)</f>
        <v/>
      </c>
      <c r="AR449">
        <f>IFERROR(INDEX($F$6:$F$565,MATCH(ROW()-5,$AQ$6:$AQ$565,0)),"")</f>
        <v/>
      </c>
      <c r="AS449">
        <f>IF(AND($F449&lt;&gt;"",$I449&lt;&gt;""),IF($G449="سرمایه و آورده صاحبان",1,0),0)</f>
        <v/>
      </c>
      <c r="AT449">
        <f>SUM($AS$6:$AS449)</f>
        <v/>
      </c>
      <c r="AU449">
        <f>IFERROR(INDEX($F$6:$F$565,MATCH(ROW()-5,$AT$6:$AT$565,0)),"")</f>
        <v/>
      </c>
      <c r="AW449">
        <f>IF([3]Issues!$C$452="","",[3]Issues!$C$452)</f>
        <v/>
      </c>
      <c r="AX449">
        <f>IF([4]Entry!$E$452="","",[4]Entry!$E$452)</f>
        <v/>
      </c>
      <c r="AY449">
        <f>IF([4]Entry!$H$452="","",[4]Entry!$H$452)</f>
        <v/>
      </c>
      <c r="AZ449">
        <f>IF([4]Entry!$I$452="","",[4]Entry!$I$452)</f>
        <v/>
      </c>
    </row>
    <row r="450">
      <c r="F450">
        <f>IF([1]Accounts!$D$451="","",[1]Accounts!$A$451)</f>
        <v/>
      </c>
      <c r="G450">
        <f>IF([1]Accounts!$D$451="","",[1]Accounts!$B$451)</f>
        <v/>
      </c>
      <c r="H450">
        <f>IF([1]Accounts!$D$451="","",[1]Accounts!$C$451)</f>
        <v/>
      </c>
      <c r="I450">
        <f>IF([1]Accounts!$D$451="","",[1]Accounts!$D$451)</f>
        <v/>
      </c>
      <c r="R450">
        <f>IF(AND($F450&lt;&gt;"",$I450&lt;&gt;""),IF(OR($G450="دارایی ثابت",$G450="وام و تسهیلات",$G450="سرمایه و آورده صاحبان"),0,1),0)</f>
        <v/>
      </c>
      <c r="S450">
        <f>SUM($R$6:$R450)</f>
        <v/>
      </c>
      <c r="T450">
        <f>IFERROR(INDEX($F$6:$F$565,MATCH(ROW()-5,$S$6:$S$565,0)),"")</f>
        <v/>
      </c>
      <c r="Z450">
        <f>IF([2]Entry!$E$453="","",[2]Entry!$E$453)</f>
        <v/>
      </c>
      <c r="AA450">
        <f>IF([2]Entry!$G$453="","",[2]Entry!$G$453)</f>
        <v/>
      </c>
      <c r="AB450">
        <f>IF([2]Entry!$J$453="","",[2]Entry!$J$453)</f>
        <v/>
      </c>
      <c r="AC450">
        <f>IF([2]Entry!$K$453="","",[2]Entry!$K$453)</f>
        <v/>
      </c>
      <c r="AD450">
        <f>IF([2]Entry!$L$453="","",[2]Entry!$L$453)</f>
        <v/>
      </c>
      <c r="AE450">
        <f>IF([2]Entry!$M$453="","",[2]Entry!$M$453)</f>
        <v/>
      </c>
      <c r="AF450">
        <f>IF([2]Entry!$N$453="","",[2]Entry!$N$453)</f>
        <v/>
      </c>
      <c r="AG450">
        <f>IF([3]Issues!$B$453="","",[3]Issues!$B$453)</f>
        <v/>
      </c>
      <c r="AH450">
        <f>IF([3]Issues!$D$453="","",[3]Issues!$D$453)</f>
        <v/>
      </c>
      <c r="AI450">
        <f>IF([3]Issues!$E$453="","",[3]Issues!$E$453)</f>
        <v/>
      </c>
      <c r="AJ450">
        <f>IF([2]Entry!$S$453="","",[2]Entry!$S$453)</f>
        <v/>
      </c>
      <c r="AK450">
        <f>IF([2]Entry!$C$453="","",[2]Entry!$C$453)</f>
        <v/>
      </c>
      <c r="AL450">
        <f>IF([2]Entry!$D$453="","",[2]Entry!$D$453)</f>
        <v/>
      </c>
      <c r="AM450">
        <f>IF(AND($F450&lt;&gt;"",$I450&lt;&gt;""),IF($G450="دارایی ثابت",1,0),0)</f>
        <v/>
      </c>
      <c r="AN450">
        <f>SUM($AM$6:$AM450)</f>
        <v/>
      </c>
      <c r="AO450">
        <f>IFERROR(INDEX($F$6:$F$565,MATCH(ROW()-5,$AN$6:$AN$565,0)),"")</f>
        <v/>
      </c>
      <c r="AP450">
        <f>IF(AND($F450&lt;&gt;"",$I450&lt;&gt;""),IF($G450="وام و تسهیلات",1,0),0)</f>
        <v/>
      </c>
      <c r="AQ450">
        <f>SUM($AP$6:$AP450)</f>
        <v/>
      </c>
      <c r="AR450">
        <f>IFERROR(INDEX($F$6:$F$565,MATCH(ROW()-5,$AQ$6:$AQ$565,0)),"")</f>
        <v/>
      </c>
      <c r="AS450">
        <f>IF(AND($F450&lt;&gt;"",$I450&lt;&gt;""),IF($G450="سرمایه و آورده صاحبان",1,0),0)</f>
        <v/>
      </c>
      <c r="AT450">
        <f>SUM($AS$6:$AS450)</f>
        <v/>
      </c>
      <c r="AU450">
        <f>IFERROR(INDEX($F$6:$F$565,MATCH(ROW()-5,$AT$6:$AT$565,0)),"")</f>
        <v/>
      </c>
      <c r="AW450">
        <f>IF([3]Issues!$C$453="","",[3]Issues!$C$453)</f>
        <v/>
      </c>
      <c r="AX450">
        <f>IF([4]Entry!$E$453="","",[4]Entry!$E$453)</f>
        <v/>
      </c>
      <c r="AY450">
        <f>IF([4]Entry!$H$453="","",[4]Entry!$H$453)</f>
        <v/>
      </c>
      <c r="AZ450">
        <f>IF([4]Entry!$I$453="","",[4]Entry!$I$453)</f>
        <v/>
      </c>
    </row>
    <row r="451">
      <c r="F451">
        <f>IF([1]Accounts!$D$452="","",[1]Accounts!$A$452)</f>
        <v/>
      </c>
      <c r="G451">
        <f>IF([1]Accounts!$D$452="","",[1]Accounts!$B$452)</f>
        <v/>
      </c>
      <c r="H451">
        <f>IF([1]Accounts!$D$452="","",[1]Accounts!$C$452)</f>
        <v/>
      </c>
      <c r="I451">
        <f>IF([1]Accounts!$D$452="","",[1]Accounts!$D$452)</f>
        <v/>
      </c>
      <c r="R451">
        <f>IF(AND($F451&lt;&gt;"",$I451&lt;&gt;""),IF(OR($G451="دارایی ثابت",$G451="وام و تسهیلات",$G451="سرمایه و آورده صاحبان"),0,1),0)</f>
        <v/>
      </c>
      <c r="S451">
        <f>SUM($R$6:$R451)</f>
        <v/>
      </c>
      <c r="T451">
        <f>IFERROR(INDEX($F$6:$F$565,MATCH(ROW()-5,$S$6:$S$565,0)),"")</f>
        <v/>
      </c>
      <c r="Z451">
        <f>IF([2]Entry!$E$454="","",[2]Entry!$E$454)</f>
        <v/>
      </c>
      <c r="AA451">
        <f>IF([2]Entry!$G$454="","",[2]Entry!$G$454)</f>
        <v/>
      </c>
      <c r="AB451">
        <f>IF([2]Entry!$J$454="","",[2]Entry!$J$454)</f>
        <v/>
      </c>
      <c r="AC451">
        <f>IF([2]Entry!$K$454="","",[2]Entry!$K$454)</f>
        <v/>
      </c>
      <c r="AD451">
        <f>IF([2]Entry!$L$454="","",[2]Entry!$L$454)</f>
        <v/>
      </c>
      <c r="AE451">
        <f>IF([2]Entry!$M$454="","",[2]Entry!$M$454)</f>
        <v/>
      </c>
      <c r="AF451">
        <f>IF([2]Entry!$N$454="","",[2]Entry!$N$454)</f>
        <v/>
      </c>
      <c r="AG451">
        <f>IF([3]Issues!$B$454="","",[3]Issues!$B$454)</f>
        <v/>
      </c>
      <c r="AH451">
        <f>IF([3]Issues!$D$454="","",[3]Issues!$D$454)</f>
        <v/>
      </c>
      <c r="AI451">
        <f>IF([3]Issues!$E$454="","",[3]Issues!$E$454)</f>
        <v/>
      </c>
      <c r="AJ451">
        <f>IF([2]Entry!$S$454="","",[2]Entry!$S$454)</f>
        <v/>
      </c>
      <c r="AK451">
        <f>IF([2]Entry!$C$454="","",[2]Entry!$C$454)</f>
        <v/>
      </c>
      <c r="AL451">
        <f>IF([2]Entry!$D$454="","",[2]Entry!$D$454)</f>
        <v/>
      </c>
      <c r="AM451">
        <f>IF(AND($F451&lt;&gt;"",$I451&lt;&gt;""),IF($G451="دارایی ثابت",1,0),0)</f>
        <v/>
      </c>
      <c r="AN451">
        <f>SUM($AM$6:$AM451)</f>
        <v/>
      </c>
      <c r="AO451">
        <f>IFERROR(INDEX($F$6:$F$565,MATCH(ROW()-5,$AN$6:$AN$565,0)),"")</f>
        <v/>
      </c>
      <c r="AP451">
        <f>IF(AND($F451&lt;&gt;"",$I451&lt;&gt;""),IF($G451="وام و تسهیلات",1,0),0)</f>
        <v/>
      </c>
      <c r="AQ451">
        <f>SUM($AP$6:$AP451)</f>
        <v/>
      </c>
      <c r="AR451">
        <f>IFERROR(INDEX($F$6:$F$565,MATCH(ROW()-5,$AQ$6:$AQ$565,0)),"")</f>
        <v/>
      </c>
      <c r="AS451">
        <f>IF(AND($F451&lt;&gt;"",$I451&lt;&gt;""),IF($G451="سرمایه و آورده صاحبان",1,0),0)</f>
        <v/>
      </c>
      <c r="AT451">
        <f>SUM($AS$6:$AS451)</f>
        <v/>
      </c>
      <c r="AU451">
        <f>IFERROR(INDEX($F$6:$F$565,MATCH(ROW()-5,$AT$6:$AT$565,0)),"")</f>
        <v/>
      </c>
      <c r="AW451">
        <f>IF([3]Issues!$C$454="","",[3]Issues!$C$454)</f>
        <v/>
      </c>
      <c r="AX451">
        <f>IF([4]Entry!$E$454="","",[4]Entry!$E$454)</f>
        <v/>
      </c>
      <c r="AY451">
        <f>IF([4]Entry!$H$454="","",[4]Entry!$H$454)</f>
        <v/>
      </c>
      <c r="AZ451">
        <f>IF([4]Entry!$I$454="","",[4]Entry!$I$454)</f>
        <v/>
      </c>
    </row>
    <row r="452">
      <c r="F452">
        <f>IF([1]Accounts!$D$453="","",[1]Accounts!$A$453)</f>
        <v/>
      </c>
      <c r="G452">
        <f>IF([1]Accounts!$D$453="","",[1]Accounts!$B$453)</f>
        <v/>
      </c>
      <c r="H452">
        <f>IF([1]Accounts!$D$453="","",[1]Accounts!$C$453)</f>
        <v/>
      </c>
      <c r="I452">
        <f>IF([1]Accounts!$D$453="","",[1]Accounts!$D$453)</f>
        <v/>
      </c>
      <c r="R452">
        <f>IF(AND($F452&lt;&gt;"",$I452&lt;&gt;""),IF(OR($G452="دارایی ثابت",$G452="وام و تسهیلات",$G452="سرمایه و آورده صاحبان"),0,1),0)</f>
        <v/>
      </c>
      <c r="S452">
        <f>SUM($R$6:$R452)</f>
        <v/>
      </c>
      <c r="T452">
        <f>IFERROR(INDEX($F$6:$F$565,MATCH(ROW()-5,$S$6:$S$565,0)),"")</f>
        <v/>
      </c>
      <c r="Z452">
        <f>IF([2]Entry!$E$455="","",[2]Entry!$E$455)</f>
        <v/>
      </c>
      <c r="AA452">
        <f>IF([2]Entry!$G$455="","",[2]Entry!$G$455)</f>
        <v/>
      </c>
      <c r="AB452">
        <f>IF([2]Entry!$J$455="","",[2]Entry!$J$455)</f>
        <v/>
      </c>
      <c r="AC452">
        <f>IF([2]Entry!$K$455="","",[2]Entry!$K$455)</f>
        <v/>
      </c>
      <c r="AD452">
        <f>IF([2]Entry!$L$455="","",[2]Entry!$L$455)</f>
        <v/>
      </c>
      <c r="AE452">
        <f>IF([2]Entry!$M$455="","",[2]Entry!$M$455)</f>
        <v/>
      </c>
      <c r="AF452">
        <f>IF([2]Entry!$N$455="","",[2]Entry!$N$455)</f>
        <v/>
      </c>
      <c r="AG452">
        <f>IF([3]Issues!$B$455="","",[3]Issues!$B$455)</f>
        <v/>
      </c>
      <c r="AH452">
        <f>IF([3]Issues!$D$455="","",[3]Issues!$D$455)</f>
        <v/>
      </c>
      <c r="AI452">
        <f>IF([3]Issues!$E$455="","",[3]Issues!$E$455)</f>
        <v/>
      </c>
      <c r="AJ452">
        <f>IF([2]Entry!$S$455="","",[2]Entry!$S$455)</f>
        <v/>
      </c>
      <c r="AK452">
        <f>IF([2]Entry!$C$455="","",[2]Entry!$C$455)</f>
        <v/>
      </c>
      <c r="AL452">
        <f>IF([2]Entry!$D$455="","",[2]Entry!$D$455)</f>
        <v/>
      </c>
      <c r="AM452">
        <f>IF(AND($F452&lt;&gt;"",$I452&lt;&gt;""),IF($G452="دارایی ثابت",1,0),0)</f>
        <v/>
      </c>
      <c r="AN452">
        <f>SUM($AM$6:$AM452)</f>
        <v/>
      </c>
      <c r="AO452">
        <f>IFERROR(INDEX($F$6:$F$565,MATCH(ROW()-5,$AN$6:$AN$565,0)),"")</f>
        <v/>
      </c>
      <c r="AP452">
        <f>IF(AND($F452&lt;&gt;"",$I452&lt;&gt;""),IF($G452="وام و تسهیلات",1,0),0)</f>
        <v/>
      </c>
      <c r="AQ452">
        <f>SUM($AP$6:$AP452)</f>
        <v/>
      </c>
      <c r="AR452">
        <f>IFERROR(INDEX($F$6:$F$565,MATCH(ROW()-5,$AQ$6:$AQ$565,0)),"")</f>
        <v/>
      </c>
      <c r="AS452">
        <f>IF(AND($F452&lt;&gt;"",$I452&lt;&gt;""),IF($G452="سرمایه و آورده صاحبان",1,0),0)</f>
        <v/>
      </c>
      <c r="AT452">
        <f>SUM($AS$6:$AS452)</f>
        <v/>
      </c>
      <c r="AU452">
        <f>IFERROR(INDEX($F$6:$F$565,MATCH(ROW()-5,$AT$6:$AT$565,0)),"")</f>
        <v/>
      </c>
      <c r="AW452">
        <f>IF([3]Issues!$C$455="","",[3]Issues!$C$455)</f>
        <v/>
      </c>
      <c r="AX452">
        <f>IF([4]Entry!$E$455="","",[4]Entry!$E$455)</f>
        <v/>
      </c>
      <c r="AY452">
        <f>IF([4]Entry!$H$455="","",[4]Entry!$H$455)</f>
        <v/>
      </c>
      <c r="AZ452">
        <f>IF([4]Entry!$I$455="","",[4]Entry!$I$455)</f>
        <v/>
      </c>
    </row>
    <row r="453">
      <c r="F453">
        <f>IF([1]Accounts!$D$454="","",[1]Accounts!$A$454)</f>
        <v/>
      </c>
      <c r="G453">
        <f>IF([1]Accounts!$D$454="","",[1]Accounts!$B$454)</f>
        <v/>
      </c>
      <c r="H453">
        <f>IF([1]Accounts!$D$454="","",[1]Accounts!$C$454)</f>
        <v/>
      </c>
      <c r="I453">
        <f>IF([1]Accounts!$D$454="","",[1]Accounts!$D$454)</f>
        <v/>
      </c>
      <c r="R453">
        <f>IF(AND($F453&lt;&gt;"",$I453&lt;&gt;""),IF(OR($G453="دارایی ثابت",$G453="وام و تسهیلات",$G453="سرمایه و آورده صاحبان"),0,1),0)</f>
        <v/>
      </c>
      <c r="S453">
        <f>SUM($R$6:$R453)</f>
        <v/>
      </c>
      <c r="T453">
        <f>IFERROR(INDEX($F$6:$F$565,MATCH(ROW()-5,$S$6:$S$565,0)),"")</f>
        <v/>
      </c>
      <c r="Z453">
        <f>IF([2]Entry!$E$456="","",[2]Entry!$E$456)</f>
        <v/>
      </c>
      <c r="AA453">
        <f>IF([2]Entry!$G$456="","",[2]Entry!$G$456)</f>
        <v/>
      </c>
      <c r="AB453">
        <f>IF([2]Entry!$J$456="","",[2]Entry!$J$456)</f>
        <v/>
      </c>
      <c r="AC453">
        <f>IF([2]Entry!$K$456="","",[2]Entry!$K$456)</f>
        <v/>
      </c>
      <c r="AD453">
        <f>IF([2]Entry!$L$456="","",[2]Entry!$L$456)</f>
        <v/>
      </c>
      <c r="AE453">
        <f>IF([2]Entry!$M$456="","",[2]Entry!$M$456)</f>
        <v/>
      </c>
      <c r="AF453">
        <f>IF([2]Entry!$N$456="","",[2]Entry!$N$456)</f>
        <v/>
      </c>
      <c r="AG453">
        <f>IF([3]Issues!$B$456="","",[3]Issues!$B$456)</f>
        <v/>
      </c>
      <c r="AH453">
        <f>IF([3]Issues!$D$456="","",[3]Issues!$D$456)</f>
        <v/>
      </c>
      <c r="AI453">
        <f>IF([3]Issues!$E$456="","",[3]Issues!$E$456)</f>
        <v/>
      </c>
      <c r="AJ453">
        <f>IF([2]Entry!$S$456="","",[2]Entry!$S$456)</f>
        <v/>
      </c>
      <c r="AK453">
        <f>IF([2]Entry!$C$456="","",[2]Entry!$C$456)</f>
        <v/>
      </c>
      <c r="AL453">
        <f>IF([2]Entry!$D$456="","",[2]Entry!$D$456)</f>
        <v/>
      </c>
      <c r="AM453">
        <f>IF(AND($F453&lt;&gt;"",$I453&lt;&gt;""),IF($G453="دارایی ثابت",1,0),0)</f>
        <v/>
      </c>
      <c r="AN453">
        <f>SUM($AM$6:$AM453)</f>
        <v/>
      </c>
      <c r="AO453">
        <f>IFERROR(INDEX($F$6:$F$565,MATCH(ROW()-5,$AN$6:$AN$565,0)),"")</f>
        <v/>
      </c>
      <c r="AP453">
        <f>IF(AND($F453&lt;&gt;"",$I453&lt;&gt;""),IF($G453="وام و تسهیلات",1,0),0)</f>
        <v/>
      </c>
      <c r="AQ453">
        <f>SUM($AP$6:$AP453)</f>
        <v/>
      </c>
      <c r="AR453">
        <f>IFERROR(INDEX($F$6:$F$565,MATCH(ROW()-5,$AQ$6:$AQ$565,0)),"")</f>
        <v/>
      </c>
      <c r="AS453">
        <f>IF(AND($F453&lt;&gt;"",$I453&lt;&gt;""),IF($G453="سرمایه و آورده صاحبان",1,0),0)</f>
        <v/>
      </c>
      <c r="AT453">
        <f>SUM($AS$6:$AS453)</f>
        <v/>
      </c>
      <c r="AU453">
        <f>IFERROR(INDEX($F$6:$F$565,MATCH(ROW()-5,$AT$6:$AT$565,0)),"")</f>
        <v/>
      </c>
      <c r="AW453">
        <f>IF([3]Issues!$C$456="","",[3]Issues!$C$456)</f>
        <v/>
      </c>
      <c r="AX453">
        <f>IF([4]Entry!$E$456="","",[4]Entry!$E$456)</f>
        <v/>
      </c>
      <c r="AY453">
        <f>IF([4]Entry!$H$456="","",[4]Entry!$H$456)</f>
        <v/>
      </c>
      <c r="AZ453">
        <f>IF([4]Entry!$I$456="","",[4]Entry!$I$456)</f>
        <v/>
      </c>
    </row>
    <row r="454">
      <c r="F454">
        <f>IF([1]Accounts!$D$455="","",[1]Accounts!$A$455)</f>
        <v/>
      </c>
      <c r="G454">
        <f>IF([1]Accounts!$D$455="","",[1]Accounts!$B$455)</f>
        <v/>
      </c>
      <c r="H454">
        <f>IF([1]Accounts!$D$455="","",[1]Accounts!$C$455)</f>
        <v/>
      </c>
      <c r="I454">
        <f>IF([1]Accounts!$D$455="","",[1]Accounts!$D$455)</f>
        <v/>
      </c>
      <c r="R454">
        <f>IF(AND($F454&lt;&gt;"",$I454&lt;&gt;""),IF(OR($G454="دارایی ثابت",$G454="وام و تسهیلات",$G454="سرمایه و آورده صاحبان"),0,1),0)</f>
        <v/>
      </c>
      <c r="S454">
        <f>SUM($R$6:$R454)</f>
        <v/>
      </c>
      <c r="T454">
        <f>IFERROR(INDEX($F$6:$F$565,MATCH(ROW()-5,$S$6:$S$565,0)),"")</f>
        <v/>
      </c>
      <c r="Z454">
        <f>IF([2]Entry!$E$457="","",[2]Entry!$E$457)</f>
        <v/>
      </c>
      <c r="AA454">
        <f>IF([2]Entry!$G$457="","",[2]Entry!$G$457)</f>
        <v/>
      </c>
      <c r="AB454">
        <f>IF([2]Entry!$J$457="","",[2]Entry!$J$457)</f>
        <v/>
      </c>
      <c r="AC454">
        <f>IF([2]Entry!$K$457="","",[2]Entry!$K$457)</f>
        <v/>
      </c>
      <c r="AD454">
        <f>IF([2]Entry!$L$457="","",[2]Entry!$L$457)</f>
        <v/>
      </c>
      <c r="AE454">
        <f>IF([2]Entry!$M$457="","",[2]Entry!$M$457)</f>
        <v/>
      </c>
      <c r="AF454">
        <f>IF([2]Entry!$N$457="","",[2]Entry!$N$457)</f>
        <v/>
      </c>
      <c r="AG454">
        <f>IF([3]Issues!$B$457="","",[3]Issues!$B$457)</f>
        <v/>
      </c>
      <c r="AH454">
        <f>IF([3]Issues!$D$457="","",[3]Issues!$D$457)</f>
        <v/>
      </c>
      <c r="AI454">
        <f>IF([3]Issues!$E$457="","",[3]Issues!$E$457)</f>
        <v/>
      </c>
      <c r="AJ454">
        <f>IF([2]Entry!$S$457="","",[2]Entry!$S$457)</f>
        <v/>
      </c>
      <c r="AK454">
        <f>IF([2]Entry!$C$457="","",[2]Entry!$C$457)</f>
        <v/>
      </c>
      <c r="AL454">
        <f>IF([2]Entry!$D$457="","",[2]Entry!$D$457)</f>
        <v/>
      </c>
      <c r="AM454">
        <f>IF(AND($F454&lt;&gt;"",$I454&lt;&gt;""),IF($G454="دارایی ثابت",1,0),0)</f>
        <v/>
      </c>
      <c r="AN454">
        <f>SUM($AM$6:$AM454)</f>
        <v/>
      </c>
      <c r="AO454">
        <f>IFERROR(INDEX($F$6:$F$565,MATCH(ROW()-5,$AN$6:$AN$565,0)),"")</f>
        <v/>
      </c>
      <c r="AP454">
        <f>IF(AND($F454&lt;&gt;"",$I454&lt;&gt;""),IF($G454="وام و تسهیلات",1,0),0)</f>
        <v/>
      </c>
      <c r="AQ454">
        <f>SUM($AP$6:$AP454)</f>
        <v/>
      </c>
      <c r="AR454">
        <f>IFERROR(INDEX($F$6:$F$565,MATCH(ROW()-5,$AQ$6:$AQ$565,0)),"")</f>
        <v/>
      </c>
      <c r="AS454">
        <f>IF(AND($F454&lt;&gt;"",$I454&lt;&gt;""),IF($G454="سرمایه و آورده صاحبان",1,0),0)</f>
        <v/>
      </c>
      <c r="AT454">
        <f>SUM($AS$6:$AS454)</f>
        <v/>
      </c>
      <c r="AU454">
        <f>IFERROR(INDEX($F$6:$F$565,MATCH(ROW()-5,$AT$6:$AT$565,0)),"")</f>
        <v/>
      </c>
      <c r="AW454">
        <f>IF([3]Issues!$C$457="","",[3]Issues!$C$457)</f>
        <v/>
      </c>
      <c r="AX454">
        <f>IF([4]Entry!$E$457="","",[4]Entry!$E$457)</f>
        <v/>
      </c>
      <c r="AY454">
        <f>IF([4]Entry!$H$457="","",[4]Entry!$H$457)</f>
        <v/>
      </c>
      <c r="AZ454">
        <f>IF([4]Entry!$I$457="","",[4]Entry!$I$457)</f>
        <v/>
      </c>
    </row>
    <row r="455">
      <c r="F455">
        <f>IF([1]Accounts!$D$456="","",[1]Accounts!$A$456)</f>
        <v/>
      </c>
      <c r="G455">
        <f>IF([1]Accounts!$D$456="","",[1]Accounts!$B$456)</f>
        <v/>
      </c>
      <c r="H455">
        <f>IF([1]Accounts!$D$456="","",[1]Accounts!$C$456)</f>
        <v/>
      </c>
      <c r="I455">
        <f>IF([1]Accounts!$D$456="","",[1]Accounts!$D$456)</f>
        <v/>
      </c>
      <c r="R455">
        <f>IF(AND($F455&lt;&gt;"",$I455&lt;&gt;""),IF(OR($G455="دارایی ثابت",$G455="وام و تسهیلات",$G455="سرمایه و آورده صاحبان"),0,1),0)</f>
        <v/>
      </c>
      <c r="S455">
        <f>SUM($R$6:$R455)</f>
        <v/>
      </c>
      <c r="T455">
        <f>IFERROR(INDEX($F$6:$F$565,MATCH(ROW()-5,$S$6:$S$565,0)),"")</f>
        <v/>
      </c>
      <c r="Z455">
        <f>IF([2]Entry!$E$458="","",[2]Entry!$E$458)</f>
        <v/>
      </c>
      <c r="AA455">
        <f>IF([2]Entry!$G$458="","",[2]Entry!$G$458)</f>
        <v/>
      </c>
      <c r="AB455">
        <f>IF([2]Entry!$J$458="","",[2]Entry!$J$458)</f>
        <v/>
      </c>
      <c r="AC455">
        <f>IF([2]Entry!$K$458="","",[2]Entry!$K$458)</f>
        <v/>
      </c>
      <c r="AD455">
        <f>IF([2]Entry!$L$458="","",[2]Entry!$L$458)</f>
        <v/>
      </c>
      <c r="AE455">
        <f>IF([2]Entry!$M$458="","",[2]Entry!$M$458)</f>
        <v/>
      </c>
      <c r="AF455">
        <f>IF([2]Entry!$N$458="","",[2]Entry!$N$458)</f>
        <v/>
      </c>
      <c r="AG455">
        <f>IF([3]Issues!$B$458="","",[3]Issues!$B$458)</f>
        <v/>
      </c>
      <c r="AH455">
        <f>IF([3]Issues!$D$458="","",[3]Issues!$D$458)</f>
        <v/>
      </c>
      <c r="AI455">
        <f>IF([3]Issues!$E$458="","",[3]Issues!$E$458)</f>
        <v/>
      </c>
      <c r="AJ455">
        <f>IF([2]Entry!$S$458="","",[2]Entry!$S$458)</f>
        <v/>
      </c>
      <c r="AK455">
        <f>IF([2]Entry!$C$458="","",[2]Entry!$C$458)</f>
        <v/>
      </c>
      <c r="AL455">
        <f>IF([2]Entry!$D$458="","",[2]Entry!$D$458)</f>
        <v/>
      </c>
      <c r="AM455">
        <f>IF(AND($F455&lt;&gt;"",$I455&lt;&gt;""),IF($G455="دارایی ثابت",1,0),0)</f>
        <v/>
      </c>
      <c r="AN455">
        <f>SUM($AM$6:$AM455)</f>
        <v/>
      </c>
      <c r="AO455">
        <f>IFERROR(INDEX($F$6:$F$565,MATCH(ROW()-5,$AN$6:$AN$565,0)),"")</f>
        <v/>
      </c>
      <c r="AP455">
        <f>IF(AND($F455&lt;&gt;"",$I455&lt;&gt;""),IF($G455="وام و تسهیلات",1,0),0)</f>
        <v/>
      </c>
      <c r="AQ455">
        <f>SUM($AP$6:$AP455)</f>
        <v/>
      </c>
      <c r="AR455">
        <f>IFERROR(INDEX($F$6:$F$565,MATCH(ROW()-5,$AQ$6:$AQ$565,0)),"")</f>
        <v/>
      </c>
      <c r="AS455">
        <f>IF(AND($F455&lt;&gt;"",$I455&lt;&gt;""),IF($G455="سرمایه و آورده صاحبان",1,0),0)</f>
        <v/>
      </c>
      <c r="AT455">
        <f>SUM($AS$6:$AS455)</f>
        <v/>
      </c>
      <c r="AU455">
        <f>IFERROR(INDEX($F$6:$F$565,MATCH(ROW()-5,$AT$6:$AT$565,0)),"")</f>
        <v/>
      </c>
      <c r="AW455">
        <f>IF([3]Issues!$C$458="","",[3]Issues!$C$458)</f>
        <v/>
      </c>
      <c r="AX455">
        <f>IF([4]Entry!$E$458="","",[4]Entry!$E$458)</f>
        <v/>
      </c>
      <c r="AY455">
        <f>IF([4]Entry!$H$458="","",[4]Entry!$H$458)</f>
        <v/>
      </c>
      <c r="AZ455">
        <f>IF([4]Entry!$I$458="","",[4]Entry!$I$458)</f>
        <v/>
      </c>
    </row>
    <row r="456">
      <c r="F456">
        <f>IF([1]Accounts!$D$457="","",[1]Accounts!$A$457)</f>
        <v/>
      </c>
      <c r="G456">
        <f>IF([1]Accounts!$D$457="","",[1]Accounts!$B$457)</f>
        <v/>
      </c>
      <c r="H456">
        <f>IF([1]Accounts!$D$457="","",[1]Accounts!$C$457)</f>
        <v/>
      </c>
      <c r="I456">
        <f>IF([1]Accounts!$D$457="","",[1]Accounts!$D$457)</f>
        <v/>
      </c>
      <c r="R456">
        <f>IF(AND($F456&lt;&gt;"",$I456&lt;&gt;""),IF(OR($G456="دارایی ثابت",$G456="وام و تسهیلات",$G456="سرمایه و آورده صاحبان"),0,1),0)</f>
        <v/>
      </c>
      <c r="S456">
        <f>SUM($R$6:$R456)</f>
        <v/>
      </c>
      <c r="T456">
        <f>IFERROR(INDEX($F$6:$F$565,MATCH(ROW()-5,$S$6:$S$565,0)),"")</f>
        <v/>
      </c>
      <c r="Z456">
        <f>IF([2]Entry!$E$459="","",[2]Entry!$E$459)</f>
        <v/>
      </c>
      <c r="AA456">
        <f>IF([2]Entry!$G$459="","",[2]Entry!$G$459)</f>
        <v/>
      </c>
      <c r="AB456">
        <f>IF([2]Entry!$J$459="","",[2]Entry!$J$459)</f>
        <v/>
      </c>
      <c r="AC456">
        <f>IF([2]Entry!$K$459="","",[2]Entry!$K$459)</f>
        <v/>
      </c>
      <c r="AD456">
        <f>IF([2]Entry!$L$459="","",[2]Entry!$L$459)</f>
        <v/>
      </c>
      <c r="AE456">
        <f>IF([2]Entry!$M$459="","",[2]Entry!$M$459)</f>
        <v/>
      </c>
      <c r="AF456">
        <f>IF([2]Entry!$N$459="","",[2]Entry!$N$459)</f>
        <v/>
      </c>
      <c r="AG456">
        <f>IF([3]Issues!$B$459="","",[3]Issues!$B$459)</f>
        <v/>
      </c>
      <c r="AH456">
        <f>IF([3]Issues!$D$459="","",[3]Issues!$D$459)</f>
        <v/>
      </c>
      <c r="AI456">
        <f>IF([3]Issues!$E$459="","",[3]Issues!$E$459)</f>
        <v/>
      </c>
      <c r="AJ456">
        <f>IF([2]Entry!$S$459="","",[2]Entry!$S$459)</f>
        <v/>
      </c>
      <c r="AK456">
        <f>IF([2]Entry!$C$459="","",[2]Entry!$C$459)</f>
        <v/>
      </c>
      <c r="AL456">
        <f>IF([2]Entry!$D$459="","",[2]Entry!$D$459)</f>
        <v/>
      </c>
      <c r="AM456">
        <f>IF(AND($F456&lt;&gt;"",$I456&lt;&gt;""),IF($G456="دارایی ثابت",1,0),0)</f>
        <v/>
      </c>
      <c r="AN456">
        <f>SUM($AM$6:$AM456)</f>
        <v/>
      </c>
      <c r="AO456">
        <f>IFERROR(INDEX($F$6:$F$565,MATCH(ROW()-5,$AN$6:$AN$565,0)),"")</f>
        <v/>
      </c>
      <c r="AP456">
        <f>IF(AND($F456&lt;&gt;"",$I456&lt;&gt;""),IF($G456="وام و تسهیلات",1,0),0)</f>
        <v/>
      </c>
      <c r="AQ456">
        <f>SUM($AP$6:$AP456)</f>
        <v/>
      </c>
      <c r="AR456">
        <f>IFERROR(INDEX($F$6:$F$565,MATCH(ROW()-5,$AQ$6:$AQ$565,0)),"")</f>
        <v/>
      </c>
      <c r="AS456">
        <f>IF(AND($F456&lt;&gt;"",$I456&lt;&gt;""),IF($G456="سرمایه و آورده صاحبان",1,0),0)</f>
        <v/>
      </c>
      <c r="AT456">
        <f>SUM($AS$6:$AS456)</f>
        <v/>
      </c>
      <c r="AU456">
        <f>IFERROR(INDEX($F$6:$F$565,MATCH(ROW()-5,$AT$6:$AT$565,0)),"")</f>
        <v/>
      </c>
      <c r="AW456">
        <f>IF([3]Issues!$C$459="","",[3]Issues!$C$459)</f>
        <v/>
      </c>
      <c r="AX456">
        <f>IF([4]Entry!$E$459="","",[4]Entry!$E$459)</f>
        <v/>
      </c>
      <c r="AY456">
        <f>IF([4]Entry!$H$459="","",[4]Entry!$H$459)</f>
        <v/>
      </c>
      <c r="AZ456">
        <f>IF([4]Entry!$I$459="","",[4]Entry!$I$459)</f>
        <v/>
      </c>
    </row>
    <row r="457">
      <c r="F457">
        <f>IF([1]Accounts!$D$458="","",[1]Accounts!$A$458)</f>
        <v/>
      </c>
      <c r="G457">
        <f>IF([1]Accounts!$D$458="","",[1]Accounts!$B$458)</f>
        <v/>
      </c>
      <c r="H457">
        <f>IF([1]Accounts!$D$458="","",[1]Accounts!$C$458)</f>
        <v/>
      </c>
      <c r="I457">
        <f>IF([1]Accounts!$D$458="","",[1]Accounts!$D$458)</f>
        <v/>
      </c>
      <c r="R457">
        <f>IF(AND($F457&lt;&gt;"",$I457&lt;&gt;""),IF(OR($G457="دارایی ثابت",$G457="وام و تسهیلات",$G457="سرمایه و آورده صاحبان"),0,1),0)</f>
        <v/>
      </c>
      <c r="S457">
        <f>SUM($R$6:$R457)</f>
        <v/>
      </c>
      <c r="T457">
        <f>IFERROR(INDEX($F$6:$F$565,MATCH(ROW()-5,$S$6:$S$565,0)),"")</f>
        <v/>
      </c>
      <c r="Z457">
        <f>IF([2]Entry!$E$460="","",[2]Entry!$E$460)</f>
        <v/>
      </c>
      <c r="AA457">
        <f>IF([2]Entry!$G$460="","",[2]Entry!$G$460)</f>
        <v/>
      </c>
      <c r="AB457">
        <f>IF([2]Entry!$J$460="","",[2]Entry!$J$460)</f>
        <v/>
      </c>
      <c r="AC457">
        <f>IF([2]Entry!$K$460="","",[2]Entry!$K$460)</f>
        <v/>
      </c>
      <c r="AD457">
        <f>IF([2]Entry!$L$460="","",[2]Entry!$L$460)</f>
        <v/>
      </c>
      <c r="AE457">
        <f>IF([2]Entry!$M$460="","",[2]Entry!$M$460)</f>
        <v/>
      </c>
      <c r="AF457">
        <f>IF([2]Entry!$N$460="","",[2]Entry!$N$460)</f>
        <v/>
      </c>
      <c r="AG457">
        <f>IF([3]Issues!$B$460="","",[3]Issues!$B$460)</f>
        <v/>
      </c>
      <c r="AH457">
        <f>IF([3]Issues!$D$460="","",[3]Issues!$D$460)</f>
        <v/>
      </c>
      <c r="AI457">
        <f>IF([3]Issues!$E$460="","",[3]Issues!$E$460)</f>
        <v/>
      </c>
      <c r="AJ457">
        <f>IF([2]Entry!$S$460="","",[2]Entry!$S$460)</f>
        <v/>
      </c>
      <c r="AK457">
        <f>IF([2]Entry!$C$460="","",[2]Entry!$C$460)</f>
        <v/>
      </c>
      <c r="AL457">
        <f>IF([2]Entry!$D$460="","",[2]Entry!$D$460)</f>
        <v/>
      </c>
      <c r="AM457">
        <f>IF(AND($F457&lt;&gt;"",$I457&lt;&gt;""),IF($G457="دارایی ثابت",1,0),0)</f>
        <v/>
      </c>
      <c r="AN457">
        <f>SUM($AM$6:$AM457)</f>
        <v/>
      </c>
      <c r="AO457">
        <f>IFERROR(INDEX($F$6:$F$565,MATCH(ROW()-5,$AN$6:$AN$565,0)),"")</f>
        <v/>
      </c>
      <c r="AP457">
        <f>IF(AND($F457&lt;&gt;"",$I457&lt;&gt;""),IF($G457="وام و تسهیلات",1,0),0)</f>
        <v/>
      </c>
      <c r="AQ457">
        <f>SUM($AP$6:$AP457)</f>
        <v/>
      </c>
      <c r="AR457">
        <f>IFERROR(INDEX($F$6:$F$565,MATCH(ROW()-5,$AQ$6:$AQ$565,0)),"")</f>
        <v/>
      </c>
      <c r="AS457">
        <f>IF(AND($F457&lt;&gt;"",$I457&lt;&gt;""),IF($G457="سرمایه و آورده صاحبان",1,0),0)</f>
        <v/>
      </c>
      <c r="AT457">
        <f>SUM($AS$6:$AS457)</f>
        <v/>
      </c>
      <c r="AU457">
        <f>IFERROR(INDEX($F$6:$F$565,MATCH(ROW()-5,$AT$6:$AT$565,0)),"")</f>
        <v/>
      </c>
      <c r="AW457">
        <f>IF([3]Issues!$C$460="","",[3]Issues!$C$460)</f>
        <v/>
      </c>
      <c r="AX457">
        <f>IF([4]Entry!$E$460="","",[4]Entry!$E$460)</f>
        <v/>
      </c>
      <c r="AY457">
        <f>IF([4]Entry!$H$460="","",[4]Entry!$H$460)</f>
        <v/>
      </c>
      <c r="AZ457">
        <f>IF([4]Entry!$I$460="","",[4]Entry!$I$460)</f>
        <v/>
      </c>
    </row>
    <row r="458">
      <c r="F458">
        <f>IF([1]Accounts!$D$459="","",[1]Accounts!$A$459)</f>
        <v/>
      </c>
      <c r="G458">
        <f>IF([1]Accounts!$D$459="","",[1]Accounts!$B$459)</f>
        <v/>
      </c>
      <c r="H458">
        <f>IF([1]Accounts!$D$459="","",[1]Accounts!$C$459)</f>
        <v/>
      </c>
      <c r="I458">
        <f>IF([1]Accounts!$D$459="","",[1]Accounts!$D$459)</f>
        <v/>
      </c>
      <c r="R458">
        <f>IF(AND($F458&lt;&gt;"",$I458&lt;&gt;""),IF(OR($G458="دارایی ثابت",$G458="وام و تسهیلات",$G458="سرمایه و آورده صاحبان"),0,1),0)</f>
        <v/>
      </c>
      <c r="S458">
        <f>SUM($R$6:$R458)</f>
        <v/>
      </c>
      <c r="T458">
        <f>IFERROR(INDEX($F$6:$F$565,MATCH(ROW()-5,$S$6:$S$565,0)),"")</f>
        <v/>
      </c>
      <c r="Z458">
        <f>IF([2]Entry!$E$461="","",[2]Entry!$E$461)</f>
        <v/>
      </c>
      <c r="AA458">
        <f>IF([2]Entry!$G$461="","",[2]Entry!$G$461)</f>
        <v/>
      </c>
      <c r="AB458">
        <f>IF([2]Entry!$J$461="","",[2]Entry!$J$461)</f>
        <v/>
      </c>
      <c r="AC458">
        <f>IF([2]Entry!$K$461="","",[2]Entry!$K$461)</f>
        <v/>
      </c>
      <c r="AD458">
        <f>IF([2]Entry!$L$461="","",[2]Entry!$L$461)</f>
        <v/>
      </c>
      <c r="AE458">
        <f>IF([2]Entry!$M$461="","",[2]Entry!$M$461)</f>
        <v/>
      </c>
      <c r="AF458">
        <f>IF([2]Entry!$N$461="","",[2]Entry!$N$461)</f>
        <v/>
      </c>
      <c r="AG458">
        <f>IF([3]Issues!$B$461="","",[3]Issues!$B$461)</f>
        <v/>
      </c>
      <c r="AH458">
        <f>IF([3]Issues!$D$461="","",[3]Issues!$D$461)</f>
        <v/>
      </c>
      <c r="AI458">
        <f>IF([3]Issues!$E$461="","",[3]Issues!$E$461)</f>
        <v/>
      </c>
      <c r="AJ458">
        <f>IF([2]Entry!$S$461="","",[2]Entry!$S$461)</f>
        <v/>
      </c>
      <c r="AK458">
        <f>IF([2]Entry!$C$461="","",[2]Entry!$C$461)</f>
        <v/>
      </c>
      <c r="AL458">
        <f>IF([2]Entry!$D$461="","",[2]Entry!$D$461)</f>
        <v/>
      </c>
      <c r="AM458">
        <f>IF(AND($F458&lt;&gt;"",$I458&lt;&gt;""),IF($G458="دارایی ثابت",1,0),0)</f>
        <v/>
      </c>
      <c r="AN458">
        <f>SUM($AM$6:$AM458)</f>
        <v/>
      </c>
      <c r="AO458">
        <f>IFERROR(INDEX($F$6:$F$565,MATCH(ROW()-5,$AN$6:$AN$565,0)),"")</f>
        <v/>
      </c>
      <c r="AP458">
        <f>IF(AND($F458&lt;&gt;"",$I458&lt;&gt;""),IF($G458="وام و تسهیلات",1,0),0)</f>
        <v/>
      </c>
      <c r="AQ458">
        <f>SUM($AP$6:$AP458)</f>
        <v/>
      </c>
      <c r="AR458">
        <f>IFERROR(INDEX($F$6:$F$565,MATCH(ROW()-5,$AQ$6:$AQ$565,0)),"")</f>
        <v/>
      </c>
      <c r="AS458">
        <f>IF(AND($F458&lt;&gt;"",$I458&lt;&gt;""),IF($G458="سرمایه و آورده صاحبان",1,0),0)</f>
        <v/>
      </c>
      <c r="AT458">
        <f>SUM($AS$6:$AS458)</f>
        <v/>
      </c>
      <c r="AU458">
        <f>IFERROR(INDEX($F$6:$F$565,MATCH(ROW()-5,$AT$6:$AT$565,0)),"")</f>
        <v/>
      </c>
      <c r="AW458">
        <f>IF([3]Issues!$C$461="","",[3]Issues!$C$461)</f>
        <v/>
      </c>
      <c r="AX458">
        <f>IF([4]Entry!$E$461="","",[4]Entry!$E$461)</f>
        <v/>
      </c>
      <c r="AY458">
        <f>IF([4]Entry!$H$461="","",[4]Entry!$H$461)</f>
        <v/>
      </c>
      <c r="AZ458">
        <f>IF([4]Entry!$I$461="","",[4]Entry!$I$461)</f>
        <v/>
      </c>
    </row>
    <row r="459">
      <c r="F459">
        <f>IF([1]Accounts!$D$460="","",[1]Accounts!$A$460)</f>
        <v/>
      </c>
      <c r="G459">
        <f>IF([1]Accounts!$D$460="","",[1]Accounts!$B$460)</f>
        <v/>
      </c>
      <c r="H459">
        <f>IF([1]Accounts!$D$460="","",[1]Accounts!$C$460)</f>
        <v/>
      </c>
      <c r="I459">
        <f>IF([1]Accounts!$D$460="","",[1]Accounts!$D$460)</f>
        <v/>
      </c>
      <c r="R459">
        <f>IF(AND($F459&lt;&gt;"",$I459&lt;&gt;""),IF(OR($G459="دارایی ثابت",$G459="وام و تسهیلات",$G459="سرمایه و آورده صاحبان"),0,1),0)</f>
        <v/>
      </c>
      <c r="S459">
        <f>SUM($R$6:$R459)</f>
        <v/>
      </c>
      <c r="T459">
        <f>IFERROR(INDEX($F$6:$F$565,MATCH(ROW()-5,$S$6:$S$565,0)),"")</f>
        <v/>
      </c>
      <c r="Z459">
        <f>IF([2]Entry!$E$462="","",[2]Entry!$E$462)</f>
        <v/>
      </c>
      <c r="AA459">
        <f>IF([2]Entry!$G$462="","",[2]Entry!$G$462)</f>
        <v/>
      </c>
      <c r="AB459">
        <f>IF([2]Entry!$J$462="","",[2]Entry!$J$462)</f>
        <v/>
      </c>
      <c r="AC459">
        <f>IF([2]Entry!$K$462="","",[2]Entry!$K$462)</f>
        <v/>
      </c>
      <c r="AD459">
        <f>IF([2]Entry!$L$462="","",[2]Entry!$L$462)</f>
        <v/>
      </c>
      <c r="AE459">
        <f>IF([2]Entry!$M$462="","",[2]Entry!$M$462)</f>
        <v/>
      </c>
      <c r="AF459">
        <f>IF([2]Entry!$N$462="","",[2]Entry!$N$462)</f>
        <v/>
      </c>
      <c r="AG459">
        <f>IF([3]Issues!$B$462="","",[3]Issues!$B$462)</f>
        <v/>
      </c>
      <c r="AH459">
        <f>IF([3]Issues!$D$462="","",[3]Issues!$D$462)</f>
        <v/>
      </c>
      <c r="AI459">
        <f>IF([3]Issues!$E$462="","",[3]Issues!$E$462)</f>
        <v/>
      </c>
      <c r="AJ459">
        <f>IF([2]Entry!$S$462="","",[2]Entry!$S$462)</f>
        <v/>
      </c>
      <c r="AK459">
        <f>IF([2]Entry!$C$462="","",[2]Entry!$C$462)</f>
        <v/>
      </c>
      <c r="AL459">
        <f>IF([2]Entry!$D$462="","",[2]Entry!$D$462)</f>
        <v/>
      </c>
      <c r="AM459">
        <f>IF(AND($F459&lt;&gt;"",$I459&lt;&gt;""),IF($G459="دارایی ثابت",1,0),0)</f>
        <v/>
      </c>
      <c r="AN459">
        <f>SUM($AM$6:$AM459)</f>
        <v/>
      </c>
      <c r="AO459">
        <f>IFERROR(INDEX($F$6:$F$565,MATCH(ROW()-5,$AN$6:$AN$565,0)),"")</f>
        <v/>
      </c>
      <c r="AP459">
        <f>IF(AND($F459&lt;&gt;"",$I459&lt;&gt;""),IF($G459="وام و تسهیلات",1,0),0)</f>
        <v/>
      </c>
      <c r="AQ459">
        <f>SUM($AP$6:$AP459)</f>
        <v/>
      </c>
      <c r="AR459">
        <f>IFERROR(INDEX($F$6:$F$565,MATCH(ROW()-5,$AQ$6:$AQ$565,0)),"")</f>
        <v/>
      </c>
      <c r="AS459">
        <f>IF(AND($F459&lt;&gt;"",$I459&lt;&gt;""),IF($G459="سرمایه و آورده صاحبان",1,0),0)</f>
        <v/>
      </c>
      <c r="AT459">
        <f>SUM($AS$6:$AS459)</f>
        <v/>
      </c>
      <c r="AU459">
        <f>IFERROR(INDEX($F$6:$F$565,MATCH(ROW()-5,$AT$6:$AT$565,0)),"")</f>
        <v/>
      </c>
      <c r="AW459">
        <f>IF([3]Issues!$C$462="","",[3]Issues!$C$462)</f>
        <v/>
      </c>
      <c r="AX459">
        <f>IF([4]Entry!$E$462="","",[4]Entry!$E$462)</f>
        <v/>
      </c>
      <c r="AY459">
        <f>IF([4]Entry!$H$462="","",[4]Entry!$H$462)</f>
        <v/>
      </c>
      <c r="AZ459">
        <f>IF([4]Entry!$I$462="","",[4]Entry!$I$462)</f>
        <v/>
      </c>
    </row>
    <row r="460">
      <c r="F460">
        <f>IF([1]Accounts!$D$461="","",[1]Accounts!$A$461)</f>
        <v/>
      </c>
      <c r="G460">
        <f>IF([1]Accounts!$D$461="","",[1]Accounts!$B$461)</f>
        <v/>
      </c>
      <c r="H460">
        <f>IF([1]Accounts!$D$461="","",[1]Accounts!$C$461)</f>
        <v/>
      </c>
      <c r="I460">
        <f>IF([1]Accounts!$D$461="","",[1]Accounts!$D$461)</f>
        <v/>
      </c>
      <c r="R460">
        <f>IF(AND($F460&lt;&gt;"",$I460&lt;&gt;""),IF(OR($G460="دارایی ثابت",$G460="وام و تسهیلات",$G460="سرمایه و آورده صاحبان"),0,1),0)</f>
        <v/>
      </c>
      <c r="S460">
        <f>SUM($R$6:$R460)</f>
        <v/>
      </c>
      <c r="T460">
        <f>IFERROR(INDEX($F$6:$F$565,MATCH(ROW()-5,$S$6:$S$565,0)),"")</f>
        <v/>
      </c>
      <c r="Z460">
        <f>IF([2]Entry!$E$463="","",[2]Entry!$E$463)</f>
        <v/>
      </c>
      <c r="AA460">
        <f>IF([2]Entry!$G$463="","",[2]Entry!$G$463)</f>
        <v/>
      </c>
      <c r="AB460">
        <f>IF([2]Entry!$J$463="","",[2]Entry!$J$463)</f>
        <v/>
      </c>
      <c r="AC460">
        <f>IF([2]Entry!$K$463="","",[2]Entry!$K$463)</f>
        <v/>
      </c>
      <c r="AD460">
        <f>IF([2]Entry!$L$463="","",[2]Entry!$L$463)</f>
        <v/>
      </c>
      <c r="AE460">
        <f>IF([2]Entry!$M$463="","",[2]Entry!$M$463)</f>
        <v/>
      </c>
      <c r="AF460">
        <f>IF([2]Entry!$N$463="","",[2]Entry!$N$463)</f>
        <v/>
      </c>
      <c r="AG460">
        <f>IF([3]Issues!$B$463="","",[3]Issues!$B$463)</f>
        <v/>
      </c>
      <c r="AH460">
        <f>IF([3]Issues!$D$463="","",[3]Issues!$D$463)</f>
        <v/>
      </c>
      <c r="AI460">
        <f>IF([3]Issues!$E$463="","",[3]Issues!$E$463)</f>
        <v/>
      </c>
      <c r="AJ460">
        <f>IF([2]Entry!$S$463="","",[2]Entry!$S$463)</f>
        <v/>
      </c>
      <c r="AK460">
        <f>IF([2]Entry!$C$463="","",[2]Entry!$C$463)</f>
        <v/>
      </c>
      <c r="AL460">
        <f>IF([2]Entry!$D$463="","",[2]Entry!$D$463)</f>
        <v/>
      </c>
      <c r="AM460">
        <f>IF(AND($F460&lt;&gt;"",$I460&lt;&gt;""),IF($G460="دارایی ثابت",1,0),0)</f>
        <v/>
      </c>
      <c r="AN460">
        <f>SUM($AM$6:$AM460)</f>
        <v/>
      </c>
      <c r="AO460">
        <f>IFERROR(INDEX($F$6:$F$565,MATCH(ROW()-5,$AN$6:$AN$565,0)),"")</f>
        <v/>
      </c>
      <c r="AP460">
        <f>IF(AND($F460&lt;&gt;"",$I460&lt;&gt;""),IF($G460="وام و تسهیلات",1,0),0)</f>
        <v/>
      </c>
      <c r="AQ460">
        <f>SUM($AP$6:$AP460)</f>
        <v/>
      </c>
      <c r="AR460">
        <f>IFERROR(INDEX($F$6:$F$565,MATCH(ROW()-5,$AQ$6:$AQ$565,0)),"")</f>
        <v/>
      </c>
      <c r="AS460">
        <f>IF(AND($F460&lt;&gt;"",$I460&lt;&gt;""),IF($G460="سرمایه و آورده صاحبان",1,0),0)</f>
        <v/>
      </c>
      <c r="AT460">
        <f>SUM($AS$6:$AS460)</f>
        <v/>
      </c>
      <c r="AU460">
        <f>IFERROR(INDEX($F$6:$F$565,MATCH(ROW()-5,$AT$6:$AT$565,0)),"")</f>
        <v/>
      </c>
      <c r="AW460">
        <f>IF([3]Issues!$C$463="","",[3]Issues!$C$463)</f>
        <v/>
      </c>
      <c r="AX460">
        <f>IF([4]Entry!$E$463="","",[4]Entry!$E$463)</f>
        <v/>
      </c>
      <c r="AY460">
        <f>IF([4]Entry!$H$463="","",[4]Entry!$H$463)</f>
        <v/>
      </c>
      <c r="AZ460">
        <f>IF([4]Entry!$I$463="","",[4]Entry!$I$463)</f>
        <v/>
      </c>
    </row>
    <row r="461">
      <c r="F461">
        <f>IF([1]Accounts!$D$462="","",[1]Accounts!$A$462)</f>
        <v/>
      </c>
      <c r="G461">
        <f>IF([1]Accounts!$D$462="","",[1]Accounts!$B$462)</f>
        <v/>
      </c>
      <c r="H461">
        <f>IF([1]Accounts!$D$462="","",[1]Accounts!$C$462)</f>
        <v/>
      </c>
      <c r="I461">
        <f>IF([1]Accounts!$D$462="","",[1]Accounts!$D$462)</f>
        <v/>
      </c>
      <c r="R461">
        <f>IF(AND($F461&lt;&gt;"",$I461&lt;&gt;""),IF(OR($G461="دارایی ثابت",$G461="وام و تسهیلات",$G461="سرمایه و آورده صاحبان"),0,1),0)</f>
        <v/>
      </c>
      <c r="S461">
        <f>SUM($R$6:$R461)</f>
        <v/>
      </c>
      <c r="T461">
        <f>IFERROR(INDEX($F$6:$F$565,MATCH(ROW()-5,$S$6:$S$565,0)),"")</f>
        <v/>
      </c>
      <c r="Z461">
        <f>IF([2]Entry!$E$464="","",[2]Entry!$E$464)</f>
        <v/>
      </c>
      <c r="AA461">
        <f>IF([2]Entry!$G$464="","",[2]Entry!$G$464)</f>
        <v/>
      </c>
      <c r="AB461">
        <f>IF([2]Entry!$J$464="","",[2]Entry!$J$464)</f>
        <v/>
      </c>
      <c r="AC461">
        <f>IF([2]Entry!$K$464="","",[2]Entry!$K$464)</f>
        <v/>
      </c>
      <c r="AD461">
        <f>IF([2]Entry!$L$464="","",[2]Entry!$L$464)</f>
        <v/>
      </c>
      <c r="AE461">
        <f>IF([2]Entry!$M$464="","",[2]Entry!$M$464)</f>
        <v/>
      </c>
      <c r="AF461">
        <f>IF([2]Entry!$N$464="","",[2]Entry!$N$464)</f>
        <v/>
      </c>
      <c r="AG461">
        <f>IF([3]Issues!$B$464="","",[3]Issues!$B$464)</f>
        <v/>
      </c>
      <c r="AH461">
        <f>IF([3]Issues!$D$464="","",[3]Issues!$D$464)</f>
        <v/>
      </c>
      <c r="AI461">
        <f>IF([3]Issues!$E$464="","",[3]Issues!$E$464)</f>
        <v/>
      </c>
      <c r="AJ461">
        <f>IF([2]Entry!$S$464="","",[2]Entry!$S$464)</f>
        <v/>
      </c>
      <c r="AK461">
        <f>IF([2]Entry!$C$464="","",[2]Entry!$C$464)</f>
        <v/>
      </c>
      <c r="AL461">
        <f>IF([2]Entry!$D$464="","",[2]Entry!$D$464)</f>
        <v/>
      </c>
      <c r="AM461">
        <f>IF(AND($F461&lt;&gt;"",$I461&lt;&gt;""),IF($G461="دارایی ثابت",1,0),0)</f>
        <v/>
      </c>
      <c r="AN461">
        <f>SUM($AM$6:$AM461)</f>
        <v/>
      </c>
      <c r="AO461">
        <f>IFERROR(INDEX($F$6:$F$565,MATCH(ROW()-5,$AN$6:$AN$565,0)),"")</f>
        <v/>
      </c>
      <c r="AP461">
        <f>IF(AND($F461&lt;&gt;"",$I461&lt;&gt;""),IF($G461="وام و تسهیلات",1,0),0)</f>
        <v/>
      </c>
      <c r="AQ461">
        <f>SUM($AP$6:$AP461)</f>
        <v/>
      </c>
      <c r="AR461">
        <f>IFERROR(INDEX($F$6:$F$565,MATCH(ROW()-5,$AQ$6:$AQ$565,0)),"")</f>
        <v/>
      </c>
      <c r="AS461">
        <f>IF(AND($F461&lt;&gt;"",$I461&lt;&gt;""),IF($G461="سرمایه و آورده صاحبان",1,0),0)</f>
        <v/>
      </c>
      <c r="AT461">
        <f>SUM($AS$6:$AS461)</f>
        <v/>
      </c>
      <c r="AU461">
        <f>IFERROR(INDEX($F$6:$F$565,MATCH(ROW()-5,$AT$6:$AT$565,0)),"")</f>
        <v/>
      </c>
      <c r="AW461">
        <f>IF([3]Issues!$C$464="","",[3]Issues!$C$464)</f>
        <v/>
      </c>
      <c r="AX461">
        <f>IF([4]Entry!$E$464="","",[4]Entry!$E$464)</f>
        <v/>
      </c>
      <c r="AY461">
        <f>IF([4]Entry!$H$464="","",[4]Entry!$H$464)</f>
        <v/>
      </c>
      <c r="AZ461">
        <f>IF([4]Entry!$I$464="","",[4]Entry!$I$464)</f>
        <v/>
      </c>
    </row>
    <row r="462">
      <c r="F462">
        <f>IF([1]Accounts!$D$463="","",[1]Accounts!$A$463)</f>
        <v/>
      </c>
      <c r="G462">
        <f>IF([1]Accounts!$D$463="","",[1]Accounts!$B$463)</f>
        <v/>
      </c>
      <c r="H462">
        <f>IF([1]Accounts!$D$463="","",[1]Accounts!$C$463)</f>
        <v/>
      </c>
      <c r="I462">
        <f>IF([1]Accounts!$D$463="","",[1]Accounts!$D$463)</f>
        <v/>
      </c>
      <c r="R462">
        <f>IF(AND($F462&lt;&gt;"",$I462&lt;&gt;""),IF(OR($G462="دارایی ثابت",$G462="وام و تسهیلات",$G462="سرمایه و آورده صاحبان"),0,1),0)</f>
        <v/>
      </c>
      <c r="S462">
        <f>SUM($R$6:$R462)</f>
        <v/>
      </c>
      <c r="T462">
        <f>IFERROR(INDEX($F$6:$F$565,MATCH(ROW()-5,$S$6:$S$565,0)),"")</f>
        <v/>
      </c>
      <c r="Z462">
        <f>IF([2]Entry!$E$465="","",[2]Entry!$E$465)</f>
        <v/>
      </c>
      <c r="AA462">
        <f>IF([2]Entry!$G$465="","",[2]Entry!$G$465)</f>
        <v/>
      </c>
      <c r="AB462">
        <f>IF([2]Entry!$J$465="","",[2]Entry!$J$465)</f>
        <v/>
      </c>
      <c r="AC462">
        <f>IF([2]Entry!$K$465="","",[2]Entry!$K$465)</f>
        <v/>
      </c>
      <c r="AD462">
        <f>IF([2]Entry!$L$465="","",[2]Entry!$L$465)</f>
        <v/>
      </c>
      <c r="AE462">
        <f>IF([2]Entry!$M$465="","",[2]Entry!$M$465)</f>
        <v/>
      </c>
      <c r="AF462">
        <f>IF([2]Entry!$N$465="","",[2]Entry!$N$465)</f>
        <v/>
      </c>
      <c r="AG462">
        <f>IF([3]Issues!$B$465="","",[3]Issues!$B$465)</f>
        <v/>
      </c>
      <c r="AH462">
        <f>IF([3]Issues!$D$465="","",[3]Issues!$D$465)</f>
        <v/>
      </c>
      <c r="AI462">
        <f>IF([3]Issues!$E$465="","",[3]Issues!$E$465)</f>
        <v/>
      </c>
      <c r="AJ462">
        <f>IF([2]Entry!$S$465="","",[2]Entry!$S$465)</f>
        <v/>
      </c>
      <c r="AK462">
        <f>IF([2]Entry!$C$465="","",[2]Entry!$C$465)</f>
        <v/>
      </c>
      <c r="AL462">
        <f>IF([2]Entry!$D$465="","",[2]Entry!$D$465)</f>
        <v/>
      </c>
      <c r="AM462">
        <f>IF(AND($F462&lt;&gt;"",$I462&lt;&gt;""),IF($G462="دارایی ثابت",1,0),0)</f>
        <v/>
      </c>
      <c r="AN462">
        <f>SUM($AM$6:$AM462)</f>
        <v/>
      </c>
      <c r="AO462">
        <f>IFERROR(INDEX($F$6:$F$565,MATCH(ROW()-5,$AN$6:$AN$565,0)),"")</f>
        <v/>
      </c>
      <c r="AP462">
        <f>IF(AND($F462&lt;&gt;"",$I462&lt;&gt;""),IF($G462="وام و تسهیلات",1,0),0)</f>
        <v/>
      </c>
      <c r="AQ462">
        <f>SUM($AP$6:$AP462)</f>
        <v/>
      </c>
      <c r="AR462">
        <f>IFERROR(INDEX($F$6:$F$565,MATCH(ROW()-5,$AQ$6:$AQ$565,0)),"")</f>
        <v/>
      </c>
      <c r="AS462">
        <f>IF(AND($F462&lt;&gt;"",$I462&lt;&gt;""),IF($G462="سرمایه و آورده صاحبان",1,0),0)</f>
        <v/>
      </c>
      <c r="AT462">
        <f>SUM($AS$6:$AS462)</f>
        <v/>
      </c>
      <c r="AU462">
        <f>IFERROR(INDEX($F$6:$F$565,MATCH(ROW()-5,$AT$6:$AT$565,0)),"")</f>
        <v/>
      </c>
      <c r="AW462">
        <f>IF([3]Issues!$C$465="","",[3]Issues!$C$465)</f>
        <v/>
      </c>
      <c r="AX462">
        <f>IF([4]Entry!$E$465="","",[4]Entry!$E$465)</f>
        <v/>
      </c>
      <c r="AY462">
        <f>IF([4]Entry!$H$465="","",[4]Entry!$H$465)</f>
        <v/>
      </c>
      <c r="AZ462">
        <f>IF([4]Entry!$I$465="","",[4]Entry!$I$465)</f>
        <v/>
      </c>
    </row>
    <row r="463">
      <c r="F463">
        <f>IF([1]Accounts!$D$464="","",[1]Accounts!$A$464)</f>
        <v/>
      </c>
      <c r="G463">
        <f>IF([1]Accounts!$D$464="","",[1]Accounts!$B$464)</f>
        <v/>
      </c>
      <c r="H463">
        <f>IF([1]Accounts!$D$464="","",[1]Accounts!$C$464)</f>
        <v/>
      </c>
      <c r="I463">
        <f>IF([1]Accounts!$D$464="","",[1]Accounts!$D$464)</f>
        <v/>
      </c>
      <c r="R463">
        <f>IF(AND($F463&lt;&gt;"",$I463&lt;&gt;""),IF(OR($G463="دارایی ثابت",$G463="وام و تسهیلات",$G463="سرمایه و آورده صاحبان"),0,1),0)</f>
        <v/>
      </c>
      <c r="S463">
        <f>SUM($R$6:$R463)</f>
        <v/>
      </c>
      <c r="T463">
        <f>IFERROR(INDEX($F$6:$F$565,MATCH(ROW()-5,$S$6:$S$565,0)),"")</f>
        <v/>
      </c>
      <c r="Z463">
        <f>IF([2]Entry!$E$466="","",[2]Entry!$E$466)</f>
        <v/>
      </c>
      <c r="AA463">
        <f>IF([2]Entry!$G$466="","",[2]Entry!$G$466)</f>
        <v/>
      </c>
      <c r="AB463">
        <f>IF([2]Entry!$J$466="","",[2]Entry!$J$466)</f>
        <v/>
      </c>
      <c r="AC463">
        <f>IF([2]Entry!$K$466="","",[2]Entry!$K$466)</f>
        <v/>
      </c>
      <c r="AD463">
        <f>IF([2]Entry!$L$466="","",[2]Entry!$L$466)</f>
        <v/>
      </c>
      <c r="AE463">
        <f>IF([2]Entry!$M$466="","",[2]Entry!$M$466)</f>
        <v/>
      </c>
      <c r="AF463">
        <f>IF([2]Entry!$N$466="","",[2]Entry!$N$466)</f>
        <v/>
      </c>
      <c r="AG463">
        <f>IF([3]Issues!$B$466="","",[3]Issues!$B$466)</f>
        <v/>
      </c>
      <c r="AH463">
        <f>IF([3]Issues!$D$466="","",[3]Issues!$D$466)</f>
        <v/>
      </c>
      <c r="AI463">
        <f>IF([3]Issues!$E$466="","",[3]Issues!$E$466)</f>
        <v/>
      </c>
      <c r="AJ463">
        <f>IF([2]Entry!$S$466="","",[2]Entry!$S$466)</f>
        <v/>
      </c>
      <c r="AK463">
        <f>IF([2]Entry!$C$466="","",[2]Entry!$C$466)</f>
        <v/>
      </c>
      <c r="AL463">
        <f>IF([2]Entry!$D$466="","",[2]Entry!$D$466)</f>
        <v/>
      </c>
      <c r="AM463">
        <f>IF(AND($F463&lt;&gt;"",$I463&lt;&gt;""),IF($G463="دارایی ثابت",1,0),0)</f>
        <v/>
      </c>
      <c r="AN463">
        <f>SUM($AM$6:$AM463)</f>
        <v/>
      </c>
      <c r="AO463">
        <f>IFERROR(INDEX($F$6:$F$565,MATCH(ROW()-5,$AN$6:$AN$565,0)),"")</f>
        <v/>
      </c>
      <c r="AP463">
        <f>IF(AND($F463&lt;&gt;"",$I463&lt;&gt;""),IF($G463="وام و تسهیلات",1,0),0)</f>
        <v/>
      </c>
      <c r="AQ463">
        <f>SUM($AP$6:$AP463)</f>
        <v/>
      </c>
      <c r="AR463">
        <f>IFERROR(INDEX($F$6:$F$565,MATCH(ROW()-5,$AQ$6:$AQ$565,0)),"")</f>
        <v/>
      </c>
      <c r="AS463">
        <f>IF(AND($F463&lt;&gt;"",$I463&lt;&gt;""),IF($G463="سرمایه و آورده صاحبان",1,0),0)</f>
        <v/>
      </c>
      <c r="AT463">
        <f>SUM($AS$6:$AS463)</f>
        <v/>
      </c>
      <c r="AU463">
        <f>IFERROR(INDEX($F$6:$F$565,MATCH(ROW()-5,$AT$6:$AT$565,0)),"")</f>
        <v/>
      </c>
      <c r="AW463">
        <f>IF([3]Issues!$C$466="","",[3]Issues!$C$466)</f>
        <v/>
      </c>
      <c r="AX463">
        <f>IF([4]Entry!$E$466="","",[4]Entry!$E$466)</f>
        <v/>
      </c>
      <c r="AY463">
        <f>IF([4]Entry!$H$466="","",[4]Entry!$H$466)</f>
        <v/>
      </c>
      <c r="AZ463">
        <f>IF([4]Entry!$I$466="","",[4]Entry!$I$466)</f>
        <v/>
      </c>
    </row>
    <row r="464">
      <c r="F464">
        <f>IF([1]Accounts!$D$465="","",[1]Accounts!$A$465)</f>
        <v/>
      </c>
      <c r="G464">
        <f>IF([1]Accounts!$D$465="","",[1]Accounts!$B$465)</f>
        <v/>
      </c>
      <c r="H464">
        <f>IF([1]Accounts!$D$465="","",[1]Accounts!$C$465)</f>
        <v/>
      </c>
      <c r="I464">
        <f>IF([1]Accounts!$D$465="","",[1]Accounts!$D$465)</f>
        <v/>
      </c>
      <c r="R464">
        <f>IF(AND($F464&lt;&gt;"",$I464&lt;&gt;""),IF(OR($G464="دارایی ثابت",$G464="وام و تسهیلات",$G464="سرمایه و آورده صاحبان"),0,1),0)</f>
        <v/>
      </c>
      <c r="S464">
        <f>SUM($R$6:$R464)</f>
        <v/>
      </c>
      <c r="T464">
        <f>IFERROR(INDEX($F$6:$F$565,MATCH(ROW()-5,$S$6:$S$565,0)),"")</f>
        <v/>
      </c>
      <c r="Z464">
        <f>IF([2]Entry!$E$467="","",[2]Entry!$E$467)</f>
        <v/>
      </c>
      <c r="AA464">
        <f>IF([2]Entry!$G$467="","",[2]Entry!$G$467)</f>
        <v/>
      </c>
      <c r="AB464">
        <f>IF([2]Entry!$J$467="","",[2]Entry!$J$467)</f>
        <v/>
      </c>
      <c r="AC464">
        <f>IF([2]Entry!$K$467="","",[2]Entry!$K$467)</f>
        <v/>
      </c>
      <c r="AD464">
        <f>IF([2]Entry!$L$467="","",[2]Entry!$L$467)</f>
        <v/>
      </c>
      <c r="AE464">
        <f>IF([2]Entry!$M$467="","",[2]Entry!$M$467)</f>
        <v/>
      </c>
      <c r="AF464">
        <f>IF([2]Entry!$N$467="","",[2]Entry!$N$467)</f>
        <v/>
      </c>
      <c r="AG464">
        <f>IF([3]Issues!$B$467="","",[3]Issues!$B$467)</f>
        <v/>
      </c>
      <c r="AH464">
        <f>IF([3]Issues!$D$467="","",[3]Issues!$D$467)</f>
        <v/>
      </c>
      <c r="AI464">
        <f>IF([3]Issues!$E$467="","",[3]Issues!$E$467)</f>
        <v/>
      </c>
      <c r="AJ464">
        <f>IF([2]Entry!$S$467="","",[2]Entry!$S$467)</f>
        <v/>
      </c>
      <c r="AK464">
        <f>IF([2]Entry!$C$467="","",[2]Entry!$C$467)</f>
        <v/>
      </c>
      <c r="AL464">
        <f>IF([2]Entry!$D$467="","",[2]Entry!$D$467)</f>
        <v/>
      </c>
      <c r="AM464">
        <f>IF(AND($F464&lt;&gt;"",$I464&lt;&gt;""),IF($G464="دارایی ثابت",1,0),0)</f>
        <v/>
      </c>
      <c r="AN464">
        <f>SUM($AM$6:$AM464)</f>
        <v/>
      </c>
      <c r="AO464">
        <f>IFERROR(INDEX($F$6:$F$565,MATCH(ROW()-5,$AN$6:$AN$565,0)),"")</f>
        <v/>
      </c>
      <c r="AP464">
        <f>IF(AND($F464&lt;&gt;"",$I464&lt;&gt;""),IF($G464="وام و تسهیلات",1,0),0)</f>
        <v/>
      </c>
      <c r="AQ464">
        <f>SUM($AP$6:$AP464)</f>
        <v/>
      </c>
      <c r="AR464">
        <f>IFERROR(INDEX($F$6:$F$565,MATCH(ROW()-5,$AQ$6:$AQ$565,0)),"")</f>
        <v/>
      </c>
      <c r="AS464">
        <f>IF(AND($F464&lt;&gt;"",$I464&lt;&gt;""),IF($G464="سرمایه و آورده صاحبان",1,0),0)</f>
        <v/>
      </c>
      <c r="AT464">
        <f>SUM($AS$6:$AS464)</f>
        <v/>
      </c>
      <c r="AU464">
        <f>IFERROR(INDEX($F$6:$F$565,MATCH(ROW()-5,$AT$6:$AT$565,0)),"")</f>
        <v/>
      </c>
      <c r="AW464">
        <f>IF([3]Issues!$C$467="","",[3]Issues!$C$467)</f>
        <v/>
      </c>
      <c r="AX464">
        <f>IF([4]Entry!$E$467="","",[4]Entry!$E$467)</f>
        <v/>
      </c>
      <c r="AY464">
        <f>IF([4]Entry!$H$467="","",[4]Entry!$H$467)</f>
        <v/>
      </c>
      <c r="AZ464">
        <f>IF([4]Entry!$I$467="","",[4]Entry!$I$467)</f>
        <v/>
      </c>
    </row>
    <row r="465">
      <c r="F465">
        <f>IF([1]Accounts!$D$466="","",[1]Accounts!$A$466)</f>
        <v/>
      </c>
      <c r="G465">
        <f>IF([1]Accounts!$D$466="","",[1]Accounts!$B$466)</f>
        <v/>
      </c>
      <c r="H465">
        <f>IF([1]Accounts!$D$466="","",[1]Accounts!$C$466)</f>
        <v/>
      </c>
      <c r="I465">
        <f>IF([1]Accounts!$D$466="","",[1]Accounts!$D$466)</f>
        <v/>
      </c>
      <c r="R465">
        <f>IF(AND($F465&lt;&gt;"",$I465&lt;&gt;""),IF(OR($G465="دارایی ثابت",$G465="وام و تسهیلات",$G465="سرمایه و آورده صاحبان"),0,1),0)</f>
        <v/>
      </c>
      <c r="S465">
        <f>SUM($R$6:$R465)</f>
        <v/>
      </c>
      <c r="T465">
        <f>IFERROR(INDEX($F$6:$F$565,MATCH(ROW()-5,$S$6:$S$565,0)),"")</f>
        <v/>
      </c>
      <c r="Z465">
        <f>IF([2]Entry!$E$468="","",[2]Entry!$E$468)</f>
        <v/>
      </c>
      <c r="AA465">
        <f>IF([2]Entry!$G$468="","",[2]Entry!$G$468)</f>
        <v/>
      </c>
      <c r="AB465">
        <f>IF([2]Entry!$J$468="","",[2]Entry!$J$468)</f>
        <v/>
      </c>
      <c r="AC465">
        <f>IF([2]Entry!$K$468="","",[2]Entry!$K$468)</f>
        <v/>
      </c>
      <c r="AD465">
        <f>IF([2]Entry!$L$468="","",[2]Entry!$L$468)</f>
        <v/>
      </c>
      <c r="AE465">
        <f>IF([2]Entry!$M$468="","",[2]Entry!$M$468)</f>
        <v/>
      </c>
      <c r="AF465">
        <f>IF([2]Entry!$N$468="","",[2]Entry!$N$468)</f>
        <v/>
      </c>
      <c r="AG465">
        <f>IF([3]Issues!$B$468="","",[3]Issues!$B$468)</f>
        <v/>
      </c>
      <c r="AH465">
        <f>IF([3]Issues!$D$468="","",[3]Issues!$D$468)</f>
        <v/>
      </c>
      <c r="AI465">
        <f>IF([3]Issues!$E$468="","",[3]Issues!$E$468)</f>
        <v/>
      </c>
      <c r="AJ465">
        <f>IF([2]Entry!$S$468="","",[2]Entry!$S$468)</f>
        <v/>
      </c>
      <c r="AK465">
        <f>IF([2]Entry!$C$468="","",[2]Entry!$C$468)</f>
        <v/>
      </c>
      <c r="AL465">
        <f>IF([2]Entry!$D$468="","",[2]Entry!$D$468)</f>
        <v/>
      </c>
      <c r="AM465">
        <f>IF(AND($F465&lt;&gt;"",$I465&lt;&gt;""),IF($G465="دارایی ثابت",1,0),0)</f>
        <v/>
      </c>
      <c r="AN465">
        <f>SUM($AM$6:$AM465)</f>
        <v/>
      </c>
      <c r="AO465">
        <f>IFERROR(INDEX($F$6:$F$565,MATCH(ROW()-5,$AN$6:$AN$565,0)),"")</f>
        <v/>
      </c>
      <c r="AP465">
        <f>IF(AND($F465&lt;&gt;"",$I465&lt;&gt;""),IF($G465="وام و تسهیلات",1,0),0)</f>
        <v/>
      </c>
      <c r="AQ465">
        <f>SUM($AP$6:$AP465)</f>
        <v/>
      </c>
      <c r="AR465">
        <f>IFERROR(INDEX($F$6:$F$565,MATCH(ROW()-5,$AQ$6:$AQ$565,0)),"")</f>
        <v/>
      </c>
      <c r="AS465">
        <f>IF(AND($F465&lt;&gt;"",$I465&lt;&gt;""),IF($G465="سرمایه و آورده صاحبان",1,0),0)</f>
        <v/>
      </c>
      <c r="AT465">
        <f>SUM($AS$6:$AS465)</f>
        <v/>
      </c>
      <c r="AU465">
        <f>IFERROR(INDEX($F$6:$F$565,MATCH(ROW()-5,$AT$6:$AT$565,0)),"")</f>
        <v/>
      </c>
      <c r="AW465">
        <f>IF([3]Issues!$C$468="","",[3]Issues!$C$468)</f>
        <v/>
      </c>
      <c r="AX465">
        <f>IF([4]Entry!$E$468="","",[4]Entry!$E$468)</f>
        <v/>
      </c>
      <c r="AY465">
        <f>IF([4]Entry!$H$468="","",[4]Entry!$H$468)</f>
        <v/>
      </c>
      <c r="AZ465">
        <f>IF([4]Entry!$I$468="","",[4]Entry!$I$468)</f>
        <v/>
      </c>
    </row>
    <row r="466">
      <c r="F466">
        <f>IF([1]Accounts!$D$467="","",[1]Accounts!$A$467)</f>
        <v/>
      </c>
      <c r="G466">
        <f>IF([1]Accounts!$D$467="","",[1]Accounts!$B$467)</f>
        <v/>
      </c>
      <c r="H466">
        <f>IF([1]Accounts!$D$467="","",[1]Accounts!$C$467)</f>
        <v/>
      </c>
      <c r="I466">
        <f>IF([1]Accounts!$D$467="","",[1]Accounts!$D$467)</f>
        <v/>
      </c>
      <c r="R466">
        <f>IF(AND($F466&lt;&gt;"",$I466&lt;&gt;""),IF(OR($G466="دارایی ثابت",$G466="وام و تسهیلات",$G466="سرمایه و آورده صاحبان"),0,1),0)</f>
        <v/>
      </c>
      <c r="S466">
        <f>SUM($R$6:$R466)</f>
        <v/>
      </c>
      <c r="T466">
        <f>IFERROR(INDEX($F$6:$F$565,MATCH(ROW()-5,$S$6:$S$565,0)),"")</f>
        <v/>
      </c>
      <c r="Z466">
        <f>IF([2]Entry!$E$469="","",[2]Entry!$E$469)</f>
        <v/>
      </c>
      <c r="AA466">
        <f>IF([2]Entry!$G$469="","",[2]Entry!$G$469)</f>
        <v/>
      </c>
      <c r="AB466">
        <f>IF([2]Entry!$J$469="","",[2]Entry!$J$469)</f>
        <v/>
      </c>
      <c r="AC466">
        <f>IF([2]Entry!$K$469="","",[2]Entry!$K$469)</f>
        <v/>
      </c>
      <c r="AD466">
        <f>IF([2]Entry!$L$469="","",[2]Entry!$L$469)</f>
        <v/>
      </c>
      <c r="AE466">
        <f>IF([2]Entry!$M$469="","",[2]Entry!$M$469)</f>
        <v/>
      </c>
      <c r="AF466">
        <f>IF([2]Entry!$N$469="","",[2]Entry!$N$469)</f>
        <v/>
      </c>
      <c r="AG466">
        <f>IF([3]Issues!$B$469="","",[3]Issues!$B$469)</f>
        <v/>
      </c>
      <c r="AH466">
        <f>IF([3]Issues!$D$469="","",[3]Issues!$D$469)</f>
        <v/>
      </c>
      <c r="AI466">
        <f>IF([3]Issues!$E$469="","",[3]Issues!$E$469)</f>
        <v/>
      </c>
      <c r="AJ466">
        <f>IF([2]Entry!$S$469="","",[2]Entry!$S$469)</f>
        <v/>
      </c>
      <c r="AK466">
        <f>IF([2]Entry!$C$469="","",[2]Entry!$C$469)</f>
        <v/>
      </c>
      <c r="AL466">
        <f>IF([2]Entry!$D$469="","",[2]Entry!$D$469)</f>
        <v/>
      </c>
      <c r="AM466">
        <f>IF(AND($F466&lt;&gt;"",$I466&lt;&gt;""),IF($G466="دارایی ثابت",1,0),0)</f>
        <v/>
      </c>
      <c r="AN466">
        <f>SUM($AM$6:$AM466)</f>
        <v/>
      </c>
      <c r="AO466">
        <f>IFERROR(INDEX($F$6:$F$565,MATCH(ROW()-5,$AN$6:$AN$565,0)),"")</f>
        <v/>
      </c>
      <c r="AP466">
        <f>IF(AND($F466&lt;&gt;"",$I466&lt;&gt;""),IF($G466="وام و تسهیلات",1,0),0)</f>
        <v/>
      </c>
      <c r="AQ466">
        <f>SUM($AP$6:$AP466)</f>
        <v/>
      </c>
      <c r="AR466">
        <f>IFERROR(INDEX($F$6:$F$565,MATCH(ROW()-5,$AQ$6:$AQ$565,0)),"")</f>
        <v/>
      </c>
      <c r="AS466">
        <f>IF(AND($F466&lt;&gt;"",$I466&lt;&gt;""),IF($G466="سرمایه و آورده صاحبان",1,0),0)</f>
        <v/>
      </c>
      <c r="AT466">
        <f>SUM($AS$6:$AS466)</f>
        <v/>
      </c>
      <c r="AU466">
        <f>IFERROR(INDEX($F$6:$F$565,MATCH(ROW()-5,$AT$6:$AT$565,0)),"")</f>
        <v/>
      </c>
      <c r="AW466">
        <f>IF([3]Issues!$C$469="","",[3]Issues!$C$469)</f>
        <v/>
      </c>
      <c r="AX466">
        <f>IF([4]Entry!$E$469="","",[4]Entry!$E$469)</f>
        <v/>
      </c>
      <c r="AY466">
        <f>IF([4]Entry!$H$469="","",[4]Entry!$H$469)</f>
        <v/>
      </c>
      <c r="AZ466">
        <f>IF([4]Entry!$I$469="","",[4]Entry!$I$469)</f>
        <v/>
      </c>
    </row>
    <row r="467">
      <c r="F467">
        <f>IF([1]Accounts!$D$468="","",[1]Accounts!$A$468)</f>
        <v/>
      </c>
      <c r="G467">
        <f>IF([1]Accounts!$D$468="","",[1]Accounts!$B$468)</f>
        <v/>
      </c>
      <c r="H467">
        <f>IF([1]Accounts!$D$468="","",[1]Accounts!$C$468)</f>
        <v/>
      </c>
      <c r="I467">
        <f>IF([1]Accounts!$D$468="","",[1]Accounts!$D$468)</f>
        <v/>
      </c>
      <c r="R467">
        <f>IF(AND($F467&lt;&gt;"",$I467&lt;&gt;""),IF(OR($G467="دارایی ثابت",$G467="وام و تسهیلات",$G467="سرمایه و آورده صاحبان"),0,1),0)</f>
        <v/>
      </c>
      <c r="S467">
        <f>SUM($R$6:$R467)</f>
        <v/>
      </c>
      <c r="T467">
        <f>IFERROR(INDEX($F$6:$F$565,MATCH(ROW()-5,$S$6:$S$565,0)),"")</f>
        <v/>
      </c>
      <c r="Z467">
        <f>IF([2]Entry!$E$470="","",[2]Entry!$E$470)</f>
        <v/>
      </c>
      <c r="AA467">
        <f>IF([2]Entry!$G$470="","",[2]Entry!$G$470)</f>
        <v/>
      </c>
      <c r="AB467">
        <f>IF([2]Entry!$J$470="","",[2]Entry!$J$470)</f>
        <v/>
      </c>
      <c r="AC467">
        <f>IF([2]Entry!$K$470="","",[2]Entry!$K$470)</f>
        <v/>
      </c>
      <c r="AD467">
        <f>IF([2]Entry!$L$470="","",[2]Entry!$L$470)</f>
        <v/>
      </c>
      <c r="AE467">
        <f>IF([2]Entry!$M$470="","",[2]Entry!$M$470)</f>
        <v/>
      </c>
      <c r="AF467">
        <f>IF([2]Entry!$N$470="","",[2]Entry!$N$470)</f>
        <v/>
      </c>
      <c r="AG467">
        <f>IF([3]Issues!$B$470="","",[3]Issues!$B$470)</f>
        <v/>
      </c>
      <c r="AH467">
        <f>IF([3]Issues!$D$470="","",[3]Issues!$D$470)</f>
        <v/>
      </c>
      <c r="AI467">
        <f>IF([3]Issues!$E$470="","",[3]Issues!$E$470)</f>
        <v/>
      </c>
      <c r="AJ467">
        <f>IF([2]Entry!$S$470="","",[2]Entry!$S$470)</f>
        <v/>
      </c>
      <c r="AK467">
        <f>IF([2]Entry!$C$470="","",[2]Entry!$C$470)</f>
        <v/>
      </c>
      <c r="AL467">
        <f>IF([2]Entry!$D$470="","",[2]Entry!$D$470)</f>
        <v/>
      </c>
      <c r="AM467">
        <f>IF(AND($F467&lt;&gt;"",$I467&lt;&gt;""),IF($G467="دارایی ثابت",1,0),0)</f>
        <v/>
      </c>
      <c r="AN467">
        <f>SUM($AM$6:$AM467)</f>
        <v/>
      </c>
      <c r="AO467">
        <f>IFERROR(INDEX($F$6:$F$565,MATCH(ROW()-5,$AN$6:$AN$565,0)),"")</f>
        <v/>
      </c>
      <c r="AP467">
        <f>IF(AND($F467&lt;&gt;"",$I467&lt;&gt;""),IF($G467="وام و تسهیلات",1,0),0)</f>
        <v/>
      </c>
      <c r="AQ467">
        <f>SUM($AP$6:$AP467)</f>
        <v/>
      </c>
      <c r="AR467">
        <f>IFERROR(INDEX($F$6:$F$565,MATCH(ROW()-5,$AQ$6:$AQ$565,0)),"")</f>
        <v/>
      </c>
      <c r="AS467">
        <f>IF(AND($F467&lt;&gt;"",$I467&lt;&gt;""),IF($G467="سرمایه و آورده صاحبان",1,0),0)</f>
        <v/>
      </c>
      <c r="AT467">
        <f>SUM($AS$6:$AS467)</f>
        <v/>
      </c>
      <c r="AU467">
        <f>IFERROR(INDEX($F$6:$F$565,MATCH(ROW()-5,$AT$6:$AT$565,0)),"")</f>
        <v/>
      </c>
      <c r="AW467">
        <f>IF([3]Issues!$C$470="","",[3]Issues!$C$470)</f>
        <v/>
      </c>
      <c r="AX467">
        <f>IF([4]Entry!$E$470="","",[4]Entry!$E$470)</f>
        <v/>
      </c>
      <c r="AY467">
        <f>IF([4]Entry!$H$470="","",[4]Entry!$H$470)</f>
        <v/>
      </c>
      <c r="AZ467">
        <f>IF([4]Entry!$I$470="","",[4]Entry!$I$470)</f>
        <v/>
      </c>
    </row>
    <row r="468">
      <c r="F468">
        <f>IF([1]Accounts!$D$469="","",[1]Accounts!$A$469)</f>
        <v/>
      </c>
      <c r="G468">
        <f>IF([1]Accounts!$D$469="","",[1]Accounts!$B$469)</f>
        <v/>
      </c>
      <c r="H468">
        <f>IF([1]Accounts!$D$469="","",[1]Accounts!$C$469)</f>
        <v/>
      </c>
      <c r="I468">
        <f>IF([1]Accounts!$D$469="","",[1]Accounts!$D$469)</f>
        <v/>
      </c>
      <c r="R468">
        <f>IF(AND($F468&lt;&gt;"",$I468&lt;&gt;""),IF(OR($G468="دارایی ثابت",$G468="وام و تسهیلات",$G468="سرمایه و آورده صاحبان"),0,1),0)</f>
        <v/>
      </c>
      <c r="S468">
        <f>SUM($R$6:$R468)</f>
        <v/>
      </c>
      <c r="T468">
        <f>IFERROR(INDEX($F$6:$F$565,MATCH(ROW()-5,$S$6:$S$565,0)),"")</f>
        <v/>
      </c>
      <c r="Z468">
        <f>IF([2]Entry!$E$471="","",[2]Entry!$E$471)</f>
        <v/>
      </c>
      <c r="AA468">
        <f>IF([2]Entry!$G$471="","",[2]Entry!$G$471)</f>
        <v/>
      </c>
      <c r="AB468">
        <f>IF([2]Entry!$J$471="","",[2]Entry!$J$471)</f>
        <v/>
      </c>
      <c r="AC468">
        <f>IF([2]Entry!$K$471="","",[2]Entry!$K$471)</f>
        <v/>
      </c>
      <c r="AD468">
        <f>IF([2]Entry!$L$471="","",[2]Entry!$L$471)</f>
        <v/>
      </c>
      <c r="AE468">
        <f>IF([2]Entry!$M$471="","",[2]Entry!$M$471)</f>
        <v/>
      </c>
      <c r="AF468">
        <f>IF([2]Entry!$N$471="","",[2]Entry!$N$471)</f>
        <v/>
      </c>
      <c r="AG468">
        <f>IF([3]Issues!$B$471="","",[3]Issues!$B$471)</f>
        <v/>
      </c>
      <c r="AH468">
        <f>IF([3]Issues!$D$471="","",[3]Issues!$D$471)</f>
        <v/>
      </c>
      <c r="AI468">
        <f>IF([3]Issues!$E$471="","",[3]Issues!$E$471)</f>
        <v/>
      </c>
      <c r="AJ468">
        <f>IF([2]Entry!$S$471="","",[2]Entry!$S$471)</f>
        <v/>
      </c>
      <c r="AK468">
        <f>IF([2]Entry!$C$471="","",[2]Entry!$C$471)</f>
        <v/>
      </c>
      <c r="AL468">
        <f>IF([2]Entry!$D$471="","",[2]Entry!$D$471)</f>
        <v/>
      </c>
      <c r="AM468">
        <f>IF(AND($F468&lt;&gt;"",$I468&lt;&gt;""),IF($G468="دارایی ثابت",1,0),0)</f>
        <v/>
      </c>
      <c r="AN468">
        <f>SUM($AM$6:$AM468)</f>
        <v/>
      </c>
      <c r="AO468">
        <f>IFERROR(INDEX($F$6:$F$565,MATCH(ROW()-5,$AN$6:$AN$565,0)),"")</f>
        <v/>
      </c>
      <c r="AP468">
        <f>IF(AND($F468&lt;&gt;"",$I468&lt;&gt;""),IF($G468="وام و تسهیلات",1,0),0)</f>
        <v/>
      </c>
      <c r="AQ468">
        <f>SUM($AP$6:$AP468)</f>
        <v/>
      </c>
      <c r="AR468">
        <f>IFERROR(INDEX($F$6:$F$565,MATCH(ROW()-5,$AQ$6:$AQ$565,0)),"")</f>
        <v/>
      </c>
      <c r="AS468">
        <f>IF(AND($F468&lt;&gt;"",$I468&lt;&gt;""),IF($G468="سرمایه و آورده صاحبان",1,0),0)</f>
        <v/>
      </c>
      <c r="AT468">
        <f>SUM($AS$6:$AS468)</f>
        <v/>
      </c>
      <c r="AU468">
        <f>IFERROR(INDEX($F$6:$F$565,MATCH(ROW()-5,$AT$6:$AT$565,0)),"")</f>
        <v/>
      </c>
      <c r="AW468">
        <f>IF([3]Issues!$C$471="","",[3]Issues!$C$471)</f>
        <v/>
      </c>
      <c r="AX468">
        <f>IF([4]Entry!$E$471="","",[4]Entry!$E$471)</f>
        <v/>
      </c>
      <c r="AY468">
        <f>IF([4]Entry!$H$471="","",[4]Entry!$H$471)</f>
        <v/>
      </c>
      <c r="AZ468">
        <f>IF([4]Entry!$I$471="","",[4]Entry!$I$471)</f>
        <v/>
      </c>
    </row>
    <row r="469">
      <c r="F469">
        <f>IF([1]Accounts!$D$470="","",[1]Accounts!$A$470)</f>
        <v/>
      </c>
      <c r="G469">
        <f>IF([1]Accounts!$D$470="","",[1]Accounts!$B$470)</f>
        <v/>
      </c>
      <c r="H469">
        <f>IF([1]Accounts!$D$470="","",[1]Accounts!$C$470)</f>
        <v/>
      </c>
      <c r="I469">
        <f>IF([1]Accounts!$D$470="","",[1]Accounts!$D$470)</f>
        <v/>
      </c>
      <c r="R469">
        <f>IF(AND($F469&lt;&gt;"",$I469&lt;&gt;""),IF(OR($G469="دارایی ثابت",$G469="وام و تسهیلات",$G469="سرمایه و آورده صاحبان"),0,1),0)</f>
        <v/>
      </c>
      <c r="S469">
        <f>SUM($R$6:$R469)</f>
        <v/>
      </c>
      <c r="T469">
        <f>IFERROR(INDEX($F$6:$F$565,MATCH(ROW()-5,$S$6:$S$565,0)),"")</f>
        <v/>
      </c>
      <c r="Z469">
        <f>IF([2]Entry!$E$472="","",[2]Entry!$E$472)</f>
        <v/>
      </c>
      <c r="AA469">
        <f>IF([2]Entry!$G$472="","",[2]Entry!$G$472)</f>
        <v/>
      </c>
      <c r="AB469">
        <f>IF([2]Entry!$J$472="","",[2]Entry!$J$472)</f>
        <v/>
      </c>
      <c r="AC469">
        <f>IF([2]Entry!$K$472="","",[2]Entry!$K$472)</f>
        <v/>
      </c>
      <c r="AD469">
        <f>IF([2]Entry!$L$472="","",[2]Entry!$L$472)</f>
        <v/>
      </c>
      <c r="AE469">
        <f>IF([2]Entry!$M$472="","",[2]Entry!$M$472)</f>
        <v/>
      </c>
      <c r="AF469">
        <f>IF([2]Entry!$N$472="","",[2]Entry!$N$472)</f>
        <v/>
      </c>
      <c r="AG469">
        <f>IF([3]Issues!$B$472="","",[3]Issues!$B$472)</f>
        <v/>
      </c>
      <c r="AH469">
        <f>IF([3]Issues!$D$472="","",[3]Issues!$D$472)</f>
        <v/>
      </c>
      <c r="AI469">
        <f>IF([3]Issues!$E$472="","",[3]Issues!$E$472)</f>
        <v/>
      </c>
      <c r="AJ469">
        <f>IF([2]Entry!$S$472="","",[2]Entry!$S$472)</f>
        <v/>
      </c>
      <c r="AK469">
        <f>IF([2]Entry!$C$472="","",[2]Entry!$C$472)</f>
        <v/>
      </c>
      <c r="AL469">
        <f>IF([2]Entry!$D$472="","",[2]Entry!$D$472)</f>
        <v/>
      </c>
      <c r="AM469">
        <f>IF(AND($F469&lt;&gt;"",$I469&lt;&gt;""),IF($G469="دارایی ثابت",1,0),0)</f>
        <v/>
      </c>
      <c r="AN469">
        <f>SUM($AM$6:$AM469)</f>
        <v/>
      </c>
      <c r="AO469">
        <f>IFERROR(INDEX($F$6:$F$565,MATCH(ROW()-5,$AN$6:$AN$565,0)),"")</f>
        <v/>
      </c>
      <c r="AP469">
        <f>IF(AND($F469&lt;&gt;"",$I469&lt;&gt;""),IF($G469="وام و تسهیلات",1,0),0)</f>
        <v/>
      </c>
      <c r="AQ469">
        <f>SUM($AP$6:$AP469)</f>
        <v/>
      </c>
      <c r="AR469">
        <f>IFERROR(INDEX($F$6:$F$565,MATCH(ROW()-5,$AQ$6:$AQ$565,0)),"")</f>
        <v/>
      </c>
      <c r="AS469">
        <f>IF(AND($F469&lt;&gt;"",$I469&lt;&gt;""),IF($G469="سرمایه و آورده صاحبان",1,0),0)</f>
        <v/>
      </c>
      <c r="AT469">
        <f>SUM($AS$6:$AS469)</f>
        <v/>
      </c>
      <c r="AU469">
        <f>IFERROR(INDEX($F$6:$F$565,MATCH(ROW()-5,$AT$6:$AT$565,0)),"")</f>
        <v/>
      </c>
      <c r="AW469">
        <f>IF([3]Issues!$C$472="","",[3]Issues!$C$472)</f>
        <v/>
      </c>
      <c r="AX469">
        <f>IF([4]Entry!$E$472="","",[4]Entry!$E$472)</f>
        <v/>
      </c>
      <c r="AY469">
        <f>IF([4]Entry!$H$472="","",[4]Entry!$H$472)</f>
        <v/>
      </c>
      <c r="AZ469">
        <f>IF([4]Entry!$I$472="","",[4]Entry!$I$472)</f>
        <v/>
      </c>
    </row>
    <row r="470">
      <c r="F470">
        <f>IF([1]Accounts!$D$471="","",[1]Accounts!$A$471)</f>
        <v/>
      </c>
      <c r="G470">
        <f>IF([1]Accounts!$D$471="","",[1]Accounts!$B$471)</f>
        <v/>
      </c>
      <c r="H470">
        <f>IF([1]Accounts!$D$471="","",[1]Accounts!$C$471)</f>
        <v/>
      </c>
      <c r="I470">
        <f>IF([1]Accounts!$D$471="","",[1]Accounts!$D$471)</f>
        <v/>
      </c>
      <c r="R470">
        <f>IF(AND($F470&lt;&gt;"",$I470&lt;&gt;""),IF(OR($G470="دارایی ثابت",$G470="وام و تسهیلات",$G470="سرمایه و آورده صاحبان"),0,1),0)</f>
        <v/>
      </c>
      <c r="S470">
        <f>SUM($R$6:$R470)</f>
        <v/>
      </c>
      <c r="T470">
        <f>IFERROR(INDEX($F$6:$F$565,MATCH(ROW()-5,$S$6:$S$565,0)),"")</f>
        <v/>
      </c>
      <c r="Z470">
        <f>IF([2]Entry!$E$473="","",[2]Entry!$E$473)</f>
        <v/>
      </c>
      <c r="AA470">
        <f>IF([2]Entry!$G$473="","",[2]Entry!$G$473)</f>
        <v/>
      </c>
      <c r="AB470">
        <f>IF([2]Entry!$J$473="","",[2]Entry!$J$473)</f>
        <v/>
      </c>
      <c r="AC470">
        <f>IF([2]Entry!$K$473="","",[2]Entry!$K$473)</f>
        <v/>
      </c>
      <c r="AD470">
        <f>IF([2]Entry!$L$473="","",[2]Entry!$L$473)</f>
        <v/>
      </c>
      <c r="AE470">
        <f>IF([2]Entry!$M$473="","",[2]Entry!$M$473)</f>
        <v/>
      </c>
      <c r="AF470">
        <f>IF([2]Entry!$N$473="","",[2]Entry!$N$473)</f>
        <v/>
      </c>
      <c r="AG470">
        <f>IF([3]Issues!$B$473="","",[3]Issues!$B$473)</f>
        <v/>
      </c>
      <c r="AH470">
        <f>IF([3]Issues!$D$473="","",[3]Issues!$D$473)</f>
        <v/>
      </c>
      <c r="AI470">
        <f>IF([3]Issues!$E$473="","",[3]Issues!$E$473)</f>
        <v/>
      </c>
      <c r="AJ470">
        <f>IF([2]Entry!$S$473="","",[2]Entry!$S$473)</f>
        <v/>
      </c>
      <c r="AK470">
        <f>IF([2]Entry!$C$473="","",[2]Entry!$C$473)</f>
        <v/>
      </c>
      <c r="AL470">
        <f>IF([2]Entry!$D$473="","",[2]Entry!$D$473)</f>
        <v/>
      </c>
      <c r="AM470">
        <f>IF(AND($F470&lt;&gt;"",$I470&lt;&gt;""),IF($G470="دارایی ثابت",1,0),0)</f>
        <v/>
      </c>
      <c r="AN470">
        <f>SUM($AM$6:$AM470)</f>
        <v/>
      </c>
      <c r="AO470">
        <f>IFERROR(INDEX($F$6:$F$565,MATCH(ROW()-5,$AN$6:$AN$565,0)),"")</f>
        <v/>
      </c>
      <c r="AP470">
        <f>IF(AND($F470&lt;&gt;"",$I470&lt;&gt;""),IF($G470="وام و تسهیلات",1,0),0)</f>
        <v/>
      </c>
      <c r="AQ470">
        <f>SUM($AP$6:$AP470)</f>
        <v/>
      </c>
      <c r="AR470">
        <f>IFERROR(INDEX($F$6:$F$565,MATCH(ROW()-5,$AQ$6:$AQ$565,0)),"")</f>
        <v/>
      </c>
      <c r="AS470">
        <f>IF(AND($F470&lt;&gt;"",$I470&lt;&gt;""),IF($G470="سرمایه و آورده صاحبان",1,0),0)</f>
        <v/>
      </c>
      <c r="AT470">
        <f>SUM($AS$6:$AS470)</f>
        <v/>
      </c>
      <c r="AU470">
        <f>IFERROR(INDEX($F$6:$F$565,MATCH(ROW()-5,$AT$6:$AT$565,0)),"")</f>
        <v/>
      </c>
      <c r="AW470">
        <f>IF([3]Issues!$C$473="","",[3]Issues!$C$473)</f>
        <v/>
      </c>
      <c r="AX470">
        <f>IF([4]Entry!$E$473="","",[4]Entry!$E$473)</f>
        <v/>
      </c>
      <c r="AY470">
        <f>IF([4]Entry!$H$473="","",[4]Entry!$H$473)</f>
        <v/>
      </c>
      <c r="AZ470">
        <f>IF([4]Entry!$I$473="","",[4]Entry!$I$473)</f>
        <v/>
      </c>
    </row>
    <row r="471">
      <c r="F471">
        <f>IF([1]Accounts!$D$472="","",[1]Accounts!$A$472)</f>
        <v/>
      </c>
      <c r="G471">
        <f>IF([1]Accounts!$D$472="","",[1]Accounts!$B$472)</f>
        <v/>
      </c>
      <c r="H471">
        <f>IF([1]Accounts!$D$472="","",[1]Accounts!$C$472)</f>
        <v/>
      </c>
      <c r="I471">
        <f>IF([1]Accounts!$D$472="","",[1]Accounts!$D$472)</f>
        <v/>
      </c>
      <c r="R471">
        <f>IF(AND($F471&lt;&gt;"",$I471&lt;&gt;""),IF(OR($G471="دارایی ثابت",$G471="وام و تسهیلات",$G471="سرمایه و آورده صاحبان"),0,1),0)</f>
        <v/>
      </c>
      <c r="S471">
        <f>SUM($R$6:$R471)</f>
        <v/>
      </c>
      <c r="T471">
        <f>IFERROR(INDEX($F$6:$F$565,MATCH(ROW()-5,$S$6:$S$565,0)),"")</f>
        <v/>
      </c>
      <c r="Z471">
        <f>IF([2]Entry!$E$474="","",[2]Entry!$E$474)</f>
        <v/>
      </c>
      <c r="AA471">
        <f>IF([2]Entry!$G$474="","",[2]Entry!$G$474)</f>
        <v/>
      </c>
      <c r="AB471">
        <f>IF([2]Entry!$J$474="","",[2]Entry!$J$474)</f>
        <v/>
      </c>
      <c r="AC471">
        <f>IF([2]Entry!$K$474="","",[2]Entry!$K$474)</f>
        <v/>
      </c>
      <c r="AD471">
        <f>IF([2]Entry!$L$474="","",[2]Entry!$L$474)</f>
        <v/>
      </c>
      <c r="AE471">
        <f>IF([2]Entry!$M$474="","",[2]Entry!$M$474)</f>
        <v/>
      </c>
      <c r="AF471">
        <f>IF([2]Entry!$N$474="","",[2]Entry!$N$474)</f>
        <v/>
      </c>
      <c r="AG471">
        <f>IF([3]Issues!$B$474="","",[3]Issues!$B$474)</f>
        <v/>
      </c>
      <c r="AH471">
        <f>IF([3]Issues!$D$474="","",[3]Issues!$D$474)</f>
        <v/>
      </c>
      <c r="AI471">
        <f>IF([3]Issues!$E$474="","",[3]Issues!$E$474)</f>
        <v/>
      </c>
      <c r="AJ471">
        <f>IF([2]Entry!$S$474="","",[2]Entry!$S$474)</f>
        <v/>
      </c>
      <c r="AK471">
        <f>IF([2]Entry!$C$474="","",[2]Entry!$C$474)</f>
        <v/>
      </c>
      <c r="AL471">
        <f>IF([2]Entry!$D$474="","",[2]Entry!$D$474)</f>
        <v/>
      </c>
      <c r="AM471">
        <f>IF(AND($F471&lt;&gt;"",$I471&lt;&gt;""),IF($G471="دارایی ثابت",1,0),0)</f>
        <v/>
      </c>
      <c r="AN471">
        <f>SUM($AM$6:$AM471)</f>
        <v/>
      </c>
      <c r="AO471">
        <f>IFERROR(INDEX($F$6:$F$565,MATCH(ROW()-5,$AN$6:$AN$565,0)),"")</f>
        <v/>
      </c>
      <c r="AP471">
        <f>IF(AND($F471&lt;&gt;"",$I471&lt;&gt;""),IF($G471="وام و تسهیلات",1,0),0)</f>
        <v/>
      </c>
      <c r="AQ471">
        <f>SUM($AP$6:$AP471)</f>
        <v/>
      </c>
      <c r="AR471">
        <f>IFERROR(INDEX($F$6:$F$565,MATCH(ROW()-5,$AQ$6:$AQ$565,0)),"")</f>
        <v/>
      </c>
      <c r="AS471">
        <f>IF(AND($F471&lt;&gt;"",$I471&lt;&gt;""),IF($G471="سرمایه و آورده صاحبان",1,0),0)</f>
        <v/>
      </c>
      <c r="AT471">
        <f>SUM($AS$6:$AS471)</f>
        <v/>
      </c>
      <c r="AU471">
        <f>IFERROR(INDEX($F$6:$F$565,MATCH(ROW()-5,$AT$6:$AT$565,0)),"")</f>
        <v/>
      </c>
      <c r="AW471">
        <f>IF([3]Issues!$C$474="","",[3]Issues!$C$474)</f>
        <v/>
      </c>
      <c r="AX471">
        <f>IF([4]Entry!$E$474="","",[4]Entry!$E$474)</f>
        <v/>
      </c>
      <c r="AY471">
        <f>IF([4]Entry!$H$474="","",[4]Entry!$H$474)</f>
        <v/>
      </c>
      <c r="AZ471">
        <f>IF([4]Entry!$I$474="","",[4]Entry!$I$474)</f>
        <v/>
      </c>
    </row>
    <row r="472">
      <c r="F472">
        <f>IF([1]Accounts!$D$473="","",[1]Accounts!$A$473)</f>
        <v/>
      </c>
      <c r="G472">
        <f>IF([1]Accounts!$D$473="","",[1]Accounts!$B$473)</f>
        <v/>
      </c>
      <c r="H472">
        <f>IF([1]Accounts!$D$473="","",[1]Accounts!$C$473)</f>
        <v/>
      </c>
      <c r="I472">
        <f>IF([1]Accounts!$D$473="","",[1]Accounts!$D$473)</f>
        <v/>
      </c>
      <c r="R472">
        <f>IF(AND($F472&lt;&gt;"",$I472&lt;&gt;""),IF(OR($G472="دارایی ثابت",$G472="وام و تسهیلات",$G472="سرمایه و آورده صاحبان"),0,1),0)</f>
        <v/>
      </c>
      <c r="S472">
        <f>SUM($R$6:$R472)</f>
        <v/>
      </c>
      <c r="T472">
        <f>IFERROR(INDEX($F$6:$F$565,MATCH(ROW()-5,$S$6:$S$565,0)),"")</f>
        <v/>
      </c>
      <c r="Z472">
        <f>IF([2]Entry!$E$475="","",[2]Entry!$E$475)</f>
        <v/>
      </c>
      <c r="AA472">
        <f>IF([2]Entry!$G$475="","",[2]Entry!$G$475)</f>
        <v/>
      </c>
      <c r="AB472">
        <f>IF([2]Entry!$J$475="","",[2]Entry!$J$475)</f>
        <v/>
      </c>
      <c r="AC472">
        <f>IF([2]Entry!$K$475="","",[2]Entry!$K$475)</f>
        <v/>
      </c>
      <c r="AD472">
        <f>IF([2]Entry!$L$475="","",[2]Entry!$L$475)</f>
        <v/>
      </c>
      <c r="AE472">
        <f>IF([2]Entry!$M$475="","",[2]Entry!$M$475)</f>
        <v/>
      </c>
      <c r="AF472">
        <f>IF([2]Entry!$N$475="","",[2]Entry!$N$475)</f>
        <v/>
      </c>
      <c r="AG472">
        <f>IF([3]Issues!$B$475="","",[3]Issues!$B$475)</f>
        <v/>
      </c>
      <c r="AH472">
        <f>IF([3]Issues!$D$475="","",[3]Issues!$D$475)</f>
        <v/>
      </c>
      <c r="AI472">
        <f>IF([3]Issues!$E$475="","",[3]Issues!$E$475)</f>
        <v/>
      </c>
      <c r="AJ472">
        <f>IF([2]Entry!$S$475="","",[2]Entry!$S$475)</f>
        <v/>
      </c>
      <c r="AK472">
        <f>IF([2]Entry!$C$475="","",[2]Entry!$C$475)</f>
        <v/>
      </c>
      <c r="AL472">
        <f>IF([2]Entry!$D$475="","",[2]Entry!$D$475)</f>
        <v/>
      </c>
      <c r="AM472">
        <f>IF(AND($F472&lt;&gt;"",$I472&lt;&gt;""),IF($G472="دارایی ثابت",1,0),0)</f>
        <v/>
      </c>
      <c r="AN472">
        <f>SUM($AM$6:$AM472)</f>
        <v/>
      </c>
      <c r="AO472">
        <f>IFERROR(INDEX($F$6:$F$565,MATCH(ROW()-5,$AN$6:$AN$565,0)),"")</f>
        <v/>
      </c>
      <c r="AP472">
        <f>IF(AND($F472&lt;&gt;"",$I472&lt;&gt;""),IF($G472="وام و تسهیلات",1,0),0)</f>
        <v/>
      </c>
      <c r="AQ472">
        <f>SUM($AP$6:$AP472)</f>
        <v/>
      </c>
      <c r="AR472">
        <f>IFERROR(INDEX($F$6:$F$565,MATCH(ROW()-5,$AQ$6:$AQ$565,0)),"")</f>
        <v/>
      </c>
      <c r="AS472">
        <f>IF(AND($F472&lt;&gt;"",$I472&lt;&gt;""),IF($G472="سرمایه و آورده صاحبان",1,0),0)</f>
        <v/>
      </c>
      <c r="AT472">
        <f>SUM($AS$6:$AS472)</f>
        <v/>
      </c>
      <c r="AU472">
        <f>IFERROR(INDEX($F$6:$F$565,MATCH(ROW()-5,$AT$6:$AT$565,0)),"")</f>
        <v/>
      </c>
      <c r="AW472">
        <f>IF([3]Issues!$C$475="","",[3]Issues!$C$475)</f>
        <v/>
      </c>
      <c r="AX472">
        <f>IF([4]Entry!$E$475="","",[4]Entry!$E$475)</f>
        <v/>
      </c>
      <c r="AY472">
        <f>IF([4]Entry!$H$475="","",[4]Entry!$H$475)</f>
        <v/>
      </c>
      <c r="AZ472">
        <f>IF([4]Entry!$I$475="","",[4]Entry!$I$475)</f>
        <v/>
      </c>
    </row>
    <row r="473">
      <c r="F473">
        <f>IF([1]Accounts!$D$474="","",[1]Accounts!$A$474)</f>
        <v/>
      </c>
      <c r="G473">
        <f>IF([1]Accounts!$D$474="","",[1]Accounts!$B$474)</f>
        <v/>
      </c>
      <c r="H473">
        <f>IF([1]Accounts!$D$474="","",[1]Accounts!$C$474)</f>
        <v/>
      </c>
      <c r="I473">
        <f>IF([1]Accounts!$D$474="","",[1]Accounts!$D$474)</f>
        <v/>
      </c>
      <c r="R473">
        <f>IF(AND($F473&lt;&gt;"",$I473&lt;&gt;""),IF(OR($G473="دارایی ثابت",$G473="وام و تسهیلات",$G473="سرمایه و آورده صاحبان"),0,1),0)</f>
        <v/>
      </c>
      <c r="S473">
        <f>SUM($R$6:$R473)</f>
        <v/>
      </c>
      <c r="T473">
        <f>IFERROR(INDEX($F$6:$F$565,MATCH(ROW()-5,$S$6:$S$565,0)),"")</f>
        <v/>
      </c>
      <c r="Z473">
        <f>IF([2]Entry!$E$476="","",[2]Entry!$E$476)</f>
        <v/>
      </c>
      <c r="AA473">
        <f>IF([2]Entry!$G$476="","",[2]Entry!$G$476)</f>
        <v/>
      </c>
      <c r="AB473">
        <f>IF([2]Entry!$J$476="","",[2]Entry!$J$476)</f>
        <v/>
      </c>
      <c r="AC473">
        <f>IF([2]Entry!$K$476="","",[2]Entry!$K$476)</f>
        <v/>
      </c>
      <c r="AD473">
        <f>IF([2]Entry!$L$476="","",[2]Entry!$L$476)</f>
        <v/>
      </c>
      <c r="AE473">
        <f>IF([2]Entry!$M$476="","",[2]Entry!$M$476)</f>
        <v/>
      </c>
      <c r="AF473">
        <f>IF([2]Entry!$N$476="","",[2]Entry!$N$476)</f>
        <v/>
      </c>
      <c r="AG473">
        <f>IF([3]Issues!$B$476="","",[3]Issues!$B$476)</f>
        <v/>
      </c>
      <c r="AH473">
        <f>IF([3]Issues!$D$476="","",[3]Issues!$D$476)</f>
        <v/>
      </c>
      <c r="AI473">
        <f>IF([3]Issues!$E$476="","",[3]Issues!$E$476)</f>
        <v/>
      </c>
      <c r="AJ473">
        <f>IF([2]Entry!$S$476="","",[2]Entry!$S$476)</f>
        <v/>
      </c>
      <c r="AK473">
        <f>IF([2]Entry!$C$476="","",[2]Entry!$C$476)</f>
        <v/>
      </c>
      <c r="AL473">
        <f>IF([2]Entry!$D$476="","",[2]Entry!$D$476)</f>
        <v/>
      </c>
      <c r="AM473">
        <f>IF(AND($F473&lt;&gt;"",$I473&lt;&gt;""),IF($G473="دارایی ثابت",1,0),0)</f>
        <v/>
      </c>
      <c r="AN473">
        <f>SUM($AM$6:$AM473)</f>
        <v/>
      </c>
      <c r="AO473">
        <f>IFERROR(INDEX($F$6:$F$565,MATCH(ROW()-5,$AN$6:$AN$565,0)),"")</f>
        <v/>
      </c>
      <c r="AP473">
        <f>IF(AND($F473&lt;&gt;"",$I473&lt;&gt;""),IF($G473="وام و تسهیلات",1,0),0)</f>
        <v/>
      </c>
      <c r="AQ473">
        <f>SUM($AP$6:$AP473)</f>
        <v/>
      </c>
      <c r="AR473">
        <f>IFERROR(INDEX($F$6:$F$565,MATCH(ROW()-5,$AQ$6:$AQ$565,0)),"")</f>
        <v/>
      </c>
      <c r="AS473">
        <f>IF(AND($F473&lt;&gt;"",$I473&lt;&gt;""),IF($G473="سرمایه و آورده صاحبان",1,0),0)</f>
        <v/>
      </c>
      <c r="AT473">
        <f>SUM($AS$6:$AS473)</f>
        <v/>
      </c>
      <c r="AU473">
        <f>IFERROR(INDEX($F$6:$F$565,MATCH(ROW()-5,$AT$6:$AT$565,0)),"")</f>
        <v/>
      </c>
      <c r="AW473">
        <f>IF([3]Issues!$C$476="","",[3]Issues!$C$476)</f>
        <v/>
      </c>
      <c r="AX473">
        <f>IF([4]Entry!$E$476="","",[4]Entry!$E$476)</f>
        <v/>
      </c>
      <c r="AY473">
        <f>IF([4]Entry!$H$476="","",[4]Entry!$H$476)</f>
        <v/>
      </c>
      <c r="AZ473">
        <f>IF([4]Entry!$I$476="","",[4]Entry!$I$476)</f>
        <v/>
      </c>
    </row>
    <row r="474">
      <c r="F474">
        <f>IF([1]Accounts!$D$475="","",[1]Accounts!$A$475)</f>
        <v/>
      </c>
      <c r="G474">
        <f>IF([1]Accounts!$D$475="","",[1]Accounts!$B$475)</f>
        <v/>
      </c>
      <c r="H474">
        <f>IF([1]Accounts!$D$475="","",[1]Accounts!$C$475)</f>
        <v/>
      </c>
      <c r="I474">
        <f>IF([1]Accounts!$D$475="","",[1]Accounts!$D$475)</f>
        <v/>
      </c>
      <c r="R474">
        <f>IF(AND($F474&lt;&gt;"",$I474&lt;&gt;""),IF(OR($G474="دارایی ثابت",$G474="وام و تسهیلات",$G474="سرمایه و آورده صاحبان"),0,1),0)</f>
        <v/>
      </c>
      <c r="S474">
        <f>SUM($R$6:$R474)</f>
        <v/>
      </c>
      <c r="T474">
        <f>IFERROR(INDEX($F$6:$F$565,MATCH(ROW()-5,$S$6:$S$565,0)),"")</f>
        <v/>
      </c>
      <c r="Z474">
        <f>IF([2]Entry!$E$477="","",[2]Entry!$E$477)</f>
        <v/>
      </c>
      <c r="AA474">
        <f>IF([2]Entry!$G$477="","",[2]Entry!$G$477)</f>
        <v/>
      </c>
      <c r="AB474">
        <f>IF([2]Entry!$J$477="","",[2]Entry!$J$477)</f>
        <v/>
      </c>
      <c r="AC474">
        <f>IF([2]Entry!$K$477="","",[2]Entry!$K$477)</f>
        <v/>
      </c>
      <c r="AD474">
        <f>IF([2]Entry!$L$477="","",[2]Entry!$L$477)</f>
        <v/>
      </c>
      <c r="AE474">
        <f>IF([2]Entry!$M$477="","",[2]Entry!$M$477)</f>
        <v/>
      </c>
      <c r="AF474">
        <f>IF([2]Entry!$N$477="","",[2]Entry!$N$477)</f>
        <v/>
      </c>
      <c r="AG474">
        <f>IF([3]Issues!$B$477="","",[3]Issues!$B$477)</f>
        <v/>
      </c>
      <c r="AH474">
        <f>IF([3]Issues!$D$477="","",[3]Issues!$D$477)</f>
        <v/>
      </c>
      <c r="AI474">
        <f>IF([3]Issues!$E$477="","",[3]Issues!$E$477)</f>
        <v/>
      </c>
      <c r="AJ474">
        <f>IF([2]Entry!$S$477="","",[2]Entry!$S$477)</f>
        <v/>
      </c>
      <c r="AK474">
        <f>IF([2]Entry!$C$477="","",[2]Entry!$C$477)</f>
        <v/>
      </c>
      <c r="AL474">
        <f>IF([2]Entry!$D$477="","",[2]Entry!$D$477)</f>
        <v/>
      </c>
      <c r="AM474">
        <f>IF(AND($F474&lt;&gt;"",$I474&lt;&gt;""),IF($G474="دارایی ثابت",1,0),0)</f>
        <v/>
      </c>
      <c r="AN474">
        <f>SUM($AM$6:$AM474)</f>
        <v/>
      </c>
      <c r="AO474">
        <f>IFERROR(INDEX($F$6:$F$565,MATCH(ROW()-5,$AN$6:$AN$565,0)),"")</f>
        <v/>
      </c>
      <c r="AP474">
        <f>IF(AND($F474&lt;&gt;"",$I474&lt;&gt;""),IF($G474="وام و تسهیلات",1,0),0)</f>
        <v/>
      </c>
      <c r="AQ474">
        <f>SUM($AP$6:$AP474)</f>
        <v/>
      </c>
      <c r="AR474">
        <f>IFERROR(INDEX($F$6:$F$565,MATCH(ROW()-5,$AQ$6:$AQ$565,0)),"")</f>
        <v/>
      </c>
      <c r="AS474">
        <f>IF(AND($F474&lt;&gt;"",$I474&lt;&gt;""),IF($G474="سرمایه و آورده صاحبان",1,0),0)</f>
        <v/>
      </c>
      <c r="AT474">
        <f>SUM($AS$6:$AS474)</f>
        <v/>
      </c>
      <c r="AU474">
        <f>IFERROR(INDEX($F$6:$F$565,MATCH(ROW()-5,$AT$6:$AT$565,0)),"")</f>
        <v/>
      </c>
      <c r="AW474">
        <f>IF([3]Issues!$C$477="","",[3]Issues!$C$477)</f>
        <v/>
      </c>
      <c r="AX474">
        <f>IF([4]Entry!$E$477="","",[4]Entry!$E$477)</f>
        <v/>
      </c>
      <c r="AY474">
        <f>IF([4]Entry!$H$477="","",[4]Entry!$H$477)</f>
        <v/>
      </c>
      <c r="AZ474">
        <f>IF([4]Entry!$I$477="","",[4]Entry!$I$477)</f>
        <v/>
      </c>
    </row>
    <row r="475">
      <c r="F475">
        <f>IF([1]Accounts!$D$476="","",[1]Accounts!$A$476)</f>
        <v/>
      </c>
      <c r="G475">
        <f>IF([1]Accounts!$D$476="","",[1]Accounts!$B$476)</f>
        <v/>
      </c>
      <c r="H475">
        <f>IF([1]Accounts!$D$476="","",[1]Accounts!$C$476)</f>
        <v/>
      </c>
      <c r="I475">
        <f>IF([1]Accounts!$D$476="","",[1]Accounts!$D$476)</f>
        <v/>
      </c>
      <c r="R475">
        <f>IF(AND($F475&lt;&gt;"",$I475&lt;&gt;""),IF(OR($G475="دارایی ثابت",$G475="وام و تسهیلات",$G475="سرمایه و آورده صاحبان"),0,1),0)</f>
        <v/>
      </c>
      <c r="S475">
        <f>SUM($R$6:$R475)</f>
        <v/>
      </c>
      <c r="T475">
        <f>IFERROR(INDEX($F$6:$F$565,MATCH(ROW()-5,$S$6:$S$565,0)),"")</f>
        <v/>
      </c>
      <c r="Z475">
        <f>IF([2]Entry!$E$478="","",[2]Entry!$E$478)</f>
        <v/>
      </c>
      <c r="AA475">
        <f>IF([2]Entry!$G$478="","",[2]Entry!$G$478)</f>
        <v/>
      </c>
      <c r="AB475">
        <f>IF([2]Entry!$J$478="","",[2]Entry!$J$478)</f>
        <v/>
      </c>
      <c r="AC475">
        <f>IF([2]Entry!$K$478="","",[2]Entry!$K$478)</f>
        <v/>
      </c>
      <c r="AD475">
        <f>IF([2]Entry!$L$478="","",[2]Entry!$L$478)</f>
        <v/>
      </c>
      <c r="AE475">
        <f>IF([2]Entry!$M$478="","",[2]Entry!$M$478)</f>
        <v/>
      </c>
      <c r="AF475">
        <f>IF([2]Entry!$N$478="","",[2]Entry!$N$478)</f>
        <v/>
      </c>
      <c r="AG475">
        <f>IF([3]Issues!$B$478="","",[3]Issues!$B$478)</f>
        <v/>
      </c>
      <c r="AH475">
        <f>IF([3]Issues!$D$478="","",[3]Issues!$D$478)</f>
        <v/>
      </c>
      <c r="AI475">
        <f>IF([3]Issues!$E$478="","",[3]Issues!$E$478)</f>
        <v/>
      </c>
      <c r="AJ475">
        <f>IF([2]Entry!$S$478="","",[2]Entry!$S$478)</f>
        <v/>
      </c>
      <c r="AK475">
        <f>IF([2]Entry!$C$478="","",[2]Entry!$C$478)</f>
        <v/>
      </c>
      <c r="AL475">
        <f>IF([2]Entry!$D$478="","",[2]Entry!$D$478)</f>
        <v/>
      </c>
      <c r="AM475">
        <f>IF(AND($F475&lt;&gt;"",$I475&lt;&gt;""),IF($G475="دارایی ثابت",1,0),0)</f>
        <v/>
      </c>
      <c r="AN475">
        <f>SUM($AM$6:$AM475)</f>
        <v/>
      </c>
      <c r="AO475">
        <f>IFERROR(INDEX($F$6:$F$565,MATCH(ROW()-5,$AN$6:$AN$565,0)),"")</f>
        <v/>
      </c>
      <c r="AP475">
        <f>IF(AND($F475&lt;&gt;"",$I475&lt;&gt;""),IF($G475="وام و تسهیلات",1,0),0)</f>
        <v/>
      </c>
      <c r="AQ475">
        <f>SUM($AP$6:$AP475)</f>
        <v/>
      </c>
      <c r="AR475">
        <f>IFERROR(INDEX($F$6:$F$565,MATCH(ROW()-5,$AQ$6:$AQ$565,0)),"")</f>
        <v/>
      </c>
      <c r="AS475">
        <f>IF(AND($F475&lt;&gt;"",$I475&lt;&gt;""),IF($G475="سرمایه و آورده صاحبان",1,0),0)</f>
        <v/>
      </c>
      <c r="AT475">
        <f>SUM($AS$6:$AS475)</f>
        <v/>
      </c>
      <c r="AU475">
        <f>IFERROR(INDEX($F$6:$F$565,MATCH(ROW()-5,$AT$6:$AT$565,0)),"")</f>
        <v/>
      </c>
      <c r="AW475">
        <f>IF([3]Issues!$C$478="","",[3]Issues!$C$478)</f>
        <v/>
      </c>
      <c r="AX475">
        <f>IF([4]Entry!$E$478="","",[4]Entry!$E$478)</f>
        <v/>
      </c>
      <c r="AY475">
        <f>IF([4]Entry!$H$478="","",[4]Entry!$H$478)</f>
        <v/>
      </c>
      <c r="AZ475">
        <f>IF([4]Entry!$I$478="","",[4]Entry!$I$478)</f>
        <v/>
      </c>
    </row>
    <row r="476">
      <c r="F476">
        <f>IF([1]Accounts!$D$477="","",[1]Accounts!$A$477)</f>
        <v/>
      </c>
      <c r="G476">
        <f>IF([1]Accounts!$D$477="","",[1]Accounts!$B$477)</f>
        <v/>
      </c>
      <c r="H476">
        <f>IF([1]Accounts!$D$477="","",[1]Accounts!$C$477)</f>
        <v/>
      </c>
      <c r="I476">
        <f>IF([1]Accounts!$D$477="","",[1]Accounts!$D$477)</f>
        <v/>
      </c>
      <c r="R476">
        <f>IF(AND($F476&lt;&gt;"",$I476&lt;&gt;""),IF(OR($G476="دارایی ثابت",$G476="وام و تسهیلات",$G476="سرمایه و آورده صاحبان"),0,1),0)</f>
        <v/>
      </c>
      <c r="S476">
        <f>SUM($R$6:$R476)</f>
        <v/>
      </c>
      <c r="T476">
        <f>IFERROR(INDEX($F$6:$F$565,MATCH(ROW()-5,$S$6:$S$565,0)),"")</f>
        <v/>
      </c>
      <c r="Z476">
        <f>IF([2]Entry!$E$479="","",[2]Entry!$E$479)</f>
        <v/>
      </c>
      <c r="AA476">
        <f>IF([2]Entry!$G$479="","",[2]Entry!$G$479)</f>
        <v/>
      </c>
      <c r="AB476">
        <f>IF([2]Entry!$J$479="","",[2]Entry!$J$479)</f>
        <v/>
      </c>
      <c r="AC476">
        <f>IF([2]Entry!$K$479="","",[2]Entry!$K$479)</f>
        <v/>
      </c>
      <c r="AD476">
        <f>IF([2]Entry!$L$479="","",[2]Entry!$L$479)</f>
        <v/>
      </c>
      <c r="AE476">
        <f>IF([2]Entry!$M$479="","",[2]Entry!$M$479)</f>
        <v/>
      </c>
      <c r="AF476">
        <f>IF([2]Entry!$N$479="","",[2]Entry!$N$479)</f>
        <v/>
      </c>
      <c r="AG476">
        <f>IF([3]Issues!$B$479="","",[3]Issues!$B$479)</f>
        <v/>
      </c>
      <c r="AH476">
        <f>IF([3]Issues!$D$479="","",[3]Issues!$D$479)</f>
        <v/>
      </c>
      <c r="AI476">
        <f>IF([3]Issues!$E$479="","",[3]Issues!$E$479)</f>
        <v/>
      </c>
      <c r="AJ476">
        <f>IF([2]Entry!$S$479="","",[2]Entry!$S$479)</f>
        <v/>
      </c>
      <c r="AK476">
        <f>IF([2]Entry!$C$479="","",[2]Entry!$C$479)</f>
        <v/>
      </c>
      <c r="AL476">
        <f>IF([2]Entry!$D$479="","",[2]Entry!$D$479)</f>
        <v/>
      </c>
      <c r="AM476">
        <f>IF(AND($F476&lt;&gt;"",$I476&lt;&gt;""),IF($G476="دارایی ثابت",1,0),0)</f>
        <v/>
      </c>
      <c r="AN476">
        <f>SUM($AM$6:$AM476)</f>
        <v/>
      </c>
      <c r="AO476">
        <f>IFERROR(INDEX($F$6:$F$565,MATCH(ROW()-5,$AN$6:$AN$565,0)),"")</f>
        <v/>
      </c>
      <c r="AP476">
        <f>IF(AND($F476&lt;&gt;"",$I476&lt;&gt;""),IF($G476="وام و تسهیلات",1,0),0)</f>
        <v/>
      </c>
      <c r="AQ476">
        <f>SUM($AP$6:$AP476)</f>
        <v/>
      </c>
      <c r="AR476">
        <f>IFERROR(INDEX($F$6:$F$565,MATCH(ROW()-5,$AQ$6:$AQ$565,0)),"")</f>
        <v/>
      </c>
      <c r="AS476">
        <f>IF(AND($F476&lt;&gt;"",$I476&lt;&gt;""),IF($G476="سرمایه و آورده صاحبان",1,0),0)</f>
        <v/>
      </c>
      <c r="AT476">
        <f>SUM($AS$6:$AS476)</f>
        <v/>
      </c>
      <c r="AU476">
        <f>IFERROR(INDEX($F$6:$F$565,MATCH(ROW()-5,$AT$6:$AT$565,0)),"")</f>
        <v/>
      </c>
      <c r="AW476">
        <f>IF([3]Issues!$C$479="","",[3]Issues!$C$479)</f>
        <v/>
      </c>
      <c r="AX476">
        <f>IF([4]Entry!$E$479="","",[4]Entry!$E$479)</f>
        <v/>
      </c>
      <c r="AY476">
        <f>IF([4]Entry!$H$479="","",[4]Entry!$H$479)</f>
        <v/>
      </c>
      <c r="AZ476">
        <f>IF([4]Entry!$I$479="","",[4]Entry!$I$479)</f>
        <v/>
      </c>
    </row>
    <row r="477">
      <c r="F477">
        <f>IF([1]Accounts!$D$478="","",[1]Accounts!$A$478)</f>
        <v/>
      </c>
      <c r="G477">
        <f>IF([1]Accounts!$D$478="","",[1]Accounts!$B$478)</f>
        <v/>
      </c>
      <c r="H477">
        <f>IF([1]Accounts!$D$478="","",[1]Accounts!$C$478)</f>
        <v/>
      </c>
      <c r="I477">
        <f>IF([1]Accounts!$D$478="","",[1]Accounts!$D$478)</f>
        <v/>
      </c>
      <c r="R477">
        <f>IF(AND($F477&lt;&gt;"",$I477&lt;&gt;""),IF(OR($G477="دارایی ثابت",$G477="وام و تسهیلات",$G477="سرمایه و آورده صاحبان"),0,1),0)</f>
        <v/>
      </c>
      <c r="S477">
        <f>SUM($R$6:$R477)</f>
        <v/>
      </c>
      <c r="T477">
        <f>IFERROR(INDEX($F$6:$F$565,MATCH(ROW()-5,$S$6:$S$565,0)),"")</f>
        <v/>
      </c>
      <c r="Z477">
        <f>IF([2]Entry!$E$480="","",[2]Entry!$E$480)</f>
        <v/>
      </c>
      <c r="AA477">
        <f>IF([2]Entry!$G$480="","",[2]Entry!$G$480)</f>
        <v/>
      </c>
      <c r="AB477">
        <f>IF([2]Entry!$J$480="","",[2]Entry!$J$480)</f>
        <v/>
      </c>
      <c r="AC477">
        <f>IF([2]Entry!$K$480="","",[2]Entry!$K$480)</f>
        <v/>
      </c>
      <c r="AD477">
        <f>IF([2]Entry!$L$480="","",[2]Entry!$L$480)</f>
        <v/>
      </c>
      <c r="AE477">
        <f>IF([2]Entry!$M$480="","",[2]Entry!$M$480)</f>
        <v/>
      </c>
      <c r="AF477">
        <f>IF([2]Entry!$N$480="","",[2]Entry!$N$480)</f>
        <v/>
      </c>
      <c r="AG477">
        <f>IF([3]Issues!$B$480="","",[3]Issues!$B$480)</f>
        <v/>
      </c>
      <c r="AH477">
        <f>IF([3]Issues!$D$480="","",[3]Issues!$D$480)</f>
        <v/>
      </c>
      <c r="AI477">
        <f>IF([3]Issues!$E$480="","",[3]Issues!$E$480)</f>
        <v/>
      </c>
      <c r="AJ477">
        <f>IF([2]Entry!$S$480="","",[2]Entry!$S$480)</f>
        <v/>
      </c>
      <c r="AK477">
        <f>IF([2]Entry!$C$480="","",[2]Entry!$C$480)</f>
        <v/>
      </c>
      <c r="AL477">
        <f>IF([2]Entry!$D$480="","",[2]Entry!$D$480)</f>
        <v/>
      </c>
      <c r="AM477">
        <f>IF(AND($F477&lt;&gt;"",$I477&lt;&gt;""),IF($G477="دارایی ثابت",1,0),0)</f>
        <v/>
      </c>
      <c r="AN477">
        <f>SUM($AM$6:$AM477)</f>
        <v/>
      </c>
      <c r="AO477">
        <f>IFERROR(INDEX($F$6:$F$565,MATCH(ROW()-5,$AN$6:$AN$565,0)),"")</f>
        <v/>
      </c>
      <c r="AP477">
        <f>IF(AND($F477&lt;&gt;"",$I477&lt;&gt;""),IF($G477="وام و تسهیلات",1,0),0)</f>
        <v/>
      </c>
      <c r="AQ477">
        <f>SUM($AP$6:$AP477)</f>
        <v/>
      </c>
      <c r="AR477">
        <f>IFERROR(INDEX($F$6:$F$565,MATCH(ROW()-5,$AQ$6:$AQ$565,0)),"")</f>
        <v/>
      </c>
      <c r="AS477">
        <f>IF(AND($F477&lt;&gt;"",$I477&lt;&gt;""),IF($G477="سرمایه و آورده صاحبان",1,0),0)</f>
        <v/>
      </c>
      <c r="AT477">
        <f>SUM($AS$6:$AS477)</f>
        <v/>
      </c>
      <c r="AU477">
        <f>IFERROR(INDEX($F$6:$F$565,MATCH(ROW()-5,$AT$6:$AT$565,0)),"")</f>
        <v/>
      </c>
      <c r="AW477">
        <f>IF([3]Issues!$C$480="","",[3]Issues!$C$480)</f>
        <v/>
      </c>
      <c r="AX477">
        <f>IF([4]Entry!$E$480="","",[4]Entry!$E$480)</f>
        <v/>
      </c>
      <c r="AY477">
        <f>IF([4]Entry!$H$480="","",[4]Entry!$H$480)</f>
        <v/>
      </c>
      <c r="AZ477">
        <f>IF([4]Entry!$I$480="","",[4]Entry!$I$480)</f>
        <v/>
      </c>
    </row>
    <row r="478">
      <c r="F478">
        <f>IF([1]Accounts!$D$479="","",[1]Accounts!$A$479)</f>
        <v/>
      </c>
      <c r="G478">
        <f>IF([1]Accounts!$D$479="","",[1]Accounts!$B$479)</f>
        <v/>
      </c>
      <c r="H478">
        <f>IF([1]Accounts!$D$479="","",[1]Accounts!$C$479)</f>
        <v/>
      </c>
      <c r="I478">
        <f>IF([1]Accounts!$D$479="","",[1]Accounts!$D$479)</f>
        <v/>
      </c>
      <c r="R478">
        <f>IF(AND($F478&lt;&gt;"",$I478&lt;&gt;""),IF(OR($G478="دارایی ثابت",$G478="وام و تسهیلات",$G478="سرمایه و آورده صاحبان"),0,1),0)</f>
        <v/>
      </c>
      <c r="S478">
        <f>SUM($R$6:$R478)</f>
        <v/>
      </c>
      <c r="T478">
        <f>IFERROR(INDEX($F$6:$F$565,MATCH(ROW()-5,$S$6:$S$565,0)),"")</f>
        <v/>
      </c>
      <c r="Z478">
        <f>IF([2]Entry!$E$481="","",[2]Entry!$E$481)</f>
        <v/>
      </c>
      <c r="AA478">
        <f>IF([2]Entry!$G$481="","",[2]Entry!$G$481)</f>
        <v/>
      </c>
      <c r="AB478">
        <f>IF([2]Entry!$J$481="","",[2]Entry!$J$481)</f>
        <v/>
      </c>
      <c r="AC478">
        <f>IF([2]Entry!$K$481="","",[2]Entry!$K$481)</f>
        <v/>
      </c>
      <c r="AD478">
        <f>IF([2]Entry!$L$481="","",[2]Entry!$L$481)</f>
        <v/>
      </c>
      <c r="AE478">
        <f>IF([2]Entry!$M$481="","",[2]Entry!$M$481)</f>
        <v/>
      </c>
      <c r="AF478">
        <f>IF([2]Entry!$N$481="","",[2]Entry!$N$481)</f>
        <v/>
      </c>
      <c r="AG478">
        <f>IF([3]Issues!$B$481="","",[3]Issues!$B$481)</f>
        <v/>
      </c>
      <c r="AH478">
        <f>IF([3]Issues!$D$481="","",[3]Issues!$D$481)</f>
        <v/>
      </c>
      <c r="AI478">
        <f>IF([3]Issues!$E$481="","",[3]Issues!$E$481)</f>
        <v/>
      </c>
      <c r="AJ478">
        <f>IF([2]Entry!$S$481="","",[2]Entry!$S$481)</f>
        <v/>
      </c>
      <c r="AK478">
        <f>IF([2]Entry!$C$481="","",[2]Entry!$C$481)</f>
        <v/>
      </c>
      <c r="AL478">
        <f>IF([2]Entry!$D$481="","",[2]Entry!$D$481)</f>
        <v/>
      </c>
      <c r="AM478">
        <f>IF(AND($F478&lt;&gt;"",$I478&lt;&gt;""),IF($G478="دارایی ثابت",1,0),0)</f>
        <v/>
      </c>
      <c r="AN478">
        <f>SUM($AM$6:$AM478)</f>
        <v/>
      </c>
      <c r="AO478">
        <f>IFERROR(INDEX($F$6:$F$565,MATCH(ROW()-5,$AN$6:$AN$565,0)),"")</f>
        <v/>
      </c>
      <c r="AP478">
        <f>IF(AND($F478&lt;&gt;"",$I478&lt;&gt;""),IF($G478="وام و تسهیلات",1,0),0)</f>
        <v/>
      </c>
      <c r="AQ478">
        <f>SUM($AP$6:$AP478)</f>
        <v/>
      </c>
      <c r="AR478">
        <f>IFERROR(INDEX($F$6:$F$565,MATCH(ROW()-5,$AQ$6:$AQ$565,0)),"")</f>
        <v/>
      </c>
      <c r="AS478">
        <f>IF(AND($F478&lt;&gt;"",$I478&lt;&gt;""),IF($G478="سرمایه و آورده صاحبان",1,0),0)</f>
        <v/>
      </c>
      <c r="AT478">
        <f>SUM($AS$6:$AS478)</f>
        <v/>
      </c>
      <c r="AU478">
        <f>IFERROR(INDEX($F$6:$F$565,MATCH(ROW()-5,$AT$6:$AT$565,0)),"")</f>
        <v/>
      </c>
      <c r="AW478">
        <f>IF([3]Issues!$C$481="","",[3]Issues!$C$481)</f>
        <v/>
      </c>
      <c r="AX478">
        <f>IF([4]Entry!$E$481="","",[4]Entry!$E$481)</f>
        <v/>
      </c>
      <c r="AY478">
        <f>IF([4]Entry!$H$481="","",[4]Entry!$H$481)</f>
        <v/>
      </c>
      <c r="AZ478">
        <f>IF([4]Entry!$I$481="","",[4]Entry!$I$481)</f>
        <v/>
      </c>
    </row>
    <row r="479">
      <c r="F479">
        <f>IF([1]Accounts!$D$480="","",[1]Accounts!$A$480)</f>
        <v/>
      </c>
      <c r="G479">
        <f>IF([1]Accounts!$D$480="","",[1]Accounts!$B$480)</f>
        <v/>
      </c>
      <c r="H479">
        <f>IF([1]Accounts!$D$480="","",[1]Accounts!$C$480)</f>
        <v/>
      </c>
      <c r="I479">
        <f>IF([1]Accounts!$D$480="","",[1]Accounts!$D$480)</f>
        <v/>
      </c>
      <c r="R479">
        <f>IF(AND($F479&lt;&gt;"",$I479&lt;&gt;""),IF(OR($G479="دارایی ثابت",$G479="وام و تسهیلات",$G479="سرمایه و آورده صاحبان"),0,1),0)</f>
        <v/>
      </c>
      <c r="S479">
        <f>SUM($R$6:$R479)</f>
        <v/>
      </c>
      <c r="T479">
        <f>IFERROR(INDEX($F$6:$F$565,MATCH(ROW()-5,$S$6:$S$565,0)),"")</f>
        <v/>
      </c>
      <c r="Z479">
        <f>IF([2]Entry!$E$482="","",[2]Entry!$E$482)</f>
        <v/>
      </c>
      <c r="AA479">
        <f>IF([2]Entry!$G$482="","",[2]Entry!$G$482)</f>
        <v/>
      </c>
      <c r="AB479">
        <f>IF([2]Entry!$J$482="","",[2]Entry!$J$482)</f>
        <v/>
      </c>
      <c r="AC479">
        <f>IF([2]Entry!$K$482="","",[2]Entry!$K$482)</f>
        <v/>
      </c>
      <c r="AD479">
        <f>IF([2]Entry!$L$482="","",[2]Entry!$L$482)</f>
        <v/>
      </c>
      <c r="AE479">
        <f>IF([2]Entry!$M$482="","",[2]Entry!$M$482)</f>
        <v/>
      </c>
      <c r="AF479">
        <f>IF([2]Entry!$N$482="","",[2]Entry!$N$482)</f>
        <v/>
      </c>
      <c r="AG479">
        <f>IF([3]Issues!$B$482="","",[3]Issues!$B$482)</f>
        <v/>
      </c>
      <c r="AH479">
        <f>IF([3]Issues!$D$482="","",[3]Issues!$D$482)</f>
        <v/>
      </c>
      <c r="AI479">
        <f>IF([3]Issues!$E$482="","",[3]Issues!$E$482)</f>
        <v/>
      </c>
      <c r="AJ479">
        <f>IF([2]Entry!$S$482="","",[2]Entry!$S$482)</f>
        <v/>
      </c>
      <c r="AK479">
        <f>IF([2]Entry!$C$482="","",[2]Entry!$C$482)</f>
        <v/>
      </c>
      <c r="AL479">
        <f>IF([2]Entry!$D$482="","",[2]Entry!$D$482)</f>
        <v/>
      </c>
      <c r="AM479">
        <f>IF(AND($F479&lt;&gt;"",$I479&lt;&gt;""),IF($G479="دارایی ثابت",1,0),0)</f>
        <v/>
      </c>
      <c r="AN479">
        <f>SUM($AM$6:$AM479)</f>
        <v/>
      </c>
      <c r="AO479">
        <f>IFERROR(INDEX($F$6:$F$565,MATCH(ROW()-5,$AN$6:$AN$565,0)),"")</f>
        <v/>
      </c>
      <c r="AP479">
        <f>IF(AND($F479&lt;&gt;"",$I479&lt;&gt;""),IF($G479="وام و تسهیلات",1,0),0)</f>
        <v/>
      </c>
      <c r="AQ479">
        <f>SUM($AP$6:$AP479)</f>
        <v/>
      </c>
      <c r="AR479">
        <f>IFERROR(INDEX($F$6:$F$565,MATCH(ROW()-5,$AQ$6:$AQ$565,0)),"")</f>
        <v/>
      </c>
      <c r="AS479">
        <f>IF(AND($F479&lt;&gt;"",$I479&lt;&gt;""),IF($G479="سرمایه و آورده صاحبان",1,0),0)</f>
        <v/>
      </c>
      <c r="AT479">
        <f>SUM($AS$6:$AS479)</f>
        <v/>
      </c>
      <c r="AU479">
        <f>IFERROR(INDEX($F$6:$F$565,MATCH(ROW()-5,$AT$6:$AT$565,0)),"")</f>
        <v/>
      </c>
      <c r="AW479">
        <f>IF([3]Issues!$C$482="","",[3]Issues!$C$482)</f>
        <v/>
      </c>
      <c r="AX479">
        <f>IF([4]Entry!$E$482="","",[4]Entry!$E$482)</f>
        <v/>
      </c>
      <c r="AY479">
        <f>IF([4]Entry!$H$482="","",[4]Entry!$H$482)</f>
        <v/>
      </c>
      <c r="AZ479">
        <f>IF([4]Entry!$I$482="","",[4]Entry!$I$482)</f>
        <v/>
      </c>
    </row>
    <row r="480">
      <c r="F480">
        <f>IF([1]Accounts!$D$481="","",[1]Accounts!$A$481)</f>
        <v/>
      </c>
      <c r="G480">
        <f>IF([1]Accounts!$D$481="","",[1]Accounts!$B$481)</f>
        <v/>
      </c>
      <c r="H480">
        <f>IF([1]Accounts!$D$481="","",[1]Accounts!$C$481)</f>
        <v/>
      </c>
      <c r="I480">
        <f>IF([1]Accounts!$D$481="","",[1]Accounts!$D$481)</f>
        <v/>
      </c>
      <c r="R480">
        <f>IF(AND($F480&lt;&gt;"",$I480&lt;&gt;""),IF(OR($G480="دارایی ثابت",$G480="وام و تسهیلات",$G480="سرمایه و آورده صاحبان"),0,1),0)</f>
        <v/>
      </c>
      <c r="S480">
        <f>SUM($R$6:$R480)</f>
        <v/>
      </c>
      <c r="T480">
        <f>IFERROR(INDEX($F$6:$F$565,MATCH(ROW()-5,$S$6:$S$565,0)),"")</f>
        <v/>
      </c>
      <c r="Z480">
        <f>IF([2]Entry!$E$483="","",[2]Entry!$E$483)</f>
        <v/>
      </c>
      <c r="AA480">
        <f>IF([2]Entry!$G$483="","",[2]Entry!$G$483)</f>
        <v/>
      </c>
      <c r="AB480">
        <f>IF([2]Entry!$J$483="","",[2]Entry!$J$483)</f>
        <v/>
      </c>
      <c r="AC480">
        <f>IF([2]Entry!$K$483="","",[2]Entry!$K$483)</f>
        <v/>
      </c>
      <c r="AD480">
        <f>IF([2]Entry!$L$483="","",[2]Entry!$L$483)</f>
        <v/>
      </c>
      <c r="AE480">
        <f>IF([2]Entry!$M$483="","",[2]Entry!$M$483)</f>
        <v/>
      </c>
      <c r="AF480">
        <f>IF([2]Entry!$N$483="","",[2]Entry!$N$483)</f>
        <v/>
      </c>
      <c r="AG480">
        <f>IF([3]Issues!$B$483="","",[3]Issues!$B$483)</f>
        <v/>
      </c>
      <c r="AH480">
        <f>IF([3]Issues!$D$483="","",[3]Issues!$D$483)</f>
        <v/>
      </c>
      <c r="AI480">
        <f>IF([3]Issues!$E$483="","",[3]Issues!$E$483)</f>
        <v/>
      </c>
      <c r="AJ480">
        <f>IF([2]Entry!$S$483="","",[2]Entry!$S$483)</f>
        <v/>
      </c>
      <c r="AK480">
        <f>IF([2]Entry!$C$483="","",[2]Entry!$C$483)</f>
        <v/>
      </c>
      <c r="AL480">
        <f>IF([2]Entry!$D$483="","",[2]Entry!$D$483)</f>
        <v/>
      </c>
      <c r="AM480">
        <f>IF(AND($F480&lt;&gt;"",$I480&lt;&gt;""),IF($G480="دارایی ثابت",1,0),0)</f>
        <v/>
      </c>
      <c r="AN480">
        <f>SUM($AM$6:$AM480)</f>
        <v/>
      </c>
      <c r="AO480">
        <f>IFERROR(INDEX($F$6:$F$565,MATCH(ROW()-5,$AN$6:$AN$565,0)),"")</f>
        <v/>
      </c>
      <c r="AP480">
        <f>IF(AND($F480&lt;&gt;"",$I480&lt;&gt;""),IF($G480="وام و تسهیلات",1,0),0)</f>
        <v/>
      </c>
      <c r="AQ480">
        <f>SUM($AP$6:$AP480)</f>
        <v/>
      </c>
      <c r="AR480">
        <f>IFERROR(INDEX($F$6:$F$565,MATCH(ROW()-5,$AQ$6:$AQ$565,0)),"")</f>
        <v/>
      </c>
      <c r="AS480">
        <f>IF(AND($F480&lt;&gt;"",$I480&lt;&gt;""),IF($G480="سرمایه و آورده صاحبان",1,0),0)</f>
        <v/>
      </c>
      <c r="AT480">
        <f>SUM($AS$6:$AS480)</f>
        <v/>
      </c>
      <c r="AU480">
        <f>IFERROR(INDEX($F$6:$F$565,MATCH(ROW()-5,$AT$6:$AT$565,0)),"")</f>
        <v/>
      </c>
      <c r="AW480">
        <f>IF([3]Issues!$C$483="","",[3]Issues!$C$483)</f>
        <v/>
      </c>
      <c r="AX480">
        <f>IF([4]Entry!$E$483="","",[4]Entry!$E$483)</f>
        <v/>
      </c>
      <c r="AY480">
        <f>IF([4]Entry!$H$483="","",[4]Entry!$H$483)</f>
        <v/>
      </c>
      <c r="AZ480">
        <f>IF([4]Entry!$I$483="","",[4]Entry!$I$483)</f>
        <v/>
      </c>
    </row>
    <row r="481">
      <c r="F481">
        <f>IF([1]Accounts!$D$482="","",[1]Accounts!$A$482)</f>
        <v/>
      </c>
      <c r="G481">
        <f>IF([1]Accounts!$D$482="","",[1]Accounts!$B$482)</f>
        <v/>
      </c>
      <c r="H481">
        <f>IF([1]Accounts!$D$482="","",[1]Accounts!$C$482)</f>
        <v/>
      </c>
      <c r="I481">
        <f>IF([1]Accounts!$D$482="","",[1]Accounts!$D$482)</f>
        <v/>
      </c>
      <c r="R481">
        <f>IF(AND($F481&lt;&gt;"",$I481&lt;&gt;""),IF(OR($G481="دارایی ثابت",$G481="وام و تسهیلات",$G481="سرمایه و آورده صاحبان"),0,1),0)</f>
        <v/>
      </c>
      <c r="S481">
        <f>SUM($R$6:$R481)</f>
        <v/>
      </c>
      <c r="T481">
        <f>IFERROR(INDEX($F$6:$F$565,MATCH(ROW()-5,$S$6:$S$565,0)),"")</f>
        <v/>
      </c>
      <c r="Z481">
        <f>IF([2]Entry!$E$484="","",[2]Entry!$E$484)</f>
        <v/>
      </c>
      <c r="AA481">
        <f>IF([2]Entry!$G$484="","",[2]Entry!$G$484)</f>
        <v/>
      </c>
      <c r="AB481">
        <f>IF([2]Entry!$J$484="","",[2]Entry!$J$484)</f>
        <v/>
      </c>
      <c r="AC481">
        <f>IF([2]Entry!$K$484="","",[2]Entry!$K$484)</f>
        <v/>
      </c>
      <c r="AD481">
        <f>IF([2]Entry!$L$484="","",[2]Entry!$L$484)</f>
        <v/>
      </c>
      <c r="AE481">
        <f>IF([2]Entry!$M$484="","",[2]Entry!$M$484)</f>
        <v/>
      </c>
      <c r="AF481">
        <f>IF([2]Entry!$N$484="","",[2]Entry!$N$484)</f>
        <v/>
      </c>
      <c r="AG481">
        <f>IF([3]Issues!$B$484="","",[3]Issues!$B$484)</f>
        <v/>
      </c>
      <c r="AH481">
        <f>IF([3]Issues!$D$484="","",[3]Issues!$D$484)</f>
        <v/>
      </c>
      <c r="AI481">
        <f>IF([3]Issues!$E$484="","",[3]Issues!$E$484)</f>
        <v/>
      </c>
      <c r="AJ481">
        <f>IF([2]Entry!$S$484="","",[2]Entry!$S$484)</f>
        <v/>
      </c>
      <c r="AK481">
        <f>IF([2]Entry!$C$484="","",[2]Entry!$C$484)</f>
        <v/>
      </c>
      <c r="AL481">
        <f>IF([2]Entry!$D$484="","",[2]Entry!$D$484)</f>
        <v/>
      </c>
      <c r="AM481">
        <f>IF(AND($F481&lt;&gt;"",$I481&lt;&gt;""),IF($G481="دارایی ثابت",1,0),0)</f>
        <v/>
      </c>
      <c r="AN481">
        <f>SUM($AM$6:$AM481)</f>
        <v/>
      </c>
      <c r="AO481">
        <f>IFERROR(INDEX($F$6:$F$565,MATCH(ROW()-5,$AN$6:$AN$565,0)),"")</f>
        <v/>
      </c>
      <c r="AP481">
        <f>IF(AND($F481&lt;&gt;"",$I481&lt;&gt;""),IF($G481="وام و تسهیلات",1,0),0)</f>
        <v/>
      </c>
      <c r="AQ481">
        <f>SUM($AP$6:$AP481)</f>
        <v/>
      </c>
      <c r="AR481">
        <f>IFERROR(INDEX($F$6:$F$565,MATCH(ROW()-5,$AQ$6:$AQ$565,0)),"")</f>
        <v/>
      </c>
      <c r="AS481">
        <f>IF(AND($F481&lt;&gt;"",$I481&lt;&gt;""),IF($G481="سرمایه و آورده صاحبان",1,0),0)</f>
        <v/>
      </c>
      <c r="AT481">
        <f>SUM($AS$6:$AS481)</f>
        <v/>
      </c>
      <c r="AU481">
        <f>IFERROR(INDEX($F$6:$F$565,MATCH(ROW()-5,$AT$6:$AT$565,0)),"")</f>
        <v/>
      </c>
      <c r="AW481">
        <f>IF([3]Issues!$C$484="","",[3]Issues!$C$484)</f>
        <v/>
      </c>
      <c r="AX481">
        <f>IF([4]Entry!$E$484="","",[4]Entry!$E$484)</f>
        <v/>
      </c>
      <c r="AY481">
        <f>IF([4]Entry!$H$484="","",[4]Entry!$H$484)</f>
        <v/>
      </c>
      <c r="AZ481">
        <f>IF([4]Entry!$I$484="","",[4]Entry!$I$484)</f>
        <v/>
      </c>
    </row>
    <row r="482">
      <c r="F482">
        <f>IF([1]Accounts!$D$483="","",[1]Accounts!$A$483)</f>
        <v/>
      </c>
      <c r="G482">
        <f>IF([1]Accounts!$D$483="","",[1]Accounts!$B$483)</f>
        <v/>
      </c>
      <c r="H482">
        <f>IF([1]Accounts!$D$483="","",[1]Accounts!$C$483)</f>
        <v/>
      </c>
      <c r="I482">
        <f>IF([1]Accounts!$D$483="","",[1]Accounts!$D$483)</f>
        <v/>
      </c>
      <c r="R482">
        <f>IF(AND($F482&lt;&gt;"",$I482&lt;&gt;""),IF(OR($G482="دارایی ثابت",$G482="وام و تسهیلات",$G482="سرمایه و آورده صاحبان"),0,1),0)</f>
        <v/>
      </c>
      <c r="S482">
        <f>SUM($R$6:$R482)</f>
        <v/>
      </c>
      <c r="T482">
        <f>IFERROR(INDEX($F$6:$F$565,MATCH(ROW()-5,$S$6:$S$565,0)),"")</f>
        <v/>
      </c>
      <c r="Z482">
        <f>IF([2]Entry!$E$485="","",[2]Entry!$E$485)</f>
        <v/>
      </c>
      <c r="AA482">
        <f>IF([2]Entry!$G$485="","",[2]Entry!$G$485)</f>
        <v/>
      </c>
      <c r="AB482">
        <f>IF([2]Entry!$J$485="","",[2]Entry!$J$485)</f>
        <v/>
      </c>
      <c r="AC482">
        <f>IF([2]Entry!$K$485="","",[2]Entry!$K$485)</f>
        <v/>
      </c>
      <c r="AD482">
        <f>IF([2]Entry!$L$485="","",[2]Entry!$L$485)</f>
        <v/>
      </c>
      <c r="AE482">
        <f>IF([2]Entry!$M$485="","",[2]Entry!$M$485)</f>
        <v/>
      </c>
      <c r="AF482">
        <f>IF([2]Entry!$N$485="","",[2]Entry!$N$485)</f>
        <v/>
      </c>
      <c r="AG482">
        <f>IF([3]Issues!$B$485="","",[3]Issues!$B$485)</f>
        <v/>
      </c>
      <c r="AH482">
        <f>IF([3]Issues!$D$485="","",[3]Issues!$D$485)</f>
        <v/>
      </c>
      <c r="AI482">
        <f>IF([3]Issues!$E$485="","",[3]Issues!$E$485)</f>
        <v/>
      </c>
      <c r="AJ482">
        <f>IF([2]Entry!$S$485="","",[2]Entry!$S$485)</f>
        <v/>
      </c>
      <c r="AK482">
        <f>IF([2]Entry!$C$485="","",[2]Entry!$C$485)</f>
        <v/>
      </c>
      <c r="AL482">
        <f>IF([2]Entry!$D$485="","",[2]Entry!$D$485)</f>
        <v/>
      </c>
      <c r="AM482">
        <f>IF(AND($F482&lt;&gt;"",$I482&lt;&gt;""),IF($G482="دارایی ثابت",1,0),0)</f>
        <v/>
      </c>
      <c r="AN482">
        <f>SUM($AM$6:$AM482)</f>
        <v/>
      </c>
      <c r="AO482">
        <f>IFERROR(INDEX($F$6:$F$565,MATCH(ROW()-5,$AN$6:$AN$565,0)),"")</f>
        <v/>
      </c>
      <c r="AP482">
        <f>IF(AND($F482&lt;&gt;"",$I482&lt;&gt;""),IF($G482="وام و تسهیلات",1,0),0)</f>
        <v/>
      </c>
      <c r="AQ482">
        <f>SUM($AP$6:$AP482)</f>
        <v/>
      </c>
      <c r="AR482">
        <f>IFERROR(INDEX($F$6:$F$565,MATCH(ROW()-5,$AQ$6:$AQ$565,0)),"")</f>
        <v/>
      </c>
      <c r="AS482">
        <f>IF(AND($F482&lt;&gt;"",$I482&lt;&gt;""),IF($G482="سرمایه و آورده صاحبان",1,0),0)</f>
        <v/>
      </c>
      <c r="AT482">
        <f>SUM($AS$6:$AS482)</f>
        <v/>
      </c>
      <c r="AU482">
        <f>IFERROR(INDEX($F$6:$F$565,MATCH(ROW()-5,$AT$6:$AT$565,0)),"")</f>
        <v/>
      </c>
      <c r="AW482">
        <f>IF([3]Issues!$C$485="","",[3]Issues!$C$485)</f>
        <v/>
      </c>
      <c r="AX482">
        <f>IF([4]Entry!$E$485="","",[4]Entry!$E$485)</f>
        <v/>
      </c>
      <c r="AY482">
        <f>IF([4]Entry!$H$485="","",[4]Entry!$H$485)</f>
        <v/>
      </c>
      <c r="AZ482">
        <f>IF([4]Entry!$I$485="","",[4]Entry!$I$485)</f>
        <v/>
      </c>
    </row>
    <row r="483">
      <c r="F483">
        <f>IF([1]Accounts!$D$484="","",[1]Accounts!$A$484)</f>
        <v/>
      </c>
      <c r="G483">
        <f>IF([1]Accounts!$D$484="","",[1]Accounts!$B$484)</f>
        <v/>
      </c>
      <c r="H483">
        <f>IF([1]Accounts!$D$484="","",[1]Accounts!$C$484)</f>
        <v/>
      </c>
      <c r="I483">
        <f>IF([1]Accounts!$D$484="","",[1]Accounts!$D$484)</f>
        <v/>
      </c>
      <c r="R483">
        <f>IF(AND($F483&lt;&gt;"",$I483&lt;&gt;""),IF(OR($G483="دارایی ثابت",$G483="وام و تسهیلات",$G483="سرمایه و آورده صاحبان"),0,1),0)</f>
        <v/>
      </c>
      <c r="S483">
        <f>SUM($R$6:$R483)</f>
        <v/>
      </c>
      <c r="T483">
        <f>IFERROR(INDEX($F$6:$F$565,MATCH(ROW()-5,$S$6:$S$565,0)),"")</f>
        <v/>
      </c>
      <c r="Z483">
        <f>IF([2]Entry!$E$486="","",[2]Entry!$E$486)</f>
        <v/>
      </c>
      <c r="AA483">
        <f>IF([2]Entry!$G$486="","",[2]Entry!$G$486)</f>
        <v/>
      </c>
      <c r="AB483">
        <f>IF([2]Entry!$J$486="","",[2]Entry!$J$486)</f>
        <v/>
      </c>
      <c r="AC483">
        <f>IF([2]Entry!$K$486="","",[2]Entry!$K$486)</f>
        <v/>
      </c>
      <c r="AD483">
        <f>IF([2]Entry!$L$486="","",[2]Entry!$L$486)</f>
        <v/>
      </c>
      <c r="AE483">
        <f>IF([2]Entry!$M$486="","",[2]Entry!$M$486)</f>
        <v/>
      </c>
      <c r="AF483">
        <f>IF([2]Entry!$N$486="","",[2]Entry!$N$486)</f>
        <v/>
      </c>
      <c r="AG483">
        <f>IF([3]Issues!$B$486="","",[3]Issues!$B$486)</f>
        <v/>
      </c>
      <c r="AH483">
        <f>IF([3]Issues!$D$486="","",[3]Issues!$D$486)</f>
        <v/>
      </c>
      <c r="AI483">
        <f>IF([3]Issues!$E$486="","",[3]Issues!$E$486)</f>
        <v/>
      </c>
      <c r="AJ483">
        <f>IF([2]Entry!$S$486="","",[2]Entry!$S$486)</f>
        <v/>
      </c>
      <c r="AK483">
        <f>IF([2]Entry!$C$486="","",[2]Entry!$C$486)</f>
        <v/>
      </c>
      <c r="AL483">
        <f>IF([2]Entry!$D$486="","",[2]Entry!$D$486)</f>
        <v/>
      </c>
      <c r="AM483">
        <f>IF(AND($F483&lt;&gt;"",$I483&lt;&gt;""),IF($G483="دارایی ثابت",1,0),0)</f>
        <v/>
      </c>
      <c r="AN483">
        <f>SUM($AM$6:$AM483)</f>
        <v/>
      </c>
      <c r="AO483">
        <f>IFERROR(INDEX($F$6:$F$565,MATCH(ROW()-5,$AN$6:$AN$565,0)),"")</f>
        <v/>
      </c>
      <c r="AP483">
        <f>IF(AND($F483&lt;&gt;"",$I483&lt;&gt;""),IF($G483="وام و تسهیلات",1,0),0)</f>
        <v/>
      </c>
      <c r="AQ483">
        <f>SUM($AP$6:$AP483)</f>
        <v/>
      </c>
      <c r="AR483">
        <f>IFERROR(INDEX($F$6:$F$565,MATCH(ROW()-5,$AQ$6:$AQ$565,0)),"")</f>
        <v/>
      </c>
      <c r="AS483">
        <f>IF(AND($F483&lt;&gt;"",$I483&lt;&gt;""),IF($G483="سرمایه و آورده صاحبان",1,0),0)</f>
        <v/>
      </c>
      <c r="AT483">
        <f>SUM($AS$6:$AS483)</f>
        <v/>
      </c>
      <c r="AU483">
        <f>IFERROR(INDEX($F$6:$F$565,MATCH(ROW()-5,$AT$6:$AT$565,0)),"")</f>
        <v/>
      </c>
      <c r="AW483">
        <f>IF([3]Issues!$C$486="","",[3]Issues!$C$486)</f>
        <v/>
      </c>
      <c r="AX483">
        <f>IF([4]Entry!$E$486="","",[4]Entry!$E$486)</f>
        <v/>
      </c>
      <c r="AY483">
        <f>IF([4]Entry!$H$486="","",[4]Entry!$H$486)</f>
        <v/>
      </c>
      <c r="AZ483">
        <f>IF([4]Entry!$I$486="","",[4]Entry!$I$486)</f>
        <v/>
      </c>
    </row>
    <row r="484">
      <c r="F484">
        <f>IF([1]Accounts!$D$485="","",[1]Accounts!$A$485)</f>
        <v/>
      </c>
      <c r="G484">
        <f>IF([1]Accounts!$D$485="","",[1]Accounts!$B$485)</f>
        <v/>
      </c>
      <c r="H484">
        <f>IF([1]Accounts!$D$485="","",[1]Accounts!$C$485)</f>
        <v/>
      </c>
      <c r="I484">
        <f>IF([1]Accounts!$D$485="","",[1]Accounts!$D$485)</f>
        <v/>
      </c>
      <c r="R484">
        <f>IF(AND($F484&lt;&gt;"",$I484&lt;&gt;""),IF(OR($G484="دارایی ثابت",$G484="وام و تسهیلات",$G484="سرمایه و آورده صاحبان"),0,1),0)</f>
        <v/>
      </c>
      <c r="S484">
        <f>SUM($R$6:$R484)</f>
        <v/>
      </c>
      <c r="T484">
        <f>IFERROR(INDEX($F$6:$F$565,MATCH(ROW()-5,$S$6:$S$565,0)),"")</f>
        <v/>
      </c>
      <c r="Z484">
        <f>IF([2]Entry!$E$487="","",[2]Entry!$E$487)</f>
        <v/>
      </c>
      <c r="AA484">
        <f>IF([2]Entry!$G$487="","",[2]Entry!$G$487)</f>
        <v/>
      </c>
      <c r="AB484">
        <f>IF([2]Entry!$J$487="","",[2]Entry!$J$487)</f>
        <v/>
      </c>
      <c r="AC484">
        <f>IF([2]Entry!$K$487="","",[2]Entry!$K$487)</f>
        <v/>
      </c>
      <c r="AD484">
        <f>IF([2]Entry!$L$487="","",[2]Entry!$L$487)</f>
        <v/>
      </c>
      <c r="AE484">
        <f>IF([2]Entry!$M$487="","",[2]Entry!$M$487)</f>
        <v/>
      </c>
      <c r="AF484">
        <f>IF([2]Entry!$N$487="","",[2]Entry!$N$487)</f>
        <v/>
      </c>
      <c r="AG484">
        <f>IF([3]Issues!$B$487="","",[3]Issues!$B$487)</f>
        <v/>
      </c>
      <c r="AH484">
        <f>IF([3]Issues!$D$487="","",[3]Issues!$D$487)</f>
        <v/>
      </c>
      <c r="AI484">
        <f>IF([3]Issues!$E$487="","",[3]Issues!$E$487)</f>
        <v/>
      </c>
      <c r="AJ484">
        <f>IF([2]Entry!$S$487="","",[2]Entry!$S$487)</f>
        <v/>
      </c>
      <c r="AK484">
        <f>IF([2]Entry!$C$487="","",[2]Entry!$C$487)</f>
        <v/>
      </c>
      <c r="AL484">
        <f>IF([2]Entry!$D$487="","",[2]Entry!$D$487)</f>
        <v/>
      </c>
      <c r="AM484">
        <f>IF(AND($F484&lt;&gt;"",$I484&lt;&gt;""),IF($G484="دارایی ثابت",1,0),0)</f>
        <v/>
      </c>
      <c r="AN484">
        <f>SUM($AM$6:$AM484)</f>
        <v/>
      </c>
      <c r="AO484">
        <f>IFERROR(INDEX($F$6:$F$565,MATCH(ROW()-5,$AN$6:$AN$565,0)),"")</f>
        <v/>
      </c>
      <c r="AP484">
        <f>IF(AND($F484&lt;&gt;"",$I484&lt;&gt;""),IF($G484="وام و تسهیلات",1,0),0)</f>
        <v/>
      </c>
      <c r="AQ484">
        <f>SUM($AP$6:$AP484)</f>
        <v/>
      </c>
      <c r="AR484">
        <f>IFERROR(INDEX($F$6:$F$565,MATCH(ROW()-5,$AQ$6:$AQ$565,0)),"")</f>
        <v/>
      </c>
      <c r="AS484">
        <f>IF(AND($F484&lt;&gt;"",$I484&lt;&gt;""),IF($G484="سرمایه و آورده صاحبان",1,0),0)</f>
        <v/>
      </c>
      <c r="AT484">
        <f>SUM($AS$6:$AS484)</f>
        <v/>
      </c>
      <c r="AU484">
        <f>IFERROR(INDEX($F$6:$F$565,MATCH(ROW()-5,$AT$6:$AT$565,0)),"")</f>
        <v/>
      </c>
      <c r="AW484">
        <f>IF([3]Issues!$C$487="","",[3]Issues!$C$487)</f>
        <v/>
      </c>
      <c r="AX484">
        <f>IF([4]Entry!$E$487="","",[4]Entry!$E$487)</f>
        <v/>
      </c>
      <c r="AY484">
        <f>IF([4]Entry!$H$487="","",[4]Entry!$H$487)</f>
        <v/>
      </c>
      <c r="AZ484">
        <f>IF([4]Entry!$I$487="","",[4]Entry!$I$487)</f>
        <v/>
      </c>
    </row>
    <row r="485">
      <c r="F485">
        <f>IF([1]Accounts!$D$486="","",[1]Accounts!$A$486)</f>
        <v/>
      </c>
      <c r="G485">
        <f>IF([1]Accounts!$D$486="","",[1]Accounts!$B$486)</f>
        <v/>
      </c>
      <c r="H485">
        <f>IF([1]Accounts!$D$486="","",[1]Accounts!$C$486)</f>
        <v/>
      </c>
      <c r="I485">
        <f>IF([1]Accounts!$D$486="","",[1]Accounts!$D$486)</f>
        <v/>
      </c>
      <c r="R485">
        <f>IF(AND($F485&lt;&gt;"",$I485&lt;&gt;""),IF(OR($G485="دارایی ثابت",$G485="وام و تسهیلات",$G485="سرمایه و آورده صاحبان"),0,1),0)</f>
        <v/>
      </c>
      <c r="S485">
        <f>SUM($R$6:$R485)</f>
        <v/>
      </c>
      <c r="T485">
        <f>IFERROR(INDEX($F$6:$F$565,MATCH(ROW()-5,$S$6:$S$565,0)),"")</f>
        <v/>
      </c>
      <c r="Z485">
        <f>IF([2]Entry!$E$488="","",[2]Entry!$E$488)</f>
        <v/>
      </c>
      <c r="AA485">
        <f>IF([2]Entry!$G$488="","",[2]Entry!$G$488)</f>
        <v/>
      </c>
      <c r="AB485">
        <f>IF([2]Entry!$J$488="","",[2]Entry!$J$488)</f>
        <v/>
      </c>
      <c r="AC485">
        <f>IF([2]Entry!$K$488="","",[2]Entry!$K$488)</f>
        <v/>
      </c>
      <c r="AD485">
        <f>IF([2]Entry!$L$488="","",[2]Entry!$L$488)</f>
        <v/>
      </c>
      <c r="AE485">
        <f>IF([2]Entry!$M$488="","",[2]Entry!$M$488)</f>
        <v/>
      </c>
      <c r="AF485">
        <f>IF([2]Entry!$N$488="","",[2]Entry!$N$488)</f>
        <v/>
      </c>
      <c r="AG485">
        <f>IF([3]Issues!$B$488="","",[3]Issues!$B$488)</f>
        <v/>
      </c>
      <c r="AH485">
        <f>IF([3]Issues!$D$488="","",[3]Issues!$D$488)</f>
        <v/>
      </c>
      <c r="AI485">
        <f>IF([3]Issues!$E$488="","",[3]Issues!$E$488)</f>
        <v/>
      </c>
      <c r="AJ485">
        <f>IF([2]Entry!$S$488="","",[2]Entry!$S$488)</f>
        <v/>
      </c>
      <c r="AK485">
        <f>IF([2]Entry!$C$488="","",[2]Entry!$C$488)</f>
        <v/>
      </c>
      <c r="AL485">
        <f>IF([2]Entry!$D$488="","",[2]Entry!$D$488)</f>
        <v/>
      </c>
      <c r="AM485">
        <f>IF(AND($F485&lt;&gt;"",$I485&lt;&gt;""),IF($G485="دارایی ثابت",1,0),0)</f>
        <v/>
      </c>
      <c r="AN485">
        <f>SUM($AM$6:$AM485)</f>
        <v/>
      </c>
      <c r="AO485">
        <f>IFERROR(INDEX($F$6:$F$565,MATCH(ROW()-5,$AN$6:$AN$565,0)),"")</f>
        <v/>
      </c>
      <c r="AP485">
        <f>IF(AND($F485&lt;&gt;"",$I485&lt;&gt;""),IF($G485="وام و تسهیلات",1,0),0)</f>
        <v/>
      </c>
      <c r="AQ485">
        <f>SUM($AP$6:$AP485)</f>
        <v/>
      </c>
      <c r="AR485">
        <f>IFERROR(INDEX($F$6:$F$565,MATCH(ROW()-5,$AQ$6:$AQ$565,0)),"")</f>
        <v/>
      </c>
      <c r="AS485">
        <f>IF(AND($F485&lt;&gt;"",$I485&lt;&gt;""),IF($G485="سرمایه و آورده صاحبان",1,0),0)</f>
        <v/>
      </c>
      <c r="AT485">
        <f>SUM($AS$6:$AS485)</f>
        <v/>
      </c>
      <c r="AU485">
        <f>IFERROR(INDEX($F$6:$F$565,MATCH(ROW()-5,$AT$6:$AT$565,0)),"")</f>
        <v/>
      </c>
      <c r="AW485">
        <f>IF([3]Issues!$C$488="","",[3]Issues!$C$488)</f>
        <v/>
      </c>
      <c r="AX485">
        <f>IF([4]Entry!$E$488="","",[4]Entry!$E$488)</f>
        <v/>
      </c>
      <c r="AY485">
        <f>IF([4]Entry!$H$488="","",[4]Entry!$H$488)</f>
        <v/>
      </c>
      <c r="AZ485">
        <f>IF([4]Entry!$I$488="","",[4]Entry!$I$488)</f>
        <v/>
      </c>
    </row>
    <row r="486">
      <c r="F486">
        <f>IF([1]Accounts!$D$487="","",[1]Accounts!$A$487)</f>
        <v/>
      </c>
      <c r="G486">
        <f>IF([1]Accounts!$D$487="","",[1]Accounts!$B$487)</f>
        <v/>
      </c>
      <c r="H486">
        <f>IF([1]Accounts!$D$487="","",[1]Accounts!$C$487)</f>
        <v/>
      </c>
      <c r="I486">
        <f>IF([1]Accounts!$D$487="","",[1]Accounts!$D$487)</f>
        <v/>
      </c>
      <c r="R486">
        <f>IF(AND($F486&lt;&gt;"",$I486&lt;&gt;""),IF(OR($G486="دارایی ثابت",$G486="وام و تسهیلات",$G486="سرمایه و آورده صاحبان"),0,1),0)</f>
        <v/>
      </c>
      <c r="S486">
        <f>SUM($R$6:$R486)</f>
        <v/>
      </c>
      <c r="T486">
        <f>IFERROR(INDEX($F$6:$F$565,MATCH(ROW()-5,$S$6:$S$565,0)),"")</f>
        <v/>
      </c>
      <c r="Z486">
        <f>IF([2]Entry!$E$489="","",[2]Entry!$E$489)</f>
        <v/>
      </c>
      <c r="AA486">
        <f>IF([2]Entry!$G$489="","",[2]Entry!$G$489)</f>
        <v/>
      </c>
      <c r="AB486">
        <f>IF([2]Entry!$J$489="","",[2]Entry!$J$489)</f>
        <v/>
      </c>
      <c r="AC486">
        <f>IF([2]Entry!$K$489="","",[2]Entry!$K$489)</f>
        <v/>
      </c>
      <c r="AD486">
        <f>IF([2]Entry!$L$489="","",[2]Entry!$L$489)</f>
        <v/>
      </c>
      <c r="AE486">
        <f>IF([2]Entry!$M$489="","",[2]Entry!$M$489)</f>
        <v/>
      </c>
      <c r="AF486">
        <f>IF([2]Entry!$N$489="","",[2]Entry!$N$489)</f>
        <v/>
      </c>
      <c r="AG486">
        <f>IF([3]Issues!$B$489="","",[3]Issues!$B$489)</f>
        <v/>
      </c>
      <c r="AH486">
        <f>IF([3]Issues!$D$489="","",[3]Issues!$D$489)</f>
        <v/>
      </c>
      <c r="AI486">
        <f>IF([3]Issues!$E$489="","",[3]Issues!$E$489)</f>
        <v/>
      </c>
      <c r="AJ486">
        <f>IF([2]Entry!$S$489="","",[2]Entry!$S$489)</f>
        <v/>
      </c>
      <c r="AK486">
        <f>IF([2]Entry!$C$489="","",[2]Entry!$C$489)</f>
        <v/>
      </c>
      <c r="AL486">
        <f>IF([2]Entry!$D$489="","",[2]Entry!$D$489)</f>
        <v/>
      </c>
      <c r="AM486">
        <f>IF(AND($F486&lt;&gt;"",$I486&lt;&gt;""),IF($G486="دارایی ثابت",1,0),0)</f>
        <v/>
      </c>
      <c r="AN486">
        <f>SUM($AM$6:$AM486)</f>
        <v/>
      </c>
      <c r="AO486">
        <f>IFERROR(INDEX($F$6:$F$565,MATCH(ROW()-5,$AN$6:$AN$565,0)),"")</f>
        <v/>
      </c>
      <c r="AP486">
        <f>IF(AND($F486&lt;&gt;"",$I486&lt;&gt;""),IF($G486="وام و تسهیلات",1,0),0)</f>
        <v/>
      </c>
      <c r="AQ486">
        <f>SUM($AP$6:$AP486)</f>
        <v/>
      </c>
      <c r="AR486">
        <f>IFERROR(INDEX($F$6:$F$565,MATCH(ROW()-5,$AQ$6:$AQ$565,0)),"")</f>
        <v/>
      </c>
      <c r="AS486">
        <f>IF(AND($F486&lt;&gt;"",$I486&lt;&gt;""),IF($G486="سرمایه و آورده صاحبان",1,0),0)</f>
        <v/>
      </c>
      <c r="AT486">
        <f>SUM($AS$6:$AS486)</f>
        <v/>
      </c>
      <c r="AU486">
        <f>IFERROR(INDEX($F$6:$F$565,MATCH(ROW()-5,$AT$6:$AT$565,0)),"")</f>
        <v/>
      </c>
      <c r="AW486">
        <f>IF([3]Issues!$C$489="","",[3]Issues!$C$489)</f>
        <v/>
      </c>
      <c r="AX486">
        <f>IF([4]Entry!$E$489="","",[4]Entry!$E$489)</f>
        <v/>
      </c>
      <c r="AY486">
        <f>IF([4]Entry!$H$489="","",[4]Entry!$H$489)</f>
        <v/>
      </c>
      <c r="AZ486">
        <f>IF([4]Entry!$I$489="","",[4]Entry!$I$489)</f>
        <v/>
      </c>
    </row>
    <row r="487">
      <c r="F487">
        <f>IF([1]Accounts!$D$488="","",[1]Accounts!$A$488)</f>
        <v/>
      </c>
      <c r="G487">
        <f>IF([1]Accounts!$D$488="","",[1]Accounts!$B$488)</f>
        <v/>
      </c>
      <c r="H487">
        <f>IF([1]Accounts!$D$488="","",[1]Accounts!$C$488)</f>
        <v/>
      </c>
      <c r="I487">
        <f>IF([1]Accounts!$D$488="","",[1]Accounts!$D$488)</f>
        <v/>
      </c>
      <c r="R487">
        <f>IF(AND($F487&lt;&gt;"",$I487&lt;&gt;""),IF(OR($G487="دارایی ثابت",$G487="وام و تسهیلات",$G487="سرمایه و آورده صاحبان"),0,1),0)</f>
        <v/>
      </c>
      <c r="S487">
        <f>SUM($R$6:$R487)</f>
        <v/>
      </c>
      <c r="T487">
        <f>IFERROR(INDEX($F$6:$F$565,MATCH(ROW()-5,$S$6:$S$565,0)),"")</f>
        <v/>
      </c>
      <c r="Z487">
        <f>IF([2]Entry!$E$490="","",[2]Entry!$E$490)</f>
        <v/>
      </c>
      <c r="AA487">
        <f>IF([2]Entry!$G$490="","",[2]Entry!$G$490)</f>
        <v/>
      </c>
      <c r="AB487">
        <f>IF([2]Entry!$J$490="","",[2]Entry!$J$490)</f>
        <v/>
      </c>
      <c r="AC487">
        <f>IF([2]Entry!$K$490="","",[2]Entry!$K$490)</f>
        <v/>
      </c>
      <c r="AD487">
        <f>IF([2]Entry!$L$490="","",[2]Entry!$L$490)</f>
        <v/>
      </c>
      <c r="AE487">
        <f>IF([2]Entry!$M$490="","",[2]Entry!$M$490)</f>
        <v/>
      </c>
      <c r="AF487">
        <f>IF([2]Entry!$N$490="","",[2]Entry!$N$490)</f>
        <v/>
      </c>
      <c r="AG487">
        <f>IF([3]Issues!$B$490="","",[3]Issues!$B$490)</f>
        <v/>
      </c>
      <c r="AH487">
        <f>IF([3]Issues!$D$490="","",[3]Issues!$D$490)</f>
        <v/>
      </c>
      <c r="AI487">
        <f>IF([3]Issues!$E$490="","",[3]Issues!$E$490)</f>
        <v/>
      </c>
      <c r="AJ487">
        <f>IF([2]Entry!$S$490="","",[2]Entry!$S$490)</f>
        <v/>
      </c>
      <c r="AK487">
        <f>IF([2]Entry!$C$490="","",[2]Entry!$C$490)</f>
        <v/>
      </c>
      <c r="AL487">
        <f>IF([2]Entry!$D$490="","",[2]Entry!$D$490)</f>
        <v/>
      </c>
      <c r="AM487">
        <f>IF(AND($F487&lt;&gt;"",$I487&lt;&gt;""),IF($G487="دارایی ثابت",1,0),0)</f>
        <v/>
      </c>
      <c r="AN487">
        <f>SUM($AM$6:$AM487)</f>
        <v/>
      </c>
      <c r="AO487">
        <f>IFERROR(INDEX($F$6:$F$565,MATCH(ROW()-5,$AN$6:$AN$565,0)),"")</f>
        <v/>
      </c>
      <c r="AP487">
        <f>IF(AND($F487&lt;&gt;"",$I487&lt;&gt;""),IF($G487="وام و تسهیلات",1,0),0)</f>
        <v/>
      </c>
      <c r="AQ487">
        <f>SUM($AP$6:$AP487)</f>
        <v/>
      </c>
      <c r="AR487">
        <f>IFERROR(INDEX($F$6:$F$565,MATCH(ROW()-5,$AQ$6:$AQ$565,0)),"")</f>
        <v/>
      </c>
      <c r="AS487">
        <f>IF(AND($F487&lt;&gt;"",$I487&lt;&gt;""),IF($G487="سرمایه و آورده صاحبان",1,0),0)</f>
        <v/>
      </c>
      <c r="AT487">
        <f>SUM($AS$6:$AS487)</f>
        <v/>
      </c>
      <c r="AU487">
        <f>IFERROR(INDEX($F$6:$F$565,MATCH(ROW()-5,$AT$6:$AT$565,0)),"")</f>
        <v/>
      </c>
      <c r="AW487">
        <f>IF([3]Issues!$C$490="","",[3]Issues!$C$490)</f>
        <v/>
      </c>
      <c r="AX487">
        <f>IF([4]Entry!$E$490="","",[4]Entry!$E$490)</f>
        <v/>
      </c>
      <c r="AY487">
        <f>IF([4]Entry!$H$490="","",[4]Entry!$H$490)</f>
        <v/>
      </c>
      <c r="AZ487">
        <f>IF([4]Entry!$I$490="","",[4]Entry!$I$490)</f>
        <v/>
      </c>
    </row>
    <row r="488">
      <c r="F488">
        <f>IF([1]Accounts!$D$489="","",[1]Accounts!$A$489)</f>
        <v/>
      </c>
      <c r="G488">
        <f>IF([1]Accounts!$D$489="","",[1]Accounts!$B$489)</f>
        <v/>
      </c>
      <c r="H488">
        <f>IF([1]Accounts!$D$489="","",[1]Accounts!$C$489)</f>
        <v/>
      </c>
      <c r="I488">
        <f>IF([1]Accounts!$D$489="","",[1]Accounts!$D$489)</f>
        <v/>
      </c>
      <c r="R488">
        <f>IF(AND($F488&lt;&gt;"",$I488&lt;&gt;""),IF(OR($G488="دارایی ثابت",$G488="وام و تسهیلات",$G488="سرمایه و آورده صاحبان"),0,1),0)</f>
        <v/>
      </c>
      <c r="S488">
        <f>SUM($R$6:$R488)</f>
        <v/>
      </c>
      <c r="T488">
        <f>IFERROR(INDEX($F$6:$F$565,MATCH(ROW()-5,$S$6:$S$565,0)),"")</f>
        <v/>
      </c>
      <c r="Z488">
        <f>IF([2]Entry!$E$491="","",[2]Entry!$E$491)</f>
        <v/>
      </c>
      <c r="AA488">
        <f>IF([2]Entry!$G$491="","",[2]Entry!$G$491)</f>
        <v/>
      </c>
      <c r="AB488">
        <f>IF([2]Entry!$J$491="","",[2]Entry!$J$491)</f>
        <v/>
      </c>
      <c r="AC488">
        <f>IF([2]Entry!$K$491="","",[2]Entry!$K$491)</f>
        <v/>
      </c>
      <c r="AD488">
        <f>IF([2]Entry!$L$491="","",[2]Entry!$L$491)</f>
        <v/>
      </c>
      <c r="AE488">
        <f>IF([2]Entry!$M$491="","",[2]Entry!$M$491)</f>
        <v/>
      </c>
      <c r="AF488">
        <f>IF([2]Entry!$N$491="","",[2]Entry!$N$491)</f>
        <v/>
      </c>
      <c r="AG488">
        <f>IF([3]Issues!$B$491="","",[3]Issues!$B$491)</f>
        <v/>
      </c>
      <c r="AH488">
        <f>IF([3]Issues!$D$491="","",[3]Issues!$D$491)</f>
        <v/>
      </c>
      <c r="AI488">
        <f>IF([3]Issues!$E$491="","",[3]Issues!$E$491)</f>
        <v/>
      </c>
      <c r="AJ488">
        <f>IF([2]Entry!$S$491="","",[2]Entry!$S$491)</f>
        <v/>
      </c>
      <c r="AK488">
        <f>IF([2]Entry!$C$491="","",[2]Entry!$C$491)</f>
        <v/>
      </c>
      <c r="AL488">
        <f>IF([2]Entry!$D$491="","",[2]Entry!$D$491)</f>
        <v/>
      </c>
      <c r="AM488">
        <f>IF(AND($F488&lt;&gt;"",$I488&lt;&gt;""),IF($G488="دارایی ثابت",1,0),0)</f>
        <v/>
      </c>
      <c r="AN488">
        <f>SUM($AM$6:$AM488)</f>
        <v/>
      </c>
      <c r="AO488">
        <f>IFERROR(INDEX($F$6:$F$565,MATCH(ROW()-5,$AN$6:$AN$565,0)),"")</f>
        <v/>
      </c>
      <c r="AP488">
        <f>IF(AND($F488&lt;&gt;"",$I488&lt;&gt;""),IF($G488="وام و تسهیلات",1,0),0)</f>
        <v/>
      </c>
      <c r="AQ488">
        <f>SUM($AP$6:$AP488)</f>
        <v/>
      </c>
      <c r="AR488">
        <f>IFERROR(INDEX($F$6:$F$565,MATCH(ROW()-5,$AQ$6:$AQ$565,0)),"")</f>
        <v/>
      </c>
      <c r="AS488">
        <f>IF(AND($F488&lt;&gt;"",$I488&lt;&gt;""),IF($G488="سرمایه و آورده صاحبان",1,0),0)</f>
        <v/>
      </c>
      <c r="AT488">
        <f>SUM($AS$6:$AS488)</f>
        <v/>
      </c>
      <c r="AU488">
        <f>IFERROR(INDEX($F$6:$F$565,MATCH(ROW()-5,$AT$6:$AT$565,0)),"")</f>
        <v/>
      </c>
      <c r="AW488">
        <f>IF([3]Issues!$C$491="","",[3]Issues!$C$491)</f>
        <v/>
      </c>
      <c r="AX488">
        <f>IF([4]Entry!$E$491="","",[4]Entry!$E$491)</f>
        <v/>
      </c>
      <c r="AY488">
        <f>IF([4]Entry!$H$491="","",[4]Entry!$H$491)</f>
        <v/>
      </c>
      <c r="AZ488">
        <f>IF([4]Entry!$I$491="","",[4]Entry!$I$491)</f>
        <v/>
      </c>
    </row>
    <row r="489">
      <c r="F489">
        <f>IF([1]Accounts!$D$490="","",[1]Accounts!$A$490)</f>
        <v/>
      </c>
      <c r="G489">
        <f>IF([1]Accounts!$D$490="","",[1]Accounts!$B$490)</f>
        <v/>
      </c>
      <c r="H489">
        <f>IF([1]Accounts!$D$490="","",[1]Accounts!$C$490)</f>
        <v/>
      </c>
      <c r="I489">
        <f>IF([1]Accounts!$D$490="","",[1]Accounts!$D$490)</f>
        <v/>
      </c>
      <c r="R489">
        <f>IF(AND($F489&lt;&gt;"",$I489&lt;&gt;""),IF(OR($G489="دارایی ثابت",$G489="وام و تسهیلات",$G489="سرمایه و آورده صاحبان"),0,1),0)</f>
        <v/>
      </c>
      <c r="S489">
        <f>SUM($R$6:$R489)</f>
        <v/>
      </c>
      <c r="T489">
        <f>IFERROR(INDEX($F$6:$F$565,MATCH(ROW()-5,$S$6:$S$565,0)),"")</f>
        <v/>
      </c>
      <c r="Z489">
        <f>IF([2]Entry!$E$492="","",[2]Entry!$E$492)</f>
        <v/>
      </c>
      <c r="AA489">
        <f>IF([2]Entry!$G$492="","",[2]Entry!$G$492)</f>
        <v/>
      </c>
      <c r="AB489">
        <f>IF([2]Entry!$J$492="","",[2]Entry!$J$492)</f>
        <v/>
      </c>
      <c r="AC489">
        <f>IF([2]Entry!$K$492="","",[2]Entry!$K$492)</f>
        <v/>
      </c>
      <c r="AD489">
        <f>IF([2]Entry!$L$492="","",[2]Entry!$L$492)</f>
        <v/>
      </c>
      <c r="AE489">
        <f>IF([2]Entry!$M$492="","",[2]Entry!$M$492)</f>
        <v/>
      </c>
      <c r="AF489">
        <f>IF([2]Entry!$N$492="","",[2]Entry!$N$492)</f>
        <v/>
      </c>
      <c r="AG489">
        <f>IF([3]Issues!$B$492="","",[3]Issues!$B$492)</f>
        <v/>
      </c>
      <c r="AH489">
        <f>IF([3]Issues!$D$492="","",[3]Issues!$D$492)</f>
        <v/>
      </c>
      <c r="AI489">
        <f>IF([3]Issues!$E$492="","",[3]Issues!$E$492)</f>
        <v/>
      </c>
      <c r="AJ489">
        <f>IF([2]Entry!$S$492="","",[2]Entry!$S$492)</f>
        <v/>
      </c>
      <c r="AK489">
        <f>IF([2]Entry!$C$492="","",[2]Entry!$C$492)</f>
        <v/>
      </c>
      <c r="AL489">
        <f>IF([2]Entry!$D$492="","",[2]Entry!$D$492)</f>
        <v/>
      </c>
      <c r="AM489">
        <f>IF(AND($F489&lt;&gt;"",$I489&lt;&gt;""),IF($G489="دارایی ثابت",1,0),0)</f>
        <v/>
      </c>
      <c r="AN489">
        <f>SUM($AM$6:$AM489)</f>
        <v/>
      </c>
      <c r="AO489">
        <f>IFERROR(INDEX($F$6:$F$565,MATCH(ROW()-5,$AN$6:$AN$565,0)),"")</f>
        <v/>
      </c>
      <c r="AP489">
        <f>IF(AND($F489&lt;&gt;"",$I489&lt;&gt;""),IF($G489="وام و تسهیلات",1,0),0)</f>
        <v/>
      </c>
      <c r="AQ489">
        <f>SUM($AP$6:$AP489)</f>
        <v/>
      </c>
      <c r="AR489">
        <f>IFERROR(INDEX($F$6:$F$565,MATCH(ROW()-5,$AQ$6:$AQ$565,0)),"")</f>
        <v/>
      </c>
      <c r="AS489">
        <f>IF(AND($F489&lt;&gt;"",$I489&lt;&gt;""),IF($G489="سرمایه و آورده صاحبان",1,0),0)</f>
        <v/>
      </c>
      <c r="AT489">
        <f>SUM($AS$6:$AS489)</f>
        <v/>
      </c>
      <c r="AU489">
        <f>IFERROR(INDEX($F$6:$F$565,MATCH(ROW()-5,$AT$6:$AT$565,0)),"")</f>
        <v/>
      </c>
      <c r="AW489">
        <f>IF([3]Issues!$C$492="","",[3]Issues!$C$492)</f>
        <v/>
      </c>
      <c r="AX489">
        <f>IF([4]Entry!$E$492="","",[4]Entry!$E$492)</f>
        <v/>
      </c>
      <c r="AY489">
        <f>IF([4]Entry!$H$492="","",[4]Entry!$H$492)</f>
        <v/>
      </c>
      <c r="AZ489">
        <f>IF([4]Entry!$I$492="","",[4]Entry!$I$492)</f>
        <v/>
      </c>
    </row>
    <row r="490">
      <c r="F490">
        <f>IF([1]Accounts!$D$491="","",[1]Accounts!$A$491)</f>
        <v/>
      </c>
      <c r="G490">
        <f>IF([1]Accounts!$D$491="","",[1]Accounts!$B$491)</f>
        <v/>
      </c>
      <c r="H490">
        <f>IF([1]Accounts!$D$491="","",[1]Accounts!$C$491)</f>
        <v/>
      </c>
      <c r="I490">
        <f>IF([1]Accounts!$D$491="","",[1]Accounts!$D$491)</f>
        <v/>
      </c>
      <c r="R490">
        <f>IF(AND($F490&lt;&gt;"",$I490&lt;&gt;""),IF(OR($G490="دارایی ثابت",$G490="وام و تسهیلات",$G490="سرمایه و آورده صاحبان"),0,1),0)</f>
        <v/>
      </c>
      <c r="S490">
        <f>SUM($R$6:$R490)</f>
        <v/>
      </c>
      <c r="T490">
        <f>IFERROR(INDEX($F$6:$F$565,MATCH(ROW()-5,$S$6:$S$565,0)),"")</f>
        <v/>
      </c>
      <c r="Z490">
        <f>IF([2]Entry!$E$493="","",[2]Entry!$E$493)</f>
        <v/>
      </c>
      <c r="AA490">
        <f>IF([2]Entry!$G$493="","",[2]Entry!$G$493)</f>
        <v/>
      </c>
      <c r="AB490">
        <f>IF([2]Entry!$J$493="","",[2]Entry!$J$493)</f>
        <v/>
      </c>
      <c r="AC490">
        <f>IF([2]Entry!$K$493="","",[2]Entry!$K$493)</f>
        <v/>
      </c>
      <c r="AD490">
        <f>IF([2]Entry!$L$493="","",[2]Entry!$L$493)</f>
        <v/>
      </c>
      <c r="AE490">
        <f>IF([2]Entry!$M$493="","",[2]Entry!$M$493)</f>
        <v/>
      </c>
      <c r="AF490">
        <f>IF([2]Entry!$N$493="","",[2]Entry!$N$493)</f>
        <v/>
      </c>
      <c r="AG490">
        <f>IF([3]Issues!$B$493="","",[3]Issues!$B$493)</f>
        <v/>
      </c>
      <c r="AH490">
        <f>IF([3]Issues!$D$493="","",[3]Issues!$D$493)</f>
        <v/>
      </c>
      <c r="AI490">
        <f>IF([3]Issues!$E$493="","",[3]Issues!$E$493)</f>
        <v/>
      </c>
      <c r="AJ490">
        <f>IF([2]Entry!$S$493="","",[2]Entry!$S$493)</f>
        <v/>
      </c>
      <c r="AK490">
        <f>IF([2]Entry!$C$493="","",[2]Entry!$C$493)</f>
        <v/>
      </c>
      <c r="AL490">
        <f>IF([2]Entry!$D$493="","",[2]Entry!$D$493)</f>
        <v/>
      </c>
      <c r="AM490">
        <f>IF(AND($F490&lt;&gt;"",$I490&lt;&gt;""),IF($G490="دارایی ثابت",1,0),0)</f>
        <v/>
      </c>
      <c r="AN490">
        <f>SUM($AM$6:$AM490)</f>
        <v/>
      </c>
      <c r="AO490">
        <f>IFERROR(INDEX($F$6:$F$565,MATCH(ROW()-5,$AN$6:$AN$565,0)),"")</f>
        <v/>
      </c>
      <c r="AP490">
        <f>IF(AND($F490&lt;&gt;"",$I490&lt;&gt;""),IF($G490="وام و تسهیلات",1,0),0)</f>
        <v/>
      </c>
      <c r="AQ490">
        <f>SUM($AP$6:$AP490)</f>
        <v/>
      </c>
      <c r="AR490">
        <f>IFERROR(INDEX($F$6:$F$565,MATCH(ROW()-5,$AQ$6:$AQ$565,0)),"")</f>
        <v/>
      </c>
      <c r="AS490">
        <f>IF(AND($F490&lt;&gt;"",$I490&lt;&gt;""),IF($G490="سرمایه و آورده صاحبان",1,0),0)</f>
        <v/>
      </c>
      <c r="AT490">
        <f>SUM($AS$6:$AS490)</f>
        <v/>
      </c>
      <c r="AU490">
        <f>IFERROR(INDEX($F$6:$F$565,MATCH(ROW()-5,$AT$6:$AT$565,0)),"")</f>
        <v/>
      </c>
      <c r="AW490">
        <f>IF([3]Issues!$C$493="","",[3]Issues!$C$493)</f>
        <v/>
      </c>
      <c r="AX490">
        <f>IF([4]Entry!$E$493="","",[4]Entry!$E$493)</f>
        <v/>
      </c>
      <c r="AY490">
        <f>IF([4]Entry!$H$493="","",[4]Entry!$H$493)</f>
        <v/>
      </c>
      <c r="AZ490">
        <f>IF([4]Entry!$I$493="","",[4]Entry!$I$493)</f>
        <v/>
      </c>
    </row>
    <row r="491">
      <c r="F491">
        <f>IF([1]Accounts!$D$492="","",[1]Accounts!$A$492)</f>
        <v/>
      </c>
      <c r="G491">
        <f>IF([1]Accounts!$D$492="","",[1]Accounts!$B$492)</f>
        <v/>
      </c>
      <c r="H491">
        <f>IF([1]Accounts!$D$492="","",[1]Accounts!$C$492)</f>
        <v/>
      </c>
      <c r="I491">
        <f>IF([1]Accounts!$D$492="","",[1]Accounts!$D$492)</f>
        <v/>
      </c>
      <c r="R491">
        <f>IF(AND($F491&lt;&gt;"",$I491&lt;&gt;""),IF(OR($G491="دارایی ثابت",$G491="وام و تسهیلات",$G491="سرمایه و آورده صاحبان"),0,1),0)</f>
        <v/>
      </c>
      <c r="S491">
        <f>SUM($R$6:$R491)</f>
        <v/>
      </c>
      <c r="T491">
        <f>IFERROR(INDEX($F$6:$F$565,MATCH(ROW()-5,$S$6:$S$565,0)),"")</f>
        <v/>
      </c>
      <c r="Z491">
        <f>IF([2]Entry!$E$494="","",[2]Entry!$E$494)</f>
        <v/>
      </c>
      <c r="AA491">
        <f>IF([2]Entry!$G$494="","",[2]Entry!$G$494)</f>
        <v/>
      </c>
      <c r="AB491">
        <f>IF([2]Entry!$J$494="","",[2]Entry!$J$494)</f>
        <v/>
      </c>
      <c r="AC491">
        <f>IF([2]Entry!$K$494="","",[2]Entry!$K$494)</f>
        <v/>
      </c>
      <c r="AD491">
        <f>IF([2]Entry!$L$494="","",[2]Entry!$L$494)</f>
        <v/>
      </c>
      <c r="AE491">
        <f>IF([2]Entry!$M$494="","",[2]Entry!$M$494)</f>
        <v/>
      </c>
      <c r="AF491">
        <f>IF([2]Entry!$N$494="","",[2]Entry!$N$494)</f>
        <v/>
      </c>
      <c r="AG491">
        <f>IF([3]Issues!$B$494="","",[3]Issues!$B$494)</f>
        <v/>
      </c>
      <c r="AH491">
        <f>IF([3]Issues!$D$494="","",[3]Issues!$D$494)</f>
        <v/>
      </c>
      <c r="AI491">
        <f>IF([3]Issues!$E$494="","",[3]Issues!$E$494)</f>
        <v/>
      </c>
      <c r="AJ491">
        <f>IF([2]Entry!$S$494="","",[2]Entry!$S$494)</f>
        <v/>
      </c>
      <c r="AK491">
        <f>IF([2]Entry!$C$494="","",[2]Entry!$C$494)</f>
        <v/>
      </c>
      <c r="AL491">
        <f>IF([2]Entry!$D$494="","",[2]Entry!$D$494)</f>
        <v/>
      </c>
      <c r="AM491">
        <f>IF(AND($F491&lt;&gt;"",$I491&lt;&gt;""),IF($G491="دارایی ثابت",1,0),0)</f>
        <v/>
      </c>
      <c r="AN491">
        <f>SUM($AM$6:$AM491)</f>
        <v/>
      </c>
      <c r="AO491">
        <f>IFERROR(INDEX($F$6:$F$565,MATCH(ROW()-5,$AN$6:$AN$565,0)),"")</f>
        <v/>
      </c>
      <c r="AP491">
        <f>IF(AND($F491&lt;&gt;"",$I491&lt;&gt;""),IF($G491="وام و تسهیلات",1,0),0)</f>
        <v/>
      </c>
      <c r="AQ491">
        <f>SUM($AP$6:$AP491)</f>
        <v/>
      </c>
      <c r="AR491">
        <f>IFERROR(INDEX($F$6:$F$565,MATCH(ROW()-5,$AQ$6:$AQ$565,0)),"")</f>
        <v/>
      </c>
      <c r="AS491">
        <f>IF(AND($F491&lt;&gt;"",$I491&lt;&gt;""),IF($G491="سرمایه و آورده صاحبان",1,0),0)</f>
        <v/>
      </c>
      <c r="AT491">
        <f>SUM($AS$6:$AS491)</f>
        <v/>
      </c>
      <c r="AU491">
        <f>IFERROR(INDEX($F$6:$F$565,MATCH(ROW()-5,$AT$6:$AT$565,0)),"")</f>
        <v/>
      </c>
      <c r="AW491">
        <f>IF([3]Issues!$C$494="","",[3]Issues!$C$494)</f>
        <v/>
      </c>
      <c r="AX491">
        <f>IF([4]Entry!$E$494="","",[4]Entry!$E$494)</f>
        <v/>
      </c>
      <c r="AY491">
        <f>IF([4]Entry!$H$494="","",[4]Entry!$H$494)</f>
        <v/>
      </c>
      <c r="AZ491">
        <f>IF([4]Entry!$I$494="","",[4]Entry!$I$494)</f>
        <v/>
      </c>
    </row>
    <row r="492">
      <c r="F492">
        <f>IF([1]Accounts!$D$493="","",[1]Accounts!$A$493)</f>
        <v/>
      </c>
      <c r="G492">
        <f>IF([1]Accounts!$D$493="","",[1]Accounts!$B$493)</f>
        <v/>
      </c>
      <c r="H492">
        <f>IF([1]Accounts!$D$493="","",[1]Accounts!$C$493)</f>
        <v/>
      </c>
      <c r="I492">
        <f>IF([1]Accounts!$D$493="","",[1]Accounts!$D$493)</f>
        <v/>
      </c>
      <c r="R492">
        <f>IF(AND($F492&lt;&gt;"",$I492&lt;&gt;""),IF(OR($G492="دارایی ثابت",$G492="وام و تسهیلات",$G492="سرمایه و آورده صاحبان"),0,1),0)</f>
        <v/>
      </c>
      <c r="S492">
        <f>SUM($R$6:$R492)</f>
        <v/>
      </c>
      <c r="T492">
        <f>IFERROR(INDEX($F$6:$F$565,MATCH(ROW()-5,$S$6:$S$565,0)),"")</f>
        <v/>
      </c>
      <c r="Z492">
        <f>IF([2]Entry!$E$495="","",[2]Entry!$E$495)</f>
        <v/>
      </c>
      <c r="AA492">
        <f>IF([2]Entry!$G$495="","",[2]Entry!$G$495)</f>
        <v/>
      </c>
      <c r="AB492">
        <f>IF([2]Entry!$J$495="","",[2]Entry!$J$495)</f>
        <v/>
      </c>
      <c r="AC492">
        <f>IF([2]Entry!$K$495="","",[2]Entry!$K$495)</f>
        <v/>
      </c>
      <c r="AD492">
        <f>IF([2]Entry!$L$495="","",[2]Entry!$L$495)</f>
        <v/>
      </c>
      <c r="AE492">
        <f>IF([2]Entry!$M$495="","",[2]Entry!$M$495)</f>
        <v/>
      </c>
      <c r="AF492">
        <f>IF([2]Entry!$N$495="","",[2]Entry!$N$495)</f>
        <v/>
      </c>
      <c r="AG492">
        <f>IF([3]Issues!$B$495="","",[3]Issues!$B$495)</f>
        <v/>
      </c>
      <c r="AH492">
        <f>IF([3]Issues!$D$495="","",[3]Issues!$D$495)</f>
        <v/>
      </c>
      <c r="AI492">
        <f>IF([3]Issues!$E$495="","",[3]Issues!$E$495)</f>
        <v/>
      </c>
      <c r="AJ492">
        <f>IF([2]Entry!$S$495="","",[2]Entry!$S$495)</f>
        <v/>
      </c>
      <c r="AK492">
        <f>IF([2]Entry!$C$495="","",[2]Entry!$C$495)</f>
        <v/>
      </c>
      <c r="AL492">
        <f>IF([2]Entry!$D$495="","",[2]Entry!$D$495)</f>
        <v/>
      </c>
      <c r="AM492">
        <f>IF(AND($F492&lt;&gt;"",$I492&lt;&gt;""),IF($G492="دارایی ثابت",1,0),0)</f>
        <v/>
      </c>
      <c r="AN492">
        <f>SUM($AM$6:$AM492)</f>
        <v/>
      </c>
      <c r="AO492">
        <f>IFERROR(INDEX($F$6:$F$565,MATCH(ROW()-5,$AN$6:$AN$565,0)),"")</f>
        <v/>
      </c>
      <c r="AP492">
        <f>IF(AND($F492&lt;&gt;"",$I492&lt;&gt;""),IF($G492="وام و تسهیلات",1,0),0)</f>
        <v/>
      </c>
      <c r="AQ492">
        <f>SUM($AP$6:$AP492)</f>
        <v/>
      </c>
      <c r="AR492">
        <f>IFERROR(INDEX($F$6:$F$565,MATCH(ROW()-5,$AQ$6:$AQ$565,0)),"")</f>
        <v/>
      </c>
      <c r="AS492">
        <f>IF(AND($F492&lt;&gt;"",$I492&lt;&gt;""),IF($G492="سرمایه و آورده صاحبان",1,0),0)</f>
        <v/>
      </c>
      <c r="AT492">
        <f>SUM($AS$6:$AS492)</f>
        <v/>
      </c>
      <c r="AU492">
        <f>IFERROR(INDEX($F$6:$F$565,MATCH(ROW()-5,$AT$6:$AT$565,0)),"")</f>
        <v/>
      </c>
      <c r="AW492">
        <f>IF([3]Issues!$C$495="","",[3]Issues!$C$495)</f>
        <v/>
      </c>
      <c r="AX492">
        <f>IF([4]Entry!$E$495="","",[4]Entry!$E$495)</f>
        <v/>
      </c>
      <c r="AY492">
        <f>IF([4]Entry!$H$495="","",[4]Entry!$H$495)</f>
        <v/>
      </c>
      <c r="AZ492">
        <f>IF([4]Entry!$I$495="","",[4]Entry!$I$495)</f>
        <v/>
      </c>
    </row>
    <row r="493">
      <c r="F493">
        <f>IF([1]Accounts!$D$494="","",[1]Accounts!$A$494)</f>
        <v/>
      </c>
      <c r="G493">
        <f>IF([1]Accounts!$D$494="","",[1]Accounts!$B$494)</f>
        <v/>
      </c>
      <c r="H493">
        <f>IF([1]Accounts!$D$494="","",[1]Accounts!$C$494)</f>
        <v/>
      </c>
      <c r="I493">
        <f>IF([1]Accounts!$D$494="","",[1]Accounts!$D$494)</f>
        <v/>
      </c>
      <c r="R493">
        <f>IF(AND($F493&lt;&gt;"",$I493&lt;&gt;""),IF(OR($G493="دارایی ثابت",$G493="وام و تسهیلات",$G493="سرمایه و آورده صاحبان"),0,1),0)</f>
        <v/>
      </c>
      <c r="S493">
        <f>SUM($R$6:$R493)</f>
        <v/>
      </c>
      <c r="T493">
        <f>IFERROR(INDEX($F$6:$F$565,MATCH(ROW()-5,$S$6:$S$565,0)),"")</f>
        <v/>
      </c>
      <c r="Z493">
        <f>IF([2]Entry!$E$496="","",[2]Entry!$E$496)</f>
        <v/>
      </c>
      <c r="AA493">
        <f>IF([2]Entry!$G$496="","",[2]Entry!$G$496)</f>
        <v/>
      </c>
      <c r="AB493">
        <f>IF([2]Entry!$J$496="","",[2]Entry!$J$496)</f>
        <v/>
      </c>
      <c r="AC493">
        <f>IF([2]Entry!$K$496="","",[2]Entry!$K$496)</f>
        <v/>
      </c>
      <c r="AD493">
        <f>IF([2]Entry!$L$496="","",[2]Entry!$L$496)</f>
        <v/>
      </c>
      <c r="AE493">
        <f>IF([2]Entry!$M$496="","",[2]Entry!$M$496)</f>
        <v/>
      </c>
      <c r="AF493">
        <f>IF([2]Entry!$N$496="","",[2]Entry!$N$496)</f>
        <v/>
      </c>
      <c r="AG493">
        <f>IF([3]Issues!$B$496="","",[3]Issues!$B$496)</f>
        <v/>
      </c>
      <c r="AH493">
        <f>IF([3]Issues!$D$496="","",[3]Issues!$D$496)</f>
        <v/>
      </c>
      <c r="AI493">
        <f>IF([3]Issues!$E$496="","",[3]Issues!$E$496)</f>
        <v/>
      </c>
      <c r="AJ493">
        <f>IF([2]Entry!$S$496="","",[2]Entry!$S$496)</f>
        <v/>
      </c>
      <c r="AK493">
        <f>IF([2]Entry!$C$496="","",[2]Entry!$C$496)</f>
        <v/>
      </c>
      <c r="AL493">
        <f>IF([2]Entry!$D$496="","",[2]Entry!$D$496)</f>
        <v/>
      </c>
      <c r="AM493">
        <f>IF(AND($F493&lt;&gt;"",$I493&lt;&gt;""),IF($G493="دارایی ثابت",1,0),0)</f>
        <v/>
      </c>
      <c r="AN493">
        <f>SUM($AM$6:$AM493)</f>
        <v/>
      </c>
      <c r="AO493">
        <f>IFERROR(INDEX($F$6:$F$565,MATCH(ROW()-5,$AN$6:$AN$565,0)),"")</f>
        <v/>
      </c>
      <c r="AP493">
        <f>IF(AND($F493&lt;&gt;"",$I493&lt;&gt;""),IF($G493="وام و تسهیلات",1,0),0)</f>
        <v/>
      </c>
      <c r="AQ493">
        <f>SUM($AP$6:$AP493)</f>
        <v/>
      </c>
      <c r="AR493">
        <f>IFERROR(INDEX($F$6:$F$565,MATCH(ROW()-5,$AQ$6:$AQ$565,0)),"")</f>
        <v/>
      </c>
      <c r="AS493">
        <f>IF(AND($F493&lt;&gt;"",$I493&lt;&gt;""),IF($G493="سرمایه و آورده صاحبان",1,0),0)</f>
        <v/>
      </c>
      <c r="AT493">
        <f>SUM($AS$6:$AS493)</f>
        <v/>
      </c>
      <c r="AU493">
        <f>IFERROR(INDEX($F$6:$F$565,MATCH(ROW()-5,$AT$6:$AT$565,0)),"")</f>
        <v/>
      </c>
      <c r="AW493">
        <f>IF([3]Issues!$C$496="","",[3]Issues!$C$496)</f>
        <v/>
      </c>
      <c r="AX493">
        <f>IF([4]Entry!$E$496="","",[4]Entry!$E$496)</f>
        <v/>
      </c>
      <c r="AY493">
        <f>IF([4]Entry!$H$496="","",[4]Entry!$H$496)</f>
        <v/>
      </c>
      <c r="AZ493">
        <f>IF([4]Entry!$I$496="","",[4]Entry!$I$496)</f>
        <v/>
      </c>
    </row>
    <row r="494">
      <c r="F494">
        <f>IF([1]Accounts!$D$495="","",[1]Accounts!$A$495)</f>
        <v/>
      </c>
      <c r="G494">
        <f>IF([1]Accounts!$D$495="","",[1]Accounts!$B$495)</f>
        <v/>
      </c>
      <c r="H494">
        <f>IF([1]Accounts!$D$495="","",[1]Accounts!$C$495)</f>
        <v/>
      </c>
      <c r="I494">
        <f>IF([1]Accounts!$D$495="","",[1]Accounts!$D$495)</f>
        <v/>
      </c>
      <c r="R494">
        <f>IF(AND($F494&lt;&gt;"",$I494&lt;&gt;""),IF(OR($G494="دارایی ثابت",$G494="وام و تسهیلات",$G494="سرمایه و آورده صاحبان"),0,1),0)</f>
        <v/>
      </c>
      <c r="S494">
        <f>SUM($R$6:$R494)</f>
        <v/>
      </c>
      <c r="T494">
        <f>IFERROR(INDEX($F$6:$F$565,MATCH(ROW()-5,$S$6:$S$565,0)),"")</f>
        <v/>
      </c>
      <c r="Z494">
        <f>IF([2]Entry!$E$497="","",[2]Entry!$E$497)</f>
        <v/>
      </c>
      <c r="AA494">
        <f>IF([2]Entry!$G$497="","",[2]Entry!$G$497)</f>
        <v/>
      </c>
      <c r="AB494">
        <f>IF([2]Entry!$J$497="","",[2]Entry!$J$497)</f>
        <v/>
      </c>
      <c r="AC494">
        <f>IF([2]Entry!$K$497="","",[2]Entry!$K$497)</f>
        <v/>
      </c>
      <c r="AD494">
        <f>IF([2]Entry!$L$497="","",[2]Entry!$L$497)</f>
        <v/>
      </c>
      <c r="AE494">
        <f>IF([2]Entry!$M$497="","",[2]Entry!$M$497)</f>
        <v/>
      </c>
      <c r="AF494">
        <f>IF([2]Entry!$N$497="","",[2]Entry!$N$497)</f>
        <v/>
      </c>
      <c r="AG494">
        <f>IF([3]Issues!$B$497="","",[3]Issues!$B$497)</f>
        <v/>
      </c>
      <c r="AH494">
        <f>IF([3]Issues!$D$497="","",[3]Issues!$D$497)</f>
        <v/>
      </c>
      <c r="AI494">
        <f>IF([3]Issues!$E$497="","",[3]Issues!$E$497)</f>
        <v/>
      </c>
      <c r="AJ494">
        <f>IF([2]Entry!$S$497="","",[2]Entry!$S$497)</f>
        <v/>
      </c>
      <c r="AK494">
        <f>IF([2]Entry!$C$497="","",[2]Entry!$C$497)</f>
        <v/>
      </c>
      <c r="AL494">
        <f>IF([2]Entry!$D$497="","",[2]Entry!$D$497)</f>
        <v/>
      </c>
      <c r="AM494">
        <f>IF(AND($F494&lt;&gt;"",$I494&lt;&gt;""),IF($G494="دارایی ثابت",1,0),0)</f>
        <v/>
      </c>
      <c r="AN494">
        <f>SUM($AM$6:$AM494)</f>
        <v/>
      </c>
      <c r="AO494">
        <f>IFERROR(INDEX($F$6:$F$565,MATCH(ROW()-5,$AN$6:$AN$565,0)),"")</f>
        <v/>
      </c>
      <c r="AP494">
        <f>IF(AND($F494&lt;&gt;"",$I494&lt;&gt;""),IF($G494="وام و تسهیلات",1,0),0)</f>
        <v/>
      </c>
      <c r="AQ494">
        <f>SUM($AP$6:$AP494)</f>
        <v/>
      </c>
      <c r="AR494">
        <f>IFERROR(INDEX($F$6:$F$565,MATCH(ROW()-5,$AQ$6:$AQ$565,0)),"")</f>
        <v/>
      </c>
      <c r="AS494">
        <f>IF(AND($F494&lt;&gt;"",$I494&lt;&gt;""),IF($G494="سرمایه و آورده صاحبان",1,0),0)</f>
        <v/>
      </c>
      <c r="AT494">
        <f>SUM($AS$6:$AS494)</f>
        <v/>
      </c>
      <c r="AU494">
        <f>IFERROR(INDEX($F$6:$F$565,MATCH(ROW()-5,$AT$6:$AT$565,0)),"")</f>
        <v/>
      </c>
      <c r="AW494">
        <f>IF([3]Issues!$C$497="","",[3]Issues!$C$497)</f>
        <v/>
      </c>
      <c r="AX494">
        <f>IF([4]Entry!$E$497="","",[4]Entry!$E$497)</f>
        <v/>
      </c>
      <c r="AY494">
        <f>IF([4]Entry!$H$497="","",[4]Entry!$H$497)</f>
        <v/>
      </c>
      <c r="AZ494">
        <f>IF([4]Entry!$I$497="","",[4]Entry!$I$497)</f>
        <v/>
      </c>
    </row>
    <row r="495">
      <c r="F495">
        <f>IF([1]Accounts!$D$496="","",[1]Accounts!$A$496)</f>
        <v/>
      </c>
      <c r="G495">
        <f>IF([1]Accounts!$D$496="","",[1]Accounts!$B$496)</f>
        <v/>
      </c>
      <c r="H495">
        <f>IF([1]Accounts!$D$496="","",[1]Accounts!$C$496)</f>
        <v/>
      </c>
      <c r="I495">
        <f>IF([1]Accounts!$D$496="","",[1]Accounts!$D$496)</f>
        <v/>
      </c>
      <c r="R495">
        <f>IF(AND($F495&lt;&gt;"",$I495&lt;&gt;""),IF(OR($G495="دارایی ثابت",$G495="وام و تسهیلات",$G495="سرمایه و آورده صاحبان"),0,1),0)</f>
        <v/>
      </c>
      <c r="S495">
        <f>SUM($R$6:$R495)</f>
        <v/>
      </c>
      <c r="T495">
        <f>IFERROR(INDEX($F$6:$F$565,MATCH(ROW()-5,$S$6:$S$565,0)),"")</f>
        <v/>
      </c>
      <c r="Z495">
        <f>IF([2]Entry!$E$498="","",[2]Entry!$E$498)</f>
        <v/>
      </c>
      <c r="AA495">
        <f>IF([2]Entry!$G$498="","",[2]Entry!$G$498)</f>
        <v/>
      </c>
      <c r="AB495">
        <f>IF([2]Entry!$J$498="","",[2]Entry!$J$498)</f>
        <v/>
      </c>
      <c r="AC495">
        <f>IF([2]Entry!$K$498="","",[2]Entry!$K$498)</f>
        <v/>
      </c>
      <c r="AD495">
        <f>IF([2]Entry!$L$498="","",[2]Entry!$L$498)</f>
        <v/>
      </c>
      <c r="AE495">
        <f>IF([2]Entry!$M$498="","",[2]Entry!$M$498)</f>
        <v/>
      </c>
      <c r="AF495">
        <f>IF([2]Entry!$N$498="","",[2]Entry!$N$498)</f>
        <v/>
      </c>
      <c r="AG495">
        <f>IF([3]Issues!$B$498="","",[3]Issues!$B$498)</f>
        <v/>
      </c>
      <c r="AH495">
        <f>IF([3]Issues!$D$498="","",[3]Issues!$D$498)</f>
        <v/>
      </c>
      <c r="AI495">
        <f>IF([3]Issues!$E$498="","",[3]Issues!$E$498)</f>
        <v/>
      </c>
      <c r="AJ495">
        <f>IF([2]Entry!$S$498="","",[2]Entry!$S$498)</f>
        <v/>
      </c>
      <c r="AK495">
        <f>IF([2]Entry!$C$498="","",[2]Entry!$C$498)</f>
        <v/>
      </c>
      <c r="AL495">
        <f>IF([2]Entry!$D$498="","",[2]Entry!$D$498)</f>
        <v/>
      </c>
      <c r="AM495">
        <f>IF(AND($F495&lt;&gt;"",$I495&lt;&gt;""),IF($G495="دارایی ثابت",1,0),0)</f>
        <v/>
      </c>
      <c r="AN495">
        <f>SUM($AM$6:$AM495)</f>
        <v/>
      </c>
      <c r="AO495">
        <f>IFERROR(INDEX($F$6:$F$565,MATCH(ROW()-5,$AN$6:$AN$565,0)),"")</f>
        <v/>
      </c>
      <c r="AP495">
        <f>IF(AND($F495&lt;&gt;"",$I495&lt;&gt;""),IF($G495="وام و تسهیلات",1,0),0)</f>
        <v/>
      </c>
      <c r="AQ495">
        <f>SUM($AP$6:$AP495)</f>
        <v/>
      </c>
      <c r="AR495">
        <f>IFERROR(INDEX($F$6:$F$565,MATCH(ROW()-5,$AQ$6:$AQ$565,0)),"")</f>
        <v/>
      </c>
      <c r="AS495">
        <f>IF(AND($F495&lt;&gt;"",$I495&lt;&gt;""),IF($G495="سرمایه و آورده صاحبان",1,0),0)</f>
        <v/>
      </c>
      <c r="AT495">
        <f>SUM($AS$6:$AS495)</f>
        <v/>
      </c>
      <c r="AU495">
        <f>IFERROR(INDEX($F$6:$F$565,MATCH(ROW()-5,$AT$6:$AT$565,0)),"")</f>
        <v/>
      </c>
      <c r="AW495">
        <f>IF([3]Issues!$C$498="","",[3]Issues!$C$498)</f>
        <v/>
      </c>
      <c r="AX495">
        <f>IF([4]Entry!$E$498="","",[4]Entry!$E$498)</f>
        <v/>
      </c>
      <c r="AY495">
        <f>IF([4]Entry!$H$498="","",[4]Entry!$H$498)</f>
        <v/>
      </c>
      <c r="AZ495">
        <f>IF([4]Entry!$I$498="","",[4]Entry!$I$498)</f>
        <v/>
      </c>
    </row>
    <row r="496">
      <c r="F496">
        <f>IF([1]Accounts!$D$497="","",[1]Accounts!$A$497)</f>
        <v/>
      </c>
      <c r="G496">
        <f>IF([1]Accounts!$D$497="","",[1]Accounts!$B$497)</f>
        <v/>
      </c>
      <c r="H496">
        <f>IF([1]Accounts!$D$497="","",[1]Accounts!$C$497)</f>
        <v/>
      </c>
      <c r="I496">
        <f>IF([1]Accounts!$D$497="","",[1]Accounts!$D$497)</f>
        <v/>
      </c>
      <c r="R496">
        <f>IF(AND($F496&lt;&gt;"",$I496&lt;&gt;""),IF(OR($G496="دارایی ثابت",$G496="وام و تسهیلات",$G496="سرمایه و آورده صاحبان"),0,1),0)</f>
        <v/>
      </c>
      <c r="S496">
        <f>SUM($R$6:$R496)</f>
        <v/>
      </c>
      <c r="T496">
        <f>IFERROR(INDEX($F$6:$F$565,MATCH(ROW()-5,$S$6:$S$565,0)),"")</f>
        <v/>
      </c>
      <c r="Z496">
        <f>IF([2]Entry!$E$499="","",[2]Entry!$E$499)</f>
        <v/>
      </c>
      <c r="AA496">
        <f>IF([2]Entry!$G$499="","",[2]Entry!$G$499)</f>
        <v/>
      </c>
      <c r="AB496">
        <f>IF([2]Entry!$J$499="","",[2]Entry!$J$499)</f>
        <v/>
      </c>
      <c r="AC496">
        <f>IF([2]Entry!$K$499="","",[2]Entry!$K$499)</f>
        <v/>
      </c>
      <c r="AD496">
        <f>IF([2]Entry!$L$499="","",[2]Entry!$L$499)</f>
        <v/>
      </c>
      <c r="AE496">
        <f>IF([2]Entry!$M$499="","",[2]Entry!$M$499)</f>
        <v/>
      </c>
      <c r="AF496">
        <f>IF([2]Entry!$N$499="","",[2]Entry!$N$499)</f>
        <v/>
      </c>
      <c r="AG496">
        <f>IF([3]Issues!$B$499="","",[3]Issues!$B$499)</f>
        <v/>
      </c>
      <c r="AH496">
        <f>IF([3]Issues!$D$499="","",[3]Issues!$D$499)</f>
        <v/>
      </c>
      <c r="AI496">
        <f>IF([3]Issues!$E$499="","",[3]Issues!$E$499)</f>
        <v/>
      </c>
      <c r="AJ496">
        <f>IF([2]Entry!$S$499="","",[2]Entry!$S$499)</f>
        <v/>
      </c>
      <c r="AK496">
        <f>IF([2]Entry!$C$499="","",[2]Entry!$C$499)</f>
        <v/>
      </c>
      <c r="AL496">
        <f>IF([2]Entry!$D$499="","",[2]Entry!$D$499)</f>
        <v/>
      </c>
      <c r="AM496">
        <f>IF(AND($F496&lt;&gt;"",$I496&lt;&gt;""),IF($G496="دارایی ثابت",1,0),0)</f>
        <v/>
      </c>
      <c r="AN496">
        <f>SUM($AM$6:$AM496)</f>
        <v/>
      </c>
      <c r="AO496">
        <f>IFERROR(INDEX($F$6:$F$565,MATCH(ROW()-5,$AN$6:$AN$565,0)),"")</f>
        <v/>
      </c>
      <c r="AP496">
        <f>IF(AND($F496&lt;&gt;"",$I496&lt;&gt;""),IF($G496="وام و تسهیلات",1,0),0)</f>
        <v/>
      </c>
      <c r="AQ496">
        <f>SUM($AP$6:$AP496)</f>
        <v/>
      </c>
      <c r="AR496">
        <f>IFERROR(INDEX($F$6:$F$565,MATCH(ROW()-5,$AQ$6:$AQ$565,0)),"")</f>
        <v/>
      </c>
      <c r="AS496">
        <f>IF(AND($F496&lt;&gt;"",$I496&lt;&gt;""),IF($G496="سرمایه و آورده صاحبان",1,0),0)</f>
        <v/>
      </c>
      <c r="AT496">
        <f>SUM($AS$6:$AS496)</f>
        <v/>
      </c>
      <c r="AU496">
        <f>IFERROR(INDEX($F$6:$F$565,MATCH(ROW()-5,$AT$6:$AT$565,0)),"")</f>
        <v/>
      </c>
      <c r="AW496">
        <f>IF([3]Issues!$C$499="","",[3]Issues!$C$499)</f>
        <v/>
      </c>
      <c r="AX496">
        <f>IF([4]Entry!$E$499="","",[4]Entry!$E$499)</f>
        <v/>
      </c>
      <c r="AY496">
        <f>IF([4]Entry!$H$499="","",[4]Entry!$H$499)</f>
        <v/>
      </c>
      <c r="AZ496">
        <f>IF([4]Entry!$I$499="","",[4]Entry!$I$499)</f>
        <v/>
      </c>
    </row>
    <row r="497">
      <c r="F497">
        <f>IF([1]Accounts!$D$498="","",[1]Accounts!$A$498)</f>
        <v/>
      </c>
      <c r="G497">
        <f>IF([1]Accounts!$D$498="","",[1]Accounts!$B$498)</f>
        <v/>
      </c>
      <c r="H497">
        <f>IF([1]Accounts!$D$498="","",[1]Accounts!$C$498)</f>
        <v/>
      </c>
      <c r="I497">
        <f>IF([1]Accounts!$D$498="","",[1]Accounts!$D$498)</f>
        <v/>
      </c>
      <c r="R497">
        <f>IF(AND($F497&lt;&gt;"",$I497&lt;&gt;""),IF(OR($G497="دارایی ثابت",$G497="وام و تسهیلات",$G497="سرمایه و آورده صاحبان"),0,1),0)</f>
        <v/>
      </c>
      <c r="S497">
        <f>SUM($R$6:$R497)</f>
        <v/>
      </c>
      <c r="T497">
        <f>IFERROR(INDEX($F$6:$F$565,MATCH(ROW()-5,$S$6:$S$565,0)),"")</f>
        <v/>
      </c>
      <c r="Z497">
        <f>IF([2]Entry!$E$500="","",[2]Entry!$E$500)</f>
        <v/>
      </c>
      <c r="AA497">
        <f>IF([2]Entry!$G$500="","",[2]Entry!$G$500)</f>
        <v/>
      </c>
      <c r="AB497">
        <f>IF([2]Entry!$J$500="","",[2]Entry!$J$500)</f>
        <v/>
      </c>
      <c r="AC497">
        <f>IF([2]Entry!$K$500="","",[2]Entry!$K$500)</f>
        <v/>
      </c>
      <c r="AD497">
        <f>IF([2]Entry!$L$500="","",[2]Entry!$L$500)</f>
        <v/>
      </c>
      <c r="AE497">
        <f>IF([2]Entry!$M$500="","",[2]Entry!$M$500)</f>
        <v/>
      </c>
      <c r="AF497">
        <f>IF([2]Entry!$N$500="","",[2]Entry!$N$500)</f>
        <v/>
      </c>
      <c r="AG497">
        <f>IF([3]Issues!$B$500="","",[3]Issues!$B$500)</f>
        <v/>
      </c>
      <c r="AH497">
        <f>IF([3]Issues!$D$500="","",[3]Issues!$D$500)</f>
        <v/>
      </c>
      <c r="AI497">
        <f>IF([3]Issues!$E$500="","",[3]Issues!$E$500)</f>
        <v/>
      </c>
      <c r="AJ497">
        <f>IF([2]Entry!$S$500="","",[2]Entry!$S$500)</f>
        <v/>
      </c>
      <c r="AK497">
        <f>IF([2]Entry!$C$500="","",[2]Entry!$C$500)</f>
        <v/>
      </c>
      <c r="AL497">
        <f>IF([2]Entry!$D$500="","",[2]Entry!$D$500)</f>
        <v/>
      </c>
      <c r="AM497">
        <f>IF(AND($F497&lt;&gt;"",$I497&lt;&gt;""),IF($G497="دارایی ثابت",1,0),0)</f>
        <v/>
      </c>
      <c r="AN497">
        <f>SUM($AM$6:$AM497)</f>
        <v/>
      </c>
      <c r="AO497">
        <f>IFERROR(INDEX($F$6:$F$565,MATCH(ROW()-5,$AN$6:$AN$565,0)),"")</f>
        <v/>
      </c>
      <c r="AP497">
        <f>IF(AND($F497&lt;&gt;"",$I497&lt;&gt;""),IF($G497="وام و تسهیلات",1,0),0)</f>
        <v/>
      </c>
      <c r="AQ497">
        <f>SUM($AP$6:$AP497)</f>
        <v/>
      </c>
      <c r="AR497">
        <f>IFERROR(INDEX($F$6:$F$565,MATCH(ROW()-5,$AQ$6:$AQ$565,0)),"")</f>
        <v/>
      </c>
      <c r="AS497">
        <f>IF(AND($F497&lt;&gt;"",$I497&lt;&gt;""),IF($G497="سرمایه و آورده صاحبان",1,0),0)</f>
        <v/>
      </c>
      <c r="AT497">
        <f>SUM($AS$6:$AS497)</f>
        <v/>
      </c>
      <c r="AU497">
        <f>IFERROR(INDEX($F$6:$F$565,MATCH(ROW()-5,$AT$6:$AT$565,0)),"")</f>
        <v/>
      </c>
      <c r="AW497">
        <f>IF([3]Issues!$C$500="","",[3]Issues!$C$500)</f>
        <v/>
      </c>
      <c r="AX497">
        <f>IF([4]Entry!$E$500="","",[4]Entry!$E$500)</f>
        <v/>
      </c>
      <c r="AY497">
        <f>IF([4]Entry!$H$500="","",[4]Entry!$H$500)</f>
        <v/>
      </c>
      <c r="AZ497">
        <f>IF([4]Entry!$I$500="","",[4]Entry!$I$500)</f>
        <v/>
      </c>
    </row>
    <row r="498">
      <c r="F498">
        <f>IF([1]Accounts!$D$499="","",[1]Accounts!$A$499)</f>
        <v/>
      </c>
      <c r="G498">
        <f>IF([1]Accounts!$D$499="","",[1]Accounts!$B$499)</f>
        <v/>
      </c>
      <c r="H498">
        <f>IF([1]Accounts!$D$499="","",[1]Accounts!$C$499)</f>
        <v/>
      </c>
      <c r="I498">
        <f>IF([1]Accounts!$D$499="","",[1]Accounts!$D$499)</f>
        <v/>
      </c>
      <c r="R498">
        <f>IF(AND($F498&lt;&gt;"",$I498&lt;&gt;""),IF(OR($G498="دارایی ثابت",$G498="وام و تسهیلات",$G498="سرمایه و آورده صاحبان"),0,1),0)</f>
        <v/>
      </c>
      <c r="S498">
        <f>SUM($R$6:$R498)</f>
        <v/>
      </c>
      <c r="T498">
        <f>IFERROR(INDEX($F$6:$F$565,MATCH(ROW()-5,$S$6:$S$565,0)),"")</f>
        <v/>
      </c>
      <c r="Z498">
        <f>IF([2]Entry!$E$501="","",[2]Entry!$E$501)</f>
        <v/>
      </c>
      <c r="AA498">
        <f>IF([2]Entry!$G$501="","",[2]Entry!$G$501)</f>
        <v/>
      </c>
      <c r="AB498">
        <f>IF([2]Entry!$J$501="","",[2]Entry!$J$501)</f>
        <v/>
      </c>
      <c r="AC498">
        <f>IF([2]Entry!$K$501="","",[2]Entry!$K$501)</f>
        <v/>
      </c>
      <c r="AD498">
        <f>IF([2]Entry!$L$501="","",[2]Entry!$L$501)</f>
        <v/>
      </c>
      <c r="AE498">
        <f>IF([2]Entry!$M$501="","",[2]Entry!$M$501)</f>
        <v/>
      </c>
      <c r="AF498">
        <f>IF([2]Entry!$N$501="","",[2]Entry!$N$501)</f>
        <v/>
      </c>
      <c r="AG498">
        <f>IF([3]Issues!$B$501="","",[3]Issues!$B$501)</f>
        <v/>
      </c>
      <c r="AH498">
        <f>IF([3]Issues!$D$501="","",[3]Issues!$D$501)</f>
        <v/>
      </c>
      <c r="AI498">
        <f>IF([3]Issues!$E$501="","",[3]Issues!$E$501)</f>
        <v/>
      </c>
      <c r="AJ498">
        <f>IF([2]Entry!$S$501="","",[2]Entry!$S$501)</f>
        <v/>
      </c>
      <c r="AK498">
        <f>IF([2]Entry!$C$501="","",[2]Entry!$C$501)</f>
        <v/>
      </c>
      <c r="AL498">
        <f>IF([2]Entry!$D$501="","",[2]Entry!$D$501)</f>
        <v/>
      </c>
      <c r="AM498">
        <f>IF(AND($F498&lt;&gt;"",$I498&lt;&gt;""),IF($G498="دارایی ثابت",1,0),0)</f>
        <v/>
      </c>
      <c r="AN498">
        <f>SUM($AM$6:$AM498)</f>
        <v/>
      </c>
      <c r="AO498">
        <f>IFERROR(INDEX($F$6:$F$565,MATCH(ROW()-5,$AN$6:$AN$565,0)),"")</f>
        <v/>
      </c>
      <c r="AP498">
        <f>IF(AND($F498&lt;&gt;"",$I498&lt;&gt;""),IF($G498="وام و تسهیلات",1,0),0)</f>
        <v/>
      </c>
      <c r="AQ498">
        <f>SUM($AP$6:$AP498)</f>
        <v/>
      </c>
      <c r="AR498">
        <f>IFERROR(INDEX($F$6:$F$565,MATCH(ROW()-5,$AQ$6:$AQ$565,0)),"")</f>
        <v/>
      </c>
      <c r="AS498">
        <f>IF(AND($F498&lt;&gt;"",$I498&lt;&gt;""),IF($G498="سرمایه و آورده صاحبان",1,0),0)</f>
        <v/>
      </c>
      <c r="AT498">
        <f>SUM($AS$6:$AS498)</f>
        <v/>
      </c>
      <c r="AU498">
        <f>IFERROR(INDEX($F$6:$F$565,MATCH(ROW()-5,$AT$6:$AT$565,0)),"")</f>
        <v/>
      </c>
      <c r="AW498">
        <f>IF([3]Issues!$C$501="","",[3]Issues!$C$501)</f>
        <v/>
      </c>
      <c r="AX498">
        <f>IF([4]Entry!$E$501="","",[4]Entry!$E$501)</f>
        <v/>
      </c>
      <c r="AY498">
        <f>IF([4]Entry!$H$501="","",[4]Entry!$H$501)</f>
        <v/>
      </c>
      <c r="AZ498">
        <f>IF([4]Entry!$I$501="","",[4]Entry!$I$501)</f>
        <v/>
      </c>
    </row>
    <row r="499">
      <c r="F499">
        <f>IF([1]Accounts!$D$500="","",[1]Accounts!$A$500)</f>
        <v/>
      </c>
      <c r="G499">
        <f>IF([1]Accounts!$D$500="","",[1]Accounts!$B$500)</f>
        <v/>
      </c>
      <c r="H499">
        <f>IF([1]Accounts!$D$500="","",[1]Accounts!$C$500)</f>
        <v/>
      </c>
      <c r="I499">
        <f>IF([1]Accounts!$D$500="","",[1]Accounts!$D$500)</f>
        <v/>
      </c>
      <c r="R499">
        <f>IF(AND($F499&lt;&gt;"",$I499&lt;&gt;""),IF(OR($G499="دارایی ثابت",$G499="وام و تسهیلات",$G499="سرمایه و آورده صاحبان"),0,1),0)</f>
        <v/>
      </c>
      <c r="S499">
        <f>SUM($R$6:$R499)</f>
        <v/>
      </c>
      <c r="T499">
        <f>IFERROR(INDEX($F$6:$F$565,MATCH(ROW()-5,$S$6:$S$565,0)),"")</f>
        <v/>
      </c>
      <c r="Z499">
        <f>IF([2]Entry!$E$502="","",[2]Entry!$E$502)</f>
        <v/>
      </c>
      <c r="AA499">
        <f>IF([2]Entry!$G$502="","",[2]Entry!$G$502)</f>
        <v/>
      </c>
      <c r="AB499">
        <f>IF([2]Entry!$J$502="","",[2]Entry!$J$502)</f>
        <v/>
      </c>
      <c r="AC499">
        <f>IF([2]Entry!$K$502="","",[2]Entry!$K$502)</f>
        <v/>
      </c>
      <c r="AD499">
        <f>IF([2]Entry!$L$502="","",[2]Entry!$L$502)</f>
        <v/>
      </c>
      <c r="AE499">
        <f>IF([2]Entry!$M$502="","",[2]Entry!$M$502)</f>
        <v/>
      </c>
      <c r="AF499">
        <f>IF([2]Entry!$N$502="","",[2]Entry!$N$502)</f>
        <v/>
      </c>
      <c r="AG499">
        <f>IF([3]Issues!$B$502="","",[3]Issues!$B$502)</f>
        <v/>
      </c>
      <c r="AH499">
        <f>IF([3]Issues!$D$502="","",[3]Issues!$D$502)</f>
        <v/>
      </c>
      <c r="AI499">
        <f>IF([3]Issues!$E$502="","",[3]Issues!$E$502)</f>
        <v/>
      </c>
      <c r="AJ499">
        <f>IF([2]Entry!$S$502="","",[2]Entry!$S$502)</f>
        <v/>
      </c>
      <c r="AK499">
        <f>IF([2]Entry!$C$502="","",[2]Entry!$C$502)</f>
        <v/>
      </c>
      <c r="AL499">
        <f>IF([2]Entry!$D$502="","",[2]Entry!$D$502)</f>
        <v/>
      </c>
      <c r="AM499">
        <f>IF(AND($F499&lt;&gt;"",$I499&lt;&gt;""),IF($G499="دارایی ثابت",1,0),0)</f>
        <v/>
      </c>
      <c r="AN499">
        <f>SUM($AM$6:$AM499)</f>
        <v/>
      </c>
      <c r="AO499">
        <f>IFERROR(INDEX($F$6:$F$565,MATCH(ROW()-5,$AN$6:$AN$565,0)),"")</f>
        <v/>
      </c>
      <c r="AP499">
        <f>IF(AND($F499&lt;&gt;"",$I499&lt;&gt;""),IF($G499="وام و تسهیلات",1,0),0)</f>
        <v/>
      </c>
      <c r="AQ499">
        <f>SUM($AP$6:$AP499)</f>
        <v/>
      </c>
      <c r="AR499">
        <f>IFERROR(INDEX($F$6:$F$565,MATCH(ROW()-5,$AQ$6:$AQ$565,0)),"")</f>
        <v/>
      </c>
      <c r="AS499">
        <f>IF(AND($F499&lt;&gt;"",$I499&lt;&gt;""),IF($G499="سرمایه و آورده صاحبان",1,0),0)</f>
        <v/>
      </c>
      <c r="AT499">
        <f>SUM($AS$6:$AS499)</f>
        <v/>
      </c>
      <c r="AU499">
        <f>IFERROR(INDEX($F$6:$F$565,MATCH(ROW()-5,$AT$6:$AT$565,0)),"")</f>
        <v/>
      </c>
      <c r="AW499">
        <f>IF([3]Issues!$C$502="","",[3]Issues!$C$502)</f>
        <v/>
      </c>
      <c r="AX499">
        <f>IF([4]Entry!$E$502="","",[4]Entry!$E$502)</f>
        <v/>
      </c>
      <c r="AY499">
        <f>IF([4]Entry!$H$502="","",[4]Entry!$H$502)</f>
        <v/>
      </c>
      <c r="AZ499">
        <f>IF([4]Entry!$I$502="","",[4]Entry!$I$502)</f>
        <v/>
      </c>
    </row>
    <row r="500">
      <c r="F500">
        <f>IF([1]Accounts!$D$501="","",[1]Accounts!$A$501)</f>
        <v/>
      </c>
      <c r="G500">
        <f>IF([1]Accounts!$D$501="","",[1]Accounts!$B$501)</f>
        <v/>
      </c>
      <c r="H500">
        <f>IF([1]Accounts!$D$501="","",[1]Accounts!$C$501)</f>
        <v/>
      </c>
      <c r="I500">
        <f>IF([1]Accounts!$D$501="","",[1]Accounts!$D$501)</f>
        <v/>
      </c>
      <c r="R500">
        <f>IF(AND($F500&lt;&gt;"",$I500&lt;&gt;""),IF(OR($G500="دارایی ثابت",$G500="وام و تسهیلات",$G500="سرمایه و آورده صاحبان"),0,1),0)</f>
        <v/>
      </c>
      <c r="S500">
        <f>SUM($R$6:$R500)</f>
        <v/>
      </c>
      <c r="T500">
        <f>IFERROR(INDEX($F$6:$F$565,MATCH(ROW()-5,$S$6:$S$565,0)),"")</f>
        <v/>
      </c>
      <c r="Z500">
        <f>IF([2]Entry!$E$503="","",[2]Entry!$E$503)</f>
        <v/>
      </c>
      <c r="AA500">
        <f>IF([2]Entry!$G$503="","",[2]Entry!$G$503)</f>
        <v/>
      </c>
      <c r="AB500">
        <f>IF([2]Entry!$J$503="","",[2]Entry!$J$503)</f>
        <v/>
      </c>
      <c r="AC500">
        <f>IF([2]Entry!$K$503="","",[2]Entry!$K$503)</f>
        <v/>
      </c>
      <c r="AD500">
        <f>IF([2]Entry!$L$503="","",[2]Entry!$L$503)</f>
        <v/>
      </c>
      <c r="AE500">
        <f>IF([2]Entry!$M$503="","",[2]Entry!$M$503)</f>
        <v/>
      </c>
      <c r="AF500">
        <f>IF([2]Entry!$N$503="","",[2]Entry!$N$503)</f>
        <v/>
      </c>
      <c r="AG500">
        <f>IF([3]Issues!$B$503="","",[3]Issues!$B$503)</f>
        <v/>
      </c>
      <c r="AH500">
        <f>IF([3]Issues!$D$503="","",[3]Issues!$D$503)</f>
        <v/>
      </c>
      <c r="AI500">
        <f>IF([3]Issues!$E$503="","",[3]Issues!$E$503)</f>
        <v/>
      </c>
      <c r="AJ500">
        <f>IF([2]Entry!$S$503="","",[2]Entry!$S$503)</f>
        <v/>
      </c>
      <c r="AK500">
        <f>IF([2]Entry!$C$503="","",[2]Entry!$C$503)</f>
        <v/>
      </c>
      <c r="AL500">
        <f>IF([2]Entry!$D$503="","",[2]Entry!$D$503)</f>
        <v/>
      </c>
      <c r="AM500">
        <f>IF(AND($F500&lt;&gt;"",$I500&lt;&gt;""),IF($G500="دارایی ثابت",1,0),0)</f>
        <v/>
      </c>
      <c r="AN500">
        <f>SUM($AM$6:$AM500)</f>
        <v/>
      </c>
      <c r="AO500">
        <f>IFERROR(INDEX($F$6:$F$565,MATCH(ROW()-5,$AN$6:$AN$565,0)),"")</f>
        <v/>
      </c>
      <c r="AP500">
        <f>IF(AND($F500&lt;&gt;"",$I500&lt;&gt;""),IF($G500="وام و تسهیلات",1,0),0)</f>
        <v/>
      </c>
      <c r="AQ500">
        <f>SUM($AP$6:$AP500)</f>
        <v/>
      </c>
      <c r="AR500">
        <f>IFERROR(INDEX($F$6:$F$565,MATCH(ROW()-5,$AQ$6:$AQ$565,0)),"")</f>
        <v/>
      </c>
      <c r="AS500">
        <f>IF(AND($F500&lt;&gt;"",$I500&lt;&gt;""),IF($G500="سرمایه و آورده صاحبان",1,0),0)</f>
        <v/>
      </c>
      <c r="AT500">
        <f>SUM($AS$6:$AS500)</f>
        <v/>
      </c>
      <c r="AU500">
        <f>IFERROR(INDEX($F$6:$F$565,MATCH(ROW()-5,$AT$6:$AT$565,0)),"")</f>
        <v/>
      </c>
      <c r="AW500">
        <f>IF([3]Issues!$C$503="","",[3]Issues!$C$503)</f>
        <v/>
      </c>
      <c r="AX500">
        <f>IF([4]Entry!$E$503="","",[4]Entry!$E$503)</f>
        <v/>
      </c>
      <c r="AY500">
        <f>IF([4]Entry!$H$503="","",[4]Entry!$H$503)</f>
        <v/>
      </c>
      <c r="AZ500">
        <f>IF([4]Entry!$I$503="","",[4]Entry!$I$503)</f>
        <v/>
      </c>
    </row>
    <row r="501">
      <c r="F501">
        <f>IF([1]Accounts!$D$502="","",[1]Accounts!$A$502)</f>
        <v/>
      </c>
      <c r="G501">
        <f>IF([1]Accounts!$D$502="","",[1]Accounts!$B$502)</f>
        <v/>
      </c>
      <c r="H501">
        <f>IF([1]Accounts!$D$502="","",[1]Accounts!$C$502)</f>
        <v/>
      </c>
      <c r="I501">
        <f>IF([1]Accounts!$D$502="","",[1]Accounts!$D$502)</f>
        <v/>
      </c>
      <c r="R501">
        <f>IF(AND($F501&lt;&gt;"",$I501&lt;&gt;""),IF(OR($G501="دارایی ثابت",$G501="وام و تسهیلات",$G501="سرمایه و آورده صاحبان"),0,1),0)</f>
        <v/>
      </c>
      <c r="S501">
        <f>SUM($R$6:$R501)</f>
        <v/>
      </c>
      <c r="T501">
        <f>IFERROR(INDEX($F$6:$F$565,MATCH(ROW()-5,$S$6:$S$565,0)),"")</f>
        <v/>
      </c>
      <c r="Z501">
        <f>IF([2]Entry!$E$504="","",[2]Entry!$E$504)</f>
        <v/>
      </c>
      <c r="AA501">
        <f>IF([2]Entry!$G$504="","",[2]Entry!$G$504)</f>
        <v/>
      </c>
      <c r="AB501">
        <f>IF([2]Entry!$J$504="","",[2]Entry!$J$504)</f>
        <v/>
      </c>
      <c r="AC501">
        <f>IF([2]Entry!$K$504="","",[2]Entry!$K$504)</f>
        <v/>
      </c>
      <c r="AD501">
        <f>IF([2]Entry!$L$504="","",[2]Entry!$L$504)</f>
        <v/>
      </c>
      <c r="AE501">
        <f>IF([2]Entry!$M$504="","",[2]Entry!$M$504)</f>
        <v/>
      </c>
      <c r="AF501">
        <f>IF([2]Entry!$N$504="","",[2]Entry!$N$504)</f>
        <v/>
      </c>
      <c r="AG501">
        <f>IF([3]Issues!$B$504="","",[3]Issues!$B$504)</f>
        <v/>
      </c>
      <c r="AH501">
        <f>IF([3]Issues!$D$504="","",[3]Issues!$D$504)</f>
        <v/>
      </c>
      <c r="AI501">
        <f>IF([3]Issues!$E$504="","",[3]Issues!$E$504)</f>
        <v/>
      </c>
      <c r="AJ501">
        <f>IF([2]Entry!$S$504="","",[2]Entry!$S$504)</f>
        <v/>
      </c>
      <c r="AK501">
        <f>IF([2]Entry!$C$504="","",[2]Entry!$C$504)</f>
        <v/>
      </c>
      <c r="AL501">
        <f>IF([2]Entry!$D$504="","",[2]Entry!$D$504)</f>
        <v/>
      </c>
      <c r="AM501">
        <f>IF(AND($F501&lt;&gt;"",$I501&lt;&gt;""),IF($G501="دارایی ثابت",1,0),0)</f>
        <v/>
      </c>
      <c r="AN501">
        <f>SUM($AM$6:$AM501)</f>
        <v/>
      </c>
      <c r="AO501">
        <f>IFERROR(INDEX($F$6:$F$565,MATCH(ROW()-5,$AN$6:$AN$565,0)),"")</f>
        <v/>
      </c>
      <c r="AP501">
        <f>IF(AND($F501&lt;&gt;"",$I501&lt;&gt;""),IF($G501="وام و تسهیلات",1,0),0)</f>
        <v/>
      </c>
      <c r="AQ501">
        <f>SUM($AP$6:$AP501)</f>
        <v/>
      </c>
      <c r="AR501">
        <f>IFERROR(INDEX($F$6:$F$565,MATCH(ROW()-5,$AQ$6:$AQ$565,0)),"")</f>
        <v/>
      </c>
      <c r="AS501">
        <f>IF(AND($F501&lt;&gt;"",$I501&lt;&gt;""),IF($G501="سرمایه و آورده صاحبان",1,0),0)</f>
        <v/>
      </c>
      <c r="AT501">
        <f>SUM($AS$6:$AS501)</f>
        <v/>
      </c>
      <c r="AU501">
        <f>IFERROR(INDEX($F$6:$F$565,MATCH(ROW()-5,$AT$6:$AT$565,0)),"")</f>
        <v/>
      </c>
      <c r="AW501">
        <f>IF([3]Issues!$C$504="","",[3]Issues!$C$504)</f>
        <v/>
      </c>
      <c r="AX501">
        <f>IF([4]Entry!$E$504="","",[4]Entry!$E$504)</f>
        <v/>
      </c>
      <c r="AY501">
        <f>IF([4]Entry!$H$504="","",[4]Entry!$H$504)</f>
        <v/>
      </c>
      <c r="AZ501">
        <f>IF([4]Entry!$I$504="","",[4]Entry!$I$504)</f>
        <v/>
      </c>
    </row>
    <row r="502">
      <c r="F502">
        <f>IF([1]Accounts!$D$503="","",[1]Accounts!$A$503)</f>
        <v/>
      </c>
      <c r="G502">
        <f>IF([1]Accounts!$D$503="","",[1]Accounts!$B$503)</f>
        <v/>
      </c>
      <c r="H502">
        <f>IF([1]Accounts!$D$503="","",[1]Accounts!$C$503)</f>
        <v/>
      </c>
      <c r="I502">
        <f>IF([1]Accounts!$D$503="","",[1]Accounts!$D$503)</f>
        <v/>
      </c>
      <c r="R502">
        <f>IF(AND($F502&lt;&gt;"",$I502&lt;&gt;""),IF(OR($G502="دارایی ثابت",$G502="وام و تسهیلات",$G502="سرمایه و آورده صاحبان"),0,1),0)</f>
        <v/>
      </c>
      <c r="S502">
        <f>SUM($R$6:$R502)</f>
        <v/>
      </c>
      <c r="T502">
        <f>IFERROR(INDEX($F$6:$F$565,MATCH(ROW()-5,$S$6:$S$565,0)),"")</f>
        <v/>
      </c>
      <c r="Z502">
        <f>IF([2]Entry!$E$505="","",[2]Entry!$E$505)</f>
        <v/>
      </c>
      <c r="AA502">
        <f>IF([2]Entry!$G$505="","",[2]Entry!$G$505)</f>
        <v/>
      </c>
      <c r="AB502">
        <f>IF([2]Entry!$J$505="","",[2]Entry!$J$505)</f>
        <v/>
      </c>
      <c r="AC502">
        <f>IF([2]Entry!$K$505="","",[2]Entry!$K$505)</f>
        <v/>
      </c>
      <c r="AD502">
        <f>IF([2]Entry!$L$505="","",[2]Entry!$L$505)</f>
        <v/>
      </c>
      <c r="AE502">
        <f>IF([2]Entry!$M$505="","",[2]Entry!$M$505)</f>
        <v/>
      </c>
      <c r="AF502">
        <f>IF([2]Entry!$N$505="","",[2]Entry!$N$505)</f>
        <v/>
      </c>
      <c r="AG502">
        <f>IF([3]Issues!$B$505="","",[3]Issues!$B$505)</f>
        <v/>
      </c>
      <c r="AH502">
        <f>IF([3]Issues!$D$505="","",[3]Issues!$D$505)</f>
        <v/>
      </c>
      <c r="AI502">
        <f>IF([3]Issues!$E$505="","",[3]Issues!$E$505)</f>
        <v/>
      </c>
      <c r="AJ502">
        <f>IF([2]Entry!$S$505="","",[2]Entry!$S$505)</f>
        <v/>
      </c>
      <c r="AK502">
        <f>IF([2]Entry!$C$505="","",[2]Entry!$C$505)</f>
        <v/>
      </c>
      <c r="AL502">
        <f>IF([2]Entry!$D$505="","",[2]Entry!$D$505)</f>
        <v/>
      </c>
      <c r="AM502">
        <f>IF(AND($F502&lt;&gt;"",$I502&lt;&gt;""),IF($G502="دارایی ثابت",1,0),0)</f>
        <v/>
      </c>
      <c r="AN502">
        <f>SUM($AM$6:$AM502)</f>
        <v/>
      </c>
      <c r="AO502">
        <f>IFERROR(INDEX($F$6:$F$565,MATCH(ROW()-5,$AN$6:$AN$565,0)),"")</f>
        <v/>
      </c>
      <c r="AP502">
        <f>IF(AND($F502&lt;&gt;"",$I502&lt;&gt;""),IF($G502="وام و تسهیلات",1,0),0)</f>
        <v/>
      </c>
      <c r="AQ502">
        <f>SUM($AP$6:$AP502)</f>
        <v/>
      </c>
      <c r="AR502">
        <f>IFERROR(INDEX($F$6:$F$565,MATCH(ROW()-5,$AQ$6:$AQ$565,0)),"")</f>
        <v/>
      </c>
      <c r="AS502">
        <f>IF(AND($F502&lt;&gt;"",$I502&lt;&gt;""),IF($G502="سرمایه و آورده صاحبان",1,0),0)</f>
        <v/>
      </c>
      <c r="AT502">
        <f>SUM($AS$6:$AS502)</f>
        <v/>
      </c>
      <c r="AU502">
        <f>IFERROR(INDEX($F$6:$F$565,MATCH(ROW()-5,$AT$6:$AT$565,0)),"")</f>
        <v/>
      </c>
      <c r="AW502">
        <f>IF([3]Issues!$C$505="","",[3]Issues!$C$505)</f>
        <v/>
      </c>
      <c r="AX502">
        <f>IF([4]Entry!$E$505="","",[4]Entry!$E$505)</f>
        <v/>
      </c>
      <c r="AY502">
        <f>IF([4]Entry!$H$505="","",[4]Entry!$H$505)</f>
        <v/>
      </c>
      <c r="AZ502">
        <f>IF([4]Entry!$I$505="","",[4]Entry!$I$505)</f>
        <v/>
      </c>
    </row>
    <row r="503">
      <c r="F503">
        <f>IF([1]Accounts!$D$504="","",[1]Accounts!$A$504)</f>
        <v/>
      </c>
      <c r="G503">
        <f>IF([1]Accounts!$D$504="","",[1]Accounts!$B$504)</f>
        <v/>
      </c>
      <c r="H503">
        <f>IF([1]Accounts!$D$504="","",[1]Accounts!$C$504)</f>
        <v/>
      </c>
      <c r="I503">
        <f>IF([1]Accounts!$D$504="","",[1]Accounts!$D$504)</f>
        <v/>
      </c>
      <c r="R503">
        <f>IF(AND($F503&lt;&gt;"",$I503&lt;&gt;""),IF(OR($G503="دارایی ثابت",$G503="وام و تسهیلات",$G503="سرمایه و آورده صاحبان"),0,1),0)</f>
        <v/>
      </c>
      <c r="S503">
        <f>SUM($R$6:$R503)</f>
        <v/>
      </c>
      <c r="T503">
        <f>IFERROR(INDEX($F$6:$F$565,MATCH(ROW()-5,$S$6:$S$565,0)),"")</f>
        <v/>
      </c>
      <c r="Z503">
        <f>IF([2]Entry!$E$506="","",[2]Entry!$E$506)</f>
        <v/>
      </c>
      <c r="AA503">
        <f>IF([2]Entry!$G$506="","",[2]Entry!$G$506)</f>
        <v/>
      </c>
      <c r="AB503">
        <f>IF([2]Entry!$J$506="","",[2]Entry!$J$506)</f>
        <v/>
      </c>
      <c r="AC503">
        <f>IF([2]Entry!$K$506="","",[2]Entry!$K$506)</f>
        <v/>
      </c>
      <c r="AD503">
        <f>IF([2]Entry!$L$506="","",[2]Entry!$L$506)</f>
        <v/>
      </c>
      <c r="AE503">
        <f>IF([2]Entry!$M$506="","",[2]Entry!$M$506)</f>
        <v/>
      </c>
      <c r="AF503">
        <f>IF([2]Entry!$N$506="","",[2]Entry!$N$506)</f>
        <v/>
      </c>
      <c r="AG503">
        <f>IF([3]Issues!$B$506="","",[3]Issues!$B$506)</f>
        <v/>
      </c>
      <c r="AH503">
        <f>IF([3]Issues!$D$506="","",[3]Issues!$D$506)</f>
        <v/>
      </c>
      <c r="AI503">
        <f>IF([3]Issues!$E$506="","",[3]Issues!$E$506)</f>
        <v/>
      </c>
      <c r="AJ503">
        <f>IF([2]Entry!$S$506="","",[2]Entry!$S$506)</f>
        <v/>
      </c>
      <c r="AK503">
        <f>IF([2]Entry!$C$506="","",[2]Entry!$C$506)</f>
        <v/>
      </c>
      <c r="AL503">
        <f>IF([2]Entry!$D$506="","",[2]Entry!$D$506)</f>
        <v/>
      </c>
      <c r="AM503">
        <f>IF(AND($F503&lt;&gt;"",$I503&lt;&gt;""),IF($G503="دارایی ثابت",1,0),0)</f>
        <v/>
      </c>
      <c r="AN503">
        <f>SUM($AM$6:$AM503)</f>
        <v/>
      </c>
      <c r="AO503">
        <f>IFERROR(INDEX($F$6:$F$565,MATCH(ROW()-5,$AN$6:$AN$565,0)),"")</f>
        <v/>
      </c>
      <c r="AP503">
        <f>IF(AND($F503&lt;&gt;"",$I503&lt;&gt;""),IF($G503="وام و تسهیلات",1,0),0)</f>
        <v/>
      </c>
      <c r="AQ503">
        <f>SUM($AP$6:$AP503)</f>
        <v/>
      </c>
      <c r="AR503">
        <f>IFERROR(INDEX($F$6:$F$565,MATCH(ROW()-5,$AQ$6:$AQ$565,0)),"")</f>
        <v/>
      </c>
      <c r="AS503">
        <f>IF(AND($F503&lt;&gt;"",$I503&lt;&gt;""),IF($G503="سرمایه و آورده صاحبان",1,0),0)</f>
        <v/>
      </c>
      <c r="AT503">
        <f>SUM($AS$6:$AS503)</f>
        <v/>
      </c>
      <c r="AU503">
        <f>IFERROR(INDEX($F$6:$F$565,MATCH(ROW()-5,$AT$6:$AT$565,0)),"")</f>
        <v/>
      </c>
      <c r="AW503">
        <f>IF([3]Issues!$C$506="","",[3]Issues!$C$506)</f>
        <v/>
      </c>
      <c r="AX503">
        <f>IF([4]Entry!$E$506="","",[4]Entry!$E$506)</f>
        <v/>
      </c>
      <c r="AY503">
        <f>IF([4]Entry!$H$506="","",[4]Entry!$H$506)</f>
        <v/>
      </c>
      <c r="AZ503">
        <f>IF([4]Entry!$I$506="","",[4]Entry!$I$506)</f>
        <v/>
      </c>
    </row>
    <row r="504">
      <c r="F504">
        <f>IF([1]Accounts!$D$505="","",[1]Accounts!$A$505)</f>
        <v/>
      </c>
      <c r="G504">
        <f>IF([1]Accounts!$D$505="","",[1]Accounts!$B$505)</f>
        <v/>
      </c>
      <c r="H504">
        <f>IF([1]Accounts!$D$505="","",[1]Accounts!$C$505)</f>
        <v/>
      </c>
      <c r="I504">
        <f>IF([1]Accounts!$D$505="","",[1]Accounts!$D$505)</f>
        <v/>
      </c>
      <c r="R504">
        <f>IF(AND($F504&lt;&gt;"",$I504&lt;&gt;""),IF(OR($G504="دارایی ثابت",$G504="وام و تسهیلات",$G504="سرمایه و آورده صاحبان"),0,1),0)</f>
        <v/>
      </c>
      <c r="S504">
        <f>SUM($R$6:$R504)</f>
        <v/>
      </c>
      <c r="T504">
        <f>IFERROR(INDEX($F$6:$F$565,MATCH(ROW()-5,$S$6:$S$565,0)),"")</f>
        <v/>
      </c>
      <c r="Z504">
        <f>IF([2]Entry!$E$507="","",[2]Entry!$E$507)</f>
        <v/>
      </c>
      <c r="AA504">
        <f>IF([2]Entry!$G$507="","",[2]Entry!$G$507)</f>
        <v/>
      </c>
      <c r="AB504">
        <f>IF([2]Entry!$J$507="","",[2]Entry!$J$507)</f>
        <v/>
      </c>
      <c r="AC504">
        <f>IF([2]Entry!$K$507="","",[2]Entry!$K$507)</f>
        <v/>
      </c>
      <c r="AD504">
        <f>IF([2]Entry!$L$507="","",[2]Entry!$L$507)</f>
        <v/>
      </c>
      <c r="AE504">
        <f>IF([2]Entry!$M$507="","",[2]Entry!$M$507)</f>
        <v/>
      </c>
      <c r="AF504">
        <f>IF([2]Entry!$N$507="","",[2]Entry!$N$507)</f>
        <v/>
      </c>
      <c r="AG504">
        <f>IF([3]Issues!$B$507="","",[3]Issues!$B$507)</f>
        <v/>
      </c>
      <c r="AH504">
        <f>IF([3]Issues!$D$507="","",[3]Issues!$D$507)</f>
        <v/>
      </c>
      <c r="AI504">
        <f>IF([3]Issues!$E$507="","",[3]Issues!$E$507)</f>
        <v/>
      </c>
      <c r="AJ504">
        <f>IF([2]Entry!$S$507="","",[2]Entry!$S$507)</f>
        <v/>
      </c>
      <c r="AK504">
        <f>IF([2]Entry!$C$507="","",[2]Entry!$C$507)</f>
        <v/>
      </c>
      <c r="AL504">
        <f>IF([2]Entry!$D$507="","",[2]Entry!$D$507)</f>
        <v/>
      </c>
      <c r="AM504">
        <f>IF(AND($F504&lt;&gt;"",$I504&lt;&gt;""),IF($G504="دارایی ثابت",1,0),0)</f>
        <v/>
      </c>
      <c r="AN504">
        <f>SUM($AM$6:$AM504)</f>
        <v/>
      </c>
      <c r="AO504">
        <f>IFERROR(INDEX($F$6:$F$565,MATCH(ROW()-5,$AN$6:$AN$565,0)),"")</f>
        <v/>
      </c>
      <c r="AP504">
        <f>IF(AND($F504&lt;&gt;"",$I504&lt;&gt;""),IF($G504="وام و تسهیلات",1,0),0)</f>
        <v/>
      </c>
      <c r="AQ504">
        <f>SUM($AP$6:$AP504)</f>
        <v/>
      </c>
      <c r="AR504">
        <f>IFERROR(INDEX($F$6:$F$565,MATCH(ROW()-5,$AQ$6:$AQ$565,0)),"")</f>
        <v/>
      </c>
      <c r="AS504">
        <f>IF(AND($F504&lt;&gt;"",$I504&lt;&gt;""),IF($G504="سرمایه و آورده صاحبان",1,0),0)</f>
        <v/>
      </c>
      <c r="AT504">
        <f>SUM($AS$6:$AS504)</f>
        <v/>
      </c>
      <c r="AU504">
        <f>IFERROR(INDEX($F$6:$F$565,MATCH(ROW()-5,$AT$6:$AT$565,0)),"")</f>
        <v/>
      </c>
      <c r="AW504">
        <f>IF([3]Issues!$C$507="","",[3]Issues!$C$507)</f>
        <v/>
      </c>
      <c r="AX504">
        <f>IF([4]Entry!$E$507="","",[4]Entry!$E$507)</f>
        <v/>
      </c>
      <c r="AY504">
        <f>IF([4]Entry!$H$507="","",[4]Entry!$H$507)</f>
        <v/>
      </c>
      <c r="AZ504">
        <f>IF([4]Entry!$I$507="","",[4]Entry!$I$507)</f>
        <v/>
      </c>
    </row>
    <row r="505">
      <c r="F505">
        <f>IF([1]Accounts!$D$506="","",[1]Accounts!$A$506)</f>
        <v/>
      </c>
      <c r="G505">
        <f>IF([1]Accounts!$D$506="","",[1]Accounts!$B$506)</f>
        <v/>
      </c>
      <c r="H505">
        <f>IF([1]Accounts!$D$506="","",[1]Accounts!$C$506)</f>
        <v/>
      </c>
      <c r="I505">
        <f>IF([1]Accounts!$D$506="","",[1]Accounts!$D$506)</f>
        <v/>
      </c>
      <c r="R505">
        <f>IF(AND($F505&lt;&gt;"",$I505&lt;&gt;""),IF(OR($G505="دارایی ثابت",$G505="وام و تسهیلات",$G505="سرمایه و آورده صاحبان"),0,1),0)</f>
        <v/>
      </c>
      <c r="S505">
        <f>SUM($R$6:$R505)</f>
        <v/>
      </c>
      <c r="T505">
        <f>IFERROR(INDEX($F$6:$F$565,MATCH(ROW()-5,$S$6:$S$565,0)),"")</f>
        <v/>
      </c>
      <c r="Z505">
        <f>IF([2]Entry!$E$508="","",[2]Entry!$E$508)</f>
        <v/>
      </c>
      <c r="AA505">
        <f>IF([2]Entry!$G$508="","",[2]Entry!$G$508)</f>
        <v/>
      </c>
      <c r="AB505">
        <f>IF([2]Entry!$J$508="","",[2]Entry!$J$508)</f>
        <v/>
      </c>
      <c r="AC505">
        <f>IF([2]Entry!$K$508="","",[2]Entry!$K$508)</f>
        <v/>
      </c>
      <c r="AD505">
        <f>IF([2]Entry!$L$508="","",[2]Entry!$L$508)</f>
        <v/>
      </c>
      <c r="AE505">
        <f>IF([2]Entry!$M$508="","",[2]Entry!$M$508)</f>
        <v/>
      </c>
      <c r="AF505">
        <f>IF([2]Entry!$N$508="","",[2]Entry!$N$508)</f>
        <v/>
      </c>
      <c r="AG505">
        <f>IF([3]Issues!$B$508="","",[3]Issues!$B$508)</f>
        <v/>
      </c>
      <c r="AH505">
        <f>IF([3]Issues!$D$508="","",[3]Issues!$D$508)</f>
        <v/>
      </c>
      <c r="AI505">
        <f>IF([3]Issues!$E$508="","",[3]Issues!$E$508)</f>
        <v/>
      </c>
      <c r="AJ505">
        <f>IF([2]Entry!$S$508="","",[2]Entry!$S$508)</f>
        <v/>
      </c>
      <c r="AK505">
        <f>IF([2]Entry!$C$508="","",[2]Entry!$C$508)</f>
        <v/>
      </c>
      <c r="AL505">
        <f>IF([2]Entry!$D$508="","",[2]Entry!$D$508)</f>
        <v/>
      </c>
      <c r="AM505">
        <f>IF(AND($F505&lt;&gt;"",$I505&lt;&gt;""),IF($G505="دارایی ثابت",1,0),0)</f>
        <v/>
      </c>
      <c r="AN505">
        <f>SUM($AM$6:$AM505)</f>
        <v/>
      </c>
      <c r="AO505">
        <f>IFERROR(INDEX($F$6:$F$565,MATCH(ROW()-5,$AN$6:$AN$565,0)),"")</f>
        <v/>
      </c>
      <c r="AP505">
        <f>IF(AND($F505&lt;&gt;"",$I505&lt;&gt;""),IF($G505="وام و تسهیلات",1,0),0)</f>
        <v/>
      </c>
      <c r="AQ505">
        <f>SUM($AP$6:$AP505)</f>
        <v/>
      </c>
      <c r="AR505">
        <f>IFERROR(INDEX($F$6:$F$565,MATCH(ROW()-5,$AQ$6:$AQ$565,0)),"")</f>
        <v/>
      </c>
      <c r="AS505">
        <f>IF(AND($F505&lt;&gt;"",$I505&lt;&gt;""),IF($G505="سرمایه و آورده صاحبان",1,0),0)</f>
        <v/>
      </c>
      <c r="AT505">
        <f>SUM($AS$6:$AS505)</f>
        <v/>
      </c>
      <c r="AU505">
        <f>IFERROR(INDEX($F$6:$F$565,MATCH(ROW()-5,$AT$6:$AT$565,0)),"")</f>
        <v/>
      </c>
      <c r="AW505">
        <f>IF([3]Issues!$C$508="","",[3]Issues!$C$508)</f>
        <v/>
      </c>
      <c r="AX505">
        <f>IF([4]Entry!$E$508="","",[4]Entry!$E$508)</f>
        <v/>
      </c>
      <c r="AY505">
        <f>IF([4]Entry!$H$508="","",[4]Entry!$H$508)</f>
        <v/>
      </c>
      <c r="AZ505">
        <f>IF([4]Entry!$I$508="","",[4]Entry!$I$508)</f>
        <v/>
      </c>
    </row>
    <row r="506">
      <c r="F506">
        <f>IF([1]Accounts!$D$507="","",[1]Accounts!$A$507)</f>
        <v/>
      </c>
      <c r="G506">
        <f>IF([1]Accounts!$D$507="","",[1]Accounts!$B$507)</f>
        <v/>
      </c>
      <c r="H506">
        <f>IF([1]Accounts!$D$507="","",[1]Accounts!$C$507)</f>
        <v/>
      </c>
      <c r="I506">
        <f>IF([1]Accounts!$D$507="","",[1]Accounts!$D$507)</f>
        <v/>
      </c>
      <c r="R506">
        <f>IF(AND($F506&lt;&gt;"",$I506&lt;&gt;""),IF(OR($G506="دارایی ثابت",$G506="وام و تسهیلات",$G506="سرمایه و آورده صاحبان"),0,1),0)</f>
        <v/>
      </c>
      <c r="S506">
        <f>SUM($R$6:$R506)</f>
        <v/>
      </c>
      <c r="T506">
        <f>IFERROR(INDEX($F$6:$F$565,MATCH(ROW()-5,$S$6:$S$565,0)),"")</f>
        <v/>
      </c>
      <c r="Z506">
        <f>IF([2]Entry!$E$509="","",[2]Entry!$E$509)</f>
        <v/>
      </c>
      <c r="AA506">
        <f>IF([2]Entry!$G$509="","",[2]Entry!$G$509)</f>
        <v/>
      </c>
      <c r="AB506">
        <f>IF([2]Entry!$J$509="","",[2]Entry!$J$509)</f>
        <v/>
      </c>
      <c r="AC506">
        <f>IF([2]Entry!$K$509="","",[2]Entry!$K$509)</f>
        <v/>
      </c>
      <c r="AD506">
        <f>IF([2]Entry!$L$509="","",[2]Entry!$L$509)</f>
        <v/>
      </c>
      <c r="AE506">
        <f>IF([2]Entry!$M$509="","",[2]Entry!$M$509)</f>
        <v/>
      </c>
      <c r="AF506">
        <f>IF([2]Entry!$N$509="","",[2]Entry!$N$509)</f>
        <v/>
      </c>
      <c r="AJ506">
        <f>IF([2]Entry!$S$509="","",[2]Entry!$S$509)</f>
        <v/>
      </c>
      <c r="AK506">
        <f>IF([2]Entry!$C$509="","",[2]Entry!$C$509)</f>
        <v/>
      </c>
      <c r="AL506">
        <f>IF([2]Entry!$D$509="","",[2]Entry!$D$509)</f>
        <v/>
      </c>
      <c r="AM506">
        <f>IF(AND($F506&lt;&gt;"",$I506&lt;&gt;""),IF($G506="دارایی ثابت",1,0),0)</f>
        <v/>
      </c>
      <c r="AN506">
        <f>SUM($AM$6:$AM506)</f>
        <v/>
      </c>
      <c r="AO506">
        <f>IFERROR(INDEX($F$6:$F$565,MATCH(ROW()-5,$AN$6:$AN$565,0)),"")</f>
        <v/>
      </c>
      <c r="AP506">
        <f>IF(AND($F506&lt;&gt;"",$I506&lt;&gt;""),IF($G506="وام و تسهیلات",1,0),0)</f>
        <v/>
      </c>
      <c r="AQ506">
        <f>SUM($AP$6:$AP506)</f>
        <v/>
      </c>
      <c r="AR506">
        <f>IFERROR(INDEX($F$6:$F$565,MATCH(ROW()-5,$AQ$6:$AQ$565,0)),"")</f>
        <v/>
      </c>
      <c r="AS506">
        <f>IF(AND($F506&lt;&gt;"",$I506&lt;&gt;""),IF($G506="سرمایه و آورده صاحبان",1,0),0)</f>
        <v/>
      </c>
      <c r="AT506">
        <f>SUM($AS$6:$AS506)</f>
        <v/>
      </c>
      <c r="AU506">
        <f>IFERROR(INDEX($F$6:$F$565,MATCH(ROW()-5,$AT$6:$AT$565,0)),"")</f>
        <v/>
      </c>
      <c r="AX506">
        <f>IF([4]Entry!$E$509="","",[4]Entry!$E$509)</f>
        <v/>
      </c>
      <c r="AY506">
        <f>IF([4]Entry!$H$509="","",[4]Entry!$H$509)</f>
        <v/>
      </c>
      <c r="AZ506">
        <f>IF([4]Entry!$I$509="","",[4]Entry!$I$509)</f>
        <v/>
      </c>
    </row>
    <row r="507">
      <c r="F507">
        <f>IF([1]Accounts!$D$508="","",[1]Accounts!$A$508)</f>
        <v/>
      </c>
      <c r="G507">
        <f>IF([1]Accounts!$D$508="","",[1]Accounts!$B$508)</f>
        <v/>
      </c>
      <c r="H507">
        <f>IF([1]Accounts!$D$508="","",[1]Accounts!$C$508)</f>
        <v/>
      </c>
      <c r="I507">
        <f>IF([1]Accounts!$D$508="","",[1]Accounts!$D$508)</f>
        <v/>
      </c>
      <c r="R507">
        <f>IF(AND($F507&lt;&gt;"",$I507&lt;&gt;""),IF(OR($G507="دارایی ثابت",$G507="وام و تسهیلات",$G507="سرمایه و آورده صاحبان"),0,1),0)</f>
        <v/>
      </c>
      <c r="S507">
        <f>SUM($R$6:$R507)</f>
        <v/>
      </c>
      <c r="T507">
        <f>IFERROR(INDEX($F$6:$F$565,MATCH(ROW()-5,$S$6:$S$565,0)),"")</f>
        <v/>
      </c>
      <c r="Z507">
        <f>IF([2]Entry!$E$510="","",[2]Entry!$E$510)</f>
        <v/>
      </c>
      <c r="AA507">
        <f>IF([2]Entry!$G$510="","",[2]Entry!$G$510)</f>
        <v/>
      </c>
      <c r="AB507">
        <f>IF([2]Entry!$J$510="","",[2]Entry!$J$510)</f>
        <v/>
      </c>
      <c r="AC507">
        <f>IF([2]Entry!$K$510="","",[2]Entry!$K$510)</f>
        <v/>
      </c>
      <c r="AD507">
        <f>IF([2]Entry!$L$510="","",[2]Entry!$L$510)</f>
        <v/>
      </c>
      <c r="AE507">
        <f>IF([2]Entry!$M$510="","",[2]Entry!$M$510)</f>
        <v/>
      </c>
      <c r="AF507">
        <f>IF([2]Entry!$N$510="","",[2]Entry!$N$510)</f>
        <v/>
      </c>
      <c r="AJ507">
        <f>IF([2]Entry!$S$510="","",[2]Entry!$S$510)</f>
        <v/>
      </c>
      <c r="AK507">
        <f>IF([2]Entry!$C$510="","",[2]Entry!$C$510)</f>
        <v/>
      </c>
      <c r="AL507">
        <f>IF([2]Entry!$D$510="","",[2]Entry!$D$510)</f>
        <v/>
      </c>
      <c r="AM507">
        <f>IF(AND($F507&lt;&gt;"",$I507&lt;&gt;""),IF($G507="دارایی ثابت",1,0),0)</f>
        <v/>
      </c>
      <c r="AN507">
        <f>SUM($AM$6:$AM507)</f>
        <v/>
      </c>
      <c r="AO507">
        <f>IFERROR(INDEX($F$6:$F$565,MATCH(ROW()-5,$AN$6:$AN$565,0)),"")</f>
        <v/>
      </c>
      <c r="AP507">
        <f>IF(AND($F507&lt;&gt;"",$I507&lt;&gt;""),IF($G507="وام و تسهیلات",1,0),0)</f>
        <v/>
      </c>
      <c r="AQ507">
        <f>SUM($AP$6:$AP507)</f>
        <v/>
      </c>
      <c r="AR507">
        <f>IFERROR(INDEX($F$6:$F$565,MATCH(ROW()-5,$AQ$6:$AQ$565,0)),"")</f>
        <v/>
      </c>
      <c r="AS507">
        <f>IF(AND($F507&lt;&gt;"",$I507&lt;&gt;""),IF($G507="سرمایه و آورده صاحبان",1,0),0)</f>
        <v/>
      </c>
      <c r="AT507">
        <f>SUM($AS$6:$AS507)</f>
        <v/>
      </c>
      <c r="AU507">
        <f>IFERROR(INDEX($F$6:$F$565,MATCH(ROW()-5,$AT$6:$AT$565,0)),"")</f>
        <v/>
      </c>
      <c r="AX507">
        <f>IF([4]Entry!$E$510="","",[4]Entry!$E$510)</f>
        <v/>
      </c>
      <c r="AY507">
        <f>IF([4]Entry!$H$510="","",[4]Entry!$H$510)</f>
        <v/>
      </c>
      <c r="AZ507">
        <f>IF([4]Entry!$I$510="","",[4]Entry!$I$510)</f>
        <v/>
      </c>
    </row>
    <row r="508">
      <c r="F508">
        <f>IF([1]Accounts!$D$509="","",[1]Accounts!$A$509)</f>
        <v/>
      </c>
      <c r="G508">
        <f>IF([1]Accounts!$D$509="","",[1]Accounts!$B$509)</f>
        <v/>
      </c>
      <c r="H508">
        <f>IF([1]Accounts!$D$509="","",[1]Accounts!$C$509)</f>
        <v/>
      </c>
      <c r="I508">
        <f>IF([1]Accounts!$D$509="","",[1]Accounts!$D$509)</f>
        <v/>
      </c>
      <c r="R508">
        <f>IF(AND($F508&lt;&gt;"",$I508&lt;&gt;""),IF(OR($G508="دارایی ثابت",$G508="وام و تسهیلات",$G508="سرمایه و آورده صاحبان"),0,1),0)</f>
        <v/>
      </c>
      <c r="S508">
        <f>SUM($R$6:$R508)</f>
        <v/>
      </c>
      <c r="T508">
        <f>IFERROR(INDEX($F$6:$F$565,MATCH(ROW()-5,$S$6:$S$565,0)),"")</f>
        <v/>
      </c>
      <c r="Z508">
        <f>IF([2]Entry!$E$511="","",[2]Entry!$E$511)</f>
        <v/>
      </c>
      <c r="AA508">
        <f>IF([2]Entry!$G$511="","",[2]Entry!$G$511)</f>
        <v/>
      </c>
      <c r="AB508">
        <f>IF([2]Entry!$J$511="","",[2]Entry!$J$511)</f>
        <v/>
      </c>
      <c r="AC508">
        <f>IF([2]Entry!$K$511="","",[2]Entry!$K$511)</f>
        <v/>
      </c>
      <c r="AD508">
        <f>IF([2]Entry!$L$511="","",[2]Entry!$L$511)</f>
        <v/>
      </c>
      <c r="AE508">
        <f>IF([2]Entry!$M$511="","",[2]Entry!$M$511)</f>
        <v/>
      </c>
      <c r="AF508">
        <f>IF([2]Entry!$N$511="","",[2]Entry!$N$511)</f>
        <v/>
      </c>
      <c r="AJ508">
        <f>IF([2]Entry!$S$511="","",[2]Entry!$S$511)</f>
        <v/>
      </c>
      <c r="AK508">
        <f>IF([2]Entry!$C$511="","",[2]Entry!$C$511)</f>
        <v/>
      </c>
      <c r="AL508">
        <f>IF([2]Entry!$D$511="","",[2]Entry!$D$511)</f>
        <v/>
      </c>
      <c r="AM508">
        <f>IF(AND($F508&lt;&gt;"",$I508&lt;&gt;""),IF($G508="دارایی ثابت",1,0),0)</f>
        <v/>
      </c>
      <c r="AN508">
        <f>SUM($AM$6:$AM508)</f>
        <v/>
      </c>
      <c r="AO508">
        <f>IFERROR(INDEX($F$6:$F$565,MATCH(ROW()-5,$AN$6:$AN$565,0)),"")</f>
        <v/>
      </c>
      <c r="AP508">
        <f>IF(AND($F508&lt;&gt;"",$I508&lt;&gt;""),IF($G508="وام و تسهیلات",1,0),0)</f>
        <v/>
      </c>
      <c r="AQ508">
        <f>SUM($AP$6:$AP508)</f>
        <v/>
      </c>
      <c r="AR508">
        <f>IFERROR(INDEX($F$6:$F$565,MATCH(ROW()-5,$AQ$6:$AQ$565,0)),"")</f>
        <v/>
      </c>
      <c r="AS508">
        <f>IF(AND($F508&lt;&gt;"",$I508&lt;&gt;""),IF($G508="سرمایه و آورده صاحبان",1,0),0)</f>
        <v/>
      </c>
      <c r="AT508">
        <f>SUM($AS$6:$AS508)</f>
        <v/>
      </c>
      <c r="AU508">
        <f>IFERROR(INDEX($F$6:$F$565,MATCH(ROW()-5,$AT$6:$AT$565,0)),"")</f>
        <v/>
      </c>
      <c r="AX508">
        <f>IF([4]Entry!$E$511="","",[4]Entry!$E$511)</f>
        <v/>
      </c>
      <c r="AY508">
        <f>IF([4]Entry!$H$511="","",[4]Entry!$H$511)</f>
        <v/>
      </c>
      <c r="AZ508">
        <f>IF([4]Entry!$I$511="","",[4]Entry!$I$511)</f>
        <v/>
      </c>
    </row>
    <row r="509">
      <c r="F509">
        <f>IF([1]Accounts!$D$510="","",[1]Accounts!$A$510)</f>
        <v/>
      </c>
      <c r="G509">
        <f>IF([1]Accounts!$D$510="","",[1]Accounts!$B$510)</f>
        <v/>
      </c>
      <c r="H509">
        <f>IF([1]Accounts!$D$510="","",[1]Accounts!$C$510)</f>
        <v/>
      </c>
      <c r="I509">
        <f>IF([1]Accounts!$D$510="","",[1]Accounts!$D$510)</f>
        <v/>
      </c>
      <c r="R509">
        <f>IF(AND($F509&lt;&gt;"",$I509&lt;&gt;""),IF(OR($G509="دارایی ثابت",$G509="وام و تسهیلات",$G509="سرمایه و آورده صاحبان"),0,1),0)</f>
        <v/>
      </c>
      <c r="S509">
        <f>SUM($R$6:$R509)</f>
        <v/>
      </c>
      <c r="T509">
        <f>IFERROR(INDEX($F$6:$F$565,MATCH(ROW()-5,$S$6:$S$565,0)),"")</f>
        <v/>
      </c>
      <c r="Z509">
        <f>IF([2]Entry!$E$512="","",[2]Entry!$E$512)</f>
        <v/>
      </c>
      <c r="AA509">
        <f>IF([2]Entry!$G$512="","",[2]Entry!$G$512)</f>
        <v/>
      </c>
      <c r="AB509">
        <f>IF([2]Entry!$J$512="","",[2]Entry!$J$512)</f>
        <v/>
      </c>
      <c r="AC509">
        <f>IF([2]Entry!$K$512="","",[2]Entry!$K$512)</f>
        <v/>
      </c>
      <c r="AD509">
        <f>IF([2]Entry!$L$512="","",[2]Entry!$L$512)</f>
        <v/>
      </c>
      <c r="AE509">
        <f>IF([2]Entry!$M$512="","",[2]Entry!$M$512)</f>
        <v/>
      </c>
      <c r="AF509">
        <f>IF([2]Entry!$N$512="","",[2]Entry!$N$512)</f>
        <v/>
      </c>
      <c r="AJ509">
        <f>IF([2]Entry!$S$512="","",[2]Entry!$S$512)</f>
        <v/>
      </c>
      <c r="AK509">
        <f>IF([2]Entry!$C$512="","",[2]Entry!$C$512)</f>
        <v/>
      </c>
      <c r="AL509">
        <f>IF([2]Entry!$D$512="","",[2]Entry!$D$512)</f>
        <v/>
      </c>
      <c r="AM509">
        <f>IF(AND($F509&lt;&gt;"",$I509&lt;&gt;""),IF($G509="دارایی ثابت",1,0),0)</f>
        <v/>
      </c>
      <c r="AN509">
        <f>SUM($AM$6:$AM509)</f>
        <v/>
      </c>
      <c r="AO509">
        <f>IFERROR(INDEX($F$6:$F$565,MATCH(ROW()-5,$AN$6:$AN$565,0)),"")</f>
        <v/>
      </c>
      <c r="AP509">
        <f>IF(AND($F509&lt;&gt;"",$I509&lt;&gt;""),IF($G509="وام و تسهیلات",1,0),0)</f>
        <v/>
      </c>
      <c r="AQ509">
        <f>SUM($AP$6:$AP509)</f>
        <v/>
      </c>
      <c r="AR509">
        <f>IFERROR(INDEX($F$6:$F$565,MATCH(ROW()-5,$AQ$6:$AQ$565,0)),"")</f>
        <v/>
      </c>
      <c r="AS509">
        <f>IF(AND($F509&lt;&gt;"",$I509&lt;&gt;""),IF($G509="سرمایه و آورده صاحبان",1,0),0)</f>
        <v/>
      </c>
      <c r="AT509">
        <f>SUM($AS$6:$AS509)</f>
        <v/>
      </c>
      <c r="AU509">
        <f>IFERROR(INDEX($F$6:$F$565,MATCH(ROW()-5,$AT$6:$AT$565,0)),"")</f>
        <v/>
      </c>
      <c r="AX509">
        <f>IF([4]Entry!$E$512="","",[4]Entry!$E$512)</f>
        <v/>
      </c>
      <c r="AY509">
        <f>IF([4]Entry!$H$512="","",[4]Entry!$H$512)</f>
        <v/>
      </c>
      <c r="AZ509">
        <f>IF([4]Entry!$I$512="","",[4]Entry!$I$512)</f>
        <v/>
      </c>
    </row>
    <row r="510">
      <c r="F510">
        <f>IF([1]Accounts!$D$511="","",[1]Accounts!$A$511)</f>
        <v/>
      </c>
      <c r="G510">
        <f>IF([1]Accounts!$D$511="","",[1]Accounts!$B$511)</f>
        <v/>
      </c>
      <c r="H510">
        <f>IF([1]Accounts!$D$511="","",[1]Accounts!$C$511)</f>
        <v/>
      </c>
      <c r="I510">
        <f>IF([1]Accounts!$D$511="","",[1]Accounts!$D$511)</f>
        <v/>
      </c>
      <c r="R510">
        <f>IF(AND($F510&lt;&gt;"",$I510&lt;&gt;""),IF(OR($G510="دارایی ثابت",$G510="وام و تسهیلات",$G510="سرمایه و آورده صاحبان"),0,1),0)</f>
        <v/>
      </c>
      <c r="S510">
        <f>SUM($R$6:$R510)</f>
        <v/>
      </c>
      <c r="T510">
        <f>IFERROR(INDEX($F$6:$F$565,MATCH(ROW()-5,$S$6:$S$565,0)),"")</f>
        <v/>
      </c>
      <c r="Z510">
        <f>IF([2]Entry!$E$513="","",[2]Entry!$E$513)</f>
        <v/>
      </c>
      <c r="AA510">
        <f>IF([2]Entry!$G$513="","",[2]Entry!$G$513)</f>
        <v/>
      </c>
      <c r="AB510">
        <f>IF([2]Entry!$J$513="","",[2]Entry!$J$513)</f>
        <v/>
      </c>
      <c r="AC510">
        <f>IF([2]Entry!$K$513="","",[2]Entry!$K$513)</f>
        <v/>
      </c>
      <c r="AD510">
        <f>IF([2]Entry!$L$513="","",[2]Entry!$L$513)</f>
        <v/>
      </c>
      <c r="AE510">
        <f>IF([2]Entry!$M$513="","",[2]Entry!$M$513)</f>
        <v/>
      </c>
      <c r="AF510">
        <f>IF([2]Entry!$N$513="","",[2]Entry!$N$513)</f>
        <v/>
      </c>
      <c r="AJ510">
        <f>IF([2]Entry!$S$513="","",[2]Entry!$S$513)</f>
        <v/>
      </c>
      <c r="AK510">
        <f>IF([2]Entry!$C$513="","",[2]Entry!$C$513)</f>
        <v/>
      </c>
      <c r="AL510">
        <f>IF([2]Entry!$D$513="","",[2]Entry!$D$513)</f>
        <v/>
      </c>
      <c r="AM510">
        <f>IF(AND($F510&lt;&gt;"",$I510&lt;&gt;""),IF($G510="دارایی ثابت",1,0),0)</f>
        <v/>
      </c>
      <c r="AN510">
        <f>SUM($AM$6:$AM510)</f>
        <v/>
      </c>
      <c r="AO510">
        <f>IFERROR(INDEX($F$6:$F$565,MATCH(ROW()-5,$AN$6:$AN$565,0)),"")</f>
        <v/>
      </c>
      <c r="AP510">
        <f>IF(AND($F510&lt;&gt;"",$I510&lt;&gt;""),IF($G510="وام و تسهیلات",1,0),0)</f>
        <v/>
      </c>
      <c r="AQ510">
        <f>SUM($AP$6:$AP510)</f>
        <v/>
      </c>
      <c r="AR510">
        <f>IFERROR(INDEX($F$6:$F$565,MATCH(ROW()-5,$AQ$6:$AQ$565,0)),"")</f>
        <v/>
      </c>
      <c r="AS510">
        <f>IF(AND($F510&lt;&gt;"",$I510&lt;&gt;""),IF($G510="سرمایه و آورده صاحبان",1,0),0)</f>
        <v/>
      </c>
      <c r="AT510">
        <f>SUM($AS$6:$AS510)</f>
        <v/>
      </c>
      <c r="AU510">
        <f>IFERROR(INDEX($F$6:$F$565,MATCH(ROW()-5,$AT$6:$AT$565,0)),"")</f>
        <v/>
      </c>
      <c r="AX510">
        <f>IF([4]Entry!$E$513="","",[4]Entry!$E$513)</f>
        <v/>
      </c>
      <c r="AY510">
        <f>IF([4]Entry!$H$513="","",[4]Entry!$H$513)</f>
        <v/>
      </c>
      <c r="AZ510">
        <f>IF([4]Entry!$I$513="","",[4]Entry!$I$513)</f>
        <v/>
      </c>
    </row>
    <row r="511">
      <c r="F511">
        <f>IF([1]Accounts!$D$512="","",[1]Accounts!$A$512)</f>
        <v/>
      </c>
      <c r="G511">
        <f>IF([1]Accounts!$D$512="","",[1]Accounts!$B$512)</f>
        <v/>
      </c>
      <c r="H511">
        <f>IF([1]Accounts!$D$512="","",[1]Accounts!$C$512)</f>
        <v/>
      </c>
      <c r="I511">
        <f>IF([1]Accounts!$D$512="","",[1]Accounts!$D$512)</f>
        <v/>
      </c>
      <c r="R511">
        <f>IF(AND($F511&lt;&gt;"",$I511&lt;&gt;""),IF(OR($G511="دارایی ثابت",$G511="وام و تسهیلات",$G511="سرمایه و آورده صاحبان"),0,1),0)</f>
        <v/>
      </c>
      <c r="S511">
        <f>SUM($R$6:$R511)</f>
        <v/>
      </c>
      <c r="T511">
        <f>IFERROR(INDEX($F$6:$F$565,MATCH(ROW()-5,$S$6:$S$565,0)),"")</f>
        <v/>
      </c>
      <c r="Z511">
        <f>IF([2]Entry!$E$514="","",[2]Entry!$E$514)</f>
        <v/>
      </c>
      <c r="AA511">
        <f>IF([2]Entry!$G$514="","",[2]Entry!$G$514)</f>
        <v/>
      </c>
      <c r="AB511">
        <f>IF([2]Entry!$J$514="","",[2]Entry!$J$514)</f>
        <v/>
      </c>
      <c r="AC511">
        <f>IF([2]Entry!$K$514="","",[2]Entry!$K$514)</f>
        <v/>
      </c>
      <c r="AD511">
        <f>IF([2]Entry!$L$514="","",[2]Entry!$L$514)</f>
        <v/>
      </c>
      <c r="AE511">
        <f>IF([2]Entry!$M$514="","",[2]Entry!$M$514)</f>
        <v/>
      </c>
      <c r="AF511">
        <f>IF([2]Entry!$N$514="","",[2]Entry!$N$514)</f>
        <v/>
      </c>
      <c r="AJ511">
        <f>IF([2]Entry!$S$514="","",[2]Entry!$S$514)</f>
        <v/>
      </c>
      <c r="AK511">
        <f>IF([2]Entry!$C$514="","",[2]Entry!$C$514)</f>
        <v/>
      </c>
      <c r="AL511">
        <f>IF([2]Entry!$D$514="","",[2]Entry!$D$514)</f>
        <v/>
      </c>
      <c r="AM511">
        <f>IF(AND($F511&lt;&gt;"",$I511&lt;&gt;""),IF($G511="دارایی ثابت",1,0),0)</f>
        <v/>
      </c>
      <c r="AN511">
        <f>SUM($AM$6:$AM511)</f>
        <v/>
      </c>
      <c r="AO511">
        <f>IFERROR(INDEX($F$6:$F$565,MATCH(ROW()-5,$AN$6:$AN$565,0)),"")</f>
        <v/>
      </c>
      <c r="AP511">
        <f>IF(AND($F511&lt;&gt;"",$I511&lt;&gt;""),IF($G511="وام و تسهیلات",1,0),0)</f>
        <v/>
      </c>
      <c r="AQ511">
        <f>SUM($AP$6:$AP511)</f>
        <v/>
      </c>
      <c r="AR511">
        <f>IFERROR(INDEX($F$6:$F$565,MATCH(ROW()-5,$AQ$6:$AQ$565,0)),"")</f>
        <v/>
      </c>
      <c r="AS511">
        <f>IF(AND($F511&lt;&gt;"",$I511&lt;&gt;""),IF($G511="سرمایه و آورده صاحبان",1,0),0)</f>
        <v/>
      </c>
      <c r="AT511">
        <f>SUM($AS$6:$AS511)</f>
        <v/>
      </c>
      <c r="AU511">
        <f>IFERROR(INDEX($F$6:$F$565,MATCH(ROW()-5,$AT$6:$AT$565,0)),"")</f>
        <v/>
      </c>
      <c r="AX511">
        <f>IF([4]Entry!$E$514="","",[4]Entry!$E$514)</f>
        <v/>
      </c>
      <c r="AY511">
        <f>IF([4]Entry!$H$514="","",[4]Entry!$H$514)</f>
        <v/>
      </c>
      <c r="AZ511">
        <f>IF([4]Entry!$I$514="","",[4]Entry!$I$514)</f>
        <v/>
      </c>
    </row>
    <row r="512">
      <c r="F512">
        <f>IF([1]Accounts!$D$513="","",[1]Accounts!$A$513)</f>
        <v/>
      </c>
      <c r="G512">
        <f>IF([1]Accounts!$D$513="","",[1]Accounts!$B$513)</f>
        <v/>
      </c>
      <c r="H512">
        <f>IF([1]Accounts!$D$513="","",[1]Accounts!$C$513)</f>
        <v/>
      </c>
      <c r="I512">
        <f>IF([1]Accounts!$D$513="","",[1]Accounts!$D$513)</f>
        <v/>
      </c>
      <c r="R512">
        <f>IF(AND($F512&lt;&gt;"",$I512&lt;&gt;""),IF(OR($G512="دارایی ثابت",$G512="وام و تسهیلات",$G512="سرمایه و آورده صاحبان"),0,1),0)</f>
        <v/>
      </c>
      <c r="S512">
        <f>SUM($R$6:$R512)</f>
        <v/>
      </c>
      <c r="T512">
        <f>IFERROR(INDEX($F$6:$F$565,MATCH(ROW()-5,$S$6:$S$565,0)),"")</f>
        <v/>
      </c>
      <c r="Z512">
        <f>IF([2]Entry!$E$515="","",[2]Entry!$E$515)</f>
        <v/>
      </c>
      <c r="AA512">
        <f>IF([2]Entry!$G$515="","",[2]Entry!$G$515)</f>
        <v/>
      </c>
      <c r="AB512">
        <f>IF([2]Entry!$J$515="","",[2]Entry!$J$515)</f>
        <v/>
      </c>
      <c r="AC512">
        <f>IF([2]Entry!$K$515="","",[2]Entry!$K$515)</f>
        <v/>
      </c>
      <c r="AD512">
        <f>IF([2]Entry!$L$515="","",[2]Entry!$L$515)</f>
        <v/>
      </c>
      <c r="AE512">
        <f>IF([2]Entry!$M$515="","",[2]Entry!$M$515)</f>
        <v/>
      </c>
      <c r="AF512">
        <f>IF([2]Entry!$N$515="","",[2]Entry!$N$515)</f>
        <v/>
      </c>
      <c r="AJ512">
        <f>IF([2]Entry!$S$515="","",[2]Entry!$S$515)</f>
        <v/>
      </c>
      <c r="AK512">
        <f>IF([2]Entry!$C$515="","",[2]Entry!$C$515)</f>
        <v/>
      </c>
      <c r="AL512">
        <f>IF([2]Entry!$D$515="","",[2]Entry!$D$515)</f>
        <v/>
      </c>
      <c r="AM512">
        <f>IF(AND($F512&lt;&gt;"",$I512&lt;&gt;""),IF($G512="دارایی ثابت",1,0),0)</f>
        <v/>
      </c>
      <c r="AN512">
        <f>SUM($AM$6:$AM512)</f>
        <v/>
      </c>
      <c r="AO512">
        <f>IFERROR(INDEX($F$6:$F$565,MATCH(ROW()-5,$AN$6:$AN$565,0)),"")</f>
        <v/>
      </c>
      <c r="AP512">
        <f>IF(AND($F512&lt;&gt;"",$I512&lt;&gt;""),IF($G512="وام و تسهیلات",1,0),0)</f>
        <v/>
      </c>
      <c r="AQ512">
        <f>SUM($AP$6:$AP512)</f>
        <v/>
      </c>
      <c r="AR512">
        <f>IFERROR(INDEX($F$6:$F$565,MATCH(ROW()-5,$AQ$6:$AQ$565,0)),"")</f>
        <v/>
      </c>
      <c r="AS512">
        <f>IF(AND($F512&lt;&gt;"",$I512&lt;&gt;""),IF($G512="سرمایه و آورده صاحبان",1,0),0)</f>
        <v/>
      </c>
      <c r="AT512">
        <f>SUM($AS$6:$AS512)</f>
        <v/>
      </c>
      <c r="AU512">
        <f>IFERROR(INDEX($F$6:$F$565,MATCH(ROW()-5,$AT$6:$AT$565,0)),"")</f>
        <v/>
      </c>
      <c r="AX512">
        <f>IF([4]Entry!$E$515="","",[4]Entry!$E$515)</f>
        <v/>
      </c>
      <c r="AY512">
        <f>IF([4]Entry!$H$515="","",[4]Entry!$H$515)</f>
        <v/>
      </c>
      <c r="AZ512">
        <f>IF([4]Entry!$I$515="","",[4]Entry!$I$515)</f>
        <v/>
      </c>
    </row>
    <row r="513">
      <c r="F513">
        <f>IF([1]Accounts!$D$514="","",[1]Accounts!$A$514)</f>
        <v/>
      </c>
      <c r="G513">
        <f>IF([1]Accounts!$D$514="","",[1]Accounts!$B$514)</f>
        <v/>
      </c>
      <c r="H513">
        <f>IF([1]Accounts!$D$514="","",[1]Accounts!$C$514)</f>
        <v/>
      </c>
      <c r="I513">
        <f>IF([1]Accounts!$D$514="","",[1]Accounts!$D$514)</f>
        <v/>
      </c>
      <c r="R513">
        <f>IF(AND($F513&lt;&gt;"",$I513&lt;&gt;""),IF(OR($G513="دارایی ثابت",$G513="وام و تسهیلات",$G513="سرمایه و آورده صاحبان"),0,1),0)</f>
        <v/>
      </c>
      <c r="S513">
        <f>SUM($R$6:$R513)</f>
        <v/>
      </c>
      <c r="T513">
        <f>IFERROR(INDEX($F$6:$F$565,MATCH(ROW()-5,$S$6:$S$565,0)),"")</f>
        <v/>
      </c>
      <c r="Z513">
        <f>IF([2]Entry!$E$516="","",[2]Entry!$E$516)</f>
        <v/>
      </c>
      <c r="AA513">
        <f>IF([2]Entry!$G$516="","",[2]Entry!$G$516)</f>
        <v/>
      </c>
      <c r="AB513">
        <f>IF([2]Entry!$J$516="","",[2]Entry!$J$516)</f>
        <v/>
      </c>
      <c r="AC513">
        <f>IF([2]Entry!$K$516="","",[2]Entry!$K$516)</f>
        <v/>
      </c>
      <c r="AD513">
        <f>IF([2]Entry!$L$516="","",[2]Entry!$L$516)</f>
        <v/>
      </c>
      <c r="AE513">
        <f>IF([2]Entry!$M$516="","",[2]Entry!$M$516)</f>
        <v/>
      </c>
      <c r="AF513">
        <f>IF([2]Entry!$N$516="","",[2]Entry!$N$516)</f>
        <v/>
      </c>
      <c r="AJ513">
        <f>IF([2]Entry!$S$516="","",[2]Entry!$S$516)</f>
        <v/>
      </c>
      <c r="AK513">
        <f>IF([2]Entry!$C$516="","",[2]Entry!$C$516)</f>
        <v/>
      </c>
      <c r="AL513">
        <f>IF([2]Entry!$D$516="","",[2]Entry!$D$516)</f>
        <v/>
      </c>
      <c r="AM513">
        <f>IF(AND($F513&lt;&gt;"",$I513&lt;&gt;""),IF($G513="دارایی ثابت",1,0),0)</f>
        <v/>
      </c>
      <c r="AN513">
        <f>SUM($AM$6:$AM513)</f>
        <v/>
      </c>
      <c r="AO513">
        <f>IFERROR(INDEX($F$6:$F$565,MATCH(ROW()-5,$AN$6:$AN$565,0)),"")</f>
        <v/>
      </c>
      <c r="AP513">
        <f>IF(AND($F513&lt;&gt;"",$I513&lt;&gt;""),IF($G513="وام و تسهیلات",1,0),0)</f>
        <v/>
      </c>
      <c r="AQ513">
        <f>SUM($AP$6:$AP513)</f>
        <v/>
      </c>
      <c r="AR513">
        <f>IFERROR(INDEX($F$6:$F$565,MATCH(ROW()-5,$AQ$6:$AQ$565,0)),"")</f>
        <v/>
      </c>
      <c r="AS513">
        <f>IF(AND($F513&lt;&gt;"",$I513&lt;&gt;""),IF($G513="سرمایه و آورده صاحبان",1,0),0)</f>
        <v/>
      </c>
      <c r="AT513">
        <f>SUM($AS$6:$AS513)</f>
        <v/>
      </c>
      <c r="AU513">
        <f>IFERROR(INDEX($F$6:$F$565,MATCH(ROW()-5,$AT$6:$AT$565,0)),"")</f>
        <v/>
      </c>
      <c r="AX513">
        <f>IF([4]Entry!$E$516="","",[4]Entry!$E$516)</f>
        <v/>
      </c>
      <c r="AY513">
        <f>IF([4]Entry!$H$516="","",[4]Entry!$H$516)</f>
        <v/>
      </c>
      <c r="AZ513">
        <f>IF([4]Entry!$I$516="","",[4]Entry!$I$516)</f>
        <v/>
      </c>
    </row>
    <row r="514">
      <c r="F514">
        <f>IF([1]Accounts!$D$515="","",[1]Accounts!$A$515)</f>
        <v/>
      </c>
      <c r="G514">
        <f>IF([1]Accounts!$D$515="","",[1]Accounts!$B$515)</f>
        <v/>
      </c>
      <c r="H514">
        <f>IF([1]Accounts!$D$515="","",[1]Accounts!$C$515)</f>
        <v/>
      </c>
      <c r="I514">
        <f>IF([1]Accounts!$D$515="","",[1]Accounts!$D$515)</f>
        <v/>
      </c>
      <c r="R514">
        <f>IF(AND($F514&lt;&gt;"",$I514&lt;&gt;""),IF(OR($G514="دارایی ثابت",$G514="وام و تسهیلات",$G514="سرمایه و آورده صاحبان"),0,1),0)</f>
        <v/>
      </c>
      <c r="S514">
        <f>SUM($R$6:$R514)</f>
        <v/>
      </c>
      <c r="T514">
        <f>IFERROR(INDEX($F$6:$F$565,MATCH(ROW()-5,$S$6:$S$565,0)),"")</f>
        <v/>
      </c>
      <c r="Z514">
        <f>IF([2]Entry!$E$517="","",[2]Entry!$E$517)</f>
        <v/>
      </c>
      <c r="AA514">
        <f>IF([2]Entry!$G$517="","",[2]Entry!$G$517)</f>
        <v/>
      </c>
      <c r="AB514">
        <f>IF([2]Entry!$J$517="","",[2]Entry!$J$517)</f>
        <v/>
      </c>
      <c r="AC514">
        <f>IF([2]Entry!$K$517="","",[2]Entry!$K$517)</f>
        <v/>
      </c>
      <c r="AD514">
        <f>IF([2]Entry!$L$517="","",[2]Entry!$L$517)</f>
        <v/>
      </c>
      <c r="AE514">
        <f>IF([2]Entry!$M$517="","",[2]Entry!$M$517)</f>
        <v/>
      </c>
      <c r="AF514">
        <f>IF([2]Entry!$N$517="","",[2]Entry!$N$517)</f>
        <v/>
      </c>
      <c r="AJ514">
        <f>IF([2]Entry!$S$517="","",[2]Entry!$S$517)</f>
        <v/>
      </c>
      <c r="AK514">
        <f>IF([2]Entry!$C$517="","",[2]Entry!$C$517)</f>
        <v/>
      </c>
      <c r="AL514">
        <f>IF([2]Entry!$D$517="","",[2]Entry!$D$517)</f>
        <v/>
      </c>
      <c r="AM514">
        <f>IF(AND($F514&lt;&gt;"",$I514&lt;&gt;""),IF($G514="دارایی ثابت",1,0),0)</f>
        <v/>
      </c>
      <c r="AN514">
        <f>SUM($AM$6:$AM514)</f>
        <v/>
      </c>
      <c r="AO514">
        <f>IFERROR(INDEX($F$6:$F$565,MATCH(ROW()-5,$AN$6:$AN$565,0)),"")</f>
        <v/>
      </c>
      <c r="AP514">
        <f>IF(AND($F514&lt;&gt;"",$I514&lt;&gt;""),IF($G514="وام و تسهیلات",1,0),0)</f>
        <v/>
      </c>
      <c r="AQ514">
        <f>SUM($AP$6:$AP514)</f>
        <v/>
      </c>
      <c r="AR514">
        <f>IFERROR(INDEX($F$6:$F$565,MATCH(ROW()-5,$AQ$6:$AQ$565,0)),"")</f>
        <v/>
      </c>
      <c r="AS514">
        <f>IF(AND($F514&lt;&gt;"",$I514&lt;&gt;""),IF($G514="سرمایه و آورده صاحبان",1,0),0)</f>
        <v/>
      </c>
      <c r="AT514">
        <f>SUM($AS$6:$AS514)</f>
        <v/>
      </c>
      <c r="AU514">
        <f>IFERROR(INDEX($F$6:$F$565,MATCH(ROW()-5,$AT$6:$AT$565,0)),"")</f>
        <v/>
      </c>
      <c r="AX514">
        <f>IF([4]Entry!$E$517="","",[4]Entry!$E$517)</f>
        <v/>
      </c>
      <c r="AY514">
        <f>IF([4]Entry!$H$517="","",[4]Entry!$H$517)</f>
        <v/>
      </c>
      <c r="AZ514">
        <f>IF([4]Entry!$I$517="","",[4]Entry!$I$517)</f>
        <v/>
      </c>
    </row>
    <row r="515">
      <c r="F515">
        <f>IF([1]Accounts!$D$516="","",[1]Accounts!$A$516)</f>
        <v/>
      </c>
      <c r="G515">
        <f>IF([1]Accounts!$D$516="","",[1]Accounts!$B$516)</f>
        <v/>
      </c>
      <c r="H515">
        <f>IF([1]Accounts!$D$516="","",[1]Accounts!$C$516)</f>
        <v/>
      </c>
      <c r="I515">
        <f>IF([1]Accounts!$D$516="","",[1]Accounts!$D$516)</f>
        <v/>
      </c>
      <c r="R515">
        <f>IF(AND($F515&lt;&gt;"",$I515&lt;&gt;""),IF(OR($G515="دارایی ثابت",$G515="وام و تسهیلات",$G515="سرمایه و آورده صاحبان"),0,1),0)</f>
        <v/>
      </c>
      <c r="S515">
        <f>SUM($R$6:$R515)</f>
        <v/>
      </c>
      <c r="T515">
        <f>IFERROR(INDEX($F$6:$F$565,MATCH(ROW()-5,$S$6:$S$565,0)),"")</f>
        <v/>
      </c>
      <c r="Z515">
        <f>IF([2]Entry!$E$518="","",[2]Entry!$E$518)</f>
        <v/>
      </c>
      <c r="AA515">
        <f>IF([2]Entry!$G$518="","",[2]Entry!$G$518)</f>
        <v/>
      </c>
      <c r="AB515">
        <f>IF([2]Entry!$J$518="","",[2]Entry!$J$518)</f>
        <v/>
      </c>
      <c r="AC515">
        <f>IF([2]Entry!$K$518="","",[2]Entry!$K$518)</f>
        <v/>
      </c>
      <c r="AD515">
        <f>IF([2]Entry!$L$518="","",[2]Entry!$L$518)</f>
        <v/>
      </c>
      <c r="AE515">
        <f>IF([2]Entry!$M$518="","",[2]Entry!$M$518)</f>
        <v/>
      </c>
      <c r="AF515">
        <f>IF([2]Entry!$N$518="","",[2]Entry!$N$518)</f>
        <v/>
      </c>
      <c r="AJ515">
        <f>IF([2]Entry!$S$518="","",[2]Entry!$S$518)</f>
        <v/>
      </c>
      <c r="AK515">
        <f>IF([2]Entry!$C$518="","",[2]Entry!$C$518)</f>
        <v/>
      </c>
      <c r="AL515">
        <f>IF([2]Entry!$D$518="","",[2]Entry!$D$518)</f>
        <v/>
      </c>
      <c r="AM515">
        <f>IF(AND($F515&lt;&gt;"",$I515&lt;&gt;""),IF($G515="دارایی ثابت",1,0),0)</f>
        <v/>
      </c>
      <c r="AN515">
        <f>SUM($AM$6:$AM515)</f>
        <v/>
      </c>
      <c r="AO515">
        <f>IFERROR(INDEX($F$6:$F$565,MATCH(ROW()-5,$AN$6:$AN$565,0)),"")</f>
        <v/>
      </c>
      <c r="AP515">
        <f>IF(AND($F515&lt;&gt;"",$I515&lt;&gt;""),IF($G515="وام و تسهیلات",1,0),0)</f>
        <v/>
      </c>
      <c r="AQ515">
        <f>SUM($AP$6:$AP515)</f>
        <v/>
      </c>
      <c r="AR515">
        <f>IFERROR(INDEX($F$6:$F$565,MATCH(ROW()-5,$AQ$6:$AQ$565,0)),"")</f>
        <v/>
      </c>
      <c r="AS515">
        <f>IF(AND($F515&lt;&gt;"",$I515&lt;&gt;""),IF($G515="سرمایه و آورده صاحبان",1,0),0)</f>
        <v/>
      </c>
      <c r="AT515">
        <f>SUM($AS$6:$AS515)</f>
        <v/>
      </c>
      <c r="AU515">
        <f>IFERROR(INDEX($F$6:$F$565,MATCH(ROW()-5,$AT$6:$AT$565,0)),"")</f>
        <v/>
      </c>
      <c r="AX515">
        <f>IF([4]Entry!$E$518="","",[4]Entry!$E$518)</f>
        <v/>
      </c>
      <c r="AY515">
        <f>IF([4]Entry!$H$518="","",[4]Entry!$H$518)</f>
        <v/>
      </c>
      <c r="AZ515">
        <f>IF([4]Entry!$I$518="","",[4]Entry!$I$518)</f>
        <v/>
      </c>
    </row>
    <row r="516">
      <c r="F516">
        <f>IF([1]Accounts!$D$517="","",[1]Accounts!$A$517)</f>
        <v/>
      </c>
      <c r="G516">
        <f>IF([1]Accounts!$D$517="","",[1]Accounts!$B$517)</f>
        <v/>
      </c>
      <c r="H516">
        <f>IF([1]Accounts!$D$517="","",[1]Accounts!$C$517)</f>
        <v/>
      </c>
      <c r="I516">
        <f>IF([1]Accounts!$D$517="","",[1]Accounts!$D$517)</f>
        <v/>
      </c>
      <c r="R516">
        <f>IF(AND($F516&lt;&gt;"",$I516&lt;&gt;""),IF(OR($G516="دارایی ثابت",$G516="وام و تسهیلات",$G516="سرمایه و آورده صاحبان"),0,1),0)</f>
        <v/>
      </c>
      <c r="S516">
        <f>SUM($R$6:$R516)</f>
        <v/>
      </c>
      <c r="T516">
        <f>IFERROR(INDEX($F$6:$F$565,MATCH(ROW()-5,$S$6:$S$565,0)),"")</f>
        <v/>
      </c>
      <c r="Z516">
        <f>IF([2]Entry!$E$519="","",[2]Entry!$E$519)</f>
        <v/>
      </c>
      <c r="AA516">
        <f>IF([2]Entry!$G$519="","",[2]Entry!$G$519)</f>
        <v/>
      </c>
      <c r="AB516">
        <f>IF([2]Entry!$J$519="","",[2]Entry!$J$519)</f>
        <v/>
      </c>
      <c r="AC516">
        <f>IF([2]Entry!$K$519="","",[2]Entry!$K$519)</f>
        <v/>
      </c>
      <c r="AD516">
        <f>IF([2]Entry!$L$519="","",[2]Entry!$L$519)</f>
        <v/>
      </c>
      <c r="AE516">
        <f>IF([2]Entry!$M$519="","",[2]Entry!$M$519)</f>
        <v/>
      </c>
      <c r="AF516">
        <f>IF([2]Entry!$N$519="","",[2]Entry!$N$519)</f>
        <v/>
      </c>
      <c r="AJ516">
        <f>IF([2]Entry!$S$519="","",[2]Entry!$S$519)</f>
        <v/>
      </c>
      <c r="AK516">
        <f>IF([2]Entry!$C$519="","",[2]Entry!$C$519)</f>
        <v/>
      </c>
      <c r="AL516">
        <f>IF([2]Entry!$D$519="","",[2]Entry!$D$519)</f>
        <v/>
      </c>
      <c r="AM516">
        <f>IF(AND($F516&lt;&gt;"",$I516&lt;&gt;""),IF($G516="دارایی ثابت",1,0),0)</f>
        <v/>
      </c>
      <c r="AN516">
        <f>SUM($AM$6:$AM516)</f>
        <v/>
      </c>
      <c r="AO516">
        <f>IFERROR(INDEX($F$6:$F$565,MATCH(ROW()-5,$AN$6:$AN$565,0)),"")</f>
        <v/>
      </c>
      <c r="AP516">
        <f>IF(AND($F516&lt;&gt;"",$I516&lt;&gt;""),IF($G516="وام و تسهیلات",1,0),0)</f>
        <v/>
      </c>
      <c r="AQ516">
        <f>SUM($AP$6:$AP516)</f>
        <v/>
      </c>
      <c r="AR516">
        <f>IFERROR(INDEX($F$6:$F$565,MATCH(ROW()-5,$AQ$6:$AQ$565,0)),"")</f>
        <v/>
      </c>
      <c r="AS516">
        <f>IF(AND($F516&lt;&gt;"",$I516&lt;&gt;""),IF($G516="سرمایه و آورده صاحبان",1,0),0)</f>
        <v/>
      </c>
      <c r="AT516">
        <f>SUM($AS$6:$AS516)</f>
        <v/>
      </c>
      <c r="AU516">
        <f>IFERROR(INDEX($F$6:$F$565,MATCH(ROW()-5,$AT$6:$AT$565,0)),"")</f>
        <v/>
      </c>
      <c r="AX516">
        <f>IF([4]Entry!$E$519="","",[4]Entry!$E$519)</f>
        <v/>
      </c>
      <c r="AY516">
        <f>IF([4]Entry!$H$519="","",[4]Entry!$H$519)</f>
        <v/>
      </c>
      <c r="AZ516">
        <f>IF([4]Entry!$I$519="","",[4]Entry!$I$519)</f>
        <v/>
      </c>
    </row>
    <row r="517">
      <c r="F517">
        <f>IF([1]Accounts!$D$518="","",[1]Accounts!$A$518)</f>
        <v/>
      </c>
      <c r="G517">
        <f>IF([1]Accounts!$D$518="","",[1]Accounts!$B$518)</f>
        <v/>
      </c>
      <c r="H517">
        <f>IF([1]Accounts!$D$518="","",[1]Accounts!$C$518)</f>
        <v/>
      </c>
      <c r="I517">
        <f>IF([1]Accounts!$D$518="","",[1]Accounts!$D$518)</f>
        <v/>
      </c>
      <c r="R517">
        <f>IF(AND($F517&lt;&gt;"",$I517&lt;&gt;""),IF(OR($G517="دارایی ثابت",$G517="وام و تسهیلات",$G517="سرمایه و آورده صاحبان"),0,1),0)</f>
        <v/>
      </c>
      <c r="S517">
        <f>SUM($R$6:$R517)</f>
        <v/>
      </c>
      <c r="T517">
        <f>IFERROR(INDEX($F$6:$F$565,MATCH(ROW()-5,$S$6:$S$565,0)),"")</f>
        <v/>
      </c>
      <c r="Z517">
        <f>IF([2]Entry!$E$520="","",[2]Entry!$E$520)</f>
        <v/>
      </c>
      <c r="AA517">
        <f>IF([2]Entry!$G$520="","",[2]Entry!$G$520)</f>
        <v/>
      </c>
      <c r="AB517">
        <f>IF([2]Entry!$J$520="","",[2]Entry!$J$520)</f>
        <v/>
      </c>
      <c r="AC517">
        <f>IF([2]Entry!$K$520="","",[2]Entry!$K$520)</f>
        <v/>
      </c>
      <c r="AD517">
        <f>IF([2]Entry!$L$520="","",[2]Entry!$L$520)</f>
        <v/>
      </c>
      <c r="AE517">
        <f>IF([2]Entry!$M$520="","",[2]Entry!$M$520)</f>
        <v/>
      </c>
      <c r="AF517">
        <f>IF([2]Entry!$N$520="","",[2]Entry!$N$520)</f>
        <v/>
      </c>
      <c r="AJ517">
        <f>IF([2]Entry!$S$520="","",[2]Entry!$S$520)</f>
        <v/>
      </c>
      <c r="AK517">
        <f>IF([2]Entry!$C$520="","",[2]Entry!$C$520)</f>
        <v/>
      </c>
      <c r="AL517">
        <f>IF([2]Entry!$D$520="","",[2]Entry!$D$520)</f>
        <v/>
      </c>
      <c r="AM517">
        <f>IF(AND($F517&lt;&gt;"",$I517&lt;&gt;""),IF($G517="دارایی ثابت",1,0),0)</f>
        <v/>
      </c>
      <c r="AN517">
        <f>SUM($AM$6:$AM517)</f>
        <v/>
      </c>
      <c r="AO517">
        <f>IFERROR(INDEX($F$6:$F$565,MATCH(ROW()-5,$AN$6:$AN$565,0)),"")</f>
        <v/>
      </c>
      <c r="AP517">
        <f>IF(AND($F517&lt;&gt;"",$I517&lt;&gt;""),IF($G517="وام و تسهیلات",1,0),0)</f>
        <v/>
      </c>
      <c r="AQ517">
        <f>SUM($AP$6:$AP517)</f>
        <v/>
      </c>
      <c r="AR517">
        <f>IFERROR(INDEX($F$6:$F$565,MATCH(ROW()-5,$AQ$6:$AQ$565,0)),"")</f>
        <v/>
      </c>
      <c r="AS517">
        <f>IF(AND($F517&lt;&gt;"",$I517&lt;&gt;""),IF($G517="سرمایه و آورده صاحبان",1,0),0)</f>
        <v/>
      </c>
      <c r="AT517">
        <f>SUM($AS$6:$AS517)</f>
        <v/>
      </c>
      <c r="AU517">
        <f>IFERROR(INDEX($F$6:$F$565,MATCH(ROW()-5,$AT$6:$AT$565,0)),"")</f>
        <v/>
      </c>
      <c r="AX517">
        <f>IF([4]Entry!$E$520="","",[4]Entry!$E$520)</f>
        <v/>
      </c>
      <c r="AY517">
        <f>IF([4]Entry!$H$520="","",[4]Entry!$H$520)</f>
        <v/>
      </c>
      <c r="AZ517">
        <f>IF([4]Entry!$I$520="","",[4]Entry!$I$520)</f>
        <v/>
      </c>
    </row>
    <row r="518">
      <c r="F518">
        <f>IF([1]Accounts!$D$519="","",[1]Accounts!$A$519)</f>
        <v/>
      </c>
      <c r="G518">
        <f>IF([1]Accounts!$D$519="","",[1]Accounts!$B$519)</f>
        <v/>
      </c>
      <c r="H518">
        <f>IF([1]Accounts!$D$519="","",[1]Accounts!$C$519)</f>
        <v/>
      </c>
      <c r="I518">
        <f>IF([1]Accounts!$D$519="","",[1]Accounts!$D$519)</f>
        <v/>
      </c>
      <c r="R518">
        <f>IF(AND($F518&lt;&gt;"",$I518&lt;&gt;""),IF(OR($G518="دارایی ثابت",$G518="وام و تسهیلات",$G518="سرمایه و آورده صاحبان"),0,1),0)</f>
        <v/>
      </c>
      <c r="S518">
        <f>SUM($R$6:$R518)</f>
        <v/>
      </c>
      <c r="T518">
        <f>IFERROR(INDEX($F$6:$F$565,MATCH(ROW()-5,$S$6:$S$565,0)),"")</f>
        <v/>
      </c>
      <c r="Z518">
        <f>IF([2]Entry!$E$521="","",[2]Entry!$E$521)</f>
        <v/>
      </c>
      <c r="AA518">
        <f>IF([2]Entry!$G$521="","",[2]Entry!$G$521)</f>
        <v/>
      </c>
      <c r="AB518">
        <f>IF([2]Entry!$J$521="","",[2]Entry!$J$521)</f>
        <v/>
      </c>
      <c r="AC518">
        <f>IF([2]Entry!$K$521="","",[2]Entry!$K$521)</f>
        <v/>
      </c>
      <c r="AD518">
        <f>IF([2]Entry!$L$521="","",[2]Entry!$L$521)</f>
        <v/>
      </c>
      <c r="AE518">
        <f>IF([2]Entry!$M$521="","",[2]Entry!$M$521)</f>
        <v/>
      </c>
      <c r="AF518">
        <f>IF([2]Entry!$N$521="","",[2]Entry!$N$521)</f>
        <v/>
      </c>
      <c r="AJ518">
        <f>IF([2]Entry!$S$521="","",[2]Entry!$S$521)</f>
        <v/>
      </c>
      <c r="AK518">
        <f>IF([2]Entry!$C$521="","",[2]Entry!$C$521)</f>
        <v/>
      </c>
      <c r="AL518">
        <f>IF([2]Entry!$D$521="","",[2]Entry!$D$521)</f>
        <v/>
      </c>
      <c r="AM518">
        <f>IF(AND($F518&lt;&gt;"",$I518&lt;&gt;""),IF($G518="دارایی ثابت",1,0),0)</f>
        <v/>
      </c>
      <c r="AN518">
        <f>SUM($AM$6:$AM518)</f>
        <v/>
      </c>
      <c r="AO518">
        <f>IFERROR(INDEX($F$6:$F$565,MATCH(ROW()-5,$AN$6:$AN$565,0)),"")</f>
        <v/>
      </c>
      <c r="AP518">
        <f>IF(AND($F518&lt;&gt;"",$I518&lt;&gt;""),IF($G518="وام و تسهیلات",1,0),0)</f>
        <v/>
      </c>
      <c r="AQ518">
        <f>SUM($AP$6:$AP518)</f>
        <v/>
      </c>
      <c r="AR518">
        <f>IFERROR(INDEX($F$6:$F$565,MATCH(ROW()-5,$AQ$6:$AQ$565,0)),"")</f>
        <v/>
      </c>
      <c r="AS518">
        <f>IF(AND($F518&lt;&gt;"",$I518&lt;&gt;""),IF($G518="سرمایه و آورده صاحبان",1,0),0)</f>
        <v/>
      </c>
      <c r="AT518">
        <f>SUM($AS$6:$AS518)</f>
        <v/>
      </c>
      <c r="AU518">
        <f>IFERROR(INDEX($F$6:$F$565,MATCH(ROW()-5,$AT$6:$AT$565,0)),"")</f>
        <v/>
      </c>
      <c r="AX518">
        <f>IF([4]Entry!$E$521="","",[4]Entry!$E$521)</f>
        <v/>
      </c>
      <c r="AY518">
        <f>IF([4]Entry!$H$521="","",[4]Entry!$H$521)</f>
        <v/>
      </c>
      <c r="AZ518">
        <f>IF([4]Entry!$I$521="","",[4]Entry!$I$521)</f>
        <v/>
      </c>
    </row>
    <row r="519">
      <c r="F519">
        <f>IF([1]Accounts!$D$520="","",[1]Accounts!$A$520)</f>
        <v/>
      </c>
      <c r="G519">
        <f>IF([1]Accounts!$D$520="","",[1]Accounts!$B$520)</f>
        <v/>
      </c>
      <c r="H519">
        <f>IF([1]Accounts!$D$520="","",[1]Accounts!$C$520)</f>
        <v/>
      </c>
      <c r="I519">
        <f>IF([1]Accounts!$D$520="","",[1]Accounts!$D$520)</f>
        <v/>
      </c>
      <c r="R519">
        <f>IF(AND($F519&lt;&gt;"",$I519&lt;&gt;""),IF(OR($G519="دارایی ثابت",$G519="وام و تسهیلات",$G519="سرمایه و آورده صاحبان"),0,1),0)</f>
        <v/>
      </c>
      <c r="S519">
        <f>SUM($R$6:$R519)</f>
        <v/>
      </c>
      <c r="T519">
        <f>IFERROR(INDEX($F$6:$F$565,MATCH(ROW()-5,$S$6:$S$565,0)),"")</f>
        <v/>
      </c>
      <c r="Z519">
        <f>IF([2]Entry!$E$522="","",[2]Entry!$E$522)</f>
        <v/>
      </c>
      <c r="AA519">
        <f>IF([2]Entry!$G$522="","",[2]Entry!$G$522)</f>
        <v/>
      </c>
      <c r="AB519">
        <f>IF([2]Entry!$J$522="","",[2]Entry!$J$522)</f>
        <v/>
      </c>
      <c r="AC519">
        <f>IF([2]Entry!$K$522="","",[2]Entry!$K$522)</f>
        <v/>
      </c>
      <c r="AD519">
        <f>IF([2]Entry!$L$522="","",[2]Entry!$L$522)</f>
        <v/>
      </c>
      <c r="AE519">
        <f>IF([2]Entry!$M$522="","",[2]Entry!$M$522)</f>
        <v/>
      </c>
      <c r="AF519">
        <f>IF([2]Entry!$N$522="","",[2]Entry!$N$522)</f>
        <v/>
      </c>
      <c r="AJ519">
        <f>IF([2]Entry!$S$522="","",[2]Entry!$S$522)</f>
        <v/>
      </c>
      <c r="AK519">
        <f>IF([2]Entry!$C$522="","",[2]Entry!$C$522)</f>
        <v/>
      </c>
      <c r="AL519">
        <f>IF([2]Entry!$D$522="","",[2]Entry!$D$522)</f>
        <v/>
      </c>
      <c r="AM519">
        <f>IF(AND($F519&lt;&gt;"",$I519&lt;&gt;""),IF($G519="دارایی ثابت",1,0),0)</f>
        <v/>
      </c>
      <c r="AN519">
        <f>SUM($AM$6:$AM519)</f>
        <v/>
      </c>
      <c r="AO519">
        <f>IFERROR(INDEX($F$6:$F$565,MATCH(ROW()-5,$AN$6:$AN$565,0)),"")</f>
        <v/>
      </c>
      <c r="AP519">
        <f>IF(AND($F519&lt;&gt;"",$I519&lt;&gt;""),IF($G519="وام و تسهیلات",1,0),0)</f>
        <v/>
      </c>
      <c r="AQ519">
        <f>SUM($AP$6:$AP519)</f>
        <v/>
      </c>
      <c r="AR519">
        <f>IFERROR(INDEX($F$6:$F$565,MATCH(ROW()-5,$AQ$6:$AQ$565,0)),"")</f>
        <v/>
      </c>
      <c r="AS519">
        <f>IF(AND($F519&lt;&gt;"",$I519&lt;&gt;""),IF($G519="سرمایه و آورده صاحبان",1,0),0)</f>
        <v/>
      </c>
      <c r="AT519">
        <f>SUM($AS$6:$AS519)</f>
        <v/>
      </c>
      <c r="AU519">
        <f>IFERROR(INDEX($F$6:$F$565,MATCH(ROW()-5,$AT$6:$AT$565,0)),"")</f>
        <v/>
      </c>
      <c r="AX519">
        <f>IF([4]Entry!$E$522="","",[4]Entry!$E$522)</f>
        <v/>
      </c>
      <c r="AY519">
        <f>IF([4]Entry!$H$522="","",[4]Entry!$H$522)</f>
        <v/>
      </c>
      <c r="AZ519">
        <f>IF([4]Entry!$I$522="","",[4]Entry!$I$522)</f>
        <v/>
      </c>
    </row>
    <row r="520">
      <c r="F520">
        <f>IF([1]Accounts!$D$521="","",[1]Accounts!$A$521)</f>
        <v/>
      </c>
      <c r="G520">
        <f>IF([1]Accounts!$D$521="","",[1]Accounts!$B$521)</f>
        <v/>
      </c>
      <c r="H520">
        <f>IF([1]Accounts!$D$521="","",[1]Accounts!$C$521)</f>
        <v/>
      </c>
      <c r="I520">
        <f>IF([1]Accounts!$D$521="","",[1]Accounts!$D$521)</f>
        <v/>
      </c>
      <c r="R520">
        <f>IF(AND($F520&lt;&gt;"",$I520&lt;&gt;""),IF(OR($G520="دارایی ثابت",$G520="وام و تسهیلات",$G520="سرمایه و آورده صاحبان"),0,1),0)</f>
        <v/>
      </c>
      <c r="S520">
        <f>SUM($R$6:$R520)</f>
        <v/>
      </c>
      <c r="T520">
        <f>IFERROR(INDEX($F$6:$F$565,MATCH(ROW()-5,$S$6:$S$565,0)),"")</f>
        <v/>
      </c>
      <c r="Z520">
        <f>IF([2]Entry!$E$523="","",[2]Entry!$E$523)</f>
        <v/>
      </c>
      <c r="AA520">
        <f>IF([2]Entry!$G$523="","",[2]Entry!$G$523)</f>
        <v/>
      </c>
      <c r="AB520">
        <f>IF([2]Entry!$J$523="","",[2]Entry!$J$523)</f>
        <v/>
      </c>
      <c r="AC520">
        <f>IF([2]Entry!$K$523="","",[2]Entry!$K$523)</f>
        <v/>
      </c>
      <c r="AD520">
        <f>IF([2]Entry!$L$523="","",[2]Entry!$L$523)</f>
        <v/>
      </c>
      <c r="AE520">
        <f>IF([2]Entry!$M$523="","",[2]Entry!$M$523)</f>
        <v/>
      </c>
      <c r="AF520">
        <f>IF([2]Entry!$N$523="","",[2]Entry!$N$523)</f>
        <v/>
      </c>
      <c r="AJ520">
        <f>IF([2]Entry!$S$523="","",[2]Entry!$S$523)</f>
        <v/>
      </c>
      <c r="AK520">
        <f>IF([2]Entry!$C$523="","",[2]Entry!$C$523)</f>
        <v/>
      </c>
      <c r="AL520">
        <f>IF([2]Entry!$D$523="","",[2]Entry!$D$523)</f>
        <v/>
      </c>
      <c r="AM520">
        <f>IF(AND($F520&lt;&gt;"",$I520&lt;&gt;""),IF($G520="دارایی ثابت",1,0),0)</f>
        <v/>
      </c>
      <c r="AN520">
        <f>SUM($AM$6:$AM520)</f>
        <v/>
      </c>
      <c r="AO520">
        <f>IFERROR(INDEX($F$6:$F$565,MATCH(ROW()-5,$AN$6:$AN$565,0)),"")</f>
        <v/>
      </c>
      <c r="AP520">
        <f>IF(AND($F520&lt;&gt;"",$I520&lt;&gt;""),IF($G520="وام و تسهیلات",1,0),0)</f>
        <v/>
      </c>
      <c r="AQ520">
        <f>SUM($AP$6:$AP520)</f>
        <v/>
      </c>
      <c r="AR520">
        <f>IFERROR(INDEX($F$6:$F$565,MATCH(ROW()-5,$AQ$6:$AQ$565,0)),"")</f>
        <v/>
      </c>
      <c r="AS520">
        <f>IF(AND($F520&lt;&gt;"",$I520&lt;&gt;""),IF($G520="سرمایه و آورده صاحبان",1,0),0)</f>
        <v/>
      </c>
      <c r="AT520">
        <f>SUM($AS$6:$AS520)</f>
        <v/>
      </c>
      <c r="AU520">
        <f>IFERROR(INDEX($F$6:$F$565,MATCH(ROW()-5,$AT$6:$AT$565,0)),"")</f>
        <v/>
      </c>
      <c r="AX520">
        <f>IF([4]Entry!$E$523="","",[4]Entry!$E$523)</f>
        <v/>
      </c>
      <c r="AY520">
        <f>IF([4]Entry!$H$523="","",[4]Entry!$H$523)</f>
        <v/>
      </c>
      <c r="AZ520">
        <f>IF([4]Entry!$I$523="","",[4]Entry!$I$523)</f>
        <v/>
      </c>
    </row>
    <row r="521">
      <c r="F521">
        <f>IF([1]Accounts!$D$522="","",[1]Accounts!$A$522)</f>
        <v/>
      </c>
      <c r="G521">
        <f>IF([1]Accounts!$D$522="","",[1]Accounts!$B$522)</f>
        <v/>
      </c>
      <c r="H521">
        <f>IF([1]Accounts!$D$522="","",[1]Accounts!$C$522)</f>
        <v/>
      </c>
      <c r="I521">
        <f>IF([1]Accounts!$D$522="","",[1]Accounts!$D$522)</f>
        <v/>
      </c>
      <c r="R521">
        <f>IF(AND($F521&lt;&gt;"",$I521&lt;&gt;""),IF(OR($G521="دارایی ثابت",$G521="وام و تسهیلات",$G521="سرمایه و آورده صاحبان"),0,1),0)</f>
        <v/>
      </c>
      <c r="S521">
        <f>SUM($R$6:$R521)</f>
        <v/>
      </c>
      <c r="T521">
        <f>IFERROR(INDEX($F$6:$F$565,MATCH(ROW()-5,$S$6:$S$565,0)),"")</f>
        <v/>
      </c>
      <c r="Z521">
        <f>IF([2]Entry!$E$524="","",[2]Entry!$E$524)</f>
        <v/>
      </c>
      <c r="AA521">
        <f>IF([2]Entry!$G$524="","",[2]Entry!$G$524)</f>
        <v/>
      </c>
      <c r="AB521">
        <f>IF([2]Entry!$J$524="","",[2]Entry!$J$524)</f>
        <v/>
      </c>
      <c r="AC521">
        <f>IF([2]Entry!$K$524="","",[2]Entry!$K$524)</f>
        <v/>
      </c>
      <c r="AD521">
        <f>IF([2]Entry!$L$524="","",[2]Entry!$L$524)</f>
        <v/>
      </c>
      <c r="AE521">
        <f>IF([2]Entry!$M$524="","",[2]Entry!$M$524)</f>
        <v/>
      </c>
      <c r="AF521">
        <f>IF([2]Entry!$N$524="","",[2]Entry!$N$524)</f>
        <v/>
      </c>
      <c r="AJ521">
        <f>IF([2]Entry!$S$524="","",[2]Entry!$S$524)</f>
        <v/>
      </c>
      <c r="AK521">
        <f>IF([2]Entry!$C$524="","",[2]Entry!$C$524)</f>
        <v/>
      </c>
      <c r="AL521">
        <f>IF([2]Entry!$D$524="","",[2]Entry!$D$524)</f>
        <v/>
      </c>
      <c r="AM521">
        <f>IF(AND($F521&lt;&gt;"",$I521&lt;&gt;""),IF($G521="دارایی ثابت",1,0),0)</f>
        <v/>
      </c>
      <c r="AN521">
        <f>SUM($AM$6:$AM521)</f>
        <v/>
      </c>
      <c r="AO521">
        <f>IFERROR(INDEX($F$6:$F$565,MATCH(ROW()-5,$AN$6:$AN$565,0)),"")</f>
        <v/>
      </c>
      <c r="AP521">
        <f>IF(AND($F521&lt;&gt;"",$I521&lt;&gt;""),IF($G521="وام و تسهیلات",1,0),0)</f>
        <v/>
      </c>
      <c r="AQ521">
        <f>SUM($AP$6:$AP521)</f>
        <v/>
      </c>
      <c r="AR521">
        <f>IFERROR(INDEX($F$6:$F$565,MATCH(ROW()-5,$AQ$6:$AQ$565,0)),"")</f>
        <v/>
      </c>
      <c r="AS521">
        <f>IF(AND($F521&lt;&gt;"",$I521&lt;&gt;""),IF($G521="سرمایه و آورده صاحبان",1,0),0)</f>
        <v/>
      </c>
      <c r="AT521">
        <f>SUM($AS$6:$AS521)</f>
        <v/>
      </c>
      <c r="AU521">
        <f>IFERROR(INDEX($F$6:$F$565,MATCH(ROW()-5,$AT$6:$AT$565,0)),"")</f>
        <v/>
      </c>
      <c r="AX521">
        <f>IF([4]Entry!$E$524="","",[4]Entry!$E$524)</f>
        <v/>
      </c>
      <c r="AY521">
        <f>IF([4]Entry!$H$524="","",[4]Entry!$H$524)</f>
        <v/>
      </c>
      <c r="AZ521">
        <f>IF([4]Entry!$I$524="","",[4]Entry!$I$524)</f>
        <v/>
      </c>
    </row>
    <row r="522">
      <c r="F522">
        <f>IF([1]Accounts!$D$523="","",[1]Accounts!$A$523)</f>
        <v/>
      </c>
      <c r="G522">
        <f>IF([1]Accounts!$D$523="","",[1]Accounts!$B$523)</f>
        <v/>
      </c>
      <c r="H522">
        <f>IF([1]Accounts!$D$523="","",[1]Accounts!$C$523)</f>
        <v/>
      </c>
      <c r="I522">
        <f>IF([1]Accounts!$D$523="","",[1]Accounts!$D$523)</f>
        <v/>
      </c>
      <c r="R522">
        <f>IF(AND($F522&lt;&gt;"",$I522&lt;&gt;""),IF(OR($G522="دارایی ثابت",$G522="وام و تسهیلات",$G522="سرمایه و آورده صاحبان"),0,1),0)</f>
        <v/>
      </c>
      <c r="S522">
        <f>SUM($R$6:$R522)</f>
        <v/>
      </c>
      <c r="T522">
        <f>IFERROR(INDEX($F$6:$F$565,MATCH(ROW()-5,$S$6:$S$565,0)),"")</f>
        <v/>
      </c>
      <c r="Z522">
        <f>IF([2]Entry!$E$525="","",[2]Entry!$E$525)</f>
        <v/>
      </c>
      <c r="AA522">
        <f>IF([2]Entry!$G$525="","",[2]Entry!$G$525)</f>
        <v/>
      </c>
      <c r="AB522">
        <f>IF([2]Entry!$J$525="","",[2]Entry!$J$525)</f>
        <v/>
      </c>
      <c r="AC522">
        <f>IF([2]Entry!$K$525="","",[2]Entry!$K$525)</f>
        <v/>
      </c>
      <c r="AD522">
        <f>IF([2]Entry!$L$525="","",[2]Entry!$L$525)</f>
        <v/>
      </c>
      <c r="AE522">
        <f>IF([2]Entry!$M$525="","",[2]Entry!$M$525)</f>
        <v/>
      </c>
      <c r="AF522">
        <f>IF([2]Entry!$N$525="","",[2]Entry!$N$525)</f>
        <v/>
      </c>
      <c r="AJ522">
        <f>IF([2]Entry!$S$525="","",[2]Entry!$S$525)</f>
        <v/>
      </c>
      <c r="AK522">
        <f>IF([2]Entry!$C$525="","",[2]Entry!$C$525)</f>
        <v/>
      </c>
      <c r="AL522">
        <f>IF([2]Entry!$D$525="","",[2]Entry!$D$525)</f>
        <v/>
      </c>
      <c r="AM522">
        <f>IF(AND($F522&lt;&gt;"",$I522&lt;&gt;""),IF($G522="دارایی ثابت",1,0),0)</f>
        <v/>
      </c>
      <c r="AN522">
        <f>SUM($AM$6:$AM522)</f>
        <v/>
      </c>
      <c r="AO522">
        <f>IFERROR(INDEX($F$6:$F$565,MATCH(ROW()-5,$AN$6:$AN$565,0)),"")</f>
        <v/>
      </c>
      <c r="AP522">
        <f>IF(AND($F522&lt;&gt;"",$I522&lt;&gt;""),IF($G522="وام و تسهیلات",1,0),0)</f>
        <v/>
      </c>
      <c r="AQ522">
        <f>SUM($AP$6:$AP522)</f>
        <v/>
      </c>
      <c r="AR522">
        <f>IFERROR(INDEX($F$6:$F$565,MATCH(ROW()-5,$AQ$6:$AQ$565,0)),"")</f>
        <v/>
      </c>
      <c r="AS522">
        <f>IF(AND($F522&lt;&gt;"",$I522&lt;&gt;""),IF($G522="سرمایه و آورده صاحبان",1,0),0)</f>
        <v/>
      </c>
      <c r="AT522">
        <f>SUM($AS$6:$AS522)</f>
        <v/>
      </c>
      <c r="AU522">
        <f>IFERROR(INDEX($F$6:$F$565,MATCH(ROW()-5,$AT$6:$AT$565,0)),"")</f>
        <v/>
      </c>
      <c r="AX522">
        <f>IF([4]Entry!$E$525="","",[4]Entry!$E$525)</f>
        <v/>
      </c>
      <c r="AY522">
        <f>IF([4]Entry!$H$525="","",[4]Entry!$H$525)</f>
        <v/>
      </c>
      <c r="AZ522">
        <f>IF([4]Entry!$I$525="","",[4]Entry!$I$525)</f>
        <v/>
      </c>
    </row>
    <row r="523">
      <c r="F523">
        <f>IF([1]Accounts!$D$524="","",[1]Accounts!$A$524)</f>
        <v/>
      </c>
      <c r="G523">
        <f>IF([1]Accounts!$D$524="","",[1]Accounts!$B$524)</f>
        <v/>
      </c>
      <c r="H523">
        <f>IF([1]Accounts!$D$524="","",[1]Accounts!$C$524)</f>
        <v/>
      </c>
      <c r="I523">
        <f>IF([1]Accounts!$D$524="","",[1]Accounts!$D$524)</f>
        <v/>
      </c>
      <c r="R523">
        <f>IF(AND($F523&lt;&gt;"",$I523&lt;&gt;""),IF(OR($G523="دارایی ثابت",$G523="وام و تسهیلات",$G523="سرمایه و آورده صاحبان"),0,1),0)</f>
        <v/>
      </c>
      <c r="S523">
        <f>SUM($R$6:$R523)</f>
        <v/>
      </c>
      <c r="T523">
        <f>IFERROR(INDEX($F$6:$F$565,MATCH(ROW()-5,$S$6:$S$565,0)),"")</f>
        <v/>
      </c>
      <c r="Z523">
        <f>IF([2]Entry!$E$526="","",[2]Entry!$E$526)</f>
        <v/>
      </c>
      <c r="AA523">
        <f>IF([2]Entry!$G$526="","",[2]Entry!$G$526)</f>
        <v/>
      </c>
      <c r="AB523">
        <f>IF([2]Entry!$J$526="","",[2]Entry!$J$526)</f>
        <v/>
      </c>
      <c r="AC523">
        <f>IF([2]Entry!$K$526="","",[2]Entry!$K$526)</f>
        <v/>
      </c>
      <c r="AD523">
        <f>IF([2]Entry!$L$526="","",[2]Entry!$L$526)</f>
        <v/>
      </c>
      <c r="AE523">
        <f>IF([2]Entry!$M$526="","",[2]Entry!$M$526)</f>
        <v/>
      </c>
      <c r="AF523">
        <f>IF([2]Entry!$N$526="","",[2]Entry!$N$526)</f>
        <v/>
      </c>
      <c r="AJ523">
        <f>IF([2]Entry!$S$526="","",[2]Entry!$S$526)</f>
        <v/>
      </c>
      <c r="AK523">
        <f>IF([2]Entry!$C$526="","",[2]Entry!$C$526)</f>
        <v/>
      </c>
      <c r="AL523">
        <f>IF([2]Entry!$D$526="","",[2]Entry!$D$526)</f>
        <v/>
      </c>
      <c r="AM523">
        <f>IF(AND($F523&lt;&gt;"",$I523&lt;&gt;""),IF($G523="دارایی ثابت",1,0),0)</f>
        <v/>
      </c>
      <c r="AN523">
        <f>SUM($AM$6:$AM523)</f>
        <v/>
      </c>
      <c r="AO523">
        <f>IFERROR(INDEX($F$6:$F$565,MATCH(ROW()-5,$AN$6:$AN$565,0)),"")</f>
        <v/>
      </c>
      <c r="AP523">
        <f>IF(AND($F523&lt;&gt;"",$I523&lt;&gt;""),IF($G523="وام و تسهیلات",1,0),0)</f>
        <v/>
      </c>
      <c r="AQ523">
        <f>SUM($AP$6:$AP523)</f>
        <v/>
      </c>
      <c r="AR523">
        <f>IFERROR(INDEX($F$6:$F$565,MATCH(ROW()-5,$AQ$6:$AQ$565,0)),"")</f>
        <v/>
      </c>
      <c r="AS523">
        <f>IF(AND($F523&lt;&gt;"",$I523&lt;&gt;""),IF($G523="سرمایه و آورده صاحبان",1,0),0)</f>
        <v/>
      </c>
      <c r="AT523">
        <f>SUM($AS$6:$AS523)</f>
        <v/>
      </c>
      <c r="AU523">
        <f>IFERROR(INDEX($F$6:$F$565,MATCH(ROW()-5,$AT$6:$AT$565,0)),"")</f>
        <v/>
      </c>
      <c r="AX523">
        <f>IF([4]Entry!$E$526="","",[4]Entry!$E$526)</f>
        <v/>
      </c>
      <c r="AY523">
        <f>IF([4]Entry!$H$526="","",[4]Entry!$H$526)</f>
        <v/>
      </c>
      <c r="AZ523">
        <f>IF([4]Entry!$I$526="","",[4]Entry!$I$526)</f>
        <v/>
      </c>
    </row>
    <row r="524">
      <c r="F524">
        <f>IF([1]Accounts!$D$525="","",[1]Accounts!$A$525)</f>
        <v/>
      </c>
      <c r="G524">
        <f>IF([1]Accounts!$D$525="","",[1]Accounts!$B$525)</f>
        <v/>
      </c>
      <c r="H524">
        <f>IF([1]Accounts!$D$525="","",[1]Accounts!$C$525)</f>
        <v/>
      </c>
      <c r="I524">
        <f>IF([1]Accounts!$D$525="","",[1]Accounts!$D$525)</f>
        <v/>
      </c>
      <c r="R524">
        <f>IF(AND($F524&lt;&gt;"",$I524&lt;&gt;""),IF(OR($G524="دارایی ثابت",$G524="وام و تسهیلات",$G524="سرمایه و آورده صاحبان"),0,1),0)</f>
        <v/>
      </c>
      <c r="S524">
        <f>SUM($R$6:$R524)</f>
        <v/>
      </c>
      <c r="T524">
        <f>IFERROR(INDEX($F$6:$F$565,MATCH(ROW()-5,$S$6:$S$565,0)),"")</f>
        <v/>
      </c>
      <c r="Z524">
        <f>IF([2]Entry!$E$527="","",[2]Entry!$E$527)</f>
        <v/>
      </c>
      <c r="AA524">
        <f>IF([2]Entry!$G$527="","",[2]Entry!$G$527)</f>
        <v/>
      </c>
      <c r="AB524">
        <f>IF([2]Entry!$J$527="","",[2]Entry!$J$527)</f>
        <v/>
      </c>
      <c r="AC524">
        <f>IF([2]Entry!$K$527="","",[2]Entry!$K$527)</f>
        <v/>
      </c>
      <c r="AD524">
        <f>IF([2]Entry!$L$527="","",[2]Entry!$L$527)</f>
        <v/>
      </c>
      <c r="AE524">
        <f>IF([2]Entry!$M$527="","",[2]Entry!$M$527)</f>
        <v/>
      </c>
      <c r="AF524">
        <f>IF([2]Entry!$N$527="","",[2]Entry!$N$527)</f>
        <v/>
      </c>
      <c r="AJ524">
        <f>IF([2]Entry!$S$527="","",[2]Entry!$S$527)</f>
        <v/>
      </c>
      <c r="AK524">
        <f>IF([2]Entry!$C$527="","",[2]Entry!$C$527)</f>
        <v/>
      </c>
      <c r="AL524">
        <f>IF([2]Entry!$D$527="","",[2]Entry!$D$527)</f>
        <v/>
      </c>
      <c r="AM524">
        <f>IF(AND($F524&lt;&gt;"",$I524&lt;&gt;""),IF($G524="دارایی ثابت",1,0),0)</f>
        <v/>
      </c>
      <c r="AN524">
        <f>SUM($AM$6:$AM524)</f>
        <v/>
      </c>
      <c r="AO524">
        <f>IFERROR(INDEX($F$6:$F$565,MATCH(ROW()-5,$AN$6:$AN$565,0)),"")</f>
        <v/>
      </c>
      <c r="AP524">
        <f>IF(AND($F524&lt;&gt;"",$I524&lt;&gt;""),IF($G524="وام و تسهیلات",1,0),0)</f>
        <v/>
      </c>
      <c r="AQ524">
        <f>SUM($AP$6:$AP524)</f>
        <v/>
      </c>
      <c r="AR524">
        <f>IFERROR(INDEX($F$6:$F$565,MATCH(ROW()-5,$AQ$6:$AQ$565,0)),"")</f>
        <v/>
      </c>
      <c r="AS524">
        <f>IF(AND($F524&lt;&gt;"",$I524&lt;&gt;""),IF($G524="سرمایه و آورده صاحبان",1,0),0)</f>
        <v/>
      </c>
      <c r="AT524">
        <f>SUM($AS$6:$AS524)</f>
        <v/>
      </c>
      <c r="AU524">
        <f>IFERROR(INDEX($F$6:$F$565,MATCH(ROW()-5,$AT$6:$AT$565,0)),"")</f>
        <v/>
      </c>
      <c r="AX524">
        <f>IF([4]Entry!$E$527="","",[4]Entry!$E$527)</f>
        <v/>
      </c>
      <c r="AY524">
        <f>IF([4]Entry!$H$527="","",[4]Entry!$H$527)</f>
        <v/>
      </c>
      <c r="AZ524">
        <f>IF([4]Entry!$I$527="","",[4]Entry!$I$527)</f>
        <v/>
      </c>
    </row>
    <row r="525">
      <c r="F525">
        <f>IF([1]Accounts!$D$526="","",[1]Accounts!$A$526)</f>
        <v/>
      </c>
      <c r="G525">
        <f>IF([1]Accounts!$D$526="","",[1]Accounts!$B$526)</f>
        <v/>
      </c>
      <c r="H525">
        <f>IF([1]Accounts!$D$526="","",[1]Accounts!$C$526)</f>
        <v/>
      </c>
      <c r="I525">
        <f>IF([1]Accounts!$D$526="","",[1]Accounts!$D$526)</f>
        <v/>
      </c>
      <c r="R525">
        <f>IF(AND($F525&lt;&gt;"",$I525&lt;&gt;""),IF(OR($G525="دارایی ثابت",$G525="وام و تسهیلات",$G525="سرمایه و آورده صاحبان"),0,1),0)</f>
        <v/>
      </c>
      <c r="S525">
        <f>SUM($R$6:$R525)</f>
        <v/>
      </c>
      <c r="T525">
        <f>IFERROR(INDEX($F$6:$F$565,MATCH(ROW()-5,$S$6:$S$565,0)),"")</f>
        <v/>
      </c>
      <c r="Z525">
        <f>IF([2]Entry!$E$528="","",[2]Entry!$E$528)</f>
        <v/>
      </c>
      <c r="AA525">
        <f>IF([2]Entry!$G$528="","",[2]Entry!$G$528)</f>
        <v/>
      </c>
      <c r="AB525">
        <f>IF([2]Entry!$J$528="","",[2]Entry!$J$528)</f>
        <v/>
      </c>
      <c r="AC525">
        <f>IF([2]Entry!$K$528="","",[2]Entry!$K$528)</f>
        <v/>
      </c>
      <c r="AD525">
        <f>IF([2]Entry!$L$528="","",[2]Entry!$L$528)</f>
        <v/>
      </c>
      <c r="AE525">
        <f>IF([2]Entry!$M$528="","",[2]Entry!$M$528)</f>
        <v/>
      </c>
      <c r="AF525">
        <f>IF([2]Entry!$N$528="","",[2]Entry!$N$528)</f>
        <v/>
      </c>
      <c r="AJ525">
        <f>IF([2]Entry!$S$528="","",[2]Entry!$S$528)</f>
        <v/>
      </c>
      <c r="AK525">
        <f>IF([2]Entry!$C$528="","",[2]Entry!$C$528)</f>
        <v/>
      </c>
      <c r="AL525">
        <f>IF([2]Entry!$D$528="","",[2]Entry!$D$528)</f>
        <v/>
      </c>
      <c r="AM525">
        <f>IF(AND($F525&lt;&gt;"",$I525&lt;&gt;""),IF($G525="دارایی ثابت",1,0),0)</f>
        <v/>
      </c>
      <c r="AN525">
        <f>SUM($AM$6:$AM525)</f>
        <v/>
      </c>
      <c r="AO525">
        <f>IFERROR(INDEX($F$6:$F$565,MATCH(ROW()-5,$AN$6:$AN$565,0)),"")</f>
        <v/>
      </c>
      <c r="AP525">
        <f>IF(AND($F525&lt;&gt;"",$I525&lt;&gt;""),IF($G525="وام و تسهیلات",1,0),0)</f>
        <v/>
      </c>
      <c r="AQ525">
        <f>SUM($AP$6:$AP525)</f>
        <v/>
      </c>
      <c r="AR525">
        <f>IFERROR(INDEX($F$6:$F$565,MATCH(ROW()-5,$AQ$6:$AQ$565,0)),"")</f>
        <v/>
      </c>
      <c r="AS525">
        <f>IF(AND($F525&lt;&gt;"",$I525&lt;&gt;""),IF($G525="سرمایه و آورده صاحبان",1,0),0)</f>
        <v/>
      </c>
      <c r="AT525">
        <f>SUM($AS$6:$AS525)</f>
        <v/>
      </c>
      <c r="AU525">
        <f>IFERROR(INDEX($F$6:$F$565,MATCH(ROW()-5,$AT$6:$AT$565,0)),"")</f>
        <v/>
      </c>
      <c r="AX525">
        <f>IF([4]Entry!$E$528="","",[4]Entry!$E$528)</f>
        <v/>
      </c>
      <c r="AY525">
        <f>IF([4]Entry!$H$528="","",[4]Entry!$H$528)</f>
        <v/>
      </c>
      <c r="AZ525">
        <f>IF([4]Entry!$I$528="","",[4]Entry!$I$528)</f>
        <v/>
      </c>
    </row>
    <row r="526">
      <c r="F526">
        <f>IF([1]Accounts!$D$527="","",[1]Accounts!$A$527)</f>
        <v/>
      </c>
      <c r="G526">
        <f>IF([1]Accounts!$D$527="","",[1]Accounts!$B$527)</f>
        <v/>
      </c>
      <c r="H526">
        <f>IF([1]Accounts!$D$527="","",[1]Accounts!$C$527)</f>
        <v/>
      </c>
      <c r="I526">
        <f>IF([1]Accounts!$D$527="","",[1]Accounts!$D$527)</f>
        <v/>
      </c>
      <c r="R526">
        <f>IF(AND($F526&lt;&gt;"",$I526&lt;&gt;""),IF(OR($G526="دارایی ثابت",$G526="وام و تسهیلات",$G526="سرمایه و آورده صاحبان"),0,1),0)</f>
        <v/>
      </c>
      <c r="S526">
        <f>SUM($R$6:$R526)</f>
        <v/>
      </c>
      <c r="T526">
        <f>IFERROR(INDEX($F$6:$F$565,MATCH(ROW()-5,$S$6:$S$565,0)),"")</f>
        <v/>
      </c>
      <c r="Z526">
        <f>IF([2]Entry!$E$529="","",[2]Entry!$E$529)</f>
        <v/>
      </c>
      <c r="AA526">
        <f>IF([2]Entry!$G$529="","",[2]Entry!$G$529)</f>
        <v/>
      </c>
      <c r="AB526">
        <f>IF([2]Entry!$J$529="","",[2]Entry!$J$529)</f>
        <v/>
      </c>
      <c r="AC526">
        <f>IF([2]Entry!$K$529="","",[2]Entry!$K$529)</f>
        <v/>
      </c>
      <c r="AD526">
        <f>IF([2]Entry!$L$529="","",[2]Entry!$L$529)</f>
        <v/>
      </c>
      <c r="AE526">
        <f>IF([2]Entry!$M$529="","",[2]Entry!$M$529)</f>
        <v/>
      </c>
      <c r="AF526">
        <f>IF([2]Entry!$N$529="","",[2]Entry!$N$529)</f>
        <v/>
      </c>
      <c r="AJ526">
        <f>IF([2]Entry!$S$529="","",[2]Entry!$S$529)</f>
        <v/>
      </c>
      <c r="AK526">
        <f>IF([2]Entry!$C$529="","",[2]Entry!$C$529)</f>
        <v/>
      </c>
      <c r="AL526">
        <f>IF([2]Entry!$D$529="","",[2]Entry!$D$529)</f>
        <v/>
      </c>
      <c r="AM526">
        <f>IF(AND($F526&lt;&gt;"",$I526&lt;&gt;""),IF($G526="دارایی ثابت",1,0),0)</f>
        <v/>
      </c>
      <c r="AN526">
        <f>SUM($AM$6:$AM526)</f>
        <v/>
      </c>
      <c r="AO526">
        <f>IFERROR(INDEX($F$6:$F$565,MATCH(ROW()-5,$AN$6:$AN$565,0)),"")</f>
        <v/>
      </c>
      <c r="AP526">
        <f>IF(AND($F526&lt;&gt;"",$I526&lt;&gt;""),IF($G526="وام و تسهیلات",1,0),0)</f>
        <v/>
      </c>
      <c r="AQ526">
        <f>SUM($AP$6:$AP526)</f>
        <v/>
      </c>
      <c r="AR526">
        <f>IFERROR(INDEX($F$6:$F$565,MATCH(ROW()-5,$AQ$6:$AQ$565,0)),"")</f>
        <v/>
      </c>
      <c r="AS526">
        <f>IF(AND($F526&lt;&gt;"",$I526&lt;&gt;""),IF($G526="سرمایه و آورده صاحبان",1,0),0)</f>
        <v/>
      </c>
      <c r="AT526">
        <f>SUM($AS$6:$AS526)</f>
        <v/>
      </c>
      <c r="AU526">
        <f>IFERROR(INDEX($F$6:$F$565,MATCH(ROW()-5,$AT$6:$AT$565,0)),"")</f>
        <v/>
      </c>
      <c r="AX526">
        <f>IF([4]Entry!$E$529="","",[4]Entry!$E$529)</f>
        <v/>
      </c>
      <c r="AY526">
        <f>IF([4]Entry!$H$529="","",[4]Entry!$H$529)</f>
        <v/>
      </c>
      <c r="AZ526">
        <f>IF([4]Entry!$I$529="","",[4]Entry!$I$529)</f>
        <v/>
      </c>
    </row>
    <row r="527">
      <c r="F527">
        <f>IF([1]Accounts!$D$528="","",[1]Accounts!$A$528)</f>
        <v/>
      </c>
      <c r="G527">
        <f>IF([1]Accounts!$D$528="","",[1]Accounts!$B$528)</f>
        <v/>
      </c>
      <c r="H527">
        <f>IF([1]Accounts!$D$528="","",[1]Accounts!$C$528)</f>
        <v/>
      </c>
      <c r="I527">
        <f>IF([1]Accounts!$D$528="","",[1]Accounts!$D$528)</f>
        <v/>
      </c>
      <c r="R527">
        <f>IF(AND($F527&lt;&gt;"",$I527&lt;&gt;""),IF(OR($G527="دارایی ثابت",$G527="وام و تسهیلات",$G527="سرمایه و آورده صاحبان"),0,1),0)</f>
        <v/>
      </c>
      <c r="S527">
        <f>SUM($R$6:$R527)</f>
        <v/>
      </c>
      <c r="T527">
        <f>IFERROR(INDEX($F$6:$F$565,MATCH(ROW()-5,$S$6:$S$565,0)),"")</f>
        <v/>
      </c>
      <c r="Z527">
        <f>IF([2]Entry!$E$530="","",[2]Entry!$E$530)</f>
        <v/>
      </c>
      <c r="AA527">
        <f>IF([2]Entry!$G$530="","",[2]Entry!$G$530)</f>
        <v/>
      </c>
      <c r="AB527">
        <f>IF([2]Entry!$J$530="","",[2]Entry!$J$530)</f>
        <v/>
      </c>
      <c r="AC527">
        <f>IF([2]Entry!$K$530="","",[2]Entry!$K$530)</f>
        <v/>
      </c>
      <c r="AD527">
        <f>IF([2]Entry!$L$530="","",[2]Entry!$L$530)</f>
        <v/>
      </c>
      <c r="AE527">
        <f>IF([2]Entry!$M$530="","",[2]Entry!$M$530)</f>
        <v/>
      </c>
      <c r="AF527">
        <f>IF([2]Entry!$N$530="","",[2]Entry!$N$530)</f>
        <v/>
      </c>
      <c r="AJ527">
        <f>IF([2]Entry!$S$530="","",[2]Entry!$S$530)</f>
        <v/>
      </c>
      <c r="AK527">
        <f>IF([2]Entry!$C$530="","",[2]Entry!$C$530)</f>
        <v/>
      </c>
      <c r="AL527">
        <f>IF([2]Entry!$D$530="","",[2]Entry!$D$530)</f>
        <v/>
      </c>
      <c r="AM527">
        <f>IF(AND($F527&lt;&gt;"",$I527&lt;&gt;""),IF($G527="دارایی ثابت",1,0),0)</f>
        <v/>
      </c>
      <c r="AN527">
        <f>SUM($AM$6:$AM527)</f>
        <v/>
      </c>
      <c r="AO527">
        <f>IFERROR(INDEX($F$6:$F$565,MATCH(ROW()-5,$AN$6:$AN$565,0)),"")</f>
        <v/>
      </c>
      <c r="AP527">
        <f>IF(AND($F527&lt;&gt;"",$I527&lt;&gt;""),IF($G527="وام و تسهیلات",1,0),0)</f>
        <v/>
      </c>
      <c r="AQ527">
        <f>SUM($AP$6:$AP527)</f>
        <v/>
      </c>
      <c r="AR527">
        <f>IFERROR(INDEX($F$6:$F$565,MATCH(ROW()-5,$AQ$6:$AQ$565,0)),"")</f>
        <v/>
      </c>
      <c r="AS527">
        <f>IF(AND($F527&lt;&gt;"",$I527&lt;&gt;""),IF($G527="سرمایه و آورده صاحبان",1,0),0)</f>
        <v/>
      </c>
      <c r="AT527">
        <f>SUM($AS$6:$AS527)</f>
        <v/>
      </c>
      <c r="AU527">
        <f>IFERROR(INDEX($F$6:$F$565,MATCH(ROW()-5,$AT$6:$AT$565,0)),"")</f>
        <v/>
      </c>
      <c r="AX527">
        <f>IF([4]Entry!$E$530="","",[4]Entry!$E$530)</f>
        <v/>
      </c>
      <c r="AY527">
        <f>IF([4]Entry!$H$530="","",[4]Entry!$H$530)</f>
        <v/>
      </c>
      <c r="AZ527">
        <f>IF([4]Entry!$I$530="","",[4]Entry!$I$530)</f>
        <v/>
      </c>
    </row>
    <row r="528">
      <c r="F528">
        <f>IF([1]Accounts!$D$529="","",[1]Accounts!$A$529)</f>
        <v/>
      </c>
      <c r="G528">
        <f>IF([1]Accounts!$D$529="","",[1]Accounts!$B$529)</f>
        <v/>
      </c>
      <c r="H528">
        <f>IF([1]Accounts!$D$529="","",[1]Accounts!$C$529)</f>
        <v/>
      </c>
      <c r="I528">
        <f>IF([1]Accounts!$D$529="","",[1]Accounts!$D$529)</f>
        <v/>
      </c>
      <c r="R528">
        <f>IF(AND($F528&lt;&gt;"",$I528&lt;&gt;""),IF(OR($G528="دارایی ثابت",$G528="وام و تسهیلات",$G528="سرمایه و آورده صاحبان"),0,1),0)</f>
        <v/>
      </c>
      <c r="S528">
        <f>SUM($R$6:$R528)</f>
        <v/>
      </c>
      <c r="T528">
        <f>IFERROR(INDEX($F$6:$F$565,MATCH(ROW()-5,$S$6:$S$565,0)),"")</f>
        <v/>
      </c>
      <c r="Z528">
        <f>IF([2]Entry!$E$531="","",[2]Entry!$E$531)</f>
        <v/>
      </c>
      <c r="AA528">
        <f>IF([2]Entry!$G$531="","",[2]Entry!$G$531)</f>
        <v/>
      </c>
      <c r="AB528">
        <f>IF([2]Entry!$J$531="","",[2]Entry!$J$531)</f>
        <v/>
      </c>
      <c r="AC528">
        <f>IF([2]Entry!$K$531="","",[2]Entry!$K$531)</f>
        <v/>
      </c>
      <c r="AD528">
        <f>IF([2]Entry!$L$531="","",[2]Entry!$L$531)</f>
        <v/>
      </c>
      <c r="AE528">
        <f>IF([2]Entry!$M$531="","",[2]Entry!$M$531)</f>
        <v/>
      </c>
      <c r="AF528">
        <f>IF([2]Entry!$N$531="","",[2]Entry!$N$531)</f>
        <v/>
      </c>
      <c r="AJ528">
        <f>IF([2]Entry!$S$531="","",[2]Entry!$S$531)</f>
        <v/>
      </c>
      <c r="AK528">
        <f>IF([2]Entry!$C$531="","",[2]Entry!$C$531)</f>
        <v/>
      </c>
      <c r="AL528">
        <f>IF([2]Entry!$D$531="","",[2]Entry!$D$531)</f>
        <v/>
      </c>
      <c r="AM528">
        <f>IF(AND($F528&lt;&gt;"",$I528&lt;&gt;""),IF($G528="دارایی ثابت",1,0),0)</f>
        <v/>
      </c>
      <c r="AN528">
        <f>SUM($AM$6:$AM528)</f>
        <v/>
      </c>
      <c r="AO528">
        <f>IFERROR(INDEX($F$6:$F$565,MATCH(ROW()-5,$AN$6:$AN$565,0)),"")</f>
        <v/>
      </c>
      <c r="AP528">
        <f>IF(AND($F528&lt;&gt;"",$I528&lt;&gt;""),IF($G528="وام و تسهیلات",1,0),0)</f>
        <v/>
      </c>
      <c r="AQ528">
        <f>SUM($AP$6:$AP528)</f>
        <v/>
      </c>
      <c r="AR528">
        <f>IFERROR(INDEX($F$6:$F$565,MATCH(ROW()-5,$AQ$6:$AQ$565,0)),"")</f>
        <v/>
      </c>
      <c r="AS528">
        <f>IF(AND($F528&lt;&gt;"",$I528&lt;&gt;""),IF($G528="سرمایه و آورده صاحبان",1,0),0)</f>
        <v/>
      </c>
      <c r="AT528">
        <f>SUM($AS$6:$AS528)</f>
        <v/>
      </c>
      <c r="AU528">
        <f>IFERROR(INDEX($F$6:$F$565,MATCH(ROW()-5,$AT$6:$AT$565,0)),"")</f>
        <v/>
      </c>
      <c r="AX528">
        <f>IF([4]Entry!$E$531="","",[4]Entry!$E$531)</f>
        <v/>
      </c>
      <c r="AY528">
        <f>IF([4]Entry!$H$531="","",[4]Entry!$H$531)</f>
        <v/>
      </c>
      <c r="AZ528">
        <f>IF([4]Entry!$I$531="","",[4]Entry!$I$531)</f>
        <v/>
      </c>
    </row>
    <row r="529">
      <c r="F529">
        <f>IF([1]Accounts!$D$530="","",[1]Accounts!$A$530)</f>
        <v/>
      </c>
      <c r="G529">
        <f>IF([1]Accounts!$D$530="","",[1]Accounts!$B$530)</f>
        <v/>
      </c>
      <c r="H529">
        <f>IF([1]Accounts!$D$530="","",[1]Accounts!$C$530)</f>
        <v/>
      </c>
      <c r="I529">
        <f>IF([1]Accounts!$D$530="","",[1]Accounts!$D$530)</f>
        <v/>
      </c>
      <c r="R529">
        <f>IF(AND($F529&lt;&gt;"",$I529&lt;&gt;""),IF(OR($G529="دارایی ثابت",$G529="وام و تسهیلات",$G529="سرمایه و آورده صاحبان"),0,1),0)</f>
        <v/>
      </c>
      <c r="S529">
        <f>SUM($R$6:$R529)</f>
        <v/>
      </c>
      <c r="T529">
        <f>IFERROR(INDEX($F$6:$F$565,MATCH(ROW()-5,$S$6:$S$565,0)),"")</f>
        <v/>
      </c>
      <c r="Z529">
        <f>IF([2]Entry!$E$532="","",[2]Entry!$E$532)</f>
        <v/>
      </c>
      <c r="AA529">
        <f>IF([2]Entry!$G$532="","",[2]Entry!$G$532)</f>
        <v/>
      </c>
      <c r="AB529">
        <f>IF([2]Entry!$J$532="","",[2]Entry!$J$532)</f>
        <v/>
      </c>
      <c r="AC529">
        <f>IF([2]Entry!$K$532="","",[2]Entry!$K$532)</f>
        <v/>
      </c>
      <c r="AD529">
        <f>IF([2]Entry!$L$532="","",[2]Entry!$L$532)</f>
        <v/>
      </c>
      <c r="AE529">
        <f>IF([2]Entry!$M$532="","",[2]Entry!$M$532)</f>
        <v/>
      </c>
      <c r="AF529">
        <f>IF([2]Entry!$N$532="","",[2]Entry!$N$532)</f>
        <v/>
      </c>
      <c r="AJ529">
        <f>IF([2]Entry!$S$532="","",[2]Entry!$S$532)</f>
        <v/>
      </c>
      <c r="AK529">
        <f>IF([2]Entry!$C$532="","",[2]Entry!$C$532)</f>
        <v/>
      </c>
      <c r="AL529">
        <f>IF([2]Entry!$D$532="","",[2]Entry!$D$532)</f>
        <v/>
      </c>
      <c r="AM529">
        <f>IF(AND($F529&lt;&gt;"",$I529&lt;&gt;""),IF($G529="دارایی ثابت",1,0),0)</f>
        <v/>
      </c>
      <c r="AN529">
        <f>SUM($AM$6:$AM529)</f>
        <v/>
      </c>
      <c r="AO529">
        <f>IFERROR(INDEX($F$6:$F$565,MATCH(ROW()-5,$AN$6:$AN$565,0)),"")</f>
        <v/>
      </c>
      <c r="AP529">
        <f>IF(AND($F529&lt;&gt;"",$I529&lt;&gt;""),IF($G529="وام و تسهیلات",1,0),0)</f>
        <v/>
      </c>
      <c r="AQ529">
        <f>SUM($AP$6:$AP529)</f>
        <v/>
      </c>
      <c r="AR529">
        <f>IFERROR(INDEX($F$6:$F$565,MATCH(ROW()-5,$AQ$6:$AQ$565,0)),"")</f>
        <v/>
      </c>
      <c r="AS529">
        <f>IF(AND($F529&lt;&gt;"",$I529&lt;&gt;""),IF($G529="سرمایه و آورده صاحبان",1,0),0)</f>
        <v/>
      </c>
      <c r="AT529">
        <f>SUM($AS$6:$AS529)</f>
        <v/>
      </c>
      <c r="AU529">
        <f>IFERROR(INDEX($F$6:$F$565,MATCH(ROW()-5,$AT$6:$AT$565,0)),"")</f>
        <v/>
      </c>
      <c r="AX529">
        <f>IF([4]Entry!$E$532="","",[4]Entry!$E$532)</f>
        <v/>
      </c>
      <c r="AY529">
        <f>IF([4]Entry!$H$532="","",[4]Entry!$H$532)</f>
        <v/>
      </c>
      <c r="AZ529">
        <f>IF([4]Entry!$I$532="","",[4]Entry!$I$532)</f>
        <v/>
      </c>
    </row>
    <row r="530">
      <c r="F530">
        <f>IF([1]Accounts!$D$531="","",[1]Accounts!$A$531)</f>
        <v/>
      </c>
      <c r="G530">
        <f>IF([1]Accounts!$D$531="","",[1]Accounts!$B$531)</f>
        <v/>
      </c>
      <c r="H530">
        <f>IF([1]Accounts!$D$531="","",[1]Accounts!$C$531)</f>
        <v/>
      </c>
      <c r="I530">
        <f>IF([1]Accounts!$D$531="","",[1]Accounts!$D$531)</f>
        <v/>
      </c>
      <c r="R530">
        <f>IF(AND($F530&lt;&gt;"",$I530&lt;&gt;""),IF(OR($G530="دارایی ثابت",$G530="وام و تسهیلات",$G530="سرمایه و آورده صاحبان"),0,1),0)</f>
        <v/>
      </c>
      <c r="S530">
        <f>SUM($R$6:$R530)</f>
        <v/>
      </c>
      <c r="T530">
        <f>IFERROR(INDEX($F$6:$F$565,MATCH(ROW()-5,$S$6:$S$565,0)),"")</f>
        <v/>
      </c>
      <c r="Z530">
        <f>IF([2]Entry!$E$533="","",[2]Entry!$E$533)</f>
        <v/>
      </c>
      <c r="AA530">
        <f>IF([2]Entry!$G$533="","",[2]Entry!$G$533)</f>
        <v/>
      </c>
      <c r="AB530">
        <f>IF([2]Entry!$J$533="","",[2]Entry!$J$533)</f>
        <v/>
      </c>
      <c r="AC530">
        <f>IF([2]Entry!$K$533="","",[2]Entry!$K$533)</f>
        <v/>
      </c>
      <c r="AD530">
        <f>IF([2]Entry!$L$533="","",[2]Entry!$L$533)</f>
        <v/>
      </c>
      <c r="AE530">
        <f>IF([2]Entry!$M$533="","",[2]Entry!$M$533)</f>
        <v/>
      </c>
      <c r="AF530">
        <f>IF([2]Entry!$N$533="","",[2]Entry!$N$533)</f>
        <v/>
      </c>
      <c r="AJ530">
        <f>IF([2]Entry!$S$533="","",[2]Entry!$S$533)</f>
        <v/>
      </c>
      <c r="AK530">
        <f>IF([2]Entry!$C$533="","",[2]Entry!$C$533)</f>
        <v/>
      </c>
      <c r="AL530">
        <f>IF([2]Entry!$D$533="","",[2]Entry!$D$533)</f>
        <v/>
      </c>
      <c r="AM530">
        <f>IF(AND($F530&lt;&gt;"",$I530&lt;&gt;""),IF($G530="دارایی ثابت",1,0),0)</f>
        <v/>
      </c>
      <c r="AN530">
        <f>SUM($AM$6:$AM530)</f>
        <v/>
      </c>
      <c r="AO530">
        <f>IFERROR(INDEX($F$6:$F$565,MATCH(ROW()-5,$AN$6:$AN$565,0)),"")</f>
        <v/>
      </c>
      <c r="AP530">
        <f>IF(AND($F530&lt;&gt;"",$I530&lt;&gt;""),IF($G530="وام و تسهیلات",1,0),0)</f>
        <v/>
      </c>
      <c r="AQ530">
        <f>SUM($AP$6:$AP530)</f>
        <v/>
      </c>
      <c r="AR530">
        <f>IFERROR(INDEX($F$6:$F$565,MATCH(ROW()-5,$AQ$6:$AQ$565,0)),"")</f>
        <v/>
      </c>
      <c r="AS530">
        <f>IF(AND($F530&lt;&gt;"",$I530&lt;&gt;""),IF($G530="سرمایه و آورده صاحبان",1,0),0)</f>
        <v/>
      </c>
      <c r="AT530">
        <f>SUM($AS$6:$AS530)</f>
        <v/>
      </c>
      <c r="AU530">
        <f>IFERROR(INDEX($F$6:$F$565,MATCH(ROW()-5,$AT$6:$AT$565,0)),"")</f>
        <v/>
      </c>
      <c r="AX530">
        <f>IF([4]Entry!$E$533="","",[4]Entry!$E$533)</f>
        <v/>
      </c>
      <c r="AY530">
        <f>IF([4]Entry!$H$533="","",[4]Entry!$H$533)</f>
        <v/>
      </c>
      <c r="AZ530">
        <f>IF([4]Entry!$I$533="","",[4]Entry!$I$533)</f>
        <v/>
      </c>
    </row>
    <row r="531">
      <c r="F531">
        <f>IF([1]Accounts!$D$532="","",[1]Accounts!$A$532)</f>
        <v/>
      </c>
      <c r="G531">
        <f>IF([1]Accounts!$D$532="","",[1]Accounts!$B$532)</f>
        <v/>
      </c>
      <c r="H531">
        <f>IF([1]Accounts!$D$532="","",[1]Accounts!$C$532)</f>
        <v/>
      </c>
      <c r="I531">
        <f>IF([1]Accounts!$D$532="","",[1]Accounts!$D$532)</f>
        <v/>
      </c>
      <c r="R531">
        <f>IF(AND($F531&lt;&gt;"",$I531&lt;&gt;""),IF(OR($G531="دارایی ثابت",$G531="وام و تسهیلات",$G531="سرمایه و آورده صاحبان"),0,1),0)</f>
        <v/>
      </c>
      <c r="S531">
        <f>SUM($R$6:$R531)</f>
        <v/>
      </c>
      <c r="T531">
        <f>IFERROR(INDEX($F$6:$F$565,MATCH(ROW()-5,$S$6:$S$565,0)),"")</f>
        <v/>
      </c>
      <c r="Z531">
        <f>IF([2]Entry!$E$534="","",[2]Entry!$E$534)</f>
        <v/>
      </c>
      <c r="AA531">
        <f>IF([2]Entry!$G$534="","",[2]Entry!$G$534)</f>
        <v/>
      </c>
      <c r="AB531">
        <f>IF([2]Entry!$J$534="","",[2]Entry!$J$534)</f>
        <v/>
      </c>
      <c r="AC531">
        <f>IF([2]Entry!$K$534="","",[2]Entry!$K$534)</f>
        <v/>
      </c>
      <c r="AD531">
        <f>IF([2]Entry!$L$534="","",[2]Entry!$L$534)</f>
        <v/>
      </c>
      <c r="AE531">
        <f>IF([2]Entry!$M$534="","",[2]Entry!$M$534)</f>
        <v/>
      </c>
      <c r="AF531">
        <f>IF([2]Entry!$N$534="","",[2]Entry!$N$534)</f>
        <v/>
      </c>
      <c r="AJ531">
        <f>IF([2]Entry!$S$534="","",[2]Entry!$S$534)</f>
        <v/>
      </c>
      <c r="AK531">
        <f>IF([2]Entry!$C$534="","",[2]Entry!$C$534)</f>
        <v/>
      </c>
      <c r="AL531">
        <f>IF([2]Entry!$D$534="","",[2]Entry!$D$534)</f>
        <v/>
      </c>
      <c r="AM531">
        <f>IF(AND($F531&lt;&gt;"",$I531&lt;&gt;""),IF($G531="دارایی ثابت",1,0),0)</f>
        <v/>
      </c>
      <c r="AN531">
        <f>SUM($AM$6:$AM531)</f>
        <v/>
      </c>
      <c r="AO531">
        <f>IFERROR(INDEX($F$6:$F$565,MATCH(ROW()-5,$AN$6:$AN$565,0)),"")</f>
        <v/>
      </c>
      <c r="AP531">
        <f>IF(AND($F531&lt;&gt;"",$I531&lt;&gt;""),IF($G531="وام و تسهیلات",1,0),0)</f>
        <v/>
      </c>
      <c r="AQ531">
        <f>SUM($AP$6:$AP531)</f>
        <v/>
      </c>
      <c r="AR531">
        <f>IFERROR(INDEX($F$6:$F$565,MATCH(ROW()-5,$AQ$6:$AQ$565,0)),"")</f>
        <v/>
      </c>
      <c r="AS531">
        <f>IF(AND($F531&lt;&gt;"",$I531&lt;&gt;""),IF($G531="سرمایه و آورده صاحبان",1,0),0)</f>
        <v/>
      </c>
      <c r="AT531">
        <f>SUM($AS$6:$AS531)</f>
        <v/>
      </c>
      <c r="AU531">
        <f>IFERROR(INDEX($F$6:$F$565,MATCH(ROW()-5,$AT$6:$AT$565,0)),"")</f>
        <v/>
      </c>
      <c r="AX531">
        <f>IF([4]Entry!$E$534="","",[4]Entry!$E$534)</f>
        <v/>
      </c>
      <c r="AY531">
        <f>IF([4]Entry!$H$534="","",[4]Entry!$H$534)</f>
        <v/>
      </c>
      <c r="AZ531">
        <f>IF([4]Entry!$I$534="","",[4]Entry!$I$534)</f>
        <v/>
      </c>
    </row>
    <row r="532">
      <c r="F532">
        <f>IF([1]Accounts!$D$533="","",[1]Accounts!$A$533)</f>
        <v/>
      </c>
      <c r="G532">
        <f>IF([1]Accounts!$D$533="","",[1]Accounts!$B$533)</f>
        <v/>
      </c>
      <c r="H532">
        <f>IF([1]Accounts!$D$533="","",[1]Accounts!$C$533)</f>
        <v/>
      </c>
      <c r="I532">
        <f>IF([1]Accounts!$D$533="","",[1]Accounts!$D$533)</f>
        <v/>
      </c>
      <c r="R532">
        <f>IF(AND($F532&lt;&gt;"",$I532&lt;&gt;""),IF(OR($G532="دارایی ثابت",$G532="وام و تسهیلات",$G532="سرمایه و آورده صاحبان"),0,1),0)</f>
        <v/>
      </c>
      <c r="S532">
        <f>SUM($R$6:$R532)</f>
        <v/>
      </c>
      <c r="T532">
        <f>IFERROR(INDEX($F$6:$F$565,MATCH(ROW()-5,$S$6:$S$565,0)),"")</f>
        <v/>
      </c>
      <c r="Z532">
        <f>IF([2]Entry!$E$535="","",[2]Entry!$E$535)</f>
        <v/>
      </c>
      <c r="AA532">
        <f>IF([2]Entry!$G$535="","",[2]Entry!$G$535)</f>
        <v/>
      </c>
      <c r="AB532">
        <f>IF([2]Entry!$J$535="","",[2]Entry!$J$535)</f>
        <v/>
      </c>
      <c r="AC532">
        <f>IF([2]Entry!$K$535="","",[2]Entry!$K$535)</f>
        <v/>
      </c>
      <c r="AD532">
        <f>IF([2]Entry!$L$535="","",[2]Entry!$L$535)</f>
        <v/>
      </c>
      <c r="AE532">
        <f>IF([2]Entry!$M$535="","",[2]Entry!$M$535)</f>
        <v/>
      </c>
      <c r="AF532">
        <f>IF([2]Entry!$N$535="","",[2]Entry!$N$535)</f>
        <v/>
      </c>
      <c r="AJ532">
        <f>IF([2]Entry!$S$535="","",[2]Entry!$S$535)</f>
        <v/>
      </c>
      <c r="AK532">
        <f>IF([2]Entry!$C$535="","",[2]Entry!$C$535)</f>
        <v/>
      </c>
      <c r="AL532">
        <f>IF([2]Entry!$D$535="","",[2]Entry!$D$535)</f>
        <v/>
      </c>
      <c r="AM532">
        <f>IF(AND($F532&lt;&gt;"",$I532&lt;&gt;""),IF($G532="دارایی ثابت",1,0),0)</f>
        <v/>
      </c>
      <c r="AN532">
        <f>SUM($AM$6:$AM532)</f>
        <v/>
      </c>
      <c r="AO532">
        <f>IFERROR(INDEX($F$6:$F$565,MATCH(ROW()-5,$AN$6:$AN$565,0)),"")</f>
        <v/>
      </c>
      <c r="AP532">
        <f>IF(AND($F532&lt;&gt;"",$I532&lt;&gt;""),IF($G532="وام و تسهیلات",1,0),0)</f>
        <v/>
      </c>
      <c r="AQ532">
        <f>SUM($AP$6:$AP532)</f>
        <v/>
      </c>
      <c r="AR532">
        <f>IFERROR(INDEX($F$6:$F$565,MATCH(ROW()-5,$AQ$6:$AQ$565,0)),"")</f>
        <v/>
      </c>
      <c r="AS532">
        <f>IF(AND($F532&lt;&gt;"",$I532&lt;&gt;""),IF($G532="سرمایه و آورده صاحبان",1,0),0)</f>
        <v/>
      </c>
      <c r="AT532">
        <f>SUM($AS$6:$AS532)</f>
        <v/>
      </c>
      <c r="AU532">
        <f>IFERROR(INDEX($F$6:$F$565,MATCH(ROW()-5,$AT$6:$AT$565,0)),"")</f>
        <v/>
      </c>
      <c r="AX532">
        <f>IF([4]Entry!$E$535="","",[4]Entry!$E$535)</f>
        <v/>
      </c>
      <c r="AY532">
        <f>IF([4]Entry!$H$535="","",[4]Entry!$H$535)</f>
        <v/>
      </c>
      <c r="AZ532">
        <f>IF([4]Entry!$I$535="","",[4]Entry!$I$535)</f>
        <v/>
      </c>
    </row>
    <row r="533">
      <c r="F533">
        <f>IF([1]Accounts!$D$534="","",[1]Accounts!$A$534)</f>
        <v/>
      </c>
      <c r="G533">
        <f>IF([1]Accounts!$D$534="","",[1]Accounts!$B$534)</f>
        <v/>
      </c>
      <c r="H533">
        <f>IF([1]Accounts!$D$534="","",[1]Accounts!$C$534)</f>
        <v/>
      </c>
      <c r="I533">
        <f>IF([1]Accounts!$D$534="","",[1]Accounts!$D$534)</f>
        <v/>
      </c>
      <c r="R533">
        <f>IF(AND($F533&lt;&gt;"",$I533&lt;&gt;""),IF(OR($G533="دارایی ثابت",$G533="وام و تسهیلات",$G533="سرمایه و آورده صاحبان"),0,1),0)</f>
        <v/>
      </c>
      <c r="S533">
        <f>SUM($R$6:$R533)</f>
        <v/>
      </c>
      <c r="T533">
        <f>IFERROR(INDEX($F$6:$F$565,MATCH(ROW()-5,$S$6:$S$565,0)),"")</f>
        <v/>
      </c>
      <c r="Z533">
        <f>IF([2]Entry!$E$536="","",[2]Entry!$E$536)</f>
        <v/>
      </c>
      <c r="AA533">
        <f>IF([2]Entry!$G$536="","",[2]Entry!$G$536)</f>
        <v/>
      </c>
      <c r="AB533">
        <f>IF([2]Entry!$J$536="","",[2]Entry!$J$536)</f>
        <v/>
      </c>
      <c r="AC533">
        <f>IF([2]Entry!$K$536="","",[2]Entry!$K$536)</f>
        <v/>
      </c>
      <c r="AD533">
        <f>IF([2]Entry!$L$536="","",[2]Entry!$L$536)</f>
        <v/>
      </c>
      <c r="AE533">
        <f>IF([2]Entry!$M$536="","",[2]Entry!$M$536)</f>
        <v/>
      </c>
      <c r="AF533">
        <f>IF([2]Entry!$N$536="","",[2]Entry!$N$536)</f>
        <v/>
      </c>
      <c r="AJ533">
        <f>IF([2]Entry!$S$536="","",[2]Entry!$S$536)</f>
        <v/>
      </c>
      <c r="AK533">
        <f>IF([2]Entry!$C$536="","",[2]Entry!$C$536)</f>
        <v/>
      </c>
      <c r="AL533">
        <f>IF([2]Entry!$D$536="","",[2]Entry!$D$536)</f>
        <v/>
      </c>
      <c r="AM533">
        <f>IF(AND($F533&lt;&gt;"",$I533&lt;&gt;""),IF($G533="دارایی ثابت",1,0),0)</f>
        <v/>
      </c>
      <c r="AN533">
        <f>SUM($AM$6:$AM533)</f>
        <v/>
      </c>
      <c r="AO533">
        <f>IFERROR(INDEX($F$6:$F$565,MATCH(ROW()-5,$AN$6:$AN$565,0)),"")</f>
        <v/>
      </c>
      <c r="AP533">
        <f>IF(AND($F533&lt;&gt;"",$I533&lt;&gt;""),IF($G533="وام و تسهیلات",1,0),0)</f>
        <v/>
      </c>
      <c r="AQ533">
        <f>SUM($AP$6:$AP533)</f>
        <v/>
      </c>
      <c r="AR533">
        <f>IFERROR(INDEX($F$6:$F$565,MATCH(ROW()-5,$AQ$6:$AQ$565,0)),"")</f>
        <v/>
      </c>
      <c r="AS533">
        <f>IF(AND($F533&lt;&gt;"",$I533&lt;&gt;""),IF($G533="سرمایه و آورده صاحبان",1,0),0)</f>
        <v/>
      </c>
      <c r="AT533">
        <f>SUM($AS$6:$AS533)</f>
        <v/>
      </c>
      <c r="AU533">
        <f>IFERROR(INDEX($F$6:$F$565,MATCH(ROW()-5,$AT$6:$AT$565,0)),"")</f>
        <v/>
      </c>
      <c r="AX533">
        <f>IF([4]Entry!$E$536="","",[4]Entry!$E$536)</f>
        <v/>
      </c>
      <c r="AY533">
        <f>IF([4]Entry!$H$536="","",[4]Entry!$H$536)</f>
        <v/>
      </c>
      <c r="AZ533">
        <f>IF([4]Entry!$I$536="","",[4]Entry!$I$536)</f>
        <v/>
      </c>
    </row>
    <row r="534">
      <c r="F534">
        <f>IF([1]Accounts!$D$535="","",[1]Accounts!$A$535)</f>
        <v/>
      </c>
      <c r="G534">
        <f>IF([1]Accounts!$D$535="","",[1]Accounts!$B$535)</f>
        <v/>
      </c>
      <c r="H534">
        <f>IF([1]Accounts!$D$535="","",[1]Accounts!$C$535)</f>
        <v/>
      </c>
      <c r="I534">
        <f>IF([1]Accounts!$D$535="","",[1]Accounts!$D$535)</f>
        <v/>
      </c>
      <c r="R534">
        <f>IF(AND($F534&lt;&gt;"",$I534&lt;&gt;""),IF(OR($G534="دارایی ثابت",$G534="وام و تسهیلات",$G534="سرمایه و آورده صاحبان"),0,1),0)</f>
        <v/>
      </c>
      <c r="S534">
        <f>SUM($R$6:$R534)</f>
        <v/>
      </c>
      <c r="T534">
        <f>IFERROR(INDEX($F$6:$F$565,MATCH(ROW()-5,$S$6:$S$565,0)),"")</f>
        <v/>
      </c>
      <c r="Z534">
        <f>IF([2]Entry!$E$537="","",[2]Entry!$E$537)</f>
        <v/>
      </c>
      <c r="AA534">
        <f>IF([2]Entry!$G$537="","",[2]Entry!$G$537)</f>
        <v/>
      </c>
      <c r="AB534">
        <f>IF([2]Entry!$J$537="","",[2]Entry!$J$537)</f>
        <v/>
      </c>
      <c r="AC534">
        <f>IF([2]Entry!$K$537="","",[2]Entry!$K$537)</f>
        <v/>
      </c>
      <c r="AD534">
        <f>IF([2]Entry!$L$537="","",[2]Entry!$L$537)</f>
        <v/>
      </c>
      <c r="AE534">
        <f>IF([2]Entry!$M$537="","",[2]Entry!$M$537)</f>
        <v/>
      </c>
      <c r="AF534">
        <f>IF([2]Entry!$N$537="","",[2]Entry!$N$537)</f>
        <v/>
      </c>
      <c r="AJ534">
        <f>IF([2]Entry!$S$537="","",[2]Entry!$S$537)</f>
        <v/>
      </c>
      <c r="AK534">
        <f>IF([2]Entry!$C$537="","",[2]Entry!$C$537)</f>
        <v/>
      </c>
      <c r="AL534">
        <f>IF([2]Entry!$D$537="","",[2]Entry!$D$537)</f>
        <v/>
      </c>
      <c r="AM534">
        <f>IF(AND($F534&lt;&gt;"",$I534&lt;&gt;""),IF($G534="دارایی ثابت",1,0),0)</f>
        <v/>
      </c>
      <c r="AN534">
        <f>SUM($AM$6:$AM534)</f>
        <v/>
      </c>
      <c r="AO534">
        <f>IFERROR(INDEX($F$6:$F$565,MATCH(ROW()-5,$AN$6:$AN$565,0)),"")</f>
        <v/>
      </c>
      <c r="AP534">
        <f>IF(AND($F534&lt;&gt;"",$I534&lt;&gt;""),IF($G534="وام و تسهیلات",1,0),0)</f>
        <v/>
      </c>
      <c r="AQ534">
        <f>SUM($AP$6:$AP534)</f>
        <v/>
      </c>
      <c r="AR534">
        <f>IFERROR(INDEX($F$6:$F$565,MATCH(ROW()-5,$AQ$6:$AQ$565,0)),"")</f>
        <v/>
      </c>
      <c r="AS534">
        <f>IF(AND($F534&lt;&gt;"",$I534&lt;&gt;""),IF($G534="سرمایه و آورده صاحبان",1,0),0)</f>
        <v/>
      </c>
      <c r="AT534">
        <f>SUM($AS$6:$AS534)</f>
        <v/>
      </c>
      <c r="AU534">
        <f>IFERROR(INDEX($F$6:$F$565,MATCH(ROW()-5,$AT$6:$AT$565,0)),"")</f>
        <v/>
      </c>
      <c r="AX534">
        <f>IF([4]Entry!$E$537="","",[4]Entry!$E$537)</f>
        <v/>
      </c>
      <c r="AY534">
        <f>IF([4]Entry!$H$537="","",[4]Entry!$H$537)</f>
        <v/>
      </c>
      <c r="AZ534">
        <f>IF([4]Entry!$I$537="","",[4]Entry!$I$537)</f>
        <v/>
      </c>
    </row>
    <row r="535">
      <c r="F535">
        <f>IF([1]Accounts!$D$536="","",[1]Accounts!$A$536)</f>
        <v/>
      </c>
      <c r="G535">
        <f>IF([1]Accounts!$D$536="","",[1]Accounts!$B$536)</f>
        <v/>
      </c>
      <c r="H535">
        <f>IF([1]Accounts!$D$536="","",[1]Accounts!$C$536)</f>
        <v/>
      </c>
      <c r="I535">
        <f>IF([1]Accounts!$D$536="","",[1]Accounts!$D$536)</f>
        <v/>
      </c>
      <c r="R535">
        <f>IF(AND($F535&lt;&gt;"",$I535&lt;&gt;""),IF(OR($G535="دارایی ثابت",$G535="وام و تسهیلات",$G535="سرمایه و آورده صاحبان"),0,1),0)</f>
        <v/>
      </c>
      <c r="S535">
        <f>SUM($R$6:$R535)</f>
        <v/>
      </c>
      <c r="T535">
        <f>IFERROR(INDEX($F$6:$F$565,MATCH(ROW()-5,$S$6:$S$565,0)),"")</f>
        <v/>
      </c>
      <c r="Z535">
        <f>IF([2]Entry!$E$538="","",[2]Entry!$E$538)</f>
        <v/>
      </c>
      <c r="AA535">
        <f>IF([2]Entry!$G$538="","",[2]Entry!$G$538)</f>
        <v/>
      </c>
      <c r="AB535">
        <f>IF([2]Entry!$J$538="","",[2]Entry!$J$538)</f>
        <v/>
      </c>
      <c r="AC535">
        <f>IF([2]Entry!$K$538="","",[2]Entry!$K$538)</f>
        <v/>
      </c>
      <c r="AD535">
        <f>IF([2]Entry!$L$538="","",[2]Entry!$L$538)</f>
        <v/>
      </c>
      <c r="AE535">
        <f>IF([2]Entry!$M$538="","",[2]Entry!$M$538)</f>
        <v/>
      </c>
      <c r="AF535">
        <f>IF([2]Entry!$N$538="","",[2]Entry!$N$538)</f>
        <v/>
      </c>
      <c r="AJ535">
        <f>IF([2]Entry!$S$538="","",[2]Entry!$S$538)</f>
        <v/>
      </c>
      <c r="AK535">
        <f>IF([2]Entry!$C$538="","",[2]Entry!$C$538)</f>
        <v/>
      </c>
      <c r="AL535">
        <f>IF([2]Entry!$D$538="","",[2]Entry!$D$538)</f>
        <v/>
      </c>
      <c r="AM535">
        <f>IF(AND($F535&lt;&gt;"",$I535&lt;&gt;""),IF($G535="دارایی ثابت",1,0),0)</f>
        <v/>
      </c>
      <c r="AN535">
        <f>SUM($AM$6:$AM535)</f>
        <v/>
      </c>
      <c r="AO535">
        <f>IFERROR(INDEX($F$6:$F$565,MATCH(ROW()-5,$AN$6:$AN$565,0)),"")</f>
        <v/>
      </c>
      <c r="AP535">
        <f>IF(AND($F535&lt;&gt;"",$I535&lt;&gt;""),IF($G535="وام و تسهیلات",1,0),0)</f>
        <v/>
      </c>
      <c r="AQ535">
        <f>SUM($AP$6:$AP535)</f>
        <v/>
      </c>
      <c r="AR535">
        <f>IFERROR(INDEX($F$6:$F$565,MATCH(ROW()-5,$AQ$6:$AQ$565,0)),"")</f>
        <v/>
      </c>
      <c r="AS535">
        <f>IF(AND($F535&lt;&gt;"",$I535&lt;&gt;""),IF($G535="سرمایه و آورده صاحبان",1,0),0)</f>
        <v/>
      </c>
      <c r="AT535">
        <f>SUM($AS$6:$AS535)</f>
        <v/>
      </c>
      <c r="AU535">
        <f>IFERROR(INDEX($F$6:$F$565,MATCH(ROW()-5,$AT$6:$AT$565,0)),"")</f>
        <v/>
      </c>
      <c r="AX535">
        <f>IF([4]Entry!$E$538="","",[4]Entry!$E$538)</f>
        <v/>
      </c>
      <c r="AY535">
        <f>IF([4]Entry!$H$538="","",[4]Entry!$H$538)</f>
        <v/>
      </c>
      <c r="AZ535">
        <f>IF([4]Entry!$I$538="","",[4]Entry!$I$538)</f>
        <v/>
      </c>
    </row>
    <row r="536">
      <c r="F536">
        <f>IF([1]Accounts!$D$537="","",[1]Accounts!$A$537)</f>
        <v/>
      </c>
      <c r="G536">
        <f>IF([1]Accounts!$D$537="","",[1]Accounts!$B$537)</f>
        <v/>
      </c>
      <c r="H536">
        <f>IF([1]Accounts!$D$537="","",[1]Accounts!$C$537)</f>
        <v/>
      </c>
      <c r="I536">
        <f>IF([1]Accounts!$D$537="","",[1]Accounts!$D$537)</f>
        <v/>
      </c>
      <c r="R536">
        <f>IF(AND($F536&lt;&gt;"",$I536&lt;&gt;""),IF(OR($G536="دارایی ثابت",$G536="وام و تسهیلات",$G536="سرمایه و آورده صاحبان"),0,1),0)</f>
        <v/>
      </c>
      <c r="S536">
        <f>SUM($R$6:$R536)</f>
        <v/>
      </c>
      <c r="T536">
        <f>IFERROR(INDEX($F$6:$F$565,MATCH(ROW()-5,$S$6:$S$565,0)),"")</f>
        <v/>
      </c>
      <c r="Z536">
        <f>IF([2]Entry!$E$539="","",[2]Entry!$E$539)</f>
        <v/>
      </c>
      <c r="AA536">
        <f>IF([2]Entry!$G$539="","",[2]Entry!$G$539)</f>
        <v/>
      </c>
      <c r="AB536">
        <f>IF([2]Entry!$J$539="","",[2]Entry!$J$539)</f>
        <v/>
      </c>
      <c r="AC536">
        <f>IF([2]Entry!$K$539="","",[2]Entry!$K$539)</f>
        <v/>
      </c>
      <c r="AD536">
        <f>IF([2]Entry!$L$539="","",[2]Entry!$L$539)</f>
        <v/>
      </c>
      <c r="AE536">
        <f>IF([2]Entry!$M$539="","",[2]Entry!$M$539)</f>
        <v/>
      </c>
      <c r="AF536">
        <f>IF([2]Entry!$N$539="","",[2]Entry!$N$539)</f>
        <v/>
      </c>
      <c r="AJ536">
        <f>IF([2]Entry!$S$539="","",[2]Entry!$S$539)</f>
        <v/>
      </c>
      <c r="AK536">
        <f>IF([2]Entry!$C$539="","",[2]Entry!$C$539)</f>
        <v/>
      </c>
      <c r="AL536">
        <f>IF([2]Entry!$D$539="","",[2]Entry!$D$539)</f>
        <v/>
      </c>
      <c r="AM536">
        <f>IF(AND($F536&lt;&gt;"",$I536&lt;&gt;""),IF($G536="دارایی ثابت",1,0),0)</f>
        <v/>
      </c>
      <c r="AN536">
        <f>SUM($AM$6:$AM536)</f>
        <v/>
      </c>
      <c r="AO536">
        <f>IFERROR(INDEX($F$6:$F$565,MATCH(ROW()-5,$AN$6:$AN$565,0)),"")</f>
        <v/>
      </c>
      <c r="AP536">
        <f>IF(AND($F536&lt;&gt;"",$I536&lt;&gt;""),IF($G536="وام و تسهیلات",1,0),0)</f>
        <v/>
      </c>
      <c r="AQ536">
        <f>SUM($AP$6:$AP536)</f>
        <v/>
      </c>
      <c r="AR536">
        <f>IFERROR(INDEX($F$6:$F$565,MATCH(ROW()-5,$AQ$6:$AQ$565,0)),"")</f>
        <v/>
      </c>
      <c r="AS536">
        <f>IF(AND($F536&lt;&gt;"",$I536&lt;&gt;""),IF($G536="سرمایه و آورده صاحبان",1,0),0)</f>
        <v/>
      </c>
      <c r="AT536">
        <f>SUM($AS$6:$AS536)</f>
        <v/>
      </c>
      <c r="AU536">
        <f>IFERROR(INDEX($F$6:$F$565,MATCH(ROW()-5,$AT$6:$AT$565,0)),"")</f>
        <v/>
      </c>
      <c r="AX536">
        <f>IF([4]Entry!$E$539="","",[4]Entry!$E$539)</f>
        <v/>
      </c>
      <c r="AY536">
        <f>IF([4]Entry!$H$539="","",[4]Entry!$H$539)</f>
        <v/>
      </c>
      <c r="AZ536">
        <f>IF([4]Entry!$I$539="","",[4]Entry!$I$539)</f>
        <v/>
      </c>
    </row>
    <row r="537">
      <c r="F537">
        <f>IF([1]Accounts!$D$538="","",[1]Accounts!$A$538)</f>
        <v/>
      </c>
      <c r="G537">
        <f>IF([1]Accounts!$D$538="","",[1]Accounts!$B$538)</f>
        <v/>
      </c>
      <c r="H537">
        <f>IF([1]Accounts!$D$538="","",[1]Accounts!$C$538)</f>
        <v/>
      </c>
      <c r="I537">
        <f>IF([1]Accounts!$D$538="","",[1]Accounts!$D$538)</f>
        <v/>
      </c>
      <c r="R537">
        <f>IF(AND($F537&lt;&gt;"",$I537&lt;&gt;""),IF(OR($G537="دارایی ثابت",$G537="وام و تسهیلات",$G537="سرمایه و آورده صاحبان"),0,1),0)</f>
        <v/>
      </c>
      <c r="S537">
        <f>SUM($R$6:$R537)</f>
        <v/>
      </c>
      <c r="T537">
        <f>IFERROR(INDEX($F$6:$F$565,MATCH(ROW()-5,$S$6:$S$565,0)),"")</f>
        <v/>
      </c>
      <c r="Z537">
        <f>IF([2]Entry!$E$540="","",[2]Entry!$E$540)</f>
        <v/>
      </c>
      <c r="AA537">
        <f>IF([2]Entry!$G$540="","",[2]Entry!$G$540)</f>
        <v/>
      </c>
      <c r="AB537">
        <f>IF([2]Entry!$J$540="","",[2]Entry!$J$540)</f>
        <v/>
      </c>
      <c r="AC537">
        <f>IF([2]Entry!$K$540="","",[2]Entry!$K$540)</f>
        <v/>
      </c>
      <c r="AD537">
        <f>IF([2]Entry!$L$540="","",[2]Entry!$L$540)</f>
        <v/>
      </c>
      <c r="AE537">
        <f>IF([2]Entry!$M$540="","",[2]Entry!$M$540)</f>
        <v/>
      </c>
      <c r="AF537">
        <f>IF([2]Entry!$N$540="","",[2]Entry!$N$540)</f>
        <v/>
      </c>
      <c r="AJ537">
        <f>IF([2]Entry!$S$540="","",[2]Entry!$S$540)</f>
        <v/>
      </c>
      <c r="AK537">
        <f>IF([2]Entry!$C$540="","",[2]Entry!$C$540)</f>
        <v/>
      </c>
      <c r="AL537">
        <f>IF([2]Entry!$D$540="","",[2]Entry!$D$540)</f>
        <v/>
      </c>
      <c r="AM537">
        <f>IF(AND($F537&lt;&gt;"",$I537&lt;&gt;""),IF($G537="دارایی ثابت",1,0),0)</f>
        <v/>
      </c>
      <c r="AN537">
        <f>SUM($AM$6:$AM537)</f>
        <v/>
      </c>
      <c r="AO537">
        <f>IFERROR(INDEX($F$6:$F$565,MATCH(ROW()-5,$AN$6:$AN$565,0)),"")</f>
        <v/>
      </c>
      <c r="AP537">
        <f>IF(AND($F537&lt;&gt;"",$I537&lt;&gt;""),IF($G537="وام و تسهیلات",1,0),0)</f>
        <v/>
      </c>
      <c r="AQ537">
        <f>SUM($AP$6:$AP537)</f>
        <v/>
      </c>
      <c r="AR537">
        <f>IFERROR(INDEX($F$6:$F$565,MATCH(ROW()-5,$AQ$6:$AQ$565,0)),"")</f>
        <v/>
      </c>
      <c r="AS537">
        <f>IF(AND($F537&lt;&gt;"",$I537&lt;&gt;""),IF($G537="سرمایه و آورده صاحبان",1,0),0)</f>
        <v/>
      </c>
      <c r="AT537">
        <f>SUM($AS$6:$AS537)</f>
        <v/>
      </c>
      <c r="AU537">
        <f>IFERROR(INDEX($F$6:$F$565,MATCH(ROW()-5,$AT$6:$AT$565,0)),"")</f>
        <v/>
      </c>
      <c r="AX537">
        <f>IF([4]Entry!$E$540="","",[4]Entry!$E$540)</f>
        <v/>
      </c>
      <c r="AY537">
        <f>IF([4]Entry!$H$540="","",[4]Entry!$H$540)</f>
        <v/>
      </c>
      <c r="AZ537">
        <f>IF([4]Entry!$I$540="","",[4]Entry!$I$540)</f>
        <v/>
      </c>
    </row>
    <row r="538">
      <c r="F538">
        <f>IF([1]Accounts!$D$539="","",[1]Accounts!$A$539)</f>
        <v/>
      </c>
      <c r="G538">
        <f>IF([1]Accounts!$D$539="","",[1]Accounts!$B$539)</f>
        <v/>
      </c>
      <c r="H538">
        <f>IF([1]Accounts!$D$539="","",[1]Accounts!$C$539)</f>
        <v/>
      </c>
      <c r="I538">
        <f>IF([1]Accounts!$D$539="","",[1]Accounts!$D$539)</f>
        <v/>
      </c>
      <c r="R538">
        <f>IF(AND($F538&lt;&gt;"",$I538&lt;&gt;""),IF(OR($G538="دارایی ثابت",$G538="وام و تسهیلات",$G538="سرمایه و آورده صاحبان"),0,1),0)</f>
        <v/>
      </c>
      <c r="S538">
        <f>SUM($R$6:$R538)</f>
        <v/>
      </c>
      <c r="T538">
        <f>IFERROR(INDEX($F$6:$F$565,MATCH(ROW()-5,$S$6:$S$565,0)),"")</f>
        <v/>
      </c>
      <c r="Z538">
        <f>IF([2]Entry!$E$541="","",[2]Entry!$E$541)</f>
        <v/>
      </c>
      <c r="AA538">
        <f>IF([2]Entry!$G$541="","",[2]Entry!$G$541)</f>
        <v/>
      </c>
      <c r="AB538">
        <f>IF([2]Entry!$J$541="","",[2]Entry!$J$541)</f>
        <v/>
      </c>
      <c r="AC538">
        <f>IF([2]Entry!$K$541="","",[2]Entry!$K$541)</f>
        <v/>
      </c>
      <c r="AD538">
        <f>IF([2]Entry!$L$541="","",[2]Entry!$L$541)</f>
        <v/>
      </c>
      <c r="AE538">
        <f>IF([2]Entry!$M$541="","",[2]Entry!$M$541)</f>
        <v/>
      </c>
      <c r="AF538">
        <f>IF([2]Entry!$N$541="","",[2]Entry!$N$541)</f>
        <v/>
      </c>
      <c r="AJ538">
        <f>IF([2]Entry!$S$541="","",[2]Entry!$S$541)</f>
        <v/>
      </c>
      <c r="AK538">
        <f>IF([2]Entry!$C$541="","",[2]Entry!$C$541)</f>
        <v/>
      </c>
      <c r="AL538">
        <f>IF([2]Entry!$D$541="","",[2]Entry!$D$541)</f>
        <v/>
      </c>
      <c r="AM538">
        <f>IF(AND($F538&lt;&gt;"",$I538&lt;&gt;""),IF($G538="دارایی ثابت",1,0),0)</f>
        <v/>
      </c>
      <c r="AN538">
        <f>SUM($AM$6:$AM538)</f>
        <v/>
      </c>
      <c r="AO538">
        <f>IFERROR(INDEX($F$6:$F$565,MATCH(ROW()-5,$AN$6:$AN$565,0)),"")</f>
        <v/>
      </c>
      <c r="AP538">
        <f>IF(AND($F538&lt;&gt;"",$I538&lt;&gt;""),IF($G538="وام و تسهیلات",1,0),0)</f>
        <v/>
      </c>
      <c r="AQ538">
        <f>SUM($AP$6:$AP538)</f>
        <v/>
      </c>
      <c r="AR538">
        <f>IFERROR(INDEX($F$6:$F$565,MATCH(ROW()-5,$AQ$6:$AQ$565,0)),"")</f>
        <v/>
      </c>
      <c r="AS538">
        <f>IF(AND($F538&lt;&gt;"",$I538&lt;&gt;""),IF($G538="سرمایه و آورده صاحبان",1,0),0)</f>
        <v/>
      </c>
      <c r="AT538">
        <f>SUM($AS$6:$AS538)</f>
        <v/>
      </c>
      <c r="AU538">
        <f>IFERROR(INDEX($F$6:$F$565,MATCH(ROW()-5,$AT$6:$AT$565,0)),"")</f>
        <v/>
      </c>
      <c r="AX538">
        <f>IF([4]Entry!$E$541="","",[4]Entry!$E$541)</f>
        <v/>
      </c>
      <c r="AY538">
        <f>IF([4]Entry!$H$541="","",[4]Entry!$H$541)</f>
        <v/>
      </c>
      <c r="AZ538">
        <f>IF([4]Entry!$I$541="","",[4]Entry!$I$541)</f>
        <v/>
      </c>
    </row>
    <row r="539">
      <c r="F539">
        <f>IF([1]Accounts!$D$540="","",[1]Accounts!$A$540)</f>
        <v/>
      </c>
      <c r="G539">
        <f>IF([1]Accounts!$D$540="","",[1]Accounts!$B$540)</f>
        <v/>
      </c>
      <c r="H539">
        <f>IF([1]Accounts!$D$540="","",[1]Accounts!$C$540)</f>
        <v/>
      </c>
      <c r="I539">
        <f>IF([1]Accounts!$D$540="","",[1]Accounts!$D$540)</f>
        <v/>
      </c>
      <c r="R539">
        <f>IF(AND($F539&lt;&gt;"",$I539&lt;&gt;""),IF(OR($G539="دارایی ثابت",$G539="وام و تسهیلات",$G539="سرمایه و آورده صاحبان"),0,1),0)</f>
        <v/>
      </c>
      <c r="S539">
        <f>SUM($R$6:$R539)</f>
        <v/>
      </c>
      <c r="T539">
        <f>IFERROR(INDEX($F$6:$F$565,MATCH(ROW()-5,$S$6:$S$565,0)),"")</f>
        <v/>
      </c>
      <c r="Z539">
        <f>IF([2]Entry!$E$542="","",[2]Entry!$E$542)</f>
        <v/>
      </c>
      <c r="AA539">
        <f>IF([2]Entry!$G$542="","",[2]Entry!$G$542)</f>
        <v/>
      </c>
      <c r="AB539">
        <f>IF([2]Entry!$J$542="","",[2]Entry!$J$542)</f>
        <v/>
      </c>
      <c r="AC539">
        <f>IF([2]Entry!$K$542="","",[2]Entry!$K$542)</f>
        <v/>
      </c>
      <c r="AD539">
        <f>IF([2]Entry!$L$542="","",[2]Entry!$L$542)</f>
        <v/>
      </c>
      <c r="AE539">
        <f>IF([2]Entry!$M$542="","",[2]Entry!$M$542)</f>
        <v/>
      </c>
      <c r="AF539">
        <f>IF([2]Entry!$N$542="","",[2]Entry!$N$542)</f>
        <v/>
      </c>
      <c r="AJ539">
        <f>IF([2]Entry!$S$542="","",[2]Entry!$S$542)</f>
        <v/>
      </c>
      <c r="AK539">
        <f>IF([2]Entry!$C$542="","",[2]Entry!$C$542)</f>
        <v/>
      </c>
      <c r="AL539">
        <f>IF([2]Entry!$D$542="","",[2]Entry!$D$542)</f>
        <v/>
      </c>
      <c r="AM539">
        <f>IF(AND($F539&lt;&gt;"",$I539&lt;&gt;""),IF($G539="دارایی ثابت",1,0),0)</f>
        <v/>
      </c>
      <c r="AN539">
        <f>SUM($AM$6:$AM539)</f>
        <v/>
      </c>
      <c r="AO539">
        <f>IFERROR(INDEX($F$6:$F$565,MATCH(ROW()-5,$AN$6:$AN$565,0)),"")</f>
        <v/>
      </c>
      <c r="AP539">
        <f>IF(AND($F539&lt;&gt;"",$I539&lt;&gt;""),IF($G539="وام و تسهیلات",1,0),0)</f>
        <v/>
      </c>
      <c r="AQ539">
        <f>SUM($AP$6:$AP539)</f>
        <v/>
      </c>
      <c r="AR539">
        <f>IFERROR(INDEX($F$6:$F$565,MATCH(ROW()-5,$AQ$6:$AQ$565,0)),"")</f>
        <v/>
      </c>
      <c r="AS539">
        <f>IF(AND($F539&lt;&gt;"",$I539&lt;&gt;""),IF($G539="سرمایه و آورده صاحبان",1,0),0)</f>
        <v/>
      </c>
      <c r="AT539">
        <f>SUM($AS$6:$AS539)</f>
        <v/>
      </c>
      <c r="AU539">
        <f>IFERROR(INDEX($F$6:$F$565,MATCH(ROW()-5,$AT$6:$AT$565,0)),"")</f>
        <v/>
      </c>
      <c r="AX539">
        <f>IF([4]Entry!$E$542="","",[4]Entry!$E$542)</f>
        <v/>
      </c>
      <c r="AY539">
        <f>IF([4]Entry!$H$542="","",[4]Entry!$H$542)</f>
        <v/>
      </c>
      <c r="AZ539">
        <f>IF([4]Entry!$I$542="","",[4]Entry!$I$542)</f>
        <v/>
      </c>
    </row>
    <row r="540">
      <c r="F540">
        <f>IF([1]Accounts!$D$541="","",[1]Accounts!$A$541)</f>
        <v/>
      </c>
      <c r="G540">
        <f>IF([1]Accounts!$D$541="","",[1]Accounts!$B$541)</f>
        <v/>
      </c>
      <c r="H540">
        <f>IF([1]Accounts!$D$541="","",[1]Accounts!$C$541)</f>
        <v/>
      </c>
      <c r="I540">
        <f>IF([1]Accounts!$D$541="","",[1]Accounts!$D$541)</f>
        <v/>
      </c>
      <c r="R540">
        <f>IF(AND($F540&lt;&gt;"",$I540&lt;&gt;""),IF(OR($G540="دارایی ثابت",$G540="وام و تسهیلات",$G540="سرمایه و آورده صاحبان"),0,1),0)</f>
        <v/>
      </c>
      <c r="S540">
        <f>SUM($R$6:$R540)</f>
        <v/>
      </c>
      <c r="T540">
        <f>IFERROR(INDEX($F$6:$F$565,MATCH(ROW()-5,$S$6:$S$565,0)),"")</f>
        <v/>
      </c>
      <c r="Z540">
        <f>IF([2]Entry!$E$543="","",[2]Entry!$E$543)</f>
        <v/>
      </c>
      <c r="AA540">
        <f>IF([2]Entry!$G$543="","",[2]Entry!$G$543)</f>
        <v/>
      </c>
      <c r="AB540">
        <f>IF([2]Entry!$J$543="","",[2]Entry!$J$543)</f>
        <v/>
      </c>
      <c r="AC540">
        <f>IF([2]Entry!$K$543="","",[2]Entry!$K$543)</f>
        <v/>
      </c>
      <c r="AD540">
        <f>IF([2]Entry!$L$543="","",[2]Entry!$L$543)</f>
        <v/>
      </c>
      <c r="AE540">
        <f>IF([2]Entry!$M$543="","",[2]Entry!$M$543)</f>
        <v/>
      </c>
      <c r="AF540">
        <f>IF([2]Entry!$N$543="","",[2]Entry!$N$543)</f>
        <v/>
      </c>
      <c r="AJ540">
        <f>IF([2]Entry!$S$543="","",[2]Entry!$S$543)</f>
        <v/>
      </c>
      <c r="AK540">
        <f>IF([2]Entry!$C$543="","",[2]Entry!$C$543)</f>
        <v/>
      </c>
      <c r="AL540">
        <f>IF([2]Entry!$D$543="","",[2]Entry!$D$543)</f>
        <v/>
      </c>
      <c r="AM540">
        <f>IF(AND($F540&lt;&gt;"",$I540&lt;&gt;""),IF($G540="دارایی ثابت",1,0),0)</f>
        <v/>
      </c>
      <c r="AN540">
        <f>SUM($AM$6:$AM540)</f>
        <v/>
      </c>
      <c r="AO540">
        <f>IFERROR(INDEX($F$6:$F$565,MATCH(ROW()-5,$AN$6:$AN$565,0)),"")</f>
        <v/>
      </c>
      <c r="AP540">
        <f>IF(AND($F540&lt;&gt;"",$I540&lt;&gt;""),IF($G540="وام و تسهیلات",1,0),0)</f>
        <v/>
      </c>
      <c r="AQ540">
        <f>SUM($AP$6:$AP540)</f>
        <v/>
      </c>
      <c r="AR540">
        <f>IFERROR(INDEX($F$6:$F$565,MATCH(ROW()-5,$AQ$6:$AQ$565,0)),"")</f>
        <v/>
      </c>
      <c r="AS540">
        <f>IF(AND($F540&lt;&gt;"",$I540&lt;&gt;""),IF($G540="سرمایه و آورده صاحبان",1,0),0)</f>
        <v/>
      </c>
      <c r="AT540">
        <f>SUM($AS$6:$AS540)</f>
        <v/>
      </c>
      <c r="AU540">
        <f>IFERROR(INDEX($F$6:$F$565,MATCH(ROW()-5,$AT$6:$AT$565,0)),"")</f>
        <v/>
      </c>
      <c r="AX540">
        <f>IF([4]Entry!$E$543="","",[4]Entry!$E$543)</f>
        <v/>
      </c>
      <c r="AY540">
        <f>IF([4]Entry!$H$543="","",[4]Entry!$H$543)</f>
        <v/>
      </c>
      <c r="AZ540">
        <f>IF([4]Entry!$I$543="","",[4]Entry!$I$543)</f>
        <v/>
      </c>
    </row>
    <row r="541">
      <c r="F541">
        <f>IF([1]Accounts!$D$542="","",[1]Accounts!$A$542)</f>
        <v/>
      </c>
      <c r="G541">
        <f>IF([1]Accounts!$D$542="","",[1]Accounts!$B$542)</f>
        <v/>
      </c>
      <c r="H541">
        <f>IF([1]Accounts!$D$542="","",[1]Accounts!$C$542)</f>
        <v/>
      </c>
      <c r="I541">
        <f>IF([1]Accounts!$D$542="","",[1]Accounts!$D$542)</f>
        <v/>
      </c>
      <c r="R541">
        <f>IF(AND($F541&lt;&gt;"",$I541&lt;&gt;""),IF(OR($G541="دارایی ثابت",$G541="وام و تسهیلات",$G541="سرمایه و آورده صاحبان"),0,1),0)</f>
        <v/>
      </c>
      <c r="S541">
        <f>SUM($R$6:$R541)</f>
        <v/>
      </c>
      <c r="T541">
        <f>IFERROR(INDEX($F$6:$F$565,MATCH(ROW()-5,$S$6:$S$565,0)),"")</f>
        <v/>
      </c>
      <c r="Z541">
        <f>IF([2]Entry!$E$544="","",[2]Entry!$E$544)</f>
        <v/>
      </c>
      <c r="AA541">
        <f>IF([2]Entry!$G$544="","",[2]Entry!$G$544)</f>
        <v/>
      </c>
      <c r="AB541">
        <f>IF([2]Entry!$J$544="","",[2]Entry!$J$544)</f>
        <v/>
      </c>
      <c r="AC541">
        <f>IF([2]Entry!$K$544="","",[2]Entry!$K$544)</f>
        <v/>
      </c>
      <c r="AD541">
        <f>IF([2]Entry!$L$544="","",[2]Entry!$L$544)</f>
        <v/>
      </c>
      <c r="AE541">
        <f>IF([2]Entry!$M$544="","",[2]Entry!$M$544)</f>
        <v/>
      </c>
      <c r="AF541">
        <f>IF([2]Entry!$N$544="","",[2]Entry!$N$544)</f>
        <v/>
      </c>
      <c r="AJ541">
        <f>IF([2]Entry!$S$544="","",[2]Entry!$S$544)</f>
        <v/>
      </c>
      <c r="AK541">
        <f>IF([2]Entry!$C$544="","",[2]Entry!$C$544)</f>
        <v/>
      </c>
      <c r="AL541">
        <f>IF([2]Entry!$D$544="","",[2]Entry!$D$544)</f>
        <v/>
      </c>
      <c r="AM541">
        <f>IF(AND($F541&lt;&gt;"",$I541&lt;&gt;""),IF($G541="دارایی ثابت",1,0),0)</f>
        <v/>
      </c>
      <c r="AN541">
        <f>SUM($AM$6:$AM541)</f>
        <v/>
      </c>
      <c r="AO541">
        <f>IFERROR(INDEX($F$6:$F$565,MATCH(ROW()-5,$AN$6:$AN$565,0)),"")</f>
        <v/>
      </c>
      <c r="AP541">
        <f>IF(AND($F541&lt;&gt;"",$I541&lt;&gt;""),IF($G541="وام و تسهیلات",1,0),0)</f>
        <v/>
      </c>
      <c r="AQ541">
        <f>SUM($AP$6:$AP541)</f>
        <v/>
      </c>
      <c r="AR541">
        <f>IFERROR(INDEX($F$6:$F$565,MATCH(ROW()-5,$AQ$6:$AQ$565,0)),"")</f>
        <v/>
      </c>
      <c r="AS541">
        <f>IF(AND($F541&lt;&gt;"",$I541&lt;&gt;""),IF($G541="سرمایه و آورده صاحبان",1,0),0)</f>
        <v/>
      </c>
      <c r="AT541">
        <f>SUM($AS$6:$AS541)</f>
        <v/>
      </c>
      <c r="AU541">
        <f>IFERROR(INDEX($F$6:$F$565,MATCH(ROW()-5,$AT$6:$AT$565,0)),"")</f>
        <v/>
      </c>
      <c r="AX541">
        <f>IF([4]Entry!$E$544="","",[4]Entry!$E$544)</f>
        <v/>
      </c>
      <c r="AY541">
        <f>IF([4]Entry!$H$544="","",[4]Entry!$H$544)</f>
        <v/>
      </c>
      <c r="AZ541">
        <f>IF([4]Entry!$I$544="","",[4]Entry!$I$544)</f>
        <v/>
      </c>
    </row>
    <row r="542">
      <c r="F542">
        <f>IF([1]Accounts!$D$543="","",[1]Accounts!$A$543)</f>
        <v/>
      </c>
      <c r="G542">
        <f>IF([1]Accounts!$D$543="","",[1]Accounts!$B$543)</f>
        <v/>
      </c>
      <c r="H542">
        <f>IF([1]Accounts!$D$543="","",[1]Accounts!$C$543)</f>
        <v/>
      </c>
      <c r="I542">
        <f>IF([1]Accounts!$D$543="","",[1]Accounts!$D$543)</f>
        <v/>
      </c>
      <c r="R542">
        <f>IF(AND($F542&lt;&gt;"",$I542&lt;&gt;""),IF(OR($G542="دارایی ثابت",$G542="وام و تسهیلات",$G542="سرمایه و آورده صاحبان"),0,1),0)</f>
        <v/>
      </c>
      <c r="S542">
        <f>SUM($R$6:$R542)</f>
        <v/>
      </c>
      <c r="T542">
        <f>IFERROR(INDEX($F$6:$F$565,MATCH(ROW()-5,$S$6:$S$565,0)),"")</f>
        <v/>
      </c>
      <c r="Z542">
        <f>IF([2]Entry!$E$545="","",[2]Entry!$E$545)</f>
        <v/>
      </c>
      <c r="AA542">
        <f>IF([2]Entry!$G$545="","",[2]Entry!$G$545)</f>
        <v/>
      </c>
      <c r="AB542">
        <f>IF([2]Entry!$J$545="","",[2]Entry!$J$545)</f>
        <v/>
      </c>
      <c r="AC542">
        <f>IF([2]Entry!$K$545="","",[2]Entry!$K$545)</f>
        <v/>
      </c>
      <c r="AD542">
        <f>IF([2]Entry!$L$545="","",[2]Entry!$L$545)</f>
        <v/>
      </c>
      <c r="AE542">
        <f>IF([2]Entry!$M$545="","",[2]Entry!$M$545)</f>
        <v/>
      </c>
      <c r="AF542">
        <f>IF([2]Entry!$N$545="","",[2]Entry!$N$545)</f>
        <v/>
      </c>
      <c r="AJ542">
        <f>IF([2]Entry!$S$545="","",[2]Entry!$S$545)</f>
        <v/>
      </c>
      <c r="AK542">
        <f>IF([2]Entry!$C$545="","",[2]Entry!$C$545)</f>
        <v/>
      </c>
      <c r="AL542">
        <f>IF([2]Entry!$D$545="","",[2]Entry!$D$545)</f>
        <v/>
      </c>
      <c r="AM542">
        <f>IF(AND($F542&lt;&gt;"",$I542&lt;&gt;""),IF($G542="دارایی ثابت",1,0),0)</f>
        <v/>
      </c>
      <c r="AN542">
        <f>SUM($AM$6:$AM542)</f>
        <v/>
      </c>
      <c r="AO542">
        <f>IFERROR(INDEX($F$6:$F$565,MATCH(ROW()-5,$AN$6:$AN$565,0)),"")</f>
        <v/>
      </c>
      <c r="AP542">
        <f>IF(AND($F542&lt;&gt;"",$I542&lt;&gt;""),IF($G542="وام و تسهیلات",1,0),0)</f>
        <v/>
      </c>
      <c r="AQ542">
        <f>SUM($AP$6:$AP542)</f>
        <v/>
      </c>
      <c r="AR542">
        <f>IFERROR(INDEX($F$6:$F$565,MATCH(ROW()-5,$AQ$6:$AQ$565,0)),"")</f>
        <v/>
      </c>
      <c r="AS542">
        <f>IF(AND($F542&lt;&gt;"",$I542&lt;&gt;""),IF($G542="سرمایه و آورده صاحبان",1,0),0)</f>
        <v/>
      </c>
      <c r="AT542">
        <f>SUM($AS$6:$AS542)</f>
        <v/>
      </c>
      <c r="AU542">
        <f>IFERROR(INDEX($F$6:$F$565,MATCH(ROW()-5,$AT$6:$AT$565,0)),"")</f>
        <v/>
      </c>
      <c r="AX542">
        <f>IF([4]Entry!$E$545="","",[4]Entry!$E$545)</f>
        <v/>
      </c>
      <c r="AY542">
        <f>IF([4]Entry!$H$545="","",[4]Entry!$H$545)</f>
        <v/>
      </c>
      <c r="AZ542">
        <f>IF([4]Entry!$I$545="","",[4]Entry!$I$545)</f>
        <v/>
      </c>
    </row>
    <row r="543">
      <c r="F543">
        <f>IF([1]Accounts!$D$544="","",[1]Accounts!$A$544)</f>
        <v/>
      </c>
      <c r="G543">
        <f>IF([1]Accounts!$D$544="","",[1]Accounts!$B$544)</f>
        <v/>
      </c>
      <c r="H543">
        <f>IF([1]Accounts!$D$544="","",[1]Accounts!$C$544)</f>
        <v/>
      </c>
      <c r="I543">
        <f>IF([1]Accounts!$D$544="","",[1]Accounts!$D$544)</f>
        <v/>
      </c>
      <c r="R543">
        <f>IF(AND($F543&lt;&gt;"",$I543&lt;&gt;""),IF(OR($G543="دارایی ثابت",$G543="وام و تسهیلات",$G543="سرمایه و آورده صاحبان"),0,1),0)</f>
        <v/>
      </c>
      <c r="S543">
        <f>SUM($R$6:$R543)</f>
        <v/>
      </c>
      <c r="T543">
        <f>IFERROR(INDEX($F$6:$F$565,MATCH(ROW()-5,$S$6:$S$565,0)),"")</f>
        <v/>
      </c>
      <c r="Z543">
        <f>IF([2]Entry!$E$546="","",[2]Entry!$E$546)</f>
        <v/>
      </c>
      <c r="AA543">
        <f>IF([2]Entry!$G$546="","",[2]Entry!$G$546)</f>
        <v/>
      </c>
      <c r="AB543">
        <f>IF([2]Entry!$J$546="","",[2]Entry!$J$546)</f>
        <v/>
      </c>
      <c r="AC543">
        <f>IF([2]Entry!$K$546="","",[2]Entry!$K$546)</f>
        <v/>
      </c>
      <c r="AD543">
        <f>IF([2]Entry!$L$546="","",[2]Entry!$L$546)</f>
        <v/>
      </c>
      <c r="AE543">
        <f>IF([2]Entry!$M$546="","",[2]Entry!$M$546)</f>
        <v/>
      </c>
      <c r="AF543">
        <f>IF([2]Entry!$N$546="","",[2]Entry!$N$546)</f>
        <v/>
      </c>
      <c r="AJ543">
        <f>IF([2]Entry!$S$546="","",[2]Entry!$S$546)</f>
        <v/>
      </c>
      <c r="AK543">
        <f>IF([2]Entry!$C$546="","",[2]Entry!$C$546)</f>
        <v/>
      </c>
      <c r="AL543">
        <f>IF([2]Entry!$D$546="","",[2]Entry!$D$546)</f>
        <v/>
      </c>
      <c r="AM543">
        <f>IF(AND($F543&lt;&gt;"",$I543&lt;&gt;""),IF($G543="دارایی ثابت",1,0),0)</f>
        <v/>
      </c>
      <c r="AN543">
        <f>SUM($AM$6:$AM543)</f>
        <v/>
      </c>
      <c r="AO543">
        <f>IFERROR(INDEX($F$6:$F$565,MATCH(ROW()-5,$AN$6:$AN$565,0)),"")</f>
        <v/>
      </c>
      <c r="AP543">
        <f>IF(AND($F543&lt;&gt;"",$I543&lt;&gt;""),IF($G543="وام و تسهیلات",1,0),0)</f>
        <v/>
      </c>
      <c r="AQ543">
        <f>SUM($AP$6:$AP543)</f>
        <v/>
      </c>
      <c r="AR543">
        <f>IFERROR(INDEX($F$6:$F$565,MATCH(ROW()-5,$AQ$6:$AQ$565,0)),"")</f>
        <v/>
      </c>
      <c r="AS543">
        <f>IF(AND($F543&lt;&gt;"",$I543&lt;&gt;""),IF($G543="سرمایه و آورده صاحبان",1,0),0)</f>
        <v/>
      </c>
      <c r="AT543">
        <f>SUM($AS$6:$AS543)</f>
        <v/>
      </c>
      <c r="AU543">
        <f>IFERROR(INDEX($F$6:$F$565,MATCH(ROW()-5,$AT$6:$AT$565,0)),"")</f>
        <v/>
      </c>
      <c r="AX543">
        <f>IF([4]Entry!$E$546="","",[4]Entry!$E$546)</f>
        <v/>
      </c>
      <c r="AY543">
        <f>IF([4]Entry!$H$546="","",[4]Entry!$H$546)</f>
        <v/>
      </c>
      <c r="AZ543">
        <f>IF([4]Entry!$I$546="","",[4]Entry!$I$546)</f>
        <v/>
      </c>
    </row>
    <row r="544">
      <c r="F544">
        <f>IF([1]Accounts!$D$545="","",[1]Accounts!$A$545)</f>
        <v/>
      </c>
      <c r="G544">
        <f>IF([1]Accounts!$D$545="","",[1]Accounts!$B$545)</f>
        <v/>
      </c>
      <c r="H544">
        <f>IF([1]Accounts!$D$545="","",[1]Accounts!$C$545)</f>
        <v/>
      </c>
      <c r="I544">
        <f>IF([1]Accounts!$D$545="","",[1]Accounts!$D$545)</f>
        <v/>
      </c>
      <c r="R544">
        <f>IF(AND($F544&lt;&gt;"",$I544&lt;&gt;""),IF(OR($G544="دارایی ثابت",$G544="وام و تسهیلات",$G544="سرمایه و آورده صاحبان"),0,1),0)</f>
        <v/>
      </c>
      <c r="S544">
        <f>SUM($R$6:$R544)</f>
        <v/>
      </c>
      <c r="T544">
        <f>IFERROR(INDEX($F$6:$F$565,MATCH(ROW()-5,$S$6:$S$565,0)),"")</f>
        <v/>
      </c>
      <c r="Z544">
        <f>IF([2]Entry!$E$547="","",[2]Entry!$E$547)</f>
        <v/>
      </c>
      <c r="AA544">
        <f>IF([2]Entry!$G$547="","",[2]Entry!$G$547)</f>
        <v/>
      </c>
      <c r="AB544">
        <f>IF([2]Entry!$J$547="","",[2]Entry!$J$547)</f>
        <v/>
      </c>
      <c r="AC544">
        <f>IF([2]Entry!$K$547="","",[2]Entry!$K$547)</f>
        <v/>
      </c>
      <c r="AD544">
        <f>IF([2]Entry!$L$547="","",[2]Entry!$L$547)</f>
        <v/>
      </c>
      <c r="AE544">
        <f>IF([2]Entry!$M$547="","",[2]Entry!$M$547)</f>
        <v/>
      </c>
      <c r="AF544">
        <f>IF([2]Entry!$N$547="","",[2]Entry!$N$547)</f>
        <v/>
      </c>
      <c r="AJ544">
        <f>IF([2]Entry!$S$547="","",[2]Entry!$S$547)</f>
        <v/>
      </c>
      <c r="AK544">
        <f>IF([2]Entry!$C$547="","",[2]Entry!$C$547)</f>
        <v/>
      </c>
      <c r="AL544">
        <f>IF([2]Entry!$D$547="","",[2]Entry!$D$547)</f>
        <v/>
      </c>
      <c r="AM544">
        <f>IF(AND($F544&lt;&gt;"",$I544&lt;&gt;""),IF($G544="دارایی ثابت",1,0),0)</f>
        <v/>
      </c>
      <c r="AN544">
        <f>SUM($AM$6:$AM544)</f>
        <v/>
      </c>
      <c r="AO544">
        <f>IFERROR(INDEX($F$6:$F$565,MATCH(ROW()-5,$AN$6:$AN$565,0)),"")</f>
        <v/>
      </c>
      <c r="AP544">
        <f>IF(AND($F544&lt;&gt;"",$I544&lt;&gt;""),IF($G544="وام و تسهیلات",1,0),0)</f>
        <v/>
      </c>
      <c r="AQ544">
        <f>SUM($AP$6:$AP544)</f>
        <v/>
      </c>
      <c r="AR544">
        <f>IFERROR(INDEX($F$6:$F$565,MATCH(ROW()-5,$AQ$6:$AQ$565,0)),"")</f>
        <v/>
      </c>
      <c r="AS544">
        <f>IF(AND($F544&lt;&gt;"",$I544&lt;&gt;""),IF($G544="سرمایه و آورده صاحبان",1,0),0)</f>
        <v/>
      </c>
      <c r="AT544">
        <f>SUM($AS$6:$AS544)</f>
        <v/>
      </c>
      <c r="AU544">
        <f>IFERROR(INDEX($F$6:$F$565,MATCH(ROW()-5,$AT$6:$AT$565,0)),"")</f>
        <v/>
      </c>
      <c r="AX544">
        <f>IF([4]Entry!$E$547="","",[4]Entry!$E$547)</f>
        <v/>
      </c>
      <c r="AY544">
        <f>IF([4]Entry!$H$547="","",[4]Entry!$H$547)</f>
        <v/>
      </c>
      <c r="AZ544">
        <f>IF([4]Entry!$I$547="","",[4]Entry!$I$547)</f>
        <v/>
      </c>
    </row>
    <row r="545">
      <c r="F545">
        <f>IF([1]Accounts!$D$546="","",[1]Accounts!$A$546)</f>
        <v/>
      </c>
      <c r="G545">
        <f>IF([1]Accounts!$D$546="","",[1]Accounts!$B$546)</f>
        <v/>
      </c>
      <c r="H545">
        <f>IF([1]Accounts!$D$546="","",[1]Accounts!$C$546)</f>
        <v/>
      </c>
      <c r="I545">
        <f>IF([1]Accounts!$D$546="","",[1]Accounts!$D$546)</f>
        <v/>
      </c>
      <c r="R545">
        <f>IF(AND($F545&lt;&gt;"",$I545&lt;&gt;""),IF(OR($G545="دارایی ثابت",$G545="وام و تسهیلات",$G545="سرمایه و آورده صاحبان"),0,1),0)</f>
        <v/>
      </c>
      <c r="S545">
        <f>SUM($R$6:$R545)</f>
        <v/>
      </c>
      <c r="T545">
        <f>IFERROR(INDEX($F$6:$F$565,MATCH(ROW()-5,$S$6:$S$565,0)),"")</f>
        <v/>
      </c>
      <c r="Z545">
        <f>IF([2]Entry!$E$548="","",[2]Entry!$E$548)</f>
        <v/>
      </c>
      <c r="AA545">
        <f>IF([2]Entry!$G$548="","",[2]Entry!$G$548)</f>
        <v/>
      </c>
      <c r="AB545">
        <f>IF([2]Entry!$J$548="","",[2]Entry!$J$548)</f>
        <v/>
      </c>
      <c r="AC545">
        <f>IF([2]Entry!$K$548="","",[2]Entry!$K$548)</f>
        <v/>
      </c>
      <c r="AD545">
        <f>IF([2]Entry!$L$548="","",[2]Entry!$L$548)</f>
        <v/>
      </c>
      <c r="AE545">
        <f>IF([2]Entry!$M$548="","",[2]Entry!$M$548)</f>
        <v/>
      </c>
      <c r="AF545">
        <f>IF([2]Entry!$N$548="","",[2]Entry!$N$548)</f>
        <v/>
      </c>
      <c r="AJ545">
        <f>IF([2]Entry!$S$548="","",[2]Entry!$S$548)</f>
        <v/>
      </c>
      <c r="AK545">
        <f>IF([2]Entry!$C$548="","",[2]Entry!$C$548)</f>
        <v/>
      </c>
      <c r="AL545">
        <f>IF([2]Entry!$D$548="","",[2]Entry!$D$548)</f>
        <v/>
      </c>
      <c r="AM545">
        <f>IF(AND($F545&lt;&gt;"",$I545&lt;&gt;""),IF($G545="دارایی ثابت",1,0),0)</f>
        <v/>
      </c>
      <c r="AN545">
        <f>SUM($AM$6:$AM545)</f>
        <v/>
      </c>
      <c r="AO545">
        <f>IFERROR(INDEX($F$6:$F$565,MATCH(ROW()-5,$AN$6:$AN$565,0)),"")</f>
        <v/>
      </c>
      <c r="AP545">
        <f>IF(AND($F545&lt;&gt;"",$I545&lt;&gt;""),IF($G545="وام و تسهیلات",1,0),0)</f>
        <v/>
      </c>
      <c r="AQ545">
        <f>SUM($AP$6:$AP545)</f>
        <v/>
      </c>
      <c r="AR545">
        <f>IFERROR(INDEX($F$6:$F$565,MATCH(ROW()-5,$AQ$6:$AQ$565,0)),"")</f>
        <v/>
      </c>
      <c r="AS545">
        <f>IF(AND($F545&lt;&gt;"",$I545&lt;&gt;""),IF($G545="سرمایه و آورده صاحبان",1,0),0)</f>
        <v/>
      </c>
      <c r="AT545">
        <f>SUM($AS$6:$AS545)</f>
        <v/>
      </c>
      <c r="AU545">
        <f>IFERROR(INDEX($F$6:$F$565,MATCH(ROW()-5,$AT$6:$AT$565,0)),"")</f>
        <v/>
      </c>
      <c r="AX545">
        <f>IF([4]Entry!$E$548="","",[4]Entry!$E$548)</f>
        <v/>
      </c>
      <c r="AY545">
        <f>IF([4]Entry!$H$548="","",[4]Entry!$H$548)</f>
        <v/>
      </c>
      <c r="AZ545">
        <f>IF([4]Entry!$I$548="","",[4]Entry!$I$548)</f>
        <v/>
      </c>
    </row>
    <row r="546">
      <c r="F546">
        <f>IF([1]Accounts!$D$547="","",[1]Accounts!$A$547)</f>
        <v/>
      </c>
      <c r="G546">
        <f>IF([1]Accounts!$D$547="","",[1]Accounts!$B$547)</f>
        <v/>
      </c>
      <c r="H546">
        <f>IF([1]Accounts!$D$547="","",[1]Accounts!$C$547)</f>
        <v/>
      </c>
      <c r="I546">
        <f>IF([1]Accounts!$D$547="","",[1]Accounts!$D$547)</f>
        <v/>
      </c>
      <c r="R546">
        <f>IF(AND($F546&lt;&gt;"",$I546&lt;&gt;""),IF(OR($G546="دارایی ثابت",$G546="وام و تسهیلات",$G546="سرمایه و آورده صاحبان"),0,1),0)</f>
        <v/>
      </c>
      <c r="S546">
        <f>SUM($R$6:$R546)</f>
        <v/>
      </c>
      <c r="T546">
        <f>IFERROR(INDEX($F$6:$F$565,MATCH(ROW()-5,$S$6:$S$565,0)),"")</f>
        <v/>
      </c>
      <c r="Z546">
        <f>IF([2]Entry!$E$549="","",[2]Entry!$E$549)</f>
        <v/>
      </c>
      <c r="AA546">
        <f>IF([2]Entry!$G$549="","",[2]Entry!$G$549)</f>
        <v/>
      </c>
      <c r="AB546">
        <f>IF([2]Entry!$J$549="","",[2]Entry!$J$549)</f>
        <v/>
      </c>
      <c r="AC546">
        <f>IF([2]Entry!$K$549="","",[2]Entry!$K$549)</f>
        <v/>
      </c>
      <c r="AD546">
        <f>IF([2]Entry!$L$549="","",[2]Entry!$L$549)</f>
        <v/>
      </c>
      <c r="AE546">
        <f>IF([2]Entry!$M$549="","",[2]Entry!$M$549)</f>
        <v/>
      </c>
      <c r="AF546">
        <f>IF([2]Entry!$N$549="","",[2]Entry!$N$549)</f>
        <v/>
      </c>
      <c r="AJ546">
        <f>IF([2]Entry!$S$549="","",[2]Entry!$S$549)</f>
        <v/>
      </c>
      <c r="AK546">
        <f>IF([2]Entry!$C$549="","",[2]Entry!$C$549)</f>
        <v/>
      </c>
      <c r="AL546">
        <f>IF([2]Entry!$D$549="","",[2]Entry!$D$549)</f>
        <v/>
      </c>
      <c r="AM546">
        <f>IF(AND($F546&lt;&gt;"",$I546&lt;&gt;""),IF($G546="دارایی ثابت",1,0),0)</f>
        <v/>
      </c>
      <c r="AN546">
        <f>SUM($AM$6:$AM546)</f>
        <v/>
      </c>
      <c r="AO546">
        <f>IFERROR(INDEX($F$6:$F$565,MATCH(ROW()-5,$AN$6:$AN$565,0)),"")</f>
        <v/>
      </c>
      <c r="AP546">
        <f>IF(AND($F546&lt;&gt;"",$I546&lt;&gt;""),IF($G546="وام و تسهیلات",1,0),0)</f>
        <v/>
      </c>
      <c r="AQ546">
        <f>SUM($AP$6:$AP546)</f>
        <v/>
      </c>
      <c r="AR546">
        <f>IFERROR(INDEX($F$6:$F$565,MATCH(ROW()-5,$AQ$6:$AQ$565,0)),"")</f>
        <v/>
      </c>
      <c r="AS546">
        <f>IF(AND($F546&lt;&gt;"",$I546&lt;&gt;""),IF($G546="سرمایه و آورده صاحبان",1,0),0)</f>
        <v/>
      </c>
      <c r="AT546">
        <f>SUM($AS$6:$AS546)</f>
        <v/>
      </c>
      <c r="AU546">
        <f>IFERROR(INDEX($F$6:$F$565,MATCH(ROW()-5,$AT$6:$AT$565,0)),"")</f>
        <v/>
      </c>
      <c r="AX546">
        <f>IF([4]Entry!$E$549="","",[4]Entry!$E$549)</f>
        <v/>
      </c>
      <c r="AY546">
        <f>IF([4]Entry!$H$549="","",[4]Entry!$H$549)</f>
        <v/>
      </c>
      <c r="AZ546">
        <f>IF([4]Entry!$I$549="","",[4]Entry!$I$549)</f>
        <v/>
      </c>
    </row>
    <row r="547">
      <c r="F547">
        <f>IF([1]Accounts!$D$548="","",[1]Accounts!$A$548)</f>
        <v/>
      </c>
      <c r="G547">
        <f>IF([1]Accounts!$D$548="","",[1]Accounts!$B$548)</f>
        <v/>
      </c>
      <c r="H547">
        <f>IF([1]Accounts!$D$548="","",[1]Accounts!$C$548)</f>
        <v/>
      </c>
      <c r="I547">
        <f>IF([1]Accounts!$D$548="","",[1]Accounts!$D$548)</f>
        <v/>
      </c>
      <c r="R547">
        <f>IF(AND($F547&lt;&gt;"",$I547&lt;&gt;""),IF(OR($G547="دارایی ثابت",$G547="وام و تسهیلات",$G547="سرمایه و آورده صاحبان"),0,1),0)</f>
        <v/>
      </c>
      <c r="S547">
        <f>SUM($R$6:$R547)</f>
        <v/>
      </c>
      <c r="T547">
        <f>IFERROR(INDEX($F$6:$F$565,MATCH(ROW()-5,$S$6:$S$565,0)),"")</f>
        <v/>
      </c>
      <c r="Z547">
        <f>IF([2]Entry!$E$550="","",[2]Entry!$E$550)</f>
        <v/>
      </c>
      <c r="AA547">
        <f>IF([2]Entry!$G$550="","",[2]Entry!$G$550)</f>
        <v/>
      </c>
      <c r="AB547">
        <f>IF([2]Entry!$J$550="","",[2]Entry!$J$550)</f>
        <v/>
      </c>
      <c r="AC547">
        <f>IF([2]Entry!$K$550="","",[2]Entry!$K$550)</f>
        <v/>
      </c>
      <c r="AD547">
        <f>IF([2]Entry!$L$550="","",[2]Entry!$L$550)</f>
        <v/>
      </c>
      <c r="AE547">
        <f>IF([2]Entry!$M$550="","",[2]Entry!$M$550)</f>
        <v/>
      </c>
      <c r="AF547">
        <f>IF([2]Entry!$N$550="","",[2]Entry!$N$550)</f>
        <v/>
      </c>
      <c r="AJ547">
        <f>IF([2]Entry!$S$550="","",[2]Entry!$S$550)</f>
        <v/>
      </c>
      <c r="AK547">
        <f>IF([2]Entry!$C$550="","",[2]Entry!$C$550)</f>
        <v/>
      </c>
      <c r="AL547">
        <f>IF([2]Entry!$D$550="","",[2]Entry!$D$550)</f>
        <v/>
      </c>
      <c r="AM547">
        <f>IF(AND($F547&lt;&gt;"",$I547&lt;&gt;""),IF($G547="دارایی ثابت",1,0),0)</f>
        <v/>
      </c>
      <c r="AN547">
        <f>SUM($AM$6:$AM547)</f>
        <v/>
      </c>
      <c r="AO547">
        <f>IFERROR(INDEX($F$6:$F$565,MATCH(ROW()-5,$AN$6:$AN$565,0)),"")</f>
        <v/>
      </c>
      <c r="AP547">
        <f>IF(AND($F547&lt;&gt;"",$I547&lt;&gt;""),IF($G547="وام و تسهیلات",1,0),0)</f>
        <v/>
      </c>
      <c r="AQ547">
        <f>SUM($AP$6:$AP547)</f>
        <v/>
      </c>
      <c r="AR547">
        <f>IFERROR(INDEX($F$6:$F$565,MATCH(ROW()-5,$AQ$6:$AQ$565,0)),"")</f>
        <v/>
      </c>
      <c r="AS547">
        <f>IF(AND($F547&lt;&gt;"",$I547&lt;&gt;""),IF($G547="سرمایه و آورده صاحبان",1,0),0)</f>
        <v/>
      </c>
      <c r="AT547">
        <f>SUM($AS$6:$AS547)</f>
        <v/>
      </c>
      <c r="AU547">
        <f>IFERROR(INDEX($F$6:$F$565,MATCH(ROW()-5,$AT$6:$AT$565,0)),"")</f>
        <v/>
      </c>
      <c r="AX547">
        <f>IF([4]Entry!$E$550="","",[4]Entry!$E$550)</f>
        <v/>
      </c>
      <c r="AY547">
        <f>IF([4]Entry!$H$550="","",[4]Entry!$H$550)</f>
        <v/>
      </c>
      <c r="AZ547">
        <f>IF([4]Entry!$I$550="","",[4]Entry!$I$550)</f>
        <v/>
      </c>
    </row>
    <row r="548">
      <c r="F548">
        <f>IF([1]Accounts!$D$549="","",[1]Accounts!$A$549)</f>
        <v/>
      </c>
      <c r="G548">
        <f>IF([1]Accounts!$D$549="","",[1]Accounts!$B$549)</f>
        <v/>
      </c>
      <c r="H548">
        <f>IF([1]Accounts!$D$549="","",[1]Accounts!$C$549)</f>
        <v/>
      </c>
      <c r="I548">
        <f>IF([1]Accounts!$D$549="","",[1]Accounts!$D$549)</f>
        <v/>
      </c>
      <c r="R548">
        <f>IF(AND($F548&lt;&gt;"",$I548&lt;&gt;""),IF(OR($G548="دارایی ثابت",$G548="وام و تسهیلات",$G548="سرمایه و آورده صاحبان"),0,1),0)</f>
        <v/>
      </c>
      <c r="S548">
        <f>SUM($R$6:$R548)</f>
        <v/>
      </c>
      <c r="T548">
        <f>IFERROR(INDEX($F$6:$F$565,MATCH(ROW()-5,$S$6:$S$565,0)),"")</f>
        <v/>
      </c>
      <c r="Z548">
        <f>IF([2]Entry!$E$551="","",[2]Entry!$E$551)</f>
        <v/>
      </c>
      <c r="AA548">
        <f>IF([2]Entry!$G$551="","",[2]Entry!$G$551)</f>
        <v/>
      </c>
      <c r="AB548">
        <f>IF([2]Entry!$J$551="","",[2]Entry!$J$551)</f>
        <v/>
      </c>
      <c r="AC548">
        <f>IF([2]Entry!$K$551="","",[2]Entry!$K$551)</f>
        <v/>
      </c>
      <c r="AD548">
        <f>IF([2]Entry!$L$551="","",[2]Entry!$L$551)</f>
        <v/>
      </c>
      <c r="AE548">
        <f>IF([2]Entry!$M$551="","",[2]Entry!$M$551)</f>
        <v/>
      </c>
      <c r="AF548">
        <f>IF([2]Entry!$N$551="","",[2]Entry!$N$551)</f>
        <v/>
      </c>
      <c r="AJ548">
        <f>IF([2]Entry!$S$551="","",[2]Entry!$S$551)</f>
        <v/>
      </c>
      <c r="AK548">
        <f>IF([2]Entry!$C$551="","",[2]Entry!$C$551)</f>
        <v/>
      </c>
      <c r="AL548">
        <f>IF([2]Entry!$D$551="","",[2]Entry!$D$551)</f>
        <v/>
      </c>
      <c r="AM548">
        <f>IF(AND($F548&lt;&gt;"",$I548&lt;&gt;""),IF($G548="دارایی ثابت",1,0),0)</f>
        <v/>
      </c>
      <c r="AN548">
        <f>SUM($AM$6:$AM548)</f>
        <v/>
      </c>
      <c r="AO548">
        <f>IFERROR(INDEX($F$6:$F$565,MATCH(ROW()-5,$AN$6:$AN$565,0)),"")</f>
        <v/>
      </c>
      <c r="AP548">
        <f>IF(AND($F548&lt;&gt;"",$I548&lt;&gt;""),IF($G548="وام و تسهیلات",1,0),0)</f>
        <v/>
      </c>
      <c r="AQ548">
        <f>SUM($AP$6:$AP548)</f>
        <v/>
      </c>
      <c r="AR548">
        <f>IFERROR(INDEX($F$6:$F$565,MATCH(ROW()-5,$AQ$6:$AQ$565,0)),"")</f>
        <v/>
      </c>
      <c r="AS548">
        <f>IF(AND($F548&lt;&gt;"",$I548&lt;&gt;""),IF($G548="سرمایه و آورده صاحبان",1,0),0)</f>
        <v/>
      </c>
      <c r="AT548">
        <f>SUM($AS$6:$AS548)</f>
        <v/>
      </c>
      <c r="AU548">
        <f>IFERROR(INDEX($F$6:$F$565,MATCH(ROW()-5,$AT$6:$AT$565,0)),"")</f>
        <v/>
      </c>
      <c r="AX548">
        <f>IF([4]Entry!$E$551="","",[4]Entry!$E$551)</f>
        <v/>
      </c>
      <c r="AY548">
        <f>IF([4]Entry!$H$551="","",[4]Entry!$H$551)</f>
        <v/>
      </c>
      <c r="AZ548">
        <f>IF([4]Entry!$I$551="","",[4]Entry!$I$551)</f>
        <v/>
      </c>
    </row>
    <row r="549">
      <c r="F549">
        <f>IF([1]Accounts!$D$550="","",[1]Accounts!$A$550)</f>
        <v/>
      </c>
      <c r="G549">
        <f>IF([1]Accounts!$D$550="","",[1]Accounts!$B$550)</f>
        <v/>
      </c>
      <c r="H549">
        <f>IF([1]Accounts!$D$550="","",[1]Accounts!$C$550)</f>
        <v/>
      </c>
      <c r="I549">
        <f>IF([1]Accounts!$D$550="","",[1]Accounts!$D$550)</f>
        <v/>
      </c>
      <c r="R549">
        <f>IF(AND($F549&lt;&gt;"",$I549&lt;&gt;""),IF(OR($G549="دارایی ثابت",$G549="وام و تسهیلات",$G549="سرمایه و آورده صاحبان"),0,1),0)</f>
        <v/>
      </c>
      <c r="S549">
        <f>SUM($R$6:$R549)</f>
        <v/>
      </c>
      <c r="T549">
        <f>IFERROR(INDEX($F$6:$F$565,MATCH(ROW()-5,$S$6:$S$565,0)),"")</f>
        <v/>
      </c>
      <c r="Z549">
        <f>IF([2]Entry!$E$552="","",[2]Entry!$E$552)</f>
        <v/>
      </c>
      <c r="AA549">
        <f>IF([2]Entry!$G$552="","",[2]Entry!$G$552)</f>
        <v/>
      </c>
      <c r="AB549">
        <f>IF([2]Entry!$J$552="","",[2]Entry!$J$552)</f>
        <v/>
      </c>
      <c r="AC549">
        <f>IF([2]Entry!$K$552="","",[2]Entry!$K$552)</f>
        <v/>
      </c>
      <c r="AD549">
        <f>IF([2]Entry!$L$552="","",[2]Entry!$L$552)</f>
        <v/>
      </c>
      <c r="AE549">
        <f>IF([2]Entry!$M$552="","",[2]Entry!$M$552)</f>
        <v/>
      </c>
      <c r="AF549">
        <f>IF([2]Entry!$N$552="","",[2]Entry!$N$552)</f>
        <v/>
      </c>
      <c r="AJ549">
        <f>IF([2]Entry!$S$552="","",[2]Entry!$S$552)</f>
        <v/>
      </c>
      <c r="AK549">
        <f>IF([2]Entry!$C$552="","",[2]Entry!$C$552)</f>
        <v/>
      </c>
      <c r="AL549">
        <f>IF([2]Entry!$D$552="","",[2]Entry!$D$552)</f>
        <v/>
      </c>
      <c r="AM549">
        <f>IF(AND($F549&lt;&gt;"",$I549&lt;&gt;""),IF($G549="دارایی ثابت",1,0),0)</f>
        <v/>
      </c>
      <c r="AN549">
        <f>SUM($AM$6:$AM549)</f>
        <v/>
      </c>
      <c r="AO549">
        <f>IFERROR(INDEX($F$6:$F$565,MATCH(ROW()-5,$AN$6:$AN$565,0)),"")</f>
        <v/>
      </c>
      <c r="AP549">
        <f>IF(AND($F549&lt;&gt;"",$I549&lt;&gt;""),IF($G549="وام و تسهیلات",1,0),0)</f>
        <v/>
      </c>
      <c r="AQ549">
        <f>SUM($AP$6:$AP549)</f>
        <v/>
      </c>
      <c r="AR549">
        <f>IFERROR(INDEX($F$6:$F$565,MATCH(ROW()-5,$AQ$6:$AQ$565,0)),"")</f>
        <v/>
      </c>
      <c r="AS549">
        <f>IF(AND($F549&lt;&gt;"",$I549&lt;&gt;""),IF($G549="سرمایه و آورده صاحبان",1,0),0)</f>
        <v/>
      </c>
      <c r="AT549">
        <f>SUM($AS$6:$AS549)</f>
        <v/>
      </c>
      <c r="AU549">
        <f>IFERROR(INDEX($F$6:$F$565,MATCH(ROW()-5,$AT$6:$AT$565,0)),"")</f>
        <v/>
      </c>
      <c r="AX549">
        <f>IF([4]Entry!$E$552="","",[4]Entry!$E$552)</f>
        <v/>
      </c>
      <c r="AY549">
        <f>IF([4]Entry!$H$552="","",[4]Entry!$H$552)</f>
        <v/>
      </c>
      <c r="AZ549">
        <f>IF([4]Entry!$I$552="","",[4]Entry!$I$552)</f>
        <v/>
      </c>
    </row>
    <row r="550">
      <c r="F550">
        <f>IF([1]Accounts!$D$551="","",[1]Accounts!$A$551)</f>
        <v/>
      </c>
      <c r="G550">
        <f>IF([1]Accounts!$D$551="","",[1]Accounts!$B$551)</f>
        <v/>
      </c>
      <c r="H550">
        <f>IF([1]Accounts!$D$551="","",[1]Accounts!$C$551)</f>
        <v/>
      </c>
      <c r="I550">
        <f>IF([1]Accounts!$D$551="","",[1]Accounts!$D$551)</f>
        <v/>
      </c>
      <c r="R550">
        <f>IF(AND($F550&lt;&gt;"",$I550&lt;&gt;""),IF(OR($G550="دارایی ثابت",$G550="وام و تسهیلات",$G550="سرمایه و آورده صاحبان"),0,1),0)</f>
        <v/>
      </c>
      <c r="S550">
        <f>SUM($R$6:$R550)</f>
        <v/>
      </c>
      <c r="T550">
        <f>IFERROR(INDEX($F$6:$F$565,MATCH(ROW()-5,$S$6:$S$565,0)),"")</f>
        <v/>
      </c>
      <c r="Z550">
        <f>IF([2]Entry!$E$553="","",[2]Entry!$E$553)</f>
        <v/>
      </c>
      <c r="AA550">
        <f>IF([2]Entry!$G$553="","",[2]Entry!$G$553)</f>
        <v/>
      </c>
      <c r="AB550">
        <f>IF([2]Entry!$J$553="","",[2]Entry!$J$553)</f>
        <v/>
      </c>
      <c r="AC550">
        <f>IF([2]Entry!$K$553="","",[2]Entry!$K$553)</f>
        <v/>
      </c>
      <c r="AD550">
        <f>IF([2]Entry!$L$553="","",[2]Entry!$L$553)</f>
        <v/>
      </c>
      <c r="AE550">
        <f>IF([2]Entry!$M$553="","",[2]Entry!$M$553)</f>
        <v/>
      </c>
      <c r="AF550">
        <f>IF([2]Entry!$N$553="","",[2]Entry!$N$553)</f>
        <v/>
      </c>
      <c r="AJ550">
        <f>IF([2]Entry!$S$553="","",[2]Entry!$S$553)</f>
        <v/>
      </c>
      <c r="AK550">
        <f>IF([2]Entry!$C$553="","",[2]Entry!$C$553)</f>
        <v/>
      </c>
      <c r="AL550">
        <f>IF([2]Entry!$D$553="","",[2]Entry!$D$553)</f>
        <v/>
      </c>
      <c r="AM550">
        <f>IF(AND($F550&lt;&gt;"",$I550&lt;&gt;""),IF($G550="دارایی ثابت",1,0),0)</f>
        <v/>
      </c>
      <c r="AN550">
        <f>SUM($AM$6:$AM550)</f>
        <v/>
      </c>
      <c r="AO550">
        <f>IFERROR(INDEX($F$6:$F$565,MATCH(ROW()-5,$AN$6:$AN$565,0)),"")</f>
        <v/>
      </c>
      <c r="AP550">
        <f>IF(AND($F550&lt;&gt;"",$I550&lt;&gt;""),IF($G550="وام و تسهیلات",1,0),0)</f>
        <v/>
      </c>
      <c r="AQ550">
        <f>SUM($AP$6:$AP550)</f>
        <v/>
      </c>
      <c r="AR550">
        <f>IFERROR(INDEX($F$6:$F$565,MATCH(ROW()-5,$AQ$6:$AQ$565,0)),"")</f>
        <v/>
      </c>
      <c r="AS550">
        <f>IF(AND($F550&lt;&gt;"",$I550&lt;&gt;""),IF($G550="سرمایه و آورده صاحبان",1,0),0)</f>
        <v/>
      </c>
      <c r="AT550">
        <f>SUM($AS$6:$AS550)</f>
        <v/>
      </c>
      <c r="AU550">
        <f>IFERROR(INDEX($F$6:$F$565,MATCH(ROW()-5,$AT$6:$AT$565,0)),"")</f>
        <v/>
      </c>
      <c r="AX550">
        <f>IF([4]Entry!$E$553="","",[4]Entry!$E$553)</f>
        <v/>
      </c>
      <c r="AY550">
        <f>IF([4]Entry!$H$553="","",[4]Entry!$H$553)</f>
        <v/>
      </c>
      <c r="AZ550">
        <f>IF([4]Entry!$I$553="","",[4]Entry!$I$553)</f>
        <v/>
      </c>
    </row>
    <row r="551">
      <c r="F551">
        <f>IF([1]Accounts!$D$552="","",[1]Accounts!$A$552)</f>
        <v/>
      </c>
      <c r="G551">
        <f>IF([1]Accounts!$D$552="","",[1]Accounts!$B$552)</f>
        <v/>
      </c>
      <c r="H551">
        <f>IF([1]Accounts!$D$552="","",[1]Accounts!$C$552)</f>
        <v/>
      </c>
      <c r="I551">
        <f>IF([1]Accounts!$D$552="","",[1]Accounts!$D$552)</f>
        <v/>
      </c>
      <c r="R551">
        <f>IF(AND($F551&lt;&gt;"",$I551&lt;&gt;""),IF(OR($G551="دارایی ثابت",$G551="وام و تسهیلات",$G551="سرمایه و آورده صاحبان"),0,1),0)</f>
        <v/>
      </c>
      <c r="S551">
        <f>SUM($R$6:$R551)</f>
        <v/>
      </c>
      <c r="T551">
        <f>IFERROR(INDEX($F$6:$F$565,MATCH(ROW()-5,$S$6:$S$565,0)),"")</f>
        <v/>
      </c>
      <c r="Z551">
        <f>IF([2]Entry!$E$554="","",[2]Entry!$E$554)</f>
        <v/>
      </c>
      <c r="AA551">
        <f>IF([2]Entry!$G$554="","",[2]Entry!$G$554)</f>
        <v/>
      </c>
      <c r="AB551">
        <f>IF([2]Entry!$J$554="","",[2]Entry!$J$554)</f>
        <v/>
      </c>
      <c r="AC551">
        <f>IF([2]Entry!$K$554="","",[2]Entry!$K$554)</f>
        <v/>
      </c>
      <c r="AD551">
        <f>IF([2]Entry!$L$554="","",[2]Entry!$L$554)</f>
        <v/>
      </c>
      <c r="AE551">
        <f>IF([2]Entry!$M$554="","",[2]Entry!$M$554)</f>
        <v/>
      </c>
      <c r="AF551">
        <f>IF([2]Entry!$N$554="","",[2]Entry!$N$554)</f>
        <v/>
      </c>
      <c r="AJ551">
        <f>IF([2]Entry!$S$554="","",[2]Entry!$S$554)</f>
        <v/>
      </c>
      <c r="AK551">
        <f>IF([2]Entry!$C$554="","",[2]Entry!$C$554)</f>
        <v/>
      </c>
      <c r="AL551">
        <f>IF([2]Entry!$D$554="","",[2]Entry!$D$554)</f>
        <v/>
      </c>
      <c r="AM551">
        <f>IF(AND($F551&lt;&gt;"",$I551&lt;&gt;""),IF($G551="دارایی ثابت",1,0),0)</f>
        <v/>
      </c>
      <c r="AN551">
        <f>SUM($AM$6:$AM551)</f>
        <v/>
      </c>
      <c r="AO551">
        <f>IFERROR(INDEX($F$6:$F$565,MATCH(ROW()-5,$AN$6:$AN$565,0)),"")</f>
        <v/>
      </c>
      <c r="AP551">
        <f>IF(AND($F551&lt;&gt;"",$I551&lt;&gt;""),IF($G551="وام و تسهیلات",1,0),0)</f>
        <v/>
      </c>
      <c r="AQ551">
        <f>SUM($AP$6:$AP551)</f>
        <v/>
      </c>
      <c r="AR551">
        <f>IFERROR(INDEX($F$6:$F$565,MATCH(ROW()-5,$AQ$6:$AQ$565,0)),"")</f>
        <v/>
      </c>
      <c r="AS551">
        <f>IF(AND($F551&lt;&gt;"",$I551&lt;&gt;""),IF($G551="سرمایه و آورده صاحبان",1,0),0)</f>
        <v/>
      </c>
      <c r="AT551">
        <f>SUM($AS$6:$AS551)</f>
        <v/>
      </c>
      <c r="AU551">
        <f>IFERROR(INDEX($F$6:$F$565,MATCH(ROW()-5,$AT$6:$AT$565,0)),"")</f>
        <v/>
      </c>
      <c r="AX551">
        <f>IF([4]Entry!$E$554="","",[4]Entry!$E$554)</f>
        <v/>
      </c>
      <c r="AY551">
        <f>IF([4]Entry!$H$554="","",[4]Entry!$H$554)</f>
        <v/>
      </c>
      <c r="AZ551">
        <f>IF([4]Entry!$I$554="","",[4]Entry!$I$554)</f>
        <v/>
      </c>
    </row>
    <row r="552">
      <c r="F552">
        <f>IF([1]Accounts!$D$553="","",[1]Accounts!$A$553)</f>
        <v/>
      </c>
      <c r="G552">
        <f>IF([1]Accounts!$D$553="","",[1]Accounts!$B$553)</f>
        <v/>
      </c>
      <c r="H552">
        <f>IF([1]Accounts!$D$553="","",[1]Accounts!$C$553)</f>
        <v/>
      </c>
      <c r="I552">
        <f>IF([1]Accounts!$D$553="","",[1]Accounts!$D$553)</f>
        <v/>
      </c>
      <c r="R552">
        <f>IF(AND($F552&lt;&gt;"",$I552&lt;&gt;""),IF(OR($G552="دارایی ثابت",$G552="وام و تسهیلات",$G552="سرمایه و آورده صاحبان"),0,1),0)</f>
        <v/>
      </c>
      <c r="S552">
        <f>SUM($R$6:$R552)</f>
        <v/>
      </c>
      <c r="T552">
        <f>IFERROR(INDEX($F$6:$F$565,MATCH(ROW()-5,$S$6:$S$565,0)),"")</f>
        <v/>
      </c>
      <c r="Z552">
        <f>IF([2]Entry!$E$555="","",[2]Entry!$E$555)</f>
        <v/>
      </c>
      <c r="AA552">
        <f>IF([2]Entry!$G$555="","",[2]Entry!$G$555)</f>
        <v/>
      </c>
      <c r="AB552">
        <f>IF([2]Entry!$J$555="","",[2]Entry!$J$555)</f>
        <v/>
      </c>
      <c r="AC552">
        <f>IF([2]Entry!$K$555="","",[2]Entry!$K$555)</f>
        <v/>
      </c>
      <c r="AD552">
        <f>IF([2]Entry!$L$555="","",[2]Entry!$L$555)</f>
        <v/>
      </c>
      <c r="AE552">
        <f>IF([2]Entry!$M$555="","",[2]Entry!$M$555)</f>
        <v/>
      </c>
      <c r="AF552">
        <f>IF([2]Entry!$N$555="","",[2]Entry!$N$555)</f>
        <v/>
      </c>
      <c r="AJ552">
        <f>IF([2]Entry!$S$555="","",[2]Entry!$S$555)</f>
        <v/>
      </c>
      <c r="AK552">
        <f>IF([2]Entry!$C$555="","",[2]Entry!$C$555)</f>
        <v/>
      </c>
      <c r="AL552">
        <f>IF([2]Entry!$D$555="","",[2]Entry!$D$555)</f>
        <v/>
      </c>
      <c r="AM552">
        <f>IF(AND($F552&lt;&gt;"",$I552&lt;&gt;""),IF($G552="دارایی ثابت",1,0),0)</f>
        <v/>
      </c>
      <c r="AN552">
        <f>SUM($AM$6:$AM552)</f>
        <v/>
      </c>
      <c r="AO552">
        <f>IFERROR(INDEX($F$6:$F$565,MATCH(ROW()-5,$AN$6:$AN$565,0)),"")</f>
        <v/>
      </c>
      <c r="AP552">
        <f>IF(AND($F552&lt;&gt;"",$I552&lt;&gt;""),IF($G552="وام و تسهیلات",1,0),0)</f>
        <v/>
      </c>
      <c r="AQ552">
        <f>SUM($AP$6:$AP552)</f>
        <v/>
      </c>
      <c r="AR552">
        <f>IFERROR(INDEX($F$6:$F$565,MATCH(ROW()-5,$AQ$6:$AQ$565,0)),"")</f>
        <v/>
      </c>
      <c r="AS552">
        <f>IF(AND($F552&lt;&gt;"",$I552&lt;&gt;""),IF($G552="سرمایه و آورده صاحبان",1,0),0)</f>
        <v/>
      </c>
      <c r="AT552">
        <f>SUM($AS$6:$AS552)</f>
        <v/>
      </c>
      <c r="AU552">
        <f>IFERROR(INDEX($F$6:$F$565,MATCH(ROW()-5,$AT$6:$AT$565,0)),"")</f>
        <v/>
      </c>
      <c r="AX552">
        <f>IF([4]Entry!$E$555="","",[4]Entry!$E$555)</f>
        <v/>
      </c>
      <c r="AY552">
        <f>IF([4]Entry!$H$555="","",[4]Entry!$H$555)</f>
        <v/>
      </c>
      <c r="AZ552">
        <f>IF([4]Entry!$I$555="","",[4]Entry!$I$555)</f>
        <v/>
      </c>
    </row>
    <row r="553">
      <c r="F553">
        <f>IF([1]Accounts!$D$554="","",[1]Accounts!$A$554)</f>
        <v/>
      </c>
      <c r="G553">
        <f>IF([1]Accounts!$D$554="","",[1]Accounts!$B$554)</f>
        <v/>
      </c>
      <c r="H553">
        <f>IF([1]Accounts!$D$554="","",[1]Accounts!$C$554)</f>
        <v/>
      </c>
      <c r="I553">
        <f>IF([1]Accounts!$D$554="","",[1]Accounts!$D$554)</f>
        <v/>
      </c>
      <c r="R553">
        <f>IF(AND($F553&lt;&gt;"",$I553&lt;&gt;""),IF(OR($G553="دارایی ثابت",$G553="وام و تسهیلات",$G553="سرمایه و آورده صاحبان"),0,1),0)</f>
        <v/>
      </c>
      <c r="S553">
        <f>SUM($R$6:$R553)</f>
        <v/>
      </c>
      <c r="T553">
        <f>IFERROR(INDEX($F$6:$F$565,MATCH(ROW()-5,$S$6:$S$565,0)),"")</f>
        <v/>
      </c>
      <c r="Z553">
        <f>IF([2]Entry!$E$556="","",[2]Entry!$E$556)</f>
        <v/>
      </c>
      <c r="AA553">
        <f>IF([2]Entry!$G$556="","",[2]Entry!$G$556)</f>
        <v/>
      </c>
      <c r="AB553">
        <f>IF([2]Entry!$J$556="","",[2]Entry!$J$556)</f>
        <v/>
      </c>
      <c r="AC553">
        <f>IF([2]Entry!$K$556="","",[2]Entry!$K$556)</f>
        <v/>
      </c>
      <c r="AD553">
        <f>IF([2]Entry!$L$556="","",[2]Entry!$L$556)</f>
        <v/>
      </c>
      <c r="AE553">
        <f>IF([2]Entry!$M$556="","",[2]Entry!$M$556)</f>
        <v/>
      </c>
      <c r="AF553">
        <f>IF([2]Entry!$N$556="","",[2]Entry!$N$556)</f>
        <v/>
      </c>
      <c r="AJ553">
        <f>IF([2]Entry!$S$556="","",[2]Entry!$S$556)</f>
        <v/>
      </c>
      <c r="AK553">
        <f>IF([2]Entry!$C$556="","",[2]Entry!$C$556)</f>
        <v/>
      </c>
      <c r="AL553">
        <f>IF([2]Entry!$D$556="","",[2]Entry!$D$556)</f>
        <v/>
      </c>
      <c r="AM553">
        <f>IF(AND($F553&lt;&gt;"",$I553&lt;&gt;""),IF($G553="دارایی ثابت",1,0),0)</f>
        <v/>
      </c>
      <c r="AN553">
        <f>SUM($AM$6:$AM553)</f>
        <v/>
      </c>
      <c r="AO553">
        <f>IFERROR(INDEX($F$6:$F$565,MATCH(ROW()-5,$AN$6:$AN$565,0)),"")</f>
        <v/>
      </c>
      <c r="AP553">
        <f>IF(AND($F553&lt;&gt;"",$I553&lt;&gt;""),IF($G553="وام و تسهیلات",1,0),0)</f>
        <v/>
      </c>
      <c r="AQ553">
        <f>SUM($AP$6:$AP553)</f>
        <v/>
      </c>
      <c r="AR553">
        <f>IFERROR(INDEX($F$6:$F$565,MATCH(ROW()-5,$AQ$6:$AQ$565,0)),"")</f>
        <v/>
      </c>
      <c r="AS553">
        <f>IF(AND($F553&lt;&gt;"",$I553&lt;&gt;""),IF($G553="سرمایه و آورده صاحبان",1,0),0)</f>
        <v/>
      </c>
      <c r="AT553">
        <f>SUM($AS$6:$AS553)</f>
        <v/>
      </c>
      <c r="AU553">
        <f>IFERROR(INDEX($F$6:$F$565,MATCH(ROW()-5,$AT$6:$AT$565,0)),"")</f>
        <v/>
      </c>
      <c r="AX553">
        <f>IF([4]Entry!$E$556="","",[4]Entry!$E$556)</f>
        <v/>
      </c>
      <c r="AY553">
        <f>IF([4]Entry!$H$556="","",[4]Entry!$H$556)</f>
        <v/>
      </c>
      <c r="AZ553">
        <f>IF([4]Entry!$I$556="","",[4]Entry!$I$556)</f>
        <v/>
      </c>
    </row>
    <row r="554">
      <c r="F554">
        <f>IF([1]Accounts!$D$555="","",[1]Accounts!$A$555)</f>
        <v/>
      </c>
      <c r="G554">
        <f>IF([1]Accounts!$D$555="","",[1]Accounts!$B$555)</f>
        <v/>
      </c>
      <c r="H554">
        <f>IF([1]Accounts!$D$555="","",[1]Accounts!$C$555)</f>
        <v/>
      </c>
      <c r="I554">
        <f>IF([1]Accounts!$D$555="","",[1]Accounts!$D$555)</f>
        <v/>
      </c>
      <c r="R554">
        <f>IF(AND($F554&lt;&gt;"",$I554&lt;&gt;""),IF(OR($G554="دارایی ثابت",$G554="وام و تسهیلات",$G554="سرمایه و آورده صاحبان"),0,1),0)</f>
        <v/>
      </c>
      <c r="S554">
        <f>SUM($R$6:$R554)</f>
        <v/>
      </c>
      <c r="T554">
        <f>IFERROR(INDEX($F$6:$F$565,MATCH(ROW()-5,$S$6:$S$565,0)),"")</f>
        <v/>
      </c>
      <c r="Z554">
        <f>IF([2]Entry!$E$557="","",[2]Entry!$E$557)</f>
        <v/>
      </c>
      <c r="AA554">
        <f>IF([2]Entry!$G$557="","",[2]Entry!$G$557)</f>
        <v/>
      </c>
      <c r="AB554">
        <f>IF([2]Entry!$J$557="","",[2]Entry!$J$557)</f>
        <v/>
      </c>
      <c r="AC554">
        <f>IF([2]Entry!$K$557="","",[2]Entry!$K$557)</f>
        <v/>
      </c>
      <c r="AD554">
        <f>IF([2]Entry!$L$557="","",[2]Entry!$L$557)</f>
        <v/>
      </c>
      <c r="AE554">
        <f>IF([2]Entry!$M$557="","",[2]Entry!$M$557)</f>
        <v/>
      </c>
      <c r="AF554">
        <f>IF([2]Entry!$N$557="","",[2]Entry!$N$557)</f>
        <v/>
      </c>
      <c r="AJ554">
        <f>IF([2]Entry!$S$557="","",[2]Entry!$S$557)</f>
        <v/>
      </c>
      <c r="AK554">
        <f>IF([2]Entry!$C$557="","",[2]Entry!$C$557)</f>
        <v/>
      </c>
      <c r="AL554">
        <f>IF([2]Entry!$D$557="","",[2]Entry!$D$557)</f>
        <v/>
      </c>
      <c r="AM554">
        <f>IF(AND($F554&lt;&gt;"",$I554&lt;&gt;""),IF($G554="دارایی ثابت",1,0),0)</f>
        <v/>
      </c>
      <c r="AN554">
        <f>SUM($AM$6:$AM554)</f>
        <v/>
      </c>
      <c r="AO554">
        <f>IFERROR(INDEX($F$6:$F$565,MATCH(ROW()-5,$AN$6:$AN$565,0)),"")</f>
        <v/>
      </c>
      <c r="AP554">
        <f>IF(AND($F554&lt;&gt;"",$I554&lt;&gt;""),IF($G554="وام و تسهیلات",1,0),0)</f>
        <v/>
      </c>
      <c r="AQ554">
        <f>SUM($AP$6:$AP554)</f>
        <v/>
      </c>
      <c r="AR554">
        <f>IFERROR(INDEX($F$6:$F$565,MATCH(ROW()-5,$AQ$6:$AQ$565,0)),"")</f>
        <v/>
      </c>
      <c r="AS554">
        <f>IF(AND($F554&lt;&gt;"",$I554&lt;&gt;""),IF($G554="سرمایه و آورده صاحبان",1,0),0)</f>
        <v/>
      </c>
      <c r="AT554">
        <f>SUM($AS$6:$AS554)</f>
        <v/>
      </c>
      <c r="AU554">
        <f>IFERROR(INDEX($F$6:$F$565,MATCH(ROW()-5,$AT$6:$AT$565,0)),"")</f>
        <v/>
      </c>
      <c r="AX554">
        <f>IF([4]Entry!$E$557="","",[4]Entry!$E$557)</f>
        <v/>
      </c>
      <c r="AY554">
        <f>IF([4]Entry!$H$557="","",[4]Entry!$H$557)</f>
        <v/>
      </c>
      <c r="AZ554">
        <f>IF([4]Entry!$I$557="","",[4]Entry!$I$557)</f>
        <v/>
      </c>
    </row>
    <row r="555">
      <c r="F555">
        <f>IF([1]Accounts!$D$556="","",[1]Accounts!$A$556)</f>
        <v/>
      </c>
      <c r="G555">
        <f>IF([1]Accounts!$D$556="","",[1]Accounts!$B$556)</f>
        <v/>
      </c>
      <c r="H555">
        <f>IF([1]Accounts!$D$556="","",[1]Accounts!$C$556)</f>
        <v/>
      </c>
      <c r="I555">
        <f>IF([1]Accounts!$D$556="","",[1]Accounts!$D$556)</f>
        <v/>
      </c>
      <c r="R555">
        <f>IF(AND($F555&lt;&gt;"",$I555&lt;&gt;""),IF(OR($G555="دارایی ثابت",$G555="وام و تسهیلات",$G555="سرمایه و آورده صاحبان"),0,1),0)</f>
        <v/>
      </c>
      <c r="S555">
        <f>SUM($R$6:$R555)</f>
        <v/>
      </c>
      <c r="T555">
        <f>IFERROR(INDEX($F$6:$F$565,MATCH(ROW()-5,$S$6:$S$565,0)),"")</f>
        <v/>
      </c>
      <c r="Z555">
        <f>IF([2]Entry!$E$558="","",[2]Entry!$E$558)</f>
        <v/>
      </c>
      <c r="AA555">
        <f>IF([2]Entry!$G$558="","",[2]Entry!$G$558)</f>
        <v/>
      </c>
      <c r="AB555">
        <f>IF([2]Entry!$J$558="","",[2]Entry!$J$558)</f>
        <v/>
      </c>
      <c r="AC555">
        <f>IF([2]Entry!$K$558="","",[2]Entry!$K$558)</f>
        <v/>
      </c>
      <c r="AD555">
        <f>IF([2]Entry!$L$558="","",[2]Entry!$L$558)</f>
        <v/>
      </c>
      <c r="AE555">
        <f>IF([2]Entry!$M$558="","",[2]Entry!$M$558)</f>
        <v/>
      </c>
      <c r="AF555">
        <f>IF([2]Entry!$N$558="","",[2]Entry!$N$558)</f>
        <v/>
      </c>
      <c r="AJ555">
        <f>IF([2]Entry!$S$558="","",[2]Entry!$S$558)</f>
        <v/>
      </c>
      <c r="AK555">
        <f>IF([2]Entry!$C$558="","",[2]Entry!$C$558)</f>
        <v/>
      </c>
      <c r="AL555">
        <f>IF([2]Entry!$D$558="","",[2]Entry!$D$558)</f>
        <v/>
      </c>
      <c r="AM555">
        <f>IF(AND($F555&lt;&gt;"",$I555&lt;&gt;""),IF($G555="دارایی ثابت",1,0),0)</f>
        <v/>
      </c>
      <c r="AN555">
        <f>SUM($AM$6:$AM555)</f>
        <v/>
      </c>
      <c r="AO555">
        <f>IFERROR(INDEX($F$6:$F$565,MATCH(ROW()-5,$AN$6:$AN$565,0)),"")</f>
        <v/>
      </c>
      <c r="AP555">
        <f>IF(AND($F555&lt;&gt;"",$I555&lt;&gt;""),IF($G555="وام و تسهیلات",1,0),0)</f>
        <v/>
      </c>
      <c r="AQ555">
        <f>SUM($AP$6:$AP555)</f>
        <v/>
      </c>
      <c r="AR555">
        <f>IFERROR(INDEX($F$6:$F$565,MATCH(ROW()-5,$AQ$6:$AQ$565,0)),"")</f>
        <v/>
      </c>
      <c r="AS555">
        <f>IF(AND($F555&lt;&gt;"",$I555&lt;&gt;""),IF($G555="سرمایه و آورده صاحبان",1,0),0)</f>
        <v/>
      </c>
      <c r="AT555">
        <f>SUM($AS$6:$AS555)</f>
        <v/>
      </c>
      <c r="AU555">
        <f>IFERROR(INDEX($F$6:$F$565,MATCH(ROW()-5,$AT$6:$AT$565,0)),"")</f>
        <v/>
      </c>
      <c r="AX555">
        <f>IF([4]Entry!$E$558="","",[4]Entry!$E$558)</f>
        <v/>
      </c>
      <c r="AY555">
        <f>IF([4]Entry!$H$558="","",[4]Entry!$H$558)</f>
        <v/>
      </c>
      <c r="AZ555">
        <f>IF([4]Entry!$I$558="","",[4]Entry!$I$558)</f>
        <v/>
      </c>
    </row>
    <row r="556">
      <c r="F556">
        <f>IF([1]Accounts!$D$557="","",[1]Accounts!$A$557)</f>
        <v/>
      </c>
      <c r="G556">
        <f>IF([1]Accounts!$D$557="","",[1]Accounts!$B$557)</f>
        <v/>
      </c>
      <c r="H556">
        <f>IF([1]Accounts!$D$557="","",[1]Accounts!$C$557)</f>
        <v/>
      </c>
      <c r="I556">
        <f>IF([1]Accounts!$D$557="","",[1]Accounts!$D$557)</f>
        <v/>
      </c>
      <c r="R556">
        <f>IF(AND($F556&lt;&gt;"",$I556&lt;&gt;""),IF(OR($G556="دارایی ثابت",$G556="وام و تسهیلات",$G556="سرمایه و آورده صاحبان"),0,1),0)</f>
        <v/>
      </c>
      <c r="S556">
        <f>SUM($R$6:$R556)</f>
        <v/>
      </c>
      <c r="T556">
        <f>IFERROR(INDEX($F$6:$F$565,MATCH(ROW()-5,$S$6:$S$565,0)),"")</f>
        <v/>
      </c>
      <c r="Z556">
        <f>IF([2]Entry!$E$559="","",[2]Entry!$E$559)</f>
        <v/>
      </c>
      <c r="AA556">
        <f>IF([2]Entry!$G$559="","",[2]Entry!$G$559)</f>
        <v/>
      </c>
      <c r="AB556">
        <f>IF([2]Entry!$J$559="","",[2]Entry!$J$559)</f>
        <v/>
      </c>
      <c r="AC556">
        <f>IF([2]Entry!$K$559="","",[2]Entry!$K$559)</f>
        <v/>
      </c>
      <c r="AD556">
        <f>IF([2]Entry!$L$559="","",[2]Entry!$L$559)</f>
        <v/>
      </c>
      <c r="AE556">
        <f>IF([2]Entry!$M$559="","",[2]Entry!$M$559)</f>
        <v/>
      </c>
      <c r="AF556">
        <f>IF([2]Entry!$N$559="","",[2]Entry!$N$559)</f>
        <v/>
      </c>
      <c r="AJ556">
        <f>IF([2]Entry!$S$559="","",[2]Entry!$S$559)</f>
        <v/>
      </c>
      <c r="AK556">
        <f>IF([2]Entry!$C$559="","",[2]Entry!$C$559)</f>
        <v/>
      </c>
      <c r="AL556">
        <f>IF([2]Entry!$D$559="","",[2]Entry!$D$559)</f>
        <v/>
      </c>
      <c r="AM556">
        <f>IF(AND($F556&lt;&gt;"",$I556&lt;&gt;""),IF($G556="دارایی ثابت",1,0),0)</f>
        <v/>
      </c>
      <c r="AN556">
        <f>SUM($AM$6:$AM556)</f>
        <v/>
      </c>
      <c r="AO556">
        <f>IFERROR(INDEX($F$6:$F$565,MATCH(ROW()-5,$AN$6:$AN$565,0)),"")</f>
        <v/>
      </c>
      <c r="AP556">
        <f>IF(AND($F556&lt;&gt;"",$I556&lt;&gt;""),IF($G556="وام و تسهیلات",1,0),0)</f>
        <v/>
      </c>
      <c r="AQ556">
        <f>SUM($AP$6:$AP556)</f>
        <v/>
      </c>
      <c r="AR556">
        <f>IFERROR(INDEX($F$6:$F$565,MATCH(ROW()-5,$AQ$6:$AQ$565,0)),"")</f>
        <v/>
      </c>
      <c r="AS556">
        <f>IF(AND($F556&lt;&gt;"",$I556&lt;&gt;""),IF($G556="سرمایه و آورده صاحبان",1,0),0)</f>
        <v/>
      </c>
      <c r="AT556">
        <f>SUM($AS$6:$AS556)</f>
        <v/>
      </c>
      <c r="AU556">
        <f>IFERROR(INDEX($F$6:$F$565,MATCH(ROW()-5,$AT$6:$AT$565,0)),"")</f>
        <v/>
      </c>
      <c r="AX556">
        <f>IF([4]Entry!$E$559="","",[4]Entry!$E$559)</f>
        <v/>
      </c>
      <c r="AY556">
        <f>IF([4]Entry!$H$559="","",[4]Entry!$H$559)</f>
        <v/>
      </c>
      <c r="AZ556">
        <f>IF([4]Entry!$I$559="","",[4]Entry!$I$559)</f>
        <v/>
      </c>
    </row>
    <row r="557">
      <c r="F557">
        <f>IF([1]Accounts!$D$558="","",[1]Accounts!$A$558)</f>
        <v/>
      </c>
      <c r="G557">
        <f>IF([1]Accounts!$D$558="","",[1]Accounts!$B$558)</f>
        <v/>
      </c>
      <c r="H557">
        <f>IF([1]Accounts!$D$558="","",[1]Accounts!$C$558)</f>
        <v/>
      </c>
      <c r="I557">
        <f>IF([1]Accounts!$D$558="","",[1]Accounts!$D$558)</f>
        <v/>
      </c>
      <c r="R557">
        <f>IF(AND($F557&lt;&gt;"",$I557&lt;&gt;""),IF(OR($G557="دارایی ثابت",$G557="وام و تسهیلات",$G557="سرمایه و آورده صاحبان"),0,1),0)</f>
        <v/>
      </c>
      <c r="S557">
        <f>SUM($R$6:$R557)</f>
        <v/>
      </c>
      <c r="T557">
        <f>IFERROR(INDEX($F$6:$F$565,MATCH(ROW()-5,$S$6:$S$565,0)),"")</f>
        <v/>
      </c>
      <c r="Z557">
        <f>IF([2]Entry!$E$560="","",[2]Entry!$E$560)</f>
        <v/>
      </c>
      <c r="AA557">
        <f>IF([2]Entry!$G$560="","",[2]Entry!$G$560)</f>
        <v/>
      </c>
      <c r="AB557">
        <f>IF([2]Entry!$J$560="","",[2]Entry!$J$560)</f>
        <v/>
      </c>
      <c r="AC557">
        <f>IF([2]Entry!$K$560="","",[2]Entry!$K$560)</f>
        <v/>
      </c>
      <c r="AD557">
        <f>IF([2]Entry!$L$560="","",[2]Entry!$L$560)</f>
        <v/>
      </c>
      <c r="AE557">
        <f>IF([2]Entry!$M$560="","",[2]Entry!$M$560)</f>
        <v/>
      </c>
      <c r="AF557">
        <f>IF([2]Entry!$N$560="","",[2]Entry!$N$560)</f>
        <v/>
      </c>
      <c r="AJ557">
        <f>IF([2]Entry!$S$560="","",[2]Entry!$S$560)</f>
        <v/>
      </c>
      <c r="AK557">
        <f>IF([2]Entry!$C$560="","",[2]Entry!$C$560)</f>
        <v/>
      </c>
      <c r="AL557">
        <f>IF([2]Entry!$D$560="","",[2]Entry!$D$560)</f>
        <v/>
      </c>
      <c r="AM557">
        <f>IF(AND($F557&lt;&gt;"",$I557&lt;&gt;""),IF($G557="دارایی ثابت",1,0),0)</f>
        <v/>
      </c>
      <c r="AN557">
        <f>SUM($AM$6:$AM557)</f>
        <v/>
      </c>
      <c r="AO557">
        <f>IFERROR(INDEX($F$6:$F$565,MATCH(ROW()-5,$AN$6:$AN$565,0)),"")</f>
        <v/>
      </c>
      <c r="AP557">
        <f>IF(AND($F557&lt;&gt;"",$I557&lt;&gt;""),IF($G557="وام و تسهیلات",1,0),0)</f>
        <v/>
      </c>
      <c r="AQ557">
        <f>SUM($AP$6:$AP557)</f>
        <v/>
      </c>
      <c r="AR557">
        <f>IFERROR(INDEX($F$6:$F$565,MATCH(ROW()-5,$AQ$6:$AQ$565,0)),"")</f>
        <v/>
      </c>
      <c r="AS557">
        <f>IF(AND($F557&lt;&gt;"",$I557&lt;&gt;""),IF($G557="سرمایه و آورده صاحبان",1,0),0)</f>
        <v/>
      </c>
      <c r="AT557">
        <f>SUM($AS$6:$AS557)</f>
        <v/>
      </c>
      <c r="AU557">
        <f>IFERROR(INDEX($F$6:$F$565,MATCH(ROW()-5,$AT$6:$AT$565,0)),"")</f>
        <v/>
      </c>
      <c r="AX557">
        <f>IF([4]Entry!$E$560="","",[4]Entry!$E$560)</f>
        <v/>
      </c>
      <c r="AY557">
        <f>IF([4]Entry!$H$560="","",[4]Entry!$H$560)</f>
        <v/>
      </c>
      <c r="AZ557">
        <f>IF([4]Entry!$I$560="","",[4]Entry!$I$560)</f>
        <v/>
      </c>
    </row>
    <row r="558">
      <c r="F558">
        <f>IF([1]Accounts!$D$559="","",[1]Accounts!$A$559)</f>
        <v/>
      </c>
      <c r="G558">
        <f>IF([1]Accounts!$D$559="","",[1]Accounts!$B$559)</f>
        <v/>
      </c>
      <c r="H558">
        <f>IF([1]Accounts!$D$559="","",[1]Accounts!$C$559)</f>
        <v/>
      </c>
      <c r="I558">
        <f>IF([1]Accounts!$D$559="","",[1]Accounts!$D$559)</f>
        <v/>
      </c>
      <c r="R558">
        <f>IF(AND($F558&lt;&gt;"",$I558&lt;&gt;""),IF(OR($G558="دارایی ثابت",$G558="وام و تسهیلات",$G558="سرمایه و آورده صاحبان"),0,1),0)</f>
        <v/>
      </c>
      <c r="S558">
        <f>SUM($R$6:$R558)</f>
        <v/>
      </c>
      <c r="T558">
        <f>IFERROR(INDEX($F$6:$F$565,MATCH(ROW()-5,$S$6:$S$565,0)),"")</f>
        <v/>
      </c>
      <c r="Z558">
        <f>IF([2]Entry!$E$561="","",[2]Entry!$E$561)</f>
        <v/>
      </c>
      <c r="AA558">
        <f>IF([2]Entry!$G$561="","",[2]Entry!$G$561)</f>
        <v/>
      </c>
      <c r="AB558">
        <f>IF([2]Entry!$J$561="","",[2]Entry!$J$561)</f>
        <v/>
      </c>
      <c r="AC558">
        <f>IF([2]Entry!$K$561="","",[2]Entry!$K$561)</f>
        <v/>
      </c>
      <c r="AD558">
        <f>IF([2]Entry!$L$561="","",[2]Entry!$L$561)</f>
        <v/>
      </c>
      <c r="AE558">
        <f>IF([2]Entry!$M$561="","",[2]Entry!$M$561)</f>
        <v/>
      </c>
      <c r="AF558">
        <f>IF([2]Entry!$N$561="","",[2]Entry!$N$561)</f>
        <v/>
      </c>
      <c r="AJ558">
        <f>IF([2]Entry!$S$561="","",[2]Entry!$S$561)</f>
        <v/>
      </c>
      <c r="AK558">
        <f>IF([2]Entry!$C$561="","",[2]Entry!$C$561)</f>
        <v/>
      </c>
      <c r="AL558">
        <f>IF([2]Entry!$D$561="","",[2]Entry!$D$561)</f>
        <v/>
      </c>
      <c r="AM558">
        <f>IF(AND($F558&lt;&gt;"",$I558&lt;&gt;""),IF($G558="دارایی ثابت",1,0),0)</f>
        <v/>
      </c>
      <c r="AN558">
        <f>SUM($AM$6:$AM558)</f>
        <v/>
      </c>
      <c r="AO558">
        <f>IFERROR(INDEX($F$6:$F$565,MATCH(ROW()-5,$AN$6:$AN$565,0)),"")</f>
        <v/>
      </c>
      <c r="AP558">
        <f>IF(AND($F558&lt;&gt;"",$I558&lt;&gt;""),IF($G558="وام و تسهیلات",1,0),0)</f>
        <v/>
      </c>
      <c r="AQ558">
        <f>SUM($AP$6:$AP558)</f>
        <v/>
      </c>
      <c r="AR558">
        <f>IFERROR(INDEX($F$6:$F$565,MATCH(ROW()-5,$AQ$6:$AQ$565,0)),"")</f>
        <v/>
      </c>
      <c r="AS558">
        <f>IF(AND($F558&lt;&gt;"",$I558&lt;&gt;""),IF($G558="سرمایه و آورده صاحبان",1,0),0)</f>
        <v/>
      </c>
      <c r="AT558">
        <f>SUM($AS$6:$AS558)</f>
        <v/>
      </c>
      <c r="AU558">
        <f>IFERROR(INDEX($F$6:$F$565,MATCH(ROW()-5,$AT$6:$AT$565,0)),"")</f>
        <v/>
      </c>
      <c r="AX558">
        <f>IF([4]Entry!$E$561="","",[4]Entry!$E$561)</f>
        <v/>
      </c>
      <c r="AY558">
        <f>IF([4]Entry!$H$561="","",[4]Entry!$H$561)</f>
        <v/>
      </c>
      <c r="AZ558">
        <f>IF([4]Entry!$I$561="","",[4]Entry!$I$561)</f>
        <v/>
      </c>
    </row>
    <row r="559">
      <c r="F559">
        <f>IF([1]Accounts!$D$560="","",[1]Accounts!$A$560)</f>
        <v/>
      </c>
      <c r="G559">
        <f>IF([1]Accounts!$D$560="","",[1]Accounts!$B$560)</f>
        <v/>
      </c>
      <c r="H559">
        <f>IF([1]Accounts!$D$560="","",[1]Accounts!$C$560)</f>
        <v/>
      </c>
      <c r="I559">
        <f>IF([1]Accounts!$D$560="","",[1]Accounts!$D$560)</f>
        <v/>
      </c>
      <c r="R559">
        <f>IF(AND($F559&lt;&gt;"",$I559&lt;&gt;""),IF(OR($G559="دارایی ثابت",$G559="وام و تسهیلات",$G559="سرمایه و آورده صاحبان"),0,1),0)</f>
        <v/>
      </c>
      <c r="S559">
        <f>SUM($R$6:$R559)</f>
        <v/>
      </c>
      <c r="T559">
        <f>IFERROR(INDEX($F$6:$F$565,MATCH(ROW()-5,$S$6:$S$565,0)),"")</f>
        <v/>
      </c>
      <c r="Z559">
        <f>IF([2]Entry!$E$562="","",[2]Entry!$E$562)</f>
        <v/>
      </c>
      <c r="AA559">
        <f>IF([2]Entry!$G$562="","",[2]Entry!$G$562)</f>
        <v/>
      </c>
      <c r="AB559">
        <f>IF([2]Entry!$J$562="","",[2]Entry!$J$562)</f>
        <v/>
      </c>
      <c r="AC559">
        <f>IF([2]Entry!$K$562="","",[2]Entry!$K$562)</f>
        <v/>
      </c>
      <c r="AD559">
        <f>IF([2]Entry!$L$562="","",[2]Entry!$L$562)</f>
        <v/>
      </c>
      <c r="AE559">
        <f>IF([2]Entry!$M$562="","",[2]Entry!$M$562)</f>
        <v/>
      </c>
      <c r="AF559">
        <f>IF([2]Entry!$N$562="","",[2]Entry!$N$562)</f>
        <v/>
      </c>
      <c r="AJ559">
        <f>IF([2]Entry!$S$562="","",[2]Entry!$S$562)</f>
        <v/>
      </c>
      <c r="AK559">
        <f>IF([2]Entry!$C$562="","",[2]Entry!$C$562)</f>
        <v/>
      </c>
      <c r="AL559">
        <f>IF([2]Entry!$D$562="","",[2]Entry!$D$562)</f>
        <v/>
      </c>
      <c r="AM559">
        <f>IF(AND($F559&lt;&gt;"",$I559&lt;&gt;""),IF($G559="دارایی ثابت",1,0),0)</f>
        <v/>
      </c>
      <c r="AN559">
        <f>SUM($AM$6:$AM559)</f>
        <v/>
      </c>
      <c r="AO559">
        <f>IFERROR(INDEX($F$6:$F$565,MATCH(ROW()-5,$AN$6:$AN$565,0)),"")</f>
        <v/>
      </c>
      <c r="AP559">
        <f>IF(AND($F559&lt;&gt;"",$I559&lt;&gt;""),IF($G559="وام و تسهیلات",1,0),0)</f>
        <v/>
      </c>
      <c r="AQ559">
        <f>SUM($AP$6:$AP559)</f>
        <v/>
      </c>
      <c r="AR559">
        <f>IFERROR(INDEX($F$6:$F$565,MATCH(ROW()-5,$AQ$6:$AQ$565,0)),"")</f>
        <v/>
      </c>
      <c r="AS559">
        <f>IF(AND($F559&lt;&gt;"",$I559&lt;&gt;""),IF($G559="سرمایه و آورده صاحبان",1,0),0)</f>
        <v/>
      </c>
      <c r="AT559">
        <f>SUM($AS$6:$AS559)</f>
        <v/>
      </c>
      <c r="AU559">
        <f>IFERROR(INDEX($F$6:$F$565,MATCH(ROW()-5,$AT$6:$AT$565,0)),"")</f>
        <v/>
      </c>
      <c r="AX559">
        <f>IF([4]Entry!$E$562="","",[4]Entry!$E$562)</f>
        <v/>
      </c>
      <c r="AY559">
        <f>IF([4]Entry!$H$562="","",[4]Entry!$H$562)</f>
        <v/>
      </c>
      <c r="AZ559">
        <f>IF([4]Entry!$I$562="","",[4]Entry!$I$562)</f>
        <v/>
      </c>
    </row>
    <row r="560">
      <c r="F560">
        <f>IF([1]Accounts!$D$561="","",[1]Accounts!$A$561)</f>
        <v/>
      </c>
      <c r="G560">
        <f>IF([1]Accounts!$D$561="","",[1]Accounts!$B$561)</f>
        <v/>
      </c>
      <c r="H560">
        <f>IF([1]Accounts!$D$561="","",[1]Accounts!$C$561)</f>
        <v/>
      </c>
      <c r="I560">
        <f>IF([1]Accounts!$D$561="","",[1]Accounts!$D$561)</f>
        <v/>
      </c>
      <c r="R560">
        <f>IF(AND($F560&lt;&gt;"",$I560&lt;&gt;""),IF(OR($G560="دارایی ثابت",$G560="وام و تسهیلات",$G560="سرمایه و آورده صاحبان"),0,1),0)</f>
        <v/>
      </c>
      <c r="S560">
        <f>SUM($R$6:$R560)</f>
        <v/>
      </c>
      <c r="T560">
        <f>IFERROR(INDEX($F$6:$F$565,MATCH(ROW()-5,$S$6:$S$565,0)),"")</f>
        <v/>
      </c>
      <c r="Z560">
        <f>IF([2]Entry!$E$563="","",[2]Entry!$E$563)</f>
        <v/>
      </c>
      <c r="AA560">
        <f>IF([2]Entry!$G$563="","",[2]Entry!$G$563)</f>
        <v/>
      </c>
      <c r="AB560">
        <f>IF([2]Entry!$J$563="","",[2]Entry!$J$563)</f>
        <v/>
      </c>
      <c r="AC560">
        <f>IF([2]Entry!$K$563="","",[2]Entry!$K$563)</f>
        <v/>
      </c>
      <c r="AD560">
        <f>IF([2]Entry!$L$563="","",[2]Entry!$L$563)</f>
        <v/>
      </c>
      <c r="AE560">
        <f>IF([2]Entry!$M$563="","",[2]Entry!$M$563)</f>
        <v/>
      </c>
      <c r="AF560">
        <f>IF([2]Entry!$N$563="","",[2]Entry!$N$563)</f>
        <v/>
      </c>
      <c r="AJ560">
        <f>IF([2]Entry!$S$563="","",[2]Entry!$S$563)</f>
        <v/>
      </c>
      <c r="AK560">
        <f>IF([2]Entry!$C$563="","",[2]Entry!$C$563)</f>
        <v/>
      </c>
      <c r="AL560">
        <f>IF([2]Entry!$D$563="","",[2]Entry!$D$563)</f>
        <v/>
      </c>
      <c r="AM560">
        <f>IF(AND($F560&lt;&gt;"",$I560&lt;&gt;""),IF($G560="دارایی ثابت",1,0),0)</f>
        <v/>
      </c>
      <c r="AN560">
        <f>SUM($AM$6:$AM560)</f>
        <v/>
      </c>
      <c r="AO560">
        <f>IFERROR(INDEX($F$6:$F$565,MATCH(ROW()-5,$AN$6:$AN$565,0)),"")</f>
        <v/>
      </c>
      <c r="AP560">
        <f>IF(AND($F560&lt;&gt;"",$I560&lt;&gt;""),IF($G560="وام و تسهیلات",1,0),0)</f>
        <v/>
      </c>
      <c r="AQ560">
        <f>SUM($AP$6:$AP560)</f>
        <v/>
      </c>
      <c r="AR560">
        <f>IFERROR(INDEX($F$6:$F$565,MATCH(ROW()-5,$AQ$6:$AQ$565,0)),"")</f>
        <v/>
      </c>
      <c r="AS560">
        <f>IF(AND($F560&lt;&gt;"",$I560&lt;&gt;""),IF($G560="سرمایه و آورده صاحبان",1,0),0)</f>
        <v/>
      </c>
      <c r="AT560">
        <f>SUM($AS$6:$AS560)</f>
        <v/>
      </c>
      <c r="AU560">
        <f>IFERROR(INDEX($F$6:$F$565,MATCH(ROW()-5,$AT$6:$AT$565,0)),"")</f>
        <v/>
      </c>
      <c r="AX560">
        <f>IF([4]Entry!$E$563="","",[4]Entry!$E$563)</f>
        <v/>
      </c>
      <c r="AY560">
        <f>IF([4]Entry!$H$563="","",[4]Entry!$H$563)</f>
        <v/>
      </c>
      <c r="AZ560">
        <f>IF([4]Entry!$I$563="","",[4]Entry!$I$563)</f>
        <v/>
      </c>
    </row>
    <row r="561">
      <c r="F561">
        <f>IF([1]Accounts!$D$562="","",[1]Accounts!$A$562)</f>
        <v/>
      </c>
      <c r="G561">
        <f>IF([1]Accounts!$D$562="","",[1]Accounts!$B$562)</f>
        <v/>
      </c>
      <c r="H561">
        <f>IF([1]Accounts!$D$562="","",[1]Accounts!$C$562)</f>
        <v/>
      </c>
      <c r="I561">
        <f>IF([1]Accounts!$D$562="","",[1]Accounts!$D$562)</f>
        <v/>
      </c>
      <c r="R561">
        <f>IF(AND($F561&lt;&gt;"",$I561&lt;&gt;""),IF(OR($G561="دارایی ثابت",$G561="وام و تسهیلات",$G561="سرمایه و آورده صاحبان"),0,1),0)</f>
        <v/>
      </c>
      <c r="S561">
        <f>SUM($R$6:$R561)</f>
        <v/>
      </c>
      <c r="T561">
        <f>IFERROR(INDEX($F$6:$F$565,MATCH(ROW()-5,$S$6:$S$565,0)),"")</f>
        <v/>
      </c>
      <c r="Z561">
        <f>IF([2]Entry!$E$564="","",[2]Entry!$E$564)</f>
        <v/>
      </c>
      <c r="AA561">
        <f>IF([2]Entry!$G$564="","",[2]Entry!$G$564)</f>
        <v/>
      </c>
      <c r="AB561">
        <f>IF([2]Entry!$J$564="","",[2]Entry!$J$564)</f>
        <v/>
      </c>
      <c r="AC561">
        <f>IF([2]Entry!$K$564="","",[2]Entry!$K$564)</f>
        <v/>
      </c>
      <c r="AD561">
        <f>IF([2]Entry!$L$564="","",[2]Entry!$L$564)</f>
        <v/>
      </c>
      <c r="AE561">
        <f>IF([2]Entry!$M$564="","",[2]Entry!$M$564)</f>
        <v/>
      </c>
      <c r="AF561">
        <f>IF([2]Entry!$N$564="","",[2]Entry!$N$564)</f>
        <v/>
      </c>
      <c r="AJ561">
        <f>IF([2]Entry!$S$564="","",[2]Entry!$S$564)</f>
        <v/>
      </c>
      <c r="AK561">
        <f>IF([2]Entry!$C$564="","",[2]Entry!$C$564)</f>
        <v/>
      </c>
      <c r="AL561">
        <f>IF([2]Entry!$D$564="","",[2]Entry!$D$564)</f>
        <v/>
      </c>
      <c r="AM561">
        <f>IF(AND($F561&lt;&gt;"",$I561&lt;&gt;""),IF($G561="دارایی ثابت",1,0),0)</f>
        <v/>
      </c>
      <c r="AN561">
        <f>SUM($AM$6:$AM561)</f>
        <v/>
      </c>
      <c r="AO561">
        <f>IFERROR(INDEX($F$6:$F$565,MATCH(ROW()-5,$AN$6:$AN$565,0)),"")</f>
        <v/>
      </c>
      <c r="AP561">
        <f>IF(AND($F561&lt;&gt;"",$I561&lt;&gt;""),IF($G561="وام و تسهیلات",1,0),0)</f>
        <v/>
      </c>
      <c r="AQ561">
        <f>SUM($AP$6:$AP561)</f>
        <v/>
      </c>
      <c r="AR561">
        <f>IFERROR(INDEX($F$6:$F$565,MATCH(ROW()-5,$AQ$6:$AQ$565,0)),"")</f>
        <v/>
      </c>
      <c r="AS561">
        <f>IF(AND($F561&lt;&gt;"",$I561&lt;&gt;""),IF($G561="سرمایه و آورده صاحبان",1,0),0)</f>
        <v/>
      </c>
      <c r="AT561">
        <f>SUM($AS$6:$AS561)</f>
        <v/>
      </c>
      <c r="AU561">
        <f>IFERROR(INDEX($F$6:$F$565,MATCH(ROW()-5,$AT$6:$AT$565,0)),"")</f>
        <v/>
      </c>
      <c r="AX561">
        <f>IF([4]Entry!$E$564="","",[4]Entry!$E$564)</f>
        <v/>
      </c>
      <c r="AY561">
        <f>IF([4]Entry!$H$564="","",[4]Entry!$H$564)</f>
        <v/>
      </c>
      <c r="AZ561">
        <f>IF([4]Entry!$I$564="","",[4]Entry!$I$564)</f>
        <v/>
      </c>
    </row>
    <row r="562">
      <c r="F562">
        <f>IF([1]Accounts!$D$563="","",[1]Accounts!$A$563)</f>
        <v/>
      </c>
      <c r="G562">
        <f>IF([1]Accounts!$D$563="","",[1]Accounts!$B$563)</f>
        <v/>
      </c>
      <c r="H562">
        <f>IF([1]Accounts!$D$563="","",[1]Accounts!$C$563)</f>
        <v/>
      </c>
      <c r="I562">
        <f>IF([1]Accounts!$D$563="","",[1]Accounts!$D$563)</f>
        <v/>
      </c>
      <c r="R562">
        <f>IF(AND($F562&lt;&gt;"",$I562&lt;&gt;""),IF(OR($G562="دارایی ثابت",$G562="وام و تسهیلات",$G562="سرمایه و آورده صاحبان"),0,1),0)</f>
        <v/>
      </c>
      <c r="S562">
        <f>SUM($R$6:$R562)</f>
        <v/>
      </c>
      <c r="T562">
        <f>IFERROR(INDEX($F$6:$F$565,MATCH(ROW()-5,$S$6:$S$565,0)),"")</f>
        <v/>
      </c>
      <c r="Z562">
        <f>IF([2]Entry!$E$565="","",[2]Entry!$E$565)</f>
        <v/>
      </c>
      <c r="AA562">
        <f>IF([2]Entry!$G$565="","",[2]Entry!$G$565)</f>
        <v/>
      </c>
      <c r="AB562">
        <f>IF([2]Entry!$J$565="","",[2]Entry!$J$565)</f>
        <v/>
      </c>
      <c r="AC562">
        <f>IF([2]Entry!$K$565="","",[2]Entry!$K$565)</f>
        <v/>
      </c>
      <c r="AD562">
        <f>IF([2]Entry!$L$565="","",[2]Entry!$L$565)</f>
        <v/>
      </c>
      <c r="AE562">
        <f>IF([2]Entry!$M$565="","",[2]Entry!$M$565)</f>
        <v/>
      </c>
      <c r="AF562">
        <f>IF([2]Entry!$N$565="","",[2]Entry!$N$565)</f>
        <v/>
      </c>
      <c r="AJ562">
        <f>IF([2]Entry!$S$565="","",[2]Entry!$S$565)</f>
        <v/>
      </c>
      <c r="AK562">
        <f>IF([2]Entry!$C$565="","",[2]Entry!$C$565)</f>
        <v/>
      </c>
      <c r="AL562">
        <f>IF([2]Entry!$D$565="","",[2]Entry!$D$565)</f>
        <v/>
      </c>
      <c r="AM562">
        <f>IF(AND($F562&lt;&gt;"",$I562&lt;&gt;""),IF($G562="دارایی ثابت",1,0),0)</f>
        <v/>
      </c>
      <c r="AN562">
        <f>SUM($AM$6:$AM562)</f>
        <v/>
      </c>
      <c r="AO562">
        <f>IFERROR(INDEX($F$6:$F$565,MATCH(ROW()-5,$AN$6:$AN$565,0)),"")</f>
        <v/>
      </c>
      <c r="AP562">
        <f>IF(AND($F562&lt;&gt;"",$I562&lt;&gt;""),IF($G562="وام و تسهیلات",1,0),0)</f>
        <v/>
      </c>
      <c r="AQ562">
        <f>SUM($AP$6:$AP562)</f>
        <v/>
      </c>
      <c r="AR562">
        <f>IFERROR(INDEX($F$6:$F$565,MATCH(ROW()-5,$AQ$6:$AQ$565,0)),"")</f>
        <v/>
      </c>
      <c r="AS562">
        <f>IF(AND($F562&lt;&gt;"",$I562&lt;&gt;""),IF($G562="سرمایه و آورده صاحبان",1,0),0)</f>
        <v/>
      </c>
      <c r="AT562">
        <f>SUM($AS$6:$AS562)</f>
        <v/>
      </c>
      <c r="AU562">
        <f>IFERROR(INDEX($F$6:$F$565,MATCH(ROW()-5,$AT$6:$AT$565,0)),"")</f>
        <v/>
      </c>
      <c r="AX562">
        <f>IF([4]Entry!$E$565="","",[4]Entry!$E$565)</f>
        <v/>
      </c>
      <c r="AY562">
        <f>IF([4]Entry!$H$565="","",[4]Entry!$H$565)</f>
        <v/>
      </c>
      <c r="AZ562">
        <f>IF([4]Entry!$I$565="","",[4]Entry!$I$565)</f>
        <v/>
      </c>
    </row>
    <row r="563">
      <c r="F563">
        <f>IF([1]Accounts!$D$564="","",[1]Accounts!$A$564)</f>
        <v/>
      </c>
      <c r="G563">
        <f>IF([1]Accounts!$D$564="","",[1]Accounts!$B$564)</f>
        <v/>
      </c>
      <c r="H563">
        <f>IF([1]Accounts!$D$564="","",[1]Accounts!$C$564)</f>
        <v/>
      </c>
      <c r="I563">
        <f>IF([1]Accounts!$D$564="","",[1]Accounts!$D$564)</f>
        <v/>
      </c>
      <c r="R563">
        <f>IF(AND($F563&lt;&gt;"",$I563&lt;&gt;""),IF(OR($G563="دارایی ثابت",$G563="وام و تسهیلات",$G563="سرمایه و آورده صاحبان"),0,1),0)</f>
        <v/>
      </c>
      <c r="S563">
        <f>SUM($R$6:$R563)</f>
        <v/>
      </c>
      <c r="T563">
        <f>IFERROR(INDEX($F$6:$F$565,MATCH(ROW()-5,$S$6:$S$565,0)),"")</f>
        <v/>
      </c>
      <c r="Z563">
        <f>IF([2]Entry!$E$566="","",[2]Entry!$E$566)</f>
        <v/>
      </c>
      <c r="AA563">
        <f>IF([2]Entry!$G$566="","",[2]Entry!$G$566)</f>
        <v/>
      </c>
      <c r="AB563">
        <f>IF([2]Entry!$J$566="","",[2]Entry!$J$566)</f>
        <v/>
      </c>
      <c r="AC563">
        <f>IF([2]Entry!$K$566="","",[2]Entry!$K$566)</f>
        <v/>
      </c>
      <c r="AD563">
        <f>IF([2]Entry!$L$566="","",[2]Entry!$L$566)</f>
        <v/>
      </c>
      <c r="AE563">
        <f>IF([2]Entry!$M$566="","",[2]Entry!$M$566)</f>
        <v/>
      </c>
      <c r="AF563">
        <f>IF([2]Entry!$N$566="","",[2]Entry!$N$566)</f>
        <v/>
      </c>
      <c r="AJ563">
        <f>IF([2]Entry!$S$566="","",[2]Entry!$S$566)</f>
        <v/>
      </c>
      <c r="AK563">
        <f>IF([2]Entry!$C$566="","",[2]Entry!$C$566)</f>
        <v/>
      </c>
      <c r="AL563">
        <f>IF([2]Entry!$D$566="","",[2]Entry!$D$566)</f>
        <v/>
      </c>
      <c r="AM563">
        <f>IF(AND($F563&lt;&gt;"",$I563&lt;&gt;""),IF($G563="دارایی ثابت",1,0),0)</f>
        <v/>
      </c>
      <c r="AN563">
        <f>SUM($AM$6:$AM563)</f>
        <v/>
      </c>
      <c r="AO563">
        <f>IFERROR(INDEX($F$6:$F$565,MATCH(ROW()-5,$AN$6:$AN$565,0)),"")</f>
        <v/>
      </c>
      <c r="AP563">
        <f>IF(AND($F563&lt;&gt;"",$I563&lt;&gt;""),IF($G563="وام و تسهیلات",1,0),0)</f>
        <v/>
      </c>
      <c r="AQ563">
        <f>SUM($AP$6:$AP563)</f>
        <v/>
      </c>
      <c r="AR563">
        <f>IFERROR(INDEX($F$6:$F$565,MATCH(ROW()-5,$AQ$6:$AQ$565,0)),"")</f>
        <v/>
      </c>
      <c r="AS563">
        <f>IF(AND($F563&lt;&gt;"",$I563&lt;&gt;""),IF($G563="سرمایه و آورده صاحبان",1,0),0)</f>
        <v/>
      </c>
      <c r="AT563">
        <f>SUM($AS$6:$AS563)</f>
        <v/>
      </c>
      <c r="AU563">
        <f>IFERROR(INDEX($F$6:$F$565,MATCH(ROW()-5,$AT$6:$AT$565,0)),"")</f>
        <v/>
      </c>
      <c r="AX563">
        <f>IF([4]Entry!$E$566="","",[4]Entry!$E$566)</f>
        <v/>
      </c>
      <c r="AY563">
        <f>IF([4]Entry!$H$566="","",[4]Entry!$H$566)</f>
        <v/>
      </c>
      <c r="AZ563">
        <f>IF([4]Entry!$I$566="","",[4]Entry!$I$566)</f>
        <v/>
      </c>
    </row>
    <row r="564">
      <c r="F564">
        <f>IF([1]Accounts!$D$565="","",[1]Accounts!$A$565)</f>
        <v/>
      </c>
      <c r="G564">
        <f>IF([1]Accounts!$D$565="","",[1]Accounts!$B$565)</f>
        <v/>
      </c>
      <c r="H564">
        <f>IF([1]Accounts!$D$565="","",[1]Accounts!$C$565)</f>
        <v/>
      </c>
      <c r="I564">
        <f>IF([1]Accounts!$D$565="","",[1]Accounts!$D$565)</f>
        <v/>
      </c>
      <c r="R564">
        <f>IF(AND($F564&lt;&gt;"",$I564&lt;&gt;""),IF(OR($G564="دارایی ثابت",$G564="وام و تسهیلات",$G564="سرمایه و آورده صاحبان"),0,1),0)</f>
        <v/>
      </c>
      <c r="S564">
        <f>SUM($R$6:$R564)</f>
        <v/>
      </c>
      <c r="T564">
        <f>IFERROR(INDEX($F$6:$F$565,MATCH(ROW()-5,$S$6:$S$565,0)),"")</f>
        <v/>
      </c>
      <c r="Z564">
        <f>IF([2]Entry!$E$567="","",[2]Entry!$E$567)</f>
        <v/>
      </c>
      <c r="AA564">
        <f>IF([2]Entry!$G$567="","",[2]Entry!$G$567)</f>
        <v/>
      </c>
      <c r="AB564">
        <f>IF([2]Entry!$J$567="","",[2]Entry!$J$567)</f>
        <v/>
      </c>
      <c r="AC564">
        <f>IF([2]Entry!$K$567="","",[2]Entry!$K$567)</f>
        <v/>
      </c>
      <c r="AD564">
        <f>IF([2]Entry!$L$567="","",[2]Entry!$L$567)</f>
        <v/>
      </c>
      <c r="AE564">
        <f>IF([2]Entry!$M$567="","",[2]Entry!$M$567)</f>
        <v/>
      </c>
      <c r="AF564">
        <f>IF([2]Entry!$N$567="","",[2]Entry!$N$567)</f>
        <v/>
      </c>
      <c r="AJ564">
        <f>IF([2]Entry!$S$567="","",[2]Entry!$S$567)</f>
        <v/>
      </c>
      <c r="AK564">
        <f>IF([2]Entry!$C$567="","",[2]Entry!$C$567)</f>
        <v/>
      </c>
      <c r="AL564">
        <f>IF([2]Entry!$D$567="","",[2]Entry!$D$567)</f>
        <v/>
      </c>
      <c r="AM564">
        <f>IF(AND($F564&lt;&gt;"",$I564&lt;&gt;""),IF($G564="دارایی ثابت",1,0),0)</f>
        <v/>
      </c>
      <c r="AN564">
        <f>SUM($AM$6:$AM564)</f>
        <v/>
      </c>
      <c r="AO564">
        <f>IFERROR(INDEX($F$6:$F$565,MATCH(ROW()-5,$AN$6:$AN$565,0)),"")</f>
        <v/>
      </c>
      <c r="AP564">
        <f>IF(AND($F564&lt;&gt;"",$I564&lt;&gt;""),IF($G564="وام و تسهیلات",1,0),0)</f>
        <v/>
      </c>
      <c r="AQ564">
        <f>SUM($AP$6:$AP564)</f>
        <v/>
      </c>
      <c r="AR564">
        <f>IFERROR(INDEX($F$6:$F$565,MATCH(ROW()-5,$AQ$6:$AQ$565,0)),"")</f>
        <v/>
      </c>
      <c r="AS564">
        <f>IF(AND($F564&lt;&gt;"",$I564&lt;&gt;""),IF($G564="سرمایه و آورده صاحبان",1,0),0)</f>
        <v/>
      </c>
      <c r="AT564">
        <f>SUM($AS$6:$AS564)</f>
        <v/>
      </c>
      <c r="AU564">
        <f>IFERROR(INDEX($F$6:$F$565,MATCH(ROW()-5,$AT$6:$AT$565,0)),"")</f>
        <v/>
      </c>
      <c r="AX564">
        <f>IF([4]Entry!$E$567="","",[4]Entry!$E$567)</f>
        <v/>
      </c>
      <c r="AY564">
        <f>IF([4]Entry!$H$567="","",[4]Entry!$H$567)</f>
        <v/>
      </c>
      <c r="AZ564">
        <f>IF([4]Entry!$I$567="","",[4]Entry!$I$567)</f>
        <v/>
      </c>
    </row>
    <row r="565">
      <c r="F565">
        <f>IF([1]Accounts!$D$566="","",[1]Accounts!$A$566)</f>
        <v/>
      </c>
      <c r="G565">
        <f>IF([1]Accounts!$D$566="","",[1]Accounts!$B$566)</f>
        <v/>
      </c>
      <c r="H565">
        <f>IF([1]Accounts!$D$566="","",[1]Accounts!$C$566)</f>
        <v/>
      </c>
      <c r="I565">
        <f>IF([1]Accounts!$D$566="","",[1]Accounts!$D$566)</f>
        <v/>
      </c>
      <c r="R565">
        <f>IF(AND($F565&lt;&gt;"",$I565&lt;&gt;""),IF(OR($G565="دارایی ثابت",$G565="وام و تسهیلات",$G565="سرمایه و آورده صاحبان"),0,1),0)</f>
        <v/>
      </c>
      <c r="S565">
        <f>SUM($R$6:$R565)</f>
        <v/>
      </c>
      <c r="T565">
        <f>IFERROR(INDEX($F$6:$F$565,MATCH(ROW()-5,$S$6:$S$565,0)),"")</f>
        <v/>
      </c>
      <c r="Z565">
        <f>IF([2]Entry!$E$568="","",[2]Entry!$E$568)</f>
        <v/>
      </c>
      <c r="AA565">
        <f>IF([2]Entry!$G$568="","",[2]Entry!$G$568)</f>
        <v/>
      </c>
      <c r="AB565">
        <f>IF([2]Entry!$J$568="","",[2]Entry!$J$568)</f>
        <v/>
      </c>
      <c r="AC565">
        <f>IF([2]Entry!$K$568="","",[2]Entry!$K$568)</f>
        <v/>
      </c>
      <c r="AD565">
        <f>IF([2]Entry!$L$568="","",[2]Entry!$L$568)</f>
        <v/>
      </c>
      <c r="AE565">
        <f>IF([2]Entry!$M$568="","",[2]Entry!$M$568)</f>
        <v/>
      </c>
      <c r="AF565">
        <f>IF([2]Entry!$N$568="","",[2]Entry!$N$568)</f>
        <v/>
      </c>
      <c r="AJ565">
        <f>IF([2]Entry!$S$568="","",[2]Entry!$S$568)</f>
        <v/>
      </c>
      <c r="AK565">
        <f>IF([2]Entry!$C$568="","",[2]Entry!$C$568)</f>
        <v/>
      </c>
      <c r="AL565">
        <f>IF([2]Entry!$D$568="","",[2]Entry!$D$568)</f>
        <v/>
      </c>
      <c r="AM565">
        <f>IF(AND($F565&lt;&gt;"",$I565&lt;&gt;""),IF($G565="دارایی ثابت",1,0),0)</f>
        <v/>
      </c>
      <c r="AN565">
        <f>SUM($AM$6:$AM565)</f>
        <v/>
      </c>
      <c r="AO565">
        <f>IFERROR(INDEX($F$6:$F$565,MATCH(ROW()-5,$AN$6:$AN$565,0)),"")</f>
        <v/>
      </c>
      <c r="AP565">
        <f>IF(AND($F565&lt;&gt;"",$I565&lt;&gt;""),IF($G565="وام و تسهیلات",1,0),0)</f>
        <v/>
      </c>
      <c r="AQ565">
        <f>SUM($AP$6:$AP565)</f>
        <v/>
      </c>
      <c r="AR565">
        <f>IFERROR(INDEX($F$6:$F$565,MATCH(ROW()-5,$AQ$6:$AQ$565,0)),"")</f>
        <v/>
      </c>
      <c r="AS565">
        <f>IF(AND($F565&lt;&gt;"",$I565&lt;&gt;""),IF($G565="سرمایه و آورده صاحبان",1,0),0)</f>
        <v/>
      </c>
      <c r="AT565">
        <f>SUM($AS$6:$AS565)</f>
        <v/>
      </c>
      <c r="AU565">
        <f>IFERROR(INDEX($F$6:$F$565,MATCH(ROW()-5,$AT$6:$AT$565,0)),"")</f>
        <v/>
      </c>
      <c r="AX565">
        <f>IF([4]Entry!$E$568="","",[4]Entry!$E$568)</f>
        <v/>
      </c>
      <c r="AY565">
        <f>IF([4]Entry!$H$568="","",[4]Entry!$H$568)</f>
        <v/>
      </c>
      <c r="AZ565">
        <f>IF([4]Entry!$I$568="","",[4]Entry!$I$568)</f>
        <v/>
      </c>
    </row>
    <row r="566">
      <c r="Z566">
        <f>IF([2]Entry!$E$569="","",[2]Entry!$E$569)</f>
        <v/>
      </c>
      <c r="AA566">
        <f>IF([2]Entry!$G$569="","",[2]Entry!$G$569)</f>
        <v/>
      </c>
      <c r="AB566">
        <f>IF([2]Entry!$J$569="","",[2]Entry!$J$569)</f>
        <v/>
      </c>
      <c r="AC566">
        <f>IF([2]Entry!$K$569="","",[2]Entry!$K$569)</f>
        <v/>
      </c>
      <c r="AD566">
        <f>IF([2]Entry!$L$569="","",[2]Entry!$L$569)</f>
        <v/>
      </c>
      <c r="AE566">
        <f>IF([2]Entry!$M$569="","",[2]Entry!$M$569)</f>
        <v/>
      </c>
      <c r="AF566">
        <f>IF([2]Entry!$N$569="","",[2]Entry!$N$569)</f>
        <v/>
      </c>
      <c r="AJ566">
        <f>IF([2]Entry!$S$569="","",[2]Entry!$S$569)</f>
        <v/>
      </c>
      <c r="AK566">
        <f>IF([2]Entry!$C$569="","",[2]Entry!$C$569)</f>
        <v/>
      </c>
      <c r="AL566">
        <f>IF([2]Entry!$D$569="","",[2]Entry!$D$569)</f>
        <v/>
      </c>
      <c r="AX566">
        <f>IF([4]Entry!$E$569="","",[4]Entry!$E$569)</f>
        <v/>
      </c>
      <c r="AY566">
        <f>IF([4]Entry!$H$569="","",[4]Entry!$H$569)</f>
        <v/>
      </c>
      <c r="AZ566">
        <f>IF([4]Entry!$I$569="","",[4]Entry!$I$569)</f>
        <v/>
      </c>
    </row>
    <row r="567">
      <c r="Z567">
        <f>IF([2]Entry!$E$570="","",[2]Entry!$E$570)</f>
        <v/>
      </c>
      <c r="AA567">
        <f>IF([2]Entry!$G$570="","",[2]Entry!$G$570)</f>
        <v/>
      </c>
      <c r="AB567">
        <f>IF([2]Entry!$J$570="","",[2]Entry!$J$570)</f>
        <v/>
      </c>
      <c r="AC567">
        <f>IF([2]Entry!$K$570="","",[2]Entry!$K$570)</f>
        <v/>
      </c>
      <c r="AD567">
        <f>IF([2]Entry!$L$570="","",[2]Entry!$L$570)</f>
        <v/>
      </c>
      <c r="AE567">
        <f>IF([2]Entry!$M$570="","",[2]Entry!$M$570)</f>
        <v/>
      </c>
      <c r="AF567">
        <f>IF([2]Entry!$N$570="","",[2]Entry!$N$570)</f>
        <v/>
      </c>
      <c r="AJ567">
        <f>IF([2]Entry!$S$570="","",[2]Entry!$S$570)</f>
        <v/>
      </c>
      <c r="AK567">
        <f>IF([2]Entry!$C$570="","",[2]Entry!$C$570)</f>
        <v/>
      </c>
      <c r="AL567">
        <f>IF([2]Entry!$D$570="","",[2]Entry!$D$570)</f>
        <v/>
      </c>
      <c r="AX567">
        <f>IF([4]Entry!$E$570="","",[4]Entry!$E$570)</f>
        <v/>
      </c>
      <c r="AY567">
        <f>IF([4]Entry!$H$570="","",[4]Entry!$H$570)</f>
        <v/>
      </c>
      <c r="AZ567">
        <f>IF([4]Entry!$I$570="","",[4]Entry!$I$570)</f>
        <v/>
      </c>
    </row>
    <row r="568">
      <c r="Z568">
        <f>IF([2]Entry!$E$571="","",[2]Entry!$E$571)</f>
        <v/>
      </c>
      <c r="AA568">
        <f>IF([2]Entry!$G$571="","",[2]Entry!$G$571)</f>
        <v/>
      </c>
      <c r="AB568">
        <f>IF([2]Entry!$J$571="","",[2]Entry!$J$571)</f>
        <v/>
      </c>
      <c r="AC568">
        <f>IF([2]Entry!$K$571="","",[2]Entry!$K$571)</f>
        <v/>
      </c>
      <c r="AD568">
        <f>IF([2]Entry!$L$571="","",[2]Entry!$L$571)</f>
        <v/>
      </c>
      <c r="AE568">
        <f>IF([2]Entry!$M$571="","",[2]Entry!$M$571)</f>
        <v/>
      </c>
      <c r="AF568">
        <f>IF([2]Entry!$N$571="","",[2]Entry!$N$571)</f>
        <v/>
      </c>
      <c r="AJ568">
        <f>IF([2]Entry!$S$571="","",[2]Entry!$S$571)</f>
        <v/>
      </c>
      <c r="AK568">
        <f>IF([2]Entry!$C$571="","",[2]Entry!$C$571)</f>
        <v/>
      </c>
      <c r="AL568">
        <f>IF([2]Entry!$D$571="","",[2]Entry!$D$571)</f>
        <v/>
      </c>
      <c r="AX568">
        <f>IF([4]Entry!$E$571="","",[4]Entry!$E$571)</f>
        <v/>
      </c>
      <c r="AY568">
        <f>IF([4]Entry!$H$571="","",[4]Entry!$H$571)</f>
        <v/>
      </c>
      <c r="AZ568">
        <f>IF([4]Entry!$I$571="","",[4]Entry!$I$571)</f>
        <v/>
      </c>
    </row>
    <row r="569">
      <c r="Z569">
        <f>IF([2]Entry!$E$572="","",[2]Entry!$E$572)</f>
        <v/>
      </c>
      <c r="AA569">
        <f>IF([2]Entry!$G$572="","",[2]Entry!$G$572)</f>
        <v/>
      </c>
      <c r="AB569">
        <f>IF([2]Entry!$J$572="","",[2]Entry!$J$572)</f>
        <v/>
      </c>
      <c r="AC569">
        <f>IF([2]Entry!$K$572="","",[2]Entry!$K$572)</f>
        <v/>
      </c>
      <c r="AD569">
        <f>IF([2]Entry!$L$572="","",[2]Entry!$L$572)</f>
        <v/>
      </c>
      <c r="AE569">
        <f>IF([2]Entry!$M$572="","",[2]Entry!$M$572)</f>
        <v/>
      </c>
      <c r="AF569">
        <f>IF([2]Entry!$N$572="","",[2]Entry!$N$572)</f>
        <v/>
      </c>
      <c r="AJ569">
        <f>IF([2]Entry!$S$572="","",[2]Entry!$S$572)</f>
        <v/>
      </c>
      <c r="AK569">
        <f>IF([2]Entry!$C$572="","",[2]Entry!$C$572)</f>
        <v/>
      </c>
      <c r="AL569">
        <f>IF([2]Entry!$D$572="","",[2]Entry!$D$572)</f>
        <v/>
      </c>
      <c r="AX569">
        <f>IF([4]Entry!$E$572="","",[4]Entry!$E$572)</f>
        <v/>
      </c>
      <c r="AY569">
        <f>IF([4]Entry!$H$572="","",[4]Entry!$H$572)</f>
        <v/>
      </c>
      <c r="AZ569">
        <f>IF([4]Entry!$I$572="","",[4]Entry!$I$572)</f>
        <v/>
      </c>
    </row>
    <row r="570">
      <c r="Z570">
        <f>IF([2]Entry!$E$573="","",[2]Entry!$E$573)</f>
        <v/>
      </c>
      <c r="AA570">
        <f>IF([2]Entry!$G$573="","",[2]Entry!$G$573)</f>
        <v/>
      </c>
      <c r="AB570">
        <f>IF([2]Entry!$J$573="","",[2]Entry!$J$573)</f>
        <v/>
      </c>
      <c r="AC570">
        <f>IF([2]Entry!$K$573="","",[2]Entry!$K$573)</f>
        <v/>
      </c>
      <c r="AD570">
        <f>IF([2]Entry!$L$573="","",[2]Entry!$L$573)</f>
        <v/>
      </c>
      <c r="AE570">
        <f>IF([2]Entry!$M$573="","",[2]Entry!$M$573)</f>
        <v/>
      </c>
      <c r="AF570">
        <f>IF([2]Entry!$N$573="","",[2]Entry!$N$573)</f>
        <v/>
      </c>
      <c r="AJ570">
        <f>IF([2]Entry!$S$573="","",[2]Entry!$S$573)</f>
        <v/>
      </c>
      <c r="AK570">
        <f>IF([2]Entry!$C$573="","",[2]Entry!$C$573)</f>
        <v/>
      </c>
      <c r="AL570">
        <f>IF([2]Entry!$D$573="","",[2]Entry!$D$573)</f>
        <v/>
      </c>
      <c r="AX570">
        <f>IF([4]Entry!$E$573="","",[4]Entry!$E$573)</f>
        <v/>
      </c>
      <c r="AY570">
        <f>IF([4]Entry!$H$573="","",[4]Entry!$H$573)</f>
        <v/>
      </c>
      <c r="AZ570">
        <f>IF([4]Entry!$I$573="","",[4]Entry!$I$573)</f>
        <v/>
      </c>
    </row>
    <row r="571">
      <c r="Z571">
        <f>IF([2]Entry!$E$574="","",[2]Entry!$E$574)</f>
        <v/>
      </c>
      <c r="AA571">
        <f>IF([2]Entry!$G$574="","",[2]Entry!$G$574)</f>
        <v/>
      </c>
      <c r="AB571">
        <f>IF([2]Entry!$J$574="","",[2]Entry!$J$574)</f>
        <v/>
      </c>
      <c r="AC571">
        <f>IF([2]Entry!$K$574="","",[2]Entry!$K$574)</f>
        <v/>
      </c>
      <c r="AD571">
        <f>IF([2]Entry!$L$574="","",[2]Entry!$L$574)</f>
        <v/>
      </c>
      <c r="AE571">
        <f>IF([2]Entry!$M$574="","",[2]Entry!$M$574)</f>
        <v/>
      </c>
      <c r="AF571">
        <f>IF([2]Entry!$N$574="","",[2]Entry!$N$574)</f>
        <v/>
      </c>
      <c r="AJ571">
        <f>IF([2]Entry!$S$574="","",[2]Entry!$S$574)</f>
        <v/>
      </c>
      <c r="AK571">
        <f>IF([2]Entry!$C$574="","",[2]Entry!$C$574)</f>
        <v/>
      </c>
      <c r="AL571">
        <f>IF([2]Entry!$D$574="","",[2]Entry!$D$574)</f>
        <v/>
      </c>
      <c r="AX571">
        <f>IF([4]Entry!$E$574="","",[4]Entry!$E$574)</f>
        <v/>
      </c>
      <c r="AY571">
        <f>IF([4]Entry!$H$574="","",[4]Entry!$H$574)</f>
        <v/>
      </c>
      <c r="AZ571">
        <f>IF([4]Entry!$I$574="","",[4]Entry!$I$574)</f>
        <v/>
      </c>
    </row>
    <row r="572">
      <c r="Z572">
        <f>IF([2]Entry!$E$575="","",[2]Entry!$E$575)</f>
        <v/>
      </c>
      <c r="AA572">
        <f>IF([2]Entry!$G$575="","",[2]Entry!$G$575)</f>
        <v/>
      </c>
      <c r="AB572">
        <f>IF([2]Entry!$J$575="","",[2]Entry!$J$575)</f>
        <v/>
      </c>
      <c r="AC572">
        <f>IF([2]Entry!$K$575="","",[2]Entry!$K$575)</f>
        <v/>
      </c>
      <c r="AD572">
        <f>IF([2]Entry!$L$575="","",[2]Entry!$L$575)</f>
        <v/>
      </c>
      <c r="AE572">
        <f>IF([2]Entry!$M$575="","",[2]Entry!$M$575)</f>
        <v/>
      </c>
      <c r="AF572">
        <f>IF([2]Entry!$N$575="","",[2]Entry!$N$575)</f>
        <v/>
      </c>
      <c r="AJ572">
        <f>IF([2]Entry!$S$575="","",[2]Entry!$S$575)</f>
        <v/>
      </c>
      <c r="AK572">
        <f>IF([2]Entry!$C$575="","",[2]Entry!$C$575)</f>
        <v/>
      </c>
      <c r="AL572">
        <f>IF([2]Entry!$D$575="","",[2]Entry!$D$575)</f>
        <v/>
      </c>
      <c r="AX572">
        <f>IF([4]Entry!$E$575="","",[4]Entry!$E$575)</f>
        <v/>
      </c>
      <c r="AY572">
        <f>IF([4]Entry!$H$575="","",[4]Entry!$H$575)</f>
        <v/>
      </c>
      <c r="AZ572">
        <f>IF([4]Entry!$I$575="","",[4]Entry!$I$575)</f>
        <v/>
      </c>
    </row>
    <row r="573">
      <c r="Z573">
        <f>IF([2]Entry!$E$576="","",[2]Entry!$E$576)</f>
        <v/>
      </c>
      <c r="AA573">
        <f>IF([2]Entry!$G$576="","",[2]Entry!$G$576)</f>
        <v/>
      </c>
      <c r="AB573">
        <f>IF([2]Entry!$J$576="","",[2]Entry!$J$576)</f>
        <v/>
      </c>
      <c r="AC573">
        <f>IF([2]Entry!$K$576="","",[2]Entry!$K$576)</f>
        <v/>
      </c>
      <c r="AD573">
        <f>IF([2]Entry!$L$576="","",[2]Entry!$L$576)</f>
        <v/>
      </c>
      <c r="AE573">
        <f>IF([2]Entry!$M$576="","",[2]Entry!$M$576)</f>
        <v/>
      </c>
      <c r="AF573">
        <f>IF([2]Entry!$N$576="","",[2]Entry!$N$576)</f>
        <v/>
      </c>
      <c r="AJ573">
        <f>IF([2]Entry!$S$576="","",[2]Entry!$S$576)</f>
        <v/>
      </c>
      <c r="AK573">
        <f>IF([2]Entry!$C$576="","",[2]Entry!$C$576)</f>
        <v/>
      </c>
      <c r="AL573">
        <f>IF([2]Entry!$D$576="","",[2]Entry!$D$576)</f>
        <v/>
      </c>
      <c r="AX573">
        <f>IF([4]Entry!$E$576="","",[4]Entry!$E$576)</f>
        <v/>
      </c>
      <c r="AY573">
        <f>IF([4]Entry!$H$576="","",[4]Entry!$H$576)</f>
        <v/>
      </c>
      <c r="AZ573">
        <f>IF([4]Entry!$I$576="","",[4]Entry!$I$576)</f>
        <v/>
      </c>
    </row>
    <row r="574">
      <c r="Z574">
        <f>IF([2]Entry!$E$577="","",[2]Entry!$E$577)</f>
        <v/>
      </c>
      <c r="AA574">
        <f>IF([2]Entry!$G$577="","",[2]Entry!$G$577)</f>
        <v/>
      </c>
      <c r="AB574">
        <f>IF([2]Entry!$J$577="","",[2]Entry!$J$577)</f>
        <v/>
      </c>
      <c r="AC574">
        <f>IF([2]Entry!$K$577="","",[2]Entry!$K$577)</f>
        <v/>
      </c>
      <c r="AD574">
        <f>IF([2]Entry!$L$577="","",[2]Entry!$L$577)</f>
        <v/>
      </c>
      <c r="AE574">
        <f>IF([2]Entry!$M$577="","",[2]Entry!$M$577)</f>
        <v/>
      </c>
      <c r="AF574">
        <f>IF([2]Entry!$N$577="","",[2]Entry!$N$577)</f>
        <v/>
      </c>
      <c r="AJ574">
        <f>IF([2]Entry!$S$577="","",[2]Entry!$S$577)</f>
        <v/>
      </c>
      <c r="AK574">
        <f>IF([2]Entry!$C$577="","",[2]Entry!$C$577)</f>
        <v/>
      </c>
      <c r="AL574">
        <f>IF([2]Entry!$D$577="","",[2]Entry!$D$577)</f>
        <v/>
      </c>
      <c r="AX574">
        <f>IF([4]Entry!$E$577="","",[4]Entry!$E$577)</f>
        <v/>
      </c>
      <c r="AY574">
        <f>IF([4]Entry!$H$577="","",[4]Entry!$H$577)</f>
        <v/>
      </c>
      <c r="AZ574">
        <f>IF([4]Entry!$I$577="","",[4]Entry!$I$577)</f>
        <v/>
      </c>
    </row>
    <row r="575">
      <c r="Z575">
        <f>IF([2]Entry!$E$578="","",[2]Entry!$E$578)</f>
        <v/>
      </c>
      <c r="AA575">
        <f>IF([2]Entry!$G$578="","",[2]Entry!$G$578)</f>
        <v/>
      </c>
      <c r="AB575">
        <f>IF([2]Entry!$J$578="","",[2]Entry!$J$578)</f>
        <v/>
      </c>
      <c r="AC575">
        <f>IF([2]Entry!$K$578="","",[2]Entry!$K$578)</f>
        <v/>
      </c>
      <c r="AD575">
        <f>IF([2]Entry!$L$578="","",[2]Entry!$L$578)</f>
        <v/>
      </c>
      <c r="AE575">
        <f>IF([2]Entry!$M$578="","",[2]Entry!$M$578)</f>
        <v/>
      </c>
      <c r="AF575">
        <f>IF([2]Entry!$N$578="","",[2]Entry!$N$578)</f>
        <v/>
      </c>
      <c r="AJ575">
        <f>IF([2]Entry!$S$578="","",[2]Entry!$S$578)</f>
        <v/>
      </c>
      <c r="AK575">
        <f>IF([2]Entry!$C$578="","",[2]Entry!$C$578)</f>
        <v/>
      </c>
      <c r="AL575">
        <f>IF([2]Entry!$D$578="","",[2]Entry!$D$578)</f>
        <v/>
      </c>
      <c r="AX575">
        <f>IF([4]Entry!$E$578="","",[4]Entry!$E$578)</f>
        <v/>
      </c>
      <c r="AY575">
        <f>IF([4]Entry!$H$578="","",[4]Entry!$H$578)</f>
        <v/>
      </c>
      <c r="AZ575">
        <f>IF([4]Entry!$I$578="","",[4]Entry!$I$578)</f>
        <v/>
      </c>
    </row>
    <row r="576">
      <c r="Z576">
        <f>IF([2]Entry!$E$579="","",[2]Entry!$E$579)</f>
        <v/>
      </c>
      <c r="AA576">
        <f>IF([2]Entry!$G$579="","",[2]Entry!$G$579)</f>
        <v/>
      </c>
      <c r="AB576">
        <f>IF([2]Entry!$J$579="","",[2]Entry!$J$579)</f>
        <v/>
      </c>
      <c r="AC576">
        <f>IF([2]Entry!$K$579="","",[2]Entry!$K$579)</f>
        <v/>
      </c>
      <c r="AD576">
        <f>IF([2]Entry!$L$579="","",[2]Entry!$L$579)</f>
        <v/>
      </c>
      <c r="AE576">
        <f>IF([2]Entry!$M$579="","",[2]Entry!$M$579)</f>
        <v/>
      </c>
      <c r="AF576">
        <f>IF([2]Entry!$N$579="","",[2]Entry!$N$579)</f>
        <v/>
      </c>
      <c r="AJ576">
        <f>IF([2]Entry!$S$579="","",[2]Entry!$S$579)</f>
        <v/>
      </c>
      <c r="AK576">
        <f>IF([2]Entry!$C$579="","",[2]Entry!$C$579)</f>
        <v/>
      </c>
      <c r="AL576">
        <f>IF([2]Entry!$D$579="","",[2]Entry!$D$579)</f>
        <v/>
      </c>
      <c r="AX576">
        <f>IF([4]Entry!$E$579="","",[4]Entry!$E$579)</f>
        <v/>
      </c>
      <c r="AY576">
        <f>IF([4]Entry!$H$579="","",[4]Entry!$H$579)</f>
        <v/>
      </c>
      <c r="AZ576">
        <f>IF([4]Entry!$I$579="","",[4]Entry!$I$579)</f>
        <v/>
      </c>
    </row>
    <row r="577">
      <c r="Z577">
        <f>IF([2]Entry!$E$580="","",[2]Entry!$E$580)</f>
        <v/>
      </c>
      <c r="AA577">
        <f>IF([2]Entry!$G$580="","",[2]Entry!$G$580)</f>
        <v/>
      </c>
      <c r="AB577">
        <f>IF([2]Entry!$J$580="","",[2]Entry!$J$580)</f>
        <v/>
      </c>
      <c r="AC577">
        <f>IF([2]Entry!$K$580="","",[2]Entry!$K$580)</f>
        <v/>
      </c>
      <c r="AD577">
        <f>IF([2]Entry!$L$580="","",[2]Entry!$L$580)</f>
        <v/>
      </c>
      <c r="AE577">
        <f>IF([2]Entry!$M$580="","",[2]Entry!$M$580)</f>
        <v/>
      </c>
      <c r="AF577">
        <f>IF([2]Entry!$N$580="","",[2]Entry!$N$580)</f>
        <v/>
      </c>
      <c r="AJ577">
        <f>IF([2]Entry!$S$580="","",[2]Entry!$S$580)</f>
        <v/>
      </c>
      <c r="AK577">
        <f>IF([2]Entry!$C$580="","",[2]Entry!$C$580)</f>
        <v/>
      </c>
      <c r="AL577">
        <f>IF([2]Entry!$D$580="","",[2]Entry!$D$580)</f>
        <v/>
      </c>
      <c r="AX577">
        <f>IF([4]Entry!$E$580="","",[4]Entry!$E$580)</f>
        <v/>
      </c>
      <c r="AY577">
        <f>IF([4]Entry!$H$580="","",[4]Entry!$H$580)</f>
        <v/>
      </c>
      <c r="AZ577">
        <f>IF([4]Entry!$I$580="","",[4]Entry!$I$580)</f>
        <v/>
      </c>
    </row>
    <row r="578">
      <c r="Z578">
        <f>IF([2]Entry!$E$581="","",[2]Entry!$E$581)</f>
        <v/>
      </c>
      <c r="AA578">
        <f>IF([2]Entry!$G$581="","",[2]Entry!$G$581)</f>
        <v/>
      </c>
      <c r="AB578">
        <f>IF([2]Entry!$J$581="","",[2]Entry!$J$581)</f>
        <v/>
      </c>
      <c r="AC578">
        <f>IF([2]Entry!$K$581="","",[2]Entry!$K$581)</f>
        <v/>
      </c>
      <c r="AD578">
        <f>IF([2]Entry!$L$581="","",[2]Entry!$L$581)</f>
        <v/>
      </c>
      <c r="AE578">
        <f>IF([2]Entry!$M$581="","",[2]Entry!$M$581)</f>
        <v/>
      </c>
      <c r="AF578">
        <f>IF([2]Entry!$N$581="","",[2]Entry!$N$581)</f>
        <v/>
      </c>
      <c r="AJ578">
        <f>IF([2]Entry!$S$581="","",[2]Entry!$S$581)</f>
        <v/>
      </c>
      <c r="AK578">
        <f>IF([2]Entry!$C$581="","",[2]Entry!$C$581)</f>
        <v/>
      </c>
      <c r="AL578">
        <f>IF([2]Entry!$D$581="","",[2]Entry!$D$581)</f>
        <v/>
      </c>
      <c r="AX578">
        <f>IF([4]Entry!$E$581="","",[4]Entry!$E$581)</f>
        <v/>
      </c>
      <c r="AY578">
        <f>IF([4]Entry!$H$581="","",[4]Entry!$H$581)</f>
        <v/>
      </c>
      <c r="AZ578">
        <f>IF([4]Entry!$I$581="","",[4]Entry!$I$581)</f>
        <v/>
      </c>
    </row>
    <row r="579">
      <c r="Z579">
        <f>IF([2]Entry!$E$582="","",[2]Entry!$E$582)</f>
        <v/>
      </c>
      <c r="AA579">
        <f>IF([2]Entry!$G$582="","",[2]Entry!$G$582)</f>
        <v/>
      </c>
      <c r="AB579">
        <f>IF([2]Entry!$J$582="","",[2]Entry!$J$582)</f>
        <v/>
      </c>
      <c r="AC579">
        <f>IF([2]Entry!$K$582="","",[2]Entry!$K$582)</f>
        <v/>
      </c>
      <c r="AD579">
        <f>IF([2]Entry!$L$582="","",[2]Entry!$L$582)</f>
        <v/>
      </c>
      <c r="AE579">
        <f>IF([2]Entry!$M$582="","",[2]Entry!$M$582)</f>
        <v/>
      </c>
      <c r="AF579">
        <f>IF([2]Entry!$N$582="","",[2]Entry!$N$582)</f>
        <v/>
      </c>
      <c r="AJ579">
        <f>IF([2]Entry!$S$582="","",[2]Entry!$S$582)</f>
        <v/>
      </c>
      <c r="AK579">
        <f>IF([2]Entry!$C$582="","",[2]Entry!$C$582)</f>
        <v/>
      </c>
      <c r="AL579">
        <f>IF([2]Entry!$D$582="","",[2]Entry!$D$582)</f>
        <v/>
      </c>
      <c r="AX579">
        <f>IF([4]Entry!$E$582="","",[4]Entry!$E$582)</f>
        <v/>
      </c>
      <c r="AY579">
        <f>IF([4]Entry!$H$582="","",[4]Entry!$H$582)</f>
        <v/>
      </c>
      <c r="AZ579">
        <f>IF([4]Entry!$I$582="","",[4]Entry!$I$582)</f>
        <v/>
      </c>
    </row>
    <row r="580">
      <c r="Z580">
        <f>IF([2]Entry!$E$583="","",[2]Entry!$E$583)</f>
        <v/>
      </c>
      <c r="AA580">
        <f>IF([2]Entry!$G$583="","",[2]Entry!$G$583)</f>
        <v/>
      </c>
      <c r="AB580">
        <f>IF([2]Entry!$J$583="","",[2]Entry!$J$583)</f>
        <v/>
      </c>
      <c r="AC580">
        <f>IF([2]Entry!$K$583="","",[2]Entry!$K$583)</f>
        <v/>
      </c>
      <c r="AD580">
        <f>IF([2]Entry!$L$583="","",[2]Entry!$L$583)</f>
        <v/>
      </c>
      <c r="AE580">
        <f>IF([2]Entry!$M$583="","",[2]Entry!$M$583)</f>
        <v/>
      </c>
      <c r="AF580">
        <f>IF([2]Entry!$N$583="","",[2]Entry!$N$583)</f>
        <v/>
      </c>
      <c r="AJ580">
        <f>IF([2]Entry!$S$583="","",[2]Entry!$S$583)</f>
        <v/>
      </c>
      <c r="AK580">
        <f>IF([2]Entry!$C$583="","",[2]Entry!$C$583)</f>
        <v/>
      </c>
      <c r="AL580">
        <f>IF([2]Entry!$D$583="","",[2]Entry!$D$583)</f>
        <v/>
      </c>
      <c r="AX580">
        <f>IF([4]Entry!$E$583="","",[4]Entry!$E$583)</f>
        <v/>
      </c>
      <c r="AY580">
        <f>IF([4]Entry!$H$583="","",[4]Entry!$H$583)</f>
        <v/>
      </c>
      <c r="AZ580">
        <f>IF([4]Entry!$I$583="","",[4]Entry!$I$583)</f>
        <v/>
      </c>
    </row>
    <row r="581">
      <c r="Z581">
        <f>IF([2]Entry!$E$584="","",[2]Entry!$E$584)</f>
        <v/>
      </c>
      <c r="AA581">
        <f>IF([2]Entry!$G$584="","",[2]Entry!$G$584)</f>
        <v/>
      </c>
      <c r="AB581">
        <f>IF([2]Entry!$J$584="","",[2]Entry!$J$584)</f>
        <v/>
      </c>
      <c r="AC581">
        <f>IF([2]Entry!$K$584="","",[2]Entry!$K$584)</f>
        <v/>
      </c>
      <c r="AD581">
        <f>IF([2]Entry!$L$584="","",[2]Entry!$L$584)</f>
        <v/>
      </c>
      <c r="AE581">
        <f>IF([2]Entry!$M$584="","",[2]Entry!$M$584)</f>
        <v/>
      </c>
      <c r="AF581">
        <f>IF([2]Entry!$N$584="","",[2]Entry!$N$584)</f>
        <v/>
      </c>
      <c r="AJ581">
        <f>IF([2]Entry!$S$584="","",[2]Entry!$S$584)</f>
        <v/>
      </c>
      <c r="AK581">
        <f>IF([2]Entry!$C$584="","",[2]Entry!$C$584)</f>
        <v/>
      </c>
      <c r="AL581">
        <f>IF([2]Entry!$D$584="","",[2]Entry!$D$584)</f>
        <v/>
      </c>
      <c r="AX581">
        <f>IF([4]Entry!$E$584="","",[4]Entry!$E$584)</f>
        <v/>
      </c>
      <c r="AY581">
        <f>IF([4]Entry!$H$584="","",[4]Entry!$H$584)</f>
        <v/>
      </c>
      <c r="AZ581">
        <f>IF([4]Entry!$I$584="","",[4]Entry!$I$584)</f>
        <v/>
      </c>
    </row>
    <row r="582">
      <c r="Z582">
        <f>IF([2]Entry!$E$585="","",[2]Entry!$E$585)</f>
        <v/>
      </c>
      <c r="AA582">
        <f>IF([2]Entry!$G$585="","",[2]Entry!$G$585)</f>
        <v/>
      </c>
      <c r="AB582">
        <f>IF([2]Entry!$J$585="","",[2]Entry!$J$585)</f>
        <v/>
      </c>
      <c r="AC582">
        <f>IF([2]Entry!$K$585="","",[2]Entry!$K$585)</f>
        <v/>
      </c>
      <c r="AD582">
        <f>IF([2]Entry!$L$585="","",[2]Entry!$L$585)</f>
        <v/>
      </c>
      <c r="AE582">
        <f>IF([2]Entry!$M$585="","",[2]Entry!$M$585)</f>
        <v/>
      </c>
      <c r="AF582">
        <f>IF([2]Entry!$N$585="","",[2]Entry!$N$585)</f>
        <v/>
      </c>
      <c r="AJ582">
        <f>IF([2]Entry!$S$585="","",[2]Entry!$S$585)</f>
        <v/>
      </c>
      <c r="AK582">
        <f>IF([2]Entry!$C$585="","",[2]Entry!$C$585)</f>
        <v/>
      </c>
      <c r="AL582">
        <f>IF([2]Entry!$D$585="","",[2]Entry!$D$585)</f>
        <v/>
      </c>
      <c r="AX582">
        <f>IF([4]Entry!$E$585="","",[4]Entry!$E$585)</f>
        <v/>
      </c>
      <c r="AY582">
        <f>IF([4]Entry!$H$585="","",[4]Entry!$H$585)</f>
        <v/>
      </c>
      <c r="AZ582">
        <f>IF([4]Entry!$I$585="","",[4]Entry!$I$585)</f>
        <v/>
      </c>
    </row>
    <row r="583">
      <c r="Z583">
        <f>IF([2]Entry!$E$586="","",[2]Entry!$E$586)</f>
        <v/>
      </c>
      <c r="AA583">
        <f>IF([2]Entry!$G$586="","",[2]Entry!$G$586)</f>
        <v/>
      </c>
      <c r="AB583">
        <f>IF([2]Entry!$J$586="","",[2]Entry!$J$586)</f>
        <v/>
      </c>
      <c r="AC583">
        <f>IF([2]Entry!$K$586="","",[2]Entry!$K$586)</f>
        <v/>
      </c>
      <c r="AD583">
        <f>IF([2]Entry!$L$586="","",[2]Entry!$L$586)</f>
        <v/>
      </c>
      <c r="AE583">
        <f>IF([2]Entry!$M$586="","",[2]Entry!$M$586)</f>
        <v/>
      </c>
      <c r="AF583">
        <f>IF([2]Entry!$N$586="","",[2]Entry!$N$586)</f>
        <v/>
      </c>
      <c r="AJ583">
        <f>IF([2]Entry!$S$586="","",[2]Entry!$S$586)</f>
        <v/>
      </c>
      <c r="AK583">
        <f>IF([2]Entry!$C$586="","",[2]Entry!$C$586)</f>
        <v/>
      </c>
      <c r="AL583">
        <f>IF([2]Entry!$D$586="","",[2]Entry!$D$586)</f>
        <v/>
      </c>
      <c r="AX583">
        <f>IF([4]Entry!$E$586="","",[4]Entry!$E$586)</f>
        <v/>
      </c>
      <c r="AY583">
        <f>IF([4]Entry!$H$586="","",[4]Entry!$H$586)</f>
        <v/>
      </c>
      <c r="AZ583">
        <f>IF([4]Entry!$I$586="","",[4]Entry!$I$586)</f>
        <v/>
      </c>
    </row>
    <row r="584">
      <c r="Z584">
        <f>IF([2]Entry!$E$587="","",[2]Entry!$E$587)</f>
        <v/>
      </c>
      <c r="AA584">
        <f>IF([2]Entry!$G$587="","",[2]Entry!$G$587)</f>
        <v/>
      </c>
      <c r="AB584">
        <f>IF([2]Entry!$J$587="","",[2]Entry!$J$587)</f>
        <v/>
      </c>
      <c r="AC584">
        <f>IF([2]Entry!$K$587="","",[2]Entry!$K$587)</f>
        <v/>
      </c>
      <c r="AD584">
        <f>IF([2]Entry!$L$587="","",[2]Entry!$L$587)</f>
        <v/>
      </c>
      <c r="AE584">
        <f>IF([2]Entry!$M$587="","",[2]Entry!$M$587)</f>
        <v/>
      </c>
      <c r="AF584">
        <f>IF([2]Entry!$N$587="","",[2]Entry!$N$587)</f>
        <v/>
      </c>
      <c r="AJ584">
        <f>IF([2]Entry!$S$587="","",[2]Entry!$S$587)</f>
        <v/>
      </c>
      <c r="AK584">
        <f>IF([2]Entry!$C$587="","",[2]Entry!$C$587)</f>
        <v/>
      </c>
      <c r="AL584">
        <f>IF([2]Entry!$D$587="","",[2]Entry!$D$587)</f>
        <v/>
      </c>
      <c r="AX584">
        <f>IF([4]Entry!$E$587="","",[4]Entry!$E$587)</f>
        <v/>
      </c>
      <c r="AY584">
        <f>IF([4]Entry!$H$587="","",[4]Entry!$H$587)</f>
        <v/>
      </c>
      <c r="AZ584">
        <f>IF([4]Entry!$I$587="","",[4]Entry!$I$587)</f>
        <v/>
      </c>
    </row>
    <row r="585">
      <c r="Z585">
        <f>IF([2]Entry!$E$588="","",[2]Entry!$E$588)</f>
        <v/>
      </c>
      <c r="AA585">
        <f>IF([2]Entry!$G$588="","",[2]Entry!$G$588)</f>
        <v/>
      </c>
      <c r="AB585">
        <f>IF([2]Entry!$J$588="","",[2]Entry!$J$588)</f>
        <v/>
      </c>
      <c r="AC585">
        <f>IF([2]Entry!$K$588="","",[2]Entry!$K$588)</f>
        <v/>
      </c>
      <c r="AD585">
        <f>IF([2]Entry!$L$588="","",[2]Entry!$L$588)</f>
        <v/>
      </c>
      <c r="AE585">
        <f>IF([2]Entry!$M$588="","",[2]Entry!$M$588)</f>
        <v/>
      </c>
      <c r="AF585">
        <f>IF([2]Entry!$N$588="","",[2]Entry!$N$588)</f>
        <v/>
      </c>
      <c r="AJ585">
        <f>IF([2]Entry!$S$588="","",[2]Entry!$S$588)</f>
        <v/>
      </c>
      <c r="AK585">
        <f>IF([2]Entry!$C$588="","",[2]Entry!$C$588)</f>
        <v/>
      </c>
      <c r="AL585">
        <f>IF([2]Entry!$D$588="","",[2]Entry!$D$588)</f>
        <v/>
      </c>
      <c r="AX585">
        <f>IF([4]Entry!$E$588="","",[4]Entry!$E$588)</f>
        <v/>
      </c>
      <c r="AY585">
        <f>IF([4]Entry!$H$588="","",[4]Entry!$H$588)</f>
        <v/>
      </c>
      <c r="AZ585">
        <f>IF([4]Entry!$I$588="","",[4]Entry!$I$588)</f>
        <v/>
      </c>
    </row>
    <row r="586">
      <c r="Z586">
        <f>IF([2]Entry!$E$589="","",[2]Entry!$E$589)</f>
        <v/>
      </c>
      <c r="AA586">
        <f>IF([2]Entry!$G$589="","",[2]Entry!$G$589)</f>
        <v/>
      </c>
      <c r="AB586">
        <f>IF([2]Entry!$J$589="","",[2]Entry!$J$589)</f>
        <v/>
      </c>
      <c r="AC586">
        <f>IF([2]Entry!$K$589="","",[2]Entry!$K$589)</f>
        <v/>
      </c>
      <c r="AD586">
        <f>IF([2]Entry!$L$589="","",[2]Entry!$L$589)</f>
        <v/>
      </c>
      <c r="AE586">
        <f>IF([2]Entry!$M$589="","",[2]Entry!$M$589)</f>
        <v/>
      </c>
      <c r="AF586">
        <f>IF([2]Entry!$N$589="","",[2]Entry!$N$589)</f>
        <v/>
      </c>
      <c r="AJ586">
        <f>IF([2]Entry!$S$589="","",[2]Entry!$S$589)</f>
        <v/>
      </c>
      <c r="AK586">
        <f>IF([2]Entry!$C$589="","",[2]Entry!$C$589)</f>
        <v/>
      </c>
      <c r="AL586">
        <f>IF([2]Entry!$D$589="","",[2]Entry!$D$589)</f>
        <v/>
      </c>
      <c r="AX586">
        <f>IF([4]Entry!$E$589="","",[4]Entry!$E$589)</f>
        <v/>
      </c>
      <c r="AY586">
        <f>IF([4]Entry!$H$589="","",[4]Entry!$H$589)</f>
        <v/>
      </c>
      <c r="AZ586">
        <f>IF([4]Entry!$I$589="","",[4]Entry!$I$589)</f>
        <v/>
      </c>
    </row>
    <row r="587">
      <c r="Z587">
        <f>IF([2]Entry!$E$590="","",[2]Entry!$E$590)</f>
        <v/>
      </c>
      <c r="AA587">
        <f>IF([2]Entry!$G$590="","",[2]Entry!$G$590)</f>
        <v/>
      </c>
      <c r="AB587">
        <f>IF([2]Entry!$J$590="","",[2]Entry!$J$590)</f>
        <v/>
      </c>
      <c r="AC587">
        <f>IF([2]Entry!$K$590="","",[2]Entry!$K$590)</f>
        <v/>
      </c>
      <c r="AD587">
        <f>IF([2]Entry!$L$590="","",[2]Entry!$L$590)</f>
        <v/>
      </c>
      <c r="AE587">
        <f>IF([2]Entry!$M$590="","",[2]Entry!$M$590)</f>
        <v/>
      </c>
      <c r="AF587">
        <f>IF([2]Entry!$N$590="","",[2]Entry!$N$590)</f>
        <v/>
      </c>
      <c r="AJ587">
        <f>IF([2]Entry!$S$590="","",[2]Entry!$S$590)</f>
        <v/>
      </c>
      <c r="AK587">
        <f>IF([2]Entry!$C$590="","",[2]Entry!$C$590)</f>
        <v/>
      </c>
      <c r="AL587">
        <f>IF([2]Entry!$D$590="","",[2]Entry!$D$590)</f>
        <v/>
      </c>
      <c r="AX587">
        <f>IF([4]Entry!$E$590="","",[4]Entry!$E$590)</f>
        <v/>
      </c>
      <c r="AY587">
        <f>IF([4]Entry!$H$590="","",[4]Entry!$H$590)</f>
        <v/>
      </c>
      <c r="AZ587">
        <f>IF([4]Entry!$I$590="","",[4]Entry!$I$590)</f>
        <v/>
      </c>
    </row>
    <row r="588">
      <c r="Z588">
        <f>IF([2]Entry!$E$591="","",[2]Entry!$E$591)</f>
        <v/>
      </c>
      <c r="AA588">
        <f>IF([2]Entry!$G$591="","",[2]Entry!$G$591)</f>
        <v/>
      </c>
      <c r="AB588">
        <f>IF([2]Entry!$J$591="","",[2]Entry!$J$591)</f>
        <v/>
      </c>
      <c r="AC588">
        <f>IF([2]Entry!$K$591="","",[2]Entry!$K$591)</f>
        <v/>
      </c>
      <c r="AD588">
        <f>IF([2]Entry!$L$591="","",[2]Entry!$L$591)</f>
        <v/>
      </c>
      <c r="AE588">
        <f>IF([2]Entry!$M$591="","",[2]Entry!$M$591)</f>
        <v/>
      </c>
      <c r="AF588">
        <f>IF([2]Entry!$N$591="","",[2]Entry!$N$591)</f>
        <v/>
      </c>
      <c r="AJ588">
        <f>IF([2]Entry!$S$591="","",[2]Entry!$S$591)</f>
        <v/>
      </c>
      <c r="AK588">
        <f>IF([2]Entry!$C$591="","",[2]Entry!$C$591)</f>
        <v/>
      </c>
      <c r="AL588">
        <f>IF([2]Entry!$D$591="","",[2]Entry!$D$591)</f>
        <v/>
      </c>
      <c r="AX588">
        <f>IF([4]Entry!$E$591="","",[4]Entry!$E$591)</f>
        <v/>
      </c>
      <c r="AY588">
        <f>IF([4]Entry!$H$591="","",[4]Entry!$H$591)</f>
        <v/>
      </c>
      <c r="AZ588">
        <f>IF([4]Entry!$I$591="","",[4]Entry!$I$591)</f>
        <v/>
      </c>
    </row>
    <row r="589">
      <c r="Z589">
        <f>IF([2]Entry!$E$592="","",[2]Entry!$E$592)</f>
        <v/>
      </c>
      <c r="AA589">
        <f>IF([2]Entry!$G$592="","",[2]Entry!$G$592)</f>
        <v/>
      </c>
      <c r="AB589">
        <f>IF([2]Entry!$J$592="","",[2]Entry!$J$592)</f>
        <v/>
      </c>
      <c r="AC589">
        <f>IF([2]Entry!$K$592="","",[2]Entry!$K$592)</f>
        <v/>
      </c>
      <c r="AD589">
        <f>IF([2]Entry!$L$592="","",[2]Entry!$L$592)</f>
        <v/>
      </c>
      <c r="AE589">
        <f>IF([2]Entry!$M$592="","",[2]Entry!$M$592)</f>
        <v/>
      </c>
      <c r="AF589">
        <f>IF([2]Entry!$N$592="","",[2]Entry!$N$592)</f>
        <v/>
      </c>
      <c r="AJ589">
        <f>IF([2]Entry!$S$592="","",[2]Entry!$S$592)</f>
        <v/>
      </c>
      <c r="AK589">
        <f>IF([2]Entry!$C$592="","",[2]Entry!$C$592)</f>
        <v/>
      </c>
      <c r="AL589">
        <f>IF([2]Entry!$D$592="","",[2]Entry!$D$592)</f>
        <v/>
      </c>
      <c r="AX589">
        <f>IF([4]Entry!$E$592="","",[4]Entry!$E$592)</f>
        <v/>
      </c>
      <c r="AY589">
        <f>IF([4]Entry!$H$592="","",[4]Entry!$H$592)</f>
        <v/>
      </c>
      <c r="AZ589">
        <f>IF([4]Entry!$I$592="","",[4]Entry!$I$592)</f>
        <v/>
      </c>
    </row>
    <row r="590">
      <c r="Z590">
        <f>IF([2]Entry!$E$593="","",[2]Entry!$E$593)</f>
        <v/>
      </c>
      <c r="AA590">
        <f>IF([2]Entry!$G$593="","",[2]Entry!$G$593)</f>
        <v/>
      </c>
      <c r="AB590">
        <f>IF([2]Entry!$J$593="","",[2]Entry!$J$593)</f>
        <v/>
      </c>
      <c r="AC590">
        <f>IF([2]Entry!$K$593="","",[2]Entry!$K$593)</f>
        <v/>
      </c>
      <c r="AD590">
        <f>IF([2]Entry!$L$593="","",[2]Entry!$L$593)</f>
        <v/>
      </c>
      <c r="AE590">
        <f>IF([2]Entry!$M$593="","",[2]Entry!$M$593)</f>
        <v/>
      </c>
      <c r="AF590">
        <f>IF([2]Entry!$N$593="","",[2]Entry!$N$593)</f>
        <v/>
      </c>
      <c r="AJ590">
        <f>IF([2]Entry!$S$593="","",[2]Entry!$S$593)</f>
        <v/>
      </c>
      <c r="AK590">
        <f>IF([2]Entry!$C$593="","",[2]Entry!$C$593)</f>
        <v/>
      </c>
      <c r="AL590">
        <f>IF([2]Entry!$D$593="","",[2]Entry!$D$593)</f>
        <v/>
      </c>
      <c r="AX590">
        <f>IF([4]Entry!$E$593="","",[4]Entry!$E$593)</f>
        <v/>
      </c>
      <c r="AY590">
        <f>IF([4]Entry!$H$593="","",[4]Entry!$H$593)</f>
        <v/>
      </c>
      <c r="AZ590">
        <f>IF([4]Entry!$I$593="","",[4]Entry!$I$593)</f>
        <v/>
      </c>
    </row>
    <row r="591">
      <c r="Z591">
        <f>IF([2]Entry!$E$594="","",[2]Entry!$E$594)</f>
        <v/>
      </c>
      <c r="AA591">
        <f>IF([2]Entry!$G$594="","",[2]Entry!$G$594)</f>
        <v/>
      </c>
      <c r="AB591">
        <f>IF([2]Entry!$J$594="","",[2]Entry!$J$594)</f>
        <v/>
      </c>
      <c r="AC591">
        <f>IF([2]Entry!$K$594="","",[2]Entry!$K$594)</f>
        <v/>
      </c>
      <c r="AD591">
        <f>IF([2]Entry!$L$594="","",[2]Entry!$L$594)</f>
        <v/>
      </c>
      <c r="AE591">
        <f>IF([2]Entry!$M$594="","",[2]Entry!$M$594)</f>
        <v/>
      </c>
      <c r="AF591">
        <f>IF([2]Entry!$N$594="","",[2]Entry!$N$594)</f>
        <v/>
      </c>
      <c r="AJ591">
        <f>IF([2]Entry!$S$594="","",[2]Entry!$S$594)</f>
        <v/>
      </c>
      <c r="AK591">
        <f>IF([2]Entry!$C$594="","",[2]Entry!$C$594)</f>
        <v/>
      </c>
      <c r="AL591">
        <f>IF([2]Entry!$D$594="","",[2]Entry!$D$594)</f>
        <v/>
      </c>
      <c r="AX591">
        <f>IF([4]Entry!$E$594="","",[4]Entry!$E$594)</f>
        <v/>
      </c>
      <c r="AY591">
        <f>IF([4]Entry!$H$594="","",[4]Entry!$H$594)</f>
        <v/>
      </c>
      <c r="AZ591">
        <f>IF([4]Entry!$I$594="","",[4]Entry!$I$594)</f>
        <v/>
      </c>
    </row>
    <row r="592">
      <c r="Z592">
        <f>IF([2]Entry!$E$595="","",[2]Entry!$E$595)</f>
        <v/>
      </c>
      <c r="AA592">
        <f>IF([2]Entry!$G$595="","",[2]Entry!$G$595)</f>
        <v/>
      </c>
      <c r="AB592">
        <f>IF([2]Entry!$J$595="","",[2]Entry!$J$595)</f>
        <v/>
      </c>
      <c r="AC592">
        <f>IF([2]Entry!$K$595="","",[2]Entry!$K$595)</f>
        <v/>
      </c>
      <c r="AD592">
        <f>IF([2]Entry!$L$595="","",[2]Entry!$L$595)</f>
        <v/>
      </c>
      <c r="AE592">
        <f>IF([2]Entry!$M$595="","",[2]Entry!$M$595)</f>
        <v/>
      </c>
      <c r="AF592">
        <f>IF([2]Entry!$N$595="","",[2]Entry!$N$595)</f>
        <v/>
      </c>
      <c r="AJ592">
        <f>IF([2]Entry!$S$595="","",[2]Entry!$S$595)</f>
        <v/>
      </c>
      <c r="AK592">
        <f>IF([2]Entry!$C$595="","",[2]Entry!$C$595)</f>
        <v/>
      </c>
      <c r="AL592">
        <f>IF([2]Entry!$D$595="","",[2]Entry!$D$595)</f>
        <v/>
      </c>
      <c r="AX592">
        <f>IF([4]Entry!$E$595="","",[4]Entry!$E$595)</f>
        <v/>
      </c>
      <c r="AY592">
        <f>IF([4]Entry!$H$595="","",[4]Entry!$H$595)</f>
        <v/>
      </c>
      <c r="AZ592">
        <f>IF([4]Entry!$I$595="","",[4]Entry!$I$595)</f>
        <v/>
      </c>
    </row>
    <row r="593">
      <c r="Z593">
        <f>IF([2]Entry!$E$596="","",[2]Entry!$E$596)</f>
        <v/>
      </c>
      <c r="AA593">
        <f>IF([2]Entry!$G$596="","",[2]Entry!$G$596)</f>
        <v/>
      </c>
      <c r="AB593">
        <f>IF([2]Entry!$J$596="","",[2]Entry!$J$596)</f>
        <v/>
      </c>
      <c r="AC593">
        <f>IF([2]Entry!$K$596="","",[2]Entry!$K$596)</f>
        <v/>
      </c>
      <c r="AD593">
        <f>IF([2]Entry!$L$596="","",[2]Entry!$L$596)</f>
        <v/>
      </c>
      <c r="AE593">
        <f>IF([2]Entry!$M$596="","",[2]Entry!$M$596)</f>
        <v/>
      </c>
      <c r="AF593">
        <f>IF([2]Entry!$N$596="","",[2]Entry!$N$596)</f>
        <v/>
      </c>
      <c r="AJ593">
        <f>IF([2]Entry!$S$596="","",[2]Entry!$S$596)</f>
        <v/>
      </c>
      <c r="AK593">
        <f>IF([2]Entry!$C$596="","",[2]Entry!$C$596)</f>
        <v/>
      </c>
      <c r="AL593">
        <f>IF([2]Entry!$D$596="","",[2]Entry!$D$596)</f>
        <v/>
      </c>
      <c r="AX593">
        <f>IF([4]Entry!$E$596="","",[4]Entry!$E$596)</f>
        <v/>
      </c>
      <c r="AY593">
        <f>IF([4]Entry!$H$596="","",[4]Entry!$H$596)</f>
        <v/>
      </c>
      <c r="AZ593">
        <f>IF([4]Entry!$I$596="","",[4]Entry!$I$596)</f>
        <v/>
      </c>
    </row>
    <row r="594">
      <c r="Z594">
        <f>IF([2]Entry!$E$597="","",[2]Entry!$E$597)</f>
        <v/>
      </c>
      <c r="AA594">
        <f>IF([2]Entry!$G$597="","",[2]Entry!$G$597)</f>
        <v/>
      </c>
      <c r="AB594">
        <f>IF([2]Entry!$J$597="","",[2]Entry!$J$597)</f>
        <v/>
      </c>
      <c r="AC594">
        <f>IF([2]Entry!$K$597="","",[2]Entry!$K$597)</f>
        <v/>
      </c>
      <c r="AD594">
        <f>IF([2]Entry!$L$597="","",[2]Entry!$L$597)</f>
        <v/>
      </c>
      <c r="AE594">
        <f>IF([2]Entry!$M$597="","",[2]Entry!$M$597)</f>
        <v/>
      </c>
      <c r="AF594">
        <f>IF([2]Entry!$N$597="","",[2]Entry!$N$597)</f>
        <v/>
      </c>
      <c r="AJ594">
        <f>IF([2]Entry!$S$597="","",[2]Entry!$S$597)</f>
        <v/>
      </c>
      <c r="AK594">
        <f>IF([2]Entry!$C$597="","",[2]Entry!$C$597)</f>
        <v/>
      </c>
      <c r="AL594">
        <f>IF([2]Entry!$D$597="","",[2]Entry!$D$597)</f>
        <v/>
      </c>
      <c r="AX594">
        <f>IF([4]Entry!$E$597="","",[4]Entry!$E$597)</f>
        <v/>
      </c>
      <c r="AY594">
        <f>IF([4]Entry!$H$597="","",[4]Entry!$H$597)</f>
        <v/>
      </c>
      <c r="AZ594">
        <f>IF([4]Entry!$I$597="","",[4]Entry!$I$597)</f>
        <v/>
      </c>
    </row>
    <row r="595">
      <c r="Z595">
        <f>IF([2]Entry!$E$598="","",[2]Entry!$E$598)</f>
        <v/>
      </c>
      <c r="AA595">
        <f>IF([2]Entry!$G$598="","",[2]Entry!$G$598)</f>
        <v/>
      </c>
      <c r="AB595">
        <f>IF([2]Entry!$J$598="","",[2]Entry!$J$598)</f>
        <v/>
      </c>
      <c r="AC595">
        <f>IF([2]Entry!$K$598="","",[2]Entry!$K$598)</f>
        <v/>
      </c>
      <c r="AD595">
        <f>IF([2]Entry!$L$598="","",[2]Entry!$L$598)</f>
        <v/>
      </c>
      <c r="AE595">
        <f>IF([2]Entry!$M$598="","",[2]Entry!$M$598)</f>
        <v/>
      </c>
      <c r="AF595">
        <f>IF([2]Entry!$N$598="","",[2]Entry!$N$598)</f>
        <v/>
      </c>
      <c r="AJ595">
        <f>IF([2]Entry!$S$598="","",[2]Entry!$S$598)</f>
        <v/>
      </c>
      <c r="AK595">
        <f>IF([2]Entry!$C$598="","",[2]Entry!$C$598)</f>
        <v/>
      </c>
      <c r="AL595">
        <f>IF([2]Entry!$D$598="","",[2]Entry!$D$598)</f>
        <v/>
      </c>
      <c r="AX595">
        <f>IF([4]Entry!$E$598="","",[4]Entry!$E$598)</f>
        <v/>
      </c>
      <c r="AY595">
        <f>IF([4]Entry!$H$598="","",[4]Entry!$H$598)</f>
        <v/>
      </c>
      <c r="AZ595">
        <f>IF([4]Entry!$I$598="","",[4]Entry!$I$598)</f>
        <v/>
      </c>
    </row>
    <row r="596">
      <c r="Z596">
        <f>IF([2]Entry!$E$599="","",[2]Entry!$E$599)</f>
        <v/>
      </c>
      <c r="AA596">
        <f>IF([2]Entry!$G$599="","",[2]Entry!$G$599)</f>
        <v/>
      </c>
      <c r="AB596">
        <f>IF([2]Entry!$J$599="","",[2]Entry!$J$599)</f>
        <v/>
      </c>
      <c r="AC596">
        <f>IF([2]Entry!$K$599="","",[2]Entry!$K$599)</f>
        <v/>
      </c>
      <c r="AD596">
        <f>IF([2]Entry!$L$599="","",[2]Entry!$L$599)</f>
        <v/>
      </c>
      <c r="AE596">
        <f>IF([2]Entry!$M$599="","",[2]Entry!$M$599)</f>
        <v/>
      </c>
      <c r="AF596">
        <f>IF([2]Entry!$N$599="","",[2]Entry!$N$599)</f>
        <v/>
      </c>
      <c r="AJ596">
        <f>IF([2]Entry!$S$599="","",[2]Entry!$S$599)</f>
        <v/>
      </c>
      <c r="AK596">
        <f>IF([2]Entry!$C$599="","",[2]Entry!$C$599)</f>
        <v/>
      </c>
      <c r="AL596">
        <f>IF([2]Entry!$D$599="","",[2]Entry!$D$599)</f>
        <v/>
      </c>
      <c r="AX596">
        <f>IF([4]Entry!$E$599="","",[4]Entry!$E$599)</f>
        <v/>
      </c>
      <c r="AY596">
        <f>IF([4]Entry!$H$599="","",[4]Entry!$H$599)</f>
        <v/>
      </c>
      <c r="AZ596">
        <f>IF([4]Entry!$I$599="","",[4]Entry!$I$599)</f>
        <v/>
      </c>
    </row>
    <row r="597">
      <c r="Z597">
        <f>IF([2]Entry!$E$600="","",[2]Entry!$E$600)</f>
        <v/>
      </c>
      <c r="AA597">
        <f>IF([2]Entry!$G$600="","",[2]Entry!$G$600)</f>
        <v/>
      </c>
      <c r="AB597">
        <f>IF([2]Entry!$J$600="","",[2]Entry!$J$600)</f>
        <v/>
      </c>
      <c r="AC597">
        <f>IF([2]Entry!$K$600="","",[2]Entry!$K$600)</f>
        <v/>
      </c>
      <c r="AD597">
        <f>IF([2]Entry!$L$600="","",[2]Entry!$L$600)</f>
        <v/>
      </c>
      <c r="AE597">
        <f>IF([2]Entry!$M$600="","",[2]Entry!$M$600)</f>
        <v/>
      </c>
      <c r="AF597">
        <f>IF([2]Entry!$N$600="","",[2]Entry!$N$600)</f>
        <v/>
      </c>
      <c r="AJ597">
        <f>IF([2]Entry!$S$600="","",[2]Entry!$S$600)</f>
        <v/>
      </c>
      <c r="AK597">
        <f>IF([2]Entry!$C$600="","",[2]Entry!$C$600)</f>
        <v/>
      </c>
      <c r="AL597">
        <f>IF([2]Entry!$D$600="","",[2]Entry!$D$600)</f>
        <v/>
      </c>
      <c r="AX597">
        <f>IF([4]Entry!$E$600="","",[4]Entry!$E$600)</f>
        <v/>
      </c>
      <c r="AY597">
        <f>IF([4]Entry!$H$600="","",[4]Entry!$H$600)</f>
        <v/>
      </c>
      <c r="AZ597">
        <f>IF([4]Entry!$I$600="","",[4]Entry!$I$600)</f>
        <v/>
      </c>
    </row>
    <row r="598">
      <c r="Z598">
        <f>IF([2]Entry!$E$601="","",[2]Entry!$E$601)</f>
        <v/>
      </c>
      <c r="AA598">
        <f>IF([2]Entry!$G$601="","",[2]Entry!$G$601)</f>
        <v/>
      </c>
      <c r="AB598">
        <f>IF([2]Entry!$J$601="","",[2]Entry!$J$601)</f>
        <v/>
      </c>
      <c r="AC598">
        <f>IF([2]Entry!$K$601="","",[2]Entry!$K$601)</f>
        <v/>
      </c>
      <c r="AD598">
        <f>IF([2]Entry!$L$601="","",[2]Entry!$L$601)</f>
        <v/>
      </c>
      <c r="AE598">
        <f>IF([2]Entry!$M$601="","",[2]Entry!$M$601)</f>
        <v/>
      </c>
      <c r="AF598">
        <f>IF([2]Entry!$N$601="","",[2]Entry!$N$601)</f>
        <v/>
      </c>
      <c r="AJ598">
        <f>IF([2]Entry!$S$601="","",[2]Entry!$S$601)</f>
        <v/>
      </c>
      <c r="AK598">
        <f>IF([2]Entry!$C$601="","",[2]Entry!$C$601)</f>
        <v/>
      </c>
      <c r="AL598">
        <f>IF([2]Entry!$D$601="","",[2]Entry!$D$601)</f>
        <v/>
      </c>
      <c r="AX598">
        <f>IF([4]Entry!$E$601="","",[4]Entry!$E$601)</f>
        <v/>
      </c>
      <c r="AY598">
        <f>IF([4]Entry!$H$601="","",[4]Entry!$H$601)</f>
        <v/>
      </c>
      <c r="AZ598">
        <f>IF([4]Entry!$I$601="","",[4]Entry!$I$601)</f>
        <v/>
      </c>
    </row>
    <row r="599">
      <c r="Z599">
        <f>IF([2]Entry!$E$602="","",[2]Entry!$E$602)</f>
        <v/>
      </c>
      <c r="AA599">
        <f>IF([2]Entry!$G$602="","",[2]Entry!$G$602)</f>
        <v/>
      </c>
      <c r="AB599">
        <f>IF([2]Entry!$J$602="","",[2]Entry!$J$602)</f>
        <v/>
      </c>
      <c r="AC599">
        <f>IF([2]Entry!$K$602="","",[2]Entry!$K$602)</f>
        <v/>
      </c>
      <c r="AD599">
        <f>IF([2]Entry!$L$602="","",[2]Entry!$L$602)</f>
        <v/>
      </c>
      <c r="AE599">
        <f>IF([2]Entry!$M$602="","",[2]Entry!$M$602)</f>
        <v/>
      </c>
      <c r="AF599">
        <f>IF([2]Entry!$N$602="","",[2]Entry!$N$602)</f>
        <v/>
      </c>
      <c r="AJ599">
        <f>IF([2]Entry!$S$602="","",[2]Entry!$S$602)</f>
        <v/>
      </c>
      <c r="AK599">
        <f>IF([2]Entry!$C$602="","",[2]Entry!$C$602)</f>
        <v/>
      </c>
      <c r="AL599">
        <f>IF([2]Entry!$D$602="","",[2]Entry!$D$602)</f>
        <v/>
      </c>
      <c r="AX599">
        <f>IF([4]Entry!$E$602="","",[4]Entry!$E$602)</f>
        <v/>
      </c>
      <c r="AY599">
        <f>IF([4]Entry!$H$602="","",[4]Entry!$H$602)</f>
        <v/>
      </c>
      <c r="AZ599">
        <f>IF([4]Entry!$I$602="","",[4]Entry!$I$602)</f>
        <v/>
      </c>
    </row>
    <row r="600">
      <c r="Z600">
        <f>IF([2]Entry!$E$603="","",[2]Entry!$E$603)</f>
        <v/>
      </c>
      <c r="AA600">
        <f>IF([2]Entry!$G$603="","",[2]Entry!$G$603)</f>
        <v/>
      </c>
      <c r="AB600">
        <f>IF([2]Entry!$J$603="","",[2]Entry!$J$603)</f>
        <v/>
      </c>
      <c r="AC600">
        <f>IF([2]Entry!$K$603="","",[2]Entry!$K$603)</f>
        <v/>
      </c>
      <c r="AD600">
        <f>IF([2]Entry!$L$603="","",[2]Entry!$L$603)</f>
        <v/>
      </c>
      <c r="AE600">
        <f>IF([2]Entry!$M$603="","",[2]Entry!$M$603)</f>
        <v/>
      </c>
      <c r="AF600">
        <f>IF([2]Entry!$N$603="","",[2]Entry!$N$603)</f>
        <v/>
      </c>
      <c r="AJ600">
        <f>IF([2]Entry!$S$603="","",[2]Entry!$S$603)</f>
        <v/>
      </c>
      <c r="AK600">
        <f>IF([2]Entry!$C$603="","",[2]Entry!$C$603)</f>
        <v/>
      </c>
      <c r="AL600">
        <f>IF([2]Entry!$D$603="","",[2]Entry!$D$603)</f>
        <v/>
      </c>
      <c r="AX600">
        <f>IF([4]Entry!$E$603="","",[4]Entry!$E$603)</f>
        <v/>
      </c>
      <c r="AY600">
        <f>IF([4]Entry!$H$603="","",[4]Entry!$H$603)</f>
        <v/>
      </c>
      <c r="AZ600">
        <f>IF([4]Entry!$I$603="","",[4]Entry!$I$603)</f>
        <v/>
      </c>
    </row>
    <row r="601">
      <c r="Z601">
        <f>IF([2]Entry!$E$604="","",[2]Entry!$E$604)</f>
        <v/>
      </c>
      <c r="AA601">
        <f>IF([2]Entry!$G$604="","",[2]Entry!$G$604)</f>
        <v/>
      </c>
      <c r="AB601">
        <f>IF([2]Entry!$J$604="","",[2]Entry!$J$604)</f>
        <v/>
      </c>
      <c r="AC601">
        <f>IF([2]Entry!$K$604="","",[2]Entry!$K$604)</f>
        <v/>
      </c>
      <c r="AD601">
        <f>IF([2]Entry!$L$604="","",[2]Entry!$L$604)</f>
        <v/>
      </c>
      <c r="AE601">
        <f>IF([2]Entry!$M$604="","",[2]Entry!$M$604)</f>
        <v/>
      </c>
      <c r="AF601">
        <f>IF([2]Entry!$N$604="","",[2]Entry!$N$604)</f>
        <v/>
      </c>
      <c r="AJ601">
        <f>IF([2]Entry!$S$604="","",[2]Entry!$S$604)</f>
        <v/>
      </c>
      <c r="AK601">
        <f>IF([2]Entry!$C$604="","",[2]Entry!$C$604)</f>
        <v/>
      </c>
      <c r="AL601">
        <f>IF([2]Entry!$D$604="","",[2]Entry!$D$604)</f>
        <v/>
      </c>
      <c r="AX601">
        <f>IF([4]Entry!$E$604="","",[4]Entry!$E$604)</f>
        <v/>
      </c>
      <c r="AY601">
        <f>IF([4]Entry!$H$604="","",[4]Entry!$H$604)</f>
        <v/>
      </c>
      <c r="AZ601">
        <f>IF([4]Entry!$I$604="","",[4]Entry!$I$604)</f>
        <v/>
      </c>
    </row>
    <row r="602">
      <c r="Z602">
        <f>IF([2]Entry!$E$605="","",[2]Entry!$E$605)</f>
        <v/>
      </c>
      <c r="AA602">
        <f>IF([2]Entry!$G$605="","",[2]Entry!$G$605)</f>
        <v/>
      </c>
      <c r="AB602">
        <f>IF([2]Entry!$J$605="","",[2]Entry!$J$605)</f>
        <v/>
      </c>
      <c r="AC602">
        <f>IF([2]Entry!$K$605="","",[2]Entry!$K$605)</f>
        <v/>
      </c>
      <c r="AD602">
        <f>IF([2]Entry!$L$605="","",[2]Entry!$L$605)</f>
        <v/>
      </c>
      <c r="AE602">
        <f>IF([2]Entry!$M$605="","",[2]Entry!$M$605)</f>
        <v/>
      </c>
      <c r="AF602">
        <f>IF([2]Entry!$N$605="","",[2]Entry!$N$605)</f>
        <v/>
      </c>
      <c r="AJ602">
        <f>IF([2]Entry!$S$605="","",[2]Entry!$S$605)</f>
        <v/>
      </c>
      <c r="AK602">
        <f>IF([2]Entry!$C$605="","",[2]Entry!$C$605)</f>
        <v/>
      </c>
      <c r="AL602">
        <f>IF([2]Entry!$D$605="","",[2]Entry!$D$605)</f>
        <v/>
      </c>
      <c r="AX602">
        <f>IF([4]Entry!$E$605="","",[4]Entry!$E$605)</f>
        <v/>
      </c>
      <c r="AY602">
        <f>IF([4]Entry!$H$605="","",[4]Entry!$H$605)</f>
        <v/>
      </c>
      <c r="AZ602">
        <f>IF([4]Entry!$I$605="","",[4]Entry!$I$605)</f>
        <v/>
      </c>
    </row>
    <row r="603">
      <c r="Z603">
        <f>IF([2]Entry!$E$606="","",[2]Entry!$E$606)</f>
        <v/>
      </c>
      <c r="AA603">
        <f>IF([2]Entry!$G$606="","",[2]Entry!$G$606)</f>
        <v/>
      </c>
      <c r="AB603">
        <f>IF([2]Entry!$J$606="","",[2]Entry!$J$606)</f>
        <v/>
      </c>
      <c r="AC603">
        <f>IF([2]Entry!$K$606="","",[2]Entry!$K$606)</f>
        <v/>
      </c>
      <c r="AD603">
        <f>IF([2]Entry!$L$606="","",[2]Entry!$L$606)</f>
        <v/>
      </c>
      <c r="AE603">
        <f>IF([2]Entry!$M$606="","",[2]Entry!$M$606)</f>
        <v/>
      </c>
      <c r="AF603">
        <f>IF([2]Entry!$N$606="","",[2]Entry!$N$606)</f>
        <v/>
      </c>
      <c r="AJ603">
        <f>IF([2]Entry!$S$606="","",[2]Entry!$S$606)</f>
        <v/>
      </c>
      <c r="AK603">
        <f>IF([2]Entry!$C$606="","",[2]Entry!$C$606)</f>
        <v/>
      </c>
      <c r="AL603">
        <f>IF([2]Entry!$D$606="","",[2]Entry!$D$606)</f>
        <v/>
      </c>
      <c r="AX603">
        <f>IF([4]Entry!$E$606="","",[4]Entry!$E$606)</f>
        <v/>
      </c>
      <c r="AY603">
        <f>IF([4]Entry!$H$606="","",[4]Entry!$H$606)</f>
        <v/>
      </c>
      <c r="AZ603">
        <f>IF([4]Entry!$I$606="","",[4]Entry!$I$606)</f>
        <v/>
      </c>
    </row>
    <row r="604">
      <c r="Z604">
        <f>IF([2]Entry!$E$607="","",[2]Entry!$E$607)</f>
        <v/>
      </c>
      <c r="AA604">
        <f>IF([2]Entry!$G$607="","",[2]Entry!$G$607)</f>
        <v/>
      </c>
      <c r="AB604">
        <f>IF([2]Entry!$J$607="","",[2]Entry!$J$607)</f>
        <v/>
      </c>
      <c r="AC604">
        <f>IF([2]Entry!$K$607="","",[2]Entry!$K$607)</f>
        <v/>
      </c>
      <c r="AD604">
        <f>IF([2]Entry!$L$607="","",[2]Entry!$L$607)</f>
        <v/>
      </c>
      <c r="AE604">
        <f>IF([2]Entry!$M$607="","",[2]Entry!$M$607)</f>
        <v/>
      </c>
      <c r="AF604">
        <f>IF([2]Entry!$N$607="","",[2]Entry!$N$607)</f>
        <v/>
      </c>
      <c r="AJ604">
        <f>IF([2]Entry!$S$607="","",[2]Entry!$S$607)</f>
        <v/>
      </c>
      <c r="AK604">
        <f>IF([2]Entry!$C$607="","",[2]Entry!$C$607)</f>
        <v/>
      </c>
      <c r="AL604">
        <f>IF([2]Entry!$D$607="","",[2]Entry!$D$607)</f>
        <v/>
      </c>
      <c r="AX604">
        <f>IF([4]Entry!$E$607="","",[4]Entry!$E$607)</f>
        <v/>
      </c>
      <c r="AY604">
        <f>IF([4]Entry!$H$607="","",[4]Entry!$H$607)</f>
        <v/>
      </c>
      <c r="AZ604">
        <f>IF([4]Entry!$I$607="","",[4]Entry!$I$607)</f>
        <v/>
      </c>
    </row>
    <row r="605">
      <c r="Z605">
        <f>IF([2]Entry!$E$608="","",[2]Entry!$E$608)</f>
        <v/>
      </c>
      <c r="AA605">
        <f>IF([2]Entry!$G$608="","",[2]Entry!$G$608)</f>
        <v/>
      </c>
      <c r="AB605">
        <f>IF([2]Entry!$J$608="","",[2]Entry!$J$608)</f>
        <v/>
      </c>
      <c r="AC605">
        <f>IF([2]Entry!$K$608="","",[2]Entry!$K$608)</f>
        <v/>
      </c>
      <c r="AD605">
        <f>IF([2]Entry!$L$608="","",[2]Entry!$L$608)</f>
        <v/>
      </c>
      <c r="AE605">
        <f>IF([2]Entry!$M$608="","",[2]Entry!$M$608)</f>
        <v/>
      </c>
      <c r="AF605">
        <f>IF([2]Entry!$N$608="","",[2]Entry!$N$608)</f>
        <v/>
      </c>
      <c r="AJ605">
        <f>IF([2]Entry!$S$608="","",[2]Entry!$S$608)</f>
        <v/>
      </c>
      <c r="AK605">
        <f>IF([2]Entry!$C$608="","",[2]Entry!$C$608)</f>
        <v/>
      </c>
      <c r="AL605">
        <f>IF([2]Entry!$D$608="","",[2]Entry!$D$608)</f>
        <v/>
      </c>
      <c r="AX605">
        <f>IF([4]Entry!$E$608="","",[4]Entry!$E$608)</f>
        <v/>
      </c>
      <c r="AY605">
        <f>IF([4]Entry!$H$608="","",[4]Entry!$H$608)</f>
        <v/>
      </c>
      <c r="AZ605">
        <f>IF([4]Entry!$I$608="","",[4]Entry!$I$608)</f>
        <v/>
      </c>
    </row>
    <row r="606">
      <c r="Z606">
        <f>IF([2]Entry!$E$609="","",[2]Entry!$E$609)</f>
        <v/>
      </c>
      <c r="AA606">
        <f>IF([2]Entry!$G$609="","",[2]Entry!$G$609)</f>
        <v/>
      </c>
      <c r="AB606">
        <f>IF([2]Entry!$J$609="","",[2]Entry!$J$609)</f>
        <v/>
      </c>
      <c r="AC606">
        <f>IF([2]Entry!$K$609="","",[2]Entry!$K$609)</f>
        <v/>
      </c>
      <c r="AD606">
        <f>IF([2]Entry!$L$609="","",[2]Entry!$L$609)</f>
        <v/>
      </c>
      <c r="AE606">
        <f>IF([2]Entry!$M$609="","",[2]Entry!$M$609)</f>
        <v/>
      </c>
      <c r="AF606">
        <f>IF([2]Entry!$N$609="","",[2]Entry!$N$609)</f>
        <v/>
      </c>
      <c r="AJ606">
        <f>IF([2]Entry!$S$609="","",[2]Entry!$S$609)</f>
        <v/>
      </c>
      <c r="AK606">
        <f>IF([2]Entry!$C$609="","",[2]Entry!$C$609)</f>
        <v/>
      </c>
      <c r="AL606">
        <f>IF([2]Entry!$D$609="","",[2]Entry!$D$609)</f>
        <v/>
      </c>
      <c r="AX606">
        <f>IF([4]Entry!$E$609="","",[4]Entry!$E$609)</f>
        <v/>
      </c>
      <c r="AY606">
        <f>IF([4]Entry!$H$609="","",[4]Entry!$H$609)</f>
        <v/>
      </c>
      <c r="AZ606">
        <f>IF([4]Entry!$I$609="","",[4]Entry!$I$609)</f>
        <v/>
      </c>
    </row>
    <row r="607">
      <c r="Z607">
        <f>IF([2]Entry!$E$610="","",[2]Entry!$E$610)</f>
        <v/>
      </c>
      <c r="AA607">
        <f>IF([2]Entry!$G$610="","",[2]Entry!$G$610)</f>
        <v/>
      </c>
      <c r="AB607">
        <f>IF([2]Entry!$J$610="","",[2]Entry!$J$610)</f>
        <v/>
      </c>
      <c r="AC607">
        <f>IF([2]Entry!$K$610="","",[2]Entry!$K$610)</f>
        <v/>
      </c>
      <c r="AD607">
        <f>IF([2]Entry!$L$610="","",[2]Entry!$L$610)</f>
        <v/>
      </c>
      <c r="AE607">
        <f>IF([2]Entry!$M$610="","",[2]Entry!$M$610)</f>
        <v/>
      </c>
      <c r="AF607">
        <f>IF([2]Entry!$N$610="","",[2]Entry!$N$610)</f>
        <v/>
      </c>
      <c r="AJ607">
        <f>IF([2]Entry!$S$610="","",[2]Entry!$S$610)</f>
        <v/>
      </c>
      <c r="AK607">
        <f>IF([2]Entry!$C$610="","",[2]Entry!$C$610)</f>
        <v/>
      </c>
      <c r="AL607">
        <f>IF([2]Entry!$D$610="","",[2]Entry!$D$610)</f>
        <v/>
      </c>
      <c r="AX607">
        <f>IF([4]Entry!$E$610="","",[4]Entry!$E$610)</f>
        <v/>
      </c>
      <c r="AY607">
        <f>IF([4]Entry!$H$610="","",[4]Entry!$H$610)</f>
        <v/>
      </c>
      <c r="AZ607">
        <f>IF([4]Entry!$I$610="","",[4]Entry!$I$610)</f>
        <v/>
      </c>
    </row>
    <row r="608">
      <c r="Z608">
        <f>IF([2]Entry!$E$611="","",[2]Entry!$E$611)</f>
        <v/>
      </c>
      <c r="AA608">
        <f>IF([2]Entry!$G$611="","",[2]Entry!$G$611)</f>
        <v/>
      </c>
      <c r="AB608">
        <f>IF([2]Entry!$J$611="","",[2]Entry!$J$611)</f>
        <v/>
      </c>
      <c r="AC608">
        <f>IF([2]Entry!$K$611="","",[2]Entry!$K$611)</f>
        <v/>
      </c>
      <c r="AD608">
        <f>IF([2]Entry!$L$611="","",[2]Entry!$L$611)</f>
        <v/>
      </c>
      <c r="AE608">
        <f>IF([2]Entry!$M$611="","",[2]Entry!$M$611)</f>
        <v/>
      </c>
      <c r="AF608">
        <f>IF([2]Entry!$N$611="","",[2]Entry!$N$611)</f>
        <v/>
      </c>
      <c r="AJ608">
        <f>IF([2]Entry!$S$611="","",[2]Entry!$S$611)</f>
        <v/>
      </c>
      <c r="AK608">
        <f>IF([2]Entry!$C$611="","",[2]Entry!$C$611)</f>
        <v/>
      </c>
      <c r="AL608">
        <f>IF([2]Entry!$D$611="","",[2]Entry!$D$611)</f>
        <v/>
      </c>
      <c r="AX608">
        <f>IF([4]Entry!$E$611="","",[4]Entry!$E$611)</f>
        <v/>
      </c>
      <c r="AY608">
        <f>IF([4]Entry!$H$611="","",[4]Entry!$H$611)</f>
        <v/>
      </c>
      <c r="AZ608">
        <f>IF([4]Entry!$I$611="","",[4]Entry!$I$611)</f>
        <v/>
      </c>
    </row>
    <row r="609">
      <c r="Z609">
        <f>IF([2]Entry!$E$612="","",[2]Entry!$E$612)</f>
        <v/>
      </c>
      <c r="AA609">
        <f>IF([2]Entry!$G$612="","",[2]Entry!$G$612)</f>
        <v/>
      </c>
      <c r="AB609">
        <f>IF([2]Entry!$J$612="","",[2]Entry!$J$612)</f>
        <v/>
      </c>
      <c r="AC609">
        <f>IF([2]Entry!$K$612="","",[2]Entry!$K$612)</f>
        <v/>
      </c>
      <c r="AD609">
        <f>IF([2]Entry!$L$612="","",[2]Entry!$L$612)</f>
        <v/>
      </c>
      <c r="AE609">
        <f>IF([2]Entry!$M$612="","",[2]Entry!$M$612)</f>
        <v/>
      </c>
      <c r="AF609">
        <f>IF([2]Entry!$N$612="","",[2]Entry!$N$612)</f>
        <v/>
      </c>
      <c r="AJ609">
        <f>IF([2]Entry!$S$612="","",[2]Entry!$S$612)</f>
        <v/>
      </c>
      <c r="AK609">
        <f>IF([2]Entry!$C$612="","",[2]Entry!$C$612)</f>
        <v/>
      </c>
      <c r="AL609">
        <f>IF([2]Entry!$D$612="","",[2]Entry!$D$612)</f>
        <v/>
      </c>
      <c r="AX609">
        <f>IF([4]Entry!$E$612="","",[4]Entry!$E$612)</f>
        <v/>
      </c>
      <c r="AY609">
        <f>IF([4]Entry!$H$612="","",[4]Entry!$H$612)</f>
        <v/>
      </c>
      <c r="AZ609">
        <f>IF([4]Entry!$I$612="","",[4]Entry!$I$612)</f>
        <v/>
      </c>
    </row>
    <row r="610">
      <c r="Z610">
        <f>IF([2]Entry!$E$613="","",[2]Entry!$E$613)</f>
        <v/>
      </c>
      <c r="AA610">
        <f>IF([2]Entry!$G$613="","",[2]Entry!$G$613)</f>
        <v/>
      </c>
      <c r="AB610">
        <f>IF([2]Entry!$J$613="","",[2]Entry!$J$613)</f>
        <v/>
      </c>
      <c r="AC610">
        <f>IF([2]Entry!$K$613="","",[2]Entry!$K$613)</f>
        <v/>
      </c>
      <c r="AD610">
        <f>IF([2]Entry!$L$613="","",[2]Entry!$L$613)</f>
        <v/>
      </c>
      <c r="AE610">
        <f>IF([2]Entry!$M$613="","",[2]Entry!$M$613)</f>
        <v/>
      </c>
      <c r="AF610">
        <f>IF([2]Entry!$N$613="","",[2]Entry!$N$613)</f>
        <v/>
      </c>
      <c r="AJ610">
        <f>IF([2]Entry!$S$613="","",[2]Entry!$S$613)</f>
        <v/>
      </c>
      <c r="AK610">
        <f>IF([2]Entry!$C$613="","",[2]Entry!$C$613)</f>
        <v/>
      </c>
      <c r="AL610">
        <f>IF([2]Entry!$D$613="","",[2]Entry!$D$613)</f>
        <v/>
      </c>
      <c r="AX610">
        <f>IF([4]Entry!$E$613="","",[4]Entry!$E$613)</f>
        <v/>
      </c>
      <c r="AY610">
        <f>IF([4]Entry!$H$613="","",[4]Entry!$H$613)</f>
        <v/>
      </c>
      <c r="AZ610">
        <f>IF([4]Entry!$I$613="","",[4]Entry!$I$613)</f>
        <v/>
      </c>
    </row>
    <row r="611">
      <c r="Z611">
        <f>IF([2]Entry!$E$614="","",[2]Entry!$E$614)</f>
        <v/>
      </c>
      <c r="AA611">
        <f>IF([2]Entry!$G$614="","",[2]Entry!$G$614)</f>
        <v/>
      </c>
      <c r="AB611">
        <f>IF([2]Entry!$J$614="","",[2]Entry!$J$614)</f>
        <v/>
      </c>
      <c r="AC611">
        <f>IF([2]Entry!$K$614="","",[2]Entry!$K$614)</f>
        <v/>
      </c>
      <c r="AD611">
        <f>IF([2]Entry!$L$614="","",[2]Entry!$L$614)</f>
        <v/>
      </c>
      <c r="AE611">
        <f>IF([2]Entry!$M$614="","",[2]Entry!$M$614)</f>
        <v/>
      </c>
      <c r="AF611">
        <f>IF([2]Entry!$N$614="","",[2]Entry!$N$614)</f>
        <v/>
      </c>
      <c r="AJ611">
        <f>IF([2]Entry!$S$614="","",[2]Entry!$S$614)</f>
        <v/>
      </c>
      <c r="AK611">
        <f>IF([2]Entry!$C$614="","",[2]Entry!$C$614)</f>
        <v/>
      </c>
      <c r="AL611">
        <f>IF([2]Entry!$D$614="","",[2]Entry!$D$614)</f>
        <v/>
      </c>
      <c r="AX611">
        <f>IF([4]Entry!$E$614="","",[4]Entry!$E$614)</f>
        <v/>
      </c>
      <c r="AY611">
        <f>IF([4]Entry!$H$614="","",[4]Entry!$H$614)</f>
        <v/>
      </c>
      <c r="AZ611">
        <f>IF([4]Entry!$I$614="","",[4]Entry!$I$614)</f>
        <v/>
      </c>
    </row>
    <row r="612">
      <c r="Z612">
        <f>IF([2]Entry!$E$615="","",[2]Entry!$E$615)</f>
        <v/>
      </c>
      <c r="AA612">
        <f>IF([2]Entry!$G$615="","",[2]Entry!$G$615)</f>
        <v/>
      </c>
      <c r="AB612">
        <f>IF([2]Entry!$J$615="","",[2]Entry!$J$615)</f>
        <v/>
      </c>
      <c r="AC612">
        <f>IF([2]Entry!$K$615="","",[2]Entry!$K$615)</f>
        <v/>
      </c>
      <c r="AD612">
        <f>IF([2]Entry!$L$615="","",[2]Entry!$L$615)</f>
        <v/>
      </c>
      <c r="AE612">
        <f>IF([2]Entry!$M$615="","",[2]Entry!$M$615)</f>
        <v/>
      </c>
      <c r="AF612">
        <f>IF([2]Entry!$N$615="","",[2]Entry!$N$615)</f>
        <v/>
      </c>
      <c r="AJ612">
        <f>IF([2]Entry!$S$615="","",[2]Entry!$S$615)</f>
        <v/>
      </c>
      <c r="AK612">
        <f>IF([2]Entry!$C$615="","",[2]Entry!$C$615)</f>
        <v/>
      </c>
      <c r="AL612">
        <f>IF([2]Entry!$D$615="","",[2]Entry!$D$615)</f>
        <v/>
      </c>
      <c r="AX612">
        <f>IF([4]Entry!$E$615="","",[4]Entry!$E$615)</f>
        <v/>
      </c>
      <c r="AY612">
        <f>IF([4]Entry!$H$615="","",[4]Entry!$H$615)</f>
        <v/>
      </c>
      <c r="AZ612">
        <f>IF([4]Entry!$I$615="","",[4]Entry!$I$615)</f>
        <v/>
      </c>
    </row>
    <row r="613">
      <c r="Z613">
        <f>IF([2]Entry!$E$616="","",[2]Entry!$E$616)</f>
        <v/>
      </c>
      <c r="AA613">
        <f>IF([2]Entry!$G$616="","",[2]Entry!$G$616)</f>
        <v/>
      </c>
      <c r="AB613">
        <f>IF([2]Entry!$J$616="","",[2]Entry!$J$616)</f>
        <v/>
      </c>
      <c r="AC613">
        <f>IF([2]Entry!$K$616="","",[2]Entry!$K$616)</f>
        <v/>
      </c>
      <c r="AD613">
        <f>IF([2]Entry!$L$616="","",[2]Entry!$L$616)</f>
        <v/>
      </c>
      <c r="AE613">
        <f>IF([2]Entry!$M$616="","",[2]Entry!$M$616)</f>
        <v/>
      </c>
      <c r="AF613">
        <f>IF([2]Entry!$N$616="","",[2]Entry!$N$616)</f>
        <v/>
      </c>
      <c r="AJ613">
        <f>IF([2]Entry!$S$616="","",[2]Entry!$S$616)</f>
        <v/>
      </c>
      <c r="AK613">
        <f>IF([2]Entry!$C$616="","",[2]Entry!$C$616)</f>
        <v/>
      </c>
      <c r="AL613">
        <f>IF([2]Entry!$D$616="","",[2]Entry!$D$616)</f>
        <v/>
      </c>
      <c r="AX613">
        <f>IF([4]Entry!$E$616="","",[4]Entry!$E$616)</f>
        <v/>
      </c>
      <c r="AY613">
        <f>IF([4]Entry!$H$616="","",[4]Entry!$H$616)</f>
        <v/>
      </c>
      <c r="AZ613">
        <f>IF([4]Entry!$I$616="","",[4]Entry!$I$616)</f>
        <v/>
      </c>
    </row>
    <row r="614">
      <c r="Z614">
        <f>IF([2]Entry!$E$617="","",[2]Entry!$E$617)</f>
        <v/>
      </c>
      <c r="AA614">
        <f>IF([2]Entry!$G$617="","",[2]Entry!$G$617)</f>
        <v/>
      </c>
      <c r="AB614">
        <f>IF([2]Entry!$J$617="","",[2]Entry!$J$617)</f>
        <v/>
      </c>
      <c r="AC614">
        <f>IF([2]Entry!$K$617="","",[2]Entry!$K$617)</f>
        <v/>
      </c>
      <c r="AD614">
        <f>IF([2]Entry!$L$617="","",[2]Entry!$L$617)</f>
        <v/>
      </c>
      <c r="AE614">
        <f>IF([2]Entry!$M$617="","",[2]Entry!$M$617)</f>
        <v/>
      </c>
      <c r="AF614">
        <f>IF([2]Entry!$N$617="","",[2]Entry!$N$617)</f>
        <v/>
      </c>
      <c r="AJ614">
        <f>IF([2]Entry!$S$617="","",[2]Entry!$S$617)</f>
        <v/>
      </c>
      <c r="AK614">
        <f>IF([2]Entry!$C$617="","",[2]Entry!$C$617)</f>
        <v/>
      </c>
      <c r="AL614">
        <f>IF([2]Entry!$D$617="","",[2]Entry!$D$617)</f>
        <v/>
      </c>
      <c r="AX614">
        <f>IF([4]Entry!$E$617="","",[4]Entry!$E$617)</f>
        <v/>
      </c>
      <c r="AY614">
        <f>IF([4]Entry!$H$617="","",[4]Entry!$H$617)</f>
        <v/>
      </c>
      <c r="AZ614">
        <f>IF([4]Entry!$I$617="","",[4]Entry!$I$617)</f>
        <v/>
      </c>
    </row>
    <row r="615">
      <c r="Z615">
        <f>IF([2]Entry!$E$618="","",[2]Entry!$E$618)</f>
        <v/>
      </c>
      <c r="AA615">
        <f>IF([2]Entry!$G$618="","",[2]Entry!$G$618)</f>
        <v/>
      </c>
      <c r="AB615">
        <f>IF([2]Entry!$J$618="","",[2]Entry!$J$618)</f>
        <v/>
      </c>
      <c r="AC615">
        <f>IF([2]Entry!$K$618="","",[2]Entry!$K$618)</f>
        <v/>
      </c>
      <c r="AD615">
        <f>IF([2]Entry!$L$618="","",[2]Entry!$L$618)</f>
        <v/>
      </c>
      <c r="AE615">
        <f>IF([2]Entry!$M$618="","",[2]Entry!$M$618)</f>
        <v/>
      </c>
      <c r="AF615">
        <f>IF([2]Entry!$N$618="","",[2]Entry!$N$618)</f>
        <v/>
      </c>
      <c r="AJ615">
        <f>IF([2]Entry!$S$618="","",[2]Entry!$S$618)</f>
        <v/>
      </c>
      <c r="AK615">
        <f>IF([2]Entry!$C$618="","",[2]Entry!$C$618)</f>
        <v/>
      </c>
      <c r="AL615">
        <f>IF([2]Entry!$D$618="","",[2]Entry!$D$618)</f>
        <v/>
      </c>
      <c r="AX615">
        <f>IF([4]Entry!$E$618="","",[4]Entry!$E$618)</f>
        <v/>
      </c>
      <c r="AY615">
        <f>IF([4]Entry!$H$618="","",[4]Entry!$H$618)</f>
        <v/>
      </c>
      <c r="AZ615">
        <f>IF([4]Entry!$I$618="","",[4]Entry!$I$618)</f>
        <v/>
      </c>
    </row>
    <row r="616">
      <c r="Z616">
        <f>IF([2]Entry!$E$619="","",[2]Entry!$E$619)</f>
        <v/>
      </c>
      <c r="AA616">
        <f>IF([2]Entry!$G$619="","",[2]Entry!$G$619)</f>
        <v/>
      </c>
      <c r="AB616">
        <f>IF([2]Entry!$J$619="","",[2]Entry!$J$619)</f>
        <v/>
      </c>
      <c r="AC616">
        <f>IF([2]Entry!$K$619="","",[2]Entry!$K$619)</f>
        <v/>
      </c>
      <c r="AD616">
        <f>IF([2]Entry!$L$619="","",[2]Entry!$L$619)</f>
        <v/>
      </c>
      <c r="AE616">
        <f>IF([2]Entry!$M$619="","",[2]Entry!$M$619)</f>
        <v/>
      </c>
      <c r="AF616">
        <f>IF([2]Entry!$N$619="","",[2]Entry!$N$619)</f>
        <v/>
      </c>
      <c r="AJ616">
        <f>IF([2]Entry!$S$619="","",[2]Entry!$S$619)</f>
        <v/>
      </c>
      <c r="AK616">
        <f>IF([2]Entry!$C$619="","",[2]Entry!$C$619)</f>
        <v/>
      </c>
      <c r="AL616">
        <f>IF([2]Entry!$D$619="","",[2]Entry!$D$619)</f>
        <v/>
      </c>
      <c r="AX616">
        <f>IF([4]Entry!$E$619="","",[4]Entry!$E$619)</f>
        <v/>
      </c>
      <c r="AY616">
        <f>IF([4]Entry!$H$619="","",[4]Entry!$H$619)</f>
        <v/>
      </c>
      <c r="AZ616">
        <f>IF([4]Entry!$I$619="","",[4]Entry!$I$619)</f>
        <v/>
      </c>
    </row>
    <row r="617">
      <c r="Z617">
        <f>IF([2]Entry!$E$620="","",[2]Entry!$E$620)</f>
        <v/>
      </c>
      <c r="AA617">
        <f>IF([2]Entry!$G$620="","",[2]Entry!$G$620)</f>
        <v/>
      </c>
      <c r="AB617">
        <f>IF([2]Entry!$J$620="","",[2]Entry!$J$620)</f>
        <v/>
      </c>
      <c r="AC617">
        <f>IF([2]Entry!$K$620="","",[2]Entry!$K$620)</f>
        <v/>
      </c>
      <c r="AD617">
        <f>IF([2]Entry!$L$620="","",[2]Entry!$L$620)</f>
        <v/>
      </c>
      <c r="AE617">
        <f>IF([2]Entry!$M$620="","",[2]Entry!$M$620)</f>
        <v/>
      </c>
      <c r="AF617">
        <f>IF([2]Entry!$N$620="","",[2]Entry!$N$620)</f>
        <v/>
      </c>
      <c r="AJ617">
        <f>IF([2]Entry!$S$620="","",[2]Entry!$S$620)</f>
        <v/>
      </c>
      <c r="AK617">
        <f>IF([2]Entry!$C$620="","",[2]Entry!$C$620)</f>
        <v/>
      </c>
      <c r="AL617">
        <f>IF([2]Entry!$D$620="","",[2]Entry!$D$620)</f>
        <v/>
      </c>
      <c r="AX617">
        <f>IF([4]Entry!$E$620="","",[4]Entry!$E$620)</f>
        <v/>
      </c>
      <c r="AY617">
        <f>IF([4]Entry!$H$620="","",[4]Entry!$H$620)</f>
        <v/>
      </c>
      <c r="AZ617">
        <f>IF([4]Entry!$I$620="","",[4]Entry!$I$620)</f>
        <v/>
      </c>
    </row>
    <row r="618">
      <c r="Z618">
        <f>IF([2]Entry!$E$621="","",[2]Entry!$E$621)</f>
        <v/>
      </c>
      <c r="AA618">
        <f>IF([2]Entry!$G$621="","",[2]Entry!$G$621)</f>
        <v/>
      </c>
      <c r="AB618">
        <f>IF([2]Entry!$J$621="","",[2]Entry!$J$621)</f>
        <v/>
      </c>
      <c r="AC618">
        <f>IF([2]Entry!$K$621="","",[2]Entry!$K$621)</f>
        <v/>
      </c>
      <c r="AD618">
        <f>IF([2]Entry!$L$621="","",[2]Entry!$L$621)</f>
        <v/>
      </c>
      <c r="AE618">
        <f>IF([2]Entry!$M$621="","",[2]Entry!$M$621)</f>
        <v/>
      </c>
      <c r="AF618">
        <f>IF([2]Entry!$N$621="","",[2]Entry!$N$621)</f>
        <v/>
      </c>
      <c r="AJ618">
        <f>IF([2]Entry!$S$621="","",[2]Entry!$S$621)</f>
        <v/>
      </c>
      <c r="AK618">
        <f>IF([2]Entry!$C$621="","",[2]Entry!$C$621)</f>
        <v/>
      </c>
      <c r="AL618">
        <f>IF([2]Entry!$D$621="","",[2]Entry!$D$621)</f>
        <v/>
      </c>
      <c r="AX618">
        <f>IF([4]Entry!$E$621="","",[4]Entry!$E$621)</f>
        <v/>
      </c>
      <c r="AY618">
        <f>IF([4]Entry!$H$621="","",[4]Entry!$H$621)</f>
        <v/>
      </c>
      <c r="AZ618">
        <f>IF([4]Entry!$I$621="","",[4]Entry!$I$621)</f>
        <v/>
      </c>
    </row>
    <row r="619">
      <c r="Z619">
        <f>IF([2]Entry!$E$622="","",[2]Entry!$E$622)</f>
        <v/>
      </c>
      <c r="AA619">
        <f>IF([2]Entry!$G$622="","",[2]Entry!$G$622)</f>
        <v/>
      </c>
      <c r="AB619">
        <f>IF([2]Entry!$J$622="","",[2]Entry!$J$622)</f>
        <v/>
      </c>
      <c r="AC619">
        <f>IF([2]Entry!$K$622="","",[2]Entry!$K$622)</f>
        <v/>
      </c>
      <c r="AD619">
        <f>IF([2]Entry!$L$622="","",[2]Entry!$L$622)</f>
        <v/>
      </c>
      <c r="AE619">
        <f>IF([2]Entry!$M$622="","",[2]Entry!$M$622)</f>
        <v/>
      </c>
      <c r="AF619">
        <f>IF([2]Entry!$N$622="","",[2]Entry!$N$622)</f>
        <v/>
      </c>
      <c r="AJ619">
        <f>IF([2]Entry!$S$622="","",[2]Entry!$S$622)</f>
        <v/>
      </c>
      <c r="AK619">
        <f>IF([2]Entry!$C$622="","",[2]Entry!$C$622)</f>
        <v/>
      </c>
      <c r="AL619">
        <f>IF([2]Entry!$D$622="","",[2]Entry!$D$622)</f>
        <v/>
      </c>
      <c r="AX619">
        <f>IF([4]Entry!$E$622="","",[4]Entry!$E$622)</f>
        <v/>
      </c>
      <c r="AY619">
        <f>IF([4]Entry!$H$622="","",[4]Entry!$H$622)</f>
        <v/>
      </c>
      <c r="AZ619">
        <f>IF([4]Entry!$I$622="","",[4]Entry!$I$622)</f>
        <v/>
      </c>
    </row>
    <row r="620">
      <c r="Z620">
        <f>IF([2]Entry!$E$623="","",[2]Entry!$E$623)</f>
        <v/>
      </c>
      <c r="AA620">
        <f>IF([2]Entry!$G$623="","",[2]Entry!$G$623)</f>
        <v/>
      </c>
      <c r="AB620">
        <f>IF([2]Entry!$J$623="","",[2]Entry!$J$623)</f>
        <v/>
      </c>
      <c r="AC620">
        <f>IF([2]Entry!$K$623="","",[2]Entry!$K$623)</f>
        <v/>
      </c>
      <c r="AD620">
        <f>IF([2]Entry!$L$623="","",[2]Entry!$L$623)</f>
        <v/>
      </c>
      <c r="AE620">
        <f>IF([2]Entry!$M$623="","",[2]Entry!$M$623)</f>
        <v/>
      </c>
      <c r="AF620">
        <f>IF([2]Entry!$N$623="","",[2]Entry!$N$623)</f>
        <v/>
      </c>
      <c r="AJ620">
        <f>IF([2]Entry!$S$623="","",[2]Entry!$S$623)</f>
        <v/>
      </c>
      <c r="AK620">
        <f>IF([2]Entry!$C$623="","",[2]Entry!$C$623)</f>
        <v/>
      </c>
      <c r="AL620">
        <f>IF([2]Entry!$D$623="","",[2]Entry!$D$623)</f>
        <v/>
      </c>
      <c r="AX620">
        <f>IF([4]Entry!$E$623="","",[4]Entry!$E$623)</f>
        <v/>
      </c>
      <c r="AY620">
        <f>IF([4]Entry!$H$623="","",[4]Entry!$H$623)</f>
        <v/>
      </c>
      <c r="AZ620">
        <f>IF([4]Entry!$I$623="","",[4]Entry!$I$623)</f>
        <v/>
      </c>
    </row>
    <row r="621">
      <c r="Z621">
        <f>IF([2]Entry!$E$624="","",[2]Entry!$E$624)</f>
        <v/>
      </c>
      <c r="AA621">
        <f>IF([2]Entry!$G$624="","",[2]Entry!$G$624)</f>
        <v/>
      </c>
      <c r="AB621">
        <f>IF([2]Entry!$J$624="","",[2]Entry!$J$624)</f>
        <v/>
      </c>
      <c r="AC621">
        <f>IF([2]Entry!$K$624="","",[2]Entry!$K$624)</f>
        <v/>
      </c>
      <c r="AD621">
        <f>IF([2]Entry!$L$624="","",[2]Entry!$L$624)</f>
        <v/>
      </c>
      <c r="AE621">
        <f>IF([2]Entry!$M$624="","",[2]Entry!$M$624)</f>
        <v/>
      </c>
      <c r="AF621">
        <f>IF([2]Entry!$N$624="","",[2]Entry!$N$624)</f>
        <v/>
      </c>
      <c r="AJ621">
        <f>IF([2]Entry!$S$624="","",[2]Entry!$S$624)</f>
        <v/>
      </c>
      <c r="AK621">
        <f>IF([2]Entry!$C$624="","",[2]Entry!$C$624)</f>
        <v/>
      </c>
      <c r="AL621">
        <f>IF([2]Entry!$D$624="","",[2]Entry!$D$624)</f>
        <v/>
      </c>
      <c r="AX621">
        <f>IF([4]Entry!$E$624="","",[4]Entry!$E$624)</f>
        <v/>
      </c>
      <c r="AY621">
        <f>IF([4]Entry!$H$624="","",[4]Entry!$H$624)</f>
        <v/>
      </c>
      <c r="AZ621">
        <f>IF([4]Entry!$I$624="","",[4]Entry!$I$624)</f>
        <v/>
      </c>
    </row>
    <row r="622">
      <c r="Z622">
        <f>IF([2]Entry!$E$625="","",[2]Entry!$E$625)</f>
        <v/>
      </c>
      <c r="AA622">
        <f>IF([2]Entry!$G$625="","",[2]Entry!$G$625)</f>
        <v/>
      </c>
      <c r="AB622">
        <f>IF([2]Entry!$J$625="","",[2]Entry!$J$625)</f>
        <v/>
      </c>
      <c r="AC622">
        <f>IF([2]Entry!$K$625="","",[2]Entry!$K$625)</f>
        <v/>
      </c>
      <c r="AD622">
        <f>IF([2]Entry!$L$625="","",[2]Entry!$L$625)</f>
        <v/>
      </c>
      <c r="AE622">
        <f>IF([2]Entry!$M$625="","",[2]Entry!$M$625)</f>
        <v/>
      </c>
      <c r="AF622">
        <f>IF([2]Entry!$N$625="","",[2]Entry!$N$625)</f>
        <v/>
      </c>
      <c r="AJ622">
        <f>IF([2]Entry!$S$625="","",[2]Entry!$S$625)</f>
        <v/>
      </c>
      <c r="AK622">
        <f>IF([2]Entry!$C$625="","",[2]Entry!$C$625)</f>
        <v/>
      </c>
      <c r="AL622">
        <f>IF([2]Entry!$D$625="","",[2]Entry!$D$625)</f>
        <v/>
      </c>
      <c r="AX622">
        <f>IF([4]Entry!$E$625="","",[4]Entry!$E$625)</f>
        <v/>
      </c>
      <c r="AY622">
        <f>IF([4]Entry!$H$625="","",[4]Entry!$H$625)</f>
        <v/>
      </c>
      <c r="AZ622">
        <f>IF([4]Entry!$I$625="","",[4]Entry!$I$625)</f>
        <v/>
      </c>
    </row>
    <row r="623">
      <c r="Z623">
        <f>IF([2]Entry!$E$626="","",[2]Entry!$E$626)</f>
        <v/>
      </c>
      <c r="AA623">
        <f>IF([2]Entry!$G$626="","",[2]Entry!$G$626)</f>
        <v/>
      </c>
      <c r="AB623">
        <f>IF([2]Entry!$J$626="","",[2]Entry!$J$626)</f>
        <v/>
      </c>
      <c r="AC623">
        <f>IF([2]Entry!$K$626="","",[2]Entry!$K$626)</f>
        <v/>
      </c>
      <c r="AD623">
        <f>IF([2]Entry!$L$626="","",[2]Entry!$L$626)</f>
        <v/>
      </c>
      <c r="AE623">
        <f>IF([2]Entry!$M$626="","",[2]Entry!$M$626)</f>
        <v/>
      </c>
      <c r="AF623">
        <f>IF([2]Entry!$N$626="","",[2]Entry!$N$626)</f>
        <v/>
      </c>
      <c r="AJ623">
        <f>IF([2]Entry!$S$626="","",[2]Entry!$S$626)</f>
        <v/>
      </c>
      <c r="AK623">
        <f>IF([2]Entry!$C$626="","",[2]Entry!$C$626)</f>
        <v/>
      </c>
      <c r="AL623">
        <f>IF([2]Entry!$D$626="","",[2]Entry!$D$626)</f>
        <v/>
      </c>
      <c r="AX623">
        <f>IF([4]Entry!$E$626="","",[4]Entry!$E$626)</f>
        <v/>
      </c>
      <c r="AY623">
        <f>IF([4]Entry!$H$626="","",[4]Entry!$H$626)</f>
        <v/>
      </c>
      <c r="AZ623">
        <f>IF([4]Entry!$I$626="","",[4]Entry!$I$626)</f>
        <v/>
      </c>
    </row>
    <row r="624">
      <c r="Z624">
        <f>IF([2]Entry!$E$627="","",[2]Entry!$E$627)</f>
        <v/>
      </c>
      <c r="AA624">
        <f>IF([2]Entry!$G$627="","",[2]Entry!$G$627)</f>
        <v/>
      </c>
      <c r="AB624">
        <f>IF([2]Entry!$J$627="","",[2]Entry!$J$627)</f>
        <v/>
      </c>
      <c r="AC624">
        <f>IF([2]Entry!$K$627="","",[2]Entry!$K$627)</f>
        <v/>
      </c>
      <c r="AD624">
        <f>IF([2]Entry!$L$627="","",[2]Entry!$L$627)</f>
        <v/>
      </c>
      <c r="AE624">
        <f>IF([2]Entry!$M$627="","",[2]Entry!$M$627)</f>
        <v/>
      </c>
      <c r="AF624">
        <f>IF([2]Entry!$N$627="","",[2]Entry!$N$627)</f>
        <v/>
      </c>
      <c r="AJ624">
        <f>IF([2]Entry!$S$627="","",[2]Entry!$S$627)</f>
        <v/>
      </c>
      <c r="AK624">
        <f>IF([2]Entry!$C$627="","",[2]Entry!$C$627)</f>
        <v/>
      </c>
      <c r="AL624">
        <f>IF([2]Entry!$D$627="","",[2]Entry!$D$627)</f>
        <v/>
      </c>
      <c r="AX624">
        <f>IF([4]Entry!$E$627="","",[4]Entry!$E$627)</f>
        <v/>
      </c>
      <c r="AY624">
        <f>IF([4]Entry!$H$627="","",[4]Entry!$H$627)</f>
        <v/>
      </c>
      <c r="AZ624">
        <f>IF([4]Entry!$I$627="","",[4]Entry!$I$627)</f>
        <v/>
      </c>
    </row>
    <row r="625">
      <c r="Z625">
        <f>IF([2]Entry!$E$628="","",[2]Entry!$E$628)</f>
        <v/>
      </c>
      <c r="AA625">
        <f>IF([2]Entry!$G$628="","",[2]Entry!$G$628)</f>
        <v/>
      </c>
      <c r="AB625">
        <f>IF([2]Entry!$J$628="","",[2]Entry!$J$628)</f>
        <v/>
      </c>
      <c r="AC625">
        <f>IF([2]Entry!$K$628="","",[2]Entry!$K$628)</f>
        <v/>
      </c>
      <c r="AD625">
        <f>IF([2]Entry!$L$628="","",[2]Entry!$L$628)</f>
        <v/>
      </c>
      <c r="AE625">
        <f>IF([2]Entry!$M$628="","",[2]Entry!$M$628)</f>
        <v/>
      </c>
      <c r="AF625">
        <f>IF([2]Entry!$N$628="","",[2]Entry!$N$628)</f>
        <v/>
      </c>
      <c r="AJ625">
        <f>IF([2]Entry!$S$628="","",[2]Entry!$S$628)</f>
        <v/>
      </c>
      <c r="AK625">
        <f>IF([2]Entry!$C$628="","",[2]Entry!$C$628)</f>
        <v/>
      </c>
      <c r="AL625">
        <f>IF([2]Entry!$D$628="","",[2]Entry!$D$628)</f>
        <v/>
      </c>
      <c r="AX625">
        <f>IF([4]Entry!$E$628="","",[4]Entry!$E$628)</f>
        <v/>
      </c>
      <c r="AY625">
        <f>IF([4]Entry!$H$628="","",[4]Entry!$H$628)</f>
        <v/>
      </c>
      <c r="AZ625">
        <f>IF([4]Entry!$I$628="","",[4]Entry!$I$628)</f>
        <v/>
      </c>
    </row>
    <row r="626">
      <c r="Z626">
        <f>IF([2]Entry!$E$629="","",[2]Entry!$E$629)</f>
        <v/>
      </c>
      <c r="AA626">
        <f>IF([2]Entry!$G$629="","",[2]Entry!$G$629)</f>
        <v/>
      </c>
      <c r="AB626">
        <f>IF([2]Entry!$J$629="","",[2]Entry!$J$629)</f>
        <v/>
      </c>
      <c r="AC626">
        <f>IF([2]Entry!$K$629="","",[2]Entry!$K$629)</f>
        <v/>
      </c>
      <c r="AD626">
        <f>IF([2]Entry!$L$629="","",[2]Entry!$L$629)</f>
        <v/>
      </c>
      <c r="AE626">
        <f>IF([2]Entry!$M$629="","",[2]Entry!$M$629)</f>
        <v/>
      </c>
      <c r="AF626">
        <f>IF([2]Entry!$N$629="","",[2]Entry!$N$629)</f>
        <v/>
      </c>
      <c r="AJ626">
        <f>IF([2]Entry!$S$629="","",[2]Entry!$S$629)</f>
        <v/>
      </c>
      <c r="AK626">
        <f>IF([2]Entry!$C$629="","",[2]Entry!$C$629)</f>
        <v/>
      </c>
      <c r="AL626">
        <f>IF([2]Entry!$D$629="","",[2]Entry!$D$629)</f>
        <v/>
      </c>
      <c r="AX626">
        <f>IF([4]Entry!$E$629="","",[4]Entry!$E$629)</f>
        <v/>
      </c>
      <c r="AY626">
        <f>IF([4]Entry!$H$629="","",[4]Entry!$H$629)</f>
        <v/>
      </c>
      <c r="AZ626">
        <f>IF([4]Entry!$I$629="","",[4]Entry!$I$629)</f>
        <v/>
      </c>
    </row>
    <row r="627">
      <c r="Z627">
        <f>IF([2]Entry!$E$630="","",[2]Entry!$E$630)</f>
        <v/>
      </c>
      <c r="AA627">
        <f>IF([2]Entry!$G$630="","",[2]Entry!$G$630)</f>
        <v/>
      </c>
      <c r="AB627">
        <f>IF([2]Entry!$J$630="","",[2]Entry!$J$630)</f>
        <v/>
      </c>
      <c r="AC627">
        <f>IF([2]Entry!$K$630="","",[2]Entry!$K$630)</f>
        <v/>
      </c>
      <c r="AD627">
        <f>IF([2]Entry!$L$630="","",[2]Entry!$L$630)</f>
        <v/>
      </c>
      <c r="AE627">
        <f>IF([2]Entry!$M$630="","",[2]Entry!$M$630)</f>
        <v/>
      </c>
      <c r="AF627">
        <f>IF([2]Entry!$N$630="","",[2]Entry!$N$630)</f>
        <v/>
      </c>
      <c r="AJ627">
        <f>IF([2]Entry!$S$630="","",[2]Entry!$S$630)</f>
        <v/>
      </c>
      <c r="AK627">
        <f>IF([2]Entry!$C$630="","",[2]Entry!$C$630)</f>
        <v/>
      </c>
      <c r="AL627">
        <f>IF([2]Entry!$D$630="","",[2]Entry!$D$630)</f>
        <v/>
      </c>
      <c r="AX627">
        <f>IF([4]Entry!$E$630="","",[4]Entry!$E$630)</f>
        <v/>
      </c>
      <c r="AY627">
        <f>IF([4]Entry!$H$630="","",[4]Entry!$H$630)</f>
        <v/>
      </c>
      <c r="AZ627">
        <f>IF([4]Entry!$I$630="","",[4]Entry!$I$630)</f>
        <v/>
      </c>
    </row>
    <row r="628">
      <c r="Z628">
        <f>IF([2]Entry!$E$631="","",[2]Entry!$E$631)</f>
        <v/>
      </c>
      <c r="AA628">
        <f>IF([2]Entry!$G$631="","",[2]Entry!$G$631)</f>
        <v/>
      </c>
      <c r="AB628">
        <f>IF([2]Entry!$J$631="","",[2]Entry!$J$631)</f>
        <v/>
      </c>
      <c r="AC628">
        <f>IF([2]Entry!$K$631="","",[2]Entry!$K$631)</f>
        <v/>
      </c>
      <c r="AD628">
        <f>IF([2]Entry!$L$631="","",[2]Entry!$L$631)</f>
        <v/>
      </c>
      <c r="AE628">
        <f>IF([2]Entry!$M$631="","",[2]Entry!$M$631)</f>
        <v/>
      </c>
      <c r="AF628">
        <f>IF([2]Entry!$N$631="","",[2]Entry!$N$631)</f>
        <v/>
      </c>
      <c r="AJ628">
        <f>IF([2]Entry!$S$631="","",[2]Entry!$S$631)</f>
        <v/>
      </c>
      <c r="AK628">
        <f>IF([2]Entry!$C$631="","",[2]Entry!$C$631)</f>
        <v/>
      </c>
      <c r="AL628">
        <f>IF([2]Entry!$D$631="","",[2]Entry!$D$631)</f>
        <v/>
      </c>
      <c r="AX628">
        <f>IF([4]Entry!$E$631="","",[4]Entry!$E$631)</f>
        <v/>
      </c>
      <c r="AY628">
        <f>IF([4]Entry!$H$631="","",[4]Entry!$H$631)</f>
        <v/>
      </c>
      <c r="AZ628">
        <f>IF([4]Entry!$I$631="","",[4]Entry!$I$631)</f>
        <v/>
      </c>
    </row>
    <row r="629">
      <c r="Z629">
        <f>IF([2]Entry!$E$632="","",[2]Entry!$E$632)</f>
        <v/>
      </c>
      <c r="AA629">
        <f>IF([2]Entry!$G$632="","",[2]Entry!$G$632)</f>
        <v/>
      </c>
      <c r="AB629">
        <f>IF([2]Entry!$J$632="","",[2]Entry!$J$632)</f>
        <v/>
      </c>
      <c r="AC629">
        <f>IF([2]Entry!$K$632="","",[2]Entry!$K$632)</f>
        <v/>
      </c>
      <c r="AD629">
        <f>IF([2]Entry!$L$632="","",[2]Entry!$L$632)</f>
        <v/>
      </c>
      <c r="AE629">
        <f>IF([2]Entry!$M$632="","",[2]Entry!$M$632)</f>
        <v/>
      </c>
      <c r="AF629">
        <f>IF([2]Entry!$N$632="","",[2]Entry!$N$632)</f>
        <v/>
      </c>
      <c r="AJ629">
        <f>IF([2]Entry!$S$632="","",[2]Entry!$S$632)</f>
        <v/>
      </c>
      <c r="AK629">
        <f>IF([2]Entry!$C$632="","",[2]Entry!$C$632)</f>
        <v/>
      </c>
      <c r="AL629">
        <f>IF([2]Entry!$D$632="","",[2]Entry!$D$632)</f>
        <v/>
      </c>
      <c r="AX629">
        <f>IF([4]Entry!$E$632="","",[4]Entry!$E$632)</f>
        <v/>
      </c>
      <c r="AY629">
        <f>IF([4]Entry!$H$632="","",[4]Entry!$H$632)</f>
        <v/>
      </c>
      <c r="AZ629">
        <f>IF([4]Entry!$I$632="","",[4]Entry!$I$632)</f>
        <v/>
      </c>
    </row>
    <row r="630">
      <c r="Z630">
        <f>IF([2]Entry!$E$633="","",[2]Entry!$E$633)</f>
        <v/>
      </c>
      <c r="AA630">
        <f>IF([2]Entry!$G$633="","",[2]Entry!$G$633)</f>
        <v/>
      </c>
      <c r="AB630">
        <f>IF([2]Entry!$J$633="","",[2]Entry!$J$633)</f>
        <v/>
      </c>
      <c r="AC630">
        <f>IF([2]Entry!$K$633="","",[2]Entry!$K$633)</f>
        <v/>
      </c>
      <c r="AD630">
        <f>IF([2]Entry!$L$633="","",[2]Entry!$L$633)</f>
        <v/>
      </c>
      <c r="AE630">
        <f>IF([2]Entry!$M$633="","",[2]Entry!$M$633)</f>
        <v/>
      </c>
      <c r="AF630">
        <f>IF([2]Entry!$N$633="","",[2]Entry!$N$633)</f>
        <v/>
      </c>
      <c r="AJ630">
        <f>IF([2]Entry!$S$633="","",[2]Entry!$S$633)</f>
        <v/>
      </c>
      <c r="AK630">
        <f>IF([2]Entry!$C$633="","",[2]Entry!$C$633)</f>
        <v/>
      </c>
      <c r="AL630">
        <f>IF([2]Entry!$D$633="","",[2]Entry!$D$633)</f>
        <v/>
      </c>
      <c r="AX630">
        <f>IF([4]Entry!$E$633="","",[4]Entry!$E$633)</f>
        <v/>
      </c>
      <c r="AY630">
        <f>IF([4]Entry!$H$633="","",[4]Entry!$H$633)</f>
        <v/>
      </c>
      <c r="AZ630">
        <f>IF([4]Entry!$I$633="","",[4]Entry!$I$633)</f>
        <v/>
      </c>
    </row>
    <row r="631">
      <c r="Z631">
        <f>IF([2]Entry!$E$634="","",[2]Entry!$E$634)</f>
        <v/>
      </c>
      <c r="AA631">
        <f>IF([2]Entry!$G$634="","",[2]Entry!$G$634)</f>
        <v/>
      </c>
      <c r="AB631">
        <f>IF([2]Entry!$J$634="","",[2]Entry!$J$634)</f>
        <v/>
      </c>
      <c r="AC631">
        <f>IF([2]Entry!$K$634="","",[2]Entry!$K$634)</f>
        <v/>
      </c>
      <c r="AD631">
        <f>IF([2]Entry!$L$634="","",[2]Entry!$L$634)</f>
        <v/>
      </c>
      <c r="AE631">
        <f>IF([2]Entry!$M$634="","",[2]Entry!$M$634)</f>
        <v/>
      </c>
      <c r="AF631">
        <f>IF([2]Entry!$N$634="","",[2]Entry!$N$634)</f>
        <v/>
      </c>
      <c r="AJ631">
        <f>IF([2]Entry!$S$634="","",[2]Entry!$S$634)</f>
        <v/>
      </c>
      <c r="AK631">
        <f>IF([2]Entry!$C$634="","",[2]Entry!$C$634)</f>
        <v/>
      </c>
      <c r="AL631">
        <f>IF([2]Entry!$D$634="","",[2]Entry!$D$634)</f>
        <v/>
      </c>
      <c r="AX631">
        <f>IF([4]Entry!$E$634="","",[4]Entry!$E$634)</f>
        <v/>
      </c>
      <c r="AY631">
        <f>IF([4]Entry!$H$634="","",[4]Entry!$H$634)</f>
        <v/>
      </c>
      <c r="AZ631">
        <f>IF([4]Entry!$I$634="","",[4]Entry!$I$634)</f>
        <v/>
      </c>
    </row>
    <row r="632">
      <c r="Z632">
        <f>IF([2]Entry!$E$635="","",[2]Entry!$E$635)</f>
        <v/>
      </c>
      <c r="AA632">
        <f>IF([2]Entry!$G$635="","",[2]Entry!$G$635)</f>
        <v/>
      </c>
      <c r="AB632">
        <f>IF([2]Entry!$J$635="","",[2]Entry!$J$635)</f>
        <v/>
      </c>
      <c r="AC632">
        <f>IF([2]Entry!$K$635="","",[2]Entry!$K$635)</f>
        <v/>
      </c>
      <c r="AD632">
        <f>IF([2]Entry!$L$635="","",[2]Entry!$L$635)</f>
        <v/>
      </c>
      <c r="AE632">
        <f>IF([2]Entry!$M$635="","",[2]Entry!$M$635)</f>
        <v/>
      </c>
      <c r="AF632">
        <f>IF([2]Entry!$N$635="","",[2]Entry!$N$635)</f>
        <v/>
      </c>
      <c r="AJ632">
        <f>IF([2]Entry!$S$635="","",[2]Entry!$S$635)</f>
        <v/>
      </c>
      <c r="AK632">
        <f>IF([2]Entry!$C$635="","",[2]Entry!$C$635)</f>
        <v/>
      </c>
      <c r="AL632">
        <f>IF([2]Entry!$D$635="","",[2]Entry!$D$635)</f>
        <v/>
      </c>
      <c r="AX632">
        <f>IF([4]Entry!$E$635="","",[4]Entry!$E$635)</f>
        <v/>
      </c>
      <c r="AY632">
        <f>IF([4]Entry!$H$635="","",[4]Entry!$H$635)</f>
        <v/>
      </c>
      <c r="AZ632">
        <f>IF([4]Entry!$I$635="","",[4]Entry!$I$635)</f>
        <v/>
      </c>
    </row>
    <row r="633">
      <c r="Z633">
        <f>IF([2]Entry!$E$636="","",[2]Entry!$E$636)</f>
        <v/>
      </c>
      <c r="AA633">
        <f>IF([2]Entry!$G$636="","",[2]Entry!$G$636)</f>
        <v/>
      </c>
      <c r="AB633">
        <f>IF([2]Entry!$J$636="","",[2]Entry!$J$636)</f>
        <v/>
      </c>
      <c r="AC633">
        <f>IF([2]Entry!$K$636="","",[2]Entry!$K$636)</f>
        <v/>
      </c>
      <c r="AD633">
        <f>IF([2]Entry!$L$636="","",[2]Entry!$L$636)</f>
        <v/>
      </c>
      <c r="AE633">
        <f>IF([2]Entry!$M$636="","",[2]Entry!$M$636)</f>
        <v/>
      </c>
      <c r="AF633">
        <f>IF([2]Entry!$N$636="","",[2]Entry!$N$636)</f>
        <v/>
      </c>
      <c r="AJ633">
        <f>IF([2]Entry!$S$636="","",[2]Entry!$S$636)</f>
        <v/>
      </c>
      <c r="AK633">
        <f>IF([2]Entry!$C$636="","",[2]Entry!$C$636)</f>
        <v/>
      </c>
      <c r="AL633">
        <f>IF([2]Entry!$D$636="","",[2]Entry!$D$636)</f>
        <v/>
      </c>
      <c r="AX633">
        <f>IF([4]Entry!$E$636="","",[4]Entry!$E$636)</f>
        <v/>
      </c>
      <c r="AY633">
        <f>IF([4]Entry!$H$636="","",[4]Entry!$H$636)</f>
        <v/>
      </c>
      <c r="AZ633">
        <f>IF([4]Entry!$I$636="","",[4]Entry!$I$636)</f>
        <v/>
      </c>
    </row>
    <row r="634">
      <c r="Z634">
        <f>IF([2]Entry!$E$637="","",[2]Entry!$E$637)</f>
        <v/>
      </c>
      <c r="AA634">
        <f>IF([2]Entry!$G$637="","",[2]Entry!$G$637)</f>
        <v/>
      </c>
      <c r="AB634">
        <f>IF([2]Entry!$J$637="","",[2]Entry!$J$637)</f>
        <v/>
      </c>
      <c r="AC634">
        <f>IF([2]Entry!$K$637="","",[2]Entry!$K$637)</f>
        <v/>
      </c>
      <c r="AD634">
        <f>IF([2]Entry!$L$637="","",[2]Entry!$L$637)</f>
        <v/>
      </c>
      <c r="AE634">
        <f>IF([2]Entry!$M$637="","",[2]Entry!$M$637)</f>
        <v/>
      </c>
      <c r="AF634">
        <f>IF([2]Entry!$N$637="","",[2]Entry!$N$637)</f>
        <v/>
      </c>
      <c r="AJ634">
        <f>IF([2]Entry!$S$637="","",[2]Entry!$S$637)</f>
        <v/>
      </c>
      <c r="AK634">
        <f>IF([2]Entry!$C$637="","",[2]Entry!$C$637)</f>
        <v/>
      </c>
      <c r="AL634">
        <f>IF([2]Entry!$D$637="","",[2]Entry!$D$637)</f>
        <v/>
      </c>
      <c r="AX634">
        <f>IF([4]Entry!$E$637="","",[4]Entry!$E$637)</f>
        <v/>
      </c>
      <c r="AY634">
        <f>IF([4]Entry!$H$637="","",[4]Entry!$H$637)</f>
        <v/>
      </c>
      <c r="AZ634">
        <f>IF([4]Entry!$I$637="","",[4]Entry!$I$637)</f>
        <v/>
      </c>
    </row>
    <row r="635">
      <c r="Z635">
        <f>IF([2]Entry!$E$638="","",[2]Entry!$E$638)</f>
        <v/>
      </c>
      <c r="AA635">
        <f>IF([2]Entry!$G$638="","",[2]Entry!$G$638)</f>
        <v/>
      </c>
      <c r="AB635">
        <f>IF([2]Entry!$J$638="","",[2]Entry!$J$638)</f>
        <v/>
      </c>
      <c r="AC635">
        <f>IF([2]Entry!$K$638="","",[2]Entry!$K$638)</f>
        <v/>
      </c>
      <c r="AD635">
        <f>IF([2]Entry!$L$638="","",[2]Entry!$L$638)</f>
        <v/>
      </c>
      <c r="AE635">
        <f>IF([2]Entry!$M$638="","",[2]Entry!$M$638)</f>
        <v/>
      </c>
      <c r="AF635">
        <f>IF([2]Entry!$N$638="","",[2]Entry!$N$638)</f>
        <v/>
      </c>
      <c r="AJ635">
        <f>IF([2]Entry!$S$638="","",[2]Entry!$S$638)</f>
        <v/>
      </c>
      <c r="AK635">
        <f>IF([2]Entry!$C$638="","",[2]Entry!$C$638)</f>
        <v/>
      </c>
      <c r="AL635">
        <f>IF([2]Entry!$D$638="","",[2]Entry!$D$638)</f>
        <v/>
      </c>
      <c r="AX635">
        <f>IF([4]Entry!$E$638="","",[4]Entry!$E$638)</f>
        <v/>
      </c>
      <c r="AY635">
        <f>IF([4]Entry!$H$638="","",[4]Entry!$H$638)</f>
        <v/>
      </c>
      <c r="AZ635">
        <f>IF([4]Entry!$I$638="","",[4]Entry!$I$638)</f>
        <v/>
      </c>
    </row>
    <row r="636">
      <c r="Z636">
        <f>IF([2]Entry!$E$639="","",[2]Entry!$E$639)</f>
        <v/>
      </c>
      <c r="AA636">
        <f>IF([2]Entry!$G$639="","",[2]Entry!$G$639)</f>
        <v/>
      </c>
      <c r="AB636">
        <f>IF([2]Entry!$J$639="","",[2]Entry!$J$639)</f>
        <v/>
      </c>
      <c r="AC636">
        <f>IF([2]Entry!$K$639="","",[2]Entry!$K$639)</f>
        <v/>
      </c>
      <c r="AD636">
        <f>IF([2]Entry!$L$639="","",[2]Entry!$L$639)</f>
        <v/>
      </c>
      <c r="AE636">
        <f>IF([2]Entry!$M$639="","",[2]Entry!$M$639)</f>
        <v/>
      </c>
      <c r="AF636">
        <f>IF([2]Entry!$N$639="","",[2]Entry!$N$639)</f>
        <v/>
      </c>
      <c r="AJ636">
        <f>IF([2]Entry!$S$639="","",[2]Entry!$S$639)</f>
        <v/>
      </c>
      <c r="AK636">
        <f>IF([2]Entry!$C$639="","",[2]Entry!$C$639)</f>
        <v/>
      </c>
      <c r="AL636">
        <f>IF([2]Entry!$D$639="","",[2]Entry!$D$639)</f>
        <v/>
      </c>
      <c r="AX636">
        <f>IF([4]Entry!$E$639="","",[4]Entry!$E$639)</f>
        <v/>
      </c>
      <c r="AY636">
        <f>IF([4]Entry!$H$639="","",[4]Entry!$H$639)</f>
        <v/>
      </c>
      <c r="AZ636">
        <f>IF([4]Entry!$I$639="","",[4]Entry!$I$639)</f>
        <v/>
      </c>
    </row>
    <row r="637">
      <c r="Z637">
        <f>IF([2]Entry!$E$640="","",[2]Entry!$E$640)</f>
        <v/>
      </c>
      <c r="AA637">
        <f>IF([2]Entry!$G$640="","",[2]Entry!$G$640)</f>
        <v/>
      </c>
      <c r="AB637">
        <f>IF([2]Entry!$J$640="","",[2]Entry!$J$640)</f>
        <v/>
      </c>
      <c r="AC637">
        <f>IF([2]Entry!$K$640="","",[2]Entry!$K$640)</f>
        <v/>
      </c>
      <c r="AD637">
        <f>IF([2]Entry!$L$640="","",[2]Entry!$L$640)</f>
        <v/>
      </c>
      <c r="AE637">
        <f>IF([2]Entry!$M$640="","",[2]Entry!$M$640)</f>
        <v/>
      </c>
      <c r="AF637">
        <f>IF([2]Entry!$N$640="","",[2]Entry!$N$640)</f>
        <v/>
      </c>
      <c r="AJ637">
        <f>IF([2]Entry!$S$640="","",[2]Entry!$S$640)</f>
        <v/>
      </c>
      <c r="AK637">
        <f>IF([2]Entry!$C$640="","",[2]Entry!$C$640)</f>
        <v/>
      </c>
      <c r="AL637">
        <f>IF([2]Entry!$D$640="","",[2]Entry!$D$640)</f>
        <v/>
      </c>
      <c r="AX637">
        <f>IF([4]Entry!$E$640="","",[4]Entry!$E$640)</f>
        <v/>
      </c>
      <c r="AY637">
        <f>IF([4]Entry!$H$640="","",[4]Entry!$H$640)</f>
        <v/>
      </c>
      <c r="AZ637">
        <f>IF([4]Entry!$I$640="","",[4]Entry!$I$640)</f>
        <v/>
      </c>
    </row>
    <row r="638">
      <c r="Z638">
        <f>IF([2]Entry!$E$641="","",[2]Entry!$E$641)</f>
        <v/>
      </c>
      <c r="AA638">
        <f>IF([2]Entry!$G$641="","",[2]Entry!$G$641)</f>
        <v/>
      </c>
      <c r="AB638">
        <f>IF([2]Entry!$J$641="","",[2]Entry!$J$641)</f>
        <v/>
      </c>
      <c r="AC638">
        <f>IF([2]Entry!$K$641="","",[2]Entry!$K$641)</f>
        <v/>
      </c>
      <c r="AD638">
        <f>IF([2]Entry!$L$641="","",[2]Entry!$L$641)</f>
        <v/>
      </c>
      <c r="AE638">
        <f>IF([2]Entry!$M$641="","",[2]Entry!$M$641)</f>
        <v/>
      </c>
      <c r="AF638">
        <f>IF([2]Entry!$N$641="","",[2]Entry!$N$641)</f>
        <v/>
      </c>
      <c r="AJ638">
        <f>IF([2]Entry!$S$641="","",[2]Entry!$S$641)</f>
        <v/>
      </c>
      <c r="AK638">
        <f>IF([2]Entry!$C$641="","",[2]Entry!$C$641)</f>
        <v/>
      </c>
      <c r="AL638">
        <f>IF([2]Entry!$D$641="","",[2]Entry!$D$641)</f>
        <v/>
      </c>
      <c r="AX638">
        <f>IF([4]Entry!$E$641="","",[4]Entry!$E$641)</f>
        <v/>
      </c>
      <c r="AY638">
        <f>IF([4]Entry!$H$641="","",[4]Entry!$H$641)</f>
        <v/>
      </c>
      <c r="AZ638">
        <f>IF([4]Entry!$I$641="","",[4]Entry!$I$641)</f>
        <v/>
      </c>
    </row>
    <row r="639">
      <c r="Z639">
        <f>IF([2]Entry!$E$642="","",[2]Entry!$E$642)</f>
        <v/>
      </c>
      <c r="AA639">
        <f>IF([2]Entry!$G$642="","",[2]Entry!$G$642)</f>
        <v/>
      </c>
      <c r="AB639">
        <f>IF([2]Entry!$J$642="","",[2]Entry!$J$642)</f>
        <v/>
      </c>
      <c r="AC639">
        <f>IF([2]Entry!$K$642="","",[2]Entry!$K$642)</f>
        <v/>
      </c>
      <c r="AD639">
        <f>IF([2]Entry!$L$642="","",[2]Entry!$L$642)</f>
        <v/>
      </c>
      <c r="AE639">
        <f>IF([2]Entry!$M$642="","",[2]Entry!$M$642)</f>
        <v/>
      </c>
      <c r="AF639">
        <f>IF([2]Entry!$N$642="","",[2]Entry!$N$642)</f>
        <v/>
      </c>
      <c r="AJ639">
        <f>IF([2]Entry!$S$642="","",[2]Entry!$S$642)</f>
        <v/>
      </c>
      <c r="AK639">
        <f>IF([2]Entry!$C$642="","",[2]Entry!$C$642)</f>
        <v/>
      </c>
      <c r="AL639">
        <f>IF([2]Entry!$D$642="","",[2]Entry!$D$642)</f>
        <v/>
      </c>
      <c r="AX639">
        <f>IF([4]Entry!$E$642="","",[4]Entry!$E$642)</f>
        <v/>
      </c>
      <c r="AY639">
        <f>IF([4]Entry!$H$642="","",[4]Entry!$H$642)</f>
        <v/>
      </c>
      <c r="AZ639">
        <f>IF([4]Entry!$I$642="","",[4]Entry!$I$642)</f>
        <v/>
      </c>
    </row>
    <row r="640">
      <c r="Z640">
        <f>IF([2]Entry!$E$643="","",[2]Entry!$E$643)</f>
        <v/>
      </c>
      <c r="AA640">
        <f>IF([2]Entry!$G$643="","",[2]Entry!$G$643)</f>
        <v/>
      </c>
      <c r="AB640">
        <f>IF([2]Entry!$J$643="","",[2]Entry!$J$643)</f>
        <v/>
      </c>
      <c r="AC640">
        <f>IF([2]Entry!$K$643="","",[2]Entry!$K$643)</f>
        <v/>
      </c>
      <c r="AD640">
        <f>IF([2]Entry!$L$643="","",[2]Entry!$L$643)</f>
        <v/>
      </c>
      <c r="AE640">
        <f>IF([2]Entry!$M$643="","",[2]Entry!$M$643)</f>
        <v/>
      </c>
      <c r="AF640">
        <f>IF([2]Entry!$N$643="","",[2]Entry!$N$643)</f>
        <v/>
      </c>
      <c r="AJ640">
        <f>IF([2]Entry!$S$643="","",[2]Entry!$S$643)</f>
        <v/>
      </c>
      <c r="AK640">
        <f>IF([2]Entry!$C$643="","",[2]Entry!$C$643)</f>
        <v/>
      </c>
      <c r="AL640">
        <f>IF([2]Entry!$D$643="","",[2]Entry!$D$643)</f>
        <v/>
      </c>
      <c r="AX640">
        <f>IF([4]Entry!$E$643="","",[4]Entry!$E$643)</f>
        <v/>
      </c>
      <c r="AY640">
        <f>IF([4]Entry!$H$643="","",[4]Entry!$H$643)</f>
        <v/>
      </c>
      <c r="AZ640">
        <f>IF([4]Entry!$I$643="","",[4]Entry!$I$643)</f>
        <v/>
      </c>
    </row>
    <row r="641">
      <c r="Z641">
        <f>IF([2]Entry!$E$644="","",[2]Entry!$E$644)</f>
        <v/>
      </c>
      <c r="AA641">
        <f>IF([2]Entry!$G$644="","",[2]Entry!$G$644)</f>
        <v/>
      </c>
      <c r="AB641">
        <f>IF([2]Entry!$J$644="","",[2]Entry!$J$644)</f>
        <v/>
      </c>
      <c r="AC641">
        <f>IF([2]Entry!$K$644="","",[2]Entry!$K$644)</f>
        <v/>
      </c>
      <c r="AD641">
        <f>IF([2]Entry!$L$644="","",[2]Entry!$L$644)</f>
        <v/>
      </c>
      <c r="AE641">
        <f>IF([2]Entry!$M$644="","",[2]Entry!$M$644)</f>
        <v/>
      </c>
      <c r="AF641">
        <f>IF([2]Entry!$N$644="","",[2]Entry!$N$644)</f>
        <v/>
      </c>
      <c r="AJ641">
        <f>IF([2]Entry!$S$644="","",[2]Entry!$S$644)</f>
        <v/>
      </c>
      <c r="AK641">
        <f>IF([2]Entry!$C$644="","",[2]Entry!$C$644)</f>
        <v/>
      </c>
      <c r="AL641">
        <f>IF([2]Entry!$D$644="","",[2]Entry!$D$644)</f>
        <v/>
      </c>
      <c r="AX641">
        <f>IF([4]Entry!$E$644="","",[4]Entry!$E$644)</f>
        <v/>
      </c>
      <c r="AY641">
        <f>IF([4]Entry!$H$644="","",[4]Entry!$H$644)</f>
        <v/>
      </c>
      <c r="AZ641">
        <f>IF([4]Entry!$I$644="","",[4]Entry!$I$644)</f>
        <v/>
      </c>
    </row>
    <row r="642">
      <c r="Z642">
        <f>IF([2]Entry!$E$645="","",[2]Entry!$E$645)</f>
        <v/>
      </c>
      <c r="AA642">
        <f>IF([2]Entry!$G$645="","",[2]Entry!$G$645)</f>
        <v/>
      </c>
      <c r="AB642">
        <f>IF([2]Entry!$J$645="","",[2]Entry!$J$645)</f>
        <v/>
      </c>
      <c r="AC642">
        <f>IF([2]Entry!$K$645="","",[2]Entry!$K$645)</f>
        <v/>
      </c>
      <c r="AD642">
        <f>IF([2]Entry!$L$645="","",[2]Entry!$L$645)</f>
        <v/>
      </c>
      <c r="AE642">
        <f>IF([2]Entry!$M$645="","",[2]Entry!$M$645)</f>
        <v/>
      </c>
      <c r="AF642">
        <f>IF([2]Entry!$N$645="","",[2]Entry!$N$645)</f>
        <v/>
      </c>
      <c r="AJ642">
        <f>IF([2]Entry!$S$645="","",[2]Entry!$S$645)</f>
        <v/>
      </c>
      <c r="AK642">
        <f>IF([2]Entry!$C$645="","",[2]Entry!$C$645)</f>
        <v/>
      </c>
      <c r="AL642">
        <f>IF([2]Entry!$D$645="","",[2]Entry!$D$645)</f>
        <v/>
      </c>
      <c r="AX642">
        <f>IF([4]Entry!$E$645="","",[4]Entry!$E$645)</f>
        <v/>
      </c>
      <c r="AY642">
        <f>IF([4]Entry!$H$645="","",[4]Entry!$H$645)</f>
        <v/>
      </c>
      <c r="AZ642">
        <f>IF([4]Entry!$I$645="","",[4]Entry!$I$645)</f>
        <v/>
      </c>
    </row>
    <row r="643">
      <c r="Z643">
        <f>IF([2]Entry!$E$646="","",[2]Entry!$E$646)</f>
        <v/>
      </c>
      <c r="AA643">
        <f>IF([2]Entry!$G$646="","",[2]Entry!$G$646)</f>
        <v/>
      </c>
      <c r="AB643">
        <f>IF([2]Entry!$J$646="","",[2]Entry!$J$646)</f>
        <v/>
      </c>
      <c r="AC643">
        <f>IF([2]Entry!$K$646="","",[2]Entry!$K$646)</f>
        <v/>
      </c>
      <c r="AD643">
        <f>IF([2]Entry!$L$646="","",[2]Entry!$L$646)</f>
        <v/>
      </c>
      <c r="AE643">
        <f>IF([2]Entry!$M$646="","",[2]Entry!$M$646)</f>
        <v/>
      </c>
      <c r="AF643">
        <f>IF([2]Entry!$N$646="","",[2]Entry!$N$646)</f>
        <v/>
      </c>
      <c r="AJ643">
        <f>IF([2]Entry!$S$646="","",[2]Entry!$S$646)</f>
        <v/>
      </c>
      <c r="AK643">
        <f>IF([2]Entry!$C$646="","",[2]Entry!$C$646)</f>
        <v/>
      </c>
      <c r="AL643">
        <f>IF([2]Entry!$D$646="","",[2]Entry!$D$646)</f>
        <v/>
      </c>
      <c r="AX643">
        <f>IF([4]Entry!$E$646="","",[4]Entry!$E$646)</f>
        <v/>
      </c>
      <c r="AY643">
        <f>IF([4]Entry!$H$646="","",[4]Entry!$H$646)</f>
        <v/>
      </c>
      <c r="AZ643">
        <f>IF([4]Entry!$I$646="","",[4]Entry!$I$646)</f>
        <v/>
      </c>
    </row>
    <row r="644">
      <c r="Z644">
        <f>IF([2]Entry!$E$647="","",[2]Entry!$E$647)</f>
        <v/>
      </c>
      <c r="AA644">
        <f>IF([2]Entry!$G$647="","",[2]Entry!$G$647)</f>
        <v/>
      </c>
      <c r="AB644">
        <f>IF([2]Entry!$J$647="","",[2]Entry!$J$647)</f>
        <v/>
      </c>
      <c r="AC644">
        <f>IF([2]Entry!$K$647="","",[2]Entry!$K$647)</f>
        <v/>
      </c>
      <c r="AD644">
        <f>IF([2]Entry!$L$647="","",[2]Entry!$L$647)</f>
        <v/>
      </c>
      <c r="AE644">
        <f>IF([2]Entry!$M$647="","",[2]Entry!$M$647)</f>
        <v/>
      </c>
      <c r="AF644">
        <f>IF([2]Entry!$N$647="","",[2]Entry!$N$647)</f>
        <v/>
      </c>
      <c r="AJ644">
        <f>IF([2]Entry!$S$647="","",[2]Entry!$S$647)</f>
        <v/>
      </c>
      <c r="AK644">
        <f>IF([2]Entry!$C$647="","",[2]Entry!$C$647)</f>
        <v/>
      </c>
      <c r="AL644">
        <f>IF([2]Entry!$D$647="","",[2]Entry!$D$647)</f>
        <v/>
      </c>
      <c r="AX644">
        <f>IF([4]Entry!$E$647="","",[4]Entry!$E$647)</f>
        <v/>
      </c>
      <c r="AY644">
        <f>IF([4]Entry!$H$647="","",[4]Entry!$H$647)</f>
        <v/>
      </c>
      <c r="AZ644">
        <f>IF([4]Entry!$I$647="","",[4]Entry!$I$647)</f>
        <v/>
      </c>
    </row>
    <row r="645">
      <c r="Z645">
        <f>IF([2]Entry!$E$648="","",[2]Entry!$E$648)</f>
        <v/>
      </c>
      <c r="AA645">
        <f>IF([2]Entry!$G$648="","",[2]Entry!$G$648)</f>
        <v/>
      </c>
      <c r="AB645">
        <f>IF([2]Entry!$J$648="","",[2]Entry!$J$648)</f>
        <v/>
      </c>
      <c r="AC645">
        <f>IF([2]Entry!$K$648="","",[2]Entry!$K$648)</f>
        <v/>
      </c>
      <c r="AD645">
        <f>IF([2]Entry!$L$648="","",[2]Entry!$L$648)</f>
        <v/>
      </c>
      <c r="AE645">
        <f>IF([2]Entry!$M$648="","",[2]Entry!$M$648)</f>
        <v/>
      </c>
      <c r="AF645">
        <f>IF([2]Entry!$N$648="","",[2]Entry!$N$648)</f>
        <v/>
      </c>
      <c r="AJ645">
        <f>IF([2]Entry!$S$648="","",[2]Entry!$S$648)</f>
        <v/>
      </c>
      <c r="AK645">
        <f>IF([2]Entry!$C$648="","",[2]Entry!$C$648)</f>
        <v/>
      </c>
      <c r="AL645">
        <f>IF([2]Entry!$D$648="","",[2]Entry!$D$648)</f>
        <v/>
      </c>
      <c r="AX645">
        <f>IF([4]Entry!$E$648="","",[4]Entry!$E$648)</f>
        <v/>
      </c>
      <c r="AY645">
        <f>IF([4]Entry!$H$648="","",[4]Entry!$H$648)</f>
        <v/>
      </c>
      <c r="AZ645">
        <f>IF([4]Entry!$I$648="","",[4]Entry!$I$648)</f>
        <v/>
      </c>
    </row>
    <row r="646">
      <c r="Z646">
        <f>IF([2]Entry!$E$649="","",[2]Entry!$E$649)</f>
        <v/>
      </c>
      <c r="AA646">
        <f>IF([2]Entry!$G$649="","",[2]Entry!$G$649)</f>
        <v/>
      </c>
      <c r="AB646">
        <f>IF([2]Entry!$J$649="","",[2]Entry!$J$649)</f>
        <v/>
      </c>
      <c r="AC646">
        <f>IF([2]Entry!$K$649="","",[2]Entry!$K$649)</f>
        <v/>
      </c>
      <c r="AD646">
        <f>IF([2]Entry!$L$649="","",[2]Entry!$L$649)</f>
        <v/>
      </c>
      <c r="AE646">
        <f>IF([2]Entry!$M$649="","",[2]Entry!$M$649)</f>
        <v/>
      </c>
      <c r="AF646">
        <f>IF([2]Entry!$N$649="","",[2]Entry!$N$649)</f>
        <v/>
      </c>
      <c r="AJ646">
        <f>IF([2]Entry!$S$649="","",[2]Entry!$S$649)</f>
        <v/>
      </c>
      <c r="AK646">
        <f>IF([2]Entry!$C$649="","",[2]Entry!$C$649)</f>
        <v/>
      </c>
      <c r="AL646">
        <f>IF([2]Entry!$D$649="","",[2]Entry!$D$649)</f>
        <v/>
      </c>
      <c r="AX646">
        <f>IF([4]Entry!$E$649="","",[4]Entry!$E$649)</f>
        <v/>
      </c>
      <c r="AY646">
        <f>IF([4]Entry!$H$649="","",[4]Entry!$H$649)</f>
        <v/>
      </c>
      <c r="AZ646">
        <f>IF([4]Entry!$I$649="","",[4]Entry!$I$649)</f>
        <v/>
      </c>
    </row>
    <row r="647">
      <c r="Z647">
        <f>IF([2]Entry!$E$650="","",[2]Entry!$E$650)</f>
        <v/>
      </c>
      <c r="AA647">
        <f>IF([2]Entry!$G$650="","",[2]Entry!$G$650)</f>
        <v/>
      </c>
      <c r="AB647">
        <f>IF([2]Entry!$J$650="","",[2]Entry!$J$650)</f>
        <v/>
      </c>
      <c r="AC647">
        <f>IF([2]Entry!$K$650="","",[2]Entry!$K$650)</f>
        <v/>
      </c>
      <c r="AD647">
        <f>IF([2]Entry!$L$650="","",[2]Entry!$L$650)</f>
        <v/>
      </c>
      <c r="AE647">
        <f>IF([2]Entry!$M$650="","",[2]Entry!$M$650)</f>
        <v/>
      </c>
      <c r="AF647">
        <f>IF([2]Entry!$N$650="","",[2]Entry!$N$650)</f>
        <v/>
      </c>
      <c r="AJ647">
        <f>IF([2]Entry!$S$650="","",[2]Entry!$S$650)</f>
        <v/>
      </c>
      <c r="AK647">
        <f>IF([2]Entry!$C$650="","",[2]Entry!$C$650)</f>
        <v/>
      </c>
      <c r="AL647">
        <f>IF([2]Entry!$D$650="","",[2]Entry!$D$650)</f>
        <v/>
      </c>
      <c r="AX647">
        <f>IF([4]Entry!$E$650="","",[4]Entry!$E$650)</f>
        <v/>
      </c>
      <c r="AY647">
        <f>IF([4]Entry!$H$650="","",[4]Entry!$H$650)</f>
        <v/>
      </c>
      <c r="AZ647">
        <f>IF([4]Entry!$I$650="","",[4]Entry!$I$650)</f>
        <v/>
      </c>
    </row>
    <row r="648">
      <c r="Z648">
        <f>IF([2]Entry!$E$651="","",[2]Entry!$E$651)</f>
        <v/>
      </c>
      <c r="AA648">
        <f>IF([2]Entry!$G$651="","",[2]Entry!$G$651)</f>
        <v/>
      </c>
      <c r="AB648">
        <f>IF([2]Entry!$J$651="","",[2]Entry!$J$651)</f>
        <v/>
      </c>
      <c r="AC648">
        <f>IF([2]Entry!$K$651="","",[2]Entry!$K$651)</f>
        <v/>
      </c>
      <c r="AD648">
        <f>IF([2]Entry!$L$651="","",[2]Entry!$L$651)</f>
        <v/>
      </c>
      <c r="AE648">
        <f>IF([2]Entry!$M$651="","",[2]Entry!$M$651)</f>
        <v/>
      </c>
      <c r="AF648">
        <f>IF([2]Entry!$N$651="","",[2]Entry!$N$651)</f>
        <v/>
      </c>
      <c r="AJ648">
        <f>IF([2]Entry!$S$651="","",[2]Entry!$S$651)</f>
        <v/>
      </c>
      <c r="AK648">
        <f>IF([2]Entry!$C$651="","",[2]Entry!$C$651)</f>
        <v/>
      </c>
      <c r="AL648">
        <f>IF([2]Entry!$D$651="","",[2]Entry!$D$651)</f>
        <v/>
      </c>
      <c r="AX648">
        <f>IF([4]Entry!$E$651="","",[4]Entry!$E$651)</f>
        <v/>
      </c>
      <c r="AY648">
        <f>IF([4]Entry!$H$651="","",[4]Entry!$H$651)</f>
        <v/>
      </c>
      <c r="AZ648">
        <f>IF([4]Entry!$I$651="","",[4]Entry!$I$651)</f>
        <v/>
      </c>
    </row>
    <row r="649">
      <c r="Z649">
        <f>IF([2]Entry!$E$652="","",[2]Entry!$E$652)</f>
        <v/>
      </c>
      <c r="AA649">
        <f>IF([2]Entry!$G$652="","",[2]Entry!$G$652)</f>
        <v/>
      </c>
      <c r="AB649">
        <f>IF([2]Entry!$J$652="","",[2]Entry!$J$652)</f>
        <v/>
      </c>
      <c r="AC649">
        <f>IF([2]Entry!$K$652="","",[2]Entry!$K$652)</f>
        <v/>
      </c>
      <c r="AD649">
        <f>IF([2]Entry!$L$652="","",[2]Entry!$L$652)</f>
        <v/>
      </c>
      <c r="AE649">
        <f>IF([2]Entry!$M$652="","",[2]Entry!$M$652)</f>
        <v/>
      </c>
      <c r="AF649">
        <f>IF([2]Entry!$N$652="","",[2]Entry!$N$652)</f>
        <v/>
      </c>
      <c r="AJ649">
        <f>IF([2]Entry!$S$652="","",[2]Entry!$S$652)</f>
        <v/>
      </c>
      <c r="AK649">
        <f>IF([2]Entry!$C$652="","",[2]Entry!$C$652)</f>
        <v/>
      </c>
      <c r="AL649">
        <f>IF([2]Entry!$D$652="","",[2]Entry!$D$652)</f>
        <v/>
      </c>
      <c r="AX649">
        <f>IF([4]Entry!$E$652="","",[4]Entry!$E$652)</f>
        <v/>
      </c>
      <c r="AY649">
        <f>IF([4]Entry!$H$652="","",[4]Entry!$H$652)</f>
        <v/>
      </c>
      <c r="AZ649">
        <f>IF([4]Entry!$I$652="","",[4]Entry!$I$652)</f>
        <v/>
      </c>
    </row>
    <row r="650">
      <c r="Z650">
        <f>IF([2]Entry!$E$653="","",[2]Entry!$E$653)</f>
        <v/>
      </c>
      <c r="AA650">
        <f>IF([2]Entry!$G$653="","",[2]Entry!$G$653)</f>
        <v/>
      </c>
      <c r="AB650">
        <f>IF([2]Entry!$J$653="","",[2]Entry!$J$653)</f>
        <v/>
      </c>
      <c r="AC650">
        <f>IF([2]Entry!$K$653="","",[2]Entry!$K$653)</f>
        <v/>
      </c>
      <c r="AD650">
        <f>IF([2]Entry!$L$653="","",[2]Entry!$L$653)</f>
        <v/>
      </c>
      <c r="AE650">
        <f>IF([2]Entry!$M$653="","",[2]Entry!$M$653)</f>
        <v/>
      </c>
      <c r="AF650">
        <f>IF([2]Entry!$N$653="","",[2]Entry!$N$653)</f>
        <v/>
      </c>
      <c r="AJ650">
        <f>IF([2]Entry!$S$653="","",[2]Entry!$S$653)</f>
        <v/>
      </c>
      <c r="AK650">
        <f>IF([2]Entry!$C$653="","",[2]Entry!$C$653)</f>
        <v/>
      </c>
      <c r="AL650">
        <f>IF([2]Entry!$D$653="","",[2]Entry!$D$653)</f>
        <v/>
      </c>
      <c r="AX650">
        <f>IF([4]Entry!$E$653="","",[4]Entry!$E$653)</f>
        <v/>
      </c>
      <c r="AY650">
        <f>IF([4]Entry!$H$653="","",[4]Entry!$H$653)</f>
        <v/>
      </c>
      <c r="AZ650">
        <f>IF([4]Entry!$I$653="","",[4]Entry!$I$653)</f>
        <v/>
      </c>
    </row>
    <row r="651">
      <c r="Z651">
        <f>IF([2]Entry!$E$654="","",[2]Entry!$E$654)</f>
        <v/>
      </c>
      <c r="AA651">
        <f>IF([2]Entry!$G$654="","",[2]Entry!$G$654)</f>
        <v/>
      </c>
      <c r="AB651">
        <f>IF([2]Entry!$J$654="","",[2]Entry!$J$654)</f>
        <v/>
      </c>
      <c r="AC651">
        <f>IF([2]Entry!$K$654="","",[2]Entry!$K$654)</f>
        <v/>
      </c>
      <c r="AD651">
        <f>IF([2]Entry!$L$654="","",[2]Entry!$L$654)</f>
        <v/>
      </c>
      <c r="AE651">
        <f>IF([2]Entry!$M$654="","",[2]Entry!$M$654)</f>
        <v/>
      </c>
      <c r="AF651">
        <f>IF([2]Entry!$N$654="","",[2]Entry!$N$654)</f>
        <v/>
      </c>
      <c r="AJ651">
        <f>IF([2]Entry!$S$654="","",[2]Entry!$S$654)</f>
        <v/>
      </c>
      <c r="AK651">
        <f>IF([2]Entry!$C$654="","",[2]Entry!$C$654)</f>
        <v/>
      </c>
      <c r="AL651">
        <f>IF([2]Entry!$D$654="","",[2]Entry!$D$654)</f>
        <v/>
      </c>
      <c r="AX651">
        <f>IF([4]Entry!$E$654="","",[4]Entry!$E$654)</f>
        <v/>
      </c>
      <c r="AY651">
        <f>IF([4]Entry!$H$654="","",[4]Entry!$H$654)</f>
        <v/>
      </c>
      <c r="AZ651">
        <f>IF([4]Entry!$I$654="","",[4]Entry!$I$654)</f>
        <v/>
      </c>
    </row>
    <row r="652">
      <c r="Z652">
        <f>IF([2]Entry!$E$655="","",[2]Entry!$E$655)</f>
        <v/>
      </c>
      <c r="AA652">
        <f>IF([2]Entry!$G$655="","",[2]Entry!$G$655)</f>
        <v/>
      </c>
      <c r="AB652">
        <f>IF([2]Entry!$J$655="","",[2]Entry!$J$655)</f>
        <v/>
      </c>
      <c r="AC652">
        <f>IF([2]Entry!$K$655="","",[2]Entry!$K$655)</f>
        <v/>
      </c>
      <c r="AD652">
        <f>IF([2]Entry!$L$655="","",[2]Entry!$L$655)</f>
        <v/>
      </c>
      <c r="AE652">
        <f>IF([2]Entry!$M$655="","",[2]Entry!$M$655)</f>
        <v/>
      </c>
      <c r="AF652">
        <f>IF([2]Entry!$N$655="","",[2]Entry!$N$655)</f>
        <v/>
      </c>
      <c r="AJ652">
        <f>IF([2]Entry!$S$655="","",[2]Entry!$S$655)</f>
        <v/>
      </c>
      <c r="AK652">
        <f>IF([2]Entry!$C$655="","",[2]Entry!$C$655)</f>
        <v/>
      </c>
      <c r="AL652">
        <f>IF([2]Entry!$D$655="","",[2]Entry!$D$655)</f>
        <v/>
      </c>
      <c r="AX652">
        <f>IF([4]Entry!$E$655="","",[4]Entry!$E$655)</f>
        <v/>
      </c>
      <c r="AY652">
        <f>IF([4]Entry!$H$655="","",[4]Entry!$H$655)</f>
        <v/>
      </c>
      <c r="AZ652">
        <f>IF([4]Entry!$I$655="","",[4]Entry!$I$655)</f>
        <v/>
      </c>
    </row>
    <row r="653">
      <c r="Z653">
        <f>IF([2]Entry!$E$656="","",[2]Entry!$E$656)</f>
        <v/>
      </c>
      <c r="AA653">
        <f>IF([2]Entry!$G$656="","",[2]Entry!$G$656)</f>
        <v/>
      </c>
      <c r="AB653">
        <f>IF([2]Entry!$J$656="","",[2]Entry!$J$656)</f>
        <v/>
      </c>
      <c r="AC653">
        <f>IF([2]Entry!$K$656="","",[2]Entry!$K$656)</f>
        <v/>
      </c>
      <c r="AD653">
        <f>IF([2]Entry!$L$656="","",[2]Entry!$L$656)</f>
        <v/>
      </c>
      <c r="AE653">
        <f>IF([2]Entry!$M$656="","",[2]Entry!$M$656)</f>
        <v/>
      </c>
      <c r="AF653">
        <f>IF([2]Entry!$N$656="","",[2]Entry!$N$656)</f>
        <v/>
      </c>
      <c r="AJ653">
        <f>IF([2]Entry!$S$656="","",[2]Entry!$S$656)</f>
        <v/>
      </c>
      <c r="AK653">
        <f>IF([2]Entry!$C$656="","",[2]Entry!$C$656)</f>
        <v/>
      </c>
      <c r="AL653">
        <f>IF([2]Entry!$D$656="","",[2]Entry!$D$656)</f>
        <v/>
      </c>
      <c r="AX653">
        <f>IF([4]Entry!$E$656="","",[4]Entry!$E$656)</f>
        <v/>
      </c>
      <c r="AY653">
        <f>IF([4]Entry!$H$656="","",[4]Entry!$H$656)</f>
        <v/>
      </c>
      <c r="AZ653">
        <f>IF([4]Entry!$I$656="","",[4]Entry!$I$656)</f>
        <v/>
      </c>
    </row>
    <row r="654">
      <c r="Z654">
        <f>IF([2]Entry!$E$657="","",[2]Entry!$E$657)</f>
        <v/>
      </c>
      <c r="AA654">
        <f>IF([2]Entry!$G$657="","",[2]Entry!$G$657)</f>
        <v/>
      </c>
      <c r="AB654">
        <f>IF([2]Entry!$J$657="","",[2]Entry!$J$657)</f>
        <v/>
      </c>
      <c r="AC654">
        <f>IF([2]Entry!$K$657="","",[2]Entry!$K$657)</f>
        <v/>
      </c>
      <c r="AD654">
        <f>IF([2]Entry!$L$657="","",[2]Entry!$L$657)</f>
        <v/>
      </c>
      <c r="AE654">
        <f>IF([2]Entry!$M$657="","",[2]Entry!$M$657)</f>
        <v/>
      </c>
      <c r="AF654">
        <f>IF([2]Entry!$N$657="","",[2]Entry!$N$657)</f>
        <v/>
      </c>
      <c r="AJ654">
        <f>IF([2]Entry!$S$657="","",[2]Entry!$S$657)</f>
        <v/>
      </c>
      <c r="AK654">
        <f>IF([2]Entry!$C$657="","",[2]Entry!$C$657)</f>
        <v/>
      </c>
      <c r="AL654">
        <f>IF([2]Entry!$D$657="","",[2]Entry!$D$657)</f>
        <v/>
      </c>
      <c r="AX654">
        <f>IF([4]Entry!$E$657="","",[4]Entry!$E$657)</f>
        <v/>
      </c>
      <c r="AY654">
        <f>IF([4]Entry!$H$657="","",[4]Entry!$H$657)</f>
        <v/>
      </c>
      <c r="AZ654">
        <f>IF([4]Entry!$I$657="","",[4]Entry!$I$657)</f>
        <v/>
      </c>
    </row>
    <row r="655">
      <c r="Z655">
        <f>IF([2]Entry!$E$658="","",[2]Entry!$E$658)</f>
        <v/>
      </c>
      <c r="AA655">
        <f>IF([2]Entry!$G$658="","",[2]Entry!$G$658)</f>
        <v/>
      </c>
      <c r="AB655">
        <f>IF([2]Entry!$J$658="","",[2]Entry!$J$658)</f>
        <v/>
      </c>
      <c r="AC655">
        <f>IF([2]Entry!$K$658="","",[2]Entry!$K$658)</f>
        <v/>
      </c>
      <c r="AD655">
        <f>IF([2]Entry!$L$658="","",[2]Entry!$L$658)</f>
        <v/>
      </c>
      <c r="AE655">
        <f>IF([2]Entry!$M$658="","",[2]Entry!$M$658)</f>
        <v/>
      </c>
      <c r="AF655">
        <f>IF([2]Entry!$N$658="","",[2]Entry!$N$658)</f>
        <v/>
      </c>
      <c r="AJ655">
        <f>IF([2]Entry!$S$658="","",[2]Entry!$S$658)</f>
        <v/>
      </c>
      <c r="AK655">
        <f>IF([2]Entry!$C$658="","",[2]Entry!$C$658)</f>
        <v/>
      </c>
      <c r="AL655">
        <f>IF([2]Entry!$D$658="","",[2]Entry!$D$658)</f>
        <v/>
      </c>
      <c r="AX655">
        <f>IF([4]Entry!$E$658="","",[4]Entry!$E$658)</f>
        <v/>
      </c>
      <c r="AY655">
        <f>IF([4]Entry!$H$658="","",[4]Entry!$H$658)</f>
        <v/>
      </c>
      <c r="AZ655">
        <f>IF([4]Entry!$I$658="","",[4]Entry!$I$658)</f>
        <v/>
      </c>
    </row>
    <row r="656">
      <c r="Z656">
        <f>IF([2]Entry!$E$659="","",[2]Entry!$E$659)</f>
        <v/>
      </c>
      <c r="AA656">
        <f>IF([2]Entry!$G$659="","",[2]Entry!$G$659)</f>
        <v/>
      </c>
      <c r="AB656">
        <f>IF([2]Entry!$J$659="","",[2]Entry!$J$659)</f>
        <v/>
      </c>
      <c r="AC656">
        <f>IF([2]Entry!$K$659="","",[2]Entry!$K$659)</f>
        <v/>
      </c>
      <c r="AD656">
        <f>IF([2]Entry!$L$659="","",[2]Entry!$L$659)</f>
        <v/>
      </c>
      <c r="AE656">
        <f>IF([2]Entry!$M$659="","",[2]Entry!$M$659)</f>
        <v/>
      </c>
      <c r="AF656">
        <f>IF([2]Entry!$N$659="","",[2]Entry!$N$659)</f>
        <v/>
      </c>
      <c r="AJ656">
        <f>IF([2]Entry!$S$659="","",[2]Entry!$S$659)</f>
        <v/>
      </c>
      <c r="AK656">
        <f>IF([2]Entry!$C$659="","",[2]Entry!$C$659)</f>
        <v/>
      </c>
      <c r="AL656">
        <f>IF([2]Entry!$D$659="","",[2]Entry!$D$659)</f>
        <v/>
      </c>
      <c r="AX656">
        <f>IF([4]Entry!$E$659="","",[4]Entry!$E$659)</f>
        <v/>
      </c>
      <c r="AY656">
        <f>IF([4]Entry!$H$659="","",[4]Entry!$H$659)</f>
        <v/>
      </c>
      <c r="AZ656">
        <f>IF([4]Entry!$I$659="","",[4]Entry!$I$659)</f>
        <v/>
      </c>
    </row>
    <row r="657">
      <c r="Z657">
        <f>IF([2]Entry!$E$660="","",[2]Entry!$E$660)</f>
        <v/>
      </c>
      <c r="AA657">
        <f>IF([2]Entry!$G$660="","",[2]Entry!$G$660)</f>
        <v/>
      </c>
      <c r="AB657">
        <f>IF([2]Entry!$J$660="","",[2]Entry!$J$660)</f>
        <v/>
      </c>
      <c r="AC657">
        <f>IF([2]Entry!$K$660="","",[2]Entry!$K$660)</f>
        <v/>
      </c>
      <c r="AD657">
        <f>IF([2]Entry!$L$660="","",[2]Entry!$L$660)</f>
        <v/>
      </c>
      <c r="AE657">
        <f>IF([2]Entry!$M$660="","",[2]Entry!$M$660)</f>
        <v/>
      </c>
      <c r="AF657">
        <f>IF([2]Entry!$N$660="","",[2]Entry!$N$660)</f>
        <v/>
      </c>
      <c r="AJ657">
        <f>IF([2]Entry!$S$660="","",[2]Entry!$S$660)</f>
        <v/>
      </c>
      <c r="AK657">
        <f>IF([2]Entry!$C$660="","",[2]Entry!$C$660)</f>
        <v/>
      </c>
      <c r="AL657">
        <f>IF([2]Entry!$D$660="","",[2]Entry!$D$660)</f>
        <v/>
      </c>
      <c r="AX657">
        <f>IF([4]Entry!$E$660="","",[4]Entry!$E$660)</f>
        <v/>
      </c>
      <c r="AY657">
        <f>IF([4]Entry!$H$660="","",[4]Entry!$H$660)</f>
        <v/>
      </c>
      <c r="AZ657">
        <f>IF([4]Entry!$I$660="","",[4]Entry!$I$660)</f>
        <v/>
      </c>
    </row>
    <row r="658">
      <c r="Z658">
        <f>IF([2]Entry!$E$661="","",[2]Entry!$E$661)</f>
        <v/>
      </c>
      <c r="AA658">
        <f>IF([2]Entry!$G$661="","",[2]Entry!$G$661)</f>
        <v/>
      </c>
      <c r="AB658">
        <f>IF([2]Entry!$J$661="","",[2]Entry!$J$661)</f>
        <v/>
      </c>
      <c r="AC658">
        <f>IF([2]Entry!$K$661="","",[2]Entry!$K$661)</f>
        <v/>
      </c>
      <c r="AD658">
        <f>IF([2]Entry!$L$661="","",[2]Entry!$L$661)</f>
        <v/>
      </c>
      <c r="AE658">
        <f>IF([2]Entry!$M$661="","",[2]Entry!$M$661)</f>
        <v/>
      </c>
      <c r="AF658">
        <f>IF([2]Entry!$N$661="","",[2]Entry!$N$661)</f>
        <v/>
      </c>
      <c r="AJ658">
        <f>IF([2]Entry!$S$661="","",[2]Entry!$S$661)</f>
        <v/>
      </c>
      <c r="AK658">
        <f>IF([2]Entry!$C$661="","",[2]Entry!$C$661)</f>
        <v/>
      </c>
      <c r="AL658">
        <f>IF([2]Entry!$D$661="","",[2]Entry!$D$661)</f>
        <v/>
      </c>
      <c r="AX658">
        <f>IF([4]Entry!$E$661="","",[4]Entry!$E$661)</f>
        <v/>
      </c>
      <c r="AY658">
        <f>IF([4]Entry!$H$661="","",[4]Entry!$H$661)</f>
        <v/>
      </c>
      <c r="AZ658">
        <f>IF([4]Entry!$I$661="","",[4]Entry!$I$661)</f>
        <v/>
      </c>
    </row>
    <row r="659">
      <c r="Z659">
        <f>IF([2]Entry!$E$662="","",[2]Entry!$E$662)</f>
        <v/>
      </c>
      <c r="AA659">
        <f>IF([2]Entry!$G$662="","",[2]Entry!$G$662)</f>
        <v/>
      </c>
      <c r="AB659">
        <f>IF([2]Entry!$J$662="","",[2]Entry!$J$662)</f>
        <v/>
      </c>
      <c r="AC659">
        <f>IF([2]Entry!$K$662="","",[2]Entry!$K$662)</f>
        <v/>
      </c>
      <c r="AD659">
        <f>IF([2]Entry!$L$662="","",[2]Entry!$L$662)</f>
        <v/>
      </c>
      <c r="AE659">
        <f>IF([2]Entry!$M$662="","",[2]Entry!$M$662)</f>
        <v/>
      </c>
      <c r="AF659">
        <f>IF([2]Entry!$N$662="","",[2]Entry!$N$662)</f>
        <v/>
      </c>
      <c r="AJ659">
        <f>IF([2]Entry!$S$662="","",[2]Entry!$S$662)</f>
        <v/>
      </c>
      <c r="AK659">
        <f>IF([2]Entry!$C$662="","",[2]Entry!$C$662)</f>
        <v/>
      </c>
      <c r="AL659">
        <f>IF([2]Entry!$D$662="","",[2]Entry!$D$662)</f>
        <v/>
      </c>
      <c r="AX659">
        <f>IF([4]Entry!$E$662="","",[4]Entry!$E$662)</f>
        <v/>
      </c>
      <c r="AY659">
        <f>IF([4]Entry!$H$662="","",[4]Entry!$H$662)</f>
        <v/>
      </c>
      <c r="AZ659">
        <f>IF([4]Entry!$I$662="","",[4]Entry!$I$662)</f>
        <v/>
      </c>
    </row>
    <row r="660">
      <c r="Z660">
        <f>IF([2]Entry!$E$663="","",[2]Entry!$E$663)</f>
        <v/>
      </c>
      <c r="AA660">
        <f>IF([2]Entry!$G$663="","",[2]Entry!$G$663)</f>
        <v/>
      </c>
      <c r="AB660">
        <f>IF([2]Entry!$J$663="","",[2]Entry!$J$663)</f>
        <v/>
      </c>
      <c r="AC660">
        <f>IF([2]Entry!$K$663="","",[2]Entry!$K$663)</f>
        <v/>
      </c>
      <c r="AD660">
        <f>IF([2]Entry!$L$663="","",[2]Entry!$L$663)</f>
        <v/>
      </c>
      <c r="AE660">
        <f>IF([2]Entry!$M$663="","",[2]Entry!$M$663)</f>
        <v/>
      </c>
      <c r="AF660">
        <f>IF([2]Entry!$N$663="","",[2]Entry!$N$663)</f>
        <v/>
      </c>
      <c r="AJ660">
        <f>IF([2]Entry!$S$663="","",[2]Entry!$S$663)</f>
        <v/>
      </c>
      <c r="AK660">
        <f>IF([2]Entry!$C$663="","",[2]Entry!$C$663)</f>
        <v/>
      </c>
      <c r="AL660">
        <f>IF([2]Entry!$D$663="","",[2]Entry!$D$663)</f>
        <v/>
      </c>
      <c r="AX660">
        <f>IF([4]Entry!$E$663="","",[4]Entry!$E$663)</f>
        <v/>
      </c>
      <c r="AY660">
        <f>IF([4]Entry!$H$663="","",[4]Entry!$H$663)</f>
        <v/>
      </c>
      <c r="AZ660">
        <f>IF([4]Entry!$I$663="","",[4]Entry!$I$663)</f>
        <v/>
      </c>
    </row>
    <row r="661">
      <c r="Z661">
        <f>IF([2]Entry!$E$664="","",[2]Entry!$E$664)</f>
        <v/>
      </c>
      <c r="AA661">
        <f>IF([2]Entry!$G$664="","",[2]Entry!$G$664)</f>
        <v/>
      </c>
      <c r="AB661">
        <f>IF([2]Entry!$J$664="","",[2]Entry!$J$664)</f>
        <v/>
      </c>
      <c r="AC661">
        <f>IF([2]Entry!$K$664="","",[2]Entry!$K$664)</f>
        <v/>
      </c>
      <c r="AD661">
        <f>IF([2]Entry!$L$664="","",[2]Entry!$L$664)</f>
        <v/>
      </c>
      <c r="AE661">
        <f>IF([2]Entry!$M$664="","",[2]Entry!$M$664)</f>
        <v/>
      </c>
      <c r="AF661">
        <f>IF([2]Entry!$N$664="","",[2]Entry!$N$664)</f>
        <v/>
      </c>
      <c r="AJ661">
        <f>IF([2]Entry!$S$664="","",[2]Entry!$S$664)</f>
        <v/>
      </c>
      <c r="AK661">
        <f>IF([2]Entry!$C$664="","",[2]Entry!$C$664)</f>
        <v/>
      </c>
      <c r="AL661">
        <f>IF([2]Entry!$D$664="","",[2]Entry!$D$664)</f>
        <v/>
      </c>
      <c r="AX661">
        <f>IF([4]Entry!$E$664="","",[4]Entry!$E$664)</f>
        <v/>
      </c>
      <c r="AY661">
        <f>IF([4]Entry!$H$664="","",[4]Entry!$H$664)</f>
        <v/>
      </c>
      <c r="AZ661">
        <f>IF([4]Entry!$I$664="","",[4]Entry!$I$664)</f>
        <v/>
      </c>
    </row>
    <row r="662">
      <c r="Z662">
        <f>IF([2]Entry!$E$665="","",[2]Entry!$E$665)</f>
        <v/>
      </c>
      <c r="AA662">
        <f>IF([2]Entry!$G$665="","",[2]Entry!$G$665)</f>
        <v/>
      </c>
      <c r="AB662">
        <f>IF([2]Entry!$J$665="","",[2]Entry!$J$665)</f>
        <v/>
      </c>
      <c r="AC662">
        <f>IF([2]Entry!$K$665="","",[2]Entry!$K$665)</f>
        <v/>
      </c>
      <c r="AD662">
        <f>IF([2]Entry!$L$665="","",[2]Entry!$L$665)</f>
        <v/>
      </c>
      <c r="AE662">
        <f>IF([2]Entry!$M$665="","",[2]Entry!$M$665)</f>
        <v/>
      </c>
      <c r="AF662">
        <f>IF([2]Entry!$N$665="","",[2]Entry!$N$665)</f>
        <v/>
      </c>
      <c r="AJ662">
        <f>IF([2]Entry!$S$665="","",[2]Entry!$S$665)</f>
        <v/>
      </c>
      <c r="AK662">
        <f>IF([2]Entry!$C$665="","",[2]Entry!$C$665)</f>
        <v/>
      </c>
      <c r="AL662">
        <f>IF([2]Entry!$D$665="","",[2]Entry!$D$665)</f>
        <v/>
      </c>
      <c r="AX662">
        <f>IF([4]Entry!$E$665="","",[4]Entry!$E$665)</f>
        <v/>
      </c>
      <c r="AY662">
        <f>IF([4]Entry!$H$665="","",[4]Entry!$H$665)</f>
        <v/>
      </c>
      <c r="AZ662">
        <f>IF([4]Entry!$I$665="","",[4]Entry!$I$665)</f>
        <v/>
      </c>
    </row>
    <row r="663">
      <c r="Z663">
        <f>IF([2]Entry!$E$666="","",[2]Entry!$E$666)</f>
        <v/>
      </c>
      <c r="AA663">
        <f>IF([2]Entry!$G$666="","",[2]Entry!$G$666)</f>
        <v/>
      </c>
      <c r="AB663">
        <f>IF([2]Entry!$J$666="","",[2]Entry!$J$666)</f>
        <v/>
      </c>
      <c r="AC663">
        <f>IF([2]Entry!$K$666="","",[2]Entry!$K$666)</f>
        <v/>
      </c>
      <c r="AD663">
        <f>IF([2]Entry!$L$666="","",[2]Entry!$L$666)</f>
        <v/>
      </c>
      <c r="AE663">
        <f>IF([2]Entry!$M$666="","",[2]Entry!$M$666)</f>
        <v/>
      </c>
      <c r="AF663">
        <f>IF([2]Entry!$N$666="","",[2]Entry!$N$666)</f>
        <v/>
      </c>
      <c r="AJ663">
        <f>IF([2]Entry!$S$666="","",[2]Entry!$S$666)</f>
        <v/>
      </c>
      <c r="AK663">
        <f>IF([2]Entry!$C$666="","",[2]Entry!$C$666)</f>
        <v/>
      </c>
      <c r="AL663">
        <f>IF([2]Entry!$D$666="","",[2]Entry!$D$666)</f>
        <v/>
      </c>
      <c r="AX663">
        <f>IF([4]Entry!$E$666="","",[4]Entry!$E$666)</f>
        <v/>
      </c>
      <c r="AY663">
        <f>IF([4]Entry!$H$666="","",[4]Entry!$H$666)</f>
        <v/>
      </c>
      <c r="AZ663">
        <f>IF([4]Entry!$I$666="","",[4]Entry!$I$666)</f>
        <v/>
      </c>
    </row>
    <row r="664">
      <c r="Z664">
        <f>IF([2]Entry!$E$667="","",[2]Entry!$E$667)</f>
        <v/>
      </c>
      <c r="AA664">
        <f>IF([2]Entry!$G$667="","",[2]Entry!$G$667)</f>
        <v/>
      </c>
      <c r="AB664">
        <f>IF([2]Entry!$J$667="","",[2]Entry!$J$667)</f>
        <v/>
      </c>
      <c r="AC664">
        <f>IF([2]Entry!$K$667="","",[2]Entry!$K$667)</f>
        <v/>
      </c>
      <c r="AD664">
        <f>IF([2]Entry!$L$667="","",[2]Entry!$L$667)</f>
        <v/>
      </c>
      <c r="AE664">
        <f>IF([2]Entry!$M$667="","",[2]Entry!$M$667)</f>
        <v/>
      </c>
      <c r="AF664">
        <f>IF([2]Entry!$N$667="","",[2]Entry!$N$667)</f>
        <v/>
      </c>
      <c r="AJ664">
        <f>IF([2]Entry!$S$667="","",[2]Entry!$S$667)</f>
        <v/>
      </c>
      <c r="AK664">
        <f>IF([2]Entry!$C$667="","",[2]Entry!$C$667)</f>
        <v/>
      </c>
      <c r="AL664">
        <f>IF([2]Entry!$D$667="","",[2]Entry!$D$667)</f>
        <v/>
      </c>
      <c r="AX664">
        <f>IF([4]Entry!$E$667="","",[4]Entry!$E$667)</f>
        <v/>
      </c>
      <c r="AY664">
        <f>IF([4]Entry!$H$667="","",[4]Entry!$H$667)</f>
        <v/>
      </c>
      <c r="AZ664">
        <f>IF([4]Entry!$I$667="","",[4]Entry!$I$667)</f>
        <v/>
      </c>
    </row>
    <row r="665">
      <c r="Z665">
        <f>IF([2]Entry!$E$668="","",[2]Entry!$E$668)</f>
        <v/>
      </c>
      <c r="AA665">
        <f>IF([2]Entry!$G$668="","",[2]Entry!$G$668)</f>
        <v/>
      </c>
      <c r="AB665">
        <f>IF([2]Entry!$J$668="","",[2]Entry!$J$668)</f>
        <v/>
      </c>
      <c r="AC665">
        <f>IF([2]Entry!$K$668="","",[2]Entry!$K$668)</f>
        <v/>
      </c>
      <c r="AD665">
        <f>IF([2]Entry!$L$668="","",[2]Entry!$L$668)</f>
        <v/>
      </c>
      <c r="AE665">
        <f>IF([2]Entry!$M$668="","",[2]Entry!$M$668)</f>
        <v/>
      </c>
      <c r="AF665">
        <f>IF([2]Entry!$N$668="","",[2]Entry!$N$668)</f>
        <v/>
      </c>
      <c r="AJ665">
        <f>IF([2]Entry!$S$668="","",[2]Entry!$S$668)</f>
        <v/>
      </c>
      <c r="AK665">
        <f>IF([2]Entry!$C$668="","",[2]Entry!$C$668)</f>
        <v/>
      </c>
      <c r="AL665">
        <f>IF([2]Entry!$D$668="","",[2]Entry!$D$668)</f>
        <v/>
      </c>
      <c r="AX665">
        <f>IF([4]Entry!$E$668="","",[4]Entry!$E$668)</f>
        <v/>
      </c>
      <c r="AY665">
        <f>IF([4]Entry!$H$668="","",[4]Entry!$H$668)</f>
        <v/>
      </c>
      <c r="AZ665">
        <f>IF([4]Entry!$I$668="","",[4]Entry!$I$668)</f>
        <v/>
      </c>
    </row>
    <row r="666">
      <c r="Z666">
        <f>IF([2]Entry!$E$669="","",[2]Entry!$E$669)</f>
        <v/>
      </c>
      <c r="AA666">
        <f>IF([2]Entry!$G$669="","",[2]Entry!$G$669)</f>
        <v/>
      </c>
      <c r="AB666">
        <f>IF([2]Entry!$J$669="","",[2]Entry!$J$669)</f>
        <v/>
      </c>
      <c r="AC666">
        <f>IF([2]Entry!$K$669="","",[2]Entry!$K$669)</f>
        <v/>
      </c>
      <c r="AD666">
        <f>IF([2]Entry!$L$669="","",[2]Entry!$L$669)</f>
        <v/>
      </c>
      <c r="AE666">
        <f>IF([2]Entry!$M$669="","",[2]Entry!$M$669)</f>
        <v/>
      </c>
      <c r="AF666">
        <f>IF([2]Entry!$N$669="","",[2]Entry!$N$669)</f>
        <v/>
      </c>
      <c r="AJ666">
        <f>IF([2]Entry!$S$669="","",[2]Entry!$S$669)</f>
        <v/>
      </c>
      <c r="AK666">
        <f>IF([2]Entry!$C$669="","",[2]Entry!$C$669)</f>
        <v/>
      </c>
      <c r="AL666">
        <f>IF([2]Entry!$D$669="","",[2]Entry!$D$669)</f>
        <v/>
      </c>
      <c r="AX666">
        <f>IF([4]Entry!$E$669="","",[4]Entry!$E$669)</f>
        <v/>
      </c>
      <c r="AY666">
        <f>IF([4]Entry!$H$669="","",[4]Entry!$H$669)</f>
        <v/>
      </c>
      <c r="AZ666">
        <f>IF([4]Entry!$I$669="","",[4]Entry!$I$669)</f>
        <v/>
      </c>
    </row>
    <row r="667">
      <c r="Z667">
        <f>IF([2]Entry!$E$670="","",[2]Entry!$E$670)</f>
        <v/>
      </c>
      <c r="AA667">
        <f>IF([2]Entry!$G$670="","",[2]Entry!$G$670)</f>
        <v/>
      </c>
      <c r="AB667">
        <f>IF([2]Entry!$J$670="","",[2]Entry!$J$670)</f>
        <v/>
      </c>
      <c r="AC667">
        <f>IF([2]Entry!$K$670="","",[2]Entry!$K$670)</f>
        <v/>
      </c>
      <c r="AD667">
        <f>IF([2]Entry!$L$670="","",[2]Entry!$L$670)</f>
        <v/>
      </c>
      <c r="AE667">
        <f>IF([2]Entry!$M$670="","",[2]Entry!$M$670)</f>
        <v/>
      </c>
      <c r="AF667">
        <f>IF([2]Entry!$N$670="","",[2]Entry!$N$670)</f>
        <v/>
      </c>
      <c r="AJ667">
        <f>IF([2]Entry!$S$670="","",[2]Entry!$S$670)</f>
        <v/>
      </c>
      <c r="AK667">
        <f>IF([2]Entry!$C$670="","",[2]Entry!$C$670)</f>
        <v/>
      </c>
      <c r="AL667">
        <f>IF([2]Entry!$D$670="","",[2]Entry!$D$670)</f>
        <v/>
      </c>
      <c r="AX667">
        <f>IF([4]Entry!$E$670="","",[4]Entry!$E$670)</f>
        <v/>
      </c>
      <c r="AY667">
        <f>IF([4]Entry!$H$670="","",[4]Entry!$H$670)</f>
        <v/>
      </c>
      <c r="AZ667">
        <f>IF([4]Entry!$I$670="","",[4]Entry!$I$670)</f>
        <v/>
      </c>
    </row>
    <row r="668">
      <c r="Z668">
        <f>IF([2]Entry!$E$671="","",[2]Entry!$E$671)</f>
        <v/>
      </c>
      <c r="AA668">
        <f>IF([2]Entry!$G$671="","",[2]Entry!$G$671)</f>
        <v/>
      </c>
      <c r="AB668">
        <f>IF([2]Entry!$J$671="","",[2]Entry!$J$671)</f>
        <v/>
      </c>
      <c r="AC668">
        <f>IF([2]Entry!$K$671="","",[2]Entry!$K$671)</f>
        <v/>
      </c>
      <c r="AD668">
        <f>IF([2]Entry!$L$671="","",[2]Entry!$L$671)</f>
        <v/>
      </c>
      <c r="AE668">
        <f>IF([2]Entry!$M$671="","",[2]Entry!$M$671)</f>
        <v/>
      </c>
      <c r="AF668">
        <f>IF([2]Entry!$N$671="","",[2]Entry!$N$671)</f>
        <v/>
      </c>
      <c r="AJ668">
        <f>IF([2]Entry!$S$671="","",[2]Entry!$S$671)</f>
        <v/>
      </c>
      <c r="AK668">
        <f>IF([2]Entry!$C$671="","",[2]Entry!$C$671)</f>
        <v/>
      </c>
      <c r="AL668">
        <f>IF([2]Entry!$D$671="","",[2]Entry!$D$671)</f>
        <v/>
      </c>
      <c r="AX668">
        <f>IF([4]Entry!$E$671="","",[4]Entry!$E$671)</f>
        <v/>
      </c>
      <c r="AY668">
        <f>IF([4]Entry!$H$671="","",[4]Entry!$H$671)</f>
        <v/>
      </c>
      <c r="AZ668">
        <f>IF([4]Entry!$I$671="","",[4]Entry!$I$671)</f>
        <v/>
      </c>
    </row>
    <row r="669">
      <c r="Z669">
        <f>IF([2]Entry!$E$672="","",[2]Entry!$E$672)</f>
        <v/>
      </c>
      <c r="AA669">
        <f>IF([2]Entry!$G$672="","",[2]Entry!$G$672)</f>
        <v/>
      </c>
      <c r="AB669">
        <f>IF([2]Entry!$J$672="","",[2]Entry!$J$672)</f>
        <v/>
      </c>
      <c r="AC669">
        <f>IF([2]Entry!$K$672="","",[2]Entry!$K$672)</f>
        <v/>
      </c>
      <c r="AD669">
        <f>IF([2]Entry!$L$672="","",[2]Entry!$L$672)</f>
        <v/>
      </c>
      <c r="AE669">
        <f>IF([2]Entry!$M$672="","",[2]Entry!$M$672)</f>
        <v/>
      </c>
      <c r="AF669">
        <f>IF([2]Entry!$N$672="","",[2]Entry!$N$672)</f>
        <v/>
      </c>
      <c r="AJ669">
        <f>IF([2]Entry!$S$672="","",[2]Entry!$S$672)</f>
        <v/>
      </c>
      <c r="AK669">
        <f>IF([2]Entry!$C$672="","",[2]Entry!$C$672)</f>
        <v/>
      </c>
      <c r="AL669">
        <f>IF([2]Entry!$D$672="","",[2]Entry!$D$672)</f>
        <v/>
      </c>
      <c r="AX669">
        <f>IF([4]Entry!$E$672="","",[4]Entry!$E$672)</f>
        <v/>
      </c>
      <c r="AY669">
        <f>IF([4]Entry!$H$672="","",[4]Entry!$H$672)</f>
        <v/>
      </c>
      <c r="AZ669">
        <f>IF([4]Entry!$I$672="","",[4]Entry!$I$672)</f>
        <v/>
      </c>
    </row>
    <row r="670">
      <c r="Z670">
        <f>IF([2]Entry!$E$673="","",[2]Entry!$E$673)</f>
        <v/>
      </c>
      <c r="AA670">
        <f>IF([2]Entry!$G$673="","",[2]Entry!$G$673)</f>
        <v/>
      </c>
      <c r="AB670">
        <f>IF([2]Entry!$J$673="","",[2]Entry!$J$673)</f>
        <v/>
      </c>
      <c r="AC670">
        <f>IF([2]Entry!$K$673="","",[2]Entry!$K$673)</f>
        <v/>
      </c>
      <c r="AD670">
        <f>IF([2]Entry!$L$673="","",[2]Entry!$L$673)</f>
        <v/>
      </c>
      <c r="AE670">
        <f>IF([2]Entry!$M$673="","",[2]Entry!$M$673)</f>
        <v/>
      </c>
      <c r="AF670">
        <f>IF([2]Entry!$N$673="","",[2]Entry!$N$673)</f>
        <v/>
      </c>
      <c r="AJ670">
        <f>IF([2]Entry!$S$673="","",[2]Entry!$S$673)</f>
        <v/>
      </c>
      <c r="AK670">
        <f>IF([2]Entry!$C$673="","",[2]Entry!$C$673)</f>
        <v/>
      </c>
      <c r="AL670">
        <f>IF([2]Entry!$D$673="","",[2]Entry!$D$673)</f>
        <v/>
      </c>
      <c r="AX670">
        <f>IF([4]Entry!$E$673="","",[4]Entry!$E$673)</f>
        <v/>
      </c>
      <c r="AY670">
        <f>IF([4]Entry!$H$673="","",[4]Entry!$H$673)</f>
        <v/>
      </c>
      <c r="AZ670">
        <f>IF([4]Entry!$I$673="","",[4]Entry!$I$673)</f>
        <v/>
      </c>
    </row>
    <row r="671">
      <c r="Z671">
        <f>IF([2]Entry!$E$674="","",[2]Entry!$E$674)</f>
        <v/>
      </c>
      <c r="AA671">
        <f>IF([2]Entry!$G$674="","",[2]Entry!$G$674)</f>
        <v/>
      </c>
      <c r="AB671">
        <f>IF([2]Entry!$J$674="","",[2]Entry!$J$674)</f>
        <v/>
      </c>
      <c r="AC671">
        <f>IF([2]Entry!$K$674="","",[2]Entry!$K$674)</f>
        <v/>
      </c>
      <c r="AD671">
        <f>IF([2]Entry!$L$674="","",[2]Entry!$L$674)</f>
        <v/>
      </c>
      <c r="AE671">
        <f>IF([2]Entry!$M$674="","",[2]Entry!$M$674)</f>
        <v/>
      </c>
      <c r="AF671">
        <f>IF([2]Entry!$N$674="","",[2]Entry!$N$674)</f>
        <v/>
      </c>
      <c r="AJ671">
        <f>IF([2]Entry!$S$674="","",[2]Entry!$S$674)</f>
        <v/>
      </c>
      <c r="AK671">
        <f>IF([2]Entry!$C$674="","",[2]Entry!$C$674)</f>
        <v/>
      </c>
      <c r="AL671">
        <f>IF([2]Entry!$D$674="","",[2]Entry!$D$674)</f>
        <v/>
      </c>
      <c r="AX671">
        <f>IF([4]Entry!$E$674="","",[4]Entry!$E$674)</f>
        <v/>
      </c>
      <c r="AY671">
        <f>IF([4]Entry!$H$674="","",[4]Entry!$H$674)</f>
        <v/>
      </c>
      <c r="AZ671">
        <f>IF([4]Entry!$I$674="","",[4]Entry!$I$674)</f>
        <v/>
      </c>
    </row>
    <row r="672">
      <c r="Z672">
        <f>IF([2]Entry!$E$675="","",[2]Entry!$E$675)</f>
        <v/>
      </c>
      <c r="AA672">
        <f>IF([2]Entry!$G$675="","",[2]Entry!$G$675)</f>
        <v/>
      </c>
      <c r="AB672">
        <f>IF([2]Entry!$J$675="","",[2]Entry!$J$675)</f>
        <v/>
      </c>
      <c r="AC672">
        <f>IF([2]Entry!$K$675="","",[2]Entry!$K$675)</f>
        <v/>
      </c>
      <c r="AD672">
        <f>IF([2]Entry!$L$675="","",[2]Entry!$L$675)</f>
        <v/>
      </c>
      <c r="AE672">
        <f>IF([2]Entry!$M$675="","",[2]Entry!$M$675)</f>
        <v/>
      </c>
      <c r="AF672">
        <f>IF([2]Entry!$N$675="","",[2]Entry!$N$675)</f>
        <v/>
      </c>
      <c r="AJ672">
        <f>IF([2]Entry!$S$675="","",[2]Entry!$S$675)</f>
        <v/>
      </c>
      <c r="AK672">
        <f>IF([2]Entry!$C$675="","",[2]Entry!$C$675)</f>
        <v/>
      </c>
      <c r="AL672">
        <f>IF([2]Entry!$D$675="","",[2]Entry!$D$675)</f>
        <v/>
      </c>
      <c r="AX672">
        <f>IF([4]Entry!$E$675="","",[4]Entry!$E$675)</f>
        <v/>
      </c>
      <c r="AY672">
        <f>IF([4]Entry!$H$675="","",[4]Entry!$H$675)</f>
        <v/>
      </c>
      <c r="AZ672">
        <f>IF([4]Entry!$I$675="","",[4]Entry!$I$675)</f>
        <v/>
      </c>
    </row>
    <row r="673">
      <c r="Z673">
        <f>IF([2]Entry!$E$676="","",[2]Entry!$E$676)</f>
        <v/>
      </c>
      <c r="AA673">
        <f>IF([2]Entry!$G$676="","",[2]Entry!$G$676)</f>
        <v/>
      </c>
      <c r="AB673">
        <f>IF([2]Entry!$J$676="","",[2]Entry!$J$676)</f>
        <v/>
      </c>
      <c r="AC673">
        <f>IF([2]Entry!$K$676="","",[2]Entry!$K$676)</f>
        <v/>
      </c>
      <c r="AD673">
        <f>IF([2]Entry!$L$676="","",[2]Entry!$L$676)</f>
        <v/>
      </c>
      <c r="AE673">
        <f>IF([2]Entry!$M$676="","",[2]Entry!$M$676)</f>
        <v/>
      </c>
      <c r="AF673">
        <f>IF([2]Entry!$N$676="","",[2]Entry!$N$676)</f>
        <v/>
      </c>
      <c r="AJ673">
        <f>IF([2]Entry!$S$676="","",[2]Entry!$S$676)</f>
        <v/>
      </c>
      <c r="AK673">
        <f>IF([2]Entry!$C$676="","",[2]Entry!$C$676)</f>
        <v/>
      </c>
      <c r="AL673">
        <f>IF([2]Entry!$D$676="","",[2]Entry!$D$676)</f>
        <v/>
      </c>
      <c r="AX673">
        <f>IF([4]Entry!$E$676="","",[4]Entry!$E$676)</f>
        <v/>
      </c>
      <c r="AY673">
        <f>IF([4]Entry!$H$676="","",[4]Entry!$H$676)</f>
        <v/>
      </c>
      <c r="AZ673">
        <f>IF([4]Entry!$I$676="","",[4]Entry!$I$676)</f>
        <v/>
      </c>
    </row>
    <row r="674">
      <c r="Z674">
        <f>IF([2]Entry!$E$677="","",[2]Entry!$E$677)</f>
        <v/>
      </c>
      <c r="AA674">
        <f>IF([2]Entry!$G$677="","",[2]Entry!$G$677)</f>
        <v/>
      </c>
      <c r="AB674">
        <f>IF([2]Entry!$J$677="","",[2]Entry!$J$677)</f>
        <v/>
      </c>
      <c r="AC674">
        <f>IF([2]Entry!$K$677="","",[2]Entry!$K$677)</f>
        <v/>
      </c>
      <c r="AD674">
        <f>IF([2]Entry!$L$677="","",[2]Entry!$L$677)</f>
        <v/>
      </c>
      <c r="AE674">
        <f>IF([2]Entry!$M$677="","",[2]Entry!$M$677)</f>
        <v/>
      </c>
      <c r="AF674">
        <f>IF([2]Entry!$N$677="","",[2]Entry!$N$677)</f>
        <v/>
      </c>
      <c r="AJ674">
        <f>IF([2]Entry!$S$677="","",[2]Entry!$S$677)</f>
        <v/>
      </c>
      <c r="AK674">
        <f>IF([2]Entry!$C$677="","",[2]Entry!$C$677)</f>
        <v/>
      </c>
      <c r="AL674">
        <f>IF([2]Entry!$D$677="","",[2]Entry!$D$677)</f>
        <v/>
      </c>
      <c r="AX674">
        <f>IF([4]Entry!$E$677="","",[4]Entry!$E$677)</f>
        <v/>
      </c>
      <c r="AY674">
        <f>IF([4]Entry!$H$677="","",[4]Entry!$H$677)</f>
        <v/>
      </c>
      <c r="AZ674">
        <f>IF([4]Entry!$I$677="","",[4]Entry!$I$677)</f>
        <v/>
      </c>
    </row>
    <row r="675">
      <c r="Z675">
        <f>IF([2]Entry!$E$678="","",[2]Entry!$E$678)</f>
        <v/>
      </c>
      <c r="AA675">
        <f>IF([2]Entry!$G$678="","",[2]Entry!$G$678)</f>
        <v/>
      </c>
      <c r="AB675">
        <f>IF([2]Entry!$J$678="","",[2]Entry!$J$678)</f>
        <v/>
      </c>
      <c r="AC675">
        <f>IF([2]Entry!$K$678="","",[2]Entry!$K$678)</f>
        <v/>
      </c>
      <c r="AD675">
        <f>IF([2]Entry!$L$678="","",[2]Entry!$L$678)</f>
        <v/>
      </c>
      <c r="AE675">
        <f>IF([2]Entry!$M$678="","",[2]Entry!$M$678)</f>
        <v/>
      </c>
      <c r="AF675">
        <f>IF([2]Entry!$N$678="","",[2]Entry!$N$678)</f>
        <v/>
      </c>
      <c r="AJ675">
        <f>IF([2]Entry!$S$678="","",[2]Entry!$S$678)</f>
        <v/>
      </c>
      <c r="AK675">
        <f>IF([2]Entry!$C$678="","",[2]Entry!$C$678)</f>
        <v/>
      </c>
      <c r="AL675">
        <f>IF([2]Entry!$D$678="","",[2]Entry!$D$678)</f>
        <v/>
      </c>
      <c r="AX675">
        <f>IF([4]Entry!$E$678="","",[4]Entry!$E$678)</f>
        <v/>
      </c>
      <c r="AY675">
        <f>IF([4]Entry!$H$678="","",[4]Entry!$H$678)</f>
        <v/>
      </c>
      <c r="AZ675">
        <f>IF([4]Entry!$I$678="","",[4]Entry!$I$678)</f>
        <v/>
      </c>
    </row>
    <row r="676">
      <c r="Z676">
        <f>IF([2]Entry!$E$679="","",[2]Entry!$E$679)</f>
        <v/>
      </c>
      <c r="AA676">
        <f>IF([2]Entry!$G$679="","",[2]Entry!$G$679)</f>
        <v/>
      </c>
      <c r="AB676">
        <f>IF([2]Entry!$J$679="","",[2]Entry!$J$679)</f>
        <v/>
      </c>
      <c r="AC676">
        <f>IF([2]Entry!$K$679="","",[2]Entry!$K$679)</f>
        <v/>
      </c>
      <c r="AD676">
        <f>IF([2]Entry!$L$679="","",[2]Entry!$L$679)</f>
        <v/>
      </c>
      <c r="AE676">
        <f>IF([2]Entry!$M$679="","",[2]Entry!$M$679)</f>
        <v/>
      </c>
      <c r="AF676">
        <f>IF([2]Entry!$N$679="","",[2]Entry!$N$679)</f>
        <v/>
      </c>
      <c r="AJ676">
        <f>IF([2]Entry!$S$679="","",[2]Entry!$S$679)</f>
        <v/>
      </c>
      <c r="AK676">
        <f>IF([2]Entry!$C$679="","",[2]Entry!$C$679)</f>
        <v/>
      </c>
      <c r="AL676">
        <f>IF([2]Entry!$D$679="","",[2]Entry!$D$679)</f>
        <v/>
      </c>
      <c r="AX676">
        <f>IF([4]Entry!$E$679="","",[4]Entry!$E$679)</f>
        <v/>
      </c>
      <c r="AY676">
        <f>IF([4]Entry!$H$679="","",[4]Entry!$H$679)</f>
        <v/>
      </c>
      <c r="AZ676">
        <f>IF([4]Entry!$I$679="","",[4]Entry!$I$679)</f>
        <v/>
      </c>
    </row>
    <row r="677">
      <c r="Z677">
        <f>IF([2]Entry!$E$680="","",[2]Entry!$E$680)</f>
        <v/>
      </c>
      <c r="AA677">
        <f>IF([2]Entry!$G$680="","",[2]Entry!$G$680)</f>
        <v/>
      </c>
      <c r="AB677">
        <f>IF([2]Entry!$J$680="","",[2]Entry!$J$680)</f>
        <v/>
      </c>
      <c r="AC677">
        <f>IF([2]Entry!$K$680="","",[2]Entry!$K$680)</f>
        <v/>
      </c>
      <c r="AD677">
        <f>IF([2]Entry!$L$680="","",[2]Entry!$L$680)</f>
        <v/>
      </c>
      <c r="AE677">
        <f>IF([2]Entry!$M$680="","",[2]Entry!$M$680)</f>
        <v/>
      </c>
      <c r="AF677">
        <f>IF([2]Entry!$N$680="","",[2]Entry!$N$680)</f>
        <v/>
      </c>
      <c r="AJ677">
        <f>IF([2]Entry!$S$680="","",[2]Entry!$S$680)</f>
        <v/>
      </c>
      <c r="AK677">
        <f>IF([2]Entry!$C$680="","",[2]Entry!$C$680)</f>
        <v/>
      </c>
      <c r="AL677">
        <f>IF([2]Entry!$D$680="","",[2]Entry!$D$680)</f>
        <v/>
      </c>
      <c r="AX677">
        <f>IF([4]Entry!$E$680="","",[4]Entry!$E$680)</f>
        <v/>
      </c>
      <c r="AY677">
        <f>IF([4]Entry!$H$680="","",[4]Entry!$H$680)</f>
        <v/>
      </c>
      <c r="AZ677">
        <f>IF([4]Entry!$I$680="","",[4]Entry!$I$680)</f>
        <v/>
      </c>
    </row>
    <row r="678">
      <c r="Z678">
        <f>IF([2]Entry!$E$681="","",[2]Entry!$E$681)</f>
        <v/>
      </c>
      <c r="AA678">
        <f>IF([2]Entry!$G$681="","",[2]Entry!$G$681)</f>
        <v/>
      </c>
      <c r="AB678">
        <f>IF([2]Entry!$J$681="","",[2]Entry!$J$681)</f>
        <v/>
      </c>
      <c r="AC678">
        <f>IF([2]Entry!$K$681="","",[2]Entry!$K$681)</f>
        <v/>
      </c>
      <c r="AD678">
        <f>IF([2]Entry!$L$681="","",[2]Entry!$L$681)</f>
        <v/>
      </c>
      <c r="AE678">
        <f>IF([2]Entry!$M$681="","",[2]Entry!$M$681)</f>
        <v/>
      </c>
      <c r="AF678">
        <f>IF([2]Entry!$N$681="","",[2]Entry!$N$681)</f>
        <v/>
      </c>
      <c r="AJ678">
        <f>IF([2]Entry!$S$681="","",[2]Entry!$S$681)</f>
        <v/>
      </c>
      <c r="AK678">
        <f>IF([2]Entry!$C$681="","",[2]Entry!$C$681)</f>
        <v/>
      </c>
      <c r="AL678">
        <f>IF([2]Entry!$D$681="","",[2]Entry!$D$681)</f>
        <v/>
      </c>
      <c r="AX678">
        <f>IF([4]Entry!$E$681="","",[4]Entry!$E$681)</f>
        <v/>
      </c>
      <c r="AY678">
        <f>IF([4]Entry!$H$681="","",[4]Entry!$H$681)</f>
        <v/>
      </c>
      <c r="AZ678">
        <f>IF([4]Entry!$I$681="","",[4]Entry!$I$681)</f>
        <v/>
      </c>
    </row>
    <row r="679">
      <c r="Z679">
        <f>IF([2]Entry!$E$682="","",[2]Entry!$E$682)</f>
        <v/>
      </c>
      <c r="AA679">
        <f>IF([2]Entry!$G$682="","",[2]Entry!$G$682)</f>
        <v/>
      </c>
      <c r="AB679">
        <f>IF([2]Entry!$J$682="","",[2]Entry!$J$682)</f>
        <v/>
      </c>
      <c r="AC679">
        <f>IF([2]Entry!$K$682="","",[2]Entry!$K$682)</f>
        <v/>
      </c>
      <c r="AD679">
        <f>IF([2]Entry!$L$682="","",[2]Entry!$L$682)</f>
        <v/>
      </c>
      <c r="AE679">
        <f>IF([2]Entry!$M$682="","",[2]Entry!$M$682)</f>
        <v/>
      </c>
      <c r="AF679">
        <f>IF([2]Entry!$N$682="","",[2]Entry!$N$682)</f>
        <v/>
      </c>
      <c r="AJ679">
        <f>IF([2]Entry!$S$682="","",[2]Entry!$S$682)</f>
        <v/>
      </c>
      <c r="AK679">
        <f>IF([2]Entry!$C$682="","",[2]Entry!$C$682)</f>
        <v/>
      </c>
      <c r="AL679">
        <f>IF([2]Entry!$D$682="","",[2]Entry!$D$682)</f>
        <v/>
      </c>
      <c r="AX679">
        <f>IF([4]Entry!$E$682="","",[4]Entry!$E$682)</f>
        <v/>
      </c>
      <c r="AY679">
        <f>IF([4]Entry!$H$682="","",[4]Entry!$H$682)</f>
        <v/>
      </c>
      <c r="AZ679">
        <f>IF([4]Entry!$I$682="","",[4]Entry!$I$682)</f>
        <v/>
      </c>
    </row>
    <row r="680">
      <c r="Z680">
        <f>IF([2]Entry!$E$683="","",[2]Entry!$E$683)</f>
        <v/>
      </c>
      <c r="AA680">
        <f>IF([2]Entry!$G$683="","",[2]Entry!$G$683)</f>
        <v/>
      </c>
      <c r="AB680">
        <f>IF([2]Entry!$J$683="","",[2]Entry!$J$683)</f>
        <v/>
      </c>
      <c r="AC680">
        <f>IF([2]Entry!$K$683="","",[2]Entry!$K$683)</f>
        <v/>
      </c>
      <c r="AD680">
        <f>IF([2]Entry!$L$683="","",[2]Entry!$L$683)</f>
        <v/>
      </c>
      <c r="AE680">
        <f>IF([2]Entry!$M$683="","",[2]Entry!$M$683)</f>
        <v/>
      </c>
      <c r="AF680">
        <f>IF([2]Entry!$N$683="","",[2]Entry!$N$683)</f>
        <v/>
      </c>
      <c r="AJ680">
        <f>IF([2]Entry!$S$683="","",[2]Entry!$S$683)</f>
        <v/>
      </c>
      <c r="AK680">
        <f>IF([2]Entry!$C$683="","",[2]Entry!$C$683)</f>
        <v/>
      </c>
      <c r="AL680">
        <f>IF([2]Entry!$D$683="","",[2]Entry!$D$683)</f>
        <v/>
      </c>
      <c r="AX680">
        <f>IF([4]Entry!$E$683="","",[4]Entry!$E$683)</f>
        <v/>
      </c>
      <c r="AY680">
        <f>IF([4]Entry!$H$683="","",[4]Entry!$H$683)</f>
        <v/>
      </c>
      <c r="AZ680">
        <f>IF([4]Entry!$I$683="","",[4]Entry!$I$683)</f>
        <v/>
      </c>
    </row>
    <row r="681">
      <c r="Z681">
        <f>IF([2]Entry!$E$684="","",[2]Entry!$E$684)</f>
        <v/>
      </c>
      <c r="AA681">
        <f>IF([2]Entry!$G$684="","",[2]Entry!$G$684)</f>
        <v/>
      </c>
      <c r="AB681">
        <f>IF([2]Entry!$J$684="","",[2]Entry!$J$684)</f>
        <v/>
      </c>
      <c r="AC681">
        <f>IF([2]Entry!$K$684="","",[2]Entry!$K$684)</f>
        <v/>
      </c>
      <c r="AD681">
        <f>IF([2]Entry!$L$684="","",[2]Entry!$L$684)</f>
        <v/>
      </c>
      <c r="AE681">
        <f>IF([2]Entry!$M$684="","",[2]Entry!$M$684)</f>
        <v/>
      </c>
      <c r="AF681">
        <f>IF([2]Entry!$N$684="","",[2]Entry!$N$684)</f>
        <v/>
      </c>
      <c r="AJ681">
        <f>IF([2]Entry!$S$684="","",[2]Entry!$S$684)</f>
        <v/>
      </c>
      <c r="AK681">
        <f>IF([2]Entry!$C$684="","",[2]Entry!$C$684)</f>
        <v/>
      </c>
      <c r="AL681">
        <f>IF([2]Entry!$D$684="","",[2]Entry!$D$684)</f>
        <v/>
      </c>
      <c r="AX681">
        <f>IF([4]Entry!$E$684="","",[4]Entry!$E$684)</f>
        <v/>
      </c>
      <c r="AY681">
        <f>IF([4]Entry!$H$684="","",[4]Entry!$H$684)</f>
        <v/>
      </c>
      <c r="AZ681">
        <f>IF([4]Entry!$I$684="","",[4]Entry!$I$684)</f>
        <v/>
      </c>
    </row>
    <row r="682">
      <c r="Z682">
        <f>IF([2]Entry!$E$685="","",[2]Entry!$E$685)</f>
        <v/>
      </c>
      <c r="AA682">
        <f>IF([2]Entry!$G$685="","",[2]Entry!$G$685)</f>
        <v/>
      </c>
      <c r="AB682">
        <f>IF([2]Entry!$J$685="","",[2]Entry!$J$685)</f>
        <v/>
      </c>
      <c r="AC682">
        <f>IF([2]Entry!$K$685="","",[2]Entry!$K$685)</f>
        <v/>
      </c>
      <c r="AD682">
        <f>IF([2]Entry!$L$685="","",[2]Entry!$L$685)</f>
        <v/>
      </c>
      <c r="AE682">
        <f>IF([2]Entry!$M$685="","",[2]Entry!$M$685)</f>
        <v/>
      </c>
      <c r="AF682">
        <f>IF([2]Entry!$N$685="","",[2]Entry!$N$685)</f>
        <v/>
      </c>
      <c r="AJ682">
        <f>IF([2]Entry!$S$685="","",[2]Entry!$S$685)</f>
        <v/>
      </c>
      <c r="AK682">
        <f>IF([2]Entry!$C$685="","",[2]Entry!$C$685)</f>
        <v/>
      </c>
      <c r="AL682">
        <f>IF([2]Entry!$D$685="","",[2]Entry!$D$685)</f>
        <v/>
      </c>
      <c r="AX682">
        <f>IF([4]Entry!$E$685="","",[4]Entry!$E$685)</f>
        <v/>
      </c>
      <c r="AY682">
        <f>IF([4]Entry!$H$685="","",[4]Entry!$H$685)</f>
        <v/>
      </c>
      <c r="AZ682">
        <f>IF([4]Entry!$I$685="","",[4]Entry!$I$685)</f>
        <v/>
      </c>
    </row>
    <row r="683">
      <c r="Z683">
        <f>IF([2]Entry!$E$686="","",[2]Entry!$E$686)</f>
        <v/>
      </c>
      <c r="AA683">
        <f>IF([2]Entry!$G$686="","",[2]Entry!$G$686)</f>
        <v/>
      </c>
      <c r="AB683">
        <f>IF([2]Entry!$J$686="","",[2]Entry!$J$686)</f>
        <v/>
      </c>
      <c r="AC683">
        <f>IF([2]Entry!$K$686="","",[2]Entry!$K$686)</f>
        <v/>
      </c>
      <c r="AD683">
        <f>IF([2]Entry!$L$686="","",[2]Entry!$L$686)</f>
        <v/>
      </c>
      <c r="AE683">
        <f>IF([2]Entry!$M$686="","",[2]Entry!$M$686)</f>
        <v/>
      </c>
      <c r="AF683">
        <f>IF([2]Entry!$N$686="","",[2]Entry!$N$686)</f>
        <v/>
      </c>
      <c r="AJ683">
        <f>IF([2]Entry!$S$686="","",[2]Entry!$S$686)</f>
        <v/>
      </c>
      <c r="AK683">
        <f>IF([2]Entry!$C$686="","",[2]Entry!$C$686)</f>
        <v/>
      </c>
      <c r="AL683">
        <f>IF([2]Entry!$D$686="","",[2]Entry!$D$686)</f>
        <v/>
      </c>
      <c r="AX683">
        <f>IF([4]Entry!$E$686="","",[4]Entry!$E$686)</f>
        <v/>
      </c>
      <c r="AY683">
        <f>IF([4]Entry!$H$686="","",[4]Entry!$H$686)</f>
        <v/>
      </c>
      <c r="AZ683">
        <f>IF([4]Entry!$I$686="","",[4]Entry!$I$686)</f>
        <v/>
      </c>
    </row>
    <row r="684">
      <c r="Z684">
        <f>IF([2]Entry!$E$687="","",[2]Entry!$E$687)</f>
        <v/>
      </c>
      <c r="AA684">
        <f>IF([2]Entry!$G$687="","",[2]Entry!$G$687)</f>
        <v/>
      </c>
      <c r="AB684">
        <f>IF([2]Entry!$J$687="","",[2]Entry!$J$687)</f>
        <v/>
      </c>
      <c r="AC684">
        <f>IF([2]Entry!$K$687="","",[2]Entry!$K$687)</f>
        <v/>
      </c>
      <c r="AD684">
        <f>IF([2]Entry!$L$687="","",[2]Entry!$L$687)</f>
        <v/>
      </c>
      <c r="AE684">
        <f>IF([2]Entry!$M$687="","",[2]Entry!$M$687)</f>
        <v/>
      </c>
      <c r="AF684">
        <f>IF([2]Entry!$N$687="","",[2]Entry!$N$687)</f>
        <v/>
      </c>
      <c r="AJ684">
        <f>IF([2]Entry!$S$687="","",[2]Entry!$S$687)</f>
        <v/>
      </c>
      <c r="AK684">
        <f>IF([2]Entry!$C$687="","",[2]Entry!$C$687)</f>
        <v/>
      </c>
      <c r="AL684">
        <f>IF([2]Entry!$D$687="","",[2]Entry!$D$687)</f>
        <v/>
      </c>
      <c r="AX684">
        <f>IF([4]Entry!$E$687="","",[4]Entry!$E$687)</f>
        <v/>
      </c>
      <c r="AY684">
        <f>IF([4]Entry!$H$687="","",[4]Entry!$H$687)</f>
        <v/>
      </c>
      <c r="AZ684">
        <f>IF([4]Entry!$I$687="","",[4]Entry!$I$687)</f>
        <v/>
      </c>
    </row>
    <row r="685">
      <c r="Z685">
        <f>IF([2]Entry!$E$688="","",[2]Entry!$E$688)</f>
        <v/>
      </c>
      <c r="AA685">
        <f>IF([2]Entry!$G$688="","",[2]Entry!$G$688)</f>
        <v/>
      </c>
      <c r="AB685">
        <f>IF([2]Entry!$J$688="","",[2]Entry!$J$688)</f>
        <v/>
      </c>
      <c r="AC685">
        <f>IF([2]Entry!$K$688="","",[2]Entry!$K$688)</f>
        <v/>
      </c>
      <c r="AD685">
        <f>IF([2]Entry!$L$688="","",[2]Entry!$L$688)</f>
        <v/>
      </c>
      <c r="AE685">
        <f>IF([2]Entry!$M$688="","",[2]Entry!$M$688)</f>
        <v/>
      </c>
      <c r="AF685">
        <f>IF([2]Entry!$N$688="","",[2]Entry!$N$688)</f>
        <v/>
      </c>
      <c r="AJ685">
        <f>IF([2]Entry!$S$688="","",[2]Entry!$S$688)</f>
        <v/>
      </c>
      <c r="AK685">
        <f>IF([2]Entry!$C$688="","",[2]Entry!$C$688)</f>
        <v/>
      </c>
      <c r="AL685">
        <f>IF([2]Entry!$D$688="","",[2]Entry!$D$688)</f>
        <v/>
      </c>
      <c r="AX685">
        <f>IF([4]Entry!$E$688="","",[4]Entry!$E$688)</f>
        <v/>
      </c>
      <c r="AY685">
        <f>IF([4]Entry!$H$688="","",[4]Entry!$H$688)</f>
        <v/>
      </c>
      <c r="AZ685">
        <f>IF([4]Entry!$I$688="","",[4]Entry!$I$688)</f>
        <v/>
      </c>
    </row>
    <row r="686">
      <c r="Z686">
        <f>IF([2]Entry!$E$689="","",[2]Entry!$E$689)</f>
        <v/>
      </c>
      <c r="AA686">
        <f>IF([2]Entry!$G$689="","",[2]Entry!$G$689)</f>
        <v/>
      </c>
      <c r="AB686">
        <f>IF([2]Entry!$J$689="","",[2]Entry!$J$689)</f>
        <v/>
      </c>
      <c r="AC686">
        <f>IF([2]Entry!$K$689="","",[2]Entry!$K$689)</f>
        <v/>
      </c>
      <c r="AD686">
        <f>IF([2]Entry!$L$689="","",[2]Entry!$L$689)</f>
        <v/>
      </c>
      <c r="AE686">
        <f>IF([2]Entry!$M$689="","",[2]Entry!$M$689)</f>
        <v/>
      </c>
      <c r="AF686">
        <f>IF([2]Entry!$N$689="","",[2]Entry!$N$689)</f>
        <v/>
      </c>
      <c r="AJ686">
        <f>IF([2]Entry!$S$689="","",[2]Entry!$S$689)</f>
        <v/>
      </c>
      <c r="AK686">
        <f>IF([2]Entry!$C$689="","",[2]Entry!$C$689)</f>
        <v/>
      </c>
      <c r="AL686">
        <f>IF([2]Entry!$D$689="","",[2]Entry!$D$689)</f>
        <v/>
      </c>
      <c r="AX686">
        <f>IF([4]Entry!$E$689="","",[4]Entry!$E$689)</f>
        <v/>
      </c>
      <c r="AY686">
        <f>IF([4]Entry!$H$689="","",[4]Entry!$H$689)</f>
        <v/>
      </c>
      <c r="AZ686">
        <f>IF([4]Entry!$I$689="","",[4]Entry!$I$689)</f>
        <v/>
      </c>
    </row>
    <row r="687">
      <c r="Z687">
        <f>IF([2]Entry!$E$690="","",[2]Entry!$E$690)</f>
        <v/>
      </c>
      <c r="AA687">
        <f>IF([2]Entry!$G$690="","",[2]Entry!$G$690)</f>
        <v/>
      </c>
      <c r="AB687">
        <f>IF([2]Entry!$J$690="","",[2]Entry!$J$690)</f>
        <v/>
      </c>
      <c r="AC687">
        <f>IF([2]Entry!$K$690="","",[2]Entry!$K$690)</f>
        <v/>
      </c>
      <c r="AD687">
        <f>IF([2]Entry!$L$690="","",[2]Entry!$L$690)</f>
        <v/>
      </c>
      <c r="AE687">
        <f>IF([2]Entry!$M$690="","",[2]Entry!$M$690)</f>
        <v/>
      </c>
      <c r="AF687">
        <f>IF([2]Entry!$N$690="","",[2]Entry!$N$690)</f>
        <v/>
      </c>
      <c r="AJ687">
        <f>IF([2]Entry!$S$690="","",[2]Entry!$S$690)</f>
        <v/>
      </c>
      <c r="AK687">
        <f>IF([2]Entry!$C$690="","",[2]Entry!$C$690)</f>
        <v/>
      </c>
      <c r="AL687">
        <f>IF([2]Entry!$D$690="","",[2]Entry!$D$690)</f>
        <v/>
      </c>
      <c r="AX687">
        <f>IF([4]Entry!$E$690="","",[4]Entry!$E$690)</f>
        <v/>
      </c>
      <c r="AY687">
        <f>IF([4]Entry!$H$690="","",[4]Entry!$H$690)</f>
        <v/>
      </c>
      <c r="AZ687">
        <f>IF([4]Entry!$I$690="","",[4]Entry!$I$690)</f>
        <v/>
      </c>
    </row>
    <row r="688">
      <c r="Z688">
        <f>IF([2]Entry!$E$691="","",[2]Entry!$E$691)</f>
        <v/>
      </c>
      <c r="AA688">
        <f>IF([2]Entry!$G$691="","",[2]Entry!$G$691)</f>
        <v/>
      </c>
      <c r="AB688">
        <f>IF([2]Entry!$J$691="","",[2]Entry!$J$691)</f>
        <v/>
      </c>
      <c r="AC688">
        <f>IF([2]Entry!$K$691="","",[2]Entry!$K$691)</f>
        <v/>
      </c>
      <c r="AD688">
        <f>IF([2]Entry!$L$691="","",[2]Entry!$L$691)</f>
        <v/>
      </c>
      <c r="AE688">
        <f>IF([2]Entry!$M$691="","",[2]Entry!$M$691)</f>
        <v/>
      </c>
      <c r="AF688">
        <f>IF([2]Entry!$N$691="","",[2]Entry!$N$691)</f>
        <v/>
      </c>
      <c r="AJ688">
        <f>IF([2]Entry!$S$691="","",[2]Entry!$S$691)</f>
        <v/>
      </c>
      <c r="AK688">
        <f>IF([2]Entry!$C$691="","",[2]Entry!$C$691)</f>
        <v/>
      </c>
      <c r="AL688">
        <f>IF([2]Entry!$D$691="","",[2]Entry!$D$691)</f>
        <v/>
      </c>
      <c r="AX688">
        <f>IF([4]Entry!$E$691="","",[4]Entry!$E$691)</f>
        <v/>
      </c>
      <c r="AY688">
        <f>IF([4]Entry!$H$691="","",[4]Entry!$H$691)</f>
        <v/>
      </c>
      <c r="AZ688">
        <f>IF([4]Entry!$I$691="","",[4]Entry!$I$691)</f>
        <v/>
      </c>
    </row>
    <row r="689">
      <c r="Z689">
        <f>IF([2]Entry!$E$692="","",[2]Entry!$E$692)</f>
        <v/>
      </c>
      <c r="AA689">
        <f>IF([2]Entry!$G$692="","",[2]Entry!$G$692)</f>
        <v/>
      </c>
      <c r="AB689">
        <f>IF([2]Entry!$J$692="","",[2]Entry!$J$692)</f>
        <v/>
      </c>
      <c r="AC689">
        <f>IF([2]Entry!$K$692="","",[2]Entry!$K$692)</f>
        <v/>
      </c>
      <c r="AD689">
        <f>IF([2]Entry!$L$692="","",[2]Entry!$L$692)</f>
        <v/>
      </c>
      <c r="AE689">
        <f>IF([2]Entry!$M$692="","",[2]Entry!$M$692)</f>
        <v/>
      </c>
      <c r="AF689">
        <f>IF([2]Entry!$N$692="","",[2]Entry!$N$692)</f>
        <v/>
      </c>
      <c r="AJ689">
        <f>IF([2]Entry!$S$692="","",[2]Entry!$S$692)</f>
        <v/>
      </c>
      <c r="AK689">
        <f>IF([2]Entry!$C$692="","",[2]Entry!$C$692)</f>
        <v/>
      </c>
      <c r="AL689">
        <f>IF([2]Entry!$D$692="","",[2]Entry!$D$692)</f>
        <v/>
      </c>
      <c r="AX689">
        <f>IF([4]Entry!$E$692="","",[4]Entry!$E$692)</f>
        <v/>
      </c>
      <c r="AY689">
        <f>IF([4]Entry!$H$692="","",[4]Entry!$H$692)</f>
        <v/>
      </c>
      <c r="AZ689">
        <f>IF([4]Entry!$I$692="","",[4]Entry!$I$692)</f>
        <v/>
      </c>
    </row>
    <row r="690">
      <c r="Z690">
        <f>IF([2]Entry!$E$693="","",[2]Entry!$E$693)</f>
        <v/>
      </c>
      <c r="AA690">
        <f>IF([2]Entry!$G$693="","",[2]Entry!$G$693)</f>
        <v/>
      </c>
      <c r="AB690">
        <f>IF([2]Entry!$J$693="","",[2]Entry!$J$693)</f>
        <v/>
      </c>
      <c r="AC690">
        <f>IF([2]Entry!$K$693="","",[2]Entry!$K$693)</f>
        <v/>
      </c>
      <c r="AD690">
        <f>IF([2]Entry!$L$693="","",[2]Entry!$L$693)</f>
        <v/>
      </c>
      <c r="AE690">
        <f>IF([2]Entry!$M$693="","",[2]Entry!$M$693)</f>
        <v/>
      </c>
      <c r="AF690">
        <f>IF([2]Entry!$N$693="","",[2]Entry!$N$693)</f>
        <v/>
      </c>
      <c r="AJ690">
        <f>IF([2]Entry!$S$693="","",[2]Entry!$S$693)</f>
        <v/>
      </c>
      <c r="AK690">
        <f>IF([2]Entry!$C$693="","",[2]Entry!$C$693)</f>
        <v/>
      </c>
      <c r="AL690">
        <f>IF([2]Entry!$D$693="","",[2]Entry!$D$693)</f>
        <v/>
      </c>
      <c r="AX690">
        <f>IF([4]Entry!$E$693="","",[4]Entry!$E$693)</f>
        <v/>
      </c>
      <c r="AY690">
        <f>IF([4]Entry!$H$693="","",[4]Entry!$H$693)</f>
        <v/>
      </c>
      <c r="AZ690">
        <f>IF([4]Entry!$I$693="","",[4]Entry!$I$693)</f>
        <v/>
      </c>
    </row>
    <row r="691">
      <c r="Z691">
        <f>IF([2]Entry!$E$694="","",[2]Entry!$E$694)</f>
        <v/>
      </c>
      <c r="AA691">
        <f>IF([2]Entry!$G$694="","",[2]Entry!$G$694)</f>
        <v/>
      </c>
      <c r="AB691">
        <f>IF([2]Entry!$J$694="","",[2]Entry!$J$694)</f>
        <v/>
      </c>
      <c r="AC691">
        <f>IF([2]Entry!$K$694="","",[2]Entry!$K$694)</f>
        <v/>
      </c>
      <c r="AD691">
        <f>IF([2]Entry!$L$694="","",[2]Entry!$L$694)</f>
        <v/>
      </c>
      <c r="AE691">
        <f>IF([2]Entry!$M$694="","",[2]Entry!$M$694)</f>
        <v/>
      </c>
      <c r="AF691">
        <f>IF([2]Entry!$N$694="","",[2]Entry!$N$694)</f>
        <v/>
      </c>
      <c r="AJ691">
        <f>IF([2]Entry!$S$694="","",[2]Entry!$S$694)</f>
        <v/>
      </c>
      <c r="AK691">
        <f>IF([2]Entry!$C$694="","",[2]Entry!$C$694)</f>
        <v/>
      </c>
      <c r="AL691">
        <f>IF([2]Entry!$D$694="","",[2]Entry!$D$694)</f>
        <v/>
      </c>
      <c r="AX691">
        <f>IF([4]Entry!$E$694="","",[4]Entry!$E$694)</f>
        <v/>
      </c>
      <c r="AY691">
        <f>IF([4]Entry!$H$694="","",[4]Entry!$H$694)</f>
        <v/>
      </c>
      <c r="AZ691">
        <f>IF([4]Entry!$I$694="","",[4]Entry!$I$694)</f>
        <v/>
      </c>
    </row>
    <row r="692">
      <c r="Z692">
        <f>IF([2]Entry!$E$695="","",[2]Entry!$E$695)</f>
        <v/>
      </c>
      <c r="AA692">
        <f>IF([2]Entry!$G$695="","",[2]Entry!$G$695)</f>
        <v/>
      </c>
      <c r="AB692">
        <f>IF([2]Entry!$J$695="","",[2]Entry!$J$695)</f>
        <v/>
      </c>
      <c r="AC692">
        <f>IF([2]Entry!$K$695="","",[2]Entry!$K$695)</f>
        <v/>
      </c>
      <c r="AD692">
        <f>IF([2]Entry!$L$695="","",[2]Entry!$L$695)</f>
        <v/>
      </c>
      <c r="AE692">
        <f>IF([2]Entry!$M$695="","",[2]Entry!$M$695)</f>
        <v/>
      </c>
      <c r="AF692">
        <f>IF([2]Entry!$N$695="","",[2]Entry!$N$695)</f>
        <v/>
      </c>
      <c r="AJ692">
        <f>IF([2]Entry!$S$695="","",[2]Entry!$S$695)</f>
        <v/>
      </c>
      <c r="AK692">
        <f>IF([2]Entry!$C$695="","",[2]Entry!$C$695)</f>
        <v/>
      </c>
      <c r="AL692">
        <f>IF([2]Entry!$D$695="","",[2]Entry!$D$695)</f>
        <v/>
      </c>
      <c r="AX692">
        <f>IF([4]Entry!$E$695="","",[4]Entry!$E$695)</f>
        <v/>
      </c>
      <c r="AY692">
        <f>IF([4]Entry!$H$695="","",[4]Entry!$H$695)</f>
        <v/>
      </c>
      <c r="AZ692">
        <f>IF([4]Entry!$I$695="","",[4]Entry!$I$695)</f>
        <v/>
      </c>
    </row>
    <row r="693">
      <c r="Z693">
        <f>IF([2]Entry!$E$696="","",[2]Entry!$E$696)</f>
        <v/>
      </c>
      <c r="AA693">
        <f>IF([2]Entry!$G$696="","",[2]Entry!$G$696)</f>
        <v/>
      </c>
      <c r="AB693">
        <f>IF([2]Entry!$J$696="","",[2]Entry!$J$696)</f>
        <v/>
      </c>
      <c r="AC693">
        <f>IF([2]Entry!$K$696="","",[2]Entry!$K$696)</f>
        <v/>
      </c>
      <c r="AD693">
        <f>IF([2]Entry!$L$696="","",[2]Entry!$L$696)</f>
        <v/>
      </c>
      <c r="AE693">
        <f>IF([2]Entry!$M$696="","",[2]Entry!$M$696)</f>
        <v/>
      </c>
      <c r="AF693">
        <f>IF([2]Entry!$N$696="","",[2]Entry!$N$696)</f>
        <v/>
      </c>
      <c r="AJ693">
        <f>IF([2]Entry!$S$696="","",[2]Entry!$S$696)</f>
        <v/>
      </c>
      <c r="AK693">
        <f>IF([2]Entry!$C$696="","",[2]Entry!$C$696)</f>
        <v/>
      </c>
      <c r="AL693">
        <f>IF([2]Entry!$D$696="","",[2]Entry!$D$696)</f>
        <v/>
      </c>
      <c r="AX693">
        <f>IF([4]Entry!$E$696="","",[4]Entry!$E$696)</f>
        <v/>
      </c>
      <c r="AY693">
        <f>IF([4]Entry!$H$696="","",[4]Entry!$H$696)</f>
        <v/>
      </c>
      <c r="AZ693">
        <f>IF([4]Entry!$I$696="","",[4]Entry!$I$696)</f>
        <v/>
      </c>
    </row>
    <row r="694">
      <c r="Z694">
        <f>IF([2]Entry!$E$697="","",[2]Entry!$E$697)</f>
        <v/>
      </c>
      <c r="AA694">
        <f>IF([2]Entry!$G$697="","",[2]Entry!$G$697)</f>
        <v/>
      </c>
      <c r="AB694">
        <f>IF([2]Entry!$J$697="","",[2]Entry!$J$697)</f>
        <v/>
      </c>
      <c r="AC694">
        <f>IF([2]Entry!$K$697="","",[2]Entry!$K$697)</f>
        <v/>
      </c>
      <c r="AD694">
        <f>IF([2]Entry!$L$697="","",[2]Entry!$L$697)</f>
        <v/>
      </c>
      <c r="AE694">
        <f>IF([2]Entry!$M$697="","",[2]Entry!$M$697)</f>
        <v/>
      </c>
      <c r="AF694">
        <f>IF([2]Entry!$N$697="","",[2]Entry!$N$697)</f>
        <v/>
      </c>
      <c r="AJ694">
        <f>IF([2]Entry!$S$697="","",[2]Entry!$S$697)</f>
        <v/>
      </c>
      <c r="AK694">
        <f>IF([2]Entry!$C$697="","",[2]Entry!$C$697)</f>
        <v/>
      </c>
      <c r="AL694">
        <f>IF([2]Entry!$D$697="","",[2]Entry!$D$697)</f>
        <v/>
      </c>
      <c r="AX694">
        <f>IF([4]Entry!$E$697="","",[4]Entry!$E$697)</f>
        <v/>
      </c>
      <c r="AY694">
        <f>IF([4]Entry!$H$697="","",[4]Entry!$H$697)</f>
        <v/>
      </c>
      <c r="AZ694">
        <f>IF([4]Entry!$I$697="","",[4]Entry!$I$697)</f>
        <v/>
      </c>
    </row>
    <row r="695">
      <c r="Z695">
        <f>IF([2]Entry!$E$698="","",[2]Entry!$E$698)</f>
        <v/>
      </c>
      <c r="AA695">
        <f>IF([2]Entry!$G$698="","",[2]Entry!$G$698)</f>
        <v/>
      </c>
      <c r="AB695">
        <f>IF([2]Entry!$J$698="","",[2]Entry!$J$698)</f>
        <v/>
      </c>
      <c r="AC695">
        <f>IF([2]Entry!$K$698="","",[2]Entry!$K$698)</f>
        <v/>
      </c>
      <c r="AD695">
        <f>IF([2]Entry!$L$698="","",[2]Entry!$L$698)</f>
        <v/>
      </c>
      <c r="AE695">
        <f>IF([2]Entry!$M$698="","",[2]Entry!$M$698)</f>
        <v/>
      </c>
      <c r="AF695">
        <f>IF([2]Entry!$N$698="","",[2]Entry!$N$698)</f>
        <v/>
      </c>
      <c r="AJ695">
        <f>IF([2]Entry!$S$698="","",[2]Entry!$S$698)</f>
        <v/>
      </c>
      <c r="AK695">
        <f>IF([2]Entry!$C$698="","",[2]Entry!$C$698)</f>
        <v/>
      </c>
      <c r="AL695">
        <f>IF([2]Entry!$D$698="","",[2]Entry!$D$698)</f>
        <v/>
      </c>
      <c r="AX695">
        <f>IF([4]Entry!$E$698="","",[4]Entry!$E$698)</f>
        <v/>
      </c>
      <c r="AY695">
        <f>IF([4]Entry!$H$698="","",[4]Entry!$H$698)</f>
        <v/>
      </c>
      <c r="AZ695">
        <f>IF([4]Entry!$I$698="","",[4]Entry!$I$698)</f>
        <v/>
      </c>
    </row>
    <row r="696">
      <c r="Z696">
        <f>IF([2]Entry!$E$699="","",[2]Entry!$E$699)</f>
        <v/>
      </c>
      <c r="AA696">
        <f>IF([2]Entry!$G$699="","",[2]Entry!$G$699)</f>
        <v/>
      </c>
      <c r="AB696">
        <f>IF([2]Entry!$J$699="","",[2]Entry!$J$699)</f>
        <v/>
      </c>
      <c r="AC696">
        <f>IF([2]Entry!$K$699="","",[2]Entry!$K$699)</f>
        <v/>
      </c>
      <c r="AD696">
        <f>IF([2]Entry!$L$699="","",[2]Entry!$L$699)</f>
        <v/>
      </c>
      <c r="AE696">
        <f>IF([2]Entry!$M$699="","",[2]Entry!$M$699)</f>
        <v/>
      </c>
      <c r="AF696">
        <f>IF([2]Entry!$N$699="","",[2]Entry!$N$699)</f>
        <v/>
      </c>
      <c r="AJ696">
        <f>IF([2]Entry!$S$699="","",[2]Entry!$S$699)</f>
        <v/>
      </c>
      <c r="AK696">
        <f>IF([2]Entry!$C$699="","",[2]Entry!$C$699)</f>
        <v/>
      </c>
      <c r="AL696">
        <f>IF([2]Entry!$D$699="","",[2]Entry!$D$699)</f>
        <v/>
      </c>
      <c r="AX696">
        <f>IF([4]Entry!$E$699="","",[4]Entry!$E$699)</f>
        <v/>
      </c>
      <c r="AY696">
        <f>IF([4]Entry!$H$699="","",[4]Entry!$H$699)</f>
        <v/>
      </c>
      <c r="AZ696">
        <f>IF([4]Entry!$I$699="","",[4]Entry!$I$699)</f>
        <v/>
      </c>
    </row>
    <row r="697">
      <c r="Z697">
        <f>IF([2]Entry!$E$700="","",[2]Entry!$E$700)</f>
        <v/>
      </c>
      <c r="AA697">
        <f>IF([2]Entry!$G$700="","",[2]Entry!$G$700)</f>
        <v/>
      </c>
      <c r="AB697">
        <f>IF([2]Entry!$J$700="","",[2]Entry!$J$700)</f>
        <v/>
      </c>
      <c r="AC697">
        <f>IF([2]Entry!$K$700="","",[2]Entry!$K$700)</f>
        <v/>
      </c>
      <c r="AD697">
        <f>IF([2]Entry!$L$700="","",[2]Entry!$L$700)</f>
        <v/>
      </c>
      <c r="AE697">
        <f>IF([2]Entry!$M$700="","",[2]Entry!$M$700)</f>
        <v/>
      </c>
      <c r="AF697">
        <f>IF([2]Entry!$N$700="","",[2]Entry!$N$700)</f>
        <v/>
      </c>
      <c r="AJ697">
        <f>IF([2]Entry!$S$700="","",[2]Entry!$S$700)</f>
        <v/>
      </c>
      <c r="AK697">
        <f>IF([2]Entry!$C$700="","",[2]Entry!$C$700)</f>
        <v/>
      </c>
      <c r="AL697">
        <f>IF([2]Entry!$D$700="","",[2]Entry!$D$700)</f>
        <v/>
      </c>
      <c r="AX697">
        <f>IF([4]Entry!$E$700="","",[4]Entry!$E$700)</f>
        <v/>
      </c>
      <c r="AY697">
        <f>IF([4]Entry!$H$700="","",[4]Entry!$H$700)</f>
        <v/>
      </c>
      <c r="AZ697">
        <f>IF([4]Entry!$I$700="","",[4]Entry!$I$700)</f>
        <v/>
      </c>
    </row>
    <row r="698">
      <c r="Z698">
        <f>IF([2]Entry!$E$701="","",[2]Entry!$E$701)</f>
        <v/>
      </c>
      <c r="AA698">
        <f>IF([2]Entry!$G$701="","",[2]Entry!$G$701)</f>
        <v/>
      </c>
      <c r="AB698">
        <f>IF([2]Entry!$J$701="","",[2]Entry!$J$701)</f>
        <v/>
      </c>
      <c r="AC698">
        <f>IF([2]Entry!$K$701="","",[2]Entry!$K$701)</f>
        <v/>
      </c>
      <c r="AD698">
        <f>IF([2]Entry!$L$701="","",[2]Entry!$L$701)</f>
        <v/>
      </c>
      <c r="AE698">
        <f>IF([2]Entry!$M$701="","",[2]Entry!$M$701)</f>
        <v/>
      </c>
      <c r="AF698">
        <f>IF([2]Entry!$N$701="","",[2]Entry!$N$701)</f>
        <v/>
      </c>
      <c r="AJ698">
        <f>IF([2]Entry!$S$701="","",[2]Entry!$S$701)</f>
        <v/>
      </c>
      <c r="AK698">
        <f>IF([2]Entry!$C$701="","",[2]Entry!$C$701)</f>
        <v/>
      </c>
      <c r="AL698">
        <f>IF([2]Entry!$D$701="","",[2]Entry!$D$701)</f>
        <v/>
      </c>
      <c r="AX698">
        <f>IF([4]Entry!$E$701="","",[4]Entry!$E$701)</f>
        <v/>
      </c>
      <c r="AY698">
        <f>IF([4]Entry!$H$701="","",[4]Entry!$H$701)</f>
        <v/>
      </c>
      <c r="AZ698">
        <f>IF([4]Entry!$I$701="","",[4]Entry!$I$701)</f>
        <v/>
      </c>
    </row>
    <row r="699">
      <c r="Z699">
        <f>IF([2]Entry!$E$702="","",[2]Entry!$E$702)</f>
        <v/>
      </c>
      <c r="AA699">
        <f>IF([2]Entry!$G$702="","",[2]Entry!$G$702)</f>
        <v/>
      </c>
      <c r="AB699">
        <f>IF([2]Entry!$J$702="","",[2]Entry!$J$702)</f>
        <v/>
      </c>
      <c r="AC699">
        <f>IF([2]Entry!$K$702="","",[2]Entry!$K$702)</f>
        <v/>
      </c>
      <c r="AD699">
        <f>IF([2]Entry!$L$702="","",[2]Entry!$L$702)</f>
        <v/>
      </c>
      <c r="AE699">
        <f>IF([2]Entry!$M$702="","",[2]Entry!$M$702)</f>
        <v/>
      </c>
      <c r="AF699">
        <f>IF([2]Entry!$N$702="","",[2]Entry!$N$702)</f>
        <v/>
      </c>
      <c r="AJ699">
        <f>IF([2]Entry!$S$702="","",[2]Entry!$S$702)</f>
        <v/>
      </c>
      <c r="AK699">
        <f>IF([2]Entry!$C$702="","",[2]Entry!$C$702)</f>
        <v/>
      </c>
      <c r="AL699">
        <f>IF([2]Entry!$D$702="","",[2]Entry!$D$702)</f>
        <v/>
      </c>
      <c r="AX699">
        <f>IF([4]Entry!$E$702="","",[4]Entry!$E$702)</f>
        <v/>
      </c>
      <c r="AY699">
        <f>IF([4]Entry!$H$702="","",[4]Entry!$H$702)</f>
        <v/>
      </c>
      <c r="AZ699">
        <f>IF([4]Entry!$I$702="","",[4]Entry!$I$702)</f>
        <v/>
      </c>
    </row>
    <row r="700">
      <c r="Z700">
        <f>IF([2]Entry!$E$703="","",[2]Entry!$E$703)</f>
        <v/>
      </c>
      <c r="AA700">
        <f>IF([2]Entry!$G$703="","",[2]Entry!$G$703)</f>
        <v/>
      </c>
      <c r="AB700">
        <f>IF([2]Entry!$J$703="","",[2]Entry!$J$703)</f>
        <v/>
      </c>
      <c r="AC700">
        <f>IF([2]Entry!$K$703="","",[2]Entry!$K$703)</f>
        <v/>
      </c>
      <c r="AD700">
        <f>IF([2]Entry!$L$703="","",[2]Entry!$L$703)</f>
        <v/>
      </c>
      <c r="AE700">
        <f>IF([2]Entry!$M$703="","",[2]Entry!$M$703)</f>
        <v/>
      </c>
      <c r="AF700">
        <f>IF([2]Entry!$N$703="","",[2]Entry!$N$703)</f>
        <v/>
      </c>
      <c r="AJ700">
        <f>IF([2]Entry!$S$703="","",[2]Entry!$S$703)</f>
        <v/>
      </c>
      <c r="AK700">
        <f>IF([2]Entry!$C$703="","",[2]Entry!$C$703)</f>
        <v/>
      </c>
      <c r="AL700">
        <f>IF([2]Entry!$D$703="","",[2]Entry!$D$703)</f>
        <v/>
      </c>
      <c r="AX700">
        <f>IF([4]Entry!$E$703="","",[4]Entry!$E$703)</f>
        <v/>
      </c>
      <c r="AY700">
        <f>IF([4]Entry!$H$703="","",[4]Entry!$H$703)</f>
        <v/>
      </c>
      <c r="AZ700">
        <f>IF([4]Entry!$I$703="","",[4]Entry!$I$703)</f>
        <v/>
      </c>
    </row>
    <row r="701">
      <c r="Z701">
        <f>IF([2]Entry!$E$704="","",[2]Entry!$E$704)</f>
        <v/>
      </c>
      <c r="AA701">
        <f>IF([2]Entry!$G$704="","",[2]Entry!$G$704)</f>
        <v/>
      </c>
      <c r="AB701">
        <f>IF([2]Entry!$J$704="","",[2]Entry!$J$704)</f>
        <v/>
      </c>
      <c r="AC701">
        <f>IF([2]Entry!$K$704="","",[2]Entry!$K$704)</f>
        <v/>
      </c>
      <c r="AD701">
        <f>IF([2]Entry!$L$704="","",[2]Entry!$L$704)</f>
        <v/>
      </c>
      <c r="AE701">
        <f>IF([2]Entry!$M$704="","",[2]Entry!$M$704)</f>
        <v/>
      </c>
      <c r="AF701">
        <f>IF([2]Entry!$N$704="","",[2]Entry!$N$704)</f>
        <v/>
      </c>
      <c r="AJ701">
        <f>IF([2]Entry!$S$704="","",[2]Entry!$S$704)</f>
        <v/>
      </c>
      <c r="AK701">
        <f>IF([2]Entry!$C$704="","",[2]Entry!$C$704)</f>
        <v/>
      </c>
      <c r="AL701">
        <f>IF([2]Entry!$D$704="","",[2]Entry!$D$704)</f>
        <v/>
      </c>
      <c r="AX701">
        <f>IF([4]Entry!$E$704="","",[4]Entry!$E$704)</f>
        <v/>
      </c>
      <c r="AY701">
        <f>IF([4]Entry!$H$704="","",[4]Entry!$H$704)</f>
        <v/>
      </c>
      <c r="AZ701">
        <f>IF([4]Entry!$I$704="","",[4]Entry!$I$704)</f>
        <v/>
      </c>
    </row>
    <row r="702">
      <c r="Z702">
        <f>IF([2]Entry!$E$705="","",[2]Entry!$E$705)</f>
        <v/>
      </c>
      <c r="AA702">
        <f>IF([2]Entry!$G$705="","",[2]Entry!$G$705)</f>
        <v/>
      </c>
      <c r="AB702">
        <f>IF([2]Entry!$J$705="","",[2]Entry!$J$705)</f>
        <v/>
      </c>
      <c r="AC702">
        <f>IF([2]Entry!$K$705="","",[2]Entry!$K$705)</f>
        <v/>
      </c>
      <c r="AD702">
        <f>IF([2]Entry!$L$705="","",[2]Entry!$L$705)</f>
        <v/>
      </c>
      <c r="AE702">
        <f>IF([2]Entry!$M$705="","",[2]Entry!$M$705)</f>
        <v/>
      </c>
      <c r="AF702">
        <f>IF([2]Entry!$N$705="","",[2]Entry!$N$705)</f>
        <v/>
      </c>
      <c r="AJ702">
        <f>IF([2]Entry!$S$705="","",[2]Entry!$S$705)</f>
        <v/>
      </c>
      <c r="AK702">
        <f>IF([2]Entry!$C$705="","",[2]Entry!$C$705)</f>
        <v/>
      </c>
      <c r="AL702">
        <f>IF([2]Entry!$D$705="","",[2]Entry!$D$705)</f>
        <v/>
      </c>
      <c r="AX702">
        <f>IF([4]Entry!$E$705="","",[4]Entry!$E$705)</f>
        <v/>
      </c>
      <c r="AY702">
        <f>IF([4]Entry!$H$705="","",[4]Entry!$H$705)</f>
        <v/>
      </c>
      <c r="AZ702">
        <f>IF([4]Entry!$I$705="","",[4]Entry!$I$705)</f>
        <v/>
      </c>
    </row>
    <row r="703">
      <c r="Z703">
        <f>IF([2]Entry!$E$706="","",[2]Entry!$E$706)</f>
        <v/>
      </c>
      <c r="AA703">
        <f>IF([2]Entry!$G$706="","",[2]Entry!$G$706)</f>
        <v/>
      </c>
      <c r="AB703">
        <f>IF([2]Entry!$J$706="","",[2]Entry!$J$706)</f>
        <v/>
      </c>
      <c r="AC703">
        <f>IF([2]Entry!$K$706="","",[2]Entry!$K$706)</f>
        <v/>
      </c>
      <c r="AD703">
        <f>IF([2]Entry!$L$706="","",[2]Entry!$L$706)</f>
        <v/>
      </c>
      <c r="AE703">
        <f>IF([2]Entry!$M$706="","",[2]Entry!$M$706)</f>
        <v/>
      </c>
      <c r="AF703">
        <f>IF([2]Entry!$N$706="","",[2]Entry!$N$706)</f>
        <v/>
      </c>
      <c r="AJ703">
        <f>IF([2]Entry!$S$706="","",[2]Entry!$S$706)</f>
        <v/>
      </c>
      <c r="AK703">
        <f>IF([2]Entry!$C$706="","",[2]Entry!$C$706)</f>
        <v/>
      </c>
      <c r="AL703">
        <f>IF([2]Entry!$D$706="","",[2]Entry!$D$706)</f>
        <v/>
      </c>
      <c r="AX703">
        <f>IF([4]Entry!$E$706="","",[4]Entry!$E$706)</f>
        <v/>
      </c>
      <c r="AY703">
        <f>IF([4]Entry!$H$706="","",[4]Entry!$H$706)</f>
        <v/>
      </c>
      <c r="AZ703">
        <f>IF([4]Entry!$I$706="","",[4]Entry!$I$706)</f>
        <v/>
      </c>
    </row>
    <row r="704">
      <c r="Z704">
        <f>IF([2]Entry!$E$707="","",[2]Entry!$E$707)</f>
        <v/>
      </c>
      <c r="AA704">
        <f>IF([2]Entry!$G$707="","",[2]Entry!$G$707)</f>
        <v/>
      </c>
      <c r="AB704">
        <f>IF([2]Entry!$J$707="","",[2]Entry!$J$707)</f>
        <v/>
      </c>
      <c r="AC704">
        <f>IF([2]Entry!$K$707="","",[2]Entry!$K$707)</f>
        <v/>
      </c>
      <c r="AD704">
        <f>IF([2]Entry!$L$707="","",[2]Entry!$L$707)</f>
        <v/>
      </c>
      <c r="AE704">
        <f>IF([2]Entry!$M$707="","",[2]Entry!$M$707)</f>
        <v/>
      </c>
      <c r="AF704">
        <f>IF([2]Entry!$N$707="","",[2]Entry!$N$707)</f>
        <v/>
      </c>
      <c r="AJ704">
        <f>IF([2]Entry!$S$707="","",[2]Entry!$S$707)</f>
        <v/>
      </c>
      <c r="AK704">
        <f>IF([2]Entry!$C$707="","",[2]Entry!$C$707)</f>
        <v/>
      </c>
      <c r="AL704">
        <f>IF([2]Entry!$D$707="","",[2]Entry!$D$707)</f>
        <v/>
      </c>
      <c r="AX704">
        <f>IF([4]Entry!$E$707="","",[4]Entry!$E$707)</f>
        <v/>
      </c>
      <c r="AY704">
        <f>IF([4]Entry!$H$707="","",[4]Entry!$H$707)</f>
        <v/>
      </c>
      <c r="AZ704">
        <f>IF([4]Entry!$I$707="","",[4]Entry!$I$707)</f>
        <v/>
      </c>
    </row>
    <row r="705">
      <c r="Z705">
        <f>IF([2]Entry!$E$708="","",[2]Entry!$E$708)</f>
        <v/>
      </c>
      <c r="AA705">
        <f>IF([2]Entry!$G$708="","",[2]Entry!$G$708)</f>
        <v/>
      </c>
      <c r="AB705">
        <f>IF([2]Entry!$J$708="","",[2]Entry!$J$708)</f>
        <v/>
      </c>
      <c r="AC705">
        <f>IF([2]Entry!$K$708="","",[2]Entry!$K$708)</f>
        <v/>
      </c>
      <c r="AD705">
        <f>IF([2]Entry!$L$708="","",[2]Entry!$L$708)</f>
        <v/>
      </c>
      <c r="AE705">
        <f>IF([2]Entry!$M$708="","",[2]Entry!$M$708)</f>
        <v/>
      </c>
      <c r="AF705">
        <f>IF([2]Entry!$N$708="","",[2]Entry!$N$708)</f>
        <v/>
      </c>
      <c r="AJ705">
        <f>IF([2]Entry!$S$708="","",[2]Entry!$S$708)</f>
        <v/>
      </c>
      <c r="AK705">
        <f>IF([2]Entry!$C$708="","",[2]Entry!$C$708)</f>
        <v/>
      </c>
      <c r="AL705">
        <f>IF([2]Entry!$D$708="","",[2]Entry!$D$708)</f>
        <v/>
      </c>
      <c r="AX705">
        <f>IF([4]Entry!$E$708="","",[4]Entry!$E$708)</f>
        <v/>
      </c>
      <c r="AY705">
        <f>IF([4]Entry!$H$708="","",[4]Entry!$H$708)</f>
        <v/>
      </c>
      <c r="AZ705">
        <f>IF([4]Entry!$I$708="","",[4]Entry!$I$708)</f>
        <v/>
      </c>
    </row>
    <row r="706">
      <c r="Z706">
        <f>IF([2]Entry!$E$709="","",[2]Entry!$E$709)</f>
        <v/>
      </c>
      <c r="AA706">
        <f>IF([2]Entry!$G$709="","",[2]Entry!$G$709)</f>
        <v/>
      </c>
      <c r="AB706">
        <f>IF([2]Entry!$J$709="","",[2]Entry!$J$709)</f>
        <v/>
      </c>
      <c r="AC706">
        <f>IF([2]Entry!$K$709="","",[2]Entry!$K$709)</f>
        <v/>
      </c>
      <c r="AD706">
        <f>IF([2]Entry!$L$709="","",[2]Entry!$L$709)</f>
        <v/>
      </c>
      <c r="AE706">
        <f>IF([2]Entry!$M$709="","",[2]Entry!$M$709)</f>
        <v/>
      </c>
      <c r="AF706">
        <f>IF([2]Entry!$N$709="","",[2]Entry!$N$709)</f>
        <v/>
      </c>
      <c r="AJ706">
        <f>IF([2]Entry!$S$709="","",[2]Entry!$S$709)</f>
        <v/>
      </c>
      <c r="AK706">
        <f>IF([2]Entry!$C$709="","",[2]Entry!$C$709)</f>
        <v/>
      </c>
      <c r="AL706">
        <f>IF([2]Entry!$D$709="","",[2]Entry!$D$709)</f>
        <v/>
      </c>
      <c r="AX706">
        <f>IF([4]Entry!$E$709="","",[4]Entry!$E$709)</f>
        <v/>
      </c>
      <c r="AY706">
        <f>IF([4]Entry!$H$709="","",[4]Entry!$H$709)</f>
        <v/>
      </c>
      <c r="AZ706">
        <f>IF([4]Entry!$I$709="","",[4]Entry!$I$709)</f>
        <v/>
      </c>
    </row>
    <row r="707">
      <c r="Z707">
        <f>IF([2]Entry!$E$710="","",[2]Entry!$E$710)</f>
        <v/>
      </c>
      <c r="AA707">
        <f>IF([2]Entry!$G$710="","",[2]Entry!$G$710)</f>
        <v/>
      </c>
      <c r="AB707">
        <f>IF([2]Entry!$J$710="","",[2]Entry!$J$710)</f>
        <v/>
      </c>
      <c r="AC707">
        <f>IF([2]Entry!$K$710="","",[2]Entry!$K$710)</f>
        <v/>
      </c>
      <c r="AD707">
        <f>IF([2]Entry!$L$710="","",[2]Entry!$L$710)</f>
        <v/>
      </c>
      <c r="AE707">
        <f>IF([2]Entry!$M$710="","",[2]Entry!$M$710)</f>
        <v/>
      </c>
      <c r="AF707">
        <f>IF([2]Entry!$N$710="","",[2]Entry!$N$710)</f>
        <v/>
      </c>
      <c r="AJ707">
        <f>IF([2]Entry!$S$710="","",[2]Entry!$S$710)</f>
        <v/>
      </c>
      <c r="AK707">
        <f>IF([2]Entry!$C$710="","",[2]Entry!$C$710)</f>
        <v/>
      </c>
      <c r="AL707">
        <f>IF([2]Entry!$D$710="","",[2]Entry!$D$710)</f>
        <v/>
      </c>
      <c r="AX707">
        <f>IF([4]Entry!$E$710="","",[4]Entry!$E$710)</f>
        <v/>
      </c>
      <c r="AY707">
        <f>IF([4]Entry!$H$710="","",[4]Entry!$H$710)</f>
        <v/>
      </c>
      <c r="AZ707">
        <f>IF([4]Entry!$I$710="","",[4]Entry!$I$710)</f>
        <v/>
      </c>
    </row>
    <row r="708">
      <c r="Z708">
        <f>IF([2]Entry!$E$711="","",[2]Entry!$E$711)</f>
        <v/>
      </c>
      <c r="AA708">
        <f>IF([2]Entry!$G$711="","",[2]Entry!$G$711)</f>
        <v/>
      </c>
      <c r="AB708">
        <f>IF([2]Entry!$J$711="","",[2]Entry!$J$711)</f>
        <v/>
      </c>
      <c r="AC708">
        <f>IF([2]Entry!$K$711="","",[2]Entry!$K$711)</f>
        <v/>
      </c>
      <c r="AD708">
        <f>IF([2]Entry!$L$711="","",[2]Entry!$L$711)</f>
        <v/>
      </c>
      <c r="AE708">
        <f>IF([2]Entry!$M$711="","",[2]Entry!$M$711)</f>
        <v/>
      </c>
      <c r="AF708">
        <f>IF([2]Entry!$N$711="","",[2]Entry!$N$711)</f>
        <v/>
      </c>
      <c r="AJ708">
        <f>IF([2]Entry!$S$711="","",[2]Entry!$S$711)</f>
        <v/>
      </c>
      <c r="AK708">
        <f>IF([2]Entry!$C$711="","",[2]Entry!$C$711)</f>
        <v/>
      </c>
      <c r="AL708">
        <f>IF([2]Entry!$D$711="","",[2]Entry!$D$711)</f>
        <v/>
      </c>
      <c r="AX708">
        <f>IF([4]Entry!$E$711="","",[4]Entry!$E$711)</f>
        <v/>
      </c>
      <c r="AY708">
        <f>IF([4]Entry!$H$711="","",[4]Entry!$H$711)</f>
        <v/>
      </c>
      <c r="AZ708">
        <f>IF([4]Entry!$I$711="","",[4]Entry!$I$711)</f>
        <v/>
      </c>
    </row>
    <row r="709">
      <c r="Z709">
        <f>IF([2]Entry!$E$712="","",[2]Entry!$E$712)</f>
        <v/>
      </c>
      <c r="AA709">
        <f>IF([2]Entry!$G$712="","",[2]Entry!$G$712)</f>
        <v/>
      </c>
      <c r="AB709">
        <f>IF([2]Entry!$J$712="","",[2]Entry!$J$712)</f>
        <v/>
      </c>
      <c r="AC709">
        <f>IF([2]Entry!$K$712="","",[2]Entry!$K$712)</f>
        <v/>
      </c>
      <c r="AD709">
        <f>IF([2]Entry!$L$712="","",[2]Entry!$L$712)</f>
        <v/>
      </c>
      <c r="AE709">
        <f>IF([2]Entry!$M$712="","",[2]Entry!$M$712)</f>
        <v/>
      </c>
      <c r="AF709">
        <f>IF([2]Entry!$N$712="","",[2]Entry!$N$712)</f>
        <v/>
      </c>
      <c r="AJ709">
        <f>IF([2]Entry!$S$712="","",[2]Entry!$S$712)</f>
        <v/>
      </c>
      <c r="AK709">
        <f>IF([2]Entry!$C$712="","",[2]Entry!$C$712)</f>
        <v/>
      </c>
      <c r="AL709">
        <f>IF([2]Entry!$D$712="","",[2]Entry!$D$712)</f>
        <v/>
      </c>
      <c r="AX709">
        <f>IF([4]Entry!$E$712="","",[4]Entry!$E$712)</f>
        <v/>
      </c>
      <c r="AY709">
        <f>IF([4]Entry!$H$712="","",[4]Entry!$H$712)</f>
        <v/>
      </c>
      <c r="AZ709">
        <f>IF([4]Entry!$I$712="","",[4]Entry!$I$712)</f>
        <v/>
      </c>
    </row>
    <row r="710">
      <c r="Z710">
        <f>IF([2]Entry!$E$713="","",[2]Entry!$E$713)</f>
        <v/>
      </c>
      <c r="AA710">
        <f>IF([2]Entry!$G$713="","",[2]Entry!$G$713)</f>
        <v/>
      </c>
      <c r="AB710">
        <f>IF([2]Entry!$J$713="","",[2]Entry!$J$713)</f>
        <v/>
      </c>
      <c r="AC710">
        <f>IF([2]Entry!$K$713="","",[2]Entry!$K$713)</f>
        <v/>
      </c>
      <c r="AD710">
        <f>IF([2]Entry!$L$713="","",[2]Entry!$L$713)</f>
        <v/>
      </c>
      <c r="AE710">
        <f>IF([2]Entry!$M$713="","",[2]Entry!$M$713)</f>
        <v/>
      </c>
      <c r="AF710">
        <f>IF([2]Entry!$N$713="","",[2]Entry!$N$713)</f>
        <v/>
      </c>
      <c r="AJ710">
        <f>IF([2]Entry!$S$713="","",[2]Entry!$S$713)</f>
        <v/>
      </c>
      <c r="AK710">
        <f>IF([2]Entry!$C$713="","",[2]Entry!$C$713)</f>
        <v/>
      </c>
      <c r="AL710">
        <f>IF([2]Entry!$D$713="","",[2]Entry!$D$713)</f>
        <v/>
      </c>
      <c r="AX710">
        <f>IF([4]Entry!$E$713="","",[4]Entry!$E$713)</f>
        <v/>
      </c>
      <c r="AY710">
        <f>IF([4]Entry!$H$713="","",[4]Entry!$H$713)</f>
        <v/>
      </c>
      <c r="AZ710">
        <f>IF([4]Entry!$I$713="","",[4]Entry!$I$713)</f>
        <v/>
      </c>
    </row>
    <row r="711">
      <c r="Z711">
        <f>IF([2]Entry!$E$714="","",[2]Entry!$E$714)</f>
        <v/>
      </c>
      <c r="AA711">
        <f>IF([2]Entry!$G$714="","",[2]Entry!$G$714)</f>
        <v/>
      </c>
      <c r="AB711">
        <f>IF([2]Entry!$J$714="","",[2]Entry!$J$714)</f>
        <v/>
      </c>
      <c r="AC711">
        <f>IF([2]Entry!$K$714="","",[2]Entry!$K$714)</f>
        <v/>
      </c>
      <c r="AD711">
        <f>IF([2]Entry!$L$714="","",[2]Entry!$L$714)</f>
        <v/>
      </c>
      <c r="AE711">
        <f>IF([2]Entry!$M$714="","",[2]Entry!$M$714)</f>
        <v/>
      </c>
      <c r="AF711">
        <f>IF([2]Entry!$N$714="","",[2]Entry!$N$714)</f>
        <v/>
      </c>
      <c r="AJ711">
        <f>IF([2]Entry!$S$714="","",[2]Entry!$S$714)</f>
        <v/>
      </c>
      <c r="AK711">
        <f>IF([2]Entry!$C$714="","",[2]Entry!$C$714)</f>
        <v/>
      </c>
      <c r="AL711">
        <f>IF([2]Entry!$D$714="","",[2]Entry!$D$714)</f>
        <v/>
      </c>
      <c r="AX711">
        <f>IF([4]Entry!$E$714="","",[4]Entry!$E$714)</f>
        <v/>
      </c>
      <c r="AY711">
        <f>IF([4]Entry!$H$714="","",[4]Entry!$H$714)</f>
        <v/>
      </c>
      <c r="AZ711">
        <f>IF([4]Entry!$I$714="","",[4]Entry!$I$714)</f>
        <v/>
      </c>
    </row>
    <row r="712">
      <c r="Z712">
        <f>IF([2]Entry!$E$715="","",[2]Entry!$E$715)</f>
        <v/>
      </c>
      <c r="AA712">
        <f>IF([2]Entry!$G$715="","",[2]Entry!$G$715)</f>
        <v/>
      </c>
      <c r="AB712">
        <f>IF([2]Entry!$J$715="","",[2]Entry!$J$715)</f>
        <v/>
      </c>
      <c r="AC712">
        <f>IF([2]Entry!$K$715="","",[2]Entry!$K$715)</f>
        <v/>
      </c>
      <c r="AD712">
        <f>IF([2]Entry!$L$715="","",[2]Entry!$L$715)</f>
        <v/>
      </c>
      <c r="AE712">
        <f>IF([2]Entry!$M$715="","",[2]Entry!$M$715)</f>
        <v/>
      </c>
      <c r="AF712">
        <f>IF([2]Entry!$N$715="","",[2]Entry!$N$715)</f>
        <v/>
      </c>
      <c r="AJ712">
        <f>IF([2]Entry!$S$715="","",[2]Entry!$S$715)</f>
        <v/>
      </c>
      <c r="AK712">
        <f>IF([2]Entry!$C$715="","",[2]Entry!$C$715)</f>
        <v/>
      </c>
      <c r="AL712">
        <f>IF([2]Entry!$D$715="","",[2]Entry!$D$715)</f>
        <v/>
      </c>
      <c r="AX712">
        <f>IF([4]Entry!$E$715="","",[4]Entry!$E$715)</f>
        <v/>
      </c>
      <c r="AY712">
        <f>IF([4]Entry!$H$715="","",[4]Entry!$H$715)</f>
        <v/>
      </c>
      <c r="AZ712">
        <f>IF([4]Entry!$I$715="","",[4]Entry!$I$715)</f>
        <v/>
      </c>
    </row>
    <row r="713">
      <c r="Z713">
        <f>IF([2]Entry!$E$716="","",[2]Entry!$E$716)</f>
        <v/>
      </c>
      <c r="AA713">
        <f>IF([2]Entry!$G$716="","",[2]Entry!$G$716)</f>
        <v/>
      </c>
      <c r="AB713">
        <f>IF([2]Entry!$J$716="","",[2]Entry!$J$716)</f>
        <v/>
      </c>
      <c r="AC713">
        <f>IF([2]Entry!$K$716="","",[2]Entry!$K$716)</f>
        <v/>
      </c>
      <c r="AD713">
        <f>IF([2]Entry!$L$716="","",[2]Entry!$L$716)</f>
        <v/>
      </c>
      <c r="AE713">
        <f>IF([2]Entry!$M$716="","",[2]Entry!$M$716)</f>
        <v/>
      </c>
      <c r="AF713">
        <f>IF([2]Entry!$N$716="","",[2]Entry!$N$716)</f>
        <v/>
      </c>
      <c r="AJ713">
        <f>IF([2]Entry!$S$716="","",[2]Entry!$S$716)</f>
        <v/>
      </c>
      <c r="AK713">
        <f>IF([2]Entry!$C$716="","",[2]Entry!$C$716)</f>
        <v/>
      </c>
      <c r="AL713">
        <f>IF([2]Entry!$D$716="","",[2]Entry!$D$716)</f>
        <v/>
      </c>
      <c r="AX713">
        <f>IF([4]Entry!$E$716="","",[4]Entry!$E$716)</f>
        <v/>
      </c>
      <c r="AY713">
        <f>IF([4]Entry!$H$716="","",[4]Entry!$H$716)</f>
        <v/>
      </c>
      <c r="AZ713">
        <f>IF([4]Entry!$I$716="","",[4]Entry!$I$716)</f>
        <v/>
      </c>
    </row>
    <row r="714">
      <c r="Z714">
        <f>IF([2]Entry!$E$717="","",[2]Entry!$E$717)</f>
        <v/>
      </c>
      <c r="AA714">
        <f>IF([2]Entry!$G$717="","",[2]Entry!$G$717)</f>
        <v/>
      </c>
      <c r="AB714">
        <f>IF([2]Entry!$J$717="","",[2]Entry!$J$717)</f>
        <v/>
      </c>
      <c r="AC714">
        <f>IF([2]Entry!$K$717="","",[2]Entry!$K$717)</f>
        <v/>
      </c>
      <c r="AD714">
        <f>IF([2]Entry!$L$717="","",[2]Entry!$L$717)</f>
        <v/>
      </c>
      <c r="AE714">
        <f>IF([2]Entry!$M$717="","",[2]Entry!$M$717)</f>
        <v/>
      </c>
      <c r="AF714">
        <f>IF([2]Entry!$N$717="","",[2]Entry!$N$717)</f>
        <v/>
      </c>
      <c r="AJ714">
        <f>IF([2]Entry!$S$717="","",[2]Entry!$S$717)</f>
        <v/>
      </c>
      <c r="AK714">
        <f>IF([2]Entry!$C$717="","",[2]Entry!$C$717)</f>
        <v/>
      </c>
      <c r="AL714">
        <f>IF([2]Entry!$D$717="","",[2]Entry!$D$717)</f>
        <v/>
      </c>
      <c r="AX714">
        <f>IF([4]Entry!$E$717="","",[4]Entry!$E$717)</f>
        <v/>
      </c>
      <c r="AY714">
        <f>IF([4]Entry!$H$717="","",[4]Entry!$H$717)</f>
        <v/>
      </c>
      <c r="AZ714">
        <f>IF([4]Entry!$I$717="","",[4]Entry!$I$717)</f>
        <v/>
      </c>
    </row>
    <row r="715">
      <c r="Z715">
        <f>IF([2]Entry!$E$718="","",[2]Entry!$E$718)</f>
        <v/>
      </c>
      <c r="AA715">
        <f>IF([2]Entry!$G$718="","",[2]Entry!$G$718)</f>
        <v/>
      </c>
      <c r="AB715">
        <f>IF([2]Entry!$J$718="","",[2]Entry!$J$718)</f>
        <v/>
      </c>
      <c r="AC715">
        <f>IF([2]Entry!$K$718="","",[2]Entry!$K$718)</f>
        <v/>
      </c>
      <c r="AD715">
        <f>IF([2]Entry!$L$718="","",[2]Entry!$L$718)</f>
        <v/>
      </c>
      <c r="AE715">
        <f>IF([2]Entry!$M$718="","",[2]Entry!$M$718)</f>
        <v/>
      </c>
      <c r="AF715">
        <f>IF([2]Entry!$N$718="","",[2]Entry!$N$718)</f>
        <v/>
      </c>
      <c r="AJ715">
        <f>IF([2]Entry!$S$718="","",[2]Entry!$S$718)</f>
        <v/>
      </c>
      <c r="AK715">
        <f>IF([2]Entry!$C$718="","",[2]Entry!$C$718)</f>
        <v/>
      </c>
      <c r="AL715">
        <f>IF([2]Entry!$D$718="","",[2]Entry!$D$718)</f>
        <v/>
      </c>
      <c r="AX715">
        <f>IF([4]Entry!$E$718="","",[4]Entry!$E$718)</f>
        <v/>
      </c>
      <c r="AY715">
        <f>IF([4]Entry!$H$718="","",[4]Entry!$H$718)</f>
        <v/>
      </c>
      <c r="AZ715">
        <f>IF([4]Entry!$I$718="","",[4]Entry!$I$718)</f>
        <v/>
      </c>
    </row>
    <row r="716">
      <c r="Z716">
        <f>IF([2]Entry!$E$719="","",[2]Entry!$E$719)</f>
        <v/>
      </c>
      <c r="AA716">
        <f>IF([2]Entry!$G$719="","",[2]Entry!$G$719)</f>
        <v/>
      </c>
      <c r="AB716">
        <f>IF([2]Entry!$J$719="","",[2]Entry!$J$719)</f>
        <v/>
      </c>
      <c r="AC716">
        <f>IF([2]Entry!$K$719="","",[2]Entry!$K$719)</f>
        <v/>
      </c>
      <c r="AD716">
        <f>IF([2]Entry!$L$719="","",[2]Entry!$L$719)</f>
        <v/>
      </c>
      <c r="AE716">
        <f>IF([2]Entry!$M$719="","",[2]Entry!$M$719)</f>
        <v/>
      </c>
      <c r="AF716">
        <f>IF([2]Entry!$N$719="","",[2]Entry!$N$719)</f>
        <v/>
      </c>
      <c r="AJ716">
        <f>IF([2]Entry!$S$719="","",[2]Entry!$S$719)</f>
        <v/>
      </c>
      <c r="AK716">
        <f>IF([2]Entry!$C$719="","",[2]Entry!$C$719)</f>
        <v/>
      </c>
      <c r="AL716">
        <f>IF([2]Entry!$D$719="","",[2]Entry!$D$719)</f>
        <v/>
      </c>
      <c r="AX716">
        <f>IF([4]Entry!$E$719="","",[4]Entry!$E$719)</f>
        <v/>
      </c>
      <c r="AY716">
        <f>IF([4]Entry!$H$719="","",[4]Entry!$H$719)</f>
        <v/>
      </c>
      <c r="AZ716">
        <f>IF([4]Entry!$I$719="","",[4]Entry!$I$719)</f>
        <v/>
      </c>
    </row>
    <row r="717">
      <c r="Z717">
        <f>IF([2]Entry!$E$720="","",[2]Entry!$E$720)</f>
        <v/>
      </c>
      <c r="AA717">
        <f>IF([2]Entry!$G$720="","",[2]Entry!$G$720)</f>
        <v/>
      </c>
      <c r="AB717">
        <f>IF([2]Entry!$J$720="","",[2]Entry!$J$720)</f>
        <v/>
      </c>
      <c r="AC717">
        <f>IF([2]Entry!$K$720="","",[2]Entry!$K$720)</f>
        <v/>
      </c>
      <c r="AD717">
        <f>IF([2]Entry!$L$720="","",[2]Entry!$L$720)</f>
        <v/>
      </c>
      <c r="AE717">
        <f>IF([2]Entry!$M$720="","",[2]Entry!$M$720)</f>
        <v/>
      </c>
      <c r="AF717">
        <f>IF([2]Entry!$N$720="","",[2]Entry!$N$720)</f>
        <v/>
      </c>
      <c r="AJ717">
        <f>IF([2]Entry!$S$720="","",[2]Entry!$S$720)</f>
        <v/>
      </c>
      <c r="AK717">
        <f>IF([2]Entry!$C$720="","",[2]Entry!$C$720)</f>
        <v/>
      </c>
      <c r="AL717">
        <f>IF([2]Entry!$D$720="","",[2]Entry!$D$720)</f>
        <v/>
      </c>
      <c r="AX717">
        <f>IF([4]Entry!$E$720="","",[4]Entry!$E$720)</f>
        <v/>
      </c>
      <c r="AY717">
        <f>IF([4]Entry!$H$720="","",[4]Entry!$H$720)</f>
        <v/>
      </c>
      <c r="AZ717">
        <f>IF([4]Entry!$I$720="","",[4]Entry!$I$720)</f>
        <v/>
      </c>
    </row>
    <row r="718">
      <c r="Z718">
        <f>IF([2]Entry!$E$721="","",[2]Entry!$E$721)</f>
        <v/>
      </c>
      <c r="AA718">
        <f>IF([2]Entry!$G$721="","",[2]Entry!$G$721)</f>
        <v/>
      </c>
      <c r="AB718">
        <f>IF([2]Entry!$J$721="","",[2]Entry!$J$721)</f>
        <v/>
      </c>
      <c r="AC718">
        <f>IF([2]Entry!$K$721="","",[2]Entry!$K$721)</f>
        <v/>
      </c>
      <c r="AD718">
        <f>IF([2]Entry!$L$721="","",[2]Entry!$L$721)</f>
        <v/>
      </c>
      <c r="AE718">
        <f>IF([2]Entry!$M$721="","",[2]Entry!$M$721)</f>
        <v/>
      </c>
      <c r="AF718">
        <f>IF([2]Entry!$N$721="","",[2]Entry!$N$721)</f>
        <v/>
      </c>
      <c r="AJ718">
        <f>IF([2]Entry!$S$721="","",[2]Entry!$S$721)</f>
        <v/>
      </c>
      <c r="AK718">
        <f>IF([2]Entry!$C$721="","",[2]Entry!$C$721)</f>
        <v/>
      </c>
      <c r="AL718">
        <f>IF([2]Entry!$D$721="","",[2]Entry!$D$721)</f>
        <v/>
      </c>
      <c r="AX718">
        <f>IF([4]Entry!$E$721="","",[4]Entry!$E$721)</f>
        <v/>
      </c>
      <c r="AY718">
        <f>IF([4]Entry!$H$721="","",[4]Entry!$H$721)</f>
        <v/>
      </c>
      <c r="AZ718">
        <f>IF([4]Entry!$I$721="","",[4]Entry!$I$721)</f>
        <v/>
      </c>
    </row>
    <row r="719">
      <c r="Z719">
        <f>IF([2]Entry!$E$722="","",[2]Entry!$E$722)</f>
        <v/>
      </c>
      <c r="AA719">
        <f>IF([2]Entry!$G$722="","",[2]Entry!$G$722)</f>
        <v/>
      </c>
      <c r="AB719">
        <f>IF([2]Entry!$J$722="","",[2]Entry!$J$722)</f>
        <v/>
      </c>
      <c r="AC719">
        <f>IF([2]Entry!$K$722="","",[2]Entry!$K$722)</f>
        <v/>
      </c>
      <c r="AD719">
        <f>IF([2]Entry!$L$722="","",[2]Entry!$L$722)</f>
        <v/>
      </c>
      <c r="AE719">
        <f>IF([2]Entry!$M$722="","",[2]Entry!$M$722)</f>
        <v/>
      </c>
      <c r="AF719">
        <f>IF([2]Entry!$N$722="","",[2]Entry!$N$722)</f>
        <v/>
      </c>
      <c r="AJ719">
        <f>IF([2]Entry!$S$722="","",[2]Entry!$S$722)</f>
        <v/>
      </c>
      <c r="AK719">
        <f>IF([2]Entry!$C$722="","",[2]Entry!$C$722)</f>
        <v/>
      </c>
      <c r="AL719">
        <f>IF([2]Entry!$D$722="","",[2]Entry!$D$722)</f>
        <v/>
      </c>
      <c r="AX719">
        <f>IF([4]Entry!$E$722="","",[4]Entry!$E$722)</f>
        <v/>
      </c>
      <c r="AY719">
        <f>IF([4]Entry!$H$722="","",[4]Entry!$H$722)</f>
        <v/>
      </c>
      <c r="AZ719">
        <f>IF([4]Entry!$I$722="","",[4]Entry!$I$722)</f>
        <v/>
      </c>
    </row>
    <row r="720">
      <c r="Z720">
        <f>IF([2]Entry!$E$723="","",[2]Entry!$E$723)</f>
        <v/>
      </c>
      <c r="AA720">
        <f>IF([2]Entry!$G$723="","",[2]Entry!$G$723)</f>
        <v/>
      </c>
      <c r="AB720">
        <f>IF([2]Entry!$J$723="","",[2]Entry!$J$723)</f>
        <v/>
      </c>
      <c r="AC720">
        <f>IF([2]Entry!$K$723="","",[2]Entry!$K$723)</f>
        <v/>
      </c>
      <c r="AD720">
        <f>IF([2]Entry!$L$723="","",[2]Entry!$L$723)</f>
        <v/>
      </c>
      <c r="AE720">
        <f>IF([2]Entry!$M$723="","",[2]Entry!$M$723)</f>
        <v/>
      </c>
      <c r="AF720">
        <f>IF([2]Entry!$N$723="","",[2]Entry!$N$723)</f>
        <v/>
      </c>
      <c r="AJ720">
        <f>IF([2]Entry!$S$723="","",[2]Entry!$S$723)</f>
        <v/>
      </c>
      <c r="AK720">
        <f>IF([2]Entry!$C$723="","",[2]Entry!$C$723)</f>
        <v/>
      </c>
      <c r="AL720">
        <f>IF([2]Entry!$D$723="","",[2]Entry!$D$723)</f>
        <v/>
      </c>
      <c r="AX720">
        <f>IF([4]Entry!$E$723="","",[4]Entry!$E$723)</f>
        <v/>
      </c>
      <c r="AY720">
        <f>IF([4]Entry!$H$723="","",[4]Entry!$H$723)</f>
        <v/>
      </c>
      <c r="AZ720">
        <f>IF([4]Entry!$I$723="","",[4]Entry!$I$723)</f>
        <v/>
      </c>
    </row>
    <row r="721">
      <c r="Z721">
        <f>IF([2]Entry!$E$724="","",[2]Entry!$E$724)</f>
        <v/>
      </c>
      <c r="AA721">
        <f>IF([2]Entry!$G$724="","",[2]Entry!$G$724)</f>
        <v/>
      </c>
      <c r="AB721">
        <f>IF([2]Entry!$J$724="","",[2]Entry!$J$724)</f>
        <v/>
      </c>
      <c r="AC721">
        <f>IF([2]Entry!$K$724="","",[2]Entry!$K$724)</f>
        <v/>
      </c>
      <c r="AD721">
        <f>IF([2]Entry!$L$724="","",[2]Entry!$L$724)</f>
        <v/>
      </c>
      <c r="AE721">
        <f>IF([2]Entry!$M$724="","",[2]Entry!$M$724)</f>
        <v/>
      </c>
      <c r="AF721">
        <f>IF([2]Entry!$N$724="","",[2]Entry!$N$724)</f>
        <v/>
      </c>
      <c r="AJ721">
        <f>IF([2]Entry!$S$724="","",[2]Entry!$S$724)</f>
        <v/>
      </c>
      <c r="AK721">
        <f>IF([2]Entry!$C$724="","",[2]Entry!$C$724)</f>
        <v/>
      </c>
      <c r="AL721">
        <f>IF([2]Entry!$D$724="","",[2]Entry!$D$724)</f>
        <v/>
      </c>
      <c r="AX721">
        <f>IF([4]Entry!$E$724="","",[4]Entry!$E$724)</f>
        <v/>
      </c>
      <c r="AY721">
        <f>IF([4]Entry!$H$724="","",[4]Entry!$H$724)</f>
        <v/>
      </c>
      <c r="AZ721">
        <f>IF([4]Entry!$I$724="","",[4]Entry!$I$724)</f>
        <v/>
      </c>
    </row>
    <row r="722">
      <c r="Z722">
        <f>IF([2]Entry!$E$725="","",[2]Entry!$E$725)</f>
        <v/>
      </c>
      <c r="AA722">
        <f>IF([2]Entry!$G$725="","",[2]Entry!$G$725)</f>
        <v/>
      </c>
      <c r="AB722">
        <f>IF([2]Entry!$J$725="","",[2]Entry!$J$725)</f>
        <v/>
      </c>
      <c r="AC722">
        <f>IF([2]Entry!$K$725="","",[2]Entry!$K$725)</f>
        <v/>
      </c>
      <c r="AD722">
        <f>IF([2]Entry!$L$725="","",[2]Entry!$L$725)</f>
        <v/>
      </c>
      <c r="AE722">
        <f>IF([2]Entry!$M$725="","",[2]Entry!$M$725)</f>
        <v/>
      </c>
      <c r="AF722">
        <f>IF([2]Entry!$N$725="","",[2]Entry!$N$725)</f>
        <v/>
      </c>
      <c r="AJ722">
        <f>IF([2]Entry!$S$725="","",[2]Entry!$S$725)</f>
        <v/>
      </c>
      <c r="AK722">
        <f>IF([2]Entry!$C$725="","",[2]Entry!$C$725)</f>
        <v/>
      </c>
      <c r="AL722">
        <f>IF([2]Entry!$D$725="","",[2]Entry!$D$725)</f>
        <v/>
      </c>
      <c r="AX722">
        <f>IF([4]Entry!$E$725="","",[4]Entry!$E$725)</f>
        <v/>
      </c>
      <c r="AY722">
        <f>IF([4]Entry!$H$725="","",[4]Entry!$H$725)</f>
        <v/>
      </c>
      <c r="AZ722">
        <f>IF([4]Entry!$I$725="","",[4]Entry!$I$725)</f>
        <v/>
      </c>
    </row>
    <row r="723">
      <c r="Z723">
        <f>IF([2]Entry!$E$726="","",[2]Entry!$E$726)</f>
        <v/>
      </c>
      <c r="AA723">
        <f>IF([2]Entry!$G$726="","",[2]Entry!$G$726)</f>
        <v/>
      </c>
      <c r="AB723">
        <f>IF([2]Entry!$J$726="","",[2]Entry!$J$726)</f>
        <v/>
      </c>
      <c r="AC723">
        <f>IF([2]Entry!$K$726="","",[2]Entry!$K$726)</f>
        <v/>
      </c>
      <c r="AD723">
        <f>IF([2]Entry!$L$726="","",[2]Entry!$L$726)</f>
        <v/>
      </c>
      <c r="AE723">
        <f>IF([2]Entry!$M$726="","",[2]Entry!$M$726)</f>
        <v/>
      </c>
      <c r="AF723">
        <f>IF([2]Entry!$N$726="","",[2]Entry!$N$726)</f>
        <v/>
      </c>
      <c r="AJ723">
        <f>IF([2]Entry!$S$726="","",[2]Entry!$S$726)</f>
        <v/>
      </c>
      <c r="AK723">
        <f>IF([2]Entry!$C$726="","",[2]Entry!$C$726)</f>
        <v/>
      </c>
      <c r="AL723">
        <f>IF([2]Entry!$D$726="","",[2]Entry!$D$726)</f>
        <v/>
      </c>
      <c r="AX723">
        <f>IF([4]Entry!$E$726="","",[4]Entry!$E$726)</f>
        <v/>
      </c>
      <c r="AY723">
        <f>IF([4]Entry!$H$726="","",[4]Entry!$H$726)</f>
        <v/>
      </c>
      <c r="AZ723">
        <f>IF([4]Entry!$I$726="","",[4]Entry!$I$726)</f>
        <v/>
      </c>
    </row>
    <row r="724">
      <c r="Z724">
        <f>IF([2]Entry!$E$727="","",[2]Entry!$E$727)</f>
        <v/>
      </c>
      <c r="AA724">
        <f>IF([2]Entry!$G$727="","",[2]Entry!$G$727)</f>
        <v/>
      </c>
      <c r="AB724">
        <f>IF([2]Entry!$J$727="","",[2]Entry!$J$727)</f>
        <v/>
      </c>
      <c r="AC724">
        <f>IF([2]Entry!$K$727="","",[2]Entry!$K$727)</f>
        <v/>
      </c>
      <c r="AD724">
        <f>IF([2]Entry!$L$727="","",[2]Entry!$L$727)</f>
        <v/>
      </c>
      <c r="AE724">
        <f>IF([2]Entry!$M$727="","",[2]Entry!$M$727)</f>
        <v/>
      </c>
      <c r="AF724">
        <f>IF([2]Entry!$N$727="","",[2]Entry!$N$727)</f>
        <v/>
      </c>
      <c r="AJ724">
        <f>IF([2]Entry!$S$727="","",[2]Entry!$S$727)</f>
        <v/>
      </c>
      <c r="AK724">
        <f>IF([2]Entry!$C$727="","",[2]Entry!$C$727)</f>
        <v/>
      </c>
      <c r="AL724">
        <f>IF([2]Entry!$D$727="","",[2]Entry!$D$727)</f>
        <v/>
      </c>
      <c r="AX724">
        <f>IF([4]Entry!$E$727="","",[4]Entry!$E$727)</f>
        <v/>
      </c>
      <c r="AY724">
        <f>IF([4]Entry!$H$727="","",[4]Entry!$H$727)</f>
        <v/>
      </c>
      <c r="AZ724">
        <f>IF([4]Entry!$I$727="","",[4]Entry!$I$727)</f>
        <v/>
      </c>
    </row>
    <row r="725">
      <c r="Z725">
        <f>IF([2]Entry!$E$728="","",[2]Entry!$E$728)</f>
        <v/>
      </c>
      <c r="AA725">
        <f>IF([2]Entry!$G$728="","",[2]Entry!$G$728)</f>
        <v/>
      </c>
      <c r="AB725">
        <f>IF([2]Entry!$J$728="","",[2]Entry!$J$728)</f>
        <v/>
      </c>
      <c r="AC725">
        <f>IF([2]Entry!$K$728="","",[2]Entry!$K$728)</f>
        <v/>
      </c>
      <c r="AD725">
        <f>IF([2]Entry!$L$728="","",[2]Entry!$L$728)</f>
        <v/>
      </c>
      <c r="AE725">
        <f>IF([2]Entry!$M$728="","",[2]Entry!$M$728)</f>
        <v/>
      </c>
      <c r="AF725">
        <f>IF([2]Entry!$N$728="","",[2]Entry!$N$728)</f>
        <v/>
      </c>
      <c r="AJ725">
        <f>IF([2]Entry!$S$728="","",[2]Entry!$S$728)</f>
        <v/>
      </c>
      <c r="AK725">
        <f>IF([2]Entry!$C$728="","",[2]Entry!$C$728)</f>
        <v/>
      </c>
      <c r="AL725">
        <f>IF([2]Entry!$D$728="","",[2]Entry!$D$728)</f>
        <v/>
      </c>
      <c r="AX725">
        <f>IF([4]Entry!$E$728="","",[4]Entry!$E$728)</f>
        <v/>
      </c>
      <c r="AY725">
        <f>IF([4]Entry!$H$728="","",[4]Entry!$H$728)</f>
        <v/>
      </c>
      <c r="AZ725">
        <f>IF([4]Entry!$I$728="","",[4]Entry!$I$728)</f>
        <v/>
      </c>
    </row>
    <row r="726">
      <c r="Z726">
        <f>IF([2]Entry!$E$729="","",[2]Entry!$E$729)</f>
        <v/>
      </c>
      <c r="AA726">
        <f>IF([2]Entry!$G$729="","",[2]Entry!$G$729)</f>
        <v/>
      </c>
      <c r="AB726">
        <f>IF([2]Entry!$J$729="","",[2]Entry!$J$729)</f>
        <v/>
      </c>
      <c r="AC726">
        <f>IF([2]Entry!$K$729="","",[2]Entry!$K$729)</f>
        <v/>
      </c>
      <c r="AD726">
        <f>IF([2]Entry!$L$729="","",[2]Entry!$L$729)</f>
        <v/>
      </c>
      <c r="AE726">
        <f>IF([2]Entry!$M$729="","",[2]Entry!$M$729)</f>
        <v/>
      </c>
      <c r="AF726">
        <f>IF([2]Entry!$N$729="","",[2]Entry!$N$729)</f>
        <v/>
      </c>
      <c r="AJ726">
        <f>IF([2]Entry!$S$729="","",[2]Entry!$S$729)</f>
        <v/>
      </c>
      <c r="AK726">
        <f>IF([2]Entry!$C$729="","",[2]Entry!$C$729)</f>
        <v/>
      </c>
      <c r="AL726">
        <f>IF([2]Entry!$D$729="","",[2]Entry!$D$729)</f>
        <v/>
      </c>
      <c r="AX726">
        <f>IF([4]Entry!$E$729="","",[4]Entry!$E$729)</f>
        <v/>
      </c>
      <c r="AY726">
        <f>IF([4]Entry!$H$729="","",[4]Entry!$H$729)</f>
        <v/>
      </c>
      <c r="AZ726">
        <f>IF([4]Entry!$I$729="","",[4]Entry!$I$729)</f>
        <v/>
      </c>
    </row>
    <row r="727">
      <c r="Z727">
        <f>IF([2]Entry!$E$730="","",[2]Entry!$E$730)</f>
        <v/>
      </c>
      <c r="AA727">
        <f>IF([2]Entry!$G$730="","",[2]Entry!$G$730)</f>
        <v/>
      </c>
      <c r="AB727">
        <f>IF([2]Entry!$J$730="","",[2]Entry!$J$730)</f>
        <v/>
      </c>
      <c r="AC727">
        <f>IF([2]Entry!$K$730="","",[2]Entry!$K$730)</f>
        <v/>
      </c>
      <c r="AD727">
        <f>IF([2]Entry!$L$730="","",[2]Entry!$L$730)</f>
        <v/>
      </c>
      <c r="AE727">
        <f>IF([2]Entry!$M$730="","",[2]Entry!$M$730)</f>
        <v/>
      </c>
      <c r="AF727">
        <f>IF([2]Entry!$N$730="","",[2]Entry!$N$730)</f>
        <v/>
      </c>
      <c r="AJ727">
        <f>IF([2]Entry!$S$730="","",[2]Entry!$S$730)</f>
        <v/>
      </c>
      <c r="AK727">
        <f>IF([2]Entry!$C$730="","",[2]Entry!$C$730)</f>
        <v/>
      </c>
      <c r="AL727">
        <f>IF([2]Entry!$D$730="","",[2]Entry!$D$730)</f>
        <v/>
      </c>
      <c r="AX727">
        <f>IF([4]Entry!$E$730="","",[4]Entry!$E$730)</f>
        <v/>
      </c>
      <c r="AY727">
        <f>IF([4]Entry!$H$730="","",[4]Entry!$H$730)</f>
        <v/>
      </c>
      <c r="AZ727">
        <f>IF([4]Entry!$I$730="","",[4]Entry!$I$730)</f>
        <v/>
      </c>
    </row>
    <row r="728">
      <c r="Z728">
        <f>IF([2]Entry!$E$731="","",[2]Entry!$E$731)</f>
        <v/>
      </c>
      <c r="AA728">
        <f>IF([2]Entry!$G$731="","",[2]Entry!$G$731)</f>
        <v/>
      </c>
      <c r="AB728">
        <f>IF([2]Entry!$J$731="","",[2]Entry!$J$731)</f>
        <v/>
      </c>
      <c r="AC728">
        <f>IF([2]Entry!$K$731="","",[2]Entry!$K$731)</f>
        <v/>
      </c>
      <c r="AD728">
        <f>IF([2]Entry!$L$731="","",[2]Entry!$L$731)</f>
        <v/>
      </c>
      <c r="AE728">
        <f>IF([2]Entry!$M$731="","",[2]Entry!$M$731)</f>
        <v/>
      </c>
      <c r="AF728">
        <f>IF([2]Entry!$N$731="","",[2]Entry!$N$731)</f>
        <v/>
      </c>
      <c r="AJ728">
        <f>IF([2]Entry!$S$731="","",[2]Entry!$S$731)</f>
        <v/>
      </c>
      <c r="AK728">
        <f>IF([2]Entry!$C$731="","",[2]Entry!$C$731)</f>
        <v/>
      </c>
      <c r="AL728">
        <f>IF([2]Entry!$D$731="","",[2]Entry!$D$731)</f>
        <v/>
      </c>
      <c r="AX728">
        <f>IF([4]Entry!$E$731="","",[4]Entry!$E$731)</f>
        <v/>
      </c>
      <c r="AY728">
        <f>IF([4]Entry!$H$731="","",[4]Entry!$H$731)</f>
        <v/>
      </c>
      <c r="AZ728">
        <f>IF([4]Entry!$I$731="","",[4]Entry!$I$731)</f>
        <v/>
      </c>
    </row>
    <row r="729">
      <c r="Z729">
        <f>IF([2]Entry!$E$732="","",[2]Entry!$E$732)</f>
        <v/>
      </c>
      <c r="AA729">
        <f>IF([2]Entry!$G$732="","",[2]Entry!$G$732)</f>
        <v/>
      </c>
      <c r="AB729">
        <f>IF([2]Entry!$J$732="","",[2]Entry!$J$732)</f>
        <v/>
      </c>
      <c r="AC729">
        <f>IF([2]Entry!$K$732="","",[2]Entry!$K$732)</f>
        <v/>
      </c>
      <c r="AD729">
        <f>IF([2]Entry!$L$732="","",[2]Entry!$L$732)</f>
        <v/>
      </c>
      <c r="AE729">
        <f>IF([2]Entry!$M$732="","",[2]Entry!$M$732)</f>
        <v/>
      </c>
      <c r="AF729">
        <f>IF([2]Entry!$N$732="","",[2]Entry!$N$732)</f>
        <v/>
      </c>
      <c r="AJ729">
        <f>IF([2]Entry!$S$732="","",[2]Entry!$S$732)</f>
        <v/>
      </c>
      <c r="AK729">
        <f>IF([2]Entry!$C$732="","",[2]Entry!$C$732)</f>
        <v/>
      </c>
      <c r="AL729">
        <f>IF([2]Entry!$D$732="","",[2]Entry!$D$732)</f>
        <v/>
      </c>
      <c r="AX729">
        <f>IF([4]Entry!$E$732="","",[4]Entry!$E$732)</f>
        <v/>
      </c>
      <c r="AY729">
        <f>IF([4]Entry!$H$732="","",[4]Entry!$H$732)</f>
        <v/>
      </c>
      <c r="AZ729">
        <f>IF([4]Entry!$I$732="","",[4]Entry!$I$732)</f>
        <v/>
      </c>
    </row>
    <row r="730">
      <c r="Z730">
        <f>IF([2]Entry!$E$733="","",[2]Entry!$E$733)</f>
        <v/>
      </c>
      <c r="AA730">
        <f>IF([2]Entry!$G$733="","",[2]Entry!$G$733)</f>
        <v/>
      </c>
      <c r="AB730">
        <f>IF([2]Entry!$J$733="","",[2]Entry!$J$733)</f>
        <v/>
      </c>
      <c r="AC730">
        <f>IF([2]Entry!$K$733="","",[2]Entry!$K$733)</f>
        <v/>
      </c>
      <c r="AD730">
        <f>IF([2]Entry!$L$733="","",[2]Entry!$L$733)</f>
        <v/>
      </c>
      <c r="AE730">
        <f>IF([2]Entry!$M$733="","",[2]Entry!$M$733)</f>
        <v/>
      </c>
      <c r="AF730">
        <f>IF([2]Entry!$N$733="","",[2]Entry!$N$733)</f>
        <v/>
      </c>
      <c r="AJ730">
        <f>IF([2]Entry!$S$733="","",[2]Entry!$S$733)</f>
        <v/>
      </c>
      <c r="AK730">
        <f>IF([2]Entry!$C$733="","",[2]Entry!$C$733)</f>
        <v/>
      </c>
      <c r="AL730">
        <f>IF([2]Entry!$D$733="","",[2]Entry!$D$733)</f>
        <v/>
      </c>
      <c r="AX730">
        <f>IF([4]Entry!$E$733="","",[4]Entry!$E$733)</f>
        <v/>
      </c>
      <c r="AY730">
        <f>IF([4]Entry!$H$733="","",[4]Entry!$H$733)</f>
        <v/>
      </c>
      <c r="AZ730">
        <f>IF([4]Entry!$I$733="","",[4]Entry!$I$733)</f>
        <v/>
      </c>
    </row>
    <row r="731">
      <c r="Z731">
        <f>IF([2]Entry!$E$734="","",[2]Entry!$E$734)</f>
        <v/>
      </c>
      <c r="AA731">
        <f>IF([2]Entry!$G$734="","",[2]Entry!$G$734)</f>
        <v/>
      </c>
      <c r="AB731">
        <f>IF([2]Entry!$J$734="","",[2]Entry!$J$734)</f>
        <v/>
      </c>
      <c r="AC731">
        <f>IF([2]Entry!$K$734="","",[2]Entry!$K$734)</f>
        <v/>
      </c>
      <c r="AD731">
        <f>IF([2]Entry!$L$734="","",[2]Entry!$L$734)</f>
        <v/>
      </c>
      <c r="AE731">
        <f>IF([2]Entry!$M$734="","",[2]Entry!$M$734)</f>
        <v/>
      </c>
      <c r="AF731">
        <f>IF([2]Entry!$N$734="","",[2]Entry!$N$734)</f>
        <v/>
      </c>
      <c r="AJ731">
        <f>IF([2]Entry!$S$734="","",[2]Entry!$S$734)</f>
        <v/>
      </c>
      <c r="AK731">
        <f>IF([2]Entry!$C$734="","",[2]Entry!$C$734)</f>
        <v/>
      </c>
      <c r="AL731">
        <f>IF([2]Entry!$D$734="","",[2]Entry!$D$734)</f>
        <v/>
      </c>
      <c r="AX731">
        <f>IF([4]Entry!$E$734="","",[4]Entry!$E$734)</f>
        <v/>
      </c>
      <c r="AY731">
        <f>IF([4]Entry!$H$734="","",[4]Entry!$H$734)</f>
        <v/>
      </c>
      <c r="AZ731">
        <f>IF([4]Entry!$I$734="","",[4]Entry!$I$734)</f>
        <v/>
      </c>
    </row>
    <row r="732">
      <c r="Z732">
        <f>IF([2]Entry!$E$735="","",[2]Entry!$E$735)</f>
        <v/>
      </c>
      <c r="AA732">
        <f>IF([2]Entry!$G$735="","",[2]Entry!$G$735)</f>
        <v/>
      </c>
      <c r="AB732">
        <f>IF([2]Entry!$J$735="","",[2]Entry!$J$735)</f>
        <v/>
      </c>
      <c r="AC732">
        <f>IF([2]Entry!$K$735="","",[2]Entry!$K$735)</f>
        <v/>
      </c>
      <c r="AD732">
        <f>IF([2]Entry!$L$735="","",[2]Entry!$L$735)</f>
        <v/>
      </c>
      <c r="AE732">
        <f>IF([2]Entry!$M$735="","",[2]Entry!$M$735)</f>
        <v/>
      </c>
      <c r="AF732">
        <f>IF([2]Entry!$N$735="","",[2]Entry!$N$735)</f>
        <v/>
      </c>
      <c r="AJ732">
        <f>IF([2]Entry!$S$735="","",[2]Entry!$S$735)</f>
        <v/>
      </c>
      <c r="AK732">
        <f>IF([2]Entry!$C$735="","",[2]Entry!$C$735)</f>
        <v/>
      </c>
      <c r="AL732">
        <f>IF([2]Entry!$D$735="","",[2]Entry!$D$735)</f>
        <v/>
      </c>
      <c r="AX732">
        <f>IF([4]Entry!$E$735="","",[4]Entry!$E$735)</f>
        <v/>
      </c>
      <c r="AY732">
        <f>IF([4]Entry!$H$735="","",[4]Entry!$H$735)</f>
        <v/>
      </c>
      <c r="AZ732">
        <f>IF([4]Entry!$I$735="","",[4]Entry!$I$735)</f>
        <v/>
      </c>
    </row>
    <row r="733">
      <c r="Z733">
        <f>IF([2]Entry!$E$736="","",[2]Entry!$E$736)</f>
        <v/>
      </c>
      <c r="AA733">
        <f>IF([2]Entry!$G$736="","",[2]Entry!$G$736)</f>
        <v/>
      </c>
      <c r="AB733">
        <f>IF([2]Entry!$J$736="","",[2]Entry!$J$736)</f>
        <v/>
      </c>
      <c r="AC733">
        <f>IF([2]Entry!$K$736="","",[2]Entry!$K$736)</f>
        <v/>
      </c>
      <c r="AD733">
        <f>IF([2]Entry!$L$736="","",[2]Entry!$L$736)</f>
        <v/>
      </c>
      <c r="AE733">
        <f>IF([2]Entry!$M$736="","",[2]Entry!$M$736)</f>
        <v/>
      </c>
      <c r="AF733">
        <f>IF([2]Entry!$N$736="","",[2]Entry!$N$736)</f>
        <v/>
      </c>
      <c r="AJ733">
        <f>IF([2]Entry!$S$736="","",[2]Entry!$S$736)</f>
        <v/>
      </c>
      <c r="AK733">
        <f>IF([2]Entry!$C$736="","",[2]Entry!$C$736)</f>
        <v/>
      </c>
      <c r="AL733">
        <f>IF([2]Entry!$D$736="","",[2]Entry!$D$736)</f>
        <v/>
      </c>
      <c r="AX733">
        <f>IF([4]Entry!$E$736="","",[4]Entry!$E$736)</f>
        <v/>
      </c>
      <c r="AY733">
        <f>IF([4]Entry!$H$736="","",[4]Entry!$H$736)</f>
        <v/>
      </c>
      <c r="AZ733">
        <f>IF([4]Entry!$I$736="","",[4]Entry!$I$736)</f>
        <v/>
      </c>
    </row>
    <row r="734">
      <c r="Z734">
        <f>IF([2]Entry!$E$737="","",[2]Entry!$E$737)</f>
        <v/>
      </c>
      <c r="AA734">
        <f>IF([2]Entry!$G$737="","",[2]Entry!$G$737)</f>
        <v/>
      </c>
      <c r="AB734">
        <f>IF([2]Entry!$J$737="","",[2]Entry!$J$737)</f>
        <v/>
      </c>
      <c r="AC734">
        <f>IF([2]Entry!$K$737="","",[2]Entry!$K$737)</f>
        <v/>
      </c>
      <c r="AD734">
        <f>IF([2]Entry!$L$737="","",[2]Entry!$L$737)</f>
        <v/>
      </c>
      <c r="AE734">
        <f>IF([2]Entry!$M$737="","",[2]Entry!$M$737)</f>
        <v/>
      </c>
      <c r="AF734">
        <f>IF([2]Entry!$N$737="","",[2]Entry!$N$737)</f>
        <v/>
      </c>
      <c r="AJ734">
        <f>IF([2]Entry!$S$737="","",[2]Entry!$S$737)</f>
        <v/>
      </c>
      <c r="AK734">
        <f>IF([2]Entry!$C$737="","",[2]Entry!$C$737)</f>
        <v/>
      </c>
      <c r="AL734">
        <f>IF([2]Entry!$D$737="","",[2]Entry!$D$737)</f>
        <v/>
      </c>
      <c r="AX734">
        <f>IF([4]Entry!$E$737="","",[4]Entry!$E$737)</f>
        <v/>
      </c>
      <c r="AY734">
        <f>IF([4]Entry!$H$737="","",[4]Entry!$H$737)</f>
        <v/>
      </c>
      <c r="AZ734">
        <f>IF([4]Entry!$I$737="","",[4]Entry!$I$737)</f>
        <v/>
      </c>
    </row>
    <row r="735">
      <c r="Z735">
        <f>IF([2]Entry!$E$738="","",[2]Entry!$E$738)</f>
        <v/>
      </c>
      <c r="AA735">
        <f>IF([2]Entry!$G$738="","",[2]Entry!$G$738)</f>
        <v/>
      </c>
      <c r="AB735">
        <f>IF([2]Entry!$J$738="","",[2]Entry!$J$738)</f>
        <v/>
      </c>
      <c r="AC735">
        <f>IF([2]Entry!$K$738="","",[2]Entry!$K$738)</f>
        <v/>
      </c>
      <c r="AD735">
        <f>IF([2]Entry!$L$738="","",[2]Entry!$L$738)</f>
        <v/>
      </c>
      <c r="AE735">
        <f>IF([2]Entry!$M$738="","",[2]Entry!$M$738)</f>
        <v/>
      </c>
      <c r="AF735">
        <f>IF([2]Entry!$N$738="","",[2]Entry!$N$738)</f>
        <v/>
      </c>
      <c r="AJ735">
        <f>IF([2]Entry!$S$738="","",[2]Entry!$S$738)</f>
        <v/>
      </c>
      <c r="AK735">
        <f>IF([2]Entry!$C$738="","",[2]Entry!$C$738)</f>
        <v/>
      </c>
      <c r="AL735">
        <f>IF([2]Entry!$D$738="","",[2]Entry!$D$738)</f>
        <v/>
      </c>
      <c r="AX735">
        <f>IF([4]Entry!$E$738="","",[4]Entry!$E$738)</f>
        <v/>
      </c>
      <c r="AY735">
        <f>IF([4]Entry!$H$738="","",[4]Entry!$H$738)</f>
        <v/>
      </c>
      <c r="AZ735">
        <f>IF([4]Entry!$I$738="","",[4]Entry!$I$738)</f>
        <v/>
      </c>
    </row>
    <row r="736">
      <c r="Z736">
        <f>IF([2]Entry!$E$739="","",[2]Entry!$E$739)</f>
        <v/>
      </c>
      <c r="AA736">
        <f>IF([2]Entry!$G$739="","",[2]Entry!$G$739)</f>
        <v/>
      </c>
      <c r="AB736">
        <f>IF([2]Entry!$J$739="","",[2]Entry!$J$739)</f>
        <v/>
      </c>
      <c r="AC736">
        <f>IF([2]Entry!$K$739="","",[2]Entry!$K$739)</f>
        <v/>
      </c>
      <c r="AD736">
        <f>IF([2]Entry!$L$739="","",[2]Entry!$L$739)</f>
        <v/>
      </c>
      <c r="AE736">
        <f>IF([2]Entry!$M$739="","",[2]Entry!$M$739)</f>
        <v/>
      </c>
      <c r="AF736">
        <f>IF([2]Entry!$N$739="","",[2]Entry!$N$739)</f>
        <v/>
      </c>
      <c r="AJ736">
        <f>IF([2]Entry!$S$739="","",[2]Entry!$S$739)</f>
        <v/>
      </c>
      <c r="AK736">
        <f>IF([2]Entry!$C$739="","",[2]Entry!$C$739)</f>
        <v/>
      </c>
      <c r="AL736">
        <f>IF([2]Entry!$D$739="","",[2]Entry!$D$739)</f>
        <v/>
      </c>
      <c r="AX736">
        <f>IF([4]Entry!$E$739="","",[4]Entry!$E$739)</f>
        <v/>
      </c>
      <c r="AY736">
        <f>IF([4]Entry!$H$739="","",[4]Entry!$H$739)</f>
        <v/>
      </c>
      <c r="AZ736">
        <f>IF([4]Entry!$I$739="","",[4]Entry!$I$739)</f>
        <v/>
      </c>
    </row>
    <row r="737">
      <c r="Z737">
        <f>IF([2]Entry!$E$740="","",[2]Entry!$E$740)</f>
        <v/>
      </c>
      <c r="AA737">
        <f>IF([2]Entry!$G$740="","",[2]Entry!$G$740)</f>
        <v/>
      </c>
      <c r="AB737">
        <f>IF([2]Entry!$J$740="","",[2]Entry!$J$740)</f>
        <v/>
      </c>
      <c r="AC737">
        <f>IF([2]Entry!$K$740="","",[2]Entry!$K$740)</f>
        <v/>
      </c>
      <c r="AD737">
        <f>IF([2]Entry!$L$740="","",[2]Entry!$L$740)</f>
        <v/>
      </c>
      <c r="AE737">
        <f>IF([2]Entry!$M$740="","",[2]Entry!$M$740)</f>
        <v/>
      </c>
      <c r="AF737">
        <f>IF([2]Entry!$N$740="","",[2]Entry!$N$740)</f>
        <v/>
      </c>
      <c r="AJ737">
        <f>IF([2]Entry!$S$740="","",[2]Entry!$S$740)</f>
        <v/>
      </c>
      <c r="AK737">
        <f>IF([2]Entry!$C$740="","",[2]Entry!$C$740)</f>
        <v/>
      </c>
      <c r="AL737">
        <f>IF([2]Entry!$D$740="","",[2]Entry!$D$740)</f>
        <v/>
      </c>
      <c r="AX737">
        <f>IF([4]Entry!$E$740="","",[4]Entry!$E$740)</f>
        <v/>
      </c>
      <c r="AY737">
        <f>IF([4]Entry!$H$740="","",[4]Entry!$H$740)</f>
        <v/>
      </c>
      <c r="AZ737">
        <f>IF([4]Entry!$I$740="","",[4]Entry!$I$740)</f>
        <v/>
      </c>
    </row>
    <row r="738">
      <c r="Z738">
        <f>IF([2]Entry!$E$741="","",[2]Entry!$E$741)</f>
        <v/>
      </c>
      <c r="AA738">
        <f>IF([2]Entry!$G$741="","",[2]Entry!$G$741)</f>
        <v/>
      </c>
      <c r="AB738">
        <f>IF([2]Entry!$J$741="","",[2]Entry!$J$741)</f>
        <v/>
      </c>
      <c r="AC738">
        <f>IF([2]Entry!$K$741="","",[2]Entry!$K$741)</f>
        <v/>
      </c>
      <c r="AD738">
        <f>IF([2]Entry!$L$741="","",[2]Entry!$L$741)</f>
        <v/>
      </c>
      <c r="AE738">
        <f>IF([2]Entry!$M$741="","",[2]Entry!$M$741)</f>
        <v/>
      </c>
      <c r="AF738">
        <f>IF([2]Entry!$N$741="","",[2]Entry!$N$741)</f>
        <v/>
      </c>
      <c r="AJ738">
        <f>IF([2]Entry!$S$741="","",[2]Entry!$S$741)</f>
        <v/>
      </c>
      <c r="AK738">
        <f>IF([2]Entry!$C$741="","",[2]Entry!$C$741)</f>
        <v/>
      </c>
      <c r="AL738">
        <f>IF([2]Entry!$D$741="","",[2]Entry!$D$741)</f>
        <v/>
      </c>
      <c r="AX738">
        <f>IF([4]Entry!$E$741="","",[4]Entry!$E$741)</f>
        <v/>
      </c>
      <c r="AY738">
        <f>IF([4]Entry!$H$741="","",[4]Entry!$H$741)</f>
        <v/>
      </c>
      <c r="AZ738">
        <f>IF([4]Entry!$I$741="","",[4]Entry!$I$741)</f>
        <v/>
      </c>
    </row>
    <row r="739">
      <c r="Z739">
        <f>IF([2]Entry!$E$742="","",[2]Entry!$E$742)</f>
        <v/>
      </c>
      <c r="AA739">
        <f>IF([2]Entry!$G$742="","",[2]Entry!$G$742)</f>
        <v/>
      </c>
      <c r="AB739">
        <f>IF([2]Entry!$J$742="","",[2]Entry!$J$742)</f>
        <v/>
      </c>
      <c r="AC739">
        <f>IF([2]Entry!$K$742="","",[2]Entry!$K$742)</f>
        <v/>
      </c>
      <c r="AD739">
        <f>IF([2]Entry!$L$742="","",[2]Entry!$L$742)</f>
        <v/>
      </c>
      <c r="AE739">
        <f>IF([2]Entry!$M$742="","",[2]Entry!$M$742)</f>
        <v/>
      </c>
      <c r="AF739">
        <f>IF([2]Entry!$N$742="","",[2]Entry!$N$742)</f>
        <v/>
      </c>
      <c r="AJ739">
        <f>IF([2]Entry!$S$742="","",[2]Entry!$S$742)</f>
        <v/>
      </c>
      <c r="AK739">
        <f>IF([2]Entry!$C$742="","",[2]Entry!$C$742)</f>
        <v/>
      </c>
      <c r="AL739">
        <f>IF([2]Entry!$D$742="","",[2]Entry!$D$742)</f>
        <v/>
      </c>
      <c r="AX739">
        <f>IF([4]Entry!$E$742="","",[4]Entry!$E$742)</f>
        <v/>
      </c>
      <c r="AY739">
        <f>IF([4]Entry!$H$742="","",[4]Entry!$H$742)</f>
        <v/>
      </c>
      <c r="AZ739">
        <f>IF([4]Entry!$I$742="","",[4]Entry!$I$742)</f>
        <v/>
      </c>
    </row>
    <row r="740">
      <c r="Z740">
        <f>IF([2]Entry!$E$743="","",[2]Entry!$E$743)</f>
        <v/>
      </c>
      <c r="AA740">
        <f>IF([2]Entry!$G$743="","",[2]Entry!$G$743)</f>
        <v/>
      </c>
      <c r="AB740">
        <f>IF([2]Entry!$J$743="","",[2]Entry!$J$743)</f>
        <v/>
      </c>
      <c r="AC740">
        <f>IF([2]Entry!$K$743="","",[2]Entry!$K$743)</f>
        <v/>
      </c>
      <c r="AD740">
        <f>IF([2]Entry!$L$743="","",[2]Entry!$L$743)</f>
        <v/>
      </c>
      <c r="AE740">
        <f>IF([2]Entry!$M$743="","",[2]Entry!$M$743)</f>
        <v/>
      </c>
      <c r="AF740">
        <f>IF([2]Entry!$N$743="","",[2]Entry!$N$743)</f>
        <v/>
      </c>
      <c r="AJ740">
        <f>IF([2]Entry!$S$743="","",[2]Entry!$S$743)</f>
        <v/>
      </c>
      <c r="AK740">
        <f>IF([2]Entry!$C$743="","",[2]Entry!$C$743)</f>
        <v/>
      </c>
      <c r="AL740">
        <f>IF([2]Entry!$D$743="","",[2]Entry!$D$743)</f>
        <v/>
      </c>
      <c r="AX740">
        <f>IF([4]Entry!$E$743="","",[4]Entry!$E$743)</f>
        <v/>
      </c>
      <c r="AY740">
        <f>IF([4]Entry!$H$743="","",[4]Entry!$H$743)</f>
        <v/>
      </c>
      <c r="AZ740">
        <f>IF([4]Entry!$I$743="","",[4]Entry!$I$743)</f>
        <v/>
      </c>
    </row>
    <row r="741">
      <c r="Z741">
        <f>IF([2]Entry!$E$744="","",[2]Entry!$E$744)</f>
        <v/>
      </c>
      <c r="AA741">
        <f>IF([2]Entry!$G$744="","",[2]Entry!$G$744)</f>
        <v/>
      </c>
      <c r="AB741">
        <f>IF([2]Entry!$J$744="","",[2]Entry!$J$744)</f>
        <v/>
      </c>
      <c r="AC741">
        <f>IF([2]Entry!$K$744="","",[2]Entry!$K$744)</f>
        <v/>
      </c>
      <c r="AD741">
        <f>IF([2]Entry!$L$744="","",[2]Entry!$L$744)</f>
        <v/>
      </c>
      <c r="AE741">
        <f>IF([2]Entry!$M$744="","",[2]Entry!$M$744)</f>
        <v/>
      </c>
      <c r="AF741">
        <f>IF([2]Entry!$N$744="","",[2]Entry!$N$744)</f>
        <v/>
      </c>
      <c r="AJ741">
        <f>IF([2]Entry!$S$744="","",[2]Entry!$S$744)</f>
        <v/>
      </c>
      <c r="AK741">
        <f>IF([2]Entry!$C$744="","",[2]Entry!$C$744)</f>
        <v/>
      </c>
      <c r="AL741">
        <f>IF([2]Entry!$D$744="","",[2]Entry!$D$744)</f>
        <v/>
      </c>
      <c r="AX741">
        <f>IF([4]Entry!$E$744="","",[4]Entry!$E$744)</f>
        <v/>
      </c>
      <c r="AY741">
        <f>IF([4]Entry!$H$744="","",[4]Entry!$H$744)</f>
        <v/>
      </c>
      <c r="AZ741">
        <f>IF([4]Entry!$I$744="","",[4]Entry!$I$744)</f>
        <v/>
      </c>
    </row>
    <row r="742">
      <c r="Z742">
        <f>IF([2]Entry!$E$745="","",[2]Entry!$E$745)</f>
        <v/>
      </c>
      <c r="AA742">
        <f>IF([2]Entry!$G$745="","",[2]Entry!$G$745)</f>
        <v/>
      </c>
      <c r="AB742">
        <f>IF([2]Entry!$J$745="","",[2]Entry!$J$745)</f>
        <v/>
      </c>
      <c r="AC742">
        <f>IF([2]Entry!$K$745="","",[2]Entry!$K$745)</f>
        <v/>
      </c>
      <c r="AD742">
        <f>IF([2]Entry!$L$745="","",[2]Entry!$L$745)</f>
        <v/>
      </c>
      <c r="AE742">
        <f>IF([2]Entry!$M$745="","",[2]Entry!$M$745)</f>
        <v/>
      </c>
      <c r="AF742">
        <f>IF([2]Entry!$N$745="","",[2]Entry!$N$745)</f>
        <v/>
      </c>
      <c r="AJ742">
        <f>IF([2]Entry!$S$745="","",[2]Entry!$S$745)</f>
        <v/>
      </c>
      <c r="AK742">
        <f>IF([2]Entry!$C$745="","",[2]Entry!$C$745)</f>
        <v/>
      </c>
      <c r="AL742">
        <f>IF([2]Entry!$D$745="","",[2]Entry!$D$745)</f>
        <v/>
      </c>
      <c r="AX742">
        <f>IF([4]Entry!$E$745="","",[4]Entry!$E$745)</f>
        <v/>
      </c>
      <c r="AY742">
        <f>IF([4]Entry!$H$745="","",[4]Entry!$H$745)</f>
        <v/>
      </c>
      <c r="AZ742">
        <f>IF([4]Entry!$I$745="","",[4]Entry!$I$745)</f>
        <v/>
      </c>
    </row>
    <row r="743">
      <c r="Z743">
        <f>IF([2]Entry!$E$746="","",[2]Entry!$E$746)</f>
        <v/>
      </c>
      <c r="AA743">
        <f>IF([2]Entry!$G$746="","",[2]Entry!$G$746)</f>
        <v/>
      </c>
      <c r="AB743">
        <f>IF([2]Entry!$J$746="","",[2]Entry!$J$746)</f>
        <v/>
      </c>
      <c r="AC743">
        <f>IF([2]Entry!$K$746="","",[2]Entry!$K$746)</f>
        <v/>
      </c>
      <c r="AD743">
        <f>IF([2]Entry!$L$746="","",[2]Entry!$L$746)</f>
        <v/>
      </c>
      <c r="AE743">
        <f>IF([2]Entry!$M$746="","",[2]Entry!$M$746)</f>
        <v/>
      </c>
      <c r="AF743">
        <f>IF([2]Entry!$N$746="","",[2]Entry!$N$746)</f>
        <v/>
      </c>
      <c r="AJ743">
        <f>IF([2]Entry!$S$746="","",[2]Entry!$S$746)</f>
        <v/>
      </c>
      <c r="AK743">
        <f>IF([2]Entry!$C$746="","",[2]Entry!$C$746)</f>
        <v/>
      </c>
      <c r="AL743">
        <f>IF([2]Entry!$D$746="","",[2]Entry!$D$746)</f>
        <v/>
      </c>
      <c r="AX743">
        <f>IF([4]Entry!$E$746="","",[4]Entry!$E$746)</f>
        <v/>
      </c>
      <c r="AY743">
        <f>IF([4]Entry!$H$746="","",[4]Entry!$H$746)</f>
        <v/>
      </c>
      <c r="AZ743">
        <f>IF([4]Entry!$I$746="","",[4]Entry!$I$746)</f>
        <v/>
      </c>
    </row>
    <row r="744">
      <c r="Z744">
        <f>IF([2]Entry!$E$747="","",[2]Entry!$E$747)</f>
        <v/>
      </c>
      <c r="AA744">
        <f>IF([2]Entry!$G$747="","",[2]Entry!$G$747)</f>
        <v/>
      </c>
      <c r="AB744">
        <f>IF([2]Entry!$J$747="","",[2]Entry!$J$747)</f>
        <v/>
      </c>
      <c r="AC744">
        <f>IF([2]Entry!$K$747="","",[2]Entry!$K$747)</f>
        <v/>
      </c>
      <c r="AD744">
        <f>IF([2]Entry!$L$747="","",[2]Entry!$L$747)</f>
        <v/>
      </c>
      <c r="AE744">
        <f>IF([2]Entry!$M$747="","",[2]Entry!$M$747)</f>
        <v/>
      </c>
      <c r="AF744">
        <f>IF([2]Entry!$N$747="","",[2]Entry!$N$747)</f>
        <v/>
      </c>
      <c r="AJ744">
        <f>IF([2]Entry!$S$747="","",[2]Entry!$S$747)</f>
        <v/>
      </c>
      <c r="AK744">
        <f>IF([2]Entry!$C$747="","",[2]Entry!$C$747)</f>
        <v/>
      </c>
      <c r="AL744">
        <f>IF([2]Entry!$D$747="","",[2]Entry!$D$747)</f>
        <v/>
      </c>
      <c r="AX744">
        <f>IF([4]Entry!$E$747="","",[4]Entry!$E$747)</f>
        <v/>
      </c>
      <c r="AY744">
        <f>IF([4]Entry!$H$747="","",[4]Entry!$H$747)</f>
        <v/>
      </c>
      <c r="AZ744">
        <f>IF([4]Entry!$I$747="","",[4]Entry!$I$747)</f>
        <v/>
      </c>
    </row>
    <row r="745">
      <c r="Z745">
        <f>IF([2]Entry!$E$748="","",[2]Entry!$E$748)</f>
        <v/>
      </c>
      <c r="AA745">
        <f>IF([2]Entry!$G$748="","",[2]Entry!$G$748)</f>
        <v/>
      </c>
      <c r="AB745">
        <f>IF([2]Entry!$J$748="","",[2]Entry!$J$748)</f>
        <v/>
      </c>
      <c r="AC745">
        <f>IF([2]Entry!$K$748="","",[2]Entry!$K$748)</f>
        <v/>
      </c>
      <c r="AD745">
        <f>IF([2]Entry!$L$748="","",[2]Entry!$L$748)</f>
        <v/>
      </c>
      <c r="AE745">
        <f>IF([2]Entry!$M$748="","",[2]Entry!$M$748)</f>
        <v/>
      </c>
      <c r="AF745">
        <f>IF([2]Entry!$N$748="","",[2]Entry!$N$748)</f>
        <v/>
      </c>
      <c r="AJ745">
        <f>IF([2]Entry!$S$748="","",[2]Entry!$S$748)</f>
        <v/>
      </c>
      <c r="AK745">
        <f>IF([2]Entry!$C$748="","",[2]Entry!$C$748)</f>
        <v/>
      </c>
      <c r="AL745">
        <f>IF([2]Entry!$D$748="","",[2]Entry!$D$748)</f>
        <v/>
      </c>
      <c r="AX745">
        <f>IF([4]Entry!$E$748="","",[4]Entry!$E$748)</f>
        <v/>
      </c>
      <c r="AY745">
        <f>IF([4]Entry!$H$748="","",[4]Entry!$H$748)</f>
        <v/>
      </c>
      <c r="AZ745">
        <f>IF([4]Entry!$I$748="","",[4]Entry!$I$748)</f>
        <v/>
      </c>
    </row>
    <row r="746">
      <c r="Z746">
        <f>IF([2]Entry!$E$749="","",[2]Entry!$E$749)</f>
        <v/>
      </c>
      <c r="AA746">
        <f>IF([2]Entry!$G$749="","",[2]Entry!$G$749)</f>
        <v/>
      </c>
      <c r="AB746">
        <f>IF([2]Entry!$J$749="","",[2]Entry!$J$749)</f>
        <v/>
      </c>
      <c r="AC746">
        <f>IF([2]Entry!$K$749="","",[2]Entry!$K$749)</f>
        <v/>
      </c>
      <c r="AD746">
        <f>IF([2]Entry!$L$749="","",[2]Entry!$L$749)</f>
        <v/>
      </c>
      <c r="AE746">
        <f>IF([2]Entry!$M$749="","",[2]Entry!$M$749)</f>
        <v/>
      </c>
      <c r="AF746">
        <f>IF([2]Entry!$N$749="","",[2]Entry!$N$749)</f>
        <v/>
      </c>
      <c r="AJ746">
        <f>IF([2]Entry!$S$749="","",[2]Entry!$S$749)</f>
        <v/>
      </c>
      <c r="AK746">
        <f>IF([2]Entry!$C$749="","",[2]Entry!$C$749)</f>
        <v/>
      </c>
      <c r="AL746">
        <f>IF([2]Entry!$D$749="","",[2]Entry!$D$749)</f>
        <v/>
      </c>
      <c r="AX746">
        <f>IF([4]Entry!$E$749="","",[4]Entry!$E$749)</f>
        <v/>
      </c>
      <c r="AY746">
        <f>IF([4]Entry!$H$749="","",[4]Entry!$H$749)</f>
        <v/>
      </c>
      <c r="AZ746">
        <f>IF([4]Entry!$I$749="","",[4]Entry!$I$749)</f>
        <v/>
      </c>
    </row>
    <row r="747">
      <c r="Z747">
        <f>IF([2]Entry!$E$750="","",[2]Entry!$E$750)</f>
        <v/>
      </c>
      <c r="AA747">
        <f>IF([2]Entry!$G$750="","",[2]Entry!$G$750)</f>
        <v/>
      </c>
      <c r="AB747">
        <f>IF([2]Entry!$J$750="","",[2]Entry!$J$750)</f>
        <v/>
      </c>
      <c r="AC747">
        <f>IF([2]Entry!$K$750="","",[2]Entry!$K$750)</f>
        <v/>
      </c>
      <c r="AD747">
        <f>IF([2]Entry!$L$750="","",[2]Entry!$L$750)</f>
        <v/>
      </c>
      <c r="AE747">
        <f>IF([2]Entry!$M$750="","",[2]Entry!$M$750)</f>
        <v/>
      </c>
      <c r="AF747">
        <f>IF([2]Entry!$N$750="","",[2]Entry!$N$750)</f>
        <v/>
      </c>
      <c r="AJ747">
        <f>IF([2]Entry!$S$750="","",[2]Entry!$S$750)</f>
        <v/>
      </c>
      <c r="AK747">
        <f>IF([2]Entry!$C$750="","",[2]Entry!$C$750)</f>
        <v/>
      </c>
      <c r="AL747">
        <f>IF([2]Entry!$D$750="","",[2]Entry!$D$750)</f>
        <v/>
      </c>
      <c r="AX747">
        <f>IF([4]Entry!$E$750="","",[4]Entry!$E$750)</f>
        <v/>
      </c>
      <c r="AY747">
        <f>IF([4]Entry!$H$750="","",[4]Entry!$H$750)</f>
        <v/>
      </c>
      <c r="AZ747">
        <f>IF([4]Entry!$I$750="","",[4]Entry!$I$750)</f>
        <v/>
      </c>
    </row>
    <row r="748">
      <c r="Z748">
        <f>IF([2]Entry!$E$751="","",[2]Entry!$E$751)</f>
        <v/>
      </c>
      <c r="AA748">
        <f>IF([2]Entry!$G$751="","",[2]Entry!$G$751)</f>
        <v/>
      </c>
      <c r="AB748">
        <f>IF([2]Entry!$J$751="","",[2]Entry!$J$751)</f>
        <v/>
      </c>
      <c r="AC748">
        <f>IF([2]Entry!$K$751="","",[2]Entry!$K$751)</f>
        <v/>
      </c>
      <c r="AD748">
        <f>IF([2]Entry!$L$751="","",[2]Entry!$L$751)</f>
        <v/>
      </c>
      <c r="AE748">
        <f>IF([2]Entry!$M$751="","",[2]Entry!$M$751)</f>
        <v/>
      </c>
      <c r="AF748">
        <f>IF([2]Entry!$N$751="","",[2]Entry!$N$751)</f>
        <v/>
      </c>
      <c r="AJ748">
        <f>IF([2]Entry!$S$751="","",[2]Entry!$S$751)</f>
        <v/>
      </c>
      <c r="AK748">
        <f>IF([2]Entry!$C$751="","",[2]Entry!$C$751)</f>
        <v/>
      </c>
      <c r="AL748">
        <f>IF([2]Entry!$D$751="","",[2]Entry!$D$751)</f>
        <v/>
      </c>
      <c r="AX748">
        <f>IF([4]Entry!$E$751="","",[4]Entry!$E$751)</f>
        <v/>
      </c>
      <c r="AY748">
        <f>IF([4]Entry!$H$751="","",[4]Entry!$H$751)</f>
        <v/>
      </c>
      <c r="AZ748">
        <f>IF([4]Entry!$I$751="","",[4]Entry!$I$751)</f>
        <v/>
      </c>
    </row>
    <row r="749">
      <c r="Z749">
        <f>IF([2]Entry!$E$752="","",[2]Entry!$E$752)</f>
        <v/>
      </c>
      <c r="AA749">
        <f>IF([2]Entry!$G$752="","",[2]Entry!$G$752)</f>
        <v/>
      </c>
      <c r="AB749">
        <f>IF([2]Entry!$J$752="","",[2]Entry!$J$752)</f>
        <v/>
      </c>
      <c r="AC749">
        <f>IF([2]Entry!$K$752="","",[2]Entry!$K$752)</f>
        <v/>
      </c>
      <c r="AD749">
        <f>IF([2]Entry!$L$752="","",[2]Entry!$L$752)</f>
        <v/>
      </c>
      <c r="AE749">
        <f>IF([2]Entry!$M$752="","",[2]Entry!$M$752)</f>
        <v/>
      </c>
      <c r="AF749">
        <f>IF([2]Entry!$N$752="","",[2]Entry!$N$752)</f>
        <v/>
      </c>
      <c r="AJ749">
        <f>IF([2]Entry!$S$752="","",[2]Entry!$S$752)</f>
        <v/>
      </c>
      <c r="AK749">
        <f>IF([2]Entry!$C$752="","",[2]Entry!$C$752)</f>
        <v/>
      </c>
      <c r="AL749">
        <f>IF([2]Entry!$D$752="","",[2]Entry!$D$752)</f>
        <v/>
      </c>
      <c r="AX749">
        <f>IF([4]Entry!$E$752="","",[4]Entry!$E$752)</f>
        <v/>
      </c>
      <c r="AY749">
        <f>IF([4]Entry!$H$752="","",[4]Entry!$H$752)</f>
        <v/>
      </c>
      <c r="AZ749">
        <f>IF([4]Entry!$I$752="","",[4]Entry!$I$752)</f>
        <v/>
      </c>
    </row>
    <row r="750">
      <c r="Z750">
        <f>IF([2]Entry!$E$753="","",[2]Entry!$E$753)</f>
        <v/>
      </c>
      <c r="AA750">
        <f>IF([2]Entry!$G$753="","",[2]Entry!$G$753)</f>
        <v/>
      </c>
      <c r="AB750">
        <f>IF([2]Entry!$J$753="","",[2]Entry!$J$753)</f>
        <v/>
      </c>
      <c r="AC750">
        <f>IF([2]Entry!$K$753="","",[2]Entry!$K$753)</f>
        <v/>
      </c>
      <c r="AD750">
        <f>IF([2]Entry!$L$753="","",[2]Entry!$L$753)</f>
        <v/>
      </c>
      <c r="AE750">
        <f>IF([2]Entry!$M$753="","",[2]Entry!$M$753)</f>
        <v/>
      </c>
      <c r="AF750">
        <f>IF([2]Entry!$N$753="","",[2]Entry!$N$753)</f>
        <v/>
      </c>
      <c r="AJ750">
        <f>IF([2]Entry!$S$753="","",[2]Entry!$S$753)</f>
        <v/>
      </c>
      <c r="AK750">
        <f>IF([2]Entry!$C$753="","",[2]Entry!$C$753)</f>
        <v/>
      </c>
      <c r="AL750">
        <f>IF([2]Entry!$D$753="","",[2]Entry!$D$753)</f>
        <v/>
      </c>
      <c r="AX750">
        <f>IF([4]Entry!$E$753="","",[4]Entry!$E$753)</f>
        <v/>
      </c>
      <c r="AY750">
        <f>IF([4]Entry!$H$753="","",[4]Entry!$H$753)</f>
        <v/>
      </c>
      <c r="AZ750">
        <f>IF([4]Entry!$I$753="","",[4]Entry!$I$753)</f>
        <v/>
      </c>
    </row>
    <row r="751">
      <c r="Z751">
        <f>IF([2]Entry!$E$754="","",[2]Entry!$E$754)</f>
        <v/>
      </c>
      <c r="AA751">
        <f>IF([2]Entry!$G$754="","",[2]Entry!$G$754)</f>
        <v/>
      </c>
      <c r="AB751">
        <f>IF([2]Entry!$J$754="","",[2]Entry!$J$754)</f>
        <v/>
      </c>
      <c r="AC751">
        <f>IF([2]Entry!$K$754="","",[2]Entry!$K$754)</f>
        <v/>
      </c>
      <c r="AD751">
        <f>IF([2]Entry!$L$754="","",[2]Entry!$L$754)</f>
        <v/>
      </c>
      <c r="AE751">
        <f>IF([2]Entry!$M$754="","",[2]Entry!$M$754)</f>
        <v/>
      </c>
      <c r="AF751">
        <f>IF([2]Entry!$N$754="","",[2]Entry!$N$754)</f>
        <v/>
      </c>
      <c r="AJ751">
        <f>IF([2]Entry!$S$754="","",[2]Entry!$S$754)</f>
        <v/>
      </c>
      <c r="AK751">
        <f>IF([2]Entry!$C$754="","",[2]Entry!$C$754)</f>
        <v/>
      </c>
      <c r="AL751">
        <f>IF([2]Entry!$D$754="","",[2]Entry!$D$754)</f>
        <v/>
      </c>
      <c r="AX751">
        <f>IF([4]Entry!$E$754="","",[4]Entry!$E$754)</f>
        <v/>
      </c>
      <c r="AY751">
        <f>IF([4]Entry!$H$754="","",[4]Entry!$H$754)</f>
        <v/>
      </c>
      <c r="AZ751">
        <f>IF([4]Entry!$I$754="","",[4]Entry!$I$754)</f>
        <v/>
      </c>
    </row>
    <row r="752">
      <c r="Z752">
        <f>IF([2]Entry!$E$755="","",[2]Entry!$E$755)</f>
        <v/>
      </c>
      <c r="AA752">
        <f>IF([2]Entry!$G$755="","",[2]Entry!$G$755)</f>
        <v/>
      </c>
      <c r="AB752">
        <f>IF([2]Entry!$J$755="","",[2]Entry!$J$755)</f>
        <v/>
      </c>
      <c r="AC752">
        <f>IF([2]Entry!$K$755="","",[2]Entry!$K$755)</f>
        <v/>
      </c>
      <c r="AD752">
        <f>IF([2]Entry!$L$755="","",[2]Entry!$L$755)</f>
        <v/>
      </c>
      <c r="AE752">
        <f>IF([2]Entry!$M$755="","",[2]Entry!$M$755)</f>
        <v/>
      </c>
      <c r="AF752">
        <f>IF([2]Entry!$N$755="","",[2]Entry!$N$755)</f>
        <v/>
      </c>
      <c r="AJ752">
        <f>IF([2]Entry!$S$755="","",[2]Entry!$S$755)</f>
        <v/>
      </c>
      <c r="AK752">
        <f>IF([2]Entry!$C$755="","",[2]Entry!$C$755)</f>
        <v/>
      </c>
      <c r="AL752">
        <f>IF([2]Entry!$D$755="","",[2]Entry!$D$755)</f>
        <v/>
      </c>
      <c r="AX752">
        <f>IF([4]Entry!$E$755="","",[4]Entry!$E$755)</f>
        <v/>
      </c>
      <c r="AY752">
        <f>IF([4]Entry!$H$755="","",[4]Entry!$H$755)</f>
        <v/>
      </c>
      <c r="AZ752">
        <f>IF([4]Entry!$I$755="","",[4]Entry!$I$755)</f>
        <v/>
      </c>
    </row>
    <row r="753">
      <c r="Z753">
        <f>IF([2]Entry!$E$756="","",[2]Entry!$E$756)</f>
        <v/>
      </c>
      <c r="AA753">
        <f>IF([2]Entry!$G$756="","",[2]Entry!$G$756)</f>
        <v/>
      </c>
      <c r="AB753">
        <f>IF([2]Entry!$J$756="","",[2]Entry!$J$756)</f>
        <v/>
      </c>
      <c r="AC753">
        <f>IF([2]Entry!$K$756="","",[2]Entry!$K$756)</f>
        <v/>
      </c>
      <c r="AD753">
        <f>IF([2]Entry!$L$756="","",[2]Entry!$L$756)</f>
        <v/>
      </c>
      <c r="AE753">
        <f>IF([2]Entry!$M$756="","",[2]Entry!$M$756)</f>
        <v/>
      </c>
      <c r="AF753">
        <f>IF([2]Entry!$N$756="","",[2]Entry!$N$756)</f>
        <v/>
      </c>
      <c r="AJ753">
        <f>IF([2]Entry!$S$756="","",[2]Entry!$S$756)</f>
        <v/>
      </c>
      <c r="AK753">
        <f>IF([2]Entry!$C$756="","",[2]Entry!$C$756)</f>
        <v/>
      </c>
      <c r="AL753">
        <f>IF([2]Entry!$D$756="","",[2]Entry!$D$756)</f>
        <v/>
      </c>
      <c r="AX753">
        <f>IF([4]Entry!$E$756="","",[4]Entry!$E$756)</f>
        <v/>
      </c>
      <c r="AY753">
        <f>IF([4]Entry!$H$756="","",[4]Entry!$H$756)</f>
        <v/>
      </c>
      <c r="AZ753">
        <f>IF([4]Entry!$I$756="","",[4]Entry!$I$756)</f>
        <v/>
      </c>
    </row>
    <row r="754">
      <c r="Z754">
        <f>IF([2]Entry!$E$757="","",[2]Entry!$E$757)</f>
        <v/>
      </c>
      <c r="AA754">
        <f>IF([2]Entry!$G$757="","",[2]Entry!$G$757)</f>
        <v/>
      </c>
      <c r="AB754">
        <f>IF([2]Entry!$J$757="","",[2]Entry!$J$757)</f>
        <v/>
      </c>
      <c r="AC754">
        <f>IF([2]Entry!$K$757="","",[2]Entry!$K$757)</f>
        <v/>
      </c>
      <c r="AD754">
        <f>IF([2]Entry!$L$757="","",[2]Entry!$L$757)</f>
        <v/>
      </c>
      <c r="AE754">
        <f>IF([2]Entry!$M$757="","",[2]Entry!$M$757)</f>
        <v/>
      </c>
      <c r="AF754">
        <f>IF([2]Entry!$N$757="","",[2]Entry!$N$757)</f>
        <v/>
      </c>
      <c r="AJ754">
        <f>IF([2]Entry!$S$757="","",[2]Entry!$S$757)</f>
        <v/>
      </c>
      <c r="AK754">
        <f>IF([2]Entry!$C$757="","",[2]Entry!$C$757)</f>
        <v/>
      </c>
      <c r="AL754">
        <f>IF([2]Entry!$D$757="","",[2]Entry!$D$757)</f>
        <v/>
      </c>
      <c r="AX754">
        <f>IF([4]Entry!$E$757="","",[4]Entry!$E$757)</f>
        <v/>
      </c>
      <c r="AY754">
        <f>IF([4]Entry!$H$757="","",[4]Entry!$H$757)</f>
        <v/>
      </c>
      <c r="AZ754">
        <f>IF([4]Entry!$I$757="","",[4]Entry!$I$757)</f>
        <v/>
      </c>
    </row>
    <row r="755">
      <c r="Z755">
        <f>IF([2]Entry!$E$758="","",[2]Entry!$E$758)</f>
        <v/>
      </c>
      <c r="AA755">
        <f>IF([2]Entry!$G$758="","",[2]Entry!$G$758)</f>
        <v/>
      </c>
      <c r="AB755">
        <f>IF([2]Entry!$J$758="","",[2]Entry!$J$758)</f>
        <v/>
      </c>
      <c r="AC755">
        <f>IF([2]Entry!$K$758="","",[2]Entry!$K$758)</f>
        <v/>
      </c>
      <c r="AD755">
        <f>IF([2]Entry!$L$758="","",[2]Entry!$L$758)</f>
        <v/>
      </c>
      <c r="AE755">
        <f>IF([2]Entry!$M$758="","",[2]Entry!$M$758)</f>
        <v/>
      </c>
      <c r="AF755">
        <f>IF([2]Entry!$N$758="","",[2]Entry!$N$758)</f>
        <v/>
      </c>
      <c r="AJ755">
        <f>IF([2]Entry!$S$758="","",[2]Entry!$S$758)</f>
        <v/>
      </c>
      <c r="AK755">
        <f>IF([2]Entry!$C$758="","",[2]Entry!$C$758)</f>
        <v/>
      </c>
      <c r="AL755">
        <f>IF([2]Entry!$D$758="","",[2]Entry!$D$758)</f>
        <v/>
      </c>
      <c r="AX755">
        <f>IF([4]Entry!$E$758="","",[4]Entry!$E$758)</f>
        <v/>
      </c>
      <c r="AY755">
        <f>IF([4]Entry!$H$758="","",[4]Entry!$H$758)</f>
        <v/>
      </c>
      <c r="AZ755">
        <f>IF([4]Entry!$I$758="","",[4]Entry!$I$758)</f>
        <v/>
      </c>
    </row>
    <row r="756">
      <c r="Z756">
        <f>IF([2]Entry!$E$759="","",[2]Entry!$E$759)</f>
        <v/>
      </c>
      <c r="AA756">
        <f>IF([2]Entry!$G$759="","",[2]Entry!$G$759)</f>
        <v/>
      </c>
      <c r="AB756">
        <f>IF([2]Entry!$J$759="","",[2]Entry!$J$759)</f>
        <v/>
      </c>
      <c r="AC756">
        <f>IF([2]Entry!$K$759="","",[2]Entry!$K$759)</f>
        <v/>
      </c>
      <c r="AD756">
        <f>IF([2]Entry!$L$759="","",[2]Entry!$L$759)</f>
        <v/>
      </c>
      <c r="AE756">
        <f>IF([2]Entry!$M$759="","",[2]Entry!$M$759)</f>
        <v/>
      </c>
      <c r="AF756">
        <f>IF([2]Entry!$N$759="","",[2]Entry!$N$759)</f>
        <v/>
      </c>
      <c r="AJ756">
        <f>IF([2]Entry!$S$759="","",[2]Entry!$S$759)</f>
        <v/>
      </c>
      <c r="AK756">
        <f>IF([2]Entry!$C$759="","",[2]Entry!$C$759)</f>
        <v/>
      </c>
      <c r="AL756">
        <f>IF([2]Entry!$D$759="","",[2]Entry!$D$759)</f>
        <v/>
      </c>
      <c r="AX756">
        <f>IF([4]Entry!$E$759="","",[4]Entry!$E$759)</f>
        <v/>
      </c>
      <c r="AY756">
        <f>IF([4]Entry!$H$759="","",[4]Entry!$H$759)</f>
        <v/>
      </c>
      <c r="AZ756">
        <f>IF([4]Entry!$I$759="","",[4]Entry!$I$759)</f>
        <v/>
      </c>
    </row>
    <row r="757">
      <c r="Z757">
        <f>IF([2]Entry!$E$760="","",[2]Entry!$E$760)</f>
        <v/>
      </c>
      <c r="AA757">
        <f>IF([2]Entry!$G$760="","",[2]Entry!$G$760)</f>
        <v/>
      </c>
      <c r="AB757">
        <f>IF([2]Entry!$J$760="","",[2]Entry!$J$760)</f>
        <v/>
      </c>
      <c r="AC757">
        <f>IF([2]Entry!$K$760="","",[2]Entry!$K$760)</f>
        <v/>
      </c>
      <c r="AD757">
        <f>IF([2]Entry!$L$760="","",[2]Entry!$L$760)</f>
        <v/>
      </c>
      <c r="AE757">
        <f>IF([2]Entry!$M$760="","",[2]Entry!$M$760)</f>
        <v/>
      </c>
      <c r="AF757">
        <f>IF([2]Entry!$N$760="","",[2]Entry!$N$760)</f>
        <v/>
      </c>
      <c r="AJ757">
        <f>IF([2]Entry!$S$760="","",[2]Entry!$S$760)</f>
        <v/>
      </c>
      <c r="AK757">
        <f>IF([2]Entry!$C$760="","",[2]Entry!$C$760)</f>
        <v/>
      </c>
      <c r="AL757">
        <f>IF([2]Entry!$D$760="","",[2]Entry!$D$760)</f>
        <v/>
      </c>
      <c r="AX757">
        <f>IF([4]Entry!$E$760="","",[4]Entry!$E$760)</f>
        <v/>
      </c>
      <c r="AY757">
        <f>IF([4]Entry!$H$760="","",[4]Entry!$H$760)</f>
        <v/>
      </c>
      <c r="AZ757">
        <f>IF([4]Entry!$I$760="","",[4]Entry!$I$760)</f>
        <v/>
      </c>
    </row>
    <row r="758">
      <c r="Z758">
        <f>IF([2]Entry!$E$761="","",[2]Entry!$E$761)</f>
        <v/>
      </c>
      <c r="AA758">
        <f>IF([2]Entry!$G$761="","",[2]Entry!$G$761)</f>
        <v/>
      </c>
      <c r="AB758">
        <f>IF([2]Entry!$J$761="","",[2]Entry!$J$761)</f>
        <v/>
      </c>
      <c r="AC758">
        <f>IF([2]Entry!$K$761="","",[2]Entry!$K$761)</f>
        <v/>
      </c>
      <c r="AD758">
        <f>IF([2]Entry!$L$761="","",[2]Entry!$L$761)</f>
        <v/>
      </c>
      <c r="AE758">
        <f>IF([2]Entry!$M$761="","",[2]Entry!$M$761)</f>
        <v/>
      </c>
      <c r="AF758">
        <f>IF([2]Entry!$N$761="","",[2]Entry!$N$761)</f>
        <v/>
      </c>
      <c r="AJ758">
        <f>IF([2]Entry!$S$761="","",[2]Entry!$S$761)</f>
        <v/>
      </c>
      <c r="AK758">
        <f>IF([2]Entry!$C$761="","",[2]Entry!$C$761)</f>
        <v/>
      </c>
      <c r="AL758">
        <f>IF([2]Entry!$D$761="","",[2]Entry!$D$761)</f>
        <v/>
      </c>
      <c r="AX758">
        <f>IF([4]Entry!$E$761="","",[4]Entry!$E$761)</f>
        <v/>
      </c>
      <c r="AY758">
        <f>IF([4]Entry!$H$761="","",[4]Entry!$H$761)</f>
        <v/>
      </c>
      <c r="AZ758">
        <f>IF([4]Entry!$I$761="","",[4]Entry!$I$761)</f>
        <v/>
      </c>
    </row>
    <row r="759">
      <c r="Z759">
        <f>IF([2]Entry!$E$762="","",[2]Entry!$E$762)</f>
        <v/>
      </c>
      <c r="AA759">
        <f>IF([2]Entry!$G$762="","",[2]Entry!$G$762)</f>
        <v/>
      </c>
      <c r="AB759">
        <f>IF([2]Entry!$J$762="","",[2]Entry!$J$762)</f>
        <v/>
      </c>
      <c r="AC759">
        <f>IF([2]Entry!$K$762="","",[2]Entry!$K$762)</f>
        <v/>
      </c>
      <c r="AD759">
        <f>IF([2]Entry!$L$762="","",[2]Entry!$L$762)</f>
        <v/>
      </c>
      <c r="AE759">
        <f>IF([2]Entry!$M$762="","",[2]Entry!$M$762)</f>
        <v/>
      </c>
      <c r="AF759">
        <f>IF([2]Entry!$N$762="","",[2]Entry!$N$762)</f>
        <v/>
      </c>
      <c r="AJ759">
        <f>IF([2]Entry!$S$762="","",[2]Entry!$S$762)</f>
        <v/>
      </c>
      <c r="AK759">
        <f>IF([2]Entry!$C$762="","",[2]Entry!$C$762)</f>
        <v/>
      </c>
      <c r="AL759">
        <f>IF([2]Entry!$D$762="","",[2]Entry!$D$762)</f>
        <v/>
      </c>
      <c r="AX759">
        <f>IF([4]Entry!$E$762="","",[4]Entry!$E$762)</f>
        <v/>
      </c>
      <c r="AY759">
        <f>IF([4]Entry!$H$762="","",[4]Entry!$H$762)</f>
        <v/>
      </c>
      <c r="AZ759">
        <f>IF([4]Entry!$I$762="","",[4]Entry!$I$762)</f>
        <v/>
      </c>
    </row>
    <row r="760">
      <c r="Z760">
        <f>IF([2]Entry!$E$763="","",[2]Entry!$E$763)</f>
        <v/>
      </c>
      <c r="AA760">
        <f>IF([2]Entry!$G$763="","",[2]Entry!$G$763)</f>
        <v/>
      </c>
      <c r="AB760">
        <f>IF([2]Entry!$J$763="","",[2]Entry!$J$763)</f>
        <v/>
      </c>
      <c r="AC760">
        <f>IF([2]Entry!$K$763="","",[2]Entry!$K$763)</f>
        <v/>
      </c>
      <c r="AD760">
        <f>IF([2]Entry!$L$763="","",[2]Entry!$L$763)</f>
        <v/>
      </c>
      <c r="AE760">
        <f>IF([2]Entry!$M$763="","",[2]Entry!$M$763)</f>
        <v/>
      </c>
      <c r="AF760">
        <f>IF([2]Entry!$N$763="","",[2]Entry!$N$763)</f>
        <v/>
      </c>
      <c r="AJ760">
        <f>IF([2]Entry!$S$763="","",[2]Entry!$S$763)</f>
        <v/>
      </c>
      <c r="AK760">
        <f>IF([2]Entry!$C$763="","",[2]Entry!$C$763)</f>
        <v/>
      </c>
      <c r="AL760">
        <f>IF([2]Entry!$D$763="","",[2]Entry!$D$763)</f>
        <v/>
      </c>
      <c r="AX760">
        <f>IF([4]Entry!$E$763="","",[4]Entry!$E$763)</f>
        <v/>
      </c>
      <c r="AY760">
        <f>IF([4]Entry!$H$763="","",[4]Entry!$H$763)</f>
        <v/>
      </c>
      <c r="AZ760">
        <f>IF([4]Entry!$I$763="","",[4]Entry!$I$763)</f>
        <v/>
      </c>
    </row>
    <row r="761">
      <c r="Z761">
        <f>IF([2]Entry!$E$764="","",[2]Entry!$E$764)</f>
        <v/>
      </c>
      <c r="AA761">
        <f>IF([2]Entry!$G$764="","",[2]Entry!$G$764)</f>
        <v/>
      </c>
      <c r="AB761">
        <f>IF([2]Entry!$J$764="","",[2]Entry!$J$764)</f>
        <v/>
      </c>
      <c r="AC761">
        <f>IF([2]Entry!$K$764="","",[2]Entry!$K$764)</f>
        <v/>
      </c>
      <c r="AD761">
        <f>IF([2]Entry!$L$764="","",[2]Entry!$L$764)</f>
        <v/>
      </c>
      <c r="AE761">
        <f>IF([2]Entry!$M$764="","",[2]Entry!$M$764)</f>
        <v/>
      </c>
      <c r="AF761">
        <f>IF([2]Entry!$N$764="","",[2]Entry!$N$764)</f>
        <v/>
      </c>
      <c r="AJ761">
        <f>IF([2]Entry!$S$764="","",[2]Entry!$S$764)</f>
        <v/>
      </c>
      <c r="AK761">
        <f>IF([2]Entry!$C$764="","",[2]Entry!$C$764)</f>
        <v/>
      </c>
      <c r="AL761">
        <f>IF([2]Entry!$D$764="","",[2]Entry!$D$764)</f>
        <v/>
      </c>
      <c r="AX761">
        <f>IF([4]Entry!$E$764="","",[4]Entry!$E$764)</f>
        <v/>
      </c>
      <c r="AY761">
        <f>IF([4]Entry!$H$764="","",[4]Entry!$H$764)</f>
        <v/>
      </c>
      <c r="AZ761">
        <f>IF([4]Entry!$I$764="","",[4]Entry!$I$764)</f>
        <v/>
      </c>
    </row>
    <row r="762">
      <c r="Z762">
        <f>IF([2]Entry!$E$765="","",[2]Entry!$E$765)</f>
        <v/>
      </c>
      <c r="AA762">
        <f>IF([2]Entry!$G$765="","",[2]Entry!$G$765)</f>
        <v/>
      </c>
      <c r="AB762">
        <f>IF([2]Entry!$J$765="","",[2]Entry!$J$765)</f>
        <v/>
      </c>
      <c r="AC762">
        <f>IF([2]Entry!$K$765="","",[2]Entry!$K$765)</f>
        <v/>
      </c>
      <c r="AD762">
        <f>IF([2]Entry!$L$765="","",[2]Entry!$L$765)</f>
        <v/>
      </c>
      <c r="AE762">
        <f>IF([2]Entry!$M$765="","",[2]Entry!$M$765)</f>
        <v/>
      </c>
      <c r="AF762">
        <f>IF([2]Entry!$N$765="","",[2]Entry!$N$765)</f>
        <v/>
      </c>
      <c r="AJ762">
        <f>IF([2]Entry!$S$765="","",[2]Entry!$S$765)</f>
        <v/>
      </c>
      <c r="AK762">
        <f>IF([2]Entry!$C$765="","",[2]Entry!$C$765)</f>
        <v/>
      </c>
      <c r="AL762">
        <f>IF([2]Entry!$D$765="","",[2]Entry!$D$765)</f>
        <v/>
      </c>
      <c r="AX762">
        <f>IF([4]Entry!$E$765="","",[4]Entry!$E$765)</f>
        <v/>
      </c>
      <c r="AY762">
        <f>IF([4]Entry!$H$765="","",[4]Entry!$H$765)</f>
        <v/>
      </c>
      <c r="AZ762">
        <f>IF([4]Entry!$I$765="","",[4]Entry!$I$765)</f>
        <v/>
      </c>
    </row>
    <row r="763">
      <c r="Z763">
        <f>IF([2]Entry!$E$766="","",[2]Entry!$E$766)</f>
        <v/>
      </c>
      <c r="AA763">
        <f>IF([2]Entry!$G$766="","",[2]Entry!$G$766)</f>
        <v/>
      </c>
      <c r="AB763">
        <f>IF([2]Entry!$J$766="","",[2]Entry!$J$766)</f>
        <v/>
      </c>
      <c r="AC763">
        <f>IF([2]Entry!$K$766="","",[2]Entry!$K$766)</f>
        <v/>
      </c>
      <c r="AD763">
        <f>IF([2]Entry!$L$766="","",[2]Entry!$L$766)</f>
        <v/>
      </c>
      <c r="AE763">
        <f>IF([2]Entry!$M$766="","",[2]Entry!$M$766)</f>
        <v/>
      </c>
      <c r="AF763">
        <f>IF([2]Entry!$N$766="","",[2]Entry!$N$766)</f>
        <v/>
      </c>
      <c r="AJ763">
        <f>IF([2]Entry!$S$766="","",[2]Entry!$S$766)</f>
        <v/>
      </c>
      <c r="AK763">
        <f>IF([2]Entry!$C$766="","",[2]Entry!$C$766)</f>
        <v/>
      </c>
      <c r="AL763">
        <f>IF([2]Entry!$D$766="","",[2]Entry!$D$766)</f>
        <v/>
      </c>
      <c r="AX763">
        <f>IF([4]Entry!$E$766="","",[4]Entry!$E$766)</f>
        <v/>
      </c>
      <c r="AY763">
        <f>IF([4]Entry!$H$766="","",[4]Entry!$H$766)</f>
        <v/>
      </c>
      <c r="AZ763">
        <f>IF([4]Entry!$I$766="","",[4]Entry!$I$766)</f>
        <v/>
      </c>
    </row>
    <row r="764">
      <c r="Z764">
        <f>IF([2]Entry!$E$767="","",[2]Entry!$E$767)</f>
        <v/>
      </c>
      <c r="AA764">
        <f>IF([2]Entry!$G$767="","",[2]Entry!$G$767)</f>
        <v/>
      </c>
      <c r="AB764">
        <f>IF([2]Entry!$J$767="","",[2]Entry!$J$767)</f>
        <v/>
      </c>
      <c r="AC764">
        <f>IF([2]Entry!$K$767="","",[2]Entry!$K$767)</f>
        <v/>
      </c>
      <c r="AD764">
        <f>IF([2]Entry!$L$767="","",[2]Entry!$L$767)</f>
        <v/>
      </c>
      <c r="AE764">
        <f>IF([2]Entry!$M$767="","",[2]Entry!$M$767)</f>
        <v/>
      </c>
      <c r="AF764">
        <f>IF([2]Entry!$N$767="","",[2]Entry!$N$767)</f>
        <v/>
      </c>
      <c r="AJ764">
        <f>IF([2]Entry!$S$767="","",[2]Entry!$S$767)</f>
        <v/>
      </c>
      <c r="AK764">
        <f>IF([2]Entry!$C$767="","",[2]Entry!$C$767)</f>
        <v/>
      </c>
      <c r="AL764">
        <f>IF([2]Entry!$D$767="","",[2]Entry!$D$767)</f>
        <v/>
      </c>
      <c r="AX764">
        <f>IF([4]Entry!$E$767="","",[4]Entry!$E$767)</f>
        <v/>
      </c>
      <c r="AY764">
        <f>IF([4]Entry!$H$767="","",[4]Entry!$H$767)</f>
        <v/>
      </c>
      <c r="AZ764">
        <f>IF([4]Entry!$I$767="","",[4]Entry!$I$767)</f>
        <v/>
      </c>
    </row>
    <row r="765">
      <c r="Z765">
        <f>IF([2]Entry!$E$768="","",[2]Entry!$E$768)</f>
        <v/>
      </c>
      <c r="AA765">
        <f>IF([2]Entry!$G$768="","",[2]Entry!$G$768)</f>
        <v/>
      </c>
      <c r="AB765">
        <f>IF([2]Entry!$J$768="","",[2]Entry!$J$768)</f>
        <v/>
      </c>
      <c r="AC765">
        <f>IF([2]Entry!$K$768="","",[2]Entry!$K$768)</f>
        <v/>
      </c>
      <c r="AD765">
        <f>IF([2]Entry!$L$768="","",[2]Entry!$L$768)</f>
        <v/>
      </c>
      <c r="AE765">
        <f>IF([2]Entry!$M$768="","",[2]Entry!$M$768)</f>
        <v/>
      </c>
      <c r="AF765">
        <f>IF([2]Entry!$N$768="","",[2]Entry!$N$768)</f>
        <v/>
      </c>
      <c r="AJ765">
        <f>IF([2]Entry!$S$768="","",[2]Entry!$S$768)</f>
        <v/>
      </c>
      <c r="AK765">
        <f>IF([2]Entry!$C$768="","",[2]Entry!$C$768)</f>
        <v/>
      </c>
      <c r="AL765">
        <f>IF([2]Entry!$D$768="","",[2]Entry!$D$768)</f>
        <v/>
      </c>
      <c r="AX765">
        <f>IF([4]Entry!$E$768="","",[4]Entry!$E$768)</f>
        <v/>
      </c>
      <c r="AY765">
        <f>IF([4]Entry!$H$768="","",[4]Entry!$H$768)</f>
        <v/>
      </c>
      <c r="AZ765">
        <f>IF([4]Entry!$I$768="","",[4]Entry!$I$768)</f>
        <v/>
      </c>
    </row>
    <row r="766">
      <c r="Z766">
        <f>IF([2]Entry!$E$769="","",[2]Entry!$E$769)</f>
        <v/>
      </c>
      <c r="AA766">
        <f>IF([2]Entry!$G$769="","",[2]Entry!$G$769)</f>
        <v/>
      </c>
      <c r="AB766">
        <f>IF([2]Entry!$J$769="","",[2]Entry!$J$769)</f>
        <v/>
      </c>
      <c r="AC766">
        <f>IF([2]Entry!$K$769="","",[2]Entry!$K$769)</f>
        <v/>
      </c>
      <c r="AD766">
        <f>IF([2]Entry!$L$769="","",[2]Entry!$L$769)</f>
        <v/>
      </c>
      <c r="AE766">
        <f>IF([2]Entry!$M$769="","",[2]Entry!$M$769)</f>
        <v/>
      </c>
      <c r="AF766">
        <f>IF([2]Entry!$N$769="","",[2]Entry!$N$769)</f>
        <v/>
      </c>
      <c r="AJ766">
        <f>IF([2]Entry!$S$769="","",[2]Entry!$S$769)</f>
        <v/>
      </c>
      <c r="AK766">
        <f>IF([2]Entry!$C$769="","",[2]Entry!$C$769)</f>
        <v/>
      </c>
      <c r="AL766">
        <f>IF([2]Entry!$D$769="","",[2]Entry!$D$769)</f>
        <v/>
      </c>
      <c r="AX766">
        <f>IF([4]Entry!$E$769="","",[4]Entry!$E$769)</f>
        <v/>
      </c>
      <c r="AY766">
        <f>IF([4]Entry!$H$769="","",[4]Entry!$H$769)</f>
        <v/>
      </c>
      <c r="AZ766">
        <f>IF([4]Entry!$I$769="","",[4]Entry!$I$769)</f>
        <v/>
      </c>
    </row>
    <row r="767">
      <c r="Z767">
        <f>IF([2]Entry!$E$770="","",[2]Entry!$E$770)</f>
        <v/>
      </c>
      <c r="AA767">
        <f>IF([2]Entry!$G$770="","",[2]Entry!$G$770)</f>
        <v/>
      </c>
      <c r="AB767">
        <f>IF([2]Entry!$J$770="","",[2]Entry!$J$770)</f>
        <v/>
      </c>
      <c r="AC767">
        <f>IF([2]Entry!$K$770="","",[2]Entry!$K$770)</f>
        <v/>
      </c>
      <c r="AD767">
        <f>IF([2]Entry!$L$770="","",[2]Entry!$L$770)</f>
        <v/>
      </c>
      <c r="AE767">
        <f>IF([2]Entry!$M$770="","",[2]Entry!$M$770)</f>
        <v/>
      </c>
      <c r="AF767">
        <f>IF([2]Entry!$N$770="","",[2]Entry!$N$770)</f>
        <v/>
      </c>
      <c r="AJ767">
        <f>IF([2]Entry!$S$770="","",[2]Entry!$S$770)</f>
        <v/>
      </c>
      <c r="AK767">
        <f>IF([2]Entry!$C$770="","",[2]Entry!$C$770)</f>
        <v/>
      </c>
      <c r="AL767">
        <f>IF([2]Entry!$D$770="","",[2]Entry!$D$770)</f>
        <v/>
      </c>
      <c r="AX767">
        <f>IF([4]Entry!$E$770="","",[4]Entry!$E$770)</f>
        <v/>
      </c>
      <c r="AY767">
        <f>IF([4]Entry!$H$770="","",[4]Entry!$H$770)</f>
        <v/>
      </c>
      <c r="AZ767">
        <f>IF([4]Entry!$I$770="","",[4]Entry!$I$770)</f>
        <v/>
      </c>
    </row>
    <row r="768">
      <c r="Z768">
        <f>IF([2]Entry!$E$771="","",[2]Entry!$E$771)</f>
        <v/>
      </c>
      <c r="AA768">
        <f>IF([2]Entry!$G$771="","",[2]Entry!$G$771)</f>
        <v/>
      </c>
      <c r="AB768">
        <f>IF([2]Entry!$J$771="","",[2]Entry!$J$771)</f>
        <v/>
      </c>
      <c r="AC768">
        <f>IF([2]Entry!$K$771="","",[2]Entry!$K$771)</f>
        <v/>
      </c>
      <c r="AD768">
        <f>IF([2]Entry!$L$771="","",[2]Entry!$L$771)</f>
        <v/>
      </c>
      <c r="AE768">
        <f>IF([2]Entry!$M$771="","",[2]Entry!$M$771)</f>
        <v/>
      </c>
      <c r="AF768">
        <f>IF([2]Entry!$N$771="","",[2]Entry!$N$771)</f>
        <v/>
      </c>
      <c r="AJ768">
        <f>IF([2]Entry!$S$771="","",[2]Entry!$S$771)</f>
        <v/>
      </c>
      <c r="AK768">
        <f>IF([2]Entry!$C$771="","",[2]Entry!$C$771)</f>
        <v/>
      </c>
      <c r="AL768">
        <f>IF([2]Entry!$D$771="","",[2]Entry!$D$771)</f>
        <v/>
      </c>
      <c r="AX768">
        <f>IF([4]Entry!$E$771="","",[4]Entry!$E$771)</f>
        <v/>
      </c>
      <c r="AY768">
        <f>IF([4]Entry!$H$771="","",[4]Entry!$H$771)</f>
        <v/>
      </c>
      <c r="AZ768">
        <f>IF([4]Entry!$I$771="","",[4]Entry!$I$771)</f>
        <v/>
      </c>
    </row>
    <row r="769">
      <c r="Z769">
        <f>IF([2]Entry!$E$772="","",[2]Entry!$E$772)</f>
        <v/>
      </c>
      <c r="AA769">
        <f>IF([2]Entry!$G$772="","",[2]Entry!$G$772)</f>
        <v/>
      </c>
      <c r="AB769">
        <f>IF([2]Entry!$J$772="","",[2]Entry!$J$772)</f>
        <v/>
      </c>
      <c r="AC769">
        <f>IF([2]Entry!$K$772="","",[2]Entry!$K$772)</f>
        <v/>
      </c>
      <c r="AD769">
        <f>IF([2]Entry!$L$772="","",[2]Entry!$L$772)</f>
        <v/>
      </c>
      <c r="AE769">
        <f>IF([2]Entry!$M$772="","",[2]Entry!$M$772)</f>
        <v/>
      </c>
      <c r="AF769">
        <f>IF([2]Entry!$N$772="","",[2]Entry!$N$772)</f>
        <v/>
      </c>
      <c r="AJ769">
        <f>IF([2]Entry!$S$772="","",[2]Entry!$S$772)</f>
        <v/>
      </c>
      <c r="AK769">
        <f>IF([2]Entry!$C$772="","",[2]Entry!$C$772)</f>
        <v/>
      </c>
      <c r="AL769">
        <f>IF([2]Entry!$D$772="","",[2]Entry!$D$772)</f>
        <v/>
      </c>
      <c r="AX769">
        <f>IF([4]Entry!$E$772="","",[4]Entry!$E$772)</f>
        <v/>
      </c>
      <c r="AY769">
        <f>IF([4]Entry!$H$772="","",[4]Entry!$H$772)</f>
        <v/>
      </c>
      <c r="AZ769">
        <f>IF([4]Entry!$I$772="","",[4]Entry!$I$772)</f>
        <v/>
      </c>
    </row>
    <row r="770">
      <c r="Z770">
        <f>IF([2]Entry!$E$773="","",[2]Entry!$E$773)</f>
        <v/>
      </c>
      <c r="AA770">
        <f>IF([2]Entry!$G$773="","",[2]Entry!$G$773)</f>
        <v/>
      </c>
      <c r="AB770">
        <f>IF([2]Entry!$J$773="","",[2]Entry!$J$773)</f>
        <v/>
      </c>
      <c r="AC770">
        <f>IF([2]Entry!$K$773="","",[2]Entry!$K$773)</f>
        <v/>
      </c>
      <c r="AD770">
        <f>IF([2]Entry!$L$773="","",[2]Entry!$L$773)</f>
        <v/>
      </c>
      <c r="AE770">
        <f>IF([2]Entry!$M$773="","",[2]Entry!$M$773)</f>
        <v/>
      </c>
      <c r="AF770">
        <f>IF([2]Entry!$N$773="","",[2]Entry!$N$773)</f>
        <v/>
      </c>
      <c r="AJ770">
        <f>IF([2]Entry!$S$773="","",[2]Entry!$S$773)</f>
        <v/>
      </c>
      <c r="AK770">
        <f>IF([2]Entry!$C$773="","",[2]Entry!$C$773)</f>
        <v/>
      </c>
      <c r="AL770">
        <f>IF([2]Entry!$D$773="","",[2]Entry!$D$773)</f>
        <v/>
      </c>
      <c r="AX770">
        <f>IF([4]Entry!$E$773="","",[4]Entry!$E$773)</f>
        <v/>
      </c>
      <c r="AY770">
        <f>IF([4]Entry!$H$773="","",[4]Entry!$H$773)</f>
        <v/>
      </c>
      <c r="AZ770">
        <f>IF([4]Entry!$I$773="","",[4]Entry!$I$773)</f>
        <v/>
      </c>
    </row>
    <row r="771">
      <c r="Z771">
        <f>IF([2]Entry!$E$774="","",[2]Entry!$E$774)</f>
        <v/>
      </c>
      <c r="AA771">
        <f>IF([2]Entry!$G$774="","",[2]Entry!$G$774)</f>
        <v/>
      </c>
      <c r="AB771">
        <f>IF([2]Entry!$J$774="","",[2]Entry!$J$774)</f>
        <v/>
      </c>
      <c r="AC771">
        <f>IF([2]Entry!$K$774="","",[2]Entry!$K$774)</f>
        <v/>
      </c>
      <c r="AD771">
        <f>IF([2]Entry!$L$774="","",[2]Entry!$L$774)</f>
        <v/>
      </c>
      <c r="AE771">
        <f>IF([2]Entry!$M$774="","",[2]Entry!$M$774)</f>
        <v/>
      </c>
      <c r="AF771">
        <f>IF([2]Entry!$N$774="","",[2]Entry!$N$774)</f>
        <v/>
      </c>
      <c r="AJ771">
        <f>IF([2]Entry!$S$774="","",[2]Entry!$S$774)</f>
        <v/>
      </c>
      <c r="AK771">
        <f>IF([2]Entry!$C$774="","",[2]Entry!$C$774)</f>
        <v/>
      </c>
      <c r="AL771">
        <f>IF([2]Entry!$D$774="","",[2]Entry!$D$774)</f>
        <v/>
      </c>
      <c r="AX771">
        <f>IF([4]Entry!$E$774="","",[4]Entry!$E$774)</f>
        <v/>
      </c>
      <c r="AY771">
        <f>IF([4]Entry!$H$774="","",[4]Entry!$H$774)</f>
        <v/>
      </c>
      <c r="AZ771">
        <f>IF([4]Entry!$I$774="","",[4]Entry!$I$774)</f>
        <v/>
      </c>
    </row>
    <row r="772">
      <c r="Z772">
        <f>IF([2]Entry!$E$775="","",[2]Entry!$E$775)</f>
        <v/>
      </c>
      <c r="AA772">
        <f>IF([2]Entry!$G$775="","",[2]Entry!$G$775)</f>
        <v/>
      </c>
      <c r="AB772">
        <f>IF([2]Entry!$J$775="","",[2]Entry!$J$775)</f>
        <v/>
      </c>
      <c r="AC772">
        <f>IF([2]Entry!$K$775="","",[2]Entry!$K$775)</f>
        <v/>
      </c>
      <c r="AD772">
        <f>IF([2]Entry!$L$775="","",[2]Entry!$L$775)</f>
        <v/>
      </c>
      <c r="AE772">
        <f>IF([2]Entry!$M$775="","",[2]Entry!$M$775)</f>
        <v/>
      </c>
      <c r="AF772">
        <f>IF([2]Entry!$N$775="","",[2]Entry!$N$775)</f>
        <v/>
      </c>
      <c r="AJ772">
        <f>IF([2]Entry!$S$775="","",[2]Entry!$S$775)</f>
        <v/>
      </c>
      <c r="AK772">
        <f>IF([2]Entry!$C$775="","",[2]Entry!$C$775)</f>
        <v/>
      </c>
      <c r="AL772">
        <f>IF([2]Entry!$D$775="","",[2]Entry!$D$775)</f>
        <v/>
      </c>
      <c r="AX772">
        <f>IF([4]Entry!$E$775="","",[4]Entry!$E$775)</f>
        <v/>
      </c>
      <c r="AY772">
        <f>IF([4]Entry!$H$775="","",[4]Entry!$H$775)</f>
        <v/>
      </c>
      <c r="AZ772">
        <f>IF([4]Entry!$I$775="","",[4]Entry!$I$775)</f>
        <v/>
      </c>
    </row>
    <row r="773">
      <c r="Z773">
        <f>IF([2]Entry!$E$776="","",[2]Entry!$E$776)</f>
        <v/>
      </c>
      <c r="AA773">
        <f>IF([2]Entry!$G$776="","",[2]Entry!$G$776)</f>
        <v/>
      </c>
      <c r="AB773">
        <f>IF([2]Entry!$J$776="","",[2]Entry!$J$776)</f>
        <v/>
      </c>
      <c r="AC773">
        <f>IF([2]Entry!$K$776="","",[2]Entry!$K$776)</f>
        <v/>
      </c>
      <c r="AD773">
        <f>IF([2]Entry!$L$776="","",[2]Entry!$L$776)</f>
        <v/>
      </c>
      <c r="AE773">
        <f>IF([2]Entry!$M$776="","",[2]Entry!$M$776)</f>
        <v/>
      </c>
      <c r="AF773">
        <f>IF([2]Entry!$N$776="","",[2]Entry!$N$776)</f>
        <v/>
      </c>
      <c r="AJ773">
        <f>IF([2]Entry!$S$776="","",[2]Entry!$S$776)</f>
        <v/>
      </c>
      <c r="AK773">
        <f>IF([2]Entry!$C$776="","",[2]Entry!$C$776)</f>
        <v/>
      </c>
      <c r="AL773">
        <f>IF([2]Entry!$D$776="","",[2]Entry!$D$776)</f>
        <v/>
      </c>
      <c r="AX773">
        <f>IF([4]Entry!$E$776="","",[4]Entry!$E$776)</f>
        <v/>
      </c>
      <c r="AY773">
        <f>IF([4]Entry!$H$776="","",[4]Entry!$H$776)</f>
        <v/>
      </c>
      <c r="AZ773">
        <f>IF([4]Entry!$I$776="","",[4]Entry!$I$776)</f>
        <v/>
      </c>
    </row>
    <row r="774">
      <c r="Z774">
        <f>IF([2]Entry!$E$777="","",[2]Entry!$E$777)</f>
        <v/>
      </c>
      <c r="AA774">
        <f>IF([2]Entry!$G$777="","",[2]Entry!$G$777)</f>
        <v/>
      </c>
      <c r="AB774">
        <f>IF([2]Entry!$J$777="","",[2]Entry!$J$777)</f>
        <v/>
      </c>
      <c r="AC774">
        <f>IF([2]Entry!$K$777="","",[2]Entry!$K$777)</f>
        <v/>
      </c>
      <c r="AD774">
        <f>IF([2]Entry!$L$777="","",[2]Entry!$L$777)</f>
        <v/>
      </c>
      <c r="AE774">
        <f>IF([2]Entry!$M$777="","",[2]Entry!$M$777)</f>
        <v/>
      </c>
      <c r="AF774">
        <f>IF([2]Entry!$N$777="","",[2]Entry!$N$777)</f>
        <v/>
      </c>
      <c r="AJ774">
        <f>IF([2]Entry!$S$777="","",[2]Entry!$S$777)</f>
        <v/>
      </c>
      <c r="AK774">
        <f>IF([2]Entry!$C$777="","",[2]Entry!$C$777)</f>
        <v/>
      </c>
      <c r="AL774">
        <f>IF([2]Entry!$D$777="","",[2]Entry!$D$777)</f>
        <v/>
      </c>
      <c r="AX774">
        <f>IF([4]Entry!$E$777="","",[4]Entry!$E$777)</f>
        <v/>
      </c>
      <c r="AY774">
        <f>IF([4]Entry!$H$777="","",[4]Entry!$H$777)</f>
        <v/>
      </c>
      <c r="AZ774">
        <f>IF([4]Entry!$I$777="","",[4]Entry!$I$777)</f>
        <v/>
      </c>
    </row>
    <row r="775">
      <c r="Z775">
        <f>IF([2]Entry!$E$778="","",[2]Entry!$E$778)</f>
        <v/>
      </c>
      <c r="AA775">
        <f>IF([2]Entry!$G$778="","",[2]Entry!$G$778)</f>
        <v/>
      </c>
      <c r="AB775">
        <f>IF([2]Entry!$J$778="","",[2]Entry!$J$778)</f>
        <v/>
      </c>
      <c r="AC775">
        <f>IF([2]Entry!$K$778="","",[2]Entry!$K$778)</f>
        <v/>
      </c>
      <c r="AD775">
        <f>IF([2]Entry!$L$778="","",[2]Entry!$L$778)</f>
        <v/>
      </c>
      <c r="AE775">
        <f>IF([2]Entry!$M$778="","",[2]Entry!$M$778)</f>
        <v/>
      </c>
      <c r="AF775">
        <f>IF([2]Entry!$N$778="","",[2]Entry!$N$778)</f>
        <v/>
      </c>
      <c r="AJ775">
        <f>IF([2]Entry!$S$778="","",[2]Entry!$S$778)</f>
        <v/>
      </c>
      <c r="AK775">
        <f>IF([2]Entry!$C$778="","",[2]Entry!$C$778)</f>
        <v/>
      </c>
      <c r="AL775">
        <f>IF([2]Entry!$D$778="","",[2]Entry!$D$778)</f>
        <v/>
      </c>
      <c r="AX775">
        <f>IF([4]Entry!$E$778="","",[4]Entry!$E$778)</f>
        <v/>
      </c>
      <c r="AY775">
        <f>IF([4]Entry!$H$778="","",[4]Entry!$H$778)</f>
        <v/>
      </c>
      <c r="AZ775">
        <f>IF([4]Entry!$I$778="","",[4]Entry!$I$778)</f>
        <v/>
      </c>
    </row>
    <row r="776">
      <c r="Z776">
        <f>IF([2]Entry!$E$779="","",[2]Entry!$E$779)</f>
        <v/>
      </c>
      <c r="AA776">
        <f>IF([2]Entry!$G$779="","",[2]Entry!$G$779)</f>
        <v/>
      </c>
      <c r="AB776">
        <f>IF([2]Entry!$J$779="","",[2]Entry!$J$779)</f>
        <v/>
      </c>
      <c r="AC776">
        <f>IF([2]Entry!$K$779="","",[2]Entry!$K$779)</f>
        <v/>
      </c>
      <c r="AD776">
        <f>IF([2]Entry!$L$779="","",[2]Entry!$L$779)</f>
        <v/>
      </c>
      <c r="AE776">
        <f>IF([2]Entry!$M$779="","",[2]Entry!$M$779)</f>
        <v/>
      </c>
      <c r="AF776">
        <f>IF([2]Entry!$N$779="","",[2]Entry!$N$779)</f>
        <v/>
      </c>
      <c r="AJ776">
        <f>IF([2]Entry!$S$779="","",[2]Entry!$S$779)</f>
        <v/>
      </c>
      <c r="AK776">
        <f>IF([2]Entry!$C$779="","",[2]Entry!$C$779)</f>
        <v/>
      </c>
      <c r="AL776">
        <f>IF([2]Entry!$D$779="","",[2]Entry!$D$779)</f>
        <v/>
      </c>
      <c r="AX776">
        <f>IF([4]Entry!$E$779="","",[4]Entry!$E$779)</f>
        <v/>
      </c>
      <c r="AY776">
        <f>IF([4]Entry!$H$779="","",[4]Entry!$H$779)</f>
        <v/>
      </c>
      <c r="AZ776">
        <f>IF([4]Entry!$I$779="","",[4]Entry!$I$779)</f>
        <v/>
      </c>
    </row>
    <row r="777">
      <c r="Z777">
        <f>IF([2]Entry!$E$780="","",[2]Entry!$E$780)</f>
        <v/>
      </c>
      <c r="AA777">
        <f>IF([2]Entry!$G$780="","",[2]Entry!$G$780)</f>
        <v/>
      </c>
      <c r="AB777">
        <f>IF([2]Entry!$J$780="","",[2]Entry!$J$780)</f>
        <v/>
      </c>
      <c r="AC777">
        <f>IF([2]Entry!$K$780="","",[2]Entry!$K$780)</f>
        <v/>
      </c>
      <c r="AD777">
        <f>IF([2]Entry!$L$780="","",[2]Entry!$L$780)</f>
        <v/>
      </c>
      <c r="AE777">
        <f>IF([2]Entry!$M$780="","",[2]Entry!$M$780)</f>
        <v/>
      </c>
      <c r="AF777">
        <f>IF([2]Entry!$N$780="","",[2]Entry!$N$780)</f>
        <v/>
      </c>
      <c r="AJ777">
        <f>IF([2]Entry!$S$780="","",[2]Entry!$S$780)</f>
        <v/>
      </c>
      <c r="AK777">
        <f>IF([2]Entry!$C$780="","",[2]Entry!$C$780)</f>
        <v/>
      </c>
      <c r="AL777">
        <f>IF([2]Entry!$D$780="","",[2]Entry!$D$780)</f>
        <v/>
      </c>
      <c r="AX777">
        <f>IF([4]Entry!$E$780="","",[4]Entry!$E$780)</f>
        <v/>
      </c>
      <c r="AY777">
        <f>IF([4]Entry!$H$780="","",[4]Entry!$H$780)</f>
        <v/>
      </c>
      <c r="AZ777">
        <f>IF([4]Entry!$I$780="","",[4]Entry!$I$780)</f>
        <v/>
      </c>
    </row>
    <row r="778">
      <c r="Z778">
        <f>IF([2]Entry!$E$781="","",[2]Entry!$E$781)</f>
        <v/>
      </c>
      <c r="AA778">
        <f>IF([2]Entry!$G$781="","",[2]Entry!$G$781)</f>
        <v/>
      </c>
      <c r="AB778">
        <f>IF([2]Entry!$J$781="","",[2]Entry!$J$781)</f>
        <v/>
      </c>
      <c r="AC778">
        <f>IF([2]Entry!$K$781="","",[2]Entry!$K$781)</f>
        <v/>
      </c>
      <c r="AD778">
        <f>IF([2]Entry!$L$781="","",[2]Entry!$L$781)</f>
        <v/>
      </c>
      <c r="AE778">
        <f>IF([2]Entry!$M$781="","",[2]Entry!$M$781)</f>
        <v/>
      </c>
      <c r="AF778">
        <f>IF([2]Entry!$N$781="","",[2]Entry!$N$781)</f>
        <v/>
      </c>
      <c r="AJ778">
        <f>IF([2]Entry!$S$781="","",[2]Entry!$S$781)</f>
        <v/>
      </c>
      <c r="AK778">
        <f>IF([2]Entry!$C$781="","",[2]Entry!$C$781)</f>
        <v/>
      </c>
      <c r="AL778">
        <f>IF([2]Entry!$D$781="","",[2]Entry!$D$781)</f>
        <v/>
      </c>
      <c r="AX778">
        <f>IF([4]Entry!$E$781="","",[4]Entry!$E$781)</f>
        <v/>
      </c>
      <c r="AY778">
        <f>IF([4]Entry!$H$781="","",[4]Entry!$H$781)</f>
        <v/>
      </c>
      <c r="AZ778">
        <f>IF([4]Entry!$I$781="","",[4]Entry!$I$781)</f>
        <v/>
      </c>
    </row>
    <row r="779">
      <c r="Z779">
        <f>IF([2]Entry!$E$782="","",[2]Entry!$E$782)</f>
        <v/>
      </c>
      <c r="AA779">
        <f>IF([2]Entry!$G$782="","",[2]Entry!$G$782)</f>
        <v/>
      </c>
      <c r="AB779">
        <f>IF([2]Entry!$J$782="","",[2]Entry!$J$782)</f>
        <v/>
      </c>
      <c r="AC779">
        <f>IF([2]Entry!$K$782="","",[2]Entry!$K$782)</f>
        <v/>
      </c>
      <c r="AD779">
        <f>IF([2]Entry!$L$782="","",[2]Entry!$L$782)</f>
        <v/>
      </c>
      <c r="AE779">
        <f>IF([2]Entry!$M$782="","",[2]Entry!$M$782)</f>
        <v/>
      </c>
      <c r="AF779">
        <f>IF([2]Entry!$N$782="","",[2]Entry!$N$782)</f>
        <v/>
      </c>
      <c r="AJ779">
        <f>IF([2]Entry!$S$782="","",[2]Entry!$S$782)</f>
        <v/>
      </c>
      <c r="AK779">
        <f>IF([2]Entry!$C$782="","",[2]Entry!$C$782)</f>
        <v/>
      </c>
      <c r="AL779">
        <f>IF([2]Entry!$D$782="","",[2]Entry!$D$782)</f>
        <v/>
      </c>
      <c r="AX779">
        <f>IF([4]Entry!$E$782="","",[4]Entry!$E$782)</f>
        <v/>
      </c>
      <c r="AY779">
        <f>IF([4]Entry!$H$782="","",[4]Entry!$H$782)</f>
        <v/>
      </c>
      <c r="AZ779">
        <f>IF([4]Entry!$I$782="","",[4]Entry!$I$782)</f>
        <v/>
      </c>
    </row>
    <row r="780">
      <c r="Z780">
        <f>IF([2]Entry!$E$783="","",[2]Entry!$E$783)</f>
        <v/>
      </c>
      <c r="AA780">
        <f>IF([2]Entry!$G$783="","",[2]Entry!$G$783)</f>
        <v/>
      </c>
      <c r="AB780">
        <f>IF([2]Entry!$J$783="","",[2]Entry!$J$783)</f>
        <v/>
      </c>
      <c r="AC780">
        <f>IF([2]Entry!$K$783="","",[2]Entry!$K$783)</f>
        <v/>
      </c>
      <c r="AD780">
        <f>IF([2]Entry!$L$783="","",[2]Entry!$L$783)</f>
        <v/>
      </c>
      <c r="AE780">
        <f>IF([2]Entry!$M$783="","",[2]Entry!$M$783)</f>
        <v/>
      </c>
      <c r="AF780">
        <f>IF([2]Entry!$N$783="","",[2]Entry!$N$783)</f>
        <v/>
      </c>
      <c r="AJ780">
        <f>IF([2]Entry!$S$783="","",[2]Entry!$S$783)</f>
        <v/>
      </c>
      <c r="AK780">
        <f>IF([2]Entry!$C$783="","",[2]Entry!$C$783)</f>
        <v/>
      </c>
      <c r="AL780">
        <f>IF([2]Entry!$D$783="","",[2]Entry!$D$783)</f>
        <v/>
      </c>
      <c r="AX780">
        <f>IF([4]Entry!$E$783="","",[4]Entry!$E$783)</f>
        <v/>
      </c>
      <c r="AY780">
        <f>IF([4]Entry!$H$783="","",[4]Entry!$H$783)</f>
        <v/>
      </c>
      <c r="AZ780">
        <f>IF([4]Entry!$I$783="","",[4]Entry!$I$783)</f>
        <v/>
      </c>
    </row>
    <row r="781">
      <c r="Z781">
        <f>IF([2]Entry!$E$784="","",[2]Entry!$E$784)</f>
        <v/>
      </c>
      <c r="AA781">
        <f>IF([2]Entry!$G$784="","",[2]Entry!$G$784)</f>
        <v/>
      </c>
      <c r="AB781">
        <f>IF([2]Entry!$J$784="","",[2]Entry!$J$784)</f>
        <v/>
      </c>
      <c r="AC781">
        <f>IF([2]Entry!$K$784="","",[2]Entry!$K$784)</f>
        <v/>
      </c>
      <c r="AD781">
        <f>IF([2]Entry!$L$784="","",[2]Entry!$L$784)</f>
        <v/>
      </c>
      <c r="AE781">
        <f>IF([2]Entry!$M$784="","",[2]Entry!$M$784)</f>
        <v/>
      </c>
      <c r="AF781">
        <f>IF([2]Entry!$N$784="","",[2]Entry!$N$784)</f>
        <v/>
      </c>
      <c r="AJ781">
        <f>IF([2]Entry!$S$784="","",[2]Entry!$S$784)</f>
        <v/>
      </c>
      <c r="AK781">
        <f>IF([2]Entry!$C$784="","",[2]Entry!$C$784)</f>
        <v/>
      </c>
      <c r="AL781">
        <f>IF([2]Entry!$D$784="","",[2]Entry!$D$784)</f>
        <v/>
      </c>
      <c r="AX781">
        <f>IF([4]Entry!$E$784="","",[4]Entry!$E$784)</f>
        <v/>
      </c>
      <c r="AY781">
        <f>IF([4]Entry!$H$784="","",[4]Entry!$H$784)</f>
        <v/>
      </c>
      <c r="AZ781">
        <f>IF([4]Entry!$I$784="","",[4]Entry!$I$784)</f>
        <v/>
      </c>
    </row>
    <row r="782">
      <c r="Z782">
        <f>IF([2]Entry!$E$785="","",[2]Entry!$E$785)</f>
        <v/>
      </c>
      <c r="AA782">
        <f>IF([2]Entry!$G$785="","",[2]Entry!$G$785)</f>
        <v/>
      </c>
      <c r="AB782">
        <f>IF([2]Entry!$J$785="","",[2]Entry!$J$785)</f>
        <v/>
      </c>
      <c r="AC782">
        <f>IF([2]Entry!$K$785="","",[2]Entry!$K$785)</f>
        <v/>
      </c>
      <c r="AD782">
        <f>IF([2]Entry!$L$785="","",[2]Entry!$L$785)</f>
        <v/>
      </c>
      <c r="AE782">
        <f>IF([2]Entry!$M$785="","",[2]Entry!$M$785)</f>
        <v/>
      </c>
      <c r="AF782">
        <f>IF([2]Entry!$N$785="","",[2]Entry!$N$785)</f>
        <v/>
      </c>
      <c r="AJ782">
        <f>IF([2]Entry!$S$785="","",[2]Entry!$S$785)</f>
        <v/>
      </c>
      <c r="AK782">
        <f>IF([2]Entry!$C$785="","",[2]Entry!$C$785)</f>
        <v/>
      </c>
      <c r="AL782">
        <f>IF([2]Entry!$D$785="","",[2]Entry!$D$785)</f>
        <v/>
      </c>
      <c r="AX782">
        <f>IF([4]Entry!$E$785="","",[4]Entry!$E$785)</f>
        <v/>
      </c>
      <c r="AY782">
        <f>IF([4]Entry!$H$785="","",[4]Entry!$H$785)</f>
        <v/>
      </c>
      <c r="AZ782">
        <f>IF([4]Entry!$I$785="","",[4]Entry!$I$785)</f>
        <v/>
      </c>
    </row>
    <row r="783">
      <c r="Z783">
        <f>IF([2]Entry!$E$786="","",[2]Entry!$E$786)</f>
        <v/>
      </c>
      <c r="AA783">
        <f>IF([2]Entry!$G$786="","",[2]Entry!$G$786)</f>
        <v/>
      </c>
      <c r="AB783">
        <f>IF([2]Entry!$J$786="","",[2]Entry!$J$786)</f>
        <v/>
      </c>
      <c r="AC783">
        <f>IF([2]Entry!$K$786="","",[2]Entry!$K$786)</f>
        <v/>
      </c>
      <c r="AD783">
        <f>IF([2]Entry!$L$786="","",[2]Entry!$L$786)</f>
        <v/>
      </c>
      <c r="AE783">
        <f>IF([2]Entry!$M$786="","",[2]Entry!$M$786)</f>
        <v/>
      </c>
      <c r="AF783">
        <f>IF([2]Entry!$N$786="","",[2]Entry!$N$786)</f>
        <v/>
      </c>
      <c r="AJ783">
        <f>IF([2]Entry!$S$786="","",[2]Entry!$S$786)</f>
        <v/>
      </c>
      <c r="AK783">
        <f>IF([2]Entry!$C$786="","",[2]Entry!$C$786)</f>
        <v/>
      </c>
      <c r="AL783">
        <f>IF([2]Entry!$D$786="","",[2]Entry!$D$786)</f>
        <v/>
      </c>
      <c r="AX783">
        <f>IF([4]Entry!$E$786="","",[4]Entry!$E$786)</f>
        <v/>
      </c>
      <c r="AY783">
        <f>IF([4]Entry!$H$786="","",[4]Entry!$H$786)</f>
        <v/>
      </c>
      <c r="AZ783">
        <f>IF([4]Entry!$I$786="","",[4]Entry!$I$786)</f>
        <v/>
      </c>
    </row>
    <row r="784">
      <c r="Z784">
        <f>IF([2]Entry!$E$787="","",[2]Entry!$E$787)</f>
        <v/>
      </c>
      <c r="AA784">
        <f>IF([2]Entry!$G$787="","",[2]Entry!$G$787)</f>
        <v/>
      </c>
      <c r="AB784">
        <f>IF([2]Entry!$J$787="","",[2]Entry!$J$787)</f>
        <v/>
      </c>
      <c r="AC784">
        <f>IF([2]Entry!$K$787="","",[2]Entry!$K$787)</f>
        <v/>
      </c>
      <c r="AD784">
        <f>IF([2]Entry!$L$787="","",[2]Entry!$L$787)</f>
        <v/>
      </c>
      <c r="AE784">
        <f>IF([2]Entry!$M$787="","",[2]Entry!$M$787)</f>
        <v/>
      </c>
      <c r="AF784">
        <f>IF([2]Entry!$N$787="","",[2]Entry!$N$787)</f>
        <v/>
      </c>
      <c r="AJ784">
        <f>IF([2]Entry!$S$787="","",[2]Entry!$S$787)</f>
        <v/>
      </c>
      <c r="AK784">
        <f>IF([2]Entry!$C$787="","",[2]Entry!$C$787)</f>
        <v/>
      </c>
      <c r="AL784">
        <f>IF([2]Entry!$D$787="","",[2]Entry!$D$787)</f>
        <v/>
      </c>
      <c r="AX784">
        <f>IF([4]Entry!$E$787="","",[4]Entry!$E$787)</f>
        <v/>
      </c>
      <c r="AY784">
        <f>IF([4]Entry!$H$787="","",[4]Entry!$H$787)</f>
        <v/>
      </c>
      <c r="AZ784">
        <f>IF([4]Entry!$I$787="","",[4]Entry!$I$787)</f>
        <v/>
      </c>
    </row>
    <row r="785">
      <c r="Z785">
        <f>IF([2]Entry!$E$788="","",[2]Entry!$E$788)</f>
        <v/>
      </c>
      <c r="AA785">
        <f>IF([2]Entry!$G$788="","",[2]Entry!$G$788)</f>
        <v/>
      </c>
      <c r="AB785">
        <f>IF([2]Entry!$J$788="","",[2]Entry!$J$788)</f>
        <v/>
      </c>
      <c r="AC785">
        <f>IF([2]Entry!$K$788="","",[2]Entry!$K$788)</f>
        <v/>
      </c>
      <c r="AD785">
        <f>IF([2]Entry!$L$788="","",[2]Entry!$L$788)</f>
        <v/>
      </c>
      <c r="AE785">
        <f>IF([2]Entry!$M$788="","",[2]Entry!$M$788)</f>
        <v/>
      </c>
      <c r="AF785">
        <f>IF([2]Entry!$N$788="","",[2]Entry!$N$788)</f>
        <v/>
      </c>
      <c r="AJ785">
        <f>IF([2]Entry!$S$788="","",[2]Entry!$S$788)</f>
        <v/>
      </c>
      <c r="AK785">
        <f>IF([2]Entry!$C$788="","",[2]Entry!$C$788)</f>
        <v/>
      </c>
      <c r="AL785">
        <f>IF([2]Entry!$D$788="","",[2]Entry!$D$788)</f>
        <v/>
      </c>
      <c r="AX785">
        <f>IF([4]Entry!$E$788="","",[4]Entry!$E$788)</f>
        <v/>
      </c>
      <c r="AY785">
        <f>IF([4]Entry!$H$788="","",[4]Entry!$H$788)</f>
        <v/>
      </c>
      <c r="AZ785">
        <f>IF([4]Entry!$I$788="","",[4]Entry!$I$788)</f>
        <v/>
      </c>
    </row>
    <row r="786">
      <c r="Z786">
        <f>IF([2]Entry!$E$789="","",[2]Entry!$E$789)</f>
        <v/>
      </c>
      <c r="AA786">
        <f>IF([2]Entry!$G$789="","",[2]Entry!$G$789)</f>
        <v/>
      </c>
      <c r="AB786">
        <f>IF([2]Entry!$J$789="","",[2]Entry!$J$789)</f>
        <v/>
      </c>
      <c r="AC786">
        <f>IF([2]Entry!$K$789="","",[2]Entry!$K$789)</f>
        <v/>
      </c>
      <c r="AD786">
        <f>IF([2]Entry!$L$789="","",[2]Entry!$L$789)</f>
        <v/>
      </c>
      <c r="AE786">
        <f>IF([2]Entry!$M$789="","",[2]Entry!$M$789)</f>
        <v/>
      </c>
      <c r="AF786">
        <f>IF([2]Entry!$N$789="","",[2]Entry!$N$789)</f>
        <v/>
      </c>
      <c r="AJ786">
        <f>IF([2]Entry!$S$789="","",[2]Entry!$S$789)</f>
        <v/>
      </c>
      <c r="AK786">
        <f>IF([2]Entry!$C$789="","",[2]Entry!$C$789)</f>
        <v/>
      </c>
      <c r="AL786">
        <f>IF([2]Entry!$D$789="","",[2]Entry!$D$789)</f>
        <v/>
      </c>
      <c r="AX786">
        <f>IF([4]Entry!$E$789="","",[4]Entry!$E$789)</f>
        <v/>
      </c>
      <c r="AY786">
        <f>IF([4]Entry!$H$789="","",[4]Entry!$H$789)</f>
        <v/>
      </c>
      <c r="AZ786">
        <f>IF([4]Entry!$I$789="","",[4]Entry!$I$789)</f>
        <v/>
      </c>
    </row>
    <row r="787">
      <c r="Z787">
        <f>IF([2]Entry!$E$790="","",[2]Entry!$E$790)</f>
        <v/>
      </c>
      <c r="AA787">
        <f>IF([2]Entry!$G$790="","",[2]Entry!$G$790)</f>
        <v/>
      </c>
      <c r="AB787">
        <f>IF([2]Entry!$J$790="","",[2]Entry!$J$790)</f>
        <v/>
      </c>
      <c r="AC787">
        <f>IF([2]Entry!$K$790="","",[2]Entry!$K$790)</f>
        <v/>
      </c>
      <c r="AD787">
        <f>IF([2]Entry!$L$790="","",[2]Entry!$L$790)</f>
        <v/>
      </c>
      <c r="AE787">
        <f>IF([2]Entry!$M$790="","",[2]Entry!$M$790)</f>
        <v/>
      </c>
      <c r="AF787">
        <f>IF([2]Entry!$N$790="","",[2]Entry!$N$790)</f>
        <v/>
      </c>
      <c r="AJ787">
        <f>IF([2]Entry!$S$790="","",[2]Entry!$S$790)</f>
        <v/>
      </c>
      <c r="AK787">
        <f>IF([2]Entry!$C$790="","",[2]Entry!$C$790)</f>
        <v/>
      </c>
      <c r="AL787">
        <f>IF([2]Entry!$D$790="","",[2]Entry!$D$790)</f>
        <v/>
      </c>
      <c r="AX787">
        <f>IF([4]Entry!$E$790="","",[4]Entry!$E$790)</f>
        <v/>
      </c>
      <c r="AY787">
        <f>IF([4]Entry!$H$790="","",[4]Entry!$H$790)</f>
        <v/>
      </c>
      <c r="AZ787">
        <f>IF([4]Entry!$I$790="","",[4]Entry!$I$790)</f>
        <v/>
      </c>
    </row>
    <row r="788">
      <c r="Z788">
        <f>IF([2]Entry!$E$791="","",[2]Entry!$E$791)</f>
        <v/>
      </c>
      <c r="AA788">
        <f>IF([2]Entry!$G$791="","",[2]Entry!$G$791)</f>
        <v/>
      </c>
      <c r="AB788">
        <f>IF([2]Entry!$J$791="","",[2]Entry!$J$791)</f>
        <v/>
      </c>
      <c r="AC788">
        <f>IF([2]Entry!$K$791="","",[2]Entry!$K$791)</f>
        <v/>
      </c>
      <c r="AD788">
        <f>IF([2]Entry!$L$791="","",[2]Entry!$L$791)</f>
        <v/>
      </c>
      <c r="AE788">
        <f>IF([2]Entry!$M$791="","",[2]Entry!$M$791)</f>
        <v/>
      </c>
      <c r="AF788">
        <f>IF([2]Entry!$N$791="","",[2]Entry!$N$791)</f>
        <v/>
      </c>
      <c r="AJ788">
        <f>IF([2]Entry!$S$791="","",[2]Entry!$S$791)</f>
        <v/>
      </c>
      <c r="AK788">
        <f>IF([2]Entry!$C$791="","",[2]Entry!$C$791)</f>
        <v/>
      </c>
      <c r="AL788">
        <f>IF([2]Entry!$D$791="","",[2]Entry!$D$791)</f>
        <v/>
      </c>
      <c r="AX788">
        <f>IF([4]Entry!$E$791="","",[4]Entry!$E$791)</f>
        <v/>
      </c>
      <c r="AY788">
        <f>IF([4]Entry!$H$791="","",[4]Entry!$H$791)</f>
        <v/>
      </c>
      <c r="AZ788">
        <f>IF([4]Entry!$I$791="","",[4]Entry!$I$791)</f>
        <v/>
      </c>
    </row>
    <row r="789">
      <c r="Z789">
        <f>IF([2]Entry!$E$792="","",[2]Entry!$E$792)</f>
        <v/>
      </c>
      <c r="AA789">
        <f>IF([2]Entry!$G$792="","",[2]Entry!$G$792)</f>
        <v/>
      </c>
      <c r="AB789">
        <f>IF([2]Entry!$J$792="","",[2]Entry!$J$792)</f>
        <v/>
      </c>
      <c r="AC789">
        <f>IF([2]Entry!$K$792="","",[2]Entry!$K$792)</f>
        <v/>
      </c>
      <c r="AD789">
        <f>IF([2]Entry!$L$792="","",[2]Entry!$L$792)</f>
        <v/>
      </c>
      <c r="AE789">
        <f>IF([2]Entry!$M$792="","",[2]Entry!$M$792)</f>
        <v/>
      </c>
      <c r="AF789">
        <f>IF([2]Entry!$N$792="","",[2]Entry!$N$792)</f>
        <v/>
      </c>
      <c r="AJ789">
        <f>IF([2]Entry!$S$792="","",[2]Entry!$S$792)</f>
        <v/>
      </c>
      <c r="AK789">
        <f>IF([2]Entry!$C$792="","",[2]Entry!$C$792)</f>
        <v/>
      </c>
      <c r="AL789">
        <f>IF([2]Entry!$D$792="","",[2]Entry!$D$792)</f>
        <v/>
      </c>
      <c r="AX789">
        <f>IF([4]Entry!$E$792="","",[4]Entry!$E$792)</f>
        <v/>
      </c>
      <c r="AY789">
        <f>IF([4]Entry!$H$792="","",[4]Entry!$H$792)</f>
        <v/>
      </c>
      <c r="AZ789">
        <f>IF([4]Entry!$I$792="","",[4]Entry!$I$792)</f>
        <v/>
      </c>
    </row>
    <row r="790">
      <c r="Z790">
        <f>IF([2]Entry!$E$793="","",[2]Entry!$E$793)</f>
        <v/>
      </c>
      <c r="AA790">
        <f>IF([2]Entry!$G$793="","",[2]Entry!$G$793)</f>
        <v/>
      </c>
      <c r="AB790">
        <f>IF([2]Entry!$J$793="","",[2]Entry!$J$793)</f>
        <v/>
      </c>
      <c r="AC790">
        <f>IF([2]Entry!$K$793="","",[2]Entry!$K$793)</f>
        <v/>
      </c>
      <c r="AD790">
        <f>IF([2]Entry!$L$793="","",[2]Entry!$L$793)</f>
        <v/>
      </c>
      <c r="AE790">
        <f>IF([2]Entry!$M$793="","",[2]Entry!$M$793)</f>
        <v/>
      </c>
      <c r="AF790">
        <f>IF([2]Entry!$N$793="","",[2]Entry!$N$793)</f>
        <v/>
      </c>
      <c r="AJ790">
        <f>IF([2]Entry!$S$793="","",[2]Entry!$S$793)</f>
        <v/>
      </c>
      <c r="AK790">
        <f>IF([2]Entry!$C$793="","",[2]Entry!$C$793)</f>
        <v/>
      </c>
      <c r="AL790">
        <f>IF([2]Entry!$D$793="","",[2]Entry!$D$793)</f>
        <v/>
      </c>
      <c r="AX790">
        <f>IF([4]Entry!$E$793="","",[4]Entry!$E$793)</f>
        <v/>
      </c>
      <c r="AY790">
        <f>IF([4]Entry!$H$793="","",[4]Entry!$H$793)</f>
        <v/>
      </c>
      <c r="AZ790">
        <f>IF([4]Entry!$I$793="","",[4]Entry!$I$793)</f>
        <v/>
      </c>
    </row>
    <row r="791">
      <c r="Z791">
        <f>IF([2]Entry!$E$794="","",[2]Entry!$E$794)</f>
        <v/>
      </c>
      <c r="AA791">
        <f>IF([2]Entry!$G$794="","",[2]Entry!$G$794)</f>
        <v/>
      </c>
      <c r="AB791">
        <f>IF([2]Entry!$J$794="","",[2]Entry!$J$794)</f>
        <v/>
      </c>
      <c r="AC791">
        <f>IF([2]Entry!$K$794="","",[2]Entry!$K$794)</f>
        <v/>
      </c>
      <c r="AD791">
        <f>IF([2]Entry!$L$794="","",[2]Entry!$L$794)</f>
        <v/>
      </c>
      <c r="AE791">
        <f>IF([2]Entry!$M$794="","",[2]Entry!$M$794)</f>
        <v/>
      </c>
      <c r="AF791">
        <f>IF([2]Entry!$N$794="","",[2]Entry!$N$794)</f>
        <v/>
      </c>
      <c r="AJ791">
        <f>IF([2]Entry!$S$794="","",[2]Entry!$S$794)</f>
        <v/>
      </c>
      <c r="AK791">
        <f>IF([2]Entry!$C$794="","",[2]Entry!$C$794)</f>
        <v/>
      </c>
      <c r="AL791">
        <f>IF([2]Entry!$D$794="","",[2]Entry!$D$794)</f>
        <v/>
      </c>
      <c r="AX791">
        <f>IF([4]Entry!$E$794="","",[4]Entry!$E$794)</f>
        <v/>
      </c>
      <c r="AY791">
        <f>IF([4]Entry!$H$794="","",[4]Entry!$H$794)</f>
        <v/>
      </c>
      <c r="AZ791">
        <f>IF([4]Entry!$I$794="","",[4]Entry!$I$794)</f>
        <v/>
      </c>
    </row>
    <row r="792">
      <c r="Z792">
        <f>IF([2]Entry!$E$795="","",[2]Entry!$E$795)</f>
        <v/>
      </c>
      <c r="AA792">
        <f>IF([2]Entry!$G$795="","",[2]Entry!$G$795)</f>
        <v/>
      </c>
      <c r="AB792">
        <f>IF([2]Entry!$J$795="","",[2]Entry!$J$795)</f>
        <v/>
      </c>
      <c r="AC792">
        <f>IF([2]Entry!$K$795="","",[2]Entry!$K$795)</f>
        <v/>
      </c>
      <c r="AD792">
        <f>IF([2]Entry!$L$795="","",[2]Entry!$L$795)</f>
        <v/>
      </c>
      <c r="AE792">
        <f>IF([2]Entry!$M$795="","",[2]Entry!$M$795)</f>
        <v/>
      </c>
      <c r="AF792">
        <f>IF([2]Entry!$N$795="","",[2]Entry!$N$795)</f>
        <v/>
      </c>
      <c r="AJ792">
        <f>IF([2]Entry!$S$795="","",[2]Entry!$S$795)</f>
        <v/>
      </c>
      <c r="AK792">
        <f>IF([2]Entry!$C$795="","",[2]Entry!$C$795)</f>
        <v/>
      </c>
      <c r="AL792">
        <f>IF([2]Entry!$D$795="","",[2]Entry!$D$795)</f>
        <v/>
      </c>
      <c r="AX792">
        <f>IF([4]Entry!$E$795="","",[4]Entry!$E$795)</f>
        <v/>
      </c>
      <c r="AY792">
        <f>IF([4]Entry!$H$795="","",[4]Entry!$H$795)</f>
        <v/>
      </c>
      <c r="AZ792">
        <f>IF([4]Entry!$I$795="","",[4]Entry!$I$795)</f>
        <v/>
      </c>
    </row>
    <row r="793">
      <c r="Z793">
        <f>IF([2]Entry!$E$796="","",[2]Entry!$E$796)</f>
        <v/>
      </c>
      <c r="AA793">
        <f>IF([2]Entry!$G$796="","",[2]Entry!$G$796)</f>
        <v/>
      </c>
      <c r="AB793">
        <f>IF([2]Entry!$J$796="","",[2]Entry!$J$796)</f>
        <v/>
      </c>
      <c r="AC793">
        <f>IF([2]Entry!$K$796="","",[2]Entry!$K$796)</f>
        <v/>
      </c>
      <c r="AD793">
        <f>IF([2]Entry!$L$796="","",[2]Entry!$L$796)</f>
        <v/>
      </c>
      <c r="AE793">
        <f>IF([2]Entry!$M$796="","",[2]Entry!$M$796)</f>
        <v/>
      </c>
      <c r="AF793">
        <f>IF([2]Entry!$N$796="","",[2]Entry!$N$796)</f>
        <v/>
      </c>
      <c r="AJ793">
        <f>IF([2]Entry!$S$796="","",[2]Entry!$S$796)</f>
        <v/>
      </c>
      <c r="AK793">
        <f>IF([2]Entry!$C$796="","",[2]Entry!$C$796)</f>
        <v/>
      </c>
      <c r="AL793">
        <f>IF([2]Entry!$D$796="","",[2]Entry!$D$796)</f>
        <v/>
      </c>
      <c r="AX793">
        <f>IF([4]Entry!$E$796="","",[4]Entry!$E$796)</f>
        <v/>
      </c>
      <c r="AY793">
        <f>IF([4]Entry!$H$796="","",[4]Entry!$H$796)</f>
        <v/>
      </c>
      <c r="AZ793">
        <f>IF([4]Entry!$I$796="","",[4]Entry!$I$796)</f>
        <v/>
      </c>
    </row>
    <row r="794">
      <c r="Z794">
        <f>IF([2]Entry!$E$797="","",[2]Entry!$E$797)</f>
        <v/>
      </c>
      <c r="AA794">
        <f>IF([2]Entry!$G$797="","",[2]Entry!$G$797)</f>
        <v/>
      </c>
      <c r="AB794">
        <f>IF([2]Entry!$J$797="","",[2]Entry!$J$797)</f>
        <v/>
      </c>
      <c r="AC794">
        <f>IF([2]Entry!$K$797="","",[2]Entry!$K$797)</f>
        <v/>
      </c>
      <c r="AD794">
        <f>IF([2]Entry!$L$797="","",[2]Entry!$L$797)</f>
        <v/>
      </c>
      <c r="AE794">
        <f>IF([2]Entry!$M$797="","",[2]Entry!$M$797)</f>
        <v/>
      </c>
      <c r="AF794">
        <f>IF([2]Entry!$N$797="","",[2]Entry!$N$797)</f>
        <v/>
      </c>
      <c r="AJ794">
        <f>IF([2]Entry!$S$797="","",[2]Entry!$S$797)</f>
        <v/>
      </c>
      <c r="AK794">
        <f>IF([2]Entry!$C$797="","",[2]Entry!$C$797)</f>
        <v/>
      </c>
      <c r="AL794">
        <f>IF([2]Entry!$D$797="","",[2]Entry!$D$797)</f>
        <v/>
      </c>
      <c r="AX794">
        <f>IF([4]Entry!$E$797="","",[4]Entry!$E$797)</f>
        <v/>
      </c>
      <c r="AY794">
        <f>IF([4]Entry!$H$797="","",[4]Entry!$H$797)</f>
        <v/>
      </c>
      <c r="AZ794">
        <f>IF([4]Entry!$I$797="","",[4]Entry!$I$797)</f>
        <v/>
      </c>
    </row>
    <row r="795">
      <c r="Z795">
        <f>IF([2]Entry!$E$798="","",[2]Entry!$E$798)</f>
        <v/>
      </c>
      <c r="AA795">
        <f>IF([2]Entry!$G$798="","",[2]Entry!$G$798)</f>
        <v/>
      </c>
      <c r="AB795">
        <f>IF([2]Entry!$J$798="","",[2]Entry!$J$798)</f>
        <v/>
      </c>
      <c r="AC795">
        <f>IF([2]Entry!$K$798="","",[2]Entry!$K$798)</f>
        <v/>
      </c>
      <c r="AD795">
        <f>IF([2]Entry!$L$798="","",[2]Entry!$L$798)</f>
        <v/>
      </c>
      <c r="AE795">
        <f>IF([2]Entry!$M$798="","",[2]Entry!$M$798)</f>
        <v/>
      </c>
      <c r="AF795">
        <f>IF([2]Entry!$N$798="","",[2]Entry!$N$798)</f>
        <v/>
      </c>
      <c r="AJ795">
        <f>IF([2]Entry!$S$798="","",[2]Entry!$S$798)</f>
        <v/>
      </c>
      <c r="AK795">
        <f>IF([2]Entry!$C$798="","",[2]Entry!$C$798)</f>
        <v/>
      </c>
      <c r="AL795">
        <f>IF([2]Entry!$D$798="","",[2]Entry!$D$798)</f>
        <v/>
      </c>
      <c r="AX795">
        <f>IF([4]Entry!$E$798="","",[4]Entry!$E$798)</f>
        <v/>
      </c>
      <c r="AY795">
        <f>IF([4]Entry!$H$798="","",[4]Entry!$H$798)</f>
        <v/>
      </c>
      <c r="AZ795">
        <f>IF([4]Entry!$I$798="","",[4]Entry!$I$798)</f>
        <v/>
      </c>
    </row>
    <row r="796">
      <c r="Z796">
        <f>IF([2]Entry!$E$799="","",[2]Entry!$E$799)</f>
        <v/>
      </c>
      <c r="AA796">
        <f>IF([2]Entry!$G$799="","",[2]Entry!$G$799)</f>
        <v/>
      </c>
      <c r="AB796">
        <f>IF([2]Entry!$J$799="","",[2]Entry!$J$799)</f>
        <v/>
      </c>
      <c r="AC796">
        <f>IF([2]Entry!$K$799="","",[2]Entry!$K$799)</f>
        <v/>
      </c>
      <c r="AD796">
        <f>IF([2]Entry!$L$799="","",[2]Entry!$L$799)</f>
        <v/>
      </c>
      <c r="AE796">
        <f>IF([2]Entry!$M$799="","",[2]Entry!$M$799)</f>
        <v/>
      </c>
      <c r="AF796">
        <f>IF([2]Entry!$N$799="","",[2]Entry!$N$799)</f>
        <v/>
      </c>
      <c r="AJ796">
        <f>IF([2]Entry!$S$799="","",[2]Entry!$S$799)</f>
        <v/>
      </c>
      <c r="AK796">
        <f>IF([2]Entry!$C$799="","",[2]Entry!$C$799)</f>
        <v/>
      </c>
      <c r="AL796">
        <f>IF([2]Entry!$D$799="","",[2]Entry!$D$799)</f>
        <v/>
      </c>
      <c r="AX796">
        <f>IF([4]Entry!$E$799="","",[4]Entry!$E$799)</f>
        <v/>
      </c>
      <c r="AY796">
        <f>IF([4]Entry!$H$799="","",[4]Entry!$H$799)</f>
        <v/>
      </c>
      <c r="AZ796">
        <f>IF([4]Entry!$I$799="","",[4]Entry!$I$799)</f>
        <v/>
      </c>
    </row>
    <row r="797">
      <c r="Z797">
        <f>IF([2]Entry!$E$800="","",[2]Entry!$E$800)</f>
        <v/>
      </c>
      <c r="AA797">
        <f>IF([2]Entry!$G$800="","",[2]Entry!$G$800)</f>
        <v/>
      </c>
      <c r="AB797">
        <f>IF([2]Entry!$J$800="","",[2]Entry!$J$800)</f>
        <v/>
      </c>
      <c r="AC797">
        <f>IF([2]Entry!$K$800="","",[2]Entry!$K$800)</f>
        <v/>
      </c>
      <c r="AD797">
        <f>IF([2]Entry!$L$800="","",[2]Entry!$L$800)</f>
        <v/>
      </c>
      <c r="AE797">
        <f>IF([2]Entry!$M$800="","",[2]Entry!$M$800)</f>
        <v/>
      </c>
      <c r="AF797">
        <f>IF([2]Entry!$N$800="","",[2]Entry!$N$800)</f>
        <v/>
      </c>
      <c r="AJ797">
        <f>IF([2]Entry!$S$800="","",[2]Entry!$S$800)</f>
        <v/>
      </c>
      <c r="AK797">
        <f>IF([2]Entry!$C$800="","",[2]Entry!$C$800)</f>
        <v/>
      </c>
      <c r="AL797">
        <f>IF([2]Entry!$D$800="","",[2]Entry!$D$800)</f>
        <v/>
      </c>
      <c r="AX797">
        <f>IF([4]Entry!$E$800="","",[4]Entry!$E$800)</f>
        <v/>
      </c>
      <c r="AY797">
        <f>IF([4]Entry!$H$800="","",[4]Entry!$H$800)</f>
        <v/>
      </c>
      <c r="AZ797">
        <f>IF([4]Entry!$I$800="","",[4]Entry!$I$800)</f>
        <v/>
      </c>
    </row>
    <row r="798">
      <c r="Z798">
        <f>IF([2]Entry!$E$801="","",[2]Entry!$E$801)</f>
        <v/>
      </c>
      <c r="AA798">
        <f>IF([2]Entry!$G$801="","",[2]Entry!$G$801)</f>
        <v/>
      </c>
      <c r="AB798">
        <f>IF([2]Entry!$J$801="","",[2]Entry!$J$801)</f>
        <v/>
      </c>
      <c r="AC798">
        <f>IF([2]Entry!$K$801="","",[2]Entry!$K$801)</f>
        <v/>
      </c>
      <c r="AD798">
        <f>IF([2]Entry!$L$801="","",[2]Entry!$L$801)</f>
        <v/>
      </c>
      <c r="AE798">
        <f>IF([2]Entry!$M$801="","",[2]Entry!$M$801)</f>
        <v/>
      </c>
      <c r="AF798">
        <f>IF([2]Entry!$N$801="","",[2]Entry!$N$801)</f>
        <v/>
      </c>
      <c r="AJ798">
        <f>IF([2]Entry!$S$801="","",[2]Entry!$S$801)</f>
        <v/>
      </c>
      <c r="AK798">
        <f>IF([2]Entry!$C$801="","",[2]Entry!$C$801)</f>
        <v/>
      </c>
      <c r="AL798">
        <f>IF([2]Entry!$D$801="","",[2]Entry!$D$801)</f>
        <v/>
      </c>
      <c r="AX798">
        <f>IF([4]Entry!$E$801="","",[4]Entry!$E$801)</f>
        <v/>
      </c>
      <c r="AY798">
        <f>IF([4]Entry!$H$801="","",[4]Entry!$H$801)</f>
        <v/>
      </c>
      <c r="AZ798">
        <f>IF([4]Entry!$I$801="","",[4]Entry!$I$801)</f>
        <v/>
      </c>
    </row>
    <row r="799">
      <c r="Z799">
        <f>IF([2]Entry!$E$802="","",[2]Entry!$E$802)</f>
        <v/>
      </c>
      <c r="AA799">
        <f>IF([2]Entry!$G$802="","",[2]Entry!$G$802)</f>
        <v/>
      </c>
      <c r="AB799">
        <f>IF([2]Entry!$J$802="","",[2]Entry!$J$802)</f>
        <v/>
      </c>
      <c r="AC799">
        <f>IF([2]Entry!$K$802="","",[2]Entry!$K$802)</f>
        <v/>
      </c>
      <c r="AD799">
        <f>IF([2]Entry!$L$802="","",[2]Entry!$L$802)</f>
        <v/>
      </c>
      <c r="AE799">
        <f>IF([2]Entry!$M$802="","",[2]Entry!$M$802)</f>
        <v/>
      </c>
      <c r="AF799">
        <f>IF([2]Entry!$N$802="","",[2]Entry!$N$802)</f>
        <v/>
      </c>
      <c r="AJ799">
        <f>IF([2]Entry!$S$802="","",[2]Entry!$S$802)</f>
        <v/>
      </c>
      <c r="AK799">
        <f>IF([2]Entry!$C$802="","",[2]Entry!$C$802)</f>
        <v/>
      </c>
      <c r="AL799">
        <f>IF([2]Entry!$D$802="","",[2]Entry!$D$802)</f>
        <v/>
      </c>
      <c r="AX799">
        <f>IF([4]Entry!$E$802="","",[4]Entry!$E$802)</f>
        <v/>
      </c>
      <c r="AY799">
        <f>IF([4]Entry!$H$802="","",[4]Entry!$H$802)</f>
        <v/>
      </c>
      <c r="AZ799">
        <f>IF([4]Entry!$I$802="","",[4]Entry!$I$802)</f>
        <v/>
      </c>
    </row>
    <row r="800">
      <c r="Z800">
        <f>IF([2]Entry!$E$803="","",[2]Entry!$E$803)</f>
        <v/>
      </c>
      <c r="AA800">
        <f>IF([2]Entry!$G$803="","",[2]Entry!$G$803)</f>
        <v/>
      </c>
      <c r="AB800">
        <f>IF([2]Entry!$J$803="","",[2]Entry!$J$803)</f>
        <v/>
      </c>
      <c r="AC800">
        <f>IF([2]Entry!$K$803="","",[2]Entry!$K$803)</f>
        <v/>
      </c>
      <c r="AD800">
        <f>IF([2]Entry!$L$803="","",[2]Entry!$L$803)</f>
        <v/>
      </c>
      <c r="AE800">
        <f>IF([2]Entry!$M$803="","",[2]Entry!$M$803)</f>
        <v/>
      </c>
      <c r="AF800">
        <f>IF([2]Entry!$N$803="","",[2]Entry!$N$803)</f>
        <v/>
      </c>
      <c r="AJ800">
        <f>IF([2]Entry!$S$803="","",[2]Entry!$S$803)</f>
        <v/>
      </c>
      <c r="AK800">
        <f>IF([2]Entry!$C$803="","",[2]Entry!$C$803)</f>
        <v/>
      </c>
      <c r="AL800">
        <f>IF([2]Entry!$D$803="","",[2]Entry!$D$803)</f>
        <v/>
      </c>
      <c r="AX800">
        <f>IF([4]Entry!$E$803="","",[4]Entry!$E$803)</f>
        <v/>
      </c>
      <c r="AY800">
        <f>IF([4]Entry!$H$803="","",[4]Entry!$H$803)</f>
        <v/>
      </c>
      <c r="AZ800">
        <f>IF([4]Entry!$I$803="","",[4]Entry!$I$803)</f>
        <v/>
      </c>
    </row>
    <row r="801">
      <c r="Z801">
        <f>IF([2]Entry!$E$804="","",[2]Entry!$E$804)</f>
        <v/>
      </c>
      <c r="AA801">
        <f>IF([2]Entry!$G$804="","",[2]Entry!$G$804)</f>
        <v/>
      </c>
      <c r="AB801">
        <f>IF([2]Entry!$J$804="","",[2]Entry!$J$804)</f>
        <v/>
      </c>
      <c r="AC801">
        <f>IF([2]Entry!$K$804="","",[2]Entry!$K$804)</f>
        <v/>
      </c>
      <c r="AD801">
        <f>IF([2]Entry!$L$804="","",[2]Entry!$L$804)</f>
        <v/>
      </c>
      <c r="AE801">
        <f>IF([2]Entry!$M$804="","",[2]Entry!$M$804)</f>
        <v/>
      </c>
      <c r="AF801">
        <f>IF([2]Entry!$N$804="","",[2]Entry!$N$804)</f>
        <v/>
      </c>
      <c r="AJ801">
        <f>IF([2]Entry!$S$804="","",[2]Entry!$S$804)</f>
        <v/>
      </c>
      <c r="AK801">
        <f>IF([2]Entry!$C$804="","",[2]Entry!$C$804)</f>
        <v/>
      </c>
      <c r="AL801">
        <f>IF([2]Entry!$D$804="","",[2]Entry!$D$804)</f>
        <v/>
      </c>
      <c r="AX801">
        <f>IF([4]Entry!$E$804="","",[4]Entry!$E$804)</f>
        <v/>
      </c>
      <c r="AY801">
        <f>IF([4]Entry!$H$804="","",[4]Entry!$H$804)</f>
        <v/>
      </c>
      <c r="AZ801">
        <f>IF([4]Entry!$I$804="","",[4]Entry!$I$804)</f>
        <v/>
      </c>
    </row>
    <row r="802">
      <c r="Z802">
        <f>IF([2]Entry!$E$805="","",[2]Entry!$E$805)</f>
        <v/>
      </c>
      <c r="AA802">
        <f>IF([2]Entry!$G$805="","",[2]Entry!$G$805)</f>
        <v/>
      </c>
      <c r="AB802">
        <f>IF([2]Entry!$J$805="","",[2]Entry!$J$805)</f>
        <v/>
      </c>
      <c r="AC802">
        <f>IF([2]Entry!$K$805="","",[2]Entry!$K$805)</f>
        <v/>
      </c>
      <c r="AD802">
        <f>IF([2]Entry!$L$805="","",[2]Entry!$L$805)</f>
        <v/>
      </c>
      <c r="AE802">
        <f>IF([2]Entry!$M$805="","",[2]Entry!$M$805)</f>
        <v/>
      </c>
      <c r="AF802">
        <f>IF([2]Entry!$N$805="","",[2]Entry!$N$805)</f>
        <v/>
      </c>
      <c r="AJ802">
        <f>IF([2]Entry!$S$805="","",[2]Entry!$S$805)</f>
        <v/>
      </c>
      <c r="AK802">
        <f>IF([2]Entry!$C$805="","",[2]Entry!$C$805)</f>
        <v/>
      </c>
      <c r="AL802">
        <f>IF([2]Entry!$D$805="","",[2]Entry!$D$805)</f>
        <v/>
      </c>
      <c r="AX802">
        <f>IF([4]Entry!$E$805="","",[4]Entry!$E$805)</f>
        <v/>
      </c>
      <c r="AY802">
        <f>IF([4]Entry!$H$805="","",[4]Entry!$H$805)</f>
        <v/>
      </c>
      <c r="AZ802">
        <f>IF([4]Entry!$I$805="","",[4]Entry!$I$805)</f>
        <v/>
      </c>
    </row>
    <row r="803">
      <c r="Z803">
        <f>IF([2]Entry!$E$806="","",[2]Entry!$E$806)</f>
        <v/>
      </c>
      <c r="AA803">
        <f>IF([2]Entry!$G$806="","",[2]Entry!$G$806)</f>
        <v/>
      </c>
      <c r="AB803">
        <f>IF([2]Entry!$J$806="","",[2]Entry!$J$806)</f>
        <v/>
      </c>
      <c r="AC803">
        <f>IF([2]Entry!$K$806="","",[2]Entry!$K$806)</f>
        <v/>
      </c>
      <c r="AD803">
        <f>IF([2]Entry!$L$806="","",[2]Entry!$L$806)</f>
        <v/>
      </c>
      <c r="AE803">
        <f>IF([2]Entry!$M$806="","",[2]Entry!$M$806)</f>
        <v/>
      </c>
      <c r="AF803">
        <f>IF([2]Entry!$N$806="","",[2]Entry!$N$806)</f>
        <v/>
      </c>
      <c r="AJ803">
        <f>IF([2]Entry!$S$806="","",[2]Entry!$S$806)</f>
        <v/>
      </c>
      <c r="AK803">
        <f>IF([2]Entry!$C$806="","",[2]Entry!$C$806)</f>
        <v/>
      </c>
      <c r="AL803">
        <f>IF([2]Entry!$D$806="","",[2]Entry!$D$806)</f>
        <v/>
      </c>
      <c r="AX803">
        <f>IF([4]Entry!$E$806="","",[4]Entry!$E$806)</f>
        <v/>
      </c>
      <c r="AY803">
        <f>IF([4]Entry!$H$806="","",[4]Entry!$H$806)</f>
        <v/>
      </c>
      <c r="AZ803">
        <f>IF([4]Entry!$I$806="","",[4]Entry!$I$806)</f>
        <v/>
      </c>
    </row>
    <row r="804">
      <c r="Z804">
        <f>IF([2]Entry!$E$807="","",[2]Entry!$E$807)</f>
        <v/>
      </c>
      <c r="AA804">
        <f>IF([2]Entry!$G$807="","",[2]Entry!$G$807)</f>
        <v/>
      </c>
      <c r="AB804">
        <f>IF([2]Entry!$J$807="","",[2]Entry!$J$807)</f>
        <v/>
      </c>
      <c r="AC804">
        <f>IF([2]Entry!$K$807="","",[2]Entry!$K$807)</f>
        <v/>
      </c>
      <c r="AD804">
        <f>IF([2]Entry!$L$807="","",[2]Entry!$L$807)</f>
        <v/>
      </c>
      <c r="AE804">
        <f>IF([2]Entry!$M$807="","",[2]Entry!$M$807)</f>
        <v/>
      </c>
      <c r="AF804">
        <f>IF([2]Entry!$N$807="","",[2]Entry!$N$807)</f>
        <v/>
      </c>
      <c r="AJ804">
        <f>IF([2]Entry!$S$807="","",[2]Entry!$S$807)</f>
        <v/>
      </c>
      <c r="AK804">
        <f>IF([2]Entry!$C$807="","",[2]Entry!$C$807)</f>
        <v/>
      </c>
      <c r="AL804">
        <f>IF([2]Entry!$D$807="","",[2]Entry!$D$807)</f>
        <v/>
      </c>
      <c r="AX804">
        <f>IF([4]Entry!$E$807="","",[4]Entry!$E$807)</f>
        <v/>
      </c>
      <c r="AY804">
        <f>IF([4]Entry!$H$807="","",[4]Entry!$H$807)</f>
        <v/>
      </c>
      <c r="AZ804">
        <f>IF([4]Entry!$I$807="","",[4]Entry!$I$807)</f>
        <v/>
      </c>
    </row>
    <row r="805">
      <c r="Z805">
        <f>IF([2]Entry!$E$808="","",[2]Entry!$E$808)</f>
        <v/>
      </c>
      <c r="AA805">
        <f>IF([2]Entry!$G$808="","",[2]Entry!$G$808)</f>
        <v/>
      </c>
      <c r="AB805">
        <f>IF([2]Entry!$J$808="","",[2]Entry!$J$808)</f>
        <v/>
      </c>
      <c r="AC805">
        <f>IF([2]Entry!$K$808="","",[2]Entry!$K$808)</f>
        <v/>
      </c>
      <c r="AD805">
        <f>IF([2]Entry!$L$808="","",[2]Entry!$L$808)</f>
        <v/>
      </c>
      <c r="AE805">
        <f>IF([2]Entry!$M$808="","",[2]Entry!$M$808)</f>
        <v/>
      </c>
      <c r="AF805">
        <f>IF([2]Entry!$N$808="","",[2]Entry!$N$808)</f>
        <v/>
      </c>
      <c r="AJ805">
        <f>IF([2]Entry!$S$808="","",[2]Entry!$S$808)</f>
        <v/>
      </c>
      <c r="AK805">
        <f>IF([2]Entry!$C$808="","",[2]Entry!$C$808)</f>
        <v/>
      </c>
      <c r="AL805">
        <f>IF([2]Entry!$D$808="","",[2]Entry!$D$808)</f>
        <v/>
      </c>
      <c r="AX805">
        <f>IF([4]Entry!$E$808="","",[4]Entry!$E$808)</f>
        <v/>
      </c>
      <c r="AY805">
        <f>IF([4]Entry!$H$808="","",[4]Entry!$H$808)</f>
        <v/>
      </c>
      <c r="AZ805">
        <f>IF([4]Entry!$I$808="","",[4]Entry!$I$808)</f>
        <v/>
      </c>
    </row>
    <row r="806">
      <c r="Z806">
        <f>IF([2]Entry!$E$809="","",[2]Entry!$E$809)</f>
        <v/>
      </c>
      <c r="AA806">
        <f>IF([2]Entry!$G$809="","",[2]Entry!$G$809)</f>
        <v/>
      </c>
      <c r="AB806">
        <f>IF([2]Entry!$J$809="","",[2]Entry!$J$809)</f>
        <v/>
      </c>
      <c r="AC806">
        <f>IF([2]Entry!$K$809="","",[2]Entry!$K$809)</f>
        <v/>
      </c>
      <c r="AD806">
        <f>IF([2]Entry!$L$809="","",[2]Entry!$L$809)</f>
        <v/>
      </c>
      <c r="AE806">
        <f>IF([2]Entry!$M$809="","",[2]Entry!$M$809)</f>
        <v/>
      </c>
      <c r="AF806">
        <f>IF([2]Entry!$N$809="","",[2]Entry!$N$809)</f>
        <v/>
      </c>
      <c r="AJ806">
        <f>IF([2]Entry!$S$809="","",[2]Entry!$S$809)</f>
        <v/>
      </c>
      <c r="AK806">
        <f>IF([2]Entry!$C$809="","",[2]Entry!$C$809)</f>
        <v/>
      </c>
      <c r="AL806">
        <f>IF([2]Entry!$D$809="","",[2]Entry!$D$809)</f>
        <v/>
      </c>
      <c r="AX806">
        <f>IF([4]Entry!$E$809="","",[4]Entry!$E$809)</f>
        <v/>
      </c>
      <c r="AY806">
        <f>IF([4]Entry!$H$809="","",[4]Entry!$H$809)</f>
        <v/>
      </c>
      <c r="AZ806">
        <f>IF([4]Entry!$I$809="","",[4]Entry!$I$809)</f>
        <v/>
      </c>
    </row>
    <row r="807">
      <c r="Z807">
        <f>IF([2]Entry!$E$810="","",[2]Entry!$E$810)</f>
        <v/>
      </c>
      <c r="AA807">
        <f>IF([2]Entry!$G$810="","",[2]Entry!$G$810)</f>
        <v/>
      </c>
      <c r="AB807">
        <f>IF([2]Entry!$J$810="","",[2]Entry!$J$810)</f>
        <v/>
      </c>
      <c r="AC807">
        <f>IF([2]Entry!$K$810="","",[2]Entry!$K$810)</f>
        <v/>
      </c>
      <c r="AD807">
        <f>IF([2]Entry!$L$810="","",[2]Entry!$L$810)</f>
        <v/>
      </c>
      <c r="AE807">
        <f>IF([2]Entry!$M$810="","",[2]Entry!$M$810)</f>
        <v/>
      </c>
      <c r="AF807">
        <f>IF([2]Entry!$N$810="","",[2]Entry!$N$810)</f>
        <v/>
      </c>
      <c r="AJ807">
        <f>IF([2]Entry!$S$810="","",[2]Entry!$S$810)</f>
        <v/>
      </c>
      <c r="AK807">
        <f>IF([2]Entry!$C$810="","",[2]Entry!$C$810)</f>
        <v/>
      </c>
      <c r="AL807">
        <f>IF([2]Entry!$D$810="","",[2]Entry!$D$810)</f>
        <v/>
      </c>
      <c r="AX807">
        <f>IF([4]Entry!$E$810="","",[4]Entry!$E$810)</f>
        <v/>
      </c>
      <c r="AY807">
        <f>IF([4]Entry!$H$810="","",[4]Entry!$H$810)</f>
        <v/>
      </c>
      <c r="AZ807">
        <f>IF([4]Entry!$I$810="","",[4]Entry!$I$810)</f>
        <v/>
      </c>
    </row>
    <row r="808">
      <c r="Z808">
        <f>IF([2]Entry!$E$811="","",[2]Entry!$E$811)</f>
        <v/>
      </c>
      <c r="AA808">
        <f>IF([2]Entry!$G$811="","",[2]Entry!$G$811)</f>
        <v/>
      </c>
      <c r="AB808">
        <f>IF([2]Entry!$J$811="","",[2]Entry!$J$811)</f>
        <v/>
      </c>
      <c r="AC808">
        <f>IF([2]Entry!$K$811="","",[2]Entry!$K$811)</f>
        <v/>
      </c>
      <c r="AD808">
        <f>IF([2]Entry!$L$811="","",[2]Entry!$L$811)</f>
        <v/>
      </c>
      <c r="AE808">
        <f>IF([2]Entry!$M$811="","",[2]Entry!$M$811)</f>
        <v/>
      </c>
      <c r="AF808">
        <f>IF([2]Entry!$N$811="","",[2]Entry!$N$811)</f>
        <v/>
      </c>
      <c r="AJ808">
        <f>IF([2]Entry!$S$811="","",[2]Entry!$S$811)</f>
        <v/>
      </c>
      <c r="AK808">
        <f>IF([2]Entry!$C$811="","",[2]Entry!$C$811)</f>
        <v/>
      </c>
      <c r="AL808">
        <f>IF([2]Entry!$D$811="","",[2]Entry!$D$811)</f>
        <v/>
      </c>
      <c r="AX808">
        <f>IF([4]Entry!$E$811="","",[4]Entry!$E$811)</f>
        <v/>
      </c>
      <c r="AY808">
        <f>IF([4]Entry!$H$811="","",[4]Entry!$H$811)</f>
        <v/>
      </c>
      <c r="AZ808">
        <f>IF([4]Entry!$I$811="","",[4]Entry!$I$811)</f>
        <v/>
      </c>
    </row>
    <row r="809">
      <c r="Z809">
        <f>IF([2]Entry!$E$812="","",[2]Entry!$E$812)</f>
        <v/>
      </c>
      <c r="AA809">
        <f>IF([2]Entry!$G$812="","",[2]Entry!$G$812)</f>
        <v/>
      </c>
      <c r="AB809">
        <f>IF([2]Entry!$J$812="","",[2]Entry!$J$812)</f>
        <v/>
      </c>
      <c r="AC809">
        <f>IF([2]Entry!$K$812="","",[2]Entry!$K$812)</f>
        <v/>
      </c>
      <c r="AD809">
        <f>IF([2]Entry!$L$812="","",[2]Entry!$L$812)</f>
        <v/>
      </c>
      <c r="AE809">
        <f>IF([2]Entry!$M$812="","",[2]Entry!$M$812)</f>
        <v/>
      </c>
      <c r="AF809">
        <f>IF([2]Entry!$N$812="","",[2]Entry!$N$812)</f>
        <v/>
      </c>
      <c r="AJ809">
        <f>IF([2]Entry!$S$812="","",[2]Entry!$S$812)</f>
        <v/>
      </c>
      <c r="AK809">
        <f>IF([2]Entry!$C$812="","",[2]Entry!$C$812)</f>
        <v/>
      </c>
      <c r="AL809">
        <f>IF([2]Entry!$D$812="","",[2]Entry!$D$812)</f>
        <v/>
      </c>
      <c r="AX809">
        <f>IF([4]Entry!$E$812="","",[4]Entry!$E$812)</f>
        <v/>
      </c>
      <c r="AY809">
        <f>IF([4]Entry!$H$812="","",[4]Entry!$H$812)</f>
        <v/>
      </c>
      <c r="AZ809">
        <f>IF([4]Entry!$I$812="","",[4]Entry!$I$812)</f>
        <v/>
      </c>
    </row>
    <row r="810">
      <c r="Z810">
        <f>IF([2]Entry!$E$813="","",[2]Entry!$E$813)</f>
        <v/>
      </c>
      <c r="AA810">
        <f>IF([2]Entry!$G$813="","",[2]Entry!$G$813)</f>
        <v/>
      </c>
      <c r="AB810">
        <f>IF([2]Entry!$J$813="","",[2]Entry!$J$813)</f>
        <v/>
      </c>
      <c r="AC810">
        <f>IF([2]Entry!$K$813="","",[2]Entry!$K$813)</f>
        <v/>
      </c>
      <c r="AD810">
        <f>IF([2]Entry!$L$813="","",[2]Entry!$L$813)</f>
        <v/>
      </c>
      <c r="AE810">
        <f>IF([2]Entry!$M$813="","",[2]Entry!$M$813)</f>
        <v/>
      </c>
      <c r="AF810">
        <f>IF([2]Entry!$N$813="","",[2]Entry!$N$813)</f>
        <v/>
      </c>
      <c r="AJ810">
        <f>IF([2]Entry!$S$813="","",[2]Entry!$S$813)</f>
        <v/>
      </c>
      <c r="AK810">
        <f>IF([2]Entry!$C$813="","",[2]Entry!$C$813)</f>
        <v/>
      </c>
      <c r="AL810">
        <f>IF([2]Entry!$D$813="","",[2]Entry!$D$813)</f>
        <v/>
      </c>
      <c r="AX810">
        <f>IF([4]Entry!$E$813="","",[4]Entry!$E$813)</f>
        <v/>
      </c>
      <c r="AY810">
        <f>IF([4]Entry!$H$813="","",[4]Entry!$H$813)</f>
        <v/>
      </c>
      <c r="AZ810">
        <f>IF([4]Entry!$I$813="","",[4]Entry!$I$813)</f>
        <v/>
      </c>
    </row>
    <row r="811">
      <c r="Z811">
        <f>IF([2]Entry!$E$814="","",[2]Entry!$E$814)</f>
        <v/>
      </c>
      <c r="AA811">
        <f>IF([2]Entry!$G$814="","",[2]Entry!$G$814)</f>
        <v/>
      </c>
      <c r="AB811">
        <f>IF([2]Entry!$J$814="","",[2]Entry!$J$814)</f>
        <v/>
      </c>
      <c r="AC811">
        <f>IF([2]Entry!$K$814="","",[2]Entry!$K$814)</f>
        <v/>
      </c>
      <c r="AD811">
        <f>IF([2]Entry!$L$814="","",[2]Entry!$L$814)</f>
        <v/>
      </c>
      <c r="AE811">
        <f>IF([2]Entry!$M$814="","",[2]Entry!$M$814)</f>
        <v/>
      </c>
      <c r="AF811">
        <f>IF([2]Entry!$N$814="","",[2]Entry!$N$814)</f>
        <v/>
      </c>
      <c r="AJ811">
        <f>IF([2]Entry!$S$814="","",[2]Entry!$S$814)</f>
        <v/>
      </c>
      <c r="AK811">
        <f>IF([2]Entry!$C$814="","",[2]Entry!$C$814)</f>
        <v/>
      </c>
      <c r="AL811">
        <f>IF([2]Entry!$D$814="","",[2]Entry!$D$814)</f>
        <v/>
      </c>
      <c r="AX811">
        <f>IF([4]Entry!$E$814="","",[4]Entry!$E$814)</f>
        <v/>
      </c>
      <c r="AY811">
        <f>IF([4]Entry!$H$814="","",[4]Entry!$H$814)</f>
        <v/>
      </c>
      <c r="AZ811">
        <f>IF([4]Entry!$I$814="","",[4]Entry!$I$814)</f>
        <v/>
      </c>
    </row>
    <row r="812">
      <c r="Z812">
        <f>IF([2]Entry!$E$815="","",[2]Entry!$E$815)</f>
        <v/>
      </c>
      <c r="AA812">
        <f>IF([2]Entry!$G$815="","",[2]Entry!$G$815)</f>
        <v/>
      </c>
      <c r="AB812">
        <f>IF([2]Entry!$J$815="","",[2]Entry!$J$815)</f>
        <v/>
      </c>
      <c r="AC812">
        <f>IF([2]Entry!$K$815="","",[2]Entry!$K$815)</f>
        <v/>
      </c>
      <c r="AD812">
        <f>IF([2]Entry!$L$815="","",[2]Entry!$L$815)</f>
        <v/>
      </c>
      <c r="AE812">
        <f>IF([2]Entry!$M$815="","",[2]Entry!$M$815)</f>
        <v/>
      </c>
      <c r="AF812">
        <f>IF([2]Entry!$N$815="","",[2]Entry!$N$815)</f>
        <v/>
      </c>
      <c r="AJ812">
        <f>IF([2]Entry!$S$815="","",[2]Entry!$S$815)</f>
        <v/>
      </c>
      <c r="AK812">
        <f>IF([2]Entry!$C$815="","",[2]Entry!$C$815)</f>
        <v/>
      </c>
      <c r="AL812">
        <f>IF([2]Entry!$D$815="","",[2]Entry!$D$815)</f>
        <v/>
      </c>
      <c r="AX812">
        <f>IF([4]Entry!$E$815="","",[4]Entry!$E$815)</f>
        <v/>
      </c>
      <c r="AY812">
        <f>IF([4]Entry!$H$815="","",[4]Entry!$H$815)</f>
        <v/>
      </c>
      <c r="AZ812">
        <f>IF([4]Entry!$I$815="","",[4]Entry!$I$815)</f>
        <v/>
      </c>
    </row>
    <row r="813">
      <c r="Z813">
        <f>IF([2]Entry!$E$816="","",[2]Entry!$E$816)</f>
        <v/>
      </c>
      <c r="AA813">
        <f>IF([2]Entry!$G$816="","",[2]Entry!$G$816)</f>
        <v/>
      </c>
      <c r="AB813">
        <f>IF([2]Entry!$J$816="","",[2]Entry!$J$816)</f>
        <v/>
      </c>
      <c r="AC813">
        <f>IF([2]Entry!$K$816="","",[2]Entry!$K$816)</f>
        <v/>
      </c>
      <c r="AD813">
        <f>IF([2]Entry!$L$816="","",[2]Entry!$L$816)</f>
        <v/>
      </c>
      <c r="AE813">
        <f>IF([2]Entry!$M$816="","",[2]Entry!$M$816)</f>
        <v/>
      </c>
      <c r="AF813">
        <f>IF([2]Entry!$N$816="","",[2]Entry!$N$816)</f>
        <v/>
      </c>
      <c r="AJ813">
        <f>IF([2]Entry!$S$816="","",[2]Entry!$S$816)</f>
        <v/>
      </c>
      <c r="AK813">
        <f>IF([2]Entry!$C$816="","",[2]Entry!$C$816)</f>
        <v/>
      </c>
      <c r="AL813">
        <f>IF([2]Entry!$D$816="","",[2]Entry!$D$816)</f>
        <v/>
      </c>
      <c r="AX813">
        <f>IF([4]Entry!$E$816="","",[4]Entry!$E$816)</f>
        <v/>
      </c>
      <c r="AY813">
        <f>IF([4]Entry!$H$816="","",[4]Entry!$H$816)</f>
        <v/>
      </c>
      <c r="AZ813">
        <f>IF([4]Entry!$I$816="","",[4]Entry!$I$816)</f>
        <v/>
      </c>
    </row>
    <row r="814">
      <c r="Z814">
        <f>IF([2]Entry!$E$817="","",[2]Entry!$E$817)</f>
        <v/>
      </c>
      <c r="AA814">
        <f>IF([2]Entry!$G$817="","",[2]Entry!$G$817)</f>
        <v/>
      </c>
      <c r="AB814">
        <f>IF([2]Entry!$J$817="","",[2]Entry!$J$817)</f>
        <v/>
      </c>
      <c r="AC814">
        <f>IF([2]Entry!$K$817="","",[2]Entry!$K$817)</f>
        <v/>
      </c>
      <c r="AD814">
        <f>IF([2]Entry!$L$817="","",[2]Entry!$L$817)</f>
        <v/>
      </c>
      <c r="AE814">
        <f>IF([2]Entry!$M$817="","",[2]Entry!$M$817)</f>
        <v/>
      </c>
      <c r="AF814">
        <f>IF([2]Entry!$N$817="","",[2]Entry!$N$817)</f>
        <v/>
      </c>
      <c r="AJ814">
        <f>IF([2]Entry!$S$817="","",[2]Entry!$S$817)</f>
        <v/>
      </c>
      <c r="AK814">
        <f>IF([2]Entry!$C$817="","",[2]Entry!$C$817)</f>
        <v/>
      </c>
      <c r="AL814">
        <f>IF([2]Entry!$D$817="","",[2]Entry!$D$817)</f>
        <v/>
      </c>
      <c r="AX814">
        <f>IF([4]Entry!$E$817="","",[4]Entry!$E$817)</f>
        <v/>
      </c>
      <c r="AY814">
        <f>IF([4]Entry!$H$817="","",[4]Entry!$H$817)</f>
        <v/>
      </c>
      <c r="AZ814">
        <f>IF([4]Entry!$I$817="","",[4]Entry!$I$817)</f>
        <v/>
      </c>
    </row>
    <row r="815">
      <c r="Z815">
        <f>IF([2]Entry!$E$818="","",[2]Entry!$E$818)</f>
        <v/>
      </c>
      <c r="AA815">
        <f>IF([2]Entry!$G$818="","",[2]Entry!$G$818)</f>
        <v/>
      </c>
      <c r="AB815">
        <f>IF([2]Entry!$J$818="","",[2]Entry!$J$818)</f>
        <v/>
      </c>
      <c r="AC815">
        <f>IF([2]Entry!$K$818="","",[2]Entry!$K$818)</f>
        <v/>
      </c>
      <c r="AD815">
        <f>IF([2]Entry!$L$818="","",[2]Entry!$L$818)</f>
        <v/>
      </c>
      <c r="AE815">
        <f>IF([2]Entry!$M$818="","",[2]Entry!$M$818)</f>
        <v/>
      </c>
      <c r="AF815">
        <f>IF([2]Entry!$N$818="","",[2]Entry!$N$818)</f>
        <v/>
      </c>
      <c r="AJ815">
        <f>IF([2]Entry!$S$818="","",[2]Entry!$S$818)</f>
        <v/>
      </c>
      <c r="AK815">
        <f>IF([2]Entry!$C$818="","",[2]Entry!$C$818)</f>
        <v/>
      </c>
      <c r="AL815">
        <f>IF([2]Entry!$D$818="","",[2]Entry!$D$818)</f>
        <v/>
      </c>
      <c r="AX815">
        <f>IF([4]Entry!$E$818="","",[4]Entry!$E$818)</f>
        <v/>
      </c>
      <c r="AY815">
        <f>IF([4]Entry!$H$818="","",[4]Entry!$H$818)</f>
        <v/>
      </c>
      <c r="AZ815">
        <f>IF([4]Entry!$I$818="","",[4]Entry!$I$818)</f>
        <v/>
      </c>
    </row>
    <row r="816">
      <c r="Z816">
        <f>IF([2]Entry!$E$819="","",[2]Entry!$E$819)</f>
        <v/>
      </c>
      <c r="AA816">
        <f>IF([2]Entry!$G$819="","",[2]Entry!$G$819)</f>
        <v/>
      </c>
      <c r="AB816">
        <f>IF([2]Entry!$J$819="","",[2]Entry!$J$819)</f>
        <v/>
      </c>
      <c r="AC816">
        <f>IF([2]Entry!$K$819="","",[2]Entry!$K$819)</f>
        <v/>
      </c>
      <c r="AD816">
        <f>IF([2]Entry!$L$819="","",[2]Entry!$L$819)</f>
        <v/>
      </c>
      <c r="AE816">
        <f>IF([2]Entry!$M$819="","",[2]Entry!$M$819)</f>
        <v/>
      </c>
      <c r="AF816">
        <f>IF([2]Entry!$N$819="","",[2]Entry!$N$819)</f>
        <v/>
      </c>
      <c r="AJ816">
        <f>IF([2]Entry!$S$819="","",[2]Entry!$S$819)</f>
        <v/>
      </c>
      <c r="AK816">
        <f>IF([2]Entry!$C$819="","",[2]Entry!$C$819)</f>
        <v/>
      </c>
      <c r="AL816">
        <f>IF([2]Entry!$D$819="","",[2]Entry!$D$819)</f>
        <v/>
      </c>
      <c r="AX816">
        <f>IF([4]Entry!$E$819="","",[4]Entry!$E$819)</f>
        <v/>
      </c>
      <c r="AY816">
        <f>IF([4]Entry!$H$819="","",[4]Entry!$H$819)</f>
        <v/>
      </c>
      <c r="AZ816">
        <f>IF([4]Entry!$I$819="","",[4]Entry!$I$819)</f>
        <v/>
      </c>
    </row>
    <row r="817">
      <c r="Z817">
        <f>IF([2]Entry!$E$820="","",[2]Entry!$E$820)</f>
        <v/>
      </c>
      <c r="AA817">
        <f>IF([2]Entry!$G$820="","",[2]Entry!$G$820)</f>
        <v/>
      </c>
      <c r="AB817">
        <f>IF([2]Entry!$J$820="","",[2]Entry!$J$820)</f>
        <v/>
      </c>
      <c r="AC817">
        <f>IF([2]Entry!$K$820="","",[2]Entry!$K$820)</f>
        <v/>
      </c>
      <c r="AD817">
        <f>IF([2]Entry!$L$820="","",[2]Entry!$L$820)</f>
        <v/>
      </c>
      <c r="AE817">
        <f>IF([2]Entry!$M$820="","",[2]Entry!$M$820)</f>
        <v/>
      </c>
      <c r="AF817">
        <f>IF([2]Entry!$N$820="","",[2]Entry!$N$820)</f>
        <v/>
      </c>
      <c r="AJ817">
        <f>IF([2]Entry!$S$820="","",[2]Entry!$S$820)</f>
        <v/>
      </c>
      <c r="AK817">
        <f>IF([2]Entry!$C$820="","",[2]Entry!$C$820)</f>
        <v/>
      </c>
      <c r="AL817">
        <f>IF([2]Entry!$D$820="","",[2]Entry!$D$820)</f>
        <v/>
      </c>
      <c r="AX817">
        <f>IF([4]Entry!$E$820="","",[4]Entry!$E$820)</f>
        <v/>
      </c>
      <c r="AY817">
        <f>IF([4]Entry!$H$820="","",[4]Entry!$H$820)</f>
        <v/>
      </c>
      <c r="AZ817">
        <f>IF([4]Entry!$I$820="","",[4]Entry!$I$820)</f>
        <v/>
      </c>
    </row>
    <row r="818">
      <c r="Z818">
        <f>IF([2]Entry!$E$821="","",[2]Entry!$E$821)</f>
        <v/>
      </c>
      <c r="AA818">
        <f>IF([2]Entry!$G$821="","",[2]Entry!$G$821)</f>
        <v/>
      </c>
      <c r="AB818">
        <f>IF([2]Entry!$J$821="","",[2]Entry!$J$821)</f>
        <v/>
      </c>
      <c r="AC818">
        <f>IF([2]Entry!$K$821="","",[2]Entry!$K$821)</f>
        <v/>
      </c>
      <c r="AD818">
        <f>IF([2]Entry!$L$821="","",[2]Entry!$L$821)</f>
        <v/>
      </c>
      <c r="AE818">
        <f>IF([2]Entry!$M$821="","",[2]Entry!$M$821)</f>
        <v/>
      </c>
      <c r="AF818">
        <f>IF([2]Entry!$N$821="","",[2]Entry!$N$821)</f>
        <v/>
      </c>
      <c r="AJ818">
        <f>IF([2]Entry!$S$821="","",[2]Entry!$S$821)</f>
        <v/>
      </c>
      <c r="AK818">
        <f>IF([2]Entry!$C$821="","",[2]Entry!$C$821)</f>
        <v/>
      </c>
      <c r="AL818">
        <f>IF([2]Entry!$D$821="","",[2]Entry!$D$821)</f>
        <v/>
      </c>
      <c r="AX818">
        <f>IF([4]Entry!$E$821="","",[4]Entry!$E$821)</f>
        <v/>
      </c>
      <c r="AY818">
        <f>IF([4]Entry!$H$821="","",[4]Entry!$H$821)</f>
        <v/>
      </c>
      <c r="AZ818">
        <f>IF([4]Entry!$I$821="","",[4]Entry!$I$821)</f>
        <v/>
      </c>
    </row>
    <row r="819">
      <c r="Z819">
        <f>IF([2]Entry!$E$822="","",[2]Entry!$E$822)</f>
        <v/>
      </c>
      <c r="AA819">
        <f>IF([2]Entry!$G$822="","",[2]Entry!$G$822)</f>
        <v/>
      </c>
      <c r="AB819">
        <f>IF([2]Entry!$J$822="","",[2]Entry!$J$822)</f>
        <v/>
      </c>
      <c r="AC819">
        <f>IF([2]Entry!$K$822="","",[2]Entry!$K$822)</f>
        <v/>
      </c>
      <c r="AD819">
        <f>IF([2]Entry!$L$822="","",[2]Entry!$L$822)</f>
        <v/>
      </c>
      <c r="AE819">
        <f>IF([2]Entry!$M$822="","",[2]Entry!$M$822)</f>
        <v/>
      </c>
      <c r="AF819">
        <f>IF([2]Entry!$N$822="","",[2]Entry!$N$822)</f>
        <v/>
      </c>
      <c r="AJ819">
        <f>IF([2]Entry!$S$822="","",[2]Entry!$S$822)</f>
        <v/>
      </c>
      <c r="AK819">
        <f>IF([2]Entry!$C$822="","",[2]Entry!$C$822)</f>
        <v/>
      </c>
      <c r="AL819">
        <f>IF([2]Entry!$D$822="","",[2]Entry!$D$822)</f>
        <v/>
      </c>
      <c r="AX819">
        <f>IF([4]Entry!$E$822="","",[4]Entry!$E$822)</f>
        <v/>
      </c>
      <c r="AY819">
        <f>IF([4]Entry!$H$822="","",[4]Entry!$H$822)</f>
        <v/>
      </c>
      <c r="AZ819">
        <f>IF([4]Entry!$I$822="","",[4]Entry!$I$822)</f>
        <v/>
      </c>
    </row>
    <row r="820">
      <c r="Z820">
        <f>IF([2]Entry!$E$823="","",[2]Entry!$E$823)</f>
        <v/>
      </c>
      <c r="AA820">
        <f>IF([2]Entry!$G$823="","",[2]Entry!$G$823)</f>
        <v/>
      </c>
      <c r="AB820">
        <f>IF([2]Entry!$J$823="","",[2]Entry!$J$823)</f>
        <v/>
      </c>
      <c r="AC820">
        <f>IF([2]Entry!$K$823="","",[2]Entry!$K$823)</f>
        <v/>
      </c>
      <c r="AD820">
        <f>IF([2]Entry!$L$823="","",[2]Entry!$L$823)</f>
        <v/>
      </c>
      <c r="AE820">
        <f>IF([2]Entry!$M$823="","",[2]Entry!$M$823)</f>
        <v/>
      </c>
      <c r="AF820">
        <f>IF([2]Entry!$N$823="","",[2]Entry!$N$823)</f>
        <v/>
      </c>
      <c r="AJ820">
        <f>IF([2]Entry!$S$823="","",[2]Entry!$S$823)</f>
        <v/>
      </c>
      <c r="AK820">
        <f>IF([2]Entry!$C$823="","",[2]Entry!$C$823)</f>
        <v/>
      </c>
      <c r="AL820">
        <f>IF([2]Entry!$D$823="","",[2]Entry!$D$823)</f>
        <v/>
      </c>
      <c r="AX820">
        <f>IF([4]Entry!$E$823="","",[4]Entry!$E$823)</f>
        <v/>
      </c>
      <c r="AY820">
        <f>IF([4]Entry!$H$823="","",[4]Entry!$H$823)</f>
        <v/>
      </c>
      <c r="AZ820">
        <f>IF([4]Entry!$I$823="","",[4]Entry!$I$823)</f>
        <v/>
      </c>
    </row>
    <row r="821">
      <c r="Z821">
        <f>IF([2]Entry!$E$824="","",[2]Entry!$E$824)</f>
        <v/>
      </c>
      <c r="AA821">
        <f>IF([2]Entry!$G$824="","",[2]Entry!$G$824)</f>
        <v/>
      </c>
      <c r="AB821">
        <f>IF([2]Entry!$J$824="","",[2]Entry!$J$824)</f>
        <v/>
      </c>
      <c r="AC821">
        <f>IF([2]Entry!$K$824="","",[2]Entry!$K$824)</f>
        <v/>
      </c>
      <c r="AD821">
        <f>IF([2]Entry!$L$824="","",[2]Entry!$L$824)</f>
        <v/>
      </c>
      <c r="AE821">
        <f>IF([2]Entry!$M$824="","",[2]Entry!$M$824)</f>
        <v/>
      </c>
      <c r="AF821">
        <f>IF([2]Entry!$N$824="","",[2]Entry!$N$824)</f>
        <v/>
      </c>
      <c r="AJ821">
        <f>IF([2]Entry!$S$824="","",[2]Entry!$S$824)</f>
        <v/>
      </c>
      <c r="AK821">
        <f>IF([2]Entry!$C$824="","",[2]Entry!$C$824)</f>
        <v/>
      </c>
      <c r="AL821">
        <f>IF([2]Entry!$D$824="","",[2]Entry!$D$824)</f>
        <v/>
      </c>
      <c r="AX821">
        <f>IF([4]Entry!$E$824="","",[4]Entry!$E$824)</f>
        <v/>
      </c>
      <c r="AY821">
        <f>IF([4]Entry!$H$824="","",[4]Entry!$H$824)</f>
        <v/>
      </c>
      <c r="AZ821">
        <f>IF([4]Entry!$I$824="","",[4]Entry!$I$824)</f>
        <v/>
      </c>
    </row>
    <row r="822">
      <c r="Z822">
        <f>IF([2]Entry!$E$825="","",[2]Entry!$E$825)</f>
        <v/>
      </c>
      <c r="AA822">
        <f>IF([2]Entry!$G$825="","",[2]Entry!$G$825)</f>
        <v/>
      </c>
      <c r="AB822">
        <f>IF([2]Entry!$J$825="","",[2]Entry!$J$825)</f>
        <v/>
      </c>
      <c r="AC822">
        <f>IF([2]Entry!$K$825="","",[2]Entry!$K$825)</f>
        <v/>
      </c>
      <c r="AD822">
        <f>IF([2]Entry!$L$825="","",[2]Entry!$L$825)</f>
        <v/>
      </c>
      <c r="AE822">
        <f>IF([2]Entry!$M$825="","",[2]Entry!$M$825)</f>
        <v/>
      </c>
      <c r="AF822">
        <f>IF([2]Entry!$N$825="","",[2]Entry!$N$825)</f>
        <v/>
      </c>
      <c r="AJ822">
        <f>IF([2]Entry!$S$825="","",[2]Entry!$S$825)</f>
        <v/>
      </c>
      <c r="AK822">
        <f>IF([2]Entry!$C$825="","",[2]Entry!$C$825)</f>
        <v/>
      </c>
      <c r="AL822">
        <f>IF([2]Entry!$D$825="","",[2]Entry!$D$825)</f>
        <v/>
      </c>
      <c r="AX822">
        <f>IF([4]Entry!$E$825="","",[4]Entry!$E$825)</f>
        <v/>
      </c>
      <c r="AY822">
        <f>IF([4]Entry!$H$825="","",[4]Entry!$H$825)</f>
        <v/>
      </c>
      <c r="AZ822">
        <f>IF([4]Entry!$I$825="","",[4]Entry!$I$825)</f>
        <v/>
      </c>
    </row>
    <row r="823">
      <c r="Z823">
        <f>IF([2]Entry!$E$826="","",[2]Entry!$E$826)</f>
        <v/>
      </c>
      <c r="AA823">
        <f>IF([2]Entry!$G$826="","",[2]Entry!$G$826)</f>
        <v/>
      </c>
      <c r="AB823">
        <f>IF([2]Entry!$J$826="","",[2]Entry!$J$826)</f>
        <v/>
      </c>
      <c r="AC823">
        <f>IF([2]Entry!$K$826="","",[2]Entry!$K$826)</f>
        <v/>
      </c>
      <c r="AD823">
        <f>IF([2]Entry!$L$826="","",[2]Entry!$L$826)</f>
        <v/>
      </c>
      <c r="AE823">
        <f>IF([2]Entry!$M$826="","",[2]Entry!$M$826)</f>
        <v/>
      </c>
      <c r="AF823">
        <f>IF([2]Entry!$N$826="","",[2]Entry!$N$826)</f>
        <v/>
      </c>
      <c r="AJ823">
        <f>IF([2]Entry!$S$826="","",[2]Entry!$S$826)</f>
        <v/>
      </c>
      <c r="AK823">
        <f>IF([2]Entry!$C$826="","",[2]Entry!$C$826)</f>
        <v/>
      </c>
      <c r="AL823">
        <f>IF([2]Entry!$D$826="","",[2]Entry!$D$826)</f>
        <v/>
      </c>
      <c r="AX823">
        <f>IF([4]Entry!$E$826="","",[4]Entry!$E$826)</f>
        <v/>
      </c>
      <c r="AY823">
        <f>IF([4]Entry!$H$826="","",[4]Entry!$H$826)</f>
        <v/>
      </c>
      <c r="AZ823">
        <f>IF([4]Entry!$I$826="","",[4]Entry!$I$826)</f>
        <v/>
      </c>
    </row>
    <row r="824">
      <c r="Z824">
        <f>IF([2]Entry!$E$827="","",[2]Entry!$E$827)</f>
        <v/>
      </c>
      <c r="AA824">
        <f>IF([2]Entry!$G$827="","",[2]Entry!$G$827)</f>
        <v/>
      </c>
      <c r="AB824">
        <f>IF([2]Entry!$J$827="","",[2]Entry!$J$827)</f>
        <v/>
      </c>
      <c r="AC824">
        <f>IF([2]Entry!$K$827="","",[2]Entry!$K$827)</f>
        <v/>
      </c>
      <c r="AD824">
        <f>IF([2]Entry!$L$827="","",[2]Entry!$L$827)</f>
        <v/>
      </c>
      <c r="AE824">
        <f>IF([2]Entry!$M$827="","",[2]Entry!$M$827)</f>
        <v/>
      </c>
      <c r="AF824">
        <f>IF([2]Entry!$N$827="","",[2]Entry!$N$827)</f>
        <v/>
      </c>
      <c r="AJ824">
        <f>IF([2]Entry!$S$827="","",[2]Entry!$S$827)</f>
        <v/>
      </c>
      <c r="AK824">
        <f>IF([2]Entry!$C$827="","",[2]Entry!$C$827)</f>
        <v/>
      </c>
      <c r="AL824">
        <f>IF([2]Entry!$D$827="","",[2]Entry!$D$827)</f>
        <v/>
      </c>
      <c r="AX824">
        <f>IF([4]Entry!$E$827="","",[4]Entry!$E$827)</f>
        <v/>
      </c>
      <c r="AY824">
        <f>IF([4]Entry!$H$827="","",[4]Entry!$H$827)</f>
        <v/>
      </c>
      <c r="AZ824">
        <f>IF([4]Entry!$I$827="","",[4]Entry!$I$827)</f>
        <v/>
      </c>
    </row>
    <row r="825">
      <c r="Z825">
        <f>IF([2]Entry!$E$828="","",[2]Entry!$E$828)</f>
        <v/>
      </c>
      <c r="AA825">
        <f>IF([2]Entry!$G$828="","",[2]Entry!$G$828)</f>
        <v/>
      </c>
      <c r="AB825">
        <f>IF([2]Entry!$J$828="","",[2]Entry!$J$828)</f>
        <v/>
      </c>
      <c r="AC825">
        <f>IF([2]Entry!$K$828="","",[2]Entry!$K$828)</f>
        <v/>
      </c>
      <c r="AD825">
        <f>IF([2]Entry!$L$828="","",[2]Entry!$L$828)</f>
        <v/>
      </c>
      <c r="AE825">
        <f>IF([2]Entry!$M$828="","",[2]Entry!$M$828)</f>
        <v/>
      </c>
      <c r="AF825">
        <f>IF([2]Entry!$N$828="","",[2]Entry!$N$828)</f>
        <v/>
      </c>
      <c r="AJ825">
        <f>IF([2]Entry!$S$828="","",[2]Entry!$S$828)</f>
        <v/>
      </c>
      <c r="AK825">
        <f>IF([2]Entry!$C$828="","",[2]Entry!$C$828)</f>
        <v/>
      </c>
      <c r="AL825">
        <f>IF([2]Entry!$D$828="","",[2]Entry!$D$828)</f>
        <v/>
      </c>
      <c r="AX825">
        <f>IF([4]Entry!$E$828="","",[4]Entry!$E$828)</f>
        <v/>
      </c>
      <c r="AY825">
        <f>IF([4]Entry!$H$828="","",[4]Entry!$H$828)</f>
        <v/>
      </c>
      <c r="AZ825">
        <f>IF([4]Entry!$I$828="","",[4]Entry!$I$828)</f>
        <v/>
      </c>
    </row>
    <row r="826">
      <c r="Z826">
        <f>IF([2]Entry!$E$829="","",[2]Entry!$E$829)</f>
        <v/>
      </c>
      <c r="AA826">
        <f>IF([2]Entry!$G$829="","",[2]Entry!$G$829)</f>
        <v/>
      </c>
      <c r="AB826">
        <f>IF([2]Entry!$J$829="","",[2]Entry!$J$829)</f>
        <v/>
      </c>
      <c r="AC826">
        <f>IF([2]Entry!$K$829="","",[2]Entry!$K$829)</f>
        <v/>
      </c>
      <c r="AD826">
        <f>IF([2]Entry!$L$829="","",[2]Entry!$L$829)</f>
        <v/>
      </c>
      <c r="AE826">
        <f>IF([2]Entry!$M$829="","",[2]Entry!$M$829)</f>
        <v/>
      </c>
      <c r="AF826">
        <f>IF([2]Entry!$N$829="","",[2]Entry!$N$829)</f>
        <v/>
      </c>
      <c r="AJ826">
        <f>IF([2]Entry!$S$829="","",[2]Entry!$S$829)</f>
        <v/>
      </c>
      <c r="AK826">
        <f>IF([2]Entry!$C$829="","",[2]Entry!$C$829)</f>
        <v/>
      </c>
      <c r="AL826">
        <f>IF([2]Entry!$D$829="","",[2]Entry!$D$829)</f>
        <v/>
      </c>
      <c r="AX826">
        <f>IF([4]Entry!$E$829="","",[4]Entry!$E$829)</f>
        <v/>
      </c>
      <c r="AY826">
        <f>IF([4]Entry!$H$829="","",[4]Entry!$H$829)</f>
        <v/>
      </c>
      <c r="AZ826">
        <f>IF([4]Entry!$I$829="","",[4]Entry!$I$829)</f>
        <v/>
      </c>
    </row>
    <row r="827">
      <c r="Z827">
        <f>IF([2]Entry!$E$830="","",[2]Entry!$E$830)</f>
        <v/>
      </c>
      <c r="AA827">
        <f>IF([2]Entry!$G$830="","",[2]Entry!$G$830)</f>
        <v/>
      </c>
      <c r="AB827">
        <f>IF([2]Entry!$J$830="","",[2]Entry!$J$830)</f>
        <v/>
      </c>
      <c r="AC827">
        <f>IF([2]Entry!$K$830="","",[2]Entry!$K$830)</f>
        <v/>
      </c>
      <c r="AD827">
        <f>IF([2]Entry!$L$830="","",[2]Entry!$L$830)</f>
        <v/>
      </c>
      <c r="AE827">
        <f>IF([2]Entry!$M$830="","",[2]Entry!$M$830)</f>
        <v/>
      </c>
      <c r="AF827">
        <f>IF([2]Entry!$N$830="","",[2]Entry!$N$830)</f>
        <v/>
      </c>
      <c r="AJ827">
        <f>IF([2]Entry!$S$830="","",[2]Entry!$S$830)</f>
        <v/>
      </c>
      <c r="AK827">
        <f>IF([2]Entry!$C$830="","",[2]Entry!$C$830)</f>
        <v/>
      </c>
      <c r="AL827">
        <f>IF([2]Entry!$D$830="","",[2]Entry!$D$830)</f>
        <v/>
      </c>
      <c r="AX827">
        <f>IF([4]Entry!$E$830="","",[4]Entry!$E$830)</f>
        <v/>
      </c>
      <c r="AY827">
        <f>IF([4]Entry!$H$830="","",[4]Entry!$H$830)</f>
        <v/>
      </c>
      <c r="AZ827">
        <f>IF([4]Entry!$I$830="","",[4]Entry!$I$830)</f>
        <v/>
      </c>
    </row>
    <row r="828">
      <c r="Z828">
        <f>IF([2]Entry!$E$831="","",[2]Entry!$E$831)</f>
        <v/>
      </c>
      <c r="AA828">
        <f>IF([2]Entry!$G$831="","",[2]Entry!$G$831)</f>
        <v/>
      </c>
      <c r="AB828">
        <f>IF([2]Entry!$J$831="","",[2]Entry!$J$831)</f>
        <v/>
      </c>
      <c r="AC828">
        <f>IF([2]Entry!$K$831="","",[2]Entry!$K$831)</f>
        <v/>
      </c>
      <c r="AD828">
        <f>IF([2]Entry!$L$831="","",[2]Entry!$L$831)</f>
        <v/>
      </c>
      <c r="AE828">
        <f>IF([2]Entry!$M$831="","",[2]Entry!$M$831)</f>
        <v/>
      </c>
      <c r="AF828">
        <f>IF([2]Entry!$N$831="","",[2]Entry!$N$831)</f>
        <v/>
      </c>
      <c r="AJ828">
        <f>IF([2]Entry!$S$831="","",[2]Entry!$S$831)</f>
        <v/>
      </c>
      <c r="AK828">
        <f>IF([2]Entry!$C$831="","",[2]Entry!$C$831)</f>
        <v/>
      </c>
      <c r="AL828">
        <f>IF([2]Entry!$D$831="","",[2]Entry!$D$831)</f>
        <v/>
      </c>
      <c r="AX828">
        <f>IF([4]Entry!$E$831="","",[4]Entry!$E$831)</f>
        <v/>
      </c>
      <c r="AY828">
        <f>IF([4]Entry!$H$831="","",[4]Entry!$H$831)</f>
        <v/>
      </c>
      <c r="AZ828">
        <f>IF([4]Entry!$I$831="","",[4]Entry!$I$831)</f>
        <v/>
      </c>
    </row>
    <row r="829">
      <c r="Z829">
        <f>IF([2]Entry!$E$832="","",[2]Entry!$E$832)</f>
        <v/>
      </c>
      <c r="AA829">
        <f>IF([2]Entry!$G$832="","",[2]Entry!$G$832)</f>
        <v/>
      </c>
      <c r="AB829">
        <f>IF([2]Entry!$J$832="","",[2]Entry!$J$832)</f>
        <v/>
      </c>
      <c r="AC829">
        <f>IF([2]Entry!$K$832="","",[2]Entry!$K$832)</f>
        <v/>
      </c>
      <c r="AD829">
        <f>IF([2]Entry!$L$832="","",[2]Entry!$L$832)</f>
        <v/>
      </c>
      <c r="AE829">
        <f>IF([2]Entry!$M$832="","",[2]Entry!$M$832)</f>
        <v/>
      </c>
      <c r="AF829">
        <f>IF([2]Entry!$N$832="","",[2]Entry!$N$832)</f>
        <v/>
      </c>
      <c r="AJ829">
        <f>IF([2]Entry!$S$832="","",[2]Entry!$S$832)</f>
        <v/>
      </c>
      <c r="AK829">
        <f>IF([2]Entry!$C$832="","",[2]Entry!$C$832)</f>
        <v/>
      </c>
      <c r="AL829">
        <f>IF([2]Entry!$D$832="","",[2]Entry!$D$832)</f>
        <v/>
      </c>
      <c r="AX829">
        <f>IF([4]Entry!$E$832="","",[4]Entry!$E$832)</f>
        <v/>
      </c>
      <c r="AY829">
        <f>IF([4]Entry!$H$832="","",[4]Entry!$H$832)</f>
        <v/>
      </c>
      <c r="AZ829">
        <f>IF([4]Entry!$I$832="","",[4]Entry!$I$832)</f>
        <v/>
      </c>
    </row>
    <row r="830">
      <c r="Z830">
        <f>IF([2]Entry!$E$833="","",[2]Entry!$E$833)</f>
        <v/>
      </c>
      <c r="AA830">
        <f>IF([2]Entry!$G$833="","",[2]Entry!$G$833)</f>
        <v/>
      </c>
      <c r="AB830">
        <f>IF([2]Entry!$J$833="","",[2]Entry!$J$833)</f>
        <v/>
      </c>
      <c r="AC830">
        <f>IF([2]Entry!$K$833="","",[2]Entry!$K$833)</f>
        <v/>
      </c>
      <c r="AD830">
        <f>IF([2]Entry!$L$833="","",[2]Entry!$L$833)</f>
        <v/>
      </c>
      <c r="AE830">
        <f>IF([2]Entry!$M$833="","",[2]Entry!$M$833)</f>
        <v/>
      </c>
      <c r="AF830">
        <f>IF([2]Entry!$N$833="","",[2]Entry!$N$833)</f>
        <v/>
      </c>
      <c r="AJ830">
        <f>IF([2]Entry!$S$833="","",[2]Entry!$S$833)</f>
        <v/>
      </c>
      <c r="AK830">
        <f>IF([2]Entry!$C$833="","",[2]Entry!$C$833)</f>
        <v/>
      </c>
      <c r="AL830">
        <f>IF([2]Entry!$D$833="","",[2]Entry!$D$833)</f>
        <v/>
      </c>
      <c r="AX830">
        <f>IF([4]Entry!$E$833="","",[4]Entry!$E$833)</f>
        <v/>
      </c>
      <c r="AY830">
        <f>IF([4]Entry!$H$833="","",[4]Entry!$H$833)</f>
        <v/>
      </c>
      <c r="AZ830">
        <f>IF([4]Entry!$I$833="","",[4]Entry!$I$833)</f>
        <v/>
      </c>
    </row>
    <row r="831">
      <c r="Z831">
        <f>IF([2]Entry!$E$834="","",[2]Entry!$E$834)</f>
        <v/>
      </c>
      <c r="AA831">
        <f>IF([2]Entry!$G$834="","",[2]Entry!$G$834)</f>
        <v/>
      </c>
      <c r="AB831">
        <f>IF([2]Entry!$J$834="","",[2]Entry!$J$834)</f>
        <v/>
      </c>
      <c r="AC831">
        <f>IF([2]Entry!$K$834="","",[2]Entry!$K$834)</f>
        <v/>
      </c>
      <c r="AD831">
        <f>IF([2]Entry!$L$834="","",[2]Entry!$L$834)</f>
        <v/>
      </c>
      <c r="AE831">
        <f>IF([2]Entry!$M$834="","",[2]Entry!$M$834)</f>
        <v/>
      </c>
      <c r="AF831">
        <f>IF([2]Entry!$N$834="","",[2]Entry!$N$834)</f>
        <v/>
      </c>
      <c r="AJ831">
        <f>IF([2]Entry!$S$834="","",[2]Entry!$S$834)</f>
        <v/>
      </c>
      <c r="AK831">
        <f>IF([2]Entry!$C$834="","",[2]Entry!$C$834)</f>
        <v/>
      </c>
      <c r="AL831">
        <f>IF([2]Entry!$D$834="","",[2]Entry!$D$834)</f>
        <v/>
      </c>
      <c r="AX831">
        <f>IF([4]Entry!$E$834="","",[4]Entry!$E$834)</f>
        <v/>
      </c>
      <c r="AY831">
        <f>IF([4]Entry!$H$834="","",[4]Entry!$H$834)</f>
        <v/>
      </c>
      <c r="AZ831">
        <f>IF([4]Entry!$I$834="","",[4]Entry!$I$834)</f>
        <v/>
      </c>
    </row>
    <row r="832">
      <c r="Z832">
        <f>IF([2]Entry!$E$835="","",[2]Entry!$E$835)</f>
        <v/>
      </c>
      <c r="AA832">
        <f>IF([2]Entry!$G$835="","",[2]Entry!$G$835)</f>
        <v/>
      </c>
      <c r="AB832">
        <f>IF([2]Entry!$J$835="","",[2]Entry!$J$835)</f>
        <v/>
      </c>
      <c r="AC832">
        <f>IF([2]Entry!$K$835="","",[2]Entry!$K$835)</f>
        <v/>
      </c>
      <c r="AD832">
        <f>IF([2]Entry!$L$835="","",[2]Entry!$L$835)</f>
        <v/>
      </c>
      <c r="AE832">
        <f>IF([2]Entry!$M$835="","",[2]Entry!$M$835)</f>
        <v/>
      </c>
      <c r="AF832">
        <f>IF([2]Entry!$N$835="","",[2]Entry!$N$835)</f>
        <v/>
      </c>
      <c r="AJ832">
        <f>IF([2]Entry!$S$835="","",[2]Entry!$S$835)</f>
        <v/>
      </c>
      <c r="AK832">
        <f>IF([2]Entry!$C$835="","",[2]Entry!$C$835)</f>
        <v/>
      </c>
      <c r="AL832">
        <f>IF([2]Entry!$D$835="","",[2]Entry!$D$835)</f>
        <v/>
      </c>
      <c r="AX832">
        <f>IF([4]Entry!$E$835="","",[4]Entry!$E$835)</f>
        <v/>
      </c>
      <c r="AY832">
        <f>IF([4]Entry!$H$835="","",[4]Entry!$H$835)</f>
        <v/>
      </c>
      <c r="AZ832">
        <f>IF([4]Entry!$I$835="","",[4]Entry!$I$835)</f>
        <v/>
      </c>
    </row>
    <row r="833">
      <c r="Z833">
        <f>IF([2]Entry!$E$836="","",[2]Entry!$E$836)</f>
        <v/>
      </c>
      <c r="AA833">
        <f>IF([2]Entry!$G$836="","",[2]Entry!$G$836)</f>
        <v/>
      </c>
      <c r="AB833">
        <f>IF([2]Entry!$J$836="","",[2]Entry!$J$836)</f>
        <v/>
      </c>
      <c r="AC833">
        <f>IF([2]Entry!$K$836="","",[2]Entry!$K$836)</f>
        <v/>
      </c>
      <c r="AD833">
        <f>IF([2]Entry!$L$836="","",[2]Entry!$L$836)</f>
        <v/>
      </c>
      <c r="AE833">
        <f>IF([2]Entry!$M$836="","",[2]Entry!$M$836)</f>
        <v/>
      </c>
      <c r="AF833">
        <f>IF([2]Entry!$N$836="","",[2]Entry!$N$836)</f>
        <v/>
      </c>
      <c r="AJ833">
        <f>IF([2]Entry!$S$836="","",[2]Entry!$S$836)</f>
        <v/>
      </c>
      <c r="AK833">
        <f>IF([2]Entry!$C$836="","",[2]Entry!$C$836)</f>
        <v/>
      </c>
      <c r="AL833">
        <f>IF([2]Entry!$D$836="","",[2]Entry!$D$836)</f>
        <v/>
      </c>
      <c r="AX833">
        <f>IF([4]Entry!$E$836="","",[4]Entry!$E$836)</f>
        <v/>
      </c>
      <c r="AY833">
        <f>IF([4]Entry!$H$836="","",[4]Entry!$H$836)</f>
        <v/>
      </c>
      <c r="AZ833">
        <f>IF([4]Entry!$I$836="","",[4]Entry!$I$836)</f>
        <v/>
      </c>
    </row>
    <row r="834">
      <c r="Z834">
        <f>IF([2]Entry!$E$837="","",[2]Entry!$E$837)</f>
        <v/>
      </c>
      <c r="AA834">
        <f>IF([2]Entry!$G$837="","",[2]Entry!$G$837)</f>
        <v/>
      </c>
      <c r="AB834">
        <f>IF([2]Entry!$J$837="","",[2]Entry!$J$837)</f>
        <v/>
      </c>
      <c r="AC834">
        <f>IF([2]Entry!$K$837="","",[2]Entry!$K$837)</f>
        <v/>
      </c>
      <c r="AD834">
        <f>IF([2]Entry!$L$837="","",[2]Entry!$L$837)</f>
        <v/>
      </c>
      <c r="AE834">
        <f>IF([2]Entry!$M$837="","",[2]Entry!$M$837)</f>
        <v/>
      </c>
      <c r="AF834">
        <f>IF([2]Entry!$N$837="","",[2]Entry!$N$837)</f>
        <v/>
      </c>
      <c r="AJ834">
        <f>IF([2]Entry!$S$837="","",[2]Entry!$S$837)</f>
        <v/>
      </c>
      <c r="AK834">
        <f>IF([2]Entry!$C$837="","",[2]Entry!$C$837)</f>
        <v/>
      </c>
      <c r="AL834">
        <f>IF([2]Entry!$D$837="","",[2]Entry!$D$837)</f>
        <v/>
      </c>
      <c r="AX834">
        <f>IF([4]Entry!$E$837="","",[4]Entry!$E$837)</f>
        <v/>
      </c>
      <c r="AY834">
        <f>IF([4]Entry!$H$837="","",[4]Entry!$H$837)</f>
        <v/>
      </c>
      <c r="AZ834">
        <f>IF([4]Entry!$I$837="","",[4]Entry!$I$837)</f>
        <v/>
      </c>
    </row>
    <row r="835">
      <c r="Z835">
        <f>IF([2]Entry!$E$838="","",[2]Entry!$E$838)</f>
        <v/>
      </c>
      <c r="AA835">
        <f>IF([2]Entry!$G$838="","",[2]Entry!$G$838)</f>
        <v/>
      </c>
      <c r="AB835">
        <f>IF([2]Entry!$J$838="","",[2]Entry!$J$838)</f>
        <v/>
      </c>
      <c r="AC835">
        <f>IF([2]Entry!$K$838="","",[2]Entry!$K$838)</f>
        <v/>
      </c>
      <c r="AD835">
        <f>IF([2]Entry!$L$838="","",[2]Entry!$L$838)</f>
        <v/>
      </c>
      <c r="AE835">
        <f>IF([2]Entry!$M$838="","",[2]Entry!$M$838)</f>
        <v/>
      </c>
      <c r="AF835">
        <f>IF([2]Entry!$N$838="","",[2]Entry!$N$838)</f>
        <v/>
      </c>
      <c r="AJ835">
        <f>IF([2]Entry!$S$838="","",[2]Entry!$S$838)</f>
        <v/>
      </c>
      <c r="AK835">
        <f>IF([2]Entry!$C$838="","",[2]Entry!$C$838)</f>
        <v/>
      </c>
      <c r="AL835">
        <f>IF([2]Entry!$D$838="","",[2]Entry!$D$838)</f>
        <v/>
      </c>
      <c r="AX835">
        <f>IF([4]Entry!$E$838="","",[4]Entry!$E$838)</f>
        <v/>
      </c>
      <c r="AY835">
        <f>IF([4]Entry!$H$838="","",[4]Entry!$H$838)</f>
        <v/>
      </c>
      <c r="AZ835">
        <f>IF([4]Entry!$I$838="","",[4]Entry!$I$838)</f>
        <v/>
      </c>
    </row>
    <row r="836">
      <c r="Z836">
        <f>IF([2]Entry!$E$839="","",[2]Entry!$E$839)</f>
        <v/>
      </c>
      <c r="AA836">
        <f>IF([2]Entry!$G$839="","",[2]Entry!$G$839)</f>
        <v/>
      </c>
      <c r="AB836">
        <f>IF([2]Entry!$J$839="","",[2]Entry!$J$839)</f>
        <v/>
      </c>
      <c r="AC836">
        <f>IF([2]Entry!$K$839="","",[2]Entry!$K$839)</f>
        <v/>
      </c>
      <c r="AD836">
        <f>IF([2]Entry!$L$839="","",[2]Entry!$L$839)</f>
        <v/>
      </c>
      <c r="AE836">
        <f>IF([2]Entry!$M$839="","",[2]Entry!$M$839)</f>
        <v/>
      </c>
      <c r="AF836">
        <f>IF([2]Entry!$N$839="","",[2]Entry!$N$839)</f>
        <v/>
      </c>
      <c r="AJ836">
        <f>IF([2]Entry!$S$839="","",[2]Entry!$S$839)</f>
        <v/>
      </c>
      <c r="AK836">
        <f>IF([2]Entry!$C$839="","",[2]Entry!$C$839)</f>
        <v/>
      </c>
      <c r="AL836">
        <f>IF([2]Entry!$D$839="","",[2]Entry!$D$839)</f>
        <v/>
      </c>
      <c r="AX836">
        <f>IF([4]Entry!$E$839="","",[4]Entry!$E$839)</f>
        <v/>
      </c>
      <c r="AY836">
        <f>IF([4]Entry!$H$839="","",[4]Entry!$H$839)</f>
        <v/>
      </c>
      <c r="AZ836">
        <f>IF([4]Entry!$I$839="","",[4]Entry!$I$839)</f>
        <v/>
      </c>
    </row>
    <row r="837">
      <c r="Z837">
        <f>IF([2]Entry!$E$840="","",[2]Entry!$E$840)</f>
        <v/>
      </c>
      <c r="AA837">
        <f>IF([2]Entry!$G$840="","",[2]Entry!$G$840)</f>
        <v/>
      </c>
      <c r="AB837">
        <f>IF([2]Entry!$J$840="","",[2]Entry!$J$840)</f>
        <v/>
      </c>
      <c r="AC837">
        <f>IF([2]Entry!$K$840="","",[2]Entry!$K$840)</f>
        <v/>
      </c>
      <c r="AD837">
        <f>IF([2]Entry!$L$840="","",[2]Entry!$L$840)</f>
        <v/>
      </c>
      <c r="AE837">
        <f>IF([2]Entry!$M$840="","",[2]Entry!$M$840)</f>
        <v/>
      </c>
      <c r="AF837">
        <f>IF([2]Entry!$N$840="","",[2]Entry!$N$840)</f>
        <v/>
      </c>
      <c r="AJ837">
        <f>IF([2]Entry!$S$840="","",[2]Entry!$S$840)</f>
        <v/>
      </c>
      <c r="AK837">
        <f>IF([2]Entry!$C$840="","",[2]Entry!$C$840)</f>
        <v/>
      </c>
      <c r="AL837">
        <f>IF([2]Entry!$D$840="","",[2]Entry!$D$840)</f>
        <v/>
      </c>
      <c r="AX837">
        <f>IF([4]Entry!$E$840="","",[4]Entry!$E$840)</f>
        <v/>
      </c>
      <c r="AY837">
        <f>IF([4]Entry!$H$840="","",[4]Entry!$H$840)</f>
        <v/>
      </c>
      <c r="AZ837">
        <f>IF([4]Entry!$I$840="","",[4]Entry!$I$840)</f>
        <v/>
      </c>
    </row>
    <row r="838">
      <c r="Z838">
        <f>IF([2]Entry!$E$841="","",[2]Entry!$E$841)</f>
        <v/>
      </c>
      <c r="AA838">
        <f>IF([2]Entry!$G$841="","",[2]Entry!$G$841)</f>
        <v/>
      </c>
      <c r="AB838">
        <f>IF([2]Entry!$J$841="","",[2]Entry!$J$841)</f>
        <v/>
      </c>
      <c r="AC838">
        <f>IF([2]Entry!$K$841="","",[2]Entry!$K$841)</f>
        <v/>
      </c>
      <c r="AD838">
        <f>IF([2]Entry!$L$841="","",[2]Entry!$L$841)</f>
        <v/>
      </c>
      <c r="AE838">
        <f>IF([2]Entry!$M$841="","",[2]Entry!$M$841)</f>
        <v/>
      </c>
      <c r="AF838">
        <f>IF([2]Entry!$N$841="","",[2]Entry!$N$841)</f>
        <v/>
      </c>
      <c r="AJ838">
        <f>IF([2]Entry!$S$841="","",[2]Entry!$S$841)</f>
        <v/>
      </c>
      <c r="AK838">
        <f>IF([2]Entry!$C$841="","",[2]Entry!$C$841)</f>
        <v/>
      </c>
      <c r="AL838">
        <f>IF([2]Entry!$D$841="","",[2]Entry!$D$841)</f>
        <v/>
      </c>
      <c r="AX838">
        <f>IF([4]Entry!$E$841="","",[4]Entry!$E$841)</f>
        <v/>
      </c>
      <c r="AY838">
        <f>IF([4]Entry!$H$841="","",[4]Entry!$H$841)</f>
        <v/>
      </c>
      <c r="AZ838">
        <f>IF([4]Entry!$I$841="","",[4]Entry!$I$841)</f>
        <v/>
      </c>
    </row>
    <row r="839">
      <c r="Z839">
        <f>IF([2]Entry!$E$842="","",[2]Entry!$E$842)</f>
        <v/>
      </c>
      <c r="AA839">
        <f>IF([2]Entry!$G$842="","",[2]Entry!$G$842)</f>
        <v/>
      </c>
      <c r="AB839">
        <f>IF([2]Entry!$J$842="","",[2]Entry!$J$842)</f>
        <v/>
      </c>
      <c r="AC839">
        <f>IF([2]Entry!$K$842="","",[2]Entry!$K$842)</f>
        <v/>
      </c>
      <c r="AD839">
        <f>IF([2]Entry!$L$842="","",[2]Entry!$L$842)</f>
        <v/>
      </c>
      <c r="AE839">
        <f>IF([2]Entry!$M$842="","",[2]Entry!$M$842)</f>
        <v/>
      </c>
      <c r="AF839">
        <f>IF([2]Entry!$N$842="","",[2]Entry!$N$842)</f>
        <v/>
      </c>
      <c r="AJ839">
        <f>IF([2]Entry!$S$842="","",[2]Entry!$S$842)</f>
        <v/>
      </c>
      <c r="AK839">
        <f>IF([2]Entry!$C$842="","",[2]Entry!$C$842)</f>
        <v/>
      </c>
      <c r="AL839">
        <f>IF([2]Entry!$D$842="","",[2]Entry!$D$842)</f>
        <v/>
      </c>
      <c r="AX839">
        <f>IF([4]Entry!$E$842="","",[4]Entry!$E$842)</f>
        <v/>
      </c>
      <c r="AY839">
        <f>IF([4]Entry!$H$842="","",[4]Entry!$H$842)</f>
        <v/>
      </c>
      <c r="AZ839">
        <f>IF([4]Entry!$I$842="","",[4]Entry!$I$842)</f>
        <v/>
      </c>
    </row>
    <row r="840">
      <c r="Z840">
        <f>IF([2]Entry!$E$843="","",[2]Entry!$E$843)</f>
        <v/>
      </c>
      <c r="AA840">
        <f>IF([2]Entry!$G$843="","",[2]Entry!$G$843)</f>
        <v/>
      </c>
      <c r="AB840">
        <f>IF([2]Entry!$J$843="","",[2]Entry!$J$843)</f>
        <v/>
      </c>
      <c r="AC840">
        <f>IF([2]Entry!$K$843="","",[2]Entry!$K$843)</f>
        <v/>
      </c>
      <c r="AD840">
        <f>IF([2]Entry!$L$843="","",[2]Entry!$L$843)</f>
        <v/>
      </c>
      <c r="AE840">
        <f>IF([2]Entry!$M$843="","",[2]Entry!$M$843)</f>
        <v/>
      </c>
      <c r="AF840">
        <f>IF([2]Entry!$N$843="","",[2]Entry!$N$843)</f>
        <v/>
      </c>
      <c r="AJ840">
        <f>IF([2]Entry!$S$843="","",[2]Entry!$S$843)</f>
        <v/>
      </c>
      <c r="AK840">
        <f>IF([2]Entry!$C$843="","",[2]Entry!$C$843)</f>
        <v/>
      </c>
      <c r="AL840">
        <f>IF([2]Entry!$D$843="","",[2]Entry!$D$843)</f>
        <v/>
      </c>
      <c r="AX840">
        <f>IF([4]Entry!$E$843="","",[4]Entry!$E$843)</f>
        <v/>
      </c>
      <c r="AY840">
        <f>IF([4]Entry!$H$843="","",[4]Entry!$H$843)</f>
        <v/>
      </c>
      <c r="AZ840">
        <f>IF([4]Entry!$I$843="","",[4]Entry!$I$843)</f>
        <v/>
      </c>
    </row>
    <row r="841">
      <c r="Z841">
        <f>IF([2]Entry!$E$844="","",[2]Entry!$E$844)</f>
        <v/>
      </c>
      <c r="AA841">
        <f>IF([2]Entry!$G$844="","",[2]Entry!$G$844)</f>
        <v/>
      </c>
      <c r="AB841">
        <f>IF([2]Entry!$J$844="","",[2]Entry!$J$844)</f>
        <v/>
      </c>
      <c r="AC841">
        <f>IF([2]Entry!$K$844="","",[2]Entry!$K$844)</f>
        <v/>
      </c>
      <c r="AD841">
        <f>IF([2]Entry!$L$844="","",[2]Entry!$L$844)</f>
        <v/>
      </c>
      <c r="AE841">
        <f>IF([2]Entry!$M$844="","",[2]Entry!$M$844)</f>
        <v/>
      </c>
      <c r="AF841">
        <f>IF([2]Entry!$N$844="","",[2]Entry!$N$844)</f>
        <v/>
      </c>
      <c r="AJ841">
        <f>IF([2]Entry!$S$844="","",[2]Entry!$S$844)</f>
        <v/>
      </c>
      <c r="AK841">
        <f>IF([2]Entry!$C$844="","",[2]Entry!$C$844)</f>
        <v/>
      </c>
      <c r="AL841">
        <f>IF([2]Entry!$D$844="","",[2]Entry!$D$844)</f>
        <v/>
      </c>
      <c r="AX841">
        <f>IF([4]Entry!$E$844="","",[4]Entry!$E$844)</f>
        <v/>
      </c>
      <c r="AY841">
        <f>IF([4]Entry!$H$844="","",[4]Entry!$H$844)</f>
        <v/>
      </c>
      <c r="AZ841">
        <f>IF([4]Entry!$I$844="","",[4]Entry!$I$844)</f>
        <v/>
      </c>
    </row>
    <row r="842">
      <c r="Z842">
        <f>IF([2]Entry!$E$845="","",[2]Entry!$E$845)</f>
        <v/>
      </c>
      <c r="AA842">
        <f>IF([2]Entry!$G$845="","",[2]Entry!$G$845)</f>
        <v/>
      </c>
      <c r="AB842">
        <f>IF([2]Entry!$J$845="","",[2]Entry!$J$845)</f>
        <v/>
      </c>
      <c r="AC842">
        <f>IF([2]Entry!$K$845="","",[2]Entry!$K$845)</f>
        <v/>
      </c>
      <c r="AD842">
        <f>IF([2]Entry!$L$845="","",[2]Entry!$L$845)</f>
        <v/>
      </c>
      <c r="AE842">
        <f>IF([2]Entry!$M$845="","",[2]Entry!$M$845)</f>
        <v/>
      </c>
      <c r="AF842">
        <f>IF([2]Entry!$N$845="","",[2]Entry!$N$845)</f>
        <v/>
      </c>
      <c r="AJ842">
        <f>IF([2]Entry!$S$845="","",[2]Entry!$S$845)</f>
        <v/>
      </c>
      <c r="AK842">
        <f>IF([2]Entry!$C$845="","",[2]Entry!$C$845)</f>
        <v/>
      </c>
      <c r="AL842">
        <f>IF([2]Entry!$D$845="","",[2]Entry!$D$845)</f>
        <v/>
      </c>
      <c r="AX842">
        <f>IF([4]Entry!$E$845="","",[4]Entry!$E$845)</f>
        <v/>
      </c>
      <c r="AY842">
        <f>IF([4]Entry!$H$845="","",[4]Entry!$H$845)</f>
        <v/>
      </c>
      <c r="AZ842">
        <f>IF([4]Entry!$I$845="","",[4]Entry!$I$845)</f>
        <v/>
      </c>
    </row>
    <row r="843">
      <c r="Z843">
        <f>IF([2]Entry!$E$846="","",[2]Entry!$E$846)</f>
        <v/>
      </c>
      <c r="AA843">
        <f>IF([2]Entry!$G$846="","",[2]Entry!$G$846)</f>
        <v/>
      </c>
      <c r="AB843">
        <f>IF([2]Entry!$J$846="","",[2]Entry!$J$846)</f>
        <v/>
      </c>
      <c r="AC843">
        <f>IF([2]Entry!$K$846="","",[2]Entry!$K$846)</f>
        <v/>
      </c>
      <c r="AD843">
        <f>IF([2]Entry!$L$846="","",[2]Entry!$L$846)</f>
        <v/>
      </c>
      <c r="AE843">
        <f>IF([2]Entry!$M$846="","",[2]Entry!$M$846)</f>
        <v/>
      </c>
      <c r="AF843">
        <f>IF([2]Entry!$N$846="","",[2]Entry!$N$846)</f>
        <v/>
      </c>
      <c r="AJ843">
        <f>IF([2]Entry!$S$846="","",[2]Entry!$S$846)</f>
        <v/>
      </c>
      <c r="AK843">
        <f>IF([2]Entry!$C$846="","",[2]Entry!$C$846)</f>
        <v/>
      </c>
      <c r="AL843">
        <f>IF([2]Entry!$D$846="","",[2]Entry!$D$846)</f>
        <v/>
      </c>
      <c r="AX843">
        <f>IF([4]Entry!$E$846="","",[4]Entry!$E$846)</f>
        <v/>
      </c>
      <c r="AY843">
        <f>IF([4]Entry!$H$846="","",[4]Entry!$H$846)</f>
        <v/>
      </c>
      <c r="AZ843">
        <f>IF([4]Entry!$I$846="","",[4]Entry!$I$846)</f>
        <v/>
      </c>
    </row>
    <row r="844">
      <c r="Z844">
        <f>IF([2]Entry!$E$847="","",[2]Entry!$E$847)</f>
        <v/>
      </c>
      <c r="AA844">
        <f>IF([2]Entry!$G$847="","",[2]Entry!$G$847)</f>
        <v/>
      </c>
      <c r="AB844">
        <f>IF([2]Entry!$J$847="","",[2]Entry!$J$847)</f>
        <v/>
      </c>
      <c r="AC844">
        <f>IF([2]Entry!$K$847="","",[2]Entry!$K$847)</f>
        <v/>
      </c>
      <c r="AD844">
        <f>IF([2]Entry!$L$847="","",[2]Entry!$L$847)</f>
        <v/>
      </c>
      <c r="AE844">
        <f>IF([2]Entry!$M$847="","",[2]Entry!$M$847)</f>
        <v/>
      </c>
      <c r="AF844">
        <f>IF([2]Entry!$N$847="","",[2]Entry!$N$847)</f>
        <v/>
      </c>
      <c r="AJ844">
        <f>IF([2]Entry!$S$847="","",[2]Entry!$S$847)</f>
        <v/>
      </c>
      <c r="AK844">
        <f>IF([2]Entry!$C$847="","",[2]Entry!$C$847)</f>
        <v/>
      </c>
      <c r="AL844">
        <f>IF([2]Entry!$D$847="","",[2]Entry!$D$847)</f>
        <v/>
      </c>
      <c r="AX844">
        <f>IF([4]Entry!$E$847="","",[4]Entry!$E$847)</f>
        <v/>
      </c>
      <c r="AY844">
        <f>IF([4]Entry!$H$847="","",[4]Entry!$H$847)</f>
        <v/>
      </c>
      <c r="AZ844">
        <f>IF([4]Entry!$I$847="","",[4]Entry!$I$847)</f>
        <v/>
      </c>
    </row>
    <row r="845">
      <c r="Z845">
        <f>IF([2]Entry!$E$848="","",[2]Entry!$E$848)</f>
        <v/>
      </c>
      <c r="AA845">
        <f>IF([2]Entry!$G$848="","",[2]Entry!$G$848)</f>
        <v/>
      </c>
      <c r="AB845">
        <f>IF([2]Entry!$J$848="","",[2]Entry!$J$848)</f>
        <v/>
      </c>
      <c r="AC845">
        <f>IF([2]Entry!$K$848="","",[2]Entry!$K$848)</f>
        <v/>
      </c>
      <c r="AD845">
        <f>IF([2]Entry!$L$848="","",[2]Entry!$L$848)</f>
        <v/>
      </c>
      <c r="AE845">
        <f>IF([2]Entry!$M$848="","",[2]Entry!$M$848)</f>
        <v/>
      </c>
      <c r="AF845">
        <f>IF([2]Entry!$N$848="","",[2]Entry!$N$848)</f>
        <v/>
      </c>
      <c r="AJ845">
        <f>IF([2]Entry!$S$848="","",[2]Entry!$S$848)</f>
        <v/>
      </c>
      <c r="AK845">
        <f>IF([2]Entry!$C$848="","",[2]Entry!$C$848)</f>
        <v/>
      </c>
      <c r="AL845">
        <f>IF([2]Entry!$D$848="","",[2]Entry!$D$848)</f>
        <v/>
      </c>
      <c r="AX845">
        <f>IF([4]Entry!$E$848="","",[4]Entry!$E$848)</f>
        <v/>
      </c>
      <c r="AY845">
        <f>IF([4]Entry!$H$848="","",[4]Entry!$H$848)</f>
        <v/>
      </c>
      <c r="AZ845">
        <f>IF([4]Entry!$I$848="","",[4]Entry!$I$848)</f>
        <v/>
      </c>
    </row>
    <row r="846">
      <c r="Z846">
        <f>IF([2]Entry!$E$849="","",[2]Entry!$E$849)</f>
        <v/>
      </c>
      <c r="AA846">
        <f>IF([2]Entry!$G$849="","",[2]Entry!$G$849)</f>
        <v/>
      </c>
      <c r="AB846">
        <f>IF([2]Entry!$J$849="","",[2]Entry!$J$849)</f>
        <v/>
      </c>
      <c r="AC846">
        <f>IF([2]Entry!$K$849="","",[2]Entry!$K$849)</f>
        <v/>
      </c>
      <c r="AD846">
        <f>IF([2]Entry!$L$849="","",[2]Entry!$L$849)</f>
        <v/>
      </c>
      <c r="AE846">
        <f>IF([2]Entry!$M$849="","",[2]Entry!$M$849)</f>
        <v/>
      </c>
      <c r="AF846">
        <f>IF([2]Entry!$N$849="","",[2]Entry!$N$849)</f>
        <v/>
      </c>
      <c r="AJ846">
        <f>IF([2]Entry!$S$849="","",[2]Entry!$S$849)</f>
        <v/>
      </c>
      <c r="AK846">
        <f>IF([2]Entry!$C$849="","",[2]Entry!$C$849)</f>
        <v/>
      </c>
      <c r="AL846">
        <f>IF([2]Entry!$D$849="","",[2]Entry!$D$849)</f>
        <v/>
      </c>
      <c r="AX846">
        <f>IF([4]Entry!$E$849="","",[4]Entry!$E$849)</f>
        <v/>
      </c>
      <c r="AY846">
        <f>IF([4]Entry!$H$849="","",[4]Entry!$H$849)</f>
        <v/>
      </c>
      <c r="AZ846">
        <f>IF([4]Entry!$I$849="","",[4]Entry!$I$849)</f>
        <v/>
      </c>
    </row>
    <row r="847">
      <c r="Z847">
        <f>IF([2]Entry!$E$850="","",[2]Entry!$E$850)</f>
        <v/>
      </c>
      <c r="AA847">
        <f>IF([2]Entry!$G$850="","",[2]Entry!$G$850)</f>
        <v/>
      </c>
      <c r="AB847">
        <f>IF([2]Entry!$J$850="","",[2]Entry!$J$850)</f>
        <v/>
      </c>
      <c r="AC847">
        <f>IF([2]Entry!$K$850="","",[2]Entry!$K$850)</f>
        <v/>
      </c>
      <c r="AD847">
        <f>IF([2]Entry!$L$850="","",[2]Entry!$L$850)</f>
        <v/>
      </c>
      <c r="AE847">
        <f>IF([2]Entry!$M$850="","",[2]Entry!$M$850)</f>
        <v/>
      </c>
      <c r="AF847">
        <f>IF([2]Entry!$N$850="","",[2]Entry!$N$850)</f>
        <v/>
      </c>
      <c r="AJ847">
        <f>IF([2]Entry!$S$850="","",[2]Entry!$S$850)</f>
        <v/>
      </c>
      <c r="AK847">
        <f>IF([2]Entry!$C$850="","",[2]Entry!$C$850)</f>
        <v/>
      </c>
      <c r="AL847">
        <f>IF([2]Entry!$D$850="","",[2]Entry!$D$850)</f>
        <v/>
      </c>
      <c r="AX847">
        <f>IF([4]Entry!$E$850="","",[4]Entry!$E$850)</f>
        <v/>
      </c>
      <c r="AY847">
        <f>IF([4]Entry!$H$850="","",[4]Entry!$H$850)</f>
        <v/>
      </c>
      <c r="AZ847">
        <f>IF([4]Entry!$I$850="","",[4]Entry!$I$850)</f>
        <v/>
      </c>
    </row>
    <row r="848">
      <c r="Z848">
        <f>IF([2]Entry!$E$851="","",[2]Entry!$E$851)</f>
        <v/>
      </c>
      <c r="AA848">
        <f>IF([2]Entry!$G$851="","",[2]Entry!$G$851)</f>
        <v/>
      </c>
      <c r="AB848">
        <f>IF([2]Entry!$J$851="","",[2]Entry!$J$851)</f>
        <v/>
      </c>
      <c r="AC848">
        <f>IF([2]Entry!$K$851="","",[2]Entry!$K$851)</f>
        <v/>
      </c>
      <c r="AD848">
        <f>IF([2]Entry!$L$851="","",[2]Entry!$L$851)</f>
        <v/>
      </c>
      <c r="AE848">
        <f>IF([2]Entry!$M$851="","",[2]Entry!$M$851)</f>
        <v/>
      </c>
      <c r="AF848">
        <f>IF([2]Entry!$N$851="","",[2]Entry!$N$851)</f>
        <v/>
      </c>
      <c r="AJ848">
        <f>IF([2]Entry!$S$851="","",[2]Entry!$S$851)</f>
        <v/>
      </c>
      <c r="AK848">
        <f>IF([2]Entry!$C$851="","",[2]Entry!$C$851)</f>
        <v/>
      </c>
      <c r="AL848">
        <f>IF([2]Entry!$D$851="","",[2]Entry!$D$851)</f>
        <v/>
      </c>
      <c r="AX848">
        <f>IF([4]Entry!$E$851="","",[4]Entry!$E$851)</f>
        <v/>
      </c>
      <c r="AY848">
        <f>IF([4]Entry!$H$851="","",[4]Entry!$H$851)</f>
        <v/>
      </c>
      <c r="AZ848">
        <f>IF([4]Entry!$I$851="","",[4]Entry!$I$851)</f>
        <v/>
      </c>
    </row>
    <row r="849">
      <c r="Z849">
        <f>IF([2]Entry!$E$852="","",[2]Entry!$E$852)</f>
        <v/>
      </c>
      <c r="AA849">
        <f>IF([2]Entry!$G$852="","",[2]Entry!$G$852)</f>
        <v/>
      </c>
      <c r="AB849">
        <f>IF([2]Entry!$J$852="","",[2]Entry!$J$852)</f>
        <v/>
      </c>
      <c r="AC849">
        <f>IF([2]Entry!$K$852="","",[2]Entry!$K$852)</f>
        <v/>
      </c>
      <c r="AD849">
        <f>IF([2]Entry!$L$852="","",[2]Entry!$L$852)</f>
        <v/>
      </c>
      <c r="AE849">
        <f>IF([2]Entry!$M$852="","",[2]Entry!$M$852)</f>
        <v/>
      </c>
      <c r="AF849">
        <f>IF([2]Entry!$N$852="","",[2]Entry!$N$852)</f>
        <v/>
      </c>
      <c r="AJ849">
        <f>IF([2]Entry!$S$852="","",[2]Entry!$S$852)</f>
        <v/>
      </c>
      <c r="AK849">
        <f>IF([2]Entry!$C$852="","",[2]Entry!$C$852)</f>
        <v/>
      </c>
      <c r="AL849">
        <f>IF([2]Entry!$D$852="","",[2]Entry!$D$852)</f>
        <v/>
      </c>
      <c r="AX849">
        <f>IF([4]Entry!$E$852="","",[4]Entry!$E$852)</f>
        <v/>
      </c>
      <c r="AY849">
        <f>IF([4]Entry!$H$852="","",[4]Entry!$H$852)</f>
        <v/>
      </c>
      <c r="AZ849">
        <f>IF([4]Entry!$I$852="","",[4]Entry!$I$852)</f>
        <v/>
      </c>
    </row>
    <row r="850">
      <c r="Z850">
        <f>IF([2]Entry!$E$853="","",[2]Entry!$E$853)</f>
        <v/>
      </c>
      <c r="AA850">
        <f>IF([2]Entry!$G$853="","",[2]Entry!$G$853)</f>
        <v/>
      </c>
      <c r="AB850">
        <f>IF([2]Entry!$J$853="","",[2]Entry!$J$853)</f>
        <v/>
      </c>
      <c r="AC850">
        <f>IF([2]Entry!$K$853="","",[2]Entry!$K$853)</f>
        <v/>
      </c>
      <c r="AD850">
        <f>IF([2]Entry!$L$853="","",[2]Entry!$L$853)</f>
        <v/>
      </c>
      <c r="AE850">
        <f>IF([2]Entry!$M$853="","",[2]Entry!$M$853)</f>
        <v/>
      </c>
      <c r="AF850">
        <f>IF([2]Entry!$N$853="","",[2]Entry!$N$853)</f>
        <v/>
      </c>
      <c r="AJ850">
        <f>IF([2]Entry!$S$853="","",[2]Entry!$S$853)</f>
        <v/>
      </c>
      <c r="AK850">
        <f>IF([2]Entry!$C$853="","",[2]Entry!$C$853)</f>
        <v/>
      </c>
      <c r="AL850">
        <f>IF([2]Entry!$D$853="","",[2]Entry!$D$853)</f>
        <v/>
      </c>
      <c r="AX850">
        <f>IF([4]Entry!$E$853="","",[4]Entry!$E$853)</f>
        <v/>
      </c>
      <c r="AY850">
        <f>IF([4]Entry!$H$853="","",[4]Entry!$H$853)</f>
        <v/>
      </c>
      <c r="AZ850">
        <f>IF([4]Entry!$I$853="","",[4]Entry!$I$853)</f>
        <v/>
      </c>
    </row>
    <row r="851">
      <c r="Z851">
        <f>IF([2]Entry!$E$854="","",[2]Entry!$E$854)</f>
        <v/>
      </c>
      <c r="AA851">
        <f>IF([2]Entry!$G$854="","",[2]Entry!$G$854)</f>
        <v/>
      </c>
      <c r="AB851">
        <f>IF([2]Entry!$J$854="","",[2]Entry!$J$854)</f>
        <v/>
      </c>
      <c r="AC851">
        <f>IF([2]Entry!$K$854="","",[2]Entry!$K$854)</f>
        <v/>
      </c>
      <c r="AD851">
        <f>IF([2]Entry!$L$854="","",[2]Entry!$L$854)</f>
        <v/>
      </c>
      <c r="AE851">
        <f>IF([2]Entry!$M$854="","",[2]Entry!$M$854)</f>
        <v/>
      </c>
      <c r="AF851">
        <f>IF([2]Entry!$N$854="","",[2]Entry!$N$854)</f>
        <v/>
      </c>
      <c r="AJ851">
        <f>IF([2]Entry!$S$854="","",[2]Entry!$S$854)</f>
        <v/>
      </c>
      <c r="AK851">
        <f>IF([2]Entry!$C$854="","",[2]Entry!$C$854)</f>
        <v/>
      </c>
      <c r="AL851">
        <f>IF([2]Entry!$D$854="","",[2]Entry!$D$854)</f>
        <v/>
      </c>
      <c r="AX851">
        <f>IF([4]Entry!$E$854="","",[4]Entry!$E$854)</f>
        <v/>
      </c>
      <c r="AY851">
        <f>IF([4]Entry!$H$854="","",[4]Entry!$H$854)</f>
        <v/>
      </c>
      <c r="AZ851">
        <f>IF([4]Entry!$I$854="","",[4]Entry!$I$854)</f>
        <v/>
      </c>
    </row>
    <row r="852">
      <c r="Z852">
        <f>IF([2]Entry!$E$855="","",[2]Entry!$E$855)</f>
        <v/>
      </c>
      <c r="AA852">
        <f>IF([2]Entry!$G$855="","",[2]Entry!$G$855)</f>
        <v/>
      </c>
      <c r="AB852">
        <f>IF([2]Entry!$J$855="","",[2]Entry!$J$855)</f>
        <v/>
      </c>
      <c r="AC852">
        <f>IF([2]Entry!$K$855="","",[2]Entry!$K$855)</f>
        <v/>
      </c>
      <c r="AD852">
        <f>IF([2]Entry!$L$855="","",[2]Entry!$L$855)</f>
        <v/>
      </c>
      <c r="AE852">
        <f>IF([2]Entry!$M$855="","",[2]Entry!$M$855)</f>
        <v/>
      </c>
      <c r="AF852">
        <f>IF([2]Entry!$N$855="","",[2]Entry!$N$855)</f>
        <v/>
      </c>
      <c r="AJ852">
        <f>IF([2]Entry!$S$855="","",[2]Entry!$S$855)</f>
        <v/>
      </c>
      <c r="AK852">
        <f>IF([2]Entry!$C$855="","",[2]Entry!$C$855)</f>
        <v/>
      </c>
      <c r="AL852">
        <f>IF([2]Entry!$D$855="","",[2]Entry!$D$855)</f>
        <v/>
      </c>
      <c r="AX852">
        <f>IF([4]Entry!$E$855="","",[4]Entry!$E$855)</f>
        <v/>
      </c>
      <c r="AY852">
        <f>IF([4]Entry!$H$855="","",[4]Entry!$H$855)</f>
        <v/>
      </c>
      <c r="AZ852">
        <f>IF([4]Entry!$I$855="","",[4]Entry!$I$855)</f>
        <v/>
      </c>
    </row>
    <row r="853">
      <c r="Z853">
        <f>IF([2]Entry!$E$856="","",[2]Entry!$E$856)</f>
        <v/>
      </c>
      <c r="AA853">
        <f>IF([2]Entry!$G$856="","",[2]Entry!$G$856)</f>
        <v/>
      </c>
      <c r="AB853">
        <f>IF([2]Entry!$J$856="","",[2]Entry!$J$856)</f>
        <v/>
      </c>
      <c r="AC853">
        <f>IF([2]Entry!$K$856="","",[2]Entry!$K$856)</f>
        <v/>
      </c>
      <c r="AD853">
        <f>IF([2]Entry!$L$856="","",[2]Entry!$L$856)</f>
        <v/>
      </c>
      <c r="AE853">
        <f>IF([2]Entry!$M$856="","",[2]Entry!$M$856)</f>
        <v/>
      </c>
      <c r="AF853">
        <f>IF([2]Entry!$N$856="","",[2]Entry!$N$856)</f>
        <v/>
      </c>
      <c r="AJ853">
        <f>IF([2]Entry!$S$856="","",[2]Entry!$S$856)</f>
        <v/>
      </c>
      <c r="AK853">
        <f>IF([2]Entry!$C$856="","",[2]Entry!$C$856)</f>
        <v/>
      </c>
      <c r="AL853">
        <f>IF([2]Entry!$D$856="","",[2]Entry!$D$856)</f>
        <v/>
      </c>
      <c r="AX853">
        <f>IF([4]Entry!$E$856="","",[4]Entry!$E$856)</f>
        <v/>
      </c>
      <c r="AY853">
        <f>IF([4]Entry!$H$856="","",[4]Entry!$H$856)</f>
        <v/>
      </c>
      <c r="AZ853">
        <f>IF([4]Entry!$I$856="","",[4]Entry!$I$856)</f>
        <v/>
      </c>
    </row>
    <row r="854">
      <c r="Z854">
        <f>IF([2]Entry!$E$857="","",[2]Entry!$E$857)</f>
        <v/>
      </c>
      <c r="AA854">
        <f>IF([2]Entry!$G$857="","",[2]Entry!$G$857)</f>
        <v/>
      </c>
      <c r="AB854">
        <f>IF([2]Entry!$J$857="","",[2]Entry!$J$857)</f>
        <v/>
      </c>
      <c r="AC854">
        <f>IF([2]Entry!$K$857="","",[2]Entry!$K$857)</f>
        <v/>
      </c>
      <c r="AD854">
        <f>IF([2]Entry!$L$857="","",[2]Entry!$L$857)</f>
        <v/>
      </c>
      <c r="AE854">
        <f>IF([2]Entry!$M$857="","",[2]Entry!$M$857)</f>
        <v/>
      </c>
      <c r="AF854">
        <f>IF([2]Entry!$N$857="","",[2]Entry!$N$857)</f>
        <v/>
      </c>
      <c r="AJ854">
        <f>IF([2]Entry!$S$857="","",[2]Entry!$S$857)</f>
        <v/>
      </c>
      <c r="AK854">
        <f>IF([2]Entry!$C$857="","",[2]Entry!$C$857)</f>
        <v/>
      </c>
      <c r="AL854">
        <f>IF([2]Entry!$D$857="","",[2]Entry!$D$857)</f>
        <v/>
      </c>
      <c r="AX854">
        <f>IF([4]Entry!$E$857="","",[4]Entry!$E$857)</f>
        <v/>
      </c>
      <c r="AY854">
        <f>IF([4]Entry!$H$857="","",[4]Entry!$H$857)</f>
        <v/>
      </c>
      <c r="AZ854">
        <f>IF([4]Entry!$I$857="","",[4]Entry!$I$857)</f>
        <v/>
      </c>
    </row>
    <row r="855">
      <c r="Z855">
        <f>IF([2]Entry!$E$858="","",[2]Entry!$E$858)</f>
        <v/>
      </c>
      <c r="AA855">
        <f>IF([2]Entry!$G$858="","",[2]Entry!$G$858)</f>
        <v/>
      </c>
      <c r="AB855">
        <f>IF([2]Entry!$J$858="","",[2]Entry!$J$858)</f>
        <v/>
      </c>
      <c r="AC855">
        <f>IF([2]Entry!$K$858="","",[2]Entry!$K$858)</f>
        <v/>
      </c>
      <c r="AD855">
        <f>IF([2]Entry!$L$858="","",[2]Entry!$L$858)</f>
        <v/>
      </c>
      <c r="AE855">
        <f>IF([2]Entry!$M$858="","",[2]Entry!$M$858)</f>
        <v/>
      </c>
      <c r="AF855">
        <f>IF([2]Entry!$N$858="","",[2]Entry!$N$858)</f>
        <v/>
      </c>
      <c r="AJ855">
        <f>IF([2]Entry!$S$858="","",[2]Entry!$S$858)</f>
        <v/>
      </c>
      <c r="AK855">
        <f>IF([2]Entry!$C$858="","",[2]Entry!$C$858)</f>
        <v/>
      </c>
      <c r="AL855">
        <f>IF([2]Entry!$D$858="","",[2]Entry!$D$858)</f>
        <v/>
      </c>
      <c r="AX855">
        <f>IF([4]Entry!$E$858="","",[4]Entry!$E$858)</f>
        <v/>
      </c>
      <c r="AY855">
        <f>IF([4]Entry!$H$858="","",[4]Entry!$H$858)</f>
        <v/>
      </c>
      <c r="AZ855">
        <f>IF([4]Entry!$I$858="","",[4]Entry!$I$858)</f>
        <v/>
      </c>
    </row>
    <row r="856">
      <c r="Z856">
        <f>IF([2]Entry!$E$859="","",[2]Entry!$E$859)</f>
        <v/>
      </c>
      <c r="AA856">
        <f>IF([2]Entry!$G$859="","",[2]Entry!$G$859)</f>
        <v/>
      </c>
      <c r="AB856">
        <f>IF([2]Entry!$J$859="","",[2]Entry!$J$859)</f>
        <v/>
      </c>
      <c r="AC856">
        <f>IF([2]Entry!$K$859="","",[2]Entry!$K$859)</f>
        <v/>
      </c>
      <c r="AD856">
        <f>IF([2]Entry!$L$859="","",[2]Entry!$L$859)</f>
        <v/>
      </c>
      <c r="AE856">
        <f>IF([2]Entry!$M$859="","",[2]Entry!$M$859)</f>
        <v/>
      </c>
      <c r="AF856">
        <f>IF([2]Entry!$N$859="","",[2]Entry!$N$859)</f>
        <v/>
      </c>
      <c r="AJ856">
        <f>IF([2]Entry!$S$859="","",[2]Entry!$S$859)</f>
        <v/>
      </c>
      <c r="AK856">
        <f>IF([2]Entry!$C$859="","",[2]Entry!$C$859)</f>
        <v/>
      </c>
      <c r="AL856">
        <f>IF([2]Entry!$D$859="","",[2]Entry!$D$859)</f>
        <v/>
      </c>
      <c r="AX856">
        <f>IF([4]Entry!$E$859="","",[4]Entry!$E$859)</f>
        <v/>
      </c>
      <c r="AY856">
        <f>IF([4]Entry!$H$859="","",[4]Entry!$H$859)</f>
        <v/>
      </c>
      <c r="AZ856">
        <f>IF([4]Entry!$I$859="","",[4]Entry!$I$859)</f>
        <v/>
      </c>
    </row>
    <row r="857">
      <c r="Z857">
        <f>IF([2]Entry!$E$860="","",[2]Entry!$E$860)</f>
        <v/>
      </c>
      <c r="AA857">
        <f>IF([2]Entry!$G$860="","",[2]Entry!$G$860)</f>
        <v/>
      </c>
      <c r="AB857">
        <f>IF([2]Entry!$J$860="","",[2]Entry!$J$860)</f>
        <v/>
      </c>
      <c r="AC857">
        <f>IF([2]Entry!$K$860="","",[2]Entry!$K$860)</f>
        <v/>
      </c>
      <c r="AD857">
        <f>IF([2]Entry!$L$860="","",[2]Entry!$L$860)</f>
        <v/>
      </c>
      <c r="AE857">
        <f>IF([2]Entry!$M$860="","",[2]Entry!$M$860)</f>
        <v/>
      </c>
      <c r="AF857">
        <f>IF([2]Entry!$N$860="","",[2]Entry!$N$860)</f>
        <v/>
      </c>
      <c r="AJ857">
        <f>IF([2]Entry!$S$860="","",[2]Entry!$S$860)</f>
        <v/>
      </c>
      <c r="AK857">
        <f>IF([2]Entry!$C$860="","",[2]Entry!$C$860)</f>
        <v/>
      </c>
      <c r="AL857">
        <f>IF([2]Entry!$D$860="","",[2]Entry!$D$860)</f>
        <v/>
      </c>
      <c r="AX857">
        <f>IF([4]Entry!$E$860="","",[4]Entry!$E$860)</f>
        <v/>
      </c>
      <c r="AY857">
        <f>IF([4]Entry!$H$860="","",[4]Entry!$H$860)</f>
        <v/>
      </c>
      <c r="AZ857">
        <f>IF([4]Entry!$I$860="","",[4]Entry!$I$860)</f>
        <v/>
      </c>
    </row>
    <row r="858">
      <c r="Z858">
        <f>IF([2]Entry!$E$861="","",[2]Entry!$E$861)</f>
        <v/>
      </c>
      <c r="AA858">
        <f>IF([2]Entry!$G$861="","",[2]Entry!$G$861)</f>
        <v/>
      </c>
      <c r="AB858">
        <f>IF([2]Entry!$J$861="","",[2]Entry!$J$861)</f>
        <v/>
      </c>
      <c r="AC858">
        <f>IF([2]Entry!$K$861="","",[2]Entry!$K$861)</f>
        <v/>
      </c>
      <c r="AD858">
        <f>IF([2]Entry!$L$861="","",[2]Entry!$L$861)</f>
        <v/>
      </c>
      <c r="AE858">
        <f>IF([2]Entry!$M$861="","",[2]Entry!$M$861)</f>
        <v/>
      </c>
      <c r="AF858">
        <f>IF([2]Entry!$N$861="","",[2]Entry!$N$861)</f>
        <v/>
      </c>
      <c r="AJ858">
        <f>IF([2]Entry!$S$861="","",[2]Entry!$S$861)</f>
        <v/>
      </c>
      <c r="AK858">
        <f>IF([2]Entry!$C$861="","",[2]Entry!$C$861)</f>
        <v/>
      </c>
      <c r="AL858">
        <f>IF([2]Entry!$D$861="","",[2]Entry!$D$861)</f>
        <v/>
      </c>
      <c r="AX858">
        <f>IF([4]Entry!$E$861="","",[4]Entry!$E$861)</f>
        <v/>
      </c>
      <c r="AY858">
        <f>IF([4]Entry!$H$861="","",[4]Entry!$H$861)</f>
        <v/>
      </c>
      <c r="AZ858">
        <f>IF([4]Entry!$I$861="","",[4]Entry!$I$861)</f>
        <v/>
      </c>
    </row>
    <row r="859">
      <c r="Z859">
        <f>IF([2]Entry!$E$862="","",[2]Entry!$E$862)</f>
        <v/>
      </c>
      <c r="AA859">
        <f>IF([2]Entry!$G$862="","",[2]Entry!$G$862)</f>
        <v/>
      </c>
      <c r="AB859">
        <f>IF([2]Entry!$J$862="","",[2]Entry!$J$862)</f>
        <v/>
      </c>
      <c r="AC859">
        <f>IF([2]Entry!$K$862="","",[2]Entry!$K$862)</f>
        <v/>
      </c>
      <c r="AD859">
        <f>IF([2]Entry!$L$862="","",[2]Entry!$L$862)</f>
        <v/>
      </c>
      <c r="AE859">
        <f>IF([2]Entry!$M$862="","",[2]Entry!$M$862)</f>
        <v/>
      </c>
      <c r="AF859">
        <f>IF([2]Entry!$N$862="","",[2]Entry!$N$862)</f>
        <v/>
      </c>
      <c r="AJ859">
        <f>IF([2]Entry!$S$862="","",[2]Entry!$S$862)</f>
        <v/>
      </c>
      <c r="AK859">
        <f>IF([2]Entry!$C$862="","",[2]Entry!$C$862)</f>
        <v/>
      </c>
      <c r="AL859">
        <f>IF([2]Entry!$D$862="","",[2]Entry!$D$862)</f>
        <v/>
      </c>
      <c r="AX859">
        <f>IF([4]Entry!$E$862="","",[4]Entry!$E$862)</f>
        <v/>
      </c>
      <c r="AY859">
        <f>IF([4]Entry!$H$862="","",[4]Entry!$H$862)</f>
        <v/>
      </c>
      <c r="AZ859">
        <f>IF([4]Entry!$I$862="","",[4]Entry!$I$862)</f>
        <v/>
      </c>
    </row>
    <row r="860">
      <c r="Z860">
        <f>IF([2]Entry!$E$863="","",[2]Entry!$E$863)</f>
        <v/>
      </c>
      <c r="AA860">
        <f>IF([2]Entry!$G$863="","",[2]Entry!$G$863)</f>
        <v/>
      </c>
      <c r="AB860">
        <f>IF([2]Entry!$J$863="","",[2]Entry!$J$863)</f>
        <v/>
      </c>
      <c r="AC860">
        <f>IF([2]Entry!$K$863="","",[2]Entry!$K$863)</f>
        <v/>
      </c>
      <c r="AD860">
        <f>IF([2]Entry!$L$863="","",[2]Entry!$L$863)</f>
        <v/>
      </c>
      <c r="AE860">
        <f>IF([2]Entry!$M$863="","",[2]Entry!$M$863)</f>
        <v/>
      </c>
      <c r="AF860">
        <f>IF([2]Entry!$N$863="","",[2]Entry!$N$863)</f>
        <v/>
      </c>
      <c r="AJ860">
        <f>IF([2]Entry!$S$863="","",[2]Entry!$S$863)</f>
        <v/>
      </c>
      <c r="AK860">
        <f>IF([2]Entry!$C$863="","",[2]Entry!$C$863)</f>
        <v/>
      </c>
      <c r="AL860">
        <f>IF([2]Entry!$D$863="","",[2]Entry!$D$863)</f>
        <v/>
      </c>
      <c r="AX860">
        <f>IF([4]Entry!$E$863="","",[4]Entry!$E$863)</f>
        <v/>
      </c>
      <c r="AY860">
        <f>IF([4]Entry!$H$863="","",[4]Entry!$H$863)</f>
        <v/>
      </c>
      <c r="AZ860">
        <f>IF([4]Entry!$I$863="","",[4]Entry!$I$863)</f>
        <v/>
      </c>
    </row>
    <row r="861">
      <c r="Z861">
        <f>IF([2]Entry!$E$864="","",[2]Entry!$E$864)</f>
        <v/>
      </c>
      <c r="AA861">
        <f>IF([2]Entry!$G$864="","",[2]Entry!$G$864)</f>
        <v/>
      </c>
      <c r="AB861">
        <f>IF([2]Entry!$J$864="","",[2]Entry!$J$864)</f>
        <v/>
      </c>
      <c r="AC861">
        <f>IF([2]Entry!$K$864="","",[2]Entry!$K$864)</f>
        <v/>
      </c>
      <c r="AD861">
        <f>IF([2]Entry!$L$864="","",[2]Entry!$L$864)</f>
        <v/>
      </c>
      <c r="AE861">
        <f>IF([2]Entry!$M$864="","",[2]Entry!$M$864)</f>
        <v/>
      </c>
      <c r="AF861">
        <f>IF([2]Entry!$N$864="","",[2]Entry!$N$864)</f>
        <v/>
      </c>
      <c r="AJ861">
        <f>IF([2]Entry!$S$864="","",[2]Entry!$S$864)</f>
        <v/>
      </c>
      <c r="AK861">
        <f>IF([2]Entry!$C$864="","",[2]Entry!$C$864)</f>
        <v/>
      </c>
      <c r="AL861">
        <f>IF([2]Entry!$D$864="","",[2]Entry!$D$864)</f>
        <v/>
      </c>
      <c r="AX861">
        <f>IF([4]Entry!$E$864="","",[4]Entry!$E$864)</f>
        <v/>
      </c>
      <c r="AY861">
        <f>IF([4]Entry!$H$864="","",[4]Entry!$H$864)</f>
        <v/>
      </c>
      <c r="AZ861">
        <f>IF([4]Entry!$I$864="","",[4]Entry!$I$864)</f>
        <v/>
      </c>
    </row>
    <row r="862">
      <c r="Z862">
        <f>IF([2]Entry!$E$865="","",[2]Entry!$E$865)</f>
        <v/>
      </c>
      <c r="AA862">
        <f>IF([2]Entry!$G$865="","",[2]Entry!$G$865)</f>
        <v/>
      </c>
      <c r="AB862">
        <f>IF([2]Entry!$J$865="","",[2]Entry!$J$865)</f>
        <v/>
      </c>
      <c r="AC862">
        <f>IF([2]Entry!$K$865="","",[2]Entry!$K$865)</f>
        <v/>
      </c>
      <c r="AD862">
        <f>IF([2]Entry!$L$865="","",[2]Entry!$L$865)</f>
        <v/>
      </c>
      <c r="AE862">
        <f>IF([2]Entry!$M$865="","",[2]Entry!$M$865)</f>
        <v/>
      </c>
      <c r="AF862">
        <f>IF([2]Entry!$N$865="","",[2]Entry!$N$865)</f>
        <v/>
      </c>
      <c r="AJ862">
        <f>IF([2]Entry!$S$865="","",[2]Entry!$S$865)</f>
        <v/>
      </c>
      <c r="AK862">
        <f>IF([2]Entry!$C$865="","",[2]Entry!$C$865)</f>
        <v/>
      </c>
      <c r="AL862">
        <f>IF([2]Entry!$D$865="","",[2]Entry!$D$865)</f>
        <v/>
      </c>
      <c r="AX862">
        <f>IF([4]Entry!$E$865="","",[4]Entry!$E$865)</f>
        <v/>
      </c>
      <c r="AY862">
        <f>IF([4]Entry!$H$865="","",[4]Entry!$H$865)</f>
        <v/>
      </c>
      <c r="AZ862">
        <f>IF([4]Entry!$I$865="","",[4]Entry!$I$865)</f>
        <v/>
      </c>
    </row>
    <row r="863">
      <c r="Z863">
        <f>IF([2]Entry!$E$866="","",[2]Entry!$E$866)</f>
        <v/>
      </c>
      <c r="AA863">
        <f>IF([2]Entry!$G$866="","",[2]Entry!$G$866)</f>
        <v/>
      </c>
      <c r="AB863">
        <f>IF([2]Entry!$J$866="","",[2]Entry!$J$866)</f>
        <v/>
      </c>
      <c r="AC863">
        <f>IF([2]Entry!$K$866="","",[2]Entry!$K$866)</f>
        <v/>
      </c>
      <c r="AD863">
        <f>IF([2]Entry!$L$866="","",[2]Entry!$L$866)</f>
        <v/>
      </c>
      <c r="AE863">
        <f>IF([2]Entry!$M$866="","",[2]Entry!$M$866)</f>
        <v/>
      </c>
      <c r="AF863">
        <f>IF([2]Entry!$N$866="","",[2]Entry!$N$866)</f>
        <v/>
      </c>
      <c r="AJ863">
        <f>IF([2]Entry!$S$866="","",[2]Entry!$S$866)</f>
        <v/>
      </c>
      <c r="AK863">
        <f>IF([2]Entry!$C$866="","",[2]Entry!$C$866)</f>
        <v/>
      </c>
      <c r="AL863">
        <f>IF([2]Entry!$D$866="","",[2]Entry!$D$866)</f>
        <v/>
      </c>
      <c r="AX863">
        <f>IF([4]Entry!$E$866="","",[4]Entry!$E$866)</f>
        <v/>
      </c>
      <c r="AY863">
        <f>IF([4]Entry!$H$866="","",[4]Entry!$H$866)</f>
        <v/>
      </c>
      <c r="AZ863">
        <f>IF([4]Entry!$I$866="","",[4]Entry!$I$866)</f>
        <v/>
      </c>
    </row>
    <row r="864">
      <c r="Z864">
        <f>IF([2]Entry!$E$867="","",[2]Entry!$E$867)</f>
        <v/>
      </c>
      <c r="AA864">
        <f>IF([2]Entry!$G$867="","",[2]Entry!$G$867)</f>
        <v/>
      </c>
      <c r="AB864">
        <f>IF([2]Entry!$J$867="","",[2]Entry!$J$867)</f>
        <v/>
      </c>
      <c r="AC864">
        <f>IF([2]Entry!$K$867="","",[2]Entry!$K$867)</f>
        <v/>
      </c>
      <c r="AD864">
        <f>IF([2]Entry!$L$867="","",[2]Entry!$L$867)</f>
        <v/>
      </c>
      <c r="AE864">
        <f>IF([2]Entry!$M$867="","",[2]Entry!$M$867)</f>
        <v/>
      </c>
      <c r="AF864">
        <f>IF([2]Entry!$N$867="","",[2]Entry!$N$867)</f>
        <v/>
      </c>
      <c r="AJ864">
        <f>IF([2]Entry!$S$867="","",[2]Entry!$S$867)</f>
        <v/>
      </c>
      <c r="AK864">
        <f>IF([2]Entry!$C$867="","",[2]Entry!$C$867)</f>
        <v/>
      </c>
      <c r="AL864">
        <f>IF([2]Entry!$D$867="","",[2]Entry!$D$867)</f>
        <v/>
      </c>
      <c r="AX864">
        <f>IF([4]Entry!$E$867="","",[4]Entry!$E$867)</f>
        <v/>
      </c>
      <c r="AY864">
        <f>IF([4]Entry!$H$867="","",[4]Entry!$H$867)</f>
        <v/>
      </c>
      <c r="AZ864">
        <f>IF([4]Entry!$I$867="","",[4]Entry!$I$867)</f>
        <v/>
      </c>
    </row>
    <row r="865">
      <c r="Z865">
        <f>IF([2]Entry!$E$868="","",[2]Entry!$E$868)</f>
        <v/>
      </c>
      <c r="AA865">
        <f>IF([2]Entry!$G$868="","",[2]Entry!$G$868)</f>
        <v/>
      </c>
      <c r="AB865">
        <f>IF([2]Entry!$J$868="","",[2]Entry!$J$868)</f>
        <v/>
      </c>
      <c r="AC865">
        <f>IF([2]Entry!$K$868="","",[2]Entry!$K$868)</f>
        <v/>
      </c>
      <c r="AD865">
        <f>IF([2]Entry!$L$868="","",[2]Entry!$L$868)</f>
        <v/>
      </c>
      <c r="AE865">
        <f>IF([2]Entry!$M$868="","",[2]Entry!$M$868)</f>
        <v/>
      </c>
      <c r="AF865">
        <f>IF([2]Entry!$N$868="","",[2]Entry!$N$868)</f>
        <v/>
      </c>
      <c r="AJ865">
        <f>IF([2]Entry!$S$868="","",[2]Entry!$S$868)</f>
        <v/>
      </c>
      <c r="AK865">
        <f>IF([2]Entry!$C$868="","",[2]Entry!$C$868)</f>
        <v/>
      </c>
      <c r="AL865">
        <f>IF([2]Entry!$D$868="","",[2]Entry!$D$868)</f>
        <v/>
      </c>
      <c r="AX865">
        <f>IF([4]Entry!$E$868="","",[4]Entry!$E$868)</f>
        <v/>
      </c>
      <c r="AY865">
        <f>IF([4]Entry!$H$868="","",[4]Entry!$H$868)</f>
        <v/>
      </c>
      <c r="AZ865">
        <f>IF([4]Entry!$I$868="","",[4]Entry!$I$868)</f>
        <v/>
      </c>
    </row>
    <row r="866">
      <c r="Z866">
        <f>IF([2]Entry!$E$869="","",[2]Entry!$E$869)</f>
        <v/>
      </c>
      <c r="AA866">
        <f>IF([2]Entry!$G$869="","",[2]Entry!$G$869)</f>
        <v/>
      </c>
      <c r="AB866">
        <f>IF([2]Entry!$J$869="","",[2]Entry!$J$869)</f>
        <v/>
      </c>
      <c r="AC866">
        <f>IF([2]Entry!$K$869="","",[2]Entry!$K$869)</f>
        <v/>
      </c>
      <c r="AD866">
        <f>IF([2]Entry!$L$869="","",[2]Entry!$L$869)</f>
        <v/>
      </c>
      <c r="AE866">
        <f>IF([2]Entry!$M$869="","",[2]Entry!$M$869)</f>
        <v/>
      </c>
      <c r="AF866">
        <f>IF([2]Entry!$N$869="","",[2]Entry!$N$869)</f>
        <v/>
      </c>
      <c r="AJ866">
        <f>IF([2]Entry!$S$869="","",[2]Entry!$S$869)</f>
        <v/>
      </c>
      <c r="AK866">
        <f>IF([2]Entry!$C$869="","",[2]Entry!$C$869)</f>
        <v/>
      </c>
      <c r="AL866">
        <f>IF([2]Entry!$D$869="","",[2]Entry!$D$869)</f>
        <v/>
      </c>
      <c r="AX866">
        <f>IF([4]Entry!$E$869="","",[4]Entry!$E$869)</f>
        <v/>
      </c>
      <c r="AY866">
        <f>IF([4]Entry!$H$869="","",[4]Entry!$H$869)</f>
        <v/>
      </c>
      <c r="AZ866">
        <f>IF([4]Entry!$I$869="","",[4]Entry!$I$869)</f>
        <v/>
      </c>
    </row>
    <row r="867">
      <c r="Z867">
        <f>IF([2]Entry!$E$870="","",[2]Entry!$E$870)</f>
        <v/>
      </c>
      <c r="AA867">
        <f>IF([2]Entry!$G$870="","",[2]Entry!$G$870)</f>
        <v/>
      </c>
      <c r="AB867">
        <f>IF([2]Entry!$J$870="","",[2]Entry!$J$870)</f>
        <v/>
      </c>
      <c r="AC867">
        <f>IF([2]Entry!$K$870="","",[2]Entry!$K$870)</f>
        <v/>
      </c>
      <c r="AD867">
        <f>IF([2]Entry!$L$870="","",[2]Entry!$L$870)</f>
        <v/>
      </c>
      <c r="AE867">
        <f>IF([2]Entry!$M$870="","",[2]Entry!$M$870)</f>
        <v/>
      </c>
      <c r="AF867">
        <f>IF([2]Entry!$N$870="","",[2]Entry!$N$870)</f>
        <v/>
      </c>
      <c r="AJ867">
        <f>IF([2]Entry!$S$870="","",[2]Entry!$S$870)</f>
        <v/>
      </c>
      <c r="AK867">
        <f>IF([2]Entry!$C$870="","",[2]Entry!$C$870)</f>
        <v/>
      </c>
      <c r="AL867">
        <f>IF([2]Entry!$D$870="","",[2]Entry!$D$870)</f>
        <v/>
      </c>
      <c r="AX867">
        <f>IF([4]Entry!$E$870="","",[4]Entry!$E$870)</f>
        <v/>
      </c>
      <c r="AY867">
        <f>IF([4]Entry!$H$870="","",[4]Entry!$H$870)</f>
        <v/>
      </c>
      <c r="AZ867">
        <f>IF([4]Entry!$I$870="","",[4]Entry!$I$870)</f>
        <v/>
      </c>
    </row>
    <row r="868">
      <c r="Z868">
        <f>IF([2]Entry!$E$871="","",[2]Entry!$E$871)</f>
        <v/>
      </c>
      <c r="AA868">
        <f>IF([2]Entry!$G$871="","",[2]Entry!$G$871)</f>
        <v/>
      </c>
      <c r="AB868">
        <f>IF([2]Entry!$J$871="","",[2]Entry!$J$871)</f>
        <v/>
      </c>
      <c r="AC868">
        <f>IF([2]Entry!$K$871="","",[2]Entry!$K$871)</f>
        <v/>
      </c>
      <c r="AD868">
        <f>IF([2]Entry!$L$871="","",[2]Entry!$L$871)</f>
        <v/>
      </c>
      <c r="AE868">
        <f>IF([2]Entry!$M$871="","",[2]Entry!$M$871)</f>
        <v/>
      </c>
      <c r="AF868">
        <f>IF([2]Entry!$N$871="","",[2]Entry!$N$871)</f>
        <v/>
      </c>
      <c r="AJ868">
        <f>IF([2]Entry!$S$871="","",[2]Entry!$S$871)</f>
        <v/>
      </c>
      <c r="AK868">
        <f>IF([2]Entry!$C$871="","",[2]Entry!$C$871)</f>
        <v/>
      </c>
      <c r="AL868">
        <f>IF([2]Entry!$D$871="","",[2]Entry!$D$871)</f>
        <v/>
      </c>
      <c r="AX868">
        <f>IF([4]Entry!$E$871="","",[4]Entry!$E$871)</f>
        <v/>
      </c>
      <c r="AY868">
        <f>IF([4]Entry!$H$871="","",[4]Entry!$H$871)</f>
        <v/>
      </c>
      <c r="AZ868">
        <f>IF([4]Entry!$I$871="","",[4]Entry!$I$871)</f>
        <v/>
      </c>
    </row>
    <row r="869">
      <c r="Z869">
        <f>IF([2]Entry!$E$872="","",[2]Entry!$E$872)</f>
        <v/>
      </c>
      <c r="AA869">
        <f>IF([2]Entry!$G$872="","",[2]Entry!$G$872)</f>
        <v/>
      </c>
      <c r="AB869">
        <f>IF([2]Entry!$J$872="","",[2]Entry!$J$872)</f>
        <v/>
      </c>
      <c r="AC869">
        <f>IF([2]Entry!$K$872="","",[2]Entry!$K$872)</f>
        <v/>
      </c>
      <c r="AD869">
        <f>IF([2]Entry!$L$872="","",[2]Entry!$L$872)</f>
        <v/>
      </c>
      <c r="AE869">
        <f>IF([2]Entry!$M$872="","",[2]Entry!$M$872)</f>
        <v/>
      </c>
      <c r="AF869">
        <f>IF([2]Entry!$N$872="","",[2]Entry!$N$872)</f>
        <v/>
      </c>
      <c r="AJ869">
        <f>IF([2]Entry!$S$872="","",[2]Entry!$S$872)</f>
        <v/>
      </c>
      <c r="AK869">
        <f>IF([2]Entry!$C$872="","",[2]Entry!$C$872)</f>
        <v/>
      </c>
      <c r="AL869">
        <f>IF([2]Entry!$D$872="","",[2]Entry!$D$872)</f>
        <v/>
      </c>
      <c r="AX869">
        <f>IF([4]Entry!$E$872="","",[4]Entry!$E$872)</f>
        <v/>
      </c>
      <c r="AY869">
        <f>IF([4]Entry!$H$872="","",[4]Entry!$H$872)</f>
        <v/>
      </c>
      <c r="AZ869">
        <f>IF([4]Entry!$I$872="","",[4]Entry!$I$872)</f>
        <v/>
      </c>
    </row>
    <row r="870">
      <c r="Z870">
        <f>IF([2]Entry!$E$873="","",[2]Entry!$E$873)</f>
        <v/>
      </c>
      <c r="AA870">
        <f>IF([2]Entry!$G$873="","",[2]Entry!$G$873)</f>
        <v/>
      </c>
      <c r="AB870">
        <f>IF([2]Entry!$J$873="","",[2]Entry!$J$873)</f>
        <v/>
      </c>
      <c r="AC870">
        <f>IF([2]Entry!$K$873="","",[2]Entry!$K$873)</f>
        <v/>
      </c>
      <c r="AD870">
        <f>IF([2]Entry!$L$873="","",[2]Entry!$L$873)</f>
        <v/>
      </c>
      <c r="AE870">
        <f>IF([2]Entry!$M$873="","",[2]Entry!$M$873)</f>
        <v/>
      </c>
      <c r="AF870">
        <f>IF([2]Entry!$N$873="","",[2]Entry!$N$873)</f>
        <v/>
      </c>
      <c r="AJ870">
        <f>IF([2]Entry!$S$873="","",[2]Entry!$S$873)</f>
        <v/>
      </c>
      <c r="AK870">
        <f>IF([2]Entry!$C$873="","",[2]Entry!$C$873)</f>
        <v/>
      </c>
      <c r="AL870">
        <f>IF([2]Entry!$D$873="","",[2]Entry!$D$873)</f>
        <v/>
      </c>
      <c r="AX870">
        <f>IF([4]Entry!$E$873="","",[4]Entry!$E$873)</f>
        <v/>
      </c>
      <c r="AY870">
        <f>IF([4]Entry!$H$873="","",[4]Entry!$H$873)</f>
        <v/>
      </c>
      <c r="AZ870">
        <f>IF([4]Entry!$I$873="","",[4]Entry!$I$873)</f>
        <v/>
      </c>
    </row>
    <row r="871">
      <c r="Z871">
        <f>IF([2]Entry!$E$874="","",[2]Entry!$E$874)</f>
        <v/>
      </c>
      <c r="AA871">
        <f>IF([2]Entry!$G$874="","",[2]Entry!$G$874)</f>
        <v/>
      </c>
      <c r="AB871">
        <f>IF([2]Entry!$J$874="","",[2]Entry!$J$874)</f>
        <v/>
      </c>
      <c r="AC871">
        <f>IF([2]Entry!$K$874="","",[2]Entry!$K$874)</f>
        <v/>
      </c>
      <c r="AD871">
        <f>IF([2]Entry!$L$874="","",[2]Entry!$L$874)</f>
        <v/>
      </c>
      <c r="AE871">
        <f>IF([2]Entry!$M$874="","",[2]Entry!$M$874)</f>
        <v/>
      </c>
      <c r="AF871">
        <f>IF([2]Entry!$N$874="","",[2]Entry!$N$874)</f>
        <v/>
      </c>
      <c r="AJ871">
        <f>IF([2]Entry!$S$874="","",[2]Entry!$S$874)</f>
        <v/>
      </c>
      <c r="AK871">
        <f>IF([2]Entry!$C$874="","",[2]Entry!$C$874)</f>
        <v/>
      </c>
      <c r="AL871">
        <f>IF([2]Entry!$D$874="","",[2]Entry!$D$874)</f>
        <v/>
      </c>
      <c r="AX871">
        <f>IF([4]Entry!$E$874="","",[4]Entry!$E$874)</f>
        <v/>
      </c>
      <c r="AY871">
        <f>IF([4]Entry!$H$874="","",[4]Entry!$H$874)</f>
        <v/>
      </c>
      <c r="AZ871">
        <f>IF([4]Entry!$I$874="","",[4]Entry!$I$874)</f>
        <v/>
      </c>
    </row>
    <row r="872">
      <c r="Z872">
        <f>IF([2]Entry!$E$875="","",[2]Entry!$E$875)</f>
        <v/>
      </c>
      <c r="AA872">
        <f>IF([2]Entry!$G$875="","",[2]Entry!$G$875)</f>
        <v/>
      </c>
      <c r="AB872">
        <f>IF([2]Entry!$J$875="","",[2]Entry!$J$875)</f>
        <v/>
      </c>
      <c r="AC872">
        <f>IF([2]Entry!$K$875="","",[2]Entry!$K$875)</f>
        <v/>
      </c>
      <c r="AD872">
        <f>IF([2]Entry!$L$875="","",[2]Entry!$L$875)</f>
        <v/>
      </c>
      <c r="AE872">
        <f>IF([2]Entry!$M$875="","",[2]Entry!$M$875)</f>
        <v/>
      </c>
      <c r="AF872">
        <f>IF([2]Entry!$N$875="","",[2]Entry!$N$875)</f>
        <v/>
      </c>
      <c r="AJ872">
        <f>IF([2]Entry!$S$875="","",[2]Entry!$S$875)</f>
        <v/>
      </c>
      <c r="AK872">
        <f>IF([2]Entry!$C$875="","",[2]Entry!$C$875)</f>
        <v/>
      </c>
      <c r="AL872">
        <f>IF([2]Entry!$D$875="","",[2]Entry!$D$875)</f>
        <v/>
      </c>
      <c r="AX872">
        <f>IF([4]Entry!$E$875="","",[4]Entry!$E$875)</f>
        <v/>
      </c>
      <c r="AY872">
        <f>IF([4]Entry!$H$875="","",[4]Entry!$H$875)</f>
        <v/>
      </c>
      <c r="AZ872">
        <f>IF([4]Entry!$I$875="","",[4]Entry!$I$875)</f>
        <v/>
      </c>
    </row>
    <row r="873">
      <c r="Z873">
        <f>IF([2]Entry!$E$876="","",[2]Entry!$E$876)</f>
        <v/>
      </c>
      <c r="AA873">
        <f>IF([2]Entry!$G$876="","",[2]Entry!$G$876)</f>
        <v/>
      </c>
      <c r="AB873">
        <f>IF([2]Entry!$J$876="","",[2]Entry!$J$876)</f>
        <v/>
      </c>
      <c r="AC873">
        <f>IF([2]Entry!$K$876="","",[2]Entry!$K$876)</f>
        <v/>
      </c>
      <c r="AD873">
        <f>IF([2]Entry!$L$876="","",[2]Entry!$L$876)</f>
        <v/>
      </c>
      <c r="AE873">
        <f>IF([2]Entry!$M$876="","",[2]Entry!$M$876)</f>
        <v/>
      </c>
      <c r="AF873">
        <f>IF([2]Entry!$N$876="","",[2]Entry!$N$876)</f>
        <v/>
      </c>
      <c r="AJ873">
        <f>IF([2]Entry!$S$876="","",[2]Entry!$S$876)</f>
        <v/>
      </c>
      <c r="AK873">
        <f>IF([2]Entry!$C$876="","",[2]Entry!$C$876)</f>
        <v/>
      </c>
      <c r="AL873">
        <f>IF([2]Entry!$D$876="","",[2]Entry!$D$876)</f>
        <v/>
      </c>
      <c r="AX873">
        <f>IF([4]Entry!$E$876="","",[4]Entry!$E$876)</f>
        <v/>
      </c>
      <c r="AY873">
        <f>IF([4]Entry!$H$876="","",[4]Entry!$H$876)</f>
        <v/>
      </c>
      <c r="AZ873">
        <f>IF([4]Entry!$I$876="","",[4]Entry!$I$876)</f>
        <v/>
      </c>
    </row>
    <row r="874">
      <c r="Z874">
        <f>IF([2]Entry!$E$877="","",[2]Entry!$E$877)</f>
        <v/>
      </c>
      <c r="AA874">
        <f>IF([2]Entry!$G$877="","",[2]Entry!$G$877)</f>
        <v/>
      </c>
      <c r="AB874">
        <f>IF([2]Entry!$J$877="","",[2]Entry!$J$877)</f>
        <v/>
      </c>
      <c r="AC874">
        <f>IF([2]Entry!$K$877="","",[2]Entry!$K$877)</f>
        <v/>
      </c>
      <c r="AD874">
        <f>IF([2]Entry!$L$877="","",[2]Entry!$L$877)</f>
        <v/>
      </c>
      <c r="AE874">
        <f>IF([2]Entry!$M$877="","",[2]Entry!$M$877)</f>
        <v/>
      </c>
      <c r="AF874">
        <f>IF([2]Entry!$N$877="","",[2]Entry!$N$877)</f>
        <v/>
      </c>
      <c r="AJ874">
        <f>IF([2]Entry!$S$877="","",[2]Entry!$S$877)</f>
        <v/>
      </c>
      <c r="AK874">
        <f>IF([2]Entry!$C$877="","",[2]Entry!$C$877)</f>
        <v/>
      </c>
      <c r="AL874">
        <f>IF([2]Entry!$D$877="","",[2]Entry!$D$877)</f>
        <v/>
      </c>
      <c r="AX874">
        <f>IF([4]Entry!$E$877="","",[4]Entry!$E$877)</f>
        <v/>
      </c>
      <c r="AY874">
        <f>IF([4]Entry!$H$877="","",[4]Entry!$H$877)</f>
        <v/>
      </c>
      <c r="AZ874">
        <f>IF([4]Entry!$I$877="","",[4]Entry!$I$877)</f>
        <v/>
      </c>
    </row>
    <row r="875">
      <c r="Z875">
        <f>IF([2]Entry!$E$878="","",[2]Entry!$E$878)</f>
        <v/>
      </c>
      <c r="AA875">
        <f>IF([2]Entry!$G$878="","",[2]Entry!$G$878)</f>
        <v/>
      </c>
      <c r="AB875">
        <f>IF([2]Entry!$J$878="","",[2]Entry!$J$878)</f>
        <v/>
      </c>
      <c r="AC875">
        <f>IF([2]Entry!$K$878="","",[2]Entry!$K$878)</f>
        <v/>
      </c>
      <c r="AD875">
        <f>IF([2]Entry!$L$878="","",[2]Entry!$L$878)</f>
        <v/>
      </c>
      <c r="AE875">
        <f>IF([2]Entry!$M$878="","",[2]Entry!$M$878)</f>
        <v/>
      </c>
      <c r="AF875">
        <f>IF([2]Entry!$N$878="","",[2]Entry!$N$878)</f>
        <v/>
      </c>
      <c r="AJ875">
        <f>IF([2]Entry!$S$878="","",[2]Entry!$S$878)</f>
        <v/>
      </c>
      <c r="AK875">
        <f>IF([2]Entry!$C$878="","",[2]Entry!$C$878)</f>
        <v/>
      </c>
      <c r="AL875">
        <f>IF([2]Entry!$D$878="","",[2]Entry!$D$878)</f>
        <v/>
      </c>
      <c r="AX875">
        <f>IF([4]Entry!$E$878="","",[4]Entry!$E$878)</f>
        <v/>
      </c>
      <c r="AY875">
        <f>IF([4]Entry!$H$878="","",[4]Entry!$H$878)</f>
        <v/>
      </c>
      <c r="AZ875">
        <f>IF([4]Entry!$I$878="","",[4]Entry!$I$878)</f>
        <v/>
      </c>
    </row>
    <row r="876">
      <c r="Z876">
        <f>IF([2]Entry!$E$879="","",[2]Entry!$E$879)</f>
        <v/>
      </c>
      <c r="AA876">
        <f>IF([2]Entry!$G$879="","",[2]Entry!$G$879)</f>
        <v/>
      </c>
      <c r="AB876">
        <f>IF([2]Entry!$J$879="","",[2]Entry!$J$879)</f>
        <v/>
      </c>
      <c r="AC876">
        <f>IF([2]Entry!$K$879="","",[2]Entry!$K$879)</f>
        <v/>
      </c>
      <c r="AD876">
        <f>IF([2]Entry!$L$879="","",[2]Entry!$L$879)</f>
        <v/>
      </c>
      <c r="AE876">
        <f>IF([2]Entry!$M$879="","",[2]Entry!$M$879)</f>
        <v/>
      </c>
      <c r="AF876">
        <f>IF([2]Entry!$N$879="","",[2]Entry!$N$879)</f>
        <v/>
      </c>
      <c r="AJ876">
        <f>IF([2]Entry!$S$879="","",[2]Entry!$S$879)</f>
        <v/>
      </c>
      <c r="AK876">
        <f>IF([2]Entry!$C$879="","",[2]Entry!$C$879)</f>
        <v/>
      </c>
      <c r="AL876">
        <f>IF([2]Entry!$D$879="","",[2]Entry!$D$879)</f>
        <v/>
      </c>
      <c r="AX876">
        <f>IF([4]Entry!$E$879="","",[4]Entry!$E$879)</f>
        <v/>
      </c>
      <c r="AY876">
        <f>IF([4]Entry!$H$879="","",[4]Entry!$H$879)</f>
        <v/>
      </c>
      <c r="AZ876">
        <f>IF([4]Entry!$I$879="","",[4]Entry!$I$879)</f>
        <v/>
      </c>
    </row>
    <row r="877">
      <c r="Z877">
        <f>IF([2]Entry!$E$880="","",[2]Entry!$E$880)</f>
        <v/>
      </c>
      <c r="AA877">
        <f>IF([2]Entry!$G$880="","",[2]Entry!$G$880)</f>
        <v/>
      </c>
      <c r="AB877">
        <f>IF([2]Entry!$J$880="","",[2]Entry!$J$880)</f>
        <v/>
      </c>
      <c r="AC877">
        <f>IF([2]Entry!$K$880="","",[2]Entry!$K$880)</f>
        <v/>
      </c>
      <c r="AD877">
        <f>IF([2]Entry!$L$880="","",[2]Entry!$L$880)</f>
        <v/>
      </c>
      <c r="AE877">
        <f>IF([2]Entry!$M$880="","",[2]Entry!$M$880)</f>
        <v/>
      </c>
      <c r="AF877">
        <f>IF([2]Entry!$N$880="","",[2]Entry!$N$880)</f>
        <v/>
      </c>
      <c r="AJ877">
        <f>IF([2]Entry!$S$880="","",[2]Entry!$S$880)</f>
        <v/>
      </c>
      <c r="AK877">
        <f>IF([2]Entry!$C$880="","",[2]Entry!$C$880)</f>
        <v/>
      </c>
      <c r="AL877">
        <f>IF([2]Entry!$D$880="","",[2]Entry!$D$880)</f>
        <v/>
      </c>
      <c r="AX877">
        <f>IF([4]Entry!$E$880="","",[4]Entry!$E$880)</f>
        <v/>
      </c>
      <c r="AY877">
        <f>IF([4]Entry!$H$880="","",[4]Entry!$H$880)</f>
        <v/>
      </c>
      <c r="AZ877">
        <f>IF([4]Entry!$I$880="","",[4]Entry!$I$880)</f>
        <v/>
      </c>
    </row>
    <row r="878">
      <c r="Z878">
        <f>IF([2]Entry!$E$881="","",[2]Entry!$E$881)</f>
        <v/>
      </c>
      <c r="AA878">
        <f>IF([2]Entry!$G$881="","",[2]Entry!$G$881)</f>
        <v/>
      </c>
      <c r="AB878">
        <f>IF([2]Entry!$J$881="","",[2]Entry!$J$881)</f>
        <v/>
      </c>
      <c r="AC878">
        <f>IF([2]Entry!$K$881="","",[2]Entry!$K$881)</f>
        <v/>
      </c>
      <c r="AD878">
        <f>IF([2]Entry!$L$881="","",[2]Entry!$L$881)</f>
        <v/>
      </c>
      <c r="AE878">
        <f>IF([2]Entry!$M$881="","",[2]Entry!$M$881)</f>
        <v/>
      </c>
      <c r="AF878">
        <f>IF([2]Entry!$N$881="","",[2]Entry!$N$881)</f>
        <v/>
      </c>
      <c r="AJ878">
        <f>IF([2]Entry!$S$881="","",[2]Entry!$S$881)</f>
        <v/>
      </c>
      <c r="AK878">
        <f>IF([2]Entry!$C$881="","",[2]Entry!$C$881)</f>
        <v/>
      </c>
      <c r="AL878">
        <f>IF([2]Entry!$D$881="","",[2]Entry!$D$881)</f>
        <v/>
      </c>
      <c r="AX878">
        <f>IF([4]Entry!$E$881="","",[4]Entry!$E$881)</f>
        <v/>
      </c>
      <c r="AY878">
        <f>IF([4]Entry!$H$881="","",[4]Entry!$H$881)</f>
        <v/>
      </c>
      <c r="AZ878">
        <f>IF([4]Entry!$I$881="","",[4]Entry!$I$881)</f>
        <v/>
      </c>
    </row>
    <row r="879">
      <c r="Z879">
        <f>IF([2]Entry!$E$882="","",[2]Entry!$E$882)</f>
        <v/>
      </c>
      <c r="AA879">
        <f>IF([2]Entry!$G$882="","",[2]Entry!$G$882)</f>
        <v/>
      </c>
      <c r="AB879">
        <f>IF([2]Entry!$J$882="","",[2]Entry!$J$882)</f>
        <v/>
      </c>
      <c r="AC879">
        <f>IF([2]Entry!$K$882="","",[2]Entry!$K$882)</f>
        <v/>
      </c>
      <c r="AD879">
        <f>IF([2]Entry!$L$882="","",[2]Entry!$L$882)</f>
        <v/>
      </c>
      <c r="AE879">
        <f>IF([2]Entry!$M$882="","",[2]Entry!$M$882)</f>
        <v/>
      </c>
      <c r="AF879">
        <f>IF([2]Entry!$N$882="","",[2]Entry!$N$882)</f>
        <v/>
      </c>
      <c r="AJ879">
        <f>IF([2]Entry!$S$882="","",[2]Entry!$S$882)</f>
        <v/>
      </c>
      <c r="AK879">
        <f>IF([2]Entry!$C$882="","",[2]Entry!$C$882)</f>
        <v/>
      </c>
      <c r="AL879">
        <f>IF([2]Entry!$D$882="","",[2]Entry!$D$882)</f>
        <v/>
      </c>
      <c r="AX879">
        <f>IF([4]Entry!$E$882="","",[4]Entry!$E$882)</f>
        <v/>
      </c>
      <c r="AY879">
        <f>IF([4]Entry!$H$882="","",[4]Entry!$H$882)</f>
        <v/>
      </c>
      <c r="AZ879">
        <f>IF([4]Entry!$I$882="","",[4]Entry!$I$882)</f>
        <v/>
      </c>
    </row>
    <row r="880">
      <c r="Z880">
        <f>IF([2]Entry!$E$883="","",[2]Entry!$E$883)</f>
        <v/>
      </c>
      <c r="AA880">
        <f>IF([2]Entry!$G$883="","",[2]Entry!$G$883)</f>
        <v/>
      </c>
      <c r="AB880">
        <f>IF([2]Entry!$J$883="","",[2]Entry!$J$883)</f>
        <v/>
      </c>
      <c r="AC880">
        <f>IF([2]Entry!$K$883="","",[2]Entry!$K$883)</f>
        <v/>
      </c>
      <c r="AD880">
        <f>IF([2]Entry!$L$883="","",[2]Entry!$L$883)</f>
        <v/>
      </c>
      <c r="AE880">
        <f>IF([2]Entry!$M$883="","",[2]Entry!$M$883)</f>
        <v/>
      </c>
      <c r="AF880">
        <f>IF([2]Entry!$N$883="","",[2]Entry!$N$883)</f>
        <v/>
      </c>
      <c r="AJ880">
        <f>IF([2]Entry!$S$883="","",[2]Entry!$S$883)</f>
        <v/>
      </c>
      <c r="AK880">
        <f>IF([2]Entry!$C$883="","",[2]Entry!$C$883)</f>
        <v/>
      </c>
      <c r="AL880">
        <f>IF([2]Entry!$D$883="","",[2]Entry!$D$883)</f>
        <v/>
      </c>
      <c r="AX880">
        <f>IF([4]Entry!$E$883="","",[4]Entry!$E$883)</f>
        <v/>
      </c>
      <c r="AY880">
        <f>IF([4]Entry!$H$883="","",[4]Entry!$H$883)</f>
        <v/>
      </c>
      <c r="AZ880">
        <f>IF([4]Entry!$I$883="","",[4]Entry!$I$883)</f>
        <v/>
      </c>
    </row>
    <row r="881">
      <c r="Z881">
        <f>IF([2]Entry!$E$884="","",[2]Entry!$E$884)</f>
        <v/>
      </c>
      <c r="AA881">
        <f>IF([2]Entry!$G$884="","",[2]Entry!$G$884)</f>
        <v/>
      </c>
      <c r="AB881">
        <f>IF([2]Entry!$J$884="","",[2]Entry!$J$884)</f>
        <v/>
      </c>
      <c r="AC881">
        <f>IF([2]Entry!$K$884="","",[2]Entry!$K$884)</f>
        <v/>
      </c>
      <c r="AD881">
        <f>IF([2]Entry!$L$884="","",[2]Entry!$L$884)</f>
        <v/>
      </c>
      <c r="AE881">
        <f>IF([2]Entry!$M$884="","",[2]Entry!$M$884)</f>
        <v/>
      </c>
      <c r="AF881">
        <f>IF([2]Entry!$N$884="","",[2]Entry!$N$884)</f>
        <v/>
      </c>
      <c r="AJ881">
        <f>IF([2]Entry!$S$884="","",[2]Entry!$S$884)</f>
        <v/>
      </c>
      <c r="AK881">
        <f>IF([2]Entry!$C$884="","",[2]Entry!$C$884)</f>
        <v/>
      </c>
      <c r="AL881">
        <f>IF([2]Entry!$D$884="","",[2]Entry!$D$884)</f>
        <v/>
      </c>
      <c r="AX881">
        <f>IF([4]Entry!$E$884="","",[4]Entry!$E$884)</f>
        <v/>
      </c>
      <c r="AY881">
        <f>IF([4]Entry!$H$884="","",[4]Entry!$H$884)</f>
        <v/>
      </c>
      <c r="AZ881">
        <f>IF([4]Entry!$I$884="","",[4]Entry!$I$884)</f>
        <v/>
      </c>
    </row>
    <row r="882">
      <c r="Z882">
        <f>IF([2]Entry!$E$885="","",[2]Entry!$E$885)</f>
        <v/>
      </c>
      <c r="AA882">
        <f>IF([2]Entry!$G$885="","",[2]Entry!$G$885)</f>
        <v/>
      </c>
      <c r="AB882">
        <f>IF([2]Entry!$J$885="","",[2]Entry!$J$885)</f>
        <v/>
      </c>
      <c r="AC882">
        <f>IF([2]Entry!$K$885="","",[2]Entry!$K$885)</f>
        <v/>
      </c>
      <c r="AD882">
        <f>IF([2]Entry!$L$885="","",[2]Entry!$L$885)</f>
        <v/>
      </c>
      <c r="AE882">
        <f>IF([2]Entry!$M$885="","",[2]Entry!$M$885)</f>
        <v/>
      </c>
      <c r="AF882">
        <f>IF([2]Entry!$N$885="","",[2]Entry!$N$885)</f>
        <v/>
      </c>
      <c r="AJ882">
        <f>IF([2]Entry!$S$885="","",[2]Entry!$S$885)</f>
        <v/>
      </c>
      <c r="AK882">
        <f>IF([2]Entry!$C$885="","",[2]Entry!$C$885)</f>
        <v/>
      </c>
      <c r="AL882">
        <f>IF([2]Entry!$D$885="","",[2]Entry!$D$885)</f>
        <v/>
      </c>
      <c r="AX882">
        <f>IF([4]Entry!$E$885="","",[4]Entry!$E$885)</f>
        <v/>
      </c>
      <c r="AY882">
        <f>IF([4]Entry!$H$885="","",[4]Entry!$H$885)</f>
        <v/>
      </c>
      <c r="AZ882">
        <f>IF([4]Entry!$I$885="","",[4]Entry!$I$885)</f>
        <v/>
      </c>
    </row>
    <row r="883">
      <c r="Z883">
        <f>IF([2]Entry!$E$886="","",[2]Entry!$E$886)</f>
        <v/>
      </c>
      <c r="AA883">
        <f>IF([2]Entry!$G$886="","",[2]Entry!$G$886)</f>
        <v/>
      </c>
      <c r="AB883">
        <f>IF([2]Entry!$J$886="","",[2]Entry!$J$886)</f>
        <v/>
      </c>
      <c r="AC883">
        <f>IF([2]Entry!$K$886="","",[2]Entry!$K$886)</f>
        <v/>
      </c>
      <c r="AD883">
        <f>IF([2]Entry!$L$886="","",[2]Entry!$L$886)</f>
        <v/>
      </c>
      <c r="AE883">
        <f>IF([2]Entry!$M$886="","",[2]Entry!$M$886)</f>
        <v/>
      </c>
      <c r="AF883">
        <f>IF([2]Entry!$N$886="","",[2]Entry!$N$886)</f>
        <v/>
      </c>
      <c r="AJ883">
        <f>IF([2]Entry!$S$886="","",[2]Entry!$S$886)</f>
        <v/>
      </c>
      <c r="AK883">
        <f>IF([2]Entry!$C$886="","",[2]Entry!$C$886)</f>
        <v/>
      </c>
      <c r="AL883">
        <f>IF([2]Entry!$D$886="","",[2]Entry!$D$886)</f>
        <v/>
      </c>
      <c r="AX883">
        <f>IF([4]Entry!$E$886="","",[4]Entry!$E$886)</f>
        <v/>
      </c>
      <c r="AY883">
        <f>IF([4]Entry!$H$886="","",[4]Entry!$H$886)</f>
        <v/>
      </c>
      <c r="AZ883">
        <f>IF([4]Entry!$I$886="","",[4]Entry!$I$886)</f>
        <v/>
      </c>
    </row>
    <row r="884">
      <c r="Z884">
        <f>IF([2]Entry!$E$887="","",[2]Entry!$E$887)</f>
        <v/>
      </c>
      <c r="AA884">
        <f>IF([2]Entry!$G$887="","",[2]Entry!$G$887)</f>
        <v/>
      </c>
      <c r="AB884">
        <f>IF([2]Entry!$J$887="","",[2]Entry!$J$887)</f>
        <v/>
      </c>
      <c r="AC884">
        <f>IF([2]Entry!$K$887="","",[2]Entry!$K$887)</f>
        <v/>
      </c>
      <c r="AD884">
        <f>IF([2]Entry!$L$887="","",[2]Entry!$L$887)</f>
        <v/>
      </c>
      <c r="AE884">
        <f>IF([2]Entry!$M$887="","",[2]Entry!$M$887)</f>
        <v/>
      </c>
      <c r="AF884">
        <f>IF([2]Entry!$N$887="","",[2]Entry!$N$887)</f>
        <v/>
      </c>
      <c r="AJ884">
        <f>IF([2]Entry!$S$887="","",[2]Entry!$S$887)</f>
        <v/>
      </c>
      <c r="AK884">
        <f>IF([2]Entry!$C$887="","",[2]Entry!$C$887)</f>
        <v/>
      </c>
      <c r="AL884">
        <f>IF([2]Entry!$D$887="","",[2]Entry!$D$887)</f>
        <v/>
      </c>
      <c r="AX884">
        <f>IF([4]Entry!$E$887="","",[4]Entry!$E$887)</f>
        <v/>
      </c>
      <c r="AY884">
        <f>IF([4]Entry!$H$887="","",[4]Entry!$H$887)</f>
        <v/>
      </c>
      <c r="AZ884">
        <f>IF([4]Entry!$I$887="","",[4]Entry!$I$887)</f>
        <v/>
      </c>
    </row>
    <row r="885">
      <c r="Z885">
        <f>IF([2]Entry!$E$888="","",[2]Entry!$E$888)</f>
        <v/>
      </c>
      <c r="AA885">
        <f>IF([2]Entry!$G$888="","",[2]Entry!$G$888)</f>
        <v/>
      </c>
      <c r="AB885">
        <f>IF([2]Entry!$J$888="","",[2]Entry!$J$888)</f>
        <v/>
      </c>
      <c r="AC885">
        <f>IF([2]Entry!$K$888="","",[2]Entry!$K$888)</f>
        <v/>
      </c>
      <c r="AD885">
        <f>IF([2]Entry!$L$888="","",[2]Entry!$L$888)</f>
        <v/>
      </c>
      <c r="AE885">
        <f>IF([2]Entry!$M$888="","",[2]Entry!$M$888)</f>
        <v/>
      </c>
      <c r="AF885">
        <f>IF([2]Entry!$N$888="","",[2]Entry!$N$888)</f>
        <v/>
      </c>
      <c r="AJ885">
        <f>IF([2]Entry!$S$888="","",[2]Entry!$S$888)</f>
        <v/>
      </c>
      <c r="AK885">
        <f>IF([2]Entry!$C$888="","",[2]Entry!$C$888)</f>
        <v/>
      </c>
      <c r="AL885">
        <f>IF([2]Entry!$D$888="","",[2]Entry!$D$888)</f>
        <v/>
      </c>
      <c r="AX885">
        <f>IF([4]Entry!$E$888="","",[4]Entry!$E$888)</f>
        <v/>
      </c>
      <c r="AY885">
        <f>IF([4]Entry!$H$888="","",[4]Entry!$H$888)</f>
        <v/>
      </c>
      <c r="AZ885">
        <f>IF([4]Entry!$I$888="","",[4]Entry!$I$888)</f>
        <v/>
      </c>
    </row>
    <row r="886">
      <c r="Z886">
        <f>IF([2]Entry!$E$889="","",[2]Entry!$E$889)</f>
        <v/>
      </c>
      <c r="AA886">
        <f>IF([2]Entry!$G$889="","",[2]Entry!$G$889)</f>
        <v/>
      </c>
      <c r="AB886">
        <f>IF([2]Entry!$J$889="","",[2]Entry!$J$889)</f>
        <v/>
      </c>
      <c r="AC886">
        <f>IF([2]Entry!$K$889="","",[2]Entry!$K$889)</f>
        <v/>
      </c>
      <c r="AD886">
        <f>IF([2]Entry!$L$889="","",[2]Entry!$L$889)</f>
        <v/>
      </c>
      <c r="AE886">
        <f>IF([2]Entry!$M$889="","",[2]Entry!$M$889)</f>
        <v/>
      </c>
      <c r="AF886">
        <f>IF([2]Entry!$N$889="","",[2]Entry!$N$889)</f>
        <v/>
      </c>
      <c r="AJ886">
        <f>IF([2]Entry!$S$889="","",[2]Entry!$S$889)</f>
        <v/>
      </c>
      <c r="AK886">
        <f>IF([2]Entry!$C$889="","",[2]Entry!$C$889)</f>
        <v/>
      </c>
      <c r="AL886">
        <f>IF([2]Entry!$D$889="","",[2]Entry!$D$889)</f>
        <v/>
      </c>
      <c r="AX886">
        <f>IF([4]Entry!$E$889="","",[4]Entry!$E$889)</f>
        <v/>
      </c>
      <c r="AY886">
        <f>IF([4]Entry!$H$889="","",[4]Entry!$H$889)</f>
        <v/>
      </c>
      <c r="AZ886">
        <f>IF([4]Entry!$I$889="","",[4]Entry!$I$889)</f>
        <v/>
      </c>
    </row>
    <row r="887">
      <c r="Z887">
        <f>IF([2]Entry!$E$890="","",[2]Entry!$E$890)</f>
        <v/>
      </c>
      <c r="AA887">
        <f>IF([2]Entry!$G$890="","",[2]Entry!$G$890)</f>
        <v/>
      </c>
      <c r="AB887">
        <f>IF([2]Entry!$J$890="","",[2]Entry!$J$890)</f>
        <v/>
      </c>
      <c r="AC887">
        <f>IF([2]Entry!$K$890="","",[2]Entry!$K$890)</f>
        <v/>
      </c>
      <c r="AD887">
        <f>IF([2]Entry!$L$890="","",[2]Entry!$L$890)</f>
        <v/>
      </c>
      <c r="AE887">
        <f>IF([2]Entry!$M$890="","",[2]Entry!$M$890)</f>
        <v/>
      </c>
      <c r="AF887">
        <f>IF([2]Entry!$N$890="","",[2]Entry!$N$890)</f>
        <v/>
      </c>
      <c r="AJ887">
        <f>IF([2]Entry!$S$890="","",[2]Entry!$S$890)</f>
        <v/>
      </c>
      <c r="AK887">
        <f>IF([2]Entry!$C$890="","",[2]Entry!$C$890)</f>
        <v/>
      </c>
      <c r="AL887">
        <f>IF([2]Entry!$D$890="","",[2]Entry!$D$890)</f>
        <v/>
      </c>
      <c r="AX887">
        <f>IF([4]Entry!$E$890="","",[4]Entry!$E$890)</f>
        <v/>
      </c>
      <c r="AY887">
        <f>IF([4]Entry!$H$890="","",[4]Entry!$H$890)</f>
        <v/>
      </c>
      <c r="AZ887">
        <f>IF([4]Entry!$I$890="","",[4]Entry!$I$890)</f>
        <v/>
      </c>
    </row>
    <row r="888">
      <c r="Z888">
        <f>IF([2]Entry!$E$891="","",[2]Entry!$E$891)</f>
        <v/>
      </c>
      <c r="AA888">
        <f>IF([2]Entry!$G$891="","",[2]Entry!$G$891)</f>
        <v/>
      </c>
      <c r="AB888">
        <f>IF([2]Entry!$J$891="","",[2]Entry!$J$891)</f>
        <v/>
      </c>
      <c r="AC888">
        <f>IF([2]Entry!$K$891="","",[2]Entry!$K$891)</f>
        <v/>
      </c>
      <c r="AD888">
        <f>IF([2]Entry!$L$891="","",[2]Entry!$L$891)</f>
        <v/>
      </c>
      <c r="AE888">
        <f>IF([2]Entry!$M$891="","",[2]Entry!$M$891)</f>
        <v/>
      </c>
      <c r="AF888">
        <f>IF([2]Entry!$N$891="","",[2]Entry!$N$891)</f>
        <v/>
      </c>
      <c r="AJ888">
        <f>IF([2]Entry!$S$891="","",[2]Entry!$S$891)</f>
        <v/>
      </c>
      <c r="AK888">
        <f>IF([2]Entry!$C$891="","",[2]Entry!$C$891)</f>
        <v/>
      </c>
      <c r="AL888">
        <f>IF([2]Entry!$D$891="","",[2]Entry!$D$891)</f>
        <v/>
      </c>
      <c r="AX888">
        <f>IF([4]Entry!$E$891="","",[4]Entry!$E$891)</f>
        <v/>
      </c>
      <c r="AY888">
        <f>IF([4]Entry!$H$891="","",[4]Entry!$H$891)</f>
        <v/>
      </c>
      <c r="AZ888">
        <f>IF([4]Entry!$I$891="","",[4]Entry!$I$891)</f>
        <v/>
      </c>
    </row>
    <row r="889">
      <c r="Z889">
        <f>IF([2]Entry!$E$892="","",[2]Entry!$E$892)</f>
        <v/>
      </c>
      <c r="AA889">
        <f>IF([2]Entry!$G$892="","",[2]Entry!$G$892)</f>
        <v/>
      </c>
      <c r="AB889">
        <f>IF([2]Entry!$J$892="","",[2]Entry!$J$892)</f>
        <v/>
      </c>
      <c r="AC889">
        <f>IF([2]Entry!$K$892="","",[2]Entry!$K$892)</f>
        <v/>
      </c>
      <c r="AD889">
        <f>IF([2]Entry!$L$892="","",[2]Entry!$L$892)</f>
        <v/>
      </c>
      <c r="AE889">
        <f>IF([2]Entry!$M$892="","",[2]Entry!$M$892)</f>
        <v/>
      </c>
      <c r="AF889">
        <f>IF([2]Entry!$N$892="","",[2]Entry!$N$892)</f>
        <v/>
      </c>
      <c r="AJ889">
        <f>IF([2]Entry!$S$892="","",[2]Entry!$S$892)</f>
        <v/>
      </c>
      <c r="AK889">
        <f>IF([2]Entry!$C$892="","",[2]Entry!$C$892)</f>
        <v/>
      </c>
      <c r="AL889">
        <f>IF([2]Entry!$D$892="","",[2]Entry!$D$892)</f>
        <v/>
      </c>
      <c r="AX889">
        <f>IF([4]Entry!$E$892="","",[4]Entry!$E$892)</f>
        <v/>
      </c>
      <c r="AY889">
        <f>IF([4]Entry!$H$892="","",[4]Entry!$H$892)</f>
        <v/>
      </c>
      <c r="AZ889">
        <f>IF([4]Entry!$I$892="","",[4]Entry!$I$892)</f>
        <v/>
      </c>
    </row>
    <row r="890">
      <c r="Z890">
        <f>IF([2]Entry!$E$893="","",[2]Entry!$E$893)</f>
        <v/>
      </c>
      <c r="AA890">
        <f>IF([2]Entry!$G$893="","",[2]Entry!$G$893)</f>
        <v/>
      </c>
      <c r="AB890">
        <f>IF([2]Entry!$J$893="","",[2]Entry!$J$893)</f>
        <v/>
      </c>
      <c r="AC890">
        <f>IF([2]Entry!$K$893="","",[2]Entry!$K$893)</f>
        <v/>
      </c>
      <c r="AD890">
        <f>IF([2]Entry!$L$893="","",[2]Entry!$L$893)</f>
        <v/>
      </c>
      <c r="AE890">
        <f>IF([2]Entry!$M$893="","",[2]Entry!$M$893)</f>
        <v/>
      </c>
      <c r="AF890">
        <f>IF([2]Entry!$N$893="","",[2]Entry!$N$893)</f>
        <v/>
      </c>
      <c r="AJ890">
        <f>IF([2]Entry!$S$893="","",[2]Entry!$S$893)</f>
        <v/>
      </c>
      <c r="AK890">
        <f>IF([2]Entry!$C$893="","",[2]Entry!$C$893)</f>
        <v/>
      </c>
      <c r="AL890">
        <f>IF([2]Entry!$D$893="","",[2]Entry!$D$893)</f>
        <v/>
      </c>
      <c r="AX890">
        <f>IF([4]Entry!$E$893="","",[4]Entry!$E$893)</f>
        <v/>
      </c>
      <c r="AY890">
        <f>IF([4]Entry!$H$893="","",[4]Entry!$H$893)</f>
        <v/>
      </c>
      <c r="AZ890">
        <f>IF([4]Entry!$I$893="","",[4]Entry!$I$893)</f>
        <v/>
      </c>
    </row>
    <row r="891">
      <c r="Z891">
        <f>IF([2]Entry!$E$894="","",[2]Entry!$E$894)</f>
        <v/>
      </c>
      <c r="AA891">
        <f>IF([2]Entry!$G$894="","",[2]Entry!$G$894)</f>
        <v/>
      </c>
      <c r="AB891">
        <f>IF([2]Entry!$J$894="","",[2]Entry!$J$894)</f>
        <v/>
      </c>
      <c r="AC891">
        <f>IF([2]Entry!$K$894="","",[2]Entry!$K$894)</f>
        <v/>
      </c>
      <c r="AD891">
        <f>IF([2]Entry!$L$894="","",[2]Entry!$L$894)</f>
        <v/>
      </c>
      <c r="AE891">
        <f>IF([2]Entry!$M$894="","",[2]Entry!$M$894)</f>
        <v/>
      </c>
      <c r="AF891">
        <f>IF([2]Entry!$N$894="","",[2]Entry!$N$894)</f>
        <v/>
      </c>
      <c r="AJ891">
        <f>IF([2]Entry!$S$894="","",[2]Entry!$S$894)</f>
        <v/>
      </c>
      <c r="AK891">
        <f>IF([2]Entry!$C$894="","",[2]Entry!$C$894)</f>
        <v/>
      </c>
      <c r="AL891">
        <f>IF([2]Entry!$D$894="","",[2]Entry!$D$894)</f>
        <v/>
      </c>
      <c r="AX891">
        <f>IF([4]Entry!$E$894="","",[4]Entry!$E$894)</f>
        <v/>
      </c>
      <c r="AY891">
        <f>IF([4]Entry!$H$894="","",[4]Entry!$H$894)</f>
        <v/>
      </c>
      <c r="AZ891">
        <f>IF([4]Entry!$I$894="","",[4]Entry!$I$894)</f>
        <v/>
      </c>
    </row>
    <row r="892">
      <c r="Z892">
        <f>IF([2]Entry!$E$895="","",[2]Entry!$E$895)</f>
        <v/>
      </c>
      <c r="AA892">
        <f>IF([2]Entry!$G$895="","",[2]Entry!$G$895)</f>
        <v/>
      </c>
      <c r="AB892">
        <f>IF([2]Entry!$J$895="","",[2]Entry!$J$895)</f>
        <v/>
      </c>
      <c r="AC892">
        <f>IF([2]Entry!$K$895="","",[2]Entry!$K$895)</f>
        <v/>
      </c>
      <c r="AD892">
        <f>IF([2]Entry!$L$895="","",[2]Entry!$L$895)</f>
        <v/>
      </c>
      <c r="AE892">
        <f>IF([2]Entry!$M$895="","",[2]Entry!$M$895)</f>
        <v/>
      </c>
      <c r="AF892">
        <f>IF([2]Entry!$N$895="","",[2]Entry!$N$895)</f>
        <v/>
      </c>
      <c r="AJ892">
        <f>IF([2]Entry!$S$895="","",[2]Entry!$S$895)</f>
        <v/>
      </c>
      <c r="AK892">
        <f>IF([2]Entry!$C$895="","",[2]Entry!$C$895)</f>
        <v/>
      </c>
      <c r="AL892">
        <f>IF([2]Entry!$D$895="","",[2]Entry!$D$895)</f>
        <v/>
      </c>
      <c r="AX892">
        <f>IF([4]Entry!$E$895="","",[4]Entry!$E$895)</f>
        <v/>
      </c>
      <c r="AY892">
        <f>IF([4]Entry!$H$895="","",[4]Entry!$H$895)</f>
        <v/>
      </c>
      <c r="AZ892">
        <f>IF([4]Entry!$I$895="","",[4]Entry!$I$895)</f>
        <v/>
      </c>
    </row>
    <row r="893">
      <c r="Z893">
        <f>IF([2]Entry!$E$896="","",[2]Entry!$E$896)</f>
        <v/>
      </c>
      <c r="AA893">
        <f>IF([2]Entry!$G$896="","",[2]Entry!$G$896)</f>
        <v/>
      </c>
      <c r="AB893">
        <f>IF([2]Entry!$J$896="","",[2]Entry!$J$896)</f>
        <v/>
      </c>
      <c r="AC893">
        <f>IF([2]Entry!$K$896="","",[2]Entry!$K$896)</f>
        <v/>
      </c>
      <c r="AD893">
        <f>IF([2]Entry!$L$896="","",[2]Entry!$L$896)</f>
        <v/>
      </c>
      <c r="AE893">
        <f>IF([2]Entry!$M$896="","",[2]Entry!$M$896)</f>
        <v/>
      </c>
      <c r="AF893">
        <f>IF([2]Entry!$N$896="","",[2]Entry!$N$896)</f>
        <v/>
      </c>
      <c r="AJ893">
        <f>IF([2]Entry!$S$896="","",[2]Entry!$S$896)</f>
        <v/>
      </c>
      <c r="AK893">
        <f>IF([2]Entry!$C$896="","",[2]Entry!$C$896)</f>
        <v/>
      </c>
      <c r="AL893">
        <f>IF([2]Entry!$D$896="","",[2]Entry!$D$896)</f>
        <v/>
      </c>
      <c r="AX893">
        <f>IF([4]Entry!$E$896="","",[4]Entry!$E$896)</f>
        <v/>
      </c>
      <c r="AY893">
        <f>IF([4]Entry!$H$896="","",[4]Entry!$H$896)</f>
        <v/>
      </c>
      <c r="AZ893">
        <f>IF([4]Entry!$I$896="","",[4]Entry!$I$896)</f>
        <v/>
      </c>
    </row>
    <row r="894">
      <c r="Z894">
        <f>IF([2]Entry!$E$897="","",[2]Entry!$E$897)</f>
        <v/>
      </c>
      <c r="AA894">
        <f>IF([2]Entry!$G$897="","",[2]Entry!$G$897)</f>
        <v/>
      </c>
      <c r="AB894">
        <f>IF([2]Entry!$J$897="","",[2]Entry!$J$897)</f>
        <v/>
      </c>
      <c r="AC894">
        <f>IF([2]Entry!$K$897="","",[2]Entry!$K$897)</f>
        <v/>
      </c>
      <c r="AD894">
        <f>IF([2]Entry!$L$897="","",[2]Entry!$L$897)</f>
        <v/>
      </c>
      <c r="AE894">
        <f>IF([2]Entry!$M$897="","",[2]Entry!$M$897)</f>
        <v/>
      </c>
      <c r="AF894">
        <f>IF([2]Entry!$N$897="","",[2]Entry!$N$897)</f>
        <v/>
      </c>
      <c r="AJ894">
        <f>IF([2]Entry!$S$897="","",[2]Entry!$S$897)</f>
        <v/>
      </c>
      <c r="AK894">
        <f>IF([2]Entry!$C$897="","",[2]Entry!$C$897)</f>
        <v/>
      </c>
      <c r="AL894">
        <f>IF([2]Entry!$D$897="","",[2]Entry!$D$897)</f>
        <v/>
      </c>
      <c r="AX894">
        <f>IF([4]Entry!$E$897="","",[4]Entry!$E$897)</f>
        <v/>
      </c>
      <c r="AY894">
        <f>IF([4]Entry!$H$897="","",[4]Entry!$H$897)</f>
        <v/>
      </c>
      <c r="AZ894">
        <f>IF([4]Entry!$I$897="","",[4]Entry!$I$897)</f>
        <v/>
      </c>
    </row>
    <row r="895">
      <c r="Z895">
        <f>IF([2]Entry!$E$898="","",[2]Entry!$E$898)</f>
        <v/>
      </c>
      <c r="AA895">
        <f>IF([2]Entry!$G$898="","",[2]Entry!$G$898)</f>
        <v/>
      </c>
      <c r="AB895">
        <f>IF([2]Entry!$J$898="","",[2]Entry!$J$898)</f>
        <v/>
      </c>
      <c r="AC895">
        <f>IF([2]Entry!$K$898="","",[2]Entry!$K$898)</f>
        <v/>
      </c>
      <c r="AD895">
        <f>IF([2]Entry!$L$898="","",[2]Entry!$L$898)</f>
        <v/>
      </c>
      <c r="AE895">
        <f>IF([2]Entry!$M$898="","",[2]Entry!$M$898)</f>
        <v/>
      </c>
      <c r="AF895">
        <f>IF([2]Entry!$N$898="","",[2]Entry!$N$898)</f>
        <v/>
      </c>
      <c r="AJ895">
        <f>IF([2]Entry!$S$898="","",[2]Entry!$S$898)</f>
        <v/>
      </c>
      <c r="AK895">
        <f>IF([2]Entry!$C$898="","",[2]Entry!$C$898)</f>
        <v/>
      </c>
      <c r="AL895">
        <f>IF([2]Entry!$D$898="","",[2]Entry!$D$898)</f>
        <v/>
      </c>
      <c r="AX895">
        <f>IF([4]Entry!$E$898="","",[4]Entry!$E$898)</f>
        <v/>
      </c>
      <c r="AY895">
        <f>IF([4]Entry!$H$898="","",[4]Entry!$H$898)</f>
        <v/>
      </c>
      <c r="AZ895">
        <f>IF([4]Entry!$I$898="","",[4]Entry!$I$898)</f>
        <v/>
      </c>
    </row>
    <row r="896">
      <c r="Z896">
        <f>IF([2]Entry!$E$899="","",[2]Entry!$E$899)</f>
        <v/>
      </c>
      <c r="AA896">
        <f>IF([2]Entry!$G$899="","",[2]Entry!$G$899)</f>
        <v/>
      </c>
      <c r="AB896">
        <f>IF([2]Entry!$J$899="","",[2]Entry!$J$899)</f>
        <v/>
      </c>
      <c r="AC896">
        <f>IF([2]Entry!$K$899="","",[2]Entry!$K$899)</f>
        <v/>
      </c>
      <c r="AD896">
        <f>IF([2]Entry!$L$899="","",[2]Entry!$L$899)</f>
        <v/>
      </c>
      <c r="AE896">
        <f>IF([2]Entry!$M$899="","",[2]Entry!$M$899)</f>
        <v/>
      </c>
      <c r="AF896">
        <f>IF([2]Entry!$N$899="","",[2]Entry!$N$899)</f>
        <v/>
      </c>
      <c r="AJ896">
        <f>IF([2]Entry!$S$899="","",[2]Entry!$S$899)</f>
        <v/>
      </c>
      <c r="AK896">
        <f>IF([2]Entry!$C$899="","",[2]Entry!$C$899)</f>
        <v/>
      </c>
      <c r="AL896">
        <f>IF([2]Entry!$D$899="","",[2]Entry!$D$899)</f>
        <v/>
      </c>
      <c r="AX896">
        <f>IF([4]Entry!$E$899="","",[4]Entry!$E$899)</f>
        <v/>
      </c>
      <c r="AY896">
        <f>IF([4]Entry!$H$899="","",[4]Entry!$H$899)</f>
        <v/>
      </c>
      <c r="AZ896">
        <f>IF([4]Entry!$I$899="","",[4]Entry!$I$899)</f>
        <v/>
      </c>
    </row>
    <row r="897">
      <c r="Z897">
        <f>IF([2]Entry!$E$900="","",[2]Entry!$E$900)</f>
        <v/>
      </c>
      <c r="AA897">
        <f>IF([2]Entry!$G$900="","",[2]Entry!$G$900)</f>
        <v/>
      </c>
      <c r="AB897">
        <f>IF([2]Entry!$J$900="","",[2]Entry!$J$900)</f>
        <v/>
      </c>
      <c r="AC897">
        <f>IF([2]Entry!$K$900="","",[2]Entry!$K$900)</f>
        <v/>
      </c>
      <c r="AD897">
        <f>IF([2]Entry!$L$900="","",[2]Entry!$L$900)</f>
        <v/>
      </c>
      <c r="AE897">
        <f>IF([2]Entry!$M$900="","",[2]Entry!$M$900)</f>
        <v/>
      </c>
      <c r="AF897">
        <f>IF([2]Entry!$N$900="","",[2]Entry!$N$900)</f>
        <v/>
      </c>
      <c r="AJ897">
        <f>IF([2]Entry!$S$900="","",[2]Entry!$S$900)</f>
        <v/>
      </c>
      <c r="AK897">
        <f>IF([2]Entry!$C$900="","",[2]Entry!$C$900)</f>
        <v/>
      </c>
      <c r="AL897">
        <f>IF([2]Entry!$D$900="","",[2]Entry!$D$900)</f>
        <v/>
      </c>
      <c r="AX897">
        <f>IF([4]Entry!$E$900="","",[4]Entry!$E$900)</f>
        <v/>
      </c>
      <c r="AY897">
        <f>IF([4]Entry!$H$900="","",[4]Entry!$H$900)</f>
        <v/>
      </c>
      <c r="AZ897">
        <f>IF([4]Entry!$I$900="","",[4]Entry!$I$900)</f>
        <v/>
      </c>
    </row>
    <row r="898">
      <c r="Z898">
        <f>IF([2]Entry!$E$901="","",[2]Entry!$E$901)</f>
        <v/>
      </c>
      <c r="AA898">
        <f>IF([2]Entry!$G$901="","",[2]Entry!$G$901)</f>
        <v/>
      </c>
      <c r="AB898">
        <f>IF([2]Entry!$J$901="","",[2]Entry!$J$901)</f>
        <v/>
      </c>
      <c r="AC898">
        <f>IF([2]Entry!$K$901="","",[2]Entry!$K$901)</f>
        <v/>
      </c>
      <c r="AD898">
        <f>IF([2]Entry!$L$901="","",[2]Entry!$L$901)</f>
        <v/>
      </c>
      <c r="AE898">
        <f>IF([2]Entry!$M$901="","",[2]Entry!$M$901)</f>
        <v/>
      </c>
      <c r="AF898">
        <f>IF([2]Entry!$N$901="","",[2]Entry!$N$901)</f>
        <v/>
      </c>
      <c r="AJ898">
        <f>IF([2]Entry!$S$901="","",[2]Entry!$S$901)</f>
        <v/>
      </c>
      <c r="AK898">
        <f>IF([2]Entry!$C$901="","",[2]Entry!$C$901)</f>
        <v/>
      </c>
      <c r="AL898">
        <f>IF([2]Entry!$D$901="","",[2]Entry!$D$901)</f>
        <v/>
      </c>
      <c r="AX898">
        <f>IF([4]Entry!$E$901="","",[4]Entry!$E$901)</f>
        <v/>
      </c>
      <c r="AY898">
        <f>IF([4]Entry!$H$901="","",[4]Entry!$H$901)</f>
        <v/>
      </c>
      <c r="AZ898">
        <f>IF([4]Entry!$I$901="","",[4]Entry!$I$901)</f>
        <v/>
      </c>
    </row>
    <row r="899">
      <c r="Z899">
        <f>IF([2]Entry!$E$902="","",[2]Entry!$E$902)</f>
        <v/>
      </c>
      <c r="AA899">
        <f>IF([2]Entry!$G$902="","",[2]Entry!$G$902)</f>
        <v/>
      </c>
      <c r="AB899">
        <f>IF([2]Entry!$J$902="","",[2]Entry!$J$902)</f>
        <v/>
      </c>
      <c r="AC899">
        <f>IF([2]Entry!$K$902="","",[2]Entry!$K$902)</f>
        <v/>
      </c>
      <c r="AD899">
        <f>IF([2]Entry!$L$902="","",[2]Entry!$L$902)</f>
        <v/>
      </c>
      <c r="AE899">
        <f>IF([2]Entry!$M$902="","",[2]Entry!$M$902)</f>
        <v/>
      </c>
      <c r="AF899">
        <f>IF([2]Entry!$N$902="","",[2]Entry!$N$902)</f>
        <v/>
      </c>
      <c r="AJ899">
        <f>IF([2]Entry!$S$902="","",[2]Entry!$S$902)</f>
        <v/>
      </c>
      <c r="AK899">
        <f>IF([2]Entry!$C$902="","",[2]Entry!$C$902)</f>
        <v/>
      </c>
      <c r="AL899">
        <f>IF([2]Entry!$D$902="","",[2]Entry!$D$902)</f>
        <v/>
      </c>
      <c r="AX899">
        <f>IF([4]Entry!$E$902="","",[4]Entry!$E$902)</f>
        <v/>
      </c>
      <c r="AY899">
        <f>IF([4]Entry!$H$902="","",[4]Entry!$H$902)</f>
        <v/>
      </c>
      <c r="AZ899">
        <f>IF([4]Entry!$I$902="","",[4]Entry!$I$902)</f>
        <v/>
      </c>
    </row>
    <row r="900">
      <c r="Z900">
        <f>IF([2]Entry!$E$903="","",[2]Entry!$E$903)</f>
        <v/>
      </c>
      <c r="AA900">
        <f>IF([2]Entry!$G$903="","",[2]Entry!$G$903)</f>
        <v/>
      </c>
      <c r="AB900">
        <f>IF([2]Entry!$J$903="","",[2]Entry!$J$903)</f>
        <v/>
      </c>
      <c r="AC900">
        <f>IF([2]Entry!$K$903="","",[2]Entry!$K$903)</f>
        <v/>
      </c>
      <c r="AD900">
        <f>IF([2]Entry!$L$903="","",[2]Entry!$L$903)</f>
        <v/>
      </c>
      <c r="AE900">
        <f>IF([2]Entry!$M$903="","",[2]Entry!$M$903)</f>
        <v/>
      </c>
      <c r="AF900">
        <f>IF([2]Entry!$N$903="","",[2]Entry!$N$903)</f>
        <v/>
      </c>
      <c r="AJ900">
        <f>IF([2]Entry!$S$903="","",[2]Entry!$S$903)</f>
        <v/>
      </c>
      <c r="AK900">
        <f>IF([2]Entry!$C$903="","",[2]Entry!$C$903)</f>
        <v/>
      </c>
      <c r="AL900">
        <f>IF([2]Entry!$D$903="","",[2]Entry!$D$903)</f>
        <v/>
      </c>
      <c r="AX900">
        <f>IF([4]Entry!$E$903="","",[4]Entry!$E$903)</f>
        <v/>
      </c>
      <c r="AY900">
        <f>IF([4]Entry!$H$903="","",[4]Entry!$H$903)</f>
        <v/>
      </c>
      <c r="AZ900">
        <f>IF([4]Entry!$I$903="","",[4]Entry!$I$903)</f>
        <v/>
      </c>
    </row>
    <row r="901">
      <c r="Z901">
        <f>IF([2]Entry!$E$904="","",[2]Entry!$E$904)</f>
        <v/>
      </c>
      <c r="AA901">
        <f>IF([2]Entry!$G$904="","",[2]Entry!$G$904)</f>
        <v/>
      </c>
      <c r="AB901">
        <f>IF([2]Entry!$J$904="","",[2]Entry!$J$904)</f>
        <v/>
      </c>
      <c r="AC901">
        <f>IF([2]Entry!$K$904="","",[2]Entry!$K$904)</f>
        <v/>
      </c>
      <c r="AD901">
        <f>IF([2]Entry!$L$904="","",[2]Entry!$L$904)</f>
        <v/>
      </c>
      <c r="AE901">
        <f>IF([2]Entry!$M$904="","",[2]Entry!$M$904)</f>
        <v/>
      </c>
      <c r="AF901">
        <f>IF([2]Entry!$N$904="","",[2]Entry!$N$904)</f>
        <v/>
      </c>
      <c r="AJ901">
        <f>IF([2]Entry!$S$904="","",[2]Entry!$S$904)</f>
        <v/>
      </c>
      <c r="AK901">
        <f>IF([2]Entry!$C$904="","",[2]Entry!$C$904)</f>
        <v/>
      </c>
      <c r="AL901">
        <f>IF([2]Entry!$D$904="","",[2]Entry!$D$904)</f>
        <v/>
      </c>
      <c r="AX901">
        <f>IF([4]Entry!$E$904="","",[4]Entry!$E$904)</f>
        <v/>
      </c>
      <c r="AY901">
        <f>IF([4]Entry!$H$904="","",[4]Entry!$H$904)</f>
        <v/>
      </c>
      <c r="AZ901">
        <f>IF([4]Entry!$I$904="","",[4]Entry!$I$904)</f>
        <v/>
      </c>
    </row>
    <row r="902">
      <c r="Z902">
        <f>IF([2]Entry!$E$905="","",[2]Entry!$E$905)</f>
        <v/>
      </c>
      <c r="AA902">
        <f>IF([2]Entry!$G$905="","",[2]Entry!$G$905)</f>
        <v/>
      </c>
      <c r="AB902">
        <f>IF([2]Entry!$J$905="","",[2]Entry!$J$905)</f>
        <v/>
      </c>
      <c r="AC902">
        <f>IF([2]Entry!$K$905="","",[2]Entry!$K$905)</f>
        <v/>
      </c>
      <c r="AD902">
        <f>IF([2]Entry!$L$905="","",[2]Entry!$L$905)</f>
        <v/>
      </c>
      <c r="AE902">
        <f>IF([2]Entry!$M$905="","",[2]Entry!$M$905)</f>
        <v/>
      </c>
      <c r="AF902">
        <f>IF([2]Entry!$N$905="","",[2]Entry!$N$905)</f>
        <v/>
      </c>
      <c r="AJ902">
        <f>IF([2]Entry!$S$905="","",[2]Entry!$S$905)</f>
        <v/>
      </c>
      <c r="AK902">
        <f>IF([2]Entry!$C$905="","",[2]Entry!$C$905)</f>
        <v/>
      </c>
      <c r="AL902">
        <f>IF([2]Entry!$D$905="","",[2]Entry!$D$905)</f>
        <v/>
      </c>
      <c r="AX902">
        <f>IF([4]Entry!$E$905="","",[4]Entry!$E$905)</f>
        <v/>
      </c>
      <c r="AY902">
        <f>IF([4]Entry!$H$905="","",[4]Entry!$H$905)</f>
        <v/>
      </c>
      <c r="AZ902">
        <f>IF([4]Entry!$I$905="","",[4]Entry!$I$905)</f>
        <v/>
      </c>
    </row>
    <row r="903">
      <c r="Z903">
        <f>IF([2]Entry!$E$906="","",[2]Entry!$E$906)</f>
        <v/>
      </c>
      <c r="AA903">
        <f>IF([2]Entry!$G$906="","",[2]Entry!$G$906)</f>
        <v/>
      </c>
      <c r="AB903">
        <f>IF([2]Entry!$J$906="","",[2]Entry!$J$906)</f>
        <v/>
      </c>
      <c r="AC903">
        <f>IF([2]Entry!$K$906="","",[2]Entry!$K$906)</f>
        <v/>
      </c>
      <c r="AD903">
        <f>IF([2]Entry!$L$906="","",[2]Entry!$L$906)</f>
        <v/>
      </c>
      <c r="AE903">
        <f>IF([2]Entry!$M$906="","",[2]Entry!$M$906)</f>
        <v/>
      </c>
      <c r="AF903">
        <f>IF([2]Entry!$N$906="","",[2]Entry!$N$906)</f>
        <v/>
      </c>
      <c r="AJ903">
        <f>IF([2]Entry!$S$906="","",[2]Entry!$S$906)</f>
        <v/>
      </c>
      <c r="AK903">
        <f>IF([2]Entry!$C$906="","",[2]Entry!$C$906)</f>
        <v/>
      </c>
      <c r="AL903">
        <f>IF([2]Entry!$D$906="","",[2]Entry!$D$906)</f>
        <v/>
      </c>
      <c r="AX903">
        <f>IF([4]Entry!$E$906="","",[4]Entry!$E$906)</f>
        <v/>
      </c>
      <c r="AY903">
        <f>IF([4]Entry!$H$906="","",[4]Entry!$H$906)</f>
        <v/>
      </c>
      <c r="AZ903">
        <f>IF([4]Entry!$I$906="","",[4]Entry!$I$906)</f>
        <v/>
      </c>
    </row>
    <row r="904">
      <c r="Z904">
        <f>IF([2]Entry!$E$907="","",[2]Entry!$E$907)</f>
        <v/>
      </c>
      <c r="AA904">
        <f>IF([2]Entry!$G$907="","",[2]Entry!$G$907)</f>
        <v/>
      </c>
      <c r="AB904">
        <f>IF([2]Entry!$J$907="","",[2]Entry!$J$907)</f>
        <v/>
      </c>
      <c r="AC904">
        <f>IF([2]Entry!$K$907="","",[2]Entry!$K$907)</f>
        <v/>
      </c>
      <c r="AD904">
        <f>IF([2]Entry!$L$907="","",[2]Entry!$L$907)</f>
        <v/>
      </c>
      <c r="AE904">
        <f>IF([2]Entry!$M$907="","",[2]Entry!$M$907)</f>
        <v/>
      </c>
      <c r="AF904">
        <f>IF([2]Entry!$N$907="","",[2]Entry!$N$907)</f>
        <v/>
      </c>
      <c r="AJ904">
        <f>IF([2]Entry!$S$907="","",[2]Entry!$S$907)</f>
        <v/>
      </c>
      <c r="AK904">
        <f>IF([2]Entry!$C$907="","",[2]Entry!$C$907)</f>
        <v/>
      </c>
      <c r="AL904">
        <f>IF([2]Entry!$D$907="","",[2]Entry!$D$907)</f>
        <v/>
      </c>
      <c r="AX904">
        <f>IF([4]Entry!$E$907="","",[4]Entry!$E$907)</f>
        <v/>
      </c>
      <c r="AY904">
        <f>IF([4]Entry!$H$907="","",[4]Entry!$H$907)</f>
        <v/>
      </c>
      <c r="AZ904">
        <f>IF([4]Entry!$I$907="","",[4]Entry!$I$907)</f>
        <v/>
      </c>
    </row>
    <row r="905">
      <c r="Z905">
        <f>IF([2]Entry!$E$908="","",[2]Entry!$E$908)</f>
        <v/>
      </c>
      <c r="AA905">
        <f>IF([2]Entry!$G$908="","",[2]Entry!$G$908)</f>
        <v/>
      </c>
      <c r="AB905">
        <f>IF([2]Entry!$J$908="","",[2]Entry!$J$908)</f>
        <v/>
      </c>
      <c r="AC905">
        <f>IF([2]Entry!$K$908="","",[2]Entry!$K$908)</f>
        <v/>
      </c>
      <c r="AD905">
        <f>IF([2]Entry!$L$908="","",[2]Entry!$L$908)</f>
        <v/>
      </c>
      <c r="AE905">
        <f>IF([2]Entry!$M$908="","",[2]Entry!$M$908)</f>
        <v/>
      </c>
      <c r="AF905">
        <f>IF([2]Entry!$N$908="","",[2]Entry!$N$908)</f>
        <v/>
      </c>
      <c r="AJ905">
        <f>IF([2]Entry!$S$908="","",[2]Entry!$S$908)</f>
        <v/>
      </c>
      <c r="AK905">
        <f>IF([2]Entry!$C$908="","",[2]Entry!$C$908)</f>
        <v/>
      </c>
      <c r="AL905">
        <f>IF([2]Entry!$D$908="","",[2]Entry!$D$908)</f>
        <v/>
      </c>
      <c r="AX905">
        <f>IF([4]Entry!$E$908="","",[4]Entry!$E$908)</f>
        <v/>
      </c>
      <c r="AY905">
        <f>IF([4]Entry!$H$908="","",[4]Entry!$H$908)</f>
        <v/>
      </c>
      <c r="AZ905">
        <f>IF([4]Entry!$I$908="","",[4]Entry!$I$908)</f>
        <v/>
      </c>
    </row>
    <row r="906">
      <c r="Z906">
        <f>IF([2]Entry!$E$909="","",[2]Entry!$E$909)</f>
        <v/>
      </c>
      <c r="AA906">
        <f>IF([2]Entry!$G$909="","",[2]Entry!$G$909)</f>
        <v/>
      </c>
      <c r="AB906">
        <f>IF([2]Entry!$J$909="","",[2]Entry!$J$909)</f>
        <v/>
      </c>
      <c r="AC906">
        <f>IF([2]Entry!$K$909="","",[2]Entry!$K$909)</f>
        <v/>
      </c>
      <c r="AD906">
        <f>IF([2]Entry!$L$909="","",[2]Entry!$L$909)</f>
        <v/>
      </c>
      <c r="AE906">
        <f>IF([2]Entry!$M$909="","",[2]Entry!$M$909)</f>
        <v/>
      </c>
      <c r="AF906">
        <f>IF([2]Entry!$N$909="","",[2]Entry!$N$909)</f>
        <v/>
      </c>
      <c r="AJ906">
        <f>IF([2]Entry!$S$909="","",[2]Entry!$S$909)</f>
        <v/>
      </c>
      <c r="AK906">
        <f>IF([2]Entry!$C$909="","",[2]Entry!$C$909)</f>
        <v/>
      </c>
      <c r="AL906">
        <f>IF([2]Entry!$D$909="","",[2]Entry!$D$909)</f>
        <v/>
      </c>
      <c r="AX906">
        <f>IF([4]Entry!$E$909="","",[4]Entry!$E$909)</f>
        <v/>
      </c>
      <c r="AY906">
        <f>IF([4]Entry!$H$909="","",[4]Entry!$H$909)</f>
        <v/>
      </c>
      <c r="AZ906">
        <f>IF([4]Entry!$I$909="","",[4]Entry!$I$909)</f>
        <v/>
      </c>
    </row>
    <row r="907">
      <c r="Z907">
        <f>IF([2]Entry!$E$910="","",[2]Entry!$E$910)</f>
        <v/>
      </c>
      <c r="AA907">
        <f>IF([2]Entry!$G$910="","",[2]Entry!$G$910)</f>
        <v/>
      </c>
      <c r="AB907">
        <f>IF([2]Entry!$J$910="","",[2]Entry!$J$910)</f>
        <v/>
      </c>
      <c r="AC907">
        <f>IF([2]Entry!$K$910="","",[2]Entry!$K$910)</f>
        <v/>
      </c>
      <c r="AD907">
        <f>IF([2]Entry!$L$910="","",[2]Entry!$L$910)</f>
        <v/>
      </c>
      <c r="AE907">
        <f>IF([2]Entry!$M$910="","",[2]Entry!$M$910)</f>
        <v/>
      </c>
      <c r="AF907">
        <f>IF([2]Entry!$N$910="","",[2]Entry!$N$910)</f>
        <v/>
      </c>
      <c r="AJ907">
        <f>IF([2]Entry!$S$910="","",[2]Entry!$S$910)</f>
        <v/>
      </c>
      <c r="AK907">
        <f>IF([2]Entry!$C$910="","",[2]Entry!$C$910)</f>
        <v/>
      </c>
      <c r="AL907">
        <f>IF([2]Entry!$D$910="","",[2]Entry!$D$910)</f>
        <v/>
      </c>
      <c r="AX907">
        <f>IF([4]Entry!$E$910="","",[4]Entry!$E$910)</f>
        <v/>
      </c>
      <c r="AY907">
        <f>IF([4]Entry!$H$910="","",[4]Entry!$H$910)</f>
        <v/>
      </c>
      <c r="AZ907">
        <f>IF([4]Entry!$I$910="","",[4]Entry!$I$910)</f>
        <v/>
      </c>
    </row>
    <row r="908">
      <c r="Z908">
        <f>IF([2]Entry!$E$911="","",[2]Entry!$E$911)</f>
        <v/>
      </c>
      <c r="AA908">
        <f>IF([2]Entry!$G$911="","",[2]Entry!$G$911)</f>
        <v/>
      </c>
      <c r="AB908">
        <f>IF([2]Entry!$J$911="","",[2]Entry!$J$911)</f>
        <v/>
      </c>
      <c r="AC908">
        <f>IF([2]Entry!$K$911="","",[2]Entry!$K$911)</f>
        <v/>
      </c>
      <c r="AD908">
        <f>IF([2]Entry!$L$911="","",[2]Entry!$L$911)</f>
        <v/>
      </c>
      <c r="AE908">
        <f>IF([2]Entry!$M$911="","",[2]Entry!$M$911)</f>
        <v/>
      </c>
      <c r="AF908">
        <f>IF([2]Entry!$N$911="","",[2]Entry!$N$911)</f>
        <v/>
      </c>
      <c r="AJ908">
        <f>IF([2]Entry!$S$911="","",[2]Entry!$S$911)</f>
        <v/>
      </c>
      <c r="AK908">
        <f>IF([2]Entry!$C$911="","",[2]Entry!$C$911)</f>
        <v/>
      </c>
      <c r="AL908">
        <f>IF([2]Entry!$D$911="","",[2]Entry!$D$911)</f>
        <v/>
      </c>
      <c r="AX908">
        <f>IF([4]Entry!$E$911="","",[4]Entry!$E$911)</f>
        <v/>
      </c>
      <c r="AY908">
        <f>IF([4]Entry!$H$911="","",[4]Entry!$H$911)</f>
        <v/>
      </c>
      <c r="AZ908">
        <f>IF([4]Entry!$I$911="","",[4]Entry!$I$911)</f>
        <v/>
      </c>
    </row>
    <row r="909">
      <c r="Z909">
        <f>IF([2]Entry!$E$912="","",[2]Entry!$E$912)</f>
        <v/>
      </c>
      <c r="AA909">
        <f>IF([2]Entry!$G$912="","",[2]Entry!$G$912)</f>
        <v/>
      </c>
      <c r="AB909">
        <f>IF([2]Entry!$J$912="","",[2]Entry!$J$912)</f>
        <v/>
      </c>
      <c r="AC909">
        <f>IF([2]Entry!$K$912="","",[2]Entry!$K$912)</f>
        <v/>
      </c>
      <c r="AD909">
        <f>IF([2]Entry!$L$912="","",[2]Entry!$L$912)</f>
        <v/>
      </c>
      <c r="AE909">
        <f>IF([2]Entry!$M$912="","",[2]Entry!$M$912)</f>
        <v/>
      </c>
      <c r="AF909">
        <f>IF([2]Entry!$N$912="","",[2]Entry!$N$912)</f>
        <v/>
      </c>
      <c r="AJ909">
        <f>IF([2]Entry!$S$912="","",[2]Entry!$S$912)</f>
        <v/>
      </c>
      <c r="AK909">
        <f>IF([2]Entry!$C$912="","",[2]Entry!$C$912)</f>
        <v/>
      </c>
      <c r="AL909">
        <f>IF([2]Entry!$D$912="","",[2]Entry!$D$912)</f>
        <v/>
      </c>
      <c r="AX909">
        <f>IF([4]Entry!$E$912="","",[4]Entry!$E$912)</f>
        <v/>
      </c>
      <c r="AY909">
        <f>IF([4]Entry!$H$912="","",[4]Entry!$H$912)</f>
        <v/>
      </c>
      <c r="AZ909">
        <f>IF([4]Entry!$I$912="","",[4]Entry!$I$912)</f>
        <v/>
      </c>
    </row>
    <row r="910">
      <c r="Z910">
        <f>IF([2]Entry!$E$913="","",[2]Entry!$E$913)</f>
        <v/>
      </c>
      <c r="AA910">
        <f>IF([2]Entry!$G$913="","",[2]Entry!$G$913)</f>
        <v/>
      </c>
      <c r="AB910">
        <f>IF([2]Entry!$J$913="","",[2]Entry!$J$913)</f>
        <v/>
      </c>
      <c r="AC910">
        <f>IF([2]Entry!$K$913="","",[2]Entry!$K$913)</f>
        <v/>
      </c>
      <c r="AD910">
        <f>IF([2]Entry!$L$913="","",[2]Entry!$L$913)</f>
        <v/>
      </c>
      <c r="AE910">
        <f>IF([2]Entry!$M$913="","",[2]Entry!$M$913)</f>
        <v/>
      </c>
      <c r="AF910">
        <f>IF([2]Entry!$N$913="","",[2]Entry!$N$913)</f>
        <v/>
      </c>
      <c r="AJ910">
        <f>IF([2]Entry!$S$913="","",[2]Entry!$S$913)</f>
        <v/>
      </c>
      <c r="AK910">
        <f>IF([2]Entry!$C$913="","",[2]Entry!$C$913)</f>
        <v/>
      </c>
      <c r="AL910">
        <f>IF([2]Entry!$D$913="","",[2]Entry!$D$913)</f>
        <v/>
      </c>
      <c r="AX910">
        <f>IF([4]Entry!$E$913="","",[4]Entry!$E$913)</f>
        <v/>
      </c>
      <c r="AY910">
        <f>IF([4]Entry!$H$913="","",[4]Entry!$H$913)</f>
        <v/>
      </c>
      <c r="AZ910">
        <f>IF([4]Entry!$I$913="","",[4]Entry!$I$913)</f>
        <v/>
      </c>
    </row>
    <row r="911">
      <c r="Z911">
        <f>IF([2]Entry!$E$914="","",[2]Entry!$E$914)</f>
        <v/>
      </c>
      <c r="AA911">
        <f>IF([2]Entry!$G$914="","",[2]Entry!$G$914)</f>
        <v/>
      </c>
      <c r="AB911">
        <f>IF([2]Entry!$J$914="","",[2]Entry!$J$914)</f>
        <v/>
      </c>
      <c r="AC911">
        <f>IF([2]Entry!$K$914="","",[2]Entry!$K$914)</f>
        <v/>
      </c>
      <c r="AD911">
        <f>IF([2]Entry!$L$914="","",[2]Entry!$L$914)</f>
        <v/>
      </c>
      <c r="AE911">
        <f>IF([2]Entry!$M$914="","",[2]Entry!$M$914)</f>
        <v/>
      </c>
      <c r="AF911">
        <f>IF([2]Entry!$N$914="","",[2]Entry!$N$914)</f>
        <v/>
      </c>
      <c r="AJ911">
        <f>IF([2]Entry!$S$914="","",[2]Entry!$S$914)</f>
        <v/>
      </c>
      <c r="AK911">
        <f>IF([2]Entry!$C$914="","",[2]Entry!$C$914)</f>
        <v/>
      </c>
      <c r="AL911">
        <f>IF([2]Entry!$D$914="","",[2]Entry!$D$914)</f>
        <v/>
      </c>
      <c r="AX911">
        <f>IF([4]Entry!$E$914="","",[4]Entry!$E$914)</f>
        <v/>
      </c>
      <c r="AY911">
        <f>IF([4]Entry!$H$914="","",[4]Entry!$H$914)</f>
        <v/>
      </c>
      <c r="AZ911">
        <f>IF([4]Entry!$I$914="","",[4]Entry!$I$914)</f>
        <v/>
      </c>
    </row>
    <row r="912">
      <c r="Z912">
        <f>IF([2]Entry!$E$915="","",[2]Entry!$E$915)</f>
        <v/>
      </c>
      <c r="AA912">
        <f>IF([2]Entry!$G$915="","",[2]Entry!$G$915)</f>
        <v/>
      </c>
      <c r="AB912">
        <f>IF([2]Entry!$J$915="","",[2]Entry!$J$915)</f>
        <v/>
      </c>
      <c r="AC912">
        <f>IF([2]Entry!$K$915="","",[2]Entry!$K$915)</f>
        <v/>
      </c>
      <c r="AD912">
        <f>IF([2]Entry!$L$915="","",[2]Entry!$L$915)</f>
        <v/>
      </c>
      <c r="AE912">
        <f>IF([2]Entry!$M$915="","",[2]Entry!$M$915)</f>
        <v/>
      </c>
      <c r="AF912">
        <f>IF([2]Entry!$N$915="","",[2]Entry!$N$915)</f>
        <v/>
      </c>
      <c r="AJ912">
        <f>IF([2]Entry!$S$915="","",[2]Entry!$S$915)</f>
        <v/>
      </c>
      <c r="AK912">
        <f>IF([2]Entry!$C$915="","",[2]Entry!$C$915)</f>
        <v/>
      </c>
      <c r="AL912">
        <f>IF([2]Entry!$D$915="","",[2]Entry!$D$915)</f>
        <v/>
      </c>
      <c r="AX912">
        <f>IF([4]Entry!$E$915="","",[4]Entry!$E$915)</f>
        <v/>
      </c>
      <c r="AY912">
        <f>IF([4]Entry!$H$915="","",[4]Entry!$H$915)</f>
        <v/>
      </c>
      <c r="AZ912">
        <f>IF([4]Entry!$I$915="","",[4]Entry!$I$915)</f>
        <v/>
      </c>
    </row>
    <row r="913">
      <c r="Z913">
        <f>IF([2]Entry!$E$916="","",[2]Entry!$E$916)</f>
        <v/>
      </c>
      <c r="AA913">
        <f>IF([2]Entry!$G$916="","",[2]Entry!$G$916)</f>
        <v/>
      </c>
      <c r="AB913">
        <f>IF([2]Entry!$J$916="","",[2]Entry!$J$916)</f>
        <v/>
      </c>
      <c r="AC913">
        <f>IF([2]Entry!$K$916="","",[2]Entry!$K$916)</f>
        <v/>
      </c>
      <c r="AD913">
        <f>IF([2]Entry!$L$916="","",[2]Entry!$L$916)</f>
        <v/>
      </c>
      <c r="AE913">
        <f>IF([2]Entry!$M$916="","",[2]Entry!$M$916)</f>
        <v/>
      </c>
      <c r="AF913">
        <f>IF([2]Entry!$N$916="","",[2]Entry!$N$916)</f>
        <v/>
      </c>
      <c r="AJ913">
        <f>IF([2]Entry!$S$916="","",[2]Entry!$S$916)</f>
        <v/>
      </c>
      <c r="AK913">
        <f>IF([2]Entry!$C$916="","",[2]Entry!$C$916)</f>
        <v/>
      </c>
      <c r="AL913">
        <f>IF([2]Entry!$D$916="","",[2]Entry!$D$916)</f>
        <v/>
      </c>
      <c r="AX913">
        <f>IF([4]Entry!$E$916="","",[4]Entry!$E$916)</f>
        <v/>
      </c>
      <c r="AY913">
        <f>IF([4]Entry!$H$916="","",[4]Entry!$H$916)</f>
        <v/>
      </c>
      <c r="AZ913">
        <f>IF([4]Entry!$I$916="","",[4]Entry!$I$916)</f>
        <v/>
      </c>
    </row>
    <row r="914">
      <c r="Z914">
        <f>IF([2]Entry!$E$917="","",[2]Entry!$E$917)</f>
        <v/>
      </c>
      <c r="AA914">
        <f>IF([2]Entry!$G$917="","",[2]Entry!$G$917)</f>
        <v/>
      </c>
      <c r="AB914">
        <f>IF([2]Entry!$J$917="","",[2]Entry!$J$917)</f>
        <v/>
      </c>
      <c r="AC914">
        <f>IF([2]Entry!$K$917="","",[2]Entry!$K$917)</f>
        <v/>
      </c>
      <c r="AD914">
        <f>IF([2]Entry!$L$917="","",[2]Entry!$L$917)</f>
        <v/>
      </c>
      <c r="AE914">
        <f>IF([2]Entry!$M$917="","",[2]Entry!$M$917)</f>
        <v/>
      </c>
      <c r="AF914">
        <f>IF([2]Entry!$N$917="","",[2]Entry!$N$917)</f>
        <v/>
      </c>
      <c r="AJ914">
        <f>IF([2]Entry!$S$917="","",[2]Entry!$S$917)</f>
        <v/>
      </c>
      <c r="AK914">
        <f>IF([2]Entry!$C$917="","",[2]Entry!$C$917)</f>
        <v/>
      </c>
      <c r="AL914">
        <f>IF([2]Entry!$D$917="","",[2]Entry!$D$917)</f>
        <v/>
      </c>
      <c r="AX914">
        <f>IF([4]Entry!$E$917="","",[4]Entry!$E$917)</f>
        <v/>
      </c>
      <c r="AY914">
        <f>IF([4]Entry!$H$917="","",[4]Entry!$H$917)</f>
        <v/>
      </c>
      <c r="AZ914">
        <f>IF([4]Entry!$I$917="","",[4]Entry!$I$917)</f>
        <v/>
      </c>
    </row>
    <row r="915">
      <c r="Z915">
        <f>IF([2]Entry!$E$918="","",[2]Entry!$E$918)</f>
        <v/>
      </c>
      <c r="AA915">
        <f>IF([2]Entry!$G$918="","",[2]Entry!$G$918)</f>
        <v/>
      </c>
      <c r="AB915">
        <f>IF([2]Entry!$J$918="","",[2]Entry!$J$918)</f>
        <v/>
      </c>
      <c r="AC915">
        <f>IF([2]Entry!$K$918="","",[2]Entry!$K$918)</f>
        <v/>
      </c>
      <c r="AD915">
        <f>IF([2]Entry!$L$918="","",[2]Entry!$L$918)</f>
        <v/>
      </c>
      <c r="AE915">
        <f>IF([2]Entry!$M$918="","",[2]Entry!$M$918)</f>
        <v/>
      </c>
      <c r="AF915">
        <f>IF([2]Entry!$N$918="","",[2]Entry!$N$918)</f>
        <v/>
      </c>
      <c r="AJ915">
        <f>IF([2]Entry!$S$918="","",[2]Entry!$S$918)</f>
        <v/>
      </c>
      <c r="AK915">
        <f>IF([2]Entry!$C$918="","",[2]Entry!$C$918)</f>
        <v/>
      </c>
      <c r="AL915">
        <f>IF([2]Entry!$D$918="","",[2]Entry!$D$918)</f>
        <v/>
      </c>
      <c r="AX915">
        <f>IF([4]Entry!$E$918="","",[4]Entry!$E$918)</f>
        <v/>
      </c>
      <c r="AY915">
        <f>IF([4]Entry!$H$918="","",[4]Entry!$H$918)</f>
        <v/>
      </c>
      <c r="AZ915">
        <f>IF([4]Entry!$I$918="","",[4]Entry!$I$918)</f>
        <v/>
      </c>
    </row>
    <row r="916">
      <c r="Z916">
        <f>IF([2]Entry!$E$919="","",[2]Entry!$E$919)</f>
        <v/>
      </c>
      <c r="AA916">
        <f>IF([2]Entry!$G$919="","",[2]Entry!$G$919)</f>
        <v/>
      </c>
      <c r="AB916">
        <f>IF([2]Entry!$J$919="","",[2]Entry!$J$919)</f>
        <v/>
      </c>
      <c r="AC916">
        <f>IF([2]Entry!$K$919="","",[2]Entry!$K$919)</f>
        <v/>
      </c>
      <c r="AD916">
        <f>IF([2]Entry!$L$919="","",[2]Entry!$L$919)</f>
        <v/>
      </c>
      <c r="AE916">
        <f>IF([2]Entry!$M$919="","",[2]Entry!$M$919)</f>
        <v/>
      </c>
      <c r="AF916">
        <f>IF([2]Entry!$N$919="","",[2]Entry!$N$919)</f>
        <v/>
      </c>
      <c r="AJ916">
        <f>IF([2]Entry!$S$919="","",[2]Entry!$S$919)</f>
        <v/>
      </c>
      <c r="AK916">
        <f>IF([2]Entry!$C$919="","",[2]Entry!$C$919)</f>
        <v/>
      </c>
      <c r="AL916">
        <f>IF([2]Entry!$D$919="","",[2]Entry!$D$919)</f>
        <v/>
      </c>
      <c r="AX916">
        <f>IF([4]Entry!$E$919="","",[4]Entry!$E$919)</f>
        <v/>
      </c>
      <c r="AY916">
        <f>IF([4]Entry!$H$919="","",[4]Entry!$H$919)</f>
        <v/>
      </c>
      <c r="AZ916">
        <f>IF([4]Entry!$I$919="","",[4]Entry!$I$919)</f>
        <v/>
      </c>
    </row>
    <row r="917">
      <c r="Z917">
        <f>IF([2]Entry!$E$920="","",[2]Entry!$E$920)</f>
        <v/>
      </c>
      <c r="AA917">
        <f>IF([2]Entry!$G$920="","",[2]Entry!$G$920)</f>
        <v/>
      </c>
      <c r="AB917">
        <f>IF([2]Entry!$J$920="","",[2]Entry!$J$920)</f>
        <v/>
      </c>
      <c r="AC917">
        <f>IF([2]Entry!$K$920="","",[2]Entry!$K$920)</f>
        <v/>
      </c>
      <c r="AD917">
        <f>IF([2]Entry!$L$920="","",[2]Entry!$L$920)</f>
        <v/>
      </c>
      <c r="AE917">
        <f>IF([2]Entry!$M$920="","",[2]Entry!$M$920)</f>
        <v/>
      </c>
      <c r="AF917">
        <f>IF([2]Entry!$N$920="","",[2]Entry!$N$920)</f>
        <v/>
      </c>
      <c r="AJ917">
        <f>IF([2]Entry!$S$920="","",[2]Entry!$S$920)</f>
        <v/>
      </c>
      <c r="AK917">
        <f>IF([2]Entry!$C$920="","",[2]Entry!$C$920)</f>
        <v/>
      </c>
      <c r="AL917">
        <f>IF([2]Entry!$D$920="","",[2]Entry!$D$920)</f>
        <v/>
      </c>
      <c r="AX917">
        <f>IF([4]Entry!$E$920="","",[4]Entry!$E$920)</f>
        <v/>
      </c>
      <c r="AY917">
        <f>IF([4]Entry!$H$920="","",[4]Entry!$H$920)</f>
        <v/>
      </c>
      <c r="AZ917">
        <f>IF([4]Entry!$I$920="","",[4]Entry!$I$920)</f>
        <v/>
      </c>
    </row>
    <row r="918">
      <c r="Z918">
        <f>IF([2]Entry!$E$921="","",[2]Entry!$E$921)</f>
        <v/>
      </c>
      <c r="AA918">
        <f>IF([2]Entry!$G$921="","",[2]Entry!$G$921)</f>
        <v/>
      </c>
      <c r="AB918">
        <f>IF([2]Entry!$J$921="","",[2]Entry!$J$921)</f>
        <v/>
      </c>
      <c r="AC918">
        <f>IF([2]Entry!$K$921="","",[2]Entry!$K$921)</f>
        <v/>
      </c>
      <c r="AD918">
        <f>IF([2]Entry!$L$921="","",[2]Entry!$L$921)</f>
        <v/>
      </c>
      <c r="AE918">
        <f>IF([2]Entry!$M$921="","",[2]Entry!$M$921)</f>
        <v/>
      </c>
      <c r="AF918">
        <f>IF([2]Entry!$N$921="","",[2]Entry!$N$921)</f>
        <v/>
      </c>
      <c r="AJ918">
        <f>IF([2]Entry!$S$921="","",[2]Entry!$S$921)</f>
        <v/>
      </c>
      <c r="AK918">
        <f>IF([2]Entry!$C$921="","",[2]Entry!$C$921)</f>
        <v/>
      </c>
      <c r="AL918">
        <f>IF([2]Entry!$D$921="","",[2]Entry!$D$921)</f>
        <v/>
      </c>
      <c r="AX918">
        <f>IF([4]Entry!$E$921="","",[4]Entry!$E$921)</f>
        <v/>
      </c>
      <c r="AY918">
        <f>IF([4]Entry!$H$921="","",[4]Entry!$H$921)</f>
        <v/>
      </c>
      <c r="AZ918">
        <f>IF([4]Entry!$I$921="","",[4]Entry!$I$921)</f>
        <v/>
      </c>
    </row>
    <row r="919">
      <c r="Z919">
        <f>IF([2]Entry!$E$922="","",[2]Entry!$E$922)</f>
        <v/>
      </c>
      <c r="AA919">
        <f>IF([2]Entry!$G$922="","",[2]Entry!$G$922)</f>
        <v/>
      </c>
      <c r="AB919">
        <f>IF([2]Entry!$J$922="","",[2]Entry!$J$922)</f>
        <v/>
      </c>
      <c r="AC919">
        <f>IF([2]Entry!$K$922="","",[2]Entry!$K$922)</f>
        <v/>
      </c>
      <c r="AD919">
        <f>IF([2]Entry!$L$922="","",[2]Entry!$L$922)</f>
        <v/>
      </c>
      <c r="AE919">
        <f>IF([2]Entry!$M$922="","",[2]Entry!$M$922)</f>
        <v/>
      </c>
      <c r="AF919">
        <f>IF([2]Entry!$N$922="","",[2]Entry!$N$922)</f>
        <v/>
      </c>
      <c r="AJ919">
        <f>IF([2]Entry!$S$922="","",[2]Entry!$S$922)</f>
        <v/>
      </c>
      <c r="AK919">
        <f>IF([2]Entry!$C$922="","",[2]Entry!$C$922)</f>
        <v/>
      </c>
      <c r="AL919">
        <f>IF([2]Entry!$D$922="","",[2]Entry!$D$922)</f>
        <v/>
      </c>
      <c r="AX919">
        <f>IF([4]Entry!$E$922="","",[4]Entry!$E$922)</f>
        <v/>
      </c>
      <c r="AY919">
        <f>IF([4]Entry!$H$922="","",[4]Entry!$H$922)</f>
        <v/>
      </c>
      <c r="AZ919">
        <f>IF([4]Entry!$I$922="","",[4]Entry!$I$922)</f>
        <v/>
      </c>
    </row>
    <row r="920">
      <c r="Z920">
        <f>IF([2]Entry!$E$923="","",[2]Entry!$E$923)</f>
        <v/>
      </c>
      <c r="AA920">
        <f>IF([2]Entry!$G$923="","",[2]Entry!$G$923)</f>
        <v/>
      </c>
      <c r="AB920">
        <f>IF([2]Entry!$J$923="","",[2]Entry!$J$923)</f>
        <v/>
      </c>
      <c r="AC920">
        <f>IF([2]Entry!$K$923="","",[2]Entry!$K$923)</f>
        <v/>
      </c>
      <c r="AD920">
        <f>IF([2]Entry!$L$923="","",[2]Entry!$L$923)</f>
        <v/>
      </c>
      <c r="AE920">
        <f>IF([2]Entry!$M$923="","",[2]Entry!$M$923)</f>
        <v/>
      </c>
      <c r="AF920">
        <f>IF([2]Entry!$N$923="","",[2]Entry!$N$923)</f>
        <v/>
      </c>
      <c r="AJ920">
        <f>IF([2]Entry!$S$923="","",[2]Entry!$S$923)</f>
        <v/>
      </c>
      <c r="AK920">
        <f>IF([2]Entry!$C$923="","",[2]Entry!$C$923)</f>
        <v/>
      </c>
      <c r="AL920">
        <f>IF([2]Entry!$D$923="","",[2]Entry!$D$923)</f>
        <v/>
      </c>
      <c r="AX920">
        <f>IF([4]Entry!$E$923="","",[4]Entry!$E$923)</f>
        <v/>
      </c>
      <c r="AY920">
        <f>IF([4]Entry!$H$923="","",[4]Entry!$H$923)</f>
        <v/>
      </c>
      <c r="AZ920">
        <f>IF([4]Entry!$I$923="","",[4]Entry!$I$923)</f>
        <v/>
      </c>
    </row>
    <row r="921">
      <c r="Z921">
        <f>IF([2]Entry!$E$924="","",[2]Entry!$E$924)</f>
        <v/>
      </c>
      <c r="AA921">
        <f>IF([2]Entry!$G$924="","",[2]Entry!$G$924)</f>
        <v/>
      </c>
      <c r="AB921">
        <f>IF([2]Entry!$J$924="","",[2]Entry!$J$924)</f>
        <v/>
      </c>
      <c r="AC921">
        <f>IF([2]Entry!$K$924="","",[2]Entry!$K$924)</f>
        <v/>
      </c>
      <c r="AD921">
        <f>IF([2]Entry!$L$924="","",[2]Entry!$L$924)</f>
        <v/>
      </c>
      <c r="AE921">
        <f>IF([2]Entry!$M$924="","",[2]Entry!$M$924)</f>
        <v/>
      </c>
      <c r="AF921">
        <f>IF([2]Entry!$N$924="","",[2]Entry!$N$924)</f>
        <v/>
      </c>
      <c r="AJ921">
        <f>IF([2]Entry!$S$924="","",[2]Entry!$S$924)</f>
        <v/>
      </c>
      <c r="AK921">
        <f>IF([2]Entry!$C$924="","",[2]Entry!$C$924)</f>
        <v/>
      </c>
      <c r="AL921">
        <f>IF([2]Entry!$D$924="","",[2]Entry!$D$924)</f>
        <v/>
      </c>
      <c r="AX921">
        <f>IF([4]Entry!$E$924="","",[4]Entry!$E$924)</f>
        <v/>
      </c>
      <c r="AY921">
        <f>IF([4]Entry!$H$924="","",[4]Entry!$H$924)</f>
        <v/>
      </c>
      <c r="AZ921">
        <f>IF([4]Entry!$I$924="","",[4]Entry!$I$924)</f>
        <v/>
      </c>
    </row>
    <row r="922">
      <c r="Z922">
        <f>IF([2]Entry!$E$925="","",[2]Entry!$E$925)</f>
        <v/>
      </c>
      <c r="AA922">
        <f>IF([2]Entry!$G$925="","",[2]Entry!$G$925)</f>
        <v/>
      </c>
      <c r="AB922">
        <f>IF([2]Entry!$J$925="","",[2]Entry!$J$925)</f>
        <v/>
      </c>
      <c r="AC922">
        <f>IF([2]Entry!$K$925="","",[2]Entry!$K$925)</f>
        <v/>
      </c>
      <c r="AD922">
        <f>IF([2]Entry!$L$925="","",[2]Entry!$L$925)</f>
        <v/>
      </c>
      <c r="AE922">
        <f>IF([2]Entry!$M$925="","",[2]Entry!$M$925)</f>
        <v/>
      </c>
      <c r="AF922">
        <f>IF([2]Entry!$N$925="","",[2]Entry!$N$925)</f>
        <v/>
      </c>
      <c r="AJ922">
        <f>IF([2]Entry!$S$925="","",[2]Entry!$S$925)</f>
        <v/>
      </c>
      <c r="AK922">
        <f>IF([2]Entry!$C$925="","",[2]Entry!$C$925)</f>
        <v/>
      </c>
      <c r="AL922">
        <f>IF([2]Entry!$D$925="","",[2]Entry!$D$925)</f>
        <v/>
      </c>
      <c r="AX922">
        <f>IF([4]Entry!$E$925="","",[4]Entry!$E$925)</f>
        <v/>
      </c>
      <c r="AY922">
        <f>IF([4]Entry!$H$925="","",[4]Entry!$H$925)</f>
        <v/>
      </c>
      <c r="AZ922">
        <f>IF([4]Entry!$I$925="","",[4]Entry!$I$925)</f>
        <v/>
      </c>
    </row>
    <row r="923">
      <c r="Z923">
        <f>IF([2]Entry!$E$926="","",[2]Entry!$E$926)</f>
        <v/>
      </c>
      <c r="AA923">
        <f>IF([2]Entry!$G$926="","",[2]Entry!$G$926)</f>
        <v/>
      </c>
      <c r="AB923">
        <f>IF([2]Entry!$J$926="","",[2]Entry!$J$926)</f>
        <v/>
      </c>
      <c r="AC923">
        <f>IF([2]Entry!$K$926="","",[2]Entry!$K$926)</f>
        <v/>
      </c>
      <c r="AD923">
        <f>IF([2]Entry!$L$926="","",[2]Entry!$L$926)</f>
        <v/>
      </c>
      <c r="AE923">
        <f>IF([2]Entry!$M$926="","",[2]Entry!$M$926)</f>
        <v/>
      </c>
      <c r="AF923">
        <f>IF([2]Entry!$N$926="","",[2]Entry!$N$926)</f>
        <v/>
      </c>
      <c r="AJ923">
        <f>IF([2]Entry!$S$926="","",[2]Entry!$S$926)</f>
        <v/>
      </c>
      <c r="AK923">
        <f>IF([2]Entry!$C$926="","",[2]Entry!$C$926)</f>
        <v/>
      </c>
      <c r="AL923">
        <f>IF([2]Entry!$D$926="","",[2]Entry!$D$926)</f>
        <v/>
      </c>
      <c r="AX923">
        <f>IF([4]Entry!$E$926="","",[4]Entry!$E$926)</f>
        <v/>
      </c>
      <c r="AY923">
        <f>IF([4]Entry!$H$926="","",[4]Entry!$H$926)</f>
        <v/>
      </c>
      <c r="AZ923">
        <f>IF([4]Entry!$I$926="","",[4]Entry!$I$926)</f>
        <v/>
      </c>
    </row>
    <row r="924">
      <c r="Z924">
        <f>IF([2]Entry!$E$927="","",[2]Entry!$E$927)</f>
        <v/>
      </c>
      <c r="AA924">
        <f>IF([2]Entry!$G$927="","",[2]Entry!$G$927)</f>
        <v/>
      </c>
      <c r="AB924">
        <f>IF([2]Entry!$J$927="","",[2]Entry!$J$927)</f>
        <v/>
      </c>
      <c r="AC924">
        <f>IF([2]Entry!$K$927="","",[2]Entry!$K$927)</f>
        <v/>
      </c>
      <c r="AD924">
        <f>IF([2]Entry!$L$927="","",[2]Entry!$L$927)</f>
        <v/>
      </c>
      <c r="AE924">
        <f>IF([2]Entry!$M$927="","",[2]Entry!$M$927)</f>
        <v/>
      </c>
      <c r="AF924">
        <f>IF([2]Entry!$N$927="","",[2]Entry!$N$927)</f>
        <v/>
      </c>
      <c r="AJ924">
        <f>IF([2]Entry!$S$927="","",[2]Entry!$S$927)</f>
        <v/>
      </c>
      <c r="AK924">
        <f>IF([2]Entry!$C$927="","",[2]Entry!$C$927)</f>
        <v/>
      </c>
      <c r="AL924">
        <f>IF([2]Entry!$D$927="","",[2]Entry!$D$927)</f>
        <v/>
      </c>
      <c r="AX924">
        <f>IF([4]Entry!$E$927="","",[4]Entry!$E$927)</f>
        <v/>
      </c>
      <c r="AY924">
        <f>IF([4]Entry!$H$927="","",[4]Entry!$H$927)</f>
        <v/>
      </c>
      <c r="AZ924">
        <f>IF([4]Entry!$I$927="","",[4]Entry!$I$927)</f>
        <v/>
      </c>
    </row>
    <row r="925">
      <c r="Z925">
        <f>IF([2]Entry!$E$928="","",[2]Entry!$E$928)</f>
        <v/>
      </c>
      <c r="AA925">
        <f>IF([2]Entry!$G$928="","",[2]Entry!$G$928)</f>
        <v/>
      </c>
      <c r="AB925">
        <f>IF([2]Entry!$J$928="","",[2]Entry!$J$928)</f>
        <v/>
      </c>
      <c r="AC925">
        <f>IF([2]Entry!$K$928="","",[2]Entry!$K$928)</f>
        <v/>
      </c>
      <c r="AD925">
        <f>IF([2]Entry!$L$928="","",[2]Entry!$L$928)</f>
        <v/>
      </c>
      <c r="AE925">
        <f>IF([2]Entry!$M$928="","",[2]Entry!$M$928)</f>
        <v/>
      </c>
      <c r="AF925">
        <f>IF([2]Entry!$N$928="","",[2]Entry!$N$928)</f>
        <v/>
      </c>
      <c r="AJ925">
        <f>IF([2]Entry!$S$928="","",[2]Entry!$S$928)</f>
        <v/>
      </c>
      <c r="AK925">
        <f>IF([2]Entry!$C$928="","",[2]Entry!$C$928)</f>
        <v/>
      </c>
      <c r="AL925">
        <f>IF([2]Entry!$D$928="","",[2]Entry!$D$928)</f>
        <v/>
      </c>
      <c r="AX925">
        <f>IF([4]Entry!$E$928="","",[4]Entry!$E$928)</f>
        <v/>
      </c>
      <c r="AY925">
        <f>IF([4]Entry!$H$928="","",[4]Entry!$H$928)</f>
        <v/>
      </c>
      <c r="AZ925">
        <f>IF([4]Entry!$I$928="","",[4]Entry!$I$928)</f>
        <v/>
      </c>
    </row>
    <row r="926">
      <c r="Z926">
        <f>IF([2]Entry!$E$929="","",[2]Entry!$E$929)</f>
        <v/>
      </c>
      <c r="AA926">
        <f>IF([2]Entry!$G$929="","",[2]Entry!$G$929)</f>
        <v/>
      </c>
      <c r="AB926">
        <f>IF([2]Entry!$J$929="","",[2]Entry!$J$929)</f>
        <v/>
      </c>
      <c r="AC926">
        <f>IF([2]Entry!$K$929="","",[2]Entry!$K$929)</f>
        <v/>
      </c>
      <c r="AD926">
        <f>IF([2]Entry!$L$929="","",[2]Entry!$L$929)</f>
        <v/>
      </c>
      <c r="AE926">
        <f>IF([2]Entry!$M$929="","",[2]Entry!$M$929)</f>
        <v/>
      </c>
      <c r="AF926">
        <f>IF([2]Entry!$N$929="","",[2]Entry!$N$929)</f>
        <v/>
      </c>
      <c r="AJ926">
        <f>IF([2]Entry!$S$929="","",[2]Entry!$S$929)</f>
        <v/>
      </c>
      <c r="AK926">
        <f>IF([2]Entry!$C$929="","",[2]Entry!$C$929)</f>
        <v/>
      </c>
      <c r="AL926">
        <f>IF([2]Entry!$D$929="","",[2]Entry!$D$929)</f>
        <v/>
      </c>
      <c r="AX926">
        <f>IF([4]Entry!$E$929="","",[4]Entry!$E$929)</f>
        <v/>
      </c>
      <c r="AY926">
        <f>IF([4]Entry!$H$929="","",[4]Entry!$H$929)</f>
        <v/>
      </c>
      <c r="AZ926">
        <f>IF([4]Entry!$I$929="","",[4]Entry!$I$929)</f>
        <v/>
      </c>
    </row>
    <row r="927">
      <c r="Z927">
        <f>IF([2]Entry!$E$930="","",[2]Entry!$E$930)</f>
        <v/>
      </c>
      <c r="AA927">
        <f>IF([2]Entry!$G$930="","",[2]Entry!$G$930)</f>
        <v/>
      </c>
      <c r="AB927">
        <f>IF([2]Entry!$J$930="","",[2]Entry!$J$930)</f>
        <v/>
      </c>
      <c r="AC927">
        <f>IF([2]Entry!$K$930="","",[2]Entry!$K$930)</f>
        <v/>
      </c>
      <c r="AD927">
        <f>IF([2]Entry!$L$930="","",[2]Entry!$L$930)</f>
        <v/>
      </c>
      <c r="AE927">
        <f>IF([2]Entry!$M$930="","",[2]Entry!$M$930)</f>
        <v/>
      </c>
      <c r="AF927">
        <f>IF([2]Entry!$N$930="","",[2]Entry!$N$930)</f>
        <v/>
      </c>
      <c r="AJ927">
        <f>IF([2]Entry!$S$930="","",[2]Entry!$S$930)</f>
        <v/>
      </c>
      <c r="AK927">
        <f>IF([2]Entry!$C$930="","",[2]Entry!$C$930)</f>
        <v/>
      </c>
      <c r="AL927">
        <f>IF([2]Entry!$D$930="","",[2]Entry!$D$930)</f>
        <v/>
      </c>
      <c r="AX927">
        <f>IF([4]Entry!$E$930="","",[4]Entry!$E$930)</f>
        <v/>
      </c>
      <c r="AY927">
        <f>IF([4]Entry!$H$930="","",[4]Entry!$H$930)</f>
        <v/>
      </c>
      <c r="AZ927">
        <f>IF([4]Entry!$I$930="","",[4]Entry!$I$930)</f>
        <v/>
      </c>
    </row>
    <row r="928">
      <c r="Z928">
        <f>IF([2]Entry!$E$931="","",[2]Entry!$E$931)</f>
        <v/>
      </c>
      <c r="AA928">
        <f>IF([2]Entry!$G$931="","",[2]Entry!$G$931)</f>
        <v/>
      </c>
      <c r="AB928">
        <f>IF([2]Entry!$J$931="","",[2]Entry!$J$931)</f>
        <v/>
      </c>
      <c r="AC928">
        <f>IF([2]Entry!$K$931="","",[2]Entry!$K$931)</f>
        <v/>
      </c>
      <c r="AD928">
        <f>IF([2]Entry!$L$931="","",[2]Entry!$L$931)</f>
        <v/>
      </c>
      <c r="AE928">
        <f>IF([2]Entry!$M$931="","",[2]Entry!$M$931)</f>
        <v/>
      </c>
      <c r="AF928">
        <f>IF([2]Entry!$N$931="","",[2]Entry!$N$931)</f>
        <v/>
      </c>
      <c r="AJ928">
        <f>IF([2]Entry!$S$931="","",[2]Entry!$S$931)</f>
        <v/>
      </c>
      <c r="AK928">
        <f>IF([2]Entry!$C$931="","",[2]Entry!$C$931)</f>
        <v/>
      </c>
      <c r="AL928">
        <f>IF([2]Entry!$D$931="","",[2]Entry!$D$931)</f>
        <v/>
      </c>
      <c r="AX928">
        <f>IF([4]Entry!$E$931="","",[4]Entry!$E$931)</f>
        <v/>
      </c>
      <c r="AY928">
        <f>IF([4]Entry!$H$931="","",[4]Entry!$H$931)</f>
        <v/>
      </c>
      <c r="AZ928">
        <f>IF([4]Entry!$I$931="","",[4]Entry!$I$931)</f>
        <v/>
      </c>
    </row>
    <row r="929">
      <c r="Z929">
        <f>IF([2]Entry!$E$932="","",[2]Entry!$E$932)</f>
        <v/>
      </c>
      <c r="AA929">
        <f>IF([2]Entry!$G$932="","",[2]Entry!$G$932)</f>
        <v/>
      </c>
      <c r="AB929">
        <f>IF([2]Entry!$J$932="","",[2]Entry!$J$932)</f>
        <v/>
      </c>
      <c r="AC929">
        <f>IF([2]Entry!$K$932="","",[2]Entry!$K$932)</f>
        <v/>
      </c>
      <c r="AD929">
        <f>IF([2]Entry!$L$932="","",[2]Entry!$L$932)</f>
        <v/>
      </c>
      <c r="AE929">
        <f>IF([2]Entry!$M$932="","",[2]Entry!$M$932)</f>
        <v/>
      </c>
      <c r="AF929">
        <f>IF([2]Entry!$N$932="","",[2]Entry!$N$932)</f>
        <v/>
      </c>
      <c r="AJ929">
        <f>IF([2]Entry!$S$932="","",[2]Entry!$S$932)</f>
        <v/>
      </c>
      <c r="AK929">
        <f>IF([2]Entry!$C$932="","",[2]Entry!$C$932)</f>
        <v/>
      </c>
      <c r="AL929">
        <f>IF([2]Entry!$D$932="","",[2]Entry!$D$932)</f>
        <v/>
      </c>
      <c r="AX929">
        <f>IF([4]Entry!$E$932="","",[4]Entry!$E$932)</f>
        <v/>
      </c>
      <c r="AY929">
        <f>IF([4]Entry!$H$932="","",[4]Entry!$H$932)</f>
        <v/>
      </c>
      <c r="AZ929">
        <f>IF([4]Entry!$I$932="","",[4]Entry!$I$932)</f>
        <v/>
      </c>
    </row>
    <row r="930">
      <c r="Z930">
        <f>IF([2]Entry!$E$933="","",[2]Entry!$E$933)</f>
        <v/>
      </c>
      <c r="AA930">
        <f>IF([2]Entry!$G$933="","",[2]Entry!$G$933)</f>
        <v/>
      </c>
      <c r="AB930">
        <f>IF([2]Entry!$J$933="","",[2]Entry!$J$933)</f>
        <v/>
      </c>
      <c r="AC930">
        <f>IF([2]Entry!$K$933="","",[2]Entry!$K$933)</f>
        <v/>
      </c>
      <c r="AD930">
        <f>IF([2]Entry!$L$933="","",[2]Entry!$L$933)</f>
        <v/>
      </c>
      <c r="AE930">
        <f>IF([2]Entry!$M$933="","",[2]Entry!$M$933)</f>
        <v/>
      </c>
      <c r="AF930">
        <f>IF([2]Entry!$N$933="","",[2]Entry!$N$933)</f>
        <v/>
      </c>
      <c r="AJ930">
        <f>IF([2]Entry!$S$933="","",[2]Entry!$S$933)</f>
        <v/>
      </c>
      <c r="AK930">
        <f>IF([2]Entry!$C$933="","",[2]Entry!$C$933)</f>
        <v/>
      </c>
      <c r="AL930">
        <f>IF([2]Entry!$D$933="","",[2]Entry!$D$933)</f>
        <v/>
      </c>
      <c r="AX930">
        <f>IF([4]Entry!$E$933="","",[4]Entry!$E$933)</f>
        <v/>
      </c>
      <c r="AY930">
        <f>IF([4]Entry!$H$933="","",[4]Entry!$H$933)</f>
        <v/>
      </c>
      <c r="AZ930">
        <f>IF([4]Entry!$I$933="","",[4]Entry!$I$933)</f>
        <v/>
      </c>
    </row>
    <row r="931">
      <c r="Z931">
        <f>IF([2]Entry!$E$934="","",[2]Entry!$E$934)</f>
        <v/>
      </c>
      <c r="AA931">
        <f>IF([2]Entry!$G$934="","",[2]Entry!$G$934)</f>
        <v/>
      </c>
      <c r="AB931">
        <f>IF([2]Entry!$J$934="","",[2]Entry!$J$934)</f>
        <v/>
      </c>
      <c r="AC931">
        <f>IF([2]Entry!$K$934="","",[2]Entry!$K$934)</f>
        <v/>
      </c>
      <c r="AD931">
        <f>IF([2]Entry!$L$934="","",[2]Entry!$L$934)</f>
        <v/>
      </c>
      <c r="AE931">
        <f>IF([2]Entry!$M$934="","",[2]Entry!$M$934)</f>
        <v/>
      </c>
      <c r="AF931">
        <f>IF([2]Entry!$N$934="","",[2]Entry!$N$934)</f>
        <v/>
      </c>
      <c r="AJ931">
        <f>IF([2]Entry!$S$934="","",[2]Entry!$S$934)</f>
        <v/>
      </c>
      <c r="AK931">
        <f>IF([2]Entry!$C$934="","",[2]Entry!$C$934)</f>
        <v/>
      </c>
      <c r="AL931">
        <f>IF([2]Entry!$D$934="","",[2]Entry!$D$934)</f>
        <v/>
      </c>
      <c r="AX931">
        <f>IF([4]Entry!$E$934="","",[4]Entry!$E$934)</f>
        <v/>
      </c>
      <c r="AY931">
        <f>IF([4]Entry!$H$934="","",[4]Entry!$H$934)</f>
        <v/>
      </c>
      <c r="AZ931">
        <f>IF([4]Entry!$I$934="","",[4]Entry!$I$934)</f>
        <v/>
      </c>
    </row>
    <row r="932">
      <c r="Z932">
        <f>IF([2]Entry!$E$935="","",[2]Entry!$E$935)</f>
        <v/>
      </c>
      <c r="AA932">
        <f>IF([2]Entry!$G$935="","",[2]Entry!$G$935)</f>
        <v/>
      </c>
      <c r="AB932">
        <f>IF([2]Entry!$J$935="","",[2]Entry!$J$935)</f>
        <v/>
      </c>
      <c r="AC932">
        <f>IF([2]Entry!$K$935="","",[2]Entry!$K$935)</f>
        <v/>
      </c>
      <c r="AD932">
        <f>IF([2]Entry!$L$935="","",[2]Entry!$L$935)</f>
        <v/>
      </c>
      <c r="AE932">
        <f>IF([2]Entry!$M$935="","",[2]Entry!$M$935)</f>
        <v/>
      </c>
      <c r="AF932">
        <f>IF([2]Entry!$N$935="","",[2]Entry!$N$935)</f>
        <v/>
      </c>
      <c r="AJ932">
        <f>IF([2]Entry!$S$935="","",[2]Entry!$S$935)</f>
        <v/>
      </c>
      <c r="AK932">
        <f>IF([2]Entry!$C$935="","",[2]Entry!$C$935)</f>
        <v/>
      </c>
      <c r="AL932">
        <f>IF([2]Entry!$D$935="","",[2]Entry!$D$935)</f>
        <v/>
      </c>
      <c r="AX932">
        <f>IF([4]Entry!$E$935="","",[4]Entry!$E$935)</f>
        <v/>
      </c>
      <c r="AY932">
        <f>IF([4]Entry!$H$935="","",[4]Entry!$H$935)</f>
        <v/>
      </c>
      <c r="AZ932">
        <f>IF([4]Entry!$I$935="","",[4]Entry!$I$935)</f>
        <v/>
      </c>
    </row>
    <row r="933">
      <c r="Z933">
        <f>IF([2]Entry!$E$936="","",[2]Entry!$E$936)</f>
        <v/>
      </c>
      <c r="AA933">
        <f>IF([2]Entry!$G$936="","",[2]Entry!$G$936)</f>
        <v/>
      </c>
      <c r="AB933">
        <f>IF([2]Entry!$J$936="","",[2]Entry!$J$936)</f>
        <v/>
      </c>
      <c r="AC933">
        <f>IF([2]Entry!$K$936="","",[2]Entry!$K$936)</f>
        <v/>
      </c>
      <c r="AD933">
        <f>IF([2]Entry!$L$936="","",[2]Entry!$L$936)</f>
        <v/>
      </c>
      <c r="AE933">
        <f>IF([2]Entry!$M$936="","",[2]Entry!$M$936)</f>
        <v/>
      </c>
      <c r="AF933">
        <f>IF([2]Entry!$N$936="","",[2]Entry!$N$936)</f>
        <v/>
      </c>
      <c r="AJ933">
        <f>IF([2]Entry!$S$936="","",[2]Entry!$S$936)</f>
        <v/>
      </c>
      <c r="AK933">
        <f>IF([2]Entry!$C$936="","",[2]Entry!$C$936)</f>
        <v/>
      </c>
      <c r="AL933">
        <f>IF([2]Entry!$D$936="","",[2]Entry!$D$936)</f>
        <v/>
      </c>
      <c r="AX933">
        <f>IF([4]Entry!$E$936="","",[4]Entry!$E$936)</f>
        <v/>
      </c>
      <c r="AY933">
        <f>IF([4]Entry!$H$936="","",[4]Entry!$H$936)</f>
        <v/>
      </c>
      <c r="AZ933">
        <f>IF([4]Entry!$I$936="","",[4]Entry!$I$936)</f>
        <v/>
      </c>
    </row>
    <row r="934">
      <c r="Z934">
        <f>IF([2]Entry!$E$937="","",[2]Entry!$E$937)</f>
        <v/>
      </c>
      <c r="AA934">
        <f>IF([2]Entry!$G$937="","",[2]Entry!$G$937)</f>
        <v/>
      </c>
      <c r="AB934">
        <f>IF([2]Entry!$J$937="","",[2]Entry!$J$937)</f>
        <v/>
      </c>
      <c r="AC934">
        <f>IF([2]Entry!$K$937="","",[2]Entry!$K$937)</f>
        <v/>
      </c>
      <c r="AD934">
        <f>IF([2]Entry!$L$937="","",[2]Entry!$L$937)</f>
        <v/>
      </c>
      <c r="AE934">
        <f>IF([2]Entry!$M$937="","",[2]Entry!$M$937)</f>
        <v/>
      </c>
      <c r="AF934">
        <f>IF([2]Entry!$N$937="","",[2]Entry!$N$937)</f>
        <v/>
      </c>
      <c r="AJ934">
        <f>IF([2]Entry!$S$937="","",[2]Entry!$S$937)</f>
        <v/>
      </c>
      <c r="AK934">
        <f>IF([2]Entry!$C$937="","",[2]Entry!$C$937)</f>
        <v/>
      </c>
      <c r="AL934">
        <f>IF([2]Entry!$D$937="","",[2]Entry!$D$937)</f>
        <v/>
      </c>
      <c r="AX934">
        <f>IF([4]Entry!$E$937="","",[4]Entry!$E$937)</f>
        <v/>
      </c>
      <c r="AY934">
        <f>IF([4]Entry!$H$937="","",[4]Entry!$H$937)</f>
        <v/>
      </c>
      <c r="AZ934">
        <f>IF([4]Entry!$I$937="","",[4]Entry!$I$937)</f>
        <v/>
      </c>
    </row>
    <row r="935">
      <c r="Z935">
        <f>IF([2]Entry!$E$938="","",[2]Entry!$E$938)</f>
        <v/>
      </c>
      <c r="AA935">
        <f>IF([2]Entry!$G$938="","",[2]Entry!$G$938)</f>
        <v/>
      </c>
      <c r="AB935">
        <f>IF([2]Entry!$J$938="","",[2]Entry!$J$938)</f>
        <v/>
      </c>
      <c r="AC935">
        <f>IF([2]Entry!$K$938="","",[2]Entry!$K$938)</f>
        <v/>
      </c>
      <c r="AD935">
        <f>IF([2]Entry!$L$938="","",[2]Entry!$L$938)</f>
        <v/>
      </c>
      <c r="AE935">
        <f>IF([2]Entry!$M$938="","",[2]Entry!$M$938)</f>
        <v/>
      </c>
      <c r="AF935">
        <f>IF([2]Entry!$N$938="","",[2]Entry!$N$938)</f>
        <v/>
      </c>
      <c r="AJ935">
        <f>IF([2]Entry!$S$938="","",[2]Entry!$S$938)</f>
        <v/>
      </c>
      <c r="AK935">
        <f>IF([2]Entry!$C$938="","",[2]Entry!$C$938)</f>
        <v/>
      </c>
      <c r="AL935">
        <f>IF([2]Entry!$D$938="","",[2]Entry!$D$938)</f>
        <v/>
      </c>
      <c r="AX935">
        <f>IF([4]Entry!$E$938="","",[4]Entry!$E$938)</f>
        <v/>
      </c>
      <c r="AY935">
        <f>IF([4]Entry!$H$938="","",[4]Entry!$H$938)</f>
        <v/>
      </c>
      <c r="AZ935">
        <f>IF([4]Entry!$I$938="","",[4]Entry!$I$938)</f>
        <v/>
      </c>
    </row>
    <row r="936">
      <c r="Z936">
        <f>IF([2]Entry!$E$939="","",[2]Entry!$E$939)</f>
        <v/>
      </c>
      <c r="AA936">
        <f>IF([2]Entry!$G$939="","",[2]Entry!$G$939)</f>
        <v/>
      </c>
      <c r="AB936">
        <f>IF([2]Entry!$J$939="","",[2]Entry!$J$939)</f>
        <v/>
      </c>
      <c r="AC936">
        <f>IF([2]Entry!$K$939="","",[2]Entry!$K$939)</f>
        <v/>
      </c>
      <c r="AD936">
        <f>IF([2]Entry!$L$939="","",[2]Entry!$L$939)</f>
        <v/>
      </c>
      <c r="AE936">
        <f>IF([2]Entry!$M$939="","",[2]Entry!$M$939)</f>
        <v/>
      </c>
      <c r="AF936">
        <f>IF([2]Entry!$N$939="","",[2]Entry!$N$939)</f>
        <v/>
      </c>
      <c r="AJ936">
        <f>IF([2]Entry!$S$939="","",[2]Entry!$S$939)</f>
        <v/>
      </c>
      <c r="AK936">
        <f>IF([2]Entry!$C$939="","",[2]Entry!$C$939)</f>
        <v/>
      </c>
      <c r="AL936">
        <f>IF([2]Entry!$D$939="","",[2]Entry!$D$939)</f>
        <v/>
      </c>
      <c r="AX936">
        <f>IF([4]Entry!$E$939="","",[4]Entry!$E$939)</f>
        <v/>
      </c>
      <c r="AY936">
        <f>IF([4]Entry!$H$939="","",[4]Entry!$H$939)</f>
        <v/>
      </c>
      <c r="AZ936">
        <f>IF([4]Entry!$I$939="","",[4]Entry!$I$939)</f>
        <v/>
      </c>
    </row>
    <row r="937">
      <c r="Z937">
        <f>IF([2]Entry!$E$940="","",[2]Entry!$E$940)</f>
        <v/>
      </c>
      <c r="AA937">
        <f>IF([2]Entry!$G$940="","",[2]Entry!$G$940)</f>
        <v/>
      </c>
      <c r="AB937">
        <f>IF([2]Entry!$J$940="","",[2]Entry!$J$940)</f>
        <v/>
      </c>
      <c r="AC937">
        <f>IF([2]Entry!$K$940="","",[2]Entry!$K$940)</f>
        <v/>
      </c>
      <c r="AD937">
        <f>IF([2]Entry!$L$940="","",[2]Entry!$L$940)</f>
        <v/>
      </c>
      <c r="AE937">
        <f>IF([2]Entry!$M$940="","",[2]Entry!$M$940)</f>
        <v/>
      </c>
      <c r="AF937">
        <f>IF([2]Entry!$N$940="","",[2]Entry!$N$940)</f>
        <v/>
      </c>
      <c r="AJ937">
        <f>IF([2]Entry!$S$940="","",[2]Entry!$S$940)</f>
        <v/>
      </c>
      <c r="AK937">
        <f>IF([2]Entry!$C$940="","",[2]Entry!$C$940)</f>
        <v/>
      </c>
      <c r="AL937">
        <f>IF([2]Entry!$D$940="","",[2]Entry!$D$940)</f>
        <v/>
      </c>
      <c r="AX937">
        <f>IF([4]Entry!$E$940="","",[4]Entry!$E$940)</f>
        <v/>
      </c>
      <c r="AY937">
        <f>IF([4]Entry!$H$940="","",[4]Entry!$H$940)</f>
        <v/>
      </c>
      <c r="AZ937">
        <f>IF([4]Entry!$I$940="","",[4]Entry!$I$940)</f>
        <v/>
      </c>
    </row>
    <row r="938">
      <c r="Z938">
        <f>IF([2]Entry!$E$941="","",[2]Entry!$E$941)</f>
        <v/>
      </c>
      <c r="AA938">
        <f>IF([2]Entry!$G$941="","",[2]Entry!$G$941)</f>
        <v/>
      </c>
      <c r="AB938">
        <f>IF([2]Entry!$J$941="","",[2]Entry!$J$941)</f>
        <v/>
      </c>
      <c r="AC938">
        <f>IF([2]Entry!$K$941="","",[2]Entry!$K$941)</f>
        <v/>
      </c>
      <c r="AD938">
        <f>IF([2]Entry!$L$941="","",[2]Entry!$L$941)</f>
        <v/>
      </c>
      <c r="AE938">
        <f>IF([2]Entry!$M$941="","",[2]Entry!$M$941)</f>
        <v/>
      </c>
      <c r="AF938">
        <f>IF([2]Entry!$N$941="","",[2]Entry!$N$941)</f>
        <v/>
      </c>
      <c r="AJ938">
        <f>IF([2]Entry!$S$941="","",[2]Entry!$S$941)</f>
        <v/>
      </c>
      <c r="AK938">
        <f>IF([2]Entry!$C$941="","",[2]Entry!$C$941)</f>
        <v/>
      </c>
      <c r="AL938">
        <f>IF([2]Entry!$D$941="","",[2]Entry!$D$941)</f>
        <v/>
      </c>
      <c r="AX938">
        <f>IF([4]Entry!$E$941="","",[4]Entry!$E$941)</f>
        <v/>
      </c>
      <c r="AY938">
        <f>IF([4]Entry!$H$941="","",[4]Entry!$H$941)</f>
        <v/>
      </c>
      <c r="AZ938">
        <f>IF([4]Entry!$I$941="","",[4]Entry!$I$941)</f>
        <v/>
      </c>
    </row>
    <row r="939">
      <c r="Z939">
        <f>IF([2]Entry!$E$942="","",[2]Entry!$E$942)</f>
        <v/>
      </c>
      <c r="AA939">
        <f>IF([2]Entry!$G$942="","",[2]Entry!$G$942)</f>
        <v/>
      </c>
      <c r="AB939">
        <f>IF([2]Entry!$J$942="","",[2]Entry!$J$942)</f>
        <v/>
      </c>
      <c r="AC939">
        <f>IF([2]Entry!$K$942="","",[2]Entry!$K$942)</f>
        <v/>
      </c>
      <c r="AD939">
        <f>IF([2]Entry!$L$942="","",[2]Entry!$L$942)</f>
        <v/>
      </c>
      <c r="AE939">
        <f>IF([2]Entry!$M$942="","",[2]Entry!$M$942)</f>
        <v/>
      </c>
      <c r="AF939">
        <f>IF([2]Entry!$N$942="","",[2]Entry!$N$942)</f>
        <v/>
      </c>
      <c r="AJ939">
        <f>IF([2]Entry!$S$942="","",[2]Entry!$S$942)</f>
        <v/>
      </c>
      <c r="AK939">
        <f>IF([2]Entry!$C$942="","",[2]Entry!$C$942)</f>
        <v/>
      </c>
      <c r="AL939">
        <f>IF([2]Entry!$D$942="","",[2]Entry!$D$942)</f>
        <v/>
      </c>
      <c r="AX939">
        <f>IF([4]Entry!$E$942="","",[4]Entry!$E$942)</f>
        <v/>
      </c>
      <c r="AY939">
        <f>IF([4]Entry!$H$942="","",[4]Entry!$H$942)</f>
        <v/>
      </c>
      <c r="AZ939">
        <f>IF([4]Entry!$I$942="","",[4]Entry!$I$942)</f>
        <v/>
      </c>
    </row>
    <row r="940">
      <c r="Z940">
        <f>IF([2]Entry!$E$943="","",[2]Entry!$E$943)</f>
        <v/>
      </c>
      <c r="AA940">
        <f>IF([2]Entry!$G$943="","",[2]Entry!$G$943)</f>
        <v/>
      </c>
      <c r="AB940">
        <f>IF([2]Entry!$J$943="","",[2]Entry!$J$943)</f>
        <v/>
      </c>
      <c r="AC940">
        <f>IF([2]Entry!$K$943="","",[2]Entry!$K$943)</f>
        <v/>
      </c>
      <c r="AD940">
        <f>IF([2]Entry!$L$943="","",[2]Entry!$L$943)</f>
        <v/>
      </c>
      <c r="AE940">
        <f>IF([2]Entry!$M$943="","",[2]Entry!$M$943)</f>
        <v/>
      </c>
      <c r="AF940">
        <f>IF([2]Entry!$N$943="","",[2]Entry!$N$943)</f>
        <v/>
      </c>
      <c r="AJ940">
        <f>IF([2]Entry!$S$943="","",[2]Entry!$S$943)</f>
        <v/>
      </c>
      <c r="AK940">
        <f>IF([2]Entry!$C$943="","",[2]Entry!$C$943)</f>
        <v/>
      </c>
      <c r="AL940">
        <f>IF([2]Entry!$D$943="","",[2]Entry!$D$943)</f>
        <v/>
      </c>
      <c r="AX940">
        <f>IF([4]Entry!$E$943="","",[4]Entry!$E$943)</f>
        <v/>
      </c>
      <c r="AY940">
        <f>IF([4]Entry!$H$943="","",[4]Entry!$H$943)</f>
        <v/>
      </c>
      <c r="AZ940">
        <f>IF([4]Entry!$I$943="","",[4]Entry!$I$943)</f>
        <v/>
      </c>
    </row>
    <row r="941">
      <c r="Z941">
        <f>IF([2]Entry!$E$944="","",[2]Entry!$E$944)</f>
        <v/>
      </c>
      <c r="AA941">
        <f>IF([2]Entry!$G$944="","",[2]Entry!$G$944)</f>
        <v/>
      </c>
      <c r="AB941">
        <f>IF([2]Entry!$J$944="","",[2]Entry!$J$944)</f>
        <v/>
      </c>
      <c r="AC941">
        <f>IF([2]Entry!$K$944="","",[2]Entry!$K$944)</f>
        <v/>
      </c>
      <c r="AD941">
        <f>IF([2]Entry!$L$944="","",[2]Entry!$L$944)</f>
        <v/>
      </c>
      <c r="AE941">
        <f>IF([2]Entry!$M$944="","",[2]Entry!$M$944)</f>
        <v/>
      </c>
      <c r="AF941">
        <f>IF([2]Entry!$N$944="","",[2]Entry!$N$944)</f>
        <v/>
      </c>
      <c r="AJ941">
        <f>IF([2]Entry!$S$944="","",[2]Entry!$S$944)</f>
        <v/>
      </c>
      <c r="AK941">
        <f>IF([2]Entry!$C$944="","",[2]Entry!$C$944)</f>
        <v/>
      </c>
      <c r="AL941">
        <f>IF([2]Entry!$D$944="","",[2]Entry!$D$944)</f>
        <v/>
      </c>
      <c r="AX941">
        <f>IF([4]Entry!$E$944="","",[4]Entry!$E$944)</f>
        <v/>
      </c>
      <c r="AY941">
        <f>IF([4]Entry!$H$944="","",[4]Entry!$H$944)</f>
        <v/>
      </c>
      <c r="AZ941">
        <f>IF([4]Entry!$I$944="","",[4]Entry!$I$944)</f>
        <v/>
      </c>
    </row>
    <row r="942">
      <c r="Z942">
        <f>IF([2]Entry!$E$945="","",[2]Entry!$E$945)</f>
        <v/>
      </c>
      <c r="AA942">
        <f>IF([2]Entry!$G$945="","",[2]Entry!$G$945)</f>
        <v/>
      </c>
      <c r="AB942">
        <f>IF([2]Entry!$J$945="","",[2]Entry!$J$945)</f>
        <v/>
      </c>
      <c r="AC942">
        <f>IF([2]Entry!$K$945="","",[2]Entry!$K$945)</f>
        <v/>
      </c>
      <c r="AD942">
        <f>IF([2]Entry!$L$945="","",[2]Entry!$L$945)</f>
        <v/>
      </c>
      <c r="AE942">
        <f>IF([2]Entry!$M$945="","",[2]Entry!$M$945)</f>
        <v/>
      </c>
      <c r="AF942">
        <f>IF([2]Entry!$N$945="","",[2]Entry!$N$945)</f>
        <v/>
      </c>
      <c r="AJ942">
        <f>IF([2]Entry!$S$945="","",[2]Entry!$S$945)</f>
        <v/>
      </c>
      <c r="AK942">
        <f>IF([2]Entry!$C$945="","",[2]Entry!$C$945)</f>
        <v/>
      </c>
      <c r="AL942">
        <f>IF([2]Entry!$D$945="","",[2]Entry!$D$945)</f>
        <v/>
      </c>
      <c r="AX942">
        <f>IF([4]Entry!$E$945="","",[4]Entry!$E$945)</f>
        <v/>
      </c>
      <c r="AY942">
        <f>IF([4]Entry!$H$945="","",[4]Entry!$H$945)</f>
        <v/>
      </c>
      <c r="AZ942">
        <f>IF([4]Entry!$I$945="","",[4]Entry!$I$945)</f>
        <v/>
      </c>
    </row>
    <row r="943">
      <c r="Z943">
        <f>IF([2]Entry!$E$946="","",[2]Entry!$E$946)</f>
        <v/>
      </c>
      <c r="AA943">
        <f>IF([2]Entry!$G$946="","",[2]Entry!$G$946)</f>
        <v/>
      </c>
      <c r="AB943">
        <f>IF([2]Entry!$J$946="","",[2]Entry!$J$946)</f>
        <v/>
      </c>
      <c r="AC943">
        <f>IF([2]Entry!$K$946="","",[2]Entry!$K$946)</f>
        <v/>
      </c>
      <c r="AD943">
        <f>IF([2]Entry!$L$946="","",[2]Entry!$L$946)</f>
        <v/>
      </c>
      <c r="AE943">
        <f>IF([2]Entry!$M$946="","",[2]Entry!$M$946)</f>
        <v/>
      </c>
      <c r="AF943">
        <f>IF([2]Entry!$N$946="","",[2]Entry!$N$946)</f>
        <v/>
      </c>
      <c r="AJ943">
        <f>IF([2]Entry!$S$946="","",[2]Entry!$S$946)</f>
        <v/>
      </c>
      <c r="AK943">
        <f>IF([2]Entry!$C$946="","",[2]Entry!$C$946)</f>
        <v/>
      </c>
      <c r="AL943">
        <f>IF([2]Entry!$D$946="","",[2]Entry!$D$946)</f>
        <v/>
      </c>
      <c r="AX943">
        <f>IF([4]Entry!$E$946="","",[4]Entry!$E$946)</f>
        <v/>
      </c>
      <c r="AY943">
        <f>IF([4]Entry!$H$946="","",[4]Entry!$H$946)</f>
        <v/>
      </c>
      <c r="AZ943">
        <f>IF([4]Entry!$I$946="","",[4]Entry!$I$946)</f>
        <v/>
      </c>
    </row>
    <row r="944">
      <c r="Z944">
        <f>IF([2]Entry!$E$947="","",[2]Entry!$E$947)</f>
        <v/>
      </c>
      <c r="AA944">
        <f>IF([2]Entry!$G$947="","",[2]Entry!$G$947)</f>
        <v/>
      </c>
      <c r="AB944">
        <f>IF([2]Entry!$J$947="","",[2]Entry!$J$947)</f>
        <v/>
      </c>
      <c r="AC944">
        <f>IF([2]Entry!$K$947="","",[2]Entry!$K$947)</f>
        <v/>
      </c>
      <c r="AD944">
        <f>IF([2]Entry!$L$947="","",[2]Entry!$L$947)</f>
        <v/>
      </c>
      <c r="AE944">
        <f>IF([2]Entry!$M$947="","",[2]Entry!$M$947)</f>
        <v/>
      </c>
      <c r="AF944">
        <f>IF([2]Entry!$N$947="","",[2]Entry!$N$947)</f>
        <v/>
      </c>
      <c r="AJ944">
        <f>IF([2]Entry!$S$947="","",[2]Entry!$S$947)</f>
        <v/>
      </c>
      <c r="AK944">
        <f>IF([2]Entry!$C$947="","",[2]Entry!$C$947)</f>
        <v/>
      </c>
      <c r="AL944">
        <f>IF([2]Entry!$D$947="","",[2]Entry!$D$947)</f>
        <v/>
      </c>
      <c r="AX944">
        <f>IF([4]Entry!$E$947="","",[4]Entry!$E$947)</f>
        <v/>
      </c>
      <c r="AY944">
        <f>IF([4]Entry!$H$947="","",[4]Entry!$H$947)</f>
        <v/>
      </c>
      <c r="AZ944">
        <f>IF([4]Entry!$I$947="","",[4]Entry!$I$947)</f>
        <v/>
      </c>
    </row>
    <row r="945">
      <c r="Z945">
        <f>IF([2]Entry!$E$948="","",[2]Entry!$E$948)</f>
        <v/>
      </c>
      <c r="AA945">
        <f>IF([2]Entry!$G$948="","",[2]Entry!$G$948)</f>
        <v/>
      </c>
      <c r="AB945">
        <f>IF([2]Entry!$J$948="","",[2]Entry!$J$948)</f>
        <v/>
      </c>
      <c r="AC945">
        <f>IF([2]Entry!$K$948="","",[2]Entry!$K$948)</f>
        <v/>
      </c>
      <c r="AD945">
        <f>IF([2]Entry!$L$948="","",[2]Entry!$L$948)</f>
        <v/>
      </c>
      <c r="AE945">
        <f>IF([2]Entry!$M$948="","",[2]Entry!$M$948)</f>
        <v/>
      </c>
      <c r="AF945">
        <f>IF([2]Entry!$N$948="","",[2]Entry!$N$948)</f>
        <v/>
      </c>
      <c r="AJ945">
        <f>IF([2]Entry!$S$948="","",[2]Entry!$S$948)</f>
        <v/>
      </c>
      <c r="AK945">
        <f>IF([2]Entry!$C$948="","",[2]Entry!$C$948)</f>
        <v/>
      </c>
      <c r="AL945">
        <f>IF([2]Entry!$D$948="","",[2]Entry!$D$948)</f>
        <v/>
      </c>
      <c r="AX945">
        <f>IF([4]Entry!$E$948="","",[4]Entry!$E$948)</f>
        <v/>
      </c>
      <c r="AY945">
        <f>IF([4]Entry!$H$948="","",[4]Entry!$H$948)</f>
        <v/>
      </c>
      <c r="AZ945">
        <f>IF([4]Entry!$I$948="","",[4]Entry!$I$948)</f>
        <v/>
      </c>
    </row>
    <row r="946">
      <c r="Z946">
        <f>IF([2]Entry!$E$949="","",[2]Entry!$E$949)</f>
        <v/>
      </c>
      <c r="AA946">
        <f>IF([2]Entry!$G$949="","",[2]Entry!$G$949)</f>
        <v/>
      </c>
      <c r="AB946">
        <f>IF([2]Entry!$J$949="","",[2]Entry!$J$949)</f>
        <v/>
      </c>
      <c r="AC946">
        <f>IF([2]Entry!$K$949="","",[2]Entry!$K$949)</f>
        <v/>
      </c>
      <c r="AD946">
        <f>IF([2]Entry!$L$949="","",[2]Entry!$L$949)</f>
        <v/>
      </c>
      <c r="AE946">
        <f>IF([2]Entry!$M$949="","",[2]Entry!$M$949)</f>
        <v/>
      </c>
      <c r="AF946">
        <f>IF([2]Entry!$N$949="","",[2]Entry!$N$949)</f>
        <v/>
      </c>
      <c r="AJ946">
        <f>IF([2]Entry!$S$949="","",[2]Entry!$S$949)</f>
        <v/>
      </c>
      <c r="AK946">
        <f>IF([2]Entry!$C$949="","",[2]Entry!$C$949)</f>
        <v/>
      </c>
      <c r="AL946">
        <f>IF([2]Entry!$D$949="","",[2]Entry!$D$949)</f>
        <v/>
      </c>
      <c r="AX946">
        <f>IF([4]Entry!$E$949="","",[4]Entry!$E$949)</f>
        <v/>
      </c>
      <c r="AY946">
        <f>IF([4]Entry!$H$949="","",[4]Entry!$H$949)</f>
        <v/>
      </c>
      <c r="AZ946">
        <f>IF([4]Entry!$I$949="","",[4]Entry!$I$949)</f>
        <v/>
      </c>
    </row>
    <row r="947">
      <c r="Z947">
        <f>IF([2]Entry!$E$950="","",[2]Entry!$E$950)</f>
        <v/>
      </c>
      <c r="AA947">
        <f>IF([2]Entry!$G$950="","",[2]Entry!$G$950)</f>
        <v/>
      </c>
      <c r="AB947">
        <f>IF([2]Entry!$J$950="","",[2]Entry!$J$950)</f>
        <v/>
      </c>
      <c r="AC947">
        <f>IF([2]Entry!$K$950="","",[2]Entry!$K$950)</f>
        <v/>
      </c>
      <c r="AD947">
        <f>IF([2]Entry!$L$950="","",[2]Entry!$L$950)</f>
        <v/>
      </c>
      <c r="AE947">
        <f>IF([2]Entry!$M$950="","",[2]Entry!$M$950)</f>
        <v/>
      </c>
      <c r="AF947">
        <f>IF([2]Entry!$N$950="","",[2]Entry!$N$950)</f>
        <v/>
      </c>
      <c r="AJ947">
        <f>IF([2]Entry!$S$950="","",[2]Entry!$S$950)</f>
        <v/>
      </c>
      <c r="AK947">
        <f>IF([2]Entry!$C$950="","",[2]Entry!$C$950)</f>
        <v/>
      </c>
      <c r="AL947">
        <f>IF([2]Entry!$D$950="","",[2]Entry!$D$950)</f>
        <v/>
      </c>
      <c r="AX947">
        <f>IF([4]Entry!$E$950="","",[4]Entry!$E$950)</f>
        <v/>
      </c>
      <c r="AY947">
        <f>IF([4]Entry!$H$950="","",[4]Entry!$H$950)</f>
        <v/>
      </c>
      <c r="AZ947">
        <f>IF([4]Entry!$I$950="","",[4]Entry!$I$950)</f>
        <v/>
      </c>
    </row>
    <row r="948">
      <c r="Z948">
        <f>IF([2]Entry!$E$951="","",[2]Entry!$E$951)</f>
        <v/>
      </c>
      <c r="AA948">
        <f>IF([2]Entry!$G$951="","",[2]Entry!$G$951)</f>
        <v/>
      </c>
      <c r="AB948">
        <f>IF([2]Entry!$J$951="","",[2]Entry!$J$951)</f>
        <v/>
      </c>
      <c r="AC948">
        <f>IF([2]Entry!$K$951="","",[2]Entry!$K$951)</f>
        <v/>
      </c>
      <c r="AD948">
        <f>IF([2]Entry!$L$951="","",[2]Entry!$L$951)</f>
        <v/>
      </c>
      <c r="AE948">
        <f>IF([2]Entry!$M$951="","",[2]Entry!$M$951)</f>
        <v/>
      </c>
      <c r="AF948">
        <f>IF([2]Entry!$N$951="","",[2]Entry!$N$951)</f>
        <v/>
      </c>
      <c r="AJ948">
        <f>IF([2]Entry!$S$951="","",[2]Entry!$S$951)</f>
        <v/>
      </c>
      <c r="AK948">
        <f>IF([2]Entry!$C$951="","",[2]Entry!$C$951)</f>
        <v/>
      </c>
      <c r="AL948">
        <f>IF([2]Entry!$D$951="","",[2]Entry!$D$951)</f>
        <v/>
      </c>
      <c r="AX948">
        <f>IF([4]Entry!$E$951="","",[4]Entry!$E$951)</f>
        <v/>
      </c>
      <c r="AY948">
        <f>IF([4]Entry!$H$951="","",[4]Entry!$H$951)</f>
        <v/>
      </c>
      <c r="AZ948">
        <f>IF([4]Entry!$I$951="","",[4]Entry!$I$951)</f>
        <v/>
      </c>
    </row>
    <row r="949">
      <c r="Z949">
        <f>IF([2]Entry!$E$952="","",[2]Entry!$E$952)</f>
        <v/>
      </c>
      <c r="AA949">
        <f>IF([2]Entry!$G$952="","",[2]Entry!$G$952)</f>
        <v/>
      </c>
      <c r="AB949">
        <f>IF([2]Entry!$J$952="","",[2]Entry!$J$952)</f>
        <v/>
      </c>
      <c r="AC949">
        <f>IF([2]Entry!$K$952="","",[2]Entry!$K$952)</f>
        <v/>
      </c>
      <c r="AD949">
        <f>IF([2]Entry!$L$952="","",[2]Entry!$L$952)</f>
        <v/>
      </c>
      <c r="AE949">
        <f>IF([2]Entry!$M$952="","",[2]Entry!$M$952)</f>
        <v/>
      </c>
      <c r="AF949">
        <f>IF([2]Entry!$N$952="","",[2]Entry!$N$952)</f>
        <v/>
      </c>
      <c r="AJ949">
        <f>IF([2]Entry!$S$952="","",[2]Entry!$S$952)</f>
        <v/>
      </c>
      <c r="AK949">
        <f>IF([2]Entry!$C$952="","",[2]Entry!$C$952)</f>
        <v/>
      </c>
      <c r="AL949">
        <f>IF([2]Entry!$D$952="","",[2]Entry!$D$952)</f>
        <v/>
      </c>
      <c r="AX949">
        <f>IF([4]Entry!$E$952="","",[4]Entry!$E$952)</f>
        <v/>
      </c>
      <c r="AY949">
        <f>IF([4]Entry!$H$952="","",[4]Entry!$H$952)</f>
        <v/>
      </c>
      <c r="AZ949">
        <f>IF([4]Entry!$I$952="","",[4]Entry!$I$952)</f>
        <v/>
      </c>
    </row>
    <row r="950">
      <c r="Z950">
        <f>IF([2]Entry!$E$953="","",[2]Entry!$E$953)</f>
        <v/>
      </c>
      <c r="AA950">
        <f>IF([2]Entry!$G$953="","",[2]Entry!$G$953)</f>
        <v/>
      </c>
      <c r="AB950">
        <f>IF([2]Entry!$J$953="","",[2]Entry!$J$953)</f>
        <v/>
      </c>
      <c r="AC950">
        <f>IF([2]Entry!$K$953="","",[2]Entry!$K$953)</f>
        <v/>
      </c>
      <c r="AD950">
        <f>IF([2]Entry!$L$953="","",[2]Entry!$L$953)</f>
        <v/>
      </c>
      <c r="AE950">
        <f>IF([2]Entry!$M$953="","",[2]Entry!$M$953)</f>
        <v/>
      </c>
      <c r="AF950">
        <f>IF([2]Entry!$N$953="","",[2]Entry!$N$953)</f>
        <v/>
      </c>
      <c r="AJ950">
        <f>IF([2]Entry!$S$953="","",[2]Entry!$S$953)</f>
        <v/>
      </c>
      <c r="AK950">
        <f>IF([2]Entry!$C$953="","",[2]Entry!$C$953)</f>
        <v/>
      </c>
      <c r="AL950">
        <f>IF([2]Entry!$D$953="","",[2]Entry!$D$953)</f>
        <v/>
      </c>
      <c r="AX950">
        <f>IF([4]Entry!$E$953="","",[4]Entry!$E$953)</f>
        <v/>
      </c>
      <c r="AY950">
        <f>IF([4]Entry!$H$953="","",[4]Entry!$H$953)</f>
        <v/>
      </c>
      <c r="AZ950">
        <f>IF([4]Entry!$I$953="","",[4]Entry!$I$953)</f>
        <v/>
      </c>
    </row>
    <row r="951">
      <c r="Z951">
        <f>IF([2]Entry!$E$954="","",[2]Entry!$E$954)</f>
        <v/>
      </c>
      <c r="AA951">
        <f>IF([2]Entry!$G$954="","",[2]Entry!$G$954)</f>
        <v/>
      </c>
      <c r="AB951">
        <f>IF([2]Entry!$J$954="","",[2]Entry!$J$954)</f>
        <v/>
      </c>
      <c r="AC951">
        <f>IF([2]Entry!$K$954="","",[2]Entry!$K$954)</f>
        <v/>
      </c>
      <c r="AD951">
        <f>IF([2]Entry!$L$954="","",[2]Entry!$L$954)</f>
        <v/>
      </c>
      <c r="AE951">
        <f>IF([2]Entry!$M$954="","",[2]Entry!$M$954)</f>
        <v/>
      </c>
      <c r="AF951">
        <f>IF([2]Entry!$N$954="","",[2]Entry!$N$954)</f>
        <v/>
      </c>
      <c r="AJ951">
        <f>IF([2]Entry!$S$954="","",[2]Entry!$S$954)</f>
        <v/>
      </c>
      <c r="AK951">
        <f>IF([2]Entry!$C$954="","",[2]Entry!$C$954)</f>
        <v/>
      </c>
      <c r="AL951">
        <f>IF([2]Entry!$D$954="","",[2]Entry!$D$954)</f>
        <v/>
      </c>
      <c r="AX951">
        <f>IF([4]Entry!$E$954="","",[4]Entry!$E$954)</f>
        <v/>
      </c>
      <c r="AY951">
        <f>IF([4]Entry!$H$954="","",[4]Entry!$H$954)</f>
        <v/>
      </c>
      <c r="AZ951">
        <f>IF([4]Entry!$I$954="","",[4]Entry!$I$954)</f>
        <v/>
      </c>
    </row>
    <row r="952">
      <c r="Z952">
        <f>IF([2]Entry!$E$955="","",[2]Entry!$E$955)</f>
        <v/>
      </c>
      <c r="AA952">
        <f>IF([2]Entry!$G$955="","",[2]Entry!$G$955)</f>
        <v/>
      </c>
      <c r="AB952">
        <f>IF([2]Entry!$J$955="","",[2]Entry!$J$955)</f>
        <v/>
      </c>
      <c r="AC952">
        <f>IF([2]Entry!$K$955="","",[2]Entry!$K$955)</f>
        <v/>
      </c>
      <c r="AD952">
        <f>IF([2]Entry!$L$955="","",[2]Entry!$L$955)</f>
        <v/>
      </c>
      <c r="AE952">
        <f>IF([2]Entry!$M$955="","",[2]Entry!$M$955)</f>
        <v/>
      </c>
      <c r="AF952">
        <f>IF([2]Entry!$N$955="","",[2]Entry!$N$955)</f>
        <v/>
      </c>
      <c r="AJ952">
        <f>IF([2]Entry!$S$955="","",[2]Entry!$S$955)</f>
        <v/>
      </c>
      <c r="AK952">
        <f>IF([2]Entry!$C$955="","",[2]Entry!$C$955)</f>
        <v/>
      </c>
      <c r="AL952">
        <f>IF([2]Entry!$D$955="","",[2]Entry!$D$955)</f>
        <v/>
      </c>
      <c r="AX952">
        <f>IF([4]Entry!$E$955="","",[4]Entry!$E$955)</f>
        <v/>
      </c>
      <c r="AY952">
        <f>IF([4]Entry!$H$955="","",[4]Entry!$H$955)</f>
        <v/>
      </c>
      <c r="AZ952">
        <f>IF([4]Entry!$I$955="","",[4]Entry!$I$955)</f>
        <v/>
      </c>
    </row>
    <row r="953">
      <c r="Z953">
        <f>IF([2]Entry!$E$956="","",[2]Entry!$E$956)</f>
        <v/>
      </c>
      <c r="AA953">
        <f>IF([2]Entry!$G$956="","",[2]Entry!$G$956)</f>
        <v/>
      </c>
      <c r="AB953">
        <f>IF([2]Entry!$J$956="","",[2]Entry!$J$956)</f>
        <v/>
      </c>
      <c r="AC953">
        <f>IF([2]Entry!$K$956="","",[2]Entry!$K$956)</f>
        <v/>
      </c>
      <c r="AD953">
        <f>IF([2]Entry!$L$956="","",[2]Entry!$L$956)</f>
        <v/>
      </c>
      <c r="AE953">
        <f>IF([2]Entry!$M$956="","",[2]Entry!$M$956)</f>
        <v/>
      </c>
      <c r="AF953">
        <f>IF([2]Entry!$N$956="","",[2]Entry!$N$956)</f>
        <v/>
      </c>
      <c r="AJ953">
        <f>IF([2]Entry!$S$956="","",[2]Entry!$S$956)</f>
        <v/>
      </c>
      <c r="AK953">
        <f>IF([2]Entry!$C$956="","",[2]Entry!$C$956)</f>
        <v/>
      </c>
      <c r="AL953">
        <f>IF([2]Entry!$D$956="","",[2]Entry!$D$956)</f>
        <v/>
      </c>
      <c r="AX953">
        <f>IF([4]Entry!$E$956="","",[4]Entry!$E$956)</f>
        <v/>
      </c>
      <c r="AY953">
        <f>IF([4]Entry!$H$956="","",[4]Entry!$H$956)</f>
        <v/>
      </c>
      <c r="AZ953">
        <f>IF([4]Entry!$I$956="","",[4]Entry!$I$956)</f>
        <v/>
      </c>
    </row>
    <row r="954">
      <c r="Z954">
        <f>IF([2]Entry!$E$957="","",[2]Entry!$E$957)</f>
        <v/>
      </c>
      <c r="AA954">
        <f>IF([2]Entry!$G$957="","",[2]Entry!$G$957)</f>
        <v/>
      </c>
      <c r="AB954">
        <f>IF([2]Entry!$J$957="","",[2]Entry!$J$957)</f>
        <v/>
      </c>
      <c r="AC954">
        <f>IF([2]Entry!$K$957="","",[2]Entry!$K$957)</f>
        <v/>
      </c>
      <c r="AD954">
        <f>IF([2]Entry!$L$957="","",[2]Entry!$L$957)</f>
        <v/>
      </c>
      <c r="AE954">
        <f>IF([2]Entry!$M$957="","",[2]Entry!$M$957)</f>
        <v/>
      </c>
      <c r="AF954">
        <f>IF([2]Entry!$N$957="","",[2]Entry!$N$957)</f>
        <v/>
      </c>
      <c r="AJ954">
        <f>IF([2]Entry!$S$957="","",[2]Entry!$S$957)</f>
        <v/>
      </c>
      <c r="AK954">
        <f>IF([2]Entry!$C$957="","",[2]Entry!$C$957)</f>
        <v/>
      </c>
      <c r="AL954">
        <f>IF([2]Entry!$D$957="","",[2]Entry!$D$957)</f>
        <v/>
      </c>
      <c r="AX954">
        <f>IF([4]Entry!$E$957="","",[4]Entry!$E$957)</f>
        <v/>
      </c>
      <c r="AY954">
        <f>IF([4]Entry!$H$957="","",[4]Entry!$H$957)</f>
        <v/>
      </c>
      <c r="AZ954">
        <f>IF([4]Entry!$I$957="","",[4]Entry!$I$957)</f>
        <v/>
      </c>
    </row>
    <row r="955">
      <c r="Z955">
        <f>IF([2]Entry!$E$958="","",[2]Entry!$E$958)</f>
        <v/>
      </c>
      <c r="AA955">
        <f>IF([2]Entry!$G$958="","",[2]Entry!$G$958)</f>
        <v/>
      </c>
      <c r="AB955">
        <f>IF([2]Entry!$J$958="","",[2]Entry!$J$958)</f>
        <v/>
      </c>
      <c r="AC955">
        <f>IF([2]Entry!$K$958="","",[2]Entry!$K$958)</f>
        <v/>
      </c>
      <c r="AD955">
        <f>IF([2]Entry!$L$958="","",[2]Entry!$L$958)</f>
        <v/>
      </c>
      <c r="AE955">
        <f>IF([2]Entry!$M$958="","",[2]Entry!$M$958)</f>
        <v/>
      </c>
      <c r="AF955">
        <f>IF([2]Entry!$N$958="","",[2]Entry!$N$958)</f>
        <v/>
      </c>
      <c r="AJ955">
        <f>IF([2]Entry!$S$958="","",[2]Entry!$S$958)</f>
        <v/>
      </c>
      <c r="AK955">
        <f>IF([2]Entry!$C$958="","",[2]Entry!$C$958)</f>
        <v/>
      </c>
      <c r="AL955">
        <f>IF([2]Entry!$D$958="","",[2]Entry!$D$958)</f>
        <v/>
      </c>
      <c r="AX955">
        <f>IF([4]Entry!$E$958="","",[4]Entry!$E$958)</f>
        <v/>
      </c>
      <c r="AY955">
        <f>IF([4]Entry!$H$958="","",[4]Entry!$H$958)</f>
        <v/>
      </c>
      <c r="AZ955">
        <f>IF([4]Entry!$I$958="","",[4]Entry!$I$958)</f>
        <v/>
      </c>
    </row>
    <row r="956">
      <c r="Z956">
        <f>IF([2]Entry!$E$959="","",[2]Entry!$E$959)</f>
        <v/>
      </c>
      <c r="AA956">
        <f>IF([2]Entry!$G$959="","",[2]Entry!$G$959)</f>
        <v/>
      </c>
      <c r="AB956">
        <f>IF([2]Entry!$J$959="","",[2]Entry!$J$959)</f>
        <v/>
      </c>
      <c r="AC956">
        <f>IF([2]Entry!$K$959="","",[2]Entry!$K$959)</f>
        <v/>
      </c>
      <c r="AD956">
        <f>IF([2]Entry!$L$959="","",[2]Entry!$L$959)</f>
        <v/>
      </c>
      <c r="AE956">
        <f>IF([2]Entry!$M$959="","",[2]Entry!$M$959)</f>
        <v/>
      </c>
      <c r="AF956">
        <f>IF([2]Entry!$N$959="","",[2]Entry!$N$959)</f>
        <v/>
      </c>
      <c r="AJ956">
        <f>IF([2]Entry!$S$959="","",[2]Entry!$S$959)</f>
        <v/>
      </c>
      <c r="AK956">
        <f>IF([2]Entry!$C$959="","",[2]Entry!$C$959)</f>
        <v/>
      </c>
      <c r="AL956">
        <f>IF([2]Entry!$D$959="","",[2]Entry!$D$959)</f>
        <v/>
      </c>
      <c r="AX956">
        <f>IF([4]Entry!$E$959="","",[4]Entry!$E$959)</f>
        <v/>
      </c>
      <c r="AY956">
        <f>IF([4]Entry!$H$959="","",[4]Entry!$H$959)</f>
        <v/>
      </c>
      <c r="AZ956">
        <f>IF([4]Entry!$I$959="","",[4]Entry!$I$959)</f>
        <v/>
      </c>
    </row>
    <row r="957">
      <c r="Z957">
        <f>IF([2]Entry!$E$960="","",[2]Entry!$E$960)</f>
        <v/>
      </c>
      <c r="AA957">
        <f>IF([2]Entry!$G$960="","",[2]Entry!$G$960)</f>
        <v/>
      </c>
      <c r="AB957">
        <f>IF([2]Entry!$J$960="","",[2]Entry!$J$960)</f>
        <v/>
      </c>
      <c r="AC957">
        <f>IF([2]Entry!$K$960="","",[2]Entry!$K$960)</f>
        <v/>
      </c>
      <c r="AD957">
        <f>IF([2]Entry!$L$960="","",[2]Entry!$L$960)</f>
        <v/>
      </c>
      <c r="AE957">
        <f>IF([2]Entry!$M$960="","",[2]Entry!$M$960)</f>
        <v/>
      </c>
      <c r="AF957">
        <f>IF([2]Entry!$N$960="","",[2]Entry!$N$960)</f>
        <v/>
      </c>
      <c r="AJ957">
        <f>IF([2]Entry!$S$960="","",[2]Entry!$S$960)</f>
        <v/>
      </c>
      <c r="AK957">
        <f>IF([2]Entry!$C$960="","",[2]Entry!$C$960)</f>
        <v/>
      </c>
      <c r="AL957">
        <f>IF([2]Entry!$D$960="","",[2]Entry!$D$960)</f>
        <v/>
      </c>
      <c r="AX957">
        <f>IF([4]Entry!$E$960="","",[4]Entry!$E$960)</f>
        <v/>
      </c>
      <c r="AY957">
        <f>IF([4]Entry!$H$960="","",[4]Entry!$H$960)</f>
        <v/>
      </c>
      <c r="AZ957">
        <f>IF([4]Entry!$I$960="","",[4]Entry!$I$960)</f>
        <v/>
      </c>
    </row>
    <row r="958">
      <c r="Z958">
        <f>IF([2]Entry!$E$961="","",[2]Entry!$E$961)</f>
        <v/>
      </c>
      <c r="AA958">
        <f>IF([2]Entry!$G$961="","",[2]Entry!$G$961)</f>
        <v/>
      </c>
      <c r="AB958">
        <f>IF([2]Entry!$J$961="","",[2]Entry!$J$961)</f>
        <v/>
      </c>
      <c r="AC958">
        <f>IF([2]Entry!$K$961="","",[2]Entry!$K$961)</f>
        <v/>
      </c>
      <c r="AD958">
        <f>IF([2]Entry!$L$961="","",[2]Entry!$L$961)</f>
        <v/>
      </c>
      <c r="AE958">
        <f>IF([2]Entry!$M$961="","",[2]Entry!$M$961)</f>
        <v/>
      </c>
      <c r="AF958">
        <f>IF([2]Entry!$N$961="","",[2]Entry!$N$961)</f>
        <v/>
      </c>
      <c r="AJ958">
        <f>IF([2]Entry!$S$961="","",[2]Entry!$S$961)</f>
        <v/>
      </c>
      <c r="AK958">
        <f>IF([2]Entry!$C$961="","",[2]Entry!$C$961)</f>
        <v/>
      </c>
      <c r="AL958">
        <f>IF([2]Entry!$D$961="","",[2]Entry!$D$961)</f>
        <v/>
      </c>
      <c r="AX958">
        <f>IF([4]Entry!$E$961="","",[4]Entry!$E$961)</f>
        <v/>
      </c>
      <c r="AY958">
        <f>IF([4]Entry!$H$961="","",[4]Entry!$H$961)</f>
        <v/>
      </c>
      <c r="AZ958">
        <f>IF([4]Entry!$I$961="","",[4]Entry!$I$961)</f>
        <v/>
      </c>
    </row>
    <row r="959">
      <c r="Z959">
        <f>IF([2]Entry!$E$962="","",[2]Entry!$E$962)</f>
        <v/>
      </c>
      <c r="AA959">
        <f>IF([2]Entry!$G$962="","",[2]Entry!$G$962)</f>
        <v/>
      </c>
      <c r="AB959">
        <f>IF([2]Entry!$J$962="","",[2]Entry!$J$962)</f>
        <v/>
      </c>
      <c r="AC959">
        <f>IF([2]Entry!$K$962="","",[2]Entry!$K$962)</f>
        <v/>
      </c>
      <c r="AD959">
        <f>IF([2]Entry!$L$962="","",[2]Entry!$L$962)</f>
        <v/>
      </c>
      <c r="AE959">
        <f>IF([2]Entry!$M$962="","",[2]Entry!$M$962)</f>
        <v/>
      </c>
      <c r="AF959">
        <f>IF([2]Entry!$N$962="","",[2]Entry!$N$962)</f>
        <v/>
      </c>
      <c r="AJ959">
        <f>IF([2]Entry!$S$962="","",[2]Entry!$S$962)</f>
        <v/>
      </c>
      <c r="AK959">
        <f>IF([2]Entry!$C$962="","",[2]Entry!$C$962)</f>
        <v/>
      </c>
      <c r="AL959">
        <f>IF([2]Entry!$D$962="","",[2]Entry!$D$962)</f>
        <v/>
      </c>
      <c r="AX959">
        <f>IF([4]Entry!$E$962="","",[4]Entry!$E$962)</f>
        <v/>
      </c>
      <c r="AY959">
        <f>IF([4]Entry!$H$962="","",[4]Entry!$H$962)</f>
        <v/>
      </c>
      <c r="AZ959">
        <f>IF([4]Entry!$I$962="","",[4]Entry!$I$962)</f>
        <v/>
      </c>
    </row>
    <row r="960">
      <c r="Z960">
        <f>IF([2]Entry!$E$963="","",[2]Entry!$E$963)</f>
        <v/>
      </c>
      <c r="AA960">
        <f>IF([2]Entry!$G$963="","",[2]Entry!$G$963)</f>
        <v/>
      </c>
      <c r="AB960">
        <f>IF([2]Entry!$J$963="","",[2]Entry!$J$963)</f>
        <v/>
      </c>
      <c r="AC960">
        <f>IF([2]Entry!$K$963="","",[2]Entry!$K$963)</f>
        <v/>
      </c>
      <c r="AD960">
        <f>IF([2]Entry!$L$963="","",[2]Entry!$L$963)</f>
        <v/>
      </c>
      <c r="AE960">
        <f>IF([2]Entry!$M$963="","",[2]Entry!$M$963)</f>
        <v/>
      </c>
      <c r="AF960">
        <f>IF([2]Entry!$N$963="","",[2]Entry!$N$963)</f>
        <v/>
      </c>
      <c r="AJ960">
        <f>IF([2]Entry!$S$963="","",[2]Entry!$S$963)</f>
        <v/>
      </c>
      <c r="AK960">
        <f>IF([2]Entry!$C$963="","",[2]Entry!$C$963)</f>
        <v/>
      </c>
      <c r="AL960">
        <f>IF([2]Entry!$D$963="","",[2]Entry!$D$963)</f>
        <v/>
      </c>
      <c r="AX960">
        <f>IF([4]Entry!$E$963="","",[4]Entry!$E$963)</f>
        <v/>
      </c>
      <c r="AY960">
        <f>IF([4]Entry!$H$963="","",[4]Entry!$H$963)</f>
        <v/>
      </c>
      <c r="AZ960">
        <f>IF([4]Entry!$I$963="","",[4]Entry!$I$963)</f>
        <v/>
      </c>
    </row>
    <row r="961">
      <c r="Z961">
        <f>IF([2]Entry!$E$964="","",[2]Entry!$E$964)</f>
        <v/>
      </c>
      <c r="AA961">
        <f>IF([2]Entry!$G$964="","",[2]Entry!$G$964)</f>
        <v/>
      </c>
      <c r="AB961">
        <f>IF([2]Entry!$J$964="","",[2]Entry!$J$964)</f>
        <v/>
      </c>
      <c r="AC961">
        <f>IF([2]Entry!$K$964="","",[2]Entry!$K$964)</f>
        <v/>
      </c>
      <c r="AD961">
        <f>IF([2]Entry!$L$964="","",[2]Entry!$L$964)</f>
        <v/>
      </c>
      <c r="AE961">
        <f>IF([2]Entry!$M$964="","",[2]Entry!$M$964)</f>
        <v/>
      </c>
      <c r="AF961">
        <f>IF([2]Entry!$N$964="","",[2]Entry!$N$964)</f>
        <v/>
      </c>
      <c r="AJ961">
        <f>IF([2]Entry!$S$964="","",[2]Entry!$S$964)</f>
        <v/>
      </c>
      <c r="AK961">
        <f>IF([2]Entry!$C$964="","",[2]Entry!$C$964)</f>
        <v/>
      </c>
      <c r="AL961">
        <f>IF([2]Entry!$D$964="","",[2]Entry!$D$964)</f>
        <v/>
      </c>
      <c r="AX961">
        <f>IF([4]Entry!$E$964="","",[4]Entry!$E$964)</f>
        <v/>
      </c>
      <c r="AY961">
        <f>IF([4]Entry!$H$964="","",[4]Entry!$H$964)</f>
        <v/>
      </c>
      <c r="AZ961">
        <f>IF([4]Entry!$I$964="","",[4]Entry!$I$964)</f>
        <v/>
      </c>
    </row>
    <row r="962">
      <c r="Z962">
        <f>IF([2]Entry!$E$965="","",[2]Entry!$E$965)</f>
        <v/>
      </c>
      <c r="AA962">
        <f>IF([2]Entry!$G$965="","",[2]Entry!$G$965)</f>
        <v/>
      </c>
      <c r="AB962">
        <f>IF([2]Entry!$J$965="","",[2]Entry!$J$965)</f>
        <v/>
      </c>
      <c r="AC962">
        <f>IF([2]Entry!$K$965="","",[2]Entry!$K$965)</f>
        <v/>
      </c>
      <c r="AD962">
        <f>IF([2]Entry!$L$965="","",[2]Entry!$L$965)</f>
        <v/>
      </c>
      <c r="AE962">
        <f>IF([2]Entry!$M$965="","",[2]Entry!$M$965)</f>
        <v/>
      </c>
      <c r="AF962">
        <f>IF([2]Entry!$N$965="","",[2]Entry!$N$965)</f>
        <v/>
      </c>
      <c r="AJ962">
        <f>IF([2]Entry!$S$965="","",[2]Entry!$S$965)</f>
        <v/>
      </c>
      <c r="AK962">
        <f>IF([2]Entry!$C$965="","",[2]Entry!$C$965)</f>
        <v/>
      </c>
      <c r="AL962">
        <f>IF([2]Entry!$D$965="","",[2]Entry!$D$965)</f>
        <v/>
      </c>
      <c r="AX962">
        <f>IF([4]Entry!$E$965="","",[4]Entry!$E$965)</f>
        <v/>
      </c>
      <c r="AY962">
        <f>IF([4]Entry!$H$965="","",[4]Entry!$H$965)</f>
        <v/>
      </c>
      <c r="AZ962">
        <f>IF([4]Entry!$I$965="","",[4]Entry!$I$965)</f>
        <v/>
      </c>
    </row>
    <row r="963">
      <c r="Z963">
        <f>IF([2]Entry!$E$966="","",[2]Entry!$E$966)</f>
        <v/>
      </c>
      <c r="AA963">
        <f>IF([2]Entry!$G$966="","",[2]Entry!$G$966)</f>
        <v/>
      </c>
      <c r="AB963">
        <f>IF([2]Entry!$J$966="","",[2]Entry!$J$966)</f>
        <v/>
      </c>
      <c r="AC963">
        <f>IF([2]Entry!$K$966="","",[2]Entry!$K$966)</f>
        <v/>
      </c>
      <c r="AD963">
        <f>IF([2]Entry!$L$966="","",[2]Entry!$L$966)</f>
        <v/>
      </c>
      <c r="AE963">
        <f>IF([2]Entry!$M$966="","",[2]Entry!$M$966)</f>
        <v/>
      </c>
      <c r="AF963">
        <f>IF([2]Entry!$N$966="","",[2]Entry!$N$966)</f>
        <v/>
      </c>
      <c r="AJ963">
        <f>IF([2]Entry!$S$966="","",[2]Entry!$S$966)</f>
        <v/>
      </c>
      <c r="AK963">
        <f>IF([2]Entry!$C$966="","",[2]Entry!$C$966)</f>
        <v/>
      </c>
      <c r="AL963">
        <f>IF([2]Entry!$D$966="","",[2]Entry!$D$966)</f>
        <v/>
      </c>
      <c r="AX963">
        <f>IF([4]Entry!$E$966="","",[4]Entry!$E$966)</f>
        <v/>
      </c>
      <c r="AY963">
        <f>IF([4]Entry!$H$966="","",[4]Entry!$H$966)</f>
        <v/>
      </c>
      <c r="AZ963">
        <f>IF([4]Entry!$I$966="","",[4]Entry!$I$966)</f>
        <v/>
      </c>
    </row>
    <row r="964">
      <c r="Z964">
        <f>IF([2]Entry!$E$967="","",[2]Entry!$E$967)</f>
        <v/>
      </c>
      <c r="AA964">
        <f>IF([2]Entry!$G$967="","",[2]Entry!$G$967)</f>
        <v/>
      </c>
      <c r="AB964">
        <f>IF([2]Entry!$J$967="","",[2]Entry!$J$967)</f>
        <v/>
      </c>
      <c r="AC964">
        <f>IF([2]Entry!$K$967="","",[2]Entry!$K$967)</f>
        <v/>
      </c>
      <c r="AD964">
        <f>IF([2]Entry!$L$967="","",[2]Entry!$L$967)</f>
        <v/>
      </c>
      <c r="AE964">
        <f>IF([2]Entry!$M$967="","",[2]Entry!$M$967)</f>
        <v/>
      </c>
      <c r="AF964">
        <f>IF([2]Entry!$N$967="","",[2]Entry!$N$967)</f>
        <v/>
      </c>
      <c r="AJ964">
        <f>IF([2]Entry!$S$967="","",[2]Entry!$S$967)</f>
        <v/>
      </c>
      <c r="AK964">
        <f>IF([2]Entry!$C$967="","",[2]Entry!$C$967)</f>
        <v/>
      </c>
      <c r="AL964">
        <f>IF([2]Entry!$D$967="","",[2]Entry!$D$967)</f>
        <v/>
      </c>
      <c r="AX964">
        <f>IF([4]Entry!$E$967="","",[4]Entry!$E$967)</f>
        <v/>
      </c>
      <c r="AY964">
        <f>IF([4]Entry!$H$967="","",[4]Entry!$H$967)</f>
        <v/>
      </c>
      <c r="AZ964">
        <f>IF([4]Entry!$I$967="","",[4]Entry!$I$967)</f>
        <v/>
      </c>
    </row>
    <row r="965">
      <c r="Z965">
        <f>IF([2]Entry!$E$968="","",[2]Entry!$E$968)</f>
        <v/>
      </c>
      <c r="AA965">
        <f>IF([2]Entry!$G$968="","",[2]Entry!$G$968)</f>
        <v/>
      </c>
      <c r="AB965">
        <f>IF([2]Entry!$J$968="","",[2]Entry!$J$968)</f>
        <v/>
      </c>
      <c r="AC965">
        <f>IF([2]Entry!$K$968="","",[2]Entry!$K$968)</f>
        <v/>
      </c>
      <c r="AD965">
        <f>IF([2]Entry!$L$968="","",[2]Entry!$L$968)</f>
        <v/>
      </c>
      <c r="AE965">
        <f>IF([2]Entry!$M$968="","",[2]Entry!$M$968)</f>
        <v/>
      </c>
      <c r="AF965">
        <f>IF([2]Entry!$N$968="","",[2]Entry!$N$968)</f>
        <v/>
      </c>
      <c r="AJ965">
        <f>IF([2]Entry!$S$968="","",[2]Entry!$S$968)</f>
        <v/>
      </c>
      <c r="AK965">
        <f>IF([2]Entry!$C$968="","",[2]Entry!$C$968)</f>
        <v/>
      </c>
      <c r="AL965">
        <f>IF([2]Entry!$D$968="","",[2]Entry!$D$968)</f>
        <v/>
      </c>
      <c r="AX965">
        <f>IF([4]Entry!$E$968="","",[4]Entry!$E$968)</f>
        <v/>
      </c>
      <c r="AY965">
        <f>IF([4]Entry!$H$968="","",[4]Entry!$H$968)</f>
        <v/>
      </c>
      <c r="AZ965">
        <f>IF([4]Entry!$I$968="","",[4]Entry!$I$968)</f>
        <v/>
      </c>
    </row>
    <row r="966">
      <c r="Z966">
        <f>IF([2]Entry!$E$969="","",[2]Entry!$E$969)</f>
        <v/>
      </c>
      <c r="AA966">
        <f>IF([2]Entry!$G$969="","",[2]Entry!$G$969)</f>
        <v/>
      </c>
      <c r="AB966">
        <f>IF([2]Entry!$J$969="","",[2]Entry!$J$969)</f>
        <v/>
      </c>
      <c r="AC966">
        <f>IF([2]Entry!$K$969="","",[2]Entry!$K$969)</f>
        <v/>
      </c>
      <c r="AD966">
        <f>IF([2]Entry!$L$969="","",[2]Entry!$L$969)</f>
        <v/>
      </c>
      <c r="AE966">
        <f>IF([2]Entry!$M$969="","",[2]Entry!$M$969)</f>
        <v/>
      </c>
      <c r="AF966">
        <f>IF([2]Entry!$N$969="","",[2]Entry!$N$969)</f>
        <v/>
      </c>
      <c r="AJ966">
        <f>IF([2]Entry!$S$969="","",[2]Entry!$S$969)</f>
        <v/>
      </c>
      <c r="AK966">
        <f>IF([2]Entry!$C$969="","",[2]Entry!$C$969)</f>
        <v/>
      </c>
      <c r="AL966">
        <f>IF([2]Entry!$D$969="","",[2]Entry!$D$969)</f>
        <v/>
      </c>
      <c r="AX966">
        <f>IF([4]Entry!$E$969="","",[4]Entry!$E$969)</f>
        <v/>
      </c>
      <c r="AY966">
        <f>IF([4]Entry!$H$969="","",[4]Entry!$H$969)</f>
        <v/>
      </c>
      <c r="AZ966">
        <f>IF([4]Entry!$I$969="","",[4]Entry!$I$969)</f>
        <v/>
      </c>
    </row>
    <row r="967">
      <c r="Z967">
        <f>IF([2]Entry!$E$970="","",[2]Entry!$E$970)</f>
        <v/>
      </c>
      <c r="AA967">
        <f>IF([2]Entry!$G$970="","",[2]Entry!$G$970)</f>
        <v/>
      </c>
      <c r="AB967">
        <f>IF([2]Entry!$J$970="","",[2]Entry!$J$970)</f>
        <v/>
      </c>
      <c r="AC967">
        <f>IF([2]Entry!$K$970="","",[2]Entry!$K$970)</f>
        <v/>
      </c>
      <c r="AD967">
        <f>IF([2]Entry!$L$970="","",[2]Entry!$L$970)</f>
        <v/>
      </c>
      <c r="AE967">
        <f>IF([2]Entry!$M$970="","",[2]Entry!$M$970)</f>
        <v/>
      </c>
      <c r="AF967">
        <f>IF([2]Entry!$N$970="","",[2]Entry!$N$970)</f>
        <v/>
      </c>
      <c r="AJ967">
        <f>IF([2]Entry!$S$970="","",[2]Entry!$S$970)</f>
        <v/>
      </c>
      <c r="AK967">
        <f>IF([2]Entry!$C$970="","",[2]Entry!$C$970)</f>
        <v/>
      </c>
      <c r="AL967">
        <f>IF([2]Entry!$D$970="","",[2]Entry!$D$970)</f>
        <v/>
      </c>
      <c r="AX967">
        <f>IF([4]Entry!$E$970="","",[4]Entry!$E$970)</f>
        <v/>
      </c>
      <c r="AY967">
        <f>IF([4]Entry!$H$970="","",[4]Entry!$H$970)</f>
        <v/>
      </c>
      <c r="AZ967">
        <f>IF([4]Entry!$I$970="","",[4]Entry!$I$970)</f>
        <v/>
      </c>
    </row>
    <row r="968">
      <c r="Z968">
        <f>IF([2]Entry!$E$971="","",[2]Entry!$E$971)</f>
        <v/>
      </c>
      <c r="AA968">
        <f>IF([2]Entry!$G$971="","",[2]Entry!$G$971)</f>
        <v/>
      </c>
      <c r="AB968">
        <f>IF([2]Entry!$J$971="","",[2]Entry!$J$971)</f>
        <v/>
      </c>
      <c r="AC968">
        <f>IF([2]Entry!$K$971="","",[2]Entry!$K$971)</f>
        <v/>
      </c>
      <c r="AD968">
        <f>IF([2]Entry!$L$971="","",[2]Entry!$L$971)</f>
        <v/>
      </c>
      <c r="AE968">
        <f>IF([2]Entry!$M$971="","",[2]Entry!$M$971)</f>
        <v/>
      </c>
      <c r="AF968">
        <f>IF([2]Entry!$N$971="","",[2]Entry!$N$971)</f>
        <v/>
      </c>
      <c r="AJ968">
        <f>IF([2]Entry!$S$971="","",[2]Entry!$S$971)</f>
        <v/>
      </c>
      <c r="AK968">
        <f>IF([2]Entry!$C$971="","",[2]Entry!$C$971)</f>
        <v/>
      </c>
      <c r="AL968">
        <f>IF([2]Entry!$D$971="","",[2]Entry!$D$971)</f>
        <v/>
      </c>
      <c r="AX968">
        <f>IF([4]Entry!$E$971="","",[4]Entry!$E$971)</f>
        <v/>
      </c>
      <c r="AY968">
        <f>IF([4]Entry!$H$971="","",[4]Entry!$H$971)</f>
        <v/>
      </c>
      <c r="AZ968">
        <f>IF([4]Entry!$I$971="","",[4]Entry!$I$971)</f>
        <v/>
      </c>
    </row>
    <row r="969">
      <c r="Z969">
        <f>IF([2]Entry!$E$972="","",[2]Entry!$E$972)</f>
        <v/>
      </c>
      <c r="AA969">
        <f>IF([2]Entry!$G$972="","",[2]Entry!$G$972)</f>
        <v/>
      </c>
      <c r="AB969">
        <f>IF([2]Entry!$J$972="","",[2]Entry!$J$972)</f>
        <v/>
      </c>
      <c r="AC969">
        <f>IF([2]Entry!$K$972="","",[2]Entry!$K$972)</f>
        <v/>
      </c>
      <c r="AD969">
        <f>IF([2]Entry!$L$972="","",[2]Entry!$L$972)</f>
        <v/>
      </c>
      <c r="AE969">
        <f>IF([2]Entry!$M$972="","",[2]Entry!$M$972)</f>
        <v/>
      </c>
      <c r="AF969">
        <f>IF([2]Entry!$N$972="","",[2]Entry!$N$972)</f>
        <v/>
      </c>
      <c r="AJ969">
        <f>IF([2]Entry!$S$972="","",[2]Entry!$S$972)</f>
        <v/>
      </c>
      <c r="AK969">
        <f>IF([2]Entry!$C$972="","",[2]Entry!$C$972)</f>
        <v/>
      </c>
      <c r="AL969">
        <f>IF([2]Entry!$D$972="","",[2]Entry!$D$972)</f>
        <v/>
      </c>
      <c r="AX969">
        <f>IF([4]Entry!$E$972="","",[4]Entry!$E$972)</f>
        <v/>
      </c>
      <c r="AY969">
        <f>IF([4]Entry!$H$972="","",[4]Entry!$H$972)</f>
        <v/>
      </c>
      <c r="AZ969">
        <f>IF([4]Entry!$I$972="","",[4]Entry!$I$972)</f>
        <v/>
      </c>
    </row>
    <row r="970">
      <c r="Z970">
        <f>IF([2]Entry!$E$973="","",[2]Entry!$E$973)</f>
        <v/>
      </c>
      <c r="AA970">
        <f>IF([2]Entry!$G$973="","",[2]Entry!$G$973)</f>
        <v/>
      </c>
      <c r="AB970">
        <f>IF([2]Entry!$J$973="","",[2]Entry!$J$973)</f>
        <v/>
      </c>
      <c r="AC970">
        <f>IF([2]Entry!$K$973="","",[2]Entry!$K$973)</f>
        <v/>
      </c>
      <c r="AD970">
        <f>IF([2]Entry!$L$973="","",[2]Entry!$L$973)</f>
        <v/>
      </c>
      <c r="AE970">
        <f>IF([2]Entry!$M$973="","",[2]Entry!$M$973)</f>
        <v/>
      </c>
      <c r="AF970">
        <f>IF([2]Entry!$N$973="","",[2]Entry!$N$973)</f>
        <v/>
      </c>
      <c r="AJ970">
        <f>IF([2]Entry!$S$973="","",[2]Entry!$S$973)</f>
        <v/>
      </c>
      <c r="AK970">
        <f>IF([2]Entry!$C$973="","",[2]Entry!$C$973)</f>
        <v/>
      </c>
      <c r="AL970">
        <f>IF([2]Entry!$D$973="","",[2]Entry!$D$973)</f>
        <v/>
      </c>
      <c r="AX970">
        <f>IF([4]Entry!$E$973="","",[4]Entry!$E$973)</f>
        <v/>
      </c>
      <c r="AY970">
        <f>IF([4]Entry!$H$973="","",[4]Entry!$H$973)</f>
        <v/>
      </c>
      <c r="AZ970">
        <f>IF([4]Entry!$I$973="","",[4]Entry!$I$973)</f>
        <v/>
      </c>
    </row>
    <row r="971">
      <c r="Z971">
        <f>IF([2]Entry!$E$974="","",[2]Entry!$E$974)</f>
        <v/>
      </c>
      <c r="AA971">
        <f>IF([2]Entry!$G$974="","",[2]Entry!$G$974)</f>
        <v/>
      </c>
      <c r="AB971">
        <f>IF([2]Entry!$J$974="","",[2]Entry!$J$974)</f>
        <v/>
      </c>
      <c r="AC971">
        <f>IF([2]Entry!$K$974="","",[2]Entry!$K$974)</f>
        <v/>
      </c>
      <c r="AD971">
        <f>IF([2]Entry!$L$974="","",[2]Entry!$L$974)</f>
        <v/>
      </c>
      <c r="AE971">
        <f>IF([2]Entry!$M$974="","",[2]Entry!$M$974)</f>
        <v/>
      </c>
      <c r="AF971">
        <f>IF([2]Entry!$N$974="","",[2]Entry!$N$974)</f>
        <v/>
      </c>
      <c r="AJ971">
        <f>IF([2]Entry!$S$974="","",[2]Entry!$S$974)</f>
        <v/>
      </c>
      <c r="AK971">
        <f>IF([2]Entry!$C$974="","",[2]Entry!$C$974)</f>
        <v/>
      </c>
      <c r="AL971">
        <f>IF([2]Entry!$D$974="","",[2]Entry!$D$974)</f>
        <v/>
      </c>
      <c r="AX971">
        <f>IF([4]Entry!$E$974="","",[4]Entry!$E$974)</f>
        <v/>
      </c>
      <c r="AY971">
        <f>IF([4]Entry!$H$974="","",[4]Entry!$H$974)</f>
        <v/>
      </c>
      <c r="AZ971">
        <f>IF([4]Entry!$I$974="","",[4]Entry!$I$974)</f>
        <v/>
      </c>
    </row>
    <row r="972">
      <c r="Z972">
        <f>IF([2]Entry!$E$975="","",[2]Entry!$E$975)</f>
        <v/>
      </c>
      <c r="AA972">
        <f>IF([2]Entry!$G$975="","",[2]Entry!$G$975)</f>
        <v/>
      </c>
      <c r="AB972">
        <f>IF([2]Entry!$J$975="","",[2]Entry!$J$975)</f>
        <v/>
      </c>
      <c r="AC972">
        <f>IF([2]Entry!$K$975="","",[2]Entry!$K$975)</f>
        <v/>
      </c>
      <c r="AD972">
        <f>IF([2]Entry!$L$975="","",[2]Entry!$L$975)</f>
        <v/>
      </c>
      <c r="AE972">
        <f>IF([2]Entry!$M$975="","",[2]Entry!$M$975)</f>
        <v/>
      </c>
      <c r="AF972">
        <f>IF([2]Entry!$N$975="","",[2]Entry!$N$975)</f>
        <v/>
      </c>
      <c r="AJ972">
        <f>IF([2]Entry!$S$975="","",[2]Entry!$S$975)</f>
        <v/>
      </c>
      <c r="AK972">
        <f>IF([2]Entry!$C$975="","",[2]Entry!$C$975)</f>
        <v/>
      </c>
      <c r="AL972">
        <f>IF([2]Entry!$D$975="","",[2]Entry!$D$975)</f>
        <v/>
      </c>
      <c r="AX972">
        <f>IF([4]Entry!$E$975="","",[4]Entry!$E$975)</f>
        <v/>
      </c>
      <c r="AY972">
        <f>IF([4]Entry!$H$975="","",[4]Entry!$H$975)</f>
        <v/>
      </c>
      <c r="AZ972">
        <f>IF([4]Entry!$I$975="","",[4]Entry!$I$975)</f>
        <v/>
      </c>
    </row>
    <row r="973">
      <c r="Z973">
        <f>IF([2]Entry!$E$976="","",[2]Entry!$E$976)</f>
        <v/>
      </c>
      <c r="AA973">
        <f>IF([2]Entry!$G$976="","",[2]Entry!$G$976)</f>
        <v/>
      </c>
      <c r="AB973">
        <f>IF([2]Entry!$J$976="","",[2]Entry!$J$976)</f>
        <v/>
      </c>
      <c r="AC973">
        <f>IF([2]Entry!$K$976="","",[2]Entry!$K$976)</f>
        <v/>
      </c>
      <c r="AD973">
        <f>IF([2]Entry!$L$976="","",[2]Entry!$L$976)</f>
        <v/>
      </c>
      <c r="AE973">
        <f>IF([2]Entry!$M$976="","",[2]Entry!$M$976)</f>
        <v/>
      </c>
      <c r="AF973">
        <f>IF([2]Entry!$N$976="","",[2]Entry!$N$976)</f>
        <v/>
      </c>
      <c r="AJ973">
        <f>IF([2]Entry!$S$976="","",[2]Entry!$S$976)</f>
        <v/>
      </c>
      <c r="AK973">
        <f>IF([2]Entry!$C$976="","",[2]Entry!$C$976)</f>
        <v/>
      </c>
      <c r="AL973">
        <f>IF([2]Entry!$D$976="","",[2]Entry!$D$976)</f>
        <v/>
      </c>
      <c r="AX973">
        <f>IF([4]Entry!$E$976="","",[4]Entry!$E$976)</f>
        <v/>
      </c>
      <c r="AY973">
        <f>IF([4]Entry!$H$976="","",[4]Entry!$H$976)</f>
        <v/>
      </c>
      <c r="AZ973">
        <f>IF([4]Entry!$I$976="","",[4]Entry!$I$976)</f>
        <v/>
      </c>
    </row>
    <row r="974">
      <c r="Z974">
        <f>IF([2]Entry!$E$977="","",[2]Entry!$E$977)</f>
        <v/>
      </c>
      <c r="AA974">
        <f>IF([2]Entry!$G$977="","",[2]Entry!$G$977)</f>
        <v/>
      </c>
      <c r="AB974">
        <f>IF([2]Entry!$J$977="","",[2]Entry!$J$977)</f>
        <v/>
      </c>
      <c r="AC974">
        <f>IF([2]Entry!$K$977="","",[2]Entry!$K$977)</f>
        <v/>
      </c>
      <c r="AD974">
        <f>IF([2]Entry!$L$977="","",[2]Entry!$L$977)</f>
        <v/>
      </c>
      <c r="AE974">
        <f>IF([2]Entry!$M$977="","",[2]Entry!$M$977)</f>
        <v/>
      </c>
      <c r="AF974">
        <f>IF([2]Entry!$N$977="","",[2]Entry!$N$977)</f>
        <v/>
      </c>
      <c r="AJ974">
        <f>IF([2]Entry!$S$977="","",[2]Entry!$S$977)</f>
        <v/>
      </c>
      <c r="AK974">
        <f>IF([2]Entry!$C$977="","",[2]Entry!$C$977)</f>
        <v/>
      </c>
      <c r="AL974">
        <f>IF([2]Entry!$D$977="","",[2]Entry!$D$977)</f>
        <v/>
      </c>
      <c r="AX974">
        <f>IF([4]Entry!$E$977="","",[4]Entry!$E$977)</f>
        <v/>
      </c>
      <c r="AY974">
        <f>IF([4]Entry!$H$977="","",[4]Entry!$H$977)</f>
        <v/>
      </c>
      <c r="AZ974">
        <f>IF([4]Entry!$I$977="","",[4]Entry!$I$977)</f>
        <v/>
      </c>
    </row>
    <row r="975">
      <c r="Z975">
        <f>IF([2]Entry!$E$978="","",[2]Entry!$E$978)</f>
        <v/>
      </c>
      <c r="AA975">
        <f>IF([2]Entry!$G$978="","",[2]Entry!$G$978)</f>
        <v/>
      </c>
      <c r="AB975">
        <f>IF([2]Entry!$J$978="","",[2]Entry!$J$978)</f>
        <v/>
      </c>
      <c r="AC975">
        <f>IF([2]Entry!$K$978="","",[2]Entry!$K$978)</f>
        <v/>
      </c>
      <c r="AD975">
        <f>IF([2]Entry!$L$978="","",[2]Entry!$L$978)</f>
        <v/>
      </c>
      <c r="AE975">
        <f>IF([2]Entry!$M$978="","",[2]Entry!$M$978)</f>
        <v/>
      </c>
      <c r="AF975">
        <f>IF([2]Entry!$N$978="","",[2]Entry!$N$978)</f>
        <v/>
      </c>
      <c r="AJ975">
        <f>IF([2]Entry!$S$978="","",[2]Entry!$S$978)</f>
        <v/>
      </c>
      <c r="AK975">
        <f>IF([2]Entry!$C$978="","",[2]Entry!$C$978)</f>
        <v/>
      </c>
      <c r="AL975">
        <f>IF([2]Entry!$D$978="","",[2]Entry!$D$978)</f>
        <v/>
      </c>
      <c r="AX975">
        <f>IF([4]Entry!$E$978="","",[4]Entry!$E$978)</f>
        <v/>
      </c>
      <c r="AY975">
        <f>IF([4]Entry!$H$978="","",[4]Entry!$H$978)</f>
        <v/>
      </c>
      <c r="AZ975">
        <f>IF([4]Entry!$I$978="","",[4]Entry!$I$978)</f>
        <v/>
      </c>
    </row>
    <row r="976">
      <c r="Z976">
        <f>IF([2]Entry!$E$979="","",[2]Entry!$E$979)</f>
        <v/>
      </c>
      <c r="AA976">
        <f>IF([2]Entry!$G$979="","",[2]Entry!$G$979)</f>
        <v/>
      </c>
      <c r="AB976">
        <f>IF([2]Entry!$J$979="","",[2]Entry!$J$979)</f>
        <v/>
      </c>
      <c r="AC976">
        <f>IF([2]Entry!$K$979="","",[2]Entry!$K$979)</f>
        <v/>
      </c>
      <c r="AD976">
        <f>IF([2]Entry!$L$979="","",[2]Entry!$L$979)</f>
        <v/>
      </c>
      <c r="AE976">
        <f>IF([2]Entry!$M$979="","",[2]Entry!$M$979)</f>
        <v/>
      </c>
      <c r="AF976">
        <f>IF([2]Entry!$N$979="","",[2]Entry!$N$979)</f>
        <v/>
      </c>
      <c r="AJ976">
        <f>IF([2]Entry!$S$979="","",[2]Entry!$S$979)</f>
        <v/>
      </c>
      <c r="AK976">
        <f>IF([2]Entry!$C$979="","",[2]Entry!$C$979)</f>
        <v/>
      </c>
      <c r="AL976">
        <f>IF([2]Entry!$D$979="","",[2]Entry!$D$979)</f>
        <v/>
      </c>
      <c r="AX976">
        <f>IF([4]Entry!$E$979="","",[4]Entry!$E$979)</f>
        <v/>
      </c>
      <c r="AY976">
        <f>IF([4]Entry!$H$979="","",[4]Entry!$H$979)</f>
        <v/>
      </c>
      <c r="AZ976">
        <f>IF([4]Entry!$I$979="","",[4]Entry!$I$979)</f>
        <v/>
      </c>
    </row>
    <row r="977">
      <c r="Z977">
        <f>IF([2]Entry!$E$980="","",[2]Entry!$E$980)</f>
        <v/>
      </c>
      <c r="AA977">
        <f>IF([2]Entry!$G$980="","",[2]Entry!$G$980)</f>
        <v/>
      </c>
      <c r="AB977">
        <f>IF([2]Entry!$J$980="","",[2]Entry!$J$980)</f>
        <v/>
      </c>
      <c r="AC977">
        <f>IF([2]Entry!$K$980="","",[2]Entry!$K$980)</f>
        <v/>
      </c>
      <c r="AD977">
        <f>IF([2]Entry!$L$980="","",[2]Entry!$L$980)</f>
        <v/>
      </c>
      <c r="AE977">
        <f>IF([2]Entry!$M$980="","",[2]Entry!$M$980)</f>
        <v/>
      </c>
      <c r="AF977">
        <f>IF([2]Entry!$N$980="","",[2]Entry!$N$980)</f>
        <v/>
      </c>
      <c r="AJ977">
        <f>IF([2]Entry!$S$980="","",[2]Entry!$S$980)</f>
        <v/>
      </c>
      <c r="AK977">
        <f>IF([2]Entry!$C$980="","",[2]Entry!$C$980)</f>
        <v/>
      </c>
      <c r="AL977">
        <f>IF([2]Entry!$D$980="","",[2]Entry!$D$980)</f>
        <v/>
      </c>
      <c r="AX977">
        <f>IF([4]Entry!$E$980="","",[4]Entry!$E$980)</f>
        <v/>
      </c>
      <c r="AY977">
        <f>IF([4]Entry!$H$980="","",[4]Entry!$H$980)</f>
        <v/>
      </c>
      <c r="AZ977">
        <f>IF([4]Entry!$I$980="","",[4]Entry!$I$980)</f>
        <v/>
      </c>
    </row>
    <row r="978">
      <c r="Z978">
        <f>IF([2]Entry!$E$981="","",[2]Entry!$E$981)</f>
        <v/>
      </c>
      <c r="AA978">
        <f>IF([2]Entry!$G$981="","",[2]Entry!$G$981)</f>
        <v/>
      </c>
      <c r="AB978">
        <f>IF([2]Entry!$J$981="","",[2]Entry!$J$981)</f>
        <v/>
      </c>
      <c r="AC978">
        <f>IF([2]Entry!$K$981="","",[2]Entry!$K$981)</f>
        <v/>
      </c>
      <c r="AD978">
        <f>IF([2]Entry!$L$981="","",[2]Entry!$L$981)</f>
        <v/>
      </c>
      <c r="AE978">
        <f>IF([2]Entry!$M$981="","",[2]Entry!$M$981)</f>
        <v/>
      </c>
      <c r="AF978">
        <f>IF([2]Entry!$N$981="","",[2]Entry!$N$981)</f>
        <v/>
      </c>
      <c r="AJ978">
        <f>IF([2]Entry!$S$981="","",[2]Entry!$S$981)</f>
        <v/>
      </c>
      <c r="AK978">
        <f>IF([2]Entry!$C$981="","",[2]Entry!$C$981)</f>
        <v/>
      </c>
      <c r="AL978">
        <f>IF([2]Entry!$D$981="","",[2]Entry!$D$981)</f>
        <v/>
      </c>
      <c r="AX978">
        <f>IF([4]Entry!$E$981="","",[4]Entry!$E$981)</f>
        <v/>
      </c>
      <c r="AY978">
        <f>IF([4]Entry!$H$981="","",[4]Entry!$H$981)</f>
        <v/>
      </c>
      <c r="AZ978">
        <f>IF([4]Entry!$I$981="","",[4]Entry!$I$981)</f>
        <v/>
      </c>
    </row>
    <row r="979">
      <c r="Z979">
        <f>IF([2]Entry!$E$982="","",[2]Entry!$E$982)</f>
        <v/>
      </c>
      <c r="AA979">
        <f>IF([2]Entry!$G$982="","",[2]Entry!$G$982)</f>
        <v/>
      </c>
      <c r="AB979">
        <f>IF([2]Entry!$J$982="","",[2]Entry!$J$982)</f>
        <v/>
      </c>
      <c r="AC979">
        <f>IF([2]Entry!$K$982="","",[2]Entry!$K$982)</f>
        <v/>
      </c>
      <c r="AD979">
        <f>IF([2]Entry!$L$982="","",[2]Entry!$L$982)</f>
        <v/>
      </c>
      <c r="AE979">
        <f>IF([2]Entry!$M$982="","",[2]Entry!$M$982)</f>
        <v/>
      </c>
      <c r="AF979">
        <f>IF([2]Entry!$N$982="","",[2]Entry!$N$982)</f>
        <v/>
      </c>
      <c r="AJ979">
        <f>IF([2]Entry!$S$982="","",[2]Entry!$S$982)</f>
        <v/>
      </c>
      <c r="AK979">
        <f>IF([2]Entry!$C$982="","",[2]Entry!$C$982)</f>
        <v/>
      </c>
      <c r="AL979">
        <f>IF([2]Entry!$D$982="","",[2]Entry!$D$982)</f>
        <v/>
      </c>
      <c r="AX979">
        <f>IF([4]Entry!$E$982="","",[4]Entry!$E$982)</f>
        <v/>
      </c>
      <c r="AY979">
        <f>IF([4]Entry!$H$982="","",[4]Entry!$H$982)</f>
        <v/>
      </c>
      <c r="AZ979">
        <f>IF([4]Entry!$I$982="","",[4]Entry!$I$982)</f>
        <v/>
      </c>
    </row>
    <row r="980">
      <c r="Z980">
        <f>IF([2]Entry!$E$983="","",[2]Entry!$E$983)</f>
        <v/>
      </c>
      <c r="AA980">
        <f>IF([2]Entry!$G$983="","",[2]Entry!$G$983)</f>
        <v/>
      </c>
      <c r="AB980">
        <f>IF([2]Entry!$J$983="","",[2]Entry!$J$983)</f>
        <v/>
      </c>
      <c r="AC980">
        <f>IF([2]Entry!$K$983="","",[2]Entry!$K$983)</f>
        <v/>
      </c>
      <c r="AD980">
        <f>IF([2]Entry!$L$983="","",[2]Entry!$L$983)</f>
        <v/>
      </c>
      <c r="AE980">
        <f>IF([2]Entry!$M$983="","",[2]Entry!$M$983)</f>
        <v/>
      </c>
      <c r="AF980">
        <f>IF([2]Entry!$N$983="","",[2]Entry!$N$983)</f>
        <v/>
      </c>
      <c r="AJ980">
        <f>IF([2]Entry!$S$983="","",[2]Entry!$S$983)</f>
        <v/>
      </c>
      <c r="AK980">
        <f>IF([2]Entry!$C$983="","",[2]Entry!$C$983)</f>
        <v/>
      </c>
      <c r="AL980">
        <f>IF([2]Entry!$D$983="","",[2]Entry!$D$983)</f>
        <v/>
      </c>
      <c r="AX980">
        <f>IF([4]Entry!$E$983="","",[4]Entry!$E$983)</f>
        <v/>
      </c>
      <c r="AY980">
        <f>IF([4]Entry!$H$983="","",[4]Entry!$H$983)</f>
        <v/>
      </c>
      <c r="AZ980">
        <f>IF([4]Entry!$I$983="","",[4]Entry!$I$983)</f>
        <v/>
      </c>
    </row>
    <row r="981">
      <c r="Z981">
        <f>IF([2]Entry!$E$984="","",[2]Entry!$E$984)</f>
        <v/>
      </c>
      <c r="AA981">
        <f>IF([2]Entry!$G$984="","",[2]Entry!$G$984)</f>
        <v/>
      </c>
      <c r="AB981">
        <f>IF([2]Entry!$J$984="","",[2]Entry!$J$984)</f>
        <v/>
      </c>
      <c r="AC981">
        <f>IF([2]Entry!$K$984="","",[2]Entry!$K$984)</f>
        <v/>
      </c>
      <c r="AD981">
        <f>IF([2]Entry!$L$984="","",[2]Entry!$L$984)</f>
        <v/>
      </c>
      <c r="AE981">
        <f>IF([2]Entry!$M$984="","",[2]Entry!$M$984)</f>
        <v/>
      </c>
      <c r="AF981">
        <f>IF([2]Entry!$N$984="","",[2]Entry!$N$984)</f>
        <v/>
      </c>
      <c r="AJ981">
        <f>IF([2]Entry!$S$984="","",[2]Entry!$S$984)</f>
        <v/>
      </c>
      <c r="AK981">
        <f>IF([2]Entry!$C$984="","",[2]Entry!$C$984)</f>
        <v/>
      </c>
      <c r="AL981">
        <f>IF([2]Entry!$D$984="","",[2]Entry!$D$984)</f>
        <v/>
      </c>
      <c r="AX981">
        <f>IF([4]Entry!$E$984="","",[4]Entry!$E$984)</f>
        <v/>
      </c>
      <c r="AY981">
        <f>IF([4]Entry!$H$984="","",[4]Entry!$H$984)</f>
        <v/>
      </c>
      <c r="AZ981">
        <f>IF([4]Entry!$I$984="","",[4]Entry!$I$984)</f>
        <v/>
      </c>
    </row>
    <row r="982">
      <c r="Z982">
        <f>IF([2]Entry!$E$985="","",[2]Entry!$E$985)</f>
        <v/>
      </c>
      <c r="AA982">
        <f>IF([2]Entry!$G$985="","",[2]Entry!$G$985)</f>
        <v/>
      </c>
      <c r="AB982">
        <f>IF([2]Entry!$J$985="","",[2]Entry!$J$985)</f>
        <v/>
      </c>
      <c r="AC982">
        <f>IF([2]Entry!$K$985="","",[2]Entry!$K$985)</f>
        <v/>
      </c>
      <c r="AD982">
        <f>IF([2]Entry!$L$985="","",[2]Entry!$L$985)</f>
        <v/>
      </c>
      <c r="AE982">
        <f>IF([2]Entry!$M$985="","",[2]Entry!$M$985)</f>
        <v/>
      </c>
      <c r="AF982">
        <f>IF([2]Entry!$N$985="","",[2]Entry!$N$985)</f>
        <v/>
      </c>
      <c r="AJ982">
        <f>IF([2]Entry!$S$985="","",[2]Entry!$S$985)</f>
        <v/>
      </c>
      <c r="AK982">
        <f>IF([2]Entry!$C$985="","",[2]Entry!$C$985)</f>
        <v/>
      </c>
      <c r="AL982">
        <f>IF([2]Entry!$D$985="","",[2]Entry!$D$985)</f>
        <v/>
      </c>
      <c r="AX982">
        <f>IF([4]Entry!$E$985="","",[4]Entry!$E$985)</f>
        <v/>
      </c>
      <c r="AY982">
        <f>IF([4]Entry!$H$985="","",[4]Entry!$H$985)</f>
        <v/>
      </c>
      <c r="AZ982">
        <f>IF([4]Entry!$I$985="","",[4]Entry!$I$985)</f>
        <v/>
      </c>
    </row>
    <row r="983">
      <c r="Z983">
        <f>IF([2]Entry!$E$986="","",[2]Entry!$E$986)</f>
        <v/>
      </c>
      <c r="AA983">
        <f>IF([2]Entry!$G$986="","",[2]Entry!$G$986)</f>
        <v/>
      </c>
      <c r="AB983">
        <f>IF([2]Entry!$J$986="","",[2]Entry!$J$986)</f>
        <v/>
      </c>
      <c r="AC983">
        <f>IF([2]Entry!$K$986="","",[2]Entry!$K$986)</f>
        <v/>
      </c>
      <c r="AD983">
        <f>IF([2]Entry!$L$986="","",[2]Entry!$L$986)</f>
        <v/>
      </c>
      <c r="AE983">
        <f>IF([2]Entry!$M$986="","",[2]Entry!$M$986)</f>
        <v/>
      </c>
      <c r="AF983">
        <f>IF([2]Entry!$N$986="","",[2]Entry!$N$986)</f>
        <v/>
      </c>
      <c r="AJ983">
        <f>IF([2]Entry!$S$986="","",[2]Entry!$S$986)</f>
        <v/>
      </c>
      <c r="AK983">
        <f>IF([2]Entry!$C$986="","",[2]Entry!$C$986)</f>
        <v/>
      </c>
      <c r="AL983">
        <f>IF([2]Entry!$D$986="","",[2]Entry!$D$986)</f>
        <v/>
      </c>
      <c r="AX983">
        <f>IF([4]Entry!$E$986="","",[4]Entry!$E$986)</f>
        <v/>
      </c>
      <c r="AY983">
        <f>IF([4]Entry!$H$986="","",[4]Entry!$H$986)</f>
        <v/>
      </c>
      <c r="AZ983">
        <f>IF([4]Entry!$I$986="","",[4]Entry!$I$986)</f>
        <v/>
      </c>
    </row>
    <row r="984">
      <c r="Z984">
        <f>IF([2]Entry!$E$987="","",[2]Entry!$E$987)</f>
        <v/>
      </c>
      <c r="AA984">
        <f>IF([2]Entry!$G$987="","",[2]Entry!$G$987)</f>
        <v/>
      </c>
      <c r="AB984">
        <f>IF([2]Entry!$J$987="","",[2]Entry!$J$987)</f>
        <v/>
      </c>
      <c r="AC984">
        <f>IF([2]Entry!$K$987="","",[2]Entry!$K$987)</f>
        <v/>
      </c>
      <c r="AD984">
        <f>IF([2]Entry!$L$987="","",[2]Entry!$L$987)</f>
        <v/>
      </c>
      <c r="AE984">
        <f>IF([2]Entry!$M$987="","",[2]Entry!$M$987)</f>
        <v/>
      </c>
      <c r="AF984">
        <f>IF([2]Entry!$N$987="","",[2]Entry!$N$987)</f>
        <v/>
      </c>
      <c r="AJ984">
        <f>IF([2]Entry!$S$987="","",[2]Entry!$S$987)</f>
        <v/>
      </c>
      <c r="AK984">
        <f>IF([2]Entry!$C$987="","",[2]Entry!$C$987)</f>
        <v/>
      </c>
      <c r="AL984">
        <f>IF([2]Entry!$D$987="","",[2]Entry!$D$987)</f>
        <v/>
      </c>
      <c r="AX984">
        <f>IF([4]Entry!$E$987="","",[4]Entry!$E$987)</f>
        <v/>
      </c>
      <c r="AY984">
        <f>IF([4]Entry!$H$987="","",[4]Entry!$H$987)</f>
        <v/>
      </c>
      <c r="AZ984">
        <f>IF([4]Entry!$I$987="","",[4]Entry!$I$987)</f>
        <v/>
      </c>
    </row>
    <row r="985">
      <c r="Z985">
        <f>IF([2]Entry!$E$988="","",[2]Entry!$E$988)</f>
        <v/>
      </c>
      <c r="AA985">
        <f>IF([2]Entry!$G$988="","",[2]Entry!$G$988)</f>
        <v/>
      </c>
      <c r="AB985">
        <f>IF([2]Entry!$J$988="","",[2]Entry!$J$988)</f>
        <v/>
      </c>
      <c r="AC985">
        <f>IF([2]Entry!$K$988="","",[2]Entry!$K$988)</f>
        <v/>
      </c>
      <c r="AD985">
        <f>IF([2]Entry!$L$988="","",[2]Entry!$L$988)</f>
        <v/>
      </c>
      <c r="AE985">
        <f>IF([2]Entry!$M$988="","",[2]Entry!$M$988)</f>
        <v/>
      </c>
      <c r="AF985">
        <f>IF([2]Entry!$N$988="","",[2]Entry!$N$988)</f>
        <v/>
      </c>
      <c r="AJ985">
        <f>IF([2]Entry!$S$988="","",[2]Entry!$S$988)</f>
        <v/>
      </c>
      <c r="AK985">
        <f>IF([2]Entry!$C$988="","",[2]Entry!$C$988)</f>
        <v/>
      </c>
      <c r="AL985">
        <f>IF([2]Entry!$D$988="","",[2]Entry!$D$988)</f>
        <v/>
      </c>
      <c r="AX985">
        <f>IF([4]Entry!$E$988="","",[4]Entry!$E$988)</f>
        <v/>
      </c>
      <c r="AY985">
        <f>IF([4]Entry!$H$988="","",[4]Entry!$H$988)</f>
        <v/>
      </c>
      <c r="AZ985">
        <f>IF([4]Entry!$I$988="","",[4]Entry!$I$988)</f>
        <v/>
      </c>
    </row>
    <row r="986">
      <c r="Z986">
        <f>IF([2]Entry!$E$989="","",[2]Entry!$E$989)</f>
        <v/>
      </c>
      <c r="AA986">
        <f>IF([2]Entry!$G$989="","",[2]Entry!$G$989)</f>
        <v/>
      </c>
      <c r="AB986">
        <f>IF([2]Entry!$J$989="","",[2]Entry!$J$989)</f>
        <v/>
      </c>
      <c r="AC986">
        <f>IF([2]Entry!$K$989="","",[2]Entry!$K$989)</f>
        <v/>
      </c>
      <c r="AD986">
        <f>IF([2]Entry!$L$989="","",[2]Entry!$L$989)</f>
        <v/>
      </c>
      <c r="AE986">
        <f>IF([2]Entry!$M$989="","",[2]Entry!$M$989)</f>
        <v/>
      </c>
      <c r="AF986">
        <f>IF([2]Entry!$N$989="","",[2]Entry!$N$989)</f>
        <v/>
      </c>
      <c r="AJ986">
        <f>IF([2]Entry!$S$989="","",[2]Entry!$S$989)</f>
        <v/>
      </c>
      <c r="AK986">
        <f>IF([2]Entry!$C$989="","",[2]Entry!$C$989)</f>
        <v/>
      </c>
      <c r="AL986">
        <f>IF([2]Entry!$D$989="","",[2]Entry!$D$989)</f>
        <v/>
      </c>
      <c r="AX986">
        <f>IF([4]Entry!$E$989="","",[4]Entry!$E$989)</f>
        <v/>
      </c>
      <c r="AY986">
        <f>IF([4]Entry!$H$989="","",[4]Entry!$H$989)</f>
        <v/>
      </c>
      <c r="AZ986">
        <f>IF([4]Entry!$I$989="","",[4]Entry!$I$989)</f>
        <v/>
      </c>
    </row>
    <row r="987">
      <c r="Z987">
        <f>IF([2]Entry!$E$990="","",[2]Entry!$E$990)</f>
        <v/>
      </c>
      <c r="AA987">
        <f>IF([2]Entry!$G$990="","",[2]Entry!$G$990)</f>
        <v/>
      </c>
      <c r="AB987">
        <f>IF([2]Entry!$J$990="","",[2]Entry!$J$990)</f>
        <v/>
      </c>
      <c r="AC987">
        <f>IF([2]Entry!$K$990="","",[2]Entry!$K$990)</f>
        <v/>
      </c>
      <c r="AD987">
        <f>IF([2]Entry!$L$990="","",[2]Entry!$L$990)</f>
        <v/>
      </c>
      <c r="AE987">
        <f>IF([2]Entry!$M$990="","",[2]Entry!$M$990)</f>
        <v/>
      </c>
      <c r="AF987">
        <f>IF([2]Entry!$N$990="","",[2]Entry!$N$990)</f>
        <v/>
      </c>
      <c r="AJ987">
        <f>IF([2]Entry!$S$990="","",[2]Entry!$S$990)</f>
        <v/>
      </c>
      <c r="AK987">
        <f>IF([2]Entry!$C$990="","",[2]Entry!$C$990)</f>
        <v/>
      </c>
      <c r="AL987">
        <f>IF([2]Entry!$D$990="","",[2]Entry!$D$990)</f>
        <v/>
      </c>
      <c r="AX987">
        <f>IF([4]Entry!$E$990="","",[4]Entry!$E$990)</f>
        <v/>
      </c>
      <c r="AY987">
        <f>IF([4]Entry!$H$990="","",[4]Entry!$H$990)</f>
        <v/>
      </c>
      <c r="AZ987">
        <f>IF([4]Entry!$I$990="","",[4]Entry!$I$990)</f>
        <v/>
      </c>
    </row>
    <row r="988">
      <c r="Z988">
        <f>IF([2]Entry!$E$991="","",[2]Entry!$E$991)</f>
        <v/>
      </c>
      <c r="AA988">
        <f>IF([2]Entry!$G$991="","",[2]Entry!$G$991)</f>
        <v/>
      </c>
      <c r="AB988">
        <f>IF([2]Entry!$J$991="","",[2]Entry!$J$991)</f>
        <v/>
      </c>
      <c r="AC988">
        <f>IF([2]Entry!$K$991="","",[2]Entry!$K$991)</f>
        <v/>
      </c>
      <c r="AD988">
        <f>IF([2]Entry!$L$991="","",[2]Entry!$L$991)</f>
        <v/>
      </c>
      <c r="AE988">
        <f>IF([2]Entry!$M$991="","",[2]Entry!$M$991)</f>
        <v/>
      </c>
      <c r="AF988">
        <f>IF([2]Entry!$N$991="","",[2]Entry!$N$991)</f>
        <v/>
      </c>
      <c r="AJ988">
        <f>IF([2]Entry!$S$991="","",[2]Entry!$S$991)</f>
        <v/>
      </c>
      <c r="AK988">
        <f>IF([2]Entry!$C$991="","",[2]Entry!$C$991)</f>
        <v/>
      </c>
      <c r="AL988">
        <f>IF([2]Entry!$D$991="","",[2]Entry!$D$991)</f>
        <v/>
      </c>
      <c r="AX988">
        <f>IF([4]Entry!$E$991="","",[4]Entry!$E$991)</f>
        <v/>
      </c>
      <c r="AY988">
        <f>IF([4]Entry!$H$991="","",[4]Entry!$H$991)</f>
        <v/>
      </c>
      <c r="AZ988">
        <f>IF([4]Entry!$I$991="","",[4]Entry!$I$991)</f>
        <v/>
      </c>
    </row>
    <row r="989">
      <c r="Z989">
        <f>IF([2]Entry!$E$992="","",[2]Entry!$E$992)</f>
        <v/>
      </c>
      <c r="AA989">
        <f>IF([2]Entry!$G$992="","",[2]Entry!$G$992)</f>
        <v/>
      </c>
      <c r="AB989">
        <f>IF([2]Entry!$J$992="","",[2]Entry!$J$992)</f>
        <v/>
      </c>
      <c r="AC989">
        <f>IF([2]Entry!$K$992="","",[2]Entry!$K$992)</f>
        <v/>
      </c>
      <c r="AD989">
        <f>IF([2]Entry!$L$992="","",[2]Entry!$L$992)</f>
        <v/>
      </c>
      <c r="AE989">
        <f>IF([2]Entry!$M$992="","",[2]Entry!$M$992)</f>
        <v/>
      </c>
      <c r="AF989">
        <f>IF([2]Entry!$N$992="","",[2]Entry!$N$992)</f>
        <v/>
      </c>
      <c r="AJ989">
        <f>IF([2]Entry!$S$992="","",[2]Entry!$S$992)</f>
        <v/>
      </c>
      <c r="AK989">
        <f>IF([2]Entry!$C$992="","",[2]Entry!$C$992)</f>
        <v/>
      </c>
      <c r="AL989">
        <f>IF([2]Entry!$D$992="","",[2]Entry!$D$992)</f>
        <v/>
      </c>
      <c r="AX989">
        <f>IF([4]Entry!$E$992="","",[4]Entry!$E$992)</f>
        <v/>
      </c>
      <c r="AY989">
        <f>IF([4]Entry!$H$992="","",[4]Entry!$H$992)</f>
        <v/>
      </c>
      <c r="AZ989">
        <f>IF([4]Entry!$I$992="","",[4]Entry!$I$992)</f>
        <v/>
      </c>
    </row>
    <row r="990">
      <c r="Z990">
        <f>IF([2]Entry!$E$993="","",[2]Entry!$E$993)</f>
        <v/>
      </c>
      <c r="AA990">
        <f>IF([2]Entry!$G$993="","",[2]Entry!$G$993)</f>
        <v/>
      </c>
      <c r="AB990">
        <f>IF([2]Entry!$J$993="","",[2]Entry!$J$993)</f>
        <v/>
      </c>
      <c r="AC990">
        <f>IF([2]Entry!$K$993="","",[2]Entry!$K$993)</f>
        <v/>
      </c>
      <c r="AD990">
        <f>IF([2]Entry!$L$993="","",[2]Entry!$L$993)</f>
        <v/>
      </c>
      <c r="AE990">
        <f>IF([2]Entry!$M$993="","",[2]Entry!$M$993)</f>
        <v/>
      </c>
      <c r="AF990">
        <f>IF([2]Entry!$N$993="","",[2]Entry!$N$993)</f>
        <v/>
      </c>
      <c r="AJ990">
        <f>IF([2]Entry!$S$993="","",[2]Entry!$S$993)</f>
        <v/>
      </c>
      <c r="AK990">
        <f>IF([2]Entry!$C$993="","",[2]Entry!$C$993)</f>
        <v/>
      </c>
      <c r="AL990">
        <f>IF([2]Entry!$D$993="","",[2]Entry!$D$993)</f>
        <v/>
      </c>
      <c r="AX990">
        <f>IF([4]Entry!$E$993="","",[4]Entry!$E$993)</f>
        <v/>
      </c>
      <c r="AY990">
        <f>IF([4]Entry!$H$993="","",[4]Entry!$H$993)</f>
        <v/>
      </c>
      <c r="AZ990">
        <f>IF([4]Entry!$I$993="","",[4]Entry!$I$993)</f>
        <v/>
      </c>
    </row>
    <row r="991">
      <c r="Z991">
        <f>IF([2]Entry!$E$994="","",[2]Entry!$E$994)</f>
        <v/>
      </c>
      <c r="AA991">
        <f>IF([2]Entry!$G$994="","",[2]Entry!$G$994)</f>
        <v/>
      </c>
      <c r="AB991">
        <f>IF([2]Entry!$J$994="","",[2]Entry!$J$994)</f>
        <v/>
      </c>
      <c r="AC991">
        <f>IF([2]Entry!$K$994="","",[2]Entry!$K$994)</f>
        <v/>
      </c>
      <c r="AD991">
        <f>IF([2]Entry!$L$994="","",[2]Entry!$L$994)</f>
        <v/>
      </c>
      <c r="AE991">
        <f>IF([2]Entry!$M$994="","",[2]Entry!$M$994)</f>
        <v/>
      </c>
      <c r="AF991">
        <f>IF([2]Entry!$N$994="","",[2]Entry!$N$994)</f>
        <v/>
      </c>
      <c r="AJ991">
        <f>IF([2]Entry!$S$994="","",[2]Entry!$S$994)</f>
        <v/>
      </c>
      <c r="AK991">
        <f>IF([2]Entry!$C$994="","",[2]Entry!$C$994)</f>
        <v/>
      </c>
      <c r="AL991">
        <f>IF([2]Entry!$D$994="","",[2]Entry!$D$994)</f>
        <v/>
      </c>
      <c r="AX991">
        <f>IF([4]Entry!$E$994="","",[4]Entry!$E$994)</f>
        <v/>
      </c>
      <c r="AY991">
        <f>IF([4]Entry!$H$994="","",[4]Entry!$H$994)</f>
        <v/>
      </c>
      <c r="AZ991">
        <f>IF([4]Entry!$I$994="","",[4]Entry!$I$994)</f>
        <v/>
      </c>
    </row>
    <row r="992">
      <c r="Z992">
        <f>IF([2]Entry!$E$995="","",[2]Entry!$E$995)</f>
        <v/>
      </c>
      <c r="AA992">
        <f>IF([2]Entry!$G$995="","",[2]Entry!$G$995)</f>
        <v/>
      </c>
      <c r="AB992">
        <f>IF([2]Entry!$J$995="","",[2]Entry!$J$995)</f>
        <v/>
      </c>
      <c r="AC992">
        <f>IF([2]Entry!$K$995="","",[2]Entry!$K$995)</f>
        <v/>
      </c>
      <c r="AD992">
        <f>IF([2]Entry!$L$995="","",[2]Entry!$L$995)</f>
        <v/>
      </c>
      <c r="AE992">
        <f>IF([2]Entry!$M$995="","",[2]Entry!$M$995)</f>
        <v/>
      </c>
      <c r="AF992">
        <f>IF([2]Entry!$N$995="","",[2]Entry!$N$995)</f>
        <v/>
      </c>
      <c r="AJ992">
        <f>IF([2]Entry!$S$995="","",[2]Entry!$S$995)</f>
        <v/>
      </c>
      <c r="AK992">
        <f>IF([2]Entry!$C$995="","",[2]Entry!$C$995)</f>
        <v/>
      </c>
      <c r="AL992">
        <f>IF([2]Entry!$D$995="","",[2]Entry!$D$995)</f>
        <v/>
      </c>
      <c r="AX992">
        <f>IF([4]Entry!$E$995="","",[4]Entry!$E$995)</f>
        <v/>
      </c>
      <c r="AY992">
        <f>IF([4]Entry!$H$995="","",[4]Entry!$H$995)</f>
        <v/>
      </c>
      <c r="AZ992">
        <f>IF([4]Entry!$I$995="","",[4]Entry!$I$995)</f>
        <v/>
      </c>
    </row>
    <row r="993">
      <c r="Z993">
        <f>IF([2]Entry!$E$996="","",[2]Entry!$E$996)</f>
        <v/>
      </c>
      <c r="AA993">
        <f>IF([2]Entry!$G$996="","",[2]Entry!$G$996)</f>
        <v/>
      </c>
      <c r="AB993">
        <f>IF([2]Entry!$J$996="","",[2]Entry!$J$996)</f>
        <v/>
      </c>
      <c r="AC993">
        <f>IF([2]Entry!$K$996="","",[2]Entry!$K$996)</f>
        <v/>
      </c>
      <c r="AD993">
        <f>IF([2]Entry!$L$996="","",[2]Entry!$L$996)</f>
        <v/>
      </c>
      <c r="AE993">
        <f>IF([2]Entry!$M$996="","",[2]Entry!$M$996)</f>
        <v/>
      </c>
      <c r="AF993">
        <f>IF([2]Entry!$N$996="","",[2]Entry!$N$996)</f>
        <v/>
      </c>
      <c r="AJ993">
        <f>IF([2]Entry!$S$996="","",[2]Entry!$S$996)</f>
        <v/>
      </c>
      <c r="AK993">
        <f>IF([2]Entry!$C$996="","",[2]Entry!$C$996)</f>
        <v/>
      </c>
      <c r="AL993">
        <f>IF([2]Entry!$D$996="","",[2]Entry!$D$996)</f>
        <v/>
      </c>
      <c r="AX993">
        <f>IF([4]Entry!$E$996="","",[4]Entry!$E$996)</f>
        <v/>
      </c>
      <c r="AY993">
        <f>IF([4]Entry!$H$996="","",[4]Entry!$H$996)</f>
        <v/>
      </c>
      <c r="AZ993">
        <f>IF([4]Entry!$I$996="","",[4]Entry!$I$996)</f>
        <v/>
      </c>
    </row>
    <row r="994">
      <c r="Z994">
        <f>IF([2]Entry!$E$997="","",[2]Entry!$E$997)</f>
        <v/>
      </c>
      <c r="AA994">
        <f>IF([2]Entry!$G$997="","",[2]Entry!$G$997)</f>
        <v/>
      </c>
      <c r="AB994">
        <f>IF([2]Entry!$J$997="","",[2]Entry!$J$997)</f>
        <v/>
      </c>
      <c r="AC994">
        <f>IF([2]Entry!$K$997="","",[2]Entry!$K$997)</f>
        <v/>
      </c>
      <c r="AD994">
        <f>IF([2]Entry!$L$997="","",[2]Entry!$L$997)</f>
        <v/>
      </c>
      <c r="AE994">
        <f>IF([2]Entry!$M$997="","",[2]Entry!$M$997)</f>
        <v/>
      </c>
      <c r="AF994">
        <f>IF([2]Entry!$N$997="","",[2]Entry!$N$997)</f>
        <v/>
      </c>
      <c r="AJ994">
        <f>IF([2]Entry!$S$997="","",[2]Entry!$S$997)</f>
        <v/>
      </c>
      <c r="AK994">
        <f>IF([2]Entry!$C$997="","",[2]Entry!$C$997)</f>
        <v/>
      </c>
      <c r="AL994">
        <f>IF([2]Entry!$D$997="","",[2]Entry!$D$997)</f>
        <v/>
      </c>
      <c r="AX994">
        <f>IF([4]Entry!$E$997="","",[4]Entry!$E$997)</f>
        <v/>
      </c>
      <c r="AY994">
        <f>IF([4]Entry!$H$997="","",[4]Entry!$H$997)</f>
        <v/>
      </c>
      <c r="AZ994">
        <f>IF([4]Entry!$I$997="","",[4]Entry!$I$997)</f>
        <v/>
      </c>
    </row>
    <row r="995">
      <c r="Z995">
        <f>IF([2]Entry!$E$998="","",[2]Entry!$E$998)</f>
        <v/>
      </c>
      <c r="AA995">
        <f>IF([2]Entry!$G$998="","",[2]Entry!$G$998)</f>
        <v/>
      </c>
      <c r="AB995">
        <f>IF([2]Entry!$J$998="","",[2]Entry!$J$998)</f>
        <v/>
      </c>
      <c r="AC995">
        <f>IF([2]Entry!$K$998="","",[2]Entry!$K$998)</f>
        <v/>
      </c>
      <c r="AD995">
        <f>IF([2]Entry!$L$998="","",[2]Entry!$L$998)</f>
        <v/>
      </c>
      <c r="AE995">
        <f>IF([2]Entry!$M$998="","",[2]Entry!$M$998)</f>
        <v/>
      </c>
      <c r="AF995">
        <f>IF([2]Entry!$N$998="","",[2]Entry!$N$998)</f>
        <v/>
      </c>
      <c r="AJ995">
        <f>IF([2]Entry!$S$998="","",[2]Entry!$S$998)</f>
        <v/>
      </c>
      <c r="AK995">
        <f>IF([2]Entry!$C$998="","",[2]Entry!$C$998)</f>
        <v/>
      </c>
      <c r="AL995">
        <f>IF([2]Entry!$D$998="","",[2]Entry!$D$998)</f>
        <v/>
      </c>
      <c r="AX995">
        <f>IF([4]Entry!$E$998="","",[4]Entry!$E$998)</f>
        <v/>
      </c>
      <c r="AY995">
        <f>IF([4]Entry!$H$998="","",[4]Entry!$H$998)</f>
        <v/>
      </c>
      <c r="AZ995">
        <f>IF([4]Entry!$I$998="","",[4]Entry!$I$998)</f>
        <v/>
      </c>
    </row>
    <row r="996">
      <c r="Z996">
        <f>IF([2]Entry!$E$999="","",[2]Entry!$E$999)</f>
        <v/>
      </c>
      <c r="AA996">
        <f>IF([2]Entry!$G$999="","",[2]Entry!$G$999)</f>
        <v/>
      </c>
      <c r="AB996">
        <f>IF([2]Entry!$J$999="","",[2]Entry!$J$999)</f>
        <v/>
      </c>
      <c r="AC996">
        <f>IF([2]Entry!$K$999="","",[2]Entry!$K$999)</f>
        <v/>
      </c>
      <c r="AD996">
        <f>IF([2]Entry!$L$999="","",[2]Entry!$L$999)</f>
        <v/>
      </c>
      <c r="AE996">
        <f>IF([2]Entry!$M$999="","",[2]Entry!$M$999)</f>
        <v/>
      </c>
      <c r="AF996">
        <f>IF([2]Entry!$N$999="","",[2]Entry!$N$999)</f>
        <v/>
      </c>
      <c r="AJ996">
        <f>IF([2]Entry!$S$999="","",[2]Entry!$S$999)</f>
        <v/>
      </c>
      <c r="AK996">
        <f>IF([2]Entry!$C$999="","",[2]Entry!$C$999)</f>
        <v/>
      </c>
      <c r="AL996">
        <f>IF([2]Entry!$D$999="","",[2]Entry!$D$999)</f>
        <v/>
      </c>
      <c r="AX996">
        <f>IF([4]Entry!$E$999="","",[4]Entry!$E$999)</f>
        <v/>
      </c>
      <c r="AY996">
        <f>IF([4]Entry!$H$999="","",[4]Entry!$H$999)</f>
        <v/>
      </c>
      <c r="AZ996">
        <f>IF([4]Entry!$I$999="","",[4]Entry!$I$999)</f>
        <v/>
      </c>
    </row>
    <row r="997">
      <c r="Z997">
        <f>IF([2]Entry!$E$1000="","",[2]Entry!$E$1000)</f>
        <v/>
      </c>
      <c r="AA997">
        <f>IF([2]Entry!$G$1000="","",[2]Entry!$G$1000)</f>
        <v/>
      </c>
      <c r="AB997">
        <f>IF([2]Entry!$J$1000="","",[2]Entry!$J$1000)</f>
        <v/>
      </c>
      <c r="AC997">
        <f>IF([2]Entry!$K$1000="","",[2]Entry!$K$1000)</f>
        <v/>
      </c>
      <c r="AD997">
        <f>IF([2]Entry!$L$1000="","",[2]Entry!$L$1000)</f>
        <v/>
      </c>
      <c r="AE997">
        <f>IF([2]Entry!$M$1000="","",[2]Entry!$M$1000)</f>
        <v/>
      </c>
      <c r="AF997">
        <f>IF([2]Entry!$N$1000="","",[2]Entry!$N$1000)</f>
        <v/>
      </c>
      <c r="AJ997">
        <f>IF([2]Entry!$S$1000="","",[2]Entry!$S$1000)</f>
        <v/>
      </c>
      <c r="AK997">
        <f>IF([2]Entry!$C$1000="","",[2]Entry!$C$1000)</f>
        <v/>
      </c>
      <c r="AL997">
        <f>IF([2]Entry!$D$1000="","",[2]Entry!$D$1000)</f>
        <v/>
      </c>
      <c r="AX997">
        <f>IF([4]Entry!$E$1000="","",[4]Entry!$E$1000)</f>
        <v/>
      </c>
      <c r="AY997">
        <f>IF([4]Entry!$H$1000="","",[4]Entry!$H$1000)</f>
        <v/>
      </c>
      <c r="AZ997">
        <f>IF([4]Entry!$I$1000="","",[4]Entry!$I$1000)</f>
        <v/>
      </c>
    </row>
    <row r="998">
      <c r="Z998">
        <f>IF([2]Entry!$E$1001="","",[2]Entry!$E$1001)</f>
        <v/>
      </c>
      <c r="AA998">
        <f>IF([2]Entry!$G$1001="","",[2]Entry!$G$1001)</f>
        <v/>
      </c>
      <c r="AB998">
        <f>IF([2]Entry!$J$1001="","",[2]Entry!$J$1001)</f>
        <v/>
      </c>
      <c r="AC998">
        <f>IF([2]Entry!$K$1001="","",[2]Entry!$K$1001)</f>
        <v/>
      </c>
      <c r="AD998">
        <f>IF([2]Entry!$L$1001="","",[2]Entry!$L$1001)</f>
        <v/>
      </c>
      <c r="AE998">
        <f>IF([2]Entry!$M$1001="","",[2]Entry!$M$1001)</f>
        <v/>
      </c>
      <c r="AF998">
        <f>IF([2]Entry!$N$1001="","",[2]Entry!$N$1001)</f>
        <v/>
      </c>
      <c r="AJ998">
        <f>IF([2]Entry!$S$1001="","",[2]Entry!$S$1001)</f>
        <v/>
      </c>
      <c r="AK998">
        <f>IF([2]Entry!$C$1001="","",[2]Entry!$C$1001)</f>
        <v/>
      </c>
      <c r="AL998">
        <f>IF([2]Entry!$D$1001="","",[2]Entry!$D$1001)</f>
        <v/>
      </c>
      <c r="AX998">
        <f>IF([4]Entry!$E$1001="","",[4]Entry!$E$1001)</f>
        <v/>
      </c>
      <c r="AY998">
        <f>IF([4]Entry!$H$1001="","",[4]Entry!$H$1001)</f>
        <v/>
      </c>
      <c r="AZ998">
        <f>IF([4]Entry!$I$1001="","",[4]Entry!$I$1001)</f>
        <v/>
      </c>
    </row>
    <row r="999">
      <c r="Z999">
        <f>IF([2]Entry!$E$1002="","",[2]Entry!$E$1002)</f>
        <v/>
      </c>
      <c r="AA999">
        <f>IF([2]Entry!$G$1002="","",[2]Entry!$G$1002)</f>
        <v/>
      </c>
      <c r="AB999">
        <f>IF([2]Entry!$J$1002="","",[2]Entry!$J$1002)</f>
        <v/>
      </c>
      <c r="AC999">
        <f>IF([2]Entry!$K$1002="","",[2]Entry!$K$1002)</f>
        <v/>
      </c>
      <c r="AD999">
        <f>IF([2]Entry!$L$1002="","",[2]Entry!$L$1002)</f>
        <v/>
      </c>
      <c r="AE999">
        <f>IF([2]Entry!$M$1002="","",[2]Entry!$M$1002)</f>
        <v/>
      </c>
      <c r="AF999">
        <f>IF([2]Entry!$N$1002="","",[2]Entry!$N$1002)</f>
        <v/>
      </c>
      <c r="AJ999">
        <f>IF([2]Entry!$S$1002="","",[2]Entry!$S$1002)</f>
        <v/>
      </c>
      <c r="AK999">
        <f>IF([2]Entry!$C$1002="","",[2]Entry!$C$1002)</f>
        <v/>
      </c>
      <c r="AL999">
        <f>IF([2]Entry!$D$1002="","",[2]Entry!$D$1002)</f>
        <v/>
      </c>
      <c r="AX999">
        <f>IF([4]Entry!$E$1002="","",[4]Entry!$E$1002)</f>
        <v/>
      </c>
      <c r="AY999">
        <f>IF([4]Entry!$H$1002="","",[4]Entry!$H$1002)</f>
        <v/>
      </c>
      <c r="AZ999">
        <f>IF([4]Entry!$I$1002="","",[4]Entry!$I$1002)</f>
        <v/>
      </c>
    </row>
    <row r="1000">
      <c r="Z1000">
        <f>IF([2]Entry!$E$1003="","",[2]Entry!$E$1003)</f>
        <v/>
      </c>
      <c r="AA1000">
        <f>IF([2]Entry!$G$1003="","",[2]Entry!$G$1003)</f>
        <v/>
      </c>
      <c r="AB1000">
        <f>IF([2]Entry!$J$1003="","",[2]Entry!$J$1003)</f>
        <v/>
      </c>
      <c r="AC1000">
        <f>IF([2]Entry!$K$1003="","",[2]Entry!$K$1003)</f>
        <v/>
      </c>
      <c r="AD1000">
        <f>IF([2]Entry!$L$1003="","",[2]Entry!$L$1003)</f>
        <v/>
      </c>
      <c r="AE1000">
        <f>IF([2]Entry!$M$1003="","",[2]Entry!$M$1003)</f>
        <v/>
      </c>
      <c r="AF1000">
        <f>IF([2]Entry!$N$1003="","",[2]Entry!$N$1003)</f>
        <v/>
      </c>
      <c r="AJ1000">
        <f>IF([2]Entry!$S$1003="","",[2]Entry!$S$1003)</f>
        <v/>
      </c>
      <c r="AK1000">
        <f>IF([2]Entry!$C$1003="","",[2]Entry!$C$1003)</f>
        <v/>
      </c>
      <c r="AL1000">
        <f>IF([2]Entry!$D$1003="","",[2]Entry!$D$1003)</f>
        <v/>
      </c>
      <c r="AX1000">
        <f>IF([4]Entry!$E$1003="","",[4]Entry!$E$1003)</f>
        <v/>
      </c>
      <c r="AY1000">
        <f>IF([4]Entry!$H$1003="","",[4]Entry!$H$1003)</f>
        <v/>
      </c>
      <c r="AZ1000">
        <f>IF([4]Entry!$I$1003="","",[4]Entry!$I$1003)</f>
        <v/>
      </c>
    </row>
    <row r="1001">
      <c r="Z1001">
        <f>IF([2]Entry!$E$1004="","",[2]Entry!$E$1004)</f>
        <v/>
      </c>
      <c r="AA1001">
        <f>IF([2]Entry!$G$1004="","",[2]Entry!$G$1004)</f>
        <v/>
      </c>
      <c r="AB1001">
        <f>IF([2]Entry!$J$1004="","",[2]Entry!$J$1004)</f>
        <v/>
      </c>
      <c r="AC1001">
        <f>IF([2]Entry!$K$1004="","",[2]Entry!$K$1004)</f>
        <v/>
      </c>
      <c r="AD1001">
        <f>IF([2]Entry!$L$1004="","",[2]Entry!$L$1004)</f>
        <v/>
      </c>
      <c r="AE1001">
        <f>IF([2]Entry!$M$1004="","",[2]Entry!$M$1004)</f>
        <v/>
      </c>
      <c r="AF1001">
        <f>IF([2]Entry!$N$1004="","",[2]Entry!$N$1004)</f>
        <v/>
      </c>
      <c r="AJ1001">
        <f>IF([2]Entry!$S$1004="","",[2]Entry!$S$1004)</f>
        <v/>
      </c>
      <c r="AK1001">
        <f>IF([2]Entry!$C$1004="","",[2]Entry!$C$1004)</f>
        <v/>
      </c>
      <c r="AL1001">
        <f>IF([2]Entry!$D$1004="","",[2]Entry!$D$1004)</f>
        <v/>
      </c>
      <c r="AX1001">
        <f>IF([4]Entry!$E$1004="","",[4]Entry!$E$1004)</f>
        <v/>
      </c>
      <c r="AY1001">
        <f>IF([4]Entry!$H$1004="","",[4]Entry!$H$1004)</f>
        <v/>
      </c>
      <c r="AZ1001">
        <f>IF([4]Entry!$I$1004="","",[4]Entry!$I$1004)</f>
        <v/>
      </c>
    </row>
    <row r="1002">
      <c r="Z1002">
        <f>IF([2]Entry!$E$1005="","",[2]Entry!$E$1005)</f>
        <v/>
      </c>
      <c r="AA1002">
        <f>IF([2]Entry!$G$1005="","",[2]Entry!$G$1005)</f>
        <v/>
      </c>
      <c r="AB1002">
        <f>IF([2]Entry!$J$1005="","",[2]Entry!$J$1005)</f>
        <v/>
      </c>
      <c r="AC1002">
        <f>IF([2]Entry!$K$1005="","",[2]Entry!$K$1005)</f>
        <v/>
      </c>
      <c r="AD1002">
        <f>IF([2]Entry!$L$1005="","",[2]Entry!$L$1005)</f>
        <v/>
      </c>
      <c r="AE1002">
        <f>IF([2]Entry!$M$1005="","",[2]Entry!$M$1005)</f>
        <v/>
      </c>
      <c r="AF1002">
        <f>IF([2]Entry!$N$1005="","",[2]Entry!$N$1005)</f>
        <v/>
      </c>
      <c r="AJ1002">
        <f>IF([2]Entry!$S$1005="","",[2]Entry!$S$1005)</f>
        <v/>
      </c>
      <c r="AK1002">
        <f>IF([2]Entry!$C$1005="","",[2]Entry!$C$1005)</f>
        <v/>
      </c>
      <c r="AL1002">
        <f>IF([2]Entry!$D$1005="","",[2]Entry!$D$1005)</f>
        <v/>
      </c>
      <c r="AX1002">
        <f>IF([4]Entry!$E$1005="","",[4]Entry!$E$1005)</f>
        <v/>
      </c>
      <c r="AY1002">
        <f>IF([4]Entry!$H$1005="","",[4]Entry!$H$1005)</f>
        <v/>
      </c>
      <c r="AZ1002">
        <f>IF([4]Entry!$I$1005="","",[4]Entry!$I$1005)</f>
        <v/>
      </c>
    </row>
    <row r="1003">
      <c r="Z1003">
        <f>IF([2]Entry!$E$1006="","",[2]Entry!$E$1006)</f>
        <v/>
      </c>
      <c r="AA1003">
        <f>IF([2]Entry!$G$1006="","",[2]Entry!$G$1006)</f>
        <v/>
      </c>
      <c r="AB1003">
        <f>IF([2]Entry!$J$1006="","",[2]Entry!$J$1006)</f>
        <v/>
      </c>
      <c r="AC1003">
        <f>IF([2]Entry!$K$1006="","",[2]Entry!$K$1006)</f>
        <v/>
      </c>
      <c r="AD1003">
        <f>IF([2]Entry!$L$1006="","",[2]Entry!$L$1006)</f>
        <v/>
      </c>
      <c r="AE1003">
        <f>IF([2]Entry!$M$1006="","",[2]Entry!$M$1006)</f>
        <v/>
      </c>
      <c r="AF1003">
        <f>IF([2]Entry!$N$1006="","",[2]Entry!$N$1006)</f>
        <v/>
      </c>
      <c r="AJ1003">
        <f>IF([2]Entry!$S$1006="","",[2]Entry!$S$1006)</f>
        <v/>
      </c>
      <c r="AK1003">
        <f>IF([2]Entry!$C$1006="","",[2]Entry!$C$1006)</f>
        <v/>
      </c>
      <c r="AL1003">
        <f>IF([2]Entry!$D$1006="","",[2]Entry!$D$1006)</f>
        <v/>
      </c>
      <c r="AX1003">
        <f>IF([4]Entry!$E$1006="","",[4]Entry!$E$1006)</f>
        <v/>
      </c>
      <c r="AY1003">
        <f>IF([4]Entry!$H$1006="","",[4]Entry!$H$1006)</f>
        <v/>
      </c>
      <c r="AZ1003">
        <f>IF([4]Entry!$I$1006="","",[4]Entry!$I$1006)</f>
        <v/>
      </c>
    </row>
    <row r="1004">
      <c r="Z1004">
        <f>IF([2]Entry!$E$1007="","",[2]Entry!$E$1007)</f>
        <v/>
      </c>
      <c r="AA1004">
        <f>IF([2]Entry!$G$1007="","",[2]Entry!$G$1007)</f>
        <v/>
      </c>
      <c r="AB1004">
        <f>IF([2]Entry!$J$1007="","",[2]Entry!$J$1007)</f>
        <v/>
      </c>
      <c r="AC1004">
        <f>IF([2]Entry!$K$1007="","",[2]Entry!$K$1007)</f>
        <v/>
      </c>
      <c r="AD1004">
        <f>IF([2]Entry!$L$1007="","",[2]Entry!$L$1007)</f>
        <v/>
      </c>
      <c r="AE1004">
        <f>IF([2]Entry!$M$1007="","",[2]Entry!$M$1007)</f>
        <v/>
      </c>
      <c r="AF1004">
        <f>IF([2]Entry!$N$1007="","",[2]Entry!$N$1007)</f>
        <v/>
      </c>
      <c r="AJ1004">
        <f>IF([2]Entry!$S$1007="","",[2]Entry!$S$1007)</f>
        <v/>
      </c>
      <c r="AK1004">
        <f>IF([2]Entry!$C$1007="","",[2]Entry!$C$1007)</f>
        <v/>
      </c>
      <c r="AL1004">
        <f>IF([2]Entry!$D$1007="","",[2]Entry!$D$1007)</f>
        <v/>
      </c>
      <c r="AX1004">
        <f>IF([4]Entry!$E$1007="","",[4]Entry!$E$1007)</f>
        <v/>
      </c>
      <c r="AY1004">
        <f>IF([4]Entry!$H$1007="","",[4]Entry!$H$1007)</f>
        <v/>
      </c>
      <c r="AZ1004">
        <f>IF([4]Entry!$I$1007="","",[4]Entry!$I$1007)</f>
        <v/>
      </c>
    </row>
    <row r="1005">
      <c r="Z1005">
        <f>IF([2]Entry!$E$1008="","",[2]Entry!$E$1008)</f>
        <v/>
      </c>
      <c r="AA1005">
        <f>IF([2]Entry!$G$1008="","",[2]Entry!$G$1008)</f>
        <v/>
      </c>
      <c r="AB1005">
        <f>IF([2]Entry!$J$1008="","",[2]Entry!$J$1008)</f>
        <v/>
      </c>
      <c r="AC1005">
        <f>IF([2]Entry!$K$1008="","",[2]Entry!$K$1008)</f>
        <v/>
      </c>
      <c r="AD1005">
        <f>IF([2]Entry!$L$1008="","",[2]Entry!$L$1008)</f>
        <v/>
      </c>
      <c r="AE1005">
        <f>IF([2]Entry!$M$1008="","",[2]Entry!$M$1008)</f>
        <v/>
      </c>
      <c r="AF1005">
        <f>IF([2]Entry!$N$1008="","",[2]Entry!$N$1008)</f>
        <v/>
      </c>
      <c r="AJ1005">
        <f>IF([2]Entry!$S$1008="","",[2]Entry!$S$1008)</f>
        <v/>
      </c>
      <c r="AK1005">
        <f>IF([2]Entry!$C$1008="","",[2]Entry!$C$1008)</f>
        <v/>
      </c>
      <c r="AL1005">
        <f>IF([2]Entry!$D$1008="","",[2]Entry!$D$1008)</f>
        <v/>
      </c>
      <c r="AX1005">
        <f>IF([4]Entry!$E$1008="","",[4]Entry!$E$1008)</f>
        <v/>
      </c>
      <c r="AY1005">
        <f>IF([4]Entry!$H$1008="","",[4]Entry!$H$1008)</f>
        <v/>
      </c>
      <c r="AZ1005">
        <f>IF([4]Entry!$I$1008="","",[4]Entry!$I$1008)</f>
        <v/>
      </c>
    </row>
    <row r="1006">
      <c r="Z1006">
        <f>IF([2]Entry!$E$1009="","",[2]Entry!$E$1009)</f>
        <v/>
      </c>
      <c r="AA1006">
        <f>IF([2]Entry!$G$1009="","",[2]Entry!$G$1009)</f>
        <v/>
      </c>
      <c r="AB1006">
        <f>IF([2]Entry!$J$1009="","",[2]Entry!$J$1009)</f>
        <v/>
      </c>
      <c r="AC1006">
        <f>IF([2]Entry!$K$1009="","",[2]Entry!$K$1009)</f>
        <v/>
      </c>
      <c r="AD1006">
        <f>IF([2]Entry!$L$1009="","",[2]Entry!$L$1009)</f>
        <v/>
      </c>
      <c r="AE1006">
        <f>IF([2]Entry!$M$1009="","",[2]Entry!$M$1009)</f>
        <v/>
      </c>
      <c r="AF1006">
        <f>IF([2]Entry!$N$1009="","",[2]Entry!$N$1009)</f>
        <v/>
      </c>
      <c r="AJ1006">
        <f>IF([2]Entry!$S$1009="","",[2]Entry!$S$1009)</f>
        <v/>
      </c>
      <c r="AK1006">
        <f>IF([2]Entry!$C$1009="","",[2]Entry!$C$1009)</f>
        <v/>
      </c>
      <c r="AL1006">
        <f>IF([2]Entry!$D$1009="","",[2]Entry!$D$1009)</f>
        <v/>
      </c>
    </row>
    <row r="1007">
      <c r="Z1007">
        <f>IF([2]Entry!$E$1010="","",[2]Entry!$E$1010)</f>
        <v/>
      </c>
      <c r="AA1007">
        <f>IF([2]Entry!$G$1010="","",[2]Entry!$G$1010)</f>
        <v/>
      </c>
      <c r="AB1007">
        <f>IF([2]Entry!$J$1010="","",[2]Entry!$J$1010)</f>
        <v/>
      </c>
      <c r="AC1007">
        <f>IF([2]Entry!$K$1010="","",[2]Entry!$K$1010)</f>
        <v/>
      </c>
      <c r="AD1007">
        <f>IF([2]Entry!$L$1010="","",[2]Entry!$L$1010)</f>
        <v/>
      </c>
      <c r="AE1007">
        <f>IF([2]Entry!$M$1010="","",[2]Entry!$M$1010)</f>
        <v/>
      </c>
      <c r="AF1007">
        <f>IF([2]Entry!$N$1010="","",[2]Entry!$N$1010)</f>
        <v/>
      </c>
      <c r="AJ1007">
        <f>IF([2]Entry!$S$1010="","",[2]Entry!$S$1010)</f>
        <v/>
      </c>
      <c r="AK1007">
        <f>IF([2]Entry!$C$1010="","",[2]Entry!$C$1010)</f>
        <v/>
      </c>
      <c r="AL1007">
        <f>IF([2]Entry!$D$1010="","",[2]Entry!$D$1010)</f>
        <v/>
      </c>
    </row>
    <row r="1008">
      <c r="Z1008">
        <f>IF([2]Entry!$E$1011="","",[2]Entry!$E$1011)</f>
        <v/>
      </c>
      <c r="AA1008">
        <f>IF([2]Entry!$G$1011="","",[2]Entry!$G$1011)</f>
        <v/>
      </c>
      <c r="AB1008">
        <f>IF([2]Entry!$J$1011="","",[2]Entry!$J$1011)</f>
        <v/>
      </c>
      <c r="AC1008">
        <f>IF([2]Entry!$K$1011="","",[2]Entry!$K$1011)</f>
        <v/>
      </c>
      <c r="AD1008">
        <f>IF([2]Entry!$L$1011="","",[2]Entry!$L$1011)</f>
        <v/>
      </c>
      <c r="AE1008">
        <f>IF([2]Entry!$M$1011="","",[2]Entry!$M$1011)</f>
        <v/>
      </c>
      <c r="AF1008">
        <f>IF([2]Entry!$N$1011="","",[2]Entry!$N$1011)</f>
        <v/>
      </c>
      <c r="AJ1008">
        <f>IF([2]Entry!$S$1011="","",[2]Entry!$S$1011)</f>
        <v/>
      </c>
      <c r="AK1008">
        <f>IF([2]Entry!$C$1011="","",[2]Entry!$C$1011)</f>
        <v/>
      </c>
      <c r="AL1008">
        <f>IF([2]Entry!$D$1011="","",[2]Entry!$D$1011)</f>
        <v/>
      </c>
    </row>
    <row r="1009">
      <c r="Z1009">
        <f>IF([2]Entry!$E$1012="","",[2]Entry!$E$1012)</f>
        <v/>
      </c>
      <c r="AA1009">
        <f>IF([2]Entry!$G$1012="","",[2]Entry!$G$1012)</f>
        <v/>
      </c>
      <c r="AB1009">
        <f>IF([2]Entry!$J$1012="","",[2]Entry!$J$1012)</f>
        <v/>
      </c>
      <c r="AC1009">
        <f>IF([2]Entry!$K$1012="","",[2]Entry!$K$1012)</f>
        <v/>
      </c>
      <c r="AD1009">
        <f>IF([2]Entry!$L$1012="","",[2]Entry!$L$1012)</f>
        <v/>
      </c>
      <c r="AE1009">
        <f>IF([2]Entry!$M$1012="","",[2]Entry!$M$1012)</f>
        <v/>
      </c>
      <c r="AF1009">
        <f>IF([2]Entry!$N$1012="","",[2]Entry!$N$1012)</f>
        <v/>
      </c>
      <c r="AJ1009">
        <f>IF([2]Entry!$S$1012="","",[2]Entry!$S$1012)</f>
        <v/>
      </c>
      <c r="AK1009">
        <f>IF([2]Entry!$C$1012="","",[2]Entry!$C$1012)</f>
        <v/>
      </c>
      <c r="AL1009">
        <f>IF([2]Entry!$D$1012="","",[2]Entry!$D$1012)</f>
        <v/>
      </c>
    </row>
    <row r="1010">
      <c r="Z1010">
        <f>IF([2]Entry!$E$1013="","",[2]Entry!$E$1013)</f>
        <v/>
      </c>
      <c r="AA1010">
        <f>IF([2]Entry!$G$1013="","",[2]Entry!$G$1013)</f>
        <v/>
      </c>
      <c r="AB1010">
        <f>IF([2]Entry!$J$1013="","",[2]Entry!$J$1013)</f>
        <v/>
      </c>
      <c r="AC1010">
        <f>IF([2]Entry!$K$1013="","",[2]Entry!$K$1013)</f>
        <v/>
      </c>
      <c r="AD1010">
        <f>IF([2]Entry!$L$1013="","",[2]Entry!$L$1013)</f>
        <v/>
      </c>
      <c r="AE1010">
        <f>IF([2]Entry!$M$1013="","",[2]Entry!$M$1013)</f>
        <v/>
      </c>
      <c r="AF1010">
        <f>IF([2]Entry!$N$1013="","",[2]Entry!$N$1013)</f>
        <v/>
      </c>
      <c r="AJ1010">
        <f>IF([2]Entry!$S$1013="","",[2]Entry!$S$1013)</f>
        <v/>
      </c>
      <c r="AK1010">
        <f>IF([2]Entry!$C$1013="","",[2]Entry!$C$1013)</f>
        <v/>
      </c>
      <c r="AL1010">
        <f>IF([2]Entry!$D$1013="","",[2]Entry!$D$1013)</f>
        <v/>
      </c>
    </row>
    <row r="1011">
      <c r="Z1011">
        <f>IF([2]Entry!$E$1014="","",[2]Entry!$E$1014)</f>
        <v/>
      </c>
      <c r="AA1011">
        <f>IF([2]Entry!$G$1014="","",[2]Entry!$G$1014)</f>
        <v/>
      </c>
      <c r="AB1011">
        <f>IF([2]Entry!$J$1014="","",[2]Entry!$J$1014)</f>
        <v/>
      </c>
      <c r="AC1011">
        <f>IF([2]Entry!$K$1014="","",[2]Entry!$K$1014)</f>
        <v/>
      </c>
      <c r="AD1011">
        <f>IF([2]Entry!$L$1014="","",[2]Entry!$L$1014)</f>
        <v/>
      </c>
      <c r="AE1011">
        <f>IF([2]Entry!$M$1014="","",[2]Entry!$M$1014)</f>
        <v/>
      </c>
      <c r="AF1011">
        <f>IF([2]Entry!$N$1014="","",[2]Entry!$N$1014)</f>
        <v/>
      </c>
      <c r="AJ1011">
        <f>IF([2]Entry!$S$1014="","",[2]Entry!$S$1014)</f>
        <v/>
      </c>
      <c r="AK1011">
        <f>IF([2]Entry!$C$1014="","",[2]Entry!$C$1014)</f>
        <v/>
      </c>
      <c r="AL1011">
        <f>IF([2]Entry!$D$1014="","",[2]Entry!$D$1014)</f>
        <v/>
      </c>
    </row>
    <row r="1012">
      <c r="Z1012">
        <f>IF([2]Entry!$E$1015="","",[2]Entry!$E$1015)</f>
        <v/>
      </c>
      <c r="AA1012">
        <f>IF([2]Entry!$G$1015="","",[2]Entry!$G$1015)</f>
        <v/>
      </c>
      <c r="AB1012">
        <f>IF([2]Entry!$J$1015="","",[2]Entry!$J$1015)</f>
        <v/>
      </c>
      <c r="AC1012">
        <f>IF([2]Entry!$K$1015="","",[2]Entry!$K$1015)</f>
        <v/>
      </c>
      <c r="AD1012">
        <f>IF([2]Entry!$L$1015="","",[2]Entry!$L$1015)</f>
        <v/>
      </c>
      <c r="AE1012">
        <f>IF([2]Entry!$M$1015="","",[2]Entry!$M$1015)</f>
        <v/>
      </c>
      <c r="AF1012">
        <f>IF([2]Entry!$N$1015="","",[2]Entry!$N$1015)</f>
        <v/>
      </c>
      <c r="AJ1012">
        <f>IF([2]Entry!$S$1015="","",[2]Entry!$S$1015)</f>
        <v/>
      </c>
      <c r="AK1012">
        <f>IF([2]Entry!$C$1015="","",[2]Entry!$C$1015)</f>
        <v/>
      </c>
      <c r="AL1012">
        <f>IF([2]Entry!$D$1015="","",[2]Entry!$D$1015)</f>
        <v/>
      </c>
    </row>
    <row r="1013">
      <c r="Z1013">
        <f>IF([2]Entry!$E$1016="","",[2]Entry!$E$1016)</f>
        <v/>
      </c>
      <c r="AA1013">
        <f>IF([2]Entry!$G$1016="","",[2]Entry!$G$1016)</f>
        <v/>
      </c>
      <c r="AB1013">
        <f>IF([2]Entry!$J$1016="","",[2]Entry!$J$1016)</f>
        <v/>
      </c>
      <c r="AC1013">
        <f>IF([2]Entry!$K$1016="","",[2]Entry!$K$1016)</f>
        <v/>
      </c>
      <c r="AD1013">
        <f>IF([2]Entry!$L$1016="","",[2]Entry!$L$1016)</f>
        <v/>
      </c>
      <c r="AE1013">
        <f>IF([2]Entry!$M$1016="","",[2]Entry!$M$1016)</f>
        <v/>
      </c>
      <c r="AF1013">
        <f>IF([2]Entry!$N$1016="","",[2]Entry!$N$1016)</f>
        <v/>
      </c>
      <c r="AJ1013">
        <f>IF([2]Entry!$S$1016="","",[2]Entry!$S$1016)</f>
        <v/>
      </c>
      <c r="AK1013">
        <f>IF([2]Entry!$C$1016="","",[2]Entry!$C$1016)</f>
        <v/>
      </c>
      <c r="AL1013">
        <f>IF([2]Entry!$D$1016="","",[2]Entry!$D$1016)</f>
        <v/>
      </c>
    </row>
    <row r="1014">
      <c r="Z1014">
        <f>IF([2]Entry!$E$1017="","",[2]Entry!$E$1017)</f>
        <v/>
      </c>
      <c r="AA1014">
        <f>IF([2]Entry!$G$1017="","",[2]Entry!$G$1017)</f>
        <v/>
      </c>
      <c r="AB1014">
        <f>IF([2]Entry!$J$1017="","",[2]Entry!$J$1017)</f>
        <v/>
      </c>
      <c r="AC1014">
        <f>IF([2]Entry!$K$1017="","",[2]Entry!$K$1017)</f>
        <v/>
      </c>
      <c r="AD1014">
        <f>IF([2]Entry!$L$1017="","",[2]Entry!$L$1017)</f>
        <v/>
      </c>
      <c r="AE1014">
        <f>IF([2]Entry!$M$1017="","",[2]Entry!$M$1017)</f>
        <v/>
      </c>
      <c r="AF1014">
        <f>IF([2]Entry!$N$1017="","",[2]Entry!$N$1017)</f>
        <v/>
      </c>
      <c r="AJ1014">
        <f>IF([2]Entry!$S$1017="","",[2]Entry!$S$1017)</f>
        <v/>
      </c>
      <c r="AK1014">
        <f>IF([2]Entry!$C$1017="","",[2]Entry!$C$1017)</f>
        <v/>
      </c>
      <c r="AL1014">
        <f>IF([2]Entry!$D$1017="","",[2]Entry!$D$1017)</f>
        <v/>
      </c>
    </row>
    <row r="1015">
      <c r="Z1015">
        <f>IF([2]Entry!$E$1018="","",[2]Entry!$E$1018)</f>
        <v/>
      </c>
      <c r="AA1015">
        <f>IF([2]Entry!$G$1018="","",[2]Entry!$G$1018)</f>
        <v/>
      </c>
      <c r="AB1015">
        <f>IF([2]Entry!$J$1018="","",[2]Entry!$J$1018)</f>
        <v/>
      </c>
      <c r="AC1015">
        <f>IF([2]Entry!$K$1018="","",[2]Entry!$K$1018)</f>
        <v/>
      </c>
      <c r="AD1015">
        <f>IF([2]Entry!$L$1018="","",[2]Entry!$L$1018)</f>
        <v/>
      </c>
      <c r="AE1015">
        <f>IF([2]Entry!$M$1018="","",[2]Entry!$M$1018)</f>
        <v/>
      </c>
      <c r="AF1015">
        <f>IF([2]Entry!$N$1018="","",[2]Entry!$N$1018)</f>
        <v/>
      </c>
      <c r="AJ1015">
        <f>IF([2]Entry!$S$1018="","",[2]Entry!$S$1018)</f>
        <v/>
      </c>
      <c r="AK1015">
        <f>IF([2]Entry!$C$1018="","",[2]Entry!$C$1018)</f>
        <v/>
      </c>
      <c r="AL1015">
        <f>IF([2]Entry!$D$1018="","",[2]Entry!$D$1018)</f>
        <v/>
      </c>
    </row>
    <row r="1016">
      <c r="Z1016">
        <f>IF([2]Entry!$E$1019="","",[2]Entry!$E$1019)</f>
        <v/>
      </c>
      <c r="AA1016">
        <f>IF([2]Entry!$G$1019="","",[2]Entry!$G$1019)</f>
        <v/>
      </c>
      <c r="AB1016">
        <f>IF([2]Entry!$J$1019="","",[2]Entry!$J$1019)</f>
        <v/>
      </c>
      <c r="AC1016">
        <f>IF([2]Entry!$K$1019="","",[2]Entry!$K$1019)</f>
        <v/>
      </c>
      <c r="AD1016">
        <f>IF([2]Entry!$L$1019="","",[2]Entry!$L$1019)</f>
        <v/>
      </c>
      <c r="AE1016">
        <f>IF([2]Entry!$M$1019="","",[2]Entry!$M$1019)</f>
        <v/>
      </c>
      <c r="AF1016">
        <f>IF([2]Entry!$N$1019="","",[2]Entry!$N$1019)</f>
        <v/>
      </c>
      <c r="AJ1016">
        <f>IF([2]Entry!$S$1019="","",[2]Entry!$S$1019)</f>
        <v/>
      </c>
      <c r="AK1016">
        <f>IF([2]Entry!$C$1019="","",[2]Entry!$C$1019)</f>
        <v/>
      </c>
      <c r="AL1016">
        <f>IF([2]Entry!$D$1019="","",[2]Entry!$D$1019)</f>
        <v/>
      </c>
    </row>
    <row r="1017">
      <c r="Z1017">
        <f>IF([2]Entry!$E$1020="","",[2]Entry!$E$1020)</f>
        <v/>
      </c>
      <c r="AA1017">
        <f>IF([2]Entry!$G$1020="","",[2]Entry!$G$1020)</f>
        <v/>
      </c>
      <c r="AB1017">
        <f>IF([2]Entry!$J$1020="","",[2]Entry!$J$1020)</f>
        <v/>
      </c>
      <c r="AC1017">
        <f>IF([2]Entry!$K$1020="","",[2]Entry!$K$1020)</f>
        <v/>
      </c>
      <c r="AD1017">
        <f>IF([2]Entry!$L$1020="","",[2]Entry!$L$1020)</f>
        <v/>
      </c>
      <c r="AE1017">
        <f>IF([2]Entry!$M$1020="","",[2]Entry!$M$1020)</f>
        <v/>
      </c>
      <c r="AF1017">
        <f>IF([2]Entry!$N$1020="","",[2]Entry!$N$1020)</f>
        <v/>
      </c>
      <c r="AJ1017">
        <f>IF([2]Entry!$S$1020="","",[2]Entry!$S$1020)</f>
        <v/>
      </c>
      <c r="AK1017">
        <f>IF([2]Entry!$C$1020="","",[2]Entry!$C$1020)</f>
        <v/>
      </c>
      <c r="AL1017">
        <f>IF([2]Entry!$D$1020="","",[2]Entry!$D$1020)</f>
        <v/>
      </c>
    </row>
    <row r="1018">
      <c r="Z1018">
        <f>IF([2]Entry!$E$1021="","",[2]Entry!$E$1021)</f>
        <v/>
      </c>
      <c r="AA1018">
        <f>IF([2]Entry!$G$1021="","",[2]Entry!$G$1021)</f>
        <v/>
      </c>
      <c r="AB1018">
        <f>IF([2]Entry!$J$1021="","",[2]Entry!$J$1021)</f>
        <v/>
      </c>
      <c r="AC1018">
        <f>IF([2]Entry!$K$1021="","",[2]Entry!$K$1021)</f>
        <v/>
      </c>
      <c r="AD1018">
        <f>IF([2]Entry!$L$1021="","",[2]Entry!$L$1021)</f>
        <v/>
      </c>
      <c r="AE1018">
        <f>IF([2]Entry!$M$1021="","",[2]Entry!$M$1021)</f>
        <v/>
      </c>
      <c r="AF1018">
        <f>IF([2]Entry!$N$1021="","",[2]Entry!$N$1021)</f>
        <v/>
      </c>
      <c r="AJ1018">
        <f>IF([2]Entry!$S$1021="","",[2]Entry!$S$1021)</f>
        <v/>
      </c>
      <c r="AK1018">
        <f>IF([2]Entry!$C$1021="","",[2]Entry!$C$1021)</f>
        <v/>
      </c>
      <c r="AL1018">
        <f>IF([2]Entry!$D$1021="","",[2]Entry!$D$1021)</f>
        <v/>
      </c>
    </row>
    <row r="1019">
      <c r="Z1019">
        <f>IF([2]Entry!$E$1022="","",[2]Entry!$E$1022)</f>
        <v/>
      </c>
      <c r="AA1019">
        <f>IF([2]Entry!$G$1022="","",[2]Entry!$G$1022)</f>
        <v/>
      </c>
      <c r="AB1019">
        <f>IF([2]Entry!$J$1022="","",[2]Entry!$J$1022)</f>
        <v/>
      </c>
      <c r="AC1019">
        <f>IF([2]Entry!$K$1022="","",[2]Entry!$K$1022)</f>
        <v/>
      </c>
      <c r="AD1019">
        <f>IF([2]Entry!$L$1022="","",[2]Entry!$L$1022)</f>
        <v/>
      </c>
      <c r="AE1019">
        <f>IF([2]Entry!$M$1022="","",[2]Entry!$M$1022)</f>
        <v/>
      </c>
      <c r="AF1019">
        <f>IF([2]Entry!$N$1022="","",[2]Entry!$N$1022)</f>
        <v/>
      </c>
      <c r="AJ1019">
        <f>IF([2]Entry!$S$1022="","",[2]Entry!$S$1022)</f>
        <v/>
      </c>
      <c r="AK1019">
        <f>IF([2]Entry!$C$1022="","",[2]Entry!$C$1022)</f>
        <v/>
      </c>
      <c r="AL1019">
        <f>IF([2]Entry!$D$1022="","",[2]Entry!$D$1022)</f>
        <v/>
      </c>
    </row>
    <row r="1020">
      <c r="Z1020">
        <f>IF([2]Entry!$E$1023="","",[2]Entry!$E$1023)</f>
        <v/>
      </c>
      <c r="AA1020">
        <f>IF([2]Entry!$G$1023="","",[2]Entry!$G$1023)</f>
        <v/>
      </c>
      <c r="AB1020">
        <f>IF([2]Entry!$J$1023="","",[2]Entry!$J$1023)</f>
        <v/>
      </c>
      <c r="AC1020">
        <f>IF([2]Entry!$K$1023="","",[2]Entry!$K$1023)</f>
        <v/>
      </c>
      <c r="AD1020">
        <f>IF([2]Entry!$L$1023="","",[2]Entry!$L$1023)</f>
        <v/>
      </c>
      <c r="AE1020">
        <f>IF([2]Entry!$M$1023="","",[2]Entry!$M$1023)</f>
        <v/>
      </c>
      <c r="AF1020">
        <f>IF([2]Entry!$N$1023="","",[2]Entry!$N$1023)</f>
        <v/>
      </c>
      <c r="AJ1020">
        <f>IF([2]Entry!$S$1023="","",[2]Entry!$S$1023)</f>
        <v/>
      </c>
      <c r="AK1020">
        <f>IF([2]Entry!$C$1023="","",[2]Entry!$C$1023)</f>
        <v/>
      </c>
      <c r="AL1020">
        <f>IF([2]Entry!$D$1023="","",[2]Entry!$D$1023)</f>
        <v/>
      </c>
    </row>
    <row r="1021">
      <c r="Z1021">
        <f>IF([2]Entry!$E$1024="","",[2]Entry!$E$1024)</f>
        <v/>
      </c>
      <c r="AA1021">
        <f>IF([2]Entry!$G$1024="","",[2]Entry!$G$1024)</f>
        <v/>
      </c>
      <c r="AB1021">
        <f>IF([2]Entry!$J$1024="","",[2]Entry!$J$1024)</f>
        <v/>
      </c>
      <c r="AC1021">
        <f>IF([2]Entry!$K$1024="","",[2]Entry!$K$1024)</f>
        <v/>
      </c>
      <c r="AD1021">
        <f>IF([2]Entry!$L$1024="","",[2]Entry!$L$1024)</f>
        <v/>
      </c>
      <c r="AE1021">
        <f>IF([2]Entry!$M$1024="","",[2]Entry!$M$1024)</f>
        <v/>
      </c>
      <c r="AF1021">
        <f>IF([2]Entry!$N$1024="","",[2]Entry!$N$1024)</f>
        <v/>
      </c>
      <c r="AJ1021">
        <f>IF([2]Entry!$S$1024="","",[2]Entry!$S$1024)</f>
        <v/>
      </c>
      <c r="AK1021">
        <f>IF([2]Entry!$C$1024="","",[2]Entry!$C$1024)</f>
        <v/>
      </c>
      <c r="AL1021">
        <f>IF([2]Entry!$D$1024="","",[2]Entry!$D$1024)</f>
        <v/>
      </c>
    </row>
    <row r="1022">
      <c r="Z1022">
        <f>IF([2]Entry!$E$1025="","",[2]Entry!$E$1025)</f>
        <v/>
      </c>
      <c r="AA1022">
        <f>IF([2]Entry!$G$1025="","",[2]Entry!$G$1025)</f>
        <v/>
      </c>
      <c r="AB1022">
        <f>IF([2]Entry!$J$1025="","",[2]Entry!$J$1025)</f>
        <v/>
      </c>
      <c r="AC1022">
        <f>IF([2]Entry!$K$1025="","",[2]Entry!$K$1025)</f>
        <v/>
      </c>
      <c r="AD1022">
        <f>IF([2]Entry!$L$1025="","",[2]Entry!$L$1025)</f>
        <v/>
      </c>
      <c r="AE1022">
        <f>IF([2]Entry!$M$1025="","",[2]Entry!$M$1025)</f>
        <v/>
      </c>
      <c r="AF1022">
        <f>IF([2]Entry!$N$1025="","",[2]Entry!$N$1025)</f>
        <v/>
      </c>
      <c r="AJ1022">
        <f>IF([2]Entry!$S$1025="","",[2]Entry!$S$1025)</f>
        <v/>
      </c>
      <c r="AK1022">
        <f>IF([2]Entry!$C$1025="","",[2]Entry!$C$1025)</f>
        <v/>
      </c>
      <c r="AL1022">
        <f>IF([2]Entry!$D$1025="","",[2]Entry!$D$1025)</f>
        <v/>
      </c>
    </row>
    <row r="1023">
      <c r="Z1023">
        <f>IF([2]Entry!$E$1026="","",[2]Entry!$E$1026)</f>
        <v/>
      </c>
      <c r="AA1023">
        <f>IF([2]Entry!$G$1026="","",[2]Entry!$G$1026)</f>
        <v/>
      </c>
      <c r="AB1023">
        <f>IF([2]Entry!$J$1026="","",[2]Entry!$J$1026)</f>
        <v/>
      </c>
      <c r="AC1023">
        <f>IF([2]Entry!$K$1026="","",[2]Entry!$K$1026)</f>
        <v/>
      </c>
      <c r="AD1023">
        <f>IF([2]Entry!$L$1026="","",[2]Entry!$L$1026)</f>
        <v/>
      </c>
      <c r="AE1023">
        <f>IF([2]Entry!$M$1026="","",[2]Entry!$M$1026)</f>
        <v/>
      </c>
      <c r="AF1023">
        <f>IF([2]Entry!$N$1026="","",[2]Entry!$N$1026)</f>
        <v/>
      </c>
      <c r="AJ1023">
        <f>IF([2]Entry!$S$1026="","",[2]Entry!$S$1026)</f>
        <v/>
      </c>
      <c r="AK1023">
        <f>IF([2]Entry!$C$1026="","",[2]Entry!$C$1026)</f>
        <v/>
      </c>
      <c r="AL1023">
        <f>IF([2]Entry!$D$1026="","",[2]Entry!$D$1026)</f>
        <v/>
      </c>
    </row>
    <row r="1024">
      <c r="Z1024">
        <f>IF([2]Entry!$E$1027="","",[2]Entry!$E$1027)</f>
        <v/>
      </c>
      <c r="AA1024">
        <f>IF([2]Entry!$G$1027="","",[2]Entry!$G$1027)</f>
        <v/>
      </c>
      <c r="AB1024">
        <f>IF([2]Entry!$J$1027="","",[2]Entry!$J$1027)</f>
        <v/>
      </c>
      <c r="AC1024">
        <f>IF([2]Entry!$K$1027="","",[2]Entry!$K$1027)</f>
        <v/>
      </c>
      <c r="AD1024">
        <f>IF([2]Entry!$L$1027="","",[2]Entry!$L$1027)</f>
        <v/>
      </c>
      <c r="AE1024">
        <f>IF([2]Entry!$M$1027="","",[2]Entry!$M$1027)</f>
        <v/>
      </c>
      <c r="AF1024">
        <f>IF([2]Entry!$N$1027="","",[2]Entry!$N$1027)</f>
        <v/>
      </c>
      <c r="AJ1024">
        <f>IF([2]Entry!$S$1027="","",[2]Entry!$S$1027)</f>
        <v/>
      </c>
      <c r="AK1024">
        <f>IF([2]Entry!$C$1027="","",[2]Entry!$C$1027)</f>
        <v/>
      </c>
      <c r="AL1024">
        <f>IF([2]Entry!$D$1027="","",[2]Entry!$D$1027)</f>
        <v/>
      </c>
    </row>
    <row r="1025">
      <c r="Z1025">
        <f>IF([2]Entry!$E$1028="","",[2]Entry!$E$1028)</f>
        <v/>
      </c>
      <c r="AA1025">
        <f>IF([2]Entry!$G$1028="","",[2]Entry!$G$1028)</f>
        <v/>
      </c>
      <c r="AB1025">
        <f>IF([2]Entry!$J$1028="","",[2]Entry!$J$1028)</f>
        <v/>
      </c>
      <c r="AC1025">
        <f>IF([2]Entry!$K$1028="","",[2]Entry!$K$1028)</f>
        <v/>
      </c>
      <c r="AD1025">
        <f>IF([2]Entry!$L$1028="","",[2]Entry!$L$1028)</f>
        <v/>
      </c>
      <c r="AE1025">
        <f>IF([2]Entry!$M$1028="","",[2]Entry!$M$1028)</f>
        <v/>
      </c>
      <c r="AF1025">
        <f>IF([2]Entry!$N$1028="","",[2]Entry!$N$1028)</f>
        <v/>
      </c>
      <c r="AJ1025">
        <f>IF([2]Entry!$S$1028="","",[2]Entry!$S$1028)</f>
        <v/>
      </c>
      <c r="AK1025">
        <f>IF([2]Entry!$C$1028="","",[2]Entry!$C$1028)</f>
        <v/>
      </c>
      <c r="AL1025">
        <f>IF([2]Entry!$D$1028="","",[2]Entry!$D$1028)</f>
        <v/>
      </c>
    </row>
    <row r="1026">
      <c r="Z1026">
        <f>IF([2]Entry!$E$1029="","",[2]Entry!$E$1029)</f>
        <v/>
      </c>
      <c r="AA1026">
        <f>IF([2]Entry!$G$1029="","",[2]Entry!$G$1029)</f>
        <v/>
      </c>
      <c r="AB1026">
        <f>IF([2]Entry!$J$1029="","",[2]Entry!$J$1029)</f>
        <v/>
      </c>
      <c r="AC1026">
        <f>IF([2]Entry!$K$1029="","",[2]Entry!$K$1029)</f>
        <v/>
      </c>
      <c r="AD1026">
        <f>IF([2]Entry!$L$1029="","",[2]Entry!$L$1029)</f>
        <v/>
      </c>
      <c r="AE1026">
        <f>IF([2]Entry!$M$1029="","",[2]Entry!$M$1029)</f>
        <v/>
      </c>
      <c r="AF1026">
        <f>IF([2]Entry!$N$1029="","",[2]Entry!$N$1029)</f>
        <v/>
      </c>
      <c r="AJ1026">
        <f>IF([2]Entry!$S$1029="","",[2]Entry!$S$1029)</f>
        <v/>
      </c>
      <c r="AK1026">
        <f>IF([2]Entry!$C$1029="","",[2]Entry!$C$1029)</f>
        <v/>
      </c>
      <c r="AL1026">
        <f>IF([2]Entry!$D$1029="","",[2]Entry!$D$1029)</f>
        <v/>
      </c>
    </row>
    <row r="1027">
      <c r="Z1027">
        <f>IF([2]Entry!$E$1030="","",[2]Entry!$E$1030)</f>
        <v/>
      </c>
      <c r="AA1027">
        <f>IF([2]Entry!$G$1030="","",[2]Entry!$G$1030)</f>
        <v/>
      </c>
      <c r="AB1027">
        <f>IF([2]Entry!$J$1030="","",[2]Entry!$J$1030)</f>
        <v/>
      </c>
      <c r="AC1027">
        <f>IF([2]Entry!$K$1030="","",[2]Entry!$K$1030)</f>
        <v/>
      </c>
      <c r="AD1027">
        <f>IF([2]Entry!$L$1030="","",[2]Entry!$L$1030)</f>
        <v/>
      </c>
      <c r="AE1027">
        <f>IF([2]Entry!$M$1030="","",[2]Entry!$M$1030)</f>
        <v/>
      </c>
      <c r="AF1027">
        <f>IF([2]Entry!$N$1030="","",[2]Entry!$N$1030)</f>
        <v/>
      </c>
      <c r="AJ1027">
        <f>IF([2]Entry!$S$1030="","",[2]Entry!$S$1030)</f>
        <v/>
      </c>
      <c r="AK1027">
        <f>IF([2]Entry!$C$1030="","",[2]Entry!$C$1030)</f>
        <v/>
      </c>
      <c r="AL1027">
        <f>IF([2]Entry!$D$1030="","",[2]Entry!$D$1030)</f>
        <v/>
      </c>
    </row>
    <row r="1028">
      <c r="Z1028">
        <f>IF([2]Entry!$E$1031="","",[2]Entry!$E$1031)</f>
        <v/>
      </c>
      <c r="AA1028">
        <f>IF([2]Entry!$G$1031="","",[2]Entry!$G$1031)</f>
        <v/>
      </c>
      <c r="AB1028">
        <f>IF([2]Entry!$J$1031="","",[2]Entry!$J$1031)</f>
        <v/>
      </c>
      <c r="AC1028">
        <f>IF([2]Entry!$K$1031="","",[2]Entry!$K$1031)</f>
        <v/>
      </c>
      <c r="AD1028">
        <f>IF([2]Entry!$L$1031="","",[2]Entry!$L$1031)</f>
        <v/>
      </c>
      <c r="AE1028">
        <f>IF([2]Entry!$M$1031="","",[2]Entry!$M$1031)</f>
        <v/>
      </c>
      <c r="AF1028">
        <f>IF([2]Entry!$N$1031="","",[2]Entry!$N$1031)</f>
        <v/>
      </c>
      <c r="AJ1028">
        <f>IF([2]Entry!$S$1031="","",[2]Entry!$S$1031)</f>
        <v/>
      </c>
      <c r="AK1028">
        <f>IF([2]Entry!$C$1031="","",[2]Entry!$C$1031)</f>
        <v/>
      </c>
      <c r="AL1028">
        <f>IF([2]Entry!$D$1031="","",[2]Entry!$D$1031)</f>
        <v/>
      </c>
    </row>
    <row r="1029">
      <c r="Z1029">
        <f>IF([2]Entry!$E$1032="","",[2]Entry!$E$1032)</f>
        <v/>
      </c>
      <c r="AA1029">
        <f>IF([2]Entry!$G$1032="","",[2]Entry!$G$1032)</f>
        <v/>
      </c>
      <c r="AB1029">
        <f>IF([2]Entry!$J$1032="","",[2]Entry!$J$1032)</f>
        <v/>
      </c>
      <c r="AC1029">
        <f>IF([2]Entry!$K$1032="","",[2]Entry!$K$1032)</f>
        <v/>
      </c>
      <c r="AD1029">
        <f>IF([2]Entry!$L$1032="","",[2]Entry!$L$1032)</f>
        <v/>
      </c>
      <c r="AE1029">
        <f>IF([2]Entry!$M$1032="","",[2]Entry!$M$1032)</f>
        <v/>
      </c>
      <c r="AF1029">
        <f>IF([2]Entry!$N$1032="","",[2]Entry!$N$1032)</f>
        <v/>
      </c>
      <c r="AJ1029">
        <f>IF([2]Entry!$S$1032="","",[2]Entry!$S$1032)</f>
        <v/>
      </c>
      <c r="AK1029">
        <f>IF([2]Entry!$C$1032="","",[2]Entry!$C$1032)</f>
        <v/>
      </c>
      <c r="AL1029">
        <f>IF([2]Entry!$D$1032="","",[2]Entry!$D$1032)</f>
        <v/>
      </c>
    </row>
    <row r="1030">
      <c r="Z1030">
        <f>IF([2]Entry!$E$1033="","",[2]Entry!$E$1033)</f>
        <v/>
      </c>
      <c r="AA1030">
        <f>IF([2]Entry!$G$1033="","",[2]Entry!$G$1033)</f>
        <v/>
      </c>
      <c r="AB1030">
        <f>IF([2]Entry!$J$1033="","",[2]Entry!$J$1033)</f>
        <v/>
      </c>
      <c r="AC1030">
        <f>IF([2]Entry!$K$1033="","",[2]Entry!$K$1033)</f>
        <v/>
      </c>
      <c r="AD1030">
        <f>IF([2]Entry!$L$1033="","",[2]Entry!$L$1033)</f>
        <v/>
      </c>
      <c r="AE1030">
        <f>IF([2]Entry!$M$1033="","",[2]Entry!$M$1033)</f>
        <v/>
      </c>
      <c r="AF1030">
        <f>IF([2]Entry!$N$1033="","",[2]Entry!$N$1033)</f>
        <v/>
      </c>
      <c r="AJ1030">
        <f>IF([2]Entry!$S$1033="","",[2]Entry!$S$1033)</f>
        <v/>
      </c>
      <c r="AK1030">
        <f>IF([2]Entry!$C$1033="","",[2]Entry!$C$1033)</f>
        <v/>
      </c>
      <c r="AL1030">
        <f>IF([2]Entry!$D$1033="","",[2]Entry!$D$1033)</f>
        <v/>
      </c>
    </row>
    <row r="1031">
      <c r="Z1031">
        <f>IF([2]Entry!$E$1034="","",[2]Entry!$E$1034)</f>
        <v/>
      </c>
      <c r="AA1031">
        <f>IF([2]Entry!$G$1034="","",[2]Entry!$G$1034)</f>
        <v/>
      </c>
      <c r="AB1031">
        <f>IF([2]Entry!$J$1034="","",[2]Entry!$J$1034)</f>
        <v/>
      </c>
      <c r="AC1031">
        <f>IF([2]Entry!$K$1034="","",[2]Entry!$K$1034)</f>
        <v/>
      </c>
      <c r="AD1031">
        <f>IF([2]Entry!$L$1034="","",[2]Entry!$L$1034)</f>
        <v/>
      </c>
      <c r="AE1031">
        <f>IF([2]Entry!$M$1034="","",[2]Entry!$M$1034)</f>
        <v/>
      </c>
      <c r="AF1031">
        <f>IF([2]Entry!$N$1034="","",[2]Entry!$N$1034)</f>
        <v/>
      </c>
      <c r="AJ1031">
        <f>IF([2]Entry!$S$1034="","",[2]Entry!$S$1034)</f>
        <v/>
      </c>
      <c r="AK1031">
        <f>IF([2]Entry!$C$1034="","",[2]Entry!$C$1034)</f>
        <v/>
      </c>
      <c r="AL1031">
        <f>IF([2]Entry!$D$1034="","",[2]Entry!$D$1034)</f>
        <v/>
      </c>
    </row>
    <row r="1032">
      <c r="Z1032">
        <f>IF([2]Entry!$E$1035="","",[2]Entry!$E$1035)</f>
        <v/>
      </c>
      <c r="AA1032">
        <f>IF([2]Entry!$G$1035="","",[2]Entry!$G$1035)</f>
        <v/>
      </c>
      <c r="AB1032">
        <f>IF([2]Entry!$J$1035="","",[2]Entry!$J$1035)</f>
        <v/>
      </c>
      <c r="AC1032">
        <f>IF([2]Entry!$K$1035="","",[2]Entry!$K$1035)</f>
        <v/>
      </c>
      <c r="AD1032">
        <f>IF([2]Entry!$L$1035="","",[2]Entry!$L$1035)</f>
        <v/>
      </c>
      <c r="AE1032">
        <f>IF([2]Entry!$M$1035="","",[2]Entry!$M$1035)</f>
        <v/>
      </c>
      <c r="AF1032">
        <f>IF([2]Entry!$N$1035="","",[2]Entry!$N$1035)</f>
        <v/>
      </c>
      <c r="AJ1032">
        <f>IF([2]Entry!$S$1035="","",[2]Entry!$S$1035)</f>
        <v/>
      </c>
      <c r="AK1032">
        <f>IF([2]Entry!$C$1035="","",[2]Entry!$C$1035)</f>
        <v/>
      </c>
      <c r="AL1032">
        <f>IF([2]Entry!$D$1035="","",[2]Entry!$D$1035)</f>
        <v/>
      </c>
    </row>
    <row r="1033">
      <c r="Z1033">
        <f>IF([2]Entry!$E$1036="","",[2]Entry!$E$1036)</f>
        <v/>
      </c>
      <c r="AA1033">
        <f>IF([2]Entry!$G$1036="","",[2]Entry!$G$1036)</f>
        <v/>
      </c>
      <c r="AB1033">
        <f>IF([2]Entry!$J$1036="","",[2]Entry!$J$1036)</f>
        <v/>
      </c>
      <c r="AC1033">
        <f>IF([2]Entry!$K$1036="","",[2]Entry!$K$1036)</f>
        <v/>
      </c>
      <c r="AD1033">
        <f>IF([2]Entry!$L$1036="","",[2]Entry!$L$1036)</f>
        <v/>
      </c>
      <c r="AE1033">
        <f>IF([2]Entry!$M$1036="","",[2]Entry!$M$1036)</f>
        <v/>
      </c>
      <c r="AF1033">
        <f>IF([2]Entry!$N$1036="","",[2]Entry!$N$1036)</f>
        <v/>
      </c>
      <c r="AJ1033">
        <f>IF([2]Entry!$S$1036="","",[2]Entry!$S$1036)</f>
        <v/>
      </c>
      <c r="AK1033">
        <f>IF([2]Entry!$C$1036="","",[2]Entry!$C$1036)</f>
        <v/>
      </c>
      <c r="AL1033">
        <f>IF([2]Entry!$D$1036="","",[2]Entry!$D$1036)</f>
        <v/>
      </c>
    </row>
    <row r="1034">
      <c r="Z1034">
        <f>IF([2]Entry!$E$1037="","",[2]Entry!$E$1037)</f>
        <v/>
      </c>
      <c r="AA1034">
        <f>IF([2]Entry!$G$1037="","",[2]Entry!$G$1037)</f>
        <v/>
      </c>
      <c r="AB1034">
        <f>IF([2]Entry!$J$1037="","",[2]Entry!$J$1037)</f>
        <v/>
      </c>
      <c r="AC1034">
        <f>IF([2]Entry!$K$1037="","",[2]Entry!$K$1037)</f>
        <v/>
      </c>
      <c r="AD1034">
        <f>IF([2]Entry!$L$1037="","",[2]Entry!$L$1037)</f>
        <v/>
      </c>
      <c r="AE1034">
        <f>IF([2]Entry!$M$1037="","",[2]Entry!$M$1037)</f>
        <v/>
      </c>
      <c r="AF1034">
        <f>IF([2]Entry!$N$1037="","",[2]Entry!$N$1037)</f>
        <v/>
      </c>
      <c r="AJ1034">
        <f>IF([2]Entry!$S$1037="","",[2]Entry!$S$1037)</f>
        <v/>
      </c>
      <c r="AK1034">
        <f>IF([2]Entry!$C$1037="","",[2]Entry!$C$1037)</f>
        <v/>
      </c>
      <c r="AL1034">
        <f>IF([2]Entry!$D$1037="","",[2]Entry!$D$1037)</f>
        <v/>
      </c>
    </row>
    <row r="1035">
      <c r="Z1035">
        <f>IF([2]Entry!$E$1038="","",[2]Entry!$E$1038)</f>
        <v/>
      </c>
      <c r="AA1035">
        <f>IF([2]Entry!$G$1038="","",[2]Entry!$G$1038)</f>
        <v/>
      </c>
      <c r="AB1035">
        <f>IF([2]Entry!$J$1038="","",[2]Entry!$J$1038)</f>
        <v/>
      </c>
      <c r="AC1035">
        <f>IF([2]Entry!$K$1038="","",[2]Entry!$K$1038)</f>
        <v/>
      </c>
      <c r="AD1035">
        <f>IF([2]Entry!$L$1038="","",[2]Entry!$L$1038)</f>
        <v/>
      </c>
      <c r="AE1035">
        <f>IF([2]Entry!$M$1038="","",[2]Entry!$M$1038)</f>
        <v/>
      </c>
      <c r="AF1035">
        <f>IF([2]Entry!$N$1038="","",[2]Entry!$N$1038)</f>
        <v/>
      </c>
      <c r="AJ1035">
        <f>IF([2]Entry!$S$1038="","",[2]Entry!$S$1038)</f>
        <v/>
      </c>
      <c r="AK1035">
        <f>IF([2]Entry!$C$1038="","",[2]Entry!$C$1038)</f>
        <v/>
      </c>
      <c r="AL1035">
        <f>IF([2]Entry!$D$1038="","",[2]Entry!$D$1038)</f>
        <v/>
      </c>
    </row>
    <row r="1036">
      <c r="Z1036">
        <f>IF([2]Entry!$E$1039="","",[2]Entry!$E$1039)</f>
        <v/>
      </c>
      <c r="AA1036">
        <f>IF([2]Entry!$G$1039="","",[2]Entry!$G$1039)</f>
        <v/>
      </c>
      <c r="AB1036">
        <f>IF([2]Entry!$J$1039="","",[2]Entry!$J$1039)</f>
        <v/>
      </c>
      <c r="AC1036">
        <f>IF([2]Entry!$K$1039="","",[2]Entry!$K$1039)</f>
        <v/>
      </c>
      <c r="AD1036">
        <f>IF([2]Entry!$L$1039="","",[2]Entry!$L$1039)</f>
        <v/>
      </c>
      <c r="AE1036">
        <f>IF([2]Entry!$M$1039="","",[2]Entry!$M$1039)</f>
        <v/>
      </c>
      <c r="AF1036">
        <f>IF([2]Entry!$N$1039="","",[2]Entry!$N$1039)</f>
        <v/>
      </c>
      <c r="AJ1036">
        <f>IF([2]Entry!$S$1039="","",[2]Entry!$S$1039)</f>
        <v/>
      </c>
      <c r="AK1036">
        <f>IF([2]Entry!$C$1039="","",[2]Entry!$C$1039)</f>
        <v/>
      </c>
      <c r="AL1036">
        <f>IF([2]Entry!$D$1039="","",[2]Entry!$D$1039)</f>
        <v/>
      </c>
    </row>
    <row r="1037">
      <c r="Z1037">
        <f>IF([2]Entry!$E$1040="","",[2]Entry!$E$1040)</f>
        <v/>
      </c>
      <c r="AA1037">
        <f>IF([2]Entry!$G$1040="","",[2]Entry!$G$1040)</f>
        <v/>
      </c>
      <c r="AB1037">
        <f>IF([2]Entry!$J$1040="","",[2]Entry!$J$1040)</f>
        <v/>
      </c>
      <c r="AC1037">
        <f>IF([2]Entry!$K$1040="","",[2]Entry!$K$1040)</f>
        <v/>
      </c>
      <c r="AD1037">
        <f>IF([2]Entry!$L$1040="","",[2]Entry!$L$1040)</f>
        <v/>
      </c>
      <c r="AE1037">
        <f>IF([2]Entry!$M$1040="","",[2]Entry!$M$1040)</f>
        <v/>
      </c>
      <c r="AF1037">
        <f>IF([2]Entry!$N$1040="","",[2]Entry!$N$1040)</f>
        <v/>
      </c>
      <c r="AJ1037">
        <f>IF([2]Entry!$S$1040="","",[2]Entry!$S$1040)</f>
        <v/>
      </c>
      <c r="AK1037">
        <f>IF([2]Entry!$C$1040="","",[2]Entry!$C$1040)</f>
        <v/>
      </c>
      <c r="AL1037">
        <f>IF([2]Entry!$D$1040="","",[2]Entry!$D$1040)</f>
        <v/>
      </c>
    </row>
    <row r="1038">
      <c r="Z1038">
        <f>IF([2]Entry!$E$1041="","",[2]Entry!$E$1041)</f>
        <v/>
      </c>
      <c r="AA1038">
        <f>IF([2]Entry!$G$1041="","",[2]Entry!$G$1041)</f>
        <v/>
      </c>
      <c r="AB1038">
        <f>IF([2]Entry!$J$1041="","",[2]Entry!$J$1041)</f>
        <v/>
      </c>
      <c r="AC1038">
        <f>IF([2]Entry!$K$1041="","",[2]Entry!$K$1041)</f>
        <v/>
      </c>
      <c r="AD1038">
        <f>IF([2]Entry!$L$1041="","",[2]Entry!$L$1041)</f>
        <v/>
      </c>
      <c r="AE1038">
        <f>IF([2]Entry!$M$1041="","",[2]Entry!$M$1041)</f>
        <v/>
      </c>
      <c r="AF1038">
        <f>IF([2]Entry!$N$1041="","",[2]Entry!$N$1041)</f>
        <v/>
      </c>
      <c r="AJ1038">
        <f>IF([2]Entry!$S$1041="","",[2]Entry!$S$1041)</f>
        <v/>
      </c>
      <c r="AK1038">
        <f>IF([2]Entry!$C$1041="","",[2]Entry!$C$1041)</f>
        <v/>
      </c>
      <c r="AL1038">
        <f>IF([2]Entry!$D$1041="","",[2]Entry!$D$1041)</f>
        <v/>
      </c>
    </row>
    <row r="1039">
      <c r="Z1039">
        <f>IF([2]Entry!$E$1042="","",[2]Entry!$E$1042)</f>
        <v/>
      </c>
      <c r="AA1039">
        <f>IF([2]Entry!$G$1042="","",[2]Entry!$G$1042)</f>
        <v/>
      </c>
      <c r="AB1039">
        <f>IF([2]Entry!$J$1042="","",[2]Entry!$J$1042)</f>
        <v/>
      </c>
      <c r="AC1039">
        <f>IF([2]Entry!$K$1042="","",[2]Entry!$K$1042)</f>
        <v/>
      </c>
      <c r="AD1039">
        <f>IF([2]Entry!$L$1042="","",[2]Entry!$L$1042)</f>
        <v/>
      </c>
      <c r="AE1039">
        <f>IF([2]Entry!$M$1042="","",[2]Entry!$M$1042)</f>
        <v/>
      </c>
      <c r="AF1039">
        <f>IF([2]Entry!$N$1042="","",[2]Entry!$N$1042)</f>
        <v/>
      </c>
      <c r="AJ1039">
        <f>IF([2]Entry!$S$1042="","",[2]Entry!$S$1042)</f>
        <v/>
      </c>
      <c r="AK1039">
        <f>IF([2]Entry!$C$1042="","",[2]Entry!$C$1042)</f>
        <v/>
      </c>
      <c r="AL1039">
        <f>IF([2]Entry!$D$1042="","",[2]Entry!$D$1042)</f>
        <v/>
      </c>
    </row>
    <row r="1040">
      <c r="Z1040">
        <f>IF([2]Entry!$E$1043="","",[2]Entry!$E$1043)</f>
        <v/>
      </c>
      <c r="AA1040">
        <f>IF([2]Entry!$G$1043="","",[2]Entry!$G$1043)</f>
        <v/>
      </c>
      <c r="AB1040">
        <f>IF([2]Entry!$J$1043="","",[2]Entry!$J$1043)</f>
        <v/>
      </c>
      <c r="AC1040">
        <f>IF([2]Entry!$K$1043="","",[2]Entry!$K$1043)</f>
        <v/>
      </c>
      <c r="AD1040">
        <f>IF([2]Entry!$L$1043="","",[2]Entry!$L$1043)</f>
        <v/>
      </c>
      <c r="AE1040">
        <f>IF([2]Entry!$M$1043="","",[2]Entry!$M$1043)</f>
        <v/>
      </c>
      <c r="AF1040">
        <f>IF([2]Entry!$N$1043="","",[2]Entry!$N$1043)</f>
        <v/>
      </c>
      <c r="AJ1040">
        <f>IF([2]Entry!$S$1043="","",[2]Entry!$S$1043)</f>
        <v/>
      </c>
      <c r="AK1040">
        <f>IF([2]Entry!$C$1043="","",[2]Entry!$C$1043)</f>
        <v/>
      </c>
      <c r="AL1040">
        <f>IF([2]Entry!$D$1043="","",[2]Entry!$D$1043)</f>
        <v/>
      </c>
    </row>
    <row r="1041">
      <c r="Z1041">
        <f>IF([2]Entry!$E$1044="","",[2]Entry!$E$1044)</f>
        <v/>
      </c>
      <c r="AA1041">
        <f>IF([2]Entry!$G$1044="","",[2]Entry!$G$1044)</f>
        <v/>
      </c>
      <c r="AB1041">
        <f>IF([2]Entry!$J$1044="","",[2]Entry!$J$1044)</f>
        <v/>
      </c>
      <c r="AC1041">
        <f>IF([2]Entry!$K$1044="","",[2]Entry!$K$1044)</f>
        <v/>
      </c>
      <c r="AD1041">
        <f>IF([2]Entry!$L$1044="","",[2]Entry!$L$1044)</f>
        <v/>
      </c>
      <c r="AE1041">
        <f>IF([2]Entry!$M$1044="","",[2]Entry!$M$1044)</f>
        <v/>
      </c>
      <c r="AF1041">
        <f>IF([2]Entry!$N$1044="","",[2]Entry!$N$1044)</f>
        <v/>
      </c>
      <c r="AJ1041">
        <f>IF([2]Entry!$S$1044="","",[2]Entry!$S$1044)</f>
        <v/>
      </c>
      <c r="AK1041">
        <f>IF([2]Entry!$C$1044="","",[2]Entry!$C$1044)</f>
        <v/>
      </c>
      <c r="AL1041">
        <f>IF([2]Entry!$D$1044="","",[2]Entry!$D$1044)</f>
        <v/>
      </c>
    </row>
    <row r="1042">
      <c r="Z1042">
        <f>IF([2]Entry!$E$1045="","",[2]Entry!$E$1045)</f>
        <v/>
      </c>
      <c r="AA1042">
        <f>IF([2]Entry!$G$1045="","",[2]Entry!$G$1045)</f>
        <v/>
      </c>
      <c r="AB1042">
        <f>IF([2]Entry!$J$1045="","",[2]Entry!$J$1045)</f>
        <v/>
      </c>
      <c r="AC1042">
        <f>IF([2]Entry!$K$1045="","",[2]Entry!$K$1045)</f>
        <v/>
      </c>
      <c r="AD1042">
        <f>IF([2]Entry!$L$1045="","",[2]Entry!$L$1045)</f>
        <v/>
      </c>
      <c r="AE1042">
        <f>IF([2]Entry!$M$1045="","",[2]Entry!$M$1045)</f>
        <v/>
      </c>
      <c r="AF1042">
        <f>IF([2]Entry!$N$1045="","",[2]Entry!$N$1045)</f>
        <v/>
      </c>
      <c r="AJ1042">
        <f>IF([2]Entry!$S$1045="","",[2]Entry!$S$1045)</f>
        <v/>
      </c>
      <c r="AK1042">
        <f>IF([2]Entry!$C$1045="","",[2]Entry!$C$1045)</f>
        <v/>
      </c>
      <c r="AL1042">
        <f>IF([2]Entry!$D$1045="","",[2]Entry!$D$1045)</f>
        <v/>
      </c>
    </row>
    <row r="1043">
      <c r="Z1043">
        <f>IF([2]Entry!$E$1046="","",[2]Entry!$E$1046)</f>
        <v/>
      </c>
      <c r="AA1043">
        <f>IF([2]Entry!$G$1046="","",[2]Entry!$G$1046)</f>
        <v/>
      </c>
      <c r="AB1043">
        <f>IF([2]Entry!$J$1046="","",[2]Entry!$J$1046)</f>
        <v/>
      </c>
      <c r="AC1043">
        <f>IF([2]Entry!$K$1046="","",[2]Entry!$K$1046)</f>
        <v/>
      </c>
      <c r="AD1043">
        <f>IF([2]Entry!$L$1046="","",[2]Entry!$L$1046)</f>
        <v/>
      </c>
      <c r="AE1043">
        <f>IF([2]Entry!$M$1046="","",[2]Entry!$M$1046)</f>
        <v/>
      </c>
      <c r="AF1043">
        <f>IF([2]Entry!$N$1046="","",[2]Entry!$N$1046)</f>
        <v/>
      </c>
      <c r="AJ1043">
        <f>IF([2]Entry!$S$1046="","",[2]Entry!$S$1046)</f>
        <v/>
      </c>
      <c r="AK1043">
        <f>IF([2]Entry!$C$1046="","",[2]Entry!$C$1046)</f>
        <v/>
      </c>
      <c r="AL1043">
        <f>IF([2]Entry!$D$1046="","",[2]Entry!$D$1046)</f>
        <v/>
      </c>
    </row>
    <row r="1044">
      <c r="Z1044">
        <f>IF([2]Entry!$E$1047="","",[2]Entry!$E$1047)</f>
        <v/>
      </c>
      <c r="AA1044">
        <f>IF([2]Entry!$G$1047="","",[2]Entry!$G$1047)</f>
        <v/>
      </c>
      <c r="AB1044">
        <f>IF([2]Entry!$J$1047="","",[2]Entry!$J$1047)</f>
        <v/>
      </c>
      <c r="AC1044">
        <f>IF([2]Entry!$K$1047="","",[2]Entry!$K$1047)</f>
        <v/>
      </c>
      <c r="AD1044">
        <f>IF([2]Entry!$L$1047="","",[2]Entry!$L$1047)</f>
        <v/>
      </c>
      <c r="AE1044">
        <f>IF([2]Entry!$M$1047="","",[2]Entry!$M$1047)</f>
        <v/>
      </c>
      <c r="AF1044">
        <f>IF([2]Entry!$N$1047="","",[2]Entry!$N$1047)</f>
        <v/>
      </c>
      <c r="AJ1044">
        <f>IF([2]Entry!$S$1047="","",[2]Entry!$S$1047)</f>
        <v/>
      </c>
      <c r="AK1044">
        <f>IF([2]Entry!$C$1047="","",[2]Entry!$C$1047)</f>
        <v/>
      </c>
      <c r="AL1044">
        <f>IF([2]Entry!$D$1047="","",[2]Entry!$D$1047)</f>
        <v/>
      </c>
    </row>
    <row r="1045">
      <c r="Z1045">
        <f>IF([2]Entry!$E$1048="","",[2]Entry!$E$1048)</f>
        <v/>
      </c>
      <c r="AA1045">
        <f>IF([2]Entry!$G$1048="","",[2]Entry!$G$1048)</f>
        <v/>
      </c>
      <c r="AB1045">
        <f>IF([2]Entry!$J$1048="","",[2]Entry!$J$1048)</f>
        <v/>
      </c>
      <c r="AC1045">
        <f>IF([2]Entry!$K$1048="","",[2]Entry!$K$1048)</f>
        <v/>
      </c>
      <c r="AD1045">
        <f>IF([2]Entry!$L$1048="","",[2]Entry!$L$1048)</f>
        <v/>
      </c>
      <c r="AE1045">
        <f>IF([2]Entry!$M$1048="","",[2]Entry!$M$1048)</f>
        <v/>
      </c>
      <c r="AF1045">
        <f>IF([2]Entry!$N$1048="","",[2]Entry!$N$1048)</f>
        <v/>
      </c>
      <c r="AJ1045">
        <f>IF([2]Entry!$S$1048="","",[2]Entry!$S$1048)</f>
        <v/>
      </c>
      <c r="AK1045">
        <f>IF([2]Entry!$C$1048="","",[2]Entry!$C$1048)</f>
        <v/>
      </c>
      <c r="AL1045">
        <f>IF([2]Entry!$D$1048="","",[2]Entry!$D$1048)</f>
        <v/>
      </c>
    </row>
    <row r="1046">
      <c r="Z1046">
        <f>IF([2]Entry!$E$1049="","",[2]Entry!$E$1049)</f>
        <v/>
      </c>
      <c r="AA1046">
        <f>IF([2]Entry!$G$1049="","",[2]Entry!$G$1049)</f>
        <v/>
      </c>
      <c r="AB1046">
        <f>IF([2]Entry!$J$1049="","",[2]Entry!$J$1049)</f>
        <v/>
      </c>
      <c r="AC1046">
        <f>IF([2]Entry!$K$1049="","",[2]Entry!$K$1049)</f>
        <v/>
      </c>
      <c r="AD1046">
        <f>IF([2]Entry!$L$1049="","",[2]Entry!$L$1049)</f>
        <v/>
      </c>
      <c r="AE1046">
        <f>IF([2]Entry!$M$1049="","",[2]Entry!$M$1049)</f>
        <v/>
      </c>
      <c r="AF1046">
        <f>IF([2]Entry!$N$1049="","",[2]Entry!$N$1049)</f>
        <v/>
      </c>
      <c r="AJ1046">
        <f>IF([2]Entry!$S$1049="","",[2]Entry!$S$1049)</f>
        <v/>
      </c>
      <c r="AK1046">
        <f>IF([2]Entry!$C$1049="","",[2]Entry!$C$1049)</f>
        <v/>
      </c>
      <c r="AL1046">
        <f>IF([2]Entry!$D$1049="","",[2]Entry!$D$1049)</f>
        <v/>
      </c>
    </row>
    <row r="1047">
      <c r="Z1047">
        <f>IF([2]Entry!$E$1050="","",[2]Entry!$E$1050)</f>
        <v/>
      </c>
      <c r="AA1047">
        <f>IF([2]Entry!$G$1050="","",[2]Entry!$G$1050)</f>
        <v/>
      </c>
      <c r="AB1047">
        <f>IF([2]Entry!$J$1050="","",[2]Entry!$J$1050)</f>
        <v/>
      </c>
      <c r="AC1047">
        <f>IF([2]Entry!$K$1050="","",[2]Entry!$K$1050)</f>
        <v/>
      </c>
      <c r="AD1047">
        <f>IF([2]Entry!$L$1050="","",[2]Entry!$L$1050)</f>
        <v/>
      </c>
      <c r="AE1047">
        <f>IF([2]Entry!$M$1050="","",[2]Entry!$M$1050)</f>
        <v/>
      </c>
      <c r="AF1047">
        <f>IF([2]Entry!$N$1050="","",[2]Entry!$N$1050)</f>
        <v/>
      </c>
      <c r="AJ1047">
        <f>IF([2]Entry!$S$1050="","",[2]Entry!$S$1050)</f>
        <v/>
      </c>
      <c r="AK1047">
        <f>IF([2]Entry!$C$1050="","",[2]Entry!$C$1050)</f>
        <v/>
      </c>
      <c r="AL1047">
        <f>IF([2]Entry!$D$1050="","",[2]Entry!$D$1050)</f>
        <v/>
      </c>
    </row>
    <row r="1048">
      <c r="Z1048">
        <f>IF([2]Entry!$E$1051="","",[2]Entry!$E$1051)</f>
        <v/>
      </c>
      <c r="AA1048">
        <f>IF([2]Entry!$G$1051="","",[2]Entry!$G$1051)</f>
        <v/>
      </c>
      <c r="AB1048">
        <f>IF([2]Entry!$J$1051="","",[2]Entry!$J$1051)</f>
        <v/>
      </c>
      <c r="AC1048">
        <f>IF([2]Entry!$K$1051="","",[2]Entry!$K$1051)</f>
        <v/>
      </c>
      <c r="AD1048">
        <f>IF([2]Entry!$L$1051="","",[2]Entry!$L$1051)</f>
        <v/>
      </c>
      <c r="AE1048">
        <f>IF([2]Entry!$M$1051="","",[2]Entry!$M$1051)</f>
        <v/>
      </c>
      <c r="AF1048">
        <f>IF([2]Entry!$N$1051="","",[2]Entry!$N$1051)</f>
        <v/>
      </c>
      <c r="AJ1048">
        <f>IF([2]Entry!$S$1051="","",[2]Entry!$S$1051)</f>
        <v/>
      </c>
      <c r="AK1048">
        <f>IF([2]Entry!$C$1051="","",[2]Entry!$C$1051)</f>
        <v/>
      </c>
      <c r="AL1048">
        <f>IF([2]Entry!$D$1051="","",[2]Entry!$D$1051)</f>
        <v/>
      </c>
    </row>
    <row r="1049">
      <c r="Z1049">
        <f>IF([2]Entry!$E$1052="","",[2]Entry!$E$1052)</f>
        <v/>
      </c>
      <c r="AA1049">
        <f>IF([2]Entry!$G$1052="","",[2]Entry!$G$1052)</f>
        <v/>
      </c>
      <c r="AB1049">
        <f>IF([2]Entry!$J$1052="","",[2]Entry!$J$1052)</f>
        <v/>
      </c>
      <c r="AC1049">
        <f>IF([2]Entry!$K$1052="","",[2]Entry!$K$1052)</f>
        <v/>
      </c>
      <c r="AD1049">
        <f>IF([2]Entry!$L$1052="","",[2]Entry!$L$1052)</f>
        <v/>
      </c>
      <c r="AE1049">
        <f>IF([2]Entry!$M$1052="","",[2]Entry!$M$1052)</f>
        <v/>
      </c>
      <c r="AF1049">
        <f>IF([2]Entry!$N$1052="","",[2]Entry!$N$1052)</f>
        <v/>
      </c>
      <c r="AJ1049">
        <f>IF([2]Entry!$S$1052="","",[2]Entry!$S$1052)</f>
        <v/>
      </c>
      <c r="AK1049">
        <f>IF([2]Entry!$C$1052="","",[2]Entry!$C$1052)</f>
        <v/>
      </c>
      <c r="AL1049">
        <f>IF([2]Entry!$D$1052="","",[2]Entry!$D$1052)</f>
        <v/>
      </c>
    </row>
    <row r="1050">
      <c r="Z1050">
        <f>IF([2]Entry!$E$1053="","",[2]Entry!$E$1053)</f>
        <v/>
      </c>
      <c r="AA1050">
        <f>IF([2]Entry!$G$1053="","",[2]Entry!$G$1053)</f>
        <v/>
      </c>
      <c r="AB1050">
        <f>IF([2]Entry!$J$1053="","",[2]Entry!$J$1053)</f>
        <v/>
      </c>
      <c r="AC1050">
        <f>IF([2]Entry!$K$1053="","",[2]Entry!$K$1053)</f>
        <v/>
      </c>
      <c r="AD1050">
        <f>IF([2]Entry!$L$1053="","",[2]Entry!$L$1053)</f>
        <v/>
      </c>
      <c r="AE1050">
        <f>IF([2]Entry!$M$1053="","",[2]Entry!$M$1053)</f>
        <v/>
      </c>
      <c r="AF1050">
        <f>IF([2]Entry!$N$1053="","",[2]Entry!$N$1053)</f>
        <v/>
      </c>
      <c r="AJ1050">
        <f>IF([2]Entry!$S$1053="","",[2]Entry!$S$1053)</f>
        <v/>
      </c>
      <c r="AK1050">
        <f>IF([2]Entry!$C$1053="","",[2]Entry!$C$1053)</f>
        <v/>
      </c>
      <c r="AL1050">
        <f>IF([2]Entry!$D$1053="","",[2]Entry!$D$1053)</f>
        <v/>
      </c>
    </row>
    <row r="1051">
      <c r="Z1051">
        <f>IF([2]Entry!$E$1054="","",[2]Entry!$E$1054)</f>
        <v/>
      </c>
      <c r="AA1051">
        <f>IF([2]Entry!$G$1054="","",[2]Entry!$G$1054)</f>
        <v/>
      </c>
      <c r="AB1051">
        <f>IF([2]Entry!$J$1054="","",[2]Entry!$J$1054)</f>
        <v/>
      </c>
      <c r="AC1051">
        <f>IF([2]Entry!$K$1054="","",[2]Entry!$K$1054)</f>
        <v/>
      </c>
      <c r="AD1051">
        <f>IF([2]Entry!$L$1054="","",[2]Entry!$L$1054)</f>
        <v/>
      </c>
      <c r="AE1051">
        <f>IF([2]Entry!$M$1054="","",[2]Entry!$M$1054)</f>
        <v/>
      </c>
      <c r="AF1051">
        <f>IF([2]Entry!$N$1054="","",[2]Entry!$N$1054)</f>
        <v/>
      </c>
      <c r="AJ1051">
        <f>IF([2]Entry!$S$1054="","",[2]Entry!$S$1054)</f>
        <v/>
      </c>
      <c r="AK1051">
        <f>IF([2]Entry!$C$1054="","",[2]Entry!$C$1054)</f>
        <v/>
      </c>
      <c r="AL1051">
        <f>IF([2]Entry!$D$1054="","",[2]Entry!$D$1054)</f>
        <v/>
      </c>
    </row>
    <row r="1052">
      <c r="Z1052">
        <f>IF([2]Entry!$E$1055="","",[2]Entry!$E$1055)</f>
        <v/>
      </c>
      <c r="AA1052">
        <f>IF([2]Entry!$G$1055="","",[2]Entry!$G$1055)</f>
        <v/>
      </c>
      <c r="AB1052">
        <f>IF([2]Entry!$J$1055="","",[2]Entry!$J$1055)</f>
        <v/>
      </c>
      <c r="AC1052">
        <f>IF([2]Entry!$K$1055="","",[2]Entry!$K$1055)</f>
        <v/>
      </c>
      <c r="AD1052">
        <f>IF([2]Entry!$L$1055="","",[2]Entry!$L$1055)</f>
        <v/>
      </c>
      <c r="AE1052">
        <f>IF([2]Entry!$M$1055="","",[2]Entry!$M$1055)</f>
        <v/>
      </c>
      <c r="AF1052">
        <f>IF([2]Entry!$N$1055="","",[2]Entry!$N$1055)</f>
        <v/>
      </c>
      <c r="AJ1052">
        <f>IF([2]Entry!$S$1055="","",[2]Entry!$S$1055)</f>
        <v/>
      </c>
      <c r="AK1052">
        <f>IF([2]Entry!$C$1055="","",[2]Entry!$C$1055)</f>
        <v/>
      </c>
      <c r="AL1052">
        <f>IF([2]Entry!$D$1055="","",[2]Entry!$D$1055)</f>
        <v/>
      </c>
    </row>
    <row r="1053">
      <c r="Z1053">
        <f>IF([2]Entry!$E$1056="","",[2]Entry!$E$1056)</f>
        <v/>
      </c>
      <c r="AA1053">
        <f>IF([2]Entry!$G$1056="","",[2]Entry!$G$1056)</f>
        <v/>
      </c>
      <c r="AB1053">
        <f>IF([2]Entry!$J$1056="","",[2]Entry!$J$1056)</f>
        <v/>
      </c>
      <c r="AC1053">
        <f>IF([2]Entry!$K$1056="","",[2]Entry!$K$1056)</f>
        <v/>
      </c>
      <c r="AD1053">
        <f>IF([2]Entry!$L$1056="","",[2]Entry!$L$1056)</f>
        <v/>
      </c>
      <c r="AE1053">
        <f>IF([2]Entry!$M$1056="","",[2]Entry!$M$1056)</f>
        <v/>
      </c>
      <c r="AF1053">
        <f>IF([2]Entry!$N$1056="","",[2]Entry!$N$1056)</f>
        <v/>
      </c>
      <c r="AJ1053">
        <f>IF([2]Entry!$S$1056="","",[2]Entry!$S$1056)</f>
        <v/>
      </c>
      <c r="AK1053">
        <f>IF([2]Entry!$C$1056="","",[2]Entry!$C$1056)</f>
        <v/>
      </c>
      <c r="AL1053">
        <f>IF([2]Entry!$D$1056="","",[2]Entry!$D$1056)</f>
        <v/>
      </c>
    </row>
    <row r="1054">
      <c r="Z1054">
        <f>IF([2]Entry!$E$1057="","",[2]Entry!$E$1057)</f>
        <v/>
      </c>
      <c r="AA1054">
        <f>IF([2]Entry!$G$1057="","",[2]Entry!$G$1057)</f>
        <v/>
      </c>
      <c r="AB1054">
        <f>IF([2]Entry!$J$1057="","",[2]Entry!$J$1057)</f>
        <v/>
      </c>
      <c r="AC1054">
        <f>IF([2]Entry!$K$1057="","",[2]Entry!$K$1057)</f>
        <v/>
      </c>
      <c r="AD1054">
        <f>IF([2]Entry!$L$1057="","",[2]Entry!$L$1057)</f>
        <v/>
      </c>
      <c r="AE1054">
        <f>IF([2]Entry!$M$1057="","",[2]Entry!$M$1057)</f>
        <v/>
      </c>
      <c r="AF1054">
        <f>IF([2]Entry!$N$1057="","",[2]Entry!$N$1057)</f>
        <v/>
      </c>
      <c r="AJ1054">
        <f>IF([2]Entry!$S$1057="","",[2]Entry!$S$1057)</f>
        <v/>
      </c>
      <c r="AK1054">
        <f>IF([2]Entry!$C$1057="","",[2]Entry!$C$1057)</f>
        <v/>
      </c>
      <c r="AL1054">
        <f>IF([2]Entry!$D$1057="","",[2]Entry!$D$1057)</f>
        <v/>
      </c>
    </row>
    <row r="1055">
      <c r="Z1055">
        <f>IF([2]Entry!$E$1058="","",[2]Entry!$E$1058)</f>
        <v/>
      </c>
      <c r="AA1055">
        <f>IF([2]Entry!$G$1058="","",[2]Entry!$G$1058)</f>
        <v/>
      </c>
      <c r="AB1055">
        <f>IF([2]Entry!$J$1058="","",[2]Entry!$J$1058)</f>
        <v/>
      </c>
      <c r="AC1055">
        <f>IF([2]Entry!$K$1058="","",[2]Entry!$K$1058)</f>
        <v/>
      </c>
      <c r="AD1055">
        <f>IF([2]Entry!$L$1058="","",[2]Entry!$L$1058)</f>
        <v/>
      </c>
      <c r="AE1055">
        <f>IF([2]Entry!$M$1058="","",[2]Entry!$M$1058)</f>
        <v/>
      </c>
      <c r="AF1055">
        <f>IF([2]Entry!$N$1058="","",[2]Entry!$N$1058)</f>
        <v/>
      </c>
      <c r="AJ1055">
        <f>IF([2]Entry!$S$1058="","",[2]Entry!$S$1058)</f>
        <v/>
      </c>
      <c r="AK1055">
        <f>IF([2]Entry!$C$1058="","",[2]Entry!$C$1058)</f>
        <v/>
      </c>
      <c r="AL1055">
        <f>IF([2]Entry!$D$1058="","",[2]Entry!$D$1058)</f>
        <v/>
      </c>
    </row>
    <row r="1056">
      <c r="Z1056">
        <f>IF([2]Entry!$E$1059="","",[2]Entry!$E$1059)</f>
        <v/>
      </c>
      <c r="AA1056">
        <f>IF([2]Entry!$G$1059="","",[2]Entry!$G$1059)</f>
        <v/>
      </c>
      <c r="AB1056">
        <f>IF([2]Entry!$J$1059="","",[2]Entry!$J$1059)</f>
        <v/>
      </c>
      <c r="AC1056">
        <f>IF([2]Entry!$K$1059="","",[2]Entry!$K$1059)</f>
        <v/>
      </c>
      <c r="AD1056">
        <f>IF([2]Entry!$L$1059="","",[2]Entry!$L$1059)</f>
        <v/>
      </c>
      <c r="AE1056">
        <f>IF([2]Entry!$M$1059="","",[2]Entry!$M$1059)</f>
        <v/>
      </c>
      <c r="AF1056">
        <f>IF([2]Entry!$N$1059="","",[2]Entry!$N$1059)</f>
        <v/>
      </c>
      <c r="AJ1056">
        <f>IF([2]Entry!$S$1059="","",[2]Entry!$S$1059)</f>
        <v/>
      </c>
      <c r="AK1056">
        <f>IF([2]Entry!$C$1059="","",[2]Entry!$C$1059)</f>
        <v/>
      </c>
      <c r="AL1056">
        <f>IF([2]Entry!$D$1059="","",[2]Entry!$D$1059)</f>
        <v/>
      </c>
    </row>
    <row r="1057">
      <c r="Z1057">
        <f>IF([2]Entry!$E$1060="","",[2]Entry!$E$1060)</f>
        <v/>
      </c>
      <c r="AA1057">
        <f>IF([2]Entry!$G$1060="","",[2]Entry!$G$1060)</f>
        <v/>
      </c>
      <c r="AB1057">
        <f>IF([2]Entry!$J$1060="","",[2]Entry!$J$1060)</f>
        <v/>
      </c>
      <c r="AC1057">
        <f>IF([2]Entry!$K$1060="","",[2]Entry!$K$1060)</f>
        <v/>
      </c>
      <c r="AD1057">
        <f>IF([2]Entry!$L$1060="","",[2]Entry!$L$1060)</f>
        <v/>
      </c>
      <c r="AE1057">
        <f>IF([2]Entry!$M$1060="","",[2]Entry!$M$1060)</f>
        <v/>
      </c>
      <c r="AF1057">
        <f>IF([2]Entry!$N$1060="","",[2]Entry!$N$1060)</f>
        <v/>
      </c>
      <c r="AJ1057">
        <f>IF([2]Entry!$S$1060="","",[2]Entry!$S$1060)</f>
        <v/>
      </c>
      <c r="AK1057">
        <f>IF([2]Entry!$C$1060="","",[2]Entry!$C$1060)</f>
        <v/>
      </c>
      <c r="AL1057">
        <f>IF([2]Entry!$D$1060="","",[2]Entry!$D$1060)</f>
        <v/>
      </c>
    </row>
    <row r="1058">
      <c r="Z1058">
        <f>IF([2]Entry!$E$1061="","",[2]Entry!$E$1061)</f>
        <v/>
      </c>
      <c r="AA1058">
        <f>IF([2]Entry!$G$1061="","",[2]Entry!$G$1061)</f>
        <v/>
      </c>
      <c r="AB1058">
        <f>IF([2]Entry!$J$1061="","",[2]Entry!$J$1061)</f>
        <v/>
      </c>
      <c r="AC1058">
        <f>IF([2]Entry!$K$1061="","",[2]Entry!$K$1061)</f>
        <v/>
      </c>
      <c r="AD1058">
        <f>IF([2]Entry!$L$1061="","",[2]Entry!$L$1061)</f>
        <v/>
      </c>
      <c r="AE1058">
        <f>IF([2]Entry!$M$1061="","",[2]Entry!$M$1061)</f>
        <v/>
      </c>
      <c r="AF1058">
        <f>IF([2]Entry!$N$1061="","",[2]Entry!$N$1061)</f>
        <v/>
      </c>
      <c r="AJ1058">
        <f>IF([2]Entry!$S$1061="","",[2]Entry!$S$1061)</f>
        <v/>
      </c>
      <c r="AK1058">
        <f>IF([2]Entry!$C$1061="","",[2]Entry!$C$1061)</f>
        <v/>
      </c>
      <c r="AL1058">
        <f>IF([2]Entry!$D$1061="","",[2]Entry!$D$1061)</f>
        <v/>
      </c>
    </row>
    <row r="1059">
      <c r="Z1059">
        <f>IF([2]Entry!$E$1062="","",[2]Entry!$E$1062)</f>
        <v/>
      </c>
      <c r="AA1059">
        <f>IF([2]Entry!$G$1062="","",[2]Entry!$G$1062)</f>
        <v/>
      </c>
      <c r="AB1059">
        <f>IF([2]Entry!$J$1062="","",[2]Entry!$J$1062)</f>
        <v/>
      </c>
      <c r="AC1059">
        <f>IF([2]Entry!$K$1062="","",[2]Entry!$K$1062)</f>
        <v/>
      </c>
      <c r="AD1059">
        <f>IF([2]Entry!$L$1062="","",[2]Entry!$L$1062)</f>
        <v/>
      </c>
      <c r="AE1059">
        <f>IF([2]Entry!$M$1062="","",[2]Entry!$M$1062)</f>
        <v/>
      </c>
      <c r="AF1059">
        <f>IF([2]Entry!$N$1062="","",[2]Entry!$N$1062)</f>
        <v/>
      </c>
      <c r="AJ1059">
        <f>IF([2]Entry!$S$1062="","",[2]Entry!$S$1062)</f>
        <v/>
      </c>
      <c r="AK1059">
        <f>IF([2]Entry!$C$1062="","",[2]Entry!$C$1062)</f>
        <v/>
      </c>
      <c r="AL1059">
        <f>IF([2]Entry!$D$1062="","",[2]Entry!$D$1062)</f>
        <v/>
      </c>
    </row>
    <row r="1060">
      <c r="Z1060">
        <f>IF([2]Entry!$E$1063="","",[2]Entry!$E$1063)</f>
        <v/>
      </c>
      <c r="AA1060">
        <f>IF([2]Entry!$G$1063="","",[2]Entry!$G$1063)</f>
        <v/>
      </c>
      <c r="AB1060">
        <f>IF([2]Entry!$J$1063="","",[2]Entry!$J$1063)</f>
        <v/>
      </c>
      <c r="AC1060">
        <f>IF([2]Entry!$K$1063="","",[2]Entry!$K$1063)</f>
        <v/>
      </c>
      <c r="AD1060">
        <f>IF([2]Entry!$L$1063="","",[2]Entry!$L$1063)</f>
        <v/>
      </c>
      <c r="AE1060">
        <f>IF([2]Entry!$M$1063="","",[2]Entry!$M$1063)</f>
        <v/>
      </c>
      <c r="AF1060">
        <f>IF([2]Entry!$N$1063="","",[2]Entry!$N$1063)</f>
        <v/>
      </c>
      <c r="AJ1060">
        <f>IF([2]Entry!$S$1063="","",[2]Entry!$S$1063)</f>
        <v/>
      </c>
      <c r="AK1060">
        <f>IF([2]Entry!$C$1063="","",[2]Entry!$C$1063)</f>
        <v/>
      </c>
      <c r="AL1060">
        <f>IF([2]Entry!$D$1063="","",[2]Entry!$D$1063)</f>
        <v/>
      </c>
    </row>
    <row r="1061">
      <c r="Z1061">
        <f>IF([2]Entry!$E$1064="","",[2]Entry!$E$1064)</f>
        <v/>
      </c>
      <c r="AA1061">
        <f>IF([2]Entry!$G$1064="","",[2]Entry!$G$1064)</f>
        <v/>
      </c>
      <c r="AB1061">
        <f>IF([2]Entry!$J$1064="","",[2]Entry!$J$1064)</f>
        <v/>
      </c>
      <c r="AC1061">
        <f>IF([2]Entry!$K$1064="","",[2]Entry!$K$1064)</f>
        <v/>
      </c>
      <c r="AD1061">
        <f>IF([2]Entry!$L$1064="","",[2]Entry!$L$1064)</f>
        <v/>
      </c>
      <c r="AE1061">
        <f>IF([2]Entry!$M$1064="","",[2]Entry!$M$1064)</f>
        <v/>
      </c>
      <c r="AF1061">
        <f>IF([2]Entry!$N$1064="","",[2]Entry!$N$1064)</f>
        <v/>
      </c>
      <c r="AJ1061">
        <f>IF([2]Entry!$S$1064="","",[2]Entry!$S$1064)</f>
        <v/>
      </c>
      <c r="AK1061">
        <f>IF([2]Entry!$C$1064="","",[2]Entry!$C$1064)</f>
        <v/>
      </c>
      <c r="AL1061">
        <f>IF([2]Entry!$D$1064="","",[2]Entry!$D$1064)</f>
        <v/>
      </c>
    </row>
    <row r="1062">
      <c r="Z1062">
        <f>IF([2]Entry!$E$1065="","",[2]Entry!$E$1065)</f>
        <v/>
      </c>
      <c r="AA1062">
        <f>IF([2]Entry!$G$1065="","",[2]Entry!$G$1065)</f>
        <v/>
      </c>
      <c r="AB1062">
        <f>IF([2]Entry!$J$1065="","",[2]Entry!$J$1065)</f>
        <v/>
      </c>
      <c r="AC1062">
        <f>IF([2]Entry!$K$1065="","",[2]Entry!$K$1065)</f>
        <v/>
      </c>
      <c r="AD1062">
        <f>IF([2]Entry!$L$1065="","",[2]Entry!$L$1065)</f>
        <v/>
      </c>
      <c r="AE1062">
        <f>IF([2]Entry!$M$1065="","",[2]Entry!$M$1065)</f>
        <v/>
      </c>
      <c r="AF1062">
        <f>IF([2]Entry!$N$1065="","",[2]Entry!$N$1065)</f>
        <v/>
      </c>
      <c r="AJ1062">
        <f>IF([2]Entry!$S$1065="","",[2]Entry!$S$1065)</f>
        <v/>
      </c>
      <c r="AK1062">
        <f>IF([2]Entry!$C$1065="","",[2]Entry!$C$1065)</f>
        <v/>
      </c>
      <c r="AL1062">
        <f>IF([2]Entry!$D$1065="","",[2]Entry!$D$1065)</f>
        <v/>
      </c>
    </row>
    <row r="1063">
      <c r="Z1063">
        <f>IF([2]Entry!$E$1066="","",[2]Entry!$E$1066)</f>
        <v/>
      </c>
      <c r="AA1063">
        <f>IF([2]Entry!$G$1066="","",[2]Entry!$G$1066)</f>
        <v/>
      </c>
      <c r="AB1063">
        <f>IF([2]Entry!$J$1066="","",[2]Entry!$J$1066)</f>
        <v/>
      </c>
      <c r="AC1063">
        <f>IF([2]Entry!$K$1066="","",[2]Entry!$K$1066)</f>
        <v/>
      </c>
      <c r="AD1063">
        <f>IF([2]Entry!$L$1066="","",[2]Entry!$L$1066)</f>
        <v/>
      </c>
      <c r="AE1063">
        <f>IF([2]Entry!$M$1066="","",[2]Entry!$M$1066)</f>
        <v/>
      </c>
      <c r="AF1063">
        <f>IF([2]Entry!$N$1066="","",[2]Entry!$N$1066)</f>
        <v/>
      </c>
      <c r="AJ1063">
        <f>IF([2]Entry!$S$1066="","",[2]Entry!$S$1066)</f>
        <v/>
      </c>
      <c r="AK1063">
        <f>IF([2]Entry!$C$1066="","",[2]Entry!$C$1066)</f>
        <v/>
      </c>
      <c r="AL1063">
        <f>IF([2]Entry!$D$1066="","",[2]Entry!$D$1066)</f>
        <v/>
      </c>
    </row>
    <row r="1064">
      <c r="Z1064">
        <f>IF([2]Entry!$E$1067="","",[2]Entry!$E$1067)</f>
        <v/>
      </c>
      <c r="AA1064">
        <f>IF([2]Entry!$G$1067="","",[2]Entry!$G$1067)</f>
        <v/>
      </c>
      <c r="AB1064">
        <f>IF([2]Entry!$J$1067="","",[2]Entry!$J$1067)</f>
        <v/>
      </c>
      <c r="AC1064">
        <f>IF([2]Entry!$K$1067="","",[2]Entry!$K$1067)</f>
        <v/>
      </c>
      <c r="AD1064">
        <f>IF([2]Entry!$L$1067="","",[2]Entry!$L$1067)</f>
        <v/>
      </c>
      <c r="AE1064">
        <f>IF([2]Entry!$M$1067="","",[2]Entry!$M$1067)</f>
        <v/>
      </c>
      <c r="AF1064">
        <f>IF([2]Entry!$N$1067="","",[2]Entry!$N$1067)</f>
        <v/>
      </c>
      <c r="AJ1064">
        <f>IF([2]Entry!$S$1067="","",[2]Entry!$S$1067)</f>
        <v/>
      </c>
      <c r="AK1064">
        <f>IF([2]Entry!$C$1067="","",[2]Entry!$C$1067)</f>
        <v/>
      </c>
      <c r="AL1064">
        <f>IF([2]Entry!$D$1067="","",[2]Entry!$D$1067)</f>
        <v/>
      </c>
    </row>
    <row r="1065">
      <c r="Z1065">
        <f>IF([2]Entry!$E$1068="","",[2]Entry!$E$1068)</f>
        <v/>
      </c>
      <c r="AA1065">
        <f>IF([2]Entry!$G$1068="","",[2]Entry!$G$1068)</f>
        <v/>
      </c>
      <c r="AB1065">
        <f>IF([2]Entry!$J$1068="","",[2]Entry!$J$1068)</f>
        <v/>
      </c>
      <c r="AC1065">
        <f>IF([2]Entry!$K$1068="","",[2]Entry!$K$1068)</f>
        <v/>
      </c>
      <c r="AD1065">
        <f>IF([2]Entry!$L$1068="","",[2]Entry!$L$1068)</f>
        <v/>
      </c>
      <c r="AE1065">
        <f>IF([2]Entry!$M$1068="","",[2]Entry!$M$1068)</f>
        <v/>
      </c>
      <c r="AF1065">
        <f>IF([2]Entry!$N$1068="","",[2]Entry!$N$1068)</f>
        <v/>
      </c>
      <c r="AJ1065">
        <f>IF([2]Entry!$S$1068="","",[2]Entry!$S$1068)</f>
        <v/>
      </c>
      <c r="AK1065">
        <f>IF([2]Entry!$C$1068="","",[2]Entry!$C$1068)</f>
        <v/>
      </c>
      <c r="AL1065">
        <f>IF([2]Entry!$D$1068="","",[2]Entry!$D$1068)</f>
        <v/>
      </c>
    </row>
    <row r="1066">
      <c r="Z1066">
        <f>IF([2]Entry!$E$1069="","",[2]Entry!$E$1069)</f>
        <v/>
      </c>
      <c r="AA1066">
        <f>IF([2]Entry!$G$1069="","",[2]Entry!$G$1069)</f>
        <v/>
      </c>
      <c r="AB1066">
        <f>IF([2]Entry!$J$1069="","",[2]Entry!$J$1069)</f>
        <v/>
      </c>
      <c r="AC1066">
        <f>IF([2]Entry!$K$1069="","",[2]Entry!$K$1069)</f>
        <v/>
      </c>
      <c r="AD1066">
        <f>IF([2]Entry!$L$1069="","",[2]Entry!$L$1069)</f>
        <v/>
      </c>
      <c r="AE1066">
        <f>IF([2]Entry!$M$1069="","",[2]Entry!$M$1069)</f>
        <v/>
      </c>
      <c r="AF1066">
        <f>IF([2]Entry!$N$1069="","",[2]Entry!$N$1069)</f>
        <v/>
      </c>
      <c r="AJ1066">
        <f>IF([2]Entry!$S$1069="","",[2]Entry!$S$1069)</f>
        <v/>
      </c>
      <c r="AK1066">
        <f>IF([2]Entry!$C$1069="","",[2]Entry!$C$1069)</f>
        <v/>
      </c>
      <c r="AL1066">
        <f>IF([2]Entry!$D$1069="","",[2]Entry!$D$1069)</f>
        <v/>
      </c>
    </row>
    <row r="1067">
      <c r="Z1067">
        <f>IF([2]Entry!$E$1070="","",[2]Entry!$E$1070)</f>
        <v/>
      </c>
      <c r="AA1067">
        <f>IF([2]Entry!$G$1070="","",[2]Entry!$G$1070)</f>
        <v/>
      </c>
      <c r="AB1067">
        <f>IF([2]Entry!$J$1070="","",[2]Entry!$J$1070)</f>
        <v/>
      </c>
      <c r="AC1067">
        <f>IF([2]Entry!$K$1070="","",[2]Entry!$K$1070)</f>
        <v/>
      </c>
      <c r="AD1067">
        <f>IF([2]Entry!$L$1070="","",[2]Entry!$L$1070)</f>
        <v/>
      </c>
      <c r="AE1067">
        <f>IF([2]Entry!$M$1070="","",[2]Entry!$M$1070)</f>
        <v/>
      </c>
      <c r="AF1067">
        <f>IF([2]Entry!$N$1070="","",[2]Entry!$N$1070)</f>
        <v/>
      </c>
      <c r="AJ1067">
        <f>IF([2]Entry!$S$1070="","",[2]Entry!$S$1070)</f>
        <v/>
      </c>
      <c r="AK1067">
        <f>IF([2]Entry!$C$1070="","",[2]Entry!$C$1070)</f>
        <v/>
      </c>
      <c r="AL1067">
        <f>IF([2]Entry!$D$1070="","",[2]Entry!$D$1070)</f>
        <v/>
      </c>
    </row>
    <row r="1068">
      <c r="Z1068">
        <f>IF([2]Entry!$E$1071="","",[2]Entry!$E$1071)</f>
        <v/>
      </c>
      <c r="AA1068">
        <f>IF([2]Entry!$G$1071="","",[2]Entry!$G$1071)</f>
        <v/>
      </c>
      <c r="AB1068">
        <f>IF([2]Entry!$J$1071="","",[2]Entry!$J$1071)</f>
        <v/>
      </c>
      <c r="AC1068">
        <f>IF([2]Entry!$K$1071="","",[2]Entry!$K$1071)</f>
        <v/>
      </c>
      <c r="AD1068">
        <f>IF([2]Entry!$L$1071="","",[2]Entry!$L$1071)</f>
        <v/>
      </c>
      <c r="AE1068">
        <f>IF([2]Entry!$M$1071="","",[2]Entry!$M$1071)</f>
        <v/>
      </c>
      <c r="AF1068">
        <f>IF([2]Entry!$N$1071="","",[2]Entry!$N$1071)</f>
        <v/>
      </c>
      <c r="AJ1068">
        <f>IF([2]Entry!$S$1071="","",[2]Entry!$S$1071)</f>
        <v/>
      </c>
      <c r="AK1068">
        <f>IF([2]Entry!$C$1071="","",[2]Entry!$C$1071)</f>
        <v/>
      </c>
      <c r="AL1068">
        <f>IF([2]Entry!$D$1071="","",[2]Entry!$D$1071)</f>
        <v/>
      </c>
    </row>
    <row r="1069">
      <c r="Z1069">
        <f>IF([2]Entry!$E$1072="","",[2]Entry!$E$1072)</f>
        <v/>
      </c>
      <c r="AA1069">
        <f>IF([2]Entry!$G$1072="","",[2]Entry!$G$1072)</f>
        <v/>
      </c>
      <c r="AB1069">
        <f>IF([2]Entry!$J$1072="","",[2]Entry!$J$1072)</f>
        <v/>
      </c>
      <c r="AC1069">
        <f>IF([2]Entry!$K$1072="","",[2]Entry!$K$1072)</f>
        <v/>
      </c>
      <c r="AD1069">
        <f>IF([2]Entry!$L$1072="","",[2]Entry!$L$1072)</f>
        <v/>
      </c>
      <c r="AE1069">
        <f>IF([2]Entry!$M$1072="","",[2]Entry!$M$1072)</f>
        <v/>
      </c>
      <c r="AF1069">
        <f>IF([2]Entry!$N$1072="","",[2]Entry!$N$1072)</f>
        <v/>
      </c>
      <c r="AJ1069">
        <f>IF([2]Entry!$S$1072="","",[2]Entry!$S$1072)</f>
        <v/>
      </c>
      <c r="AK1069">
        <f>IF([2]Entry!$C$1072="","",[2]Entry!$C$1072)</f>
        <v/>
      </c>
      <c r="AL1069">
        <f>IF([2]Entry!$D$1072="","",[2]Entry!$D$1072)</f>
        <v/>
      </c>
    </row>
    <row r="1070">
      <c r="Z1070">
        <f>IF([2]Entry!$E$1073="","",[2]Entry!$E$1073)</f>
        <v/>
      </c>
      <c r="AA1070">
        <f>IF([2]Entry!$G$1073="","",[2]Entry!$G$1073)</f>
        <v/>
      </c>
      <c r="AB1070">
        <f>IF([2]Entry!$J$1073="","",[2]Entry!$J$1073)</f>
        <v/>
      </c>
      <c r="AC1070">
        <f>IF([2]Entry!$K$1073="","",[2]Entry!$K$1073)</f>
        <v/>
      </c>
      <c r="AD1070">
        <f>IF([2]Entry!$L$1073="","",[2]Entry!$L$1073)</f>
        <v/>
      </c>
      <c r="AE1070">
        <f>IF([2]Entry!$M$1073="","",[2]Entry!$M$1073)</f>
        <v/>
      </c>
      <c r="AF1070">
        <f>IF([2]Entry!$N$1073="","",[2]Entry!$N$1073)</f>
        <v/>
      </c>
      <c r="AJ1070">
        <f>IF([2]Entry!$S$1073="","",[2]Entry!$S$1073)</f>
        <v/>
      </c>
      <c r="AK1070">
        <f>IF([2]Entry!$C$1073="","",[2]Entry!$C$1073)</f>
        <v/>
      </c>
      <c r="AL1070">
        <f>IF([2]Entry!$D$1073="","",[2]Entry!$D$1073)</f>
        <v/>
      </c>
    </row>
    <row r="1071">
      <c r="Z1071">
        <f>IF([2]Entry!$E$1074="","",[2]Entry!$E$1074)</f>
        <v/>
      </c>
      <c r="AA1071">
        <f>IF([2]Entry!$G$1074="","",[2]Entry!$G$1074)</f>
        <v/>
      </c>
      <c r="AB1071">
        <f>IF([2]Entry!$J$1074="","",[2]Entry!$J$1074)</f>
        <v/>
      </c>
      <c r="AC1071">
        <f>IF([2]Entry!$K$1074="","",[2]Entry!$K$1074)</f>
        <v/>
      </c>
      <c r="AD1071">
        <f>IF([2]Entry!$L$1074="","",[2]Entry!$L$1074)</f>
        <v/>
      </c>
      <c r="AE1071">
        <f>IF([2]Entry!$M$1074="","",[2]Entry!$M$1074)</f>
        <v/>
      </c>
      <c r="AF1071">
        <f>IF([2]Entry!$N$1074="","",[2]Entry!$N$1074)</f>
        <v/>
      </c>
      <c r="AJ1071">
        <f>IF([2]Entry!$S$1074="","",[2]Entry!$S$1074)</f>
        <v/>
      </c>
      <c r="AK1071">
        <f>IF([2]Entry!$C$1074="","",[2]Entry!$C$1074)</f>
        <v/>
      </c>
      <c r="AL1071">
        <f>IF([2]Entry!$D$1074="","",[2]Entry!$D$1074)</f>
        <v/>
      </c>
    </row>
    <row r="1072">
      <c r="Z1072">
        <f>IF([2]Entry!$E$1075="","",[2]Entry!$E$1075)</f>
        <v/>
      </c>
      <c r="AA1072">
        <f>IF([2]Entry!$G$1075="","",[2]Entry!$G$1075)</f>
        <v/>
      </c>
      <c r="AB1072">
        <f>IF([2]Entry!$J$1075="","",[2]Entry!$J$1075)</f>
        <v/>
      </c>
      <c r="AC1072">
        <f>IF([2]Entry!$K$1075="","",[2]Entry!$K$1075)</f>
        <v/>
      </c>
      <c r="AD1072">
        <f>IF([2]Entry!$L$1075="","",[2]Entry!$L$1075)</f>
        <v/>
      </c>
      <c r="AE1072">
        <f>IF([2]Entry!$M$1075="","",[2]Entry!$M$1075)</f>
        <v/>
      </c>
      <c r="AF1072">
        <f>IF([2]Entry!$N$1075="","",[2]Entry!$N$1075)</f>
        <v/>
      </c>
      <c r="AJ1072">
        <f>IF([2]Entry!$S$1075="","",[2]Entry!$S$1075)</f>
        <v/>
      </c>
      <c r="AK1072">
        <f>IF([2]Entry!$C$1075="","",[2]Entry!$C$1075)</f>
        <v/>
      </c>
      <c r="AL1072">
        <f>IF([2]Entry!$D$1075="","",[2]Entry!$D$1075)</f>
        <v/>
      </c>
    </row>
    <row r="1073">
      <c r="Z1073">
        <f>IF([2]Entry!$E$1076="","",[2]Entry!$E$1076)</f>
        <v/>
      </c>
      <c r="AA1073">
        <f>IF([2]Entry!$G$1076="","",[2]Entry!$G$1076)</f>
        <v/>
      </c>
      <c r="AB1073">
        <f>IF([2]Entry!$J$1076="","",[2]Entry!$J$1076)</f>
        <v/>
      </c>
      <c r="AC1073">
        <f>IF([2]Entry!$K$1076="","",[2]Entry!$K$1076)</f>
        <v/>
      </c>
      <c r="AD1073">
        <f>IF([2]Entry!$L$1076="","",[2]Entry!$L$1076)</f>
        <v/>
      </c>
      <c r="AE1073">
        <f>IF([2]Entry!$M$1076="","",[2]Entry!$M$1076)</f>
        <v/>
      </c>
      <c r="AF1073">
        <f>IF([2]Entry!$N$1076="","",[2]Entry!$N$1076)</f>
        <v/>
      </c>
      <c r="AJ1073">
        <f>IF([2]Entry!$S$1076="","",[2]Entry!$S$1076)</f>
        <v/>
      </c>
      <c r="AK1073">
        <f>IF([2]Entry!$C$1076="","",[2]Entry!$C$1076)</f>
        <v/>
      </c>
      <c r="AL1073">
        <f>IF([2]Entry!$D$1076="","",[2]Entry!$D$1076)</f>
        <v/>
      </c>
    </row>
    <row r="1074">
      <c r="Z1074">
        <f>IF([2]Entry!$E$1077="","",[2]Entry!$E$1077)</f>
        <v/>
      </c>
      <c r="AA1074">
        <f>IF([2]Entry!$G$1077="","",[2]Entry!$G$1077)</f>
        <v/>
      </c>
      <c r="AB1074">
        <f>IF([2]Entry!$J$1077="","",[2]Entry!$J$1077)</f>
        <v/>
      </c>
      <c r="AC1074">
        <f>IF([2]Entry!$K$1077="","",[2]Entry!$K$1077)</f>
        <v/>
      </c>
      <c r="AD1074">
        <f>IF([2]Entry!$L$1077="","",[2]Entry!$L$1077)</f>
        <v/>
      </c>
      <c r="AE1074">
        <f>IF([2]Entry!$M$1077="","",[2]Entry!$M$1077)</f>
        <v/>
      </c>
      <c r="AF1074">
        <f>IF([2]Entry!$N$1077="","",[2]Entry!$N$1077)</f>
        <v/>
      </c>
      <c r="AJ1074">
        <f>IF([2]Entry!$S$1077="","",[2]Entry!$S$1077)</f>
        <v/>
      </c>
      <c r="AK1074">
        <f>IF([2]Entry!$C$1077="","",[2]Entry!$C$1077)</f>
        <v/>
      </c>
      <c r="AL1074">
        <f>IF([2]Entry!$D$1077="","",[2]Entry!$D$1077)</f>
        <v/>
      </c>
    </row>
    <row r="1075">
      <c r="Z1075">
        <f>IF([2]Entry!$E$1078="","",[2]Entry!$E$1078)</f>
        <v/>
      </c>
      <c r="AA1075">
        <f>IF([2]Entry!$G$1078="","",[2]Entry!$G$1078)</f>
        <v/>
      </c>
      <c r="AB1075">
        <f>IF([2]Entry!$J$1078="","",[2]Entry!$J$1078)</f>
        <v/>
      </c>
      <c r="AC1075">
        <f>IF([2]Entry!$K$1078="","",[2]Entry!$K$1078)</f>
        <v/>
      </c>
      <c r="AD1075">
        <f>IF([2]Entry!$L$1078="","",[2]Entry!$L$1078)</f>
        <v/>
      </c>
      <c r="AE1075">
        <f>IF([2]Entry!$M$1078="","",[2]Entry!$M$1078)</f>
        <v/>
      </c>
      <c r="AF1075">
        <f>IF([2]Entry!$N$1078="","",[2]Entry!$N$1078)</f>
        <v/>
      </c>
      <c r="AJ1075">
        <f>IF([2]Entry!$S$1078="","",[2]Entry!$S$1078)</f>
        <v/>
      </c>
      <c r="AK1075">
        <f>IF([2]Entry!$C$1078="","",[2]Entry!$C$1078)</f>
        <v/>
      </c>
      <c r="AL1075">
        <f>IF([2]Entry!$D$1078="","",[2]Entry!$D$1078)</f>
        <v/>
      </c>
    </row>
    <row r="1076">
      <c r="Z1076">
        <f>IF([2]Entry!$E$1079="","",[2]Entry!$E$1079)</f>
        <v/>
      </c>
      <c r="AA1076">
        <f>IF([2]Entry!$G$1079="","",[2]Entry!$G$1079)</f>
        <v/>
      </c>
      <c r="AB1076">
        <f>IF([2]Entry!$J$1079="","",[2]Entry!$J$1079)</f>
        <v/>
      </c>
      <c r="AC1076">
        <f>IF([2]Entry!$K$1079="","",[2]Entry!$K$1079)</f>
        <v/>
      </c>
      <c r="AD1076">
        <f>IF([2]Entry!$L$1079="","",[2]Entry!$L$1079)</f>
        <v/>
      </c>
      <c r="AE1076">
        <f>IF([2]Entry!$M$1079="","",[2]Entry!$M$1079)</f>
        <v/>
      </c>
      <c r="AF1076">
        <f>IF([2]Entry!$N$1079="","",[2]Entry!$N$1079)</f>
        <v/>
      </c>
      <c r="AJ1076">
        <f>IF([2]Entry!$S$1079="","",[2]Entry!$S$1079)</f>
        <v/>
      </c>
      <c r="AK1076">
        <f>IF([2]Entry!$C$1079="","",[2]Entry!$C$1079)</f>
        <v/>
      </c>
      <c r="AL1076">
        <f>IF([2]Entry!$D$1079="","",[2]Entry!$D$1079)</f>
        <v/>
      </c>
    </row>
    <row r="1077">
      <c r="Z1077">
        <f>IF([2]Entry!$E$1080="","",[2]Entry!$E$1080)</f>
        <v/>
      </c>
      <c r="AA1077">
        <f>IF([2]Entry!$G$1080="","",[2]Entry!$G$1080)</f>
        <v/>
      </c>
      <c r="AB1077">
        <f>IF([2]Entry!$J$1080="","",[2]Entry!$J$1080)</f>
        <v/>
      </c>
      <c r="AC1077">
        <f>IF([2]Entry!$K$1080="","",[2]Entry!$K$1080)</f>
        <v/>
      </c>
      <c r="AD1077">
        <f>IF([2]Entry!$L$1080="","",[2]Entry!$L$1080)</f>
        <v/>
      </c>
      <c r="AE1077">
        <f>IF([2]Entry!$M$1080="","",[2]Entry!$M$1080)</f>
        <v/>
      </c>
      <c r="AF1077">
        <f>IF([2]Entry!$N$1080="","",[2]Entry!$N$1080)</f>
        <v/>
      </c>
      <c r="AJ1077">
        <f>IF([2]Entry!$S$1080="","",[2]Entry!$S$1080)</f>
        <v/>
      </c>
      <c r="AK1077">
        <f>IF([2]Entry!$C$1080="","",[2]Entry!$C$1080)</f>
        <v/>
      </c>
      <c r="AL1077">
        <f>IF([2]Entry!$D$1080="","",[2]Entry!$D$1080)</f>
        <v/>
      </c>
    </row>
    <row r="1078">
      <c r="Z1078">
        <f>IF([2]Entry!$E$1081="","",[2]Entry!$E$1081)</f>
        <v/>
      </c>
      <c r="AA1078">
        <f>IF([2]Entry!$G$1081="","",[2]Entry!$G$1081)</f>
        <v/>
      </c>
      <c r="AB1078">
        <f>IF([2]Entry!$J$1081="","",[2]Entry!$J$1081)</f>
        <v/>
      </c>
      <c r="AC1078">
        <f>IF([2]Entry!$K$1081="","",[2]Entry!$K$1081)</f>
        <v/>
      </c>
      <c r="AD1078">
        <f>IF([2]Entry!$L$1081="","",[2]Entry!$L$1081)</f>
        <v/>
      </c>
      <c r="AE1078">
        <f>IF([2]Entry!$M$1081="","",[2]Entry!$M$1081)</f>
        <v/>
      </c>
      <c r="AF1078">
        <f>IF([2]Entry!$N$1081="","",[2]Entry!$N$1081)</f>
        <v/>
      </c>
      <c r="AJ1078">
        <f>IF([2]Entry!$S$1081="","",[2]Entry!$S$1081)</f>
        <v/>
      </c>
      <c r="AK1078">
        <f>IF([2]Entry!$C$1081="","",[2]Entry!$C$1081)</f>
        <v/>
      </c>
      <c r="AL1078">
        <f>IF([2]Entry!$D$1081="","",[2]Entry!$D$1081)</f>
        <v/>
      </c>
    </row>
    <row r="1079">
      <c r="Z1079">
        <f>IF([2]Entry!$E$1082="","",[2]Entry!$E$1082)</f>
        <v/>
      </c>
      <c r="AA1079">
        <f>IF([2]Entry!$G$1082="","",[2]Entry!$G$1082)</f>
        <v/>
      </c>
      <c r="AB1079">
        <f>IF([2]Entry!$J$1082="","",[2]Entry!$J$1082)</f>
        <v/>
      </c>
      <c r="AC1079">
        <f>IF([2]Entry!$K$1082="","",[2]Entry!$K$1082)</f>
        <v/>
      </c>
      <c r="AD1079">
        <f>IF([2]Entry!$L$1082="","",[2]Entry!$L$1082)</f>
        <v/>
      </c>
      <c r="AE1079">
        <f>IF([2]Entry!$M$1082="","",[2]Entry!$M$1082)</f>
        <v/>
      </c>
      <c r="AF1079">
        <f>IF([2]Entry!$N$1082="","",[2]Entry!$N$1082)</f>
        <v/>
      </c>
      <c r="AJ1079">
        <f>IF([2]Entry!$S$1082="","",[2]Entry!$S$1082)</f>
        <v/>
      </c>
      <c r="AK1079">
        <f>IF([2]Entry!$C$1082="","",[2]Entry!$C$1082)</f>
        <v/>
      </c>
      <c r="AL1079">
        <f>IF([2]Entry!$D$1082="","",[2]Entry!$D$1082)</f>
        <v/>
      </c>
    </row>
    <row r="1080">
      <c r="Z1080">
        <f>IF([2]Entry!$E$1083="","",[2]Entry!$E$1083)</f>
        <v/>
      </c>
      <c r="AA1080">
        <f>IF([2]Entry!$G$1083="","",[2]Entry!$G$1083)</f>
        <v/>
      </c>
      <c r="AB1080">
        <f>IF([2]Entry!$J$1083="","",[2]Entry!$J$1083)</f>
        <v/>
      </c>
      <c r="AC1080">
        <f>IF([2]Entry!$K$1083="","",[2]Entry!$K$1083)</f>
        <v/>
      </c>
      <c r="AD1080">
        <f>IF([2]Entry!$L$1083="","",[2]Entry!$L$1083)</f>
        <v/>
      </c>
      <c r="AE1080">
        <f>IF([2]Entry!$M$1083="","",[2]Entry!$M$1083)</f>
        <v/>
      </c>
      <c r="AF1080">
        <f>IF([2]Entry!$N$1083="","",[2]Entry!$N$1083)</f>
        <v/>
      </c>
      <c r="AJ1080">
        <f>IF([2]Entry!$S$1083="","",[2]Entry!$S$1083)</f>
        <v/>
      </c>
      <c r="AK1080">
        <f>IF([2]Entry!$C$1083="","",[2]Entry!$C$1083)</f>
        <v/>
      </c>
      <c r="AL1080">
        <f>IF([2]Entry!$D$1083="","",[2]Entry!$D$1083)</f>
        <v/>
      </c>
    </row>
    <row r="1081">
      <c r="Z1081">
        <f>IF([2]Entry!$E$1084="","",[2]Entry!$E$1084)</f>
        <v/>
      </c>
      <c r="AA1081">
        <f>IF([2]Entry!$G$1084="","",[2]Entry!$G$1084)</f>
        <v/>
      </c>
      <c r="AB1081">
        <f>IF([2]Entry!$J$1084="","",[2]Entry!$J$1084)</f>
        <v/>
      </c>
      <c r="AC1081">
        <f>IF([2]Entry!$K$1084="","",[2]Entry!$K$1084)</f>
        <v/>
      </c>
      <c r="AD1081">
        <f>IF([2]Entry!$L$1084="","",[2]Entry!$L$1084)</f>
        <v/>
      </c>
      <c r="AE1081">
        <f>IF([2]Entry!$M$1084="","",[2]Entry!$M$1084)</f>
        <v/>
      </c>
      <c r="AF1081">
        <f>IF([2]Entry!$N$1084="","",[2]Entry!$N$1084)</f>
        <v/>
      </c>
      <c r="AJ1081">
        <f>IF([2]Entry!$S$1084="","",[2]Entry!$S$1084)</f>
        <v/>
      </c>
      <c r="AK1081">
        <f>IF([2]Entry!$C$1084="","",[2]Entry!$C$1084)</f>
        <v/>
      </c>
      <c r="AL1081">
        <f>IF([2]Entry!$D$1084="","",[2]Entry!$D$1084)</f>
        <v/>
      </c>
    </row>
    <row r="1082">
      <c r="Z1082">
        <f>IF([2]Entry!$E$1085="","",[2]Entry!$E$1085)</f>
        <v/>
      </c>
      <c r="AA1082">
        <f>IF([2]Entry!$G$1085="","",[2]Entry!$G$1085)</f>
        <v/>
      </c>
      <c r="AB1082">
        <f>IF([2]Entry!$J$1085="","",[2]Entry!$J$1085)</f>
        <v/>
      </c>
      <c r="AC1082">
        <f>IF([2]Entry!$K$1085="","",[2]Entry!$K$1085)</f>
        <v/>
      </c>
      <c r="AD1082">
        <f>IF([2]Entry!$L$1085="","",[2]Entry!$L$1085)</f>
        <v/>
      </c>
      <c r="AE1082">
        <f>IF([2]Entry!$M$1085="","",[2]Entry!$M$1085)</f>
        <v/>
      </c>
      <c r="AF1082">
        <f>IF([2]Entry!$N$1085="","",[2]Entry!$N$1085)</f>
        <v/>
      </c>
      <c r="AJ1082">
        <f>IF([2]Entry!$S$1085="","",[2]Entry!$S$1085)</f>
        <v/>
      </c>
      <c r="AK1082">
        <f>IF([2]Entry!$C$1085="","",[2]Entry!$C$1085)</f>
        <v/>
      </c>
      <c r="AL1082">
        <f>IF([2]Entry!$D$1085="","",[2]Entry!$D$1085)</f>
        <v/>
      </c>
    </row>
    <row r="1083">
      <c r="Z1083">
        <f>IF([2]Entry!$E$1086="","",[2]Entry!$E$1086)</f>
        <v/>
      </c>
      <c r="AA1083">
        <f>IF([2]Entry!$G$1086="","",[2]Entry!$G$1086)</f>
        <v/>
      </c>
      <c r="AB1083">
        <f>IF([2]Entry!$J$1086="","",[2]Entry!$J$1086)</f>
        <v/>
      </c>
      <c r="AC1083">
        <f>IF([2]Entry!$K$1086="","",[2]Entry!$K$1086)</f>
        <v/>
      </c>
      <c r="AD1083">
        <f>IF([2]Entry!$L$1086="","",[2]Entry!$L$1086)</f>
        <v/>
      </c>
      <c r="AE1083">
        <f>IF([2]Entry!$M$1086="","",[2]Entry!$M$1086)</f>
        <v/>
      </c>
      <c r="AF1083">
        <f>IF([2]Entry!$N$1086="","",[2]Entry!$N$1086)</f>
        <v/>
      </c>
      <c r="AJ1083">
        <f>IF([2]Entry!$S$1086="","",[2]Entry!$S$1086)</f>
        <v/>
      </c>
      <c r="AK1083">
        <f>IF([2]Entry!$C$1086="","",[2]Entry!$C$1086)</f>
        <v/>
      </c>
      <c r="AL1083">
        <f>IF([2]Entry!$D$1086="","",[2]Entry!$D$1086)</f>
        <v/>
      </c>
    </row>
    <row r="1084">
      <c r="Z1084">
        <f>IF([2]Entry!$E$1087="","",[2]Entry!$E$1087)</f>
        <v/>
      </c>
      <c r="AA1084">
        <f>IF([2]Entry!$G$1087="","",[2]Entry!$G$1087)</f>
        <v/>
      </c>
      <c r="AB1084">
        <f>IF([2]Entry!$J$1087="","",[2]Entry!$J$1087)</f>
        <v/>
      </c>
      <c r="AC1084">
        <f>IF([2]Entry!$K$1087="","",[2]Entry!$K$1087)</f>
        <v/>
      </c>
      <c r="AD1084">
        <f>IF([2]Entry!$L$1087="","",[2]Entry!$L$1087)</f>
        <v/>
      </c>
      <c r="AE1084">
        <f>IF([2]Entry!$M$1087="","",[2]Entry!$M$1087)</f>
        <v/>
      </c>
      <c r="AF1084">
        <f>IF([2]Entry!$N$1087="","",[2]Entry!$N$1087)</f>
        <v/>
      </c>
      <c r="AJ1084">
        <f>IF([2]Entry!$S$1087="","",[2]Entry!$S$1087)</f>
        <v/>
      </c>
      <c r="AK1084">
        <f>IF([2]Entry!$C$1087="","",[2]Entry!$C$1087)</f>
        <v/>
      </c>
      <c r="AL1084">
        <f>IF([2]Entry!$D$1087="","",[2]Entry!$D$1087)</f>
        <v/>
      </c>
    </row>
    <row r="1085">
      <c r="Z1085">
        <f>IF([2]Entry!$E$1088="","",[2]Entry!$E$1088)</f>
        <v/>
      </c>
      <c r="AA1085">
        <f>IF([2]Entry!$G$1088="","",[2]Entry!$G$1088)</f>
        <v/>
      </c>
      <c r="AB1085">
        <f>IF([2]Entry!$J$1088="","",[2]Entry!$J$1088)</f>
        <v/>
      </c>
      <c r="AC1085">
        <f>IF([2]Entry!$K$1088="","",[2]Entry!$K$1088)</f>
        <v/>
      </c>
      <c r="AD1085">
        <f>IF([2]Entry!$L$1088="","",[2]Entry!$L$1088)</f>
        <v/>
      </c>
      <c r="AE1085">
        <f>IF([2]Entry!$M$1088="","",[2]Entry!$M$1088)</f>
        <v/>
      </c>
      <c r="AF1085">
        <f>IF([2]Entry!$N$1088="","",[2]Entry!$N$1088)</f>
        <v/>
      </c>
      <c r="AJ1085">
        <f>IF([2]Entry!$S$1088="","",[2]Entry!$S$1088)</f>
        <v/>
      </c>
      <c r="AK1085">
        <f>IF([2]Entry!$C$1088="","",[2]Entry!$C$1088)</f>
        <v/>
      </c>
      <c r="AL1085">
        <f>IF([2]Entry!$D$1088="","",[2]Entry!$D$1088)</f>
        <v/>
      </c>
    </row>
    <row r="1086">
      <c r="Z1086">
        <f>IF([2]Entry!$E$1089="","",[2]Entry!$E$1089)</f>
        <v/>
      </c>
      <c r="AA1086">
        <f>IF([2]Entry!$G$1089="","",[2]Entry!$G$1089)</f>
        <v/>
      </c>
      <c r="AB1086">
        <f>IF([2]Entry!$J$1089="","",[2]Entry!$J$1089)</f>
        <v/>
      </c>
      <c r="AC1086">
        <f>IF([2]Entry!$K$1089="","",[2]Entry!$K$1089)</f>
        <v/>
      </c>
      <c r="AD1086">
        <f>IF([2]Entry!$L$1089="","",[2]Entry!$L$1089)</f>
        <v/>
      </c>
      <c r="AE1086">
        <f>IF([2]Entry!$M$1089="","",[2]Entry!$M$1089)</f>
        <v/>
      </c>
      <c r="AF1086">
        <f>IF([2]Entry!$N$1089="","",[2]Entry!$N$1089)</f>
        <v/>
      </c>
      <c r="AJ1086">
        <f>IF([2]Entry!$S$1089="","",[2]Entry!$S$1089)</f>
        <v/>
      </c>
      <c r="AK1086">
        <f>IF([2]Entry!$C$1089="","",[2]Entry!$C$1089)</f>
        <v/>
      </c>
      <c r="AL1086">
        <f>IF([2]Entry!$D$1089="","",[2]Entry!$D$1089)</f>
        <v/>
      </c>
    </row>
    <row r="1087">
      <c r="Z1087">
        <f>IF([2]Entry!$E$1090="","",[2]Entry!$E$1090)</f>
        <v/>
      </c>
      <c r="AA1087">
        <f>IF([2]Entry!$G$1090="","",[2]Entry!$G$1090)</f>
        <v/>
      </c>
      <c r="AB1087">
        <f>IF([2]Entry!$J$1090="","",[2]Entry!$J$1090)</f>
        <v/>
      </c>
      <c r="AC1087">
        <f>IF([2]Entry!$K$1090="","",[2]Entry!$K$1090)</f>
        <v/>
      </c>
      <c r="AD1087">
        <f>IF([2]Entry!$L$1090="","",[2]Entry!$L$1090)</f>
        <v/>
      </c>
      <c r="AE1087">
        <f>IF([2]Entry!$M$1090="","",[2]Entry!$M$1090)</f>
        <v/>
      </c>
      <c r="AF1087">
        <f>IF([2]Entry!$N$1090="","",[2]Entry!$N$1090)</f>
        <v/>
      </c>
      <c r="AJ1087">
        <f>IF([2]Entry!$S$1090="","",[2]Entry!$S$1090)</f>
        <v/>
      </c>
      <c r="AK1087">
        <f>IF([2]Entry!$C$1090="","",[2]Entry!$C$1090)</f>
        <v/>
      </c>
      <c r="AL1087">
        <f>IF([2]Entry!$D$1090="","",[2]Entry!$D$1090)</f>
        <v/>
      </c>
    </row>
    <row r="1088">
      <c r="Z1088">
        <f>IF([2]Entry!$E$1091="","",[2]Entry!$E$1091)</f>
        <v/>
      </c>
      <c r="AA1088">
        <f>IF([2]Entry!$G$1091="","",[2]Entry!$G$1091)</f>
        <v/>
      </c>
      <c r="AB1088">
        <f>IF([2]Entry!$J$1091="","",[2]Entry!$J$1091)</f>
        <v/>
      </c>
      <c r="AC1088">
        <f>IF([2]Entry!$K$1091="","",[2]Entry!$K$1091)</f>
        <v/>
      </c>
      <c r="AD1088">
        <f>IF([2]Entry!$L$1091="","",[2]Entry!$L$1091)</f>
        <v/>
      </c>
      <c r="AE1088">
        <f>IF([2]Entry!$M$1091="","",[2]Entry!$M$1091)</f>
        <v/>
      </c>
      <c r="AF1088">
        <f>IF([2]Entry!$N$1091="","",[2]Entry!$N$1091)</f>
        <v/>
      </c>
      <c r="AJ1088">
        <f>IF([2]Entry!$S$1091="","",[2]Entry!$S$1091)</f>
        <v/>
      </c>
      <c r="AK1088">
        <f>IF([2]Entry!$C$1091="","",[2]Entry!$C$1091)</f>
        <v/>
      </c>
      <c r="AL1088">
        <f>IF([2]Entry!$D$1091="","",[2]Entry!$D$1091)</f>
        <v/>
      </c>
    </row>
    <row r="1089">
      <c r="Z1089">
        <f>IF([2]Entry!$E$1092="","",[2]Entry!$E$1092)</f>
        <v/>
      </c>
      <c r="AA1089">
        <f>IF([2]Entry!$G$1092="","",[2]Entry!$G$1092)</f>
        <v/>
      </c>
      <c r="AB1089">
        <f>IF([2]Entry!$J$1092="","",[2]Entry!$J$1092)</f>
        <v/>
      </c>
      <c r="AC1089">
        <f>IF([2]Entry!$K$1092="","",[2]Entry!$K$1092)</f>
        <v/>
      </c>
      <c r="AD1089">
        <f>IF([2]Entry!$L$1092="","",[2]Entry!$L$1092)</f>
        <v/>
      </c>
      <c r="AE1089">
        <f>IF([2]Entry!$M$1092="","",[2]Entry!$M$1092)</f>
        <v/>
      </c>
      <c r="AF1089">
        <f>IF([2]Entry!$N$1092="","",[2]Entry!$N$1092)</f>
        <v/>
      </c>
      <c r="AJ1089">
        <f>IF([2]Entry!$S$1092="","",[2]Entry!$S$1092)</f>
        <v/>
      </c>
      <c r="AK1089">
        <f>IF([2]Entry!$C$1092="","",[2]Entry!$C$1092)</f>
        <v/>
      </c>
      <c r="AL1089">
        <f>IF([2]Entry!$D$1092="","",[2]Entry!$D$1092)</f>
        <v/>
      </c>
    </row>
    <row r="1090">
      <c r="Z1090">
        <f>IF([2]Entry!$E$1093="","",[2]Entry!$E$1093)</f>
        <v/>
      </c>
      <c r="AA1090">
        <f>IF([2]Entry!$G$1093="","",[2]Entry!$G$1093)</f>
        <v/>
      </c>
      <c r="AB1090">
        <f>IF([2]Entry!$J$1093="","",[2]Entry!$J$1093)</f>
        <v/>
      </c>
      <c r="AC1090">
        <f>IF([2]Entry!$K$1093="","",[2]Entry!$K$1093)</f>
        <v/>
      </c>
      <c r="AD1090">
        <f>IF([2]Entry!$L$1093="","",[2]Entry!$L$1093)</f>
        <v/>
      </c>
      <c r="AE1090">
        <f>IF([2]Entry!$M$1093="","",[2]Entry!$M$1093)</f>
        <v/>
      </c>
      <c r="AF1090">
        <f>IF([2]Entry!$N$1093="","",[2]Entry!$N$1093)</f>
        <v/>
      </c>
      <c r="AJ1090">
        <f>IF([2]Entry!$S$1093="","",[2]Entry!$S$1093)</f>
        <v/>
      </c>
      <c r="AK1090">
        <f>IF([2]Entry!$C$1093="","",[2]Entry!$C$1093)</f>
        <v/>
      </c>
      <c r="AL1090">
        <f>IF([2]Entry!$D$1093="","",[2]Entry!$D$1093)</f>
        <v/>
      </c>
    </row>
    <row r="1091">
      <c r="Z1091">
        <f>IF([2]Entry!$E$1094="","",[2]Entry!$E$1094)</f>
        <v/>
      </c>
      <c r="AA1091">
        <f>IF([2]Entry!$G$1094="","",[2]Entry!$G$1094)</f>
        <v/>
      </c>
      <c r="AB1091">
        <f>IF([2]Entry!$J$1094="","",[2]Entry!$J$1094)</f>
        <v/>
      </c>
      <c r="AC1091">
        <f>IF([2]Entry!$K$1094="","",[2]Entry!$K$1094)</f>
        <v/>
      </c>
      <c r="AD1091">
        <f>IF([2]Entry!$L$1094="","",[2]Entry!$L$1094)</f>
        <v/>
      </c>
      <c r="AE1091">
        <f>IF([2]Entry!$M$1094="","",[2]Entry!$M$1094)</f>
        <v/>
      </c>
      <c r="AF1091">
        <f>IF([2]Entry!$N$1094="","",[2]Entry!$N$1094)</f>
        <v/>
      </c>
      <c r="AJ1091">
        <f>IF([2]Entry!$S$1094="","",[2]Entry!$S$1094)</f>
        <v/>
      </c>
      <c r="AK1091">
        <f>IF([2]Entry!$C$1094="","",[2]Entry!$C$1094)</f>
        <v/>
      </c>
      <c r="AL1091">
        <f>IF([2]Entry!$D$1094="","",[2]Entry!$D$1094)</f>
        <v/>
      </c>
    </row>
    <row r="1092">
      <c r="Z1092">
        <f>IF([2]Entry!$E$1095="","",[2]Entry!$E$1095)</f>
        <v/>
      </c>
      <c r="AA1092">
        <f>IF([2]Entry!$G$1095="","",[2]Entry!$G$1095)</f>
        <v/>
      </c>
      <c r="AB1092">
        <f>IF([2]Entry!$J$1095="","",[2]Entry!$J$1095)</f>
        <v/>
      </c>
      <c r="AC1092">
        <f>IF([2]Entry!$K$1095="","",[2]Entry!$K$1095)</f>
        <v/>
      </c>
      <c r="AD1092">
        <f>IF([2]Entry!$L$1095="","",[2]Entry!$L$1095)</f>
        <v/>
      </c>
      <c r="AE1092">
        <f>IF([2]Entry!$M$1095="","",[2]Entry!$M$1095)</f>
        <v/>
      </c>
      <c r="AF1092">
        <f>IF([2]Entry!$N$1095="","",[2]Entry!$N$1095)</f>
        <v/>
      </c>
      <c r="AJ1092">
        <f>IF([2]Entry!$S$1095="","",[2]Entry!$S$1095)</f>
        <v/>
      </c>
      <c r="AK1092">
        <f>IF([2]Entry!$C$1095="","",[2]Entry!$C$1095)</f>
        <v/>
      </c>
      <c r="AL1092">
        <f>IF([2]Entry!$D$1095="","",[2]Entry!$D$1095)</f>
        <v/>
      </c>
    </row>
    <row r="1093">
      <c r="Z1093">
        <f>IF([2]Entry!$E$1096="","",[2]Entry!$E$1096)</f>
        <v/>
      </c>
      <c r="AA1093">
        <f>IF([2]Entry!$G$1096="","",[2]Entry!$G$1096)</f>
        <v/>
      </c>
      <c r="AB1093">
        <f>IF([2]Entry!$J$1096="","",[2]Entry!$J$1096)</f>
        <v/>
      </c>
      <c r="AC1093">
        <f>IF([2]Entry!$K$1096="","",[2]Entry!$K$1096)</f>
        <v/>
      </c>
      <c r="AD1093">
        <f>IF([2]Entry!$L$1096="","",[2]Entry!$L$1096)</f>
        <v/>
      </c>
      <c r="AE1093">
        <f>IF([2]Entry!$M$1096="","",[2]Entry!$M$1096)</f>
        <v/>
      </c>
      <c r="AF1093">
        <f>IF([2]Entry!$N$1096="","",[2]Entry!$N$1096)</f>
        <v/>
      </c>
      <c r="AJ1093">
        <f>IF([2]Entry!$S$1096="","",[2]Entry!$S$1096)</f>
        <v/>
      </c>
      <c r="AK1093">
        <f>IF([2]Entry!$C$1096="","",[2]Entry!$C$1096)</f>
        <v/>
      </c>
      <c r="AL1093">
        <f>IF([2]Entry!$D$1096="","",[2]Entry!$D$1096)</f>
        <v/>
      </c>
    </row>
    <row r="1094">
      <c r="Z1094">
        <f>IF([2]Entry!$E$1097="","",[2]Entry!$E$1097)</f>
        <v/>
      </c>
      <c r="AA1094">
        <f>IF([2]Entry!$G$1097="","",[2]Entry!$G$1097)</f>
        <v/>
      </c>
      <c r="AB1094">
        <f>IF([2]Entry!$J$1097="","",[2]Entry!$J$1097)</f>
        <v/>
      </c>
      <c r="AC1094">
        <f>IF([2]Entry!$K$1097="","",[2]Entry!$K$1097)</f>
        <v/>
      </c>
      <c r="AD1094">
        <f>IF([2]Entry!$L$1097="","",[2]Entry!$L$1097)</f>
        <v/>
      </c>
      <c r="AE1094">
        <f>IF([2]Entry!$M$1097="","",[2]Entry!$M$1097)</f>
        <v/>
      </c>
      <c r="AF1094">
        <f>IF([2]Entry!$N$1097="","",[2]Entry!$N$1097)</f>
        <v/>
      </c>
      <c r="AJ1094">
        <f>IF([2]Entry!$S$1097="","",[2]Entry!$S$1097)</f>
        <v/>
      </c>
      <c r="AK1094">
        <f>IF([2]Entry!$C$1097="","",[2]Entry!$C$1097)</f>
        <v/>
      </c>
      <c r="AL1094">
        <f>IF([2]Entry!$D$1097="","",[2]Entry!$D$1097)</f>
        <v/>
      </c>
    </row>
    <row r="1095">
      <c r="Z1095">
        <f>IF([2]Entry!$E$1098="","",[2]Entry!$E$1098)</f>
        <v/>
      </c>
      <c r="AA1095">
        <f>IF([2]Entry!$G$1098="","",[2]Entry!$G$1098)</f>
        <v/>
      </c>
      <c r="AB1095">
        <f>IF([2]Entry!$J$1098="","",[2]Entry!$J$1098)</f>
        <v/>
      </c>
      <c r="AC1095">
        <f>IF([2]Entry!$K$1098="","",[2]Entry!$K$1098)</f>
        <v/>
      </c>
      <c r="AD1095">
        <f>IF([2]Entry!$L$1098="","",[2]Entry!$L$1098)</f>
        <v/>
      </c>
      <c r="AE1095">
        <f>IF([2]Entry!$M$1098="","",[2]Entry!$M$1098)</f>
        <v/>
      </c>
      <c r="AF1095">
        <f>IF([2]Entry!$N$1098="","",[2]Entry!$N$1098)</f>
        <v/>
      </c>
      <c r="AJ1095">
        <f>IF([2]Entry!$S$1098="","",[2]Entry!$S$1098)</f>
        <v/>
      </c>
      <c r="AK1095">
        <f>IF([2]Entry!$C$1098="","",[2]Entry!$C$1098)</f>
        <v/>
      </c>
      <c r="AL1095">
        <f>IF([2]Entry!$D$1098="","",[2]Entry!$D$1098)</f>
        <v/>
      </c>
    </row>
    <row r="1096">
      <c r="Z1096">
        <f>IF([2]Entry!$E$1099="","",[2]Entry!$E$1099)</f>
        <v/>
      </c>
      <c r="AA1096">
        <f>IF([2]Entry!$G$1099="","",[2]Entry!$G$1099)</f>
        <v/>
      </c>
      <c r="AB1096">
        <f>IF([2]Entry!$J$1099="","",[2]Entry!$J$1099)</f>
        <v/>
      </c>
      <c r="AC1096">
        <f>IF([2]Entry!$K$1099="","",[2]Entry!$K$1099)</f>
        <v/>
      </c>
      <c r="AD1096">
        <f>IF([2]Entry!$L$1099="","",[2]Entry!$L$1099)</f>
        <v/>
      </c>
      <c r="AE1096">
        <f>IF([2]Entry!$M$1099="","",[2]Entry!$M$1099)</f>
        <v/>
      </c>
      <c r="AF1096">
        <f>IF([2]Entry!$N$1099="","",[2]Entry!$N$1099)</f>
        <v/>
      </c>
      <c r="AJ1096">
        <f>IF([2]Entry!$S$1099="","",[2]Entry!$S$1099)</f>
        <v/>
      </c>
      <c r="AK1096">
        <f>IF([2]Entry!$C$1099="","",[2]Entry!$C$1099)</f>
        <v/>
      </c>
      <c r="AL1096">
        <f>IF([2]Entry!$D$1099="","",[2]Entry!$D$1099)</f>
        <v/>
      </c>
    </row>
    <row r="1097">
      <c r="Z1097">
        <f>IF([2]Entry!$E$1100="","",[2]Entry!$E$1100)</f>
        <v/>
      </c>
      <c r="AA1097">
        <f>IF([2]Entry!$G$1100="","",[2]Entry!$G$1100)</f>
        <v/>
      </c>
      <c r="AB1097">
        <f>IF([2]Entry!$J$1100="","",[2]Entry!$J$1100)</f>
        <v/>
      </c>
      <c r="AC1097">
        <f>IF([2]Entry!$K$1100="","",[2]Entry!$K$1100)</f>
        <v/>
      </c>
      <c r="AD1097">
        <f>IF([2]Entry!$L$1100="","",[2]Entry!$L$1100)</f>
        <v/>
      </c>
      <c r="AE1097">
        <f>IF([2]Entry!$M$1100="","",[2]Entry!$M$1100)</f>
        <v/>
      </c>
      <c r="AF1097">
        <f>IF([2]Entry!$N$1100="","",[2]Entry!$N$1100)</f>
        <v/>
      </c>
      <c r="AJ1097">
        <f>IF([2]Entry!$S$1100="","",[2]Entry!$S$1100)</f>
        <v/>
      </c>
      <c r="AK1097">
        <f>IF([2]Entry!$C$1100="","",[2]Entry!$C$1100)</f>
        <v/>
      </c>
      <c r="AL1097">
        <f>IF([2]Entry!$D$1100="","",[2]Entry!$D$1100)</f>
        <v/>
      </c>
    </row>
    <row r="1098">
      <c r="Z1098">
        <f>IF([2]Entry!$E$1101="","",[2]Entry!$E$1101)</f>
        <v/>
      </c>
      <c r="AA1098">
        <f>IF([2]Entry!$G$1101="","",[2]Entry!$G$1101)</f>
        <v/>
      </c>
      <c r="AB1098">
        <f>IF([2]Entry!$J$1101="","",[2]Entry!$J$1101)</f>
        <v/>
      </c>
      <c r="AC1098">
        <f>IF([2]Entry!$K$1101="","",[2]Entry!$K$1101)</f>
        <v/>
      </c>
      <c r="AD1098">
        <f>IF([2]Entry!$L$1101="","",[2]Entry!$L$1101)</f>
        <v/>
      </c>
      <c r="AE1098">
        <f>IF([2]Entry!$M$1101="","",[2]Entry!$M$1101)</f>
        <v/>
      </c>
      <c r="AF1098">
        <f>IF([2]Entry!$N$1101="","",[2]Entry!$N$1101)</f>
        <v/>
      </c>
      <c r="AJ1098">
        <f>IF([2]Entry!$S$1101="","",[2]Entry!$S$1101)</f>
        <v/>
      </c>
      <c r="AK1098">
        <f>IF([2]Entry!$C$1101="","",[2]Entry!$C$1101)</f>
        <v/>
      </c>
      <c r="AL1098">
        <f>IF([2]Entry!$D$1101="","",[2]Entry!$D$1101)</f>
        <v/>
      </c>
    </row>
    <row r="1099">
      <c r="Z1099">
        <f>IF([2]Entry!$E$1102="","",[2]Entry!$E$1102)</f>
        <v/>
      </c>
      <c r="AA1099">
        <f>IF([2]Entry!$G$1102="","",[2]Entry!$G$1102)</f>
        <v/>
      </c>
      <c r="AB1099">
        <f>IF([2]Entry!$J$1102="","",[2]Entry!$J$1102)</f>
        <v/>
      </c>
      <c r="AC1099">
        <f>IF([2]Entry!$K$1102="","",[2]Entry!$K$1102)</f>
        <v/>
      </c>
      <c r="AD1099">
        <f>IF([2]Entry!$L$1102="","",[2]Entry!$L$1102)</f>
        <v/>
      </c>
      <c r="AE1099">
        <f>IF([2]Entry!$M$1102="","",[2]Entry!$M$1102)</f>
        <v/>
      </c>
      <c r="AF1099">
        <f>IF([2]Entry!$N$1102="","",[2]Entry!$N$1102)</f>
        <v/>
      </c>
      <c r="AJ1099">
        <f>IF([2]Entry!$S$1102="","",[2]Entry!$S$1102)</f>
        <v/>
      </c>
      <c r="AK1099">
        <f>IF([2]Entry!$C$1102="","",[2]Entry!$C$1102)</f>
        <v/>
      </c>
      <c r="AL1099">
        <f>IF([2]Entry!$D$1102="","",[2]Entry!$D$1102)</f>
        <v/>
      </c>
    </row>
    <row r="1100">
      <c r="Z1100">
        <f>IF([2]Entry!$E$1103="","",[2]Entry!$E$1103)</f>
        <v/>
      </c>
      <c r="AA1100">
        <f>IF([2]Entry!$G$1103="","",[2]Entry!$G$1103)</f>
        <v/>
      </c>
      <c r="AB1100">
        <f>IF([2]Entry!$J$1103="","",[2]Entry!$J$1103)</f>
        <v/>
      </c>
      <c r="AC1100">
        <f>IF([2]Entry!$K$1103="","",[2]Entry!$K$1103)</f>
        <v/>
      </c>
      <c r="AD1100">
        <f>IF([2]Entry!$L$1103="","",[2]Entry!$L$1103)</f>
        <v/>
      </c>
      <c r="AE1100">
        <f>IF([2]Entry!$M$1103="","",[2]Entry!$M$1103)</f>
        <v/>
      </c>
      <c r="AF1100">
        <f>IF([2]Entry!$N$1103="","",[2]Entry!$N$1103)</f>
        <v/>
      </c>
      <c r="AJ1100">
        <f>IF([2]Entry!$S$1103="","",[2]Entry!$S$1103)</f>
        <v/>
      </c>
      <c r="AK1100">
        <f>IF([2]Entry!$C$1103="","",[2]Entry!$C$1103)</f>
        <v/>
      </c>
      <c r="AL1100">
        <f>IF([2]Entry!$D$1103="","",[2]Entry!$D$1103)</f>
        <v/>
      </c>
    </row>
    <row r="1101">
      <c r="Z1101">
        <f>IF([2]Entry!$E$1104="","",[2]Entry!$E$1104)</f>
        <v/>
      </c>
      <c r="AA1101">
        <f>IF([2]Entry!$G$1104="","",[2]Entry!$G$1104)</f>
        <v/>
      </c>
      <c r="AB1101">
        <f>IF([2]Entry!$J$1104="","",[2]Entry!$J$1104)</f>
        <v/>
      </c>
      <c r="AC1101">
        <f>IF([2]Entry!$K$1104="","",[2]Entry!$K$1104)</f>
        <v/>
      </c>
      <c r="AD1101">
        <f>IF([2]Entry!$L$1104="","",[2]Entry!$L$1104)</f>
        <v/>
      </c>
      <c r="AE1101">
        <f>IF([2]Entry!$M$1104="","",[2]Entry!$M$1104)</f>
        <v/>
      </c>
      <c r="AF1101">
        <f>IF([2]Entry!$N$1104="","",[2]Entry!$N$1104)</f>
        <v/>
      </c>
      <c r="AJ1101">
        <f>IF([2]Entry!$S$1104="","",[2]Entry!$S$1104)</f>
        <v/>
      </c>
      <c r="AK1101">
        <f>IF([2]Entry!$C$1104="","",[2]Entry!$C$1104)</f>
        <v/>
      </c>
      <c r="AL1101">
        <f>IF([2]Entry!$D$1104="","",[2]Entry!$D$1104)</f>
        <v/>
      </c>
    </row>
    <row r="1102">
      <c r="Z1102">
        <f>IF([2]Entry!$E$1105="","",[2]Entry!$E$1105)</f>
        <v/>
      </c>
      <c r="AA1102">
        <f>IF([2]Entry!$G$1105="","",[2]Entry!$G$1105)</f>
        <v/>
      </c>
      <c r="AB1102">
        <f>IF([2]Entry!$J$1105="","",[2]Entry!$J$1105)</f>
        <v/>
      </c>
      <c r="AC1102">
        <f>IF([2]Entry!$K$1105="","",[2]Entry!$K$1105)</f>
        <v/>
      </c>
      <c r="AD1102">
        <f>IF([2]Entry!$L$1105="","",[2]Entry!$L$1105)</f>
        <v/>
      </c>
      <c r="AE1102">
        <f>IF([2]Entry!$M$1105="","",[2]Entry!$M$1105)</f>
        <v/>
      </c>
      <c r="AF1102">
        <f>IF([2]Entry!$N$1105="","",[2]Entry!$N$1105)</f>
        <v/>
      </c>
      <c r="AJ1102">
        <f>IF([2]Entry!$S$1105="","",[2]Entry!$S$1105)</f>
        <v/>
      </c>
      <c r="AK1102">
        <f>IF([2]Entry!$C$1105="","",[2]Entry!$C$1105)</f>
        <v/>
      </c>
      <c r="AL1102">
        <f>IF([2]Entry!$D$1105="","",[2]Entry!$D$1105)</f>
        <v/>
      </c>
    </row>
    <row r="1103">
      <c r="Z1103">
        <f>IF([2]Entry!$E$1106="","",[2]Entry!$E$1106)</f>
        <v/>
      </c>
      <c r="AA1103">
        <f>IF([2]Entry!$G$1106="","",[2]Entry!$G$1106)</f>
        <v/>
      </c>
      <c r="AB1103">
        <f>IF([2]Entry!$J$1106="","",[2]Entry!$J$1106)</f>
        <v/>
      </c>
      <c r="AC1103">
        <f>IF([2]Entry!$K$1106="","",[2]Entry!$K$1106)</f>
        <v/>
      </c>
      <c r="AD1103">
        <f>IF([2]Entry!$L$1106="","",[2]Entry!$L$1106)</f>
        <v/>
      </c>
      <c r="AE1103">
        <f>IF([2]Entry!$M$1106="","",[2]Entry!$M$1106)</f>
        <v/>
      </c>
      <c r="AF1103">
        <f>IF([2]Entry!$N$1106="","",[2]Entry!$N$1106)</f>
        <v/>
      </c>
      <c r="AJ1103">
        <f>IF([2]Entry!$S$1106="","",[2]Entry!$S$1106)</f>
        <v/>
      </c>
      <c r="AK1103">
        <f>IF([2]Entry!$C$1106="","",[2]Entry!$C$1106)</f>
        <v/>
      </c>
      <c r="AL1103">
        <f>IF([2]Entry!$D$1106="","",[2]Entry!$D$1106)</f>
        <v/>
      </c>
    </row>
    <row r="1104">
      <c r="Z1104">
        <f>IF([2]Entry!$E$1107="","",[2]Entry!$E$1107)</f>
        <v/>
      </c>
      <c r="AA1104">
        <f>IF([2]Entry!$G$1107="","",[2]Entry!$G$1107)</f>
        <v/>
      </c>
      <c r="AB1104">
        <f>IF([2]Entry!$J$1107="","",[2]Entry!$J$1107)</f>
        <v/>
      </c>
      <c r="AC1104">
        <f>IF([2]Entry!$K$1107="","",[2]Entry!$K$1107)</f>
        <v/>
      </c>
      <c r="AD1104">
        <f>IF([2]Entry!$L$1107="","",[2]Entry!$L$1107)</f>
        <v/>
      </c>
      <c r="AE1104">
        <f>IF([2]Entry!$M$1107="","",[2]Entry!$M$1107)</f>
        <v/>
      </c>
      <c r="AF1104">
        <f>IF([2]Entry!$N$1107="","",[2]Entry!$N$1107)</f>
        <v/>
      </c>
      <c r="AJ1104">
        <f>IF([2]Entry!$S$1107="","",[2]Entry!$S$1107)</f>
        <v/>
      </c>
      <c r="AK1104">
        <f>IF([2]Entry!$C$1107="","",[2]Entry!$C$1107)</f>
        <v/>
      </c>
      <c r="AL1104">
        <f>IF([2]Entry!$D$1107="","",[2]Entry!$D$1107)</f>
        <v/>
      </c>
    </row>
    <row r="1105">
      <c r="Z1105">
        <f>IF([2]Entry!$E$1108="","",[2]Entry!$E$1108)</f>
        <v/>
      </c>
      <c r="AA1105">
        <f>IF([2]Entry!$G$1108="","",[2]Entry!$G$1108)</f>
        <v/>
      </c>
      <c r="AB1105">
        <f>IF([2]Entry!$J$1108="","",[2]Entry!$J$1108)</f>
        <v/>
      </c>
      <c r="AC1105">
        <f>IF([2]Entry!$K$1108="","",[2]Entry!$K$1108)</f>
        <v/>
      </c>
      <c r="AD1105">
        <f>IF([2]Entry!$L$1108="","",[2]Entry!$L$1108)</f>
        <v/>
      </c>
      <c r="AE1105">
        <f>IF([2]Entry!$M$1108="","",[2]Entry!$M$1108)</f>
        <v/>
      </c>
      <c r="AF1105">
        <f>IF([2]Entry!$N$1108="","",[2]Entry!$N$1108)</f>
        <v/>
      </c>
      <c r="AJ1105">
        <f>IF([2]Entry!$S$1108="","",[2]Entry!$S$1108)</f>
        <v/>
      </c>
      <c r="AK1105">
        <f>IF([2]Entry!$C$1108="","",[2]Entry!$C$1108)</f>
        <v/>
      </c>
      <c r="AL1105">
        <f>IF([2]Entry!$D$1108="","",[2]Entry!$D$1108)</f>
        <v/>
      </c>
    </row>
    <row r="1106">
      <c r="Z1106">
        <f>IF([2]Entry!$E$1109="","",[2]Entry!$E$1109)</f>
        <v/>
      </c>
      <c r="AA1106">
        <f>IF([2]Entry!$G$1109="","",[2]Entry!$G$1109)</f>
        <v/>
      </c>
      <c r="AB1106">
        <f>IF([2]Entry!$J$1109="","",[2]Entry!$J$1109)</f>
        <v/>
      </c>
      <c r="AC1106">
        <f>IF([2]Entry!$K$1109="","",[2]Entry!$K$1109)</f>
        <v/>
      </c>
      <c r="AD1106">
        <f>IF([2]Entry!$L$1109="","",[2]Entry!$L$1109)</f>
        <v/>
      </c>
      <c r="AE1106">
        <f>IF([2]Entry!$M$1109="","",[2]Entry!$M$1109)</f>
        <v/>
      </c>
      <c r="AF1106">
        <f>IF([2]Entry!$N$1109="","",[2]Entry!$N$1109)</f>
        <v/>
      </c>
      <c r="AJ1106">
        <f>IF([2]Entry!$S$1109="","",[2]Entry!$S$1109)</f>
        <v/>
      </c>
      <c r="AK1106">
        <f>IF([2]Entry!$C$1109="","",[2]Entry!$C$1109)</f>
        <v/>
      </c>
      <c r="AL1106">
        <f>IF([2]Entry!$D$1109="","",[2]Entry!$D$1109)</f>
        <v/>
      </c>
    </row>
    <row r="1107">
      <c r="Z1107">
        <f>IF([2]Entry!$E$1110="","",[2]Entry!$E$1110)</f>
        <v/>
      </c>
      <c r="AA1107">
        <f>IF([2]Entry!$G$1110="","",[2]Entry!$G$1110)</f>
        <v/>
      </c>
      <c r="AB1107">
        <f>IF([2]Entry!$J$1110="","",[2]Entry!$J$1110)</f>
        <v/>
      </c>
      <c r="AC1107">
        <f>IF([2]Entry!$K$1110="","",[2]Entry!$K$1110)</f>
        <v/>
      </c>
      <c r="AD1107">
        <f>IF([2]Entry!$L$1110="","",[2]Entry!$L$1110)</f>
        <v/>
      </c>
      <c r="AE1107">
        <f>IF([2]Entry!$M$1110="","",[2]Entry!$M$1110)</f>
        <v/>
      </c>
      <c r="AF1107">
        <f>IF([2]Entry!$N$1110="","",[2]Entry!$N$1110)</f>
        <v/>
      </c>
      <c r="AJ1107">
        <f>IF([2]Entry!$S$1110="","",[2]Entry!$S$1110)</f>
        <v/>
      </c>
      <c r="AK1107">
        <f>IF([2]Entry!$C$1110="","",[2]Entry!$C$1110)</f>
        <v/>
      </c>
      <c r="AL1107">
        <f>IF([2]Entry!$D$1110="","",[2]Entry!$D$1110)</f>
        <v/>
      </c>
    </row>
    <row r="1108">
      <c r="Z1108">
        <f>IF([2]Entry!$E$1111="","",[2]Entry!$E$1111)</f>
        <v/>
      </c>
      <c r="AA1108">
        <f>IF([2]Entry!$G$1111="","",[2]Entry!$G$1111)</f>
        <v/>
      </c>
      <c r="AB1108">
        <f>IF([2]Entry!$J$1111="","",[2]Entry!$J$1111)</f>
        <v/>
      </c>
      <c r="AC1108">
        <f>IF([2]Entry!$K$1111="","",[2]Entry!$K$1111)</f>
        <v/>
      </c>
      <c r="AD1108">
        <f>IF([2]Entry!$L$1111="","",[2]Entry!$L$1111)</f>
        <v/>
      </c>
      <c r="AE1108">
        <f>IF([2]Entry!$M$1111="","",[2]Entry!$M$1111)</f>
        <v/>
      </c>
      <c r="AF1108">
        <f>IF([2]Entry!$N$1111="","",[2]Entry!$N$1111)</f>
        <v/>
      </c>
      <c r="AJ1108">
        <f>IF([2]Entry!$S$1111="","",[2]Entry!$S$1111)</f>
        <v/>
      </c>
      <c r="AK1108">
        <f>IF([2]Entry!$C$1111="","",[2]Entry!$C$1111)</f>
        <v/>
      </c>
      <c r="AL1108">
        <f>IF([2]Entry!$D$1111="","",[2]Entry!$D$1111)</f>
        <v/>
      </c>
    </row>
    <row r="1109">
      <c r="Z1109">
        <f>IF([2]Entry!$E$1112="","",[2]Entry!$E$1112)</f>
        <v/>
      </c>
      <c r="AA1109">
        <f>IF([2]Entry!$G$1112="","",[2]Entry!$G$1112)</f>
        <v/>
      </c>
      <c r="AB1109">
        <f>IF([2]Entry!$J$1112="","",[2]Entry!$J$1112)</f>
        <v/>
      </c>
      <c r="AC1109">
        <f>IF([2]Entry!$K$1112="","",[2]Entry!$K$1112)</f>
        <v/>
      </c>
      <c r="AD1109">
        <f>IF([2]Entry!$L$1112="","",[2]Entry!$L$1112)</f>
        <v/>
      </c>
      <c r="AE1109">
        <f>IF([2]Entry!$M$1112="","",[2]Entry!$M$1112)</f>
        <v/>
      </c>
      <c r="AF1109">
        <f>IF([2]Entry!$N$1112="","",[2]Entry!$N$1112)</f>
        <v/>
      </c>
      <c r="AJ1109">
        <f>IF([2]Entry!$S$1112="","",[2]Entry!$S$1112)</f>
        <v/>
      </c>
      <c r="AK1109">
        <f>IF([2]Entry!$C$1112="","",[2]Entry!$C$1112)</f>
        <v/>
      </c>
      <c r="AL1109">
        <f>IF([2]Entry!$D$1112="","",[2]Entry!$D$1112)</f>
        <v/>
      </c>
    </row>
    <row r="1110">
      <c r="Z1110">
        <f>IF([2]Entry!$E$1113="","",[2]Entry!$E$1113)</f>
        <v/>
      </c>
      <c r="AA1110">
        <f>IF([2]Entry!$G$1113="","",[2]Entry!$G$1113)</f>
        <v/>
      </c>
      <c r="AB1110">
        <f>IF([2]Entry!$J$1113="","",[2]Entry!$J$1113)</f>
        <v/>
      </c>
      <c r="AC1110">
        <f>IF([2]Entry!$K$1113="","",[2]Entry!$K$1113)</f>
        <v/>
      </c>
      <c r="AD1110">
        <f>IF([2]Entry!$L$1113="","",[2]Entry!$L$1113)</f>
        <v/>
      </c>
      <c r="AE1110">
        <f>IF([2]Entry!$M$1113="","",[2]Entry!$M$1113)</f>
        <v/>
      </c>
      <c r="AF1110">
        <f>IF([2]Entry!$N$1113="","",[2]Entry!$N$1113)</f>
        <v/>
      </c>
      <c r="AJ1110">
        <f>IF([2]Entry!$S$1113="","",[2]Entry!$S$1113)</f>
        <v/>
      </c>
      <c r="AK1110">
        <f>IF([2]Entry!$C$1113="","",[2]Entry!$C$1113)</f>
        <v/>
      </c>
      <c r="AL1110">
        <f>IF([2]Entry!$D$1113="","",[2]Entry!$D$1113)</f>
        <v/>
      </c>
    </row>
    <row r="1111">
      <c r="Z1111">
        <f>IF([2]Entry!$E$1114="","",[2]Entry!$E$1114)</f>
        <v/>
      </c>
      <c r="AA1111">
        <f>IF([2]Entry!$G$1114="","",[2]Entry!$G$1114)</f>
        <v/>
      </c>
      <c r="AB1111">
        <f>IF([2]Entry!$J$1114="","",[2]Entry!$J$1114)</f>
        <v/>
      </c>
      <c r="AC1111">
        <f>IF([2]Entry!$K$1114="","",[2]Entry!$K$1114)</f>
        <v/>
      </c>
      <c r="AD1111">
        <f>IF([2]Entry!$L$1114="","",[2]Entry!$L$1114)</f>
        <v/>
      </c>
      <c r="AE1111">
        <f>IF([2]Entry!$M$1114="","",[2]Entry!$M$1114)</f>
        <v/>
      </c>
      <c r="AF1111">
        <f>IF([2]Entry!$N$1114="","",[2]Entry!$N$1114)</f>
        <v/>
      </c>
      <c r="AJ1111">
        <f>IF([2]Entry!$S$1114="","",[2]Entry!$S$1114)</f>
        <v/>
      </c>
      <c r="AK1111">
        <f>IF([2]Entry!$C$1114="","",[2]Entry!$C$1114)</f>
        <v/>
      </c>
      <c r="AL1111">
        <f>IF([2]Entry!$D$1114="","",[2]Entry!$D$1114)</f>
        <v/>
      </c>
    </row>
    <row r="1112">
      <c r="Z1112">
        <f>IF([2]Entry!$E$1115="","",[2]Entry!$E$1115)</f>
        <v/>
      </c>
      <c r="AA1112">
        <f>IF([2]Entry!$G$1115="","",[2]Entry!$G$1115)</f>
        <v/>
      </c>
      <c r="AB1112">
        <f>IF([2]Entry!$J$1115="","",[2]Entry!$J$1115)</f>
        <v/>
      </c>
      <c r="AC1112">
        <f>IF([2]Entry!$K$1115="","",[2]Entry!$K$1115)</f>
        <v/>
      </c>
      <c r="AD1112">
        <f>IF([2]Entry!$L$1115="","",[2]Entry!$L$1115)</f>
        <v/>
      </c>
      <c r="AE1112">
        <f>IF([2]Entry!$M$1115="","",[2]Entry!$M$1115)</f>
        <v/>
      </c>
      <c r="AF1112">
        <f>IF([2]Entry!$N$1115="","",[2]Entry!$N$1115)</f>
        <v/>
      </c>
      <c r="AJ1112">
        <f>IF([2]Entry!$S$1115="","",[2]Entry!$S$1115)</f>
        <v/>
      </c>
      <c r="AK1112">
        <f>IF([2]Entry!$C$1115="","",[2]Entry!$C$1115)</f>
        <v/>
      </c>
      <c r="AL1112">
        <f>IF([2]Entry!$D$1115="","",[2]Entry!$D$1115)</f>
        <v/>
      </c>
    </row>
    <row r="1113">
      <c r="Z1113">
        <f>IF([2]Entry!$E$1116="","",[2]Entry!$E$1116)</f>
        <v/>
      </c>
      <c r="AA1113">
        <f>IF([2]Entry!$G$1116="","",[2]Entry!$G$1116)</f>
        <v/>
      </c>
      <c r="AB1113">
        <f>IF([2]Entry!$J$1116="","",[2]Entry!$J$1116)</f>
        <v/>
      </c>
      <c r="AC1113">
        <f>IF([2]Entry!$K$1116="","",[2]Entry!$K$1116)</f>
        <v/>
      </c>
      <c r="AD1113">
        <f>IF([2]Entry!$L$1116="","",[2]Entry!$L$1116)</f>
        <v/>
      </c>
      <c r="AE1113">
        <f>IF([2]Entry!$M$1116="","",[2]Entry!$M$1116)</f>
        <v/>
      </c>
      <c r="AF1113">
        <f>IF([2]Entry!$N$1116="","",[2]Entry!$N$1116)</f>
        <v/>
      </c>
      <c r="AJ1113">
        <f>IF([2]Entry!$S$1116="","",[2]Entry!$S$1116)</f>
        <v/>
      </c>
      <c r="AK1113">
        <f>IF([2]Entry!$C$1116="","",[2]Entry!$C$1116)</f>
        <v/>
      </c>
      <c r="AL1113">
        <f>IF([2]Entry!$D$1116="","",[2]Entry!$D$1116)</f>
        <v/>
      </c>
    </row>
    <row r="1114">
      <c r="Z1114">
        <f>IF([2]Entry!$E$1117="","",[2]Entry!$E$1117)</f>
        <v/>
      </c>
      <c r="AA1114">
        <f>IF([2]Entry!$G$1117="","",[2]Entry!$G$1117)</f>
        <v/>
      </c>
      <c r="AB1114">
        <f>IF([2]Entry!$J$1117="","",[2]Entry!$J$1117)</f>
        <v/>
      </c>
      <c r="AC1114">
        <f>IF([2]Entry!$K$1117="","",[2]Entry!$K$1117)</f>
        <v/>
      </c>
      <c r="AD1114">
        <f>IF([2]Entry!$L$1117="","",[2]Entry!$L$1117)</f>
        <v/>
      </c>
      <c r="AE1114">
        <f>IF([2]Entry!$M$1117="","",[2]Entry!$M$1117)</f>
        <v/>
      </c>
      <c r="AF1114">
        <f>IF([2]Entry!$N$1117="","",[2]Entry!$N$1117)</f>
        <v/>
      </c>
      <c r="AJ1114">
        <f>IF([2]Entry!$S$1117="","",[2]Entry!$S$1117)</f>
        <v/>
      </c>
      <c r="AK1114">
        <f>IF([2]Entry!$C$1117="","",[2]Entry!$C$1117)</f>
        <v/>
      </c>
      <c r="AL1114">
        <f>IF([2]Entry!$D$1117="","",[2]Entry!$D$1117)</f>
        <v/>
      </c>
    </row>
    <row r="1115">
      <c r="Z1115">
        <f>IF([2]Entry!$E$1118="","",[2]Entry!$E$1118)</f>
        <v/>
      </c>
      <c r="AA1115">
        <f>IF([2]Entry!$G$1118="","",[2]Entry!$G$1118)</f>
        <v/>
      </c>
      <c r="AB1115">
        <f>IF([2]Entry!$J$1118="","",[2]Entry!$J$1118)</f>
        <v/>
      </c>
      <c r="AC1115">
        <f>IF([2]Entry!$K$1118="","",[2]Entry!$K$1118)</f>
        <v/>
      </c>
      <c r="AD1115">
        <f>IF([2]Entry!$L$1118="","",[2]Entry!$L$1118)</f>
        <v/>
      </c>
      <c r="AE1115">
        <f>IF([2]Entry!$M$1118="","",[2]Entry!$M$1118)</f>
        <v/>
      </c>
      <c r="AF1115">
        <f>IF([2]Entry!$N$1118="","",[2]Entry!$N$1118)</f>
        <v/>
      </c>
      <c r="AJ1115">
        <f>IF([2]Entry!$S$1118="","",[2]Entry!$S$1118)</f>
        <v/>
      </c>
      <c r="AK1115">
        <f>IF([2]Entry!$C$1118="","",[2]Entry!$C$1118)</f>
        <v/>
      </c>
      <c r="AL1115">
        <f>IF([2]Entry!$D$1118="","",[2]Entry!$D$1118)</f>
        <v/>
      </c>
    </row>
    <row r="1116">
      <c r="Z1116">
        <f>IF([2]Entry!$E$1119="","",[2]Entry!$E$1119)</f>
        <v/>
      </c>
      <c r="AA1116">
        <f>IF([2]Entry!$G$1119="","",[2]Entry!$G$1119)</f>
        <v/>
      </c>
      <c r="AB1116">
        <f>IF([2]Entry!$J$1119="","",[2]Entry!$J$1119)</f>
        <v/>
      </c>
      <c r="AC1116">
        <f>IF([2]Entry!$K$1119="","",[2]Entry!$K$1119)</f>
        <v/>
      </c>
      <c r="AD1116">
        <f>IF([2]Entry!$L$1119="","",[2]Entry!$L$1119)</f>
        <v/>
      </c>
      <c r="AE1116">
        <f>IF([2]Entry!$M$1119="","",[2]Entry!$M$1119)</f>
        <v/>
      </c>
      <c r="AF1116">
        <f>IF([2]Entry!$N$1119="","",[2]Entry!$N$1119)</f>
        <v/>
      </c>
      <c r="AJ1116">
        <f>IF([2]Entry!$S$1119="","",[2]Entry!$S$1119)</f>
        <v/>
      </c>
      <c r="AK1116">
        <f>IF([2]Entry!$C$1119="","",[2]Entry!$C$1119)</f>
        <v/>
      </c>
      <c r="AL1116">
        <f>IF([2]Entry!$D$1119="","",[2]Entry!$D$1119)</f>
        <v/>
      </c>
    </row>
    <row r="1117">
      <c r="Z1117">
        <f>IF([2]Entry!$E$1120="","",[2]Entry!$E$1120)</f>
        <v/>
      </c>
      <c r="AA1117">
        <f>IF([2]Entry!$G$1120="","",[2]Entry!$G$1120)</f>
        <v/>
      </c>
      <c r="AB1117">
        <f>IF([2]Entry!$J$1120="","",[2]Entry!$J$1120)</f>
        <v/>
      </c>
      <c r="AC1117">
        <f>IF([2]Entry!$K$1120="","",[2]Entry!$K$1120)</f>
        <v/>
      </c>
      <c r="AD1117">
        <f>IF([2]Entry!$L$1120="","",[2]Entry!$L$1120)</f>
        <v/>
      </c>
      <c r="AE1117">
        <f>IF([2]Entry!$M$1120="","",[2]Entry!$M$1120)</f>
        <v/>
      </c>
      <c r="AF1117">
        <f>IF([2]Entry!$N$1120="","",[2]Entry!$N$1120)</f>
        <v/>
      </c>
      <c r="AJ1117">
        <f>IF([2]Entry!$S$1120="","",[2]Entry!$S$1120)</f>
        <v/>
      </c>
      <c r="AK1117">
        <f>IF([2]Entry!$C$1120="","",[2]Entry!$C$1120)</f>
        <v/>
      </c>
      <c r="AL1117">
        <f>IF([2]Entry!$D$1120="","",[2]Entry!$D$1120)</f>
        <v/>
      </c>
    </row>
    <row r="1118">
      <c r="Z1118">
        <f>IF([2]Entry!$E$1121="","",[2]Entry!$E$1121)</f>
        <v/>
      </c>
      <c r="AA1118">
        <f>IF([2]Entry!$G$1121="","",[2]Entry!$G$1121)</f>
        <v/>
      </c>
      <c r="AB1118">
        <f>IF([2]Entry!$J$1121="","",[2]Entry!$J$1121)</f>
        <v/>
      </c>
      <c r="AC1118">
        <f>IF([2]Entry!$K$1121="","",[2]Entry!$K$1121)</f>
        <v/>
      </c>
      <c r="AD1118">
        <f>IF([2]Entry!$L$1121="","",[2]Entry!$L$1121)</f>
        <v/>
      </c>
      <c r="AE1118">
        <f>IF([2]Entry!$M$1121="","",[2]Entry!$M$1121)</f>
        <v/>
      </c>
      <c r="AF1118">
        <f>IF([2]Entry!$N$1121="","",[2]Entry!$N$1121)</f>
        <v/>
      </c>
      <c r="AJ1118">
        <f>IF([2]Entry!$S$1121="","",[2]Entry!$S$1121)</f>
        <v/>
      </c>
      <c r="AK1118">
        <f>IF([2]Entry!$C$1121="","",[2]Entry!$C$1121)</f>
        <v/>
      </c>
      <c r="AL1118">
        <f>IF([2]Entry!$D$1121="","",[2]Entry!$D$1121)</f>
        <v/>
      </c>
    </row>
    <row r="1119">
      <c r="Z1119">
        <f>IF([2]Entry!$E$1122="","",[2]Entry!$E$1122)</f>
        <v/>
      </c>
      <c r="AA1119">
        <f>IF([2]Entry!$G$1122="","",[2]Entry!$G$1122)</f>
        <v/>
      </c>
      <c r="AB1119">
        <f>IF([2]Entry!$J$1122="","",[2]Entry!$J$1122)</f>
        <v/>
      </c>
      <c r="AC1119">
        <f>IF([2]Entry!$K$1122="","",[2]Entry!$K$1122)</f>
        <v/>
      </c>
      <c r="AD1119">
        <f>IF([2]Entry!$L$1122="","",[2]Entry!$L$1122)</f>
        <v/>
      </c>
      <c r="AE1119">
        <f>IF([2]Entry!$M$1122="","",[2]Entry!$M$1122)</f>
        <v/>
      </c>
      <c r="AF1119">
        <f>IF([2]Entry!$N$1122="","",[2]Entry!$N$1122)</f>
        <v/>
      </c>
      <c r="AJ1119">
        <f>IF([2]Entry!$S$1122="","",[2]Entry!$S$1122)</f>
        <v/>
      </c>
      <c r="AK1119">
        <f>IF([2]Entry!$C$1122="","",[2]Entry!$C$1122)</f>
        <v/>
      </c>
      <c r="AL1119">
        <f>IF([2]Entry!$D$1122="","",[2]Entry!$D$1122)</f>
        <v/>
      </c>
    </row>
    <row r="1120">
      <c r="Z1120">
        <f>IF([2]Entry!$E$1123="","",[2]Entry!$E$1123)</f>
        <v/>
      </c>
      <c r="AA1120">
        <f>IF([2]Entry!$G$1123="","",[2]Entry!$G$1123)</f>
        <v/>
      </c>
      <c r="AB1120">
        <f>IF([2]Entry!$J$1123="","",[2]Entry!$J$1123)</f>
        <v/>
      </c>
      <c r="AC1120">
        <f>IF([2]Entry!$K$1123="","",[2]Entry!$K$1123)</f>
        <v/>
      </c>
      <c r="AD1120">
        <f>IF([2]Entry!$L$1123="","",[2]Entry!$L$1123)</f>
        <v/>
      </c>
      <c r="AE1120">
        <f>IF([2]Entry!$M$1123="","",[2]Entry!$M$1123)</f>
        <v/>
      </c>
      <c r="AF1120">
        <f>IF([2]Entry!$N$1123="","",[2]Entry!$N$1123)</f>
        <v/>
      </c>
      <c r="AJ1120">
        <f>IF([2]Entry!$S$1123="","",[2]Entry!$S$1123)</f>
        <v/>
      </c>
      <c r="AK1120">
        <f>IF([2]Entry!$C$1123="","",[2]Entry!$C$1123)</f>
        <v/>
      </c>
      <c r="AL1120">
        <f>IF([2]Entry!$D$1123="","",[2]Entry!$D$1123)</f>
        <v/>
      </c>
    </row>
    <row r="1121">
      <c r="Z1121">
        <f>IF([2]Entry!$E$1124="","",[2]Entry!$E$1124)</f>
        <v/>
      </c>
      <c r="AA1121">
        <f>IF([2]Entry!$G$1124="","",[2]Entry!$G$1124)</f>
        <v/>
      </c>
      <c r="AB1121">
        <f>IF([2]Entry!$J$1124="","",[2]Entry!$J$1124)</f>
        <v/>
      </c>
      <c r="AC1121">
        <f>IF([2]Entry!$K$1124="","",[2]Entry!$K$1124)</f>
        <v/>
      </c>
      <c r="AD1121">
        <f>IF([2]Entry!$L$1124="","",[2]Entry!$L$1124)</f>
        <v/>
      </c>
      <c r="AE1121">
        <f>IF([2]Entry!$M$1124="","",[2]Entry!$M$1124)</f>
        <v/>
      </c>
      <c r="AF1121">
        <f>IF([2]Entry!$N$1124="","",[2]Entry!$N$1124)</f>
        <v/>
      </c>
      <c r="AJ1121">
        <f>IF([2]Entry!$S$1124="","",[2]Entry!$S$1124)</f>
        <v/>
      </c>
      <c r="AK1121">
        <f>IF([2]Entry!$C$1124="","",[2]Entry!$C$1124)</f>
        <v/>
      </c>
      <c r="AL1121">
        <f>IF([2]Entry!$D$1124="","",[2]Entry!$D$1124)</f>
        <v/>
      </c>
    </row>
    <row r="1122">
      <c r="Z1122">
        <f>IF([2]Entry!$E$1125="","",[2]Entry!$E$1125)</f>
        <v/>
      </c>
      <c r="AA1122">
        <f>IF([2]Entry!$G$1125="","",[2]Entry!$G$1125)</f>
        <v/>
      </c>
      <c r="AB1122">
        <f>IF([2]Entry!$J$1125="","",[2]Entry!$J$1125)</f>
        <v/>
      </c>
      <c r="AC1122">
        <f>IF([2]Entry!$K$1125="","",[2]Entry!$K$1125)</f>
        <v/>
      </c>
      <c r="AD1122">
        <f>IF([2]Entry!$L$1125="","",[2]Entry!$L$1125)</f>
        <v/>
      </c>
      <c r="AE1122">
        <f>IF([2]Entry!$M$1125="","",[2]Entry!$M$1125)</f>
        <v/>
      </c>
      <c r="AF1122">
        <f>IF([2]Entry!$N$1125="","",[2]Entry!$N$1125)</f>
        <v/>
      </c>
      <c r="AJ1122">
        <f>IF([2]Entry!$S$1125="","",[2]Entry!$S$1125)</f>
        <v/>
      </c>
      <c r="AK1122">
        <f>IF([2]Entry!$C$1125="","",[2]Entry!$C$1125)</f>
        <v/>
      </c>
      <c r="AL1122">
        <f>IF([2]Entry!$D$1125="","",[2]Entry!$D$1125)</f>
        <v/>
      </c>
    </row>
    <row r="1123">
      <c r="Z1123">
        <f>IF([2]Entry!$E$1126="","",[2]Entry!$E$1126)</f>
        <v/>
      </c>
      <c r="AA1123">
        <f>IF([2]Entry!$G$1126="","",[2]Entry!$G$1126)</f>
        <v/>
      </c>
      <c r="AB1123">
        <f>IF([2]Entry!$J$1126="","",[2]Entry!$J$1126)</f>
        <v/>
      </c>
      <c r="AC1123">
        <f>IF([2]Entry!$K$1126="","",[2]Entry!$K$1126)</f>
        <v/>
      </c>
      <c r="AD1123">
        <f>IF([2]Entry!$L$1126="","",[2]Entry!$L$1126)</f>
        <v/>
      </c>
      <c r="AE1123">
        <f>IF([2]Entry!$M$1126="","",[2]Entry!$M$1126)</f>
        <v/>
      </c>
      <c r="AF1123">
        <f>IF([2]Entry!$N$1126="","",[2]Entry!$N$1126)</f>
        <v/>
      </c>
      <c r="AJ1123">
        <f>IF([2]Entry!$S$1126="","",[2]Entry!$S$1126)</f>
        <v/>
      </c>
      <c r="AK1123">
        <f>IF([2]Entry!$C$1126="","",[2]Entry!$C$1126)</f>
        <v/>
      </c>
      <c r="AL1123">
        <f>IF([2]Entry!$D$1126="","",[2]Entry!$D$1126)</f>
        <v/>
      </c>
    </row>
    <row r="1124">
      <c r="Z1124">
        <f>IF([2]Entry!$E$1127="","",[2]Entry!$E$1127)</f>
        <v/>
      </c>
      <c r="AA1124">
        <f>IF([2]Entry!$G$1127="","",[2]Entry!$G$1127)</f>
        <v/>
      </c>
      <c r="AB1124">
        <f>IF([2]Entry!$J$1127="","",[2]Entry!$J$1127)</f>
        <v/>
      </c>
      <c r="AC1124">
        <f>IF([2]Entry!$K$1127="","",[2]Entry!$K$1127)</f>
        <v/>
      </c>
      <c r="AD1124">
        <f>IF([2]Entry!$L$1127="","",[2]Entry!$L$1127)</f>
        <v/>
      </c>
      <c r="AE1124">
        <f>IF([2]Entry!$M$1127="","",[2]Entry!$M$1127)</f>
        <v/>
      </c>
      <c r="AF1124">
        <f>IF([2]Entry!$N$1127="","",[2]Entry!$N$1127)</f>
        <v/>
      </c>
      <c r="AJ1124">
        <f>IF([2]Entry!$S$1127="","",[2]Entry!$S$1127)</f>
        <v/>
      </c>
      <c r="AK1124">
        <f>IF([2]Entry!$C$1127="","",[2]Entry!$C$1127)</f>
        <v/>
      </c>
      <c r="AL1124">
        <f>IF([2]Entry!$D$1127="","",[2]Entry!$D$1127)</f>
        <v/>
      </c>
    </row>
    <row r="1125">
      <c r="Z1125">
        <f>IF([2]Entry!$E$1128="","",[2]Entry!$E$1128)</f>
        <v/>
      </c>
      <c r="AA1125">
        <f>IF([2]Entry!$G$1128="","",[2]Entry!$G$1128)</f>
        <v/>
      </c>
      <c r="AB1125">
        <f>IF([2]Entry!$J$1128="","",[2]Entry!$J$1128)</f>
        <v/>
      </c>
      <c r="AC1125">
        <f>IF([2]Entry!$K$1128="","",[2]Entry!$K$1128)</f>
        <v/>
      </c>
      <c r="AD1125">
        <f>IF([2]Entry!$L$1128="","",[2]Entry!$L$1128)</f>
        <v/>
      </c>
      <c r="AE1125">
        <f>IF([2]Entry!$M$1128="","",[2]Entry!$M$1128)</f>
        <v/>
      </c>
      <c r="AF1125">
        <f>IF([2]Entry!$N$1128="","",[2]Entry!$N$1128)</f>
        <v/>
      </c>
      <c r="AJ1125">
        <f>IF([2]Entry!$S$1128="","",[2]Entry!$S$1128)</f>
        <v/>
      </c>
      <c r="AK1125">
        <f>IF([2]Entry!$C$1128="","",[2]Entry!$C$1128)</f>
        <v/>
      </c>
      <c r="AL1125">
        <f>IF([2]Entry!$D$1128="","",[2]Entry!$D$1128)</f>
        <v/>
      </c>
    </row>
    <row r="1126">
      <c r="Z1126">
        <f>IF([2]Entry!$E$1129="","",[2]Entry!$E$1129)</f>
        <v/>
      </c>
      <c r="AA1126">
        <f>IF([2]Entry!$G$1129="","",[2]Entry!$G$1129)</f>
        <v/>
      </c>
      <c r="AB1126">
        <f>IF([2]Entry!$J$1129="","",[2]Entry!$J$1129)</f>
        <v/>
      </c>
      <c r="AC1126">
        <f>IF([2]Entry!$K$1129="","",[2]Entry!$K$1129)</f>
        <v/>
      </c>
      <c r="AD1126">
        <f>IF([2]Entry!$L$1129="","",[2]Entry!$L$1129)</f>
        <v/>
      </c>
      <c r="AE1126">
        <f>IF([2]Entry!$M$1129="","",[2]Entry!$M$1129)</f>
        <v/>
      </c>
      <c r="AF1126">
        <f>IF([2]Entry!$N$1129="","",[2]Entry!$N$1129)</f>
        <v/>
      </c>
      <c r="AJ1126">
        <f>IF([2]Entry!$S$1129="","",[2]Entry!$S$1129)</f>
        <v/>
      </c>
      <c r="AK1126">
        <f>IF([2]Entry!$C$1129="","",[2]Entry!$C$1129)</f>
        <v/>
      </c>
      <c r="AL1126">
        <f>IF([2]Entry!$D$1129="","",[2]Entry!$D$1129)</f>
        <v/>
      </c>
    </row>
    <row r="1127">
      <c r="Z1127">
        <f>IF([2]Entry!$E$1130="","",[2]Entry!$E$1130)</f>
        <v/>
      </c>
      <c r="AA1127">
        <f>IF([2]Entry!$G$1130="","",[2]Entry!$G$1130)</f>
        <v/>
      </c>
      <c r="AB1127">
        <f>IF([2]Entry!$J$1130="","",[2]Entry!$J$1130)</f>
        <v/>
      </c>
      <c r="AC1127">
        <f>IF([2]Entry!$K$1130="","",[2]Entry!$K$1130)</f>
        <v/>
      </c>
      <c r="AD1127">
        <f>IF([2]Entry!$L$1130="","",[2]Entry!$L$1130)</f>
        <v/>
      </c>
      <c r="AE1127">
        <f>IF([2]Entry!$M$1130="","",[2]Entry!$M$1130)</f>
        <v/>
      </c>
      <c r="AF1127">
        <f>IF([2]Entry!$N$1130="","",[2]Entry!$N$1130)</f>
        <v/>
      </c>
      <c r="AJ1127">
        <f>IF([2]Entry!$S$1130="","",[2]Entry!$S$1130)</f>
        <v/>
      </c>
      <c r="AK1127">
        <f>IF([2]Entry!$C$1130="","",[2]Entry!$C$1130)</f>
        <v/>
      </c>
      <c r="AL1127">
        <f>IF([2]Entry!$D$1130="","",[2]Entry!$D$1130)</f>
        <v/>
      </c>
    </row>
    <row r="1128">
      <c r="Z1128">
        <f>IF([2]Entry!$E$1131="","",[2]Entry!$E$1131)</f>
        <v/>
      </c>
      <c r="AA1128">
        <f>IF([2]Entry!$G$1131="","",[2]Entry!$G$1131)</f>
        <v/>
      </c>
      <c r="AB1128">
        <f>IF([2]Entry!$J$1131="","",[2]Entry!$J$1131)</f>
        <v/>
      </c>
      <c r="AC1128">
        <f>IF([2]Entry!$K$1131="","",[2]Entry!$K$1131)</f>
        <v/>
      </c>
      <c r="AD1128">
        <f>IF([2]Entry!$L$1131="","",[2]Entry!$L$1131)</f>
        <v/>
      </c>
      <c r="AE1128">
        <f>IF([2]Entry!$M$1131="","",[2]Entry!$M$1131)</f>
        <v/>
      </c>
      <c r="AF1128">
        <f>IF([2]Entry!$N$1131="","",[2]Entry!$N$1131)</f>
        <v/>
      </c>
      <c r="AJ1128">
        <f>IF([2]Entry!$S$1131="","",[2]Entry!$S$1131)</f>
        <v/>
      </c>
      <c r="AK1128">
        <f>IF([2]Entry!$C$1131="","",[2]Entry!$C$1131)</f>
        <v/>
      </c>
      <c r="AL1128">
        <f>IF([2]Entry!$D$1131="","",[2]Entry!$D$1131)</f>
        <v/>
      </c>
    </row>
    <row r="1129">
      <c r="Z1129">
        <f>IF([2]Entry!$E$1132="","",[2]Entry!$E$1132)</f>
        <v/>
      </c>
      <c r="AA1129">
        <f>IF([2]Entry!$G$1132="","",[2]Entry!$G$1132)</f>
        <v/>
      </c>
      <c r="AB1129">
        <f>IF([2]Entry!$J$1132="","",[2]Entry!$J$1132)</f>
        <v/>
      </c>
      <c r="AC1129">
        <f>IF([2]Entry!$K$1132="","",[2]Entry!$K$1132)</f>
        <v/>
      </c>
      <c r="AD1129">
        <f>IF([2]Entry!$L$1132="","",[2]Entry!$L$1132)</f>
        <v/>
      </c>
      <c r="AE1129">
        <f>IF([2]Entry!$M$1132="","",[2]Entry!$M$1132)</f>
        <v/>
      </c>
      <c r="AF1129">
        <f>IF([2]Entry!$N$1132="","",[2]Entry!$N$1132)</f>
        <v/>
      </c>
      <c r="AJ1129">
        <f>IF([2]Entry!$S$1132="","",[2]Entry!$S$1132)</f>
        <v/>
      </c>
      <c r="AK1129">
        <f>IF([2]Entry!$C$1132="","",[2]Entry!$C$1132)</f>
        <v/>
      </c>
      <c r="AL1129">
        <f>IF([2]Entry!$D$1132="","",[2]Entry!$D$1132)</f>
        <v/>
      </c>
    </row>
    <row r="1130">
      <c r="Z1130">
        <f>IF([2]Entry!$E$1133="","",[2]Entry!$E$1133)</f>
        <v/>
      </c>
      <c r="AA1130">
        <f>IF([2]Entry!$G$1133="","",[2]Entry!$G$1133)</f>
        <v/>
      </c>
      <c r="AB1130">
        <f>IF([2]Entry!$J$1133="","",[2]Entry!$J$1133)</f>
        <v/>
      </c>
      <c r="AC1130">
        <f>IF([2]Entry!$K$1133="","",[2]Entry!$K$1133)</f>
        <v/>
      </c>
      <c r="AD1130">
        <f>IF([2]Entry!$L$1133="","",[2]Entry!$L$1133)</f>
        <v/>
      </c>
      <c r="AE1130">
        <f>IF([2]Entry!$M$1133="","",[2]Entry!$M$1133)</f>
        <v/>
      </c>
      <c r="AF1130">
        <f>IF([2]Entry!$N$1133="","",[2]Entry!$N$1133)</f>
        <v/>
      </c>
      <c r="AJ1130">
        <f>IF([2]Entry!$S$1133="","",[2]Entry!$S$1133)</f>
        <v/>
      </c>
      <c r="AK1130">
        <f>IF([2]Entry!$C$1133="","",[2]Entry!$C$1133)</f>
        <v/>
      </c>
      <c r="AL1130">
        <f>IF([2]Entry!$D$1133="","",[2]Entry!$D$1133)</f>
        <v/>
      </c>
    </row>
    <row r="1131">
      <c r="Z1131">
        <f>IF([2]Entry!$E$1134="","",[2]Entry!$E$1134)</f>
        <v/>
      </c>
      <c r="AA1131">
        <f>IF([2]Entry!$G$1134="","",[2]Entry!$G$1134)</f>
        <v/>
      </c>
      <c r="AB1131">
        <f>IF([2]Entry!$J$1134="","",[2]Entry!$J$1134)</f>
        <v/>
      </c>
      <c r="AC1131">
        <f>IF([2]Entry!$K$1134="","",[2]Entry!$K$1134)</f>
        <v/>
      </c>
      <c r="AD1131">
        <f>IF([2]Entry!$L$1134="","",[2]Entry!$L$1134)</f>
        <v/>
      </c>
      <c r="AE1131">
        <f>IF([2]Entry!$M$1134="","",[2]Entry!$M$1134)</f>
        <v/>
      </c>
      <c r="AF1131">
        <f>IF([2]Entry!$N$1134="","",[2]Entry!$N$1134)</f>
        <v/>
      </c>
      <c r="AJ1131">
        <f>IF([2]Entry!$S$1134="","",[2]Entry!$S$1134)</f>
        <v/>
      </c>
      <c r="AK1131">
        <f>IF([2]Entry!$C$1134="","",[2]Entry!$C$1134)</f>
        <v/>
      </c>
      <c r="AL1131">
        <f>IF([2]Entry!$D$1134="","",[2]Entry!$D$1134)</f>
        <v/>
      </c>
    </row>
    <row r="1132">
      <c r="Z1132">
        <f>IF([2]Entry!$E$1135="","",[2]Entry!$E$1135)</f>
        <v/>
      </c>
      <c r="AA1132">
        <f>IF([2]Entry!$G$1135="","",[2]Entry!$G$1135)</f>
        <v/>
      </c>
      <c r="AB1132">
        <f>IF([2]Entry!$J$1135="","",[2]Entry!$J$1135)</f>
        <v/>
      </c>
      <c r="AC1132">
        <f>IF([2]Entry!$K$1135="","",[2]Entry!$K$1135)</f>
        <v/>
      </c>
      <c r="AD1132">
        <f>IF([2]Entry!$L$1135="","",[2]Entry!$L$1135)</f>
        <v/>
      </c>
      <c r="AE1132">
        <f>IF([2]Entry!$M$1135="","",[2]Entry!$M$1135)</f>
        <v/>
      </c>
      <c r="AF1132">
        <f>IF([2]Entry!$N$1135="","",[2]Entry!$N$1135)</f>
        <v/>
      </c>
      <c r="AJ1132">
        <f>IF([2]Entry!$S$1135="","",[2]Entry!$S$1135)</f>
        <v/>
      </c>
      <c r="AK1132">
        <f>IF([2]Entry!$C$1135="","",[2]Entry!$C$1135)</f>
        <v/>
      </c>
      <c r="AL1132">
        <f>IF([2]Entry!$D$1135="","",[2]Entry!$D$1135)</f>
        <v/>
      </c>
    </row>
    <row r="1133">
      <c r="Z1133">
        <f>IF([2]Entry!$E$1136="","",[2]Entry!$E$1136)</f>
        <v/>
      </c>
      <c r="AA1133">
        <f>IF([2]Entry!$G$1136="","",[2]Entry!$G$1136)</f>
        <v/>
      </c>
      <c r="AB1133">
        <f>IF([2]Entry!$J$1136="","",[2]Entry!$J$1136)</f>
        <v/>
      </c>
      <c r="AC1133">
        <f>IF([2]Entry!$K$1136="","",[2]Entry!$K$1136)</f>
        <v/>
      </c>
      <c r="AD1133">
        <f>IF([2]Entry!$L$1136="","",[2]Entry!$L$1136)</f>
        <v/>
      </c>
      <c r="AE1133">
        <f>IF([2]Entry!$M$1136="","",[2]Entry!$M$1136)</f>
        <v/>
      </c>
      <c r="AF1133">
        <f>IF([2]Entry!$N$1136="","",[2]Entry!$N$1136)</f>
        <v/>
      </c>
      <c r="AJ1133">
        <f>IF([2]Entry!$S$1136="","",[2]Entry!$S$1136)</f>
        <v/>
      </c>
      <c r="AK1133">
        <f>IF([2]Entry!$C$1136="","",[2]Entry!$C$1136)</f>
        <v/>
      </c>
      <c r="AL1133">
        <f>IF([2]Entry!$D$1136="","",[2]Entry!$D$1136)</f>
        <v/>
      </c>
    </row>
    <row r="1134">
      <c r="Z1134">
        <f>IF([2]Entry!$E$1137="","",[2]Entry!$E$1137)</f>
        <v/>
      </c>
      <c r="AA1134">
        <f>IF([2]Entry!$G$1137="","",[2]Entry!$G$1137)</f>
        <v/>
      </c>
      <c r="AB1134">
        <f>IF([2]Entry!$J$1137="","",[2]Entry!$J$1137)</f>
        <v/>
      </c>
      <c r="AC1134">
        <f>IF([2]Entry!$K$1137="","",[2]Entry!$K$1137)</f>
        <v/>
      </c>
      <c r="AD1134">
        <f>IF([2]Entry!$L$1137="","",[2]Entry!$L$1137)</f>
        <v/>
      </c>
      <c r="AE1134">
        <f>IF([2]Entry!$M$1137="","",[2]Entry!$M$1137)</f>
        <v/>
      </c>
      <c r="AF1134">
        <f>IF([2]Entry!$N$1137="","",[2]Entry!$N$1137)</f>
        <v/>
      </c>
      <c r="AJ1134">
        <f>IF([2]Entry!$S$1137="","",[2]Entry!$S$1137)</f>
        <v/>
      </c>
      <c r="AK1134">
        <f>IF([2]Entry!$C$1137="","",[2]Entry!$C$1137)</f>
        <v/>
      </c>
      <c r="AL1134">
        <f>IF([2]Entry!$D$1137="","",[2]Entry!$D$1137)</f>
        <v/>
      </c>
    </row>
    <row r="1135">
      <c r="Z1135">
        <f>IF([2]Entry!$E$1138="","",[2]Entry!$E$1138)</f>
        <v/>
      </c>
      <c r="AA1135">
        <f>IF([2]Entry!$G$1138="","",[2]Entry!$G$1138)</f>
        <v/>
      </c>
      <c r="AB1135">
        <f>IF([2]Entry!$J$1138="","",[2]Entry!$J$1138)</f>
        <v/>
      </c>
      <c r="AC1135">
        <f>IF([2]Entry!$K$1138="","",[2]Entry!$K$1138)</f>
        <v/>
      </c>
      <c r="AD1135">
        <f>IF([2]Entry!$L$1138="","",[2]Entry!$L$1138)</f>
        <v/>
      </c>
      <c r="AE1135">
        <f>IF([2]Entry!$M$1138="","",[2]Entry!$M$1138)</f>
        <v/>
      </c>
      <c r="AF1135">
        <f>IF([2]Entry!$N$1138="","",[2]Entry!$N$1138)</f>
        <v/>
      </c>
      <c r="AJ1135">
        <f>IF([2]Entry!$S$1138="","",[2]Entry!$S$1138)</f>
        <v/>
      </c>
      <c r="AK1135">
        <f>IF([2]Entry!$C$1138="","",[2]Entry!$C$1138)</f>
        <v/>
      </c>
      <c r="AL1135">
        <f>IF([2]Entry!$D$1138="","",[2]Entry!$D$1138)</f>
        <v/>
      </c>
    </row>
    <row r="1136">
      <c r="Z1136">
        <f>IF([2]Entry!$E$1139="","",[2]Entry!$E$1139)</f>
        <v/>
      </c>
      <c r="AA1136">
        <f>IF([2]Entry!$G$1139="","",[2]Entry!$G$1139)</f>
        <v/>
      </c>
      <c r="AB1136">
        <f>IF([2]Entry!$J$1139="","",[2]Entry!$J$1139)</f>
        <v/>
      </c>
      <c r="AC1136">
        <f>IF([2]Entry!$K$1139="","",[2]Entry!$K$1139)</f>
        <v/>
      </c>
      <c r="AD1136">
        <f>IF([2]Entry!$L$1139="","",[2]Entry!$L$1139)</f>
        <v/>
      </c>
      <c r="AE1136">
        <f>IF([2]Entry!$M$1139="","",[2]Entry!$M$1139)</f>
        <v/>
      </c>
      <c r="AF1136">
        <f>IF([2]Entry!$N$1139="","",[2]Entry!$N$1139)</f>
        <v/>
      </c>
      <c r="AJ1136">
        <f>IF([2]Entry!$S$1139="","",[2]Entry!$S$1139)</f>
        <v/>
      </c>
      <c r="AK1136">
        <f>IF([2]Entry!$C$1139="","",[2]Entry!$C$1139)</f>
        <v/>
      </c>
      <c r="AL1136">
        <f>IF([2]Entry!$D$1139="","",[2]Entry!$D$1139)</f>
        <v/>
      </c>
    </row>
    <row r="1137">
      <c r="Z1137">
        <f>IF([2]Entry!$E$1140="","",[2]Entry!$E$1140)</f>
        <v/>
      </c>
      <c r="AA1137">
        <f>IF([2]Entry!$G$1140="","",[2]Entry!$G$1140)</f>
        <v/>
      </c>
      <c r="AB1137">
        <f>IF([2]Entry!$J$1140="","",[2]Entry!$J$1140)</f>
        <v/>
      </c>
      <c r="AC1137">
        <f>IF([2]Entry!$K$1140="","",[2]Entry!$K$1140)</f>
        <v/>
      </c>
      <c r="AD1137">
        <f>IF([2]Entry!$L$1140="","",[2]Entry!$L$1140)</f>
        <v/>
      </c>
      <c r="AE1137">
        <f>IF([2]Entry!$M$1140="","",[2]Entry!$M$1140)</f>
        <v/>
      </c>
      <c r="AF1137">
        <f>IF([2]Entry!$N$1140="","",[2]Entry!$N$1140)</f>
        <v/>
      </c>
      <c r="AJ1137">
        <f>IF([2]Entry!$S$1140="","",[2]Entry!$S$1140)</f>
        <v/>
      </c>
      <c r="AK1137">
        <f>IF([2]Entry!$C$1140="","",[2]Entry!$C$1140)</f>
        <v/>
      </c>
      <c r="AL1137">
        <f>IF([2]Entry!$D$1140="","",[2]Entry!$D$1140)</f>
        <v/>
      </c>
    </row>
    <row r="1138">
      <c r="Z1138">
        <f>IF([2]Entry!$E$1141="","",[2]Entry!$E$1141)</f>
        <v/>
      </c>
      <c r="AA1138">
        <f>IF([2]Entry!$G$1141="","",[2]Entry!$G$1141)</f>
        <v/>
      </c>
      <c r="AB1138">
        <f>IF([2]Entry!$J$1141="","",[2]Entry!$J$1141)</f>
        <v/>
      </c>
      <c r="AC1138">
        <f>IF([2]Entry!$K$1141="","",[2]Entry!$K$1141)</f>
        <v/>
      </c>
      <c r="AD1138">
        <f>IF([2]Entry!$L$1141="","",[2]Entry!$L$1141)</f>
        <v/>
      </c>
      <c r="AE1138">
        <f>IF([2]Entry!$M$1141="","",[2]Entry!$M$1141)</f>
        <v/>
      </c>
      <c r="AF1138">
        <f>IF([2]Entry!$N$1141="","",[2]Entry!$N$1141)</f>
        <v/>
      </c>
      <c r="AJ1138">
        <f>IF([2]Entry!$S$1141="","",[2]Entry!$S$1141)</f>
        <v/>
      </c>
      <c r="AK1138">
        <f>IF([2]Entry!$C$1141="","",[2]Entry!$C$1141)</f>
        <v/>
      </c>
      <c r="AL1138">
        <f>IF([2]Entry!$D$1141="","",[2]Entry!$D$1141)</f>
        <v/>
      </c>
    </row>
    <row r="1139">
      <c r="Z1139">
        <f>IF([2]Entry!$E$1142="","",[2]Entry!$E$1142)</f>
        <v/>
      </c>
      <c r="AA1139">
        <f>IF([2]Entry!$G$1142="","",[2]Entry!$G$1142)</f>
        <v/>
      </c>
      <c r="AB1139">
        <f>IF([2]Entry!$J$1142="","",[2]Entry!$J$1142)</f>
        <v/>
      </c>
      <c r="AC1139">
        <f>IF([2]Entry!$K$1142="","",[2]Entry!$K$1142)</f>
        <v/>
      </c>
      <c r="AD1139">
        <f>IF([2]Entry!$L$1142="","",[2]Entry!$L$1142)</f>
        <v/>
      </c>
      <c r="AE1139">
        <f>IF([2]Entry!$M$1142="","",[2]Entry!$M$1142)</f>
        <v/>
      </c>
      <c r="AF1139">
        <f>IF([2]Entry!$N$1142="","",[2]Entry!$N$1142)</f>
        <v/>
      </c>
      <c r="AJ1139">
        <f>IF([2]Entry!$S$1142="","",[2]Entry!$S$1142)</f>
        <v/>
      </c>
      <c r="AK1139">
        <f>IF([2]Entry!$C$1142="","",[2]Entry!$C$1142)</f>
        <v/>
      </c>
      <c r="AL1139">
        <f>IF([2]Entry!$D$1142="","",[2]Entry!$D$1142)</f>
        <v/>
      </c>
    </row>
    <row r="1140">
      <c r="Z1140">
        <f>IF([2]Entry!$E$1143="","",[2]Entry!$E$1143)</f>
        <v/>
      </c>
      <c r="AA1140">
        <f>IF([2]Entry!$G$1143="","",[2]Entry!$G$1143)</f>
        <v/>
      </c>
      <c r="AB1140">
        <f>IF([2]Entry!$J$1143="","",[2]Entry!$J$1143)</f>
        <v/>
      </c>
      <c r="AC1140">
        <f>IF([2]Entry!$K$1143="","",[2]Entry!$K$1143)</f>
        <v/>
      </c>
      <c r="AD1140">
        <f>IF([2]Entry!$L$1143="","",[2]Entry!$L$1143)</f>
        <v/>
      </c>
      <c r="AE1140">
        <f>IF([2]Entry!$M$1143="","",[2]Entry!$M$1143)</f>
        <v/>
      </c>
      <c r="AF1140">
        <f>IF([2]Entry!$N$1143="","",[2]Entry!$N$1143)</f>
        <v/>
      </c>
      <c r="AJ1140">
        <f>IF([2]Entry!$S$1143="","",[2]Entry!$S$1143)</f>
        <v/>
      </c>
      <c r="AK1140">
        <f>IF([2]Entry!$C$1143="","",[2]Entry!$C$1143)</f>
        <v/>
      </c>
      <c r="AL1140">
        <f>IF([2]Entry!$D$1143="","",[2]Entry!$D$1143)</f>
        <v/>
      </c>
    </row>
    <row r="1141">
      <c r="Z1141">
        <f>IF([2]Entry!$E$1144="","",[2]Entry!$E$1144)</f>
        <v/>
      </c>
      <c r="AA1141">
        <f>IF([2]Entry!$G$1144="","",[2]Entry!$G$1144)</f>
        <v/>
      </c>
      <c r="AB1141">
        <f>IF([2]Entry!$J$1144="","",[2]Entry!$J$1144)</f>
        <v/>
      </c>
      <c r="AC1141">
        <f>IF([2]Entry!$K$1144="","",[2]Entry!$K$1144)</f>
        <v/>
      </c>
      <c r="AD1141">
        <f>IF([2]Entry!$L$1144="","",[2]Entry!$L$1144)</f>
        <v/>
      </c>
      <c r="AE1141">
        <f>IF([2]Entry!$M$1144="","",[2]Entry!$M$1144)</f>
        <v/>
      </c>
      <c r="AF1141">
        <f>IF([2]Entry!$N$1144="","",[2]Entry!$N$1144)</f>
        <v/>
      </c>
      <c r="AJ1141">
        <f>IF([2]Entry!$S$1144="","",[2]Entry!$S$1144)</f>
        <v/>
      </c>
      <c r="AK1141">
        <f>IF([2]Entry!$C$1144="","",[2]Entry!$C$1144)</f>
        <v/>
      </c>
      <c r="AL1141">
        <f>IF([2]Entry!$D$1144="","",[2]Entry!$D$1144)</f>
        <v/>
      </c>
    </row>
    <row r="1142">
      <c r="Z1142">
        <f>IF([2]Entry!$E$1145="","",[2]Entry!$E$1145)</f>
        <v/>
      </c>
      <c r="AA1142">
        <f>IF([2]Entry!$G$1145="","",[2]Entry!$G$1145)</f>
        <v/>
      </c>
      <c r="AB1142">
        <f>IF([2]Entry!$J$1145="","",[2]Entry!$J$1145)</f>
        <v/>
      </c>
      <c r="AC1142">
        <f>IF([2]Entry!$K$1145="","",[2]Entry!$K$1145)</f>
        <v/>
      </c>
      <c r="AD1142">
        <f>IF([2]Entry!$L$1145="","",[2]Entry!$L$1145)</f>
        <v/>
      </c>
      <c r="AE1142">
        <f>IF([2]Entry!$M$1145="","",[2]Entry!$M$1145)</f>
        <v/>
      </c>
      <c r="AF1142">
        <f>IF([2]Entry!$N$1145="","",[2]Entry!$N$1145)</f>
        <v/>
      </c>
      <c r="AJ1142">
        <f>IF([2]Entry!$S$1145="","",[2]Entry!$S$1145)</f>
        <v/>
      </c>
      <c r="AK1142">
        <f>IF([2]Entry!$C$1145="","",[2]Entry!$C$1145)</f>
        <v/>
      </c>
      <c r="AL1142">
        <f>IF([2]Entry!$D$1145="","",[2]Entry!$D$1145)</f>
        <v/>
      </c>
    </row>
    <row r="1143">
      <c r="Z1143">
        <f>IF([2]Entry!$E$1146="","",[2]Entry!$E$1146)</f>
        <v/>
      </c>
      <c r="AA1143">
        <f>IF([2]Entry!$G$1146="","",[2]Entry!$G$1146)</f>
        <v/>
      </c>
      <c r="AB1143">
        <f>IF([2]Entry!$J$1146="","",[2]Entry!$J$1146)</f>
        <v/>
      </c>
      <c r="AC1143">
        <f>IF([2]Entry!$K$1146="","",[2]Entry!$K$1146)</f>
        <v/>
      </c>
      <c r="AD1143">
        <f>IF([2]Entry!$L$1146="","",[2]Entry!$L$1146)</f>
        <v/>
      </c>
      <c r="AE1143">
        <f>IF([2]Entry!$M$1146="","",[2]Entry!$M$1146)</f>
        <v/>
      </c>
      <c r="AF1143">
        <f>IF([2]Entry!$N$1146="","",[2]Entry!$N$1146)</f>
        <v/>
      </c>
      <c r="AJ1143">
        <f>IF([2]Entry!$S$1146="","",[2]Entry!$S$1146)</f>
        <v/>
      </c>
      <c r="AK1143">
        <f>IF([2]Entry!$C$1146="","",[2]Entry!$C$1146)</f>
        <v/>
      </c>
      <c r="AL1143">
        <f>IF([2]Entry!$D$1146="","",[2]Entry!$D$1146)</f>
        <v/>
      </c>
    </row>
    <row r="1144">
      <c r="Z1144">
        <f>IF([2]Entry!$E$1147="","",[2]Entry!$E$1147)</f>
        <v/>
      </c>
      <c r="AA1144">
        <f>IF([2]Entry!$G$1147="","",[2]Entry!$G$1147)</f>
        <v/>
      </c>
      <c r="AB1144">
        <f>IF([2]Entry!$J$1147="","",[2]Entry!$J$1147)</f>
        <v/>
      </c>
      <c r="AC1144">
        <f>IF([2]Entry!$K$1147="","",[2]Entry!$K$1147)</f>
        <v/>
      </c>
      <c r="AD1144">
        <f>IF([2]Entry!$L$1147="","",[2]Entry!$L$1147)</f>
        <v/>
      </c>
      <c r="AE1144">
        <f>IF([2]Entry!$M$1147="","",[2]Entry!$M$1147)</f>
        <v/>
      </c>
      <c r="AF1144">
        <f>IF([2]Entry!$N$1147="","",[2]Entry!$N$1147)</f>
        <v/>
      </c>
      <c r="AJ1144">
        <f>IF([2]Entry!$S$1147="","",[2]Entry!$S$1147)</f>
        <v/>
      </c>
      <c r="AK1144">
        <f>IF([2]Entry!$C$1147="","",[2]Entry!$C$1147)</f>
        <v/>
      </c>
      <c r="AL1144">
        <f>IF([2]Entry!$D$1147="","",[2]Entry!$D$1147)</f>
        <v/>
      </c>
    </row>
    <row r="1145">
      <c r="Z1145">
        <f>IF([2]Entry!$E$1148="","",[2]Entry!$E$1148)</f>
        <v/>
      </c>
      <c r="AA1145">
        <f>IF([2]Entry!$G$1148="","",[2]Entry!$G$1148)</f>
        <v/>
      </c>
      <c r="AB1145">
        <f>IF([2]Entry!$J$1148="","",[2]Entry!$J$1148)</f>
        <v/>
      </c>
      <c r="AC1145">
        <f>IF([2]Entry!$K$1148="","",[2]Entry!$K$1148)</f>
        <v/>
      </c>
      <c r="AD1145">
        <f>IF([2]Entry!$L$1148="","",[2]Entry!$L$1148)</f>
        <v/>
      </c>
      <c r="AE1145">
        <f>IF([2]Entry!$M$1148="","",[2]Entry!$M$1148)</f>
        <v/>
      </c>
      <c r="AF1145">
        <f>IF([2]Entry!$N$1148="","",[2]Entry!$N$1148)</f>
        <v/>
      </c>
      <c r="AJ1145">
        <f>IF([2]Entry!$S$1148="","",[2]Entry!$S$1148)</f>
        <v/>
      </c>
      <c r="AK1145">
        <f>IF([2]Entry!$C$1148="","",[2]Entry!$C$1148)</f>
        <v/>
      </c>
      <c r="AL1145">
        <f>IF([2]Entry!$D$1148="","",[2]Entry!$D$1148)</f>
        <v/>
      </c>
    </row>
    <row r="1146">
      <c r="Z1146">
        <f>IF([2]Entry!$E$1149="","",[2]Entry!$E$1149)</f>
        <v/>
      </c>
      <c r="AA1146">
        <f>IF([2]Entry!$G$1149="","",[2]Entry!$G$1149)</f>
        <v/>
      </c>
      <c r="AB1146">
        <f>IF([2]Entry!$J$1149="","",[2]Entry!$J$1149)</f>
        <v/>
      </c>
      <c r="AC1146">
        <f>IF([2]Entry!$K$1149="","",[2]Entry!$K$1149)</f>
        <v/>
      </c>
      <c r="AD1146">
        <f>IF([2]Entry!$L$1149="","",[2]Entry!$L$1149)</f>
        <v/>
      </c>
      <c r="AE1146">
        <f>IF([2]Entry!$M$1149="","",[2]Entry!$M$1149)</f>
        <v/>
      </c>
      <c r="AF1146">
        <f>IF([2]Entry!$N$1149="","",[2]Entry!$N$1149)</f>
        <v/>
      </c>
      <c r="AJ1146">
        <f>IF([2]Entry!$S$1149="","",[2]Entry!$S$1149)</f>
        <v/>
      </c>
      <c r="AK1146">
        <f>IF([2]Entry!$C$1149="","",[2]Entry!$C$1149)</f>
        <v/>
      </c>
      <c r="AL1146">
        <f>IF([2]Entry!$D$1149="","",[2]Entry!$D$1149)</f>
        <v/>
      </c>
    </row>
    <row r="1147">
      <c r="Z1147">
        <f>IF([2]Entry!$E$1150="","",[2]Entry!$E$1150)</f>
        <v/>
      </c>
      <c r="AA1147">
        <f>IF([2]Entry!$G$1150="","",[2]Entry!$G$1150)</f>
        <v/>
      </c>
      <c r="AB1147">
        <f>IF([2]Entry!$J$1150="","",[2]Entry!$J$1150)</f>
        <v/>
      </c>
      <c r="AC1147">
        <f>IF([2]Entry!$K$1150="","",[2]Entry!$K$1150)</f>
        <v/>
      </c>
      <c r="AD1147">
        <f>IF([2]Entry!$L$1150="","",[2]Entry!$L$1150)</f>
        <v/>
      </c>
      <c r="AE1147">
        <f>IF([2]Entry!$M$1150="","",[2]Entry!$M$1150)</f>
        <v/>
      </c>
      <c r="AF1147">
        <f>IF([2]Entry!$N$1150="","",[2]Entry!$N$1150)</f>
        <v/>
      </c>
      <c r="AJ1147">
        <f>IF([2]Entry!$S$1150="","",[2]Entry!$S$1150)</f>
        <v/>
      </c>
      <c r="AK1147">
        <f>IF([2]Entry!$C$1150="","",[2]Entry!$C$1150)</f>
        <v/>
      </c>
      <c r="AL1147">
        <f>IF([2]Entry!$D$1150="","",[2]Entry!$D$1150)</f>
        <v/>
      </c>
    </row>
    <row r="1148">
      <c r="Z1148">
        <f>IF([2]Entry!$E$1151="","",[2]Entry!$E$1151)</f>
        <v/>
      </c>
      <c r="AA1148">
        <f>IF([2]Entry!$G$1151="","",[2]Entry!$G$1151)</f>
        <v/>
      </c>
      <c r="AB1148">
        <f>IF([2]Entry!$J$1151="","",[2]Entry!$J$1151)</f>
        <v/>
      </c>
      <c r="AC1148">
        <f>IF([2]Entry!$K$1151="","",[2]Entry!$K$1151)</f>
        <v/>
      </c>
      <c r="AD1148">
        <f>IF([2]Entry!$L$1151="","",[2]Entry!$L$1151)</f>
        <v/>
      </c>
      <c r="AE1148">
        <f>IF([2]Entry!$M$1151="","",[2]Entry!$M$1151)</f>
        <v/>
      </c>
      <c r="AF1148">
        <f>IF([2]Entry!$N$1151="","",[2]Entry!$N$1151)</f>
        <v/>
      </c>
      <c r="AJ1148">
        <f>IF([2]Entry!$S$1151="","",[2]Entry!$S$1151)</f>
        <v/>
      </c>
      <c r="AK1148">
        <f>IF([2]Entry!$C$1151="","",[2]Entry!$C$1151)</f>
        <v/>
      </c>
      <c r="AL1148">
        <f>IF([2]Entry!$D$1151="","",[2]Entry!$D$1151)</f>
        <v/>
      </c>
    </row>
    <row r="1149">
      <c r="Z1149">
        <f>IF([2]Entry!$E$1152="","",[2]Entry!$E$1152)</f>
        <v/>
      </c>
      <c r="AA1149">
        <f>IF([2]Entry!$G$1152="","",[2]Entry!$G$1152)</f>
        <v/>
      </c>
      <c r="AB1149">
        <f>IF([2]Entry!$J$1152="","",[2]Entry!$J$1152)</f>
        <v/>
      </c>
      <c r="AC1149">
        <f>IF([2]Entry!$K$1152="","",[2]Entry!$K$1152)</f>
        <v/>
      </c>
      <c r="AD1149">
        <f>IF([2]Entry!$L$1152="","",[2]Entry!$L$1152)</f>
        <v/>
      </c>
      <c r="AE1149">
        <f>IF([2]Entry!$M$1152="","",[2]Entry!$M$1152)</f>
        <v/>
      </c>
      <c r="AF1149">
        <f>IF([2]Entry!$N$1152="","",[2]Entry!$N$1152)</f>
        <v/>
      </c>
      <c r="AJ1149">
        <f>IF([2]Entry!$S$1152="","",[2]Entry!$S$1152)</f>
        <v/>
      </c>
      <c r="AK1149">
        <f>IF([2]Entry!$C$1152="","",[2]Entry!$C$1152)</f>
        <v/>
      </c>
      <c r="AL1149">
        <f>IF([2]Entry!$D$1152="","",[2]Entry!$D$1152)</f>
        <v/>
      </c>
    </row>
    <row r="1150">
      <c r="Z1150">
        <f>IF([2]Entry!$E$1153="","",[2]Entry!$E$1153)</f>
        <v/>
      </c>
      <c r="AA1150">
        <f>IF([2]Entry!$G$1153="","",[2]Entry!$G$1153)</f>
        <v/>
      </c>
      <c r="AB1150">
        <f>IF([2]Entry!$J$1153="","",[2]Entry!$J$1153)</f>
        <v/>
      </c>
      <c r="AC1150">
        <f>IF([2]Entry!$K$1153="","",[2]Entry!$K$1153)</f>
        <v/>
      </c>
      <c r="AD1150">
        <f>IF([2]Entry!$L$1153="","",[2]Entry!$L$1153)</f>
        <v/>
      </c>
      <c r="AE1150">
        <f>IF([2]Entry!$M$1153="","",[2]Entry!$M$1153)</f>
        <v/>
      </c>
      <c r="AF1150">
        <f>IF([2]Entry!$N$1153="","",[2]Entry!$N$1153)</f>
        <v/>
      </c>
      <c r="AJ1150">
        <f>IF([2]Entry!$S$1153="","",[2]Entry!$S$1153)</f>
        <v/>
      </c>
      <c r="AK1150">
        <f>IF([2]Entry!$C$1153="","",[2]Entry!$C$1153)</f>
        <v/>
      </c>
      <c r="AL1150">
        <f>IF([2]Entry!$D$1153="","",[2]Entry!$D$1153)</f>
        <v/>
      </c>
    </row>
    <row r="1151">
      <c r="Z1151">
        <f>IF([2]Entry!$E$1154="","",[2]Entry!$E$1154)</f>
        <v/>
      </c>
      <c r="AA1151">
        <f>IF([2]Entry!$G$1154="","",[2]Entry!$G$1154)</f>
        <v/>
      </c>
      <c r="AB1151">
        <f>IF([2]Entry!$J$1154="","",[2]Entry!$J$1154)</f>
        <v/>
      </c>
      <c r="AC1151">
        <f>IF([2]Entry!$K$1154="","",[2]Entry!$K$1154)</f>
        <v/>
      </c>
      <c r="AD1151">
        <f>IF([2]Entry!$L$1154="","",[2]Entry!$L$1154)</f>
        <v/>
      </c>
      <c r="AE1151">
        <f>IF([2]Entry!$M$1154="","",[2]Entry!$M$1154)</f>
        <v/>
      </c>
      <c r="AF1151">
        <f>IF([2]Entry!$N$1154="","",[2]Entry!$N$1154)</f>
        <v/>
      </c>
      <c r="AJ1151">
        <f>IF([2]Entry!$S$1154="","",[2]Entry!$S$1154)</f>
        <v/>
      </c>
      <c r="AK1151">
        <f>IF([2]Entry!$C$1154="","",[2]Entry!$C$1154)</f>
        <v/>
      </c>
      <c r="AL1151">
        <f>IF([2]Entry!$D$1154="","",[2]Entry!$D$1154)</f>
        <v/>
      </c>
    </row>
    <row r="1152">
      <c r="Z1152">
        <f>IF([2]Entry!$E$1155="","",[2]Entry!$E$1155)</f>
        <v/>
      </c>
      <c r="AA1152">
        <f>IF([2]Entry!$G$1155="","",[2]Entry!$G$1155)</f>
        <v/>
      </c>
      <c r="AB1152">
        <f>IF([2]Entry!$J$1155="","",[2]Entry!$J$1155)</f>
        <v/>
      </c>
      <c r="AC1152">
        <f>IF([2]Entry!$K$1155="","",[2]Entry!$K$1155)</f>
        <v/>
      </c>
      <c r="AD1152">
        <f>IF([2]Entry!$L$1155="","",[2]Entry!$L$1155)</f>
        <v/>
      </c>
      <c r="AE1152">
        <f>IF([2]Entry!$M$1155="","",[2]Entry!$M$1155)</f>
        <v/>
      </c>
      <c r="AF1152">
        <f>IF([2]Entry!$N$1155="","",[2]Entry!$N$1155)</f>
        <v/>
      </c>
      <c r="AJ1152">
        <f>IF([2]Entry!$S$1155="","",[2]Entry!$S$1155)</f>
        <v/>
      </c>
      <c r="AK1152">
        <f>IF([2]Entry!$C$1155="","",[2]Entry!$C$1155)</f>
        <v/>
      </c>
      <c r="AL1152">
        <f>IF([2]Entry!$D$1155="","",[2]Entry!$D$1155)</f>
        <v/>
      </c>
    </row>
    <row r="1153">
      <c r="Z1153">
        <f>IF([2]Entry!$E$1156="","",[2]Entry!$E$1156)</f>
        <v/>
      </c>
      <c r="AA1153">
        <f>IF([2]Entry!$G$1156="","",[2]Entry!$G$1156)</f>
        <v/>
      </c>
      <c r="AB1153">
        <f>IF([2]Entry!$J$1156="","",[2]Entry!$J$1156)</f>
        <v/>
      </c>
      <c r="AC1153">
        <f>IF([2]Entry!$K$1156="","",[2]Entry!$K$1156)</f>
        <v/>
      </c>
      <c r="AD1153">
        <f>IF([2]Entry!$L$1156="","",[2]Entry!$L$1156)</f>
        <v/>
      </c>
      <c r="AE1153">
        <f>IF([2]Entry!$M$1156="","",[2]Entry!$M$1156)</f>
        <v/>
      </c>
      <c r="AF1153">
        <f>IF([2]Entry!$N$1156="","",[2]Entry!$N$1156)</f>
        <v/>
      </c>
      <c r="AJ1153">
        <f>IF([2]Entry!$S$1156="","",[2]Entry!$S$1156)</f>
        <v/>
      </c>
      <c r="AK1153">
        <f>IF([2]Entry!$C$1156="","",[2]Entry!$C$1156)</f>
        <v/>
      </c>
      <c r="AL1153">
        <f>IF([2]Entry!$D$1156="","",[2]Entry!$D$1156)</f>
        <v/>
      </c>
    </row>
    <row r="1154">
      <c r="Z1154">
        <f>IF([2]Entry!$E$1157="","",[2]Entry!$E$1157)</f>
        <v/>
      </c>
      <c r="AA1154">
        <f>IF([2]Entry!$G$1157="","",[2]Entry!$G$1157)</f>
        <v/>
      </c>
      <c r="AB1154">
        <f>IF([2]Entry!$J$1157="","",[2]Entry!$J$1157)</f>
        <v/>
      </c>
      <c r="AC1154">
        <f>IF([2]Entry!$K$1157="","",[2]Entry!$K$1157)</f>
        <v/>
      </c>
      <c r="AD1154">
        <f>IF([2]Entry!$L$1157="","",[2]Entry!$L$1157)</f>
        <v/>
      </c>
      <c r="AE1154">
        <f>IF([2]Entry!$M$1157="","",[2]Entry!$M$1157)</f>
        <v/>
      </c>
      <c r="AF1154">
        <f>IF([2]Entry!$N$1157="","",[2]Entry!$N$1157)</f>
        <v/>
      </c>
      <c r="AJ1154">
        <f>IF([2]Entry!$S$1157="","",[2]Entry!$S$1157)</f>
        <v/>
      </c>
      <c r="AK1154">
        <f>IF([2]Entry!$C$1157="","",[2]Entry!$C$1157)</f>
        <v/>
      </c>
      <c r="AL1154">
        <f>IF([2]Entry!$D$1157="","",[2]Entry!$D$1157)</f>
        <v/>
      </c>
    </row>
    <row r="1155">
      <c r="Z1155">
        <f>IF([2]Entry!$E$1158="","",[2]Entry!$E$1158)</f>
        <v/>
      </c>
      <c r="AA1155">
        <f>IF([2]Entry!$G$1158="","",[2]Entry!$G$1158)</f>
        <v/>
      </c>
      <c r="AB1155">
        <f>IF([2]Entry!$J$1158="","",[2]Entry!$J$1158)</f>
        <v/>
      </c>
      <c r="AC1155">
        <f>IF([2]Entry!$K$1158="","",[2]Entry!$K$1158)</f>
        <v/>
      </c>
      <c r="AD1155">
        <f>IF([2]Entry!$L$1158="","",[2]Entry!$L$1158)</f>
        <v/>
      </c>
      <c r="AE1155">
        <f>IF([2]Entry!$M$1158="","",[2]Entry!$M$1158)</f>
        <v/>
      </c>
      <c r="AF1155">
        <f>IF([2]Entry!$N$1158="","",[2]Entry!$N$1158)</f>
        <v/>
      </c>
      <c r="AJ1155">
        <f>IF([2]Entry!$S$1158="","",[2]Entry!$S$1158)</f>
        <v/>
      </c>
      <c r="AK1155">
        <f>IF([2]Entry!$C$1158="","",[2]Entry!$C$1158)</f>
        <v/>
      </c>
      <c r="AL1155">
        <f>IF([2]Entry!$D$1158="","",[2]Entry!$D$1158)</f>
        <v/>
      </c>
    </row>
    <row r="1156">
      <c r="Z1156">
        <f>IF([2]Entry!$E$1159="","",[2]Entry!$E$1159)</f>
        <v/>
      </c>
      <c r="AA1156">
        <f>IF([2]Entry!$G$1159="","",[2]Entry!$G$1159)</f>
        <v/>
      </c>
      <c r="AB1156">
        <f>IF([2]Entry!$J$1159="","",[2]Entry!$J$1159)</f>
        <v/>
      </c>
      <c r="AC1156">
        <f>IF([2]Entry!$K$1159="","",[2]Entry!$K$1159)</f>
        <v/>
      </c>
      <c r="AD1156">
        <f>IF([2]Entry!$L$1159="","",[2]Entry!$L$1159)</f>
        <v/>
      </c>
      <c r="AE1156">
        <f>IF([2]Entry!$M$1159="","",[2]Entry!$M$1159)</f>
        <v/>
      </c>
      <c r="AF1156">
        <f>IF([2]Entry!$N$1159="","",[2]Entry!$N$1159)</f>
        <v/>
      </c>
      <c r="AJ1156">
        <f>IF([2]Entry!$S$1159="","",[2]Entry!$S$1159)</f>
        <v/>
      </c>
      <c r="AK1156">
        <f>IF([2]Entry!$C$1159="","",[2]Entry!$C$1159)</f>
        <v/>
      </c>
      <c r="AL1156">
        <f>IF([2]Entry!$D$1159="","",[2]Entry!$D$1159)</f>
        <v/>
      </c>
    </row>
    <row r="1157">
      <c r="Z1157">
        <f>IF([2]Entry!$E$1160="","",[2]Entry!$E$1160)</f>
        <v/>
      </c>
      <c r="AA1157">
        <f>IF([2]Entry!$G$1160="","",[2]Entry!$G$1160)</f>
        <v/>
      </c>
      <c r="AB1157">
        <f>IF([2]Entry!$J$1160="","",[2]Entry!$J$1160)</f>
        <v/>
      </c>
      <c r="AC1157">
        <f>IF([2]Entry!$K$1160="","",[2]Entry!$K$1160)</f>
        <v/>
      </c>
      <c r="AD1157">
        <f>IF([2]Entry!$L$1160="","",[2]Entry!$L$1160)</f>
        <v/>
      </c>
      <c r="AE1157">
        <f>IF([2]Entry!$M$1160="","",[2]Entry!$M$1160)</f>
        <v/>
      </c>
      <c r="AF1157">
        <f>IF([2]Entry!$N$1160="","",[2]Entry!$N$1160)</f>
        <v/>
      </c>
      <c r="AJ1157">
        <f>IF([2]Entry!$S$1160="","",[2]Entry!$S$1160)</f>
        <v/>
      </c>
      <c r="AK1157">
        <f>IF([2]Entry!$C$1160="","",[2]Entry!$C$1160)</f>
        <v/>
      </c>
      <c r="AL1157">
        <f>IF([2]Entry!$D$1160="","",[2]Entry!$D$1160)</f>
        <v/>
      </c>
    </row>
    <row r="1158">
      <c r="Z1158">
        <f>IF([2]Entry!$E$1161="","",[2]Entry!$E$1161)</f>
        <v/>
      </c>
      <c r="AA1158">
        <f>IF([2]Entry!$G$1161="","",[2]Entry!$G$1161)</f>
        <v/>
      </c>
      <c r="AB1158">
        <f>IF([2]Entry!$J$1161="","",[2]Entry!$J$1161)</f>
        <v/>
      </c>
      <c r="AC1158">
        <f>IF([2]Entry!$K$1161="","",[2]Entry!$K$1161)</f>
        <v/>
      </c>
      <c r="AD1158">
        <f>IF([2]Entry!$L$1161="","",[2]Entry!$L$1161)</f>
        <v/>
      </c>
      <c r="AE1158">
        <f>IF([2]Entry!$M$1161="","",[2]Entry!$M$1161)</f>
        <v/>
      </c>
      <c r="AF1158">
        <f>IF([2]Entry!$N$1161="","",[2]Entry!$N$1161)</f>
        <v/>
      </c>
      <c r="AJ1158">
        <f>IF([2]Entry!$S$1161="","",[2]Entry!$S$1161)</f>
        <v/>
      </c>
      <c r="AK1158">
        <f>IF([2]Entry!$C$1161="","",[2]Entry!$C$1161)</f>
        <v/>
      </c>
      <c r="AL1158">
        <f>IF([2]Entry!$D$1161="","",[2]Entry!$D$1161)</f>
        <v/>
      </c>
    </row>
    <row r="1159">
      <c r="Z1159">
        <f>IF([2]Entry!$E$1162="","",[2]Entry!$E$1162)</f>
        <v/>
      </c>
      <c r="AA1159">
        <f>IF([2]Entry!$G$1162="","",[2]Entry!$G$1162)</f>
        <v/>
      </c>
      <c r="AB1159">
        <f>IF([2]Entry!$J$1162="","",[2]Entry!$J$1162)</f>
        <v/>
      </c>
      <c r="AC1159">
        <f>IF([2]Entry!$K$1162="","",[2]Entry!$K$1162)</f>
        <v/>
      </c>
      <c r="AD1159">
        <f>IF([2]Entry!$L$1162="","",[2]Entry!$L$1162)</f>
        <v/>
      </c>
      <c r="AE1159">
        <f>IF([2]Entry!$M$1162="","",[2]Entry!$M$1162)</f>
        <v/>
      </c>
      <c r="AF1159">
        <f>IF([2]Entry!$N$1162="","",[2]Entry!$N$1162)</f>
        <v/>
      </c>
      <c r="AJ1159">
        <f>IF([2]Entry!$S$1162="","",[2]Entry!$S$1162)</f>
        <v/>
      </c>
      <c r="AK1159">
        <f>IF([2]Entry!$C$1162="","",[2]Entry!$C$1162)</f>
        <v/>
      </c>
      <c r="AL1159">
        <f>IF([2]Entry!$D$1162="","",[2]Entry!$D$1162)</f>
        <v/>
      </c>
    </row>
    <row r="1160">
      <c r="Z1160">
        <f>IF([2]Entry!$E$1163="","",[2]Entry!$E$1163)</f>
        <v/>
      </c>
      <c r="AA1160">
        <f>IF([2]Entry!$G$1163="","",[2]Entry!$G$1163)</f>
        <v/>
      </c>
      <c r="AB1160">
        <f>IF([2]Entry!$J$1163="","",[2]Entry!$J$1163)</f>
        <v/>
      </c>
      <c r="AC1160">
        <f>IF([2]Entry!$K$1163="","",[2]Entry!$K$1163)</f>
        <v/>
      </c>
      <c r="AD1160">
        <f>IF([2]Entry!$L$1163="","",[2]Entry!$L$1163)</f>
        <v/>
      </c>
      <c r="AE1160">
        <f>IF([2]Entry!$M$1163="","",[2]Entry!$M$1163)</f>
        <v/>
      </c>
      <c r="AF1160">
        <f>IF([2]Entry!$N$1163="","",[2]Entry!$N$1163)</f>
        <v/>
      </c>
      <c r="AJ1160">
        <f>IF([2]Entry!$S$1163="","",[2]Entry!$S$1163)</f>
        <v/>
      </c>
      <c r="AK1160">
        <f>IF([2]Entry!$C$1163="","",[2]Entry!$C$1163)</f>
        <v/>
      </c>
      <c r="AL1160">
        <f>IF([2]Entry!$D$1163="","",[2]Entry!$D$1163)</f>
        <v/>
      </c>
    </row>
    <row r="1161">
      <c r="Z1161">
        <f>IF([2]Entry!$E$1164="","",[2]Entry!$E$1164)</f>
        <v/>
      </c>
      <c r="AA1161">
        <f>IF([2]Entry!$G$1164="","",[2]Entry!$G$1164)</f>
        <v/>
      </c>
      <c r="AB1161">
        <f>IF([2]Entry!$J$1164="","",[2]Entry!$J$1164)</f>
        <v/>
      </c>
      <c r="AC1161">
        <f>IF([2]Entry!$K$1164="","",[2]Entry!$K$1164)</f>
        <v/>
      </c>
      <c r="AD1161">
        <f>IF([2]Entry!$L$1164="","",[2]Entry!$L$1164)</f>
        <v/>
      </c>
      <c r="AE1161">
        <f>IF([2]Entry!$M$1164="","",[2]Entry!$M$1164)</f>
        <v/>
      </c>
      <c r="AF1161">
        <f>IF([2]Entry!$N$1164="","",[2]Entry!$N$1164)</f>
        <v/>
      </c>
      <c r="AJ1161">
        <f>IF([2]Entry!$S$1164="","",[2]Entry!$S$1164)</f>
        <v/>
      </c>
      <c r="AK1161">
        <f>IF([2]Entry!$C$1164="","",[2]Entry!$C$1164)</f>
        <v/>
      </c>
      <c r="AL1161">
        <f>IF([2]Entry!$D$1164="","",[2]Entry!$D$1164)</f>
        <v/>
      </c>
    </row>
    <row r="1162">
      <c r="Z1162">
        <f>IF([2]Entry!$E$1165="","",[2]Entry!$E$1165)</f>
        <v/>
      </c>
      <c r="AA1162">
        <f>IF([2]Entry!$G$1165="","",[2]Entry!$G$1165)</f>
        <v/>
      </c>
      <c r="AB1162">
        <f>IF([2]Entry!$J$1165="","",[2]Entry!$J$1165)</f>
        <v/>
      </c>
      <c r="AC1162">
        <f>IF([2]Entry!$K$1165="","",[2]Entry!$K$1165)</f>
        <v/>
      </c>
      <c r="AD1162">
        <f>IF([2]Entry!$L$1165="","",[2]Entry!$L$1165)</f>
        <v/>
      </c>
      <c r="AE1162">
        <f>IF([2]Entry!$M$1165="","",[2]Entry!$M$1165)</f>
        <v/>
      </c>
      <c r="AF1162">
        <f>IF([2]Entry!$N$1165="","",[2]Entry!$N$1165)</f>
        <v/>
      </c>
      <c r="AJ1162">
        <f>IF([2]Entry!$S$1165="","",[2]Entry!$S$1165)</f>
        <v/>
      </c>
      <c r="AK1162">
        <f>IF([2]Entry!$C$1165="","",[2]Entry!$C$1165)</f>
        <v/>
      </c>
      <c r="AL1162">
        <f>IF([2]Entry!$D$1165="","",[2]Entry!$D$1165)</f>
        <v/>
      </c>
    </row>
    <row r="1163">
      <c r="Z1163">
        <f>IF([2]Entry!$E$1166="","",[2]Entry!$E$1166)</f>
        <v/>
      </c>
      <c r="AA1163">
        <f>IF([2]Entry!$G$1166="","",[2]Entry!$G$1166)</f>
        <v/>
      </c>
      <c r="AB1163">
        <f>IF([2]Entry!$J$1166="","",[2]Entry!$J$1166)</f>
        <v/>
      </c>
      <c r="AC1163">
        <f>IF([2]Entry!$K$1166="","",[2]Entry!$K$1166)</f>
        <v/>
      </c>
      <c r="AD1163">
        <f>IF([2]Entry!$L$1166="","",[2]Entry!$L$1166)</f>
        <v/>
      </c>
      <c r="AE1163">
        <f>IF([2]Entry!$M$1166="","",[2]Entry!$M$1166)</f>
        <v/>
      </c>
      <c r="AF1163">
        <f>IF([2]Entry!$N$1166="","",[2]Entry!$N$1166)</f>
        <v/>
      </c>
      <c r="AJ1163">
        <f>IF([2]Entry!$S$1166="","",[2]Entry!$S$1166)</f>
        <v/>
      </c>
      <c r="AK1163">
        <f>IF([2]Entry!$C$1166="","",[2]Entry!$C$1166)</f>
        <v/>
      </c>
      <c r="AL1163">
        <f>IF([2]Entry!$D$1166="","",[2]Entry!$D$1166)</f>
        <v/>
      </c>
    </row>
    <row r="1164">
      <c r="Z1164">
        <f>IF([2]Entry!$E$1167="","",[2]Entry!$E$1167)</f>
        <v/>
      </c>
      <c r="AA1164">
        <f>IF([2]Entry!$G$1167="","",[2]Entry!$G$1167)</f>
        <v/>
      </c>
      <c r="AB1164">
        <f>IF([2]Entry!$J$1167="","",[2]Entry!$J$1167)</f>
        <v/>
      </c>
      <c r="AC1164">
        <f>IF([2]Entry!$K$1167="","",[2]Entry!$K$1167)</f>
        <v/>
      </c>
      <c r="AD1164">
        <f>IF([2]Entry!$L$1167="","",[2]Entry!$L$1167)</f>
        <v/>
      </c>
      <c r="AE1164">
        <f>IF([2]Entry!$M$1167="","",[2]Entry!$M$1167)</f>
        <v/>
      </c>
      <c r="AF1164">
        <f>IF([2]Entry!$N$1167="","",[2]Entry!$N$1167)</f>
        <v/>
      </c>
      <c r="AJ1164">
        <f>IF([2]Entry!$S$1167="","",[2]Entry!$S$1167)</f>
        <v/>
      </c>
      <c r="AK1164">
        <f>IF([2]Entry!$C$1167="","",[2]Entry!$C$1167)</f>
        <v/>
      </c>
      <c r="AL1164">
        <f>IF([2]Entry!$D$1167="","",[2]Entry!$D$1167)</f>
        <v/>
      </c>
    </row>
    <row r="1165">
      <c r="Z1165">
        <f>IF([2]Entry!$E$1168="","",[2]Entry!$E$1168)</f>
        <v/>
      </c>
      <c r="AA1165">
        <f>IF([2]Entry!$G$1168="","",[2]Entry!$G$1168)</f>
        <v/>
      </c>
      <c r="AB1165">
        <f>IF([2]Entry!$J$1168="","",[2]Entry!$J$1168)</f>
        <v/>
      </c>
      <c r="AC1165">
        <f>IF([2]Entry!$K$1168="","",[2]Entry!$K$1168)</f>
        <v/>
      </c>
      <c r="AD1165">
        <f>IF([2]Entry!$L$1168="","",[2]Entry!$L$1168)</f>
        <v/>
      </c>
      <c r="AE1165">
        <f>IF([2]Entry!$M$1168="","",[2]Entry!$M$1168)</f>
        <v/>
      </c>
      <c r="AF1165">
        <f>IF([2]Entry!$N$1168="","",[2]Entry!$N$1168)</f>
        <v/>
      </c>
      <c r="AJ1165">
        <f>IF([2]Entry!$S$1168="","",[2]Entry!$S$1168)</f>
        <v/>
      </c>
      <c r="AK1165">
        <f>IF([2]Entry!$C$1168="","",[2]Entry!$C$1168)</f>
        <v/>
      </c>
      <c r="AL1165">
        <f>IF([2]Entry!$D$1168="","",[2]Entry!$D$1168)</f>
        <v/>
      </c>
    </row>
    <row r="1166">
      <c r="Z1166">
        <f>IF([2]Entry!$E$1169="","",[2]Entry!$E$1169)</f>
        <v/>
      </c>
      <c r="AA1166">
        <f>IF([2]Entry!$G$1169="","",[2]Entry!$G$1169)</f>
        <v/>
      </c>
      <c r="AB1166">
        <f>IF([2]Entry!$J$1169="","",[2]Entry!$J$1169)</f>
        <v/>
      </c>
      <c r="AC1166">
        <f>IF([2]Entry!$K$1169="","",[2]Entry!$K$1169)</f>
        <v/>
      </c>
      <c r="AD1166">
        <f>IF([2]Entry!$L$1169="","",[2]Entry!$L$1169)</f>
        <v/>
      </c>
      <c r="AE1166">
        <f>IF([2]Entry!$M$1169="","",[2]Entry!$M$1169)</f>
        <v/>
      </c>
      <c r="AF1166">
        <f>IF([2]Entry!$N$1169="","",[2]Entry!$N$1169)</f>
        <v/>
      </c>
      <c r="AJ1166">
        <f>IF([2]Entry!$S$1169="","",[2]Entry!$S$1169)</f>
        <v/>
      </c>
      <c r="AK1166">
        <f>IF([2]Entry!$C$1169="","",[2]Entry!$C$1169)</f>
        <v/>
      </c>
      <c r="AL1166">
        <f>IF([2]Entry!$D$1169="","",[2]Entry!$D$1169)</f>
        <v/>
      </c>
    </row>
    <row r="1167">
      <c r="Z1167">
        <f>IF([2]Entry!$E$1170="","",[2]Entry!$E$1170)</f>
        <v/>
      </c>
      <c r="AA1167">
        <f>IF([2]Entry!$G$1170="","",[2]Entry!$G$1170)</f>
        <v/>
      </c>
      <c r="AB1167">
        <f>IF([2]Entry!$J$1170="","",[2]Entry!$J$1170)</f>
        <v/>
      </c>
      <c r="AC1167">
        <f>IF([2]Entry!$K$1170="","",[2]Entry!$K$1170)</f>
        <v/>
      </c>
      <c r="AD1167">
        <f>IF([2]Entry!$L$1170="","",[2]Entry!$L$1170)</f>
        <v/>
      </c>
      <c r="AE1167">
        <f>IF([2]Entry!$M$1170="","",[2]Entry!$M$1170)</f>
        <v/>
      </c>
      <c r="AF1167">
        <f>IF([2]Entry!$N$1170="","",[2]Entry!$N$1170)</f>
        <v/>
      </c>
      <c r="AJ1167">
        <f>IF([2]Entry!$S$1170="","",[2]Entry!$S$1170)</f>
        <v/>
      </c>
      <c r="AK1167">
        <f>IF([2]Entry!$C$1170="","",[2]Entry!$C$1170)</f>
        <v/>
      </c>
      <c r="AL1167">
        <f>IF([2]Entry!$D$1170="","",[2]Entry!$D$1170)</f>
        <v/>
      </c>
    </row>
    <row r="1168">
      <c r="Z1168">
        <f>IF([2]Entry!$E$1171="","",[2]Entry!$E$1171)</f>
        <v/>
      </c>
      <c r="AA1168">
        <f>IF([2]Entry!$G$1171="","",[2]Entry!$G$1171)</f>
        <v/>
      </c>
      <c r="AB1168">
        <f>IF([2]Entry!$J$1171="","",[2]Entry!$J$1171)</f>
        <v/>
      </c>
      <c r="AC1168">
        <f>IF([2]Entry!$K$1171="","",[2]Entry!$K$1171)</f>
        <v/>
      </c>
      <c r="AD1168">
        <f>IF([2]Entry!$L$1171="","",[2]Entry!$L$1171)</f>
        <v/>
      </c>
      <c r="AE1168">
        <f>IF([2]Entry!$M$1171="","",[2]Entry!$M$1171)</f>
        <v/>
      </c>
      <c r="AF1168">
        <f>IF([2]Entry!$N$1171="","",[2]Entry!$N$1171)</f>
        <v/>
      </c>
      <c r="AJ1168">
        <f>IF([2]Entry!$S$1171="","",[2]Entry!$S$1171)</f>
        <v/>
      </c>
      <c r="AK1168">
        <f>IF([2]Entry!$C$1171="","",[2]Entry!$C$1171)</f>
        <v/>
      </c>
      <c r="AL1168">
        <f>IF([2]Entry!$D$1171="","",[2]Entry!$D$1171)</f>
        <v/>
      </c>
    </row>
    <row r="1169">
      <c r="Z1169">
        <f>IF([2]Entry!$E$1172="","",[2]Entry!$E$1172)</f>
        <v/>
      </c>
      <c r="AA1169">
        <f>IF([2]Entry!$G$1172="","",[2]Entry!$G$1172)</f>
        <v/>
      </c>
      <c r="AB1169">
        <f>IF([2]Entry!$J$1172="","",[2]Entry!$J$1172)</f>
        <v/>
      </c>
      <c r="AC1169">
        <f>IF([2]Entry!$K$1172="","",[2]Entry!$K$1172)</f>
        <v/>
      </c>
      <c r="AD1169">
        <f>IF([2]Entry!$L$1172="","",[2]Entry!$L$1172)</f>
        <v/>
      </c>
      <c r="AE1169">
        <f>IF([2]Entry!$M$1172="","",[2]Entry!$M$1172)</f>
        <v/>
      </c>
      <c r="AF1169">
        <f>IF([2]Entry!$N$1172="","",[2]Entry!$N$1172)</f>
        <v/>
      </c>
      <c r="AJ1169">
        <f>IF([2]Entry!$S$1172="","",[2]Entry!$S$1172)</f>
        <v/>
      </c>
      <c r="AK1169">
        <f>IF([2]Entry!$C$1172="","",[2]Entry!$C$1172)</f>
        <v/>
      </c>
      <c r="AL1169">
        <f>IF([2]Entry!$D$1172="","",[2]Entry!$D$1172)</f>
        <v/>
      </c>
    </row>
    <row r="1170">
      <c r="Z1170">
        <f>IF([2]Entry!$E$1173="","",[2]Entry!$E$1173)</f>
        <v/>
      </c>
      <c r="AA1170">
        <f>IF([2]Entry!$G$1173="","",[2]Entry!$G$1173)</f>
        <v/>
      </c>
      <c r="AB1170">
        <f>IF([2]Entry!$J$1173="","",[2]Entry!$J$1173)</f>
        <v/>
      </c>
      <c r="AC1170">
        <f>IF([2]Entry!$K$1173="","",[2]Entry!$K$1173)</f>
        <v/>
      </c>
      <c r="AD1170">
        <f>IF([2]Entry!$L$1173="","",[2]Entry!$L$1173)</f>
        <v/>
      </c>
      <c r="AE1170">
        <f>IF([2]Entry!$M$1173="","",[2]Entry!$M$1173)</f>
        <v/>
      </c>
      <c r="AF1170">
        <f>IF([2]Entry!$N$1173="","",[2]Entry!$N$1173)</f>
        <v/>
      </c>
      <c r="AJ1170">
        <f>IF([2]Entry!$S$1173="","",[2]Entry!$S$1173)</f>
        <v/>
      </c>
      <c r="AK1170">
        <f>IF([2]Entry!$C$1173="","",[2]Entry!$C$1173)</f>
        <v/>
      </c>
      <c r="AL1170">
        <f>IF([2]Entry!$D$1173="","",[2]Entry!$D$1173)</f>
        <v/>
      </c>
    </row>
    <row r="1171">
      <c r="Z1171">
        <f>IF([2]Entry!$E$1174="","",[2]Entry!$E$1174)</f>
        <v/>
      </c>
      <c r="AA1171">
        <f>IF([2]Entry!$G$1174="","",[2]Entry!$G$1174)</f>
        <v/>
      </c>
      <c r="AB1171">
        <f>IF([2]Entry!$J$1174="","",[2]Entry!$J$1174)</f>
        <v/>
      </c>
      <c r="AC1171">
        <f>IF([2]Entry!$K$1174="","",[2]Entry!$K$1174)</f>
        <v/>
      </c>
      <c r="AD1171">
        <f>IF([2]Entry!$L$1174="","",[2]Entry!$L$1174)</f>
        <v/>
      </c>
      <c r="AE1171">
        <f>IF([2]Entry!$M$1174="","",[2]Entry!$M$1174)</f>
        <v/>
      </c>
      <c r="AF1171">
        <f>IF([2]Entry!$N$1174="","",[2]Entry!$N$1174)</f>
        <v/>
      </c>
      <c r="AJ1171">
        <f>IF([2]Entry!$S$1174="","",[2]Entry!$S$1174)</f>
        <v/>
      </c>
      <c r="AK1171">
        <f>IF([2]Entry!$C$1174="","",[2]Entry!$C$1174)</f>
        <v/>
      </c>
      <c r="AL1171">
        <f>IF([2]Entry!$D$1174="","",[2]Entry!$D$1174)</f>
        <v/>
      </c>
    </row>
    <row r="1172">
      <c r="Z1172">
        <f>IF([2]Entry!$E$1175="","",[2]Entry!$E$1175)</f>
        <v/>
      </c>
      <c r="AA1172">
        <f>IF([2]Entry!$G$1175="","",[2]Entry!$G$1175)</f>
        <v/>
      </c>
      <c r="AB1172">
        <f>IF([2]Entry!$J$1175="","",[2]Entry!$J$1175)</f>
        <v/>
      </c>
      <c r="AC1172">
        <f>IF([2]Entry!$K$1175="","",[2]Entry!$K$1175)</f>
        <v/>
      </c>
      <c r="AD1172">
        <f>IF([2]Entry!$L$1175="","",[2]Entry!$L$1175)</f>
        <v/>
      </c>
      <c r="AE1172">
        <f>IF([2]Entry!$M$1175="","",[2]Entry!$M$1175)</f>
        <v/>
      </c>
      <c r="AF1172">
        <f>IF([2]Entry!$N$1175="","",[2]Entry!$N$1175)</f>
        <v/>
      </c>
      <c r="AJ1172">
        <f>IF([2]Entry!$S$1175="","",[2]Entry!$S$1175)</f>
        <v/>
      </c>
      <c r="AK1172">
        <f>IF([2]Entry!$C$1175="","",[2]Entry!$C$1175)</f>
        <v/>
      </c>
      <c r="AL1172">
        <f>IF([2]Entry!$D$1175="","",[2]Entry!$D$1175)</f>
        <v/>
      </c>
    </row>
    <row r="1173">
      <c r="Z1173">
        <f>IF([2]Entry!$E$1176="","",[2]Entry!$E$1176)</f>
        <v/>
      </c>
      <c r="AA1173">
        <f>IF([2]Entry!$G$1176="","",[2]Entry!$G$1176)</f>
        <v/>
      </c>
      <c r="AB1173">
        <f>IF([2]Entry!$J$1176="","",[2]Entry!$J$1176)</f>
        <v/>
      </c>
      <c r="AC1173">
        <f>IF([2]Entry!$K$1176="","",[2]Entry!$K$1176)</f>
        <v/>
      </c>
      <c r="AD1173">
        <f>IF([2]Entry!$L$1176="","",[2]Entry!$L$1176)</f>
        <v/>
      </c>
      <c r="AE1173">
        <f>IF([2]Entry!$M$1176="","",[2]Entry!$M$1176)</f>
        <v/>
      </c>
      <c r="AF1173">
        <f>IF([2]Entry!$N$1176="","",[2]Entry!$N$1176)</f>
        <v/>
      </c>
      <c r="AJ1173">
        <f>IF([2]Entry!$S$1176="","",[2]Entry!$S$1176)</f>
        <v/>
      </c>
      <c r="AK1173">
        <f>IF([2]Entry!$C$1176="","",[2]Entry!$C$1176)</f>
        <v/>
      </c>
      <c r="AL1173">
        <f>IF([2]Entry!$D$1176="","",[2]Entry!$D$1176)</f>
        <v/>
      </c>
    </row>
    <row r="1174">
      <c r="Z1174">
        <f>IF([2]Entry!$E$1177="","",[2]Entry!$E$1177)</f>
        <v/>
      </c>
      <c r="AA1174">
        <f>IF([2]Entry!$G$1177="","",[2]Entry!$G$1177)</f>
        <v/>
      </c>
      <c r="AB1174">
        <f>IF([2]Entry!$J$1177="","",[2]Entry!$J$1177)</f>
        <v/>
      </c>
      <c r="AC1174">
        <f>IF([2]Entry!$K$1177="","",[2]Entry!$K$1177)</f>
        <v/>
      </c>
      <c r="AD1174">
        <f>IF([2]Entry!$L$1177="","",[2]Entry!$L$1177)</f>
        <v/>
      </c>
      <c r="AE1174">
        <f>IF([2]Entry!$M$1177="","",[2]Entry!$M$1177)</f>
        <v/>
      </c>
      <c r="AF1174">
        <f>IF([2]Entry!$N$1177="","",[2]Entry!$N$1177)</f>
        <v/>
      </c>
      <c r="AJ1174">
        <f>IF([2]Entry!$S$1177="","",[2]Entry!$S$1177)</f>
        <v/>
      </c>
      <c r="AK1174">
        <f>IF([2]Entry!$C$1177="","",[2]Entry!$C$1177)</f>
        <v/>
      </c>
      <c r="AL1174">
        <f>IF([2]Entry!$D$1177="","",[2]Entry!$D$1177)</f>
        <v/>
      </c>
    </row>
    <row r="1175">
      <c r="Z1175">
        <f>IF([2]Entry!$E$1178="","",[2]Entry!$E$1178)</f>
        <v/>
      </c>
      <c r="AA1175">
        <f>IF([2]Entry!$G$1178="","",[2]Entry!$G$1178)</f>
        <v/>
      </c>
      <c r="AB1175">
        <f>IF([2]Entry!$J$1178="","",[2]Entry!$J$1178)</f>
        <v/>
      </c>
      <c r="AC1175">
        <f>IF([2]Entry!$K$1178="","",[2]Entry!$K$1178)</f>
        <v/>
      </c>
      <c r="AD1175">
        <f>IF([2]Entry!$L$1178="","",[2]Entry!$L$1178)</f>
        <v/>
      </c>
      <c r="AE1175">
        <f>IF([2]Entry!$M$1178="","",[2]Entry!$M$1178)</f>
        <v/>
      </c>
      <c r="AF1175">
        <f>IF([2]Entry!$N$1178="","",[2]Entry!$N$1178)</f>
        <v/>
      </c>
      <c r="AJ1175">
        <f>IF([2]Entry!$S$1178="","",[2]Entry!$S$1178)</f>
        <v/>
      </c>
      <c r="AK1175">
        <f>IF([2]Entry!$C$1178="","",[2]Entry!$C$1178)</f>
        <v/>
      </c>
      <c r="AL1175">
        <f>IF([2]Entry!$D$1178="","",[2]Entry!$D$1178)</f>
        <v/>
      </c>
    </row>
    <row r="1176">
      <c r="Z1176">
        <f>IF([2]Entry!$E$1179="","",[2]Entry!$E$1179)</f>
        <v/>
      </c>
      <c r="AA1176">
        <f>IF([2]Entry!$G$1179="","",[2]Entry!$G$1179)</f>
        <v/>
      </c>
      <c r="AB1176">
        <f>IF([2]Entry!$J$1179="","",[2]Entry!$J$1179)</f>
        <v/>
      </c>
      <c r="AC1176">
        <f>IF([2]Entry!$K$1179="","",[2]Entry!$K$1179)</f>
        <v/>
      </c>
      <c r="AD1176">
        <f>IF([2]Entry!$L$1179="","",[2]Entry!$L$1179)</f>
        <v/>
      </c>
      <c r="AE1176">
        <f>IF([2]Entry!$M$1179="","",[2]Entry!$M$1179)</f>
        <v/>
      </c>
      <c r="AF1176">
        <f>IF([2]Entry!$N$1179="","",[2]Entry!$N$1179)</f>
        <v/>
      </c>
      <c r="AJ1176">
        <f>IF([2]Entry!$S$1179="","",[2]Entry!$S$1179)</f>
        <v/>
      </c>
      <c r="AK1176">
        <f>IF([2]Entry!$C$1179="","",[2]Entry!$C$1179)</f>
        <v/>
      </c>
      <c r="AL1176">
        <f>IF([2]Entry!$D$1179="","",[2]Entry!$D$1179)</f>
        <v/>
      </c>
    </row>
    <row r="1177">
      <c r="Z1177">
        <f>IF([2]Entry!$E$1180="","",[2]Entry!$E$1180)</f>
        <v/>
      </c>
      <c r="AA1177">
        <f>IF([2]Entry!$G$1180="","",[2]Entry!$G$1180)</f>
        <v/>
      </c>
      <c r="AB1177">
        <f>IF([2]Entry!$J$1180="","",[2]Entry!$J$1180)</f>
        <v/>
      </c>
      <c r="AC1177">
        <f>IF([2]Entry!$K$1180="","",[2]Entry!$K$1180)</f>
        <v/>
      </c>
      <c r="AD1177">
        <f>IF([2]Entry!$L$1180="","",[2]Entry!$L$1180)</f>
        <v/>
      </c>
      <c r="AE1177">
        <f>IF([2]Entry!$M$1180="","",[2]Entry!$M$1180)</f>
        <v/>
      </c>
      <c r="AF1177">
        <f>IF([2]Entry!$N$1180="","",[2]Entry!$N$1180)</f>
        <v/>
      </c>
      <c r="AJ1177">
        <f>IF([2]Entry!$S$1180="","",[2]Entry!$S$1180)</f>
        <v/>
      </c>
      <c r="AK1177">
        <f>IF([2]Entry!$C$1180="","",[2]Entry!$C$1180)</f>
        <v/>
      </c>
      <c r="AL1177">
        <f>IF([2]Entry!$D$1180="","",[2]Entry!$D$1180)</f>
        <v/>
      </c>
    </row>
    <row r="1178">
      <c r="Z1178">
        <f>IF([2]Entry!$E$1181="","",[2]Entry!$E$1181)</f>
        <v/>
      </c>
      <c r="AA1178">
        <f>IF([2]Entry!$G$1181="","",[2]Entry!$G$1181)</f>
        <v/>
      </c>
      <c r="AB1178">
        <f>IF([2]Entry!$J$1181="","",[2]Entry!$J$1181)</f>
        <v/>
      </c>
      <c r="AC1178">
        <f>IF([2]Entry!$K$1181="","",[2]Entry!$K$1181)</f>
        <v/>
      </c>
      <c r="AD1178">
        <f>IF([2]Entry!$L$1181="","",[2]Entry!$L$1181)</f>
        <v/>
      </c>
      <c r="AE1178">
        <f>IF([2]Entry!$M$1181="","",[2]Entry!$M$1181)</f>
        <v/>
      </c>
      <c r="AF1178">
        <f>IF([2]Entry!$N$1181="","",[2]Entry!$N$1181)</f>
        <v/>
      </c>
      <c r="AJ1178">
        <f>IF([2]Entry!$S$1181="","",[2]Entry!$S$1181)</f>
        <v/>
      </c>
      <c r="AK1178">
        <f>IF([2]Entry!$C$1181="","",[2]Entry!$C$1181)</f>
        <v/>
      </c>
      <c r="AL1178">
        <f>IF([2]Entry!$D$1181="","",[2]Entry!$D$1181)</f>
        <v/>
      </c>
    </row>
    <row r="1179">
      <c r="Z1179">
        <f>IF([2]Entry!$E$1182="","",[2]Entry!$E$1182)</f>
        <v/>
      </c>
      <c r="AA1179">
        <f>IF([2]Entry!$G$1182="","",[2]Entry!$G$1182)</f>
        <v/>
      </c>
      <c r="AB1179">
        <f>IF([2]Entry!$J$1182="","",[2]Entry!$J$1182)</f>
        <v/>
      </c>
      <c r="AC1179">
        <f>IF([2]Entry!$K$1182="","",[2]Entry!$K$1182)</f>
        <v/>
      </c>
      <c r="AD1179">
        <f>IF([2]Entry!$L$1182="","",[2]Entry!$L$1182)</f>
        <v/>
      </c>
      <c r="AE1179">
        <f>IF([2]Entry!$M$1182="","",[2]Entry!$M$1182)</f>
        <v/>
      </c>
      <c r="AF1179">
        <f>IF([2]Entry!$N$1182="","",[2]Entry!$N$1182)</f>
        <v/>
      </c>
      <c r="AJ1179">
        <f>IF([2]Entry!$S$1182="","",[2]Entry!$S$1182)</f>
        <v/>
      </c>
      <c r="AK1179">
        <f>IF([2]Entry!$C$1182="","",[2]Entry!$C$1182)</f>
        <v/>
      </c>
      <c r="AL1179">
        <f>IF([2]Entry!$D$1182="","",[2]Entry!$D$1182)</f>
        <v/>
      </c>
    </row>
    <row r="1180">
      <c r="Z1180">
        <f>IF([2]Entry!$E$1183="","",[2]Entry!$E$1183)</f>
        <v/>
      </c>
      <c r="AA1180">
        <f>IF([2]Entry!$G$1183="","",[2]Entry!$G$1183)</f>
        <v/>
      </c>
      <c r="AB1180">
        <f>IF([2]Entry!$J$1183="","",[2]Entry!$J$1183)</f>
        <v/>
      </c>
      <c r="AC1180">
        <f>IF([2]Entry!$K$1183="","",[2]Entry!$K$1183)</f>
        <v/>
      </c>
      <c r="AD1180">
        <f>IF([2]Entry!$L$1183="","",[2]Entry!$L$1183)</f>
        <v/>
      </c>
      <c r="AE1180">
        <f>IF([2]Entry!$M$1183="","",[2]Entry!$M$1183)</f>
        <v/>
      </c>
      <c r="AF1180">
        <f>IF([2]Entry!$N$1183="","",[2]Entry!$N$1183)</f>
        <v/>
      </c>
      <c r="AJ1180">
        <f>IF([2]Entry!$S$1183="","",[2]Entry!$S$1183)</f>
        <v/>
      </c>
      <c r="AK1180">
        <f>IF([2]Entry!$C$1183="","",[2]Entry!$C$1183)</f>
        <v/>
      </c>
      <c r="AL1180">
        <f>IF([2]Entry!$D$1183="","",[2]Entry!$D$1183)</f>
        <v/>
      </c>
    </row>
    <row r="1181">
      <c r="Z1181">
        <f>IF([2]Entry!$E$1184="","",[2]Entry!$E$1184)</f>
        <v/>
      </c>
      <c r="AA1181">
        <f>IF([2]Entry!$G$1184="","",[2]Entry!$G$1184)</f>
        <v/>
      </c>
      <c r="AB1181">
        <f>IF([2]Entry!$J$1184="","",[2]Entry!$J$1184)</f>
        <v/>
      </c>
      <c r="AC1181">
        <f>IF([2]Entry!$K$1184="","",[2]Entry!$K$1184)</f>
        <v/>
      </c>
      <c r="AD1181">
        <f>IF([2]Entry!$L$1184="","",[2]Entry!$L$1184)</f>
        <v/>
      </c>
      <c r="AE1181">
        <f>IF([2]Entry!$M$1184="","",[2]Entry!$M$1184)</f>
        <v/>
      </c>
      <c r="AF1181">
        <f>IF([2]Entry!$N$1184="","",[2]Entry!$N$1184)</f>
        <v/>
      </c>
      <c r="AJ1181">
        <f>IF([2]Entry!$S$1184="","",[2]Entry!$S$1184)</f>
        <v/>
      </c>
      <c r="AK1181">
        <f>IF([2]Entry!$C$1184="","",[2]Entry!$C$1184)</f>
        <v/>
      </c>
      <c r="AL1181">
        <f>IF([2]Entry!$D$1184="","",[2]Entry!$D$1184)</f>
        <v/>
      </c>
    </row>
    <row r="1182">
      <c r="Z1182">
        <f>IF([2]Entry!$E$1185="","",[2]Entry!$E$1185)</f>
        <v/>
      </c>
      <c r="AA1182">
        <f>IF([2]Entry!$G$1185="","",[2]Entry!$G$1185)</f>
        <v/>
      </c>
      <c r="AB1182">
        <f>IF([2]Entry!$J$1185="","",[2]Entry!$J$1185)</f>
        <v/>
      </c>
      <c r="AC1182">
        <f>IF([2]Entry!$K$1185="","",[2]Entry!$K$1185)</f>
        <v/>
      </c>
      <c r="AD1182">
        <f>IF([2]Entry!$L$1185="","",[2]Entry!$L$1185)</f>
        <v/>
      </c>
      <c r="AE1182">
        <f>IF([2]Entry!$M$1185="","",[2]Entry!$M$1185)</f>
        <v/>
      </c>
      <c r="AF1182">
        <f>IF([2]Entry!$N$1185="","",[2]Entry!$N$1185)</f>
        <v/>
      </c>
      <c r="AJ1182">
        <f>IF([2]Entry!$S$1185="","",[2]Entry!$S$1185)</f>
        <v/>
      </c>
      <c r="AK1182">
        <f>IF([2]Entry!$C$1185="","",[2]Entry!$C$1185)</f>
        <v/>
      </c>
      <c r="AL1182">
        <f>IF([2]Entry!$D$1185="","",[2]Entry!$D$1185)</f>
        <v/>
      </c>
    </row>
    <row r="1183">
      <c r="Z1183">
        <f>IF([2]Entry!$E$1186="","",[2]Entry!$E$1186)</f>
        <v/>
      </c>
      <c r="AA1183">
        <f>IF([2]Entry!$G$1186="","",[2]Entry!$G$1186)</f>
        <v/>
      </c>
      <c r="AB1183">
        <f>IF([2]Entry!$J$1186="","",[2]Entry!$J$1186)</f>
        <v/>
      </c>
      <c r="AC1183">
        <f>IF([2]Entry!$K$1186="","",[2]Entry!$K$1186)</f>
        <v/>
      </c>
      <c r="AD1183">
        <f>IF([2]Entry!$L$1186="","",[2]Entry!$L$1186)</f>
        <v/>
      </c>
      <c r="AE1183">
        <f>IF([2]Entry!$M$1186="","",[2]Entry!$M$1186)</f>
        <v/>
      </c>
      <c r="AF1183">
        <f>IF([2]Entry!$N$1186="","",[2]Entry!$N$1186)</f>
        <v/>
      </c>
      <c r="AJ1183">
        <f>IF([2]Entry!$S$1186="","",[2]Entry!$S$1186)</f>
        <v/>
      </c>
      <c r="AK1183">
        <f>IF([2]Entry!$C$1186="","",[2]Entry!$C$1186)</f>
        <v/>
      </c>
      <c r="AL1183">
        <f>IF([2]Entry!$D$1186="","",[2]Entry!$D$1186)</f>
        <v/>
      </c>
    </row>
    <row r="1184">
      <c r="Z1184">
        <f>IF([2]Entry!$E$1187="","",[2]Entry!$E$1187)</f>
        <v/>
      </c>
      <c r="AA1184">
        <f>IF([2]Entry!$G$1187="","",[2]Entry!$G$1187)</f>
        <v/>
      </c>
      <c r="AB1184">
        <f>IF([2]Entry!$J$1187="","",[2]Entry!$J$1187)</f>
        <v/>
      </c>
      <c r="AC1184">
        <f>IF([2]Entry!$K$1187="","",[2]Entry!$K$1187)</f>
        <v/>
      </c>
      <c r="AD1184">
        <f>IF([2]Entry!$L$1187="","",[2]Entry!$L$1187)</f>
        <v/>
      </c>
      <c r="AE1184">
        <f>IF([2]Entry!$M$1187="","",[2]Entry!$M$1187)</f>
        <v/>
      </c>
      <c r="AF1184">
        <f>IF([2]Entry!$N$1187="","",[2]Entry!$N$1187)</f>
        <v/>
      </c>
      <c r="AJ1184">
        <f>IF([2]Entry!$S$1187="","",[2]Entry!$S$1187)</f>
        <v/>
      </c>
      <c r="AK1184">
        <f>IF([2]Entry!$C$1187="","",[2]Entry!$C$1187)</f>
        <v/>
      </c>
      <c r="AL1184">
        <f>IF([2]Entry!$D$1187="","",[2]Entry!$D$1187)</f>
        <v/>
      </c>
    </row>
    <row r="1185">
      <c r="Z1185">
        <f>IF([2]Entry!$E$1188="","",[2]Entry!$E$1188)</f>
        <v/>
      </c>
      <c r="AA1185">
        <f>IF([2]Entry!$G$1188="","",[2]Entry!$G$1188)</f>
        <v/>
      </c>
      <c r="AB1185">
        <f>IF([2]Entry!$J$1188="","",[2]Entry!$J$1188)</f>
        <v/>
      </c>
      <c r="AC1185">
        <f>IF([2]Entry!$K$1188="","",[2]Entry!$K$1188)</f>
        <v/>
      </c>
      <c r="AD1185">
        <f>IF([2]Entry!$L$1188="","",[2]Entry!$L$1188)</f>
        <v/>
      </c>
      <c r="AE1185">
        <f>IF([2]Entry!$M$1188="","",[2]Entry!$M$1188)</f>
        <v/>
      </c>
      <c r="AF1185">
        <f>IF([2]Entry!$N$1188="","",[2]Entry!$N$1188)</f>
        <v/>
      </c>
      <c r="AJ1185">
        <f>IF([2]Entry!$S$1188="","",[2]Entry!$S$1188)</f>
        <v/>
      </c>
      <c r="AK1185">
        <f>IF([2]Entry!$C$1188="","",[2]Entry!$C$1188)</f>
        <v/>
      </c>
      <c r="AL1185">
        <f>IF([2]Entry!$D$1188="","",[2]Entry!$D$1188)</f>
        <v/>
      </c>
    </row>
    <row r="1186">
      <c r="Z1186">
        <f>IF([2]Entry!$E$1189="","",[2]Entry!$E$1189)</f>
        <v/>
      </c>
      <c r="AA1186">
        <f>IF([2]Entry!$G$1189="","",[2]Entry!$G$1189)</f>
        <v/>
      </c>
      <c r="AB1186">
        <f>IF([2]Entry!$J$1189="","",[2]Entry!$J$1189)</f>
        <v/>
      </c>
      <c r="AC1186">
        <f>IF([2]Entry!$K$1189="","",[2]Entry!$K$1189)</f>
        <v/>
      </c>
      <c r="AD1186">
        <f>IF([2]Entry!$L$1189="","",[2]Entry!$L$1189)</f>
        <v/>
      </c>
      <c r="AE1186">
        <f>IF([2]Entry!$M$1189="","",[2]Entry!$M$1189)</f>
        <v/>
      </c>
      <c r="AF1186">
        <f>IF([2]Entry!$N$1189="","",[2]Entry!$N$1189)</f>
        <v/>
      </c>
      <c r="AJ1186">
        <f>IF([2]Entry!$S$1189="","",[2]Entry!$S$1189)</f>
        <v/>
      </c>
      <c r="AK1186">
        <f>IF([2]Entry!$C$1189="","",[2]Entry!$C$1189)</f>
        <v/>
      </c>
      <c r="AL1186">
        <f>IF([2]Entry!$D$1189="","",[2]Entry!$D$1189)</f>
        <v/>
      </c>
    </row>
    <row r="1187">
      <c r="Z1187">
        <f>IF([2]Entry!$E$1190="","",[2]Entry!$E$1190)</f>
        <v/>
      </c>
      <c r="AA1187">
        <f>IF([2]Entry!$G$1190="","",[2]Entry!$G$1190)</f>
        <v/>
      </c>
      <c r="AB1187">
        <f>IF([2]Entry!$J$1190="","",[2]Entry!$J$1190)</f>
        <v/>
      </c>
      <c r="AC1187">
        <f>IF([2]Entry!$K$1190="","",[2]Entry!$K$1190)</f>
        <v/>
      </c>
      <c r="AD1187">
        <f>IF([2]Entry!$L$1190="","",[2]Entry!$L$1190)</f>
        <v/>
      </c>
      <c r="AE1187">
        <f>IF([2]Entry!$M$1190="","",[2]Entry!$M$1190)</f>
        <v/>
      </c>
      <c r="AF1187">
        <f>IF([2]Entry!$N$1190="","",[2]Entry!$N$1190)</f>
        <v/>
      </c>
      <c r="AJ1187">
        <f>IF([2]Entry!$S$1190="","",[2]Entry!$S$1190)</f>
        <v/>
      </c>
      <c r="AK1187">
        <f>IF([2]Entry!$C$1190="","",[2]Entry!$C$1190)</f>
        <v/>
      </c>
      <c r="AL1187">
        <f>IF([2]Entry!$D$1190="","",[2]Entry!$D$1190)</f>
        <v/>
      </c>
    </row>
    <row r="1188">
      <c r="Z1188">
        <f>IF([2]Entry!$E$1191="","",[2]Entry!$E$1191)</f>
        <v/>
      </c>
      <c r="AA1188">
        <f>IF([2]Entry!$G$1191="","",[2]Entry!$G$1191)</f>
        <v/>
      </c>
      <c r="AB1188">
        <f>IF([2]Entry!$J$1191="","",[2]Entry!$J$1191)</f>
        <v/>
      </c>
      <c r="AC1188">
        <f>IF([2]Entry!$K$1191="","",[2]Entry!$K$1191)</f>
        <v/>
      </c>
      <c r="AD1188">
        <f>IF([2]Entry!$L$1191="","",[2]Entry!$L$1191)</f>
        <v/>
      </c>
      <c r="AE1188">
        <f>IF([2]Entry!$M$1191="","",[2]Entry!$M$1191)</f>
        <v/>
      </c>
      <c r="AF1188">
        <f>IF([2]Entry!$N$1191="","",[2]Entry!$N$1191)</f>
        <v/>
      </c>
      <c r="AJ1188">
        <f>IF([2]Entry!$S$1191="","",[2]Entry!$S$1191)</f>
        <v/>
      </c>
      <c r="AK1188">
        <f>IF([2]Entry!$C$1191="","",[2]Entry!$C$1191)</f>
        <v/>
      </c>
      <c r="AL1188">
        <f>IF([2]Entry!$D$1191="","",[2]Entry!$D$1191)</f>
        <v/>
      </c>
    </row>
    <row r="1189">
      <c r="Z1189">
        <f>IF([2]Entry!$E$1192="","",[2]Entry!$E$1192)</f>
        <v/>
      </c>
      <c r="AA1189">
        <f>IF([2]Entry!$G$1192="","",[2]Entry!$G$1192)</f>
        <v/>
      </c>
      <c r="AB1189">
        <f>IF([2]Entry!$J$1192="","",[2]Entry!$J$1192)</f>
        <v/>
      </c>
      <c r="AC1189">
        <f>IF([2]Entry!$K$1192="","",[2]Entry!$K$1192)</f>
        <v/>
      </c>
      <c r="AD1189">
        <f>IF([2]Entry!$L$1192="","",[2]Entry!$L$1192)</f>
        <v/>
      </c>
      <c r="AE1189">
        <f>IF([2]Entry!$M$1192="","",[2]Entry!$M$1192)</f>
        <v/>
      </c>
      <c r="AF1189">
        <f>IF([2]Entry!$N$1192="","",[2]Entry!$N$1192)</f>
        <v/>
      </c>
      <c r="AJ1189">
        <f>IF([2]Entry!$S$1192="","",[2]Entry!$S$1192)</f>
        <v/>
      </c>
      <c r="AK1189">
        <f>IF([2]Entry!$C$1192="","",[2]Entry!$C$1192)</f>
        <v/>
      </c>
      <c r="AL1189">
        <f>IF([2]Entry!$D$1192="","",[2]Entry!$D$1192)</f>
        <v/>
      </c>
    </row>
    <row r="1190">
      <c r="Z1190">
        <f>IF([2]Entry!$E$1193="","",[2]Entry!$E$1193)</f>
        <v/>
      </c>
      <c r="AA1190">
        <f>IF([2]Entry!$G$1193="","",[2]Entry!$G$1193)</f>
        <v/>
      </c>
      <c r="AB1190">
        <f>IF([2]Entry!$J$1193="","",[2]Entry!$J$1193)</f>
        <v/>
      </c>
      <c r="AC1190">
        <f>IF([2]Entry!$K$1193="","",[2]Entry!$K$1193)</f>
        <v/>
      </c>
      <c r="AD1190">
        <f>IF([2]Entry!$L$1193="","",[2]Entry!$L$1193)</f>
        <v/>
      </c>
      <c r="AE1190">
        <f>IF([2]Entry!$M$1193="","",[2]Entry!$M$1193)</f>
        <v/>
      </c>
      <c r="AF1190">
        <f>IF([2]Entry!$N$1193="","",[2]Entry!$N$1193)</f>
        <v/>
      </c>
      <c r="AJ1190">
        <f>IF([2]Entry!$S$1193="","",[2]Entry!$S$1193)</f>
        <v/>
      </c>
      <c r="AK1190">
        <f>IF([2]Entry!$C$1193="","",[2]Entry!$C$1193)</f>
        <v/>
      </c>
      <c r="AL1190">
        <f>IF([2]Entry!$D$1193="","",[2]Entry!$D$1193)</f>
        <v/>
      </c>
    </row>
    <row r="1191">
      <c r="Z1191">
        <f>IF([2]Entry!$E$1194="","",[2]Entry!$E$1194)</f>
        <v/>
      </c>
      <c r="AA1191">
        <f>IF([2]Entry!$G$1194="","",[2]Entry!$G$1194)</f>
        <v/>
      </c>
      <c r="AB1191">
        <f>IF([2]Entry!$J$1194="","",[2]Entry!$J$1194)</f>
        <v/>
      </c>
      <c r="AC1191">
        <f>IF([2]Entry!$K$1194="","",[2]Entry!$K$1194)</f>
        <v/>
      </c>
      <c r="AD1191">
        <f>IF([2]Entry!$L$1194="","",[2]Entry!$L$1194)</f>
        <v/>
      </c>
      <c r="AE1191">
        <f>IF([2]Entry!$M$1194="","",[2]Entry!$M$1194)</f>
        <v/>
      </c>
      <c r="AF1191">
        <f>IF([2]Entry!$N$1194="","",[2]Entry!$N$1194)</f>
        <v/>
      </c>
      <c r="AJ1191">
        <f>IF([2]Entry!$S$1194="","",[2]Entry!$S$1194)</f>
        <v/>
      </c>
      <c r="AK1191">
        <f>IF([2]Entry!$C$1194="","",[2]Entry!$C$1194)</f>
        <v/>
      </c>
      <c r="AL1191">
        <f>IF([2]Entry!$D$1194="","",[2]Entry!$D$1194)</f>
        <v/>
      </c>
    </row>
    <row r="1192">
      <c r="Z1192">
        <f>IF([2]Entry!$E$1195="","",[2]Entry!$E$1195)</f>
        <v/>
      </c>
      <c r="AA1192">
        <f>IF([2]Entry!$G$1195="","",[2]Entry!$G$1195)</f>
        <v/>
      </c>
      <c r="AB1192">
        <f>IF([2]Entry!$J$1195="","",[2]Entry!$J$1195)</f>
        <v/>
      </c>
      <c r="AC1192">
        <f>IF([2]Entry!$K$1195="","",[2]Entry!$K$1195)</f>
        <v/>
      </c>
      <c r="AD1192">
        <f>IF([2]Entry!$L$1195="","",[2]Entry!$L$1195)</f>
        <v/>
      </c>
      <c r="AE1192">
        <f>IF([2]Entry!$M$1195="","",[2]Entry!$M$1195)</f>
        <v/>
      </c>
      <c r="AF1192">
        <f>IF([2]Entry!$N$1195="","",[2]Entry!$N$1195)</f>
        <v/>
      </c>
      <c r="AJ1192">
        <f>IF([2]Entry!$S$1195="","",[2]Entry!$S$1195)</f>
        <v/>
      </c>
      <c r="AK1192">
        <f>IF([2]Entry!$C$1195="","",[2]Entry!$C$1195)</f>
        <v/>
      </c>
      <c r="AL1192">
        <f>IF([2]Entry!$D$1195="","",[2]Entry!$D$1195)</f>
        <v/>
      </c>
    </row>
    <row r="1193">
      <c r="Z1193">
        <f>IF([2]Entry!$E$1196="","",[2]Entry!$E$1196)</f>
        <v/>
      </c>
      <c r="AA1193">
        <f>IF([2]Entry!$G$1196="","",[2]Entry!$G$1196)</f>
        <v/>
      </c>
      <c r="AB1193">
        <f>IF([2]Entry!$J$1196="","",[2]Entry!$J$1196)</f>
        <v/>
      </c>
      <c r="AC1193">
        <f>IF([2]Entry!$K$1196="","",[2]Entry!$K$1196)</f>
        <v/>
      </c>
      <c r="AD1193">
        <f>IF([2]Entry!$L$1196="","",[2]Entry!$L$1196)</f>
        <v/>
      </c>
      <c r="AE1193">
        <f>IF([2]Entry!$M$1196="","",[2]Entry!$M$1196)</f>
        <v/>
      </c>
      <c r="AF1193">
        <f>IF([2]Entry!$N$1196="","",[2]Entry!$N$1196)</f>
        <v/>
      </c>
      <c r="AJ1193">
        <f>IF([2]Entry!$S$1196="","",[2]Entry!$S$1196)</f>
        <v/>
      </c>
      <c r="AK1193">
        <f>IF([2]Entry!$C$1196="","",[2]Entry!$C$1196)</f>
        <v/>
      </c>
      <c r="AL1193">
        <f>IF([2]Entry!$D$1196="","",[2]Entry!$D$1196)</f>
        <v/>
      </c>
    </row>
    <row r="1194">
      <c r="Z1194">
        <f>IF([2]Entry!$E$1197="","",[2]Entry!$E$1197)</f>
        <v/>
      </c>
      <c r="AA1194">
        <f>IF([2]Entry!$G$1197="","",[2]Entry!$G$1197)</f>
        <v/>
      </c>
      <c r="AB1194">
        <f>IF([2]Entry!$J$1197="","",[2]Entry!$J$1197)</f>
        <v/>
      </c>
      <c r="AC1194">
        <f>IF([2]Entry!$K$1197="","",[2]Entry!$K$1197)</f>
        <v/>
      </c>
      <c r="AD1194">
        <f>IF([2]Entry!$L$1197="","",[2]Entry!$L$1197)</f>
        <v/>
      </c>
      <c r="AE1194">
        <f>IF([2]Entry!$M$1197="","",[2]Entry!$M$1197)</f>
        <v/>
      </c>
      <c r="AF1194">
        <f>IF([2]Entry!$N$1197="","",[2]Entry!$N$1197)</f>
        <v/>
      </c>
      <c r="AJ1194">
        <f>IF([2]Entry!$S$1197="","",[2]Entry!$S$1197)</f>
        <v/>
      </c>
      <c r="AK1194">
        <f>IF([2]Entry!$C$1197="","",[2]Entry!$C$1197)</f>
        <v/>
      </c>
      <c r="AL1194">
        <f>IF([2]Entry!$D$1197="","",[2]Entry!$D$1197)</f>
        <v/>
      </c>
    </row>
    <row r="1195">
      <c r="Z1195">
        <f>IF([2]Entry!$E$1198="","",[2]Entry!$E$1198)</f>
        <v/>
      </c>
      <c r="AA1195">
        <f>IF([2]Entry!$G$1198="","",[2]Entry!$G$1198)</f>
        <v/>
      </c>
      <c r="AB1195">
        <f>IF([2]Entry!$J$1198="","",[2]Entry!$J$1198)</f>
        <v/>
      </c>
      <c r="AC1195">
        <f>IF([2]Entry!$K$1198="","",[2]Entry!$K$1198)</f>
        <v/>
      </c>
      <c r="AD1195">
        <f>IF([2]Entry!$L$1198="","",[2]Entry!$L$1198)</f>
        <v/>
      </c>
      <c r="AE1195">
        <f>IF([2]Entry!$M$1198="","",[2]Entry!$M$1198)</f>
        <v/>
      </c>
      <c r="AF1195">
        <f>IF([2]Entry!$N$1198="","",[2]Entry!$N$1198)</f>
        <v/>
      </c>
      <c r="AJ1195">
        <f>IF([2]Entry!$S$1198="","",[2]Entry!$S$1198)</f>
        <v/>
      </c>
      <c r="AK1195">
        <f>IF([2]Entry!$C$1198="","",[2]Entry!$C$1198)</f>
        <v/>
      </c>
      <c r="AL1195">
        <f>IF([2]Entry!$D$1198="","",[2]Entry!$D$1198)</f>
        <v/>
      </c>
    </row>
    <row r="1196">
      <c r="Z1196">
        <f>IF([2]Entry!$E$1199="","",[2]Entry!$E$1199)</f>
        <v/>
      </c>
      <c r="AA1196">
        <f>IF([2]Entry!$G$1199="","",[2]Entry!$G$1199)</f>
        <v/>
      </c>
      <c r="AB1196">
        <f>IF([2]Entry!$J$1199="","",[2]Entry!$J$1199)</f>
        <v/>
      </c>
      <c r="AC1196">
        <f>IF([2]Entry!$K$1199="","",[2]Entry!$K$1199)</f>
        <v/>
      </c>
      <c r="AD1196">
        <f>IF([2]Entry!$L$1199="","",[2]Entry!$L$1199)</f>
        <v/>
      </c>
      <c r="AE1196">
        <f>IF([2]Entry!$M$1199="","",[2]Entry!$M$1199)</f>
        <v/>
      </c>
      <c r="AF1196">
        <f>IF([2]Entry!$N$1199="","",[2]Entry!$N$1199)</f>
        <v/>
      </c>
      <c r="AJ1196">
        <f>IF([2]Entry!$S$1199="","",[2]Entry!$S$1199)</f>
        <v/>
      </c>
      <c r="AK1196">
        <f>IF([2]Entry!$C$1199="","",[2]Entry!$C$1199)</f>
        <v/>
      </c>
      <c r="AL1196">
        <f>IF([2]Entry!$D$1199="","",[2]Entry!$D$1199)</f>
        <v/>
      </c>
    </row>
    <row r="1197">
      <c r="Z1197">
        <f>IF([2]Entry!$E$1200="","",[2]Entry!$E$1200)</f>
        <v/>
      </c>
      <c r="AA1197">
        <f>IF([2]Entry!$G$1200="","",[2]Entry!$G$1200)</f>
        <v/>
      </c>
      <c r="AB1197">
        <f>IF([2]Entry!$J$1200="","",[2]Entry!$J$1200)</f>
        <v/>
      </c>
      <c r="AC1197">
        <f>IF([2]Entry!$K$1200="","",[2]Entry!$K$1200)</f>
        <v/>
      </c>
      <c r="AD1197">
        <f>IF([2]Entry!$L$1200="","",[2]Entry!$L$1200)</f>
        <v/>
      </c>
      <c r="AE1197">
        <f>IF([2]Entry!$M$1200="","",[2]Entry!$M$1200)</f>
        <v/>
      </c>
      <c r="AF1197">
        <f>IF([2]Entry!$N$1200="","",[2]Entry!$N$1200)</f>
        <v/>
      </c>
      <c r="AJ1197">
        <f>IF([2]Entry!$S$1200="","",[2]Entry!$S$1200)</f>
        <v/>
      </c>
      <c r="AK1197">
        <f>IF([2]Entry!$C$1200="","",[2]Entry!$C$1200)</f>
        <v/>
      </c>
      <c r="AL1197">
        <f>IF([2]Entry!$D$1200="","",[2]Entry!$D$1200)</f>
        <v/>
      </c>
    </row>
    <row r="1198">
      <c r="Z1198">
        <f>IF([2]Entry!$E$1201="","",[2]Entry!$E$1201)</f>
        <v/>
      </c>
      <c r="AA1198">
        <f>IF([2]Entry!$G$1201="","",[2]Entry!$G$1201)</f>
        <v/>
      </c>
      <c r="AB1198">
        <f>IF([2]Entry!$J$1201="","",[2]Entry!$J$1201)</f>
        <v/>
      </c>
      <c r="AC1198">
        <f>IF([2]Entry!$K$1201="","",[2]Entry!$K$1201)</f>
        <v/>
      </c>
      <c r="AD1198">
        <f>IF([2]Entry!$L$1201="","",[2]Entry!$L$1201)</f>
        <v/>
      </c>
      <c r="AE1198">
        <f>IF([2]Entry!$M$1201="","",[2]Entry!$M$1201)</f>
        <v/>
      </c>
      <c r="AF1198">
        <f>IF([2]Entry!$N$1201="","",[2]Entry!$N$1201)</f>
        <v/>
      </c>
      <c r="AJ1198">
        <f>IF([2]Entry!$S$1201="","",[2]Entry!$S$1201)</f>
        <v/>
      </c>
      <c r="AK1198">
        <f>IF([2]Entry!$C$1201="","",[2]Entry!$C$1201)</f>
        <v/>
      </c>
      <c r="AL1198">
        <f>IF([2]Entry!$D$1201="","",[2]Entry!$D$1201)</f>
        <v/>
      </c>
    </row>
    <row r="1199">
      <c r="Z1199">
        <f>IF([2]Entry!$E$1202="","",[2]Entry!$E$1202)</f>
        <v/>
      </c>
      <c r="AA1199">
        <f>IF([2]Entry!$G$1202="","",[2]Entry!$G$1202)</f>
        <v/>
      </c>
      <c r="AB1199">
        <f>IF([2]Entry!$J$1202="","",[2]Entry!$J$1202)</f>
        <v/>
      </c>
      <c r="AC1199">
        <f>IF([2]Entry!$K$1202="","",[2]Entry!$K$1202)</f>
        <v/>
      </c>
      <c r="AD1199">
        <f>IF([2]Entry!$L$1202="","",[2]Entry!$L$1202)</f>
        <v/>
      </c>
      <c r="AE1199">
        <f>IF([2]Entry!$M$1202="","",[2]Entry!$M$1202)</f>
        <v/>
      </c>
      <c r="AF1199">
        <f>IF([2]Entry!$N$1202="","",[2]Entry!$N$1202)</f>
        <v/>
      </c>
      <c r="AJ1199">
        <f>IF([2]Entry!$S$1202="","",[2]Entry!$S$1202)</f>
        <v/>
      </c>
      <c r="AK1199">
        <f>IF([2]Entry!$C$1202="","",[2]Entry!$C$1202)</f>
        <v/>
      </c>
      <c r="AL1199">
        <f>IF([2]Entry!$D$1202="","",[2]Entry!$D$1202)</f>
        <v/>
      </c>
    </row>
    <row r="1200">
      <c r="Z1200">
        <f>IF([2]Entry!$E$1203="","",[2]Entry!$E$1203)</f>
        <v/>
      </c>
      <c r="AA1200">
        <f>IF([2]Entry!$G$1203="","",[2]Entry!$G$1203)</f>
        <v/>
      </c>
      <c r="AB1200">
        <f>IF([2]Entry!$J$1203="","",[2]Entry!$J$1203)</f>
        <v/>
      </c>
      <c r="AC1200">
        <f>IF([2]Entry!$K$1203="","",[2]Entry!$K$1203)</f>
        <v/>
      </c>
      <c r="AD1200">
        <f>IF([2]Entry!$L$1203="","",[2]Entry!$L$1203)</f>
        <v/>
      </c>
      <c r="AE1200">
        <f>IF([2]Entry!$M$1203="","",[2]Entry!$M$1203)</f>
        <v/>
      </c>
      <c r="AF1200">
        <f>IF([2]Entry!$N$1203="","",[2]Entry!$N$1203)</f>
        <v/>
      </c>
      <c r="AJ1200">
        <f>IF([2]Entry!$S$1203="","",[2]Entry!$S$1203)</f>
        <v/>
      </c>
      <c r="AK1200">
        <f>IF([2]Entry!$C$1203="","",[2]Entry!$C$1203)</f>
        <v/>
      </c>
      <c r="AL1200">
        <f>IF([2]Entry!$D$1203="","",[2]Entry!$D$1203)</f>
        <v/>
      </c>
    </row>
    <row r="1201">
      <c r="Z1201">
        <f>IF([2]Entry!$E$1204="","",[2]Entry!$E$1204)</f>
        <v/>
      </c>
      <c r="AA1201">
        <f>IF([2]Entry!$G$1204="","",[2]Entry!$G$1204)</f>
        <v/>
      </c>
      <c r="AB1201">
        <f>IF([2]Entry!$J$1204="","",[2]Entry!$J$1204)</f>
        <v/>
      </c>
      <c r="AC1201">
        <f>IF([2]Entry!$K$1204="","",[2]Entry!$K$1204)</f>
        <v/>
      </c>
      <c r="AD1201">
        <f>IF([2]Entry!$L$1204="","",[2]Entry!$L$1204)</f>
        <v/>
      </c>
      <c r="AE1201">
        <f>IF([2]Entry!$M$1204="","",[2]Entry!$M$1204)</f>
        <v/>
      </c>
      <c r="AF1201">
        <f>IF([2]Entry!$N$1204="","",[2]Entry!$N$1204)</f>
        <v/>
      </c>
      <c r="AJ1201">
        <f>IF([2]Entry!$S$1204="","",[2]Entry!$S$1204)</f>
        <v/>
      </c>
      <c r="AK1201">
        <f>IF([2]Entry!$C$1204="","",[2]Entry!$C$1204)</f>
        <v/>
      </c>
      <c r="AL1201">
        <f>IF([2]Entry!$D$1204="","",[2]Entry!$D$1204)</f>
        <v/>
      </c>
    </row>
    <row r="1202">
      <c r="Z1202">
        <f>IF([2]Entry!$E$1205="","",[2]Entry!$E$1205)</f>
        <v/>
      </c>
      <c r="AA1202">
        <f>IF([2]Entry!$G$1205="","",[2]Entry!$G$1205)</f>
        <v/>
      </c>
      <c r="AB1202">
        <f>IF([2]Entry!$J$1205="","",[2]Entry!$J$1205)</f>
        <v/>
      </c>
      <c r="AC1202">
        <f>IF([2]Entry!$K$1205="","",[2]Entry!$K$1205)</f>
        <v/>
      </c>
      <c r="AD1202">
        <f>IF([2]Entry!$L$1205="","",[2]Entry!$L$1205)</f>
        <v/>
      </c>
      <c r="AE1202">
        <f>IF([2]Entry!$M$1205="","",[2]Entry!$M$1205)</f>
        <v/>
      </c>
      <c r="AF1202">
        <f>IF([2]Entry!$N$1205="","",[2]Entry!$N$1205)</f>
        <v/>
      </c>
      <c r="AJ1202">
        <f>IF([2]Entry!$S$1205="","",[2]Entry!$S$1205)</f>
        <v/>
      </c>
      <c r="AK1202">
        <f>IF([2]Entry!$C$1205="","",[2]Entry!$C$1205)</f>
        <v/>
      </c>
      <c r="AL1202">
        <f>IF([2]Entry!$D$1205="","",[2]Entry!$D$1205)</f>
        <v/>
      </c>
    </row>
    <row r="1203">
      <c r="Z1203">
        <f>IF([2]Entry!$E$1206="","",[2]Entry!$E$1206)</f>
        <v/>
      </c>
      <c r="AA1203">
        <f>IF([2]Entry!$G$1206="","",[2]Entry!$G$1206)</f>
        <v/>
      </c>
      <c r="AB1203">
        <f>IF([2]Entry!$J$1206="","",[2]Entry!$J$1206)</f>
        <v/>
      </c>
      <c r="AC1203">
        <f>IF([2]Entry!$K$1206="","",[2]Entry!$K$1206)</f>
        <v/>
      </c>
      <c r="AD1203">
        <f>IF([2]Entry!$L$1206="","",[2]Entry!$L$1206)</f>
        <v/>
      </c>
      <c r="AE1203">
        <f>IF([2]Entry!$M$1206="","",[2]Entry!$M$1206)</f>
        <v/>
      </c>
      <c r="AF1203">
        <f>IF([2]Entry!$N$1206="","",[2]Entry!$N$1206)</f>
        <v/>
      </c>
      <c r="AJ1203">
        <f>IF([2]Entry!$S$1206="","",[2]Entry!$S$1206)</f>
        <v/>
      </c>
      <c r="AK1203">
        <f>IF([2]Entry!$C$1206="","",[2]Entry!$C$1206)</f>
        <v/>
      </c>
      <c r="AL1203">
        <f>IF([2]Entry!$D$1206="","",[2]Entry!$D$1206)</f>
        <v/>
      </c>
    </row>
    <row r="1204">
      <c r="Z1204">
        <f>IF([2]Entry!$E$1207="","",[2]Entry!$E$1207)</f>
        <v/>
      </c>
      <c r="AA1204">
        <f>IF([2]Entry!$G$1207="","",[2]Entry!$G$1207)</f>
        <v/>
      </c>
      <c r="AB1204">
        <f>IF([2]Entry!$J$1207="","",[2]Entry!$J$1207)</f>
        <v/>
      </c>
      <c r="AC1204">
        <f>IF([2]Entry!$K$1207="","",[2]Entry!$K$1207)</f>
        <v/>
      </c>
      <c r="AD1204">
        <f>IF([2]Entry!$L$1207="","",[2]Entry!$L$1207)</f>
        <v/>
      </c>
      <c r="AE1204">
        <f>IF([2]Entry!$M$1207="","",[2]Entry!$M$1207)</f>
        <v/>
      </c>
      <c r="AF1204">
        <f>IF([2]Entry!$N$1207="","",[2]Entry!$N$1207)</f>
        <v/>
      </c>
      <c r="AJ1204">
        <f>IF([2]Entry!$S$1207="","",[2]Entry!$S$1207)</f>
        <v/>
      </c>
      <c r="AK1204">
        <f>IF([2]Entry!$C$1207="","",[2]Entry!$C$1207)</f>
        <v/>
      </c>
      <c r="AL1204">
        <f>IF([2]Entry!$D$1207="","",[2]Entry!$D$1207)</f>
        <v/>
      </c>
    </row>
    <row r="1205">
      <c r="Z1205">
        <f>IF([2]Entry!$E$1208="","",[2]Entry!$E$1208)</f>
        <v/>
      </c>
      <c r="AA1205">
        <f>IF([2]Entry!$G$1208="","",[2]Entry!$G$1208)</f>
        <v/>
      </c>
      <c r="AB1205">
        <f>IF([2]Entry!$J$1208="","",[2]Entry!$J$1208)</f>
        <v/>
      </c>
      <c r="AC1205">
        <f>IF([2]Entry!$K$1208="","",[2]Entry!$K$1208)</f>
        <v/>
      </c>
      <c r="AD1205">
        <f>IF([2]Entry!$L$1208="","",[2]Entry!$L$1208)</f>
        <v/>
      </c>
      <c r="AE1205">
        <f>IF([2]Entry!$M$1208="","",[2]Entry!$M$1208)</f>
        <v/>
      </c>
      <c r="AF1205">
        <f>IF([2]Entry!$N$1208="","",[2]Entry!$N$1208)</f>
        <v/>
      </c>
      <c r="AJ1205">
        <f>IF([2]Entry!$S$1208="","",[2]Entry!$S$1208)</f>
        <v/>
      </c>
      <c r="AK1205">
        <f>IF([2]Entry!$C$1208="","",[2]Entry!$C$1208)</f>
        <v/>
      </c>
      <c r="AL1205">
        <f>IF([2]Entry!$D$1208="","",[2]Entry!$D$1208)</f>
        <v/>
      </c>
    </row>
    <row r="1206">
      <c r="Z1206">
        <f>IF([2]Entry!$E$1209="","",[2]Entry!$E$1209)</f>
        <v/>
      </c>
      <c r="AA1206">
        <f>IF([2]Entry!$G$1209="","",[2]Entry!$G$1209)</f>
        <v/>
      </c>
      <c r="AB1206">
        <f>IF([2]Entry!$J$1209="","",[2]Entry!$J$1209)</f>
        <v/>
      </c>
      <c r="AC1206">
        <f>IF([2]Entry!$K$1209="","",[2]Entry!$K$1209)</f>
        <v/>
      </c>
      <c r="AD1206">
        <f>IF([2]Entry!$L$1209="","",[2]Entry!$L$1209)</f>
        <v/>
      </c>
      <c r="AE1206">
        <f>IF([2]Entry!$M$1209="","",[2]Entry!$M$1209)</f>
        <v/>
      </c>
      <c r="AF1206">
        <f>IF([2]Entry!$N$1209="","",[2]Entry!$N$1209)</f>
        <v/>
      </c>
      <c r="AJ1206">
        <f>IF([2]Entry!$S$1209="","",[2]Entry!$S$1209)</f>
        <v/>
      </c>
      <c r="AK1206">
        <f>IF([2]Entry!$C$1209="","",[2]Entry!$C$1209)</f>
        <v/>
      </c>
      <c r="AL1206">
        <f>IF([2]Entry!$D$1209="","",[2]Entry!$D$1209)</f>
        <v/>
      </c>
    </row>
    <row r="1207">
      <c r="Z1207">
        <f>IF([2]Entry!$E$1210="","",[2]Entry!$E$1210)</f>
        <v/>
      </c>
      <c r="AA1207">
        <f>IF([2]Entry!$G$1210="","",[2]Entry!$G$1210)</f>
        <v/>
      </c>
      <c r="AB1207">
        <f>IF([2]Entry!$J$1210="","",[2]Entry!$J$1210)</f>
        <v/>
      </c>
      <c r="AC1207">
        <f>IF([2]Entry!$K$1210="","",[2]Entry!$K$1210)</f>
        <v/>
      </c>
      <c r="AD1207">
        <f>IF([2]Entry!$L$1210="","",[2]Entry!$L$1210)</f>
        <v/>
      </c>
      <c r="AE1207">
        <f>IF([2]Entry!$M$1210="","",[2]Entry!$M$1210)</f>
        <v/>
      </c>
      <c r="AF1207">
        <f>IF([2]Entry!$N$1210="","",[2]Entry!$N$1210)</f>
        <v/>
      </c>
      <c r="AJ1207">
        <f>IF([2]Entry!$S$1210="","",[2]Entry!$S$1210)</f>
        <v/>
      </c>
      <c r="AK1207">
        <f>IF([2]Entry!$C$1210="","",[2]Entry!$C$1210)</f>
        <v/>
      </c>
      <c r="AL1207">
        <f>IF([2]Entry!$D$1210="","",[2]Entry!$D$1210)</f>
        <v/>
      </c>
    </row>
    <row r="1208">
      <c r="Z1208">
        <f>IF([2]Entry!$E$1211="","",[2]Entry!$E$1211)</f>
        <v/>
      </c>
      <c r="AA1208">
        <f>IF([2]Entry!$G$1211="","",[2]Entry!$G$1211)</f>
        <v/>
      </c>
      <c r="AB1208">
        <f>IF([2]Entry!$J$1211="","",[2]Entry!$J$1211)</f>
        <v/>
      </c>
      <c r="AC1208">
        <f>IF([2]Entry!$K$1211="","",[2]Entry!$K$1211)</f>
        <v/>
      </c>
      <c r="AD1208">
        <f>IF([2]Entry!$L$1211="","",[2]Entry!$L$1211)</f>
        <v/>
      </c>
      <c r="AE1208">
        <f>IF([2]Entry!$M$1211="","",[2]Entry!$M$1211)</f>
        <v/>
      </c>
      <c r="AF1208">
        <f>IF([2]Entry!$N$1211="","",[2]Entry!$N$1211)</f>
        <v/>
      </c>
      <c r="AJ1208">
        <f>IF([2]Entry!$S$1211="","",[2]Entry!$S$1211)</f>
        <v/>
      </c>
      <c r="AK1208">
        <f>IF([2]Entry!$C$1211="","",[2]Entry!$C$1211)</f>
        <v/>
      </c>
      <c r="AL1208">
        <f>IF([2]Entry!$D$1211="","",[2]Entry!$D$1211)</f>
        <v/>
      </c>
    </row>
    <row r="1209">
      <c r="Z1209">
        <f>IF([2]Entry!$E$1212="","",[2]Entry!$E$1212)</f>
        <v/>
      </c>
      <c r="AA1209">
        <f>IF([2]Entry!$G$1212="","",[2]Entry!$G$1212)</f>
        <v/>
      </c>
      <c r="AB1209">
        <f>IF([2]Entry!$J$1212="","",[2]Entry!$J$1212)</f>
        <v/>
      </c>
      <c r="AC1209">
        <f>IF([2]Entry!$K$1212="","",[2]Entry!$K$1212)</f>
        <v/>
      </c>
      <c r="AD1209">
        <f>IF([2]Entry!$L$1212="","",[2]Entry!$L$1212)</f>
        <v/>
      </c>
      <c r="AE1209">
        <f>IF([2]Entry!$M$1212="","",[2]Entry!$M$1212)</f>
        <v/>
      </c>
      <c r="AF1209">
        <f>IF([2]Entry!$N$1212="","",[2]Entry!$N$1212)</f>
        <v/>
      </c>
      <c r="AJ1209">
        <f>IF([2]Entry!$S$1212="","",[2]Entry!$S$1212)</f>
        <v/>
      </c>
      <c r="AK1209">
        <f>IF([2]Entry!$C$1212="","",[2]Entry!$C$1212)</f>
        <v/>
      </c>
      <c r="AL1209">
        <f>IF([2]Entry!$D$1212="","",[2]Entry!$D$1212)</f>
        <v/>
      </c>
    </row>
    <row r="1210">
      <c r="Z1210">
        <f>IF([2]Entry!$E$1213="","",[2]Entry!$E$1213)</f>
        <v/>
      </c>
      <c r="AA1210">
        <f>IF([2]Entry!$G$1213="","",[2]Entry!$G$1213)</f>
        <v/>
      </c>
      <c r="AB1210">
        <f>IF([2]Entry!$J$1213="","",[2]Entry!$J$1213)</f>
        <v/>
      </c>
      <c r="AC1210">
        <f>IF([2]Entry!$K$1213="","",[2]Entry!$K$1213)</f>
        <v/>
      </c>
      <c r="AD1210">
        <f>IF([2]Entry!$L$1213="","",[2]Entry!$L$1213)</f>
        <v/>
      </c>
      <c r="AE1210">
        <f>IF([2]Entry!$M$1213="","",[2]Entry!$M$1213)</f>
        <v/>
      </c>
      <c r="AF1210">
        <f>IF([2]Entry!$N$1213="","",[2]Entry!$N$1213)</f>
        <v/>
      </c>
      <c r="AJ1210">
        <f>IF([2]Entry!$S$1213="","",[2]Entry!$S$1213)</f>
        <v/>
      </c>
      <c r="AK1210">
        <f>IF([2]Entry!$C$1213="","",[2]Entry!$C$1213)</f>
        <v/>
      </c>
      <c r="AL1210">
        <f>IF([2]Entry!$D$1213="","",[2]Entry!$D$1213)</f>
        <v/>
      </c>
    </row>
    <row r="1211">
      <c r="Z1211">
        <f>IF([2]Entry!$E$1214="","",[2]Entry!$E$1214)</f>
        <v/>
      </c>
      <c r="AA1211">
        <f>IF([2]Entry!$G$1214="","",[2]Entry!$G$1214)</f>
        <v/>
      </c>
      <c r="AB1211">
        <f>IF([2]Entry!$J$1214="","",[2]Entry!$J$1214)</f>
        <v/>
      </c>
      <c r="AC1211">
        <f>IF([2]Entry!$K$1214="","",[2]Entry!$K$1214)</f>
        <v/>
      </c>
      <c r="AD1211">
        <f>IF([2]Entry!$L$1214="","",[2]Entry!$L$1214)</f>
        <v/>
      </c>
      <c r="AE1211">
        <f>IF([2]Entry!$M$1214="","",[2]Entry!$M$1214)</f>
        <v/>
      </c>
      <c r="AF1211">
        <f>IF([2]Entry!$N$1214="","",[2]Entry!$N$1214)</f>
        <v/>
      </c>
      <c r="AJ1211">
        <f>IF([2]Entry!$S$1214="","",[2]Entry!$S$1214)</f>
        <v/>
      </c>
      <c r="AK1211">
        <f>IF([2]Entry!$C$1214="","",[2]Entry!$C$1214)</f>
        <v/>
      </c>
      <c r="AL1211">
        <f>IF([2]Entry!$D$1214="","",[2]Entry!$D$1214)</f>
        <v/>
      </c>
    </row>
    <row r="1212">
      <c r="Z1212">
        <f>IF([2]Entry!$E$1215="","",[2]Entry!$E$1215)</f>
        <v/>
      </c>
      <c r="AA1212">
        <f>IF([2]Entry!$G$1215="","",[2]Entry!$G$1215)</f>
        <v/>
      </c>
      <c r="AB1212">
        <f>IF([2]Entry!$J$1215="","",[2]Entry!$J$1215)</f>
        <v/>
      </c>
      <c r="AC1212">
        <f>IF([2]Entry!$K$1215="","",[2]Entry!$K$1215)</f>
        <v/>
      </c>
      <c r="AD1212">
        <f>IF([2]Entry!$L$1215="","",[2]Entry!$L$1215)</f>
        <v/>
      </c>
      <c r="AE1212">
        <f>IF([2]Entry!$M$1215="","",[2]Entry!$M$1215)</f>
        <v/>
      </c>
      <c r="AF1212">
        <f>IF([2]Entry!$N$1215="","",[2]Entry!$N$1215)</f>
        <v/>
      </c>
      <c r="AJ1212">
        <f>IF([2]Entry!$S$1215="","",[2]Entry!$S$1215)</f>
        <v/>
      </c>
      <c r="AK1212">
        <f>IF([2]Entry!$C$1215="","",[2]Entry!$C$1215)</f>
        <v/>
      </c>
      <c r="AL1212">
        <f>IF([2]Entry!$D$1215="","",[2]Entry!$D$1215)</f>
        <v/>
      </c>
    </row>
    <row r="1213">
      <c r="Z1213">
        <f>IF([2]Entry!$E$1216="","",[2]Entry!$E$1216)</f>
        <v/>
      </c>
      <c r="AA1213">
        <f>IF([2]Entry!$G$1216="","",[2]Entry!$G$1216)</f>
        <v/>
      </c>
      <c r="AB1213">
        <f>IF([2]Entry!$J$1216="","",[2]Entry!$J$1216)</f>
        <v/>
      </c>
      <c r="AC1213">
        <f>IF([2]Entry!$K$1216="","",[2]Entry!$K$1216)</f>
        <v/>
      </c>
      <c r="AD1213">
        <f>IF([2]Entry!$L$1216="","",[2]Entry!$L$1216)</f>
        <v/>
      </c>
      <c r="AE1213">
        <f>IF([2]Entry!$M$1216="","",[2]Entry!$M$1216)</f>
        <v/>
      </c>
      <c r="AF1213">
        <f>IF([2]Entry!$N$1216="","",[2]Entry!$N$1216)</f>
        <v/>
      </c>
      <c r="AJ1213">
        <f>IF([2]Entry!$S$1216="","",[2]Entry!$S$1216)</f>
        <v/>
      </c>
      <c r="AK1213">
        <f>IF([2]Entry!$C$1216="","",[2]Entry!$C$1216)</f>
        <v/>
      </c>
      <c r="AL1213">
        <f>IF([2]Entry!$D$1216="","",[2]Entry!$D$1216)</f>
        <v/>
      </c>
    </row>
    <row r="1214">
      <c r="Z1214">
        <f>IF([2]Entry!$E$1217="","",[2]Entry!$E$1217)</f>
        <v/>
      </c>
      <c r="AA1214">
        <f>IF([2]Entry!$G$1217="","",[2]Entry!$G$1217)</f>
        <v/>
      </c>
      <c r="AB1214">
        <f>IF([2]Entry!$J$1217="","",[2]Entry!$J$1217)</f>
        <v/>
      </c>
      <c r="AC1214">
        <f>IF([2]Entry!$K$1217="","",[2]Entry!$K$1217)</f>
        <v/>
      </c>
      <c r="AD1214">
        <f>IF([2]Entry!$L$1217="","",[2]Entry!$L$1217)</f>
        <v/>
      </c>
      <c r="AE1214">
        <f>IF([2]Entry!$M$1217="","",[2]Entry!$M$1217)</f>
        <v/>
      </c>
      <c r="AF1214">
        <f>IF([2]Entry!$N$1217="","",[2]Entry!$N$1217)</f>
        <v/>
      </c>
      <c r="AJ1214">
        <f>IF([2]Entry!$S$1217="","",[2]Entry!$S$1217)</f>
        <v/>
      </c>
      <c r="AK1214">
        <f>IF([2]Entry!$C$1217="","",[2]Entry!$C$1217)</f>
        <v/>
      </c>
      <c r="AL1214">
        <f>IF([2]Entry!$D$1217="","",[2]Entry!$D$1217)</f>
        <v/>
      </c>
    </row>
    <row r="1215">
      <c r="Z1215">
        <f>IF([2]Entry!$E$1218="","",[2]Entry!$E$1218)</f>
        <v/>
      </c>
      <c r="AA1215">
        <f>IF([2]Entry!$G$1218="","",[2]Entry!$G$1218)</f>
        <v/>
      </c>
      <c r="AB1215">
        <f>IF([2]Entry!$J$1218="","",[2]Entry!$J$1218)</f>
        <v/>
      </c>
      <c r="AC1215">
        <f>IF([2]Entry!$K$1218="","",[2]Entry!$K$1218)</f>
        <v/>
      </c>
      <c r="AD1215">
        <f>IF([2]Entry!$L$1218="","",[2]Entry!$L$1218)</f>
        <v/>
      </c>
      <c r="AE1215">
        <f>IF([2]Entry!$M$1218="","",[2]Entry!$M$1218)</f>
        <v/>
      </c>
      <c r="AF1215">
        <f>IF([2]Entry!$N$1218="","",[2]Entry!$N$1218)</f>
        <v/>
      </c>
      <c r="AJ1215">
        <f>IF([2]Entry!$S$1218="","",[2]Entry!$S$1218)</f>
        <v/>
      </c>
      <c r="AK1215">
        <f>IF([2]Entry!$C$1218="","",[2]Entry!$C$1218)</f>
        <v/>
      </c>
      <c r="AL1215">
        <f>IF([2]Entry!$D$1218="","",[2]Entry!$D$1218)</f>
        <v/>
      </c>
    </row>
    <row r="1216">
      <c r="Z1216">
        <f>IF([2]Entry!$E$1219="","",[2]Entry!$E$1219)</f>
        <v/>
      </c>
      <c r="AA1216">
        <f>IF([2]Entry!$G$1219="","",[2]Entry!$G$1219)</f>
        <v/>
      </c>
      <c r="AB1216">
        <f>IF([2]Entry!$J$1219="","",[2]Entry!$J$1219)</f>
        <v/>
      </c>
      <c r="AC1216">
        <f>IF([2]Entry!$K$1219="","",[2]Entry!$K$1219)</f>
        <v/>
      </c>
      <c r="AD1216">
        <f>IF([2]Entry!$L$1219="","",[2]Entry!$L$1219)</f>
        <v/>
      </c>
      <c r="AE1216">
        <f>IF([2]Entry!$M$1219="","",[2]Entry!$M$1219)</f>
        <v/>
      </c>
      <c r="AF1216">
        <f>IF([2]Entry!$N$1219="","",[2]Entry!$N$1219)</f>
        <v/>
      </c>
      <c r="AJ1216">
        <f>IF([2]Entry!$S$1219="","",[2]Entry!$S$1219)</f>
        <v/>
      </c>
      <c r="AK1216">
        <f>IF([2]Entry!$C$1219="","",[2]Entry!$C$1219)</f>
        <v/>
      </c>
      <c r="AL1216">
        <f>IF([2]Entry!$D$1219="","",[2]Entry!$D$1219)</f>
        <v/>
      </c>
    </row>
    <row r="1217">
      <c r="Z1217">
        <f>IF([2]Entry!$E$1220="","",[2]Entry!$E$1220)</f>
        <v/>
      </c>
      <c r="AA1217">
        <f>IF([2]Entry!$G$1220="","",[2]Entry!$G$1220)</f>
        <v/>
      </c>
      <c r="AB1217">
        <f>IF([2]Entry!$J$1220="","",[2]Entry!$J$1220)</f>
        <v/>
      </c>
      <c r="AC1217">
        <f>IF([2]Entry!$K$1220="","",[2]Entry!$K$1220)</f>
        <v/>
      </c>
      <c r="AD1217">
        <f>IF([2]Entry!$L$1220="","",[2]Entry!$L$1220)</f>
        <v/>
      </c>
      <c r="AE1217">
        <f>IF([2]Entry!$M$1220="","",[2]Entry!$M$1220)</f>
        <v/>
      </c>
      <c r="AF1217">
        <f>IF([2]Entry!$N$1220="","",[2]Entry!$N$1220)</f>
        <v/>
      </c>
      <c r="AJ1217">
        <f>IF([2]Entry!$S$1220="","",[2]Entry!$S$1220)</f>
        <v/>
      </c>
      <c r="AK1217">
        <f>IF([2]Entry!$C$1220="","",[2]Entry!$C$1220)</f>
        <v/>
      </c>
      <c r="AL1217">
        <f>IF([2]Entry!$D$1220="","",[2]Entry!$D$1220)</f>
        <v/>
      </c>
    </row>
    <row r="1218">
      <c r="Z1218">
        <f>IF([2]Entry!$E$1221="","",[2]Entry!$E$1221)</f>
        <v/>
      </c>
      <c r="AA1218">
        <f>IF([2]Entry!$G$1221="","",[2]Entry!$G$1221)</f>
        <v/>
      </c>
      <c r="AB1218">
        <f>IF([2]Entry!$J$1221="","",[2]Entry!$J$1221)</f>
        <v/>
      </c>
      <c r="AC1218">
        <f>IF([2]Entry!$K$1221="","",[2]Entry!$K$1221)</f>
        <v/>
      </c>
      <c r="AD1218">
        <f>IF([2]Entry!$L$1221="","",[2]Entry!$L$1221)</f>
        <v/>
      </c>
      <c r="AE1218">
        <f>IF([2]Entry!$M$1221="","",[2]Entry!$M$1221)</f>
        <v/>
      </c>
      <c r="AF1218">
        <f>IF([2]Entry!$N$1221="","",[2]Entry!$N$1221)</f>
        <v/>
      </c>
      <c r="AJ1218">
        <f>IF([2]Entry!$S$1221="","",[2]Entry!$S$1221)</f>
        <v/>
      </c>
      <c r="AK1218">
        <f>IF([2]Entry!$C$1221="","",[2]Entry!$C$1221)</f>
        <v/>
      </c>
      <c r="AL1218">
        <f>IF([2]Entry!$D$1221="","",[2]Entry!$D$1221)</f>
        <v/>
      </c>
    </row>
    <row r="1219">
      <c r="Z1219">
        <f>IF([2]Entry!$E$1222="","",[2]Entry!$E$1222)</f>
        <v/>
      </c>
      <c r="AA1219">
        <f>IF([2]Entry!$G$1222="","",[2]Entry!$G$1222)</f>
        <v/>
      </c>
      <c r="AB1219">
        <f>IF([2]Entry!$J$1222="","",[2]Entry!$J$1222)</f>
        <v/>
      </c>
      <c r="AC1219">
        <f>IF([2]Entry!$K$1222="","",[2]Entry!$K$1222)</f>
        <v/>
      </c>
      <c r="AD1219">
        <f>IF([2]Entry!$L$1222="","",[2]Entry!$L$1222)</f>
        <v/>
      </c>
      <c r="AE1219">
        <f>IF([2]Entry!$M$1222="","",[2]Entry!$M$1222)</f>
        <v/>
      </c>
      <c r="AF1219">
        <f>IF([2]Entry!$N$1222="","",[2]Entry!$N$1222)</f>
        <v/>
      </c>
      <c r="AJ1219">
        <f>IF([2]Entry!$S$1222="","",[2]Entry!$S$1222)</f>
        <v/>
      </c>
      <c r="AK1219">
        <f>IF([2]Entry!$C$1222="","",[2]Entry!$C$1222)</f>
        <v/>
      </c>
      <c r="AL1219">
        <f>IF([2]Entry!$D$1222="","",[2]Entry!$D$1222)</f>
        <v/>
      </c>
    </row>
    <row r="1220">
      <c r="Z1220">
        <f>IF([2]Entry!$E$1223="","",[2]Entry!$E$1223)</f>
        <v/>
      </c>
      <c r="AA1220">
        <f>IF([2]Entry!$G$1223="","",[2]Entry!$G$1223)</f>
        <v/>
      </c>
      <c r="AB1220">
        <f>IF([2]Entry!$J$1223="","",[2]Entry!$J$1223)</f>
        <v/>
      </c>
      <c r="AC1220">
        <f>IF([2]Entry!$K$1223="","",[2]Entry!$K$1223)</f>
        <v/>
      </c>
      <c r="AD1220">
        <f>IF([2]Entry!$L$1223="","",[2]Entry!$L$1223)</f>
        <v/>
      </c>
      <c r="AE1220">
        <f>IF([2]Entry!$M$1223="","",[2]Entry!$M$1223)</f>
        <v/>
      </c>
      <c r="AF1220">
        <f>IF([2]Entry!$N$1223="","",[2]Entry!$N$1223)</f>
        <v/>
      </c>
      <c r="AJ1220">
        <f>IF([2]Entry!$S$1223="","",[2]Entry!$S$1223)</f>
        <v/>
      </c>
      <c r="AK1220">
        <f>IF([2]Entry!$C$1223="","",[2]Entry!$C$1223)</f>
        <v/>
      </c>
      <c r="AL1220">
        <f>IF([2]Entry!$D$1223="","",[2]Entry!$D$1223)</f>
        <v/>
      </c>
    </row>
    <row r="1221">
      <c r="Z1221">
        <f>IF([2]Entry!$E$1224="","",[2]Entry!$E$1224)</f>
        <v/>
      </c>
      <c r="AA1221">
        <f>IF([2]Entry!$G$1224="","",[2]Entry!$G$1224)</f>
        <v/>
      </c>
      <c r="AB1221">
        <f>IF([2]Entry!$J$1224="","",[2]Entry!$J$1224)</f>
        <v/>
      </c>
      <c r="AC1221">
        <f>IF([2]Entry!$K$1224="","",[2]Entry!$K$1224)</f>
        <v/>
      </c>
      <c r="AD1221">
        <f>IF([2]Entry!$L$1224="","",[2]Entry!$L$1224)</f>
        <v/>
      </c>
      <c r="AE1221">
        <f>IF([2]Entry!$M$1224="","",[2]Entry!$M$1224)</f>
        <v/>
      </c>
      <c r="AF1221">
        <f>IF([2]Entry!$N$1224="","",[2]Entry!$N$1224)</f>
        <v/>
      </c>
      <c r="AJ1221">
        <f>IF([2]Entry!$S$1224="","",[2]Entry!$S$1224)</f>
        <v/>
      </c>
      <c r="AK1221">
        <f>IF([2]Entry!$C$1224="","",[2]Entry!$C$1224)</f>
        <v/>
      </c>
      <c r="AL1221">
        <f>IF([2]Entry!$D$1224="","",[2]Entry!$D$1224)</f>
        <v/>
      </c>
    </row>
    <row r="1222">
      <c r="Z1222">
        <f>IF([2]Entry!$E$1225="","",[2]Entry!$E$1225)</f>
        <v/>
      </c>
      <c r="AA1222">
        <f>IF([2]Entry!$G$1225="","",[2]Entry!$G$1225)</f>
        <v/>
      </c>
      <c r="AB1222">
        <f>IF([2]Entry!$J$1225="","",[2]Entry!$J$1225)</f>
        <v/>
      </c>
      <c r="AC1222">
        <f>IF([2]Entry!$K$1225="","",[2]Entry!$K$1225)</f>
        <v/>
      </c>
      <c r="AD1222">
        <f>IF([2]Entry!$L$1225="","",[2]Entry!$L$1225)</f>
        <v/>
      </c>
      <c r="AE1222">
        <f>IF([2]Entry!$M$1225="","",[2]Entry!$M$1225)</f>
        <v/>
      </c>
      <c r="AF1222">
        <f>IF([2]Entry!$N$1225="","",[2]Entry!$N$1225)</f>
        <v/>
      </c>
      <c r="AJ1222">
        <f>IF([2]Entry!$S$1225="","",[2]Entry!$S$1225)</f>
        <v/>
      </c>
      <c r="AK1222">
        <f>IF([2]Entry!$C$1225="","",[2]Entry!$C$1225)</f>
        <v/>
      </c>
      <c r="AL1222">
        <f>IF([2]Entry!$D$1225="","",[2]Entry!$D$1225)</f>
        <v/>
      </c>
    </row>
    <row r="1223">
      <c r="Z1223">
        <f>IF([2]Entry!$E$1226="","",[2]Entry!$E$1226)</f>
        <v/>
      </c>
      <c r="AA1223">
        <f>IF([2]Entry!$G$1226="","",[2]Entry!$G$1226)</f>
        <v/>
      </c>
      <c r="AB1223">
        <f>IF([2]Entry!$J$1226="","",[2]Entry!$J$1226)</f>
        <v/>
      </c>
      <c r="AC1223">
        <f>IF([2]Entry!$K$1226="","",[2]Entry!$K$1226)</f>
        <v/>
      </c>
      <c r="AD1223">
        <f>IF([2]Entry!$L$1226="","",[2]Entry!$L$1226)</f>
        <v/>
      </c>
      <c r="AE1223">
        <f>IF([2]Entry!$M$1226="","",[2]Entry!$M$1226)</f>
        <v/>
      </c>
      <c r="AF1223">
        <f>IF([2]Entry!$N$1226="","",[2]Entry!$N$1226)</f>
        <v/>
      </c>
      <c r="AJ1223">
        <f>IF([2]Entry!$S$1226="","",[2]Entry!$S$1226)</f>
        <v/>
      </c>
      <c r="AK1223">
        <f>IF([2]Entry!$C$1226="","",[2]Entry!$C$1226)</f>
        <v/>
      </c>
      <c r="AL1223">
        <f>IF([2]Entry!$D$1226="","",[2]Entry!$D$1226)</f>
        <v/>
      </c>
    </row>
    <row r="1224">
      <c r="Z1224">
        <f>IF([2]Entry!$E$1227="","",[2]Entry!$E$1227)</f>
        <v/>
      </c>
      <c r="AA1224">
        <f>IF([2]Entry!$G$1227="","",[2]Entry!$G$1227)</f>
        <v/>
      </c>
      <c r="AB1224">
        <f>IF([2]Entry!$J$1227="","",[2]Entry!$J$1227)</f>
        <v/>
      </c>
      <c r="AC1224">
        <f>IF([2]Entry!$K$1227="","",[2]Entry!$K$1227)</f>
        <v/>
      </c>
      <c r="AD1224">
        <f>IF([2]Entry!$L$1227="","",[2]Entry!$L$1227)</f>
        <v/>
      </c>
      <c r="AE1224">
        <f>IF([2]Entry!$M$1227="","",[2]Entry!$M$1227)</f>
        <v/>
      </c>
      <c r="AF1224">
        <f>IF([2]Entry!$N$1227="","",[2]Entry!$N$1227)</f>
        <v/>
      </c>
      <c r="AJ1224">
        <f>IF([2]Entry!$S$1227="","",[2]Entry!$S$1227)</f>
        <v/>
      </c>
      <c r="AK1224">
        <f>IF([2]Entry!$C$1227="","",[2]Entry!$C$1227)</f>
        <v/>
      </c>
      <c r="AL1224">
        <f>IF([2]Entry!$D$1227="","",[2]Entry!$D$1227)</f>
        <v/>
      </c>
    </row>
    <row r="1225">
      <c r="Z1225">
        <f>IF([2]Entry!$E$1228="","",[2]Entry!$E$1228)</f>
        <v/>
      </c>
      <c r="AA1225">
        <f>IF([2]Entry!$G$1228="","",[2]Entry!$G$1228)</f>
        <v/>
      </c>
      <c r="AB1225">
        <f>IF([2]Entry!$J$1228="","",[2]Entry!$J$1228)</f>
        <v/>
      </c>
      <c r="AC1225">
        <f>IF([2]Entry!$K$1228="","",[2]Entry!$K$1228)</f>
        <v/>
      </c>
      <c r="AD1225">
        <f>IF([2]Entry!$L$1228="","",[2]Entry!$L$1228)</f>
        <v/>
      </c>
      <c r="AE1225">
        <f>IF([2]Entry!$M$1228="","",[2]Entry!$M$1228)</f>
        <v/>
      </c>
      <c r="AF1225">
        <f>IF([2]Entry!$N$1228="","",[2]Entry!$N$1228)</f>
        <v/>
      </c>
      <c r="AJ1225">
        <f>IF([2]Entry!$S$1228="","",[2]Entry!$S$1228)</f>
        <v/>
      </c>
      <c r="AK1225">
        <f>IF([2]Entry!$C$1228="","",[2]Entry!$C$1228)</f>
        <v/>
      </c>
      <c r="AL1225">
        <f>IF([2]Entry!$D$1228="","",[2]Entry!$D$1228)</f>
        <v/>
      </c>
    </row>
    <row r="1226">
      <c r="Z1226">
        <f>IF([2]Entry!$E$1229="","",[2]Entry!$E$1229)</f>
        <v/>
      </c>
      <c r="AA1226">
        <f>IF([2]Entry!$G$1229="","",[2]Entry!$G$1229)</f>
        <v/>
      </c>
      <c r="AB1226">
        <f>IF([2]Entry!$J$1229="","",[2]Entry!$J$1229)</f>
        <v/>
      </c>
      <c r="AC1226">
        <f>IF([2]Entry!$K$1229="","",[2]Entry!$K$1229)</f>
        <v/>
      </c>
      <c r="AD1226">
        <f>IF([2]Entry!$L$1229="","",[2]Entry!$L$1229)</f>
        <v/>
      </c>
      <c r="AE1226">
        <f>IF([2]Entry!$M$1229="","",[2]Entry!$M$1229)</f>
        <v/>
      </c>
      <c r="AF1226">
        <f>IF([2]Entry!$N$1229="","",[2]Entry!$N$1229)</f>
        <v/>
      </c>
      <c r="AJ1226">
        <f>IF([2]Entry!$S$1229="","",[2]Entry!$S$1229)</f>
        <v/>
      </c>
      <c r="AK1226">
        <f>IF([2]Entry!$C$1229="","",[2]Entry!$C$1229)</f>
        <v/>
      </c>
      <c r="AL1226">
        <f>IF([2]Entry!$D$1229="","",[2]Entry!$D$1229)</f>
        <v/>
      </c>
    </row>
    <row r="1227">
      <c r="Z1227">
        <f>IF([2]Entry!$E$1230="","",[2]Entry!$E$1230)</f>
        <v/>
      </c>
      <c r="AA1227">
        <f>IF([2]Entry!$G$1230="","",[2]Entry!$G$1230)</f>
        <v/>
      </c>
      <c r="AB1227">
        <f>IF([2]Entry!$J$1230="","",[2]Entry!$J$1230)</f>
        <v/>
      </c>
      <c r="AC1227">
        <f>IF([2]Entry!$K$1230="","",[2]Entry!$K$1230)</f>
        <v/>
      </c>
      <c r="AD1227">
        <f>IF([2]Entry!$L$1230="","",[2]Entry!$L$1230)</f>
        <v/>
      </c>
      <c r="AE1227">
        <f>IF([2]Entry!$M$1230="","",[2]Entry!$M$1230)</f>
        <v/>
      </c>
      <c r="AF1227">
        <f>IF([2]Entry!$N$1230="","",[2]Entry!$N$1230)</f>
        <v/>
      </c>
      <c r="AJ1227">
        <f>IF([2]Entry!$S$1230="","",[2]Entry!$S$1230)</f>
        <v/>
      </c>
      <c r="AK1227">
        <f>IF([2]Entry!$C$1230="","",[2]Entry!$C$1230)</f>
        <v/>
      </c>
      <c r="AL1227">
        <f>IF([2]Entry!$D$1230="","",[2]Entry!$D$1230)</f>
        <v/>
      </c>
    </row>
    <row r="1228">
      <c r="Z1228">
        <f>IF([2]Entry!$E$1231="","",[2]Entry!$E$1231)</f>
        <v/>
      </c>
      <c r="AA1228">
        <f>IF([2]Entry!$G$1231="","",[2]Entry!$G$1231)</f>
        <v/>
      </c>
      <c r="AB1228">
        <f>IF([2]Entry!$J$1231="","",[2]Entry!$J$1231)</f>
        <v/>
      </c>
      <c r="AC1228">
        <f>IF([2]Entry!$K$1231="","",[2]Entry!$K$1231)</f>
        <v/>
      </c>
      <c r="AD1228">
        <f>IF([2]Entry!$L$1231="","",[2]Entry!$L$1231)</f>
        <v/>
      </c>
      <c r="AE1228">
        <f>IF([2]Entry!$M$1231="","",[2]Entry!$M$1231)</f>
        <v/>
      </c>
      <c r="AF1228">
        <f>IF([2]Entry!$N$1231="","",[2]Entry!$N$1231)</f>
        <v/>
      </c>
      <c r="AJ1228">
        <f>IF([2]Entry!$S$1231="","",[2]Entry!$S$1231)</f>
        <v/>
      </c>
      <c r="AK1228">
        <f>IF([2]Entry!$C$1231="","",[2]Entry!$C$1231)</f>
        <v/>
      </c>
      <c r="AL1228">
        <f>IF([2]Entry!$D$1231="","",[2]Entry!$D$1231)</f>
        <v/>
      </c>
    </row>
    <row r="1229">
      <c r="Z1229">
        <f>IF([2]Entry!$E$1232="","",[2]Entry!$E$1232)</f>
        <v/>
      </c>
      <c r="AA1229">
        <f>IF([2]Entry!$G$1232="","",[2]Entry!$G$1232)</f>
        <v/>
      </c>
      <c r="AB1229">
        <f>IF([2]Entry!$J$1232="","",[2]Entry!$J$1232)</f>
        <v/>
      </c>
      <c r="AC1229">
        <f>IF([2]Entry!$K$1232="","",[2]Entry!$K$1232)</f>
        <v/>
      </c>
      <c r="AD1229">
        <f>IF([2]Entry!$L$1232="","",[2]Entry!$L$1232)</f>
        <v/>
      </c>
      <c r="AE1229">
        <f>IF([2]Entry!$M$1232="","",[2]Entry!$M$1232)</f>
        <v/>
      </c>
      <c r="AF1229">
        <f>IF([2]Entry!$N$1232="","",[2]Entry!$N$1232)</f>
        <v/>
      </c>
      <c r="AJ1229">
        <f>IF([2]Entry!$S$1232="","",[2]Entry!$S$1232)</f>
        <v/>
      </c>
      <c r="AK1229">
        <f>IF([2]Entry!$C$1232="","",[2]Entry!$C$1232)</f>
        <v/>
      </c>
      <c r="AL1229">
        <f>IF([2]Entry!$D$1232="","",[2]Entry!$D$1232)</f>
        <v/>
      </c>
    </row>
    <row r="1230">
      <c r="Z1230">
        <f>IF([2]Entry!$E$1233="","",[2]Entry!$E$1233)</f>
        <v/>
      </c>
      <c r="AA1230">
        <f>IF([2]Entry!$G$1233="","",[2]Entry!$G$1233)</f>
        <v/>
      </c>
      <c r="AB1230">
        <f>IF([2]Entry!$J$1233="","",[2]Entry!$J$1233)</f>
        <v/>
      </c>
      <c r="AC1230">
        <f>IF([2]Entry!$K$1233="","",[2]Entry!$K$1233)</f>
        <v/>
      </c>
      <c r="AD1230">
        <f>IF([2]Entry!$L$1233="","",[2]Entry!$L$1233)</f>
        <v/>
      </c>
      <c r="AE1230">
        <f>IF([2]Entry!$M$1233="","",[2]Entry!$M$1233)</f>
        <v/>
      </c>
      <c r="AF1230">
        <f>IF([2]Entry!$N$1233="","",[2]Entry!$N$1233)</f>
        <v/>
      </c>
      <c r="AJ1230">
        <f>IF([2]Entry!$S$1233="","",[2]Entry!$S$1233)</f>
        <v/>
      </c>
      <c r="AK1230">
        <f>IF([2]Entry!$C$1233="","",[2]Entry!$C$1233)</f>
        <v/>
      </c>
      <c r="AL1230">
        <f>IF([2]Entry!$D$1233="","",[2]Entry!$D$1233)</f>
        <v/>
      </c>
    </row>
    <row r="1231">
      <c r="Z1231">
        <f>IF([2]Entry!$E$1234="","",[2]Entry!$E$1234)</f>
        <v/>
      </c>
      <c r="AA1231">
        <f>IF([2]Entry!$G$1234="","",[2]Entry!$G$1234)</f>
        <v/>
      </c>
      <c r="AB1231">
        <f>IF([2]Entry!$J$1234="","",[2]Entry!$J$1234)</f>
        <v/>
      </c>
      <c r="AC1231">
        <f>IF([2]Entry!$K$1234="","",[2]Entry!$K$1234)</f>
        <v/>
      </c>
      <c r="AD1231">
        <f>IF([2]Entry!$L$1234="","",[2]Entry!$L$1234)</f>
        <v/>
      </c>
      <c r="AE1231">
        <f>IF([2]Entry!$M$1234="","",[2]Entry!$M$1234)</f>
        <v/>
      </c>
      <c r="AF1231">
        <f>IF([2]Entry!$N$1234="","",[2]Entry!$N$1234)</f>
        <v/>
      </c>
      <c r="AJ1231">
        <f>IF([2]Entry!$S$1234="","",[2]Entry!$S$1234)</f>
        <v/>
      </c>
      <c r="AK1231">
        <f>IF([2]Entry!$C$1234="","",[2]Entry!$C$1234)</f>
        <v/>
      </c>
      <c r="AL1231">
        <f>IF([2]Entry!$D$1234="","",[2]Entry!$D$1234)</f>
        <v/>
      </c>
    </row>
    <row r="1232">
      <c r="Z1232">
        <f>IF([2]Entry!$E$1235="","",[2]Entry!$E$1235)</f>
        <v/>
      </c>
      <c r="AA1232">
        <f>IF([2]Entry!$G$1235="","",[2]Entry!$G$1235)</f>
        <v/>
      </c>
      <c r="AB1232">
        <f>IF([2]Entry!$J$1235="","",[2]Entry!$J$1235)</f>
        <v/>
      </c>
      <c r="AC1232">
        <f>IF([2]Entry!$K$1235="","",[2]Entry!$K$1235)</f>
        <v/>
      </c>
      <c r="AD1232">
        <f>IF([2]Entry!$L$1235="","",[2]Entry!$L$1235)</f>
        <v/>
      </c>
      <c r="AE1232">
        <f>IF([2]Entry!$M$1235="","",[2]Entry!$M$1235)</f>
        <v/>
      </c>
      <c r="AF1232">
        <f>IF([2]Entry!$N$1235="","",[2]Entry!$N$1235)</f>
        <v/>
      </c>
      <c r="AJ1232">
        <f>IF([2]Entry!$S$1235="","",[2]Entry!$S$1235)</f>
        <v/>
      </c>
      <c r="AK1232">
        <f>IF([2]Entry!$C$1235="","",[2]Entry!$C$1235)</f>
        <v/>
      </c>
      <c r="AL1232">
        <f>IF([2]Entry!$D$1235="","",[2]Entry!$D$1235)</f>
        <v/>
      </c>
    </row>
    <row r="1233">
      <c r="Z1233">
        <f>IF([2]Entry!$E$1236="","",[2]Entry!$E$1236)</f>
        <v/>
      </c>
      <c r="AA1233">
        <f>IF([2]Entry!$G$1236="","",[2]Entry!$G$1236)</f>
        <v/>
      </c>
      <c r="AB1233">
        <f>IF([2]Entry!$J$1236="","",[2]Entry!$J$1236)</f>
        <v/>
      </c>
      <c r="AC1233">
        <f>IF([2]Entry!$K$1236="","",[2]Entry!$K$1236)</f>
        <v/>
      </c>
      <c r="AD1233">
        <f>IF([2]Entry!$L$1236="","",[2]Entry!$L$1236)</f>
        <v/>
      </c>
      <c r="AE1233">
        <f>IF([2]Entry!$M$1236="","",[2]Entry!$M$1236)</f>
        <v/>
      </c>
      <c r="AF1233">
        <f>IF([2]Entry!$N$1236="","",[2]Entry!$N$1236)</f>
        <v/>
      </c>
      <c r="AJ1233">
        <f>IF([2]Entry!$S$1236="","",[2]Entry!$S$1236)</f>
        <v/>
      </c>
      <c r="AK1233">
        <f>IF([2]Entry!$C$1236="","",[2]Entry!$C$1236)</f>
        <v/>
      </c>
      <c r="AL1233">
        <f>IF([2]Entry!$D$1236="","",[2]Entry!$D$1236)</f>
        <v/>
      </c>
    </row>
    <row r="1234">
      <c r="Z1234">
        <f>IF([2]Entry!$E$1237="","",[2]Entry!$E$1237)</f>
        <v/>
      </c>
      <c r="AA1234">
        <f>IF([2]Entry!$G$1237="","",[2]Entry!$G$1237)</f>
        <v/>
      </c>
      <c r="AB1234">
        <f>IF([2]Entry!$J$1237="","",[2]Entry!$J$1237)</f>
        <v/>
      </c>
      <c r="AC1234">
        <f>IF([2]Entry!$K$1237="","",[2]Entry!$K$1237)</f>
        <v/>
      </c>
      <c r="AD1234">
        <f>IF([2]Entry!$L$1237="","",[2]Entry!$L$1237)</f>
        <v/>
      </c>
      <c r="AE1234">
        <f>IF([2]Entry!$M$1237="","",[2]Entry!$M$1237)</f>
        <v/>
      </c>
      <c r="AF1234">
        <f>IF([2]Entry!$N$1237="","",[2]Entry!$N$1237)</f>
        <v/>
      </c>
      <c r="AJ1234">
        <f>IF([2]Entry!$S$1237="","",[2]Entry!$S$1237)</f>
        <v/>
      </c>
      <c r="AK1234">
        <f>IF([2]Entry!$C$1237="","",[2]Entry!$C$1237)</f>
        <v/>
      </c>
      <c r="AL1234">
        <f>IF([2]Entry!$D$1237="","",[2]Entry!$D$1237)</f>
        <v/>
      </c>
    </row>
    <row r="1235">
      <c r="Z1235">
        <f>IF([2]Entry!$E$1238="","",[2]Entry!$E$1238)</f>
        <v/>
      </c>
      <c r="AA1235">
        <f>IF([2]Entry!$G$1238="","",[2]Entry!$G$1238)</f>
        <v/>
      </c>
      <c r="AB1235">
        <f>IF([2]Entry!$J$1238="","",[2]Entry!$J$1238)</f>
        <v/>
      </c>
      <c r="AC1235">
        <f>IF([2]Entry!$K$1238="","",[2]Entry!$K$1238)</f>
        <v/>
      </c>
      <c r="AD1235">
        <f>IF([2]Entry!$L$1238="","",[2]Entry!$L$1238)</f>
        <v/>
      </c>
      <c r="AE1235">
        <f>IF([2]Entry!$M$1238="","",[2]Entry!$M$1238)</f>
        <v/>
      </c>
      <c r="AF1235">
        <f>IF([2]Entry!$N$1238="","",[2]Entry!$N$1238)</f>
        <v/>
      </c>
      <c r="AJ1235">
        <f>IF([2]Entry!$S$1238="","",[2]Entry!$S$1238)</f>
        <v/>
      </c>
      <c r="AK1235">
        <f>IF([2]Entry!$C$1238="","",[2]Entry!$C$1238)</f>
        <v/>
      </c>
      <c r="AL1235">
        <f>IF([2]Entry!$D$1238="","",[2]Entry!$D$1238)</f>
        <v/>
      </c>
    </row>
    <row r="1236">
      <c r="Z1236">
        <f>IF([2]Entry!$E$1239="","",[2]Entry!$E$1239)</f>
        <v/>
      </c>
      <c r="AA1236">
        <f>IF([2]Entry!$G$1239="","",[2]Entry!$G$1239)</f>
        <v/>
      </c>
      <c r="AB1236">
        <f>IF([2]Entry!$J$1239="","",[2]Entry!$J$1239)</f>
        <v/>
      </c>
      <c r="AC1236">
        <f>IF([2]Entry!$K$1239="","",[2]Entry!$K$1239)</f>
        <v/>
      </c>
      <c r="AD1236">
        <f>IF([2]Entry!$L$1239="","",[2]Entry!$L$1239)</f>
        <v/>
      </c>
      <c r="AE1236">
        <f>IF([2]Entry!$M$1239="","",[2]Entry!$M$1239)</f>
        <v/>
      </c>
      <c r="AF1236">
        <f>IF([2]Entry!$N$1239="","",[2]Entry!$N$1239)</f>
        <v/>
      </c>
      <c r="AJ1236">
        <f>IF([2]Entry!$S$1239="","",[2]Entry!$S$1239)</f>
        <v/>
      </c>
      <c r="AK1236">
        <f>IF([2]Entry!$C$1239="","",[2]Entry!$C$1239)</f>
        <v/>
      </c>
      <c r="AL1236">
        <f>IF([2]Entry!$D$1239="","",[2]Entry!$D$1239)</f>
        <v/>
      </c>
    </row>
    <row r="1237">
      <c r="Z1237">
        <f>IF([2]Entry!$E$1240="","",[2]Entry!$E$1240)</f>
        <v/>
      </c>
      <c r="AA1237">
        <f>IF([2]Entry!$G$1240="","",[2]Entry!$G$1240)</f>
        <v/>
      </c>
      <c r="AB1237">
        <f>IF([2]Entry!$J$1240="","",[2]Entry!$J$1240)</f>
        <v/>
      </c>
      <c r="AC1237">
        <f>IF([2]Entry!$K$1240="","",[2]Entry!$K$1240)</f>
        <v/>
      </c>
      <c r="AD1237">
        <f>IF([2]Entry!$L$1240="","",[2]Entry!$L$1240)</f>
        <v/>
      </c>
      <c r="AE1237">
        <f>IF([2]Entry!$M$1240="","",[2]Entry!$M$1240)</f>
        <v/>
      </c>
      <c r="AF1237">
        <f>IF([2]Entry!$N$1240="","",[2]Entry!$N$1240)</f>
        <v/>
      </c>
      <c r="AJ1237">
        <f>IF([2]Entry!$S$1240="","",[2]Entry!$S$1240)</f>
        <v/>
      </c>
      <c r="AK1237">
        <f>IF([2]Entry!$C$1240="","",[2]Entry!$C$1240)</f>
        <v/>
      </c>
      <c r="AL1237">
        <f>IF([2]Entry!$D$1240="","",[2]Entry!$D$1240)</f>
        <v/>
      </c>
    </row>
    <row r="1238">
      <c r="Z1238">
        <f>IF([2]Entry!$E$1241="","",[2]Entry!$E$1241)</f>
        <v/>
      </c>
      <c r="AA1238">
        <f>IF([2]Entry!$G$1241="","",[2]Entry!$G$1241)</f>
        <v/>
      </c>
      <c r="AB1238">
        <f>IF([2]Entry!$J$1241="","",[2]Entry!$J$1241)</f>
        <v/>
      </c>
      <c r="AC1238">
        <f>IF([2]Entry!$K$1241="","",[2]Entry!$K$1241)</f>
        <v/>
      </c>
      <c r="AD1238">
        <f>IF([2]Entry!$L$1241="","",[2]Entry!$L$1241)</f>
        <v/>
      </c>
      <c r="AE1238">
        <f>IF([2]Entry!$M$1241="","",[2]Entry!$M$1241)</f>
        <v/>
      </c>
      <c r="AF1238">
        <f>IF([2]Entry!$N$1241="","",[2]Entry!$N$1241)</f>
        <v/>
      </c>
      <c r="AJ1238">
        <f>IF([2]Entry!$S$1241="","",[2]Entry!$S$1241)</f>
        <v/>
      </c>
      <c r="AK1238">
        <f>IF([2]Entry!$C$1241="","",[2]Entry!$C$1241)</f>
        <v/>
      </c>
      <c r="AL1238">
        <f>IF([2]Entry!$D$1241="","",[2]Entry!$D$1241)</f>
        <v/>
      </c>
    </row>
    <row r="1239">
      <c r="Z1239">
        <f>IF([2]Entry!$E$1242="","",[2]Entry!$E$1242)</f>
        <v/>
      </c>
      <c r="AA1239">
        <f>IF([2]Entry!$G$1242="","",[2]Entry!$G$1242)</f>
        <v/>
      </c>
      <c r="AB1239">
        <f>IF([2]Entry!$J$1242="","",[2]Entry!$J$1242)</f>
        <v/>
      </c>
      <c r="AC1239">
        <f>IF([2]Entry!$K$1242="","",[2]Entry!$K$1242)</f>
        <v/>
      </c>
      <c r="AD1239">
        <f>IF([2]Entry!$L$1242="","",[2]Entry!$L$1242)</f>
        <v/>
      </c>
      <c r="AE1239">
        <f>IF([2]Entry!$M$1242="","",[2]Entry!$M$1242)</f>
        <v/>
      </c>
      <c r="AF1239">
        <f>IF([2]Entry!$N$1242="","",[2]Entry!$N$1242)</f>
        <v/>
      </c>
      <c r="AJ1239">
        <f>IF([2]Entry!$S$1242="","",[2]Entry!$S$1242)</f>
        <v/>
      </c>
      <c r="AK1239">
        <f>IF([2]Entry!$C$1242="","",[2]Entry!$C$1242)</f>
        <v/>
      </c>
      <c r="AL1239">
        <f>IF([2]Entry!$D$1242="","",[2]Entry!$D$1242)</f>
        <v/>
      </c>
    </row>
    <row r="1240">
      <c r="Z1240">
        <f>IF([2]Entry!$E$1243="","",[2]Entry!$E$1243)</f>
        <v/>
      </c>
      <c r="AA1240">
        <f>IF([2]Entry!$G$1243="","",[2]Entry!$G$1243)</f>
        <v/>
      </c>
      <c r="AB1240">
        <f>IF([2]Entry!$J$1243="","",[2]Entry!$J$1243)</f>
        <v/>
      </c>
      <c r="AC1240">
        <f>IF([2]Entry!$K$1243="","",[2]Entry!$K$1243)</f>
        <v/>
      </c>
      <c r="AD1240">
        <f>IF([2]Entry!$L$1243="","",[2]Entry!$L$1243)</f>
        <v/>
      </c>
      <c r="AE1240">
        <f>IF([2]Entry!$M$1243="","",[2]Entry!$M$1243)</f>
        <v/>
      </c>
      <c r="AF1240">
        <f>IF([2]Entry!$N$1243="","",[2]Entry!$N$1243)</f>
        <v/>
      </c>
      <c r="AJ1240">
        <f>IF([2]Entry!$S$1243="","",[2]Entry!$S$1243)</f>
        <v/>
      </c>
      <c r="AK1240">
        <f>IF([2]Entry!$C$1243="","",[2]Entry!$C$1243)</f>
        <v/>
      </c>
      <c r="AL1240">
        <f>IF([2]Entry!$D$1243="","",[2]Entry!$D$1243)</f>
        <v/>
      </c>
    </row>
    <row r="1241">
      <c r="Z1241">
        <f>IF([2]Entry!$E$1244="","",[2]Entry!$E$1244)</f>
        <v/>
      </c>
      <c r="AA1241">
        <f>IF([2]Entry!$G$1244="","",[2]Entry!$G$1244)</f>
        <v/>
      </c>
      <c r="AB1241">
        <f>IF([2]Entry!$J$1244="","",[2]Entry!$J$1244)</f>
        <v/>
      </c>
      <c r="AC1241">
        <f>IF([2]Entry!$K$1244="","",[2]Entry!$K$1244)</f>
        <v/>
      </c>
      <c r="AD1241">
        <f>IF([2]Entry!$L$1244="","",[2]Entry!$L$1244)</f>
        <v/>
      </c>
      <c r="AE1241">
        <f>IF([2]Entry!$M$1244="","",[2]Entry!$M$1244)</f>
        <v/>
      </c>
      <c r="AF1241">
        <f>IF([2]Entry!$N$1244="","",[2]Entry!$N$1244)</f>
        <v/>
      </c>
      <c r="AJ1241">
        <f>IF([2]Entry!$S$1244="","",[2]Entry!$S$1244)</f>
        <v/>
      </c>
      <c r="AK1241">
        <f>IF([2]Entry!$C$1244="","",[2]Entry!$C$1244)</f>
        <v/>
      </c>
      <c r="AL1241">
        <f>IF([2]Entry!$D$1244="","",[2]Entry!$D$1244)</f>
        <v/>
      </c>
    </row>
    <row r="1242">
      <c r="Z1242">
        <f>IF([2]Entry!$E$1245="","",[2]Entry!$E$1245)</f>
        <v/>
      </c>
      <c r="AA1242">
        <f>IF([2]Entry!$G$1245="","",[2]Entry!$G$1245)</f>
        <v/>
      </c>
      <c r="AB1242">
        <f>IF([2]Entry!$J$1245="","",[2]Entry!$J$1245)</f>
        <v/>
      </c>
      <c r="AC1242">
        <f>IF([2]Entry!$K$1245="","",[2]Entry!$K$1245)</f>
        <v/>
      </c>
      <c r="AD1242">
        <f>IF([2]Entry!$L$1245="","",[2]Entry!$L$1245)</f>
        <v/>
      </c>
      <c r="AE1242">
        <f>IF([2]Entry!$M$1245="","",[2]Entry!$M$1245)</f>
        <v/>
      </c>
      <c r="AF1242">
        <f>IF([2]Entry!$N$1245="","",[2]Entry!$N$1245)</f>
        <v/>
      </c>
      <c r="AJ1242">
        <f>IF([2]Entry!$S$1245="","",[2]Entry!$S$1245)</f>
        <v/>
      </c>
      <c r="AK1242">
        <f>IF([2]Entry!$C$1245="","",[2]Entry!$C$1245)</f>
        <v/>
      </c>
      <c r="AL1242">
        <f>IF([2]Entry!$D$1245="","",[2]Entry!$D$1245)</f>
        <v/>
      </c>
    </row>
    <row r="1243">
      <c r="Z1243">
        <f>IF([2]Entry!$E$1246="","",[2]Entry!$E$1246)</f>
        <v/>
      </c>
      <c r="AA1243">
        <f>IF([2]Entry!$G$1246="","",[2]Entry!$G$1246)</f>
        <v/>
      </c>
      <c r="AB1243">
        <f>IF([2]Entry!$J$1246="","",[2]Entry!$J$1246)</f>
        <v/>
      </c>
      <c r="AC1243">
        <f>IF([2]Entry!$K$1246="","",[2]Entry!$K$1246)</f>
        <v/>
      </c>
      <c r="AD1243">
        <f>IF([2]Entry!$L$1246="","",[2]Entry!$L$1246)</f>
        <v/>
      </c>
      <c r="AE1243">
        <f>IF([2]Entry!$M$1246="","",[2]Entry!$M$1246)</f>
        <v/>
      </c>
      <c r="AF1243">
        <f>IF([2]Entry!$N$1246="","",[2]Entry!$N$1246)</f>
        <v/>
      </c>
      <c r="AJ1243">
        <f>IF([2]Entry!$S$1246="","",[2]Entry!$S$1246)</f>
        <v/>
      </c>
      <c r="AK1243">
        <f>IF([2]Entry!$C$1246="","",[2]Entry!$C$1246)</f>
        <v/>
      </c>
      <c r="AL1243">
        <f>IF([2]Entry!$D$1246="","",[2]Entry!$D$1246)</f>
        <v/>
      </c>
    </row>
    <row r="1244">
      <c r="Z1244">
        <f>IF([2]Entry!$E$1247="","",[2]Entry!$E$1247)</f>
        <v/>
      </c>
      <c r="AA1244">
        <f>IF([2]Entry!$G$1247="","",[2]Entry!$G$1247)</f>
        <v/>
      </c>
      <c r="AB1244">
        <f>IF([2]Entry!$J$1247="","",[2]Entry!$J$1247)</f>
        <v/>
      </c>
      <c r="AC1244">
        <f>IF([2]Entry!$K$1247="","",[2]Entry!$K$1247)</f>
        <v/>
      </c>
      <c r="AD1244">
        <f>IF([2]Entry!$L$1247="","",[2]Entry!$L$1247)</f>
        <v/>
      </c>
      <c r="AE1244">
        <f>IF([2]Entry!$M$1247="","",[2]Entry!$M$1247)</f>
        <v/>
      </c>
      <c r="AF1244">
        <f>IF([2]Entry!$N$1247="","",[2]Entry!$N$1247)</f>
        <v/>
      </c>
      <c r="AJ1244">
        <f>IF([2]Entry!$S$1247="","",[2]Entry!$S$1247)</f>
        <v/>
      </c>
      <c r="AK1244">
        <f>IF([2]Entry!$C$1247="","",[2]Entry!$C$1247)</f>
        <v/>
      </c>
      <c r="AL1244">
        <f>IF([2]Entry!$D$1247="","",[2]Entry!$D$1247)</f>
        <v/>
      </c>
    </row>
    <row r="1245">
      <c r="Z1245">
        <f>IF([2]Entry!$E$1248="","",[2]Entry!$E$1248)</f>
        <v/>
      </c>
      <c r="AA1245">
        <f>IF([2]Entry!$G$1248="","",[2]Entry!$G$1248)</f>
        <v/>
      </c>
      <c r="AB1245">
        <f>IF([2]Entry!$J$1248="","",[2]Entry!$J$1248)</f>
        <v/>
      </c>
      <c r="AC1245">
        <f>IF([2]Entry!$K$1248="","",[2]Entry!$K$1248)</f>
        <v/>
      </c>
      <c r="AD1245">
        <f>IF([2]Entry!$L$1248="","",[2]Entry!$L$1248)</f>
        <v/>
      </c>
      <c r="AE1245">
        <f>IF([2]Entry!$M$1248="","",[2]Entry!$M$1248)</f>
        <v/>
      </c>
      <c r="AF1245">
        <f>IF([2]Entry!$N$1248="","",[2]Entry!$N$1248)</f>
        <v/>
      </c>
      <c r="AJ1245">
        <f>IF([2]Entry!$S$1248="","",[2]Entry!$S$1248)</f>
        <v/>
      </c>
      <c r="AK1245">
        <f>IF([2]Entry!$C$1248="","",[2]Entry!$C$1248)</f>
        <v/>
      </c>
      <c r="AL1245">
        <f>IF([2]Entry!$D$1248="","",[2]Entry!$D$1248)</f>
        <v/>
      </c>
    </row>
    <row r="1246">
      <c r="Z1246">
        <f>IF([2]Entry!$E$1249="","",[2]Entry!$E$1249)</f>
        <v/>
      </c>
      <c r="AA1246">
        <f>IF([2]Entry!$G$1249="","",[2]Entry!$G$1249)</f>
        <v/>
      </c>
      <c r="AB1246">
        <f>IF([2]Entry!$J$1249="","",[2]Entry!$J$1249)</f>
        <v/>
      </c>
      <c r="AC1246">
        <f>IF([2]Entry!$K$1249="","",[2]Entry!$K$1249)</f>
        <v/>
      </c>
      <c r="AD1246">
        <f>IF([2]Entry!$L$1249="","",[2]Entry!$L$1249)</f>
        <v/>
      </c>
      <c r="AE1246">
        <f>IF([2]Entry!$M$1249="","",[2]Entry!$M$1249)</f>
        <v/>
      </c>
      <c r="AF1246">
        <f>IF([2]Entry!$N$1249="","",[2]Entry!$N$1249)</f>
        <v/>
      </c>
      <c r="AJ1246">
        <f>IF([2]Entry!$S$1249="","",[2]Entry!$S$1249)</f>
        <v/>
      </c>
      <c r="AK1246">
        <f>IF([2]Entry!$C$1249="","",[2]Entry!$C$1249)</f>
        <v/>
      </c>
      <c r="AL1246">
        <f>IF([2]Entry!$D$1249="","",[2]Entry!$D$1249)</f>
        <v/>
      </c>
    </row>
    <row r="1247">
      <c r="Z1247">
        <f>IF([2]Entry!$E$1250="","",[2]Entry!$E$1250)</f>
        <v/>
      </c>
      <c r="AA1247">
        <f>IF([2]Entry!$G$1250="","",[2]Entry!$G$1250)</f>
        <v/>
      </c>
      <c r="AB1247">
        <f>IF([2]Entry!$J$1250="","",[2]Entry!$J$1250)</f>
        <v/>
      </c>
      <c r="AC1247">
        <f>IF([2]Entry!$K$1250="","",[2]Entry!$K$1250)</f>
        <v/>
      </c>
      <c r="AD1247">
        <f>IF([2]Entry!$L$1250="","",[2]Entry!$L$1250)</f>
        <v/>
      </c>
      <c r="AE1247">
        <f>IF([2]Entry!$M$1250="","",[2]Entry!$M$1250)</f>
        <v/>
      </c>
      <c r="AF1247">
        <f>IF([2]Entry!$N$1250="","",[2]Entry!$N$1250)</f>
        <v/>
      </c>
      <c r="AJ1247">
        <f>IF([2]Entry!$S$1250="","",[2]Entry!$S$1250)</f>
        <v/>
      </c>
      <c r="AK1247">
        <f>IF([2]Entry!$C$1250="","",[2]Entry!$C$1250)</f>
        <v/>
      </c>
      <c r="AL1247">
        <f>IF([2]Entry!$D$1250="","",[2]Entry!$D$1250)</f>
        <v/>
      </c>
    </row>
    <row r="1248">
      <c r="Z1248">
        <f>IF([2]Entry!$E$1251="","",[2]Entry!$E$1251)</f>
        <v/>
      </c>
      <c r="AA1248">
        <f>IF([2]Entry!$G$1251="","",[2]Entry!$G$1251)</f>
        <v/>
      </c>
      <c r="AB1248">
        <f>IF([2]Entry!$J$1251="","",[2]Entry!$J$1251)</f>
        <v/>
      </c>
      <c r="AC1248">
        <f>IF([2]Entry!$K$1251="","",[2]Entry!$K$1251)</f>
        <v/>
      </c>
      <c r="AD1248">
        <f>IF([2]Entry!$L$1251="","",[2]Entry!$L$1251)</f>
        <v/>
      </c>
      <c r="AE1248">
        <f>IF([2]Entry!$M$1251="","",[2]Entry!$M$1251)</f>
        <v/>
      </c>
      <c r="AF1248">
        <f>IF([2]Entry!$N$1251="","",[2]Entry!$N$1251)</f>
        <v/>
      </c>
      <c r="AJ1248">
        <f>IF([2]Entry!$S$1251="","",[2]Entry!$S$1251)</f>
        <v/>
      </c>
      <c r="AK1248">
        <f>IF([2]Entry!$C$1251="","",[2]Entry!$C$1251)</f>
        <v/>
      </c>
      <c r="AL1248">
        <f>IF([2]Entry!$D$1251="","",[2]Entry!$D$1251)</f>
        <v/>
      </c>
    </row>
    <row r="1249">
      <c r="Z1249">
        <f>IF([2]Entry!$E$1252="","",[2]Entry!$E$1252)</f>
        <v/>
      </c>
      <c r="AA1249">
        <f>IF([2]Entry!$G$1252="","",[2]Entry!$G$1252)</f>
        <v/>
      </c>
      <c r="AB1249">
        <f>IF([2]Entry!$J$1252="","",[2]Entry!$J$1252)</f>
        <v/>
      </c>
      <c r="AC1249">
        <f>IF([2]Entry!$K$1252="","",[2]Entry!$K$1252)</f>
        <v/>
      </c>
      <c r="AD1249">
        <f>IF([2]Entry!$L$1252="","",[2]Entry!$L$1252)</f>
        <v/>
      </c>
      <c r="AE1249">
        <f>IF([2]Entry!$M$1252="","",[2]Entry!$M$1252)</f>
        <v/>
      </c>
      <c r="AF1249">
        <f>IF([2]Entry!$N$1252="","",[2]Entry!$N$1252)</f>
        <v/>
      </c>
      <c r="AJ1249">
        <f>IF([2]Entry!$S$1252="","",[2]Entry!$S$1252)</f>
        <v/>
      </c>
      <c r="AK1249">
        <f>IF([2]Entry!$C$1252="","",[2]Entry!$C$1252)</f>
        <v/>
      </c>
      <c r="AL1249">
        <f>IF([2]Entry!$D$1252="","",[2]Entry!$D$1252)</f>
        <v/>
      </c>
    </row>
    <row r="1250">
      <c r="Z1250">
        <f>IF([2]Entry!$E$1253="","",[2]Entry!$E$1253)</f>
        <v/>
      </c>
      <c r="AA1250">
        <f>IF([2]Entry!$G$1253="","",[2]Entry!$G$1253)</f>
        <v/>
      </c>
      <c r="AB1250">
        <f>IF([2]Entry!$J$1253="","",[2]Entry!$J$1253)</f>
        <v/>
      </c>
      <c r="AC1250">
        <f>IF([2]Entry!$K$1253="","",[2]Entry!$K$1253)</f>
        <v/>
      </c>
      <c r="AD1250">
        <f>IF([2]Entry!$L$1253="","",[2]Entry!$L$1253)</f>
        <v/>
      </c>
      <c r="AE1250">
        <f>IF([2]Entry!$M$1253="","",[2]Entry!$M$1253)</f>
        <v/>
      </c>
      <c r="AF1250">
        <f>IF([2]Entry!$N$1253="","",[2]Entry!$N$1253)</f>
        <v/>
      </c>
      <c r="AJ1250">
        <f>IF([2]Entry!$S$1253="","",[2]Entry!$S$1253)</f>
        <v/>
      </c>
      <c r="AK1250">
        <f>IF([2]Entry!$C$1253="","",[2]Entry!$C$1253)</f>
        <v/>
      </c>
      <c r="AL1250">
        <f>IF([2]Entry!$D$1253="","",[2]Entry!$D$1253)</f>
        <v/>
      </c>
    </row>
    <row r="1251">
      <c r="Z1251">
        <f>IF([2]Entry!$E$1254="","",[2]Entry!$E$1254)</f>
        <v/>
      </c>
      <c r="AA1251">
        <f>IF([2]Entry!$G$1254="","",[2]Entry!$G$1254)</f>
        <v/>
      </c>
      <c r="AB1251">
        <f>IF([2]Entry!$J$1254="","",[2]Entry!$J$1254)</f>
        <v/>
      </c>
      <c r="AC1251">
        <f>IF([2]Entry!$K$1254="","",[2]Entry!$K$1254)</f>
        <v/>
      </c>
      <c r="AD1251">
        <f>IF([2]Entry!$L$1254="","",[2]Entry!$L$1254)</f>
        <v/>
      </c>
      <c r="AE1251">
        <f>IF([2]Entry!$M$1254="","",[2]Entry!$M$1254)</f>
        <v/>
      </c>
      <c r="AF1251">
        <f>IF([2]Entry!$N$1254="","",[2]Entry!$N$1254)</f>
        <v/>
      </c>
      <c r="AJ1251">
        <f>IF([2]Entry!$S$1254="","",[2]Entry!$S$1254)</f>
        <v/>
      </c>
      <c r="AK1251">
        <f>IF([2]Entry!$C$1254="","",[2]Entry!$C$1254)</f>
        <v/>
      </c>
      <c r="AL1251">
        <f>IF([2]Entry!$D$1254="","",[2]Entry!$D$1254)</f>
        <v/>
      </c>
    </row>
    <row r="1252">
      <c r="Z1252">
        <f>IF([2]Entry!$E$1255="","",[2]Entry!$E$1255)</f>
        <v/>
      </c>
      <c r="AA1252">
        <f>IF([2]Entry!$G$1255="","",[2]Entry!$G$1255)</f>
        <v/>
      </c>
      <c r="AB1252">
        <f>IF([2]Entry!$J$1255="","",[2]Entry!$J$1255)</f>
        <v/>
      </c>
      <c r="AC1252">
        <f>IF([2]Entry!$K$1255="","",[2]Entry!$K$1255)</f>
        <v/>
      </c>
      <c r="AD1252">
        <f>IF([2]Entry!$L$1255="","",[2]Entry!$L$1255)</f>
        <v/>
      </c>
      <c r="AE1252">
        <f>IF([2]Entry!$M$1255="","",[2]Entry!$M$1255)</f>
        <v/>
      </c>
      <c r="AF1252">
        <f>IF([2]Entry!$N$1255="","",[2]Entry!$N$1255)</f>
        <v/>
      </c>
      <c r="AJ1252">
        <f>IF([2]Entry!$S$1255="","",[2]Entry!$S$1255)</f>
        <v/>
      </c>
      <c r="AK1252">
        <f>IF([2]Entry!$C$1255="","",[2]Entry!$C$1255)</f>
        <v/>
      </c>
      <c r="AL1252">
        <f>IF([2]Entry!$D$1255="","",[2]Entry!$D$1255)</f>
        <v/>
      </c>
    </row>
    <row r="1253">
      <c r="Z1253">
        <f>IF([2]Entry!$E$1256="","",[2]Entry!$E$1256)</f>
        <v/>
      </c>
      <c r="AA1253">
        <f>IF([2]Entry!$G$1256="","",[2]Entry!$G$1256)</f>
        <v/>
      </c>
      <c r="AB1253">
        <f>IF([2]Entry!$J$1256="","",[2]Entry!$J$1256)</f>
        <v/>
      </c>
      <c r="AC1253">
        <f>IF([2]Entry!$K$1256="","",[2]Entry!$K$1256)</f>
        <v/>
      </c>
      <c r="AD1253">
        <f>IF([2]Entry!$L$1256="","",[2]Entry!$L$1256)</f>
        <v/>
      </c>
      <c r="AE1253">
        <f>IF([2]Entry!$M$1256="","",[2]Entry!$M$1256)</f>
        <v/>
      </c>
      <c r="AF1253">
        <f>IF([2]Entry!$N$1256="","",[2]Entry!$N$1256)</f>
        <v/>
      </c>
      <c r="AJ1253">
        <f>IF([2]Entry!$S$1256="","",[2]Entry!$S$1256)</f>
        <v/>
      </c>
      <c r="AK1253">
        <f>IF([2]Entry!$C$1256="","",[2]Entry!$C$1256)</f>
        <v/>
      </c>
      <c r="AL1253">
        <f>IF([2]Entry!$D$1256="","",[2]Entry!$D$1256)</f>
        <v/>
      </c>
    </row>
    <row r="1254">
      <c r="Z1254">
        <f>IF([2]Entry!$E$1257="","",[2]Entry!$E$1257)</f>
        <v/>
      </c>
      <c r="AA1254">
        <f>IF([2]Entry!$G$1257="","",[2]Entry!$G$1257)</f>
        <v/>
      </c>
      <c r="AB1254">
        <f>IF([2]Entry!$J$1257="","",[2]Entry!$J$1257)</f>
        <v/>
      </c>
      <c r="AC1254">
        <f>IF([2]Entry!$K$1257="","",[2]Entry!$K$1257)</f>
        <v/>
      </c>
      <c r="AD1254">
        <f>IF([2]Entry!$L$1257="","",[2]Entry!$L$1257)</f>
        <v/>
      </c>
      <c r="AE1254">
        <f>IF([2]Entry!$M$1257="","",[2]Entry!$M$1257)</f>
        <v/>
      </c>
      <c r="AF1254">
        <f>IF([2]Entry!$N$1257="","",[2]Entry!$N$1257)</f>
        <v/>
      </c>
      <c r="AJ1254">
        <f>IF([2]Entry!$S$1257="","",[2]Entry!$S$1257)</f>
        <v/>
      </c>
      <c r="AK1254">
        <f>IF([2]Entry!$C$1257="","",[2]Entry!$C$1257)</f>
        <v/>
      </c>
      <c r="AL1254">
        <f>IF([2]Entry!$D$1257="","",[2]Entry!$D$1257)</f>
        <v/>
      </c>
    </row>
    <row r="1255">
      <c r="Z1255">
        <f>IF([2]Entry!$E$1258="","",[2]Entry!$E$1258)</f>
        <v/>
      </c>
      <c r="AA1255">
        <f>IF([2]Entry!$G$1258="","",[2]Entry!$G$1258)</f>
        <v/>
      </c>
      <c r="AB1255">
        <f>IF([2]Entry!$J$1258="","",[2]Entry!$J$1258)</f>
        <v/>
      </c>
      <c r="AC1255">
        <f>IF([2]Entry!$K$1258="","",[2]Entry!$K$1258)</f>
        <v/>
      </c>
      <c r="AD1255">
        <f>IF([2]Entry!$L$1258="","",[2]Entry!$L$1258)</f>
        <v/>
      </c>
      <c r="AE1255">
        <f>IF([2]Entry!$M$1258="","",[2]Entry!$M$1258)</f>
        <v/>
      </c>
      <c r="AF1255">
        <f>IF([2]Entry!$N$1258="","",[2]Entry!$N$1258)</f>
        <v/>
      </c>
      <c r="AJ1255">
        <f>IF([2]Entry!$S$1258="","",[2]Entry!$S$1258)</f>
        <v/>
      </c>
      <c r="AK1255">
        <f>IF([2]Entry!$C$1258="","",[2]Entry!$C$1258)</f>
        <v/>
      </c>
      <c r="AL1255">
        <f>IF([2]Entry!$D$1258="","",[2]Entry!$D$1258)</f>
        <v/>
      </c>
    </row>
    <row r="1256">
      <c r="Z1256">
        <f>IF([2]Entry!$E$1259="","",[2]Entry!$E$1259)</f>
        <v/>
      </c>
      <c r="AA1256">
        <f>IF([2]Entry!$G$1259="","",[2]Entry!$G$1259)</f>
        <v/>
      </c>
      <c r="AB1256">
        <f>IF([2]Entry!$J$1259="","",[2]Entry!$J$1259)</f>
        <v/>
      </c>
      <c r="AC1256">
        <f>IF([2]Entry!$K$1259="","",[2]Entry!$K$1259)</f>
        <v/>
      </c>
      <c r="AD1256">
        <f>IF([2]Entry!$L$1259="","",[2]Entry!$L$1259)</f>
        <v/>
      </c>
      <c r="AE1256">
        <f>IF([2]Entry!$M$1259="","",[2]Entry!$M$1259)</f>
        <v/>
      </c>
      <c r="AF1256">
        <f>IF([2]Entry!$N$1259="","",[2]Entry!$N$1259)</f>
        <v/>
      </c>
      <c r="AJ1256">
        <f>IF([2]Entry!$S$1259="","",[2]Entry!$S$1259)</f>
        <v/>
      </c>
      <c r="AK1256">
        <f>IF([2]Entry!$C$1259="","",[2]Entry!$C$1259)</f>
        <v/>
      </c>
      <c r="AL1256">
        <f>IF([2]Entry!$D$1259="","",[2]Entry!$D$1259)</f>
        <v/>
      </c>
    </row>
    <row r="1257">
      <c r="Z1257">
        <f>IF([2]Entry!$E$1260="","",[2]Entry!$E$1260)</f>
        <v/>
      </c>
      <c r="AA1257">
        <f>IF([2]Entry!$G$1260="","",[2]Entry!$G$1260)</f>
        <v/>
      </c>
      <c r="AB1257">
        <f>IF([2]Entry!$J$1260="","",[2]Entry!$J$1260)</f>
        <v/>
      </c>
      <c r="AC1257">
        <f>IF([2]Entry!$K$1260="","",[2]Entry!$K$1260)</f>
        <v/>
      </c>
      <c r="AD1257">
        <f>IF([2]Entry!$L$1260="","",[2]Entry!$L$1260)</f>
        <v/>
      </c>
      <c r="AE1257">
        <f>IF([2]Entry!$M$1260="","",[2]Entry!$M$1260)</f>
        <v/>
      </c>
      <c r="AF1257">
        <f>IF([2]Entry!$N$1260="","",[2]Entry!$N$1260)</f>
        <v/>
      </c>
      <c r="AJ1257">
        <f>IF([2]Entry!$S$1260="","",[2]Entry!$S$1260)</f>
        <v/>
      </c>
      <c r="AK1257">
        <f>IF([2]Entry!$C$1260="","",[2]Entry!$C$1260)</f>
        <v/>
      </c>
      <c r="AL1257">
        <f>IF([2]Entry!$D$1260="","",[2]Entry!$D$1260)</f>
        <v/>
      </c>
    </row>
    <row r="1258">
      <c r="Z1258">
        <f>IF([2]Entry!$E$1261="","",[2]Entry!$E$1261)</f>
        <v/>
      </c>
      <c r="AA1258">
        <f>IF([2]Entry!$G$1261="","",[2]Entry!$G$1261)</f>
        <v/>
      </c>
      <c r="AB1258">
        <f>IF([2]Entry!$J$1261="","",[2]Entry!$J$1261)</f>
        <v/>
      </c>
      <c r="AC1258">
        <f>IF([2]Entry!$K$1261="","",[2]Entry!$K$1261)</f>
        <v/>
      </c>
      <c r="AD1258">
        <f>IF([2]Entry!$L$1261="","",[2]Entry!$L$1261)</f>
        <v/>
      </c>
      <c r="AE1258">
        <f>IF([2]Entry!$M$1261="","",[2]Entry!$M$1261)</f>
        <v/>
      </c>
      <c r="AF1258">
        <f>IF([2]Entry!$N$1261="","",[2]Entry!$N$1261)</f>
        <v/>
      </c>
      <c r="AJ1258">
        <f>IF([2]Entry!$S$1261="","",[2]Entry!$S$1261)</f>
        <v/>
      </c>
      <c r="AK1258">
        <f>IF([2]Entry!$C$1261="","",[2]Entry!$C$1261)</f>
        <v/>
      </c>
      <c r="AL1258">
        <f>IF([2]Entry!$D$1261="","",[2]Entry!$D$1261)</f>
        <v/>
      </c>
    </row>
    <row r="1259">
      <c r="Z1259">
        <f>IF([2]Entry!$E$1262="","",[2]Entry!$E$1262)</f>
        <v/>
      </c>
      <c r="AA1259">
        <f>IF([2]Entry!$G$1262="","",[2]Entry!$G$1262)</f>
        <v/>
      </c>
      <c r="AB1259">
        <f>IF([2]Entry!$J$1262="","",[2]Entry!$J$1262)</f>
        <v/>
      </c>
      <c r="AC1259">
        <f>IF([2]Entry!$K$1262="","",[2]Entry!$K$1262)</f>
        <v/>
      </c>
      <c r="AD1259">
        <f>IF([2]Entry!$L$1262="","",[2]Entry!$L$1262)</f>
        <v/>
      </c>
      <c r="AE1259">
        <f>IF([2]Entry!$M$1262="","",[2]Entry!$M$1262)</f>
        <v/>
      </c>
      <c r="AF1259">
        <f>IF([2]Entry!$N$1262="","",[2]Entry!$N$1262)</f>
        <v/>
      </c>
      <c r="AJ1259">
        <f>IF([2]Entry!$S$1262="","",[2]Entry!$S$1262)</f>
        <v/>
      </c>
      <c r="AK1259">
        <f>IF([2]Entry!$C$1262="","",[2]Entry!$C$1262)</f>
        <v/>
      </c>
      <c r="AL1259">
        <f>IF([2]Entry!$D$1262="","",[2]Entry!$D$1262)</f>
        <v/>
      </c>
    </row>
    <row r="1260">
      <c r="Z1260">
        <f>IF([2]Entry!$E$1263="","",[2]Entry!$E$1263)</f>
        <v/>
      </c>
      <c r="AA1260">
        <f>IF([2]Entry!$G$1263="","",[2]Entry!$G$1263)</f>
        <v/>
      </c>
      <c r="AB1260">
        <f>IF([2]Entry!$J$1263="","",[2]Entry!$J$1263)</f>
        <v/>
      </c>
      <c r="AC1260">
        <f>IF([2]Entry!$K$1263="","",[2]Entry!$K$1263)</f>
        <v/>
      </c>
      <c r="AD1260">
        <f>IF([2]Entry!$L$1263="","",[2]Entry!$L$1263)</f>
        <v/>
      </c>
      <c r="AE1260">
        <f>IF([2]Entry!$M$1263="","",[2]Entry!$M$1263)</f>
        <v/>
      </c>
      <c r="AF1260">
        <f>IF([2]Entry!$N$1263="","",[2]Entry!$N$1263)</f>
        <v/>
      </c>
      <c r="AJ1260">
        <f>IF([2]Entry!$S$1263="","",[2]Entry!$S$1263)</f>
        <v/>
      </c>
      <c r="AK1260">
        <f>IF([2]Entry!$C$1263="","",[2]Entry!$C$1263)</f>
        <v/>
      </c>
      <c r="AL1260">
        <f>IF([2]Entry!$D$1263="","",[2]Entry!$D$1263)</f>
        <v/>
      </c>
    </row>
    <row r="1261">
      <c r="Z1261">
        <f>IF([2]Entry!$E$1264="","",[2]Entry!$E$1264)</f>
        <v/>
      </c>
      <c r="AA1261">
        <f>IF([2]Entry!$G$1264="","",[2]Entry!$G$1264)</f>
        <v/>
      </c>
      <c r="AB1261">
        <f>IF([2]Entry!$J$1264="","",[2]Entry!$J$1264)</f>
        <v/>
      </c>
      <c r="AC1261">
        <f>IF([2]Entry!$K$1264="","",[2]Entry!$K$1264)</f>
        <v/>
      </c>
      <c r="AD1261">
        <f>IF([2]Entry!$L$1264="","",[2]Entry!$L$1264)</f>
        <v/>
      </c>
      <c r="AE1261">
        <f>IF([2]Entry!$M$1264="","",[2]Entry!$M$1264)</f>
        <v/>
      </c>
      <c r="AF1261">
        <f>IF([2]Entry!$N$1264="","",[2]Entry!$N$1264)</f>
        <v/>
      </c>
      <c r="AJ1261">
        <f>IF([2]Entry!$S$1264="","",[2]Entry!$S$1264)</f>
        <v/>
      </c>
      <c r="AK1261">
        <f>IF([2]Entry!$C$1264="","",[2]Entry!$C$1264)</f>
        <v/>
      </c>
      <c r="AL1261">
        <f>IF([2]Entry!$D$1264="","",[2]Entry!$D$1264)</f>
        <v/>
      </c>
    </row>
    <row r="1262">
      <c r="Z1262">
        <f>IF([2]Entry!$E$1265="","",[2]Entry!$E$1265)</f>
        <v/>
      </c>
      <c r="AA1262">
        <f>IF([2]Entry!$G$1265="","",[2]Entry!$G$1265)</f>
        <v/>
      </c>
      <c r="AB1262">
        <f>IF([2]Entry!$J$1265="","",[2]Entry!$J$1265)</f>
        <v/>
      </c>
      <c r="AC1262">
        <f>IF([2]Entry!$K$1265="","",[2]Entry!$K$1265)</f>
        <v/>
      </c>
      <c r="AD1262">
        <f>IF([2]Entry!$L$1265="","",[2]Entry!$L$1265)</f>
        <v/>
      </c>
      <c r="AE1262">
        <f>IF([2]Entry!$M$1265="","",[2]Entry!$M$1265)</f>
        <v/>
      </c>
      <c r="AF1262">
        <f>IF([2]Entry!$N$1265="","",[2]Entry!$N$1265)</f>
        <v/>
      </c>
      <c r="AJ1262">
        <f>IF([2]Entry!$S$1265="","",[2]Entry!$S$1265)</f>
        <v/>
      </c>
      <c r="AK1262">
        <f>IF([2]Entry!$C$1265="","",[2]Entry!$C$1265)</f>
        <v/>
      </c>
      <c r="AL1262">
        <f>IF([2]Entry!$D$1265="","",[2]Entry!$D$1265)</f>
        <v/>
      </c>
    </row>
    <row r="1263">
      <c r="Z1263">
        <f>IF([2]Entry!$E$1266="","",[2]Entry!$E$1266)</f>
        <v/>
      </c>
      <c r="AA1263">
        <f>IF([2]Entry!$G$1266="","",[2]Entry!$G$1266)</f>
        <v/>
      </c>
      <c r="AB1263">
        <f>IF([2]Entry!$J$1266="","",[2]Entry!$J$1266)</f>
        <v/>
      </c>
      <c r="AC1263">
        <f>IF([2]Entry!$K$1266="","",[2]Entry!$K$1266)</f>
        <v/>
      </c>
      <c r="AD1263">
        <f>IF([2]Entry!$L$1266="","",[2]Entry!$L$1266)</f>
        <v/>
      </c>
      <c r="AE1263">
        <f>IF([2]Entry!$M$1266="","",[2]Entry!$M$1266)</f>
        <v/>
      </c>
      <c r="AF1263">
        <f>IF([2]Entry!$N$1266="","",[2]Entry!$N$1266)</f>
        <v/>
      </c>
      <c r="AJ1263">
        <f>IF([2]Entry!$S$1266="","",[2]Entry!$S$1266)</f>
        <v/>
      </c>
      <c r="AK1263">
        <f>IF([2]Entry!$C$1266="","",[2]Entry!$C$1266)</f>
        <v/>
      </c>
      <c r="AL1263">
        <f>IF([2]Entry!$D$1266="","",[2]Entry!$D$1266)</f>
        <v/>
      </c>
    </row>
    <row r="1264">
      <c r="Z1264">
        <f>IF([2]Entry!$E$1267="","",[2]Entry!$E$1267)</f>
        <v/>
      </c>
      <c r="AA1264">
        <f>IF([2]Entry!$G$1267="","",[2]Entry!$G$1267)</f>
        <v/>
      </c>
      <c r="AB1264">
        <f>IF([2]Entry!$J$1267="","",[2]Entry!$J$1267)</f>
        <v/>
      </c>
      <c r="AC1264">
        <f>IF([2]Entry!$K$1267="","",[2]Entry!$K$1267)</f>
        <v/>
      </c>
      <c r="AD1264">
        <f>IF([2]Entry!$L$1267="","",[2]Entry!$L$1267)</f>
        <v/>
      </c>
      <c r="AE1264">
        <f>IF([2]Entry!$M$1267="","",[2]Entry!$M$1267)</f>
        <v/>
      </c>
      <c r="AF1264">
        <f>IF([2]Entry!$N$1267="","",[2]Entry!$N$1267)</f>
        <v/>
      </c>
      <c r="AJ1264">
        <f>IF([2]Entry!$S$1267="","",[2]Entry!$S$1267)</f>
        <v/>
      </c>
      <c r="AK1264">
        <f>IF([2]Entry!$C$1267="","",[2]Entry!$C$1267)</f>
        <v/>
      </c>
      <c r="AL1264">
        <f>IF([2]Entry!$D$1267="","",[2]Entry!$D$1267)</f>
        <v/>
      </c>
    </row>
    <row r="1265">
      <c r="Z1265">
        <f>IF([2]Entry!$E$1268="","",[2]Entry!$E$1268)</f>
        <v/>
      </c>
      <c r="AA1265">
        <f>IF([2]Entry!$G$1268="","",[2]Entry!$G$1268)</f>
        <v/>
      </c>
      <c r="AB1265">
        <f>IF([2]Entry!$J$1268="","",[2]Entry!$J$1268)</f>
        <v/>
      </c>
      <c r="AC1265">
        <f>IF([2]Entry!$K$1268="","",[2]Entry!$K$1268)</f>
        <v/>
      </c>
      <c r="AD1265">
        <f>IF([2]Entry!$L$1268="","",[2]Entry!$L$1268)</f>
        <v/>
      </c>
      <c r="AE1265">
        <f>IF([2]Entry!$M$1268="","",[2]Entry!$M$1268)</f>
        <v/>
      </c>
      <c r="AF1265">
        <f>IF([2]Entry!$N$1268="","",[2]Entry!$N$1268)</f>
        <v/>
      </c>
      <c r="AJ1265">
        <f>IF([2]Entry!$S$1268="","",[2]Entry!$S$1268)</f>
        <v/>
      </c>
      <c r="AK1265">
        <f>IF([2]Entry!$C$1268="","",[2]Entry!$C$1268)</f>
        <v/>
      </c>
      <c r="AL1265">
        <f>IF([2]Entry!$D$1268="","",[2]Entry!$D$1268)</f>
        <v/>
      </c>
    </row>
    <row r="1266">
      <c r="Z1266">
        <f>IF([2]Entry!$E$1269="","",[2]Entry!$E$1269)</f>
        <v/>
      </c>
      <c r="AA1266">
        <f>IF([2]Entry!$G$1269="","",[2]Entry!$G$1269)</f>
        <v/>
      </c>
      <c r="AB1266">
        <f>IF([2]Entry!$J$1269="","",[2]Entry!$J$1269)</f>
        <v/>
      </c>
      <c r="AC1266">
        <f>IF([2]Entry!$K$1269="","",[2]Entry!$K$1269)</f>
        <v/>
      </c>
      <c r="AD1266">
        <f>IF([2]Entry!$L$1269="","",[2]Entry!$L$1269)</f>
        <v/>
      </c>
      <c r="AE1266">
        <f>IF([2]Entry!$M$1269="","",[2]Entry!$M$1269)</f>
        <v/>
      </c>
      <c r="AF1266">
        <f>IF([2]Entry!$N$1269="","",[2]Entry!$N$1269)</f>
        <v/>
      </c>
      <c r="AJ1266">
        <f>IF([2]Entry!$S$1269="","",[2]Entry!$S$1269)</f>
        <v/>
      </c>
      <c r="AK1266">
        <f>IF([2]Entry!$C$1269="","",[2]Entry!$C$1269)</f>
        <v/>
      </c>
      <c r="AL1266">
        <f>IF([2]Entry!$D$1269="","",[2]Entry!$D$1269)</f>
        <v/>
      </c>
    </row>
    <row r="1267">
      <c r="Z1267">
        <f>IF([2]Entry!$E$1270="","",[2]Entry!$E$1270)</f>
        <v/>
      </c>
      <c r="AA1267">
        <f>IF([2]Entry!$G$1270="","",[2]Entry!$G$1270)</f>
        <v/>
      </c>
      <c r="AB1267">
        <f>IF([2]Entry!$J$1270="","",[2]Entry!$J$1270)</f>
        <v/>
      </c>
      <c r="AC1267">
        <f>IF([2]Entry!$K$1270="","",[2]Entry!$K$1270)</f>
        <v/>
      </c>
      <c r="AD1267">
        <f>IF([2]Entry!$L$1270="","",[2]Entry!$L$1270)</f>
        <v/>
      </c>
      <c r="AE1267">
        <f>IF([2]Entry!$M$1270="","",[2]Entry!$M$1270)</f>
        <v/>
      </c>
      <c r="AF1267">
        <f>IF([2]Entry!$N$1270="","",[2]Entry!$N$1270)</f>
        <v/>
      </c>
      <c r="AJ1267">
        <f>IF([2]Entry!$S$1270="","",[2]Entry!$S$1270)</f>
        <v/>
      </c>
      <c r="AK1267">
        <f>IF([2]Entry!$C$1270="","",[2]Entry!$C$1270)</f>
        <v/>
      </c>
      <c r="AL1267">
        <f>IF([2]Entry!$D$1270="","",[2]Entry!$D$1270)</f>
        <v/>
      </c>
    </row>
    <row r="1268">
      <c r="Z1268">
        <f>IF([2]Entry!$E$1271="","",[2]Entry!$E$1271)</f>
        <v/>
      </c>
      <c r="AA1268">
        <f>IF([2]Entry!$G$1271="","",[2]Entry!$G$1271)</f>
        <v/>
      </c>
      <c r="AB1268">
        <f>IF([2]Entry!$J$1271="","",[2]Entry!$J$1271)</f>
        <v/>
      </c>
      <c r="AC1268">
        <f>IF([2]Entry!$K$1271="","",[2]Entry!$K$1271)</f>
        <v/>
      </c>
      <c r="AD1268">
        <f>IF([2]Entry!$L$1271="","",[2]Entry!$L$1271)</f>
        <v/>
      </c>
      <c r="AE1268">
        <f>IF([2]Entry!$M$1271="","",[2]Entry!$M$1271)</f>
        <v/>
      </c>
      <c r="AF1268">
        <f>IF([2]Entry!$N$1271="","",[2]Entry!$N$1271)</f>
        <v/>
      </c>
      <c r="AJ1268">
        <f>IF([2]Entry!$S$1271="","",[2]Entry!$S$1271)</f>
        <v/>
      </c>
      <c r="AK1268">
        <f>IF([2]Entry!$C$1271="","",[2]Entry!$C$1271)</f>
        <v/>
      </c>
      <c r="AL1268">
        <f>IF([2]Entry!$D$1271="","",[2]Entry!$D$1271)</f>
        <v/>
      </c>
    </row>
    <row r="1269">
      <c r="Z1269">
        <f>IF([2]Entry!$E$1272="","",[2]Entry!$E$1272)</f>
        <v/>
      </c>
      <c r="AA1269">
        <f>IF([2]Entry!$G$1272="","",[2]Entry!$G$1272)</f>
        <v/>
      </c>
      <c r="AB1269">
        <f>IF([2]Entry!$J$1272="","",[2]Entry!$J$1272)</f>
        <v/>
      </c>
      <c r="AC1269">
        <f>IF([2]Entry!$K$1272="","",[2]Entry!$K$1272)</f>
        <v/>
      </c>
      <c r="AD1269">
        <f>IF([2]Entry!$L$1272="","",[2]Entry!$L$1272)</f>
        <v/>
      </c>
      <c r="AE1269">
        <f>IF([2]Entry!$M$1272="","",[2]Entry!$M$1272)</f>
        <v/>
      </c>
      <c r="AF1269">
        <f>IF([2]Entry!$N$1272="","",[2]Entry!$N$1272)</f>
        <v/>
      </c>
      <c r="AJ1269">
        <f>IF([2]Entry!$S$1272="","",[2]Entry!$S$1272)</f>
        <v/>
      </c>
      <c r="AK1269">
        <f>IF([2]Entry!$C$1272="","",[2]Entry!$C$1272)</f>
        <v/>
      </c>
      <c r="AL1269">
        <f>IF([2]Entry!$D$1272="","",[2]Entry!$D$1272)</f>
        <v/>
      </c>
    </row>
    <row r="1270">
      <c r="Z1270">
        <f>IF([2]Entry!$E$1273="","",[2]Entry!$E$1273)</f>
        <v/>
      </c>
      <c r="AA1270">
        <f>IF([2]Entry!$G$1273="","",[2]Entry!$G$1273)</f>
        <v/>
      </c>
      <c r="AB1270">
        <f>IF([2]Entry!$J$1273="","",[2]Entry!$J$1273)</f>
        <v/>
      </c>
      <c r="AC1270">
        <f>IF([2]Entry!$K$1273="","",[2]Entry!$K$1273)</f>
        <v/>
      </c>
      <c r="AD1270">
        <f>IF([2]Entry!$L$1273="","",[2]Entry!$L$1273)</f>
        <v/>
      </c>
      <c r="AE1270">
        <f>IF([2]Entry!$M$1273="","",[2]Entry!$M$1273)</f>
        <v/>
      </c>
      <c r="AF1270">
        <f>IF([2]Entry!$N$1273="","",[2]Entry!$N$1273)</f>
        <v/>
      </c>
      <c r="AJ1270">
        <f>IF([2]Entry!$S$1273="","",[2]Entry!$S$1273)</f>
        <v/>
      </c>
      <c r="AK1270">
        <f>IF([2]Entry!$C$1273="","",[2]Entry!$C$1273)</f>
        <v/>
      </c>
      <c r="AL1270">
        <f>IF([2]Entry!$D$1273="","",[2]Entry!$D$1273)</f>
        <v/>
      </c>
    </row>
    <row r="1271">
      <c r="Z1271">
        <f>IF([2]Entry!$E$1274="","",[2]Entry!$E$1274)</f>
        <v/>
      </c>
      <c r="AA1271">
        <f>IF([2]Entry!$G$1274="","",[2]Entry!$G$1274)</f>
        <v/>
      </c>
      <c r="AB1271">
        <f>IF([2]Entry!$J$1274="","",[2]Entry!$J$1274)</f>
        <v/>
      </c>
      <c r="AC1271">
        <f>IF([2]Entry!$K$1274="","",[2]Entry!$K$1274)</f>
        <v/>
      </c>
      <c r="AD1271">
        <f>IF([2]Entry!$L$1274="","",[2]Entry!$L$1274)</f>
        <v/>
      </c>
      <c r="AE1271">
        <f>IF([2]Entry!$M$1274="","",[2]Entry!$M$1274)</f>
        <v/>
      </c>
      <c r="AF1271">
        <f>IF([2]Entry!$N$1274="","",[2]Entry!$N$1274)</f>
        <v/>
      </c>
      <c r="AJ1271">
        <f>IF([2]Entry!$S$1274="","",[2]Entry!$S$1274)</f>
        <v/>
      </c>
      <c r="AK1271">
        <f>IF([2]Entry!$C$1274="","",[2]Entry!$C$1274)</f>
        <v/>
      </c>
      <c r="AL1271">
        <f>IF([2]Entry!$D$1274="","",[2]Entry!$D$1274)</f>
        <v/>
      </c>
    </row>
    <row r="1272">
      <c r="Z1272">
        <f>IF([2]Entry!$E$1275="","",[2]Entry!$E$1275)</f>
        <v/>
      </c>
      <c r="AA1272">
        <f>IF([2]Entry!$G$1275="","",[2]Entry!$G$1275)</f>
        <v/>
      </c>
      <c r="AB1272">
        <f>IF([2]Entry!$J$1275="","",[2]Entry!$J$1275)</f>
        <v/>
      </c>
      <c r="AC1272">
        <f>IF([2]Entry!$K$1275="","",[2]Entry!$K$1275)</f>
        <v/>
      </c>
      <c r="AD1272">
        <f>IF([2]Entry!$L$1275="","",[2]Entry!$L$1275)</f>
        <v/>
      </c>
      <c r="AE1272">
        <f>IF([2]Entry!$M$1275="","",[2]Entry!$M$1275)</f>
        <v/>
      </c>
      <c r="AF1272">
        <f>IF([2]Entry!$N$1275="","",[2]Entry!$N$1275)</f>
        <v/>
      </c>
      <c r="AJ1272">
        <f>IF([2]Entry!$S$1275="","",[2]Entry!$S$1275)</f>
        <v/>
      </c>
      <c r="AK1272">
        <f>IF([2]Entry!$C$1275="","",[2]Entry!$C$1275)</f>
        <v/>
      </c>
      <c r="AL1272">
        <f>IF([2]Entry!$D$1275="","",[2]Entry!$D$1275)</f>
        <v/>
      </c>
    </row>
    <row r="1273">
      <c r="Z1273">
        <f>IF([2]Entry!$E$1276="","",[2]Entry!$E$1276)</f>
        <v/>
      </c>
      <c r="AA1273">
        <f>IF([2]Entry!$G$1276="","",[2]Entry!$G$1276)</f>
        <v/>
      </c>
      <c r="AB1273">
        <f>IF([2]Entry!$J$1276="","",[2]Entry!$J$1276)</f>
        <v/>
      </c>
      <c r="AC1273">
        <f>IF([2]Entry!$K$1276="","",[2]Entry!$K$1276)</f>
        <v/>
      </c>
      <c r="AD1273">
        <f>IF([2]Entry!$L$1276="","",[2]Entry!$L$1276)</f>
        <v/>
      </c>
      <c r="AE1273">
        <f>IF([2]Entry!$M$1276="","",[2]Entry!$M$1276)</f>
        <v/>
      </c>
      <c r="AF1273">
        <f>IF([2]Entry!$N$1276="","",[2]Entry!$N$1276)</f>
        <v/>
      </c>
      <c r="AJ1273">
        <f>IF([2]Entry!$S$1276="","",[2]Entry!$S$1276)</f>
        <v/>
      </c>
      <c r="AK1273">
        <f>IF([2]Entry!$C$1276="","",[2]Entry!$C$1276)</f>
        <v/>
      </c>
      <c r="AL1273">
        <f>IF([2]Entry!$D$1276="","",[2]Entry!$D$1276)</f>
        <v/>
      </c>
    </row>
    <row r="1274">
      <c r="Z1274">
        <f>IF([2]Entry!$E$1277="","",[2]Entry!$E$1277)</f>
        <v/>
      </c>
      <c r="AA1274">
        <f>IF([2]Entry!$G$1277="","",[2]Entry!$G$1277)</f>
        <v/>
      </c>
      <c r="AB1274">
        <f>IF([2]Entry!$J$1277="","",[2]Entry!$J$1277)</f>
        <v/>
      </c>
      <c r="AC1274">
        <f>IF([2]Entry!$K$1277="","",[2]Entry!$K$1277)</f>
        <v/>
      </c>
      <c r="AD1274">
        <f>IF([2]Entry!$L$1277="","",[2]Entry!$L$1277)</f>
        <v/>
      </c>
      <c r="AE1274">
        <f>IF([2]Entry!$M$1277="","",[2]Entry!$M$1277)</f>
        <v/>
      </c>
      <c r="AF1274">
        <f>IF([2]Entry!$N$1277="","",[2]Entry!$N$1277)</f>
        <v/>
      </c>
      <c r="AJ1274">
        <f>IF([2]Entry!$S$1277="","",[2]Entry!$S$1277)</f>
        <v/>
      </c>
      <c r="AK1274">
        <f>IF([2]Entry!$C$1277="","",[2]Entry!$C$1277)</f>
        <v/>
      </c>
      <c r="AL1274">
        <f>IF([2]Entry!$D$1277="","",[2]Entry!$D$1277)</f>
        <v/>
      </c>
    </row>
    <row r="1275">
      <c r="Z1275">
        <f>IF([2]Entry!$E$1278="","",[2]Entry!$E$1278)</f>
        <v/>
      </c>
      <c r="AA1275">
        <f>IF([2]Entry!$G$1278="","",[2]Entry!$G$1278)</f>
        <v/>
      </c>
      <c r="AB1275">
        <f>IF([2]Entry!$J$1278="","",[2]Entry!$J$1278)</f>
        <v/>
      </c>
      <c r="AC1275">
        <f>IF([2]Entry!$K$1278="","",[2]Entry!$K$1278)</f>
        <v/>
      </c>
      <c r="AD1275">
        <f>IF([2]Entry!$L$1278="","",[2]Entry!$L$1278)</f>
        <v/>
      </c>
      <c r="AE1275">
        <f>IF([2]Entry!$M$1278="","",[2]Entry!$M$1278)</f>
        <v/>
      </c>
      <c r="AF1275">
        <f>IF([2]Entry!$N$1278="","",[2]Entry!$N$1278)</f>
        <v/>
      </c>
      <c r="AJ1275">
        <f>IF([2]Entry!$S$1278="","",[2]Entry!$S$1278)</f>
        <v/>
      </c>
      <c r="AK1275">
        <f>IF([2]Entry!$C$1278="","",[2]Entry!$C$1278)</f>
        <v/>
      </c>
      <c r="AL1275">
        <f>IF([2]Entry!$D$1278="","",[2]Entry!$D$1278)</f>
        <v/>
      </c>
    </row>
    <row r="1276">
      <c r="Z1276">
        <f>IF([2]Entry!$E$1279="","",[2]Entry!$E$1279)</f>
        <v/>
      </c>
      <c r="AA1276">
        <f>IF([2]Entry!$G$1279="","",[2]Entry!$G$1279)</f>
        <v/>
      </c>
      <c r="AB1276">
        <f>IF([2]Entry!$J$1279="","",[2]Entry!$J$1279)</f>
        <v/>
      </c>
      <c r="AC1276">
        <f>IF([2]Entry!$K$1279="","",[2]Entry!$K$1279)</f>
        <v/>
      </c>
      <c r="AD1276">
        <f>IF([2]Entry!$L$1279="","",[2]Entry!$L$1279)</f>
        <v/>
      </c>
      <c r="AE1276">
        <f>IF([2]Entry!$M$1279="","",[2]Entry!$M$1279)</f>
        <v/>
      </c>
      <c r="AF1276">
        <f>IF([2]Entry!$N$1279="","",[2]Entry!$N$1279)</f>
        <v/>
      </c>
      <c r="AJ1276">
        <f>IF([2]Entry!$S$1279="","",[2]Entry!$S$1279)</f>
        <v/>
      </c>
      <c r="AK1276">
        <f>IF([2]Entry!$C$1279="","",[2]Entry!$C$1279)</f>
        <v/>
      </c>
      <c r="AL1276">
        <f>IF([2]Entry!$D$1279="","",[2]Entry!$D$1279)</f>
        <v/>
      </c>
    </row>
    <row r="1277">
      <c r="Z1277">
        <f>IF([2]Entry!$E$1280="","",[2]Entry!$E$1280)</f>
        <v/>
      </c>
      <c r="AA1277">
        <f>IF([2]Entry!$G$1280="","",[2]Entry!$G$1280)</f>
        <v/>
      </c>
      <c r="AB1277">
        <f>IF([2]Entry!$J$1280="","",[2]Entry!$J$1280)</f>
        <v/>
      </c>
      <c r="AC1277">
        <f>IF([2]Entry!$K$1280="","",[2]Entry!$K$1280)</f>
        <v/>
      </c>
      <c r="AD1277">
        <f>IF([2]Entry!$L$1280="","",[2]Entry!$L$1280)</f>
        <v/>
      </c>
      <c r="AE1277">
        <f>IF([2]Entry!$M$1280="","",[2]Entry!$M$1280)</f>
        <v/>
      </c>
      <c r="AF1277">
        <f>IF([2]Entry!$N$1280="","",[2]Entry!$N$1280)</f>
        <v/>
      </c>
      <c r="AJ1277">
        <f>IF([2]Entry!$S$1280="","",[2]Entry!$S$1280)</f>
        <v/>
      </c>
      <c r="AK1277">
        <f>IF([2]Entry!$C$1280="","",[2]Entry!$C$1280)</f>
        <v/>
      </c>
      <c r="AL1277">
        <f>IF([2]Entry!$D$1280="","",[2]Entry!$D$1280)</f>
        <v/>
      </c>
    </row>
    <row r="1278">
      <c r="Z1278">
        <f>IF([2]Entry!$E$1281="","",[2]Entry!$E$1281)</f>
        <v/>
      </c>
      <c r="AA1278">
        <f>IF([2]Entry!$G$1281="","",[2]Entry!$G$1281)</f>
        <v/>
      </c>
      <c r="AB1278">
        <f>IF([2]Entry!$J$1281="","",[2]Entry!$J$1281)</f>
        <v/>
      </c>
      <c r="AC1278">
        <f>IF([2]Entry!$K$1281="","",[2]Entry!$K$1281)</f>
        <v/>
      </c>
      <c r="AD1278">
        <f>IF([2]Entry!$L$1281="","",[2]Entry!$L$1281)</f>
        <v/>
      </c>
      <c r="AE1278">
        <f>IF([2]Entry!$M$1281="","",[2]Entry!$M$1281)</f>
        <v/>
      </c>
      <c r="AF1278">
        <f>IF([2]Entry!$N$1281="","",[2]Entry!$N$1281)</f>
        <v/>
      </c>
      <c r="AJ1278">
        <f>IF([2]Entry!$S$1281="","",[2]Entry!$S$1281)</f>
        <v/>
      </c>
      <c r="AK1278">
        <f>IF([2]Entry!$C$1281="","",[2]Entry!$C$1281)</f>
        <v/>
      </c>
      <c r="AL1278">
        <f>IF([2]Entry!$D$1281="","",[2]Entry!$D$1281)</f>
        <v/>
      </c>
    </row>
    <row r="1279">
      <c r="Z1279">
        <f>IF([2]Entry!$E$1282="","",[2]Entry!$E$1282)</f>
        <v/>
      </c>
      <c r="AA1279">
        <f>IF([2]Entry!$G$1282="","",[2]Entry!$G$1282)</f>
        <v/>
      </c>
      <c r="AB1279">
        <f>IF([2]Entry!$J$1282="","",[2]Entry!$J$1282)</f>
        <v/>
      </c>
      <c r="AC1279">
        <f>IF([2]Entry!$K$1282="","",[2]Entry!$K$1282)</f>
        <v/>
      </c>
      <c r="AD1279">
        <f>IF([2]Entry!$L$1282="","",[2]Entry!$L$1282)</f>
        <v/>
      </c>
      <c r="AE1279">
        <f>IF([2]Entry!$M$1282="","",[2]Entry!$M$1282)</f>
        <v/>
      </c>
      <c r="AF1279">
        <f>IF([2]Entry!$N$1282="","",[2]Entry!$N$1282)</f>
        <v/>
      </c>
      <c r="AJ1279">
        <f>IF([2]Entry!$S$1282="","",[2]Entry!$S$1282)</f>
        <v/>
      </c>
      <c r="AK1279">
        <f>IF([2]Entry!$C$1282="","",[2]Entry!$C$1282)</f>
        <v/>
      </c>
      <c r="AL1279">
        <f>IF([2]Entry!$D$1282="","",[2]Entry!$D$1282)</f>
        <v/>
      </c>
    </row>
    <row r="1280">
      <c r="Z1280">
        <f>IF([2]Entry!$E$1283="","",[2]Entry!$E$1283)</f>
        <v/>
      </c>
      <c r="AA1280">
        <f>IF([2]Entry!$G$1283="","",[2]Entry!$G$1283)</f>
        <v/>
      </c>
      <c r="AB1280">
        <f>IF([2]Entry!$J$1283="","",[2]Entry!$J$1283)</f>
        <v/>
      </c>
      <c r="AC1280">
        <f>IF([2]Entry!$K$1283="","",[2]Entry!$K$1283)</f>
        <v/>
      </c>
      <c r="AD1280">
        <f>IF([2]Entry!$L$1283="","",[2]Entry!$L$1283)</f>
        <v/>
      </c>
      <c r="AE1280">
        <f>IF([2]Entry!$M$1283="","",[2]Entry!$M$1283)</f>
        <v/>
      </c>
      <c r="AF1280">
        <f>IF([2]Entry!$N$1283="","",[2]Entry!$N$1283)</f>
        <v/>
      </c>
      <c r="AJ1280">
        <f>IF([2]Entry!$S$1283="","",[2]Entry!$S$1283)</f>
        <v/>
      </c>
      <c r="AK1280">
        <f>IF([2]Entry!$C$1283="","",[2]Entry!$C$1283)</f>
        <v/>
      </c>
      <c r="AL1280">
        <f>IF([2]Entry!$D$1283="","",[2]Entry!$D$1283)</f>
        <v/>
      </c>
    </row>
    <row r="1281">
      <c r="Z1281">
        <f>IF([2]Entry!$E$1284="","",[2]Entry!$E$1284)</f>
        <v/>
      </c>
      <c r="AA1281">
        <f>IF([2]Entry!$G$1284="","",[2]Entry!$G$1284)</f>
        <v/>
      </c>
      <c r="AB1281">
        <f>IF([2]Entry!$J$1284="","",[2]Entry!$J$1284)</f>
        <v/>
      </c>
      <c r="AC1281">
        <f>IF([2]Entry!$K$1284="","",[2]Entry!$K$1284)</f>
        <v/>
      </c>
      <c r="AD1281">
        <f>IF([2]Entry!$L$1284="","",[2]Entry!$L$1284)</f>
        <v/>
      </c>
      <c r="AE1281">
        <f>IF([2]Entry!$M$1284="","",[2]Entry!$M$1284)</f>
        <v/>
      </c>
      <c r="AF1281">
        <f>IF([2]Entry!$N$1284="","",[2]Entry!$N$1284)</f>
        <v/>
      </c>
      <c r="AJ1281">
        <f>IF([2]Entry!$S$1284="","",[2]Entry!$S$1284)</f>
        <v/>
      </c>
      <c r="AK1281">
        <f>IF([2]Entry!$C$1284="","",[2]Entry!$C$1284)</f>
        <v/>
      </c>
      <c r="AL1281">
        <f>IF([2]Entry!$D$1284="","",[2]Entry!$D$1284)</f>
        <v/>
      </c>
    </row>
    <row r="1282">
      <c r="Z1282">
        <f>IF([2]Entry!$E$1285="","",[2]Entry!$E$1285)</f>
        <v/>
      </c>
      <c r="AA1282">
        <f>IF([2]Entry!$G$1285="","",[2]Entry!$G$1285)</f>
        <v/>
      </c>
      <c r="AB1282">
        <f>IF([2]Entry!$J$1285="","",[2]Entry!$J$1285)</f>
        <v/>
      </c>
      <c r="AC1282">
        <f>IF([2]Entry!$K$1285="","",[2]Entry!$K$1285)</f>
        <v/>
      </c>
      <c r="AD1282">
        <f>IF([2]Entry!$L$1285="","",[2]Entry!$L$1285)</f>
        <v/>
      </c>
      <c r="AE1282">
        <f>IF([2]Entry!$M$1285="","",[2]Entry!$M$1285)</f>
        <v/>
      </c>
      <c r="AF1282">
        <f>IF([2]Entry!$N$1285="","",[2]Entry!$N$1285)</f>
        <v/>
      </c>
      <c r="AJ1282">
        <f>IF([2]Entry!$S$1285="","",[2]Entry!$S$1285)</f>
        <v/>
      </c>
      <c r="AK1282">
        <f>IF([2]Entry!$C$1285="","",[2]Entry!$C$1285)</f>
        <v/>
      </c>
      <c r="AL1282">
        <f>IF([2]Entry!$D$1285="","",[2]Entry!$D$1285)</f>
        <v/>
      </c>
    </row>
    <row r="1283">
      <c r="Z1283">
        <f>IF([2]Entry!$E$1286="","",[2]Entry!$E$1286)</f>
        <v/>
      </c>
      <c r="AA1283">
        <f>IF([2]Entry!$G$1286="","",[2]Entry!$G$1286)</f>
        <v/>
      </c>
      <c r="AB1283">
        <f>IF([2]Entry!$J$1286="","",[2]Entry!$J$1286)</f>
        <v/>
      </c>
      <c r="AC1283">
        <f>IF([2]Entry!$K$1286="","",[2]Entry!$K$1286)</f>
        <v/>
      </c>
      <c r="AD1283">
        <f>IF([2]Entry!$L$1286="","",[2]Entry!$L$1286)</f>
        <v/>
      </c>
      <c r="AE1283">
        <f>IF([2]Entry!$M$1286="","",[2]Entry!$M$1286)</f>
        <v/>
      </c>
      <c r="AF1283">
        <f>IF([2]Entry!$N$1286="","",[2]Entry!$N$1286)</f>
        <v/>
      </c>
      <c r="AJ1283">
        <f>IF([2]Entry!$S$1286="","",[2]Entry!$S$1286)</f>
        <v/>
      </c>
      <c r="AK1283">
        <f>IF([2]Entry!$C$1286="","",[2]Entry!$C$1286)</f>
        <v/>
      </c>
      <c r="AL1283">
        <f>IF([2]Entry!$D$1286="","",[2]Entry!$D$1286)</f>
        <v/>
      </c>
    </row>
    <row r="1284">
      <c r="Z1284">
        <f>IF([2]Entry!$E$1287="","",[2]Entry!$E$1287)</f>
        <v/>
      </c>
      <c r="AA1284">
        <f>IF([2]Entry!$G$1287="","",[2]Entry!$G$1287)</f>
        <v/>
      </c>
      <c r="AB1284">
        <f>IF([2]Entry!$J$1287="","",[2]Entry!$J$1287)</f>
        <v/>
      </c>
      <c r="AC1284">
        <f>IF([2]Entry!$K$1287="","",[2]Entry!$K$1287)</f>
        <v/>
      </c>
      <c r="AD1284">
        <f>IF([2]Entry!$L$1287="","",[2]Entry!$L$1287)</f>
        <v/>
      </c>
      <c r="AE1284">
        <f>IF([2]Entry!$M$1287="","",[2]Entry!$M$1287)</f>
        <v/>
      </c>
      <c r="AF1284">
        <f>IF([2]Entry!$N$1287="","",[2]Entry!$N$1287)</f>
        <v/>
      </c>
      <c r="AJ1284">
        <f>IF([2]Entry!$S$1287="","",[2]Entry!$S$1287)</f>
        <v/>
      </c>
      <c r="AK1284">
        <f>IF([2]Entry!$C$1287="","",[2]Entry!$C$1287)</f>
        <v/>
      </c>
      <c r="AL1284">
        <f>IF([2]Entry!$D$1287="","",[2]Entry!$D$1287)</f>
        <v/>
      </c>
    </row>
    <row r="1285">
      <c r="Z1285">
        <f>IF([2]Entry!$E$1288="","",[2]Entry!$E$1288)</f>
        <v/>
      </c>
      <c r="AA1285">
        <f>IF([2]Entry!$G$1288="","",[2]Entry!$G$1288)</f>
        <v/>
      </c>
      <c r="AB1285">
        <f>IF([2]Entry!$J$1288="","",[2]Entry!$J$1288)</f>
        <v/>
      </c>
      <c r="AC1285">
        <f>IF([2]Entry!$K$1288="","",[2]Entry!$K$1288)</f>
        <v/>
      </c>
      <c r="AD1285">
        <f>IF([2]Entry!$L$1288="","",[2]Entry!$L$1288)</f>
        <v/>
      </c>
      <c r="AE1285">
        <f>IF([2]Entry!$M$1288="","",[2]Entry!$M$1288)</f>
        <v/>
      </c>
      <c r="AF1285">
        <f>IF([2]Entry!$N$1288="","",[2]Entry!$N$1288)</f>
        <v/>
      </c>
      <c r="AJ1285">
        <f>IF([2]Entry!$S$1288="","",[2]Entry!$S$1288)</f>
        <v/>
      </c>
      <c r="AK1285">
        <f>IF([2]Entry!$C$1288="","",[2]Entry!$C$1288)</f>
        <v/>
      </c>
      <c r="AL1285">
        <f>IF([2]Entry!$D$1288="","",[2]Entry!$D$1288)</f>
        <v/>
      </c>
    </row>
    <row r="1286">
      <c r="Z1286">
        <f>IF([2]Entry!$E$1289="","",[2]Entry!$E$1289)</f>
        <v/>
      </c>
      <c r="AA1286">
        <f>IF([2]Entry!$G$1289="","",[2]Entry!$G$1289)</f>
        <v/>
      </c>
      <c r="AB1286">
        <f>IF([2]Entry!$J$1289="","",[2]Entry!$J$1289)</f>
        <v/>
      </c>
      <c r="AC1286">
        <f>IF([2]Entry!$K$1289="","",[2]Entry!$K$1289)</f>
        <v/>
      </c>
      <c r="AD1286">
        <f>IF([2]Entry!$L$1289="","",[2]Entry!$L$1289)</f>
        <v/>
      </c>
      <c r="AE1286">
        <f>IF([2]Entry!$M$1289="","",[2]Entry!$M$1289)</f>
        <v/>
      </c>
      <c r="AF1286">
        <f>IF([2]Entry!$N$1289="","",[2]Entry!$N$1289)</f>
        <v/>
      </c>
      <c r="AJ1286">
        <f>IF([2]Entry!$S$1289="","",[2]Entry!$S$1289)</f>
        <v/>
      </c>
      <c r="AK1286">
        <f>IF([2]Entry!$C$1289="","",[2]Entry!$C$1289)</f>
        <v/>
      </c>
      <c r="AL1286">
        <f>IF([2]Entry!$D$1289="","",[2]Entry!$D$1289)</f>
        <v/>
      </c>
    </row>
    <row r="1287">
      <c r="Z1287">
        <f>IF([2]Entry!$E$1290="","",[2]Entry!$E$1290)</f>
        <v/>
      </c>
      <c r="AA1287">
        <f>IF([2]Entry!$G$1290="","",[2]Entry!$G$1290)</f>
        <v/>
      </c>
      <c r="AB1287">
        <f>IF([2]Entry!$J$1290="","",[2]Entry!$J$1290)</f>
        <v/>
      </c>
      <c r="AC1287">
        <f>IF([2]Entry!$K$1290="","",[2]Entry!$K$1290)</f>
        <v/>
      </c>
      <c r="AD1287">
        <f>IF([2]Entry!$L$1290="","",[2]Entry!$L$1290)</f>
        <v/>
      </c>
      <c r="AE1287">
        <f>IF([2]Entry!$M$1290="","",[2]Entry!$M$1290)</f>
        <v/>
      </c>
      <c r="AF1287">
        <f>IF([2]Entry!$N$1290="","",[2]Entry!$N$1290)</f>
        <v/>
      </c>
      <c r="AJ1287">
        <f>IF([2]Entry!$S$1290="","",[2]Entry!$S$1290)</f>
        <v/>
      </c>
      <c r="AK1287">
        <f>IF([2]Entry!$C$1290="","",[2]Entry!$C$1290)</f>
        <v/>
      </c>
      <c r="AL1287">
        <f>IF([2]Entry!$D$1290="","",[2]Entry!$D$1290)</f>
        <v/>
      </c>
    </row>
    <row r="1288">
      <c r="Z1288">
        <f>IF([2]Entry!$E$1291="","",[2]Entry!$E$1291)</f>
        <v/>
      </c>
      <c r="AA1288">
        <f>IF([2]Entry!$G$1291="","",[2]Entry!$G$1291)</f>
        <v/>
      </c>
      <c r="AB1288">
        <f>IF([2]Entry!$J$1291="","",[2]Entry!$J$1291)</f>
        <v/>
      </c>
      <c r="AC1288">
        <f>IF([2]Entry!$K$1291="","",[2]Entry!$K$1291)</f>
        <v/>
      </c>
      <c r="AD1288">
        <f>IF([2]Entry!$L$1291="","",[2]Entry!$L$1291)</f>
        <v/>
      </c>
      <c r="AE1288">
        <f>IF([2]Entry!$M$1291="","",[2]Entry!$M$1291)</f>
        <v/>
      </c>
      <c r="AF1288">
        <f>IF([2]Entry!$N$1291="","",[2]Entry!$N$1291)</f>
        <v/>
      </c>
      <c r="AJ1288">
        <f>IF([2]Entry!$S$1291="","",[2]Entry!$S$1291)</f>
        <v/>
      </c>
      <c r="AK1288">
        <f>IF([2]Entry!$C$1291="","",[2]Entry!$C$1291)</f>
        <v/>
      </c>
      <c r="AL1288">
        <f>IF([2]Entry!$D$1291="","",[2]Entry!$D$1291)</f>
        <v/>
      </c>
    </row>
    <row r="1289">
      <c r="Z1289">
        <f>IF([2]Entry!$E$1292="","",[2]Entry!$E$1292)</f>
        <v/>
      </c>
      <c r="AA1289">
        <f>IF([2]Entry!$G$1292="","",[2]Entry!$G$1292)</f>
        <v/>
      </c>
      <c r="AB1289">
        <f>IF([2]Entry!$J$1292="","",[2]Entry!$J$1292)</f>
        <v/>
      </c>
      <c r="AC1289">
        <f>IF([2]Entry!$K$1292="","",[2]Entry!$K$1292)</f>
        <v/>
      </c>
      <c r="AD1289">
        <f>IF([2]Entry!$L$1292="","",[2]Entry!$L$1292)</f>
        <v/>
      </c>
      <c r="AE1289">
        <f>IF([2]Entry!$M$1292="","",[2]Entry!$M$1292)</f>
        <v/>
      </c>
      <c r="AF1289">
        <f>IF([2]Entry!$N$1292="","",[2]Entry!$N$1292)</f>
        <v/>
      </c>
      <c r="AJ1289">
        <f>IF([2]Entry!$S$1292="","",[2]Entry!$S$1292)</f>
        <v/>
      </c>
      <c r="AK1289">
        <f>IF([2]Entry!$C$1292="","",[2]Entry!$C$1292)</f>
        <v/>
      </c>
      <c r="AL1289">
        <f>IF([2]Entry!$D$1292="","",[2]Entry!$D$1292)</f>
        <v/>
      </c>
    </row>
    <row r="1290">
      <c r="Z1290">
        <f>IF([2]Entry!$E$1293="","",[2]Entry!$E$1293)</f>
        <v/>
      </c>
      <c r="AA1290">
        <f>IF([2]Entry!$G$1293="","",[2]Entry!$G$1293)</f>
        <v/>
      </c>
      <c r="AB1290">
        <f>IF([2]Entry!$J$1293="","",[2]Entry!$J$1293)</f>
        <v/>
      </c>
      <c r="AC1290">
        <f>IF([2]Entry!$K$1293="","",[2]Entry!$K$1293)</f>
        <v/>
      </c>
      <c r="AD1290">
        <f>IF([2]Entry!$L$1293="","",[2]Entry!$L$1293)</f>
        <v/>
      </c>
      <c r="AE1290">
        <f>IF([2]Entry!$M$1293="","",[2]Entry!$M$1293)</f>
        <v/>
      </c>
      <c r="AF1290">
        <f>IF([2]Entry!$N$1293="","",[2]Entry!$N$1293)</f>
        <v/>
      </c>
      <c r="AJ1290">
        <f>IF([2]Entry!$S$1293="","",[2]Entry!$S$1293)</f>
        <v/>
      </c>
      <c r="AK1290">
        <f>IF([2]Entry!$C$1293="","",[2]Entry!$C$1293)</f>
        <v/>
      </c>
      <c r="AL1290">
        <f>IF([2]Entry!$D$1293="","",[2]Entry!$D$1293)</f>
        <v/>
      </c>
    </row>
    <row r="1291">
      <c r="Z1291">
        <f>IF([2]Entry!$E$1294="","",[2]Entry!$E$1294)</f>
        <v/>
      </c>
      <c r="AA1291">
        <f>IF([2]Entry!$G$1294="","",[2]Entry!$G$1294)</f>
        <v/>
      </c>
      <c r="AB1291">
        <f>IF([2]Entry!$J$1294="","",[2]Entry!$J$1294)</f>
        <v/>
      </c>
      <c r="AC1291">
        <f>IF([2]Entry!$K$1294="","",[2]Entry!$K$1294)</f>
        <v/>
      </c>
      <c r="AD1291">
        <f>IF([2]Entry!$L$1294="","",[2]Entry!$L$1294)</f>
        <v/>
      </c>
      <c r="AE1291">
        <f>IF([2]Entry!$M$1294="","",[2]Entry!$M$1294)</f>
        <v/>
      </c>
      <c r="AF1291">
        <f>IF([2]Entry!$N$1294="","",[2]Entry!$N$1294)</f>
        <v/>
      </c>
      <c r="AJ1291">
        <f>IF([2]Entry!$S$1294="","",[2]Entry!$S$1294)</f>
        <v/>
      </c>
      <c r="AK1291">
        <f>IF([2]Entry!$C$1294="","",[2]Entry!$C$1294)</f>
        <v/>
      </c>
      <c r="AL1291">
        <f>IF([2]Entry!$D$1294="","",[2]Entry!$D$1294)</f>
        <v/>
      </c>
    </row>
    <row r="1292">
      <c r="Z1292">
        <f>IF([2]Entry!$E$1295="","",[2]Entry!$E$1295)</f>
        <v/>
      </c>
      <c r="AA1292">
        <f>IF([2]Entry!$G$1295="","",[2]Entry!$G$1295)</f>
        <v/>
      </c>
      <c r="AB1292">
        <f>IF([2]Entry!$J$1295="","",[2]Entry!$J$1295)</f>
        <v/>
      </c>
      <c r="AC1292">
        <f>IF([2]Entry!$K$1295="","",[2]Entry!$K$1295)</f>
        <v/>
      </c>
      <c r="AD1292">
        <f>IF([2]Entry!$L$1295="","",[2]Entry!$L$1295)</f>
        <v/>
      </c>
      <c r="AE1292">
        <f>IF([2]Entry!$M$1295="","",[2]Entry!$M$1295)</f>
        <v/>
      </c>
      <c r="AF1292">
        <f>IF([2]Entry!$N$1295="","",[2]Entry!$N$1295)</f>
        <v/>
      </c>
      <c r="AJ1292">
        <f>IF([2]Entry!$S$1295="","",[2]Entry!$S$1295)</f>
        <v/>
      </c>
      <c r="AK1292">
        <f>IF([2]Entry!$C$1295="","",[2]Entry!$C$1295)</f>
        <v/>
      </c>
      <c r="AL1292">
        <f>IF([2]Entry!$D$1295="","",[2]Entry!$D$1295)</f>
        <v/>
      </c>
    </row>
    <row r="1293">
      <c r="Z1293">
        <f>IF([2]Entry!$E$1296="","",[2]Entry!$E$1296)</f>
        <v/>
      </c>
      <c r="AA1293">
        <f>IF([2]Entry!$G$1296="","",[2]Entry!$G$1296)</f>
        <v/>
      </c>
      <c r="AB1293">
        <f>IF([2]Entry!$J$1296="","",[2]Entry!$J$1296)</f>
        <v/>
      </c>
      <c r="AC1293">
        <f>IF([2]Entry!$K$1296="","",[2]Entry!$K$1296)</f>
        <v/>
      </c>
      <c r="AD1293">
        <f>IF([2]Entry!$L$1296="","",[2]Entry!$L$1296)</f>
        <v/>
      </c>
      <c r="AE1293">
        <f>IF([2]Entry!$M$1296="","",[2]Entry!$M$1296)</f>
        <v/>
      </c>
      <c r="AF1293">
        <f>IF([2]Entry!$N$1296="","",[2]Entry!$N$1296)</f>
        <v/>
      </c>
      <c r="AJ1293">
        <f>IF([2]Entry!$S$1296="","",[2]Entry!$S$1296)</f>
        <v/>
      </c>
      <c r="AK1293">
        <f>IF([2]Entry!$C$1296="","",[2]Entry!$C$1296)</f>
        <v/>
      </c>
      <c r="AL1293">
        <f>IF([2]Entry!$D$1296="","",[2]Entry!$D$1296)</f>
        <v/>
      </c>
    </row>
    <row r="1294">
      <c r="Z1294">
        <f>IF([2]Entry!$E$1297="","",[2]Entry!$E$1297)</f>
        <v/>
      </c>
      <c r="AA1294">
        <f>IF([2]Entry!$G$1297="","",[2]Entry!$G$1297)</f>
        <v/>
      </c>
      <c r="AB1294">
        <f>IF([2]Entry!$J$1297="","",[2]Entry!$J$1297)</f>
        <v/>
      </c>
      <c r="AC1294">
        <f>IF([2]Entry!$K$1297="","",[2]Entry!$K$1297)</f>
        <v/>
      </c>
      <c r="AD1294">
        <f>IF([2]Entry!$L$1297="","",[2]Entry!$L$1297)</f>
        <v/>
      </c>
      <c r="AE1294">
        <f>IF([2]Entry!$M$1297="","",[2]Entry!$M$1297)</f>
        <v/>
      </c>
      <c r="AF1294">
        <f>IF([2]Entry!$N$1297="","",[2]Entry!$N$1297)</f>
        <v/>
      </c>
      <c r="AJ1294">
        <f>IF([2]Entry!$S$1297="","",[2]Entry!$S$1297)</f>
        <v/>
      </c>
      <c r="AK1294">
        <f>IF([2]Entry!$C$1297="","",[2]Entry!$C$1297)</f>
        <v/>
      </c>
      <c r="AL1294">
        <f>IF([2]Entry!$D$1297="","",[2]Entry!$D$1297)</f>
        <v/>
      </c>
    </row>
    <row r="1295">
      <c r="Z1295">
        <f>IF([2]Entry!$E$1298="","",[2]Entry!$E$1298)</f>
        <v/>
      </c>
      <c r="AA1295">
        <f>IF([2]Entry!$G$1298="","",[2]Entry!$G$1298)</f>
        <v/>
      </c>
      <c r="AB1295">
        <f>IF([2]Entry!$J$1298="","",[2]Entry!$J$1298)</f>
        <v/>
      </c>
      <c r="AC1295">
        <f>IF([2]Entry!$K$1298="","",[2]Entry!$K$1298)</f>
        <v/>
      </c>
      <c r="AD1295">
        <f>IF([2]Entry!$L$1298="","",[2]Entry!$L$1298)</f>
        <v/>
      </c>
      <c r="AE1295">
        <f>IF([2]Entry!$M$1298="","",[2]Entry!$M$1298)</f>
        <v/>
      </c>
      <c r="AF1295">
        <f>IF([2]Entry!$N$1298="","",[2]Entry!$N$1298)</f>
        <v/>
      </c>
      <c r="AJ1295">
        <f>IF([2]Entry!$S$1298="","",[2]Entry!$S$1298)</f>
        <v/>
      </c>
      <c r="AK1295">
        <f>IF([2]Entry!$C$1298="","",[2]Entry!$C$1298)</f>
        <v/>
      </c>
      <c r="AL1295">
        <f>IF([2]Entry!$D$1298="","",[2]Entry!$D$1298)</f>
        <v/>
      </c>
    </row>
    <row r="1296">
      <c r="Z1296">
        <f>IF([2]Entry!$E$1299="","",[2]Entry!$E$1299)</f>
        <v/>
      </c>
      <c r="AA1296">
        <f>IF([2]Entry!$G$1299="","",[2]Entry!$G$1299)</f>
        <v/>
      </c>
      <c r="AB1296">
        <f>IF([2]Entry!$J$1299="","",[2]Entry!$J$1299)</f>
        <v/>
      </c>
      <c r="AC1296">
        <f>IF([2]Entry!$K$1299="","",[2]Entry!$K$1299)</f>
        <v/>
      </c>
      <c r="AD1296">
        <f>IF([2]Entry!$L$1299="","",[2]Entry!$L$1299)</f>
        <v/>
      </c>
      <c r="AE1296">
        <f>IF([2]Entry!$M$1299="","",[2]Entry!$M$1299)</f>
        <v/>
      </c>
      <c r="AF1296">
        <f>IF([2]Entry!$N$1299="","",[2]Entry!$N$1299)</f>
        <v/>
      </c>
      <c r="AJ1296">
        <f>IF([2]Entry!$S$1299="","",[2]Entry!$S$1299)</f>
        <v/>
      </c>
      <c r="AK1296">
        <f>IF([2]Entry!$C$1299="","",[2]Entry!$C$1299)</f>
        <v/>
      </c>
      <c r="AL1296">
        <f>IF([2]Entry!$D$1299="","",[2]Entry!$D$1299)</f>
        <v/>
      </c>
    </row>
    <row r="1297">
      <c r="Z1297">
        <f>IF([2]Entry!$E$1300="","",[2]Entry!$E$1300)</f>
        <v/>
      </c>
      <c r="AA1297">
        <f>IF([2]Entry!$G$1300="","",[2]Entry!$G$1300)</f>
        <v/>
      </c>
      <c r="AB1297">
        <f>IF([2]Entry!$J$1300="","",[2]Entry!$J$1300)</f>
        <v/>
      </c>
      <c r="AC1297">
        <f>IF([2]Entry!$K$1300="","",[2]Entry!$K$1300)</f>
        <v/>
      </c>
      <c r="AD1297">
        <f>IF([2]Entry!$L$1300="","",[2]Entry!$L$1300)</f>
        <v/>
      </c>
      <c r="AE1297">
        <f>IF([2]Entry!$M$1300="","",[2]Entry!$M$1300)</f>
        <v/>
      </c>
      <c r="AF1297">
        <f>IF([2]Entry!$N$1300="","",[2]Entry!$N$1300)</f>
        <v/>
      </c>
      <c r="AJ1297">
        <f>IF([2]Entry!$S$1300="","",[2]Entry!$S$1300)</f>
        <v/>
      </c>
      <c r="AK1297">
        <f>IF([2]Entry!$C$1300="","",[2]Entry!$C$1300)</f>
        <v/>
      </c>
      <c r="AL1297">
        <f>IF([2]Entry!$D$1300="","",[2]Entry!$D$1300)</f>
        <v/>
      </c>
    </row>
    <row r="1298">
      <c r="Z1298">
        <f>IF([2]Entry!$E$1301="","",[2]Entry!$E$1301)</f>
        <v/>
      </c>
      <c r="AA1298">
        <f>IF([2]Entry!$G$1301="","",[2]Entry!$G$1301)</f>
        <v/>
      </c>
      <c r="AB1298">
        <f>IF([2]Entry!$J$1301="","",[2]Entry!$J$1301)</f>
        <v/>
      </c>
      <c r="AC1298">
        <f>IF([2]Entry!$K$1301="","",[2]Entry!$K$1301)</f>
        <v/>
      </c>
      <c r="AD1298">
        <f>IF([2]Entry!$L$1301="","",[2]Entry!$L$1301)</f>
        <v/>
      </c>
      <c r="AE1298">
        <f>IF([2]Entry!$M$1301="","",[2]Entry!$M$1301)</f>
        <v/>
      </c>
      <c r="AF1298">
        <f>IF([2]Entry!$N$1301="","",[2]Entry!$N$1301)</f>
        <v/>
      </c>
      <c r="AJ1298">
        <f>IF([2]Entry!$S$1301="","",[2]Entry!$S$1301)</f>
        <v/>
      </c>
      <c r="AK1298">
        <f>IF([2]Entry!$C$1301="","",[2]Entry!$C$1301)</f>
        <v/>
      </c>
      <c r="AL1298">
        <f>IF([2]Entry!$D$1301="","",[2]Entry!$D$1301)</f>
        <v/>
      </c>
    </row>
    <row r="1299">
      <c r="Z1299">
        <f>IF([2]Entry!$E$1302="","",[2]Entry!$E$1302)</f>
        <v/>
      </c>
      <c r="AA1299">
        <f>IF([2]Entry!$G$1302="","",[2]Entry!$G$1302)</f>
        <v/>
      </c>
      <c r="AB1299">
        <f>IF([2]Entry!$J$1302="","",[2]Entry!$J$1302)</f>
        <v/>
      </c>
      <c r="AC1299">
        <f>IF([2]Entry!$K$1302="","",[2]Entry!$K$1302)</f>
        <v/>
      </c>
      <c r="AD1299">
        <f>IF([2]Entry!$L$1302="","",[2]Entry!$L$1302)</f>
        <v/>
      </c>
      <c r="AE1299">
        <f>IF([2]Entry!$M$1302="","",[2]Entry!$M$1302)</f>
        <v/>
      </c>
      <c r="AF1299">
        <f>IF([2]Entry!$N$1302="","",[2]Entry!$N$1302)</f>
        <v/>
      </c>
      <c r="AJ1299">
        <f>IF([2]Entry!$S$1302="","",[2]Entry!$S$1302)</f>
        <v/>
      </c>
      <c r="AK1299">
        <f>IF([2]Entry!$C$1302="","",[2]Entry!$C$1302)</f>
        <v/>
      </c>
      <c r="AL1299">
        <f>IF([2]Entry!$D$1302="","",[2]Entry!$D$1302)</f>
        <v/>
      </c>
    </row>
    <row r="1300">
      <c r="Z1300">
        <f>IF([2]Entry!$E$1303="","",[2]Entry!$E$1303)</f>
        <v/>
      </c>
      <c r="AA1300">
        <f>IF([2]Entry!$G$1303="","",[2]Entry!$G$1303)</f>
        <v/>
      </c>
      <c r="AB1300">
        <f>IF([2]Entry!$J$1303="","",[2]Entry!$J$1303)</f>
        <v/>
      </c>
      <c r="AC1300">
        <f>IF([2]Entry!$K$1303="","",[2]Entry!$K$1303)</f>
        <v/>
      </c>
      <c r="AD1300">
        <f>IF([2]Entry!$L$1303="","",[2]Entry!$L$1303)</f>
        <v/>
      </c>
      <c r="AE1300">
        <f>IF([2]Entry!$M$1303="","",[2]Entry!$M$1303)</f>
        <v/>
      </c>
      <c r="AF1300">
        <f>IF([2]Entry!$N$1303="","",[2]Entry!$N$1303)</f>
        <v/>
      </c>
      <c r="AJ1300">
        <f>IF([2]Entry!$S$1303="","",[2]Entry!$S$1303)</f>
        <v/>
      </c>
      <c r="AK1300">
        <f>IF([2]Entry!$C$1303="","",[2]Entry!$C$1303)</f>
        <v/>
      </c>
      <c r="AL1300">
        <f>IF([2]Entry!$D$1303="","",[2]Entry!$D$1303)</f>
        <v/>
      </c>
    </row>
    <row r="1301">
      <c r="Z1301">
        <f>IF([2]Entry!$E$1304="","",[2]Entry!$E$1304)</f>
        <v/>
      </c>
      <c r="AA1301">
        <f>IF([2]Entry!$G$1304="","",[2]Entry!$G$1304)</f>
        <v/>
      </c>
      <c r="AB1301">
        <f>IF([2]Entry!$J$1304="","",[2]Entry!$J$1304)</f>
        <v/>
      </c>
      <c r="AC1301">
        <f>IF([2]Entry!$K$1304="","",[2]Entry!$K$1304)</f>
        <v/>
      </c>
      <c r="AD1301">
        <f>IF([2]Entry!$L$1304="","",[2]Entry!$L$1304)</f>
        <v/>
      </c>
      <c r="AE1301">
        <f>IF([2]Entry!$M$1304="","",[2]Entry!$M$1304)</f>
        <v/>
      </c>
      <c r="AF1301">
        <f>IF([2]Entry!$N$1304="","",[2]Entry!$N$1304)</f>
        <v/>
      </c>
      <c r="AJ1301">
        <f>IF([2]Entry!$S$1304="","",[2]Entry!$S$1304)</f>
        <v/>
      </c>
      <c r="AK1301">
        <f>IF([2]Entry!$C$1304="","",[2]Entry!$C$1304)</f>
        <v/>
      </c>
      <c r="AL1301">
        <f>IF([2]Entry!$D$1304="","",[2]Entry!$D$1304)</f>
        <v/>
      </c>
    </row>
    <row r="1302">
      <c r="Z1302">
        <f>IF([2]Entry!$E$1305="","",[2]Entry!$E$1305)</f>
        <v/>
      </c>
      <c r="AA1302">
        <f>IF([2]Entry!$G$1305="","",[2]Entry!$G$1305)</f>
        <v/>
      </c>
      <c r="AB1302">
        <f>IF([2]Entry!$J$1305="","",[2]Entry!$J$1305)</f>
        <v/>
      </c>
      <c r="AC1302">
        <f>IF([2]Entry!$K$1305="","",[2]Entry!$K$1305)</f>
        <v/>
      </c>
      <c r="AD1302">
        <f>IF([2]Entry!$L$1305="","",[2]Entry!$L$1305)</f>
        <v/>
      </c>
      <c r="AE1302">
        <f>IF([2]Entry!$M$1305="","",[2]Entry!$M$1305)</f>
        <v/>
      </c>
      <c r="AF1302">
        <f>IF([2]Entry!$N$1305="","",[2]Entry!$N$1305)</f>
        <v/>
      </c>
      <c r="AJ1302">
        <f>IF([2]Entry!$S$1305="","",[2]Entry!$S$1305)</f>
        <v/>
      </c>
      <c r="AK1302">
        <f>IF([2]Entry!$C$1305="","",[2]Entry!$C$1305)</f>
        <v/>
      </c>
      <c r="AL1302">
        <f>IF([2]Entry!$D$1305="","",[2]Entry!$D$1305)</f>
        <v/>
      </c>
    </row>
    <row r="1303">
      <c r="Z1303">
        <f>IF([2]Entry!$E$1306="","",[2]Entry!$E$1306)</f>
        <v/>
      </c>
      <c r="AA1303">
        <f>IF([2]Entry!$G$1306="","",[2]Entry!$G$1306)</f>
        <v/>
      </c>
      <c r="AB1303">
        <f>IF([2]Entry!$J$1306="","",[2]Entry!$J$1306)</f>
        <v/>
      </c>
      <c r="AC1303">
        <f>IF([2]Entry!$K$1306="","",[2]Entry!$K$1306)</f>
        <v/>
      </c>
      <c r="AD1303">
        <f>IF([2]Entry!$L$1306="","",[2]Entry!$L$1306)</f>
        <v/>
      </c>
      <c r="AE1303">
        <f>IF([2]Entry!$M$1306="","",[2]Entry!$M$1306)</f>
        <v/>
      </c>
      <c r="AF1303">
        <f>IF([2]Entry!$N$1306="","",[2]Entry!$N$1306)</f>
        <v/>
      </c>
      <c r="AJ1303">
        <f>IF([2]Entry!$S$1306="","",[2]Entry!$S$1306)</f>
        <v/>
      </c>
      <c r="AK1303">
        <f>IF([2]Entry!$C$1306="","",[2]Entry!$C$1306)</f>
        <v/>
      </c>
      <c r="AL1303">
        <f>IF([2]Entry!$D$1306="","",[2]Entry!$D$1306)</f>
        <v/>
      </c>
    </row>
    <row r="1304">
      <c r="Z1304">
        <f>IF([2]Entry!$E$1307="","",[2]Entry!$E$1307)</f>
        <v/>
      </c>
      <c r="AA1304">
        <f>IF([2]Entry!$G$1307="","",[2]Entry!$G$1307)</f>
        <v/>
      </c>
      <c r="AB1304">
        <f>IF([2]Entry!$J$1307="","",[2]Entry!$J$1307)</f>
        <v/>
      </c>
      <c r="AC1304">
        <f>IF([2]Entry!$K$1307="","",[2]Entry!$K$1307)</f>
        <v/>
      </c>
      <c r="AD1304">
        <f>IF([2]Entry!$L$1307="","",[2]Entry!$L$1307)</f>
        <v/>
      </c>
      <c r="AE1304">
        <f>IF([2]Entry!$M$1307="","",[2]Entry!$M$1307)</f>
        <v/>
      </c>
      <c r="AF1304">
        <f>IF([2]Entry!$N$1307="","",[2]Entry!$N$1307)</f>
        <v/>
      </c>
      <c r="AJ1304">
        <f>IF([2]Entry!$S$1307="","",[2]Entry!$S$1307)</f>
        <v/>
      </c>
      <c r="AK1304">
        <f>IF([2]Entry!$C$1307="","",[2]Entry!$C$1307)</f>
        <v/>
      </c>
      <c r="AL1304">
        <f>IF([2]Entry!$D$1307="","",[2]Entry!$D$1307)</f>
        <v/>
      </c>
    </row>
    <row r="1305">
      <c r="Z1305">
        <f>IF([2]Entry!$E$1308="","",[2]Entry!$E$1308)</f>
        <v/>
      </c>
      <c r="AA1305">
        <f>IF([2]Entry!$G$1308="","",[2]Entry!$G$1308)</f>
        <v/>
      </c>
      <c r="AB1305">
        <f>IF([2]Entry!$J$1308="","",[2]Entry!$J$1308)</f>
        <v/>
      </c>
      <c r="AC1305">
        <f>IF([2]Entry!$K$1308="","",[2]Entry!$K$1308)</f>
        <v/>
      </c>
      <c r="AD1305">
        <f>IF([2]Entry!$L$1308="","",[2]Entry!$L$1308)</f>
        <v/>
      </c>
      <c r="AE1305">
        <f>IF([2]Entry!$M$1308="","",[2]Entry!$M$1308)</f>
        <v/>
      </c>
      <c r="AF1305">
        <f>IF([2]Entry!$N$1308="","",[2]Entry!$N$1308)</f>
        <v/>
      </c>
      <c r="AJ1305">
        <f>IF([2]Entry!$S$1308="","",[2]Entry!$S$1308)</f>
        <v/>
      </c>
      <c r="AK1305">
        <f>IF([2]Entry!$C$1308="","",[2]Entry!$C$1308)</f>
        <v/>
      </c>
      <c r="AL1305">
        <f>IF([2]Entry!$D$1308="","",[2]Entry!$D$1308)</f>
        <v/>
      </c>
    </row>
    <row r="1306">
      <c r="Z1306">
        <f>IF([2]Entry!$E$1309="","",[2]Entry!$E$1309)</f>
        <v/>
      </c>
      <c r="AA1306">
        <f>IF([2]Entry!$G$1309="","",[2]Entry!$G$1309)</f>
        <v/>
      </c>
      <c r="AB1306">
        <f>IF([2]Entry!$J$1309="","",[2]Entry!$J$1309)</f>
        <v/>
      </c>
      <c r="AC1306">
        <f>IF([2]Entry!$K$1309="","",[2]Entry!$K$1309)</f>
        <v/>
      </c>
      <c r="AD1306">
        <f>IF([2]Entry!$L$1309="","",[2]Entry!$L$1309)</f>
        <v/>
      </c>
      <c r="AE1306">
        <f>IF([2]Entry!$M$1309="","",[2]Entry!$M$1309)</f>
        <v/>
      </c>
      <c r="AF1306">
        <f>IF([2]Entry!$N$1309="","",[2]Entry!$N$1309)</f>
        <v/>
      </c>
      <c r="AJ1306">
        <f>IF([2]Entry!$S$1309="","",[2]Entry!$S$1309)</f>
        <v/>
      </c>
      <c r="AK1306">
        <f>IF([2]Entry!$C$1309="","",[2]Entry!$C$1309)</f>
        <v/>
      </c>
      <c r="AL1306">
        <f>IF([2]Entry!$D$1309="","",[2]Entry!$D$1309)</f>
        <v/>
      </c>
    </row>
    <row r="1307">
      <c r="Z1307">
        <f>IF([2]Entry!$E$1310="","",[2]Entry!$E$1310)</f>
        <v/>
      </c>
      <c r="AA1307">
        <f>IF([2]Entry!$G$1310="","",[2]Entry!$G$1310)</f>
        <v/>
      </c>
      <c r="AB1307">
        <f>IF([2]Entry!$J$1310="","",[2]Entry!$J$1310)</f>
        <v/>
      </c>
      <c r="AC1307">
        <f>IF([2]Entry!$K$1310="","",[2]Entry!$K$1310)</f>
        <v/>
      </c>
      <c r="AD1307">
        <f>IF([2]Entry!$L$1310="","",[2]Entry!$L$1310)</f>
        <v/>
      </c>
      <c r="AE1307">
        <f>IF([2]Entry!$M$1310="","",[2]Entry!$M$1310)</f>
        <v/>
      </c>
      <c r="AF1307">
        <f>IF([2]Entry!$N$1310="","",[2]Entry!$N$1310)</f>
        <v/>
      </c>
      <c r="AJ1307">
        <f>IF([2]Entry!$S$1310="","",[2]Entry!$S$1310)</f>
        <v/>
      </c>
      <c r="AK1307">
        <f>IF([2]Entry!$C$1310="","",[2]Entry!$C$1310)</f>
        <v/>
      </c>
      <c r="AL1307">
        <f>IF([2]Entry!$D$1310="","",[2]Entry!$D$1310)</f>
        <v/>
      </c>
    </row>
    <row r="1308">
      <c r="Z1308">
        <f>IF([2]Entry!$E$1311="","",[2]Entry!$E$1311)</f>
        <v/>
      </c>
      <c r="AA1308">
        <f>IF([2]Entry!$G$1311="","",[2]Entry!$G$1311)</f>
        <v/>
      </c>
      <c r="AB1308">
        <f>IF([2]Entry!$J$1311="","",[2]Entry!$J$1311)</f>
        <v/>
      </c>
      <c r="AC1308">
        <f>IF([2]Entry!$K$1311="","",[2]Entry!$K$1311)</f>
        <v/>
      </c>
      <c r="AD1308">
        <f>IF([2]Entry!$L$1311="","",[2]Entry!$L$1311)</f>
        <v/>
      </c>
      <c r="AE1308">
        <f>IF([2]Entry!$M$1311="","",[2]Entry!$M$1311)</f>
        <v/>
      </c>
      <c r="AF1308">
        <f>IF([2]Entry!$N$1311="","",[2]Entry!$N$1311)</f>
        <v/>
      </c>
      <c r="AJ1308">
        <f>IF([2]Entry!$S$1311="","",[2]Entry!$S$1311)</f>
        <v/>
      </c>
      <c r="AK1308">
        <f>IF([2]Entry!$C$1311="","",[2]Entry!$C$1311)</f>
        <v/>
      </c>
      <c r="AL1308">
        <f>IF([2]Entry!$D$1311="","",[2]Entry!$D$1311)</f>
        <v/>
      </c>
    </row>
    <row r="1309">
      <c r="Z1309">
        <f>IF([2]Entry!$E$1312="","",[2]Entry!$E$1312)</f>
        <v/>
      </c>
      <c r="AA1309">
        <f>IF([2]Entry!$G$1312="","",[2]Entry!$G$1312)</f>
        <v/>
      </c>
      <c r="AB1309">
        <f>IF([2]Entry!$J$1312="","",[2]Entry!$J$1312)</f>
        <v/>
      </c>
      <c r="AC1309">
        <f>IF([2]Entry!$K$1312="","",[2]Entry!$K$1312)</f>
        <v/>
      </c>
      <c r="AD1309">
        <f>IF([2]Entry!$L$1312="","",[2]Entry!$L$1312)</f>
        <v/>
      </c>
      <c r="AE1309">
        <f>IF([2]Entry!$M$1312="","",[2]Entry!$M$1312)</f>
        <v/>
      </c>
      <c r="AF1309">
        <f>IF([2]Entry!$N$1312="","",[2]Entry!$N$1312)</f>
        <v/>
      </c>
      <c r="AJ1309">
        <f>IF([2]Entry!$S$1312="","",[2]Entry!$S$1312)</f>
        <v/>
      </c>
      <c r="AK1309">
        <f>IF([2]Entry!$C$1312="","",[2]Entry!$C$1312)</f>
        <v/>
      </c>
      <c r="AL1309">
        <f>IF([2]Entry!$D$1312="","",[2]Entry!$D$1312)</f>
        <v/>
      </c>
    </row>
    <row r="1310">
      <c r="Z1310">
        <f>IF([2]Entry!$E$1313="","",[2]Entry!$E$1313)</f>
        <v/>
      </c>
      <c r="AA1310">
        <f>IF([2]Entry!$G$1313="","",[2]Entry!$G$1313)</f>
        <v/>
      </c>
      <c r="AB1310">
        <f>IF([2]Entry!$J$1313="","",[2]Entry!$J$1313)</f>
        <v/>
      </c>
      <c r="AC1310">
        <f>IF([2]Entry!$K$1313="","",[2]Entry!$K$1313)</f>
        <v/>
      </c>
      <c r="AD1310">
        <f>IF([2]Entry!$L$1313="","",[2]Entry!$L$1313)</f>
        <v/>
      </c>
      <c r="AE1310">
        <f>IF([2]Entry!$M$1313="","",[2]Entry!$M$1313)</f>
        <v/>
      </c>
      <c r="AF1310">
        <f>IF([2]Entry!$N$1313="","",[2]Entry!$N$1313)</f>
        <v/>
      </c>
      <c r="AJ1310">
        <f>IF([2]Entry!$S$1313="","",[2]Entry!$S$1313)</f>
        <v/>
      </c>
      <c r="AK1310">
        <f>IF([2]Entry!$C$1313="","",[2]Entry!$C$1313)</f>
        <v/>
      </c>
      <c r="AL1310">
        <f>IF([2]Entry!$D$1313="","",[2]Entry!$D$1313)</f>
        <v/>
      </c>
    </row>
    <row r="1311">
      <c r="Z1311">
        <f>IF([2]Entry!$E$1314="","",[2]Entry!$E$1314)</f>
        <v/>
      </c>
      <c r="AA1311">
        <f>IF([2]Entry!$G$1314="","",[2]Entry!$G$1314)</f>
        <v/>
      </c>
      <c r="AB1311">
        <f>IF([2]Entry!$J$1314="","",[2]Entry!$J$1314)</f>
        <v/>
      </c>
      <c r="AC1311">
        <f>IF([2]Entry!$K$1314="","",[2]Entry!$K$1314)</f>
        <v/>
      </c>
      <c r="AD1311">
        <f>IF([2]Entry!$L$1314="","",[2]Entry!$L$1314)</f>
        <v/>
      </c>
      <c r="AE1311">
        <f>IF([2]Entry!$M$1314="","",[2]Entry!$M$1314)</f>
        <v/>
      </c>
      <c r="AF1311">
        <f>IF([2]Entry!$N$1314="","",[2]Entry!$N$1314)</f>
        <v/>
      </c>
      <c r="AJ1311">
        <f>IF([2]Entry!$S$1314="","",[2]Entry!$S$1314)</f>
        <v/>
      </c>
      <c r="AK1311">
        <f>IF([2]Entry!$C$1314="","",[2]Entry!$C$1314)</f>
        <v/>
      </c>
      <c r="AL1311">
        <f>IF([2]Entry!$D$1314="","",[2]Entry!$D$1314)</f>
        <v/>
      </c>
    </row>
    <row r="1312">
      <c r="Z1312">
        <f>IF([2]Entry!$E$1315="","",[2]Entry!$E$1315)</f>
        <v/>
      </c>
      <c r="AA1312">
        <f>IF([2]Entry!$G$1315="","",[2]Entry!$G$1315)</f>
        <v/>
      </c>
      <c r="AB1312">
        <f>IF([2]Entry!$J$1315="","",[2]Entry!$J$1315)</f>
        <v/>
      </c>
      <c r="AC1312">
        <f>IF([2]Entry!$K$1315="","",[2]Entry!$K$1315)</f>
        <v/>
      </c>
      <c r="AD1312">
        <f>IF([2]Entry!$L$1315="","",[2]Entry!$L$1315)</f>
        <v/>
      </c>
      <c r="AE1312">
        <f>IF([2]Entry!$M$1315="","",[2]Entry!$M$1315)</f>
        <v/>
      </c>
      <c r="AF1312">
        <f>IF([2]Entry!$N$1315="","",[2]Entry!$N$1315)</f>
        <v/>
      </c>
      <c r="AJ1312">
        <f>IF([2]Entry!$S$1315="","",[2]Entry!$S$1315)</f>
        <v/>
      </c>
      <c r="AK1312">
        <f>IF([2]Entry!$C$1315="","",[2]Entry!$C$1315)</f>
        <v/>
      </c>
      <c r="AL1312">
        <f>IF([2]Entry!$D$1315="","",[2]Entry!$D$1315)</f>
        <v/>
      </c>
    </row>
    <row r="1313">
      <c r="Z1313">
        <f>IF([2]Entry!$E$1316="","",[2]Entry!$E$1316)</f>
        <v/>
      </c>
      <c r="AA1313">
        <f>IF([2]Entry!$G$1316="","",[2]Entry!$G$1316)</f>
        <v/>
      </c>
      <c r="AB1313">
        <f>IF([2]Entry!$J$1316="","",[2]Entry!$J$1316)</f>
        <v/>
      </c>
      <c r="AC1313">
        <f>IF([2]Entry!$K$1316="","",[2]Entry!$K$1316)</f>
        <v/>
      </c>
      <c r="AD1313">
        <f>IF([2]Entry!$L$1316="","",[2]Entry!$L$1316)</f>
        <v/>
      </c>
      <c r="AE1313">
        <f>IF([2]Entry!$M$1316="","",[2]Entry!$M$1316)</f>
        <v/>
      </c>
      <c r="AF1313">
        <f>IF([2]Entry!$N$1316="","",[2]Entry!$N$1316)</f>
        <v/>
      </c>
      <c r="AJ1313">
        <f>IF([2]Entry!$S$1316="","",[2]Entry!$S$1316)</f>
        <v/>
      </c>
      <c r="AK1313">
        <f>IF([2]Entry!$C$1316="","",[2]Entry!$C$1316)</f>
        <v/>
      </c>
      <c r="AL1313">
        <f>IF([2]Entry!$D$1316="","",[2]Entry!$D$1316)</f>
        <v/>
      </c>
    </row>
    <row r="1314">
      <c r="Z1314">
        <f>IF([2]Entry!$E$1317="","",[2]Entry!$E$1317)</f>
        <v/>
      </c>
      <c r="AA1314">
        <f>IF([2]Entry!$G$1317="","",[2]Entry!$G$1317)</f>
        <v/>
      </c>
      <c r="AB1314">
        <f>IF([2]Entry!$J$1317="","",[2]Entry!$J$1317)</f>
        <v/>
      </c>
      <c r="AC1314">
        <f>IF([2]Entry!$K$1317="","",[2]Entry!$K$1317)</f>
        <v/>
      </c>
      <c r="AD1314">
        <f>IF([2]Entry!$L$1317="","",[2]Entry!$L$1317)</f>
        <v/>
      </c>
      <c r="AE1314">
        <f>IF([2]Entry!$M$1317="","",[2]Entry!$M$1317)</f>
        <v/>
      </c>
      <c r="AF1314">
        <f>IF([2]Entry!$N$1317="","",[2]Entry!$N$1317)</f>
        <v/>
      </c>
      <c r="AJ1314">
        <f>IF([2]Entry!$S$1317="","",[2]Entry!$S$1317)</f>
        <v/>
      </c>
      <c r="AK1314">
        <f>IF([2]Entry!$C$1317="","",[2]Entry!$C$1317)</f>
        <v/>
      </c>
      <c r="AL1314">
        <f>IF([2]Entry!$D$1317="","",[2]Entry!$D$1317)</f>
        <v/>
      </c>
    </row>
    <row r="1315">
      <c r="Z1315">
        <f>IF([2]Entry!$E$1318="","",[2]Entry!$E$1318)</f>
        <v/>
      </c>
      <c r="AA1315">
        <f>IF([2]Entry!$G$1318="","",[2]Entry!$G$1318)</f>
        <v/>
      </c>
      <c r="AB1315">
        <f>IF([2]Entry!$J$1318="","",[2]Entry!$J$1318)</f>
        <v/>
      </c>
      <c r="AC1315">
        <f>IF([2]Entry!$K$1318="","",[2]Entry!$K$1318)</f>
        <v/>
      </c>
      <c r="AD1315">
        <f>IF([2]Entry!$L$1318="","",[2]Entry!$L$1318)</f>
        <v/>
      </c>
      <c r="AE1315">
        <f>IF([2]Entry!$M$1318="","",[2]Entry!$M$1318)</f>
        <v/>
      </c>
      <c r="AF1315">
        <f>IF([2]Entry!$N$1318="","",[2]Entry!$N$1318)</f>
        <v/>
      </c>
      <c r="AJ1315">
        <f>IF([2]Entry!$S$1318="","",[2]Entry!$S$1318)</f>
        <v/>
      </c>
      <c r="AK1315">
        <f>IF([2]Entry!$C$1318="","",[2]Entry!$C$1318)</f>
        <v/>
      </c>
      <c r="AL1315">
        <f>IF([2]Entry!$D$1318="","",[2]Entry!$D$1318)</f>
        <v/>
      </c>
    </row>
    <row r="1316">
      <c r="Z1316">
        <f>IF([2]Entry!$E$1319="","",[2]Entry!$E$1319)</f>
        <v/>
      </c>
      <c r="AA1316">
        <f>IF([2]Entry!$G$1319="","",[2]Entry!$G$1319)</f>
        <v/>
      </c>
      <c r="AB1316">
        <f>IF([2]Entry!$J$1319="","",[2]Entry!$J$1319)</f>
        <v/>
      </c>
      <c r="AC1316">
        <f>IF([2]Entry!$K$1319="","",[2]Entry!$K$1319)</f>
        <v/>
      </c>
      <c r="AD1316">
        <f>IF([2]Entry!$L$1319="","",[2]Entry!$L$1319)</f>
        <v/>
      </c>
      <c r="AE1316">
        <f>IF([2]Entry!$M$1319="","",[2]Entry!$M$1319)</f>
        <v/>
      </c>
      <c r="AF1316">
        <f>IF([2]Entry!$N$1319="","",[2]Entry!$N$1319)</f>
        <v/>
      </c>
      <c r="AJ1316">
        <f>IF([2]Entry!$S$1319="","",[2]Entry!$S$1319)</f>
        <v/>
      </c>
      <c r="AK1316">
        <f>IF([2]Entry!$C$1319="","",[2]Entry!$C$1319)</f>
        <v/>
      </c>
      <c r="AL1316">
        <f>IF([2]Entry!$D$1319="","",[2]Entry!$D$1319)</f>
        <v/>
      </c>
    </row>
    <row r="1317">
      <c r="Z1317">
        <f>IF([2]Entry!$E$1320="","",[2]Entry!$E$1320)</f>
        <v/>
      </c>
      <c r="AA1317">
        <f>IF([2]Entry!$G$1320="","",[2]Entry!$G$1320)</f>
        <v/>
      </c>
      <c r="AB1317">
        <f>IF([2]Entry!$J$1320="","",[2]Entry!$J$1320)</f>
        <v/>
      </c>
      <c r="AC1317">
        <f>IF([2]Entry!$K$1320="","",[2]Entry!$K$1320)</f>
        <v/>
      </c>
      <c r="AD1317">
        <f>IF([2]Entry!$L$1320="","",[2]Entry!$L$1320)</f>
        <v/>
      </c>
      <c r="AE1317">
        <f>IF([2]Entry!$M$1320="","",[2]Entry!$M$1320)</f>
        <v/>
      </c>
      <c r="AF1317">
        <f>IF([2]Entry!$N$1320="","",[2]Entry!$N$1320)</f>
        <v/>
      </c>
      <c r="AJ1317">
        <f>IF([2]Entry!$S$1320="","",[2]Entry!$S$1320)</f>
        <v/>
      </c>
      <c r="AK1317">
        <f>IF([2]Entry!$C$1320="","",[2]Entry!$C$1320)</f>
        <v/>
      </c>
      <c r="AL1317">
        <f>IF([2]Entry!$D$1320="","",[2]Entry!$D$1320)</f>
        <v/>
      </c>
    </row>
    <row r="1318">
      <c r="Z1318">
        <f>IF([2]Entry!$E$1321="","",[2]Entry!$E$1321)</f>
        <v/>
      </c>
      <c r="AA1318">
        <f>IF([2]Entry!$G$1321="","",[2]Entry!$G$1321)</f>
        <v/>
      </c>
      <c r="AB1318">
        <f>IF([2]Entry!$J$1321="","",[2]Entry!$J$1321)</f>
        <v/>
      </c>
      <c r="AC1318">
        <f>IF([2]Entry!$K$1321="","",[2]Entry!$K$1321)</f>
        <v/>
      </c>
      <c r="AD1318">
        <f>IF([2]Entry!$L$1321="","",[2]Entry!$L$1321)</f>
        <v/>
      </c>
      <c r="AE1318">
        <f>IF([2]Entry!$M$1321="","",[2]Entry!$M$1321)</f>
        <v/>
      </c>
      <c r="AF1318">
        <f>IF([2]Entry!$N$1321="","",[2]Entry!$N$1321)</f>
        <v/>
      </c>
      <c r="AJ1318">
        <f>IF([2]Entry!$S$1321="","",[2]Entry!$S$1321)</f>
        <v/>
      </c>
      <c r="AK1318">
        <f>IF([2]Entry!$C$1321="","",[2]Entry!$C$1321)</f>
        <v/>
      </c>
      <c r="AL1318">
        <f>IF([2]Entry!$D$1321="","",[2]Entry!$D$1321)</f>
        <v/>
      </c>
    </row>
    <row r="1319">
      <c r="Z1319">
        <f>IF([2]Entry!$E$1322="","",[2]Entry!$E$1322)</f>
        <v/>
      </c>
      <c r="AA1319">
        <f>IF([2]Entry!$G$1322="","",[2]Entry!$G$1322)</f>
        <v/>
      </c>
      <c r="AB1319">
        <f>IF([2]Entry!$J$1322="","",[2]Entry!$J$1322)</f>
        <v/>
      </c>
      <c r="AC1319">
        <f>IF([2]Entry!$K$1322="","",[2]Entry!$K$1322)</f>
        <v/>
      </c>
      <c r="AD1319">
        <f>IF([2]Entry!$L$1322="","",[2]Entry!$L$1322)</f>
        <v/>
      </c>
      <c r="AE1319">
        <f>IF([2]Entry!$M$1322="","",[2]Entry!$M$1322)</f>
        <v/>
      </c>
      <c r="AF1319">
        <f>IF([2]Entry!$N$1322="","",[2]Entry!$N$1322)</f>
        <v/>
      </c>
      <c r="AJ1319">
        <f>IF([2]Entry!$S$1322="","",[2]Entry!$S$1322)</f>
        <v/>
      </c>
      <c r="AK1319">
        <f>IF([2]Entry!$C$1322="","",[2]Entry!$C$1322)</f>
        <v/>
      </c>
      <c r="AL1319">
        <f>IF([2]Entry!$D$1322="","",[2]Entry!$D$1322)</f>
        <v/>
      </c>
    </row>
    <row r="1320">
      <c r="Z1320">
        <f>IF([2]Entry!$E$1323="","",[2]Entry!$E$1323)</f>
        <v/>
      </c>
      <c r="AA1320">
        <f>IF([2]Entry!$G$1323="","",[2]Entry!$G$1323)</f>
        <v/>
      </c>
      <c r="AB1320">
        <f>IF([2]Entry!$J$1323="","",[2]Entry!$J$1323)</f>
        <v/>
      </c>
      <c r="AC1320">
        <f>IF([2]Entry!$K$1323="","",[2]Entry!$K$1323)</f>
        <v/>
      </c>
      <c r="AD1320">
        <f>IF([2]Entry!$L$1323="","",[2]Entry!$L$1323)</f>
        <v/>
      </c>
      <c r="AE1320">
        <f>IF([2]Entry!$M$1323="","",[2]Entry!$M$1323)</f>
        <v/>
      </c>
      <c r="AF1320">
        <f>IF([2]Entry!$N$1323="","",[2]Entry!$N$1323)</f>
        <v/>
      </c>
      <c r="AJ1320">
        <f>IF([2]Entry!$S$1323="","",[2]Entry!$S$1323)</f>
        <v/>
      </c>
      <c r="AK1320">
        <f>IF([2]Entry!$C$1323="","",[2]Entry!$C$1323)</f>
        <v/>
      </c>
      <c r="AL1320">
        <f>IF([2]Entry!$D$1323="","",[2]Entry!$D$1323)</f>
        <v/>
      </c>
    </row>
    <row r="1321">
      <c r="Z1321">
        <f>IF([2]Entry!$E$1324="","",[2]Entry!$E$1324)</f>
        <v/>
      </c>
      <c r="AA1321">
        <f>IF([2]Entry!$G$1324="","",[2]Entry!$G$1324)</f>
        <v/>
      </c>
      <c r="AB1321">
        <f>IF([2]Entry!$J$1324="","",[2]Entry!$J$1324)</f>
        <v/>
      </c>
      <c r="AC1321">
        <f>IF([2]Entry!$K$1324="","",[2]Entry!$K$1324)</f>
        <v/>
      </c>
      <c r="AD1321">
        <f>IF([2]Entry!$L$1324="","",[2]Entry!$L$1324)</f>
        <v/>
      </c>
      <c r="AE1321">
        <f>IF([2]Entry!$M$1324="","",[2]Entry!$M$1324)</f>
        <v/>
      </c>
      <c r="AF1321">
        <f>IF([2]Entry!$N$1324="","",[2]Entry!$N$1324)</f>
        <v/>
      </c>
      <c r="AJ1321">
        <f>IF([2]Entry!$S$1324="","",[2]Entry!$S$1324)</f>
        <v/>
      </c>
      <c r="AK1321">
        <f>IF([2]Entry!$C$1324="","",[2]Entry!$C$1324)</f>
        <v/>
      </c>
      <c r="AL1321">
        <f>IF([2]Entry!$D$1324="","",[2]Entry!$D$1324)</f>
        <v/>
      </c>
    </row>
    <row r="1322">
      <c r="Z1322">
        <f>IF([2]Entry!$E$1325="","",[2]Entry!$E$1325)</f>
        <v/>
      </c>
      <c r="AA1322">
        <f>IF([2]Entry!$G$1325="","",[2]Entry!$G$1325)</f>
        <v/>
      </c>
      <c r="AB1322">
        <f>IF([2]Entry!$J$1325="","",[2]Entry!$J$1325)</f>
        <v/>
      </c>
      <c r="AC1322">
        <f>IF([2]Entry!$K$1325="","",[2]Entry!$K$1325)</f>
        <v/>
      </c>
      <c r="AD1322">
        <f>IF([2]Entry!$L$1325="","",[2]Entry!$L$1325)</f>
        <v/>
      </c>
      <c r="AE1322">
        <f>IF([2]Entry!$M$1325="","",[2]Entry!$M$1325)</f>
        <v/>
      </c>
      <c r="AF1322">
        <f>IF([2]Entry!$N$1325="","",[2]Entry!$N$1325)</f>
        <v/>
      </c>
      <c r="AJ1322">
        <f>IF([2]Entry!$S$1325="","",[2]Entry!$S$1325)</f>
        <v/>
      </c>
      <c r="AK1322">
        <f>IF([2]Entry!$C$1325="","",[2]Entry!$C$1325)</f>
        <v/>
      </c>
      <c r="AL1322">
        <f>IF([2]Entry!$D$1325="","",[2]Entry!$D$1325)</f>
        <v/>
      </c>
    </row>
    <row r="1323">
      <c r="Z1323">
        <f>IF([2]Entry!$E$1326="","",[2]Entry!$E$1326)</f>
        <v/>
      </c>
      <c r="AA1323">
        <f>IF([2]Entry!$G$1326="","",[2]Entry!$G$1326)</f>
        <v/>
      </c>
      <c r="AB1323">
        <f>IF([2]Entry!$J$1326="","",[2]Entry!$J$1326)</f>
        <v/>
      </c>
      <c r="AC1323">
        <f>IF([2]Entry!$K$1326="","",[2]Entry!$K$1326)</f>
        <v/>
      </c>
      <c r="AD1323">
        <f>IF([2]Entry!$L$1326="","",[2]Entry!$L$1326)</f>
        <v/>
      </c>
      <c r="AE1323">
        <f>IF([2]Entry!$M$1326="","",[2]Entry!$M$1326)</f>
        <v/>
      </c>
      <c r="AF1323">
        <f>IF([2]Entry!$N$1326="","",[2]Entry!$N$1326)</f>
        <v/>
      </c>
      <c r="AJ1323">
        <f>IF([2]Entry!$S$1326="","",[2]Entry!$S$1326)</f>
        <v/>
      </c>
      <c r="AK1323">
        <f>IF([2]Entry!$C$1326="","",[2]Entry!$C$1326)</f>
        <v/>
      </c>
      <c r="AL1323">
        <f>IF([2]Entry!$D$1326="","",[2]Entry!$D$1326)</f>
        <v/>
      </c>
    </row>
    <row r="1324">
      <c r="Z1324">
        <f>IF([2]Entry!$E$1327="","",[2]Entry!$E$1327)</f>
        <v/>
      </c>
      <c r="AA1324">
        <f>IF([2]Entry!$G$1327="","",[2]Entry!$G$1327)</f>
        <v/>
      </c>
      <c r="AB1324">
        <f>IF([2]Entry!$J$1327="","",[2]Entry!$J$1327)</f>
        <v/>
      </c>
      <c r="AC1324">
        <f>IF([2]Entry!$K$1327="","",[2]Entry!$K$1327)</f>
        <v/>
      </c>
      <c r="AD1324">
        <f>IF([2]Entry!$L$1327="","",[2]Entry!$L$1327)</f>
        <v/>
      </c>
      <c r="AE1324">
        <f>IF([2]Entry!$M$1327="","",[2]Entry!$M$1327)</f>
        <v/>
      </c>
      <c r="AF1324">
        <f>IF([2]Entry!$N$1327="","",[2]Entry!$N$1327)</f>
        <v/>
      </c>
      <c r="AJ1324">
        <f>IF([2]Entry!$S$1327="","",[2]Entry!$S$1327)</f>
        <v/>
      </c>
      <c r="AK1324">
        <f>IF([2]Entry!$C$1327="","",[2]Entry!$C$1327)</f>
        <v/>
      </c>
      <c r="AL1324">
        <f>IF([2]Entry!$D$1327="","",[2]Entry!$D$1327)</f>
        <v/>
      </c>
    </row>
    <row r="1325">
      <c r="Z1325">
        <f>IF([2]Entry!$E$1328="","",[2]Entry!$E$1328)</f>
        <v/>
      </c>
      <c r="AA1325">
        <f>IF([2]Entry!$G$1328="","",[2]Entry!$G$1328)</f>
        <v/>
      </c>
      <c r="AB1325">
        <f>IF([2]Entry!$J$1328="","",[2]Entry!$J$1328)</f>
        <v/>
      </c>
      <c r="AC1325">
        <f>IF([2]Entry!$K$1328="","",[2]Entry!$K$1328)</f>
        <v/>
      </c>
      <c r="AD1325">
        <f>IF([2]Entry!$L$1328="","",[2]Entry!$L$1328)</f>
        <v/>
      </c>
      <c r="AE1325">
        <f>IF([2]Entry!$M$1328="","",[2]Entry!$M$1328)</f>
        <v/>
      </c>
      <c r="AF1325">
        <f>IF([2]Entry!$N$1328="","",[2]Entry!$N$1328)</f>
        <v/>
      </c>
      <c r="AJ1325">
        <f>IF([2]Entry!$S$1328="","",[2]Entry!$S$1328)</f>
        <v/>
      </c>
      <c r="AK1325">
        <f>IF([2]Entry!$C$1328="","",[2]Entry!$C$1328)</f>
        <v/>
      </c>
      <c r="AL1325">
        <f>IF([2]Entry!$D$1328="","",[2]Entry!$D$1328)</f>
        <v/>
      </c>
    </row>
    <row r="1326">
      <c r="Z1326">
        <f>IF([2]Entry!$E$1329="","",[2]Entry!$E$1329)</f>
        <v/>
      </c>
      <c r="AA1326">
        <f>IF([2]Entry!$G$1329="","",[2]Entry!$G$1329)</f>
        <v/>
      </c>
      <c r="AB1326">
        <f>IF([2]Entry!$J$1329="","",[2]Entry!$J$1329)</f>
        <v/>
      </c>
      <c r="AC1326">
        <f>IF([2]Entry!$K$1329="","",[2]Entry!$K$1329)</f>
        <v/>
      </c>
      <c r="AD1326">
        <f>IF([2]Entry!$L$1329="","",[2]Entry!$L$1329)</f>
        <v/>
      </c>
      <c r="AE1326">
        <f>IF([2]Entry!$M$1329="","",[2]Entry!$M$1329)</f>
        <v/>
      </c>
      <c r="AF1326">
        <f>IF([2]Entry!$N$1329="","",[2]Entry!$N$1329)</f>
        <v/>
      </c>
      <c r="AJ1326">
        <f>IF([2]Entry!$S$1329="","",[2]Entry!$S$1329)</f>
        <v/>
      </c>
      <c r="AK1326">
        <f>IF([2]Entry!$C$1329="","",[2]Entry!$C$1329)</f>
        <v/>
      </c>
      <c r="AL1326">
        <f>IF([2]Entry!$D$1329="","",[2]Entry!$D$1329)</f>
        <v/>
      </c>
    </row>
    <row r="1327">
      <c r="Z1327">
        <f>IF([2]Entry!$E$1330="","",[2]Entry!$E$1330)</f>
        <v/>
      </c>
      <c r="AA1327">
        <f>IF([2]Entry!$G$1330="","",[2]Entry!$G$1330)</f>
        <v/>
      </c>
      <c r="AB1327">
        <f>IF([2]Entry!$J$1330="","",[2]Entry!$J$1330)</f>
        <v/>
      </c>
      <c r="AC1327">
        <f>IF([2]Entry!$K$1330="","",[2]Entry!$K$1330)</f>
        <v/>
      </c>
      <c r="AD1327">
        <f>IF([2]Entry!$L$1330="","",[2]Entry!$L$1330)</f>
        <v/>
      </c>
      <c r="AE1327">
        <f>IF([2]Entry!$M$1330="","",[2]Entry!$M$1330)</f>
        <v/>
      </c>
      <c r="AF1327">
        <f>IF([2]Entry!$N$1330="","",[2]Entry!$N$1330)</f>
        <v/>
      </c>
      <c r="AJ1327">
        <f>IF([2]Entry!$S$1330="","",[2]Entry!$S$1330)</f>
        <v/>
      </c>
      <c r="AK1327">
        <f>IF([2]Entry!$C$1330="","",[2]Entry!$C$1330)</f>
        <v/>
      </c>
      <c r="AL1327">
        <f>IF([2]Entry!$D$1330="","",[2]Entry!$D$1330)</f>
        <v/>
      </c>
    </row>
    <row r="1328">
      <c r="Z1328">
        <f>IF([2]Entry!$E$1331="","",[2]Entry!$E$1331)</f>
        <v/>
      </c>
      <c r="AA1328">
        <f>IF([2]Entry!$G$1331="","",[2]Entry!$G$1331)</f>
        <v/>
      </c>
      <c r="AB1328">
        <f>IF([2]Entry!$J$1331="","",[2]Entry!$J$1331)</f>
        <v/>
      </c>
      <c r="AC1328">
        <f>IF([2]Entry!$K$1331="","",[2]Entry!$K$1331)</f>
        <v/>
      </c>
      <c r="AD1328">
        <f>IF([2]Entry!$L$1331="","",[2]Entry!$L$1331)</f>
        <v/>
      </c>
      <c r="AE1328">
        <f>IF([2]Entry!$M$1331="","",[2]Entry!$M$1331)</f>
        <v/>
      </c>
      <c r="AF1328">
        <f>IF([2]Entry!$N$1331="","",[2]Entry!$N$1331)</f>
        <v/>
      </c>
      <c r="AJ1328">
        <f>IF([2]Entry!$S$1331="","",[2]Entry!$S$1331)</f>
        <v/>
      </c>
      <c r="AK1328">
        <f>IF([2]Entry!$C$1331="","",[2]Entry!$C$1331)</f>
        <v/>
      </c>
      <c r="AL1328">
        <f>IF([2]Entry!$D$1331="","",[2]Entry!$D$1331)</f>
        <v/>
      </c>
    </row>
    <row r="1329">
      <c r="Z1329">
        <f>IF([2]Entry!$E$1332="","",[2]Entry!$E$1332)</f>
        <v/>
      </c>
      <c r="AA1329">
        <f>IF([2]Entry!$G$1332="","",[2]Entry!$G$1332)</f>
        <v/>
      </c>
      <c r="AB1329">
        <f>IF([2]Entry!$J$1332="","",[2]Entry!$J$1332)</f>
        <v/>
      </c>
      <c r="AC1329">
        <f>IF([2]Entry!$K$1332="","",[2]Entry!$K$1332)</f>
        <v/>
      </c>
      <c r="AD1329">
        <f>IF([2]Entry!$L$1332="","",[2]Entry!$L$1332)</f>
        <v/>
      </c>
      <c r="AE1329">
        <f>IF([2]Entry!$M$1332="","",[2]Entry!$M$1332)</f>
        <v/>
      </c>
      <c r="AF1329">
        <f>IF([2]Entry!$N$1332="","",[2]Entry!$N$1332)</f>
        <v/>
      </c>
      <c r="AJ1329">
        <f>IF([2]Entry!$S$1332="","",[2]Entry!$S$1332)</f>
        <v/>
      </c>
      <c r="AK1329">
        <f>IF([2]Entry!$C$1332="","",[2]Entry!$C$1332)</f>
        <v/>
      </c>
      <c r="AL1329">
        <f>IF([2]Entry!$D$1332="","",[2]Entry!$D$1332)</f>
        <v/>
      </c>
    </row>
    <row r="1330">
      <c r="Z1330">
        <f>IF([2]Entry!$E$1333="","",[2]Entry!$E$1333)</f>
        <v/>
      </c>
      <c r="AA1330">
        <f>IF([2]Entry!$G$1333="","",[2]Entry!$G$1333)</f>
        <v/>
      </c>
      <c r="AB1330">
        <f>IF([2]Entry!$J$1333="","",[2]Entry!$J$1333)</f>
        <v/>
      </c>
      <c r="AC1330">
        <f>IF([2]Entry!$K$1333="","",[2]Entry!$K$1333)</f>
        <v/>
      </c>
      <c r="AD1330">
        <f>IF([2]Entry!$L$1333="","",[2]Entry!$L$1333)</f>
        <v/>
      </c>
      <c r="AE1330">
        <f>IF([2]Entry!$M$1333="","",[2]Entry!$M$1333)</f>
        <v/>
      </c>
      <c r="AF1330">
        <f>IF([2]Entry!$N$1333="","",[2]Entry!$N$1333)</f>
        <v/>
      </c>
      <c r="AJ1330">
        <f>IF([2]Entry!$S$1333="","",[2]Entry!$S$1333)</f>
        <v/>
      </c>
      <c r="AK1330">
        <f>IF([2]Entry!$C$1333="","",[2]Entry!$C$1333)</f>
        <v/>
      </c>
      <c r="AL1330">
        <f>IF([2]Entry!$D$1333="","",[2]Entry!$D$1333)</f>
        <v/>
      </c>
    </row>
    <row r="1331">
      <c r="Z1331">
        <f>IF([2]Entry!$E$1334="","",[2]Entry!$E$1334)</f>
        <v/>
      </c>
      <c r="AA1331">
        <f>IF([2]Entry!$G$1334="","",[2]Entry!$G$1334)</f>
        <v/>
      </c>
      <c r="AB1331">
        <f>IF([2]Entry!$J$1334="","",[2]Entry!$J$1334)</f>
        <v/>
      </c>
      <c r="AC1331">
        <f>IF([2]Entry!$K$1334="","",[2]Entry!$K$1334)</f>
        <v/>
      </c>
      <c r="AD1331">
        <f>IF([2]Entry!$L$1334="","",[2]Entry!$L$1334)</f>
        <v/>
      </c>
      <c r="AE1331">
        <f>IF([2]Entry!$M$1334="","",[2]Entry!$M$1334)</f>
        <v/>
      </c>
      <c r="AF1331">
        <f>IF([2]Entry!$N$1334="","",[2]Entry!$N$1334)</f>
        <v/>
      </c>
      <c r="AJ1331">
        <f>IF([2]Entry!$S$1334="","",[2]Entry!$S$1334)</f>
        <v/>
      </c>
      <c r="AK1331">
        <f>IF([2]Entry!$C$1334="","",[2]Entry!$C$1334)</f>
        <v/>
      </c>
      <c r="AL1331">
        <f>IF([2]Entry!$D$1334="","",[2]Entry!$D$1334)</f>
        <v/>
      </c>
    </row>
    <row r="1332">
      <c r="Z1332">
        <f>IF([2]Entry!$E$1335="","",[2]Entry!$E$1335)</f>
        <v/>
      </c>
      <c r="AA1332">
        <f>IF([2]Entry!$G$1335="","",[2]Entry!$G$1335)</f>
        <v/>
      </c>
      <c r="AB1332">
        <f>IF([2]Entry!$J$1335="","",[2]Entry!$J$1335)</f>
        <v/>
      </c>
      <c r="AC1332">
        <f>IF([2]Entry!$K$1335="","",[2]Entry!$K$1335)</f>
        <v/>
      </c>
      <c r="AD1332">
        <f>IF([2]Entry!$L$1335="","",[2]Entry!$L$1335)</f>
        <v/>
      </c>
      <c r="AE1332">
        <f>IF([2]Entry!$M$1335="","",[2]Entry!$M$1335)</f>
        <v/>
      </c>
      <c r="AF1332">
        <f>IF([2]Entry!$N$1335="","",[2]Entry!$N$1335)</f>
        <v/>
      </c>
      <c r="AJ1332">
        <f>IF([2]Entry!$S$1335="","",[2]Entry!$S$1335)</f>
        <v/>
      </c>
      <c r="AK1332">
        <f>IF([2]Entry!$C$1335="","",[2]Entry!$C$1335)</f>
        <v/>
      </c>
      <c r="AL1332">
        <f>IF([2]Entry!$D$1335="","",[2]Entry!$D$1335)</f>
        <v/>
      </c>
    </row>
    <row r="1333">
      <c r="Z1333">
        <f>IF([2]Entry!$E$1336="","",[2]Entry!$E$1336)</f>
        <v/>
      </c>
      <c r="AA1333">
        <f>IF([2]Entry!$G$1336="","",[2]Entry!$G$1336)</f>
        <v/>
      </c>
      <c r="AB1333">
        <f>IF([2]Entry!$J$1336="","",[2]Entry!$J$1336)</f>
        <v/>
      </c>
      <c r="AC1333">
        <f>IF([2]Entry!$K$1336="","",[2]Entry!$K$1336)</f>
        <v/>
      </c>
      <c r="AD1333">
        <f>IF([2]Entry!$L$1336="","",[2]Entry!$L$1336)</f>
        <v/>
      </c>
      <c r="AE1333">
        <f>IF([2]Entry!$M$1336="","",[2]Entry!$M$1336)</f>
        <v/>
      </c>
      <c r="AF1333">
        <f>IF([2]Entry!$N$1336="","",[2]Entry!$N$1336)</f>
        <v/>
      </c>
      <c r="AJ1333">
        <f>IF([2]Entry!$S$1336="","",[2]Entry!$S$1336)</f>
        <v/>
      </c>
      <c r="AK1333">
        <f>IF([2]Entry!$C$1336="","",[2]Entry!$C$1336)</f>
        <v/>
      </c>
      <c r="AL1333">
        <f>IF([2]Entry!$D$1336="","",[2]Entry!$D$1336)</f>
        <v/>
      </c>
    </row>
    <row r="1334">
      <c r="Z1334">
        <f>IF([2]Entry!$E$1337="","",[2]Entry!$E$1337)</f>
        <v/>
      </c>
      <c r="AA1334">
        <f>IF([2]Entry!$G$1337="","",[2]Entry!$G$1337)</f>
        <v/>
      </c>
      <c r="AB1334">
        <f>IF([2]Entry!$J$1337="","",[2]Entry!$J$1337)</f>
        <v/>
      </c>
      <c r="AC1334">
        <f>IF([2]Entry!$K$1337="","",[2]Entry!$K$1337)</f>
        <v/>
      </c>
      <c r="AD1334">
        <f>IF([2]Entry!$L$1337="","",[2]Entry!$L$1337)</f>
        <v/>
      </c>
      <c r="AE1334">
        <f>IF([2]Entry!$M$1337="","",[2]Entry!$M$1337)</f>
        <v/>
      </c>
      <c r="AF1334">
        <f>IF([2]Entry!$N$1337="","",[2]Entry!$N$1337)</f>
        <v/>
      </c>
      <c r="AJ1334">
        <f>IF([2]Entry!$S$1337="","",[2]Entry!$S$1337)</f>
        <v/>
      </c>
      <c r="AK1334">
        <f>IF([2]Entry!$C$1337="","",[2]Entry!$C$1337)</f>
        <v/>
      </c>
      <c r="AL1334">
        <f>IF([2]Entry!$D$1337="","",[2]Entry!$D$1337)</f>
        <v/>
      </c>
    </row>
    <row r="1335">
      <c r="Z1335">
        <f>IF([2]Entry!$E$1338="","",[2]Entry!$E$1338)</f>
        <v/>
      </c>
      <c r="AA1335">
        <f>IF([2]Entry!$G$1338="","",[2]Entry!$G$1338)</f>
        <v/>
      </c>
      <c r="AB1335">
        <f>IF([2]Entry!$J$1338="","",[2]Entry!$J$1338)</f>
        <v/>
      </c>
      <c r="AC1335">
        <f>IF([2]Entry!$K$1338="","",[2]Entry!$K$1338)</f>
        <v/>
      </c>
      <c r="AD1335">
        <f>IF([2]Entry!$L$1338="","",[2]Entry!$L$1338)</f>
        <v/>
      </c>
      <c r="AE1335">
        <f>IF([2]Entry!$M$1338="","",[2]Entry!$M$1338)</f>
        <v/>
      </c>
      <c r="AF1335">
        <f>IF([2]Entry!$N$1338="","",[2]Entry!$N$1338)</f>
        <v/>
      </c>
      <c r="AJ1335">
        <f>IF([2]Entry!$S$1338="","",[2]Entry!$S$1338)</f>
        <v/>
      </c>
      <c r="AK1335">
        <f>IF([2]Entry!$C$1338="","",[2]Entry!$C$1338)</f>
        <v/>
      </c>
      <c r="AL1335">
        <f>IF([2]Entry!$D$1338="","",[2]Entry!$D$1338)</f>
        <v/>
      </c>
    </row>
    <row r="1336">
      <c r="Z1336">
        <f>IF([2]Entry!$E$1339="","",[2]Entry!$E$1339)</f>
        <v/>
      </c>
      <c r="AA1336">
        <f>IF([2]Entry!$G$1339="","",[2]Entry!$G$1339)</f>
        <v/>
      </c>
      <c r="AB1336">
        <f>IF([2]Entry!$J$1339="","",[2]Entry!$J$1339)</f>
        <v/>
      </c>
      <c r="AC1336">
        <f>IF([2]Entry!$K$1339="","",[2]Entry!$K$1339)</f>
        <v/>
      </c>
      <c r="AD1336">
        <f>IF([2]Entry!$L$1339="","",[2]Entry!$L$1339)</f>
        <v/>
      </c>
      <c r="AE1336">
        <f>IF([2]Entry!$M$1339="","",[2]Entry!$M$1339)</f>
        <v/>
      </c>
      <c r="AF1336">
        <f>IF([2]Entry!$N$1339="","",[2]Entry!$N$1339)</f>
        <v/>
      </c>
      <c r="AJ1336">
        <f>IF([2]Entry!$S$1339="","",[2]Entry!$S$1339)</f>
        <v/>
      </c>
      <c r="AK1336">
        <f>IF([2]Entry!$C$1339="","",[2]Entry!$C$1339)</f>
        <v/>
      </c>
      <c r="AL1336">
        <f>IF([2]Entry!$D$1339="","",[2]Entry!$D$1339)</f>
        <v/>
      </c>
    </row>
    <row r="1337">
      <c r="Z1337">
        <f>IF([2]Entry!$E$1340="","",[2]Entry!$E$1340)</f>
        <v/>
      </c>
      <c r="AA1337">
        <f>IF([2]Entry!$G$1340="","",[2]Entry!$G$1340)</f>
        <v/>
      </c>
      <c r="AB1337">
        <f>IF([2]Entry!$J$1340="","",[2]Entry!$J$1340)</f>
        <v/>
      </c>
      <c r="AC1337">
        <f>IF([2]Entry!$K$1340="","",[2]Entry!$K$1340)</f>
        <v/>
      </c>
      <c r="AD1337">
        <f>IF([2]Entry!$L$1340="","",[2]Entry!$L$1340)</f>
        <v/>
      </c>
      <c r="AE1337">
        <f>IF([2]Entry!$M$1340="","",[2]Entry!$M$1340)</f>
        <v/>
      </c>
      <c r="AF1337">
        <f>IF([2]Entry!$N$1340="","",[2]Entry!$N$1340)</f>
        <v/>
      </c>
      <c r="AJ1337">
        <f>IF([2]Entry!$S$1340="","",[2]Entry!$S$1340)</f>
        <v/>
      </c>
      <c r="AK1337">
        <f>IF([2]Entry!$C$1340="","",[2]Entry!$C$1340)</f>
        <v/>
      </c>
      <c r="AL1337">
        <f>IF([2]Entry!$D$1340="","",[2]Entry!$D$1340)</f>
        <v/>
      </c>
    </row>
    <row r="1338">
      <c r="Z1338">
        <f>IF([2]Entry!$E$1341="","",[2]Entry!$E$1341)</f>
        <v/>
      </c>
      <c r="AA1338">
        <f>IF([2]Entry!$G$1341="","",[2]Entry!$G$1341)</f>
        <v/>
      </c>
      <c r="AB1338">
        <f>IF([2]Entry!$J$1341="","",[2]Entry!$J$1341)</f>
        <v/>
      </c>
      <c r="AC1338">
        <f>IF([2]Entry!$K$1341="","",[2]Entry!$K$1341)</f>
        <v/>
      </c>
      <c r="AD1338">
        <f>IF([2]Entry!$L$1341="","",[2]Entry!$L$1341)</f>
        <v/>
      </c>
      <c r="AE1338">
        <f>IF([2]Entry!$M$1341="","",[2]Entry!$M$1341)</f>
        <v/>
      </c>
      <c r="AF1338">
        <f>IF([2]Entry!$N$1341="","",[2]Entry!$N$1341)</f>
        <v/>
      </c>
      <c r="AJ1338">
        <f>IF([2]Entry!$S$1341="","",[2]Entry!$S$1341)</f>
        <v/>
      </c>
      <c r="AK1338">
        <f>IF([2]Entry!$C$1341="","",[2]Entry!$C$1341)</f>
        <v/>
      </c>
      <c r="AL1338">
        <f>IF([2]Entry!$D$1341="","",[2]Entry!$D$1341)</f>
        <v/>
      </c>
    </row>
    <row r="1339">
      <c r="Z1339">
        <f>IF([2]Entry!$E$1342="","",[2]Entry!$E$1342)</f>
        <v/>
      </c>
      <c r="AA1339">
        <f>IF([2]Entry!$G$1342="","",[2]Entry!$G$1342)</f>
        <v/>
      </c>
      <c r="AB1339">
        <f>IF([2]Entry!$J$1342="","",[2]Entry!$J$1342)</f>
        <v/>
      </c>
      <c r="AC1339">
        <f>IF([2]Entry!$K$1342="","",[2]Entry!$K$1342)</f>
        <v/>
      </c>
      <c r="AD1339">
        <f>IF([2]Entry!$L$1342="","",[2]Entry!$L$1342)</f>
        <v/>
      </c>
      <c r="AE1339">
        <f>IF([2]Entry!$M$1342="","",[2]Entry!$M$1342)</f>
        <v/>
      </c>
      <c r="AF1339">
        <f>IF([2]Entry!$N$1342="","",[2]Entry!$N$1342)</f>
        <v/>
      </c>
      <c r="AJ1339">
        <f>IF([2]Entry!$S$1342="","",[2]Entry!$S$1342)</f>
        <v/>
      </c>
      <c r="AK1339">
        <f>IF([2]Entry!$C$1342="","",[2]Entry!$C$1342)</f>
        <v/>
      </c>
      <c r="AL1339">
        <f>IF([2]Entry!$D$1342="","",[2]Entry!$D$1342)</f>
        <v/>
      </c>
    </row>
    <row r="1340">
      <c r="Z1340">
        <f>IF([2]Entry!$E$1343="","",[2]Entry!$E$1343)</f>
        <v/>
      </c>
      <c r="AA1340">
        <f>IF([2]Entry!$G$1343="","",[2]Entry!$G$1343)</f>
        <v/>
      </c>
      <c r="AB1340">
        <f>IF([2]Entry!$J$1343="","",[2]Entry!$J$1343)</f>
        <v/>
      </c>
      <c r="AC1340">
        <f>IF([2]Entry!$K$1343="","",[2]Entry!$K$1343)</f>
        <v/>
      </c>
      <c r="AD1340">
        <f>IF([2]Entry!$L$1343="","",[2]Entry!$L$1343)</f>
        <v/>
      </c>
      <c r="AE1340">
        <f>IF([2]Entry!$M$1343="","",[2]Entry!$M$1343)</f>
        <v/>
      </c>
      <c r="AF1340">
        <f>IF([2]Entry!$N$1343="","",[2]Entry!$N$1343)</f>
        <v/>
      </c>
      <c r="AJ1340">
        <f>IF([2]Entry!$S$1343="","",[2]Entry!$S$1343)</f>
        <v/>
      </c>
      <c r="AK1340">
        <f>IF([2]Entry!$C$1343="","",[2]Entry!$C$1343)</f>
        <v/>
      </c>
      <c r="AL1340">
        <f>IF([2]Entry!$D$1343="","",[2]Entry!$D$1343)</f>
        <v/>
      </c>
    </row>
    <row r="1341">
      <c r="Z1341">
        <f>IF([2]Entry!$E$1344="","",[2]Entry!$E$1344)</f>
        <v/>
      </c>
      <c r="AA1341">
        <f>IF([2]Entry!$G$1344="","",[2]Entry!$G$1344)</f>
        <v/>
      </c>
      <c r="AB1341">
        <f>IF([2]Entry!$J$1344="","",[2]Entry!$J$1344)</f>
        <v/>
      </c>
      <c r="AC1341">
        <f>IF([2]Entry!$K$1344="","",[2]Entry!$K$1344)</f>
        <v/>
      </c>
      <c r="AD1341">
        <f>IF([2]Entry!$L$1344="","",[2]Entry!$L$1344)</f>
        <v/>
      </c>
      <c r="AE1341">
        <f>IF([2]Entry!$M$1344="","",[2]Entry!$M$1344)</f>
        <v/>
      </c>
      <c r="AF1341">
        <f>IF([2]Entry!$N$1344="","",[2]Entry!$N$1344)</f>
        <v/>
      </c>
      <c r="AJ1341">
        <f>IF([2]Entry!$S$1344="","",[2]Entry!$S$1344)</f>
        <v/>
      </c>
      <c r="AK1341">
        <f>IF([2]Entry!$C$1344="","",[2]Entry!$C$1344)</f>
        <v/>
      </c>
      <c r="AL1341">
        <f>IF([2]Entry!$D$1344="","",[2]Entry!$D$1344)</f>
        <v/>
      </c>
    </row>
    <row r="1342">
      <c r="Z1342">
        <f>IF([2]Entry!$E$1345="","",[2]Entry!$E$1345)</f>
        <v/>
      </c>
      <c r="AA1342">
        <f>IF([2]Entry!$G$1345="","",[2]Entry!$G$1345)</f>
        <v/>
      </c>
      <c r="AB1342">
        <f>IF([2]Entry!$J$1345="","",[2]Entry!$J$1345)</f>
        <v/>
      </c>
      <c r="AC1342">
        <f>IF([2]Entry!$K$1345="","",[2]Entry!$K$1345)</f>
        <v/>
      </c>
      <c r="AD1342">
        <f>IF([2]Entry!$L$1345="","",[2]Entry!$L$1345)</f>
        <v/>
      </c>
      <c r="AE1342">
        <f>IF([2]Entry!$M$1345="","",[2]Entry!$M$1345)</f>
        <v/>
      </c>
      <c r="AF1342">
        <f>IF([2]Entry!$N$1345="","",[2]Entry!$N$1345)</f>
        <v/>
      </c>
      <c r="AJ1342">
        <f>IF([2]Entry!$S$1345="","",[2]Entry!$S$1345)</f>
        <v/>
      </c>
      <c r="AK1342">
        <f>IF([2]Entry!$C$1345="","",[2]Entry!$C$1345)</f>
        <v/>
      </c>
      <c r="AL1342">
        <f>IF([2]Entry!$D$1345="","",[2]Entry!$D$1345)</f>
        <v/>
      </c>
    </row>
    <row r="1343">
      <c r="Z1343">
        <f>IF([2]Entry!$E$1346="","",[2]Entry!$E$1346)</f>
        <v/>
      </c>
      <c r="AA1343">
        <f>IF([2]Entry!$G$1346="","",[2]Entry!$G$1346)</f>
        <v/>
      </c>
      <c r="AB1343">
        <f>IF([2]Entry!$J$1346="","",[2]Entry!$J$1346)</f>
        <v/>
      </c>
      <c r="AC1343">
        <f>IF([2]Entry!$K$1346="","",[2]Entry!$K$1346)</f>
        <v/>
      </c>
      <c r="AD1343">
        <f>IF([2]Entry!$L$1346="","",[2]Entry!$L$1346)</f>
        <v/>
      </c>
      <c r="AE1343">
        <f>IF([2]Entry!$M$1346="","",[2]Entry!$M$1346)</f>
        <v/>
      </c>
      <c r="AF1343">
        <f>IF([2]Entry!$N$1346="","",[2]Entry!$N$1346)</f>
        <v/>
      </c>
      <c r="AJ1343">
        <f>IF([2]Entry!$S$1346="","",[2]Entry!$S$1346)</f>
        <v/>
      </c>
      <c r="AK1343">
        <f>IF([2]Entry!$C$1346="","",[2]Entry!$C$1346)</f>
        <v/>
      </c>
      <c r="AL1343">
        <f>IF([2]Entry!$D$1346="","",[2]Entry!$D$1346)</f>
        <v/>
      </c>
    </row>
    <row r="1344">
      <c r="Z1344">
        <f>IF([2]Entry!$E$1347="","",[2]Entry!$E$1347)</f>
        <v/>
      </c>
      <c r="AA1344">
        <f>IF([2]Entry!$G$1347="","",[2]Entry!$G$1347)</f>
        <v/>
      </c>
      <c r="AB1344">
        <f>IF([2]Entry!$J$1347="","",[2]Entry!$J$1347)</f>
        <v/>
      </c>
      <c r="AC1344">
        <f>IF([2]Entry!$K$1347="","",[2]Entry!$K$1347)</f>
        <v/>
      </c>
      <c r="AD1344">
        <f>IF([2]Entry!$L$1347="","",[2]Entry!$L$1347)</f>
        <v/>
      </c>
      <c r="AE1344">
        <f>IF([2]Entry!$M$1347="","",[2]Entry!$M$1347)</f>
        <v/>
      </c>
      <c r="AF1344">
        <f>IF([2]Entry!$N$1347="","",[2]Entry!$N$1347)</f>
        <v/>
      </c>
      <c r="AJ1344">
        <f>IF([2]Entry!$S$1347="","",[2]Entry!$S$1347)</f>
        <v/>
      </c>
      <c r="AK1344">
        <f>IF([2]Entry!$C$1347="","",[2]Entry!$C$1347)</f>
        <v/>
      </c>
      <c r="AL1344">
        <f>IF([2]Entry!$D$1347="","",[2]Entry!$D$1347)</f>
        <v/>
      </c>
    </row>
    <row r="1345">
      <c r="Z1345">
        <f>IF([2]Entry!$E$1348="","",[2]Entry!$E$1348)</f>
        <v/>
      </c>
      <c r="AA1345">
        <f>IF([2]Entry!$G$1348="","",[2]Entry!$G$1348)</f>
        <v/>
      </c>
      <c r="AB1345">
        <f>IF([2]Entry!$J$1348="","",[2]Entry!$J$1348)</f>
        <v/>
      </c>
      <c r="AC1345">
        <f>IF([2]Entry!$K$1348="","",[2]Entry!$K$1348)</f>
        <v/>
      </c>
      <c r="AD1345">
        <f>IF([2]Entry!$L$1348="","",[2]Entry!$L$1348)</f>
        <v/>
      </c>
      <c r="AE1345">
        <f>IF([2]Entry!$M$1348="","",[2]Entry!$M$1348)</f>
        <v/>
      </c>
      <c r="AF1345">
        <f>IF([2]Entry!$N$1348="","",[2]Entry!$N$1348)</f>
        <v/>
      </c>
      <c r="AJ1345">
        <f>IF([2]Entry!$S$1348="","",[2]Entry!$S$1348)</f>
        <v/>
      </c>
      <c r="AK1345">
        <f>IF([2]Entry!$C$1348="","",[2]Entry!$C$1348)</f>
        <v/>
      </c>
      <c r="AL1345">
        <f>IF([2]Entry!$D$1348="","",[2]Entry!$D$1348)</f>
        <v/>
      </c>
    </row>
    <row r="1346">
      <c r="Z1346">
        <f>IF([2]Entry!$E$1349="","",[2]Entry!$E$1349)</f>
        <v/>
      </c>
      <c r="AA1346">
        <f>IF([2]Entry!$G$1349="","",[2]Entry!$G$1349)</f>
        <v/>
      </c>
      <c r="AB1346">
        <f>IF([2]Entry!$J$1349="","",[2]Entry!$J$1349)</f>
        <v/>
      </c>
      <c r="AC1346">
        <f>IF([2]Entry!$K$1349="","",[2]Entry!$K$1349)</f>
        <v/>
      </c>
      <c r="AD1346">
        <f>IF([2]Entry!$L$1349="","",[2]Entry!$L$1349)</f>
        <v/>
      </c>
      <c r="AE1346">
        <f>IF([2]Entry!$M$1349="","",[2]Entry!$M$1349)</f>
        <v/>
      </c>
      <c r="AF1346">
        <f>IF([2]Entry!$N$1349="","",[2]Entry!$N$1349)</f>
        <v/>
      </c>
      <c r="AJ1346">
        <f>IF([2]Entry!$S$1349="","",[2]Entry!$S$1349)</f>
        <v/>
      </c>
      <c r="AK1346">
        <f>IF([2]Entry!$C$1349="","",[2]Entry!$C$1349)</f>
        <v/>
      </c>
      <c r="AL1346">
        <f>IF([2]Entry!$D$1349="","",[2]Entry!$D$1349)</f>
        <v/>
      </c>
    </row>
    <row r="1347">
      <c r="Z1347">
        <f>IF([2]Entry!$E$1350="","",[2]Entry!$E$1350)</f>
        <v/>
      </c>
      <c r="AA1347">
        <f>IF([2]Entry!$G$1350="","",[2]Entry!$G$1350)</f>
        <v/>
      </c>
      <c r="AB1347">
        <f>IF([2]Entry!$J$1350="","",[2]Entry!$J$1350)</f>
        <v/>
      </c>
      <c r="AC1347">
        <f>IF([2]Entry!$K$1350="","",[2]Entry!$K$1350)</f>
        <v/>
      </c>
      <c r="AD1347">
        <f>IF([2]Entry!$L$1350="","",[2]Entry!$L$1350)</f>
        <v/>
      </c>
      <c r="AE1347">
        <f>IF([2]Entry!$M$1350="","",[2]Entry!$M$1350)</f>
        <v/>
      </c>
      <c r="AF1347">
        <f>IF([2]Entry!$N$1350="","",[2]Entry!$N$1350)</f>
        <v/>
      </c>
      <c r="AJ1347">
        <f>IF([2]Entry!$S$1350="","",[2]Entry!$S$1350)</f>
        <v/>
      </c>
      <c r="AK1347">
        <f>IF([2]Entry!$C$1350="","",[2]Entry!$C$1350)</f>
        <v/>
      </c>
      <c r="AL1347">
        <f>IF([2]Entry!$D$1350="","",[2]Entry!$D$1350)</f>
        <v/>
      </c>
    </row>
    <row r="1348">
      <c r="Z1348">
        <f>IF([2]Entry!$E$1351="","",[2]Entry!$E$1351)</f>
        <v/>
      </c>
      <c r="AA1348">
        <f>IF([2]Entry!$G$1351="","",[2]Entry!$G$1351)</f>
        <v/>
      </c>
      <c r="AB1348">
        <f>IF([2]Entry!$J$1351="","",[2]Entry!$J$1351)</f>
        <v/>
      </c>
      <c r="AC1348">
        <f>IF([2]Entry!$K$1351="","",[2]Entry!$K$1351)</f>
        <v/>
      </c>
      <c r="AD1348">
        <f>IF([2]Entry!$L$1351="","",[2]Entry!$L$1351)</f>
        <v/>
      </c>
      <c r="AE1348">
        <f>IF([2]Entry!$M$1351="","",[2]Entry!$M$1351)</f>
        <v/>
      </c>
      <c r="AF1348">
        <f>IF([2]Entry!$N$1351="","",[2]Entry!$N$1351)</f>
        <v/>
      </c>
      <c r="AJ1348">
        <f>IF([2]Entry!$S$1351="","",[2]Entry!$S$1351)</f>
        <v/>
      </c>
      <c r="AK1348">
        <f>IF([2]Entry!$C$1351="","",[2]Entry!$C$1351)</f>
        <v/>
      </c>
      <c r="AL1348">
        <f>IF([2]Entry!$D$1351="","",[2]Entry!$D$1351)</f>
        <v/>
      </c>
    </row>
    <row r="1349">
      <c r="Z1349">
        <f>IF([2]Entry!$E$1352="","",[2]Entry!$E$1352)</f>
        <v/>
      </c>
      <c r="AA1349">
        <f>IF([2]Entry!$G$1352="","",[2]Entry!$G$1352)</f>
        <v/>
      </c>
      <c r="AB1349">
        <f>IF([2]Entry!$J$1352="","",[2]Entry!$J$1352)</f>
        <v/>
      </c>
      <c r="AC1349">
        <f>IF([2]Entry!$K$1352="","",[2]Entry!$K$1352)</f>
        <v/>
      </c>
      <c r="AD1349">
        <f>IF([2]Entry!$L$1352="","",[2]Entry!$L$1352)</f>
        <v/>
      </c>
      <c r="AE1349">
        <f>IF([2]Entry!$M$1352="","",[2]Entry!$M$1352)</f>
        <v/>
      </c>
      <c r="AF1349">
        <f>IF([2]Entry!$N$1352="","",[2]Entry!$N$1352)</f>
        <v/>
      </c>
      <c r="AJ1349">
        <f>IF([2]Entry!$S$1352="","",[2]Entry!$S$1352)</f>
        <v/>
      </c>
      <c r="AK1349">
        <f>IF([2]Entry!$C$1352="","",[2]Entry!$C$1352)</f>
        <v/>
      </c>
      <c r="AL1349">
        <f>IF([2]Entry!$D$1352="","",[2]Entry!$D$1352)</f>
        <v/>
      </c>
    </row>
    <row r="1350">
      <c r="Z1350">
        <f>IF([2]Entry!$E$1353="","",[2]Entry!$E$1353)</f>
        <v/>
      </c>
      <c r="AA1350">
        <f>IF([2]Entry!$G$1353="","",[2]Entry!$G$1353)</f>
        <v/>
      </c>
      <c r="AB1350">
        <f>IF([2]Entry!$J$1353="","",[2]Entry!$J$1353)</f>
        <v/>
      </c>
      <c r="AC1350">
        <f>IF([2]Entry!$K$1353="","",[2]Entry!$K$1353)</f>
        <v/>
      </c>
      <c r="AD1350">
        <f>IF([2]Entry!$L$1353="","",[2]Entry!$L$1353)</f>
        <v/>
      </c>
      <c r="AE1350">
        <f>IF([2]Entry!$M$1353="","",[2]Entry!$M$1353)</f>
        <v/>
      </c>
      <c r="AF1350">
        <f>IF([2]Entry!$N$1353="","",[2]Entry!$N$1353)</f>
        <v/>
      </c>
      <c r="AJ1350">
        <f>IF([2]Entry!$S$1353="","",[2]Entry!$S$1353)</f>
        <v/>
      </c>
      <c r="AK1350">
        <f>IF([2]Entry!$C$1353="","",[2]Entry!$C$1353)</f>
        <v/>
      </c>
      <c r="AL1350">
        <f>IF([2]Entry!$D$1353="","",[2]Entry!$D$1353)</f>
        <v/>
      </c>
    </row>
    <row r="1351">
      <c r="Z1351">
        <f>IF([2]Entry!$E$1354="","",[2]Entry!$E$1354)</f>
        <v/>
      </c>
      <c r="AA1351">
        <f>IF([2]Entry!$G$1354="","",[2]Entry!$G$1354)</f>
        <v/>
      </c>
      <c r="AB1351">
        <f>IF([2]Entry!$J$1354="","",[2]Entry!$J$1354)</f>
        <v/>
      </c>
      <c r="AC1351">
        <f>IF([2]Entry!$K$1354="","",[2]Entry!$K$1354)</f>
        <v/>
      </c>
      <c r="AD1351">
        <f>IF([2]Entry!$L$1354="","",[2]Entry!$L$1354)</f>
        <v/>
      </c>
      <c r="AE1351">
        <f>IF([2]Entry!$M$1354="","",[2]Entry!$M$1354)</f>
        <v/>
      </c>
      <c r="AF1351">
        <f>IF([2]Entry!$N$1354="","",[2]Entry!$N$1354)</f>
        <v/>
      </c>
      <c r="AJ1351">
        <f>IF([2]Entry!$S$1354="","",[2]Entry!$S$1354)</f>
        <v/>
      </c>
      <c r="AK1351">
        <f>IF([2]Entry!$C$1354="","",[2]Entry!$C$1354)</f>
        <v/>
      </c>
      <c r="AL1351">
        <f>IF([2]Entry!$D$1354="","",[2]Entry!$D$1354)</f>
        <v/>
      </c>
    </row>
    <row r="1352">
      <c r="Z1352">
        <f>IF([2]Entry!$E$1355="","",[2]Entry!$E$1355)</f>
        <v/>
      </c>
      <c r="AA1352">
        <f>IF([2]Entry!$G$1355="","",[2]Entry!$G$1355)</f>
        <v/>
      </c>
      <c r="AB1352">
        <f>IF([2]Entry!$J$1355="","",[2]Entry!$J$1355)</f>
        <v/>
      </c>
      <c r="AC1352">
        <f>IF([2]Entry!$K$1355="","",[2]Entry!$K$1355)</f>
        <v/>
      </c>
      <c r="AD1352">
        <f>IF([2]Entry!$L$1355="","",[2]Entry!$L$1355)</f>
        <v/>
      </c>
      <c r="AE1352">
        <f>IF([2]Entry!$M$1355="","",[2]Entry!$M$1355)</f>
        <v/>
      </c>
      <c r="AF1352">
        <f>IF([2]Entry!$N$1355="","",[2]Entry!$N$1355)</f>
        <v/>
      </c>
      <c r="AJ1352">
        <f>IF([2]Entry!$S$1355="","",[2]Entry!$S$1355)</f>
        <v/>
      </c>
      <c r="AK1352">
        <f>IF([2]Entry!$C$1355="","",[2]Entry!$C$1355)</f>
        <v/>
      </c>
      <c r="AL1352">
        <f>IF([2]Entry!$D$1355="","",[2]Entry!$D$1355)</f>
        <v/>
      </c>
    </row>
    <row r="1353">
      <c r="Z1353">
        <f>IF([2]Entry!$E$1356="","",[2]Entry!$E$1356)</f>
        <v/>
      </c>
      <c r="AA1353">
        <f>IF([2]Entry!$G$1356="","",[2]Entry!$G$1356)</f>
        <v/>
      </c>
      <c r="AB1353">
        <f>IF([2]Entry!$J$1356="","",[2]Entry!$J$1356)</f>
        <v/>
      </c>
      <c r="AC1353">
        <f>IF([2]Entry!$K$1356="","",[2]Entry!$K$1356)</f>
        <v/>
      </c>
      <c r="AD1353">
        <f>IF([2]Entry!$L$1356="","",[2]Entry!$L$1356)</f>
        <v/>
      </c>
      <c r="AE1353">
        <f>IF([2]Entry!$M$1356="","",[2]Entry!$M$1356)</f>
        <v/>
      </c>
      <c r="AF1353">
        <f>IF([2]Entry!$N$1356="","",[2]Entry!$N$1356)</f>
        <v/>
      </c>
      <c r="AJ1353">
        <f>IF([2]Entry!$S$1356="","",[2]Entry!$S$1356)</f>
        <v/>
      </c>
      <c r="AK1353">
        <f>IF([2]Entry!$C$1356="","",[2]Entry!$C$1356)</f>
        <v/>
      </c>
      <c r="AL1353">
        <f>IF([2]Entry!$D$1356="","",[2]Entry!$D$1356)</f>
        <v/>
      </c>
    </row>
    <row r="1354">
      <c r="Z1354">
        <f>IF([2]Entry!$E$1357="","",[2]Entry!$E$1357)</f>
        <v/>
      </c>
      <c r="AA1354">
        <f>IF([2]Entry!$G$1357="","",[2]Entry!$G$1357)</f>
        <v/>
      </c>
      <c r="AB1354">
        <f>IF([2]Entry!$J$1357="","",[2]Entry!$J$1357)</f>
        <v/>
      </c>
      <c r="AC1354">
        <f>IF([2]Entry!$K$1357="","",[2]Entry!$K$1357)</f>
        <v/>
      </c>
      <c r="AD1354">
        <f>IF([2]Entry!$L$1357="","",[2]Entry!$L$1357)</f>
        <v/>
      </c>
      <c r="AE1354">
        <f>IF([2]Entry!$M$1357="","",[2]Entry!$M$1357)</f>
        <v/>
      </c>
      <c r="AF1354">
        <f>IF([2]Entry!$N$1357="","",[2]Entry!$N$1357)</f>
        <v/>
      </c>
      <c r="AJ1354">
        <f>IF([2]Entry!$S$1357="","",[2]Entry!$S$1357)</f>
        <v/>
      </c>
      <c r="AK1354">
        <f>IF([2]Entry!$C$1357="","",[2]Entry!$C$1357)</f>
        <v/>
      </c>
      <c r="AL1354">
        <f>IF([2]Entry!$D$1357="","",[2]Entry!$D$1357)</f>
        <v/>
      </c>
    </row>
    <row r="1355">
      <c r="Z1355">
        <f>IF([2]Entry!$E$1358="","",[2]Entry!$E$1358)</f>
        <v/>
      </c>
      <c r="AA1355">
        <f>IF([2]Entry!$G$1358="","",[2]Entry!$G$1358)</f>
        <v/>
      </c>
      <c r="AB1355">
        <f>IF([2]Entry!$J$1358="","",[2]Entry!$J$1358)</f>
        <v/>
      </c>
      <c r="AC1355">
        <f>IF([2]Entry!$K$1358="","",[2]Entry!$K$1358)</f>
        <v/>
      </c>
      <c r="AD1355">
        <f>IF([2]Entry!$L$1358="","",[2]Entry!$L$1358)</f>
        <v/>
      </c>
      <c r="AE1355">
        <f>IF([2]Entry!$M$1358="","",[2]Entry!$M$1358)</f>
        <v/>
      </c>
      <c r="AF1355">
        <f>IF([2]Entry!$N$1358="","",[2]Entry!$N$1358)</f>
        <v/>
      </c>
      <c r="AJ1355">
        <f>IF([2]Entry!$S$1358="","",[2]Entry!$S$1358)</f>
        <v/>
      </c>
      <c r="AK1355">
        <f>IF([2]Entry!$C$1358="","",[2]Entry!$C$1358)</f>
        <v/>
      </c>
      <c r="AL1355">
        <f>IF([2]Entry!$D$1358="","",[2]Entry!$D$1358)</f>
        <v/>
      </c>
    </row>
    <row r="1356">
      <c r="Z1356">
        <f>IF([2]Entry!$E$1359="","",[2]Entry!$E$1359)</f>
        <v/>
      </c>
      <c r="AA1356">
        <f>IF([2]Entry!$G$1359="","",[2]Entry!$G$1359)</f>
        <v/>
      </c>
      <c r="AB1356">
        <f>IF([2]Entry!$J$1359="","",[2]Entry!$J$1359)</f>
        <v/>
      </c>
      <c r="AC1356">
        <f>IF([2]Entry!$K$1359="","",[2]Entry!$K$1359)</f>
        <v/>
      </c>
      <c r="AD1356">
        <f>IF([2]Entry!$L$1359="","",[2]Entry!$L$1359)</f>
        <v/>
      </c>
      <c r="AE1356">
        <f>IF([2]Entry!$M$1359="","",[2]Entry!$M$1359)</f>
        <v/>
      </c>
      <c r="AF1356">
        <f>IF([2]Entry!$N$1359="","",[2]Entry!$N$1359)</f>
        <v/>
      </c>
      <c r="AJ1356">
        <f>IF([2]Entry!$S$1359="","",[2]Entry!$S$1359)</f>
        <v/>
      </c>
      <c r="AK1356">
        <f>IF([2]Entry!$C$1359="","",[2]Entry!$C$1359)</f>
        <v/>
      </c>
      <c r="AL1356">
        <f>IF([2]Entry!$D$1359="","",[2]Entry!$D$1359)</f>
        <v/>
      </c>
    </row>
    <row r="1357">
      <c r="Z1357">
        <f>IF([2]Entry!$E$1360="","",[2]Entry!$E$1360)</f>
        <v/>
      </c>
      <c r="AA1357">
        <f>IF([2]Entry!$G$1360="","",[2]Entry!$G$1360)</f>
        <v/>
      </c>
      <c r="AB1357">
        <f>IF([2]Entry!$J$1360="","",[2]Entry!$J$1360)</f>
        <v/>
      </c>
      <c r="AC1357">
        <f>IF([2]Entry!$K$1360="","",[2]Entry!$K$1360)</f>
        <v/>
      </c>
      <c r="AD1357">
        <f>IF([2]Entry!$L$1360="","",[2]Entry!$L$1360)</f>
        <v/>
      </c>
      <c r="AE1357">
        <f>IF([2]Entry!$M$1360="","",[2]Entry!$M$1360)</f>
        <v/>
      </c>
      <c r="AF1357">
        <f>IF([2]Entry!$N$1360="","",[2]Entry!$N$1360)</f>
        <v/>
      </c>
      <c r="AJ1357">
        <f>IF([2]Entry!$S$1360="","",[2]Entry!$S$1360)</f>
        <v/>
      </c>
      <c r="AK1357">
        <f>IF([2]Entry!$C$1360="","",[2]Entry!$C$1360)</f>
        <v/>
      </c>
      <c r="AL1357">
        <f>IF([2]Entry!$D$1360="","",[2]Entry!$D$1360)</f>
        <v/>
      </c>
    </row>
    <row r="1358">
      <c r="Z1358">
        <f>IF([2]Entry!$E$1361="","",[2]Entry!$E$1361)</f>
        <v/>
      </c>
      <c r="AA1358">
        <f>IF([2]Entry!$G$1361="","",[2]Entry!$G$1361)</f>
        <v/>
      </c>
      <c r="AB1358">
        <f>IF([2]Entry!$J$1361="","",[2]Entry!$J$1361)</f>
        <v/>
      </c>
      <c r="AC1358">
        <f>IF([2]Entry!$K$1361="","",[2]Entry!$K$1361)</f>
        <v/>
      </c>
      <c r="AD1358">
        <f>IF([2]Entry!$L$1361="","",[2]Entry!$L$1361)</f>
        <v/>
      </c>
      <c r="AE1358">
        <f>IF([2]Entry!$M$1361="","",[2]Entry!$M$1361)</f>
        <v/>
      </c>
      <c r="AF1358">
        <f>IF([2]Entry!$N$1361="","",[2]Entry!$N$1361)</f>
        <v/>
      </c>
      <c r="AJ1358">
        <f>IF([2]Entry!$S$1361="","",[2]Entry!$S$1361)</f>
        <v/>
      </c>
      <c r="AK1358">
        <f>IF([2]Entry!$C$1361="","",[2]Entry!$C$1361)</f>
        <v/>
      </c>
      <c r="AL1358">
        <f>IF([2]Entry!$D$1361="","",[2]Entry!$D$1361)</f>
        <v/>
      </c>
    </row>
    <row r="1359">
      <c r="Z1359">
        <f>IF([2]Entry!$E$1362="","",[2]Entry!$E$1362)</f>
        <v/>
      </c>
      <c r="AA1359">
        <f>IF([2]Entry!$G$1362="","",[2]Entry!$G$1362)</f>
        <v/>
      </c>
      <c r="AB1359">
        <f>IF([2]Entry!$J$1362="","",[2]Entry!$J$1362)</f>
        <v/>
      </c>
      <c r="AC1359">
        <f>IF([2]Entry!$K$1362="","",[2]Entry!$K$1362)</f>
        <v/>
      </c>
      <c r="AD1359">
        <f>IF([2]Entry!$L$1362="","",[2]Entry!$L$1362)</f>
        <v/>
      </c>
      <c r="AE1359">
        <f>IF([2]Entry!$M$1362="","",[2]Entry!$M$1362)</f>
        <v/>
      </c>
      <c r="AF1359">
        <f>IF([2]Entry!$N$1362="","",[2]Entry!$N$1362)</f>
        <v/>
      </c>
      <c r="AJ1359">
        <f>IF([2]Entry!$S$1362="","",[2]Entry!$S$1362)</f>
        <v/>
      </c>
      <c r="AK1359">
        <f>IF([2]Entry!$C$1362="","",[2]Entry!$C$1362)</f>
        <v/>
      </c>
      <c r="AL1359">
        <f>IF([2]Entry!$D$1362="","",[2]Entry!$D$1362)</f>
        <v/>
      </c>
    </row>
    <row r="1360">
      <c r="Z1360">
        <f>IF([2]Entry!$E$1363="","",[2]Entry!$E$1363)</f>
        <v/>
      </c>
      <c r="AA1360">
        <f>IF([2]Entry!$G$1363="","",[2]Entry!$G$1363)</f>
        <v/>
      </c>
      <c r="AB1360">
        <f>IF([2]Entry!$J$1363="","",[2]Entry!$J$1363)</f>
        <v/>
      </c>
      <c r="AC1360">
        <f>IF([2]Entry!$K$1363="","",[2]Entry!$K$1363)</f>
        <v/>
      </c>
      <c r="AD1360">
        <f>IF([2]Entry!$L$1363="","",[2]Entry!$L$1363)</f>
        <v/>
      </c>
      <c r="AE1360">
        <f>IF([2]Entry!$M$1363="","",[2]Entry!$M$1363)</f>
        <v/>
      </c>
      <c r="AF1360">
        <f>IF([2]Entry!$N$1363="","",[2]Entry!$N$1363)</f>
        <v/>
      </c>
      <c r="AJ1360">
        <f>IF([2]Entry!$S$1363="","",[2]Entry!$S$1363)</f>
        <v/>
      </c>
      <c r="AK1360">
        <f>IF([2]Entry!$C$1363="","",[2]Entry!$C$1363)</f>
        <v/>
      </c>
      <c r="AL1360">
        <f>IF([2]Entry!$D$1363="","",[2]Entry!$D$1363)</f>
        <v/>
      </c>
    </row>
    <row r="1361">
      <c r="Z1361">
        <f>IF([2]Entry!$E$1364="","",[2]Entry!$E$1364)</f>
        <v/>
      </c>
      <c r="AA1361">
        <f>IF([2]Entry!$G$1364="","",[2]Entry!$G$1364)</f>
        <v/>
      </c>
      <c r="AB1361">
        <f>IF([2]Entry!$J$1364="","",[2]Entry!$J$1364)</f>
        <v/>
      </c>
      <c r="AC1361">
        <f>IF([2]Entry!$K$1364="","",[2]Entry!$K$1364)</f>
        <v/>
      </c>
      <c r="AD1361">
        <f>IF([2]Entry!$L$1364="","",[2]Entry!$L$1364)</f>
        <v/>
      </c>
      <c r="AE1361">
        <f>IF([2]Entry!$M$1364="","",[2]Entry!$M$1364)</f>
        <v/>
      </c>
      <c r="AF1361">
        <f>IF([2]Entry!$N$1364="","",[2]Entry!$N$1364)</f>
        <v/>
      </c>
      <c r="AJ1361">
        <f>IF([2]Entry!$S$1364="","",[2]Entry!$S$1364)</f>
        <v/>
      </c>
      <c r="AK1361">
        <f>IF([2]Entry!$C$1364="","",[2]Entry!$C$1364)</f>
        <v/>
      </c>
      <c r="AL1361">
        <f>IF([2]Entry!$D$1364="","",[2]Entry!$D$1364)</f>
        <v/>
      </c>
    </row>
    <row r="1362">
      <c r="Z1362">
        <f>IF([2]Entry!$E$1365="","",[2]Entry!$E$1365)</f>
        <v/>
      </c>
      <c r="AA1362">
        <f>IF([2]Entry!$G$1365="","",[2]Entry!$G$1365)</f>
        <v/>
      </c>
      <c r="AB1362">
        <f>IF([2]Entry!$J$1365="","",[2]Entry!$J$1365)</f>
        <v/>
      </c>
      <c r="AC1362">
        <f>IF([2]Entry!$K$1365="","",[2]Entry!$K$1365)</f>
        <v/>
      </c>
      <c r="AD1362">
        <f>IF([2]Entry!$L$1365="","",[2]Entry!$L$1365)</f>
        <v/>
      </c>
      <c r="AE1362">
        <f>IF([2]Entry!$M$1365="","",[2]Entry!$M$1365)</f>
        <v/>
      </c>
      <c r="AF1362">
        <f>IF([2]Entry!$N$1365="","",[2]Entry!$N$1365)</f>
        <v/>
      </c>
      <c r="AJ1362">
        <f>IF([2]Entry!$S$1365="","",[2]Entry!$S$1365)</f>
        <v/>
      </c>
      <c r="AK1362">
        <f>IF([2]Entry!$C$1365="","",[2]Entry!$C$1365)</f>
        <v/>
      </c>
      <c r="AL1362">
        <f>IF([2]Entry!$D$1365="","",[2]Entry!$D$1365)</f>
        <v/>
      </c>
    </row>
    <row r="1363">
      <c r="Z1363">
        <f>IF([2]Entry!$E$1366="","",[2]Entry!$E$1366)</f>
        <v/>
      </c>
      <c r="AA1363">
        <f>IF([2]Entry!$G$1366="","",[2]Entry!$G$1366)</f>
        <v/>
      </c>
      <c r="AB1363">
        <f>IF([2]Entry!$J$1366="","",[2]Entry!$J$1366)</f>
        <v/>
      </c>
      <c r="AC1363">
        <f>IF([2]Entry!$K$1366="","",[2]Entry!$K$1366)</f>
        <v/>
      </c>
      <c r="AD1363">
        <f>IF([2]Entry!$L$1366="","",[2]Entry!$L$1366)</f>
        <v/>
      </c>
      <c r="AE1363">
        <f>IF([2]Entry!$M$1366="","",[2]Entry!$M$1366)</f>
        <v/>
      </c>
      <c r="AF1363">
        <f>IF([2]Entry!$N$1366="","",[2]Entry!$N$1366)</f>
        <v/>
      </c>
      <c r="AJ1363">
        <f>IF([2]Entry!$S$1366="","",[2]Entry!$S$1366)</f>
        <v/>
      </c>
      <c r="AK1363">
        <f>IF([2]Entry!$C$1366="","",[2]Entry!$C$1366)</f>
        <v/>
      </c>
      <c r="AL1363">
        <f>IF([2]Entry!$D$1366="","",[2]Entry!$D$1366)</f>
        <v/>
      </c>
    </row>
    <row r="1364">
      <c r="Z1364">
        <f>IF([2]Entry!$E$1367="","",[2]Entry!$E$1367)</f>
        <v/>
      </c>
      <c r="AA1364">
        <f>IF([2]Entry!$G$1367="","",[2]Entry!$G$1367)</f>
        <v/>
      </c>
      <c r="AB1364">
        <f>IF([2]Entry!$J$1367="","",[2]Entry!$J$1367)</f>
        <v/>
      </c>
      <c r="AC1364">
        <f>IF([2]Entry!$K$1367="","",[2]Entry!$K$1367)</f>
        <v/>
      </c>
      <c r="AD1364">
        <f>IF([2]Entry!$L$1367="","",[2]Entry!$L$1367)</f>
        <v/>
      </c>
      <c r="AE1364">
        <f>IF([2]Entry!$M$1367="","",[2]Entry!$M$1367)</f>
        <v/>
      </c>
      <c r="AF1364">
        <f>IF([2]Entry!$N$1367="","",[2]Entry!$N$1367)</f>
        <v/>
      </c>
      <c r="AJ1364">
        <f>IF([2]Entry!$S$1367="","",[2]Entry!$S$1367)</f>
        <v/>
      </c>
      <c r="AK1364">
        <f>IF([2]Entry!$C$1367="","",[2]Entry!$C$1367)</f>
        <v/>
      </c>
      <c r="AL1364">
        <f>IF([2]Entry!$D$1367="","",[2]Entry!$D$1367)</f>
        <v/>
      </c>
    </row>
    <row r="1365">
      <c r="Z1365">
        <f>IF([2]Entry!$E$1368="","",[2]Entry!$E$1368)</f>
        <v/>
      </c>
      <c r="AA1365">
        <f>IF([2]Entry!$G$1368="","",[2]Entry!$G$1368)</f>
        <v/>
      </c>
      <c r="AB1365">
        <f>IF([2]Entry!$J$1368="","",[2]Entry!$J$1368)</f>
        <v/>
      </c>
      <c r="AC1365">
        <f>IF([2]Entry!$K$1368="","",[2]Entry!$K$1368)</f>
        <v/>
      </c>
      <c r="AD1365">
        <f>IF([2]Entry!$L$1368="","",[2]Entry!$L$1368)</f>
        <v/>
      </c>
      <c r="AE1365">
        <f>IF([2]Entry!$M$1368="","",[2]Entry!$M$1368)</f>
        <v/>
      </c>
      <c r="AF1365">
        <f>IF([2]Entry!$N$1368="","",[2]Entry!$N$1368)</f>
        <v/>
      </c>
      <c r="AJ1365">
        <f>IF([2]Entry!$S$1368="","",[2]Entry!$S$1368)</f>
        <v/>
      </c>
      <c r="AK1365">
        <f>IF([2]Entry!$C$1368="","",[2]Entry!$C$1368)</f>
        <v/>
      </c>
      <c r="AL1365">
        <f>IF([2]Entry!$D$1368="","",[2]Entry!$D$1368)</f>
        <v/>
      </c>
    </row>
    <row r="1366">
      <c r="Z1366">
        <f>IF([2]Entry!$E$1369="","",[2]Entry!$E$1369)</f>
        <v/>
      </c>
      <c r="AA1366">
        <f>IF([2]Entry!$G$1369="","",[2]Entry!$G$1369)</f>
        <v/>
      </c>
      <c r="AB1366">
        <f>IF([2]Entry!$J$1369="","",[2]Entry!$J$1369)</f>
        <v/>
      </c>
      <c r="AC1366">
        <f>IF([2]Entry!$K$1369="","",[2]Entry!$K$1369)</f>
        <v/>
      </c>
      <c r="AD1366">
        <f>IF([2]Entry!$L$1369="","",[2]Entry!$L$1369)</f>
        <v/>
      </c>
      <c r="AE1366">
        <f>IF([2]Entry!$M$1369="","",[2]Entry!$M$1369)</f>
        <v/>
      </c>
      <c r="AF1366">
        <f>IF([2]Entry!$N$1369="","",[2]Entry!$N$1369)</f>
        <v/>
      </c>
      <c r="AJ1366">
        <f>IF([2]Entry!$S$1369="","",[2]Entry!$S$1369)</f>
        <v/>
      </c>
      <c r="AK1366">
        <f>IF([2]Entry!$C$1369="","",[2]Entry!$C$1369)</f>
        <v/>
      </c>
      <c r="AL1366">
        <f>IF([2]Entry!$D$1369="","",[2]Entry!$D$1369)</f>
        <v/>
      </c>
    </row>
    <row r="1367">
      <c r="Z1367">
        <f>IF([2]Entry!$E$1370="","",[2]Entry!$E$1370)</f>
        <v/>
      </c>
      <c r="AA1367">
        <f>IF([2]Entry!$G$1370="","",[2]Entry!$G$1370)</f>
        <v/>
      </c>
      <c r="AB1367">
        <f>IF([2]Entry!$J$1370="","",[2]Entry!$J$1370)</f>
        <v/>
      </c>
      <c r="AC1367">
        <f>IF([2]Entry!$K$1370="","",[2]Entry!$K$1370)</f>
        <v/>
      </c>
      <c r="AD1367">
        <f>IF([2]Entry!$L$1370="","",[2]Entry!$L$1370)</f>
        <v/>
      </c>
      <c r="AE1367">
        <f>IF([2]Entry!$M$1370="","",[2]Entry!$M$1370)</f>
        <v/>
      </c>
      <c r="AF1367">
        <f>IF([2]Entry!$N$1370="","",[2]Entry!$N$1370)</f>
        <v/>
      </c>
      <c r="AJ1367">
        <f>IF([2]Entry!$S$1370="","",[2]Entry!$S$1370)</f>
        <v/>
      </c>
      <c r="AK1367">
        <f>IF([2]Entry!$C$1370="","",[2]Entry!$C$1370)</f>
        <v/>
      </c>
      <c r="AL1367">
        <f>IF([2]Entry!$D$1370="","",[2]Entry!$D$1370)</f>
        <v/>
      </c>
    </row>
    <row r="1368">
      <c r="Z1368">
        <f>IF([2]Entry!$E$1371="","",[2]Entry!$E$1371)</f>
        <v/>
      </c>
      <c r="AA1368">
        <f>IF([2]Entry!$G$1371="","",[2]Entry!$G$1371)</f>
        <v/>
      </c>
      <c r="AB1368">
        <f>IF([2]Entry!$J$1371="","",[2]Entry!$J$1371)</f>
        <v/>
      </c>
      <c r="AC1368">
        <f>IF([2]Entry!$K$1371="","",[2]Entry!$K$1371)</f>
        <v/>
      </c>
      <c r="AD1368">
        <f>IF([2]Entry!$L$1371="","",[2]Entry!$L$1371)</f>
        <v/>
      </c>
      <c r="AE1368">
        <f>IF([2]Entry!$M$1371="","",[2]Entry!$M$1371)</f>
        <v/>
      </c>
      <c r="AF1368">
        <f>IF([2]Entry!$N$1371="","",[2]Entry!$N$1371)</f>
        <v/>
      </c>
      <c r="AJ1368">
        <f>IF([2]Entry!$S$1371="","",[2]Entry!$S$1371)</f>
        <v/>
      </c>
      <c r="AK1368">
        <f>IF([2]Entry!$C$1371="","",[2]Entry!$C$1371)</f>
        <v/>
      </c>
      <c r="AL1368">
        <f>IF([2]Entry!$D$1371="","",[2]Entry!$D$1371)</f>
        <v/>
      </c>
    </row>
    <row r="1369">
      <c r="Z1369">
        <f>IF([2]Entry!$E$1372="","",[2]Entry!$E$1372)</f>
        <v/>
      </c>
      <c r="AA1369">
        <f>IF([2]Entry!$G$1372="","",[2]Entry!$G$1372)</f>
        <v/>
      </c>
      <c r="AB1369">
        <f>IF([2]Entry!$J$1372="","",[2]Entry!$J$1372)</f>
        <v/>
      </c>
      <c r="AC1369">
        <f>IF([2]Entry!$K$1372="","",[2]Entry!$K$1372)</f>
        <v/>
      </c>
      <c r="AD1369">
        <f>IF([2]Entry!$L$1372="","",[2]Entry!$L$1372)</f>
        <v/>
      </c>
      <c r="AE1369">
        <f>IF([2]Entry!$M$1372="","",[2]Entry!$M$1372)</f>
        <v/>
      </c>
      <c r="AF1369">
        <f>IF([2]Entry!$N$1372="","",[2]Entry!$N$1372)</f>
        <v/>
      </c>
      <c r="AJ1369">
        <f>IF([2]Entry!$S$1372="","",[2]Entry!$S$1372)</f>
        <v/>
      </c>
      <c r="AK1369">
        <f>IF([2]Entry!$C$1372="","",[2]Entry!$C$1372)</f>
        <v/>
      </c>
      <c r="AL1369">
        <f>IF([2]Entry!$D$1372="","",[2]Entry!$D$1372)</f>
        <v/>
      </c>
    </row>
    <row r="1370">
      <c r="Z1370">
        <f>IF([2]Entry!$E$1373="","",[2]Entry!$E$1373)</f>
        <v/>
      </c>
      <c r="AA1370">
        <f>IF([2]Entry!$G$1373="","",[2]Entry!$G$1373)</f>
        <v/>
      </c>
      <c r="AB1370">
        <f>IF([2]Entry!$J$1373="","",[2]Entry!$J$1373)</f>
        <v/>
      </c>
      <c r="AC1370">
        <f>IF([2]Entry!$K$1373="","",[2]Entry!$K$1373)</f>
        <v/>
      </c>
      <c r="AD1370">
        <f>IF([2]Entry!$L$1373="","",[2]Entry!$L$1373)</f>
        <v/>
      </c>
      <c r="AE1370">
        <f>IF([2]Entry!$M$1373="","",[2]Entry!$M$1373)</f>
        <v/>
      </c>
      <c r="AF1370">
        <f>IF([2]Entry!$N$1373="","",[2]Entry!$N$1373)</f>
        <v/>
      </c>
      <c r="AJ1370">
        <f>IF([2]Entry!$S$1373="","",[2]Entry!$S$1373)</f>
        <v/>
      </c>
      <c r="AK1370">
        <f>IF([2]Entry!$C$1373="","",[2]Entry!$C$1373)</f>
        <v/>
      </c>
      <c r="AL1370">
        <f>IF([2]Entry!$D$1373="","",[2]Entry!$D$1373)</f>
        <v/>
      </c>
    </row>
    <row r="1371">
      <c r="Z1371">
        <f>IF([2]Entry!$E$1374="","",[2]Entry!$E$1374)</f>
        <v/>
      </c>
      <c r="AA1371">
        <f>IF([2]Entry!$G$1374="","",[2]Entry!$G$1374)</f>
        <v/>
      </c>
      <c r="AB1371">
        <f>IF([2]Entry!$J$1374="","",[2]Entry!$J$1374)</f>
        <v/>
      </c>
      <c r="AC1371">
        <f>IF([2]Entry!$K$1374="","",[2]Entry!$K$1374)</f>
        <v/>
      </c>
      <c r="AD1371">
        <f>IF([2]Entry!$L$1374="","",[2]Entry!$L$1374)</f>
        <v/>
      </c>
      <c r="AE1371">
        <f>IF([2]Entry!$M$1374="","",[2]Entry!$M$1374)</f>
        <v/>
      </c>
      <c r="AF1371">
        <f>IF([2]Entry!$N$1374="","",[2]Entry!$N$1374)</f>
        <v/>
      </c>
      <c r="AJ1371">
        <f>IF([2]Entry!$S$1374="","",[2]Entry!$S$1374)</f>
        <v/>
      </c>
      <c r="AK1371">
        <f>IF([2]Entry!$C$1374="","",[2]Entry!$C$1374)</f>
        <v/>
      </c>
      <c r="AL1371">
        <f>IF([2]Entry!$D$1374="","",[2]Entry!$D$1374)</f>
        <v/>
      </c>
    </row>
    <row r="1372">
      <c r="Z1372">
        <f>IF([2]Entry!$E$1375="","",[2]Entry!$E$1375)</f>
        <v/>
      </c>
      <c r="AA1372">
        <f>IF([2]Entry!$G$1375="","",[2]Entry!$G$1375)</f>
        <v/>
      </c>
      <c r="AB1372">
        <f>IF([2]Entry!$J$1375="","",[2]Entry!$J$1375)</f>
        <v/>
      </c>
      <c r="AC1372">
        <f>IF([2]Entry!$K$1375="","",[2]Entry!$K$1375)</f>
        <v/>
      </c>
      <c r="AD1372">
        <f>IF([2]Entry!$L$1375="","",[2]Entry!$L$1375)</f>
        <v/>
      </c>
      <c r="AE1372">
        <f>IF([2]Entry!$M$1375="","",[2]Entry!$M$1375)</f>
        <v/>
      </c>
      <c r="AF1372">
        <f>IF([2]Entry!$N$1375="","",[2]Entry!$N$1375)</f>
        <v/>
      </c>
      <c r="AJ1372">
        <f>IF([2]Entry!$S$1375="","",[2]Entry!$S$1375)</f>
        <v/>
      </c>
      <c r="AK1372">
        <f>IF([2]Entry!$C$1375="","",[2]Entry!$C$1375)</f>
        <v/>
      </c>
      <c r="AL1372">
        <f>IF([2]Entry!$D$1375="","",[2]Entry!$D$1375)</f>
        <v/>
      </c>
    </row>
    <row r="1373">
      <c r="Z1373">
        <f>IF([2]Entry!$E$1376="","",[2]Entry!$E$1376)</f>
        <v/>
      </c>
      <c r="AA1373">
        <f>IF([2]Entry!$G$1376="","",[2]Entry!$G$1376)</f>
        <v/>
      </c>
      <c r="AB1373">
        <f>IF([2]Entry!$J$1376="","",[2]Entry!$J$1376)</f>
        <v/>
      </c>
      <c r="AC1373">
        <f>IF([2]Entry!$K$1376="","",[2]Entry!$K$1376)</f>
        <v/>
      </c>
      <c r="AD1373">
        <f>IF([2]Entry!$L$1376="","",[2]Entry!$L$1376)</f>
        <v/>
      </c>
      <c r="AE1373">
        <f>IF([2]Entry!$M$1376="","",[2]Entry!$M$1376)</f>
        <v/>
      </c>
      <c r="AF1373">
        <f>IF([2]Entry!$N$1376="","",[2]Entry!$N$1376)</f>
        <v/>
      </c>
      <c r="AJ1373">
        <f>IF([2]Entry!$S$1376="","",[2]Entry!$S$1376)</f>
        <v/>
      </c>
      <c r="AK1373">
        <f>IF([2]Entry!$C$1376="","",[2]Entry!$C$1376)</f>
        <v/>
      </c>
      <c r="AL1373">
        <f>IF([2]Entry!$D$1376="","",[2]Entry!$D$1376)</f>
        <v/>
      </c>
    </row>
    <row r="1374">
      <c r="Z1374">
        <f>IF([2]Entry!$E$1377="","",[2]Entry!$E$1377)</f>
        <v/>
      </c>
      <c r="AA1374">
        <f>IF([2]Entry!$G$1377="","",[2]Entry!$G$1377)</f>
        <v/>
      </c>
      <c r="AB1374">
        <f>IF([2]Entry!$J$1377="","",[2]Entry!$J$1377)</f>
        <v/>
      </c>
      <c r="AC1374">
        <f>IF([2]Entry!$K$1377="","",[2]Entry!$K$1377)</f>
        <v/>
      </c>
      <c r="AD1374">
        <f>IF([2]Entry!$L$1377="","",[2]Entry!$L$1377)</f>
        <v/>
      </c>
      <c r="AE1374">
        <f>IF([2]Entry!$M$1377="","",[2]Entry!$M$1377)</f>
        <v/>
      </c>
      <c r="AF1374">
        <f>IF([2]Entry!$N$1377="","",[2]Entry!$N$1377)</f>
        <v/>
      </c>
      <c r="AJ1374">
        <f>IF([2]Entry!$S$1377="","",[2]Entry!$S$1377)</f>
        <v/>
      </c>
      <c r="AK1374">
        <f>IF([2]Entry!$C$1377="","",[2]Entry!$C$1377)</f>
        <v/>
      </c>
      <c r="AL1374">
        <f>IF([2]Entry!$D$1377="","",[2]Entry!$D$1377)</f>
        <v/>
      </c>
    </row>
    <row r="1375">
      <c r="Z1375">
        <f>IF([2]Entry!$E$1378="","",[2]Entry!$E$1378)</f>
        <v/>
      </c>
      <c r="AA1375">
        <f>IF([2]Entry!$G$1378="","",[2]Entry!$G$1378)</f>
        <v/>
      </c>
      <c r="AB1375">
        <f>IF([2]Entry!$J$1378="","",[2]Entry!$J$1378)</f>
        <v/>
      </c>
      <c r="AC1375">
        <f>IF([2]Entry!$K$1378="","",[2]Entry!$K$1378)</f>
        <v/>
      </c>
      <c r="AD1375">
        <f>IF([2]Entry!$L$1378="","",[2]Entry!$L$1378)</f>
        <v/>
      </c>
      <c r="AE1375">
        <f>IF([2]Entry!$M$1378="","",[2]Entry!$M$1378)</f>
        <v/>
      </c>
      <c r="AF1375">
        <f>IF([2]Entry!$N$1378="","",[2]Entry!$N$1378)</f>
        <v/>
      </c>
      <c r="AJ1375">
        <f>IF([2]Entry!$S$1378="","",[2]Entry!$S$1378)</f>
        <v/>
      </c>
      <c r="AK1375">
        <f>IF([2]Entry!$C$1378="","",[2]Entry!$C$1378)</f>
        <v/>
      </c>
      <c r="AL1375">
        <f>IF([2]Entry!$D$1378="","",[2]Entry!$D$1378)</f>
        <v/>
      </c>
    </row>
    <row r="1376">
      <c r="Z1376">
        <f>IF([2]Entry!$E$1379="","",[2]Entry!$E$1379)</f>
        <v/>
      </c>
      <c r="AA1376">
        <f>IF([2]Entry!$G$1379="","",[2]Entry!$G$1379)</f>
        <v/>
      </c>
      <c r="AB1376">
        <f>IF([2]Entry!$J$1379="","",[2]Entry!$J$1379)</f>
        <v/>
      </c>
      <c r="AC1376">
        <f>IF([2]Entry!$K$1379="","",[2]Entry!$K$1379)</f>
        <v/>
      </c>
      <c r="AD1376">
        <f>IF([2]Entry!$L$1379="","",[2]Entry!$L$1379)</f>
        <v/>
      </c>
      <c r="AE1376">
        <f>IF([2]Entry!$M$1379="","",[2]Entry!$M$1379)</f>
        <v/>
      </c>
      <c r="AF1376">
        <f>IF([2]Entry!$N$1379="","",[2]Entry!$N$1379)</f>
        <v/>
      </c>
      <c r="AJ1376">
        <f>IF([2]Entry!$S$1379="","",[2]Entry!$S$1379)</f>
        <v/>
      </c>
      <c r="AK1376">
        <f>IF([2]Entry!$C$1379="","",[2]Entry!$C$1379)</f>
        <v/>
      </c>
      <c r="AL1376">
        <f>IF([2]Entry!$D$1379="","",[2]Entry!$D$1379)</f>
        <v/>
      </c>
    </row>
    <row r="1377">
      <c r="Z1377">
        <f>IF([2]Entry!$E$1380="","",[2]Entry!$E$1380)</f>
        <v/>
      </c>
      <c r="AA1377">
        <f>IF([2]Entry!$G$1380="","",[2]Entry!$G$1380)</f>
        <v/>
      </c>
      <c r="AB1377">
        <f>IF([2]Entry!$J$1380="","",[2]Entry!$J$1380)</f>
        <v/>
      </c>
      <c r="AC1377">
        <f>IF([2]Entry!$K$1380="","",[2]Entry!$K$1380)</f>
        <v/>
      </c>
      <c r="AD1377">
        <f>IF([2]Entry!$L$1380="","",[2]Entry!$L$1380)</f>
        <v/>
      </c>
      <c r="AE1377">
        <f>IF([2]Entry!$M$1380="","",[2]Entry!$M$1380)</f>
        <v/>
      </c>
      <c r="AF1377">
        <f>IF([2]Entry!$N$1380="","",[2]Entry!$N$1380)</f>
        <v/>
      </c>
      <c r="AJ1377">
        <f>IF([2]Entry!$S$1380="","",[2]Entry!$S$1380)</f>
        <v/>
      </c>
      <c r="AK1377">
        <f>IF([2]Entry!$C$1380="","",[2]Entry!$C$1380)</f>
        <v/>
      </c>
      <c r="AL1377">
        <f>IF([2]Entry!$D$1380="","",[2]Entry!$D$1380)</f>
        <v/>
      </c>
    </row>
    <row r="1378">
      <c r="Z1378">
        <f>IF([2]Entry!$E$1381="","",[2]Entry!$E$1381)</f>
        <v/>
      </c>
      <c r="AA1378">
        <f>IF([2]Entry!$G$1381="","",[2]Entry!$G$1381)</f>
        <v/>
      </c>
      <c r="AB1378">
        <f>IF([2]Entry!$J$1381="","",[2]Entry!$J$1381)</f>
        <v/>
      </c>
      <c r="AC1378">
        <f>IF([2]Entry!$K$1381="","",[2]Entry!$K$1381)</f>
        <v/>
      </c>
      <c r="AD1378">
        <f>IF([2]Entry!$L$1381="","",[2]Entry!$L$1381)</f>
        <v/>
      </c>
      <c r="AE1378">
        <f>IF([2]Entry!$M$1381="","",[2]Entry!$M$1381)</f>
        <v/>
      </c>
      <c r="AF1378">
        <f>IF([2]Entry!$N$1381="","",[2]Entry!$N$1381)</f>
        <v/>
      </c>
      <c r="AJ1378">
        <f>IF([2]Entry!$S$1381="","",[2]Entry!$S$1381)</f>
        <v/>
      </c>
      <c r="AK1378">
        <f>IF([2]Entry!$C$1381="","",[2]Entry!$C$1381)</f>
        <v/>
      </c>
      <c r="AL1378">
        <f>IF([2]Entry!$D$1381="","",[2]Entry!$D$1381)</f>
        <v/>
      </c>
    </row>
    <row r="1379">
      <c r="Z1379">
        <f>IF([2]Entry!$E$1382="","",[2]Entry!$E$1382)</f>
        <v/>
      </c>
      <c r="AA1379">
        <f>IF([2]Entry!$G$1382="","",[2]Entry!$G$1382)</f>
        <v/>
      </c>
      <c r="AB1379">
        <f>IF([2]Entry!$J$1382="","",[2]Entry!$J$1382)</f>
        <v/>
      </c>
      <c r="AC1379">
        <f>IF([2]Entry!$K$1382="","",[2]Entry!$K$1382)</f>
        <v/>
      </c>
      <c r="AD1379">
        <f>IF([2]Entry!$L$1382="","",[2]Entry!$L$1382)</f>
        <v/>
      </c>
      <c r="AE1379">
        <f>IF([2]Entry!$M$1382="","",[2]Entry!$M$1382)</f>
        <v/>
      </c>
      <c r="AF1379">
        <f>IF([2]Entry!$N$1382="","",[2]Entry!$N$1382)</f>
        <v/>
      </c>
      <c r="AJ1379">
        <f>IF([2]Entry!$S$1382="","",[2]Entry!$S$1382)</f>
        <v/>
      </c>
      <c r="AK1379">
        <f>IF([2]Entry!$C$1382="","",[2]Entry!$C$1382)</f>
        <v/>
      </c>
      <c r="AL1379">
        <f>IF([2]Entry!$D$1382="","",[2]Entry!$D$1382)</f>
        <v/>
      </c>
    </row>
    <row r="1380">
      <c r="Z1380">
        <f>IF([2]Entry!$E$1383="","",[2]Entry!$E$1383)</f>
        <v/>
      </c>
      <c r="AA1380">
        <f>IF([2]Entry!$G$1383="","",[2]Entry!$G$1383)</f>
        <v/>
      </c>
      <c r="AB1380">
        <f>IF([2]Entry!$J$1383="","",[2]Entry!$J$1383)</f>
        <v/>
      </c>
      <c r="AC1380">
        <f>IF([2]Entry!$K$1383="","",[2]Entry!$K$1383)</f>
        <v/>
      </c>
      <c r="AD1380">
        <f>IF([2]Entry!$L$1383="","",[2]Entry!$L$1383)</f>
        <v/>
      </c>
      <c r="AE1380">
        <f>IF([2]Entry!$M$1383="","",[2]Entry!$M$1383)</f>
        <v/>
      </c>
      <c r="AF1380">
        <f>IF([2]Entry!$N$1383="","",[2]Entry!$N$1383)</f>
        <v/>
      </c>
      <c r="AJ1380">
        <f>IF([2]Entry!$S$1383="","",[2]Entry!$S$1383)</f>
        <v/>
      </c>
      <c r="AK1380">
        <f>IF([2]Entry!$C$1383="","",[2]Entry!$C$1383)</f>
        <v/>
      </c>
      <c r="AL1380">
        <f>IF([2]Entry!$D$1383="","",[2]Entry!$D$1383)</f>
        <v/>
      </c>
    </row>
    <row r="1381">
      <c r="Z1381">
        <f>IF([2]Entry!$E$1384="","",[2]Entry!$E$1384)</f>
        <v/>
      </c>
      <c r="AA1381">
        <f>IF([2]Entry!$G$1384="","",[2]Entry!$G$1384)</f>
        <v/>
      </c>
      <c r="AB1381">
        <f>IF([2]Entry!$J$1384="","",[2]Entry!$J$1384)</f>
        <v/>
      </c>
      <c r="AC1381">
        <f>IF([2]Entry!$K$1384="","",[2]Entry!$K$1384)</f>
        <v/>
      </c>
      <c r="AD1381">
        <f>IF([2]Entry!$L$1384="","",[2]Entry!$L$1384)</f>
        <v/>
      </c>
      <c r="AE1381">
        <f>IF([2]Entry!$M$1384="","",[2]Entry!$M$1384)</f>
        <v/>
      </c>
      <c r="AF1381">
        <f>IF([2]Entry!$N$1384="","",[2]Entry!$N$1384)</f>
        <v/>
      </c>
      <c r="AJ1381">
        <f>IF([2]Entry!$S$1384="","",[2]Entry!$S$1384)</f>
        <v/>
      </c>
      <c r="AK1381">
        <f>IF([2]Entry!$C$1384="","",[2]Entry!$C$1384)</f>
        <v/>
      </c>
      <c r="AL1381">
        <f>IF([2]Entry!$D$1384="","",[2]Entry!$D$1384)</f>
        <v/>
      </c>
    </row>
    <row r="1382">
      <c r="Z1382">
        <f>IF([2]Entry!$E$1385="","",[2]Entry!$E$1385)</f>
        <v/>
      </c>
      <c r="AA1382">
        <f>IF([2]Entry!$G$1385="","",[2]Entry!$G$1385)</f>
        <v/>
      </c>
      <c r="AB1382">
        <f>IF([2]Entry!$J$1385="","",[2]Entry!$J$1385)</f>
        <v/>
      </c>
      <c r="AC1382">
        <f>IF([2]Entry!$K$1385="","",[2]Entry!$K$1385)</f>
        <v/>
      </c>
      <c r="AD1382">
        <f>IF([2]Entry!$L$1385="","",[2]Entry!$L$1385)</f>
        <v/>
      </c>
      <c r="AE1382">
        <f>IF([2]Entry!$M$1385="","",[2]Entry!$M$1385)</f>
        <v/>
      </c>
      <c r="AF1382">
        <f>IF([2]Entry!$N$1385="","",[2]Entry!$N$1385)</f>
        <v/>
      </c>
      <c r="AJ1382">
        <f>IF([2]Entry!$S$1385="","",[2]Entry!$S$1385)</f>
        <v/>
      </c>
      <c r="AK1382">
        <f>IF([2]Entry!$C$1385="","",[2]Entry!$C$1385)</f>
        <v/>
      </c>
      <c r="AL1382">
        <f>IF([2]Entry!$D$1385="","",[2]Entry!$D$1385)</f>
        <v/>
      </c>
    </row>
    <row r="1383">
      <c r="Z1383">
        <f>IF([2]Entry!$E$1386="","",[2]Entry!$E$1386)</f>
        <v/>
      </c>
      <c r="AA1383">
        <f>IF([2]Entry!$G$1386="","",[2]Entry!$G$1386)</f>
        <v/>
      </c>
      <c r="AB1383">
        <f>IF([2]Entry!$J$1386="","",[2]Entry!$J$1386)</f>
        <v/>
      </c>
      <c r="AC1383">
        <f>IF([2]Entry!$K$1386="","",[2]Entry!$K$1386)</f>
        <v/>
      </c>
      <c r="AD1383">
        <f>IF([2]Entry!$L$1386="","",[2]Entry!$L$1386)</f>
        <v/>
      </c>
      <c r="AE1383">
        <f>IF([2]Entry!$M$1386="","",[2]Entry!$M$1386)</f>
        <v/>
      </c>
      <c r="AF1383">
        <f>IF([2]Entry!$N$1386="","",[2]Entry!$N$1386)</f>
        <v/>
      </c>
      <c r="AJ1383">
        <f>IF([2]Entry!$S$1386="","",[2]Entry!$S$1386)</f>
        <v/>
      </c>
      <c r="AK1383">
        <f>IF([2]Entry!$C$1386="","",[2]Entry!$C$1386)</f>
        <v/>
      </c>
      <c r="AL1383">
        <f>IF([2]Entry!$D$1386="","",[2]Entry!$D$1386)</f>
        <v/>
      </c>
    </row>
    <row r="1384">
      <c r="Z1384">
        <f>IF([2]Entry!$E$1387="","",[2]Entry!$E$1387)</f>
        <v/>
      </c>
      <c r="AA1384">
        <f>IF([2]Entry!$G$1387="","",[2]Entry!$G$1387)</f>
        <v/>
      </c>
      <c r="AB1384">
        <f>IF([2]Entry!$J$1387="","",[2]Entry!$J$1387)</f>
        <v/>
      </c>
      <c r="AC1384">
        <f>IF([2]Entry!$K$1387="","",[2]Entry!$K$1387)</f>
        <v/>
      </c>
      <c r="AD1384">
        <f>IF([2]Entry!$L$1387="","",[2]Entry!$L$1387)</f>
        <v/>
      </c>
      <c r="AE1384">
        <f>IF([2]Entry!$M$1387="","",[2]Entry!$M$1387)</f>
        <v/>
      </c>
      <c r="AF1384">
        <f>IF([2]Entry!$N$1387="","",[2]Entry!$N$1387)</f>
        <v/>
      </c>
      <c r="AJ1384">
        <f>IF([2]Entry!$S$1387="","",[2]Entry!$S$1387)</f>
        <v/>
      </c>
      <c r="AK1384">
        <f>IF([2]Entry!$C$1387="","",[2]Entry!$C$1387)</f>
        <v/>
      </c>
      <c r="AL1384">
        <f>IF([2]Entry!$D$1387="","",[2]Entry!$D$1387)</f>
        <v/>
      </c>
    </row>
    <row r="1385">
      <c r="Z1385">
        <f>IF([2]Entry!$E$1388="","",[2]Entry!$E$1388)</f>
        <v/>
      </c>
      <c r="AA1385">
        <f>IF([2]Entry!$G$1388="","",[2]Entry!$G$1388)</f>
        <v/>
      </c>
      <c r="AB1385">
        <f>IF([2]Entry!$J$1388="","",[2]Entry!$J$1388)</f>
        <v/>
      </c>
      <c r="AC1385">
        <f>IF([2]Entry!$K$1388="","",[2]Entry!$K$1388)</f>
        <v/>
      </c>
      <c r="AD1385">
        <f>IF([2]Entry!$L$1388="","",[2]Entry!$L$1388)</f>
        <v/>
      </c>
      <c r="AE1385">
        <f>IF([2]Entry!$M$1388="","",[2]Entry!$M$1388)</f>
        <v/>
      </c>
      <c r="AF1385">
        <f>IF([2]Entry!$N$1388="","",[2]Entry!$N$1388)</f>
        <v/>
      </c>
      <c r="AJ1385">
        <f>IF([2]Entry!$S$1388="","",[2]Entry!$S$1388)</f>
        <v/>
      </c>
      <c r="AK1385">
        <f>IF([2]Entry!$C$1388="","",[2]Entry!$C$1388)</f>
        <v/>
      </c>
      <c r="AL1385">
        <f>IF([2]Entry!$D$1388="","",[2]Entry!$D$1388)</f>
        <v/>
      </c>
    </row>
    <row r="1386">
      <c r="Z1386">
        <f>IF([2]Entry!$E$1389="","",[2]Entry!$E$1389)</f>
        <v/>
      </c>
      <c r="AA1386">
        <f>IF([2]Entry!$G$1389="","",[2]Entry!$G$1389)</f>
        <v/>
      </c>
      <c r="AB1386">
        <f>IF([2]Entry!$J$1389="","",[2]Entry!$J$1389)</f>
        <v/>
      </c>
      <c r="AC1386">
        <f>IF([2]Entry!$K$1389="","",[2]Entry!$K$1389)</f>
        <v/>
      </c>
      <c r="AD1386">
        <f>IF([2]Entry!$L$1389="","",[2]Entry!$L$1389)</f>
        <v/>
      </c>
      <c r="AE1386">
        <f>IF([2]Entry!$M$1389="","",[2]Entry!$M$1389)</f>
        <v/>
      </c>
      <c r="AF1386">
        <f>IF([2]Entry!$N$1389="","",[2]Entry!$N$1389)</f>
        <v/>
      </c>
      <c r="AJ1386">
        <f>IF([2]Entry!$S$1389="","",[2]Entry!$S$1389)</f>
        <v/>
      </c>
      <c r="AK1386">
        <f>IF([2]Entry!$C$1389="","",[2]Entry!$C$1389)</f>
        <v/>
      </c>
      <c r="AL1386">
        <f>IF([2]Entry!$D$1389="","",[2]Entry!$D$1389)</f>
        <v/>
      </c>
    </row>
    <row r="1387">
      <c r="Z1387">
        <f>IF([2]Entry!$E$1390="","",[2]Entry!$E$1390)</f>
        <v/>
      </c>
      <c r="AA1387">
        <f>IF([2]Entry!$G$1390="","",[2]Entry!$G$1390)</f>
        <v/>
      </c>
      <c r="AB1387">
        <f>IF([2]Entry!$J$1390="","",[2]Entry!$J$1390)</f>
        <v/>
      </c>
      <c r="AC1387">
        <f>IF([2]Entry!$K$1390="","",[2]Entry!$K$1390)</f>
        <v/>
      </c>
      <c r="AD1387">
        <f>IF([2]Entry!$L$1390="","",[2]Entry!$L$1390)</f>
        <v/>
      </c>
      <c r="AE1387">
        <f>IF([2]Entry!$M$1390="","",[2]Entry!$M$1390)</f>
        <v/>
      </c>
      <c r="AF1387">
        <f>IF([2]Entry!$N$1390="","",[2]Entry!$N$1390)</f>
        <v/>
      </c>
      <c r="AJ1387">
        <f>IF([2]Entry!$S$1390="","",[2]Entry!$S$1390)</f>
        <v/>
      </c>
      <c r="AK1387">
        <f>IF([2]Entry!$C$1390="","",[2]Entry!$C$1390)</f>
        <v/>
      </c>
      <c r="AL1387">
        <f>IF([2]Entry!$D$1390="","",[2]Entry!$D$1390)</f>
        <v/>
      </c>
    </row>
    <row r="1388">
      <c r="Z1388">
        <f>IF([2]Entry!$E$1391="","",[2]Entry!$E$1391)</f>
        <v/>
      </c>
      <c r="AA1388">
        <f>IF([2]Entry!$G$1391="","",[2]Entry!$G$1391)</f>
        <v/>
      </c>
      <c r="AB1388">
        <f>IF([2]Entry!$J$1391="","",[2]Entry!$J$1391)</f>
        <v/>
      </c>
      <c r="AC1388">
        <f>IF([2]Entry!$K$1391="","",[2]Entry!$K$1391)</f>
        <v/>
      </c>
      <c r="AD1388">
        <f>IF([2]Entry!$L$1391="","",[2]Entry!$L$1391)</f>
        <v/>
      </c>
      <c r="AE1388">
        <f>IF([2]Entry!$M$1391="","",[2]Entry!$M$1391)</f>
        <v/>
      </c>
      <c r="AF1388">
        <f>IF([2]Entry!$N$1391="","",[2]Entry!$N$1391)</f>
        <v/>
      </c>
      <c r="AJ1388">
        <f>IF([2]Entry!$S$1391="","",[2]Entry!$S$1391)</f>
        <v/>
      </c>
      <c r="AK1388">
        <f>IF([2]Entry!$C$1391="","",[2]Entry!$C$1391)</f>
        <v/>
      </c>
      <c r="AL1388">
        <f>IF([2]Entry!$D$1391="","",[2]Entry!$D$1391)</f>
        <v/>
      </c>
    </row>
    <row r="1389">
      <c r="Z1389">
        <f>IF([2]Entry!$E$1392="","",[2]Entry!$E$1392)</f>
        <v/>
      </c>
      <c r="AA1389">
        <f>IF([2]Entry!$G$1392="","",[2]Entry!$G$1392)</f>
        <v/>
      </c>
      <c r="AB1389">
        <f>IF([2]Entry!$J$1392="","",[2]Entry!$J$1392)</f>
        <v/>
      </c>
      <c r="AC1389">
        <f>IF([2]Entry!$K$1392="","",[2]Entry!$K$1392)</f>
        <v/>
      </c>
      <c r="AD1389">
        <f>IF([2]Entry!$L$1392="","",[2]Entry!$L$1392)</f>
        <v/>
      </c>
      <c r="AE1389">
        <f>IF([2]Entry!$M$1392="","",[2]Entry!$M$1392)</f>
        <v/>
      </c>
      <c r="AF1389">
        <f>IF([2]Entry!$N$1392="","",[2]Entry!$N$1392)</f>
        <v/>
      </c>
      <c r="AJ1389">
        <f>IF([2]Entry!$S$1392="","",[2]Entry!$S$1392)</f>
        <v/>
      </c>
      <c r="AK1389">
        <f>IF([2]Entry!$C$1392="","",[2]Entry!$C$1392)</f>
        <v/>
      </c>
      <c r="AL1389">
        <f>IF([2]Entry!$D$1392="","",[2]Entry!$D$1392)</f>
        <v/>
      </c>
    </row>
    <row r="1390">
      <c r="Z1390">
        <f>IF([2]Entry!$E$1393="","",[2]Entry!$E$1393)</f>
        <v/>
      </c>
      <c r="AA1390">
        <f>IF([2]Entry!$G$1393="","",[2]Entry!$G$1393)</f>
        <v/>
      </c>
      <c r="AB1390">
        <f>IF([2]Entry!$J$1393="","",[2]Entry!$J$1393)</f>
        <v/>
      </c>
      <c r="AC1390">
        <f>IF([2]Entry!$K$1393="","",[2]Entry!$K$1393)</f>
        <v/>
      </c>
      <c r="AD1390">
        <f>IF([2]Entry!$L$1393="","",[2]Entry!$L$1393)</f>
        <v/>
      </c>
      <c r="AE1390">
        <f>IF([2]Entry!$M$1393="","",[2]Entry!$M$1393)</f>
        <v/>
      </c>
      <c r="AF1390">
        <f>IF([2]Entry!$N$1393="","",[2]Entry!$N$1393)</f>
        <v/>
      </c>
      <c r="AJ1390">
        <f>IF([2]Entry!$S$1393="","",[2]Entry!$S$1393)</f>
        <v/>
      </c>
      <c r="AK1390">
        <f>IF([2]Entry!$C$1393="","",[2]Entry!$C$1393)</f>
        <v/>
      </c>
      <c r="AL1390">
        <f>IF([2]Entry!$D$1393="","",[2]Entry!$D$1393)</f>
        <v/>
      </c>
    </row>
    <row r="1391">
      <c r="Z1391">
        <f>IF([2]Entry!$E$1394="","",[2]Entry!$E$1394)</f>
        <v/>
      </c>
      <c r="AA1391">
        <f>IF([2]Entry!$G$1394="","",[2]Entry!$G$1394)</f>
        <v/>
      </c>
      <c r="AB1391">
        <f>IF([2]Entry!$J$1394="","",[2]Entry!$J$1394)</f>
        <v/>
      </c>
      <c r="AC1391">
        <f>IF([2]Entry!$K$1394="","",[2]Entry!$K$1394)</f>
        <v/>
      </c>
      <c r="AD1391">
        <f>IF([2]Entry!$L$1394="","",[2]Entry!$L$1394)</f>
        <v/>
      </c>
      <c r="AE1391">
        <f>IF([2]Entry!$M$1394="","",[2]Entry!$M$1394)</f>
        <v/>
      </c>
      <c r="AF1391">
        <f>IF([2]Entry!$N$1394="","",[2]Entry!$N$1394)</f>
        <v/>
      </c>
      <c r="AJ1391">
        <f>IF([2]Entry!$S$1394="","",[2]Entry!$S$1394)</f>
        <v/>
      </c>
      <c r="AK1391">
        <f>IF([2]Entry!$C$1394="","",[2]Entry!$C$1394)</f>
        <v/>
      </c>
      <c r="AL1391">
        <f>IF([2]Entry!$D$1394="","",[2]Entry!$D$1394)</f>
        <v/>
      </c>
    </row>
    <row r="1392">
      <c r="Z1392">
        <f>IF([2]Entry!$E$1395="","",[2]Entry!$E$1395)</f>
        <v/>
      </c>
      <c r="AA1392">
        <f>IF([2]Entry!$G$1395="","",[2]Entry!$G$1395)</f>
        <v/>
      </c>
      <c r="AB1392">
        <f>IF([2]Entry!$J$1395="","",[2]Entry!$J$1395)</f>
        <v/>
      </c>
      <c r="AC1392">
        <f>IF([2]Entry!$K$1395="","",[2]Entry!$K$1395)</f>
        <v/>
      </c>
      <c r="AD1392">
        <f>IF([2]Entry!$L$1395="","",[2]Entry!$L$1395)</f>
        <v/>
      </c>
      <c r="AE1392">
        <f>IF([2]Entry!$M$1395="","",[2]Entry!$M$1395)</f>
        <v/>
      </c>
      <c r="AF1392">
        <f>IF([2]Entry!$N$1395="","",[2]Entry!$N$1395)</f>
        <v/>
      </c>
      <c r="AJ1392">
        <f>IF([2]Entry!$S$1395="","",[2]Entry!$S$1395)</f>
        <v/>
      </c>
      <c r="AK1392">
        <f>IF([2]Entry!$C$1395="","",[2]Entry!$C$1395)</f>
        <v/>
      </c>
      <c r="AL1392">
        <f>IF([2]Entry!$D$1395="","",[2]Entry!$D$1395)</f>
        <v/>
      </c>
    </row>
    <row r="1393">
      <c r="Z1393">
        <f>IF([2]Entry!$E$1396="","",[2]Entry!$E$1396)</f>
        <v/>
      </c>
      <c r="AA1393">
        <f>IF([2]Entry!$G$1396="","",[2]Entry!$G$1396)</f>
        <v/>
      </c>
      <c r="AB1393">
        <f>IF([2]Entry!$J$1396="","",[2]Entry!$J$1396)</f>
        <v/>
      </c>
      <c r="AC1393">
        <f>IF([2]Entry!$K$1396="","",[2]Entry!$K$1396)</f>
        <v/>
      </c>
      <c r="AD1393">
        <f>IF([2]Entry!$L$1396="","",[2]Entry!$L$1396)</f>
        <v/>
      </c>
      <c r="AE1393">
        <f>IF([2]Entry!$M$1396="","",[2]Entry!$M$1396)</f>
        <v/>
      </c>
      <c r="AF1393">
        <f>IF([2]Entry!$N$1396="","",[2]Entry!$N$1396)</f>
        <v/>
      </c>
      <c r="AJ1393">
        <f>IF([2]Entry!$S$1396="","",[2]Entry!$S$1396)</f>
        <v/>
      </c>
      <c r="AK1393">
        <f>IF([2]Entry!$C$1396="","",[2]Entry!$C$1396)</f>
        <v/>
      </c>
      <c r="AL1393">
        <f>IF([2]Entry!$D$1396="","",[2]Entry!$D$1396)</f>
        <v/>
      </c>
    </row>
    <row r="1394">
      <c r="Z1394">
        <f>IF([2]Entry!$E$1397="","",[2]Entry!$E$1397)</f>
        <v/>
      </c>
      <c r="AA1394">
        <f>IF([2]Entry!$G$1397="","",[2]Entry!$G$1397)</f>
        <v/>
      </c>
      <c r="AB1394">
        <f>IF([2]Entry!$J$1397="","",[2]Entry!$J$1397)</f>
        <v/>
      </c>
      <c r="AC1394">
        <f>IF([2]Entry!$K$1397="","",[2]Entry!$K$1397)</f>
        <v/>
      </c>
      <c r="AD1394">
        <f>IF([2]Entry!$L$1397="","",[2]Entry!$L$1397)</f>
        <v/>
      </c>
      <c r="AE1394">
        <f>IF([2]Entry!$M$1397="","",[2]Entry!$M$1397)</f>
        <v/>
      </c>
      <c r="AF1394">
        <f>IF([2]Entry!$N$1397="","",[2]Entry!$N$1397)</f>
        <v/>
      </c>
      <c r="AJ1394">
        <f>IF([2]Entry!$S$1397="","",[2]Entry!$S$1397)</f>
        <v/>
      </c>
      <c r="AK1394">
        <f>IF([2]Entry!$C$1397="","",[2]Entry!$C$1397)</f>
        <v/>
      </c>
      <c r="AL1394">
        <f>IF([2]Entry!$D$1397="","",[2]Entry!$D$1397)</f>
        <v/>
      </c>
    </row>
    <row r="1395">
      <c r="Z1395">
        <f>IF([2]Entry!$E$1398="","",[2]Entry!$E$1398)</f>
        <v/>
      </c>
      <c r="AA1395">
        <f>IF([2]Entry!$G$1398="","",[2]Entry!$G$1398)</f>
        <v/>
      </c>
      <c r="AB1395">
        <f>IF([2]Entry!$J$1398="","",[2]Entry!$J$1398)</f>
        <v/>
      </c>
      <c r="AC1395">
        <f>IF([2]Entry!$K$1398="","",[2]Entry!$K$1398)</f>
        <v/>
      </c>
      <c r="AD1395">
        <f>IF([2]Entry!$L$1398="","",[2]Entry!$L$1398)</f>
        <v/>
      </c>
      <c r="AE1395">
        <f>IF([2]Entry!$M$1398="","",[2]Entry!$M$1398)</f>
        <v/>
      </c>
      <c r="AF1395">
        <f>IF([2]Entry!$N$1398="","",[2]Entry!$N$1398)</f>
        <v/>
      </c>
      <c r="AJ1395">
        <f>IF([2]Entry!$S$1398="","",[2]Entry!$S$1398)</f>
        <v/>
      </c>
      <c r="AK1395">
        <f>IF([2]Entry!$C$1398="","",[2]Entry!$C$1398)</f>
        <v/>
      </c>
      <c r="AL1395">
        <f>IF([2]Entry!$D$1398="","",[2]Entry!$D$1398)</f>
        <v/>
      </c>
    </row>
    <row r="1396">
      <c r="Z1396">
        <f>IF([2]Entry!$E$1399="","",[2]Entry!$E$1399)</f>
        <v/>
      </c>
      <c r="AA1396">
        <f>IF([2]Entry!$G$1399="","",[2]Entry!$G$1399)</f>
        <v/>
      </c>
      <c r="AB1396">
        <f>IF([2]Entry!$J$1399="","",[2]Entry!$J$1399)</f>
        <v/>
      </c>
      <c r="AC1396">
        <f>IF([2]Entry!$K$1399="","",[2]Entry!$K$1399)</f>
        <v/>
      </c>
      <c r="AD1396">
        <f>IF([2]Entry!$L$1399="","",[2]Entry!$L$1399)</f>
        <v/>
      </c>
      <c r="AE1396">
        <f>IF([2]Entry!$M$1399="","",[2]Entry!$M$1399)</f>
        <v/>
      </c>
      <c r="AF1396">
        <f>IF([2]Entry!$N$1399="","",[2]Entry!$N$1399)</f>
        <v/>
      </c>
      <c r="AJ1396">
        <f>IF([2]Entry!$S$1399="","",[2]Entry!$S$1399)</f>
        <v/>
      </c>
      <c r="AK1396">
        <f>IF([2]Entry!$C$1399="","",[2]Entry!$C$1399)</f>
        <v/>
      </c>
      <c r="AL1396">
        <f>IF([2]Entry!$D$1399="","",[2]Entry!$D$1399)</f>
        <v/>
      </c>
    </row>
    <row r="1397">
      <c r="Z1397">
        <f>IF([2]Entry!$E$1400="","",[2]Entry!$E$1400)</f>
        <v/>
      </c>
      <c r="AA1397">
        <f>IF([2]Entry!$G$1400="","",[2]Entry!$G$1400)</f>
        <v/>
      </c>
      <c r="AB1397">
        <f>IF([2]Entry!$J$1400="","",[2]Entry!$J$1400)</f>
        <v/>
      </c>
      <c r="AC1397">
        <f>IF([2]Entry!$K$1400="","",[2]Entry!$K$1400)</f>
        <v/>
      </c>
      <c r="AD1397">
        <f>IF([2]Entry!$L$1400="","",[2]Entry!$L$1400)</f>
        <v/>
      </c>
      <c r="AE1397">
        <f>IF([2]Entry!$M$1400="","",[2]Entry!$M$1400)</f>
        <v/>
      </c>
      <c r="AF1397">
        <f>IF([2]Entry!$N$1400="","",[2]Entry!$N$1400)</f>
        <v/>
      </c>
      <c r="AJ1397">
        <f>IF([2]Entry!$S$1400="","",[2]Entry!$S$1400)</f>
        <v/>
      </c>
      <c r="AK1397">
        <f>IF([2]Entry!$C$1400="","",[2]Entry!$C$1400)</f>
        <v/>
      </c>
      <c r="AL1397">
        <f>IF([2]Entry!$D$1400="","",[2]Entry!$D$1400)</f>
        <v/>
      </c>
    </row>
    <row r="1398">
      <c r="Z1398">
        <f>IF([2]Entry!$E$1401="","",[2]Entry!$E$1401)</f>
        <v/>
      </c>
      <c r="AA1398">
        <f>IF([2]Entry!$G$1401="","",[2]Entry!$G$1401)</f>
        <v/>
      </c>
      <c r="AB1398">
        <f>IF([2]Entry!$J$1401="","",[2]Entry!$J$1401)</f>
        <v/>
      </c>
      <c r="AC1398">
        <f>IF([2]Entry!$K$1401="","",[2]Entry!$K$1401)</f>
        <v/>
      </c>
      <c r="AD1398">
        <f>IF([2]Entry!$L$1401="","",[2]Entry!$L$1401)</f>
        <v/>
      </c>
      <c r="AE1398">
        <f>IF([2]Entry!$M$1401="","",[2]Entry!$M$1401)</f>
        <v/>
      </c>
      <c r="AF1398">
        <f>IF([2]Entry!$N$1401="","",[2]Entry!$N$1401)</f>
        <v/>
      </c>
      <c r="AJ1398">
        <f>IF([2]Entry!$S$1401="","",[2]Entry!$S$1401)</f>
        <v/>
      </c>
      <c r="AK1398">
        <f>IF([2]Entry!$C$1401="","",[2]Entry!$C$1401)</f>
        <v/>
      </c>
      <c r="AL1398">
        <f>IF([2]Entry!$D$1401="","",[2]Entry!$D$1401)</f>
        <v/>
      </c>
    </row>
    <row r="1399">
      <c r="Z1399">
        <f>IF([2]Entry!$E$1402="","",[2]Entry!$E$1402)</f>
        <v/>
      </c>
      <c r="AA1399">
        <f>IF([2]Entry!$G$1402="","",[2]Entry!$G$1402)</f>
        <v/>
      </c>
      <c r="AB1399">
        <f>IF([2]Entry!$J$1402="","",[2]Entry!$J$1402)</f>
        <v/>
      </c>
      <c r="AC1399">
        <f>IF([2]Entry!$K$1402="","",[2]Entry!$K$1402)</f>
        <v/>
      </c>
      <c r="AD1399">
        <f>IF([2]Entry!$L$1402="","",[2]Entry!$L$1402)</f>
        <v/>
      </c>
      <c r="AE1399">
        <f>IF([2]Entry!$M$1402="","",[2]Entry!$M$1402)</f>
        <v/>
      </c>
      <c r="AF1399">
        <f>IF([2]Entry!$N$1402="","",[2]Entry!$N$1402)</f>
        <v/>
      </c>
      <c r="AJ1399">
        <f>IF([2]Entry!$S$1402="","",[2]Entry!$S$1402)</f>
        <v/>
      </c>
      <c r="AK1399">
        <f>IF([2]Entry!$C$1402="","",[2]Entry!$C$1402)</f>
        <v/>
      </c>
      <c r="AL1399">
        <f>IF([2]Entry!$D$1402="","",[2]Entry!$D$1402)</f>
        <v/>
      </c>
    </row>
    <row r="1400">
      <c r="Z1400">
        <f>IF([2]Entry!$E$1403="","",[2]Entry!$E$1403)</f>
        <v/>
      </c>
      <c r="AA1400">
        <f>IF([2]Entry!$G$1403="","",[2]Entry!$G$1403)</f>
        <v/>
      </c>
      <c r="AB1400">
        <f>IF([2]Entry!$J$1403="","",[2]Entry!$J$1403)</f>
        <v/>
      </c>
      <c r="AC1400">
        <f>IF([2]Entry!$K$1403="","",[2]Entry!$K$1403)</f>
        <v/>
      </c>
      <c r="AD1400">
        <f>IF([2]Entry!$L$1403="","",[2]Entry!$L$1403)</f>
        <v/>
      </c>
      <c r="AE1400">
        <f>IF([2]Entry!$M$1403="","",[2]Entry!$M$1403)</f>
        <v/>
      </c>
      <c r="AF1400">
        <f>IF([2]Entry!$N$1403="","",[2]Entry!$N$1403)</f>
        <v/>
      </c>
      <c r="AJ1400">
        <f>IF([2]Entry!$S$1403="","",[2]Entry!$S$1403)</f>
        <v/>
      </c>
      <c r="AK1400">
        <f>IF([2]Entry!$C$1403="","",[2]Entry!$C$1403)</f>
        <v/>
      </c>
      <c r="AL1400">
        <f>IF([2]Entry!$D$1403="","",[2]Entry!$D$1403)</f>
        <v/>
      </c>
    </row>
    <row r="1401">
      <c r="Z1401">
        <f>IF([2]Entry!$E$1404="","",[2]Entry!$E$1404)</f>
        <v/>
      </c>
      <c r="AA1401">
        <f>IF([2]Entry!$G$1404="","",[2]Entry!$G$1404)</f>
        <v/>
      </c>
      <c r="AB1401">
        <f>IF([2]Entry!$J$1404="","",[2]Entry!$J$1404)</f>
        <v/>
      </c>
      <c r="AC1401">
        <f>IF([2]Entry!$K$1404="","",[2]Entry!$K$1404)</f>
        <v/>
      </c>
      <c r="AD1401">
        <f>IF([2]Entry!$L$1404="","",[2]Entry!$L$1404)</f>
        <v/>
      </c>
      <c r="AE1401">
        <f>IF([2]Entry!$M$1404="","",[2]Entry!$M$1404)</f>
        <v/>
      </c>
      <c r="AF1401">
        <f>IF([2]Entry!$N$1404="","",[2]Entry!$N$1404)</f>
        <v/>
      </c>
      <c r="AJ1401">
        <f>IF([2]Entry!$S$1404="","",[2]Entry!$S$1404)</f>
        <v/>
      </c>
      <c r="AK1401">
        <f>IF([2]Entry!$C$1404="","",[2]Entry!$C$1404)</f>
        <v/>
      </c>
      <c r="AL1401">
        <f>IF([2]Entry!$D$1404="","",[2]Entry!$D$1404)</f>
        <v/>
      </c>
    </row>
    <row r="1402">
      <c r="Z1402">
        <f>IF([2]Entry!$E$1405="","",[2]Entry!$E$1405)</f>
        <v/>
      </c>
      <c r="AA1402">
        <f>IF([2]Entry!$G$1405="","",[2]Entry!$G$1405)</f>
        <v/>
      </c>
      <c r="AB1402">
        <f>IF([2]Entry!$J$1405="","",[2]Entry!$J$1405)</f>
        <v/>
      </c>
      <c r="AC1402">
        <f>IF([2]Entry!$K$1405="","",[2]Entry!$K$1405)</f>
        <v/>
      </c>
      <c r="AD1402">
        <f>IF([2]Entry!$L$1405="","",[2]Entry!$L$1405)</f>
        <v/>
      </c>
      <c r="AE1402">
        <f>IF([2]Entry!$M$1405="","",[2]Entry!$M$1405)</f>
        <v/>
      </c>
      <c r="AF1402">
        <f>IF([2]Entry!$N$1405="","",[2]Entry!$N$1405)</f>
        <v/>
      </c>
      <c r="AJ1402">
        <f>IF([2]Entry!$S$1405="","",[2]Entry!$S$1405)</f>
        <v/>
      </c>
      <c r="AK1402">
        <f>IF([2]Entry!$C$1405="","",[2]Entry!$C$1405)</f>
        <v/>
      </c>
      <c r="AL1402">
        <f>IF([2]Entry!$D$1405="","",[2]Entry!$D$1405)</f>
        <v/>
      </c>
    </row>
    <row r="1403">
      <c r="Z1403">
        <f>IF([2]Entry!$E$1406="","",[2]Entry!$E$1406)</f>
        <v/>
      </c>
      <c r="AA1403">
        <f>IF([2]Entry!$G$1406="","",[2]Entry!$G$1406)</f>
        <v/>
      </c>
      <c r="AB1403">
        <f>IF([2]Entry!$J$1406="","",[2]Entry!$J$1406)</f>
        <v/>
      </c>
      <c r="AC1403">
        <f>IF([2]Entry!$K$1406="","",[2]Entry!$K$1406)</f>
        <v/>
      </c>
      <c r="AD1403">
        <f>IF([2]Entry!$L$1406="","",[2]Entry!$L$1406)</f>
        <v/>
      </c>
      <c r="AE1403">
        <f>IF([2]Entry!$M$1406="","",[2]Entry!$M$1406)</f>
        <v/>
      </c>
      <c r="AF1403">
        <f>IF([2]Entry!$N$1406="","",[2]Entry!$N$1406)</f>
        <v/>
      </c>
      <c r="AJ1403">
        <f>IF([2]Entry!$S$1406="","",[2]Entry!$S$1406)</f>
        <v/>
      </c>
      <c r="AK1403">
        <f>IF([2]Entry!$C$1406="","",[2]Entry!$C$1406)</f>
        <v/>
      </c>
      <c r="AL1403">
        <f>IF([2]Entry!$D$1406="","",[2]Entry!$D$1406)</f>
        <v/>
      </c>
    </row>
    <row r="1404">
      <c r="Z1404">
        <f>IF([2]Entry!$E$1407="","",[2]Entry!$E$1407)</f>
        <v/>
      </c>
      <c r="AA1404">
        <f>IF([2]Entry!$G$1407="","",[2]Entry!$G$1407)</f>
        <v/>
      </c>
      <c r="AB1404">
        <f>IF([2]Entry!$J$1407="","",[2]Entry!$J$1407)</f>
        <v/>
      </c>
      <c r="AC1404">
        <f>IF([2]Entry!$K$1407="","",[2]Entry!$K$1407)</f>
        <v/>
      </c>
      <c r="AD1404">
        <f>IF([2]Entry!$L$1407="","",[2]Entry!$L$1407)</f>
        <v/>
      </c>
      <c r="AE1404">
        <f>IF([2]Entry!$M$1407="","",[2]Entry!$M$1407)</f>
        <v/>
      </c>
      <c r="AF1404">
        <f>IF([2]Entry!$N$1407="","",[2]Entry!$N$1407)</f>
        <v/>
      </c>
      <c r="AJ1404">
        <f>IF([2]Entry!$S$1407="","",[2]Entry!$S$1407)</f>
        <v/>
      </c>
      <c r="AK1404">
        <f>IF([2]Entry!$C$1407="","",[2]Entry!$C$1407)</f>
        <v/>
      </c>
      <c r="AL1404">
        <f>IF([2]Entry!$D$1407="","",[2]Entry!$D$1407)</f>
        <v/>
      </c>
    </row>
    <row r="1405">
      <c r="Z1405">
        <f>IF([2]Entry!$E$1408="","",[2]Entry!$E$1408)</f>
        <v/>
      </c>
      <c r="AA1405">
        <f>IF([2]Entry!$G$1408="","",[2]Entry!$G$1408)</f>
        <v/>
      </c>
      <c r="AB1405">
        <f>IF([2]Entry!$J$1408="","",[2]Entry!$J$1408)</f>
        <v/>
      </c>
      <c r="AC1405">
        <f>IF([2]Entry!$K$1408="","",[2]Entry!$K$1408)</f>
        <v/>
      </c>
      <c r="AD1405">
        <f>IF([2]Entry!$L$1408="","",[2]Entry!$L$1408)</f>
        <v/>
      </c>
      <c r="AE1405">
        <f>IF([2]Entry!$M$1408="","",[2]Entry!$M$1408)</f>
        <v/>
      </c>
      <c r="AF1405">
        <f>IF([2]Entry!$N$1408="","",[2]Entry!$N$1408)</f>
        <v/>
      </c>
      <c r="AJ1405">
        <f>IF([2]Entry!$S$1408="","",[2]Entry!$S$1408)</f>
        <v/>
      </c>
      <c r="AK1405">
        <f>IF([2]Entry!$C$1408="","",[2]Entry!$C$1408)</f>
        <v/>
      </c>
      <c r="AL1405">
        <f>IF([2]Entry!$D$1408="","",[2]Entry!$D$1408)</f>
        <v/>
      </c>
    </row>
    <row r="1406">
      <c r="Z1406">
        <f>IF([2]Entry!$E$1409="","",[2]Entry!$E$1409)</f>
        <v/>
      </c>
      <c r="AA1406">
        <f>IF([2]Entry!$G$1409="","",[2]Entry!$G$1409)</f>
        <v/>
      </c>
      <c r="AB1406">
        <f>IF([2]Entry!$J$1409="","",[2]Entry!$J$1409)</f>
        <v/>
      </c>
      <c r="AC1406">
        <f>IF([2]Entry!$K$1409="","",[2]Entry!$K$1409)</f>
        <v/>
      </c>
      <c r="AD1406">
        <f>IF([2]Entry!$L$1409="","",[2]Entry!$L$1409)</f>
        <v/>
      </c>
      <c r="AE1406">
        <f>IF([2]Entry!$M$1409="","",[2]Entry!$M$1409)</f>
        <v/>
      </c>
      <c r="AF1406">
        <f>IF([2]Entry!$N$1409="","",[2]Entry!$N$1409)</f>
        <v/>
      </c>
      <c r="AJ1406">
        <f>IF([2]Entry!$S$1409="","",[2]Entry!$S$1409)</f>
        <v/>
      </c>
      <c r="AK1406">
        <f>IF([2]Entry!$C$1409="","",[2]Entry!$C$1409)</f>
        <v/>
      </c>
      <c r="AL1406">
        <f>IF([2]Entry!$D$1409="","",[2]Entry!$D$1409)</f>
        <v/>
      </c>
    </row>
    <row r="1407">
      <c r="Z1407">
        <f>IF([2]Entry!$E$1410="","",[2]Entry!$E$1410)</f>
        <v/>
      </c>
      <c r="AA1407">
        <f>IF([2]Entry!$G$1410="","",[2]Entry!$G$1410)</f>
        <v/>
      </c>
      <c r="AB1407">
        <f>IF([2]Entry!$J$1410="","",[2]Entry!$J$1410)</f>
        <v/>
      </c>
      <c r="AC1407">
        <f>IF([2]Entry!$K$1410="","",[2]Entry!$K$1410)</f>
        <v/>
      </c>
      <c r="AD1407">
        <f>IF([2]Entry!$L$1410="","",[2]Entry!$L$1410)</f>
        <v/>
      </c>
      <c r="AE1407">
        <f>IF([2]Entry!$M$1410="","",[2]Entry!$M$1410)</f>
        <v/>
      </c>
      <c r="AF1407">
        <f>IF([2]Entry!$N$1410="","",[2]Entry!$N$1410)</f>
        <v/>
      </c>
      <c r="AJ1407">
        <f>IF([2]Entry!$S$1410="","",[2]Entry!$S$1410)</f>
        <v/>
      </c>
      <c r="AK1407">
        <f>IF([2]Entry!$C$1410="","",[2]Entry!$C$1410)</f>
        <v/>
      </c>
      <c r="AL1407">
        <f>IF([2]Entry!$D$1410="","",[2]Entry!$D$1410)</f>
        <v/>
      </c>
    </row>
    <row r="1408">
      <c r="Z1408">
        <f>IF([2]Entry!$E$1411="","",[2]Entry!$E$1411)</f>
        <v/>
      </c>
      <c r="AA1408">
        <f>IF([2]Entry!$G$1411="","",[2]Entry!$G$1411)</f>
        <v/>
      </c>
      <c r="AB1408">
        <f>IF([2]Entry!$J$1411="","",[2]Entry!$J$1411)</f>
        <v/>
      </c>
      <c r="AC1408">
        <f>IF([2]Entry!$K$1411="","",[2]Entry!$K$1411)</f>
        <v/>
      </c>
      <c r="AD1408">
        <f>IF([2]Entry!$L$1411="","",[2]Entry!$L$1411)</f>
        <v/>
      </c>
      <c r="AE1408">
        <f>IF([2]Entry!$M$1411="","",[2]Entry!$M$1411)</f>
        <v/>
      </c>
      <c r="AF1408">
        <f>IF([2]Entry!$N$1411="","",[2]Entry!$N$1411)</f>
        <v/>
      </c>
      <c r="AJ1408">
        <f>IF([2]Entry!$S$1411="","",[2]Entry!$S$1411)</f>
        <v/>
      </c>
      <c r="AK1408">
        <f>IF([2]Entry!$C$1411="","",[2]Entry!$C$1411)</f>
        <v/>
      </c>
      <c r="AL1408">
        <f>IF([2]Entry!$D$1411="","",[2]Entry!$D$1411)</f>
        <v/>
      </c>
    </row>
    <row r="1409">
      <c r="Z1409">
        <f>IF([2]Entry!$E$1412="","",[2]Entry!$E$1412)</f>
        <v/>
      </c>
      <c r="AA1409">
        <f>IF([2]Entry!$G$1412="","",[2]Entry!$G$1412)</f>
        <v/>
      </c>
      <c r="AB1409">
        <f>IF([2]Entry!$J$1412="","",[2]Entry!$J$1412)</f>
        <v/>
      </c>
      <c r="AC1409">
        <f>IF([2]Entry!$K$1412="","",[2]Entry!$K$1412)</f>
        <v/>
      </c>
      <c r="AD1409">
        <f>IF([2]Entry!$L$1412="","",[2]Entry!$L$1412)</f>
        <v/>
      </c>
      <c r="AE1409">
        <f>IF([2]Entry!$M$1412="","",[2]Entry!$M$1412)</f>
        <v/>
      </c>
      <c r="AF1409">
        <f>IF([2]Entry!$N$1412="","",[2]Entry!$N$1412)</f>
        <v/>
      </c>
      <c r="AJ1409">
        <f>IF([2]Entry!$S$1412="","",[2]Entry!$S$1412)</f>
        <v/>
      </c>
      <c r="AK1409">
        <f>IF([2]Entry!$C$1412="","",[2]Entry!$C$1412)</f>
        <v/>
      </c>
      <c r="AL1409">
        <f>IF([2]Entry!$D$1412="","",[2]Entry!$D$1412)</f>
        <v/>
      </c>
    </row>
    <row r="1410">
      <c r="Z1410">
        <f>IF([2]Entry!$E$1413="","",[2]Entry!$E$1413)</f>
        <v/>
      </c>
      <c r="AA1410">
        <f>IF([2]Entry!$G$1413="","",[2]Entry!$G$1413)</f>
        <v/>
      </c>
      <c r="AB1410">
        <f>IF([2]Entry!$J$1413="","",[2]Entry!$J$1413)</f>
        <v/>
      </c>
      <c r="AC1410">
        <f>IF([2]Entry!$K$1413="","",[2]Entry!$K$1413)</f>
        <v/>
      </c>
      <c r="AD1410">
        <f>IF([2]Entry!$L$1413="","",[2]Entry!$L$1413)</f>
        <v/>
      </c>
      <c r="AE1410">
        <f>IF([2]Entry!$M$1413="","",[2]Entry!$M$1413)</f>
        <v/>
      </c>
      <c r="AF1410">
        <f>IF([2]Entry!$N$1413="","",[2]Entry!$N$1413)</f>
        <v/>
      </c>
      <c r="AJ1410">
        <f>IF([2]Entry!$S$1413="","",[2]Entry!$S$1413)</f>
        <v/>
      </c>
      <c r="AK1410">
        <f>IF([2]Entry!$C$1413="","",[2]Entry!$C$1413)</f>
        <v/>
      </c>
      <c r="AL1410">
        <f>IF([2]Entry!$D$1413="","",[2]Entry!$D$1413)</f>
        <v/>
      </c>
    </row>
    <row r="1411">
      <c r="Z1411">
        <f>IF([2]Entry!$E$1414="","",[2]Entry!$E$1414)</f>
        <v/>
      </c>
      <c r="AA1411">
        <f>IF([2]Entry!$G$1414="","",[2]Entry!$G$1414)</f>
        <v/>
      </c>
      <c r="AB1411">
        <f>IF([2]Entry!$J$1414="","",[2]Entry!$J$1414)</f>
        <v/>
      </c>
      <c r="AC1411">
        <f>IF([2]Entry!$K$1414="","",[2]Entry!$K$1414)</f>
        <v/>
      </c>
      <c r="AD1411">
        <f>IF([2]Entry!$L$1414="","",[2]Entry!$L$1414)</f>
        <v/>
      </c>
      <c r="AE1411">
        <f>IF([2]Entry!$M$1414="","",[2]Entry!$M$1414)</f>
        <v/>
      </c>
      <c r="AF1411">
        <f>IF([2]Entry!$N$1414="","",[2]Entry!$N$1414)</f>
        <v/>
      </c>
      <c r="AJ1411">
        <f>IF([2]Entry!$S$1414="","",[2]Entry!$S$1414)</f>
        <v/>
      </c>
      <c r="AK1411">
        <f>IF([2]Entry!$C$1414="","",[2]Entry!$C$1414)</f>
        <v/>
      </c>
      <c r="AL1411">
        <f>IF([2]Entry!$D$1414="","",[2]Entry!$D$1414)</f>
        <v/>
      </c>
    </row>
    <row r="1412">
      <c r="Z1412">
        <f>IF([2]Entry!$E$1415="","",[2]Entry!$E$1415)</f>
        <v/>
      </c>
      <c r="AA1412">
        <f>IF([2]Entry!$G$1415="","",[2]Entry!$G$1415)</f>
        <v/>
      </c>
      <c r="AB1412">
        <f>IF([2]Entry!$J$1415="","",[2]Entry!$J$1415)</f>
        <v/>
      </c>
      <c r="AC1412">
        <f>IF([2]Entry!$K$1415="","",[2]Entry!$K$1415)</f>
        <v/>
      </c>
      <c r="AD1412">
        <f>IF([2]Entry!$L$1415="","",[2]Entry!$L$1415)</f>
        <v/>
      </c>
      <c r="AE1412">
        <f>IF([2]Entry!$M$1415="","",[2]Entry!$M$1415)</f>
        <v/>
      </c>
      <c r="AF1412">
        <f>IF([2]Entry!$N$1415="","",[2]Entry!$N$1415)</f>
        <v/>
      </c>
      <c r="AJ1412">
        <f>IF([2]Entry!$S$1415="","",[2]Entry!$S$1415)</f>
        <v/>
      </c>
      <c r="AK1412">
        <f>IF([2]Entry!$C$1415="","",[2]Entry!$C$1415)</f>
        <v/>
      </c>
      <c r="AL1412">
        <f>IF([2]Entry!$D$1415="","",[2]Entry!$D$1415)</f>
        <v/>
      </c>
    </row>
    <row r="1413">
      <c r="Z1413">
        <f>IF([2]Entry!$E$1416="","",[2]Entry!$E$1416)</f>
        <v/>
      </c>
      <c r="AA1413">
        <f>IF([2]Entry!$G$1416="","",[2]Entry!$G$1416)</f>
        <v/>
      </c>
      <c r="AB1413">
        <f>IF([2]Entry!$J$1416="","",[2]Entry!$J$1416)</f>
        <v/>
      </c>
      <c r="AC1413">
        <f>IF([2]Entry!$K$1416="","",[2]Entry!$K$1416)</f>
        <v/>
      </c>
      <c r="AD1413">
        <f>IF([2]Entry!$L$1416="","",[2]Entry!$L$1416)</f>
        <v/>
      </c>
      <c r="AE1413">
        <f>IF([2]Entry!$M$1416="","",[2]Entry!$M$1416)</f>
        <v/>
      </c>
      <c r="AF1413">
        <f>IF([2]Entry!$N$1416="","",[2]Entry!$N$1416)</f>
        <v/>
      </c>
      <c r="AJ1413">
        <f>IF([2]Entry!$S$1416="","",[2]Entry!$S$1416)</f>
        <v/>
      </c>
      <c r="AK1413">
        <f>IF([2]Entry!$C$1416="","",[2]Entry!$C$1416)</f>
        <v/>
      </c>
      <c r="AL1413">
        <f>IF([2]Entry!$D$1416="","",[2]Entry!$D$1416)</f>
        <v/>
      </c>
    </row>
    <row r="1414">
      <c r="Z1414">
        <f>IF([2]Entry!$E$1417="","",[2]Entry!$E$1417)</f>
        <v/>
      </c>
      <c r="AA1414">
        <f>IF([2]Entry!$G$1417="","",[2]Entry!$G$1417)</f>
        <v/>
      </c>
      <c r="AB1414">
        <f>IF([2]Entry!$J$1417="","",[2]Entry!$J$1417)</f>
        <v/>
      </c>
      <c r="AC1414">
        <f>IF([2]Entry!$K$1417="","",[2]Entry!$K$1417)</f>
        <v/>
      </c>
      <c r="AD1414">
        <f>IF([2]Entry!$L$1417="","",[2]Entry!$L$1417)</f>
        <v/>
      </c>
      <c r="AE1414">
        <f>IF([2]Entry!$M$1417="","",[2]Entry!$M$1417)</f>
        <v/>
      </c>
      <c r="AF1414">
        <f>IF([2]Entry!$N$1417="","",[2]Entry!$N$1417)</f>
        <v/>
      </c>
      <c r="AJ1414">
        <f>IF([2]Entry!$S$1417="","",[2]Entry!$S$1417)</f>
        <v/>
      </c>
      <c r="AK1414">
        <f>IF([2]Entry!$C$1417="","",[2]Entry!$C$1417)</f>
        <v/>
      </c>
      <c r="AL1414">
        <f>IF([2]Entry!$D$1417="","",[2]Entry!$D$1417)</f>
        <v/>
      </c>
    </row>
    <row r="1415">
      <c r="Z1415">
        <f>IF([2]Entry!$E$1418="","",[2]Entry!$E$1418)</f>
        <v/>
      </c>
      <c r="AA1415">
        <f>IF([2]Entry!$G$1418="","",[2]Entry!$G$1418)</f>
        <v/>
      </c>
      <c r="AB1415">
        <f>IF([2]Entry!$J$1418="","",[2]Entry!$J$1418)</f>
        <v/>
      </c>
      <c r="AC1415">
        <f>IF([2]Entry!$K$1418="","",[2]Entry!$K$1418)</f>
        <v/>
      </c>
      <c r="AD1415">
        <f>IF([2]Entry!$L$1418="","",[2]Entry!$L$1418)</f>
        <v/>
      </c>
      <c r="AE1415">
        <f>IF([2]Entry!$M$1418="","",[2]Entry!$M$1418)</f>
        <v/>
      </c>
      <c r="AF1415">
        <f>IF([2]Entry!$N$1418="","",[2]Entry!$N$1418)</f>
        <v/>
      </c>
      <c r="AJ1415">
        <f>IF([2]Entry!$S$1418="","",[2]Entry!$S$1418)</f>
        <v/>
      </c>
      <c r="AK1415">
        <f>IF([2]Entry!$C$1418="","",[2]Entry!$C$1418)</f>
        <v/>
      </c>
      <c r="AL1415">
        <f>IF([2]Entry!$D$1418="","",[2]Entry!$D$1418)</f>
        <v/>
      </c>
    </row>
    <row r="1416">
      <c r="Z1416">
        <f>IF([2]Entry!$E$1419="","",[2]Entry!$E$1419)</f>
        <v/>
      </c>
      <c r="AA1416">
        <f>IF([2]Entry!$G$1419="","",[2]Entry!$G$1419)</f>
        <v/>
      </c>
      <c r="AB1416">
        <f>IF([2]Entry!$J$1419="","",[2]Entry!$J$1419)</f>
        <v/>
      </c>
      <c r="AC1416">
        <f>IF([2]Entry!$K$1419="","",[2]Entry!$K$1419)</f>
        <v/>
      </c>
      <c r="AD1416">
        <f>IF([2]Entry!$L$1419="","",[2]Entry!$L$1419)</f>
        <v/>
      </c>
      <c r="AE1416">
        <f>IF([2]Entry!$M$1419="","",[2]Entry!$M$1419)</f>
        <v/>
      </c>
      <c r="AF1416">
        <f>IF([2]Entry!$N$1419="","",[2]Entry!$N$1419)</f>
        <v/>
      </c>
      <c r="AJ1416">
        <f>IF([2]Entry!$S$1419="","",[2]Entry!$S$1419)</f>
        <v/>
      </c>
      <c r="AK1416">
        <f>IF([2]Entry!$C$1419="","",[2]Entry!$C$1419)</f>
        <v/>
      </c>
      <c r="AL1416">
        <f>IF([2]Entry!$D$1419="","",[2]Entry!$D$1419)</f>
        <v/>
      </c>
    </row>
    <row r="1417">
      <c r="Z1417">
        <f>IF([2]Entry!$E$1420="","",[2]Entry!$E$1420)</f>
        <v/>
      </c>
      <c r="AA1417">
        <f>IF([2]Entry!$G$1420="","",[2]Entry!$G$1420)</f>
        <v/>
      </c>
      <c r="AB1417">
        <f>IF([2]Entry!$J$1420="","",[2]Entry!$J$1420)</f>
        <v/>
      </c>
      <c r="AC1417">
        <f>IF([2]Entry!$K$1420="","",[2]Entry!$K$1420)</f>
        <v/>
      </c>
      <c r="AD1417">
        <f>IF([2]Entry!$L$1420="","",[2]Entry!$L$1420)</f>
        <v/>
      </c>
      <c r="AE1417">
        <f>IF([2]Entry!$M$1420="","",[2]Entry!$M$1420)</f>
        <v/>
      </c>
      <c r="AF1417">
        <f>IF([2]Entry!$N$1420="","",[2]Entry!$N$1420)</f>
        <v/>
      </c>
      <c r="AJ1417">
        <f>IF([2]Entry!$S$1420="","",[2]Entry!$S$1420)</f>
        <v/>
      </c>
      <c r="AK1417">
        <f>IF([2]Entry!$C$1420="","",[2]Entry!$C$1420)</f>
        <v/>
      </c>
      <c r="AL1417">
        <f>IF([2]Entry!$D$1420="","",[2]Entry!$D$1420)</f>
        <v/>
      </c>
    </row>
    <row r="1418">
      <c r="Z1418">
        <f>IF([2]Entry!$E$1421="","",[2]Entry!$E$1421)</f>
        <v/>
      </c>
      <c r="AA1418">
        <f>IF([2]Entry!$G$1421="","",[2]Entry!$G$1421)</f>
        <v/>
      </c>
      <c r="AB1418">
        <f>IF([2]Entry!$J$1421="","",[2]Entry!$J$1421)</f>
        <v/>
      </c>
      <c r="AC1418">
        <f>IF([2]Entry!$K$1421="","",[2]Entry!$K$1421)</f>
        <v/>
      </c>
      <c r="AD1418">
        <f>IF([2]Entry!$L$1421="","",[2]Entry!$L$1421)</f>
        <v/>
      </c>
      <c r="AE1418">
        <f>IF([2]Entry!$M$1421="","",[2]Entry!$M$1421)</f>
        <v/>
      </c>
      <c r="AF1418">
        <f>IF([2]Entry!$N$1421="","",[2]Entry!$N$1421)</f>
        <v/>
      </c>
      <c r="AJ1418">
        <f>IF([2]Entry!$S$1421="","",[2]Entry!$S$1421)</f>
        <v/>
      </c>
      <c r="AK1418">
        <f>IF([2]Entry!$C$1421="","",[2]Entry!$C$1421)</f>
        <v/>
      </c>
      <c r="AL1418">
        <f>IF([2]Entry!$D$1421="","",[2]Entry!$D$1421)</f>
        <v/>
      </c>
    </row>
    <row r="1419">
      <c r="Z1419">
        <f>IF([2]Entry!$E$1422="","",[2]Entry!$E$1422)</f>
        <v/>
      </c>
      <c r="AA1419">
        <f>IF([2]Entry!$G$1422="","",[2]Entry!$G$1422)</f>
        <v/>
      </c>
      <c r="AB1419">
        <f>IF([2]Entry!$J$1422="","",[2]Entry!$J$1422)</f>
        <v/>
      </c>
      <c r="AC1419">
        <f>IF([2]Entry!$K$1422="","",[2]Entry!$K$1422)</f>
        <v/>
      </c>
      <c r="AD1419">
        <f>IF([2]Entry!$L$1422="","",[2]Entry!$L$1422)</f>
        <v/>
      </c>
      <c r="AE1419">
        <f>IF([2]Entry!$M$1422="","",[2]Entry!$M$1422)</f>
        <v/>
      </c>
      <c r="AF1419">
        <f>IF([2]Entry!$N$1422="","",[2]Entry!$N$1422)</f>
        <v/>
      </c>
      <c r="AJ1419">
        <f>IF([2]Entry!$S$1422="","",[2]Entry!$S$1422)</f>
        <v/>
      </c>
      <c r="AK1419">
        <f>IF([2]Entry!$C$1422="","",[2]Entry!$C$1422)</f>
        <v/>
      </c>
      <c r="AL1419">
        <f>IF([2]Entry!$D$1422="","",[2]Entry!$D$1422)</f>
        <v/>
      </c>
    </row>
    <row r="1420">
      <c r="Z1420">
        <f>IF([2]Entry!$E$1423="","",[2]Entry!$E$1423)</f>
        <v/>
      </c>
      <c r="AA1420">
        <f>IF([2]Entry!$G$1423="","",[2]Entry!$G$1423)</f>
        <v/>
      </c>
      <c r="AB1420">
        <f>IF([2]Entry!$J$1423="","",[2]Entry!$J$1423)</f>
        <v/>
      </c>
      <c r="AC1420">
        <f>IF([2]Entry!$K$1423="","",[2]Entry!$K$1423)</f>
        <v/>
      </c>
      <c r="AD1420">
        <f>IF([2]Entry!$L$1423="","",[2]Entry!$L$1423)</f>
        <v/>
      </c>
      <c r="AE1420">
        <f>IF([2]Entry!$M$1423="","",[2]Entry!$M$1423)</f>
        <v/>
      </c>
      <c r="AF1420">
        <f>IF([2]Entry!$N$1423="","",[2]Entry!$N$1423)</f>
        <v/>
      </c>
      <c r="AJ1420">
        <f>IF([2]Entry!$S$1423="","",[2]Entry!$S$1423)</f>
        <v/>
      </c>
      <c r="AK1420">
        <f>IF([2]Entry!$C$1423="","",[2]Entry!$C$1423)</f>
        <v/>
      </c>
      <c r="AL1420">
        <f>IF([2]Entry!$D$1423="","",[2]Entry!$D$1423)</f>
        <v/>
      </c>
    </row>
    <row r="1421">
      <c r="Z1421">
        <f>IF([2]Entry!$E$1424="","",[2]Entry!$E$1424)</f>
        <v/>
      </c>
      <c r="AA1421">
        <f>IF([2]Entry!$G$1424="","",[2]Entry!$G$1424)</f>
        <v/>
      </c>
      <c r="AB1421">
        <f>IF([2]Entry!$J$1424="","",[2]Entry!$J$1424)</f>
        <v/>
      </c>
      <c r="AC1421">
        <f>IF([2]Entry!$K$1424="","",[2]Entry!$K$1424)</f>
        <v/>
      </c>
      <c r="AD1421">
        <f>IF([2]Entry!$L$1424="","",[2]Entry!$L$1424)</f>
        <v/>
      </c>
      <c r="AE1421">
        <f>IF([2]Entry!$M$1424="","",[2]Entry!$M$1424)</f>
        <v/>
      </c>
      <c r="AF1421">
        <f>IF([2]Entry!$N$1424="","",[2]Entry!$N$1424)</f>
        <v/>
      </c>
      <c r="AJ1421">
        <f>IF([2]Entry!$S$1424="","",[2]Entry!$S$1424)</f>
        <v/>
      </c>
      <c r="AK1421">
        <f>IF([2]Entry!$C$1424="","",[2]Entry!$C$1424)</f>
        <v/>
      </c>
      <c r="AL1421">
        <f>IF([2]Entry!$D$1424="","",[2]Entry!$D$1424)</f>
        <v/>
      </c>
    </row>
    <row r="1422">
      <c r="Z1422">
        <f>IF([2]Entry!$E$1425="","",[2]Entry!$E$1425)</f>
        <v/>
      </c>
      <c r="AA1422">
        <f>IF([2]Entry!$G$1425="","",[2]Entry!$G$1425)</f>
        <v/>
      </c>
      <c r="AB1422">
        <f>IF([2]Entry!$J$1425="","",[2]Entry!$J$1425)</f>
        <v/>
      </c>
      <c r="AC1422">
        <f>IF([2]Entry!$K$1425="","",[2]Entry!$K$1425)</f>
        <v/>
      </c>
      <c r="AD1422">
        <f>IF([2]Entry!$L$1425="","",[2]Entry!$L$1425)</f>
        <v/>
      </c>
      <c r="AE1422">
        <f>IF([2]Entry!$M$1425="","",[2]Entry!$M$1425)</f>
        <v/>
      </c>
      <c r="AF1422">
        <f>IF([2]Entry!$N$1425="","",[2]Entry!$N$1425)</f>
        <v/>
      </c>
      <c r="AJ1422">
        <f>IF([2]Entry!$S$1425="","",[2]Entry!$S$1425)</f>
        <v/>
      </c>
      <c r="AK1422">
        <f>IF([2]Entry!$C$1425="","",[2]Entry!$C$1425)</f>
        <v/>
      </c>
      <c r="AL1422">
        <f>IF([2]Entry!$D$1425="","",[2]Entry!$D$1425)</f>
        <v/>
      </c>
    </row>
    <row r="1423">
      <c r="Z1423">
        <f>IF([2]Entry!$E$1426="","",[2]Entry!$E$1426)</f>
        <v/>
      </c>
      <c r="AA1423">
        <f>IF([2]Entry!$G$1426="","",[2]Entry!$G$1426)</f>
        <v/>
      </c>
      <c r="AB1423">
        <f>IF([2]Entry!$J$1426="","",[2]Entry!$J$1426)</f>
        <v/>
      </c>
      <c r="AC1423">
        <f>IF([2]Entry!$K$1426="","",[2]Entry!$K$1426)</f>
        <v/>
      </c>
      <c r="AD1423">
        <f>IF([2]Entry!$L$1426="","",[2]Entry!$L$1426)</f>
        <v/>
      </c>
      <c r="AE1423">
        <f>IF([2]Entry!$M$1426="","",[2]Entry!$M$1426)</f>
        <v/>
      </c>
      <c r="AF1423">
        <f>IF([2]Entry!$N$1426="","",[2]Entry!$N$1426)</f>
        <v/>
      </c>
      <c r="AJ1423">
        <f>IF([2]Entry!$S$1426="","",[2]Entry!$S$1426)</f>
        <v/>
      </c>
      <c r="AK1423">
        <f>IF([2]Entry!$C$1426="","",[2]Entry!$C$1426)</f>
        <v/>
      </c>
      <c r="AL1423">
        <f>IF([2]Entry!$D$1426="","",[2]Entry!$D$1426)</f>
        <v/>
      </c>
    </row>
    <row r="1424">
      <c r="Z1424">
        <f>IF([2]Entry!$E$1427="","",[2]Entry!$E$1427)</f>
        <v/>
      </c>
      <c r="AA1424">
        <f>IF([2]Entry!$G$1427="","",[2]Entry!$G$1427)</f>
        <v/>
      </c>
      <c r="AB1424">
        <f>IF([2]Entry!$J$1427="","",[2]Entry!$J$1427)</f>
        <v/>
      </c>
      <c r="AC1424">
        <f>IF([2]Entry!$K$1427="","",[2]Entry!$K$1427)</f>
        <v/>
      </c>
      <c r="AD1424">
        <f>IF([2]Entry!$L$1427="","",[2]Entry!$L$1427)</f>
        <v/>
      </c>
      <c r="AE1424">
        <f>IF([2]Entry!$M$1427="","",[2]Entry!$M$1427)</f>
        <v/>
      </c>
      <c r="AF1424">
        <f>IF([2]Entry!$N$1427="","",[2]Entry!$N$1427)</f>
        <v/>
      </c>
      <c r="AJ1424">
        <f>IF([2]Entry!$S$1427="","",[2]Entry!$S$1427)</f>
        <v/>
      </c>
      <c r="AK1424">
        <f>IF([2]Entry!$C$1427="","",[2]Entry!$C$1427)</f>
        <v/>
      </c>
      <c r="AL1424">
        <f>IF([2]Entry!$D$1427="","",[2]Entry!$D$1427)</f>
        <v/>
      </c>
    </row>
    <row r="1425">
      <c r="Z1425">
        <f>IF([2]Entry!$E$1428="","",[2]Entry!$E$1428)</f>
        <v/>
      </c>
      <c r="AA1425">
        <f>IF([2]Entry!$G$1428="","",[2]Entry!$G$1428)</f>
        <v/>
      </c>
      <c r="AB1425">
        <f>IF([2]Entry!$J$1428="","",[2]Entry!$J$1428)</f>
        <v/>
      </c>
      <c r="AC1425">
        <f>IF([2]Entry!$K$1428="","",[2]Entry!$K$1428)</f>
        <v/>
      </c>
      <c r="AD1425">
        <f>IF([2]Entry!$L$1428="","",[2]Entry!$L$1428)</f>
        <v/>
      </c>
      <c r="AE1425">
        <f>IF([2]Entry!$M$1428="","",[2]Entry!$M$1428)</f>
        <v/>
      </c>
      <c r="AF1425">
        <f>IF([2]Entry!$N$1428="","",[2]Entry!$N$1428)</f>
        <v/>
      </c>
      <c r="AJ1425">
        <f>IF([2]Entry!$S$1428="","",[2]Entry!$S$1428)</f>
        <v/>
      </c>
      <c r="AK1425">
        <f>IF([2]Entry!$C$1428="","",[2]Entry!$C$1428)</f>
        <v/>
      </c>
      <c r="AL1425">
        <f>IF([2]Entry!$D$1428="","",[2]Entry!$D$1428)</f>
        <v/>
      </c>
    </row>
    <row r="1426">
      <c r="Z1426">
        <f>IF([2]Entry!$E$1429="","",[2]Entry!$E$1429)</f>
        <v/>
      </c>
      <c r="AA1426">
        <f>IF([2]Entry!$G$1429="","",[2]Entry!$G$1429)</f>
        <v/>
      </c>
      <c r="AB1426">
        <f>IF([2]Entry!$J$1429="","",[2]Entry!$J$1429)</f>
        <v/>
      </c>
      <c r="AC1426">
        <f>IF([2]Entry!$K$1429="","",[2]Entry!$K$1429)</f>
        <v/>
      </c>
      <c r="AD1426">
        <f>IF([2]Entry!$L$1429="","",[2]Entry!$L$1429)</f>
        <v/>
      </c>
      <c r="AE1426">
        <f>IF([2]Entry!$M$1429="","",[2]Entry!$M$1429)</f>
        <v/>
      </c>
      <c r="AF1426">
        <f>IF([2]Entry!$N$1429="","",[2]Entry!$N$1429)</f>
        <v/>
      </c>
      <c r="AJ1426">
        <f>IF([2]Entry!$S$1429="","",[2]Entry!$S$1429)</f>
        <v/>
      </c>
      <c r="AK1426">
        <f>IF([2]Entry!$C$1429="","",[2]Entry!$C$1429)</f>
        <v/>
      </c>
      <c r="AL1426">
        <f>IF([2]Entry!$D$1429="","",[2]Entry!$D$1429)</f>
        <v/>
      </c>
    </row>
    <row r="1427">
      <c r="Z1427">
        <f>IF([2]Entry!$E$1430="","",[2]Entry!$E$1430)</f>
        <v/>
      </c>
      <c r="AA1427">
        <f>IF([2]Entry!$G$1430="","",[2]Entry!$G$1430)</f>
        <v/>
      </c>
      <c r="AB1427">
        <f>IF([2]Entry!$J$1430="","",[2]Entry!$J$1430)</f>
        <v/>
      </c>
      <c r="AC1427">
        <f>IF([2]Entry!$K$1430="","",[2]Entry!$K$1430)</f>
        <v/>
      </c>
      <c r="AD1427">
        <f>IF([2]Entry!$L$1430="","",[2]Entry!$L$1430)</f>
        <v/>
      </c>
      <c r="AE1427">
        <f>IF([2]Entry!$M$1430="","",[2]Entry!$M$1430)</f>
        <v/>
      </c>
      <c r="AF1427">
        <f>IF([2]Entry!$N$1430="","",[2]Entry!$N$1430)</f>
        <v/>
      </c>
      <c r="AJ1427">
        <f>IF([2]Entry!$S$1430="","",[2]Entry!$S$1430)</f>
        <v/>
      </c>
      <c r="AK1427">
        <f>IF([2]Entry!$C$1430="","",[2]Entry!$C$1430)</f>
        <v/>
      </c>
      <c r="AL1427">
        <f>IF([2]Entry!$D$1430="","",[2]Entry!$D$1430)</f>
        <v/>
      </c>
    </row>
    <row r="1428">
      <c r="Z1428">
        <f>IF([2]Entry!$E$1431="","",[2]Entry!$E$1431)</f>
        <v/>
      </c>
      <c r="AA1428">
        <f>IF([2]Entry!$G$1431="","",[2]Entry!$G$1431)</f>
        <v/>
      </c>
      <c r="AB1428">
        <f>IF([2]Entry!$J$1431="","",[2]Entry!$J$1431)</f>
        <v/>
      </c>
      <c r="AC1428">
        <f>IF([2]Entry!$K$1431="","",[2]Entry!$K$1431)</f>
        <v/>
      </c>
      <c r="AD1428">
        <f>IF([2]Entry!$L$1431="","",[2]Entry!$L$1431)</f>
        <v/>
      </c>
      <c r="AE1428">
        <f>IF([2]Entry!$M$1431="","",[2]Entry!$M$1431)</f>
        <v/>
      </c>
      <c r="AF1428">
        <f>IF([2]Entry!$N$1431="","",[2]Entry!$N$1431)</f>
        <v/>
      </c>
      <c r="AJ1428">
        <f>IF([2]Entry!$S$1431="","",[2]Entry!$S$1431)</f>
        <v/>
      </c>
      <c r="AK1428">
        <f>IF([2]Entry!$C$1431="","",[2]Entry!$C$1431)</f>
        <v/>
      </c>
      <c r="AL1428">
        <f>IF([2]Entry!$D$1431="","",[2]Entry!$D$1431)</f>
        <v/>
      </c>
    </row>
    <row r="1429">
      <c r="Z1429">
        <f>IF([2]Entry!$E$1432="","",[2]Entry!$E$1432)</f>
        <v/>
      </c>
      <c r="AA1429">
        <f>IF([2]Entry!$G$1432="","",[2]Entry!$G$1432)</f>
        <v/>
      </c>
      <c r="AB1429">
        <f>IF([2]Entry!$J$1432="","",[2]Entry!$J$1432)</f>
        <v/>
      </c>
      <c r="AC1429">
        <f>IF([2]Entry!$K$1432="","",[2]Entry!$K$1432)</f>
        <v/>
      </c>
      <c r="AD1429">
        <f>IF([2]Entry!$L$1432="","",[2]Entry!$L$1432)</f>
        <v/>
      </c>
      <c r="AE1429">
        <f>IF([2]Entry!$M$1432="","",[2]Entry!$M$1432)</f>
        <v/>
      </c>
      <c r="AF1429">
        <f>IF([2]Entry!$N$1432="","",[2]Entry!$N$1432)</f>
        <v/>
      </c>
      <c r="AJ1429">
        <f>IF([2]Entry!$S$1432="","",[2]Entry!$S$1432)</f>
        <v/>
      </c>
      <c r="AK1429">
        <f>IF([2]Entry!$C$1432="","",[2]Entry!$C$1432)</f>
        <v/>
      </c>
      <c r="AL1429">
        <f>IF([2]Entry!$D$1432="","",[2]Entry!$D$1432)</f>
        <v/>
      </c>
    </row>
    <row r="1430">
      <c r="Z1430">
        <f>IF([2]Entry!$E$1433="","",[2]Entry!$E$1433)</f>
        <v/>
      </c>
      <c r="AA1430">
        <f>IF([2]Entry!$G$1433="","",[2]Entry!$G$1433)</f>
        <v/>
      </c>
      <c r="AB1430">
        <f>IF([2]Entry!$J$1433="","",[2]Entry!$J$1433)</f>
        <v/>
      </c>
      <c r="AC1430">
        <f>IF([2]Entry!$K$1433="","",[2]Entry!$K$1433)</f>
        <v/>
      </c>
      <c r="AD1430">
        <f>IF([2]Entry!$L$1433="","",[2]Entry!$L$1433)</f>
        <v/>
      </c>
      <c r="AE1430">
        <f>IF([2]Entry!$M$1433="","",[2]Entry!$M$1433)</f>
        <v/>
      </c>
      <c r="AF1430">
        <f>IF([2]Entry!$N$1433="","",[2]Entry!$N$1433)</f>
        <v/>
      </c>
      <c r="AJ1430">
        <f>IF([2]Entry!$S$1433="","",[2]Entry!$S$1433)</f>
        <v/>
      </c>
      <c r="AK1430">
        <f>IF([2]Entry!$C$1433="","",[2]Entry!$C$1433)</f>
        <v/>
      </c>
      <c r="AL1430">
        <f>IF([2]Entry!$D$1433="","",[2]Entry!$D$1433)</f>
        <v/>
      </c>
    </row>
    <row r="1431">
      <c r="Z1431">
        <f>IF([2]Entry!$E$1434="","",[2]Entry!$E$1434)</f>
        <v/>
      </c>
      <c r="AA1431">
        <f>IF([2]Entry!$G$1434="","",[2]Entry!$G$1434)</f>
        <v/>
      </c>
      <c r="AB1431">
        <f>IF([2]Entry!$J$1434="","",[2]Entry!$J$1434)</f>
        <v/>
      </c>
      <c r="AC1431">
        <f>IF([2]Entry!$K$1434="","",[2]Entry!$K$1434)</f>
        <v/>
      </c>
      <c r="AD1431">
        <f>IF([2]Entry!$L$1434="","",[2]Entry!$L$1434)</f>
        <v/>
      </c>
      <c r="AE1431">
        <f>IF([2]Entry!$M$1434="","",[2]Entry!$M$1434)</f>
        <v/>
      </c>
      <c r="AF1431">
        <f>IF([2]Entry!$N$1434="","",[2]Entry!$N$1434)</f>
        <v/>
      </c>
      <c r="AJ1431">
        <f>IF([2]Entry!$S$1434="","",[2]Entry!$S$1434)</f>
        <v/>
      </c>
      <c r="AK1431">
        <f>IF([2]Entry!$C$1434="","",[2]Entry!$C$1434)</f>
        <v/>
      </c>
      <c r="AL1431">
        <f>IF([2]Entry!$D$1434="","",[2]Entry!$D$1434)</f>
        <v/>
      </c>
    </row>
    <row r="1432">
      <c r="Z1432">
        <f>IF([2]Entry!$E$1435="","",[2]Entry!$E$1435)</f>
        <v/>
      </c>
      <c r="AA1432">
        <f>IF([2]Entry!$G$1435="","",[2]Entry!$G$1435)</f>
        <v/>
      </c>
      <c r="AB1432">
        <f>IF([2]Entry!$J$1435="","",[2]Entry!$J$1435)</f>
        <v/>
      </c>
      <c r="AC1432">
        <f>IF([2]Entry!$K$1435="","",[2]Entry!$K$1435)</f>
        <v/>
      </c>
      <c r="AD1432">
        <f>IF([2]Entry!$L$1435="","",[2]Entry!$L$1435)</f>
        <v/>
      </c>
      <c r="AE1432">
        <f>IF([2]Entry!$M$1435="","",[2]Entry!$M$1435)</f>
        <v/>
      </c>
      <c r="AF1432">
        <f>IF([2]Entry!$N$1435="","",[2]Entry!$N$1435)</f>
        <v/>
      </c>
      <c r="AJ1432">
        <f>IF([2]Entry!$S$1435="","",[2]Entry!$S$1435)</f>
        <v/>
      </c>
      <c r="AK1432">
        <f>IF([2]Entry!$C$1435="","",[2]Entry!$C$1435)</f>
        <v/>
      </c>
      <c r="AL1432">
        <f>IF([2]Entry!$D$1435="","",[2]Entry!$D$1435)</f>
        <v/>
      </c>
    </row>
    <row r="1433">
      <c r="Z1433">
        <f>IF([2]Entry!$E$1436="","",[2]Entry!$E$1436)</f>
        <v/>
      </c>
      <c r="AA1433">
        <f>IF([2]Entry!$G$1436="","",[2]Entry!$G$1436)</f>
        <v/>
      </c>
      <c r="AB1433">
        <f>IF([2]Entry!$J$1436="","",[2]Entry!$J$1436)</f>
        <v/>
      </c>
      <c r="AC1433">
        <f>IF([2]Entry!$K$1436="","",[2]Entry!$K$1436)</f>
        <v/>
      </c>
      <c r="AD1433">
        <f>IF([2]Entry!$L$1436="","",[2]Entry!$L$1436)</f>
        <v/>
      </c>
      <c r="AE1433">
        <f>IF([2]Entry!$M$1436="","",[2]Entry!$M$1436)</f>
        <v/>
      </c>
      <c r="AF1433">
        <f>IF([2]Entry!$N$1436="","",[2]Entry!$N$1436)</f>
        <v/>
      </c>
      <c r="AJ1433">
        <f>IF([2]Entry!$S$1436="","",[2]Entry!$S$1436)</f>
        <v/>
      </c>
      <c r="AK1433">
        <f>IF([2]Entry!$C$1436="","",[2]Entry!$C$1436)</f>
        <v/>
      </c>
      <c r="AL1433">
        <f>IF([2]Entry!$D$1436="","",[2]Entry!$D$1436)</f>
        <v/>
      </c>
    </row>
    <row r="1434">
      <c r="Z1434">
        <f>IF([2]Entry!$E$1437="","",[2]Entry!$E$1437)</f>
        <v/>
      </c>
      <c r="AA1434">
        <f>IF([2]Entry!$G$1437="","",[2]Entry!$G$1437)</f>
        <v/>
      </c>
      <c r="AB1434">
        <f>IF([2]Entry!$J$1437="","",[2]Entry!$J$1437)</f>
        <v/>
      </c>
      <c r="AC1434">
        <f>IF([2]Entry!$K$1437="","",[2]Entry!$K$1437)</f>
        <v/>
      </c>
      <c r="AD1434">
        <f>IF([2]Entry!$L$1437="","",[2]Entry!$L$1437)</f>
        <v/>
      </c>
      <c r="AE1434">
        <f>IF([2]Entry!$M$1437="","",[2]Entry!$M$1437)</f>
        <v/>
      </c>
      <c r="AF1434">
        <f>IF([2]Entry!$N$1437="","",[2]Entry!$N$1437)</f>
        <v/>
      </c>
      <c r="AJ1434">
        <f>IF([2]Entry!$S$1437="","",[2]Entry!$S$1437)</f>
        <v/>
      </c>
      <c r="AK1434">
        <f>IF([2]Entry!$C$1437="","",[2]Entry!$C$1437)</f>
        <v/>
      </c>
      <c r="AL1434">
        <f>IF([2]Entry!$D$1437="","",[2]Entry!$D$1437)</f>
        <v/>
      </c>
    </row>
    <row r="1435">
      <c r="Z1435">
        <f>IF([2]Entry!$E$1438="","",[2]Entry!$E$1438)</f>
        <v/>
      </c>
      <c r="AA1435">
        <f>IF([2]Entry!$G$1438="","",[2]Entry!$G$1438)</f>
        <v/>
      </c>
      <c r="AB1435">
        <f>IF([2]Entry!$J$1438="","",[2]Entry!$J$1438)</f>
        <v/>
      </c>
      <c r="AC1435">
        <f>IF([2]Entry!$K$1438="","",[2]Entry!$K$1438)</f>
        <v/>
      </c>
      <c r="AD1435">
        <f>IF([2]Entry!$L$1438="","",[2]Entry!$L$1438)</f>
        <v/>
      </c>
      <c r="AE1435">
        <f>IF([2]Entry!$M$1438="","",[2]Entry!$M$1438)</f>
        <v/>
      </c>
      <c r="AF1435">
        <f>IF([2]Entry!$N$1438="","",[2]Entry!$N$1438)</f>
        <v/>
      </c>
      <c r="AJ1435">
        <f>IF([2]Entry!$S$1438="","",[2]Entry!$S$1438)</f>
        <v/>
      </c>
      <c r="AK1435">
        <f>IF([2]Entry!$C$1438="","",[2]Entry!$C$1438)</f>
        <v/>
      </c>
      <c r="AL1435">
        <f>IF([2]Entry!$D$1438="","",[2]Entry!$D$1438)</f>
        <v/>
      </c>
    </row>
    <row r="1436">
      <c r="Z1436">
        <f>IF([2]Entry!$E$1439="","",[2]Entry!$E$1439)</f>
        <v/>
      </c>
      <c r="AA1436">
        <f>IF([2]Entry!$G$1439="","",[2]Entry!$G$1439)</f>
        <v/>
      </c>
      <c r="AB1436">
        <f>IF([2]Entry!$J$1439="","",[2]Entry!$J$1439)</f>
        <v/>
      </c>
      <c r="AC1436">
        <f>IF([2]Entry!$K$1439="","",[2]Entry!$K$1439)</f>
        <v/>
      </c>
      <c r="AD1436">
        <f>IF([2]Entry!$L$1439="","",[2]Entry!$L$1439)</f>
        <v/>
      </c>
      <c r="AE1436">
        <f>IF([2]Entry!$M$1439="","",[2]Entry!$M$1439)</f>
        <v/>
      </c>
      <c r="AF1436">
        <f>IF([2]Entry!$N$1439="","",[2]Entry!$N$1439)</f>
        <v/>
      </c>
      <c r="AJ1436">
        <f>IF([2]Entry!$S$1439="","",[2]Entry!$S$1439)</f>
        <v/>
      </c>
      <c r="AK1436">
        <f>IF([2]Entry!$C$1439="","",[2]Entry!$C$1439)</f>
        <v/>
      </c>
      <c r="AL1436">
        <f>IF([2]Entry!$D$1439="","",[2]Entry!$D$1439)</f>
        <v/>
      </c>
    </row>
    <row r="1437">
      <c r="Z1437">
        <f>IF([2]Entry!$E$1440="","",[2]Entry!$E$1440)</f>
        <v/>
      </c>
      <c r="AA1437">
        <f>IF([2]Entry!$G$1440="","",[2]Entry!$G$1440)</f>
        <v/>
      </c>
      <c r="AB1437">
        <f>IF([2]Entry!$J$1440="","",[2]Entry!$J$1440)</f>
        <v/>
      </c>
      <c r="AC1437">
        <f>IF([2]Entry!$K$1440="","",[2]Entry!$K$1440)</f>
        <v/>
      </c>
      <c r="AD1437">
        <f>IF([2]Entry!$L$1440="","",[2]Entry!$L$1440)</f>
        <v/>
      </c>
      <c r="AE1437">
        <f>IF([2]Entry!$M$1440="","",[2]Entry!$M$1440)</f>
        <v/>
      </c>
      <c r="AF1437">
        <f>IF([2]Entry!$N$1440="","",[2]Entry!$N$1440)</f>
        <v/>
      </c>
      <c r="AJ1437">
        <f>IF([2]Entry!$S$1440="","",[2]Entry!$S$1440)</f>
        <v/>
      </c>
      <c r="AK1437">
        <f>IF([2]Entry!$C$1440="","",[2]Entry!$C$1440)</f>
        <v/>
      </c>
      <c r="AL1437">
        <f>IF([2]Entry!$D$1440="","",[2]Entry!$D$1440)</f>
        <v/>
      </c>
    </row>
    <row r="1438">
      <c r="Z1438">
        <f>IF([2]Entry!$E$1441="","",[2]Entry!$E$1441)</f>
        <v/>
      </c>
      <c r="AA1438">
        <f>IF([2]Entry!$G$1441="","",[2]Entry!$G$1441)</f>
        <v/>
      </c>
      <c r="AB1438">
        <f>IF([2]Entry!$J$1441="","",[2]Entry!$J$1441)</f>
        <v/>
      </c>
      <c r="AC1438">
        <f>IF([2]Entry!$K$1441="","",[2]Entry!$K$1441)</f>
        <v/>
      </c>
      <c r="AD1438">
        <f>IF([2]Entry!$L$1441="","",[2]Entry!$L$1441)</f>
        <v/>
      </c>
      <c r="AE1438">
        <f>IF([2]Entry!$M$1441="","",[2]Entry!$M$1441)</f>
        <v/>
      </c>
      <c r="AF1438">
        <f>IF([2]Entry!$N$1441="","",[2]Entry!$N$1441)</f>
        <v/>
      </c>
      <c r="AJ1438">
        <f>IF([2]Entry!$S$1441="","",[2]Entry!$S$1441)</f>
        <v/>
      </c>
      <c r="AK1438">
        <f>IF([2]Entry!$C$1441="","",[2]Entry!$C$1441)</f>
        <v/>
      </c>
      <c r="AL1438">
        <f>IF([2]Entry!$D$1441="","",[2]Entry!$D$1441)</f>
        <v/>
      </c>
    </row>
    <row r="1439">
      <c r="Z1439">
        <f>IF([2]Entry!$E$1442="","",[2]Entry!$E$1442)</f>
        <v/>
      </c>
      <c r="AA1439">
        <f>IF([2]Entry!$G$1442="","",[2]Entry!$G$1442)</f>
        <v/>
      </c>
      <c r="AB1439">
        <f>IF([2]Entry!$J$1442="","",[2]Entry!$J$1442)</f>
        <v/>
      </c>
      <c r="AC1439">
        <f>IF([2]Entry!$K$1442="","",[2]Entry!$K$1442)</f>
        <v/>
      </c>
      <c r="AD1439">
        <f>IF([2]Entry!$L$1442="","",[2]Entry!$L$1442)</f>
        <v/>
      </c>
      <c r="AE1439">
        <f>IF([2]Entry!$M$1442="","",[2]Entry!$M$1442)</f>
        <v/>
      </c>
      <c r="AF1439">
        <f>IF([2]Entry!$N$1442="","",[2]Entry!$N$1442)</f>
        <v/>
      </c>
      <c r="AJ1439">
        <f>IF([2]Entry!$S$1442="","",[2]Entry!$S$1442)</f>
        <v/>
      </c>
      <c r="AK1439">
        <f>IF([2]Entry!$C$1442="","",[2]Entry!$C$1442)</f>
        <v/>
      </c>
      <c r="AL1439">
        <f>IF([2]Entry!$D$1442="","",[2]Entry!$D$1442)</f>
        <v/>
      </c>
    </row>
    <row r="1440">
      <c r="Z1440">
        <f>IF([2]Entry!$E$1443="","",[2]Entry!$E$1443)</f>
        <v/>
      </c>
      <c r="AA1440">
        <f>IF([2]Entry!$G$1443="","",[2]Entry!$G$1443)</f>
        <v/>
      </c>
      <c r="AB1440">
        <f>IF([2]Entry!$J$1443="","",[2]Entry!$J$1443)</f>
        <v/>
      </c>
      <c r="AC1440">
        <f>IF([2]Entry!$K$1443="","",[2]Entry!$K$1443)</f>
        <v/>
      </c>
      <c r="AD1440">
        <f>IF([2]Entry!$L$1443="","",[2]Entry!$L$1443)</f>
        <v/>
      </c>
      <c r="AE1440">
        <f>IF([2]Entry!$M$1443="","",[2]Entry!$M$1443)</f>
        <v/>
      </c>
      <c r="AF1440">
        <f>IF([2]Entry!$N$1443="","",[2]Entry!$N$1443)</f>
        <v/>
      </c>
      <c r="AJ1440">
        <f>IF([2]Entry!$S$1443="","",[2]Entry!$S$1443)</f>
        <v/>
      </c>
      <c r="AK1440">
        <f>IF([2]Entry!$C$1443="","",[2]Entry!$C$1443)</f>
        <v/>
      </c>
      <c r="AL1440">
        <f>IF([2]Entry!$D$1443="","",[2]Entry!$D$1443)</f>
        <v/>
      </c>
    </row>
    <row r="1441">
      <c r="Z1441">
        <f>IF([2]Entry!$E$1444="","",[2]Entry!$E$1444)</f>
        <v/>
      </c>
      <c r="AA1441">
        <f>IF([2]Entry!$G$1444="","",[2]Entry!$G$1444)</f>
        <v/>
      </c>
      <c r="AB1441">
        <f>IF([2]Entry!$J$1444="","",[2]Entry!$J$1444)</f>
        <v/>
      </c>
      <c r="AC1441">
        <f>IF([2]Entry!$K$1444="","",[2]Entry!$K$1444)</f>
        <v/>
      </c>
      <c r="AD1441">
        <f>IF([2]Entry!$L$1444="","",[2]Entry!$L$1444)</f>
        <v/>
      </c>
      <c r="AE1441">
        <f>IF([2]Entry!$M$1444="","",[2]Entry!$M$1444)</f>
        <v/>
      </c>
      <c r="AF1441">
        <f>IF([2]Entry!$N$1444="","",[2]Entry!$N$1444)</f>
        <v/>
      </c>
      <c r="AJ1441">
        <f>IF([2]Entry!$S$1444="","",[2]Entry!$S$1444)</f>
        <v/>
      </c>
      <c r="AK1441">
        <f>IF([2]Entry!$C$1444="","",[2]Entry!$C$1444)</f>
        <v/>
      </c>
      <c r="AL1441">
        <f>IF([2]Entry!$D$1444="","",[2]Entry!$D$1444)</f>
        <v/>
      </c>
    </row>
    <row r="1442">
      <c r="Z1442">
        <f>IF([2]Entry!$E$1445="","",[2]Entry!$E$1445)</f>
        <v/>
      </c>
      <c r="AA1442">
        <f>IF([2]Entry!$G$1445="","",[2]Entry!$G$1445)</f>
        <v/>
      </c>
      <c r="AB1442">
        <f>IF([2]Entry!$J$1445="","",[2]Entry!$J$1445)</f>
        <v/>
      </c>
      <c r="AC1442">
        <f>IF([2]Entry!$K$1445="","",[2]Entry!$K$1445)</f>
        <v/>
      </c>
      <c r="AD1442">
        <f>IF([2]Entry!$L$1445="","",[2]Entry!$L$1445)</f>
        <v/>
      </c>
      <c r="AE1442">
        <f>IF([2]Entry!$M$1445="","",[2]Entry!$M$1445)</f>
        <v/>
      </c>
      <c r="AF1442">
        <f>IF([2]Entry!$N$1445="","",[2]Entry!$N$1445)</f>
        <v/>
      </c>
      <c r="AJ1442">
        <f>IF([2]Entry!$S$1445="","",[2]Entry!$S$1445)</f>
        <v/>
      </c>
      <c r="AK1442">
        <f>IF([2]Entry!$C$1445="","",[2]Entry!$C$1445)</f>
        <v/>
      </c>
      <c r="AL1442">
        <f>IF([2]Entry!$D$1445="","",[2]Entry!$D$1445)</f>
        <v/>
      </c>
    </row>
    <row r="1443">
      <c r="Z1443">
        <f>IF([2]Entry!$E$1446="","",[2]Entry!$E$1446)</f>
        <v/>
      </c>
      <c r="AA1443">
        <f>IF([2]Entry!$G$1446="","",[2]Entry!$G$1446)</f>
        <v/>
      </c>
      <c r="AB1443">
        <f>IF([2]Entry!$J$1446="","",[2]Entry!$J$1446)</f>
        <v/>
      </c>
      <c r="AC1443">
        <f>IF([2]Entry!$K$1446="","",[2]Entry!$K$1446)</f>
        <v/>
      </c>
      <c r="AD1443">
        <f>IF([2]Entry!$L$1446="","",[2]Entry!$L$1446)</f>
        <v/>
      </c>
      <c r="AE1443">
        <f>IF([2]Entry!$M$1446="","",[2]Entry!$M$1446)</f>
        <v/>
      </c>
      <c r="AF1443">
        <f>IF([2]Entry!$N$1446="","",[2]Entry!$N$1446)</f>
        <v/>
      </c>
      <c r="AJ1443">
        <f>IF([2]Entry!$S$1446="","",[2]Entry!$S$1446)</f>
        <v/>
      </c>
      <c r="AK1443">
        <f>IF([2]Entry!$C$1446="","",[2]Entry!$C$1446)</f>
        <v/>
      </c>
      <c r="AL1443">
        <f>IF([2]Entry!$D$1446="","",[2]Entry!$D$1446)</f>
        <v/>
      </c>
    </row>
    <row r="1444">
      <c r="Z1444">
        <f>IF([2]Entry!$E$1447="","",[2]Entry!$E$1447)</f>
        <v/>
      </c>
      <c r="AA1444">
        <f>IF([2]Entry!$G$1447="","",[2]Entry!$G$1447)</f>
        <v/>
      </c>
      <c r="AB1444">
        <f>IF([2]Entry!$J$1447="","",[2]Entry!$J$1447)</f>
        <v/>
      </c>
      <c r="AC1444">
        <f>IF([2]Entry!$K$1447="","",[2]Entry!$K$1447)</f>
        <v/>
      </c>
      <c r="AD1444">
        <f>IF([2]Entry!$L$1447="","",[2]Entry!$L$1447)</f>
        <v/>
      </c>
      <c r="AE1444">
        <f>IF([2]Entry!$M$1447="","",[2]Entry!$M$1447)</f>
        <v/>
      </c>
      <c r="AF1444">
        <f>IF([2]Entry!$N$1447="","",[2]Entry!$N$1447)</f>
        <v/>
      </c>
      <c r="AJ1444">
        <f>IF([2]Entry!$S$1447="","",[2]Entry!$S$1447)</f>
        <v/>
      </c>
      <c r="AK1444">
        <f>IF([2]Entry!$C$1447="","",[2]Entry!$C$1447)</f>
        <v/>
      </c>
      <c r="AL1444">
        <f>IF([2]Entry!$D$1447="","",[2]Entry!$D$1447)</f>
        <v/>
      </c>
    </row>
    <row r="1445">
      <c r="Z1445">
        <f>IF([2]Entry!$E$1448="","",[2]Entry!$E$1448)</f>
        <v/>
      </c>
      <c r="AA1445">
        <f>IF([2]Entry!$G$1448="","",[2]Entry!$G$1448)</f>
        <v/>
      </c>
      <c r="AB1445">
        <f>IF([2]Entry!$J$1448="","",[2]Entry!$J$1448)</f>
        <v/>
      </c>
      <c r="AC1445">
        <f>IF([2]Entry!$K$1448="","",[2]Entry!$K$1448)</f>
        <v/>
      </c>
      <c r="AD1445">
        <f>IF([2]Entry!$L$1448="","",[2]Entry!$L$1448)</f>
        <v/>
      </c>
      <c r="AE1445">
        <f>IF([2]Entry!$M$1448="","",[2]Entry!$M$1448)</f>
        <v/>
      </c>
      <c r="AF1445">
        <f>IF([2]Entry!$N$1448="","",[2]Entry!$N$1448)</f>
        <v/>
      </c>
      <c r="AJ1445">
        <f>IF([2]Entry!$S$1448="","",[2]Entry!$S$1448)</f>
        <v/>
      </c>
      <c r="AK1445">
        <f>IF([2]Entry!$C$1448="","",[2]Entry!$C$1448)</f>
        <v/>
      </c>
      <c r="AL1445">
        <f>IF([2]Entry!$D$1448="","",[2]Entry!$D$1448)</f>
        <v/>
      </c>
    </row>
    <row r="1446">
      <c r="Z1446">
        <f>IF([2]Entry!$E$1449="","",[2]Entry!$E$1449)</f>
        <v/>
      </c>
      <c r="AA1446">
        <f>IF([2]Entry!$G$1449="","",[2]Entry!$G$1449)</f>
        <v/>
      </c>
      <c r="AB1446">
        <f>IF([2]Entry!$J$1449="","",[2]Entry!$J$1449)</f>
        <v/>
      </c>
      <c r="AC1446">
        <f>IF([2]Entry!$K$1449="","",[2]Entry!$K$1449)</f>
        <v/>
      </c>
      <c r="AD1446">
        <f>IF([2]Entry!$L$1449="","",[2]Entry!$L$1449)</f>
        <v/>
      </c>
      <c r="AE1446">
        <f>IF([2]Entry!$M$1449="","",[2]Entry!$M$1449)</f>
        <v/>
      </c>
      <c r="AF1446">
        <f>IF([2]Entry!$N$1449="","",[2]Entry!$N$1449)</f>
        <v/>
      </c>
      <c r="AJ1446">
        <f>IF([2]Entry!$S$1449="","",[2]Entry!$S$1449)</f>
        <v/>
      </c>
      <c r="AK1446">
        <f>IF([2]Entry!$C$1449="","",[2]Entry!$C$1449)</f>
        <v/>
      </c>
      <c r="AL1446">
        <f>IF([2]Entry!$D$1449="","",[2]Entry!$D$1449)</f>
        <v/>
      </c>
    </row>
    <row r="1447">
      <c r="Z1447">
        <f>IF([2]Entry!$E$1450="","",[2]Entry!$E$1450)</f>
        <v/>
      </c>
      <c r="AA1447">
        <f>IF([2]Entry!$G$1450="","",[2]Entry!$G$1450)</f>
        <v/>
      </c>
      <c r="AB1447">
        <f>IF([2]Entry!$J$1450="","",[2]Entry!$J$1450)</f>
        <v/>
      </c>
      <c r="AC1447">
        <f>IF([2]Entry!$K$1450="","",[2]Entry!$K$1450)</f>
        <v/>
      </c>
      <c r="AD1447">
        <f>IF([2]Entry!$L$1450="","",[2]Entry!$L$1450)</f>
        <v/>
      </c>
      <c r="AE1447">
        <f>IF([2]Entry!$M$1450="","",[2]Entry!$M$1450)</f>
        <v/>
      </c>
      <c r="AF1447">
        <f>IF([2]Entry!$N$1450="","",[2]Entry!$N$1450)</f>
        <v/>
      </c>
      <c r="AJ1447">
        <f>IF([2]Entry!$S$1450="","",[2]Entry!$S$1450)</f>
        <v/>
      </c>
      <c r="AK1447">
        <f>IF([2]Entry!$C$1450="","",[2]Entry!$C$1450)</f>
        <v/>
      </c>
      <c r="AL1447">
        <f>IF([2]Entry!$D$1450="","",[2]Entry!$D$1450)</f>
        <v/>
      </c>
    </row>
    <row r="1448">
      <c r="Z1448">
        <f>IF([2]Entry!$E$1451="","",[2]Entry!$E$1451)</f>
        <v/>
      </c>
      <c r="AA1448">
        <f>IF([2]Entry!$G$1451="","",[2]Entry!$G$1451)</f>
        <v/>
      </c>
      <c r="AB1448">
        <f>IF([2]Entry!$J$1451="","",[2]Entry!$J$1451)</f>
        <v/>
      </c>
      <c r="AC1448">
        <f>IF([2]Entry!$K$1451="","",[2]Entry!$K$1451)</f>
        <v/>
      </c>
      <c r="AD1448">
        <f>IF([2]Entry!$L$1451="","",[2]Entry!$L$1451)</f>
        <v/>
      </c>
      <c r="AE1448">
        <f>IF([2]Entry!$M$1451="","",[2]Entry!$M$1451)</f>
        <v/>
      </c>
      <c r="AF1448">
        <f>IF([2]Entry!$N$1451="","",[2]Entry!$N$1451)</f>
        <v/>
      </c>
      <c r="AJ1448">
        <f>IF([2]Entry!$S$1451="","",[2]Entry!$S$1451)</f>
        <v/>
      </c>
      <c r="AK1448">
        <f>IF([2]Entry!$C$1451="","",[2]Entry!$C$1451)</f>
        <v/>
      </c>
      <c r="AL1448">
        <f>IF([2]Entry!$D$1451="","",[2]Entry!$D$1451)</f>
        <v/>
      </c>
    </row>
    <row r="1449">
      <c r="Z1449">
        <f>IF([2]Entry!$E$1452="","",[2]Entry!$E$1452)</f>
        <v/>
      </c>
      <c r="AA1449">
        <f>IF([2]Entry!$G$1452="","",[2]Entry!$G$1452)</f>
        <v/>
      </c>
      <c r="AB1449">
        <f>IF([2]Entry!$J$1452="","",[2]Entry!$J$1452)</f>
        <v/>
      </c>
      <c r="AC1449">
        <f>IF([2]Entry!$K$1452="","",[2]Entry!$K$1452)</f>
        <v/>
      </c>
      <c r="AD1449">
        <f>IF([2]Entry!$L$1452="","",[2]Entry!$L$1452)</f>
        <v/>
      </c>
      <c r="AE1449">
        <f>IF([2]Entry!$M$1452="","",[2]Entry!$M$1452)</f>
        <v/>
      </c>
      <c r="AF1449">
        <f>IF([2]Entry!$N$1452="","",[2]Entry!$N$1452)</f>
        <v/>
      </c>
      <c r="AJ1449">
        <f>IF([2]Entry!$S$1452="","",[2]Entry!$S$1452)</f>
        <v/>
      </c>
      <c r="AK1449">
        <f>IF([2]Entry!$C$1452="","",[2]Entry!$C$1452)</f>
        <v/>
      </c>
      <c r="AL1449">
        <f>IF([2]Entry!$D$1452="","",[2]Entry!$D$1452)</f>
        <v/>
      </c>
    </row>
    <row r="1450">
      <c r="Z1450">
        <f>IF([2]Entry!$E$1453="","",[2]Entry!$E$1453)</f>
        <v/>
      </c>
      <c r="AA1450">
        <f>IF([2]Entry!$G$1453="","",[2]Entry!$G$1453)</f>
        <v/>
      </c>
      <c r="AB1450">
        <f>IF([2]Entry!$J$1453="","",[2]Entry!$J$1453)</f>
        <v/>
      </c>
      <c r="AC1450">
        <f>IF([2]Entry!$K$1453="","",[2]Entry!$K$1453)</f>
        <v/>
      </c>
      <c r="AD1450">
        <f>IF([2]Entry!$L$1453="","",[2]Entry!$L$1453)</f>
        <v/>
      </c>
      <c r="AE1450">
        <f>IF([2]Entry!$M$1453="","",[2]Entry!$M$1453)</f>
        <v/>
      </c>
      <c r="AF1450">
        <f>IF([2]Entry!$N$1453="","",[2]Entry!$N$1453)</f>
        <v/>
      </c>
      <c r="AJ1450">
        <f>IF([2]Entry!$S$1453="","",[2]Entry!$S$1453)</f>
        <v/>
      </c>
      <c r="AK1450">
        <f>IF([2]Entry!$C$1453="","",[2]Entry!$C$1453)</f>
        <v/>
      </c>
      <c r="AL1450">
        <f>IF([2]Entry!$D$1453="","",[2]Entry!$D$1453)</f>
        <v/>
      </c>
    </row>
    <row r="1451">
      <c r="Z1451">
        <f>IF([2]Entry!$E$1454="","",[2]Entry!$E$1454)</f>
        <v/>
      </c>
      <c r="AA1451">
        <f>IF([2]Entry!$G$1454="","",[2]Entry!$G$1454)</f>
        <v/>
      </c>
      <c r="AB1451">
        <f>IF([2]Entry!$J$1454="","",[2]Entry!$J$1454)</f>
        <v/>
      </c>
      <c r="AC1451">
        <f>IF([2]Entry!$K$1454="","",[2]Entry!$K$1454)</f>
        <v/>
      </c>
      <c r="AD1451">
        <f>IF([2]Entry!$L$1454="","",[2]Entry!$L$1454)</f>
        <v/>
      </c>
      <c r="AE1451">
        <f>IF([2]Entry!$M$1454="","",[2]Entry!$M$1454)</f>
        <v/>
      </c>
      <c r="AF1451">
        <f>IF([2]Entry!$N$1454="","",[2]Entry!$N$1454)</f>
        <v/>
      </c>
      <c r="AJ1451">
        <f>IF([2]Entry!$S$1454="","",[2]Entry!$S$1454)</f>
        <v/>
      </c>
      <c r="AK1451">
        <f>IF([2]Entry!$C$1454="","",[2]Entry!$C$1454)</f>
        <v/>
      </c>
      <c r="AL1451">
        <f>IF([2]Entry!$D$1454="","",[2]Entry!$D$1454)</f>
        <v/>
      </c>
    </row>
    <row r="1452">
      <c r="Z1452">
        <f>IF([2]Entry!$E$1455="","",[2]Entry!$E$1455)</f>
        <v/>
      </c>
      <c r="AA1452">
        <f>IF([2]Entry!$G$1455="","",[2]Entry!$G$1455)</f>
        <v/>
      </c>
      <c r="AB1452">
        <f>IF([2]Entry!$J$1455="","",[2]Entry!$J$1455)</f>
        <v/>
      </c>
      <c r="AC1452">
        <f>IF([2]Entry!$K$1455="","",[2]Entry!$K$1455)</f>
        <v/>
      </c>
      <c r="AD1452">
        <f>IF([2]Entry!$L$1455="","",[2]Entry!$L$1455)</f>
        <v/>
      </c>
      <c r="AE1452">
        <f>IF([2]Entry!$M$1455="","",[2]Entry!$M$1455)</f>
        <v/>
      </c>
      <c r="AF1452">
        <f>IF([2]Entry!$N$1455="","",[2]Entry!$N$1455)</f>
        <v/>
      </c>
      <c r="AJ1452">
        <f>IF([2]Entry!$S$1455="","",[2]Entry!$S$1455)</f>
        <v/>
      </c>
      <c r="AK1452">
        <f>IF([2]Entry!$C$1455="","",[2]Entry!$C$1455)</f>
        <v/>
      </c>
      <c r="AL1452">
        <f>IF([2]Entry!$D$1455="","",[2]Entry!$D$1455)</f>
        <v/>
      </c>
    </row>
    <row r="1453">
      <c r="Z1453">
        <f>IF([2]Entry!$E$1456="","",[2]Entry!$E$1456)</f>
        <v/>
      </c>
      <c r="AA1453">
        <f>IF([2]Entry!$G$1456="","",[2]Entry!$G$1456)</f>
        <v/>
      </c>
      <c r="AB1453">
        <f>IF([2]Entry!$J$1456="","",[2]Entry!$J$1456)</f>
        <v/>
      </c>
      <c r="AC1453">
        <f>IF([2]Entry!$K$1456="","",[2]Entry!$K$1456)</f>
        <v/>
      </c>
      <c r="AD1453">
        <f>IF([2]Entry!$L$1456="","",[2]Entry!$L$1456)</f>
        <v/>
      </c>
      <c r="AE1453">
        <f>IF([2]Entry!$M$1456="","",[2]Entry!$M$1456)</f>
        <v/>
      </c>
      <c r="AF1453">
        <f>IF([2]Entry!$N$1456="","",[2]Entry!$N$1456)</f>
        <v/>
      </c>
      <c r="AJ1453">
        <f>IF([2]Entry!$S$1456="","",[2]Entry!$S$1456)</f>
        <v/>
      </c>
      <c r="AK1453">
        <f>IF([2]Entry!$C$1456="","",[2]Entry!$C$1456)</f>
        <v/>
      </c>
      <c r="AL1453">
        <f>IF([2]Entry!$D$1456="","",[2]Entry!$D$1456)</f>
        <v/>
      </c>
    </row>
    <row r="1454">
      <c r="Z1454">
        <f>IF([2]Entry!$E$1457="","",[2]Entry!$E$1457)</f>
        <v/>
      </c>
      <c r="AA1454">
        <f>IF([2]Entry!$G$1457="","",[2]Entry!$G$1457)</f>
        <v/>
      </c>
      <c r="AB1454">
        <f>IF([2]Entry!$J$1457="","",[2]Entry!$J$1457)</f>
        <v/>
      </c>
      <c r="AC1454">
        <f>IF([2]Entry!$K$1457="","",[2]Entry!$K$1457)</f>
        <v/>
      </c>
      <c r="AD1454">
        <f>IF([2]Entry!$L$1457="","",[2]Entry!$L$1457)</f>
        <v/>
      </c>
      <c r="AE1454">
        <f>IF([2]Entry!$M$1457="","",[2]Entry!$M$1457)</f>
        <v/>
      </c>
      <c r="AF1454">
        <f>IF([2]Entry!$N$1457="","",[2]Entry!$N$1457)</f>
        <v/>
      </c>
      <c r="AJ1454">
        <f>IF([2]Entry!$S$1457="","",[2]Entry!$S$1457)</f>
        <v/>
      </c>
      <c r="AK1454">
        <f>IF([2]Entry!$C$1457="","",[2]Entry!$C$1457)</f>
        <v/>
      </c>
      <c r="AL1454">
        <f>IF([2]Entry!$D$1457="","",[2]Entry!$D$1457)</f>
        <v/>
      </c>
    </row>
    <row r="1455">
      <c r="Z1455">
        <f>IF([2]Entry!$E$1458="","",[2]Entry!$E$1458)</f>
        <v/>
      </c>
      <c r="AA1455">
        <f>IF([2]Entry!$G$1458="","",[2]Entry!$G$1458)</f>
        <v/>
      </c>
      <c r="AB1455">
        <f>IF([2]Entry!$J$1458="","",[2]Entry!$J$1458)</f>
        <v/>
      </c>
      <c r="AC1455">
        <f>IF([2]Entry!$K$1458="","",[2]Entry!$K$1458)</f>
        <v/>
      </c>
      <c r="AD1455">
        <f>IF([2]Entry!$L$1458="","",[2]Entry!$L$1458)</f>
        <v/>
      </c>
      <c r="AE1455">
        <f>IF([2]Entry!$M$1458="","",[2]Entry!$M$1458)</f>
        <v/>
      </c>
      <c r="AF1455">
        <f>IF([2]Entry!$N$1458="","",[2]Entry!$N$1458)</f>
        <v/>
      </c>
      <c r="AJ1455">
        <f>IF([2]Entry!$S$1458="","",[2]Entry!$S$1458)</f>
        <v/>
      </c>
      <c r="AK1455">
        <f>IF([2]Entry!$C$1458="","",[2]Entry!$C$1458)</f>
        <v/>
      </c>
      <c r="AL1455">
        <f>IF([2]Entry!$D$1458="","",[2]Entry!$D$1458)</f>
        <v/>
      </c>
    </row>
    <row r="1456">
      <c r="Z1456">
        <f>IF([2]Entry!$E$1459="","",[2]Entry!$E$1459)</f>
        <v/>
      </c>
      <c r="AA1456">
        <f>IF([2]Entry!$G$1459="","",[2]Entry!$G$1459)</f>
        <v/>
      </c>
      <c r="AB1456">
        <f>IF([2]Entry!$J$1459="","",[2]Entry!$J$1459)</f>
        <v/>
      </c>
      <c r="AC1456">
        <f>IF([2]Entry!$K$1459="","",[2]Entry!$K$1459)</f>
        <v/>
      </c>
      <c r="AD1456">
        <f>IF([2]Entry!$L$1459="","",[2]Entry!$L$1459)</f>
        <v/>
      </c>
      <c r="AE1456">
        <f>IF([2]Entry!$M$1459="","",[2]Entry!$M$1459)</f>
        <v/>
      </c>
      <c r="AF1456">
        <f>IF([2]Entry!$N$1459="","",[2]Entry!$N$1459)</f>
        <v/>
      </c>
      <c r="AJ1456">
        <f>IF([2]Entry!$S$1459="","",[2]Entry!$S$1459)</f>
        <v/>
      </c>
      <c r="AK1456">
        <f>IF([2]Entry!$C$1459="","",[2]Entry!$C$1459)</f>
        <v/>
      </c>
      <c r="AL1456">
        <f>IF([2]Entry!$D$1459="","",[2]Entry!$D$1459)</f>
        <v/>
      </c>
    </row>
    <row r="1457">
      <c r="Z1457">
        <f>IF([2]Entry!$E$1460="","",[2]Entry!$E$1460)</f>
        <v/>
      </c>
      <c r="AA1457">
        <f>IF([2]Entry!$G$1460="","",[2]Entry!$G$1460)</f>
        <v/>
      </c>
      <c r="AB1457">
        <f>IF([2]Entry!$J$1460="","",[2]Entry!$J$1460)</f>
        <v/>
      </c>
      <c r="AC1457">
        <f>IF([2]Entry!$K$1460="","",[2]Entry!$K$1460)</f>
        <v/>
      </c>
      <c r="AD1457">
        <f>IF([2]Entry!$L$1460="","",[2]Entry!$L$1460)</f>
        <v/>
      </c>
      <c r="AE1457">
        <f>IF([2]Entry!$M$1460="","",[2]Entry!$M$1460)</f>
        <v/>
      </c>
      <c r="AF1457">
        <f>IF([2]Entry!$N$1460="","",[2]Entry!$N$1460)</f>
        <v/>
      </c>
      <c r="AJ1457">
        <f>IF([2]Entry!$S$1460="","",[2]Entry!$S$1460)</f>
        <v/>
      </c>
      <c r="AK1457">
        <f>IF([2]Entry!$C$1460="","",[2]Entry!$C$1460)</f>
        <v/>
      </c>
      <c r="AL1457">
        <f>IF([2]Entry!$D$1460="","",[2]Entry!$D$1460)</f>
        <v/>
      </c>
    </row>
    <row r="1458">
      <c r="Z1458">
        <f>IF([2]Entry!$E$1461="","",[2]Entry!$E$1461)</f>
        <v/>
      </c>
      <c r="AA1458">
        <f>IF([2]Entry!$G$1461="","",[2]Entry!$G$1461)</f>
        <v/>
      </c>
      <c r="AB1458">
        <f>IF([2]Entry!$J$1461="","",[2]Entry!$J$1461)</f>
        <v/>
      </c>
      <c r="AC1458">
        <f>IF([2]Entry!$K$1461="","",[2]Entry!$K$1461)</f>
        <v/>
      </c>
      <c r="AD1458">
        <f>IF([2]Entry!$L$1461="","",[2]Entry!$L$1461)</f>
        <v/>
      </c>
      <c r="AE1458">
        <f>IF([2]Entry!$M$1461="","",[2]Entry!$M$1461)</f>
        <v/>
      </c>
      <c r="AF1458">
        <f>IF([2]Entry!$N$1461="","",[2]Entry!$N$1461)</f>
        <v/>
      </c>
      <c r="AJ1458">
        <f>IF([2]Entry!$S$1461="","",[2]Entry!$S$1461)</f>
        <v/>
      </c>
      <c r="AK1458">
        <f>IF([2]Entry!$C$1461="","",[2]Entry!$C$1461)</f>
        <v/>
      </c>
      <c r="AL1458">
        <f>IF([2]Entry!$D$1461="","",[2]Entry!$D$1461)</f>
        <v/>
      </c>
    </row>
    <row r="1459">
      <c r="Z1459">
        <f>IF([2]Entry!$E$1462="","",[2]Entry!$E$1462)</f>
        <v/>
      </c>
      <c r="AA1459">
        <f>IF([2]Entry!$G$1462="","",[2]Entry!$G$1462)</f>
        <v/>
      </c>
      <c r="AB1459">
        <f>IF([2]Entry!$J$1462="","",[2]Entry!$J$1462)</f>
        <v/>
      </c>
      <c r="AC1459">
        <f>IF([2]Entry!$K$1462="","",[2]Entry!$K$1462)</f>
        <v/>
      </c>
      <c r="AD1459">
        <f>IF([2]Entry!$L$1462="","",[2]Entry!$L$1462)</f>
        <v/>
      </c>
      <c r="AE1459">
        <f>IF([2]Entry!$M$1462="","",[2]Entry!$M$1462)</f>
        <v/>
      </c>
      <c r="AF1459">
        <f>IF([2]Entry!$N$1462="","",[2]Entry!$N$1462)</f>
        <v/>
      </c>
      <c r="AJ1459">
        <f>IF([2]Entry!$S$1462="","",[2]Entry!$S$1462)</f>
        <v/>
      </c>
      <c r="AK1459">
        <f>IF([2]Entry!$C$1462="","",[2]Entry!$C$1462)</f>
        <v/>
      </c>
      <c r="AL1459">
        <f>IF([2]Entry!$D$1462="","",[2]Entry!$D$1462)</f>
        <v/>
      </c>
    </row>
    <row r="1460">
      <c r="Z1460">
        <f>IF([2]Entry!$E$1463="","",[2]Entry!$E$1463)</f>
        <v/>
      </c>
      <c r="AA1460">
        <f>IF([2]Entry!$G$1463="","",[2]Entry!$G$1463)</f>
        <v/>
      </c>
      <c r="AB1460">
        <f>IF([2]Entry!$J$1463="","",[2]Entry!$J$1463)</f>
        <v/>
      </c>
      <c r="AC1460">
        <f>IF([2]Entry!$K$1463="","",[2]Entry!$K$1463)</f>
        <v/>
      </c>
      <c r="AD1460">
        <f>IF([2]Entry!$L$1463="","",[2]Entry!$L$1463)</f>
        <v/>
      </c>
      <c r="AE1460">
        <f>IF([2]Entry!$M$1463="","",[2]Entry!$M$1463)</f>
        <v/>
      </c>
      <c r="AF1460">
        <f>IF([2]Entry!$N$1463="","",[2]Entry!$N$1463)</f>
        <v/>
      </c>
      <c r="AJ1460">
        <f>IF([2]Entry!$S$1463="","",[2]Entry!$S$1463)</f>
        <v/>
      </c>
      <c r="AK1460">
        <f>IF([2]Entry!$C$1463="","",[2]Entry!$C$1463)</f>
        <v/>
      </c>
      <c r="AL1460">
        <f>IF([2]Entry!$D$1463="","",[2]Entry!$D$1463)</f>
        <v/>
      </c>
    </row>
    <row r="1461">
      <c r="Z1461">
        <f>IF([2]Entry!$E$1464="","",[2]Entry!$E$1464)</f>
        <v/>
      </c>
      <c r="AA1461">
        <f>IF([2]Entry!$G$1464="","",[2]Entry!$G$1464)</f>
        <v/>
      </c>
      <c r="AB1461">
        <f>IF([2]Entry!$J$1464="","",[2]Entry!$J$1464)</f>
        <v/>
      </c>
      <c r="AC1461">
        <f>IF([2]Entry!$K$1464="","",[2]Entry!$K$1464)</f>
        <v/>
      </c>
      <c r="AD1461">
        <f>IF([2]Entry!$L$1464="","",[2]Entry!$L$1464)</f>
        <v/>
      </c>
      <c r="AE1461">
        <f>IF([2]Entry!$M$1464="","",[2]Entry!$M$1464)</f>
        <v/>
      </c>
      <c r="AF1461">
        <f>IF([2]Entry!$N$1464="","",[2]Entry!$N$1464)</f>
        <v/>
      </c>
      <c r="AJ1461">
        <f>IF([2]Entry!$S$1464="","",[2]Entry!$S$1464)</f>
        <v/>
      </c>
      <c r="AK1461">
        <f>IF([2]Entry!$C$1464="","",[2]Entry!$C$1464)</f>
        <v/>
      </c>
      <c r="AL1461">
        <f>IF([2]Entry!$D$1464="","",[2]Entry!$D$1464)</f>
        <v/>
      </c>
    </row>
    <row r="1462">
      <c r="Z1462">
        <f>IF([2]Entry!$E$1465="","",[2]Entry!$E$1465)</f>
        <v/>
      </c>
      <c r="AA1462">
        <f>IF([2]Entry!$G$1465="","",[2]Entry!$G$1465)</f>
        <v/>
      </c>
      <c r="AB1462">
        <f>IF([2]Entry!$J$1465="","",[2]Entry!$J$1465)</f>
        <v/>
      </c>
      <c r="AC1462">
        <f>IF([2]Entry!$K$1465="","",[2]Entry!$K$1465)</f>
        <v/>
      </c>
      <c r="AD1462">
        <f>IF([2]Entry!$L$1465="","",[2]Entry!$L$1465)</f>
        <v/>
      </c>
      <c r="AE1462">
        <f>IF([2]Entry!$M$1465="","",[2]Entry!$M$1465)</f>
        <v/>
      </c>
      <c r="AF1462">
        <f>IF([2]Entry!$N$1465="","",[2]Entry!$N$1465)</f>
        <v/>
      </c>
      <c r="AJ1462">
        <f>IF([2]Entry!$S$1465="","",[2]Entry!$S$1465)</f>
        <v/>
      </c>
      <c r="AK1462">
        <f>IF([2]Entry!$C$1465="","",[2]Entry!$C$1465)</f>
        <v/>
      </c>
      <c r="AL1462">
        <f>IF([2]Entry!$D$1465="","",[2]Entry!$D$1465)</f>
        <v/>
      </c>
    </row>
    <row r="1463">
      <c r="Z1463">
        <f>IF([2]Entry!$E$1466="","",[2]Entry!$E$1466)</f>
        <v/>
      </c>
      <c r="AA1463">
        <f>IF([2]Entry!$G$1466="","",[2]Entry!$G$1466)</f>
        <v/>
      </c>
      <c r="AB1463">
        <f>IF([2]Entry!$J$1466="","",[2]Entry!$J$1466)</f>
        <v/>
      </c>
      <c r="AC1463">
        <f>IF([2]Entry!$K$1466="","",[2]Entry!$K$1466)</f>
        <v/>
      </c>
      <c r="AD1463">
        <f>IF([2]Entry!$L$1466="","",[2]Entry!$L$1466)</f>
        <v/>
      </c>
      <c r="AE1463">
        <f>IF([2]Entry!$M$1466="","",[2]Entry!$M$1466)</f>
        <v/>
      </c>
      <c r="AF1463">
        <f>IF([2]Entry!$N$1466="","",[2]Entry!$N$1466)</f>
        <v/>
      </c>
      <c r="AJ1463">
        <f>IF([2]Entry!$S$1466="","",[2]Entry!$S$1466)</f>
        <v/>
      </c>
      <c r="AK1463">
        <f>IF([2]Entry!$C$1466="","",[2]Entry!$C$1466)</f>
        <v/>
      </c>
      <c r="AL1463">
        <f>IF([2]Entry!$D$1466="","",[2]Entry!$D$1466)</f>
        <v/>
      </c>
    </row>
    <row r="1464">
      <c r="Z1464">
        <f>IF([2]Entry!$E$1467="","",[2]Entry!$E$1467)</f>
        <v/>
      </c>
      <c r="AA1464">
        <f>IF([2]Entry!$G$1467="","",[2]Entry!$G$1467)</f>
        <v/>
      </c>
      <c r="AB1464">
        <f>IF([2]Entry!$J$1467="","",[2]Entry!$J$1467)</f>
        <v/>
      </c>
      <c r="AC1464">
        <f>IF([2]Entry!$K$1467="","",[2]Entry!$K$1467)</f>
        <v/>
      </c>
      <c r="AD1464">
        <f>IF([2]Entry!$L$1467="","",[2]Entry!$L$1467)</f>
        <v/>
      </c>
      <c r="AE1464">
        <f>IF([2]Entry!$M$1467="","",[2]Entry!$M$1467)</f>
        <v/>
      </c>
      <c r="AF1464">
        <f>IF([2]Entry!$N$1467="","",[2]Entry!$N$1467)</f>
        <v/>
      </c>
      <c r="AJ1464">
        <f>IF([2]Entry!$S$1467="","",[2]Entry!$S$1467)</f>
        <v/>
      </c>
      <c r="AK1464">
        <f>IF([2]Entry!$C$1467="","",[2]Entry!$C$1467)</f>
        <v/>
      </c>
      <c r="AL1464">
        <f>IF([2]Entry!$D$1467="","",[2]Entry!$D$1467)</f>
        <v/>
      </c>
    </row>
    <row r="1465">
      <c r="Z1465">
        <f>IF([2]Entry!$E$1468="","",[2]Entry!$E$1468)</f>
        <v/>
      </c>
      <c r="AA1465">
        <f>IF([2]Entry!$G$1468="","",[2]Entry!$G$1468)</f>
        <v/>
      </c>
      <c r="AB1465">
        <f>IF([2]Entry!$J$1468="","",[2]Entry!$J$1468)</f>
        <v/>
      </c>
      <c r="AC1465">
        <f>IF([2]Entry!$K$1468="","",[2]Entry!$K$1468)</f>
        <v/>
      </c>
      <c r="AD1465">
        <f>IF([2]Entry!$L$1468="","",[2]Entry!$L$1468)</f>
        <v/>
      </c>
      <c r="AE1465">
        <f>IF([2]Entry!$M$1468="","",[2]Entry!$M$1468)</f>
        <v/>
      </c>
      <c r="AF1465">
        <f>IF([2]Entry!$N$1468="","",[2]Entry!$N$1468)</f>
        <v/>
      </c>
      <c r="AJ1465">
        <f>IF([2]Entry!$S$1468="","",[2]Entry!$S$1468)</f>
        <v/>
      </c>
      <c r="AK1465">
        <f>IF([2]Entry!$C$1468="","",[2]Entry!$C$1468)</f>
        <v/>
      </c>
      <c r="AL1465">
        <f>IF([2]Entry!$D$1468="","",[2]Entry!$D$1468)</f>
        <v/>
      </c>
    </row>
    <row r="1466">
      <c r="Z1466">
        <f>IF([2]Entry!$E$1469="","",[2]Entry!$E$1469)</f>
        <v/>
      </c>
      <c r="AA1466">
        <f>IF([2]Entry!$G$1469="","",[2]Entry!$G$1469)</f>
        <v/>
      </c>
      <c r="AB1466">
        <f>IF([2]Entry!$J$1469="","",[2]Entry!$J$1469)</f>
        <v/>
      </c>
      <c r="AC1466">
        <f>IF([2]Entry!$K$1469="","",[2]Entry!$K$1469)</f>
        <v/>
      </c>
      <c r="AD1466">
        <f>IF([2]Entry!$L$1469="","",[2]Entry!$L$1469)</f>
        <v/>
      </c>
      <c r="AE1466">
        <f>IF([2]Entry!$M$1469="","",[2]Entry!$M$1469)</f>
        <v/>
      </c>
      <c r="AF1466">
        <f>IF([2]Entry!$N$1469="","",[2]Entry!$N$1469)</f>
        <v/>
      </c>
      <c r="AJ1466">
        <f>IF([2]Entry!$S$1469="","",[2]Entry!$S$1469)</f>
        <v/>
      </c>
      <c r="AK1466">
        <f>IF([2]Entry!$C$1469="","",[2]Entry!$C$1469)</f>
        <v/>
      </c>
      <c r="AL1466">
        <f>IF([2]Entry!$D$1469="","",[2]Entry!$D$1469)</f>
        <v/>
      </c>
    </row>
    <row r="1467">
      <c r="Z1467">
        <f>IF([2]Entry!$E$1470="","",[2]Entry!$E$1470)</f>
        <v/>
      </c>
      <c r="AA1467">
        <f>IF([2]Entry!$G$1470="","",[2]Entry!$G$1470)</f>
        <v/>
      </c>
      <c r="AB1467">
        <f>IF([2]Entry!$J$1470="","",[2]Entry!$J$1470)</f>
        <v/>
      </c>
      <c r="AC1467">
        <f>IF([2]Entry!$K$1470="","",[2]Entry!$K$1470)</f>
        <v/>
      </c>
      <c r="AD1467">
        <f>IF([2]Entry!$L$1470="","",[2]Entry!$L$1470)</f>
        <v/>
      </c>
      <c r="AE1467">
        <f>IF([2]Entry!$M$1470="","",[2]Entry!$M$1470)</f>
        <v/>
      </c>
      <c r="AF1467">
        <f>IF([2]Entry!$N$1470="","",[2]Entry!$N$1470)</f>
        <v/>
      </c>
      <c r="AJ1467">
        <f>IF([2]Entry!$S$1470="","",[2]Entry!$S$1470)</f>
        <v/>
      </c>
      <c r="AK1467">
        <f>IF([2]Entry!$C$1470="","",[2]Entry!$C$1470)</f>
        <v/>
      </c>
      <c r="AL1467">
        <f>IF([2]Entry!$D$1470="","",[2]Entry!$D$1470)</f>
        <v/>
      </c>
    </row>
    <row r="1468">
      <c r="Z1468">
        <f>IF([2]Entry!$E$1471="","",[2]Entry!$E$1471)</f>
        <v/>
      </c>
      <c r="AA1468">
        <f>IF([2]Entry!$G$1471="","",[2]Entry!$G$1471)</f>
        <v/>
      </c>
      <c r="AB1468">
        <f>IF([2]Entry!$J$1471="","",[2]Entry!$J$1471)</f>
        <v/>
      </c>
      <c r="AC1468">
        <f>IF([2]Entry!$K$1471="","",[2]Entry!$K$1471)</f>
        <v/>
      </c>
      <c r="AD1468">
        <f>IF([2]Entry!$L$1471="","",[2]Entry!$L$1471)</f>
        <v/>
      </c>
      <c r="AE1468">
        <f>IF([2]Entry!$M$1471="","",[2]Entry!$M$1471)</f>
        <v/>
      </c>
      <c r="AF1468">
        <f>IF([2]Entry!$N$1471="","",[2]Entry!$N$1471)</f>
        <v/>
      </c>
      <c r="AJ1468">
        <f>IF([2]Entry!$S$1471="","",[2]Entry!$S$1471)</f>
        <v/>
      </c>
      <c r="AK1468">
        <f>IF([2]Entry!$C$1471="","",[2]Entry!$C$1471)</f>
        <v/>
      </c>
      <c r="AL1468">
        <f>IF([2]Entry!$D$1471="","",[2]Entry!$D$1471)</f>
        <v/>
      </c>
    </row>
    <row r="1469">
      <c r="Z1469">
        <f>IF([2]Entry!$E$1472="","",[2]Entry!$E$1472)</f>
        <v/>
      </c>
      <c r="AA1469">
        <f>IF([2]Entry!$G$1472="","",[2]Entry!$G$1472)</f>
        <v/>
      </c>
      <c r="AB1469">
        <f>IF([2]Entry!$J$1472="","",[2]Entry!$J$1472)</f>
        <v/>
      </c>
      <c r="AC1469">
        <f>IF([2]Entry!$K$1472="","",[2]Entry!$K$1472)</f>
        <v/>
      </c>
      <c r="AD1469">
        <f>IF([2]Entry!$L$1472="","",[2]Entry!$L$1472)</f>
        <v/>
      </c>
      <c r="AE1469">
        <f>IF([2]Entry!$M$1472="","",[2]Entry!$M$1472)</f>
        <v/>
      </c>
      <c r="AF1469">
        <f>IF([2]Entry!$N$1472="","",[2]Entry!$N$1472)</f>
        <v/>
      </c>
      <c r="AJ1469">
        <f>IF([2]Entry!$S$1472="","",[2]Entry!$S$1472)</f>
        <v/>
      </c>
      <c r="AK1469">
        <f>IF([2]Entry!$C$1472="","",[2]Entry!$C$1472)</f>
        <v/>
      </c>
      <c r="AL1469">
        <f>IF([2]Entry!$D$1472="","",[2]Entry!$D$1472)</f>
        <v/>
      </c>
    </row>
    <row r="1470">
      <c r="Z1470">
        <f>IF([2]Entry!$E$1473="","",[2]Entry!$E$1473)</f>
        <v/>
      </c>
      <c r="AA1470">
        <f>IF([2]Entry!$G$1473="","",[2]Entry!$G$1473)</f>
        <v/>
      </c>
      <c r="AB1470">
        <f>IF([2]Entry!$J$1473="","",[2]Entry!$J$1473)</f>
        <v/>
      </c>
      <c r="AC1470">
        <f>IF([2]Entry!$K$1473="","",[2]Entry!$K$1473)</f>
        <v/>
      </c>
      <c r="AD1470">
        <f>IF([2]Entry!$L$1473="","",[2]Entry!$L$1473)</f>
        <v/>
      </c>
      <c r="AE1470">
        <f>IF([2]Entry!$M$1473="","",[2]Entry!$M$1473)</f>
        <v/>
      </c>
      <c r="AF1470">
        <f>IF([2]Entry!$N$1473="","",[2]Entry!$N$1473)</f>
        <v/>
      </c>
      <c r="AJ1470">
        <f>IF([2]Entry!$S$1473="","",[2]Entry!$S$1473)</f>
        <v/>
      </c>
      <c r="AK1470">
        <f>IF([2]Entry!$C$1473="","",[2]Entry!$C$1473)</f>
        <v/>
      </c>
      <c r="AL1470">
        <f>IF([2]Entry!$D$1473="","",[2]Entry!$D$1473)</f>
        <v/>
      </c>
    </row>
    <row r="1471">
      <c r="Z1471">
        <f>IF([2]Entry!$E$1474="","",[2]Entry!$E$1474)</f>
        <v/>
      </c>
      <c r="AA1471">
        <f>IF([2]Entry!$G$1474="","",[2]Entry!$G$1474)</f>
        <v/>
      </c>
      <c r="AB1471">
        <f>IF([2]Entry!$J$1474="","",[2]Entry!$J$1474)</f>
        <v/>
      </c>
      <c r="AC1471">
        <f>IF([2]Entry!$K$1474="","",[2]Entry!$K$1474)</f>
        <v/>
      </c>
      <c r="AD1471">
        <f>IF([2]Entry!$L$1474="","",[2]Entry!$L$1474)</f>
        <v/>
      </c>
      <c r="AE1471">
        <f>IF([2]Entry!$M$1474="","",[2]Entry!$M$1474)</f>
        <v/>
      </c>
      <c r="AF1471">
        <f>IF([2]Entry!$N$1474="","",[2]Entry!$N$1474)</f>
        <v/>
      </c>
      <c r="AJ1471">
        <f>IF([2]Entry!$S$1474="","",[2]Entry!$S$1474)</f>
        <v/>
      </c>
      <c r="AK1471">
        <f>IF([2]Entry!$C$1474="","",[2]Entry!$C$1474)</f>
        <v/>
      </c>
      <c r="AL1471">
        <f>IF([2]Entry!$D$1474="","",[2]Entry!$D$1474)</f>
        <v/>
      </c>
    </row>
    <row r="1472">
      <c r="Z1472">
        <f>IF([2]Entry!$E$1475="","",[2]Entry!$E$1475)</f>
        <v/>
      </c>
      <c r="AA1472">
        <f>IF([2]Entry!$G$1475="","",[2]Entry!$G$1475)</f>
        <v/>
      </c>
      <c r="AB1472">
        <f>IF([2]Entry!$J$1475="","",[2]Entry!$J$1475)</f>
        <v/>
      </c>
      <c r="AC1472">
        <f>IF([2]Entry!$K$1475="","",[2]Entry!$K$1475)</f>
        <v/>
      </c>
      <c r="AD1472">
        <f>IF([2]Entry!$L$1475="","",[2]Entry!$L$1475)</f>
        <v/>
      </c>
      <c r="AE1472">
        <f>IF([2]Entry!$M$1475="","",[2]Entry!$M$1475)</f>
        <v/>
      </c>
      <c r="AF1472">
        <f>IF([2]Entry!$N$1475="","",[2]Entry!$N$1475)</f>
        <v/>
      </c>
      <c r="AJ1472">
        <f>IF([2]Entry!$S$1475="","",[2]Entry!$S$1475)</f>
        <v/>
      </c>
      <c r="AK1472">
        <f>IF([2]Entry!$C$1475="","",[2]Entry!$C$1475)</f>
        <v/>
      </c>
      <c r="AL1472">
        <f>IF([2]Entry!$D$1475="","",[2]Entry!$D$1475)</f>
        <v/>
      </c>
    </row>
    <row r="1473">
      <c r="Z1473">
        <f>IF([2]Entry!$E$1476="","",[2]Entry!$E$1476)</f>
        <v/>
      </c>
      <c r="AA1473">
        <f>IF([2]Entry!$G$1476="","",[2]Entry!$G$1476)</f>
        <v/>
      </c>
      <c r="AB1473">
        <f>IF([2]Entry!$J$1476="","",[2]Entry!$J$1476)</f>
        <v/>
      </c>
      <c r="AC1473">
        <f>IF([2]Entry!$K$1476="","",[2]Entry!$K$1476)</f>
        <v/>
      </c>
      <c r="AD1473">
        <f>IF([2]Entry!$L$1476="","",[2]Entry!$L$1476)</f>
        <v/>
      </c>
      <c r="AE1473">
        <f>IF([2]Entry!$M$1476="","",[2]Entry!$M$1476)</f>
        <v/>
      </c>
      <c r="AF1473">
        <f>IF([2]Entry!$N$1476="","",[2]Entry!$N$1476)</f>
        <v/>
      </c>
      <c r="AJ1473">
        <f>IF([2]Entry!$S$1476="","",[2]Entry!$S$1476)</f>
        <v/>
      </c>
      <c r="AK1473">
        <f>IF([2]Entry!$C$1476="","",[2]Entry!$C$1476)</f>
        <v/>
      </c>
      <c r="AL1473">
        <f>IF([2]Entry!$D$1476="","",[2]Entry!$D$1476)</f>
        <v/>
      </c>
    </row>
    <row r="1474">
      <c r="Z1474">
        <f>IF([2]Entry!$E$1477="","",[2]Entry!$E$1477)</f>
        <v/>
      </c>
      <c r="AA1474">
        <f>IF([2]Entry!$G$1477="","",[2]Entry!$G$1477)</f>
        <v/>
      </c>
      <c r="AB1474">
        <f>IF([2]Entry!$J$1477="","",[2]Entry!$J$1477)</f>
        <v/>
      </c>
      <c r="AC1474">
        <f>IF([2]Entry!$K$1477="","",[2]Entry!$K$1477)</f>
        <v/>
      </c>
      <c r="AD1474">
        <f>IF([2]Entry!$L$1477="","",[2]Entry!$L$1477)</f>
        <v/>
      </c>
      <c r="AE1474">
        <f>IF([2]Entry!$M$1477="","",[2]Entry!$M$1477)</f>
        <v/>
      </c>
      <c r="AF1474">
        <f>IF([2]Entry!$N$1477="","",[2]Entry!$N$1477)</f>
        <v/>
      </c>
      <c r="AJ1474">
        <f>IF([2]Entry!$S$1477="","",[2]Entry!$S$1477)</f>
        <v/>
      </c>
      <c r="AK1474">
        <f>IF([2]Entry!$C$1477="","",[2]Entry!$C$1477)</f>
        <v/>
      </c>
      <c r="AL1474">
        <f>IF([2]Entry!$D$1477="","",[2]Entry!$D$1477)</f>
        <v/>
      </c>
    </row>
    <row r="1475">
      <c r="Z1475">
        <f>IF([2]Entry!$E$1478="","",[2]Entry!$E$1478)</f>
        <v/>
      </c>
      <c r="AA1475">
        <f>IF([2]Entry!$G$1478="","",[2]Entry!$G$1478)</f>
        <v/>
      </c>
      <c r="AB1475">
        <f>IF([2]Entry!$J$1478="","",[2]Entry!$J$1478)</f>
        <v/>
      </c>
      <c r="AC1475">
        <f>IF([2]Entry!$K$1478="","",[2]Entry!$K$1478)</f>
        <v/>
      </c>
      <c r="AD1475">
        <f>IF([2]Entry!$L$1478="","",[2]Entry!$L$1478)</f>
        <v/>
      </c>
      <c r="AE1475">
        <f>IF([2]Entry!$M$1478="","",[2]Entry!$M$1478)</f>
        <v/>
      </c>
      <c r="AF1475">
        <f>IF([2]Entry!$N$1478="","",[2]Entry!$N$1478)</f>
        <v/>
      </c>
      <c r="AJ1475">
        <f>IF([2]Entry!$S$1478="","",[2]Entry!$S$1478)</f>
        <v/>
      </c>
      <c r="AK1475">
        <f>IF([2]Entry!$C$1478="","",[2]Entry!$C$1478)</f>
        <v/>
      </c>
      <c r="AL1475">
        <f>IF([2]Entry!$D$1478="","",[2]Entry!$D$1478)</f>
        <v/>
      </c>
    </row>
    <row r="1476">
      <c r="Z1476">
        <f>IF([2]Entry!$E$1479="","",[2]Entry!$E$1479)</f>
        <v/>
      </c>
      <c r="AA1476">
        <f>IF([2]Entry!$G$1479="","",[2]Entry!$G$1479)</f>
        <v/>
      </c>
      <c r="AB1476">
        <f>IF([2]Entry!$J$1479="","",[2]Entry!$J$1479)</f>
        <v/>
      </c>
      <c r="AC1476">
        <f>IF([2]Entry!$K$1479="","",[2]Entry!$K$1479)</f>
        <v/>
      </c>
      <c r="AD1476">
        <f>IF([2]Entry!$L$1479="","",[2]Entry!$L$1479)</f>
        <v/>
      </c>
      <c r="AE1476">
        <f>IF([2]Entry!$M$1479="","",[2]Entry!$M$1479)</f>
        <v/>
      </c>
      <c r="AF1476">
        <f>IF([2]Entry!$N$1479="","",[2]Entry!$N$1479)</f>
        <v/>
      </c>
      <c r="AJ1476">
        <f>IF([2]Entry!$S$1479="","",[2]Entry!$S$1479)</f>
        <v/>
      </c>
      <c r="AK1476">
        <f>IF([2]Entry!$C$1479="","",[2]Entry!$C$1479)</f>
        <v/>
      </c>
      <c r="AL1476">
        <f>IF([2]Entry!$D$1479="","",[2]Entry!$D$1479)</f>
        <v/>
      </c>
    </row>
    <row r="1477">
      <c r="Z1477">
        <f>IF([2]Entry!$E$1480="","",[2]Entry!$E$1480)</f>
        <v/>
      </c>
      <c r="AA1477">
        <f>IF([2]Entry!$G$1480="","",[2]Entry!$G$1480)</f>
        <v/>
      </c>
      <c r="AB1477">
        <f>IF([2]Entry!$J$1480="","",[2]Entry!$J$1480)</f>
        <v/>
      </c>
      <c r="AC1477">
        <f>IF([2]Entry!$K$1480="","",[2]Entry!$K$1480)</f>
        <v/>
      </c>
      <c r="AD1477">
        <f>IF([2]Entry!$L$1480="","",[2]Entry!$L$1480)</f>
        <v/>
      </c>
      <c r="AE1477">
        <f>IF([2]Entry!$M$1480="","",[2]Entry!$M$1480)</f>
        <v/>
      </c>
      <c r="AF1477">
        <f>IF([2]Entry!$N$1480="","",[2]Entry!$N$1480)</f>
        <v/>
      </c>
      <c r="AJ1477">
        <f>IF([2]Entry!$S$1480="","",[2]Entry!$S$1480)</f>
        <v/>
      </c>
      <c r="AK1477">
        <f>IF([2]Entry!$C$1480="","",[2]Entry!$C$1480)</f>
        <v/>
      </c>
      <c r="AL1477">
        <f>IF([2]Entry!$D$1480="","",[2]Entry!$D$1480)</f>
        <v/>
      </c>
    </row>
    <row r="1478">
      <c r="Z1478">
        <f>IF([2]Entry!$E$1481="","",[2]Entry!$E$1481)</f>
        <v/>
      </c>
      <c r="AA1478">
        <f>IF([2]Entry!$G$1481="","",[2]Entry!$G$1481)</f>
        <v/>
      </c>
      <c r="AB1478">
        <f>IF([2]Entry!$J$1481="","",[2]Entry!$J$1481)</f>
        <v/>
      </c>
      <c r="AC1478">
        <f>IF([2]Entry!$K$1481="","",[2]Entry!$K$1481)</f>
        <v/>
      </c>
      <c r="AD1478">
        <f>IF([2]Entry!$L$1481="","",[2]Entry!$L$1481)</f>
        <v/>
      </c>
      <c r="AE1478">
        <f>IF([2]Entry!$M$1481="","",[2]Entry!$M$1481)</f>
        <v/>
      </c>
      <c r="AF1478">
        <f>IF([2]Entry!$N$1481="","",[2]Entry!$N$1481)</f>
        <v/>
      </c>
      <c r="AJ1478">
        <f>IF([2]Entry!$S$1481="","",[2]Entry!$S$1481)</f>
        <v/>
      </c>
      <c r="AK1478">
        <f>IF([2]Entry!$C$1481="","",[2]Entry!$C$1481)</f>
        <v/>
      </c>
      <c r="AL1478">
        <f>IF([2]Entry!$D$1481="","",[2]Entry!$D$1481)</f>
        <v/>
      </c>
    </row>
    <row r="1479">
      <c r="Z1479">
        <f>IF([2]Entry!$E$1482="","",[2]Entry!$E$1482)</f>
        <v/>
      </c>
      <c r="AA1479">
        <f>IF([2]Entry!$G$1482="","",[2]Entry!$G$1482)</f>
        <v/>
      </c>
      <c r="AB1479">
        <f>IF([2]Entry!$J$1482="","",[2]Entry!$J$1482)</f>
        <v/>
      </c>
      <c r="AC1479">
        <f>IF([2]Entry!$K$1482="","",[2]Entry!$K$1482)</f>
        <v/>
      </c>
      <c r="AD1479">
        <f>IF([2]Entry!$L$1482="","",[2]Entry!$L$1482)</f>
        <v/>
      </c>
      <c r="AE1479">
        <f>IF([2]Entry!$M$1482="","",[2]Entry!$M$1482)</f>
        <v/>
      </c>
      <c r="AF1479">
        <f>IF([2]Entry!$N$1482="","",[2]Entry!$N$1482)</f>
        <v/>
      </c>
      <c r="AJ1479">
        <f>IF([2]Entry!$S$1482="","",[2]Entry!$S$1482)</f>
        <v/>
      </c>
      <c r="AK1479">
        <f>IF([2]Entry!$C$1482="","",[2]Entry!$C$1482)</f>
        <v/>
      </c>
      <c r="AL1479">
        <f>IF([2]Entry!$D$1482="","",[2]Entry!$D$1482)</f>
        <v/>
      </c>
    </row>
    <row r="1480">
      <c r="Z1480">
        <f>IF([2]Entry!$E$1483="","",[2]Entry!$E$1483)</f>
        <v/>
      </c>
      <c r="AA1480">
        <f>IF([2]Entry!$G$1483="","",[2]Entry!$G$1483)</f>
        <v/>
      </c>
      <c r="AB1480">
        <f>IF([2]Entry!$J$1483="","",[2]Entry!$J$1483)</f>
        <v/>
      </c>
      <c r="AC1480">
        <f>IF([2]Entry!$K$1483="","",[2]Entry!$K$1483)</f>
        <v/>
      </c>
      <c r="AD1480">
        <f>IF([2]Entry!$L$1483="","",[2]Entry!$L$1483)</f>
        <v/>
      </c>
      <c r="AE1480">
        <f>IF([2]Entry!$M$1483="","",[2]Entry!$M$1483)</f>
        <v/>
      </c>
      <c r="AF1480">
        <f>IF([2]Entry!$N$1483="","",[2]Entry!$N$1483)</f>
        <v/>
      </c>
      <c r="AJ1480">
        <f>IF([2]Entry!$S$1483="","",[2]Entry!$S$1483)</f>
        <v/>
      </c>
      <c r="AK1480">
        <f>IF([2]Entry!$C$1483="","",[2]Entry!$C$1483)</f>
        <v/>
      </c>
      <c r="AL1480">
        <f>IF([2]Entry!$D$1483="","",[2]Entry!$D$1483)</f>
        <v/>
      </c>
    </row>
    <row r="1481">
      <c r="Z1481">
        <f>IF([2]Entry!$E$1484="","",[2]Entry!$E$1484)</f>
        <v/>
      </c>
      <c r="AA1481">
        <f>IF([2]Entry!$G$1484="","",[2]Entry!$G$1484)</f>
        <v/>
      </c>
      <c r="AB1481">
        <f>IF([2]Entry!$J$1484="","",[2]Entry!$J$1484)</f>
        <v/>
      </c>
      <c r="AC1481">
        <f>IF([2]Entry!$K$1484="","",[2]Entry!$K$1484)</f>
        <v/>
      </c>
      <c r="AD1481">
        <f>IF([2]Entry!$L$1484="","",[2]Entry!$L$1484)</f>
        <v/>
      </c>
      <c r="AE1481">
        <f>IF([2]Entry!$M$1484="","",[2]Entry!$M$1484)</f>
        <v/>
      </c>
      <c r="AF1481">
        <f>IF([2]Entry!$N$1484="","",[2]Entry!$N$1484)</f>
        <v/>
      </c>
      <c r="AJ1481">
        <f>IF([2]Entry!$S$1484="","",[2]Entry!$S$1484)</f>
        <v/>
      </c>
      <c r="AK1481">
        <f>IF([2]Entry!$C$1484="","",[2]Entry!$C$1484)</f>
        <v/>
      </c>
      <c r="AL1481">
        <f>IF([2]Entry!$D$1484="","",[2]Entry!$D$1484)</f>
        <v/>
      </c>
    </row>
    <row r="1482">
      <c r="Z1482">
        <f>IF([2]Entry!$E$1485="","",[2]Entry!$E$1485)</f>
        <v/>
      </c>
      <c r="AA1482">
        <f>IF([2]Entry!$G$1485="","",[2]Entry!$G$1485)</f>
        <v/>
      </c>
      <c r="AB1482">
        <f>IF([2]Entry!$J$1485="","",[2]Entry!$J$1485)</f>
        <v/>
      </c>
      <c r="AC1482">
        <f>IF([2]Entry!$K$1485="","",[2]Entry!$K$1485)</f>
        <v/>
      </c>
      <c r="AD1482">
        <f>IF([2]Entry!$L$1485="","",[2]Entry!$L$1485)</f>
        <v/>
      </c>
      <c r="AE1482">
        <f>IF([2]Entry!$M$1485="","",[2]Entry!$M$1485)</f>
        <v/>
      </c>
      <c r="AF1482">
        <f>IF([2]Entry!$N$1485="","",[2]Entry!$N$1485)</f>
        <v/>
      </c>
      <c r="AJ1482">
        <f>IF([2]Entry!$S$1485="","",[2]Entry!$S$1485)</f>
        <v/>
      </c>
      <c r="AK1482">
        <f>IF([2]Entry!$C$1485="","",[2]Entry!$C$1485)</f>
        <v/>
      </c>
      <c r="AL1482">
        <f>IF([2]Entry!$D$1485="","",[2]Entry!$D$1485)</f>
        <v/>
      </c>
    </row>
    <row r="1483">
      <c r="Z1483">
        <f>IF([2]Entry!$E$1486="","",[2]Entry!$E$1486)</f>
        <v/>
      </c>
      <c r="AA1483">
        <f>IF([2]Entry!$G$1486="","",[2]Entry!$G$1486)</f>
        <v/>
      </c>
      <c r="AB1483">
        <f>IF([2]Entry!$J$1486="","",[2]Entry!$J$1486)</f>
        <v/>
      </c>
      <c r="AC1483">
        <f>IF([2]Entry!$K$1486="","",[2]Entry!$K$1486)</f>
        <v/>
      </c>
      <c r="AD1483">
        <f>IF([2]Entry!$L$1486="","",[2]Entry!$L$1486)</f>
        <v/>
      </c>
      <c r="AE1483">
        <f>IF([2]Entry!$M$1486="","",[2]Entry!$M$1486)</f>
        <v/>
      </c>
      <c r="AF1483">
        <f>IF([2]Entry!$N$1486="","",[2]Entry!$N$1486)</f>
        <v/>
      </c>
      <c r="AJ1483">
        <f>IF([2]Entry!$S$1486="","",[2]Entry!$S$1486)</f>
        <v/>
      </c>
      <c r="AK1483">
        <f>IF([2]Entry!$C$1486="","",[2]Entry!$C$1486)</f>
        <v/>
      </c>
      <c r="AL1483">
        <f>IF([2]Entry!$D$1486="","",[2]Entry!$D$1486)</f>
        <v/>
      </c>
    </row>
    <row r="1484">
      <c r="Z1484">
        <f>IF([2]Entry!$E$1487="","",[2]Entry!$E$1487)</f>
        <v/>
      </c>
      <c r="AA1484">
        <f>IF([2]Entry!$G$1487="","",[2]Entry!$G$1487)</f>
        <v/>
      </c>
      <c r="AB1484">
        <f>IF([2]Entry!$J$1487="","",[2]Entry!$J$1487)</f>
        <v/>
      </c>
      <c r="AC1484">
        <f>IF([2]Entry!$K$1487="","",[2]Entry!$K$1487)</f>
        <v/>
      </c>
      <c r="AD1484">
        <f>IF([2]Entry!$L$1487="","",[2]Entry!$L$1487)</f>
        <v/>
      </c>
      <c r="AE1484">
        <f>IF([2]Entry!$M$1487="","",[2]Entry!$M$1487)</f>
        <v/>
      </c>
      <c r="AF1484">
        <f>IF([2]Entry!$N$1487="","",[2]Entry!$N$1487)</f>
        <v/>
      </c>
      <c r="AJ1484">
        <f>IF([2]Entry!$S$1487="","",[2]Entry!$S$1487)</f>
        <v/>
      </c>
      <c r="AK1484">
        <f>IF([2]Entry!$C$1487="","",[2]Entry!$C$1487)</f>
        <v/>
      </c>
      <c r="AL1484">
        <f>IF([2]Entry!$D$1487="","",[2]Entry!$D$1487)</f>
        <v/>
      </c>
    </row>
    <row r="1485">
      <c r="Z1485">
        <f>IF([2]Entry!$E$1488="","",[2]Entry!$E$1488)</f>
        <v/>
      </c>
      <c r="AA1485">
        <f>IF([2]Entry!$G$1488="","",[2]Entry!$G$1488)</f>
        <v/>
      </c>
      <c r="AB1485">
        <f>IF([2]Entry!$J$1488="","",[2]Entry!$J$1488)</f>
        <v/>
      </c>
      <c r="AC1485">
        <f>IF([2]Entry!$K$1488="","",[2]Entry!$K$1488)</f>
        <v/>
      </c>
      <c r="AD1485">
        <f>IF([2]Entry!$L$1488="","",[2]Entry!$L$1488)</f>
        <v/>
      </c>
      <c r="AE1485">
        <f>IF([2]Entry!$M$1488="","",[2]Entry!$M$1488)</f>
        <v/>
      </c>
      <c r="AF1485">
        <f>IF([2]Entry!$N$1488="","",[2]Entry!$N$1488)</f>
        <v/>
      </c>
      <c r="AJ1485">
        <f>IF([2]Entry!$S$1488="","",[2]Entry!$S$1488)</f>
        <v/>
      </c>
      <c r="AK1485">
        <f>IF([2]Entry!$C$1488="","",[2]Entry!$C$1488)</f>
        <v/>
      </c>
      <c r="AL1485">
        <f>IF([2]Entry!$D$1488="","",[2]Entry!$D$1488)</f>
        <v/>
      </c>
    </row>
    <row r="1486">
      <c r="Z1486">
        <f>IF([2]Entry!$E$1489="","",[2]Entry!$E$1489)</f>
        <v/>
      </c>
      <c r="AA1486">
        <f>IF([2]Entry!$G$1489="","",[2]Entry!$G$1489)</f>
        <v/>
      </c>
      <c r="AB1486">
        <f>IF([2]Entry!$J$1489="","",[2]Entry!$J$1489)</f>
        <v/>
      </c>
      <c r="AC1486">
        <f>IF([2]Entry!$K$1489="","",[2]Entry!$K$1489)</f>
        <v/>
      </c>
      <c r="AD1486">
        <f>IF([2]Entry!$L$1489="","",[2]Entry!$L$1489)</f>
        <v/>
      </c>
      <c r="AE1486">
        <f>IF([2]Entry!$M$1489="","",[2]Entry!$M$1489)</f>
        <v/>
      </c>
      <c r="AF1486">
        <f>IF([2]Entry!$N$1489="","",[2]Entry!$N$1489)</f>
        <v/>
      </c>
      <c r="AJ1486">
        <f>IF([2]Entry!$S$1489="","",[2]Entry!$S$1489)</f>
        <v/>
      </c>
      <c r="AK1486">
        <f>IF([2]Entry!$C$1489="","",[2]Entry!$C$1489)</f>
        <v/>
      </c>
      <c r="AL1486">
        <f>IF([2]Entry!$D$1489="","",[2]Entry!$D$1489)</f>
        <v/>
      </c>
    </row>
    <row r="1487">
      <c r="Z1487">
        <f>IF([2]Entry!$E$1490="","",[2]Entry!$E$1490)</f>
        <v/>
      </c>
      <c r="AA1487">
        <f>IF([2]Entry!$G$1490="","",[2]Entry!$G$1490)</f>
        <v/>
      </c>
      <c r="AB1487">
        <f>IF([2]Entry!$J$1490="","",[2]Entry!$J$1490)</f>
        <v/>
      </c>
      <c r="AC1487">
        <f>IF([2]Entry!$K$1490="","",[2]Entry!$K$1490)</f>
        <v/>
      </c>
      <c r="AD1487">
        <f>IF([2]Entry!$L$1490="","",[2]Entry!$L$1490)</f>
        <v/>
      </c>
      <c r="AE1487">
        <f>IF([2]Entry!$M$1490="","",[2]Entry!$M$1490)</f>
        <v/>
      </c>
      <c r="AF1487">
        <f>IF([2]Entry!$N$1490="","",[2]Entry!$N$1490)</f>
        <v/>
      </c>
      <c r="AJ1487">
        <f>IF([2]Entry!$S$1490="","",[2]Entry!$S$1490)</f>
        <v/>
      </c>
      <c r="AK1487">
        <f>IF([2]Entry!$C$1490="","",[2]Entry!$C$1490)</f>
        <v/>
      </c>
      <c r="AL1487">
        <f>IF([2]Entry!$D$1490="","",[2]Entry!$D$1490)</f>
        <v/>
      </c>
    </row>
    <row r="1488">
      <c r="Z1488">
        <f>IF([2]Entry!$E$1491="","",[2]Entry!$E$1491)</f>
        <v/>
      </c>
      <c r="AA1488">
        <f>IF([2]Entry!$G$1491="","",[2]Entry!$G$1491)</f>
        <v/>
      </c>
      <c r="AB1488">
        <f>IF([2]Entry!$J$1491="","",[2]Entry!$J$1491)</f>
        <v/>
      </c>
      <c r="AC1488">
        <f>IF([2]Entry!$K$1491="","",[2]Entry!$K$1491)</f>
        <v/>
      </c>
      <c r="AD1488">
        <f>IF([2]Entry!$L$1491="","",[2]Entry!$L$1491)</f>
        <v/>
      </c>
      <c r="AE1488">
        <f>IF([2]Entry!$M$1491="","",[2]Entry!$M$1491)</f>
        <v/>
      </c>
      <c r="AF1488">
        <f>IF([2]Entry!$N$1491="","",[2]Entry!$N$1491)</f>
        <v/>
      </c>
      <c r="AJ1488">
        <f>IF([2]Entry!$S$1491="","",[2]Entry!$S$1491)</f>
        <v/>
      </c>
      <c r="AK1488">
        <f>IF([2]Entry!$C$1491="","",[2]Entry!$C$1491)</f>
        <v/>
      </c>
      <c r="AL1488">
        <f>IF([2]Entry!$D$1491="","",[2]Entry!$D$1491)</f>
        <v/>
      </c>
    </row>
    <row r="1489">
      <c r="Z1489">
        <f>IF([2]Entry!$E$1492="","",[2]Entry!$E$1492)</f>
        <v/>
      </c>
      <c r="AA1489">
        <f>IF([2]Entry!$G$1492="","",[2]Entry!$G$1492)</f>
        <v/>
      </c>
      <c r="AB1489">
        <f>IF([2]Entry!$J$1492="","",[2]Entry!$J$1492)</f>
        <v/>
      </c>
      <c r="AC1489">
        <f>IF([2]Entry!$K$1492="","",[2]Entry!$K$1492)</f>
        <v/>
      </c>
      <c r="AD1489">
        <f>IF([2]Entry!$L$1492="","",[2]Entry!$L$1492)</f>
        <v/>
      </c>
      <c r="AE1489">
        <f>IF([2]Entry!$M$1492="","",[2]Entry!$M$1492)</f>
        <v/>
      </c>
      <c r="AF1489">
        <f>IF([2]Entry!$N$1492="","",[2]Entry!$N$1492)</f>
        <v/>
      </c>
      <c r="AJ1489">
        <f>IF([2]Entry!$S$1492="","",[2]Entry!$S$1492)</f>
        <v/>
      </c>
      <c r="AK1489">
        <f>IF([2]Entry!$C$1492="","",[2]Entry!$C$1492)</f>
        <v/>
      </c>
      <c r="AL1489">
        <f>IF([2]Entry!$D$1492="","",[2]Entry!$D$1492)</f>
        <v/>
      </c>
    </row>
    <row r="1490">
      <c r="Z1490">
        <f>IF([2]Entry!$E$1493="","",[2]Entry!$E$1493)</f>
        <v/>
      </c>
      <c r="AA1490">
        <f>IF([2]Entry!$G$1493="","",[2]Entry!$G$1493)</f>
        <v/>
      </c>
      <c r="AB1490">
        <f>IF([2]Entry!$J$1493="","",[2]Entry!$J$1493)</f>
        <v/>
      </c>
      <c r="AC1490">
        <f>IF([2]Entry!$K$1493="","",[2]Entry!$K$1493)</f>
        <v/>
      </c>
      <c r="AD1490">
        <f>IF([2]Entry!$L$1493="","",[2]Entry!$L$1493)</f>
        <v/>
      </c>
      <c r="AE1490">
        <f>IF([2]Entry!$M$1493="","",[2]Entry!$M$1493)</f>
        <v/>
      </c>
      <c r="AF1490">
        <f>IF([2]Entry!$N$1493="","",[2]Entry!$N$1493)</f>
        <v/>
      </c>
      <c r="AJ1490">
        <f>IF([2]Entry!$S$1493="","",[2]Entry!$S$1493)</f>
        <v/>
      </c>
      <c r="AK1490">
        <f>IF([2]Entry!$C$1493="","",[2]Entry!$C$1493)</f>
        <v/>
      </c>
      <c r="AL1490">
        <f>IF([2]Entry!$D$1493="","",[2]Entry!$D$1493)</f>
        <v/>
      </c>
    </row>
    <row r="1491">
      <c r="Z1491">
        <f>IF([2]Entry!$E$1494="","",[2]Entry!$E$1494)</f>
        <v/>
      </c>
      <c r="AA1491">
        <f>IF([2]Entry!$G$1494="","",[2]Entry!$G$1494)</f>
        <v/>
      </c>
      <c r="AB1491">
        <f>IF([2]Entry!$J$1494="","",[2]Entry!$J$1494)</f>
        <v/>
      </c>
      <c r="AC1491">
        <f>IF([2]Entry!$K$1494="","",[2]Entry!$K$1494)</f>
        <v/>
      </c>
      <c r="AD1491">
        <f>IF([2]Entry!$L$1494="","",[2]Entry!$L$1494)</f>
        <v/>
      </c>
      <c r="AE1491">
        <f>IF([2]Entry!$M$1494="","",[2]Entry!$M$1494)</f>
        <v/>
      </c>
      <c r="AF1491">
        <f>IF([2]Entry!$N$1494="","",[2]Entry!$N$1494)</f>
        <v/>
      </c>
      <c r="AJ1491">
        <f>IF([2]Entry!$S$1494="","",[2]Entry!$S$1494)</f>
        <v/>
      </c>
      <c r="AK1491">
        <f>IF([2]Entry!$C$1494="","",[2]Entry!$C$1494)</f>
        <v/>
      </c>
      <c r="AL1491">
        <f>IF([2]Entry!$D$1494="","",[2]Entry!$D$1494)</f>
        <v/>
      </c>
    </row>
    <row r="1492">
      <c r="Z1492">
        <f>IF([2]Entry!$E$1495="","",[2]Entry!$E$1495)</f>
        <v/>
      </c>
      <c r="AA1492">
        <f>IF([2]Entry!$G$1495="","",[2]Entry!$G$1495)</f>
        <v/>
      </c>
      <c r="AB1492">
        <f>IF([2]Entry!$J$1495="","",[2]Entry!$J$1495)</f>
        <v/>
      </c>
      <c r="AC1492">
        <f>IF([2]Entry!$K$1495="","",[2]Entry!$K$1495)</f>
        <v/>
      </c>
      <c r="AD1492">
        <f>IF([2]Entry!$L$1495="","",[2]Entry!$L$1495)</f>
        <v/>
      </c>
      <c r="AE1492">
        <f>IF([2]Entry!$M$1495="","",[2]Entry!$M$1495)</f>
        <v/>
      </c>
      <c r="AF1492">
        <f>IF([2]Entry!$N$1495="","",[2]Entry!$N$1495)</f>
        <v/>
      </c>
      <c r="AJ1492">
        <f>IF([2]Entry!$S$1495="","",[2]Entry!$S$1495)</f>
        <v/>
      </c>
      <c r="AK1492">
        <f>IF([2]Entry!$C$1495="","",[2]Entry!$C$1495)</f>
        <v/>
      </c>
      <c r="AL1492">
        <f>IF([2]Entry!$D$1495="","",[2]Entry!$D$1495)</f>
        <v/>
      </c>
    </row>
    <row r="1493">
      <c r="Z1493">
        <f>IF([2]Entry!$E$1496="","",[2]Entry!$E$1496)</f>
        <v/>
      </c>
      <c r="AA1493">
        <f>IF([2]Entry!$G$1496="","",[2]Entry!$G$1496)</f>
        <v/>
      </c>
      <c r="AB1493">
        <f>IF([2]Entry!$J$1496="","",[2]Entry!$J$1496)</f>
        <v/>
      </c>
      <c r="AC1493">
        <f>IF([2]Entry!$K$1496="","",[2]Entry!$K$1496)</f>
        <v/>
      </c>
      <c r="AD1493">
        <f>IF([2]Entry!$L$1496="","",[2]Entry!$L$1496)</f>
        <v/>
      </c>
      <c r="AE1493">
        <f>IF([2]Entry!$M$1496="","",[2]Entry!$M$1496)</f>
        <v/>
      </c>
      <c r="AF1493">
        <f>IF([2]Entry!$N$1496="","",[2]Entry!$N$1496)</f>
        <v/>
      </c>
      <c r="AJ1493">
        <f>IF([2]Entry!$S$1496="","",[2]Entry!$S$1496)</f>
        <v/>
      </c>
      <c r="AK1493">
        <f>IF([2]Entry!$C$1496="","",[2]Entry!$C$1496)</f>
        <v/>
      </c>
      <c r="AL1493">
        <f>IF([2]Entry!$D$1496="","",[2]Entry!$D$1496)</f>
        <v/>
      </c>
    </row>
    <row r="1494">
      <c r="Z1494">
        <f>IF([2]Entry!$E$1497="","",[2]Entry!$E$1497)</f>
        <v/>
      </c>
      <c r="AA1494">
        <f>IF([2]Entry!$G$1497="","",[2]Entry!$G$1497)</f>
        <v/>
      </c>
      <c r="AB1494">
        <f>IF([2]Entry!$J$1497="","",[2]Entry!$J$1497)</f>
        <v/>
      </c>
      <c r="AC1494">
        <f>IF([2]Entry!$K$1497="","",[2]Entry!$K$1497)</f>
        <v/>
      </c>
      <c r="AD1494">
        <f>IF([2]Entry!$L$1497="","",[2]Entry!$L$1497)</f>
        <v/>
      </c>
      <c r="AE1494">
        <f>IF([2]Entry!$M$1497="","",[2]Entry!$M$1497)</f>
        <v/>
      </c>
      <c r="AF1494">
        <f>IF([2]Entry!$N$1497="","",[2]Entry!$N$1497)</f>
        <v/>
      </c>
      <c r="AJ1494">
        <f>IF([2]Entry!$S$1497="","",[2]Entry!$S$1497)</f>
        <v/>
      </c>
      <c r="AK1494">
        <f>IF([2]Entry!$C$1497="","",[2]Entry!$C$1497)</f>
        <v/>
      </c>
      <c r="AL1494">
        <f>IF([2]Entry!$D$1497="","",[2]Entry!$D$1497)</f>
        <v/>
      </c>
    </row>
    <row r="1495">
      <c r="Z1495">
        <f>IF([2]Entry!$E$1498="","",[2]Entry!$E$1498)</f>
        <v/>
      </c>
      <c r="AA1495">
        <f>IF([2]Entry!$G$1498="","",[2]Entry!$G$1498)</f>
        <v/>
      </c>
      <c r="AB1495">
        <f>IF([2]Entry!$J$1498="","",[2]Entry!$J$1498)</f>
        <v/>
      </c>
      <c r="AC1495">
        <f>IF([2]Entry!$K$1498="","",[2]Entry!$K$1498)</f>
        <v/>
      </c>
      <c r="AD1495">
        <f>IF([2]Entry!$L$1498="","",[2]Entry!$L$1498)</f>
        <v/>
      </c>
      <c r="AE1495">
        <f>IF([2]Entry!$M$1498="","",[2]Entry!$M$1498)</f>
        <v/>
      </c>
      <c r="AF1495">
        <f>IF([2]Entry!$N$1498="","",[2]Entry!$N$1498)</f>
        <v/>
      </c>
      <c r="AJ1495">
        <f>IF([2]Entry!$S$1498="","",[2]Entry!$S$1498)</f>
        <v/>
      </c>
      <c r="AK1495">
        <f>IF([2]Entry!$C$1498="","",[2]Entry!$C$1498)</f>
        <v/>
      </c>
      <c r="AL1495">
        <f>IF([2]Entry!$D$1498="","",[2]Entry!$D$1498)</f>
        <v/>
      </c>
    </row>
    <row r="1496">
      <c r="Z1496">
        <f>IF([2]Entry!$E$1499="","",[2]Entry!$E$1499)</f>
        <v/>
      </c>
      <c r="AA1496">
        <f>IF([2]Entry!$G$1499="","",[2]Entry!$G$1499)</f>
        <v/>
      </c>
      <c r="AB1496">
        <f>IF([2]Entry!$J$1499="","",[2]Entry!$J$1499)</f>
        <v/>
      </c>
      <c r="AC1496">
        <f>IF([2]Entry!$K$1499="","",[2]Entry!$K$1499)</f>
        <v/>
      </c>
      <c r="AD1496">
        <f>IF([2]Entry!$L$1499="","",[2]Entry!$L$1499)</f>
        <v/>
      </c>
      <c r="AE1496">
        <f>IF([2]Entry!$M$1499="","",[2]Entry!$M$1499)</f>
        <v/>
      </c>
      <c r="AF1496">
        <f>IF([2]Entry!$N$1499="","",[2]Entry!$N$1499)</f>
        <v/>
      </c>
      <c r="AJ1496">
        <f>IF([2]Entry!$S$1499="","",[2]Entry!$S$1499)</f>
        <v/>
      </c>
      <c r="AK1496">
        <f>IF([2]Entry!$C$1499="","",[2]Entry!$C$1499)</f>
        <v/>
      </c>
      <c r="AL1496">
        <f>IF([2]Entry!$D$1499="","",[2]Entry!$D$1499)</f>
        <v/>
      </c>
    </row>
    <row r="1497">
      <c r="Z1497">
        <f>IF([2]Entry!$E$1500="","",[2]Entry!$E$1500)</f>
        <v/>
      </c>
      <c r="AA1497">
        <f>IF([2]Entry!$G$1500="","",[2]Entry!$G$1500)</f>
        <v/>
      </c>
      <c r="AB1497">
        <f>IF([2]Entry!$J$1500="","",[2]Entry!$J$1500)</f>
        <v/>
      </c>
      <c r="AC1497">
        <f>IF([2]Entry!$K$1500="","",[2]Entry!$K$1500)</f>
        <v/>
      </c>
      <c r="AD1497">
        <f>IF([2]Entry!$L$1500="","",[2]Entry!$L$1500)</f>
        <v/>
      </c>
      <c r="AE1497">
        <f>IF([2]Entry!$M$1500="","",[2]Entry!$M$1500)</f>
        <v/>
      </c>
      <c r="AF1497">
        <f>IF([2]Entry!$N$1500="","",[2]Entry!$N$1500)</f>
        <v/>
      </c>
      <c r="AJ1497">
        <f>IF([2]Entry!$S$1500="","",[2]Entry!$S$1500)</f>
        <v/>
      </c>
      <c r="AK1497">
        <f>IF([2]Entry!$C$1500="","",[2]Entry!$C$1500)</f>
        <v/>
      </c>
      <c r="AL1497">
        <f>IF([2]Entry!$D$1500="","",[2]Entry!$D$1500)</f>
        <v/>
      </c>
    </row>
    <row r="1498">
      <c r="Z1498">
        <f>IF([2]Entry!$E$1501="","",[2]Entry!$E$1501)</f>
        <v/>
      </c>
      <c r="AA1498">
        <f>IF([2]Entry!$G$1501="","",[2]Entry!$G$1501)</f>
        <v/>
      </c>
      <c r="AB1498">
        <f>IF([2]Entry!$J$1501="","",[2]Entry!$J$1501)</f>
        <v/>
      </c>
      <c r="AC1498">
        <f>IF([2]Entry!$K$1501="","",[2]Entry!$K$1501)</f>
        <v/>
      </c>
      <c r="AD1498">
        <f>IF([2]Entry!$L$1501="","",[2]Entry!$L$1501)</f>
        <v/>
      </c>
      <c r="AE1498">
        <f>IF([2]Entry!$M$1501="","",[2]Entry!$M$1501)</f>
        <v/>
      </c>
      <c r="AF1498">
        <f>IF([2]Entry!$N$1501="","",[2]Entry!$N$1501)</f>
        <v/>
      </c>
      <c r="AJ1498">
        <f>IF([2]Entry!$S$1501="","",[2]Entry!$S$1501)</f>
        <v/>
      </c>
      <c r="AK1498">
        <f>IF([2]Entry!$C$1501="","",[2]Entry!$C$1501)</f>
        <v/>
      </c>
      <c r="AL1498">
        <f>IF([2]Entry!$D$1501="","",[2]Entry!$D$1501)</f>
        <v/>
      </c>
    </row>
    <row r="1499">
      <c r="Z1499">
        <f>IF([2]Entry!$E$1502="","",[2]Entry!$E$1502)</f>
        <v/>
      </c>
      <c r="AA1499">
        <f>IF([2]Entry!$G$1502="","",[2]Entry!$G$1502)</f>
        <v/>
      </c>
      <c r="AB1499">
        <f>IF([2]Entry!$J$1502="","",[2]Entry!$J$1502)</f>
        <v/>
      </c>
      <c r="AC1499">
        <f>IF([2]Entry!$K$1502="","",[2]Entry!$K$1502)</f>
        <v/>
      </c>
      <c r="AD1499">
        <f>IF([2]Entry!$L$1502="","",[2]Entry!$L$1502)</f>
        <v/>
      </c>
      <c r="AE1499">
        <f>IF([2]Entry!$M$1502="","",[2]Entry!$M$1502)</f>
        <v/>
      </c>
      <c r="AF1499">
        <f>IF([2]Entry!$N$1502="","",[2]Entry!$N$1502)</f>
        <v/>
      </c>
      <c r="AJ1499">
        <f>IF([2]Entry!$S$1502="","",[2]Entry!$S$1502)</f>
        <v/>
      </c>
      <c r="AK1499">
        <f>IF([2]Entry!$C$1502="","",[2]Entry!$C$1502)</f>
        <v/>
      </c>
      <c r="AL1499">
        <f>IF([2]Entry!$D$1502="","",[2]Entry!$D$1502)</f>
        <v/>
      </c>
    </row>
    <row r="1500">
      <c r="Z1500">
        <f>IF([2]Entry!$E$1503="","",[2]Entry!$E$1503)</f>
        <v/>
      </c>
      <c r="AA1500">
        <f>IF([2]Entry!$G$1503="","",[2]Entry!$G$1503)</f>
        <v/>
      </c>
      <c r="AB1500">
        <f>IF([2]Entry!$J$1503="","",[2]Entry!$J$1503)</f>
        <v/>
      </c>
      <c r="AC1500">
        <f>IF([2]Entry!$K$1503="","",[2]Entry!$K$1503)</f>
        <v/>
      </c>
      <c r="AD1500">
        <f>IF([2]Entry!$L$1503="","",[2]Entry!$L$1503)</f>
        <v/>
      </c>
      <c r="AE1500">
        <f>IF([2]Entry!$M$1503="","",[2]Entry!$M$1503)</f>
        <v/>
      </c>
      <c r="AF1500">
        <f>IF([2]Entry!$N$1503="","",[2]Entry!$N$1503)</f>
        <v/>
      </c>
      <c r="AJ1500">
        <f>IF([2]Entry!$S$1503="","",[2]Entry!$S$1503)</f>
        <v/>
      </c>
      <c r="AK1500">
        <f>IF([2]Entry!$C$1503="","",[2]Entry!$C$1503)</f>
        <v/>
      </c>
      <c r="AL1500">
        <f>IF([2]Entry!$D$1503="","",[2]Entry!$D$1503)</f>
        <v/>
      </c>
    </row>
    <row r="1501">
      <c r="Z1501">
        <f>IF([2]Entry!$E$1504="","",[2]Entry!$E$1504)</f>
        <v/>
      </c>
      <c r="AA1501">
        <f>IF([2]Entry!$G$1504="","",[2]Entry!$G$1504)</f>
        <v/>
      </c>
      <c r="AB1501">
        <f>IF([2]Entry!$J$1504="","",[2]Entry!$J$1504)</f>
        <v/>
      </c>
      <c r="AC1501">
        <f>IF([2]Entry!$K$1504="","",[2]Entry!$K$1504)</f>
        <v/>
      </c>
      <c r="AD1501">
        <f>IF([2]Entry!$L$1504="","",[2]Entry!$L$1504)</f>
        <v/>
      </c>
      <c r="AE1501">
        <f>IF([2]Entry!$M$1504="","",[2]Entry!$M$1504)</f>
        <v/>
      </c>
      <c r="AF1501">
        <f>IF([2]Entry!$N$1504="","",[2]Entry!$N$1504)</f>
        <v/>
      </c>
      <c r="AJ1501">
        <f>IF([2]Entry!$S$1504="","",[2]Entry!$S$1504)</f>
        <v/>
      </c>
      <c r="AK1501">
        <f>IF([2]Entry!$C$1504="","",[2]Entry!$C$1504)</f>
        <v/>
      </c>
      <c r="AL1501">
        <f>IF([2]Entry!$D$1504="","",[2]Entry!$D$1504)</f>
        <v/>
      </c>
    </row>
    <row r="1502">
      <c r="Z1502">
        <f>IF([2]Entry!$E$1505="","",[2]Entry!$E$1505)</f>
        <v/>
      </c>
      <c r="AA1502">
        <f>IF([2]Entry!$G$1505="","",[2]Entry!$G$1505)</f>
        <v/>
      </c>
      <c r="AB1502">
        <f>IF([2]Entry!$J$1505="","",[2]Entry!$J$1505)</f>
        <v/>
      </c>
      <c r="AC1502">
        <f>IF([2]Entry!$K$1505="","",[2]Entry!$K$1505)</f>
        <v/>
      </c>
      <c r="AD1502">
        <f>IF([2]Entry!$L$1505="","",[2]Entry!$L$1505)</f>
        <v/>
      </c>
      <c r="AE1502">
        <f>IF([2]Entry!$M$1505="","",[2]Entry!$M$1505)</f>
        <v/>
      </c>
      <c r="AF1502">
        <f>IF([2]Entry!$N$1505="","",[2]Entry!$N$1505)</f>
        <v/>
      </c>
      <c r="AJ1502">
        <f>IF([2]Entry!$S$1505="","",[2]Entry!$S$1505)</f>
        <v/>
      </c>
      <c r="AK1502">
        <f>IF([2]Entry!$C$1505="","",[2]Entry!$C$1505)</f>
        <v/>
      </c>
      <c r="AL1502">
        <f>IF([2]Entry!$D$1505="","",[2]Entry!$D$1505)</f>
        <v/>
      </c>
    </row>
    <row r="1503">
      <c r="Z1503">
        <f>IF([2]Entry!$E$1506="","",[2]Entry!$E$1506)</f>
        <v/>
      </c>
      <c r="AA1503">
        <f>IF([2]Entry!$G$1506="","",[2]Entry!$G$1506)</f>
        <v/>
      </c>
      <c r="AB1503">
        <f>IF([2]Entry!$J$1506="","",[2]Entry!$J$1506)</f>
        <v/>
      </c>
      <c r="AC1503">
        <f>IF([2]Entry!$K$1506="","",[2]Entry!$K$1506)</f>
        <v/>
      </c>
      <c r="AD1503">
        <f>IF([2]Entry!$L$1506="","",[2]Entry!$L$1506)</f>
        <v/>
      </c>
      <c r="AE1503">
        <f>IF([2]Entry!$M$1506="","",[2]Entry!$M$1506)</f>
        <v/>
      </c>
      <c r="AF1503">
        <f>IF([2]Entry!$N$1506="","",[2]Entry!$N$1506)</f>
        <v/>
      </c>
      <c r="AJ1503">
        <f>IF([2]Entry!$S$1506="","",[2]Entry!$S$1506)</f>
        <v/>
      </c>
      <c r="AK1503">
        <f>IF([2]Entry!$C$1506="","",[2]Entry!$C$1506)</f>
        <v/>
      </c>
      <c r="AL1503">
        <f>IF([2]Entry!$D$1506="","",[2]Entry!$D$1506)</f>
        <v/>
      </c>
    </row>
    <row r="1504">
      <c r="Z1504">
        <f>IF([2]Entry!$E$1507="","",[2]Entry!$E$1507)</f>
        <v/>
      </c>
      <c r="AA1504">
        <f>IF([2]Entry!$G$1507="","",[2]Entry!$G$1507)</f>
        <v/>
      </c>
      <c r="AB1504">
        <f>IF([2]Entry!$J$1507="","",[2]Entry!$J$1507)</f>
        <v/>
      </c>
      <c r="AC1504">
        <f>IF([2]Entry!$K$1507="","",[2]Entry!$K$1507)</f>
        <v/>
      </c>
      <c r="AD1504">
        <f>IF([2]Entry!$L$1507="","",[2]Entry!$L$1507)</f>
        <v/>
      </c>
      <c r="AE1504">
        <f>IF([2]Entry!$M$1507="","",[2]Entry!$M$1507)</f>
        <v/>
      </c>
      <c r="AF1504">
        <f>IF([2]Entry!$N$1507="","",[2]Entry!$N$1507)</f>
        <v/>
      </c>
      <c r="AJ1504">
        <f>IF([2]Entry!$S$1507="","",[2]Entry!$S$1507)</f>
        <v/>
      </c>
      <c r="AK1504">
        <f>IF([2]Entry!$C$1507="","",[2]Entry!$C$1507)</f>
        <v/>
      </c>
      <c r="AL1504">
        <f>IF([2]Entry!$D$1507="","",[2]Entry!$D$1507)</f>
        <v/>
      </c>
    </row>
    <row r="1505">
      <c r="Z1505">
        <f>IF([2]Entry!$E$1508="","",[2]Entry!$E$1508)</f>
        <v/>
      </c>
      <c r="AA1505">
        <f>IF([2]Entry!$G$1508="","",[2]Entry!$G$1508)</f>
        <v/>
      </c>
      <c r="AB1505">
        <f>IF([2]Entry!$J$1508="","",[2]Entry!$J$1508)</f>
        <v/>
      </c>
      <c r="AC1505">
        <f>IF([2]Entry!$K$1508="","",[2]Entry!$K$1508)</f>
        <v/>
      </c>
      <c r="AD1505">
        <f>IF([2]Entry!$L$1508="","",[2]Entry!$L$1508)</f>
        <v/>
      </c>
      <c r="AE1505">
        <f>IF([2]Entry!$M$1508="","",[2]Entry!$M$1508)</f>
        <v/>
      </c>
      <c r="AF1505">
        <f>IF([2]Entry!$N$1508="","",[2]Entry!$N$1508)</f>
        <v/>
      </c>
      <c r="AJ1505">
        <f>IF([2]Entry!$S$1508="","",[2]Entry!$S$1508)</f>
        <v/>
      </c>
      <c r="AK1505">
        <f>IF([2]Entry!$C$1508="","",[2]Entry!$C$1508)</f>
        <v/>
      </c>
      <c r="AL1505">
        <f>IF([2]Entry!$D$1508="","",[2]Entry!$D$1508)</f>
        <v/>
      </c>
    </row>
    <row r="1506">
      <c r="Z1506">
        <f>IF([2]Entry!$E$1509="","",[2]Entry!$E$1509)</f>
        <v/>
      </c>
      <c r="AA1506">
        <f>IF([2]Entry!$G$1509="","",[2]Entry!$G$1509)</f>
        <v/>
      </c>
      <c r="AB1506">
        <f>IF([2]Entry!$J$1509="","",[2]Entry!$J$1509)</f>
        <v/>
      </c>
      <c r="AC1506">
        <f>IF([2]Entry!$K$1509="","",[2]Entry!$K$1509)</f>
        <v/>
      </c>
      <c r="AD1506">
        <f>IF([2]Entry!$L$1509="","",[2]Entry!$L$1509)</f>
        <v/>
      </c>
      <c r="AE1506">
        <f>IF([2]Entry!$M$1509="","",[2]Entry!$M$1509)</f>
        <v/>
      </c>
      <c r="AF1506">
        <f>IF([2]Entry!$N$1509="","",[2]Entry!$N$1509)</f>
        <v/>
      </c>
      <c r="AJ1506">
        <f>IF([2]Entry!$S$1509="","",[2]Entry!$S$1509)</f>
        <v/>
      </c>
      <c r="AK1506">
        <f>IF([2]Entry!$C$1509="","",[2]Entry!$C$1509)</f>
        <v/>
      </c>
      <c r="AL1506">
        <f>IF([2]Entry!$D$1509="","",[2]Entry!$D$1509)</f>
        <v/>
      </c>
    </row>
    <row r="1507">
      <c r="Z1507">
        <f>IF([2]Entry!$E$1510="","",[2]Entry!$E$1510)</f>
        <v/>
      </c>
      <c r="AA1507">
        <f>IF([2]Entry!$G$1510="","",[2]Entry!$G$1510)</f>
        <v/>
      </c>
      <c r="AB1507">
        <f>IF([2]Entry!$J$1510="","",[2]Entry!$J$1510)</f>
        <v/>
      </c>
      <c r="AC1507">
        <f>IF([2]Entry!$K$1510="","",[2]Entry!$K$1510)</f>
        <v/>
      </c>
      <c r="AD1507">
        <f>IF([2]Entry!$L$1510="","",[2]Entry!$L$1510)</f>
        <v/>
      </c>
      <c r="AE1507">
        <f>IF([2]Entry!$M$1510="","",[2]Entry!$M$1510)</f>
        <v/>
      </c>
      <c r="AF1507">
        <f>IF([2]Entry!$N$1510="","",[2]Entry!$N$1510)</f>
        <v/>
      </c>
      <c r="AJ1507">
        <f>IF([2]Entry!$S$1510="","",[2]Entry!$S$1510)</f>
        <v/>
      </c>
      <c r="AK1507">
        <f>IF([2]Entry!$C$1510="","",[2]Entry!$C$1510)</f>
        <v/>
      </c>
      <c r="AL1507">
        <f>IF([2]Entry!$D$1510="","",[2]Entry!$D$1510)</f>
        <v/>
      </c>
    </row>
    <row r="1508">
      <c r="Z1508">
        <f>IF([2]Entry!$E$1511="","",[2]Entry!$E$1511)</f>
        <v/>
      </c>
      <c r="AA1508">
        <f>IF([2]Entry!$G$1511="","",[2]Entry!$G$1511)</f>
        <v/>
      </c>
      <c r="AB1508">
        <f>IF([2]Entry!$J$1511="","",[2]Entry!$J$1511)</f>
        <v/>
      </c>
      <c r="AC1508">
        <f>IF([2]Entry!$K$1511="","",[2]Entry!$K$1511)</f>
        <v/>
      </c>
      <c r="AD1508">
        <f>IF([2]Entry!$L$1511="","",[2]Entry!$L$1511)</f>
        <v/>
      </c>
      <c r="AE1508">
        <f>IF([2]Entry!$M$1511="","",[2]Entry!$M$1511)</f>
        <v/>
      </c>
      <c r="AF1508">
        <f>IF([2]Entry!$N$1511="","",[2]Entry!$N$1511)</f>
        <v/>
      </c>
      <c r="AJ1508">
        <f>IF([2]Entry!$S$1511="","",[2]Entry!$S$1511)</f>
        <v/>
      </c>
      <c r="AK1508">
        <f>IF([2]Entry!$C$1511="","",[2]Entry!$C$1511)</f>
        <v/>
      </c>
      <c r="AL1508">
        <f>IF([2]Entry!$D$1511="","",[2]Entry!$D$1511)</f>
        <v/>
      </c>
    </row>
    <row r="1509">
      <c r="Z1509">
        <f>IF([2]Entry!$E$1512="","",[2]Entry!$E$1512)</f>
        <v/>
      </c>
      <c r="AA1509">
        <f>IF([2]Entry!$G$1512="","",[2]Entry!$G$1512)</f>
        <v/>
      </c>
      <c r="AB1509">
        <f>IF([2]Entry!$J$1512="","",[2]Entry!$J$1512)</f>
        <v/>
      </c>
      <c r="AC1509">
        <f>IF([2]Entry!$K$1512="","",[2]Entry!$K$1512)</f>
        <v/>
      </c>
      <c r="AD1509">
        <f>IF([2]Entry!$L$1512="","",[2]Entry!$L$1512)</f>
        <v/>
      </c>
      <c r="AE1509">
        <f>IF([2]Entry!$M$1512="","",[2]Entry!$M$1512)</f>
        <v/>
      </c>
      <c r="AF1509">
        <f>IF([2]Entry!$N$1512="","",[2]Entry!$N$1512)</f>
        <v/>
      </c>
      <c r="AJ1509">
        <f>IF([2]Entry!$S$1512="","",[2]Entry!$S$1512)</f>
        <v/>
      </c>
      <c r="AK1509">
        <f>IF([2]Entry!$C$1512="","",[2]Entry!$C$1512)</f>
        <v/>
      </c>
      <c r="AL1509">
        <f>IF([2]Entry!$D$1512="","",[2]Entry!$D$1512)</f>
        <v/>
      </c>
    </row>
    <row r="1510">
      <c r="Z1510">
        <f>IF([2]Entry!$E$1513="","",[2]Entry!$E$1513)</f>
        <v/>
      </c>
      <c r="AA1510">
        <f>IF([2]Entry!$G$1513="","",[2]Entry!$G$1513)</f>
        <v/>
      </c>
      <c r="AB1510">
        <f>IF([2]Entry!$J$1513="","",[2]Entry!$J$1513)</f>
        <v/>
      </c>
      <c r="AC1510">
        <f>IF([2]Entry!$K$1513="","",[2]Entry!$K$1513)</f>
        <v/>
      </c>
      <c r="AD1510">
        <f>IF([2]Entry!$L$1513="","",[2]Entry!$L$1513)</f>
        <v/>
      </c>
      <c r="AE1510">
        <f>IF([2]Entry!$M$1513="","",[2]Entry!$M$1513)</f>
        <v/>
      </c>
      <c r="AF1510">
        <f>IF([2]Entry!$N$1513="","",[2]Entry!$N$1513)</f>
        <v/>
      </c>
      <c r="AJ1510">
        <f>IF([2]Entry!$S$1513="","",[2]Entry!$S$1513)</f>
        <v/>
      </c>
      <c r="AK1510">
        <f>IF([2]Entry!$C$1513="","",[2]Entry!$C$1513)</f>
        <v/>
      </c>
      <c r="AL1510">
        <f>IF([2]Entry!$D$1513="","",[2]Entry!$D$1513)</f>
        <v/>
      </c>
    </row>
    <row r="1511">
      <c r="Z1511">
        <f>IF([2]Entry!$E$1514="","",[2]Entry!$E$1514)</f>
        <v/>
      </c>
      <c r="AA1511">
        <f>IF([2]Entry!$G$1514="","",[2]Entry!$G$1514)</f>
        <v/>
      </c>
      <c r="AB1511">
        <f>IF([2]Entry!$J$1514="","",[2]Entry!$J$1514)</f>
        <v/>
      </c>
      <c r="AC1511">
        <f>IF([2]Entry!$K$1514="","",[2]Entry!$K$1514)</f>
        <v/>
      </c>
      <c r="AD1511">
        <f>IF([2]Entry!$L$1514="","",[2]Entry!$L$1514)</f>
        <v/>
      </c>
      <c r="AE1511">
        <f>IF([2]Entry!$M$1514="","",[2]Entry!$M$1514)</f>
        <v/>
      </c>
      <c r="AF1511">
        <f>IF([2]Entry!$N$1514="","",[2]Entry!$N$1514)</f>
        <v/>
      </c>
      <c r="AJ1511">
        <f>IF([2]Entry!$S$1514="","",[2]Entry!$S$1514)</f>
        <v/>
      </c>
      <c r="AK1511">
        <f>IF([2]Entry!$C$1514="","",[2]Entry!$C$1514)</f>
        <v/>
      </c>
      <c r="AL1511">
        <f>IF([2]Entry!$D$1514="","",[2]Entry!$D$1514)</f>
        <v/>
      </c>
    </row>
    <row r="1512">
      <c r="Z1512">
        <f>IF([2]Entry!$E$1515="","",[2]Entry!$E$1515)</f>
        <v/>
      </c>
      <c r="AA1512">
        <f>IF([2]Entry!$G$1515="","",[2]Entry!$G$1515)</f>
        <v/>
      </c>
      <c r="AB1512">
        <f>IF([2]Entry!$J$1515="","",[2]Entry!$J$1515)</f>
        <v/>
      </c>
      <c r="AC1512">
        <f>IF([2]Entry!$K$1515="","",[2]Entry!$K$1515)</f>
        <v/>
      </c>
      <c r="AD1512">
        <f>IF([2]Entry!$L$1515="","",[2]Entry!$L$1515)</f>
        <v/>
      </c>
      <c r="AE1512">
        <f>IF([2]Entry!$M$1515="","",[2]Entry!$M$1515)</f>
        <v/>
      </c>
      <c r="AF1512">
        <f>IF([2]Entry!$N$1515="","",[2]Entry!$N$1515)</f>
        <v/>
      </c>
      <c r="AJ1512">
        <f>IF([2]Entry!$S$1515="","",[2]Entry!$S$1515)</f>
        <v/>
      </c>
      <c r="AK1512">
        <f>IF([2]Entry!$C$1515="","",[2]Entry!$C$1515)</f>
        <v/>
      </c>
      <c r="AL1512">
        <f>IF([2]Entry!$D$1515="","",[2]Entry!$D$1515)</f>
        <v/>
      </c>
    </row>
    <row r="1513">
      <c r="Z1513">
        <f>IF([2]Entry!$E$1516="","",[2]Entry!$E$1516)</f>
        <v/>
      </c>
      <c r="AA1513">
        <f>IF([2]Entry!$G$1516="","",[2]Entry!$G$1516)</f>
        <v/>
      </c>
      <c r="AB1513">
        <f>IF([2]Entry!$J$1516="","",[2]Entry!$J$1516)</f>
        <v/>
      </c>
      <c r="AC1513">
        <f>IF([2]Entry!$K$1516="","",[2]Entry!$K$1516)</f>
        <v/>
      </c>
      <c r="AD1513">
        <f>IF([2]Entry!$L$1516="","",[2]Entry!$L$1516)</f>
        <v/>
      </c>
      <c r="AE1513">
        <f>IF([2]Entry!$M$1516="","",[2]Entry!$M$1516)</f>
        <v/>
      </c>
      <c r="AF1513">
        <f>IF([2]Entry!$N$1516="","",[2]Entry!$N$1516)</f>
        <v/>
      </c>
      <c r="AJ1513">
        <f>IF([2]Entry!$S$1516="","",[2]Entry!$S$1516)</f>
        <v/>
      </c>
      <c r="AK1513">
        <f>IF([2]Entry!$C$1516="","",[2]Entry!$C$1516)</f>
        <v/>
      </c>
      <c r="AL1513">
        <f>IF([2]Entry!$D$1516="","",[2]Entry!$D$1516)</f>
        <v/>
      </c>
    </row>
    <row r="1514">
      <c r="Z1514">
        <f>IF([2]Entry!$E$1517="","",[2]Entry!$E$1517)</f>
        <v/>
      </c>
      <c r="AA1514">
        <f>IF([2]Entry!$G$1517="","",[2]Entry!$G$1517)</f>
        <v/>
      </c>
      <c r="AB1514">
        <f>IF([2]Entry!$J$1517="","",[2]Entry!$J$1517)</f>
        <v/>
      </c>
      <c r="AC1514">
        <f>IF([2]Entry!$K$1517="","",[2]Entry!$K$1517)</f>
        <v/>
      </c>
      <c r="AD1514">
        <f>IF([2]Entry!$L$1517="","",[2]Entry!$L$1517)</f>
        <v/>
      </c>
      <c r="AE1514">
        <f>IF([2]Entry!$M$1517="","",[2]Entry!$M$1517)</f>
        <v/>
      </c>
      <c r="AF1514">
        <f>IF([2]Entry!$N$1517="","",[2]Entry!$N$1517)</f>
        <v/>
      </c>
      <c r="AJ1514">
        <f>IF([2]Entry!$S$1517="","",[2]Entry!$S$1517)</f>
        <v/>
      </c>
      <c r="AK1514">
        <f>IF([2]Entry!$C$1517="","",[2]Entry!$C$1517)</f>
        <v/>
      </c>
      <c r="AL1514">
        <f>IF([2]Entry!$D$1517="","",[2]Entry!$D$1517)</f>
        <v/>
      </c>
    </row>
    <row r="1515">
      <c r="Z1515">
        <f>IF([2]Entry!$E$1518="","",[2]Entry!$E$1518)</f>
        <v/>
      </c>
      <c r="AA1515">
        <f>IF([2]Entry!$G$1518="","",[2]Entry!$G$1518)</f>
        <v/>
      </c>
      <c r="AB1515">
        <f>IF([2]Entry!$J$1518="","",[2]Entry!$J$1518)</f>
        <v/>
      </c>
      <c r="AC1515">
        <f>IF([2]Entry!$K$1518="","",[2]Entry!$K$1518)</f>
        <v/>
      </c>
      <c r="AD1515">
        <f>IF([2]Entry!$L$1518="","",[2]Entry!$L$1518)</f>
        <v/>
      </c>
      <c r="AE1515">
        <f>IF([2]Entry!$M$1518="","",[2]Entry!$M$1518)</f>
        <v/>
      </c>
      <c r="AF1515">
        <f>IF([2]Entry!$N$1518="","",[2]Entry!$N$1518)</f>
        <v/>
      </c>
      <c r="AJ1515">
        <f>IF([2]Entry!$S$1518="","",[2]Entry!$S$1518)</f>
        <v/>
      </c>
      <c r="AK1515">
        <f>IF([2]Entry!$C$1518="","",[2]Entry!$C$1518)</f>
        <v/>
      </c>
      <c r="AL1515">
        <f>IF([2]Entry!$D$1518="","",[2]Entry!$D$1518)</f>
        <v/>
      </c>
    </row>
    <row r="1516">
      <c r="Z1516">
        <f>IF([2]Entry!$E$1519="","",[2]Entry!$E$1519)</f>
        <v/>
      </c>
      <c r="AA1516">
        <f>IF([2]Entry!$G$1519="","",[2]Entry!$G$1519)</f>
        <v/>
      </c>
      <c r="AB1516">
        <f>IF([2]Entry!$J$1519="","",[2]Entry!$J$1519)</f>
        <v/>
      </c>
      <c r="AC1516">
        <f>IF([2]Entry!$K$1519="","",[2]Entry!$K$1519)</f>
        <v/>
      </c>
      <c r="AD1516">
        <f>IF([2]Entry!$L$1519="","",[2]Entry!$L$1519)</f>
        <v/>
      </c>
      <c r="AE1516">
        <f>IF([2]Entry!$M$1519="","",[2]Entry!$M$1519)</f>
        <v/>
      </c>
      <c r="AF1516">
        <f>IF([2]Entry!$N$1519="","",[2]Entry!$N$1519)</f>
        <v/>
      </c>
      <c r="AJ1516">
        <f>IF([2]Entry!$S$1519="","",[2]Entry!$S$1519)</f>
        <v/>
      </c>
      <c r="AK1516">
        <f>IF([2]Entry!$C$1519="","",[2]Entry!$C$1519)</f>
        <v/>
      </c>
      <c r="AL1516">
        <f>IF([2]Entry!$D$1519="","",[2]Entry!$D$1519)</f>
        <v/>
      </c>
    </row>
    <row r="1517">
      <c r="Z1517">
        <f>IF([2]Entry!$E$1520="","",[2]Entry!$E$1520)</f>
        <v/>
      </c>
      <c r="AA1517">
        <f>IF([2]Entry!$G$1520="","",[2]Entry!$G$1520)</f>
        <v/>
      </c>
      <c r="AB1517">
        <f>IF([2]Entry!$J$1520="","",[2]Entry!$J$1520)</f>
        <v/>
      </c>
      <c r="AC1517">
        <f>IF([2]Entry!$K$1520="","",[2]Entry!$K$1520)</f>
        <v/>
      </c>
      <c r="AD1517">
        <f>IF([2]Entry!$L$1520="","",[2]Entry!$L$1520)</f>
        <v/>
      </c>
      <c r="AE1517">
        <f>IF([2]Entry!$M$1520="","",[2]Entry!$M$1520)</f>
        <v/>
      </c>
      <c r="AF1517">
        <f>IF([2]Entry!$N$1520="","",[2]Entry!$N$1520)</f>
        <v/>
      </c>
      <c r="AJ1517">
        <f>IF([2]Entry!$S$1520="","",[2]Entry!$S$1520)</f>
        <v/>
      </c>
      <c r="AK1517">
        <f>IF([2]Entry!$C$1520="","",[2]Entry!$C$1520)</f>
        <v/>
      </c>
      <c r="AL1517">
        <f>IF([2]Entry!$D$1520="","",[2]Entry!$D$1520)</f>
        <v/>
      </c>
    </row>
    <row r="1518">
      <c r="Z1518">
        <f>IF([2]Entry!$E$1521="","",[2]Entry!$E$1521)</f>
        <v/>
      </c>
      <c r="AA1518">
        <f>IF([2]Entry!$G$1521="","",[2]Entry!$G$1521)</f>
        <v/>
      </c>
      <c r="AB1518">
        <f>IF([2]Entry!$J$1521="","",[2]Entry!$J$1521)</f>
        <v/>
      </c>
      <c r="AC1518">
        <f>IF([2]Entry!$K$1521="","",[2]Entry!$K$1521)</f>
        <v/>
      </c>
      <c r="AD1518">
        <f>IF([2]Entry!$L$1521="","",[2]Entry!$L$1521)</f>
        <v/>
      </c>
      <c r="AE1518">
        <f>IF([2]Entry!$M$1521="","",[2]Entry!$M$1521)</f>
        <v/>
      </c>
      <c r="AF1518">
        <f>IF([2]Entry!$N$1521="","",[2]Entry!$N$1521)</f>
        <v/>
      </c>
      <c r="AJ1518">
        <f>IF([2]Entry!$S$1521="","",[2]Entry!$S$1521)</f>
        <v/>
      </c>
      <c r="AK1518">
        <f>IF([2]Entry!$C$1521="","",[2]Entry!$C$1521)</f>
        <v/>
      </c>
      <c r="AL1518">
        <f>IF([2]Entry!$D$1521="","",[2]Entry!$D$1521)</f>
        <v/>
      </c>
    </row>
    <row r="1519">
      <c r="Z1519">
        <f>IF([2]Entry!$E$1522="","",[2]Entry!$E$1522)</f>
        <v/>
      </c>
      <c r="AA1519">
        <f>IF([2]Entry!$G$1522="","",[2]Entry!$G$1522)</f>
        <v/>
      </c>
      <c r="AB1519">
        <f>IF([2]Entry!$J$1522="","",[2]Entry!$J$1522)</f>
        <v/>
      </c>
      <c r="AC1519">
        <f>IF([2]Entry!$K$1522="","",[2]Entry!$K$1522)</f>
        <v/>
      </c>
      <c r="AD1519">
        <f>IF([2]Entry!$L$1522="","",[2]Entry!$L$1522)</f>
        <v/>
      </c>
      <c r="AE1519">
        <f>IF([2]Entry!$M$1522="","",[2]Entry!$M$1522)</f>
        <v/>
      </c>
      <c r="AF1519">
        <f>IF([2]Entry!$N$1522="","",[2]Entry!$N$1522)</f>
        <v/>
      </c>
      <c r="AJ1519">
        <f>IF([2]Entry!$S$1522="","",[2]Entry!$S$1522)</f>
        <v/>
      </c>
      <c r="AK1519">
        <f>IF([2]Entry!$C$1522="","",[2]Entry!$C$1522)</f>
        <v/>
      </c>
      <c r="AL1519">
        <f>IF([2]Entry!$D$1522="","",[2]Entry!$D$1522)</f>
        <v/>
      </c>
    </row>
    <row r="1520">
      <c r="Z1520">
        <f>IF([2]Entry!$E$1523="","",[2]Entry!$E$1523)</f>
        <v/>
      </c>
      <c r="AA1520">
        <f>IF([2]Entry!$G$1523="","",[2]Entry!$G$1523)</f>
        <v/>
      </c>
      <c r="AB1520">
        <f>IF([2]Entry!$J$1523="","",[2]Entry!$J$1523)</f>
        <v/>
      </c>
      <c r="AC1520">
        <f>IF([2]Entry!$K$1523="","",[2]Entry!$K$1523)</f>
        <v/>
      </c>
      <c r="AD1520">
        <f>IF([2]Entry!$L$1523="","",[2]Entry!$L$1523)</f>
        <v/>
      </c>
      <c r="AE1520">
        <f>IF([2]Entry!$M$1523="","",[2]Entry!$M$1523)</f>
        <v/>
      </c>
      <c r="AF1520">
        <f>IF([2]Entry!$N$1523="","",[2]Entry!$N$1523)</f>
        <v/>
      </c>
      <c r="AJ1520">
        <f>IF([2]Entry!$S$1523="","",[2]Entry!$S$1523)</f>
        <v/>
      </c>
      <c r="AK1520">
        <f>IF([2]Entry!$C$1523="","",[2]Entry!$C$1523)</f>
        <v/>
      </c>
      <c r="AL1520">
        <f>IF([2]Entry!$D$1523="","",[2]Entry!$D$1523)</f>
        <v/>
      </c>
    </row>
    <row r="1521">
      <c r="Z1521">
        <f>IF([2]Entry!$E$1524="","",[2]Entry!$E$1524)</f>
        <v/>
      </c>
      <c r="AA1521">
        <f>IF([2]Entry!$G$1524="","",[2]Entry!$G$1524)</f>
        <v/>
      </c>
      <c r="AB1521">
        <f>IF([2]Entry!$J$1524="","",[2]Entry!$J$1524)</f>
        <v/>
      </c>
      <c r="AC1521">
        <f>IF([2]Entry!$K$1524="","",[2]Entry!$K$1524)</f>
        <v/>
      </c>
      <c r="AD1521">
        <f>IF([2]Entry!$L$1524="","",[2]Entry!$L$1524)</f>
        <v/>
      </c>
      <c r="AE1521">
        <f>IF([2]Entry!$M$1524="","",[2]Entry!$M$1524)</f>
        <v/>
      </c>
      <c r="AF1521">
        <f>IF([2]Entry!$N$1524="","",[2]Entry!$N$1524)</f>
        <v/>
      </c>
      <c r="AJ1521">
        <f>IF([2]Entry!$S$1524="","",[2]Entry!$S$1524)</f>
        <v/>
      </c>
      <c r="AK1521">
        <f>IF([2]Entry!$C$1524="","",[2]Entry!$C$1524)</f>
        <v/>
      </c>
      <c r="AL1521">
        <f>IF([2]Entry!$D$1524="","",[2]Entry!$D$1524)</f>
        <v/>
      </c>
    </row>
    <row r="1522">
      <c r="Z1522">
        <f>IF([2]Entry!$E$1525="","",[2]Entry!$E$1525)</f>
        <v/>
      </c>
      <c r="AA1522">
        <f>IF([2]Entry!$G$1525="","",[2]Entry!$G$1525)</f>
        <v/>
      </c>
      <c r="AB1522">
        <f>IF([2]Entry!$J$1525="","",[2]Entry!$J$1525)</f>
        <v/>
      </c>
      <c r="AC1522">
        <f>IF([2]Entry!$K$1525="","",[2]Entry!$K$1525)</f>
        <v/>
      </c>
      <c r="AD1522">
        <f>IF([2]Entry!$L$1525="","",[2]Entry!$L$1525)</f>
        <v/>
      </c>
      <c r="AE1522">
        <f>IF([2]Entry!$M$1525="","",[2]Entry!$M$1525)</f>
        <v/>
      </c>
      <c r="AF1522">
        <f>IF([2]Entry!$N$1525="","",[2]Entry!$N$1525)</f>
        <v/>
      </c>
      <c r="AJ1522">
        <f>IF([2]Entry!$S$1525="","",[2]Entry!$S$1525)</f>
        <v/>
      </c>
      <c r="AK1522">
        <f>IF([2]Entry!$C$1525="","",[2]Entry!$C$1525)</f>
        <v/>
      </c>
      <c r="AL1522">
        <f>IF([2]Entry!$D$1525="","",[2]Entry!$D$1525)</f>
        <v/>
      </c>
    </row>
    <row r="1523">
      <c r="Z1523">
        <f>IF([2]Entry!$E$1526="","",[2]Entry!$E$1526)</f>
        <v/>
      </c>
      <c r="AA1523">
        <f>IF([2]Entry!$G$1526="","",[2]Entry!$G$1526)</f>
        <v/>
      </c>
      <c r="AB1523">
        <f>IF([2]Entry!$J$1526="","",[2]Entry!$J$1526)</f>
        <v/>
      </c>
      <c r="AC1523">
        <f>IF([2]Entry!$K$1526="","",[2]Entry!$K$1526)</f>
        <v/>
      </c>
      <c r="AD1523">
        <f>IF([2]Entry!$L$1526="","",[2]Entry!$L$1526)</f>
        <v/>
      </c>
      <c r="AE1523">
        <f>IF([2]Entry!$M$1526="","",[2]Entry!$M$1526)</f>
        <v/>
      </c>
      <c r="AF1523">
        <f>IF([2]Entry!$N$1526="","",[2]Entry!$N$1526)</f>
        <v/>
      </c>
      <c r="AJ1523">
        <f>IF([2]Entry!$S$1526="","",[2]Entry!$S$1526)</f>
        <v/>
      </c>
      <c r="AK1523">
        <f>IF([2]Entry!$C$1526="","",[2]Entry!$C$1526)</f>
        <v/>
      </c>
      <c r="AL1523">
        <f>IF([2]Entry!$D$1526="","",[2]Entry!$D$1526)</f>
        <v/>
      </c>
    </row>
    <row r="1524">
      <c r="Z1524">
        <f>IF([2]Entry!$E$1527="","",[2]Entry!$E$1527)</f>
        <v/>
      </c>
      <c r="AA1524">
        <f>IF([2]Entry!$G$1527="","",[2]Entry!$G$1527)</f>
        <v/>
      </c>
      <c r="AB1524">
        <f>IF([2]Entry!$J$1527="","",[2]Entry!$J$1527)</f>
        <v/>
      </c>
      <c r="AC1524">
        <f>IF([2]Entry!$K$1527="","",[2]Entry!$K$1527)</f>
        <v/>
      </c>
      <c r="AD1524">
        <f>IF([2]Entry!$L$1527="","",[2]Entry!$L$1527)</f>
        <v/>
      </c>
      <c r="AE1524">
        <f>IF([2]Entry!$M$1527="","",[2]Entry!$M$1527)</f>
        <v/>
      </c>
      <c r="AF1524">
        <f>IF([2]Entry!$N$1527="","",[2]Entry!$N$1527)</f>
        <v/>
      </c>
      <c r="AJ1524">
        <f>IF([2]Entry!$S$1527="","",[2]Entry!$S$1527)</f>
        <v/>
      </c>
      <c r="AK1524">
        <f>IF([2]Entry!$C$1527="","",[2]Entry!$C$1527)</f>
        <v/>
      </c>
      <c r="AL1524">
        <f>IF([2]Entry!$D$1527="","",[2]Entry!$D$1527)</f>
        <v/>
      </c>
    </row>
    <row r="1525">
      <c r="Z1525">
        <f>IF([2]Entry!$E$1528="","",[2]Entry!$E$1528)</f>
        <v/>
      </c>
      <c r="AA1525">
        <f>IF([2]Entry!$G$1528="","",[2]Entry!$G$1528)</f>
        <v/>
      </c>
      <c r="AB1525">
        <f>IF([2]Entry!$J$1528="","",[2]Entry!$J$1528)</f>
        <v/>
      </c>
      <c r="AC1525">
        <f>IF([2]Entry!$K$1528="","",[2]Entry!$K$1528)</f>
        <v/>
      </c>
      <c r="AD1525">
        <f>IF([2]Entry!$L$1528="","",[2]Entry!$L$1528)</f>
        <v/>
      </c>
      <c r="AE1525">
        <f>IF([2]Entry!$M$1528="","",[2]Entry!$M$1528)</f>
        <v/>
      </c>
      <c r="AF1525">
        <f>IF([2]Entry!$N$1528="","",[2]Entry!$N$1528)</f>
        <v/>
      </c>
      <c r="AJ1525">
        <f>IF([2]Entry!$S$1528="","",[2]Entry!$S$1528)</f>
        <v/>
      </c>
      <c r="AK1525">
        <f>IF([2]Entry!$C$1528="","",[2]Entry!$C$1528)</f>
        <v/>
      </c>
      <c r="AL1525">
        <f>IF([2]Entry!$D$1528="","",[2]Entry!$D$1528)</f>
        <v/>
      </c>
    </row>
    <row r="1526">
      <c r="Z1526">
        <f>IF([2]Entry!$E$1529="","",[2]Entry!$E$1529)</f>
        <v/>
      </c>
      <c r="AA1526">
        <f>IF([2]Entry!$G$1529="","",[2]Entry!$G$1529)</f>
        <v/>
      </c>
      <c r="AB1526">
        <f>IF([2]Entry!$J$1529="","",[2]Entry!$J$1529)</f>
        <v/>
      </c>
      <c r="AC1526">
        <f>IF([2]Entry!$K$1529="","",[2]Entry!$K$1529)</f>
        <v/>
      </c>
      <c r="AD1526">
        <f>IF([2]Entry!$L$1529="","",[2]Entry!$L$1529)</f>
        <v/>
      </c>
      <c r="AE1526">
        <f>IF([2]Entry!$M$1529="","",[2]Entry!$M$1529)</f>
        <v/>
      </c>
      <c r="AF1526">
        <f>IF([2]Entry!$N$1529="","",[2]Entry!$N$1529)</f>
        <v/>
      </c>
      <c r="AJ1526">
        <f>IF([2]Entry!$S$1529="","",[2]Entry!$S$1529)</f>
        <v/>
      </c>
      <c r="AK1526">
        <f>IF([2]Entry!$C$1529="","",[2]Entry!$C$1529)</f>
        <v/>
      </c>
      <c r="AL1526">
        <f>IF([2]Entry!$D$1529="","",[2]Entry!$D$1529)</f>
        <v/>
      </c>
    </row>
    <row r="1527">
      <c r="Z1527">
        <f>IF([2]Entry!$E$1530="","",[2]Entry!$E$1530)</f>
        <v/>
      </c>
      <c r="AA1527">
        <f>IF([2]Entry!$G$1530="","",[2]Entry!$G$1530)</f>
        <v/>
      </c>
      <c r="AB1527">
        <f>IF([2]Entry!$J$1530="","",[2]Entry!$J$1530)</f>
        <v/>
      </c>
      <c r="AC1527">
        <f>IF([2]Entry!$K$1530="","",[2]Entry!$K$1530)</f>
        <v/>
      </c>
      <c r="AD1527">
        <f>IF([2]Entry!$L$1530="","",[2]Entry!$L$1530)</f>
        <v/>
      </c>
      <c r="AE1527">
        <f>IF([2]Entry!$M$1530="","",[2]Entry!$M$1530)</f>
        <v/>
      </c>
      <c r="AF1527">
        <f>IF([2]Entry!$N$1530="","",[2]Entry!$N$1530)</f>
        <v/>
      </c>
      <c r="AJ1527">
        <f>IF([2]Entry!$S$1530="","",[2]Entry!$S$1530)</f>
        <v/>
      </c>
      <c r="AK1527">
        <f>IF([2]Entry!$C$1530="","",[2]Entry!$C$1530)</f>
        <v/>
      </c>
      <c r="AL1527">
        <f>IF([2]Entry!$D$1530="","",[2]Entry!$D$1530)</f>
        <v/>
      </c>
    </row>
    <row r="1528">
      <c r="Z1528">
        <f>IF([2]Entry!$E$1531="","",[2]Entry!$E$1531)</f>
        <v/>
      </c>
      <c r="AA1528">
        <f>IF([2]Entry!$G$1531="","",[2]Entry!$G$1531)</f>
        <v/>
      </c>
      <c r="AB1528">
        <f>IF([2]Entry!$J$1531="","",[2]Entry!$J$1531)</f>
        <v/>
      </c>
      <c r="AC1528">
        <f>IF([2]Entry!$K$1531="","",[2]Entry!$K$1531)</f>
        <v/>
      </c>
      <c r="AD1528">
        <f>IF([2]Entry!$L$1531="","",[2]Entry!$L$1531)</f>
        <v/>
      </c>
      <c r="AE1528">
        <f>IF([2]Entry!$M$1531="","",[2]Entry!$M$1531)</f>
        <v/>
      </c>
      <c r="AF1528">
        <f>IF([2]Entry!$N$1531="","",[2]Entry!$N$1531)</f>
        <v/>
      </c>
      <c r="AJ1528">
        <f>IF([2]Entry!$S$1531="","",[2]Entry!$S$1531)</f>
        <v/>
      </c>
      <c r="AK1528">
        <f>IF([2]Entry!$C$1531="","",[2]Entry!$C$1531)</f>
        <v/>
      </c>
      <c r="AL1528">
        <f>IF([2]Entry!$D$1531="","",[2]Entry!$D$1531)</f>
        <v/>
      </c>
    </row>
    <row r="1529">
      <c r="Z1529">
        <f>IF([2]Entry!$E$1532="","",[2]Entry!$E$1532)</f>
        <v/>
      </c>
      <c r="AA1529">
        <f>IF([2]Entry!$G$1532="","",[2]Entry!$G$1532)</f>
        <v/>
      </c>
      <c r="AB1529">
        <f>IF([2]Entry!$J$1532="","",[2]Entry!$J$1532)</f>
        <v/>
      </c>
      <c r="AC1529">
        <f>IF([2]Entry!$K$1532="","",[2]Entry!$K$1532)</f>
        <v/>
      </c>
      <c r="AD1529">
        <f>IF([2]Entry!$L$1532="","",[2]Entry!$L$1532)</f>
        <v/>
      </c>
      <c r="AE1529">
        <f>IF([2]Entry!$M$1532="","",[2]Entry!$M$1532)</f>
        <v/>
      </c>
      <c r="AF1529">
        <f>IF([2]Entry!$N$1532="","",[2]Entry!$N$1532)</f>
        <v/>
      </c>
      <c r="AJ1529">
        <f>IF([2]Entry!$S$1532="","",[2]Entry!$S$1532)</f>
        <v/>
      </c>
      <c r="AK1529">
        <f>IF([2]Entry!$C$1532="","",[2]Entry!$C$1532)</f>
        <v/>
      </c>
      <c r="AL1529">
        <f>IF([2]Entry!$D$1532="","",[2]Entry!$D$1532)</f>
        <v/>
      </c>
    </row>
    <row r="1530">
      <c r="Z1530">
        <f>IF([2]Entry!$E$1533="","",[2]Entry!$E$1533)</f>
        <v/>
      </c>
      <c r="AA1530">
        <f>IF([2]Entry!$G$1533="","",[2]Entry!$G$1533)</f>
        <v/>
      </c>
      <c r="AB1530">
        <f>IF([2]Entry!$J$1533="","",[2]Entry!$J$1533)</f>
        <v/>
      </c>
      <c r="AC1530">
        <f>IF([2]Entry!$K$1533="","",[2]Entry!$K$1533)</f>
        <v/>
      </c>
      <c r="AD1530">
        <f>IF([2]Entry!$L$1533="","",[2]Entry!$L$1533)</f>
        <v/>
      </c>
      <c r="AE1530">
        <f>IF([2]Entry!$M$1533="","",[2]Entry!$M$1533)</f>
        <v/>
      </c>
      <c r="AF1530">
        <f>IF([2]Entry!$N$1533="","",[2]Entry!$N$1533)</f>
        <v/>
      </c>
      <c r="AJ1530">
        <f>IF([2]Entry!$S$1533="","",[2]Entry!$S$1533)</f>
        <v/>
      </c>
      <c r="AK1530">
        <f>IF([2]Entry!$C$1533="","",[2]Entry!$C$1533)</f>
        <v/>
      </c>
      <c r="AL1530">
        <f>IF([2]Entry!$D$1533="","",[2]Entry!$D$1533)</f>
        <v/>
      </c>
    </row>
    <row r="1531">
      <c r="Z1531">
        <f>IF([2]Entry!$E$1534="","",[2]Entry!$E$1534)</f>
        <v/>
      </c>
      <c r="AA1531">
        <f>IF([2]Entry!$G$1534="","",[2]Entry!$G$1534)</f>
        <v/>
      </c>
      <c r="AB1531">
        <f>IF([2]Entry!$J$1534="","",[2]Entry!$J$1534)</f>
        <v/>
      </c>
      <c r="AC1531">
        <f>IF([2]Entry!$K$1534="","",[2]Entry!$K$1534)</f>
        <v/>
      </c>
      <c r="AD1531">
        <f>IF([2]Entry!$L$1534="","",[2]Entry!$L$1534)</f>
        <v/>
      </c>
      <c r="AE1531">
        <f>IF([2]Entry!$M$1534="","",[2]Entry!$M$1534)</f>
        <v/>
      </c>
      <c r="AF1531">
        <f>IF([2]Entry!$N$1534="","",[2]Entry!$N$1534)</f>
        <v/>
      </c>
      <c r="AJ1531">
        <f>IF([2]Entry!$S$1534="","",[2]Entry!$S$1534)</f>
        <v/>
      </c>
      <c r="AK1531">
        <f>IF([2]Entry!$C$1534="","",[2]Entry!$C$1534)</f>
        <v/>
      </c>
      <c r="AL1531">
        <f>IF([2]Entry!$D$1534="","",[2]Entry!$D$1534)</f>
        <v/>
      </c>
    </row>
    <row r="1532">
      <c r="Z1532">
        <f>IF([2]Entry!$E$1535="","",[2]Entry!$E$1535)</f>
        <v/>
      </c>
      <c r="AA1532">
        <f>IF([2]Entry!$G$1535="","",[2]Entry!$G$1535)</f>
        <v/>
      </c>
      <c r="AB1532">
        <f>IF([2]Entry!$J$1535="","",[2]Entry!$J$1535)</f>
        <v/>
      </c>
      <c r="AC1532">
        <f>IF([2]Entry!$K$1535="","",[2]Entry!$K$1535)</f>
        <v/>
      </c>
      <c r="AD1532">
        <f>IF([2]Entry!$L$1535="","",[2]Entry!$L$1535)</f>
        <v/>
      </c>
      <c r="AE1532">
        <f>IF([2]Entry!$M$1535="","",[2]Entry!$M$1535)</f>
        <v/>
      </c>
      <c r="AF1532">
        <f>IF([2]Entry!$N$1535="","",[2]Entry!$N$1535)</f>
        <v/>
      </c>
      <c r="AJ1532">
        <f>IF([2]Entry!$S$1535="","",[2]Entry!$S$1535)</f>
        <v/>
      </c>
      <c r="AK1532">
        <f>IF([2]Entry!$C$1535="","",[2]Entry!$C$1535)</f>
        <v/>
      </c>
      <c r="AL1532">
        <f>IF([2]Entry!$D$1535="","",[2]Entry!$D$1535)</f>
        <v/>
      </c>
    </row>
    <row r="1533">
      <c r="Z1533">
        <f>IF([2]Entry!$E$1536="","",[2]Entry!$E$1536)</f>
        <v/>
      </c>
      <c r="AA1533">
        <f>IF([2]Entry!$G$1536="","",[2]Entry!$G$1536)</f>
        <v/>
      </c>
      <c r="AB1533">
        <f>IF([2]Entry!$J$1536="","",[2]Entry!$J$1536)</f>
        <v/>
      </c>
      <c r="AC1533">
        <f>IF([2]Entry!$K$1536="","",[2]Entry!$K$1536)</f>
        <v/>
      </c>
      <c r="AD1533">
        <f>IF([2]Entry!$L$1536="","",[2]Entry!$L$1536)</f>
        <v/>
      </c>
      <c r="AE1533">
        <f>IF([2]Entry!$M$1536="","",[2]Entry!$M$1536)</f>
        <v/>
      </c>
      <c r="AF1533">
        <f>IF([2]Entry!$N$1536="","",[2]Entry!$N$1536)</f>
        <v/>
      </c>
      <c r="AJ1533">
        <f>IF([2]Entry!$S$1536="","",[2]Entry!$S$1536)</f>
        <v/>
      </c>
      <c r="AK1533">
        <f>IF([2]Entry!$C$1536="","",[2]Entry!$C$1536)</f>
        <v/>
      </c>
      <c r="AL1533">
        <f>IF([2]Entry!$D$1536="","",[2]Entry!$D$1536)</f>
        <v/>
      </c>
    </row>
    <row r="1534">
      <c r="Z1534">
        <f>IF([2]Entry!$E$1537="","",[2]Entry!$E$1537)</f>
        <v/>
      </c>
      <c r="AA1534">
        <f>IF([2]Entry!$G$1537="","",[2]Entry!$G$1537)</f>
        <v/>
      </c>
      <c r="AB1534">
        <f>IF([2]Entry!$J$1537="","",[2]Entry!$J$1537)</f>
        <v/>
      </c>
      <c r="AC1534">
        <f>IF([2]Entry!$K$1537="","",[2]Entry!$K$1537)</f>
        <v/>
      </c>
      <c r="AD1534">
        <f>IF([2]Entry!$L$1537="","",[2]Entry!$L$1537)</f>
        <v/>
      </c>
      <c r="AE1534">
        <f>IF([2]Entry!$M$1537="","",[2]Entry!$M$1537)</f>
        <v/>
      </c>
      <c r="AF1534">
        <f>IF([2]Entry!$N$1537="","",[2]Entry!$N$1537)</f>
        <v/>
      </c>
      <c r="AJ1534">
        <f>IF([2]Entry!$S$1537="","",[2]Entry!$S$1537)</f>
        <v/>
      </c>
      <c r="AK1534">
        <f>IF([2]Entry!$C$1537="","",[2]Entry!$C$1537)</f>
        <v/>
      </c>
      <c r="AL1534">
        <f>IF([2]Entry!$D$1537="","",[2]Entry!$D$1537)</f>
        <v/>
      </c>
    </row>
    <row r="1535">
      <c r="Z1535">
        <f>IF([2]Entry!$E$1538="","",[2]Entry!$E$1538)</f>
        <v/>
      </c>
      <c r="AA1535">
        <f>IF([2]Entry!$G$1538="","",[2]Entry!$G$1538)</f>
        <v/>
      </c>
      <c r="AB1535">
        <f>IF([2]Entry!$J$1538="","",[2]Entry!$J$1538)</f>
        <v/>
      </c>
      <c r="AC1535">
        <f>IF([2]Entry!$K$1538="","",[2]Entry!$K$1538)</f>
        <v/>
      </c>
      <c r="AD1535">
        <f>IF([2]Entry!$L$1538="","",[2]Entry!$L$1538)</f>
        <v/>
      </c>
      <c r="AE1535">
        <f>IF([2]Entry!$M$1538="","",[2]Entry!$M$1538)</f>
        <v/>
      </c>
      <c r="AF1535">
        <f>IF([2]Entry!$N$1538="","",[2]Entry!$N$1538)</f>
        <v/>
      </c>
      <c r="AJ1535">
        <f>IF([2]Entry!$S$1538="","",[2]Entry!$S$1538)</f>
        <v/>
      </c>
      <c r="AK1535">
        <f>IF([2]Entry!$C$1538="","",[2]Entry!$C$1538)</f>
        <v/>
      </c>
      <c r="AL1535">
        <f>IF([2]Entry!$D$1538="","",[2]Entry!$D$1538)</f>
        <v/>
      </c>
    </row>
    <row r="1536">
      <c r="Z1536">
        <f>IF([2]Entry!$E$1539="","",[2]Entry!$E$1539)</f>
        <v/>
      </c>
      <c r="AA1536">
        <f>IF([2]Entry!$G$1539="","",[2]Entry!$G$1539)</f>
        <v/>
      </c>
      <c r="AB1536">
        <f>IF([2]Entry!$J$1539="","",[2]Entry!$J$1539)</f>
        <v/>
      </c>
      <c r="AC1536">
        <f>IF([2]Entry!$K$1539="","",[2]Entry!$K$1539)</f>
        <v/>
      </c>
      <c r="AD1536">
        <f>IF([2]Entry!$L$1539="","",[2]Entry!$L$1539)</f>
        <v/>
      </c>
      <c r="AE1536">
        <f>IF([2]Entry!$M$1539="","",[2]Entry!$M$1539)</f>
        <v/>
      </c>
      <c r="AF1536">
        <f>IF([2]Entry!$N$1539="","",[2]Entry!$N$1539)</f>
        <v/>
      </c>
      <c r="AJ1536">
        <f>IF([2]Entry!$S$1539="","",[2]Entry!$S$1539)</f>
        <v/>
      </c>
      <c r="AK1536">
        <f>IF([2]Entry!$C$1539="","",[2]Entry!$C$1539)</f>
        <v/>
      </c>
      <c r="AL1536">
        <f>IF([2]Entry!$D$1539="","",[2]Entry!$D$1539)</f>
        <v/>
      </c>
    </row>
    <row r="1537">
      <c r="Z1537">
        <f>IF([2]Entry!$E$1540="","",[2]Entry!$E$1540)</f>
        <v/>
      </c>
      <c r="AA1537">
        <f>IF([2]Entry!$G$1540="","",[2]Entry!$G$1540)</f>
        <v/>
      </c>
      <c r="AB1537">
        <f>IF([2]Entry!$J$1540="","",[2]Entry!$J$1540)</f>
        <v/>
      </c>
      <c r="AC1537">
        <f>IF([2]Entry!$K$1540="","",[2]Entry!$K$1540)</f>
        <v/>
      </c>
      <c r="AD1537">
        <f>IF([2]Entry!$L$1540="","",[2]Entry!$L$1540)</f>
        <v/>
      </c>
      <c r="AE1537">
        <f>IF([2]Entry!$M$1540="","",[2]Entry!$M$1540)</f>
        <v/>
      </c>
      <c r="AF1537">
        <f>IF([2]Entry!$N$1540="","",[2]Entry!$N$1540)</f>
        <v/>
      </c>
      <c r="AJ1537">
        <f>IF([2]Entry!$S$1540="","",[2]Entry!$S$1540)</f>
        <v/>
      </c>
      <c r="AK1537">
        <f>IF([2]Entry!$C$1540="","",[2]Entry!$C$1540)</f>
        <v/>
      </c>
      <c r="AL1537">
        <f>IF([2]Entry!$D$1540="","",[2]Entry!$D$1540)</f>
        <v/>
      </c>
    </row>
    <row r="1538">
      <c r="Z1538">
        <f>IF([2]Entry!$E$1541="","",[2]Entry!$E$1541)</f>
        <v/>
      </c>
      <c r="AA1538">
        <f>IF([2]Entry!$G$1541="","",[2]Entry!$G$1541)</f>
        <v/>
      </c>
      <c r="AB1538">
        <f>IF([2]Entry!$J$1541="","",[2]Entry!$J$1541)</f>
        <v/>
      </c>
      <c r="AC1538">
        <f>IF([2]Entry!$K$1541="","",[2]Entry!$K$1541)</f>
        <v/>
      </c>
      <c r="AD1538">
        <f>IF([2]Entry!$L$1541="","",[2]Entry!$L$1541)</f>
        <v/>
      </c>
      <c r="AE1538">
        <f>IF([2]Entry!$M$1541="","",[2]Entry!$M$1541)</f>
        <v/>
      </c>
      <c r="AF1538">
        <f>IF([2]Entry!$N$1541="","",[2]Entry!$N$1541)</f>
        <v/>
      </c>
      <c r="AJ1538">
        <f>IF([2]Entry!$S$1541="","",[2]Entry!$S$1541)</f>
        <v/>
      </c>
      <c r="AK1538">
        <f>IF([2]Entry!$C$1541="","",[2]Entry!$C$1541)</f>
        <v/>
      </c>
      <c r="AL1538">
        <f>IF([2]Entry!$D$1541="","",[2]Entry!$D$1541)</f>
        <v/>
      </c>
    </row>
    <row r="1539">
      <c r="Z1539">
        <f>IF([2]Entry!$E$1542="","",[2]Entry!$E$1542)</f>
        <v/>
      </c>
      <c r="AA1539">
        <f>IF([2]Entry!$G$1542="","",[2]Entry!$G$1542)</f>
        <v/>
      </c>
      <c r="AB1539">
        <f>IF([2]Entry!$J$1542="","",[2]Entry!$J$1542)</f>
        <v/>
      </c>
      <c r="AC1539">
        <f>IF([2]Entry!$K$1542="","",[2]Entry!$K$1542)</f>
        <v/>
      </c>
      <c r="AD1539">
        <f>IF([2]Entry!$L$1542="","",[2]Entry!$L$1542)</f>
        <v/>
      </c>
      <c r="AE1539">
        <f>IF([2]Entry!$M$1542="","",[2]Entry!$M$1542)</f>
        <v/>
      </c>
      <c r="AF1539">
        <f>IF([2]Entry!$N$1542="","",[2]Entry!$N$1542)</f>
        <v/>
      </c>
      <c r="AJ1539">
        <f>IF([2]Entry!$S$1542="","",[2]Entry!$S$1542)</f>
        <v/>
      </c>
      <c r="AK1539">
        <f>IF([2]Entry!$C$1542="","",[2]Entry!$C$1542)</f>
        <v/>
      </c>
      <c r="AL1539">
        <f>IF([2]Entry!$D$1542="","",[2]Entry!$D$1542)</f>
        <v/>
      </c>
    </row>
    <row r="1540">
      <c r="Z1540">
        <f>IF([2]Entry!$E$1543="","",[2]Entry!$E$1543)</f>
        <v/>
      </c>
      <c r="AA1540">
        <f>IF([2]Entry!$G$1543="","",[2]Entry!$G$1543)</f>
        <v/>
      </c>
      <c r="AB1540">
        <f>IF([2]Entry!$J$1543="","",[2]Entry!$J$1543)</f>
        <v/>
      </c>
      <c r="AC1540">
        <f>IF([2]Entry!$K$1543="","",[2]Entry!$K$1543)</f>
        <v/>
      </c>
      <c r="AD1540">
        <f>IF([2]Entry!$L$1543="","",[2]Entry!$L$1543)</f>
        <v/>
      </c>
      <c r="AE1540">
        <f>IF([2]Entry!$M$1543="","",[2]Entry!$M$1543)</f>
        <v/>
      </c>
      <c r="AF1540">
        <f>IF([2]Entry!$N$1543="","",[2]Entry!$N$1543)</f>
        <v/>
      </c>
      <c r="AJ1540">
        <f>IF([2]Entry!$S$1543="","",[2]Entry!$S$1543)</f>
        <v/>
      </c>
      <c r="AK1540">
        <f>IF([2]Entry!$C$1543="","",[2]Entry!$C$1543)</f>
        <v/>
      </c>
      <c r="AL1540">
        <f>IF([2]Entry!$D$1543="","",[2]Entry!$D$1543)</f>
        <v/>
      </c>
    </row>
    <row r="1541">
      <c r="Z1541">
        <f>IF([2]Entry!$E$1544="","",[2]Entry!$E$1544)</f>
        <v/>
      </c>
      <c r="AA1541">
        <f>IF([2]Entry!$G$1544="","",[2]Entry!$G$1544)</f>
        <v/>
      </c>
      <c r="AB1541">
        <f>IF([2]Entry!$J$1544="","",[2]Entry!$J$1544)</f>
        <v/>
      </c>
      <c r="AC1541">
        <f>IF([2]Entry!$K$1544="","",[2]Entry!$K$1544)</f>
        <v/>
      </c>
      <c r="AD1541">
        <f>IF([2]Entry!$L$1544="","",[2]Entry!$L$1544)</f>
        <v/>
      </c>
      <c r="AE1541">
        <f>IF([2]Entry!$M$1544="","",[2]Entry!$M$1544)</f>
        <v/>
      </c>
      <c r="AF1541">
        <f>IF([2]Entry!$N$1544="","",[2]Entry!$N$1544)</f>
        <v/>
      </c>
      <c r="AJ1541">
        <f>IF([2]Entry!$S$1544="","",[2]Entry!$S$1544)</f>
        <v/>
      </c>
      <c r="AK1541">
        <f>IF([2]Entry!$C$1544="","",[2]Entry!$C$1544)</f>
        <v/>
      </c>
      <c r="AL1541">
        <f>IF([2]Entry!$D$1544="","",[2]Entry!$D$1544)</f>
        <v/>
      </c>
    </row>
    <row r="1542">
      <c r="Z1542">
        <f>IF([2]Entry!$E$1545="","",[2]Entry!$E$1545)</f>
        <v/>
      </c>
      <c r="AA1542">
        <f>IF([2]Entry!$G$1545="","",[2]Entry!$G$1545)</f>
        <v/>
      </c>
      <c r="AB1542">
        <f>IF([2]Entry!$J$1545="","",[2]Entry!$J$1545)</f>
        <v/>
      </c>
      <c r="AC1542">
        <f>IF([2]Entry!$K$1545="","",[2]Entry!$K$1545)</f>
        <v/>
      </c>
      <c r="AD1542">
        <f>IF([2]Entry!$L$1545="","",[2]Entry!$L$1545)</f>
        <v/>
      </c>
      <c r="AE1542">
        <f>IF([2]Entry!$M$1545="","",[2]Entry!$M$1545)</f>
        <v/>
      </c>
      <c r="AF1542">
        <f>IF([2]Entry!$N$1545="","",[2]Entry!$N$1545)</f>
        <v/>
      </c>
      <c r="AJ1542">
        <f>IF([2]Entry!$S$1545="","",[2]Entry!$S$1545)</f>
        <v/>
      </c>
      <c r="AK1542">
        <f>IF([2]Entry!$C$1545="","",[2]Entry!$C$1545)</f>
        <v/>
      </c>
      <c r="AL1542">
        <f>IF([2]Entry!$D$1545="","",[2]Entry!$D$1545)</f>
        <v/>
      </c>
    </row>
    <row r="1543">
      <c r="Z1543">
        <f>IF([2]Entry!$E$1546="","",[2]Entry!$E$1546)</f>
        <v/>
      </c>
      <c r="AA1543">
        <f>IF([2]Entry!$G$1546="","",[2]Entry!$G$1546)</f>
        <v/>
      </c>
      <c r="AB1543">
        <f>IF([2]Entry!$J$1546="","",[2]Entry!$J$1546)</f>
        <v/>
      </c>
      <c r="AC1543">
        <f>IF([2]Entry!$K$1546="","",[2]Entry!$K$1546)</f>
        <v/>
      </c>
      <c r="AD1543">
        <f>IF([2]Entry!$L$1546="","",[2]Entry!$L$1546)</f>
        <v/>
      </c>
      <c r="AE1543">
        <f>IF([2]Entry!$M$1546="","",[2]Entry!$M$1546)</f>
        <v/>
      </c>
      <c r="AF1543">
        <f>IF([2]Entry!$N$1546="","",[2]Entry!$N$1546)</f>
        <v/>
      </c>
      <c r="AJ1543">
        <f>IF([2]Entry!$S$1546="","",[2]Entry!$S$1546)</f>
        <v/>
      </c>
      <c r="AK1543">
        <f>IF([2]Entry!$C$1546="","",[2]Entry!$C$1546)</f>
        <v/>
      </c>
      <c r="AL1543">
        <f>IF([2]Entry!$D$1546="","",[2]Entry!$D$1546)</f>
        <v/>
      </c>
    </row>
    <row r="1544">
      <c r="Z1544">
        <f>IF([2]Entry!$E$1547="","",[2]Entry!$E$1547)</f>
        <v/>
      </c>
      <c r="AA1544">
        <f>IF([2]Entry!$G$1547="","",[2]Entry!$G$1547)</f>
        <v/>
      </c>
      <c r="AB1544">
        <f>IF([2]Entry!$J$1547="","",[2]Entry!$J$1547)</f>
        <v/>
      </c>
      <c r="AC1544">
        <f>IF([2]Entry!$K$1547="","",[2]Entry!$K$1547)</f>
        <v/>
      </c>
      <c r="AD1544">
        <f>IF([2]Entry!$L$1547="","",[2]Entry!$L$1547)</f>
        <v/>
      </c>
      <c r="AE1544">
        <f>IF([2]Entry!$M$1547="","",[2]Entry!$M$1547)</f>
        <v/>
      </c>
      <c r="AF1544">
        <f>IF([2]Entry!$N$1547="","",[2]Entry!$N$1547)</f>
        <v/>
      </c>
      <c r="AJ1544">
        <f>IF([2]Entry!$S$1547="","",[2]Entry!$S$1547)</f>
        <v/>
      </c>
      <c r="AK1544">
        <f>IF([2]Entry!$C$1547="","",[2]Entry!$C$1547)</f>
        <v/>
      </c>
      <c r="AL1544">
        <f>IF([2]Entry!$D$1547="","",[2]Entry!$D$1547)</f>
        <v/>
      </c>
    </row>
    <row r="1545">
      <c r="Z1545">
        <f>IF([2]Entry!$E$1548="","",[2]Entry!$E$1548)</f>
        <v/>
      </c>
      <c r="AA1545">
        <f>IF([2]Entry!$G$1548="","",[2]Entry!$G$1548)</f>
        <v/>
      </c>
      <c r="AB1545">
        <f>IF([2]Entry!$J$1548="","",[2]Entry!$J$1548)</f>
        <v/>
      </c>
      <c r="AC1545">
        <f>IF([2]Entry!$K$1548="","",[2]Entry!$K$1548)</f>
        <v/>
      </c>
      <c r="AD1545">
        <f>IF([2]Entry!$L$1548="","",[2]Entry!$L$1548)</f>
        <v/>
      </c>
      <c r="AE1545">
        <f>IF([2]Entry!$M$1548="","",[2]Entry!$M$1548)</f>
        <v/>
      </c>
      <c r="AF1545">
        <f>IF([2]Entry!$N$1548="","",[2]Entry!$N$1548)</f>
        <v/>
      </c>
      <c r="AJ1545">
        <f>IF([2]Entry!$S$1548="","",[2]Entry!$S$1548)</f>
        <v/>
      </c>
      <c r="AK1545">
        <f>IF([2]Entry!$C$1548="","",[2]Entry!$C$1548)</f>
        <v/>
      </c>
      <c r="AL1545">
        <f>IF([2]Entry!$D$1548="","",[2]Entry!$D$1548)</f>
        <v/>
      </c>
    </row>
    <row r="1546">
      <c r="Z1546">
        <f>IF([2]Entry!$E$1549="","",[2]Entry!$E$1549)</f>
        <v/>
      </c>
      <c r="AA1546">
        <f>IF([2]Entry!$G$1549="","",[2]Entry!$G$1549)</f>
        <v/>
      </c>
      <c r="AB1546">
        <f>IF([2]Entry!$J$1549="","",[2]Entry!$J$1549)</f>
        <v/>
      </c>
      <c r="AC1546">
        <f>IF([2]Entry!$K$1549="","",[2]Entry!$K$1549)</f>
        <v/>
      </c>
      <c r="AD1546">
        <f>IF([2]Entry!$L$1549="","",[2]Entry!$L$1549)</f>
        <v/>
      </c>
      <c r="AE1546">
        <f>IF([2]Entry!$M$1549="","",[2]Entry!$M$1549)</f>
        <v/>
      </c>
      <c r="AF1546">
        <f>IF([2]Entry!$N$1549="","",[2]Entry!$N$1549)</f>
        <v/>
      </c>
      <c r="AJ1546">
        <f>IF([2]Entry!$S$1549="","",[2]Entry!$S$1549)</f>
        <v/>
      </c>
      <c r="AK1546">
        <f>IF([2]Entry!$C$1549="","",[2]Entry!$C$1549)</f>
        <v/>
      </c>
      <c r="AL1546">
        <f>IF([2]Entry!$D$1549="","",[2]Entry!$D$1549)</f>
        <v/>
      </c>
    </row>
    <row r="1547">
      <c r="Z1547">
        <f>IF([2]Entry!$E$1550="","",[2]Entry!$E$1550)</f>
        <v/>
      </c>
      <c r="AA1547">
        <f>IF([2]Entry!$G$1550="","",[2]Entry!$G$1550)</f>
        <v/>
      </c>
      <c r="AB1547">
        <f>IF([2]Entry!$J$1550="","",[2]Entry!$J$1550)</f>
        <v/>
      </c>
      <c r="AC1547">
        <f>IF([2]Entry!$K$1550="","",[2]Entry!$K$1550)</f>
        <v/>
      </c>
      <c r="AD1547">
        <f>IF([2]Entry!$L$1550="","",[2]Entry!$L$1550)</f>
        <v/>
      </c>
      <c r="AE1547">
        <f>IF([2]Entry!$M$1550="","",[2]Entry!$M$1550)</f>
        <v/>
      </c>
      <c r="AF1547">
        <f>IF([2]Entry!$N$1550="","",[2]Entry!$N$1550)</f>
        <v/>
      </c>
      <c r="AJ1547">
        <f>IF([2]Entry!$S$1550="","",[2]Entry!$S$1550)</f>
        <v/>
      </c>
      <c r="AK1547">
        <f>IF([2]Entry!$C$1550="","",[2]Entry!$C$1550)</f>
        <v/>
      </c>
      <c r="AL1547">
        <f>IF([2]Entry!$D$1550="","",[2]Entry!$D$1550)</f>
        <v/>
      </c>
    </row>
    <row r="1548">
      <c r="Z1548">
        <f>IF([2]Entry!$E$1551="","",[2]Entry!$E$1551)</f>
        <v/>
      </c>
      <c r="AA1548">
        <f>IF([2]Entry!$G$1551="","",[2]Entry!$G$1551)</f>
        <v/>
      </c>
      <c r="AB1548">
        <f>IF([2]Entry!$J$1551="","",[2]Entry!$J$1551)</f>
        <v/>
      </c>
      <c r="AC1548">
        <f>IF([2]Entry!$K$1551="","",[2]Entry!$K$1551)</f>
        <v/>
      </c>
      <c r="AD1548">
        <f>IF([2]Entry!$L$1551="","",[2]Entry!$L$1551)</f>
        <v/>
      </c>
      <c r="AE1548">
        <f>IF([2]Entry!$M$1551="","",[2]Entry!$M$1551)</f>
        <v/>
      </c>
      <c r="AF1548">
        <f>IF([2]Entry!$N$1551="","",[2]Entry!$N$1551)</f>
        <v/>
      </c>
      <c r="AJ1548">
        <f>IF([2]Entry!$S$1551="","",[2]Entry!$S$1551)</f>
        <v/>
      </c>
      <c r="AK1548">
        <f>IF([2]Entry!$C$1551="","",[2]Entry!$C$1551)</f>
        <v/>
      </c>
      <c r="AL1548">
        <f>IF([2]Entry!$D$1551="","",[2]Entry!$D$1551)</f>
        <v/>
      </c>
    </row>
    <row r="1549">
      <c r="Z1549">
        <f>IF([2]Entry!$E$1552="","",[2]Entry!$E$1552)</f>
        <v/>
      </c>
      <c r="AA1549">
        <f>IF([2]Entry!$G$1552="","",[2]Entry!$G$1552)</f>
        <v/>
      </c>
      <c r="AB1549">
        <f>IF([2]Entry!$J$1552="","",[2]Entry!$J$1552)</f>
        <v/>
      </c>
      <c r="AC1549">
        <f>IF([2]Entry!$K$1552="","",[2]Entry!$K$1552)</f>
        <v/>
      </c>
      <c r="AD1549">
        <f>IF([2]Entry!$L$1552="","",[2]Entry!$L$1552)</f>
        <v/>
      </c>
      <c r="AE1549">
        <f>IF([2]Entry!$M$1552="","",[2]Entry!$M$1552)</f>
        <v/>
      </c>
      <c r="AF1549">
        <f>IF([2]Entry!$N$1552="","",[2]Entry!$N$1552)</f>
        <v/>
      </c>
      <c r="AJ1549">
        <f>IF([2]Entry!$S$1552="","",[2]Entry!$S$1552)</f>
        <v/>
      </c>
      <c r="AK1549">
        <f>IF([2]Entry!$C$1552="","",[2]Entry!$C$1552)</f>
        <v/>
      </c>
      <c r="AL1549">
        <f>IF([2]Entry!$D$1552="","",[2]Entry!$D$1552)</f>
        <v/>
      </c>
    </row>
    <row r="1550">
      <c r="Z1550">
        <f>IF([2]Entry!$E$1553="","",[2]Entry!$E$1553)</f>
        <v/>
      </c>
      <c r="AA1550">
        <f>IF([2]Entry!$G$1553="","",[2]Entry!$G$1553)</f>
        <v/>
      </c>
      <c r="AB1550">
        <f>IF([2]Entry!$J$1553="","",[2]Entry!$J$1553)</f>
        <v/>
      </c>
      <c r="AC1550">
        <f>IF([2]Entry!$K$1553="","",[2]Entry!$K$1553)</f>
        <v/>
      </c>
      <c r="AD1550">
        <f>IF([2]Entry!$L$1553="","",[2]Entry!$L$1553)</f>
        <v/>
      </c>
      <c r="AE1550">
        <f>IF([2]Entry!$M$1553="","",[2]Entry!$M$1553)</f>
        <v/>
      </c>
      <c r="AF1550">
        <f>IF([2]Entry!$N$1553="","",[2]Entry!$N$1553)</f>
        <v/>
      </c>
      <c r="AJ1550">
        <f>IF([2]Entry!$S$1553="","",[2]Entry!$S$1553)</f>
        <v/>
      </c>
      <c r="AK1550">
        <f>IF([2]Entry!$C$1553="","",[2]Entry!$C$1553)</f>
        <v/>
      </c>
      <c r="AL1550">
        <f>IF([2]Entry!$D$1553="","",[2]Entry!$D$1553)</f>
        <v/>
      </c>
    </row>
    <row r="1551">
      <c r="Z1551">
        <f>IF([2]Entry!$E$1554="","",[2]Entry!$E$1554)</f>
        <v/>
      </c>
      <c r="AA1551">
        <f>IF([2]Entry!$G$1554="","",[2]Entry!$G$1554)</f>
        <v/>
      </c>
      <c r="AB1551">
        <f>IF([2]Entry!$J$1554="","",[2]Entry!$J$1554)</f>
        <v/>
      </c>
      <c r="AC1551">
        <f>IF([2]Entry!$K$1554="","",[2]Entry!$K$1554)</f>
        <v/>
      </c>
      <c r="AD1551">
        <f>IF([2]Entry!$L$1554="","",[2]Entry!$L$1554)</f>
        <v/>
      </c>
      <c r="AE1551">
        <f>IF([2]Entry!$M$1554="","",[2]Entry!$M$1554)</f>
        <v/>
      </c>
      <c r="AF1551">
        <f>IF([2]Entry!$N$1554="","",[2]Entry!$N$1554)</f>
        <v/>
      </c>
      <c r="AJ1551">
        <f>IF([2]Entry!$S$1554="","",[2]Entry!$S$1554)</f>
        <v/>
      </c>
      <c r="AK1551">
        <f>IF([2]Entry!$C$1554="","",[2]Entry!$C$1554)</f>
        <v/>
      </c>
      <c r="AL1551">
        <f>IF([2]Entry!$D$1554="","",[2]Entry!$D$1554)</f>
        <v/>
      </c>
    </row>
    <row r="1552">
      <c r="Z1552">
        <f>IF([2]Entry!$E$1555="","",[2]Entry!$E$1555)</f>
        <v/>
      </c>
      <c r="AA1552">
        <f>IF([2]Entry!$G$1555="","",[2]Entry!$G$1555)</f>
        <v/>
      </c>
      <c r="AB1552">
        <f>IF([2]Entry!$J$1555="","",[2]Entry!$J$1555)</f>
        <v/>
      </c>
      <c r="AC1552">
        <f>IF([2]Entry!$K$1555="","",[2]Entry!$K$1555)</f>
        <v/>
      </c>
      <c r="AD1552">
        <f>IF([2]Entry!$L$1555="","",[2]Entry!$L$1555)</f>
        <v/>
      </c>
      <c r="AE1552">
        <f>IF([2]Entry!$M$1555="","",[2]Entry!$M$1555)</f>
        <v/>
      </c>
      <c r="AF1552">
        <f>IF([2]Entry!$N$1555="","",[2]Entry!$N$1555)</f>
        <v/>
      </c>
      <c r="AJ1552">
        <f>IF([2]Entry!$S$1555="","",[2]Entry!$S$1555)</f>
        <v/>
      </c>
      <c r="AK1552">
        <f>IF([2]Entry!$C$1555="","",[2]Entry!$C$1555)</f>
        <v/>
      </c>
      <c r="AL1552">
        <f>IF([2]Entry!$D$1555="","",[2]Entry!$D$1555)</f>
        <v/>
      </c>
    </row>
    <row r="1553">
      <c r="Z1553">
        <f>IF([2]Entry!$E$1556="","",[2]Entry!$E$1556)</f>
        <v/>
      </c>
      <c r="AA1553">
        <f>IF([2]Entry!$G$1556="","",[2]Entry!$G$1556)</f>
        <v/>
      </c>
      <c r="AB1553">
        <f>IF([2]Entry!$J$1556="","",[2]Entry!$J$1556)</f>
        <v/>
      </c>
      <c r="AC1553">
        <f>IF([2]Entry!$K$1556="","",[2]Entry!$K$1556)</f>
        <v/>
      </c>
      <c r="AD1553">
        <f>IF([2]Entry!$L$1556="","",[2]Entry!$L$1556)</f>
        <v/>
      </c>
      <c r="AE1553">
        <f>IF([2]Entry!$M$1556="","",[2]Entry!$M$1556)</f>
        <v/>
      </c>
      <c r="AF1553">
        <f>IF([2]Entry!$N$1556="","",[2]Entry!$N$1556)</f>
        <v/>
      </c>
      <c r="AJ1553">
        <f>IF([2]Entry!$S$1556="","",[2]Entry!$S$1556)</f>
        <v/>
      </c>
      <c r="AK1553">
        <f>IF([2]Entry!$C$1556="","",[2]Entry!$C$1556)</f>
        <v/>
      </c>
      <c r="AL1553">
        <f>IF([2]Entry!$D$1556="","",[2]Entry!$D$1556)</f>
        <v/>
      </c>
    </row>
    <row r="1554">
      <c r="Z1554">
        <f>IF([2]Entry!$E$1557="","",[2]Entry!$E$1557)</f>
        <v/>
      </c>
      <c r="AA1554">
        <f>IF([2]Entry!$G$1557="","",[2]Entry!$G$1557)</f>
        <v/>
      </c>
      <c r="AB1554">
        <f>IF([2]Entry!$J$1557="","",[2]Entry!$J$1557)</f>
        <v/>
      </c>
      <c r="AC1554">
        <f>IF([2]Entry!$K$1557="","",[2]Entry!$K$1557)</f>
        <v/>
      </c>
      <c r="AD1554">
        <f>IF([2]Entry!$L$1557="","",[2]Entry!$L$1557)</f>
        <v/>
      </c>
      <c r="AE1554">
        <f>IF([2]Entry!$M$1557="","",[2]Entry!$M$1557)</f>
        <v/>
      </c>
      <c r="AF1554">
        <f>IF([2]Entry!$N$1557="","",[2]Entry!$N$1557)</f>
        <v/>
      </c>
      <c r="AJ1554">
        <f>IF([2]Entry!$S$1557="","",[2]Entry!$S$1557)</f>
        <v/>
      </c>
      <c r="AK1554">
        <f>IF([2]Entry!$C$1557="","",[2]Entry!$C$1557)</f>
        <v/>
      </c>
      <c r="AL1554">
        <f>IF([2]Entry!$D$1557="","",[2]Entry!$D$1557)</f>
        <v/>
      </c>
    </row>
    <row r="1555">
      <c r="Z1555">
        <f>IF([2]Entry!$E$1558="","",[2]Entry!$E$1558)</f>
        <v/>
      </c>
      <c r="AA1555">
        <f>IF([2]Entry!$G$1558="","",[2]Entry!$G$1558)</f>
        <v/>
      </c>
      <c r="AB1555">
        <f>IF([2]Entry!$J$1558="","",[2]Entry!$J$1558)</f>
        <v/>
      </c>
      <c r="AC1555">
        <f>IF([2]Entry!$K$1558="","",[2]Entry!$K$1558)</f>
        <v/>
      </c>
      <c r="AD1555">
        <f>IF([2]Entry!$L$1558="","",[2]Entry!$L$1558)</f>
        <v/>
      </c>
      <c r="AE1555">
        <f>IF([2]Entry!$M$1558="","",[2]Entry!$M$1558)</f>
        <v/>
      </c>
      <c r="AF1555">
        <f>IF([2]Entry!$N$1558="","",[2]Entry!$N$1558)</f>
        <v/>
      </c>
      <c r="AJ1555">
        <f>IF([2]Entry!$S$1558="","",[2]Entry!$S$1558)</f>
        <v/>
      </c>
      <c r="AK1555">
        <f>IF([2]Entry!$C$1558="","",[2]Entry!$C$1558)</f>
        <v/>
      </c>
      <c r="AL1555">
        <f>IF([2]Entry!$D$1558="","",[2]Entry!$D$1558)</f>
        <v/>
      </c>
    </row>
    <row r="1556">
      <c r="Z1556">
        <f>IF([2]Entry!$E$1559="","",[2]Entry!$E$1559)</f>
        <v/>
      </c>
      <c r="AA1556">
        <f>IF([2]Entry!$G$1559="","",[2]Entry!$G$1559)</f>
        <v/>
      </c>
      <c r="AB1556">
        <f>IF([2]Entry!$J$1559="","",[2]Entry!$J$1559)</f>
        <v/>
      </c>
      <c r="AC1556">
        <f>IF([2]Entry!$K$1559="","",[2]Entry!$K$1559)</f>
        <v/>
      </c>
      <c r="AD1556">
        <f>IF([2]Entry!$L$1559="","",[2]Entry!$L$1559)</f>
        <v/>
      </c>
      <c r="AE1556">
        <f>IF([2]Entry!$M$1559="","",[2]Entry!$M$1559)</f>
        <v/>
      </c>
      <c r="AF1556">
        <f>IF([2]Entry!$N$1559="","",[2]Entry!$N$1559)</f>
        <v/>
      </c>
      <c r="AJ1556">
        <f>IF([2]Entry!$S$1559="","",[2]Entry!$S$1559)</f>
        <v/>
      </c>
      <c r="AK1556">
        <f>IF([2]Entry!$C$1559="","",[2]Entry!$C$1559)</f>
        <v/>
      </c>
      <c r="AL1556">
        <f>IF([2]Entry!$D$1559="","",[2]Entry!$D$1559)</f>
        <v/>
      </c>
    </row>
    <row r="1557">
      <c r="Z1557">
        <f>IF([2]Entry!$E$1560="","",[2]Entry!$E$1560)</f>
        <v/>
      </c>
      <c r="AA1557">
        <f>IF([2]Entry!$G$1560="","",[2]Entry!$G$1560)</f>
        <v/>
      </c>
      <c r="AB1557">
        <f>IF([2]Entry!$J$1560="","",[2]Entry!$J$1560)</f>
        <v/>
      </c>
      <c r="AC1557">
        <f>IF([2]Entry!$K$1560="","",[2]Entry!$K$1560)</f>
        <v/>
      </c>
      <c r="AD1557">
        <f>IF([2]Entry!$L$1560="","",[2]Entry!$L$1560)</f>
        <v/>
      </c>
      <c r="AE1557">
        <f>IF([2]Entry!$M$1560="","",[2]Entry!$M$1560)</f>
        <v/>
      </c>
      <c r="AF1557">
        <f>IF([2]Entry!$N$1560="","",[2]Entry!$N$1560)</f>
        <v/>
      </c>
      <c r="AJ1557">
        <f>IF([2]Entry!$S$1560="","",[2]Entry!$S$1560)</f>
        <v/>
      </c>
      <c r="AK1557">
        <f>IF([2]Entry!$C$1560="","",[2]Entry!$C$1560)</f>
        <v/>
      </c>
      <c r="AL1557">
        <f>IF([2]Entry!$D$1560="","",[2]Entry!$D$1560)</f>
        <v/>
      </c>
    </row>
    <row r="1558">
      <c r="Z1558">
        <f>IF([2]Entry!$E$1561="","",[2]Entry!$E$1561)</f>
        <v/>
      </c>
      <c r="AA1558">
        <f>IF([2]Entry!$G$1561="","",[2]Entry!$G$1561)</f>
        <v/>
      </c>
      <c r="AB1558">
        <f>IF([2]Entry!$J$1561="","",[2]Entry!$J$1561)</f>
        <v/>
      </c>
      <c r="AC1558">
        <f>IF([2]Entry!$K$1561="","",[2]Entry!$K$1561)</f>
        <v/>
      </c>
      <c r="AD1558">
        <f>IF([2]Entry!$L$1561="","",[2]Entry!$L$1561)</f>
        <v/>
      </c>
      <c r="AE1558">
        <f>IF([2]Entry!$M$1561="","",[2]Entry!$M$1561)</f>
        <v/>
      </c>
      <c r="AF1558">
        <f>IF([2]Entry!$N$1561="","",[2]Entry!$N$1561)</f>
        <v/>
      </c>
      <c r="AJ1558">
        <f>IF([2]Entry!$S$1561="","",[2]Entry!$S$1561)</f>
        <v/>
      </c>
      <c r="AK1558">
        <f>IF([2]Entry!$C$1561="","",[2]Entry!$C$1561)</f>
        <v/>
      </c>
      <c r="AL1558">
        <f>IF([2]Entry!$D$1561="","",[2]Entry!$D$1561)</f>
        <v/>
      </c>
    </row>
    <row r="1559">
      <c r="Z1559">
        <f>IF([2]Entry!$E$1562="","",[2]Entry!$E$1562)</f>
        <v/>
      </c>
      <c r="AA1559">
        <f>IF([2]Entry!$G$1562="","",[2]Entry!$G$1562)</f>
        <v/>
      </c>
      <c r="AB1559">
        <f>IF([2]Entry!$J$1562="","",[2]Entry!$J$1562)</f>
        <v/>
      </c>
      <c r="AC1559">
        <f>IF([2]Entry!$K$1562="","",[2]Entry!$K$1562)</f>
        <v/>
      </c>
      <c r="AD1559">
        <f>IF([2]Entry!$L$1562="","",[2]Entry!$L$1562)</f>
        <v/>
      </c>
      <c r="AE1559">
        <f>IF([2]Entry!$M$1562="","",[2]Entry!$M$1562)</f>
        <v/>
      </c>
      <c r="AF1559">
        <f>IF([2]Entry!$N$1562="","",[2]Entry!$N$1562)</f>
        <v/>
      </c>
      <c r="AJ1559">
        <f>IF([2]Entry!$S$1562="","",[2]Entry!$S$1562)</f>
        <v/>
      </c>
      <c r="AK1559">
        <f>IF([2]Entry!$C$1562="","",[2]Entry!$C$1562)</f>
        <v/>
      </c>
      <c r="AL1559">
        <f>IF([2]Entry!$D$1562="","",[2]Entry!$D$1562)</f>
        <v/>
      </c>
    </row>
    <row r="1560">
      <c r="Z1560">
        <f>IF([2]Entry!$E$1563="","",[2]Entry!$E$1563)</f>
        <v/>
      </c>
      <c r="AA1560">
        <f>IF([2]Entry!$G$1563="","",[2]Entry!$G$1563)</f>
        <v/>
      </c>
      <c r="AB1560">
        <f>IF([2]Entry!$J$1563="","",[2]Entry!$J$1563)</f>
        <v/>
      </c>
      <c r="AC1560">
        <f>IF([2]Entry!$K$1563="","",[2]Entry!$K$1563)</f>
        <v/>
      </c>
      <c r="AD1560">
        <f>IF([2]Entry!$L$1563="","",[2]Entry!$L$1563)</f>
        <v/>
      </c>
      <c r="AE1560">
        <f>IF([2]Entry!$M$1563="","",[2]Entry!$M$1563)</f>
        <v/>
      </c>
      <c r="AF1560">
        <f>IF([2]Entry!$N$1563="","",[2]Entry!$N$1563)</f>
        <v/>
      </c>
      <c r="AJ1560">
        <f>IF([2]Entry!$S$1563="","",[2]Entry!$S$1563)</f>
        <v/>
      </c>
      <c r="AK1560">
        <f>IF([2]Entry!$C$1563="","",[2]Entry!$C$1563)</f>
        <v/>
      </c>
      <c r="AL1560">
        <f>IF([2]Entry!$D$1563="","",[2]Entry!$D$1563)</f>
        <v/>
      </c>
    </row>
    <row r="1561">
      <c r="Z1561">
        <f>IF([2]Entry!$E$1564="","",[2]Entry!$E$1564)</f>
        <v/>
      </c>
      <c r="AA1561">
        <f>IF([2]Entry!$G$1564="","",[2]Entry!$G$1564)</f>
        <v/>
      </c>
      <c r="AB1561">
        <f>IF([2]Entry!$J$1564="","",[2]Entry!$J$1564)</f>
        <v/>
      </c>
      <c r="AC1561">
        <f>IF([2]Entry!$K$1564="","",[2]Entry!$K$1564)</f>
        <v/>
      </c>
      <c r="AD1561">
        <f>IF([2]Entry!$L$1564="","",[2]Entry!$L$1564)</f>
        <v/>
      </c>
      <c r="AE1561">
        <f>IF([2]Entry!$M$1564="","",[2]Entry!$M$1564)</f>
        <v/>
      </c>
      <c r="AF1561">
        <f>IF([2]Entry!$N$1564="","",[2]Entry!$N$1564)</f>
        <v/>
      </c>
      <c r="AJ1561">
        <f>IF([2]Entry!$S$1564="","",[2]Entry!$S$1564)</f>
        <v/>
      </c>
      <c r="AK1561">
        <f>IF([2]Entry!$C$1564="","",[2]Entry!$C$1564)</f>
        <v/>
      </c>
      <c r="AL1561">
        <f>IF([2]Entry!$D$1564="","",[2]Entry!$D$1564)</f>
        <v/>
      </c>
    </row>
    <row r="1562">
      <c r="Z1562">
        <f>IF([2]Entry!$E$1565="","",[2]Entry!$E$1565)</f>
        <v/>
      </c>
      <c r="AA1562">
        <f>IF([2]Entry!$G$1565="","",[2]Entry!$G$1565)</f>
        <v/>
      </c>
      <c r="AB1562">
        <f>IF([2]Entry!$J$1565="","",[2]Entry!$J$1565)</f>
        <v/>
      </c>
      <c r="AC1562">
        <f>IF([2]Entry!$K$1565="","",[2]Entry!$K$1565)</f>
        <v/>
      </c>
      <c r="AD1562">
        <f>IF([2]Entry!$L$1565="","",[2]Entry!$L$1565)</f>
        <v/>
      </c>
      <c r="AE1562">
        <f>IF([2]Entry!$M$1565="","",[2]Entry!$M$1565)</f>
        <v/>
      </c>
      <c r="AF1562">
        <f>IF([2]Entry!$N$1565="","",[2]Entry!$N$1565)</f>
        <v/>
      </c>
      <c r="AJ1562">
        <f>IF([2]Entry!$S$1565="","",[2]Entry!$S$1565)</f>
        <v/>
      </c>
      <c r="AK1562">
        <f>IF([2]Entry!$C$1565="","",[2]Entry!$C$1565)</f>
        <v/>
      </c>
      <c r="AL1562">
        <f>IF([2]Entry!$D$1565="","",[2]Entry!$D$1565)</f>
        <v/>
      </c>
    </row>
    <row r="1563">
      <c r="Z1563">
        <f>IF([2]Entry!$E$1566="","",[2]Entry!$E$1566)</f>
        <v/>
      </c>
      <c r="AA1563">
        <f>IF([2]Entry!$G$1566="","",[2]Entry!$G$1566)</f>
        <v/>
      </c>
      <c r="AB1563">
        <f>IF([2]Entry!$J$1566="","",[2]Entry!$J$1566)</f>
        <v/>
      </c>
      <c r="AC1563">
        <f>IF([2]Entry!$K$1566="","",[2]Entry!$K$1566)</f>
        <v/>
      </c>
      <c r="AD1563">
        <f>IF([2]Entry!$L$1566="","",[2]Entry!$L$1566)</f>
        <v/>
      </c>
      <c r="AE1563">
        <f>IF([2]Entry!$M$1566="","",[2]Entry!$M$1566)</f>
        <v/>
      </c>
      <c r="AF1563">
        <f>IF([2]Entry!$N$1566="","",[2]Entry!$N$1566)</f>
        <v/>
      </c>
      <c r="AJ1563">
        <f>IF([2]Entry!$S$1566="","",[2]Entry!$S$1566)</f>
        <v/>
      </c>
      <c r="AK1563">
        <f>IF([2]Entry!$C$1566="","",[2]Entry!$C$1566)</f>
        <v/>
      </c>
      <c r="AL1563">
        <f>IF([2]Entry!$D$1566="","",[2]Entry!$D$1566)</f>
        <v/>
      </c>
    </row>
    <row r="1564">
      <c r="Z1564">
        <f>IF([2]Entry!$E$1567="","",[2]Entry!$E$1567)</f>
        <v/>
      </c>
      <c r="AA1564">
        <f>IF([2]Entry!$G$1567="","",[2]Entry!$G$1567)</f>
        <v/>
      </c>
      <c r="AB1564">
        <f>IF([2]Entry!$J$1567="","",[2]Entry!$J$1567)</f>
        <v/>
      </c>
      <c r="AC1564">
        <f>IF([2]Entry!$K$1567="","",[2]Entry!$K$1567)</f>
        <v/>
      </c>
      <c r="AD1564">
        <f>IF([2]Entry!$L$1567="","",[2]Entry!$L$1567)</f>
        <v/>
      </c>
      <c r="AE1564">
        <f>IF([2]Entry!$M$1567="","",[2]Entry!$M$1567)</f>
        <v/>
      </c>
      <c r="AF1564">
        <f>IF([2]Entry!$N$1567="","",[2]Entry!$N$1567)</f>
        <v/>
      </c>
      <c r="AJ1564">
        <f>IF([2]Entry!$S$1567="","",[2]Entry!$S$1567)</f>
        <v/>
      </c>
      <c r="AK1564">
        <f>IF([2]Entry!$C$1567="","",[2]Entry!$C$1567)</f>
        <v/>
      </c>
      <c r="AL1564">
        <f>IF([2]Entry!$D$1567="","",[2]Entry!$D$1567)</f>
        <v/>
      </c>
    </row>
    <row r="1565">
      <c r="Z1565">
        <f>IF([2]Entry!$E$1568="","",[2]Entry!$E$1568)</f>
        <v/>
      </c>
      <c r="AA1565">
        <f>IF([2]Entry!$G$1568="","",[2]Entry!$G$1568)</f>
        <v/>
      </c>
      <c r="AB1565">
        <f>IF([2]Entry!$J$1568="","",[2]Entry!$J$1568)</f>
        <v/>
      </c>
      <c r="AC1565">
        <f>IF([2]Entry!$K$1568="","",[2]Entry!$K$1568)</f>
        <v/>
      </c>
      <c r="AD1565">
        <f>IF([2]Entry!$L$1568="","",[2]Entry!$L$1568)</f>
        <v/>
      </c>
      <c r="AE1565">
        <f>IF([2]Entry!$M$1568="","",[2]Entry!$M$1568)</f>
        <v/>
      </c>
      <c r="AF1565">
        <f>IF([2]Entry!$N$1568="","",[2]Entry!$N$1568)</f>
        <v/>
      </c>
      <c r="AJ1565">
        <f>IF([2]Entry!$S$1568="","",[2]Entry!$S$1568)</f>
        <v/>
      </c>
      <c r="AK1565">
        <f>IF([2]Entry!$C$1568="","",[2]Entry!$C$1568)</f>
        <v/>
      </c>
      <c r="AL1565">
        <f>IF([2]Entry!$D$1568="","",[2]Entry!$D$1568)</f>
        <v/>
      </c>
    </row>
    <row r="1566">
      <c r="Z1566">
        <f>IF([2]Entry!$E$1569="","",[2]Entry!$E$1569)</f>
        <v/>
      </c>
      <c r="AA1566">
        <f>IF([2]Entry!$G$1569="","",[2]Entry!$G$1569)</f>
        <v/>
      </c>
      <c r="AB1566">
        <f>IF([2]Entry!$J$1569="","",[2]Entry!$J$1569)</f>
        <v/>
      </c>
      <c r="AC1566">
        <f>IF([2]Entry!$K$1569="","",[2]Entry!$K$1569)</f>
        <v/>
      </c>
      <c r="AD1566">
        <f>IF([2]Entry!$L$1569="","",[2]Entry!$L$1569)</f>
        <v/>
      </c>
      <c r="AE1566">
        <f>IF([2]Entry!$M$1569="","",[2]Entry!$M$1569)</f>
        <v/>
      </c>
      <c r="AF1566">
        <f>IF([2]Entry!$N$1569="","",[2]Entry!$N$1569)</f>
        <v/>
      </c>
      <c r="AJ1566">
        <f>IF([2]Entry!$S$1569="","",[2]Entry!$S$1569)</f>
        <v/>
      </c>
      <c r="AK1566">
        <f>IF([2]Entry!$C$1569="","",[2]Entry!$C$1569)</f>
        <v/>
      </c>
      <c r="AL1566">
        <f>IF([2]Entry!$D$1569="","",[2]Entry!$D$1569)</f>
        <v/>
      </c>
    </row>
    <row r="1567">
      <c r="Z1567">
        <f>IF([2]Entry!$E$1570="","",[2]Entry!$E$1570)</f>
        <v/>
      </c>
      <c r="AA1567">
        <f>IF([2]Entry!$G$1570="","",[2]Entry!$G$1570)</f>
        <v/>
      </c>
      <c r="AB1567">
        <f>IF([2]Entry!$J$1570="","",[2]Entry!$J$1570)</f>
        <v/>
      </c>
      <c r="AC1567">
        <f>IF([2]Entry!$K$1570="","",[2]Entry!$K$1570)</f>
        <v/>
      </c>
      <c r="AD1567">
        <f>IF([2]Entry!$L$1570="","",[2]Entry!$L$1570)</f>
        <v/>
      </c>
      <c r="AE1567">
        <f>IF([2]Entry!$M$1570="","",[2]Entry!$M$1570)</f>
        <v/>
      </c>
      <c r="AF1567">
        <f>IF([2]Entry!$N$1570="","",[2]Entry!$N$1570)</f>
        <v/>
      </c>
      <c r="AJ1567">
        <f>IF([2]Entry!$S$1570="","",[2]Entry!$S$1570)</f>
        <v/>
      </c>
      <c r="AK1567">
        <f>IF([2]Entry!$C$1570="","",[2]Entry!$C$1570)</f>
        <v/>
      </c>
      <c r="AL1567">
        <f>IF([2]Entry!$D$1570="","",[2]Entry!$D$1570)</f>
        <v/>
      </c>
    </row>
    <row r="1568">
      <c r="Z1568">
        <f>IF([2]Entry!$E$1571="","",[2]Entry!$E$1571)</f>
        <v/>
      </c>
      <c r="AA1568">
        <f>IF([2]Entry!$G$1571="","",[2]Entry!$G$1571)</f>
        <v/>
      </c>
      <c r="AB1568">
        <f>IF([2]Entry!$J$1571="","",[2]Entry!$J$1571)</f>
        <v/>
      </c>
      <c r="AC1568">
        <f>IF([2]Entry!$K$1571="","",[2]Entry!$K$1571)</f>
        <v/>
      </c>
      <c r="AD1568">
        <f>IF([2]Entry!$L$1571="","",[2]Entry!$L$1571)</f>
        <v/>
      </c>
      <c r="AE1568">
        <f>IF([2]Entry!$M$1571="","",[2]Entry!$M$1571)</f>
        <v/>
      </c>
      <c r="AF1568">
        <f>IF([2]Entry!$N$1571="","",[2]Entry!$N$1571)</f>
        <v/>
      </c>
      <c r="AJ1568">
        <f>IF([2]Entry!$S$1571="","",[2]Entry!$S$1571)</f>
        <v/>
      </c>
      <c r="AK1568">
        <f>IF([2]Entry!$C$1571="","",[2]Entry!$C$1571)</f>
        <v/>
      </c>
      <c r="AL1568">
        <f>IF([2]Entry!$D$1571="","",[2]Entry!$D$1571)</f>
        <v/>
      </c>
    </row>
    <row r="1569">
      <c r="Z1569">
        <f>IF([2]Entry!$E$1572="","",[2]Entry!$E$1572)</f>
        <v/>
      </c>
      <c r="AA1569">
        <f>IF([2]Entry!$G$1572="","",[2]Entry!$G$1572)</f>
        <v/>
      </c>
      <c r="AB1569">
        <f>IF([2]Entry!$J$1572="","",[2]Entry!$J$1572)</f>
        <v/>
      </c>
      <c r="AC1569">
        <f>IF([2]Entry!$K$1572="","",[2]Entry!$K$1572)</f>
        <v/>
      </c>
      <c r="AD1569">
        <f>IF([2]Entry!$L$1572="","",[2]Entry!$L$1572)</f>
        <v/>
      </c>
      <c r="AE1569">
        <f>IF([2]Entry!$M$1572="","",[2]Entry!$M$1572)</f>
        <v/>
      </c>
      <c r="AF1569">
        <f>IF([2]Entry!$N$1572="","",[2]Entry!$N$1572)</f>
        <v/>
      </c>
      <c r="AJ1569">
        <f>IF([2]Entry!$S$1572="","",[2]Entry!$S$1572)</f>
        <v/>
      </c>
      <c r="AK1569">
        <f>IF([2]Entry!$C$1572="","",[2]Entry!$C$1572)</f>
        <v/>
      </c>
      <c r="AL1569">
        <f>IF([2]Entry!$D$1572="","",[2]Entry!$D$1572)</f>
        <v/>
      </c>
    </row>
    <row r="1570">
      <c r="Z1570">
        <f>IF([2]Entry!$E$1573="","",[2]Entry!$E$1573)</f>
        <v/>
      </c>
      <c r="AA1570">
        <f>IF([2]Entry!$G$1573="","",[2]Entry!$G$1573)</f>
        <v/>
      </c>
      <c r="AB1570">
        <f>IF([2]Entry!$J$1573="","",[2]Entry!$J$1573)</f>
        <v/>
      </c>
      <c r="AC1570">
        <f>IF([2]Entry!$K$1573="","",[2]Entry!$K$1573)</f>
        <v/>
      </c>
      <c r="AD1570">
        <f>IF([2]Entry!$L$1573="","",[2]Entry!$L$1573)</f>
        <v/>
      </c>
      <c r="AE1570">
        <f>IF([2]Entry!$M$1573="","",[2]Entry!$M$1573)</f>
        <v/>
      </c>
      <c r="AF1570">
        <f>IF([2]Entry!$N$1573="","",[2]Entry!$N$1573)</f>
        <v/>
      </c>
      <c r="AJ1570">
        <f>IF([2]Entry!$S$1573="","",[2]Entry!$S$1573)</f>
        <v/>
      </c>
      <c r="AK1570">
        <f>IF([2]Entry!$C$1573="","",[2]Entry!$C$1573)</f>
        <v/>
      </c>
      <c r="AL1570">
        <f>IF([2]Entry!$D$1573="","",[2]Entry!$D$1573)</f>
        <v/>
      </c>
    </row>
    <row r="1571">
      <c r="Z1571">
        <f>IF([2]Entry!$E$1574="","",[2]Entry!$E$1574)</f>
        <v/>
      </c>
      <c r="AA1571">
        <f>IF([2]Entry!$G$1574="","",[2]Entry!$G$1574)</f>
        <v/>
      </c>
      <c r="AB1571">
        <f>IF([2]Entry!$J$1574="","",[2]Entry!$J$1574)</f>
        <v/>
      </c>
      <c r="AC1571">
        <f>IF([2]Entry!$K$1574="","",[2]Entry!$K$1574)</f>
        <v/>
      </c>
      <c r="AD1571">
        <f>IF([2]Entry!$L$1574="","",[2]Entry!$L$1574)</f>
        <v/>
      </c>
      <c r="AE1571">
        <f>IF([2]Entry!$M$1574="","",[2]Entry!$M$1574)</f>
        <v/>
      </c>
      <c r="AF1571">
        <f>IF([2]Entry!$N$1574="","",[2]Entry!$N$1574)</f>
        <v/>
      </c>
      <c r="AJ1571">
        <f>IF([2]Entry!$S$1574="","",[2]Entry!$S$1574)</f>
        <v/>
      </c>
      <c r="AK1571">
        <f>IF([2]Entry!$C$1574="","",[2]Entry!$C$1574)</f>
        <v/>
      </c>
      <c r="AL1571">
        <f>IF([2]Entry!$D$1574="","",[2]Entry!$D$1574)</f>
        <v/>
      </c>
    </row>
    <row r="1572">
      <c r="Z1572">
        <f>IF([2]Entry!$E$1575="","",[2]Entry!$E$1575)</f>
        <v/>
      </c>
      <c r="AA1572">
        <f>IF([2]Entry!$G$1575="","",[2]Entry!$G$1575)</f>
        <v/>
      </c>
      <c r="AB1572">
        <f>IF([2]Entry!$J$1575="","",[2]Entry!$J$1575)</f>
        <v/>
      </c>
      <c r="AC1572">
        <f>IF([2]Entry!$K$1575="","",[2]Entry!$K$1575)</f>
        <v/>
      </c>
      <c r="AD1572">
        <f>IF([2]Entry!$L$1575="","",[2]Entry!$L$1575)</f>
        <v/>
      </c>
      <c r="AE1572">
        <f>IF([2]Entry!$M$1575="","",[2]Entry!$M$1575)</f>
        <v/>
      </c>
      <c r="AF1572">
        <f>IF([2]Entry!$N$1575="","",[2]Entry!$N$1575)</f>
        <v/>
      </c>
      <c r="AJ1572">
        <f>IF([2]Entry!$S$1575="","",[2]Entry!$S$1575)</f>
        <v/>
      </c>
      <c r="AK1572">
        <f>IF([2]Entry!$C$1575="","",[2]Entry!$C$1575)</f>
        <v/>
      </c>
      <c r="AL1572">
        <f>IF([2]Entry!$D$1575="","",[2]Entry!$D$1575)</f>
        <v/>
      </c>
    </row>
    <row r="1573">
      <c r="Z1573">
        <f>IF([2]Entry!$E$1576="","",[2]Entry!$E$1576)</f>
        <v/>
      </c>
      <c r="AA1573">
        <f>IF([2]Entry!$G$1576="","",[2]Entry!$G$1576)</f>
        <v/>
      </c>
      <c r="AB1573">
        <f>IF([2]Entry!$J$1576="","",[2]Entry!$J$1576)</f>
        <v/>
      </c>
      <c r="AC1573">
        <f>IF([2]Entry!$K$1576="","",[2]Entry!$K$1576)</f>
        <v/>
      </c>
      <c r="AD1573">
        <f>IF([2]Entry!$L$1576="","",[2]Entry!$L$1576)</f>
        <v/>
      </c>
      <c r="AE1573">
        <f>IF([2]Entry!$M$1576="","",[2]Entry!$M$1576)</f>
        <v/>
      </c>
      <c r="AF1573">
        <f>IF([2]Entry!$N$1576="","",[2]Entry!$N$1576)</f>
        <v/>
      </c>
      <c r="AJ1573">
        <f>IF([2]Entry!$S$1576="","",[2]Entry!$S$1576)</f>
        <v/>
      </c>
      <c r="AK1573">
        <f>IF([2]Entry!$C$1576="","",[2]Entry!$C$1576)</f>
        <v/>
      </c>
      <c r="AL1573">
        <f>IF([2]Entry!$D$1576="","",[2]Entry!$D$1576)</f>
        <v/>
      </c>
    </row>
    <row r="1574">
      <c r="Z1574">
        <f>IF([2]Entry!$E$1577="","",[2]Entry!$E$1577)</f>
        <v/>
      </c>
      <c r="AA1574">
        <f>IF([2]Entry!$G$1577="","",[2]Entry!$G$1577)</f>
        <v/>
      </c>
      <c r="AB1574">
        <f>IF([2]Entry!$J$1577="","",[2]Entry!$J$1577)</f>
        <v/>
      </c>
      <c r="AC1574">
        <f>IF([2]Entry!$K$1577="","",[2]Entry!$K$1577)</f>
        <v/>
      </c>
      <c r="AD1574">
        <f>IF([2]Entry!$L$1577="","",[2]Entry!$L$1577)</f>
        <v/>
      </c>
      <c r="AE1574">
        <f>IF([2]Entry!$M$1577="","",[2]Entry!$M$1577)</f>
        <v/>
      </c>
      <c r="AF1574">
        <f>IF([2]Entry!$N$1577="","",[2]Entry!$N$1577)</f>
        <v/>
      </c>
      <c r="AJ1574">
        <f>IF([2]Entry!$S$1577="","",[2]Entry!$S$1577)</f>
        <v/>
      </c>
      <c r="AK1574">
        <f>IF([2]Entry!$C$1577="","",[2]Entry!$C$1577)</f>
        <v/>
      </c>
      <c r="AL1574">
        <f>IF([2]Entry!$D$1577="","",[2]Entry!$D$1577)</f>
        <v/>
      </c>
    </row>
    <row r="1575">
      <c r="Z1575">
        <f>IF([2]Entry!$E$1578="","",[2]Entry!$E$1578)</f>
        <v/>
      </c>
      <c r="AA1575">
        <f>IF([2]Entry!$G$1578="","",[2]Entry!$G$1578)</f>
        <v/>
      </c>
      <c r="AB1575">
        <f>IF([2]Entry!$J$1578="","",[2]Entry!$J$1578)</f>
        <v/>
      </c>
      <c r="AC1575">
        <f>IF([2]Entry!$K$1578="","",[2]Entry!$K$1578)</f>
        <v/>
      </c>
      <c r="AD1575">
        <f>IF([2]Entry!$L$1578="","",[2]Entry!$L$1578)</f>
        <v/>
      </c>
      <c r="AE1575">
        <f>IF([2]Entry!$M$1578="","",[2]Entry!$M$1578)</f>
        <v/>
      </c>
      <c r="AF1575">
        <f>IF([2]Entry!$N$1578="","",[2]Entry!$N$1578)</f>
        <v/>
      </c>
      <c r="AJ1575">
        <f>IF([2]Entry!$S$1578="","",[2]Entry!$S$1578)</f>
        <v/>
      </c>
      <c r="AK1575">
        <f>IF([2]Entry!$C$1578="","",[2]Entry!$C$1578)</f>
        <v/>
      </c>
      <c r="AL1575">
        <f>IF([2]Entry!$D$1578="","",[2]Entry!$D$1578)</f>
        <v/>
      </c>
    </row>
    <row r="1576">
      <c r="Z1576">
        <f>IF([2]Entry!$E$1579="","",[2]Entry!$E$1579)</f>
        <v/>
      </c>
      <c r="AA1576">
        <f>IF([2]Entry!$G$1579="","",[2]Entry!$G$1579)</f>
        <v/>
      </c>
      <c r="AB1576">
        <f>IF([2]Entry!$J$1579="","",[2]Entry!$J$1579)</f>
        <v/>
      </c>
      <c r="AC1576">
        <f>IF([2]Entry!$K$1579="","",[2]Entry!$K$1579)</f>
        <v/>
      </c>
      <c r="AD1576">
        <f>IF([2]Entry!$L$1579="","",[2]Entry!$L$1579)</f>
        <v/>
      </c>
      <c r="AE1576">
        <f>IF([2]Entry!$M$1579="","",[2]Entry!$M$1579)</f>
        <v/>
      </c>
      <c r="AF1576">
        <f>IF([2]Entry!$N$1579="","",[2]Entry!$N$1579)</f>
        <v/>
      </c>
      <c r="AJ1576">
        <f>IF([2]Entry!$S$1579="","",[2]Entry!$S$1579)</f>
        <v/>
      </c>
      <c r="AK1576">
        <f>IF([2]Entry!$C$1579="","",[2]Entry!$C$1579)</f>
        <v/>
      </c>
      <c r="AL1576">
        <f>IF([2]Entry!$D$1579="","",[2]Entry!$D$1579)</f>
        <v/>
      </c>
    </row>
    <row r="1577">
      <c r="Z1577">
        <f>IF([2]Entry!$E$1580="","",[2]Entry!$E$1580)</f>
        <v/>
      </c>
      <c r="AA1577">
        <f>IF([2]Entry!$G$1580="","",[2]Entry!$G$1580)</f>
        <v/>
      </c>
      <c r="AB1577">
        <f>IF([2]Entry!$J$1580="","",[2]Entry!$J$1580)</f>
        <v/>
      </c>
      <c r="AC1577">
        <f>IF([2]Entry!$K$1580="","",[2]Entry!$K$1580)</f>
        <v/>
      </c>
      <c r="AD1577">
        <f>IF([2]Entry!$L$1580="","",[2]Entry!$L$1580)</f>
        <v/>
      </c>
      <c r="AE1577">
        <f>IF([2]Entry!$M$1580="","",[2]Entry!$M$1580)</f>
        <v/>
      </c>
      <c r="AF1577">
        <f>IF([2]Entry!$N$1580="","",[2]Entry!$N$1580)</f>
        <v/>
      </c>
      <c r="AJ1577">
        <f>IF([2]Entry!$S$1580="","",[2]Entry!$S$1580)</f>
        <v/>
      </c>
      <c r="AK1577">
        <f>IF([2]Entry!$C$1580="","",[2]Entry!$C$1580)</f>
        <v/>
      </c>
      <c r="AL1577">
        <f>IF([2]Entry!$D$1580="","",[2]Entry!$D$1580)</f>
        <v/>
      </c>
    </row>
    <row r="1578">
      <c r="Z1578">
        <f>IF([2]Entry!$E$1581="","",[2]Entry!$E$1581)</f>
        <v/>
      </c>
      <c r="AA1578">
        <f>IF([2]Entry!$G$1581="","",[2]Entry!$G$1581)</f>
        <v/>
      </c>
      <c r="AB1578">
        <f>IF([2]Entry!$J$1581="","",[2]Entry!$J$1581)</f>
        <v/>
      </c>
      <c r="AC1578">
        <f>IF([2]Entry!$K$1581="","",[2]Entry!$K$1581)</f>
        <v/>
      </c>
      <c r="AD1578">
        <f>IF([2]Entry!$L$1581="","",[2]Entry!$L$1581)</f>
        <v/>
      </c>
      <c r="AE1578">
        <f>IF([2]Entry!$M$1581="","",[2]Entry!$M$1581)</f>
        <v/>
      </c>
      <c r="AF1578">
        <f>IF([2]Entry!$N$1581="","",[2]Entry!$N$1581)</f>
        <v/>
      </c>
      <c r="AJ1578">
        <f>IF([2]Entry!$S$1581="","",[2]Entry!$S$1581)</f>
        <v/>
      </c>
      <c r="AK1578">
        <f>IF([2]Entry!$C$1581="","",[2]Entry!$C$1581)</f>
        <v/>
      </c>
      <c r="AL1578">
        <f>IF([2]Entry!$D$1581="","",[2]Entry!$D$1581)</f>
        <v/>
      </c>
    </row>
    <row r="1579">
      <c r="Z1579">
        <f>IF([2]Entry!$E$1582="","",[2]Entry!$E$1582)</f>
        <v/>
      </c>
      <c r="AA1579">
        <f>IF([2]Entry!$G$1582="","",[2]Entry!$G$1582)</f>
        <v/>
      </c>
      <c r="AB1579">
        <f>IF([2]Entry!$J$1582="","",[2]Entry!$J$1582)</f>
        <v/>
      </c>
      <c r="AC1579">
        <f>IF([2]Entry!$K$1582="","",[2]Entry!$K$1582)</f>
        <v/>
      </c>
      <c r="AD1579">
        <f>IF([2]Entry!$L$1582="","",[2]Entry!$L$1582)</f>
        <v/>
      </c>
      <c r="AE1579">
        <f>IF([2]Entry!$M$1582="","",[2]Entry!$M$1582)</f>
        <v/>
      </c>
      <c r="AF1579">
        <f>IF([2]Entry!$N$1582="","",[2]Entry!$N$1582)</f>
        <v/>
      </c>
      <c r="AJ1579">
        <f>IF([2]Entry!$S$1582="","",[2]Entry!$S$1582)</f>
        <v/>
      </c>
      <c r="AK1579">
        <f>IF([2]Entry!$C$1582="","",[2]Entry!$C$1582)</f>
        <v/>
      </c>
      <c r="AL1579">
        <f>IF([2]Entry!$D$1582="","",[2]Entry!$D$1582)</f>
        <v/>
      </c>
    </row>
    <row r="1580">
      <c r="Z1580">
        <f>IF([2]Entry!$E$1583="","",[2]Entry!$E$1583)</f>
        <v/>
      </c>
      <c r="AA1580">
        <f>IF([2]Entry!$G$1583="","",[2]Entry!$G$1583)</f>
        <v/>
      </c>
      <c r="AB1580">
        <f>IF([2]Entry!$J$1583="","",[2]Entry!$J$1583)</f>
        <v/>
      </c>
      <c r="AC1580">
        <f>IF([2]Entry!$K$1583="","",[2]Entry!$K$1583)</f>
        <v/>
      </c>
      <c r="AD1580">
        <f>IF([2]Entry!$L$1583="","",[2]Entry!$L$1583)</f>
        <v/>
      </c>
      <c r="AE1580">
        <f>IF([2]Entry!$M$1583="","",[2]Entry!$M$1583)</f>
        <v/>
      </c>
      <c r="AF1580">
        <f>IF([2]Entry!$N$1583="","",[2]Entry!$N$1583)</f>
        <v/>
      </c>
      <c r="AJ1580">
        <f>IF([2]Entry!$S$1583="","",[2]Entry!$S$1583)</f>
        <v/>
      </c>
      <c r="AK1580">
        <f>IF([2]Entry!$C$1583="","",[2]Entry!$C$1583)</f>
        <v/>
      </c>
      <c r="AL1580">
        <f>IF([2]Entry!$D$1583="","",[2]Entry!$D$1583)</f>
        <v/>
      </c>
    </row>
    <row r="1581">
      <c r="Z1581">
        <f>IF([2]Entry!$E$1584="","",[2]Entry!$E$1584)</f>
        <v/>
      </c>
      <c r="AA1581">
        <f>IF([2]Entry!$G$1584="","",[2]Entry!$G$1584)</f>
        <v/>
      </c>
      <c r="AB1581">
        <f>IF([2]Entry!$J$1584="","",[2]Entry!$J$1584)</f>
        <v/>
      </c>
      <c r="AC1581">
        <f>IF([2]Entry!$K$1584="","",[2]Entry!$K$1584)</f>
        <v/>
      </c>
      <c r="AD1581">
        <f>IF([2]Entry!$L$1584="","",[2]Entry!$L$1584)</f>
        <v/>
      </c>
      <c r="AE1581">
        <f>IF([2]Entry!$M$1584="","",[2]Entry!$M$1584)</f>
        <v/>
      </c>
      <c r="AF1581">
        <f>IF([2]Entry!$N$1584="","",[2]Entry!$N$1584)</f>
        <v/>
      </c>
      <c r="AJ1581">
        <f>IF([2]Entry!$S$1584="","",[2]Entry!$S$1584)</f>
        <v/>
      </c>
      <c r="AK1581">
        <f>IF([2]Entry!$C$1584="","",[2]Entry!$C$1584)</f>
        <v/>
      </c>
      <c r="AL1581">
        <f>IF([2]Entry!$D$1584="","",[2]Entry!$D$1584)</f>
        <v/>
      </c>
    </row>
    <row r="1582">
      <c r="Z1582">
        <f>IF([2]Entry!$E$1585="","",[2]Entry!$E$1585)</f>
        <v/>
      </c>
      <c r="AA1582">
        <f>IF([2]Entry!$G$1585="","",[2]Entry!$G$1585)</f>
        <v/>
      </c>
      <c r="AB1582">
        <f>IF([2]Entry!$J$1585="","",[2]Entry!$J$1585)</f>
        <v/>
      </c>
      <c r="AC1582">
        <f>IF([2]Entry!$K$1585="","",[2]Entry!$K$1585)</f>
        <v/>
      </c>
      <c r="AD1582">
        <f>IF([2]Entry!$L$1585="","",[2]Entry!$L$1585)</f>
        <v/>
      </c>
      <c r="AE1582">
        <f>IF([2]Entry!$M$1585="","",[2]Entry!$M$1585)</f>
        <v/>
      </c>
      <c r="AF1582">
        <f>IF([2]Entry!$N$1585="","",[2]Entry!$N$1585)</f>
        <v/>
      </c>
      <c r="AJ1582">
        <f>IF([2]Entry!$S$1585="","",[2]Entry!$S$1585)</f>
        <v/>
      </c>
      <c r="AK1582">
        <f>IF([2]Entry!$C$1585="","",[2]Entry!$C$1585)</f>
        <v/>
      </c>
      <c r="AL1582">
        <f>IF([2]Entry!$D$1585="","",[2]Entry!$D$1585)</f>
        <v/>
      </c>
    </row>
    <row r="1583">
      <c r="Z1583">
        <f>IF([2]Entry!$E$1586="","",[2]Entry!$E$1586)</f>
        <v/>
      </c>
      <c r="AA1583">
        <f>IF([2]Entry!$G$1586="","",[2]Entry!$G$1586)</f>
        <v/>
      </c>
      <c r="AB1583">
        <f>IF([2]Entry!$J$1586="","",[2]Entry!$J$1586)</f>
        <v/>
      </c>
      <c r="AC1583">
        <f>IF([2]Entry!$K$1586="","",[2]Entry!$K$1586)</f>
        <v/>
      </c>
      <c r="AD1583">
        <f>IF([2]Entry!$L$1586="","",[2]Entry!$L$1586)</f>
        <v/>
      </c>
      <c r="AE1583">
        <f>IF([2]Entry!$M$1586="","",[2]Entry!$M$1586)</f>
        <v/>
      </c>
      <c r="AF1583">
        <f>IF([2]Entry!$N$1586="","",[2]Entry!$N$1586)</f>
        <v/>
      </c>
      <c r="AJ1583">
        <f>IF([2]Entry!$S$1586="","",[2]Entry!$S$1586)</f>
        <v/>
      </c>
      <c r="AK1583">
        <f>IF([2]Entry!$C$1586="","",[2]Entry!$C$1586)</f>
        <v/>
      </c>
      <c r="AL1583">
        <f>IF([2]Entry!$D$1586="","",[2]Entry!$D$1586)</f>
        <v/>
      </c>
    </row>
    <row r="1584">
      <c r="Z1584">
        <f>IF([2]Entry!$E$1587="","",[2]Entry!$E$1587)</f>
        <v/>
      </c>
      <c r="AA1584">
        <f>IF([2]Entry!$G$1587="","",[2]Entry!$G$1587)</f>
        <v/>
      </c>
      <c r="AB1584">
        <f>IF([2]Entry!$J$1587="","",[2]Entry!$J$1587)</f>
        <v/>
      </c>
      <c r="AC1584">
        <f>IF([2]Entry!$K$1587="","",[2]Entry!$K$1587)</f>
        <v/>
      </c>
      <c r="AD1584">
        <f>IF([2]Entry!$L$1587="","",[2]Entry!$L$1587)</f>
        <v/>
      </c>
      <c r="AE1584">
        <f>IF([2]Entry!$M$1587="","",[2]Entry!$M$1587)</f>
        <v/>
      </c>
      <c r="AF1584">
        <f>IF([2]Entry!$N$1587="","",[2]Entry!$N$1587)</f>
        <v/>
      </c>
      <c r="AJ1584">
        <f>IF([2]Entry!$S$1587="","",[2]Entry!$S$1587)</f>
        <v/>
      </c>
      <c r="AK1584">
        <f>IF([2]Entry!$C$1587="","",[2]Entry!$C$1587)</f>
        <v/>
      </c>
      <c r="AL1584">
        <f>IF([2]Entry!$D$1587="","",[2]Entry!$D$1587)</f>
        <v/>
      </c>
    </row>
    <row r="1585">
      <c r="Z1585">
        <f>IF([2]Entry!$E$1588="","",[2]Entry!$E$1588)</f>
        <v/>
      </c>
      <c r="AA1585">
        <f>IF([2]Entry!$G$1588="","",[2]Entry!$G$1588)</f>
        <v/>
      </c>
      <c r="AB1585">
        <f>IF([2]Entry!$J$1588="","",[2]Entry!$J$1588)</f>
        <v/>
      </c>
      <c r="AC1585">
        <f>IF([2]Entry!$K$1588="","",[2]Entry!$K$1588)</f>
        <v/>
      </c>
      <c r="AD1585">
        <f>IF([2]Entry!$L$1588="","",[2]Entry!$L$1588)</f>
        <v/>
      </c>
      <c r="AE1585">
        <f>IF([2]Entry!$M$1588="","",[2]Entry!$M$1588)</f>
        <v/>
      </c>
      <c r="AF1585">
        <f>IF([2]Entry!$N$1588="","",[2]Entry!$N$1588)</f>
        <v/>
      </c>
      <c r="AJ1585">
        <f>IF([2]Entry!$S$1588="","",[2]Entry!$S$1588)</f>
        <v/>
      </c>
      <c r="AK1585">
        <f>IF([2]Entry!$C$1588="","",[2]Entry!$C$1588)</f>
        <v/>
      </c>
      <c r="AL1585">
        <f>IF([2]Entry!$D$1588="","",[2]Entry!$D$1588)</f>
        <v/>
      </c>
    </row>
    <row r="1586">
      <c r="Z1586">
        <f>IF([2]Entry!$E$1589="","",[2]Entry!$E$1589)</f>
        <v/>
      </c>
      <c r="AA1586">
        <f>IF([2]Entry!$G$1589="","",[2]Entry!$G$1589)</f>
        <v/>
      </c>
      <c r="AB1586">
        <f>IF([2]Entry!$J$1589="","",[2]Entry!$J$1589)</f>
        <v/>
      </c>
      <c r="AC1586">
        <f>IF([2]Entry!$K$1589="","",[2]Entry!$K$1589)</f>
        <v/>
      </c>
      <c r="AD1586">
        <f>IF([2]Entry!$L$1589="","",[2]Entry!$L$1589)</f>
        <v/>
      </c>
      <c r="AE1586">
        <f>IF([2]Entry!$M$1589="","",[2]Entry!$M$1589)</f>
        <v/>
      </c>
      <c r="AF1586">
        <f>IF([2]Entry!$N$1589="","",[2]Entry!$N$1589)</f>
        <v/>
      </c>
      <c r="AJ1586">
        <f>IF([2]Entry!$S$1589="","",[2]Entry!$S$1589)</f>
        <v/>
      </c>
      <c r="AK1586">
        <f>IF([2]Entry!$C$1589="","",[2]Entry!$C$1589)</f>
        <v/>
      </c>
      <c r="AL1586">
        <f>IF([2]Entry!$D$1589="","",[2]Entry!$D$1589)</f>
        <v/>
      </c>
    </row>
    <row r="1587">
      <c r="Z1587">
        <f>IF([2]Entry!$E$1590="","",[2]Entry!$E$1590)</f>
        <v/>
      </c>
      <c r="AA1587">
        <f>IF([2]Entry!$G$1590="","",[2]Entry!$G$1590)</f>
        <v/>
      </c>
      <c r="AB1587">
        <f>IF([2]Entry!$J$1590="","",[2]Entry!$J$1590)</f>
        <v/>
      </c>
      <c r="AC1587">
        <f>IF([2]Entry!$K$1590="","",[2]Entry!$K$1590)</f>
        <v/>
      </c>
      <c r="AD1587">
        <f>IF([2]Entry!$L$1590="","",[2]Entry!$L$1590)</f>
        <v/>
      </c>
      <c r="AE1587">
        <f>IF([2]Entry!$M$1590="","",[2]Entry!$M$1590)</f>
        <v/>
      </c>
      <c r="AF1587">
        <f>IF([2]Entry!$N$1590="","",[2]Entry!$N$1590)</f>
        <v/>
      </c>
      <c r="AJ1587">
        <f>IF([2]Entry!$S$1590="","",[2]Entry!$S$1590)</f>
        <v/>
      </c>
      <c r="AK1587">
        <f>IF([2]Entry!$C$1590="","",[2]Entry!$C$1590)</f>
        <v/>
      </c>
      <c r="AL1587">
        <f>IF([2]Entry!$D$1590="","",[2]Entry!$D$1590)</f>
        <v/>
      </c>
    </row>
    <row r="1588">
      <c r="Z1588">
        <f>IF([2]Entry!$E$1591="","",[2]Entry!$E$1591)</f>
        <v/>
      </c>
      <c r="AA1588">
        <f>IF([2]Entry!$G$1591="","",[2]Entry!$G$1591)</f>
        <v/>
      </c>
      <c r="AB1588">
        <f>IF([2]Entry!$J$1591="","",[2]Entry!$J$1591)</f>
        <v/>
      </c>
      <c r="AC1588">
        <f>IF([2]Entry!$K$1591="","",[2]Entry!$K$1591)</f>
        <v/>
      </c>
      <c r="AD1588">
        <f>IF([2]Entry!$L$1591="","",[2]Entry!$L$1591)</f>
        <v/>
      </c>
      <c r="AE1588">
        <f>IF([2]Entry!$M$1591="","",[2]Entry!$M$1591)</f>
        <v/>
      </c>
      <c r="AF1588">
        <f>IF([2]Entry!$N$1591="","",[2]Entry!$N$1591)</f>
        <v/>
      </c>
      <c r="AJ1588">
        <f>IF([2]Entry!$S$1591="","",[2]Entry!$S$1591)</f>
        <v/>
      </c>
      <c r="AK1588">
        <f>IF([2]Entry!$C$1591="","",[2]Entry!$C$1591)</f>
        <v/>
      </c>
      <c r="AL1588">
        <f>IF([2]Entry!$D$1591="","",[2]Entry!$D$1591)</f>
        <v/>
      </c>
    </row>
    <row r="1589">
      <c r="Z1589">
        <f>IF([2]Entry!$E$1592="","",[2]Entry!$E$1592)</f>
        <v/>
      </c>
      <c r="AA1589">
        <f>IF([2]Entry!$G$1592="","",[2]Entry!$G$1592)</f>
        <v/>
      </c>
      <c r="AB1589">
        <f>IF([2]Entry!$J$1592="","",[2]Entry!$J$1592)</f>
        <v/>
      </c>
      <c r="AC1589">
        <f>IF([2]Entry!$K$1592="","",[2]Entry!$K$1592)</f>
        <v/>
      </c>
      <c r="AD1589">
        <f>IF([2]Entry!$L$1592="","",[2]Entry!$L$1592)</f>
        <v/>
      </c>
      <c r="AE1589">
        <f>IF([2]Entry!$M$1592="","",[2]Entry!$M$1592)</f>
        <v/>
      </c>
      <c r="AF1589">
        <f>IF([2]Entry!$N$1592="","",[2]Entry!$N$1592)</f>
        <v/>
      </c>
      <c r="AJ1589">
        <f>IF([2]Entry!$S$1592="","",[2]Entry!$S$1592)</f>
        <v/>
      </c>
      <c r="AK1589">
        <f>IF([2]Entry!$C$1592="","",[2]Entry!$C$1592)</f>
        <v/>
      </c>
      <c r="AL1589">
        <f>IF([2]Entry!$D$1592="","",[2]Entry!$D$1592)</f>
        <v/>
      </c>
    </row>
    <row r="1590">
      <c r="Z1590">
        <f>IF([2]Entry!$E$1593="","",[2]Entry!$E$1593)</f>
        <v/>
      </c>
      <c r="AA1590">
        <f>IF([2]Entry!$G$1593="","",[2]Entry!$G$1593)</f>
        <v/>
      </c>
      <c r="AB1590">
        <f>IF([2]Entry!$J$1593="","",[2]Entry!$J$1593)</f>
        <v/>
      </c>
      <c r="AC1590">
        <f>IF([2]Entry!$K$1593="","",[2]Entry!$K$1593)</f>
        <v/>
      </c>
      <c r="AD1590">
        <f>IF([2]Entry!$L$1593="","",[2]Entry!$L$1593)</f>
        <v/>
      </c>
      <c r="AE1590">
        <f>IF([2]Entry!$M$1593="","",[2]Entry!$M$1593)</f>
        <v/>
      </c>
      <c r="AF1590">
        <f>IF([2]Entry!$N$1593="","",[2]Entry!$N$1593)</f>
        <v/>
      </c>
      <c r="AJ1590">
        <f>IF([2]Entry!$S$1593="","",[2]Entry!$S$1593)</f>
        <v/>
      </c>
      <c r="AK1590">
        <f>IF([2]Entry!$C$1593="","",[2]Entry!$C$1593)</f>
        <v/>
      </c>
      <c r="AL1590">
        <f>IF([2]Entry!$D$1593="","",[2]Entry!$D$1593)</f>
        <v/>
      </c>
    </row>
    <row r="1591">
      <c r="Z1591">
        <f>IF([2]Entry!$E$1594="","",[2]Entry!$E$1594)</f>
        <v/>
      </c>
      <c r="AA1591">
        <f>IF([2]Entry!$G$1594="","",[2]Entry!$G$1594)</f>
        <v/>
      </c>
      <c r="AB1591">
        <f>IF([2]Entry!$J$1594="","",[2]Entry!$J$1594)</f>
        <v/>
      </c>
      <c r="AC1591">
        <f>IF([2]Entry!$K$1594="","",[2]Entry!$K$1594)</f>
        <v/>
      </c>
      <c r="AD1591">
        <f>IF([2]Entry!$L$1594="","",[2]Entry!$L$1594)</f>
        <v/>
      </c>
      <c r="AE1591">
        <f>IF([2]Entry!$M$1594="","",[2]Entry!$M$1594)</f>
        <v/>
      </c>
      <c r="AF1591">
        <f>IF([2]Entry!$N$1594="","",[2]Entry!$N$1594)</f>
        <v/>
      </c>
      <c r="AJ1591">
        <f>IF([2]Entry!$S$1594="","",[2]Entry!$S$1594)</f>
        <v/>
      </c>
      <c r="AK1591">
        <f>IF([2]Entry!$C$1594="","",[2]Entry!$C$1594)</f>
        <v/>
      </c>
      <c r="AL1591">
        <f>IF([2]Entry!$D$1594="","",[2]Entry!$D$1594)</f>
        <v/>
      </c>
    </row>
    <row r="1592">
      <c r="Z1592">
        <f>IF([2]Entry!$E$1595="","",[2]Entry!$E$1595)</f>
        <v/>
      </c>
      <c r="AA1592">
        <f>IF([2]Entry!$G$1595="","",[2]Entry!$G$1595)</f>
        <v/>
      </c>
      <c r="AB1592">
        <f>IF([2]Entry!$J$1595="","",[2]Entry!$J$1595)</f>
        <v/>
      </c>
      <c r="AC1592">
        <f>IF([2]Entry!$K$1595="","",[2]Entry!$K$1595)</f>
        <v/>
      </c>
      <c r="AD1592">
        <f>IF([2]Entry!$L$1595="","",[2]Entry!$L$1595)</f>
        <v/>
      </c>
      <c r="AE1592">
        <f>IF([2]Entry!$M$1595="","",[2]Entry!$M$1595)</f>
        <v/>
      </c>
      <c r="AF1592">
        <f>IF([2]Entry!$N$1595="","",[2]Entry!$N$1595)</f>
        <v/>
      </c>
      <c r="AJ1592">
        <f>IF([2]Entry!$S$1595="","",[2]Entry!$S$1595)</f>
        <v/>
      </c>
      <c r="AK1592">
        <f>IF([2]Entry!$C$1595="","",[2]Entry!$C$1595)</f>
        <v/>
      </c>
      <c r="AL1592">
        <f>IF([2]Entry!$D$1595="","",[2]Entry!$D$1595)</f>
        <v/>
      </c>
    </row>
    <row r="1593">
      <c r="Z1593">
        <f>IF([2]Entry!$E$1596="","",[2]Entry!$E$1596)</f>
        <v/>
      </c>
      <c r="AA1593">
        <f>IF([2]Entry!$G$1596="","",[2]Entry!$G$1596)</f>
        <v/>
      </c>
      <c r="AB1593">
        <f>IF([2]Entry!$J$1596="","",[2]Entry!$J$1596)</f>
        <v/>
      </c>
      <c r="AC1593">
        <f>IF([2]Entry!$K$1596="","",[2]Entry!$K$1596)</f>
        <v/>
      </c>
      <c r="AD1593">
        <f>IF([2]Entry!$L$1596="","",[2]Entry!$L$1596)</f>
        <v/>
      </c>
      <c r="AE1593">
        <f>IF([2]Entry!$M$1596="","",[2]Entry!$M$1596)</f>
        <v/>
      </c>
      <c r="AF1593">
        <f>IF([2]Entry!$N$1596="","",[2]Entry!$N$1596)</f>
        <v/>
      </c>
      <c r="AJ1593">
        <f>IF([2]Entry!$S$1596="","",[2]Entry!$S$1596)</f>
        <v/>
      </c>
      <c r="AK1593">
        <f>IF([2]Entry!$C$1596="","",[2]Entry!$C$1596)</f>
        <v/>
      </c>
      <c r="AL1593">
        <f>IF([2]Entry!$D$1596="","",[2]Entry!$D$1596)</f>
        <v/>
      </c>
    </row>
    <row r="1594">
      <c r="Z1594">
        <f>IF([2]Entry!$E$1597="","",[2]Entry!$E$1597)</f>
        <v/>
      </c>
      <c r="AA1594">
        <f>IF([2]Entry!$G$1597="","",[2]Entry!$G$1597)</f>
        <v/>
      </c>
      <c r="AB1594">
        <f>IF([2]Entry!$J$1597="","",[2]Entry!$J$1597)</f>
        <v/>
      </c>
      <c r="AC1594">
        <f>IF([2]Entry!$K$1597="","",[2]Entry!$K$1597)</f>
        <v/>
      </c>
      <c r="AD1594">
        <f>IF([2]Entry!$L$1597="","",[2]Entry!$L$1597)</f>
        <v/>
      </c>
      <c r="AE1594">
        <f>IF([2]Entry!$M$1597="","",[2]Entry!$M$1597)</f>
        <v/>
      </c>
      <c r="AF1594">
        <f>IF([2]Entry!$N$1597="","",[2]Entry!$N$1597)</f>
        <v/>
      </c>
      <c r="AJ1594">
        <f>IF([2]Entry!$S$1597="","",[2]Entry!$S$1597)</f>
        <v/>
      </c>
      <c r="AK1594">
        <f>IF([2]Entry!$C$1597="","",[2]Entry!$C$1597)</f>
        <v/>
      </c>
      <c r="AL1594">
        <f>IF([2]Entry!$D$1597="","",[2]Entry!$D$1597)</f>
        <v/>
      </c>
    </row>
    <row r="1595">
      <c r="Z1595">
        <f>IF([2]Entry!$E$1598="","",[2]Entry!$E$1598)</f>
        <v/>
      </c>
      <c r="AA1595">
        <f>IF([2]Entry!$G$1598="","",[2]Entry!$G$1598)</f>
        <v/>
      </c>
      <c r="AB1595">
        <f>IF([2]Entry!$J$1598="","",[2]Entry!$J$1598)</f>
        <v/>
      </c>
      <c r="AC1595">
        <f>IF([2]Entry!$K$1598="","",[2]Entry!$K$1598)</f>
        <v/>
      </c>
      <c r="AD1595">
        <f>IF([2]Entry!$L$1598="","",[2]Entry!$L$1598)</f>
        <v/>
      </c>
      <c r="AE1595">
        <f>IF([2]Entry!$M$1598="","",[2]Entry!$M$1598)</f>
        <v/>
      </c>
      <c r="AF1595">
        <f>IF([2]Entry!$N$1598="","",[2]Entry!$N$1598)</f>
        <v/>
      </c>
      <c r="AJ1595">
        <f>IF([2]Entry!$S$1598="","",[2]Entry!$S$1598)</f>
        <v/>
      </c>
      <c r="AK1595">
        <f>IF([2]Entry!$C$1598="","",[2]Entry!$C$1598)</f>
        <v/>
      </c>
      <c r="AL1595">
        <f>IF([2]Entry!$D$1598="","",[2]Entry!$D$1598)</f>
        <v/>
      </c>
    </row>
    <row r="1596">
      <c r="Z1596">
        <f>IF([2]Entry!$E$1599="","",[2]Entry!$E$1599)</f>
        <v/>
      </c>
      <c r="AA1596">
        <f>IF([2]Entry!$G$1599="","",[2]Entry!$G$1599)</f>
        <v/>
      </c>
      <c r="AB1596">
        <f>IF([2]Entry!$J$1599="","",[2]Entry!$J$1599)</f>
        <v/>
      </c>
      <c r="AC1596">
        <f>IF([2]Entry!$K$1599="","",[2]Entry!$K$1599)</f>
        <v/>
      </c>
      <c r="AD1596">
        <f>IF([2]Entry!$L$1599="","",[2]Entry!$L$1599)</f>
        <v/>
      </c>
      <c r="AE1596">
        <f>IF([2]Entry!$M$1599="","",[2]Entry!$M$1599)</f>
        <v/>
      </c>
      <c r="AF1596">
        <f>IF([2]Entry!$N$1599="","",[2]Entry!$N$1599)</f>
        <v/>
      </c>
      <c r="AJ1596">
        <f>IF([2]Entry!$S$1599="","",[2]Entry!$S$1599)</f>
        <v/>
      </c>
      <c r="AK1596">
        <f>IF([2]Entry!$C$1599="","",[2]Entry!$C$1599)</f>
        <v/>
      </c>
      <c r="AL1596">
        <f>IF([2]Entry!$D$1599="","",[2]Entry!$D$1599)</f>
        <v/>
      </c>
    </row>
    <row r="1597">
      <c r="Z1597">
        <f>IF([2]Entry!$E$1600="","",[2]Entry!$E$1600)</f>
        <v/>
      </c>
      <c r="AA1597">
        <f>IF([2]Entry!$G$1600="","",[2]Entry!$G$1600)</f>
        <v/>
      </c>
      <c r="AB1597">
        <f>IF([2]Entry!$J$1600="","",[2]Entry!$J$1600)</f>
        <v/>
      </c>
      <c r="AC1597">
        <f>IF([2]Entry!$K$1600="","",[2]Entry!$K$1600)</f>
        <v/>
      </c>
      <c r="AD1597">
        <f>IF([2]Entry!$L$1600="","",[2]Entry!$L$1600)</f>
        <v/>
      </c>
      <c r="AE1597">
        <f>IF([2]Entry!$M$1600="","",[2]Entry!$M$1600)</f>
        <v/>
      </c>
      <c r="AF1597">
        <f>IF([2]Entry!$N$1600="","",[2]Entry!$N$1600)</f>
        <v/>
      </c>
      <c r="AJ1597">
        <f>IF([2]Entry!$S$1600="","",[2]Entry!$S$1600)</f>
        <v/>
      </c>
      <c r="AK1597">
        <f>IF([2]Entry!$C$1600="","",[2]Entry!$C$1600)</f>
        <v/>
      </c>
      <c r="AL1597">
        <f>IF([2]Entry!$D$1600="","",[2]Entry!$D$1600)</f>
        <v/>
      </c>
    </row>
    <row r="1598">
      <c r="Z1598">
        <f>IF([2]Entry!$E$1601="","",[2]Entry!$E$1601)</f>
        <v/>
      </c>
      <c r="AA1598">
        <f>IF([2]Entry!$G$1601="","",[2]Entry!$G$1601)</f>
        <v/>
      </c>
      <c r="AB1598">
        <f>IF([2]Entry!$J$1601="","",[2]Entry!$J$1601)</f>
        <v/>
      </c>
      <c r="AC1598">
        <f>IF([2]Entry!$K$1601="","",[2]Entry!$K$1601)</f>
        <v/>
      </c>
      <c r="AD1598">
        <f>IF([2]Entry!$L$1601="","",[2]Entry!$L$1601)</f>
        <v/>
      </c>
      <c r="AE1598">
        <f>IF([2]Entry!$M$1601="","",[2]Entry!$M$1601)</f>
        <v/>
      </c>
      <c r="AF1598">
        <f>IF([2]Entry!$N$1601="","",[2]Entry!$N$1601)</f>
        <v/>
      </c>
      <c r="AJ1598">
        <f>IF([2]Entry!$S$1601="","",[2]Entry!$S$1601)</f>
        <v/>
      </c>
      <c r="AK1598">
        <f>IF([2]Entry!$C$1601="","",[2]Entry!$C$1601)</f>
        <v/>
      </c>
      <c r="AL1598">
        <f>IF([2]Entry!$D$1601="","",[2]Entry!$D$1601)</f>
        <v/>
      </c>
    </row>
    <row r="1599">
      <c r="Z1599">
        <f>IF([2]Entry!$E$1602="","",[2]Entry!$E$1602)</f>
        <v/>
      </c>
      <c r="AA1599">
        <f>IF([2]Entry!$G$1602="","",[2]Entry!$G$1602)</f>
        <v/>
      </c>
      <c r="AB1599">
        <f>IF([2]Entry!$J$1602="","",[2]Entry!$J$1602)</f>
        <v/>
      </c>
      <c r="AC1599">
        <f>IF([2]Entry!$K$1602="","",[2]Entry!$K$1602)</f>
        <v/>
      </c>
      <c r="AD1599">
        <f>IF([2]Entry!$L$1602="","",[2]Entry!$L$1602)</f>
        <v/>
      </c>
      <c r="AE1599">
        <f>IF([2]Entry!$M$1602="","",[2]Entry!$M$1602)</f>
        <v/>
      </c>
      <c r="AF1599">
        <f>IF([2]Entry!$N$1602="","",[2]Entry!$N$1602)</f>
        <v/>
      </c>
      <c r="AJ1599">
        <f>IF([2]Entry!$S$1602="","",[2]Entry!$S$1602)</f>
        <v/>
      </c>
      <c r="AK1599">
        <f>IF([2]Entry!$C$1602="","",[2]Entry!$C$1602)</f>
        <v/>
      </c>
      <c r="AL1599">
        <f>IF([2]Entry!$D$1602="","",[2]Entry!$D$1602)</f>
        <v/>
      </c>
    </row>
    <row r="1600">
      <c r="Z1600">
        <f>IF([2]Entry!$E$1603="","",[2]Entry!$E$1603)</f>
        <v/>
      </c>
      <c r="AA1600">
        <f>IF([2]Entry!$G$1603="","",[2]Entry!$G$1603)</f>
        <v/>
      </c>
      <c r="AB1600">
        <f>IF([2]Entry!$J$1603="","",[2]Entry!$J$1603)</f>
        <v/>
      </c>
      <c r="AC1600">
        <f>IF([2]Entry!$K$1603="","",[2]Entry!$K$1603)</f>
        <v/>
      </c>
      <c r="AD1600">
        <f>IF([2]Entry!$L$1603="","",[2]Entry!$L$1603)</f>
        <v/>
      </c>
      <c r="AE1600">
        <f>IF([2]Entry!$M$1603="","",[2]Entry!$M$1603)</f>
        <v/>
      </c>
      <c r="AF1600">
        <f>IF([2]Entry!$N$1603="","",[2]Entry!$N$1603)</f>
        <v/>
      </c>
      <c r="AJ1600">
        <f>IF([2]Entry!$S$1603="","",[2]Entry!$S$1603)</f>
        <v/>
      </c>
      <c r="AK1600">
        <f>IF([2]Entry!$C$1603="","",[2]Entry!$C$1603)</f>
        <v/>
      </c>
      <c r="AL1600">
        <f>IF([2]Entry!$D$1603="","",[2]Entry!$D$1603)</f>
        <v/>
      </c>
    </row>
    <row r="1601">
      <c r="Z1601">
        <f>IF([2]Entry!$E$1604="","",[2]Entry!$E$1604)</f>
        <v/>
      </c>
      <c r="AA1601">
        <f>IF([2]Entry!$G$1604="","",[2]Entry!$G$1604)</f>
        <v/>
      </c>
      <c r="AB1601">
        <f>IF([2]Entry!$J$1604="","",[2]Entry!$J$1604)</f>
        <v/>
      </c>
      <c r="AC1601">
        <f>IF([2]Entry!$K$1604="","",[2]Entry!$K$1604)</f>
        <v/>
      </c>
      <c r="AD1601">
        <f>IF([2]Entry!$L$1604="","",[2]Entry!$L$1604)</f>
        <v/>
      </c>
      <c r="AE1601">
        <f>IF([2]Entry!$M$1604="","",[2]Entry!$M$1604)</f>
        <v/>
      </c>
      <c r="AF1601">
        <f>IF([2]Entry!$N$1604="","",[2]Entry!$N$1604)</f>
        <v/>
      </c>
      <c r="AJ1601">
        <f>IF([2]Entry!$S$1604="","",[2]Entry!$S$1604)</f>
        <v/>
      </c>
      <c r="AK1601">
        <f>IF([2]Entry!$C$1604="","",[2]Entry!$C$1604)</f>
        <v/>
      </c>
      <c r="AL1601">
        <f>IF([2]Entry!$D$1604="","",[2]Entry!$D$1604)</f>
        <v/>
      </c>
    </row>
    <row r="1602">
      <c r="Z1602">
        <f>IF([2]Entry!$E$1605="","",[2]Entry!$E$1605)</f>
        <v/>
      </c>
      <c r="AA1602">
        <f>IF([2]Entry!$G$1605="","",[2]Entry!$G$1605)</f>
        <v/>
      </c>
      <c r="AB1602">
        <f>IF([2]Entry!$J$1605="","",[2]Entry!$J$1605)</f>
        <v/>
      </c>
      <c r="AC1602">
        <f>IF([2]Entry!$K$1605="","",[2]Entry!$K$1605)</f>
        <v/>
      </c>
      <c r="AD1602">
        <f>IF([2]Entry!$L$1605="","",[2]Entry!$L$1605)</f>
        <v/>
      </c>
      <c r="AE1602">
        <f>IF([2]Entry!$M$1605="","",[2]Entry!$M$1605)</f>
        <v/>
      </c>
      <c r="AF1602">
        <f>IF([2]Entry!$N$1605="","",[2]Entry!$N$1605)</f>
        <v/>
      </c>
      <c r="AJ1602">
        <f>IF([2]Entry!$S$1605="","",[2]Entry!$S$1605)</f>
        <v/>
      </c>
      <c r="AK1602">
        <f>IF([2]Entry!$C$1605="","",[2]Entry!$C$1605)</f>
        <v/>
      </c>
      <c r="AL1602">
        <f>IF([2]Entry!$D$1605="","",[2]Entry!$D$1605)</f>
        <v/>
      </c>
    </row>
    <row r="1603">
      <c r="Z1603">
        <f>IF([2]Entry!$E$1606="","",[2]Entry!$E$1606)</f>
        <v/>
      </c>
      <c r="AA1603">
        <f>IF([2]Entry!$G$1606="","",[2]Entry!$G$1606)</f>
        <v/>
      </c>
      <c r="AB1603">
        <f>IF([2]Entry!$J$1606="","",[2]Entry!$J$1606)</f>
        <v/>
      </c>
      <c r="AC1603">
        <f>IF([2]Entry!$K$1606="","",[2]Entry!$K$1606)</f>
        <v/>
      </c>
      <c r="AD1603">
        <f>IF([2]Entry!$L$1606="","",[2]Entry!$L$1606)</f>
        <v/>
      </c>
      <c r="AE1603">
        <f>IF([2]Entry!$M$1606="","",[2]Entry!$M$1606)</f>
        <v/>
      </c>
      <c r="AF1603">
        <f>IF([2]Entry!$N$1606="","",[2]Entry!$N$1606)</f>
        <v/>
      </c>
      <c r="AJ1603">
        <f>IF([2]Entry!$S$1606="","",[2]Entry!$S$1606)</f>
        <v/>
      </c>
      <c r="AK1603">
        <f>IF([2]Entry!$C$1606="","",[2]Entry!$C$1606)</f>
        <v/>
      </c>
      <c r="AL1603">
        <f>IF([2]Entry!$D$1606="","",[2]Entry!$D$1606)</f>
        <v/>
      </c>
    </row>
    <row r="1604">
      <c r="Z1604">
        <f>IF([2]Entry!$E$1607="","",[2]Entry!$E$1607)</f>
        <v/>
      </c>
      <c r="AA1604">
        <f>IF([2]Entry!$G$1607="","",[2]Entry!$G$1607)</f>
        <v/>
      </c>
      <c r="AB1604">
        <f>IF([2]Entry!$J$1607="","",[2]Entry!$J$1607)</f>
        <v/>
      </c>
      <c r="AC1604">
        <f>IF([2]Entry!$K$1607="","",[2]Entry!$K$1607)</f>
        <v/>
      </c>
      <c r="AD1604">
        <f>IF([2]Entry!$L$1607="","",[2]Entry!$L$1607)</f>
        <v/>
      </c>
      <c r="AE1604">
        <f>IF([2]Entry!$M$1607="","",[2]Entry!$M$1607)</f>
        <v/>
      </c>
      <c r="AF1604">
        <f>IF([2]Entry!$N$1607="","",[2]Entry!$N$1607)</f>
        <v/>
      </c>
      <c r="AJ1604">
        <f>IF([2]Entry!$S$1607="","",[2]Entry!$S$1607)</f>
        <v/>
      </c>
      <c r="AK1604">
        <f>IF([2]Entry!$C$1607="","",[2]Entry!$C$1607)</f>
        <v/>
      </c>
      <c r="AL1604">
        <f>IF([2]Entry!$D$1607="","",[2]Entry!$D$1607)</f>
        <v/>
      </c>
    </row>
    <row r="1605">
      <c r="Z1605">
        <f>IF([2]Entry!$E$1608="","",[2]Entry!$E$1608)</f>
        <v/>
      </c>
      <c r="AA1605">
        <f>IF([2]Entry!$G$1608="","",[2]Entry!$G$1608)</f>
        <v/>
      </c>
      <c r="AB1605">
        <f>IF([2]Entry!$J$1608="","",[2]Entry!$J$1608)</f>
        <v/>
      </c>
      <c r="AC1605">
        <f>IF([2]Entry!$K$1608="","",[2]Entry!$K$1608)</f>
        <v/>
      </c>
      <c r="AD1605">
        <f>IF([2]Entry!$L$1608="","",[2]Entry!$L$1608)</f>
        <v/>
      </c>
      <c r="AE1605">
        <f>IF([2]Entry!$M$1608="","",[2]Entry!$M$1608)</f>
        <v/>
      </c>
      <c r="AF1605">
        <f>IF([2]Entry!$N$1608="","",[2]Entry!$N$1608)</f>
        <v/>
      </c>
      <c r="AJ1605">
        <f>IF([2]Entry!$S$1608="","",[2]Entry!$S$1608)</f>
        <v/>
      </c>
      <c r="AK1605">
        <f>IF([2]Entry!$C$1608="","",[2]Entry!$C$1608)</f>
        <v/>
      </c>
      <c r="AL1605">
        <f>IF([2]Entry!$D$1608="","",[2]Entry!$D$1608)</f>
        <v/>
      </c>
    </row>
    <row r="1606">
      <c r="Z1606">
        <f>IF([2]Entry!$E$1609="","",[2]Entry!$E$1609)</f>
        <v/>
      </c>
      <c r="AA1606">
        <f>IF([2]Entry!$G$1609="","",[2]Entry!$G$1609)</f>
        <v/>
      </c>
      <c r="AB1606">
        <f>IF([2]Entry!$J$1609="","",[2]Entry!$J$1609)</f>
        <v/>
      </c>
      <c r="AC1606">
        <f>IF([2]Entry!$K$1609="","",[2]Entry!$K$1609)</f>
        <v/>
      </c>
      <c r="AD1606">
        <f>IF([2]Entry!$L$1609="","",[2]Entry!$L$1609)</f>
        <v/>
      </c>
      <c r="AE1606">
        <f>IF([2]Entry!$M$1609="","",[2]Entry!$M$1609)</f>
        <v/>
      </c>
      <c r="AF1606">
        <f>IF([2]Entry!$N$1609="","",[2]Entry!$N$1609)</f>
        <v/>
      </c>
      <c r="AJ1606">
        <f>IF([2]Entry!$S$1609="","",[2]Entry!$S$1609)</f>
        <v/>
      </c>
      <c r="AK1606">
        <f>IF([2]Entry!$C$1609="","",[2]Entry!$C$1609)</f>
        <v/>
      </c>
      <c r="AL1606">
        <f>IF([2]Entry!$D$1609="","",[2]Entry!$D$1609)</f>
        <v/>
      </c>
    </row>
    <row r="1607">
      <c r="Z1607">
        <f>IF([2]Entry!$E$1610="","",[2]Entry!$E$1610)</f>
        <v/>
      </c>
      <c r="AA1607">
        <f>IF([2]Entry!$G$1610="","",[2]Entry!$G$1610)</f>
        <v/>
      </c>
      <c r="AB1607">
        <f>IF([2]Entry!$J$1610="","",[2]Entry!$J$1610)</f>
        <v/>
      </c>
      <c r="AC1607">
        <f>IF([2]Entry!$K$1610="","",[2]Entry!$K$1610)</f>
        <v/>
      </c>
      <c r="AD1607">
        <f>IF([2]Entry!$L$1610="","",[2]Entry!$L$1610)</f>
        <v/>
      </c>
      <c r="AE1607">
        <f>IF([2]Entry!$M$1610="","",[2]Entry!$M$1610)</f>
        <v/>
      </c>
      <c r="AF1607">
        <f>IF([2]Entry!$N$1610="","",[2]Entry!$N$1610)</f>
        <v/>
      </c>
      <c r="AJ1607">
        <f>IF([2]Entry!$S$1610="","",[2]Entry!$S$1610)</f>
        <v/>
      </c>
      <c r="AK1607">
        <f>IF([2]Entry!$C$1610="","",[2]Entry!$C$1610)</f>
        <v/>
      </c>
      <c r="AL1607">
        <f>IF([2]Entry!$D$1610="","",[2]Entry!$D$1610)</f>
        <v/>
      </c>
    </row>
    <row r="1608">
      <c r="Z1608">
        <f>IF([2]Entry!$E$1611="","",[2]Entry!$E$1611)</f>
        <v/>
      </c>
      <c r="AA1608">
        <f>IF([2]Entry!$G$1611="","",[2]Entry!$G$1611)</f>
        <v/>
      </c>
      <c r="AB1608">
        <f>IF([2]Entry!$J$1611="","",[2]Entry!$J$1611)</f>
        <v/>
      </c>
      <c r="AC1608">
        <f>IF([2]Entry!$K$1611="","",[2]Entry!$K$1611)</f>
        <v/>
      </c>
      <c r="AD1608">
        <f>IF([2]Entry!$L$1611="","",[2]Entry!$L$1611)</f>
        <v/>
      </c>
      <c r="AE1608">
        <f>IF([2]Entry!$M$1611="","",[2]Entry!$M$1611)</f>
        <v/>
      </c>
      <c r="AF1608">
        <f>IF([2]Entry!$N$1611="","",[2]Entry!$N$1611)</f>
        <v/>
      </c>
      <c r="AJ1608">
        <f>IF([2]Entry!$S$1611="","",[2]Entry!$S$1611)</f>
        <v/>
      </c>
      <c r="AK1608">
        <f>IF([2]Entry!$C$1611="","",[2]Entry!$C$1611)</f>
        <v/>
      </c>
      <c r="AL1608">
        <f>IF([2]Entry!$D$1611="","",[2]Entry!$D$1611)</f>
        <v/>
      </c>
    </row>
    <row r="1609">
      <c r="Z1609">
        <f>IF([2]Entry!$E$1612="","",[2]Entry!$E$1612)</f>
        <v/>
      </c>
      <c r="AA1609">
        <f>IF([2]Entry!$G$1612="","",[2]Entry!$G$1612)</f>
        <v/>
      </c>
      <c r="AB1609">
        <f>IF([2]Entry!$J$1612="","",[2]Entry!$J$1612)</f>
        <v/>
      </c>
      <c r="AC1609">
        <f>IF([2]Entry!$K$1612="","",[2]Entry!$K$1612)</f>
        <v/>
      </c>
      <c r="AD1609">
        <f>IF([2]Entry!$L$1612="","",[2]Entry!$L$1612)</f>
        <v/>
      </c>
      <c r="AE1609">
        <f>IF([2]Entry!$M$1612="","",[2]Entry!$M$1612)</f>
        <v/>
      </c>
      <c r="AF1609">
        <f>IF([2]Entry!$N$1612="","",[2]Entry!$N$1612)</f>
        <v/>
      </c>
      <c r="AJ1609">
        <f>IF([2]Entry!$S$1612="","",[2]Entry!$S$1612)</f>
        <v/>
      </c>
      <c r="AK1609">
        <f>IF([2]Entry!$C$1612="","",[2]Entry!$C$1612)</f>
        <v/>
      </c>
      <c r="AL1609">
        <f>IF([2]Entry!$D$1612="","",[2]Entry!$D$1612)</f>
        <v/>
      </c>
    </row>
    <row r="1610">
      <c r="Z1610">
        <f>IF([2]Entry!$E$1613="","",[2]Entry!$E$1613)</f>
        <v/>
      </c>
      <c r="AA1610">
        <f>IF([2]Entry!$G$1613="","",[2]Entry!$G$1613)</f>
        <v/>
      </c>
      <c r="AB1610">
        <f>IF([2]Entry!$J$1613="","",[2]Entry!$J$1613)</f>
        <v/>
      </c>
      <c r="AC1610">
        <f>IF([2]Entry!$K$1613="","",[2]Entry!$K$1613)</f>
        <v/>
      </c>
      <c r="AD1610">
        <f>IF([2]Entry!$L$1613="","",[2]Entry!$L$1613)</f>
        <v/>
      </c>
      <c r="AE1610">
        <f>IF([2]Entry!$M$1613="","",[2]Entry!$M$1613)</f>
        <v/>
      </c>
      <c r="AF1610">
        <f>IF([2]Entry!$N$1613="","",[2]Entry!$N$1613)</f>
        <v/>
      </c>
      <c r="AJ1610">
        <f>IF([2]Entry!$S$1613="","",[2]Entry!$S$1613)</f>
        <v/>
      </c>
      <c r="AK1610">
        <f>IF([2]Entry!$C$1613="","",[2]Entry!$C$1613)</f>
        <v/>
      </c>
      <c r="AL1610">
        <f>IF([2]Entry!$D$1613="","",[2]Entry!$D$1613)</f>
        <v/>
      </c>
    </row>
    <row r="1611">
      <c r="Z1611">
        <f>IF([2]Entry!$E$1614="","",[2]Entry!$E$1614)</f>
        <v/>
      </c>
      <c r="AA1611">
        <f>IF([2]Entry!$G$1614="","",[2]Entry!$G$1614)</f>
        <v/>
      </c>
      <c r="AB1611">
        <f>IF([2]Entry!$J$1614="","",[2]Entry!$J$1614)</f>
        <v/>
      </c>
      <c r="AC1611">
        <f>IF([2]Entry!$K$1614="","",[2]Entry!$K$1614)</f>
        <v/>
      </c>
      <c r="AD1611">
        <f>IF([2]Entry!$L$1614="","",[2]Entry!$L$1614)</f>
        <v/>
      </c>
      <c r="AE1611">
        <f>IF([2]Entry!$M$1614="","",[2]Entry!$M$1614)</f>
        <v/>
      </c>
      <c r="AF1611">
        <f>IF([2]Entry!$N$1614="","",[2]Entry!$N$1614)</f>
        <v/>
      </c>
      <c r="AJ1611">
        <f>IF([2]Entry!$S$1614="","",[2]Entry!$S$1614)</f>
        <v/>
      </c>
      <c r="AK1611">
        <f>IF([2]Entry!$C$1614="","",[2]Entry!$C$1614)</f>
        <v/>
      </c>
      <c r="AL1611">
        <f>IF([2]Entry!$D$1614="","",[2]Entry!$D$1614)</f>
        <v/>
      </c>
    </row>
    <row r="1612">
      <c r="Z1612">
        <f>IF([2]Entry!$E$1615="","",[2]Entry!$E$1615)</f>
        <v/>
      </c>
      <c r="AA1612">
        <f>IF([2]Entry!$G$1615="","",[2]Entry!$G$1615)</f>
        <v/>
      </c>
      <c r="AB1612">
        <f>IF([2]Entry!$J$1615="","",[2]Entry!$J$1615)</f>
        <v/>
      </c>
      <c r="AC1612">
        <f>IF([2]Entry!$K$1615="","",[2]Entry!$K$1615)</f>
        <v/>
      </c>
      <c r="AD1612">
        <f>IF([2]Entry!$L$1615="","",[2]Entry!$L$1615)</f>
        <v/>
      </c>
      <c r="AE1612">
        <f>IF([2]Entry!$M$1615="","",[2]Entry!$M$1615)</f>
        <v/>
      </c>
      <c r="AF1612">
        <f>IF([2]Entry!$N$1615="","",[2]Entry!$N$1615)</f>
        <v/>
      </c>
      <c r="AJ1612">
        <f>IF([2]Entry!$S$1615="","",[2]Entry!$S$1615)</f>
        <v/>
      </c>
      <c r="AK1612">
        <f>IF([2]Entry!$C$1615="","",[2]Entry!$C$1615)</f>
        <v/>
      </c>
      <c r="AL1612">
        <f>IF([2]Entry!$D$1615="","",[2]Entry!$D$1615)</f>
        <v/>
      </c>
    </row>
    <row r="1613">
      <c r="Z1613">
        <f>IF([2]Entry!$E$1616="","",[2]Entry!$E$1616)</f>
        <v/>
      </c>
      <c r="AA1613">
        <f>IF([2]Entry!$G$1616="","",[2]Entry!$G$1616)</f>
        <v/>
      </c>
      <c r="AB1613">
        <f>IF([2]Entry!$J$1616="","",[2]Entry!$J$1616)</f>
        <v/>
      </c>
      <c r="AC1613">
        <f>IF([2]Entry!$K$1616="","",[2]Entry!$K$1616)</f>
        <v/>
      </c>
      <c r="AD1613">
        <f>IF([2]Entry!$L$1616="","",[2]Entry!$L$1616)</f>
        <v/>
      </c>
      <c r="AE1613">
        <f>IF([2]Entry!$M$1616="","",[2]Entry!$M$1616)</f>
        <v/>
      </c>
      <c r="AF1613">
        <f>IF([2]Entry!$N$1616="","",[2]Entry!$N$1616)</f>
        <v/>
      </c>
      <c r="AJ1613">
        <f>IF([2]Entry!$S$1616="","",[2]Entry!$S$1616)</f>
        <v/>
      </c>
      <c r="AK1613">
        <f>IF([2]Entry!$C$1616="","",[2]Entry!$C$1616)</f>
        <v/>
      </c>
      <c r="AL1613">
        <f>IF([2]Entry!$D$1616="","",[2]Entry!$D$1616)</f>
        <v/>
      </c>
    </row>
    <row r="1614">
      <c r="Z1614">
        <f>IF([2]Entry!$E$1617="","",[2]Entry!$E$1617)</f>
        <v/>
      </c>
      <c r="AA1614">
        <f>IF([2]Entry!$G$1617="","",[2]Entry!$G$1617)</f>
        <v/>
      </c>
      <c r="AB1614">
        <f>IF([2]Entry!$J$1617="","",[2]Entry!$J$1617)</f>
        <v/>
      </c>
      <c r="AC1614">
        <f>IF([2]Entry!$K$1617="","",[2]Entry!$K$1617)</f>
        <v/>
      </c>
      <c r="AD1614">
        <f>IF([2]Entry!$L$1617="","",[2]Entry!$L$1617)</f>
        <v/>
      </c>
      <c r="AE1614">
        <f>IF([2]Entry!$M$1617="","",[2]Entry!$M$1617)</f>
        <v/>
      </c>
      <c r="AF1614">
        <f>IF([2]Entry!$N$1617="","",[2]Entry!$N$1617)</f>
        <v/>
      </c>
      <c r="AJ1614">
        <f>IF([2]Entry!$S$1617="","",[2]Entry!$S$1617)</f>
        <v/>
      </c>
      <c r="AK1614">
        <f>IF([2]Entry!$C$1617="","",[2]Entry!$C$1617)</f>
        <v/>
      </c>
      <c r="AL1614">
        <f>IF([2]Entry!$D$1617="","",[2]Entry!$D$1617)</f>
        <v/>
      </c>
    </row>
    <row r="1615">
      <c r="Z1615">
        <f>IF([2]Entry!$E$1618="","",[2]Entry!$E$1618)</f>
        <v/>
      </c>
      <c r="AA1615">
        <f>IF([2]Entry!$G$1618="","",[2]Entry!$G$1618)</f>
        <v/>
      </c>
      <c r="AB1615">
        <f>IF([2]Entry!$J$1618="","",[2]Entry!$J$1618)</f>
        <v/>
      </c>
      <c r="AC1615">
        <f>IF([2]Entry!$K$1618="","",[2]Entry!$K$1618)</f>
        <v/>
      </c>
      <c r="AD1615">
        <f>IF([2]Entry!$L$1618="","",[2]Entry!$L$1618)</f>
        <v/>
      </c>
      <c r="AE1615">
        <f>IF([2]Entry!$M$1618="","",[2]Entry!$M$1618)</f>
        <v/>
      </c>
      <c r="AF1615">
        <f>IF([2]Entry!$N$1618="","",[2]Entry!$N$1618)</f>
        <v/>
      </c>
      <c r="AJ1615">
        <f>IF([2]Entry!$S$1618="","",[2]Entry!$S$1618)</f>
        <v/>
      </c>
      <c r="AK1615">
        <f>IF([2]Entry!$C$1618="","",[2]Entry!$C$1618)</f>
        <v/>
      </c>
      <c r="AL1615">
        <f>IF([2]Entry!$D$1618="","",[2]Entry!$D$1618)</f>
        <v/>
      </c>
    </row>
    <row r="1616">
      <c r="Z1616">
        <f>IF([2]Entry!$E$1619="","",[2]Entry!$E$1619)</f>
        <v/>
      </c>
      <c r="AA1616">
        <f>IF([2]Entry!$G$1619="","",[2]Entry!$G$1619)</f>
        <v/>
      </c>
      <c r="AB1616">
        <f>IF([2]Entry!$J$1619="","",[2]Entry!$J$1619)</f>
        <v/>
      </c>
      <c r="AC1616">
        <f>IF([2]Entry!$K$1619="","",[2]Entry!$K$1619)</f>
        <v/>
      </c>
      <c r="AD1616">
        <f>IF([2]Entry!$L$1619="","",[2]Entry!$L$1619)</f>
        <v/>
      </c>
      <c r="AE1616">
        <f>IF([2]Entry!$M$1619="","",[2]Entry!$M$1619)</f>
        <v/>
      </c>
      <c r="AF1616">
        <f>IF([2]Entry!$N$1619="","",[2]Entry!$N$1619)</f>
        <v/>
      </c>
      <c r="AJ1616">
        <f>IF([2]Entry!$S$1619="","",[2]Entry!$S$1619)</f>
        <v/>
      </c>
      <c r="AK1616">
        <f>IF([2]Entry!$C$1619="","",[2]Entry!$C$1619)</f>
        <v/>
      </c>
      <c r="AL1616">
        <f>IF([2]Entry!$D$1619="","",[2]Entry!$D$1619)</f>
        <v/>
      </c>
    </row>
    <row r="1617">
      <c r="Z1617">
        <f>IF([2]Entry!$E$1620="","",[2]Entry!$E$1620)</f>
        <v/>
      </c>
      <c r="AA1617">
        <f>IF([2]Entry!$G$1620="","",[2]Entry!$G$1620)</f>
        <v/>
      </c>
      <c r="AB1617">
        <f>IF([2]Entry!$J$1620="","",[2]Entry!$J$1620)</f>
        <v/>
      </c>
      <c r="AC1617">
        <f>IF([2]Entry!$K$1620="","",[2]Entry!$K$1620)</f>
        <v/>
      </c>
      <c r="AD1617">
        <f>IF([2]Entry!$L$1620="","",[2]Entry!$L$1620)</f>
        <v/>
      </c>
      <c r="AE1617">
        <f>IF([2]Entry!$M$1620="","",[2]Entry!$M$1620)</f>
        <v/>
      </c>
      <c r="AF1617">
        <f>IF([2]Entry!$N$1620="","",[2]Entry!$N$1620)</f>
        <v/>
      </c>
      <c r="AJ1617">
        <f>IF([2]Entry!$S$1620="","",[2]Entry!$S$1620)</f>
        <v/>
      </c>
      <c r="AK1617">
        <f>IF([2]Entry!$C$1620="","",[2]Entry!$C$1620)</f>
        <v/>
      </c>
      <c r="AL1617">
        <f>IF([2]Entry!$D$1620="","",[2]Entry!$D$1620)</f>
        <v/>
      </c>
    </row>
    <row r="1618">
      <c r="Z1618">
        <f>IF([2]Entry!$E$1621="","",[2]Entry!$E$1621)</f>
        <v/>
      </c>
      <c r="AA1618">
        <f>IF([2]Entry!$G$1621="","",[2]Entry!$G$1621)</f>
        <v/>
      </c>
      <c r="AB1618">
        <f>IF([2]Entry!$J$1621="","",[2]Entry!$J$1621)</f>
        <v/>
      </c>
      <c r="AC1618">
        <f>IF([2]Entry!$K$1621="","",[2]Entry!$K$1621)</f>
        <v/>
      </c>
      <c r="AD1618">
        <f>IF([2]Entry!$L$1621="","",[2]Entry!$L$1621)</f>
        <v/>
      </c>
      <c r="AE1618">
        <f>IF([2]Entry!$M$1621="","",[2]Entry!$M$1621)</f>
        <v/>
      </c>
      <c r="AF1618">
        <f>IF([2]Entry!$N$1621="","",[2]Entry!$N$1621)</f>
        <v/>
      </c>
      <c r="AJ1618">
        <f>IF([2]Entry!$S$1621="","",[2]Entry!$S$1621)</f>
        <v/>
      </c>
      <c r="AK1618">
        <f>IF([2]Entry!$C$1621="","",[2]Entry!$C$1621)</f>
        <v/>
      </c>
      <c r="AL1618">
        <f>IF([2]Entry!$D$1621="","",[2]Entry!$D$1621)</f>
        <v/>
      </c>
    </row>
    <row r="1619">
      <c r="Z1619">
        <f>IF([2]Entry!$E$1622="","",[2]Entry!$E$1622)</f>
        <v/>
      </c>
      <c r="AA1619">
        <f>IF([2]Entry!$G$1622="","",[2]Entry!$G$1622)</f>
        <v/>
      </c>
      <c r="AB1619">
        <f>IF([2]Entry!$J$1622="","",[2]Entry!$J$1622)</f>
        <v/>
      </c>
      <c r="AC1619">
        <f>IF([2]Entry!$K$1622="","",[2]Entry!$K$1622)</f>
        <v/>
      </c>
      <c r="AD1619">
        <f>IF([2]Entry!$L$1622="","",[2]Entry!$L$1622)</f>
        <v/>
      </c>
      <c r="AE1619">
        <f>IF([2]Entry!$M$1622="","",[2]Entry!$M$1622)</f>
        <v/>
      </c>
      <c r="AF1619">
        <f>IF([2]Entry!$N$1622="","",[2]Entry!$N$1622)</f>
        <v/>
      </c>
      <c r="AJ1619">
        <f>IF([2]Entry!$S$1622="","",[2]Entry!$S$1622)</f>
        <v/>
      </c>
      <c r="AK1619">
        <f>IF([2]Entry!$C$1622="","",[2]Entry!$C$1622)</f>
        <v/>
      </c>
      <c r="AL1619">
        <f>IF([2]Entry!$D$1622="","",[2]Entry!$D$1622)</f>
        <v/>
      </c>
    </row>
    <row r="1620">
      <c r="Z1620">
        <f>IF([2]Entry!$E$1623="","",[2]Entry!$E$1623)</f>
        <v/>
      </c>
      <c r="AA1620">
        <f>IF([2]Entry!$G$1623="","",[2]Entry!$G$1623)</f>
        <v/>
      </c>
      <c r="AB1620">
        <f>IF([2]Entry!$J$1623="","",[2]Entry!$J$1623)</f>
        <v/>
      </c>
      <c r="AC1620">
        <f>IF([2]Entry!$K$1623="","",[2]Entry!$K$1623)</f>
        <v/>
      </c>
      <c r="AD1620">
        <f>IF([2]Entry!$L$1623="","",[2]Entry!$L$1623)</f>
        <v/>
      </c>
      <c r="AE1620">
        <f>IF([2]Entry!$M$1623="","",[2]Entry!$M$1623)</f>
        <v/>
      </c>
      <c r="AF1620">
        <f>IF([2]Entry!$N$1623="","",[2]Entry!$N$1623)</f>
        <v/>
      </c>
      <c r="AJ1620">
        <f>IF([2]Entry!$S$1623="","",[2]Entry!$S$1623)</f>
        <v/>
      </c>
      <c r="AK1620">
        <f>IF([2]Entry!$C$1623="","",[2]Entry!$C$1623)</f>
        <v/>
      </c>
      <c r="AL1620">
        <f>IF([2]Entry!$D$1623="","",[2]Entry!$D$1623)</f>
        <v/>
      </c>
    </row>
    <row r="1621">
      <c r="Z1621">
        <f>IF([2]Entry!$E$1624="","",[2]Entry!$E$1624)</f>
        <v/>
      </c>
      <c r="AA1621">
        <f>IF([2]Entry!$G$1624="","",[2]Entry!$G$1624)</f>
        <v/>
      </c>
      <c r="AB1621">
        <f>IF([2]Entry!$J$1624="","",[2]Entry!$J$1624)</f>
        <v/>
      </c>
      <c r="AC1621">
        <f>IF([2]Entry!$K$1624="","",[2]Entry!$K$1624)</f>
        <v/>
      </c>
      <c r="AD1621">
        <f>IF([2]Entry!$L$1624="","",[2]Entry!$L$1624)</f>
        <v/>
      </c>
      <c r="AE1621">
        <f>IF([2]Entry!$M$1624="","",[2]Entry!$M$1624)</f>
        <v/>
      </c>
      <c r="AF1621">
        <f>IF([2]Entry!$N$1624="","",[2]Entry!$N$1624)</f>
        <v/>
      </c>
      <c r="AJ1621">
        <f>IF([2]Entry!$S$1624="","",[2]Entry!$S$1624)</f>
        <v/>
      </c>
      <c r="AK1621">
        <f>IF([2]Entry!$C$1624="","",[2]Entry!$C$1624)</f>
        <v/>
      </c>
      <c r="AL1621">
        <f>IF([2]Entry!$D$1624="","",[2]Entry!$D$1624)</f>
        <v/>
      </c>
    </row>
    <row r="1622">
      <c r="Z1622">
        <f>IF([2]Entry!$E$1625="","",[2]Entry!$E$1625)</f>
        <v/>
      </c>
      <c r="AA1622">
        <f>IF([2]Entry!$G$1625="","",[2]Entry!$G$1625)</f>
        <v/>
      </c>
      <c r="AB1622">
        <f>IF([2]Entry!$J$1625="","",[2]Entry!$J$1625)</f>
        <v/>
      </c>
      <c r="AC1622">
        <f>IF([2]Entry!$K$1625="","",[2]Entry!$K$1625)</f>
        <v/>
      </c>
      <c r="AD1622">
        <f>IF([2]Entry!$L$1625="","",[2]Entry!$L$1625)</f>
        <v/>
      </c>
      <c r="AE1622">
        <f>IF([2]Entry!$M$1625="","",[2]Entry!$M$1625)</f>
        <v/>
      </c>
      <c r="AF1622">
        <f>IF([2]Entry!$N$1625="","",[2]Entry!$N$1625)</f>
        <v/>
      </c>
      <c r="AJ1622">
        <f>IF([2]Entry!$S$1625="","",[2]Entry!$S$1625)</f>
        <v/>
      </c>
      <c r="AK1622">
        <f>IF([2]Entry!$C$1625="","",[2]Entry!$C$1625)</f>
        <v/>
      </c>
      <c r="AL1622">
        <f>IF([2]Entry!$D$1625="","",[2]Entry!$D$1625)</f>
        <v/>
      </c>
    </row>
    <row r="1623">
      <c r="Z1623">
        <f>IF([2]Entry!$E$1626="","",[2]Entry!$E$1626)</f>
        <v/>
      </c>
      <c r="AA1623">
        <f>IF([2]Entry!$G$1626="","",[2]Entry!$G$1626)</f>
        <v/>
      </c>
      <c r="AB1623">
        <f>IF([2]Entry!$J$1626="","",[2]Entry!$J$1626)</f>
        <v/>
      </c>
      <c r="AC1623">
        <f>IF([2]Entry!$K$1626="","",[2]Entry!$K$1626)</f>
        <v/>
      </c>
      <c r="AD1623">
        <f>IF([2]Entry!$L$1626="","",[2]Entry!$L$1626)</f>
        <v/>
      </c>
      <c r="AE1623">
        <f>IF([2]Entry!$M$1626="","",[2]Entry!$M$1626)</f>
        <v/>
      </c>
      <c r="AF1623">
        <f>IF([2]Entry!$N$1626="","",[2]Entry!$N$1626)</f>
        <v/>
      </c>
      <c r="AJ1623">
        <f>IF([2]Entry!$S$1626="","",[2]Entry!$S$1626)</f>
        <v/>
      </c>
      <c r="AK1623">
        <f>IF([2]Entry!$C$1626="","",[2]Entry!$C$1626)</f>
        <v/>
      </c>
      <c r="AL1623">
        <f>IF([2]Entry!$D$1626="","",[2]Entry!$D$1626)</f>
        <v/>
      </c>
    </row>
    <row r="1624">
      <c r="Z1624">
        <f>IF([2]Entry!$E$1627="","",[2]Entry!$E$1627)</f>
        <v/>
      </c>
      <c r="AA1624">
        <f>IF([2]Entry!$G$1627="","",[2]Entry!$G$1627)</f>
        <v/>
      </c>
      <c r="AB1624">
        <f>IF([2]Entry!$J$1627="","",[2]Entry!$J$1627)</f>
        <v/>
      </c>
      <c r="AC1624">
        <f>IF([2]Entry!$K$1627="","",[2]Entry!$K$1627)</f>
        <v/>
      </c>
      <c r="AD1624">
        <f>IF([2]Entry!$L$1627="","",[2]Entry!$L$1627)</f>
        <v/>
      </c>
      <c r="AE1624">
        <f>IF([2]Entry!$M$1627="","",[2]Entry!$M$1627)</f>
        <v/>
      </c>
      <c r="AF1624">
        <f>IF([2]Entry!$N$1627="","",[2]Entry!$N$1627)</f>
        <v/>
      </c>
      <c r="AJ1624">
        <f>IF([2]Entry!$S$1627="","",[2]Entry!$S$1627)</f>
        <v/>
      </c>
      <c r="AK1624">
        <f>IF([2]Entry!$C$1627="","",[2]Entry!$C$1627)</f>
        <v/>
      </c>
      <c r="AL1624">
        <f>IF([2]Entry!$D$1627="","",[2]Entry!$D$1627)</f>
        <v/>
      </c>
    </row>
    <row r="1625">
      <c r="Z1625">
        <f>IF([2]Entry!$E$1628="","",[2]Entry!$E$1628)</f>
        <v/>
      </c>
      <c r="AA1625">
        <f>IF([2]Entry!$G$1628="","",[2]Entry!$G$1628)</f>
        <v/>
      </c>
      <c r="AB1625">
        <f>IF([2]Entry!$J$1628="","",[2]Entry!$J$1628)</f>
        <v/>
      </c>
      <c r="AC1625">
        <f>IF([2]Entry!$K$1628="","",[2]Entry!$K$1628)</f>
        <v/>
      </c>
      <c r="AD1625">
        <f>IF([2]Entry!$L$1628="","",[2]Entry!$L$1628)</f>
        <v/>
      </c>
      <c r="AE1625">
        <f>IF([2]Entry!$M$1628="","",[2]Entry!$M$1628)</f>
        <v/>
      </c>
      <c r="AF1625">
        <f>IF([2]Entry!$N$1628="","",[2]Entry!$N$1628)</f>
        <v/>
      </c>
      <c r="AJ1625">
        <f>IF([2]Entry!$S$1628="","",[2]Entry!$S$1628)</f>
        <v/>
      </c>
      <c r="AK1625">
        <f>IF([2]Entry!$C$1628="","",[2]Entry!$C$1628)</f>
        <v/>
      </c>
      <c r="AL1625">
        <f>IF([2]Entry!$D$1628="","",[2]Entry!$D$1628)</f>
        <v/>
      </c>
    </row>
    <row r="1626">
      <c r="Z1626">
        <f>IF([2]Entry!$E$1629="","",[2]Entry!$E$1629)</f>
        <v/>
      </c>
      <c r="AA1626">
        <f>IF([2]Entry!$G$1629="","",[2]Entry!$G$1629)</f>
        <v/>
      </c>
      <c r="AB1626">
        <f>IF([2]Entry!$J$1629="","",[2]Entry!$J$1629)</f>
        <v/>
      </c>
      <c r="AC1626">
        <f>IF([2]Entry!$K$1629="","",[2]Entry!$K$1629)</f>
        <v/>
      </c>
      <c r="AD1626">
        <f>IF([2]Entry!$L$1629="","",[2]Entry!$L$1629)</f>
        <v/>
      </c>
      <c r="AE1626">
        <f>IF([2]Entry!$M$1629="","",[2]Entry!$M$1629)</f>
        <v/>
      </c>
      <c r="AF1626">
        <f>IF([2]Entry!$N$1629="","",[2]Entry!$N$1629)</f>
        <v/>
      </c>
      <c r="AJ1626">
        <f>IF([2]Entry!$S$1629="","",[2]Entry!$S$1629)</f>
        <v/>
      </c>
      <c r="AK1626">
        <f>IF([2]Entry!$C$1629="","",[2]Entry!$C$1629)</f>
        <v/>
      </c>
      <c r="AL1626">
        <f>IF([2]Entry!$D$1629="","",[2]Entry!$D$1629)</f>
        <v/>
      </c>
    </row>
    <row r="1627">
      <c r="Z1627">
        <f>IF([2]Entry!$E$1630="","",[2]Entry!$E$1630)</f>
        <v/>
      </c>
      <c r="AA1627">
        <f>IF([2]Entry!$G$1630="","",[2]Entry!$G$1630)</f>
        <v/>
      </c>
      <c r="AB1627">
        <f>IF([2]Entry!$J$1630="","",[2]Entry!$J$1630)</f>
        <v/>
      </c>
      <c r="AC1627">
        <f>IF([2]Entry!$K$1630="","",[2]Entry!$K$1630)</f>
        <v/>
      </c>
      <c r="AD1627">
        <f>IF([2]Entry!$L$1630="","",[2]Entry!$L$1630)</f>
        <v/>
      </c>
      <c r="AE1627">
        <f>IF([2]Entry!$M$1630="","",[2]Entry!$M$1630)</f>
        <v/>
      </c>
      <c r="AF1627">
        <f>IF([2]Entry!$N$1630="","",[2]Entry!$N$1630)</f>
        <v/>
      </c>
      <c r="AJ1627">
        <f>IF([2]Entry!$S$1630="","",[2]Entry!$S$1630)</f>
        <v/>
      </c>
      <c r="AK1627">
        <f>IF([2]Entry!$C$1630="","",[2]Entry!$C$1630)</f>
        <v/>
      </c>
      <c r="AL1627">
        <f>IF([2]Entry!$D$1630="","",[2]Entry!$D$1630)</f>
        <v/>
      </c>
    </row>
    <row r="1628">
      <c r="Z1628">
        <f>IF([2]Entry!$E$1631="","",[2]Entry!$E$1631)</f>
        <v/>
      </c>
      <c r="AA1628">
        <f>IF([2]Entry!$G$1631="","",[2]Entry!$G$1631)</f>
        <v/>
      </c>
      <c r="AB1628">
        <f>IF([2]Entry!$J$1631="","",[2]Entry!$J$1631)</f>
        <v/>
      </c>
      <c r="AC1628">
        <f>IF([2]Entry!$K$1631="","",[2]Entry!$K$1631)</f>
        <v/>
      </c>
      <c r="AD1628">
        <f>IF([2]Entry!$L$1631="","",[2]Entry!$L$1631)</f>
        <v/>
      </c>
      <c r="AE1628">
        <f>IF([2]Entry!$M$1631="","",[2]Entry!$M$1631)</f>
        <v/>
      </c>
      <c r="AF1628">
        <f>IF([2]Entry!$N$1631="","",[2]Entry!$N$1631)</f>
        <v/>
      </c>
      <c r="AJ1628">
        <f>IF([2]Entry!$S$1631="","",[2]Entry!$S$1631)</f>
        <v/>
      </c>
      <c r="AK1628">
        <f>IF([2]Entry!$C$1631="","",[2]Entry!$C$1631)</f>
        <v/>
      </c>
      <c r="AL1628">
        <f>IF([2]Entry!$D$1631="","",[2]Entry!$D$1631)</f>
        <v/>
      </c>
    </row>
    <row r="1629">
      <c r="Z1629">
        <f>IF([2]Entry!$E$1632="","",[2]Entry!$E$1632)</f>
        <v/>
      </c>
      <c r="AA1629">
        <f>IF([2]Entry!$G$1632="","",[2]Entry!$G$1632)</f>
        <v/>
      </c>
      <c r="AB1629">
        <f>IF([2]Entry!$J$1632="","",[2]Entry!$J$1632)</f>
        <v/>
      </c>
      <c r="AC1629">
        <f>IF([2]Entry!$K$1632="","",[2]Entry!$K$1632)</f>
        <v/>
      </c>
      <c r="AD1629">
        <f>IF([2]Entry!$L$1632="","",[2]Entry!$L$1632)</f>
        <v/>
      </c>
      <c r="AE1629">
        <f>IF([2]Entry!$M$1632="","",[2]Entry!$M$1632)</f>
        <v/>
      </c>
      <c r="AF1629">
        <f>IF([2]Entry!$N$1632="","",[2]Entry!$N$1632)</f>
        <v/>
      </c>
      <c r="AJ1629">
        <f>IF([2]Entry!$S$1632="","",[2]Entry!$S$1632)</f>
        <v/>
      </c>
      <c r="AK1629">
        <f>IF([2]Entry!$C$1632="","",[2]Entry!$C$1632)</f>
        <v/>
      </c>
      <c r="AL1629">
        <f>IF([2]Entry!$D$1632="","",[2]Entry!$D$1632)</f>
        <v/>
      </c>
    </row>
    <row r="1630">
      <c r="Z1630">
        <f>IF([2]Entry!$E$1633="","",[2]Entry!$E$1633)</f>
        <v/>
      </c>
      <c r="AA1630">
        <f>IF([2]Entry!$G$1633="","",[2]Entry!$G$1633)</f>
        <v/>
      </c>
      <c r="AB1630">
        <f>IF([2]Entry!$J$1633="","",[2]Entry!$J$1633)</f>
        <v/>
      </c>
      <c r="AC1630">
        <f>IF([2]Entry!$K$1633="","",[2]Entry!$K$1633)</f>
        <v/>
      </c>
      <c r="AD1630">
        <f>IF([2]Entry!$L$1633="","",[2]Entry!$L$1633)</f>
        <v/>
      </c>
      <c r="AE1630">
        <f>IF([2]Entry!$M$1633="","",[2]Entry!$M$1633)</f>
        <v/>
      </c>
      <c r="AF1630">
        <f>IF([2]Entry!$N$1633="","",[2]Entry!$N$1633)</f>
        <v/>
      </c>
      <c r="AJ1630">
        <f>IF([2]Entry!$S$1633="","",[2]Entry!$S$1633)</f>
        <v/>
      </c>
      <c r="AK1630">
        <f>IF([2]Entry!$C$1633="","",[2]Entry!$C$1633)</f>
        <v/>
      </c>
      <c r="AL1630">
        <f>IF([2]Entry!$D$1633="","",[2]Entry!$D$1633)</f>
        <v/>
      </c>
    </row>
    <row r="1631">
      <c r="Z1631">
        <f>IF([2]Entry!$E$1634="","",[2]Entry!$E$1634)</f>
        <v/>
      </c>
      <c r="AA1631">
        <f>IF([2]Entry!$G$1634="","",[2]Entry!$G$1634)</f>
        <v/>
      </c>
      <c r="AB1631">
        <f>IF([2]Entry!$J$1634="","",[2]Entry!$J$1634)</f>
        <v/>
      </c>
      <c r="AC1631">
        <f>IF([2]Entry!$K$1634="","",[2]Entry!$K$1634)</f>
        <v/>
      </c>
      <c r="AD1631">
        <f>IF([2]Entry!$L$1634="","",[2]Entry!$L$1634)</f>
        <v/>
      </c>
      <c r="AE1631">
        <f>IF([2]Entry!$M$1634="","",[2]Entry!$M$1634)</f>
        <v/>
      </c>
      <c r="AF1631">
        <f>IF([2]Entry!$N$1634="","",[2]Entry!$N$1634)</f>
        <v/>
      </c>
      <c r="AJ1631">
        <f>IF([2]Entry!$S$1634="","",[2]Entry!$S$1634)</f>
        <v/>
      </c>
      <c r="AK1631">
        <f>IF([2]Entry!$C$1634="","",[2]Entry!$C$1634)</f>
        <v/>
      </c>
      <c r="AL1631">
        <f>IF([2]Entry!$D$1634="","",[2]Entry!$D$1634)</f>
        <v/>
      </c>
    </row>
    <row r="1632">
      <c r="Z1632">
        <f>IF([2]Entry!$E$1635="","",[2]Entry!$E$1635)</f>
        <v/>
      </c>
      <c r="AA1632">
        <f>IF([2]Entry!$G$1635="","",[2]Entry!$G$1635)</f>
        <v/>
      </c>
      <c r="AB1632">
        <f>IF([2]Entry!$J$1635="","",[2]Entry!$J$1635)</f>
        <v/>
      </c>
      <c r="AC1632">
        <f>IF([2]Entry!$K$1635="","",[2]Entry!$K$1635)</f>
        <v/>
      </c>
      <c r="AD1632">
        <f>IF([2]Entry!$L$1635="","",[2]Entry!$L$1635)</f>
        <v/>
      </c>
      <c r="AE1632">
        <f>IF([2]Entry!$M$1635="","",[2]Entry!$M$1635)</f>
        <v/>
      </c>
      <c r="AF1632">
        <f>IF([2]Entry!$N$1635="","",[2]Entry!$N$1635)</f>
        <v/>
      </c>
      <c r="AJ1632">
        <f>IF([2]Entry!$S$1635="","",[2]Entry!$S$1635)</f>
        <v/>
      </c>
      <c r="AK1632">
        <f>IF([2]Entry!$C$1635="","",[2]Entry!$C$1635)</f>
        <v/>
      </c>
      <c r="AL1632">
        <f>IF([2]Entry!$D$1635="","",[2]Entry!$D$1635)</f>
        <v/>
      </c>
    </row>
    <row r="1633">
      <c r="Z1633">
        <f>IF([2]Entry!$E$1636="","",[2]Entry!$E$1636)</f>
        <v/>
      </c>
      <c r="AA1633">
        <f>IF([2]Entry!$G$1636="","",[2]Entry!$G$1636)</f>
        <v/>
      </c>
      <c r="AB1633">
        <f>IF([2]Entry!$J$1636="","",[2]Entry!$J$1636)</f>
        <v/>
      </c>
      <c r="AC1633">
        <f>IF([2]Entry!$K$1636="","",[2]Entry!$K$1636)</f>
        <v/>
      </c>
      <c r="AD1633">
        <f>IF([2]Entry!$L$1636="","",[2]Entry!$L$1636)</f>
        <v/>
      </c>
      <c r="AE1633">
        <f>IF([2]Entry!$M$1636="","",[2]Entry!$M$1636)</f>
        <v/>
      </c>
      <c r="AF1633">
        <f>IF([2]Entry!$N$1636="","",[2]Entry!$N$1636)</f>
        <v/>
      </c>
      <c r="AJ1633">
        <f>IF([2]Entry!$S$1636="","",[2]Entry!$S$1636)</f>
        <v/>
      </c>
      <c r="AK1633">
        <f>IF([2]Entry!$C$1636="","",[2]Entry!$C$1636)</f>
        <v/>
      </c>
      <c r="AL1633">
        <f>IF([2]Entry!$D$1636="","",[2]Entry!$D$1636)</f>
        <v/>
      </c>
    </row>
    <row r="1634">
      <c r="Z1634">
        <f>IF([2]Entry!$E$1637="","",[2]Entry!$E$1637)</f>
        <v/>
      </c>
      <c r="AA1634">
        <f>IF([2]Entry!$G$1637="","",[2]Entry!$G$1637)</f>
        <v/>
      </c>
      <c r="AB1634">
        <f>IF([2]Entry!$J$1637="","",[2]Entry!$J$1637)</f>
        <v/>
      </c>
      <c r="AC1634">
        <f>IF([2]Entry!$K$1637="","",[2]Entry!$K$1637)</f>
        <v/>
      </c>
      <c r="AD1634">
        <f>IF([2]Entry!$L$1637="","",[2]Entry!$L$1637)</f>
        <v/>
      </c>
      <c r="AE1634">
        <f>IF([2]Entry!$M$1637="","",[2]Entry!$M$1637)</f>
        <v/>
      </c>
      <c r="AF1634">
        <f>IF([2]Entry!$N$1637="","",[2]Entry!$N$1637)</f>
        <v/>
      </c>
      <c r="AJ1634">
        <f>IF([2]Entry!$S$1637="","",[2]Entry!$S$1637)</f>
        <v/>
      </c>
      <c r="AK1634">
        <f>IF([2]Entry!$C$1637="","",[2]Entry!$C$1637)</f>
        <v/>
      </c>
      <c r="AL1634">
        <f>IF([2]Entry!$D$1637="","",[2]Entry!$D$1637)</f>
        <v/>
      </c>
    </row>
    <row r="1635">
      <c r="Z1635">
        <f>IF([2]Entry!$E$1638="","",[2]Entry!$E$1638)</f>
        <v/>
      </c>
      <c r="AA1635">
        <f>IF([2]Entry!$G$1638="","",[2]Entry!$G$1638)</f>
        <v/>
      </c>
      <c r="AB1635">
        <f>IF([2]Entry!$J$1638="","",[2]Entry!$J$1638)</f>
        <v/>
      </c>
      <c r="AC1635">
        <f>IF([2]Entry!$K$1638="","",[2]Entry!$K$1638)</f>
        <v/>
      </c>
      <c r="AD1635">
        <f>IF([2]Entry!$L$1638="","",[2]Entry!$L$1638)</f>
        <v/>
      </c>
      <c r="AE1635">
        <f>IF([2]Entry!$M$1638="","",[2]Entry!$M$1638)</f>
        <v/>
      </c>
      <c r="AF1635">
        <f>IF([2]Entry!$N$1638="","",[2]Entry!$N$1638)</f>
        <v/>
      </c>
      <c r="AJ1635">
        <f>IF([2]Entry!$S$1638="","",[2]Entry!$S$1638)</f>
        <v/>
      </c>
      <c r="AK1635">
        <f>IF([2]Entry!$C$1638="","",[2]Entry!$C$1638)</f>
        <v/>
      </c>
      <c r="AL1635">
        <f>IF([2]Entry!$D$1638="","",[2]Entry!$D$1638)</f>
        <v/>
      </c>
    </row>
    <row r="1636">
      <c r="Z1636">
        <f>IF([2]Entry!$E$1639="","",[2]Entry!$E$1639)</f>
        <v/>
      </c>
      <c r="AA1636">
        <f>IF([2]Entry!$G$1639="","",[2]Entry!$G$1639)</f>
        <v/>
      </c>
      <c r="AB1636">
        <f>IF([2]Entry!$J$1639="","",[2]Entry!$J$1639)</f>
        <v/>
      </c>
      <c r="AC1636">
        <f>IF([2]Entry!$K$1639="","",[2]Entry!$K$1639)</f>
        <v/>
      </c>
      <c r="AD1636">
        <f>IF([2]Entry!$L$1639="","",[2]Entry!$L$1639)</f>
        <v/>
      </c>
      <c r="AE1636">
        <f>IF([2]Entry!$M$1639="","",[2]Entry!$M$1639)</f>
        <v/>
      </c>
      <c r="AF1636">
        <f>IF([2]Entry!$N$1639="","",[2]Entry!$N$1639)</f>
        <v/>
      </c>
      <c r="AJ1636">
        <f>IF([2]Entry!$S$1639="","",[2]Entry!$S$1639)</f>
        <v/>
      </c>
      <c r="AK1636">
        <f>IF([2]Entry!$C$1639="","",[2]Entry!$C$1639)</f>
        <v/>
      </c>
      <c r="AL1636">
        <f>IF([2]Entry!$D$1639="","",[2]Entry!$D$1639)</f>
        <v/>
      </c>
    </row>
    <row r="1637">
      <c r="Z1637">
        <f>IF([2]Entry!$E$1640="","",[2]Entry!$E$1640)</f>
        <v/>
      </c>
      <c r="AA1637">
        <f>IF([2]Entry!$G$1640="","",[2]Entry!$G$1640)</f>
        <v/>
      </c>
      <c r="AB1637">
        <f>IF([2]Entry!$J$1640="","",[2]Entry!$J$1640)</f>
        <v/>
      </c>
      <c r="AC1637">
        <f>IF([2]Entry!$K$1640="","",[2]Entry!$K$1640)</f>
        <v/>
      </c>
      <c r="AD1637">
        <f>IF([2]Entry!$L$1640="","",[2]Entry!$L$1640)</f>
        <v/>
      </c>
      <c r="AE1637">
        <f>IF([2]Entry!$M$1640="","",[2]Entry!$M$1640)</f>
        <v/>
      </c>
      <c r="AF1637">
        <f>IF([2]Entry!$N$1640="","",[2]Entry!$N$1640)</f>
        <v/>
      </c>
      <c r="AJ1637">
        <f>IF([2]Entry!$S$1640="","",[2]Entry!$S$1640)</f>
        <v/>
      </c>
      <c r="AK1637">
        <f>IF([2]Entry!$C$1640="","",[2]Entry!$C$1640)</f>
        <v/>
      </c>
      <c r="AL1637">
        <f>IF([2]Entry!$D$1640="","",[2]Entry!$D$1640)</f>
        <v/>
      </c>
    </row>
    <row r="1638">
      <c r="Z1638">
        <f>IF([2]Entry!$E$1641="","",[2]Entry!$E$1641)</f>
        <v/>
      </c>
      <c r="AA1638">
        <f>IF([2]Entry!$G$1641="","",[2]Entry!$G$1641)</f>
        <v/>
      </c>
      <c r="AB1638">
        <f>IF([2]Entry!$J$1641="","",[2]Entry!$J$1641)</f>
        <v/>
      </c>
      <c r="AC1638">
        <f>IF([2]Entry!$K$1641="","",[2]Entry!$K$1641)</f>
        <v/>
      </c>
      <c r="AD1638">
        <f>IF([2]Entry!$L$1641="","",[2]Entry!$L$1641)</f>
        <v/>
      </c>
      <c r="AE1638">
        <f>IF([2]Entry!$M$1641="","",[2]Entry!$M$1641)</f>
        <v/>
      </c>
      <c r="AF1638">
        <f>IF([2]Entry!$N$1641="","",[2]Entry!$N$1641)</f>
        <v/>
      </c>
      <c r="AJ1638">
        <f>IF([2]Entry!$S$1641="","",[2]Entry!$S$1641)</f>
        <v/>
      </c>
      <c r="AK1638">
        <f>IF([2]Entry!$C$1641="","",[2]Entry!$C$1641)</f>
        <v/>
      </c>
      <c r="AL1638">
        <f>IF([2]Entry!$D$1641="","",[2]Entry!$D$1641)</f>
        <v/>
      </c>
    </row>
    <row r="1639">
      <c r="Z1639">
        <f>IF([2]Entry!$E$1642="","",[2]Entry!$E$1642)</f>
        <v/>
      </c>
      <c r="AA1639">
        <f>IF([2]Entry!$G$1642="","",[2]Entry!$G$1642)</f>
        <v/>
      </c>
      <c r="AB1639">
        <f>IF([2]Entry!$J$1642="","",[2]Entry!$J$1642)</f>
        <v/>
      </c>
      <c r="AC1639">
        <f>IF([2]Entry!$K$1642="","",[2]Entry!$K$1642)</f>
        <v/>
      </c>
      <c r="AD1639">
        <f>IF([2]Entry!$L$1642="","",[2]Entry!$L$1642)</f>
        <v/>
      </c>
      <c r="AE1639">
        <f>IF([2]Entry!$M$1642="","",[2]Entry!$M$1642)</f>
        <v/>
      </c>
      <c r="AF1639">
        <f>IF([2]Entry!$N$1642="","",[2]Entry!$N$1642)</f>
        <v/>
      </c>
      <c r="AJ1639">
        <f>IF([2]Entry!$S$1642="","",[2]Entry!$S$1642)</f>
        <v/>
      </c>
      <c r="AK1639">
        <f>IF([2]Entry!$C$1642="","",[2]Entry!$C$1642)</f>
        <v/>
      </c>
      <c r="AL1639">
        <f>IF([2]Entry!$D$1642="","",[2]Entry!$D$1642)</f>
        <v/>
      </c>
    </row>
    <row r="1640">
      <c r="Z1640">
        <f>IF([2]Entry!$E$1643="","",[2]Entry!$E$1643)</f>
        <v/>
      </c>
      <c r="AA1640">
        <f>IF([2]Entry!$G$1643="","",[2]Entry!$G$1643)</f>
        <v/>
      </c>
      <c r="AB1640">
        <f>IF([2]Entry!$J$1643="","",[2]Entry!$J$1643)</f>
        <v/>
      </c>
      <c r="AC1640">
        <f>IF([2]Entry!$K$1643="","",[2]Entry!$K$1643)</f>
        <v/>
      </c>
      <c r="AD1640">
        <f>IF([2]Entry!$L$1643="","",[2]Entry!$L$1643)</f>
        <v/>
      </c>
      <c r="AE1640">
        <f>IF([2]Entry!$M$1643="","",[2]Entry!$M$1643)</f>
        <v/>
      </c>
      <c r="AF1640">
        <f>IF([2]Entry!$N$1643="","",[2]Entry!$N$1643)</f>
        <v/>
      </c>
      <c r="AJ1640">
        <f>IF([2]Entry!$S$1643="","",[2]Entry!$S$1643)</f>
        <v/>
      </c>
      <c r="AK1640">
        <f>IF([2]Entry!$C$1643="","",[2]Entry!$C$1643)</f>
        <v/>
      </c>
      <c r="AL1640">
        <f>IF([2]Entry!$D$1643="","",[2]Entry!$D$1643)</f>
        <v/>
      </c>
    </row>
    <row r="1641">
      <c r="Z1641">
        <f>IF([2]Entry!$E$1644="","",[2]Entry!$E$1644)</f>
        <v/>
      </c>
      <c r="AA1641">
        <f>IF([2]Entry!$G$1644="","",[2]Entry!$G$1644)</f>
        <v/>
      </c>
      <c r="AB1641">
        <f>IF([2]Entry!$J$1644="","",[2]Entry!$J$1644)</f>
        <v/>
      </c>
      <c r="AC1641">
        <f>IF([2]Entry!$K$1644="","",[2]Entry!$K$1644)</f>
        <v/>
      </c>
      <c r="AD1641">
        <f>IF([2]Entry!$L$1644="","",[2]Entry!$L$1644)</f>
        <v/>
      </c>
      <c r="AE1641">
        <f>IF([2]Entry!$M$1644="","",[2]Entry!$M$1644)</f>
        <v/>
      </c>
      <c r="AF1641">
        <f>IF([2]Entry!$N$1644="","",[2]Entry!$N$1644)</f>
        <v/>
      </c>
      <c r="AJ1641">
        <f>IF([2]Entry!$S$1644="","",[2]Entry!$S$1644)</f>
        <v/>
      </c>
      <c r="AK1641">
        <f>IF([2]Entry!$C$1644="","",[2]Entry!$C$1644)</f>
        <v/>
      </c>
      <c r="AL1641">
        <f>IF([2]Entry!$D$1644="","",[2]Entry!$D$1644)</f>
        <v/>
      </c>
    </row>
    <row r="1642">
      <c r="Z1642">
        <f>IF([2]Entry!$E$1645="","",[2]Entry!$E$1645)</f>
        <v/>
      </c>
      <c r="AA1642">
        <f>IF([2]Entry!$G$1645="","",[2]Entry!$G$1645)</f>
        <v/>
      </c>
      <c r="AB1642">
        <f>IF([2]Entry!$J$1645="","",[2]Entry!$J$1645)</f>
        <v/>
      </c>
      <c r="AC1642">
        <f>IF([2]Entry!$K$1645="","",[2]Entry!$K$1645)</f>
        <v/>
      </c>
      <c r="AD1642">
        <f>IF([2]Entry!$L$1645="","",[2]Entry!$L$1645)</f>
        <v/>
      </c>
      <c r="AE1642">
        <f>IF([2]Entry!$M$1645="","",[2]Entry!$M$1645)</f>
        <v/>
      </c>
      <c r="AF1642">
        <f>IF([2]Entry!$N$1645="","",[2]Entry!$N$1645)</f>
        <v/>
      </c>
      <c r="AJ1642">
        <f>IF([2]Entry!$S$1645="","",[2]Entry!$S$1645)</f>
        <v/>
      </c>
      <c r="AK1642">
        <f>IF([2]Entry!$C$1645="","",[2]Entry!$C$1645)</f>
        <v/>
      </c>
      <c r="AL1642">
        <f>IF([2]Entry!$D$1645="","",[2]Entry!$D$1645)</f>
        <v/>
      </c>
    </row>
    <row r="1643">
      <c r="Z1643">
        <f>IF([2]Entry!$E$1646="","",[2]Entry!$E$1646)</f>
        <v/>
      </c>
      <c r="AA1643">
        <f>IF([2]Entry!$G$1646="","",[2]Entry!$G$1646)</f>
        <v/>
      </c>
      <c r="AB1643">
        <f>IF([2]Entry!$J$1646="","",[2]Entry!$J$1646)</f>
        <v/>
      </c>
      <c r="AC1643">
        <f>IF([2]Entry!$K$1646="","",[2]Entry!$K$1646)</f>
        <v/>
      </c>
      <c r="AD1643">
        <f>IF([2]Entry!$L$1646="","",[2]Entry!$L$1646)</f>
        <v/>
      </c>
      <c r="AE1643">
        <f>IF([2]Entry!$M$1646="","",[2]Entry!$M$1646)</f>
        <v/>
      </c>
      <c r="AF1643">
        <f>IF([2]Entry!$N$1646="","",[2]Entry!$N$1646)</f>
        <v/>
      </c>
      <c r="AJ1643">
        <f>IF([2]Entry!$S$1646="","",[2]Entry!$S$1646)</f>
        <v/>
      </c>
      <c r="AK1643">
        <f>IF([2]Entry!$C$1646="","",[2]Entry!$C$1646)</f>
        <v/>
      </c>
      <c r="AL1643">
        <f>IF([2]Entry!$D$1646="","",[2]Entry!$D$1646)</f>
        <v/>
      </c>
    </row>
    <row r="1644">
      <c r="Z1644">
        <f>IF([2]Entry!$E$1647="","",[2]Entry!$E$1647)</f>
        <v/>
      </c>
      <c r="AA1644">
        <f>IF([2]Entry!$G$1647="","",[2]Entry!$G$1647)</f>
        <v/>
      </c>
      <c r="AB1644">
        <f>IF([2]Entry!$J$1647="","",[2]Entry!$J$1647)</f>
        <v/>
      </c>
      <c r="AC1644">
        <f>IF([2]Entry!$K$1647="","",[2]Entry!$K$1647)</f>
        <v/>
      </c>
      <c r="AD1644">
        <f>IF([2]Entry!$L$1647="","",[2]Entry!$L$1647)</f>
        <v/>
      </c>
      <c r="AE1644">
        <f>IF([2]Entry!$M$1647="","",[2]Entry!$M$1647)</f>
        <v/>
      </c>
      <c r="AF1644">
        <f>IF([2]Entry!$N$1647="","",[2]Entry!$N$1647)</f>
        <v/>
      </c>
      <c r="AJ1644">
        <f>IF([2]Entry!$S$1647="","",[2]Entry!$S$1647)</f>
        <v/>
      </c>
      <c r="AK1644">
        <f>IF([2]Entry!$C$1647="","",[2]Entry!$C$1647)</f>
        <v/>
      </c>
      <c r="AL1644">
        <f>IF([2]Entry!$D$1647="","",[2]Entry!$D$1647)</f>
        <v/>
      </c>
    </row>
    <row r="1645">
      <c r="Z1645">
        <f>IF([2]Entry!$E$1648="","",[2]Entry!$E$1648)</f>
        <v/>
      </c>
      <c r="AA1645">
        <f>IF([2]Entry!$G$1648="","",[2]Entry!$G$1648)</f>
        <v/>
      </c>
      <c r="AB1645">
        <f>IF([2]Entry!$J$1648="","",[2]Entry!$J$1648)</f>
        <v/>
      </c>
      <c r="AC1645">
        <f>IF([2]Entry!$K$1648="","",[2]Entry!$K$1648)</f>
        <v/>
      </c>
      <c r="AD1645">
        <f>IF([2]Entry!$L$1648="","",[2]Entry!$L$1648)</f>
        <v/>
      </c>
      <c r="AE1645">
        <f>IF([2]Entry!$M$1648="","",[2]Entry!$M$1648)</f>
        <v/>
      </c>
      <c r="AF1645">
        <f>IF([2]Entry!$N$1648="","",[2]Entry!$N$1648)</f>
        <v/>
      </c>
      <c r="AJ1645">
        <f>IF([2]Entry!$S$1648="","",[2]Entry!$S$1648)</f>
        <v/>
      </c>
      <c r="AK1645">
        <f>IF([2]Entry!$C$1648="","",[2]Entry!$C$1648)</f>
        <v/>
      </c>
      <c r="AL1645">
        <f>IF([2]Entry!$D$1648="","",[2]Entry!$D$1648)</f>
        <v/>
      </c>
    </row>
    <row r="1646">
      <c r="Z1646">
        <f>IF([2]Entry!$E$1649="","",[2]Entry!$E$1649)</f>
        <v/>
      </c>
      <c r="AA1646">
        <f>IF([2]Entry!$G$1649="","",[2]Entry!$G$1649)</f>
        <v/>
      </c>
      <c r="AB1646">
        <f>IF([2]Entry!$J$1649="","",[2]Entry!$J$1649)</f>
        <v/>
      </c>
      <c r="AC1646">
        <f>IF([2]Entry!$K$1649="","",[2]Entry!$K$1649)</f>
        <v/>
      </c>
      <c r="AD1646">
        <f>IF([2]Entry!$L$1649="","",[2]Entry!$L$1649)</f>
        <v/>
      </c>
      <c r="AE1646">
        <f>IF([2]Entry!$M$1649="","",[2]Entry!$M$1649)</f>
        <v/>
      </c>
      <c r="AF1646">
        <f>IF([2]Entry!$N$1649="","",[2]Entry!$N$1649)</f>
        <v/>
      </c>
      <c r="AJ1646">
        <f>IF([2]Entry!$S$1649="","",[2]Entry!$S$1649)</f>
        <v/>
      </c>
      <c r="AK1646">
        <f>IF([2]Entry!$C$1649="","",[2]Entry!$C$1649)</f>
        <v/>
      </c>
      <c r="AL1646">
        <f>IF([2]Entry!$D$1649="","",[2]Entry!$D$1649)</f>
        <v/>
      </c>
    </row>
    <row r="1647">
      <c r="Z1647">
        <f>IF([2]Entry!$E$1650="","",[2]Entry!$E$1650)</f>
        <v/>
      </c>
      <c r="AA1647">
        <f>IF([2]Entry!$G$1650="","",[2]Entry!$G$1650)</f>
        <v/>
      </c>
      <c r="AB1647">
        <f>IF([2]Entry!$J$1650="","",[2]Entry!$J$1650)</f>
        <v/>
      </c>
      <c r="AC1647">
        <f>IF([2]Entry!$K$1650="","",[2]Entry!$K$1650)</f>
        <v/>
      </c>
      <c r="AD1647">
        <f>IF([2]Entry!$L$1650="","",[2]Entry!$L$1650)</f>
        <v/>
      </c>
      <c r="AE1647">
        <f>IF([2]Entry!$M$1650="","",[2]Entry!$M$1650)</f>
        <v/>
      </c>
      <c r="AF1647">
        <f>IF([2]Entry!$N$1650="","",[2]Entry!$N$1650)</f>
        <v/>
      </c>
      <c r="AJ1647">
        <f>IF([2]Entry!$S$1650="","",[2]Entry!$S$1650)</f>
        <v/>
      </c>
      <c r="AK1647">
        <f>IF([2]Entry!$C$1650="","",[2]Entry!$C$1650)</f>
        <v/>
      </c>
      <c r="AL1647">
        <f>IF([2]Entry!$D$1650="","",[2]Entry!$D$1650)</f>
        <v/>
      </c>
    </row>
    <row r="1648">
      <c r="Z1648">
        <f>IF([2]Entry!$E$1651="","",[2]Entry!$E$1651)</f>
        <v/>
      </c>
      <c r="AA1648">
        <f>IF([2]Entry!$G$1651="","",[2]Entry!$G$1651)</f>
        <v/>
      </c>
      <c r="AB1648">
        <f>IF([2]Entry!$J$1651="","",[2]Entry!$J$1651)</f>
        <v/>
      </c>
      <c r="AC1648">
        <f>IF([2]Entry!$K$1651="","",[2]Entry!$K$1651)</f>
        <v/>
      </c>
      <c r="AD1648">
        <f>IF([2]Entry!$L$1651="","",[2]Entry!$L$1651)</f>
        <v/>
      </c>
      <c r="AE1648">
        <f>IF([2]Entry!$M$1651="","",[2]Entry!$M$1651)</f>
        <v/>
      </c>
      <c r="AF1648">
        <f>IF([2]Entry!$N$1651="","",[2]Entry!$N$1651)</f>
        <v/>
      </c>
      <c r="AJ1648">
        <f>IF([2]Entry!$S$1651="","",[2]Entry!$S$1651)</f>
        <v/>
      </c>
      <c r="AK1648">
        <f>IF([2]Entry!$C$1651="","",[2]Entry!$C$1651)</f>
        <v/>
      </c>
      <c r="AL1648">
        <f>IF([2]Entry!$D$1651="","",[2]Entry!$D$1651)</f>
        <v/>
      </c>
    </row>
    <row r="1649">
      <c r="Z1649">
        <f>IF([2]Entry!$E$1652="","",[2]Entry!$E$1652)</f>
        <v/>
      </c>
      <c r="AA1649">
        <f>IF([2]Entry!$G$1652="","",[2]Entry!$G$1652)</f>
        <v/>
      </c>
      <c r="AB1649">
        <f>IF([2]Entry!$J$1652="","",[2]Entry!$J$1652)</f>
        <v/>
      </c>
      <c r="AC1649">
        <f>IF([2]Entry!$K$1652="","",[2]Entry!$K$1652)</f>
        <v/>
      </c>
      <c r="AD1649">
        <f>IF([2]Entry!$L$1652="","",[2]Entry!$L$1652)</f>
        <v/>
      </c>
      <c r="AE1649">
        <f>IF([2]Entry!$M$1652="","",[2]Entry!$M$1652)</f>
        <v/>
      </c>
      <c r="AF1649">
        <f>IF([2]Entry!$N$1652="","",[2]Entry!$N$1652)</f>
        <v/>
      </c>
      <c r="AJ1649">
        <f>IF([2]Entry!$S$1652="","",[2]Entry!$S$1652)</f>
        <v/>
      </c>
      <c r="AK1649">
        <f>IF([2]Entry!$C$1652="","",[2]Entry!$C$1652)</f>
        <v/>
      </c>
      <c r="AL1649">
        <f>IF([2]Entry!$D$1652="","",[2]Entry!$D$1652)</f>
        <v/>
      </c>
    </row>
    <row r="1650">
      <c r="Z1650">
        <f>IF([2]Entry!$E$1653="","",[2]Entry!$E$1653)</f>
        <v/>
      </c>
      <c r="AA1650">
        <f>IF([2]Entry!$G$1653="","",[2]Entry!$G$1653)</f>
        <v/>
      </c>
      <c r="AB1650">
        <f>IF([2]Entry!$J$1653="","",[2]Entry!$J$1653)</f>
        <v/>
      </c>
      <c r="AC1650">
        <f>IF([2]Entry!$K$1653="","",[2]Entry!$K$1653)</f>
        <v/>
      </c>
      <c r="AD1650">
        <f>IF([2]Entry!$L$1653="","",[2]Entry!$L$1653)</f>
        <v/>
      </c>
      <c r="AE1650">
        <f>IF([2]Entry!$M$1653="","",[2]Entry!$M$1653)</f>
        <v/>
      </c>
      <c r="AF1650">
        <f>IF([2]Entry!$N$1653="","",[2]Entry!$N$1653)</f>
        <v/>
      </c>
      <c r="AJ1650">
        <f>IF([2]Entry!$S$1653="","",[2]Entry!$S$1653)</f>
        <v/>
      </c>
      <c r="AK1650">
        <f>IF([2]Entry!$C$1653="","",[2]Entry!$C$1653)</f>
        <v/>
      </c>
      <c r="AL1650">
        <f>IF([2]Entry!$D$1653="","",[2]Entry!$D$1653)</f>
        <v/>
      </c>
    </row>
    <row r="1651">
      <c r="Z1651">
        <f>IF([2]Entry!$E$1654="","",[2]Entry!$E$1654)</f>
        <v/>
      </c>
      <c r="AA1651">
        <f>IF([2]Entry!$G$1654="","",[2]Entry!$G$1654)</f>
        <v/>
      </c>
      <c r="AB1651">
        <f>IF([2]Entry!$J$1654="","",[2]Entry!$J$1654)</f>
        <v/>
      </c>
      <c r="AC1651">
        <f>IF([2]Entry!$K$1654="","",[2]Entry!$K$1654)</f>
        <v/>
      </c>
      <c r="AD1651">
        <f>IF([2]Entry!$L$1654="","",[2]Entry!$L$1654)</f>
        <v/>
      </c>
      <c r="AE1651">
        <f>IF([2]Entry!$M$1654="","",[2]Entry!$M$1654)</f>
        <v/>
      </c>
      <c r="AF1651">
        <f>IF([2]Entry!$N$1654="","",[2]Entry!$N$1654)</f>
        <v/>
      </c>
      <c r="AJ1651">
        <f>IF([2]Entry!$S$1654="","",[2]Entry!$S$1654)</f>
        <v/>
      </c>
      <c r="AK1651">
        <f>IF([2]Entry!$C$1654="","",[2]Entry!$C$1654)</f>
        <v/>
      </c>
      <c r="AL1651">
        <f>IF([2]Entry!$D$1654="","",[2]Entry!$D$1654)</f>
        <v/>
      </c>
    </row>
    <row r="1652">
      <c r="Z1652">
        <f>IF([2]Entry!$E$1655="","",[2]Entry!$E$1655)</f>
        <v/>
      </c>
      <c r="AA1652">
        <f>IF([2]Entry!$G$1655="","",[2]Entry!$G$1655)</f>
        <v/>
      </c>
      <c r="AB1652">
        <f>IF([2]Entry!$J$1655="","",[2]Entry!$J$1655)</f>
        <v/>
      </c>
      <c r="AC1652">
        <f>IF([2]Entry!$K$1655="","",[2]Entry!$K$1655)</f>
        <v/>
      </c>
      <c r="AD1652">
        <f>IF([2]Entry!$L$1655="","",[2]Entry!$L$1655)</f>
        <v/>
      </c>
      <c r="AE1652">
        <f>IF([2]Entry!$M$1655="","",[2]Entry!$M$1655)</f>
        <v/>
      </c>
      <c r="AF1652">
        <f>IF([2]Entry!$N$1655="","",[2]Entry!$N$1655)</f>
        <v/>
      </c>
      <c r="AJ1652">
        <f>IF([2]Entry!$S$1655="","",[2]Entry!$S$1655)</f>
        <v/>
      </c>
      <c r="AK1652">
        <f>IF([2]Entry!$C$1655="","",[2]Entry!$C$1655)</f>
        <v/>
      </c>
      <c r="AL1652">
        <f>IF([2]Entry!$D$1655="","",[2]Entry!$D$1655)</f>
        <v/>
      </c>
    </row>
    <row r="1653">
      <c r="Z1653">
        <f>IF([2]Entry!$E$1656="","",[2]Entry!$E$1656)</f>
        <v/>
      </c>
      <c r="AA1653">
        <f>IF([2]Entry!$G$1656="","",[2]Entry!$G$1656)</f>
        <v/>
      </c>
      <c r="AB1653">
        <f>IF([2]Entry!$J$1656="","",[2]Entry!$J$1656)</f>
        <v/>
      </c>
      <c r="AC1653">
        <f>IF([2]Entry!$K$1656="","",[2]Entry!$K$1656)</f>
        <v/>
      </c>
      <c r="AD1653">
        <f>IF([2]Entry!$L$1656="","",[2]Entry!$L$1656)</f>
        <v/>
      </c>
      <c r="AE1653">
        <f>IF([2]Entry!$M$1656="","",[2]Entry!$M$1656)</f>
        <v/>
      </c>
      <c r="AF1653">
        <f>IF([2]Entry!$N$1656="","",[2]Entry!$N$1656)</f>
        <v/>
      </c>
      <c r="AJ1653">
        <f>IF([2]Entry!$S$1656="","",[2]Entry!$S$1656)</f>
        <v/>
      </c>
      <c r="AK1653">
        <f>IF([2]Entry!$C$1656="","",[2]Entry!$C$1656)</f>
        <v/>
      </c>
      <c r="AL1653">
        <f>IF([2]Entry!$D$1656="","",[2]Entry!$D$1656)</f>
        <v/>
      </c>
    </row>
    <row r="1654">
      <c r="Z1654">
        <f>IF([2]Entry!$E$1657="","",[2]Entry!$E$1657)</f>
        <v/>
      </c>
      <c r="AA1654">
        <f>IF([2]Entry!$G$1657="","",[2]Entry!$G$1657)</f>
        <v/>
      </c>
      <c r="AB1654">
        <f>IF([2]Entry!$J$1657="","",[2]Entry!$J$1657)</f>
        <v/>
      </c>
      <c r="AC1654">
        <f>IF([2]Entry!$K$1657="","",[2]Entry!$K$1657)</f>
        <v/>
      </c>
      <c r="AD1654">
        <f>IF([2]Entry!$L$1657="","",[2]Entry!$L$1657)</f>
        <v/>
      </c>
      <c r="AE1654">
        <f>IF([2]Entry!$M$1657="","",[2]Entry!$M$1657)</f>
        <v/>
      </c>
      <c r="AF1654">
        <f>IF([2]Entry!$N$1657="","",[2]Entry!$N$1657)</f>
        <v/>
      </c>
      <c r="AJ1654">
        <f>IF([2]Entry!$S$1657="","",[2]Entry!$S$1657)</f>
        <v/>
      </c>
      <c r="AK1654">
        <f>IF([2]Entry!$C$1657="","",[2]Entry!$C$1657)</f>
        <v/>
      </c>
      <c r="AL1654">
        <f>IF([2]Entry!$D$1657="","",[2]Entry!$D$1657)</f>
        <v/>
      </c>
    </row>
    <row r="1655">
      <c r="Z1655">
        <f>IF([2]Entry!$E$1658="","",[2]Entry!$E$1658)</f>
        <v/>
      </c>
      <c r="AA1655">
        <f>IF([2]Entry!$G$1658="","",[2]Entry!$G$1658)</f>
        <v/>
      </c>
      <c r="AB1655">
        <f>IF([2]Entry!$J$1658="","",[2]Entry!$J$1658)</f>
        <v/>
      </c>
      <c r="AC1655">
        <f>IF([2]Entry!$K$1658="","",[2]Entry!$K$1658)</f>
        <v/>
      </c>
      <c r="AD1655">
        <f>IF([2]Entry!$L$1658="","",[2]Entry!$L$1658)</f>
        <v/>
      </c>
      <c r="AE1655">
        <f>IF([2]Entry!$M$1658="","",[2]Entry!$M$1658)</f>
        <v/>
      </c>
      <c r="AF1655">
        <f>IF([2]Entry!$N$1658="","",[2]Entry!$N$1658)</f>
        <v/>
      </c>
      <c r="AJ1655">
        <f>IF([2]Entry!$S$1658="","",[2]Entry!$S$1658)</f>
        <v/>
      </c>
      <c r="AK1655">
        <f>IF([2]Entry!$C$1658="","",[2]Entry!$C$1658)</f>
        <v/>
      </c>
      <c r="AL1655">
        <f>IF([2]Entry!$D$1658="","",[2]Entry!$D$1658)</f>
        <v/>
      </c>
    </row>
    <row r="1656">
      <c r="Z1656">
        <f>IF([2]Entry!$E$1659="","",[2]Entry!$E$1659)</f>
        <v/>
      </c>
      <c r="AA1656">
        <f>IF([2]Entry!$G$1659="","",[2]Entry!$G$1659)</f>
        <v/>
      </c>
      <c r="AB1656">
        <f>IF([2]Entry!$J$1659="","",[2]Entry!$J$1659)</f>
        <v/>
      </c>
      <c r="AC1656">
        <f>IF([2]Entry!$K$1659="","",[2]Entry!$K$1659)</f>
        <v/>
      </c>
      <c r="AD1656">
        <f>IF([2]Entry!$L$1659="","",[2]Entry!$L$1659)</f>
        <v/>
      </c>
      <c r="AE1656">
        <f>IF([2]Entry!$M$1659="","",[2]Entry!$M$1659)</f>
        <v/>
      </c>
      <c r="AF1656">
        <f>IF([2]Entry!$N$1659="","",[2]Entry!$N$1659)</f>
        <v/>
      </c>
      <c r="AJ1656">
        <f>IF([2]Entry!$S$1659="","",[2]Entry!$S$1659)</f>
        <v/>
      </c>
      <c r="AK1656">
        <f>IF([2]Entry!$C$1659="","",[2]Entry!$C$1659)</f>
        <v/>
      </c>
      <c r="AL1656">
        <f>IF([2]Entry!$D$1659="","",[2]Entry!$D$1659)</f>
        <v/>
      </c>
    </row>
    <row r="1657">
      <c r="Z1657">
        <f>IF([2]Entry!$E$1660="","",[2]Entry!$E$1660)</f>
        <v/>
      </c>
      <c r="AA1657">
        <f>IF([2]Entry!$G$1660="","",[2]Entry!$G$1660)</f>
        <v/>
      </c>
      <c r="AB1657">
        <f>IF([2]Entry!$J$1660="","",[2]Entry!$J$1660)</f>
        <v/>
      </c>
      <c r="AC1657">
        <f>IF([2]Entry!$K$1660="","",[2]Entry!$K$1660)</f>
        <v/>
      </c>
      <c r="AD1657">
        <f>IF([2]Entry!$L$1660="","",[2]Entry!$L$1660)</f>
        <v/>
      </c>
      <c r="AE1657">
        <f>IF([2]Entry!$M$1660="","",[2]Entry!$M$1660)</f>
        <v/>
      </c>
      <c r="AF1657">
        <f>IF([2]Entry!$N$1660="","",[2]Entry!$N$1660)</f>
        <v/>
      </c>
      <c r="AJ1657">
        <f>IF([2]Entry!$S$1660="","",[2]Entry!$S$1660)</f>
        <v/>
      </c>
      <c r="AK1657">
        <f>IF([2]Entry!$C$1660="","",[2]Entry!$C$1660)</f>
        <v/>
      </c>
      <c r="AL1657">
        <f>IF([2]Entry!$D$1660="","",[2]Entry!$D$1660)</f>
        <v/>
      </c>
    </row>
    <row r="1658">
      <c r="Z1658">
        <f>IF([2]Entry!$E$1661="","",[2]Entry!$E$1661)</f>
        <v/>
      </c>
      <c r="AA1658">
        <f>IF([2]Entry!$G$1661="","",[2]Entry!$G$1661)</f>
        <v/>
      </c>
      <c r="AB1658">
        <f>IF([2]Entry!$J$1661="","",[2]Entry!$J$1661)</f>
        <v/>
      </c>
      <c r="AC1658">
        <f>IF([2]Entry!$K$1661="","",[2]Entry!$K$1661)</f>
        <v/>
      </c>
      <c r="AD1658">
        <f>IF([2]Entry!$L$1661="","",[2]Entry!$L$1661)</f>
        <v/>
      </c>
      <c r="AE1658">
        <f>IF([2]Entry!$M$1661="","",[2]Entry!$M$1661)</f>
        <v/>
      </c>
      <c r="AF1658">
        <f>IF([2]Entry!$N$1661="","",[2]Entry!$N$1661)</f>
        <v/>
      </c>
      <c r="AJ1658">
        <f>IF([2]Entry!$S$1661="","",[2]Entry!$S$1661)</f>
        <v/>
      </c>
      <c r="AK1658">
        <f>IF([2]Entry!$C$1661="","",[2]Entry!$C$1661)</f>
        <v/>
      </c>
      <c r="AL1658">
        <f>IF([2]Entry!$D$1661="","",[2]Entry!$D$1661)</f>
        <v/>
      </c>
    </row>
    <row r="1659">
      <c r="Z1659">
        <f>IF([2]Entry!$E$1662="","",[2]Entry!$E$1662)</f>
        <v/>
      </c>
      <c r="AA1659">
        <f>IF([2]Entry!$G$1662="","",[2]Entry!$G$1662)</f>
        <v/>
      </c>
      <c r="AB1659">
        <f>IF([2]Entry!$J$1662="","",[2]Entry!$J$1662)</f>
        <v/>
      </c>
      <c r="AC1659">
        <f>IF([2]Entry!$K$1662="","",[2]Entry!$K$1662)</f>
        <v/>
      </c>
      <c r="AD1659">
        <f>IF([2]Entry!$L$1662="","",[2]Entry!$L$1662)</f>
        <v/>
      </c>
      <c r="AE1659">
        <f>IF([2]Entry!$M$1662="","",[2]Entry!$M$1662)</f>
        <v/>
      </c>
      <c r="AF1659">
        <f>IF([2]Entry!$N$1662="","",[2]Entry!$N$1662)</f>
        <v/>
      </c>
      <c r="AJ1659">
        <f>IF([2]Entry!$S$1662="","",[2]Entry!$S$1662)</f>
        <v/>
      </c>
      <c r="AK1659">
        <f>IF([2]Entry!$C$1662="","",[2]Entry!$C$1662)</f>
        <v/>
      </c>
      <c r="AL1659">
        <f>IF([2]Entry!$D$1662="","",[2]Entry!$D$1662)</f>
        <v/>
      </c>
    </row>
    <row r="1660">
      <c r="Z1660">
        <f>IF([2]Entry!$E$1663="","",[2]Entry!$E$1663)</f>
        <v/>
      </c>
      <c r="AA1660">
        <f>IF([2]Entry!$G$1663="","",[2]Entry!$G$1663)</f>
        <v/>
      </c>
      <c r="AB1660">
        <f>IF([2]Entry!$J$1663="","",[2]Entry!$J$1663)</f>
        <v/>
      </c>
      <c r="AC1660">
        <f>IF([2]Entry!$K$1663="","",[2]Entry!$K$1663)</f>
        <v/>
      </c>
      <c r="AD1660">
        <f>IF([2]Entry!$L$1663="","",[2]Entry!$L$1663)</f>
        <v/>
      </c>
      <c r="AE1660">
        <f>IF([2]Entry!$M$1663="","",[2]Entry!$M$1663)</f>
        <v/>
      </c>
      <c r="AF1660">
        <f>IF([2]Entry!$N$1663="","",[2]Entry!$N$1663)</f>
        <v/>
      </c>
      <c r="AJ1660">
        <f>IF([2]Entry!$S$1663="","",[2]Entry!$S$1663)</f>
        <v/>
      </c>
      <c r="AK1660">
        <f>IF([2]Entry!$C$1663="","",[2]Entry!$C$1663)</f>
        <v/>
      </c>
      <c r="AL1660">
        <f>IF([2]Entry!$D$1663="","",[2]Entry!$D$1663)</f>
        <v/>
      </c>
    </row>
    <row r="1661">
      <c r="Z1661">
        <f>IF([2]Entry!$E$1664="","",[2]Entry!$E$1664)</f>
        <v/>
      </c>
      <c r="AA1661">
        <f>IF([2]Entry!$G$1664="","",[2]Entry!$G$1664)</f>
        <v/>
      </c>
      <c r="AB1661">
        <f>IF([2]Entry!$J$1664="","",[2]Entry!$J$1664)</f>
        <v/>
      </c>
      <c r="AC1661">
        <f>IF([2]Entry!$K$1664="","",[2]Entry!$K$1664)</f>
        <v/>
      </c>
      <c r="AD1661">
        <f>IF([2]Entry!$L$1664="","",[2]Entry!$L$1664)</f>
        <v/>
      </c>
      <c r="AE1661">
        <f>IF([2]Entry!$M$1664="","",[2]Entry!$M$1664)</f>
        <v/>
      </c>
      <c r="AF1661">
        <f>IF([2]Entry!$N$1664="","",[2]Entry!$N$1664)</f>
        <v/>
      </c>
      <c r="AJ1661">
        <f>IF([2]Entry!$S$1664="","",[2]Entry!$S$1664)</f>
        <v/>
      </c>
      <c r="AK1661">
        <f>IF([2]Entry!$C$1664="","",[2]Entry!$C$1664)</f>
        <v/>
      </c>
      <c r="AL1661">
        <f>IF([2]Entry!$D$1664="","",[2]Entry!$D$1664)</f>
        <v/>
      </c>
    </row>
    <row r="1662">
      <c r="Z1662">
        <f>IF([2]Entry!$E$1665="","",[2]Entry!$E$1665)</f>
        <v/>
      </c>
      <c r="AA1662">
        <f>IF([2]Entry!$G$1665="","",[2]Entry!$G$1665)</f>
        <v/>
      </c>
      <c r="AB1662">
        <f>IF([2]Entry!$J$1665="","",[2]Entry!$J$1665)</f>
        <v/>
      </c>
      <c r="AC1662">
        <f>IF([2]Entry!$K$1665="","",[2]Entry!$K$1665)</f>
        <v/>
      </c>
      <c r="AD1662">
        <f>IF([2]Entry!$L$1665="","",[2]Entry!$L$1665)</f>
        <v/>
      </c>
      <c r="AE1662">
        <f>IF([2]Entry!$M$1665="","",[2]Entry!$M$1665)</f>
        <v/>
      </c>
      <c r="AF1662">
        <f>IF([2]Entry!$N$1665="","",[2]Entry!$N$1665)</f>
        <v/>
      </c>
      <c r="AJ1662">
        <f>IF([2]Entry!$S$1665="","",[2]Entry!$S$1665)</f>
        <v/>
      </c>
      <c r="AK1662">
        <f>IF([2]Entry!$C$1665="","",[2]Entry!$C$1665)</f>
        <v/>
      </c>
      <c r="AL1662">
        <f>IF([2]Entry!$D$1665="","",[2]Entry!$D$1665)</f>
        <v/>
      </c>
    </row>
    <row r="1663">
      <c r="Z1663">
        <f>IF([2]Entry!$E$1666="","",[2]Entry!$E$1666)</f>
        <v/>
      </c>
      <c r="AA1663">
        <f>IF([2]Entry!$G$1666="","",[2]Entry!$G$1666)</f>
        <v/>
      </c>
      <c r="AB1663">
        <f>IF([2]Entry!$J$1666="","",[2]Entry!$J$1666)</f>
        <v/>
      </c>
      <c r="AC1663">
        <f>IF([2]Entry!$K$1666="","",[2]Entry!$K$1666)</f>
        <v/>
      </c>
      <c r="AD1663">
        <f>IF([2]Entry!$L$1666="","",[2]Entry!$L$1666)</f>
        <v/>
      </c>
      <c r="AE1663">
        <f>IF([2]Entry!$M$1666="","",[2]Entry!$M$1666)</f>
        <v/>
      </c>
      <c r="AF1663">
        <f>IF([2]Entry!$N$1666="","",[2]Entry!$N$1666)</f>
        <v/>
      </c>
      <c r="AJ1663">
        <f>IF([2]Entry!$S$1666="","",[2]Entry!$S$1666)</f>
        <v/>
      </c>
      <c r="AK1663">
        <f>IF([2]Entry!$C$1666="","",[2]Entry!$C$1666)</f>
        <v/>
      </c>
      <c r="AL1663">
        <f>IF([2]Entry!$D$1666="","",[2]Entry!$D$1666)</f>
        <v/>
      </c>
    </row>
    <row r="1664">
      <c r="Z1664">
        <f>IF([2]Entry!$E$1667="","",[2]Entry!$E$1667)</f>
        <v/>
      </c>
      <c r="AA1664">
        <f>IF([2]Entry!$G$1667="","",[2]Entry!$G$1667)</f>
        <v/>
      </c>
      <c r="AB1664">
        <f>IF([2]Entry!$J$1667="","",[2]Entry!$J$1667)</f>
        <v/>
      </c>
      <c r="AC1664">
        <f>IF([2]Entry!$K$1667="","",[2]Entry!$K$1667)</f>
        <v/>
      </c>
      <c r="AD1664">
        <f>IF([2]Entry!$L$1667="","",[2]Entry!$L$1667)</f>
        <v/>
      </c>
      <c r="AE1664">
        <f>IF([2]Entry!$M$1667="","",[2]Entry!$M$1667)</f>
        <v/>
      </c>
      <c r="AF1664">
        <f>IF([2]Entry!$N$1667="","",[2]Entry!$N$1667)</f>
        <v/>
      </c>
      <c r="AJ1664">
        <f>IF([2]Entry!$S$1667="","",[2]Entry!$S$1667)</f>
        <v/>
      </c>
      <c r="AK1664">
        <f>IF([2]Entry!$C$1667="","",[2]Entry!$C$1667)</f>
        <v/>
      </c>
      <c r="AL1664">
        <f>IF([2]Entry!$D$1667="","",[2]Entry!$D$1667)</f>
        <v/>
      </c>
    </row>
    <row r="1665">
      <c r="Z1665">
        <f>IF([2]Entry!$E$1668="","",[2]Entry!$E$1668)</f>
        <v/>
      </c>
      <c r="AA1665">
        <f>IF([2]Entry!$G$1668="","",[2]Entry!$G$1668)</f>
        <v/>
      </c>
      <c r="AB1665">
        <f>IF([2]Entry!$J$1668="","",[2]Entry!$J$1668)</f>
        <v/>
      </c>
      <c r="AC1665">
        <f>IF([2]Entry!$K$1668="","",[2]Entry!$K$1668)</f>
        <v/>
      </c>
      <c r="AD1665">
        <f>IF([2]Entry!$L$1668="","",[2]Entry!$L$1668)</f>
        <v/>
      </c>
      <c r="AE1665">
        <f>IF([2]Entry!$M$1668="","",[2]Entry!$M$1668)</f>
        <v/>
      </c>
      <c r="AF1665">
        <f>IF([2]Entry!$N$1668="","",[2]Entry!$N$1668)</f>
        <v/>
      </c>
      <c r="AJ1665">
        <f>IF([2]Entry!$S$1668="","",[2]Entry!$S$1668)</f>
        <v/>
      </c>
      <c r="AK1665">
        <f>IF([2]Entry!$C$1668="","",[2]Entry!$C$1668)</f>
        <v/>
      </c>
      <c r="AL1665">
        <f>IF([2]Entry!$D$1668="","",[2]Entry!$D$1668)</f>
        <v/>
      </c>
    </row>
    <row r="1666">
      <c r="Z1666">
        <f>IF([2]Entry!$E$1669="","",[2]Entry!$E$1669)</f>
        <v/>
      </c>
      <c r="AA1666">
        <f>IF([2]Entry!$G$1669="","",[2]Entry!$G$1669)</f>
        <v/>
      </c>
      <c r="AB1666">
        <f>IF([2]Entry!$J$1669="","",[2]Entry!$J$1669)</f>
        <v/>
      </c>
      <c r="AC1666">
        <f>IF([2]Entry!$K$1669="","",[2]Entry!$K$1669)</f>
        <v/>
      </c>
      <c r="AD1666">
        <f>IF([2]Entry!$L$1669="","",[2]Entry!$L$1669)</f>
        <v/>
      </c>
      <c r="AE1666">
        <f>IF([2]Entry!$M$1669="","",[2]Entry!$M$1669)</f>
        <v/>
      </c>
      <c r="AF1666">
        <f>IF([2]Entry!$N$1669="","",[2]Entry!$N$1669)</f>
        <v/>
      </c>
      <c r="AJ1666">
        <f>IF([2]Entry!$S$1669="","",[2]Entry!$S$1669)</f>
        <v/>
      </c>
      <c r="AK1666">
        <f>IF([2]Entry!$C$1669="","",[2]Entry!$C$1669)</f>
        <v/>
      </c>
      <c r="AL1666">
        <f>IF([2]Entry!$D$1669="","",[2]Entry!$D$1669)</f>
        <v/>
      </c>
    </row>
    <row r="1667">
      <c r="Z1667">
        <f>IF([2]Entry!$E$1670="","",[2]Entry!$E$1670)</f>
        <v/>
      </c>
      <c r="AA1667">
        <f>IF([2]Entry!$G$1670="","",[2]Entry!$G$1670)</f>
        <v/>
      </c>
      <c r="AB1667">
        <f>IF([2]Entry!$J$1670="","",[2]Entry!$J$1670)</f>
        <v/>
      </c>
      <c r="AC1667">
        <f>IF([2]Entry!$K$1670="","",[2]Entry!$K$1670)</f>
        <v/>
      </c>
      <c r="AD1667">
        <f>IF([2]Entry!$L$1670="","",[2]Entry!$L$1670)</f>
        <v/>
      </c>
      <c r="AE1667">
        <f>IF([2]Entry!$M$1670="","",[2]Entry!$M$1670)</f>
        <v/>
      </c>
      <c r="AF1667">
        <f>IF([2]Entry!$N$1670="","",[2]Entry!$N$1670)</f>
        <v/>
      </c>
      <c r="AJ1667">
        <f>IF([2]Entry!$S$1670="","",[2]Entry!$S$1670)</f>
        <v/>
      </c>
      <c r="AK1667">
        <f>IF([2]Entry!$C$1670="","",[2]Entry!$C$1670)</f>
        <v/>
      </c>
      <c r="AL1667">
        <f>IF([2]Entry!$D$1670="","",[2]Entry!$D$1670)</f>
        <v/>
      </c>
    </row>
    <row r="1668">
      <c r="Z1668">
        <f>IF([2]Entry!$E$1671="","",[2]Entry!$E$1671)</f>
        <v/>
      </c>
      <c r="AA1668">
        <f>IF([2]Entry!$G$1671="","",[2]Entry!$G$1671)</f>
        <v/>
      </c>
      <c r="AB1668">
        <f>IF([2]Entry!$J$1671="","",[2]Entry!$J$1671)</f>
        <v/>
      </c>
      <c r="AC1668">
        <f>IF([2]Entry!$K$1671="","",[2]Entry!$K$1671)</f>
        <v/>
      </c>
      <c r="AD1668">
        <f>IF([2]Entry!$L$1671="","",[2]Entry!$L$1671)</f>
        <v/>
      </c>
      <c r="AE1668">
        <f>IF([2]Entry!$M$1671="","",[2]Entry!$M$1671)</f>
        <v/>
      </c>
      <c r="AF1668">
        <f>IF([2]Entry!$N$1671="","",[2]Entry!$N$1671)</f>
        <v/>
      </c>
      <c r="AJ1668">
        <f>IF([2]Entry!$S$1671="","",[2]Entry!$S$1671)</f>
        <v/>
      </c>
      <c r="AK1668">
        <f>IF([2]Entry!$C$1671="","",[2]Entry!$C$1671)</f>
        <v/>
      </c>
      <c r="AL1668">
        <f>IF([2]Entry!$D$1671="","",[2]Entry!$D$1671)</f>
        <v/>
      </c>
    </row>
    <row r="1669">
      <c r="Z1669">
        <f>IF([2]Entry!$E$1672="","",[2]Entry!$E$1672)</f>
        <v/>
      </c>
      <c r="AA1669">
        <f>IF([2]Entry!$G$1672="","",[2]Entry!$G$1672)</f>
        <v/>
      </c>
      <c r="AB1669">
        <f>IF([2]Entry!$J$1672="","",[2]Entry!$J$1672)</f>
        <v/>
      </c>
      <c r="AC1669">
        <f>IF([2]Entry!$K$1672="","",[2]Entry!$K$1672)</f>
        <v/>
      </c>
      <c r="AD1669">
        <f>IF([2]Entry!$L$1672="","",[2]Entry!$L$1672)</f>
        <v/>
      </c>
      <c r="AE1669">
        <f>IF([2]Entry!$M$1672="","",[2]Entry!$M$1672)</f>
        <v/>
      </c>
      <c r="AF1669">
        <f>IF([2]Entry!$N$1672="","",[2]Entry!$N$1672)</f>
        <v/>
      </c>
      <c r="AJ1669">
        <f>IF([2]Entry!$S$1672="","",[2]Entry!$S$1672)</f>
        <v/>
      </c>
      <c r="AK1669">
        <f>IF([2]Entry!$C$1672="","",[2]Entry!$C$1672)</f>
        <v/>
      </c>
      <c r="AL1669">
        <f>IF([2]Entry!$D$1672="","",[2]Entry!$D$1672)</f>
        <v/>
      </c>
    </row>
    <row r="1670">
      <c r="Z1670">
        <f>IF([2]Entry!$E$1673="","",[2]Entry!$E$1673)</f>
        <v/>
      </c>
      <c r="AA1670">
        <f>IF([2]Entry!$G$1673="","",[2]Entry!$G$1673)</f>
        <v/>
      </c>
      <c r="AB1670">
        <f>IF([2]Entry!$J$1673="","",[2]Entry!$J$1673)</f>
        <v/>
      </c>
      <c r="AC1670">
        <f>IF([2]Entry!$K$1673="","",[2]Entry!$K$1673)</f>
        <v/>
      </c>
      <c r="AD1670">
        <f>IF([2]Entry!$L$1673="","",[2]Entry!$L$1673)</f>
        <v/>
      </c>
      <c r="AE1670">
        <f>IF([2]Entry!$M$1673="","",[2]Entry!$M$1673)</f>
        <v/>
      </c>
      <c r="AF1670">
        <f>IF([2]Entry!$N$1673="","",[2]Entry!$N$1673)</f>
        <v/>
      </c>
      <c r="AJ1670">
        <f>IF([2]Entry!$S$1673="","",[2]Entry!$S$1673)</f>
        <v/>
      </c>
      <c r="AK1670">
        <f>IF([2]Entry!$C$1673="","",[2]Entry!$C$1673)</f>
        <v/>
      </c>
      <c r="AL1670">
        <f>IF([2]Entry!$D$1673="","",[2]Entry!$D$1673)</f>
        <v/>
      </c>
    </row>
    <row r="1671">
      <c r="Z1671">
        <f>IF([2]Entry!$E$1674="","",[2]Entry!$E$1674)</f>
        <v/>
      </c>
      <c r="AA1671">
        <f>IF([2]Entry!$G$1674="","",[2]Entry!$G$1674)</f>
        <v/>
      </c>
      <c r="AB1671">
        <f>IF([2]Entry!$J$1674="","",[2]Entry!$J$1674)</f>
        <v/>
      </c>
      <c r="AC1671">
        <f>IF([2]Entry!$K$1674="","",[2]Entry!$K$1674)</f>
        <v/>
      </c>
      <c r="AD1671">
        <f>IF([2]Entry!$L$1674="","",[2]Entry!$L$1674)</f>
        <v/>
      </c>
      <c r="AE1671">
        <f>IF([2]Entry!$M$1674="","",[2]Entry!$M$1674)</f>
        <v/>
      </c>
      <c r="AF1671">
        <f>IF([2]Entry!$N$1674="","",[2]Entry!$N$1674)</f>
        <v/>
      </c>
      <c r="AJ1671">
        <f>IF([2]Entry!$S$1674="","",[2]Entry!$S$1674)</f>
        <v/>
      </c>
      <c r="AK1671">
        <f>IF([2]Entry!$C$1674="","",[2]Entry!$C$1674)</f>
        <v/>
      </c>
      <c r="AL1671">
        <f>IF([2]Entry!$D$1674="","",[2]Entry!$D$1674)</f>
        <v/>
      </c>
    </row>
    <row r="1672">
      <c r="Z1672">
        <f>IF([2]Entry!$E$1675="","",[2]Entry!$E$1675)</f>
        <v/>
      </c>
      <c r="AA1672">
        <f>IF([2]Entry!$G$1675="","",[2]Entry!$G$1675)</f>
        <v/>
      </c>
      <c r="AB1672">
        <f>IF([2]Entry!$J$1675="","",[2]Entry!$J$1675)</f>
        <v/>
      </c>
      <c r="AC1672">
        <f>IF([2]Entry!$K$1675="","",[2]Entry!$K$1675)</f>
        <v/>
      </c>
      <c r="AD1672">
        <f>IF([2]Entry!$L$1675="","",[2]Entry!$L$1675)</f>
        <v/>
      </c>
      <c r="AE1672">
        <f>IF([2]Entry!$M$1675="","",[2]Entry!$M$1675)</f>
        <v/>
      </c>
      <c r="AF1672">
        <f>IF([2]Entry!$N$1675="","",[2]Entry!$N$1675)</f>
        <v/>
      </c>
      <c r="AJ1672">
        <f>IF([2]Entry!$S$1675="","",[2]Entry!$S$1675)</f>
        <v/>
      </c>
      <c r="AK1672">
        <f>IF([2]Entry!$C$1675="","",[2]Entry!$C$1675)</f>
        <v/>
      </c>
      <c r="AL1672">
        <f>IF([2]Entry!$D$1675="","",[2]Entry!$D$1675)</f>
        <v/>
      </c>
    </row>
    <row r="1673">
      <c r="Z1673">
        <f>IF([2]Entry!$E$1676="","",[2]Entry!$E$1676)</f>
        <v/>
      </c>
      <c r="AA1673">
        <f>IF([2]Entry!$G$1676="","",[2]Entry!$G$1676)</f>
        <v/>
      </c>
      <c r="AB1673">
        <f>IF([2]Entry!$J$1676="","",[2]Entry!$J$1676)</f>
        <v/>
      </c>
      <c r="AC1673">
        <f>IF([2]Entry!$K$1676="","",[2]Entry!$K$1676)</f>
        <v/>
      </c>
      <c r="AD1673">
        <f>IF([2]Entry!$L$1676="","",[2]Entry!$L$1676)</f>
        <v/>
      </c>
      <c r="AE1673">
        <f>IF([2]Entry!$M$1676="","",[2]Entry!$M$1676)</f>
        <v/>
      </c>
      <c r="AF1673">
        <f>IF([2]Entry!$N$1676="","",[2]Entry!$N$1676)</f>
        <v/>
      </c>
      <c r="AJ1673">
        <f>IF([2]Entry!$S$1676="","",[2]Entry!$S$1676)</f>
        <v/>
      </c>
      <c r="AK1673">
        <f>IF([2]Entry!$C$1676="","",[2]Entry!$C$1676)</f>
        <v/>
      </c>
      <c r="AL1673">
        <f>IF([2]Entry!$D$1676="","",[2]Entry!$D$1676)</f>
        <v/>
      </c>
    </row>
    <row r="1674">
      <c r="Z1674">
        <f>IF([2]Entry!$E$1677="","",[2]Entry!$E$1677)</f>
        <v/>
      </c>
      <c r="AA1674">
        <f>IF([2]Entry!$G$1677="","",[2]Entry!$G$1677)</f>
        <v/>
      </c>
      <c r="AB1674">
        <f>IF([2]Entry!$J$1677="","",[2]Entry!$J$1677)</f>
        <v/>
      </c>
      <c r="AC1674">
        <f>IF([2]Entry!$K$1677="","",[2]Entry!$K$1677)</f>
        <v/>
      </c>
      <c r="AD1674">
        <f>IF([2]Entry!$L$1677="","",[2]Entry!$L$1677)</f>
        <v/>
      </c>
      <c r="AE1674">
        <f>IF([2]Entry!$M$1677="","",[2]Entry!$M$1677)</f>
        <v/>
      </c>
      <c r="AF1674">
        <f>IF([2]Entry!$N$1677="","",[2]Entry!$N$1677)</f>
        <v/>
      </c>
      <c r="AJ1674">
        <f>IF([2]Entry!$S$1677="","",[2]Entry!$S$1677)</f>
        <v/>
      </c>
      <c r="AK1674">
        <f>IF([2]Entry!$C$1677="","",[2]Entry!$C$1677)</f>
        <v/>
      </c>
      <c r="AL1674">
        <f>IF([2]Entry!$D$1677="","",[2]Entry!$D$1677)</f>
        <v/>
      </c>
    </row>
    <row r="1675">
      <c r="Z1675">
        <f>IF([2]Entry!$E$1678="","",[2]Entry!$E$1678)</f>
        <v/>
      </c>
      <c r="AA1675">
        <f>IF([2]Entry!$G$1678="","",[2]Entry!$G$1678)</f>
        <v/>
      </c>
      <c r="AB1675">
        <f>IF([2]Entry!$J$1678="","",[2]Entry!$J$1678)</f>
        <v/>
      </c>
      <c r="AC1675">
        <f>IF([2]Entry!$K$1678="","",[2]Entry!$K$1678)</f>
        <v/>
      </c>
      <c r="AD1675">
        <f>IF([2]Entry!$L$1678="","",[2]Entry!$L$1678)</f>
        <v/>
      </c>
      <c r="AE1675">
        <f>IF([2]Entry!$M$1678="","",[2]Entry!$M$1678)</f>
        <v/>
      </c>
      <c r="AF1675">
        <f>IF([2]Entry!$N$1678="","",[2]Entry!$N$1678)</f>
        <v/>
      </c>
      <c r="AJ1675">
        <f>IF([2]Entry!$S$1678="","",[2]Entry!$S$1678)</f>
        <v/>
      </c>
      <c r="AK1675">
        <f>IF([2]Entry!$C$1678="","",[2]Entry!$C$1678)</f>
        <v/>
      </c>
      <c r="AL1675">
        <f>IF([2]Entry!$D$1678="","",[2]Entry!$D$1678)</f>
        <v/>
      </c>
    </row>
    <row r="1676">
      <c r="Z1676">
        <f>IF([2]Entry!$E$1679="","",[2]Entry!$E$1679)</f>
        <v/>
      </c>
      <c r="AA1676">
        <f>IF([2]Entry!$G$1679="","",[2]Entry!$G$1679)</f>
        <v/>
      </c>
      <c r="AB1676">
        <f>IF([2]Entry!$J$1679="","",[2]Entry!$J$1679)</f>
        <v/>
      </c>
      <c r="AC1676">
        <f>IF([2]Entry!$K$1679="","",[2]Entry!$K$1679)</f>
        <v/>
      </c>
      <c r="AD1676">
        <f>IF([2]Entry!$L$1679="","",[2]Entry!$L$1679)</f>
        <v/>
      </c>
      <c r="AE1676">
        <f>IF([2]Entry!$M$1679="","",[2]Entry!$M$1679)</f>
        <v/>
      </c>
      <c r="AF1676">
        <f>IF([2]Entry!$N$1679="","",[2]Entry!$N$1679)</f>
        <v/>
      </c>
      <c r="AJ1676">
        <f>IF([2]Entry!$S$1679="","",[2]Entry!$S$1679)</f>
        <v/>
      </c>
      <c r="AK1676">
        <f>IF([2]Entry!$C$1679="","",[2]Entry!$C$1679)</f>
        <v/>
      </c>
      <c r="AL1676">
        <f>IF([2]Entry!$D$1679="","",[2]Entry!$D$1679)</f>
        <v/>
      </c>
    </row>
    <row r="1677">
      <c r="Z1677">
        <f>IF([2]Entry!$E$1680="","",[2]Entry!$E$1680)</f>
        <v/>
      </c>
      <c r="AA1677">
        <f>IF([2]Entry!$G$1680="","",[2]Entry!$G$1680)</f>
        <v/>
      </c>
      <c r="AB1677">
        <f>IF([2]Entry!$J$1680="","",[2]Entry!$J$1680)</f>
        <v/>
      </c>
      <c r="AC1677">
        <f>IF([2]Entry!$K$1680="","",[2]Entry!$K$1680)</f>
        <v/>
      </c>
      <c r="AD1677">
        <f>IF([2]Entry!$L$1680="","",[2]Entry!$L$1680)</f>
        <v/>
      </c>
      <c r="AE1677">
        <f>IF([2]Entry!$M$1680="","",[2]Entry!$M$1680)</f>
        <v/>
      </c>
      <c r="AF1677">
        <f>IF([2]Entry!$N$1680="","",[2]Entry!$N$1680)</f>
        <v/>
      </c>
      <c r="AJ1677">
        <f>IF([2]Entry!$S$1680="","",[2]Entry!$S$1680)</f>
        <v/>
      </c>
      <c r="AK1677">
        <f>IF([2]Entry!$C$1680="","",[2]Entry!$C$1680)</f>
        <v/>
      </c>
      <c r="AL1677">
        <f>IF([2]Entry!$D$1680="","",[2]Entry!$D$1680)</f>
        <v/>
      </c>
    </row>
    <row r="1678">
      <c r="Z1678">
        <f>IF([2]Entry!$E$1681="","",[2]Entry!$E$1681)</f>
        <v/>
      </c>
      <c r="AA1678">
        <f>IF([2]Entry!$G$1681="","",[2]Entry!$G$1681)</f>
        <v/>
      </c>
      <c r="AB1678">
        <f>IF([2]Entry!$J$1681="","",[2]Entry!$J$1681)</f>
        <v/>
      </c>
      <c r="AC1678">
        <f>IF([2]Entry!$K$1681="","",[2]Entry!$K$1681)</f>
        <v/>
      </c>
      <c r="AD1678">
        <f>IF([2]Entry!$L$1681="","",[2]Entry!$L$1681)</f>
        <v/>
      </c>
      <c r="AE1678">
        <f>IF([2]Entry!$M$1681="","",[2]Entry!$M$1681)</f>
        <v/>
      </c>
      <c r="AF1678">
        <f>IF([2]Entry!$N$1681="","",[2]Entry!$N$1681)</f>
        <v/>
      </c>
      <c r="AJ1678">
        <f>IF([2]Entry!$S$1681="","",[2]Entry!$S$1681)</f>
        <v/>
      </c>
      <c r="AK1678">
        <f>IF([2]Entry!$C$1681="","",[2]Entry!$C$1681)</f>
        <v/>
      </c>
      <c r="AL1678">
        <f>IF([2]Entry!$D$1681="","",[2]Entry!$D$1681)</f>
        <v/>
      </c>
    </row>
    <row r="1679">
      <c r="Z1679">
        <f>IF([2]Entry!$E$1682="","",[2]Entry!$E$1682)</f>
        <v/>
      </c>
      <c r="AA1679">
        <f>IF([2]Entry!$G$1682="","",[2]Entry!$G$1682)</f>
        <v/>
      </c>
      <c r="AB1679">
        <f>IF([2]Entry!$J$1682="","",[2]Entry!$J$1682)</f>
        <v/>
      </c>
      <c r="AC1679">
        <f>IF([2]Entry!$K$1682="","",[2]Entry!$K$1682)</f>
        <v/>
      </c>
      <c r="AD1679">
        <f>IF([2]Entry!$L$1682="","",[2]Entry!$L$1682)</f>
        <v/>
      </c>
      <c r="AE1679">
        <f>IF([2]Entry!$M$1682="","",[2]Entry!$M$1682)</f>
        <v/>
      </c>
      <c r="AF1679">
        <f>IF([2]Entry!$N$1682="","",[2]Entry!$N$1682)</f>
        <v/>
      </c>
      <c r="AJ1679">
        <f>IF([2]Entry!$S$1682="","",[2]Entry!$S$1682)</f>
        <v/>
      </c>
      <c r="AK1679">
        <f>IF([2]Entry!$C$1682="","",[2]Entry!$C$1682)</f>
        <v/>
      </c>
      <c r="AL1679">
        <f>IF([2]Entry!$D$1682="","",[2]Entry!$D$1682)</f>
        <v/>
      </c>
    </row>
    <row r="1680">
      <c r="Z1680">
        <f>IF([2]Entry!$E$1683="","",[2]Entry!$E$1683)</f>
        <v/>
      </c>
      <c r="AA1680">
        <f>IF([2]Entry!$G$1683="","",[2]Entry!$G$1683)</f>
        <v/>
      </c>
      <c r="AB1680">
        <f>IF([2]Entry!$J$1683="","",[2]Entry!$J$1683)</f>
        <v/>
      </c>
      <c r="AC1680">
        <f>IF([2]Entry!$K$1683="","",[2]Entry!$K$1683)</f>
        <v/>
      </c>
      <c r="AD1680">
        <f>IF([2]Entry!$L$1683="","",[2]Entry!$L$1683)</f>
        <v/>
      </c>
      <c r="AE1680">
        <f>IF([2]Entry!$M$1683="","",[2]Entry!$M$1683)</f>
        <v/>
      </c>
      <c r="AF1680">
        <f>IF([2]Entry!$N$1683="","",[2]Entry!$N$1683)</f>
        <v/>
      </c>
      <c r="AJ1680">
        <f>IF([2]Entry!$S$1683="","",[2]Entry!$S$1683)</f>
        <v/>
      </c>
      <c r="AK1680">
        <f>IF([2]Entry!$C$1683="","",[2]Entry!$C$1683)</f>
        <v/>
      </c>
      <c r="AL1680">
        <f>IF([2]Entry!$D$1683="","",[2]Entry!$D$1683)</f>
        <v/>
      </c>
    </row>
    <row r="1681">
      <c r="Z1681">
        <f>IF([2]Entry!$E$1684="","",[2]Entry!$E$1684)</f>
        <v/>
      </c>
      <c r="AA1681">
        <f>IF([2]Entry!$G$1684="","",[2]Entry!$G$1684)</f>
        <v/>
      </c>
      <c r="AB1681">
        <f>IF([2]Entry!$J$1684="","",[2]Entry!$J$1684)</f>
        <v/>
      </c>
      <c r="AC1681">
        <f>IF([2]Entry!$K$1684="","",[2]Entry!$K$1684)</f>
        <v/>
      </c>
      <c r="AD1681">
        <f>IF([2]Entry!$L$1684="","",[2]Entry!$L$1684)</f>
        <v/>
      </c>
      <c r="AE1681">
        <f>IF([2]Entry!$M$1684="","",[2]Entry!$M$1684)</f>
        <v/>
      </c>
      <c r="AF1681">
        <f>IF([2]Entry!$N$1684="","",[2]Entry!$N$1684)</f>
        <v/>
      </c>
      <c r="AJ1681">
        <f>IF([2]Entry!$S$1684="","",[2]Entry!$S$1684)</f>
        <v/>
      </c>
      <c r="AK1681">
        <f>IF([2]Entry!$C$1684="","",[2]Entry!$C$1684)</f>
        <v/>
      </c>
      <c r="AL1681">
        <f>IF([2]Entry!$D$1684="","",[2]Entry!$D$1684)</f>
        <v/>
      </c>
    </row>
    <row r="1682">
      <c r="Z1682">
        <f>IF([2]Entry!$E$1685="","",[2]Entry!$E$1685)</f>
        <v/>
      </c>
      <c r="AA1682">
        <f>IF([2]Entry!$G$1685="","",[2]Entry!$G$1685)</f>
        <v/>
      </c>
      <c r="AB1682">
        <f>IF([2]Entry!$J$1685="","",[2]Entry!$J$1685)</f>
        <v/>
      </c>
      <c r="AC1682">
        <f>IF([2]Entry!$K$1685="","",[2]Entry!$K$1685)</f>
        <v/>
      </c>
      <c r="AD1682">
        <f>IF([2]Entry!$L$1685="","",[2]Entry!$L$1685)</f>
        <v/>
      </c>
      <c r="AE1682">
        <f>IF([2]Entry!$M$1685="","",[2]Entry!$M$1685)</f>
        <v/>
      </c>
      <c r="AF1682">
        <f>IF([2]Entry!$N$1685="","",[2]Entry!$N$1685)</f>
        <v/>
      </c>
      <c r="AJ1682">
        <f>IF([2]Entry!$S$1685="","",[2]Entry!$S$1685)</f>
        <v/>
      </c>
      <c r="AK1682">
        <f>IF([2]Entry!$C$1685="","",[2]Entry!$C$1685)</f>
        <v/>
      </c>
      <c r="AL1682">
        <f>IF([2]Entry!$D$1685="","",[2]Entry!$D$1685)</f>
        <v/>
      </c>
    </row>
    <row r="1683">
      <c r="Z1683">
        <f>IF([2]Entry!$E$1686="","",[2]Entry!$E$1686)</f>
        <v/>
      </c>
      <c r="AA1683">
        <f>IF([2]Entry!$G$1686="","",[2]Entry!$G$1686)</f>
        <v/>
      </c>
      <c r="AB1683">
        <f>IF([2]Entry!$J$1686="","",[2]Entry!$J$1686)</f>
        <v/>
      </c>
      <c r="AC1683">
        <f>IF([2]Entry!$K$1686="","",[2]Entry!$K$1686)</f>
        <v/>
      </c>
      <c r="AD1683">
        <f>IF([2]Entry!$L$1686="","",[2]Entry!$L$1686)</f>
        <v/>
      </c>
      <c r="AE1683">
        <f>IF([2]Entry!$M$1686="","",[2]Entry!$M$1686)</f>
        <v/>
      </c>
      <c r="AF1683">
        <f>IF([2]Entry!$N$1686="","",[2]Entry!$N$1686)</f>
        <v/>
      </c>
      <c r="AJ1683">
        <f>IF([2]Entry!$S$1686="","",[2]Entry!$S$1686)</f>
        <v/>
      </c>
      <c r="AK1683">
        <f>IF([2]Entry!$C$1686="","",[2]Entry!$C$1686)</f>
        <v/>
      </c>
      <c r="AL1683">
        <f>IF([2]Entry!$D$1686="","",[2]Entry!$D$1686)</f>
        <v/>
      </c>
    </row>
    <row r="1684">
      <c r="Z1684">
        <f>IF([2]Entry!$E$1687="","",[2]Entry!$E$1687)</f>
        <v/>
      </c>
      <c r="AA1684">
        <f>IF([2]Entry!$G$1687="","",[2]Entry!$G$1687)</f>
        <v/>
      </c>
      <c r="AB1684">
        <f>IF([2]Entry!$J$1687="","",[2]Entry!$J$1687)</f>
        <v/>
      </c>
      <c r="AC1684">
        <f>IF([2]Entry!$K$1687="","",[2]Entry!$K$1687)</f>
        <v/>
      </c>
      <c r="AD1684">
        <f>IF([2]Entry!$L$1687="","",[2]Entry!$L$1687)</f>
        <v/>
      </c>
      <c r="AE1684">
        <f>IF([2]Entry!$M$1687="","",[2]Entry!$M$1687)</f>
        <v/>
      </c>
      <c r="AF1684">
        <f>IF([2]Entry!$N$1687="","",[2]Entry!$N$1687)</f>
        <v/>
      </c>
      <c r="AJ1684">
        <f>IF([2]Entry!$S$1687="","",[2]Entry!$S$1687)</f>
        <v/>
      </c>
      <c r="AK1684">
        <f>IF([2]Entry!$C$1687="","",[2]Entry!$C$1687)</f>
        <v/>
      </c>
      <c r="AL1684">
        <f>IF([2]Entry!$D$1687="","",[2]Entry!$D$1687)</f>
        <v/>
      </c>
    </row>
    <row r="1685">
      <c r="Z1685">
        <f>IF([2]Entry!$E$1688="","",[2]Entry!$E$1688)</f>
        <v/>
      </c>
      <c r="AA1685">
        <f>IF([2]Entry!$G$1688="","",[2]Entry!$G$1688)</f>
        <v/>
      </c>
      <c r="AB1685">
        <f>IF([2]Entry!$J$1688="","",[2]Entry!$J$1688)</f>
        <v/>
      </c>
      <c r="AC1685">
        <f>IF([2]Entry!$K$1688="","",[2]Entry!$K$1688)</f>
        <v/>
      </c>
      <c r="AD1685">
        <f>IF([2]Entry!$L$1688="","",[2]Entry!$L$1688)</f>
        <v/>
      </c>
      <c r="AE1685">
        <f>IF([2]Entry!$M$1688="","",[2]Entry!$M$1688)</f>
        <v/>
      </c>
      <c r="AF1685">
        <f>IF([2]Entry!$N$1688="","",[2]Entry!$N$1688)</f>
        <v/>
      </c>
      <c r="AJ1685">
        <f>IF([2]Entry!$S$1688="","",[2]Entry!$S$1688)</f>
        <v/>
      </c>
      <c r="AK1685">
        <f>IF([2]Entry!$C$1688="","",[2]Entry!$C$1688)</f>
        <v/>
      </c>
      <c r="AL1685">
        <f>IF([2]Entry!$D$1688="","",[2]Entry!$D$1688)</f>
        <v/>
      </c>
    </row>
    <row r="1686">
      <c r="Z1686">
        <f>IF([2]Entry!$E$1689="","",[2]Entry!$E$1689)</f>
        <v/>
      </c>
      <c r="AA1686">
        <f>IF([2]Entry!$G$1689="","",[2]Entry!$G$1689)</f>
        <v/>
      </c>
      <c r="AB1686">
        <f>IF([2]Entry!$J$1689="","",[2]Entry!$J$1689)</f>
        <v/>
      </c>
      <c r="AC1686">
        <f>IF([2]Entry!$K$1689="","",[2]Entry!$K$1689)</f>
        <v/>
      </c>
      <c r="AD1686">
        <f>IF([2]Entry!$L$1689="","",[2]Entry!$L$1689)</f>
        <v/>
      </c>
      <c r="AE1686">
        <f>IF([2]Entry!$M$1689="","",[2]Entry!$M$1689)</f>
        <v/>
      </c>
      <c r="AF1686">
        <f>IF([2]Entry!$N$1689="","",[2]Entry!$N$1689)</f>
        <v/>
      </c>
      <c r="AJ1686">
        <f>IF([2]Entry!$S$1689="","",[2]Entry!$S$1689)</f>
        <v/>
      </c>
      <c r="AK1686">
        <f>IF([2]Entry!$C$1689="","",[2]Entry!$C$1689)</f>
        <v/>
      </c>
      <c r="AL1686">
        <f>IF([2]Entry!$D$1689="","",[2]Entry!$D$1689)</f>
        <v/>
      </c>
    </row>
    <row r="1687">
      <c r="Z1687">
        <f>IF([2]Entry!$E$1690="","",[2]Entry!$E$1690)</f>
        <v/>
      </c>
      <c r="AA1687">
        <f>IF([2]Entry!$G$1690="","",[2]Entry!$G$1690)</f>
        <v/>
      </c>
      <c r="AB1687">
        <f>IF([2]Entry!$J$1690="","",[2]Entry!$J$1690)</f>
        <v/>
      </c>
      <c r="AC1687">
        <f>IF([2]Entry!$K$1690="","",[2]Entry!$K$1690)</f>
        <v/>
      </c>
      <c r="AD1687">
        <f>IF([2]Entry!$L$1690="","",[2]Entry!$L$1690)</f>
        <v/>
      </c>
      <c r="AE1687">
        <f>IF([2]Entry!$M$1690="","",[2]Entry!$M$1690)</f>
        <v/>
      </c>
      <c r="AF1687">
        <f>IF([2]Entry!$N$1690="","",[2]Entry!$N$1690)</f>
        <v/>
      </c>
      <c r="AJ1687">
        <f>IF([2]Entry!$S$1690="","",[2]Entry!$S$1690)</f>
        <v/>
      </c>
      <c r="AK1687">
        <f>IF([2]Entry!$C$1690="","",[2]Entry!$C$1690)</f>
        <v/>
      </c>
      <c r="AL1687">
        <f>IF([2]Entry!$D$1690="","",[2]Entry!$D$1690)</f>
        <v/>
      </c>
    </row>
    <row r="1688">
      <c r="Z1688">
        <f>IF([2]Entry!$E$1691="","",[2]Entry!$E$1691)</f>
        <v/>
      </c>
      <c r="AA1688">
        <f>IF([2]Entry!$G$1691="","",[2]Entry!$G$1691)</f>
        <v/>
      </c>
      <c r="AB1688">
        <f>IF([2]Entry!$J$1691="","",[2]Entry!$J$1691)</f>
        <v/>
      </c>
      <c r="AC1688">
        <f>IF([2]Entry!$K$1691="","",[2]Entry!$K$1691)</f>
        <v/>
      </c>
      <c r="AD1688">
        <f>IF([2]Entry!$L$1691="","",[2]Entry!$L$1691)</f>
        <v/>
      </c>
      <c r="AE1688">
        <f>IF([2]Entry!$M$1691="","",[2]Entry!$M$1691)</f>
        <v/>
      </c>
      <c r="AF1688">
        <f>IF([2]Entry!$N$1691="","",[2]Entry!$N$1691)</f>
        <v/>
      </c>
      <c r="AJ1688">
        <f>IF([2]Entry!$S$1691="","",[2]Entry!$S$1691)</f>
        <v/>
      </c>
      <c r="AK1688">
        <f>IF([2]Entry!$C$1691="","",[2]Entry!$C$1691)</f>
        <v/>
      </c>
      <c r="AL1688">
        <f>IF([2]Entry!$D$1691="","",[2]Entry!$D$1691)</f>
        <v/>
      </c>
    </row>
    <row r="1689">
      <c r="Z1689">
        <f>IF([2]Entry!$E$1692="","",[2]Entry!$E$1692)</f>
        <v/>
      </c>
      <c r="AA1689">
        <f>IF([2]Entry!$G$1692="","",[2]Entry!$G$1692)</f>
        <v/>
      </c>
      <c r="AB1689">
        <f>IF([2]Entry!$J$1692="","",[2]Entry!$J$1692)</f>
        <v/>
      </c>
      <c r="AC1689">
        <f>IF([2]Entry!$K$1692="","",[2]Entry!$K$1692)</f>
        <v/>
      </c>
      <c r="AD1689">
        <f>IF([2]Entry!$L$1692="","",[2]Entry!$L$1692)</f>
        <v/>
      </c>
      <c r="AE1689">
        <f>IF([2]Entry!$M$1692="","",[2]Entry!$M$1692)</f>
        <v/>
      </c>
      <c r="AF1689">
        <f>IF([2]Entry!$N$1692="","",[2]Entry!$N$1692)</f>
        <v/>
      </c>
      <c r="AJ1689">
        <f>IF([2]Entry!$S$1692="","",[2]Entry!$S$1692)</f>
        <v/>
      </c>
      <c r="AK1689">
        <f>IF([2]Entry!$C$1692="","",[2]Entry!$C$1692)</f>
        <v/>
      </c>
      <c r="AL1689">
        <f>IF([2]Entry!$D$1692="","",[2]Entry!$D$1692)</f>
        <v/>
      </c>
    </row>
    <row r="1690">
      <c r="Z1690">
        <f>IF([2]Entry!$E$1693="","",[2]Entry!$E$1693)</f>
        <v/>
      </c>
      <c r="AA1690">
        <f>IF([2]Entry!$G$1693="","",[2]Entry!$G$1693)</f>
        <v/>
      </c>
      <c r="AB1690">
        <f>IF([2]Entry!$J$1693="","",[2]Entry!$J$1693)</f>
        <v/>
      </c>
      <c r="AC1690">
        <f>IF([2]Entry!$K$1693="","",[2]Entry!$K$1693)</f>
        <v/>
      </c>
      <c r="AD1690">
        <f>IF([2]Entry!$L$1693="","",[2]Entry!$L$1693)</f>
        <v/>
      </c>
      <c r="AE1690">
        <f>IF([2]Entry!$M$1693="","",[2]Entry!$M$1693)</f>
        <v/>
      </c>
      <c r="AF1690">
        <f>IF([2]Entry!$N$1693="","",[2]Entry!$N$1693)</f>
        <v/>
      </c>
      <c r="AJ1690">
        <f>IF([2]Entry!$S$1693="","",[2]Entry!$S$1693)</f>
        <v/>
      </c>
      <c r="AK1690">
        <f>IF([2]Entry!$C$1693="","",[2]Entry!$C$1693)</f>
        <v/>
      </c>
      <c r="AL1690">
        <f>IF([2]Entry!$D$1693="","",[2]Entry!$D$1693)</f>
        <v/>
      </c>
    </row>
    <row r="1691">
      <c r="Z1691">
        <f>IF([2]Entry!$E$1694="","",[2]Entry!$E$1694)</f>
        <v/>
      </c>
      <c r="AA1691">
        <f>IF([2]Entry!$G$1694="","",[2]Entry!$G$1694)</f>
        <v/>
      </c>
      <c r="AB1691">
        <f>IF([2]Entry!$J$1694="","",[2]Entry!$J$1694)</f>
        <v/>
      </c>
      <c r="AC1691">
        <f>IF([2]Entry!$K$1694="","",[2]Entry!$K$1694)</f>
        <v/>
      </c>
      <c r="AD1691">
        <f>IF([2]Entry!$L$1694="","",[2]Entry!$L$1694)</f>
        <v/>
      </c>
      <c r="AE1691">
        <f>IF([2]Entry!$M$1694="","",[2]Entry!$M$1694)</f>
        <v/>
      </c>
      <c r="AF1691">
        <f>IF([2]Entry!$N$1694="","",[2]Entry!$N$1694)</f>
        <v/>
      </c>
      <c r="AJ1691">
        <f>IF([2]Entry!$S$1694="","",[2]Entry!$S$1694)</f>
        <v/>
      </c>
      <c r="AK1691">
        <f>IF([2]Entry!$C$1694="","",[2]Entry!$C$1694)</f>
        <v/>
      </c>
      <c r="AL1691">
        <f>IF([2]Entry!$D$1694="","",[2]Entry!$D$1694)</f>
        <v/>
      </c>
    </row>
    <row r="1692">
      <c r="Z1692">
        <f>IF([2]Entry!$E$1695="","",[2]Entry!$E$1695)</f>
        <v/>
      </c>
      <c r="AA1692">
        <f>IF([2]Entry!$G$1695="","",[2]Entry!$G$1695)</f>
        <v/>
      </c>
      <c r="AB1692">
        <f>IF([2]Entry!$J$1695="","",[2]Entry!$J$1695)</f>
        <v/>
      </c>
      <c r="AC1692">
        <f>IF([2]Entry!$K$1695="","",[2]Entry!$K$1695)</f>
        <v/>
      </c>
      <c r="AD1692">
        <f>IF([2]Entry!$L$1695="","",[2]Entry!$L$1695)</f>
        <v/>
      </c>
      <c r="AE1692">
        <f>IF([2]Entry!$M$1695="","",[2]Entry!$M$1695)</f>
        <v/>
      </c>
      <c r="AF1692">
        <f>IF([2]Entry!$N$1695="","",[2]Entry!$N$1695)</f>
        <v/>
      </c>
      <c r="AJ1692">
        <f>IF([2]Entry!$S$1695="","",[2]Entry!$S$1695)</f>
        <v/>
      </c>
      <c r="AK1692">
        <f>IF([2]Entry!$C$1695="","",[2]Entry!$C$1695)</f>
        <v/>
      </c>
      <c r="AL1692">
        <f>IF([2]Entry!$D$1695="","",[2]Entry!$D$1695)</f>
        <v/>
      </c>
    </row>
    <row r="1693">
      <c r="Z1693">
        <f>IF([2]Entry!$E$1696="","",[2]Entry!$E$1696)</f>
        <v/>
      </c>
      <c r="AA1693">
        <f>IF([2]Entry!$G$1696="","",[2]Entry!$G$1696)</f>
        <v/>
      </c>
      <c r="AB1693">
        <f>IF([2]Entry!$J$1696="","",[2]Entry!$J$1696)</f>
        <v/>
      </c>
      <c r="AC1693">
        <f>IF([2]Entry!$K$1696="","",[2]Entry!$K$1696)</f>
        <v/>
      </c>
      <c r="AD1693">
        <f>IF([2]Entry!$L$1696="","",[2]Entry!$L$1696)</f>
        <v/>
      </c>
      <c r="AE1693">
        <f>IF([2]Entry!$M$1696="","",[2]Entry!$M$1696)</f>
        <v/>
      </c>
      <c r="AF1693">
        <f>IF([2]Entry!$N$1696="","",[2]Entry!$N$1696)</f>
        <v/>
      </c>
      <c r="AJ1693">
        <f>IF([2]Entry!$S$1696="","",[2]Entry!$S$1696)</f>
        <v/>
      </c>
      <c r="AK1693">
        <f>IF([2]Entry!$C$1696="","",[2]Entry!$C$1696)</f>
        <v/>
      </c>
      <c r="AL1693">
        <f>IF([2]Entry!$D$1696="","",[2]Entry!$D$1696)</f>
        <v/>
      </c>
    </row>
    <row r="1694">
      <c r="Z1694">
        <f>IF([2]Entry!$E$1697="","",[2]Entry!$E$1697)</f>
        <v/>
      </c>
      <c r="AA1694">
        <f>IF([2]Entry!$G$1697="","",[2]Entry!$G$1697)</f>
        <v/>
      </c>
      <c r="AB1694">
        <f>IF([2]Entry!$J$1697="","",[2]Entry!$J$1697)</f>
        <v/>
      </c>
      <c r="AC1694">
        <f>IF([2]Entry!$K$1697="","",[2]Entry!$K$1697)</f>
        <v/>
      </c>
      <c r="AD1694">
        <f>IF([2]Entry!$L$1697="","",[2]Entry!$L$1697)</f>
        <v/>
      </c>
      <c r="AE1694">
        <f>IF([2]Entry!$M$1697="","",[2]Entry!$M$1697)</f>
        <v/>
      </c>
      <c r="AF1694">
        <f>IF([2]Entry!$N$1697="","",[2]Entry!$N$1697)</f>
        <v/>
      </c>
      <c r="AJ1694">
        <f>IF([2]Entry!$S$1697="","",[2]Entry!$S$1697)</f>
        <v/>
      </c>
      <c r="AK1694">
        <f>IF([2]Entry!$C$1697="","",[2]Entry!$C$1697)</f>
        <v/>
      </c>
      <c r="AL1694">
        <f>IF([2]Entry!$D$1697="","",[2]Entry!$D$1697)</f>
        <v/>
      </c>
    </row>
    <row r="1695">
      <c r="Z1695">
        <f>IF([2]Entry!$E$1698="","",[2]Entry!$E$1698)</f>
        <v/>
      </c>
      <c r="AA1695">
        <f>IF([2]Entry!$G$1698="","",[2]Entry!$G$1698)</f>
        <v/>
      </c>
      <c r="AB1695">
        <f>IF([2]Entry!$J$1698="","",[2]Entry!$J$1698)</f>
        <v/>
      </c>
      <c r="AC1695">
        <f>IF([2]Entry!$K$1698="","",[2]Entry!$K$1698)</f>
        <v/>
      </c>
      <c r="AD1695">
        <f>IF([2]Entry!$L$1698="","",[2]Entry!$L$1698)</f>
        <v/>
      </c>
      <c r="AE1695">
        <f>IF([2]Entry!$M$1698="","",[2]Entry!$M$1698)</f>
        <v/>
      </c>
      <c r="AF1695">
        <f>IF([2]Entry!$N$1698="","",[2]Entry!$N$1698)</f>
        <v/>
      </c>
      <c r="AJ1695">
        <f>IF([2]Entry!$S$1698="","",[2]Entry!$S$1698)</f>
        <v/>
      </c>
      <c r="AK1695">
        <f>IF([2]Entry!$C$1698="","",[2]Entry!$C$1698)</f>
        <v/>
      </c>
      <c r="AL1695">
        <f>IF([2]Entry!$D$1698="","",[2]Entry!$D$1698)</f>
        <v/>
      </c>
    </row>
    <row r="1696">
      <c r="Z1696">
        <f>IF([2]Entry!$E$1699="","",[2]Entry!$E$1699)</f>
        <v/>
      </c>
      <c r="AA1696">
        <f>IF([2]Entry!$G$1699="","",[2]Entry!$G$1699)</f>
        <v/>
      </c>
      <c r="AB1696">
        <f>IF([2]Entry!$J$1699="","",[2]Entry!$J$1699)</f>
        <v/>
      </c>
      <c r="AC1696">
        <f>IF([2]Entry!$K$1699="","",[2]Entry!$K$1699)</f>
        <v/>
      </c>
      <c r="AD1696">
        <f>IF([2]Entry!$L$1699="","",[2]Entry!$L$1699)</f>
        <v/>
      </c>
      <c r="AE1696">
        <f>IF([2]Entry!$M$1699="","",[2]Entry!$M$1699)</f>
        <v/>
      </c>
      <c r="AF1696">
        <f>IF([2]Entry!$N$1699="","",[2]Entry!$N$1699)</f>
        <v/>
      </c>
      <c r="AJ1696">
        <f>IF([2]Entry!$S$1699="","",[2]Entry!$S$1699)</f>
        <v/>
      </c>
      <c r="AK1696">
        <f>IF([2]Entry!$C$1699="","",[2]Entry!$C$1699)</f>
        <v/>
      </c>
      <c r="AL1696">
        <f>IF([2]Entry!$D$1699="","",[2]Entry!$D$1699)</f>
        <v/>
      </c>
    </row>
    <row r="1697">
      <c r="Z1697">
        <f>IF([2]Entry!$E$1700="","",[2]Entry!$E$1700)</f>
        <v/>
      </c>
      <c r="AA1697">
        <f>IF([2]Entry!$G$1700="","",[2]Entry!$G$1700)</f>
        <v/>
      </c>
      <c r="AB1697">
        <f>IF([2]Entry!$J$1700="","",[2]Entry!$J$1700)</f>
        <v/>
      </c>
      <c r="AC1697">
        <f>IF([2]Entry!$K$1700="","",[2]Entry!$K$1700)</f>
        <v/>
      </c>
      <c r="AD1697">
        <f>IF([2]Entry!$L$1700="","",[2]Entry!$L$1700)</f>
        <v/>
      </c>
      <c r="AE1697">
        <f>IF([2]Entry!$M$1700="","",[2]Entry!$M$1700)</f>
        <v/>
      </c>
      <c r="AF1697">
        <f>IF([2]Entry!$N$1700="","",[2]Entry!$N$1700)</f>
        <v/>
      </c>
      <c r="AJ1697">
        <f>IF([2]Entry!$S$1700="","",[2]Entry!$S$1700)</f>
        <v/>
      </c>
      <c r="AK1697">
        <f>IF([2]Entry!$C$1700="","",[2]Entry!$C$1700)</f>
        <v/>
      </c>
      <c r="AL1697">
        <f>IF([2]Entry!$D$1700="","",[2]Entry!$D$1700)</f>
        <v/>
      </c>
    </row>
    <row r="1698">
      <c r="Z1698">
        <f>IF([2]Entry!$E$1701="","",[2]Entry!$E$1701)</f>
        <v/>
      </c>
      <c r="AA1698">
        <f>IF([2]Entry!$G$1701="","",[2]Entry!$G$1701)</f>
        <v/>
      </c>
      <c r="AB1698">
        <f>IF([2]Entry!$J$1701="","",[2]Entry!$J$1701)</f>
        <v/>
      </c>
      <c r="AC1698">
        <f>IF([2]Entry!$K$1701="","",[2]Entry!$K$1701)</f>
        <v/>
      </c>
      <c r="AD1698">
        <f>IF([2]Entry!$L$1701="","",[2]Entry!$L$1701)</f>
        <v/>
      </c>
      <c r="AE1698">
        <f>IF([2]Entry!$M$1701="","",[2]Entry!$M$1701)</f>
        <v/>
      </c>
      <c r="AF1698">
        <f>IF([2]Entry!$N$1701="","",[2]Entry!$N$1701)</f>
        <v/>
      </c>
      <c r="AJ1698">
        <f>IF([2]Entry!$S$1701="","",[2]Entry!$S$1701)</f>
        <v/>
      </c>
      <c r="AK1698">
        <f>IF([2]Entry!$C$1701="","",[2]Entry!$C$1701)</f>
        <v/>
      </c>
      <c r="AL1698">
        <f>IF([2]Entry!$D$1701="","",[2]Entry!$D$1701)</f>
        <v/>
      </c>
    </row>
    <row r="1699">
      <c r="Z1699">
        <f>IF([2]Entry!$E$1702="","",[2]Entry!$E$1702)</f>
        <v/>
      </c>
      <c r="AA1699">
        <f>IF([2]Entry!$G$1702="","",[2]Entry!$G$1702)</f>
        <v/>
      </c>
      <c r="AB1699">
        <f>IF([2]Entry!$J$1702="","",[2]Entry!$J$1702)</f>
        <v/>
      </c>
      <c r="AC1699">
        <f>IF([2]Entry!$K$1702="","",[2]Entry!$K$1702)</f>
        <v/>
      </c>
      <c r="AD1699">
        <f>IF([2]Entry!$L$1702="","",[2]Entry!$L$1702)</f>
        <v/>
      </c>
      <c r="AE1699">
        <f>IF([2]Entry!$M$1702="","",[2]Entry!$M$1702)</f>
        <v/>
      </c>
      <c r="AF1699">
        <f>IF([2]Entry!$N$1702="","",[2]Entry!$N$1702)</f>
        <v/>
      </c>
      <c r="AJ1699">
        <f>IF([2]Entry!$S$1702="","",[2]Entry!$S$1702)</f>
        <v/>
      </c>
      <c r="AK1699">
        <f>IF([2]Entry!$C$1702="","",[2]Entry!$C$1702)</f>
        <v/>
      </c>
      <c r="AL1699">
        <f>IF([2]Entry!$D$1702="","",[2]Entry!$D$1702)</f>
        <v/>
      </c>
    </row>
    <row r="1700">
      <c r="Z1700">
        <f>IF([2]Entry!$E$1703="","",[2]Entry!$E$1703)</f>
        <v/>
      </c>
      <c r="AA1700">
        <f>IF([2]Entry!$G$1703="","",[2]Entry!$G$1703)</f>
        <v/>
      </c>
      <c r="AB1700">
        <f>IF([2]Entry!$J$1703="","",[2]Entry!$J$1703)</f>
        <v/>
      </c>
      <c r="AC1700">
        <f>IF([2]Entry!$K$1703="","",[2]Entry!$K$1703)</f>
        <v/>
      </c>
      <c r="AD1700">
        <f>IF([2]Entry!$L$1703="","",[2]Entry!$L$1703)</f>
        <v/>
      </c>
      <c r="AE1700">
        <f>IF([2]Entry!$M$1703="","",[2]Entry!$M$1703)</f>
        <v/>
      </c>
      <c r="AF1700">
        <f>IF([2]Entry!$N$1703="","",[2]Entry!$N$1703)</f>
        <v/>
      </c>
      <c r="AJ1700">
        <f>IF([2]Entry!$S$1703="","",[2]Entry!$S$1703)</f>
        <v/>
      </c>
      <c r="AK1700">
        <f>IF([2]Entry!$C$1703="","",[2]Entry!$C$1703)</f>
        <v/>
      </c>
      <c r="AL1700">
        <f>IF([2]Entry!$D$1703="","",[2]Entry!$D$1703)</f>
        <v/>
      </c>
    </row>
    <row r="1701">
      <c r="Z1701">
        <f>IF([2]Entry!$E$1704="","",[2]Entry!$E$1704)</f>
        <v/>
      </c>
      <c r="AA1701">
        <f>IF([2]Entry!$G$1704="","",[2]Entry!$G$1704)</f>
        <v/>
      </c>
      <c r="AB1701">
        <f>IF([2]Entry!$J$1704="","",[2]Entry!$J$1704)</f>
        <v/>
      </c>
      <c r="AC1701">
        <f>IF([2]Entry!$K$1704="","",[2]Entry!$K$1704)</f>
        <v/>
      </c>
      <c r="AD1701">
        <f>IF([2]Entry!$L$1704="","",[2]Entry!$L$1704)</f>
        <v/>
      </c>
      <c r="AE1701">
        <f>IF([2]Entry!$M$1704="","",[2]Entry!$M$1704)</f>
        <v/>
      </c>
      <c r="AF1701">
        <f>IF([2]Entry!$N$1704="","",[2]Entry!$N$1704)</f>
        <v/>
      </c>
      <c r="AJ1701">
        <f>IF([2]Entry!$S$1704="","",[2]Entry!$S$1704)</f>
        <v/>
      </c>
      <c r="AK1701">
        <f>IF([2]Entry!$C$1704="","",[2]Entry!$C$1704)</f>
        <v/>
      </c>
      <c r="AL1701">
        <f>IF([2]Entry!$D$1704="","",[2]Entry!$D$1704)</f>
        <v/>
      </c>
    </row>
    <row r="1702">
      <c r="Z1702">
        <f>IF([2]Entry!$E$1705="","",[2]Entry!$E$1705)</f>
        <v/>
      </c>
      <c r="AA1702">
        <f>IF([2]Entry!$G$1705="","",[2]Entry!$G$1705)</f>
        <v/>
      </c>
      <c r="AB1702">
        <f>IF([2]Entry!$J$1705="","",[2]Entry!$J$1705)</f>
        <v/>
      </c>
      <c r="AC1702">
        <f>IF([2]Entry!$K$1705="","",[2]Entry!$K$1705)</f>
        <v/>
      </c>
      <c r="AD1702">
        <f>IF([2]Entry!$L$1705="","",[2]Entry!$L$1705)</f>
        <v/>
      </c>
      <c r="AE1702">
        <f>IF([2]Entry!$M$1705="","",[2]Entry!$M$1705)</f>
        <v/>
      </c>
      <c r="AF1702">
        <f>IF([2]Entry!$N$1705="","",[2]Entry!$N$1705)</f>
        <v/>
      </c>
      <c r="AJ1702">
        <f>IF([2]Entry!$S$1705="","",[2]Entry!$S$1705)</f>
        <v/>
      </c>
      <c r="AK1702">
        <f>IF([2]Entry!$C$1705="","",[2]Entry!$C$1705)</f>
        <v/>
      </c>
      <c r="AL1702">
        <f>IF([2]Entry!$D$1705="","",[2]Entry!$D$1705)</f>
        <v/>
      </c>
    </row>
    <row r="1703">
      <c r="Z1703">
        <f>IF([2]Entry!$E$1706="","",[2]Entry!$E$1706)</f>
        <v/>
      </c>
      <c r="AA1703">
        <f>IF([2]Entry!$G$1706="","",[2]Entry!$G$1706)</f>
        <v/>
      </c>
      <c r="AB1703">
        <f>IF([2]Entry!$J$1706="","",[2]Entry!$J$1706)</f>
        <v/>
      </c>
      <c r="AC1703">
        <f>IF([2]Entry!$K$1706="","",[2]Entry!$K$1706)</f>
        <v/>
      </c>
      <c r="AD1703">
        <f>IF([2]Entry!$L$1706="","",[2]Entry!$L$1706)</f>
        <v/>
      </c>
      <c r="AE1703">
        <f>IF([2]Entry!$M$1706="","",[2]Entry!$M$1706)</f>
        <v/>
      </c>
      <c r="AF1703">
        <f>IF([2]Entry!$N$1706="","",[2]Entry!$N$1706)</f>
        <v/>
      </c>
      <c r="AJ1703">
        <f>IF([2]Entry!$S$1706="","",[2]Entry!$S$1706)</f>
        <v/>
      </c>
      <c r="AK1703">
        <f>IF([2]Entry!$C$1706="","",[2]Entry!$C$1706)</f>
        <v/>
      </c>
      <c r="AL1703">
        <f>IF([2]Entry!$D$1706="","",[2]Entry!$D$1706)</f>
        <v/>
      </c>
    </row>
    <row r="1704">
      <c r="Z1704">
        <f>IF([2]Entry!$E$1707="","",[2]Entry!$E$1707)</f>
        <v/>
      </c>
      <c r="AA1704">
        <f>IF([2]Entry!$G$1707="","",[2]Entry!$G$1707)</f>
        <v/>
      </c>
      <c r="AB1704">
        <f>IF([2]Entry!$J$1707="","",[2]Entry!$J$1707)</f>
        <v/>
      </c>
      <c r="AC1704">
        <f>IF([2]Entry!$K$1707="","",[2]Entry!$K$1707)</f>
        <v/>
      </c>
      <c r="AD1704">
        <f>IF([2]Entry!$L$1707="","",[2]Entry!$L$1707)</f>
        <v/>
      </c>
      <c r="AE1704">
        <f>IF([2]Entry!$M$1707="","",[2]Entry!$M$1707)</f>
        <v/>
      </c>
      <c r="AF1704">
        <f>IF([2]Entry!$N$1707="","",[2]Entry!$N$1707)</f>
        <v/>
      </c>
      <c r="AJ1704">
        <f>IF([2]Entry!$S$1707="","",[2]Entry!$S$1707)</f>
        <v/>
      </c>
      <c r="AK1704">
        <f>IF([2]Entry!$C$1707="","",[2]Entry!$C$1707)</f>
        <v/>
      </c>
      <c r="AL1704">
        <f>IF([2]Entry!$D$1707="","",[2]Entry!$D$1707)</f>
        <v/>
      </c>
    </row>
    <row r="1705">
      <c r="Z1705">
        <f>IF([2]Entry!$E$1708="","",[2]Entry!$E$1708)</f>
        <v/>
      </c>
      <c r="AA1705">
        <f>IF([2]Entry!$G$1708="","",[2]Entry!$G$1708)</f>
        <v/>
      </c>
      <c r="AB1705">
        <f>IF([2]Entry!$J$1708="","",[2]Entry!$J$1708)</f>
        <v/>
      </c>
      <c r="AC1705">
        <f>IF([2]Entry!$K$1708="","",[2]Entry!$K$1708)</f>
        <v/>
      </c>
      <c r="AD1705">
        <f>IF([2]Entry!$L$1708="","",[2]Entry!$L$1708)</f>
        <v/>
      </c>
      <c r="AE1705">
        <f>IF([2]Entry!$M$1708="","",[2]Entry!$M$1708)</f>
        <v/>
      </c>
      <c r="AF1705">
        <f>IF([2]Entry!$N$1708="","",[2]Entry!$N$1708)</f>
        <v/>
      </c>
      <c r="AJ1705">
        <f>IF([2]Entry!$S$1708="","",[2]Entry!$S$1708)</f>
        <v/>
      </c>
      <c r="AK1705">
        <f>IF([2]Entry!$C$1708="","",[2]Entry!$C$1708)</f>
        <v/>
      </c>
      <c r="AL1705">
        <f>IF([2]Entry!$D$1708="","",[2]Entry!$D$1708)</f>
        <v/>
      </c>
    </row>
    <row r="1706">
      <c r="Z1706">
        <f>IF([2]Entry!$E$1709="","",[2]Entry!$E$1709)</f>
        <v/>
      </c>
      <c r="AA1706">
        <f>IF([2]Entry!$G$1709="","",[2]Entry!$G$1709)</f>
        <v/>
      </c>
      <c r="AB1706">
        <f>IF([2]Entry!$J$1709="","",[2]Entry!$J$1709)</f>
        <v/>
      </c>
      <c r="AC1706">
        <f>IF([2]Entry!$K$1709="","",[2]Entry!$K$1709)</f>
        <v/>
      </c>
      <c r="AD1706">
        <f>IF([2]Entry!$L$1709="","",[2]Entry!$L$1709)</f>
        <v/>
      </c>
      <c r="AE1706">
        <f>IF([2]Entry!$M$1709="","",[2]Entry!$M$1709)</f>
        <v/>
      </c>
      <c r="AF1706">
        <f>IF([2]Entry!$N$1709="","",[2]Entry!$N$1709)</f>
        <v/>
      </c>
      <c r="AJ1706">
        <f>IF([2]Entry!$S$1709="","",[2]Entry!$S$1709)</f>
        <v/>
      </c>
      <c r="AK1706">
        <f>IF([2]Entry!$C$1709="","",[2]Entry!$C$1709)</f>
        <v/>
      </c>
      <c r="AL1706">
        <f>IF([2]Entry!$D$1709="","",[2]Entry!$D$1709)</f>
        <v/>
      </c>
    </row>
    <row r="1707">
      <c r="Z1707">
        <f>IF([2]Entry!$E$1710="","",[2]Entry!$E$1710)</f>
        <v/>
      </c>
      <c r="AA1707">
        <f>IF([2]Entry!$G$1710="","",[2]Entry!$G$1710)</f>
        <v/>
      </c>
      <c r="AB1707">
        <f>IF([2]Entry!$J$1710="","",[2]Entry!$J$1710)</f>
        <v/>
      </c>
      <c r="AC1707">
        <f>IF([2]Entry!$K$1710="","",[2]Entry!$K$1710)</f>
        <v/>
      </c>
      <c r="AD1707">
        <f>IF([2]Entry!$L$1710="","",[2]Entry!$L$1710)</f>
        <v/>
      </c>
      <c r="AE1707">
        <f>IF([2]Entry!$M$1710="","",[2]Entry!$M$1710)</f>
        <v/>
      </c>
      <c r="AF1707">
        <f>IF([2]Entry!$N$1710="","",[2]Entry!$N$1710)</f>
        <v/>
      </c>
      <c r="AJ1707">
        <f>IF([2]Entry!$S$1710="","",[2]Entry!$S$1710)</f>
        <v/>
      </c>
      <c r="AK1707">
        <f>IF([2]Entry!$C$1710="","",[2]Entry!$C$1710)</f>
        <v/>
      </c>
      <c r="AL1707">
        <f>IF([2]Entry!$D$1710="","",[2]Entry!$D$1710)</f>
        <v/>
      </c>
    </row>
    <row r="1708">
      <c r="Z1708">
        <f>IF([2]Entry!$E$1711="","",[2]Entry!$E$1711)</f>
        <v/>
      </c>
      <c r="AA1708">
        <f>IF([2]Entry!$G$1711="","",[2]Entry!$G$1711)</f>
        <v/>
      </c>
      <c r="AB1708">
        <f>IF([2]Entry!$J$1711="","",[2]Entry!$J$1711)</f>
        <v/>
      </c>
      <c r="AC1708">
        <f>IF([2]Entry!$K$1711="","",[2]Entry!$K$1711)</f>
        <v/>
      </c>
      <c r="AD1708">
        <f>IF([2]Entry!$L$1711="","",[2]Entry!$L$1711)</f>
        <v/>
      </c>
      <c r="AE1708">
        <f>IF([2]Entry!$M$1711="","",[2]Entry!$M$1711)</f>
        <v/>
      </c>
      <c r="AF1708">
        <f>IF([2]Entry!$N$1711="","",[2]Entry!$N$1711)</f>
        <v/>
      </c>
      <c r="AJ1708">
        <f>IF([2]Entry!$S$1711="","",[2]Entry!$S$1711)</f>
        <v/>
      </c>
      <c r="AK1708">
        <f>IF([2]Entry!$C$1711="","",[2]Entry!$C$1711)</f>
        <v/>
      </c>
      <c r="AL1708">
        <f>IF([2]Entry!$D$1711="","",[2]Entry!$D$1711)</f>
        <v/>
      </c>
    </row>
    <row r="1709">
      <c r="Z1709">
        <f>IF([2]Entry!$E$1712="","",[2]Entry!$E$1712)</f>
        <v/>
      </c>
      <c r="AA1709">
        <f>IF([2]Entry!$G$1712="","",[2]Entry!$G$1712)</f>
        <v/>
      </c>
      <c r="AB1709">
        <f>IF([2]Entry!$J$1712="","",[2]Entry!$J$1712)</f>
        <v/>
      </c>
      <c r="AC1709">
        <f>IF([2]Entry!$K$1712="","",[2]Entry!$K$1712)</f>
        <v/>
      </c>
      <c r="AD1709">
        <f>IF([2]Entry!$L$1712="","",[2]Entry!$L$1712)</f>
        <v/>
      </c>
      <c r="AE1709">
        <f>IF([2]Entry!$M$1712="","",[2]Entry!$M$1712)</f>
        <v/>
      </c>
      <c r="AF1709">
        <f>IF([2]Entry!$N$1712="","",[2]Entry!$N$1712)</f>
        <v/>
      </c>
      <c r="AJ1709">
        <f>IF([2]Entry!$S$1712="","",[2]Entry!$S$1712)</f>
        <v/>
      </c>
      <c r="AK1709">
        <f>IF([2]Entry!$C$1712="","",[2]Entry!$C$1712)</f>
        <v/>
      </c>
      <c r="AL1709">
        <f>IF([2]Entry!$D$1712="","",[2]Entry!$D$1712)</f>
        <v/>
      </c>
    </row>
    <row r="1710">
      <c r="Z1710">
        <f>IF([2]Entry!$E$1713="","",[2]Entry!$E$1713)</f>
        <v/>
      </c>
      <c r="AA1710">
        <f>IF([2]Entry!$G$1713="","",[2]Entry!$G$1713)</f>
        <v/>
      </c>
      <c r="AB1710">
        <f>IF([2]Entry!$J$1713="","",[2]Entry!$J$1713)</f>
        <v/>
      </c>
      <c r="AC1710">
        <f>IF([2]Entry!$K$1713="","",[2]Entry!$K$1713)</f>
        <v/>
      </c>
      <c r="AD1710">
        <f>IF([2]Entry!$L$1713="","",[2]Entry!$L$1713)</f>
        <v/>
      </c>
      <c r="AE1710">
        <f>IF([2]Entry!$M$1713="","",[2]Entry!$M$1713)</f>
        <v/>
      </c>
      <c r="AF1710">
        <f>IF([2]Entry!$N$1713="","",[2]Entry!$N$1713)</f>
        <v/>
      </c>
      <c r="AJ1710">
        <f>IF([2]Entry!$S$1713="","",[2]Entry!$S$1713)</f>
        <v/>
      </c>
      <c r="AK1710">
        <f>IF([2]Entry!$C$1713="","",[2]Entry!$C$1713)</f>
        <v/>
      </c>
      <c r="AL1710">
        <f>IF([2]Entry!$D$1713="","",[2]Entry!$D$1713)</f>
        <v/>
      </c>
    </row>
    <row r="1711">
      <c r="Z1711">
        <f>IF([2]Entry!$E$1714="","",[2]Entry!$E$1714)</f>
        <v/>
      </c>
      <c r="AA1711">
        <f>IF([2]Entry!$G$1714="","",[2]Entry!$G$1714)</f>
        <v/>
      </c>
      <c r="AB1711">
        <f>IF([2]Entry!$J$1714="","",[2]Entry!$J$1714)</f>
        <v/>
      </c>
      <c r="AC1711">
        <f>IF([2]Entry!$K$1714="","",[2]Entry!$K$1714)</f>
        <v/>
      </c>
      <c r="AD1711">
        <f>IF([2]Entry!$L$1714="","",[2]Entry!$L$1714)</f>
        <v/>
      </c>
      <c r="AE1711">
        <f>IF([2]Entry!$M$1714="","",[2]Entry!$M$1714)</f>
        <v/>
      </c>
      <c r="AF1711">
        <f>IF([2]Entry!$N$1714="","",[2]Entry!$N$1714)</f>
        <v/>
      </c>
      <c r="AJ1711">
        <f>IF([2]Entry!$S$1714="","",[2]Entry!$S$1714)</f>
        <v/>
      </c>
      <c r="AK1711">
        <f>IF([2]Entry!$C$1714="","",[2]Entry!$C$1714)</f>
        <v/>
      </c>
      <c r="AL1711">
        <f>IF([2]Entry!$D$1714="","",[2]Entry!$D$1714)</f>
        <v/>
      </c>
    </row>
    <row r="1712">
      <c r="Z1712">
        <f>IF([2]Entry!$E$1715="","",[2]Entry!$E$1715)</f>
        <v/>
      </c>
      <c r="AA1712">
        <f>IF([2]Entry!$G$1715="","",[2]Entry!$G$1715)</f>
        <v/>
      </c>
      <c r="AB1712">
        <f>IF([2]Entry!$J$1715="","",[2]Entry!$J$1715)</f>
        <v/>
      </c>
      <c r="AC1712">
        <f>IF([2]Entry!$K$1715="","",[2]Entry!$K$1715)</f>
        <v/>
      </c>
      <c r="AD1712">
        <f>IF([2]Entry!$L$1715="","",[2]Entry!$L$1715)</f>
        <v/>
      </c>
      <c r="AE1712">
        <f>IF([2]Entry!$M$1715="","",[2]Entry!$M$1715)</f>
        <v/>
      </c>
      <c r="AF1712">
        <f>IF([2]Entry!$N$1715="","",[2]Entry!$N$1715)</f>
        <v/>
      </c>
      <c r="AJ1712">
        <f>IF([2]Entry!$S$1715="","",[2]Entry!$S$1715)</f>
        <v/>
      </c>
      <c r="AK1712">
        <f>IF([2]Entry!$C$1715="","",[2]Entry!$C$1715)</f>
        <v/>
      </c>
      <c r="AL1712">
        <f>IF([2]Entry!$D$1715="","",[2]Entry!$D$1715)</f>
        <v/>
      </c>
    </row>
    <row r="1713">
      <c r="Z1713">
        <f>IF([2]Entry!$E$1716="","",[2]Entry!$E$1716)</f>
        <v/>
      </c>
      <c r="AA1713">
        <f>IF([2]Entry!$G$1716="","",[2]Entry!$G$1716)</f>
        <v/>
      </c>
      <c r="AB1713">
        <f>IF([2]Entry!$J$1716="","",[2]Entry!$J$1716)</f>
        <v/>
      </c>
      <c r="AC1713">
        <f>IF([2]Entry!$K$1716="","",[2]Entry!$K$1716)</f>
        <v/>
      </c>
      <c r="AD1713">
        <f>IF([2]Entry!$L$1716="","",[2]Entry!$L$1716)</f>
        <v/>
      </c>
      <c r="AE1713">
        <f>IF([2]Entry!$M$1716="","",[2]Entry!$M$1716)</f>
        <v/>
      </c>
      <c r="AF1713">
        <f>IF([2]Entry!$N$1716="","",[2]Entry!$N$1716)</f>
        <v/>
      </c>
      <c r="AJ1713">
        <f>IF([2]Entry!$S$1716="","",[2]Entry!$S$1716)</f>
        <v/>
      </c>
      <c r="AK1713">
        <f>IF([2]Entry!$C$1716="","",[2]Entry!$C$1716)</f>
        <v/>
      </c>
      <c r="AL1713">
        <f>IF([2]Entry!$D$1716="","",[2]Entry!$D$1716)</f>
        <v/>
      </c>
    </row>
    <row r="1714">
      <c r="Z1714">
        <f>IF([2]Entry!$E$1717="","",[2]Entry!$E$1717)</f>
        <v/>
      </c>
      <c r="AA1714">
        <f>IF([2]Entry!$G$1717="","",[2]Entry!$G$1717)</f>
        <v/>
      </c>
      <c r="AB1714">
        <f>IF([2]Entry!$J$1717="","",[2]Entry!$J$1717)</f>
        <v/>
      </c>
      <c r="AC1714">
        <f>IF([2]Entry!$K$1717="","",[2]Entry!$K$1717)</f>
        <v/>
      </c>
      <c r="AD1714">
        <f>IF([2]Entry!$L$1717="","",[2]Entry!$L$1717)</f>
        <v/>
      </c>
      <c r="AE1714">
        <f>IF([2]Entry!$M$1717="","",[2]Entry!$M$1717)</f>
        <v/>
      </c>
      <c r="AF1714">
        <f>IF([2]Entry!$N$1717="","",[2]Entry!$N$1717)</f>
        <v/>
      </c>
      <c r="AJ1714">
        <f>IF([2]Entry!$S$1717="","",[2]Entry!$S$1717)</f>
        <v/>
      </c>
      <c r="AK1714">
        <f>IF([2]Entry!$C$1717="","",[2]Entry!$C$1717)</f>
        <v/>
      </c>
      <c r="AL1714">
        <f>IF([2]Entry!$D$1717="","",[2]Entry!$D$1717)</f>
        <v/>
      </c>
    </row>
    <row r="1715">
      <c r="Z1715">
        <f>IF([2]Entry!$E$1718="","",[2]Entry!$E$1718)</f>
        <v/>
      </c>
      <c r="AA1715">
        <f>IF([2]Entry!$G$1718="","",[2]Entry!$G$1718)</f>
        <v/>
      </c>
      <c r="AB1715">
        <f>IF([2]Entry!$J$1718="","",[2]Entry!$J$1718)</f>
        <v/>
      </c>
      <c r="AC1715">
        <f>IF([2]Entry!$K$1718="","",[2]Entry!$K$1718)</f>
        <v/>
      </c>
      <c r="AD1715">
        <f>IF([2]Entry!$L$1718="","",[2]Entry!$L$1718)</f>
        <v/>
      </c>
      <c r="AE1715">
        <f>IF([2]Entry!$M$1718="","",[2]Entry!$M$1718)</f>
        <v/>
      </c>
      <c r="AF1715">
        <f>IF([2]Entry!$N$1718="","",[2]Entry!$N$1718)</f>
        <v/>
      </c>
      <c r="AJ1715">
        <f>IF([2]Entry!$S$1718="","",[2]Entry!$S$1718)</f>
        <v/>
      </c>
      <c r="AK1715">
        <f>IF([2]Entry!$C$1718="","",[2]Entry!$C$1718)</f>
        <v/>
      </c>
      <c r="AL1715">
        <f>IF([2]Entry!$D$1718="","",[2]Entry!$D$1718)</f>
        <v/>
      </c>
    </row>
    <row r="1716">
      <c r="Z1716">
        <f>IF([2]Entry!$E$1719="","",[2]Entry!$E$1719)</f>
        <v/>
      </c>
      <c r="AA1716">
        <f>IF([2]Entry!$G$1719="","",[2]Entry!$G$1719)</f>
        <v/>
      </c>
      <c r="AB1716">
        <f>IF([2]Entry!$J$1719="","",[2]Entry!$J$1719)</f>
        <v/>
      </c>
      <c r="AC1716">
        <f>IF([2]Entry!$K$1719="","",[2]Entry!$K$1719)</f>
        <v/>
      </c>
      <c r="AD1716">
        <f>IF([2]Entry!$L$1719="","",[2]Entry!$L$1719)</f>
        <v/>
      </c>
      <c r="AE1716">
        <f>IF([2]Entry!$M$1719="","",[2]Entry!$M$1719)</f>
        <v/>
      </c>
      <c r="AF1716">
        <f>IF([2]Entry!$N$1719="","",[2]Entry!$N$1719)</f>
        <v/>
      </c>
      <c r="AJ1716">
        <f>IF([2]Entry!$S$1719="","",[2]Entry!$S$1719)</f>
        <v/>
      </c>
      <c r="AK1716">
        <f>IF([2]Entry!$C$1719="","",[2]Entry!$C$1719)</f>
        <v/>
      </c>
      <c r="AL1716">
        <f>IF([2]Entry!$D$1719="","",[2]Entry!$D$1719)</f>
        <v/>
      </c>
    </row>
    <row r="1717">
      <c r="Z1717">
        <f>IF([2]Entry!$E$1720="","",[2]Entry!$E$1720)</f>
        <v/>
      </c>
      <c r="AA1717">
        <f>IF([2]Entry!$G$1720="","",[2]Entry!$G$1720)</f>
        <v/>
      </c>
      <c r="AB1717">
        <f>IF([2]Entry!$J$1720="","",[2]Entry!$J$1720)</f>
        <v/>
      </c>
      <c r="AC1717">
        <f>IF([2]Entry!$K$1720="","",[2]Entry!$K$1720)</f>
        <v/>
      </c>
      <c r="AD1717">
        <f>IF([2]Entry!$L$1720="","",[2]Entry!$L$1720)</f>
        <v/>
      </c>
      <c r="AE1717">
        <f>IF([2]Entry!$M$1720="","",[2]Entry!$M$1720)</f>
        <v/>
      </c>
      <c r="AF1717">
        <f>IF([2]Entry!$N$1720="","",[2]Entry!$N$1720)</f>
        <v/>
      </c>
      <c r="AJ1717">
        <f>IF([2]Entry!$S$1720="","",[2]Entry!$S$1720)</f>
        <v/>
      </c>
      <c r="AK1717">
        <f>IF([2]Entry!$C$1720="","",[2]Entry!$C$1720)</f>
        <v/>
      </c>
      <c r="AL1717">
        <f>IF([2]Entry!$D$1720="","",[2]Entry!$D$1720)</f>
        <v/>
      </c>
    </row>
    <row r="1718">
      <c r="Z1718">
        <f>IF([2]Entry!$E$1721="","",[2]Entry!$E$1721)</f>
        <v/>
      </c>
      <c r="AA1718">
        <f>IF([2]Entry!$G$1721="","",[2]Entry!$G$1721)</f>
        <v/>
      </c>
      <c r="AB1718">
        <f>IF([2]Entry!$J$1721="","",[2]Entry!$J$1721)</f>
        <v/>
      </c>
      <c r="AC1718">
        <f>IF([2]Entry!$K$1721="","",[2]Entry!$K$1721)</f>
        <v/>
      </c>
      <c r="AD1718">
        <f>IF([2]Entry!$L$1721="","",[2]Entry!$L$1721)</f>
        <v/>
      </c>
      <c r="AE1718">
        <f>IF([2]Entry!$M$1721="","",[2]Entry!$M$1721)</f>
        <v/>
      </c>
      <c r="AF1718">
        <f>IF([2]Entry!$N$1721="","",[2]Entry!$N$1721)</f>
        <v/>
      </c>
      <c r="AJ1718">
        <f>IF([2]Entry!$S$1721="","",[2]Entry!$S$1721)</f>
        <v/>
      </c>
      <c r="AK1718">
        <f>IF([2]Entry!$C$1721="","",[2]Entry!$C$1721)</f>
        <v/>
      </c>
      <c r="AL1718">
        <f>IF([2]Entry!$D$1721="","",[2]Entry!$D$1721)</f>
        <v/>
      </c>
    </row>
    <row r="1719">
      <c r="Z1719">
        <f>IF([2]Entry!$E$1722="","",[2]Entry!$E$1722)</f>
        <v/>
      </c>
      <c r="AA1719">
        <f>IF([2]Entry!$G$1722="","",[2]Entry!$G$1722)</f>
        <v/>
      </c>
      <c r="AB1719">
        <f>IF([2]Entry!$J$1722="","",[2]Entry!$J$1722)</f>
        <v/>
      </c>
      <c r="AC1719">
        <f>IF([2]Entry!$K$1722="","",[2]Entry!$K$1722)</f>
        <v/>
      </c>
      <c r="AD1719">
        <f>IF([2]Entry!$L$1722="","",[2]Entry!$L$1722)</f>
        <v/>
      </c>
      <c r="AE1719">
        <f>IF([2]Entry!$M$1722="","",[2]Entry!$M$1722)</f>
        <v/>
      </c>
      <c r="AF1719">
        <f>IF([2]Entry!$N$1722="","",[2]Entry!$N$1722)</f>
        <v/>
      </c>
      <c r="AJ1719">
        <f>IF([2]Entry!$S$1722="","",[2]Entry!$S$1722)</f>
        <v/>
      </c>
      <c r="AK1719">
        <f>IF([2]Entry!$C$1722="","",[2]Entry!$C$1722)</f>
        <v/>
      </c>
      <c r="AL1719">
        <f>IF([2]Entry!$D$1722="","",[2]Entry!$D$1722)</f>
        <v/>
      </c>
    </row>
    <row r="1720">
      <c r="Z1720">
        <f>IF([2]Entry!$E$1723="","",[2]Entry!$E$1723)</f>
        <v/>
      </c>
      <c r="AA1720">
        <f>IF([2]Entry!$G$1723="","",[2]Entry!$G$1723)</f>
        <v/>
      </c>
      <c r="AB1720">
        <f>IF([2]Entry!$J$1723="","",[2]Entry!$J$1723)</f>
        <v/>
      </c>
      <c r="AC1720">
        <f>IF([2]Entry!$K$1723="","",[2]Entry!$K$1723)</f>
        <v/>
      </c>
      <c r="AD1720">
        <f>IF([2]Entry!$L$1723="","",[2]Entry!$L$1723)</f>
        <v/>
      </c>
      <c r="AE1720">
        <f>IF([2]Entry!$M$1723="","",[2]Entry!$M$1723)</f>
        <v/>
      </c>
      <c r="AF1720">
        <f>IF([2]Entry!$N$1723="","",[2]Entry!$N$1723)</f>
        <v/>
      </c>
      <c r="AJ1720">
        <f>IF([2]Entry!$S$1723="","",[2]Entry!$S$1723)</f>
        <v/>
      </c>
      <c r="AK1720">
        <f>IF([2]Entry!$C$1723="","",[2]Entry!$C$1723)</f>
        <v/>
      </c>
      <c r="AL1720">
        <f>IF([2]Entry!$D$1723="","",[2]Entry!$D$1723)</f>
        <v/>
      </c>
    </row>
    <row r="1721">
      <c r="Z1721">
        <f>IF([2]Entry!$E$1724="","",[2]Entry!$E$1724)</f>
        <v/>
      </c>
      <c r="AA1721">
        <f>IF([2]Entry!$G$1724="","",[2]Entry!$G$1724)</f>
        <v/>
      </c>
      <c r="AB1721">
        <f>IF([2]Entry!$J$1724="","",[2]Entry!$J$1724)</f>
        <v/>
      </c>
      <c r="AC1721">
        <f>IF([2]Entry!$K$1724="","",[2]Entry!$K$1724)</f>
        <v/>
      </c>
      <c r="AD1721">
        <f>IF([2]Entry!$L$1724="","",[2]Entry!$L$1724)</f>
        <v/>
      </c>
      <c r="AE1721">
        <f>IF([2]Entry!$M$1724="","",[2]Entry!$M$1724)</f>
        <v/>
      </c>
      <c r="AF1721">
        <f>IF([2]Entry!$N$1724="","",[2]Entry!$N$1724)</f>
        <v/>
      </c>
      <c r="AJ1721">
        <f>IF([2]Entry!$S$1724="","",[2]Entry!$S$1724)</f>
        <v/>
      </c>
      <c r="AK1721">
        <f>IF([2]Entry!$C$1724="","",[2]Entry!$C$1724)</f>
        <v/>
      </c>
      <c r="AL1721">
        <f>IF([2]Entry!$D$1724="","",[2]Entry!$D$1724)</f>
        <v/>
      </c>
    </row>
    <row r="1722">
      <c r="Z1722">
        <f>IF([2]Entry!$E$1725="","",[2]Entry!$E$1725)</f>
        <v/>
      </c>
      <c r="AA1722">
        <f>IF([2]Entry!$G$1725="","",[2]Entry!$G$1725)</f>
        <v/>
      </c>
      <c r="AB1722">
        <f>IF([2]Entry!$J$1725="","",[2]Entry!$J$1725)</f>
        <v/>
      </c>
      <c r="AC1722">
        <f>IF([2]Entry!$K$1725="","",[2]Entry!$K$1725)</f>
        <v/>
      </c>
      <c r="AD1722">
        <f>IF([2]Entry!$L$1725="","",[2]Entry!$L$1725)</f>
        <v/>
      </c>
      <c r="AE1722">
        <f>IF([2]Entry!$M$1725="","",[2]Entry!$M$1725)</f>
        <v/>
      </c>
      <c r="AF1722">
        <f>IF([2]Entry!$N$1725="","",[2]Entry!$N$1725)</f>
        <v/>
      </c>
      <c r="AJ1722">
        <f>IF([2]Entry!$S$1725="","",[2]Entry!$S$1725)</f>
        <v/>
      </c>
      <c r="AK1722">
        <f>IF([2]Entry!$C$1725="","",[2]Entry!$C$1725)</f>
        <v/>
      </c>
      <c r="AL1722">
        <f>IF([2]Entry!$D$1725="","",[2]Entry!$D$1725)</f>
        <v/>
      </c>
    </row>
    <row r="1723">
      <c r="Z1723">
        <f>IF([2]Entry!$E$1726="","",[2]Entry!$E$1726)</f>
        <v/>
      </c>
      <c r="AA1723">
        <f>IF([2]Entry!$G$1726="","",[2]Entry!$G$1726)</f>
        <v/>
      </c>
      <c r="AB1723">
        <f>IF([2]Entry!$J$1726="","",[2]Entry!$J$1726)</f>
        <v/>
      </c>
      <c r="AC1723">
        <f>IF([2]Entry!$K$1726="","",[2]Entry!$K$1726)</f>
        <v/>
      </c>
      <c r="AD1723">
        <f>IF([2]Entry!$L$1726="","",[2]Entry!$L$1726)</f>
        <v/>
      </c>
      <c r="AE1723">
        <f>IF([2]Entry!$M$1726="","",[2]Entry!$M$1726)</f>
        <v/>
      </c>
      <c r="AF1723">
        <f>IF([2]Entry!$N$1726="","",[2]Entry!$N$1726)</f>
        <v/>
      </c>
      <c r="AJ1723">
        <f>IF([2]Entry!$S$1726="","",[2]Entry!$S$1726)</f>
        <v/>
      </c>
      <c r="AK1723">
        <f>IF([2]Entry!$C$1726="","",[2]Entry!$C$1726)</f>
        <v/>
      </c>
      <c r="AL1723">
        <f>IF([2]Entry!$D$1726="","",[2]Entry!$D$1726)</f>
        <v/>
      </c>
    </row>
    <row r="1724">
      <c r="Z1724">
        <f>IF([2]Entry!$E$1727="","",[2]Entry!$E$1727)</f>
        <v/>
      </c>
      <c r="AA1724">
        <f>IF([2]Entry!$G$1727="","",[2]Entry!$G$1727)</f>
        <v/>
      </c>
      <c r="AB1724">
        <f>IF([2]Entry!$J$1727="","",[2]Entry!$J$1727)</f>
        <v/>
      </c>
      <c r="AC1724">
        <f>IF([2]Entry!$K$1727="","",[2]Entry!$K$1727)</f>
        <v/>
      </c>
      <c r="AD1724">
        <f>IF([2]Entry!$L$1727="","",[2]Entry!$L$1727)</f>
        <v/>
      </c>
      <c r="AE1724">
        <f>IF([2]Entry!$M$1727="","",[2]Entry!$M$1727)</f>
        <v/>
      </c>
      <c r="AF1724">
        <f>IF([2]Entry!$N$1727="","",[2]Entry!$N$1727)</f>
        <v/>
      </c>
      <c r="AJ1724">
        <f>IF([2]Entry!$S$1727="","",[2]Entry!$S$1727)</f>
        <v/>
      </c>
      <c r="AK1724">
        <f>IF([2]Entry!$C$1727="","",[2]Entry!$C$1727)</f>
        <v/>
      </c>
      <c r="AL1724">
        <f>IF([2]Entry!$D$1727="","",[2]Entry!$D$1727)</f>
        <v/>
      </c>
    </row>
    <row r="1725">
      <c r="Z1725">
        <f>IF([2]Entry!$E$1728="","",[2]Entry!$E$1728)</f>
        <v/>
      </c>
      <c r="AA1725">
        <f>IF([2]Entry!$G$1728="","",[2]Entry!$G$1728)</f>
        <v/>
      </c>
      <c r="AB1725">
        <f>IF([2]Entry!$J$1728="","",[2]Entry!$J$1728)</f>
        <v/>
      </c>
      <c r="AC1725">
        <f>IF([2]Entry!$K$1728="","",[2]Entry!$K$1728)</f>
        <v/>
      </c>
      <c r="AD1725">
        <f>IF([2]Entry!$L$1728="","",[2]Entry!$L$1728)</f>
        <v/>
      </c>
      <c r="AE1725">
        <f>IF([2]Entry!$M$1728="","",[2]Entry!$M$1728)</f>
        <v/>
      </c>
      <c r="AF1725">
        <f>IF([2]Entry!$N$1728="","",[2]Entry!$N$1728)</f>
        <v/>
      </c>
      <c r="AJ1725">
        <f>IF([2]Entry!$S$1728="","",[2]Entry!$S$1728)</f>
        <v/>
      </c>
      <c r="AK1725">
        <f>IF([2]Entry!$C$1728="","",[2]Entry!$C$1728)</f>
        <v/>
      </c>
      <c r="AL1725">
        <f>IF([2]Entry!$D$1728="","",[2]Entry!$D$1728)</f>
        <v/>
      </c>
    </row>
    <row r="1726">
      <c r="Z1726">
        <f>IF([2]Entry!$E$1729="","",[2]Entry!$E$1729)</f>
        <v/>
      </c>
      <c r="AA1726">
        <f>IF([2]Entry!$G$1729="","",[2]Entry!$G$1729)</f>
        <v/>
      </c>
      <c r="AB1726">
        <f>IF([2]Entry!$J$1729="","",[2]Entry!$J$1729)</f>
        <v/>
      </c>
      <c r="AC1726">
        <f>IF([2]Entry!$K$1729="","",[2]Entry!$K$1729)</f>
        <v/>
      </c>
      <c r="AD1726">
        <f>IF([2]Entry!$L$1729="","",[2]Entry!$L$1729)</f>
        <v/>
      </c>
      <c r="AE1726">
        <f>IF([2]Entry!$M$1729="","",[2]Entry!$M$1729)</f>
        <v/>
      </c>
      <c r="AF1726">
        <f>IF([2]Entry!$N$1729="","",[2]Entry!$N$1729)</f>
        <v/>
      </c>
      <c r="AJ1726">
        <f>IF([2]Entry!$S$1729="","",[2]Entry!$S$1729)</f>
        <v/>
      </c>
      <c r="AK1726">
        <f>IF([2]Entry!$C$1729="","",[2]Entry!$C$1729)</f>
        <v/>
      </c>
      <c r="AL1726">
        <f>IF([2]Entry!$D$1729="","",[2]Entry!$D$1729)</f>
        <v/>
      </c>
    </row>
    <row r="1727">
      <c r="Z1727">
        <f>IF([2]Entry!$E$1730="","",[2]Entry!$E$1730)</f>
        <v/>
      </c>
      <c r="AA1727">
        <f>IF([2]Entry!$G$1730="","",[2]Entry!$G$1730)</f>
        <v/>
      </c>
      <c r="AB1727">
        <f>IF([2]Entry!$J$1730="","",[2]Entry!$J$1730)</f>
        <v/>
      </c>
      <c r="AC1727">
        <f>IF([2]Entry!$K$1730="","",[2]Entry!$K$1730)</f>
        <v/>
      </c>
      <c r="AD1727">
        <f>IF([2]Entry!$L$1730="","",[2]Entry!$L$1730)</f>
        <v/>
      </c>
      <c r="AE1727">
        <f>IF([2]Entry!$M$1730="","",[2]Entry!$M$1730)</f>
        <v/>
      </c>
      <c r="AF1727">
        <f>IF([2]Entry!$N$1730="","",[2]Entry!$N$1730)</f>
        <v/>
      </c>
      <c r="AJ1727">
        <f>IF([2]Entry!$S$1730="","",[2]Entry!$S$1730)</f>
        <v/>
      </c>
      <c r="AK1727">
        <f>IF([2]Entry!$C$1730="","",[2]Entry!$C$1730)</f>
        <v/>
      </c>
      <c r="AL1727">
        <f>IF([2]Entry!$D$1730="","",[2]Entry!$D$1730)</f>
        <v/>
      </c>
    </row>
    <row r="1728">
      <c r="Z1728">
        <f>IF([2]Entry!$E$1731="","",[2]Entry!$E$1731)</f>
        <v/>
      </c>
      <c r="AA1728">
        <f>IF([2]Entry!$G$1731="","",[2]Entry!$G$1731)</f>
        <v/>
      </c>
      <c r="AB1728">
        <f>IF([2]Entry!$J$1731="","",[2]Entry!$J$1731)</f>
        <v/>
      </c>
      <c r="AC1728">
        <f>IF([2]Entry!$K$1731="","",[2]Entry!$K$1731)</f>
        <v/>
      </c>
      <c r="AD1728">
        <f>IF([2]Entry!$L$1731="","",[2]Entry!$L$1731)</f>
        <v/>
      </c>
      <c r="AE1728">
        <f>IF([2]Entry!$M$1731="","",[2]Entry!$M$1731)</f>
        <v/>
      </c>
      <c r="AF1728">
        <f>IF([2]Entry!$N$1731="","",[2]Entry!$N$1731)</f>
        <v/>
      </c>
      <c r="AJ1728">
        <f>IF([2]Entry!$S$1731="","",[2]Entry!$S$1731)</f>
        <v/>
      </c>
      <c r="AK1728">
        <f>IF([2]Entry!$C$1731="","",[2]Entry!$C$1731)</f>
        <v/>
      </c>
      <c r="AL1728">
        <f>IF([2]Entry!$D$1731="","",[2]Entry!$D$1731)</f>
        <v/>
      </c>
    </row>
    <row r="1729">
      <c r="Z1729">
        <f>IF([2]Entry!$E$1732="","",[2]Entry!$E$1732)</f>
        <v/>
      </c>
      <c r="AA1729">
        <f>IF([2]Entry!$G$1732="","",[2]Entry!$G$1732)</f>
        <v/>
      </c>
      <c r="AB1729">
        <f>IF([2]Entry!$J$1732="","",[2]Entry!$J$1732)</f>
        <v/>
      </c>
      <c r="AC1729">
        <f>IF([2]Entry!$K$1732="","",[2]Entry!$K$1732)</f>
        <v/>
      </c>
      <c r="AD1729">
        <f>IF([2]Entry!$L$1732="","",[2]Entry!$L$1732)</f>
        <v/>
      </c>
      <c r="AE1729">
        <f>IF([2]Entry!$M$1732="","",[2]Entry!$M$1732)</f>
        <v/>
      </c>
      <c r="AF1729">
        <f>IF([2]Entry!$N$1732="","",[2]Entry!$N$1732)</f>
        <v/>
      </c>
      <c r="AJ1729">
        <f>IF([2]Entry!$S$1732="","",[2]Entry!$S$1732)</f>
        <v/>
      </c>
      <c r="AK1729">
        <f>IF([2]Entry!$C$1732="","",[2]Entry!$C$1732)</f>
        <v/>
      </c>
      <c r="AL1729">
        <f>IF([2]Entry!$D$1732="","",[2]Entry!$D$1732)</f>
        <v/>
      </c>
    </row>
    <row r="1730">
      <c r="Z1730">
        <f>IF([2]Entry!$E$1733="","",[2]Entry!$E$1733)</f>
        <v/>
      </c>
      <c r="AA1730">
        <f>IF([2]Entry!$G$1733="","",[2]Entry!$G$1733)</f>
        <v/>
      </c>
      <c r="AB1730">
        <f>IF([2]Entry!$J$1733="","",[2]Entry!$J$1733)</f>
        <v/>
      </c>
      <c r="AC1730">
        <f>IF([2]Entry!$K$1733="","",[2]Entry!$K$1733)</f>
        <v/>
      </c>
      <c r="AD1730">
        <f>IF([2]Entry!$L$1733="","",[2]Entry!$L$1733)</f>
        <v/>
      </c>
      <c r="AE1730">
        <f>IF([2]Entry!$M$1733="","",[2]Entry!$M$1733)</f>
        <v/>
      </c>
      <c r="AF1730">
        <f>IF([2]Entry!$N$1733="","",[2]Entry!$N$1733)</f>
        <v/>
      </c>
      <c r="AJ1730">
        <f>IF([2]Entry!$S$1733="","",[2]Entry!$S$1733)</f>
        <v/>
      </c>
      <c r="AK1730">
        <f>IF([2]Entry!$C$1733="","",[2]Entry!$C$1733)</f>
        <v/>
      </c>
      <c r="AL1730">
        <f>IF([2]Entry!$D$1733="","",[2]Entry!$D$1733)</f>
        <v/>
      </c>
    </row>
    <row r="1731">
      <c r="Z1731">
        <f>IF([2]Entry!$E$1734="","",[2]Entry!$E$1734)</f>
        <v/>
      </c>
      <c r="AA1731">
        <f>IF([2]Entry!$G$1734="","",[2]Entry!$G$1734)</f>
        <v/>
      </c>
      <c r="AB1731">
        <f>IF([2]Entry!$J$1734="","",[2]Entry!$J$1734)</f>
        <v/>
      </c>
      <c r="AC1731">
        <f>IF([2]Entry!$K$1734="","",[2]Entry!$K$1734)</f>
        <v/>
      </c>
      <c r="AD1731">
        <f>IF([2]Entry!$L$1734="","",[2]Entry!$L$1734)</f>
        <v/>
      </c>
      <c r="AE1731">
        <f>IF([2]Entry!$M$1734="","",[2]Entry!$M$1734)</f>
        <v/>
      </c>
      <c r="AF1731">
        <f>IF([2]Entry!$N$1734="","",[2]Entry!$N$1734)</f>
        <v/>
      </c>
      <c r="AJ1731">
        <f>IF([2]Entry!$S$1734="","",[2]Entry!$S$1734)</f>
        <v/>
      </c>
      <c r="AK1731">
        <f>IF([2]Entry!$C$1734="","",[2]Entry!$C$1734)</f>
        <v/>
      </c>
      <c r="AL1731">
        <f>IF([2]Entry!$D$1734="","",[2]Entry!$D$1734)</f>
        <v/>
      </c>
    </row>
    <row r="1732">
      <c r="Z1732">
        <f>IF([2]Entry!$E$1735="","",[2]Entry!$E$1735)</f>
        <v/>
      </c>
      <c r="AA1732">
        <f>IF([2]Entry!$G$1735="","",[2]Entry!$G$1735)</f>
        <v/>
      </c>
      <c r="AB1732">
        <f>IF([2]Entry!$J$1735="","",[2]Entry!$J$1735)</f>
        <v/>
      </c>
      <c r="AC1732">
        <f>IF([2]Entry!$K$1735="","",[2]Entry!$K$1735)</f>
        <v/>
      </c>
      <c r="AD1732">
        <f>IF([2]Entry!$L$1735="","",[2]Entry!$L$1735)</f>
        <v/>
      </c>
      <c r="AE1732">
        <f>IF([2]Entry!$M$1735="","",[2]Entry!$M$1735)</f>
        <v/>
      </c>
      <c r="AF1732">
        <f>IF([2]Entry!$N$1735="","",[2]Entry!$N$1735)</f>
        <v/>
      </c>
      <c r="AJ1732">
        <f>IF([2]Entry!$S$1735="","",[2]Entry!$S$1735)</f>
        <v/>
      </c>
      <c r="AK1732">
        <f>IF([2]Entry!$C$1735="","",[2]Entry!$C$1735)</f>
        <v/>
      </c>
      <c r="AL1732">
        <f>IF([2]Entry!$D$1735="","",[2]Entry!$D$1735)</f>
        <v/>
      </c>
    </row>
    <row r="1733">
      <c r="Z1733">
        <f>IF([2]Entry!$E$1736="","",[2]Entry!$E$1736)</f>
        <v/>
      </c>
      <c r="AA1733">
        <f>IF([2]Entry!$G$1736="","",[2]Entry!$G$1736)</f>
        <v/>
      </c>
      <c r="AB1733">
        <f>IF([2]Entry!$J$1736="","",[2]Entry!$J$1736)</f>
        <v/>
      </c>
      <c r="AC1733">
        <f>IF([2]Entry!$K$1736="","",[2]Entry!$K$1736)</f>
        <v/>
      </c>
      <c r="AD1733">
        <f>IF([2]Entry!$L$1736="","",[2]Entry!$L$1736)</f>
        <v/>
      </c>
      <c r="AE1733">
        <f>IF([2]Entry!$M$1736="","",[2]Entry!$M$1736)</f>
        <v/>
      </c>
      <c r="AF1733">
        <f>IF([2]Entry!$N$1736="","",[2]Entry!$N$1736)</f>
        <v/>
      </c>
      <c r="AJ1733">
        <f>IF([2]Entry!$S$1736="","",[2]Entry!$S$1736)</f>
        <v/>
      </c>
      <c r="AK1733">
        <f>IF([2]Entry!$C$1736="","",[2]Entry!$C$1736)</f>
        <v/>
      </c>
      <c r="AL1733">
        <f>IF([2]Entry!$D$1736="","",[2]Entry!$D$1736)</f>
        <v/>
      </c>
    </row>
    <row r="1734">
      <c r="Z1734">
        <f>IF([2]Entry!$E$1737="","",[2]Entry!$E$1737)</f>
        <v/>
      </c>
      <c r="AA1734">
        <f>IF([2]Entry!$G$1737="","",[2]Entry!$G$1737)</f>
        <v/>
      </c>
      <c r="AB1734">
        <f>IF([2]Entry!$J$1737="","",[2]Entry!$J$1737)</f>
        <v/>
      </c>
      <c r="AC1734">
        <f>IF([2]Entry!$K$1737="","",[2]Entry!$K$1737)</f>
        <v/>
      </c>
      <c r="AD1734">
        <f>IF([2]Entry!$L$1737="","",[2]Entry!$L$1737)</f>
        <v/>
      </c>
      <c r="AE1734">
        <f>IF([2]Entry!$M$1737="","",[2]Entry!$M$1737)</f>
        <v/>
      </c>
      <c r="AF1734">
        <f>IF([2]Entry!$N$1737="","",[2]Entry!$N$1737)</f>
        <v/>
      </c>
      <c r="AJ1734">
        <f>IF([2]Entry!$S$1737="","",[2]Entry!$S$1737)</f>
        <v/>
      </c>
      <c r="AK1734">
        <f>IF([2]Entry!$C$1737="","",[2]Entry!$C$1737)</f>
        <v/>
      </c>
      <c r="AL1734">
        <f>IF([2]Entry!$D$1737="","",[2]Entry!$D$1737)</f>
        <v/>
      </c>
    </row>
    <row r="1735">
      <c r="Z1735">
        <f>IF([2]Entry!$E$1738="","",[2]Entry!$E$1738)</f>
        <v/>
      </c>
      <c r="AA1735">
        <f>IF([2]Entry!$G$1738="","",[2]Entry!$G$1738)</f>
        <v/>
      </c>
      <c r="AB1735">
        <f>IF([2]Entry!$J$1738="","",[2]Entry!$J$1738)</f>
        <v/>
      </c>
      <c r="AC1735">
        <f>IF([2]Entry!$K$1738="","",[2]Entry!$K$1738)</f>
        <v/>
      </c>
      <c r="AD1735">
        <f>IF([2]Entry!$L$1738="","",[2]Entry!$L$1738)</f>
        <v/>
      </c>
      <c r="AE1735">
        <f>IF([2]Entry!$M$1738="","",[2]Entry!$M$1738)</f>
        <v/>
      </c>
      <c r="AF1735">
        <f>IF([2]Entry!$N$1738="","",[2]Entry!$N$1738)</f>
        <v/>
      </c>
      <c r="AJ1735">
        <f>IF([2]Entry!$S$1738="","",[2]Entry!$S$1738)</f>
        <v/>
      </c>
      <c r="AK1735">
        <f>IF([2]Entry!$C$1738="","",[2]Entry!$C$1738)</f>
        <v/>
      </c>
      <c r="AL1735">
        <f>IF([2]Entry!$D$1738="","",[2]Entry!$D$1738)</f>
        <v/>
      </c>
    </row>
    <row r="1736">
      <c r="Z1736">
        <f>IF([2]Entry!$E$1739="","",[2]Entry!$E$1739)</f>
        <v/>
      </c>
      <c r="AA1736">
        <f>IF([2]Entry!$G$1739="","",[2]Entry!$G$1739)</f>
        <v/>
      </c>
      <c r="AB1736">
        <f>IF([2]Entry!$J$1739="","",[2]Entry!$J$1739)</f>
        <v/>
      </c>
      <c r="AC1736">
        <f>IF([2]Entry!$K$1739="","",[2]Entry!$K$1739)</f>
        <v/>
      </c>
      <c r="AD1736">
        <f>IF([2]Entry!$L$1739="","",[2]Entry!$L$1739)</f>
        <v/>
      </c>
      <c r="AE1736">
        <f>IF([2]Entry!$M$1739="","",[2]Entry!$M$1739)</f>
        <v/>
      </c>
      <c r="AF1736">
        <f>IF([2]Entry!$N$1739="","",[2]Entry!$N$1739)</f>
        <v/>
      </c>
      <c r="AJ1736">
        <f>IF([2]Entry!$S$1739="","",[2]Entry!$S$1739)</f>
        <v/>
      </c>
      <c r="AK1736">
        <f>IF([2]Entry!$C$1739="","",[2]Entry!$C$1739)</f>
        <v/>
      </c>
      <c r="AL1736">
        <f>IF([2]Entry!$D$1739="","",[2]Entry!$D$1739)</f>
        <v/>
      </c>
    </row>
    <row r="1737">
      <c r="Z1737">
        <f>IF([2]Entry!$E$1740="","",[2]Entry!$E$1740)</f>
        <v/>
      </c>
      <c r="AA1737">
        <f>IF([2]Entry!$G$1740="","",[2]Entry!$G$1740)</f>
        <v/>
      </c>
      <c r="AB1737">
        <f>IF([2]Entry!$J$1740="","",[2]Entry!$J$1740)</f>
        <v/>
      </c>
      <c r="AC1737">
        <f>IF([2]Entry!$K$1740="","",[2]Entry!$K$1740)</f>
        <v/>
      </c>
      <c r="AD1737">
        <f>IF([2]Entry!$L$1740="","",[2]Entry!$L$1740)</f>
        <v/>
      </c>
      <c r="AE1737">
        <f>IF([2]Entry!$M$1740="","",[2]Entry!$M$1740)</f>
        <v/>
      </c>
      <c r="AF1737">
        <f>IF([2]Entry!$N$1740="","",[2]Entry!$N$1740)</f>
        <v/>
      </c>
      <c r="AJ1737">
        <f>IF([2]Entry!$S$1740="","",[2]Entry!$S$1740)</f>
        <v/>
      </c>
      <c r="AK1737">
        <f>IF([2]Entry!$C$1740="","",[2]Entry!$C$1740)</f>
        <v/>
      </c>
      <c r="AL1737">
        <f>IF([2]Entry!$D$1740="","",[2]Entry!$D$1740)</f>
        <v/>
      </c>
    </row>
    <row r="1738">
      <c r="Z1738">
        <f>IF([2]Entry!$E$1741="","",[2]Entry!$E$1741)</f>
        <v/>
      </c>
      <c r="AA1738">
        <f>IF([2]Entry!$G$1741="","",[2]Entry!$G$1741)</f>
        <v/>
      </c>
      <c r="AB1738">
        <f>IF([2]Entry!$J$1741="","",[2]Entry!$J$1741)</f>
        <v/>
      </c>
      <c r="AC1738">
        <f>IF([2]Entry!$K$1741="","",[2]Entry!$K$1741)</f>
        <v/>
      </c>
      <c r="AD1738">
        <f>IF([2]Entry!$L$1741="","",[2]Entry!$L$1741)</f>
        <v/>
      </c>
      <c r="AE1738">
        <f>IF([2]Entry!$M$1741="","",[2]Entry!$M$1741)</f>
        <v/>
      </c>
      <c r="AF1738">
        <f>IF([2]Entry!$N$1741="","",[2]Entry!$N$1741)</f>
        <v/>
      </c>
      <c r="AJ1738">
        <f>IF([2]Entry!$S$1741="","",[2]Entry!$S$1741)</f>
        <v/>
      </c>
      <c r="AK1738">
        <f>IF([2]Entry!$C$1741="","",[2]Entry!$C$1741)</f>
        <v/>
      </c>
      <c r="AL1738">
        <f>IF([2]Entry!$D$1741="","",[2]Entry!$D$1741)</f>
        <v/>
      </c>
    </row>
    <row r="1739">
      <c r="Z1739">
        <f>IF([2]Entry!$E$1742="","",[2]Entry!$E$1742)</f>
        <v/>
      </c>
      <c r="AA1739">
        <f>IF([2]Entry!$G$1742="","",[2]Entry!$G$1742)</f>
        <v/>
      </c>
      <c r="AB1739">
        <f>IF([2]Entry!$J$1742="","",[2]Entry!$J$1742)</f>
        <v/>
      </c>
      <c r="AC1739">
        <f>IF([2]Entry!$K$1742="","",[2]Entry!$K$1742)</f>
        <v/>
      </c>
      <c r="AD1739">
        <f>IF([2]Entry!$L$1742="","",[2]Entry!$L$1742)</f>
        <v/>
      </c>
      <c r="AE1739">
        <f>IF([2]Entry!$M$1742="","",[2]Entry!$M$1742)</f>
        <v/>
      </c>
      <c r="AF1739">
        <f>IF([2]Entry!$N$1742="","",[2]Entry!$N$1742)</f>
        <v/>
      </c>
      <c r="AJ1739">
        <f>IF([2]Entry!$S$1742="","",[2]Entry!$S$1742)</f>
        <v/>
      </c>
      <c r="AK1739">
        <f>IF([2]Entry!$C$1742="","",[2]Entry!$C$1742)</f>
        <v/>
      </c>
      <c r="AL1739">
        <f>IF([2]Entry!$D$1742="","",[2]Entry!$D$1742)</f>
        <v/>
      </c>
    </row>
    <row r="1740">
      <c r="Z1740">
        <f>IF([2]Entry!$E$1743="","",[2]Entry!$E$1743)</f>
        <v/>
      </c>
      <c r="AA1740">
        <f>IF([2]Entry!$G$1743="","",[2]Entry!$G$1743)</f>
        <v/>
      </c>
      <c r="AB1740">
        <f>IF([2]Entry!$J$1743="","",[2]Entry!$J$1743)</f>
        <v/>
      </c>
      <c r="AC1740">
        <f>IF([2]Entry!$K$1743="","",[2]Entry!$K$1743)</f>
        <v/>
      </c>
      <c r="AD1740">
        <f>IF([2]Entry!$L$1743="","",[2]Entry!$L$1743)</f>
        <v/>
      </c>
      <c r="AE1740">
        <f>IF([2]Entry!$M$1743="","",[2]Entry!$M$1743)</f>
        <v/>
      </c>
      <c r="AF1740">
        <f>IF([2]Entry!$N$1743="","",[2]Entry!$N$1743)</f>
        <v/>
      </c>
      <c r="AJ1740">
        <f>IF([2]Entry!$S$1743="","",[2]Entry!$S$1743)</f>
        <v/>
      </c>
      <c r="AK1740">
        <f>IF([2]Entry!$C$1743="","",[2]Entry!$C$1743)</f>
        <v/>
      </c>
      <c r="AL1740">
        <f>IF([2]Entry!$D$1743="","",[2]Entry!$D$1743)</f>
        <v/>
      </c>
    </row>
    <row r="1741">
      <c r="Z1741">
        <f>IF([2]Entry!$E$1744="","",[2]Entry!$E$1744)</f>
        <v/>
      </c>
      <c r="AA1741">
        <f>IF([2]Entry!$G$1744="","",[2]Entry!$G$1744)</f>
        <v/>
      </c>
      <c r="AB1741">
        <f>IF([2]Entry!$J$1744="","",[2]Entry!$J$1744)</f>
        <v/>
      </c>
      <c r="AC1741">
        <f>IF([2]Entry!$K$1744="","",[2]Entry!$K$1744)</f>
        <v/>
      </c>
      <c r="AD1741">
        <f>IF([2]Entry!$L$1744="","",[2]Entry!$L$1744)</f>
        <v/>
      </c>
      <c r="AE1741">
        <f>IF([2]Entry!$M$1744="","",[2]Entry!$M$1744)</f>
        <v/>
      </c>
      <c r="AF1741">
        <f>IF([2]Entry!$N$1744="","",[2]Entry!$N$1744)</f>
        <v/>
      </c>
      <c r="AJ1741">
        <f>IF([2]Entry!$S$1744="","",[2]Entry!$S$1744)</f>
        <v/>
      </c>
      <c r="AK1741">
        <f>IF([2]Entry!$C$1744="","",[2]Entry!$C$1744)</f>
        <v/>
      </c>
      <c r="AL1741">
        <f>IF([2]Entry!$D$1744="","",[2]Entry!$D$1744)</f>
        <v/>
      </c>
    </row>
    <row r="1742">
      <c r="Z1742">
        <f>IF([2]Entry!$E$1745="","",[2]Entry!$E$1745)</f>
        <v/>
      </c>
      <c r="AA1742">
        <f>IF([2]Entry!$G$1745="","",[2]Entry!$G$1745)</f>
        <v/>
      </c>
      <c r="AB1742">
        <f>IF([2]Entry!$J$1745="","",[2]Entry!$J$1745)</f>
        <v/>
      </c>
      <c r="AC1742">
        <f>IF([2]Entry!$K$1745="","",[2]Entry!$K$1745)</f>
        <v/>
      </c>
      <c r="AD1742">
        <f>IF([2]Entry!$L$1745="","",[2]Entry!$L$1745)</f>
        <v/>
      </c>
      <c r="AE1742">
        <f>IF([2]Entry!$M$1745="","",[2]Entry!$M$1745)</f>
        <v/>
      </c>
      <c r="AF1742">
        <f>IF([2]Entry!$N$1745="","",[2]Entry!$N$1745)</f>
        <v/>
      </c>
      <c r="AJ1742">
        <f>IF([2]Entry!$S$1745="","",[2]Entry!$S$1745)</f>
        <v/>
      </c>
      <c r="AK1742">
        <f>IF([2]Entry!$C$1745="","",[2]Entry!$C$1745)</f>
        <v/>
      </c>
      <c r="AL1742">
        <f>IF([2]Entry!$D$1745="","",[2]Entry!$D$1745)</f>
        <v/>
      </c>
    </row>
    <row r="1743">
      <c r="Z1743">
        <f>IF([2]Entry!$E$1746="","",[2]Entry!$E$1746)</f>
        <v/>
      </c>
      <c r="AA1743">
        <f>IF([2]Entry!$G$1746="","",[2]Entry!$G$1746)</f>
        <v/>
      </c>
      <c r="AB1743">
        <f>IF([2]Entry!$J$1746="","",[2]Entry!$J$1746)</f>
        <v/>
      </c>
      <c r="AC1743">
        <f>IF([2]Entry!$K$1746="","",[2]Entry!$K$1746)</f>
        <v/>
      </c>
      <c r="AD1743">
        <f>IF([2]Entry!$L$1746="","",[2]Entry!$L$1746)</f>
        <v/>
      </c>
      <c r="AE1743">
        <f>IF([2]Entry!$M$1746="","",[2]Entry!$M$1746)</f>
        <v/>
      </c>
      <c r="AF1743">
        <f>IF([2]Entry!$N$1746="","",[2]Entry!$N$1746)</f>
        <v/>
      </c>
      <c r="AJ1743">
        <f>IF([2]Entry!$S$1746="","",[2]Entry!$S$1746)</f>
        <v/>
      </c>
      <c r="AK1743">
        <f>IF([2]Entry!$C$1746="","",[2]Entry!$C$1746)</f>
        <v/>
      </c>
      <c r="AL1743">
        <f>IF([2]Entry!$D$1746="","",[2]Entry!$D$1746)</f>
        <v/>
      </c>
    </row>
    <row r="1744">
      <c r="Z1744">
        <f>IF([2]Entry!$E$1747="","",[2]Entry!$E$1747)</f>
        <v/>
      </c>
      <c r="AA1744">
        <f>IF([2]Entry!$G$1747="","",[2]Entry!$G$1747)</f>
        <v/>
      </c>
      <c r="AB1744">
        <f>IF([2]Entry!$J$1747="","",[2]Entry!$J$1747)</f>
        <v/>
      </c>
      <c r="AC1744">
        <f>IF([2]Entry!$K$1747="","",[2]Entry!$K$1747)</f>
        <v/>
      </c>
      <c r="AD1744">
        <f>IF([2]Entry!$L$1747="","",[2]Entry!$L$1747)</f>
        <v/>
      </c>
      <c r="AE1744">
        <f>IF([2]Entry!$M$1747="","",[2]Entry!$M$1747)</f>
        <v/>
      </c>
      <c r="AF1744">
        <f>IF([2]Entry!$N$1747="","",[2]Entry!$N$1747)</f>
        <v/>
      </c>
      <c r="AJ1744">
        <f>IF([2]Entry!$S$1747="","",[2]Entry!$S$1747)</f>
        <v/>
      </c>
      <c r="AK1744">
        <f>IF([2]Entry!$C$1747="","",[2]Entry!$C$1747)</f>
        <v/>
      </c>
      <c r="AL1744">
        <f>IF([2]Entry!$D$1747="","",[2]Entry!$D$1747)</f>
        <v/>
      </c>
    </row>
    <row r="1745">
      <c r="Z1745">
        <f>IF([2]Entry!$E$1748="","",[2]Entry!$E$1748)</f>
        <v/>
      </c>
      <c r="AA1745">
        <f>IF([2]Entry!$G$1748="","",[2]Entry!$G$1748)</f>
        <v/>
      </c>
      <c r="AB1745">
        <f>IF([2]Entry!$J$1748="","",[2]Entry!$J$1748)</f>
        <v/>
      </c>
      <c r="AC1745">
        <f>IF([2]Entry!$K$1748="","",[2]Entry!$K$1748)</f>
        <v/>
      </c>
      <c r="AD1745">
        <f>IF([2]Entry!$L$1748="","",[2]Entry!$L$1748)</f>
        <v/>
      </c>
      <c r="AE1745">
        <f>IF([2]Entry!$M$1748="","",[2]Entry!$M$1748)</f>
        <v/>
      </c>
      <c r="AF1745">
        <f>IF([2]Entry!$N$1748="","",[2]Entry!$N$1748)</f>
        <v/>
      </c>
      <c r="AJ1745">
        <f>IF([2]Entry!$S$1748="","",[2]Entry!$S$1748)</f>
        <v/>
      </c>
      <c r="AK1745">
        <f>IF([2]Entry!$C$1748="","",[2]Entry!$C$1748)</f>
        <v/>
      </c>
      <c r="AL1745">
        <f>IF([2]Entry!$D$1748="","",[2]Entry!$D$1748)</f>
        <v/>
      </c>
    </row>
    <row r="1746">
      <c r="Z1746">
        <f>IF([2]Entry!$E$1749="","",[2]Entry!$E$1749)</f>
        <v/>
      </c>
      <c r="AA1746">
        <f>IF([2]Entry!$G$1749="","",[2]Entry!$G$1749)</f>
        <v/>
      </c>
      <c r="AB1746">
        <f>IF([2]Entry!$J$1749="","",[2]Entry!$J$1749)</f>
        <v/>
      </c>
      <c r="AC1746">
        <f>IF([2]Entry!$K$1749="","",[2]Entry!$K$1749)</f>
        <v/>
      </c>
      <c r="AD1746">
        <f>IF([2]Entry!$L$1749="","",[2]Entry!$L$1749)</f>
        <v/>
      </c>
      <c r="AE1746">
        <f>IF([2]Entry!$M$1749="","",[2]Entry!$M$1749)</f>
        <v/>
      </c>
      <c r="AF1746">
        <f>IF([2]Entry!$N$1749="","",[2]Entry!$N$1749)</f>
        <v/>
      </c>
      <c r="AJ1746">
        <f>IF([2]Entry!$S$1749="","",[2]Entry!$S$1749)</f>
        <v/>
      </c>
      <c r="AK1746">
        <f>IF([2]Entry!$C$1749="","",[2]Entry!$C$1749)</f>
        <v/>
      </c>
      <c r="AL1746">
        <f>IF([2]Entry!$D$1749="","",[2]Entry!$D$1749)</f>
        <v/>
      </c>
    </row>
    <row r="1747">
      <c r="Z1747">
        <f>IF([2]Entry!$E$1750="","",[2]Entry!$E$1750)</f>
        <v/>
      </c>
      <c r="AA1747">
        <f>IF([2]Entry!$G$1750="","",[2]Entry!$G$1750)</f>
        <v/>
      </c>
      <c r="AB1747">
        <f>IF([2]Entry!$J$1750="","",[2]Entry!$J$1750)</f>
        <v/>
      </c>
      <c r="AC1747">
        <f>IF([2]Entry!$K$1750="","",[2]Entry!$K$1750)</f>
        <v/>
      </c>
      <c r="AD1747">
        <f>IF([2]Entry!$L$1750="","",[2]Entry!$L$1750)</f>
        <v/>
      </c>
      <c r="AE1747">
        <f>IF([2]Entry!$M$1750="","",[2]Entry!$M$1750)</f>
        <v/>
      </c>
      <c r="AF1747">
        <f>IF([2]Entry!$N$1750="","",[2]Entry!$N$1750)</f>
        <v/>
      </c>
      <c r="AJ1747">
        <f>IF([2]Entry!$S$1750="","",[2]Entry!$S$1750)</f>
        <v/>
      </c>
      <c r="AK1747">
        <f>IF([2]Entry!$C$1750="","",[2]Entry!$C$1750)</f>
        <v/>
      </c>
      <c r="AL1747">
        <f>IF([2]Entry!$D$1750="","",[2]Entry!$D$1750)</f>
        <v/>
      </c>
    </row>
    <row r="1748">
      <c r="Z1748">
        <f>IF([2]Entry!$E$1751="","",[2]Entry!$E$1751)</f>
        <v/>
      </c>
      <c r="AA1748">
        <f>IF([2]Entry!$G$1751="","",[2]Entry!$G$1751)</f>
        <v/>
      </c>
      <c r="AB1748">
        <f>IF([2]Entry!$J$1751="","",[2]Entry!$J$1751)</f>
        <v/>
      </c>
      <c r="AC1748">
        <f>IF([2]Entry!$K$1751="","",[2]Entry!$K$1751)</f>
        <v/>
      </c>
      <c r="AD1748">
        <f>IF([2]Entry!$L$1751="","",[2]Entry!$L$1751)</f>
        <v/>
      </c>
      <c r="AE1748">
        <f>IF([2]Entry!$M$1751="","",[2]Entry!$M$1751)</f>
        <v/>
      </c>
      <c r="AF1748">
        <f>IF([2]Entry!$N$1751="","",[2]Entry!$N$1751)</f>
        <v/>
      </c>
      <c r="AJ1748">
        <f>IF([2]Entry!$S$1751="","",[2]Entry!$S$1751)</f>
        <v/>
      </c>
      <c r="AK1748">
        <f>IF([2]Entry!$C$1751="","",[2]Entry!$C$1751)</f>
        <v/>
      </c>
      <c r="AL1748">
        <f>IF([2]Entry!$D$1751="","",[2]Entry!$D$1751)</f>
        <v/>
      </c>
    </row>
    <row r="1749">
      <c r="Z1749">
        <f>IF([2]Entry!$E$1752="","",[2]Entry!$E$1752)</f>
        <v/>
      </c>
      <c r="AA1749">
        <f>IF([2]Entry!$G$1752="","",[2]Entry!$G$1752)</f>
        <v/>
      </c>
      <c r="AB1749">
        <f>IF([2]Entry!$J$1752="","",[2]Entry!$J$1752)</f>
        <v/>
      </c>
      <c r="AC1749">
        <f>IF([2]Entry!$K$1752="","",[2]Entry!$K$1752)</f>
        <v/>
      </c>
      <c r="AD1749">
        <f>IF([2]Entry!$L$1752="","",[2]Entry!$L$1752)</f>
        <v/>
      </c>
      <c r="AE1749">
        <f>IF([2]Entry!$M$1752="","",[2]Entry!$M$1752)</f>
        <v/>
      </c>
      <c r="AF1749">
        <f>IF([2]Entry!$N$1752="","",[2]Entry!$N$1752)</f>
        <v/>
      </c>
      <c r="AJ1749">
        <f>IF([2]Entry!$S$1752="","",[2]Entry!$S$1752)</f>
        <v/>
      </c>
      <c r="AK1749">
        <f>IF([2]Entry!$C$1752="","",[2]Entry!$C$1752)</f>
        <v/>
      </c>
      <c r="AL1749">
        <f>IF([2]Entry!$D$1752="","",[2]Entry!$D$1752)</f>
        <v/>
      </c>
    </row>
    <row r="1750">
      <c r="Z1750">
        <f>IF([2]Entry!$E$1753="","",[2]Entry!$E$1753)</f>
        <v/>
      </c>
      <c r="AA1750">
        <f>IF([2]Entry!$G$1753="","",[2]Entry!$G$1753)</f>
        <v/>
      </c>
      <c r="AB1750">
        <f>IF([2]Entry!$J$1753="","",[2]Entry!$J$1753)</f>
        <v/>
      </c>
      <c r="AC1750">
        <f>IF([2]Entry!$K$1753="","",[2]Entry!$K$1753)</f>
        <v/>
      </c>
      <c r="AD1750">
        <f>IF([2]Entry!$L$1753="","",[2]Entry!$L$1753)</f>
        <v/>
      </c>
      <c r="AE1750">
        <f>IF([2]Entry!$M$1753="","",[2]Entry!$M$1753)</f>
        <v/>
      </c>
      <c r="AF1750">
        <f>IF([2]Entry!$N$1753="","",[2]Entry!$N$1753)</f>
        <v/>
      </c>
      <c r="AJ1750">
        <f>IF([2]Entry!$S$1753="","",[2]Entry!$S$1753)</f>
        <v/>
      </c>
      <c r="AK1750">
        <f>IF([2]Entry!$C$1753="","",[2]Entry!$C$1753)</f>
        <v/>
      </c>
      <c r="AL1750">
        <f>IF([2]Entry!$D$1753="","",[2]Entry!$D$1753)</f>
        <v/>
      </c>
    </row>
    <row r="1751">
      <c r="Z1751">
        <f>IF([2]Entry!$E$1754="","",[2]Entry!$E$1754)</f>
        <v/>
      </c>
      <c r="AA1751">
        <f>IF([2]Entry!$G$1754="","",[2]Entry!$G$1754)</f>
        <v/>
      </c>
      <c r="AB1751">
        <f>IF([2]Entry!$J$1754="","",[2]Entry!$J$1754)</f>
        <v/>
      </c>
      <c r="AC1751">
        <f>IF([2]Entry!$K$1754="","",[2]Entry!$K$1754)</f>
        <v/>
      </c>
      <c r="AD1751">
        <f>IF([2]Entry!$L$1754="","",[2]Entry!$L$1754)</f>
        <v/>
      </c>
      <c r="AE1751">
        <f>IF([2]Entry!$M$1754="","",[2]Entry!$M$1754)</f>
        <v/>
      </c>
      <c r="AF1751">
        <f>IF([2]Entry!$N$1754="","",[2]Entry!$N$1754)</f>
        <v/>
      </c>
      <c r="AJ1751">
        <f>IF([2]Entry!$S$1754="","",[2]Entry!$S$1754)</f>
        <v/>
      </c>
      <c r="AK1751">
        <f>IF([2]Entry!$C$1754="","",[2]Entry!$C$1754)</f>
        <v/>
      </c>
      <c r="AL1751">
        <f>IF([2]Entry!$D$1754="","",[2]Entry!$D$1754)</f>
        <v/>
      </c>
    </row>
    <row r="1752">
      <c r="Z1752">
        <f>IF([2]Entry!$E$1755="","",[2]Entry!$E$1755)</f>
        <v/>
      </c>
      <c r="AA1752">
        <f>IF([2]Entry!$G$1755="","",[2]Entry!$G$1755)</f>
        <v/>
      </c>
      <c r="AB1752">
        <f>IF([2]Entry!$J$1755="","",[2]Entry!$J$1755)</f>
        <v/>
      </c>
      <c r="AC1752">
        <f>IF([2]Entry!$K$1755="","",[2]Entry!$K$1755)</f>
        <v/>
      </c>
      <c r="AD1752">
        <f>IF([2]Entry!$L$1755="","",[2]Entry!$L$1755)</f>
        <v/>
      </c>
      <c r="AE1752">
        <f>IF([2]Entry!$M$1755="","",[2]Entry!$M$1755)</f>
        <v/>
      </c>
      <c r="AF1752">
        <f>IF([2]Entry!$N$1755="","",[2]Entry!$N$1755)</f>
        <v/>
      </c>
      <c r="AJ1752">
        <f>IF([2]Entry!$S$1755="","",[2]Entry!$S$1755)</f>
        <v/>
      </c>
      <c r="AK1752">
        <f>IF([2]Entry!$C$1755="","",[2]Entry!$C$1755)</f>
        <v/>
      </c>
      <c r="AL1752">
        <f>IF([2]Entry!$D$1755="","",[2]Entry!$D$1755)</f>
        <v/>
      </c>
    </row>
    <row r="1753">
      <c r="Z1753">
        <f>IF([2]Entry!$E$1756="","",[2]Entry!$E$1756)</f>
        <v/>
      </c>
      <c r="AA1753">
        <f>IF([2]Entry!$G$1756="","",[2]Entry!$G$1756)</f>
        <v/>
      </c>
      <c r="AB1753">
        <f>IF([2]Entry!$J$1756="","",[2]Entry!$J$1756)</f>
        <v/>
      </c>
      <c r="AC1753">
        <f>IF([2]Entry!$K$1756="","",[2]Entry!$K$1756)</f>
        <v/>
      </c>
      <c r="AD1753">
        <f>IF([2]Entry!$L$1756="","",[2]Entry!$L$1756)</f>
        <v/>
      </c>
      <c r="AE1753">
        <f>IF([2]Entry!$M$1756="","",[2]Entry!$M$1756)</f>
        <v/>
      </c>
      <c r="AF1753">
        <f>IF([2]Entry!$N$1756="","",[2]Entry!$N$1756)</f>
        <v/>
      </c>
      <c r="AJ1753">
        <f>IF([2]Entry!$S$1756="","",[2]Entry!$S$1756)</f>
        <v/>
      </c>
      <c r="AK1753">
        <f>IF([2]Entry!$C$1756="","",[2]Entry!$C$1756)</f>
        <v/>
      </c>
      <c r="AL1753">
        <f>IF([2]Entry!$D$1756="","",[2]Entry!$D$1756)</f>
        <v/>
      </c>
    </row>
    <row r="1754">
      <c r="Z1754">
        <f>IF([2]Entry!$E$1757="","",[2]Entry!$E$1757)</f>
        <v/>
      </c>
      <c r="AA1754">
        <f>IF([2]Entry!$G$1757="","",[2]Entry!$G$1757)</f>
        <v/>
      </c>
      <c r="AB1754">
        <f>IF([2]Entry!$J$1757="","",[2]Entry!$J$1757)</f>
        <v/>
      </c>
      <c r="AC1754">
        <f>IF([2]Entry!$K$1757="","",[2]Entry!$K$1757)</f>
        <v/>
      </c>
      <c r="AD1754">
        <f>IF([2]Entry!$L$1757="","",[2]Entry!$L$1757)</f>
        <v/>
      </c>
      <c r="AE1754">
        <f>IF([2]Entry!$M$1757="","",[2]Entry!$M$1757)</f>
        <v/>
      </c>
      <c r="AF1754">
        <f>IF([2]Entry!$N$1757="","",[2]Entry!$N$1757)</f>
        <v/>
      </c>
      <c r="AJ1754">
        <f>IF([2]Entry!$S$1757="","",[2]Entry!$S$1757)</f>
        <v/>
      </c>
      <c r="AK1754">
        <f>IF([2]Entry!$C$1757="","",[2]Entry!$C$1757)</f>
        <v/>
      </c>
      <c r="AL1754">
        <f>IF([2]Entry!$D$1757="","",[2]Entry!$D$1757)</f>
        <v/>
      </c>
    </row>
    <row r="1755">
      <c r="Z1755">
        <f>IF([2]Entry!$E$1758="","",[2]Entry!$E$1758)</f>
        <v/>
      </c>
      <c r="AA1755">
        <f>IF([2]Entry!$G$1758="","",[2]Entry!$G$1758)</f>
        <v/>
      </c>
      <c r="AB1755">
        <f>IF([2]Entry!$J$1758="","",[2]Entry!$J$1758)</f>
        <v/>
      </c>
      <c r="AC1755">
        <f>IF([2]Entry!$K$1758="","",[2]Entry!$K$1758)</f>
        <v/>
      </c>
      <c r="AD1755">
        <f>IF([2]Entry!$L$1758="","",[2]Entry!$L$1758)</f>
        <v/>
      </c>
      <c r="AE1755">
        <f>IF([2]Entry!$M$1758="","",[2]Entry!$M$1758)</f>
        <v/>
      </c>
      <c r="AF1755">
        <f>IF([2]Entry!$N$1758="","",[2]Entry!$N$1758)</f>
        <v/>
      </c>
      <c r="AJ1755">
        <f>IF([2]Entry!$S$1758="","",[2]Entry!$S$1758)</f>
        <v/>
      </c>
      <c r="AK1755">
        <f>IF([2]Entry!$C$1758="","",[2]Entry!$C$1758)</f>
        <v/>
      </c>
      <c r="AL1755">
        <f>IF([2]Entry!$D$1758="","",[2]Entry!$D$1758)</f>
        <v/>
      </c>
    </row>
    <row r="1756">
      <c r="Z1756">
        <f>IF([2]Entry!$E$1759="","",[2]Entry!$E$1759)</f>
        <v/>
      </c>
      <c r="AA1756">
        <f>IF([2]Entry!$G$1759="","",[2]Entry!$G$1759)</f>
        <v/>
      </c>
      <c r="AB1756">
        <f>IF([2]Entry!$J$1759="","",[2]Entry!$J$1759)</f>
        <v/>
      </c>
      <c r="AC1756">
        <f>IF([2]Entry!$K$1759="","",[2]Entry!$K$1759)</f>
        <v/>
      </c>
      <c r="AD1756">
        <f>IF([2]Entry!$L$1759="","",[2]Entry!$L$1759)</f>
        <v/>
      </c>
      <c r="AE1756">
        <f>IF([2]Entry!$M$1759="","",[2]Entry!$M$1759)</f>
        <v/>
      </c>
      <c r="AF1756">
        <f>IF([2]Entry!$N$1759="","",[2]Entry!$N$1759)</f>
        <v/>
      </c>
      <c r="AJ1756">
        <f>IF([2]Entry!$S$1759="","",[2]Entry!$S$1759)</f>
        <v/>
      </c>
      <c r="AK1756">
        <f>IF([2]Entry!$C$1759="","",[2]Entry!$C$1759)</f>
        <v/>
      </c>
      <c r="AL1756">
        <f>IF([2]Entry!$D$1759="","",[2]Entry!$D$1759)</f>
        <v/>
      </c>
    </row>
    <row r="1757">
      <c r="Z1757">
        <f>IF([2]Entry!$E$1760="","",[2]Entry!$E$1760)</f>
        <v/>
      </c>
      <c r="AA1757">
        <f>IF([2]Entry!$G$1760="","",[2]Entry!$G$1760)</f>
        <v/>
      </c>
      <c r="AB1757">
        <f>IF([2]Entry!$J$1760="","",[2]Entry!$J$1760)</f>
        <v/>
      </c>
      <c r="AC1757">
        <f>IF([2]Entry!$K$1760="","",[2]Entry!$K$1760)</f>
        <v/>
      </c>
      <c r="AD1757">
        <f>IF([2]Entry!$L$1760="","",[2]Entry!$L$1760)</f>
        <v/>
      </c>
      <c r="AE1757">
        <f>IF([2]Entry!$M$1760="","",[2]Entry!$M$1760)</f>
        <v/>
      </c>
      <c r="AF1757">
        <f>IF([2]Entry!$N$1760="","",[2]Entry!$N$1760)</f>
        <v/>
      </c>
      <c r="AJ1757">
        <f>IF([2]Entry!$S$1760="","",[2]Entry!$S$1760)</f>
        <v/>
      </c>
      <c r="AK1757">
        <f>IF([2]Entry!$C$1760="","",[2]Entry!$C$1760)</f>
        <v/>
      </c>
      <c r="AL1757">
        <f>IF([2]Entry!$D$1760="","",[2]Entry!$D$1760)</f>
        <v/>
      </c>
    </row>
    <row r="1758">
      <c r="Z1758">
        <f>IF([2]Entry!$E$1761="","",[2]Entry!$E$1761)</f>
        <v/>
      </c>
      <c r="AA1758">
        <f>IF([2]Entry!$G$1761="","",[2]Entry!$G$1761)</f>
        <v/>
      </c>
      <c r="AB1758">
        <f>IF([2]Entry!$J$1761="","",[2]Entry!$J$1761)</f>
        <v/>
      </c>
      <c r="AC1758">
        <f>IF([2]Entry!$K$1761="","",[2]Entry!$K$1761)</f>
        <v/>
      </c>
      <c r="AD1758">
        <f>IF([2]Entry!$L$1761="","",[2]Entry!$L$1761)</f>
        <v/>
      </c>
      <c r="AE1758">
        <f>IF([2]Entry!$M$1761="","",[2]Entry!$M$1761)</f>
        <v/>
      </c>
      <c r="AF1758">
        <f>IF([2]Entry!$N$1761="","",[2]Entry!$N$1761)</f>
        <v/>
      </c>
      <c r="AJ1758">
        <f>IF([2]Entry!$S$1761="","",[2]Entry!$S$1761)</f>
        <v/>
      </c>
      <c r="AK1758">
        <f>IF([2]Entry!$C$1761="","",[2]Entry!$C$1761)</f>
        <v/>
      </c>
      <c r="AL1758">
        <f>IF([2]Entry!$D$1761="","",[2]Entry!$D$1761)</f>
        <v/>
      </c>
    </row>
    <row r="1759">
      <c r="Z1759">
        <f>IF([2]Entry!$E$1762="","",[2]Entry!$E$1762)</f>
        <v/>
      </c>
      <c r="AA1759">
        <f>IF([2]Entry!$G$1762="","",[2]Entry!$G$1762)</f>
        <v/>
      </c>
      <c r="AB1759">
        <f>IF([2]Entry!$J$1762="","",[2]Entry!$J$1762)</f>
        <v/>
      </c>
      <c r="AC1759">
        <f>IF([2]Entry!$K$1762="","",[2]Entry!$K$1762)</f>
        <v/>
      </c>
      <c r="AD1759">
        <f>IF([2]Entry!$L$1762="","",[2]Entry!$L$1762)</f>
        <v/>
      </c>
      <c r="AE1759">
        <f>IF([2]Entry!$M$1762="","",[2]Entry!$M$1762)</f>
        <v/>
      </c>
      <c r="AF1759">
        <f>IF([2]Entry!$N$1762="","",[2]Entry!$N$1762)</f>
        <v/>
      </c>
      <c r="AJ1759">
        <f>IF([2]Entry!$S$1762="","",[2]Entry!$S$1762)</f>
        <v/>
      </c>
      <c r="AK1759">
        <f>IF([2]Entry!$C$1762="","",[2]Entry!$C$1762)</f>
        <v/>
      </c>
      <c r="AL1759">
        <f>IF([2]Entry!$D$1762="","",[2]Entry!$D$1762)</f>
        <v/>
      </c>
    </row>
    <row r="1760">
      <c r="Z1760">
        <f>IF([2]Entry!$E$1763="","",[2]Entry!$E$1763)</f>
        <v/>
      </c>
      <c r="AA1760">
        <f>IF([2]Entry!$G$1763="","",[2]Entry!$G$1763)</f>
        <v/>
      </c>
      <c r="AB1760">
        <f>IF([2]Entry!$J$1763="","",[2]Entry!$J$1763)</f>
        <v/>
      </c>
      <c r="AC1760">
        <f>IF([2]Entry!$K$1763="","",[2]Entry!$K$1763)</f>
        <v/>
      </c>
      <c r="AD1760">
        <f>IF([2]Entry!$L$1763="","",[2]Entry!$L$1763)</f>
        <v/>
      </c>
      <c r="AE1760">
        <f>IF([2]Entry!$M$1763="","",[2]Entry!$M$1763)</f>
        <v/>
      </c>
      <c r="AF1760">
        <f>IF([2]Entry!$N$1763="","",[2]Entry!$N$1763)</f>
        <v/>
      </c>
      <c r="AJ1760">
        <f>IF([2]Entry!$S$1763="","",[2]Entry!$S$1763)</f>
        <v/>
      </c>
      <c r="AK1760">
        <f>IF([2]Entry!$C$1763="","",[2]Entry!$C$1763)</f>
        <v/>
      </c>
      <c r="AL1760">
        <f>IF([2]Entry!$D$1763="","",[2]Entry!$D$1763)</f>
        <v/>
      </c>
    </row>
    <row r="1761">
      <c r="Z1761">
        <f>IF([2]Entry!$E$1764="","",[2]Entry!$E$1764)</f>
        <v/>
      </c>
      <c r="AA1761">
        <f>IF([2]Entry!$G$1764="","",[2]Entry!$G$1764)</f>
        <v/>
      </c>
      <c r="AB1761">
        <f>IF([2]Entry!$J$1764="","",[2]Entry!$J$1764)</f>
        <v/>
      </c>
      <c r="AC1761">
        <f>IF([2]Entry!$K$1764="","",[2]Entry!$K$1764)</f>
        <v/>
      </c>
      <c r="AD1761">
        <f>IF([2]Entry!$L$1764="","",[2]Entry!$L$1764)</f>
        <v/>
      </c>
      <c r="AE1761">
        <f>IF([2]Entry!$M$1764="","",[2]Entry!$M$1764)</f>
        <v/>
      </c>
      <c r="AF1761">
        <f>IF([2]Entry!$N$1764="","",[2]Entry!$N$1764)</f>
        <v/>
      </c>
      <c r="AJ1761">
        <f>IF([2]Entry!$S$1764="","",[2]Entry!$S$1764)</f>
        <v/>
      </c>
      <c r="AK1761">
        <f>IF([2]Entry!$C$1764="","",[2]Entry!$C$1764)</f>
        <v/>
      </c>
      <c r="AL1761">
        <f>IF([2]Entry!$D$1764="","",[2]Entry!$D$1764)</f>
        <v/>
      </c>
    </row>
    <row r="1762">
      <c r="Z1762">
        <f>IF([2]Entry!$E$1765="","",[2]Entry!$E$1765)</f>
        <v/>
      </c>
      <c r="AA1762">
        <f>IF([2]Entry!$G$1765="","",[2]Entry!$G$1765)</f>
        <v/>
      </c>
      <c r="AB1762">
        <f>IF([2]Entry!$J$1765="","",[2]Entry!$J$1765)</f>
        <v/>
      </c>
      <c r="AC1762">
        <f>IF([2]Entry!$K$1765="","",[2]Entry!$K$1765)</f>
        <v/>
      </c>
      <c r="AD1762">
        <f>IF([2]Entry!$L$1765="","",[2]Entry!$L$1765)</f>
        <v/>
      </c>
      <c r="AE1762">
        <f>IF([2]Entry!$M$1765="","",[2]Entry!$M$1765)</f>
        <v/>
      </c>
      <c r="AF1762">
        <f>IF([2]Entry!$N$1765="","",[2]Entry!$N$1765)</f>
        <v/>
      </c>
      <c r="AJ1762">
        <f>IF([2]Entry!$S$1765="","",[2]Entry!$S$1765)</f>
        <v/>
      </c>
      <c r="AK1762">
        <f>IF([2]Entry!$C$1765="","",[2]Entry!$C$1765)</f>
        <v/>
      </c>
      <c r="AL1762">
        <f>IF([2]Entry!$D$1765="","",[2]Entry!$D$1765)</f>
        <v/>
      </c>
    </row>
    <row r="1763">
      <c r="Z1763">
        <f>IF([2]Entry!$E$1766="","",[2]Entry!$E$1766)</f>
        <v/>
      </c>
      <c r="AA1763">
        <f>IF([2]Entry!$G$1766="","",[2]Entry!$G$1766)</f>
        <v/>
      </c>
      <c r="AB1763">
        <f>IF([2]Entry!$J$1766="","",[2]Entry!$J$1766)</f>
        <v/>
      </c>
      <c r="AC1763">
        <f>IF([2]Entry!$K$1766="","",[2]Entry!$K$1766)</f>
        <v/>
      </c>
      <c r="AD1763">
        <f>IF([2]Entry!$L$1766="","",[2]Entry!$L$1766)</f>
        <v/>
      </c>
      <c r="AE1763">
        <f>IF([2]Entry!$M$1766="","",[2]Entry!$M$1766)</f>
        <v/>
      </c>
      <c r="AF1763">
        <f>IF([2]Entry!$N$1766="","",[2]Entry!$N$1766)</f>
        <v/>
      </c>
      <c r="AJ1763">
        <f>IF([2]Entry!$S$1766="","",[2]Entry!$S$1766)</f>
        <v/>
      </c>
      <c r="AK1763">
        <f>IF([2]Entry!$C$1766="","",[2]Entry!$C$1766)</f>
        <v/>
      </c>
      <c r="AL1763">
        <f>IF([2]Entry!$D$1766="","",[2]Entry!$D$1766)</f>
        <v/>
      </c>
    </row>
    <row r="1764">
      <c r="Z1764">
        <f>IF([2]Entry!$E$1767="","",[2]Entry!$E$1767)</f>
        <v/>
      </c>
      <c r="AA1764">
        <f>IF([2]Entry!$G$1767="","",[2]Entry!$G$1767)</f>
        <v/>
      </c>
      <c r="AB1764">
        <f>IF([2]Entry!$J$1767="","",[2]Entry!$J$1767)</f>
        <v/>
      </c>
      <c r="AC1764">
        <f>IF([2]Entry!$K$1767="","",[2]Entry!$K$1767)</f>
        <v/>
      </c>
      <c r="AD1764">
        <f>IF([2]Entry!$L$1767="","",[2]Entry!$L$1767)</f>
        <v/>
      </c>
      <c r="AE1764">
        <f>IF([2]Entry!$M$1767="","",[2]Entry!$M$1767)</f>
        <v/>
      </c>
      <c r="AF1764">
        <f>IF([2]Entry!$N$1767="","",[2]Entry!$N$1767)</f>
        <v/>
      </c>
      <c r="AJ1764">
        <f>IF([2]Entry!$S$1767="","",[2]Entry!$S$1767)</f>
        <v/>
      </c>
      <c r="AK1764">
        <f>IF([2]Entry!$C$1767="","",[2]Entry!$C$1767)</f>
        <v/>
      </c>
      <c r="AL1764">
        <f>IF([2]Entry!$D$1767="","",[2]Entry!$D$1767)</f>
        <v/>
      </c>
    </row>
    <row r="1765">
      <c r="Z1765">
        <f>IF([2]Entry!$E$1768="","",[2]Entry!$E$1768)</f>
        <v/>
      </c>
      <c r="AA1765">
        <f>IF([2]Entry!$G$1768="","",[2]Entry!$G$1768)</f>
        <v/>
      </c>
      <c r="AB1765">
        <f>IF([2]Entry!$J$1768="","",[2]Entry!$J$1768)</f>
        <v/>
      </c>
      <c r="AC1765">
        <f>IF([2]Entry!$K$1768="","",[2]Entry!$K$1768)</f>
        <v/>
      </c>
      <c r="AD1765">
        <f>IF([2]Entry!$L$1768="","",[2]Entry!$L$1768)</f>
        <v/>
      </c>
      <c r="AE1765">
        <f>IF([2]Entry!$M$1768="","",[2]Entry!$M$1768)</f>
        <v/>
      </c>
      <c r="AF1765">
        <f>IF([2]Entry!$N$1768="","",[2]Entry!$N$1768)</f>
        <v/>
      </c>
      <c r="AJ1765">
        <f>IF([2]Entry!$S$1768="","",[2]Entry!$S$1768)</f>
        <v/>
      </c>
      <c r="AK1765">
        <f>IF([2]Entry!$C$1768="","",[2]Entry!$C$1768)</f>
        <v/>
      </c>
      <c r="AL1765">
        <f>IF([2]Entry!$D$1768="","",[2]Entry!$D$1768)</f>
        <v/>
      </c>
    </row>
    <row r="1766">
      <c r="Z1766">
        <f>IF([2]Entry!$E$1769="","",[2]Entry!$E$1769)</f>
        <v/>
      </c>
      <c r="AA1766">
        <f>IF([2]Entry!$G$1769="","",[2]Entry!$G$1769)</f>
        <v/>
      </c>
      <c r="AB1766">
        <f>IF([2]Entry!$J$1769="","",[2]Entry!$J$1769)</f>
        <v/>
      </c>
      <c r="AC1766">
        <f>IF([2]Entry!$K$1769="","",[2]Entry!$K$1769)</f>
        <v/>
      </c>
      <c r="AD1766">
        <f>IF([2]Entry!$L$1769="","",[2]Entry!$L$1769)</f>
        <v/>
      </c>
      <c r="AE1766">
        <f>IF([2]Entry!$M$1769="","",[2]Entry!$M$1769)</f>
        <v/>
      </c>
      <c r="AF1766">
        <f>IF([2]Entry!$N$1769="","",[2]Entry!$N$1769)</f>
        <v/>
      </c>
      <c r="AJ1766">
        <f>IF([2]Entry!$S$1769="","",[2]Entry!$S$1769)</f>
        <v/>
      </c>
      <c r="AK1766">
        <f>IF([2]Entry!$C$1769="","",[2]Entry!$C$1769)</f>
        <v/>
      </c>
      <c r="AL1766">
        <f>IF([2]Entry!$D$1769="","",[2]Entry!$D$1769)</f>
        <v/>
      </c>
    </row>
    <row r="1767">
      <c r="Z1767">
        <f>IF([2]Entry!$E$1770="","",[2]Entry!$E$1770)</f>
        <v/>
      </c>
      <c r="AA1767">
        <f>IF([2]Entry!$G$1770="","",[2]Entry!$G$1770)</f>
        <v/>
      </c>
      <c r="AB1767">
        <f>IF([2]Entry!$J$1770="","",[2]Entry!$J$1770)</f>
        <v/>
      </c>
      <c r="AC1767">
        <f>IF([2]Entry!$K$1770="","",[2]Entry!$K$1770)</f>
        <v/>
      </c>
      <c r="AD1767">
        <f>IF([2]Entry!$L$1770="","",[2]Entry!$L$1770)</f>
        <v/>
      </c>
      <c r="AE1767">
        <f>IF([2]Entry!$M$1770="","",[2]Entry!$M$1770)</f>
        <v/>
      </c>
      <c r="AF1767">
        <f>IF([2]Entry!$N$1770="","",[2]Entry!$N$1770)</f>
        <v/>
      </c>
      <c r="AJ1767">
        <f>IF([2]Entry!$S$1770="","",[2]Entry!$S$1770)</f>
        <v/>
      </c>
      <c r="AK1767">
        <f>IF([2]Entry!$C$1770="","",[2]Entry!$C$1770)</f>
        <v/>
      </c>
      <c r="AL1767">
        <f>IF([2]Entry!$D$1770="","",[2]Entry!$D$1770)</f>
        <v/>
      </c>
    </row>
    <row r="1768">
      <c r="Z1768">
        <f>IF([2]Entry!$E$1771="","",[2]Entry!$E$1771)</f>
        <v/>
      </c>
      <c r="AA1768">
        <f>IF([2]Entry!$G$1771="","",[2]Entry!$G$1771)</f>
        <v/>
      </c>
      <c r="AB1768">
        <f>IF([2]Entry!$J$1771="","",[2]Entry!$J$1771)</f>
        <v/>
      </c>
      <c r="AC1768">
        <f>IF([2]Entry!$K$1771="","",[2]Entry!$K$1771)</f>
        <v/>
      </c>
      <c r="AD1768">
        <f>IF([2]Entry!$L$1771="","",[2]Entry!$L$1771)</f>
        <v/>
      </c>
      <c r="AE1768">
        <f>IF([2]Entry!$M$1771="","",[2]Entry!$M$1771)</f>
        <v/>
      </c>
      <c r="AF1768">
        <f>IF([2]Entry!$N$1771="","",[2]Entry!$N$1771)</f>
        <v/>
      </c>
      <c r="AJ1768">
        <f>IF([2]Entry!$S$1771="","",[2]Entry!$S$1771)</f>
        <v/>
      </c>
      <c r="AK1768">
        <f>IF([2]Entry!$C$1771="","",[2]Entry!$C$1771)</f>
        <v/>
      </c>
      <c r="AL1768">
        <f>IF([2]Entry!$D$1771="","",[2]Entry!$D$1771)</f>
        <v/>
      </c>
    </row>
    <row r="1769">
      <c r="Z1769">
        <f>IF([2]Entry!$E$1772="","",[2]Entry!$E$1772)</f>
        <v/>
      </c>
      <c r="AA1769">
        <f>IF([2]Entry!$G$1772="","",[2]Entry!$G$1772)</f>
        <v/>
      </c>
      <c r="AB1769">
        <f>IF([2]Entry!$J$1772="","",[2]Entry!$J$1772)</f>
        <v/>
      </c>
      <c r="AC1769">
        <f>IF([2]Entry!$K$1772="","",[2]Entry!$K$1772)</f>
        <v/>
      </c>
      <c r="AD1769">
        <f>IF([2]Entry!$L$1772="","",[2]Entry!$L$1772)</f>
        <v/>
      </c>
      <c r="AE1769">
        <f>IF([2]Entry!$M$1772="","",[2]Entry!$M$1772)</f>
        <v/>
      </c>
      <c r="AF1769">
        <f>IF([2]Entry!$N$1772="","",[2]Entry!$N$1772)</f>
        <v/>
      </c>
      <c r="AJ1769">
        <f>IF([2]Entry!$S$1772="","",[2]Entry!$S$1772)</f>
        <v/>
      </c>
      <c r="AK1769">
        <f>IF([2]Entry!$C$1772="","",[2]Entry!$C$1772)</f>
        <v/>
      </c>
      <c r="AL1769">
        <f>IF([2]Entry!$D$1772="","",[2]Entry!$D$1772)</f>
        <v/>
      </c>
    </row>
    <row r="1770">
      <c r="Z1770">
        <f>IF([2]Entry!$E$1773="","",[2]Entry!$E$1773)</f>
        <v/>
      </c>
      <c r="AA1770">
        <f>IF([2]Entry!$G$1773="","",[2]Entry!$G$1773)</f>
        <v/>
      </c>
      <c r="AB1770">
        <f>IF([2]Entry!$J$1773="","",[2]Entry!$J$1773)</f>
        <v/>
      </c>
      <c r="AC1770">
        <f>IF([2]Entry!$K$1773="","",[2]Entry!$K$1773)</f>
        <v/>
      </c>
      <c r="AD1770">
        <f>IF([2]Entry!$L$1773="","",[2]Entry!$L$1773)</f>
        <v/>
      </c>
      <c r="AE1770">
        <f>IF([2]Entry!$M$1773="","",[2]Entry!$M$1773)</f>
        <v/>
      </c>
      <c r="AF1770">
        <f>IF([2]Entry!$N$1773="","",[2]Entry!$N$1773)</f>
        <v/>
      </c>
      <c r="AJ1770">
        <f>IF([2]Entry!$S$1773="","",[2]Entry!$S$1773)</f>
        <v/>
      </c>
      <c r="AK1770">
        <f>IF([2]Entry!$C$1773="","",[2]Entry!$C$1773)</f>
        <v/>
      </c>
      <c r="AL1770">
        <f>IF([2]Entry!$D$1773="","",[2]Entry!$D$1773)</f>
        <v/>
      </c>
    </row>
    <row r="1771">
      <c r="Z1771">
        <f>IF([2]Entry!$E$1774="","",[2]Entry!$E$1774)</f>
        <v/>
      </c>
      <c r="AA1771">
        <f>IF([2]Entry!$G$1774="","",[2]Entry!$G$1774)</f>
        <v/>
      </c>
      <c r="AB1771">
        <f>IF([2]Entry!$J$1774="","",[2]Entry!$J$1774)</f>
        <v/>
      </c>
      <c r="AC1771">
        <f>IF([2]Entry!$K$1774="","",[2]Entry!$K$1774)</f>
        <v/>
      </c>
      <c r="AD1771">
        <f>IF([2]Entry!$L$1774="","",[2]Entry!$L$1774)</f>
        <v/>
      </c>
      <c r="AE1771">
        <f>IF([2]Entry!$M$1774="","",[2]Entry!$M$1774)</f>
        <v/>
      </c>
      <c r="AF1771">
        <f>IF([2]Entry!$N$1774="","",[2]Entry!$N$1774)</f>
        <v/>
      </c>
      <c r="AJ1771">
        <f>IF([2]Entry!$S$1774="","",[2]Entry!$S$1774)</f>
        <v/>
      </c>
      <c r="AK1771">
        <f>IF([2]Entry!$C$1774="","",[2]Entry!$C$1774)</f>
        <v/>
      </c>
      <c r="AL1771">
        <f>IF([2]Entry!$D$1774="","",[2]Entry!$D$1774)</f>
        <v/>
      </c>
    </row>
    <row r="1772">
      <c r="Z1772">
        <f>IF([2]Entry!$E$1775="","",[2]Entry!$E$1775)</f>
        <v/>
      </c>
      <c r="AA1772">
        <f>IF([2]Entry!$G$1775="","",[2]Entry!$G$1775)</f>
        <v/>
      </c>
      <c r="AB1772">
        <f>IF([2]Entry!$J$1775="","",[2]Entry!$J$1775)</f>
        <v/>
      </c>
      <c r="AC1772">
        <f>IF([2]Entry!$K$1775="","",[2]Entry!$K$1775)</f>
        <v/>
      </c>
      <c r="AD1772">
        <f>IF([2]Entry!$L$1775="","",[2]Entry!$L$1775)</f>
        <v/>
      </c>
      <c r="AE1772">
        <f>IF([2]Entry!$M$1775="","",[2]Entry!$M$1775)</f>
        <v/>
      </c>
      <c r="AF1772">
        <f>IF([2]Entry!$N$1775="","",[2]Entry!$N$1775)</f>
        <v/>
      </c>
      <c r="AJ1772">
        <f>IF([2]Entry!$S$1775="","",[2]Entry!$S$1775)</f>
        <v/>
      </c>
      <c r="AK1772">
        <f>IF([2]Entry!$C$1775="","",[2]Entry!$C$1775)</f>
        <v/>
      </c>
      <c r="AL1772">
        <f>IF([2]Entry!$D$1775="","",[2]Entry!$D$1775)</f>
        <v/>
      </c>
    </row>
    <row r="1773">
      <c r="Z1773">
        <f>IF([2]Entry!$E$1776="","",[2]Entry!$E$1776)</f>
        <v/>
      </c>
      <c r="AA1773">
        <f>IF([2]Entry!$G$1776="","",[2]Entry!$G$1776)</f>
        <v/>
      </c>
      <c r="AB1773">
        <f>IF([2]Entry!$J$1776="","",[2]Entry!$J$1776)</f>
        <v/>
      </c>
      <c r="AC1773">
        <f>IF([2]Entry!$K$1776="","",[2]Entry!$K$1776)</f>
        <v/>
      </c>
      <c r="AD1773">
        <f>IF([2]Entry!$L$1776="","",[2]Entry!$L$1776)</f>
        <v/>
      </c>
      <c r="AE1773">
        <f>IF([2]Entry!$M$1776="","",[2]Entry!$M$1776)</f>
        <v/>
      </c>
      <c r="AF1773">
        <f>IF([2]Entry!$N$1776="","",[2]Entry!$N$1776)</f>
        <v/>
      </c>
      <c r="AJ1773">
        <f>IF([2]Entry!$S$1776="","",[2]Entry!$S$1776)</f>
        <v/>
      </c>
      <c r="AK1773">
        <f>IF([2]Entry!$C$1776="","",[2]Entry!$C$1776)</f>
        <v/>
      </c>
      <c r="AL1773">
        <f>IF([2]Entry!$D$1776="","",[2]Entry!$D$1776)</f>
        <v/>
      </c>
    </row>
    <row r="1774">
      <c r="Z1774">
        <f>IF([2]Entry!$E$1777="","",[2]Entry!$E$1777)</f>
        <v/>
      </c>
      <c r="AA1774">
        <f>IF([2]Entry!$G$1777="","",[2]Entry!$G$1777)</f>
        <v/>
      </c>
      <c r="AB1774">
        <f>IF([2]Entry!$J$1777="","",[2]Entry!$J$1777)</f>
        <v/>
      </c>
      <c r="AC1774">
        <f>IF([2]Entry!$K$1777="","",[2]Entry!$K$1777)</f>
        <v/>
      </c>
      <c r="AD1774">
        <f>IF([2]Entry!$L$1777="","",[2]Entry!$L$1777)</f>
        <v/>
      </c>
      <c r="AE1774">
        <f>IF([2]Entry!$M$1777="","",[2]Entry!$M$1777)</f>
        <v/>
      </c>
      <c r="AF1774">
        <f>IF([2]Entry!$N$1777="","",[2]Entry!$N$1777)</f>
        <v/>
      </c>
      <c r="AJ1774">
        <f>IF([2]Entry!$S$1777="","",[2]Entry!$S$1777)</f>
        <v/>
      </c>
      <c r="AK1774">
        <f>IF([2]Entry!$C$1777="","",[2]Entry!$C$1777)</f>
        <v/>
      </c>
      <c r="AL1774">
        <f>IF([2]Entry!$D$1777="","",[2]Entry!$D$1777)</f>
        <v/>
      </c>
    </row>
    <row r="1775">
      <c r="Z1775">
        <f>IF([2]Entry!$E$1778="","",[2]Entry!$E$1778)</f>
        <v/>
      </c>
      <c r="AA1775">
        <f>IF([2]Entry!$G$1778="","",[2]Entry!$G$1778)</f>
        <v/>
      </c>
      <c r="AB1775">
        <f>IF([2]Entry!$J$1778="","",[2]Entry!$J$1778)</f>
        <v/>
      </c>
      <c r="AC1775">
        <f>IF([2]Entry!$K$1778="","",[2]Entry!$K$1778)</f>
        <v/>
      </c>
      <c r="AD1775">
        <f>IF([2]Entry!$L$1778="","",[2]Entry!$L$1778)</f>
        <v/>
      </c>
      <c r="AE1775">
        <f>IF([2]Entry!$M$1778="","",[2]Entry!$M$1778)</f>
        <v/>
      </c>
      <c r="AF1775">
        <f>IF([2]Entry!$N$1778="","",[2]Entry!$N$1778)</f>
        <v/>
      </c>
      <c r="AJ1775">
        <f>IF([2]Entry!$S$1778="","",[2]Entry!$S$1778)</f>
        <v/>
      </c>
      <c r="AK1775">
        <f>IF([2]Entry!$C$1778="","",[2]Entry!$C$1778)</f>
        <v/>
      </c>
      <c r="AL1775">
        <f>IF([2]Entry!$D$1778="","",[2]Entry!$D$1778)</f>
        <v/>
      </c>
    </row>
    <row r="1776">
      <c r="Z1776">
        <f>IF([2]Entry!$E$1779="","",[2]Entry!$E$1779)</f>
        <v/>
      </c>
      <c r="AA1776">
        <f>IF([2]Entry!$G$1779="","",[2]Entry!$G$1779)</f>
        <v/>
      </c>
      <c r="AB1776">
        <f>IF([2]Entry!$J$1779="","",[2]Entry!$J$1779)</f>
        <v/>
      </c>
      <c r="AC1776">
        <f>IF([2]Entry!$K$1779="","",[2]Entry!$K$1779)</f>
        <v/>
      </c>
      <c r="AD1776">
        <f>IF([2]Entry!$L$1779="","",[2]Entry!$L$1779)</f>
        <v/>
      </c>
      <c r="AE1776">
        <f>IF([2]Entry!$M$1779="","",[2]Entry!$M$1779)</f>
        <v/>
      </c>
      <c r="AF1776">
        <f>IF([2]Entry!$N$1779="","",[2]Entry!$N$1779)</f>
        <v/>
      </c>
      <c r="AJ1776">
        <f>IF([2]Entry!$S$1779="","",[2]Entry!$S$1779)</f>
        <v/>
      </c>
      <c r="AK1776">
        <f>IF([2]Entry!$C$1779="","",[2]Entry!$C$1779)</f>
        <v/>
      </c>
      <c r="AL1776">
        <f>IF([2]Entry!$D$1779="","",[2]Entry!$D$1779)</f>
        <v/>
      </c>
    </row>
    <row r="1777">
      <c r="Z1777">
        <f>IF([2]Entry!$E$1780="","",[2]Entry!$E$1780)</f>
        <v/>
      </c>
      <c r="AA1777">
        <f>IF([2]Entry!$G$1780="","",[2]Entry!$G$1780)</f>
        <v/>
      </c>
      <c r="AB1777">
        <f>IF([2]Entry!$J$1780="","",[2]Entry!$J$1780)</f>
        <v/>
      </c>
      <c r="AC1777">
        <f>IF([2]Entry!$K$1780="","",[2]Entry!$K$1780)</f>
        <v/>
      </c>
      <c r="AD1777">
        <f>IF([2]Entry!$L$1780="","",[2]Entry!$L$1780)</f>
        <v/>
      </c>
      <c r="AE1777">
        <f>IF([2]Entry!$M$1780="","",[2]Entry!$M$1780)</f>
        <v/>
      </c>
      <c r="AF1777">
        <f>IF([2]Entry!$N$1780="","",[2]Entry!$N$1780)</f>
        <v/>
      </c>
      <c r="AJ1777">
        <f>IF([2]Entry!$S$1780="","",[2]Entry!$S$1780)</f>
        <v/>
      </c>
      <c r="AK1777">
        <f>IF([2]Entry!$C$1780="","",[2]Entry!$C$1780)</f>
        <v/>
      </c>
      <c r="AL1777">
        <f>IF([2]Entry!$D$1780="","",[2]Entry!$D$1780)</f>
        <v/>
      </c>
    </row>
    <row r="1778">
      <c r="Z1778">
        <f>IF([2]Entry!$E$1781="","",[2]Entry!$E$1781)</f>
        <v/>
      </c>
      <c r="AA1778">
        <f>IF([2]Entry!$G$1781="","",[2]Entry!$G$1781)</f>
        <v/>
      </c>
      <c r="AB1778">
        <f>IF([2]Entry!$J$1781="","",[2]Entry!$J$1781)</f>
        <v/>
      </c>
      <c r="AC1778">
        <f>IF([2]Entry!$K$1781="","",[2]Entry!$K$1781)</f>
        <v/>
      </c>
      <c r="AD1778">
        <f>IF([2]Entry!$L$1781="","",[2]Entry!$L$1781)</f>
        <v/>
      </c>
      <c r="AE1778">
        <f>IF([2]Entry!$M$1781="","",[2]Entry!$M$1781)</f>
        <v/>
      </c>
      <c r="AF1778">
        <f>IF([2]Entry!$N$1781="","",[2]Entry!$N$1781)</f>
        <v/>
      </c>
      <c r="AJ1778">
        <f>IF([2]Entry!$S$1781="","",[2]Entry!$S$1781)</f>
        <v/>
      </c>
      <c r="AK1778">
        <f>IF([2]Entry!$C$1781="","",[2]Entry!$C$1781)</f>
        <v/>
      </c>
      <c r="AL1778">
        <f>IF([2]Entry!$D$1781="","",[2]Entry!$D$1781)</f>
        <v/>
      </c>
    </row>
    <row r="1779">
      <c r="Z1779">
        <f>IF([2]Entry!$E$1782="","",[2]Entry!$E$1782)</f>
        <v/>
      </c>
      <c r="AA1779">
        <f>IF([2]Entry!$G$1782="","",[2]Entry!$G$1782)</f>
        <v/>
      </c>
      <c r="AB1779">
        <f>IF([2]Entry!$J$1782="","",[2]Entry!$J$1782)</f>
        <v/>
      </c>
      <c r="AC1779">
        <f>IF([2]Entry!$K$1782="","",[2]Entry!$K$1782)</f>
        <v/>
      </c>
      <c r="AD1779">
        <f>IF([2]Entry!$L$1782="","",[2]Entry!$L$1782)</f>
        <v/>
      </c>
      <c r="AE1779">
        <f>IF([2]Entry!$M$1782="","",[2]Entry!$M$1782)</f>
        <v/>
      </c>
      <c r="AF1779">
        <f>IF([2]Entry!$N$1782="","",[2]Entry!$N$1782)</f>
        <v/>
      </c>
      <c r="AJ1779">
        <f>IF([2]Entry!$S$1782="","",[2]Entry!$S$1782)</f>
        <v/>
      </c>
      <c r="AK1779">
        <f>IF([2]Entry!$C$1782="","",[2]Entry!$C$1782)</f>
        <v/>
      </c>
      <c r="AL1779">
        <f>IF([2]Entry!$D$1782="","",[2]Entry!$D$1782)</f>
        <v/>
      </c>
    </row>
    <row r="1780">
      <c r="Z1780">
        <f>IF([2]Entry!$E$1783="","",[2]Entry!$E$1783)</f>
        <v/>
      </c>
      <c r="AA1780">
        <f>IF([2]Entry!$G$1783="","",[2]Entry!$G$1783)</f>
        <v/>
      </c>
      <c r="AB1780">
        <f>IF([2]Entry!$J$1783="","",[2]Entry!$J$1783)</f>
        <v/>
      </c>
      <c r="AC1780">
        <f>IF([2]Entry!$K$1783="","",[2]Entry!$K$1783)</f>
        <v/>
      </c>
      <c r="AD1780">
        <f>IF([2]Entry!$L$1783="","",[2]Entry!$L$1783)</f>
        <v/>
      </c>
      <c r="AE1780">
        <f>IF([2]Entry!$M$1783="","",[2]Entry!$M$1783)</f>
        <v/>
      </c>
      <c r="AF1780">
        <f>IF([2]Entry!$N$1783="","",[2]Entry!$N$1783)</f>
        <v/>
      </c>
      <c r="AJ1780">
        <f>IF([2]Entry!$S$1783="","",[2]Entry!$S$1783)</f>
        <v/>
      </c>
      <c r="AK1780">
        <f>IF([2]Entry!$C$1783="","",[2]Entry!$C$1783)</f>
        <v/>
      </c>
      <c r="AL1780">
        <f>IF([2]Entry!$D$1783="","",[2]Entry!$D$1783)</f>
        <v/>
      </c>
    </row>
    <row r="1781">
      <c r="Z1781">
        <f>IF([2]Entry!$E$1784="","",[2]Entry!$E$1784)</f>
        <v/>
      </c>
      <c r="AA1781">
        <f>IF([2]Entry!$G$1784="","",[2]Entry!$G$1784)</f>
        <v/>
      </c>
      <c r="AB1781">
        <f>IF([2]Entry!$J$1784="","",[2]Entry!$J$1784)</f>
        <v/>
      </c>
      <c r="AC1781">
        <f>IF([2]Entry!$K$1784="","",[2]Entry!$K$1784)</f>
        <v/>
      </c>
      <c r="AD1781">
        <f>IF([2]Entry!$L$1784="","",[2]Entry!$L$1784)</f>
        <v/>
      </c>
      <c r="AE1781">
        <f>IF([2]Entry!$M$1784="","",[2]Entry!$M$1784)</f>
        <v/>
      </c>
      <c r="AF1781">
        <f>IF([2]Entry!$N$1784="","",[2]Entry!$N$1784)</f>
        <v/>
      </c>
      <c r="AJ1781">
        <f>IF([2]Entry!$S$1784="","",[2]Entry!$S$1784)</f>
        <v/>
      </c>
      <c r="AK1781">
        <f>IF([2]Entry!$C$1784="","",[2]Entry!$C$1784)</f>
        <v/>
      </c>
      <c r="AL1781">
        <f>IF([2]Entry!$D$1784="","",[2]Entry!$D$1784)</f>
        <v/>
      </c>
    </row>
    <row r="1782">
      <c r="Z1782">
        <f>IF([2]Entry!$E$1785="","",[2]Entry!$E$1785)</f>
        <v/>
      </c>
      <c r="AA1782">
        <f>IF([2]Entry!$G$1785="","",[2]Entry!$G$1785)</f>
        <v/>
      </c>
      <c r="AB1782">
        <f>IF([2]Entry!$J$1785="","",[2]Entry!$J$1785)</f>
        <v/>
      </c>
      <c r="AC1782">
        <f>IF([2]Entry!$K$1785="","",[2]Entry!$K$1785)</f>
        <v/>
      </c>
      <c r="AD1782">
        <f>IF([2]Entry!$L$1785="","",[2]Entry!$L$1785)</f>
        <v/>
      </c>
      <c r="AE1782">
        <f>IF([2]Entry!$M$1785="","",[2]Entry!$M$1785)</f>
        <v/>
      </c>
      <c r="AF1782">
        <f>IF([2]Entry!$N$1785="","",[2]Entry!$N$1785)</f>
        <v/>
      </c>
      <c r="AJ1782">
        <f>IF([2]Entry!$S$1785="","",[2]Entry!$S$1785)</f>
        <v/>
      </c>
      <c r="AK1782">
        <f>IF([2]Entry!$C$1785="","",[2]Entry!$C$1785)</f>
        <v/>
      </c>
      <c r="AL1782">
        <f>IF([2]Entry!$D$1785="","",[2]Entry!$D$1785)</f>
        <v/>
      </c>
    </row>
    <row r="1783">
      <c r="Z1783">
        <f>IF([2]Entry!$E$1786="","",[2]Entry!$E$1786)</f>
        <v/>
      </c>
      <c r="AA1783">
        <f>IF([2]Entry!$G$1786="","",[2]Entry!$G$1786)</f>
        <v/>
      </c>
      <c r="AB1783">
        <f>IF([2]Entry!$J$1786="","",[2]Entry!$J$1786)</f>
        <v/>
      </c>
      <c r="AC1783">
        <f>IF([2]Entry!$K$1786="","",[2]Entry!$K$1786)</f>
        <v/>
      </c>
      <c r="AD1783">
        <f>IF([2]Entry!$L$1786="","",[2]Entry!$L$1786)</f>
        <v/>
      </c>
      <c r="AE1783">
        <f>IF([2]Entry!$M$1786="","",[2]Entry!$M$1786)</f>
        <v/>
      </c>
      <c r="AF1783">
        <f>IF([2]Entry!$N$1786="","",[2]Entry!$N$1786)</f>
        <v/>
      </c>
      <c r="AJ1783">
        <f>IF([2]Entry!$S$1786="","",[2]Entry!$S$1786)</f>
        <v/>
      </c>
      <c r="AK1783">
        <f>IF([2]Entry!$C$1786="","",[2]Entry!$C$1786)</f>
        <v/>
      </c>
      <c r="AL1783">
        <f>IF([2]Entry!$D$1786="","",[2]Entry!$D$1786)</f>
        <v/>
      </c>
    </row>
    <row r="1784">
      <c r="Z1784">
        <f>IF([2]Entry!$E$1787="","",[2]Entry!$E$1787)</f>
        <v/>
      </c>
      <c r="AA1784">
        <f>IF([2]Entry!$G$1787="","",[2]Entry!$G$1787)</f>
        <v/>
      </c>
      <c r="AB1784">
        <f>IF([2]Entry!$J$1787="","",[2]Entry!$J$1787)</f>
        <v/>
      </c>
      <c r="AC1784">
        <f>IF([2]Entry!$K$1787="","",[2]Entry!$K$1787)</f>
        <v/>
      </c>
      <c r="AD1784">
        <f>IF([2]Entry!$L$1787="","",[2]Entry!$L$1787)</f>
        <v/>
      </c>
      <c r="AE1784">
        <f>IF([2]Entry!$M$1787="","",[2]Entry!$M$1787)</f>
        <v/>
      </c>
      <c r="AF1784">
        <f>IF([2]Entry!$N$1787="","",[2]Entry!$N$1787)</f>
        <v/>
      </c>
      <c r="AJ1784">
        <f>IF([2]Entry!$S$1787="","",[2]Entry!$S$1787)</f>
        <v/>
      </c>
      <c r="AK1784">
        <f>IF([2]Entry!$C$1787="","",[2]Entry!$C$1787)</f>
        <v/>
      </c>
      <c r="AL1784">
        <f>IF([2]Entry!$D$1787="","",[2]Entry!$D$1787)</f>
        <v/>
      </c>
    </row>
    <row r="1785">
      <c r="Z1785">
        <f>IF([2]Entry!$E$1788="","",[2]Entry!$E$1788)</f>
        <v/>
      </c>
      <c r="AA1785">
        <f>IF([2]Entry!$G$1788="","",[2]Entry!$G$1788)</f>
        <v/>
      </c>
      <c r="AB1785">
        <f>IF([2]Entry!$J$1788="","",[2]Entry!$J$1788)</f>
        <v/>
      </c>
      <c r="AC1785">
        <f>IF([2]Entry!$K$1788="","",[2]Entry!$K$1788)</f>
        <v/>
      </c>
      <c r="AD1785">
        <f>IF([2]Entry!$L$1788="","",[2]Entry!$L$1788)</f>
        <v/>
      </c>
      <c r="AE1785">
        <f>IF([2]Entry!$M$1788="","",[2]Entry!$M$1788)</f>
        <v/>
      </c>
      <c r="AF1785">
        <f>IF([2]Entry!$N$1788="","",[2]Entry!$N$1788)</f>
        <v/>
      </c>
      <c r="AJ1785">
        <f>IF([2]Entry!$S$1788="","",[2]Entry!$S$1788)</f>
        <v/>
      </c>
      <c r="AK1785">
        <f>IF([2]Entry!$C$1788="","",[2]Entry!$C$1788)</f>
        <v/>
      </c>
      <c r="AL1785">
        <f>IF([2]Entry!$D$1788="","",[2]Entry!$D$1788)</f>
        <v/>
      </c>
    </row>
    <row r="1786">
      <c r="Z1786">
        <f>IF([2]Entry!$E$1789="","",[2]Entry!$E$1789)</f>
        <v/>
      </c>
      <c r="AA1786">
        <f>IF([2]Entry!$G$1789="","",[2]Entry!$G$1789)</f>
        <v/>
      </c>
      <c r="AB1786">
        <f>IF([2]Entry!$J$1789="","",[2]Entry!$J$1789)</f>
        <v/>
      </c>
      <c r="AC1786">
        <f>IF([2]Entry!$K$1789="","",[2]Entry!$K$1789)</f>
        <v/>
      </c>
      <c r="AD1786">
        <f>IF([2]Entry!$L$1789="","",[2]Entry!$L$1789)</f>
        <v/>
      </c>
      <c r="AE1786">
        <f>IF([2]Entry!$M$1789="","",[2]Entry!$M$1789)</f>
        <v/>
      </c>
      <c r="AF1786">
        <f>IF([2]Entry!$N$1789="","",[2]Entry!$N$1789)</f>
        <v/>
      </c>
      <c r="AJ1786">
        <f>IF([2]Entry!$S$1789="","",[2]Entry!$S$1789)</f>
        <v/>
      </c>
      <c r="AK1786">
        <f>IF([2]Entry!$C$1789="","",[2]Entry!$C$1789)</f>
        <v/>
      </c>
      <c r="AL1786">
        <f>IF([2]Entry!$D$1789="","",[2]Entry!$D$1789)</f>
        <v/>
      </c>
    </row>
    <row r="1787">
      <c r="Z1787">
        <f>IF([2]Entry!$E$1790="","",[2]Entry!$E$1790)</f>
        <v/>
      </c>
      <c r="AA1787">
        <f>IF([2]Entry!$G$1790="","",[2]Entry!$G$1790)</f>
        <v/>
      </c>
      <c r="AB1787">
        <f>IF([2]Entry!$J$1790="","",[2]Entry!$J$1790)</f>
        <v/>
      </c>
      <c r="AC1787">
        <f>IF([2]Entry!$K$1790="","",[2]Entry!$K$1790)</f>
        <v/>
      </c>
      <c r="AD1787">
        <f>IF([2]Entry!$L$1790="","",[2]Entry!$L$1790)</f>
        <v/>
      </c>
      <c r="AE1787">
        <f>IF([2]Entry!$M$1790="","",[2]Entry!$M$1790)</f>
        <v/>
      </c>
      <c r="AF1787">
        <f>IF([2]Entry!$N$1790="","",[2]Entry!$N$1790)</f>
        <v/>
      </c>
      <c r="AJ1787">
        <f>IF([2]Entry!$S$1790="","",[2]Entry!$S$1790)</f>
        <v/>
      </c>
      <c r="AK1787">
        <f>IF([2]Entry!$C$1790="","",[2]Entry!$C$1790)</f>
        <v/>
      </c>
      <c r="AL1787">
        <f>IF([2]Entry!$D$1790="","",[2]Entry!$D$1790)</f>
        <v/>
      </c>
    </row>
    <row r="1788">
      <c r="Z1788">
        <f>IF([2]Entry!$E$1791="","",[2]Entry!$E$1791)</f>
        <v/>
      </c>
      <c r="AA1788">
        <f>IF([2]Entry!$G$1791="","",[2]Entry!$G$1791)</f>
        <v/>
      </c>
      <c r="AB1788">
        <f>IF([2]Entry!$J$1791="","",[2]Entry!$J$1791)</f>
        <v/>
      </c>
      <c r="AC1788">
        <f>IF([2]Entry!$K$1791="","",[2]Entry!$K$1791)</f>
        <v/>
      </c>
      <c r="AD1788">
        <f>IF([2]Entry!$L$1791="","",[2]Entry!$L$1791)</f>
        <v/>
      </c>
      <c r="AE1788">
        <f>IF([2]Entry!$M$1791="","",[2]Entry!$M$1791)</f>
        <v/>
      </c>
      <c r="AF1788">
        <f>IF([2]Entry!$N$1791="","",[2]Entry!$N$1791)</f>
        <v/>
      </c>
      <c r="AJ1788">
        <f>IF([2]Entry!$S$1791="","",[2]Entry!$S$1791)</f>
        <v/>
      </c>
      <c r="AK1788">
        <f>IF([2]Entry!$C$1791="","",[2]Entry!$C$1791)</f>
        <v/>
      </c>
      <c r="AL1788">
        <f>IF([2]Entry!$D$1791="","",[2]Entry!$D$1791)</f>
        <v/>
      </c>
    </row>
    <row r="1789">
      <c r="Z1789">
        <f>IF([2]Entry!$E$1792="","",[2]Entry!$E$1792)</f>
        <v/>
      </c>
      <c r="AA1789">
        <f>IF([2]Entry!$G$1792="","",[2]Entry!$G$1792)</f>
        <v/>
      </c>
      <c r="AB1789">
        <f>IF([2]Entry!$J$1792="","",[2]Entry!$J$1792)</f>
        <v/>
      </c>
      <c r="AC1789">
        <f>IF([2]Entry!$K$1792="","",[2]Entry!$K$1792)</f>
        <v/>
      </c>
      <c r="AD1789">
        <f>IF([2]Entry!$L$1792="","",[2]Entry!$L$1792)</f>
        <v/>
      </c>
      <c r="AE1789">
        <f>IF([2]Entry!$M$1792="","",[2]Entry!$M$1792)</f>
        <v/>
      </c>
      <c r="AF1789">
        <f>IF([2]Entry!$N$1792="","",[2]Entry!$N$1792)</f>
        <v/>
      </c>
      <c r="AJ1789">
        <f>IF([2]Entry!$S$1792="","",[2]Entry!$S$1792)</f>
        <v/>
      </c>
      <c r="AK1789">
        <f>IF([2]Entry!$C$1792="","",[2]Entry!$C$1792)</f>
        <v/>
      </c>
      <c r="AL1789">
        <f>IF([2]Entry!$D$1792="","",[2]Entry!$D$1792)</f>
        <v/>
      </c>
    </row>
    <row r="1790">
      <c r="Z1790">
        <f>IF([2]Entry!$E$1793="","",[2]Entry!$E$1793)</f>
        <v/>
      </c>
      <c r="AA1790">
        <f>IF([2]Entry!$G$1793="","",[2]Entry!$G$1793)</f>
        <v/>
      </c>
      <c r="AB1790">
        <f>IF([2]Entry!$J$1793="","",[2]Entry!$J$1793)</f>
        <v/>
      </c>
      <c r="AC1790">
        <f>IF([2]Entry!$K$1793="","",[2]Entry!$K$1793)</f>
        <v/>
      </c>
      <c r="AD1790">
        <f>IF([2]Entry!$L$1793="","",[2]Entry!$L$1793)</f>
        <v/>
      </c>
      <c r="AE1790">
        <f>IF([2]Entry!$M$1793="","",[2]Entry!$M$1793)</f>
        <v/>
      </c>
      <c r="AF1790">
        <f>IF([2]Entry!$N$1793="","",[2]Entry!$N$1793)</f>
        <v/>
      </c>
      <c r="AJ1790">
        <f>IF([2]Entry!$S$1793="","",[2]Entry!$S$1793)</f>
        <v/>
      </c>
      <c r="AK1790">
        <f>IF([2]Entry!$C$1793="","",[2]Entry!$C$1793)</f>
        <v/>
      </c>
      <c r="AL1790">
        <f>IF([2]Entry!$D$1793="","",[2]Entry!$D$1793)</f>
        <v/>
      </c>
    </row>
    <row r="1791">
      <c r="Z1791">
        <f>IF([2]Entry!$E$1794="","",[2]Entry!$E$1794)</f>
        <v/>
      </c>
      <c r="AA1791">
        <f>IF([2]Entry!$G$1794="","",[2]Entry!$G$1794)</f>
        <v/>
      </c>
      <c r="AB1791">
        <f>IF([2]Entry!$J$1794="","",[2]Entry!$J$1794)</f>
        <v/>
      </c>
      <c r="AC1791">
        <f>IF([2]Entry!$K$1794="","",[2]Entry!$K$1794)</f>
        <v/>
      </c>
      <c r="AD1791">
        <f>IF([2]Entry!$L$1794="","",[2]Entry!$L$1794)</f>
        <v/>
      </c>
      <c r="AE1791">
        <f>IF([2]Entry!$M$1794="","",[2]Entry!$M$1794)</f>
        <v/>
      </c>
      <c r="AF1791">
        <f>IF([2]Entry!$N$1794="","",[2]Entry!$N$1794)</f>
        <v/>
      </c>
      <c r="AJ1791">
        <f>IF([2]Entry!$S$1794="","",[2]Entry!$S$1794)</f>
        <v/>
      </c>
      <c r="AK1791">
        <f>IF([2]Entry!$C$1794="","",[2]Entry!$C$1794)</f>
        <v/>
      </c>
      <c r="AL1791">
        <f>IF([2]Entry!$D$1794="","",[2]Entry!$D$1794)</f>
        <v/>
      </c>
    </row>
    <row r="1792">
      <c r="Z1792">
        <f>IF([2]Entry!$E$1795="","",[2]Entry!$E$1795)</f>
        <v/>
      </c>
      <c r="AA1792">
        <f>IF([2]Entry!$G$1795="","",[2]Entry!$G$1795)</f>
        <v/>
      </c>
      <c r="AB1792">
        <f>IF([2]Entry!$J$1795="","",[2]Entry!$J$1795)</f>
        <v/>
      </c>
      <c r="AC1792">
        <f>IF([2]Entry!$K$1795="","",[2]Entry!$K$1795)</f>
        <v/>
      </c>
      <c r="AD1792">
        <f>IF([2]Entry!$L$1795="","",[2]Entry!$L$1795)</f>
        <v/>
      </c>
      <c r="AE1792">
        <f>IF([2]Entry!$M$1795="","",[2]Entry!$M$1795)</f>
        <v/>
      </c>
      <c r="AF1792">
        <f>IF([2]Entry!$N$1795="","",[2]Entry!$N$1795)</f>
        <v/>
      </c>
      <c r="AJ1792">
        <f>IF([2]Entry!$S$1795="","",[2]Entry!$S$1795)</f>
        <v/>
      </c>
      <c r="AK1792">
        <f>IF([2]Entry!$C$1795="","",[2]Entry!$C$1795)</f>
        <v/>
      </c>
      <c r="AL1792">
        <f>IF([2]Entry!$D$1795="","",[2]Entry!$D$1795)</f>
        <v/>
      </c>
    </row>
    <row r="1793">
      <c r="Z1793">
        <f>IF([2]Entry!$E$1796="","",[2]Entry!$E$1796)</f>
        <v/>
      </c>
      <c r="AA1793">
        <f>IF([2]Entry!$G$1796="","",[2]Entry!$G$1796)</f>
        <v/>
      </c>
      <c r="AB1793">
        <f>IF([2]Entry!$J$1796="","",[2]Entry!$J$1796)</f>
        <v/>
      </c>
      <c r="AC1793">
        <f>IF([2]Entry!$K$1796="","",[2]Entry!$K$1796)</f>
        <v/>
      </c>
      <c r="AD1793">
        <f>IF([2]Entry!$L$1796="","",[2]Entry!$L$1796)</f>
        <v/>
      </c>
      <c r="AE1793">
        <f>IF([2]Entry!$M$1796="","",[2]Entry!$M$1796)</f>
        <v/>
      </c>
      <c r="AF1793">
        <f>IF([2]Entry!$N$1796="","",[2]Entry!$N$1796)</f>
        <v/>
      </c>
      <c r="AJ1793">
        <f>IF([2]Entry!$S$1796="","",[2]Entry!$S$1796)</f>
        <v/>
      </c>
      <c r="AK1793">
        <f>IF([2]Entry!$C$1796="","",[2]Entry!$C$1796)</f>
        <v/>
      </c>
      <c r="AL1793">
        <f>IF([2]Entry!$D$1796="","",[2]Entry!$D$1796)</f>
        <v/>
      </c>
    </row>
    <row r="1794">
      <c r="Z1794">
        <f>IF([2]Entry!$E$1797="","",[2]Entry!$E$1797)</f>
        <v/>
      </c>
      <c r="AA1794">
        <f>IF([2]Entry!$G$1797="","",[2]Entry!$G$1797)</f>
        <v/>
      </c>
      <c r="AB1794">
        <f>IF([2]Entry!$J$1797="","",[2]Entry!$J$1797)</f>
        <v/>
      </c>
      <c r="AC1794">
        <f>IF([2]Entry!$K$1797="","",[2]Entry!$K$1797)</f>
        <v/>
      </c>
      <c r="AD1794">
        <f>IF([2]Entry!$L$1797="","",[2]Entry!$L$1797)</f>
        <v/>
      </c>
      <c r="AE1794">
        <f>IF([2]Entry!$M$1797="","",[2]Entry!$M$1797)</f>
        <v/>
      </c>
      <c r="AF1794">
        <f>IF([2]Entry!$N$1797="","",[2]Entry!$N$1797)</f>
        <v/>
      </c>
      <c r="AJ1794">
        <f>IF([2]Entry!$S$1797="","",[2]Entry!$S$1797)</f>
        <v/>
      </c>
      <c r="AK1794">
        <f>IF([2]Entry!$C$1797="","",[2]Entry!$C$1797)</f>
        <v/>
      </c>
      <c r="AL1794">
        <f>IF([2]Entry!$D$1797="","",[2]Entry!$D$1797)</f>
        <v/>
      </c>
    </row>
    <row r="1795">
      <c r="Z1795">
        <f>IF([2]Entry!$E$1798="","",[2]Entry!$E$1798)</f>
        <v/>
      </c>
      <c r="AA1795">
        <f>IF([2]Entry!$G$1798="","",[2]Entry!$G$1798)</f>
        <v/>
      </c>
      <c r="AB1795">
        <f>IF([2]Entry!$J$1798="","",[2]Entry!$J$1798)</f>
        <v/>
      </c>
      <c r="AC1795">
        <f>IF([2]Entry!$K$1798="","",[2]Entry!$K$1798)</f>
        <v/>
      </c>
      <c r="AD1795">
        <f>IF([2]Entry!$L$1798="","",[2]Entry!$L$1798)</f>
        <v/>
      </c>
      <c r="AE1795">
        <f>IF([2]Entry!$M$1798="","",[2]Entry!$M$1798)</f>
        <v/>
      </c>
      <c r="AF1795">
        <f>IF([2]Entry!$N$1798="","",[2]Entry!$N$1798)</f>
        <v/>
      </c>
      <c r="AJ1795">
        <f>IF([2]Entry!$S$1798="","",[2]Entry!$S$1798)</f>
        <v/>
      </c>
      <c r="AK1795">
        <f>IF([2]Entry!$C$1798="","",[2]Entry!$C$1798)</f>
        <v/>
      </c>
      <c r="AL1795">
        <f>IF([2]Entry!$D$1798="","",[2]Entry!$D$1798)</f>
        <v/>
      </c>
    </row>
    <row r="1796">
      <c r="Z1796">
        <f>IF([2]Entry!$E$1799="","",[2]Entry!$E$1799)</f>
        <v/>
      </c>
      <c r="AA1796">
        <f>IF([2]Entry!$G$1799="","",[2]Entry!$G$1799)</f>
        <v/>
      </c>
      <c r="AB1796">
        <f>IF([2]Entry!$J$1799="","",[2]Entry!$J$1799)</f>
        <v/>
      </c>
      <c r="AC1796">
        <f>IF([2]Entry!$K$1799="","",[2]Entry!$K$1799)</f>
        <v/>
      </c>
      <c r="AD1796">
        <f>IF([2]Entry!$L$1799="","",[2]Entry!$L$1799)</f>
        <v/>
      </c>
      <c r="AE1796">
        <f>IF([2]Entry!$M$1799="","",[2]Entry!$M$1799)</f>
        <v/>
      </c>
      <c r="AF1796">
        <f>IF([2]Entry!$N$1799="","",[2]Entry!$N$1799)</f>
        <v/>
      </c>
      <c r="AJ1796">
        <f>IF([2]Entry!$S$1799="","",[2]Entry!$S$1799)</f>
        <v/>
      </c>
      <c r="AK1796">
        <f>IF([2]Entry!$C$1799="","",[2]Entry!$C$1799)</f>
        <v/>
      </c>
      <c r="AL1796">
        <f>IF([2]Entry!$D$1799="","",[2]Entry!$D$1799)</f>
        <v/>
      </c>
    </row>
    <row r="1797">
      <c r="Z1797">
        <f>IF([2]Entry!$E$1800="","",[2]Entry!$E$1800)</f>
        <v/>
      </c>
      <c r="AA1797">
        <f>IF([2]Entry!$G$1800="","",[2]Entry!$G$1800)</f>
        <v/>
      </c>
      <c r="AB1797">
        <f>IF([2]Entry!$J$1800="","",[2]Entry!$J$1800)</f>
        <v/>
      </c>
      <c r="AC1797">
        <f>IF([2]Entry!$K$1800="","",[2]Entry!$K$1800)</f>
        <v/>
      </c>
      <c r="AD1797">
        <f>IF([2]Entry!$L$1800="","",[2]Entry!$L$1800)</f>
        <v/>
      </c>
      <c r="AE1797">
        <f>IF([2]Entry!$M$1800="","",[2]Entry!$M$1800)</f>
        <v/>
      </c>
      <c r="AF1797">
        <f>IF([2]Entry!$N$1800="","",[2]Entry!$N$1800)</f>
        <v/>
      </c>
      <c r="AJ1797">
        <f>IF([2]Entry!$S$1800="","",[2]Entry!$S$1800)</f>
        <v/>
      </c>
      <c r="AK1797">
        <f>IF([2]Entry!$C$1800="","",[2]Entry!$C$1800)</f>
        <v/>
      </c>
      <c r="AL1797">
        <f>IF([2]Entry!$D$1800="","",[2]Entry!$D$1800)</f>
        <v/>
      </c>
    </row>
    <row r="1798">
      <c r="Z1798">
        <f>IF([2]Entry!$E$1801="","",[2]Entry!$E$1801)</f>
        <v/>
      </c>
      <c r="AA1798">
        <f>IF([2]Entry!$G$1801="","",[2]Entry!$G$1801)</f>
        <v/>
      </c>
      <c r="AB1798">
        <f>IF([2]Entry!$J$1801="","",[2]Entry!$J$1801)</f>
        <v/>
      </c>
      <c r="AC1798">
        <f>IF([2]Entry!$K$1801="","",[2]Entry!$K$1801)</f>
        <v/>
      </c>
      <c r="AD1798">
        <f>IF([2]Entry!$L$1801="","",[2]Entry!$L$1801)</f>
        <v/>
      </c>
      <c r="AE1798">
        <f>IF([2]Entry!$M$1801="","",[2]Entry!$M$1801)</f>
        <v/>
      </c>
      <c r="AF1798">
        <f>IF([2]Entry!$N$1801="","",[2]Entry!$N$1801)</f>
        <v/>
      </c>
      <c r="AJ1798">
        <f>IF([2]Entry!$S$1801="","",[2]Entry!$S$1801)</f>
        <v/>
      </c>
      <c r="AK1798">
        <f>IF([2]Entry!$C$1801="","",[2]Entry!$C$1801)</f>
        <v/>
      </c>
      <c r="AL1798">
        <f>IF([2]Entry!$D$1801="","",[2]Entry!$D$1801)</f>
        <v/>
      </c>
    </row>
    <row r="1799">
      <c r="Z1799">
        <f>IF([2]Entry!$E$1802="","",[2]Entry!$E$1802)</f>
        <v/>
      </c>
      <c r="AA1799">
        <f>IF([2]Entry!$G$1802="","",[2]Entry!$G$1802)</f>
        <v/>
      </c>
      <c r="AB1799">
        <f>IF([2]Entry!$J$1802="","",[2]Entry!$J$1802)</f>
        <v/>
      </c>
      <c r="AC1799">
        <f>IF([2]Entry!$K$1802="","",[2]Entry!$K$1802)</f>
        <v/>
      </c>
      <c r="AD1799">
        <f>IF([2]Entry!$L$1802="","",[2]Entry!$L$1802)</f>
        <v/>
      </c>
      <c r="AE1799">
        <f>IF([2]Entry!$M$1802="","",[2]Entry!$M$1802)</f>
        <v/>
      </c>
      <c r="AF1799">
        <f>IF([2]Entry!$N$1802="","",[2]Entry!$N$1802)</f>
        <v/>
      </c>
      <c r="AJ1799">
        <f>IF([2]Entry!$S$1802="","",[2]Entry!$S$1802)</f>
        <v/>
      </c>
      <c r="AK1799">
        <f>IF([2]Entry!$C$1802="","",[2]Entry!$C$1802)</f>
        <v/>
      </c>
      <c r="AL1799">
        <f>IF([2]Entry!$D$1802="","",[2]Entry!$D$1802)</f>
        <v/>
      </c>
    </row>
    <row r="1800">
      <c r="Z1800">
        <f>IF([2]Entry!$E$1803="","",[2]Entry!$E$1803)</f>
        <v/>
      </c>
      <c r="AA1800">
        <f>IF([2]Entry!$G$1803="","",[2]Entry!$G$1803)</f>
        <v/>
      </c>
      <c r="AB1800">
        <f>IF([2]Entry!$J$1803="","",[2]Entry!$J$1803)</f>
        <v/>
      </c>
      <c r="AC1800">
        <f>IF([2]Entry!$K$1803="","",[2]Entry!$K$1803)</f>
        <v/>
      </c>
      <c r="AD1800">
        <f>IF([2]Entry!$L$1803="","",[2]Entry!$L$1803)</f>
        <v/>
      </c>
      <c r="AE1800">
        <f>IF([2]Entry!$M$1803="","",[2]Entry!$M$1803)</f>
        <v/>
      </c>
      <c r="AF1800">
        <f>IF([2]Entry!$N$1803="","",[2]Entry!$N$1803)</f>
        <v/>
      </c>
      <c r="AJ1800">
        <f>IF([2]Entry!$S$1803="","",[2]Entry!$S$1803)</f>
        <v/>
      </c>
      <c r="AK1800">
        <f>IF([2]Entry!$C$1803="","",[2]Entry!$C$1803)</f>
        <v/>
      </c>
      <c r="AL1800">
        <f>IF([2]Entry!$D$1803="","",[2]Entry!$D$1803)</f>
        <v/>
      </c>
    </row>
    <row r="1801">
      <c r="Z1801">
        <f>IF([2]Entry!$E$1804="","",[2]Entry!$E$1804)</f>
        <v/>
      </c>
      <c r="AA1801">
        <f>IF([2]Entry!$G$1804="","",[2]Entry!$G$1804)</f>
        <v/>
      </c>
      <c r="AB1801">
        <f>IF([2]Entry!$J$1804="","",[2]Entry!$J$1804)</f>
        <v/>
      </c>
      <c r="AC1801">
        <f>IF([2]Entry!$K$1804="","",[2]Entry!$K$1804)</f>
        <v/>
      </c>
      <c r="AD1801">
        <f>IF([2]Entry!$L$1804="","",[2]Entry!$L$1804)</f>
        <v/>
      </c>
      <c r="AE1801">
        <f>IF([2]Entry!$M$1804="","",[2]Entry!$M$1804)</f>
        <v/>
      </c>
      <c r="AF1801">
        <f>IF([2]Entry!$N$1804="","",[2]Entry!$N$1804)</f>
        <v/>
      </c>
      <c r="AJ1801">
        <f>IF([2]Entry!$S$1804="","",[2]Entry!$S$1804)</f>
        <v/>
      </c>
      <c r="AK1801">
        <f>IF([2]Entry!$C$1804="","",[2]Entry!$C$1804)</f>
        <v/>
      </c>
      <c r="AL1801">
        <f>IF([2]Entry!$D$1804="","",[2]Entry!$D$1804)</f>
        <v/>
      </c>
    </row>
    <row r="1802">
      <c r="Z1802">
        <f>IF([2]Entry!$E$1805="","",[2]Entry!$E$1805)</f>
        <v/>
      </c>
      <c r="AA1802">
        <f>IF([2]Entry!$G$1805="","",[2]Entry!$G$1805)</f>
        <v/>
      </c>
      <c r="AB1802">
        <f>IF([2]Entry!$J$1805="","",[2]Entry!$J$1805)</f>
        <v/>
      </c>
      <c r="AC1802">
        <f>IF([2]Entry!$K$1805="","",[2]Entry!$K$1805)</f>
        <v/>
      </c>
      <c r="AD1802">
        <f>IF([2]Entry!$L$1805="","",[2]Entry!$L$1805)</f>
        <v/>
      </c>
      <c r="AE1802">
        <f>IF([2]Entry!$M$1805="","",[2]Entry!$M$1805)</f>
        <v/>
      </c>
      <c r="AF1802">
        <f>IF([2]Entry!$N$1805="","",[2]Entry!$N$1805)</f>
        <v/>
      </c>
      <c r="AJ1802">
        <f>IF([2]Entry!$S$1805="","",[2]Entry!$S$1805)</f>
        <v/>
      </c>
      <c r="AK1802">
        <f>IF([2]Entry!$C$1805="","",[2]Entry!$C$1805)</f>
        <v/>
      </c>
      <c r="AL1802">
        <f>IF([2]Entry!$D$1805="","",[2]Entry!$D$1805)</f>
        <v/>
      </c>
    </row>
    <row r="1803">
      <c r="Z1803">
        <f>IF([2]Entry!$E$1806="","",[2]Entry!$E$1806)</f>
        <v/>
      </c>
      <c r="AA1803">
        <f>IF([2]Entry!$G$1806="","",[2]Entry!$G$1806)</f>
        <v/>
      </c>
      <c r="AB1803">
        <f>IF([2]Entry!$J$1806="","",[2]Entry!$J$1806)</f>
        <v/>
      </c>
      <c r="AC1803">
        <f>IF([2]Entry!$K$1806="","",[2]Entry!$K$1806)</f>
        <v/>
      </c>
      <c r="AD1803">
        <f>IF([2]Entry!$L$1806="","",[2]Entry!$L$1806)</f>
        <v/>
      </c>
      <c r="AE1803">
        <f>IF([2]Entry!$M$1806="","",[2]Entry!$M$1806)</f>
        <v/>
      </c>
      <c r="AF1803">
        <f>IF([2]Entry!$N$1806="","",[2]Entry!$N$1806)</f>
        <v/>
      </c>
      <c r="AJ1803">
        <f>IF([2]Entry!$S$1806="","",[2]Entry!$S$1806)</f>
        <v/>
      </c>
      <c r="AK1803">
        <f>IF([2]Entry!$C$1806="","",[2]Entry!$C$1806)</f>
        <v/>
      </c>
      <c r="AL1803">
        <f>IF([2]Entry!$D$1806="","",[2]Entry!$D$1806)</f>
        <v/>
      </c>
    </row>
    <row r="1804">
      <c r="Z1804">
        <f>IF([2]Entry!$E$1807="","",[2]Entry!$E$1807)</f>
        <v/>
      </c>
      <c r="AA1804">
        <f>IF([2]Entry!$G$1807="","",[2]Entry!$G$1807)</f>
        <v/>
      </c>
      <c r="AB1804">
        <f>IF([2]Entry!$J$1807="","",[2]Entry!$J$1807)</f>
        <v/>
      </c>
      <c r="AC1804">
        <f>IF([2]Entry!$K$1807="","",[2]Entry!$K$1807)</f>
        <v/>
      </c>
      <c r="AD1804">
        <f>IF([2]Entry!$L$1807="","",[2]Entry!$L$1807)</f>
        <v/>
      </c>
      <c r="AE1804">
        <f>IF([2]Entry!$M$1807="","",[2]Entry!$M$1807)</f>
        <v/>
      </c>
      <c r="AF1804">
        <f>IF([2]Entry!$N$1807="","",[2]Entry!$N$1807)</f>
        <v/>
      </c>
      <c r="AJ1804">
        <f>IF([2]Entry!$S$1807="","",[2]Entry!$S$1807)</f>
        <v/>
      </c>
      <c r="AK1804">
        <f>IF([2]Entry!$C$1807="","",[2]Entry!$C$1807)</f>
        <v/>
      </c>
      <c r="AL1804">
        <f>IF([2]Entry!$D$1807="","",[2]Entry!$D$1807)</f>
        <v/>
      </c>
    </row>
    <row r="1805">
      <c r="Z1805">
        <f>IF([2]Entry!$E$1808="","",[2]Entry!$E$1808)</f>
        <v/>
      </c>
      <c r="AA1805">
        <f>IF([2]Entry!$G$1808="","",[2]Entry!$G$1808)</f>
        <v/>
      </c>
      <c r="AB1805">
        <f>IF([2]Entry!$J$1808="","",[2]Entry!$J$1808)</f>
        <v/>
      </c>
      <c r="AC1805">
        <f>IF([2]Entry!$K$1808="","",[2]Entry!$K$1808)</f>
        <v/>
      </c>
      <c r="AD1805">
        <f>IF([2]Entry!$L$1808="","",[2]Entry!$L$1808)</f>
        <v/>
      </c>
      <c r="AE1805">
        <f>IF([2]Entry!$M$1808="","",[2]Entry!$M$1808)</f>
        <v/>
      </c>
      <c r="AF1805">
        <f>IF([2]Entry!$N$1808="","",[2]Entry!$N$1808)</f>
        <v/>
      </c>
      <c r="AJ1805">
        <f>IF([2]Entry!$S$1808="","",[2]Entry!$S$1808)</f>
        <v/>
      </c>
      <c r="AK1805">
        <f>IF([2]Entry!$C$1808="","",[2]Entry!$C$1808)</f>
        <v/>
      </c>
      <c r="AL1805">
        <f>IF([2]Entry!$D$1808="","",[2]Entry!$D$1808)</f>
        <v/>
      </c>
    </row>
    <row r="1806">
      <c r="Z1806">
        <f>IF([2]Entry!$E$1809="","",[2]Entry!$E$1809)</f>
        <v/>
      </c>
      <c r="AA1806">
        <f>IF([2]Entry!$G$1809="","",[2]Entry!$G$1809)</f>
        <v/>
      </c>
      <c r="AB1806">
        <f>IF([2]Entry!$J$1809="","",[2]Entry!$J$1809)</f>
        <v/>
      </c>
      <c r="AC1806">
        <f>IF([2]Entry!$K$1809="","",[2]Entry!$K$1809)</f>
        <v/>
      </c>
      <c r="AD1806">
        <f>IF([2]Entry!$L$1809="","",[2]Entry!$L$1809)</f>
        <v/>
      </c>
      <c r="AE1806">
        <f>IF([2]Entry!$M$1809="","",[2]Entry!$M$1809)</f>
        <v/>
      </c>
      <c r="AF1806">
        <f>IF([2]Entry!$N$1809="","",[2]Entry!$N$1809)</f>
        <v/>
      </c>
      <c r="AJ1806">
        <f>IF([2]Entry!$S$1809="","",[2]Entry!$S$1809)</f>
        <v/>
      </c>
      <c r="AK1806">
        <f>IF([2]Entry!$C$1809="","",[2]Entry!$C$1809)</f>
        <v/>
      </c>
      <c r="AL1806">
        <f>IF([2]Entry!$D$1809="","",[2]Entry!$D$1809)</f>
        <v/>
      </c>
    </row>
    <row r="1807">
      <c r="Z1807">
        <f>IF([2]Entry!$E$1810="","",[2]Entry!$E$1810)</f>
        <v/>
      </c>
      <c r="AA1807">
        <f>IF([2]Entry!$G$1810="","",[2]Entry!$G$1810)</f>
        <v/>
      </c>
      <c r="AB1807">
        <f>IF([2]Entry!$J$1810="","",[2]Entry!$J$1810)</f>
        <v/>
      </c>
      <c r="AC1807">
        <f>IF([2]Entry!$K$1810="","",[2]Entry!$K$1810)</f>
        <v/>
      </c>
      <c r="AD1807">
        <f>IF([2]Entry!$L$1810="","",[2]Entry!$L$1810)</f>
        <v/>
      </c>
      <c r="AE1807">
        <f>IF([2]Entry!$M$1810="","",[2]Entry!$M$1810)</f>
        <v/>
      </c>
      <c r="AF1807">
        <f>IF([2]Entry!$N$1810="","",[2]Entry!$N$1810)</f>
        <v/>
      </c>
      <c r="AJ1807">
        <f>IF([2]Entry!$S$1810="","",[2]Entry!$S$1810)</f>
        <v/>
      </c>
      <c r="AK1807">
        <f>IF([2]Entry!$C$1810="","",[2]Entry!$C$1810)</f>
        <v/>
      </c>
      <c r="AL1807">
        <f>IF([2]Entry!$D$1810="","",[2]Entry!$D$1810)</f>
        <v/>
      </c>
    </row>
    <row r="1808">
      <c r="Z1808">
        <f>IF([2]Entry!$E$1811="","",[2]Entry!$E$1811)</f>
        <v/>
      </c>
      <c r="AA1808">
        <f>IF([2]Entry!$G$1811="","",[2]Entry!$G$1811)</f>
        <v/>
      </c>
      <c r="AB1808">
        <f>IF([2]Entry!$J$1811="","",[2]Entry!$J$1811)</f>
        <v/>
      </c>
      <c r="AC1808">
        <f>IF([2]Entry!$K$1811="","",[2]Entry!$K$1811)</f>
        <v/>
      </c>
      <c r="AD1808">
        <f>IF([2]Entry!$L$1811="","",[2]Entry!$L$1811)</f>
        <v/>
      </c>
      <c r="AE1808">
        <f>IF([2]Entry!$M$1811="","",[2]Entry!$M$1811)</f>
        <v/>
      </c>
      <c r="AF1808">
        <f>IF([2]Entry!$N$1811="","",[2]Entry!$N$1811)</f>
        <v/>
      </c>
      <c r="AJ1808">
        <f>IF([2]Entry!$S$1811="","",[2]Entry!$S$1811)</f>
        <v/>
      </c>
      <c r="AK1808">
        <f>IF([2]Entry!$C$1811="","",[2]Entry!$C$1811)</f>
        <v/>
      </c>
      <c r="AL1808">
        <f>IF([2]Entry!$D$1811="","",[2]Entry!$D$1811)</f>
        <v/>
      </c>
    </row>
    <row r="1809">
      <c r="Z1809">
        <f>IF([2]Entry!$E$1812="","",[2]Entry!$E$1812)</f>
        <v/>
      </c>
      <c r="AA1809">
        <f>IF([2]Entry!$G$1812="","",[2]Entry!$G$1812)</f>
        <v/>
      </c>
      <c r="AB1809">
        <f>IF([2]Entry!$J$1812="","",[2]Entry!$J$1812)</f>
        <v/>
      </c>
      <c r="AC1809">
        <f>IF([2]Entry!$K$1812="","",[2]Entry!$K$1812)</f>
        <v/>
      </c>
      <c r="AD1809">
        <f>IF([2]Entry!$L$1812="","",[2]Entry!$L$1812)</f>
        <v/>
      </c>
      <c r="AE1809">
        <f>IF([2]Entry!$M$1812="","",[2]Entry!$M$1812)</f>
        <v/>
      </c>
      <c r="AF1809">
        <f>IF([2]Entry!$N$1812="","",[2]Entry!$N$1812)</f>
        <v/>
      </c>
      <c r="AJ1809">
        <f>IF([2]Entry!$S$1812="","",[2]Entry!$S$1812)</f>
        <v/>
      </c>
      <c r="AK1809">
        <f>IF([2]Entry!$C$1812="","",[2]Entry!$C$1812)</f>
        <v/>
      </c>
      <c r="AL1809">
        <f>IF([2]Entry!$D$1812="","",[2]Entry!$D$1812)</f>
        <v/>
      </c>
    </row>
    <row r="1810">
      <c r="Z1810">
        <f>IF([2]Entry!$E$1813="","",[2]Entry!$E$1813)</f>
        <v/>
      </c>
      <c r="AA1810">
        <f>IF([2]Entry!$G$1813="","",[2]Entry!$G$1813)</f>
        <v/>
      </c>
      <c r="AB1810">
        <f>IF([2]Entry!$J$1813="","",[2]Entry!$J$1813)</f>
        <v/>
      </c>
      <c r="AC1810">
        <f>IF([2]Entry!$K$1813="","",[2]Entry!$K$1813)</f>
        <v/>
      </c>
      <c r="AD1810">
        <f>IF([2]Entry!$L$1813="","",[2]Entry!$L$1813)</f>
        <v/>
      </c>
      <c r="AE1810">
        <f>IF([2]Entry!$M$1813="","",[2]Entry!$M$1813)</f>
        <v/>
      </c>
      <c r="AF1810">
        <f>IF([2]Entry!$N$1813="","",[2]Entry!$N$1813)</f>
        <v/>
      </c>
      <c r="AJ1810">
        <f>IF([2]Entry!$S$1813="","",[2]Entry!$S$1813)</f>
        <v/>
      </c>
      <c r="AK1810">
        <f>IF([2]Entry!$C$1813="","",[2]Entry!$C$1813)</f>
        <v/>
      </c>
      <c r="AL1810">
        <f>IF([2]Entry!$D$1813="","",[2]Entry!$D$1813)</f>
        <v/>
      </c>
    </row>
    <row r="1811">
      <c r="Z1811">
        <f>IF([2]Entry!$E$1814="","",[2]Entry!$E$1814)</f>
        <v/>
      </c>
      <c r="AA1811">
        <f>IF([2]Entry!$G$1814="","",[2]Entry!$G$1814)</f>
        <v/>
      </c>
      <c r="AB1811">
        <f>IF([2]Entry!$J$1814="","",[2]Entry!$J$1814)</f>
        <v/>
      </c>
      <c r="AC1811">
        <f>IF([2]Entry!$K$1814="","",[2]Entry!$K$1814)</f>
        <v/>
      </c>
      <c r="AD1811">
        <f>IF([2]Entry!$L$1814="","",[2]Entry!$L$1814)</f>
        <v/>
      </c>
      <c r="AE1811">
        <f>IF([2]Entry!$M$1814="","",[2]Entry!$M$1814)</f>
        <v/>
      </c>
      <c r="AF1811">
        <f>IF([2]Entry!$N$1814="","",[2]Entry!$N$1814)</f>
        <v/>
      </c>
      <c r="AJ1811">
        <f>IF([2]Entry!$S$1814="","",[2]Entry!$S$1814)</f>
        <v/>
      </c>
      <c r="AK1811">
        <f>IF([2]Entry!$C$1814="","",[2]Entry!$C$1814)</f>
        <v/>
      </c>
      <c r="AL1811">
        <f>IF([2]Entry!$D$1814="","",[2]Entry!$D$1814)</f>
        <v/>
      </c>
    </row>
    <row r="1812">
      <c r="Z1812">
        <f>IF([2]Entry!$E$1815="","",[2]Entry!$E$1815)</f>
        <v/>
      </c>
      <c r="AA1812">
        <f>IF([2]Entry!$G$1815="","",[2]Entry!$G$1815)</f>
        <v/>
      </c>
      <c r="AB1812">
        <f>IF([2]Entry!$J$1815="","",[2]Entry!$J$1815)</f>
        <v/>
      </c>
      <c r="AC1812">
        <f>IF([2]Entry!$K$1815="","",[2]Entry!$K$1815)</f>
        <v/>
      </c>
      <c r="AD1812">
        <f>IF([2]Entry!$L$1815="","",[2]Entry!$L$1815)</f>
        <v/>
      </c>
      <c r="AE1812">
        <f>IF([2]Entry!$M$1815="","",[2]Entry!$M$1815)</f>
        <v/>
      </c>
      <c r="AF1812">
        <f>IF([2]Entry!$N$1815="","",[2]Entry!$N$1815)</f>
        <v/>
      </c>
      <c r="AJ1812">
        <f>IF([2]Entry!$S$1815="","",[2]Entry!$S$1815)</f>
        <v/>
      </c>
      <c r="AK1812">
        <f>IF([2]Entry!$C$1815="","",[2]Entry!$C$1815)</f>
        <v/>
      </c>
      <c r="AL1812">
        <f>IF([2]Entry!$D$1815="","",[2]Entry!$D$1815)</f>
        <v/>
      </c>
    </row>
    <row r="1813">
      <c r="Z1813">
        <f>IF([2]Entry!$E$1816="","",[2]Entry!$E$1816)</f>
        <v/>
      </c>
      <c r="AA1813">
        <f>IF([2]Entry!$G$1816="","",[2]Entry!$G$1816)</f>
        <v/>
      </c>
      <c r="AB1813">
        <f>IF([2]Entry!$J$1816="","",[2]Entry!$J$1816)</f>
        <v/>
      </c>
      <c r="AC1813">
        <f>IF([2]Entry!$K$1816="","",[2]Entry!$K$1816)</f>
        <v/>
      </c>
      <c r="AD1813">
        <f>IF([2]Entry!$L$1816="","",[2]Entry!$L$1816)</f>
        <v/>
      </c>
      <c r="AE1813">
        <f>IF([2]Entry!$M$1816="","",[2]Entry!$M$1816)</f>
        <v/>
      </c>
      <c r="AF1813">
        <f>IF([2]Entry!$N$1816="","",[2]Entry!$N$1816)</f>
        <v/>
      </c>
      <c r="AJ1813">
        <f>IF([2]Entry!$S$1816="","",[2]Entry!$S$1816)</f>
        <v/>
      </c>
      <c r="AK1813">
        <f>IF([2]Entry!$C$1816="","",[2]Entry!$C$1816)</f>
        <v/>
      </c>
      <c r="AL1813">
        <f>IF([2]Entry!$D$1816="","",[2]Entry!$D$1816)</f>
        <v/>
      </c>
    </row>
    <row r="1814">
      <c r="Z1814">
        <f>IF([2]Entry!$E$1817="","",[2]Entry!$E$1817)</f>
        <v/>
      </c>
      <c r="AA1814">
        <f>IF([2]Entry!$G$1817="","",[2]Entry!$G$1817)</f>
        <v/>
      </c>
      <c r="AB1814">
        <f>IF([2]Entry!$J$1817="","",[2]Entry!$J$1817)</f>
        <v/>
      </c>
      <c r="AC1814">
        <f>IF([2]Entry!$K$1817="","",[2]Entry!$K$1817)</f>
        <v/>
      </c>
      <c r="AD1814">
        <f>IF([2]Entry!$L$1817="","",[2]Entry!$L$1817)</f>
        <v/>
      </c>
      <c r="AE1814">
        <f>IF([2]Entry!$M$1817="","",[2]Entry!$M$1817)</f>
        <v/>
      </c>
      <c r="AF1814">
        <f>IF([2]Entry!$N$1817="","",[2]Entry!$N$1817)</f>
        <v/>
      </c>
      <c r="AJ1814">
        <f>IF([2]Entry!$S$1817="","",[2]Entry!$S$1817)</f>
        <v/>
      </c>
      <c r="AK1814">
        <f>IF([2]Entry!$C$1817="","",[2]Entry!$C$1817)</f>
        <v/>
      </c>
      <c r="AL1814">
        <f>IF([2]Entry!$D$1817="","",[2]Entry!$D$1817)</f>
        <v/>
      </c>
    </row>
    <row r="1815">
      <c r="Z1815">
        <f>IF([2]Entry!$E$1818="","",[2]Entry!$E$1818)</f>
        <v/>
      </c>
      <c r="AA1815">
        <f>IF([2]Entry!$G$1818="","",[2]Entry!$G$1818)</f>
        <v/>
      </c>
      <c r="AB1815">
        <f>IF([2]Entry!$J$1818="","",[2]Entry!$J$1818)</f>
        <v/>
      </c>
      <c r="AC1815">
        <f>IF([2]Entry!$K$1818="","",[2]Entry!$K$1818)</f>
        <v/>
      </c>
      <c r="AD1815">
        <f>IF([2]Entry!$L$1818="","",[2]Entry!$L$1818)</f>
        <v/>
      </c>
      <c r="AE1815">
        <f>IF([2]Entry!$M$1818="","",[2]Entry!$M$1818)</f>
        <v/>
      </c>
      <c r="AF1815">
        <f>IF([2]Entry!$N$1818="","",[2]Entry!$N$1818)</f>
        <v/>
      </c>
      <c r="AJ1815">
        <f>IF([2]Entry!$S$1818="","",[2]Entry!$S$1818)</f>
        <v/>
      </c>
      <c r="AK1815">
        <f>IF([2]Entry!$C$1818="","",[2]Entry!$C$1818)</f>
        <v/>
      </c>
      <c r="AL1815">
        <f>IF([2]Entry!$D$1818="","",[2]Entry!$D$1818)</f>
        <v/>
      </c>
    </row>
    <row r="1816">
      <c r="Z1816">
        <f>IF([2]Entry!$E$1819="","",[2]Entry!$E$1819)</f>
        <v/>
      </c>
      <c r="AA1816">
        <f>IF([2]Entry!$G$1819="","",[2]Entry!$G$1819)</f>
        <v/>
      </c>
      <c r="AB1816">
        <f>IF([2]Entry!$J$1819="","",[2]Entry!$J$1819)</f>
        <v/>
      </c>
      <c r="AC1816">
        <f>IF([2]Entry!$K$1819="","",[2]Entry!$K$1819)</f>
        <v/>
      </c>
      <c r="AD1816">
        <f>IF([2]Entry!$L$1819="","",[2]Entry!$L$1819)</f>
        <v/>
      </c>
      <c r="AE1816">
        <f>IF([2]Entry!$M$1819="","",[2]Entry!$M$1819)</f>
        <v/>
      </c>
      <c r="AF1816">
        <f>IF([2]Entry!$N$1819="","",[2]Entry!$N$1819)</f>
        <v/>
      </c>
      <c r="AJ1816">
        <f>IF([2]Entry!$S$1819="","",[2]Entry!$S$1819)</f>
        <v/>
      </c>
      <c r="AK1816">
        <f>IF([2]Entry!$C$1819="","",[2]Entry!$C$1819)</f>
        <v/>
      </c>
      <c r="AL1816">
        <f>IF([2]Entry!$D$1819="","",[2]Entry!$D$1819)</f>
        <v/>
      </c>
    </row>
    <row r="1817">
      <c r="Z1817">
        <f>IF([2]Entry!$E$1820="","",[2]Entry!$E$1820)</f>
        <v/>
      </c>
      <c r="AA1817">
        <f>IF([2]Entry!$G$1820="","",[2]Entry!$G$1820)</f>
        <v/>
      </c>
      <c r="AB1817">
        <f>IF([2]Entry!$J$1820="","",[2]Entry!$J$1820)</f>
        <v/>
      </c>
      <c r="AC1817">
        <f>IF([2]Entry!$K$1820="","",[2]Entry!$K$1820)</f>
        <v/>
      </c>
      <c r="AD1817">
        <f>IF([2]Entry!$L$1820="","",[2]Entry!$L$1820)</f>
        <v/>
      </c>
      <c r="AE1817">
        <f>IF([2]Entry!$M$1820="","",[2]Entry!$M$1820)</f>
        <v/>
      </c>
      <c r="AF1817">
        <f>IF([2]Entry!$N$1820="","",[2]Entry!$N$1820)</f>
        <v/>
      </c>
      <c r="AJ1817">
        <f>IF([2]Entry!$S$1820="","",[2]Entry!$S$1820)</f>
        <v/>
      </c>
      <c r="AK1817">
        <f>IF([2]Entry!$C$1820="","",[2]Entry!$C$1820)</f>
        <v/>
      </c>
      <c r="AL1817">
        <f>IF([2]Entry!$D$1820="","",[2]Entry!$D$1820)</f>
        <v/>
      </c>
    </row>
    <row r="1818">
      <c r="Z1818">
        <f>IF([2]Entry!$E$1821="","",[2]Entry!$E$1821)</f>
        <v/>
      </c>
      <c r="AA1818">
        <f>IF([2]Entry!$G$1821="","",[2]Entry!$G$1821)</f>
        <v/>
      </c>
      <c r="AB1818">
        <f>IF([2]Entry!$J$1821="","",[2]Entry!$J$1821)</f>
        <v/>
      </c>
      <c r="AC1818">
        <f>IF([2]Entry!$K$1821="","",[2]Entry!$K$1821)</f>
        <v/>
      </c>
      <c r="AD1818">
        <f>IF([2]Entry!$L$1821="","",[2]Entry!$L$1821)</f>
        <v/>
      </c>
      <c r="AE1818">
        <f>IF([2]Entry!$M$1821="","",[2]Entry!$M$1821)</f>
        <v/>
      </c>
      <c r="AF1818">
        <f>IF([2]Entry!$N$1821="","",[2]Entry!$N$1821)</f>
        <v/>
      </c>
      <c r="AJ1818">
        <f>IF([2]Entry!$S$1821="","",[2]Entry!$S$1821)</f>
        <v/>
      </c>
      <c r="AK1818">
        <f>IF([2]Entry!$C$1821="","",[2]Entry!$C$1821)</f>
        <v/>
      </c>
      <c r="AL1818">
        <f>IF([2]Entry!$D$1821="","",[2]Entry!$D$1821)</f>
        <v/>
      </c>
    </row>
    <row r="1819">
      <c r="Z1819">
        <f>IF([2]Entry!$E$1822="","",[2]Entry!$E$1822)</f>
        <v/>
      </c>
      <c r="AA1819">
        <f>IF([2]Entry!$G$1822="","",[2]Entry!$G$1822)</f>
        <v/>
      </c>
      <c r="AB1819">
        <f>IF([2]Entry!$J$1822="","",[2]Entry!$J$1822)</f>
        <v/>
      </c>
      <c r="AC1819">
        <f>IF([2]Entry!$K$1822="","",[2]Entry!$K$1822)</f>
        <v/>
      </c>
      <c r="AD1819">
        <f>IF([2]Entry!$L$1822="","",[2]Entry!$L$1822)</f>
        <v/>
      </c>
      <c r="AE1819">
        <f>IF([2]Entry!$M$1822="","",[2]Entry!$M$1822)</f>
        <v/>
      </c>
      <c r="AF1819">
        <f>IF([2]Entry!$N$1822="","",[2]Entry!$N$1822)</f>
        <v/>
      </c>
      <c r="AJ1819">
        <f>IF([2]Entry!$S$1822="","",[2]Entry!$S$1822)</f>
        <v/>
      </c>
      <c r="AK1819">
        <f>IF([2]Entry!$C$1822="","",[2]Entry!$C$1822)</f>
        <v/>
      </c>
      <c r="AL1819">
        <f>IF([2]Entry!$D$1822="","",[2]Entry!$D$1822)</f>
        <v/>
      </c>
    </row>
    <row r="1820">
      <c r="Z1820">
        <f>IF([2]Entry!$E$1823="","",[2]Entry!$E$1823)</f>
        <v/>
      </c>
      <c r="AA1820">
        <f>IF([2]Entry!$G$1823="","",[2]Entry!$G$1823)</f>
        <v/>
      </c>
      <c r="AB1820">
        <f>IF([2]Entry!$J$1823="","",[2]Entry!$J$1823)</f>
        <v/>
      </c>
      <c r="AC1820">
        <f>IF([2]Entry!$K$1823="","",[2]Entry!$K$1823)</f>
        <v/>
      </c>
      <c r="AD1820">
        <f>IF([2]Entry!$L$1823="","",[2]Entry!$L$1823)</f>
        <v/>
      </c>
      <c r="AE1820">
        <f>IF([2]Entry!$M$1823="","",[2]Entry!$M$1823)</f>
        <v/>
      </c>
      <c r="AF1820">
        <f>IF([2]Entry!$N$1823="","",[2]Entry!$N$1823)</f>
        <v/>
      </c>
      <c r="AJ1820">
        <f>IF([2]Entry!$S$1823="","",[2]Entry!$S$1823)</f>
        <v/>
      </c>
      <c r="AK1820">
        <f>IF([2]Entry!$C$1823="","",[2]Entry!$C$1823)</f>
        <v/>
      </c>
      <c r="AL1820">
        <f>IF([2]Entry!$D$1823="","",[2]Entry!$D$1823)</f>
        <v/>
      </c>
    </row>
    <row r="1821">
      <c r="Z1821">
        <f>IF([2]Entry!$E$1824="","",[2]Entry!$E$1824)</f>
        <v/>
      </c>
      <c r="AA1821">
        <f>IF([2]Entry!$G$1824="","",[2]Entry!$G$1824)</f>
        <v/>
      </c>
      <c r="AB1821">
        <f>IF([2]Entry!$J$1824="","",[2]Entry!$J$1824)</f>
        <v/>
      </c>
      <c r="AC1821">
        <f>IF([2]Entry!$K$1824="","",[2]Entry!$K$1824)</f>
        <v/>
      </c>
      <c r="AD1821">
        <f>IF([2]Entry!$L$1824="","",[2]Entry!$L$1824)</f>
        <v/>
      </c>
      <c r="AE1821">
        <f>IF([2]Entry!$M$1824="","",[2]Entry!$M$1824)</f>
        <v/>
      </c>
      <c r="AF1821">
        <f>IF([2]Entry!$N$1824="","",[2]Entry!$N$1824)</f>
        <v/>
      </c>
      <c r="AJ1821">
        <f>IF([2]Entry!$S$1824="","",[2]Entry!$S$1824)</f>
        <v/>
      </c>
      <c r="AK1821">
        <f>IF([2]Entry!$C$1824="","",[2]Entry!$C$1824)</f>
        <v/>
      </c>
      <c r="AL1821">
        <f>IF([2]Entry!$D$1824="","",[2]Entry!$D$1824)</f>
        <v/>
      </c>
    </row>
    <row r="1822">
      <c r="Z1822">
        <f>IF([2]Entry!$E$1825="","",[2]Entry!$E$1825)</f>
        <v/>
      </c>
      <c r="AA1822">
        <f>IF([2]Entry!$G$1825="","",[2]Entry!$G$1825)</f>
        <v/>
      </c>
      <c r="AB1822">
        <f>IF([2]Entry!$J$1825="","",[2]Entry!$J$1825)</f>
        <v/>
      </c>
      <c r="AC1822">
        <f>IF([2]Entry!$K$1825="","",[2]Entry!$K$1825)</f>
        <v/>
      </c>
      <c r="AD1822">
        <f>IF([2]Entry!$L$1825="","",[2]Entry!$L$1825)</f>
        <v/>
      </c>
      <c r="AE1822">
        <f>IF([2]Entry!$M$1825="","",[2]Entry!$M$1825)</f>
        <v/>
      </c>
      <c r="AF1822">
        <f>IF([2]Entry!$N$1825="","",[2]Entry!$N$1825)</f>
        <v/>
      </c>
      <c r="AJ1822">
        <f>IF([2]Entry!$S$1825="","",[2]Entry!$S$1825)</f>
        <v/>
      </c>
      <c r="AK1822">
        <f>IF([2]Entry!$C$1825="","",[2]Entry!$C$1825)</f>
        <v/>
      </c>
      <c r="AL1822">
        <f>IF([2]Entry!$D$1825="","",[2]Entry!$D$1825)</f>
        <v/>
      </c>
    </row>
    <row r="1823">
      <c r="Z1823">
        <f>IF([2]Entry!$E$1826="","",[2]Entry!$E$1826)</f>
        <v/>
      </c>
      <c r="AA1823">
        <f>IF([2]Entry!$G$1826="","",[2]Entry!$G$1826)</f>
        <v/>
      </c>
      <c r="AB1823">
        <f>IF([2]Entry!$J$1826="","",[2]Entry!$J$1826)</f>
        <v/>
      </c>
      <c r="AC1823">
        <f>IF([2]Entry!$K$1826="","",[2]Entry!$K$1826)</f>
        <v/>
      </c>
      <c r="AD1823">
        <f>IF([2]Entry!$L$1826="","",[2]Entry!$L$1826)</f>
        <v/>
      </c>
      <c r="AE1823">
        <f>IF([2]Entry!$M$1826="","",[2]Entry!$M$1826)</f>
        <v/>
      </c>
      <c r="AF1823">
        <f>IF([2]Entry!$N$1826="","",[2]Entry!$N$1826)</f>
        <v/>
      </c>
      <c r="AJ1823">
        <f>IF([2]Entry!$S$1826="","",[2]Entry!$S$1826)</f>
        <v/>
      </c>
      <c r="AK1823">
        <f>IF([2]Entry!$C$1826="","",[2]Entry!$C$1826)</f>
        <v/>
      </c>
      <c r="AL1823">
        <f>IF([2]Entry!$D$1826="","",[2]Entry!$D$1826)</f>
        <v/>
      </c>
    </row>
    <row r="1824">
      <c r="Z1824">
        <f>IF([2]Entry!$E$1827="","",[2]Entry!$E$1827)</f>
        <v/>
      </c>
      <c r="AA1824">
        <f>IF([2]Entry!$G$1827="","",[2]Entry!$G$1827)</f>
        <v/>
      </c>
      <c r="AB1824">
        <f>IF([2]Entry!$J$1827="","",[2]Entry!$J$1827)</f>
        <v/>
      </c>
      <c r="AC1824">
        <f>IF([2]Entry!$K$1827="","",[2]Entry!$K$1827)</f>
        <v/>
      </c>
      <c r="AD1824">
        <f>IF([2]Entry!$L$1827="","",[2]Entry!$L$1827)</f>
        <v/>
      </c>
      <c r="AE1824">
        <f>IF([2]Entry!$M$1827="","",[2]Entry!$M$1827)</f>
        <v/>
      </c>
      <c r="AF1824">
        <f>IF([2]Entry!$N$1827="","",[2]Entry!$N$1827)</f>
        <v/>
      </c>
      <c r="AJ1824">
        <f>IF([2]Entry!$S$1827="","",[2]Entry!$S$1827)</f>
        <v/>
      </c>
      <c r="AK1824">
        <f>IF([2]Entry!$C$1827="","",[2]Entry!$C$1827)</f>
        <v/>
      </c>
      <c r="AL1824">
        <f>IF([2]Entry!$D$1827="","",[2]Entry!$D$1827)</f>
        <v/>
      </c>
    </row>
    <row r="1825">
      <c r="Z1825">
        <f>IF([2]Entry!$E$1828="","",[2]Entry!$E$1828)</f>
        <v/>
      </c>
      <c r="AA1825">
        <f>IF([2]Entry!$G$1828="","",[2]Entry!$G$1828)</f>
        <v/>
      </c>
      <c r="AB1825">
        <f>IF([2]Entry!$J$1828="","",[2]Entry!$J$1828)</f>
        <v/>
      </c>
      <c r="AC1825">
        <f>IF([2]Entry!$K$1828="","",[2]Entry!$K$1828)</f>
        <v/>
      </c>
      <c r="AD1825">
        <f>IF([2]Entry!$L$1828="","",[2]Entry!$L$1828)</f>
        <v/>
      </c>
      <c r="AE1825">
        <f>IF([2]Entry!$M$1828="","",[2]Entry!$M$1828)</f>
        <v/>
      </c>
      <c r="AF1825">
        <f>IF([2]Entry!$N$1828="","",[2]Entry!$N$1828)</f>
        <v/>
      </c>
      <c r="AJ1825">
        <f>IF([2]Entry!$S$1828="","",[2]Entry!$S$1828)</f>
        <v/>
      </c>
      <c r="AK1825">
        <f>IF([2]Entry!$C$1828="","",[2]Entry!$C$1828)</f>
        <v/>
      </c>
      <c r="AL1825">
        <f>IF([2]Entry!$D$1828="","",[2]Entry!$D$1828)</f>
        <v/>
      </c>
    </row>
    <row r="1826">
      <c r="Z1826">
        <f>IF([2]Entry!$E$1829="","",[2]Entry!$E$1829)</f>
        <v/>
      </c>
      <c r="AA1826">
        <f>IF([2]Entry!$G$1829="","",[2]Entry!$G$1829)</f>
        <v/>
      </c>
      <c r="AB1826">
        <f>IF([2]Entry!$J$1829="","",[2]Entry!$J$1829)</f>
        <v/>
      </c>
      <c r="AC1826">
        <f>IF([2]Entry!$K$1829="","",[2]Entry!$K$1829)</f>
        <v/>
      </c>
      <c r="AD1826">
        <f>IF([2]Entry!$L$1829="","",[2]Entry!$L$1829)</f>
        <v/>
      </c>
      <c r="AE1826">
        <f>IF([2]Entry!$M$1829="","",[2]Entry!$M$1829)</f>
        <v/>
      </c>
      <c r="AF1826">
        <f>IF([2]Entry!$N$1829="","",[2]Entry!$N$1829)</f>
        <v/>
      </c>
      <c r="AJ1826">
        <f>IF([2]Entry!$S$1829="","",[2]Entry!$S$1829)</f>
        <v/>
      </c>
      <c r="AK1826">
        <f>IF([2]Entry!$C$1829="","",[2]Entry!$C$1829)</f>
        <v/>
      </c>
      <c r="AL1826">
        <f>IF([2]Entry!$D$1829="","",[2]Entry!$D$1829)</f>
        <v/>
      </c>
    </row>
    <row r="1827">
      <c r="Z1827">
        <f>IF([2]Entry!$E$1830="","",[2]Entry!$E$1830)</f>
        <v/>
      </c>
      <c r="AA1827">
        <f>IF([2]Entry!$G$1830="","",[2]Entry!$G$1830)</f>
        <v/>
      </c>
      <c r="AB1827">
        <f>IF([2]Entry!$J$1830="","",[2]Entry!$J$1830)</f>
        <v/>
      </c>
      <c r="AC1827">
        <f>IF([2]Entry!$K$1830="","",[2]Entry!$K$1830)</f>
        <v/>
      </c>
      <c r="AD1827">
        <f>IF([2]Entry!$L$1830="","",[2]Entry!$L$1830)</f>
        <v/>
      </c>
      <c r="AE1827">
        <f>IF([2]Entry!$M$1830="","",[2]Entry!$M$1830)</f>
        <v/>
      </c>
      <c r="AF1827">
        <f>IF([2]Entry!$N$1830="","",[2]Entry!$N$1830)</f>
        <v/>
      </c>
      <c r="AJ1827">
        <f>IF([2]Entry!$S$1830="","",[2]Entry!$S$1830)</f>
        <v/>
      </c>
      <c r="AK1827">
        <f>IF([2]Entry!$C$1830="","",[2]Entry!$C$1830)</f>
        <v/>
      </c>
      <c r="AL1827">
        <f>IF([2]Entry!$D$1830="","",[2]Entry!$D$1830)</f>
        <v/>
      </c>
    </row>
    <row r="1828">
      <c r="Z1828">
        <f>IF([2]Entry!$E$1831="","",[2]Entry!$E$1831)</f>
        <v/>
      </c>
      <c r="AA1828">
        <f>IF([2]Entry!$G$1831="","",[2]Entry!$G$1831)</f>
        <v/>
      </c>
      <c r="AB1828">
        <f>IF([2]Entry!$J$1831="","",[2]Entry!$J$1831)</f>
        <v/>
      </c>
      <c r="AC1828">
        <f>IF([2]Entry!$K$1831="","",[2]Entry!$K$1831)</f>
        <v/>
      </c>
      <c r="AD1828">
        <f>IF([2]Entry!$L$1831="","",[2]Entry!$L$1831)</f>
        <v/>
      </c>
      <c r="AE1828">
        <f>IF([2]Entry!$M$1831="","",[2]Entry!$M$1831)</f>
        <v/>
      </c>
      <c r="AF1828">
        <f>IF([2]Entry!$N$1831="","",[2]Entry!$N$1831)</f>
        <v/>
      </c>
      <c r="AJ1828">
        <f>IF([2]Entry!$S$1831="","",[2]Entry!$S$1831)</f>
        <v/>
      </c>
      <c r="AK1828">
        <f>IF([2]Entry!$C$1831="","",[2]Entry!$C$1831)</f>
        <v/>
      </c>
      <c r="AL1828">
        <f>IF([2]Entry!$D$1831="","",[2]Entry!$D$1831)</f>
        <v/>
      </c>
    </row>
    <row r="1829">
      <c r="Z1829">
        <f>IF([2]Entry!$E$1832="","",[2]Entry!$E$1832)</f>
        <v/>
      </c>
      <c r="AA1829">
        <f>IF([2]Entry!$G$1832="","",[2]Entry!$G$1832)</f>
        <v/>
      </c>
      <c r="AB1829">
        <f>IF([2]Entry!$J$1832="","",[2]Entry!$J$1832)</f>
        <v/>
      </c>
      <c r="AC1829">
        <f>IF([2]Entry!$K$1832="","",[2]Entry!$K$1832)</f>
        <v/>
      </c>
      <c r="AD1829">
        <f>IF([2]Entry!$L$1832="","",[2]Entry!$L$1832)</f>
        <v/>
      </c>
      <c r="AE1829">
        <f>IF([2]Entry!$M$1832="","",[2]Entry!$M$1832)</f>
        <v/>
      </c>
      <c r="AF1829">
        <f>IF([2]Entry!$N$1832="","",[2]Entry!$N$1832)</f>
        <v/>
      </c>
      <c r="AJ1829">
        <f>IF([2]Entry!$S$1832="","",[2]Entry!$S$1832)</f>
        <v/>
      </c>
      <c r="AK1829">
        <f>IF([2]Entry!$C$1832="","",[2]Entry!$C$1832)</f>
        <v/>
      </c>
      <c r="AL1829">
        <f>IF([2]Entry!$D$1832="","",[2]Entry!$D$1832)</f>
        <v/>
      </c>
    </row>
    <row r="1830">
      <c r="Z1830">
        <f>IF([2]Entry!$E$1833="","",[2]Entry!$E$1833)</f>
        <v/>
      </c>
      <c r="AA1830">
        <f>IF([2]Entry!$G$1833="","",[2]Entry!$G$1833)</f>
        <v/>
      </c>
      <c r="AB1830">
        <f>IF([2]Entry!$J$1833="","",[2]Entry!$J$1833)</f>
        <v/>
      </c>
      <c r="AC1830">
        <f>IF([2]Entry!$K$1833="","",[2]Entry!$K$1833)</f>
        <v/>
      </c>
      <c r="AD1830">
        <f>IF([2]Entry!$L$1833="","",[2]Entry!$L$1833)</f>
        <v/>
      </c>
      <c r="AE1830">
        <f>IF([2]Entry!$M$1833="","",[2]Entry!$M$1833)</f>
        <v/>
      </c>
      <c r="AF1830">
        <f>IF([2]Entry!$N$1833="","",[2]Entry!$N$1833)</f>
        <v/>
      </c>
      <c r="AJ1830">
        <f>IF([2]Entry!$S$1833="","",[2]Entry!$S$1833)</f>
        <v/>
      </c>
      <c r="AK1830">
        <f>IF([2]Entry!$C$1833="","",[2]Entry!$C$1833)</f>
        <v/>
      </c>
      <c r="AL1830">
        <f>IF([2]Entry!$D$1833="","",[2]Entry!$D$1833)</f>
        <v/>
      </c>
    </row>
    <row r="1831">
      <c r="Z1831">
        <f>IF([2]Entry!$E$1834="","",[2]Entry!$E$1834)</f>
        <v/>
      </c>
      <c r="AA1831">
        <f>IF([2]Entry!$G$1834="","",[2]Entry!$G$1834)</f>
        <v/>
      </c>
      <c r="AB1831">
        <f>IF([2]Entry!$J$1834="","",[2]Entry!$J$1834)</f>
        <v/>
      </c>
      <c r="AC1831">
        <f>IF([2]Entry!$K$1834="","",[2]Entry!$K$1834)</f>
        <v/>
      </c>
      <c r="AD1831">
        <f>IF([2]Entry!$L$1834="","",[2]Entry!$L$1834)</f>
        <v/>
      </c>
      <c r="AE1831">
        <f>IF([2]Entry!$M$1834="","",[2]Entry!$M$1834)</f>
        <v/>
      </c>
      <c r="AF1831">
        <f>IF([2]Entry!$N$1834="","",[2]Entry!$N$1834)</f>
        <v/>
      </c>
      <c r="AJ1831">
        <f>IF([2]Entry!$S$1834="","",[2]Entry!$S$1834)</f>
        <v/>
      </c>
      <c r="AK1831">
        <f>IF([2]Entry!$C$1834="","",[2]Entry!$C$1834)</f>
        <v/>
      </c>
      <c r="AL1831">
        <f>IF([2]Entry!$D$1834="","",[2]Entry!$D$1834)</f>
        <v/>
      </c>
    </row>
    <row r="1832">
      <c r="Z1832">
        <f>IF([2]Entry!$E$1835="","",[2]Entry!$E$1835)</f>
        <v/>
      </c>
      <c r="AA1832">
        <f>IF([2]Entry!$G$1835="","",[2]Entry!$G$1835)</f>
        <v/>
      </c>
      <c r="AB1832">
        <f>IF([2]Entry!$J$1835="","",[2]Entry!$J$1835)</f>
        <v/>
      </c>
      <c r="AC1832">
        <f>IF([2]Entry!$K$1835="","",[2]Entry!$K$1835)</f>
        <v/>
      </c>
      <c r="AD1832">
        <f>IF([2]Entry!$L$1835="","",[2]Entry!$L$1835)</f>
        <v/>
      </c>
      <c r="AE1832">
        <f>IF([2]Entry!$M$1835="","",[2]Entry!$M$1835)</f>
        <v/>
      </c>
      <c r="AF1832">
        <f>IF([2]Entry!$N$1835="","",[2]Entry!$N$1835)</f>
        <v/>
      </c>
      <c r="AJ1832">
        <f>IF([2]Entry!$S$1835="","",[2]Entry!$S$1835)</f>
        <v/>
      </c>
      <c r="AK1832">
        <f>IF([2]Entry!$C$1835="","",[2]Entry!$C$1835)</f>
        <v/>
      </c>
      <c r="AL1832">
        <f>IF([2]Entry!$D$1835="","",[2]Entry!$D$1835)</f>
        <v/>
      </c>
    </row>
    <row r="1833">
      <c r="Z1833">
        <f>IF([2]Entry!$E$1836="","",[2]Entry!$E$1836)</f>
        <v/>
      </c>
      <c r="AA1833">
        <f>IF([2]Entry!$G$1836="","",[2]Entry!$G$1836)</f>
        <v/>
      </c>
      <c r="AB1833">
        <f>IF([2]Entry!$J$1836="","",[2]Entry!$J$1836)</f>
        <v/>
      </c>
      <c r="AC1833">
        <f>IF([2]Entry!$K$1836="","",[2]Entry!$K$1836)</f>
        <v/>
      </c>
      <c r="AD1833">
        <f>IF([2]Entry!$L$1836="","",[2]Entry!$L$1836)</f>
        <v/>
      </c>
      <c r="AE1833">
        <f>IF([2]Entry!$M$1836="","",[2]Entry!$M$1836)</f>
        <v/>
      </c>
      <c r="AF1833">
        <f>IF([2]Entry!$N$1836="","",[2]Entry!$N$1836)</f>
        <v/>
      </c>
      <c r="AJ1833">
        <f>IF([2]Entry!$S$1836="","",[2]Entry!$S$1836)</f>
        <v/>
      </c>
      <c r="AK1833">
        <f>IF([2]Entry!$C$1836="","",[2]Entry!$C$1836)</f>
        <v/>
      </c>
      <c r="AL1833">
        <f>IF([2]Entry!$D$1836="","",[2]Entry!$D$1836)</f>
        <v/>
      </c>
    </row>
    <row r="1834">
      <c r="Z1834">
        <f>IF([2]Entry!$E$1837="","",[2]Entry!$E$1837)</f>
        <v/>
      </c>
      <c r="AA1834">
        <f>IF([2]Entry!$G$1837="","",[2]Entry!$G$1837)</f>
        <v/>
      </c>
      <c r="AB1834">
        <f>IF([2]Entry!$J$1837="","",[2]Entry!$J$1837)</f>
        <v/>
      </c>
      <c r="AC1834">
        <f>IF([2]Entry!$K$1837="","",[2]Entry!$K$1837)</f>
        <v/>
      </c>
      <c r="AD1834">
        <f>IF([2]Entry!$L$1837="","",[2]Entry!$L$1837)</f>
        <v/>
      </c>
      <c r="AE1834">
        <f>IF([2]Entry!$M$1837="","",[2]Entry!$M$1837)</f>
        <v/>
      </c>
      <c r="AF1834">
        <f>IF([2]Entry!$N$1837="","",[2]Entry!$N$1837)</f>
        <v/>
      </c>
      <c r="AJ1834">
        <f>IF([2]Entry!$S$1837="","",[2]Entry!$S$1837)</f>
        <v/>
      </c>
      <c r="AK1834">
        <f>IF([2]Entry!$C$1837="","",[2]Entry!$C$1837)</f>
        <v/>
      </c>
      <c r="AL1834">
        <f>IF([2]Entry!$D$1837="","",[2]Entry!$D$1837)</f>
        <v/>
      </c>
    </row>
    <row r="1835">
      <c r="Z1835">
        <f>IF([2]Entry!$E$1838="","",[2]Entry!$E$1838)</f>
        <v/>
      </c>
      <c r="AA1835">
        <f>IF([2]Entry!$G$1838="","",[2]Entry!$G$1838)</f>
        <v/>
      </c>
      <c r="AB1835">
        <f>IF([2]Entry!$J$1838="","",[2]Entry!$J$1838)</f>
        <v/>
      </c>
      <c r="AC1835">
        <f>IF([2]Entry!$K$1838="","",[2]Entry!$K$1838)</f>
        <v/>
      </c>
      <c r="AD1835">
        <f>IF([2]Entry!$L$1838="","",[2]Entry!$L$1838)</f>
        <v/>
      </c>
      <c r="AE1835">
        <f>IF([2]Entry!$M$1838="","",[2]Entry!$M$1838)</f>
        <v/>
      </c>
      <c r="AF1835">
        <f>IF([2]Entry!$N$1838="","",[2]Entry!$N$1838)</f>
        <v/>
      </c>
      <c r="AJ1835">
        <f>IF([2]Entry!$S$1838="","",[2]Entry!$S$1838)</f>
        <v/>
      </c>
      <c r="AK1835">
        <f>IF([2]Entry!$C$1838="","",[2]Entry!$C$1838)</f>
        <v/>
      </c>
      <c r="AL1835">
        <f>IF([2]Entry!$D$1838="","",[2]Entry!$D$1838)</f>
        <v/>
      </c>
    </row>
    <row r="1836">
      <c r="Z1836">
        <f>IF([2]Entry!$E$1839="","",[2]Entry!$E$1839)</f>
        <v/>
      </c>
      <c r="AA1836">
        <f>IF([2]Entry!$G$1839="","",[2]Entry!$G$1839)</f>
        <v/>
      </c>
      <c r="AB1836">
        <f>IF([2]Entry!$J$1839="","",[2]Entry!$J$1839)</f>
        <v/>
      </c>
      <c r="AC1836">
        <f>IF([2]Entry!$K$1839="","",[2]Entry!$K$1839)</f>
        <v/>
      </c>
      <c r="AD1836">
        <f>IF([2]Entry!$L$1839="","",[2]Entry!$L$1839)</f>
        <v/>
      </c>
      <c r="AE1836">
        <f>IF([2]Entry!$M$1839="","",[2]Entry!$M$1839)</f>
        <v/>
      </c>
      <c r="AF1836">
        <f>IF([2]Entry!$N$1839="","",[2]Entry!$N$1839)</f>
        <v/>
      </c>
      <c r="AJ1836">
        <f>IF([2]Entry!$S$1839="","",[2]Entry!$S$1839)</f>
        <v/>
      </c>
      <c r="AK1836">
        <f>IF([2]Entry!$C$1839="","",[2]Entry!$C$1839)</f>
        <v/>
      </c>
      <c r="AL1836">
        <f>IF([2]Entry!$D$1839="","",[2]Entry!$D$1839)</f>
        <v/>
      </c>
    </row>
    <row r="1837">
      <c r="Z1837">
        <f>IF([2]Entry!$E$1840="","",[2]Entry!$E$1840)</f>
        <v/>
      </c>
      <c r="AA1837">
        <f>IF([2]Entry!$G$1840="","",[2]Entry!$G$1840)</f>
        <v/>
      </c>
      <c r="AB1837">
        <f>IF([2]Entry!$J$1840="","",[2]Entry!$J$1840)</f>
        <v/>
      </c>
      <c r="AC1837">
        <f>IF([2]Entry!$K$1840="","",[2]Entry!$K$1840)</f>
        <v/>
      </c>
      <c r="AD1837">
        <f>IF([2]Entry!$L$1840="","",[2]Entry!$L$1840)</f>
        <v/>
      </c>
      <c r="AE1837">
        <f>IF([2]Entry!$M$1840="","",[2]Entry!$M$1840)</f>
        <v/>
      </c>
      <c r="AF1837">
        <f>IF([2]Entry!$N$1840="","",[2]Entry!$N$1840)</f>
        <v/>
      </c>
      <c r="AJ1837">
        <f>IF([2]Entry!$S$1840="","",[2]Entry!$S$1840)</f>
        <v/>
      </c>
      <c r="AK1837">
        <f>IF([2]Entry!$C$1840="","",[2]Entry!$C$1840)</f>
        <v/>
      </c>
      <c r="AL1837">
        <f>IF([2]Entry!$D$1840="","",[2]Entry!$D$1840)</f>
        <v/>
      </c>
    </row>
    <row r="1838">
      <c r="Z1838">
        <f>IF([2]Entry!$E$1841="","",[2]Entry!$E$1841)</f>
        <v/>
      </c>
      <c r="AA1838">
        <f>IF([2]Entry!$G$1841="","",[2]Entry!$G$1841)</f>
        <v/>
      </c>
      <c r="AB1838">
        <f>IF([2]Entry!$J$1841="","",[2]Entry!$J$1841)</f>
        <v/>
      </c>
      <c r="AC1838">
        <f>IF([2]Entry!$K$1841="","",[2]Entry!$K$1841)</f>
        <v/>
      </c>
      <c r="AD1838">
        <f>IF([2]Entry!$L$1841="","",[2]Entry!$L$1841)</f>
        <v/>
      </c>
      <c r="AE1838">
        <f>IF([2]Entry!$M$1841="","",[2]Entry!$M$1841)</f>
        <v/>
      </c>
      <c r="AF1838">
        <f>IF([2]Entry!$N$1841="","",[2]Entry!$N$1841)</f>
        <v/>
      </c>
      <c r="AJ1838">
        <f>IF([2]Entry!$S$1841="","",[2]Entry!$S$1841)</f>
        <v/>
      </c>
      <c r="AK1838">
        <f>IF([2]Entry!$C$1841="","",[2]Entry!$C$1841)</f>
        <v/>
      </c>
      <c r="AL1838">
        <f>IF([2]Entry!$D$1841="","",[2]Entry!$D$1841)</f>
        <v/>
      </c>
    </row>
    <row r="1839">
      <c r="Z1839">
        <f>IF([2]Entry!$E$1842="","",[2]Entry!$E$1842)</f>
        <v/>
      </c>
      <c r="AA1839">
        <f>IF([2]Entry!$G$1842="","",[2]Entry!$G$1842)</f>
        <v/>
      </c>
      <c r="AB1839">
        <f>IF([2]Entry!$J$1842="","",[2]Entry!$J$1842)</f>
        <v/>
      </c>
      <c r="AC1839">
        <f>IF([2]Entry!$K$1842="","",[2]Entry!$K$1842)</f>
        <v/>
      </c>
      <c r="AD1839">
        <f>IF([2]Entry!$L$1842="","",[2]Entry!$L$1842)</f>
        <v/>
      </c>
      <c r="AE1839">
        <f>IF([2]Entry!$M$1842="","",[2]Entry!$M$1842)</f>
        <v/>
      </c>
      <c r="AF1839">
        <f>IF([2]Entry!$N$1842="","",[2]Entry!$N$1842)</f>
        <v/>
      </c>
      <c r="AJ1839">
        <f>IF([2]Entry!$S$1842="","",[2]Entry!$S$1842)</f>
        <v/>
      </c>
      <c r="AK1839">
        <f>IF([2]Entry!$C$1842="","",[2]Entry!$C$1842)</f>
        <v/>
      </c>
      <c r="AL1839">
        <f>IF([2]Entry!$D$1842="","",[2]Entry!$D$1842)</f>
        <v/>
      </c>
    </row>
    <row r="1840">
      <c r="Z1840">
        <f>IF([2]Entry!$E$1843="","",[2]Entry!$E$1843)</f>
        <v/>
      </c>
      <c r="AA1840">
        <f>IF([2]Entry!$G$1843="","",[2]Entry!$G$1843)</f>
        <v/>
      </c>
      <c r="AB1840">
        <f>IF([2]Entry!$J$1843="","",[2]Entry!$J$1843)</f>
        <v/>
      </c>
      <c r="AC1840">
        <f>IF([2]Entry!$K$1843="","",[2]Entry!$K$1843)</f>
        <v/>
      </c>
      <c r="AD1840">
        <f>IF([2]Entry!$L$1843="","",[2]Entry!$L$1843)</f>
        <v/>
      </c>
      <c r="AE1840">
        <f>IF([2]Entry!$M$1843="","",[2]Entry!$M$1843)</f>
        <v/>
      </c>
      <c r="AF1840">
        <f>IF([2]Entry!$N$1843="","",[2]Entry!$N$1843)</f>
        <v/>
      </c>
      <c r="AJ1840">
        <f>IF([2]Entry!$S$1843="","",[2]Entry!$S$1843)</f>
        <v/>
      </c>
      <c r="AK1840">
        <f>IF([2]Entry!$C$1843="","",[2]Entry!$C$1843)</f>
        <v/>
      </c>
      <c r="AL1840">
        <f>IF([2]Entry!$D$1843="","",[2]Entry!$D$1843)</f>
        <v/>
      </c>
    </row>
    <row r="1841">
      <c r="Z1841">
        <f>IF([2]Entry!$E$1844="","",[2]Entry!$E$1844)</f>
        <v/>
      </c>
      <c r="AA1841">
        <f>IF([2]Entry!$G$1844="","",[2]Entry!$G$1844)</f>
        <v/>
      </c>
      <c r="AB1841">
        <f>IF([2]Entry!$J$1844="","",[2]Entry!$J$1844)</f>
        <v/>
      </c>
      <c r="AC1841">
        <f>IF([2]Entry!$K$1844="","",[2]Entry!$K$1844)</f>
        <v/>
      </c>
      <c r="AD1841">
        <f>IF([2]Entry!$L$1844="","",[2]Entry!$L$1844)</f>
        <v/>
      </c>
      <c r="AE1841">
        <f>IF([2]Entry!$M$1844="","",[2]Entry!$M$1844)</f>
        <v/>
      </c>
      <c r="AF1841">
        <f>IF([2]Entry!$N$1844="","",[2]Entry!$N$1844)</f>
        <v/>
      </c>
      <c r="AJ1841">
        <f>IF([2]Entry!$S$1844="","",[2]Entry!$S$1844)</f>
        <v/>
      </c>
      <c r="AK1841">
        <f>IF([2]Entry!$C$1844="","",[2]Entry!$C$1844)</f>
        <v/>
      </c>
      <c r="AL1841">
        <f>IF([2]Entry!$D$1844="","",[2]Entry!$D$1844)</f>
        <v/>
      </c>
    </row>
    <row r="1842">
      <c r="Z1842">
        <f>IF([2]Entry!$E$1845="","",[2]Entry!$E$1845)</f>
        <v/>
      </c>
      <c r="AA1842">
        <f>IF([2]Entry!$G$1845="","",[2]Entry!$G$1845)</f>
        <v/>
      </c>
      <c r="AB1842">
        <f>IF([2]Entry!$J$1845="","",[2]Entry!$J$1845)</f>
        <v/>
      </c>
      <c r="AC1842">
        <f>IF([2]Entry!$K$1845="","",[2]Entry!$K$1845)</f>
        <v/>
      </c>
      <c r="AD1842">
        <f>IF([2]Entry!$L$1845="","",[2]Entry!$L$1845)</f>
        <v/>
      </c>
      <c r="AE1842">
        <f>IF([2]Entry!$M$1845="","",[2]Entry!$M$1845)</f>
        <v/>
      </c>
      <c r="AF1842">
        <f>IF([2]Entry!$N$1845="","",[2]Entry!$N$1845)</f>
        <v/>
      </c>
      <c r="AJ1842">
        <f>IF([2]Entry!$S$1845="","",[2]Entry!$S$1845)</f>
        <v/>
      </c>
      <c r="AK1842">
        <f>IF([2]Entry!$C$1845="","",[2]Entry!$C$1845)</f>
        <v/>
      </c>
      <c r="AL1842">
        <f>IF([2]Entry!$D$1845="","",[2]Entry!$D$1845)</f>
        <v/>
      </c>
    </row>
    <row r="1843">
      <c r="Z1843">
        <f>IF([2]Entry!$E$1846="","",[2]Entry!$E$1846)</f>
        <v/>
      </c>
      <c r="AA1843">
        <f>IF([2]Entry!$G$1846="","",[2]Entry!$G$1846)</f>
        <v/>
      </c>
      <c r="AB1843">
        <f>IF([2]Entry!$J$1846="","",[2]Entry!$J$1846)</f>
        <v/>
      </c>
      <c r="AC1843">
        <f>IF([2]Entry!$K$1846="","",[2]Entry!$K$1846)</f>
        <v/>
      </c>
      <c r="AD1843">
        <f>IF([2]Entry!$L$1846="","",[2]Entry!$L$1846)</f>
        <v/>
      </c>
      <c r="AE1843">
        <f>IF([2]Entry!$M$1846="","",[2]Entry!$M$1846)</f>
        <v/>
      </c>
      <c r="AF1843">
        <f>IF([2]Entry!$N$1846="","",[2]Entry!$N$1846)</f>
        <v/>
      </c>
      <c r="AJ1843">
        <f>IF([2]Entry!$S$1846="","",[2]Entry!$S$1846)</f>
        <v/>
      </c>
      <c r="AK1843">
        <f>IF([2]Entry!$C$1846="","",[2]Entry!$C$1846)</f>
        <v/>
      </c>
      <c r="AL1843">
        <f>IF([2]Entry!$D$1846="","",[2]Entry!$D$1846)</f>
        <v/>
      </c>
    </row>
    <row r="1844">
      <c r="Z1844">
        <f>IF([2]Entry!$E$1847="","",[2]Entry!$E$1847)</f>
        <v/>
      </c>
      <c r="AA1844">
        <f>IF([2]Entry!$G$1847="","",[2]Entry!$G$1847)</f>
        <v/>
      </c>
      <c r="AB1844">
        <f>IF([2]Entry!$J$1847="","",[2]Entry!$J$1847)</f>
        <v/>
      </c>
      <c r="AC1844">
        <f>IF([2]Entry!$K$1847="","",[2]Entry!$K$1847)</f>
        <v/>
      </c>
      <c r="AD1844">
        <f>IF([2]Entry!$L$1847="","",[2]Entry!$L$1847)</f>
        <v/>
      </c>
      <c r="AE1844">
        <f>IF([2]Entry!$M$1847="","",[2]Entry!$M$1847)</f>
        <v/>
      </c>
      <c r="AF1844">
        <f>IF([2]Entry!$N$1847="","",[2]Entry!$N$1847)</f>
        <v/>
      </c>
      <c r="AJ1844">
        <f>IF([2]Entry!$S$1847="","",[2]Entry!$S$1847)</f>
        <v/>
      </c>
      <c r="AK1844">
        <f>IF([2]Entry!$C$1847="","",[2]Entry!$C$1847)</f>
        <v/>
      </c>
      <c r="AL1844">
        <f>IF([2]Entry!$D$1847="","",[2]Entry!$D$1847)</f>
        <v/>
      </c>
    </row>
    <row r="1845">
      <c r="Z1845">
        <f>IF([2]Entry!$E$1848="","",[2]Entry!$E$1848)</f>
        <v/>
      </c>
      <c r="AA1845">
        <f>IF([2]Entry!$G$1848="","",[2]Entry!$G$1848)</f>
        <v/>
      </c>
      <c r="AB1845">
        <f>IF([2]Entry!$J$1848="","",[2]Entry!$J$1848)</f>
        <v/>
      </c>
      <c r="AC1845">
        <f>IF([2]Entry!$K$1848="","",[2]Entry!$K$1848)</f>
        <v/>
      </c>
      <c r="AD1845">
        <f>IF([2]Entry!$L$1848="","",[2]Entry!$L$1848)</f>
        <v/>
      </c>
      <c r="AE1845">
        <f>IF([2]Entry!$M$1848="","",[2]Entry!$M$1848)</f>
        <v/>
      </c>
      <c r="AF1845">
        <f>IF([2]Entry!$N$1848="","",[2]Entry!$N$1848)</f>
        <v/>
      </c>
      <c r="AJ1845">
        <f>IF([2]Entry!$S$1848="","",[2]Entry!$S$1848)</f>
        <v/>
      </c>
      <c r="AK1845">
        <f>IF([2]Entry!$C$1848="","",[2]Entry!$C$1848)</f>
        <v/>
      </c>
      <c r="AL1845">
        <f>IF([2]Entry!$D$1848="","",[2]Entry!$D$1848)</f>
        <v/>
      </c>
    </row>
    <row r="1846">
      <c r="Z1846">
        <f>IF([2]Entry!$E$1849="","",[2]Entry!$E$1849)</f>
        <v/>
      </c>
      <c r="AA1846">
        <f>IF([2]Entry!$G$1849="","",[2]Entry!$G$1849)</f>
        <v/>
      </c>
      <c r="AB1846">
        <f>IF([2]Entry!$J$1849="","",[2]Entry!$J$1849)</f>
        <v/>
      </c>
      <c r="AC1846">
        <f>IF([2]Entry!$K$1849="","",[2]Entry!$K$1849)</f>
        <v/>
      </c>
      <c r="AD1846">
        <f>IF([2]Entry!$L$1849="","",[2]Entry!$L$1849)</f>
        <v/>
      </c>
      <c r="AE1846">
        <f>IF([2]Entry!$M$1849="","",[2]Entry!$M$1849)</f>
        <v/>
      </c>
      <c r="AF1846">
        <f>IF([2]Entry!$N$1849="","",[2]Entry!$N$1849)</f>
        <v/>
      </c>
      <c r="AJ1846">
        <f>IF([2]Entry!$S$1849="","",[2]Entry!$S$1849)</f>
        <v/>
      </c>
      <c r="AK1846">
        <f>IF([2]Entry!$C$1849="","",[2]Entry!$C$1849)</f>
        <v/>
      </c>
      <c r="AL1846">
        <f>IF([2]Entry!$D$1849="","",[2]Entry!$D$1849)</f>
        <v/>
      </c>
    </row>
    <row r="1847">
      <c r="Z1847">
        <f>IF([2]Entry!$E$1850="","",[2]Entry!$E$1850)</f>
        <v/>
      </c>
      <c r="AA1847">
        <f>IF([2]Entry!$G$1850="","",[2]Entry!$G$1850)</f>
        <v/>
      </c>
      <c r="AB1847">
        <f>IF([2]Entry!$J$1850="","",[2]Entry!$J$1850)</f>
        <v/>
      </c>
      <c r="AC1847">
        <f>IF([2]Entry!$K$1850="","",[2]Entry!$K$1850)</f>
        <v/>
      </c>
      <c r="AD1847">
        <f>IF([2]Entry!$L$1850="","",[2]Entry!$L$1850)</f>
        <v/>
      </c>
      <c r="AE1847">
        <f>IF([2]Entry!$M$1850="","",[2]Entry!$M$1850)</f>
        <v/>
      </c>
      <c r="AF1847">
        <f>IF([2]Entry!$N$1850="","",[2]Entry!$N$1850)</f>
        <v/>
      </c>
      <c r="AJ1847">
        <f>IF([2]Entry!$S$1850="","",[2]Entry!$S$1850)</f>
        <v/>
      </c>
      <c r="AK1847">
        <f>IF([2]Entry!$C$1850="","",[2]Entry!$C$1850)</f>
        <v/>
      </c>
      <c r="AL1847">
        <f>IF([2]Entry!$D$1850="","",[2]Entry!$D$1850)</f>
        <v/>
      </c>
    </row>
    <row r="1848">
      <c r="Z1848">
        <f>IF([2]Entry!$E$1851="","",[2]Entry!$E$1851)</f>
        <v/>
      </c>
      <c r="AA1848">
        <f>IF([2]Entry!$G$1851="","",[2]Entry!$G$1851)</f>
        <v/>
      </c>
      <c r="AB1848">
        <f>IF([2]Entry!$J$1851="","",[2]Entry!$J$1851)</f>
        <v/>
      </c>
      <c r="AC1848">
        <f>IF([2]Entry!$K$1851="","",[2]Entry!$K$1851)</f>
        <v/>
      </c>
      <c r="AD1848">
        <f>IF([2]Entry!$L$1851="","",[2]Entry!$L$1851)</f>
        <v/>
      </c>
      <c r="AE1848">
        <f>IF([2]Entry!$M$1851="","",[2]Entry!$M$1851)</f>
        <v/>
      </c>
      <c r="AF1848">
        <f>IF([2]Entry!$N$1851="","",[2]Entry!$N$1851)</f>
        <v/>
      </c>
      <c r="AJ1848">
        <f>IF([2]Entry!$S$1851="","",[2]Entry!$S$1851)</f>
        <v/>
      </c>
      <c r="AK1848">
        <f>IF([2]Entry!$C$1851="","",[2]Entry!$C$1851)</f>
        <v/>
      </c>
      <c r="AL1848">
        <f>IF([2]Entry!$D$1851="","",[2]Entry!$D$1851)</f>
        <v/>
      </c>
    </row>
    <row r="1849">
      <c r="Z1849">
        <f>IF([2]Entry!$E$1852="","",[2]Entry!$E$1852)</f>
        <v/>
      </c>
      <c r="AA1849">
        <f>IF([2]Entry!$G$1852="","",[2]Entry!$G$1852)</f>
        <v/>
      </c>
      <c r="AB1849">
        <f>IF([2]Entry!$J$1852="","",[2]Entry!$J$1852)</f>
        <v/>
      </c>
      <c r="AC1849">
        <f>IF([2]Entry!$K$1852="","",[2]Entry!$K$1852)</f>
        <v/>
      </c>
      <c r="AD1849">
        <f>IF([2]Entry!$L$1852="","",[2]Entry!$L$1852)</f>
        <v/>
      </c>
      <c r="AE1849">
        <f>IF([2]Entry!$M$1852="","",[2]Entry!$M$1852)</f>
        <v/>
      </c>
      <c r="AF1849">
        <f>IF([2]Entry!$N$1852="","",[2]Entry!$N$1852)</f>
        <v/>
      </c>
      <c r="AJ1849">
        <f>IF([2]Entry!$S$1852="","",[2]Entry!$S$1852)</f>
        <v/>
      </c>
      <c r="AK1849">
        <f>IF([2]Entry!$C$1852="","",[2]Entry!$C$1852)</f>
        <v/>
      </c>
      <c r="AL1849">
        <f>IF([2]Entry!$D$1852="","",[2]Entry!$D$1852)</f>
        <v/>
      </c>
    </row>
    <row r="1850">
      <c r="Z1850">
        <f>IF([2]Entry!$E$1853="","",[2]Entry!$E$1853)</f>
        <v/>
      </c>
      <c r="AA1850">
        <f>IF([2]Entry!$G$1853="","",[2]Entry!$G$1853)</f>
        <v/>
      </c>
      <c r="AB1850">
        <f>IF([2]Entry!$J$1853="","",[2]Entry!$J$1853)</f>
        <v/>
      </c>
      <c r="AC1850">
        <f>IF([2]Entry!$K$1853="","",[2]Entry!$K$1853)</f>
        <v/>
      </c>
      <c r="AD1850">
        <f>IF([2]Entry!$L$1853="","",[2]Entry!$L$1853)</f>
        <v/>
      </c>
      <c r="AE1850">
        <f>IF([2]Entry!$M$1853="","",[2]Entry!$M$1853)</f>
        <v/>
      </c>
      <c r="AF1850">
        <f>IF([2]Entry!$N$1853="","",[2]Entry!$N$1853)</f>
        <v/>
      </c>
      <c r="AJ1850">
        <f>IF([2]Entry!$S$1853="","",[2]Entry!$S$1853)</f>
        <v/>
      </c>
      <c r="AK1850">
        <f>IF([2]Entry!$C$1853="","",[2]Entry!$C$1853)</f>
        <v/>
      </c>
      <c r="AL1850">
        <f>IF([2]Entry!$D$1853="","",[2]Entry!$D$1853)</f>
        <v/>
      </c>
    </row>
    <row r="1851">
      <c r="Z1851">
        <f>IF([2]Entry!$E$1854="","",[2]Entry!$E$1854)</f>
        <v/>
      </c>
      <c r="AA1851">
        <f>IF([2]Entry!$G$1854="","",[2]Entry!$G$1854)</f>
        <v/>
      </c>
      <c r="AB1851">
        <f>IF([2]Entry!$J$1854="","",[2]Entry!$J$1854)</f>
        <v/>
      </c>
      <c r="AC1851">
        <f>IF([2]Entry!$K$1854="","",[2]Entry!$K$1854)</f>
        <v/>
      </c>
      <c r="AD1851">
        <f>IF([2]Entry!$L$1854="","",[2]Entry!$L$1854)</f>
        <v/>
      </c>
      <c r="AE1851">
        <f>IF([2]Entry!$M$1854="","",[2]Entry!$M$1854)</f>
        <v/>
      </c>
      <c r="AF1851">
        <f>IF([2]Entry!$N$1854="","",[2]Entry!$N$1854)</f>
        <v/>
      </c>
      <c r="AJ1851">
        <f>IF([2]Entry!$S$1854="","",[2]Entry!$S$1854)</f>
        <v/>
      </c>
      <c r="AK1851">
        <f>IF([2]Entry!$C$1854="","",[2]Entry!$C$1854)</f>
        <v/>
      </c>
      <c r="AL1851">
        <f>IF([2]Entry!$D$1854="","",[2]Entry!$D$1854)</f>
        <v/>
      </c>
    </row>
    <row r="1852">
      <c r="Z1852">
        <f>IF([2]Entry!$E$1855="","",[2]Entry!$E$1855)</f>
        <v/>
      </c>
      <c r="AA1852">
        <f>IF([2]Entry!$G$1855="","",[2]Entry!$G$1855)</f>
        <v/>
      </c>
      <c r="AB1852">
        <f>IF([2]Entry!$J$1855="","",[2]Entry!$J$1855)</f>
        <v/>
      </c>
      <c r="AC1852">
        <f>IF([2]Entry!$K$1855="","",[2]Entry!$K$1855)</f>
        <v/>
      </c>
      <c r="AD1852">
        <f>IF([2]Entry!$L$1855="","",[2]Entry!$L$1855)</f>
        <v/>
      </c>
      <c r="AE1852">
        <f>IF([2]Entry!$M$1855="","",[2]Entry!$M$1855)</f>
        <v/>
      </c>
      <c r="AF1852">
        <f>IF([2]Entry!$N$1855="","",[2]Entry!$N$1855)</f>
        <v/>
      </c>
      <c r="AJ1852">
        <f>IF([2]Entry!$S$1855="","",[2]Entry!$S$1855)</f>
        <v/>
      </c>
      <c r="AK1852">
        <f>IF([2]Entry!$C$1855="","",[2]Entry!$C$1855)</f>
        <v/>
      </c>
      <c r="AL1852">
        <f>IF([2]Entry!$D$1855="","",[2]Entry!$D$1855)</f>
        <v/>
      </c>
    </row>
    <row r="1853">
      <c r="Z1853">
        <f>IF([2]Entry!$E$1856="","",[2]Entry!$E$1856)</f>
        <v/>
      </c>
      <c r="AA1853">
        <f>IF([2]Entry!$G$1856="","",[2]Entry!$G$1856)</f>
        <v/>
      </c>
      <c r="AB1853">
        <f>IF([2]Entry!$J$1856="","",[2]Entry!$J$1856)</f>
        <v/>
      </c>
      <c r="AC1853">
        <f>IF([2]Entry!$K$1856="","",[2]Entry!$K$1856)</f>
        <v/>
      </c>
      <c r="AD1853">
        <f>IF([2]Entry!$L$1856="","",[2]Entry!$L$1856)</f>
        <v/>
      </c>
      <c r="AE1853">
        <f>IF([2]Entry!$M$1856="","",[2]Entry!$M$1856)</f>
        <v/>
      </c>
      <c r="AF1853">
        <f>IF([2]Entry!$N$1856="","",[2]Entry!$N$1856)</f>
        <v/>
      </c>
      <c r="AJ1853">
        <f>IF([2]Entry!$S$1856="","",[2]Entry!$S$1856)</f>
        <v/>
      </c>
      <c r="AK1853">
        <f>IF([2]Entry!$C$1856="","",[2]Entry!$C$1856)</f>
        <v/>
      </c>
      <c r="AL1853">
        <f>IF([2]Entry!$D$1856="","",[2]Entry!$D$1856)</f>
        <v/>
      </c>
    </row>
    <row r="1854">
      <c r="Z1854">
        <f>IF([2]Entry!$E$1857="","",[2]Entry!$E$1857)</f>
        <v/>
      </c>
      <c r="AA1854">
        <f>IF([2]Entry!$G$1857="","",[2]Entry!$G$1857)</f>
        <v/>
      </c>
      <c r="AB1854">
        <f>IF([2]Entry!$J$1857="","",[2]Entry!$J$1857)</f>
        <v/>
      </c>
      <c r="AC1854">
        <f>IF([2]Entry!$K$1857="","",[2]Entry!$K$1857)</f>
        <v/>
      </c>
      <c r="AD1854">
        <f>IF([2]Entry!$L$1857="","",[2]Entry!$L$1857)</f>
        <v/>
      </c>
      <c r="AE1854">
        <f>IF([2]Entry!$M$1857="","",[2]Entry!$M$1857)</f>
        <v/>
      </c>
      <c r="AF1854">
        <f>IF([2]Entry!$N$1857="","",[2]Entry!$N$1857)</f>
        <v/>
      </c>
      <c r="AJ1854">
        <f>IF([2]Entry!$S$1857="","",[2]Entry!$S$1857)</f>
        <v/>
      </c>
      <c r="AK1854">
        <f>IF([2]Entry!$C$1857="","",[2]Entry!$C$1857)</f>
        <v/>
      </c>
      <c r="AL1854">
        <f>IF([2]Entry!$D$1857="","",[2]Entry!$D$1857)</f>
        <v/>
      </c>
    </row>
    <row r="1855">
      <c r="Z1855">
        <f>IF([2]Entry!$E$1858="","",[2]Entry!$E$1858)</f>
        <v/>
      </c>
      <c r="AA1855">
        <f>IF([2]Entry!$G$1858="","",[2]Entry!$G$1858)</f>
        <v/>
      </c>
      <c r="AB1855">
        <f>IF([2]Entry!$J$1858="","",[2]Entry!$J$1858)</f>
        <v/>
      </c>
      <c r="AC1855">
        <f>IF([2]Entry!$K$1858="","",[2]Entry!$K$1858)</f>
        <v/>
      </c>
      <c r="AD1855">
        <f>IF([2]Entry!$L$1858="","",[2]Entry!$L$1858)</f>
        <v/>
      </c>
      <c r="AE1855">
        <f>IF([2]Entry!$M$1858="","",[2]Entry!$M$1858)</f>
        <v/>
      </c>
      <c r="AF1855">
        <f>IF([2]Entry!$N$1858="","",[2]Entry!$N$1858)</f>
        <v/>
      </c>
      <c r="AJ1855">
        <f>IF([2]Entry!$S$1858="","",[2]Entry!$S$1858)</f>
        <v/>
      </c>
      <c r="AK1855">
        <f>IF([2]Entry!$C$1858="","",[2]Entry!$C$1858)</f>
        <v/>
      </c>
      <c r="AL1855">
        <f>IF([2]Entry!$D$1858="","",[2]Entry!$D$1858)</f>
        <v/>
      </c>
    </row>
    <row r="1856">
      <c r="Z1856">
        <f>IF([2]Entry!$E$1859="","",[2]Entry!$E$1859)</f>
        <v/>
      </c>
      <c r="AA1856">
        <f>IF([2]Entry!$G$1859="","",[2]Entry!$G$1859)</f>
        <v/>
      </c>
      <c r="AB1856">
        <f>IF([2]Entry!$J$1859="","",[2]Entry!$J$1859)</f>
        <v/>
      </c>
      <c r="AC1856">
        <f>IF([2]Entry!$K$1859="","",[2]Entry!$K$1859)</f>
        <v/>
      </c>
      <c r="AD1856">
        <f>IF([2]Entry!$L$1859="","",[2]Entry!$L$1859)</f>
        <v/>
      </c>
      <c r="AE1856">
        <f>IF([2]Entry!$M$1859="","",[2]Entry!$M$1859)</f>
        <v/>
      </c>
      <c r="AF1856">
        <f>IF([2]Entry!$N$1859="","",[2]Entry!$N$1859)</f>
        <v/>
      </c>
      <c r="AJ1856">
        <f>IF([2]Entry!$S$1859="","",[2]Entry!$S$1859)</f>
        <v/>
      </c>
      <c r="AK1856">
        <f>IF([2]Entry!$C$1859="","",[2]Entry!$C$1859)</f>
        <v/>
      </c>
      <c r="AL1856">
        <f>IF([2]Entry!$D$1859="","",[2]Entry!$D$1859)</f>
        <v/>
      </c>
    </row>
    <row r="1857">
      <c r="Z1857">
        <f>IF([2]Entry!$E$1860="","",[2]Entry!$E$1860)</f>
        <v/>
      </c>
      <c r="AA1857">
        <f>IF([2]Entry!$G$1860="","",[2]Entry!$G$1860)</f>
        <v/>
      </c>
      <c r="AB1857">
        <f>IF([2]Entry!$J$1860="","",[2]Entry!$J$1860)</f>
        <v/>
      </c>
      <c r="AC1857">
        <f>IF([2]Entry!$K$1860="","",[2]Entry!$K$1860)</f>
        <v/>
      </c>
      <c r="AD1857">
        <f>IF([2]Entry!$L$1860="","",[2]Entry!$L$1860)</f>
        <v/>
      </c>
      <c r="AE1857">
        <f>IF([2]Entry!$M$1860="","",[2]Entry!$M$1860)</f>
        <v/>
      </c>
      <c r="AF1857">
        <f>IF([2]Entry!$N$1860="","",[2]Entry!$N$1860)</f>
        <v/>
      </c>
      <c r="AJ1857">
        <f>IF([2]Entry!$S$1860="","",[2]Entry!$S$1860)</f>
        <v/>
      </c>
      <c r="AK1857">
        <f>IF([2]Entry!$C$1860="","",[2]Entry!$C$1860)</f>
        <v/>
      </c>
      <c r="AL1857">
        <f>IF([2]Entry!$D$1860="","",[2]Entry!$D$1860)</f>
        <v/>
      </c>
    </row>
    <row r="1858">
      <c r="Z1858">
        <f>IF([2]Entry!$E$1861="","",[2]Entry!$E$1861)</f>
        <v/>
      </c>
      <c r="AA1858">
        <f>IF([2]Entry!$G$1861="","",[2]Entry!$G$1861)</f>
        <v/>
      </c>
      <c r="AB1858">
        <f>IF([2]Entry!$J$1861="","",[2]Entry!$J$1861)</f>
        <v/>
      </c>
      <c r="AC1858">
        <f>IF([2]Entry!$K$1861="","",[2]Entry!$K$1861)</f>
        <v/>
      </c>
      <c r="AD1858">
        <f>IF([2]Entry!$L$1861="","",[2]Entry!$L$1861)</f>
        <v/>
      </c>
      <c r="AE1858">
        <f>IF([2]Entry!$M$1861="","",[2]Entry!$M$1861)</f>
        <v/>
      </c>
      <c r="AF1858">
        <f>IF([2]Entry!$N$1861="","",[2]Entry!$N$1861)</f>
        <v/>
      </c>
      <c r="AJ1858">
        <f>IF([2]Entry!$S$1861="","",[2]Entry!$S$1861)</f>
        <v/>
      </c>
      <c r="AK1858">
        <f>IF([2]Entry!$C$1861="","",[2]Entry!$C$1861)</f>
        <v/>
      </c>
      <c r="AL1858">
        <f>IF([2]Entry!$D$1861="","",[2]Entry!$D$1861)</f>
        <v/>
      </c>
    </row>
    <row r="1859">
      <c r="Z1859">
        <f>IF([2]Entry!$E$1862="","",[2]Entry!$E$1862)</f>
        <v/>
      </c>
      <c r="AA1859">
        <f>IF([2]Entry!$G$1862="","",[2]Entry!$G$1862)</f>
        <v/>
      </c>
      <c r="AB1859">
        <f>IF([2]Entry!$J$1862="","",[2]Entry!$J$1862)</f>
        <v/>
      </c>
      <c r="AC1859">
        <f>IF([2]Entry!$K$1862="","",[2]Entry!$K$1862)</f>
        <v/>
      </c>
      <c r="AD1859">
        <f>IF([2]Entry!$L$1862="","",[2]Entry!$L$1862)</f>
        <v/>
      </c>
      <c r="AE1859">
        <f>IF([2]Entry!$M$1862="","",[2]Entry!$M$1862)</f>
        <v/>
      </c>
      <c r="AF1859">
        <f>IF([2]Entry!$N$1862="","",[2]Entry!$N$1862)</f>
        <v/>
      </c>
      <c r="AJ1859">
        <f>IF([2]Entry!$S$1862="","",[2]Entry!$S$1862)</f>
        <v/>
      </c>
      <c r="AK1859">
        <f>IF([2]Entry!$C$1862="","",[2]Entry!$C$1862)</f>
        <v/>
      </c>
      <c r="AL1859">
        <f>IF([2]Entry!$D$1862="","",[2]Entry!$D$1862)</f>
        <v/>
      </c>
    </row>
    <row r="1860">
      <c r="Z1860">
        <f>IF([2]Entry!$E$1863="","",[2]Entry!$E$1863)</f>
        <v/>
      </c>
      <c r="AA1860">
        <f>IF([2]Entry!$G$1863="","",[2]Entry!$G$1863)</f>
        <v/>
      </c>
      <c r="AB1860">
        <f>IF([2]Entry!$J$1863="","",[2]Entry!$J$1863)</f>
        <v/>
      </c>
      <c r="AC1860">
        <f>IF([2]Entry!$K$1863="","",[2]Entry!$K$1863)</f>
        <v/>
      </c>
      <c r="AD1860">
        <f>IF([2]Entry!$L$1863="","",[2]Entry!$L$1863)</f>
        <v/>
      </c>
      <c r="AE1860">
        <f>IF([2]Entry!$M$1863="","",[2]Entry!$M$1863)</f>
        <v/>
      </c>
      <c r="AF1860">
        <f>IF([2]Entry!$N$1863="","",[2]Entry!$N$1863)</f>
        <v/>
      </c>
      <c r="AJ1860">
        <f>IF([2]Entry!$S$1863="","",[2]Entry!$S$1863)</f>
        <v/>
      </c>
      <c r="AK1860">
        <f>IF([2]Entry!$C$1863="","",[2]Entry!$C$1863)</f>
        <v/>
      </c>
      <c r="AL1860">
        <f>IF([2]Entry!$D$1863="","",[2]Entry!$D$1863)</f>
        <v/>
      </c>
    </row>
    <row r="1861">
      <c r="Z1861">
        <f>IF([2]Entry!$E$1864="","",[2]Entry!$E$1864)</f>
        <v/>
      </c>
      <c r="AA1861">
        <f>IF([2]Entry!$G$1864="","",[2]Entry!$G$1864)</f>
        <v/>
      </c>
      <c r="AB1861">
        <f>IF([2]Entry!$J$1864="","",[2]Entry!$J$1864)</f>
        <v/>
      </c>
      <c r="AC1861">
        <f>IF([2]Entry!$K$1864="","",[2]Entry!$K$1864)</f>
        <v/>
      </c>
      <c r="AD1861">
        <f>IF([2]Entry!$L$1864="","",[2]Entry!$L$1864)</f>
        <v/>
      </c>
      <c r="AE1861">
        <f>IF([2]Entry!$M$1864="","",[2]Entry!$M$1864)</f>
        <v/>
      </c>
      <c r="AF1861">
        <f>IF([2]Entry!$N$1864="","",[2]Entry!$N$1864)</f>
        <v/>
      </c>
      <c r="AJ1861">
        <f>IF([2]Entry!$S$1864="","",[2]Entry!$S$1864)</f>
        <v/>
      </c>
      <c r="AK1861">
        <f>IF([2]Entry!$C$1864="","",[2]Entry!$C$1864)</f>
        <v/>
      </c>
      <c r="AL1861">
        <f>IF([2]Entry!$D$1864="","",[2]Entry!$D$1864)</f>
        <v/>
      </c>
    </row>
    <row r="1862">
      <c r="Z1862">
        <f>IF([2]Entry!$E$1865="","",[2]Entry!$E$1865)</f>
        <v/>
      </c>
      <c r="AA1862">
        <f>IF([2]Entry!$G$1865="","",[2]Entry!$G$1865)</f>
        <v/>
      </c>
      <c r="AB1862">
        <f>IF([2]Entry!$J$1865="","",[2]Entry!$J$1865)</f>
        <v/>
      </c>
      <c r="AC1862">
        <f>IF([2]Entry!$K$1865="","",[2]Entry!$K$1865)</f>
        <v/>
      </c>
      <c r="AD1862">
        <f>IF([2]Entry!$L$1865="","",[2]Entry!$L$1865)</f>
        <v/>
      </c>
      <c r="AE1862">
        <f>IF([2]Entry!$M$1865="","",[2]Entry!$M$1865)</f>
        <v/>
      </c>
      <c r="AF1862">
        <f>IF([2]Entry!$N$1865="","",[2]Entry!$N$1865)</f>
        <v/>
      </c>
      <c r="AJ1862">
        <f>IF([2]Entry!$S$1865="","",[2]Entry!$S$1865)</f>
        <v/>
      </c>
      <c r="AK1862">
        <f>IF([2]Entry!$C$1865="","",[2]Entry!$C$1865)</f>
        <v/>
      </c>
      <c r="AL1862">
        <f>IF([2]Entry!$D$1865="","",[2]Entry!$D$1865)</f>
        <v/>
      </c>
    </row>
    <row r="1863">
      <c r="Z1863">
        <f>IF([2]Entry!$E$1866="","",[2]Entry!$E$1866)</f>
        <v/>
      </c>
      <c r="AA1863">
        <f>IF([2]Entry!$G$1866="","",[2]Entry!$G$1866)</f>
        <v/>
      </c>
      <c r="AB1863">
        <f>IF([2]Entry!$J$1866="","",[2]Entry!$J$1866)</f>
        <v/>
      </c>
      <c r="AC1863">
        <f>IF([2]Entry!$K$1866="","",[2]Entry!$K$1866)</f>
        <v/>
      </c>
      <c r="AD1863">
        <f>IF([2]Entry!$L$1866="","",[2]Entry!$L$1866)</f>
        <v/>
      </c>
      <c r="AE1863">
        <f>IF([2]Entry!$M$1866="","",[2]Entry!$M$1866)</f>
        <v/>
      </c>
      <c r="AF1863">
        <f>IF([2]Entry!$N$1866="","",[2]Entry!$N$1866)</f>
        <v/>
      </c>
      <c r="AJ1863">
        <f>IF([2]Entry!$S$1866="","",[2]Entry!$S$1866)</f>
        <v/>
      </c>
      <c r="AK1863">
        <f>IF([2]Entry!$C$1866="","",[2]Entry!$C$1866)</f>
        <v/>
      </c>
      <c r="AL1863">
        <f>IF([2]Entry!$D$1866="","",[2]Entry!$D$1866)</f>
        <v/>
      </c>
    </row>
    <row r="1864">
      <c r="Z1864">
        <f>IF([2]Entry!$E$1867="","",[2]Entry!$E$1867)</f>
        <v/>
      </c>
      <c r="AA1864">
        <f>IF([2]Entry!$G$1867="","",[2]Entry!$G$1867)</f>
        <v/>
      </c>
      <c r="AB1864">
        <f>IF([2]Entry!$J$1867="","",[2]Entry!$J$1867)</f>
        <v/>
      </c>
      <c r="AC1864">
        <f>IF([2]Entry!$K$1867="","",[2]Entry!$K$1867)</f>
        <v/>
      </c>
      <c r="AD1864">
        <f>IF([2]Entry!$L$1867="","",[2]Entry!$L$1867)</f>
        <v/>
      </c>
      <c r="AE1864">
        <f>IF([2]Entry!$M$1867="","",[2]Entry!$M$1867)</f>
        <v/>
      </c>
      <c r="AF1864">
        <f>IF([2]Entry!$N$1867="","",[2]Entry!$N$1867)</f>
        <v/>
      </c>
      <c r="AJ1864">
        <f>IF([2]Entry!$S$1867="","",[2]Entry!$S$1867)</f>
        <v/>
      </c>
      <c r="AK1864">
        <f>IF([2]Entry!$C$1867="","",[2]Entry!$C$1867)</f>
        <v/>
      </c>
      <c r="AL1864">
        <f>IF([2]Entry!$D$1867="","",[2]Entry!$D$1867)</f>
        <v/>
      </c>
    </row>
    <row r="1865">
      <c r="Z1865">
        <f>IF([2]Entry!$E$1868="","",[2]Entry!$E$1868)</f>
        <v/>
      </c>
      <c r="AA1865">
        <f>IF([2]Entry!$G$1868="","",[2]Entry!$G$1868)</f>
        <v/>
      </c>
      <c r="AB1865">
        <f>IF([2]Entry!$J$1868="","",[2]Entry!$J$1868)</f>
        <v/>
      </c>
      <c r="AC1865">
        <f>IF([2]Entry!$K$1868="","",[2]Entry!$K$1868)</f>
        <v/>
      </c>
      <c r="AD1865">
        <f>IF([2]Entry!$L$1868="","",[2]Entry!$L$1868)</f>
        <v/>
      </c>
      <c r="AE1865">
        <f>IF([2]Entry!$M$1868="","",[2]Entry!$M$1868)</f>
        <v/>
      </c>
      <c r="AF1865">
        <f>IF([2]Entry!$N$1868="","",[2]Entry!$N$1868)</f>
        <v/>
      </c>
      <c r="AJ1865">
        <f>IF([2]Entry!$S$1868="","",[2]Entry!$S$1868)</f>
        <v/>
      </c>
      <c r="AK1865">
        <f>IF([2]Entry!$C$1868="","",[2]Entry!$C$1868)</f>
        <v/>
      </c>
      <c r="AL1865">
        <f>IF([2]Entry!$D$1868="","",[2]Entry!$D$1868)</f>
        <v/>
      </c>
    </row>
    <row r="1866">
      <c r="Z1866">
        <f>IF([2]Entry!$E$1869="","",[2]Entry!$E$1869)</f>
        <v/>
      </c>
      <c r="AA1866">
        <f>IF([2]Entry!$G$1869="","",[2]Entry!$G$1869)</f>
        <v/>
      </c>
      <c r="AB1866">
        <f>IF([2]Entry!$J$1869="","",[2]Entry!$J$1869)</f>
        <v/>
      </c>
      <c r="AC1866">
        <f>IF([2]Entry!$K$1869="","",[2]Entry!$K$1869)</f>
        <v/>
      </c>
      <c r="AD1866">
        <f>IF([2]Entry!$L$1869="","",[2]Entry!$L$1869)</f>
        <v/>
      </c>
      <c r="AE1866">
        <f>IF([2]Entry!$M$1869="","",[2]Entry!$M$1869)</f>
        <v/>
      </c>
      <c r="AF1866">
        <f>IF([2]Entry!$N$1869="","",[2]Entry!$N$1869)</f>
        <v/>
      </c>
      <c r="AJ1866">
        <f>IF([2]Entry!$S$1869="","",[2]Entry!$S$1869)</f>
        <v/>
      </c>
      <c r="AK1866">
        <f>IF([2]Entry!$C$1869="","",[2]Entry!$C$1869)</f>
        <v/>
      </c>
      <c r="AL1866">
        <f>IF([2]Entry!$D$1869="","",[2]Entry!$D$1869)</f>
        <v/>
      </c>
    </row>
    <row r="1867">
      <c r="Z1867">
        <f>IF([2]Entry!$E$1870="","",[2]Entry!$E$1870)</f>
        <v/>
      </c>
      <c r="AA1867">
        <f>IF([2]Entry!$G$1870="","",[2]Entry!$G$1870)</f>
        <v/>
      </c>
      <c r="AB1867">
        <f>IF([2]Entry!$J$1870="","",[2]Entry!$J$1870)</f>
        <v/>
      </c>
      <c r="AC1867">
        <f>IF([2]Entry!$K$1870="","",[2]Entry!$K$1870)</f>
        <v/>
      </c>
      <c r="AD1867">
        <f>IF([2]Entry!$L$1870="","",[2]Entry!$L$1870)</f>
        <v/>
      </c>
      <c r="AE1867">
        <f>IF([2]Entry!$M$1870="","",[2]Entry!$M$1870)</f>
        <v/>
      </c>
      <c r="AF1867">
        <f>IF([2]Entry!$N$1870="","",[2]Entry!$N$1870)</f>
        <v/>
      </c>
      <c r="AJ1867">
        <f>IF([2]Entry!$S$1870="","",[2]Entry!$S$1870)</f>
        <v/>
      </c>
      <c r="AK1867">
        <f>IF([2]Entry!$C$1870="","",[2]Entry!$C$1870)</f>
        <v/>
      </c>
      <c r="AL1867">
        <f>IF([2]Entry!$D$1870="","",[2]Entry!$D$1870)</f>
        <v/>
      </c>
    </row>
    <row r="1868">
      <c r="Z1868">
        <f>IF([2]Entry!$E$1871="","",[2]Entry!$E$1871)</f>
        <v/>
      </c>
      <c r="AA1868">
        <f>IF([2]Entry!$G$1871="","",[2]Entry!$G$1871)</f>
        <v/>
      </c>
      <c r="AB1868">
        <f>IF([2]Entry!$J$1871="","",[2]Entry!$J$1871)</f>
        <v/>
      </c>
      <c r="AC1868">
        <f>IF([2]Entry!$K$1871="","",[2]Entry!$K$1871)</f>
        <v/>
      </c>
      <c r="AD1868">
        <f>IF([2]Entry!$L$1871="","",[2]Entry!$L$1871)</f>
        <v/>
      </c>
      <c r="AE1868">
        <f>IF([2]Entry!$M$1871="","",[2]Entry!$M$1871)</f>
        <v/>
      </c>
      <c r="AF1868">
        <f>IF([2]Entry!$N$1871="","",[2]Entry!$N$1871)</f>
        <v/>
      </c>
      <c r="AJ1868">
        <f>IF([2]Entry!$S$1871="","",[2]Entry!$S$1871)</f>
        <v/>
      </c>
      <c r="AK1868">
        <f>IF([2]Entry!$C$1871="","",[2]Entry!$C$1871)</f>
        <v/>
      </c>
      <c r="AL1868">
        <f>IF([2]Entry!$D$1871="","",[2]Entry!$D$1871)</f>
        <v/>
      </c>
    </row>
    <row r="1869">
      <c r="Z1869">
        <f>IF([2]Entry!$E$1872="","",[2]Entry!$E$1872)</f>
        <v/>
      </c>
      <c r="AA1869">
        <f>IF([2]Entry!$G$1872="","",[2]Entry!$G$1872)</f>
        <v/>
      </c>
      <c r="AB1869">
        <f>IF([2]Entry!$J$1872="","",[2]Entry!$J$1872)</f>
        <v/>
      </c>
      <c r="AC1869">
        <f>IF([2]Entry!$K$1872="","",[2]Entry!$K$1872)</f>
        <v/>
      </c>
      <c r="AD1869">
        <f>IF([2]Entry!$L$1872="","",[2]Entry!$L$1872)</f>
        <v/>
      </c>
      <c r="AE1869">
        <f>IF([2]Entry!$M$1872="","",[2]Entry!$M$1872)</f>
        <v/>
      </c>
      <c r="AF1869">
        <f>IF([2]Entry!$N$1872="","",[2]Entry!$N$1872)</f>
        <v/>
      </c>
      <c r="AJ1869">
        <f>IF([2]Entry!$S$1872="","",[2]Entry!$S$1872)</f>
        <v/>
      </c>
      <c r="AK1869">
        <f>IF([2]Entry!$C$1872="","",[2]Entry!$C$1872)</f>
        <v/>
      </c>
      <c r="AL1869">
        <f>IF([2]Entry!$D$1872="","",[2]Entry!$D$1872)</f>
        <v/>
      </c>
    </row>
    <row r="1870">
      <c r="Z1870">
        <f>IF([2]Entry!$E$1873="","",[2]Entry!$E$1873)</f>
        <v/>
      </c>
      <c r="AA1870">
        <f>IF([2]Entry!$G$1873="","",[2]Entry!$G$1873)</f>
        <v/>
      </c>
      <c r="AB1870">
        <f>IF([2]Entry!$J$1873="","",[2]Entry!$J$1873)</f>
        <v/>
      </c>
      <c r="AC1870">
        <f>IF([2]Entry!$K$1873="","",[2]Entry!$K$1873)</f>
        <v/>
      </c>
      <c r="AD1870">
        <f>IF([2]Entry!$L$1873="","",[2]Entry!$L$1873)</f>
        <v/>
      </c>
      <c r="AE1870">
        <f>IF([2]Entry!$M$1873="","",[2]Entry!$M$1873)</f>
        <v/>
      </c>
      <c r="AF1870">
        <f>IF([2]Entry!$N$1873="","",[2]Entry!$N$1873)</f>
        <v/>
      </c>
      <c r="AJ1870">
        <f>IF([2]Entry!$S$1873="","",[2]Entry!$S$1873)</f>
        <v/>
      </c>
      <c r="AK1870">
        <f>IF([2]Entry!$C$1873="","",[2]Entry!$C$1873)</f>
        <v/>
      </c>
      <c r="AL1870">
        <f>IF([2]Entry!$D$1873="","",[2]Entry!$D$1873)</f>
        <v/>
      </c>
    </row>
    <row r="1871">
      <c r="Z1871">
        <f>IF([2]Entry!$E$1874="","",[2]Entry!$E$1874)</f>
        <v/>
      </c>
      <c r="AA1871">
        <f>IF([2]Entry!$G$1874="","",[2]Entry!$G$1874)</f>
        <v/>
      </c>
      <c r="AB1871">
        <f>IF([2]Entry!$J$1874="","",[2]Entry!$J$1874)</f>
        <v/>
      </c>
      <c r="AC1871">
        <f>IF([2]Entry!$K$1874="","",[2]Entry!$K$1874)</f>
        <v/>
      </c>
      <c r="AD1871">
        <f>IF([2]Entry!$L$1874="","",[2]Entry!$L$1874)</f>
        <v/>
      </c>
      <c r="AE1871">
        <f>IF([2]Entry!$M$1874="","",[2]Entry!$M$1874)</f>
        <v/>
      </c>
      <c r="AF1871">
        <f>IF([2]Entry!$N$1874="","",[2]Entry!$N$1874)</f>
        <v/>
      </c>
      <c r="AJ1871">
        <f>IF([2]Entry!$S$1874="","",[2]Entry!$S$1874)</f>
        <v/>
      </c>
      <c r="AK1871">
        <f>IF([2]Entry!$C$1874="","",[2]Entry!$C$1874)</f>
        <v/>
      </c>
      <c r="AL1871">
        <f>IF([2]Entry!$D$1874="","",[2]Entry!$D$1874)</f>
        <v/>
      </c>
    </row>
    <row r="1872">
      <c r="Z1872">
        <f>IF([2]Entry!$E$1875="","",[2]Entry!$E$1875)</f>
        <v/>
      </c>
      <c r="AA1872">
        <f>IF([2]Entry!$G$1875="","",[2]Entry!$G$1875)</f>
        <v/>
      </c>
      <c r="AB1872">
        <f>IF([2]Entry!$J$1875="","",[2]Entry!$J$1875)</f>
        <v/>
      </c>
      <c r="AC1872">
        <f>IF([2]Entry!$K$1875="","",[2]Entry!$K$1875)</f>
        <v/>
      </c>
      <c r="AD1872">
        <f>IF([2]Entry!$L$1875="","",[2]Entry!$L$1875)</f>
        <v/>
      </c>
      <c r="AE1872">
        <f>IF([2]Entry!$M$1875="","",[2]Entry!$M$1875)</f>
        <v/>
      </c>
      <c r="AF1872">
        <f>IF([2]Entry!$N$1875="","",[2]Entry!$N$1875)</f>
        <v/>
      </c>
      <c r="AJ1872">
        <f>IF([2]Entry!$S$1875="","",[2]Entry!$S$1875)</f>
        <v/>
      </c>
      <c r="AK1872">
        <f>IF([2]Entry!$C$1875="","",[2]Entry!$C$1875)</f>
        <v/>
      </c>
      <c r="AL1872">
        <f>IF([2]Entry!$D$1875="","",[2]Entry!$D$1875)</f>
        <v/>
      </c>
    </row>
    <row r="1873">
      <c r="Z1873">
        <f>IF([2]Entry!$E$1876="","",[2]Entry!$E$1876)</f>
        <v/>
      </c>
      <c r="AA1873">
        <f>IF([2]Entry!$G$1876="","",[2]Entry!$G$1876)</f>
        <v/>
      </c>
      <c r="AB1873">
        <f>IF([2]Entry!$J$1876="","",[2]Entry!$J$1876)</f>
        <v/>
      </c>
      <c r="AC1873">
        <f>IF([2]Entry!$K$1876="","",[2]Entry!$K$1876)</f>
        <v/>
      </c>
      <c r="AD1873">
        <f>IF([2]Entry!$L$1876="","",[2]Entry!$L$1876)</f>
        <v/>
      </c>
      <c r="AE1873">
        <f>IF([2]Entry!$M$1876="","",[2]Entry!$M$1876)</f>
        <v/>
      </c>
      <c r="AF1873">
        <f>IF([2]Entry!$N$1876="","",[2]Entry!$N$1876)</f>
        <v/>
      </c>
      <c r="AJ1873">
        <f>IF([2]Entry!$S$1876="","",[2]Entry!$S$1876)</f>
        <v/>
      </c>
      <c r="AK1873">
        <f>IF([2]Entry!$C$1876="","",[2]Entry!$C$1876)</f>
        <v/>
      </c>
      <c r="AL1873">
        <f>IF([2]Entry!$D$1876="","",[2]Entry!$D$1876)</f>
        <v/>
      </c>
    </row>
    <row r="1874">
      <c r="Z1874">
        <f>IF([2]Entry!$E$1877="","",[2]Entry!$E$1877)</f>
        <v/>
      </c>
      <c r="AA1874">
        <f>IF([2]Entry!$G$1877="","",[2]Entry!$G$1877)</f>
        <v/>
      </c>
      <c r="AB1874">
        <f>IF([2]Entry!$J$1877="","",[2]Entry!$J$1877)</f>
        <v/>
      </c>
      <c r="AC1874">
        <f>IF([2]Entry!$K$1877="","",[2]Entry!$K$1877)</f>
        <v/>
      </c>
      <c r="AD1874">
        <f>IF([2]Entry!$L$1877="","",[2]Entry!$L$1877)</f>
        <v/>
      </c>
      <c r="AE1874">
        <f>IF([2]Entry!$M$1877="","",[2]Entry!$M$1877)</f>
        <v/>
      </c>
      <c r="AF1874">
        <f>IF([2]Entry!$N$1877="","",[2]Entry!$N$1877)</f>
        <v/>
      </c>
      <c r="AJ1874">
        <f>IF([2]Entry!$S$1877="","",[2]Entry!$S$1877)</f>
        <v/>
      </c>
      <c r="AK1874">
        <f>IF([2]Entry!$C$1877="","",[2]Entry!$C$1877)</f>
        <v/>
      </c>
      <c r="AL1874">
        <f>IF([2]Entry!$D$1877="","",[2]Entry!$D$1877)</f>
        <v/>
      </c>
    </row>
    <row r="1875">
      <c r="Z1875">
        <f>IF([2]Entry!$E$1878="","",[2]Entry!$E$1878)</f>
        <v/>
      </c>
      <c r="AA1875">
        <f>IF([2]Entry!$G$1878="","",[2]Entry!$G$1878)</f>
        <v/>
      </c>
      <c r="AB1875">
        <f>IF([2]Entry!$J$1878="","",[2]Entry!$J$1878)</f>
        <v/>
      </c>
      <c r="AC1875">
        <f>IF([2]Entry!$K$1878="","",[2]Entry!$K$1878)</f>
        <v/>
      </c>
      <c r="AD1875">
        <f>IF([2]Entry!$L$1878="","",[2]Entry!$L$1878)</f>
        <v/>
      </c>
      <c r="AE1875">
        <f>IF([2]Entry!$M$1878="","",[2]Entry!$M$1878)</f>
        <v/>
      </c>
      <c r="AF1875">
        <f>IF([2]Entry!$N$1878="","",[2]Entry!$N$1878)</f>
        <v/>
      </c>
      <c r="AJ1875">
        <f>IF([2]Entry!$S$1878="","",[2]Entry!$S$1878)</f>
        <v/>
      </c>
      <c r="AK1875">
        <f>IF([2]Entry!$C$1878="","",[2]Entry!$C$1878)</f>
        <v/>
      </c>
      <c r="AL1875">
        <f>IF([2]Entry!$D$1878="","",[2]Entry!$D$1878)</f>
        <v/>
      </c>
    </row>
    <row r="1876">
      <c r="Z1876">
        <f>IF([2]Entry!$E$1879="","",[2]Entry!$E$1879)</f>
        <v/>
      </c>
      <c r="AA1876">
        <f>IF([2]Entry!$G$1879="","",[2]Entry!$G$1879)</f>
        <v/>
      </c>
      <c r="AB1876">
        <f>IF([2]Entry!$J$1879="","",[2]Entry!$J$1879)</f>
        <v/>
      </c>
      <c r="AC1876">
        <f>IF([2]Entry!$K$1879="","",[2]Entry!$K$1879)</f>
        <v/>
      </c>
      <c r="AD1876">
        <f>IF([2]Entry!$L$1879="","",[2]Entry!$L$1879)</f>
        <v/>
      </c>
      <c r="AE1876">
        <f>IF([2]Entry!$M$1879="","",[2]Entry!$M$1879)</f>
        <v/>
      </c>
      <c r="AF1876">
        <f>IF([2]Entry!$N$1879="","",[2]Entry!$N$1879)</f>
        <v/>
      </c>
      <c r="AJ1876">
        <f>IF([2]Entry!$S$1879="","",[2]Entry!$S$1879)</f>
        <v/>
      </c>
      <c r="AK1876">
        <f>IF([2]Entry!$C$1879="","",[2]Entry!$C$1879)</f>
        <v/>
      </c>
      <c r="AL1876">
        <f>IF([2]Entry!$D$1879="","",[2]Entry!$D$1879)</f>
        <v/>
      </c>
    </row>
    <row r="1877">
      <c r="Z1877">
        <f>IF([2]Entry!$E$1880="","",[2]Entry!$E$1880)</f>
        <v/>
      </c>
      <c r="AA1877">
        <f>IF([2]Entry!$G$1880="","",[2]Entry!$G$1880)</f>
        <v/>
      </c>
      <c r="AB1877">
        <f>IF([2]Entry!$J$1880="","",[2]Entry!$J$1880)</f>
        <v/>
      </c>
      <c r="AC1877">
        <f>IF([2]Entry!$K$1880="","",[2]Entry!$K$1880)</f>
        <v/>
      </c>
      <c r="AD1877">
        <f>IF([2]Entry!$L$1880="","",[2]Entry!$L$1880)</f>
        <v/>
      </c>
      <c r="AE1877">
        <f>IF([2]Entry!$M$1880="","",[2]Entry!$M$1880)</f>
        <v/>
      </c>
      <c r="AF1877">
        <f>IF([2]Entry!$N$1880="","",[2]Entry!$N$1880)</f>
        <v/>
      </c>
      <c r="AJ1877">
        <f>IF([2]Entry!$S$1880="","",[2]Entry!$S$1880)</f>
        <v/>
      </c>
      <c r="AK1877">
        <f>IF([2]Entry!$C$1880="","",[2]Entry!$C$1880)</f>
        <v/>
      </c>
      <c r="AL1877">
        <f>IF([2]Entry!$D$1880="","",[2]Entry!$D$1880)</f>
        <v/>
      </c>
    </row>
    <row r="1878">
      <c r="Z1878">
        <f>IF([2]Entry!$E$1881="","",[2]Entry!$E$1881)</f>
        <v/>
      </c>
      <c r="AA1878">
        <f>IF([2]Entry!$G$1881="","",[2]Entry!$G$1881)</f>
        <v/>
      </c>
      <c r="AB1878">
        <f>IF([2]Entry!$J$1881="","",[2]Entry!$J$1881)</f>
        <v/>
      </c>
      <c r="AC1878">
        <f>IF([2]Entry!$K$1881="","",[2]Entry!$K$1881)</f>
        <v/>
      </c>
      <c r="AD1878">
        <f>IF([2]Entry!$L$1881="","",[2]Entry!$L$1881)</f>
        <v/>
      </c>
      <c r="AE1878">
        <f>IF([2]Entry!$M$1881="","",[2]Entry!$M$1881)</f>
        <v/>
      </c>
      <c r="AF1878">
        <f>IF([2]Entry!$N$1881="","",[2]Entry!$N$1881)</f>
        <v/>
      </c>
      <c r="AJ1878">
        <f>IF([2]Entry!$S$1881="","",[2]Entry!$S$1881)</f>
        <v/>
      </c>
      <c r="AK1878">
        <f>IF([2]Entry!$C$1881="","",[2]Entry!$C$1881)</f>
        <v/>
      </c>
      <c r="AL1878">
        <f>IF([2]Entry!$D$1881="","",[2]Entry!$D$1881)</f>
        <v/>
      </c>
    </row>
    <row r="1879">
      <c r="Z1879">
        <f>IF([2]Entry!$E$1882="","",[2]Entry!$E$1882)</f>
        <v/>
      </c>
      <c r="AA1879">
        <f>IF([2]Entry!$G$1882="","",[2]Entry!$G$1882)</f>
        <v/>
      </c>
      <c r="AB1879">
        <f>IF([2]Entry!$J$1882="","",[2]Entry!$J$1882)</f>
        <v/>
      </c>
      <c r="AC1879">
        <f>IF([2]Entry!$K$1882="","",[2]Entry!$K$1882)</f>
        <v/>
      </c>
      <c r="AD1879">
        <f>IF([2]Entry!$L$1882="","",[2]Entry!$L$1882)</f>
        <v/>
      </c>
      <c r="AE1879">
        <f>IF([2]Entry!$M$1882="","",[2]Entry!$M$1882)</f>
        <v/>
      </c>
      <c r="AF1879">
        <f>IF([2]Entry!$N$1882="","",[2]Entry!$N$1882)</f>
        <v/>
      </c>
      <c r="AJ1879">
        <f>IF([2]Entry!$S$1882="","",[2]Entry!$S$1882)</f>
        <v/>
      </c>
      <c r="AK1879">
        <f>IF([2]Entry!$C$1882="","",[2]Entry!$C$1882)</f>
        <v/>
      </c>
      <c r="AL1879">
        <f>IF([2]Entry!$D$1882="","",[2]Entry!$D$1882)</f>
        <v/>
      </c>
    </row>
    <row r="1880">
      <c r="Z1880">
        <f>IF([2]Entry!$E$1883="","",[2]Entry!$E$1883)</f>
        <v/>
      </c>
      <c r="AA1880">
        <f>IF([2]Entry!$G$1883="","",[2]Entry!$G$1883)</f>
        <v/>
      </c>
      <c r="AB1880">
        <f>IF([2]Entry!$J$1883="","",[2]Entry!$J$1883)</f>
        <v/>
      </c>
      <c r="AC1880">
        <f>IF([2]Entry!$K$1883="","",[2]Entry!$K$1883)</f>
        <v/>
      </c>
      <c r="AD1880">
        <f>IF([2]Entry!$L$1883="","",[2]Entry!$L$1883)</f>
        <v/>
      </c>
      <c r="AE1880">
        <f>IF([2]Entry!$M$1883="","",[2]Entry!$M$1883)</f>
        <v/>
      </c>
      <c r="AF1880">
        <f>IF([2]Entry!$N$1883="","",[2]Entry!$N$1883)</f>
        <v/>
      </c>
      <c r="AJ1880">
        <f>IF([2]Entry!$S$1883="","",[2]Entry!$S$1883)</f>
        <v/>
      </c>
      <c r="AK1880">
        <f>IF([2]Entry!$C$1883="","",[2]Entry!$C$1883)</f>
        <v/>
      </c>
      <c r="AL1880">
        <f>IF([2]Entry!$D$1883="","",[2]Entry!$D$1883)</f>
        <v/>
      </c>
    </row>
    <row r="1881">
      <c r="Z1881">
        <f>IF([2]Entry!$E$1884="","",[2]Entry!$E$1884)</f>
        <v/>
      </c>
      <c r="AA1881">
        <f>IF([2]Entry!$G$1884="","",[2]Entry!$G$1884)</f>
        <v/>
      </c>
      <c r="AB1881">
        <f>IF([2]Entry!$J$1884="","",[2]Entry!$J$1884)</f>
        <v/>
      </c>
      <c r="AC1881">
        <f>IF([2]Entry!$K$1884="","",[2]Entry!$K$1884)</f>
        <v/>
      </c>
      <c r="AD1881">
        <f>IF([2]Entry!$L$1884="","",[2]Entry!$L$1884)</f>
        <v/>
      </c>
      <c r="AE1881">
        <f>IF([2]Entry!$M$1884="","",[2]Entry!$M$1884)</f>
        <v/>
      </c>
      <c r="AF1881">
        <f>IF([2]Entry!$N$1884="","",[2]Entry!$N$1884)</f>
        <v/>
      </c>
      <c r="AJ1881">
        <f>IF([2]Entry!$S$1884="","",[2]Entry!$S$1884)</f>
        <v/>
      </c>
      <c r="AK1881">
        <f>IF([2]Entry!$C$1884="","",[2]Entry!$C$1884)</f>
        <v/>
      </c>
      <c r="AL1881">
        <f>IF([2]Entry!$D$1884="","",[2]Entry!$D$1884)</f>
        <v/>
      </c>
    </row>
    <row r="1882">
      <c r="Z1882">
        <f>IF([2]Entry!$E$1885="","",[2]Entry!$E$1885)</f>
        <v/>
      </c>
      <c r="AA1882">
        <f>IF([2]Entry!$G$1885="","",[2]Entry!$G$1885)</f>
        <v/>
      </c>
      <c r="AB1882">
        <f>IF([2]Entry!$J$1885="","",[2]Entry!$J$1885)</f>
        <v/>
      </c>
      <c r="AC1882">
        <f>IF([2]Entry!$K$1885="","",[2]Entry!$K$1885)</f>
        <v/>
      </c>
      <c r="AD1882">
        <f>IF([2]Entry!$L$1885="","",[2]Entry!$L$1885)</f>
        <v/>
      </c>
      <c r="AE1882">
        <f>IF([2]Entry!$M$1885="","",[2]Entry!$M$1885)</f>
        <v/>
      </c>
      <c r="AF1882">
        <f>IF([2]Entry!$N$1885="","",[2]Entry!$N$1885)</f>
        <v/>
      </c>
      <c r="AJ1882">
        <f>IF([2]Entry!$S$1885="","",[2]Entry!$S$1885)</f>
        <v/>
      </c>
      <c r="AK1882">
        <f>IF([2]Entry!$C$1885="","",[2]Entry!$C$1885)</f>
        <v/>
      </c>
      <c r="AL1882">
        <f>IF([2]Entry!$D$1885="","",[2]Entry!$D$1885)</f>
        <v/>
      </c>
    </row>
    <row r="1883">
      <c r="Z1883">
        <f>IF([2]Entry!$E$1886="","",[2]Entry!$E$1886)</f>
        <v/>
      </c>
      <c r="AA1883">
        <f>IF([2]Entry!$G$1886="","",[2]Entry!$G$1886)</f>
        <v/>
      </c>
      <c r="AB1883">
        <f>IF([2]Entry!$J$1886="","",[2]Entry!$J$1886)</f>
        <v/>
      </c>
      <c r="AC1883">
        <f>IF([2]Entry!$K$1886="","",[2]Entry!$K$1886)</f>
        <v/>
      </c>
      <c r="AD1883">
        <f>IF([2]Entry!$L$1886="","",[2]Entry!$L$1886)</f>
        <v/>
      </c>
      <c r="AE1883">
        <f>IF([2]Entry!$M$1886="","",[2]Entry!$M$1886)</f>
        <v/>
      </c>
      <c r="AF1883">
        <f>IF([2]Entry!$N$1886="","",[2]Entry!$N$1886)</f>
        <v/>
      </c>
      <c r="AJ1883">
        <f>IF([2]Entry!$S$1886="","",[2]Entry!$S$1886)</f>
        <v/>
      </c>
      <c r="AK1883">
        <f>IF([2]Entry!$C$1886="","",[2]Entry!$C$1886)</f>
        <v/>
      </c>
      <c r="AL1883">
        <f>IF([2]Entry!$D$1886="","",[2]Entry!$D$1886)</f>
        <v/>
      </c>
    </row>
    <row r="1884">
      <c r="Z1884">
        <f>IF([2]Entry!$E$1887="","",[2]Entry!$E$1887)</f>
        <v/>
      </c>
      <c r="AA1884">
        <f>IF([2]Entry!$G$1887="","",[2]Entry!$G$1887)</f>
        <v/>
      </c>
      <c r="AB1884">
        <f>IF([2]Entry!$J$1887="","",[2]Entry!$J$1887)</f>
        <v/>
      </c>
      <c r="AC1884">
        <f>IF([2]Entry!$K$1887="","",[2]Entry!$K$1887)</f>
        <v/>
      </c>
      <c r="AD1884">
        <f>IF([2]Entry!$L$1887="","",[2]Entry!$L$1887)</f>
        <v/>
      </c>
      <c r="AE1884">
        <f>IF([2]Entry!$M$1887="","",[2]Entry!$M$1887)</f>
        <v/>
      </c>
      <c r="AF1884">
        <f>IF([2]Entry!$N$1887="","",[2]Entry!$N$1887)</f>
        <v/>
      </c>
      <c r="AJ1884">
        <f>IF([2]Entry!$S$1887="","",[2]Entry!$S$1887)</f>
        <v/>
      </c>
      <c r="AK1884">
        <f>IF([2]Entry!$C$1887="","",[2]Entry!$C$1887)</f>
        <v/>
      </c>
      <c r="AL1884">
        <f>IF([2]Entry!$D$1887="","",[2]Entry!$D$1887)</f>
        <v/>
      </c>
    </row>
    <row r="1885">
      <c r="Z1885">
        <f>IF([2]Entry!$E$1888="","",[2]Entry!$E$1888)</f>
        <v/>
      </c>
      <c r="AA1885">
        <f>IF([2]Entry!$G$1888="","",[2]Entry!$G$1888)</f>
        <v/>
      </c>
      <c r="AB1885">
        <f>IF([2]Entry!$J$1888="","",[2]Entry!$J$1888)</f>
        <v/>
      </c>
      <c r="AC1885">
        <f>IF([2]Entry!$K$1888="","",[2]Entry!$K$1888)</f>
        <v/>
      </c>
      <c r="AD1885">
        <f>IF([2]Entry!$L$1888="","",[2]Entry!$L$1888)</f>
        <v/>
      </c>
      <c r="AE1885">
        <f>IF([2]Entry!$M$1888="","",[2]Entry!$M$1888)</f>
        <v/>
      </c>
      <c r="AF1885">
        <f>IF([2]Entry!$N$1888="","",[2]Entry!$N$1888)</f>
        <v/>
      </c>
      <c r="AJ1885">
        <f>IF([2]Entry!$S$1888="","",[2]Entry!$S$1888)</f>
        <v/>
      </c>
      <c r="AK1885">
        <f>IF([2]Entry!$C$1888="","",[2]Entry!$C$1888)</f>
        <v/>
      </c>
      <c r="AL1885">
        <f>IF([2]Entry!$D$1888="","",[2]Entry!$D$1888)</f>
        <v/>
      </c>
    </row>
    <row r="1886">
      <c r="Z1886">
        <f>IF([2]Entry!$E$1889="","",[2]Entry!$E$1889)</f>
        <v/>
      </c>
      <c r="AA1886">
        <f>IF([2]Entry!$G$1889="","",[2]Entry!$G$1889)</f>
        <v/>
      </c>
      <c r="AB1886">
        <f>IF([2]Entry!$J$1889="","",[2]Entry!$J$1889)</f>
        <v/>
      </c>
      <c r="AC1886">
        <f>IF([2]Entry!$K$1889="","",[2]Entry!$K$1889)</f>
        <v/>
      </c>
      <c r="AD1886">
        <f>IF([2]Entry!$L$1889="","",[2]Entry!$L$1889)</f>
        <v/>
      </c>
      <c r="AE1886">
        <f>IF([2]Entry!$M$1889="","",[2]Entry!$M$1889)</f>
        <v/>
      </c>
      <c r="AF1886">
        <f>IF([2]Entry!$N$1889="","",[2]Entry!$N$1889)</f>
        <v/>
      </c>
      <c r="AJ1886">
        <f>IF([2]Entry!$S$1889="","",[2]Entry!$S$1889)</f>
        <v/>
      </c>
      <c r="AK1886">
        <f>IF([2]Entry!$C$1889="","",[2]Entry!$C$1889)</f>
        <v/>
      </c>
      <c r="AL1886">
        <f>IF([2]Entry!$D$1889="","",[2]Entry!$D$1889)</f>
        <v/>
      </c>
    </row>
    <row r="1887">
      <c r="Z1887">
        <f>IF([2]Entry!$E$1890="","",[2]Entry!$E$1890)</f>
        <v/>
      </c>
      <c r="AA1887">
        <f>IF([2]Entry!$G$1890="","",[2]Entry!$G$1890)</f>
        <v/>
      </c>
      <c r="AB1887">
        <f>IF([2]Entry!$J$1890="","",[2]Entry!$J$1890)</f>
        <v/>
      </c>
      <c r="AC1887">
        <f>IF([2]Entry!$K$1890="","",[2]Entry!$K$1890)</f>
        <v/>
      </c>
      <c r="AD1887">
        <f>IF([2]Entry!$L$1890="","",[2]Entry!$L$1890)</f>
        <v/>
      </c>
      <c r="AE1887">
        <f>IF([2]Entry!$M$1890="","",[2]Entry!$M$1890)</f>
        <v/>
      </c>
      <c r="AF1887">
        <f>IF([2]Entry!$N$1890="","",[2]Entry!$N$1890)</f>
        <v/>
      </c>
      <c r="AJ1887">
        <f>IF([2]Entry!$S$1890="","",[2]Entry!$S$1890)</f>
        <v/>
      </c>
      <c r="AK1887">
        <f>IF([2]Entry!$C$1890="","",[2]Entry!$C$1890)</f>
        <v/>
      </c>
      <c r="AL1887">
        <f>IF([2]Entry!$D$1890="","",[2]Entry!$D$1890)</f>
        <v/>
      </c>
    </row>
    <row r="1888">
      <c r="Z1888">
        <f>IF([2]Entry!$E$1891="","",[2]Entry!$E$1891)</f>
        <v/>
      </c>
      <c r="AA1888">
        <f>IF([2]Entry!$G$1891="","",[2]Entry!$G$1891)</f>
        <v/>
      </c>
      <c r="AB1888">
        <f>IF([2]Entry!$J$1891="","",[2]Entry!$J$1891)</f>
        <v/>
      </c>
      <c r="AC1888">
        <f>IF([2]Entry!$K$1891="","",[2]Entry!$K$1891)</f>
        <v/>
      </c>
      <c r="AD1888">
        <f>IF([2]Entry!$L$1891="","",[2]Entry!$L$1891)</f>
        <v/>
      </c>
      <c r="AE1888">
        <f>IF([2]Entry!$M$1891="","",[2]Entry!$M$1891)</f>
        <v/>
      </c>
      <c r="AF1888">
        <f>IF([2]Entry!$N$1891="","",[2]Entry!$N$1891)</f>
        <v/>
      </c>
      <c r="AJ1888">
        <f>IF([2]Entry!$S$1891="","",[2]Entry!$S$1891)</f>
        <v/>
      </c>
      <c r="AK1888">
        <f>IF([2]Entry!$C$1891="","",[2]Entry!$C$1891)</f>
        <v/>
      </c>
      <c r="AL1888">
        <f>IF([2]Entry!$D$1891="","",[2]Entry!$D$1891)</f>
        <v/>
      </c>
    </row>
    <row r="1889">
      <c r="Z1889">
        <f>IF([2]Entry!$E$1892="","",[2]Entry!$E$1892)</f>
        <v/>
      </c>
      <c r="AA1889">
        <f>IF([2]Entry!$G$1892="","",[2]Entry!$G$1892)</f>
        <v/>
      </c>
      <c r="AB1889">
        <f>IF([2]Entry!$J$1892="","",[2]Entry!$J$1892)</f>
        <v/>
      </c>
      <c r="AC1889">
        <f>IF([2]Entry!$K$1892="","",[2]Entry!$K$1892)</f>
        <v/>
      </c>
      <c r="AD1889">
        <f>IF([2]Entry!$L$1892="","",[2]Entry!$L$1892)</f>
        <v/>
      </c>
      <c r="AE1889">
        <f>IF([2]Entry!$M$1892="","",[2]Entry!$M$1892)</f>
        <v/>
      </c>
      <c r="AF1889">
        <f>IF([2]Entry!$N$1892="","",[2]Entry!$N$1892)</f>
        <v/>
      </c>
      <c r="AJ1889">
        <f>IF([2]Entry!$S$1892="","",[2]Entry!$S$1892)</f>
        <v/>
      </c>
      <c r="AK1889">
        <f>IF([2]Entry!$C$1892="","",[2]Entry!$C$1892)</f>
        <v/>
      </c>
      <c r="AL1889">
        <f>IF([2]Entry!$D$1892="","",[2]Entry!$D$1892)</f>
        <v/>
      </c>
    </row>
    <row r="1890">
      <c r="Z1890">
        <f>IF([2]Entry!$E$1893="","",[2]Entry!$E$1893)</f>
        <v/>
      </c>
      <c r="AA1890">
        <f>IF([2]Entry!$G$1893="","",[2]Entry!$G$1893)</f>
        <v/>
      </c>
      <c r="AB1890">
        <f>IF([2]Entry!$J$1893="","",[2]Entry!$J$1893)</f>
        <v/>
      </c>
      <c r="AC1890">
        <f>IF([2]Entry!$K$1893="","",[2]Entry!$K$1893)</f>
        <v/>
      </c>
      <c r="AD1890">
        <f>IF([2]Entry!$L$1893="","",[2]Entry!$L$1893)</f>
        <v/>
      </c>
      <c r="AE1890">
        <f>IF([2]Entry!$M$1893="","",[2]Entry!$M$1893)</f>
        <v/>
      </c>
      <c r="AF1890">
        <f>IF([2]Entry!$N$1893="","",[2]Entry!$N$1893)</f>
        <v/>
      </c>
      <c r="AJ1890">
        <f>IF([2]Entry!$S$1893="","",[2]Entry!$S$1893)</f>
        <v/>
      </c>
      <c r="AK1890">
        <f>IF([2]Entry!$C$1893="","",[2]Entry!$C$1893)</f>
        <v/>
      </c>
      <c r="AL1890">
        <f>IF([2]Entry!$D$1893="","",[2]Entry!$D$1893)</f>
        <v/>
      </c>
    </row>
    <row r="1891">
      <c r="Z1891">
        <f>IF([2]Entry!$E$1894="","",[2]Entry!$E$1894)</f>
        <v/>
      </c>
      <c r="AA1891">
        <f>IF([2]Entry!$G$1894="","",[2]Entry!$G$1894)</f>
        <v/>
      </c>
      <c r="AB1891">
        <f>IF([2]Entry!$J$1894="","",[2]Entry!$J$1894)</f>
        <v/>
      </c>
      <c r="AC1891">
        <f>IF([2]Entry!$K$1894="","",[2]Entry!$K$1894)</f>
        <v/>
      </c>
      <c r="AD1891">
        <f>IF([2]Entry!$L$1894="","",[2]Entry!$L$1894)</f>
        <v/>
      </c>
      <c r="AE1891">
        <f>IF([2]Entry!$M$1894="","",[2]Entry!$M$1894)</f>
        <v/>
      </c>
      <c r="AF1891">
        <f>IF([2]Entry!$N$1894="","",[2]Entry!$N$1894)</f>
        <v/>
      </c>
      <c r="AJ1891">
        <f>IF([2]Entry!$S$1894="","",[2]Entry!$S$1894)</f>
        <v/>
      </c>
      <c r="AK1891">
        <f>IF([2]Entry!$C$1894="","",[2]Entry!$C$1894)</f>
        <v/>
      </c>
      <c r="AL1891">
        <f>IF([2]Entry!$D$1894="","",[2]Entry!$D$1894)</f>
        <v/>
      </c>
    </row>
    <row r="1892">
      <c r="Z1892">
        <f>IF([2]Entry!$E$1895="","",[2]Entry!$E$1895)</f>
        <v/>
      </c>
      <c r="AA1892">
        <f>IF([2]Entry!$G$1895="","",[2]Entry!$G$1895)</f>
        <v/>
      </c>
      <c r="AB1892">
        <f>IF([2]Entry!$J$1895="","",[2]Entry!$J$1895)</f>
        <v/>
      </c>
      <c r="AC1892">
        <f>IF([2]Entry!$K$1895="","",[2]Entry!$K$1895)</f>
        <v/>
      </c>
      <c r="AD1892">
        <f>IF([2]Entry!$L$1895="","",[2]Entry!$L$1895)</f>
        <v/>
      </c>
      <c r="AE1892">
        <f>IF([2]Entry!$M$1895="","",[2]Entry!$M$1895)</f>
        <v/>
      </c>
      <c r="AF1892">
        <f>IF([2]Entry!$N$1895="","",[2]Entry!$N$1895)</f>
        <v/>
      </c>
      <c r="AJ1892">
        <f>IF([2]Entry!$S$1895="","",[2]Entry!$S$1895)</f>
        <v/>
      </c>
      <c r="AK1892">
        <f>IF([2]Entry!$C$1895="","",[2]Entry!$C$1895)</f>
        <v/>
      </c>
      <c r="AL1892">
        <f>IF([2]Entry!$D$1895="","",[2]Entry!$D$1895)</f>
        <v/>
      </c>
    </row>
    <row r="1893">
      <c r="Z1893">
        <f>IF([2]Entry!$E$1896="","",[2]Entry!$E$1896)</f>
        <v/>
      </c>
      <c r="AA1893">
        <f>IF([2]Entry!$G$1896="","",[2]Entry!$G$1896)</f>
        <v/>
      </c>
      <c r="AB1893">
        <f>IF([2]Entry!$J$1896="","",[2]Entry!$J$1896)</f>
        <v/>
      </c>
      <c r="AC1893">
        <f>IF([2]Entry!$K$1896="","",[2]Entry!$K$1896)</f>
        <v/>
      </c>
      <c r="AD1893">
        <f>IF([2]Entry!$L$1896="","",[2]Entry!$L$1896)</f>
        <v/>
      </c>
      <c r="AE1893">
        <f>IF([2]Entry!$M$1896="","",[2]Entry!$M$1896)</f>
        <v/>
      </c>
      <c r="AF1893">
        <f>IF([2]Entry!$N$1896="","",[2]Entry!$N$1896)</f>
        <v/>
      </c>
      <c r="AJ1893">
        <f>IF([2]Entry!$S$1896="","",[2]Entry!$S$1896)</f>
        <v/>
      </c>
      <c r="AK1893">
        <f>IF([2]Entry!$C$1896="","",[2]Entry!$C$1896)</f>
        <v/>
      </c>
      <c r="AL1893">
        <f>IF([2]Entry!$D$1896="","",[2]Entry!$D$1896)</f>
        <v/>
      </c>
    </row>
    <row r="1894">
      <c r="Z1894">
        <f>IF([2]Entry!$E$1897="","",[2]Entry!$E$1897)</f>
        <v/>
      </c>
      <c r="AA1894">
        <f>IF([2]Entry!$G$1897="","",[2]Entry!$G$1897)</f>
        <v/>
      </c>
      <c r="AB1894">
        <f>IF([2]Entry!$J$1897="","",[2]Entry!$J$1897)</f>
        <v/>
      </c>
      <c r="AC1894">
        <f>IF([2]Entry!$K$1897="","",[2]Entry!$K$1897)</f>
        <v/>
      </c>
      <c r="AD1894">
        <f>IF([2]Entry!$L$1897="","",[2]Entry!$L$1897)</f>
        <v/>
      </c>
      <c r="AE1894">
        <f>IF([2]Entry!$M$1897="","",[2]Entry!$M$1897)</f>
        <v/>
      </c>
      <c r="AF1894">
        <f>IF([2]Entry!$N$1897="","",[2]Entry!$N$1897)</f>
        <v/>
      </c>
      <c r="AJ1894">
        <f>IF([2]Entry!$S$1897="","",[2]Entry!$S$1897)</f>
        <v/>
      </c>
      <c r="AK1894">
        <f>IF([2]Entry!$C$1897="","",[2]Entry!$C$1897)</f>
        <v/>
      </c>
      <c r="AL1894">
        <f>IF([2]Entry!$D$1897="","",[2]Entry!$D$1897)</f>
        <v/>
      </c>
    </row>
    <row r="1895">
      <c r="Z1895">
        <f>IF([2]Entry!$E$1898="","",[2]Entry!$E$1898)</f>
        <v/>
      </c>
      <c r="AA1895">
        <f>IF([2]Entry!$G$1898="","",[2]Entry!$G$1898)</f>
        <v/>
      </c>
      <c r="AB1895">
        <f>IF([2]Entry!$J$1898="","",[2]Entry!$J$1898)</f>
        <v/>
      </c>
      <c r="AC1895">
        <f>IF([2]Entry!$K$1898="","",[2]Entry!$K$1898)</f>
        <v/>
      </c>
      <c r="AD1895">
        <f>IF([2]Entry!$L$1898="","",[2]Entry!$L$1898)</f>
        <v/>
      </c>
      <c r="AE1895">
        <f>IF([2]Entry!$M$1898="","",[2]Entry!$M$1898)</f>
        <v/>
      </c>
      <c r="AF1895">
        <f>IF([2]Entry!$N$1898="","",[2]Entry!$N$1898)</f>
        <v/>
      </c>
      <c r="AJ1895">
        <f>IF([2]Entry!$S$1898="","",[2]Entry!$S$1898)</f>
        <v/>
      </c>
      <c r="AK1895">
        <f>IF([2]Entry!$C$1898="","",[2]Entry!$C$1898)</f>
        <v/>
      </c>
      <c r="AL1895">
        <f>IF([2]Entry!$D$1898="","",[2]Entry!$D$1898)</f>
        <v/>
      </c>
    </row>
    <row r="1896">
      <c r="Z1896">
        <f>IF([2]Entry!$E$1899="","",[2]Entry!$E$1899)</f>
        <v/>
      </c>
      <c r="AA1896">
        <f>IF([2]Entry!$G$1899="","",[2]Entry!$G$1899)</f>
        <v/>
      </c>
      <c r="AB1896">
        <f>IF([2]Entry!$J$1899="","",[2]Entry!$J$1899)</f>
        <v/>
      </c>
      <c r="AC1896">
        <f>IF([2]Entry!$K$1899="","",[2]Entry!$K$1899)</f>
        <v/>
      </c>
      <c r="AD1896">
        <f>IF([2]Entry!$L$1899="","",[2]Entry!$L$1899)</f>
        <v/>
      </c>
      <c r="AE1896">
        <f>IF([2]Entry!$M$1899="","",[2]Entry!$M$1899)</f>
        <v/>
      </c>
      <c r="AF1896">
        <f>IF([2]Entry!$N$1899="","",[2]Entry!$N$1899)</f>
        <v/>
      </c>
      <c r="AJ1896">
        <f>IF([2]Entry!$S$1899="","",[2]Entry!$S$1899)</f>
        <v/>
      </c>
      <c r="AK1896">
        <f>IF([2]Entry!$C$1899="","",[2]Entry!$C$1899)</f>
        <v/>
      </c>
      <c r="AL1896">
        <f>IF([2]Entry!$D$1899="","",[2]Entry!$D$1899)</f>
        <v/>
      </c>
    </row>
    <row r="1897">
      <c r="Z1897">
        <f>IF([2]Entry!$E$1900="","",[2]Entry!$E$1900)</f>
        <v/>
      </c>
      <c r="AA1897">
        <f>IF([2]Entry!$G$1900="","",[2]Entry!$G$1900)</f>
        <v/>
      </c>
      <c r="AB1897">
        <f>IF([2]Entry!$J$1900="","",[2]Entry!$J$1900)</f>
        <v/>
      </c>
      <c r="AC1897">
        <f>IF([2]Entry!$K$1900="","",[2]Entry!$K$1900)</f>
        <v/>
      </c>
      <c r="AD1897">
        <f>IF([2]Entry!$L$1900="","",[2]Entry!$L$1900)</f>
        <v/>
      </c>
      <c r="AE1897">
        <f>IF([2]Entry!$M$1900="","",[2]Entry!$M$1900)</f>
        <v/>
      </c>
      <c r="AF1897">
        <f>IF([2]Entry!$N$1900="","",[2]Entry!$N$1900)</f>
        <v/>
      </c>
      <c r="AJ1897">
        <f>IF([2]Entry!$S$1900="","",[2]Entry!$S$1900)</f>
        <v/>
      </c>
      <c r="AK1897">
        <f>IF([2]Entry!$C$1900="","",[2]Entry!$C$1900)</f>
        <v/>
      </c>
      <c r="AL1897">
        <f>IF([2]Entry!$D$1900="","",[2]Entry!$D$1900)</f>
        <v/>
      </c>
    </row>
    <row r="1898">
      <c r="Z1898">
        <f>IF([2]Entry!$E$1901="","",[2]Entry!$E$1901)</f>
        <v/>
      </c>
      <c r="AA1898">
        <f>IF([2]Entry!$G$1901="","",[2]Entry!$G$1901)</f>
        <v/>
      </c>
      <c r="AB1898">
        <f>IF([2]Entry!$J$1901="","",[2]Entry!$J$1901)</f>
        <v/>
      </c>
      <c r="AC1898">
        <f>IF([2]Entry!$K$1901="","",[2]Entry!$K$1901)</f>
        <v/>
      </c>
      <c r="AD1898">
        <f>IF([2]Entry!$L$1901="","",[2]Entry!$L$1901)</f>
        <v/>
      </c>
      <c r="AE1898">
        <f>IF([2]Entry!$M$1901="","",[2]Entry!$M$1901)</f>
        <v/>
      </c>
      <c r="AF1898">
        <f>IF([2]Entry!$N$1901="","",[2]Entry!$N$1901)</f>
        <v/>
      </c>
      <c r="AJ1898">
        <f>IF([2]Entry!$S$1901="","",[2]Entry!$S$1901)</f>
        <v/>
      </c>
      <c r="AK1898">
        <f>IF([2]Entry!$C$1901="","",[2]Entry!$C$1901)</f>
        <v/>
      </c>
      <c r="AL1898">
        <f>IF([2]Entry!$D$1901="","",[2]Entry!$D$1901)</f>
        <v/>
      </c>
    </row>
    <row r="1899">
      <c r="Z1899">
        <f>IF([2]Entry!$E$1902="","",[2]Entry!$E$1902)</f>
        <v/>
      </c>
      <c r="AA1899">
        <f>IF([2]Entry!$G$1902="","",[2]Entry!$G$1902)</f>
        <v/>
      </c>
      <c r="AB1899">
        <f>IF([2]Entry!$J$1902="","",[2]Entry!$J$1902)</f>
        <v/>
      </c>
      <c r="AC1899">
        <f>IF([2]Entry!$K$1902="","",[2]Entry!$K$1902)</f>
        <v/>
      </c>
      <c r="AD1899">
        <f>IF([2]Entry!$L$1902="","",[2]Entry!$L$1902)</f>
        <v/>
      </c>
      <c r="AE1899">
        <f>IF([2]Entry!$M$1902="","",[2]Entry!$M$1902)</f>
        <v/>
      </c>
      <c r="AF1899">
        <f>IF([2]Entry!$N$1902="","",[2]Entry!$N$1902)</f>
        <v/>
      </c>
      <c r="AJ1899">
        <f>IF([2]Entry!$S$1902="","",[2]Entry!$S$1902)</f>
        <v/>
      </c>
      <c r="AK1899">
        <f>IF([2]Entry!$C$1902="","",[2]Entry!$C$1902)</f>
        <v/>
      </c>
      <c r="AL1899">
        <f>IF([2]Entry!$D$1902="","",[2]Entry!$D$1902)</f>
        <v/>
      </c>
    </row>
    <row r="1900">
      <c r="Z1900">
        <f>IF([2]Entry!$E$1903="","",[2]Entry!$E$1903)</f>
        <v/>
      </c>
      <c r="AA1900">
        <f>IF([2]Entry!$G$1903="","",[2]Entry!$G$1903)</f>
        <v/>
      </c>
      <c r="AB1900">
        <f>IF([2]Entry!$J$1903="","",[2]Entry!$J$1903)</f>
        <v/>
      </c>
      <c r="AC1900">
        <f>IF([2]Entry!$K$1903="","",[2]Entry!$K$1903)</f>
        <v/>
      </c>
      <c r="AD1900">
        <f>IF([2]Entry!$L$1903="","",[2]Entry!$L$1903)</f>
        <v/>
      </c>
      <c r="AE1900">
        <f>IF([2]Entry!$M$1903="","",[2]Entry!$M$1903)</f>
        <v/>
      </c>
      <c r="AF1900">
        <f>IF([2]Entry!$N$1903="","",[2]Entry!$N$1903)</f>
        <v/>
      </c>
      <c r="AJ1900">
        <f>IF([2]Entry!$S$1903="","",[2]Entry!$S$1903)</f>
        <v/>
      </c>
      <c r="AK1900">
        <f>IF([2]Entry!$C$1903="","",[2]Entry!$C$1903)</f>
        <v/>
      </c>
      <c r="AL1900">
        <f>IF([2]Entry!$D$1903="","",[2]Entry!$D$1903)</f>
        <v/>
      </c>
    </row>
    <row r="1901">
      <c r="Z1901">
        <f>IF([2]Entry!$E$1904="","",[2]Entry!$E$1904)</f>
        <v/>
      </c>
      <c r="AA1901">
        <f>IF([2]Entry!$G$1904="","",[2]Entry!$G$1904)</f>
        <v/>
      </c>
      <c r="AB1901">
        <f>IF([2]Entry!$J$1904="","",[2]Entry!$J$1904)</f>
        <v/>
      </c>
      <c r="AC1901">
        <f>IF([2]Entry!$K$1904="","",[2]Entry!$K$1904)</f>
        <v/>
      </c>
      <c r="AD1901">
        <f>IF([2]Entry!$L$1904="","",[2]Entry!$L$1904)</f>
        <v/>
      </c>
      <c r="AE1901">
        <f>IF([2]Entry!$M$1904="","",[2]Entry!$M$1904)</f>
        <v/>
      </c>
      <c r="AF1901">
        <f>IF([2]Entry!$N$1904="","",[2]Entry!$N$1904)</f>
        <v/>
      </c>
      <c r="AJ1901">
        <f>IF([2]Entry!$S$1904="","",[2]Entry!$S$1904)</f>
        <v/>
      </c>
      <c r="AK1901">
        <f>IF([2]Entry!$C$1904="","",[2]Entry!$C$1904)</f>
        <v/>
      </c>
      <c r="AL1901">
        <f>IF([2]Entry!$D$1904="","",[2]Entry!$D$1904)</f>
        <v/>
      </c>
    </row>
    <row r="1902">
      <c r="Z1902">
        <f>IF([2]Entry!$E$1905="","",[2]Entry!$E$1905)</f>
        <v/>
      </c>
      <c r="AA1902">
        <f>IF([2]Entry!$G$1905="","",[2]Entry!$G$1905)</f>
        <v/>
      </c>
      <c r="AB1902">
        <f>IF([2]Entry!$J$1905="","",[2]Entry!$J$1905)</f>
        <v/>
      </c>
      <c r="AC1902">
        <f>IF([2]Entry!$K$1905="","",[2]Entry!$K$1905)</f>
        <v/>
      </c>
      <c r="AD1902">
        <f>IF([2]Entry!$L$1905="","",[2]Entry!$L$1905)</f>
        <v/>
      </c>
      <c r="AE1902">
        <f>IF([2]Entry!$M$1905="","",[2]Entry!$M$1905)</f>
        <v/>
      </c>
      <c r="AF1902">
        <f>IF([2]Entry!$N$1905="","",[2]Entry!$N$1905)</f>
        <v/>
      </c>
      <c r="AJ1902">
        <f>IF([2]Entry!$S$1905="","",[2]Entry!$S$1905)</f>
        <v/>
      </c>
      <c r="AK1902">
        <f>IF([2]Entry!$C$1905="","",[2]Entry!$C$1905)</f>
        <v/>
      </c>
      <c r="AL1902">
        <f>IF([2]Entry!$D$1905="","",[2]Entry!$D$1905)</f>
        <v/>
      </c>
    </row>
    <row r="1903">
      <c r="Z1903">
        <f>IF([2]Entry!$E$1906="","",[2]Entry!$E$1906)</f>
        <v/>
      </c>
      <c r="AA1903">
        <f>IF([2]Entry!$G$1906="","",[2]Entry!$G$1906)</f>
        <v/>
      </c>
      <c r="AB1903">
        <f>IF([2]Entry!$J$1906="","",[2]Entry!$J$1906)</f>
        <v/>
      </c>
      <c r="AC1903">
        <f>IF([2]Entry!$K$1906="","",[2]Entry!$K$1906)</f>
        <v/>
      </c>
      <c r="AD1903">
        <f>IF([2]Entry!$L$1906="","",[2]Entry!$L$1906)</f>
        <v/>
      </c>
      <c r="AE1903">
        <f>IF([2]Entry!$M$1906="","",[2]Entry!$M$1906)</f>
        <v/>
      </c>
      <c r="AF1903">
        <f>IF([2]Entry!$N$1906="","",[2]Entry!$N$1906)</f>
        <v/>
      </c>
      <c r="AJ1903">
        <f>IF([2]Entry!$S$1906="","",[2]Entry!$S$1906)</f>
        <v/>
      </c>
      <c r="AK1903">
        <f>IF([2]Entry!$C$1906="","",[2]Entry!$C$1906)</f>
        <v/>
      </c>
      <c r="AL1903">
        <f>IF([2]Entry!$D$1906="","",[2]Entry!$D$1906)</f>
        <v/>
      </c>
    </row>
    <row r="1904">
      <c r="Z1904">
        <f>IF([2]Entry!$E$1907="","",[2]Entry!$E$1907)</f>
        <v/>
      </c>
      <c r="AA1904">
        <f>IF([2]Entry!$G$1907="","",[2]Entry!$G$1907)</f>
        <v/>
      </c>
      <c r="AB1904">
        <f>IF([2]Entry!$J$1907="","",[2]Entry!$J$1907)</f>
        <v/>
      </c>
      <c r="AC1904">
        <f>IF([2]Entry!$K$1907="","",[2]Entry!$K$1907)</f>
        <v/>
      </c>
      <c r="AD1904">
        <f>IF([2]Entry!$L$1907="","",[2]Entry!$L$1907)</f>
        <v/>
      </c>
      <c r="AE1904">
        <f>IF([2]Entry!$M$1907="","",[2]Entry!$M$1907)</f>
        <v/>
      </c>
      <c r="AF1904">
        <f>IF([2]Entry!$N$1907="","",[2]Entry!$N$1907)</f>
        <v/>
      </c>
      <c r="AJ1904">
        <f>IF([2]Entry!$S$1907="","",[2]Entry!$S$1907)</f>
        <v/>
      </c>
      <c r="AK1904">
        <f>IF([2]Entry!$C$1907="","",[2]Entry!$C$1907)</f>
        <v/>
      </c>
      <c r="AL1904">
        <f>IF([2]Entry!$D$1907="","",[2]Entry!$D$1907)</f>
        <v/>
      </c>
    </row>
    <row r="1905">
      <c r="Z1905">
        <f>IF([2]Entry!$E$1908="","",[2]Entry!$E$1908)</f>
        <v/>
      </c>
      <c r="AA1905">
        <f>IF([2]Entry!$G$1908="","",[2]Entry!$G$1908)</f>
        <v/>
      </c>
      <c r="AB1905">
        <f>IF([2]Entry!$J$1908="","",[2]Entry!$J$1908)</f>
        <v/>
      </c>
      <c r="AC1905">
        <f>IF([2]Entry!$K$1908="","",[2]Entry!$K$1908)</f>
        <v/>
      </c>
      <c r="AD1905">
        <f>IF([2]Entry!$L$1908="","",[2]Entry!$L$1908)</f>
        <v/>
      </c>
      <c r="AE1905">
        <f>IF([2]Entry!$M$1908="","",[2]Entry!$M$1908)</f>
        <v/>
      </c>
      <c r="AF1905">
        <f>IF([2]Entry!$N$1908="","",[2]Entry!$N$1908)</f>
        <v/>
      </c>
      <c r="AJ1905">
        <f>IF([2]Entry!$S$1908="","",[2]Entry!$S$1908)</f>
        <v/>
      </c>
      <c r="AK1905">
        <f>IF([2]Entry!$C$1908="","",[2]Entry!$C$1908)</f>
        <v/>
      </c>
      <c r="AL1905">
        <f>IF([2]Entry!$D$1908="","",[2]Entry!$D$1908)</f>
        <v/>
      </c>
    </row>
    <row r="1906">
      <c r="Z1906">
        <f>IF([2]Entry!$E$1909="","",[2]Entry!$E$1909)</f>
        <v/>
      </c>
      <c r="AA1906">
        <f>IF([2]Entry!$G$1909="","",[2]Entry!$G$1909)</f>
        <v/>
      </c>
      <c r="AB1906">
        <f>IF([2]Entry!$J$1909="","",[2]Entry!$J$1909)</f>
        <v/>
      </c>
      <c r="AC1906">
        <f>IF([2]Entry!$K$1909="","",[2]Entry!$K$1909)</f>
        <v/>
      </c>
      <c r="AD1906">
        <f>IF([2]Entry!$L$1909="","",[2]Entry!$L$1909)</f>
        <v/>
      </c>
      <c r="AE1906">
        <f>IF([2]Entry!$M$1909="","",[2]Entry!$M$1909)</f>
        <v/>
      </c>
      <c r="AF1906">
        <f>IF([2]Entry!$N$1909="","",[2]Entry!$N$1909)</f>
        <v/>
      </c>
      <c r="AJ1906">
        <f>IF([2]Entry!$S$1909="","",[2]Entry!$S$1909)</f>
        <v/>
      </c>
      <c r="AK1906">
        <f>IF([2]Entry!$C$1909="","",[2]Entry!$C$1909)</f>
        <v/>
      </c>
      <c r="AL1906">
        <f>IF([2]Entry!$D$1909="","",[2]Entry!$D$1909)</f>
        <v/>
      </c>
    </row>
    <row r="1907">
      <c r="Z1907">
        <f>IF([2]Entry!$E$1910="","",[2]Entry!$E$1910)</f>
        <v/>
      </c>
      <c r="AA1907">
        <f>IF([2]Entry!$G$1910="","",[2]Entry!$G$1910)</f>
        <v/>
      </c>
      <c r="AB1907">
        <f>IF([2]Entry!$J$1910="","",[2]Entry!$J$1910)</f>
        <v/>
      </c>
      <c r="AC1907">
        <f>IF([2]Entry!$K$1910="","",[2]Entry!$K$1910)</f>
        <v/>
      </c>
      <c r="AD1907">
        <f>IF([2]Entry!$L$1910="","",[2]Entry!$L$1910)</f>
        <v/>
      </c>
      <c r="AE1907">
        <f>IF([2]Entry!$M$1910="","",[2]Entry!$M$1910)</f>
        <v/>
      </c>
      <c r="AF1907">
        <f>IF([2]Entry!$N$1910="","",[2]Entry!$N$1910)</f>
        <v/>
      </c>
      <c r="AJ1907">
        <f>IF([2]Entry!$S$1910="","",[2]Entry!$S$1910)</f>
        <v/>
      </c>
      <c r="AK1907">
        <f>IF([2]Entry!$C$1910="","",[2]Entry!$C$1910)</f>
        <v/>
      </c>
      <c r="AL1907">
        <f>IF([2]Entry!$D$1910="","",[2]Entry!$D$1910)</f>
        <v/>
      </c>
    </row>
    <row r="1908">
      <c r="Z1908">
        <f>IF([2]Entry!$E$1911="","",[2]Entry!$E$1911)</f>
        <v/>
      </c>
      <c r="AA1908">
        <f>IF([2]Entry!$G$1911="","",[2]Entry!$G$1911)</f>
        <v/>
      </c>
      <c r="AB1908">
        <f>IF([2]Entry!$J$1911="","",[2]Entry!$J$1911)</f>
        <v/>
      </c>
      <c r="AC1908">
        <f>IF([2]Entry!$K$1911="","",[2]Entry!$K$1911)</f>
        <v/>
      </c>
      <c r="AD1908">
        <f>IF([2]Entry!$L$1911="","",[2]Entry!$L$1911)</f>
        <v/>
      </c>
      <c r="AE1908">
        <f>IF([2]Entry!$M$1911="","",[2]Entry!$M$1911)</f>
        <v/>
      </c>
      <c r="AF1908">
        <f>IF([2]Entry!$N$1911="","",[2]Entry!$N$1911)</f>
        <v/>
      </c>
      <c r="AJ1908">
        <f>IF([2]Entry!$S$1911="","",[2]Entry!$S$1911)</f>
        <v/>
      </c>
      <c r="AK1908">
        <f>IF([2]Entry!$C$1911="","",[2]Entry!$C$1911)</f>
        <v/>
      </c>
      <c r="AL1908">
        <f>IF([2]Entry!$D$1911="","",[2]Entry!$D$1911)</f>
        <v/>
      </c>
    </row>
    <row r="1909">
      <c r="Z1909">
        <f>IF([2]Entry!$E$1912="","",[2]Entry!$E$1912)</f>
        <v/>
      </c>
      <c r="AA1909">
        <f>IF([2]Entry!$G$1912="","",[2]Entry!$G$1912)</f>
        <v/>
      </c>
      <c r="AB1909">
        <f>IF([2]Entry!$J$1912="","",[2]Entry!$J$1912)</f>
        <v/>
      </c>
      <c r="AC1909">
        <f>IF([2]Entry!$K$1912="","",[2]Entry!$K$1912)</f>
        <v/>
      </c>
      <c r="AD1909">
        <f>IF([2]Entry!$L$1912="","",[2]Entry!$L$1912)</f>
        <v/>
      </c>
      <c r="AE1909">
        <f>IF([2]Entry!$M$1912="","",[2]Entry!$M$1912)</f>
        <v/>
      </c>
      <c r="AF1909">
        <f>IF([2]Entry!$N$1912="","",[2]Entry!$N$1912)</f>
        <v/>
      </c>
      <c r="AJ1909">
        <f>IF([2]Entry!$S$1912="","",[2]Entry!$S$1912)</f>
        <v/>
      </c>
      <c r="AK1909">
        <f>IF([2]Entry!$C$1912="","",[2]Entry!$C$1912)</f>
        <v/>
      </c>
      <c r="AL1909">
        <f>IF([2]Entry!$D$1912="","",[2]Entry!$D$1912)</f>
        <v/>
      </c>
    </row>
    <row r="1910">
      <c r="Z1910">
        <f>IF([2]Entry!$E$1913="","",[2]Entry!$E$1913)</f>
        <v/>
      </c>
      <c r="AA1910">
        <f>IF([2]Entry!$G$1913="","",[2]Entry!$G$1913)</f>
        <v/>
      </c>
      <c r="AB1910">
        <f>IF([2]Entry!$J$1913="","",[2]Entry!$J$1913)</f>
        <v/>
      </c>
      <c r="AC1910">
        <f>IF([2]Entry!$K$1913="","",[2]Entry!$K$1913)</f>
        <v/>
      </c>
      <c r="AD1910">
        <f>IF([2]Entry!$L$1913="","",[2]Entry!$L$1913)</f>
        <v/>
      </c>
      <c r="AE1910">
        <f>IF([2]Entry!$M$1913="","",[2]Entry!$M$1913)</f>
        <v/>
      </c>
      <c r="AF1910">
        <f>IF([2]Entry!$N$1913="","",[2]Entry!$N$1913)</f>
        <v/>
      </c>
      <c r="AJ1910">
        <f>IF([2]Entry!$S$1913="","",[2]Entry!$S$1913)</f>
        <v/>
      </c>
      <c r="AK1910">
        <f>IF([2]Entry!$C$1913="","",[2]Entry!$C$1913)</f>
        <v/>
      </c>
      <c r="AL1910">
        <f>IF([2]Entry!$D$1913="","",[2]Entry!$D$1913)</f>
        <v/>
      </c>
    </row>
    <row r="1911">
      <c r="Z1911">
        <f>IF([2]Entry!$E$1914="","",[2]Entry!$E$1914)</f>
        <v/>
      </c>
      <c r="AA1911">
        <f>IF([2]Entry!$G$1914="","",[2]Entry!$G$1914)</f>
        <v/>
      </c>
      <c r="AB1911">
        <f>IF([2]Entry!$J$1914="","",[2]Entry!$J$1914)</f>
        <v/>
      </c>
      <c r="AC1911">
        <f>IF([2]Entry!$K$1914="","",[2]Entry!$K$1914)</f>
        <v/>
      </c>
      <c r="AD1911">
        <f>IF([2]Entry!$L$1914="","",[2]Entry!$L$1914)</f>
        <v/>
      </c>
      <c r="AE1911">
        <f>IF([2]Entry!$M$1914="","",[2]Entry!$M$1914)</f>
        <v/>
      </c>
      <c r="AF1911">
        <f>IF([2]Entry!$N$1914="","",[2]Entry!$N$1914)</f>
        <v/>
      </c>
      <c r="AJ1911">
        <f>IF([2]Entry!$S$1914="","",[2]Entry!$S$1914)</f>
        <v/>
      </c>
      <c r="AK1911">
        <f>IF([2]Entry!$C$1914="","",[2]Entry!$C$1914)</f>
        <v/>
      </c>
      <c r="AL1911">
        <f>IF([2]Entry!$D$1914="","",[2]Entry!$D$1914)</f>
        <v/>
      </c>
    </row>
    <row r="1912">
      <c r="Z1912">
        <f>IF([2]Entry!$E$1915="","",[2]Entry!$E$1915)</f>
        <v/>
      </c>
      <c r="AA1912">
        <f>IF([2]Entry!$G$1915="","",[2]Entry!$G$1915)</f>
        <v/>
      </c>
      <c r="AB1912">
        <f>IF([2]Entry!$J$1915="","",[2]Entry!$J$1915)</f>
        <v/>
      </c>
      <c r="AC1912">
        <f>IF([2]Entry!$K$1915="","",[2]Entry!$K$1915)</f>
        <v/>
      </c>
      <c r="AD1912">
        <f>IF([2]Entry!$L$1915="","",[2]Entry!$L$1915)</f>
        <v/>
      </c>
      <c r="AE1912">
        <f>IF([2]Entry!$M$1915="","",[2]Entry!$M$1915)</f>
        <v/>
      </c>
      <c r="AF1912">
        <f>IF([2]Entry!$N$1915="","",[2]Entry!$N$1915)</f>
        <v/>
      </c>
      <c r="AJ1912">
        <f>IF([2]Entry!$S$1915="","",[2]Entry!$S$1915)</f>
        <v/>
      </c>
      <c r="AK1912">
        <f>IF([2]Entry!$C$1915="","",[2]Entry!$C$1915)</f>
        <v/>
      </c>
      <c r="AL1912">
        <f>IF([2]Entry!$D$1915="","",[2]Entry!$D$1915)</f>
        <v/>
      </c>
    </row>
    <row r="1913">
      <c r="Z1913">
        <f>IF([2]Entry!$E$1916="","",[2]Entry!$E$1916)</f>
        <v/>
      </c>
      <c r="AA1913">
        <f>IF([2]Entry!$G$1916="","",[2]Entry!$G$1916)</f>
        <v/>
      </c>
      <c r="AB1913">
        <f>IF([2]Entry!$J$1916="","",[2]Entry!$J$1916)</f>
        <v/>
      </c>
      <c r="AC1913">
        <f>IF([2]Entry!$K$1916="","",[2]Entry!$K$1916)</f>
        <v/>
      </c>
      <c r="AD1913">
        <f>IF([2]Entry!$L$1916="","",[2]Entry!$L$1916)</f>
        <v/>
      </c>
      <c r="AE1913">
        <f>IF([2]Entry!$M$1916="","",[2]Entry!$M$1916)</f>
        <v/>
      </c>
      <c r="AF1913">
        <f>IF([2]Entry!$N$1916="","",[2]Entry!$N$1916)</f>
        <v/>
      </c>
      <c r="AJ1913">
        <f>IF([2]Entry!$S$1916="","",[2]Entry!$S$1916)</f>
        <v/>
      </c>
      <c r="AK1913">
        <f>IF([2]Entry!$C$1916="","",[2]Entry!$C$1916)</f>
        <v/>
      </c>
      <c r="AL1913">
        <f>IF([2]Entry!$D$1916="","",[2]Entry!$D$1916)</f>
        <v/>
      </c>
    </row>
    <row r="1914">
      <c r="Z1914">
        <f>IF([2]Entry!$E$1917="","",[2]Entry!$E$1917)</f>
        <v/>
      </c>
      <c r="AA1914">
        <f>IF([2]Entry!$G$1917="","",[2]Entry!$G$1917)</f>
        <v/>
      </c>
      <c r="AB1914">
        <f>IF([2]Entry!$J$1917="","",[2]Entry!$J$1917)</f>
        <v/>
      </c>
      <c r="AC1914">
        <f>IF([2]Entry!$K$1917="","",[2]Entry!$K$1917)</f>
        <v/>
      </c>
      <c r="AD1914">
        <f>IF([2]Entry!$L$1917="","",[2]Entry!$L$1917)</f>
        <v/>
      </c>
      <c r="AE1914">
        <f>IF([2]Entry!$M$1917="","",[2]Entry!$M$1917)</f>
        <v/>
      </c>
      <c r="AF1914">
        <f>IF([2]Entry!$N$1917="","",[2]Entry!$N$1917)</f>
        <v/>
      </c>
      <c r="AJ1914">
        <f>IF([2]Entry!$S$1917="","",[2]Entry!$S$1917)</f>
        <v/>
      </c>
      <c r="AK1914">
        <f>IF([2]Entry!$C$1917="","",[2]Entry!$C$1917)</f>
        <v/>
      </c>
      <c r="AL1914">
        <f>IF([2]Entry!$D$1917="","",[2]Entry!$D$1917)</f>
        <v/>
      </c>
    </row>
    <row r="1915">
      <c r="Z1915">
        <f>IF([2]Entry!$E$1918="","",[2]Entry!$E$1918)</f>
        <v/>
      </c>
      <c r="AA1915">
        <f>IF([2]Entry!$G$1918="","",[2]Entry!$G$1918)</f>
        <v/>
      </c>
      <c r="AB1915">
        <f>IF([2]Entry!$J$1918="","",[2]Entry!$J$1918)</f>
        <v/>
      </c>
      <c r="AC1915">
        <f>IF([2]Entry!$K$1918="","",[2]Entry!$K$1918)</f>
        <v/>
      </c>
      <c r="AD1915">
        <f>IF([2]Entry!$L$1918="","",[2]Entry!$L$1918)</f>
        <v/>
      </c>
      <c r="AE1915">
        <f>IF([2]Entry!$M$1918="","",[2]Entry!$M$1918)</f>
        <v/>
      </c>
      <c r="AF1915">
        <f>IF([2]Entry!$N$1918="","",[2]Entry!$N$1918)</f>
        <v/>
      </c>
      <c r="AJ1915">
        <f>IF([2]Entry!$S$1918="","",[2]Entry!$S$1918)</f>
        <v/>
      </c>
      <c r="AK1915">
        <f>IF([2]Entry!$C$1918="","",[2]Entry!$C$1918)</f>
        <v/>
      </c>
      <c r="AL1915">
        <f>IF([2]Entry!$D$1918="","",[2]Entry!$D$1918)</f>
        <v/>
      </c>
    </row>
    <row r="1916">
      <c r="Z1916">
        <f>IF([2]Entry!$E$1919="","",[2]Entry!$E$1919)</f>
        <v/>
      </c>
      <c r="AA1916">
        <f>IF([2]Entry!$G$1919="","",[2]Entry!$G$1919)</f>
        <v/>
      </c>
      <c r="AB1916">
        <f>IF([2]Entry!$J$1919="","",[2]Entry!$J$1919)</f>
        <v/>
      </c>
      <c r="AC1916">
        <f>IF([2]Entry!$K$1919="","",[2]Entry!$K$1919)</f>
        <v/>
      </c>
      <c r="AD1916">
        <f>IF([2]Entry!$L$1919="","",[2]Entry!$L$1919)</f>
        <v/>
      </c>
      <c r="AE1916">
        <f>IF([2]Entry!$M$1919="","",[2]Entry!$M$1919)</f>
        <v/>
      </c>
      <c r="AF1916">
        <f>IF([2]Entry!$N$1919="","",[2]Entry!$N$1919)</f>
        <v/>
      </c>
      <c r="AJ1916">
        <f>IF([2]Entry!$S$1919="","",[2]Entry!$S$1919)</f>
        <v/>
      </c>
      <c r="AK1916">
        <f>IF([2]Entry!$C$1919="","",[2]Entry!$C$1919)</f>
        <v/>
      </c>
      <c r="AL1916">
        <f>IF([2]Entry!$D$1919="","",[2]Entry!$D$1919)</f>
        <v/>
      </c>
    </row>
    <row r="1917">
      <c r="Z1917">
        <f>IF([2]Entry!$E$1920="","",[2]Entry!$E$1920)</f>
        <v/>
      </c>
      <c r="AA1917">
        <f>IF([2]Entry!$G$1920="","",[2]Entry!$G$1920)</f>
        <v/>
      </c>
      <c r="AB1917">
        <f>IF([2]Entry!$J$1920="","",[2]Entry!$J$1920)</f>
        <v/>
      </c>
      <c r="AC1917">
        <f>IF([2]Entry!$K$1920="","",[2]Entry!$K$1920)</f>
        <v/>
      </c>
      <c r="AD1917">
        <f>IF([2]Entry!$L$1920="","",[2]Entry!$L$1920)</f>
        <v/>
      </c>
      <c r="AE1917">
        <f>IF([2]Entry!$M$1920="","",[2]Entry!$M$1920)</f>
        <v/>
      </c>
      <c r="AF1917">
        <f>IF([2]Entry!$N$1920="","",[2]Entry!$N$1920)</f>
        <v/>
      </c>
      <c r="AJ1917">
        <f>IF([2]Entry!$S$1920="","",[2]Entry!$S$1920)</f>
        <v/>
      </c>
      <c r="AK1917">
        <f>IF([2]Entry!$C$1920="","",[2]Entry!$C$1920)</f>
        <v/>
      </c>
      <c r="AL1917">
        <f>IF([2]Entry!$D$1920="","",[2]Entry!$D$1920)</f>
        <v/>
      </c>
    </row>
    <row r="1918">
      <c r="Z1918">
        <f>IF([2]Entry!$E$1921="","",[2]Entry!$E$1921)</f>
        <v/>
      </c>
      <c r="AA1918">
        <f>IF([2]Entry!$G$1921="","",[2]Entry!$G$1921)</f>
        <v/>
      </c>
      <c r="AB1918">
        <f>IF([2]Entry!$J$1921="","",[2]Entry!$J$1921)</f>
        <v/>
      </c>
      <c r="AC1918">
        <f>IF([2]Entry!$K$1921="","",[2]Entry!$K$1921)</f>
        <v/>
      </c>
      <c r="AD1918">
        <f>IF([2]Entry!$L$1921="","",[2]Entry!$L$1921)</f>
        <v/>
      </c>
      <c r="AE1918">
        <f>IF([2]Entry!$M$1921="","",[2]Entry!$M$1921)</f>
        <v/>
      </c>
      <c r="AF1918">
        <f>IF([2]Entry!$N$1921="","",[2]Entry!$N$1921)</f>
        <v/>
      </c>
      <c r="AJ1918">
        <f>IF([2]Entry!$S$1921="","",[2]Entry!$S$1921)</f>
        <v/>
      </c>
      <c r="AK1918">
        <f>IF([2]Entry!$C$1921="","",[2]Entry!$C$1921)</f>
        <v/>
      </c>
      <c r="AL1918">
        <f>IF([2]Entry!$D$1921="","",[2]Entry!$D$1921)</f>
        <v/>
      </c>
    </row>
    <row r="1919">
      <c r="Z1919">
        <f>IF([2]Entry!$E$1922="","",[2]Entry!$E$1922)</f>
        <v/>
      </c>
      <c r="AA1919">
        <f>IF([2]Entry!$G$1922="","",[2]Entry!$G$1922)</f>
        <v/>
      </c>
      <c r="AB1919">
        <f>IF([2]Entry!$J$1922="","",[2]Entry!$J$1922)</f>
        <v/>
      </c>
      <c r="AC1919">
        <f>IF([2]Entry!$K$1922="","",[2]Entry!$K$1922)</f>
        <v/>
      </c>
      <c r="AD1919">
        <f>IF([2]Entry!$L$1922="","",[2]Entry!$L$1922)</f>
        <v/>
      </c>
      <c r="AE1919">
        <f>IF([2]Entry!$M$1922="","",[2]Entry!$M$1922)</f>
        <v/>
      </c>
      <c r="AF1919">
        <f>IF([2]Entry!$N$1922="","",[2]Entry!$N$1922)</f>
        <v/>
      </c>
      <c r="AJ1919">
        <f>IF([2]Entry!$S$1922="","",[2]Entry!$S$1922)</f>
        <v/>
      </c>
      <c r="AK1919">
        <f>IF([2]Entry!$C$1922="","",[2]Entry!$C$1922)</f>
        <v/>
      </c>
      <c r="AL1919">
        <f>IF([2]Entry!$D$1922="","",[2]Entry!$D$1922)</f>
        <v/>
      </c>
    </row>
    <row r="1920">
      <c r="Z1920">
        <f>IF([2]Entry!$E$1923="","",[2]Entry!$E$1923)</f>
        <v/>
      </c>
      <c r="AA1920">
        <f>IF([2]Entry!$G$1923="","",[2]Entry!$G$1923)</f>
        <v/>
      </c>
      <c r="AB1920">
        <f>IF([2]Entry!$J$1923="","",[2]Entry!$J$1923)</f>
        <v/>
      </c>
      <c r="AC1920">
        <f>IF([2]Entry!$K$1923="","",[2]Entry!$K$1923)</f>
        <v/>
      </c>
      <c r="AD1920">
        <f>IF([2]Entry!$L$1923="","",[2]Entry!$L$1923)</f>
        <v/>
      </c>
      <c r="AE1920">
        <f>IF([2]Entry!$M$1923="","",[2]Entry!$M$1923)</f>
        <v/>
      </c>
      <c r="AF1920">
        <f>IF([2]Entry!$N$1923="","",[2]Entry!$N$1923)</f>
        <v/>
      </c>
      <c r="AJ1920">
        <f>IF([2]Entry!$S$1923="","",[2]Entry!$S$1923)</f>
        <v/>
      </c>
      <c r="AK1920">
        <f>IF([2]Entry!$C$1923="","",[2]Entry!$C$1923)</f>
        <v/>
      </c>
      <c r="AL1920">
        <f>IF([2]Entry!$D$1923="","",[2]Entry!$D$1923)</f>
        <v/>
      </c>
    </row>
    <row r="1921">
      <c r="Z1921">
        <f>IF([2]Entry!$E$1924="","",[2]Entry!$E$1924)</f>
        <v/>
      </c>
      <c r="AA1921">
        <f>IF([2]Entry!$G$1924="","",[2]Entry!$G$1924)</f>
        <v/>
      </c>
      <c r="AB1921">
        <f>IF([2]Entry!$J$1924="","",[2]Entry!$J$1924)</f>
        <v/>
      </c>
      <c r="AC1921">
        <f>IF([2]Entry!$K$1924="","",[2]Entry!$K$1924)</f>
        <v/>
      </c>
      <c r="AD1921">
        <f>IF([2]Entry!$L$1924="","",[2]Entry!$L$1924)</f>
        <v/>
      </c>
      <c r="AE1921">
        <f>IF([2]Entry!$M$1924="","",[2]Entry!$M$1924)</f>
        <v/>
      </c>
      <c r="AF1921">
        <f>IF([2]Entry!$N$1924="","",[2]Entry!$N$1924)</f>
        <v/>
      </c>
      <c r="AJ1921">
        <f>IF([2]Entry!$S$1924="","",[2]Entry!$S$1924)</f>
        <v/>
      </c>
      <c r="AK1921">
        <f>IF([2]Entry!$C$1924="","",[2]Entry!$C$1924)</f>
        <v/>
      </c>
      <c r="AL1921">
        <f>IF([2]Entry!$D$1924="","",[2]Entry!$D$1924)</f>
        <v/>
      </c>
    </row>
    <row r="1922">
      <c r="Z1922">
        <f>IF([2]Entry!$E$1925="","",[2]Entry!$E$1925)</f>
        <v/>
      </c>
      <c r="AA1922">
        <f>IF([2]Entry!$G$1925="","",[2]Entry!$G$1925)</f>
        <v/>
      </c>
      <c r="AB1922">
        <f>IF([2]Entry!$J$1925="","",[2]Entry!$J$1925)</f>
        <v/>
      </c>
      <c r="AC1922">
        <f>IF([2]Entry!$K$1925="","",[2]Entry!$K$1925)</f>
        <v/>
      </c>
      <c r="AD1922">
        <f>IF([2]Entry!$L$1925="","",[2]Entry!$L$1925)</f>
        <v/>
      </c>
      <c r="AE1922">
        <f>IF([2]Entry!$M$1925="","",[2]Entry!$M$1925)</f>
        <v/>
      </c>
      <c r="AF1922">
        <f>IF([2]Entry!$N$1925="","",[2]Entry!$N$1925)</f>
        <v/>
      </c>
      <c r="AJ1922">
        <f>IF([2]Entry!$S$1925="","",[2]Entry!$S$1925)</f>
        <v/>
      </c>
      <c r="AK1922">
        <f>IF([2]Entry!$C$1925="","",[2]Entry!$C$1925)</f>
        <v/>
      </c>
      <c r="AL1922">
        <f>IF([2]Entry!$D$1925="","",[2]Entry!$D$1925)</f>
        <v/>
      </c>
    </row>
    <row r="1923">
      <c r="Z1923">
        <f>IF([2]Entry!$E$1926="","",[2]Entry!$E$1926)</f>
        <v/>
      </c>
      <c r="AA1923">
        <f>IF([2]Entry!$G$1926="","",[2]Entry!$G$1926)</f>
        <v/>
      </c>
      <c r="AB1923">
        <f>IF([2]Entry!$J$1926="","",[2]Entry!$J$1926)</f>
        <v/>
      </c>
      <c r="AC1923">
        <f>IF([2]Entry!$K$1926="","",[2]Entry!$K$1926)</f>
        <v/>
      </c>
      <c r="AD1923">
        <f>IF([2]Entry!$L$1926="","",[2]Entry!$L$1926)</f>
        <v/>
      </c>
      <c r="AE1923">
        <f>IF([2]Entry!$M$1926="","",[2]Entry!$M$1926)</f>
        <v/>
      </c>
      <c r="AF1923">
        <f>IF([2]Entry!$N$1926="","",[2]Entry!$N$1926)</f>
        <v/>
      </c>
      <c r="AJ1923">
        <f>IF([2]Entry!$S$1926="","",[2]Entry!$S$1926)</f>
        <v/>
      </c>
      <c r="AK1923">
        <f>IF([2]Entry!$C$1926="","",[2]Entry!$C$1926)</f>
        <v/>
      </c>
      <c r="AL1923">
        <f>IF([2]Entry!$D$1926="","",[2]Entry!$D$1926)</f>
        <v/>
      </c>
    </row>
    <row r="1924">
      <c r="Z1924">
        <f>IF([2]Entry!$E$1927="","",[2]Entry!$E$1927)</f>
        <v/>
      </c>
      <c r="AA1924">
        <f>IF([2]Entry!$G$1927="","",[2]Entry!$G$1927)</f>
        <v/>
      </c>
      <c r="AB1924">
        <f>IF([2]Entry!$J$1927="","",[2]Entry!$J$1927)</f>
        <v/>
      </c>
      <c r="AC1924">
        <f>IF([2]Entry!$K$1927="","",[2]Entry!$K$1927)</f>
        <v/>
      </c>
      <c r="AD1924">
        <f>IF([2]Entry!$L$1927="","",[2]Entry!$L$1927)</f>
        <v/>
      </c>
      <c r="AE1924">
        <f>IF([2]Entry!$M$1927="","",[2]Entry!$M$1927)</f>
        <v/>
      </c>
      <c r="AF1924">
        <f>IF([2]Entry!$N$1927="","",[2]Entry!$N$1927)</f>
        <v/>
      </c>
      <c r="AJ1924">
        <f>IF([2]Entry!$S$1927="","",[2]Entry!$S$1927)</f>
        <v/>
      </c>
      <c r="AK1924">
        <f>IF([2]Entry!$C$1927="","",[2]Entry!$C$1927)</f>
        <v/>
      </c>
      <c r="AL1924">
        <f>IF([2]Entry!$D$1927="","",[2]Entry!$D$1927)</f>
        <v/>
      </c>
    </row>
    <row r="1925">
      <c r="Z1925">
        <f>IF([2]Entry!$E$1928="","",[2]Entry!$E$1928)</f>
        <v/>
      </c>
      <c r="AA1925">
        <f>IF([2]Entry!$G$1928="","",[2]Entry!$G$1928)</f>
        <v/>
      </c>
      <c r="AB1925">
        <f>IF([2]Entry!$J$1928="","",[2]Entry!$J$1928)</f>
        <v/>
      </c>
      <c r="AC1925">
        <f>IF([2]Entry!$K$1928="","",[2]Entry!$K$1928)</f>
        <v/>
      </c>
      <c r="AD1925">
        <f>IF([2]Entry!$L$1928="","",[2]Entry!$L$1928)</f>
        <v/>
      </c>
      <c r="AE1925">
        <f>IF([2]Entry!$M$1928="","",[2]Entry!$M$1928)</f>
        <v/>
      </c>
      <c r="AF1925">
        <f>IF([2]Entry!$N$1928="","",[2]Entry!$N$1928)</f>
        <v/>
      </c>
      <c r="AJ1925">
        <f>IF([2]Entry!$S$1928="","",[2]Entry!$S$1928)</f>
        <v/>
      </c>
      <c r="AK1925">
        <f>IF([2]Entry!$C$1928="","",[2]Entry!$C$1928)</f>
        <v/>
      </c>
      <c r="AL1925">
        <f>IF([2]Entry!$D$1928="","",[2]Entry!$D$1928)</f>
        <v/>
      </c>
    </row>
    <row r="1926">
      <c r="Z1926">
        <f>IF([2]Entry!$E$1929="","",[2]Entry!$E$1929)</f>
        <v/>
      </c>
      <c r="AA1926">
        <f>IF([2]Entry!$G$1929="","",[2]Entry!$G$1929)</f>
        <v/>
      </c>
      <c r="AB1926">
        <f>IF([2]Entry!$J$1929="","",[2]Entry!$J$1929)</f>
        <v/>
      </c>
      <c r="AC1926">
        <f>IF([2]Entry!$K$1929="","",[2]Entry!$K$1929)</f>
        <v/>
      </c>
      <c r="AD1926">
        <f>IF([2]Entry!$L$1929="","",[2]Entry!$L$1929)</f>
        <v/>
      </c>
      <c r="AE1926">
        <f>IF([2]Entry!$M$1929="","",[2]Entry!$M$1929)</f>
        <v/>
      </c>
      <c r="AF1926">
        <f>IF([2]Entry!$N$1929="","",[2]Entry!$N$1929)</f>
        <v/>
      </c>
      <c r="AJ1926">
        <f>IF([2]Entry!$S$1929="","",[2]Entry!$S$1929)</f>
        <v/>
      </c>
      <c r="AK1926">
        <f>IF([2]Entry!$C$1929="","",[2]Entry!$C$1929)</f>
        <v/>
      </c>
      <c r="AL1926">
        <f>IF([2]Entry!$D$1929="","",[2]Entry!$D$1929)</f>
        <v/>
      </c>
    </row>
    <row r="1927">
      <c r="Z1927">
        <f>IF([2]Entry!$E$1930="","",[2]Entry!$E$1930)</f>
        <v/>
      </c>
      <c r="AA1927">
        <f>IF([2]Entry!$G$1930="","",[2]Entry!$G$1930)</f>
        <v/>
      </c>
      <c r="AB1927">
        <f>IF([2]Entry!$J$1930="","",[2]Entry!$J$1930)</f>
        <v/>
      </c>
      <c r="AC1927">
        <f>IF([2]Entry!$K$1930="","",[2]Entry!$K$1930)</f>
        <v/>
      </c>
      <c r="AD1927">
        <f>IF([2]Entry!$L$1930="","",[2]Entry!$L$1930)</f>
        <v/>
      </c>
      <c r="AE1927">
        <f>IF([2]Entry!$M$1930="","",[2]Entry!$M$1930)</f>
        <v/>
      </c>
      <c r="AF1927">
        <f>IF([2]Entry!$N$1930="","",[2]Entry!$N$1930)</f>
        <v/>
      </c>
      <c r="AJ1927">
        <f>IF([2]Entry!$S$1930="","",[2]Entry!$S$1930)</f>
        <v/>
      </c>
      <c r="AK1927">
        <f>IF([2]Entry!$C$1930="","",[2]Entry!$C$1930)</f>
        <v/>
      </c>
      <c r="AL1927">
        <f>IF([2]Entry!$D$1930="","",[2]Entry!$D$1930)</f>
        <v/>
      </c>
    </row>
    <row r="1928">
      <c r="Z1928">
        <f>IF([2]Entry!$E$1931="","",[2]Entry!$E$1931)</f>
        <v/>
      </c>
      <c r="AA1928">
        <f>IF([2]Entry!$G$1931="","",[2]Entry!$G$1931)</f>
        <v/>
      </c>
      <c r="AB1928">
        <f>IF([2]Entry!$J$1931="","",[2]Entry!$J$1931)</f>
        <v/>
      </c>
      <c r="AC1928">
        <f>IF([2]Entry!$K$1931="","",[2]Entry!$K$1931)</f>
        <v/>
      </c>
      <c r="AD1928">
        <f>IF([2]Entry!$L$1931="","",[2]Entry!$L$1931)</f>
        <v/>
      </c>
      <c r="AE1928">
        <f>IF([2]Entry!$M$1931="","",[2]Entry!$M$1931)</f>
        <v/>
      </c>
      <c r="AF1928">
        <f>IF([2]Entry!$N$1931="","",[2]Entry!$N$1931)</f>
        <v/>
      </c>
      <c r="AJ1928">
        <f>IF([2]Entry!$S$1931="","",[2]Entry!$S$1931)</f>
        <v/>
      </c>
      <c r="AK1928">
        <f>IF([2]Entry!$C$1931="","",[2]Entry!$C$1931)</f>
        <v/>
      </c>
      <c r="AL1928">
        <f>IF([2]Entry!$D$1931="","",[2]Entry!$D$1931)</f>
        <v/>
      </c>
    </row>
    <row r="1929">
      <c r="Z1929">
        <f>IF([2]Entry!$E$1932="","",[2]Entry!$E$1932)</f>
        <v/>
      </c>
      <c r="AA1929">
        <f>IF([2]Entry!$G$1932="","",[2]Entry!$G$1932)</f>
        <v/>
      </c>
      <c r="AB1929">
        <f>IF([2]Entry!$J$1932="","",[2]Entry!$J$1932)</f>
        <v/>
      </c>
      <c r="AC1929">
        <f>IF([2]Entry!$K$1932="","",[2]Entry!$K$1932)</f>
        <v/>
      </c>
      <c r="AD1929">
        <f>IF([2]Entry!$L$1932="","",[2]Entry!$L$1932)</f>
        <v/>
      </c>
      <c r="AE1929">
        <f>IF([2]Entry!$M$1932="","",[2]Entry!$M$1932)</f>
        <v/>
      </c>
      <c r="AF1929">
        <f>IF([2]Entry!$N$1932="","",[2]Entry!$N$1932)</f>
        <v/>
      </c>
      <c r="AJ1929">
        <f>IF([2]Entry!$S$1932="","",[2]Entry!$S$1932)</f>
        <v/>
      </c>
      <c r="AK1929">
        <f>IF([2]Entry!$C$1932="","",[2]Entry!$C$1932)</f>
        <v/>
      </c>
      <c r="AL1929">
        <f>IF([2]Entry!$D$1932="","",[2]Entry!$D$1932)</f>
        <v/>
      </c>
    </row>
    <row r="1930">
      <c r="Z1930">
        <f>IF([2]Entry!$E$1933="","",[2]Entry!$E$1933)</f>
        <v/>
      </c>
      <c r="AA1930">
        <f>IF([2]Entry!$G$1933="","",[2]Entry!$G$1933)</f>
        <v/>
      </c>
      <c r="AB1930">
        <f>IF([2]Entry!$J$1933="","",[2]Entry!$J$1933)</f>
        <v/>
      </c>
      <c r="AC1930">
        <f>IF([2]Entry!$K$1933="","",[2]Entry!$K$1933)</f>
        <v/>
      </c>
      <c r="AD1930">
        <f>IF([2]Entry!$L$1933="","",[2]Entry!$L$1933)</f>
        <v/>
      </c>
      <c r="AE1930">
        <f>IF([2]Entry!$M$1933="","",[2]Entry!$M$1933)</f>
        <v/>
      </c>
      <c r="AF1930">
        <f>IF([2]Entry!$N$1933="","",[2]Entry!$N$1933)</f>
        <v/>
      </c>
      <c r="AJ1930">
        <f>IF([2]Entry!$S$1933="","",[2]Entry!$S$1933)</f>
        <v/>
      </c>
      <c r="AK1930">
        <f>IF([2]Entry!$C$1933="","",[2]Entry!$C$1933)</f>
        <v/>
      </c>
      <c r="AL1930">
        <f>IF([2]Entry!$D$1933="","",[2]Entry!$D$1933)</f>
        <v/>
      </c>
    </row>
    <row r="1931">
      <c r="Z1931">
        <f>IF([2]Entry!$E$1934="","",[2]Entry!$E$1934)</f>
        <v/>
      </c>
      <c r="AA1931">
        <f>IF([2]Entry!$G$1934="","",[2]Entry!$G$1934)</f>
        <v/>
      </c>
      <c r="AB1931">
        <f>IF([2]Entry!$J$1934="","",[2]Entry!$J$1934)</f>
        <v/>
      </c>
      <c r="AC1931">
        <f>IF([2]Entry!$K$1934="","",[2]Entry!$K$1934)</f>
        <v/>
      </c>
      <c r="AD1931">
        <f>IF([2]Entry!$L$1934="","",[2]Entry!$L$1934)</f>
        <v/>
      </c>
      <c r="AE1931">
        <f>IF([2]Entry!$M$1934="","",[2]Entry!$M$1934)</f>
        <v/>
      </c>
      <c r="AF1931">
        <f>IF([2]Entry!$N$1934="","",[2]Entry!$N$1934)</f>
        <v/>
      </c>
      <c r="AJ1931">
        <f>IF([2]Entry!$S$1934="","",[2]Entry!$S$1934)</f>
        <v/>
      </c>
      <c r="AK1931">
        <f>IF([2]Entry!$C$1934="","",[2]Entry!$C$1934)</f>
        <v/>
      </c>
      <c r="AL1931">
        <f>IF([2]Entry!$D$1934="","",[2]Entry!$D$1934)</f>
        <v/>
      </c>
    </row>
    <row r="1932">
      <c r="Z1932">
        <f>IF([2]Entry!$E$1935="","",[2]Entry!$E$1935)</f>
        <v/>
      </c>
      <c r="AA1932">
        <f>IF([2]Entry!$G$1935="","",[2]Entry!$G$1935)</f>
        <v/>
      </c>
      <c r="AB1932">
        <f>IF([2]Entry!$J$1935="","",[2]Entry!$J$1935)</f>
        <v/>
      </c>
      <c r="AC1932">
        <f>IF([2]Entry!$K$1935="","",[2]Entry!$K$1935)</f>
        <v/>
      </c>
      <c r="AD1932">
        <f>IF([2]Entry!$L$1935="","",[2]Entry!$L$1935)</f>
        <v/>
      </c>
      <c r="AE1932">
        <f>IF([2]Entry!$M$1935="","",[2]Entry!$M$1935)</f>
        <v/>
      </c>
      <c r="AF1932">
        <f>IF([2]Entry!$N$1935="","",[2]Entry!$N$1935)</f>
        <v/>
      </c>
      <c r="AJ1932">
        <f>IF([2]Entry!$S$1935="","",[2]Entry!$S$1935)</f>
        <v/>
      </c>
      <c r="AK1932">
        <f>IF([2]Entry!$C$1935="","",[2]Entry!$C$1935)</f>
        <v/>
      </c>
      <c r="AL1932">
        <f>IF([2]Entry!$D$1935="","",[2]Entry!$D$1935)</f>
        <v/>
      </c>
    </row>
    <row r="1933">
      <c r="Z1933">
        <f>IF([2]Entry!$E$1936="","",[2]Entry!$E$1936)</f>
        <v/>
      </c>
      <c r="AA1933">
        <f>IF([2]Entry!$G$1936="","",[2]Entry!$G$1936)</f>
        <v/>
      </c>
      <c r="AB1933">
        <f>IF([2]Entry!$J$1936="","",[2]Entry!$J$1936)</f>
        <v/>
      </c>
      <c r="AC1933">
        <f>IF([2]Entry!$K$1936="","",[2]Entry!$K$1936)</f>
        <v/>
      </c>
      <c r="AD1933">
        <f>IF([2]Entry!$L$1936="","",[2]Entry!$L$1936)</f>
        <v/>
      </c>
      <c r="AE1933">
        <f>IF([2]Entry!$M$1936="","",[2]Entry!$M$1936)</f>
        <v/>
      </c>
      <c r="AF1933">
        <f>IF([2]Entry!$N$1936="","",[2]Entry!$N$1936)</f>
        <v/>
      </c>
      <c r="AJ1933">
        <f>IF([2]Entry!$S$1936="","",[2]Entry!$S$1936)</f>
        <v/>
      </c>
      <c r="AK1933">
        <f>IF([2]Entry!$C$1936="","",[2]Entry!$C$1936)</f>
        <v/>
      </c>
      <c r="AL1933">
        <f>IF([2]Entry!$D$1936="","",[2]Entry!$D$1936)</f>
        <v/>
      </c>
    </row>
    <row r="1934">
      <c r="Z1934">
        <f>IF([2]Entry!$E$1937="","",[2]Entry!$E$1937)</f>
        <v/>
      </c>
      <c r="AA1934">
        <f>IF([2]Entry!$G$1937="","",[2]Entry!$G$1937)</f>
        <v/>
      </c>
      <c r="AB1934">
        <f>IF([2]Entry!$J$1937="","",[2]Entry!$J$1937)</f>
        <v/>
      </c>
      <c r="AC1934">
        <f>IF([2]Entry!$K$1937="","",[2]Entry!$K$1937)</f>
        <v/>
      </c>
      <c r="AD1934">
        <f>IF([2]Entry!$L$1937="","",[2]Entry!$L$1937)</f>
        <v/>
      </c>
      <c r="AE1934">
        <f>IF([2]Entry!$M$1937="","",[2]Entry!$M$1937)</f>
        <v/>
      </c>
      <c r="AF1934">
        <f>IF([2]Entry!$N$1937="","",[2]Entry!$N$1937)</f>
        <v/>
      </c>
      <c r="AJ1934">
        <f>IF([2]Entry!$S$1937="","",[2]Entry!$S$1937)</f>
        <v/>
      </c>
      <c r="AK1934">
        <f>IF([2]Entry!$C$1937="","",[2]Entry!$C$1937)</f>
        <v/>
      </c>
      <c r="AL1934">
        <f>IF([2]Entry!$D$1937="","",[2]Entry!$D$1937)</f>
        <v/>
      </c>
    </row>
    <row r="1935">
      <c r="Z1935">
        <f>IF([2]Entry!$E$1938="","",[2]Entry!$E$1938)</f>
        <v/>
      </c>
      <c r="AA1935">
        <f>IF([2]Entry!$G$1938="","",[2]Entry!$G$1938)</f>
        <v/>
      </c>
      <c r="AB1935">
        <f>IF([2]Entry!$J$1938="","",[2]Entry!$J$1938)</f>
        <v/>
      </c>
      <c r="AC1935">
        <f>IF([2]Entry!$K$1938="","",[2]Entry!$K$1938)</f>
        <v/>
      </c>
      <c r="AD1935">
        <f>IF([2]Entry!$L$1938="","",[2]Entry!$L$1938)</f>
        <v/>
      </c>
      <c r="AE1935">
        <f>IF([2]Entry!$M$1938="","",[2]Entry!$M$1938)</f>
        <v/>
      </c>
      <c r="AF1935">
        <f>IF([2]Entry!$N$1938="","",[2]Entry!$N$1938)</f>
        <v/>
      </c>
      <c r="AJ1935">
        <f>IF([2]Entry!$S$1938="","",[2]Entry!$S$1938)</f>
        <v/>
      </c>
      <c r="AK1935">
        <f>IF([2]Entry!$C$1938="","",[2]Entry!$C$1938)</f>
        <v/>
      </c>
      <c r="AL1935">
        <f>IF([2]Entry!$D$1938="","",[2]Entry!$D$1938)</f>
        <v/>
      </c>
    </row>
    <row r="1936">
      <c r="Z1936">
        <f>IF([2]Entry!$E$1939="","",[2]Entry!$E$1939)</f>
        <v/>
      </c>
      <c r="AA1936">
        <f>IF([2]Entry!$G$1939="","",[2]Entry!$G$1939)</f>
        <v/>
      </c>
      <c r="AB1936">
        <f>IF([2]Entry!$J$1939="","",[2]Entry!$J$1939)</f>
        <v/>
      </c>
      <c r="AC1936">
        <f>IF([2]Entry!$K$1939="","",[2]Entry!$K$1939)</f>
        <v/>
      </c>
      <c r="AD1936">
        <f>IF([2]Entry!$L$1939="","",[2]Entry!$L$1939)</f>
        <v/>
      </c>
      <c r="AE1936">
        <f>IF([2]Entry!$M$1939="","",[2]Entry!$M$1939)</f>
        <v/>
      </c>
      <c r="AF1936">
        <f>IF([2]Entry!$N$1939="","",[2]Entry!$N$1939)</f>
        <v/>
      </c>
      <c r="AJ1936">
        <f>IF([2]Entry!$S$1939="","",[2]Entry!$S$1939)</f>
        <v/>
      </c>
      <c r="AK1936">
        <f>IF([2]Entry!$C$1939="","",[2]Entry!$C$1939)</f>
        <v/>
      </c>
      <c r="AL1936">
        <f>IF([2]Entry!$D$1939="","",[2]Entry!$D$1939)</f>
        <v/>
      </c>
    </row>
    <row r="1937">
      <c r="Z1937">
        <f>IF([2]Entry!$E$1940="","",[2]Entry!$E$1940)</f>
        <v/>
      </c>
      <c r="AA1937">
        <f>IF([2]Entry!$G$1940="","",[2]Entry!$G$1940)</f>
        <v/>
      </c>
      <c r="AB1937">
        <f>IF([2]Entry!$J$1940="","",[2]Entry!$J$1940)</f>
        <v/>
      </c>
      <c r="AC1937">
        <f>IF([2]Entry!$K$1940="","",[2]Entry!$K$1940)</f>
        <v/>
      </c>
      <c r="AD1937">
        <f>IF([2]Entry!$L$1940="","",[2]Entry!$L$1940)</f>
        <v/>
      </c>
      <c r="AE1937">
        <f>IF([2]Entry!$M$1940="","",[2]Entry!$M$1940)</f>
        <v/>
      </c>
      <c r="AF1937">
        <f>IF([2]Entry!$N$1940="","",[2]Entry!$N$1940)</f>
        <v/>
      </c>
      <c r="AJ1937">
        <f>IF([2]Entry!$S$1940="","",[2]Entry!$S$1940)</f>
        <v/>
      </c>
      <c r="AK1937">
        <f>IF([2]Entry!$C$1940="","",[2]Entry!$C$1940)</f>
        <v/>
      </c>
      <c r="AL1937">
        <f>IF([2]Entry!$D$1940="","",[2]Entry!$D$1940)</f>
        <v/>
      </c>
    </row>
    <row r="1938">
      <c r="Z1938">
        <f>IF([2]Entry!$E$1941="","",[2]Entry!$E$1941)</f>
        <v/>
      </c>
      <c r="AA1938">
        <f>IF([2]Entry!$G$1941="","",[2]Entry!$G$1941)</f>
        <v/>
      </c>
      <c r="AB1938">
        <f>IF([2]Entry!$J$1941="","",[2]Entry!$J$1941)</f>
        <v/>
      </c>
      <c r="AC1938">
        <f>IF([2]Entry!$K$1941="","",[2]Entry!$K$1941)</f>
        <v/>
      </c>
      <c r="AD1938">
        <f>IF([2]Entry!$L$1941="","",[2]Entry!$L$1941)</f>
        <v/>
      </c>
      <c r="AE1938">
        <f>IF([2]Entry!$M$1941="","",[2]Entry!$M$1941)</f>
        <v/>
      </c>
      <c r="AF1938">
        <f>IF([2]Entry!$N$1941="","",[2]Entry!$N$1941)</f>
        <v/>
      </c>
      <c r="AJ1938">
        <f>IF([2]Entry!$S$1941="","",[2]Entry!$S$1941)</f>
        <v/>
      </c>
      <c r="AK1938">
        <f>IF([2]Entry!$C$1941="","",[2]Entry!$C$1941)</f>
        <v/>
      </c>
      <c r="AL1938">
        <f>IF([2]Entry!$D$1941="","",[2]Entry!$D$1941)</f>
        <v/>
      </c>
    </row>
    <row r="1939">
      <c r="Z1939">
        <f>IF([2]Entry!$E$1942="","",[2]Entry!$E$1942)</f>
        <v/>
      </c>
      <c r="AA1939">
        <f>IF([2]Entry!$G$1942="","",[2]Entry!$G$1942)</f>
        <v/>
      </c>
      <c r="AB1939">
        <f>IF([2]Entry!$J$1942="","",[2]Entry!$J$1942)</f>
        <v/>
      </c>
      <c r="AC1939">
        <f>IF([2]Entry!$K$1942="","",[2]Entry!$K$1942)</f>
        <v/>
      </c>
      <c r="AD1939">
        <f>IF([2]Entry!$L$1942="","",[2]Entry!$L$1942)</f>
        <v/>
      </c>
      <c r="AE1939">
        <f>IF([2]Entry!$M$1942="","",[2]Entry!$M$1942)</f>
        <v/>
      </c>
      <c r="AF1939">
        <f>IF([2]Entry!$N$1942="","",[2]Entry!$N$1942)</f>
        <v/>
      </c>
      <c r="AJ1939">
        <f>IF([2]Entry!$S$1942="","",[2]Entry!$S$1942)</f>
        <v/>
      </c>
      <c r="AK1939">
        <f>IF([2]Entry!$C$1942="","",[2]Entry!$C$1942)</f>
        <v/>
      </c>
      <c r="AL1939">
        <f>IF([2]Entry!$D$1942="","",[2]Entry!$D$1942)</f>
        <v/>
      </c>
    </row>
    <row r="1940">
      <c r="Z1940">
        <f>IF([2]Entry!$E$1943="","",[2]Entry!$E$1943)</f>
        <v/>
      </c>
      <c r="AA1940">
        <f>IF([2]Entry!$G$1943="","",[2]Entry!$G$1943)</f>
        <v/>
      </c>
      <c r="AB1940">
        <f>IF([2]Entry!$J$1943="","",[2]Entry!$J$1943)</f>
        <v/>
      </c>
      <c r="AC1940">
        <f>IF([2]Entry!$K$1943="","",[2]Entry!$K$1943)</f>
        <v/>
      </c>
      <c r="AD1940">
        <f>IF([2]Entry!$L$1943="","",[2]Entry!$L$1943)</f>
        <v/>
      </c>
      <c r="AE1940">
        <f>IF([2]Entry!$M$1943="","",[2]Entry!$M$1943)</f>
        <v/>
      </c>
      <c r="AF1940">
        <f>IF([2]Entry!$N$1943="","",[2]Entry!$N$1943)</f>
        <v/>
      </c>
      <c r="AJ1940">
        <f>IF([2]Entry!$S$1943="","",[2]Entry!$S$1943)</f>
        <v/>
      </c>
      <c r="AK1940">
        <f>IF([2]Entry!$C$1943="","",[2]Entry!$C$1943)</f>
        <v/>
      </c>
      <c r="AL1940">
        <f>IF([2]Entry!$D$1943="","",[2]Entry!$D$1943)</f>
        <v/>
      </c>
    </row>
    <row r="1941">
      <c r="Z1941">
        <f>IF([2]Entry!$E$1944="","",[2]Entry!$E$1944)</f>
        <v/>
      </c>
      <c r="AA1941">
        <f>IF([2]Entry!$G$1944="","",[2]Entry!$G$1944)</f>
        <v/>
      </c>
      <c r="AB1941">
        <f>IF([2]Entry!$J$1944="","",[2]Entry!$J$1944)</f>
        <v/>
      </c>
      <c r="AC1941">
        <f>IF([2]Entry!$K$1944="","",[2]Entry!$K$1944)</f>
        <v/>
      </c>
      <c r="AD1941">
        <f>IF([2]Entry!$L$1944="","",[2]Entry!$L$1944)</f>
        <v/>
      </c>
      <c r="AE1941">
        <f>IF([2]Entry!$M$1944="","",[2]Entry!$M$1944)</f>
        <v/>
      </c>
      <c r="AF1941">
        <f>IF([2]Entry!$N$1944="","",[2]Entry!$N$1944)</f>
        <v/>
      </c>
      <c r="AJ1941">
        <f>IF([2]Entry!$S$1944="","",[2]Entry!$S$1944)</f>
        <v/>
      </c>
      <c r="AK1941">
        <f>IF([2]Entry!$C$1944="","",[2]Entry!$C$1944)</f>
        <v/>
      </c>
      <c r="AL1941">
        <f>IF([2]Entry!$D$1944="","",[2]Entry!$D$1944)</f>
        <v/>
      </c>
    </row>
    <row r="1942">
      <c r="Z1942">
        <f>IF([2]Entry!$E$1945="","",[2]Entry!$E$1945)</f>
        <v/>
      </c>
      <c r="AA1942">
        <f>IF([2]Entry!$G$1945="","",[2]Entry!$G$1945)</f>
        <v/>
      </c>
      <c r="AB1942">
        <f>IF([2]Entry!$J$1945="","",[2]Entry!$J$1945)</f>
        <v/>
      </c>
      <c r="AC1942">
        <f>IF([2]Entry!$K$1945="","",[2]Entry!$K$1945)</f>
        <v/>
      </c>
      <c r="AD1942">
        <f>IF([2]Entry!$L$1945="","",[2]Entry!$L$1945)</f>
        <v/>
      </c>
      <c r="AE1942">
        <f>IF([2]Entry!$M$1945="","",[2]Entry!$M$1945)</f>
        <v/>
      </c>
      <c r="AF1942">
        <f>IF([2]Entry!$N$1945="","",[2]Entry!$N$1945)</f>
        <v/>
      </c>
      <c r="AJ1942">
        <f>IF([2]Entry!$S$1945="","",[2]Entry!$S$1945)</f>
        <v/>
      </c>
      <c r="AK1942">
        <f>IF([2]Entry!$C$1945="","",[2]Entry!$C$1945)</f>
        <v/>
      </c>
      <c r="AL1942">
        <f>IF([2]Entry!$D$1945="","",[2]Entry!$D$1945)</f>
        <v/>
      </c>
    </row>
    <row r="1943">
      <c r="Z1943">
        <f>IF([2]Entry!$E$1946="","",[2]Entry!$E$1946)</f>
        <v/>
      </c>
      <c r="AA1943">
        <f>IF([2]Entry!$G$1946="","",[2]Entry!$G$1946)</f>
        <v/>
      </c>
      <c r="AB1943">
        <f>IF([2]Entry!$J$1946="","",[2]Entry!$J$1946)</f>
        <v/>
      </c>
      <c r="AC1943">
        <f>IF([2]Entry!$K$1946="","",[2]Entry!$K$1946)</f>
        <v/>
      </c>
      <c r="AD1943">
        <f>IF([2]Entry!$L$1946="","",[2]Entry!$L$1946)</f>
        <v/>
      </c>
      <c r="AE1943">
        <f>IF([2]Entry!$M$1946="","",[2]Entry!$M$1946)</f>
        <v/>
      </c>
      <c r="AF1943">
        <f>IF([2]Entry!$N$1946="","",[2]Entry!$N$1946)</f>
        <v/>
      </c>
      <c r="AJ1943">
        <f>IF([2]Entry!$S$1946="","",[2]Entry!$S$1946)</f>
        <v/>
      </c>
      <c r="AK1943">
        <f>IF([2]Entry!$C$1946="","",[2]Entry!$C$1946)</f>
        <v/>
      </c>
      <c r="AL1943">
        <f>IF([2]Entry!$D$1946="","",[2]Entry!$D$1946)</f>
        <v/>
      </c>
    </row>
    <row r="1944">
      <c r="Z1944">
        <f>IF([2]Entry!$E$1947="","",[2]Entry!$E$1947)</f>
        <v/>
      </c>
      <c r="AA1944">
        <f>IF([2]Entry!$G$1947="","",[2]Entry!$G$1947)</f>
        <v/>
      </c>
      <c r="AB1944">
        <f>IF([2]Entry!$J$1947="","",[2]Entry!$J$1947)</f>
        <v/>
      </c>
      <c r="AC1944">
        <f>IF([2]Entry!$K$1947="","",[2]Entry!$K$1947)</f>
        <v/>
      </c>
      <c r="AD1944">
        <f>IF([2]Entry!$L$1947="","",[2]Entry!$L$1947)</f>
        <v/>
      </c>
      <c r="AE1944">
        <f>IF([2]Entry!$M$1947="","",[2]Entry!$M$1947)</f>
        <v/>
      </c>
      <c r="AF1944">
        <f>IF([2]Entry!$N$1947="","",[2]Entry!$N$1947)</f>
        <v/>
      </c>
      <c r="AJ1944">
        <f>IF([2]Entry!$S$1947="","",[2]Entry!$S$1947)</f>
        <v/>
      </c>
      <c r="AK1944">
        <f>IF([2]Entry!$C$1947="","",[2]Entry!$C$1947)</f>
        <v/>
      </c>
      <c r="AL1944">
        <f>IF([2]Entry!$D$1947="","",[2]Entry!$D$1947)</f>
        <v/>
      </c>
    </row>
    <row r="1945">
      <c r="Z1945">
        <f>IF([2]Entry!$E$1948="","",[2]Entry!$E$1948)</f>
        <v/>
      </c>
      <c r="AA1945">
        <f>IF([2]Entry!$G$1948="","",[2]Entry!$G$1948)</f>
        <v/>
      </c>
      <c r="AB1945">
        <f>IF([2]Entry!$J$1948="","",[2]Entry!$J$1948)</f>
        <v/>
      </c>
      <c r="AC1945">
        <f>IF([2]Entry!$K$1948="","",[2]Entry!$K$1948)</f>
        <v/>
      </c>
      <c r="AD1945">
        <f>IF([2]Entry!$L$1948="","",[2]Entry!$L$1948)</f>
        <v/>
      </c>
      <c r="AE1945">
        <f>IF([2]Entry!$M$1948="","",[2]Entry!$M$1948)</f>
        <v/>
      </c>
      <c r="AF1945">
        <f>IF([2]Entry!$N$1948="","",[2]Entry!$N$1948)</f>
        <v/>
      </c>
      <c r="AJ1945">
        <f>IF([2]Entry!$S$1948="","",[2]Entry!$S$1948)</f>
        <v/>
      </c>
      <c r="AK1945">
        <f>IF([2]Entry!$C$1948="","",[2]Entry!$C$1948)</f>
        <v/>
      </c>
      <c r="AL1945">
        <f>IF([2]Entry!$D$1948="","",[2]Entry!$D$1948)</f>
        <v/>
      </c>
    </row>
    <row r="1946">
      <c r="Z1946">
        <f>IF([2]Entry!$E$1949="","",[2]Entry!$E$1949)</f>
        <v/>
      </c>
      <c r="AA1946">
        <f>IF([2]Entry!$G$1949="","",[2]Entry!$G$1949)</f>
        <v/>
      </c>
      <c r="AB1946">
        <f>IF([2]Entry!$J$1949="","",[2]Entry!$J$1949)</f>
        <v/>
      </c>
      <c r="AC1946">
        <f>IF([2]Entry!$K$1949="","",[2]Entry!$K$1949)</f>
        <v/>
      </c>
      <c r="AD1946">
        <f>IF([2]Entry!$L$1949="","",[2]Entry!$L$1949)</f>
        <v/>
      </c>
      <c r="AE1946">
        <f>IF([2]Entry!$M$1949="","",[2]Entry!$M$1949)</f>
        <v/>
      </c>
      <c r="AF1946">
        <f>IF([2]Entry!$N$1949="","",[2]Entry!$N$1949)</f>
        <v/>
      </c>
      <c r="AJ1946">
        <f>IF([2]Entry!$S$1949="","",[2]Entry!$S$1949)</f>
        <v/>
      </c>
      <c r="AK1946">
        <f>IF([2]Entry!$C$1949="","",[2]Entry!$C$1949)</f>
        <v/>
      </c>
      <c r="AL1946">
        <f>IF([2]Entry!$D$1949="","",[2]Entry!$D$1949)</f>
        <v/>
      </c>
    </row>
    <row r="1947">
      <c r="Z1947">
        <f>IF([2]Entry!$E$1950="","",[2]Entry!$E$1950)</f>
        <v/>
      </c>
      <c r="AA1947">
        <f>IF([2]Entry!$G$1950="","",[2]Entry!$G$1950)</f>
        <v/>
      </c>
      <c r="AB1947">
        <f>IF([2]Entry!$J$1950="","",[2]Entry!$J$1950)</f>
        <v/>
      </c>
      <c r="AC1947">
        <f>IF([2]Entry!$K$1950="","",[2]Entry!$K$1950)</f>
        <v/>
      </c>
      <c r="AD1947">
        <f>IF([2]Entry!$L$1950="","",[2]Entry!$L$1950)</f>
        <v/>
      </c>
      <c r="AE1947">
        <f>IF([2]Entry!$M$1950="","",[2]Entry!$M$1950)</f>
        <v/>
      </c>
      <c r="AF1947">
        <f>IF([2]Entry!$N$1950="","",[2]Entry!$N$1950)</f>
        <v/>
      </c>
      <c r="AJ1947">
        <f>IF([2]Entry!$S$1950="","",[2]Entry!$S$1950)</f>
        <v/>
      </c>
      <c r="AK1947">
        <f>IF([2]Entry!$C$1950="","",[2]Entry!$C$1950)</f>
        <v/>
      </c>
      <c r="AL1947">
        <f>IF([2]Entry!$D$1950="","",[2]Entry!$D$1950)</f>
        <v/>
      </c>
    </row>
    <row r="1948">
      <c r="Z1948">
        <f>IF([2]Entry!$E$1951="","",[2]Entry!$E$1951)</f>
        <v/>
      </c>
      <c r="AA1948">
        <f>IF([2]Entry!$G$1951="","",[2]Entry!$G$1951)</f>
        <v/>
      </c>
      <c r="AB1948">
        <f>IF([2]Entry!$J$1951="","",[2]Entry!$J$1951)</f>
        <v/>
      </c>
      <c r="AC1948">
        <f>IF([2]Entry!$K$1951="","",[2]Entry!$K$1951)</f>
        <v/>
      </c>
      <c r="AD1948">
        <f>IF([2]Entry!$L$1951="","",[2]Entry!$L$1951)</f>
        <v/>
      </c>
      <c r="AE1948">
        <f>IF([2]Entry!$M$1951="","",[2]Entry!$M$1951)</f>
        <v/>
      </c>
      <c r="AF1948">
        <f>IF([2]Entry!$N$1951="","",[2]Entry!$N$1951)</f>
        <v/>
      </c>
      <c r="AJ1948">
        <f>IF([2]Entry!$S$1951="","",[2]Entry!$S$1951)</f>
        <v/>
      </c>
      <c r="AK1948">
        <f>IF([2]Entry!$C$1951="","",[2]Entry!$C$1951)</f>
        <v/>
      </c>
      <c r="AL1948">
        <f>IF([2]Entry!$D$1951="","",[2]Entry!$D$1951)</f>
        <v/>
      </c>
    </row>
    <row r="1949">
      <c r="Z1949">
        <f>IF([2]Entry!$E$1952="","",[2]Entry!$E$1952)</f>
        <v/>
      </c>
      <c r="AA1949">
        <f>IF([2]Entry!$G$1952="","",[2]Entry!$G$1952)</f>
        <v/>
      </c>
      <c r="AB1949">
        <f>IF([2]Entry!$J$1952="","",[2]Entry!$J$1952)</f>
        <v/>
      </c>
      <c r="AC1949">
        <f>IF([2]Entry!$K$1952="","",[2]Entry!$K$1952)</f>
        <v/>
      </c>
      <c r="AD1949">
        <f>IF([2]Entry!$L$1952="","",[2]Entry!$L$1952)</f>
        <v/>
      </c>
      <c r="AE1949">
        <f>IF([2]Entry!$M$1952="","",[2]Entry!$M$1952)</f>
        <v/>
      </c>
      <c r="AF1949">
        <f>IF([2]Entry!$N$1952="","",[2]Entry!$N$1952)</f>
        <v/>
      </c>
      <c r="AJ1949">
        <f>IF([2]Entry!$S$1952="","",[2]Entry!$S$1952)</f>
        <v/>
      </c>
      <c r="AK1949">
        <f>IF([2]Entry!$C$1952="","",[2]Entry!$C$1952)</f>
        <v/>
      </c>
      <c r="AL1949">
        <f>IF([2]Entry!$D$1952="","",[2]Entry!$D$1952)</f>
        <v/>
      </c>
    </row>
    <row r="1950">
      <c r="Z1950">
        <f>IF([2]Entry!$E$1953="","",[2]Entry!$E$1953)</f>
        <v/>
      </c>
      <c r="AA1950">
        <f>IF([2]Entry!$G$1953="","",[2]Entry!$G$1953)</f>
        <v/>
      </c>
      <c r="AB1950">
        <f>IF([2]Entry!$J$1953="","",[2]Entry!$J$1953)</f>
        <v/>
      </c>
      <c r="AC1950">
        <f>IF([2]Entry!$K$1953="","",[2]Entry!$K$1953)</f>
        <v/>
      </c>
      <c r="AD1950">
        <f>IF([2]Entry!$L$1953="","",[2]Entry!$L$1953)</f>
        <v/>
      </c>
      <c r="AE1950">
        <f>IF([2]Entry!$M$1953="","",[2]Entry!$M$1953)</f>
        <v/>
      </c>
      <c r="AF1950">
        <f>IF([2]Entry!$N$1953="","",[2]Entry!$N$1953)</f>
        <v/>
      </c>
      <c r="AJ1950">
        <f>IF([2]Entry!$S$1953="","",[2]Entry!$S$1953)</f>
        <v/>
      </c>
      <c r="AK1950">
        <f>IF([2]Entry!$C$1953="","",[2]Entry!$C$1953)</f>
        <v/>
      </c>
      <c r="AL1950">
        <f>IF([2]Entry!$D$1953="","",[2]Entry!$D$1953)</f>
        <v/>
      </c>
    </row>
    <row r="1951">
      <c r="Z1951">
        <f>IF([2]Entry!$E$1954="","",[2]Entry!$E$1954)</f>
        <v/>
      </c>
      <c r="AA1951">
        <f>IF([2]Entry!$G$1954="","",[2]Entry!$G$1954)</f>
        <v/>
      </c>
      <c r="AB1951">
        <f>IF([2]Entry!$J$1954="","",[2]Entry!$J$1954)</f>
        <v/>
      </c>
      <c r="AC1951">
        <f>IF([2]Entry!$K$1954="","",[2]Entry!$K$1954)</f>
        <v/>
      </c>
      <c r="AD1951">
        <f>IF([2]Entry!$L$1954="","",[2]Entry!$L$1954)</f>
        <v/>
      </c>
      <c r="AE1951">
        <f>IF([2]Entry!$M$1954="","",[2]Entry!$M$1954)</f>
        <v/>
      </c>
      <c r="AF1951">
        <f>IF([2]Entry!$N$1954="","",[2]Entry!$N$1954)</f>
        <v/>
      </c>
      <c r="AJ1951">
        <f>IF([2]Entry!$S$1954="","",[2]Entry!$S$1954)</f>
        <v/>
      </c>
      <c r="AK1951">
        <f>IF([2]Entry!$C$1954="","",[2]Entry!$C$1954)</f>
        <v/>
      </c>
      <c r="AL1951">
        <f>IF([2]Entry!$D$1954="","",[2]Entry!$D$1954)</f>
        <v/>
      </c>
    </row>
    <row r="1952">
      <c r="Z1952">
        <f>IF([2]Entry!$E$1955="","",[2]Entry!$E$1955)</f>
        <v/>
      </c>
      <c r="AA1952">
        <f>IF([2]Entry!$G$1955="","",[2]Entry!$G$1955)</f>
        <v/>
      </c>
      <c r="AB1952">
        <f>IF([2]Entry!$J$1955="","",[2]Entry!$J$1955)</f>
        <v/>
      </c>
      <c r="AC1952">
        <f>IF([2]Entry!$K$1955="","",[2]Entry!$K$1955)</f>
        <v/>
      </c>
      <c r="AD1952">
        <f>IF([2]Entry!$L$1955="","",[2]Entry!$L$1955)</f>
        <v/>
      </c>
      <c r="AE1952">
        <f>IF([2]Entry!$M$1955="","",[2]Entry!$M$1955)</f>
        <v/>
      </c>
      <c r="AF1952">
        <f>IF([2]Entry!$N$1955="","",[2]Entry!$N$1955)</f>
        <v/>
      </c>
      <c r="AJ1952">
        <f>IF([2]Entry!$S$1955="","",[2]Entry!$S$1955)</f>
        <v/>
      </c>
      <c r="AK1952">
        <f>IF([2]Entry!$C$1955="","",[2]Entry!$C$1955)</f>
        <v/>
      </c>
      <c r="AL1952">
        <f>IF([2]Entry!$D$1955="","",[2]Entry!$D$1955)</f>
        <v/>
      </c>
    </row>
    <row r="1953">
      <c r="Z1953">
        <f>IF([2]Entry!$E$1956="","",[2]Entry!$E$1956)</f>
        <v/>
      </c>
      <c r="AA1953">
        <f>IF([2]Entry!$G$1956="","",[2]Entry!$G$1956)</f>
        <v/>
      </c>
      <c r="AB1953">
        <f>IF([2]Entry!$J$1956="","",[2]Entry!$J$1956)</f>
        <v/>
      </c>
      <c r="AC1953">
        <f>IF([2]Entry!$K$1956="","",[2]Entry!$K$1956)</f>
        <v/>
      </c>
      <c r="AD1953">
        <f>IF([2]Entry!$L$1956="","",[2]Entry!$L$1956)</f>
        <v/>
      </c>
      <c r="AE1953">
        <f>IF([2]Entry!$M$1956="","",[2]Entry!$M$1956)</f>
        <v/>
      </c>
      <c r="AF1953">
        <f>IF([2]Entry!$N$1956="","",[2]Entry!$N$1956)</f>
        <v/>
      </c>
      <c r="AJ1953">
        <f>IF([2]Entry!$S$1956="","",[2]Entry!$S$1956)</f>
        <v/>
      </c>
      <c r="AK1953">
        <f>IF([2]Entry!$C$1956="","",[2]Entry!$C$1956)</f>
        <v/>
      </c>
      <c r="AL1953">
        <f>IF([2]Entry!$D$1956="","",[2]Entry!$D$1956)</f>
        <v/>
      </c>
    </row>
    <row r="1954">
      <c r="Z1954">
        <f>IF([2]Entry!$E$1957="","",[2]Entry!$E$1957)</f>
        <v/>
      </c>
      <c r="AA1954">
        <f>IF([2]Entry!$G$1957="","",[2]Entry!$G$1957)</f>
        <v/>
      </c>
      <c r="AB1954">
        <f>IF([2]Entry!$J$1957="","",[2]Entry!$J$1957)</f>
        <v/>
      </c>
      <c r="AC1954">
        <f>IF([2]Entry!$K$1957="","",[2]Entry!$K$1957)</f>
        <v/>
      </c>
      <c r="AD1954">
        <f>IF([2]Entry!$L$1957="","",[2]Entry!$L$1957)</f>
        <v/>
      </c>
      <c r="AE1954">
        <f>IF([2]Entry!$M$1957="","",[2]Entry!$M$1957)</f>
        <v/>
      </c>
      <c r="AF1954">
        <f>IF([2]Entry!$N$1957="","",[2]Entry!$N$1957)</f>
        <v/>
      </c>
      <c r="AJ1954">
        <f>IF([2]Entry!$S$1957="","",[2]Entry!$S$1957)</f>
        <v/>
      </c>
      <c r="AK1954">
        <f>IF([2]Entry!$C$1957="","",[2]Entry!$C$1957)</f>
        <v/>
      </c>
      <c r="AL1954">
        <f>IF([2]Entry!$D$1957="","",[2]Entry!$D$1957)</f>
        <v/>
      </c>
    </row>
    <row r="1955">
      <c r="Z1955">
        <f>IF([2]Entry!$E$1958="","",[2]Entry!$E$1958)</f>
        <v/>
      </c>
      <c r="AA1955">
        <f>IF([2]Entry!$G$1958="","",[2]Entry!$G$1958)</f>
        <v/>
      </c>
      <c r="AB1955">
        <f>IF([2]Entry!$J$1958="","",[2]Entry!$J$1958)</f>
        <v/>
      </c>
      <c r="AC1955">
        <f>IF([2]Entry!$K$1958="","",[2]Entry!$K$1958)</f>
        <v/>
      </c>
      <c r="AD1955">
        <f>IF([2]Entry!$L$1958="","",[2]Entry!$L$1958)</f>
        <v/>
      </c>
      <c r="AE1955">
        <f>IF([2]Entry!$M$1958="","",[2]Entry!$M$1958)</f>
        <v/>
      </c>
      <c r="AF1955">
        <f>IF([2]Entry!$N$1958="","",[2]Entry!$N$1958)</f>
        <v/>
      </c>
      <c r="AJ1955">
        <f>IF([2]Entry!$S$1958="","",[2]Entry!$S$1958)</f>
        <v/>
      </c>
      <c r="AK1955">
        <f>IF([2]Entry!$C$1958="","",[2]Entry!$C$1958)</f>
        <v/>
      </c>
      <c r="AL1955">
        <f>IF([2]Entry!$D$1958="","",[2]Entry!$D$1958)</f>
        <v/>
      </c>
    </row>
    <row r="1956">
      <c r="Z1956">
        <f>IF([2]Entry!$E$1959="","",[2]Entry!$E$1959)</f>
        <v/>
      </c>
      <c r="AA1956">
        <f>IF([2]Entry!$G$1959="","",[2]Entry!$G$1959)</f>
        <v/>
      </c>
      <c r="AB1956">
        <f>IF([2]Entry!$J$1959="","",[2]Entry!$J$1959)</f>
        <v/>
      </c>
      <c r="AC1956">
        <f>IF([2]Entry!$K$1959="","",[2]Entry!$K$1959)</f>
        <v/>
      </c>
      <c r="AD1956">
        <f>IF([2]Entry!$L$1959="","",[2]Entry!$L$1959)</f>
        <v/>
      </c>
      <c r="AE1956">
        <f>IF([2]Entry!$M$1959="","",[2]Entry!$M$1959)</f>
        <v/>
      </c>
      <c r="AF1956">
        <f>IF([2]Entry!$N$1959="","",[2]Entry!$N$1959)</f>
        <v/>
      </c>
      <c r="AJ1956">
        <f>IF([2]Entry!$S$1959="","",[2]Entry!$S$1959)</f>
        <v/>
      </c>
      <c r="AK1956">
        <f>IF([2]Entry!$C$1959="","",[2]Entry!$C$1959)</f>
        <v/>
      </c>
      <c r="AL1956">
        <f>IF([2]Entry!$D$1959="","",[2]Entry!$D$1959)</f>
        <v/>
      </c>
    </row>
    <row r="1957">
      <c r="Z1957">
        <f>IF([2]Entry!$E$1960="","",[2]Entry!$E$1960)</f>
        <v/>
      </c>
      <c r="AA1957">
        <f>IF([2]Entry!$G$1960="","",[2]Entry!$G$1960)</f>
        <v/>
      </c>
      <c r="AB1957">
        <f>IF([2]Entry!$J$1960="","",[2]Entry!$J$1960)</f>
        <v/>
      </c>
      <c r="AC1957">
        <f>IF([2]Entry!$K$1960="","",[2]Entry!$K$1960)</f>
        <v/>
      </c>
      <c r="AD1957">
        <f>IF([2]Entry!$L$1960="","",[2]Entry!$L$1960)</f>
        <v/>
      </c>
      <c r="AE1957">
        <f>IF([2]Entry!$M$1960="","",[2]Entry!$M$1960)</f>
        <v/>
      </c>
      <c r="AF1957">
        <f>IF([2]Entry!$N$1960="","",[2]Entry!$N$1960)</f>
        <v/>
      </c>
      <c r="AJ1957">
        <f>IF([2]Entry!$S$1960="","",[2]Entry!$S$1960)</f>
        <v/>
      </c>
      <c r="AK1957">
        <f>IF([2]Entry!$C$1960="","",[2]Entry!$C$1960)</f>
        <v/>
      </c>
      <c r="AL1957">
        <f>IF([2]Entry!$D$1960="","",[2]Entry!$D$1960)</f>
        <v/>
      </c>
    </row>
    <row r="1958">
      <c r="Z1958">
        <f>IF([2]Entry!$E$1961="","",[2]Entry!$E$1961)</f>
        <v/>
      </c>
      <c r="AA1958">
        <f>IF([2]Entry!$G$1961="","",[2]Entry!$G$1961)</f>
        <v/>
      </c>
      <c r="AB1958">
        <f>IF([2]Entry!$J$1961="","",[2]Entry!$J$1961)</f>
        <v/>
      </c>
      <c r="AC1958">
        <f>IF([2]Entry!$K$1961="","",[2]Entry!$K$1961)</f>
        <v/>
      </c>
      <c r="AD1958">
        <f>IF([2]Entry!$L$1961="","",[2]Entry!$L$1961)</f>
        <v/>
      </c>
      <c r="AE1958">
        <f>IF([2]Entry!$M$1961="","",[2]Entry!$M$1961)</f>
        <v/>
      </c>
      <c r="AF1958">
        <f>IF([2]Entry!$N$1961="","",[2]Entry!$N$1961)</f>
        <v/>
      </c>
      <c r="AJ1958">
        <f>IF([2]Entry!$S$1961="","",[2]Entry!$S$1961)</f>
        <v/>
      </c>
      <c r="AK1958">
        <f>IF([2]Entry!$C$1961="","",[2]Entry!$C$1961)</f>
        <v/>
      </c>
      <c r="AL1958">
        <f>IF([2]Entry!$D$1961="","",[2]Entry!$D$1961)</f>
        <v/>
      </c>
    </row>
    <row r="1959">
      <c r="Z1959">
        <f>IF([2]Entry!$E$1962="","",[2]Entry!$E$1962)</f>
        <v/>
      </c>
      <c r="AA1959">
        <f>IF([2]Entry!$G$1962="","",[2]Entry!$G$1962)</f>
        <v/>
      </c>
      <c r="AB1959">
        <f>IF([2]Entry!$J$1962="","",[2]Entry!$J$1962)</f>
        <v/>
      </c>
      <c r="AC1959">
        <f>IF([2]Entry!$K$1962="","",[2]Entry!$K$1962)</f>
        <v/>
      </c>
      <c r="AD1959">
        <f>IF([2]Entry!$L$1962="","",[2]Entry!$L$1962)</f>
        <v/>
      </c>
      <c r="AE1959">
        <f>IF([2]Entry!$M$1962="","",[2]Entry!$M$1962)</f>
        <v/>
      </c>
      <c r="AF1959">
        <f>IF([2]Entry!$N$1962="","",[2]Entry!$N$1962)</f>
        <v/>
      </c>
      <c r="AJ1959">
        <f>IF([2]Entry!$S$1962="","",[2]Entry!$S$1962)</f>
        <v/>
      </c>
      <c r="AK1959">
        <f>IF([2]Entry!$C$1962="","",[2]Entry!$C$1962)</f>
        <v/>
      </c>
      <c r="AL1959">
        <f>IF([2]Entry!$D$1962="","",[2]Entry!$D$1962)</f>
        <v/>
      </c>
    </row>
    <row r="1960">
      <c r="Z1960">
        <f>IF([2]Entry!$E$1963="","",[2]Entry!$E$1963)</f>
        <v/>
      </c>
      <c r="AA1960">
        <f>IF([2]Entry!$G$1963="","",[2]Entry!$G$1963)</f>
        <v/>
      </c>
      <c r="AB1960">
        <f>IF([2]Entry!$J$1963="","",[2]Entry!$J$1963)</f>
        <v/>
      </c>
      <c r="AC1960">
        <f>IF([2]Entry!$K$1963="","",[2]Entry!$K$1963)</f>
        <v/>
      </c>
      <c r="AD1960">
        <f>IF([2]Entry!$L$1963="","",[2]Entry!$L$1963)</f>
        <v/>
      </c>
      <c r="AE1960">
        <f>IF([2]Entry!$M$1963="","",[2]Entry!$M$1963)</f>
        <v/>
      </c>
      <c r="AF1960">
        <f>IF([2]Entry!$N$1963="","",[2]Entry!$N$1963)</f>
        <v/>
      </c>
      <c r="AJ1960">
        <f>IF([2]Entry!$S$1963="","",[2]Entry!$S$1963)</f>
        <v/>
      </c>
      <c r="AK1960">
        <f>IF([2]Entry!$C$1963="","",[2]Entry!$C$1963)</f>
        <v/>
      </c>
      <c r="AL1960">
        <f>IF([2]Entry!$D$1963="","",[2]Entry!$D$1963)</f>
        <v/>
      </c>
    </row>
    <row r="1961">
      <c r="Z1961">
        <f>IF([2]Entry!$E$1964="","",[2]Entry!$E$1964)</f>
        <v/>
      </c>
      <c r="AA1961">
        <f>IF([2]Entry!$G$1964="","",[2]Entry!$G$1964)</f>
        <v/>
      </c>
      <c r="AB1961">
        <f>IF([2]Entry!$J$1964="","",[2]Entry!$J$1964)</f>
        <v/>
      </c>
      <c r="AC1961">
        <f>IF([2]Entry!$K$1964="","",[2]Entry!$K$1964)</f>
        <v/>
      </c>
      <c r="AD1961">
        <f>IF([2]Entry!$L$1964="","",[2]Entry!$L$1964)</f>
        <v/>
      </c>
      <c r="AE1961">
        <f>IF([2]Entry!$M$1964="","",[2]Entry!$M$1964)</f>
        <v/>
      </c>
      <c r="AF1961">
        <f>IF([2]Entry!$N$1964="","",[2]Entry!$N$1964)</f>
        <v/>
      </c>
      <c r="AJ1961">
        <f>IF([2]Entry!$S$1964="","",[2]Entry!$S$1964)</f>
        <v/>
      </c>
      <c r="AK1961">
        <f>IF([2]Entry!$C$1964="","",[2]Entry!$C$1964)</f>
        <v/>
      </c>
      <c r="AL1961">
        <f>IF([2]Entry!$D$1964="","",[2]Entry!$D$1964)</f>
        <v/>
      </c>
    </row>
    <row r="1962">
      <c r="Z1962">
        <f>IF([2]Entry!$E$1965="","",[2]Entry!$E$1965)</f>
        <v/>
      </c>
      <c r="AA1962">
        <f>IF([2]Entry!$G$1965="","",[2]Entry!$G$1965)</f>
        <v/>
      </c>
      <c r="AB1962">
        <f>IF([2]Entry!$J$1965="","",[2]Entry!$J$1965)</f>
        <v/>
      </c>
      <c r="AC1962">
        <f>IF([2]Entry!$K$1965="","",[2]Entry!$K$1965)</f>
        <v/>
      </c>
      <c r="AD1962">
        <f>IF([2]Entry!$L$1965="","",[2]Entry!$L$1965)</f>
        <v/>
      </c>
      <c r="AE1962">
        <f>IF([2]Entry!$M$1965="","",[2]Entry!$M$1965)</f>
        <v/>
      </c>
      <c r="AF1962">
        <f>IF([2]Entry!$N$1965="","",[2]Entry!$N$1965)</f>
        <v/>
      </c>
      <c r="AJ1962">
        <f>IF([2]Entry!$S$1965="","",[2]Entry!$S$1965)</f>
        <v/>
      </c>
      <c r="AK1962">
        <f>IF([2]Entry!$C$1965="","",[2]Entry!$C$1965)</f>
        <v/>
      </c>
      <c r="AL1962">
        <f>IF([2]Entry!$D$1965="","",[2]Entry!$D$1965)</f>
        <v/>
      </c>
    </row>
    <row r="1963">
      <c r="Z1963">
        <f>IF([2]Entry!$E$1966="","",[2]Entry!$E$1966)</f>
        <v/>
      </c>
      <c r="AA1963">
        <f>IF([2]Entry!$G$1966="","",[2]Entry!$G$1966)</f>
        <v/>
      </c>
      <c r="AB1963">
        <f>IF([2]Entry!$J$1966="","",[2]Entry!$J$1966)</f>
        <v/>
      </c>
      <c r="AC1963">
        <f>IF([2]Entry!$K$1966="","",[2]Entry!$K$1966)</f>
        <v/>
      </c>
      <c r="AD1963">
        <f>IF([2]Entry!$L$1966="","",[2]Entry!$L$1966)</f>
        <v/>
      </c>
      <c r="AE1963">
        <f>IF([2]Entry!$M$1966="","",[2]Entry!$M$1966)</f>
        <v/>
      </c>
      <c r="AF1963">
        <f>IF([2]Entry!$N$1966="","",[2]Entry!$N$1966)</f>
        <v/>
      </c>
      <c r="AJ1963">
        <f>IF([2]Entry!$S$1966="","",[2]Entry!$S$1966)</f>
        <v/>
      </c>
      <c r="AK1963">
        <f>IF([2]Entry!$C$1966="","",[2]Entry!$C$1966)</f>
        <v/>
      </c>
      <c r="AL1963">
        <f>IF([2]Entry!$D$1966="","",[2]Entry!$D$1966)</f>
        <v/>
      </c>
    </row>
    <row r="1964">
      <c r="Z1964">
        <f>IF([2]Entry!$E$1967="","",[2]Entry!$E$1967)</f>
        <v/>
      </c>
      <c r="AA1964">
        <f>IF([2]Entry!$G$1967="","",[2]Entry!$G$1967)</f>
        <v/>
      </c>
      <c r="AB1964">
        <f>IF([2]Entry!$J$1967="","",[2]Entry!$J$1967)</f>
        <v/>
      </c>
      <c r="AC1964">
        <f>IF([2]Entry!$K$1967="","",[2]Entry!$K$1967)</f>
        <v/>
      </c>
      <c r="AD1964">
        <f>IF([2]Entry!$L$1967="","",[2]Entry!$L$1967)</f>
        <v/>
      </c>
      <c r="AE1964">
        <f>IF([2]Entry!$M$1967="","",[2]Entry!$M$1967)</f>
        <v/>
      </c>
      <c r="AF1964">
        <f>IF([2]Entry!$N$1967="","",[2]Entry!$N$1967)</f>
        <v/>
      </c>
      <c r="AJ1964">
        <f>IF([2]Entry!$S$1967="","",[2]Entry!$S$1967)</f>
        <v/>
      </c>
      <c r="AK1964">
        <f>IF([2]Entry!$C$1967="","",[2]Entry!$C$1967)</f>
        <v/>
      </c>
      <c r="AL1964">
        <f>IF([2]Entry!$D$1967="","",[2]Entry!$D$1967)</f>
        <v/>
      </c>
    </row>
    <row r="1965">
      <c r="Z1965">
        <f>IF([2]Entry!$E$1968="","",[2]Entry!$E$1968)</f>
        <v/>
      </c>
      <c r="AA1965">
        <f>IF([2]Entry!$G$1968="","",[2]Entry!$G$1968)</f>
        <v/>
      </c>
      <c r="AB1965">
        <f>IF([2]Entry!$J$1968="","",[2]Entry!$J$1968)</f>
        <v/>
      </c>
      <c r="AC1965">
        <f>IF([2]Entry!$K$1968="","",[2]Entry!$K$1968)</f>
        <v/>
      </c>
      <c r="AD1965">
        <f>IF([2]Entry!$L$1968="","",[2]Entry!$L$1968)</f>
        <v/>
      </c>
      <c r="AE1965">
        <f>IF([2]Entry!$M$1968="","",[2]Entry!$M$1968)</f>
        <v/>
      </c>
      <c r="AF1965">
        <f>IF([2]Entry!$N$1968="","",[2]Entry!$N$1968)</f>
        <v/>
      </c>
      <c r="AJ1965">
        <f>IF([2]Entry!$S$1968="","",[2]Entry!$S$1968)</f>
        <v/>
      </c>
      <c r="AK1965">
        <f>IF([2]Entry!$C$1968="","",[2]Entry!$C$1968)</f>
        <v/>
      </c>
      <c r="AL1965">
        <f>IF([2]Entry!$D$1968="","",[2]Entry!$D$1968)</f>
        <v/>
      </c>
    </row>
    <row r="1966">
      <c r="Z1966">
        <f>IF([2]Entry!$E$1969="","",[2]Entry!$E$1969)</f>
        <v/>
      </c>
      <c r="AA1966">
        <f>IF([2]Entry!$G$1969="","",[2]Entry!$G$1969)</f>
        <v/>
      </c>
      <c r="AB1966">
        <f>IF([2]Entry!$J$1969="","",[2]Entry!$J$1969)</f>
        <v/>
      </c>
      <c r="AC1966">
        <f>IF([2]Entry!$K$1969="","",[2]Entry!$K$1969)</f>
        <v/>
      </c>
      <c r="AD1966">
        <f>IF([2]Entry!$L$1969="","",[2]Entry!$L$1969)</f>
        <v/>
      </c>
      <c r="AE1966">
        <f>IF([2]Entry!$M$1969="","",[2]Entry!$M$1969)</f>
        <v/>
      </c>
      <c r="AF1966">
        <f>IF([2]Entry!$N$1969="","",[2]Entry!$N$1969)</f>
        <v/>
      </c>
      <c r="AJ1966">
        <f>IF([2]Entry!$S$1969="","",[2]Entry!$S$1969)</f>
        <v/>
      </c>
      <c r="AK1966">
        <f>IF([2]Entry!$C$1969="","",[2]Entry!$C$1969)</f>
        <v/>
      </c>
      <c r="AL1966">
        <f>IF([2]Entry!$D$1969="","",[2]Entry!$D$1969)</f>
        <v/>
      </c>
    </row>
    <row r="1967">
      <c r="Z1967">
        <f>IF([2]Entry!$E$1970="","",[2]Entry!$E$1970)</f>
        <v/>
      </c>
      <c r="AA1967">
        <f>IF([2]Entry!$G$1970="","",[2]Entry!$G$1970)</f>
        <v/>
      </c>
      <c r="AB1967">
        <f>IF([2]Entry!$J$1970="","",[2]Entry!$J$1970)</f>
        <v/>
      </c>
      <c r="AC1967">
        <f>IF([2]Entry!$K$1970="","",[2]Entry!$K$1970)</f>
        <v/>
      </c>
      <c r="AD1967">
        <f>IF([2]Entry!$L$1970="","",[2]Entry!$L$1970)</f>
        <v/>
      </c>
      <c r="AE1967">
        <f>IF([2]Entry!$M$1970="","",[2]Entry!$M$1970)</f>
        <v/>
      </c>
      <c r="AF1967">
        <f>IF([2]Entry!$N$1970="","",[2]Entry!$N$1970)</f>
        <v/>
      </c>
      <c r="AJ1967">
        <f>IF([2]Entry!$S$1970="","",[2]Entry!$S$1970)</f>
        <v/>
      </c>
      <c r="AK1967">
        <f>IF([2]Entry!$C$1970="","",[2]Entry!$C$1970)</f>
        <v/>
      </c>
      <c r="AL1967">
        <f>IF([2]Entry!$D$1970="","",[2]Entry!$D$1970)</f>
        <v/>
      </c>
    </row>
    <row r="1968">
      <c r="Z1968">
        <f>IF([2]Entry!$E$1971="","",[2]Entry!$E$1971)</f>
        <v/>
      </c>
      <c r="AA1968">
        <f>IF([2]Entry!$G$1971="","",[2]Entry!$G$1971)</f>
        <v/>
      </c>
      <c r="AB1968">
        <f>IF([2]Entry!$J$1971="","",[2]Entry!$J$1971)</f>
        <v/>
      </c>
      <c r="AC1968">
        <f>IF([2]Entry!$K$1971="","",[2]Entry!$K$1971)</f>
        <v/>
      </c>
      <c r="AD1968">
        <f>IF([2]Entry!$L$1971="","",[2]Entry!$L$1971)</f>
        <v/>
      </c>
      <c r="AE1968">
        <f>IF([2]Entry!$M$1971="","",[2]Entry!$M$1971)</f>
        <v/>
      </c>
      <c r="AF1968">
        <f>IF([2]Entry!$N$1971="","",[2]Entry!$N$1971)</f>
        <v/>
      </c>
      <c r="AJ1968">
        <f>IF([2]Entry!$S$1971="","",[2]Entry!$S$1971)</f>
        <v/>
      </c>
      <c r="AK1968">
        <f>IF([2]Entry!$C$1971="","",[2]Entry!$C$1971)</f>
        <v/>
      </c>
      <c r="AL1968">
        <f>IF([2]Entry!$D$1971="","",[2]Entry!$D$1971)</f>
        <v/>
      </c>
    </row>
    <row r="1969">
      <c r="Z1969">
        <f>IF([2]Entry!$E$1972="","",[2]Entry!$E$1972)</f>
        <v/>
      </c>
      <c r="AA1969">
        <f>IF([2]Entry!$G$1972="","",[2]Entry!$G$1972)</f>
        <v/>
      </c>
      <c r="AB1969">
        <f>IF([2]Entry!$J$1972="","",[2]Entry!$J$1972)</f>
        <v/>
      </c>
      <c r="AC1969">
        <f>IF([2]Entry!$K$1972="","",[2]Entry!$K$1972)</f>
        <v/>
      </c>
      <c r="AD1969">
        <f>IF([2]Entry!$L$1972="","",[2]Entry!$L$1972)</f>
        <v/>
      </c>
      <c r="AE1969">
        <f>IF([2]Entry!$M$1972="","",[2]Entry!$M$1972)</f>
        <v/>
      </c>
      <c r="AF1969">
        <f>IF([2]Entry!$N$1972="","",[2]Entry!$N$1972)</f>
        <v/>
      </c>
      <c r="AJ1969">
        <f>IF([2]Entry!$S$1972="","",[2]Entry!$S$1972)</f>
        <v/>
      </c>
      <c r="AK1969">
        <f>IF([2]Entry!$C$1972="","",[2]Entry!$C$1972)</f>
        <v/>
      </c>
      <c r="AL1969">
        <f>IF([2]Entry!$D$1972="","",[2]Entry!$D$1972)</f>
        <v/>
      </c>
    </row>
    <row r="1970">
      <c r="Z1970">
        <f>IF([2]Entry!$E$1973="","",[2]Entry!$E$1973)</f>
        <v/>
      </c>
      <c r="AA1970">
        <f>IF([2]Entry!$G$1973="","",[2]Entry!$G$1973)</f>
        <v/>
      </c>
      <c r="AB1970">
        <f>IF([2]Entry!$J$1973="","",[2]Entry!$J$1973)</f>
        <v/>
      </c>
      <c r="AC1970">
        <f>IF([2]Entry!$K$1973="","",[2]Entry!$K$1973)</f>
        <v/>
      </c>
      <c r="AD1970">
        <f>IF([2]Entry!$L$1973="","",[2]Entry!$L$1973)</f>
        <v/>
      </c>
      <c r="AE1970">
        <f>IF([2]Entry!$M$1973="","",[2]Entry!$M$1973)</f>
        <v/>
      </c>
      <c r="AF1970">
        <f>IF([2]Entry!$N$1973="","",[2]Entry!$N$1973)</f>
        <v/>
      </c>
      <c r="AJ1970">
        <f>IF([2]Entry!$S$1973="","",[2]Entry!$S$1973)</f>
        <v/>
      </c>
      <c r="AK1970">
        <f>IF([2]Entry!$C$1973="","",[2]Entry!$C$1973)</f>
        <v/>
      </c>
      <c r="AL1970">
        <f>IF([2]Entry!$D$1973="","",[2]Entry!$D$1973)</f>
        <v/>
      </c>
    </row>
    <row r="1971">
      <c r="Z1971">
        <f>IF([2]Entry!$E$1974="","",[2]Entry!$E$1974)</f>
        <v/>
      </c>
      <c r="AA1971">
        <f>IF([2]Entry!$G$1974="","",[2]Entry!$G$1974)</f>
        <v/>
      </c>
      <c r="AB1971">
        <f>IF([2]Entry!$J$1974="","",[2]Entry!$J$1974)</f>
        <v/>
      </c>
      <c r="AC1971">
        <f>IF([2]Entry!$K$1974="","",[2]Entry!$K$1974)</f>
        <v/>
      </c>
      <c r="AD1971">
        <f>IF([2]Entry!$L$1974="","",[2]Entry!$L$1974)</f>
        <v/>
      </c>
      <c r="AE1971">
        <f>IF([2]Entry!$M$1974="","",[2]Entry!$M$1974)</f>
        <v/>
      </c>
      <c r="AF1971">
        <f>IF([2]Entry!$N$1974="","",[2]Entry!$N$1974)</f>
        <v/>
      </c>
      <c r="AJ1971">
        <f>IF([2]Entry!$S$1974="","",[2]Entry!$S$1974)</f>
        <v/>
      </c>
      <c r="AK1971">
        <f>IF([2]Entry!$C$1974="","",[2]Entry!$C$1974)</f>
        <v/>
      </c>
      <c r="AL1971">
        <f>IF([2]Entry!$D$1974="","",[2]Entry!$D$1974)</f>
        <v/>
      </c>
    </row>
    <row r="1972">
      <c r="Z1972">
        <f>IF([2]Entry!$E$1975="","",[2]Entry!$E$1975)</f>
        <v/>
      </c>
      <c r="AA1972">
        <f>IF([2]Entry!$G$1975="","",[2]Entry!$G$1975)</f>
        <v/>
      </c>
      <c r="AB1972">
        <f>IF([2]Entry!$J$1975="","",[2]Entry!$J$1975)</f>
        <v/>
      </c>
      <c r="AC1972">
        <f>IF([2]Entry!$K$1975="","",[2]Entry!$K$1975)</f>
        <v/>
      </c>
      <c r="AD1972">
        <f>IF([2]Entry!$L$1975="","",[2]Entry!$L$1975)</f>
        <v/>
      </c>
      <c r="AE1972">
        <f>IF([2]Entry!$M$1975="","",[2]Entry!$M$1975)</f>
        <v/>
      </c>
      <c r="AF1972">
        <f>IF([2]Entry!$N$1975="","",[2]Entry!$N$1975)</f>
        <v/>
      </c>
      <c r="AJ1972">
        <f>IF([2]Entry!$S$1975="","",[2]Entry!$S$1975)</f>
        <v/>
      </c>
      <c r="AK1972">
        <f>IF([2]Entry!$C$1975="","",[2]Entry!$C$1975)</f>
        <v/>
      </c>
      <c r="AL1972">
        <f>IF([2]Entry!$D$1975="","",[2]Entry!$D$1975)</f>
        <v/>
      </c>
    </row>
    <row r="1973">
      <c r="Z1973">
        <f>IF([2]Entry!$E$1976="","",[2]Entry!$E$1976)</f>
        <v/>
      </c>
      <c r="AA1973">
        <f>IF([2]Entry!$G$1976="","",[2]Entry!$G$1976)</f>
        <v/>
      </c>
      <c r="AB1973">
        <f>IF([2]Entry!$J$1976="","",[2]Entry!$J$1976)</f>
        <v/>
      </c>
      <c r="AC1973">
        <f>IF([2]Entry!$K$1976="","",[2]Entry!$K$1976)</f>
        <v/>
      </c>
      <c r="AD1973">
        <f>IF([2]Entry!$L$1976="","",[2]Entry!$L$1976)</f>
        <v/>
      </c>
      <c r="AE1973">
        <f>IF([2]Entry!$M$1976="","",[2]Entry!$M$1976)</f>
        <v/>
      </c>
      <c r="AF1973">
        <f>IF([2]Entry!$N$1976="","",[2]Entry!$N$1976)</f>
        <v/>
      </c>
      <c r="AJ1973">
        <f>IF([2]Entry!$S$1976="","",[2]Entry!$S$1976)</f>
        <v/>
      </c>
      <c r="AK1973">
        <f>IF([2]Entry!$C$1976="","",[2]Entry!$C$1976)</f>
        <v/>
      </c>
      <c r="AL1973">
        <f>IF([2]Entry!$D$1976="","",[2]Entry!$D$1976)</f>
        <v/>
      </c>
    </row>
    <row r="1974">
      <c r="Z1974">
        <f>IF([2]Entry!$E$1977="","",[2]Entry!$E$1977)</f>
        <v/>
      </c>
      <c r="AA1974">
        <f>IF([2]Entry!$G$1977="","",[2]Entry!$G$1977)</f>
        <v/>
      </c>
      <c r="AB1974">
        <f>IF([2]Entry!$J$1977="","",[2]Entry!$J$1977)</f>
        <v/>
      </c>
      <c r="AC1974">
        <f>IF([2]Entry!$K$1977="","",[2]Entry!$K$1977)</f>
        <v/>
      </c>
      <c r="AD1974">
        <f>IF([2]Entry!$L$1977="","",[2]Entry!$L$1977)</f>
        <v/>
      </c>
      <c r="AE1974">
        <f>IF([2]Entry!$M$1977="","",[2]Entry!$M$1977)</f>
        <v/>
      </c>
      <c r="AF1974">
        <f>IF([2]Entry!$N$1977="","",[2]Entry!$N$1977)</f>
        <v/>
      </c>
      <c r="AJ1974">
        <f>IF([2]Entry!$S$1977="","",[2]Entry!$S$1977)</f>
        <v/>
      </c>
      <c r="AK1974">
        <f>IF([2]Entry!$C$1977="","",[2]Entry!$C$1977)</f>
        <v/>
      </c>
      <c r="AL1974">
        <f>IF([2]Entry!$D$1977="","",[2]Entry!$D$1977)</f>
        <v/>
      </c>
    </row>
    <row r="1975">
      <c r="Z1975">
        <f>IF([2]Entry!$E$1978="","",[2]Entry!$E$1978)</f>
        <v/>
      </c>
      <c r="AA1975">
        <f>IF([2]Entry!$G$1978="","",[2]Entry!$G$1978)</f>
        <v/>
      </c>
      <c r="AB1975">
        <f>IF([2]Entry!$J$1978="","",[2]Entry!$J$1978)</f>
        <v/>
      </c>
      <c r="AC1975">
        <f>IF([2]Entry!$K$1978="","",[2]Entry!$K$1978)</f>
        <v/>
      </c>
      <c r="AD1975">
        <f>IF([2]Entry!$L$1978="","",[2]Entry!$L$1978)</f>
        <v/>
      </c>
      <c r="AE1975">
        <f>IF([2]Entry!$M$1978="","",[2]Entry!$M$1978)</f>
        <v/>
      </c>
      <c r="AF1975">
        <f>IF([2]Entry!$N$1978="","",[2]Entry!$N$1978)</f>
        <v/>
      </c>
      <c r="AJ1975">
        <f>IF([2]Entry!$S$1978="","",[2]Entry!$S$1978)</f>
        <v/>
      </c>
      <c r="AK1975">
        <f>IF([2]Entry!$C$1978="","",[2]Entry!$C$1978)</f>
        <v/>
      </c>
      <c r="AL1975">
        <f>IF([2]Entry!$D$1978="","",[2]Entry!$D$1978)</f>
        <v/>
      </c>
    </row>
    <row r="1976">
      <c r="Z1976">
        <f>IF([2]Entry!$E$1979="","",[2]Entry!$E$1979)</f>
        <v/>
      </c>
      <c r="AA1976">
        <f>IF([2]Entry!$G$1979="","",[2]Entry!$G$1979)</f>
        <v/>
      </c>
      <c r="AB1976">
        <f>IF([2]Entry!$J$1979="","",[2]Entry!$J$1979)</f>
        <v/>
      </c>
      <c r="AC1976">
        <f>IF([2]Entry!$K$1979="","",[2]Entry!$K$1979)</f>
        <v/>
      </c>
      <c r="AD1976">
        <f>IF([2]Entry!$L$1979="","",[2]Entry!$L$1979)</f>
        <v/>
      </c>
      <c r="AE1976">
        <f>IF([2]Entry!$M$1979="","",[2]Entry!$M$1979)</f>
        <v/>
      </c>
      <c r="AF1976">
        <f>IF([2]Entry!$N$1979="","",[2]Entry!$N$1979)</f>
        <v/>
      </c>
      <c r="AJ1976">
        <f>IF([2]Entry!$S$1979="","",[2]Entry!$S$1979)</f>
        <v/>
      </c>
      <c r="AK1976">
        <f>IF([2]Entry!$C$1979="","",[2]Entry!$C$1979)</f>
        <v/>
      </c>
      <c r="AL1976">
        <f>IF([2]Entry!$D$1979="","",[2]Entry!$D$1979)</f>
        <v/>
      </c>
    </row>
    <row r="1977">
      <c r="Z1977">
        <f>IF([2]Entry!$E$1980="","",[2]Entry!$E$1980)</f>
        <v/>
      </c>
      <c r="AA1977">
        <f>IF([2]Entry!$G$1980="","",[2]Entry!$G$1980)</f>
        <v/>
      </c>
      <c r="AB1977">
        <f>IF([2]Entry!$J$1980="","",[2]Entry!$J$1980)</f>
        <v/>
      </c>
      <c r="AC1977">
        <f>IF([2]Entry!$K$1980="","",[2]Entry!$K$1980)</f>
        <v/>
      </c>
      <c r="AD1977">
        <f>IF([2]Entry!$L$1980="","",[2]Entry!$L$1980)</f>
        <v/>
      </c>
      <c r="AE1977">
        <f>IF([2]Entry!$M$1980="","",[2]Entry!$M$1980)</f>
        <v/>
      </c>
      <c r="AF1977">
        <f>IF([2]Entry!$N$1980="","",[2]Entry!$N$1980)</f>
        <v/>
      </c>
      <c r="AJ1977">
        <f>IF([2]Entry!$S$1980="","",[2]Entry!$S$1980)</f>
        <v/>
      </c>
      <c r="AK1977">
        <f>IF([2]Entry!$C$1980="","",[2]Entry!$C$1980)</f>
        <v/>
      </c>
      <c r="AL1977">
        <f>IF([2]Entry!$D$1980="","",[2]Entry!$D$1980)</f>
        <v/>
      </c>
    </row>
    <row r="1978">
      <c r="Z1978">
        <f>IF([2]Entry!$E$1981="","",[2]Entry!$E$1981)</f>
        <v/>
      </c>
      <c r="AA1978">
        <f>IF([2]Entry!$G$1981="","",[2]Entry!$G$1981)</f>
        <v/>
      </c>
      <c r="AB1978">
        <f>IF([2]Entry!$J$1981="","",[2]Entry!$J$1981)</f>
        <v/>
      </c>
      <c r="AC1978">
        <f>IF([2]Entry!$K$1981="","",[2]Entry!$K$1981)</f>
        <v/>
      </c>
      <c r="AD1978">
        <f>IF([2]Entry!$L$1981="","",[2]Entry!$L$1981)</f>
        <v/>
      </c>
      <c r="AE1978">
        <f>IF([2]Entry!$M$1981="","",[2]Entry!$M$1981)</f>
        <v/>
      </c>
      <c r="AF1978">
        <f>IF([2]Entry!$N$1981="","",[2]Entry!$N$1981)</f>
        <v/>
      </c>
      <c r="AJ1978">
        <f>IF([2]Entry!$S$1981="","",[2]Entry!$S$1981)</f>
        <v/>
      </c>
      <c r="AK1978">
        <f>IF([2]Entry!$C$1981="","",[2]Entry!$C$1981)</f>
        <v/>
      </c>
      <c r="AL1978">
        <f>IF([2]Entry!$D$1981="","",[2]Entry!$D$1981)</f>
        <v/>
      </c>
    </row>
    <row r="1979">
      <c r="Z1979">
        <f>IF([2]Entry!$E$1982="","",[2]Entry!$E$1982)</f>
        <v/>
      </c>
      <c r="AA1979">
        <f>IF([2]Entry!$G$1982="","",[2]Entry!$G$1982)</f>
        <v/>
      </c>
      <c r="AB1979">
        <f>IF([2]Entry!$J$1982="","",[2]Entry!$J$1982)</f>
        <v/>
      </c>
      <c r="AC1979">
        <f>IF([2]Entry!$K$1982="","",[2]Entry!$K$1982)</f>
        <v/>
      </c>
      <c r="AD1979">
        <f>IF([2]Entry!$L$1982="","",[2]Entry!$L$1982)</f>
        <v/>
      </c>
      <c r="AE1979">
        <f>IF([2]Entry!$M$1982="","",[2]Entry!$M$1982)</f>
        <v/>
      </c>
      <c r="AF1979">
        <f>IF([2]Entry!$N$1982="","",[2]Entry!$N$1982)</f>
        <v/>
      </c>
      <c r="AJ1979">
        <f>IF([2]Entry!$S$1982="","",[2]Entry!$S$1982)</f>
        <v/>
      </c>
      <c r="AK1979">
        <f>IF([2]Entry!$C$1982="","",[2]Entry!$C$1982)</f>
        <v/>
      </c>
      <c r="AL1979">
        <f>IF([2]Entry!$D$1982="","",[2]Entry!$D$1982)</f>
        <v/>
      </c>
    </row>
    <row r="1980">
      <c r="Z1980">
        <f>IF([2]Entry!$E$1983="","",[2]Entry!$E$1983)</f>
        <v/>
      </c>
      <c r="AA1980">
        <f>IF([2]Entry!$G$1983="","",[2]Entry!$G$1983)</f>
        <v/>
      </c>
      <c r="AB1980">
        <f>IF([2]Entry!$J$1983="","",[2]Entry!$J$1983)</f>
        <v/>
      </c>
      <c r="AC1980">
        <f>IF([2]Entry!$K$1983="","",[2]Entry!$K$1983)</f>
        <v/>
      </c>
      <c r="AD1980">
        <f>IF([2]Entry!$L$1983="","",[2]Entry!$L$1983)</f>
        <v/>
      </c>
      <c r="AE1980">
        <f>IF([2]Entry!$M$1983="","",[2]Entry!$M$1983)</f>
        <v/>
      </c>
      <c r="AF1980">
        <f>IF([2]Entry!$N$1983="","",[2]Entry!$N$1983)</f>
        <v/>
      </c>
      <c r="AJ1980">
        <f>IF([2]Entry!$S$1983="","",[2]Entry!$S$1983)</f>
        <v/>
      </c>
      <c r="AK1980">
        <f>IF([2]Entry!$C$1983="","",[2]Entry!$C$1983)</f>
        <v/>
      </c>
      <c r="AL1980">
        <f>IF([2]Entry!$D$1983="","",[2]Entry!$D$1983)</f>
        <v/>
      </c>
    </row>
    <row r="1981">
      <c r="Z1981">
        <f>IF([2]Entry!$E$1984="","",[2]Entry!$E$1984)</f>
        <v/>
      </c>
      <c r="AA1981">
        <f>IF([2]Entry!$G$1984="","",[2]Entry!$G$1984)</f>
        <v/>
      </c>
      <c r="AB1981">
        <f>IF([2]Entry!$J$1984="","",[2]Entry!$J$1984)</f>
        <v/>
      </c>
      <c r="AC1981">
        <f>IF([2]Entry!$K$1984="","",[2]Entry!$K$1984)</f>
        <v/>
      </c>
      <c r="AD1981">
        <f>IF([2]Entry!$L$1984="","",[2]Entry!$L$1984)</f>
        <v/>
      </c>
      <c r="AE1981">
        <f>IF([2]Entry!$M$1984="","",[2]Entry!$M$1984)</f>
        <v/>
      </c>
      <c r="AF1981">
        <f>IF([2]Entry!$N$1984="","",[2]Entry!$N$1984)</f>
        <v/>
      </c>
      <c r="AJ1981">
        <f>IF([2]Entry!$S$1984="","",[2]Entry!$S$1984)</f>
        <v/>
      </c>
      <c r="AK1981">
        <f>IF([2]Entry!$C$1984="","",[2]Entry!$C$1984)</f>
        <v/>
      </c>
      <c r="AL1981">
        <f>IF([2]Entry!$D$1984="","",[2]Entry!$D$1984)</f>
        <v/>
      </c>
    </row>
    <row r="1982">
      <c r="Z1982">
        <f>IF([2]Entry!$E$1985="","",[2]Entry!$E$1985)</f>
        <v/>
      </c>
      <c r="AA1982">
        <f>IF([2]Entry!$G$1985="","",[2]Entry!$G$1985)</f>
        <v/>
      </c>
      <c r="AB1982">
        <f>IF([2]Entry!$J$1985="","",[2]Entry!$J$1985)</f>
        <v/>
      </c>
      <c r="AC1982">
        <f>IF([2]Entry!$K$1985="","",[2]Entry!$K$1985)</f>
        <v/>
      </c>
      <c r="AD1982">
        <f>IF([2]Entry!$L$1985="","",[2]Entry!$L$1985)</f>
        <v/>
      </c>
      <c r="AE1982">
        <f>IF([2]Entry!$M$1985="","",[2]Entry!$M$1985)</f>
        <v/>
      </c>
      <c r="AF1982">
        <f>IF([2]Entry!$N$1985="","",[2]Entry!$N$1985)</f>
        <v/>
      </c>
      <c r="AJ1982">
        <f>IF([2]Entry!$S$1985="","",[2]Entry!$S$1985)</f>
        <v/>
      </c>
      <c r="AK1982">
        <f>IF([2]Entry!$C$1985="","",[2]Entry!$C$1985)</f>
        <v/>
      </c>
      <c r="AL1982">
        <f>IF([2]Entry!$D$1985="","",[2]Entry!$D$1985)</f>
        <v/>
      </c>
    </row>
    <row r="1983">
      <c r="Z1983">
        <f>IF([2]Entry!$E$1986="","",[2]Entry!$E$1986)</f>
        <v/>
      </c>
      <c r="AA1983">
        <f>IF([2]Entry!$G$1986="","",[2]Entry!$G$1986)</f>
        <v/>
      </c>
      <c r="AB1983">
        <f>IF([2]Entry!$J$1986="","",[2]Entry!$J$1986)</f>
        <v/>
      </c>
      <c r="AC1983">
        <f>IF([2]Entry!$K$1986="","",[2]Entry!$K$1986)</f>
        <v/>
      </c>
      <c r="AD1983">
        <f>IF([2]Entry!$L$1986="","",[2]Entry!$L$1986)</f>
        <v/>
      </c>
      <c r="AE1983">
        <f>IF([2]Entry!$M$1986="","",[2]Entry!$M$1986)</f>
        <v/>
      </c>
      <c r="AF1983">
        <f>IF([2]Entry!$N$1986="","",[2]Entry!$N$1986)</f>
        <v/>
      </c>
      <c r="AJ1983">
        <f>IF([2]Entry!$S$1986="","",[2]Entry!$S$1986)</f>
        <v/>
      </c>
      <c r="AK1983">
        <f>IF([2]Entry!$C$1986="","",[2]Entry!$C$1986)</f>
        <v/>
      </c>
      <c r="AL1983">
        <f>IF([2]Entry!$D$1986="","",[2]Entry!$D$1986)</f>
        <v/>
      </c>
    </row>
    <row r="1984">
      <c r="Z1984">
        <f>IF([2]Entry!$E$1987="","",[2]Entry!$E$1987)</f>
        <v/>
      </c>
      <c r="AA1984">
        <f>IF([2]Entry!$G$1987="","",[2]Entry!$G$1987)</f>
        <v/>
      </c>
      <c r="AB1984">
        <f>IF([2]Entry!$J$1987="","",[2]Entry!$J$1987)</f>
        <v/>
      </c>
      <c r="AC1984">
        <f>IF([2]Entry!$K$1987="","",[2]Entry!$K$1987)</f>
        <v/>
      </c>
      <c r="AD1984">
        <f>IF([2]Entry!$L$1987="","",[2]Entry!$L$1987)</f>
        <v/>
      </c>
      <c r="AE1984">
        <f>IF([2]Entry!$M$1987="","",[2]Entry!$M$1987)</f>
        <v/>
      </c>
      <c r="AF1984">
        <f>IF([2]Entry!$N$1987="","",[2]Entry!$N$1987)</f>
        <v/>
      </c>
      <c r="AJ1984">
        <f>IF([2]Entry!$S$1987="","",[2]Entry!$S$1987)</f>
        <v/>
      </c>
      <c r="AK1984">
        <f>IF([2]Entry!$C$1987="","",[2]Entry!$C$1987)</f>
        <v/>
      </c>
      <c r="AL1984">
        <f>IF([2]Entry!$D$1987="","",[2]Entry!$D$1987)</f>
        <v/>
      </c>
    </row>
    <row r="1985">
      <c r="Z1985">
        <f>IF([2]Entry!$E$1988="","",[2]Entry!$E$1988)</f>
        <v/>
      </c>
      <c r="AA1985">
        <f>IF([2]Entry!$G$1988="","",[2]Entry!$G$1988)</f>
        <v/>
      </c>
      <c r="AB1985">
        <f>IF([2]Entry!$J$1988="","",[2]Entry!$J$1988)</f>
        <v/>
      </c>
      <c r="AC1985">
        <f>IF([2]Entry!$K$1988="","",[2]Entry!$K$1988)</f>
        <v/>
      </c>
      <c r="AD1985">
        <f>IF([2]Entry!$L$1988="","",[2]Entry!$L$1988)</f>
        <v/>
      </c>
      <c r="AE1985">
        <f>IF([2]Entry!$M$1988="","",[2]Entry!$M$1988)</f>
        <v/>
      </c>
      <c r="AF1985">
        <f>IF([2]Entry!$N$1988="","",[2]Entry!$N$1988)</f>
        <v/>
      </c>
      <c r="AJ1985">
        <f>IF([2]Entry!$S$1988="","",[2]Entry!$S$1988)</f>
        <v/>
      </c>
      <c r="AK1985">
        <f>IF([2]Entry!$C$1988="","",[2]Entry!$C$1988)</f>
        <v/>
      </c>
      <c r="AL1985">
        <f>IF([2]Entry!$D$1988="","",[2]Entry!$D$1988)</f>
        <v/>
      </c>
    </row>
    <row r="1986">
      <c r="Z1986">
        <f>IF([2]Entry!$E$1989="","",[2]Entry!$E$1989)</f>
        <v/>
      </c>
      <c r="AA1986">
        <f>IF([2]Entry!$G$1989="","",[2]Entry!$G$1989)</f>
        <v/>
      </c>
      <c r="AB1986">
        <f>IF([2]Entry!$J$1989="","",[2]Entry!$J$1989)</f>
        <v/>
      </c>
      <c r="AC1986">
        <f>IF([2]Entry!$K$1989="","",[2]Entry!$K$1989)</f>
        <v/>
      </c>
      <c r="AD1986">
        <f>IF([2]Entry!$L$1989="","",[2]Entry!$L$1989)</f>
        <v/>
      </c>
      <c r="AE1986">
        <f>IF([2]Entry!$M$1989="","",[2]Entry!$M$1989)</f>
        <v/>
      </c>
      <c r="AF1986">
        <f>IF([2]Entry!$N$1989="","",[2]Entry!$N$1989)</f>
        <v/>
      </c>
      <c r="AJ1986">
        <f>IF([2]Entry!$S$1989="","",[2]Entry!$S$1989)</f>
        <v/>
      </c>
      <c r="AK1986">
        <f>IF([2]Entry!$C$1989="","",[2]Entry!$C$1989)</f>
        <v/>
      </c>
      <c r="AL1986">
        <f>IF([2]Entry!$D$1989="","",[2]Entry!$D$1989)</f>
        <v/>
      </c>
    </row>
    <row r="1987">
      <c r="Z1987">
        <f>IF([2]Entry!$E$1990="","",[2]Entry!$E$1990)</f>
        <v/>
      </c>
      <c r="AA1987">
        <f>IF([2]Entry!$G$1990="","",[2]Entry!$G$1990)</f>
        <v/>
      </c>
      <c r="AB1987">
        <f>IF([2]Entry!$J$1990="","",[2]Entry!$J$1990)</f>
        <v/>
      </c>
      <c r="AC1987">
        <f>IF([2]Entry!$K$1990="","",[2]Entry!$K$1990)</f>
        <v/>
      </c>
      <c r="AD1987">
        <f>IF([2]Entry!$L$1990="","",[2]Entry!$L$1990)</f>
        <v/>
      </c>
      <c r="AE1987">
        <f>IF([2]Entry!$M$1990="","",[2]Entry!$M$1990)</f>
        <v/>
      </c>
      <c r="AF1987">
        <f>IF([2]Entry!$N$1990="","",[2]Entry!$N$1990)</f>
        <v/>
      </c>
      <c r="AJ1987">
        <f>IF([2]Entry!$S$1990="","",[2]Entry!$S$1990)</f>
        <v/>
      </c>
      <c r="AK1987">
        <f>IF([2]Entry!$C$1990="","",[2]Entry!$C$1990)</f>
        <v/>
      </c>
      <c r="AL1987">
        <f>IF([2]Entry!$D$1990="","",[2]Entry!$D$1990)</f>
        <v/>
      </c>
    </row>
    <row r="1988">
      <c r="Z1988">
        <f>IF([2]Entry!$E$1991="","",[2]Entry!$E$1991)</f>
        <v/>
      </c>
      <c r="AA1988">
        <f>IF([2]Entry!$G$1991="","",[2]Entry!$G$1991)</f>
        <v/>
      </c>
      <c r="AB1988">
        <f>IF([2]Entry!$J$1991="","",[2]Entry!$J$1991)</f>
        <v/>
      </c>
      <c r="AC1988">
        <f>IF([2]Entry!$K$1991="","",[2]Entry!$K$1991)</f>
        <v/>
      </c>
      <c r="AD1988">
        <f>IF([2]Entry!$L$1991="","",[2]Entry!$L$1991)</f>
        <v/>
      </c>
      <c r="AE1988">
        <f>IF([2]Entry!$M$1991="","",[2]Entry!$M$1991)</f>
        <v/>
      </c>
      <c r="AF1988">
        <f>IF([2]Entry!$N$1991="","",[2]Entry!$N$1991)</f>
        <v/>
      </c>
      <c r="AJ1988">
        <f>IF([2]Entry!$S$1991="","",[2]Entry!$S$1991)</f>
        <v/>
      </c>
      <c r="AK1988">
        <f>IF([2]Entry!$C$1991="","",[2]Entry!$C$1991)</f>
        <v/>
      </c>
      <c r="AL1988">
        <f>IF([2]Entry!$D$1991="","",[2]Entry!$D$1991)</f>
        <v/>
      </c>
    </row>
    <row r="1989">
      <c r="Z1989">
        <f>IF([2]Entry!$E$1992="","",[2]Entry!$E$1992)</f>
        <v/>
      </c>
      <c r="AA1989">
        <f>IF([2]Entry!$G$1992="","",[2]Entry!$G$1992)</f>
        <v/>
      </c>
      <c r="AB1989">
        <f>IF([2]Entry!$J$1992="","",[2]Entry!$J$1992)</f>
        <v/>
      </c>
      <c r="AC1989">
        <f>IF([2]Entry!$K$1992="","",[2]Entry!$K$1992)</f>
        <v/>
      </c>
      <c r="AD1989">
        <f>IF([2]Entry!$L$1992="","",[2]Entry!$L$1992)</f>
        <v/>
      </c>
      <c r="AE1989">
        <f>IF([2]Entry!$M$1992="","",[2]Entry!$M$1992)</f>
        <v/>
      </c>
      <c r="AF1989">
        <f>IF([2]Entry!$N$1992="","",[2]Entry!$N$1992)</f>
        <v/>
      </c>
      <c r="AJ1989">
        <f>IF([2]Entry!$S$1992="","",[2]Entry!$S$1992)</f>
        <v/>
      </c>
      <c r="AK1989">
        <f>IF([2]Entry!$C$1992="","",[2]Entry!$C$1992)</f>
        <v/>
      </c>
      <c r="AL1989">
        <f>IF([2]Entry!$D$1992="","",[2]Entry!$D$1992)</f>
        <v/>
      </c>
    </row>
    <row r="1990">
      <c r="Z1990">
        <f>IF([2]Entry!$E$1993="","",[2]Entry!$E$1993)</f>
        <v/>
      </c>
      <c r="AA1990">
        <f>IF([2]Entry!$G$1993="","",[2]Entry!$G$1993)</f>
        <v/>
      </c>
      <c r="AB1990">
        <f>IF([2]Entry!$J$1993="","",[2]Entry!$J$1993)</f>
        <v/>
      </c>
      <c r="AC1990">
        <f>IF([2]Entry!$K$1993="","",[2]Entry!$K$1993)</f>
        <v/>
      </c>
      <c r="AD1990">
        <f>IF([2]Entry!$L$1993="","",[2]Entry!$L$1993)</f>
        <v/>
      </c>
      <c r="AE1990">
        <f>IF([2]Entry!$M$1993="","",[2]Entry!$M$1993)</f>
        <v/>
      </c>
      <c r="AF1990">
        <f>IF([2]Entry!$N$1993="","",[2]Entry!$N$1993)</f>
        <v/>
      </c>
      <c r="AJ1990">
        <f>IF([2]Entry!$S$1993="","",[2]Entry!$S$1993)</f>
        <v/>
      </c>
      <c r="AK1990">
        <f>IF([2]Entry!$C$1993="","",[2]Entry!$C$1993)</f>
        <v/>
      </c>
      <c r="AL1990">
        <f>IF([2]Entry!$D$1993="","",[2]Entry!$D$1993)</f>
        <v/>
      </c>
    </row>
    <row r="1991">
      <c r="Z1991">
        <f>IF([2]Entry!$E$1994="","",[2]Entry!$E$1994)</f>
        <v/>
      </c>
      <c r="AA1991">
        <f>IF([2]Entry!$G$1994="","",[2]Entry!$G$1994)</f>
        <v/>
      </c>
      <c r="AB1991">
        <f>IF([2]Entry!$J$1994="","",[2]Entry!$J$1994)</f>
        <v/>
      </c>
      <c r="AC1991">
        <f>IF([2]Entry!$K$1994="","",[2]Entry!$K$1994)</f>
        <v/>
      </c>
      <c r="AD1991">
        <f>IF([2]Entry!$L$1994="","",[2]Entry!$L$1994)</f>
        <v/>
      </c>
      <c r="AE1991">
        <f>IF([2]Entry!$M$1994="","",[2]Entry!$M$1994)</f>
        <v/>
      </c>
      <c r="AF1991">
        <f>IF([2]Entry!$N$1994="","",[2]Entry!$N$1994)</f>
        <v/>
      </c>
      <c r="AJ1991">
        <f>IF([2]Entry!$S$1994="","",[2]Entry!$S$1994)</f>
        <v/>
      </c>
      <c r="AK1991">
        <f>IF([2]Entry!$C$1994="","",[2]Entry!$C$1994)</f>
        <v/>
      </c>
      <c r="AL1991">
        <f>IF([2]Entry!$D$1994="","",[2]Entry!$D$1994)</f>
        <v/>
      </c>
    </row>
    <row r="1992">
      <c r="Z1992">
        <f>IF([2]Entry!$E$1995="","",[2]Entry!$E$1995)</f>
        <v/>
      </c>
      <c r="AA1992">
        <f>IF([2]Entry!$G$1995="","",[2]Entry!$G$1995)</f>
        <v/>
      </c>
      <c r="AB1992">
        <f>IF([2]Entry!$J$1995="","",[2]Entry!$J$1995)</f>
        <v/>
      </c>
      <c r="AC1992">
        <f>IF([2]Entry!$K$1995="","",[2]Entry!$K$1995)</f>
        <v/>
      </c>
      <c r="AD1992">
        <f>IF([2]Entry!$L$1995="","",[2]Entry!$L$1995)</f>
        <v/>
      </c>
      <c r="AE1992">
        <f>IF([2]Entry!$M$1995="","",[2]Entry!$M$1995)</f>
        <v/>
      </c>
      <c r="AF1992">
        <f>IF([2]Entry!$N$1995="","",[2]Entry!$N$1995)</f>
        <v/>
      </c>
      <c r="AJ1992">
        <f>IF([2]Entry!$S$1995="","",[2]Entry!$S$1995)</f>
        <v/>
      </c>
      <c r="AK1992">
        <f>IF([2]Entry!$C$1995="","",[2]Entry!$C$1995)</f>
        <v/>
      </c>
      <c r="AL1992">
        <f>IF([2]Entry!$D$1995="","",[2]Entry!$D$1995)</f>
        <v/>
      </c>
    </row>
    <row r="1993">
      <c r="Z1993">
        <f>IF([2]Entry!$E$1996="","",[2]Entry!$E$1996)</f>
        <v/>
      </c>
      <c r="AA1993">
        <f>IF([2]Entry!$G$1996="","",[2]Entry!$G$1996)</f>
        <v/>
      </c>
      <c r="AB1993">
        <f>IF([2]Entry!$J$1996="","",[2]Entry!$J$1996)</f>
        <v/>
      </c>
      <c r="AC1993">
        <f>IF([2]Entry!$K$1996="","",[2]Entry!$K$1996)</f>
        <v/>
      </c>
      <c r="AD1993">
        <f>IF([2]Entry!$L$1996="","",[2]Entry!$L$1996)</f>
        <v/>
      </c>
      <c r="AE1993">
        <f>IF([2]Entry!$M$1996="","",[2]Entry!$M$1996)</f>
        <v/>
      </c>
      <c r="AF1993">
        <f>IF([2]Entry!$N$1996="","",[2]Entry!$N$1996)</f>
        <v/>
      </c>
      <c r="AJ1993">
        <f>IF([2]Entry!$S$1996="","",[2]Entry!$S$1996)</f>
        <v/>
      </c>
      <c r="AK1993">
        <f>IF([2]Entry!$C$1996="","",[2]Entry!$C$1996)</f>
        <v/>
      </c>
      <c r="AL1993">
        <f>IF([2]Entry!$D$1996="","",[2]Entry!$D$1996)</f>
        <v/>
      </c>
    </row>
    <row r="1994">
      <c r="Z1994">
        <f>IF([2]Entry!$E$1997="","",[2]Entry!$E$1997)</f>
        <v/>
      </c>
      <c r="AA1994">
        <f>IF([2]Entry!$G$1997="","",[2]Entry!$G$1997)</f>
        <v/>
      </c>
      <c r="AB1994">
        <f>IF([2]Entry!$J$1997="","",[2]Entry!$J$1997)</f>
        <v/>
      </c>
      <c r="AC1994">
        <f>IF([2]Entry!$K$1997="","",[2]Entry!$K$1997)</f>
        <v/>
      </c>
      <c r="AD1994">
        <f>IF([2]Entry!$L$1997="","",[2]Entry!$L$1997)</f>
        <v/>
      </c>
      <c r="AE1994">
        <f>IF([2]Entry!$M$1997="","",[2]Entry!$M$1997)</f>
        <v/>
      </c>
      <c r="AF1994">
        <f>IF([2]Entry!$N$1997="","",[2]Entry!$N$1997)</f>
        <v/>
      </c>
      <c r="AJ1994">
        <f>IF([2]Entry!$S$1997="","",[2]Entry!$S$1997)</f>
        <v/>
      </c>
      <c r="AK1994">
        <f>IF([2]Entry!$C$1997="","",[2]Entry!$C$1997)</f>
        <v/>
      </c>
      <c r="AL1994">
        <f>IF([2]Entry!$D$1997="","",[2]Entry!$D$1997)</f>
        <v/>
      </c>
    </row>
    <row r="1995">
      <c r="Z1995">
        <f>IF([2]Entry!$E$1998="","",[2]Entry!$E$1998)</f>
        <v/>
      </c>
      <c r="AA1995">
        <f>IF([2]Entry!$G$1998="","",[2]Entry!$G$1998)</f>
        <v/>
      </c>
      <c r="AB1995">
        <f>IF([2]Entry!$J$1998="","",[2]Entry!$J$1998)</f>
        <v/>
      </c>
      <c r="AC1995">
        <f>IF([2]Entry!$K$1998="","",[2]Entry!$K$1998)</f>
        <v/>
      </c>
      <c r="AD1995">
        <f>IF([2]Entry!$L$1998="","",[2]Entry!$L$1998)</f>
        <v/>
      </c>
      <c r="AE1995">
        <f>IF([2]Entry!$M$1998="","",[2]Entry!$M$1998)</f>
        <v/>
      </c>
      <c r="AF1995">
        <f>IF([2]Entry!$N$1998="","",[2]Entry!$N$1998)</f>
        <v/>
      </c>
      <c r="AJ1995">
        <f>IF([2]Entry!$S$1998="","",[2]Entry!$S$1998)</f>
        <v/>
      </c>
      <c r="AK1995">
        <f>IF([2]Entry!$C$1998="","",[2]Entry!$C$1998)</f>
        <v/>
      </c>
      <c r="AL1995">
        <f>IF([2]Entry!$D$1998="","",[2]Entry!$D$1998)</f>
        <v/>
      </c>
    </row>
    <row r="1996">
      <c r="Z1996">
        <f>IF([2]Entry!$E$1999="","",[2]Entry!$E$1999)</f>
        <v/>
      </c>
      <c r="AA1996">
        <f>IF([2]Entry!$G$1999="","",[2]Entry!$G$1999)</f>
        <v/>
      </c>
      <c r="AB1996">
        <f>IF([2]Entry!$J$1999="","",[2]Entry!$J$1999)</f>
        <v/>
      </c>
      <c r="AC1996">
        <f>IF([2]Entry!$K$1999="","",[2]Entry!$K$1999)</f>
        <v/>
      </c>
      <c r="AD1996">
        <f>IF([2]Entry!$L$1999="","",[2]Entry!$L$1999)</f>
        <v/>
      </c>
      <c r="AE1996">
        <f>IF([2]Entry!$M$1999="","",[2]Entry!$M$1999)</f>
        <v/>
      </c>
      <c r="AF1996">
        <f>IF([2]Entry!$N$1999="","",[2]Entry!$N$1999)</f>
        <v/>
      </c>
      <c r="AJ1996">
        <f>IF([2]Entry!$S$1999="","",[2]Entry!$S$1999)</f>
        <v/>
      </c>
      <c r="AK1996">
        <f>IF([2]Entry!$C$1999="","",[2]Entry!$C$1999)</f>
        <v/>
      </c>
      <c r="AL1996">
        <f>IF([2]Entry!$D$1999="","",[2]Entry!$D$1999)</f>
        <v/>
      </c>
    </row>
    <row r="1997">
      <c r="Z1997">
        <f>IF([2]Entry!$E$2000="","",[2]Entry!$E$2000)</f>
        <v/>
      </c>
      <c r="AA1997">
        <f>IF([2]Entry!$G$2000="","",[2]Entry!$G$2000)</f>
        <v/>
      </c>
      <c r="AB1997">
        <f>IF([2]Entry!$J$2000="","",[2]Entry!$J$2000)</f>
        <v/>
      </c>
      <c r="AC1997">
        <f>IF([2]Entry!$K$2000="","",[2]Entry!$K$2000)</f>
        <v/>
      </c>
      <c r="AD1997">
        <f>IF([2]Entry!$L$2000="","",[2]Entry!$L$2000)</f>
        <v/>
      </c>
      <c r="AE1997">
        <f>IF([2]Entry!$M$2000="","",[2]Entry!$M$2000)</f>
        <v/>
      </c>
      <c r="AF1997">
        <f>IF([2]Entry!$N$2000="","",[2]Entry!$N$2000)</f>
        <v/>
      </c>
      <c r="AJ1997">
        <f>IF([2]Entry!$S$2000="","",[2]Entry!$S$2000)</f>
        <v/>
      </c>
      <c r="AK1997">
        <f>IF([2]Entry!$C$2000="","",[2]Entry!$C$2000)</f>
        <v/>
      </c>
      <c r="AL1997">
        <f>IF([2]Entry!$D$2000="","",[2]Entry!$D$2000)</f>
        <v/>
      </c>
    </row>
    <row r="1998">
      <c r="Z1998">
        <f>IF([2]Entry!$E$2001="","",[2]Entry!$E$2001)</f>
        <v/>
      </c>
      <c r="AA1998">
        <f>IF([2]Entry!$G$2001="","",[2]Entry!$G$2001)</f>
        <v/>
      </c>
      <c r="AB1998">
        <f>IF([2]Entry!$J$2001="","",[2]Entry!$J$2001)</f>
        <v/>
      </c>
      <c r="AC1998">
        <f>IF([2]Entry!$K$2001="","",[2]Entry!$K$2001)</f>
        <v/>
      </c>
      <c r="AD1998">
        <f>IF([2]Entry!$L$2001="","",[2]Entry!$L$2001)</f>
        <v/>
      </c>
      <c r="AE1998">
        <f>IF([2]Entry!$M$2001="","",[2]Entry!$M$2001)</f>
        <v/>
      </c>
      <c r="AF1998">
        <f>IF([2]Entry!$N$2001="","",[2]Entry!$N$2001)</f>
        <v/>
      </c>
      <c r="AJ1998">
        <f>IF([2]Entry!$S$2001="","",[2]Entry!$S$2001)</f>
        <v/>
      </c>
      <c r="AK1998">
        <f>IF([2]Entry!$C$2001="","",[2]Entry!$C$2001)</f>
        <v/>
      </c>
      <c r="AL1998">
        <f>IF([2]Entry!$D$2001="","",[2]Entry!$D$2001)</f>
        <v/>
      </c>
    </row>
    <row r="1999">
      <c r="Z1999">
        <f>IF([2]Entry!$E$2002="","",[2]Entry!$E$2002)</f>
        <v/>
      </c>
      <c r="AA1999">
        <f>IF([2]Entry!$G$2002="","",[2]Entry!$G$2002)</f>
        <v/>
      </c>
      <c r="AB1999">
        <f>IF([2]Entry!$J$2002="","",[2]Entry!$J$2002)</f>
        <v/>
      </c>
      <c r="AC1999">
        <f>IF([2]Entry!$K$2002="","",[2]Entry!$K$2002)</f>
        <v/>
      </c>
      <c r="AD1999">
        <f>IF([2]Entry!$L$2002="","",[2]Entry!$L$2002)</f>
        <v/>
      </c>
      <c r="AE1999">
        <f>IF([2]Entry!$M$2002="","",[2]Entry!$M$2002)</f>
        <v/>
      </c>
      <c r="AF1999">
        <f>IF([2]Entry!$N$2002="","",[2]Entry!$N$2002)</f>
        <v/>
      </c>
      <c r="AJ1999">
        <f>IF([2]Entry!$S$2002="","",[2]Entry!$S$2002)</f>
        <v/>
      </c>
      <c r="AK1999">
        <f>IF([2]Entry!$C$2002="","",[2]Entry!$C$2002)</f>
        <v/>
      </c>
      <c r="AL1999">
        <f>IF([2]Entry!$D$2002="","",[2]Entry!$D$2002)</f>
        <v/>
      </c>
    </row>
    <row r="2000">
      <c r="Z2000">
        <f>IF([2]Entry!$E$2003="","",[2]Entry!$E$2003)</f>
        <v/>
      </c>
      <c r="AA2000">
        <f>IF([2]Entry!$G$2003="","",[2]Entry!$G$2003)</f>
        <v/>
      </c>
      <c r="AB2000">
        <f>IF([2]Entry!$J$2003="","",[2]Entry!$J$2003)</f>
        <v/>
      </c>
      <c r="AC2000">
        <f>IF([2]Entry!$K$2003="","",[2]Entry!$K$2003)</f>
        <v/>
      </c>
      <c r="AD2000">
        <f>IF([2]Entry!$L$2003="","",[2]Entry!$L$2003)</f>
        <v/>
      </c>
      <c r="AE2000">
        <f>IF([2]Entry!$M$2003="","",[2]Entry!$M$2003)</f>
        <v/>
      </c>
      <c r="AF2000">
        <f>IF([2]Entry!$N$2003="","",[2]Entry!$N$2003)</f>
        <v/>
      </c>
      <c r="AJ2000">
        <f>IF([2]Entry!$S$2003="","",[2]Entry!$S$2003)</f>
        <v/>
      </c>
      <c r="AK2000">
        <f>IF([2]Entry!$C$2003="","",[2]Entry!$C$2003)</f>
        <v/>
      </c>
      <c r="AL2000">
        <f>IF([2]Entry!$D$2003="","",[2]Entry!$D$2003)</f>
        <v/>
      </c>
    </row>
    <row r="2001">
      <c r="Z2001">
        <f>IF([2]Entry!$E$2004="","",[2]Entry!$E$2004)</f>
        <v/>
      </c>
      <c r="AA2001">
        <f>IF([2]Entry!$G$2004="","",[2]Entry!$G$2004)</f>
        <v/>
      </c>
      <c r="AB2001">
        <f>IF([2]Entry!$J$2004="","",[2]Entry!$J$2004)</f>
        <v/>
      </c>
      <c r="AC2001">
        <f>IF([2]Entry!$K$2004="","",[2]Entry!$K$2004)</f>
        <v/>
      </c>
      <c r="AD2001">
        <f>IF([2]Entry!$L$2004="","",[2]Entry!$L$2004)</f>
        <v/>
      </c>
      <c r="AE2001">
        <f>IF([2]Entry!$M$2004="","",[2]Entry!$M$2004)</f>
        <v/>
      </c>
      <c r="AF2001">
        <f>IF([2]Entry!$N$2004="","",[2]Entry!$N$2004)</f>
        <v/>
      </c>
      <c r="AJ2001">
        <f>IF([2]Entry!$S$2004="","",[2]Entry!$S$2004)</f>
        <v/>
      </c>
      <c r="AK2001">
        <f>IF([2]Entry!$C$2004="","",[2]Entry!$C$2004)</f>
        <v/>
      </c>
      <c r="AL2001">
        <f>IF([2]Entry!$D$2004="","",[2]Entry!$D$2004)</f>
        <v/>
      </c>
    </row>
    <row r="2002">
      <c r="Z2002">
        <f>IF([2]Entry!$E$2005="","",[2]Entry!$E$2005)</f>
        <v/>
      </c>
      <c r="AA2002">
        <f>IF([2]Entry!$G$2005="","",[2]Entry!$G$2005)</f>
        <v/>
      </c>
      <c r="AB2002">
        <f>IF([2]Entry!$J$2005="","",[2]Entry!$J$2005)</f>
        <v/>
      </c>
      <c r="AC2002">
        <f>IF([2]Entry!$K$2005="","",[2]Entry!$K$2005)</f>
        <v/>
      </c>
      <c r="AD2002">
        <f>IF([2]Entry!$L$2005="","",[2]Entry!$L$2005)</f>
        <v/>
      </c>
      <c r="AE2002">
        <f>IF([2]Entry!$M$2005="","",[2]Entry!$M$2005)</f>
        <v/>
      </c>
      <c r="AF2002">
        <f>IF([2]Entry!$N$2005="","",[2]Entry!$N$2005)</f>
        <v/>
      </c>
      <c r="AJ2002">
        <f>IF([2]Entry!$S$2005="","",[2]Entry!$S$2005)</f>
        <v/>
      </c>
      <c r="AK2002">
        <f>IF([2]Entry!$C$2005="","",[2]Entry!$C$2005)</f>
        <v/>
      </c>
      <c r="AL2002">
        <f>IF([2]Entry!$D$2005="","",[2]Entry!$D$2005)</f>
        <v/>
      </c>
    </row>
    <row r="2003">
      <c r="Z2003">
        <f>IF([2]Entry!$E$2006="","",[2]Entry!$E$2006)</f>
        <v/>
      </c>
      <c r="AA2003">
        <f>IF([2]Entry!$G$2006="","",[2]Entry!$G$2006)</f>
        <v/>
      </c>
      <c r="AB2003">
        <f>IF([2]Entry!$J$2006="","",[2]Entry!$J$2006)</f>
        <v/>
      </c>
      <c r="AC2003">
        <f>IF([2]Entry!$K$2006="","",[2]Entry!$K$2006)</f>
        <v/>
      </c>
      <c r="AD2003">
        <f>IF([2]Entry!$L$2006="","",[2]Entry!$L$2006)</f>
        <v/>
      </c>
      <c r="AE2003">
        <f>IF([2]Entry!$M$2006="","",[2]Entry!$M$2006)</f>
        <v/>
      </c>
      <c r="AF2003">
        <f>IF([2]Entry!$N$2006="","",[2]Entry!$N$2006)</f>
        <v/>
      </c>
      <c r="AJ2003">
        <f>IF([2]Entry!$S$2006="","",[2]Entry!$S$2006)</f>
        <v/>
      </c>
      <c r="AK2003">
        <f>IF([2]Entry!$C$2006="","",[2]Entry!$C$2006)</f>
        <v/>
      </c>
      <c r="AL2003">
        <f>IF([2]Entry!$D$2006="","",[2]Entry!$D$2006)</f>
        <v/>
      </c>
    </row>
    <row r="2004">
      <c r="Z2004">
        <f>IF([2]Entry!$E$2007="","",[2]Entry!$E$2007)</f>
        <v/>
      </c>
      <c r="AA2004">
        <f>IF([2]Entry!$G$2007="","",[2]Entry!$G$2007)</f>
        <v/>
      </c>
      <c r="AB2004">
        <f>IF([2]Entry!$J$2007="","",[2]Entry!$J$2007)</f>
        <v/>
      </c>
      <c r="AC2004">
        <f>IF([2]Entry!$K$2007="","",[2]Entry!$K$2007)</f>
        <v/>
      </c>
      <c r="AD2004">
        <f>IF([2]Entry!$L$2007="","",[2]Entry!$L$2007)</f>
        <v/>
      </c>
      <c r="AE2004">
        <f>IF([2]Entry!$M$2007="","",[2]Entry!$M$2007)</f>
        <v/>
      </c>
      <c r="AF2004">
        <f>IF([2]Entry!$N$2007="","",[2]Entry!$N$2007)</f>
        <v/>
      </c>
      <c r="AJ2004">
        <f>IF([2]Entry!$S$2007="","",[2]Entry!$S$2007)</f>
        <v/>
      </c>
      <c r="AK2004">
        <f>IF([2]Entry!$C$2007="","",[2]Entry!$C$2007)</f>
        <v/>
      </c>
      <c r="AL2004">
        <f>IF([2]Entry!$D$2007="","",[2]Entry!$D$2007)</f>
        <v/>
      </c>
    </row>
    <row r="2005">
      <c r="Z2005">
        <f>IF([2]Entry!$E$2008="","",[2]Entry!$E$2008)</f>
        <v/>
      </c>
      <c r="AA2005">
        <f>IF([2]Entry!$G$2008="","",[2]Entry!$G$2008)</f>
        <v/>
      </c>
      <c r="AB2005">
        <f>IF([2]Entry!$J$2008="","",[2]Entry!$J$2008)</f>
        <v/>
      </c>
      <c r="AC2005">
        <f>IF([2]Entry!$K$2008="","",[2]Entry!$K$2008)</f>
        <v/>
      </c>
      <c r="AD2005">
        <f>IF([2]Entry!$L$2008="","",[2]Entry!$L$2008)</f>
        <v/>
      </c>
      <c r="AE2005">
        <f>IF([2]Entry!$M$2008="","",[2]Entry!$M$2008)</f>
        <v/>
      </c>
      <c r="AF2005">
        <f>IF([2]Entry!$N$2008="","",[2]Entry!$N$2008)</f>
        <v/>
      </c>
      <c r="AJ2005">
        <f>IF([2]Entry!$S$2008="","",[2]Entry!$S$2008)</f>
        <v/>
      </c>
      <c r="AK2005">
        <f>IF([2]Entry!$C$2008="","",[2]Entry!$C$2008)</f>
        <v/>
      </c>
      <c r="AL2005">
        <f>IF([2]Entry!$D$2008="","",[2]Entry!$D$2008)</f>
        <v/>
      </c>
    </row>
  </sheetData>
  <mergeCells count="3">
    <mergeCell ref="A2:AB2"/>
    <mergeCell ref="A3:AZ3"/>
    <mergeCell ref="A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0A4AE"/>
    <outlinePr summaryBelow="1" summaryRight="1"/>
    <pageSetUpPr/>
  </sheetPr>
  <dimension ref="A1:AA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24" customWidth="1" min="11" max="11"/>
    <col width="13" customWidth="1" min="13" max="13"/>
    <col width="10" customWidth="1" min="14" max="14"/>
    <col width="10" customWidth="1" min="15" max="15"/>
    <col width="12" customWidth="1" min="16" max="16"/>
    <col width="20" customWidth="1" min="18" max="18"/>
    <col width="18" customWidth="1" min="19" max="19"/>
    <col width="7" customWidth="1" min="20" max="20"/>
    <col width="18" customWidth="1" min="22" max="22"/>
    <col width="7" customWidth="1" min="23" max="23"/>
    <col width="13" customWidth="1" min="24" max="24"/>
    <col width="10" customWidth="1" min="25" max="25"/>
    <col width="13" customWidth="1" min="26" max="26"/>
    <col width="13" customWidth="1" min="27" max="2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62" t="inlineStr">
        <is>
          <t>برگه فنی — موتور تراز (تشخیص خودکار حساب بدهکار/بستانکار هر تراکنش + اسناد چک). فرمول‌ها را تغییر ندهید.</t>
        </is>
      </c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</row>
    <row r="5">
      <c r="A5" s="63" t="inlineStr">
        <is>
          <t>1·بانک</t>
        </is>
      </c>
      <c r="B5" s="63" t="inlineStr">
        <is>
          <t>1·طرف</t>
        </is>
      </c>
      <c r="C5" s="63" t="inlineStr">
        <is>
          <t>1·نوع</t>
        </is>
      </c>
      <c r="D5" s="63" t="inlineStr">
        <is>
          <t>1·گروه</t>
        </is>
      </c>
      <c r="E5" s="63" t="inlineStr">
        <is>
          <t>1·زیرگروه</t>
        </is>
      </c>
      <c r="F5" s="63" t="inlineStr">
        <is>
          <t>1·واریز</t>
        </is>
      </c>
      <c r="G5" s="63" t="inlineStr">
        <is>
          <t>1·برداشت</t>
        </is>
      </c>
      <c r="H5" s="63" t="inlineStr">
        <is>
          <t>1·مبلغ</t>
        </is>
      </c>
      <c r="I5" s="63" t="inlineStr">
        <is>
          <t>1·بدهکار</t>
        </is>
      </c>
      <c r="J5" s="63" t="inlineStr">
        <is>
          <t>1·بستانکار</t>
        </is>
      </c>
      <c r="K5" s="64" t="inlineStr">
        <is>
          <t>1·مشکل</t>
        </is>
      </c>
      <c r="M5" s="65" t="inlineStr">
        <is>
          <t>2·مبلغ</t>
        </is>
      </c>
      <c r="N5" s="65" t="inlineStr">
        <is>
          <t>2·ذی‌نفع</t>
        </is>
      </c>
      <c r="O5" s="65" t="inlineStr">
        <is>
          <t>2·بدهکار</t>
        </is>
      </c>
      <c r="P5" s="65" t="inlineStr">
        <is>
          <t>2·بستانکار</t>
        </is>
      </c>
      <c r="R5" s="64" t="inlineStr">
        <is>
          <t>2·مشکل</t>
        </is>
      </c>
      <c r="S5" s="64" t="inlineStr">
        <is>
          <t>2·کلید</t>
        </is>
      </c>
      <c r="T5" s="64" t="inlineStr">
        <is>
          <t>2·رتبه</t>
        </is>
      </c>
      <c r="V5" s="64" t="inlineStr">
        <is>
          <t>1·کلید</t>
        </is>
      </c>
      <c r="W5" s="64" t="inlineStr">
        <is>
          <t>1·رتبه</t>
        </is>
      </c>
      <c r="X5" s="66" t="inlineStr">
        <is>
          <t>3·مبلغ</t>
        </is>
      </c>
      <c r="Y5" s="66" t="inlineStr">
        <is>
          <t>3·فروشنده</t>
        </is>
      </c>
      <c r="Z5" s="66" t="inlineStr">
        <is>
          <t>3·بدهکار</t>
        </is>
      </c>
      <c r="AA5" s="66" t="inlineStr">
        <is>
          <t>3·بستانکار</t>
        </is>
      </c>
    </row>
    <row r="6">
      <c r="A6">
        <f>IF(Sync!$Z6="","",LEFT(UPPER(TRIM(Sync!$Z6)),6))</f>
        <v/>
      </c>
      <c r="B6">
        <f>IF($A6="","",IF(Sync!$AA6="","",Sync!$AA6))</f>
        <v/>
      </c>
      <c r="C6">
        <f>IF($A6="","",IF(Sync!$AB6="","",Sync!$AB6))</f>
        <v/>
      </c>
      <c r="D6">
        <f>IF($A6="","",IF(Sync!$AC6="","",Sync!$AC6))</f>
        <v/>
      </c>
      <c r="E6">
        <f>IF($A6="","",IF(Sync!$AD6="","",Sync!$AD6))</f>
        <v/>
      </c>
      <c r="F6">
        <f>IF($A6="","",IF(Sync!$AE6="",0,Sync!$AE6))</f>
        <v/>
      </c>
      <c r="G6">
        <f>IF($A6="","",IF(Sync!$AF6="",0,Sync!$AF6))</f>
        <v/>
      </c>
      <c r="H6">
        <f>IF(OR($A6="",ROUND($F6+$G6,2)=0),"",$F6+$G6)</f>
        <v/>
      </c>
      <c r="I6">
        <f>IF($H6="","",IF(ROUND($F6,2)&gt;0,$A6,IF($D6="شخصی قاسم","شخصی قاسم",IF($D6="هزینه","هزینه: "&amp;IF($E6="","متفرقه",$E6),IF($C6="پاس چک","چک پرداختی",IF(OR($B6="",COUNTIF(AcctCodesA,$B6)=0),"متفرقه",$B6))))))</f>
        <v/>
      </c>
      <c r="J6">
        <f>IF($H6="","",IF(ROUND($F6,2)&gt;0,IF($D6="شخصی قاسم","شخصی قاسم",IF($D6="هزینه","هزینه: "&amp;IF($E6="","متفرقه",$E6),IF(OR($B6="",COUNTIF(AcctCodesA,$B6)=0),"متفرقه",$B6))),$A6))</f>
        <v/>
      </c>
      <c r="K6">
        <f>IF($A6="","",IF(AND($B6&lt;&gt;"",COUNTIF(AcctCodesA,$B6)=0),"کد طرف در INFO تعریف نشده",IF(AND($D6="هزینه",$E6=""),"هزینه بدون زیرگروه",IF(AND($C6="پاس چک",OR(Sync!$AJ6="",COUNTIF(IssueNosA,Sync!$AJ6)=0)),"شماره چک پاس‌شده معتبر نیست",""))))</f>
        <v/>
      </c>
      <c r="M6">
        <f>IF(Sync!$AH6="","",Sync!$AH6)</f>
        <v/>
      </c>
      <c r="N6">
        <f>IF($M6="","",IF(OR(Sync!$AI6="",COUNTIF(AcctCodesA,Sync!$AI6)=0),"متفرقه",Sync!$AI6))</f>
        <v/>
      </c>
      <c r="O6">
        <f>IF($M6="","",$N6)</f>
        <v/>
      </c>
      <c r="P6">
        <f>IF($M6="","","چک پرداختی")</f>
        <v/>
      </c>
      <c r="R6">
        <f>IF($M6="","",IF(COUNTIF(AcctCodesA,Sync!$AI6)=0,"ذی‌نفع چک تعریف‌نشده",""))</f>
        <v/>
      </c>
      <c r="S6">
        <f>IF($R6="","",Sync!$AG6&amp;"|"&amp;"5"&amp;RIGHT("00000"&amp;1,5))</f>
        <v/>
      </c>
      <c r="T6">
        <f>IF($S6="",0,COUNTIFS($S$6:$S$505,"&lt;"&amp;$S6)-COUNTIFS($S$6:$S$505,"&lt;"&amp;$S6,$R$6:$R$505,"")+1)</f>
        <v/>
      </c>
      <c r="V6">
        <f>IF($K6="","",IF(ISNUMBER(Sync!$AK6),Sync!$AK6,LEFT(Sync!$AK6,4)&amp;MID(Sync!$AK6,6,2)&amp;RIGHT(Sync!$AK6,2))&amp;"|"&amp;"4"&amp;RIGHT("00000"&amp;1,5))</f>
        <v/>
      </c>
      <c r="W6">
        <f>IF($V6="",0,COUNTIFS($V$6:$V$2005,"&lt;"&amp;$V6)-COUNTIFS($V$6:$V$2005,"&lt;"&amp;$V6,$K$6:$K$2005,"")+1)</f>
        <v/>
      </c>
      <c r="X6">
        <f>IF(Sync!$AX6="","",IF(OR(N(Sync!$AY6)=0,N(Sync!$AZ6)=0),"",ROUND(N(Sync!$AY6)*N(Sync!$AZ6),0)))</f>
        <v/>
      </c>
      <c r="Y6">
        <f>IF($X6="","",IF(OR(Sync!$AX6="",COUNTIF(AcctCodesA,Sync!$AX6)=0),"متفرقه",Sync!$AX6))</f>
        <v/>
      </c>
      <c r="Z6">
        <f>IF($X6="","","سبد و ظروف")</f>
        <v/>
      </c>
      <c r="AA6">
        <f>IF($X6="","",$Y6)</f>
        <v/>
      </c>
    </row>
    <row r="7">
      <c r="A7">
        <f>IF(Sync!$Z7="","",LEFT(UPPER(TRIM(Sync!$Z7)),6))</f>
        <v/>
      </c>
      <c r="B7">
        <f>IF($A7="","",IF(Sync!$AA7="","",Sync!$AA7))</f>
        <v/>
      </c>
      <c r="C7">
        <f>IF($A7="","",IF(Sync!$AB7="","",Sync!$AB7))</f>
        <v/>
      </c>
      <c r="D7">
        <f>IF($A7="","",IF(Sync!$AC7="","",Sync!$AC7))</f>
        <v/>
      </c>
      <c r="E7">
        <f>IF($A7="","",IF(Sync!$AD7="","",Sync!$AD7))</f>
        <v/>
      </c>
      <c r="F7">
        <f>IF($A7="","",IF(Sync!$AE7="",0,Sync!$AE7))</f>
        <v/>
      </c>
      <c r="G7">
        <f>IF($A7="","",IF(Sync!$AF7="",0,Sync!$AF7))</f>
        <v/>
      </c>
      <c r="H7">
        <f>IF(OR($A7="",ROUND($F7+$G7,2)=0),"",$F7+$G7)</f>
        <v/>
      </c>
      <c r="I7">
        <f>IF($H7="","",IF(ROUND($F7,2)&gt;0,$A7,IF($D7="شخصی قاسم","شخصی قاسم",IF($D7="هزینه","هزینه: "&amp;IF($E7="","متفرقه",$E7),IF($C7="پاس چک","چک پرداختی",IF(OR($B7="",COUNTIF(AcctCodesA,$B7)=0),"متفرقه",$B7))))))</f>
        <v/>
      </c>
      <c r="J7">
        <f>IF($H7="","",IF(ROUND($F7,2)&gt;0,IF($D7="شخصی قاسم","شخصی قاسم",IF($D7="هزینه","هزینه: "&amp;IF($E7="","متفرقه",$E7),IF(OR($B7="",COUNTIF(AcctCodesA,$B7)=0),"متفرقه",$B7))),$A7))</f>
        <v/>
      </c>
      <c r="K7">
        <f>IF($A7="","",IF(AND($B7&lt;&gt;"",COUNTIF(AcctCodesA,$B7)=0),"کد طرف در INFO تعریف نشده",IF(AND($D7="هزینه",$E7=""),"هزینه بدون زیرگروه",IF(AND($C7="پاس چک",OR(Sync!$AJ7="",COUNTIF(IssueNosA,Sync!$AJ7)=0)),"شماره چک پاس‌شده معتبر نیست",""))))</f>
        <v/>
      </c>
      <c r="M7">
        <f>IF(Sync!$AH7="","",Sync!$AH7)</f>
        <v/>
      </c>
      <c r="N7">
        <f>IF($M7="","",IF(OR(Sync!$AI7="",COUNTIF(AcctCodesA,Sync!$AI7)=0),"متفرقه",Sync!$AI7))</f>
        <v/>
      </c>
      <c r="O7">
        <f>IF($M7="","",$N7)</f>
        <v/>
      </c>
      <c r="P7">
        <f>IF($M7="","","چک پرداختی")</f>
        <v/>
      </c>
      <c r="R7">
        <f>IF($M7="","",IF(COUNTIF(AcctCodesA,Sync!$AI7)=0,"ذی‌نفع چک تعریف‌نشده",""))</f>
        <v/>
      </c>
      <c r="S7">
        <f>IF($R7="","",Sync!$AG7&amp;"|"&amp;"5"&amp;RIGHT("00000"&amp;2,5))</f>
        <v/>
      </c>
      <c r="T7">
        <f>IF($S7="",0,COUNTIFS($S$6:$S$505,"&lt;"&amp;$S7)-COUNTIFS($S$6:$S$505,"&lt;"&amp;$S7,$R$6:$R$505,"")+1)</f>
        <v/>
      </c>
      <c r="V7">
        <f>IF($K7="","",IF(ISNUMBER(Sync!$AK7),Sync!$AK7,LEFT(Sync!$AK7,4)&amp;MID(Sync!$AK7,6,2)&amp;RIGHT(Sync!$AK7,2))&amp;"|"&amp;"4"&amp;RIGHT("00000"&amp;2,5))</f>
        <v/>
      </c>
      <c r="W7">
        <f>IF($V7="",0,COUNTIFS($V$6:$V$2005,"&lt;"&amp;$V7)-COUNTIFS($V$6:$V$2005,"&lt;"&amp;$V7,$K$6:$K$2005,"")+1)</f>
        <v/>
      </c>
      <c r="X7">
        <f>IF(Sync!$AX7="","",IF(OR(N(Sync!$AY7)=0,N(Sync!$AZ7)=0),"",ROUND(N(Sync!$AY7)*N(Sync!$AZ7),0)))</f>
        <v/>
      </c>
      <c r="Y7">
        <f>IF($X7="","",IF(OR(Sync!$AX7="",COUNTIF(AcctCodesA,Sync!$AX7)=0),"متفرقه",Sync!$AX7))</f>
        <v/>
      </c>
      <c r="Z7">
        <f>IF($X7="","","سبد و ظروف")</f>
        <v/>
      </c>
      <c r="AA7">
        <f>IF($X7="","",$Y7)</f>
        <v/>
      </c>
    </row>
    <row r="8">
      <c r="A8">
        <f>IF(Sync!$Z8="","",LEFT(UPPER(TRIM(Sync!$Z8)),6))</f>
        <v/>
      </c>
      <c r="B8">
        <f>IF($A8="","",IF(Sync!$AA8="","",Sync!$AA8))</f>
        <v/>
      </c>
      <c r="C8">
        <f>IF($A8="","",IF(Sync!$AB8="","",Sync!$AB8))</f>
        <v/>
      </c>
      <c r="D8">
        <f>IF($A8="","",IF(Sync!$AC8="","",Sync!$AC8))</f>
        <v/>
      </c>
      <c r="E8">
        <f>IF($A8="","",IF(Sync!$AD8="","",Sync!$AD8))</f>
        <v/>
      </c>
      <c r="F8">
        <f>IF($A8="","",IF(Sync!$AE8="",0,Sync!$AE8))</f>
        <v/>
      </c>
      <c r="G8">
        <f>IF($A8="","",IF(Sync!$AF8="",0,Sync!$AF8))</f>
        <v/>
      </c>
      <c r="H8">
        <f>IF(OR($A8="",ROUND($F8+$G8,2)=0),"",$F8+$G8)</f>
        <v/>
      </c>
      <c r="I8">
        <f>IF($H8="","",IF(ROUND($F8,2)&gt;0,$A8,IF($D8="شخصی قاسم","شخصی قاسم",IF($D8="هزینه","هزینه: "&amp;IF($E8="","متفرقه",$E8),IF($C8="پاس چک","چک پرداختی",IF(OR($B8="",COUNTIF(AcctCodesA,$B8)=0),"متفرقه",$B8))))))</f>
        <v/>
      </c>
      <c r="J8">
        <f>IF($H8="","",IF(ROUND($F8,2)&gt;0,IF($D8="شخصی قاسم","شخصی قاسم",IF($D8="هزینه","هزینه: "&amp;IF($E8="","متفرقه",$E8),IF(OR($B8="",COUNTIF(AcctCodesA,$B8)=0),"متفرقه",$B8))),$A8))</f>
        <v/>
      </c>
      <c r="K8">
        <f>IF($A8="","",IF(AND($B8&lt;&gt;"",COUNTIF(AcctCodesA,$B8)=0),"کد طرف در INFO تعریف نشده",IF(AND($D8="هزینه",$E8=""),"هزینه بدون زیرگروه",IF(AND($C8="پاس چک",OR(Sync!$AJ8="",COUNTIF(IssueNosA,Sync!$AJ8)=0)),"شماره چک پاس‌شده معتبر نیست",""))))</f>
        <v/>
      </c>
      <c r="M8">
        <f>IF(Sync!$AH8="","",Sync!$AH8)</f>
        <v/>
      </c>
      <c r="N8">
        <f>IF($M8="","",IF(OR(Sync!$AI8="",COUNTIF(AcctCodesA,Sync!$AI8)=0),"متفرقه",Sync!$AI8))</f>
        <v/>
      </c>
      <c r="O8">
        <f>IF($M8="","",$N8)</f>
        <v/>
      </c>
      <c r="P8">
        <f>IF($M8="","","چک پرداختی")</f>
        <v/>
      </c>
      <c r="R8">
        <f>IF($M8="","",IF(COUNTIF(AcctCodesA,Sync!$AI8)=0,"ذی‌نفع چک تعریف‌نشده",""))</f>
        <v/>
      </c>
      <c r="S8">
        <f>IF($R8="","",Sync!$AG8&amp;"|"&amp;"5"&amp;RIGHT("00000"&amp;3,5))</f>
        <v/>
      </c>
      <c r="T8">
        <f>IF($S8="",0,COUNTIFS($S$6:$S$505,"&lt;"&amp;$S8)-COUNTIFS($S$6:$S$505,"&lt;"&amp;$S8,$R$6:$R$505,"")+1)</f>
        <v/>
      </c>
      <c r="V8">
        <f>IF($K8="","",IF(ISNUMBER(Sync!$AK8),Sync!$AK8,LEFT(Sync!$AK8,4)&amp;MID(Sync!$AK8,6,2)&amp;RIGHT(Sync!$AK8,2))&amp;"|"&amp;"4"&amp;RIGHT("00000"&amp;3,5))</f>
        <v/>
      </c>
      <c r="W8">
        <f>IF($V8="",0,COUNTIFS($V$6:$V$2005,"&lt;"&amp;$V8)-COUNTIFS($V$6:$V$2005,"&lt;"&amp;$V8,$K$6:$K$2005,"")+1)</f>
        <v/>
      </c>
      <c r="X8">
        <f>IF(Sync!$AX8="","",IF(OR(N(Sync!$AY8)=0,N(Sync!$AZ8)=0),"",ROUND(N(Sync!$AY8)*N(Sync!$AZ8),0)))</f>
        <v/>
      </c>
      <c r="Y8">
        <f>IF($X8="","",IF(OR(Sync!$AX8="",COUNTIF(AcctCodesA,Sync!$AX8)=0),"متفرقه",Sync!$AX8))</f>
        <v/>
      </c>
      <c r="Z8">
        <f>IF($X8="","","سبد و ظروف")</f>
        <v/>
      </c>
      <c r="AA8">
        <f>IF($X8="","",$Y8)</f>
        <v/>
      </c>
    </row>
    <row r="9">
      <c r="A9">
        <f>IF(Sync!$Z9="","",LEFT(UPPER(TRIM(Sync!$Z9)),6))</f>
        <v/>
      </c>
      <c r="B9">
        <f>IF($A9="","",IF(Sync!$AA9="","",Sync!$AA9))</f>
        <v/>
      </c>
      <c r="C9">
        <f>IF($A9="","",IF(Sync!$AB9="","",Sync!$AB9))</f>
        <v/>
      </c>
      <c r="D9">
        <f>IF($A9="","",IF(Sync!$AC9="","",Sync!$AC9))</f>
        <v/>
      </c>
      <c r="E9">
        <f>IF($A9="","",IF(Sync!$AD9="","",Sync!$AD9))</f>
        <v/>
      </c>
      <c r="F9">
        <f>IF($A9="","",IF(Sync!$AE9="",0,Sync!$AE9))</f>
        <v/>
      </c>
      <c r="G9">
        <f>IF($A9="","",IF(Sync!$AF9="",0,Sync!$AF9))</f>
        <v/>
      </c>
      <c r="H9">
        <f>IF(OR($A9="",ROUND($F9+$G9,2)=0),"",$F9+$G9)</f>
        <v/>
      </c>
      <c r="I9">
        <f>IF($H9="","",IF(ROUND($F9,2)&gt;0,$A9,IF($D9="شخصی قاسم","شخصی قاسم",IF($D9="هزینه","هزینه: "&amp;IF($E9="","متفرقه",$E9),IF($C9="پاس چک","چک پرداختی",IF(OR($B9="",COUNTIF(AcctCodesA,$B9)=0),"متفرقه",$B9))))))</f>
        <v/>
      </c>
      <c r="J9">
        <f>IF($H9="","",IF(ROUND($F9,2)&gt;0,IF($D9="شخصی قاسم","شخصی قاسم",IF($D9="هزینه","هزینه: "&amp;IF($E9="","متفرقه",$E9),IF(OR($B9="",COUNTIF(AcctCodesA,$B9)=0),"متفرقه",$B9))),$A9))</f>
        <v/>
      </c>
      <c r="K9">
        <f>IF($A9="","",IF(AND($B9&lt;&gt;"",COUNTIF(AcctCodesA,$B9)=0),"کد طرف در INFO تعریف نشده",IF(AND($D9="هزینه",$E9=""),"هزینه بدون زیرگروه",IF(AND($C9="پاس چک",OR(Sync!$AJ9="",COUNTIF(IssueNosA,Sync!$AJ9)=0)),"شماره چک پاس‌شده معتبر نیست",""))))</f>
        <v/>
      </c>
      <c r="M9">
        <f>IF(Sync!$AH9="","",Sync!$AH9)</f>
        <v/>
      </c>
      <c r="N9">
        <f>IF($M9="","",IF(OR(Sync!$AI9="",COUNTIF(AcctCodesA,Sync!$AI9)=0),"متفرقه",Sync!$AI9))</f>
        <v/>
      </c>
      <c r="O9">
        <f>IF($M9="","",$N9)</f>
        <v/>
      </c>
      <c r="P9">
        <f>IF($M9="","","چک پرداختی")</f>
        <v/>
      </c>
      <c r="R9">
        <f>IF($M9="","",IF(COUNTIF(AcctCodesA,Sync!$AI9)=0,"ذی‌نفع چک تعریف‌نشده",""))</f>
        <v/>
      </c>
      <c r="S9">
        <f>IF($R9="","",Sync!$AG9&amp;"|"&amp;"5"&amp;RIGHT("00000"&amp;4,5))</f>
        <v/>
      </c>
      <c r="T9">
        <f>IF($S9="",0,COUNTIFS($S$6:$S$505,"&lt;"&amp;$S9)-COUNTIFS($S$6:$S$505,"&lt;"&amp;$S9,$R$6:$R$505,"")+1)</f>
        <v/>
      </c>
      <c r="V9">
        <f>IF($K9="","",IF(ISNUMBER(Sync!$AK9),Sync!$AK9,LEFT(Sync!$AK9,4)&amp;MID(Sync!$AK9,6,2)&amp;RIGHT(Sync!$AK9,2))&amp;"|"&amp;"4"&amp;RIGHT("00000"&amp;4,5))</f>
        <v/>
      </c>
      <c r="W9">
        <f>IF($V9="",0,COUNTIFS($V$6:$V$2005,"&lt;"&amp;$V9)-COUNTIFS($V$6:$V$2005,"&lt;"&amp;$V9,$K$6:$K$2005,"")+1)</f>
        <v/>
      </c>
      <c r="X9">
        <f>IF(Sync!$AX9="","",IF(OR(N(Sync!$AY9)=0,N(Sync!$AZ9)=0),"",ROUND(N(Sync!$AY9)*N(Sync!$AZ9),0)))</f>
        <v/>
      </c>
      <c r="Y9">
        <f>IF($X9="","",IF(OR(Sync!$AX9="",COUNTIF(AcctCodesA,Sync!$AX9)=0),"متفرقه",Sync!$AX9))</f>
        <v/>
      </c>
      <c r="Z9">
        <f>IF($X9="","","سبد و ظروف")</f>
        <v/>
      </c>
      <c r="AA9">
        <f>IF($X9="","",$Y9)</f>
        <v/>
      </c>
    </row>
    <row r="10">
      <c r="A10">
        <f>IF(Sync!$Z10="","",LEFT(UPPER(TRIM(Sync!$Z10)),6))</f>
        <v/>
      </c>
      <c r="B10">
        <f>IF($A10="","",IF(Sync!$AA10="","",Sync!$AA10))</f>
        <v/>
      </c>
      <c r="C10">
        <f>IF($A10="","",IF(Sync!$AB10="","",Sync!$AB10))</f>
        <v/>
      </c>
      <c r="D10">
        <f>IF($A10="","",IF(Sync!$AC10="","",Sync!$AC10))</f>
        <v/>
      </c>
      <c r="E10">
        <f>IF($A10="","",IF(Sync!$AD10="","",Sync!$AD10))</f>
        <v/>
      </c>
      <c r="F10">
        <f>IF($A10="","",IF(Sync!$AE10="",0,Sync!$AE10))</f>
        <v/>
      </c>
      <c r="G10">
        <f>IF($A10="","",IF(Sync!$AF10="",0,Sync!$AF10))</f>
        <v/>
      </c>
      <c r="H10">
        <f>IF(OR($A10="",ROUND($F10+$G10,2)=0),"",$F10+$G10)</f>
        <v/>
      </c>
      <c r="I10">
        <f>IF($H10="","",IF(ROUND($F10,2)&gt;0,$A10,IF($D10="شخصی قاسم","شخصی قاسم",IF($D10="هزینه","هزینه: "&amp;IF($E10="","متفرقه",$E10),IF($C10="پاس چک","چک پرداختی",IF(OR($B10="",COUNTIF(AcctCodesA,$B10)=0),"متفرقه",$B10))))))</f>
        <v/>
      </c>
      <c r="J10">
        <f>IF($H10="","",IF(ROUND($F10,2)&gt;0,IF($D10="شخصی قاسم","شخصی قاسم",IF($D10="هزینه","هزینه: "&amp;IF($E10="","متفرقه",$E10),IF(OR($B10="",COUNTIF(AcctCodesA,$B10)=0),"متفرقه",$B10))),$A10))</f>
        <v/>
      </c>
      <c r="K10">
        <f>IF($A10="","",IF(AND($B10&lt;&gt;"",COUNTIF(AcctCodesA,$B10)=0),"کد طرف در INFO تعریف نشده",IF(AND($D10="هزینه",$E10=""),"هزینه بدون زیرگروه",IF(AND($C10="پاس چک",OR(Sync!$AJ10="",COUNTIF(IssueNosA,Sync!$AJ10)=0)),"شماره چک پاس‌شده معتبر نیست",""))))</f>
        <v/>
      </c>
      <c r="M10">
        <f>IF(Sync!$AH10="","",Sync!$AH10)</f>
        <v/>
      </c>
      <c r="N10">
        <f>IF($M10="","",IF(OR(Sync!$AI10="",COUNTIF(AcctCodesA,Sync!$AI10)=0),"متفرقه",Sync!$AI10))</f>
        <v/>
      </c>
      <c r="O10">
        <f>IF($M10="","",$N10)</f>
        <v/>
      </c>
      <c r="P10">
        <f>IF($M10="","","چک پرداختی")</f>
        <v/>
      </c>
      <c r="R10">
        <f>IF($M10="","",IF(COUNTIF(AcctCodesA,Sync!$AI10)=0,"ذی‌نفع چک تعریف‌نشده",""))</f>
        <v/>
      </c>
      <c r="S10">
        <f>IF($R10="","",Sync!$AG10&amp;"|"&amp;"5"&amp;RIGHT("00000"&amp;5,5))</f>
        <v/>
      </c>
      <c r="T10">
        <f>IF($S10="",0,COUNTIFS($S$6:$S$505,"&lt;"&amp;$S10)-COUNTIFS($S$6:$S$505,"&lt;"&amp;$S10,$R$6:$R$505,"")+1)</f>
        <v/>
      </c>
      <c r="V10">
        <f>IF($K10="","",IF(ISNUMBER(Sync!$AK10),Sync!$AK10,LEFT(Sync!$AK10,4)&amp;MID(Sync!$AK10,6,2)&amp;RIGHT(Sync!$AK10,2))&amp;"|"&amp;"4"&amp;RIGHT("00000"&amp;5,5))</f>
        <v/>
      </c>
      <c r="W10">
        <f>IF($V10="",0,COUNTIFS($V$6:$V$2005,"&lt;"&amp;$V10)-COUNTIFS($V$6:$V$2005,"&lt;"&amp;$V10,$K$6:$K$2005,"")+1)</f>
        <v/>
      </c>
      <c r="X10">
        <f>IF(Sync!$AX10="","",IF(OR(N(Sync!$AY10)=0,N(Sync!$AZ10)=0),"",ROUND(N(Sync!$AY10)*N(Sync!$AZ10),0)))</f>
        <v/>
      </c>
      <c r="Y10">
        <f>IF($X10="","",IF(OR(Sync!$AX10="",COUNTIF(AcctCodesA,Sync!$AX10)=0),"متفرقه",Sync!$AX10))</f>
        <v/>
      </c>
      <c r="Z10">
        <f>IF($X10="","","سبد و ظروف")</f>
        <v/>
      </c>
      <c r="AA10">
        <f>IF($X10="","",$Y10)</f>
        <v/>
      </c>
    </row>
    <row r="11">
      <c r="A11">
        <f>IF(Sync!$Z11="","",LEFT(UPPER(TRIM(Sync!$Z11)),6))</f>
        <v/>
      </c>
      <c r="B11">
        <f>IF($A11="","",IF(Sync!$AA11="","",Sync!$AA11))</f>
        <v/>
      </c>
      <c r="C11">
        <f>IF($A11="","",IF(Sync!$AB11="","",Sync!$AB11))</f>
        <v/>
      </c>
      <c r="D11">
        <f>IF($A11="","",IF(Sync!$AC11="","",Sync!$AC11))</f>
        <v/>
      </c>
      <c r="E11">
        <f>IF($A11="","",IF(Sync!$AD11="","",Sync!$AD11))</f>
        <v/>
      </c>
      <c r="F11">
        <f>IF($A11="","",IF(Sync!$AE11="",0,Sync!$AE11))</f>
        <v/>
      </c>
      <c r="G11">
        <f>IF($A11="","",IF(Sync!$AF11="",0,Sync!$AF11))</f>
        <v/>
      </c>
      <c r="H11">
        <f>IF(OR($A11="",ROUND($F11+$G11,2)=0),"",$F11+$G11)</f>
        <v/>
      </c>
      <c r="I11">
        <f>IF($H11="","",IF(ROUND($F11,2)&gt;0,$A11,IF($D11="شخصی قاسم","شخصی قاسم",IF($D11="هزینه","هزینه: "&amp;IF($E11="","متفرقه",$E11),IF($C11="پاس چک","چک پرداختی",IF(OR($B11="",COUNTIF(AcctCodesA,$B11)=0),"متفرقه",$B11))))))</f>
        <v/>
      </c>
      <c r="J11">
        <f>IF($H11="","",IF(ROUND($F11,2)&gt;0,IF($D11="شخصی قاسم","شخصی قاسم",IF($D11="هزینه","هزینه: "&amp;IF($E11="","متفرقه",$E11),IF(OR($B11="",COUNTIF(AcctCodesA,$B11)=0),"متفرقه",$B11))),$A11))</f>
        <v/>
      </c>
      <c r="K11">
        <f>IF($A11="","",IF(AND($B11&lt;&gt;"",COUNTIF(AcctCodesA,$B11)=0),"کد طرف در INFO تعریف نشده",IF(AND($D11="هزینه",$E11=""),"هزینه بدون زیرگروه",IF(AND($C11="پاس چک",OR(Sync!$AJ11="",COUNTIF(IssueNosA,Sync!$AJ11)=0)),"شماره چک پاس‌شده معتبر نیست",""))))</f>
        <v/>
      </c>
      <c r="M11">
        <f>IF(Sync!$AH11="","",Sync!$AH11)</f>
        <v/>
      </c>
      <c r="N11">
        <f>IF($M11="","",IF(OR(Sync!$AI11="",COUNTIF(AcctCodesA,Sync!$AI11)=0),"متفرقه",Sync!$AI11))</f>
        <v/>
      </c>
      <c r="O11">
        <f>IF($M11="","",$N11)</f>
        <v/>
      </c>
      <c r="P11">
        <f>IF($M11="","","چک پرداختی")</f>
        <v/>
      </c>
      <c r="R11">
        <f>IF($M11="","",IF(COUNTIF(AcctCodesA,Sync!$AI11)=0,"ذی‌نفع چک تعریف‌نشده",""))</f>
        <v/>
      </c>
      <c r="S11">
        <f>IF($R11="","",Sync!$AG11&amp;"|"&amp;"5"&amp;RIGHT("00000"&amp;6,5))</f>
        <v/>
      </c>
      <c r="T11">
        <f>IF($S11="",0,COUNTIFS($S$6:$S$505,"&lt;"&amp;$S11)-COUNTIFS($S$6:$S$505,"&lt;"&amp;$S11,$R$6:$R$505,"")+1)</f>
        <v/>
      </c>
      <c r="V11">
        <f>IF($K11="","",IF(ISNUMBER(Sync!$AK11),Sync!$AK11,LEFT(Sync!$AK11,4)&amp;MID(Sync!$AK11,6,2)&amp;RIGHT(Sync!$AK11,2))&amp;"|"&amp;"4"&amp;RIGHT("00000"&amp;6,5))</f>
        <v/>
      </c>
      <c r="W11">
        <f>IF($V11="",0,COUNTIFS($V$6:$V$2005,"&lt;"&amp;$V11)-COUNTIFS($V$6:$V$2005,"&lt;"&amp;$V11,$K$6:$K$2005,"")+1)</f>
        <v/>
      </c>
      <c r="X11">
        <f>IF(Sync!$AX11="","",IF(OR(N(Sync!$AY11)=0,N(Sync!$AZ11)=0),"",ROUND(N(Sync!$AY11)*N(Sync!$AZ11),0)))</f>
        <v/>
      </c>
      <c r="Y11">
        <f>IF($X11="","",IF(OR(Sync!$AX11="",COUNTIF(AcctCodesA,Sync!$AX11)=0),"متفرقه",Sync!$AX11))</f>
        <v/>
      </c>
      <c r="Z11">
        <f>IF($X11="","","سبد و ظروف")</f>
        <v/>
      </c>
      <c r="AA11">
        <f>IF($X11="","",$Y11)</f>
        <v/>
      </c>
    </row>
    <row r="12">
      <c r="A12">
        <f>IF(Sync!$Z12="","",LEFT(UPPER(TRIM(Sync!$Z12)),6))</f>
        <v/>
      </c>
      <c r="B12">
        <f>IF($A12="","",IF(Sync!$AA12="","",Sync!$AA12))</f>
        <v/>
      </c>
      <c r="C12">
        <f>IF($A12="","",IF(Sync!$AB12="","",Sync!$AB12))</f>
        <v/>
      </c>
      <c r="D12">
        <f>IF($A12="","",IF(Sync!$AC12="","",Sync!$AC12))</f>
        <v/>
      </c>
      <c r="E12">
        <f>IF($A12="","",IF(Sync!$AD12="","",Sync!$AD12))</f>
        <v/>
      </c>
      <c r="F12">
        <f>IF($A12="","",IF(Sync!$AE12="",0,Sync!$AE12))</f>
        <v/>
      </c>
      <c r="G12">
        <f>IF($A12="","",IF(Sync!$AF12="",0,Sync!$AF12))</f>
        <v/>
      </c>
      <c r="H12">
        <f>IF(OR($A12="",ROUND($F12+$G12,2)=0),"",$F12+$G12)</f>
        <v/>
      </c>
      <c r="I12">
        <f>IF($H12="","",IF(ROUND($F12,2)&gt;0,$A12,IF($D12="شخصی قاسم","شخصی قاسم",IF($D12="هزینه","هزینه: "&amp;IF($E12="","متفرقه",$E12),IF($C12="پاس چک","چک پرداختی",IF(OR($B12="",COUNTIF(AcctCodesA,$B12)=0),"متفرقه",$B12))))))</f>
        <v/>
      </c>
      <c r="J12">
        <f>IF($H12="","",IF(ROUND($F12,2)&gt;0,IF($D12="شخصی قاسم","شخصی قاسم",IF($D12="هزینه","هزینه: "&amp;IF($E12="","متفرقه",$E12),IF(OR($B12="",COUNTIF(AcctCodesA,$B12)=0),"متفرقه",$B12))),$A12))</f>
        <v/>
      </c>
      <c r="K12">
        <f>IF($A12="","",IF(AND($B12&lt;&gt;"",COUNTIF(AcctCodesA,$B12)=0),"کد طرف در INFO تعریف نشده",IF(AND($D12="هزینه",$E12=""),"هزینه بدون زیرگروه",IF(AND($C12="پاس چک",OR(Sync!$AJ12="",COUNTIF(IssueNosA,Sync!$AJ12)=0)),"شماره چک پاس‌شده معتبر نیست",""))))</f>
        <v/>
      </c>
      <c r="M12">
        <f>IF(Sync!$AH12="","",Sync!$AH12)</f>
        <v/>
      </c>
      <c r="N12">
        <f>IF($M12="","",IF(OR(Sync!$AI12="",COUNTIF(AcctCodesA,Sync!$AI12)=0),"متفرقه",Sync!$AI12))</f>
        <v/>
      </c>
      <c r="O12">
        <f>IF($M12="","",$N12)</f>
        <v/>
      </c>
      <c r="P12">
        <f>IF($M12="","","چک پرداختی")</f>
        <v/>
      </c>
      <c r="R12">
        <f>IF($M12="","",IF(COUNTIF(AcctCodesA,Sync!$AI12)=0,"ذی‌نفع چک تعریف‌نشده",""))</f>
        <v/>
      </c>
      <c r="S12">
        <f>IF($R12="","",Sync!$AG12&amp;"|"&amp;"5"&amp;RIGHT("00000"&amp;7,5))</f>
        <v/>
      </c>
      <c r="T12">
        <f>IF($S12="",0,COUNTIFS($S$6:$S$505,"&lt;"&amp;$S12)-COUNTIFS($S$6:$S$505,"&lt;"&amp;$S12,$R$6:$R$505,"")+1)</f>
        <v/>
      </c>
      <c r="V12">
        <f>IF($K12="","",IF(ISNUMBER(Sync!$AK12),Sync!$AK12,LEFT(Sync!$AK12,4)&amp;MID(Sync!$AK12,6,2)&amp;RIGHT(Sync!$AK12,2))&amp;"|"&amp;"4"&amp;RIGHT("00000"&amp;7,5))</f>
        <v/>
      </c>
      <c r="W12">
        <f>IF($V12="",0,COUNTIFS($V$6:$V$2005,"&lt;"&amp;$V12)-COUNTIFS($V$6:$V$2005,"&lt;"&amp;$V12,$K$6:$K$2005,"")+1)</f>
        <v/>
      </c>
      <c r="X12">
        <f>IF(Sync!$AX12="","",IF(OR(N(Sync!$AY12)=0,N(Sync!$AZ12)=0),"",ROUND(N(Sync!$AY12)*N(Sync!$AZ12),0)))</f>
        <v/>
      </c>
      <c r="Y12">
        <f>IF($X12="","",IF(OR(Sync!$AX12="",COUNTIF(AcctCodesA,Sync!$AX12)=0),"متفرقه",Sync!$AX12))</f>
        <v/>
      </c>
      <c r="Z12">
        <f>IF($X12="","","سبد و ظروف")</f>
        <v/>
      </c>
      <c r="AA12">
        <f>IF($X12="","",$Y12)</f>
        <v/>
      </c>
    </row>
    <row r="13">
      <c r="A13">
        <f>IF(Sync!$Z13="","",LEFT(UPPER(TRIM(Sync!$Z13)),6))</f>
        <v/>
      </c>
      <c r="B13">
        <f>IF($A13="","",IF(Sync!$AA13="","",Sync!$AA13))</f>
        <v/>
      </c>
      <c r="C13">
        <f>IF($A13="","",IF(Sync!$AB13="","",Sync!$AB13))</f>
        <v/>
      </c>
      <c r="D13">
        <f>IF($A13="","",IF(Sync!$AC13="","",Sync!$AC13))</f>
        <v/>
      </c>
      <c r="E13">
        <f>IF($A13="","",IF(Sync!$AD13="","",Sync!$AD13))</f>
        <v/>
      </c>
      <c r="F13">
        <f>IF($A13="","",IF(Sync!$AE13="",0,Sync!$AE13))</f>
        <v/>
      </c>
      <c r="G13">
        <f>IF($A13="","",IF(Sync!$AF13="",0,Sync!$AF13))</f>
        <v/>
      </c>
      <c r="H13">
        <f>IF(OR($A13="",ROUND($F13+$G13,2)=0),"",$F13+$G13)</f>
        <v/>
      </c>
      <c r="I13">
        <f>IF($H13="","",IF(ROUND($F13,2)&gt;0,$A13,IF($D13="شخصی قاسم","شخصی قاسم",IF($D13="هزینه","هزینه: "&amp;IF($E13="","متفرقه",$E13),IF($C13="پاس چک","چک پرداختی",IF(OR($B13="",COUNTIF(AcctCodesA,$B13)=0),"متفرقه",$B13))))))</f>
        <v/>
      </c>
      <c r="J13">
        <f>IF($H13="","",IF(ROUND($F13,2)&gt;0,IF($D13="شخصی قاسم","شخصی قاسم",IF($D13="هزینه","هزینه: "&amp;IF($E13="","متفرقه",$E13),IF(OR($B13="",COUNTIF(AcctCodesA,$B13)=0),"متفرقه",$B13))),$A13))</f>
        <v/>
      </c>
      <c r="K13">
        <f>IF($A13="","",IF(AND($B13&lt;&gt;"",COUNTIF(AcctCodesA,$B13)=0),"کد طرف در INFO تعریف نشده",IF(AND($D13="هزینه",$E13=""),"هزینه بدون زیرگروه",IF(AND($C13="پاس چک",OR(Sync!$AJ13="",COUNTIF(IssueNosA,Sync!$AJ13)=0)),"شماره چک پاس‌شده معتبر نیست",""))))</f>
        <v/>
      </c>
      <c r="M13">
        <f>IF(Sync!$AH13="","",Sync!$AH13)</f>
        <v/>
      </c>
      <c r="N13">
        <f>IF($M13="","",IF(OR(Sync!$AI13="",COUNTIF(AcctCodesA,Sync!$AI13)=0),"متفرقه",Sync!$AI13))</f>
        <v/>
      </c>
      <c r="O13">
        <f>IF($M13="","",$N13)</f>
        <v/>
      </c>
      <c r="P13">
        <f>IF($M13="","","چک پرداختی")</f>
        <v/>
      </c>
      <c r="R13">
        <f>IF($M13="","",IF(COUNTIF(AcctCodesA,Sync!$AI13)=0,"ذی‌نفع چک تعریف‌نشده",""))</f>
        <v/>
      </c>
      <c r="S13">
        <f>IF($R13="","",Sync!$AG13&amp;"|"&amp;"5"&amp;RIGHT("00000"&amp;8,5))</f>
        <v/>
      </c>
      <c r="T13">
        <f>IF($S13="",0,COUNTIFS($S$6:$S$505,"&lt;"&amp;$S13)-COUNTIFS($S$6:$S$505,"&lt;"&amp;$S13,$R$6:$R$505,"")+1)</f>
        <v/>
      </c>
      <c r="V13">
        <f>IF($K13="","",IF(ISNUMBER(Sync!$AK13),Sync!$AK13,LEFT(Sync!$AK13,4)&amp;MID(Sync!$AK13,6,2)&amp;RIGHT(Sync!$AK13,2))&amp;"|"&amp;"4"&amp;RIGHT("00000"&amp;8,5))</f>
        <v/>
      </c>
      <c r="W13">
        <f>IF($V13="",0,COUNTIFS($V$6:$V$2005,"&lt;"&amp;$V13)-COUNTIFS($V$6:$V$2005,"&lt;"&amp;$V13,$K$6:$K$2005,"")+1)</f>
        <v/>
      </c>
      <c r="X13">
        <f>IF(Sync!$AX13="","",IF(OR(N(Sync!$AY13)=0,N(Sync!$AZ13)=0),"",ROUND(N(Sync!$AY13)*N(Sync!$AZ13),0)))</f>
        <v/>
      </c>
      <c r="Y13">
        <f>IF($X13="","",IF(OR(Sync!$AX13="",COUNTIF(AcctCodesA,Sync!$AX13)=0),"متفرقه",Sync!$AX13))</f>
        <v/>
      </c>
      <c r="Z13">
        <f>IF($X13="","","سبد و ظروف")</f>
        <v/>
      </c>
      <c r="AA13">
        <f>IF($X13="","",$Y13)</f>
        <v/>
      </c>
    </row>
    <row r="14">
      <c r="A14">
        <f>IF(Sync!$Z14="","",LEFT(UPPER(TRIM(Sync!$Z14)),6))</f>
        <v/>
      </c>
      <c r="B14">
        <f>IF($A14="","",IF(Sync!$AA14="","",Sync!$AA14))</f>
        <v/>
      </c>
      <c r="C14">
        <f>IF($A14="","",IF(Sync!$AB14="","",Sync!$AB14))</f>
        <v/>
      </c>
      <c r="D14">
        <f>IF($A14="","",IF(Sync!$AC14="","",Sync!$AC14))</f>
        <v/>
      </c>
      <c r="E14">
        <f>IF($A14="","",IF(Sync!$AD14="","",Sync!$AD14))</f>
        <v/>
      </c>
      <c r="F14">
        <f>IF($A14="","",IF(Sync!$AE14="",0,Sync!$AE14))</f>
        <v/>
      </c>
      <c r="G14">
        <f>IF($A14="","",IF(Sync!$AF14="",0,Sync!$AF14))</f>
        <v/>
      </c>
      <c r="H14">
        <f>IF(OR($A14="",ROUND($F14+$G14,2)=0),"",$F14+$G14)</f>
        <v/>
      </c>
      <c r="I14">
        <f>IF($H14="","",IF(ROUND($F14,2)&gt;0,$A14,IF($D14="شخصی قاسم","شخصی قاسم",IF($D14="هزینه","هزینه: "&amp;IF($E14="","متفرقه",$E14),IF($C14="پاس چک","چک پرداختی",IF(OR($B14="",COUNTIF(AcctCodesA,$B14)=0),"متفرقه",$B14))))))</f>
        <v/>
      </c>
      <c r="J14">
        <f>IF($H14="","",IF(ROUND($F14,2)&gt;0,IF($D14="شخصی قاسم","شخصی قاسم",IF($D14="هزینه","هزینه: "&amp;IF($E14="","متفرقه",$E14),IF(OR($B14="",COUNTIF(AcctCodesA,$B14)=0),"متفرقه",$B14))),$A14))</f>
        <v/>
      </c>
      <c r="K14">
        <f>IF($A14="","",IF(AND($B14&lt;&gt;"",COUNTIF(AcctCodesA,$B14)=0),"کد طرف در INFO تعریف نشده",IF(AND($D14="هزینه",$E14=""),"هزینه بدون زیرگروه",IF(AND($C14="پاس چک",OR(Sync!$AJ14="",COUNTIF(IssueNosA,Sync!$AJ14)=0)),"شماره چک پاس‌شده معتبر نیست",""))))</f>
        <v/>
      </c>
      <c r="M14">
        <f>IF(Sync!$AH14="","",Sync!$AH14)</f>
        <v/>
      </c>
      <c r="N14">
        <f>IF($M14="","",IF(OR(Sync!$AI14="",COUNTIF(AcctCodesA,Sync!$AI14)=0),"متفرقه",Sync!$AI14))</f>
        <v/>
      </c>
      <c r="O14">
        <f>IF($M14="","",$N14)</f>
        <v/>
      </c>
      <c r="P14">
        <f>IF($M14="","","چک پرداختی")</f>
        <v/>
      </c>
      <c r="R14">
        <f>IF($M14="","",IF(COUNTIF(AcctCodesA,Sync!$AI14)=0,"ذی‌نفع چک تعریف‌نشده",""))</f>
        <v/>
      </c>
      <c r="S14">
        <f>IF($R14="","",Sync!$AG14&amp;"|"&amp;"5"&amp;RIGHT("00000"&amp;9,5))</f>
        <v/>
      </c>
      <c r="T14">
        <f>IF($S14="",0,COUNTIFS($S$6:$S$505,"&lt;"&amp;$S14)-COUNTIFS($S$6:$S$505,"&lt;"&amp;$S14,$R$6:$R$505,"")+1)</f>
        <v/>
      </c>
      <c r="V14">
        <f>IF($K14="","",IF(ISNUMBER(Sync!$AK14),Sync!$AK14,LEFT(Sync!$AK14,4)&amp;MID(Sync!$AK14,6,2)&amp;RIGHT(Sync!$AK14,2))&amp;"|"&amp;"4"&amp;RIGHT("00000"&amp;9,5))</f>
        <v/>
      </c>
      <c r="W14">
        <f>IF($V14="",0,COUNTIFS($V$6:$V$2005,"&lt;"&amp;$V14)-COUNTIFS($V$6:$V$2005,"&lt;"&amp;$V14,$K$6:$K$2005,"")+1)</f>
        <v/>
      </c>
      <c r="X14">
        <f>IF(Sync!$AX14="","",IF(OR(N(Sync!$AY14)=0,N(Sync!$AZ14)=0),"",ROUND(N(Sync!$AY14)*N(Sync!$AZ14),0)))</f>
        <v/>
      </c>
      <c r="Y14">
        <f>IF($X14="","",IF(OR(Sync!$AX14="",COUNTIF(AcctCodesA,Sync!$AX14)=0),"متفرقه",Sync!$AX14))</f>
        <v/>
      </c>
      <c r="Z14">
        <f>IF($X14="","","سبد و ظروف")</f>
        <v/>
      </c>
      <c r="AA14">
        <f>IF($X14="","",$Y14)</f>
        <v/>
      </c>
    </row>
    <row r="15">
      <c r="A15">
        <f>IF(Sync!$Z15="","",LEFT(UPPER(TRIM(Sync!$Z15)),6))</f>
        <v/>
      </c>
      <c r="B15">
        <f>IF($A15="","",IF(Sync!$AA15="","",Sync!$AA15))</f>
        <v/>
      </c>
      <c r="C15">
        <f>IF($A15="","",IF(Sync!$AB15="","",Sync!$AB15))</f>
        <v/>
      </c>
      <c r="D15">
        <f>IF($A15="","",IF(Sync!$AC15="","",Sync!$AC15))</f>
        <v/>
      </c>
      <c r="E15">
        <f>IF($A15="","",IF(Sync!$AD15="","",Sync!$AD15))</f>
        <v/>
      </c>
      <c r="F15">
        <f>IF($A15="","",IF(Sync!$AE15="",0,Sync!$AE15))</f>
        <v/>
      </c>
      <c r="G15">
        <f>IF($A15="","",IF(Sync!$AF15="",0,Sync!$AF15))</f>
        <v/>
      </c>
      <c r="H15">
        <f>IF(OR($A15="",ROUND($F15+$G15,2)=0),"",$F15+$G15)</f>
        <v/>
      </c>
      <c r="I15">
        <f>IF($H15="","",IF(ROUND($F15,2)&gt;0,$A15,IF($D15="شخصی قاسم","شخصی قاسم",IF($D15="هزینه","هزینه: "&amp;IF($E15="","متفرقه",$E15),IF($C15="پاس چک","چک پرداختی",IF(OR($B15="",COUNTIF(AcctCodesA,$B15)=0),"متفرقه",$B15))))))</f>
        <v/>
      </c>
      <c r="J15">
        <f>IF($H15="","",IF(ROUND($F15,2)&gt;0,IF($D15="شخصی قاسم","شخصی قاسم",IF($D15="هزینه","هزینه: "&amp;IF($E15="","متفرقه",$E15),IF(OR($B15="",COUNTIF(AcctCodesA,$B15)=0),"متفرقه",$B15))),$A15))</f>
        <v/>
      </c>
      <c r="K15">
        <f>IF($A15="","",IF(AND($B15&lt;&gt;"",COUNTIF(AcctCodesA,$B15)=0),"کد طرف در INFO تعریف نشده",IF(AND($D15="هزینه",$E15=""),"هزینه بدون زیرگروه",IF(AND($C15="پاس چک",OR(Sync!$AJ15="",COUNTIF(IssueNosA,Sync!$AJ15)=0)),"شماره چک پاس‌شده معتبر نیست",""))))</f>
        <v/>
      </c>
      <c r="M15">
        <f>IF(Sync!$AH15="","",Sync!$AH15)</f>
        <v/>
      </c>
      <c r="N15">
        <f>IF($M15="","",IF(OR(Sync!$AI15="",COUNTIF(AcctCodesA,Sync!$AI15)=0),"متفرقه",Sync!$AI15))</f>
        <v/>
      </c>
      <c r="O15">
        <f>IF($M15="","",$N15)</f>
        <v/>
      </c>
      <c r="P15">
        <f>IF($M15="","","چک پرداختی")</f>
        <v/>
      </c>
      <c r="R15">
        <f>IF($M15="","",IF(COUNTIF(AcctCodesA,Sync!$AI15)=0,"ذی‌نفع چک تعریف‌نشده",""))</f>
        <v/>
      </c>
      <c r="S15">
        <f>IF($R15="","",Sync!$AG15&amp;"|"&amp;"5"&amp;RIGHT("00000"&amp;10,5))</f>
        <v/>
      </c>
      <c r="T15">
        <f>IF($S15="",0,COUNTIFS($S$6:$S$505,"&lt;"&amp;$S15)-COUNTIFS($S$6:$S$505,"&lt;"&amp;$S15,$R$6:$R$505,"")+1)</f>
        <v/>
      </c>
      <c r="V15">
        <f>IF($K15="","",IF(ISNUMBER(Sync!$AK15),Sync!$AK15,LEFT(Sync!$AK15,4)&amp;MID(Sync!$AK15,6,2)&amp;RIGHT(Sync!$AK15,2))&amp;"|"&amp;"4"&amp;RIGHT("00000"&amp;10,5))</f>
        <v/>
      </c>
      <c r="W15">
        <f>IF($V15="",0,COUNTIFS($V$6:$V$2005,"&lt;"&amp;$V15)-COUNTIFS($V$6:$V$2005,"&lt;"&amp;$V15,$K$6:$K$2005,"")+1)</f>
        <v/>
      </c>
      <c r="X15">
        <f>IF(Sync!$AX15="","",IF(OR(N(Sync!$AY15)=0,N(Sync!$AZ15)=0),"",ROUND(N(Sync!$AY15)*N(Sync!$AZ15),0)))</f>
        <v/>
      </c>
      <c r="Y15">
        <f>IF($X15="","",IF(OR(Sync!$AX15="",COUNTIF(AcctCodesA,Sync!$AX15)=0),"متفرقه",Sync!$AX15))</f>
        <v/>
      </c>
      <c r="Z15">
        <f>IF($X15="","","سبد و ظروف")</f>
        <v/>
      </c>
      <c r="AA15">
        <f>IF($X15="","",$Y15)</f>
        <v/>
      </c>
    </row>
    <row r="16">
      <c r="A16">
        <f>IF(Sync!$Z16="","",LEFT(UPPER(TRIM(Sync!$Z16)),6))</f>
        <v/>
      </c>
      <c r="B16">
        <f>IF($A16="","",IF(Sync!$AA16="","",Sync!$AA16))</f>
        <v/>
      </c>
      <c r="C16">
        <f>IF($A16="","",IF(Sync!$AB16="","",Sync!$AB16))</f>
        <v/>
      </c>
      <c r="D16">
        <f>IF($A16="","",IF(Sync!$AC16="","",Sync!$AC16))</f>
        <v/>
      </c>
      <c r="E16">
        <f>IF($A16="","",IF(Sync!$AD16="","",Sync!$AD16))</f>
        <v/>
      </c>
      <c r="F16">
        <f>IF($A16="","",IF(Sync!$AE16="",0,Sync!$AE16))</f>
        <v/>
      </c>
      <c r="G16">
        <f>IF($A16="","",IF(Sync!$AF16="",0,Sync!$AF16))</f>
        <v/>
      </c>
      <c r="H16">
        <f>IF(OR($A16="",ROUND($F16+$G16,2)=0),"",$F16+$G16)</f>
        <v/>
      </c>
      <c r="I16">
        <f>IF($H16="","",IF(ROUND($F16,2)&gt;0,$A16,IF($D16="شخصی قاسم","شخصی قاسم",IF($D16="هزینه","هزینه: "&amp;IF($E16="","متفرقه",$E16),IF($C16="پاس چک","چک پرداختی",IF(OR($B16="",COUNTIF(AcctCodesA,$B16)=0),"متفرقه",$B16))))))</f>
        <v/>
      </c>
      <c r="J16">
        <f>IF($H16="","",IF(ROUND($F16,2)&gt;0,IF($D16="شخصی قاسم","شخصی قاسم",IF($D16="هزینه","هزینه: "&amp;IF($E16="","متفرقه",$E16),IF(OR($B16="",COUNTIF(AcctCodesA,$B16)=0),"متفرقه",$B16))),$A16))</f>
        <v/>
      </c>
      <c r="K16">
        <f>IF($A16="","",IF(AND($B16&lt;&gt;"",COUNTIF(AcctCodesA,$B16)=0),"کد طرف در INFO تعریف نشده",IF(AND($D16="هزینه",$E16=""),"هزینه بدون زیرگروه",IF(AND($C16="پاس چک",OR(Sync!$AJ16="",COUNTIF(IssueNosA,Sync!$AJ16)=0)),"شماره چک پاس‌شده معتبر نیست",""))))</f>
        <v/>
      </c>
      <c r="M16">
        <f>IF(Sync!$AH16="","",Sync!$AH16)</f>
        <v/>
      </c>
      <c r="N16">
        <f>IF($M16="","",IF(OR(Sync!$AI16="",COUNTIF(AcctCodesA,Sync!$AI16)=0),"متفرقه",Sync!$AI16))</f>
        <v/>
      </c>
      <c r="O16">
        <f>IF($M16="","",$N16)</f>
        <v/>
      </c>
      <c r="P16">
        <f>IF($M16="","","چک پرداختی")</f>
        <v/>
      </c>
      <c r="R16">
        <f>IF($M16="","",IF(COUNTIF(AcctCodesA,Sync!$AI16)=0,"ذی‌نفع چک تعریف‌نشده",""))</f>
        <v/>
      </c>
      <c r="S16">
        <f>IF($R16="","",Sync!$AG16&amp;"|"&amp;"5"&amp;RIGHT("00000"&amp;11,5))</f>
        <v/>
      </c>
      <c r="T16">
        <f>IF($S16="",0,COUNTIFS($S$6:$S$505,"&lt;"&amp;$S16)-COUNTIFS($S$6:$S$505,"&lt;"&amp;$S16,$R$6:$R$505,"")+1)</f>
        <v/>
      </c>
      <c r="V16">
        <f>IF($K16="","",IF(ISNUMBER(Sync!$AK16),Sync!$AK16,LEFT(Sync!$AK16,4)&amp;MID(Sync!$AK16,6,2)&amp;RIGHT(Sync!$AK16,2))&amp;"|"&amp;"4"&amp;RIGHT("00000"&amp;11,5))</f>
        <v/>
      </c>
      <c r="W16">
        <f>IF($V16="",0,COUNTIFS($V$6:$V$2005,"&lt;"&amp;$V16)-COUNTIFS($V$6:$V$2005,"&lt;"&amp;$V16,$K$6:$K$2005,"")+1)</f>
        <v/>
      </c>
      <c r="X16">
        <f>IF(Sync!$AX16="","",IF(OR(N(Sync!$AY16)=0,N(Sync!$AZ16)=0),"",ROUND(N(Sync!$AY16)*N(Sync!$AZ16),0)))</f>
        <v/>
      </c>
      <c r="Y16">
        <f>IF($X16="","",IF(OR(Sync!$AX16="",COUNTIF(AcctCodesA,Sync!$AX16)=0),"متفرقه",Sync!$AX16))</f>
        <v/>
      </c>
      <c r="Z16">
        <f>IF($X16="","","سبد و ظروف")</f>
        <v/>
      </c>
      <c r="AA16">
        <f>IF($X16="","",$Y16)</f>
        <v/>
      </c>
    </row>
    <row r="17">
      <c r="A17">
        <f>IF(Sync!$Z17="","",LEFT(UPPER(TRIM(Sync!$Z17)),6))</f>
        <v/>
      </c>
      <c r="B17">
        <f>IF($A17="","",IF(Sync!$AA17="","",Sync!$AA17))</f>
        <v/>
      </c>
      <c r="C17">
        <f>IF($A17="","",IF(Sync!$AB17="","",Sync!$AB17))</f>
        <v/>
      </c>
      <c r="D17">
        <f>IF($A17="","",IF(Sync!$AC17="","",Sync!$AC17))</f>
        <v/>
      </c>
      <c r="E17">
        <f>IF($A17="","",IF(Sync!$AD17="","",Sync!$AD17))</f>
        <v/>
      </c>
      <c r="F17">
        <f>IF($A17="","",IF(Sync!$AE17="",0,Sync!$AE17))</f>
        <v/>
      </c>
      <c r="G17">
        <f>IF($A17="","",IF(Sync!$AF17="",0,Sync!$AF17))</f>
        <v/>
      </c>
      <c r="H17">
        <f>IF(OR($A17="",ROUND($F17+$G17,2)=0),"",$F17+$G17)</f>
        <v/>
      </c>
      <c r="I17">
        <f>IF($H17="","",IF(ROUND($F17,2)&gt;0,$A17,IF($D17="شخصی قاسم","شخصی قاسم",IF($D17="هزینه","هزینه: "&amp;IF($E17="","متفرقه",$E17),IF($C17="پاس چک","چک پرداختی",IF(OR($B17="",COUNTIF(AcctCodesA,$B17)=0),"متفرقه",$B17))))))</f>
        <v/>
      </c>
      <c r="J17">
        <f>IF($H17="","",IF(ROUND($F17,2)&gt;0,IF($D17="شخصی قاسم","شخصی قاسم",IF($D17="هزینه","هزینه: "&amp;IF($E17="","متفرقه",$E17),IF(OR($B17="",COUNTIF(AcctCodesA,$B17)=0),"متفرقه",$B17))),$A17))</f>
        <v/>
      </c>
      <c r="K17">
        <f>IF($A17="","",IF(AND($B17&lt;&gt;"",COUNTIF(AcctCodesA,$B17)=0),"کد طرف در INFO تعریف نشده",IF(AND($D17="هزینه",$E17=""),"هزینه بدون زیرگروه",IF(AND($C17="پاس چک",OR(Sync!$AJ17="",COUNTIF(IssueNosA,Sync!$AJ17)=0)),"شماره چک پاس‌شده معتبر نیست",""))))</f>
        <v/>
      </c>
      <c r="M17">
        <f>IF(Sync!$AH17="","",Sync!$AH17)</f>
        <v/>
      </c>
      <c r="N17">
        <f>IF($M17="","",IF(OR(Sync!$AI17="",COUNTIF(AcctCodesA,Sync!$AI17)=0),"متفرقه",Sync!$AI17))</f>
        <v/>
      </c>
      <c r="O17">
        <f>IF($M17="","",$N17)</f>
        <v/>
      </c>
      <c r="P17">
        <f>IF($M17="","","چک پرداختی")</f>
        <v/>
      </c>
      <c r="R17">
        <f>IF($M17="","",IF(COUNTIF(AcctCodesA,Sync!$AI17)=0,"ذی‌نفع چک تعریف‌نشده",""))</f>
        <v/>
      </c>
      <c r="S17">
        <f>IF($R17="","",Sync!$AG17&amp;"|"&amp;"5"&amp;RIGHT("00000"&amp;12,5))</f>
        <v/>
      </c>
      <c r="T17">
        <f>IF($S17="",0,COUNTIFS($S$6:$S$505,"&lt;"&amp;$S17)-COUNTIFS($S$6:$S$505,"&lt;"&amp;$S17,$R$6:$R$505,"")+1)</f>
        <v/>
      </c>
      <c r="V17">
        <f>IF($K17="","",IF(ISNUMBER(Sync!$AK17),Sync!$AK17,LEFT(Sync!$AK17,4)&amp;MID(Sync!$AK17,6,2)&amp;RIGHT(Sync!$AK17,2))&amp;"|"&amp;"4"&amp;RIGHT("00000"&amp;12,5))</f>
        <v/>
      </c>
      <c r="W17">
        <f>IF($V17="",0,COUNTIFS($V$6:$V$2005,"&lt;"&amp;$V17)-COUNTIFS($V$6:$V$2005,"&lt;"&amp;$V17,$K$6:$K$2005,"")+1)</f>
        <v/>
      </c>
      <c r="X17">
        <f>IF(Sync!$AX17="","",IF(OR(N(Sync!$AY17)=0,N(Sync!$AZ17)=0),"",ROUND(N(Sync!$AY17)*N(Sync!$AZ17),0)))</f>
        <v/>
      </c>
      <c r="Y17">
        <f>IF($X17="","",IF(OR(Sync!$AX17="",COUNTIF(AcctCodesA,Sync!$AX17)=0),"متفرقه",Sync!$AX17))</f>
        <v/>
      </c>
      <c r="Z17">
        <f>IF($X17="","","سبد و ظروف")</f>
        <v/>
      </c>
      <c r="AA17">
        <f>IF($X17="","",$Y17)</f>
        <v/>
      </c>
    </row>
    <row r="18">
      <c r="A18">
        <f>IF(Sync!$Z18="","",LEFT(UPPER(TRIM(Sync!$Z18)),6))</f>
        <v/>
      </c>
      <c r="B18">
        <f>IF($A18="","",IF(Sync!$AA18="","",Sync!$AA18))</f>
        <v/>
      </c>
      <c r="C18">
        <f>IF($A18="","",IF(Sync!$AB18="","",Sync!$AB18))</f>
        <v/>
      </c>
      <c r="D18">
        <f>IF($A18="","",IF(Sync!$AC18="","",Sync!$AC18))</f>
        <v/>
      </c>
      <c r="E18">
        <f>IF($A18="","",IF(Sync!$AD18="","",Sync!$AD18))</f>
        <v/>
      </c>
      <c r="F18">
        <f>IF($A18="","",IF(Sync!$AE18="",0,Sync!$AE18))</f>
        <v/>
      </c>
      <c r="G18">
        <f>IF($A18="","",IF(Sync!$AF18="",0,Sync!$AF18))</f>
        <v/>
      </c>
      <c r="H18">
        <f>IF(OR($A18="",ROUND($F18+$G18,2)=0),"",$F18+$G18)</f>
        <v/>
      </c>
      <c r="I18">
        <f>IF($H18="","",IF(ROUND($F18,2)&gt;0,$A18,IF($D18="شخصی قاسم","شخصی قاسم",IF($D18="هزینه","هزینه: "&amp;IF($E18="","متفرقه",$E18),IF($C18="پاس چک","چک پرداختی",IF(OR($B18="",COUNTIF(AcctCodesA,$B18)=0),"متفرقه",$B18))))))</f>
        <v/>
      </c>
      <c r="J18">
        <f>IF($H18="","",IF(ROUND($F18,2)&gt;0,IF($D18="شخصی قاسم","شخصی قاسم",IF($D18="هزینه","هزینه: "&amp;IF($E18="","متفرقه",$E18),IF(OR($B18="",COUNTIF(AcctCodesA,$B18)=0),"متفرقه",$B18))),$A18))</f>
        <v/>
      </c>
      <c r="K18">
        <f>IF($A18="","",IF(AND($B18&lt;&gt;"",COUNTIF(AcctCodesA,$B18)=0),"کد طرف در INFO تعریف نشده",IF(AND($D18="هزینه",$E18=""),"هزینه بدون زیرگروه",IF(AND($C18="پاس چک",OR(Sync!$AJ18="",COUNTIF(IssueNosA,Sync!$AJ18)=0)),"شماره چک پاس‌شده معتبر نیست",""))))</f>
        <v/>
      </c>
      <c r="M18">
        <f>IF(Sync!$AH18="","",Sync!$AH18)</f>
        <v/>
      </c>
      <c r="N18">
        <f>IF($M18="","",IF(OR(Sync!$AI18="",COUNTIF(AcctCodesA,Sync!$AI18)=0),"متفرقه",Sync!$AI18))</f>
        <v/>
      </c>
      <c r="O18">
        <f>IF($M18="","",$N18)</f>
        <v/>
      </c>
      <c r="P18">
        <f>IF($M18="","","چک پرداختی")</f>
        <v/>
      </c>
      <c r="R18">
        <f>IF($M18="","",IF(COUNTIF(AcctCodesA,Sync!$AI18)=0,"ذی‌نفع چک تعریف‌نشده",""))</f>
        <v/>
      </c>
      <c r="S18">
        <f>IF($R18="","",Sync!$AG18&amp;"|"&amp;"5"&amp;RIGHT("00000"&amp;13,5))</f>
        <v/>
      </c>
      <c r="T18">
        <f>IF($S18="",0,COUNTIFS($S$6:$S$505,"&lt;"&amp;$S18)-COUNTIFS($S$6:$S$505,"&lt;"&amp;$S18,$R$6:$R$505,"")+1)</f>
        <v/>
      </c>
      <c r="V18">
        <f>IF($K18="","",IF(ISNUMBER(Sync!$AK18),Sync!$AK18,LEFT(Sync!$AK18,4)&amp;MID(Sync!$AK18,6,2)&amp;RIGHT(Sync!$AK18,2))&amp;"|"&amp;"4"&amp;RIGHT("00000"&amp;13,5))</f>
        <v/>
      </c>
      <c r="W18">
        <f>IF($V18="",0,COUNTIFS($V$6:$V$2005,"&lt;"&amp;$V18)-COUNTIFS($V$6:$V$2005,"&lt;"&amp;$V18,$K$6:$K$2005,"")+1)</f>
        <v/>
      </c>
      <c r="X18">
        <f>IF(Sync!$AX18="","",IF(OR(N(Sync!$AY18)=0,N(Sync!$AZ18)=0),"",ROUND(N(Sync!$AY18)*N(Sync!$AZ18),0)))</f>
        <v/>
      </c>
      <c r="Y18">
        <f>IF($X18="","",IF(OR(Sync!$AX18="",COUNTIF(AcctCodesA,Sync!$AX18)=0),"متفرقه",Sync!$AX18))</f>
        <v/>
      </c>
      <c r="Z18">
        <f>IF($X18="","","سبد و ظروف")</f>
        <v/>
      </c>
      <c r="AA18">
        <f>IF($X18="","",$Y18)</f>
        <v/>
      </c>
    </row>
    <row r="19">
      <c r="A19">
        <f>IF(Sync!$Z19="","",LEFT(UPPER(TRIM(Sync!$Z19)),6))</f>
        <v/>
      </c>
      <c r="B19">
        <f>IF($A19="","",IF(Sync!$AA19="","",Sync!$AA19))</f>
        <v/>
      </c>
      <c r="C19">
        <f>IF($A19="","",IF(Sync!$AB19="","",Sync!$AB19))</f>
        <v/>
      </c>
      <c r="D19">
        <f>IF($A19="","",IF(Sync!$AC19="","",Sync!$AC19))</f>
        <v/>
      </c>
      <c r="E19">
        <f>IF($A19="","",IF(Sync!$AD19="","",Sync!$AD19))</f>
        <v/>
      </c>
      <c r="F19">
        <f>IF($A19="","",IF(Sync!$AE19="",0,Sync!$AE19))</f>
        <v/>
      </c>
      <c r="G19">
        <f>IF($A19="","",IF(Sync!$AF19="",0,Sync!$AF19))</f>
        <v/>
      </c>
      <c r="H19">
        <f>IF(OR($A19="",ROUND($F19+$G19,2)=0),"",$F19+$G19)</f>
        <v/>
      </c>
      <c r="I19">
        <f>IF($H19="","",IF(ROUND($F19,2)&gt;0,$A19,IF($D19="شخصی قاسم","شخصی قاسم",IF($D19="هزینه","هزینه: "&amp;IF($E19="","متفرقه",$E19),IF($C19="پاس چک","چک پرداختی",IF(OR($B19="",COUNTIF(AcctCodesA,$B19)=0),"متفرقه",$B19))))))</f>
        <v/>
      </c>
      <c r="J19">
        <f>IF($H19="","",IF(ROUND($F19,2)&gt;0,IF($D19="شخصی قاسم","شخصی قاسم",IF($D19="هزینه","هزینه: "&amp;IF($E19="","متفرقه",$E19),IF(OR($B19="",COUNTIF(AcctCodesA,$B19)=0),"متفرقه",$B19))),$A19))</f>
        <v/>
      </c>
      <c r="K19">
        <f>IF($A19="","",IF(AND($B19&lt;&gt;"",COUNTIF(AcctCodesA,$B19)=0),"کد طرف در INFO تعریف نشده",IF(AND($D19="هزینه",$E19=""),"هزینه بدون زیرگروه",IF(AND($C19="پاس چک",OR(Sync!$AJ19="",COUNTIF(IssueNosA,Sync!$AJ19)=0)),"شماره چک پاس‌شده معتبر نیست",""))))</f>
        <v/>
      </c>
      <c r="M19">
        <f>IF(Sync!$AH19="","",Sync!$AH19)</f>
        <v/>
      </c>
      <c r="N19">
        <f>IF($M19="","",IF(OR(Sync!$AI19="",COUNTIF(AcctCodesA,Sync!$AI19)=0),"متفرقه",Sync!$AI19))</f>
        <v/>
      </c>
      <c r="O19">
        <f>IF($M19="","",$N19)</f>
        <v/>
      </c>
      <c r="P19">
        <f>IF($M19="","","چک پرداختی")</f>
        <v/>
      </c>
      <c r="R19">
        <f>IF($M19="","",IF(COUNTIF(AcctCodesA,Sync!$AI19)=0,"ذی‌نفع چک تعریف‌نشده",""))</f>
        <v/>
      </c>
      <c r="S19">
        <f>IF($R19="","",Sync!$AG19&amp;"|"&amp;"5"&amp;RIGHT("00000"&amp;14,5))</f>
        <v/>
      </c>
      <c r="T19">
        <f>IF($S19="",0,COUNTIFS($S$6:$S$505,"&lt;"&amp;$S19)-COUNTIFS($S$6:$S$505,"&lt;"&amp;$S19,$R$6:$R$505,"")+1)</f>
        <v/>
      </c>
      <c r="V19">
        <f>IF($K19="","",IF(ISNUMBER(Sync!$AK19),Sync!$AK19,LEFT(Sync!$AK19,4)&amp;MID(Sync!$AK19,6,2)&amp;RIGHT(Sync!$AK19,2))&amp;"|"&amp;"4"&amp;RIGHT("00000"&amp;14,5))</f>
        <v/>
      </c>
      <c r="W19">
        <f>IF($V19="",0,COUNTIFS($V$6:$V$2005,"&lt;"&amp;$V19)-COUNTIFS($V$6:$V$2005,"&lt;"&amp;$V19,$K$6:$K$2005,"")+1)</f>
        <v/>
      </c>
      <c r="X19">
        <f>IF(Sync!$AX19="","",IF(OR(N(Sync!$AY19)=0,N(Sync!$AZ19)=0),"",ROUND(N(Sync!$AY19)*N(Sync!$AZ19),0)))</f>
        <v/>
      </c>
      <c r="Y19">
        <f>IF($X19="","",IF(OR(Sync!$AX19="",COUNTIF(AcctCodesA,Sync!$AX19)=0),"متفرقه",Sync!$AX19))</f>
        <v/>
      </c>
      <c r="Z19">
        <f>IF($X19="","","سبد و ظروف")</f>
        <v/>
      </c>
      <c r="AA19">
        <f>IF($X19="","",$Y19)</f>
        <v/>
      </c>
    </row>
    <row r="20">
      <c r="A20">
        <f>IF(Sync!$Z20="","",LEFT(UPPER(TRIM(Sync!$Z20)),6))</f>
        <v/>
      </c>
      <c r="B20">
        <f>IF($A20="","",IF(Sync!$AA20="","",Sync!$AA20))</f>
        <v/>
      </c>
      <c r="C20">
        <f>IF($A20="","",IF(Sync!$AB20="","",Sync!$AB20))</f>
        <v/>
      </c>
      <c r="D20">
        <f>IF($A20="","",IF(Sync!$AC20="","",Sync!$AC20))</f>
        <v/>
      </c>
      <c r="E20">
        <f>IF($A20="","",IF(Sync!$AD20="","",Sync!$AD20))</f>
        <v/>
      </c>
      <c r="F20">
        <f>IF($A20="","",IF(Sync!$AE20="",0,Sync!$AE20))</f>
        <v/>
      </c>
      <c r="G20">
        <f>IF($A20="","",IF(Sync!$AF20="",0,Sync!$AF20))</f>
        <v/>
      </c>
      <c r="H20">
        <f>IF(OR($A20="",ROUND($F20+$G20,2)=0),"",$F20+$G20)</f>
        <v/>
      </c>
      <c r="I20">
        <f>IF($H20="","",IF(ROUND($F20,2)&gt;0,$A20,IF($D20="شخصی قاسم","شخصی قاسم",IF($D20="هزینه","هزینه: "&amp;IF($E20="","متفرقه",$E20),IF($C20="پاس چک","چک پرداختی",IF(OR($B20="",COUNTIF(AcctCodesA,$B20)=0),"متفرقه",$B20))))))</f>
        <v/>
      </c>
      <c r="J20">
        <f>IF($H20="","",IF(ROUND($F20,2)&gt;0,IF($D20="شخصی قاسم","شخصی قاسم",IF($D20="هزینه","هزینه: "&amp;IF($E20="","متفرقه",$E20),IF(OR($B20="",COUNTIF(AcctCodesA,$B20)=0),"متفرقه",$B20))),$A20))</f>
        <v/>
      </c>
      <c r="K20">
        <f>IF($A20="","",IF(AND($B20&lt;&gt;"",COUNTIF(AcctCodesA,$B20)=0),"کد طرف در INFO تعریف نشده",IF(AND($D20="هزینه",$E20=""),"هزینه بدون زیرگروه",IF(AND($C20="پاس چک",OR(Sync!$AJ20="",COUNTIF(IssueNosA,Sync!$AJ20)=0)),"شماره چک پاس‌شده معتبر نیست",""))))</f>
        <v/>
      </c>
      <c r="M20">
        <f>IF(Sync!$AH20="","",Sync!$AH20)</f>
        <v/>
      </c>
      <c r="N20">
        <f>IF($M20="","",IF(OR(Sync!$AI20="",COUNTIF(AcctCodesA,Sync!$AI20)=0),"متفرقه",Sync!$AI20))</f>
        <v/>
      </c>
      <c r="O20">
        <f>IF($M20="","",$N20)</f>
        <v/>
      </c>
      <c r="P20">
        <f>IF($M20="","","چک پرداختی")</f>
        <v/>
      </c>
      <c r="R20">
        <f>IF($M20="","",IF(COUNTIF(AcctCodesA,Sync!$AI20)=0,"ذی‌نفع چک تعریف‌نشده",""))</f>
        <v/>
      </c>
      <c r="S20">
        <f>IF($R20="","",Sync!$AG20&amp;"|"&amp;"5"&amp;RIGHT("00000"&amp;15,5))</f>
        <v/>
      </c>
      <c r="T20">
        <f>IF($S20="",0,COUNTIFS($S$6:$S$505,"&lt;"&amp;$S20)-COUNTIFS($S$6:$S$505,"&lt;"&amp;$S20,$R$6:$R$505,"")+1)</f>
        <v/>
      </c>
      <c r="V20">
        <f>IF($K20="","",IF(ISNUMBER(Sync!$AK20),Sync!$AK20,LEFT(Sync!$AK20,4)&amp;MID(Sync!$AK20,6,2)&amp;RIGHT(Sync!$AK20,2))&amp;"|"&amp;"4"&amp;RIGHT("00000"&amp;15,5))</f>
        <v/>
      </c>
      <c r="W20">
        <f>IF($V20="",0,COUNTIFS($V$6:$V$2005,"&lt;"&amp;$V20)-COUNTIFS($V$6:$V$2005,"&lt;"&amp;$V20,$K$6:$K$2005,"")+1)</f>
        <v/>
      </c>
      <c r="X20">
        <f>IF(Sync!$AX20="","",IF(OR(N(Sync!$AY20)=0,N(Sync!$AZ20)=0),"",ROUND(N(Sync!$AY20)*N(Sync!$AZ20),0)))</f>
        <v/>
      </c>
      <c r="Y20">
        <f>IF($X20="","",IF(OR(Sync!$AX20="",COUNTIF(AcctCodesA,Sync!$AX20)=0),"متفرقه",Sync!$AX20))</f>
        <v/>
      </c>
      <c r="Z20">
        <f>IF($X20="","","سبد و ظروف")</f>
        <v/>
      </c>
      <c r="AA20">
        <f>IF($X20="","",$Y20)</f>
        <v/>
      </c>
    </row>
    <row r="21">
      <c r="A21">
        <f>IF(Sync!$Z21="","",LEFT(UPPER(TRIM(Sync!$Z21)),6))</f>
        <v/>
      </c>
      <c r="B21">
        <f>IF($A21="","",IF(Sync!$AA21="","",Sync!$AA21))</f>
        <v/>
      </c>
      <c r="C21">
        <f>IF($A21="","",IF(Sync!$AB21="","",Sync!$AB21))</f>
        <v/>
      </c>
      <c r="D21">
        <f>IF($A21="","",IF(Sync!$AC21="","",Sync!$AC21))</f>
        <v/>
      </c>
      <c r="E21">
        <f>IF($A21="","",IF(Sync!$AD21="","",Sync!$AD21))</f>
        <v/>
      </c>
      <c r="F21">
        <f>IF($A21="","",IF(Sync!$AE21="",0,Sync!$AE21))</f>
        <v/>
      </c>
      <c r="G21">
        <f>IF($A21="","",IF(Sync!$AF21="",0,Sync!$AF21))</f>
        <v/>
      </c>
      <c r="H21">
        <f>IF(OR($A21="",ROUND($F21+$G21,2)=0),"",$F21+$G21)</f>
        <v/>
      </c>
      <c r="I21">
        <f>IF($H21="","",IF(ROUND($F21,2)&gt;0,$A21,IF($D21="شخصی قاسم","شخصی قاسم",IF($D21="هزینه","هزینه: "&amp;IF($E21="","متفرقه",$E21),IF($C21="پاس چک","چک پرداختی",IF(OR($B21="",COUNTIF(AcctCodesA,$B21)=0),"متفرقه",$B21))))))</f>
        <v/>
      </c>
      <c r="J21">
        <f>IF($H21="","",IF(ROUND($F21,2)&gt;0,IF($D21="شخصی قاسم","شخصی قاسم",IF($D21="هزینه","هزینه: "&amp;IF($E21="","متفرقه",$E21),IF(OR($B21="",COUNTIF(AcctCodesA,$B21)=0),"متفرقه",$B21))),$A21))</f>
        <v/>
      </c>
      <c r="K21">
        <f>IF($A21="","",IF(AND($B21&lt;&gt;"",COUNTIF(AcctCodesA,$B21)=0),"کد طرف در INFO تعریف نشده",IF(AND($D21="هزینه",$E21=""),"هزینه بدون زیرگروه",IF(AND($C21="پاس چک",OR(Sync!$AJ21="",COUNTIF(IssueNosA,Sync!$AJ21)=0)),"شماره چک پاس‌شده معتبر نیست",""))))</f>
        <v/>
      </c>
      <c r="M21">
        <f>IF(Sync!$AH21="","",Sync!$AH21)</f>
        <v/>
      </c>
      <c r="N21">
        <f>IF($M21="","",IF(OR(Sync!$AI21="",COUNTIF(AcctCodesA,Sync!$AI21)=0),"متفرقه",Sync!$AI21))</f>
        <v/>
      </c>
      <c r="O21">
        <f>IF($M21="","",$N21)</f>
        <v/>
      </c>
      <c r="P21">
        <f>IF($M21="","","چک پرداختی")</f>
        <v/>
      </c>
      <c r="R21">
        <f>IF($M21="","",IF(COUNTIF(AcctCodesA,Sync!$AI21)=0,"ذی‌نفع چک تعریف‌نشده",""))</f>
        <v/>
      </c>
      <c r="S21">
        <f>IF($R21="","",Sync!$AG21&amp;"|"&amp;"5"&amp;RIGHT("00000"&amp;16,5))</f>
        <v/>
      </c>
      <c r="T21">
        <f>IF($S21="",0,COUNTIFS($S$6:$S$505,"&lt;"&amp;$S21)-COUNTIFS($S$6:$S$505,"&lt;"&amp;$S21,$R$6:$R$505,"")+1)</f>
        <v/>
      </c>
      <c r="V21">
        <f>IF($K21="","",IF(ISNUMBER(Sync!$AK21),Sync!$AK21,LEFT(Sync!$AK21,4)&amp;MID(Sync!$AK21,6,2)&amp;RIGHT(Sync!$AK21,2))&amp;"|"&amp;"4"&amp;RIGHT("00000"&amp;16,5))</f>
        <v/>
      </c>
      <c r="W21">
        <f>IF($V21="",0,COUNTIFS($V$6:$V$2005,"&lt;"&amp;$V21)-COUNTIFS($V$6:$V$2005,"&lt;"&amp;$V21,$K$6:$K$2005,"")+1)</f>
        <v/>
      </c>
      <c r="X21">
        <f>IF(Sync!$AX21="","",IF(OR(N(Sync!$AY21)=0,N(Sync!$AZ21)=0),"",ROUND(N(Sync!$AY21)*N(Sync!$AZ21),0)))</f>
        <v/>
      </c>
      <c r="Y21">
        <f>IF($X21="","",IF(OR(Sync!$AX21="",COUNTIF(AcctCodesA,Sync!$AX21)=0),"متفرقه",Sync!$AX21))</f>
        <v/>
      </c>
      <c r="Z21">
        <f>IF($X21="","","سبد و ظروف")</f>
        <v/>
      </c>
      <c r="AA21">
        <f>IF($X21="","",$Y21)</f>
        <v/>
      </c>
    </row>
    <row r="22">
      <c r="A22">
        <f>IF(Sync!$Z22="","",LEFT(UPPER(TRIM(Sync!$Z22)),6))</f>
        <v/>
      </c>
      <c r="B22">
        <f>IF($A22="","",IF(Sync!$AA22="","",Sync!$AA22))</f>
        <v/>
      </c>
      <c r="C22">
        <f>IF($A22="","",IF(Sync!$AB22="","",Sync!$AB22))</f>
        <v/>
      </c>
      <c r="D22">
        <f>IF($A22="","",IF(Sync!$AC22="","",Sync!$AC22))</f>
        <v/>
      </c>
      <c r="E22">
        <f>IF($A22="","",IF(Sync!$AD22="","",Sync!$AD22))</f>
        <v/>
      </c>
      <c r="F22">
        <f>IF($A22="","",IF(Sync!$AE22="",0,Sync!$AE22))</f>
        <v/>
      </c>
      <c r="G22">
        <f>IF($A22="","",IF(Sync!$AF22="",0,Sync!$AF22))</f>
        <v/>
      </c>
      <c r="H22">
        <f>IF(OR($A22="",ROUND($F22+$G22,2)=0),"",$F22+$G22)</f>
        <v/>
      </c>
      <c r="I22">
        <f>IF($H22="","",IF(ROUND($F22,2)&gt;0,$A22,IF($D22="شخصی قاسم","شخصی قاسم",IF($D22="هزینه","هزینه: "&amp;IF($E22="","متفرقه",$E22),IF($C22="پاس چک","چک پرداختی",IF(OR($B22="",COUNTIF(AcctCodesA,$B22)=0),"متفرقه",$B22))))))</f>
        <v/>
      </c>
      <c r="J22">
        <f>IF($H22="","",IF(ROUND($F22,2)&gt;0,IF($D22="شخصی قاسم","شخصی قاسم",IF($D22="هزینه","هزینه: "&amp;IF($E22="","متفرقه",$E22),IF(OR($B22="",COUNTIF(AcctCodesA,$B22)=0),"متفرقه",$B22))),$A22))</f>
        <v/>
      </c>
      <c r="K22">
        <f>IF($A22="","",IF(AND($B22&lt;&gt;"",COUNTIF(AcctCodesA,$B22)=0),"کد طرف در INFO تعریف نشده",IF(AND($D22="هزینه",$E22=""),"هزینه بدون زیرگروه",IF(AND($C22="پاس چک",OR(Sync!$AJ22="",COUNTIF(IssueNosA,Sync!$AJ22)=0)),"شماره چک پاس‌شده معتبر نیست",""))))</f>
        <v/>
      </c>
      <c r="M22">
        <f>IF(Sync!$AH22="","",Sync!$AH22)</f>
        <v/>
      </c>
      <c r="N22">
        <f>IF($M22="","",IF(OR(Sync!$AI22="",COUNTIF(AcctCodesA,Sync!$AI22)=0),"متفرقه",Sync!$AI22))</f>
        <v/>
      </c>
      <c r="O22">
        <f>IF($M22="","",$N22)</f>
        <v/>
      </c>
      <c r="P22">
        <f>IF($M22="","","چک پرداختی")</f>
        <v/>
      </c>
      <c r="R22">
        <f>IF($M22="","",IF(COUNTIF(AcctCodesA,Sync!$AI22)=0,"ذی‌نفع چک تعریف‌نشده",""))</f>
        <v/>
      </c>
      <c r="S22">
        <f>IF($R22="","",Sync!$AG22&amp;"|"&amp;"5"&amp;RIGHT("00000"&amp;17,5))</f>
        <v/>
      </c>
      <c r="T22">
        <f>IF($S22="",0,COUNTIFS($S$6:$S$505,"&lt;"&amp;$S22)-COUNTIFS($S$6:$S$505,"&lt;"&amp;$S22,$R$6:$R$505,"")+1)</f>
        <v/>
      </c>
      <c r="V22">
        <f>IF($K22="","",IF(ISNUMBER(Sync!$AK22),Sync!$AK22,LEFT(Sync!$AK22,4)&amp;MID(Sync!$AK22,6,2)&amp;RIGHT(Sync!$AK22,2))&amp;"|"&amp;"4"&amp;RIGHT("00000"&amp;17,5))</f>
        <v/>
      </c>
      <c r="W22">
        <f>IF($V22="",0,COUNTIFS($V$6:$V$2005,"&lt;"&amp;$V22)-COUNTIFS($V$6:$V$2005,"&lt;"&amp;$V22,$K$6:$K$2005,"")+1)</f>
        <v/>
      </c>
      <c r="X22">
        <f>IF(Sync!$AX22="","",IF(OR(N(Sync!$AY22)=0,N(Sync!$AZ22)=0),"",ROUND(N(Sync!$AY22)*N(Sync!$AZ22),0)))</f>
        <v/>
      </c>
      <c r="Y22">
        <f>IF($X22="","",IF(OR(Sync!$AX22="",COUNTIF(AcctCodesA,Sync!$AX22)=0),"متفرقه",Sync!$AX22))</f>
        <v/>
      </c>
      <c r="Z22">
        <f>IF($X22="","","سبد و ظروف")</f>
        <v/>
      </c>
      <c r="AA22">
        <f>IF($X22="","",$Y22)</f>
        <v/>
      </c>
    </row>
    <row r="23">
      <c r="A23">
        <f>IF(Sync!$Z23="","",LEFT(UPPER(TRIM(Sync!$Z23)),6))</f>
        <v/>
      </c>
      <c r="B23">
        <f>IF($A23="","",IF(Sync!$AA23="","",Sync!$AA23))</f>
        <v/>
      </c>
      <c r="C23">
        <f>IF($A23="","",IF(Sync!$AB23="","",Sync!$AB23))</f>
        <v/>
      </c>
      <c r="D23">
        <f>IF($A23="","",IF(Sync!$AC23="","",Sync!$AC23))</f>
        <v/>
      </c>
      <c r="E23">
        <f>IF($A23="","",IF(Sync!$AD23="","",Sync!$AD23))</f>
        <v/>
      </c>
      <c r="F23">
        <f>IF($A23="","",IF(Sync!$AE23="",0,Sync!$AE23))</f>
        <v/>
      </c>
      <c r="G23">
        <f>IF($A23="","",IF(Sync!$AF23="",0,Sync!$AF23))</f>
        <v/>
      </c>
      <c r="H23">
        <f>IF(OR($A23="",ROUND($F23+$G23,2)=0),"",$F23+$G23)</f>
        <v/>
      </c>
      <c r="I23">
        <f>IF($H23="","",IF(ROUND($F23,2)&gt;0,$A23,IF($D23="شخصی قاسم","شخصی قاسم",IF($D23="هزینه","هزینه: "&amp;IF($E23="","متفرقه",$E23),IF($C23="پاس چک","چک پرداختی",IF(OR($B23="",COUNTIF(AcctCodesA,$B23)=0),"متفرقه",$B23))))))</f>
        <v/>
      </c>
      <c r="J23">
        <f>IF($H23="","",IF(ROUND($F23,2)&gt;0,IF($D23="شخصی قاسم","شخصی قاسم",IF($D23="هزینه","هزینه: "&amp;IF($E23="","متفرقه",$E23),IF(OR($B23="",COUNTIF(AcctCodesA,$B23)=0),"متفرقه",$B23))),$A23))</f>
        <v/>
      </c>
      <c r="K23">
        <f>IF($A23="","",IF(AND($B23&lt;&gt;"",COUNTIF(AcctCodesA,$B23)=0),"کد طرف در INFO تعریف نشده",IF(AND($D23="هزینه",$E23=""),"هزینه بدون زیرگروه",IF(AND($C23="پاس چک",OR(Sync!$AJ23="",COUNTIF(IssueNosA,Sync!$AJ23)=0)),"شماره چک پاس‌شده معتبر نیست",""))))</f>
        <v/>
      </c>
      <c r="M23">
        <f>IF(Sync!$AH23="","",Sync!$AH23)</f>
        <v/>
      </c>
      <c r="N23">
        <f>IF($M23="","",IF(OR(Sync!$AI23="",COUNTIF(AcctCodesA,Sync!$AI23)=0),"متفرقه",Sync!$AI23))</f>
        <v/>
      </c>
      <c r="O23">
        <f>IF($M23="","",$N23)</f>
        <v/>
      </c>
      <c r="P23">
        <f>IF($M23="","","چک پرداختی")</f>
        <v/>
      </c>
      <c r="R23">
        <f>IF($M23="","",IF(COUNTIF(AcctCodesA,Sync!$AI23)=0,"ذی‌نفع چک تعریف‌نشده",""))</f>
        <v/>
      </c>
      <c r="S23">
        <f>IF($R23="","",Sync!$AG23&amp;"|"&amp;"5"&amp;RIGHT("00000"&amp;18,5))</f>
        <v/>
      </c>
      <c r="T23">
        <f>IF($S23="",0,COUNTIFS($S$6:$S$505,"&lt;"&amp;$S23)-COUNTIFS($S$6:$S$505,"&lt;"&amp;$S23,$R$6:$R$505,"")+1)</f>
        <v/>
      </c>
      <c r="V23">
        <f>IF($K23="","",IF(ISNUMBER(Sync!$AK23),Sync!$AK23,LEFT(Sync!$AK23,4)&amp;MID(Sync!$AK23,6,2)&amp;RIGHT(Sync!$AK23,2))&amp;"|"&amp;"4"&amp;RIGHT("00000"&amp;18,5))</f>
        <v/>
      </c>
      <c r="W23">
        <f>IF($V23="",0,COUNTIFS($V$6:$V$2005,"&lt;"&amp;$V23)-COUNTIFS($V$6:$V$2005,"&lt;"&amp;$V23,$K$6:$K$2005,"")+1)</f>
        <v/>
      </c>
      <c r="X23">
        <f>IF(Sync!$AX23="","",IF(OR(N(Sync!$AY23)=0,N(Sync!$AZ23)=0),"",ROUND(N(Sync!$AY23)*N(Sync!$AZ23),0)))</f>
        <v/>
      </c>
      <c r="Y23">
        <f>IF($X23="","",IF(OR(Sync!$AX23="",COUNTIF(AcctCodesA,Sync!$AX23)=0),"متفرقه",Sync!$AX23))</f>
        <v/>
      </c>
      <c r="Z23">
        <f>IF($X23="","","سبد و ظروف")</f>
        <v/>
      </c>
      <c r="AA23">
        <f>IF($X23="","",$Y23)</f>
        <v/>
      </c>
    </row>
    <row r="24">
      <c r="A24">
        <f>IF(Sync!$Z24="","",LEFT(UPPER(TRIM(Sync!$Z24)),6))</f>
        <v/>
      </c>
      <c r="B24">
        <f>IF($A24="","",IF(Sync!$AA24="","",Sync!$AA24))</f>
        <v/>
      </c>
      <c r="C24">
        <f>IF($A24="","",IF(Sync!$AB24="","",Sync!$AB24))</f>
        <v/>
      </c>
      <c r="D24">
        <f>IF($A24="","",IF(Sync!$AC24="","",Sync!$AC24))</f>
        <v/>
      </c>
      <c r="E24">
        <f>IF($A24="","",IF(Sync!$AD24="","",Sync!$AD24))</f>
        <v/>
      </c>
      <c r="F24">
        <f>IF($A24="","",IF(Sync!$AE24="",0,Sync!$AE24))</f>
        <v/>
      </c>
      <c r="G24">
        <f>IF($A24="","",IF(Sync!$AF24="",0,Sync!$AF24))</f>
        <v/>
      </c>
      <c r="H24">
        <f>IF(OR($A24="",ROUND($F24+$G24,2)=0),"",$F24+$G24)</f>
        <v/>
      </c>
      <c r="I24">
        <f>IF($H24="","",IF(ROUND($F24,2)&gt;0,$A24,IF($D24="شخصی قاسم","شخصی قاسم",IF($D24="هزینه","هزینه: "&amp;IF($E24="","متفرقه",$E24),IF($C24="پاس چک","چک پرداختی",IF(OR($B24="",COUNTIF(AcctCodesA,$B24)=0),"متفرقه",$B24))))))</f>
        <v/>
      </c>
      <c r="J24">
        <f>IF($H24="","",IF(ROUND($F24,2)&gt;0,IF($D24="شخصی قاسم","شخصی قاسم",IF($D24="هزینه","هزینه: "&amp;IF($E24="","متفرقه",$E24),IF(OR($B24="",COUNTIF(AcctCodesA,$B24)=0),"متفرقه",$B24))),$A24))</f>
        <v/>
      </c>
      <c r="K24">
        <f>IF($A24="","",IF(AND($B24&lt;&gt;"",COUNTIF(AcctCodesA,$B24)=0),"کد طرف در INFO تعریف نشده",IF(AND($D24="هزینه",$E24=""),"هزینه بدون زیرگروه",IF(AND($C24="پاس چک",OR(Sync!$AJ24="",COUNTIF(IssueNosA,Sync!$AJ24)=0)),"شماره چک پاس‌شده معتبر نیست",""))))</f>
        <v/>
      </c>
      <c r="M24">
        <f>IF(Sync!$AH24="","",Sync!$AH24)</f>
        <v/>
      </c>
      <c r="N24">
        <f>IF($M24="","",IF(OR(Sync!$AI24="",COUNTIF(AcctCodesA,Sync!$AI24)=0),"متفرقه",Sync!$AI24))</f>
        <v/>
      </c>
      <c r="O24">
        <f>IF($M24="","",$N24)</f>
        <v/>
      </c>
      <c r="P24">
        <f>IF($M24="","","چک پرداختی")</f>
        <v/>
      </c>
      <c r="R24">
        <f>IF($M24="","",IF(COUNTIF(AcctCodesA,Sync!$AI24)=0,"ذی‌نفع چک تعریف‌نشده",""))</f>
        <v/>
      </c>
      <c r="S24">
        <f>IF($R24="","",Sync!$AG24&amp;"|"&amp;"5"&amp;RIGHT("00000"&amp;19,5))</f>
        <v/>
      </c>
      <c r="T24">
        <f>IF($S24="",0,COUNTIFS($S$6:$S$505,"&lt;"&amp;$S24)-COUNTIFS($S$6:$S$505,"&lt;"&amp;$S24,$R$6:$R$505,"")+1)</f>
        <v/>
      </c>
      <c r="V24">
        <f>IF($K24="","",IF(ISNUMBER(Sync!$AK24),Sync!$AK24,LEFT(Sync!$AK24,4)&amp;MID(Sync!$AK24,6,2)&amp;RIGHT(Sync!$AK24,2))&amp;"|"&amp;"4"&amp;RIGHT("00000"&amp;19,5))</f>
        <v/>
      </c>
      <c r="W24">
        <f>IF($V24="",0,COUNTIFS($V$6:$V$2005,"&lt;"&amp;$V24)-COUNTIFS($V$6:$V$2005,"&lt;"&amp;$V24,$K$6:$K$2005,"")+1)</f>
        <v/>
      </c>
      <c r="X24">
        <f>IF(Sync!$AX24="","",IF(OR(N(Sync!$AY24)=0,N(Sync!$AZ24)=0),"",ROUND(N(Sync!$AY24)*N(Sync!$AZ24),0)))</f>
        <v/>
      </c>
      <c r="Y24">
        <f>IF($X24="","",IF(OR(Sync!$AX24="",COUNTIF(AcctCodesA,Sync!$AX24)=0),"متفرقه",Sync!$AX24))</f>
        <v/>
      </c>
      <c r="Z24">
        <f>IF($X24="","","سبد و ظروف")</f>
        <v/>
      </c>
      <c r="AA24">
        <f>IF($X24="","",$Y24)</f>
        <v/>
      </c>
    </row>
    <row r="25">
      <c r="A25">
        <f>IF(Sync!$Z25="","",LEFT(UPPER(TRIM(Sync!$Z25)),6))</f>
        <v/>
      </c>
      <c r="B25">
        <f>IF($A25="","",IF(Sync!$AA25="","",Sync!$AA25))</f>
        <v/>
      </c>
      <c r="C25">
        <f>IF($A25="","",IF(Sync!$AB25="","",Sync!$AB25))</f>
        <v/>
      </c>
      <c r="D25">
        <f>IF($A25="","",IF(Sync!$AC25="","",Sync!$AC25))</f>
        <v/>
      </c>
      <c r="E25">
        <f>IF($A25="","",IF(Sync!$AD25="","",Sync!$AD25))</f>
        <v/>
      </c>
      <c r="F25">
        <f>IF($A25="","",IF(Sync!$AE25="",0,Sync!$AE25))</f>
        <v/>
      </c>
      <c r="G25">
        <f>IF($A25="","",IF(Sync!$AF25="",0,Sync!$AF25))</f>
        <v/>
      </c>
      <c r="H25">
        <f>IF(OR($A25="",ROUND($F25+$G25,2)=0),"",$F25+$G25)</f>
        <v/>
      </c>
      <c r="I25">
        <f>IF($H25="","",IF(ROUND($F25,2)&gt;0,$A25,IF($D25="شخصی قاسم","شخصی قاسم",IF($D25="هزینه","هزینه: "&amp;IF($E25="","متفرقه",$E25),IF($C25="پاس چک","چک پرداختی",IF(OR($B25="",COUNTIF(AcctCodesA,$B25)=0),"متفرقه",$B25))))))</f>
        <v/>
      </c>
      <c r="J25">
        <f>IF($H25="","",IF(ROUND($F25,2)&gt;0,IF($D25="شخصی قاسم","شخصی قاسم",IF($D25="هزینه","هزینه: "&amp;IF($E25="","متفرقه",$E25),IF(OR($B25="",COUNTIF(AcctCodesA,$B25)=0),"متفرقه",$B25))),$A25))</f>
        <v/>
      </c>
      <c r="K25">
        <f>IF($A25="","",IF(AND($B25&lt;&gt;"",COUNTIF(AcctCodesA,$B25)=0),"کد طرف در INFO تعریف نشده",IF(AND($D25="هزینه",$E25=""),"هزینه بدون زیرگروه",IF(AND($C25="پاس چک",OR(Sync!$AJ25="",COUNTIF(IssueNosA,Sync!$AJ25)=0)),"شماره چک پاس‌شده معتبر نیست",""))))</f>
        <v/>
      </c>
      <c r="M25">
        <f>IF(Sync!$AH25="","",Sync!$AH25)</f>
        <v/>
      </c>
      <c r="N25">
        <f>IF($M25="","",IF(OR(Sync!$AI25="",COUNTIF(AcctCodesA,Sync!$AI25)=0),"متفرقه",Sync!$AI25))</f>
        <v/>
      </c>
      <c r="O25">
        <f>IF($M25="","",$N25)</f>
        <v/>
      </c>
      <c r="P25">
        <f>IF($M25="","","چک پرداختی")</f>
        <v/>
      </c>
      <c r="R25">
        <f>IF($M25="","",IF(COUNTIF(AcctCodesA,Sync!$AI25)=0,"ذی‌نفع چک تعریف‌نشده",""))</f>
        <v/>
      </c>
      <c r="S25">
        <f>IF($R25="","",Sync!$AG25&amp;"|"&amp;"5"&amp;RIGHT("00000"&amp;20,5))</f>
        <v/>
      </c>
      <c r="T25">
        <f>IF($S25="",0,COUNTIFS($S$6:$S$505,"&lt;"&amp;$S25)-COUNTIFS($S$6:$S$505,"&lt;"&amp;$S25,$R$6:$R$505,"")+1)</f>
        <v/>
      </c>
      <c r="V25">
        <f>IF($K25="","",IF(ISNUMBER(Sync!$AK25),Sync!$AK25,LEFT(Sync!$AK25,4)&amp;MID(Sync!$AK25,6,2)&amp;RIGHT(Sync!$AK25,2))&amp;"|"&amp;"4"&amp;RIGHT("00000"&amp;20,5))</f>
        <v/>
      </c>
      <c r="W25">
        <f>IF($V25="",0,COUNTIFS($V$6:$V$2005,"&lt;"&amp;$V25)-COUNTIFS($V$6:$V$2005,"&lt;"&amp;$V25,$K$6:$K$2005,"")+1)</f>
        <v/>
      </c>
      <c r="X25">
        <f>IF(Sync!$AX25="","",IF(OR(N(Sync!$AY25)=0,N(Sync!$AZ25)=0),"",ROUND(N(Sync!$AY25)*N(Sync!$AZ25),0)))</f>
        <v/>
      </c>
      <c r="Y25">
        <f>IF($X25="","",IF(OR(Sync!$AX25="",COUNTIF(AcctCodesA,Sync!$AX25)=0),"متفرقه",Sync!$AX25))</f>
        <v/>
      </c>
      <c r="Z25">
        <f>IF($X25="","","سبد و ظروف")</f>
        <v/>
      </c>
      <c r="AA25">
        <f>IF($X25="","",$Y25)</f>
        <v/>
      </c>
    </row>
    <row r="26">
      <c r="A26">
        <f>IF(Sync!$Z26="","",LEFT(UPPER(TRIM(Sync!$Z26)),6))</f>
        <v/>
      </c>
      <c r="B26">
        <f>IF($A26="","",IF(Sync!$AA26="","",Sync!$AA26))</f>
        <v/>
      </c>
      <c r="C26">
        <f>IF($A26="","",IF(Sync!$AB26="","",Sync!$AB26))</f>
        <v/>
      </c>
      <c r="D26">
        <f>IF($A26="","",IF(Sync!$AC26="","",Sync!$AC26))</f>
        <v/>
      </c>
      <c r="E26">
        <f>IF($A26="","",IF(Sync!$AD26="","",Sync!$AD26))</f>
        <v/>
      </c>
      <c r="F26">
        <f>IF($A26="","",IF(Sync!$AE26="",0,Sync!$AE26))</f>
        <v/>
      </c>
      <c r="G26">
        <f>IF($A26="","",IF(Sync!$AF26="",0,Sync!$AF26))</f>
        <v/>
      </c>
      <c r="H26">
        <f>IF(OR($A26="",ROUND($F26+$G26,2)=0),"",$F26+$G26)</f>
        <v/>
      </c>
      <c r="I26">
        <f>IF($H26="","",IF(ROUND($F26,2)&gt;0,$A26,IF($D26="شخصی قاسم","شخصی قاسم",IF($D26="هزینه","هزینه: "&amp;IF($E26="","متفرقه",$E26),IF($C26="پاس چک","چک پرداختی",IF(OR($B26="",COUNTIF(AcctCodesA,$B26)=0),"متفرقه",$B26))))))</f>
        <v/>
      </c>
      <c r="J26">
        <f>IF($H26="","",IF(ROUND($F26,2)&gt;0,IF($D26="شخصی قاسم","شخصی قاسم",IF($D26="هزینه","هزینه: "&amp;IF($E26="","متفرقه",$E26),IF(OR($B26="",COUNTIF(AcctCodesA,$B26)=0),"متفرقه",$B26))),$A26))</f>
        <v/>
      </c>
      <c r="K26">
        <f>IF($A26="","",IF(AND($B26&lt;&gt;"",COUNTIF(AcctCodesA,$B26)=0),"کد طرف در INFO تعریف نشده",IF(AND($D26="هزینه",$E26=""),"هزینه بدون زیرگروه",IF(AND($C26="پاس چک",OR(Sync!$AJ26="",COUNTIF(IssueNosA,Sync!$AJ26)=0)),"شماره چک پاس‌شده معتبر نیست",""))))</f>
        <v/>
      </c>
      <c r="M26">
        <f>IF(Sync!$AH26="","",Sync!$AH26)</f>
        <v/>
      </c>
      <c r="N26">
        <f>IF($M26="","",IF(OR(Sync!$AI26="",COUNTIF(AcctCodesA,Sync!$AI26)=0),"متفرقه",Sync!$AI26))</f>
        <v/>
      </c>
      <c r="O26">
        <f>IF($M26="","",$N26)</f>
        <v/>
      </c>
      <c r="P26">
        <f>IF($M26="","","چک پرداختی")</f>
        <v/>
      </c>
      <c r="R26">
        <f>IF($M26="","",IF(COUNTIF(AcctCodesA,Sync!$AI26)=0,"ذی‌نفع چک تعریف‌نشده",""))</f>
        <v/>
      </c>
      <c r="S26">
        <f>IF($R26="","",Sync!$AG26&amp;"|"&amp;"5"&amp;RIGHT("00000"&amp;21,5))</f>
        <v/>
      </c>
      <c r="T26">
        <f>IF($S26="",0,COUNTIFS($S$6:$S$505,"&lt;"&amp;$S26)-COUNTIFS($S$6:$S$505,"&lt;"&amp;$S26,$R$6:$R$505,"")+1)</f>
        <v/>
      </c>
      <c r="V26">
        <f>IF($K26="","",IF(ISNUMBER(Sync!$AK26),Sync!$AK26,LEFT(Sync!$AK26,4)&amp;MID(Sync!$AK26,6,2)&amp;RIGHT(Sync!$AK26,2))&amp;"|"&amp;"4"&amp;RIGHT("00000"&amp;21,5))</f>
        <v/>
      </c>
      <c r="W26">
        <f>IF($V26="",0,COUNTIFS($V$6:$V$2005,"&lt;"&amp;$V26)-COUNTIFS($V$6:$V$2005,"&lt;"&amp;$V26,$K$6:$K$2005,"")+1)</f>
        <v/>
      </c>
      <c r="X26">
        <f>IF(Sync!$AX26="","",IF(OR(N(Sync!$AY26)=0,N(Sync!$AZ26)=0),"",ROUND(N(Sync!$AY26)*N(Sync!$AZ26),0)))</f>
        <v/>
      </c>
      <c r="Y26">
        <f>IF($X26="","",IF(OR(Sync!$AX26="",COUNTIF(AcctCodesA,Sync!$AX26)=0),"متفرقه",Sync!$AX26))</f>
        <v/>
      </c>
      <c r="Z26">
        <f>IF($X26="","","سبد و ظروف")</f>
        <v/>
      </c>
      <c r="AA26">
        <f>IF($X26="","",$Y26)</f>
        <v/>
      </c>
    </row>
    <row r="27">
      <c r="A27">
        <f>IF(Sync!$Z27="","",LEFT(UPPER(TRIM(Sync!$Z27)),6))</f>
        <v/>
      </c>
      <c r="B27">
        <f>IF($A27="","",IF(Sync!$AA27="","",Sync!$AA27))</f>
        <v/>
      </c>
      <c r="C27">
        <f>IF($A27="","",IF(Sync!$AB27="","",Sync!$AB27))</f>
        <v/>
      </c>
      <c r="D27">
        <f>IF($A27="","",IF(Sync!$AC27="","",Sync!$AC27))</f>
        <v/>
      </c>
      <c r="E27">
        <f>IF($A27="","",IF(Sync!$AD27="","",Sync!$AD27))</f>
        <v/>
      </c>
      <c r="F27">
        <f>IF($A27="","",IF(Sync!$AE27="",0,Sync!$AE27))</f>
        <v/>
      </c>
      <c r="G27">
        <f>IF($A27="","",IF(Sync!$AF27="",0,Sync!$AF27))</f>
        <v/>
      </c>
      <c r="H27">
        <f>IF(OR($A27="",ROUND($F27+$G27,2)=0),"",$F27+$G27)</f>
        <v/>
      </c>
      <c r="I27">
        <f>IF($H27="","",IF(ROUND($F27,2)&gt;0,$A27,IF($D27="شخصی قاسم","شخصی قاسم",IF($D27="هزینه","هزینه: "&amp;IF($E27="","متفرقه",$E27),IF($C27="پاس چک","چک پرداختی",IF(OR($B27="",COUNTIF(AcctCodesA,$B27)=0),"متفرقه",$B27))))))</f>
        <v/>
      </c>
      <c r="J27">
        <f>IF($H27="","",IF(ROUND($F27,2)&gt;0,IF($D27="شخصی قاسم","شخصی قاسم",IF($D27="هزینه","هزینه: "&amp;IF($E27="","متفرقه",$E27),IF(OR($B27="",COUNTIF(AcctCodesA,$B27)=0),"متفرقه",$B27))),$A27))</f>
        <v/>
      </c>
      <c r="K27">
        <f>IF($A27="","",IF(AND($B27&lt;&gt;"",COUNTIF(AcctCodesA,$B27)=0),"کد طرف در INFO تعریف نشده",IF(AND($D27="هزینه",$E27=""),"هزینه بدون زیرگروه",IF(AND($C27="پاس چک",OR(Sync!$AJ27="",COUNTIF(IssueNosA,Sync!$AJ27)=0)),"شماره چک پاس‌شده معتبر نیست",""))))</f>
        <v/>
      </c>
      <c r="M27">
        <f>IF(Sync!$AH27="","",Sync!$AH27)</f>
        <v/>
      </c>
      <c r="N27">
        <f>IF($M27="","",IF(OR(Sync!$AI27="",COUNTIF(AcctCodesA,Sync!$AI27)=0),"متفرقه",Sync!$AI27))</f>
        <v/>
      </c>
      <c r="O27">
        <f>IF($M27="","",$N27)</f>
        <v/>
      </c>
      <c r="P27">
        <f>IF($M27="","","چک پرداختی")</f>
        <v/>
      </c>
      <c r="R27">
        <f>IF($M27="","",IF(COUNTIF(AcctCodesA,Sync!$AI27)=0,"ذی‌نفع چک تعریف‌نشده",""))</f>
        <v/>
      </c>
      <c r="S27">
        <f>IF($R27="","",Sync!$AG27&amp;"|"&amp;"5"&amp;RIGHT("00000"&amp;22,5))</f>
        <v/>
      </c>
      <c r="T27">
        <f>IF($S27="",0,COUNTIFS($S$6:$S$505,"&lt;"&amp;$S27)-COUNTIFS($S$6:$S$505,"&lt;"&amp;$S27,$R$6:$R$505,"")+1)</f>
        <v/>
      </c>
      <c r="V27">
        <f>IF($K27="","",IF(ISNUMBER(Sync!$AK27),Sync!$AK27,LEFT(Sync!$AK27,4)&amp;MID(Sync!$AK27,6,2)&amp;RIGHT(Sync!$AK27,2))&amp;"|"&amp;"4"&amp;RIGHT("00000"&amp;22,5))</f>
        <v/>
      </c>
      <c r="W27">
        <f>IF($V27="",0,COUNTIFS($V$6:$V$2005,"&lt;"&amp;$V27)-COUNTIFS($V$6:$V$2005,"&lt;"&amp;$V27,$K$6:$K$2005,"")+1)</f>
        <v/>
      </c>
      <c r="X27">
        <f>IF(Sync!$AX27="","",IF(OR(N(Sync!$AY27)=0,N(Sync!$AZ27)=0),"",ROUND(N(Sync!$AY27)*N(Sync!$AZ27),0)))</f>
        <v/>
      </c>
      <c r="Y27">
        <f>IF($X27="","",IF(OR(Sync!$AX27="",COUNTIF(AcctCodesA,Sync!$AX27)=0),"متفرقه",Sync!$AX27))</f>
        <v/>
      </c>
      <c r="Z27">
        <f>IF($X27="","","سبد و ظروف")</f>
        <v/>
      </c>
      <c r="AA27">
        <f>IF($X27="","",$Y27)</f>
        <v/>
      </c>
    </row>
    <row r="28">
      <c r="A28">
        <f>IF(Sync!$Z28="","",LEFT(UPPER(TRIM(Sync!$Z28)),6))</f>
        <v/>
      </c>
      <c r="B28">
        <f>IF($A28="","",IF(Sync!$AA28="","",Sync!$AA28))</f>
        <v/>
      </c>
      <c r="C28">
        <f>IF($A28="","",IF(Sync!$AB28="","",Sync!$AB28))</f>
        <v/>
      </c>
      <c r="D28">
        <f>IF($A28="","",IF(Sync!$AC28="","",Sync!$AC28))</f>
        <v/>
      </c>
      <c r="E28">
        <f>IF($A28="","",IF(Sync!$AD28="","",Sync!$AD28))</f>
        <v/>
      </c>
      <c r="F28">
        <f>IF($A28="","",IF(Sync!$AE28="",0,Sync!$AE28))</f>
        <v/>
      </c>
      <c r="G28">
        <f>IF($A28="","",IF(Sync!$AF28="",0,Sync!$AF28))</f>
        <v/>
      </c>
      <c r="H28">
        <f>IF(OR($A28="",ROUND($F28+$G28,2)=0),"",$F28+$G28)</f>
        <v/>
      </c>
      <c r="I28">
        <f>IF($H28="","",IF(ROUND($F28,2)&gt;0,$A28,IF($D28="شخصی قاسم","شخصی قاسم",IF($D28="هزینه","هزینه: "&amp;IF($E28="","متفرقه",$E28),IF($C28="پاس چک","چک پرداختی",IF(OR($B28="",COUNTIF(AcctCodesA,$B28)=0),"متفرقه",$B28))))))</f>
        <v/>
      </c>
      <c r="J28">
        <f>IF($H28="","",IF(ROUND($F28,2)&gt;0,IF($D28="شخصی قاسم","شخصی قاسم",IF($D28="هزینه","هزینه: "&amp;IF($E28="","متفرقه",$E28),IF(OR($B28="",COUNTIF(AcctCodesA,$B28)=0),"متفرقه",$B28))),$A28))</f>
        <v/>
      </c>
      <c r="K28">
        <f>IF($A28="","",IF(AND($B28&lt;&gt;"",COUNTIF(AcctCodesA,$B28)=0),"کد طرف در INFO تعریف نشده",IF(AND($D28="هزینه",$E28=""),"هزینه بدون زیرگروه",IF(AND($C28="پاس چک",OR(Sync!$AJ28="",COUNTIF(IssueNosA,Sync!$AJ28)=0)),"شماره چک پاس‌شده معتبر نیست",""))))</f>
        <v/>
      </c>
      <c r="M28">
        <f>IF(Sync!$AH28="","",Sync!$AH28)</f>
        <v/>
      </c>
      <c r="N28">
        <f>IF($M28="","",IF(OR(Sync!$AI28="",COUNTIF(AcctCodesA,Sync!$AI28)=0),"متفرقه",Sync!$AI28))</f>
        <v/>
      </c>
      <c r="O28">
        <f>IF($M28="","",$N28)</f>
        <v/>
      </c>
      <c r="P28">
        <f>IF($M28="","","چک پرداختی")</f>
        <v/>
      </c>
      <c r="R28">
        <f>IF($M28="","",IF(COUNTIF(AcctCodesA,Sync!$AI28)=0,"ذی‌نفع چک تعریف‌نشده",""))</f>
        <v/>
      </c>
      <c r="S28">
        <f>IF($R28="","",Sync!$AG28&amp;"|"&amp;"5"&amp;RIGHT("00000"&amp;23,5))</f>
        <v/>
      </c>
      <c r="T28">
        <f>IF($S28="",0,COUNTIFS($S$6:$S$505,"&lt;"&amp;$S28)-COUNTIFS($S$6:$S$505,"&lt;"&amp;$S28,$R$6:$R$505,"")+1)</f>
        <v/>
      </c>
      <c r="V28">
        <f>IF($K28="","",IF(ISNUMBER(Sync!$AK28),Sync!$AK28,LEFT(Sync!$AK28,4)&amp;MID(Sync!$AK28,6,2)&amp;RIGHT(Sync!$AK28,2))&amp;"|"&amp;"4"&amp;RIGHT("00000"&amp;23,5))</f>
        <v/>
      </c>
      <c r="W28">
        <f>IF($V28="",0,COUNTIFS($V$6:$V$2005,"&lt;"&amp;$V28)-COUNTIFS($V$6:$V$2005,"&lt;"&amp;$V28,$K$6:$K$2005,"")+1)</f>
        <v/>
      </c>
      <c r="X28">
        <f>IF(Sync!$AX28="","",IF(OR(N(Sync!$AY28)=0,N(Sync!$AZ28)=0),"",ROUND(N(Sync!$AY28)*N(Sync!$AZ28),0)))</f>
        <v/>
      </c>
      <c r="Y28">
        <f>IF($X28="","",IF(OR(Sync!$AX28="",COUNTIF(AcctCodesA,Sync!$AX28)=0),"متفرقه",Sync!$AX28))</f>
        <v/>
      </c>
      <c r="Z28">
        <f>IF($X28="","","سبد و ظروف")</f>
        <v/>
      </c>
      <c r="AA28">
        <f>IF($X28="","",$Y28)</f>
        <v/>
      </c>
    </row>
    <row r="29">
      <c r="A29">
        <f>IF(Sync!$Z29="","",LEFT(UPPER(TRIM(Sync!$Z29)),6))</f>
        <v/>
      </c>
      <c r="B29">
        <f>IF($A29="","",IF(Sync!$AA29="","",Sync!$AA29))</f>
        <v/>
      </c>
      <c r="C29">
        <f>IF($A29="","",IF(Sync!$AB29="","",Sync!$AB29))</f>
        <v/>
      </c>
      <c r="D29">
        <f>IF($A29="","",IF(Sync!$AC29="","",Sync!$AC29))</f>
        <v/>
      </c>
      <c r="E29">
        <f>IF($A29="","",IF(Sync!$AD29="","",Sync!$AD29))</f>
        <v/>
      </c>
      <c r="F29">
        <f>IF($A29="","",IF(Sync!$AE29="",0,Sync!$AE29))</f>
        <v/>
      </c>
      <c r="G29">
        <f>IF($A29="","",IF(Sync!$AF29="",0,Sync!$AF29))</f>
        <v/>
      </c>
      <c r="H29">
        <f>IF(OR($A29="",ROUND($F29+$G29,2)=0),"",$F29+$G29)</f>
        <v/>
      </c>
      <c r="I29">
        <f>IF($H29="","",IF(ROUND($F29,2)&gt;0,$A29,IF($D29="شخصی قاسم","شخصی قاسم",IF($D29="هزینه","هزینه: "&amp;IF($E29="","متفرقه",$E29),IF($C29="پاس چک","چک پرداختی",IF(OR($B29="",COUNTIF(AcctCodesA,$B29)=0),"متفرقه",$B29))))))</f>
        <v/>
      </c>
      <c r="J29">
        <f>IF($H29="","",IF(ROUND($F29,2)&gt;0,IF($D29="شخصی قاسم","شخصی قاسم",IF($D29="هزینه","هزینه: "&amp;IF($E29="","متفرقه",$E29),IF(OR($B29="",COUNTIF(AcctCodesA,$B29)=0),"متفرقه",$B29))),$A29))</f>
        <v/>
      </c>
      <c r="K29">
        <f>IF($A29="","",IF(AND($B29&lt;&gt;"",COUNTIF(AcctCodesA,$B29)=0),"کد طرف در INFO تعریف نشده",IF(AND($D29="هزینه",$E29=""),"هزینه بدون زیرگروه",IF(AND($C29="پاس چک",OR(Sync!$AJ29="",COUNTIF(IssueNosA,Sync!$AJ29)=0)),"شماره چک پاس‌شده معتبر نیست",""))))</f>
        <v/>
      </c>
      <c r="M29">
        <f>IF(Sync!$AH29="","",Sync!$AH29)</f>
        <v/>
      </c>
      <c r="N29">
        <f>IF($M29="","",IF(OR(Sync!$AI29="",COUNTIF(AcctCodesA,Sync!$AI29)=0),"متفرقه",Sync!$AI29))</f>
        <v/>
      </c>
      <c r="O29">
        <f>IF($M29="","",$N29)</f>
        <v/>
      </c>
      <c r="P29">
        <f>IF($M29="","","چک پرداختی")</f>
        <v/>
      </c>
      <c r="R29">
        <f>IF($M29="","",IF(COUNTIF(AcctCodesA,Sync!$AI29)=0,"ذی‌نفع چک تعریف‌نشده",""))</f>
        <v/>
      </c>
      <c r="S29">
        <f>IF($R29="","",Sync!$AG29&amp;"|"&amp;"5"&amp;RIGHT("00000"&amp;24,5))</f>
        <v/>
      </c>
      <c r="T29">
        <f>IF($S29="",0,COUNTIFS($S$6:$S$505,"&lt;"&amp;$S29)-COUNTIFS($S$6:$S$505,"&lt;"&amp;$S29,$R$6:$R$505,"")+1)</f>
        <v/>
      </c>
      <c r="V29">
        <f>IF($K29="","",IF(ISNUMBER(Sync!$AK29),Sync!$AK29,LEFT(Sync!$AK29,4)&amp;MID(Sync!$AK29,6,2)&amp;RIGHT(Sync!$AK29,2))&amp;"|"&amp;"4"&amp;RIGHT("00000"&amp;24,5))</f>
        <v/>
      </c>
      <c r="W29">
        <f>IF($V29="",0,COUNTIFS($V$6:$V$2005,"&lt;"&amp;$V29)-COUNTIFS($V$6:$V$2005,"&lt;"&amp;$V29,$K$6:$K$2005,"")+1)</f>
        <v/>
      </c>
      <c r="X29">
        <f>IF(Sync!$AX29="","",IF(OR(N(Sync!$AY29)=0,N(Sync!$AZ29)=0),"",ROUND(N(Sync!$AY29)*N(Sync!$AZ29),0)))</f>
        <v/>
      </c>
      <c r="Y29">
        <f>IF($X29="","",IF(OR(Sync!$AX29="",COUNTIF(AcctCodesA,Sync!$AX29)=0),"متفرقه",Sync!$AX29))</f>
        <v/>
      </c>
      <c r="Z29">
        <f>IF($X29="","","سبد و ظروف")</f>
        <v/>
      </c>
      <c r="AA29">
        <f>IF($X29="","",$Y29)</f>
        <v/>
      </c>
    </row>
    <row r="30">
      <c r="A30">
        <f>IF(Sync!$Z30="","",LEFT(UPPER(TRIM(Sync!$Z30)),6))</f>
        <v/>
      </c>
      <c r="B30">
        <f>IF($A30="","",IF(Sync!$AA30="","",Sync!$AA30))</f>
        <v/>
      </c>
      <c r="C30">
        <f>IF($A30="","",IF(Sync!$AB30="","",Sync!$AB30))</f>
        <v/>
      </c>
      <c r="D30">
        <f>IF($A30="","",IF(Sync!$AC30="","",Sync!$AC30))</f>
        <v/>
      </c>
      <c r="E30">
        <f>IF($A30="","",IF(Sync!$AD30="","",Sync!$AD30))</f>
        <v/>
      </c>
      <c r="F30">
        <f>IF($A30="","",IF(Sync!$AE30="",0,Sync!$AE30))</f>
        <v/>
      </c>
      <c r="G30">
        <f>IF($A30="","",IF(Sync!$AF30="",0,Sync!$AF30))</f>
        <v/>
      </c>
      <c r="H30">
        <f>IF(OR($A30="",ROUND($F30+$G30,2)=0),"",$F30+$G30)</f>
        <v/>
      </c>
      <c r="I30">
        <f>IF($H30="","",IF(ROUND($F30,2)&gt;0,$A30,IF($D30="شخصی قاسم","شخصی قاسم",IF($D30="هزینه","هزینه: "&amp;IF($E30="","متفرقه",$E30),IF($C30="پاس چک","چک پرداختی",IF(OR($B30="",COUNTIF(AcctCodesA,$B30)=0),"متفرقه",$B30))))))</f>
        <v/>
      </c>
      <c r="J30">
        <f>IF($H30="","",IF(ROUND($F30,2)&gt;0,IF($D30="شخصی قاسم","شخصی قاسم",IF($D30="هزینه","هزینه: "&amp;IF($E30="","متفرقه",$E30),IF(OR($B30="",COUNTIF(AcctCodesA,$B30)=0),"متفرقه",$B30))),$A30))</f>
        <v/>
      </c>
      <c r="K30">
        <f>IF($A30="","",IF(AND($B30&lt;&gt;"",COUNTIF(AcctCodesA,$B30)=0),"کد طرف در INFO تعریف نشده",IF(AND($D30="هزینه",$E30=""),"هزینه بدون زیرگروه",IF(AND($C30="پاس چک",OR(Sync!$AJ30="",COUNTIF(IssueNosA,Sync!$AJ30)=0)),"شماره چک پاس‌شده معتبر نیست",""))))</f>
        <v/>
      </c>
      <c r="M30">
        <f>IF(Sync!$AH30="","",Sync!$AH30)</f>
        <v/>
      </c>
      <c r="N30">
        <f>IF($M30="","",IF(OR(Sync!$AI30="",COUNTIF(AcctCodesA,Sync!$AI30)=0),"متفرقه",Sync!$AI30))</f>
        <v/>
      </c>
      <c r="O30">
        <f>IF($M30="","",$N30)</f>
        <v/>
      </c>
      <c r="P30">
        <f>IF($M30="","","چک پرداختی")</f>
        <v/>
      </c>
      <c r="R30">
        <f>IF($M30="","",IF(COUNTIF(AcctCodesA,Sync!$AI30)=0,"ذی‌نفع چک تعریف‌نشده",""))</f>
        <v/>
      </c>
      <c r="S30">
        <f>IF($R30="","",Sync!$AG30&amp;"|"&amp;"5"&amp;RIGHT("00000"&amp;25,5))</f>
        <v/>
      </c>
      <c r="T30">
        <f>IF($S30="",0,COUNTIFS($S$6:$S$505,"&lt;"&amp;$S30)-COUNTIFS($S$6:$S$505,"&lt;"&amp;$S30,$R$6:$R$505,"")+1)</f>
        <v/>
      </c>
      <c r="V30">
        <f>IF($K30="","",IF(ISNUMBER(Sync!$AK30),Sync!$AK30,LEFT(Sync!$AK30,4)&amp;MID(Sync!$AK30,6,2)&amp;RIGHT(Sync!$AK30,2))&amp;"|"&amp;"4"&amp;RIGHT("00000"&amp;25,5))</f>
        <v/>
      </c>
      <c r="W30">
        <f>IF($V30="",0,COUNTIFS($V$6:$V$2005,"&lt;"&amp;$V30)-COUNTIFS($V$6:$V$2005,"&lt;"&amp;$V30,$K$6:$K$2005,"")+1)</f>
        <v/>
      </c>
      <c r="X30">
        <f>IF(Sync!$AX30="","",IF(OR(N(Sync!$AY30)=0,N(Sync!$AZ30)=0),"",ROUND(N(Sync!$AY30)*N(Sync!$AZ30),0)))</f>
        <v/>
      </c>
      <c r="Y30">
        <f>IF($X30="","",IF(OR(Sync!$AX30="",COUNTIF(AcctCodesA,Sync!$AX30)=0),"متفرقه",Sync!$AX30))</f>
        <v/>
      </c>
      <c r="Z30">
        <f>IF($X30="","","سبد و ظروف")</f>
        <v/>
      </c>
      <c r="AA30">
        <f>IF($X30="","",$Y30)</f>
        <v/>
      </c>
    </row>
    <row r="31">
      <c r="A31">
        <f>IF(Sync!$Z31="","",LEFT(UPPER(TRIM(Sync!$Z31)),6))</f>
        <v/>
      </c>
      <c r="B31">
        <f>IF($A31="","",IF(Sync!$AA31="","",Sync!$AA31))</f>
        <v/>
      </c>
      <c r="C31">
        <f>IF($A31="","",IF(Sync!$AB31="","",Sync!$AB31))</f>
        <v/>
      </c>
      <c r="D31">
        <f>IF($A31="","",IF(Sync!$AC31="","",Sync!$AC31))</f>
        <v/>
      </c>
      <c r="E31">
        <f>IF($A31="","",IF(Sync!$AD31="","",Sync!$AD31))</f>
        <v/>
      </c>
      <c r="F31">
        <f>IF($A31="","",IF(Sync!$AE31="",0,Sync!$AE31))</f>
        <v/>
      </c>
      <c r="G31">
        <f>IF($A31="","",IF(Sync!$AF31="",0,Sync!$AF31))</f>
        <v/>
      </c>
      <c r="H31">
        <f>IF(OR($A31="",ROUND($F31+$G31,2)=0),"",$F31+$G31)</f>
        <v/>
      </c>
      <c r="I31">
        <f>IF($H31="","",IF(ROUND($F31,2)&gt;0,$A31,IF($D31="شخصی قاسم","شخصی قاسم",IF($D31="هزینه","هزینه: "&amp;IF($E31="","متفرقه",$E31),IF($C31="پاس چک","چک پرداختی",IF(OR($B31="",COUNTIF(AcctCodesA,$B31)=0),"متفرقه",$B31))))))</f>
        <v/>
      </c>
      <c r="J31">
        <f>IF($H31="","",IF(ROUND($F31,2)&gt;0,IF($D31="شخصی قاسم","شخصی قاسم",IF($D31="هزینه","هزینه: "&amp;IF($E31="","متفرقه",$E31),IF(OR($B31="",COUNTIF(AcctCodesA,$B31)=0),"متفرقه",$B31))),$A31))</f>
        <v/>
      </c>
      <c r="K31">
        <f>IF($A31="","",IF(AND($B31&lt;&gt;"",COUNTIF(AcctCodesA,$B31)=0),"کد طرف در INFO تعریف نشده",IF(AND($D31="هزینه",$E31=""),"هزینه بدون زیرگروه",IF(AND($C31="پاس چک",OR(Sync!$AJ31="",COUNTIF(IssueNosA,Sync!$AJ31)=0)),"شماره چک پاس‌شده معتبر نیست",""))))</f>
        <v/>
      </c>
      <c r="M31">
        <f>IF(Sync!$AH31="","",Sync!$AH31)</f>
        <v/>
      </c>
      <c r="N31">
        <f>IF($M31="","",IF(OR(Sync!$AI31="",COUNTIF(AcctCodesA,Sync!$AI31)=0),"متفرقه",Sync!$AI31))</f>
        <v/>
      </c>
      <c r="O31">
        <f>IF($M31="","",$N31)</f>
        <v/>
      </c>
      <c r="P31">
        <f>IF($M31="","","چک پرداختی")</f>
        <v/>
      </c>
      <c r="R31">
        <f>IF($M31="","",IF(COUNTIF(AcctCodesA,Sync!$AI31)=0,"ذی‌نفع چک تعریف‌نشده",""))</f>
        <v/>
      </c>
      <c r="S31">
        <f>IF($R31="","",Sync!$AG31&amp;"|"&amp;"5"&amp;RIGHT("00000"&amp;26,5))</f>
        <v/>
      </c>
      <c r="T31">
        <f>IF($S31="",0,COUNTIFS($S$6:$S$505,"&lt;"&amp;$S31)-COUNTIFS($S$6:$S$505,"&lt;"&amp;$S31,$R$6:$R$505,"")+1)</f>
        <v/>
      </c>
      <c r="V31">
        <f>IF($K31="","",IF(ISNUMBER(Sync!$AK31),Sync!$AK31,LEFT(Sync!$AK31,4)&amp;MID(Sync!$AK31,6,2)&amp;RIGHT(Sync!$AK31,2))&amp;"|"&amp;"4"&amp;RIGHT("00000"&amp;26,5))</f>
        <v/>
      </c>
      <c r="W31">
        <f>IF($V31="",0,COUNTIFS($V$6:$V$2005,"&lt;"&amp;$V31)-COUNTIFS($V$6:$V$2005,"&lt;"&amp;$V31,$K$6:$K$2005,"")+1)</f>
        <v/>
      </c>
      <c r="X31">
        <f>IF(Sync!$AX31="","",IF(OR(N(Sync!$AY31)=0,N(Sync!$AZ31)=0),"",ROUND(N(Sync!$AY31)*N(Sync!$AZ31),0)))</f>
        <v/>
      </c>
      <c r="Y31">
        <f>IF($X31="","",IF(OR(Sync!$AX31="",COUNTIF(AcctCodesA,Sync!$AX31)=0),"متفرقه",Sync!$AX31))</f>
        <v/>
      </c>
      <c r="Z31">
        <f>IF($X31="","","سبد و ظروف")</f>
        <v/>
      </c>
      <c r="AA31">
        <f>IF($X31="","",$Y31)</f>
        <v/>
      </c>
    </row>
    <row r="32">
      <c r="A32">
        <f>IF(Sync!$Z32="","",LEFT(UPPER(TRIM(Sync!$Z32)),6))</f>
        <v/>
      </c>
      <c r="B32">
        <f>IF($A32="","",IF(Sync!$AA32="","",Sync!$AA32))</f>
        <v/>
      </c>
      <c r="C32">
        <f>IF($A32="","",IF(Sync!$AB32="","",Sync!$AB32))</f>
        <v/>
      </c>
      <c r="D32">
        <f>IF($A32="","",IF(Sync!$AC32="","",Sync!$AC32))</f>
        <v/>
      </c>
      <c r="E32">
        <f>IF($A32="","",IF(Sync!$AD32="","",Sync!$AD32))</f>
        <v/>
      </c>
      <c r="F32">
        <f>IF($A32="","",IF(Sync!$AE32="",0,Sync!$AE32))</f>
        <v/>
      </c>
      <c r="G32">
        <f>IF($A32="","",IF(Sync!$AF32="",0,Sync!$AF32))</f>
        <v/>
      </c>
      <c r="H32">
        <f>IF(OR($A32="",ROUND($F32+$G32,2)=0),"",$F32+$G32)</f>
        <v/>
      </c>
      <c r="I32">
        <f>IF($H32="","",IF(ROUND($F32,2)&gt;0,$A32,IF($D32="شخصی قاسم","شخصی قاسم",IF($D32="هزینه","هزینه: "&amp;IF($E32="","متفرقه",$E32),IF($C32="پاس چک","چک پرداختی",IF(OR($B32="",COUNTIF(AcctCodesA,$B32)=0),"متفرقه",$B32))))))</f>
        <v/>
      </c>
      <c r="J32">
        <f>IF($H32="","",IF(ROUND($F32,2)&gt;0,IF($D32="شخصی قاسم","شخصی قاسم",IF($D32="هزینه","هزینه: "&amp;IF($E32="","متفرقه",$E32),IF(OR($B32="",COUNTIF(AcctCodesA,$B32)=0),"متفرقه",$B32))),$A32))</f>
        <v/>
      </c>
      <c r="K32">
        <f>IF($A32="","",IF(AND($B32&lt;&gt;"",COUNTIF(AcctCodesA,$B32)=0),"کد طرف در INFO تعریف نشده",IF(AND($D32="هزینه",$E32=""),"هزینه بدون زیرگروه",IF(AND($C32="پاس چک",OR(Sync!$AJ32="",COUNTIF(IssueNosA,Sync!$AJ32)=0)),"شماره چک پاس‌شده معتبر نیست",""))))</f>
        <v/>
      </c>
      <c r="M32">
        <f>IF(Sync!$AH32="","",Sync!$AH32)</f>
        <v/>
      </c>
      <c r="N32">
        <f>IF($M32="","",IF(OR(Sync!$AI32="",COUNTIF(AcctCodesA,Sync!$AI32)=0),"متفرقه",Sync!$AI32))</f>
        <v/>
      </c>
      <c r="O32">
        <f>IF($M32="","",$N32)</f>
        <v/>
      </c>
      <c r="P32">
        <f>IF($M32="","","چک پرداختی")</f>
        <v/>
      </c>
      <c r="R32">
        <f>IF($M32="","",IF(COUNTIF(AcctCodesA,Sync!$AI32)=0,"ذی‌نفع چک تعریف‌نشده",""))</f>
        <v/>
      </c>
      <c r="S32">
        <f>IF($R32="","",Sync!$AG32&amp;"|"&amp;"5"&amp;RIGHT("00000"&amp;27,5))</f>
        <v/>
      </c>
      <c r="T32">
        <f>IF($S32="",0,COUNTIFS($S$6:$S$505,"&lt;"&amp;$S32)-COUNTIFS($S$6:$S$505,"&lt;"&amp;$S32,$R$6:$R$505,"")+1)</f>
        <v/>
      </c>
      <c r="V32">
        <f>IF($K32="","",IF(ISNUMBER(Sync!$AK32),Sync!$AK32,LEFT(Sync!$AK32,4)&amp;MID(Sync!$AK32,6,2)&amp;RIGHT(Sync!$AK32,2))&amp;"|"&amp;"4"&amp;RIGHT("00000"&amp;27,5))</f>
        <v/>
      </c>
      <c r="W32">
        <f>IF($V32="",0,COUNTIFS($V$6:$V$2005,"&lt;"&amp;$V32)-COUNTIFS($V$6:$V$2005,"&lt;"&amp;$V32,$K$6:$K$2005,"")+1)</f>
        <v/>
      </c>
      <c r="X32">
        <f>IF(Sync!$AX32="","",IF(OR(N(Sync!$AY32)=0,N(Sync!$AZ32)=0),"",ROUND(N(Sync!$AY32)*N(Sync!$AZ32),0)))</f>
        <v/>
      </c>
      <c r="Y32">
        <f>IF($X32="","",IF(OR(Sync!$AX32="",COUNTIF(AcctCodesA,Sync!$AX32)=0),"متفرقه",Sync!$AX32))</f>
        <v/>
      </c>
      <c r="Z32">
        <f>IF($X32="","","سبد و ظروف")</f>
        <v/>
      </c>
      <c r="AA32">
        <f>IF($X32="","",$Y32)</f>
        <v/>
      </c>
    </row>
    <row r="33">
      <c r="A33">
        <f>IF(Sync!$Z33="","",LEFT(UPPER(TRIM(Sync!$Z33)),6))</f>
        <v/>
      </c>
      <c r="B33">
        <f>IF($A33="","",IF(Sync!$AA33="","",Sync!$AA33))</f>
        <v/>
      </c>
      <c r="C33">
        <f>IF($A33="","",IF(Sync!$AB33="","",Sync!$AB33))</f>
        <v/>
      </c>
      <c r="D33">
        <f>IF($A33="","",IF(Sync!$AC33="","",Sync!$AC33))</f>
        <v/>
      </c>
      <c r="E33">
        <f>IF($A33="","",IF(Sync!$AD33="","",Sync!$AD33))</f>
        <v/>
      </c>
      <c r="F33">
        <f>IF($A33="","",IF(Sync!$AE33="",0,Sync!$AE33))</f>
        <v/>
      </c>
      <c r="G33">
        <f>IF($A33="","",IF(Sync!$AF33="",0,Sync!$AF33))</f>
        <v/>
      </c>
      <c r="H33">
        <f>IF(OR($A33="",ROUND($F33+$G33,2)=0),"",$F33+$G33)</f>
        <v/>
      </c>
      <c r="I33">
        <f>IF($H33="","",IF(ROUND($F33,2)&gt;0,$A33,IF($D33="شخصی قاسم","شخصی قاسم",IF($D33="هزینه","هزینه: "&amp;IF($E33="","متفرقه",$E33),IF($C33="پاس چک","چک پرداختی",IF(OR($B33="",COUNTIF(AcctCodesA,$B33)=0),"متفرقه",$B33))))))</f>
        <v/>
      </c>
      <c r="J33">
        <f>IF($H33="","",IF(ROUND($F33,2)&gt;0,IF($D33="شخصی قاسم","شخصی قاسم",IF($D33="هزینه","هزینه: "&amp;IF($E33="","متفرقه",$E33),IF(OR($B33="",COUNTIF(AcctCodesA,$B33)=0),"متفرقه",$B33))),$A33))</f>
        <v/>
      </c>
      <c r="K33">
        <f>IF($A33="","",IF(AND($B33&lt;&gt;"",COUNTIF(AcctCodesA,$B33)=0),"کد طرف در INFO تعریف نشده",IF(AND($D33="هزینه",$E33=""),"هزینه بدون زیرگروه",IF(AND($C33="پاس چک",OR(Sync!$AJ33="",COUNTIF(IssueNosA,Sync!$AJ33)=0)),"شماره چک پاس‌شده معتبر نیست",""))))</f>
        <v/>
      </c>
      <c r="M33">
        <f>IF(Sync!$AH33="","",Sync!$AH33)</f>
        <v/>
      </c>
      <c r="N33">
        <f>IF($M33="","",IF(OR(Sync!$AI33="",COUNTIF(AcctCodesA,Sync!$AI33)=0),"متفرقه",Sync!$AI33))</f>
        <v/>
      </c>
      <c r="O33">
        <f>IF($M33="","",$N33)</f>
        <v/>
      </c>
      <c r="P33">
        <f>IF($M33="","","چک پرداختی")</f>
        <v/>
      </c>
      <c r="R33">
        <f>IF($M33="","",IF(COUNTIF(AcctCodesA,Sync!$AI33)=0,"ذی‌نفع چک تعریف‌نشده",""))</f>
        <v/>
      </c>
      <c r="S33">
        <f>IF($R33="","",Sync!$AG33&amp;"|"&amp;"5"&amp;RIGHT("00000"&amp;28,5))</f>
        <v/>
      </c>
      <c r="T33">
        <f>IF($S33="",0,COUNTIFS($S$6:$S$505,"&lt;"&amp;$S33)-COUNTIFS($S$6:$S$505,"&lt;"&amp;$S33,$R$6:$R$505,"")+1)</f>
        <v/>
      </c>
      <c r="V33">
        <f>IF($K33="","",IF(ISNUMBER(Sync!$AK33),Sync!$AK33,LEFT(Sync!$AK33,4)&amp;MID(Sync!$AK33,6,2)&amp;RIGHT(Sync!$AK33,2))&amp;"|"&amp;"4"&amp;RIGHT("00000"&amp;28,5))</f>
        <v/>
      </c>
      <c r="W33">
        <f>IF($V33="",0,COUNTIFS($V$6:$V$2005,"&lt;"&amp;$V33)-COUNTIFS($V$6:$V$2005,"&lt;"&amp;$V33,$K$6:$K$2005,"")+1)</f>
        <v/>
      </c>
      <c r="X33">
        <f>IF(Sync!$AX33="","",IF(OR(N(Sync!$AY33)=0,N(Sync!$AZ33)=0),"",ROUND(N(Sync!$AY33)*N(Sync!$AZ33),0)))</f>
        <v/>
      </c>
      <c r="Y33">
        <f>IF($X33="","",IF(OR(Sync!$AX33="",COUNTIF(AcctCodesA,Sync!$AX33)=0),"متفرقه",Sync!$AX33))</f>
        <v/>
      </c>
      <c r="Z33">
        <f>IF($X33="","","سبد و ظروف")</f>
        <v/>
      </c>
      <c r="AA33">
        <f>IF($X33="","",$Y33)</f>
        <v/>
      </c>
    </row>
    <row r="34">
      <c r="A34">
        <f>IF(Sync!$Z34="","",LEFT(UPPER(TRIM(Sync!$Z34)),6))</f>
        <v/>
      </c>
      <c r="B34">
        <f>IF($A34="","",IF(Sync!$AA34="","",Sync!$AA34))</f>
        <v/>
      </c>
      <c r="C34">
        <f>IF($A34="","",IF(Sync!$AB34="","",Sync!$AB34))</f>
        <v/>
      </c>
      <c r="D34">
        <f>IF($A34="","",IF(Sync!$AC34="","",Sync!$AC34))</f>
        <v/>
      </c>
      <c r="E34">
        <f>IF($A34="","",IF(Sync!$AD34="","",Sync!$AD34))</f>
        <v/>
      </c>
      <c r="F34">
        <f>IF($A34="","",IF(Sync!$AE34="",0,Sync!$AE34))</f>
        <v/>
      </c>
      <c r="G34">
        <f>IF($A34="","",IF(Sync!$AF34="",0,Sync!$AF34))</f>
        <v/>
      </c>
      <c r="H34">
        <f>IF(OR($A34="",ROUND($F34+$G34,2)=0),"",$F34+$G34)</f>
        <v/>
      </c>
      <c r="I34">
        <f>IF($H34="","",IF(ROUND($F34,2)&gt;0,$A34,IF($D34="شخصی قاسم","شخصی قاسم",IF($D34="هزینه","هزینه: "&amp;IF($E34="","متفرقه",$E34),IF($C34="پاس چک","چک پرداختی",IF(OR($B34="",COUNTIF(AcctCodesA,$B34)=0),"متفرقه",$B34))))))</f>
        <v/>
      </c>
      <c r="J34">
        <f>IF($H34="","",IF(ROUND($F34,2)&gt;0,IF($D34="شخصی قاسم","شخصی قاسم",IF($D34="هزینه","هزینه: "&amp;IF($E34="","متفرقه",$E34),IF(OR($B34="",COUNTIF(AcctCodesA,$B34)=0),"متفرقه",$B34))),$A34))</f>
        <v/>
      </c>
      <c r="K34">
        <f>IF($A34="","",IF(AND($B34&lt;&gt;"",COUNTIF(AcctCodesA,$B34)=0),"کد طرف در INFO تعریف نشده",IF(AND($D34="هزینه",$E34=""),"هزینه بدون زیرگروه",IF(AND($C34="پاس چک",OR(Sync!$AJ34="",COUNTIF(IssueNosA,Sync!$AJ34)=0)),"شماره چک پاس‌شده معتبر نیست",""))))</f>
        <v/>
      </c>
      <c r="M34">
        <f>IF(Sync!$AH34="","",Sync!$AH34)</f>
        <v/>
      </c>
      <c r="N34">
        <f>IF($M34="","",IF(OR(Sync!$AI34="",COUNTIF(AcctCodesA,Sync!$AI34)=0),"متفرقه",Sync!$AI34))</f>
        <v/>
      </c>
      <c r="O34">
        <f>IF($M34="","",$N34)</f>
        <v/>
      </c>
      <c r="P34">
        <f>IF($M34="","","چک پرداختی")</f>
        <v/>
      </c>
      <c r="R34">
        <f>IF($M34="","",IF(COUNTIF(AcctCodesA,Sync!$AI34)=0,"ذی‌نفع چک تعریف‌نشده",""))</f>
        <v/>
      </c>
      <c r="S34">
        <f>IF($R34="","",Sync!$AG34&amp;"|"&amp;"5"&amp;RIGHT("00000"&amp;29,5))</f>
        <v/>
      </c>
      <c r="T34">
        <f>IF($S34="",0,COUNTIFS($S$6:$S$505,"&lt;"&amp;$S34)-COUNTIFS($S$6:$S$505,"&lt;"&amp;$S34,$R$6:$R$505,"")+1)</f>
        <v/>
      </c>
      <c r="V34">
        <f>IF($K34="","",IF(ISNUMBER(Sync!$AK34),Sync!$AK34,LEFT(Sync!$AK34,4)&amp;MID(Sync!$AK34,6,2)&amp;RIGHT(Sync!$AK34,2))&amp;"|"&amp;"4"&amp;RIGHT("00000"&amp;29,5))</f>
        <v/>
      </c>
      <c r="W34">
        <f>IF($V34="",0,COUNTIFS($V$6:$V$2005,"&lt;"&amp;$V34)-COUNTIFS($V$6:$V$2005,"&lt;"&amp;$V34,$K$6:$K$2005,"")+1)</f>
        <v/>
      </c>
      <c r="X34">
        <f>IF(Sync!$AX34="","",IF(OR(N(Sync!$AY34)=0,N(Sync!$AZ34)=0),"",ROUND(N(Sync!$AY34)*N(Sync!$AZ34),0)))</f>
        <v/>
      </c>
      <c r="Y34">
        <f>IF($X34="","",IF(OR(Sync!$AX34="",COUNTIF(AcctCodesA,Sync!$AX34)=0),"متفرقه",Sync!$AX34))</f>
        <v/>
      </c>
      <c r="Z34">
        <f>IF($X34="","","سبد و ظروف")</f>
        <v/>
      </c>
      <c r="AA34">
        <f>IF($X34="","",$Y34)</f>
        <v/>
      </c>
    </row>
    <row r="35">
      <c r="A35">
        <f>IF(Sync!$Z35="","",LEFT(UPPER(TRIM(Sync!$Z35)),6))</f>
        <v/>
      </c>
      <c r="B35">
        <f>IF($A35="","",IF(Sync!$AA35="","",Sync!$AA35))</f>
        <v/>
      </c>
      <c r="C35">
        <f>IF($A35="","",IF(Sync!$AB35="","",Sync!$AB35))</f>
        <v/>
      </c>
      <c r="D35">
        <f>IF($A35="","",IF(Sync!$AC35="","",Sync!$AC35))</f>
        <v/>
      </c>
      <c r="E35">
        <f>IF($A35="","",IF(Sync!$AD35="","",Sync!$AD35))</f>
        <v/>
      </c>
      <c r="F35">
        <f>IF($A35="","",IF(Sync!$AE35="",0,Sync!$AE35))</f>
        <v/>
      </c>
      <c r="G35">
        <f>IF($A35="","",IF(Sync!$AF35="",0,Sync!$AF35))</f>
        <v/>
      </c>
      <c r="H35">
        <f>IF(OR($A35="",ROUND($F35+$G35,2)=0),"",$F35+$G35)</f>
        <v/>
      </c>
      <c r="I35">
        <f>IF($H35="","",IF(ROUND($F35,2)&gt;0,$A35,IF($D35="شخصی قاسم","شخصی قاسم",IF($D35="هزینه","هزینه: "&amp;IF($E35="","متفرقه",$E35),IF($C35="پاس چک","چک پرداختی",IF(OR($B35="",COUNTIF(AcctCodesA,$B35)=0),"متفرقه",$B35))))))</f>
        <v/>
      </c>
      <c r="J35">
        <f>IF($H35="","",IF(ROUND($F35,2)&gt;0,IF($D35="شخصی قاسم","شخصی قاسم",IF($D35="هزینه","هزینه: "&amp;IF($E35="","متفرقه",$E35),IF(OR($B35="",COUNTIF(AcctCodesA,$B35)=0),"متفرقه",$B35))),$A35))</f>
        <v/>
      </c>
      <c r="K35">
        <f>IF($A35="","",IF(AND($B35&lt;&gt;"",COUNTIF(AcctCodesA,$B35)=0),"کد طرف در INFO تعریف نشده",IF(AND($D35="هزینه",$E35=""),"هزینه بدون زیرگروه",IF(AND($C35="پاس چک",OR(Sync!$AJ35="",COUNTIF(IssueNosA,Sync!$AJ35)=0)),"شماره چک پاس‌شده معتبر نیست",""))))</f>
        <v/>
      </c>
      <c r="M35">
        <f>IF(Sync!$AH35="","",Sync!$AH35)</f>
        <v/>
      </c>
      <c r="N35">
        <f>IF($M35="","",IF(OR(Sync!$AI35="",COUNTIF(AcctCodesA,Sync!$AI35)=0),"متفرقه",Sync!$AI35))</f>
        <v/>
      </c>
      <c r="O35">
        <f>IF($M35="","",$N35)</f>
        <v/>
      </c>
      <c r="P35">
        <f>IF($M35="","","چک پرداختی")</f>
        <v/>
      </c>
      <c r="R35">
        <f>IF($M35="","",IF(COUNTIF(AcctCodesA,Sync!$AI35)=0,"ذی‌نفع چک تعریف‌نشده",""))</f>
        <v/>
      </c>
      <c r="S35">
        <f>IF($R35="","",Sync!$AG35&amp;"|"&amp;"5"&amp;RIGHT("00000"&amp;30,5))</f>
        <v/>
      </c>
      <c r="T35">
        <f>IF($S35="",0,COUNTIFS($S$6:$S$505,"&lt;"&amp;$S35)-COUNTIFS($S$6:$S$505,"&lt;"&amp;$S35,$R$6:$R$505,"")+1)</f>
        <v/>
      </c>
      <c r="V35">
        <f>IF($K35="","",IF(ISNUMBER(Sync!$AK35),Sync!$AK35,LEFT(Sync!$AK35,4)&amp;MID(Sync!$AK35,6,2)&amp;RIGHT(Sync!$AK35,2))&amp;"|"&amp;"4"&amp;RIGHT("00000"&amp;30,5))</f>
        <v/>
      </c>
      <c r="W35">
        <f>IF($V35="",0,COUNTIFS($V$6:$V$2005,"&lt;"&amp;$V35)-COUNTIFS($V$6:$V$2005,"&lt;"&amp;$V35,$K$6:$K$2005,"")+1)</f>
        <v/>
      </c>
      <c r="X35">
        <f>IF(Sync!$AX35="","",IF(OR(N(Sync!$AY35)=0,N(Sync!$AZ35)=0),"",ROUND(N(Sync!$AY35)*N(Sync!$AZ35),0)))</f>
        <v/>
      </c>
      <c r="Y35">
        <f>IF($X35="","",IF(OR(Sync!$AX35="",COUNTIF(AcctCodesA,Sync!$AX35)=0),"متفرقه",Sync!$AX35))</f>
        <v/>
      </c>
      <c r="Z35">
        <f>IF($X35="","","سبد و ظروف")</f>
        <v/>
      </c>
      <c r="AA35">
        <f>IF($X35="","",$Y35)</f>
        <v/>
      </c>
    </row>
    <row r="36">
      <c r="A36">
        <f>IF(Sync!$Z36="","",LEFT(UPPER(TRIM(Sync!$Z36)),6))</f>
        <v/>
      </c>
      <c r="B36">
        <f>IF($A36="","",IF(Sync!$AA36="","",Sync!$AA36))</f>
        <v/>
      </c>
      <c r="C36">
        <f>IF($A36="","",IF(Sync!$AB36="","",Sync!$AB36))</f>
        <v/>
      </c>
      <c r="D36">
        <f>IF($A36="","",IF(Sync!$AC36="","",Sync!$AC36))</f>
        <v/>
      </c>
      <c r="E36">
        <f>IF($A36="","",IF(Sync!$AD36="","",Sync!$AD36))</f>
        <v/>
      </c>
      <c r="F36">
        <f>IF($A36="","",IF(Sync!$AE36="",0,Sync!$AE36))</f>
        <v/>
      </c>
      <c r="G36">
        <f>IF($A36="","",IF(Sync!$AF36="",0,Sync!$AF36))</f>
        <v/>
      </c>
      <c r="H36">
        <f>IF(OR($A36="",ROUND($F36+$G36,2)=0),"",$F36+$G36)</f>
        <v/>
      </c>
      <c r="I36">
        <f>IF($H36="","",IF(ROUND($F36,2)&gt;0,$A36,IF($D36="شخصی قاسم","شخصی قاسم",IF($D36="هزینه","هزینه: "&amp;IF($E36="","متفرقه",$E36),IF($C36="پاس چک","چک پرداختی",IF(OR($B36="",COUNTIF(AcctCodesA,$B36)=0),"متفرقه",$B36))))))</f>
        <v/>
      </c>
      <c r="J36">
        <f>IF($H36="","",IF(ROUND($F36,2)&gt;0,IF($D36="شخصی قاسم","شخصی قاسم",IF($D36="هزینه","هزینه: "&amp;IF($E36="","متفرقه",$E36),IF(OR($B36="",COUNTIF(AcctCodesA,$B36)=0),"متفرقه",$B36))),$A36))</f>
        <v/>
      </c>
      <c r="K36">
        <f>IF($A36="","",IF(AND($B36&lt;&gt;"",COUNTIF(AcctCodesA,$B36)=0),"کد طرف در INFO تعریف نشده",IF(AND($D36="هزینه",$E36=""),"هزینه بدون زیرگروه",IF(AND($C36="پاس چک",OR(Sync!$AJ36="",COUNTIF(IssueNosA,Sync!$AJ36)=0)),"شماره چک پاس‌شده معتبر نیست",""))))</f>
        <v/>
      </c>
      <c r="M36">
        <f>IF(Sync!$AH36="","",Sync!$AH36)</f>
        <v/>
      </c>
      <c r="N36">
        <f>IF($M36="","",IF(OR(Sync!$AI36="",COUNTIF(AcctCodesA,Sync!$AI36)=0),"متفرقه",Sync!$AI36))</f>
        <v/>
      </c>
      <c r="O36">
        <f>IF($M36="","",$N36)</f>
        <v/>
      </c>
      <c r="P36">
        <f>IF($M36="","","چک پرداختی")</f>
        <v/>
      </c>
      <c r="R36">
        <f>IF($M36="","",IF(COUNTIF(AcctCodesA,Sync!$AI36)=0,"ذی‌نفع چک تعریف‌نشده",""))</f>
        <v/>
      </c>
      <c r="S36">
        <f>IF($R36="","",Sync!$AG36&amp;"|"&amp;"5"&amp;RIGHT("00000"&amp;31,5))</f>
        <v/>
      </c>
      <c r="T36">
        <f>IF($S36="",0,COUNTIFS($S$6:$S$505,"&lt;"&amp;$S36)-COUNTIFS($S$6:$S$505,"&lt;"&amp;$S36,$R$6:$R$505,"")+1)</f>
        <v/>
      </c>
      <c r="V36">
        <f>IF($K36="","",IF(ISNUMBER(Sync!$AK36),Sync!$AK36,LEFT(Sync!$AK36,4)&amp;MID(Sync!$AK36,6,2)&amp;RIGHT(Sync!$AK36,2))&amp;"|"&amp;"4"&amp;RIGHT("00000"&amp;31,5))</f>
        <v/>
      </c>
      <c r="W36">
        <f>IF($V36="",0,COUNTIFS($V$6:$V$2005,"&lt;"&amp;$V36)-COUNTIFS($V$6:$V$2005,"&lt;"&amp;$V36,$K$6:$K$2005,"")+1)</f>
        <v/>
      </c>
      <c r="X36">
        <f>IF(Sync!$AX36="","",IF(OR(N(Sync!$AY36)=0,N(Sync!$AZ36)=0),"",ROUND(N(Sync!$AY36)*N(Sync!$AZ36),0)))</f>
        <v/>
      </c>
      <c r="Y36">
        <f>IF($X36="","",IF(OR(Sync!$AX36="",COUNTIF(AcctCodesA,Sync!$AX36)=0),"متفرقه",Sync!$AX36))</f>
        <v/>
      </c>
      <c r="Z36">
        <f>IF($X36="","","سبد و ظروف")</f>
        <v/>
      </c>
      <c r="AA36">
        <f>IF($X36="","",$Y36)</f>
        <v/>
      </c>
    </row>
    <row r="37">
      <c r="A37">
        <f>IF(Sync!$Z37="","",LEFT(UPPER(TRIM(Sync!$Z37)),6))</f>
        <v/>
      </c>
      <c r="B37">
        <f>IF($A37="","",IF(Sync!$AA37="","",Sync!$AA37))</f>
        <v/>
      </c>
      <c r="C37">
        <f>IF($A37="","",IF(Sync!$AB37="","",Sync!$AB37))</f>
        <v/>
      </c>
      <c r="D37">
        <f>IF($A37="","",IF(Sync!$AC37="","",Sync!$AC37))</f>
        <v/>
      </c>
      <c r="E37">
        <f>IF($A37="","",IF(Sync!$AD37="","",Sync!$AD37))</f>
        <v/>
      </c>
      <c r="F37">
        <f>IF($A37="","",IF(Sync!$AE37="",0,Sync!$AE37))</f>
        <v/>
      </c>
      <c r="G37">
        <f>IF($A37="","",IF(Sync!$AF37="",0,Sync!$AF37))</f>
        <v/>
      </c>
      <c r="H37">
        <f>IF(OR($A37="",ROUND($F37+$G37,2)=0),"",$F37+$G37)</f>
        <v/>
      </c>
      <c r="I37">
        <f>IF($H37="","",IF(ROUND($F37,2)&gt;0,$A37,IF($D37="شخصی قاسم","شخصی قاسم",IF($D37="هزینه","هزینه: "&amp;IF($E37="","متفرقه",$E37),IF($C37="پاس چک","چک پرداختی",IF(OR($B37="",COUNTIF(AcctCodesA,$B37)=0),"متفرقه",$B37))))))</f>
        <v/>
      </c>
      <c r="J37">
        <f>IF($H37="","",IF(ROUND($F37,2)&gt;0,IF($D37="شخصی قاسم","شخصی قاسم",IF($D37="هزینه","هزینه: "&amp;IF($E37="","متفرقه",$E37),IF(OR($B37="",COUNTIF(AcctCodesA,$B37)=0),"متفرقه",$B37))),$A37))</f>
        <v/>
      </c>
      <c r="K37">
        <f>IF($A37="","",IF(AND($B37&lt;&gt;"",COUNTIF(AcctCodesA,$B37)=0),"کد طرف در INFO تعریف نشده",IF(AND($D37="هزینه",$E37=""),"هزینه بدون زیرگروه",IF(AND($C37="پاس چک",OR(Sync!$AJ37="",COUNTIF(IssueNosA,Sync!$AJ37)=0)),"شماره چک پاس‌شده معتبر نیست",""))))</f>
        <v/>
      </c>
      <c r="M37">
        <f>IF(Sync!$AH37="","",Sync!$AH37)</f>
        <v/>
      </c>
      <c r="N37">
        <f>IF($M37="","",IF(OR(Sync!$AI37="",COUNTIF(AcctCodesA,Sync!$AI37)=0),"متفرقه",Sync!$AI37))</f>
        <v/>
      </c>
      <c r="O37">
        <f>IF($M37="","",$N37)</f>
        <v/>
      </c>
      <c r="P37">
        <f>IF($M37="","","چک پرداختی")</f>
        <v/>
      </c>
      <c r="R37">
        <f>IF($M37="","",IF(COUNTIF(AcctCodesA,Sync!$AI37)=0,"ذی‌نفع چک تعریف‌نشده",""))</f>
        <v/>
      </c>
      <c r="S37">
        <f>IF($R37="","",Sync!$AG37&amp;"|"&amp;"5"&amp;RIGHT("00000"&amp;32,5))</f>
        <v/>
      </c>
      <c r="T37">
        <f>IF($S37="",0,COUNTIFS($S$6:$S$505,"&lt;"&amp;$S37)-COUNTIFS($S$6:$S$505,"&lt;"&amp;$S37,$R$6:$R$505,"")+1)</f>
        <v/>
      </c>
      <c r="V37">
        <f>IF($K37="","",IF(ISNUMBER(Sync!$AK37),Sync!$AK37,LEFT(Sync!$AK37,4)&amp;MID(Sync!$AK37,6,2)&amp;RIGHT(Sync!$AK37,2))&amp;"|"&amp;"4"&amp;RIGHT("00000"&amp;32,5))</f>
        <v/>
      </c>
      <c r="W37">
        <f>IF($V37="",0,COUNTIFS($V$6:$V$2005,"&lt;"&amp;$V37)-COUNTIFS($V$6:$V$2005,"&lt;"&amp;$V37,$K$6:$K$2005,"")+1)</f>
        <v/>
      </c>
      <c r="X37">
        <f>IF(Sync!$AX37="","",IF(OR(N(Sync!$AY37)=0,N(Sync!$AZ37)=0),"",ROUND(N(Sync!$AY37)*N(Sync!$AZ37),0)))</f>
        <v/>
      </c>
      <c r="Y37">
        <f>IF($X37="","",IF(OR(Sync!$AX37="",COUNTIF(AcctCodesA,Sync!$AX37)=0),"متفرقه",Sync!$AX37))</f>
        <v/>
      </c>
      <c r="Z37">
        <f>IF($X37="","","سبد و ظروف")</f>
        <v/>
      </c>
      <c r="AA37">
        <f>IF($X37="","",$Y37)</f>
        <v/>
      </c>
    </row>
    <row r="38">
      <c r="A38">
        <f>IF(Sync!$Z38="","",LEFT(UPPER(TRIM(Sync!$Z38)),6))</f>
        <v/>
      </c>
      <c r="B38">
        <f>IF($A38="","",IF(Sync!$AA38="","",Sync!$AA38))</f>
        <v/>
      </c>
      <c r="C38">
        <f>IF($A38="","",IF(Sync!$AB38="","",Sync!$AB38))</f>
        <v/>
      </c>
      <c r="D38">
        <f>IF($A38="","",IF(Sync!$AC38="","",Sync!$AC38))</f>
        <v/>
      </c>
      <c r="E38">
        <f>IF($A38="","",IF(Sync!$AD38="","",Sync!$AD38))</f>
        <v/>
      </c>
      <c r="F38">
        <f>IF($A38="","",IF(Sync!$AE38="",0,Sync!$AE38))</f>
        <v/>
      </c>
      <c r="G38">
        <f>IF($A38="","",IF(Sync!$AF38="",0,Sync!$AF38))</f>
        <v/>
      </c>
      <c r="H38">
        <f>IF(OR($A38="",ROUND($F38+$G38,2)=0),"",$F38+$G38)</f>
        <v/>
      </c>
      <c r="I38">
        <f>IF($H38="","",IF(ROUND($F38,2)&gt;0,$A38,IF($D38="شخصی قاسم","شخصی قاسم",IF($D38="هزینه","هزینه: "&amp;IF($E38="","متفرقه",$E38),IF($C38="پاس چک","چک پرداختی",IF(OR($B38="",COUNTIF(AcctCodesA,$B38)=0),"متفرقه",$B38))))))</f>
        <v/>
      </c>
      <c r="J38">
        <f>IF($H38="","",IF(ROUND($F38,2)&gt;0,IF($D38="شخصی قاسم","شخصی قاسم",IF($D38="هزینه","هزینه: "&amp;IF($E38="","متفرقه",$E38),IF(OR($B38="",COUNTIF(AcctCodesA,$B38)=0),"متفرقه",$B38))),$A38))</f>
        <v/>
      </c>
      <c r="K38">
        <f>IF($A38="","",IF(AND($B38&lt;&gt;"",COUNTIF(AcctCodesA,$B38)=0),"کد طرف در INFO تعریف نشده",IF(AND($D38="هزینه",$E38=""),"هزینه بدون زیرگروه",IF(AND($C38="پاس چک",OR(Sync!$AJ38="",COUNTIF(IssueNosA,Sync!$AJ38)=0)),"شماره چک پاس‌شده معتبر نیست",""))))</f>
        <v/>
      </c>
      <c r="M38">
        <f>IF(Sync!$AH38="","",Sync!$AH38)</f>
        <v/>
      </c>
      <c r="N38">
        <f>IF($M38="","",IF(OR(Sync!$AI38="",COUNTIF(AcctCodesA,Sync!$AI38)=0),"متفرقه",Sync!$AI38))</f>
        <v/>
      </c>
      <c r="O38">
        <f>IF($M38="","",$N38)</f>
        <v/>
      </c>
      <c r="P38">
        <f>IF($M38="","","چک پرداختی")</f>
        <v/>
      </c>
      <c r="R38">
        <f>IF($M38="","",IF(COUNTIF(AcctCodesA,Sync!$AI38)=0,"ذی‌نفع چک تعریف‌نشده",""))</f>
        <v/>
      </c>
      <c r="S38">
        <f>IF($R38="","",Sync!$AG38&amp;"|"&amp;"5"&amp;RIGHT("00000"&amp;33,5))</f>
        <v/>
      </c>
      <c r="T38">
        <f>IF($S38="",0,COUNTIFS($S$6:$S$505,"&lt;"&amp;$S38)-COUNTIFS($S$6:$S$505,"&lt;"&amp;$S38,$R$6:$R$505,"")+1)</f>
        <v/>
      </c>
      <c r="V38">
        <f>IF($K38="","",IF(ISNUMBER(Sync!$AK38),Sync!$AK38,LEFT(Sync!$AK38,4)&amp;MID(Sync!$AK38,6,2)&amp;RIGHT(Sync!$AK38,2))&amp;"|"&amp;"4"&amp;RIGHT("00000"&amp;33,5))</f>
        <v/>
      </c>
      <c r="W38">
        <f>IF($V38="",0,COUNTIFS($V$6:$V$2005,"&lt;"&amp;$V38)-COUNTIFS($V$6:$V$2005,"&lt;"&amp;$V38,$K$6:$K$2005,"")+1)</f>
        <v/>
      </c>
      <c r="X38">
        <f>IF(Sync!$AX38="","",IF(OR(N(Sync!$AY38)=0,N(Sync!$AZ38)=0),"",ROUND(N(Sync!$AY38)*N(Sync!$AZ38),0)))</f>
        <v/>
      </c>
      <c r="Y38">
        <f>IF($X38="","",IF(OR(Sync!$AX38="",COUNTIF(AcctCodesA,Sync!$AX38)=0),"متفرقه",Sync!$AX38))</f>
        <v/>
      </c>
      <c r="Z38">
        <f>IF($X38="","","سبد و ظروف")</f>
        <v/>
      </c>
      <c r="AA38">
        <f>IF($X38="","",$Y38)</f>
        <v/>
      </c>
    </row>
    <row r="39">
      <c r="A39">
        <f>IF(Sync!$Z39="","",LEFT(UPPER(TRIM(Sync!$Z39)),6))</f>
        <v/>
      </c>
      <c r="B39">
        <f>IF($A39="","",IF(Sync!$AA39="","",Sync!$AA39))</f>
        <v/>
      </c>
      <c r="C39">
        <f>IF($A39="","",IF(Sync!$AB39="","",Sync!$AB39))</f>
        <v/>
      </c>
      <c r="D39">
        <f>IF($A39="","",IF(Sync!$AC39="","",Sync!$AC39))</f>
        <v/>
      </c>
      <c r="E39">
        <f>IF($A39="","",IF(Sync!$AD39="","",Sync!$AD39))</f>
        <v/>
      </c>
      <c r="F39">
        <f>IF($A39="","",IF(Sync!$AE39="",0,Sync!$AE39))</f>
        <v/>
      </c>
      <c r="G39">
        <f>IF($A39="","",IF(Sync!$AF39="",0,Sync!$AF39))</f>
        <v/>
      </c>
      <c r="H39">
        <f>IF(OR($A39="",ROUND($F39+$G39,2)=0),"",$F39+$G39)</f>
        <v/>
      </c>
      <c r="I39">
        <f>IF($H39="","",IF(ROUND($F39,2)&gt;0,$A39,IF($D39="شخصی قاسم","شخصی قاسم",IF($D39="هزینه","هزینه: "&amp;IF($E39="","متفرقه",$E39),IF($C39="پاس چک","چک پرداختی",IF(OR($B39="",COUNTIF(AcctCodesA,$B39)=0),"متفرقه",$B39))))))</f>
        <v/>
      </c>
      <c r="J39">
        <f>IF($H39="","",IF(ROUND($F39,2)&gt;0,IF($D39="شخصی قاسم","شخصی قاسم",IF($D39="هزینه","هزینه: "&amp;IF($E39="","متفرقه",$E39),IF(OR($B39="",COUNTIF(AcctCodesA,$B39)=0),"متفرقه",$B39))),$A39))</f>
        <v/>
      </c>
      <c r="K39">
        <f>IF($A39="","",IF(AND($B39&lt;&gt;"",COUNTIF(AcctCodesA,$B39)=0),"کد طرف در INFO تعریف نشده",IF(AND($D39="هزینه",$E39=""),"هزینه بدون زیرگروه",IF(AND($C39="پاس چک",OR(Sync!$AJ39="",COUNTIF(IssueNosA,Sync!$AJ39)=0)),"شماره چک پاس‌شده معتبر نیست",""))))</f>
        <v/>
      </c>
      <c r="M39">
        <f>IF(Sync!$AH39="","",Sync!$AH39)</f>
        <v/>
      </c>
      <c r="N39">
        <f>IF($M39="","",IF(OR(Sync!$AI39="",COUNTIF(AcctCodesA,Sync!$AI39)=0),"متفرقه",Sync!$AI39))</f>
        <v/>
      </c>
      <c r="O39">
        <f>IF($M39="","",$N39)</f>
        <v/>
      </c>
      <c r="P39">
        <f>IF($M39="","","چک پرداختی")</f>
        <v/>
      </c>
      <c r="R39">
        <f>IF($M39="","",IF(COUNTIF(AcctCodesA,Sync!$AI39)=0,"ذی‌نفع چک تعریف‌نشده",""))</f>
        <v/>
      </c>
      <c r="S39">
        <f>IF($R39="","",Sync!$AG39&amp;"|"&amp;"5"&amp;RIGHT("00000"&amp;34,5))</f>
        <v/>
      </c>
      <c r="T39">
        <f>IF($S39="",0,COUNTIFS($S$6:$S$505,"&lt;"&amp;$S39)-COUNTIFS($S$6:$S$505,"&lt;"&amp;$S39,$R$6:$R$505,"")+1)</f>
        <v/>
      </c>
      <c r="V39">
        <f>IF($K39="","",IF(ISNUMBER(Sync!$AK39),Sync!$AK39,LEFT(Sync!$AK39,4)&amp;MID(Sync!$AK39,6,2)&amp;RIGHT(Sync!$AK39,2))&amp;"|"&amp;"4"&amp;RIGHT("00000"&amp;34,5))</f>
        <v/>
      </c>
      <c r="W39">
        <f>IF($V39="",0,COUNTIFS($V$6:$V$2005,"&lt;"&amp;$V39)-COUNTIFS($V$6:$V$2005,"&lt;"&amp;$V39,$K$6:$K$2005,"")+1)</f>
        <v/>
      </c>
      <c r="X39">
        <f>IF(Sync!$AX39="","",IF(OR(N(Sync!$AY39)=0,N(Sync!$AZ39)=0),"",ROUND(N(Sync!$AY39)*N(Sync!$AZ39),0)))</f>
        <v/>
      </c>
      <c r="Y39">
        <f>IF($X39="","",IF(OR(Sync!$AX39="",COUNTIF(AcctCodesA,Sync!$AX39)=0),"متفرقه",Sync!$AX39))</f>
        <v/>
      </c>
      <c r="Z39">
        <f>IF($X39="","","سبد و ظروف")</f>
        <v/>
      </c>
      <c r="AA39">
        <f>IF($X39="","",$Y39)</f>
        <v/>
      </c>
    </row>
    <row r="40">
      <c r="A40">
        <f>IF(Sync!$Z40="","",LEFT(UPPER(TRIM(Sync!$Z40)),6))</f>
        <v/>
      </c>
      <c r="B40">
        <f>IF($A40="","",IF(Sync!$AA40="","",Sync!$AA40))</f>
        <v/>
      </c>
      <c r="C40">
        <f>IF($A40="","",IF(Sync!$AB40="","",Sync!$AB40))</f>
        <v/>
      </c>
      <c r="D40">
        <f>IF($A40="","",IF(Sync!$AC40="","",Sync!$AC40))</f>
        <v/>
      </c>
      <c r="E40">
        <f>IF($A40="","",IF(Sync!$AD40="","",Sync!$AD40))</f>
        <v/>
      </c>
      <c r="F40">
        <f>IF($A40="","",IF(Sync!$AE40="",0,Sync!$AE40))</f>
        <v/>
      </c>
      <c r="G40">
        <f>IF($A40="","",IF(Sync!$AF40="",0,Sync!$AF40))</f>
        <v/>
      </c>
      <c r="H40">
        <f>IF(OR($A40="",ROUND($F40+$G40,2)=0),"",$F40+$G40)</f>
        <v/>
      </c>
      <c r="I40">
        <f>IF($H40="","",IF(ROUND($F40,2)&gt;0,$A40,IF($D40="شخصی قاسم","شخصی قاسم",IF($D40="هزینه","هزینه: "&amp;IF($E40="","متفرقه",$E40),IF($C40="پاس چک","چک پرداختی",IF(OR($B40="",COUNTIF(AcctCodesA,$B40)=0),"متفرقه",$B40))))))</f>
        <v/>
      </c>
      <c r="J40">
        <f>IF($H40="","",IF(ROUND($F40,2)&gt;0,IF($D40="شخصی قاسم","شخصی قاسم",IF($D40="هزینه","هزینه: "&amp;IF($E40="","متفرقه",$E40),IF(OR($B40="",COUNTIF(AcctCodesA,$B40)=0),"متفرقه",$B40))),$A40))</f>
        <v/>
      </c>
      <c r="K40">
        <f>IF($A40="","",IF(AND($B40&lt;&gt;"",COUNTIF(AcctCodesA,$B40)=0),"کد طرف در INFO تعریف نشده",IF(AND($D40="هزینه",$E40=""),"هزینه بدون زیرگروه",IF(AND($C40="پاس چک",OR(Sync!$AJ40="",COUNTIF(IssueNosA,Sync!$AJ40)=0)),"شماره چک پاس‌شده معتبر نیست",""))))</f>
        <v/>
      </c>
      <c r="M40">
        <f>IF(Sync!$AH40="","",Sync!$AH40)</f>
        <v/>
      </c>
      <c r="N40">
        <f>IF($M40="","",IF(OR(Sync!$AI40="",COUNTIF(AcctCodesA,Sync!$AI40)=0),"متفرقه",Sync!$AI40))</f>
        <v/>
      </c>
      <c r="O40">
        <f>IF($M40="","",$N40)</f>
        <v/>
      </c>
      <c r="P40">
        <f>IF($M40="","","چک پرداختی")</f>
        <v/>
      </c>
      <c r="R40">
        <f>IF($M40="","",IF(COUNTIF(AcctCodesA,Sync!$AI40)=0,"ذی‌نفع چک تعریف‌نشده",""))</f>
        <v/>
      </c>
      <c r="S40">
        <f>IF($R40="","",Sync!$AG40&amp;"|"&amp;"5"&amp;RIGHT("00000"&amp;35,5))</f>
        <v/>
      </c>
      <c r="T40">
        <f>IF($S40="",0,COUNTIFS($S$6:$S$505,"&lt;"&amp;$S40)-COUNTIFS($S$6:$S$505,"&lt;"&amp;$S40,$R$6:$R$505,"")+1)</f>
        <v/>
      </c>
      <c r="V40">
        <f>IF($K40="","",IF(ISNUMBER(Sync!$AK40),Sync!$AK40,LEFT(Sync!$AK40,4)&amp;MID(Sync!$AK40,6,2)&amp;RIGHT(Sync!$AK40,2))&amp;"|"&amp;"4"&amp;RIGHT("00000"&amp;35,5))</f>
        <v/>
      </c>
      <c r="W40">
        <f>IF($V40="",0,COUNTIFS($V$6:$V$2005,"&lt;"&amp;$V40)-COUNTIFS($V$6:$V$2005,"&lt;"&amp;$V40,$K$6:$K$2005,"")+1)</f>
        <v/>
      </c>
      <c r="X40">
        <f>IF(Sync!$AX40="","",IF(OR(N(Sync!$AY40)=0,N(Sync!$AZ40)=0),"",ROUND(N(Sync!$AY40)*N(Sync!$AZ40),0)))</f>
        <v/>
      </c>
      <c r="Y40">
        <f>IF($X40="","",IF(OR(Sync!$AX40="",COUNTIF(AcctCodesA,Sync!$AX40)=0),"متفرقه",Sync!$AX40))</f>
        <v/>
      </c>
      <c r="Z40">
        <f>IF($X40="","","سبد و ظروف")</f>
        <v/>
      </c>
      <c r="AA40">
        <f>IF($X40="","",$Y40)</f>
        <v/>
      </c>
    </row>
    <row r="41">
      <c r="A41">
        <f>IF(Sync!$Z41="","",LEFT(UPPER(TRIM(Sync!$Z41)),6))</f>
        <v/>
      </c>
      <c r="B41">
        <f>IF($A41="","",IF(Sync!$AA41="","",Sync!$AA41))</f>
        <v/>
      </c>
      <c r="C41">
        <f>IF($A41="","",IF(Sync!$AB41="","",Sync!$AB41))</f>
        <v/>
      </c>
      <c r="D41">
        <f>IF($A41="","",IF(Sync!$AC41="","",Sync!$AC41))</f>
        <v/>
      </c>
      <c r="E41">
        <f>IF($A41="","",IF(Sync!$AD41="","",Sync!$AD41))</f>
        <v/>
      </c>
      <c r="F41">
        <f>IF($A41="","",IF(Sync!$AE41="",0,Sync!$AE41))</f>
        <v/>
      </c>
      <c r="G41">
        <f>IF($A41="","",IF(Sync!$AF41="",0,Sync!$AF41))</f>
        <v/>
      </c>
      <c r="H41">
        <f>IF(OR($A41="",ROUND($F41+$G41,2)=0),"",$F41+$G41)</f>
        <v/>
      </c>
      <c r="I41">
        <f>IF($H41="","",IF(ROUND($F41,2)&gt;0,$A41,IF($D41="شخصی قاسم","شخصی قاسم",IF($D41="هزینه","هزینه: "&amp;IF($E41="","متفرقه",$E41),IF($C41="پاس چک","چک پرداختی",IF(OR($B41="",COUNTIF(AcctCodesA,$B41)=0),"متفرقه",$B41))))))</f>
        <v/>
      </c>
      <c r="J41">
        <f>IF($H41="","",IF(ROUND($F41,2)&gt;0,IF($D41="شخصی قاسم","شخصی قاسم",IF($D41="هزینه","هزینه: "&amp;IF($E41="","متفرقه",$E41),IF(OR($B41="",COUNTIF(AcctCodesA,$B41)=0),"متفرقه",$B41))),$A41))</f>
        <v/>
      </c>
      <c r="K41">
        <f>IF($A41="","",IF(AND($B41&lt;&gt;"",COUNTIF(AcctCodesA,$B41)=0),"کد طرف در INFO تعریف نشده",IF(AND($D41="هزینه",$E41=""),"هزینه بدون زیرگروه",IF(AND($C41="پاس چک",OR(Sync!$AJ41="",COUNTIF(IssueNosA,Sync!$AJ41)=0)),"شماره چک پاس‌شده معتبر نیست",""))))</f>
        <v/>
      </c>
      <c r="M41">
        <f>IF(Sync!$AH41="","",Sync!$AH41)</f>
        <v/>
      </c>
      <c r="N41">
        <f>IF($M41="","",IF(OR(Sync!$AI41="",COUNTIF(AcctCodesA,Sync!$AI41)=0),"متفرقه",Sync!$AI41))</f>
        <v/>
      </c>
      <c r="O41">
        <f>IF($M41="","",$N41)</f>
        <v/>
      </c>
      <c r="P41">
        <f>IF($M41="","","چک پرداختی")</f>
        <v/>
      </c>
      <c r="R41">
        <f>IF($M41="","",IF(COUNTIF(AcctCodesA,Sync!$AI41)=0,"ذی‌نفع چک تعریف‌نشده",""))</f>
        <v/>
      </c>
      <c r="S41">
        <f>IF($R41="","",Sync!$AG41&amp;"|"&amp;"5"&amp;RIGHT("00000"&amp;36,5))</f>
        <v/>
      </c>
      <c r="T41">
        <f>IF($S41="",0,COUNTIFS($S$6:$S$505,"&lt;"&amp;$S41)-COUNTIFS($S$6:$S$505,"&lt;"&amp;$S41,$R$6:$R$505,"")+1)</f>
        <v/>
      </c>
      <c r="V41">
        <f>IF($K41="","",IF(ISNUMBER(Sync!$AK41),Sync!$AK41,LEFT(Sync!$AK41,4)&amp;MID(Sync!$AK41,6,2)&amp;RIGHT(Sync!$AK41,2))&amp;"|"&amp;"4"&amp;RIGHT("00000"&amp;36,5))</f>
        <v/>
      </c>
      <c r="W41">
        <f>IF($V41="",0,COUNTIFS($V$6:$V$2005,"&lt;"&amp;$V41)-COUNTIFS($V$6:$V$2005,"&lt;"&amp;$V41,$K$6:$K$2005,"")+1)</f>
        <v/>
      </c>
      <c r="X41">
        <f>IF(Sync!$AX41="","",IF(OR(N(Sync!$AY41)=0,N(Sync!$AZ41)=0),"",ROUND(N(Sync!$AY41)*N(Sync!$AZ41),0)))</f>
        <v/>
      </c>
      <c r="Y41">
        <f>IF($X41="","",IF(OR(Sync!$AX41="",COUNTIF(AcctCodesA,Sync!$AX41)=0),"متفرقه",Sync!$AX41))</f>
        <v/>
      </c>
      <c r="Z41">
        <f>IF($X41="","","سبد و ظروف")</f>
        <v/>
      </c>
      <c r="AA41">
        <f>IF($X41="","",$Y41)</f>
        <v/>
      </c>
    </row>
    <row r="42">
      <c r="A42">
        <f>IF(Sync!$Z42="","",LEFT(UPPER(TRIM(Sync!$Z42)),6))</f>
        <v/>
      </c>
      <c r="B42">
        <f>IF($A42="","",IF(Sync!$AA42="","",Sync!$AA42))</f>
        <v/>
      </c>
      <c r="C42">
        <f>IF($A42="","",IF(Sync!$AB42="","",Sync!$AB42))</f>
        <v/>
      </c>
      <c r="D42">
        <f>IF($A42="","",IF(Sync!$AC42="","",Sync!$AC42))</f>
        <v/>
      </c>
      <c r="E42">
        <f>IF($A42="","",IF(Sync!$AD42="","",Sync!$AD42))</f>
        <v/>
      </c>
      <c r="F42">
        <f>IF($A42="","",IF(Sync!$AE42="",0,Sync!$AE42))</f>
        <v/>
      </c>
      <c r="G42">
        <f>IF($A42="","",IF(Sync!$AF42="",0,Sync!$AF42))</f>
        <v/>
      </c>
      <c r="H42">
        <f>IF(OR($A42="",ROUND($F42+$G42,2)=0),"",$F42+$G42)</f>
        <v/>
      </c>
      <c r="I42">
        <f>IF($H42="","",IF(ROUND($F42,2)&gt;0,$A42,IF($D42="شخصی قاسم","شخصی قاسم",IF($D42="هزینه","هزینه: "&amp;IF($E42="","متفرقه",$E42),IF($C42="پاس چک","چک پرداختی",IF(OR($B42="",COUNTIF(AcctCodesA,$B42)=0),"متفرقه",$B42))))))</f>
        <v/>
      </c>
      <c r="J42">
        <f>IF($H42="","",IF(ROUND($F42,2)&gt;0,IF($D42="شخصی قاسم","شخصی قاسم",IF($D42="هزینه","هزینه: "&amp;IF($E42="","متفرقه",$E42),IF(OR($B42="",COUNTIF(AcctCodesA,$B42)=0),"متفرقه",$B42))),$A42))</f>
        <v/>
      </c>
      <c r="K42">
        <f>IF($A42="","",IF(AND($B42&lt;&gt;"",COUNTIF(AcctCodesA,$B42)=0),"کد طرف در INFO تعریف نشده",IF(AND($D42="هزینه",$E42=""),"هزینه بدون زیرگروه",IF(AND($C42="پاس چک",OR(Sync!$AJ42="",COUNTIF(IssueNosA,Sync!$AJ42)=0)),"شماره چک پاس‌شده معتبر نیست",""))))</f>
        <v/>
      </c>
      <c r="M42">
        <f>IF(Sync!$AH42="","",Sync!$AH42)</f>
        <v/>
      </c>
      <c r="N42">
        <f>IF($M42="","",IF(OR(Sync!$AI42="",COUNTIF(AcctCodesA,Sync!$AI42)=0),"متفرقه",Sync!$AI42))</f>
        <v/>
      </c>
      <c r="O42">
        <f>IF($M42="","",$N42)</f>
        <v/>
      </c>
      <c r="P42">
        <f>IF($M42="","","چک پرداختی")</f>
        <v/>
      </c>
      <c r="R42">
        <f>IF($M42="","",IF(COUNTIF(AcctCodesA,Sync!$AI42)=0,"ذی‌نفع چک تعریف‌نشده",""))</f>
        <v/>
      </c>
      <c r="S42">
        <f>IF($R42="","",Sync!$AG42&amp;"|"&amp;"5"&amp;RIGHT("00000"&amp;37,5))</f>
        <v/>
      </c>
      <c r="T42">
        <f>IF($S42="",0,COUNTIFS($S$6:$S$505,"&lt;"&amp;$S42)-COUNTIFS($S$6:$S$505,"&lt;"&amp;$S42,$R$6:$R$505,"")+1)</f>
        <v/>
      </c>
      <c r="V42">
        <f>IF($K42="","",IF(ISNUMBER(Sync!$AK42),Sync!$AK42,LEFT(Sync!$AK42,4)&amp;MID(Sync!$AK42,6,2)&amp;RIGHT(Sync!$AK42,2))&amp;"|"&amp;"4"&amp;RIGHT("00000"&amp;37,5))</f>
        <v/>
      </c>
      <c r="W42">
        <f>IF($V42="",0,COUNTIFS($V$6:$V$2005,"&lt;"&amp;$V42)-COUNTIFS($V$6:$V$2005,"&lt;"&amp;$V42,$K$6:$K$2005,"")+1)</f>
        <v/>
      </c>
      <c r="X42">
        <f>IF(Sync!$AX42="","",IF(OR(N(Sync!$AY42)=0,N(Sync!$AZ42)=0),"",ROUND(N(Sync!$AY42)*N(Sync!$AZ42),0)))</f>
        <v/>
      </c>
      <c r="Y42">
        <f>IF($X42="","",IF(OR(Sync!$AX42="",COUNTIF(AcctCodesA,Sync!$AX42)=0),"متفرقه",Sync!$AX42))</f>
        <v/>
      </c>
      <c r="Z42">
        <f>IF($X42="","","سبد و ظروف")</f>
        <v/>
      </c>
      <c r="AA42">
        <f>IF($X42="","",$Y42)</f>
        <v/>
      </c>
    </row>
    <row r="43">
      <c r="A43">
        <f>IF(Sync!$Z43="","",LEFT(UPPER(TRIM(Sync!$Z43)),6))</f>
        <v/>
      </c>
      <c r="B43">
        <f>IF($A43="","",IF(Sync!$AA43="","",Sync!$AA43))</f>
        <v/>
      </c>
      <c r="C43">
        <f>IF($A43="","",IF(Sync!$AB43="","",Sync!$AB43))</f>
        <v/>
      </c>
      <c r="D43">
        <f>IF($A43="","",IF(Sync!$AC43="","",Sync!$AC43))</f>
        <v/>
      </c>
      <c r="E43">
        <f>IF($A43="","",IF(Sync!$AD43="","",Sync!$AD43))</f>
        <v/>
      </c>
      <c r="F43">
        <f>IF($A43="","",IF(Sync!$AE43="",0,Sync!$AE43))</f>
        <v/>
      </c>
      <c r="G43">
        <f>IF($A43="","",IF(Sync!$AF43="",0,Sync!$AF43))</f>
        <v/>
      </c>
      <c r="H43">
        <f>IF(OR($A43="",ROUND($F43+$G43,2)=0),"",$F43+$G43)</f>
        <v/>
      </c>
      <c r="I43">
        <f>IF($H43="","",IF(ROUND($F43,2)&gt;0,$A43,IF($D43="شخصی قاسم","شخصی قاسم",IF($D43="هزینه","هزینه: "&amp;IF($E43="","متفرقه",$E43),IF($C43="پاس چک","چک پرداختی",IF(OR($B43="",COUNTIF(AcctCodesA,$B43)=0),"متفرقه",$B43))))))</f>
        <v/>
      </c>
      <c r="J43">
        <f>IF($H43="","",IF(ROUND($F43,2)&gt;0,IF($D43="شخصی قاسم","شخصی قاسم",IF($D43="هزینه","هزینه: "&amp;IF($E43="","متفرقه",$E43),IF(OR($B43="",COUNTIF(AcctCodesA,$B43)=0),"متفرقه",$B43))),$A43))</f>
        <v/>
      </c>
      <c r="K43">
        <f>IF($A43="","",IF(AND($B43&lt;&gt;"",COUNTIF(AcctCodesA,$B43)=0),"کد طرف در INFO تعریف نشده",IF(AND($D43="هزینه",$E43=""),"هزینه بدون زیرگروه",IF(AND($C43="پاس چک",OR(Sync!$AJ43="",COUNTIF(IssueNosA,Sync!$AJ43)=0)),"شماره چک پاس‌شده معتبر نیست",""))))</f>
        <v/>
      </c>
      <c r="M43">
        <f>IF(Sync!$AH43="","",Sync!$AH43)</f>
        <v/>
      </c>
      <c r="N43">
        <f>IF($M43="","",IF(OR(Sync!$AI43="",COUNTIF(AcctCodesA,Sync!$AI43)=0),"متفرقه",Sync!$AI43))</f>
        <v/>
      </c>
      <c r="O43">
        <f>IF($M43="","",$N43)</f>
        <v/>
      </c>
      <c r="P43">
        <f>IF($M43="","","چک پرداختی")</f>
        <v/>
      </c>
      <c r="R43">
        <f>IF($M43="","",IF(COUNTIF(AcctCodesA,Sync!$AI43)=0,"ذی‌نفع چک تعریف‌نشده",""))</f>
        <v/>
      </c>
      <c r="S43">
        <f>IF($R43="","",Sync!$AG43&amp;"|"&amp;"5"&amp;RIGHT("00000"&amp;38,5))</f>
        <v/>
      </c>
      <c r="T43">
        <f>IF($S43="",0,COUNTIFS($S$6:$S$505,"&lt;"&amp;$S43)-COUNTIFS($S$6:$S$505,"&lt;"&amp;$S43,$R$6:$R$505,"")+1)</f>
        <v/>
      </c>
      <c r="V43">
        <f>IF($K43="","",IF(ISNUMBER(Sync!$AK43),Sync!$AK43,LEFT(Sync!$AK43,4)&amp;MID(Sync!$AK43,6,2)&amp;RIGHT(Sync!$AK43,2))&amp;"|"&amp;"4"&amp;RIGHT("00000"&amp;38,5))</f>
        <v/>
      </c>
      <c r="W43">
        <f>IF($V43="",0,COUNTIFS($V$6:$V$2005,"&lt;"&amp;$V43)-COUNTIFS($V$6:$V$2005,"&lt;"&amp;$V43,$K$6:$K$2005,"")+1)</f>
        <v/>
      </c>
      <c r="X43">
        <f>IF(Sync!$AX43="","",IF(OR(N(Sync!$AY43)=0,N(Sync!$AZ43)=0),"",ROUND(N(Sync!$AY43)*N(Sync!$AZ43),0)))</f>
        <v/>
      </c>
      <c r="Y43">
        <f>IF($X43="","",IF(OR(Sync!$AX43="",COUNTIF(AcctCodesA,Sync!$AX43)=0),"متفرقه",Sync!$AX43))</f>
        <v/>
      </c>
      <c r="Z43">
        <f>IF($X43="","","سبد و ظروف")</f>
        <v/>
      </c>
      <c r="AA43">
        <f>IF($X43="","",$Y43)</f>
        <v/>
      </c>
    </row>
    <row r="44">
      <c r="A44">
        <f>IF(Sync!$Z44="","",LEFT(UPPER(TRIM(Sync!$Z44)),6))</f>
        <v/>
      </c>
      <c r="B44">
        <f>IF($A44="","",IF(Sync!$AA44="","",Sync!$AA44))</f>
        <v/>
      </c>
      <c r="C44">
        <f>IF($A44="","",IF(Sync!$AB44="","",Sync!$AB44))</f>
        <v/>
      </c>
      <c r="D44">
        <f>IF($A44="","",IF(Sync!$AC44="","",Sync!$AC44))</f>
        <v/>
      </c>
      <c r="E44">
        <f>IF($A44="","",IF(Sync!$AD44="","",Sync!$AD44))</f>
        <v/>
      </c>
      <c r="F44">
        <f>IF($A44="","",IF(Sync!$AE44="",0,Sync!$AE44))</f>
        <v/>
      </c>
      <c r="G44">
        <f>IF($A44="","",IF(Sync!$AF44="",0,Sync!$AF44))</f>
        <v/>
      </c>
      <c r="H44">
        <f>IF(OR($A44="",ROUND($F44+$G44,2)=0),"",$F44+$G44)</f>
        <v/>
      </c>
      <c r="I44">
        <f>IF($H44="","",IF(ROUND($F44,2)&gt;0,$A44,IF($D44="شخصی قاسم","شخصی قاسم",IF($D44="هزینه","هزینه: "&amp;IF($E44="","متفرقه",$E44),IF($C44="پاس چک","چک پرداختی",IF(OR($B44="",COUNTIF(AcctCodesA,$B44)=0),"متفرقه",$B44))))))</f>
        <v/>
      </c>
      <c r="J44">
        <f>IF($H44="","",IF(ROUND($F44,2)&gt;0,IF($D44="شخصی قاسم","شخصی قاسم",IF($D44="هزینه","هزینه: "&amp;IF($E44="","متفرقه",$E44),IF(OR($B44="",COUNTIF(AcctCodesA,$B44)=0),"متفرقه",$B44))),$A44))</f>
        <v/>
      </c>
      <c r="K44">
        <f>IF($A44="","",IF(AND($B44&lt;&gt;"",COUNTIF(AcctCodesA,$B44)=0),"کد طرف در INFO تعریف نشده",IF(AND($D44="هزینه",$E44=""),"هزینه بدون زیرگروه",IF(AND($C44="پاس چک",OR(Sync!$AJ44="",COUNTIF(IssueNosA,Sync!$AJ44)=0)),"شماره چک پاس‌شده معتبر نیست",""))))</f>
        <v/>
      </c>
      <c r="M44">
        <f>IF(Sync!$AH44="","",Sync!$AH44)</f>
        <v/>
      </c>
      <c r="N44">
        <f>IF($M44="","",IF(OR(Sync!$AI44="",COUNTIF(AcctCodesA,Sync!$AI44)=0),"متفرقه",Sync!$AI44))</f>
        <v/>
      </c>
      <c r="O44">
        <f>IF($M44="","",$N44)</f>
        <v/>
      </c>
      <c r="P44">
        <f>IF($M44="","","چک پرداختی")</f>
        <v/>
      </c>
      <c r="R44">
        <f>IF($M44="","",IF(COUNTIF(AcctCodesA,Sync!$AI44)=0,"ذی‌نفع چک تعریف‌نشده",""))</f>
        <v/>
      </c>
      <c r="S44">
        <f>IF($R44="","",Sync!$AG44&amp;"|"&amp;"5"&amp;RIGHT("00000"&amp;39,5))</f>
        <v/>
      </c>
      <c r="T44">
        <f>IF($S44="",0,COUNTIFS($S$6:$S$505,"&lt;"&amp;$S44)-COUNTIFS($S$6:$S$505,"&lt;"&amp;$S44,$R$6:$R$505,"")+1)</f>
        <v/>
      </c>
      <c r="V44">
        <f>IF($K44="","",IF(ISNUMBER(Sync!$AK44),Sync!$AK44,LEFT(Sync!$AK44,4)&amp;MID(Sync!$AK44,6,2)&amp;RIGHT(Sync!$AK44,2))&amp;"|"&amp;"4"&amp;RIGHT("00000"&amp;39,5))</f>
        <v/>
      </c>
      <c r="W44">
        <f>IF($V44="",0,COUNTIFS($V$6:$V$2005,"&lt;"&amp;$V44)-COUNTIFS($V$6:$V$2005,"&lt;"&amp;$V44,$K$6:$K$2005,"")+1)</f>
        <v/>
      </c>
      <c r="X44">
        <f>IF(Sync!$AX44="","",IF(OR(N(Sync!$AY44)=0,N(Sync!$AZ44)=0),"",ROUND(N(Sync!$AY44)*N(Sync!$AZ44),0)))</f>
        <v/>
      </c>
      <c r="Y44">
        <f>IF($X44="","",IF(OR(Sync!$AX44="",COUNTIF(AcctCodesA,Sync!$AX44)=0),"متفرقه",Sync!$AX44))</f>
        <v/>
      </c>
      <c r="Z44">
        <f>IF($X44="","","سبد و ظروف")</f>
        <v/>
      </c>
      <c r="AA44">
        <f>IF($X44="","",$Y44)</f>
        <v/>
      </c>
    </row>
    <row r="45">
      <c r="A45">
        <f>IF(Sync!$Z45="","",LEFT(UPPER(TRIM(Sync!$Z45)),6))</f>
        <v/>
      </c>
      <c r="B45">
        <f>IF($A45="","",IF(Sync!$AA45="","",Sync!$AA45))</f>
        <v/>
      </c>
      <c r="C45">
        <f>IF($A45="","",IF(Sync!$AB45="","",Sync!$AB45))</f>
        <v/>
      </c>
      <c r="D45">
        <f>IF($A45="","",IF(Sync!$AC45="","",Sync!$AC45))</f>
        <v/>
      </c>
      <c r="E45">
        <f>IF($A45="","",IF(Sync!$AD45="","",Sync!$AD45))</f>
        <v/>
      </c>
      <c r="F45">
        <f>IF($A45="","",IF(Sync!$AE45="",0,Sync!$AE45))</f>
        <v/>
      </c>
      <c r="G45">
        <f>IF($A45="","",IF(Sync!$AF45="",0,Sync!$AF45))</f>
        <v/>
      </c>
      <c r="H45">
        <f>IF(OR($A45="",ROUND($F45+$G45,2)=0),"",$F45+$G45)</f>
        <v/>
      </c>
      <c r="I45">
        <f>IF($H45="","",IF(ROUND($F45,2)&gt;0,$A45,IF($D45="شخصی قاسم","شخصی قاسم",IF($D45="هزینه","هزینه: "&amp;IF($E45="","متفرقه",$E45),IF($C45="پاس چک","چک پرداختی",IF(OR($B45="",COUNTIF(AcctCodesA,$B45)=0),"متفرقه",$B45))))))</f>
        <v/>
      </c>
      <c r="J45">
        <f>IF($H45="","",IF(ROUND($F45,2)&gt;0,IF($D45="شخصی قاسم","شخصی قاسم",IF($D45="هزینه","هزینه: "&amp;IF($E45="","متفرقه",$E45),IF(OR($B45="",COUNTIF(AcctCodesA,$B45)=0),"متفرقه",$B45))),$A45))</f>
        <v/>
      </c>
      <c r="K45">
        <f>IF($A45="","",IF(AND($B45&lt;&gt;"",COUNTIF(AcctCodesA,$B45)=0),"کد طرف در INFO تعریف نشده",IF(AND($D45="هزینه",$E45=""),"هزینه بدون زیرگروه",IF(AND($C45="پاس چک",OR(Sync!$AJ45="",COUNTIF(IssueNosA,Sync!$AJ45)=0)),"شماره چک پاس‌شده معتبر نیست",""))))</f>
        <v/>
      </c>
      <c r="M45">
        <f>IF(Sync!$AH45="","",Sync!$AH45)</f>
        <v/>
      </c>
      <c r="N45">
        <f>IF($M45="","",IF(OR(Sync!$AI45="",COUNTIF(AcctCodesA,Sync!$AI45)=0),"متفرقه",Sync!$AI45))</f>
        <v/>
      </c>
      <c r="O45">
        <f>IF($M45="","",$N45)</f>
        <v/>
      </c>
      <c r="P45">
        <f>IF($M45="","","چک پرداختی")</f>
        <v/>
      </c>
      <c r="R45">
        <f>IF($M45="","",IF(COUNTIF(AcctCodesA,Sync!$AI45)=0,"ذی‌نفع چک تعریف‌نشده",""))</f>
        <v/>
      </c>
      <c r="S45">
        <f>IF($R45="","",Sync!$AG45&amp;"|"&amp;"5"&amp;RIGHT("00000"&amp;40,5))</f>
        <v/>
      </c>
      <c r="T45">
        <f>IF($S45="",0,COUNTIFS($S$6:$S$505,"&lt;"&amp;$S45)-COUNTIFS($S$6:$S$505,"&lt;"&amp;$S45,$R$6:$R$505,"")+1)</f>
        <v/>
      </c>
      <c r="V45">
        <f>IF($K45="","",IF(ISNUMBER(Sync!$AK45),Sync!$AK45,LEFT(Sync!$AK45,4)&amp;MID(Sync!$AK45,6,2)&amp;RIGHT(Sync!$AK45,2))&amp;"|"&amp;"4"&amp;RIGHT("00000"&amp;40,5))</f>
        <v/>
      </c>
      <c r="W45">
        <f>IF($V45="",0,COUNTIFS($V$6:$V$2005,"&lt;"&amp;$V45)-COUNTIFS($V$6:$V$2005,"&lt;"&amp;$V45,$K$6:$K$2005,"")+1)</f>
        <v/>
      </c>
      <c r="X45">
        <f>IF(Sync!$AX45="","",IF(OR(N(Sync!$AY45)=0,N(Sync!$AZ45)=0),"",ROUND(N(Sync!$AY45)*N(Sync!$AZ45),0)))</f>
        <v/>
      </c>
      <c r="Y45">
        <f>IF($X45="","",IF(OR(Sync!$AX45="",COUNTIF(AcctCodesA,Sync!$AX45)=0),"متفرقه",Sync!$AX45))</f>
        <v/>
      </c>
      <c r="Z45">
        <f>IF($X45="","","سبد و ظروف")</f>
        <v/>
      </c>
      <c r="AA45">
        <f>IF($X45="","",$Y45)</f>
        <v/>
      </c>
    </row>
    <row r="46">
      <c r="A46">
        <f>IF(Sync!$Z46="","",LEFT(UPPER(TRIM(Sync!$Z46)),6))</f>
        <v/>
      </c>
      <c r="B46">
        <f>IF($A46="","",IF(Sync!$AA46="","",Sync!$AA46))</f>
        <v/>
      </c>
      <c r="C46">
        <f>IF($A46="","",IF(Sync!$AB46="","",Sync!$AB46))</f>
        <v/>
      </c>
      <c r="D46">
        <f>IF($A46="","",IF(Sync!$AC46="","",Sync!$AC46))</f>
        <v/>
      </c>
      <c r="E46">
        <f>IF($A46="","",IF(Sync!$AD46="","",Sync!$AD46))</f>
        <v/>
      </c>
      <c r="F46">
        <f>IF($A46="","",IF(Sync!$AE46="",0,Sync!$AE46))</f>
        <v/>
      </c>
      <c r="G46">
        <f>IF($A46="","",IF(Sync!$AF46="",0,Sync!$AF46))</f>
        <v/>
      </c>
      <c r="H46">
        <f>IF(OR($A46="",ROUND($F46+$G46,2)=0),"",$F46+$G46)</f>
        <v/>
      </c>
      <c r="I46">
        <f>IF($H46="","",IF(ROUND($F46,2)&gt;0,$A46,IF($D46="شخصی قاسم","شخصی قاسم",IF($D46="هزینه","هزینه: "&amp;IF($E46="","متفرقه",$E46),IF($C46="پاس چک","چک پرداختی",IF(OR($B46="",COUNTIF(AcctCodesA,$B46)=0),"متفرقه",$B46))))))</f>
        <v/>
      </c>
      <c r="J46">
        <f>IF($H46="","",IF(ROUND($F46,2)&gt;0,IF($D46="شخصی قاسم","شخصی قاسم",IF($D46="هزینه","هزینه: "&amp;IF($E46="","متفرقه",$E46),IF(OR($B46="",COUNTIF(AcctCodesA,$B46)=0),"متفرقه",$B46))),$A46))</f>
        <v/>
      </c>
      <c r="K46">
        <f>IF($A46="","",IF(AND($B46&lt;&gt;"",COUNTIF(AcctCodesA,$B46)=0),"کد طرف در INFO تعریف نشده",IF(AND($D46="هزینه",$E46=""),"هزینه بدون زیرگروه",IF(AND($C46="پاس چک",OR(Sync!$AJ46="",COUNTIF(IssueNosA,Sync!$AJ46)=0)),"شماره چک پاس‌شده معتبر نیست",""))))</f>
        <v/>
      </c>
      <c r="M46">
        <f>IF(Sync!$AH46="","",Sync!$AH46)</f>
        <v/>
      </c>
      <c r="N46">
        <f>IF($M46="","",IF(OR(Sync!$AI46="",COUNTIF(AcctCodesA,Sync!$AI46)=0),"متفرقه",Sync!$AI46))</f>
        <v/>
      </c>
      <c r="O46">
        <f>IF($M46="","",$N46)</f>
        <v/>
      </c>
      <c r="P46">
        <f>IF($M46="","","چک پرداختی")</f>
        <v/>
      </c>
      <c r="R46">
        <f>IF($M46="","",IF(COUNTIF(AcctCodesA,Sync!$AI46)=0,"ذی‌نفع چک تعریف‌نشده",""))</f>
        <v/>
      </c>
      <c r="S46">
        <f>IF($R46="","",Sync!$AG46&amp;"|"&amp;"5"&amp;RIGHT("00000"&amp;41,5))</f>
        <v/>
      </c>
      <c r="T46">
        <f>IF($S46="",0,COUNTIFS($S$6:$S$505,"&lt;"&amp;$S46)-COUNTIFS($S$6:$S$505,"&lt;"&amp;$S46,$R$6:$R$505,"")+1)</f>
        <v/>
      </c>
      <c r="V46">
        <f>IF($K46="","",IF(ISNUMBER(Sync!$AK46),Sync!$AK46,LEFT(Sync!$AK46,4)&amp;MID(Sync!$AK46,6,2)&amp;RIGHT(Sync!$AK46,2))&amp;"|"&amp;"4"&amp;RIGHT("00000"&amp;41,5))</f>
        <v/>
      </c>
      <c r="W46">
        <f>IF($V46="",0,COUNTIFS($V$6:$V$2005,"&lt;"&amp;$V46)-COUNTIFS($V$6:$V$2005,"&lt;"&amp;$V46,$K$6:$K$2005,"")+1)</f>
        <v/>
      </c>
      <c r="X46">
        <f>IF(Sync!$AX46="","",IF(OR(N(Sync!$AY46)=0,N(Sync!$AZ46)=0),"",ROUND(N(Sync!$AY46)*N(Sync!$AZ46),0)))</f>
        <v/>
      </c>
      <c r="Y46">
        <f>IF($X46="","",IF(OR(Sync!$AX46="",COUNTIF(AcctCodesA,Sync!$AX46)=0),"متفرقه",Sync!$AX46))</f>
        <v/>
      </c>
      <c r="Z46">
        <f>IF($X46="","","سبد و ظروف")</f>
        <v/>
      </c>
      <c r="AA46">
        <f>IF($X46="","",$Y46)</f>
        <v/>
      </c>
    </row>
    <row r="47">
      <c r="A47">
        <f>IF(Sync!$Z47="","",LEFT(UPPER(TRIM(Sync!$Z47)),6))</f>
        <v/>
      </c>
      <c r="B47">
        <f>IF($A47="","",IF(Sync!$AA47="","",Sync!$AA47))</f>
        <v/>
      </c>
      <c r="C47">
        <f>IF($A47="","",IF(Sync!$AB47="","",Sync!$AB47))</f>
        <v/>
      </c>
      <c r="D47">
        <f>IF($A47="","",IF(Sync!$AC47="","",Sync!$AC47))</f>
        <v/>
      </c>
      <c r="E47">
        <f>IF($A47="","",IF(Sync!$AD47="","",Sync!$AD47))</f>
        <v/>
      </c>
      <c r="F47">
        <f>IF($A47="","",IF(Sync!$AE47="",0,Sync!$AE47))</f>
        <v/>
      </c>
      <c r="G47">
        <f>IF($A47="","",IF(Sync!$AF47="",0,Sync!$AF47))</f>
        <v/>
      </c>
      <c r="H47">
        <f>IF(OR($A47="",ROUND($F47+$G47,2)=0),"",$F47+$G47)</f>
        <v/>
      </c>
      <c r="I47">
        <f>IF($H47="","",IF(ROUND($F47,2)&gt;0,$A47,IF($D47="شخصی قاسم","شخصی قاسم",IF($D47="هزینه","هزینه: "&amp;IF($E47="","متفرقه",$E47),IF($C47="پاس چک","چک پرداختی",IF(OR($B47="",COUNTIF(AcctCodesA,$B47)=0),"متفرقه",$B47))))))</f>
        <v/>
      </c>
      <c r="J47">
        <f>IF($H47="","",IF(ROUND($F47,2)&gt;0,IF($D47="شخصی قاسم","شخصی قاسم",IF($D47="هزینه","هزینه: "&amp;IF($E47="","متفرقه",$E47),IF(OR($B47="",COUNTIF(AcctCodesA,$B47)=0),"متفرقه",$B47))),$A47))</f>
        <v/>
      </c>
      <c r="K47">
        <f>IF($A47="","",IF(AND($B47&lt;&gt;"",COUNTIF(AcctCodesA,$B47)=0),"کد طرف در INFO تعریف نشده",IF(AND($D47="هزینه",$E47=""),"هزینه بدون زیرگروه",IF(AND($C47="پاس چک",OR(Sync!$AJ47="",COUNTIF(IssueNosA,Sync!$AJ47)=0)),"شماره چک پاس‌شده معتبر نیست",""))))</f>
        <v/>
      </c>
      <c r="M47">
        <f>IF(Sync!$AH47="","",Sync!$AH47)</f>
        <v/>
      </c>
      <c r="N47">
        <f>IF($M47="","",IF(OR(Sync!$AI47="",COUNTIF(AcctCodesA,Sync!$AI47)=0),"متفرقه",Sync!$AI47))</f>
        <v/>
      </c>
      <c r="O47">
        <f>IF($M47="","",$N47)</f>
        <v/>
      </c>
      <c r="P47">
        <f>IF($M47="","","چک پرداختی")</f>
        <v/>
      </c>
      <c r="R47">
        <f>IF($M47="","",IF(COUNTIF(AcctCodesA,Sync!$AI47)=0,"ذی‌نفع چک تعریف‌نشده",""))</f>
        <v/>
      </c>
      <c r="S47">
        <f>IF($R47="","",Sync!$AG47&amp;"|"&amp;"5"&amp;RIGHT("00000"&amp;42,5))</f>
        <v/>
      </c>
      <c r="T47">
        <f>IF($S47="",0,COUNTIFS($S$6:$S$505,"&lt;"&amp;$S47)-COUNTIFS($S$6:$S$505,"&lt;"&amp;$S47,$R$6:$R$505,"")+1)</f>
        <v/>
      </c>
      <c r="V47">
        <f>IF($K47="","",IF(ISNUMBER(Sync!$AK47),Sync!$AK47,LEFT(Sync!$AK47,4)&amp;MID(Sync!$AK47,6,2)&amp;RIGHT(Sync!$AK47,2))&amp;"|"&amp;"4"&amp;RIGHT("00000"&amp;42,5))</f>
        <v/>
      </c>
      <c r="W47">
        <f>IF($V47="",0,COUNTIFS($V$6:$V$2005,"&lt;"&amp;$V47)-COUNTIFS($V$6:$V$2005,"&lt;"&amp;$V47,$K$6:$K$2005,"")+1)</f>
        <v/>
      </c>
      <c r="X47">
        <f>IF(Sync!$AX47="","",IF(OR(N(Sync!$AY47)=0,N(Sync!$AZ47)=0),"",ROUND(N(Sync!$AY47)*N(Sync!$AZ47),0)))</f>
        <v/>
      </c>
      <c r="Y47">
        <f>IF($X47="","",IF(OR(Sync!$AX47="",COUNTIF(AcctCodesA,Sync!$AX47)=0),"متفرقه",Sync!$AX47))</f>
        <v/>
      </c>
      <c r="Z47">
        <f>IF($X47="","","سبد و ظروف")</f>
        <v/>
      </c>
      <c r="AA47">
        <f>IF($X47="","",$Y47)</f>
        <v/>
      </c>
    </row>
    <row r="48">
      <c r="A48">
        <f>IF(Sync!$Z48="","",LEFT(UPPER(TRIM(Sync!$Z48)),6))</f>
        <v/>
      </c>
      <c r="B48">
        <f>IF($A48="","",IF(Sync!$AA48="","",Sync!$AA48))</f>
        <v/>
      </c>
      <c r="C48">
        <f>IF($A48="","",IF(Sync!$AB48="","",Sync!$AB48))</f>
        <v/>
      </c>
      <c r="D48">
        <f>IF($A48="","",IF(Sync!$AC48="","",Sync!$AC48))</f>
        <v/>
      </c>
      <c r="E48">
        <f>IF($A48="","",IF(Sync!$AD48="","",Sync!$AD48))</f>
        <v/>
      </c>
      <c r="F48">
        <f>IF($A48="","",IF(Sync!$AE48="",0,Sync!$AE48))</f>
        <v/>
      </c>
      <c r="G48">
        <f>IF($A48="","",IF(Sync!$AF48="",0,Sync!$AF48))</f>
        <v/>
      </c>
      <c r="H48">
        <f>IF(OR($A48="",ROUND($F48+$G48,2)=0),"",$F48+$G48)</f>
        <v/>
      </c>
      <c r="I48">
        <f>IF($H48="","",IF(ROUND($F48,2)&gt;0,$A48,IF($D48="شخصی قاسم","شخصی قاسم",IF($D48="هزینه","هزینه: "&amp;IF($E48="","متفرقه",$E48),IF($C48="پاس چک","چک پرداختی",IF(OR($B48="",COUNTIF(AcctCodesA,$B48)=0),"متفرقه",$B48))))))</f>
        <v/>
      </c>
      <c r="J48">
        <f>IF($H48="","",IF(ROUND($F48,2)&gt;0,IF($D48="شخصی قاسم","شخصی قاسم",IF($D48="هزینه","هزینه: "&amp;IF($E48="","متفرقه",$E48),IF(OR($B48="",COUNTIF(AcctCodesA,$B48)=0),"متفرقه",$B48))),$A48))</f>
        <v/>
      </c>
      <c r="K48">
        <f>IF($A48="","",IF(AND($B48&lt;&gt;"",COUNTIF(AcctCodesA,$B48)=0),"کد طرف در INFO تعریف نشده",IF(AND($D48="هزینه",$E48=""),"هزینه بدون زیرگروه",IF(AND($C48="پاس چک",OR(Sync!$AJ48="",COUNTIF(IssueNosA,Sync!$AJ48)=0)),"شماره چک پاس‌شده معتبر نیست",""))))</f>
        <v/>
      </c>
      <c r="M48">
        <f>IF(Sync!$AH48="","",Sync!$AH48)</f>
        <v/>
      </c>
      <c r="N48">
        <f>IF($M48="","",IF(OR(Sync!$AI48="",COUNTIF(AcctCodesA,Sync!$AI48)=0),"متفرقه",Sync!$AI48))</f>
        <v/>
      </c>
      <c r="O48">
        <f>IF($M48="","",$N48)</f>
        <v/>
      </c>
      <c r="P48">
        <f>IF($M48="","","چک پرداختی")</f>
        <v/>
      </c>
      <c r="R48">
        <f>IF($M48="","",IF(COUNTIF(AcctCodesA,Sync!$AI48)=0,"ذی‌نفع چک تعریف‌نشده",""))</f>
        <v/>
      </c>
      <c r="S48">
        <f>IF($R48="","",Sync!$AG48&amp;"|"&amp;"5"&amp;RIGHT("00000"&amp;43,5))</f>
        <v/>
      </c>
      <c r="T48">
        <f>IF($S48="",0,COUNTIFS($S$6:$S$505,"&lt;"&amp;$S48)-COUNTIFS($S$6:$S$505,"&lt;"&amp;$S48,$R$6:$R$505,"")+1)</f>
        <v/>
      </c>
      <c r="V48">
        <f>IF($K48="","",IF(ISNUMBER(Sync!$AK48),Sync!$AK48,LEFT(Sync!$AK48,4)&amp;MID(Sync!$AK48,6,2)&amp;RIGHT(Sync!$AK48,2))&amp;"|"&amp;"4"&amp;RIGHT("00000"&amp;43,5))</f>
        <v/>
      </c>
      <c r="W48">
        <f>IF($V48="",0,COUNTIFS($V$6:$V$2005,"&lt;"&amp;$V48)-COUNTIFS($V$6:$V$2005,"&lt;"&amp;$V48,$K$6:$K$2005,"")+1)</f>
        <v/>
      </c>
      <c r="X48">
        <f>IF(Sync!$AX48="","",IF(OR(N(Sync!$AY48)=0,N(Sync!$AZ48)=0),"",ROUND(N(Sync!$AY48)*N(Sync!$AZ48),0)))</f>
        <v/>
      </c>
      <c r="Y48">
        <f>IF($X48="","",IF(OR(Sync!$AX48="",COUNTIF(AcctCodesA,Sync!$AX48)=0),"متفرقه",Sync!$AX48))</f>
        <v/>
      </c>
      <c r="Z48">
        <f>IF($X48="","","سبد و ظروف")</f>
        <v/>
      </c>
      <c r="AA48">
        <f>IF($X48="","",$Y48)</f>
        <v/>
      </c>
    </row>
    <row r="49">
      <c r="A49">
        <f>IF(Sync!$Z49="","",LEFT(UPPER(TRIM(Sync!$Z49)),6))</f>
        <v/>
      </c>
      <c r="B49">
        <f>IF($A49="","",IF(Sync!$AA49="","",Sync!$AA49))</f>
        <v/>
      </c>
      <c r="C49">
        <f>IF($A49="","",IF(Sync!$AB49="","",Sync!$AB49))</f>
        <v/>
      </c>
      <c r="D49">
        <f>IF($A49="","",IF(Sync!$AC49="","",Sync!$AC49))</f>
        <v/>
      </c>
      <c r="E49">
        <f>IF($A49="","",IF(Sync!$AD49="","",Sync!$AD49))</f>
        <v/>
      </c>
      <c r="F49">
        <f>IF($A49="","",IF(Sync!$AE49="",0,Sync!$AE49))</f>
        <v/>
      </c>
      <c r="G49">
        <f>IF($A49="","",IF(Sync!$AF49="",0,Sync!$AF49))</f>
        <v/>
      </c>
      <c r="H49">
        <f>IF(OR($A49="",ROUND($F49+$G49,2)=0),"",$F49+$G49)</f>
        <v/>
      </c>
      <c r="I49">
        <f>IF($H49="","",IF(ROUND($F49,2)&gt;0,$A49,IF($D49="شخصی قاسم","شخصی قاسم",IF($D49="هزینه","هزینه: "&amp;IF($E49="","متفرقه",$E49),IF($C49="پاس چک","چک پرداختی",IF(OR($B49="",COUNTIF(AcctCodesA,$B49)=0),"متفرقه",$B49))))))</f>
        <v/>
      </c>
      <c r="J49">
        <f>IF($H49="","",IF(ROUND($F49,2)&gt;0,IF($D49="شخصی قاسم","شخصی قاسم",IF($D49="هزینه","هزینه: "&amp;IF($E49="","متفرقه",$E49),IF(OR($B49="",COUNTIF(AcctCodesA,$B49)=0),"متفرقه",$B49))),$A49))</f>
        <v/>
      </c>
      <c r="K49">
        <f>IF($A49="","",IF(AND($B49&lt;&gt;"",COUNTIF(AcctCodesA,$B49)=0),"کد طرف در INFO تعریف نشده",IF(AND($D49="هزینه",$E49=""),"هزینه بدون زیرگروه",IF(AND($C49="پاس چک",OR(Sync!$AJ49="",COUNTIF(IssueNosA,Sync!$AJ49)=0)),"شماره چک پاس‌شده معتبر نیست",""))))</f>
        <v/>
      </c>
      <c r="M49">
        <f>IF(Sync!$AH49="","",Sync!$AH49)</f>
        <v/>
      </c>
      <c r="N49">
        <f>IF($M49="","",IF(OR(Sync!$AI49="",COUNTIF(AcctCodesA,Sync!$AI49)=0),"متفرقه",Sync!$AI49))</f>
        <v/>
      </c>
      <c r="O49">
        <f>IF($M49="","",$N49)</f>
        <v/>
      </c>
      <c r="P49">
        <f>IF($M49="","","چک پرداختی")</f>
        <v/>
      </c>
      <c r="R49">
        <f>IF($M49="","",IF(COUNTIF(AcctCodesA,Sync!$AI49)=0,"ذی‌نفع چک تعریف‌نشده",""))</f>
        <v/>
      </c>
      <c r="S49">
        <f>IF($R49="","",Sync!$AG49&amp;"|"&amp;"5"&amp;RIGHT("00000"&amp;44,5))</f>
        <v/>
      </c>
      <c r="T49">
        <f>IF($S49="",0,COUNTIFS($S$6:$S$505,"&lt;"&amp;$S49)-COUNTIFS($S$6:$S$505,"&lt;"&amp;$S49,$R$6:$R$505,"")+1)</f>
        <v/>
      </c>
      <c r="V49">
        <f>IF($K49="","",IF(ISNUMBER(Sync!$AK49),Sync!$AK49,LEFT(Sync!$AK49,4)&amp;MID(Sync!$AK49,6,2)&amp;RIGHT(Sync!$AK49,2))&amp;"|"&amp;"4"&amp;RIGHT("00000"&amp;44,5))</f>
        <v/>
      </c>
      <c r="W49">
        <f>IF($V49="",0,COUNTIFS($V$6:$V$2005,"&lt;"&amp;$V49)-COUNTIFS($V$6:$V$2005,"&lt;"&amp;$V49,$K$6:$K$2005,"")+1)</f>
        <v/>
      </c>
      <c r="X49">
        <f>IF(Sync!$AX49="","",IF(OR(N(Sync!$AY49)=0,N(Sync!$AZ49)=0),"",ROUND(N(Sync!$AY49)*N(Sync!$AZ49),0)))</f>
        <v/>
      </c>
      <c r="Y49">
        <f>IF($X49="","",IF(OR(Sync!$AX49="",COUNTIF(AcctCodesA,Sync!$AX49)=0),"متفرقه",Sync!$AX49))</f>
        <v/>
      </c>
      <c r="Z49">
        <f>IF($X49="","","سبد و ظروف")</f>
        <v/>
      </c>
      <c r="AA49">
        <f>IF($X49="","",$Y49)</f>
        <v/>
      </c>
    </row>
    <row r="50">
      <c r="A50">
        <f>IF(Sync!$Z50="","",LEFT(UPPER(TRIM(Sync!$Z50)),6))</f>
        <v/>
      </c>
      <c r="B50">
        <f>IF($A50="","",IF(Sync!$AA50="","",Sync!$AA50))</f>
        <v/>
      </c>
      <c r="C50">
        <f>IF($A50="","",IF(Sync!$AB50="","",Sync!$AB50))</f>
        <v/>
      </c>
      <c r="D50">
        <f>IF($A50="","",IF(Sync!$AC50="","",Sync!$AC50))</f>
        <v/>
      </c>
      <c r="E50">
        <f>IF($A50="","",IF(Sync!$AD50="","",Sync!$AD50))</f>
        <v/>
      </c>
      <c r="F50">
        <f>IF($A50="","",IF(Sync!$AE50="",0,Sync!$AE50))</f>
        <v/>
      </c>
      <c r="G50">
        <f>IF($A50="","",IF(Sync!$AF50="",0,Sync!$AF50))</f>
        <v/>
      </c>
      <c r="H50">
        <f>IF(OR($A50="",ROUND($F50+$G50,2)=0),"",$F50+$G50)</f>
        <v/>
      </c>
      <c r="I50">
        <f>IF($H50="","",IF(ROUND($F50,2)&gt;0,$A50,IF($D50="شخصی قاسم","شخصی قاسم",IF($D50="هزینه","هزینه: "&amp;IF($E50="","متفرقه",$E50),IF($C50="پاس چک","چک پرداختی",IF(OR($B50="",COUNTIF(AcctCodesA,$B50)=0),"متفرقه",$B50))))))</f>
        <v/>
      </c>
      <c r="J50">
        <f>IF($H50="","",IF(ROUND($F50,2)&gt;0,IF($D50="شخصی قاسم","شخصی قاسم",IF($D50="هزینه","هزینه: "&amp;IF($E50="","متفرقه",$E50),IF(OR($B50="",COUNTIF(AcctCodesA,$B50)=0),"متفرقه",$B50))),$A50))</f>
        <v/>
      </c>
      <c r="K50">
        <f>IF($A50="","",IF(AND($B50&lt;&gt;"",COUNTIF(AcctCodesA,$B50)=0),"کد طرف در INFO تعریف نشده",IF(AND($D50="هزینه",$E50=""),"هزینه بدون زیرگروه",IF(AND($C50="پاس چک",OR(Sync!$AJ50="",COUNTIF(IssueNosA,Sync!$AJ50)=0)),"شماره چک پاس‌شده معتبر نیست",""))))</f>
        <v/>
      </c>
      <c r="M50">
        <f>IF(Sync!$AH50="","",Sync!$AH50)</f>
        <v/>
      </c>
      <c r="N50">
        <f>IF($M50="","",IF(OR(Sync!$AI50="",COUNTIF(AcctCodesA,Sync!$AI50)=0),"متفرقه",Sync!$AI50))</f>
        <v/>
      </c>
      <c r="O50">
        <f>IF($M50="","",$N50)</f>
        <v/>
      </c>
      <c r="P50">
        <f>IF($M50="","","چک پرداختی")</f>
        <v/>
      </c>
      <c r="R50">
        <f>IF($M50="","",IF(COUNTIF(AcctCodesA,Sync!$AI50)=0,"ذی‌نفع چک تعریف‌نشده",""))</f>
        <v/>
      </c>
      <c r="S50">
        <f>IF($R50="","",Sync!$AG50&amp;"|"&amp;"5"&amp;RIGHT("00000"&amp;45,5))</f>
        <v/>
      </c>
      <c r="T50">
        <f>IF($S50="",0,COUNTIFS($S$6:$S$505,"&lt;"&amp;$S50)-COUNTIFS($S$6:$S$505,"&lt;"&amp;$S50,$R$6:$R$505,"")+1)</f>
        <v/>
      </c>
      <c r="V50">
        <f>IF($K50="","",IF(ISNUMBER(Sync!$AK50),Sync!$AK50,LEFT(Sync!$AK50,4)&amp;MID(Sync!$AK50,6,2)&amp;RIGHT(Sync!$AK50,2))&amp;"|"&amp;"4"&amp;RIGHT("00000"&amp;45,5))</f>
        <v/>
      </c>
      <c r="W50">
        <f>IF($V50="",0,COUNTIFS($V$6:$V$2005,"&lt;"&amp;$V50)-COUNTIFS($V$6:$V$2005,"&lt;"&amp;$V50,$K$6:$K$2005,"")+1)</f>
        <v/>
      </c>
      <c r="X50">
        <f>IF(Sync!$AX50="","",IF(OR(N(Sync!$AY50)=0,N(Sync!$AZ50)=0),"",ROUND(N(Sync!$AY50)*N(Sync!$AZ50),0)))</f>
        <v/>
      </c>
      <c r="Y50">
        <f>IF($X50="","",IF(OR(Sync!$AX50="",COUNTIF(AcctCodesA,Sync!$AX50)=0),"متفرقه",Sync!$AX50))</f>
        <v/>
      </c>
      <c r="Z50">
        <f>IF($X50="","","سبد و ظروف")</f>
        <v/>
      </c>
      <c r="AA50">
        <f>IF($X50="","",$Y50)</f>
        <v/>
      </c>
    </row>
    <row r="51">
      <c r="A51">
        <f>IF(Sync!$Z51="","",LEFT(UPPER(TRIM(Sync!$Z51)),6))</f>
        <v/>
      </c>
      <c r="B51">
        <f>IF($A51="","",IF(Sync!$AA51="","",Sync!$AA51))</f>
        <v/>
      </c>
      <c r="C51">
        <f>IF($A51="","",IF(Sync!$AB51="","",Sync!$AB51))</f>
        <v/>
      </c>
      <c r="D51">
        <f>IF($A51="","",IF(Sync!$AC51="","",Sync!$AC51))</f>
        <v/>
      </c>
      <c r="E51">
        <f>IF($A51="","",IF(Sync!$AD51="","",Sync!$AD51))</f>
        <v/>
      </c>
      <c r="F51">
        <f>IF($A51="","",IF(Sync!$AE51="",0,Sync!$AE51))</f>
        <v/>
      </c>
      <c r="G51">
        <f>IF($A51="","",IF(Sync!$AF51="",0,Sync!$AF51))</f>
        <v/>
      </c>
      <c r="H51">
        <f>IF(OR($A51="",ROUND($F51+$G51,2)=0),"",$F51+$G51)</f>
        <v/>
      </c>
      <c r="I51">
        <f>IF($H51="","",IF(ROUND($F51,2)&gt;0,$A51,IF($D51="شخصی قاسم","شخصی قاسم",IF($D51="هزینه","هزینه: "&amp;IF($E51="","متفرقه",$E51),IF($C51="پاس چک","چک پرداختی",IF(OR($B51="",COUNTIF(AcctCodesA,$B51)=0),"متفرقه",$B51))))))</f>
        <v/>
      </c>
      <c r="J51">
        <f>IF($H51="","",IF(ROUND($F51,2)&gt;0,IF($D51="شخصی قاسم","شخصی قاسم",IF($D51="هزینه","هزینه: "&amp;IF($E51="","متفرقه",$E51),IF(OR($B51="",COUNTIF(AcctCodesA,$B51)=0),"متفرقه",$B51))),$A51))</f>
        <v/>
      </c>
      <c r="K51">
        <f>IF($A51="","",IF(AND($B51&lt;&gt;"",COUNTIF(AcctCodesA,$B51)=0),"کد طرف در INFO تعریف نشده",IF(AND($D51="هزینه",$E51=""),"هزینه بدون زیرگروه",IF(AND($C51="پاس چک",OR(Sync!$AJ51="",COUNTIF(IssueNosA,Sync!$AJ51)=0)),"شماره چک پاس‌شده معتبر نیست",""))))</f>
        <v/>
      </c>
      <c r="M51">
        <f>IF(Sync!$AH51="","",Sync!$AH51)</f>
        <v/>
      </c>
      <c r="N51">
        <f>IF($M51="","",IF(OR(Sync!$AI51="",COUNTIF(AcctCodesA,Sync!$AI51)=0),"متفرقه",Sync!$AI51))</f>
        <v/>
      </c>
      <c r="O51">
        <f>IF($M51="","",$N51)</f>
        <v/>
      </c>
      <c r="P51">
        <f>IF($M51="","","چک پرداختی")</f>
        <v/>
      </c>
      <c r="R51">
        <f>IF($M51="","",IF(COUNTIF(AcctCodesA,Sync!$AI51)=0,"ذی‌نفع چک تعریف‌نشده",""))</f>
        <v/>
      </c>
      <c r="S51">
        <f>IF($R51="","",Sync!$AG51&amp;"|"&amp;"5"&amp;RIGHT("00000"&amp;46,5))</f>
        <v/>
      </c>
      <c r="T51">
        <f>IF($S51="",0,COUNTIFS($S$6:$S$505,"&lt;"&amp;$S51)-COUNTIFS($S$6:$S$505,"&lt;"&amp;$S51,$R$6:$R$505,"")+1)</f>
        <v/>
      </c>
      <c r="V51">
        <f>IF($K51="","",IF(ISNUMBER(Sync!$AK51),Sync!$AK51,LEFT(Sync!$AK51,4)&amp;MID(Sync!$AK51,6,2)&amp;RIGHT(Sync!$AK51,2))&amp;"|"&amp;"4"&amp;RIGHT("00000"&amp;46,5))</f>
        <v/>
      </c>
      <c r="W51">
        <f>IF($V51="",0,COUNTIFS($V$6:$V$2005,"&lt;"&amp;$V51)-COUNTIFS($V$6:$V$2005,"&lt;"&amp;$V51,$K$6:$K$2005,"")+1)</f>
        <v/>
      </c>
      <c r="X51">
        <f>IF(Sync!$AX51="","",IF(OR(N(Sync!$AY51)=0,N(Sync!$AZ51)=0),"",ROUND(N(Sync!$AY51)*N(Sync!$AZ51),0)))</f>
        <v/>
      </c>
      <c r="Y51">
        <f>IF($X51="","",IF(OR(Sync!$AX51="",COUNTIF(AcctCodesA,Sync!$AX51)=0),"متفرقه",Sync!$AX51))</f>
        <v/>
      </c>
      <c r="Z51">
        <f>IF($X51="","","سبد و ظروف")</f>
        <v/>
      </c>
      <c r="AA51">
        <f>IF($X51="","",$Y51)</f>
        <v/>
      </c>
    </row>
    <row r="52">
      <c r="A52">
        <f>IF(Sync!$Z52="","",LEFT(UPPER(TRIM(Sync!$Z52)),6))</f>
        <v/>
      </c>
      <c r="B52">
        <f>IF($A52="","",IF(Sync!$AA52="","",Sync!$AA52))</f>
        <v/>
      </c>
      <c r="C52">
        <f>IF($A52="","",IF(Sync!$AB52="","",Sync!$AB52))</f>
        <v/>
      </c>
      <c r="D52">
        <f>IF($A52="","",IF(Sync!$AC52="","",Sync!$AC52))</f>
        <v/>
      </c>
      <c r="E52">
        <f>IF($A52="","",IF(Sync!$AD52="","",Sync!$AD52))</f>
        <v/>
      </c>
      <c r="F52">
        <f>IF($A52="","",IF(Sync!$AE52="",0,Sync!$AE52))</f>
        <v/>
      </c>
      <c r="G52">
        <f>IF($A52="","",IF(Sync!$AF52="",0,Sync!$AF52))</f>
        <v/>
      </c>
      <c r="H52">
        <f>IF(OR($A52="",ROUND($F52+$G52,2)=0),"",$F52+$G52)</f>
        <v/>
      </c>
      <c r="I52">
        <f>IF($H52="","",IF(ROUND($F52,2)&gt;0,$A52,IF($D52="شخصی قاسم","شخصی قاسم",IF($D52="هزینه","هزینه: "&amp;IF($E52="","متفرقه",$E52),IF($C52="پاس چک","چک پرداختی",IF(OR($B52="",COUNTIF(AcctCodesA,$B52)=0),"متفرقه",$B52))))))</f>
        <v/>
      </c>
      <c r="J52">
        <f>IF($H52="","",IF(ROUND($F52,2)&gt;0,IF($D52="شخصی قاسم","شخصی قاسم",IF($D52="هزینه","هزینه: "&amp;IF($E52="","متفرقه",$E52),IF(OR($B52="",COUNTIF(AcctCodesA,$B52)=0),"متفرقه",$B52))),$A52))</f>
        <v/>
      </c>
      <c r="K52">
        <f>IF($A52="","",IF(AND($B52&lt;&gt;"",COUNTIF(AcctCodesA,$B52)=0),"کد طرف در INFO تعریف نشده",IF(AND($D52="هزینه",$E52=""),"هزینه بدون زیرگروه",IF(AND($C52="پاس چک",OR(Sync!$AJ52="",COUNTIF(IssueNosA,Sync!$AJ52)=0)),"شماره چک پاس‌شده معتبر نیست",""))))</f>
        <v/>
      </c>
      <c r="M52">
        <f>IF(Sync!$AH52="","",Sync!$AH52)</f>
        <v/>
      </c>
      <c r="N52">
        <f>IF($M52="","",IF(OR(Sync!$AI52="",COUNTIF(AcctCodesA,Sync!$AI52)=0),"متفرقه",Sync!$AI52))</f>
        <v/>
      </c>
      <c r="O52">
        <f>IF($M52="","",$N52)</f>
        <v/>
      </c>
      <c r="P52">
        <f>IF($M52="","","چک پرداختی")</f>
        <v/>
      </c>
      <c r="R52">
        <f>IF($M52="","",IF(COUNTIF(AcctCodesA,Sync!$AI52)=0,"ذی‌نفع چک تعریف‌نشده",""))</f>
        <v/>
      </c>
      <c r="S52">
        <f>IF($R52="","",Sync!$AG52&amp;"|"&amp;"5"&amp;RIGHT("00000"&amp;47,5))</f>
        <v/>
      </c>
      <c r="T52">
        <f>IF($S52="",0,COUNTIFS($S$6:$S$505,"&lt;"&amp;$S52)-COUNTIFS($S$6:$S$505,"&lt;"&amp;$S52,$R$6:$R$505,"")+1)</f>
        <v/>
      </c>
      <c r="V52">
        <f>IF($K52="","",IF(ISNUMBER(Sync!$AK52),Sync!$AK52,LEFT(Sync!$AK52,4)&amp;MID(Sync!$AK52,6,2)&amp;RIGHT(Sync!$AK52,2))&amp;"|"&amp;"4"&amp;RIGHT("00000"&amp;47,5))</f>
        <v/>
      </c>
      <c r="W52">
        <f>IF($V52="",0,COUNTIFS($V$6:$V$2005,"&lt;"&amp;$V52)-COUNTIFS($V$6:$V$2005,"&lt;"&amp;$V52,$K$6:$K$2005,"")+1)</f>
        <v/>
      </c>
      <c r="X52">
        <f>IF(Sync!$AX52="","",IF(OR(N(Sync!$AY52)=0,N(Sync!$AZ52)=0),"",ROUND(N(Sync!$AY52)*N(Sync!$AZ52),0)))</f>
        <v/>
      </c>
      <c r="Y52">
        <f>IF($X52="","",IF(OR(Sync!$AX52="",COUNTIF(AcctCodesA,Sync!$AX52)=0),"متفرقه",Sync!$AX52))</f>
        <v/>
      </c>
      <c r="Z52">
        <f>IF($X52="","","سبد و ظروف")</f>
        <v/>
      </c>
      <c r="AA52">
        <f>IF($X52="","",$Y52)</f>
        <v/>
      </c>
    </row>
    <row r="53">
      <c r="A53">
        <f>IF(Sync!$Z53="","",LEFT(UPPER(TRIM(Sync!$Z53)),6))</f>
        <v/>
      </c>
      <c r="B53">
        <f>IF($A53="","",IF(Sync!$AA53="","",Sync!$AA53))</f>
        <v/>
      </c>
      <c r="C53">
        <f>IF($A53="","",IF(Sync!$AB53="","",Sync!$AB53))</f>
        <v/>
      </c>
      <c r="D53">
        <f>IF($A53="","",IF(Sync!$AC53="","",Sync!$AC53))</f>
        <v/>
      </c>
      <c r="E53">
        <f>IF($A53="","",IF(Sync!$AD53="","",Sync!$AD53))</f>
        <v/>
      </c>
      <c r="F53">
        <f>IF($A53="","",IF(Sync!$AE53="",0,Sync!$AE53))</f>
        <v/>
      </c>
      <c r="G53">
        <f>IF($A53="","",IF(Sync!$AF53="",0,Sync!$AF53))</f>
        <v/>
      </c>
      <c r="H53">
        <f>IF(OR($A53="",ROUND($F53+$G53,2)=0),"",$F53+$G53)</f>
        <v/>
      </c>
      <c r="I53">
        <f>IF($H53="","",IF(ROUND($F53,2)&gt;0,$A53,IF($D53="شخصی قاسم","شخصی قاسم",IF($D53="هزینه","هزینه: "&amp;IF($E53="","متفرقه",$E53),IF($C53="پاس چک","چک پرداختی",IF(OR($B53="",COUNTIF(AcctCodesA,$B53)=0),"متفرقه",$B53))))))</f>
        <v/>
      </c>
      <c r="J53">
        <f>IF($H53="","",IF(ROUND($F53,2)&gt;0,IF($D53="شخصی قاسم","شخصی قاسم",IF($D53="هزینه","هزینه: "&amp;IF($E53="","متفرقه",$E53),IF(OR($B53="",COUNTIF(AcctCodesA,$B53)=0),"متفرقه",$B53))),$A53))</f>
        <v/>
      </c>
      <c r="K53">
        <f>IF($A53="","",IF(AND($B53&lt;&gt;"",COUNTIF(AcctCodesA,$B53)=0),"کد طرف در INFO تعریف نشده",IF(AND($D53="هزینه",$E53=""),"هزینه بدون زیرگروه",IF(AND($C53="پاس چک",OR(Sync!$AJ53="",COUNTIF(IssueNosA,Sync!$AJ53)=0)),"شماره چک پاس‌شده معتبر نیست",""))))</f>
        <v/>
      </c>
      <c r="M53">
        <f>IF(Sync!$AH53="","",Sync!$AH53)</f>
        <v/>
      </c>
      <c r="N53">
        <f>IF($M53="","",IF(OR(Sync!$AI53="",COUNTIF(AcctCodesA,Sync!$AI53)=0),"متفرقه",Sync!$AI53))</f>
        <v/>
      </c>
      <c r="O53">
        <f>IF($M53="","",$N53)</f>
        <v/>
      </c>
      <c r="P53">
        <f>IF($M53="","","چک پرداختی")</f>
        <v/>
      </c>
      <c r="R53">
        <f>IF($M53="","",IF(COUNTIF(AcctCodesA,Sync!$AI53)=0,"ذی‌نفع چک تعریف‌نشده",""))</f>
        <v/>
      </c>
      <c r="S53">
        <f>IF($R53="","",Sync!$AG53&amp;"|"&amp;"5"&amp;RIGHT("00000"&amp;48,5))</f>
        <v/>
      </c>
      <c r="T53">
        <f>IF($S53="",0,COUNTIFS($S$6:$S$505,"&lt;"&amp;$S53)-COUNTIFS($S$6:$S$505,"&lt;"&amp;$S53,$R$6:$R$505,"")+1)</f>
        <v/>
      </c>
      <c r="V53">
        <f>IF($K53="","",IF(ISNUMBER(Sync!$AK53),Sync!$AK53,LEFT(Sync!$AK53,4)&amp;MID(Sync!$AK53,6,2)&amp;RIGHT(Sync!$AK53,2))&amp;"|"&amp;"4"&amp;RIGHT("00000"&amp;48,5))</f>
        <v/>
      </c>
      <c r="W53">
        <f>IF($V53="",0,COUNTIFS($V$6:$V$2005,"&lt;"&amp;$V53)-COUNTIFS($V$6:$V$2005,"&lt;"&amp;$V53,$K$6:$K$2005,"")+1)</f>
        <v/>
      </c>
      <c r="X53">
        <f>IF(Sync!$AX53="","",IF(OR(N(Sync!$AY53)=0,N(Sync!$AZ53)=0),"",ROUND(N(Sync!$AY53)*N(Sync!$AZ53),0)))</f>
        <v/>
      </c>
      <c r="Y53">
        <f>IF($X53="","",IF(OR(Sync!$AX53="",COUNTIF(AcctCodesA,Sync!$AX53)=0),"متفرقه",Sync!$AX53))</f>
        <v/>
      </c>
      <c r="Z53">
        <f>IF($X53="","","سبد و ظروف")</f>
        <v/>
      </c>
      <c r="AA53">
        <f>IF($X53="","",$Y53)</f>
        <v/>
      </c>
    </row>
    <row r="54">
      <c r="A54">
        <f>IF(Sync!$Z54="","",LEFT(UPPER(TRIM(Sync!$Z54)),6))</f>
        <v/>
      </c>
      <c r="B54">
        <f>IF($A54="","",IF(Sync!$AA54="","",Sync!$AA54))</f>
        <v/>
      </c>
      <c r="C54">
        <f>IF($A54="","",IF(Sync!$AB54="","",Sync!$AB54))</f>
        <v/>
      </c>
      <c r="D54">
        <f>IF($A54="","",IF(Sync!$AC54="","",Sync!$AC54))</f>
        <v/>
      </c>
      <c r="E54">
        <f>IF($A54="","",IF(Sync!$AD54="","",Sync!$AD54))</f>
        <v/>
      </c>
      <c r="F54">
        <f>IF($A54="","",IF(Sync!$AE54="",0,Sync!$AE54))</f>
        <v/>
      </c>
      <c r="G54">
        <f>IF($A54="","",IF(Sync!$AF54="",0,Sync!$AF54))</f>
        <v/>
      </c>
      <c r="H54">
        <f>IF(OR($A54="",ROUND($F54+$G54,2)=0),"",$F54+$G54)</f>
        <v/>
      </c>
      <c r="I54">
        <f>IF($H54="","",IF(ROUND($F54,2)&gt;0,$A54,IF($D54="شخصی قاسم","شخصی قاسم",IF($D54="هزینه","هزینه: "&amp;IF($E54="","متفرقه",$E54),IF($C54="پاس چک","چک پرداختی",IF(OR($B54="",COUNTIF(AcctCodesA,$B54)=0),"متفرقه",$B54))))))</f>
        <v/>
      </c>
      <c r="J54">
        <f>IF($H54="","",IF(ROUND($F54,2)&gt;0,IF($D54="شخصی قاسم","شخصی قاسم",IF($D54="هزینه","هزینه: "&amp;IF($E54="","متفرقه",$E54),IF(OR($B54="",COUNTIF(AcctCodesA,$B54)=0),"متفرقه",$B54))),$A54))</f>
        <v/>
      </c>
      <c r="K54">
        <f>IF($A54="","",IF(AND($B54&lt;&gt;"",COUNTIF(AcctCodesA,$B54)=0),"کد طرف در INFO تعریف نشده",IF(AND($D54="هزینه",$E54=""),"هزینه بدون زیرگروه",IF(AND($C54="پاس چک",OR(Sync!$AJ54="",COUNTIF(IssueNosA,Sync!$AJ54)=0)),"شماره چک پاس‌شده معتبر نیست",""))))</f>
        <v/>
      </c>
      <c r="M54">
        <f>IF(Sync!$AH54="","",Sync!$AH54)</f>
        <v/>
      </c>
      <c r="N54">
        <f>IF($M54="","",IF(OR(Sync!$AI54="",COUNTIF(AcctCodesA,Sync!$AI54)=0),"متفرقه",Sync!$AI54))</f>
        <v/>
      </c>
      <c r="O54">
        <f>IF($M54="","",$N54)</f>
        <v/>
      </c>
      <c r="P54">
        <f>IF($M54="","","چک پرداختی")</f>
        <v/>
      </c>
      <c r="R54">
        <f>IF($M54="","",IF(COUNTIF(AcctCodesA,Sync!$AI54)=0,"ذی‌نفع چک تعریف‌نشده",""))</f>
        <v/>
      </c>
      <c r="S54">
        <f>IF($R54="","",Sync!$AG54&amp;"|"&amp;"5"&amp;RIGHT("00000"&amp;49,5))</f>
        <v/>
      </c>
      <c r="T54">
        <f>IF($S54="",0,COUNTIFS($S$6:$S$505,"&lt;"&amp;$S54)-COUNTIFS($S$6:$S$505,"&lt;"&amp;$S54,$R$6:$R$505,"")+1)</f>
        <v/>
      </c>
      <c r="V54">
        <f>IF($K54="","",IF(ISNUMBER(Sync!$AK54),Sync!$AK54,LEFT(Sync!$AK54,4)&amp;MID(Sync!$AK54,6,2)&amp;RIGHT(Sync!$AK54,2))&amp;"|"&amp;"4"&amp;RIGHT("00000"&amp;49,5))</f>
        <v/>
      </c>
      <c r="W54">
        <f>IF($V54="",0,COUNTIFS($V$6:$V$2005,"&lt;"&amp;$V54)-COUNTIFS($V$6:$V$2005,"&lt;"&amp;$V54,$K$6:$K$2005,"")+1)</f>
        <v/>
      </c>
      <c r="X54">
        <f>IF(Sync!$AX54="","",IF(OR(N(Sync!$AY54)=0,N(Sync!$AZ54)=0),"",ROUND(N(Sync!$AY54)*N(Sync!$AZ54),0)))</f>
        <v/>
      </c>
      <c r="Y54">
        <f>IF($X54="","",IF(OR(Sync!$AX54="",COUNTIF(AcctCodesA,Sync!$AX54)=0),"متفرقه",Sync!$AX54))</f>
        <v/>
      </c>
      <c r="Z54">
        <f>IF($X54="","","سبد و ظروف")</f>
        <v/>
      </c>
      <c r="AA54">
        <f>IF($X54="","",$Y54)</f>
        <v/>
      </c>
    </row>
    <row r="55">
      <c r="A55">
        <f>IF(Sync!$Z55="","",LEFT(UPPER(TRIM(Sync!$Z55)),6))</f>
        <v/>
      </c>
      <c r="B55">
        <f>IF($A55="","",IF(Sync!$AA55="","",Sync!$AA55))</f>
        <v/>
      </c>
      <c r="C55">
        <f>IF($A55="","",IF(Sync!$AB55="","",Sync!$AB55))</f>
        <v/>
      </c>
      <c r="D55">
        <f>IF($A55="","",IF(Sync!$AC55="","",Sync!$AC55))</f>
        <v/>
      </c>
      <c r="E55">
        <f>IF($A55="","",IF(Sync!$AD55="","",Sync!$AD55))</f>
        <v/>
      </c>
      <c r="F55">
        <f>IF($A55="","",IF(Sync!$AE55="",0,Sync!$AE55))</f>
        <v/>
      </c>
      <c r="G55">
        <f>IF($A55="","",IF(Sync!$AF55="",0,Sync!$AF55))</f>
        <v/>
      </c>
      <c r="H55">
        <f>IF(OR($A55="",ROUND($F55+$G55,2)=0),"",$F55+$G55)</f>
        <v/>
      </c>
      <c r="I55">
        <f>IF($H55="","",IF(ROUND($F55,2)&gt;0,$A55,IF($D55="شخصی قاسم","شخصی قاسم",IF($D55="هزینه","هزینه: "&amp;IF($E55="","متفرقه",$E55),IF($C55="پاس چک","چک پرداختی",IF(OR($B55="",COUNTIF(AcctCodesA,$B55)=0),"متفرقه",$B55))))))</f>
        <v/>
      </c>
      <c r="J55">
        <f>IF($H55="","",IF(ROUND($F55,2)&gt;0,IF($D55="شخصی قاسم","شخصی قاسم",IF($D55="هزینه","هزینه: "&amp;IF($E55="","متفرقه",$E55),IF(OR($B55="",COUNTIF(AcctCodesA,$B55)=0),"متفرقه",$B55))),$A55))</f>
        <v/>
      </c>
      <c r="K55">
        <f>IF($A55="","",IF(AND($B55&lt;&gt;"",COUNTIF(AcctCodesA,$B55)=0),"کد طرف در INFO تعریف نشده",IF(AND($D55="هزینه",$E55=""),"هزینه بدون زیرگروه",IF(AND($C55="پاس چک",OR(Sync!$AJ55="",COUNTIF(IssueNosA,Sync!$AJ55)=0)),"شماره چک پاس‌شده معتبر نیست",""))))</f>
        <v/>
      </c>
      <c r="M55">
        <f>IF(Sync!$AH55="","",Sync!$AH55)</f>
        <v/>
      </c>
      <c r="N55">
        <f>IF($M55="","",IF(OR(Sync!$AI55="",COUNTIF(AcctCodesA,Sync!$AI55)=0),"متفرقه",Sync!$AI55))</f>
        <v/>
      </c>
      <c r="O55">
        <f>IF($M55="","",$N55)</f>
        <v/>
      </c>
      <c r="P55">
        <f>IF($M55="","","چک پرداختی")</f>
        <v/>
      </c>
      <c r="R55">
        <f>IF($M55="","",IF(COUNTIF(AcctCodesA,Sync!$AI55)=0,"ذی‌نفع چک تعریف‌نشده",""))</f>
        <v/>
      </c>
      <c r="S55">
        <f>IF($R55="","",Sync!$AG55&amp;"|"&amp;"5"&amp;RIGHT("00000"&amp;50,5))</f>
        <v/>
      </c>
      <c r="T55">
        <f>IF($S55="",0,COUNTIFS($S$6:$S$505,"&lt;"&amp;$S55)-COUNTIFS($S$6:$S$505,"&lt;"&amp;$S55,$R$6:$R$505,"")+1)</f>
        <v/>
      </c>
      <c r="V55">
        <f>IF($K55="","",IF(ISNUMBER(Sync!$AK55),Sync!$AK55,LEFT(Sync!$AK55,4)&amp;MID(Sync!$AK55,6,2)&amp;RIGHT(Sync!$AK55,2))&amp;"|"&amp;"4"&amp;RIGHT("00000"&amp;50,5))</f>
        <v/>
      </c>
      <c r="W55">
        <f>IF($V55="",0,COUNTIFS($V$6:$V$2005,"&lt;"&amp;$V55)-COUNTIFS($V$6:$V$2005,"&lt;"&amp;$V55,$K$6:$K$2005,"")+1)</f>
        <v/>
      </c>
      <c r="X55">
        <f>IF(Sync!$AX55="","",IF(OR(N(Sync!$AY55)=0,N(Sync!$AZ55)=0),"",ROUND(N(Sync!$AY55)*N(Sync!$AZ55),0)))</f>
        <v/>
      </c>
      <c r="Y55">
        <f>IF($X55="","",IF(OR(Sync!$AX55="",COUNTIF(AcctCodesA,Sync!$AX55)=0),"متفرقه",Sync!$AX55))</f>
        <v/>
      </c>
      <c r="Z55">
        <f>IF($X55="","","سبد و ظروف")</f>
        <v/>
      </c>
      <c r="AA55">
        <f>IF($X55="","",$Y55)</f>
        <v/>
      </c>
    </row>
    <row r="56">
      <c r="A56">
        <f>IF(Sync!$Z56="","",LEFT(UPPER(TRIM(Sync!$Z56)),6))</f>
        <v/>
      </c>
      <c r="B56">
        <f>IF($A56="","",IF(Sync!$AA56="","",Sync!$AA56))</f>
        <v/>
      </c>
      <c r="C56">
        <f>IF($A56="","",IF(Sync!$AB56="","",Sync!$AB56))</f>
        <v/>
      </c>
      <c r="D56">
        <f>IF($A56="","",IF(Sync!$AC56="","",Sync!$AC56))</f>
        <v/>
      </c>
      <c r="E56">
        <f>IF($A56="","",IF(Sync!$AD56="","",Sync!$AD56))</f>
        <v/>
      </c>
      <c r="F56">
        <f>IF($A56="","",IF(Sync!$AE56="",0,Sync!$AE56))</f>
        <v/>
      </c>
      <c r="G56">
        <f>IF($A56="","",IF(Sync!$AF56="",0,Sync!$AF56))</f>
        <v/>
      </c>
      <c r="H56">
        <f>IF(OR($A56="",ROUND($F56+$G56,2)=0),"",$F56+$G56)</f>
        <v/>
      </c>
      <c r="I56">
        <f>IF($H56="","",IF(ROUND($F56,2)&gt;0,$A56,IF($D56="شخصی قاسم","شخصی قاسم",IF($D56="هزینه","هزینه: "&amp;IF($E56="","متفرقه",$E56),IF($C56="پاس چک","چک پرداختی",IF(OR($B56="",COUNTIF(AcctCodesA,$B56)=0),"متفرقه",$B56))))))</f>
        <v/>
      </c>
      <c r="J56">
        <f>IF($H56="","",IF(ROUND($F56,2)&gt;0,IF($D56="شخصی قاسم","شخصی قاسم",IF($D56="هزینه","هزینه: "&amp;IF($E56="","متفرقه",$E56),IF(OR($B56="",COUNTIF(AcctCodesA,$B56)=0),"متفرقه",$B56))),$A56))</f>
        <v/>
      </c>
      <c r="K56">
        <f>IF($A56="","",IF(AND($B56&lt;&gt;"",COUNTIF(AcctCodesA,$B56)=0),"کد طرف در INFO تعریف نشده",IF(AND($D56="هزینه",$E56=""),"هزینه بدون زیرگروه",IF(AND($C56="پاس چک",OR(Sync!$AJ56="",COUNTIF(IssueNosA,Sync!$AJ56)=0)),"شماره چک پاس‌شده معتبر نیست",""))))</f>
        <v/>
      </c>
      <c r="M56">
        <f>IF(Sync!$AH56="","",Sync!$AH56)</f>
        <v/>
      </c>
      <c r="N56">
        <f>IF($M56="","",IF(OR(Sync!$AI56="",COUNTIF(AcctCodesA,Sync!$AI56)=0),"متفرقه",Sync!$AI56))</f>
        <v/>
      </c>
      <c r="O56">
        <f>IF($M56="","",$N56)</f>
        <v/>
      </c>
      <c r="P56">
        <f>IF($M56="","","چک پرداختی")</f>
        <v/>
      </c>
      <c r="R56">
        <f>IF($M56="","",IF(COUNTIF(AcctCodesA,Sync!$AI56)=0,"ذی‌نفع چک تعریف‌نشده",""))</f>
        <v/>
      </c>
      <c r="S56">
        <f>IF($R56="","",Sync!$AG56&amp;"|"&amp;"5"&amp;RIGHT("00000"&amp;51,5))</f>
        <v/>
      </c>
      <c r="T56">
        <f>IF($S56="",0,COUNTIFS($S$6:$S$505,"&lt;"&amp;$S56)-COUNTIFS($S$6:$S$505,"&lt;"&amp;$S56,$R$6:$R$505,"")+1)</f>
        <v/>
      </c>
      <c r="V56">
        <f>IF($K56="","",IF(ISNUMBER(Sync!$AK56),Sync!$AK56,LEFT(Sync!$AK56,4)&amp;MID(Sync!$AK56,6,2)&amp;RIGHT(Sync!$AK56,2))&amp;"|"&amp;"4"&amp;RIGHT("00000"&amp;51,5))</f>
        <v/>
      </c>
      <c r="W56">
        <f>IF($V56="",0,COUNTIFS($V$6:$V$2005,"&lt;"&amp;$V56)-COUNTIFS($V$6:$V$2005,"&lt;"&amp;$V56,$K$6:$K$2005,"")+1)</f>
        <v/>
      </c>
      <c r="X56">
        <f>IF(Sync!$AX56="","",IF(OR(N(Sync!$AY56)=0,N(Sync!$AZ56)=0),"",ROUND(N(Sync!$AY56)*N(Sync!$AZ56),0)))</f>
        <v/>
      </c>
      <c r="Y56">
        <f>IF($X56="","",IF(OR(Sync!$AX56="",COUNTIF(AcctCodesA,Sync!$AX56)=0),"متفرقه",Sync!$AX56))</f>
        <v/>
      </c>
      <c r="Z56">
        <f>IF($X56="","","سبد و ظروف")</f>
        <v/>
      </c>
      <c r="AA56">
        <f>IF($X56="","",$Y56)</f>
        <v/>
      </c>
    </row>
    <row r="57">
      <c r="A57">
        <f>IF(Sync!$Z57="","",LEFT(UPPER(TRIM(Sync!$Z57)),6))</f>
        <v/>
      </c>
      <c r="B57">
        <f>IF($A57="","",IF(Sync!$AA57="","",Sync!$AA57))</f>
        <v/>
      </c>
      <c r="C57">
        <f>IF($A57="","",IF(Sync!$AB57="","",Sync!$AB57))</f>
        <v/>
      </c>
      <c r="D57">
        <f>IF($A57="","",IF(Sync!$AC57="","",Sync!$AC57))</f>
        <v/>
      </c>
      <c r="E57">
        <f>IF($A57="","",IF(Sync!$AD57="","",Sync!$AD57))</f>
        <v/>
      </c>
      <c r="F57">
        <f>IF($A57="","",IF(Sync!$AE57="",0,Sync!$AE57))</f>
        <v/>
      </c>
      <c r="G57">
        <f>IF($A57="","",IF(Sync!$AF57="",0,Sync!$AF57))</f>
        <v/>
      </c>
      <c r="H57">
        <f>IF(OR($A57="",ROUND($F57+$G57,2)=0),"",$F57+$G57)</f>
        <v/>
      </c>
      <c r="I57">
        <f>IF($H57="","",IF(ROUND($F57,2)&gt;0,$A57,IF($D57="شخصی قاسم","شخصی قاسم",IF($D57="هزینه","هزینه: "&amp;IF($E57="","متفرقه",$E57),IF($C57="پاس چک","چک پرداختی",IF(OR($B57="",COUNTIF(AcctCodesA,$B57)=0),"متفرقه",$B57))))))</f>
        <v/>
      </c>
      <c r="J57">
        <f>IF($H57="","",IF(ROUND($F57,2)&gt;0,IF($D57="شخصی قاسم","شخصی قاسم",IF($D57="هزینه","هزینه: "&amp;IF($E57="","متفرقه",$E57),IF(OR($B57="",COUNTIF(AcctCodesA,$B57)=0),"متفرقه",$B57))),$A57))</f>
        <v/>
      </c>
      <c r="K57">
        <f>IF($A57="","",IF(AND($B57&lt;&gt;"",COUNTIF(AcctCodesA,$B57)=0),"کد طرف در INFO تعریف نشده",IF(AND($D57="هزینه",$E57=""),"هزینه بدون زیرگروه",IF(AND($C57="پاس چک",OR(Sync!$AJ57="",COUNTIF(IssueNosA,Sync!$AJ57)=0)),"شماره چک پاس‌شده معتبر نیست",""))))</f>
        <v/>
      </c>
      <c r="M57">
        <f>IF(Sync!$AH57="","",Sync!$AH57)</f>
        <v/>
      </c>
      <c r="N57">
        <f>IF($M57="","",IF(OR(Sync!$AI57="",COUNTIF(AcctCodesA,Sync!$AI57)=0),"متفرقه",Sync!$AI57))</f>
        <v/>
      </c>
      <c r="O57">
        <f>IF($M57="","",$N57)</f>
        <v/>
      </c>
      <c r="P57">
        <f>IF($M57="","","چک پرداختی")</f>
        <v/>
      </c>
      <c r="R57">
        <f>IF($M57="","",IF(COUNTIF(AcctCodesA,Sync!$AI57)=0,"ذی‌نفع چک تعریف‌نشده",""))</f>
        <v/>
      </c>
      <c r="S57">
        <f>IF($R57="","",Sync!$AG57&amp;"|"&amp;"5"&amp;RIGHT("00000"&amp;52,5))</f>
        <v/>
      </c>
      <c r="T57">
        <f>IF($S57="",0,COUNTIFS($S$6:$S$505,"&lt;"&amp;$S57)-COUNTIFS($S$6:$S$505,"&lt;"&amp;$S57,$R$6:$R$505,"")+1)</f>
        <v/>
      </c>
      <c r="V57">
        <f>IF($K57="","",IF(ISNUMBER(Sync!$AK57),Sync!$AK57,LEFT(Sync!$AK57,4)&amp;MID(Sync!$AK57,6,2)&amp;RIGHT(Sync!$AK57,2))&amp;"|"&amp;"4"&amp;RIGHT("00000"&amp;52,5))</f>
        <v/>
      </c>
      <c r="W57">
        <f>IF($V57="",0,COUNTIFS($V$6:$V$2005,"&lt;"&amp;$V57)-COUNTIFS($V$6:$V$2005,"&lt;"&amp;$V57,$K$6:$K$2005,"")+1)</f>
        <v/>
      </c>
      <c r="X57">
        <f>IF(Sync!$AX57="","",IF(OR(N(Sync!$AY57)=0,N(Sync!$AZ57)=0),"",ROUND(N(Sync!$AY57)*N(Sync!$AZ57),0)))</f>
        <v/>
      </c>
      <c r="Y57">
        <f>IF($X57="","",IF(OR(Sync!$AX57="",COUNTIF(AcctCodesA,Sync!$AX57)=0),"متفرقه",Sync!$AX57))</f>
        <v/>
      </c>
      <c r="Z57">
        <f>IF($X57="","","سبد و ظروف")</f>
        <v/>
      </c>
      <c r="AA57">
        <f>IF($X57="","",$Y57)</f>
        <v/>
      </c>
    </row>
    <row r="58">
      <c r="A58">
        <f>IF(Sync!$Z58="","",LEFT(UPPER(TRIM(Sync!$Z58)),6))</f>
        <v/>
      </c>
      <c r="B58">
        <f>IF($A58="","",IF(Sync!$AA58="","",Sync!$AA58))</f>
        <v/>
      </c>
      <c r="C58">
        <f>IF($A58="","",IF(Sync!$AB58="","",Sync!$AB58))</f>
        <v/>
      </c>
      <c r="D58">
        <f>IF($A58="","",IF(Sync!$AC58="","",Sync!$AC58))</f>
        <v/>
      </c>
      <c r="E58">
        <f>IF($A58="","",IF(Sync!$AD58="","",Sync!$AD58))</f>
        <v/>
      </c>
      <c r="F58">
        <f>IF($A58="","",IF(Sync!$AE58="",0,Sync!$AE58))</f>
        <v/>
      </c>
      <c r="G58">
        <f>IF($A58="","",IF(Sync!$AF58="",0,Sync!$AF58))</f>
        <v/>
      </c>
      <c r="H58">
        <f>IF(OR($A58="",ROUND($F58+$G58,2)=0),"",$F58+$G58)</f>
        <v/>
      </c>
      <c r="I58">
        <f>IF($H58="","",IF(ROUND($F58,2)&gt;0,$A58,IF($D58="شخصی قاسم","شخصی قاسم",IF($D58="هزینه","هزینه: "&amp;IF($E58="","متفرقه",$E58),IF($C58="پاس چک","چک پرداختی",IF(OR($B58="",COUNTIF(AcctCodesA,$B58)=0),"متفرقه",$B58))))))</f>
        <v/>
      </c>
      <c r="J58">
        <f>IF($H58="","",IF(ROUND($F58,2)&gt;0,IF($D58="شخصی قاسم","شخصی قاسم",IF($D58="هزینه","هزینه: "&amp;IF($E58="","متفرقه",$E58),IF(OR($B58="",COUNTIF(AcctCodesA,$B58)=0),"متفرقه",$B58))),$A58))</f>
        <v/>
      </c>
      <c r="K58">
        <f>IF($A58="","",IF(AND($B58&lt;&gt;"",COUNTIF(AcctCodesA,$B58)=0),"کد طرف در INFO تعریف نشده",IF(AND($D58="هزینه",$E58=""),"هزینه بدون زیرگروه",IF(AND($C58="پاس چک",OR(Sync!$AJ58="",COUNTIF(IssueNosA,Sync!$AJ58)=0)),"شماره چک پاس‌شده معتبر نیست",""))))</f>
        <v/>
      </c>
      <c r="M58">
        <f>IF(Sync!$AH58="","",Sync!$AH58)</f>
        <v/>
      </c>
      <c r="N58">
        <f>IF($M58="","",IF(OR(Sync!$AI58="",COUNTIF(AcctCodesA,Sync!$AI58)=0),"متفرقه",Sync!$AI58))</f>
        <v/>
      </c>
      <c r="O58">
        <f>IF($M58="","",$N58)</f>
        <v/>
      </c>
      <c r="P58">
        <f>IF($M58="","","چک پرداختی")</f>
        <v/>
      </c>
      <c r="R58">
        <f>IF($M58="","",IF(COUNTIF(AcctCodesA,Sync!$AI58)=0,"ذی‌نفع چک تعریف‌نشده",""))</f>
        <v/>
      </c>
      <c r="S58">
        <f>IF($R58="","",Sync!$AG58&amp;"|"&amp;"5"&amp;RIGHT("00000"&amp;53,5))</f>
        <v/>
      </c>
      <c r="T58">
        <f>IF($S58="",0,COUNTIFS($S$6:$S$505,"&lt;"&amp;$S58)-COUNTIFS($S$6:$S$505,"&lt;"&amp;$S58,$R$6:$R$505,"")+1)</f>
        <v/>
      </c>
      <c r="V58">
        <f>IF($K58="","",IF(ISNUMBER(Sync!$AK58),Sync!$AK58,LEFT(Sync!$AK58,4)&amp;MID(Sync!$AK58,6,2)&amp;RIGHT(Sync!$AK58,2))&amp;"|"&amp;"4"&amp;RIGHT("00000"&amp;53,5))</f>
        <v/>
      </c>
      <c r="W58">
        <f>IF($V58="",0,COUNTIFS($V$6:$V$2005,"&lt;"&amp;$V58)-COUNTIFS($V$6:$V$2005,"&lt;"&amp;$V58,$K$6:$K$2005,"")+1)</f>
        <v/>
      </c>
      <c r="X58">
        <f>IF(Sync!$AX58="","",IF(OR(N(Sync!$AY58)=0,N(Sync!$AZ58)=0),"",ROUND(N(Sync!$AY58)*N(Sync!$AZ58),0)))</f>
        <v/>
      </c>
      <c r="Y58">
        <f>IF($X58="","",IF(OR(Sync!$AX58="",COUNTIF(AcctCodesA,Sync!$AX58)=0),"متفرقه",Sync!$AX58))</f>
        <v/>
      </c>
      <c r="Z58">
        <f>IF($X58="","","سبد و ظروف")</f>
        <v/>
      </c>
      <c r="AA58">
        <f>IF($X58="","",$Y58)</f>
        <v/>
      </c>
    </row>
    <row r="59">
      <c r="A59">
        <f>IF(Sync!$Z59="","",LEFT(UPPER(TRIM(Sync!$Z59)),6))</f>
        <v/>
      </c>
      <c r="B59">
        <f>IF($A59="","",IF(Sync!$AA59="","",Sync!$AA59))</f>
        <v/>
      </c>
      <c r="C59">
        <f>IF($A59="","",IF(Sync!$AB59="","",Sync!$AB59))</f>
        <v/>
      </c>
      <c r="D59">
        <f>IF($A59="","",IF(Sync!$AC59="","",Sync!$AC59))</f>
        <v/>
      </c>
      <c r="E59">
        <f>IF($A59="","",IF(Sync!$AD59="","",Sync!$AD59))</f>
        <v/>
      </c>
      <c r="F59">
        <f>IF($A59="","",IF(Sync!$AE59="",0,Sync!$AE59))</f>
        <v/>
      </c>
      <c r="G59">
        <f>IF($A59="","",IF(Sync!$AF59="",0,Sync!$AF59))</f>
        <v/>
      </c>
      <c r="H59">
        <f>IF(OR($A59="",ROUND($F59+$G59,2)=0),"",$F59+$G59)</f>
        <v/>
      </c>
      <c r="I59">
        <f>IF($H59="","",IF(ROUND($F59,2)&gt;0,$A59,IF($D59="شخصی قاسم","شخصی قاسم",IF($D59="هزینه","هزینه: "&amp;IF($E59="","متفرقه",$E59),IF($C59="پاس چک","چک پرداختی",IF(OR($B59="",COUNTIF(AcctCodesA,$B59)=0),"متفرقه",$B59))))))</f>
        <v/>
      </c>
      <c r="J59">
        <f>IF($H59="","",IF(ROUND($F59,2)&gt;0,IF($D59="شخصی قاسم","شخصی قاسم",IF($D59="هزینه","هزینه: "&amp;IF($E59="","متفرقه",$E59),IF(OR($B59="",COUNTIF(AcctCodesA,$B59)=0),"متفرقه",$B59))),$A59))</f>
        <v/>
      </c>
      <c r="K59">
        <f>IF($A59="","",IF(AND($B59&lt;&gt;"",COUNTIF(AcctCodesA,$B59)=0),"کد طرف در INFO تعریف نشده",IF(AND($D59="هزینه",$E59=""),"هزینه بدون زیرگروه",IF(AND($C59="پاس چک",OR(Sync!$AJ59="",COUNTIF(IssueNosA,Sync!$AJ59)=0)),"شماره چک پاس‌شده معتبر نیست",""))))</f>
        <v/>
      </c>
      <c r="M59">
        <f>IF(Sync!$AH59="","",Sync!$AH59)</f>
        <v/>
      </c>
      <c r="N59">
        <f>IF($M59="","",IF(OR(Sync!$AI59="",COUNTIF(AcctCodesA,Sync!$AI59)=0),"متفرقه",Sync!$AI59))</f>
        <v/>
      </c>
      <c r="O59">
        <f>IF($M59="","",$N59)</f>
        <v/>
      </c>
      <c r="P59">
        <f>IF($M59="","","چک پرداختی")</f>
        <v/>
      </c>
      <c r="R59">
        <f>IF($M59="","",IF(COUNTIF(AcctCodesA,Sync!$AI59)=0,"ذی‌نفع چک تعریف‌نشده",""))</f>
        <v/>
      </c>
      <c r="S59">
        <f>IF($R59="","",Sync!$AG59&amp;"|"&amp;"5"&amp;RIGHT("00000"&amp;54,5))</f>
        <v/>
      </c>
      <c r="T59">
        <f>IF($S59="",0,COUNTIFS($S$6:$S$505,"&lt;"&amp;$S59)-COUNTIFS($S$6:$S$505,"&lt;"&amp;$S59,$R$6:$R$505,"")+1)</f>
        <v/>
      </c>
      <c r="V59">
        <f>IF($K59="","",IF(ISNUMBER(Sync!$AK59),Sync!$AK59,LEFT(Sync!$AK59,4)&amp;MID(Sync!$AK59,6,2)&amp;RIGHT(Sync!$AK59,2))&amp;"|"&amp;"4"&amp;RIGHT("00000"&amp;54,5))</f>
        <v/>
      </c>
      <c r="W59">
        <f>IF($V59="",0,COUNTIFS($V$6:$V$2005,"&lt;"&amp;$V59)-COUNTIFS($V$6:$V$2005,"&lt;"&amp;$V59,$K$6:$K$2005,"")+1)</f>
        <v/>
      </c>
      <c r="X59">
        <f>IF(Sync!$AX59="","",IF(OR(N(Sync!$AY59)=0,N(Sync!$AZ59)=0),"",ROUND(N(Sync!$AY59)*N(Sync!$AZ59),0)))</f>
        <v/>
      </c>
      <c r="Y59">
        <f>IF($X59="","",IF(OR(Sync!$AX59="",COUNTIF(AcctCodesA,Sync!$AX59)=0),"متفرقه",Sync!$AX59))</f>
        <v/>
      </c>
      <c r="Z59">
        <f>IF($X59="","","سبد و ظروف")</f>
        <v/>
      </c>
      <c r="AA59">
        <f>IF($X59="","",$Y59)</f>
        <v/>
      </c>
    </row>
    <row r="60">
      <c r="A60">
        <f>IF(Sync!$Z60="","",LEFT(UPPER(TRIM(Sync!$Z60)),6))</f>
        <v/>
      </c>
      <c r="B60">
        <f>IF($A60="","",IF(Sync!$AA60="","",Sync!$AA60))</f>
        <v/>
      </c>
      <c r="C60">
        <f>IF($A60="","",IF(Sync!$AB60="","",Sync!$AB60))</f>
        <v/>
      </c>
      <c r="D60">
        <f>IF($A60="","",IF(Sync!$AC60="","",Sync!$AC60))</f>
        <v/>
      </c>
      <c r="E60">
        <f>IF($A60="","",IF(Sync!$AD60="","",Sync!$AD60))</f>
        <v/>
      </c>
      <c r="F60">
        <f>IF($A60="","",IF(Sync!$AE60="",0,Sync!$AE60))</f>
        <v/>
      </c>
      <c r="G60">
        <f>IF($A60="","",IF(Sync!$AF60="",0,Sync!$AF60))</f>
        <v/>
      </c>
      <c r="H60">
        <f>IF(OR($A60="",ROUND($F60+$G60,2)=0),"",$F60+$G60)</f>
        <v/>
      </c>
      <c r="I60">
        <f>IF($H60="","",IF(ROUND($F60,2)&gt;0,$A60,IF($D60="شخصی قاسم","شخصی قاسم",IF($D60="هزینه","هزینه: "&amp;IF($E60="","متفرقه",$E60),IF($C60="پاس چک","چک پرداختی",IF(OR($B60="",COUNTIF(AcctCodesA,$B60)=0),"متفرقه",$B60))))))</f>
        <v/>
      </c>
      <c r="J60">
        <f>IF($H60="","",IF(ROUND($F60,2)&gt;0,IF($D60="شخصی قاسم","شخصی قاسم",IF($D60="هزینه","هزینه: "&amp;IF($E60="","متفرقه",$E60),IF(OR($B60="",COUNTIF(AcctCodesA,$B60)=0),"متفرقه",$B60))),$A60))</f>
        <v/>
      </c>
      <c r="K60">
        <f>IF($A60="","",IF(AND($B60&lt;&gt;"",COUNTIF(AcctCodesA,$B60)=0),"کد طرف در INFO تعریف نشده",IF(AND($D60="هزینه",$E60=""),"هزینه بدون زیرگروه",IF(AND($C60="پاس چک",OR(Sync!$AJ60="",COUNTIF(IssueNosA,Sync!$AJ60)=0)),"شماره چک پاس‌شده معتبر نیست",""))))</f>
        <v/>
      </c>
      <c r="M60">
        <f>IF(Sync!$AH60="","",Sync!$AH60)</f>
        <v/>
      </c>
      <c r="N60">
        <f>IF($M60="","",IF(OR(Sync!$AI60="",COUNTIF(AcctCodesA,Sync!$AI60)=0),"متفرقه",Sync!$AI60))</f>
        <v/>
      </c>
      <c r="O60">
        <f>IF($M60="","",$N60)</f>
        <v/>
      </c>
      <c r="P60">
        <f>IF($M60="","","چک پرداختی")</f>
        <v/>
      </c>
      <c r="R60">
        <f>IF($M60="","",IF(COUNTIF(AcctCodesA,Sync!$AI60)=0,"ذی‌نفع چک تعریف‌نشده",""))</f>
        <v/>
      </c>
      <c r="S60">
        <f>IF($R60="","",Sync!$AG60&amp;"|"&amp;"5"&amp;RIGHT("00000"&amp;55,5))</f>
        <v/>
      </c>
      <c r="T60">
        <f>IF($S60="",0,COUNTIFS($S$6:$S$505,"&lt;"&amp;$S60)-COUNTIFS($S$6:$S$505,"&lt;"&amp;$S60,$R$6:$R$505,"")+1)</f>
        <v/>
      </c>
      <c r="V60">
        <f>IF($K60="","",IF(ISNUMBER(Sync!$AK60),Sync!$AK60,LEFT(Sync!$AK60,4)&amp;MID(Sync!$AK60,6,2)&amp;RIGHT(Sync!$AK60,2))&amp;"|"&amp;"4"&amp;RIGHT("00000"&amp;55,5))</f>
        <v/>
      </c>
      <c r="W60">
        <f>IF($V60="",0,COUNTIFS($V$6:$V$2005,"&lt;"&amp;$V60)-COUNTIFS($V$6:$V$2005,"&lt;"&amp;$V60,$K$6:$K$2005,"")+1)</f>
        <v/>
      </c>
      <c r="X60">
        <f>IF(Sync!$AX60="","",IF(OR(N(Sync!$AY60)=0,N(Sync!$AZ60)=0),"",ROUND(N(Sync!$AY60)*N(Sync!$AZ60),0)))</f>
        <v/>
      </c>
      <c r="Y60">
        <f>IF($X60="","",IF(OR(Sync!$AX60="",COUNTIF(AcctCodesA,Sync!$AX60)=0),"متفرقه",Sync!$AX60))</f>
        <v/>
      </c>
      <c r="Z60">
        <f>IF($X60="","","سبد و ظروف")</f>
        <v/>
      </c>
      <c r="AA60">
        <f>IF($X60="","",$Y60)</f>
        <v/>
      </c>
    </row>
    <row r="61">
      <c r="A61">
        <f>IF(Sync!$Z61="","",LEFT(UPPER(TRIM(Sync!$Z61)),6))</f>
        <v/>
      </c>
      <c r="B61">
        <f>IF($A61="","",IF(Sync!$AA61="","",Sync!$AA61))</f>
        <v/>
      </c>
      <c r="C61">
        <f>IF($A61="","",IF(Sync!$AB61="","",Sync!$AB61))</f>
        <v/>
      </c>
      <c r="D61">
        <f>IF($A61="","",IF(Sync!$AC61="","",Sync!$AC61))</f>
        <v/>
      </c>
      <c r="E61">
        <f>IF($A61="","",IF(Sync!$AD61="","",Sync!$AD61))</f>
        <v/>
      </c>
      <c r="F61">
        <f>IF($A61="","",IF(Sync!$AE61="",0,Sync!$AE61))</f>
        <v/>
      </c>
      <c r="G61">
        <f>IF($A61="","",IF(Sync!$AF61="",0,Sync!$AF61))</f>
        <v/>
      </c>
      <c r="H61">
        <f>IF(OR($A61="",ROUND($F61+$G61,2)=0),"",$F61+$G61)</f>
        <v/>
      </c>
      <c r="I61">
        <f>IF($H61="","",IF(ROUND($F61,2)&gt;0,$A61,IF($D61="شخصی قاسم","شخصی قاسم",IF($D61="هزینه","هزینه: "&amp;IF($E61="","متفرقه",$E61),IF($C61="پاس چک","چک پرداختی",IF(OR($B61="",COUNTIF(AcctCodesA,$B61)=0),"متفرقه",$B61))))))</f>
        <v/>
      </c>
      <c r="J61">
        <f>IF($H61="","",IF(ROUND($F61,2)&gt;0,IF($D61="شخصی قاسم","شخصی قاسم",IF($D61="هزینه","هزینه: "&amp;IF($E61="","متفرقه",$E61),IF(OR($B61="",COUNTIF(AcctCodesA,$B61)=0),"متفرقه",$B61))),$A61))</f>
        <v/>
      </c>
      <c r="K61">
        <f>IF($A61="","",IF(AND($B61&lt;&gt;"",COUNTIF(AcctCodesA,$B61)=0),"کد طرف در INFO تعریف نشده",IF(AND($D61="هزینه",$E61=""),"هزینه بدون زیرگروه",IF(AND($C61="پاس چک",OR(Sync!$AJ61="",COUNTIF(IssueNosA,Sync!$AJ61)=0)),"شماره چک پاس‌شده معتبر نیست",""))))</f>
        <v/>
      </c>
      <c r="M61">
        <f>IF(Sync!$AH61="","",Sync!$AH61)</f>
        <v/>
      </c>
      <c r="N61">
        <f>IF($M61="","",IF(OR(Sync!$AI61="",COUNTIF(AcctCodesA,Sync!$AI61)=0),"متفرقه",Sync!$AI61))</f>
        <v/>
      </c>
      <c r="O61">
        <f>IF($M61="","",$N61)</f>
        <v/>
      </c>
      <c r="P61">
        <f>IF($M61="","","چک پرداختی")</f>
        <v/>
      </c>
      <c r="R61">
        <f>IF($M61="","",IF(COUNTIF(AcctCodesA,Sync!$AI61)=0,"ذی‌نفع چک تعریف‌نشده",""))</f>
        <v/>
      </c>
      <c r="S61">
        <f>IF($R61="","",Sync!$AG61&amp;"|"&amp;"5"&amp;RIGHT("00000"&amp;56,5))</f>
        <v/>
      </c>
      <c r="T61">
        <f>IF($S61="",0,COUNTIFS($S$6:$S$505,"&lt;"&amp;$S61)-COUNTIFS($S$6:$S$505,"&lt;"&amp;$S61,$R$6:$R$505,"")+1)</f>
        <v/>
      </c>
      <c r="V61">
        <f>IF($K61="","",IF(ISNUMBER(Sync!$AK61),Sync!$AK61,LEFT(Sync!$AK61,4)&amp;MID(Sync!$AK61,6,2)&amp;RIGHT(Sync!$AK61,2))&amp;"|"&amp;"4"&amp;RIGHT("00000"&amp;56,5))</f>
        <v/>
      </c>
      <c r="W61">
        <f>IF($V61="",0,COUNTIFS($V$6:$V$2005,"&lt;"&amp;$V61)-COUNTIFS($V$6:$V$2005,"&lt;"&amp;$V61,$K$6:$K$2005,"")+1)</f>
        <v/>
      </c>
      <c r="X61">
        <f>IF(Sync!$AX61="","",IF(OR(N(Sync!$AY61)=0,N(Sync!$AZ61)=0),"",ROUND(N(Sync!$AY61)*N(Sync!$AZ61),0)))</f>
        <v/>
      </c>
      <c r="Y61">
        <f>IF($X61="","",IF(OR(Sync!$AX61="",COUNTIF(AcctCodesA,Sync!$AX61)=0),"متفرقه",Sync!$AX61))</f>
        <v/>
      </c>
      <c r="Z61">
        <f>IF($X61="","","سبد و ظروف")</f>
        <v/>
      </c>
      <c r="AA61">
        <f>IF($X61="","",$Y61)</f>
        <v/>
      </c>
    </row>
    <row r="62">
      <c r="A62">
        <f>IF(Sync!$Z62="","",LEFT(UPPER(TRIM(Sync!$Z62)),6))</f>
        <v/>
      </c>
      <c r="B62">
        <f>IF($A62="","",IF(Sync!$AA62="","",Sync!$AA62))</f>
        <v/>
      </c>
      <c r="C62">
        <f>IF($A62="","",IF(Sync!$AB62="","",Sync!$AB62))</f>
        <v/>
      </c>
      <c r="D62">
        <f>IF($A62="","",IF(Sync!$AC62="","",Sync!$AC62))</f>
        <v/>
      </c>
      <c r="E62">
        <f>IF($A62="","",IF(Sync!$AD62="","",Sync!$AD62))</f>
        <v/>
      </c>
      <c r="F62">
        <f>IF($A62="","",IF(Sync!$AE62="",0,Sync!$AE62))</f>
        <v/>
      </c>
      <c r="G62">
        <f>IF($A62="","",IF(Sync!$AF62="",0,Sync!$AF62))</f>
        <v/>
      </c>
      <c r="H62">
        <f>IF(OR($A62="",ROUND($F62+$G62,2)=0),"",$F62+$G62)</f>
        <v/>
      </c>
      <c r="I62">
        <f>IF($H62="","",IF(ROUND($F62,2)&gt;0,$A62,IF($D62="شخصی قاسم","شخصی قاسم",IF($D62="هزینه","هزینه: "&amp;IF($E62="","متفرقه",$E62),IF($C62="پاس چک","چک پرداختی",IF(OR($B62="",COUNTIF(AcctCodesA,$B62)=0),"متفرقه",$B62))))))</f>
        <v/>
      </c>
      <c r="J62">
        <f>IF($H62="","",IF(ROUND($F62,2)&gt;0,IF($D62="شخصی قاسم","شخصی قاسم",IF($D62="هزینه","هزینه: "&amp;IF($E62="","متفرقه",$E62),IF(OR($B62="",COUNTIF(AcctCodesA,$B62)=0),"متفرقه",$B62))),$A62))</f>
        <v/>
      </c>
      <c r="K62">
        <f>IF($A62="","",IF(AND($B62&lt;&gt;"",COUNTIF(AcctCodesA,$B62)=0),"کد طرف در INFO تعریف نشده",IF(AND($D62="هزینه",$E62=""),"هزینه بدون زیرگروه",IF(AND($C62="پاس چک",OR(Sync!$AJ62="",COUNTIF(IssueNosA,Sync!$AJ62)=0)),"شماره چک پاس‌شده معتبر نیست",""))))</f>
        <v/>
      </c>
      <c r="M62">
        <f>IF(Sync!$AH62="","",Sync!$AH62)</f>
        <v/>
      </c>
      <c r="N62">
        <f>IF($M62="","",IF(OR(Sync!$AI62="",COUNTIF(AcctCodesA,Sync!$AI62)=0),"متفرقه",Sync!$AI62))</f>
        <v/>
      </c>
      <c r="O62">
        <f>IF($M62="","",$N62)</f>
        <v/>
      </c>
      <c r="P62">
        <f>IF($M62="","","چک پرداختی")</f>
        <v/>
      </c>
      <c r="R62">
        <f>IF($M62="","",IF(COUNTIF(AcctCodesA,Sync!$AI62)=0,"ذی‌نفع چک تعریف‌نشده",""))</f>
        <v/>
      </c>
      <c r="S62">
        <f>IF($R62="","",Sync!$AG62&amp;"|"&amp;"5"&amp;RIGHT("00000"&amp;57,5))</f>
        <v/>
      </c>
      <c r="T62">
        <f>IF($S62="",0,COUNTIFS($S$6:$S$505,"&lt;"&amp;$S62)-COUNTIFS($S$6:$S$505,"&lt;"&amp;$S62,$R$6:$R$505,"")+1)</f>
        <v/>
      </c>
      <c r="V62">
        <f>IF($K62="","",IF(ISNUMBER(Sync!$AK62),Sync!$AK62,LEFT(Sync!$AK62,4)&amp;MID(Sync!$AK62,6,2)&amp;RIGHT(Sync!$AK62,2))&amp;"|"&amp;"4"&amp;RIGHT("00000"&amp;57,5))</f>
        <v/>
      </c>
      <c r="W62">
        <f>IF($V62="",0,COUNTIFS($V$6:$V$2005,"&lt;"&amp;$V62)-COUNTIFS($V$6:$V$2005,"&lt;"&amp;$V62,$K$6:$K$2005,"")+1)</f>
        <v/>
      </c>
      <c r="X62">
        <f>IF(Sync!$AX62="","",IF(OR(N(Sync!$AY62)=0,N(Sync!$AZ62)=0),"",ROUND(N(Sync!$AY62)*N(Sync!$AZ62),0)))</f>
        <v/>
      </c>
      <c r="Y62">
        <f>IF($X62="","",IF(OR(Sync!$AX62="",COUNTIF(AcctCodesA,Sync!$AX62)=0),"متفرقه",Sync!$AX62))</f>
        <v/>
      </c>
      <c r="Z62">
        <f>IF($X62="","","سبد و ظروف")</f>
        <v/>
      </c>
      <c r="AA62">
        <f>IF($X62="","",$Y62)</f>
        <v/>
      </c>
    </row>
    <row r="63">
      <c r="A63">
        <f>IF(Sync!$Z63="","",LEFT(UPPER(TRIM(Sync!$Z63)),6))</f>
        <v/>
      </c>
      <c r="B63">
        <f>IF($A63="","",IF(Sync!$AA63="","",Sync!$AA63))</f>
        <v/>
      </c>
      <c r="C63">
        <f>IF($A63="","",IF(Sync!$AB63="","",Sync!$AB63))</f>
        <v/>
      </c>
      <c r="D63">
        <f>IF($A63="","",IF(Sync!$AC63="","",Sync!$AC63))</f>
        <v/>
      </c>
      <c r="E63">
        <f>IF($A63="","",IF(Sync!$AD63="","",Sync!$AD63))</f>
        <v/>
      </c>
      <c r="F63">
        <f>IF($A63="","",IF(Sync!$AE63="",0,Sync!$AE63))</f>
        <v/>
      </c>
      <c r="G63">
        <f>IF($A63="","",IF(Sync!$AF63="",0,Sync!$AF63))</f>
        <v/>
      </c>
      <c r="H63">
        <f>IF(OR($A63="",ROUND($F63+$G63,2)=0),"",$F63+$G63)</f>
        <v/>
      </c>
      <c r="I63">
        <f>IF($H63="","",IF(ROUND($F63,2)&gt;0,$A63,IF($D63="شخصی قاسم","شخصی قاسم",IF($D63="هزینه","هزینه: "&amp;IF($E63="","متفرقه",$E63),IF($C63="پاس چک","چک پرداختی",IF(OR($B63="",COUNTIF(AcctCodesA,$B63)=0),"متفرقه",$B63))))))</f>
        <v/>
      </c>
      <c r="J63">
        <f>IF($H63="","",IF(ROUND($F63,2)&gt;0,IF($D63="شخصی قاسم","شخصی قاسم",IF($D63="هزینه","هزینه: "&amp;IF($E63="","متفرقه",$E63),IF(OR($B63="",COUNTIF(AcctCodesA,$B63)=0),"متفرقه",$B63))),$A63))</f>
        <v/>
      </c>
      <c r="K63">
        <f>IF($A63="","",IF(AND($B63&lt;&gt;"",COUNTIF(AcctCodesA,$B63)=0),"کد طرف در INFO تعریف نشده",IF(AND($D63="هزینه",$E63=""),"هزینه بدون زیرگروه",IF(AND($C63="پاس چک",OR(Sync!$AJ63="",COUNTIF(IssueNosA,Sync!$AJ63)=0)),"شماره چک پاس‌شده معتبر نیست",""))))</f>
        <v/>
      </c>
      <c r="M63">
        <f>IF(Sync!$AH63="","",Sync!$AH63)</f>
        <v/>
      </c>
      <c r="N63">
        <f>IF($M63="","",IF(OR(Sync!$AI63="",COUNTIF(AcctCodesA,Sync!$AI63)=0),"متفرقه",Sync!$AI63))</f>
        <v/>
      </c>
      <c r="O63">
        <f>IF($M63="","",$N63)</f>
        <v/>
      </c>
      <c r="P63">
        <f>IF($M63="","","چک پرداختی")</f>
        <v/>
      </c>
      <c r="R63">
        <f>IF($M63="","",IF(COUNTIF(AcctCodesA,Sync!$AI63)=0,"ذی‌نفع چک تعریف‌نشده",""))</f>
        <v/>
      </c>
      <c r="S63">
        <f>IF($R63="","",Sync!$AG63&amp;"|"&amp;"5"&amp;RIGHT("00000"&amp;58,5))</f>
        <v/>
      </c>
      <c r="T63">
        <f>IF($S63="",0,COUNTIFS($S$6:$S$505,"&lt;"&amp;$S63)-COUNTIFS($S$6:$S$505,"&lt;"&amp;$S63,$R$6:$R$505,"")+1)</f>
        <v/>
      </c>
      <c r="V63">
        <f>IF($K63="","",IF(ISNUMBER(Sync!$AK63),Sync!$AK63,LEFT(Sync!$AK63,4)&amp;MID(Sync!$AK63,6,2)&amp;RIGHT(Sync!$AK63,2))&amp;"|"&amp;"4"&amp;RIGHT("00000"&amp;58,5))</f>
        <v/>
      </c>
      <c r="W63">
        <f>IF($V63="",0,COUNTIFS($V$6:$V$2005,"&lt;"&amp;$V63)-COUNTIFS($V$6:$V$2005,"&lt;"&amp;$V63,$K$6:$K$2005,"")+1)</f>
        <v/>
      </c>
      <c r="X63">
        <f>IF(Sync!$AX63="","",IF(OR(N(Sync!$AY63)=0,N(Sync!$AZ63)=0),"",ROUND(N(Sync!$AY63)*N(Sync!$AZ63),0)))</f>
        <v/>
      </c>
      <c r="Y63">
        <f>IF($X63="","",IF(OR(Sync!$AX63="",COUNTIF(AcctCodesA,Sync!$AX63)=0),"متفرقه",Sync!$AX63))</f>
        <v/>
      </c>
      <c r="Z63">
        <f>IF($X63="","","سبد و ظروف")</f>
        <v/>
      </c>
      <c r="AA63">
        <f>IF($X63="","",$Y63)</f>
        <v/>
      </c>
    </row>
    <row r="64">
      <c r="A64">
        <f>IF(Sync!$Z64="","",LEFT(UPPER(TRIM(Sync!$Z64)),6))</f>
        <v/>
      </c>
      <c r="B64">
        <f>IF($A64="","",IF(Sync!$AA64="","",Sync!$AA64))</f>
        <v/>
      </c>
      <c r="C64">
        <f>IF($A64="","",IF(Sync!$AB64="","",Sync!$AB64))</f>
        <v/>
      </c>
      <c r="D64">
        <f>IF($A64="","",IF(Sync!$AC64="","",Sync!$AC64))</f>
        <v/>
      </c>
      <c r="E64">
        <f>IF($A64="","",IF(Sync!$AD64="","",Sync!$AD64))</f>
        <v/>
      </c>
      <c r="F64">
        <f>IF($A64="","",IF(Sync!$AE64="",0,Sync!$AE64))</f>
        <v/>
      </c>
      <c r="G64">
        <f>IF($A64="","",IF(Sync!$AF64="",0,Sync!$AF64))</f>
        <v/>
      </c>
      <c r="H64">
        <f>IF(OR($A64="",ROUND($F64+$G64,2)=0),"",$F64+$G64)</f>
        <v/>
      </c>
      <c r="I64">
        <f>IF($H64="","",IF(ROUND($F64,2)&gt;0,$A64,IF($D64="شخصی قاسم","شخصی قاسم",IF($D64="هزینه","هزینه: "&amp;IF($E64="","متفرقه",$E64),IF($C64="پاس چک","چک پرداختی",IF(OR($B64="",COUNTIF(AcctCodesA,$B64)=0),"متفرقه",$B64))))))</f>
        <v/>
      </c>
      <c r="J64">
        <f>IF($H64="","",IF(ROUND($F64,2)&gt;0,IF($D64="شخصی قاسم","شخصی قاسم",IF($D64="هزینه","هزینه: "&amp;IF($E64="","متفرقه",$E64),IF(OR($B64="",COUNTIF(AcctCodesA,$B64)=0),"متفرقه",$B64))),$A64))</f>
        <v/>
      </c>
      <c r="K64">
        <f>IF($A64="","",IF(AND($B64&lt;&gt;"",COUNTIF(AcctCodesA,$B64)=0),"کد طرف در INFO تعریف نشده",IF(AND($D64="هزینه",$E64=""),"هزینه بدون زیرگروه",IF(AND($C64="پاس چک",OR(Sync!$AJ64="",COUNTIF(IssueNosA,Sync!$AJ64)=0)),"شماره چک پاس‌شده معتبر نیست",""))))</f>
        <v/>
      </c>
      <c r="M64">
        <f>IF(Sync!$AH64="","",Sync!$AH64)</f>
        <v/>
      </c>
      <c r="N64">
        <f>IF($M64="","",IF(OR(Sync!$AI64="",COUNTIF(AcctCodesA,Sync!$AI64)=0),"متفرقه",Sync!$AI64))</f>
        <v/>
      </c>
      <c r="O64">
        <f>IF($M64="","",$N64)</f>
        <v/>
      </c>
      <c r="P64">
        <f>IF($M64="","","چک پرداختی")</f>
        <v/>
      </c>
      <c r="R64">
        <f>IF($M64="","",IF(COUNTIF(AcctCodesA,Sync!$AI64)=0,"ذی‌نفع چک تعریف‌نشده",""))</f>
        <v/>
      </c>
      <c r="S64">
        <f>IF($R64="","",Sync!$AG64&amp;"|"&amp;"5"&amp;RIGHT("00000"&amp;59,5))</f>
        <v/>
      </c>
      <c r="T64">
        <f>IF($S64="",0,COUNTIFS($S$6:$S$505,"&lt;"&amp;$S64)-COUNTIFS($S$6:$S$505,"&lt;"&amp;$S64,$R$6:$R$505,"")+1)</f>
        <v/>
      </c>
      <c r="V64">
        <f>IF($K64="","",IF(ISNUMBER(Sync!$AK64),Sync!$AK64,LEFT(Sync!$AK64,4)&amp;MID(Sync!$AK64,6,2)&amp;RIGHT(Sync!$AK64,2))&amp;"|"&amp;"4"&amp;RIGHT("00000"&amp;59,5))</f>
        <v/>
      </c>
      <c r="W64">
        <f>IF($V64="",0,COUNTIFS($V$6:$V$2005,"&lt;"&amp;$V64)-COUNTIFS($V$6:$V$2005,"&lt;"&amp;$V64,$K$6:$K$2005,"")+1)</f>
        <v/>
      </c>
      <c r="X64">
        <f>IF(Sync!$AX64="","",IF(OR(N(Sync!$AY64)=0,N(Sync!$AZ64)=0),"",ROUND(N(Sync!$AY64)*N(Sync!$AZ64),0)))</f>
        <v/>
      </c>
      <c r="Y64">
        <f>IF($X64="","",IF(OR(Sync!$AX64="",COUNTIF(AcctCodesA,Sync!$AX64)=0),"متفرقه",Sync!$AX64))</f>
        <v/>
      </c>
      <c r="Z64">
        <f>IF($X64="","","سبد و ظروف")</f>
        <v/>
      </c>
      <c r="AA64">
        <f>IF($X64="","",$Y64)</f>
        <v/>
      </c>
    </row>
    <row r="65">
      <c r="A65">
        <f>IF(Sync!$Z65="","",LEFT(UPPER(TRIM(Sync!$Z65)),6))</f>
        <v/>
      </c>
      <c r="B65">
        <f>IF($A65="","",IF(Sync!$AA65="","",Sync!$AA65))</f>
        <v/>
      </c>
      <c r="C65">
        <f>IF($A65="","",IF(Sync!$AB65="","",Sync!$AB65))</f>
        <v/>
      </c>
      <c r="D65">
        <f>IF($A65="","",IF(Sync!$AC65="","",Sync!$AC65))</f>
        <v/>
      </c>
      <c r="E65">
        <f>IF($A65="","",IF(Sync!$AD65="","",Sync!$AD65))</f>
        <v/>
      </c>
      <c r="F65">
        <f>IF($A65="","",IF(Sync!$AE65="",0,Sync!$AE65))</f>
        <v/>
      </c>
      <c r="G65">
        <f>IF($A65="","",IF(Sync!$AF65="",0,Sync!$AF65))</f>
        <v/>
      </c>
      <c r="H65">
        <f>IF(OR($A65="",ROUND($F65+$G65,2)=0),"",$F65+$G65)</f>
        <v/>
      </c>
      <c r="I65">
        <f>IF($H65="","",IF(ROUND($F65,2)&gt;0,$A65,IF($D65="شخصی قاسم","شخصی قاسم",IF($D65="هزینه","هزینه: "&amp;IF($E65="","متفرقه",$E65),IF($C65="پاس چک","چک پرداختی",IF(OR($B65="",COUNTIF(AcctCodesA,$B65)=0),"متفرقه",$B65))))))</f>
        <v/>
      </c>
      <c r="J65">
        <f>IF($H65="","",IF(ROUND($F65,2)&gt;0,IF($D65="شخصی قاسم","شخصی قاسم",IF($D65="هزینه","هزینه: "&amp;IF($E65="","متفرقه",$E65),IF(OR($B65="",COUNTIF(AcctCodesA,$B65)=0),"متفرقه",$B65))),$A65))</f>
        <v/>
      </c>
      <c r="K65">
        <f>IF($A65="","",IF(AND($B65&lt;&gt;"",COUNTIF(AcctCodesA,$B65)=0),"کد طرف در INFO تعریف نشده",IF(AND($D65="هزینه",$E65=""),"هزینه بدون زیرگروه",IF(AND($C65="پاس چک",OR(Sync!$AJ65="",COUNTIF(IssueNosA,Sync!$AJ65)=0)),"شماره چک پاس‌شده معتبر نیست",""))))</f>
        <v/>
      </c>
      <c r="M65">
        <f>IF(Sync!$AH65="","",Sync!$AH65)</f>
        <v/>
      </c>
      <c r="N65">
        <f>IF($M65="","",IF(OR(Sync!$AI65="",COUNTIF(AcctCodesA,Sync!$AI65)=0),"متفرقه",Sync!$AI65))</f>
        <v/>
      </c>
      <c r="O65">
        <f>IF($M65="","",$N65)</f>
        <v/>
      </c>
      <c r="P65">
        <f>IF($M65="","","چک پرداختی")</f>
        <v/>
      </c>
      <c r="R65">
        <f>IF($M65="","",IF(COUNTIF(AcctCodesA,Sync!$AI65)=0,"ذی‌نفع چک تعریف‌نشده",""))</f>
        <v/>
      </c>
      <c r="S65">
        <f>IF($R65="","",Sync!$AG65&amp;"|"&amp;"5"&amp;RIGHT("00000"&amp;60,5))</f>
        <v/>
      </c>
      <c r="T65">
        <f>IF($S65="",0,COUNTIFS($S$6:$S$505,"&lt;"&amp;$S65)-COUNTIFS($S$6:$S$505,"&lt;"&amp;$S65,$R$6:$R$505,"")+1)</f>
        <v/>
      </c>
      <c r="V65">
        <f>IF($K65="","",IF(ISNUMBER(Sync!$AK65),Sync!$AK65,LEFT(Sync!$AK65,4)&amp;MID(Sync!$AK65,6,2)&amp;RIGHT(Sync!$AK65,2))&amp;"|"&amp;"4"&amp;RIGHT("00000"&amp;60,5))</f>
        <v/>
      </c>
      <c r="W65">
        <f>IF($V65="",0,COUNTIFS($V$6:$V$2005,"&lt;"&amp;$V65)-COUNTIFS($V$6:$V$2005,"&lt;"&amp;$V65,$K$6:$K$2005,"")+1)</f>
        <v/>
      </c>
      <c r="X65">
        <f>IF(Sync!$AX65="","",IF(OR(N(Sync!$AY65)=0,N(Sync!$AZ65)=0),"",ROUND(N(Sync!$AY65)*N(Sync!$AZ65),0)))</f>
        <v/>
      </c>
      <c r="Y65">
        <f>IF($X65="","",IF(OR(Sync!$AX65="",COUNTIF(AcctCodesA,Sync!$AX65)=0),"متفرقه",Sync!$AX65))</f>
        <v/>
      </c>
      <c r="Z65">
        <f>IF($X65="","","سبد و ظروف")</f>
        <v/>
      </c>
      <c r="AA65">
        <f>IF($X65="","",$Y65)</f>
        <v/>
      </c>
    </row>
    <row r="66">
      <c r="A66">
        <f>IF(Sync!$Z66="","",LEFT(UPPER(TRIM(Sync!$Z66)),6))</f>
        <v/>
      </c>
      <c r="B66">
        <f>IF($A66="","",IF(Sync!$AA66="","",Sync!$AA66))</f>
        <v/>
      </c>
      <c r="C66">
        <f>IF($A66="","",IF(Sync!$AB66="","",Sync!$AB66))</f>
        <v/>
      </c>
      <c r="D66">
        <f>IF($A66="","",IF(Sync!$AC66="","",Sync!$AC66))</f>
        <v/>
      </c>
      <c r="E66">
        <f>IF($A66="","",IF(Sync!$AD66="","",Sync!$AD66))</f>
        <v/>
      </c>
      <c r="F66">
        <f>IF($A66="","",IF(Sync!$AE66="",0,Sync!$AE66))</f>
        <v/>
      </c>
      <c r="G66">
        <f>IF($A66="","",IF(Sync!$AF66="",0,Sync!$AF66))</f>
        <v/>
      </c>
      <c r="H66">
        <f>IF(OR($A66="",ROUND($F66+$G66,2)=0),"",$F66+$G66)</f>
        <v/>
      </c>
      <c r="I66">
        <f>IF($H66="","",IF(ROUND($F66,2)&gt;0,$A66,IF($D66="شخصی قاسم","شخصی قاسم",IF($D66="هزینه","هزینه: "&amp;IF($E66="","متفرقه",$E66),IF($C66="پاس چک","چک پرداختی",IF(OR($B66="",COUNTIF(AcctCodesA,$B66)=0),"متفرقه",$B66))))))</f>
        <v/>
      </c>
      <c r="J66">
        <f>IF($H66="","",IF(ROUND($F66,2)&gt;0,IF($D66="شخصی قاسم","شخصی قاسم",IF($D66="هزینه","هزینه: "&amp;IF($E66="","متفرقه",$E66),IF(OR($B66="",COUNTIF(AcctCodesA,$B66)=0),"متفرقه",$B66))),$A66))</f>
        <v/>
      </c>
      <c r="K66">
        <f>IF($A66="","",IF(AND($B66&lt;&gt;"",COUNTIF(AcctCodesA,$B66)=0),"کد طرف در INFO تعریف نشده",IF(AND($D66="هزینه",$E66=""),"هزینه بدون زیرگروه",IF(AND($C66="پاس چک",OR(Sync!$AJ66="",COUNTIF(IssueNosA,Sync!$AJ66)=0)),"شماره چک پاس‌شده معتبر نیست",""))))</f>
        <v/>
      </c>
      <c r="M66">
        <f>IF(Sync!$AH66="","",Sync!$AH66)</f>
        <v/>
      </c>
      <c r="N66">
        <f>IF($M66="","",IF(OR(Sync!$AI66="",COUNTIF(AcctCodesA,Sync!$AI66)=0),"متفرقه",Sync!$AI66))</f>
        <v/>
      </c>
      <c r="O66">
        <f>IF($M66="","",$N66)</f>
        <v/>
      </c>
      <c r="P66">
        <f>IF($M66="","","چک پرداختی")</f>
        <v/>
      </c>
      <c r="R66">
        <f>IF($M66="","",IF(COUNTIF(AcctCodesA,Sync!$AI66)=0,"ذی‌نفع چک تعریف‌نشده",""))</f>
        <v/>
      </c>
      <c r="S66">
        <f>IF($R66="","",Sync!$AG66&amp;"|"&amp;"5"&amp;RIGHT("00000"&amp;61,5))</f>
        <v/>
      </c>
      <c r="T66">
        <f>IF($S66="",0,COUNTIFS($S$6:$S$505,"&lt;"&amp;$S66)-COUNTIFS($S$6:$S$505,"&lt;"&amp;$S66,$R$6:$R$505,"")+1)</f>
        <v/>
      </c>
      <c r="V66">
        <f>IF($K66="","",IF(ISNUMBER(Sync!$AK66),Sync!$AK66,LEFT(Sync!$AK66,4)&amp;MID(Sync!$AK66,6,2)&amp;RIGHT(Sync!$AK66,2))&amp;"|"&amp;"4"&amp;RIGHT("00000"&amp;61,5))</f>
        <v/>
      </c>
      <c r="W66">
        <f>IF($V66="",0,COUNTIFS($V$6:$V$2005,"&lt;"&amp;$V66)-COUNTIFS($V$6:$V$2005,"&lt;"&amp;$V66,$K$6:$K$2005,"")+1)</f>
        <v/>
      </c>
      <c r="X66">
        <f>IF(Sync!$AX66="","",IF(OR(N(Sync!$AY66)=0,N(Sync!$AZ66)=0),"",ROUND(N(Sync!$AY66)*N(Sync!$AZ66),0)))</f>
        <v/>
      </c>
      <c r="Y66">
        <f>IF($X66="","",IF(OR(Sync!$AX66="",COUNTIF(AcctCodesA,Sync!$AX66)=0),"متفرقه",Sync!$AX66))</f>
        <v/>
      </c>
      <c r="Z66">
        <f>IF($X66="","","سبد و ظروف")</f>
        <v/>
      </c>
      <c r="AA66">
        <f>IF($X66="","",$Y66)</f>
        <v/>
      </c>
    </row>
    <row r="67">
      <c r="A67">
        <f>IF(Sync!$Z67="","",LEFT(UPPER(TRIM(Sync!$Z67)),6))</f>
        <v/>
      </c>
      <c r="B67">
        <f>IF($A67="","",IF(Sync!$AA67="","",Sync!$AA67))</f>
        <v/>
      </c>
      <c r="C67">
        <f>IF($A67="","",IF(Sync!$AB67="","",Sync!$AB67))</f>
        <v/>
      </c>
      <c r="D67">
        <f>IF($A67="","",IF(Sync!$AC67="","",Sync!$AC67))</f>
        <v/>
      </c>
      <c r="E67">
        <f>IF($A67="","",IF(Sync!$AD67="","",Sync!$AD67))</f>
        <v/>
      </c>
      <c r="F67">
        <f>IF($A67="","",IF(Sync!$AE67="",0,Sync!$AE67))</f>
        <v/>
      </c>
      <c r="G67">
        <f>IF($A67="","",IF(Sync!$AF67="",0,Sync!$AF67))</f>
        <v/>
      </c>
      <c r="H67">
        <f>IF(OR($A67="",ROUND($F67+$G67,2)=0),"",$F67+$G67)</f>
        <v/>
      </c>
      <c r="I67">
        <f>IF($H67="","",IF(ROUND($F67,2)&gt;0,$A67,IF($D67="شخصی قاسم","شخصی قاسم",IF($D67="هزینه","هزینه: "&amp;IF($E67="","متفرقه",$E67),IF($C67="پاس چک","چک پرداختی",IF(OR($B67="",COUNTIF(AcctCodesA,$B67)=0),"متفرقه",$B67))))))</f>
        <v/>
      </c>
      <c r="J67">
        <f>IF($H67="","",IF(ROUND($F67,2)&gt;0,IF($D67="شخصی قاسم","شخصی قاسم",IF($D67="هزینه","هزینه: "&amp;IF($E67="","متفرقه",$E67),IF(OR($B67="",COUNTIF(AcctCodesA,$B67)=0),"متفرقه",$B67))),$A67))</f>
        <v/>
      </c>
      <c r="K67">
        <f>IF($A67="","",IF(AND($B67&lt;&gt;"",COUNTIF(AcctCodesA,$B67)=0),"کد طرف در INFO تعریف نشده",IF(AND($D67="هزینه",$E67=""),"هزینه بدون زیرگروه",IF(AND($C67="پاس چک",OR(Sync!$AJ67="",COUNTIF(IssueNosA,Sync!$AJ67)=0)),"شماره چک پاس‌شده معتبر نیست",""))))</f>
        <v/>
      </c>
      <c r="M67">
        <f>IF(Sync!$AH67="","",Sync!$AH67)</f>
        <v/>
      </c>
      <c r="N67">
        <f>IF($M67="","",IF(OR(Sync!$AI67="",COUNTIF(AcctCodesA,Sync!$AI67)=0),"متفرقه",Sync!$AI67))</f>
        <v/>
      </c>
      <c r="O67">
        <f>IF($M67="","",$N67)</f>
        <v/>
      </c>
      <c r="P67">
        <f>IF($M67="","","چک پرداختی")</f>
        <v/>
      </c>
      <c r="R67">
        <f>IF($M67="","",IF(COUNTIF(AcctCodesA,Sync!$AI67)=0,"ذی‌نفع چک تعریف‌نشده",""))</f>
        <v/>
      </c>
      <c r="S67">
        <f>IF($R67="","",Sync!$AG67&amp;"|"&amp;"5"&amp;RIGHT("00000"&amp;62,5))</f>
        <v/>
      </c>
      <c r="T67">
        <f>IF($S67="",0,COUNTIFS($S$6:$S$505,"&lt;"&amp;$S67)-COUNTIFS($S$6:$S$505,"&lt;"&amp;$S67,$R$6:$R$505,"")+1)</f>
        <v/>
      </c>
      <c r="V67">
        <f>IF($K67="","",IF(ISNUMBER(Sync!$AK67),Sync!$AK67,LEFT(Sync!$AK67,4)&amp;MID(Sync!$AK67,6,2)&amp;RIGHT(Sync!$AK67,2))&amp;"|"&amp;"4"&amp;RIGHT("00000"&amp;62,5))</f>
        <v/>
      </c>
      <c r="W67">
        <f>IF($V67="",0,COUNTIFS($V$6:$V$2005,"&lt;"&amp;$V67)-COUNTIFS($V$6:$V$2005,"&lt;"&amp;$V67,$K$6:$K$2005,"")+1)</f>
        <v/>
      </c>
      <c r="X67">
        <f>IF(Sync!$AX67="","",IF(OR(N(Sync!$AY67)=0,N(Sync!$AZ67)=0),"",ROUND(N(Sync!$AY67)*N(Sync!$AZ67),0)))</f>
        <v/>
      </c>
      <c r="Y67">
        <f>IF($X67="","",IF(OR(Sync!$AX67="",COUNTIF(AcctCodesA,Sync!$AX67)=0),"متفرقه",Sync!$AX67))</f>
        <v/>
      </c>
      <c r="Z67">
        <f>IF($X67="","","سبد و ظروف")</f>
        <v/>
      </c>
      <c r="AA67">
        <f>IF($X67="","",$Y67)</f>
        <v/>
      </c>
    </row>
    <row r="68">
      <c r="A68">
        <f>IF(Sync!$Z68="","",LEFT(UPPER(TRIM(Sync!$Z68)),6))</f>
        <v/>
      </c>
      <c r="B68">
        <f>IF($A68="","",IF(Sync!$AA68="","",Sync!$AA68))</f>
        <v/>
      </c>
      <c r="C68">
        <f>IF($A68="","",IF(Sync!$AB68="","",Sync!$AB68))</f>
        <v/>
      </c>
      <c r="D68">
        <f>IF($A68="","",IF(Sync!$AC68="","",Sync!$AC68))</f>
        <v/>
      </c>
      <c r="E68">
        <f>IF($A68="","",IF(Sync!$AD68="","",Sync!$AD68))</f>
        <v/>
      </c>
      <c r="F68">
        <f>IF($A68="","",IF(Sync!$AE68="",0,Sync!$AE68))</f>
        <v/>
      </c>
      <c r="G68">
        <f>IF($A68="","",IF(Sync!$AF68="",0,Sync!$AF68))</f>
        <v/>
      </c>
      <c r="H68">
        <f>IF(OR($A68="",ROUND($F68+$G68,2)=0),"",$F68+$G68)</f>
        <v/>
      </c>
      <c r="I68">
        <f>IF($H68="","",IF(ROUND($F68,2)&gt;0,$A68,IF($D68="شخصی قاسم","شخصی قاسم",IF($D68="هزینه","هزینه: "&amp;IF($E68="","متفرقه",$E68),IF($C68="پاس چک","چک پرداختی",IF(OR($B68="",COUNTIF(AcctCodesA,$B68)=0),"متفرقه",$B68))))))</f>
        <v/>
      </c>
      <c r="J68">
        <f>IF($H68="","",IF(ROUND($F68,2)&gt;0,IF($D68="شخصی قاسم","شخصی قاسم",IF($D68="هزینه","هزینه: "&amp;IF($E68="","متفرقه",$E68),IF(OR($B68="",COUNTIF(AcctCodesA,$B68)=0),"متفرقه",$B68))),$A68))</f>
        <v/>
      </c>
      <c r="K68">
        <f>IF($A68="","",IF(AND($B68&lt;&gt;"",COUNTIF(AcctCodesA,$B68)=0),"کد طرف در INFO تعریف نشده",IF(AND($D68="هزینه",$E68=""),"هزینه بدون زیرگروه",IF(AND($C68="پاس چک",OR(Sync!$AJ68="",COUNTIF(IssueNosA,Sync!$AJ68)=0)),"شماره چک پاس‌شده معتبر نیست",""))))</f>
        <v/>
      </c>
      <c r="M68">
        <f>IF(Sync!$AH68="","",Sync!$AH68)</f>
        <v/>
      </c>
      <c r="N68">
        <f>IF($M68="","",IF(OR(Sync!$AI68="",COUNTIF(AcctCodesA,Sync!$AI68)=0),"متفرقه",Sync!$AI68))</f>
        <v/>
      </c>
      <c r="O68">
        <f>IF($M68="","",$N68)</f>
        <v/>
      </c>
      <c r="P68">
        <f>IF($M68="","","چک پرداختی")</f>
        <v/>
      </c>
      <c r="R68">
        <f>IF($M68="","",IF(COUNTIF(AcctCodesA,Sync!$AI68)=0,"ذی‌نفع چک تعریف‌نشده",""))</f>
        <v/>
      </c>
      <c r="S68">
        <f>IF($R68="","",Sync!$AG68&amp;"|"&amp;"5"&amp;RIGHT("00000"&amp;63,5))</f>
        <v/>
      </c>
      <c r="T68">
        <f>IF($S68="",0,COUNTIFS($S$6:$S$505,"&lt;"&amp;$S68)-COUNTIFS($S$6:$S$505,"&lt;"&amp;$S68,$R$6:$R$505,"")+1)</f>
        <v/>
      </c>
      <c r="V68">
        <f>IF($K68="","",IF(ISNUMBER(Sync!$AK68),Sync!$AK68,LEFT(Sync!$AK68,4)&amp;MID(Sync!$AK68,6,2)&amp;RIGHT(Sync!$AK68,2))&amp;"|"&amp;"4"&amp;RIGHT("00000"&amp;63,5))</f>
        <v/>
      </c>
      <c r="W68">
        <f>IF($V68="",0,COUNTIFS($V$6:$V$2005,"&lt;"&amp;$V68)-COUNTIFS($V$6:$V$2005,"&lt;"&amp;$V68,$K$6:$K$2005,"")+1)</f>
        <v/>
      </c>
      <c r="X68">
        <f>IF(Sync!$AX68="","",IF(OR(N(Sync!$AY68)=0,N(Sync!$AZ68)=0),"",ROUND(N(Sync!$AY68)*N(Sync!$AZ68),0)))</f>
        <v/>
      </c>
      <c r="Y68">
        <f>IF($X68="","",IF(OR(Sync!$AX68="",COUNTIF(AcctCodesA,Sync!$AX68)=0),"متفرقه",Sync!$AX68))</f>
        <v/>
      </c>
      <c r="Z68">
        <f>IF($X68="","","سبد و ظروف")</f>
        <v/>
      </c>
      <c r="AA68">
        <f>IF($X68="","",$Y68)</f>
        <v/>
      </c>
    </row>
    <row r="69">
      <c r="A69">
        <f>IF(Sync!$Z69="","",LEFT(UPPER(TRIM(Sync!$Z69)),6))</f>
        <v/>
      </c>
      <c r="B69">
        <f>IF($A69="","",IF(Sync!$AA69="","",Sync!$AA69))</f>
        <v/>
      </c>
      <c r="C69">
        <f>IF($A69="","",IF(Sync!$AB69="","",Sync!$AB69))</f>
        <v/>
      </c>
      <c r="D69">
        <f>IF($A69="","",IF(Sync!$AC69="","",Sync!$AC69))</f>
        <v/>
      </c>
      <c r="E69">
        <f>IF($A69="","",IF(Sync!$AD69="","",Sync!$AD69))</f>
        <v/>
      </c>
      <c r="F69">
        <f>IF($A69="","",IF(Sync!$AE69="",0,Sync!$AE69))</f>
        <v/>
      </c>
      <c r="G69">
        <f>IF($A69="","",IF(Sync!$AF69="",0,Sync!$AF69))</f>
        <v/>
      </c>
      <c r="H69">
        <f>IF(OR($A69="",ROUND($F69+$G69,2)=0),"",$F69+$G69)</f>
        <v/>
      </c>
      <c r="I69">
        <f>IF($H69="","",IF(ROUND($F69,2)&gt;0,$A69,IF($D69="شخصی قاسم","شخصی قاسم",IF($D69="هزینه","هزینه: "&amp;IF($E69="","متفرقه",$E69),IF($C69="پاس چک","چک پرداختی",IF(OR($B69="",COUNTIF(AcctCodesA,$B69)=0),"متفرقه",$B69))))))</f>
        <v/>
      </c>
      <c r="J69">
        <f>IF($H69="","",IF(ROUND($F69,2)&gt;0,IF($D69="شخصی قاسم","شخصی قاسم",IF($D69="هزینه","هزینه: "&amp;IF($E69="","متفرقه",$E69),IF(OR($B69="",COUNTIF(AcctCodesA,$B69)=0),"متفرقه",$B69))),$A69))</f>
        <v/>
      </c>
      <c r="K69">
        <f>IF($A69="","",IF(AND($B69&lt;&gt;"",COUNTIF(AcctCodesA,$B69)=0),"کد طرف در INFO تعریف نشده",IF(AND($D69="هزینه",$E69=""),"هزینه بدون زیرگروه",IF(AND($C69="پاس چک",OR(Sync!$AJ69="",COUNTIF(IssueNosA,Sync!$AJ69)=0)),"شماره چک پاس‌شده معتبر نیست",""))))</f>
        <v/>
      </c>
      <c r="M69">
        <f>IF(Sync!$AH69="","",Sync!$AH69)</f>
        <v/>
      </c>
      <c r="N69">
        <f>IF($M69="","",IF(OR(Sync!$AI69="",COUNTIF(AcctCodesA,Sync!$AI69)=0),"متفرقه",Sync!$AI69))</f>
        <v/>
      </c>
      <c r="O69">
        <f>IF($M69="","",$N69)</f>
        <v/>
      </c>
      <c r="P69">
        <f>IF($M69="","","چک پرداختی")</f>
        <v/>
      </c>
      <c r="R69">
        <f>IF($M69="","",IF(COUNTIF(AcctCodesA,Sync!$AI69)=0,"ذی‌نفع چک تعریف‌نشده",""))</f>
        <v/>
      </c>
      <c r="S69">
        <f>IF($R69="","",Sync!$AG69&amp;"|"&amp;"5"&amp;RIGHT("00000"&amp;64,5))</f>
        <v/>
      </c>
      <c r="T69">
        <f>IF($S69="",0,COUNTIFS($S$6:$S$505,"&lt;"&amp;$S69)-COUNTIFS($S$6:$S$505,"&lt;"&amp;$S69,$R$6:$R$505,"")+1)</f>
        <v/>
      </c>
      <c r="V69">
        <f>IF($K69="","",IF(ISNUMBER(Sync!$AK69),Sync!$AK69,LEFT(Sync!$AK69,4)&amp;MID(Sync!$AK69,6,2)&amp;RIGHT(Sync!$AK69,2))&amp;"|"&amp;"4"&amp;RIGHT("00000"&amp;64,5))</f>
        <v/>
      </c>
      <c r="W69">
        <f>IF($V69="",0,COUNTIFS($V$6:$V$2005,"&lt;"&amp;$V69)-COUNTIFS($V$6:$V$2005,"&lt;"&amp;$V69,$K$6:$K$2005,"")+1)</f>
        <v/>
      </c>
      <c r="X69">
        <f>IF(Sync!$AX69="","",IF(OR(N(Sync!$AY69)=0,N(Sync!$AZ69)=0),"",ROUND(N(Sync!$AY69)*N(Sync!$AZ69),0)))</f>
        <v/>
      </c>
      <c r="Y69">
        <f>IF($X69="","",IF(OR(Sync!$AX69="",COUNTIF(AcctCodesA,Sync!$AX69)=0),"متفرقه",Sync!$AX69))</f>
        <v/>
      </c>
      <c r="Z69">
        <f>IF($X69="","","سبد و ظروف")</f>
        <v/>
      </c>
      <c r="AA69">
        <f>IF($X69="","",$Y69)</f>
        <v/>
      </c>
    </row>
    <row r="70">
      <c r="A70">
        <f>IF(Sync!$Z70="","",LEFT(UPPER(TRIM(Sync!$Z70)),6))</f>
        <v/>
      </c>
      <c r="B70">
        <f>IF($A70="","",IF(Sync!$AA70="","",Sync!$AA70))</f>
        <v/>
      </c>
      <c r="C70">
        <f>IF($A70="","",IF(Sync!$AB70="","",Sync!$AB70))</f>
        <v/>
      </c>
      <c r="D70">
        <f>IF($A70="","",IF(Sync!$AC70="","",Sync!$AC70))</f>
        <v/>
      </c>
      <c r="E70">
        <f>IF($A70="","",IF(Sync!$AD70="","",Sync!$AD70))</f>
        <v/>
      </c>
      <c r="F70">
        <f>IF($A70="","",IF(Sync!$AE70="",0,Sync!$AE70))</f>
        <v/>
      </c>
      <c r="G70">
        <f>IF($A70="","",IF(Sync!$AF70="",0,Sync!$AF70))</f>
        <v/>
      </c>
      <c r="H70">
        <f>IF(OR($A70="",ROUND($F70+$G70,2)=0),"",$F70+$G70)</f>
        <v/>
      </c>
      <c r="I70">
        <f>IF($H70="","",IF(ROUND($F70,2)&gt;0,$A70,IF($D70="شخصی قاسم","شخصی قاسم",IF($D70="هزینه","هزینه: "&amp;IF($E70="","متفرقه",$E70),IF($C70="پاس چک","چک پرداختی",IF(OR($B70="",COUNTIF(AcctCodesA,$B70)=0),"متفرقه",$B70))))))</f>
        <v/>
      </c>
      <c r="J70">
        <f>IF($H70="","",IF(ROUND($F70,2)&gt;0,IF($D70="شخصی قاسم","شخصی قاسم",IF($D70="هزینه","هزینه: "&amp;IF($E70="","متفرقه",$E70),IF(OR($B70="",COUNTIF(AcctCodesA,$B70)=0),"متفرقه",$B70))),$A70))</f>
        <v/>
      </c>
      <c r="K70">
        <f>IF($A70="","",IF(AND($B70&lt;&gt;"",COUNTIF(AcctCodesA,$B70)=0),"کد طرف در INFO تعریف نشده",IF(AND($D70="هزینه",$E70=""),"هزینه بدون زیرگروه",IF(AND($C70="پاس چک",OR(Sync!$AJ70="",COUNTIF(IssueNosA,Sync!$AJ70)=0)),"شماره چک پاس‌شده معتبر نیست",""))))</f>
        <v/>
      </c>
      <c r="M70">
        <f>IF(Sync!$AH70="","",Sync!$AH70)</f>
        <v/>
      </c>
      <c r="N70">
        <f>IF($M70="","",IF(OR(Sync!$AI70="",COUNTIF(AcctCodesA,Sync!$AI70)=0),"متفرقه",Sync!$AI70))</f>
        <v/>
      </c>
      <c r="O70">
        <f>IF($M70="","",$N70)</f>
        <v/>
      </c>
      <c r="P70">
        <f>IF($M70="","","چک پرداختی")</f>
        <v/>
      </c>
      <c r="R70">
        <f>IF($M70="","",IF(COUNTIF(AcctCodesA,Sync!$AI70)=0,"ذی‌نفع چک تعریف‌نشده",""))</f>
        <v/>
      </c>
      <c r="S70">
        <f>IF($R70="","",Sync!$AG70&amp;"|"&amp;"5"&amp;RIGHT("00000"&amp;65,5))</f>
        <v/>
      </c>
      <c r="T70">
        <f>IF($S70="",0,COUNTIFS($S$6:$S$505,"&lt;"&amp;$S70)-COUNTIFS($S$6:$S$505,"&lt;"&amp;$S70,$R$6:$R$505,"")+1)</f>
        <v/>
      </c>
      <c r="V70">
        <f>IF($K70="","",IF(ISNUMBER(Sync!$AK70),Sync!$AK70,LEFT(Sync!$AK70,4)&amp;MID(Sync!$AK70,6,2)&amp;RIGHT(Sync!$AK70,2))&amp;"|"&amp;"4"&amp;RIGHT("00000"&amp;65,5))</f>
        <v/>
      </c>
      <c r="W70">
        <f>IF($V70="",0,COUNTIFS($V$6:$V$2005,"&lt;"&amp;$V70)-COUNTIFS($V$6:$V$2005,"&lt;"&amp;$V70,$K$6:$K$2005,"")+1)</f>
        <v/>
      </c>
      <c r="X70">
        <f>IF(Sync!$AX70="","",IF(OR(N(Sync!$AY70)=0,N(Sync!$AZ70)=0),"",ROUND(N(Sync!$AY70)*N(Sync!$AZ70),0)))</f>
        <v/>
      </c>
      <c r="Y70">
        <f>IF($X70="","",IF(OR(Sync!$AX70="",COUNTIF(AcctCodesA,Sync!$AX70)=0),"متفرقه",Sync!$AX70))</f>
        <v/>
      </c>
      <c r="Z70">
        <f>IF($X70="","","سبد و ظروف")</f>
        <v/>
      </c>
      <c r="AA70">
        <f>IF($X70="","",$Y70)</f>
        <v/>
      </c>
    </row>
    <row r="71">
      <c r="A71">
        <f>IF(Sync!$Z71="","",LEFT(UPPER(TRIM(Sync!$Z71)),6))</f>
        <v/>
      </c>
      <c r="B71">
        <f>IF($A71="","",IF(Sync!$AA71="","",Sync!$AA71))</f>
        <v/>
      </c>
      <c r="C71">
        <f>IF($A71="","",IF(Sync!$AB71="","",Sync!$AB71))</f>
        <v/>
      </c>
      <c r="D71">
        <f>IF($A71="","",IF(Sync!$AC71="","",Sync!$AC71))</f>
        <v/>
      </c>
      <c r="E71">
        <f>IF($A71="","",IF(Sync!$AD71="","",Sync!$AD71))</f>
        <v/>
      </c>
      <c r="F71">
        <f>IF($A71="","",IF(Sync!$AE71="",0,Sync!$AE71))</f>
        <v/>
      </c>
      <c r="G71">
        <f>IF($A71="","",IF(Sync!$AF71="",0,Sync!$AF71))</f>
        <v/>
      </c>
      <c r="H71">
        <f>IF(OR($A71="",ROUND($F71+$G71,2)=0),"",$F71+$G71)</f>
        <v/>
      </c>
      <c r="I71">
        <f>IF($H71="","",IF(ROUND($F71,2)&gt;0,$A71,IF($D71="شخصی قاسم","شخصی قاسم",IF($D71="هزینه","هزینه: "&amp;IF($E71="","متفرقه",$E71),IF($C71="پاس چک","چک پرداختی",IF(OR($B71="",COUNTIF(AcctCodesA,$B71)=0),"متفرقه",$B71))))))</f>
        <v/>
      </c>
      <c r="J71">
        <f>IF($H71="","",IF(ROUND($F71,2)&gt;0,IF($D71="شخصی قاسم","شخصی قاسم",IF($D71="هزینه","هزینه: "&amp;IF($E71="","متفرقه",$E71),IF(OR($B71="",COUNTIF(AcctCodesA,$B71)=0),"متفرقه",$B71))),$A71))</f>
        <v/>
      </c>
      <c r="K71">
        <f>IF($A71="","",IF(AND($B71&lt;&gt;"",COUNTIF(AcctCodesA,$B71)=0),"کد طرف در INFO تعریف نشده",IF(AND($D71="هزینه",$E71=""),"هزینه بدون زیرگروه",IF(AND($C71="پاس چک",OR(Sync!$AJ71="",COUNTIF(IssueNosA,Sync!$AJ71)=0)),"شماره چک پاس‌شده معتبر نیست",""))))</f>
        <v/>
      </c>
      <c r="M71">
        <f>IF(Sync!$AH71="","",Sync!$AH71)</f>
        <v/>
      </c>
      <c r="N71">
        <f>IF($M71="","",IF(OR(Sync!$AI71="",COUNTIF(AcctCodesA,Sync!$AI71)=0),"متفرقه",Sync!$AI71))</f>
        <v/>
      </c>
      <c r="O71">
        <f>IF($M71="","",$N71)</f>
        <v/>
      </c>
      <c r="P71">
        <f>IF($M71="","","چک پرداختی")</f>
        <v/>
      </c>
      <c r="R71">
        <f>IF($M71="","",IF(COUNTIF(AcctCodesA,Sync!$AI71)=0,"ذی‌نفع چک تعریف‌نشده",""))</f>
        <v/>
      </c>
      <c r="S71">
        <f>IF($R71="","",Sync!$AG71&amp;"|"&amp;"5"&amp;RIGHT("00000"&amp;66,5))</f>
        <v/>
      </c>
      <c r="T71">
        <f>IF($S71="",0,COUNTIFS($S$6:$S$505,"&lt;"&amp;$S71)-COUNTIFS($S$6:$S$505,"&lt;"&amp;$S71,$R$6:$R$505,"")+1)</f>
        <v/>
      </c>
      <c r="V71">
        <f>IF($K71="","",IF(ISNUMBER(Sync!$AK71),Sync!$AK71,LEFT(Sync!$AK71,4)&amp;MID(Sync!$AK71,6,2)&amp;RIGHT(Sync!$AK71,2))&amp;"|"&amp;"4"&amp;RIGHT("00000"&amp;66,5))</f>
        <v/>
      </c>
      <c r="W71">
        <f>IF($V71="",0,COUNTIFS($V$6:$V$2005,"&lt;"&amp;$V71)-COUNTIFS($V$6:$V$2005,"&lt;"&amp;$V71,$K$6:$K$2005,"")+1)</f>
        <v/>
      </c>
      <c r="X71">
        <f>IF(Sync!$AX71="","",IF(OR(N(Sync!$AY71)=0,N(Sync!$AZ71)=0),"",ROUND(N(Sync!$AY71)*N(Sync!$AZ71),0)))</f>
        <v/>
      </c>
      <c r="Y71">
        <f>IF($X71="","",IF(OR(Sync!$AX71="",COUNTIF(AcctCodesA,Sync!$AX71)=0),"متفرقه",Sync!$AX71))</f>
        <v/>
      </c>
      <c r="Z71">
        <f>IF($X71="","","سبد و ظروف")</f>
        <v/>
      </c>
      <c r="AA71">
        <f>IF($X71="","",$Y71)</f>
        <v/>
      </c>
    </row>
    <row r="72">
      <c r="A72">
        <f>IF(Sync!$Z72="","",LEFT(UPPER(TRIM(Sync!$Z72)),6))</f>
        <v/>
      </c>
      <c r="B72">
        <f>IF($A72="","",IF(Sync!$AA72="","",Sync!$AA72))</f>
        <v/>
      </c>
      <c r="C72">
        <f>IF($A72="","",IF(Sync!$AB72="","",Sync!$AB72))</f>
        <v/>
      </c>
      <c r="D72">
        <f>IF($A72="","",IF(Sync!$AC72="","",Sync!$AC72))</f>
        <v/>
      </c>
      <c r="E72">
        <f>IF($A72="","",IF(Sync!$AD72="","",Sync!$AD72))</f>
        <v/>
      </c>
      <c r="F72">
        <f>IF($A72="","",IF(Sync!$AE72="",0,Sync!$AE72))</f>
        <v/>
      </c>
      <c r="G72">
        <f>IF($A72="","",IF(Sync!$AF72="",0,Sync!$AF72))</f>
        <v/>
      </c>
      <c r="H72">
        <f>IF(OR($A72="",ROUND($F72+$G72,2)=0),"",$F72+$G72)</f>
        <v/>
      </c>
      <c r="I72">
        <f>IF($H72="","",IF(ROUND($F72,2)&gt;0,$A72,IF($D72="شخصی قاسم","شخصی قاسم",IF($D72="هزینه","هزینه: "&amp;IF($E72="","متفرقه",$E72),IF($C72="پاس چک","چک پرداختی",IF(OR($B72="",COUNTIF(AcctCodesA,$B72)=0),"متفرقه",$B72))))))</f>
        <v/>
      </c>
      <c r="J72">
        <f>IF($H72="","",IF(ROUND($F72,2)&gt;0,IF($D72="شخصی قاسم","شخصی قاسم",IF($D72="هزینه","هزینه: "&amp;IF($E72="","متفرقه",$E72),IF(OR($B72="",COUNTIF(AcctCodesA,$B72)=0),"متفرقه",$B72))),$A72))</f>
        <v/>
      </c>
      <c r="K72">
        <f>IF($A72="","",IF(AND($B72&lt;&gt;"",COUNTIF(AcctCodesA,$B72)=0),"کد طرف در INFO تعریف نشده",IF(AND($D72="هزینه",$E72=""),"هزینه بدون زیرگروه",IF(AND($C72="پاس چک",OR(Sync!$AJ72="",COUNTIF(IssueNosA,Sync!$AJ72)=0)),"شماره چک پاس‌شده معتبر نیست",""))))</f>
        <v/>
      </c>
      <c r="M72">
        <f>IF(Sync!$AH72="","",Sync!$AH72)</f>
        <v/>
      </c>
      <c r="N72">
        <f>IF($M72="","",IF(OR(Sync!$AI72="",COUNTIF(AcctCodesA,Sync!$AI72)=0),"متفرقه",Sync!$AI72))</f>
        <v/>
      </c>
      <c r="O72">
        <f>IF($M72="","",$N72)</f>
        <v/>
      </c>
      <c r="P72">
        <f>IF($M72="","","چک پرداختی")</f>
        <v/>
      </c>
      <c r="R72">
        <f>IF($M72="","",IF(COUNTIF(AcctCodesA,Sync!$AI72)=0,"ذی‌نفع چک تعریف‌نشده",""))</f>
        <v/>
      </c>
      <c r="S72">
        <f>IF($R72="","",Sync!$AG72&amp;"|"&amp;"5"&amp;RIGHT("00000"&amp;67,5))</f>
        <v/>
      </c>
      <c r="T72">
        <f>IF($S72="",0,COUNTIFS($S$6:$S$505,"&lt;"&amp;$S72)-COUNTIFS($S$6:$S$505,"&lt;"&amp;$S72,$R$6:$R$505,"")+1)</f>
        <v/>
      </c>
      <c r="V72">
        <f>IF($K72="","",IF(ISNUMBER(Sync!$AK72),Sync!$AK72,LEFT(Sync!$AK72,4)&amp;MID(Sync!$AK72,6,2)&amp;RIGHT(Sync!$AK72,2))&amp;"|"&amp;"4"&amp;RIGHT("00000"&amp;67,5))</f>
        <v/>
      </c>
      <c r="W72">
        <f>IF($V72="",0,COUNTIFS($V$6:$V$2005,"&lt;"&amp;$V72)-COUNTIFS($V$6:$V$2005,"&lt;"&amp;$V72,$K$6:$K$2005,"")+1)</f>
        <v/>
      </c>
      <c r="X72">
        <f>IF(Sync!$AX72="","",IF(OR(N(Sync!$AY72)=0,N(Sync!$AZ72)=0),"",ROUND(N(Sync!$AY72)*N(Sync!$AZ72),0)))</f>
        <v/>
      </c>
      <c r="Y72">
        <f>IF($X72="","",IF(OR(Sync!$AX72="",COUNTIF(AcctCodesA,Sync!$AX72)=0),"متفرقه",Sync!$AX72))</f>
        <v/>
      </c>
      <c r="Z72">
        <f>IF($X72="","","سبد و ظروف")</f>
        <v/>
      </c>
      <c r="AA72">
        <f>IF($X72="","",$Y72)</f>
        <v/>
      </c>
    </row>
    <row r="73">
      <c r="A73">
        <f>IF(Sync!$Z73="","",LEFT(UPPER(TRIM(Sync!$Z73)),6))</f>
        <v/>
      </c>
      <c r="B73">
        <f>IF($A73="","",IF(Sync!$AA73="","",Sync!$AA73))</f>
        <v/>
      </c>
      <c r="C73">
        <f>IF($A73="","",IF(Sync!$AB73="","",Sync!$AB73))</f>
        <v/>
      </c>
      <c r="D73">
        <f>IF($A73="","",IF(Sync!$AC73="","",Sync!$AC73))</f>
        <v/>
      </c>
      <c r="E73">
        <f>IF($A73="","",IF(Sync!$AD73="","",Sync!$AD73))</f>
        <v/>
      </c>
      <c r="F73">
        <f>IF($A73="","",IF(Sync!$AE73="",0,Sync!$AE73))</f>
        <v/>
      </c>
      <c r="G73">
        <f>IF($A73="","",IF(Sync!$AF73="",0,Sync!$AF73))</f>
        <v/>
      </c>
      <c r="H73">
        <f>IF(OR($A73="",ROUND($F73+$G73,2)=0),"",$F73+$G73)</f>
        <v/>
      </c>
      <c r="I73">
        <f>IF($H73="","",IF(ROUND($F73,2)&gt;0,$A73,IF($D73="شخصی قاسم","شخصی قاسم",IF($D73="هزینه","هزینه: "&amp;IF($E73="","متفرقه",$E73),IF($C73="پاس چک","چک پرداختی",IF(OR($B73="",COUNTIF(AcctCodesA,$B73)=0),"متفرقه",$B73))))))</f>
        <v/>
      </c>
      <c r="J73">
        <f>IF($H73="","",IF(ROUND($F73,2)&gt;0,IF($D73="شخصی قاسم","شخصی قاسم",IF($D73="هزینه","هزینه: "&amp;IF($E73="","متفرقه",$E73),IF(OR($B73="",COUNTIF(AcctCodesA,$B73)=0),"متفرقه",$B73))),$A73))</f>
        <v/>
      </c>
      <c r="K73">
        <f>IF($A73="","",IF(AND($B73&lt;&gt;"",COUNTIF(AcctCodesA,$B73)=0),"کد طرف در INFO تعریف نشده",IF(AND($D73="هزینه",$E73=""),"هزینه بدون زیرگروه",IF(AND($C73="پاس چک",OR(Sync!$AJ73="",COUNTIF(IssueNosA,Sync!$AJ73)=0)),"شماره چک پاس‌شده معتبر نیست",""))))</f>
        <v/>
      </c>
      <c r="M73">
        <f>IF(Sync!$AH73="","",Sync!$AH73)</f>
        <v/>
      </c>
      <c r="N73">
        <f>IF($M73="","",IF(OR(Sync!$AI73="",COUNTIF(AcctCodesA,Sync!$AI73)=0),"متفرقه",Sync!$AI73))</f>
        <v/>
      </c>
      <c r="O73">
        <f>IF($M73="","",$N73)</f>
        <v/>
      </c>
      <c r="P73">
        <f>IF($M73="","","چک پرداختی")</f>
        <v/>
      </c>
      <c r="R73">
        <f>IF($M73="","",IF(COUNTIF(AcctCodesA,Sync!$AI73)=0,"ذی‌نفع چک تعریف‌نشده",""))</f>
        <v/>
      </c>
      <c r="S73">
        <f>IF($R73="","",Sync!$AG73&amp;"|"&amp;"5"&amp;RIGHT("00000"&amp;68,5))</f>
        <v/>
      </c>
      <c r="T73">
        <f>IF($S73="",0,COUNTIFS($S$6:$S$505,"&lt;"&amp;$S73)-COUNTIFS($S$6:$S$505,"&lt;"&amp;$S73,$R$6:$R$505,"")+1)</f>
        <v/>
      </c>
      <c r="V73">
        <f>IF($K73="","",IF(ISNUMBER(Sync!$AK73),Sync!$AK73,LEFT(Sync!$AK73,4)&amp;MID(Sync!$AK73,6,2)&amp;RIGHT(Sync!$AK73,2))&amp;"|"&amp;"4"&amp;RIGHT("00000"&amp;68,5))</f>
        <v/>
      </c>
      <c r="W73">
        <f>IF($V73="",0,COUNTIFS($V$6:$V$2005,"&lt;"&amp;$V73)-COUNTIFS($V$6:$V$2005,"&lt;"&amp;$V73,$K$6:$K$2005,"")+1)</f>
        <v/>
      </c>
      <c r="X73">
        <f>IF(Sync!$AX73="","",IF(OR(N(Sync!$AY73)=0,N(Sync!$AZ73)=0),"",ROUND(N(Sync!$AY73)*N(Sync!$AZ73),0)))</f>
        <v/>
      </c>
      <c r="Y73">
        <f>IF($X73="","",IF(OR(Sync!$AX73="",COUNTIF(AcctCodesA,Sync!$AX73)=0),"متفرقه",Sync!$AX73))</f>
        <v/>
      </c>
      <c r="Z73">
        <f>IF($X73="","","سبد و ظروف")</f>
        <v/>
      </c>
      <c r="AA73">
        <f>IF($X73="","",$Y73)</f>
        <v/>
      </c>
    </row>
    <row r="74">
      <c r="A74">
        <f>IF(Sync!$Z74="","",LEFT(UPPER(TRIM(Sync!$Z74)),6))</f>
        <v/>
      </c>
      <c r="B74">
        <f>IF($A74="","",IF(Sync!$AA74="","",Sync!$AA74))</f>
        <v/>
      </c>
      <c r="C74">
        <f>IF($A74="","",IF(Sync!$AB74="","",Sync!$AB74))</f>
        <v/>
      </c>
      <c r="D74">
        <f>IF($A74="","",IF(Sync!$AC74="","",Sync!$AC74))</f>
        <v/>
      </c>
      <c r="E74">
        <f>IF($A74="","",IF(Sync!$AD74="","",Sync!$AD74))</f>
        <v/>
      </c>
      <c r="F74">
        <f>IF($A74="","",IF(Sync!$AE74="",0,Sync!$AE74))</f>
        <v/>
      </c>
      <c r="G74">
        <f>IF($A74="","",IF(Sync!$AF74="",0,Sync!$AF74))</f>
        <v/>
      </c>
      <c r="H74">
        <f>IF(OR($A74="",ROUND($F74+$G74,2)=0),"",$F74+$G74)</f>
        <v/>
      </c>
      <c r="I74">
        <f>IF($H74="","",IF(ROUND($F74,2)&gt;0,$A74,IF($D74="شخصی قاسم","شخصی قاسم",IF($D74="هزینه","هزینه: "&amp;IF($E74="","متفرقه",$E74),IF($C74="پاس چک","چک پرداختی",IF(OR($B74="",COUNTIF(AcctCodesA,$B74)=0),"متفرقه",$B74))))))</f>
        <v/>
      </c>
      <c r="J74">
        <f>IF($H74="","",IF(ROUND($F74,2)&gt;0,IF($D74="شخصی قاسم","شخصی قاسم",IF($D74="هزینه","هزینه: "&amp;IF($E74="","متفرقه",$E74),IF(OR($B74="",COUNTIF(AcctCodesA,$B74)=0),"متفرقه",$B74))),$A74))</f>
        <v/>
      </c>
      <c r="K74">
        <f>IF($A74="","",IF(AND($B74&lt;&gt;"",COUNTIF(AcctCodesA,$B74)=0),"کد طرف در INFO تعریف نشده",IF(AND($D74="هزینه",$E74=""),"هزینه بدون زیرگروه",IF(AND($C74="پاس چک",OR(Sync!$AJ74="",COUNTIF(IssueNosA,Sync!$AJ74)=0)),"شماره چک پاس‌شده معتبر نیست",""))))</f>
        <v/>
      </c>
      <c r="M74">
        <f>IF(Sync!$AH74="","",Sync!$AH74)</f>
        <v/>
      </c>
      <c r="N74">
        <f>IF($M74="","",IF(OR(Sync!$AI74="",COUNTIF(AcctCodesA,Sync!$AI74)=0),"متفرقه",Sync!$AI74))</f>
        <v/>
      </c>
      <c r="O74">
        <f>IF($M74="","",$N74)</f>
        <v/>
      </c>
      <c r="P74">
        <f>IF($M74="","","چک پرداختی")</f>
        <v/>
      </c>
      <c r="R74">
        <f>IF($M74="","",IF(COUNTIF(AcctCodesA,Sync!$AI74)=0,"ذی‌نفع چک تعریف‌نشده",""))</f>
        <v/>
      </c>
      <c r="S74">
        <f>IF($R74="","",Sync!$AG74&amp;"|"&amp;"5"&amp;RIGHT("00000"&amp;69,5))</f>
        <v/>
      </c>
      <c r="T74">
        <f>IF($S74="",0,COUNTIFS($S$6:$S$505,"&lt;"&amp;$S74)-COUNTIFS($S$6:$S$505,"&lt;"&amp;$S74,$R$6:$R$505,"")+1)</f>
        <v/>
      </c>
      <c r="V74">
        <f>IF($K74="","",IF(ISNUMBER(Sync!$AK74),Sync!$AK74,LEFT(Sync!$AK74,4)&amp;MID(Sync!$AK74,6,2)&amp;RIGHT(Sync!$AK74,2))&amp;"|"&amp;"4"&amp;RIGHT("00000"&amp;69,5))</f>
        <v/>
      </c>
      <c r="W74">
        <f>IF($V74="",0,COUNTIFS($V$6:$V$2005,"&lt;"&amp;$V74)-COUNTIFS($V$6:$V$2005,"&lt;"&amp;$V74,$K$6:$K$2005,"")+1)</f>
        <v/>
      </c>
      <c r="X74">
        <f>IF(Sync!$AX74="","",IF(OR(N(Sync!$AY74)=0,N(Sync!$AZ74)=0),"",ROUND(N(Sync!$AY74)*N(Sync!$AZ74),0)))</f>
        <v/>
      </c>
      <c r="Y74">
        <f>IF($X74="","",IF(OR(Sync!$AX74="",COUNTIF(AcctCodesA,Sync!$AX74)=0),"متفرقه",Sync!$AX74))</f>
        <v/>
      </c>
      <c r="Z74">
        <f>IF($X74="","","سبد و ظروف")</f>
        <v/>
      </c>
      <c r="AA74">
        <f>IF($X74="","",$Y74)</f>
        <v/>
      </c>
    </row>
    <row r="75">
      <c r="A75">
        <f>IF(Sync!$Z75="","",LEFT(UPPER(TRIM(Sync!$Z75)),6))</f>
        <v/>
      </c>
      <c r="B75">
        <f>IF($A75="","",IF(Sync!$AA75="","",Sync!$AA75))</f>
        <v/>
      </c>
      <c r="C75">
        <f>IF($A75="","",IF(Sync!$AB75="","",Sync!$AB75))</f>
        <v/>
      </c>
      <c r="D75">
        <f>IF($A75="","",IF(Sync!$AC75="","",Sync!$AC75))</f>
        <v/>
      </c>
      <c r="E75">
        <f>IF($A75="","",IF(Sync!$AD75="","",Sync!$AD75))</f>
        <v/>
      </c>
      <c r="F75">
        <f>IF($A75="","",IF(Sync!$AE75="",0,Sync!$AE75))</f>
        <v/>
      </c>
      <c r="G75">
        <f>IF($A75="","",IF(Sync!$AF75="",0,Sync!$AF75))</f>
        <v/>
      </c>
      <c r="H75">
        <f>IF(OR($A75="",ROUND($F75+$G75,2)=0),"",$F75+$G75)</f>
        <v/>
      </c>
      <c r="I75">
        <f>IF($H75="","",IF(ROUND($F75,2)&gt;0,$A75,IF($D75="شخصی قاسم","شخصی قاسم",IF($D75="هزینه","هزینه: "&amp;IF($E75="","متفرقه",$E75),IF($C75="پاس چک","چک پرداختی",IF(OR($B75="",COUNTIF(AcctCodesA,$B75)=0),"متفرقه",$B75))))))</f>
        <v/>
      </c>
      <c r="J75">
        <f>IF($H75="","",IF(ROUND($F75,2)&gt;0,IF($D75="شخصی قاسم","شخصی قاسم",IF($D75="هزینه","هزینه: "&amp;IF($E75="","متفرقه",$E75),IF(OR($B75="",COUNTIF(AcctCodesA,$B75)=0),"متفرقه",$B75))),$A75))</f>
        <v/>
      </c>
      <c r="K75">
        <f>IF($A75="","",IF(AND($B75&lt;&gt;"",COUNTIF(AcctCodesA,$B75)=0),"کد طرف در INFO تعریف نشده",IF(AND($D75="هزینه",$E75=""),"هزینه بدون زیرگروه",IF(AND($C75="پاس چک",OR(Sync!$AJ75="",COUNTIF(IssueNosA,Sync!$AJ75)=0)),"شماره چک پاس‌شده معتبر نیست",""))))</f>
        <v/>
      </c>
      <c r="M75">
        <f>IF(Sync!$AH75="","",Sync!$AH75)</f>
        <v/>
      </c>
      <c r="N75">
        <f>IF($M75="","",IF(OR(Sync!$AI75="",COUNTIF(AcctCodesA,Sync!$AI75)=0),"متفرقه",Sync!$AI75))</f>
        <v/>
      </c>
      <c r="O75">
        <f>IF($M75="","",$N75)</f>
        <v/>
      </c>
      <c r="P75">
        <f>IF($M75="","","چک پرداختی")</f>
        <v/>
      </c>
      <c r="R75">
        <f>IF($M75="","",IF(COUNTIF(AcctCodesA,Sync!$AI75)=0,"ذی‌نفع چک تعریف‌نشده",""))</f>
        <v/>
      </c>
      <c r="S75">
        <f>IF($R75="","",Sync!$AG75&amp;"|"&amp;"5"&amp;RIGHT("00000"&amp;70,5))</f>
        <v/>
      </c>
      <c r="T75">
        <f>IF($S75="",0,COUNTIFS($S$6:$S$505,"&lt;"&amp;$S75)-COUNTIFS($S$6:$S$505,"&lt;"&amp;$S75,$R$6:$R$505,"")+1)</f>
        <v/>
      </c>
      <c r="V75">
        <f>IF($K75="","",IF(ISNUMBER(Sync!$AK75),Sync!$AK75,LEFT(Sync!$AK75,4)&amp;MID(Sync!$AK75,6,2)&amp;RIGHT(Sync!$AK75,2))&amp;"|"&amp;"4"&amp;RIGHT("00000"&amp;70,5))</f>
        <v/>
      </c>
      <c r="W75">
        <f>IF($V75="",0,COUNTIFS($V$6:$V$2005,"&lt;"&amp;$V75)-COUNTIFS($V$6:$V$2005,"&lt;"&amp;$V75,$K$6:$K$2005,"")+1)</f>
        <v/>
      </c>
      <c r="X75">
        <f>IF(Sync!$AX75="","",IF(OR(N(Sync!$AY75)=0,N(Sync!$AZ75)=0),"",ROUND(N(Sync!$AY75)*N(Sync!$AZ75),0)))</f>
        <v/>
      </c>
      <c r="Y75">
        <f>IF($X75="","",IF(OR(Sync!$AX75="",COUNTIF(AcctCodesA,Sync!$AX75)=0),"متفرقه",Sync!$AX75))</f>
        <v/>
      </c>
      <c r="Z75">
        <f>IF($X75="","","سبد و ظروف")</f>
        <v/>
      </c>
      <c r="AA75">
        <f>IF($X75="","",$Y75)</f>
        <v/>
      </c>
    </row>
    <row r="76">
      <c r="A76">
        <f>IF(Sync!$Z76="","",LEFT(UPPER(TRIM(Sync!$Z76)),6))</f>
        <v/>
      </c>
      <c r="B76">
        <f>IF($A76="","",IF(Sync!$AA76="","",Sync!$AA76))</f>
        <v/>
      </c>
      <c r="C76">
        <f>IF($A76="","",IF(Sync!$AB76="","",Sync!$AB76))</f>
        <v/>
      </c>
      <c r="D76">
        <f>IF($A76="","",IF(Sync!$AC76="","",Sync!$AC76))</f>
        <v/>
      </c>
      <c r="E76">
        <f>IF($A76="","",IF(Sync!$AD76="","",Sync!$AD76))</f>
        <v/>
      </c>
      <c r="F76">
        <f>IF($A76="","",IF(Sync!$AE76="",0,Sync!$AE76))</f>
        <v/>
      </c>
      <c r="G76">
        <f>IF($A76="","",IF(Sync!$AF76="",0,Sync!$AF76))</f>
        <v/>
      </c>
      <c r="H76">
        <f>IF(OR($A76="",ROUND($F76+$G76,2)=0),"",$F76+$G76)</f>
        <v/>
      </c>
      <c r="I76">
        <f>IF($H76="","",IF(ROUND($F76,2)&gt;0,$A76,IF($D76="شخصی قاسم","شخصی قاسم",IF($D76="هزینه","هزینه: "&amp;IF($E76="","متفرقه",$E76),IF($C76="پاس چک","چک پرداختی",IF(OR($B76="",COUNTIF(AcctCodesA,$B76)=0),"متفرقه",$B76))))))</f>
        <v/>
      </c>
      <c r="J76">
        <f>IF($H76="","",IF(ROUND($F76,2)&gt;0,IF($D76="شخصی قاسم","شخصی قاسم",IF($D76="هزینه","هزینه: "&amp;IF($E76="","متفرقه",$E76),IF(OR($B76="",COUNTIF(AcctCodesA,$B76)=0),"متفرقه",$B76))),$A76))</f>
        <v/>
      </c>
      <c r="K76">
        <f>IF($A76="","",IF(AND($B76&lt;&gt;"",COUNTIF(AcctCodesA,$B76)=0),"کد طرف در INFO تعریف نشده",IF(AND($D76="هزینه",$E76=""),"هزینه بدون زیرگروه",IF(AND($C76="پاس چک",OR(Sync!$AJ76="",COUNTIF(IssueNosA,Sync!$AJ76)=0)),"شماره چک پاس‌شده معتبر نیست",""))))</f>
        <v/>
      </c>
      <c r="M76">
        <f>IF(Sync!$AH76="","",Sync!$AH76)</f>
        <v/>
      </c>
      <c r="N76">
        <f>IF($M76="","",IF(OR(Sync!$AI76="",COUNTIF(AcctCodesA,Sync!$AI76)=0),"متفرقه",Sync!$AI76))</f>
        <v/>
      </c>
      <c r="O76">
        <f>IF($M76="","",$N76)</f>
        <v/>
      </c>
      <c r="P76">
        <f>IF($M76="","","چک پرداختی")</f>
        <v/>
      </c>
      <c r="R76">
        <f>IF($M76="","",IF(COUNTIF(AcctCodesA,Sync!$AI76)=0,"ذی‌نفع چک تعریف‌نشده",""))</f>
        <v/>
      </c>
      <c r="S76">
        <f>IF($R76="","",Sync!$AG76&amp;"|"&amp;"5"&amp;RIGHT("00000"&amp;71,5))</f>
        <v/>
      </c>
      <c r="T76">
        <f>IF($S76="",0,COUNTIFS($S$6:$S$505,"&lt;"&amp;$S76)-COUNTIFS($S$6:$S$505,"&lt;"&amp;$S76,$R$6:$R$505,"")+1)</f>
        <v/>
      </c>
      <c r="V76">
        <f>IF($K76="","",IF(ISNUMBER(Sync!$AK76),Sync!$AK76,LEFT(Sync!$AK76,4)&amp;MID(Sync!$AK76,6,2)&amp;RIGHT(Sync!$AK76,2))&amp;"|"&amp;"4"&amp;RIGHT("00000"&amp;71,5))</f>
        <v/>
      </c>
      <c r="W76">
        <f>IF($V76="",0,COUNTIFS($V$6:$V$2005,"&lt;"&amp;$V76)-COUNTIFS($V$6:$V$2005,"&lt;"&amp;$V76,$K$6:$K$2005,"")+1)</f>
        <v/>
      </c>
      <c r="X76">
        <f>IF(Sync!$AX76="","",IF(OR(N(Sync!$AY76)=0,N(Sync!$AZ76)=0),"",ROUND(N(Sync!$AY76)*N(Sync!$AZ76),0)))</f>
        <v/>
      </c>
      <c r="Y76">
        <f>IF($X76="","",IF(OR(Sync!$AX76="",COUNTIF(AcctCodesA,Sync!$AX76)=0),"متفرقه",Sync!$AX76))</f>
        <v/>
      </c>
      <c r="Z76">
        <f>IF($X76="","","سبد و ظروف")</f>
        <v/>
      </c>
      <c r="AA76">
        <f>IF($X76="","",$Y76)</f>
        <v/>
      </c>
    </row>
    <row r="77">
      <c r="A77">
        <f>IF(Sync!$Z77="","",LEFT(UPPER(TRIM(Sync!$Z77)),6))</f>
        <v/>
      </c>
      <c r="B77">
        <f>IF($A77="","",IF(Sync!$AA77="","",Sync!$AA77))</f>
        <v/>
      </c>
      <c r="C77">
        <f>IF($A77="","",IF(Sync!$AB77="","",Sync!$AB77))</f>
        <v/>
      </c>
      <c r="D77">
        <f>IF($A77="","",IF(Sync!$AC77="","",Sync!$AC77))</f>
        <v/>
      </c>
      <c r="E77">
        <f>IF($A77="","",IF(Sync!$AD77="","",Sync!$AD77))</f>
        <v/>
      </c>
      <c r="F77">
        <f>IF($A77="","",IF(Sync!$AE77="",0,Sync!$AE77))</f>
        <v/>
      </c>
      <c r="G77">
        <f>IF($A77="","",IF(Sync!$AF77="",0,Sync!$AF77))</f>
        <v/>
      </c>
      <c r="H77">
        <f>IF(OR($A77="",ROUND($F77+$G77,2)=0),"",$F77+$G77)</f>
        <v/>
      </c>
      <c r="I77">
        <f>IF($H77="","",IF(ROUND($F77,2)&gt;0,$A77,IF($D77="شخصی قاسم","شخصی قاسم",IF($D77="هزینه","هزینه: "&amp;IF($E77="","متفرقه",$E77),IF($C77="پاس چک","چک پرداختی",IF(OR($B77="",COUNTIF(AcctCodesA,$B77)=0),"متفرقه",$B77))))))</f>
        <v/>
      </c>
      <c r="J77">
        <f>IF($H77="","",IF(ROUND($F77,2)&gt;0,IF($D77="شخصی قاسم","شخصی قاسم",IF($D77="هزینه","هزینه: "&amp;IF($E77="","متفرقه",$E77),IF(OR($B77="",COUNTIF(AcctCodesA,$B77)=0),"متفرقه",$B77))),$A77))</f>
        <v/>
      </c>
      <c r="K77">
        <f>IF($A77="","",IF(AND($B77&lt;&gt;"",COUNTIF(AcctCodesA,$B77)=0),"کد طرف در INFO تعریف نشده",IF(AND($D77="هزینه",$E77=""),"هزینه بدون زیرگروه",IF(AND($C77="پاس چک",OR(Sync!$AJ77="",COUNTIF(IssueNosA,Sync!$AJ77)=0)),"شماره چک پاس‌شده معتبر نیست",""))))</f>
        <v/>
      </c>
      <c r="M77">
        <f>IF(Sync!$AH77="","",Sync!$AH77)</f>
        <v/>
      </c>
      <c r="N77">
        <f>IF($M77="","",IF(OR(Sync!$AI77="",COUNTIF(AcctCodesA,Sync!$AI77)=0),"متفرقه",Sync!$AI77))</f>
        <v/>
      </c>
      <c r="O77">
        <f>IF($M77="","",$N77)</f>
        <v/>
      </c>
      <c r="P77">
        <f>IF($M77="","","چک پرداختی")</f>
        <v/>
      </c>
      <c r="R77">
        <f>IF($M77="","",IF(COUNTIF(AcctCodesA,Sync!$AI77)=0,"ذی‌نفع چک تعریف‌نشده",""))</f>
        <v/>
      </c>
      <c r="S77">
        <f>IF($R77="","",Sync!$AG77&amp;"|"&amp;"5"&amp;RIGHT("00000"&amp;72,5))</f>
        <v/>
      </c>
      <c r="T77">
        <f>IF($S77="",0,COUNTIFS($S$6:$S$505,"&lt;"&amp;$S77)-COUNTIFS($S$6:$S$505,"&lt;"&amp;$S77,$R$6:$R$505,"")+1)</f>
        <v/>
      </c>
      <c r="V77">
        <f>IF($K77="","",IF(ISNUMBER(Sync!$AK77),Sync!$AK77,LEFT(Sync!$AK77,4)&amp;MID(Sync!$AK77,6,2)&amp;RIGHT(Sync!$AK77,2))&amp;"|"&amp;"4"&amp;RIGHT("00000"&amp;72,5))</f>
        <v/>
      </c>
      <c r="W77">
        <f>IF($V77="",0,COUNTIFS($V$6:$V$2005,"&lt;"&amp;$V77)-COUNTIFS($V$6:$V$2005,"&lt;"&amp;$V77,$K$6:$K$2005,"")+1)</f>
        <v/>
      </c>
      <c r="X77">
        <f>IF(Sync!$AX77="","",IF(OR(N(Sync!$AY77)=0,N(Sync!$AZ77)=0),"",ROUND(N(Sync!$AY77)*N(Sync!$AZ77),0)))</f>
        <v/>
      </c>
      <c r="Y77">
        <f>IF($X77="","",IF(OR(Sync!$AX77="",COUNTIF(AcctCodesA,Sync!$AX77)=0),"متفرقه",Sync!$AX77))</f>
        <v/>
      </c>
      <c r="Z77">
        <f>IF($X77="","","سبد و ظروف")</f>
        <v/>
      </c>
      <c r="AA77">
        <f>IF($X77="","",$Y77)</f>
        <v/>
      </c>
    </row>
    <row r="78">
      <c r="A78">
        <f>IF(Sync!$Z78="","",LEFT(UPPER(TRIM(Sync!$Z78)),6))</f>
        <v/>
      </c>
      <c r="B78">
        <f>IF($A78="","",IF(Sync!$AA78="","",Sync!$AA78))</f>
        <v/>
      </c>
      <c r="C78">
        <f>IF($A78="","",IF(Sync!$AB78="","",Sync!$AB78))</f>
        <v/>
      </c>
      <c r="D78">
        <f>IF($A78="","",IF(Sync!$AC78="","",Sync!$AC78))</f>
        <v/>
      </c>
      <c r="E78">
        <f>IF($A78="","",IF(Sync!$AD78="","",Sync!$AD78))</f>
        <v/>
      </c>
      <c r="F78">
        <f>IF($A78="","",IF(Sync!$AE78="",0,Sync!$AE78))</f>
        <v/>
      </c>
      <c r="G78">
        <f>IF($A78="","",IF(Sync!$AF78="",0,Sync!$AF78))</f>
        <v/>
      </c>
      <c r="H78">
        <f>IF(OR($A78="",ROUND($F78+$G78,2)=0),"",$F78+$G78)</f>
        <v/>
      </c>
      <c r="I78">
        <f>IF($H78="","",IF(ROUND($F78,2)&gt;0,$A78,IF($D78="شخصی قاسم","شخصی قاسم",IF($D78="هزینه","هزینه: "&amp;IF($E78="","متفرقه",$E78),IF($C78="پاس چک","چک پرداختی",IF(OR($B78="",COUNTIF(AcctCodesA,$B78)=0),"متفرقه",$B78))))))</f>
        <v/>
      </c>
      <c r="J78">
        <f>IF($H78="","",IF(ROUND($F78,2)&gt;0,IF($D78="شخصی قاسم","شخصی قاسم",IF($D78="هزینه","هزینه: "&amp;IF($E78="","متفرقه",$E78),IF(OR($B78="",COUNTIF(AcctCodesA,$B78)=0),"متفرقه",$B78))),$A78))</f>
        <v/>
      </c>
      <c r="K78">
        <f>IF($A78="","",IF(AND($B78&lt;&gt;"",COUNTIF(AcctCodesA,$B78)=0),"کد طرف در INFO تعریف نشده",IF(AND($D78="هزینه",$E78=""),"هزینه بدون زیرگروه",IF(AND($C78="پاس چک",OR(Sync!$AJ78="",COUNTIF(IssueNosA,Sync!$AJ78)=0)),"شماره چک پاس‌شده معتبر نیست",""))))</f>
        <v/>
      </c>
      <c r="M78">
        <f>IF(Sync!$AH78="","",Sync!$AH78)</f>
        <v/>
      </c>
      <c r="N78">
        <f>IF($M78="","",IF(OR(Sync!$AI78="",COUNTIF(AcctCodesA,Sync!$AI78)=0),"متفرقه",Sync!$AI78))</f>
        <v/>
      </c>
      <c r="O78">
        <f>IF($M78="","",$N78)</f>
        <v/>
      </c>
      <c r="P78">
        <f>IF($M78="","","چک پرداختی")</f>
        <v/>
      </c>
      <c r="R78">
        <f>IF($M78="","",IF(COUNTIF(AcctCodesA,Sync!$AI78)=0,"ذی‌نفع چک تعریف‌نشده",""))</f>
        <v/>
      </c>
      <c r="S78">
        <f>IF($R78="","",Sync!$AG78&amp;"|"&amp;"5"&amp;RIGHT("00000"&amp;73,5))</f>
        <v/>
      </c>
      <c r="T78">
        <f>IF($S78="",0,COUNTIFS($S$6:$S$505,"&lt;"&amp;$S78)-COUNTIFS($S$6:$S$505,"&lt;"&amp;$S78,$R$6:$R$505,"")+1)</f>
        <v/>
      </c>
      <c r="V78">
        <f>IF($K78="","",IF(ISNUMBER(Sync!$AK78),Sync!$AK78,LEFT(Sync!$AK78,4)&amp;MID(Sync!$AK78,6,2)&amp;RIGHT(Sync!$AK78,2))&amp;"|"&amp;"4"&amp;RIGHT("00000"&amp;73,5))</f>
        <v/>
      </c>
      <c r="W78">
        <f>IF($V78="",0,COUNTIFS($V$6:$V$2005,"&lt;"&amp;$V78)-COUNTIFS($V$6:$V$2005,"&lt;"&amp;$V78,$K$6:$K$2005,"")+1)</f>
        <v/>
      </c>
      <c r="X78">
        <f>IF(Sync!$AX78="","",IF(OR(N(Sync!$AY78)=0,N(Sync!$AZ78)=0),"",ROUND(N(Sync!$AY78)*N(Sync!$AZ78),0)))</f>
        <v/>
      </c>
      <c r="Y78">
        <f>IF($X78="","",IF(OR(Sync!$AX78="",COUNTIF(AcctCodesA,Sync!$AX78)=0),"متفرقه",Sync!$AX78))</f>
        <v/>
      </c>
      <c r="Z78">
        <f>IF($X78="","","سبد و ظروف")</f>
        <v/>
      </c>
      <c r="AA78">
        <f>IF($X78="","",$Y78)</f>
        <v/>
      </c>
    </row>
    <row r="79">
      <c r="A79">
        <f>IF(Sync!$Z79="","",LEFT(UPPER(TRIM(Sync!$Z79)),6))</f>
        <v/>
      </c>
      <c r="B79">
        <f>IF($A79="","",IF(Sync!$AA79="","",Sync!$AA79))</f>
        <v/>
      </c>
      <c r="C79">
        <f>IF($A79="","",IF(Sync!$AB79="","",Sync!$AB79))</f>
        <v/>
      </c>
      <c r="D79">
        <f>IF($A79="","",IF(Sync!$AC79="","",Sync!$AC79))</f>
        <v/>
      </c>
      <c r="E79">
        <f>IF($A79="","",IF(Sync!$AD79="","",Sync!$AD79))</f>
        <v/>
      </c>
      <c r="F79">
        <f>IF($A79="","",IF(Sync!$AE79="",0,Sync!$AE79))</f>
        <v/>
      </c>
      <c r="G79">
        <f>IF($A79="","",IF(Sync!$AF79="",0,Sync!$AF79))</f>
        <v/>
      </c>
      <c r="H79">
        <f>IF(OR($A79="",ROUND($F79+$G79,2)=0),"",$F79+$G79)</f>
        <v/>
      </c>
      <c r="I79">
        <f>IF($H79="","",IF(ROUND($F79,2)&gt;0,$A79,IF($D79="شخصی قاسم","شخصی قاسم",IF($D79="هزینه","هزینه: "&amp;IF($E79="","متفرقه",$E79),IF($C79="پاس چک","چک پرداختی",IF(OR($B79="",COUNTIF(AcctCodesA,$B79)=0),"متفرقه",$B79))))))</f>
        <v/>
      </c>
      <c r="J79">
        <f>IF($H79="","",IF(ROUND($F79,2)&gt;0,IF($D79="شخصی قاسم","شخصی قاسم",IF($D79="هزینه","هزینه: "&amp;IF($E79="","متفرقه",$E79),IF(OR($B79="",COUNTIF(AcctCodesA,$B79)=0),"متفرقه",$B79))),$A79))</f>
        <v/>
      </c>
      <c r="K79">
        <f>IF($A79="","",IF(AND($B79&lt;&gt;"",COUNTIF(AcctCodesA,$B79)=0),"کد طرف در INFO تعریف نشده",IF(AND($D79="هزینه",$E79=""),"هزینه بدون زیرگروه",IF(AND($C79="پاس چک",OR(Sync!$AJ79="",COUNTIF(IssueNosA,Sync!$AJ79)=0)),"شماره چک پاس‌شده معتبر نیست",""))))</f>
        <v/>
      </c>
      <c r="M79">
        <f>IF(Sync!$AH79="","",Sync!$AH79)</f>
        <v/>
      </c>
      <c r="N79">
        <f>IF($M79="","",IF(OR(Sync!$AI79="",COUNTIF(AcctCodesA,Sync!$AI79)=0),"متفرقه",Sync!$AI79))</f>
        <v/>
      </c>
      <c r="O79">
        <f>IF($M79="","",$N79)</f>
        <v/>
      </c>
      <c r="P79">
        <f>IF($M79="","","چک پرداختی")</f>
        <v/>
      </c>
      <c r="R79">
        <f>IF($M79="","",IF(COUNTIF(AcctCodesA,Sync!$AI79)=0,"ذی‌نفع چک تعریف‌نشده",""))</f>
        <v/>
      </c>
      <c r="S79">
        <f>IF($R79="","",Sync!$AG79&amp;"|"&amp;"5"&amp;RIGHT("00000"&amp;74,5))</f>
        <v/>
      </c>
      <c r="T79">
        <f>IF($S79="",0,COUNTIFS($S$6:$S$505,"&lt;"&amp;$S79)-COUNTIFS($S$6:$S$505,"&lt;"&amp;$S79,$R$6:$R$505,"")+1)</f>
        <v/>
      </c>
      <c r="V79">
        <f>IF($K79="","",IF(ISNUMBER(Sync!$AK79),Sync!$AK79,LEFT(Sync!$AK79,4)&amp;MID(Sync!$AK79,6,2)&amp;RIGHT(Sync!$AK79,2))&amp;"|"&amp;"4"&amp;RIGHT("00000"&amp;74,5))</f>
        <v/>
      </c>
      <c r="W79">
        <f>IF($V79="",0,COUNTIFS($V$6:$V$2005,"&lt;"&amp;$V79)-COUNTIFS($V$6:$V$2005,"&lt;"&amp;$V79,$K$6:$K$2005,"")+1)</f>
        <v/>
      </c>
      <c r="X79">
        <f>IF(Sync!$AX79="","",IF(OR(N(Sync!$AY79)=0,N(Sync!$AZ79)=0),"",ROUND(N(Sync!$AY79)*N(Sync!$AZ79),0)))</f>
        <v/>
      </c>
      <c r="Y79">
        <f>IF($X79="","",IF(OR(Sync!$AX79="",COUNTIF(AcctCodesA,Sync!$AX79)=0),"متفرقه",Sync!$AX79))</f>
        <v/>
      </c>
      <c r="Z79">
        <f>IF($X79="","","سبد و ظروف")</f>
        <v/>
      </c>
      <c r="AA79">
        <f>IF($X79="","",$Y79)</f>
        <v/>
      </c>
    </row>
    <row r="80">
      <c r="A80">
        <f>IF(Sync!$Z80="","",LEFT(UPPER(TRIM(Sync!$Z80)),6))</f>
        <v/>
      </c>
      <c r="B80">
        <f>IF($A80="","",IF(Sync!$AA80="","",Sync!$AA80))</f>
        <v/>
      </c>
      <c r="C80">
        <f>IF($A80="","",IF(Sync!$AB80="","",Sync!$AB80))</f>
        <v/>
      </c>
      <c r="D80">
        <f>IF($A80="","",IF(Sync!$AC80="","",Sync!$AC80))</f>
        <v/>
      </c>
      <c r="E80">
        <f>IF($A80="","",IF(Sync!$AD80="","",Sync!$AD80))</f>
        <v/>
      </c>
      <c r="F80">
        <f>IF($A80="","",IF(Sync!$AE80="",0,Sync!$AE80))</f>
        <v/>
      </c>
      <c r="G80">
        <f>IF($A80="","",IF(Sync!$AF80="",0,Sync!$AF80))</f>
        <v/>
      </c>
      <c r="H80">
        <f>IF(OR($A80="",ROUND($F80+$G80,2)=0),"",$F80+$G80)</f>
        <v/>
      </c>
      <c r="I80">
        <f>IF($H80="","",IF(ROUND($F80,2)&gt;0,$A80,IF($D80="شخصی قاسم","شخصی قاسم",IF($D80="هزینه","هزینه: "&amp;IF($E80="","متفرقه",$E80),IF($C80="پاس چک","چک پرداختی",IF(OR($B80="",COUNTIF(AcctCodesA,$B80)=0),"متفرقه",$B80))))))</f>
        <v/>
      </c>
      <c r="J80">
        <f>IF($H80="","",IF(ROUND($F80,2)&gt;0,IF($D80="شخصی قاسم","شخصی قاسم",IF($D80="هزینه","هزینه: "&amp;IF($E80="","متفرقه",$E80),IF(OR($B80="",COUNTIF(AcctCodesA,$B80)=0),"متفرقه",$B80))),$A80))</f>
        <v/>
      </c>
      <c r="K80">
        <f>IF($A80="","",IF(AND($B80&lt;&gt;"",COUNTIF(AcctCodesA,$B80)=0),"کد طرف در INFO تعریف نشده",IF(AND($D80="هزینه",$E80=""),"هزینه بدون زیرگروه",IF(AND($C80="پاس چک",OR(Sync!$AJ80="",COUNTIF(IssueNosA,Sync!$AJ80)=0)),"شماره چک پاس‌شده معتبر نیست",""))))</f>
        <v/>
      </c>
      <c r="M80">
        <f>IF(Sync!$AH80="","",Sync!$AH80)</f>
        <v/>
      </c>
      <c r="N80">
        <f>IF($M80="","",IF(OR(Sync!$AI80="",COUNTIF(AcctCodesA,Sync!$AI80)=0),"متفرقه",Sync!$AI80))</f>
        <v/>
      </c>
      <c r="O80">
        <f>IF($M80="","",$N80)</f>
        <v/>
      </c>
      <c r="P80">
        <f>IF($M80="","","چک پرداختی")</f>
        <v/>
      </c>
      <c r="R80">
        <f>IF($M80="","",IF(COUNTIF(AcctCodesA,Sync!$AI80)=0,"ذی‌نفع چک تعریف‌نشده",""))</f>
        <v/>
      </c>
      <c r="S80">
        <f>IF($R80="","",Sync!$AG80&amp;"|"&amp;"5"&amp;RIGHT("00000"&amp;75,5))</f>
        <v/>
      </c>
      <c r="T80">
        <f>IF($S80="",0,COUNTIFS($S$6:$S$505,"&lt;"&amp;$S80)-COUNTIFS($S$6:$S$505,"&lt;"&amp;$S80,$R$6:$R$505,"")+1)</f>
        <v/>
      </c>
      <c r="V80">
        <f>IF($K80="","",IF(ISNUMBER(Sync!$AK80),Sync!$AK80,LEFT(Sync!$AK80,4)&amp;MID(Sync!$AK80,6,2)&amp;RIGHT(Sync!$AK80,2))&amp;"|"&amp;"4"&amp;RIGHT("00000"&amp;75,5))</f>
        <v/>
      </c>
      <c r="W80">
        <f>IF($V80="",0,COUNTIFS($V$6:$V$2005,"&lt;"&amp;$V80)-COUNTIFS($V$6:$V$2005,"&lt;"&amp;$V80,$K$6:$K$2005,"")+1)</f>
        <v/>
      </c>
      <c r="X80">
        <f>IF(Sync!$AX80="","",IF(OR(N(Sync!$AY80)=0,N(Sync!$AZ80)=0),"",ROUND(N(Sync!$AY80)*N(Sync!$AZ80),0)))</f>
        <v/>
      </c>
      <c r="Y80">
        <f>IF($X80="","",IF(OR(Sync!$AX80="",COUNTIF(AcctCodesA,Sync!$AX80)=0),"متفرقه",Sync!$AX80))</f>
        <v/>
      </c>
      <c r="Z80">
        <f>IF($X80="","","سبد و ظروف")</f>
        <v/>
      </c>
      <c r="AA80">
        <f>IF($X80="","",$Y80)</f>
        <v/>
      </c>
    </row>
    <row r="81">
      <c r="A81">
        <f>IF(Sync!$Z81="","",LEFT(UPPER(TRIM(Sync!$Z81)),6))</f>
        <v/>
      </c>
      <c r="B81">
        <f>IF($A81="","",IF(Sync!$AA81="","",Sync!$AA81))</f>
        <v/>
      </c>
      <c r="C81">
        <f>IF($A81="","",IF(Sync!$AB81="","",Sync!$AB81))</f>
        <v/>
      </c>
      <c r="D81">
        <f>IF($A81="","",IF(Sync!$AC81="","",Sync!$AC81))</f>
        <v/>
      </c>
      <c r="E81">
        <f>IF($A81="","",IF(Sync!$AD81="","",Sync!$AD81))</f>
        <v/>
      </c>
      <c r="F81">
        <f>IF($A81="","",IF(Sync!$AE81="",0,Sync!$AE81))</f>
        <v/>
      </c>
      <c r="G81">
        <f>IF($A81="","",IF(Sync!$AF81="",0,Sync!$AF81))</f>
        <v/>
      </c>
      <c r="H81">
        <f>IF(OR($A81="",ROUND($F81+$G81,2)=0),"",$F81+$G81)</f>
        <v/>
      </c>
      <c r="I81">
        <f>IF($H81="","",IF(ROUND($F81,2)&gt;0,$A81,IF($D81="شخصی قاسم","شخصی قاسم",IF($D81="هزینه","هزینه: "&amp;IF($E81="","متفرقه",$E81),IF($C81="پاس چک","چک پرداختی",IF(OR($B81="",COUNTIF(AcctCodesA,$B81)=0),"متفرقه",$B81))))))</f>
        <v/>
      </c>
      <c r="J81">
        <f>IF($H81="","",IF(ROUND($F81,2)&gt;0,IF($D81="شخصی قاسم","شخصی قاسم",IF($D81="هزینه","هزینه: "&amp;IF($E81="","متفرقه",$E81),IF(OR($B81="",COUNTIF(AcctCodesA,$B81)=0),"متفرقه",$B81))),$A81))</f>
        <v/>
      </c>
      <c r="K81">
        <f>IF($A81="","",IF(AND($B81&lt;&gt;"",COUNTIF(AcctCodesA,$B81)=0),"کد طرف در INFO تعریف نشده",IF(AND($D81="هزینه",$E81=""),"هزینه بدون زیرگروه",IF(AND($C81="پاس چک",OR(Sync!$AJ81="",COUNTIF(IssueNosA,Sync!$AJ81)=0)),"شماره چک پاس‌شده معتبر نیست",""))))</f>
        <v/>
      </c>
      <c r="M81">
        <f>IF(Sync!$AH81="","",Sync!$AH81)</f>
        <v/>
      </c>
      <c r="N81">
        <f>IF($M81="","",IF(OR(Sync!$AI81="",COUNTIF(AcctCodesA,Sync!$AI81)=0),"متفرقه",Sync!$AI81))</f>
        <v/>
      </c>
      <c r="O81">
        <f>IF($M81="","",$N81)</f>
        <v/>
      </c>
      <c r="P81">
        <f>IF($M81="","","چک پرداختی")</f>
        <v/>
      </c>
      <c r="R81">
        <f>IF($M81="","",IF(COUNTIF(AcctCodesA,Sync!$AI81)=0,"ذی‌نفع چک تعریف‌نشده",""))</f>
        <v/>
      </c>
      <c r="S81">
        <f>IF($R81="","",Sync!$AG81&amp;"|"&amp;"5"&amp;RIGHT("00000"&amp;76,5))</f>
        <v/>
      </c>
      <c r="T81">
        <f>IF($S81="",0,COUNTIFS($S$6:$S$505,"&lt;"&amp;$S81)-COUNTIFS($S$6:$S$505,"&lt;"&amp;$S81,$R$6:$R$505,"")+1)</f>
        <v/>
      </c>
      <c r="V81">
        <f>IF($K81="","",IF(ISNUMBER(Sync!$AK81),Sync!$AK81,LEFT(Sync!$AK81,4)&amp;MID(Sync!$AK81,6,2)&amp;RIGHT(Sync!$AK81,2))&amp;"|"&amp;"4"&amp;RIGHT("00000"&amp;76,5))</f>
        <v/>
      </c>
      <c r="W81">
        <f>IF($V81="",0,COUNTIFS($V$6:$V$2005,"&lt;"&amp;$V81)-COUNTIFS($V$6:$V$2005,"&lt;"&amp;$V81,$K$6:$K$2005,"")+1)</f>
        <v/>
      </c>
      <c r="X81">
        <f>IF(Sync!$AX81="","",IF(OR(N(Sync!$AY81)=0,N(Sync!$AZ81)=0),"",ROUND(N(Sync!$AY81)*N(Sync!$AZ81),0)))</f>
        <v/>
      </c>
      <c r="Y81">
        <f>IF($X81="","",IF(OR(Sync!$AX81="",COUNTIF(AcctCodesA,Sync!$AX81)=0),"متفرقه",Sync!$AX81))</f>
        <v/>
      </c>
      <c r="Z81">
        <f>IF($X81="","","سبد و ظروف")</f>
        <v/>
      </c>
      <c r="AA81">
        <f>IF($X81="","",$Y81)</f>
        <v/>
      </c>
    </row>
    <row r="82">
      <c r="A82">
        <f>IF(Sync!$Z82="","",LEFT(UPPER(TRIM(Sync!$Z82)),6))</f>
        <v/>
      </c>
      <c r="B82">
        <f>IF($A82="","",IF(Sync!$AA82="","",Sync!$AA82))</f>
        <v/>
      </c>
      <c r="C82">
        <f>IF($A82="","",IF(Sync!$AB82="","",Sync!$AB82))</f>
        <v/>
      </c>
      <c r="D82">
        <f>IF($A82="","",IF(Sync!$AC82="","",Sync!$AC82))</f>
        <v/>
      </c>
      <c r="E82">
        <f>IF($A82="","",IF(Sync!$AD82="","",Sync!$AD82))</f>
        <v/>
      </c>
      <c r="F82">
        <f>IF($A82="","",IF(Sync!$AE82="",0,Sync!$AE82))</f>
        <v/>
      </c>
      <c r="G82">
        <f>IF($A82="","",IF(Sync!$AF82="",0,Sync!$AF82))</f>
        <v/>
      </c>
      <c r="H82">
        <f>IF(OR($A82="",ROUND($F82+$G82,2)=0),"",$F82+$G82)</f>
        <v/>
      </c>
      <c r="I82">
        <f>IF($H82="","",IF(ROUND($F82,2)&gt;0,$A82,IF($D82="شخصی قاسم","شخصی قاسم",IF($D82="هزینه","هزینه: "&amp;IF($E82="","متفرقه",$E82),IF($C82="پاس چک","چک پرداختی",IF(OR($B82="",COUNTIF(AcctCodesA,$B82)=0),"متفرقه",$B82))))))</f>
        <v/>
      </c>
      <c r="J82">
        <f>IF($H82="","",IF(ROUND($F82,2)&gt;0,IF($D82="شخصی قاسم","شخصی قاسم",IF($D82="هزینه","هزینه: "&amp;IF($E82="","متفرقه",$E82),IF(OR($B82="",COUNTIF(AcctCodesA,$B82)=0),"متفرقه",$B82))),$A82))</f>
        <v/>
      </c>
      <c r="K82">
        <f>IF($A82="","",IF(AND($B82&lt;&gt;"",COUNTIF(AcctCodesA,$B82)=0),"کد طرف در INFO تعریف نشده",IF(AND($D82="هزینه",$E82=""),"هزینه بدون زیرگروه",IF(AND($C82="پاس چک",OR(Sync!$AJ82="",COUNTIF(IssueNosA,Sync!$AJ82)=0)),"شماره چک پاس‌شده معتبر نیست",""))))</f>
        <v/>
      </c>
      <c r="M82">
        <f>IF(Sync!$AH82="","",Sync!$AH82)</f>
        <v/>
      </c>
      <c r="N82">
        <f>IF($M82="","",IF(OR(Sync!$AI82="",COUNTIF(AcctCodesA,Sync!$AI82)=0),"متفرقه",Sync!$AI82))</f>
        <v/>
      </c>
      <c r="O82">
        <f>IF($M82="","",$N82)</f>
        <v/>
      </c>
      <c r="P82">
        <f>IF($M82="","","چک پرداختی")</f>
        <v/>
      </c>
      <c r="R82">
        <f>IF($M82="","",IF(COUNTIF(AcctCodesA,Sync!$AI82)=0,"ذی‌نفع چک تعریف‌نشده",""))</f>
        <v/>
      </c>
      <c r="S82">
        <f>IF($R82="","",Sync!$AG82&amp;"|"&amp;"5"&amp;RIGHT("00000"&amp;77,5))</f>
        <v/>
      </c>
      <c r="T82">
        <f>IF($S82="",0,COUNTIFS($S$6:$S$505,"&lt;"&amp;$S82)-COUNTIFS($S$6:$S$505,"&lt;"&amp;$S82,$R$6:$R$505,"")+1)</f>
        <v/>
      </c>
      <c r="V82">
        <f>IF($K82="","",IF(ISNUMBER(Sync!$AK82),Sync!$AK82,LEFT(Sync!$AK82,4)&amp;MID(Sync!$AK82,6,2)&amp;RIGHT(Sync!$AK82,2))&amp;"|"&amp;"4"&amp;RIGHT("00000"&amp;77,5))</f>
        <v/>
      </c>
      <c r="W82">
        <f>IF($V82="",0,COUNTIFS($V$6:$V$2005,"&lt;"&amp;$V82)-COUNTIFS($V$6:$V$2005,"&lt;"&amp;$V82,$K$6:$K$2005,"")+1)</f>
        <v/>
      </c>
      <c r="X82">
        <f>IF(Sync!$AX82="","",IF(OR(N(Sync!$AY82)=0,N(Sync!$AZ82)=0),"",ROUND(N(Sync!$AY82)*N(Sync!$AZ82),0)))</f>
        <v/>
      </c>
      <c r="Y82">
        <f>IF($X82="","",IF(OR(Sync!$AX82="",COUNTIF(AcctCodesA,Sync!$AX82)=0),"متفرقه",Sync!$AX82))</f>
        <v/>
      </c>
      <c r="Z82">
        <f>IF($X82="","","سبد و ظروف")</f>
        <v/>
      </c>
      <c r="AA82">
        <f>IF($X82="","",$Y82)</f>
        <v/>
      </c>
    </row>
    <row r="83">
      <c r="A83">
        <f>IF(Sync!$Z83="","",LEFT(UPPER(TRIM(Sync!$Z83)),6))</f>
        <v/>
      </c>
      <c r="B83">
        <f>IF($A83="","",IF(Sync!$AA83="","",Sync!$AA83))</f>
        <v/>
      </c>
      <c r="C83">
        <f>IF($A83="","",IF(Sync!$AB83="","",Sync!$AB83))</f>
        <v/>
      </c>
      <c r="D83">
        <f>IF($A83="","",IF(Sync!$AC83="","",Sync!$AC83))</f>
        <v/>
      </c>
      <c r="E83">
        <f>IF($A83="","",IF(Sync!$AD83="","",Sync!$AD83))</f>
        <v/>
      </c>
      <c r="F83">
        <f>IF($A83="","",IF(Sync!$AE83="",0,Sync!$AE83))</f>
        <v/>
      </c>
      <c r="G83">
        <f>IF($A83="","",IF(Sync!$AF83="",0,Sync!$AF83))</f>
        <v/>
      </c>
      <c r="H83">
        <f>IF(OR($A83="",ROUND($F83+$G83,2)=0),"",$F83+$G83)</f>
        <v/>
      </c>
      <c r="I83">
        <f>IF($H83="","",IF(ROUND($F83,2)&gt;0,$A83,IF($D83="شخصی قاسم","شخصی قاسم",IF($D83="هزینه","هزینه: "&amp;IF($E83="","متفرقه",$E83),IF($C83="پاس چک","چک پرداختی",IF(OR($B83="",COUNTIF(AcctCodesA,$B83)=0),"متفرقه",$B83))))))</f>
        <v/>
      </c>
      <c r="J83">
        <f>IF($H83="","",IF(ROUND($F83,2)&gt;0,IF($D83="شخصی قاسم","شخصی قاسم",IF($D83="هزینه","هزینه: "&amp;IF($E83="","متفرقه",$E83),IF(OR($B83="",COUNTIF(AcctCodesA,$B83)=0),"متفرقه",$B83))),$A83))</f>
        <v/>
      </c>
      <c r="K83">
        <f>IF($A83="","",IF(AND($B83&lt;&gt;"",COUNTIF(AcctCodesA,$B83)=0),"کد طرف در INFO تعریف نشده",IF(AND($D83="هزینه",$E83=""),"هزینه بدون زیرگروه",IF(AND($C83="پاس چک",OR(Sync!$AJ83="",COUNTIF(IssueNosA,Sync!$AJ83)=0)),"شماره چک پاس‌شده معتبر نیست",""))))</f>
        <v/>
      </c>
      <c r="M83">
        <f>IF(Sync!$AH83="","",Sync!$AH83)</f>
        <v/>
      </c>
      <c r="N83">
        <f>IF($M83="","",IF(OR(Sync!$AI83="",COUNTIF(AcctCodesA,Sync!$AI83)=0),"متفرقه",Sync!$AI83))</f>
        <v/>
      </c>
      <c r="O83">
        <f>IF($M83="","",$N83)</f>
        <v/>
      </c>
      <c r="P83">
        <f>IF($M83="","","چک پرداختی")</f>
        <v/>
      </c>
      <c r="R83">
        <f>IF($M83="","",IF(COUNTIF(AcctCodesA,Sync!$AI83)=0,"ذی‌نفع چک تعریف‌نشده",""))</f>
        <v/>
      </c>
      <c r="S83">
        <f>IF($R83="","",Sync!$AG83&amp;"|"&amp;"5"&amp;RIGHT("00000"&amp;78,5))</f>
        <v/>
      </c>
      <c r="T83">
        <f>IF($S83="",0,COUNTIFS($S$6:$S$505,"&lt;"&amp;$S83)-COUNTIFS($S$6:$S$505,"&lt;"&amp;$S83,$R$6:$R$505,"")+1)</f>
        <v/>
      </c>
      <c r="V83">
        <f>IF($K83="","",IF(ISNUMBER(Sync!$AK83),Sync!$AK83,LEFT(Sync!$AK83,4)&amp;MID(Sync!$AK83,6,2)&amp;RIGHT(Sync!$AK83,2))&amp;"|"&amp;"4"&amp;RIGHT("00000"&amp;78,5))</f>
        <v/>
      </c>
      <c r="W83">
        <f>IF($V83="",0,COUNTIFS($V$6:$V$2005,"&lt;"&amp;$V83)-COUNTIFS($V$6:$V$2005,"&lt;"&amp;$V83,$K$6:$K$2005,"")+1)</f>
        <v/>
      </c>
      <c r="X83">
        <f>IF(Sync!$AX83="","",IF(OR(N(Sync!$AY83)=0,N(Sync!$AZ83)=0),"",ROUND(N(Sync!$AY83)*N(Sync!$AZ83),0)))</f>
        <v/>
      </c>
      <c r="Y83">
        <f>IF($X83="","",IF(OR(Sync!$AX83="",COUNTIF(AcctCodesA,Sync!$AX83)=0),"متفرقه",Sync!$AX83))</f>
        <v/>
      </c>
      <c r="Z83">
        <f>IF($X83="","","سبد و ظروف")</f>
        <v/>
      </c>
      <c r="AA83">
        <f>IF($X83="","",$Y83)</f>
        <v/>
      </c>
    </row>
    <row r="84">
      <c r="A84">
        <f>IF(Sync!$Z84="","",LEFT(UPPER(TRIM(Sync!$Z84)),6))</f>
        <v/>
      </c>
      <c r="B84">
        <f>IF($A84="","",IF(Sync!$AA84="","",Sync!$AA84))</f>
        <v/>
      </c>
      <c r="C84">
        <f>IF($A84="","",IF(Sync!$AB84="","",Sync!$AB84))</f>
        <v/>
      </c>
      <c r="D84">
        <f>IF($A84="","",IF(Sync!$AC84="","",Sync!$AC84))</f>
        <v/>
      </c>
      <c r="E84">
        <f>IF($A84="","",IF(Sync!$AD84="","",Sync!$AD84))</f>
        <v/>
      </c>
      <c r="F84">
        <f>IF($A84="","",IF(Sync!$AE84="",0,Sync!$AE84))</f>
        <v/>
      </c>
      <c r="G84">
        <f>IF($A84="","",IF(Sync!$AF84="",0,Sync!$AF84))</f>
        <v/>
      </c>
      <c r="H84">
        <f>IF(OR($A84="",ROUND($F84+$G84,2)=0),"",$F84+$G84)</f>
        <v/>
      </c>
      <c r="I84">
        <f>IF($H84="","",IF(ROUND($F84,2)&gt;0,$A84,IF($D84="شخصی قاسم","شخصی قاسم",IF($D84="هزینه","هزینه: "&amp;IF($E84="","متفرقه",$E84),IF($C84="پاس چک","چک پرداختی",IF(OR($B84="",COUNTIF(AcctCodesA,$B84)=0),"متفرقه",$B84))))))</f>
        <v/>
      </c>
      <c r="J84">
        <f>IF($H84="","",IF(ROUND($F84,2)&gt;0,IF($D84="شخصی قاسم","شخصی قاسم",IF($D84="هزینه","هزینه: "&amp;IF($E84="","متفرقه",$E84),IF(OR($B84="",COUNTIF(AcctCodesA,$B84)=0),"متفرقه",$B84))),$A84))</f>
        <v/>
      </c>
      <c r="K84">
        <f>IF($A84="","",IF(AND($B84&lt;&gt;"",COUNTIF(AcctCodesA,$B84)=0),"کد طرف در INFO تعریف نشده",IF(AND($D84="هزینه",$E84=""),"هزینه بدون زیرگروه",IF(AND($C84="پاس چک",OR(Sync!$AJ84="",COUNTIF(IssueNosA,Sync!$AJ84)=0)),"شماره چک پاس‌شده معتبر نیست",""))))</f>
        <v/>
      </c>
      <c r="M84">
        <f>IF(Sync!$AH84="","",Sync!$AH84)</f>
        <v/>
      </c>
      <c r="N84">
        <f>IF($M84="","",IF(OR(Sync!$AI84="",COUNTIF(AcctCodesA,Sync!$AI84)=0),"متفرقه",Sync!$AI84))</f>
        <v/>
      </c>
      <c r="O84">
        <f>IF($M84="","",$N84)</f>
        <v/>
      </c>
      <c r="P84">
        <f>IF($M84="","","چک پرداختی")</f>
        <v/>
      </c>
      <c r="R84">
        <f>IF($M84="","",IF(COUNTIF(AcctCodesA,Sync!$AI84)=0,"ذی‌نفع چک تعریف‌نشده",""))</f>
        <v/>
      </c>
      <c r="S84">
        <f>IF($R84="","",Sync!$AG84&amp;"|"&amp;"5"&amp;RIGHT("00000"&amp;79,5))</f>
        <v/>
      </c>
      <c r="T84">
        <f>IF($S84="",0,COUNTIFS($S$6:$S$505,"&lt;"&amp;$S84)-COUNTIFS($S$6:$S$505,"&lt;"&amp;$S84,$R$6:$R$505,"")+1)</f>
        <v/>
      </c>
      <c r="V84">
        <f>IF($K84="","",IF(ISNUMBER(Sync!$AK84),Sync!$AK84,LEFT(Sync!$AK84,4)&amp;MID(Sync!$AK84,6,2)&amp;RIGHT(Sync!$AK84,2))&amp;"|"&amp;"4"&amp;RIGHT("00000"&amp;79,5))</f>
        <v/>
      </c>
      <c r="W84">
        <f>IF($V84="",0,COUNTIFS($V$6:$V$2005,"&lt;"&amp;$V84)-COUNTIFS($V$6:$V$2005,"&lt;"&amp;$V84,$K$6:$K$2005,"")+1)</f>
        <v/>
      </c>
      <c r="X84">
        <f>IF(Sync!$AX84="","",IF(OR(N(Sync!$AY84)=0,N(Sync!$AZ84)=0),"",ROUND(N(Sync!$AY84)*N(Sync!$AZ84),0)))</f>
        <v/>
      </c>
      <c r="Y84">
        <f>IF($X84="","",IF(OR(Sync!$AX84="",COUNTIF(AcctCodesA,Sync!$AX84)=0),"متفرقه",Sync!$AX84))</f>
        <v/>
      </c>
      <c r="Z84">
        <f>IF($X84="","","سبد و ظروف")</f>
        <v/>
      </c>
      <c r="AA84">
        <f>IF($X84="","",$Y84)</f>
        <v/>
      </c>
    </row>
    <row r="85">
      <c r="A85">
        <f>IF(Sync!$Z85="","",LEFT(UPPER(TRIM(Sync!$Z85)),6))</f>
        <v/>
      </c>
      <c r="B85">
        <f>IF($A85="","",IF(Sync!$AA85="","",Sync!$AA85))</f>
        <v/>
      </c>
      <c r="C85">
        <f>IF($A85="","",IF(Sync!$AB85="","",Sync!$AB85))</f>
        <v/>
      </c>
      <c r="D85">
        <f>IF($A85="","",IF(Sync!$AC85="","",Sync!$AC85))</f>
        <v/>
      </c>
      <c r="E85">
        <f>IF($A85="","",IF(Sync!$AD85="","",Sync!$AD85))</f>
        <v/>
      </c>
      <c r="F85">
        <f>IF($A85="","",IF(Sync!$AE85="",0,Sync!$AE85))</f>
        <v/>
      </c>
      <c r="G85">
        <f>IF($A85="","",IF(Sync!$AF85="",0,Sync!$AF85))</f>
        <v/>
      </c>
      <c r="H85">
        <f>IF(OR($A85="",ROUND($F85+$G85,2)=0),"",$F85+$G85)</f>
        <v/>
      </c>
      <c r="I85">
        <f>IF($H85="","",IF(ROUND($F85,2)&gt;0,$A85,IF($D85="شخصی قاسم","شخصی قاسم",IF($D85="هزینه","هزینه: "&amp;IF($E85="","متفرقه",$E85),IF($C85="پاس چک","چک پرداختی",IF(OR($B85="",COUNTIF(AcctCodesA,$B85)=0),"متفرقه",$B85))))))</f>
        <v/>
      </c>
      <c r="J85">
        <f>IF($H85="","",IF(ROUND($F85,2)&gt;0,IF($D85="شخصی قاسم","شخصی قاسم",IF($D85="هزینه","هزینه: "&amp;IF($E85="","متفرقه",$E85),IF(OR($B85="",COUNTIF(AcctCodesA,$B85)=0),"متفرقه",$B85))),$A85))</f>
        <v/>
      </c>
      <c r="K85">
        <f>IF($A85="","",IF(AND($B85&lt;&gt;"",COUNTIF(AcctCodesA,$B85)=0),"کد طرف در INFO تعریف نشده",IF(AND($D85="هزینه",$E85=""),"هزینه بدون زیرگروه",IF(AND($C85="پاس چک",OR(Sync!$AJ85="",COUNTIF(IssueNosA,Sync!$AJ85)=0)),"شماره چک پاس‌شده معتبر نیست",""))))</f>
        <v/>
      </c>
      <c r="M85">
        <f>IF(Sync!$AH85="","",Sync!$AH85)</f>
        <v/>
      </c>
      <c r="N85">
        <f>IF($M85="","",IF(OR(Sync!$AI85="",COUNTIF(AcctCodesA,Sync!$AI85)=0),"متفرقه",Sync!$AI85))</f>
        <v/>
      </c>
      <c r="O85">
        <f>IF($M85="","",$N85)</f>
        <v/>
      </c>
      <c r="P85">
        <f>IF($M85="","","چک پرداختی")</f>
        <v/>
      </c>
      <c r="R85">
        <f>IF($M85="","",IF(COUNTIF(AcctCodesA,Sync!$AI85)=0,"ذی‌نفع چک تعریف‌نشده",""))</f>
        <v/>
      </c>
      <c r="S85">
        <f>IF($R85="","",Sync!$AG85&amp;"|"&amp;"5"&amp;RIGHT("00000"&amp;80,5))</f>
        <v/>
      </c>
      <c r="T85">
        <f>IF($S85="",0,COUNTIFS($S$6:$S$505,"&lt;"&amp;$S85)-COUNTIFS($S$6:$S$505,"&lt;"&amp;$S85,$R$6:$R$505,"")+1)</f>
        <v/>
      </c>
      <c r="V85">
        <f>IF($K85="","",IF(ISNUMBER(Sync!$AK85),Sync!$AK85,LEFT(Sync!$AK85,4)&amp;MID(Sync!$AK85,6,2)&amp;RIGHT(Sync!$AK85,2))&amp;"|"&amp;"4"&amp;RIGHT("00000"&amp;80,5))</f>
        <v/>
      </c>
      <c r="W85">
        <f>IF($V85="",0,COUNTIFS($V$6:$V$2005,"&lt;"&amp;$V85)-COUNTIFS($V$6:$V$2005,"&lt;"&amp;$V85,$K$6:$K$2005,"")+1)</f>
        <v/>
      </c>
      <c r="X85">
        <f>IF(Sync!$AX85="","",IF(OR(N(Sync!$AY85)=0,N(Sync!$AZ85)=0),"",ROUND(N(Sync!$AY85)*N(Sync!$AZ85),0)))</f>
        <v/>
      </c>
      <c r="Y85">
        <f>IF($X85="","",IF(OR(Sync!$AX85="",COUNTIF(AcctCodesA,Sync!$AX85)=0),"متفرقه",Sync!$AX85))</f>
        <v/>
      </c>
      <c r="Z85">
        <f>IF($X85="","","سبد و ظروف")</f>
        <v/>
      </c>
      <c r="AA85">
        <f>IF($X85="","",$Y85)</f>
        <v/>
      </c>
    </row>
    <row r="86">
      <c r="A86">
        <f>IF(Sync!$Z86="","",LEFT(UPPER(TRIM(Sync!$Z86)),6))</f>
        <v/>
      </c>
      <c r="B86">
        <f>IF($A86="","",IF(Sync!$AA86="","",Sync!$AA86))</f>
        <v/>
      </c>
      <c r="C86">
        <f>IF($A86="","",IF(Sync!$AB86="","",Sync!$AB86))</f>
        <v/>
      </c>
      <c r="D86">
        <f>IF($A86="","",IF(Sync!$AC86="","",Sync!$AC86))</f>
        <v/>
      </c>
      <c r="E86">
        <f>IF($A86="","",IF(Sync!$AD86="","",Sync!$AD86))</f>
        <v/>
      </c>
      <c r="F86">
        <f>IF($A86="","",IF(Sync!$AE86="",0,Sync!$AE86))</f>
        <v/>
      </c>
      <c r="G86">
        <f>IF($A86="","",IF(Sync!$AF86="",0,Sync!$AF86))</f>
        <v/>
      </c>
      <c r="H86">
        <f>IF(OR($A86="",ROUND($F86+$G86,2)=0),"",$F86+$G86)</f>
        <v/>
      </c>
      <c r="I86">
        <f>IF($H86="","",IF(ROUND($F86,2)&gt;0,$A86,IF($D86="شخصی قاسم","شخصی قاسم",IF($D86="هزینه","هزینه: "&amp;IF($E86="","متفرقه",$E86),IF($C86="پاس چک","چک پرداختی",IF(OR($B86="",COUNTIF(AcctCodesA,$B86)=0),"متفرقه",$B86))))))</f>
        <v/>
      </c>
      <c r="J86">
        <f>IF($H86="","",IF(ROUND($F86,2)&gt;0,IF($D86="شخصی قاسم","شخصی قاسم",IF($D86="هزینه","هزینه: "&amp;IF($E86="","متفرقه",$E86),IF(OR($B86="",COUNTIF(AcctCodesA,$B86)=0),"متفرقه",$B86))),$A86))</f>
        <v/>
      </c>
      <c r="K86">
        <f>IF($A86="","",IF(AND($B86&lt;&gt;"",COUNTIF(AcctCodesA,$B86)=0),"کد طرف در INFO تعریف نشده",IF(AND($D86="هزینه",$E86=""),"هزینه بدون زیرگروه",IF(AND($C86="پاس چک",OR(Sync!$AJ86="",COUNTIF(IssueNosA,Sync!$AJ86)=0)),"شماره چک پاس‌شده معتبر نیست",""))))</f>
        <v/>
      </c>
      <c r="M86">
        <f>IF(Sync!$AH86="","",Sync!$AH86)</f>
        <v/>
      </c>
      <c r="N86">
        <f>IF($M86="","",IF(OR(Sync!$AI86="",COUNTIF(AcctCodesA,Sync!$AI86)=0),"متفرقه",Sync!$AI86))</f>
        <v/>
      </c>
      <c r="O86">
        <f>IF($M86="","",$N86)</f>
        <v/>
      </c>
      <c r="P86">
        <f>IF($M86="","","چک پرداختی")</f>
        <v/>
      </c>
      <c r="R86">
        <f>IF($M86="","",IF(COUNTIF(AcctCodesA,Sync!$AI86)=0,"ذی‌نفع چک تعریف‌نشده",""))</f>
        <v/>
      </c>
      <c r="S86">
        <f>IF($R86="","",Sync!$AG86&amp;"|"&amp;"5"&amp;RIGHT("00000"&amp;81,5))</f>
        <v/>
      </c>
      <c r="T86">
        <f>IF($S86="",0,COUNTIFS($S$6:$S$505,"&lt;"&amp;$S86)-COUNTIFS($S$6:$S$505,"&lt;"&amp;$S86,$R$6:$R$505,"")+1)</f>
        <v/>
      </c>
      <c r="V86">
        <f>IF($K86="","",IF(ISNUMBER(Sync!$AK86),Sync!$AK86,LEFT(Sync!$AK86,4)&amp;MID(Sync!$AK86,6,2)&amp;RIGHT(Sync!$AK86,2))&amp;"|"&amp;"4"&amp;RIGHT("00000"&amp;81,5))</f>
        <v/>
      </c>
      <c r="W86">
        <f>IF($V86="",0,COUNTIFS($V$6:$V$2005,"&lt;"&amp;$V86)-COUNTIFS($V$6:$V$2005,"&lt;"&amp;$V86,$K$6:$K$2005,"")+1)</f>
        <v/>
      </c>
      <c r="X86">
        <f>IF(Sync!$AX86="","",IF(OR(N(Sync!$AY86)=0,N(Sync!$AZ86)=0),"",ROUND(N(Sync!$AY86)*N(Sync!$AZ86),0)))</f>
        <v/>
      </c>
      <c r="Y86">
        <f>IF($X86="","",IF(OR(Sync!$AX86="",COUNTIF(AcctCodesA,Sync!$AX86)=0),"متفرقه",Sync!$AX86))</f>
        <v/>
      </c>
      <c r="Z86">
        <f>IF($X86="","","سبد و ظروف")</f>
        <v/>
      </c>
      <c r="AA86">
        <f>IF($X86="","",$Y86)</f>
        <v/>
      </c>
    </row>
    <row r="87">
      <c r="A87">
        <f>IF(Sync!$Z87="","",LEFT(UPPER(TRIM(Sync!$Z87)),6))</f>
        <v/>
      </c>
      <c r="B87">
        <f>IF($A87="","",IF(Sync!$AA87="","",Sync!$AA87))</f>
        <v/>
      </c>
      <c r="C87">
        <f>IF($A87="","",IF(Sync!$AB87="","",Sync!$AB87))</f>
        <v/>
      </c>
      <c r="D87">
        <f>IF($A87="","",IF(Sync!$AC87="","",Sync!$AC87))</f>
        <v/>
      </c>
      <c r="E87">
        <f>IF($A87="","",IF(Sync!$AD87="","",Sync!$AD87))</f>
        <v/>
      </c>
      <c r="F87">
        <f>IF($A87="","",IF(Sync!$AE87="",0,Sync!$AE87))</f>
        <v/>
      </c>
      <c r="G87">
        <f>IF($A87="","",IF(Sync!$AF87="",0,Sync!$AF87))</f>
        <v/>
      </c>
      <c r="H87">
        <f>IF(OR($A87="",ROUND($F87+$G87,2)=0),"",$F87+$G87)</f>
        <v/>
      </c>
      <c r="I87">
        <f>IF($H87="","",IF(ROUND($F87,2)&gt;0,$A87,IF($D87="شخصی قاسم","شخصی قاسم",IF($D87="هزینه","هزینه: "&amp;IF($E87="","متفرقه",$E87),IF($C87="پاس چک","چک پرداختی",IF(OR($B87="",COUNTIF(AcctCodesA,$B87)=0),"متفرقه",$B87))))))</f>
        <v/>
      </c>
      <c r="J87">
        <f>IF($H87="","",IF(ROUND($F87,2)&gt;0,IF($D87="شخصی قاسم","شخصی قاسم",IF($D87="هزینه","هزینه: "&amp;IF($E87="","متفرقه",$E87),IF(OR($B87="",COUNTIF(AcctCodesA,$B87)=0),"متفرقه",$B87))),$A87))</f>
        <v/>
      </c>
      <c r="K87">
        <f>IF($A87="","",IF(AND($B87&lt;&gt;"",COUNTIF(AcctCodesA,$B87)=0),"کد طرف در INFO تعریف نشده",IF(AND($D87="هزینه",$E87=""),"هزینه بدون زیرگروه",IF(AND($C87="پاس چک",OR(Sync!$AJ87="",COUNTIF(IssueNosA,Sync!$AJ87)=0)),"شماره چک پاس‌شده معتبر نیست",""))))</f>
        <v/>
      </c>
      <c r="M87">
        <f>IF(Sync!$AH87="","",Sync!$AH87)</f>
        <v/>
      </c>
      <c r="N87">
        <f>IF($M87="","",IF(OR(Sync!$AI87="",COUNTIF(AcctCodesA,Sync!$AI87)=0),"متفرقه",Sync!$AI87))</f>
        <v/>
      </c>
      <c r="O87">
        <f>IF($M87="","",$N87)</f>
        <v/>
      </c>
      <c r="P87">
        <f>IF($M87="","","چک پرداختی")</f>
        <v/>
      </c>
      <c r="R87">
        <f>IF($M87="","",IF(COUNTIF(AcctCodesA,Sync!$AI87)=0,"ذی‌نفع چک تعریف‌نشده",""))</f>
        <v/>
      </c>
      <c r="S87">
        <f>IF($R87="","",Sync!$AG87&amp;"|"&amp;"5"&amp;RIGHT("00000"&amp;82,5))</f>
        <v/>
      </c>
      <c r="T87">
        <f>IF($S87="",0,COUNTIFS($S$6:$S$505,"&lt;"&amp;$S87)-COUNTIFS($S$6:$S$505,"&lt;"&amp;$S87,$R$6:$R$505,"")+1)</f>
        <v/>
      </c>
      <c r="V87">
        <f>IF($K87="","",IF(ISNUMBER(Sync!$AK87),Sync!$AK87,LEFT(Sync!$AK87,4)&amp;MID(Sync!$AK87,6,2)&amp;RIGHT(Sync!$AK87,2))&amp;"|"&amp;"4"&amp;RIGHT("00000"&amp;82,5))</f>
        <v/>
      </c>
      <c r="W87">
        <f>IF($V87="",0,COUNTIFS($V$6:$V$2005,"&lt;"&amp;$V87)-COUNTIFS($V$6:$V$2005,"&lt;"&amp;$V87,$K$6:$K$2005,"")+1)</f>
        <v/>
      </c>
      <c r="X87">
        <f>IF(Sync!$AX87="","",IF(OR(N(Sync!$AY87)=0,N(Sync!$AZ87)=0),"",ROUND(N(Sync!$AY87)*N(Sync!$AZ87),0)))</f>
        <v/>
      </c>
      <c r="Y87">
        <f>IF($X87="","",IF(OR(Sync!$AX87="",COUNTIF(AcctCodesA,Sync!$AX87)=0),"متفرقه",Sync!$AX87))</f>
        <v/>
      </c>
      <c r="Z87">
        <f>IF($X87="","","سبد و ظروف")</f>
        <v/>
      </c>
      <c r="AA87">
        <f>IF($X87="","",$Y87)</f>
        <v/>
      </c>
    </row>
    <row r="88">
      <c r="A88">
        <f>IF(Sync!$Z88="","",LEFT(UPPER(TRIM(Sync!$Z88)),6))</f>
        <v/>
      </c>
      <c r="B88">
        <f>IF($A88="","",IF(Sync!$AA88="","",Sync!$AA88))</f>
        <v/>
      </c>
      <c r="C88">
        <f>IF($A88="","",IF(Sync!$AB88="","",Sync!$AB88))</f>
        <v/>
      </c>
      <c r="D88">
        <f>IF($A88="","",IF(Sync!$AC88="","",Sync!$AC88))</f>
        <v/>
      </c>
      <c r="E88">
        <f>IF($A88="","",IF(Sync!$AD88="","",Sync!$AD88))</f>
        <v/>
      </c>
      <c r="F88">
        <f>IF($A88="","",IF(Sync!$AE88="",0,Sync!$AE88))</f>
        <v/>
      </c>
      <c r="G88">
        <f>IF($A88="","",IF(Sync!$AF88="",0,Sync!$AF88))</f>
        <v/>
      </c>
      <c r="H88">
        <f>IF(OR($A88="",ROUND($F88+$G88,2)=0),"",$F88+$G88)</f>
        <v/>
      </c>
      <c r="I88">
        <f>IF($H88="","",IF(ROUND($F88,2)&gt;0,$A88,IF($D88="شخصی قاسم","شخصی قاسم",IF($D88="هزینه","هزینه: "&amp;IF($E88="","متفرقه",$E88),IF($C88="پاس چک","چک پرداختی",IF(OR($B88="",COUNTIF(AcctCodesA,$B88)=0),"متفرقه",$B88))))))</f>
        <v/>
      </c>
      <c r="J88">
        <f>IF($H88="","",IF(ROUND($F88,2)&gt;0,IF($D88="شخصی قاسم","شخصی قاسم",IF($D88="هزینه","هزینه: "&amp;IF($E88="","متفرقه",$E88),IF(OR($B88="",COUNTIF(AcctCodesA,$B88)=0),"متفرقه",$B88))),$A88))</f>
        <v/>
      </c>
      <c r="K88">
        <f>IF($A88="","",IF(AND($B88&lt;&gt;"",COUNTIF(AcctCodesA,$B88)=0),"کد طرف در INFO تعریف نشده",IF(AND($D88="هزینه",$E88=""),"هزینه بدون زیرگروه",IF(AND($C88="پاس چک",OR(Sync!$AJ88="",COUNTIF(IssueNosA,Sync!$AJ88)=0)),"شماره چک پاس‌شده معتبر نیست",""))))</f>
        <v/>
      </c>
      <c r="M88">
        <f>IF(Sync!$AH88="","",Sync!$AH88)</f>
        <v/>
      </c>
      <c r="N88">
        <f>IF($M88="","",IF(OR(Sync!$AI88="",COUNTIF(AcctCodesA,Sync!$AI88)=0),"متفرقه",Sync!$AI88))</f>
        <v/>
      </c>
      <c r="O88">
        <f>IF($M88="","",$N88)</f>
        <v/>
      </c>
      <c r="P88">
        <f>IF($M88="","","چک پرداختی")</f>
        <v/>
      </c>
      <c r="R88">
        <f>IF($M88="","",IF(COUNTIF(AcctCodesA,Sync!$AI88)=0,"ذی‌نفع چک تعریف‌نشده",""))</f>
        <v/>
      </c>
      <c r="S88">
        <f>IF($R88="","",Sync!$AG88&amp;"|"&amp;"5"&amp;RIGHT("00000"&amp;83,5))</f>
        <v/>
      </c>
      <c r="T88">
        <f>IF($S88="",0,COUNTIFS($S$6:$S$505,"&lt;"&amp;$S88)-COUNTIFS($S$6:$S$505,"&lt;"&amp;$S88,$R$6:$R$505,"")+1)</f>
        <v/>
      </c>
      <c r="V88">
        <f>IF($K88="","",IF(ISNUMBER(Sync!$AK88),Sync!$AK88,LEFT(Sync!$AK88,4)&amp;MID(Sync!$AK88,6,2)&amp;RIGHT(Sync!$AK88,2))&amp;"|"&amp;"4"&amp;RIGHT("00000"&amp;83,5))</f>
        <v/>
      </c>
      <c r="W88">
        <f>IF($V88="",0,COUNTIFS($V$6:$V$2005,"&lt;"&amp;$V88)-COUNTIFS($V$6:$V$2005,"&lt;"&amp;$V88,$K$6:$K$2005,"")+1)</f>
        <v/>
      </c>
      <c r="X88">
        <f>IF(Sync!$AX88="","",IF(OR(N(Sync!$AY88)=0,N(Sync!$AZ88)=0),"",ROUND(N(Sync!$AY88)*N(Sync!$AZ88),0)))</f>
        <v/>
      </c>
      <c r="Y88">
        <f>IF($X88="","",IF(OR(Sync!$AX88="",COUNTIF(AcctCodesA,Sync!$AX88)=0),"متفرقه",Sync!$AX88))</f>
        <v/>
      </c>
      <c r="Z88">
        <f>IF($X88="","","سبد و ظروف")</f>
        <v/>
      </c>
      <c r="AA88">
        <f>IF($X88="","",$Y88)</f>
        <v/>
      </c>
    </row>
    <row r="89">
      <c r="A89">
        <f>IF(Sync!$Z89="","",LEFT(UPPER(TRIM(Sync!$Z89)),6))</f>
        <v/>
      </c>
      <c r="B89">
        <f>IF($A89="","",IF(Sync!$AA89="","",Sync!$AA89))</f>
        <v/>
      </c>
      <c r="C89">
        <f>IF($A89="","",IF(Sync!$AB89="","",Sync!$AB89))</f>
        <v/>
      </c>
      <c r="D89">
        <f>IF($A89="","",IF(Sync!$AC89="","",Sync!$AC89))</f>
        <v/>
      </c>
      <c r="E89">
        <f>IF($A89="","",IF(Sync!$AD89="","",Sync!$AD89))</f>
        <v/>
      </c>
      <c r="F89">
        <f>IF($A89="","",IF(Sync!$AE89="",0,Sync!$AE89))</f>
        <v/>
      </c>
      <c r="G89">
        <f>IF($A89="","",IF(Sync!$AF89="",0,Sync!$AF89))</f>
        <v/>
      </c>
      <c r="H89">
        <f>IF(OR($A89="",ROUND($F89+$G89,2)=0),"",$F89+$G89)</f>
        <v/>
      </c>
      <c r="I89">
        <f>IF($H89="","",IF(ROUND($F89,2)&gt;0,$A89,IF($D89="شخصی قاسم","شخصی قاسم",IF($D89="هزینه","هزینه: "&amp;IF($E89="","متفرقه",$E89),IF($C89="پاس چک","چک پرداختی",IF(OR($B89="",COUNTIF(AcctCodesA,$B89)=0),"متفرقه",$B89))))))</f>
        <v/>
      </c>
      <c r="J89">
        <f>IF($H89="","",IF(ROUND($F89,2)&gt;0,IF($D89="شخصی قاسم","شخصی قاسم",IF($D89="هزینه","هزینه: "&amp;IF($E89="","متفرقه",$E89),IF(OR($B89="",COUNTIF(AcctCodesA,$B89)=0),"متفرقه",$B89))),$A89))</f>
        <v/>
      </c>
      <c r="K89">
        <f>IF($A89="","",IF(AND($B89&lt;&gt;"",COUNTIF(AcctCodesA,$B89)=0),"کد طرف در INFO تعریف نشده",IF(AND($D89="هزینه",$E89=""),"هزینه بدون زیرگروه",IF(AND($C89="پاس چک",OR(Sync!$AJ89="",COUNTIF(IssueNosA,Sync!$AJ89)=0)),"شماره چک پاس‌شده معتبر نیست",""))))</f>
        <v/>
      </c>
      <c r="M89">
        <f>IF(Sync!$AH89="","",Sync!$AH89)</f>
        <v/>
      </c>
      <c r="N89">
        <f>IF($M89="","",IF(OR(Sync!$AI89="",COUNTIF(AcctCodesA,Sync!$AI89)=0),"متفرقه",Sync!$AI89))</f>
        <v/>
      </c>
      <c r="O89">
        <f>IF($M89="","",$N89)</f>
        <v/>
      </c>
      <c r="P89">
        <f>IF($M89="","","چک پرداختی")</f>
        <v/>
      </c>
      <c r="R89">
        <f>IF($M89="","",IF(COUNTIF(AcctCodesA,Sync!$AI89)=0,"ذی‌نفع چک تعریف‌نشده",""))</f>
        <v/>
      </c>
      <c r="S89">
        <f>IF($R89="","",Sync!$AG89&amp;"|"&amp;"5"&amp;RIGHT("00000"&amp;84,5))</f>
        <v/>
      </c>
      <c r="T89">
        <f>IF($S89="",0,COUNTIFS($S$6:$S$505,"&lt;"&amp;$S89)-COUNTIFS($S$6:$S$505,"&lt;"&amp;$S89,$R$6:$R$505,"")+1)</f>
        <v/>
      </c>
      <c r="V89">
        <f>IF($K89="","",IF(ISNUMBER(Sync!$AK89),Sync!$AK89,LEFT(Sync!$AK89,4)&amp;MID(Sync!$AK89,6,2)&amp;RIGHT(Sync!$AK89,2))&amp;"|"&amp;"4"&amp;RIGHT("00000"&amp;84,5))</f>
        <v/>
      </c>
      <c r="W89">
        <f>IF($V89="",0,COUNTIFS($V$6:$V$2005,"&lt;"&amp;$V89)-COUNTIFS($V$6:$V$2005,"&lt;"&amp;$V89,$K$6:$K$2005,"")+1)</f>
        <v/>
      </c>
      <c r="X89">
        <f>IF(Sync!$AX89="","",IF(OR(N(Sync!$AY89)=0,N(Sync!$AZ89)=0),"",ROUND(N(Sync!$AY89)*N(Sync!$AZ89),0)))</f>
        <v/>
      </c>
      <c r="Y89">
        <f>IF($X89="","",IF(OR(Sync!$AX89="",COUNTIF(AcctCodesA,Sync!$AX89)=0),"متفرقه",Sync!$AX89))</f>
        <v/>
      </c>
      <c r="Z89">
        <f>IF($X89="","","سبد و ظروف")</f>
        <v/>
      </c>
      <c r="AA89">
        <f>IF($X89="","",$Y89)</f>
        <v/>
      </c>
    </row>
    <row r="90">
      <c r="A90">
        <f>IF(Sync!$Z90="","",LEFT(UPPER(TRIM(Sync!$Z90)),6))</f>
        <v/>
      </c>
      <c r="B90">
        <f>IF($A90="","",IF(Sync!$AA90="","",Sync!$AA90))</f>
        <v/>
      </c>
      <c r="C90">
        <f>IF($A90="","",IF(Sync!$AB90="","",Sync!$AB90))</f>
        <v/>
      </c>
      <c r="D90">
        <f>IF($A90="","",IF(Sync!$AC90="","",Sync!$AC90))</f>
        <v/>
      </c>
      <c r="E90">
        <f>IF($A90="","",IF(Sync!$AD90="","",Sync!$AD90))</f>
        <v/>
      </c>
      <c r="F90">
        <f>IF($A90="","",IF(Sync!$AE90="",0,Sync!$AE90))</f>
        <v/>
      </c>
      <c r="G90">
        <f>IF($A90="","",IF(Sync!$AF90="",0,Sync!$AF90))</f>
        <v/>
      </c>
      <c r="H90">
        <f>IF(OR($A90="",ROUND($F90+$G90,2)=0),"",$F90+$G90)</f>
        <v/>
      </c>
      <c r="I90">
        <f>IF($H90="","",IF(ROUND($F90,2)&gt;0,$A90,IF($D90="شخصی قاسم","شخصی قاسم",IF($D90="هزینه","هزینه: "&amp;IF($E90="","متفرقه",$E90),IF($C90="پاس چک","چک پرداختی",IF(OR($B90="",COUNTIF(AcctCodesA,$B90)=0),"متفرقه",$B90))))))</f>
        <v/>
      </c>
      <c r="J90">
        <f>IF($H90="","",IF(ROUND($F90,2)&gt;0,IF($D90="شخصی قاسم","شخصی قاسم",IF($D90="هزینه","هزینه: "&amp;IF($E90="","متفرقه",$E90),IF(OR($B90="",COUNTIF(AcctCodesA,$B90)=0),"متفرقه",$B90))),$A90))</f>
        <v/>
      </c>
      <c r="K90">
        <f>IF($A90="","",IF(AND($B90&lt;&gt;"",COUNTIF(AcctCodesA,$B90)=0),"کد طرف در INFO تعریف نشده",IF(AND($D90="هزینه",$E90=""),"هزینه بدون زیرگروه",IF(AND($C90="پاس چک",OR(Sync!$AJ90="",COUNTIF(IssueNosA,Sync!$AJ90)=0)),"شماره چک پاس‌شده معتبر نیست",""))))</f>
        <v/>
      </c>
      <c r="M90">
        <f>IF(Sync!$AH90="","",Sync!$AH90)</f>
        <v/>
      </c>
      <c r="N90">
        <f>IF($M90="","",IF(OR(Sync!$AI90="",COUNTIF(AcctCodesA,Sync!$AI90)=0),"متفرقه",Sync!$AI90))</f>
        <v/>
      </c>
      <c r="O90">
        <f>IF($M90="","",$N90)</f>
        <v/>
      </c>
      <c r="P90">
        <f>IF($M90="","","چک پرداختی")</f>
        <v/>
      </c>
      <c r="R90">
        <f>IF($M90="","",IF(COUNTIF(AcctCodesA,Sync!$AI90)=0,"ذی‌نفع چک تعریف‌نشده",""))</f>
        <v/>
      </c>
      <c r="S90">
        <f>IF($R90="","",Sync!$AG90&amp;"|"&amp;"5"&amp;RIGHT("00000"&amp;85,5))</f>
        <v/>
      </c>
      <c r="T90">
        <f>IF($S90="",0,COUNTIFS($S$6:$S$505,"&lt;"&amp;$S90)-COUNTIFS($S$6:$S$505,"&lt;"&amp;$S90,$R$6:$R$505,"")+1)</f>
        <v/>
      </c>
      <c r="V90">
        <f>IF($K90="","",IF(ISNUMBER(Sync!$AK90),Sync!$AK90,LEFT(Sync!$AK90,4)&amp;MID(Sync!$AK90,6,2)&amp;RIGHT(Sync!$AK90,2))&amp;"|"&amp;"4"&amp;RIGHT("00000"&amp;85,5))</f>
        <v/>
      </c>
      <c r="W90">
        <f>IF($V90="",0,COUNTIFS($V$6:$V$2005,"&lt;"&amp;$V90)-COUNTIFS($V$6:$V$2005,"&lt;"&amp;$V90,$K$6:$K$2005,"")+1)</f>
        <v/>
      </c>
      <c r="X90">
        <f>IF(Sync!$AX90="","",IF(OR(N(Sync!$AY90)=0,N(Sync!$AZ90)=0),"",ROUND(N(Sync!$AY90)*N(Sync!$AZ90),0)))</f>
        <v/>
      </c>
      <c r="Y90">
        <f>IF($X90="","",IF(OR(Sync!$AX90="",COUNTIF(AcctCodesA,Sync!$AX90)=0),"متفرقه",Sync!$AX90))</f>
        <v/>
      </c>
      <c r="Z90">
        <f>IF($X90="","","سبد و ظروف")</f>
        <v/>
      </c>
      <c r="AA90">
        <f>IF($X90="","",$Y90)</f>
        <v/>
      </c>
    </row>
    <row r="91">
      <c r="A91">
        <f>IF(Sync!$Z91="","",LEFT(UPPER(TRIM(Sync!$Z91)),6))</f>
        <v/>
      </c>
      <c r="B91">
        <f>IF($A91="","",IF(Sync!$AA91="","",Sync!$AA91))</f>
        <v/>
      </c>
      <c r="C91">
        <f>IF($A91="","",IF(Sync!$AB91="","",Sync!$AB91))</f>
        <v/>
      </c>
      <c r="D91">
        <f>IF($A91="","",IF(Sync!$AC91="","",Sync!$AC91))</f>
        <v/>
      </c>
      <c r="E91">
        <f>IF($A91="","",IF(Sync!$AD91="","",Sync!$AD91))</f>
        <v/>
      </c>
      <c r="F91">
        <f>IF($A91="","",IF(Sync!$AE91="",0,Sync!$AE91))</f>
        <v/>
      </c>
      <c r="G91">
        <f>IF($A91="","",IF(Sync!$AF91="",0,Sync!$AF91))</f>
        <v/>
      </c>
      <c r="H91">
        <f>IF(OR($A91="",ROUND($F91+$G91,2)=0),"",$F91+$G91)</f>
        <v/>
      </c>
      <c r="I91">
        <f>IF($H91="","",IF(ROUND($F91,2)&gt;0,$A91,IF($D91="شخصی قاسم","شخصی قاسم",IF($D91="هزینه","هزینه: "&amp;IF($E91="","متفرقه",$E91),IF($C91="پاس چک","چک پرداختی",IF(OR($B91="",COUNTIF(AcctCodesA,$B91)=0),"متفرقه",$B91))))))</f>
        <v/>
      </c>
      <c r="J91">
        <f>IF($H91="","",IF(ROUND($F91,2)&gt;0,IF($D91="شخصی قاسم","شخصی قاسم",IF($D91="هزینه","هزینه: "&amp;IF($E91="","متفرقه",$E91),IF(OR($B91="",COUNTIF(AcctCodesA,$B91)=0),"متفرقه",$B91))),$A91))</f>
        <v/>
      </c>
      <c r="K91">
        <f>IF($A91="","",IF(AND($B91&lt;&gt;"",COUNTIF(AcctCodesA,$B91)=0),"کد طرف در INFO تعریف نشده",IF(AND($D91="هزینه",$E91=""),"هزینه بدون زیرگروه",IF(AND($C91="پاس چک",OR(Sync!$AJ91="",COUNTIF(IssueNosA,Sync!$AJ91)=0)),"شماره چک پاس‌شده معتبر نیست",""))))</f>
        <v/>
      </c>
      <c r="M91">
        <f>IF(Sync!$AH91="","",Sync!$AH91)</f>
        <v/>
      </c>
      <c r="N91">
        <f>IF($M91="","",IF(OR(Sync!$AI91="",COUNTIF(AcctCodesA,Sync!$AI91)=0),"متفرقه",Sync!$AI91))</f>
        <v/>
      </c>
      <c r="O91">
        <f>IF($M91="","",$N91)</f>
        <v/>
      </c>
      <c r="P91">
        <f>IF($M91="","","چک پرداختی")</f>
        <v/>
      </c>
      <c r="R91">
        <f>IF($M91="","",IF(COUNTIF(AcctCodesA,Sync!$AI91)=0,"ذی‌نفع چک تعریف‌نشده",""))</f>
        <v/>
      </c>
      <c r="S91">
        <f>IF($R91="","",Sync!$AG91&amp;"|"&amp;"5"&amp;RIGHT("00000"&amp;86,5))</f>
        <v/>
      </c>
      <c r="T91">
        <f>IF($S91="",0,COUNTIFS($S$6:$S$505,"&lt;"&amp;$S91)-COUNTIFS($S$6:$S$505,"&lt;"&amp;$S91,$R$6:$R$505,"")+1)</f>
        <v/>
      </c>
      <c r="V91">
        <f>IF($K91="","",IF(ISNUMBER(Sync!$AK91),Sync!$AK91,LEFT(Sync!$AK91,4)&amp;MID(Sync!$AK91,6,2)&amp;RIGHT(Sync!$AK91,2))&amp;"|"&amp;"4"&amp;RIGHT("00000"&amp;86,5))</f>
        <v/>
      </c>
      <c r="W91">
        <f>IF($V91="",0,COUNTIFS($V$6:$V$2005,"&lt;"&amp;$V91)-COUNTIFS($V$6:$V$2005,"&lt;"&amp;$V91,$K$6:$K$2005,"")+1)</f>
        <v/>
      </c>
      <c r="X91">
        <f>IF(Sync!$AX91="","",IF(OR(N(Sync!$AY91)=0,N(Sync!$AZ91)=0),"",ROUND(N(Sync!$AY91)*N(Sync!$AZ91),0)))</f>
        <v/>
      </c>
      <c r="Y91">
        <f>IF($X91="","",IF(OR(Sync!$AX91="",COUNTIF(AcctCodesA,Sync!$AX91)=0),"متفرقه",Sync!$AX91))</f>
        <v/>
      </c>
      <c r="Z91">
        <f>IF($X91="","","سبد و ظروف")</f>
        <v/>
      </c>
      <c r="AA91">
        <f>IF($X91="","",$Y91)</f>
        <v/>
      </c>
    </row>
    <row r="92">
      <c r="A92">
        <f>IF(Sync!$Z92="","",LEFT(UPPER(TRIM(Sync!$Z92)),6))</f>
        <v/>
      </c>
      <c r="B92">
        <f>IF($A92="","",IF(Sync!$AA92="","",Sync!$AA92))</f>
        <v/>
      </c>
      <c r="C92">
        <f>IF($A92="","",IF(Sync!$AB92="","",Sync!$AB92))</f>
        <v/>
      </c>
      <c r="D92">
        <f>IF($A92="","",IF(Sync!$AC92="","",Sync!$AC92))</f>
        <v/>
      </c>
      <c r="E92">
        <f>IF($A92="","",IF(Sync!$AD92="","",Sync!$AD92))</f>
        <v/>
      </c>
      <c r="F92">
        <f>IF($A92="","",IF(Sync!$AE92="",0,Sync!$AE92))</f>
        <v/>
      </c>
      <c r="G92">
        <f>IF($A92="","",IF(Sync!$AF92="",0,Sync!$AF92))</f>
        <v/>
      </c>
      <c r="H92">
        <f>IF(OR($A92="",ROUND($F92+$G92,2)=0),"",$F92+$G92)</f>
        <v/>
      </c>
      <c r="I92">
        <f>IF($H92="","",IF(ROUND($F92,2)&gt;0,$A92,IF($D92="شخصی قاسم","شخصی قاسم",IF($D92="هزینه","هزینه: "&amp;IF($E92="","متفرقه",$E92),IF($C92="پاس چک","چک پرداختی",IF(OR($B92="",COUNTIF(AcctCodesA,$B92)=0),"متفرقه",$B92))))))</f>
        <v/>
      </c>
      <c r="J92">
        <f>IF($H92="","",IF(ROUND($F92,2)&gt;0,IF($D92="شخصی قاسم","شخصی قاسم",IF($D92="هزینه","هزینه: "&amp;IF($E92="","متفرقه",$E92),IF(OR($B92="",COUNTIF(AcctCodesA,$B92)=0),"متفرقه",$B92))),$A92))</f>
        <v/>
      </c>
      <c r="K92">
        <f>IF($A92="","",IF(AND($B92&lt;&gt;"",COUNTIF(AcctCodesA,$B92)=0),"کد طرف در INFO تعریف نشده",IF(AND($D92="هزینه",$E92=""),"هزینه بدون زیرگروه",IF(AND($C92="پاس چک",OR(Sync!$AJ92="",COUNTIF(IssueNosA,Sync!$AJ92)=0)),"شماره چک پاس‌شده معتبر نیست",""))))</f>
        <v/>
      </c>
      <c r="M92">
        <f>IF(Sync!$AH92="","",Sync!$AH92)</f>
        <v/>
      </c>
      <c r="N92">
        <f>IF($M92="","",IF(OR(Sync!$AI92="",COUNTIF(AcctCodesA,Sync!$AI92)=0),"متفرقه",Sync!$AI92))</f>
        <v/>
      </c>
      <c r="O92">
        <f>IF($M92="","",$N92)</f>
        <v/>
      </c>
      <c r="P92">
        <f>IF($M92="","","چک پرداختی")</f>
        <v/>
      </c>
      <c r="R92">
        <f>IF($M92="","",IF(COUNTIF(AcctCodesA,Sync!$AI92)=0,"ذی‌نفع چک تعریف‌نشده",""))</f>
        <v/>
      </c>
      <c r="S92">
        <f>IF($R92="","",Sync!$AG92&amp;"|"&amp;"5"&amp;RIGHT("00000"&amp;87,5))</f>
        <v/>
      </c>
      <c r="T92">
        <f>IF($S92="",0,COUNTIFS($S$6:$S$505,"&lt;"&amp;$S92)-COUNTIFS($S$6:$S$505,"&lt;"&amp;$S92,$R$6:$R$505,"")+1)</f>
        <v/>
      </c>
      <c r="V92">
        <f>IF($K92="","",IF(ISNUMBER(Sync!$AK92),Sync!$AK92,LEFT(Sync!$AK92,4)&amp;MID(Sync!$AK92,6,2)&amp;RIGHT(Sync!$AK92,2))&amp;"|"&amp;"4"&amp;RIGHT("00000"&amp;87,5))</f>
        <v/>
      </c>
      <c r="W92">
        <f>IF($V92="",0,COUNTIFS($V$6:$V$2005,"&lt;"&amp;$V92)-COUNTIFS($V$6:$V$2005,"&lt;"&amp;$V92,$K$6:$K$2005,"")+1)</f>
        <v/>
      </c>
      <c r="X92">
        <f>IF(Sync!$AX92="","",IF(OR(N(Sync!$AY92)=0,N(Sync!$AZ92)=0),"",ROUND(N(Sync!$AY92)*N(Sync!$AZ92),0)))</f>
        <v/>
      </c>
      <c r="Y92">
        <f>IF($X92="","",IF(OR(Sync!$AX92="",COUNTIF(AcctCodesA,Sync!$AX92)=0),"متفرقه",Sync!$AX92))</f>
        <v/>
      </c>
      <c r="Z92">
        <f>IF($X92="","","سبد و ظروف")</f>
        <v/>
      </c>
      <c r="AA92">
        <f>IF($X92="","",$Y92)</f>
        <v/>
      </c>
    </row>
    <row r="93">
      <c r="A93">
        <f>IF(Sync!$Z93="","",LEFT(UPPER(TRIM(Sync!$Z93)),6))</f>
        <v/>
      </c>
      <c r="B93">
        <f>IF($A93="","",IF(Sync!$AA93="","",Sync!$AA93))</f>
        <v/>
      </c>
      <c r="C93">
        <f>IF($A93="","",IF(Sync!$AB93="","",Sync!$AB93))</f>
        <v/>
      </c>
      <c r="D93">
        <f>IF($A93="","",IF(Sync!$AC93="","",Sync!$AC93))</f>
        <v/>
      </c>
      <c r="E93">
        <f>IF($A93="","",IF(Sync!$AD93="","",Sync!$AD93))</f>
        <v/>
      </c>
      <c r="F93">
        <f>IF($A93="","",IF(Sync!$AE93="",0,Sync!$AE93))</f>
        <v/>
      </c>
      <c r="G93">
        <f>IF($A93="","",IF(Sync!$AF93="",0,Sync!$AF93))</f>
        <v/>
      </c>
      <c r="H93">
        <f>IF(OR($A93="",ROUND($F93+$G93,2)=0),"",$F93+$G93)</f>
        <v/>
      </c>
      <c r="I93">
        <f>IF($H93="","",IF(ROUND($F93,2)&gt;0,$A93,IF($D93="شخصی قاسم","شخصی قاسم",IF($D93="هزینه","هزینه: "&amp;IF($E93="","متفرقه",$E93),IF($C93="پاس چک","چک پرداختی",IF(OR($B93="",COUNTIF(AcctCodesA,$B93)=0),"متفرقه",$B93))))))</f>
        <v/>
      </c>
      <c r="J93">
        <f>IF($H93="","",IF(ROUND($F93,2)&gt;0,IF($D93="شخصی قاسم","شخصی قاسم",IF($D93="هزینه","هزینه: "&amp;IF($E93="","متفرقه",$E93),IF(OR($B93="",COUNTIF(AcctCodesA,$B93)=0),"متفرقه",$B93))),$A93))</f>
        <v/>
      </c>
      <c r="K93">
        <f>IF($A93="","",IF(AND($B93&lt;&gt;"",COUNTIF(AcctCodesA,$B93)=0),"کد طرف در INFO تعریف نشده",IF(AND($D93="هزینه",$E93=""),"هزینه بدون زیرگروه",IF(AND($C93="پاس چک",OR(Sync!$AJ93="",COUNTIF(IssueNosA,Sync!$AJ93)=0)),"شماره چک پاس‌شده معتبر نیست",""))))</f>
        <v/>
      </c>
      <c r="M93">
        <f>IF(Sync!$AH93="","",Sync!$AH93)</f>
        <v/>
      </c>
      <c r="N93">
        <f>IF($M93="","",IF(OR(Sync!$AI93="",COUNTIF(AcctCodesA,Sync!$AI93)=0),"متفرقه",Sync!$AI93))</f>
        <v/>
      </c>
      <c r="O93">
        <f>IF($M93="","",$N93)</f>
        <v/>
      </c>
      <c r="P93">
        <f>IF($M93="","","چک پرداختی")</f>
        <v/>
      </c>
      <c r="R93">
        <f>IF($M93="","",IF(COUNTIF(AcctCodesA,Sync!$AI93)=0,"ذی‌نفع چک تعریف‌نشده",""))</f>
        <v/>
      </c>
      <c r="S93">
        <f>IF($R93="","",Sync!$AG93&amp;"|"&amp;"5"&amp;RIGHT("00000"&amp;88,5))</f>
        <v/>
      </c>
      <c r="T93">
        <f>IF($S93="",0,COUNTIFS($S$6:$S$505,"&lt;"&amp;$S93)-COUNTIFS($S$6:$S$505,"&lt;"&amp;$S93,$R$6:$R$505,"")+1)</f>
        <v/>
      </c>
      <c r="V93">
        <f>IF($K93="","",IF(ISNUMBER(Sync!$AK93),Sync!$AK93,LEFT(Sync!$AK93,4)&amp;MID(Sync!$AK93,6,2)&amp;RIGHT(Sync!$AK93,2))&amp;"|"&amp;"4"&amp;RIGHT("00000"&amp;88,5))</f>
        <v/>
      </c>
      <c r="W93">
        <f>IF($V93="",0,COUNTIFS($V$6:$V$2005,"&lt;"&amp;$V93)-COUNTIFS($V$6:$V$2005,"&lt;"&amp;$V93,$K$6:$K$2005,"")+1)</f>
        <v/>
      </c>
      <c r="X93">
        <f>IF(Sync!$AX93="","",IF(OR(N(Sync!$AY93)=0,N(Sync!$AZ93)=0),"",ROUND(N(Sync!$AY93)*N(Sync!$AZ93),0)))</f>
        <v/>
      </c>
      <c r="Y93">
        <f>IF($X93="","",IF(OR(Sync!$AX93="",COUNTIF(AcctCodesA,Sync!$AX93)=0),"متفرقه",Sync!$AX93))</f>
        <v/>
      </c>
      <c r="Z93">
        <f>IF($X93="","","سبد و ظروف")</f>
        <v/>
      </c>
      <c r="AA93">
        <f>IF($X93="","",$Y93)</f>
        <v/>
      </c>
    </row>
    <row r="94">
      <c r="A94">
        <f>IF(Sync!$Z94="","",LEFT(UPPER(TRIM(Sync!$Z94)),6))</f>
        <v/>
      </c>
      <c r="B94">
        <f>IF($A94="","",IF(Sync!$AA94="","",Sync!$AA94))</f>
        <v/>
      </c>
      <c r="C94">
        <f>IF($A94="","",IF(Sync!$AB94="","",Sync!$AB94))</f>
        <v/>
      </c>
      <c r="D94">
        <f>IF($A94="","",IF(Sync!$AC94="","",Sync!$AC94))</f>
        <v/>
      </c>
      <c r="E94">
        <f>IF($A94="","",IF(Sync!$AD94="","",Sync!$AD94))</f>
        <v/>
      </c>
      <c r="F94">
        <f>IF($A94="","",IF(Sync!$AE94="",0,Sync!$AE94))</f>
        <v/>
      </c>
      <c r="G94">
        <f>IF($A94="","",IF(Sync!$AF94="",0,Sync!$AF94))</f>
        <v/>
      </c>
      <c r="H94">
        <f>IF(OR($A94="",ROUND($F94+$G94,2)=0),"",$F94+$G94)</f>
        <v/>
      </c>
      <c r="I94">
        <f>IF($H94="","",IF(ROUND($F94,2)&gt;0,$A94,IF($D94="شخصی قاسم","شخصی قاسم",IF($D94="هزینه","هزینه: "&amp;IF($E94="","متفرقه",$E94),IF($C94="پاس چک","چک پرداختی",IF(OR($B94="",COUNTIF(AcctCodesA,$B94)=0),"متفرقه",$B94))))))</f>
        <v/>
      </c>
      <c r="J94">
        <f>IF($H94="","",IF(ROUND($F94,2)&gt;0,IF($D94="شخصی قاسم","شخصی قاسم",IF($D94="هزینه","هزینه: "&amp;IF($E94="","متفرقه",$E94),IF(OR($B94="",COUNTIF(AcctCodesA,$B94)=0),"متفرقه",$B94))),$A94))</f>
        <v/>
      </c>
      <c r="K94">
        <f>IF($A94="","",IF(AND($B94&lt;&gt;"",COUNTIF(AcctCodesA,$B94)=0),"کد طرف در INFO تعریف نشده",IF(AND($D94="هزینه",$E94=""),"هزینه بدون زیرگروه",IF(AND($C94="پاس چک",OR(Sync!$AJ94="",COUNTIF(IssueNosA,Sync!$AJ94)=0)),"شماره چک پاس‌شده معتبر نیست",""))))</f>
        <v/>
      </c>
      <c r="M94">
        <f>IF(Sync!$AH94="","",Sync!$AH94)</f>
        <v/>
      </c>
      <c r="N94">
        <f>IF($M94="","",IF(OR(Sync!$AI94="",COUNTIF(AcctCodesA,Sync!$AI94)=0),"متفرقه",Sync!$AI94))</f>
        <v/>
      </c>
      <c r="O94">
        <f>IF($M94="","",$N94)</f>
        <v/>
      </c>
      <c r="P94">
        <f>IF($M94="","","چک پرداختی")</f>
        <v/>
      </c>
      <c r="R94">
        <f>IF($M94="","",IF(COUNTIF(AcctCodesA,Sync!$AI94)=0,"ذی‌نفع چک تعریف‌نشده",""))</f>
        <v/>
      </c>
      <c r="S94">
        <f>IF($R94="","",Sync!$AG94&amp;"|"&amp;"5"&amp;RIGHT("00000"&amp;89,5))</f>
        <v/>
      </c>
      <c r="T94">
        <f>IF($S94="",0,COUNTIFS($S$6:$S$505,"&lt;"&amp;$S94)-COUNTIFS($S$6:$S$505,"&lt;"&amp;$S94,$R$6:$R$505,"")+1)</f>
        <v/>
      </c>
      <c r="V94">
        <f>IF($K94="","",IF(ISNUMBER(Sync!$AK94),Sync!$AK94,LEFT(Sync!$AK94,4)&amp;MID(Sync!$AK94,6,2)&amp;RIGHT(Sync!$AK94,2))&amp;"|"&amp;"4"&amp;RIGHT("00000"&amp;89,5))</f>
        <v/>
      </c>
      <c r="W94">
        <f>IF($V94="",0,COUNTIFS($V$6:$V$2005,"&lt;"&amp;$V94)-COUNTIFS($V$6:$V$2005,"&lt;"&amp;$V94,$K$6:$K$2005,"")+1)</f>
        <v/>
      </c>
      <c r="X94">
        <f>IF(Sync!$AX94="","",IF(OR(N(Sync!$AY94)=0,N(Sync!$AZ94)=0),"",ROUND(N(Sync!$AY94)*N(Sync!$AZ94),0)))</f>
        <v/>
      </c>
      <c r="Y94">
        <f>IF($X94="","",IF(OR(Sync!$AX94="",COUNTIF(AcctCodesA,Sync!$AX94)=0),"متفرقه",Sync!$AX94))</f>
        <v/>
      </c>
      <c r="Z94">
        <f>IF($X94="","","سبد و ظروف")</f>
        <v/>
      </c>
      <c r="AA94">
        <f>IF($X94="","",$Y94)</f>
        <v/>
      </c>
    </row>
    <row r="95">
      <c r="A95">
        <f>IF(Sync!$Z95="","",LEFT(UPPER(TRIM(Sync!$Z95)),6))</f>
        <v/>
      </c>
      <c r="B95">
        <f>IF($A95="","",IF(Sync!$AA95="","",Sync!$AA95))</f>
        <v/>
      </c>
      <c r="C95">
        <f>IF($A95="","",IF(Sync!$AB95="","",Sync!$AB95))</f>
        <v/>
      </c>
      <c r="D95">
        <f>IF($A95="","",IF(Sync!$AC95="","",Sync!$AC95))</f>
        <v/>
      </c>
      <c r="E95">
        <f>IF($A95="","",IF(Sync!$AD95="","",Sync!$AD95))</f>
        <v/>
      </c>
      <c r="F95">
        <f>IF($A95="","",IF(Sync!$AE95="",0,Sync!$AE95))</f>
        <v/>
      </c>
      <c r="G95">
        <f>IF($A95="","",IF(Sync!$AF95="",0,Sync!$AF95))</f>
        <v/>
      </c>
      <c r="H95">
        <f>IF(OR($A95="",ROUND($F95+$G95,2)=0),"",$F95+$G95)</f>
        <v/>
      </c>
      <c r="I95">
        <f>IF($H95="","",IF(ROUND($F95,2)&gt;0,$A95,IF($D95="شخصی قاسم","شخصی قاسم",IF($D95="هزینه","هزینه: "&amp;IF($E95="","متفرقه",$E95),IF($C95="پاس چک","چک پرداختی",IF(OR($B95="",COUNTIF(AcctCodesA,$B95)=0),"متفرقه",$B95))))))</f>
        <v/>
      </c>
      <c r="J95">
        <f>IF($H95="","",IF(ROUND($F95,2)&gt;0,IF($D95="شخصی قاسم","شخصی قاسم",IF($D95="هزینه","هزینه: "&amp;IF($E95="","متفرقه",$E95),IF(OR($B95="",COUNTIF(AcctCodesA,$B95)=0),"متفرقه",$B95))),$A95))</f>
        <v/>
      </c>
      <c r="K95">
        <f>IF($A95="","",IF(AND($B95&lt;&gt;"",COUNTIF(AcctCodesA,$B95)=0),"کد طرف در INFO تعریف نشده",IF(AND($D95="هزینه",$E95=""),"هزینه بدون زیرگروه",IF(AND($C95="پاس چک",OR(Sync!$AJ95="",COUNTIF(IssueNosA,Sync!$AJ95)=0)),"شماره چک پاس‌شده معتبر نیست",""))))</f>
        <v/>
      </c>
      <c r="M95">
        <f>IF(Sync!$AH95="","",Sync!$AH95)</f>
        <v/>
      </c>
      <c r="N95">
        <f>IF($M95="","",IF(OR(Sync!$AI95="",COUNTIF(AcctCodesA,Sync!$AI95)=0),"متفرقه",Sync!$AI95))</f>
        <v/>
      </c>
      <c r="O95">
        <f>IF($M95="","",$N95)</f>
        <v/>
      </c>
      <c r="P95">
        <f>IF($M95="","","چک پرداختی")</f>
        <v/>
      </c>
      <c r="R95">
        <f>IF($M95="","",IF(COUNTIF(AcctCodesA,Sync!$AI95)=0,"ذی‌نفع چک تعریف‌نشده",""))</f>
        <v/>
      </c>
      <c r="S95">
        <f>IF($R95="","",Sync!$AG95&amp;"|"&amp;"5"&amp;RIGHT("00000"&amp;90,5))</f>
        <v/>
      </c>
      <c r="T95">
        <f>IF($S95="",0,COUNTIFS($S$6:$S$505,"&lt;"&amp;$S95)-COUNTIFS($S$6:$S$505,"&lt;"&amp;$S95,$R$6:$R$505,"")+1)</f>
        <v/>
      </c>
      <c r="V95">
        <f>IF($K95="","",IF(ISNUMBER(Sync!$AK95),Sync!$AK95,LEFT(Sync!$AK95,4)&amp;MID(Sync!$AK95,6,2)&amp;RIGHT(Sync!$AK95,2))&amp;"|"&amp;"4"&amp;RIGHT("00000"&amp;90,5))</f>
        <v/>
      </c>
      <c r="W95">
        <f>IF($V95="",0,COUNTIFS($V$6:$V$2005,"&lt;"&amp;$V95)-COUNTIFS($V$6:$V$2005,"&lt;"&amp;$V95,$K$6:$K$2005,"")+1)</f>
        <v/>
      </c>
      <c r="X95">
        <f>IF(Sync!$AX95="","",IF(OR(N(Sync!$AY95)=0,N(Sync!$AZ95)=0),"",ROUND(N(Sync!$AY95)*N(Sync!$AZ95),0)))</f>
        <v/>
      </c>
      <c r="Y95">
        <f>IF($X95="","",IF(OR(Sync!$AX95="",COUNTIF(AcctCodesA,Sync!$AX95)=0),"متفرقه",Sync!$AX95))</f>
        <v/>
      </c>
      <c r="Z95">
        <f>IF($X95="","","سبد و ظروف")</f>
        <v/>
      </c>
      <c r="AA95">
        <f>IF($X95="","",$Y95)</f>
        <v/>
      </c>
    </row>
    <row r="96">
      <c r="A96">
        <f>IF(Sync!$Z96="","",LEFT(UPPER(TRIM(Sync!$Z96)),6))</f>
        <v/>
      </c>
      <c r="B96">
        <f>IF($A96="","",IF(Sync!$AA96="","",Sync!$AA96))</f>
        <v/>
      </c>
      <c r="C96">
        <f>IF($A96="","",IF(Sync!$AB96="","",Sync!$AB96))</f>
        <v/>
      </c>
      <c r="D96">
        <f>IF($A96="","",IF(Sync!$AC96="","",Sync!$AC96))</f>
        <v/>
      </c>
      <c r="E96">
        <f>IF($A96="","",IF(Sync!$AD96="","",Sync!$AD96))</f>
        <v/>
      </c>
      <c r="F96">
        <f>IF($A96="","",IF(Sync!$AE96="",0,Sync!$AE96))</f>
        <v/>
      </c>
      <c r="G96">
        <f>IF($A96="","",IF(Sync!$AF96="",0,Sync!$AF96))</f>
        <v/>
      </c>
      <c r="H96">
        <f>IF(OR($A96="",ROUND($F96+$G96,2)=0),"",$F96+$G96)</f>
        <v/>
      </c>
      <c r="I96">
        <f>IF($H96="","",IF(ROUND($F96,2)&gt;0,$A96,IF($D96="شخصی قاسم","شخصی قاسم",IF($D96="هزینه","هزینه: "&amp;IF($E96="","متفرقه",$E96),IF($C96="پاس چک","چک پرداختی",IF(OR($B96="",COUNTIF(AcctCodesA,$B96)=0),"متفرقه",$B96))))))</f>
        <v/>
      </c>
      <c r="J96">
        <f>IF($H96="","",IF(ROUND($F96,2)&gt;0,IF($D96="شخصی قاسم","شخصی قاسم",IF($D96="هزینه","هزینه: "&amp;IF($E96="","متفرقه",$E96),IF(OR($B96="",COUNTIF(AcctCodesA,$B96)=0),"متفرقه",$B96))),$A96))</f>
        <v/>
      </c>
      <c r="K96">
        <f>IF($A96="","",IF(AND($B96&lt;&gt;"",COUNTIF(AcctCodesA,$B96)=0),"کد طرف در INFO تعریف نشده",IF(AND($D96="هزینه",$E96=""),"هزینه بدون زیرگروه",IF(AND($C96="پاس چک",OR(Sync!$AJ96="",COUNTIF(IssueNosA,Sync!$AJ96)=0)),"شماره چک پاس‌شده معتبر نیست",""))))</f>
        <v/>
      </c>
      <c r="M96">
        <f>IF(Sync!$AH96="","",Sync!$AH96)</f>
        <v/>
      </c>
      <c r="N96">
        <f>IF($M96="","",IF(OR(Sync!$AI96="",COUNTIF(AcctCodesA,Sync!$AI96)=0),"متفرقه",Sync!$AI96))</f>
        <v/>
      </c>
      <c r="O96">
        <f>IF($M96="","",$N96)</f>
        <v/>
      </c>
      <c r="P96">
        <f>IF($M96="","","چک پرداختی")</f>
        <v/>
      </c>
      <c r="R96">
        <f>IF($M96="","",IF(COUNTIF(AcctCodesA,Sync!$AI96)=0,"ذی‌نفع چک تعریف‌نشده",""))</f>
        <v/>
      </c>
      <c r="S96">
        <f>IF($R96="","",Sync!$AG96&amp;"|"&amp;"5"&amp;RIGHT("00000"&amp;91,5))</f>
        <v/>
      </c>
      <c r="T96">
        <f>IF($S96="",0,COUNTIFS($S$6:$S$505,"&lt;"&amp;$S96)-COUNTIFS($S$6:$S$505,"&lt;"&amp;$S96,$R$6:$R$505,"")+1)</f>
        <v/>
      </c>
      <c r="V96">
        <f>IF($K96="","",IF(ISNUMBER(Sync!$AK96),Sync!$AK96,LEFT(Sync!$AK96,4)&amp;MID(Sync!$AK96,6,2)&amp;RIGHT(Sync!$AK96,2))&amp;"|"&amp;"4"&amp;RIGHT("00000"&amp;91,5))</f>
        <v/>
      </c>
      <c r="W96">
        <f>IF($V96="",0,COUNTIFS($V$6:$V$2005,"&lt;"&amp;$V96)-COUNTIFS($V$6:$V$2005,"&lt;"&amp;$V96,$K$6:$K$2005,"")+1)</f>
        <v/>
      </c>
      <c r="X96">
        <f>IF(Sync!$AX96="","",IF(OR(N(Sync!$AY96)=0,N(Sync!$AZ96)=0),"",ROUND(N(Sync!$AY96)*N(Sync!$AZ96),0)))</f>
        <v/>
      </c>
      <c r="Y96">
        <f>IF($X96="","",IF(OR(Sync!$AX96="",COUNTIF(AcctCodesA,Sync!$AX96)=0),"متفرقه",Sync!$AX96))</f>
        <v/>
      </c>
      <c r="Z96">
        <f>IF($X96="","","سبد و ظروف")</f>
        <v/>
      </c>
      <c r="AA96">
        <f>IF($X96="","",$Y96)</f>
        <v/>
      </c>
    </row>
    <row r="97">
      <c r="A97">
        <f>IF(Sync!$Z97="","",LEFT(UPPER(TRIM(Sync!$Z97)),6))</f>
        <v/>
      </c>
      <c r="B97">
        <f>IF($A97="","",IF(Sync!$AA97="","",Sync!$AA97))</f>
        <v/>
      </c>
      <c r="C97">
        <f>IF($A97="","",IF(Sync!$AB97="","",Sync!$AB97))</f>
        <v/>
      </c>
      <c r="D97">
        <f>IF($A97="","",IF(Sync!$AC97="","",Sync!$AC97))</f>
        <v/>
      </c>
      <c r="E97">
        <f>IF($A97="","",IF(Sync!$AD97="","",Sync!$AD97))</f>
        <v/>
      </c>
      <c r="F97">
        <f>IF($A97="","",IF(Sync!$AE97="",0,Sync!$AE97))</f>
        <v/>
      </c>
      <c r="G97">
        <f>IF($A97="","",IF(Sync!$AF97="",0,Sync!$AF97))</f>
        <v/>
      </c>
      <c r="H97">
        <f>IF(OR($A97="",ROUND($F97+$G97,2)=0),"",$F97+$G97)</f>
        <v/>
      </c>
      <c r="I97">
        <f>IF($H97="","",IF(ROUND($F97,2)&gt;0,$A97,IF($D97="شخصی قاسم","شخصی قاسم",IF($D97="هزینه","هزینه: "&amp;IF($E97="","متفرقه",$E97),IF($C97="پاس چک","چک پرداختی",IF(OR($B97="",COUNTIF(AcctCodesA,$B97)=0),"متفرقه",$B97))))))</f>
        <v/>
      </c>
      <c r="J97">
        <f>IF($H97="","",IF(ROUND($F97,2)&gt;0,IF($D97="شخصی قاسم","شخصی قاسم",IF($D97="هزینه","هزینه: "&amp;IF($E97="","متفرقه",$E97),IF(OR($B97="",COUNTIF(AcctCodesA,$B97)=0),"متفرقه",$B97))),$A97))</f>
        <v/>
      </c>
      <c r="K97">
        <f>IF($A97="","",IF(AND($B97&lt;&gt;"",COUNTIF(AcctCodesA,$B97)=0),"کد طرف در INFO تعریف نشده",IF(AND($D97="هزینه",$E97=""),"هزینه بدون زیرگروه",IF(AND($C97="پاس چک",OR(Sync!$AJ97="",COUNTIF(IssueNosA,Sync!$AJ97)=0)),"شماره چک پاس‌شده معتبر نیست",""))))</f>
        <v/>
      </c>
      <c r="M97">
        <f>IF(Sync!$AH97="","",Sync!$AH97)</f>
        <v/>
      </c>
      <c r="N97">
        <f>IF($M97="","",IF(OR(Sync!$AI97="",COUNTIF(AcctCodesA,Sync!$AI97)=0),"متفرقه",Sync!$AI97))</f>
        <v/>
      </c>
      <c r="O97">
        <f>IF($M97="","",$N97)</f>
        <v/>
      </c>
      <c r="P97">
        <f>IF($M97="","","چک پرداختی")</f>
        <v/>
      </c>
      <c r="R97">
        <f>IF($M97="","",IF(COUNTIF(AcctCodesA,Sync!$AI97)=0,"ذی‌نفع چک تعریف‌نشده",""))</f>
        <v/>
      </c>
      <c r="S97">
        <f>IF($R97="","",Sync!$AG97&amp;"|"&amp;"5"&amp;RIGHT("00000"&amp;92,5))</f>
        <v/>
      </c>
      <c r="T97">
        <f>IF($S97="",0,COUNTIFS($S$6:$S$505,"&lt;"&amp;$S97)-COUNTIFS($S$6:$S$505,"&lt;"&amp;$S97,$R$6:$R$505,"")+1)</f>
        <v/>
      </c>
      <c r="V97">
        <f>IF($K97="","",IF(ISNUMBER(Sync!$AK97),Sync!$AK97,LEFT(Sync!$AK97,4)&amp;MID(Sync!$AK97,6,2)&amp;RIGHT(Sync!$AK97,2))&amp;"|"&amp;"4"&amp;RIGHT("00000"&amp;92,5))</f>
        <v/>
      </c>
      <c r="W97">
        <f>IF($V97="",0,COUNTIFS($V$6:$V$2005,"&lt;"&amp;$V97)-COUNTIFS($V$6:$V$2005,"&lt;"&amp;$V97,$K$6:$K$2005,"")+1)</f>
        <v/>
      </c>
      <c r="X97">
        <f>IF(Sync!$AX97="","",IF(OR(N(Sync!$AY97)=0,N(Sync!$AZ97)=0),"",ROUND(N(Sync!$AY97)*N(Sync!$AZ97),0)))</f>
        <v/>
      </c>
      <c r="Y97">
        <f>IF($X97="","",IF(OR(Sync!$AX97="",COUNTIF(AcctCodesA,Sync!$AX97)=0),"متفرقه",Sync!$AX97))</f>
        <v/>
      </c>
      <c r="Z97">
        <f>IF($X97="","","سبد و ظروف")</f>
        <v/>
      </c>
      <c r="AA97">
        <f>IF($X97="","",$Y97)</f>
        <v/>
      </c>
    </row>
    <row r="98">
      <c r="A98">
        <f>IF(Sync!$Z98="","",LEFT(UPPER(TRIM(Sync!$Z98)),6))</f>
        <v/>
      </c>
      <c r="B98">
        <f>IF($A98="","",IF(Sync!$AA98="","",Sync!$AA98))</f>
        <v/>
      </c>
      <c r="C98">
        <f>IF($A98="","",IF(Sync!$AB98="","",Sync!$AB98))</f>
        <v/>
      </c>
      <c r="D98">
        <f>IF($A98="","",IF(Sync!$AC98="","",Sync!$AC98))</f>
        <v/>
      </c>
      <c r="E98">
        <f>IF($A98="","",IF(Sync!$AD98="","",Sync!$AD98))</f>
        <v/>
      </c>
      <c r="F98">
        <f>IF($A98="","",IF(Sync!$AE98="",0,Sync!$AE98))</f>
        <v/>
      </c>
      <c r="G98">
        <f>IF($A98="","",IF(Sync!$AF98="",0,Sync!$AF98))</f>
        <v/>
      </c>
      <c r="H98">
        <f>IF(OR($A98="",ROUND($F98+$G98,2)=0),"",$F98+$G98)</f>
        <v/>
      </c>
      <c r="I98">
        <f>IF($H98="","",IF(ROUND($F98,2)&gt;0,$A98,IF($D98="شخصی قاسم","شخصی قاسم",IF($D98="هزینه","هزینه: "&amp;IF($E98="","متفرقه",$E98),IF($C98="پاس چک","چک پرداختی",IF(OR($B98="",COUNTIF(AcctCodesA,$B98)=0),"متفرقه",$B98))))))</f>
        <v/>
      </c>
      <c r="J98">
        <f>IF($H98="","",IF(ROUND($F98,2)&gt;0,IF($D98="شخصی قاسم","شخصی قاسم",IF($D98="هزینه","هزینه: "&amp;IF($E98="","متفرقه",$E98),IF(OR($B98="",COUNTIF(AcctCodesA,$B98)=0),"متفرقه",$B98))),$A98))</f>
        <v/>
      </c>
      <c r="K98">
        <f>IF($A98="","",IF(AND($B98&lt;&gt;"",COUNTIF(AcctCodesA,$B98)=0),"کد طرف در INFO تعریف نشده",IF(AND($D98="هزینه",$E98=""),"هزینه بدون زیرگروه",IF(AND($C98="پاس چک",OR(Sync!$AJ98="",COUNTIF(IssueNosA,Sync!$AJ98)=0)),"شماره چک پاس‌شده معتبر نیست",""))))</f>
        <v/>
      </c>
      <c r="M98">
        <f>IF(Sync!$AH98="","",Sync!$AH98)</f>
        <v/>
      </c>
      <c r="N98">
        <f>IF($M98="","",IF(OR(Sync!$AI98="",COUNTIF(AcctCodesA,Sync!$AI98)=0),"متفرقه",Sync!$AI98))</f>
        <v/>
      </c>
      <c r="O98">
        <f>IF($M98="","",$N98)</f>
        <v/>
      </c>
      <c r="P98">
        <f>IF($M98="","","چک پرداختی")</f>
        <v/>
      </c>
      <c r="R98">
        <f>IF($M98="","",IF(COUNTIF(AcctCodesA,Sync!$AI98)=0,"ذی‌نفع چک تعریف‌نشده",""))</f>
        <v/>
      </c>
      <c r="S98">
        <f>IF($R98="","",Sync!$AG98&amp;"|"&amp;"5"&amp;RIGHT("00000"&amp;93,5))</f>
        <v/>
      </c>
      <c r="T98">
        <f>IF($S98="",0,COUNTIFS($S$6:$S$505,"&lt;"&amp;$S98)-COUNTIFS($S$6:$S$505,"&lt;"&amp;$S98,$R$6:$R$505,"")+1)</f>
        <v/>
      </c>
      <c r="V98">
        <f>IF($K98="","",IF(ISNUMBER(Sync!$AK98),Sync!$AK98,LEFT(Sync!$AK98,4)&amp;MID(Sync!$AK98,6,2)&amp;RIGHT(Sync!$AK98,2))&amp;"|"&amp;"4"&amp;RIGHT("00000"&amp;93,5))</f>
        <v/>
      </c>
      <c r="W98">
        <f>IF($V98="",0,COUNTIFS($V$6:$V$2005,"&lt;"&amp;$V98)-COUNTIFS($V$6:$V$2005,"&lt;"&amp;$V98,$K$6:$K$2005,"")+1)</f>
        <v/>
      </c>
      <c r="X98">
        <f>IF(Sync!$AX98="","",IF(OR(N(Sync!$AY98)=0,N(Sync!$AZ98)=0),"",ROUND(N(Sync!$AY98)*N(Sync!$AZ98),0)))</f>
        <v/>
      </c>
      <c r="Y98">
        <f>IF($X98="","",IF(OR(Sync!$AX98="",COUNTIF(AcctCodesA,Sync!$AX98)=0),"متفرقه",Sync!$AX98))</f>
        <v/>
      </c>
      <c r="Z98">
        <f>IF($X98="","","سبد و ظروف")</f>
        <v/>
      </c>
      <c r="AA98">
        <f>IF($X98="","",$Y98)</f>
        <v/>
      </c>
    </row>
    <row r="99">
      <c r="A99">
        <f>IF(Sync!$Z99="","",LEFT(UPPER(TRIM(Sync!$Z99)),6))</f>
        <v/>
      </c>
      <c r="B99">
        <f>IF($A99="","",IF(Sync!$AA99="","",Sync!$AA99))</f>
        <v/>
      </c>
      <c r="C99">
        <f>IF($A99="","",IF(Sync!$AB99="","",Sync!$AB99))</f>
        <v/>
      </c>
      <c r="D99">
        <f>IF($A99="","",IF(Sync!$AC99="","",Sync!$AC99))</f>
        <v/>
      </c>
      <c r="E99">
        <f>IF($A99="","",IF(Sync!$AD99="","",Sync!$AD99))</f>
        <v/>
      </c>
      <c r="F99">
        <f>IF($A99="","",IF(Sync!$AE99="",0,Sync!$AE99))</f>
        <v/>
      </c>
      <c r="G99">
        <f>IF($A99="","",IF(Sync!$AF99="",0,Sync!$AF99))</f>
        <v/>
      </c>
      <c r="H99">
        <f>IF(OR($A99="",ROUND($F99+$G99,2)=0),"",$F99+$G99)</f>
        <v/>
      </c>
      <c r="I99">
        <f>IF($H99="","",IF(ROUND($F99,2)&gt;0,$A99,IF($D99="شخصی قاسم","شخصی قاسم",IF($D99="هزینه","هزینه: "&amp;IF($E99="","متفرقه",$E99),IF($C99="پاس چک","چک پرداختی",IF(OR($B99="",COUNTIF(AcctCodesA,$B99)=0),"متفرقه",$B99))))))</f>
        <v/>
      </c>
      <c r="J99">
        <f>IF($H99="","",IF(ROUND($F99,2)&gt;0,IF($D99="شخصی قاسم","شخصی قاسم",IF($D99="هزینه","هزینه: "&amp;IF($E99="","متفرقه",$E99),IF(OR($B99="",COUNTIF(AcctCodesA,$B99)=0),"متفرقه",$B99))),$A99))</f>
        <v/>
      </c>
      <c r="K99">
        <f>IF($A99="","",IF(AND($B99&lt;&gt;"",COUNTIF(AcctCodesA,$B99)=0),"کد طرف در INFO تعریف نشده",IF(AND($D99="هزینه",$E99=""),"هزینه بدون زیرگروه",IF(AND($C99="پاس چک",OR(Sync!$AJ99="",COUNTIF(IssueNosA,Sync!$AJ99)=0)),"شماره چک پاس‌شده معتبر نیست",""))))</f>
        <v/>
      </c>
      <c r="M99">
        <f>IF(Sync!$AH99="","",Sync!$AH99)</f>
        <v/>
      </c>
      <c r="N99">
        <f>IF($M99="","",IF(OR(Sync!$AI99="",COUNTIF(AcctCodesA,Sync!$AI99)=0),"متفرقه",Sync!$AI99))</f>
        <v/>
      </c>
      <c r="O99">
        <f>IF($M99="","",$N99)</f>
        <v/>
      </c>
      <c r="P99">
        <f>IF($M99="","","چک پرداختی")</f>
        <v/>
      </c>
      <c r="R99">
        <f>IF($M99="","",IF(COUNTIF(AcctCodesA,Sync!$AI99)=0,"ذی‌نفع چک تعریف‌نشده",""))</f>
        <v/>
      </c>
      <c r="S99">
        <f>IF($R99="","",Sync!$AG99&amp;"|"&amp;"5"&amp;RIGHT("00000"&amp;94,5))</f>
        <v/>
      </c>
      <c r="T99">
        <f>IF($S99="",0,COUNTIFS($S$6:$S$505,"&lt;"&amp;$S99)-COUNTIFS($S$6:$S$505,"&lt;"&amp;$S99,$R$6:$R$505,"")+1)</f>
        <v/>
      </c>
      <c r="V99">
        <f>IF($K99="","",IF(ISNUMBER(Sync!$AK99),Sync!$AK99,LEFT(Sync!$AK99,4)&amp;MID(Sync!$AK99,6,2)&amp;RIGHT(Sync!$AK99,2))&amp;"|"&amp;"4"&amp;RIGHT("00000"&amp;94,5))</f>
        <v/>
      </c>
      <c r="W99">
        <f>IF($V99="",0,COUNTIFS($V$6:$V$2005,"&lt;"&amp;$V99)-COUNTIFS($V$6:$V$2005,"&lt;"&amp;$V99,$K$6:$K$2005,"")+1)</f>
        <v/>
      </c>
      <c r="X99">
        <f>IF(Sync!$AX99="","",IF(OR(N(Sync!$AY99)=0,N(Sync!$AZ99)=0),"",ROUND(N(Sync!$AY99)*N(Sync!$AZ99),0)))</f>
        <v/>
      </c>
      <c r="Y99">
        <f>IF($X99="","",IF(OR(Sync!$AX99="",COUNTIF(AcctCodesA,Sync!$AX99)=0),"متفرقه",Sync!$AX99))</f>
        <v/>
      </c>
      <c r="Z99">
        <f>IF($X99="","","سبد و ظروف")</f>
        <v/>
      </c>
      <c r="AA99">
        <f>IF($X99="","",$Y99)</f>
        <v/>
      </c>
    </row>
    <row r="100">
      <c r="A100">
        <f>IF(Sync!$Z100="","",LEFT(UPPER(TRIM(Sync!$Z100)),6))</f>
        <v/>
      </c>
      <c r="B100">
        <f>IF($A100="","",IF(Sync!$AA100="","",Sync!$AA100))</f>
        <v/>
      </c>
      <c r="C100">
        <f>IF($A100="","",IF(Sync!$AB100="","",Sync!$AB100))</f>
        <v/>
      </c>
      <c r="D100">
        <f>IF($A100="","",IF(Sync!$AC100="","",Sync!$AC100))</f>
        <v/>
      </c>
      <c r="E100">
        <f>IF($A100="","",IF(Sync!$AD100="","",Sync!$AD100))</f>
        <v/>
      </c>
      <c r="F100">
        <f>IF($A100="","",IF(Sync!$AE100="",0,Sync!$AE100))</f>
        <v/>
      </c>
      <c r="G100">
        <f>IF($A100="","",IF(Sync!$AF100="",0,Sync!$AF100))</f>
        <v/>
      </c>
      <c r="H100">
        <f>IF(OR($A100="",ROUND($F100+$G100,2)=0),"",$F100+$G100)</f>
        <v/>
      </c>
      <c r="I100">
        <f>IF($H100="","",IF(ROUND($F100,2)&gt;0,$A100,IF($D100="شخصی قاسم","شخصی قاسم",IF($D100="هزینه","هزینه: "&amp;IF($E100="","متفرقه",$E100),IF($C100="پاس چک","چک پرداختی",IF(OR($B100="",COUNTIF(AcctCodesA,$B100)=0),"متفرقه",$B100))))))</f>
        <v/>
      </c>
      <c r="J100">
        <f>IF($H100="","",IF(ROUND($F100,2)&gt;0,IF($D100="شخصی قاسم","شخصی قاسم",IF($D100="هزینه","هزینه: "&amp;IF($E100="","متفرقه",$E100),IF(OR($B100="",COUNTIF(AcctCodesA,$B100)=0),"متفرقه",$B100))),$A100))</f>
        <v/>
      </c>
      <c r="K100">
        <f>IF($A100="","",IF(AND($B100&lt;&gt;"",COUNTIF(AcctCodesA,$B100)=0),"کد طرف در INFO تعریف نشده",IF(AND($D100="هزینه",$E100=""),"هزینه بدون زیرگروه",IF(AND($C100="پاس چک",OR(Sync!$AJ100="",COUNTIF(IssueNosA,Sync!$AJ100)=0)),"شماره چک پاس‌شده معتبر نیست",""))))</f>
        <v/>
      </c>
      <c r="M100">
        <f>IF(Sync!$AH100="","",Sync!$AH100)</f>
        <v/>
      </c>
      <c r="N100">
        <f>IF($M100="","",IF(OR(Sync!$AI100="",COUNTIF(AcctCodesA,Sync!$AI100)=0),"متفرقه",Sync!$AI100))</f>
        <v/>
      </c>
      <c r="O100">
        <f>IF($M100="","",$N100)</f>
        <v/>
      </c>
      <c r="P100">
        <f>IF($M100="","","چک پرداختی")</f>
        <v/>
      </c>
      <c r="R100">
        <f>IF($M100="","",IF(COUNTIF(AcctCodesA,Sync!$AI100)=0,"ذی‌نفع چک تعریف‌نشده",""))</f>
        <v/>
      </c>
      <c r="S100">
        <f>IF($R100="","",Sync!$AG100&amp;"|"&amp;"5"&amp;RIGHT("00000"&amp;95,5))</f>
        <v/>
      </c>
      <c r="T100">
        <f>IF($S100="",0,COUNTIFS($S$6:$S$505,"&lt;"&amp;$S100)-COUNTIFS($S$6:$S$505,"&lt;"&amp;$S100,$R$6:$R$505,"")+1)</f>
        <v/>
      </c>
      <c r="V100">
        <f>IF($K100="","",IF(ISNUMBER(Sync!$AK100),Sync!$AK100,LEFT(Sync!$AK100,4)&amp;MID(Sync!$AK100,6,2)&amp;RIGHT(Sync!$AK100,2))&amp;"|"&amp;"4"&amp;RIGHT("00000"&amp;95,5))</f>
        <v/>
      </c>
      <c r="W100">
        <f>IF($V100="",0,COUNTIFS($V$6:$V$2005,"&lt;"&amp;$V100)-COUNTIFS($V$6:$V$2005,"&lt;"&amp;$V100,$K$6:$K$2005,"")+1)</f>
        <v/>
      </c>
      <c r="X100">
        <f>IF(Sync!$AX100="","",IF(OR(N(Sync!$AY100)=0,N(Sync!$AZ100)=0),"",ROUND(N(Sync!$AY100)*N(Sync!$AZ100),0)))</f>
        <v/>
      </c>
      <c r="Y100">
        <f>IF($X100="","",IF(OR(Sync!$AX100="",COUNTIF(AcctCodesA,Sync!$AX100)=0),"متفرقه",Sync!$AX100))</f>
        <v/>
      </c>
      <c r="Z100">
        <f>IF($X100="","","سبد و ظروف")</f>
        <v/>
      </c>
      <c r="AA100">
        <f>IF($X100="","",$Y100)</f>
        <v/>
      </c>
    </row>
    <row r="101">
      <c r="A101">
        <f>IF(Sync!$Z101="","",LEFT(UPPER(TRIM(Sync!$Z101)),6))</f>
        <v/>
      </c>
      <c r="B101">
        <f>IF($A101="","",IF(Sync!$AA101="","",Sync!$AA101))</f>
        <v/>
      </c>
      <c r="C101">
        <f>IF($A101="","",IF(Sync!$AB101="","",Sync!$AB101))</f>
        <v/>
      </c>
      <c r="D101">
        <f>IF($A101="","",IF(Sync!$AC101="","",Sync!$AC101))</f>
        <v/>
      </c>
      <c r="E101">
        <f>IF($A101="","",IF(Sync!$AD101="","",Sync!$AD101))</f>
        <v/>
      </c>
      <c r="F101">
        <f>IF($A101="","",IF(Sync!$AE101="",0,Sync!$AE101))</f>
        <v/>
      </c>
      <c r="G101">
        <f>IF($A101="","",IF(Sync!$AF101="",0,Sync!$AF101))</f>
        <v/>
      </c>
      <c r="H101">
        <f>IF(OR($A101="",ROUND($F101+$G101,2)=0),"",$F101+$G101)</f>
        <v/>
      </c>
      <c r="I101">
        <f>IF($H101="","",IF(ROUND($F101,2)&gt;0,$A101,IF($D101="شخصی قاسم","شخصی قاسم",IF($D101="هزینه","هزینه: "&amp;IF($E101="","متفرقه",$E101),IF($C101="پاس چک","چک پرداختی",IF(OR($B101="",COUNTIF(AcctCodesA,$B101)=0),"متفرقه",$B101))))))</f>
        <v/>
      </c>
      <c r="J101">
        <f>IF($H101="","",IF(ROUND($F101,2)&gt;0,IF($D101="شخصی قاسم","شخصی قاسم",IF($D101="هزینه","هزینه: "&amp;IF($E101="","متفرقه",$E101),IF(OR($B101="",COUNTIF(AcctCodesA,$B101)=0),"متفرقه",$B101))),$A101))</f>
        <v/>
      </c>
      <c r="K101">
        <f>IF($A101="","",IF(AND($B101&lt;&gt;"",COUNTIF(AcctCodesA,$B101)=0),"کد طرف در INFO تعریف نشده",IF(AND($D101="هزینه",$E101=""),"هزینه بدون زیرگروه",IF(AND($C101="پاس چک",OR(Sync!$AJ101="",COUNTIF(IssueNosA,Sync!$AJ101)=0)),"شماره چک پاس‌شده معتبر نیست",""))))</f>
        <v/>
      </c>
      <c r="M101">
        <f>IF(Sync!$AH101="","",Sync!$AH101)</f>
        <v/>
      </c>
      <c r="N101">
        <f>IF($M101="","",IF(OR(Sync!$AI101="",COUNTIF(AcctCodesA,Sync!$AI101)=0),"متفرقه",Sync!$AI101))</f>
        <v/>
      </c>
      <c r="O101">
        <f>IF($M101="","",$N101)</f>
        <v/>
      </c>
      <c r="P101">
        <f>IF($M101="","","چک پرداختی")</f>
        <v/>
      </c>
      <c r="R101">
        <f>IF($M101="","",IF(COUNTIF(AcctCodesA,Sync!$AI101)=0,"ذی‌نفع چک تعریف‌نشده",""))</f>
        <v/>
      </c>
      <c r="S101">
        <f>IF($R101="","",Sync!$AG101&amp;"|"&amp;"5"&amp;RIGHT("00000"&amp;96,5))</f>
        <v/>
      </c>
      <c r="T101">
        <f>IF($S101="",0,COUNTIFS($S$6:$S$505,"&lt;"&amp;$S101)-COUNTIFS($S$6:$S$505,"&lt;"&amp;$S101,$R$6:$R$505,"")+1)</f>
        <v/>
      </c>
      <c r="V101">
        <f>IF($K101="","",IF(ISNUMBER(Sync!$AK101),Sync!$AK101,LEFT(Sync!$AK101,4)&amp;MID(Sync!$AK101,6,2)&amp;RIGHT(Sync!$AK101,2))&amp;"|"&amp;"4"&amp;RIGHT("00000"&amp;96,5))</f>
        <v/>
      </c>
      <c r="W101">
        <f>IF($V101="",0,COUNTIFS($V$6:$V$2005,"&lt;"&amp;$V101)-COUNTIFS($V$6:$V$2005,"&lt;"&amp;$V101,$K$6:$K$2005,"")+1)</f>
        <v/>
      </c>
      <c r="X101">
        <f>IF(Sync!$AX101="","",IF(OR(N(Sync!$AY101)=0,N(Sync!$AZ101)=0),"",ROUND(N(Sync!$AY101)*N(Sync!$AZ101),0)))</f>
        <v/>
      </c>
      <c r="Y101">
        <f>IF($X101="","",IF(OR(Sync!$AX101="",COUNTIF(AcctCodesA,Sync!$AX101)=0),"متفرقه",Sync!$AX101))</f>
        <v/>
      </c>
      <c r="Z101">
        <f>IF($X101="","","سبد و ظروف")</f>
        <v/>
      </c>
      <c r="AA101">
        <f>IF($X101="","",$Y101)</f>
        <v/>
      </c>
    </row>
    <row r="102">
      <c r="A102">
        <f>IF(Sync!$Z102="","",LEFT(UPPER(TRIM(Sync!$Z102)),6))</f>
        <v/>
      </c>
      <c r="B102">
        <f>IF($A102="","",IF(Sync!$AA102="","",Sync!$AA102))</f>
        <v/>
      </c>
      <c r="C102">
        <f>IF($A102="","",IF(Sync!$AB102="","",Sync!$AB102))</f>
        <v/>
      </c>
      <c r="D102">
        <f>IF($A102="","",IF(Sync!$AC102="","",Sync!$AC102))</f>
        <v/>
      </c>
      <c r="E102">
        <f>IF($A102="","",IF(Sync!$AD102="","",Sync!$AD102))</f>
        <v/>
      </c>
      <c r="F102">
        <f>IF($A102="","",IF(Sync!$AE102="",0,Sync!$AE102))</f>
        <v/>
      </c>
      <c r="G102">
        <f>IF($A102="","",IF(Sync!$AF102="",0,Sync!$AF102))</f>
        <v/>
      </c>
      <c r="H102">
        <f>IF(OR($A102="",ROUND($F102+$G102,2)=0),"",$F102+$G102)</f>
        <v/>
      </c>
      <c r="I102">
        <f>IF($H102="","",IF(ROUND($F102,2)&gt;0,$A102,IF($D102="شخصی قاسم","شخصی قاسم",IF($D102="هزینه","هزینه: "&amp;IF($E102="","متفرقه",$E102),IF($C102="پاس چک","چک پرداختی",IF(OR($B102="",COUNTIF(AcctCodesA,$B102)=0),"متفرقه",$B102))))))</f>
        <v/>
      </c>
      <c r="J102">
        <f>IF($H102="","",IF(ROUND($F102,2)&gt;0,IF($D102="شخصی قاسم","شخصی قاسم",IF($D102="هزینه","هزینه: "&amp;IF($E102="","متفرقه",$E102),IF(OR($B102="",COUNTIF(AcctCodesA,$B102)=0),"متفرقه",$B102))),$A102))</f>
        <v/>
      </c>
      <c r="K102">
        <f>IF($A102="","",IF(AND($B102&lt;&gt;"",COUNTIF(AcctCodesA,$B102)=0),"کد طرف در INFO تعریف نشده",IF(AND($D102="هزینه",$E102=""),"هزینه بدون زیرگروه",IF(AND($C102="پاس چک",OR(Sync!$AJ102="",COUNTIF(IssueNosA,Sync!$AJ102)=0)),"شماره چک پاس‌شده معتبر نیست",""))))</f>
        <v/>
      </c>
      <c r="M102">
        <f>IF(Sync!$AH102="","",Sync!$AH102)</f>
        <v/>
      </c>
      <c r="N102">
        <f>IF($M102="","",IF(OR(Sync!$AI102="",COUNTIF(AcctCodesA,Sync!$AI102)=0),"متفرقه",Sync!$AI102))</f>
        <v/>
      </c>
      <c r="O102">
        <f>IF($M102="","",$N102)</f>
        <v/>
      </c>
      <c r="P102">
        <f>IF($M102="","","چک پرداختی")</f>
        <v/>
      </c>
      <c r="R102">
        <f>IF($M102="","",IF(COUNTIF(AcctCodesA,Sync!$AI102)=0,"ذی‌نفع چک تعریف‌نشده",""))</f>
        <v/>
      </c>
      <c r="S102">
        <f>IF($R102="","",Sync!$AG102&amp;"|"&amp;"5"&amp;RIGHT("00000"&amp;97,5))</f>
        <v/>
      </c>
      <c r="T102">
        <f>IF($S102="",0,COUNTIFS($S$6:$S$505,"&lt;"&amp;$S102)-COUNTIFS($S$6:$S$505,"&lt;"&amp;$S102,$R$6:$R$505,"")+1)</f>
        <v/>
      </c>
      <c r="V102">
        <f>IF($K102="","",IF(ISNUMBER(Sync!$AK102),Sync!$AK102,LEFT(Sync!$AK102,4)&amp;MID(Sync!$AK102,6,2)&amp;RIGHT(Sync!$AK102,2))&amp;"|"&amp;"4"&amp;RIGHT("00000"&amp;97,5))</f>
        <v/>
      </c>
      <c r="W102">
        <f>IF($V102="",0,COUNTIFS($V$6:$V$2005,"&lt;"&amp;$V102)-COUNTIFS($V$6:$V$2005,"&lt;"&amp;$V102,$K$6:$K$2005,"")+1)</f>
        <v/>
      </c>
      <c r="X102">
        <f>IF(Sync!$AX102="","",IF(OR(N(Sync!$AY102)=0,N(Sync!$AZ102)=0),"",ROUND(N(Sync!$AY102)*N(Sync!$AZ102),0)))</f>
        <v/>
      </c>
      <c r="Y102">
        <f>IF($X102="","",IF(OR(Sync!$AX102="",COUNTIF(AcctCodesA,Sync!$AX102)=0),"متفرقه",Sync!$AX102))</f>
        <v/>
      </c>
      <c r="Z102">
        <f>IF($X102="","","سبد و ظروف")</f>
        <v/>
      </c>
      <c r="AA102">
        <f>IF($X102="","",$Y102)</f>
        <v/>
      </c>
    </row>
    <row r="103">
      <c r="A103">
        <f>IF(Sync!$Z103="","",LEFT(UPPER(TRIM(Sync!$Z103)),6))</f>
        <v/>
      </c>
      <c r="B103">
        <f>IF($A103="","",IF(Sync!$AA103="","",Sync!$AA103))</f>
        <v/>
      </c>
      <c r="C103">
        <f>IF($A103="","",IF(Sync!$AB103="","",Sync!$AB103))</f>
        <v/>
      </c>
      <c r="D103">
        <f>IF($A103="","",IF(Sync!$AC103="","",Sync!$AC103))</f>
        <v/>
      </c>
      <c r="E103">
        <f>IF($A103="","",IF(Sync!$AD103="","",Sync!$AD103))</f>
        <v/>
      </c>
      <c r="F103">
        <f>IF($A103="","",IF(Sync!$AE103="",0,Sync!$AE103))</f>
        <v/>
      </c>
      <c r="G103">
        <f>IF($A103="","",IF(Sync!$AF103="",0,Sync!$AF103))</f>
        <v/>
      </c>
      <c r="H103">
        <f>IF(OR($A103="",ROUND($F103+$G103,2)=0),"",$F103+$G103)</f>
        <v/>
      </c>
      <c r="I103">
        <f>IF($H103="","",IF(ROUND($F103,2)&gt;0,$A103,IF($D103="شخصی قاسم","شخصی قاسم",IF($D103="هزینه","هزینه: "&amp;IF($E103="","متفرقه",$E103),IF($C103="پاس چک","چک پرداختی",IF(OR($B103="",COUNTIF(AcctCodesA,$B103)=0),"متفرقه",$B103))))))</f>
        <v/>
      </c>
      <c r="J103">
        <f>IF($H103="","",IF(ROUND($F103,2)&gt;0,IF($D103="شخصی قاسم","شخصی قاسم",IF($D103="هزینه","هزینه: "&amp;IF($E103="","متفرقه",$E103),IF(OR($B103="",COUNTIF(AcctCodesA,$B103)=0),"متفرقه",$B103))),$A103))</f>
        <v/>
      </c>
      <c r="K103">
        <f>IF($A103="","",IF(AND($B103&lt;&gt;"",COUNTIF(AcctCodesA,$B103)=0),"کد طرف در INFO تعریف نشده",IF(AND($D103="هزینه",$E103=""),"هزینه بدون زیرگروه",IF(AND($C103="پاس چک",OR(Sync!$AJ103="",COUNTIF(IssueNosA,Sync!$AJ103)=0)),"شماره چک پاس‌شده معتبر نیست",""))))</f>
        <v/>
      </c>
      <c r="M103">
        <f>IF(Sync!$AH103="","",Sync!$AH103)</f>
        <v/>
      </c>
      <c r="N103">
        <f>IF($M103="","",IF(OR(Sync!$AI103="",COUNTIF(AcctCodesA,Sync!$AI103)=0),"متفرقه",Sync!$AI103))</f>
        <v/>
      </c>
      <c r="O103">
        <f>IF($M103="","",$N103)</f>
        <v/>
      </c>
      <c r="P103">
        <f>IF($M103="","","چک پرداختی")</f>
        <v/>
      </c>
      <c r="R103">
        <f>IF($M103="","",IF(COUNTIF(AcctCodesA,Sync!$AI103)=0,"ذی‌نفع چک تعریف‌نشده",""))</f>
        <v/>
      </c>
      <c r="S103">
        <f>IF($R103="","",Sync!$AG103&amp;"|"&amp;"5"&amp;RIGHT("00000"&amp;98,5))</f>
        <v/>
      </c>
      <c r="T103">
        <f>IF($S103="",0,COUNTIFS($S$6:$S$505,"&lt;"&amp;$S103)-COUNTIFS($S$6:$S$505,"&lt;"&amp;$S103,$R$6:$R$505,"")+1)</f>
        <v/>
      </c>
      <c r="V103">
        <f>IF($K103="","",IF(ISNUMBER(Sync!$AK103),Sync!$AK103,LEFT(Sync!$AK103,4)&amp;MID(Sync!$AK103,6,2)&amp;RIGHT(Sync!$AK103,2))&amp;"|"&amp;"4"&amp;RIGHT("00000"&amp;98,5))</f>
        <v/>
      </c>
      <c r="W103">
        <f>IF($V103="",0,COUNTIFS($V$6:$V$2005,"&lt;"&amp;$V103)-COUNTIFS($V$6:$V$2005,"&lt;"&amp;$V103,$K$6:$K$2005,"")+1)</f>
        <v/>
      </c>
      <c r="X103">
        <f>IF(Sync!$AX103="","",IF(OR(N(Sync!$AY103)=0,N(Sync!$AZ103)=0),"",ROUND(N(Sync!$AY103)*N(Sync!$AZ103),0)))</f>
        <v/>
      </c>
      <c r="Y103">
        <f>IF($X103="","",IF(OR(Sync!$AX103="",COUNTIF(AcctCodesA,Sync!$AX103)=0),"متفرقه",Sync!$AX103))</f>
        <v/>
      </c>
      <c r="Z103">
        <f>IF($X103="","","سبد و ظروف")</f>
        <v/>
      </c>
      <c r="AA103">
        <f>IF($X103="","",$Y103)</f>
        <v/>
      </c>
    </row>
    <row r="104">
      <c r="A104">
        <f>IF(Sync!$Z104="","",LEFT(UPPER(TRIM(Sync!$Z104)),6))</f>
        <v/>
      </c>
      <c r="B104">
        <f>IF($A104="","",IF(Sync!$AA104="","",Sync!$AA104))</f>
        <v/>
      </c>
      <c r="C104">
        <f>IF($A104="","",IF(Sync!$AB104="","",Sync!$AB104))</f>
        <v/>
      </c>
      <c r="D104">
        <f>IF($A104="","",IF(Sync!$AC104="","",Sync!$AC104))</f>
        <v/>
      </c>
      <c r="E104">
        <f>IF($A104="","",IF(Sync!$AD104="","",Sync!$AD104))</f>
        <v/>
      </c>
      <c r="F104">
        <f>IF($A104="","",IF(Sync!$AE104="",0,Sync!$AE104))</f>
        <v/>
      </c>
      <c r="G104">
        <f>IF($A104="","",IF(Sync!$AF104="",0,Sync!$AF104))</f>
        <v/>
      </c>
      <c r="H104">
        <f>IF(OR($A104="",ROUND($F104+$G104,2)=0),"",$F104+$G104)</f>
        <v/>
      </c>
      <c r="I104">
        <f>IF($H104="","",IF(ROUND($F104,2)&gt;0,$A104,IF($D104="شخصی قاسم","شخصی قاسم",IF($D104="هزینه","هزینه: "&amp;IF($E104="","متفرقه",$E104),IF($C104="پاس چک","چک پرداختی",IF(OR($B104="",COUNTIF(AcctCodesA,$B104)=0),"متفرقه",$B104))))))</f>
        <v/>
      </c>
      <c r="J104">
        <f>IF($H104="","",IF(ROUND($F104,2)&gt;0,IF($D104="شخصی قاسم","شخصی قاسم",IF($D104="هزینه","هزینه: "&amp;IF($E104="","متفرقه",$E104),IF(OR($B104="",COUNTIF(AcctCodesA,$B104)=0),"متفرقه",$B104))),$A104))</f>
        <v/>
      </c>
      <c r="K104">
        <f>IF($A104="","",IF(AND($B104&lt;&gt;"",COUNTIF(AcctCodesA,$B104)=0),"کد طرف در INFO تعریف نشده",IF(AND($D104="هزینه",$E104=""),"هزینه بدون زیرگروه",IF(AND($C104="پاس چک",OR(Sync!$AJ104="",COUNTIF(IssueNosA,Sync!$AJ104)=0)),"شماره چک پاس‌شده معتبر نیست",""))))</f>
        <v/>
      </c>
      <c r="M104">
        <f>IF(Sync!$AH104="","",Sync!$AH104)</f>
        <v/>
      </c>
      <c r="N104">
        <f>IF($M104="","",IF(OR(Sync!$AI104="",COUNTIF(AcctCodesA,Sync!$AI104)=0),"متفرقه",Sync!$AI104))</f>
        <v/>
      </c>
      <c r="O104">
        <f>IF($M104="","",$N104)</f>
        <v/>
      </c>
      <c r="P104">
        <f>IF($M104="","","چک پرداختی")</f>
        <v/>
      </c>
      <c r="R104">
        <f>IF($M104="","",IF(COUNTIF(AcctCodesA,Sync!$AI104)=0,"ذی‌نفع چک تعریف‌نشده",""))</f>
        <v/>
      </c>
      <c r="S104">
        <f>IF($R104="","",Sync!$AG104&amp;"|"&amp;"5"&amp;RIGHT("00000"&amp;99,5))</f>
        <v/>
      </c>
      <c r="T104">
        <f>IF($S104="",0,COUNTIFS($S$6:$S$505,"&lt;"&amp;$S104)-COUNTIFS($S$6:$S$505,"&lt;"&amp;$S104,$R$6:$R$505,"")+1)</f>
        <v/>
      </c>
      <c r="V104">
        <f>IF($K104="","",IF(ISNUMBER(Sync!$AK104),Sync!$AK104,LEFT(Sync!$AK104,4)&amp;MID(Sync!$AK104,6,2)&amp;RIGHT(Sync!$AK104,2))&amp;"|"&amp;"4"&amp;RIGHT("00000"&amp;99,5))</f>
        <v/>
      </c>
      <c r="W104">
        <f>IF($V104="",0,COUNTIFS($V$6:$V$2005,"&lt;"&amp;$V104)-COUNTIFS($V$6:$V$2005,"&lt;"&amp;$V104,$K$6:$K$2005,"")+1)</f>
        <v/>
      </c>
      <c r="X104">
        <f>IF(Sync!$AX104="","",IF(OR(N(Sync!$AY104)=0,N(Sync!$AZ104)=0),"",ROUND(N(Sync!$AY104)*N(Sync!$AZ104),0)))</f>
        <v/>
      </c>
      <c r="Y104">
        <f>IF($X104="","",IF(OR(Sync!$AX104="",COUNTIF(AcctCodesA,Sync!$AX104)=0),"متفرقه",Sync!$AX104))</f>
        <v/>
      </c>
      <c r="Z104">
        <f>IF($X104="","","سبد و ظروف")</f>
        <v/>
      </c>
      <c r="AA104">
        <f>IF($X104="","",$Y104)</f>
        <v/>
      </c>
    </row>
    <row r="105">
      <c r="A105">
        <f>IF(Sync!$Z105="","",LEFT(UPPER(TRIM(Sync!$Z105)),6))</f>
        <v/>
      </c>
      <c r="B105">
        <f>IF($A105="","",IF(Sync!$AA105="","",Sync!$AA105))</f>
        <v/>
      </c>
      <c r="C105">
        <f>IF($A105="","",IF(Sync!$AB105="","",Sync!$AB105))</f>
        <v/>
      </c>
      <c r="D105">
        <f>IF($A105="","",IF(Sync!$AC105="","",Sync!$AC105))</f>
        <v/>
      </c>
      <c r="E105">
        <f>IF($A105="","",IF(Sync!$AD105="","",Sync!$AD105))</f>
        <v/>
      </c>
      <c r="F105">
        <f>IF($A105="","",IF(Sync!$AE105="",0,Sync!$AE105))</f>
        <v/>
      </c>
      <c r="G105">
        <f>IF($A105="","",IF(Sync!$AF105="",0,Sync!$AF105))</f>
        <v/>
      </c>
      <c r="H105">
        <f>IF(OR($A105="",ROUND($F105+$G105,2)=0),"",$F105+$G105)</f>
        <v/>
      </c>
      <c r="I105">
        <f>IF($H105="","",IF(ROUND($F105,2)&gt;0,$A105,IF($D105="شخصی قاسم","شخصی قاسم",IF($D105="هزینه","هزینه: "&amp;IF($E105="","متفرقه",$E105),IF($C105="پاس چک","چک پرداختی",IF(OR($B105="",COUNTIF(AcctCodesA,$B105)=0),"متفرقه",$B105))))))</f>
        <v/>
      </c>
      <c r="J105">
        <f>IF($H105="","",IF(ROUND($F105,2)&gt;0,IF($D105="شخصی قاسم","شخصی قاسم",IF($D105="هزینه","هزینه: "&amp;IF($E105="","متفرقه",$E105),IF(OR($B105="",COUNTIF(AcctCodesA,$B105)=0),"متفرقه",$B105))),$A105))</f>
        <v/>
      </c>
      <c r="K105">
        <f>IF($A105="","",IF(AND($B105&lt;&gt;"",COUNTIF(AcctCodesA,$B105)=0),"کد طرف در INFO تعریف نشده",IF(AND($D105="هزینه",$E105=""),"هزینه بدون زیرگروه",IF(AND($C105="پاس چک",OR(Sync!$AJ105="",COUNTIF(IssueNosA,Sync!$AJ105)=0)),"شماره چک پاس‌شده معتبر نیست",""))))</f>
        <v/>
      </c>
      <c r="M105">
        <f>IF(Sync!$AH105="","",Sync!$AH105)</f>
        <v/>
      </c>
      <c r="N105">
        <f>IF($M105="","",IF(OR(Sync!$AI105="",COUNTIF(AcctCodesA,Sync!$AI105)=0),"متفرقه",Sync!$AI105))</f>
        <v/>
      </c>
      <c r="O105">
        <f>IF($M105="","",$N105)</f>
        <v/>
      </c>
      <c r="P105">
        <f>IF($M105="","","چک پرداختی")</f>
        <v/>
      </c>
      <c r="R105">
        <f>IF($M105="","",IF(COUNTIF(AcctCodesA,Sync!$AI105)=0,"ذی‌نفع چک تعریف‌نشده",""))</f>
        <v/>
      </c>
      <c r="S105">
        <f>IF($R105="","",Sync!$AG105&amp;"|"&amp;"5"&amp;RIGHT("00000"&amp;100,5))</f>
        <v/>
      </c>
      <c r="T105">
        <f>IF($S105="",0,COUNTIFS($S$6:$S$505,"&lt;"&amp;$S105)-COUNTIFS($S$6:$S$505,"&lt;"&amp;$S105,$R$6:$R$505,"")+1)</f>
        <v/>
      </c>
      <c r="V105">
        <f>IF($K105="","",IF(ISNUMBER(Sync!$AK105),Sync!$AK105,LEFT(Sync!$AK105,4)&amp;MID(Sync!$AK105,6,2)&amp;RIGHT(Sync!$AK105,2))&amp;"|"&amp;"4"&amp;RIGHT("00000"&amp;100,5))</f>
        <v/>
      </c>
      <c r="W105">
        <f>IF($V105="",0,COUNTIFS($V$6:$V$2005,"&lt;"&amp;$V105)-COUNTIFS($V$6:$V$2005,"&lt;"&amp;$V105,$K$6:$K$2005,"")+1)</f>
        <v/>
      </c>
      <c r="X105">
        <f>IF(Sync!$AX105="","",IF(OR(N(Sync!$AY105)=0,N(Sync!$AZ105)=0),"",ROUND(N(Sync!$AY105)*N(Sync!$AZ105),0)))</f>
        <v/>
      </c>
      <c r="Y105">
        <f>IF($X105="","",IF(OR(Sync!$AX105="",COUNTIF(AcctCodesA,Sync!$AX105)=0),"متفرقه",Sync!$AX105))</f>
        <v/>
      </c>
      <c r="Z105">
        <f>IF($X105="","","سبد و ظروف")</f>
        <v/>
      </c>
      <c r="AA105">
        <f>IF($X105="","",$Y105)</f>
        <v/>
      </c>
    </row>
    <row r="106">
      <c r="A106">
        <f>IF(Sync!$Z106="","",LEFT(UPPER(TRIM(Sync!$Z106)),6))</f>
        <v/>
      </c>
      <c r="B106">
        <f>IF($A106="","",IF(Sync!$AA106="","",Sync!$AA106))</f>
        <v/>
      </c>
      <c r="C106">
        <f>IF($A106="","",IF(Sync!$AB106="","",Sync!$AB106))</f>
        <v/>
      </c>
      <c r="D106">
        <f>IF($A106="","",IF(Sync!$AC106="","",Sync!$AC106))</f>
        <v/>
      </c>
      <c r="E106">
        <f>IF($A106="","",IF(Sync!$AD106="","",Sync!$AD106))</f>
        <v/>
      </c>
      <c r="F106">
        <f>IF($A106="","",IF(Sync!$AE106="",0,Sync!$AE106))</f>
        <v/>
      </c>
      <c r="G106">
        <f>IF($A106="","",IF(Sync!$AF106="",0,Sync!$AF106))</f>
        <v/>
      </c>
      <c r="H106">
        <f>IF(OR($A106="",ROUND($F106+$G106,2)=0),"",$F106+$G106)</f>
        <v/>
      </c>
      <c r="I106">
        <f>IF($H106="","",IF(ROUND($F106,2)&gt;0,$A106,IF($D106="شخصی قاسم","شخصی قاسم",IF($D106="هزینه","هزینه: "&amp;IF($E106="","متفرقه",$E106),IF($C106="پاس چک","چک پرداختی",IF(OR($B106="",COUNTIF(AcctCodesA,$B106)=0),"متفرقه",$B106))))))</f>
        <v/>
      </c>
      <c r="J106">
        <f>IF($H106="","",IF(ROUND($F106,2)&gt;0,IF($D106="شخصی قاسم","شخصی قاسم",IF($D106="هزینه","هزینه: "&amp;IF($E106="","متفرقه",$E106),IF(OR($B106="",COUNTIF(AcctCodesA,$B106)=0),"متفرقه",$B106))),$A106))</f>
        <v/>
      </c>
      <c r="K106">
        <f>IF($A106="","",IF(AND($B106&lt;&gt;"",COUNTIF(AcctCodesA,$B106)=0),"کد طرف در INFO تعریف نشده",IF(AND($D106="هزینه",$E106=""),"هزینه بدون زیرگروه",IF(AND($C106="پاس چک",OR(Sync!$AJ106="",COUNTIF(IssueNosA,Sync!$AJ106)=0)),"شماره چک پاس‌شده معتبر نیست",""))))</f>
        <v/>
      </c>
      <c r="M106">
        <f>IF(Sync!$AH106="","",Sync!$AH106)</f>
        <v/>
      </c>
      <c r="N106">
        <f>IF($M106="","",IF(OR(Sync!$AI106="",COUNTIF(AcctCodesA,Sync!$AI106)=0),"متفرقه",Sync!$AI106))</f>
        <v/>
      </c>
      <c r="O106">
        <f>IF($M106="","",$N106)</f>
        <v/>
      </c>
      <c r="P106">
        <f>IF($M106="","","چک پرداختی")</f>
        <v/>
      </c>
      <c r="R106">
        <f>IF($M106="","",IF(COUNTIF(AcctCodesA,Sync!$AI106)=0,"ذی‌نفع چک تعریف‌نشده",""))</f>
        <v/>
      </c>
      <c r="S106">
        <f>IF($R106="","",Sync!$AG106&amp;"|"&amp;"5"&amp;RIGHT("00000"&amp;101,5))</f>
        <v/>
      </c>
      <c r="T106">
        <f>IF($S106="",0,COUNTIFS($S$6:$S$505,"&lt;"&amp;$S106)-COUNTIFS($S$6:$S$505,"&lt;"&amp;$S106,$R$6:$R$505,"")+1)</f>
        <v/>
      </c>
      <c r="V106">
        <f>IF($K106="","",IF(ISNUMBER(Sync!$AK106),Sync!$AK106,LEFT(Sync!$AK106,4)&amp;MID(Sync!$AK106,6,2)&amp;RIGHT(Sync!$AK106,2))&amp;"|"&amp;"4"&amp;RIGHT("00000"&amp;101,5))</f>
        <v/>
      </c>
      <c r="W106">
        <f>IF($V106="",0,COUNTIFS($V$6:$V$2005,"&lt;"&amp;$V106)-COUNTIFS($V$6:$V$2005,"&lt;"&amp;$V106,$K$6:$K$2005,"")+1)</f>
        <v/>
      </c>
      <c r="X106">
        <f>IF(Sync!$AX106="","",IF(OR(N(Sync!$AY106)=0,N(Sync!$AZ106)=0),"",ROUND(N(Sync!$AY106)*N(Sync!$AZ106),0)))</f>
        <v/>
      </c>
      <c r="Y106">
        <f>IF($X106="","",IF(OR(Sync!$AX106="",COUNTIF(AcctCodesA,Sync!$AX106)=0),"متفرقه",Sync!$AX106))</f>
        <v/>
      </c>
      <c r="Z106">
        <f>IF($X106="","","سبد و ظروف")</f>
        <v/>
      </c>
      <c r="AA106">
        <f>IF($X106="","",$Y106)</f>
        <v/>
      </c>
    </row>
    <row r="107">
      <c r="A107">
        <f>IF(Sync!$Z107="","",LEFT(UPPER(TRIM(Sync!$Z107)),6))</f>
        <v/>
      </c>
      <c r="B107">
        <f>IF($A107="","",IF(Sync!$AA107="","",Sync!$AA107))</f>
        <v/>
      </c>
      <c r="C107">
        <f>IF($A107="","",IF(Sync!$AB107="","",Sync!$AB107))</f>
        <v/>
      </c>
      <c r="D107">
        <f>IF($A107="","",IF(Sync!$AC107="","",Sync!$AC107))</f>
        <v/>
      </c>
      <c r="E107">
        <f>IF($A107="","",IF(Sync!$AD107="","",Sync!$AD107))</f>
        <v/>
      </c>
      <c r="F107">
        <f>IF($A107="","",IF(Sync!$AE107="",0,Sync!$AE107))</f>
        <v/>
      </c>
      <c r="G107">
        <f>IF($A107="","",IF(Sync!$AF107="",0,Sync!$AF107))</f>
        <v/>
      </c>
      <c r="H107">
        <f>IF(OR($A107="",ROUND($F107+$G107,2)=0),"",$F107+$G107)</f>
        <v/>
      </c>
      <c r="I107">
        <f>IF($H107="","",IF(ROUND($F107,2)&gt;0,$A107,IF($D107="شخصی قاسم","شخصی قاسم",IF($D107="هزینه","هزینه: "&amp;IF($E107="","متفرقه",$E107),IF($C107="پاس چک","چک پرداختی",IF(OR($B107="",COUNTIF(AcctCodesA,$B107)=0),"متفرقه",$B107))))))</f>
        <v/>
      </c>
      <c r="J107">
        <f>IF($H107="","",IF(ROUND($F107,2)&gt;0,IF($D107="شخصی قاسم","شخصی قاسم",IF($D107="هزینه","هزینه: "&amp;IF($E107="","متفرقه",$E107),IF(OR($B107="",COUNTIF(AcctCodesA,$B107)=0),"متفرقه",$B107))),$A107))</f>
        <v/>
      </c>
      <c r="K107">
        <f>IF($A107="","",IF(AND($B107&lt;&gt;"",COUNTIF(AcctCodesA,$B107)=0),"کد طرف در INFO تعریف نشده",IF(AND($D107="هزینه",$E107=""),"هزینه بدون زیرگروه",IF(AND($C107="پاس چک",OR(Sync!$AJ107="",COUNTIF(IssueNosA,Sync!$AJ107)=0)),"شماره چک پاس‌شده معتبر نیست",""))))</f>
        <v/>
      </c>
      <c r="M107">
        <f>IF(Sync!$AH107="","",Sync!$AH107)</f>
        <v/>
      </c>
      <c r="N107">
        <f>IF($M107="","",IF(OR(Sync!$AI107="",COUNTIF(AcctCodesA,Sync!$AI107)=0),"متفرقه",Sync!$AI107))</f>
        <v/>
      </c>
      <c r="O107">
        <f>IF($M107="","",$N107)</f>
        <v/>
      </c>
      <c r="P107">
        <f>IF($M107="","","چک پرداختی")</f>
        <v/>
      </c>
      <c r="R107">
        <f>IF($M107="","",IF(COUNTIF(AcctCodesA,Sync!$AI107)=0,"ذی‌نفع چک تعریف‌نشده",""))</f>
        <v/>
      </c>
      <c r="S107">
        <f>IF($R107="","",Sync!$AG107&amp;"|"&amp;"5"&amp;RIGHT("00000"&amp;102,5))</f>
        <v/>
      </c>
      <c r="T107">
        <f>IF($S107="",0,COUNTIFS($S$6:$S$505,"&lt;"&amp;$S107)-COUNTIFS($S$6:$S$505,"&lt;"&amp;$S107,$R$6:$R$505,"")+1)</f>
        <v/>
      </c>
      <c r="V107">
        <f>IF($K107="","",IF(ISNUMBER(Sync!$AK107),Sync!$AK107,LEFT(Sync!$AK107,4)&amp;MID(Sync!$AK107,6,2)&amp;RIGHT(Sync!$AK107,2))&amp;"|"&amp;"4"&amp;RIGHT("00000"&amp;102,5))</f>
        <v/>
      </c>
      <c r="W107">
        <f>IF($V107="",0,COUNTIFS($V$6:$V$2005,"&lt;"&amp;$V107)-COUNTIFS($V$6:$V$2005,"&lt;"&amp;$V107,$K$6:$K$2005,"")+1)</f>
        <v/>
      </c>
      <c r="X107">
        <f>IF(Sync!$AX107="","",IF(OR(N(Sync!$AY107)=0,N(Sync!$AZ107)=0),"",ROUND(N(Sync!$AY107)*N(Sync!$AZ107),0)))</f>
        <v/>
      </c>
      <c r="Y107">
        <f>IF($X107="","",IF(OR(Sync!$AX107="",COUNTIF(AcctCodesA,Sync!$AX107)=0),"متفرقه",Sync!$AX107))</f>
        <v/>
      </c>
      <c r="Z107">
        <f>IF($X107="","","سبد و ظروف")</f>
        <v/>
      </c>
      <c r="AA107">
        <f>IF($X107="","",$Y107)</f>
        <v/>
      </c>
    </row>
    <row r="108">
      <c r="A108">
        <f>IF(Sync!$Z108="","",LEFT(UPPER(TRIM(Sync!$Z108)),6))</f>
        <v/>
      </c>
      <c r="B108">
        <f>IF($A108="","",IF(Sync!$AA108="","",Sync!$AA108))</f>
        <v/>
      </c>
      <c r="C108">
        <f>IF($A108="","",IF(Sync!$AB108="","",Sync!$AB108))</f>
        <v/>
      </c>
      <c r="D108">
        <f>IF($A108="","",IF(Sync!$AC108="","",Sync!$AC108))</f>
        <v/>
      </c>
      <c r="E108">
        <f>IF($A108="","",IF(Sync!$AD108="","",Sync!$AD108))</f>
        <v/>
      </c>
      <c r="F108">
        <f>IF($A108="","",IF(Sync!$AE108="",0,Sync!$AE108))</f>
        <v/>
      </c>
      <c r="G108">
        <f>IF($A108="","",IF(Sync!$AF108="",0,Sync!$AF108))</f>
        <v/>
      </c>
      <c r="H108">
        <f>IF(OR($A108="",ROUND($F108+$G108,2)=0),"",$F108+$G108)</f>
        <v/>
      </c>
      <c r="I108">
        <f>IF($H108="","",IF(ROUND($F108,2)&gt;0,$A108,IF($D108="شخصی قاسم","شخصی قاسم",IF($D108="هزینه","هزینه: "&amp;IF($E108="","متفرقه",$E108),IF($C108="پاس چک","چک پرداختی",IF(OR($B108="",COUNTIF(AcctCodesA,$B108)=0),"متفرقه",$B108))))))</f>
        <v/>
      </c>
      <c r="J108">
        <f>IF($H108="","",IF(ROUND($F108,2)&gt;0,IF($D108="شخصی قاسم","شخصی قاسم",IF($D108="هزینه","هزینه: "&amp;IF($E108="","متفرقه",$E108),IF(OR($B108="",COUNTIF(AcctCodesA,$B108)=0),"متفرقه",$B108))),$A108))</f>
        <v/>
      </c>
      <c r="K108">
        <f>IF($A108="","",IF(AND($B108&lt;&gt;"",COUNTIF(AcctCodesA,$B108)=0),"کد طرف در INFO تعریف نشده",IF(AND($D108="هزینه",$E108=""),"هزینه بدون زیرگروه",IF(AND($C108="پاس چک",OR(Sync!$AJ108="",COUNTIF(IssueNosA,Sync!$AJ108)=0)),"شماره چک پاس‌شده معتبر نیست",""))))</f>
        <v/>
      </c>
      <c r="M108">
        <f>IF(Sync!$AH108="","",Sync!$AH108)</f>
        <v/>
      </c>
      <c r="N108">
        <f>IF($M108="","",IF(OR(Sync!$AI108="",COUNTIF(AcctCodesA,Sync!$AI108)=0),"متفرقه",Sync!$AI108))</f>
        <v/>
      </c>
      <c r="O108">
        <f>IF($M108="","",$N108)</f>
        <v/>
      </c>
      <c r="P108">
        <f>IF($M108="","","چک پرداختی")</f>
        <v/>
      </c>
      <c r="R108">
        <f>IF($M108="","",IF(COUNTIF(AcctCodesA,Sync!$AI108)=0,"ذی‌نفع چک تعریف‌نشده",""))</f>
        <v/>
      </c>
      <c r="S108">
        <f>IF($R108="","",Sync!$AG108&amp;"|"&amp;"5"&amp;RIGHT("00000"&amp;103,5))</f>
        <v/>
      </c>
      <c r="T108">
        <f>IF($S108="",0,COUNTIFS($S$6:$S$505,"&lt;"&amp;$S108)-COUNTIFS($S$6:$S$505,"&lt;"&amp;$S108,$R$6:$R$505,"")+1)</f>
        <v/>
      </c>
      <c r="V108">
        <f>IF($K108="","",IF(ISNUMBER(Sync!$AK108),Sync!$AK108,LEFT(Sync!$AK108,4)&amp;MID(Sync!$AK108,6,2)&amp;RIGHT(Sync!$AK108,2))&amp;"|"&amp;"4"&amp;RIGHT("00000"&amp;103,5))</f>
        <v/>
      </c>
      <c r="W108">
        <f>IF($V108="",0,COUNTIFS($V$6:$V$2005,"&lt;"&amp;$V108)-COUNTIFS($V$6:$V$2005,"&lt;"&amp;$V108,$K$6:$K$2005,"")+1)</f>
        <v/>
      </c>
      <c r="X108">
        <f>IF(Sync!$AX108="","",IF(OR(N(Sync!$AY108)=0,N(Sync!$AZ108)=0),"",ROUND(N(Sync!$AY108)*N(Sync!$AZ108),0)))</f>
        <v/>
      </c>
      <c r="Y108">
        <f>IF($X108="","",IF(OR(Sync!$AX108="",COUNTIF(AcctCodesA,Sync!$AX108)=0),"متفرقه",Sync!$AX108))</f>
        <v/>
      </c>
      <c r="Z108">
        <f>IF($X108="","","سبد و ظروف")</f>
        <v/>
      </c>
      <c r="AA108">
        <f>IF($X108="","",$Y108)</f>
        <v/>
      </c>
    </row>
    <row r="109">
      <c r="A109">
        <f>IF(Sync!$Z109="","",LEFT(UPPER(TRIM(Sync!$Z109)),6))</f>
        <v/>
      </c>
      <c r="B109">
        <f>IF($A109="","",IF(Sync!$AA109="","",Sync!$AA109))</f>
        <v/>
      </c>
      <c r="C109">
        <f>IF($A109="","",IF(Sync!$AB109="","",Sync!$AB109))</f>
        <v/>
      </c>
      <c r="D109">
        <f>IF($A109="","",IF(Sync!$AC109="","",Sync!$AC109))</f>
        <v/>
      </c>
      <c r="E109">
        <f>IF($A109="","",IF(Sync!$AD109="","",Sync!$AD109))</f>
        <v/>
      </c>
      <c r="F109">
        <f>IF($A109="","",IF(Sync!$AE109="",0,Sync!$AE109))</f>
        <v/>
      </c>
      <c r="G109">
        <f>IF($A109="","",IF(Sync!$AF109="",0,Sync!$AF109))</f>
        <v/>
      </c>
      <c r="H109">
        <f>IF(OR($A109="",ROUND($F109+$G109,2)=0),"",$F109+$G109)</f>
        <v/>
      </c>
      <c r="I109">
        <f>IF($H109="","",IF(ROUND($F109,2)&gt;0,$A109,IF($D109="شخصی قاسم","شخصی قاسم",IF($D109="هزینه","هزینه: "&amp;IF($E109="","متفرقه",$E109),IF($C109="پاس چک","چک پرداختی",IF(OR($B109="",COUNTIF(AcctCodesA,$B109)=0),"متفرقه",$B109))))))</f>
        <v/>
      </c>
      <c r="J109">
        <f>IF($H109="","",IF(ROUND($F109,2)&gt;0,IF($D109="شخصی قاسم","شخصی قاسم",IF($D109="هزینه","هزینه: "&amp;IF($E109="","متفرقه",$E109),IF(OR($B109="",COUNTIF(AcctCodesA,$B109)=0),"متفرقه",$B109))),$A109))</f>
        <v/>
      </c>
      <c r="K109">
        <f>IF($A109="","",IF(AND($B109&lt;&gt;"",COUNTIF(AcctCodesA,$B109)=0),"کد طرف در INFO تعریف نشده",IF(AND($D109="هزینه",$E109=""),"هزینه بدون زیرگروه",IF(AND($C109="پاس چک",OR(Sync!$AJ109="",COUNTIF(IssueNosA,Sync!$AJ109)=0)),"شماره چک پاس‌شده معتبر نیست",""))))</f>
        <v/>
      </c>
      <c r="M109">
        <f>IF(Sync!$AH109="","",Sync!$AH109)</f>
        <v/>
      </c>
      <c r="N109">
        <f>IF($M109="","",IF(OR(Sync!$AI109="",COUNTIF(AcctCodesA,Sync!$AI109)=0),"متفرقه",Sync!$AI109))</f>
        <v/>
      </c>
      <c r="O109">
        <f>IF($M109="","",$N109)</f>
        <v/>
      </c>
      <c r="P109">
        <f>IF($M109="","","چک پرداختی")</f>
        <v/>
      </c>
      <c r="R109">
        <f>IF($M109="","",IF(COUNTIF(AcctCodesA,Sync!$AI109)=0,"ذی‌نفع چک تعریف‌نشده",""))</f>
        <v/>
      </c>
      <c r="S109">
        <f>IF($R109="","",Sync!$AG109&amp;"|"&amp;"5"&amp;RIGHT("00000"&amp;104,5))</f>
        <v/>
      </c>
      <c r="T109">
        <f>IF($S109="",0,COUNTIFS($S$6:$S$505,"&lt;"&amp;$S109)-COUNTIFS($S$6:$S$505,"&lt;"&amp;$S109,$R$6:$R$505,"")+1)</f>
        <v/>
      </c>
      <c r="V109">
        <f>IF($K109="","",IF(ISNUMBER(Sync!$AK109),Sync!$AK109,LEFT(Sync!$AK109,4)&amp;MID(Sync!$AK109,6,2)&amp;RIGHT(Sync!$AK109,2))&amp;"|"&amp;"4"&amp;RIGHT("00000"&amp;104,5))</f>
        <v/>
      </c>
      <c r="W109">
        <f>IF($V109="",0,COUNTIFS($V$6:$V$2005,"&lt;"&amp;$V109)-COUNTIFS($V$6:$V$2005,"&lt;"&amp;$V109,$K$6:$K$2005,"")+1)</f>
        <v/>
      </c>
      <c r="X109">
        <f>IF(Sync!$AX109="","",IF(OR(N(Sync!$AY109)=0,N(Sync!$AZ109)=0),"",ROUND(N(Sync!$AY109)*N(Sync!$AZ109),0)))</f>
        <v/>
      </c>
      <c r="Y109">
        <f>IF($X109="","",IF(OR(Sync!$AX109="",COUNTIF(AcctCodesA,Sync!$AX109)=0),"متفرقه",Sync!$AX109))</f>
        <v/>
      </c>
      <c r="Z109">
        <f>IF($X109="","","سبد و ظروف")</f>
        <v/>
      </c>
      <c r="AA109">
        <f>IF($X109="","",$Y109)</f>
        <v/>
      </c>
    </row>
    <row r="110">
      <c r="A110">
        <f>IF(Sync!$Z110="","",LEFT(UPPER(TRIM(Sync!$Z110)),6))</f>
        <v/>
      </c>
      <c r="B110">
        <f>IF($A110="","",IF(Sync!$AA110="","",Sync!$AA110))</f>
        <v/>
      </c>
      <c r="C110">
        <f>IF($A110="","",IF(Sync!$AB110="","",Sync!$AB110))</f>
        <v/>
      </c>
      <c r="D110">
        <f>IF($A110="","",IF(Sync!$AC110="","",Sync!$AC110))</f>
        <v/>
      </c>
      <c r="E110">
        <f>IF($A110="","",IF(Sync!$AD110="","",Sync!$AD110))</f>
        <v/>
      </c>
      <c r="F110">
        <f>IF($A110="","",IF(Sync!$AE110="",0,Sync!$AE110))</f>
        <v/>
      </c>
      <c r="G110">
        <f>IF($A110="","",IF(Sync!$AF110="",0,Sync!$AF110))</f>
        <v/>
      </c>
      <c r="H110">
        <f>IF(OR($A110="",ROUND($F110+$G110,2)=0),"",$F110+$G110)</f>
        <v/>
      </c>
      <c r="I110">
        <f>IF($H110="","",IF(ROUND($F110,2)&gt;0,$A110,IF($D110="شخصی قاسم","شخصی قاسم",IF($D110="هزینه","هزینه: "&amp;IF($E110="","متفرقه",$E110),IF($C110="پاس چک","چک پرداختی",IF(OR($B110="",COUNTIF(AcctCodesA,$B110)=0),"متفرقه",$B110))))))</f>
        <v/>
      </c>
      <c r="J110">
        <f>IF($H110="","",IF(ROUND($F110,2)&gt;0,IF($D110="شخصی قاسم","شخصی قاسم",IF($D110="هزینه","هزینه: "&amp;IF($E110="","متفرقه",$E110),IF(OR($B110="",COUNTIF(AcctCodesA,$B110)=0),"متفرقه",$B110))),$A110))</f>
        <v/>
      </c>
      <c r="K110">
        <f>IF($A110="","",IF(AND($B110&lt;&gt;"",COUNTIF(AcctCodesA,$B110)=0),"کد طرف در INFO تعریف نشده",IF(AND($D110="هزینه",$E110=""),"هزینه بدون زیرگروه",IF(AND($C110="پاس چک",OR(Sync!$AJ110="",COUNTIF(IssueNosA,Sync!$AJ110)=0)),"شماره چک پاس‌شده معتبر نیست",""))))</f>
        <v/>
      </c>
      <c r="M110">
        <f>IF(Sync!$AH110="","",Sync!$AH110)</f>
        <v/>
      </c>
      <c r="N110">
        <f>IF($M110="","",IF(OR(Sync!$AI110="",COUNTIF(AcctCodesA,Sync!$AI110)=0),"متفرقه",Sync!$AI110))</f>
        <v/>
      </c>
      <c r="O110">
        <f>IF($M110="","",$N110)</f>
        <v/>
      </c>
      <c r="P110">
        <f>IF($M110="","","چک پرداختی")</f>
        <v/>
      </c>
      <c r="R110">
        <f>IF($M110="","",IF(COUNTIF(AcctCodesA,Sync!$AI110)=0,"ذی‌نفع چک تعریف‌نشده",""))</f>
        <v/>
      </c>
      <c r="S110">
        <f>IF($R110="","",Sync!$AG110&amp;"|"&amp;"5"&amp;RIGHT("00000"&amp;105,5))</f>
        <v/>
      </c>
      <c r="T110">
        <f>IF($S110="",0,COUNTIFS($S$6:$S$505,"&lt;"&amp;$S110)-COUNTIFS($S$6:$S$505,"&lt;"&amp;$S110,$R$6:$R$505,"")+1)</f>
        <v/>
      </c>
      <c r="V110">
        <f>IF($K110="","",IF(ISNUMBER(Sync!$AK110),Sync!$AK110,LEFT(Sync!$AK110,4)&amp;MID(Sync!$AK110,6,2)&amp;RIGHT(Sync!$AK110,2))&amp;"|"&amp;"4"&amp;RIGHT("00000"&amp;105,5))</f>
        <v/>
      </c>
      <c r="W110">
        <f>IF($V110="",0,COUNTIFS($V$6:$V$2005,"&lt;"&amp;$V110)-COUNTIFS($V$6:$V$2005,"&lt;"&amp;$V110,$K$6:$K$2005,"")+1)</f>
        <v/>
      </c>
      <c r="X110">
        <f>IF(Sync!$AX110="","",IF(OR(N(Sync!$AY110)=0,N(Sync!$AZ110)=0),"",ROUND(N(Sync!$AY110)*N(Sync!$AZ110),0)))</f>
        <v/>
      </c>
      <c r="Y110">
        <f>IF($X110="","",IF(OR(Sync!$AX110="",COUNTIF(AcctCodesA,Sync!$AX110)=0),"متفرقه",Sync!$AX110))</f>
        <v/>
      </c>
      <c r="Z110">
        <f>IF($X110="","","سبد و ظروف")</f>
        <v/>
      </c>
      <c r="AA110">
        <f>IF($X110="","",$Y110)</f>
        <v/>
      </c>
    </row>
    <row r="111">
      <c r="A111">
        <f>IF(Sync!$Z111="","",LEFT(UPPER(TRIM(Sync!$Z111)),6))</f>
        <v/>
      </c>
      <c r="B111">
        <f>IF($A111="","",IF(Sync!$AA111="","",Sync!$AA111))</f>
        <v/>
      </c>
      <c r="C111">
        <f>IF($A111="","",IF(Sync!$AB111="","",Sync!$AB111))</f>
        <v/>
      </c>
      <c r="D111">
        <f>IF($A111="","",IF(Sync!$AC111="","",Sync!$AC111))</f>
        <v/>
      </c>
      <c r="E111">
        <f>IF($A111="","",IF(Sync!$AD111="","",Sync!$AD111))</f>
        <v/>
      </c>
      <c r="F111">
        <f>IF($A111="","",IF(Sync!$AE111="",0,Sync!$AE111))</f>
        <v/>
      </c>
      <c r="G111">
        <f>IF($A111="","",IF(Sync!$AF111="",0,Sync!$AF111))</f>
        <v/>
      </c>
      <c r="H111">
        <f>IF(OR($A111="",ROUND($F111+$G111,2)=0),"",$F111+$G111)</f>
        <v/>
      </c>
      <c r="I111">
        <f>IF($H111="","",IF(ROUND($F111,2)&gt;0,$A111,IF($D111="شخصی قاسم","شخصی قاسم",IF($D111="هزینه","هزینه: "&amp;IF($E111="","متفرقه",$E111),IF($C111="پاس چک","چک پرداختی",IF(OR($B111="",COUNTIF(AcctCodesA,$B111)=0),"متفرقه",$B111))))))</f>
        <v/>
      </c>
      <c r="J111">
        <f>IF($H111="","",IF(ROUND($F111,2)&gt;0,IF($D111="شخصی قاسم","شخصی قاسم",IF($D111="هزینه","هزینه: "&amp;IF($E111="","متفرقه",$E111),IF(OR($B111="",COUNTIF(AcctCodesA,$B111)=0),"متفرقه",$B111))),$A111))</f>
        <v/>
      </c>
      <c r="K111">
        <f>IF($A111="","",IF(AND($B111&lt;&gt;"",COUNTIF(AcctCodesA,$B111)=0),"کد طرف در INFO تعریف نشده",IF(AND($D111="هزینه",$E111=""),"هزینه بدون زیرگروه",IF(AND($C111="پاس چک",OR(Sync!$AJ111="",COUNTIF(IssueNosA,Sync!$AJ111)=0)),"شماره چک پاس‌شده معتبر نیست",""))))</f>
        <v/>
      </c>
      <c r="M111">
        <f>IF(Sync!$AH111="","",Sync!$AH111)</f>
        <v/>
      </c>
      <c r="N111">
        <f>IF($M111="","",IF(OR(Sync!$AI111="",COUNTIF(AcctCodesA,Sync!$AI111)=0),"متفرقه",Sync!$AI111))</f>
        <v/>
      </c>
      <c r="O111">
        <f>IF($M111="","",$N111)</f>
        <v/>
      </c>
      <c r="P111">
        <f>IF($M111="","","چک پرداختی")</f>
        <v/>
      </c>
      <c r="R111">
        <f>IF($M111="","",IF(COUNTIF(AcctCodesA,Sync!$AI111)=0,"ذی‌نفع چک تعریف‌نشده",""))</f>
        <v/>
      </c>
      <c r="S111">
        <f>IF($R111="","",Sync!$AG111&amp;"|"&amp;"5"&amp;RIGHT("00000"&amp;106,5))</f>
        <v/>
      </c>
      <c r="T111">
        <f>IF($S111="",0,COUNTIFS($S$6:$S$505,"&lt;"&amp;$S111)-COUNTIFS($S$6:$S$505,"&lt;"&amp;$S111,$R$6:$R$505,"")+1)</f>
        <v/>
      </c>
      <c r="V111">
        <f>IF($K111="","",IF(ISNUMBER(Sync!$AK111),Sync!$AK111,LEFT(Sync!$AK111,4)&amp;MID(Sync!$AK111,6,2)&amp;RIGHT(Sync!$AK111,2))&amp;"|"&amp;"4"&amp;RIGHT("00000"&amp;106,5))</f>
        <v/>
      </c>
      <c r="W111">
        <f>IF($V111="",0,COUNTIFS($V$6:$V$2005,"&lt;"&amp;$V111)-COUNTIFS($V$6:$V$2005,"&lt;"&amp;$V111,$K$6:$K$2005,"")+1)</f>
        <v/>
      </c>
      <c r="X111">
        <f>IF(Sync!$AX111="","",IF(OR(N(Sync!$AY111)=0,N(Sync!$AZ111)=0),"",ROUND(N(Sync!$AY111)*N(Sync!$AZ111),0)))</f>
        <v/>
      </c>
      <c r="Y111">
        <f>IF($X111="","",IF(OR(Sync!$AX111="",COUNTIF(AcctCodesA,Sync!$AX111)=0),"متفرقه",Sync!$AX111))</f>
        <v/>
      </c>
      <c r="Z111">
        <f>IF($X111="","","سبد و ظروف")</f>
        <v/>
      </c>
      <c r="AA111">
        <f>IF($X111="","",$Y111)</f>
        <v/>
      </c>
    </row>
    <row r="112">
      <c r="A112">
        <f>IF(Sync!$Z112="","",LEFT(UPPER(TRIM(Sync!$Z112)),6))</f>
        <v/>
      </c>
      <c r="B112">
        <f>IF($A112="","",IF(Sync!$AA112="","",Sync!$AA112))</f>
        <v/>
      </c>
      <c r="C112">
        <f>IF($A112="","",IF(Sync!$AB112="","",Sync!$AB112))</f>
        <v/>
      </c>
      <c r="D112">
        <f>IF($A112="","",IF(Sync!$AC112="","",Sync!$AC112))</f>
        <v/>
      </c>
      <c r="E112">
        <f>IF($A112="","",IF(Sync!$AD112="","",Sync!$AD112))</f>
        <v/>
      </c>
      <c r="F112">
        <f>IF($A112="","",IF(Sync!$AE112="",0,Sync!$AE112))</f>
        <v/>
      </c>
      <c r="G112">
        <f>IF($A112="","",IF(Sync!$AF112="",0,Sync!$AF112))</f>
        <v/>
      </c>
      <c r="H112">
        <f>IF(OR($A112="",ROUND($F112+$G112,2)=0),"",$F112+$G112)</f>
        <v/>
      </c>
      <c r="I112">
        <f>IF($H112="","",IF(ROUND($F112,2)&gt;0,$A112,IF($D112="شخصی قاسم","شخصی قاسم",IF($D112="هزینه","هزینه: "&amp;IF($E112="","متفرقه",$E112),IF($C112="پاس چک","چک پرداختی",IF(OR($B112="",COUNTIF(AcctCodesA,$B112)=0),"متفرقه",$B112))))))</f>
        <v/>
      </c>
      <c r="J112">
        <f>IF($H112="","",IF(ROUND($F112,2)&gt;0,IF($D112="شخصی قاسم","شخصی قاسم",IF($D112="هزینه","هزینه: "&amp;IF($E112="","متفرقه",$E112),IF(OR($B112="",COUNTIF(AcctCodesA,$B112)=0),"متفرقه",$B112))),$A112))</f>
        <v/>
      </c>
      <c r="K112">
        <f>IF($A112="","",IF(AND($B112&lt;&gt;"",COUNTIF(AcctCodesA,$B112)=0),"کد طرف در INFO تعریف نشده",IF(AND($D112="هزینه",$E112=""),"هزینه بدون زیرگروه",IF(AND($C112="پاس چک",OR(Sync!$AJ112="",COUNTIF(IssueNosA,Sync!$AJ112)=0)),"شماره چک پاس‌شده معتبر نیست",""))))</f>
        <v/>
      </c>
      <c r="M112">
        <f>IF(Sync!$AH112="","",Sync!$AH112)</f>
        <v/>
      </c>
      <c r="N112">
        <f>IF($M112="","",IF(OR(Sync!$AI112="",COUNTIF(AcctCodesA,Sync!$AI112)=0),"متفرقه",Sync!$AI112))</f>
        <v/>
      </c>
      <c r="O112">
        <f>IF($M112="","",$N112)</f>
        <v/>
      </c>
      <c r="P112">
        <f>IF($M112="","","چک پرداختی")</f>
        <v/>
      </c>
      <c r="R112">
        <f>IF($M112="","",IF(COUNTIF(AcctCodesA,Sync!$AI112)=0,"ذی‌نفع چک تعریف‌نشده",""))</f>
        <v/>
      </c>
      <c r="S112">
        <f>IF($R112="","",Sync!$AG112&amp;"|"&amp;"5"&amp;RIGHT("00000"&amp;107,5))</f>
        <v/>
      </c>
      <c r="T112">
        <f>IF($S112="",0,COUNTIFS($S$6:$S$505,"&lt;"&amp;$S112)-COUNTIFS($S$6:$S$505,"&lt;"&amp;$S112,$R$6:$R$505,"")+1)</f>
        <v/>
      </c>
      <c r="V112">
        <f>IF($K112="","",IF(ISNUMBER(Sync!$AK112),Sync!$AK112,LEFT(Sync!$AK112,4)&amp;MID(Sync!$AK112,6,2)&amp;RIGHT(Sync!$AK112,2))&amp;"|"&amp;"4"&amp;RIGHT("00000"&amp;107,5))</f>
        <v/>
      </c>
      <c r="W112">
        <f>IF($V112="",0,COUNTIFS($V$6:$V$2005,"&lt;"&amp;$V112)-COUNTIFS($V$6:$V$2005,"&lt;"&amp;$V112,$K$6:$K$2005,"")+1)</f>
        <v/>
      </c>
      <c r="X112">
        <f>IF(Sync!$AX112="","",IF(OR(N(Sync!$AY112)=0,N(Sync!$AZ112)=0),"",ROUND(N(Sync!$AY112)*N(Sync!$AZ112),0)))</f>
        <v/>
      </c>
      <c r="Y112">
        <f>IF($X112="","",IF(OR(Sync!$AX112="",COUNTIF(AcctCodesA,Sync!$AX112)=0),"متفرقه",Sync!$AX112))</f>
        <v/>
      </c>
      <c r="Z112">
        <f>IF($X112="","","سبد و ظروف")</f>
        <v/>
      </c>
      <c r="AA112">
        <f>IF($X112="","",$Y112)</f>
        <v/>
      </c>
    </row>
    <row r="113">
      <c r="A113">
        <f>IF(Sync!$Z113="","",LEFT(UPPER(TRIM(Sync!$Z113)),6))</f>
        <v/>
      </c>
      <c r="B113">
        <f>IF($A113="","",IF(Sync!$AA113="","",Sync!$AA113))</f>
        <v/>
      </c>
      <c r="C113">
        <f>IF($A113="","",IF(Sync!$AB113="","",Sync!$AB113))</f>
        <v/>
      </c>
      <c r="D113">
        <f>IF($A113="","",IF(Sync!$AC113="","",Sync!$AC113))</f>
        <v/>
      </c>
      <c r="E113">
        <f>IF($A113="","",IF(Sync!$AD113="","",Sync!$AD113))</f>
        <v/>
      </c>
      <c r="F113">
        <f>IF($A113="","",IF(Sync!$AE113="",0,Sync!$AE113))</f>
        <v/>
      </c>
      <c r="G113">
        <f>IF($A113="","",IF(Sync!$AF113="",0,Sync!$AF113))</f>
        <v/>
      </c>
      <c r="H113">
        <f>IF(OR($A113="",ROUND($F113+$G113,2)=0),"",$F113+$G113)</f>
        <v/>
      </c>
      <c r="I113">
        <f>IF($H113="","",IF(ROUND($F113,2)&gt;0,$A113,IF($D113="شخصی قاسم","شخصی قاسم",IF($D113="هزینه","هزینه: "&amp;IF($E113="","متفرقه",$E113),IF($C113="پاس چک","چک پرداختی",IF(OR($B113="",COUNTIF(AcctCodesA,$B113)=0),"متفرقه",$B113))))))</f>
        <v/>
      </c>
      <c r="J113">
        <f>IF($H113="","",IF(ROUND($F113,2)&gt;0,IF($D113="شخصی قاسم","شخصی قاسم",IF($D113="هزینه","هزینه: "&amp;IF($E113="","متفرقه",$E113),IF(OR($B113="",COUNTIF(AcctCodesA,$B113)=0),"متفرقه",$B113))),$A113))</f>
        <v/>
      </c>
      <c r="K113">
        <f>IF($A113="","",IF(AND($B113&lt;&gt;"",COUNTIF(AcctCodesA,$B113)=0),"کد طرف در INFO تعریف نشده",IF(AND($D113="هزینه",$E113=""),"هزینه بدون زیرگروه",IF(AND($C113="پاس چک",OR(Sync!$AJ113="",COUNTIF(IssueNosA,Sync!$AJ113)=0)),"شماره چک پاس‌شده معتبر نیست",""))))</f>
        <v/>
      </c>
      <c r="M113">
        <f>IF(Sync!$AH113="","",Sync!$AH113)</f>
        <v/>
      </c>
      <c r="N113">
        <f>IF($M113="","",IF(OR(Sync!$AI113="",COUNTIF(AcctCodesA,Sync!$AI113)=0),"متفرقه",Sync!$AI113))</f>
        <v/>
      </c>
      <c r="O113">
        <f>IF($M113="","",$N113)</f>
        <v/>
      </c>
      <c r="P113">
        <f>IF($M113="","","چک پرداختی")</f>
        <v/>
      </c>
      <c r="R113">
        <f>IF($M113="","",IF(COUNTIF(AcctCodesA,Sync!$AI113)=0,"ذی‌نفع چک تعریف‌نشده",""))</f>
        <v/>
      </c>
      <c r="S113">
        <f>IF($R113="","",Sync!$AG113&amp;"|"&amp;"5"&amp;RIGHT("00000"&amp;108,5))</f>
        <v/>
      </c>
      <c r="T113">
        <f>IF($S113="",0,COUNTIFS($S$6:$S$505,"&lt;"&amp;$S113)-COUNTIFS($S$6:$S$505,"&lt;"&amp;$S113,$R$6:$R$505,"")+1)</f>
        <v/>
      </c>
      <c r="V113">
        <f>IF($K113="","",IF(ISNUMBER(Sync!$AK113),Sync!$AK113,LEFT(Sync!$AK113,4)&amp;MID(Sync!$AK113,6,2)&amp;RIGHT(Sync!$AK113,2))&amp;"|"&amp;"4"&amp;RIGHT("00000"&amp;108,5))</f>
        <v/>
      </c>
      <c r="W113">
        <f>IF($V113="",0,COUNTIFS($V$6:$V$2005,"&lt;"&amp;$V113)-COUNTIFS($V$6:$V$2005,"&lt;"&amp;$V113,$K$6:$K$2005,"")+1)</f>
        <v/>
      </c>
      <c r="X113">
        <f>IF(Sync!$AX113="","",IF(OR(N(Sync!$AY113)=0,N(Sync!$AZ113)=0),"",ROUND(N(Sync!$AY113)*N(Sync!$AZ113),0)))</f>
        <v/>
      </c>
      <c r="Y113">
        <f>IF($X113="","",IF(OR(Sync!$AX113="",COUNTIF(AcctCodesA,Sync!$AX113)=0),"متفرقه",Sync!$AX113))</f>
        <v/>
      </c>
      <c r="Z113">
        <f>IF($X113="","","سبد و ظروف")</f>
        <v/>
      </c>
      <c r="AA113">
        <f>IF($X113="","",$Y113)</f>
        <v/>
      </c>
    </row>
    <row r="114">
      <c r="A114">
        <f>IF(Sync!$Z114="","",LEFT(UPPER(TRIM(Sync!$Z114)),6))</f>
        <v/>
      </c>
      <c r="B114">
        <f>IF($A114="","",IF(Sync!$AA114="","",Sync!$AA114))</f>
        <v/>
      </c>
      <c r="C114">
        <f>IF($A114="","",IF(Sync!$AB114="","",Sync!$AB114))</f>
        <v/>
      </c>
      <c r="D114">
        <f>IF($A114="","",IF(Sync!$AC114="","",Sync!$AC114))</f>
        <v/>
      </c>
      <c r="E114">
        <f>IF($A114="","",IF(Sync!$AD114="","",Sync!$AD114))</f>
        <v/>
      </c>
      <c r="F114">
        <f>IF($A114="","",IF(Sync!$AE114="",0,Sync!$AE114))</f>
        <v/>
      </c>
      <c r="G114">
        <f>IF($A114="","",IF(Sync!$AF114="",0,Sync!$AF114))</f>
        <v/>
      </c>
      <c r="H114">
        <f>IF(OR($A114="",ROUND($F114+$G114,2)=0),"",$F114+$G114)</f>
        <v/>
      </c>
      <c r="I114">
        <f>IF($H114="","",IF(ROUND($F114,2)&gt;0,$A114,IF($D114="شخصی قاسم","شخصی قاسم",IF($D114="هزینه","هزینه: "&amp;IF($E114="","متفرقه",$E114),IF($C114="پاس چک","چک پرداختی",IF(OR($B114="",COUNTIF(AcctCodesA,$B114)=0),"متفرقه",$B114))))))</f>
        <v/>
      </c>
      <c r="J114">
        <f>IF($H114="","",IF(ROUND($F114,2)&gt;0,IF($D114="شخصی قاسم","شخصی قاسم",IF($D114="هزینه","هزینه: "&amp;IF($E114="","متفرقه",$E114),IF(OR($B114="",COUNTIF(AcctCodesA,$B114)=0),"متفرقه",$B114))),$A114))</f>
        <v/>
      </c>
      <c r="K114">
        <f>IF($A114="","",IF(AND($B114&lt;&gt;"",COUNTIF(AcctCodesA,$B114)=0),"کد طرف در INFO تعریف نشده",IF(AND($D114="هزینه",$E114=""),"هزینه بدون زیرگروه",IF(AND($C114="پاس چک",OR(Sync!$AJ114="",COUNTIF(IssueNosA,Sync!$AJ114)=0)),"شماره چک پاس‌شده معتبر نیست",""))))</f>
        <v/>
      </c>
      <c r="M114">
        <f>IF(Sync!$AH114="","",Sync!$AH114)</f>
        <v/>
      </c>
      <c r="N114">
        <f>IF($M114="","",IF(OR(Sync!$AI114="",COUNTIF(AcctCodesA,Sync!$AI114)=0),"متفرقه",Sync!$AI114))</f>
        <v/>
      </c>
      <c r="O114">
        <f>IF($M114="","",$N114)</f>
        <v/>
      </c>
      <c r="P114">
        <f>IF($M114="","","چک پرداختی")</f>
        <v/>
      </c>
      <c r="R114">
        <f>IF($M114="","",IF(COUNTIF(AcctCodesA,Sync!$AI114)=0,"ذی‌نفع چک تعریف‌نشده",""))</f>
        <v/>
      </c>
      <c r="S114">
        <f>IF($R114="","",Sync!$AG114&amp;"|"&amp;"5"&amp;RIGHT("00000"&amp;109,5))</f>
        <v/>
      </c>
      <c r="T114">
        <f>IF($S114="",0,COUNTIFS($S$6:$S$505,"&lt;"&amp;$S114)-COUNTIFS($S$6:$S$505,"&lt;"&amp;$S114,$R$6:$R$505,"")+1)</f>
        <v/>
      </c>
      <c r="V114">
        <f>IF($K114="","",IF(ISNUMBER(Sync!$AK114),Sync!$AK114,LEFT(Sync!$AK114,4)&amp;MID(Sync!$AK114,6,2)&amp;RIGHT(Sync!$AK114,2))&amp;"|"&amp;"4"&amp;RIGHT("00000"&amp;109,5))</f>
        <v/>
      </c>
      <c r="W114">
        <f>IF($V114="",0,COUNTIFS($V$6:$V$2005,"&lt;"&amp;$V114)-COUNTIFS($V$6:$V$2005,"&lt;"&amp;$V114,$K$6:$K$2005,"")+1)</f>
        <v/>
      </c>
      <c r="X114">
        <f>IF(Sync!$AX114="","",IF(OR(N(Sync!$AY114)=0,N(Sync!$AZ114)=0),"",ROUND(N(Sync!$AY114)*N(Sync!$AZ114),0)))</f>
        <v/>
      </c>
      <c r="Y114">
        <f>IF($X114="","",IF(OR(Sync!$AX114="",COUNTIF(AcctCodesA,Sync!$AX114)=0),"متفرقه",Sync!$AX114))</f>
        <v/>
      </c>
      <c r="Z114">
        <f>IF($X114="","","سبد و ظروف")</f>
        <v/>
      </c>
      <c r="AA114">
        <f>IF($X114="","",$Y114)</f>
        <v/>
      </c>
    </row>
    <row r="115">
      <c r="A115">
        <f>IF(Sync!$Z115="","",LEFT(UPPER(TRIM(Sync!$Z115)),6))</f>
        <v/>
      </c>
      <c r="B115">
        <f>IF($A115="","",IF(Sync!$AA115="","",Sync!$AA115))</f>
        <v/>
      </c>
      <c r="C115">
        <f>IF($A115="","",IF(Sync!$AB115="","",Sync!$AB115))</f>
        <v/>
      </c>
      <c r="D115">
        <f>IF($A115="","",IF(Sync!$AC115="","",Sync!$AC115))</f>
        <v/>
      </c>
      <c r="E115">
        <f>IF($A115="","",IF(Sync!$AD115="","",Sync!$AD115))</f>
        <v/>
      </c>
      <c r="F115">
        <f>IF($A115="","",IF(Sync!$AE115="",0,Sync!$AE115))</f>
        <v/>
      </c>
      <c r="G115">
        <f>IF($A115="","",IF(Sync!$AF115="",0,Sync!$AF115))</f>
        <v/>
      </c>
      <c r="H115">
        <f>IF(OR($A115="",ROUND($F115+$G115,2)=0),"",$F115+$G115)</f>
        <v/>
      </c>
      <c r="I115">
        <f>IF($H115="","",IF(ROUND($F115,2)&gt;0,$A115,IF($D115="شخصی قاسم","شخصی قاسم",IF($D115="هزینه","هزینه: "&amp;IF($E115="","متفرقه",$E115),IF($C115="پاس چک","چک پرداختی",IF(OR($B115="",COUNTIF(AcctCodesA,$B115)=0),"متفرقه",$B115))))))</f>
        <v/>
      </c>
      <c r="J115">
        <f>IF($H115="","",IF(ROUND($F115,2)&gt;0,IF($D115="شخصی قاسم","شخصی قاسم",IF($D115="هزینه","هزینه: "&amp;IF($E115="","متفرقه",$E115),IF(OR($B115="",COUNTIF(AcctCodesA,$B115)=0),"متفرقه",$B115))),$A115))</f>
        <v/>
      </c>
      <c r="K115">
        <f>IF($A115="","",IF(AND($B115&lt;&gt;"",COUNTIF(AcctCodesA,$B115)=0),"کد طرف در INFO تعریف نشده",IF(AND($D115="هزینه",$E115=""),"هزینه بدون زیرگروه",IF(AND($C115="پاس چک",OR(Sync!$AJ115="",COUNTIF(IssueNosA,Sync!$AJ115)=0)),"شماره چک پاس‌شده معتبر نیست",""))))</f>
        <v/>
      </c>
      <c r="M115">
        <f>IF(Sync!$AH115="","",Sync!$AH115)</f>
        <v/>
      </c>
      <c r="N115">
        <f>IF($M115="","",IF(OR(Sync!$AI115="",COUNTIF(AcctCodesA,Sync!$AI115)=0),"متفرقه",Sync!$AI115))</f>
        <v/>
      </c>
      <c r="O115">
        <f>IF($M115="","",$N115)</f>
        <v/>
      </c>
      <c r="P115">
        <f>IF($M115="","","چک پرداختی")</f>
        <v/>
      </c>
      <c r="R115">
        <f>IF($M115="","",IF(COUNTIF(AcctCodesA,Sync!$AI115)=0,"ذی‌نفع چک تعریف‌نشده",""))</f>
        <v/>
      </c>
      <c r="S115">
        <f>IF($R115="","",Sync!$AG115&amp;"|"&amp;"5"&amp;RIGHT("00000"&amp;110,5))</f>
        <v/>
      </c>
      <c r="T115">
        <f>IF($S115="",0,COUNTIFS($S$6:$S$505,"&lt;"&amp;$S115)-COUNTIFS($S$6:$S$505,"&lt;"&amp;$S115,$R$6:$R$505,"")+1)</f>
        <v/>
      </c>
      <c r="V115">
        <f>IF($K115="","",IF(ISNUMBER(Sync!$AK115),Sync!$AK115,LEFT(Sync!$AK115,4)&amp;MID(Sync!$AK115,6,2)&amp;RIGHT(Sync!$AK115,2))&amp;"|"&amp;"4"&amp;RIGHT("00000"&amp;110,5))</f>
        <v/>
      </c>
      <c r="W115">
        <f>IF($V115="",0,COUNTIFS($V$6:$V$2005,"&lt;"&amp;$V115)-COUNTIFS($V$6:$V$2005,"&lt;"&amp;$V115,$K$6:$K$2005,"")+1)</f>
        <v/>
      </c>
      <c r="X115">
        <f>IF(Sync!$AX115="","",IF(OR(N(Sync!$AY115)=0,N(Sync!$AZ115)=0),"",ROUND(N(Sync!$AY115)*N(Sync!$AZ115),0)))</f>
        <v/>
      </c>
      <c r="Y115">
        <f>IF($X115="","",IF(OR(Sync!$AX115="",COUNTIF(AcctCodesA,Sync!$AX115)=0),"متفرقه",Sync!$AX115))</f>
        <v/>
      </c>
      <c r="Z115">
        <f>IF($X115="","","سبد و ظروف")</f>
        <v/>
      </c>
      <c r="AA115">
        <f>IF($X115="","",$Y115)</f>
        <v/>
      </c>
    </row>
    <row r="116">
      <c r="A116">
        <f>IF(Sync!$Z116="","",LEFT(UPPER(TRIM(Sync!$Z116)),6))</f>
        <v/>
      </c>
      <c r="B116">
        <f>IF($A116="","",IF(Sync!$AA116="","",Sync!$AA116))</f>
        <v/>
      </c>
      <c r="C116">
        <f>IF($A116="","",IF(Sync!$AB116="","",Sync!$AB116))</f>
        <v/>
      </c>
      <c r="D116">
        <f>IF($A116="","",IF(Sync!$AC116="","",Sync!$AC116))</f>
        <v/>
      </c>
      <c r="E116">
        <f>IF($A116="","",IF(Sync!$AD116="","",Sync!$AD116))</f>
        <v/>
      </c>
      <c r="F116">
        <f>IF($A116="","",IF(Sync!$AE116="",0,Sync!$AE116))</f>
        <v/>
      </c>
      <c r="G116">
        <f>IF($A116="","",IF(Sync!$AF116="",0,Sync!$AF116))</f>
        <v/>
      </c>
      <c r="H116">
        <f>IF(OR($A116="",ROUND($F116+$G116,2)=0),"",$F116+$G116)</f>
        <v/>
      </c>
      <c r="I116">
        <f>IF($H116="","",IF(ROUND($F116,2)&gt;0,$A116,IF($D116="شخصی قاسم","شخصی قاسم",IF($D116="هزینه","هزینه: "&amp;IF($E116="","متفرقه",$E116),IF($C116="پاس چک","چک پرداختی",IF(OR($B116="",COUNTIF(AcctCodesA,$B116)=0),"متفرقه",$B116))))))</f>
        <v/>
      </c>
      <c r="J116">
        <f>IF($H116="","",IF(ROUND($F116,2)&gt;0,IF($D116="شخصی قاسم","شخصی قاسم",IF($D116="هزینه","هزینه: "&amp;IF($E116="","متفرقه",$E116),IF(OR($B116="",COUNTIF(AcctCodesA,$B116)=0),"متفرقه",$B116))),$A116))</f>
        <v/>
      </c>
      <c r="K116">
        <f>IF($A116="","",IF(AND($B116&lt;&gt;"",COUNTIF(AcctCodesA,$B116)=0),"کد طرف در INFO تعریف نشده",IF(AND($D116="هزینه",$E116=""),"هزینه بدون زیرگروه",IF(AND($C116="پاس چک",OR(Sync!$AJ116="",COUNTIF(IssueNosA,Sync!$AJ116)=0)),"شماره چک پاس‌شده معتبر نیست",""))))</f>
        <v/>
      </c>
      <c r="M116">
        <f>IF(Sync!$AH116="","",Sync!$AH116)</f>
        <v/>
      </c>
      <c r="N116">
        <f>IF($M116="","",IF(OR(Sync!$AI116="",COUNTIF(AcctCodesA,Sync!$AI116)=0),"متفرقه",Sync!$AI116))</f>
        <v/>
      </c>
      <c r="O116">
        <f>IF($M116="","",$N116)</f>
        <v/>
      </c>
      <c r="P116">
        <f>IF($M116="","","چک پرداختی")</f>
        <v/>
      </c>
      <c r="R116">
        <f>IF($M116="","",IF(COUNTIF(AcctCodesA,Sync!$AI116)=0,"ذی‌نفع چک تعریف‌نشده",""))</f>
        <v/>
      </c>
      <c r="S116">
        <f>IF($R116="","",Sync!$AG116&amp;"|"&amp;"5"&amp;RIGHT("00000"&amp;111,5))</f>
        <v/>
      </c>
      <c r="T116">
        <f>IF($S116="",0,COUNTIFS($S$6:$S$505,"&lt;"&amp;$S116)-COUNTIFS($S$6:$S$505,"&lt;"&amp;$S116,$R$6:$R$505,"")+1)</f>
        <v/>
      </c>
      <c r="V116">
        <f>IF($K116="","",IF(ISNUMBER(Sync!$AK116),Sync!$AK116,LEFT(Sync!$AK116,4)&amp;MID(Sync!$AK116,6,2)&amp;RIGHT(Sync!$AK116,2))&amp;"|"&amp;"4"&amp;RIGHT("00000"&amp;111,5))</f>
        <v/>
      </c>
      <c r="W116">
        <f>IF($V116="",0,COUNTIFS($V$6:$V$2005,"&lt;"&amp;$V116)-COUNTIFS($V$6:$V$2005,"&lt;"&amp;$V116,$K$6:$K$2005,"")+1)</f>
        <v/>
      </c>
      <c r="X116">
        <f>IF(Sync!$AX116="","",IF(OR(N(Sync!$AY116)=0,N(Sync!$AZ116)=0),"",ROUND(N(Sync!$AY116)*N(Sync!$AZ116),0)))</f>
        <v/>
      </c>
      <c r="Y116">
        <f>IF($X116="","",IF(OR(Sync!$AX116="",COUNTIF(AcctCodesA,Sync!$AX116)=0),"متفرقه",Sync!$AX116))</f>
        <v/>
      </c>
      <c r="Z116">
        <f>IF($X116="","","سبد و ظروف")</f>
        <v/>
      </c>
      <c r="AA116">
        <f>IF($X116="","",$Y116)</f>
        <v/>
      </c>
    </row>
    <row r="117">
      <c r="A117">
        <f>IF(Sync!$Z117="","",LEFT(UPPER(TRIM(Sync!$Z117)),6))</f>
        <v/>
      </c>
      <c r="B117">
        <f>IF($A117="","",IF(Sync!$AA117="","",Sync!$AA117))</f>
        <v/>
      </c>
      <c r="C117">
        <f>IF($A117="","",IF(Sync!$AB117="","",Sync!$AB117))</f>
        <v/>
      </c>
      <c r="D117">
        <f>IF($A117="","",IF(Sync!$AC117="","",Sync!$AC117))</f>
        <v/>
      </c>
      <c r="E117">
        <f>IF($A117="","",IF(Sync!$AD117="","",Sync!$AD117))</f>
        <v/>
      </c>
      <c r="F117">
        <f>IF($A117="","",IF(Sync!$AE117="",0,Sync!$AE117))</f>
        <v/>
      </c>
      <c r="G117">
        <f>IF($A117="","",IF(Sync!$AF117="",0,Sync!$AF117))</f>
        <v/>
      </c>
      <c r="H117">
        <f>IF(OR($A117="",ROUND($F117+$G117,2)=0),"",$F117+$G117)</f>
        <v/>
      </c>
      <c r="I117">
        <f>IF($H117="","",IF(ROUND($F117,2)&gt;0,$A117,IF($D117="شخصی قاسم","شخصی قاسم",IF($D117="هزینه","هزینه: "&amp;IF($E117="","متفرقه",$E117),IF($C117="پاس چک","چک پرداختی",IF(OR($B117="",COUNTIF(AcctCodesA,$B117)=0),"متفرقه",$B117))))))</f>
        <v/>
      </c>
      <c r="J117">
        <f>IF($H117="","",IF(ROUND($F117,2)&gt;0,IF($D117="شخصی قاسم","شخصی قاسم",IF($D117="هزینه","هزینه: "&amp;IF($E117="","متفرقه",$E117),IF(OR($B117="",COUNTIF(AcctCodesA,$B117)=0),"متفرقه",$B117))),$A117))</f>
        <v/>
      </c>
      <c r="K117">
        <f>IF($A117="","",IF(AND($B117&lt;&gt;"",COUNTIF(AcctCodesA,$B117)=0),"کد طرف در INFO تعریف نشده",IF(AND($D117="هزینه",$E117=""),"هزینه بدون زیرگروه",IF(AND($C117="پاس چک",OR(Sync!$AJ117="",COUNTIF(IssueNosA,Sync!$AJ117)=0)),"شماره چک پاس‌شده معتبر نیست",""))))</f>
        <v/>
      </c>
      <c r="M117">
        <f>IF(Sync!$AH117="","",Sync!$AH117)</f>
        <v/>
      </c>
      <c r="N117">
        <f>IF($M117="","",IF(OR(Sync!$AI117="",COUNTIF(AcctCodesA,Sync!$AI117)=0),"متفرقه",Sync!$AI117))</f>
        <v/>
      </c>
      <c r="O117">
        <f>IF($M117="","",$N117)</f>
        <v/>
      </c>
      <c r="P117">
        <f>IF($M117="","","چک پرداختی")</f>
        <v/>
      </c>
      <c r="R117">
        <f>IF($M117="","",IF(COUNTIF(AcctCodesA,Sync!$AI117)=0,"ذی‌نفع چک تعریف‌نشده",""))</f>
        <v/>
      </c>
      <c r="S117">
        <f>IF($R117="","",Sync!$AG117&amp;"|"&amp;"5"&amp;RIGHT("00000"&amp;112,5))</f>
        <v/>
      </c>
      <c r="T117">
        <f>IF($S117="",0,COUNTIFS($S$6:$S$505,"&lt;"&amp;$S117)-COUNTIFS($S$6:$S$505,"&lt;"&amp;$S117,$R$6:$R$505,"")+1)</f>
        <v/>
      </c>
      <c r="V117">
        <f>IF($K117="","",IF(ISNUMBER(Sync!$AK117),Sync!$AK117,LEFT(Sync!$AK117,4)&amp;MID(Sync!$AK117,6,2)&amp;RIGHT(Sync!$AK117,2))&amp;"|"&amp;"4"&amp;RIGHT("00000"&amp;112,5))</f>
        <v/>
      </c>
      <c r="W117">
        <f>IF($V117="",0,COUNTIFS($V$6:$V$2005,"&lt;"&amp;$V117)-COUNTIFS($V$6:$V$2005,"&lt;"&amp;$V117,$K$6:$K$2005,"")+1)</f>
        <v/>
      </c>
      <c r="X117">
        <f>IF(Sync!$AX117="","",IF(OR(N(Sync!$AY117)=0,N(Sync!$AZ117)=0),"",ROUND(N(Sync!$AY117)*N(Sync!$AZ117),0)))</f>
        <v/>
      </c>
      <c r="Y117">
        <f>IF($X117="","",IF(OR(Sync!$AX117="",COUNTIF(AcctCodesA,Sync!$AX117)=0),"متفرقه",Sync!$AX117))</f>
        <v/>
      </c>
      <c r="Z117">
        <f>IF($X117="","","سبد و ظروف")</f>
        <v/>
      </c>
      <c r="AA117">
        <f>IF($X117="","",$Y117)</f>
        <v/>
      </c>
    </row>
    <row r="118">
      <c r="A118">
        <f>IF(Sync!$Z118="","",LEFT(UPPER(TRIM(Sync!$Z118)),6))</f>
        <v/>
      </c>
      <c r="B118">
        <f>IF($A118="","",IF(Sync!$AA118="","",Sync!$AA118))</f>
        <v/>
      </c>
      <c r="C118">
        <f>IF($A118="","",IF(Sync!$AB118="","",Sync!$AB118))</f>
        <v/>
      </c>
      <c r="D118">
        <f>IF($A118="","",IF(Sync!$AC118="","",Sync!$AC118))</f>
        <v/>
      </c>
      <c r="E118">
        <f>IF($A118="","",IF(Sync!$AD118="","",Sync!$AD118))</f>
        <v/>
      </c>
      <c r="F118">
        <f>IF($A118="","",IF(Sync!$AE118="",0,Sync!$AE118))</f>
        <v/>
      </c>
      <c r="G118">
        <f>IF($A118="","",IF(Sync!$AF118="",0,Sync!$AF118))</f>
        <v/>
      </c>
      <c r="H118">
        <f>IF(OR($A118="",ROUND($F118+$G118,2)=0),"",$F118+$G118)</f>
        <v/>
      </c>
      <c r="I118">
        <f>IF($H118="","",IF(ROUND($F118,2)&gt;0,$A118,IF($D118="شخصی قاسم","شخصی قاسم",IF($D118="هزینه","هزینه: "&amp;IF($E118="","متفرقه",$E118),IF($C118="پاس چک","چک پرداختی",IF(OR($B118="",COUNTIF(AcctCodesA,$B118)=0),"متفرقه",$B118))))))</f>
        <v/>
      </c>
      <c r="J118">
        <f>IF($H118="","",IF(ROUND($F118,2)&gt;0,IF($D118="شخصی قاسم","شخصی قاسم",IF($D118="هزینه","هزینه: "&amp;IF($E118="","متفرقه",$E118),IF(OR($B118="",COUNTIF(AcctCodesA,$B118)=0),"متفرقه",$B118))),$A118))</f>
        <v/>
      </c>
      <c r="K118">
        <f>IF($A118="","",IF(AND($B118&lt;&gt;"",COUNTIF(AcctCodesA,$B118)=0),"کد طرف در INFO تعریف نشده",IF(AND($D118="هزینه",$E118=""),"هزینه بدون زیرگروه",IF(AND($C118="پاس چک",OR(Sync!$AJ118="",COUNTIF(IssueNosA,Sync!$AJ118)=0)),"شماره چک پاس‌شده معتبر نیست",""))))</f>
        <v/>
      </c>
      <c r="M118">
        <f>IF(Sync!$AH118="","",Sync!$AH118)</f>
        <v/>
      </c>
      <c r="N118">
        <f>IF($M118="","",IF(OR(Sync!$AI118="",COUNTIF(AcctCodesA,Sync!$AI118)=0),"متفرقه",Sync!$AI118))</f>
        <v/>
      </c>
      <c r="O118">
        <f>IF($M118="","",$N118)</f>
        <v/>
      </c>
      <c r="P118">
        <f>IF($M118="","","چک پرداختی")</f>
        <v/>
      </c>
      <c r="R118">
        <f>IF($M118="","",IF(COUNTIF(AcctCodesA,Sync!$AI118)=0,"ذی‌نفع چک تعریف‌نشده",""))</f>
        <v/>
      </c>
      <c r="S118">
        <f>IF($R118="","",Sync!$AG118&amp;"|"&amp;"5"&amp;RIGHT("00000"&amp;113,5))</f>
        <v/>
      </c>
      <c r="T118">
        <f>IF($S118="",0,COUNTIFS($S$6:$S$505,"&lt;"&amp;$S118)-COUNTIFS($S$6:$S$505,"&lt;"&amp;$S118,$R$6:$R$505,"")+1)</f>
        <v/>
      </c>
      <c r="V118">
        <f>IF($K118="","",IF(ISNUMBER(Sync!$AK118),Sync!$AK118,LEFT(Sync!$AK118,4)&amp;MID(Sync!$AK118,6,2)&amp;RIGHT(Sync!$AK118,2))&amp;"|"&amp;"4"&amp;RIGHT("00000"&amp;113,5))</f>
        <v/>
      </c>
      <c r="W118">
        <f>IF($V118="",0,COUNTIFS($V$6:$V$2005,"&lt;"&amp;$V118)-COUNTIFS($V$6:$V$2005,"&lt;"&amp;$V118,$K$6:$K$2005,"")+1)</f>
        <v/>
      </c>
      <c r="X118">
        <f>IF(Sync!$AX118="","",IF(OR(N(Sync!$AY118)=0,N(Sync!$AZ118)=0),"",ROUND(N(Sync!$AY118)*N(Sync!$AZ118),0)))</f>
        <v/>
      </c>
      <c r="Y118">
        <f>IF($X118="","",IF(OR(Sync!$AX118="",COUNTIF(AcctCodesA,Sync!$AX118)=0),"متفرقه",Sync!$AX118))</f>
        <v/>
      </c>
      <c r="Z118">
        <f>IF($X118="","","سبد و ظروف")</f>
        <v/>
      </c>
      <c r="AA118">
        <f>IF($X118="","",$Y118)</f>
        <v/>
      </c>
    </row>
    <row r="119">
      <c r="A119">
        <f>IF(Sync!$Z119="","",LEFT(UPPER(TRIM(Sync!$Z119)),6))</f>
        <v/>
      </c>
      <c r="B119">
        <f>IF($A119="","",IF(Sync!$AA119="","",Sync!$AA119))</f>
        <v/>
      </c>
      <c r="C119">
        <f>IF($A119="","",IF(Sync!$AB119="","",Sync!$AB119))</f>
        <v/>
      </c>
      <c r="D119">
        <f>IF($A119="","",IF(Sync!$AC119="","",Sync!$AC119))</f>
        <v/>
      </c>
      <c r="E119">
        <f>IF($A119="","",IF(Sync!$AD119="","",Sync!$AD119))</f>
        <v/>
      </c>
      <c r="F119">
        <f>IF($A119="","",IF(Sync!$AE119="",0,Sync!$AE119))</f>
        <v/>
      </c>
      <c r="G119">
        <f>IF($A119="","",IF(Sync!$AF119="",0,Sync!$AF119))</f>
        <v/>
      </c>
      <c r="H119">
        <f>IF(OR($A119="",ROUND($F119+$G119,2)=0),"",$F119+$G119)</f>
        <v/>
      </c>
      <c r="I119">
        <f>IF($H119="","",IF(ROUND($F119,2)&gt;0,$A119,IF($D119="شخصی قاسم","شخصی قاسم",IF($D119="هزینه","هزینه: "&amp;IF($E119="","متفرقه",$E119),IF($C119="پاس چک","چک پرداختی",IF(OR($B119="",COUNTIF(AcctCodesA,$B119)=0),"متفرقه",$B119))))))</f>
        <v/>
      </c>
      <c r="J119">
        <f>IF($H119="","",IF(ROUND($F119,2)&gt;0,IF($D119="شخصی قاسم","شخصی قاسم",IF($D119="هزینه","هزینه: "&amp;IF($E119="","متفرقه",$E119),IF(OR($B119="",COUNTIF(AcctCodesA,$B119)=0),"متفرقه",$B119))),$A119))</f>
        <v/>
      </c>
      <c r="K119">
        <f>IF($A119="","",IF(AND($B119&lt;&gt;"",COUNTIF(AcctCodesA,$B119)=0),"کد طرف در INFO تعریف نشده",IF(AND($D119="هزینه",$E119=""),"هزینه بدون زیرگروه",IF(AND($C119="پاس چک",OR(Sync!$AJ119="",COUNTIF(IssueNosA,Sync!$AJ119)=0)),"شماره چک پاس‌شده معتبر نیست",""))))</f>
        <v/>
      </c>
      <c r="M119">
        <f>IF(Sync!$AH119="","",Sync!$AH119)</f>
        <v/>
      </c>
      <c r="N119">
        <f>IF($M119="","",IF(OR(Sync!$AI119="",COUNTIF(AcctCodesA,Sync!$AI119)=0),"متفرقه",Sync!$AI119))</f>
        <v/>
      </c>
      <c r="O119">
        <f>IF($M119="","",$N119)</f>
        <v/>
      </c>
      <c r="P119">
        <f>IF($M119="","","چک پرداختی")</f>
        <v/>
      </c>
      <c r="R119">
        <f>IF($M119="","",IF(COUNTIF(AcctCodesA,Sync!$AI119)=0,"ذی‌نفع چک تعریف‌نشده",""))</f>
        <v/>
      </c>
      <c r="S119">
        <f>IF($R119="","",Sync!$AG119&amp;"|"&amp;"5"&amp;RIGHT("00000"&amp;114,5))</f>
        <v/>
      </c>
      <c r="T119">
        <f>IF($S119="",0,COUNTIFS($S$6:$S$505,"&lt;"&amp;$S119)-COUNTIFS($S$6:$S$505,"&lt;"&amp;$S119,$R$6:$R$505,"")+1)</f>
        <v/>
      </c>
      <c r="V119">
        <f>IF($K119="","",IF(ISNUMBER(Sync!$AK119),Sync!$AK119,LEFT(Sync!$AK119,4)&amp;MID(Sync!$AK119,6,2)&amp;RIGHT(Sync!$AK119,2))&amp;"|"&amp;"4"&amp;RIGHT("00000"&amp;114,5))</f>
        <v/>
      </c>
      <c r="W119">
        <f>IF($V119="",0,COUNTIFS($V$6:$V$2005,"&lt;"&amp;$V119)-COUNTIFS($V$6:$V$2005,"&lt;"&amp;$V119,$K$6:$K$2005,"")+1)</f>
        <v/>
      </c>
      <c r="X119">
        <f>IF(Sync!$AX119="","",IF(OR(N(Sync!$AY119)=0,N(Sync!$AZ119)=0),"",ROUND(N(Sync!$AY119)*N(Sync!$AZ119),0)))</f>
        <v/>
      </c>
      <c r="Y119">
        <f>IF($X119="","",IF(OR(Sync!$AX119="",COUNTIF(AcctCodesA,Sync!$AX119)=0),"متفرقه",Sync!$AX119))</f>
        <v/>
      </c>
      <c r="Z119">
        <f>IF($X119="","","سبد و ظروف")</f>
        <v/>
      </c>
      <c r="AA119">
        <f>IF($X119="","",$Y119)</f>
        <v/>
      </c>
    </row>
    <row r="120">
      <c r="A120">
        <f>IF(Sync!$Z120="","",LEFT(UPPER(TRIM(Sync!$Z120)),6))</f>
        <v/>
      </c>
      <c r="B120">
        <f>IF($A120="","",IF(Sync!$AA120="","",Sync!$AA120))</f>
        <v/>
      </c>
      <c r="C120">
        <f>IF($A120="","",IF(Sync!$AB120="","",Sync!$AB120))</f>
        <v/>
      </c>
      <c r="D120">
        <f>IF($A120="","",IF(Sync!$AC120="","",Sync!$AC120))</f>
        <v/>
      </c>
      <c r="E120">
        <f>IF($A120="","",IF(Sync!$AD120="","",Sync!$AD120))</f>
        <v/>
      </c>
      <c r="F120">
        <f>IF($A120="","",IF(Sync!$AE120="",0,Sync!$AE120))</f>
        <v/>
      </c>
      <c r="G120">
        <f>IF($A120="","",IF(Sync!$AF120="",0,Sync!$AF120))</f>
        <v/>
      </c>
      <c r="H120">
        <f>IF(OR($A120="",ROUND($F120+$G120,2)=0),"",$F120+$G120)</f>
        <v/>
      </c>
      <c r="I120">
        <f>IF($H120="","",IF(ROUND($F120,2)&gt;0,$A120,IF($D120="شخصی قاسم","شخصی قاسم",IF($D120="هزینه","هزینه: "&amp;IF($E120="","متفرقه",$E120),IF($C120="پاس چک","چک پرداختی",IF(OR($B120="",COUNTIF(AcctCodesA,$B120)=0),"متفرقه",$B120))))))</f>
        <v/>
      </c>
      <c r="J120">
        <f>IF($H120="","",IF(ROUND($F120,2)&gt;0,IF($D120="شخصی قاسم","شخصی قاسم",IF($D120="هزینه","هزینه: "&amp;IF($E120="","متفرقه",$E120),IF(OR($B120="",COUNTIF(AcctCodesA,$B120)=0),"متفرقه",$B120))),$A120))</f>
        <v/>
      </c>
      <c r="K120">
        <f>IF($A120="","",IF(AND($B120&lt;&gt;"",COUNTIF(AcctCodesA,$B120)=0),"کد طرف در INFO تعریف نشده",IF(AND($D120="هزینه",$E120=""),"هزینه بدون زیرگروه",IF(AND($C120="پاس چک",OR(Sync!$AJ120="",COUNTIF(IssueNosA,Sync!$AJ120)=0)),"شماره چک پاس‌شده معتبر نیست",""))))</f>
        <v/>
      </c>
      <c r="M120">
        <f>IF(Sync!$AH120="","",Sync!$AH120)</f>
        <v/>
      </c>
      <c r="N120">
        <f>IF($M120="","",IF(OR(Sync!$AI120="",COUNTIF(AcctCodesA,Sync!$AI120)=0),"متفرقه",Sync!$AI120))</f>
        <v/>
      </c>
      <c r="O120">
        <f>IF($M120="","",$N120)</f>
        <v/>
      </c>
      <c r="P120">
        <f>IF($M120="","","چک پرداختی")</f>
        <v/>
      </c>
      <c r="R120">
        <f>IF($M120="","",IF(COUNTIF(AcctCodesA,Sync!$AI120)=0,"ذی‌نفع چک تعریف‌نشده",""))</f>
        <v/>
      </c>
      <c r="S120">
        <f>IF($R120="","",Sync!$AG120&amp;"|"&amp;"5"&amp;RIGHT("00000"&amp;115,5))</f>
        <v/>
      </c>
      <c r="T120">
        <f>IF($S120="",0,COUNTIFS($S$6:$S$505,"&lt;"&amp;$S120)-COUNTIFS($S$6:$S$505,"&lt;"&amp;$S120,$R$6:$R$505,"")+1)</f>
        <v/>
      </c>
      <c r="V120">
        <f>IF($K120="","",IF(ISNUMBER(Sync!$AK120),Sync!$AK120,LEFT(Sync!$AK120,4)&amp;MID(Sync!$AK120,6,2)&amp;RIGHT(Sync!$AK120,2))&amp;"|"&amp;"4"&amp;RIGHT("00000"&amp;115,5))</f>
        <v/>
      </c>
      <c r="W120">
        <f>IF($V120="",0,COUNTIFS($V$6:$V$2005,"&lt;"&amp;$V120)-COUNTIFS($V$6:$V$2005,"&lt;"&amp;$V120,$K$6:$K$2005,"")+1)</f>
        <v/>
      </c>
      <c r="X120">
        <f>IF(Sync!$AX120="","",IF(OR(N(Sync!$AY120)=0,N(Sync!$AZ120)=0),"",ROUND(N(Sync!$AY120)*N(Sync!$AZ120),0)))</f>
        <v/>
      </c>
      <c r="Y120">
        <f>IF($X120="","",IF(OR(Sync!$AX120="",COUNTIF(AcctCodesA,Sync!$AX120)=0),"متفرقه",Sync!$AX120))</f>
        <v/>
      </c>
      <c r="Z120">
        <f>IF($X120="","","سبد و ظروف")</f>
        <v/>
      </c>
      <c r="AA120">
        <f>IF($X120="","",$Y120)</f>
        <v/>
      </c>
    </row>
    <row r="121">
      <c r="A121">
        <f>IF(Sync!$Z121="","",LEFT(UPPER(TRIM(Sync!$Z121)),6))</f>
        <v/>
      </c>
      <c r="B121">
        <f>IF($A121="","",IF(Sync!$AA121="","",Sync!$AA121))</f>
        <v/>
      </c>
      <c r="C121">
        <f>IF($A121="","",IF(Sync!$AB121="","",Sync!$AB121))</f>
        <v/>
      </c>
      <c r="D121">
        <f>IF($A121="","",IF(Sync!$AC121="","",Sync!$AC121))</f>
        <v/>
      </c>
      <c r="E121">
        <f>IF($A121="","",IF(Sync!$AD121="","",Sync!$AD121))</f>
        <v/>
      </c>
      <c r="F121">
        <f>IF($A121="","",IF(Sync!$AE121="",0,Sync!$AE121))</f>
        <v/>
      </c>
      <c r="G121">
        <f>IF($A121="","",IF(Sync!$AF121="",0,Sync!$AF121))</f>
        <v/>
      </c>
      <c r="H121">
        <f>IF(OR($A121="",ROUND($F121+$G121,2)=0),"",$F121+$G121)</f>
        <v/>
      </c>
      <c r="I121">
        <f>IF($H121="","",IF(ROUND($F121,2)&gt;0,$A121,IF($D121="شخصی قاسم","شخصی قاسم",IF($D121="هزینه","هزینه: "&amp;IF($E121="","متفرقه",$E121),IF($C121="پاس چک","چک پرداختی",IF(OR($B121="",COUNTIF(AcctCodesA,$B121)=0),"متفرقه",$B121))))))</f>
        <v/>
      </c>
      <c r="J121">
        <f>IF($H121="","",IF(ROUND($F121,2)&gt;0,IF($D121="شخصی قاسم","شخصی قاسم",IF($D121="هزینه","هزینه: "&amp;IF($E121="","متفرقه",$E121),IF(OR($B121="",COUNTIF(AcctCodesA,$B121)=0),"متفرقه",$B121))),$A121))</f>
        <v/>
      </c>
      <c r="K121">
        <f>IF($A121="","",IF(AND($B121&lt;&gt;"",COUNTIF(AcctCodesA,$B121)=0),"کد طرف در INFO تعریف نشده",IF(AND($D121="هزینه",$E121=""),"هزینه بدون زیرگروه",IF(AND($C121="پاس چک",OR(Sync!$AJ121="",COUNTIF(IssueNosA,Sync!$AJ121)=0)),"شماره چک پاس‌شده معتبر نیست",""))))</f>
        <v/>
      </c>
      <c r="M121">
        <f>IF(Sync!$AH121="","",Sync!$AH121)</f>
        <v/>
      </c>
      <c r="N121">
        <f>IF($M121="","",IF(OR(Sync!$AI121="",COUNTIF(AcctCodesA,Sync!$AI121)=0),"متفرقه",Sync!$AI121))</f>
        <v/>
      </c>
      <c r="O121">
        <f>IF($M121="","",$N121)</f>
        <v/>
      </c>
      <c r="P121">
        <f>IF($M121="","","چک پرداختی")</f>
        <v/>
      </c>
      <c r="R121">
        <f>IF($M121="","",IF(COUNTIF(AcctCodesA,Sync!$AI121)=0,"ذی‌نفع چک تعریف‌نشده",""))</f>
        <v/>
      </c>
      <c r="S121">
        <f>IF($R121="","",Sync!$AG121&amp;"|"&amp;"5"&amp;RIGHT("00000"&amp;116,5))</f>
        <v/>
      </c>
      <c r="T121">
        <f>IF($S121="",0,COUNTIFS($S$6:$S$505,"&lt;"&amp;$S121)-COUNTIFS($S$6:$S$505,"&lt;"&amp;$S121,$R$6:$R$505,"")+1)</f>
        <v/>
      </c>
      <c r="V121">
        <f>IF($K121="","",IF(ISNUMBER(Sync!$AK121),Sync!$AK121,LEFT(Sync!$AK121,4)&amp;MID(Sync!$AK121,6,2)&amp;RIGHT(Sync!$AK121,2))&amp;"|"&amp;"4"&amp;RIGHT("00000"&amp;116,5))</f>
        <v/>
      </c>
      <c r="W121">
        <f>IF($V121="",0,COUNTIFS($V$6:$V$2005,"&lt;"&amp;$V121)-COUNTIFS($V$6:$V$2005,"&lt;"&amp;$V121,$K$6:$K$2005,"")+1)</f>
        <v/>
      </c>
      <c r="X121">
        <f>IF(Sync!$AX121="","",IF(OR(N(Sync!$AY121)=0,N(Sync!$AZ121)=0),"",ROUND(N(Sync!$AY121)*N(Sync!$AZ121),0)))</f>
        <v/>
      </c>
      <c r="Y121">
        <f>IF($X121="","",IF(OR(Sync!$AX121="",COUNTIF(AcctCodesA,Sync!$AX121)=0),"متفرقه",Sync!$AX121))</f>
        <v/>
      </c>
      <c r="Z121">
        <f>IF($X121="","","سبد و ظروف")</f>
        <v/>
      </c>
      <c r="AA121">
        <f>IF($X121="","",$Y121)</f>
        <v/>
      </c>
    </row>
    <row r="122">
      <c r="A122">
        <f>IF(Sync!$Z122="","",LEFT(UPPER(TRIM(Sync!$Z122)),6))</f>
        <v/>
      </c>
      <c r="B122">
        <f>IF($A122="","",IF(Sync!$AA122="","",Sync!$AA122))</f>
        <v/>
      </c>
      <c r="C122">
        <f>IF($A122="","",IF(Sync!$AB122="","",Sync!$AB122))</f>
        <v/>
      </c>
      <c r="D122">
        <f>IF($A122="","",IF(Sync!$AC122="","",Sync!$AC122))</f>
        <v/>
      </c>
      <c r="E122">
        <f>IF($A122="","",IF(Sync!$AD122="","",Sync!$AD122))</f>
        <v/>
      </c>
      <c r="F122">
        <f>IF($A122="","",IF(Sync!$AE122="",0,Sync!$AE122))</f>
        <v/>
      </c>
      <c r="G122">
        <f>IF($A122="","",IF(Sync!$AF122="",0,Sync!$AF122))</f>
        <v/>
      </c>
      <c r="H122">
        <f>IF(OR($A122="",ROUND($F122+$G122,2)=0),"",$F122+$G122)</f>
        <v/>
      </c>
      <c r="I122">
        <f>IF($H122="","",IF(ROUND($F122,2)&gt;0,$A122,IF($D122="شخصی قاسم","شخصی قاسم",IF($D122="هزینه","هزینه: "&amp;IF($E122="","متفرقه",$E122),IF($C122="پاس چک","چک پرداختی",IF(OR($B122="",COUNTIF(AcctCodesA,$B122)=0),"متفرقه",$B122))))))</f>
        <v/>
      </c>
      <c r="J122">
        <f>IF($H122="","",IF(ROUND($F122,2)&gt;0,IF($D122="شخصی قاسم","شخصی قاسم",IF($D122="هزینه","هزینه: "&amp;IF($E122="","متفرقه",$E122),IF(OR($B122="",COUNTIF(AcctCodesA,$B122)=0),"متفرقه",$B122))),$A122))</f>
        <v/>
      </c>
      <c r="K122">
        <f>IF($A122="","",IF(AND($B122&lt;&gt;"",COUNTIF(AcctCodesA,$B122)=0),"کد طرف در INFO تعریف نشده",IF(AND($D122="هزینه",$E122=""),"هزینه بدون زیرگروه",IF(AND($C122="پاس چک",OR(Sync!$AJ122="",COUNTIF(IssueNosA,Sync!$AJ122)=0)),"شماره چک پاس‌شده معتبر نیست",""))))</f>
        <v/>
      </c>
      <c r="M122">
        <f>IF(Sync!$AH122="","",Sync!$AH122)</f>
        <v/>
      </c>
      <c r="N122">
        <f>IF($M122="","",IF(OR(Sync!$AI122="",COUNTIF(AcctCodesA,Sync!$AI122)=0),"متفرقه",Sync!$AI122))</f>
        <v/>
      </c>
      <c r="O122">
        <f>IF($M122="","",$N122)</f>
        <v/>
      </c>
      <c r="P122">
        <f>IF($M122="","","چک پرداختی")</f>
        <v/>
      </c>
      <c r="R122">
        <f>IF($M122="","",IF(COUNTIF(AcctCodesA,Sync!$AI122)=0,"ذی‌نفع چک تعریف‌نشده",""))</f>
        <v/>
      </c>
      <c r="S122">
        <f>IF($R122="","",Sync!$AG122&amp;"|"&amp;"5"&amp;RIGHT("00000"&amp;117,5))</f>
        <v/>
      </c>
      <c r="T122">
        <f>IF($S122="",0,COUNTIFS($S$6:$S$505,"&lt;"&amp;$S122)-COUNTIFS($S$6:$S$505,"&lt;"&amp;$S122,$R$6:$R$505,"")+1)</f>
        <v/>
      </c>
      <c r="V122">
        <f>IF($K122="","",IF(ISNUMBER(Sync!$AK122),Sync!$AK122,LEFT(Sync!$AK122,4)&amp;MID(Sync!$AK122,6,2)&amp;RIGHT(Sync!$AK122,2))&amp;"|"&amp;"4"&amp;RIGHT("00000"&amp;117,5))</f>
        <v/>
      </c>
      <c r="W122">
        <f>IF($V122="",0,COUNTIFS($V$6:$V$2005,"&lt;"&amp;$V122)-COUNTIFS($V$6:$V$2005,"&lt;"&amp;$V122,$K$6:$K$2005,"")+1)</f>
        <v/>
      </c>
      <c r="X122">
        <f>IF(Sync!$AX122="","",IF(OR(N(Sync!$AY122)=0,N(Sync!$AZ122)=0),"",ROUND(N(Sync!$AY122)*N(Sync!$AZ122),0)))</f>
        <v/>
      </c>
      <c r="Y122">
        <f>IF($X122="","",IF(OR(Sync!$AX122="",COUNTIF(AcctCodesA,Sync!$AX122)=0),"متفرقه",Sync!$AX122))</f>
        <v/>
      </c>
      <c r="Z122">
        <f>IF($X122="","","سبد و ظروف")</f>
        <v/>
      </c>
      <c r="AA122">
        <f>IF($X122="","",$Y122)</f>
        <v/>
      </c>
    </row>
    <row r="123">
      <c r="A123">
        <f>IF(Sync!$Z123="","",LEFT(UPPER(TRIM(Sync!$Z123)),6))</f>
        <v/>
      </c>
      <c r="B123">
        <f>IF($A123="","",IF(Sync!$AA123="","",Sync!$AA123))</f>
        <v/>
      </c>
      <c r="C123">
        <f>IF($A123="","",IF(Sync!$AB123="","",Sync!$AB123))</f>
        <v/>
      </c>
      <c r="D123">
        <f>IF($A123="","",IF(Sync!$AC123="","",Sync!$AC123))</f>
        <v/>
      </c>
      <c r="E123">
        <f>IF($A123="","",IF(Sync!$AD123="","",Sync!$AD123))</f>
        <v/>
      </c>
      <c r="F123">
        <f>IF($A123="","",IF(Sync!$AE123="",0,Sync!$AE123))</f>
        <v/>
      </c>
      <c r="G123">
        <f>IF($A123="","",IF(Sync!$AF123="",0,Sync!$AF123))</f>
        <v/>
      </c>
      <c r="H123">
        <f>IF(OR($A123="",ROUND($F123+$G123,2)=0),"",$F123+$G123)</f>
        <v/>
      </c>
      <c r="I123">
        <f>IF($H123="","",IF(ROUND($F123,2)&gt;0,$A123,IF($D123="شخصی قاسم","شخصی قاسم",IF($D123="هزینه","هزینه: "&amp;IF($E123="","متفرقه",$E123),IF($C123="پاس چک","چک پرداختی",IF(OR($B123="",COUNTIF(AcctCodesA,$B123)=0),"متفرقه",$B123))))))</f>
        <v/>
      </c>
      <c r="J123">
        <f>IF($H123="","",IF(ROUND($F123,2)&gt;0,IF($D123="شخصی قاسم","شخصی قاسم",IF($D123="هزینه","هزینه: "&amp;IF($E123="","متفرقه",$E123),IF(OR($B123="",COUNTIF(AcctCodesA,$B123)=0),"متفرقه",$B123))),$A123))</f>
        <v/>
      </c>
      <c r="K123">
        <f>IF($A123="","",IF(AND($B123&lt;&gt;"",COUNTIF(AcctCodesA,$B123)=0),"کد طرف در INFO تعریف نشده",IF(AND($D123="هزینه",$E123=""),"هزینه بدون زیرگروه",IF(AND($C123="پاس چک",OR(Sync!$AJ123="",COUNTIF(IssueNosA,Sync!$AJ123)=0)),"شماره چک پاس‌شده معتبر نیست",""))))</f>
        <v/>
      </c>
      <c r="M123">
        <f>IF(Sync!$AH123="","",Sync!$AH123)</f>
        <v/>
      </c>
      <c r="N123">
        <f>IF($M123="","",IF(OR(Sync!$AI123="",COUNTIF(AcctCodesA,Sync!$AI123)=0),"متفرقه",Sync!$AI123))</f>
        <v/>
      </c>
      <c r="O123">
        <f>IF($M123="","",$N123)</f>
        <v/>
      </c>
      <c r="P123">
        <f>IF($M123="","","چک پرداختی")</f>
        <v/>
      </c>
      <c r="R123">
        <f>IF($M123="","",IF(COUNTIF(AcctCodesA,Sync!$AI123)=0,"ذی‌نفع چک تعریف‌نشده",""))</f>
        <v/>
      </c>
      <c r="S123">
        <f>IF($R123="","",Sync!$AG123&amp;"|"&amp;"5"&amp;RIGHT("00000"&amp;118,5))</f>
        <v/>
      </c>
      <c r="T123">
        <f>IF($S123="",0,COUNTIFS($S$6:$S$505,"&lt;"&amp;$S123)-COUNTIFS($S$6:$S$505,"&lt;"&amp;$S123,$R$6:$R$505,"")+1)</f>
        <v/>
      </c>
      <c r="V123">
        <f>IF($K123="","",IF(ISNUMBER(Sync!$AK123),Sync!$AK123,LEFT(Sync!$AK123,4)&amp;MID(Sync!$AK123,6,2)&amp;RIGHT(Sync!$AK123,2))&amp;"|"&amp;"4"&amp;RIGHT("00000"&amp;118,5))</f>
        <v/>
      </c>
      <c r="W123">
        <f>IF($V123="",0,COUNTIFS($V$6:$V$2005,"&lt;"&amp;$V123)-COUNTIFS($V$6:$V$2005,"&lt;"&amp;$V123,$K$6:$K$2005,"")+1)</f>
        <v/>
      </c>
      <c r="X123">
        <f>IF(Sync!$AX123="","",IF(OR(N(Sync!$AY123)=0,N(Sync!$AZ123)=0),"",ROUND(N(Sync!$AY123)*N(Sync!$AZ123),0)))</f>
        <v/>
      </c>
      <c r="Y123">
        <f>IF($X123="","",IF(OR(Sync!$AX123="",COUNTIF(AcctCodesA,Sync!$AX123)=0),"متفرقه",Sync!$AX123))</f>
        <v/>
      </c>
      <c r="Z123">
        <f>IF($X123="","","سبد و ظروف")</f>
        <v/>
      </c>
      <c r="AA123">
        <f>IF($X123="","",$Y123)</f>
        <v/>
      </c>
    </row>
    <row r="124">
      <c r="A124">
        <f>IF(Sync!$Z124="","",LEFT(UPPER(TRIM(Sync!$Z124)),6))</f>
        <v/>
      </c>
      <c r="B124">
        <f>IF($A124="","",IF(Sync!$AA124="","",Sync!$AA124))</f>
        <v/>
      </c>
      <c r="C124">
        <f>IF($A124="","",IF(Sync!$AB124="","",Sync!$AB124))</f>
        <v/>
      </c>
      <c r="D124">
        <f>IF($A124="","",IF(Sync!$AC124="","",Sync!$AC124))</f>
        <v/>
      </c>
      <c r="E124">
        <f>IF($A124="","",IF(Sync!$AD124="","",Sync!$AD124))</f>
        <v/>
      </c>
      <c r="F124">
        <f>IF($A124="","",IF(Sync!$AE124="",0,Sync!$AE124))</f>
        <v/>
      </c>
      <c r="G124">
        <f>IF($A124="","",IF(Sync!$AF124="",0,Sync!$AF124))</f>
        <v/>
      </c>
      <c r="H124">
        <f>IF(OR($A124="",ROUND($F124+$G124,2)=0),"",$F124+$G124)</f>
        <v/>
      </c>
      <c r="I124">
        <f>IF($H124="","",IF(ROUND($F124,2)&gt;0,$A124,IF($D124="شخصی قاسم","شخصی قاسم",IF($D124="هزینه","هزینه: "&amp;IF($E124="","متفرقه",$E124),IF($C124="پاس چک","چک پرداختی",IF(OR($B124="",COUNTIF(AcctCodesA,$B124)=0),"متفرقه",$B124))))))</f>
        <v/>
      </c>
      <c r="J124">
        <f>IF($H124="","",IF(ROUND($F124,2)&gt;0,IF($D124="شخصی قاسم","شخصی قاسم",IF($D124="هزینه","هزینه: "&amp;IF($E124="","متفرقه",$E124),IF(OR($B124="",COUNTIF(AcctCodesA,$B124)=0),"متفرقه",$B124))),$A124))</f>
        <v/>
      </c>
      <c r="K124">
        <f>IF($A124="","",IF(AND($B124&lt;&gt;"",COUNTIF(AcctCodesA,$B124)=0),"کد طرف در INFO تعریف نشده",IF(AND($D124="هزینه",$E124=""),"هزینه بدون زیرگروه",IF(AND($C124="پاس چک",OR(Sync!$AJ124="",COUNTIF(IssueNosA,Sync!$AJ124)=0)),"شماره چک پاس‌شده معتبر نیست",""))))</f>
        <v/>
      </c>
      <c r="M124">
        <f>IF(Sync!$AH124="","",Sync!$AH124)</f>
        <v/>
      </c>
      <c r="N124">
        <f>IF($M124="","",IF(OR(Sync!$AI124="",COUNTIF(AcctCodesA,Sync!$AI124)=0),"متفرقه",Sync!$AI124))</f>
        <v/>
      </c>
      <c r="O124">
        <f>IF($M124="","",$N124)</f>
        <v/>
      </c>
      <c r="P124">
        <f>IF($M124="","","چک پرداختی")</f>
        <v/>
      </c>
      <c r="R124">
        <f>IF($M124="","",IF(COUNTIF(AcctCodesA,Sync!$AI124)=0,"ذی‌نفع چک تعریف‌نشده",""))</f>
        <v/>
      </c>
      <c r="S124">
        <f>IF($R124="","",Sync!$AG124&amp;"|"&amp;"5"&amp;RIGHT("00000"&amp;119,5))</f>
        <v/>
      </c>
      <c r="T124">
        <f>IF($S124="",0,COUNTIFS($S$6:$S$505,"&lt;"&amp;$S124)-COUNTIFS($S$6:$S$505,"&lt;"&amp;$S124,$R$6:$R$505,"")+1)</f>
        <v/>
      </c>
      <c r="V124">
        <f>IF($K124="","",IF(ISNUMBER(Sync!$AK124),Sync!$AK124,LEFT(Sync!$AK124,4)&amp;MID(Sync!$AK124,6,2)&amp;RIGHT(Sync!$AK124,2))&amp;"|"&amp;"4"&amp;RIGHT("00000"&amp;119,5))</f>
        <v/>
      </c>
      <c r="W124">
        <f>IF($V124="",0,COUNTIFS($V$6:$V$2005,"&lt;"&amp;$V124)-COUNTIFS($V$6:$V$2005,"&lt;"&amp;$V124,$K$6:$K$2005,"")+1)</f>
        <v/>
      </c>
      <c r="X124">
        <f>IF(Sync!$AX124="","",IF(OR(N(Sync!$AY124)=0,N(Sync!$AZ124)=0),"",ROUND(N(Sync!$AY124)*N(Sync!$AZ124),0)))</f>
        <v/>
      </c>
      <c r="Y124">
        <f>IF($X124="","",IF(OR(Sync!$AX124="",COUNTIF(AcctCodesA,Sync!$AX124)=0),"متفرقه",Sync!$AX124))</f>
        <v/>
      </c>
      <c r="Z124">
        <f>IF($X124="","","سبد و ظروف")</f>
        <v/>
      </c>
      <c r="AA124">
        <f>IF($X124="","",$Y124)</f>
        <v/>
      </c>
    </row>
    <row r="125">
      <c r="A125">
        <f>IF(Sync!$Z125="","",LEFT(UPPER(TRIM(Sync!$Z125)),6))</f>
        <v/>
      </c>
      <c r="B125">
        <f>IF($A125="","",IF(Sync!$AA125="","",Sync!$AA125))</f>
        <v/>
      </c>
      <c r="C125">
        <f>IF($A125="","",IF(Sync!$AB125="","",Sync!$AB125))</f>
        <v/>
      </c>
      <c r="D125">
        <f>IF($A125="","",IF(Sync!$AC125="","",Sync!$AC125))</f>
        <v/>
      </c>
      <c r="E125">
        <f>IF($A125="","",IF(Sync!$AD125="","",Sync!$AD125))</f>
        <v/>
      </c>
      <c r="F125">
        <f>IF($A125="","",IF(Sync!$AE125="",0,Sync!$AE125))</f>
        <v/>
      </c>
      <c r="G125">
        <f>IF($A125="","",IF(Sync!$AF125="",0,Sync!$AF125))</f>
        <v/>
      </c>
      <c r="H125">
        <f>IF(OR($A125="",ROUND($F125+$G125,2)=0),"",$F125+$G125)</f>
        <v/>
      </c>
      <c r="I125">
        <f>IF($H125="","",IF(ROUND($F125,2)&gt;0,$A125,IF($D125="شخصی قاسم","شخصی قاسم",IF($D125="هزینه","هزینه: "&amp;IF($E125="","متفرقه",$E125),IF($C125="پاس چک","چک پرداختی",IF(OR($B125="",COUNTIF(AcctCodesA,$B125)=0),"متفرقه",$B125))))))</f>
        <v/>
      </c>
      <c r="J125">
        <f>IF($H125="","",IF(ROUND($F125,2)&gt;0,IF($D125="شخصی قاسم","شخصی قاسم",IF($D125="هزینه","هزینه: "&amp;IF($E125="","متفرقه",$E125),IF(OR($B125="",COUNTIF(AcctCodesA,$B125)=0),"متفرقه",$B125))),$A125))</f>
        <v/>
      </c>
      <c r="K125">
        <f>IF($A125="","",IF(AND($B125&lt;&gt;"",COUNTIF(AcctCodesA,$B125)=0),"کد طرف در INFO تعریف نشده",IF(AND($D125="هزینه",$E125=""),"هزینه بدون زیرگروه",IF(AND($C125="پاس چک",OR(Sync!$AJ125="",COUNTIF(IssueNosA,Sync!$AJ125)=0)),"شماره چک پاس‌شده معتبر نیست",""))))</f>
        <v/>
      </c>
      <c r="M125">
        <f>IF(Sync!$AH125="","",Sync!$AH125)</f>
        <v/>
      </c>
      <c r="N125">
        <f>IF($M125="","",IF(OR(Sync!$AI125="",COUNTIF(AcctCodesA,Sync!$AI125)=0),"متفرقه",Sync!$AI125))</f>
        <v/>
      </c>
      <c r="O125">
        <f>IF($M125="","",$N125)</f>
        <v/>
      </c>
      <c r="P125">
        <f>IF($M125="","","چک پرداختی")</f>
        <v/>
      </c>
      <c r="R125">
        <f>IF($M125="","",IF(COUNTIF(AcctCodesA,Sync!$AI125)=0,"ذی‌نفع چک تعریف‌نشده",""))</f>
        <v/>
      </c>
      <c r="S125">
        <f>IF($R125="","",Sync!$AG125&amp;"|"&amp;"5"&amp;RIGHT("00000"&amp;120,5))</f>
        <v/>
      </c>
      <c r="T125">
        <f>IF($S125="",0,COUNTIFS($S$6:$S$505,"&lt;"&amp;$S125)-COUNTIFS($S$6:$S$505,"&lt;"&amp;$S125,$R$6:$R$505,"")+1)</f>
        <v/>
      </c>
      <c r="V125">
        <f>IF($K125="","",IF(ISNUMBER(Sync!$AK125),Sync!$AK125,LEFT(Sync!$AK125,4)&amp;MID(Sync!$AK125,6,2)&amp;RIGHT(Sync!$AK125,2))&amp;"|"&amp;"4"&amp;RIGHT("00000"&amp;120,5))</f>
        <v/>
      </c>
      <c r="W125">
        <f>IF($V125="",0,COUNTIFS($V$6:$V$2005,"&lt;"&amp;$V125)-COUNTIFS($V$6:$V$2005,"&lt;"&amp;$V125,$K$6:$K$2005,"")+1)</f>
        <v/>
      </c>
      <c r="X125">
        <f>IF(Sync!$AX125="","",IF(OR(N(Sync!$AY125)=0,N(Sync!$AZ125)=0),"",ROUND(N(Sync!$AY125)*N(Sync!$AZ125),0)))</f>
        <v/>
      </c>
      <c r="Y125">
        <f>IF($X125="","",IF(OR(Sync!$AX125="",COUNTIF(AcctCodesA,Sync!$AX125)=0),"متفرقه",Sync!$AX125))</f>
        <v/>
      </c>
      <c r="Z125">
        <f>IF($X125="","","سبد و ظروف")</f>
        <v/>
      </c>
      <c r="AA125">
        <f>IF($X125="","",$Y125)</f>
        <v/>
      </c>
    </row>
    <row r="126">
      <c r="A126">
        <f>IF(Sync!$Z126="","",LEFT(UPPER(TRIM(Sync!$Z126)),6))</f>
        <v/>
      </c>
      <c r="B126">
        <f>IF($A126="","",IF(Sync!$AA126="","",Sync!$AA126))</f>
        <v/>
      </c>
      <c r="C126">
        <f>IF($A126="","",IF(Sync!$AB126="","",Sync!$AB126))</f>
        <v/>
      </c>
      <c r="D126">
        <f>IF($A126="","",IF(Sync!$AC126="","",Sync!$AC126))</f>
        <v/>
      </c>
      <c r="E126">
        <f>IF($A126="","",IF(Sync!$AD126="","",Sync!$AD126))</f>
        <v/>
      </c>
      <c r="F126">
        <f>IF($A126="","",IF(Sync!$AE126="",0,Sync!$AE126))</f>
        <v/>
      </c>
      <c r="G126">
        <f>IF($A126="","",IF(Sync!$AF126="",0,Sync!$AF126))</f>
        <v/>
      </c>
      <c r="H126">
        <f>IF(OR($A126="",ROUND($F126+$G126,2)=0),"",$F126+$G126)</f>
        <v/>
      </c>
      <c r="I126">
        <f>IF($H126="","",IF(ROUND($F126,2)&gt;0,$A126,IF($D126="شخصی قاسم","شخصی قاسم",IF($D126="هزینه","هزینه: "&amp;IF($E126="","متفرقه",$E126),IF($C126="پاس چک","چک پرداختی",IF(OR($B126="",COUNTIF(AcctCodesA,$B126)=0),"متفرقه",$B126))))))</f>
        <v/>
      </c>
      <c r="J126">
        <f>IF($H126="","",IF(ROUND($F126,2)&gt;0,IF($D126="شخصی قاسم","شخصی قاسم",IF($D126="هزینه","هزینه: "&amp;IF($E126="","متفرقه",$E126),IF(OR($B126="",COUNTIF(AcctCodesA,$B126)=0),"متفرقه",$B126))),$A126))</f>
        <v/>
      </c>
      <c r="K126">
        <f>IF($A126="","",IF(AND($B126&lt;&gt;"",COUNTIF(AcctCodesA,$B126)=0),"کد طرف در INFO تعریف نشده",IF(AND($D126="هزینه",$E126=""),"هزینه بدون زیرگروه",IF(AND($C126="پاس چک",OR(Sync!$AJ126="",COUNTIF(IssueNosA,Sync!$AJ126)=0)),"شماره چک پاس‌شده معتبر نیست",""))))</f>
        <v/>
      </c>
      <c r="M126">
        <f>IF(Sync!$AH126="","",Sync!$AH126)</f>
        <v/>
      </c>
      <c r="N126">
        <f>IF($M126="","",IF(OR(Sync!$AI126="",COUNTIF(AcctCodesA,Sync!$AI126)=0),"متفرقه",Sync!$AI126))</f>
        <v/>
      </c>
      <c r="O126">
        <f>IF($M126="","",$N126)</f>
        <v/>
      </c>
      <c r="P126">
        <f>IF($M126="","","چک پرداختی")</f>
        <v/>
      </c>
      <c r="R126">
        <f>IF($M126="","",IF(COUNTIF(AcctCodesA,Sync!$AI126)=0,"ذی‌نفع چک تعریف‌نشده",""))</f>
        <v/>
      </c>
      <c r="S126">
        <f>IF($R126="","",Sync!$AG126&amp;"|"&amp;"5"&amp;RIGHT("00000"&amp;121,5))</f>
        <v/>
      </c>
      <c r="T126">
        <f>IF($S126="",0,COUNTIFS($S$6:$S$505,"&lt;"&amp;$S126)-COUNTIFS($S$6:$S$505,"&lt;"&amp;$S126,$R$6:$R$505,"")+1)</f>
        <v/>
      </c>
      <c r="V126">
        <f>IF($K126="","",IF(ISNUMBER(Sync!$AK126),Sync!$AK126,LEFT(Sync!$AK126,4)&amp;MID(Sync!$AK126,6,2)&amp;RIGHT(Sync!$AK126,2))&amp;"|"&amp;"4"&amp;RIGHT("00000"&amp;121,5))</f>
        <v/>
      </c>
      <c r="W126">
        <f>IF($V126="",0,COUNTIFS($V$6:$V$2005,"&lt;"&amp;$V126)-COUNTIFS($V$6:$V$2005,"&lt;"&amp;$V126,$K$6:$K$2005,"")+1)</f>
        <v/>
      </c>
      <c r="X126">
        <f>IF(Sync!$AX126="","",IF(OR(N(Sync!$AY126)=0,N(Sync!$AZ126)=0),"",ROUND(N(Sync!$AY126)*N(Sync!$AZ126),0)))</f>
        <v/>
      </c>
      <c r="Y126">
        <f>IF($X126="","",IF(OR(Sync!$AX126="",COUNTIF(AcctCodesA,Sync!$AX126)=0),"متفرقه",Sync!$AX126))</f>
        <v/>
      </c>
      <c r="Z126">
        <f>IF($X126="","","سبد و ظروف")</f>
        <v/>
      </c>
      <c r="AA126">
        <f>IF($X126="","",$Y126)</f>
        <v/>
      </c>
    </row>
    <row r="127">
      <c r="A127">
        <f>IF(Sync!$Z127="","",LEFT(UPPER(TRIM(Sync!$Z127)),6))</f>
        <v/>
      </c>
      <c r="B127">
        <f>IF($A127="","",IF(Sync!$AA127="","",Sync!$AA127))</f>
        <v/>
      </c>
      <c r="C127">
        <f>IF($A127="","",IF(Sync!$AB127="","",Sync!$AB127))</f>
        <v/>
      </c>
      <c r="D127">
        <f>IF($A127="","",IF(Sync!$AC127="","",Sync!$AC127))</f>
        <v/>
      </c>
      <c r="E127">
        <f>IF($A127="","",IF(Sync!$AD127="","",Sync!$AD127))</f>
        <v/>
      </c>
      <c r="F127">
        <f>IF($A127="","",IF(Sync!$AE127="",0,Sync!$AE127))</f>
        <v/>
      </c>
      <c r="G127">
        <f>IF($A127="","",IF(Sync!$AF127="",0,Sync!$AF127))</f>
        <v/>
      </c>
      <c r="H127">
        <f>IF(OR($A127="",ROUND($F127+$G127,2)=0),"",$F127+$G127)</f>
        <v/>
      </c>
      <c r="I127">
        <f>IF($H127="","",IF(ROUND($F127,2)&gt;0,$A127,IF($D127="شخصی قاسم","شخصی قاسم",IF($D127="هزینه","هزینه: "&amp;IF($E127="","متفرقه",$E127),IF($C127="پاس چک","چک پرداختی",IF(OR($B127="",COUNTIF(AcctCodesA,$B127)=0),"متفرقه",$B127))))))</f>
        <v/>
      </c>
      <c r="J127">
        <f>IF($H127="","",IF(ROUND($F127,2)&gt;0,IF($D127="شخصی قاسم","شخصی قاسم",IF($D127="هزینه","هزینه: "&amp;IF($E127="","متفرقه",$E127),IF(OR($B127="",COUNTIF(AcctCodesA,$B127)=0),"متفرقه",$B127))),$A127))</f>
        <v/>
      </c>
      <c r="K127">
        <f>IF($A127="","",IF(AND($B127&lt;&gt;"",COUNTIF(AcctCodesA,$B127)=0),"کد طرف در INFO تعریف نشده",IF(AND($D127="هزینه",$E127=""),"هزینه بدون زیرگروه",IF(AND($C127="پاس چک",OR(Sync!$AJ127="",COUNTIF(IssueNosA,Sync!$AJ127)=0)),"شماره چک پاس‌شده معتبر نیست",""))))</f>
        <v/>
      </c>
      <c r="M127">
        <f>IF(Sync!$AH127="","",Sync!$AH127)</f>
        <v/>
      </c>
      <c r="N127">
        <f>IF($M127="","",IF(OR(Sync!$AI127="",COUNTIF(AcctCodesA,Sync!$AI127)=0),"متفرقه",Sync!$AI127))</f>
        <v/>
      </c>
      <c r="O127">
        <f>IF($M127="","",$N127)</f>
        <v/>
      </c>
      <c r="P127">
        <f>IF($M127="","","چک پرداختی")</f>
        <v/>
      </c>
      <c r="R127">
        <f>IF($M127="","",IF(COUNTIF(AcctCodesA,Sync!$AI127)=0,"ذی‌نفع چک تعریف‌نشده",""))</f>
        <v/>
      </c>
      <c r="S127">
        <f>IF($R127="","",Sync!$AG127&amp;"|"&amp;"5"&amp;RIGHT("00000"&amp;122,5))</f>
        <v/>
      </c>
      <c r="T127">
        <f>IF($S127="",0,COUNTIFS($S$6:$S$505,"&lt;"&amp;$S127)-COUNTIFS($S$6:$S$505,"&lt;"&amp;$S127,$R$6:$R$505,"")+1)</f>
        <v/>
      </c>
      <c r="V127">
        <f>IF($K127="","",IF(ISNUMBER(Sync!$AK127),Sync!$AK127,LEFT(Sync!$AK127,4)&amp;MID(Sync!$AK127,6,2)&amp;RIGHT(Sync!$AK127,2))&amp;"|"&amp;"4"&amp;RIGHT("00000"&amp;122,5))</f>
        <v/>
      </c>
      <c r="W127">
        <f>IF($V127="",0,COUNTIFS($V$6:$V$2005,"&lt;"&amp;$V127)-COUNTIFS($V$6:$V$2005,"&lt;"&amp;$V127,$K$6:$K$2005,"")+1)</f>
        <v/>
      </c>
      <c r="X127">
        <f>IF(Sync!$AX127="","",IF(OR(N(Sync!$AY127)=0,N(Sync!$AZ127)=0),"",ROUND(N(Sync!$AY127)*N(Sync!$AZ127),0)))</f>
        <v/>
      </c>
      <c r="Y127">
        <f>IF($X127="","",IF(OR(Sync!$AX127="",COUNTIF(AcctCodesA,Sync!$AX127)=0),"متفرقه",Sync!$AX127))</f>
        <v/>
      </c>
      <c r="Z127">
        <f>IF($X127="","","سبد و ظروف")</f>
        <v/>
      </c>
      <c r="AA127">
        <f>IF($X127="","",$Y127)</f>
        <v/>
      </c>
    </row>
    <row r="128">
      <c r="A128">
        <f>IF(Sync!$Z128="","",LEFT(UPPER(TRIM(Sync!$Z128)),6))</f>
        <v/>
      </c>
      <c r="B128">
        <f>IF($A128="","",IF(Sync!$AA128="","",Sync!$AA128))</f>
        <v/>
      </c>
      <c r="C128">
        <f>IF($A128="","",IF(Sync!$AB128="","",Sync!$AB128))</f>
        <v/>
      </c>
      <c r="D128">
        <f>IF($A128="","",IF(Sync!$AC128="","",Sync!$AC128))</f>
        <v/>
      </c>
      <c r="E128">
        <f>IF($A128="","",IF(Sync!$AD128="","",Sync!$AD128))</f>
        <v/>
      </c>
      <c r="F128">
        <f>IF($A128="","",IF(Sync!$AE128="",0,Sync!$AE128))</f>
        <v/>
      </c>
      <c r="G128">
        <f>IF($A128="","",IF(Sync!$AF128="",0,Sync!$AF128))</f>
        <v/>
      </c>
      <c r="H128">
        <f>IF(OR($A128="",ROUND($F128+$G128,2)=0),"",$F128+$G128)</f>
        <v/>
      </c>
      <c r="I128">
        <f>IF($H128="","",IF(ROUND($F128,2)&gt;0,$A128,IF($D128="شخصی قاسم","شخصی قاسم",IF($D128="هزینه","هزینه: "&amp;IF($E128="","متفرقه",$E128),IF($C128="پاس چک","چک پرداختی",IF(OR($B128="",COUNTIF(AcctCodesA,$B128)=0),"متفرقه",$B128))))))</f>
        <v/>
      </c>
      <c r="J128">
        <f>IF($H128="","",IF(ROUND($F128,2)&gt;0,IF($D128="شخصی قاسم","شخصی قاسم",IF($D128="هزینه","هزینه: "&amp;IF($E128="","متفرقه",$E128),IF(OR($B128="",COUNTIF(AcctCodesA,$B128)=0),"متفرقه",$B128))),$A128))</f>
        <v/>
      </c>
      <c r="K128">
        <f>IF($A128="","",IF(AND($B128&lt;&gt;"",COUNTIF(AcctCodesA,$B128)=0),"کد طرف در INFO تعریف نشده",IF(AND($D128="هزینه",$E128=""),"هزینه بدون زیرگروه",IF(AND($C128="پاس چک",OR(Sync!$AJ128="",COUNTIF(IssueNosA,Sync!$AJ128)=0)),"شماره چک پاس‌شده معتبر نیست",""))))</f>
        <v/>
      </c>
      <c r="M128">
        <f>IF(Sync!$AH128="","",Sync!$AH128)</f>
        <v/>
      </c>
      <c r="N128">
        <f>IF($M128="","",IF(OR(Sync!$AI128="",COUNTIF(AcctCodesA,Sync!$AI128)=0),"متفرقه",Sync!$AI128))</f>
        <v/>
      </c>
      <c r="O128">
        <f>IF($M128="","",$N128)</f>
        <v/>
      </c>
      <c r="P128">
        <f>IF($M128="","","چک پرداختی")</f>
        <v/>
      </c>
      <c r="R128">
        <f>IF($M128="","",IF(COUNTIF(AcctCodesA,Sync!$AI128)=0,"ذی‌نفع چک تعریف‌نشده",""))</f>
        <v/>
      </c>
      <c r="S128">
        <f>IF($R128="","",Sync!$AG128&amp;"|"&amp;"5"&amp;RIGHT("00000"&amp;123,5))</f>
        <v/>
      </c>
      <c r="T128">
        <f>IF($S128="",0,COUNTIFS($S$6:$S$505,"&lt;"&amp;$S128)-COUNTIFS($S$6:$S$505,"&lt;"&amp;$S128,$R$6:$R$505,"")+1)</f>
        <v/>
      </c>
      <c r="V128">
        <f>IF($K128="","",IF(ISNUMBER(Sync!$AK128),Sync!$AK128,LEFT(Sync!$AK128,4)&amp;MID(Sync!$AK128,6,2)&amp;RIGHT(Sync!$AK128,2))&amp;"|"&amp;"4"&amp;RIGHT("00000"&amp;123,5))</f>
        <v/>
      </c>
      <c r="W128">
        <f>IF($V128="",0,COUNTIFS($V$6:$V$2005,"&lt;"&amp;$V128)-COUNTIFS($V$6:$V$2005,"&lt;"&amp;$V128,$K$6:$K$2005,"")+1)</f>
        <v/>
      </c>
      <c r="X128">
        <f>IF(Sync!$AX128="","",IF(OR(N(Sync!$AY128)=0,N(Sync!$AZ128)=0),"",ROUND(N(Sync!$AY128)*N(Sync!$AZ128),0)))</f>
        <v/>
      </c>
      <c r="Y128">
        <f>IF($X128="","",IF(OR(Sync!$AX128="",COUNTIF(AcctCodesA,Sync!$AX128)=0),"متفرقه",Sync!$AX128))</f>
        <v/>
      </c>
      <c r="Z128">
        <f>IF($X128="","","سبد و ظروف")</f>
        <v/>
      </c>
      <c r="AA128">
        <f>IF($X128="","",$Y128)</f>
        <v/>
      </c>
    </row>
    <row r="129">
      <c r="A129">
        <f>IF(Sync!$Z129="","",LEFT(UPPER(TRIM(Sync!$Z129)),6))</f>
        <v/>
      </c>
      <c r="B129">
        <f>IF($A129="","",IF(Sync!$AA129="","",Sync!$AA129))</f>
        <v/>
      </c>
      <c r="C129">
        <f>IF($A129="","",IF(Sync!$AB129="","",Sync!$AB129))</f>
        <v/>
      </c>
      <c r="D129">
        <f>IF($A129="","",IF(Sync!$AC129="","",Sync!$AC129))</f>
        <v/>
      </c>
      <c r="E129">
        <f>IF($A129="","",IF(Sync!$AD129="","",Sync!$AD129))</f>
        <v/>
      </c>
      <c r="F129">
        <f>IF($A129="","",IF(Sync!$AE129="",0,Sync!$AE129))</f>
        <v/>
      </c>
      <c r="G129">
        <f>IF($A129="","",IF(Sync!$AF129="",0,Sync!$AF129))</f>
        <v/>
      </c>
      <c r="H129">
        <f>IF(OR($A129="",ROUND($F129+$G129,2)=0),"",$F129+$G129)</f>
        <v/>
      </c>
      <c r="I129">
        <f>IF($H129="","",IF(ROUND($F129,2)&gt;0,$A129,IF($D129="شخصی قاسم","شخصی قاسم",IF($D129="هزینه","هزینه: "&amp;IF($E129="","متفرقه",$E129),IF($C129="پاس چک","چک پرداختی",IF(OR($B129="",COUNTIF(AcctCodesA,$B129)=0),"متفرقه",$B129))))))</f>
        <v/>
      </c>
      <c r="J129">
        <f>IF($H129="","",IF(ROUND($F129,2)&gt;0,IF($D129="شخصی قاسم","شخصی قاسم",IF($D129="هزینه","هزینه: "&amp;IF($E129="","متفرقه",$E129),IF(OR($B129="",COUNTIF(AcctCodesA,$B129)=0),"متفرقه",$B129))),$A129))</f>
        <v/>
      </c>
      <c r="K129">
        <f>IF($A129="","",IF(AND($B129&lt;&gt;"",COUNTIF(AcctCodesA,$B129)=0),"کد طرف در INFO تعریف نشده",IF(AND($D129="هزینه",$E129=""),"هزینه بدون زیرگروه",IF(AND($C129="پاس چک",OR(Sync!$AJ129="",COUNTIF(IssueNosA,Sync!$AJ129)=0)),"شماره چک پاس‌شده معتبر نیست",""))))</f>
        <v/>
      </c>
      <c r="M129">
        <f>IF(Sync!$AH129="","",Sync!$AH129)</f>
        <v/>
      </c>
      <c r="N129">
        <f>IF($M129="","",IF(OR(Sync!$AI129="",COUNTIF(AcctCodesA,Sync!$AI129)=0),"متفرقه",Sync!$AI129))</f>
        <v/>
      </c>
      <c r="O129">
        <f>IF($M129="","",$N129)</f>
        <v/>
      </c>
      <c r="P129">
        <f>IF($M129="","","چک پرداختی")</f>
        <v/>
      </c>
      <c r="R129">
        <f>IF($M129="","",IF(COUNTIF(AcctCodesA,Sync!$AI129)=0,"ذی‌نفع چک تعریف‌نشده",""))</f>
        <v/>
      </c>
      <c r="S129">
        <f>IF($R129="","",Sync!$AG129&amp;"|"&amp;"5"&amp;RIGHT("00000"&amp;124,5))</f>
        <v/>
      </c>
      <c r="T129">
        <f>IF($S129="",0,COUNTIFS($S$6:$S$505,"&lt;"&amp;$S129)-COUNTIFS($S$6:$S$505,"&lt;"&amp;$S129,$R$6:$R$505,"")+1)</f>
        <v/>
      </c>
      <c r="V129">
        <f>IF($K129="","",IF(ISNUMBER(Sync!$AK129),Sync!$AK129,LEFT(Sync!$AK129,4)&amp;MID(Sync!$AK129,6,2)&amp;RIGHT(Sync!$AK129,2))&amp;"|"&amp;"4"&amp;RIGHT("00000"&amp;124,5))</f>
        <v/>
      </c>
      <c r="W129">
        <f>IF($V129="",0,COUNTIFS($V$6:$V$2005,"&lt;"&amp;$V129)-COUNTIFS($V$6:$V$2005,"&lt;"&amp;$V129,$K$6:$K$2005,"")+1)</f>
        <v/>
      </c>
      <c r="X129">
        <f>IF(Sync!$AX129="","",IF(OR(N(Sync!$AY129)=0,N(Sync!$AZ129)=0),"",ROUND(N(Sync!$AY129)*N(Sync!$AZ129),0)))</f>
        <v/>
      </c>
      <c r="Y129">
        <f>IF($X129="","",IF(OR(Sync!$AX129="",COUNTIF(AcctCodesA,Sync!$AX129)=0),"متفرقه",Sync!$AX129))</f>
        <v/>
      </c>
      <c r="Z129">
        <f>IF($X129="","","سبد و ظروف")</f>
        <v/>
      </c>
      <c r="AA129">
        <f>IF($X129="","",$Y129)</f>
        <v/>
      </c>
    </row>
    <row r="130">
      <c r="A130">
        <f>IF(Sync!$Z130="","",LEFT(UPPER(TRIM(Sync!$Z130)),6))</f>
        <v/>
      </c>
      <c r="B130">
        <f>IF($A130="","",IF(Sync!$AA130="","",Sync!$AA130))</f>
        <v/>
      </c>
      <c r="C130">
        <f>IF($A130="","",IF(Sync!$AB130="","",Sync!$AB130))</f>
        <v/>
      </c>
      <c r="D130">
        <f>IF($A130="","",IF(Sync!$AC130="","",Sync!$AC130))</f>
        <v/>
      </c>
      <c r="E130">
        <f>IF($A130="","",IF(Sync!$AD130="","",Sync!$AD130))</f>
        <v/>
      </c>
      <c r="F130">
        <f>IF($A130="","",IF(Sync!$AE130="",0,Sync!$AE130))</f>
        <v/>
      </c>
      <c r="G130">
        <f>IF($A130="","",IF(Sync!$AF130="",0,Sync!$AF130))</f>
        <v/>
      </c>
      <c r="H130">
        <f>IF(OR($A130="",ROUND($F130+$G130,2)=0),"",$F130+$G130)</f>
        <v/>
      </c>
      <c r="I130">
        <f>IF($H130="","",IF(ROUND($F130,2)&gt;0,$A130,IF($D130="شخصی قاسم","شخصی قاسم",IF($D130="هزینه","هزینه: "&amp;IF($E130="","متفرقه",$E130),IF($C130="پاس چک","چک پرداختی",IF(OR($B130="",COUNTIF(AcctCodesA,$B130)=0),"متفرقه",$B130))))))</f>
        <v/>
      </c>
      <c r="J130">
        <f>IF($H130="","",IF(ROUND($F130,2)&gt;0,IF($D130="شخصی قاسم","شخصی قاسم",IF($D130="هزینه","هزینه: "&amp;IF($E130="","متفرقه",$E130),IF(OR($B130="",COUNTIF(AcctCodesA,$B130)=0),"متفرقه",$B130))),$A130))</f>
        <v/>
      </c>
      <c r="K130">
        <f>IF($A130="","",IF(AND($B130&lt;&gt;"",COUNTIF(AcctCodesA,$B130)=0),"کد طرف در INFO تعریف نشده",IF(AND($D130="هزینه",$E130=""),"هزینه بدون زیرگروه",IF(AND($C130="پاس چک",OR(Sync!$AJ130="",COUNTIF(IssueNosA,Sync!$AJ130)=0)),"شماره چک پاس‌شده معتبر نیست",""))))</f>
        <v/>
      </c>
      <c r="M130">
        <f>IF(Sync!$AH130="","",Sync!$AH130)</f>
        <v/>
      </c>
      <c r="N130">
        <f>IF($M130="","",IF(OR(Sync!$AI130="",COUNTIF(AcctCodesA,Sync!$AI130)=0),"متفرقه",Sync!$AI130))</f>
        <v/>
      </c>
      <c r="O130">
        <f>IF($M130="","",$N130)</f>
        <v/>
      </c>
      <c r="P130">
        <f>IF($M130="","","چک پرداختی")</f>
        <v/>
      </c>
      <c r="R130">
        <f>IF($M130="","",IF(COUNTIF(AcctCodesA,Sync!$AI130)=0,"ذی‌نفع چک تعریف‌نشده",""))</f>
        <v/>
      </c>
      <c r="S130">
        <f>IF($R130="","",Sync!$AG130&amp;"|"&amp;"5"&amp;RIGHT("00000"&amp;125,5))</f>
        <v/>
      </c>
      <c r="T130">
        <f>IF($S130="",0,COUNTIFS($S$6:$S$505,"&lt;"&amp;$S130)-COUNTIFS($S$6:$S$505,"&lt;"&amp;$S130,$R$6:$R$505,"")+1)</f>
        <v/>
      </c>
      <c r="V130">
        <f>IF($K130="","",IF(ISNUMBER(Sync!$AK130),Sync!$AK130,LEFT(Sync!$AK130,4)&amp;MID(Sync!$AK130,6,2)&amp;RIGHT(Sync!$AK130,2))&amp;"|"&amp;"4"&amp;RIGHT("00000"&amp;125,5))</f>
        <v/>
      </c>
      <c r="W130">
        <f>IF($V130="",0,COUNTIFS($V$6:$V$2005,"&lt;"&amp;$V130)-COUNTIFS($V$6:$V$2005,"&lt;"&amp;$V130,$K$6:$K$2005,"")+1)</f>
        <v/>
      </c>
      <c r="X130">
        <f>IF(Sync!$AX130="","",IF(OR(N(Sync!$AY130)=0,N(Sync!$AZ130)=0),"",ROUND(N(Sync!$AY130)*N(Sync!$AZ130),0)))</f>
        <v/>
      </c>
      <c r="Y130">
        <f>IF($X130="","",IF(OR(Sync!$AX130="",COUNTIF(AcctCodesA,Sync!$AX130)=0),"متفرقه",Sync!$AX130))</f>
        <v/>
      </c>
      <c r="Z130">
        <f>IF($X130="","","سبد و ظروف")</f>
        <v/>
      </c>
      <c r="AA130">
        <f>IF($X130="","",$Y130)</f>
        <v/>
      </c>
    </row>
    <row r="131">
      <c r="A131">
        <f>IF(Sync!$Z131="","",LEFT(UPPER(TRIM(Sync!$Z131)),6))</f>
        <v/>
      </c>
      <c r="B131">
        <f>IF($A131="","",IF(Sync!$AA131="","",Sync!$AA131))</f>
        <v/>
      </c>
      <c r="C131">
        <f>IF($A131="","",IF(Sync!$AB131="","",Sync!$AB131))</f>
        <v/>
      </c>
      <c r="D131">
        <f>IF($A131="","",IF(Sync!$AC131="","",Sync!$AC131))</f>
        <v/>
      </c>
      <c r="E131">
        <f>IF($A131="","",IF(Sync!$AD131="","",Sync!$AD131))</f>
        <v/>
      </c>
      <c r="F131">
        <f>IF($A131="","",IF(Sync!$AE131="",0,Sync!$AE131))</f>
        <v/>
      </c>
      <c r="G131">
        <f>IF($A131="","",IF(Sync!$AF131="",0,Sync!$AF131))</f>
        <v/>
      </c>
      <c r="H131">
        <f>IF(OR($A131="",ROUND($F131+$G131,2)=0),"",$F131+$G131)</f>
        <v/>
      </c>
      <c r="I131">
        <f>IF($H131="","",IF(ROUND($F131,2)&gt;0,$A131,IF($D131="شخصی قاسم","شخصی قاسم",IF($D131="هزینه","هزینه: "&amp;IF($E131="","متفرقه",$E131),IF($C131="پاس چک","چک پرداختی",IF(OR($B131="",COUNTIF(AcctCodesA,$B131)=0),"متفرقه",$B131))))))</f>
        <v/>
      </c>
      <c r="J131">
        <f>IF($H131="","",IF(ROUND($F131,2)&gt;0,IF($D131="شخصی قاسم","شخصی قاسم",IF($D131="هزینه","هزینه: "&amp;IF($E131="","متفرقه",$E131),IF(OR($B131="",COUNTIF(AcctCodesA,$B131)=0),"متفرقه",$B131))),$A131))</f>
        <v/>
      </c>
      <c r="K131">
        <f>IF($A131="","",IF(AND($B131&lt;&gt;"",COUNTIF(AcctCodesA,$B131)=0),"کد طرف در INFO تعریف نشده",IF(AND($D131="هزینه",$E131=""),"هزینه بدون زیرگروه",IF(AND($C131="پاس چک",OR(Sync!$AJ131="",COUNTIF(IssueNosA,Sync!$AJ131)=0)),"شماره چک پاس‌شده معتبر نیست",""))))</f>
        <v/>
      </c>
      <c r="M131">
        <f>IF(Sync!$AH131="","",Sync!$AH131)</f>
        <v/>
      </c>
      <c r="N131">
        <f>IF($M131="","",IF(OR(Sync!$AI131="",COUNTIF(AcctCodesA,Sync!$AI131)=0),"متفرقه",Sync!$AI131))</f>
        <v/>
      </c>
      <c r="O131">
        <f>IF($M131="","",$N131)</f>
        <v/>
      </c>
      <c r="P131">
        <f>IF($M131="","","چک پرداختی")</f>
        <v/>
      </c>
      <c r="R131">
        <f>IF($M131="","",IF(COUNTIF(AcctCodesA,Sync!$AI131)=0,"ذی‌نفع چک تعریف‌نشده",""))</f>
        <v/>
      </c>
      <c r="S131">
        <f>IF($R131="","",Sync!$AG131&amp;"|"&amp;"5"&amp;RIGHT("00000"&amp;126,5))</f>
        <v/>
      </c>
      <c r="T131">
        <f>IF($S131="",0,COUNTIFS($S$6:$S$505,"&lt;"&amp;$S131)-COUNTIFS($S$6:$S$505,"&lt;"&amp;$S131,$R$6:$R$505,"")+1)</f>
        <v/>
      </c>
      <c r="V131">
        <f>IF($K131="","",IF(ISNUMBER(Sync!$AK131),Sync!$AK131,LEFT(Sync!$AK131,4)&amp;MID(Sync!$AK131,6,2)&amp;RIGHT(Sync!$AK131,2))&amp;"|"&amp;"4"&amp;RIGHT("00000"&amp;126,5))</f>
        <v/>
      </c>
      <c r="W131">
        <f>IF($V131="",0,COUNTIFS($V$6:$V$2005,"&lt;"&amp;$V131)-COUNTIFS($V$6:$V$2005,"&lt;"&amp;$V131,$K$6:$K$2005,"")+1)</f>
        <v/>
      </c>
      <c r="X131">
        <f>IF(Sync!$AX131="","",IF(OR(N(Sync!$AY131)=0,N(Sync!$AZ131)=0),"",ROUND(N(Sync!$AY131)*N(Sync!$AZ131),0)))</f>
        <v/>
      </c>
      <c r="Y131">
        <f>IF($X131="","",IF(OR(Sync!$AX131="",COUNTIF(AcctCodesA,Sync!$AX131)=0),"متفرقه",Sync!$AX131))</f>
        <v/>
      </c>
      <c r="Z131">
        <f>IF($X131="","","سبد و ظروف")</f>
        <v/>
      </c>
      <c r="AA131">
        <f>IF($X131="","",$Y131)</f>
        <v/>
      </c>
    </row>
    <row r="132">
      <c r="A132">
        <f>IF(Sync!$Z132="","",LEFT(UPPER(TRIM(Sync!$Z132)),6))</f>
        <v/>
      </c>
      <c r="B132">
        <f>IF($A132="","",IF(Sync!$AA132="","",Sync!$AA132))</f>
        <v/>
      </c>
      <c r="C132">
        <f>IF($A132="","",IF(Sync!$AB132="","",Sync!$AB132))</f>
        <v/>
      </c>
      <c r="D132">
        <f>IF($A132="","",IF(Sync!$AC132="","",Sync!$AC132))</f>
        <v/>
      </c>
      <c r="E132">
        <f>IF($A132="","",IF(Sync!$AD132="","",Sync!$AD132))</f>
        <v/>
      </c>
      <c r="F132">
        <f>IF($A132="","",IF(Sync!$AE132="",0,Sync!$AE132))</f>
        <v/>
      </c>
      <c r="G132">
        <f>IF($A132="","",IF(Sync!$AF132="",0,Sync!$AF132))</f>
        <v/>
      </c>
      <c r="H132">
        <f>IF(OR($A132="",ROUND($F132+$G132,2)=0),"",$F132+$G132)</f>
        <v/>
      </c>
      <c r="I132">
        <f>IF($H132="","",IF(ROUND($F132,2)&gt;0,$A132,IF($D132="شخصی قاسم","شخصی قاسم",IF($D132="هزینه","هزینه: "&amp;IF($E132="","متفرقه",$E132),IF($C132="پاس چک","چک پرداختی",IF(OR($B132="",COUNTIF(AcctCodesA,$B132)=0),"متفرقه",$B132))))))</f>
        <v/>
      </c>
      <c r="J132">
        <f>IF($H132="","",IF(ROUND($F132,2)&gt;0,IF($D132="شخصی قاسم","شخصی قاسم",IF($D132="هزینه","هزینه: "&amp;IF($E132="","متفرقه",$E132),IF(OR($B132="",COUNTIF(AcctCodesA,$B132)=0),"متفرقه",$B132))),$A132))</f>
        <v/>
      </c>
      <c r="K132">
        <f>IF($A132="","",IF(AND($B132&lt;&gt;"",COUNTIF(AcctCodesA,$B132)=0),"کد طرف در INFO تعریف نشده",IF(AND($D132="هزینه",$E132=""),"هزینه بدون زیرگروه",IF(AND($C132="پاس چک",OR(Sync!$AJ132="",COUNTIF(IssueNosA,Sync!$AJ132)=0)),"شماره چک پاس‌شده معتبر نیست",""))))</f>
        <v/>
      </c>
      <c r="M132">
        <f>IF(Sync!$AH132="","",Sync!$AH132)</f>
        <v/>
      </c>
      <c r="N132">
        <f>IF($M132="","",IF(OR(Sync!$AI132="",COUNTIF(AcctCodesA,Sync!$AI132)=0),"متفرقه",Sync!$AI132))</f>
        <v/>
      </c>
      <c r="O132">
        <f>IF($M132="","",$N132)</f>
        <v/>
      </c>
      <c r="P132">
        <f>IF($M132="","","چک پرداختی")</f>
        <v/>
      </c>
      <c r="R132">
        <f>IF($M132="","",IF(COUNTIF(AcctCodesA,Sync!$AI132)=0,"ذی‌نفع چک تعریف‌نشده",""))</f>
        <v/>
      </c>
      <c r="S132">
        <f>IF($R132="","",Sync!$AG132&amp;"|"&amp;"5"&amp;RIGHT("00000"&amp;127,5))</f>
        <v/>
      </c>
      <c r="T132">
        <f>IF($S132="",0,COUNTIFS($S$6:$S$505,"&lt;"&amp;$S132)-COUNTIFS($S$6:$S$505,"&lt;"&amp;$S132,$R$6:$R$505,"")+1)</f>
        <v/>
      </c>
      <c r="V132">
        <f>IF($K132="","",IF(ISNUMBER(Sync!$AK132),Sync!$AK132,LEFT(Sync!$AK132,4)&amp;MID(Sync!$AK132,6,2)&amp;RIGHT(Sync!$AK132,2))&amp;"|"&amp;"4"&amp;RIGHT("00000"&amp;127,5))</f>
        <v/>
      </c>
      <c r="W132">
        <f>IF($V132="",0,COUNTIFS($V$6:$V$2005,"&lt;"&amp;$V132)-COUNTIFS($V$6:$V$2005,"&lt;"&amp;$V132,$K$6:$K$2005,"")+1)</f>
        <v/>
      </c>
      <c r="X132">
        <f>IF(Sync!$AX132="","",IF(OR(N(Sync!$AY132)=0,N(Sync!$AZ132)=0),"",ROUND(N(Sync!$AY132)*N(Sync!$AZ132),0)))</f>
        <v/>
      </c>
      <c r="Y132">
        <f>IF($X132="","",IF(OR(Sync!$AX132="",COUNTIF(AcctCodesA,Sync!$AX132)=0),"متفرقه",Sync!$AX132))</f>
        <v/>
      </c>
      <c r="Z132">
        <f>IF($X132="","","سبد و ظروف")</f>
        <v/>
      </c>
      <c r="AA132">
        <f>IF($X132="","",$Y132)</f>
        <v/>
      </c>
    </row>
    <row r="133">
      <c r="A133">
        <f>IF(Sync!$Z133="","",LEFT(UPPER(TRIM(Sync!$Z133)),6))</f>
        <v/>
      </c>
      <c r="B133">
        <f>IF($A133="","",IF(Sync!$AA133="","",Sync!$AA133))</f>
        <v/>
      </c>
      <c r="C133">
        <f>IF($A133="","",IF(Sync!$AB133="","",Sync!$AB133))</f>
        <v/>
      </c>
      <c r="D133">
        <f>IF($A133="","",IF(Sync!$AC133="","",Sync!$AC133))</f>
        <v/>
      </c>
      <c r="E133">
        <f>IF($A133="","",IF(Sync!$AD133="","",Sync!$AD133))</f>
        <v/>
      </c>
      <c r="F133">
        <f>IF($A133="","",IF(Sync!$AE133="",0,Sync!$AE133))</f>
        <v/>
      </c>
      <c r="G133">
        <f>IF($A133="","",IF(Sync!$AF133="",0,Sync!$AF133))</f>
        <v/>
      </c>
      <c r="H133">
        <f>IF(OR($A133="",ROUND($F133+$G133,2)=0),"",$F133+$G133)</f>
        <v/>
      </c>
      <c r="I133">
        <f>IF($H133="","",IF(ROUND($F133,2)&gt;0,$A133,IF($D133="شخصی قاسم","شخصی قاسم",IF($D133="هزینه","هزینه: "&amp;IF($E133="","متفرقه",$E133),IF($C133="پاس چک","چک پرداختی",IF(OR($B133="",COUNTIF(AcctCodesA,$B133)=0),"متفرقه",$B133))))))</f>
        <v/>
      </c>
      <c r="J133">
        <f>IF($H133="","",IF(ROUND($F133,2)&gt;0,IF($D133="شخصی قاسم","شخصی قاسم",IF($D133="هزینه","هزینه: "&amp;IF($E133="","متفرقه",$E133),IF(OR($B133="",COUNTIF(AcctCodesA,$B133)=0),"متفرقه",$B133))),$A133))</f>
        <v/>
      </c>
      <c r="K133">
        <f>IF($A133="","",IF(AND($B133&lt;&gt;"",COUNTIF(AcctCodesA,$B133)=0),"کد طرف در INFO تعریف نشده",IF(AND($D133="هزینه",$E133=""),"هزینه بدون زیرگروه",IF(AND($C133="پاس چک",OR(Sync!$AJ133="",COUNTIF(IssueNosA,Sync!$AJ133)=0)),"شماره چک پاس‌شده معتبر نیست",""))))</f>
        <v/>
      </c>
      <c r="M133">
        <f>IF(Sync!$AH133="","",Sync!$AH133)</f>
        <v/>
      </c>
      <c r="N133">
        <f>IF($M133="","",IF(OR(Sync!$AI133="",COUNTIF(AcctCodesA,Sync!$AI133)=0),"متفرقه",Sync!$AI133))</f>
        <v/>
      </c>
      <c r="O133">
        <f>IF($M133="","",$N133)</f>
        <v/>
      </c>
      <c r="P133">
        <f>IF($M133="","","چک پرداختی")</f>
        <v/>
      </c>
      <c r="R133">
        <f>IF($M133="","",IF(COUNTIF(AcctCodesA,Sync!$AI133)=0,"ذی‌نفع چک تعریف‌نشده",""))</f>
        <v/>
      </c>
      <c r="S133">
        <f>IF($R133="","",Sync!$AG133&amp;"|"&amp;"5"&amp;RIGHT("00000"&amp;128,5))</f>
        <v/>
      </c>
      <c r="T133">
        <f>IF($S133="",0,COUNTIFS($S$6:$S$505,"&lt;"&amp;$S133)-COUNTIFS($S$6:$S$505,"&lt;"&amp;$S133,$R$6:$R$505,"")+1)</f>
        <v/>
      </c>
      <c r="V133">
        <f>IF($K133="","",IF(ISNUMBER(Sync!$AK133),Sync!$AK133,LEFT(Sync!$AK133,4)&amp;MID(Sync!$AK133,6,2)&amp;RIGHT(Sync!$AK133,2))&amp;"|"&amp;"4"&amp;RIGHT("00000"&amp;128,5))</f>
        <v/>
      </c>
      <c r="W133">
        <f>IF($V133="",0,COUNTIFS($V$6:$V$2005,"&lt;"&amp;$V133)-COUNTIFS($V$6:$V$2005,"&lt;"&amp;$V133,$K$6:$K$2005,"")+1)</f>
        <v/>
      </c>
      <c r="X133">
        <f>IF(Sync!$AX133="","",IF(OR(N(Sync!$AY133)=0,N(Sync!$AZ133)=0),"",ROUND(N(Sync!$AY133)*N(Sync!$AZ133),0)))</f>
        <v/>
      </c>
      <c r="Y133">
        <f>IF($X133="","",IF(OR(Sync!$AX133="",COUNTIF(AcctCodesA,Sync!$AX133)=0),"متفرقه",Sync!$AX133))</f>
        <v/>
      </c>
      <c r="Z133">
        <f>IF($X133="","","سبد و ظروف")</f>
        <v/>
      </c>
      <c r="AA133">
        <f>IF($X133="","",$Y133)</f>
        <v/>
      </c>
    </row>
    <row r="134">
      <c r="A134">
        <f>IF(Sync!$Z134="","",LEFT(UPPER(TRIM(Sync!$Z134)),6))</f>
        <v/>
      </c>
      <c r="B134">
        <f>IF($A134="","",IF(Sync!$AA134="","",Sync!$AA134))</f>
        <v/>
      </c>
      <c r="C134">
        <f>IF($A134="","",IF(Sync!$AB134="","",Sync!$AB134))</f>
        <v/>
      </c>
      <c r="D134">
        <f>IF($A134="","",IF(Sync!$AC134="","",Sync!$AC134))</f>
        <v/>
      </c>
      <c r="E134">
        <f>IF($A134="","",IF(Sync!$AD134="","",Sync!$AD134))</f>
        <v/>
      </c>
      <c r="F134">
        <f>IF($A134="","",IF(Sync!$AE134="",0,Sync!$AE134))</f>
        <v/>
      </c>
      <c r="G134">
        <f>IF($A134="","",IF(Sync!$AF134="",0,Sync!$AF134))</f>
        <v/>
      </c>
      <c r="H134">
        <f>IF(OR($A134="",ROUND($F134+$G134,2)=0),"",$F134+$G134)</f>
        <v/>
      </c>
      <c r="I134">
        <f>IF($H134="","",IF(ROUND($F134,2)&gt;0,$A134,IF($D134="شخصی قاسم","شخصی قاسم",IF($D134="هزینه","هزینه: "&amp;IF($E134="","متفرقه",$E134),IF($C134="پاس چک","چک پرداختی",IF(OR($B134="",COUNTIF(AcctCodesA,$B134)=0),"متفرقه",$B134))))))</f>
        <v/>
      </c>
      <c r="J134">
        <f>IF($H134="","",IF(ROUND($F134,2)&gt;0,IF($D134="شخصی قاسم","شخصی قاسم",IF($D134="هزینه","هزینه: "&amp;IF($E134="","متفرقه",$E134),IF(OR($B134="",COUNTIF(AcctCodesA,$B134)=0),"متفرقه",$B134))),$A134))</f>
        <v/>
      </c>
      <c r="K134">
        <f>IF($A134="","",IF(AND($B134&lt;&gt;"",COUNTIF(AcctCodesA,$B134)=0),"کد طرف در INFO تعریف نشده",IF(AND($D134="هزینه",$E134=""),"هزینه بدون زیرگروه",IF(AND($C134="پاس چک",OR(Sync!$AJ134="",COUNTIF(IssueNosA,Sync!$AJ134)=0)),"شماره چک پاس‌شده معتبر نیست",""))))</f>
        <v/>
      </c>
      <c r="M134">
        <f>IF(Sync!$AH134="","",Sync!$AH134)</f>
        <v/>
      </c>
      <c r="N134">
        <f>IF($M134="","",IF(OR(Sync!$AI134="",COUNTIF(AcctCodesA,Sync!$AI134)=0),"متفرقه",Sync!$AI134))</f>
        <v/>
      </c>
      <c r="O134">
        <f>IF($M134="","",$N134)</f>
        <v/>
      </c>
      <c r="P134">
        <f>IF($M134="","","چک پرداختی")</f>
        <v/>
      </c>
      <c r="R134">
        <f>IF($M134="","",IF(COUNTIF(AcctCodesA,Sync!$AI134)=0,"ذی‌نفع چک تعریف‌نشده",""))</f>
        <v/>
      </c>
      <c r="S134">
        <f>IF($R134="","",Sync!$AG134&amp;"|"&amp;"5"&amp;RIGHT("00000"&amp;129,5))</f>
        <v/>
      </c>
      <c r="T134">
        <f>IF($S134="",0,COUNTIFS($S$6:$S$505,"&lt;"&amp;$S134)-COUNTIFS($S$6:$S$505,"&lt;"&amp;$S134,$R$6:$R$505,"")+1)</f>
        <v/>
      </c>
      <c r="V134">
        <f>IF($K134="","",IF(ISNUMBER(Sync!$AK134),Sync!$AK134,LEFT(Sync!$AK134,4)&amp;MID(Sync!$AK134,6,2)&amp;RIGHT(Sync!$AK134,2))&amp;"|"&amp;"4"&amp;RIGHT("00000"&amp;129,5))</f>
        <v/>
      </c>
      <c r="W134">
        <f>IF($V134="",0,COUNTIFS($V$6:$V$2005,"&lt;"&amp;$V134)-COUNTIFS($V$6:$V$2005,"&lt;"&amp;$V134,$K$6:$K$2005,"")+1)</f>
        <v/>
      </c>
      <c r="X134">
        <f>IF(Sync!$AX134="","",IF(OR(N(Sync!$AY134)=0,N(Sync!$AZ134)=0),"",ROUND(N(Sync!$AY134)*N(Sync!$AZ134),0)))</f>
        <v/>
      </c>
      <c r="Y134">
        <f>IF($X134="","",IF(OR(Sync!$AX134="",COUNTIF(AcctCodesA,Sync!$AX134)=0),"متفرقه",Sync!$AX134))</f>
        <v/>
      </c>
      <c r="Z134">
        <f>IF($X134="","","سبد و ظروف")</f>
        <v/>
      </c>
      <c r="AA134">
        <f>IF($X134="","",$Y134)</f>
        <v/>
      </c>
    </row>
    <row r="135">
      <c r="A135">
        <f>IF(Sync!$Z135="","",LEFT(UPPER(TRIM(Sync!$Z135)),6))</f>
        <v/>
      </c>
      <c r="B135">
        <f>IF($A135="","",IF(Sync!$AA135="","",Sync!$AA135))</f>
        <v/>
      </c>
      <c r="C135">
        <f>IF($A135="","",IF(Sync!$AB135="","",Sync!$AB135))</f>
        <v/>
      </c>
      <c r="D135">
        <f>IF($A135="","",IF(Sync!$AC135="","",Sync!$AC135))</f>
        <v/>
      </c>
      <c r="E135">
        <f>IF($A135="","",IF(Sync!$AD135="","",Sync!$AD135))</f>
        <v/>
      </c>
      <c r="F135">
        <f>IF($A135="","",IF(Sync!$AE135="",0,Sync!$AE135))</f>
        <v/>
      </c>
      <c r="G135">
        <f>IF($A135="","",IF(Sync!$AF135="",0,Sync!$AF135))</f>
        <v/>
      </c>
      <c r="H135">
        <f>IF(OR($A135="",ROUND($F135+$G135,2)=0),"",$F135+$G135)</f>
        <v/>
      </c>
      <c r="I135">
        <f>IF($H135="","",IF(ROUND($F135,2)&gt;0,$A135,IF($D135="شخصی قاسم","شخصی قاسم",IF($D135="هزینه","هزینه: "&amp;IF($E135="","متفرقه",$E135),IF($C135="پاس چک","چک پرداختی",IF(OR($B135="",COUNTIF(AcctCodesA,$B135)=0),"متفرقه",$B135))))))</f>
        <v/>
      </c>
      <c r="J135">
        <f>IF($H135="","",IF(ROUND($F135,2)&gt;0,IF($D135="شخصی قاسم","شخصی قاسم",IF($D135="هزینه","هزینه: "&amp;IF($E135="","متفرقه",$E135),IF(OR($B135="",COUNTIF(AcctCodesA,$B135)=0),"متفرقه",$B135))),$A135))</f>
        <v/>
      </c>
      <c r="K135">
        <f>IF($A135="","",IF(AND($B135&lt;&gt;"",COUNTIF(AcctCodesA,$B135)=0),"کد طرف در INFO تعریف نشده",IF(AND($D135="هزینه",$E135=""),"هزینه بدون زیرگروه",IF(AND($C135="پاس چک",OR(Sync!$AJ135="",COUNTIF(IssueNosA,Sync!$AJ135)=0)),"شماره چک پاس‌شده معتبر نیست",""))))</f>
        <v/>
      </c>
      <c r="M135">
        <f>IF(Sync!$AH135="","",Sync!$AH135)</f>
        <v/>
      </c>
      <c r="N135">
        <f>IF($M135="","",IF(OR(Sync!$AI135="",COUNTIF(AcctCodesA,Sync!$AI135)=0),"متفرقه",Sync!$AI135))</f>
        <v/>
      </c>
      <c r="O135">
        <f>IF($M135="","",$N135)</f>
        <v/>
      </c>
      <c r="P135">
        <f>IF($M135="","","چک پرداختی")</f>
        <v/>
      </c>
      <c r="R135">
        <f>IF($M135="","",IF(COUNTIF(AcctCodesA,Sync!$AI135)=0,"ذی‌نفع چک تعریف‌نشده",""))</f>
        <v/>
      </c>
      <c r="S135">
        <f>IF($R135="","",Sync!$AG135&amp;"|"&amp;"5"&amp;RIGHT("00000"&amp;130,5))</f>
        <v/>
      </c>
      <c r="T135">
        <f>IF($S135="",0,COUNTIFS($S$6:$S$505,"&lt;"&amp;$S135)-COUNTIFS($S$6:$S$505,"&lt;"&amp;$S135,$R$6:$R$505,"")+1)</f>
        <v/>
      </c>
      <c r="V135">
        <f>IF($K135="","",IF(ISNUMBER(Sync!$AK135),Sync!$AK135,LEFT(Sync!$AK135,4)&amp;MID(Sync!$AK135,6,2)&amp;RIGHT(Sync!$AK135,2))&amp;"|"&amp;"4"&amp;RIGHT("00000"&amp;130,5))</f>
        <v/>
      </c>
      <c r="W135">
        <f>IF($V135="",0,COUNTIFS($V$6:$V$2005,"&lt;"&amp;$V135)-COUNTIFS($V$6:$V$2005,"&lt;"&amp;$V135,$K$6:$K$2005,"")+1)</f>
        <v/>
      </c>
      <c r="X135">
        <f>IF(Sync!$AX135="","",IF(OR(N(Sync!$AY135)=0,N(Sync!$AZ135)=0),"",ROUND(N(Sync!$AY135)*N(Sync!$AZ135),0)))</f>
        <v/>
      </c>
      <c r="Y135">
        <f>IF($X135="","",IF(OR(Sync!$AX135="",COUNTIF(AcctCodesA,Sync!$AX135)=0),"متفرقه",Sync!$AX135))</f>
        <v/>
      </c>
      <c r="Z135">
        <f>IF($X135="","","سبد و ظروف")</f>
        <v/>
      </c>
      <c r="AA135">
        <f>IF($X135="","",$Y135)</f>
        <v/>
      </c>
    </row>
    <row r="136">
      <c r="A136">
        <f>IF(Sync!$Z136="","",LEFT(UPPER(TRIM(Sync!$Z136)),6))</f>
        <v/>
      </c>
      <c r="B136">
        <f>IF($A136="","",IF(Sync!$AA136="","",Sync!$AA136))</f>
        <v/>
      </c>
      <c r="C136">
        <f>IF($A136="","",IF(Sync!$AB136="","",Sync!$AB136))</f>
        <v/>
      </c>
      <c r="D136">
        <f>IF($A136="","",IF(Sync!$AC136="","",Sync!$AC136))</f>
        <v/>
      </c>
      <c r="E136">
        <f>IF($A136="","",IF(Sync!$AD136="","",Sync!$AD136))</f>
        <v/>
      </c>
      <c r="F136">
        <f>IF($A136="","",IF(Sync!$AE136="",0,Sync!$AE136))</f>
        <v/>
      </c>
      <c r="G136">
        <f>IF($A136="","",IF(Sync!$AF136="",0,Sync!$AF136))</f>
        <v/>
      </c>
      <c r="H136">
        <f>IF(OR($A136="",ROUND($F136+$G136,2)=0),"",$F136+$G136)</f>
        <v/>
      </c>
      <c r="I136">
        <f>IF($H136="","",IF(ROUND($F136,2)&gt;0,$A136,IF($D136="شخصی قاسم","شخصی قاسم",IF($D136="هزینه","هزینه: "&amp;IF($E136="","متفرقه",$E136),IF($C136="پاس چک","چک پرداختی",IF(OR($B136="",COUNTIF(AcctCodesA,$B136)=0),"متفرقه",$B136))))))</f>
        <v/>
      </c>
      <c r="J136">
        <f>IF($H136="","",IF(ROUND($F136,2)&gt;0,IF($D136="شخصی قاسم","شخصی قاسم",IF($D136="هزینه","هزینه: "&amp;IF($E136="","متفرقه",$E136),IF(OR($B136="",COUNTIF(AcctCodesA,$B136)=0),"متفرقه",$B136))),$A136))</f>
        <v/>
      </c>
      <c r="K136">
        <f>IF($A136="","",IF(AND($B136&lt;&gt;"",COUNTIF(AcctCodesA,$B136)=0),"کد طرف در INFO تعریف نشده",IF(AND($D136="هزینه",$E136=""),"هزینه بدون زیرگروه",IF(AND($C136="پاس چک",OR(Sync!$AJ136="",COUNTIF(IssueNosA,Sync!$AJ136)=0)),"شماره چک پاس‌شده معتبر نیست",""))))</f>
        <v/>
      </c>
      <c r="M136">
        <f>IF(Sync!$AH136="","",Sync!$AH136)</f>
        <v/>
      </c>
      <c r="N136">
        <f>IF($M136="","",IF(OR(Sync!$AI136="",COUNTIF(AcctCodesA,Sync!$AI136)=0),"متفرقه",Sync!$AI136))</f>
        <v/>
      </c>
      <c r="O136">
        <f>IF($M136="","",$N136)</f>
        <v/>
      </c>
      <c r="P136">
        <f>IF($M136="","","چک پرداختی")</f>
        <v/>
      </c>
      <c r="R136">
        <f>IF($M136="","",IF(COUNTIF(AcctCodesA,Sync!$AI136)=0,"ذی‌نفع چک تعریف‌نشده",""))</f>
        <v/>
      </c>
      <c r="S136">
        <f>IF($R136="","",Sync!$AG136&amp;"|"&amp;"5"&amp;RIGHT("00000"&amp;131,5))</f>
        <v/>
      </c>
      <c r="T136">
        <f>IF($S136="",0,COUNTIFS($S$6:$S$505,"&lt;"&amp;$S136)-COUNTIFS($S$6:$S$505,"&lt;"&amp;$S136,$R$6:$R$505,"")+1)</f>
        <v/>
      </c>
      <c r="V136">
        <f>IF($K136="","",IF(ISNUMBER(Sync!$AK136),Sync!$AK136,LEFT(Sync!$AK136,4)&amp;MID(Sync!$AK136,6,2)&amp;RIGHT(Sync!$AK136,2))&amp;"|"&amp;"4"&amp;RIGHT("00000"&amp;131,5))</f>
        <v/>
      </c>
      <c r="W136">
        <f>IF($V136="",0,COUNTIFS($V$6:$V$2005,"&lt;"&amp;$V136)-COUNTIFS($V$6:$V$2005,"&lt;"&amp;$V136,$K$6:$K$2005,"")+1)</f>
        <v/>
      </c>
      <c r="X136">
        <f>IF(Sync!$AX136="","",IF(OR(N(Sync!$AY136)=0,N(Sync!$AZ136)=0),"",ROUND(N(Sync!$AY136)*N(Sync!$AZ136),0)))</f>
        <v/>
      </c>
      <c r="Y136">
        <f>IF($X136="","",IF(OR(Sync!$AX136="",COUNTIF(AcctCodesA,Sync!$AX136)=0),"متفرقه",Sync!$AX136))</f>
        <v/>
      </c>
      <c r="Z136">
        <f>IF($X136="","","سبد و ظروف")</f>
        <v/>
      </c>
      <c r="AA136">
        <f>IF($X136="","",$Y136)</f>
        <v/>
      </c>
    </row>
    <row r="137">
      <c r="A137">
        <f>IF(Sync!$Z137="","",LEFT(UPPER(TRIM(Sync!$Z137)),6))</f>
        <v/>
      </c>
      <c r="B137">
        <f>IF($A137="","",IF(Sync!$AA137="","",Sync!$AA137))</f>
        <v/>
      </c>
      <c r="C137">
        <f>IF($A137="","",IF(Sync!$AB137="","",Sync!$AB137))</f>
        <v/>
      </c>
      <c r="D137">
        <f>IF($A137="","",IF(Sync!$AC137="","",Sync!$AC137))</f>
        <v/>
      </c>
      <c r="E137">
        <f>IF($A137="","",IF(Sync!$AD137="","",Sync!$AD137))</f>
        <v/>
      </c>
      <c r="F137">
        <f>IF($A137="","",IF(Sync!$AE137="",0,Sync!$AE137))</f>
        <v/>
      </c>
      <c r="G137">
        <f>IF($A137="","",IF(Sync!$AF137="",0,Sync!$AF137))</f>
        <v/>
      </c>
      <c r="H137">
        <f>IF(OR($A137="",ROUND($F137+$G137,2)=0),"",$F137+$G137)</f>
        <v/>
      </c>
      <c r="I137">
        <f>IF($H137="","",IF(ROUND($F137,2)&gt;0,$A137,IF($D137="شخصی قاسم","شخصی قاسم",IF($D137="هزینه","هزینه: "&amp;IF($E137="","متفرقه",$E137),IF($C137="پاس چک","چک پرداختی",IF(OR($B137="",COUNTIF(AcctCodesA,$B137)=0),"متفرقه",$B137))))))</f>
        <v/>
      </c>
      <c r="J137">
        <f>IF($H137="","",IF(ROUND($F137,2)&gt;0,IF($D137="شخصی قاسم","شخصی قاسم",IF($D137="هزینه","هزینه: "&amp;IF($E137="","متفرقه",$E137),IF(OR($B137="",COUNTIF(AcctCodesA,$B137)=0),"متفرقه",$B137))),$A137))</f>
        <v/>
      </c>
      <c r="K137">
        <f>IF($A137="","",IF(AND($B137&lt;&gt;"",COUNTIF(AcctCodesA,$B137)=0),"کد طرف در INFO تعریف نشده",IF(AND($D137="هزینه",$E137=""),"هزینه بدون زیرگروه",IF(AND($C137="پاس چک",OR(Sync!$AJ137="",COUNTIF(IssueNosA,Sync!$AJ137)=0)),"شماره چک پاس‌شده معتبر نیست",""))))</f>
        <v/>
      </c>
      <c r="M137">
        <f>IF(Sync!$AH137="","",Sync!$AH137)</f>
        <v/>
      </c>
      <c r="N137">
        <f>IF($M137="","",IF(OR(Sync!$AI137="",COUNTIF(AcctCodesA,Sync!$AI137)=0),"متفرقه",Sync!$AI137))</f>
        <v/>
      </c>
      <c r="O137">
        <f>IF($M137="","",$N137)</f>
        <v/>
      </c>
      <c r="P137">
        <f>IF($M137="","","چک پرداختی")</f>
        <v/>
      </c>
      <c r="R137">
        <f>IF($M137="","",IF(COUNTIF(AcctCodesA,Sync!$AI137)=0,"ذی‌نفع چک تعریف‌نشده",""))</f>
        <v/>
      </c>
      <c r="S137">
        <f>IF($R137="","",Sync!$AG137&amp;"|"&amp;"5"&amp;RIGHT("00000"&amp;132,5))</f>
        <v/>
      </c>
      <c r="T137">
        <f>IF($S137="",0,COUNTIFS($S$6:$S$505,"&lt;"&amp;$S137)-COUNTIFS($S$6:$S$505,"&lt;"&amp;$S137,$R$6:$R$505,"")+1)</f>
        <v/>
      </c>
      <c r="V137">
        <f>IF($K137="","",IF(ISNUMBER(Sync!$AK137),Sync!$AK137,LEFT(Sync!$AK137,4)&amp;MID(Sync!$AK137,6,2)&amp;RIGHT(Sync!$AK137,2))&amp;"|"&amp;"4"&amp;RIGHT("00000"&amp;132,5))</f>
        <v/>
      </c>
      <c r="W137">
        <f>IF($V137="",0,COUNTIFS($V$6:$V$2005,"&lt;"&amp;$V137)-COUNTIFS($V$6:$V$2005,"&lt;"&amp;$V137,$K$6:$K$2005,"")+1)</f>
        <v/>
      </c>
      <c r="X137">
        <f>IF(Sync!$AX137="","",IF(OR(N(Sync!$AY137)=0,N(Sync!$AZ137)=0),"",ROUND(N(Sync!$AY137)*N(Sync!$AZ137),0)))</f>
        <v/>
      </c>
      <c r="Y137">
        <f>IF($X137="","",IF(OR(Sync!$AX137="",COUNTIF(AcctCodesA,Sync!$AX137)=0),"متفرقه",Sync!$AX137))</f>
        <v/>
      </c>
      <c r="Z137">
        <f>IF($X137="","","سبد و ظروف")</f>
        <v/>
      </c>
      <c r="AA137">
        <f>IF($X137="","",$Y137)</f>
        <v/>
      </c>
    </row>
    <row r="138">
      <c r="A138">
        <f>IF(Sync!$Z138="","",LEFT(UPPER(TRIM(Sync!$Z138)),6))</f>
        <v/>
      </c>
      <c r="B138">
        <f>IF($A138="","",IF(Sync!$AA138="","",Sync!$AA138))</f>
        <v/>
      </c>
      <c r="C138">
        <f>IF($A138="","",IF(Sync!$AB138="","",Sync!$AB138))</f>
        <v/>
      </c>
      <c r="D138">
        <f>IF($A138="","",IF(Sync!$AC138="","",Sync!$AC138))</f>
        <v/>
      </c>
      <c r="E138">
        <f>IF($A138="","",IF(Sync!$AD138="","",Sync!$AD138))</f>
        <v/>
      </c>
      <c r="F138">
        <f>IF($A138="","",IF(Sync!$AE138="",0,Sync!$AE138))</f>
        <v/>
      </c>
      <c r="G138">
        <f>IF($A138="","",IF(Sync!$AF138="",0,Sync!$AF138))</f>
        <v/>
      </c>
      <c r="H138">
        <f>IF(OR($A138="",ROUND($F138+$G138,2)=0),"",$F138+$G138)</f>
        <v/>
      </c>
      <c r="I138">
        <f>IF($H138="","",IF(ROUND($F138,2)&gt;0,$A138,IF($D138="شخصی قاسم","شخصی قاسم",IF($D138="هزینه","هزینه: "&amp;IF($E138="","متفرقه",$E138),IF($C138="پاس چک","چک پرداختی",IF(OR($B138="",COUNTIF(AcctCodesA,$B138)=0),"متفرقه",$B138))))))</f>
        <v/>
      </c>
      <c r="J138">
        <f>IF($H138="","",IF(ROUND($F138,2)&gt;0,IF($D138="شخصی قاسم","شخصی قاسم",IF($D138="هزینه","هزینه: "&amp;IF($E138="","متفرقه",$E138),IF(OR($B138="",COUNTIF(AcctCodesA,$B138)=0),"متفرقه",$B138))),$A138))</f>
        <v/>
      </c>
      <c r="K138">
        <f>IF($A138="","",IF(AND($B138&lt;&gt;"",COUNTIF(AcctCodesA,$B138)=0),"کد طرف در INFO تعریف نشده",IF(AND($D138="هزینه",$E138=""),"هزینه بدون زیرگروه",IF(AND($C138="پاس چک",OR(Sync!$AJ138="",COUNTIF(IssueNosA,Sync!$AJ138)=0)),"شماره چک پاس‌شده معتبر نیست",""))))</f>
        <v/>
      </c>
      <c r="M138">
        <f>IF(Sync!$AH138="","",Sync!$AH138)</f>
        <v/>
      </c>
      <c r="N138">
        <f>IF($M138="","",IF(OR(Sync!$AI138="",COUNTIF(AcctCodesA,Sync!$AI138)=0),"متفرقه",Sync!$AI138))</f>
        <v/>
      </c>
      <c r="O138">
        <f>IF($M138="","",$N138)</f>
        <v/>
      </c>
      <c r="P138">
        <f>IF($M138="","","چک پرداختی")</f>
        <v/>
      </c>
      <c r="R138">
        <f>IF($M138="","",IF(COUNTIF(AcctCodesA,Sync!$AI138)=0,"ذی‌نفع چک تعریف‌نشده",""))</f>
        <v/>
      </c>
      <c r="S138">
        <f>IF($R138="","",Sync!$AG138&amp;"|"&amp;"5"&amp;RIGHT("00000"&amp;133,5))</f>
        <v/>
      </c>
      <c r="T138">
        <f>IF($S138="",0,COUNTIFS($S$6:$S$505,"&lt;"&amp;$S138)-COUNTIFS($S$6:$S$505,"&lt;"&amp;$S138,$R$6:$R$505,"")+1)</f>
        <v/>
      </c>
      <c r="V138">
        <f>IF($K138="","",IF(ISNUMBER(Sync!$AK138),Sync!$AK138,LEFT(Sync!$AK138,4)&amp;MID(Sync!$AK138,6,2)&amp;RIGHT(Sync!$AK138,2))&amp;"|"&amp;"4"&amp;RIGHT("00000"&amp;133,5))</f>
        <v/>
      </c>
      <c r="W138">
        <f>IF($V138="",0,COUNTIFS($V$6:$V$2005,"&lt;"&amp;$V138)-COUNTIFS($V$6:$V$2005,"&lt;"&amp;$V138,$K$6:$K$2005,"")+1)</f>
        <v/>
      </c>
      <c r="X138">
        <f>IF(Sync!$AX138="","",IF(OR(N(Sync!$AY138)=0,N(Sync!$AZ138)=0),"",ROUND(N(Sync!$AY138)*N(Sync!$AZ138),0)))</f>
        <v/>
      </c>
      <c r="Y138">
        <f>IF($X138="","",IF(OR(Sync!$AX138="",COUNTIF(AcctCodesA,Sync!$AX138)=0),"متفرقه",Sync!$AX138))</f>
        <v/>
      </c>
      <c r="Z138">
        <f>IF($X138="","","سبد و ظروف")</f>
        <v/>
      </c>
      <c r="AA138">
        <f>IF($X138="","",$Y138)</f>
        <v/>
      </c>
    </row>
    <row r="139">
      <c r="A139">
        <f>IF(Sync!$Z139="","",LEFT(UPPER(TRIM(Sync!$Z139)),6))</f>
        <v/>
      </c>
      <c r="B139">
        <f>IF($A139="","",IF(Sync!$AA139="","",Sync!$AA139))</f>
        <v/>
      </c>
      <c r="C139">
        <f>IF($A139="","",IF(Sync!$AB139="","",Sync!$AB139))</f>
        <v/>
      </c>
      <c r="D139">
        <f>IF($A139="","",IF(Sync!$AC139="","",Sync!$AC139))</f>
        <v/>
      </c>
      <c r="E139">
        <f>IF($A139="","",IF(Sync!$AD139="","",Sync!$AD139))</f>
        <v/>
      </c>
      <c r="F139">
        <f>IF($A139="","",IF(Sync!$AE139="",0,Sync!$AE139))</f>
        <v/>
      </c>
      <c r="G139">
        <f>IF($A139="","",IF(Sync!$AF139="",0,Sync!$AF139))</f>
        <v/>
      </c>
      <c r="H139">
        <f>IF(OR($A139="",ROUND($F139+$G139,2)=0),"",$F139+$G139)</f>
        <v/>
      </c>
      <c r="I139">
        <f>IF($H139="","",IF(ROUND($F139,2)&gt;0,$A139,IF($D139="شخصی قاسم","شخصی قاسم",IF($D139="هزینه","هزینه: "&amp;IF($E139="","متفرقه",$E139),IF($C139="پاس چک","چک پرداختی",IF(OR($B139="",COUNTIF(AcctCodesA,$B139)=0),"متفرقه",$B139))))))</f>
        <v/>
      </c>
      <c r="J139">
        <f>IF($H139="","",IF(ROUND($F139,2)&gt;0,IF($D139="شخصی قاسم","شخصی قاسم",IF($D139="هزینه","هزینه: "&amp;IF($E139="","متفرقه",$E139),IF(OR($B139="",COUNTIF(AcctCodesA,$B139)=0),"متفرقه",$B139))),$A139))</f>
        <v/>
      </c>
      <c r="K139">
        <f>IF($A139="","",IF(AND($B139&lt;&gt;"",COUNTIF(AcctCodesA,$B139)=0),"کد طرف در INFO تعریف نشده",IF(AND($D139="هزینه",$E139=""),"هزینه بدون زیرگروه",IF(AND($C139="پاس چک",OR(Sync!$AJ139="",COUNTIF(IssueNosA,Sync!$AJ139)=0)),"شماره چک پاس‌شده معتبر نیست",""))))</f>
        <v/>
      </c>
      <c r="M139">
        <f>IF(Sync!$AH139="","",Sync!$AH139)</f>
        <v/>
      </c>
      <c r="N139">
        <f>IF($M139="","",IF(OR(Sync!$AI139="",COUNTIF(AcctCodesA,Sync!$AI139)=0),"متفرقه",Sync!$AI139))</f>
        <v/>
      </c>
      <c r="O139">
        <f>IF($M139="","",$N139)</f>
        <v/>
      </c>
      <c r="P139">
        <f>IF($M139="","","چک پرداختی")</f>
        <v/>
      </c>
      <c r="R139">
        <f>IF($M139="","",IF(COUNTIF(AcctCodesA,Sync!$AI139)=0,"ذی‌نفع چک تعریف‌نشده",""))</f>
        <v/>
      </c>
      <c r="S139">
        <f>IF($R139="","",Sync!$AG139&amp;"|"&amp;"5"&amp;RIGHT("00000"&amp;134,5))</f>
        <v/>
      </c>
      <c r="T139">
        <f>IF($S139="",0,COUNTIFS($S$6:$S$505,"&lt;"&amp;$S139)-COUNTIFS($S$6:$S$505,"&lt;"&amp;$S139,$R$6:$R$505,"")+1)</f>
        <v/>
      </c>
      <c r="V139">
        <f>IF($K139="","",IF(ISNUMBER(Sync!$AK139),Sync!$AK139,LEFT(Sync!$AK139,4)&amp;MID(Sync!$AK139,6,2)&amp;RIGHT(Sync!$AK139,2))&amp;"|"&amp;"4"&amp;RIGHT("00000"&amp;134,5))</f>
        <v/>
      </c>
      <c r="W139">
        <f>IF($V139="",0,COUNTIFS($V$6:$V$2005,"&lt;"&amp;$V139)-COUNTIFS($V$6:$V$2005,"&lt;"&amp;$V139,$K$6:$K$2005,"")+1)</f>
        <v/>
      </c>
      <c r="X139">
        <f>IF(Sync!$AX139="","",IF(OR(N(Sync!$AY139)=0,N(Sync!$AZ139)=0),"",ROUND(N(Sync!$AY139)*N(Sync!$AZ139),0)))</f>
        <v/>
      </c>
      <c r="Y139">
        <f>IF($X139="","",IF(OR(Sync!$AX139="",COUNTIF(AcctCodesA,Sync!$AX139)=0),"متفرقه",Sync!$AX139))</f>
        <v/>
      </c>
      <c r="Z139">
        <f>IF($X139="","","سبد و ظروف")</f>
        <v/>
      </c>
      <c r="AA139">
        <f>IF($X139="","",$Y139)</f>
        <v/>
      </c>
    </row>
    <row r="140">
      <c r="A140">
        <f>IF(Sync!$Z140="","",LEFT(UPPER(TRIM(Sync!$Z140)),6))</f>
        <v/>
      </c>
      <c r="B140">
        <f>IF($A140="","",IF(Sync!$AA140="","",Sync!$AA140))</f>
        <v/>
      </c>
      <c r="C140">
        <f>IF($A140="","",IF(Sync!$AB140="","",Sync!$AB140))</f>
        <v/>
      </c>
      <c r="D140">
        <f>IF($A140="","",IF(Sync!$AC140="","",Sync!$AC140))</f>
        <v/>
      </c>
      <c r="E140">
        <f>IF($A140="","",IF(Sync!$AD140="","",Sync!$AD140))</f>
        <v/>
      </c>
      <c r="F140">
        <f>IF($A140="","",IF(Sync!$AE140="",0,Sync!$AE140))</f>
        <v/>
      </c>
      <c r="G140">
        <f>IF($A140="","",IF(Sync!$AF140="",0,Sync!$AF140))</f>
        <v/>
      </c>
      <c r="H140">
        <f>IF(OR($A140="",ROUND($F140+$G140,2)=0),"",$F140+$G140)</f>
        <v/>
      </c>
      <c r="I140">
        <f>IF($H140="","",IF(ROUND($F140,2)&gt;0,$A140,IF($D140="شخصی قاسم","شخصی قاسم",IF($D140="هزینه","هزینه: "&amp;IF($E140="","متفرقه",$E140),IF($C140="پاس چک","چک پرداختی",IF(OR($B140="",COUNTIF(AcctCodesA,$B140)=0),"متفرقه",$B140))))))</f>
        <v/>
      </c>
      <c r="J140">
        <f>IF($H140="","",IF(ROUND($F140,2)&gt;0,IF($D140="شخصی قاسم","شخصی قاسم",IF($D140="هزینه","هزینه: "&amp;IF($E140="","متفرقه",$E140),IF(OR($B140="",COUNTIF(AcctCodesA,$B140)=0),"متفرقه",$B140))),$A140))</f>
        <v/>
      </c>
      <c r="K140">
        <f>IF($A140="","",IF(AND($B140&lt;&gt;"",COUNTIF(AcctCodesA,$B140)=0),"کد طرف در INFO تعریف نشده",IF(AND($D140="هزینه",$E140=""),"هزینه بدون زیرگروه",IF(AND($C140="پاس چک",OR(Sync!$AJ140="",COUNTIF(IssueNosA,Sync!$AJ140)=0)),"شماره چک پاس‌شده معتبر نیست",""))))</f>
        <v/>
      </c>
      <c r="M140">
        <f>IF(Sync!$AH140="","",Sync!$AH140)</f>
        <v/>
      </c>
      <c r="N140">
        <f>IF($M140="","",IF(OR(Sync!$AI140="",COUNTIF(AcctCodesA,Sync!$AI140)=0),"متفرقه",Sync!$AI140))</f>
        <v/>
      </c>
      <c r="O140">
        <f>IF($M140="","",$N140)</f>
        <v/>
      </c>
      <c r="P140">
        <f>IF($M140="","","چک پرداختی")</f>
        <v/>
      </c>
      <c r="R140">
        <f>IF($M140="","",IF(COUNTIF(AcctCodesA,Sync!$AI140)=0,"ذی‌نفع چک تعریف‌نشده",""))</f>
        <v/>
      </c>
      <c r="S140">
        <f>IF($R140="","",Sync!$AG140&amp;"|"&amp;"5"&amp;RIGHT("00000"&amp;135,5))</f>
        <v/>
      </c>
      <c r="T140">
        <f>IF($S140="",0,COUNTIFS($S$6:$S$505,"&lt;"&amp;$S140)-COUNTIFS($S$6:$S$505,"&lt;"&amp;$S140,$R$6:$R$505,"")+1)</f>
        <v/>
      </c>
      <c r="V140">
        <f>IF($K140="","",IF(ISNUMBER(Sync!$AK140),Sync!$AK140,LEFT(Sync!$AK140,4)&amp;MID(Sync!$AK140,6,2)&amp;RIGHT(Sync!$AK140,2))&amp;"|"&amp;"4"&amp;RIGHT("00000"&amp;135,5))</f>
        <v/>
      </c>
      <c r="W140">
        <f>IF($V140="",0,COUNTIFS($V$6:$V$2005,"&lt;"&amp;$V140)-COUNTIFS($V$6:$V$2005,"&lt;"&amp;$V140,$K$6:$K$2005,"")+1)</f>
        <v/>
      </c>
      <c r="X140">
        <f>IF(Sync!$AX140="","",IF(OR(N(Sync!$AY140)=0,N(Sync!$AZ140)=0),"",ROUND(N(Sync!$AY140)*N(Sync!$AZ140),0)))</f>
        <v/>
      </c>
      <c r="Y140">
        <f>IF($X140="","",IF(OR(Sync!$AX140="",COUNTIF(AcctCodesA,Sync!$AX140)=0),"متفرقه",Sync!$AX140))</f>
        <v/>
      </c>
      <c r="Z140">
        <f>IF($X140="","","سبد و ظروف")</f>
        <v/>
      </c>
      <c r="AA140">
        <f>IF($X140="","",$Y140)</f>
        <v/>
      </c>
    </row>
    <row r="141">
      <c r="A141">
        <f>IF(Sync!$Z141="","",LEFT(UPPER(TRIM(Sync!$Z141)),6))</f>
        <v/>
      </c>
      <c r="B141">
        <f>IF($A141="","",IF(Sync!$AA141="","",Sync!$AA141))</f>
        <v/>
      </c>
      <c r="C141">
        <f>IF($A141="","",IF(Sync!$AB141="","",Sync!$AB141))</f>
        <v/>
      </c>
      <c r="D141">
        <f>IF($A141="","",IF(Sync!$AC141="","",Sync!$AC141))</f>
        <v/>
      </c>
      <c r="E141">
        <f>IF($A141="","",IF(Sync!$AD141="","",Sync!$AD141))</f>
        <v/>
      </c>
      <c r="F141">
        <f>IF($A141="","",IF(Sync!$AE141="",0,Sync!$AE141))</f>
        <v/>
      </c>
      <c r="G141">
        <f>IF($A141="","",IF(Sync!$AF141="",0,Sync!$AF141))</f>
        <v/>
      </c>
      <c r="H141">
        <f>IF(OR($A141="",ROUND($F141+$G141,2)=0),"",$F141+$G141)</f>
        <v/>
      </c>
      <c r="I141">
        <f>IF($H141="","",IF(ROUND($F141,2)&gt;0,$A141,IF($D141="شخصی قاسم","شخصی قاسم",IF($D141="هزینه","هزینه: "&amp;IF($E141="","متفرقه",$E141),IF($C141="پاس چک","چک پرداختی",IF(OR($B141="",COUNTIF(AcctCodesA,$B141)=0),"متفرقه",$B141))))))</f>
        <v/>
      </c>
      <c r="J141">
        <f>IF($H141="","",IF(ROUND($F141,2)&gt;0,IF($D141="شخصی قاسم","شخصی قاسم",IF($D141="هزینه","هزینه: "&amp;IF($E141="","متفرقه",$E141),IF(OR($B141="",COUNTIF(AcctCodesA,$B141)=0),"متفرقه",$B141))),$A141))</f>
        <v/>
      </c>
      <c r="K141">
        <f>IF($A141="","",IF(AND($B141&lt;&gt;"",COUNTIF(AcctCodesA,$B141)=0),"کد طرف در INFO تعریف نشده",IF(AND($D141="هزینه",$E141=""),"هزینه بدون زیرگروه",IF(AND($C141="پاس چک",OR(Sync!$AJ141="",COUNTIF(IssueNosA,Sync!$AJ141)=0)),"شماره چک پاس‌شده معتبر نیست",""))))</f>
        <v/>
      </c>
      <c r="M141">
        <f>IF(Sync!$AH141="","",Sync!$AH141)</f>
        <v/>
      </c>
      <c r="N141">
        <f>IF($M141="","",IF(OR(Sync!$AI141="",COUNTIF(AcctCodesA,Sync!$AI141)=0),"متفرقه",Sync!$AI141))</f>
        <v/>
      </c>
      <c r="O141">
        <f>IF($M141="","",$N141)</f>
        <v/>
      </c>
      <c r="P141">
        <f>IF($M141="","","چک پرداختی")</f>
        <v/>
      </c>
      <c r="R141">
        <f>IF($M141="","",IF(COUNTIF(AcctCodesA,Sync!$AI141)=0,"ذی‌نفع چک تعریف‌نشده",""))</f>
        <v/>
      </c>
      <c r="S141">
        <f>IF($R141="","",Sync!$AG141&amp;"|"&amp;"5"&amp;RIGHT("00000"&amp;136,5))</f>
        <v/>
      </c>
      <c r="T141">
        <f>IF($S141="",0,COUNTIFS($S$6:$S$505,"&lt;"&amp;$S141)-COUNTIFS($S$6:$S$505,"&lt;"&amp;$S141,$R$6:$R$505,"")+1)</f>
        <v/>
      </c>
      <c r="V141">
        <f>IF($K141="","",IF(ISNUMBER(Sync!$AK141),Sync!$AK141,LEFT(Sync!$AK141,4)&amp;MID(Sync!$AK141,6,2)&amp;RIGHT(Sync!$AK141,2))&amp;"|"&amp;"4"&amp;RIGHT("00000"&amp;136,5))</f>
        <v/>
      </c>
      <c r="W141">
        <f>IF($V141="",0,COUNTIFS($V$6:$V$2005,"&lt;"&amp;$V141)-COUNTIFS($V$6:$V$2005,"&lt;"&amp;$V141,$K$6:$K$2005,"")+1)</f>
        <v/>
      </c>
      <c r="X141">
        <f>IF(Sync!$AX141="","",IF(OR(N(Sync!$AY141)=0,N(Sync!$AZ141)=0),"",ROUND(N(Sync!$AY141)*N(Sync!$AZ141),0)))</f>
        <v/>
      </c>
      <c r="Y141">
        <f>IF($X141="","",IF(OR(Sync!$AX141="",COUNTIF(AcctCodesA,Sync!$AX141)=0),"متفرقه",Sync!$AX141))</f>
        <v/>
      </c>
      <c r="Z141">
        <f>IF($X141="","","سبد و ظروف")</f>
        <v/>
      </c>
      <c r="AA141">
        <f>IF($X141="","",$Y141)</f>
        <v/>
      </c>
    </row>
    <row r="142">
      <c r="A142">
        <f>IF(Sync!$Z142="","",LEFT(UPPER(TRIM(Sync!$Z142)),6))</f>
        <v/>
      </c>
      <c r="B142">
        <f>IF($A142="","",IF(Sync!$AA142="","",Sync!$AA142))</f>
        <v/>
      </c>
      <c r="C142">
        <f>IF($A142="","",IF(Sync!$AB142="","",Sync!$AB142))</f>
        <v/>
      </c>
      <c r="D142">
        <f>IF($A142="","",IF(Sync!$AC142="","",Sync!$AC142))</f>
        <v/>
      </c>
      <c r="E142">
        <f>IF($A142="","",IF(Sync!$AD142="","",Sync!$AD142))</f>
        <v/>
      </c>
      <c r="F142">
        <f>IF($A142="","",IF(Sync!$AE142="",0,Sync!$AE142))</f>
        <v/>
      </c>
      <c r="G142">
        <f>IF($A142="","",IF(Sync!$AF142="",0,Sync!$AF142))</f>
        <v/>
      </c>
      <c r="H142">
        <f>IF(OR($A142="",ROUND($F142+$G142,2)=0),"",$F142+$G142)</f>
        <v/>
      </c>
      <c r="I142">
        <f>IF($H142="","",IF(ROUND($F142,2)&gt;0,$A142,IF($D142="شخصی قاسم","شخصی قاسم",IF($D142="هزینه","هزینه: "&amp;IF($E142="","متفرقه",$E142),IF($C142="پاس چک","چک پرداختی",IF(OR($B142="",COUNTIF(AcctCodesA,$B142)=0),"متفرقه",$B142))))))</f>
        <v/>
      </c>
      <c r="J142">
        <f>IF($H142="","",IF(ROUND($F142,2)&gt;0,IF($D142="شخصی قاسم","شخصی قاسم",IF($D142="هزینه","هزینه: "&amp;IF($E142="","متفرقه",$E142),IF(OR($B142="",COUNTIF(AcctCodesA,$B142)=0),"متفرقه",$B142))),$A142))</f>
        <v/>
      </c>
      <c r="K142">
        <f>IF($A142="","",IF(AND($B142&lt;&gt;"",COUNTIF(AcctCodesA,$B142)=0),"کد طرف در INFO تعریف نشده",IF(AND($D142="هزینه",$E142=""),"هزینه بدون زیرگروه",IF(AND($C142="پاس چک",OR(Sync!$AJ142="",COUNTIF(IssueNosA,Sync!$AJ142)=0)),"شماره چک پاس‌شده معتبر نیست",""))))</f>
        <v/>
      </c>
      <c r="M142">
        <f>IF(Sync!$AH142="","",Sync!$AH142)</f>
        <v/>
      </c>
      <c r="N142">
        <f>IF($M142="","",IF(OR(Sync!$AI142="",COUNTIF(AcctCodesA,Sync!$AI142)=0),"متفرقه",Sync!$AI142))</f>
        <v/>
      </c>
      <c r="O142">
        <f>IF($M142="","",$N142)</f>
        <v/>
      </c>
      <c r="P142">
        <f>IF($M142="","","چک پرداختی")</f>
        <v/>
      </c>
      <c r="R142">
        <f>IF($M142="","",IF(COUNTIF(AcctCodesA,Sync!$AI142)=0,"ذی‌نفع چک تعریف‌نشده",""))</f>
        <v/>
      </c>
      <c r="S142">
        <f>IF($R142="","",Sync!$AG142&amp;"|"&amp;"5"&amp;RIGHT("00000"&amp;137,5))</f>
        <v/>
      </c>
      <c r="T142">
        <f>IF($S142="",0,COUNTIFS($S$6:$S$505,"&lt;"&amp;$S142)-COUNTIFS($S$6:$S$505,"&lt;"&amp;$S142,$R$6:$R$505,"")+1)</f>
        <v/>
      </c>
      <c r="V142">
        <f>IF($K142="","",IF(ISNUMBER(Sync!$AK142),Sync!$AK142,LEFT(Sync!$AK142,4)&amp;MID(Sync!$AK142,6,2)&amp;RIGHT(Sync!$AK142,2))&amp;"|"&amp;"4"&amp;RIGHT("00000"&amp;137,5))</f>
        <v/>
      </c>
      <c r="W142">
        <f>IF($V142="",0,COUNTIFS($V$6:$V$2005,"&lt;"&amp;$V142)-COUNTIFS($V$6:$V$2005,"&lt;"&amp;$V142,$K$6:$K$2005,"")+1)</f>
        <v/>
      </c>
      <c r="X142">
        <f>IF(Sync!$AX142="","",IF(OR(N(Sync!$AY142)=0,N(Sync!$AZ142)=0),"",ROUND(N(Sync!$AY142)*N(Sync!$AZ142),0)))</f>
        <v/>
      </c>
      <c r="Y142">
        <f>IF($X142="","",IF(OR(Sync!$AX142="",COUNTIF(AcctCodesA,Sync!$AX142)=0),"متفرقه",Sync!$AX142))</f>
        <v/>
      </c>
      <c r="Z142">
        <f>IF($X142="","","سبد و ظروف")</f>
        <v/>
      </c>
      <c r="AA142">
        <f>IF($X142="","",$Y142)</f>
        <v/>
      </c>
    </row>
    <row r="143">
      <c r="A143">
        <f>IF(Sync!$Z143="","",LEFT(UPPER(TRIM(Sync!$Z143)),6))</f>
        <v/>
      </c>
      <c r="B143">
        <f>IF($A143="","",IF(Sync!$AA143="","",Sync!$AA143))</f>
        <v/>
      </c>
      <c r="C143">
        <f>IF($A143="","",IF(Sync!$AB143="","",Sync!$AB143))</f>
        <v/>
      </c>
      <c r="D143">
        <f>IF($A143="","",IF(Sync!$AC143="","",Sync!$AC143))</f>
        <v/>
      </c>
      <c r="E143">
        <f>IF($A143="","",IF(Sync!$AD143="","",Sync!$AD143))</f>
        <v/>
      </c>
      <c r="F143">
        <f>IF($A143="","",IF(Sync!$AE143="",0,Sync!$AE143))</f>
        <v/>
      </c>
      <c r="G143">
        <f>IF($A143="","",IF(Sync!$AF143="",0,Sync!$AF143))</f>
        <v/>
      </c>
      <c r="H143">
        <f>IF(OR($A143="",ROUND($F143+$G143,2)=0),"",$F143+$G143)</f>
        <v/>
      </c>
      <c r="I143">
        <f>IF($H143="","",IF(ROUND($F143,2)&gt;0,$A143,IF($D143="شخصی قاسم","شخصی قاسم",IF($D143="هزینه","هزینه: "&amp;IF($E143="","متفرقه",$E143),IF($C143="پاس چک","چک پرداختی",IF(OR($B143="",COUNTIF(AcctCodesA,$B143)=0),"متفرقه",$B143))))))</f>
        <v/>
      </c>
      <c r="J143">
        <f>IF($H143="","",IF(ROUND($F143,2)&gt;0,IF($D143="شخصی قاسم","شخصی قاسم",IF($D143="هزینه","هزینه: "&amp;IF($E143="","متفرقه",$E143),IF(OR($B143="",COUNTIF(AcctCodesA,$B143)=0),"متفرقه",$B143))),$A143))</f>
        <v/>
      </c>
      <c r="K143">
        <f>IF($A143="","",IF(AND($B143&lt;&gt;"",COUNTIF(AcctCodesA,$B143)=0),"کد طرف در INFO تعریف نشده",IF(AND($D143="هزینه",$E143=""),"هزینه بدون زیرگروه",IF(AND($C143="پاس چک",OR(Sync!$AJ143="",COUNTIF(IssueNosA,Sync!$AJ143)=0)),"شماره چک پاس‌شده معتبر نیست",""))))</f>
        <v/>
      </c>
      <c r="M143">
        <f>IF(Sync!$AH143="","",Sync!$AH143)</f>
        <v/>
      </c>
      <c r="N143">
        <f>IF($M143="","",IF(OR(Sync!$AI143="",COUNTIF(AcctCodesA,Sync!$AI143)=0),"متفرقه",Sync!$AI143))</f>
        <v/>
      </c>
      <c r="O143">
        <f>IF($M143="","",$N143)</f>
        <v/>
      </c>
      <c r="P143">
        <f>IF($M143="","","چک پرداختی")</f>
        <v/>
      </c>
      <c r="R143">
        <f>IF($M143="","",IF(COUNTIF(AcctCodesA,Sync!$AI143)=0,"ذی‌نفع چک تعریف‌نشده",""))</f>
        <v/>
      </c>
      <c r="S143">
        <f>IF($R143="","",Sync!$AG143&amp;"|"&amp;"5"&amp;RIGHT("00000"&amp;138,5))</f>
        <v/>
      </c>
      <c r="T143">
        <f>IF($S143="",0,COUNTIFS($S$6:$S$505,"&lt;"&amp;$S143)-COUNTIFS($S$6:$S$505,"&lt;"&amp;$S143,$R$6:$R$505,"")+1)</f>
        <v/>
      </c>
      <c r="V143">
        <f>IF($K143="","",IF(ISNUMBER(Sync!$AK143),Sync!$AK143,LEFT(Sync!$AK143,4)&amp;MID(Sync!$AK143,6,2)&amp;RIGHT(Sync!$AK143,2))&amp;"|"&amp;"4"&amp;RIGHT("00000"&amp;138,5))</f>
        <v/>
      </c>
      <c r="W143">
        <f>IF($V143="",0,COUNTIFS($V$6:$V$2005,"&lt;"&amp;$V143)-COUNTIFS($V$6:$V$2005,"&lt;"&amp;$V143,$K$6:$K$2005,"")+1)</f>
        <v/>
      </c>
      <c r="X143">
        <f>IF(Sync!$AX143="","",IF(OR(N(Sync!$AY143)=0,N(Sync!$AZ143)=0),"",ROUND(N(Sync!$AY143)*N(Sync!$AZ143),0)))</f>
        <v/>
      </c>
      <c r="Y143">
        <f>IF($X143="","",IF(OR(Sync!$AX143="",COUNTIF(AcctCodesA,Sync!$AX143)=0),"متفرقه",Sync!$AX143))</f>
        <v/>
      </c>
      <c r="Z143">
        <f>IF($X143="","","سبد و ظروف")</f>
        <v/>
      </c>
      <c r="AA143">
        <f>IF($X143="","",$Y143)</f>
        <v/>
      </c>
    </row>
    <row r="144">
      <c r="A144">
        <f>IF(Sync!$Z144="","",LEFT(UPPER(TRIM(Sync!$Z144)),6))</f>
        <v/>
      </c>
      <c r="B144">
        <f>IF($A144="","",IF(Sync!$AA144="","",Sync!$AA144))</f>
        <v/>
      </c>
      <c r="C144">
        <f>IF($A144="","",IF(Sync!$AB144="","",Sync!$AB144))</f>
        <v/>
      </c>
      <c r="D144">
        <f>IF($A144="","",IF(Sync!$AC144="","",Sync!$AC144))</f>
        <v/>
      </c>
      <c r="E144">
        <f>IF($A144="","",IF(Sync!$AD144="","",Sync!$AD144))</f>
        <v/>
      </c>
      <c r="F144">
        <f>IF($A144="","",IF(Sync!$AE144="",0,Sync!$AE144))</f>
        <v/>
      </c>
      <c r="G144">
        <f>IF($A144="","",IF(Sync!$AF144="",0,Sync!$AF144))</f>
        <v/>
      </c>
      <c r="H144">
        <f>IF(OR($A144="",ROUND($F144+$G144,2)=0),"",$F144+$G144)</f>
        <v/>
      </c>
      <c r="I144">
        <f>IF($H144="","",IF(ROUND($F144,2)&gt;0,$A144,IF($D144="شخصی قاسم","شخصی قاسم",IF($D144="هزینه","هزینه: "&amp;IF($E144="","متفرقه",$E144),IF($C144="پاس چک","چک پرداختی",IF(OR($B144="",COUNTIF(AcctCodesA,$B144)=0),"متفرقه",$B144))))))</f>
        <v/>
      </c>
      <c r="J144">
        <f>IF($H144="","",IF(ROUND($F144,2)&gt;0,IF($D144="شخصی قاسم","شخصی قاسم",IF($D144="هزینه","هزینه: "&amp;IF($E144="","متفرقه",$E144),IF(OR($B144="",COUNTIF(AcctCodesA,$B144)=0),"متفرقه",$B144))),$A144))</f>
        <v/>
      </c>
      <c r="K144">
        <f>IF($A144="","",IF(AND($B144&lt;&gt;"",COUNTIF(AcctCodesA,$B144)=0),"کد طرف در INFO تعریف نشده",IF(AND($D144="هزینه",$E144=""),"هزینه بدون زیرگروه",IF(AND($C144="پاس چک",OR(Sync!$AJ144="",COUNTIF(IssueNosA,Sync!$AJ144)=0)),"شماره چک پاس‌شده معتبر نیست",""))))</f>
        <v/>
      </c>
      <c r="M144">
        <f>IF(Sync!$AH144="","",Sync!$AH144)</f>
        <v/>
      </c>
      <c r="N144">
        <f>IF($M144="","",IF(OR(Sync!$AI144="",COUNTIF(AcctCodesA,Sync!$AI144)=0),"متفرقه",Sync!$AI144))</f>
        <v/>
      </c>
      <c r="O144">
        <f>IF($M144="","",$N144)</f>
        <v/>
      </c>
      <c r="P144">
        <f>IF($M144="","","چک پرداختی")</f>
        <v/>
      </c>
      <c r="R144">
        <f>IF($M144="","",IF(COUNTIF(AcctCodesA,Sync!$AI144)=0,"ذی‌نفع چک تعریف‌نشده",""))</f>
        <v/>
      </c>
      <c r="S144">
        <f>IF($R144="","",Sync!$AG144&amp;"|"&amp;"5"&amp;RIGHT("00000"&amp;139,5))</f>
        <v/>
      </c>
      <c r="T144">
        <f>IF($S144="",0,COUNTIFS($S$6:$S$505,"&lt;"&amp;$S144)-COUNTIFS($S$6:$S$505,"&lt;"&amp;$S144,$R$6:$R$505,"")+1)</f>
        <v/>
      </c>
      <c r="V144">
        <f>IF($K144="","",IF(ISNUMBER(Sync!$AK144),Sync!$AK144,LEFT(Sync!$AK144,4)&amp;MID(Sync!$AK144,6,2)&amp;RIGHT(Sync!$AK144,2))&amp;"|"&amp;"4"&amp;RIGHT("00000"&amp;139,5))</f>
        <v/>
      </c>
      <c r="W144">
        <f>IF($V144="",0,COUNTIFS($V$6:$V$2005,"&lt;"&amp;$V144)-COUNTIFS($V$6:$V$2005,"&lt;"&amp;$V144,$K$6:$K$2005,"")+1)</f>
        <v/>
      </c>
      <c r="X144">
        <f>IF(Sync!$AX144="","",IF(OR(N(Sync!$AY144)=0,N(Sync!$AZ144)=0),"",ROUND(N(Sync!$AY144)*N(Sync!$AZ144),0)))</f>
        <v/>
      </c>
      <c r="Y144">
        <f>IF($X144="","",IF(OR(Sync!$AX144="",COUNTIF(AcctCodesA,Sync!$AX144)=0),"متفرقه",Sync!$AX144))</f>
        <v/>
      </c>
      <c r="Z144">
        <f>IF($X144="","","سبد و ظروف")</f>
        <v/>
      </c>
      <c r="AA144">
        <f>IF($X144="","",$Y144)</f>
        <v/>
      </c>
    </row>
    <row r="145">
      <c r="A145">
        <f>IF(Sync!$Z145="","",LEFT(UPPER(TRIM(Sync!$Z145)),6))</f>
        <v/>
      </c>
      <c r="B145">
        <f>IF($A145="","",IF(Sync!$AA145="","",Sync!$AA145))</f>
        <v/>
      </c>
      <c r="C145">
        <f>IF($A145="","",IF(Sync!$AB145="","",Sync!$AB145))</f>
        <v/>
      </c>
      <c r="D145">
        <f>IF($A145="","",IF(Sync!$AC145="","",Sync!$AC145))</f>
        <v/>
      </c>
      <c r="E145">
        <f>IF($A145="","",IF(Sync!$AD145="","",Sync!$AD145))</f>
        <v/>
      </c>
      <c r="F145">
        <f>IF($A145="","",IF(Sync!$AE145="",0,Sync!$AE145))</f>
        <v/>
      </c>
      <c r="G145">
        <f>IF($A145="","",IF(Sync!$AF145="",0,Sync!$AF145))</f>
        <v/>
      </c>
      <c r="H145">
        <f>IF(OR($A145="",ROUND($F145+$G145,2)=0),"",$F145+$G145)</f>
        <v/>
      </c>
      <c r="I145">
        <f>IF($H145="","",IF(ROUND($F145,2)&gt;0,$A145,IF($D145="شخصی قاسم","شخصی قاسم",IF($D145="هزینه","هزینه: "&amp;IF($E145="","متفرقه",$E145),IF($C145="پاس چک","چک پرداختی",IF(OR($B145="",COUNTIF(AcctCodesA,$B145)=0),"متفرقه",$B145))))))</f>
        <v/>
      </c>
      <c r="J145">
        <f>IF($H145="","",IF(ROUND($F145,2)&gt;0,IF($D145="شخصی قاسم","شخصی قاسم",IF($D145="هزینه","هزینه: "&amp;IF($E145="","متفرقه",$E145),IF(OR($B145="",COUNTIF(AcctCodesA,$B145)=0),"متفرقه",$B145))),$A145))</f>
        <v/>
      </c>
      <c r="K145">
        <f>IF($A145="","",IF(AND($B145&lt;&gt;"",COUNTIF(AcctCodesA,$B145)=0),"کد طرف در INFO تعریف نشده",IF(AND($D145="هزینه",$E145=""),"هزینه بدون زیرگروه",IF(AND($C145="پاس چک",OR(Sync!$AJ145="",COUNTIF(IssueNosA,Sync!$AJ145)=0)),"شماره چک پاس‌شده معتبر نیست",""))))</f>
        <v/>
      </c>
      <c r="M145">
        <f>IF(Sync!$AH145="","",Sync!$AH145)</f>
        <v/>
      </c>
      <c r="N145">
        <f>IF($M145="","",IF(OR(Sync!$AI145="",COUNTIF(AcctCodesA,Sync!$AI145)=0),"متفرقه",Sync!$AI145))</f>
        <v/>
      </c>
      <c r="O145">
        <f>IF($M145="","",$N145)</f>
        <v/>
      </c>
      <c r="P145">
        <f>IF($M145="","","چک پرداختی")</f>
        <v/>
      </c>
      <c r="R145">
        <f>IF($M145="","",IF(COUNTIF(AcctCodesA,Sync!$AI145)=0,"ذی‌نفع چک تعریف‌نشده",""))</f>
        <v/>
      </c>
      <c r="S145">
        <f>IF($R145="","",Sync!$AG145&amp;"|"&amp;"5"&amp;RIGHT("00000"&amp;140,5))</f>
        <v/>
      </c>
      <c r="T145">
        <f>IF($S145="",0,COUNTIFS($S$6:$S$505,"&lt;"&amp;$S145)-COUNTIFS($S$6:$S$505,"&lt;"&amp;$S145,$R$6:$R$505,"")+1)</f>
        <v/>
      </c>
      <c r="V145">
        <f>IF($K145="","",IF(ISNUMBER(Sync!$AK145),Sync!$AK145,LEFT(Sync!$AK145,4)&amp;MID(Sync!$AK145,6,2)&amp;RIGHT(Sync!$AK145,2))&amp;"|"&amp;"4"&amp;RIGHT("00000"&amp;140,5))</f>
        <v/>
      </c>
      <c r="W145">
        <f>IF($V145="",0,COUNTIFS($V$6:$V$2005,"&lt;"&amp;$V145)-COUNTIFS($V$6:$V$2005,"&lt;"&amp;$V145,$K$6:$K$2005,"")+1)</f>
        <v/>
      </c>
      <c r="X145">
        <f>IF(Sync!$AX145="","",IF(OR(N(Sync!$AY145)=0,N(Sync!$AZ145)=0),"",ROUND(N(Sync!$AY145)*N(Sync!$AZ145),0)))</f>
        <v/>
      </c>
      <c r="Y145">
        <f>IF($X145="","",IF(OR(Sync!$AX145="",COUNTIF(AcctCodesA,Sync!$AX145)=0),"متفرقه",Sync!$AX145))</f>
        <v/>
      </c>
      <c r="Z145">
        <f>IF($X145="","","سبد و ظروف")</f>
        <v/>
      </c>
      <c r="AA145">
        <f>IF($X145="","",$Y145)</f>
        <v/>
      </c>
    </row>
    <row r="146">
      <c r="A146">
        <f>IF(Sync!$Z146="","",LEFT(UPPER(TRIM(Sync!$Z146)),6))</f>
        <v/>
      </c>
      <c r="B146">
        <f>IF($A146="","",IF(Sync!$AA146="","",Sync!$AA146))</f>
        <v/>
      </c>
      <c r="C146">
        <f>IF($A146="","",IF(Sync!$AB146="","",Sync!$AB146))</f>
        <v/>
      </c>
      <c r="D146">
        <f>IF($A146="","",IF(Sync!$AC146="","",Sync!$AC146))</f>
        <v/>
      </c>
      <c r="E146">
        <f>IF($A146="","",IF(Sync!$AD146="","",Sync!$AD146))</f>
        <v/>
      </c>
      <c r="F146">
        <f>IF($A146="","",IF(Sync!$AE146="",0,Sync!$AE146))</f>
        <v/>
      </c>
      <c r="G146">
        <f>IF($A146="","",IF(Sync!$AF146="",0,Sync!$AF146))</f>
        <v/>
      </c>
      <c r="H146">
        <f>IF(OR($A146="",ROUND($F146+$G146,2)=0),"",$F146+$G146)</f>
        <v/>
      </c>
      <c r="I146">
        <f>IF($H146="","",IF(ROUND($F146,2)&gt;0,$A146,IF($D146="شخصی قاسم","شخصی قاسم",IF($D146="هزینه","هزینه: "&amp;IF($E146="","متفرقه",$E146),IF($C146="پاس چک","چک پرداختی",IF(OR($B146="",COUNTIF(AcctCodesA,$B146)=0),"متفرقه",$B146))))))</f>
        <v/>
      </c>
      <c r="J146">
        <f>IF($H146="","",IF(ROUND($F146,2)&gt;0,IF($D146="شخصی قاسم","شخصی قاسم",IF($D146="هزینه","هزینه: "&amp;IF($E146="","متفرقه",$E146),IF(OR($B146="",COUNTIF(AcctCodesA,$B146)=0),"متفرقه",$B146))),$A146))</f>
        <v/>
      </c>
      <c r="K146">
        <f>IF($A146="","",IF(AND($B146&lt;&gt;"",COUNTIF(AcctCodesA,$B146)=0),"کد طرف در INFO تعریف نشده",IF(AND($D146="هزینه",$E146=""),"هزینه بدون زیرگروه",IF(AND($C146="پاس چک",OR(Sync!$AJ146="",COUNTIF(IssueNosA,Sync!$AJ146)=0)),"شماره چک پاس‌شده معتبر نیست",""))))</f>
        <v/>
      </c>
      <c r="M146">
        <f>IF(Sync!$AH146="","",Sync!$AH146)</f>
        <v/>
      </c>
      <c r="N146">
        <f>IF($M146="","",IF(OR(Sync!$AI146="",COUNTIF(AcctCodesA,Sync!$AI146)=0),"متفرقه",Sync!$AI146))</f>
        <v/>
      </c>
      <c r="O146">
        <f>IF($M146="","",$N146)</f>
        <v/>
      </c>
      <c r="P146">
        <f>IF($M146="","","چک پرداختی")</f>
        <v/>
      </c>
      <c r="R146">
        <f>IF($M146="","",IF(COUNTIF(AcctCodesA,Sync!$AI146)=0,"ذی‌نفع چک تعریف‌نشده",""))</f>
        <v/>
      </c>
      <c r="S146">
        <f>IF($R146="","",Sync!$AG146&amp;"|"&amp;"5"&amp;RIGHT("00000"&amp;141,5))</f>
        <v/>
      </c>
      <c r="T146">
        <f>IF($S146="",0,COUNTIFS($S$6:$S$505,"&lt;"&amp;$S146)-COUNTIFS($S$6:$S$505,"&lt;"&amp;$S146,$R$6:$R$505,"")+1)</f>
        <v/>
      </c>
      <c r="V146">
        <f>IF($K146="","",IF(ISNUMBER(Sync!$AK146),Sync!$AK146,LEFT(Sync!$AK146,4)&amp;MID(Sync!$AK146,6,2)&amp;RIGHT(Sync!$AK146,2))&amp;"|"&amp;"4"&amp;RIGHT("00000"&amp;141,5))</f>
        <v/>
      </c>
      <c r="W146">
        <f>IF($V146="",0,COUNTIFS($V$6:$V$2005,"&lt;"&amp;$V146)-COUNTIFS($V$6:$V$2005,"&lt;"&amp;$V146,$K$6:$K$2005,"")+1)</f>
        <v/>
      </c>
      <c r="X146">
        <f>IF(Sync!$AX146="","",IF(OR(N(Sync!$AY146)=0,N(Sync!$AZ146)=0),"",ROUND(N(Sync!$AY146)*N(Sync!$AZ146),0)))</f>
        <v/>
      </c>
      <c r="Y146">
        <f>IF($X146="","",IF(OR(Sync!$AX146="",COUNTIF(AcctCodesA,Sync!$AX146)=0),"متفرقه",Sync!$AX146))</f>
        <v/>
      </c>
      <c r="Z146">
        <f>IF($X146="","","سبد و ظروف")</f>
        <v/>
      </c>
      <c r="AA146">
        <f>IF($X146="","",$Y146)</f>
        <v/>
      </c>
    </row>
    <row r="147">
      <c r="A147">
        <f>IF(Sync!$Z147="","",LEFT(UPPER(TRIM(Sync!$Z147)),6))</f>
        <v/>
      </c>
      <c r="B147">
        <f>IF($A147="","",IF(Sync!$AA147="","",Sync!$AA147))</f>
        <v/>
      </c>
      <c r="C147">
        <f>IF($A147="","",IF(Sync!$AB147="","",Sync!$AB147))</f>
        <v/>
      </c>
      <c r="D147">
        <f>IF($A147="","",IF(Sync!$AC147="","",Sync!$AC147))</f>
        <v/>
      </c>
      <c r="E147">
        <f>IF($A147="","",IF(Sync!$AD147="","",Sync!$AD147))</f>
        <v/>
      </c>
      <c r="F147">
        <f>IF($A147="","",IF(Sync!$AE147="",0,Sync!$AE147))</f>
        <v/>
      </c>
      <c r="G147">
        <f>IF($A147="","",IF(Sync!$AF147="",0,Sync!$AF147))</f>
        <v/>
      </c>
      <c r="H147">
        <f>IF(OR($A147="",ROUND($F147+$G147,2)=0),"",$F147+$G147)</f>
        <v/>
      </c>
      <c r="I147">
        <f>IF($H147="","",IF(ROUND($F147,2)&gt;0,$A147,IF($D147="شخصی قاسم","شخصی قاسم",IF($D147="هزینه","هزینه: "&amp;IF($E147="","متفرقه",$E147),IF($C147="پاس چک","چک پرداختی",IF(OR($B147="",COUNTIF(AcctCodesA,$B147)=0),"متفرقه",$B147))))))</f>
        <v/>
      </c>
      <c r="J147">
        <f>IF($H147="","",IF(ROUND($F147,2)&gt;0,IF($D147="شخصی قاسم","شخصی قاسم",IF($D147="هزینه","هزینه: "&amp;IF($E147="","متفرقه",$E147),IF(OR($B147="",COUNTIF(AcctCodesA,$B147)=0),"متفرقه",$B147))),$A147))</f>
        <v/>
      </c>
      <c r="K147">
        <f>IF($A147="","",IF(AND($B147&lt;&gt;"",COUNTIF(AcctCodesA,$B147)=0),"کد طرف در INFO تعریف نشده",IF(AND($D147="هزینه",$E147=""),"هزینه بدون زیرگروه",IF(AND($C147="پاس چک",OR(Sync!$AJ147="",COUNTIF(IssueNosA,Sync!$AJ147)=0)),"شماره چک پاس‌شده معتبر نیست",""))))</f>
        <v/>
      </c>
      <c r="M147">
        <f>IF(Sync!$AH147="","",Sync!$AH147)</f>
        <v/>
      </c>
      <c r="N147">
        <f>IF($M147="","",IF(OR(Sync!$AI147="",COUNTIF(AcctCodesA,Sync!$AI147)=0),"متفرقه",Sync!$AI147))</f>
        <v/>
      </c>
      <c r="O147">
        <f>IF($M147="","",$N147)</f>
        <v/>
      </c>
      <c r="P147">
        <f>IF($M147="","","چک پرداختی")</f>
        <v/>
      </c>
      <c r="R147">
        <f>IF($M147="","",IF(COUNTIF(AcctCodesA,Sync!$AI147)=0,"ذی‌نفع چک تعریف‌نشده",""))</f>
        <v/>
      </c>
      <c r="S147">
        <f>IF($R147="","",Sync!$AG147&amp;"|"&amp;"5"&amp;RIGHT("00000"&amp;142,5))</f>
        <v/>
      </c>
      <c r="T147">
        <f>IF($S147="",0,COUNTIFS($S$6:$S$505,"&lt;"&amp;$S147)-COUNTIFS($S$6:$S$505,"&lt;"&amp;$S147,$R$6:$R$505,"")+1)</f>
        <v/>
      </c>
      <c r="V147">
        <f>IF($K147="","",IF(ISNUMBER(Sync!$AK147),Sync!$AK147,LEFT(Sync!$AK147,4)&amp;MID(Sync!$AK147,6,2)&amp;RIGHT(Sync!$AK147,2))&amp;"|"&amp;"4"&amp;RIGHT("00000"&amp;142,5))</f>
        <v/>
      </c>
      <c r="W147">
        <f>IF($V147="",0,COUNTIFS($V$6:$V$2005,"&lt;"&amp;$V147)-COUNTIFS($V$6:$V$2005,"&lt;"&amp;$V147,$K$6:$K$2005,"")+1)</f>
        <v/>
      </c>
      <c r="X147">
        <f>IF(Sync!$AX147="","",IF(OR(N(Sync!$AY147)=0,N(Sync!$AZ147)=0),"",ROUND(N(Sync!$AY147)*N(Sync!$AZ147),0)))</f>
        <v/>
      </c>
      <c r="Y147">
        <f>IF($X147="","",IF(OR(Sync!$AX147="",COUNTIF(AcctCodesA,Sync!$AX147)=0),"متفرقه",Sync!$AX147))</f>
        <v/>
      </c>
      <c r="Z147">
        <f>IF($X147="","","سبد و ظروف")</f>
        <v/>
      </c>
      <c r="AA147">
        <f>IF($X147="","",$Y147)</f>
        <v/>
      </c>
    </row>
    <row r="148">
      <c r="A148">
        <f>IF(Sync!$Z148="","",LEFT(UPPER(TRIM(Sync!$Z148)),6))</f>
        <v/>
      </c>
      <c r="B148">
        <f>IF($A148="","",IF(Sync!$AA148="","",Sync!$AA148))</f>
        <v/>
      </c>
      <c r="C148">
        <f>IF($A148="","",IF(Sync!$AB148="","",Sync!$AB148))</f>
        <v/>
      </c>
      <c r="D148">
        <f>IF($A148="","",IF(Sync!$AC148="","",Sync!$AC148))</f>
        <v/>
      </c>
      <c r="E148">
        <f>IF($A148="","",IF(Sync!$AD148="","",Sync!$AD148))</f>
        <v/>
      </c>
      <c r="F148">
        <f>IF($A148="","",IF(Sync!$AE148="",0,Sync!$AE148))</f>
        <v/>
      </c>
      <c r="G148">
        <f>IF($A148="","",IF(Sync!$AF148="",0,Sync!$AF148))</f>
        <v/>
      </c>
      <c r="H148">
        <f>IF(OR($A148="",ROUND($F148+$G148,2)=0),"",$F148+$G148)</f>
        <v/>
      </c>
      <c r="I148">
        <f>IF($H148="","",IF(ROUND($F148,2)&gt;0,$A148,IF($D148="شخصی قاسم","شخصی قاسم",IF($D148="هزینه","هزینه: "&amp;IF($E148="","متفرقه",$E148),IF($C148="پاس چک","چک پرداختی",IF(OR($B148="",COUNTIF(AcctCodesA,$B148)=0),"متفرقه",$B148))))))</f>
        <v/>
      </c>
      <c r="J148">
        <f>IF($H148="","",IF(ROUND($F148,2)&gt;0,IF($D148="شخصی قاسم","شخصی قاسم",IF($D148="هزینه","هزینه: "&amp;IF($E148="","متفرقه",$E148),IF(OR($B148="",COUNTIF(AcctCodesA,$B148)=0),"متفرقه",$B148))),$A148))</f>
        <v/>
      </c>
      <c r="K148">
        <f>IF($A148="","",IF(AND($B148&lt;&gt;"",COUNTIF(AcctCodesA,$B148)=0),"کد طرف در INFO تعریف نشده",IF(AND($D148="هزینه",$E148=""),"هزینه بدون زیرگروه",IF(AND($C148="پاس چک",OR(Sync!$AJ148="",COUNTIF(IssueNosA,Sync!$AJ148)=0)),"شماره چک پاس‌شده معتبر نیست",""))))</f>
        <v/>
      </c>
      <c r="M148">
        <f>IF(Sync!$AH148="","",Sync!$AH148)</f>
        <v/>
      </c>
      <c r="N148">
        <f>IF($M148="","",IF(OR(Sync!$AI148="",COUNTIF(AcctCodesA,Sync!$AI148)=0),"متفرقه",Sync!$AI148))</f>
        <v/>
      </c>
      <c r="O148">
        <f>IF($M148="","",$N148)</f>
        <v/>
      </c>
      <c r="P148">
        <f>IF($M148="","","چک پرداختی")</f>
        <v/>
      </c>
      <c r="R148">
        <f>IF($M148="","",IF(COUNTIF(AcctCodesA,Sync!$AI148)=0,"ذی‌نفع چک تعریف‌نشده",""))</f>
        <v/>
      </c>
      <c r="S148">
        <f>IF($R148="","",Sync!$AG148&amp;"|"&amp;"5"&amp;RIGHT("00000"&amp;143,5))</f>
        <v/>
      </c>
      <c r="T148">
        <f>IF($S148="",0,COUNTIFS($S$6:$S$505,"&lt;"&amp;$S148)-COUNTIFS($S$6:$S$505,"&lt;"&amp;$S148,$R$6:$R$505,"")+1)</f>
        <v/>
      </c>
      <c r="V148">
        <f>IF($K148="","",IF(ISNUMBER(Sync!$AK148),Sync!$AK148,LEFT(Sync!$AK148,4)&amp;MID(Sync!$AK148,6,2)&amp;RIGHT(Sync!$AK148,2))&amp;"|"&amp;"4"&amp;RIGHT("00000"&amp;143,5))</f>
        <v/>
      </c>
      <c r="W148">
        <f>IF($V148="",0,COUNTIFS($V$6:$V$2005,"&lt;"&amp;$V148)-COUNTIFS($V$6:$V$2005,"&lt;"&amp;$V148,$K$6:$K$2005,"")+1)</f>
        <v/>
      </c>
      <c r="X148">
        <f>IF(Sync!$AX148="","",IF(OR(N(Sync!$AY148)=0,N(Sync!$AZ148)=0),"",ROUND(N(Sync!$AY148)*N(Sync!$AZ148),0)))</f>
        <v/>
      </c>
      <c r="Y148">
        <f>IF($X148="","",IF(OR(Sync!$AX148="",COUNTIF(AcctCodesA,Sync!$AX148)=0),"متفرقه",Sync!$AX148))</f>
        <v/>
      </c>
      <c r="Z148">
        <f>IF($X148="","","سبد و ظروف")</f>
        <v/>
      </c>
      <c r="AA148">
        <f>IF($X148="","",$Y148)</f>
        <v/>
      </c>
    </row>
    <row r="149">
      <c r="A149">
        <f>IF(Sync!$Z149="","",LEFT(UPPER(TRIM(Sync!$Z149)),6))</f>
        <v/>
      </c>
      <c r="B149">
        <f>IF($A149="","",IF(Sync!$AA149="","",Sync!$AA149))</f>
        <v/>
      </c>
      <c r="C149">
        <f>IF($A149="","",IF(Sync!$AB149="","",Sync!$AB149))</f>
        <v/>
      </c>
      <c r="D149">
        <f>IF($A149="","",IF(Sync!$AC149="","",Sync!$AC149))</f>
        <v/>
      </c>
      <c r="E149">
        <f>IF($A149="","",IF(Sync!$AD149="","",Sync!$AD149))</f>
        <v/>
      </c>
      <c r="F149">
        <f>IF($A149="","",IF(Sync!$AE149="",0,Sync!$AE149))</f>
        <v/>
      </c>
      <c r="G149">
        <f>IF($A149="","",IF(Sync!$AF149="",0,Sync!$AF149))</f>
        <v/>
      </c>
      <c r="H149">
        <f>IF(OR($A149="",ROUND($F149+$G149,2)=0),"",$F149+$G149)</f>
        <v/>
      </c>
      <c r="I149">
        <f>IF($H149="","",IF(ROUND($F149,2)&gt;0,$A149,IF($D149="شخصی قاسم","شخصی قاسم",IF($D149="هزینه","هزینه: "&amp;IF($E149="","متفرقه",$E149),IF($C149="پاس چک","چک پرداختی",IF(OR($B149="",COUNTIF(AcctCodesA,$B149)=0),"متفرقه",$B149))))))</f>
        <v/>
      </c>
      <c r="J149">
        <f>IF($H149="","",IF(ROUND($F149,2)&gt;0,IF($D149="شخصی قاسم","شخصی قاسم",IF($D149="هزینه","هزینه: "&amp;IF($E149="","متفرقه",$E149),IF(OR($B149="",COUNTIF(AcctCodesA,$B149)=0),"متفرقه",$B149))),$A149))</f>
        <v/>
      </c>
      <c r="K149">
        <f>IF($A149="","",IF(AND($B149&lt;&gt;"",COUNTIF(AcctCodesA,$B149)=0),"کد طرف در INFO تعریف نشده",IF(AND($D149="هزینه",$E149=""),"هزینه بدون زیرگروه",IF(AND($C149="پاس چک",OR(Sync!$AJ149="",COUNTIF(IssueNosA,Sync!$AJ149)=0)),"شماره چک پاس‌شده معتبر نیست",""))))</f>
        <v/>
      </c>
      <c r="M149">
        <f>IF(Sync!$AH149="","",Sync!$AH149)</f>
        <v/>
      </c>
      <c r="N149">
        <f>IF($M149="","",IF(OR(Sync!$AI149="",COUNTIF(AcctCodesA,Sync!$AI149)=0),"متفرقه",Sync!$AI149))</f>
        <v/>
      </c>
      <c r="O149">
        <f>IF($M149="","",$N149)</f>
        <v/>
      </c>
      <c r="P149">
        <f>IF($M149="","","چک پرداختی")</f>
        <v/>
      </c>
      <c r="R149">
        <f>IF($M149="","",IF(COUNTIF(AcctCodesA,Sync!$AI149)=0,"ذی‌نفع چک تعریف‌نشده",""))</f>
        <v/>
      </c>
      <c r="S149">
        <f>IF($R149="","",Sync!$AG149&amp;"|"&amp;"5"&amp;RIGHT("00000"&amp;144,5))</f>
        <v/>
      </c>
      <c r="T149">
        <f>IF($S149="",0,COUNTIFS($S$6:$S$505,"&lt;"&amp;$S149)-COUNTIFS($S$6:$S$505,"&lt;"&amp;$S149,$R$6:$R$505,"")+1)</f>
        <v/>
      </c>
      <c r="V149">
        <f>IF($K149="","",IF(ISNUMBER(Sync!$AK149),Sync!$AK149,LEFT(Sync!$AK149,4)&amp;MID(Sync!$AK149,6,2)&amp;RIGHT(Sync!$AK149,2))&amp;"|"&amp;"4"&amp;RIGHT("00000"&amp;144,5))</f>
        <v/>
      </c>
      <c r="W149">
        <f>IF($V149="",0,COUNTIFS($V$6:$V$2005,"&lt;"&amp;$V149)-COUNTIFS($V$6:$V$2005,"&lt;"&amp;$V149,$K$6:$K$2005,"")+1)</f>
        <v/>
      </c>
      <c r="X149">
        <f>IF(Sync!$AX149="","",IF(OR(N(Sync!$AY149)=0,N(Sync!$AZ149)=0),"",ROUND(N(Sync!$AY149)*N(Sync!$AZ149),0)))</f>
        <v/>
      </c>
      <c r="Y149">
        <f>IF($X149="","",IF(OR(Sync!$AX149="",COUNTIF(AcctCodesA,Sync!$AX149)=0),"متفرقه",Sync!$AX149))</f>
        <v/>
      </c>
      <c r="Z149">
        <f>IF($X149="","","سبد و ظروف")</f>
        <v/>
      </c>
      <c r="AA149">
        <f>IF($X149="","",$Y149)</f>
        <v/>
      </c>
    </row>
    <row r="150">
      <c r="A150">
        <f>IF(Sync!$Z150="","",LEFT(UPPER(TRIM(Sync!$Z150)),6))</f>
        <v/>
      </c>
      <c r="B150">
        <f>IF($A150="","",IF(Sync!$AA150="","",Sync!$AA150))</f>
        <v/>
      </c>
      <c r="C150">
        <f>IF($A150="","",IF(Sync!$AB150="","",Sync!$AB150))</f>
        <v/>
      </c>
      <c r="D150">
        <f>IF($A150="","",IF(Sync!$AC150="","",Sync!$AC150))</f>
        <v/>
      </c>
      <c r="E150">
        <f>IF($A150="","",IF(Sync!$AD150="","",Sync!$AD150))</f>
        <v/>
      </c>
      <c r="F150">
        <f>IF($A150="","",IF(Sync!$AE150="",0,Sync!$AE150))</f>
        <v/>
      </c>
      <c r="G150">
        <f>IF($A150="","",IF(Sync!$AF150="",0,Sync!$AF150))</f>
        <v/>
      </c>
      <c r="H150">
        <f>IF(OR($A150="",ROUND($F150+$G150,2)=0),"",$F150+$G150)</f>
        <v/>
      </c>
      <c r="I150">
        <f>IF($H150="","",IF(ROUND($F150,2)&gt;0,$A150,IF($D150="شخصی قاسم","شخصی قاسم",IF($D150="هزینه","هزینه: "&amp;IF($E150="","متفرقه",$E150),IF($C150="پاس چک","چک پرداختی",IF(OR($B150="",COUNTIF(AcctCodesA,$B150)=0),"متفرقه",$B150))))))</f>
        <v/>
      </c>
      <c r="J150">
        <f>IF($H150="","",IF(ROUND($F150,2)&gt;0,IF($D150="شخصی قاسم","شخصی قاسم",IF($D150="هزینه","هزینه: "&amp;IF($E150="","متفرقه",$E150),IF(OR($B150="",COUNTIF(AcctCodesA,$B150)=0),"متفرقه",$B150))),$A150))</f>
        <v/>
      </c>
      <c r="K150">
        <f>IF($A150="","",IF(AND($B150&lt;&gt;"",COUNTIF(AcctCodesA,$B150)=0),"کد طرف در INFO تعریف نشده",IF(AND($D150="هزینه",$E150=""),"هزینه بدون زیرگروه",IF(AND($C150="پاس چک",OR(Sync!$AJ150="",COUNTIF(IssueNosA,Sync!$AJ150)=0)),"شماره چک پاس‌شده معتبر نیست",""))))</f>
        <v/>
      </c>
      <c r="M150">
        <f>IF(Sync!$AH150="","",Sync!$AH150)</f>
        <v/>
      </c>
      <c r="N150">
        <f>IF($M150="","",IF(OR(Sync!$AI150="",COUNTIF(AcctCodesA,Sync!$AI150)=0),"متفرقه",Sync!$AI150))</f>
        <v/>
      </c>
      <c r="O150">
        <f>IF($M150="","",$N150)</f>
        <v/>
      </c>
      <c r="P150">
        <f>IF($M150="","","چک پرداختی")</f>
        <v/>
      </c>
      <c r="R150">
        <f>IF($M150="","",IF(COUNTIF(AcctCodesA,Sync!$AI150)=0,"ذی‌نفع چک تعریف‌نشده",""))</f>
        <v/>
      </c>
      <c r="S150">
        <f>IF($R150="","",Sync!$AG150&amp;"|"&amp;"5"&amp;RIGHT("00000"&amp;145,5))</f>
        <v/>
      </c>
      <c r="T150">
        <f>IF($S150="",0,COUNTIFS($S$6:$S$505,"&lt;"&amp;$S150)-COUNTIFS($S$6:$S$505,"&lt;"&amp;$S150,$R$6:$R$505,"")+1)</f>
        <v/>
      </c>
      <c r="V150">
        <f>IF($K150="","",IF(ISNUMBER(Sync!$AK150),Sync!$AK150,LEFT(Sync!$AK150,4)&amp;MID(Sync!$AK150,6,2)&amp;RIGHT(Sync!$AK150,2))&amp;"|"&amp;"4"&amp;RIGHT("00000"&amp;145,5))</f>
        <v/>
      </c>
      <c r="W150">
        <f>IF($V150="",0,COUNTIFS($V$6:$V$2005,"&lt;"&amp;$V150)-COUNTIFS($V$6:$V$2005,"&lt;"&amp;$V150,$K$6:$K$2005,"")+1)</f>
        <v/>
      </c>
      <c r="X150">
        <f>IF(Sync!$AX150="","",IF(OR(N(Sync!$AY150)=0,N(Sync!$AZ150)=0),"",ROUND(N(Sync!$AY150)*N(Sync!$AZ150),0)))</f>
        <v/>
      </c>
      <c r="Y150">
        <f>IF($X150="","",IF(OR(Sync!$AX150="",COUNTIF(AcctCodesA,Sync!$AX150)=0),"متفرقه",Sync!$AX150))</f>
        <v/>
      </c>
      <c r="Z150">
        <f>IF($X150="","","سبد و ظروف")</f>
        <v/>
      </c>
      <c r="AA150">
        <f>IF($X150="","",$Y150)</f>
        <v/>
      </c>
    </row>
    <row r="151">
      <c r="A151">
        <f>IF(Sync!$Z151="","",LEFT(UPPER(TRIM(Sync!$Z151)),6))</f>
        <v/>
      </c>
      <c r="B151">
        <f>IF($A151="","",IF(Sync!$AA151="","",Sync!$AA151))</f>
        <v/>
      </c>
      <c r="C151">
        <f>IF($A151="","",IF(Sync!$AB151="","",Sync!$AB151))</f>
        <v/>
      </c>
      <c r="D151">
        <f>IF($A151="","",IF(Sync!$AC151="","",Sync!$AC151))</f>
        <v/>
      </c>
      <c r="E151">
        <f>IF($A151="","",IF(Sync!$AD151="","",Sync!$AD151))</f>
        <v/>
      </c>
      <c r="F151">
        <f>IF($A151="","",IF(Sync!$AE151="",0,Sync!$AE151))</f>
        <v/>
      </c>
      <c r="G151">
        <f>IF($A151="","",IF(Sync!$AF151="",0,Sync!$AF151))</f>
        <v/>
      </c>
      <c r="H151">
        <f>IF(OR($A151="",ROUND($F151+$G151,2)=0),"",$F151+$G151)</f>
        <v/>
      </c>
      <c r="I151">
        <f>IF($H151="","",IF(ROUND($F151,2)&gt;0,$A151,IF($D151="شخصی قاسم","شخصی قاسم",IF($D151="هزینه","هزینه: "&amp;IF($E151="","متفرقه",$E151),IF($C151="پاس چک","چک پرداختی",IF(OR($B151="",COUNTIF(AcctCodesA,$B151)=0),"متفرقه",$B151))))))</f>
        <v/>
      </c>
      <c r="J151">
        <f>IF($H151="","",IF(ROUND($F151,2)&gt;0,IF($D151="شخصی قاسم","شخصی قاسم",IF($D151="هزینه","هزینه: "&amp;IF($E151="","متفرقه",$E151),IF(OR($B151="",COUNTIF(AcctCodesA,$B151)=0),"متفرقه",$B151))),$A151))</f>
        <v/>
      </c>
      <c r="K151">
        <f>IF($A151="","",IF(AND($B151&lt;&gt;"",COUNTIF(AcctCodesA,$B151)=0),"کد طرف در INFO تعریف نشده",IF(AND($D151="هزینه",$E151=""),"هزینه بدون زیرگروه",IF(AND($C151="پاس چک",OR(Sync!$AJ151="",COUNTIF(IssueNosA,Sync!$AJ151)=0)),"شماره چک پاس‌شده معتبر نیست",""))))</f>
        <v/>
      </c>
      <c r="M151">
        <f>IF(Sync!$AH151="","",Sync!$AH151)</f>
        <v/>
      </c>
      <c r="N151">
        <f>IF($M151="","",IF(OR(Sync!$AI151="",COUNTIF(AcctCodesA,Sync!$AI151)=0),"متفرقه",Sync!$AI151))</f>
        <v/>
      </c>
      <c r="O151">
        <f>IF($M151="","",$N151)</f>
        <v/>
      </c>
      <c r="P151">
        <f>IF($M151="","","چک پرداختی")</f>
        <v/>
      </c>
      <c r="R151">
        <f>IF($M151="","",IF(COUNTIF(AcctCodesA,Sync!$AI151)=0,"ذی‌نفع چک تعریف‌نشده",""))</f>
        <v/>
      </c>
      <c r="S151">
        <f>IF($R151="","",Sync!$AG151&amp;"|"&amp;"5"&amp;RIGHT("00000"&amp;146,5))</f>
        <v/>
      </c>
      <c r="T151">
        <f>IF($S151="",0,COUNTIFS($S$6:$S$505,"&lt;"&amp;$S151)-COUNTIFS($S$6:$S$505,"&lt;"&amp;$S151,$R$6:$R$505,"")+1)</f>
        <v/>
      </c>
      <c r="V151">
        <f>IF($K151="","",IF(ISNUMBER(Sync!$AK151),Sync!$AK151,LEFT(Sync!$AK151,4)&amp;MID(Sync!$AK151,6,2)&amp;RIGHT(Sync!$AK151,2))&amp;"|"&amp;"4"&amp;RIGHT("00000"&amp;146,5))</f>
        <v/>
      </c>
      <c r="W151">
        <f>IF($V151="",0,COUNTIFS($V$6:$V$2005,"&lt;"&amp;$V151)-COUNTIFS($V$6:$V$2005,"&lt;"&amp;$V151,$K$6:$K$2005,"")+1)</f>
        <v/>
      </c>
      <c r="X151">
        <f>IF(Sync!$AX151="","",IF(OR(N(Sync!$AY151)=0,N(Sync!$AZ151)=0),"",ROUND(N(Sync!$AY151)*N(Sync!$AZ151),0)))</f>
        <v/>
      </c>
      <c r="Y151">
        <f>IF($X151="","",IF(OR(Sync!$AX151="",COUNTIF(AcctCodesA,Sync!$AX151)=0),"متفرقه",Sync!$AX151))</f>
        <v/>
      </c>
      <c r="Z151">
        <f>IF($X151="","","سبد و ظروف")</f>
        <v/>
      </c>
      <c r="AA151">
        <f>IF($X151="","",$Y151)</f>
        <v/>
      </c>
    </row>
    <row r="152">
      <c r="A152">
        <f>IF(Sync!$Z152="","",LEFT(UPPER(TRIM(Sync!$Z152)),6))</f>
        <v/>
      </c>
      <c r="B152">
        <f>IF($A152="","",IF(Sync!$AA152="","",Sync!$AA152))</f>
        <v/>
      </c>
      <c r="C152">
        <f>IF($A152="","",IF(Sync!$AB152="","",Sync!$AB152))</f>
        <v/>
      </c>
      <c r="D152">
        <f>IF($A152="","",IF(Sync!$AC152="","",Sync!$AC152))</f>
        <v/>
      </c>
      <c r="E152">
        <f>IF($A152="","",IF(Sync!$AD152="","",Sync!$AD152))</f>
        <v/>
      </c>
      <c r="F152">
        <f>IF($A152="","",IF(Sync!$AE152="",0,Sync!$AE152))</f>
        <v/>
      </c>
      <c r="G152">
        <f>IF($A152="","",IF(Sync!$AF152="",0,Sync!$AF152))</f>
        <v/>
      </c>
      <c r="H152">
        <f>IF(OR($A152="",ROUND($F152+$G152,2)=0),"",$F152+$G152)</f>
        <v/>
      </c>
      <c r="I152">
        <f>IF($H152="","",IF(ROUND($F152,2)&gt;0,$A152,IF($D152="شخصی قاسم","شخصی قاسم",IF($D152="هزینه","هزینه: "&amp;IF($E152="","متفرقه",$E152),IF($C152="پاس چک","چک پرداختی",IF(OR($B152="",COUNTIF(AcctCodesA,$B152)=0),"متفرقه",$B152))))))</f>
        <v/>
      </c>
      <c r="J152">
        <f>IF($H152="","",IF(ROUND($F152,2)&gt;0,IF($D152="شخصی قاسم","شخصی قاسم",IF($D152="هزینه","هزینه: "&amp;IF($E152="","متفرقه",$E152),IF(OR($B152="",COUNTIF(AcctCodesA,$B152)=0),"متفرقه",$B152))),$A152))</f>
        <v/>
      </c>
      <c r="K152">
        <f>IF($A152="","",IF(AND($B152&lt;&gt;"",COUNTIF(AcctCodesA,$B152)=0),"کد طرف در INFO تعریف نشده",IF(AND($D152="هزینه",$E152=""),"هزینه بدون زیرگروه",IF(AND($C152="پاس چک",OR(Sync!$AJ152="",COUNTIF(IssueNosA,Sync!$AJ152)=0)),"شماره چک پاس‌شده معتبر نیست",""))))</f>
        <v/>
      </c>
      <c r="M152">
        <f>IF(Sync!$AH152="","",Sync!$AH152)</f>
        <v/>
      </c>
      <c r="N152">
        <f>IF($M152="","",IF(OR(Sync!$AI152="",COUNTIF(AcctCodesA,Sync!$AI152)=0),"متفرقه",Sync!$AI152))</f>
        <v/>
      </c>
      <c r="O152">
        <f>IF($M152="","",$N152)</f>
        <v/>
      </c>
      <c r="P152">
        <f>IF($M152="","","چک پرداختی")</f>
        <v/>
      </c>
      <c r="R152">
        <f>IF($M152="","",IF(COUNTIF(AcctCodesA,Sync!$AI152)=0,"ذی‌نفع چک تعریف‌نشده",""))</f>
        <v/>
      </c>
      <c r="S152">
        <f>IF($R152="","",Sync!$AG152&amp;"|"&amp;"5"&amp;RIGHT("00000"&amp;147,5))</f>
        <v/>
      </c>
      <c r="T152">
        <f>IF($S152="",0,COUNTIFS($S$6:$S$505,"&lt;"&amp;$S152)-COUNTIFS($S$6:$S$505,"&lt;"&amp;$S152,$R$6:$R$505,"")+1)</f>
        <v/>
      </c>
      <c r="V152">
        <f>IF($K152="","",IF(ISNUMBER(Sync!$AK152),Sync!$AK152,LEFT(Sync!$AK152,4)&amp;MID(Sync!$AK152,6,2)&amp;RIGHT(Sync!$AK152,2))&amp;"|"&amp;"4"&amp;RIGHT("00000"&amp;147,5))</f>
        <v/>
      </c>
      <c r="W152">
        <f>IF($V152="",0,COUNTIFS($V$6:$V$2005,"&lt;"&amp;$V152)-COUNTIFS($V$6:$V$2005,"&lt;"&amp;$V152,$K$6:$K$2005,"")+1)</f>
        <v/>
      </c>
      <c r="X152">
        <f>IF(Sync!$AX152="","",IF(OR(N(Sync!$AY152)=0,N(Sync!$AZ152)=0),"",ROUND(N(Sync!$AY152)*N(Sync!$AZ152),0)))</f>
        <v/>
      </c>
      <c r="Y152">
        <f>IF($X152="","",IF(OR(Sync!$AX152="",COUNTIF(AcctCodesA,Sync!$AX152)=0),"متفرقه",Sync!$AX152))</f>
        <v/>
      </c>
      <c r="Z152">
        <f>IF($X152="","","سبد و ظروف")</f>
        <v/>
      </c>
      <c r="AA152">
        <f>IF($X152="","",$Y152)</f>
        <v/>
      </c>
    </row>
    <row r="153">
      <c r="A153">
        <f>IF(Sync!$Z153="","",LEFT(UPPER(TRIM(Sync!$Z153)),6))</f>
        <v/>
      </c>
      <c r="B153">
        <f>IF($A153="","",IF(Sync!$AA153="","",Sync!$AA153))</f>
        <v/>
      </c>
      <c r="C153">
        <f>IF($A153="","",IF(Sync!$AB153="","",Sync!$AB153))</f>
        <v/>
      </c>
      <c r="D153">
        <f>IF($A153="","",IF(Sync!$AC153="","",Sync!$AC153))</f>
        <v/>
      </c>
      <c r="E153">
        <f>IF($A153="","",IF(Sync!$AD153="","",Sync!$AD153))</f>
        <v/>
      </c>
      <c r="F153">
        <f>IF($A153="","",IF(Sync!$AE153="",0,Sync!$AE153))</f>
        <v/>
      </c>
      <c r="G153">
        <f>IF($A153="","",IF(Sync!$AF153="",0,Sync!$AF153))</f>
        <v/>
      </c>
      <c r="H153">
        <f>IF(OR($A153="",ROUND($F153+$G153,2)=0),"",$F153+$G153)</f>
        <v/>
      </c>
      <c r="I153">
        <f>IF($H153="","",IF(ROUND($F153,2)&gt;0,$A153,IF($D153="شخصی قاسم","شخصی قاسم",IF($D153="هزینه","هزینه: "&amp;IF($E153="","متفرقه",$E153),IF($C153="پاس چک","چک پرداختی",IF(OR($B153="",COUNTIF(AcctCodesA,$B153)=0),"متفرقه",$B153))))))</f>
        <v/>
      </c>
      <c r="J153">
        <f>IF($H153="","",IF(ROUND($F153,2)&gt;0,IF($D153="شخصی قاسم","شخصی قاسم",IF($D153="هزینه","هزینه: "&amp;IF($E153="","متفرقه",$E153),IF(OR($B153="",COUNTIF(AcctCodesA,$B153)=0),"متفرقه",$B153))),$A153))</f>
        <v/>
      </c>
      <c r="K153">
        <f>IF($A153="","",IF(AND($B153&lt;&gt;"",COUNTIF(AcctCodesA,$B153)=0),"کد طرف در INFO تعریف نشده",IF(AND($D153="هزینه",$E153=""),"هزینه بدون زیرگروه",IF(AND($C153="پاس چک",OR(Sync!$AJ153="",COUNTIF(IssueNosA,Sync!$AJ153)=0)),"شماره چک پاس‌شده معتبر نیست",""))))</f>
        <v/>
      </c>
      <c r="M153">
        <f>IF(Sync!$AH153="","",Sync!$AH153)</f>
        <v/>
      </c>
      <c r="N153">
        <f>IF($M153="","",IF(OR(Sync!$AI153="",COUNTIF(AcctCodesA,Sync!$AI153)=0),"متفرقه",Sync!$AI153))</f>
        <v/>
      </c>
      <c r="O153">
        <f>IF($M153="","",$N153)</f>
        <v/>
      </c>
      <c r="P153">
        <f>IF($M153="","","چک پرداختی")</f>
        <v/>
      </c>
      <c r="R153">
        <f>IF($M153="","",IF(COUNTIF(AcctCodesA,Sync!$AI153)=0,"ذی‌نفع چک تعریف‌نشده",""))</f>
        <v/>
      </c>
      <c r="S153">
        <f>IF($R153="","",Sync!$AG153&amp;"|"&amp;"5"&amp;RIGHT("00000"&amp;148,5))</f>
        <v/>
      </c>
      <c r="T153">
        <f>IF($S153="",0,COUNTIFS($S$6:$S$505,"&lt;"&amp;$S153)-COUNTIFS($S$6:$S$505,"&lt;"&amp;$S153,$R$6:$R$505,"")+1)</f>
        <v/>
      </c>
      <c r="V153">
        <f>IF($K153="","",IF(ISNUMBER(Sync!$AK153),Sync!$AK153,LEFT(Sync!$AK153,4)&amp;MID(Sync!$AK153,6,2)&amp;RIGHT(Sync!$AK153,2))&amp;"|"&amp;"4"&amp;RIGHT("00000"&amp;148,5))</f>
        <v/>
      </c>
      <c r="W153">
        <f>IF($V153="",0,COUNTIFS($V$6:$V$2005,"&lt;"&amp;$V153)-COUNTIFS($V$6:$V$2005,"&lt;"&amp;$V153,$K$6:$K$2005,"")+1)</f>
        <v/>
      </c>
      <c r="X153">
        <f>IF(Sync!$AX153="","",IF(OR(N(Sync!$AY153)=0,N(Sync!$AZ153)=0),"",ROUND(N(Sync!$AY153)*N(Sync!$AZ153),0)))</f>
        <v/>
      </c>
      <c r="Y153">
        <f>IF($X153="","",IF(OR(Sync!$AX153="",COUNTIF(AcctCodesA,Sync!$AX153)=0),"متفرقه",Sync!$AX153))</f>
        <v/>
      </c>
      <c r="Z153">
        <f>IF($X153="","","سبد و ظروف")</f>
        <v/>
      </c>
      <c r="AA153">
        <f>IF($X153="","",$Y153)</f>
        <v/>
      </c>
    </row>
    <row r="154">
      <c r="A154">
        <f>IF(Sync!$Z154="","",LEFT(UPPER(TRIM(Sync!$Z154)),6))</f>
        <v/>
      </c>
      <c r="B154">
        <f>IF($A154="","",IF(Sync!$AA154="","",Sync!$AA154))</f>
        <v/>
      </c>
      <c r="C154">
        <f>IF($A154="","",IF(Sync!$AB154="","",Sync!$AB154))</f>
        <v/>
      </c>
      <c r="D154">
        <f>IF($A154="","",IF(Sync!$AC154="","",Sync!$AC154))</f>
        <v/>
      </c>
      <c r="E154">
        <f>IF($A154="","",IF(Sync!$AD154="","",Sync!$AD154))</f>
        <v/>
      </c>
      <c r="F154">
        <f>IF($A154="","",IF(Sync!$AE154="",0,Sync!$AE154))</f>
        <v/>
      </c>
      <c r="G154">
        <f>IF($A154="","",IF(Sync!$AF154="",0,Sync!$AF154))</f>
        <v/>
      </c>
      <c r="H154">
        <f>IF(OR($A154="",ROUND($F154+$G154,2)=0),"",$F154+$G154)</f>
        <v/>
      </c>
      <c r="I154">
        <f>IF($H154="","",IF(ROUND($F154,2)&gt;0,$A154,IF($D154="شخصی قاسم","شخصی قاسم",IF($D154="هزینه","هزینه: "&amp;IF($E154="","متفرقه",$E154),IF($C154="پاس چک","چک پرداختی",IF(OR($B154="",COUNTIF(AcctCodesA,$B154)=0),"متفرقه",$B154))))))</f>
        <v/>
      </c>
      <c r="J154">
        <f>IF($H154="","",IF(ROUND($F154,2)&gt;0,IF($D154="شخصی قاسم","شخصی قاسم",IF($D154="هزینه","هزینه: "&amp;IF($E154="","متفرقه",$E154),IF(OR($B154="",COUNTIF(AcctCodesA,$B154)=0),"متفرقه",$B154))),$A154))</f>
        <v/>
      </c>
      <c r="K154">
        <f>IF($A154="","",IF(AND($B154&lt;&gt;"",COUNTIF(AcctCodesA,$B154)=0),"کد طرف در INFO تعریف نشده",IF(AND($D154="هزینه",$E154=""),"هزینه بدون زیرگروه",IF(AND($C154="پاس چک",OR(Sync!$AJ154="",COUNTIF(IssueNosA,Sync!$AJ154)=0)),"شماره چک پاس‌شده معتبر نیست",""))))</f>
        <v/>
      </c>
      <c r="M154">
        <f>IF(Sync!$AH154="","",Sync!$AH154)</f>
        <v/>
      </c>
      <c r="N154">
        <f>IF($M154="","",IF(OR(Sync!$AI154="",COUNTIF(AcctCodesA,Sync!$AI154)=0),"متفرقه",Sync!$AI154))</f>
        <v/>
      </c>
      <c r="O154">
        <f>IF($M154="","",$N154)</f>
        <v/>
      </c>
      <c r="P154">
        <f>IF($M154="","","چک پرداختی")</f>
        <v/>
      </c>
      <c r="R154">
        <f>IF($M154="","",IF(COUNTIF(AcctCodesA,Sync!$AI154)=0,"ذی‌نفع چک تعریف‌نشده",""))</f>
        <v/>
      </c>
      <c r="S154">
        <f>IF($R154="","",Sync!$AG154&amp;"|"&amp;"5"&amp;RIGHT("00000"&amp;149,5))</f>
        <v/>
      </c>
      <c r="T154">
        <f>IF($S154="",0,COUNTIFS($S$6:$S$505,"&lt;"&amp;$S154)-COUNTIFS($S$6:$S$505,"&lt;"&amp;$S154,$R$6:$R$505,"")+1)</f>
        <v/>
      </c>
      <c r="V154">
        <f>IF($K154="","",IF(ISNUMBER(Sync!$AK154),Sync!$AK154,LEFT(Sync!$AK154,4)&amp;MID(Sync!$AK154,6,2)&amp;RIGHT(Sync!$AK154,2))&amp;"|"&amp;"4"&amp;RIGHT("00000"&amp;149,5))</f>
        <v/>
      </c>
      <c r="W154">
        <f>IF($V154="",0,COUNTIFS($V$6:$V$2005,"&lt;"&amp;$V154)-COUNTIFS($V$6:$V$2005,"&lt;"&amp;$V154,$K$6:$K$2005,"")+1)</f>
        <v/>
      </c>
      <c r="X154">
        <f>IF(Sync!$AX154="","",IF(OR(N(Sync!$AY154)=0,N(Sync!$AZ154)=0),"",ROUND(N(Sync!$AY154)*N(Sync!$AZ154),0)))</f>
        <v/>
      </c>
      <c r="Y154">
        <f>IF($X154="","",IF(OR(Sync!$AX154="",COUNTIF(AcctCodesA,Sync!$AX154)=0),"متفرقه",Sync!$AX154))</f>
        <v/>
      </c>
      <c r="Z154">
        <f>IF($X154="","","سبد و ظروف")</f>
        <v/>
      </c>
      <c r="AA154">
        <f>IF($X154="","",$Y154)</f>
        <v/>
      </c>
    </row>
    <row r="155">
      <c r="A155">
        <f>IF(Sync!$Z155="","",LEFT(UPPER(TRIM(Sync!$Z155)),6))</f>
        <v/>
      </c>
      <c r="B155">
        <f>IF($A155="","",IF(Sync!$AA155="","",Sync!$AA155))</f>
        <v/>
      </c>
      <c r="C155">
        <f>IF($A155="","",IF(Sync!$AB155="","",Sync!$AB155))</f>
        <v/>
      </c>
      <c r="D155">
        <f>IF($A155="","",IF(Sync!$AC155="","",Sync!$AC155))</f>
        <v/>
      </c>
      <c r="E155">
        <f>IF($A155="","",IF(Sync!$AD155="","",Sync!$AD155))</f>
        <v/>
      </c>
      <c r="F155">
        <f>IF($A155="","",IF(Sync!$AE155="",0,Sync!$AE155))</f>
        <v/>
      </c>
      <c r="G155">
        <f>IF($A155="","",IF(Sync!$AF155="",0,Sync!$AF155))</f>
        <v/>
      </c>
      <c r="H155">
        <f>IF(OR($A155="",ROUND($F155+$G155,2)=0),"",$F155+$G155)</f>
        <v/>
      </c>
      <c r="I155">
        <f>IF($H155="","",IF(ROUND($F155,2)&gt;0,$A155,IF($D155="شخصی قاسم","شخصی قاسم",IF($D155="هزینه","هزینه: "&amp;IF($E155="","متفرقه",$E155),IF($C155="پاس چک","چک پرداختی",IF(OR($B155="",COUNTIF(AcctCodesA,$B155)=0),"متفرقه",$B155))))))</f>
        <v/>
      </c>
      <c r="J155">
        <f>IF($H155="","",IF(ROUND($F155,2)&gt;0,IF($D155="شخصی قاسم","شخصی قاسم",IF($D155="هزینه","هزینه: "&amp;IF($E155="","متفرقه",$E155),IF(OR($B155="",COUNTIF(AcctCodesA,$B155)=0),"متفرقه",$B155))),$A155))</f>
        <v/>
      </c>
      <c r="K155">
        <f>IF($A155="","",IF(AND($B155&lt;&gt;"",COUNTIF(AcctCodesA,$B155)=0),"کد طرف در INFO تعریف نشده",IF(AND($D155="هزینه",$E155=""),"هزینه بدون زیرگروه",IF(AND($C155="پاس چک",OR(Sync!$AJ155="",COUNTIF(IssueNosA,Sync!$AJ155)=0)),"شماره چک پاس‌شده معتبر نیست",""))))</f>
        <v/>
      </c>
      <c r="M155">
        <f>IF(Sync!$AH155="","",Sync!$AH155)</f>
        <v/>
      </c>
      <c r="N155">
        <f>IF($M155="","",IF(OR(Sync!$AI155="",COUNTIF(AcctCodesA,Sync!$AI155)=0),"متفرقه",Sync!$AI155))</f>
        <v/>
      </c>
      <c r="O155">
        <f>IF($M155="","",$N155)</f>
        <v/>
      </c>
      <c r="P155">
        <f>IF($M155="","","چک پرداختی")</f>
        <v/>
      </c>
      <c r="R155">
        <f>IF($M155="","",IF(COUNTIF(AcctCodesA,Sync!$AI155)=0,"ذی‌نفع چک تعریف‌نشده",""))</f>
        <v/>
      </c>
      <c r="S155">
        <f>IF($R155="","",Sync!$AG155&amp;"|"&amp;"5"&amp;RIGHT("00000"&amp;150,5))</f>
        <v/>
      </c>
      <c r="T155">
        <f>IF($S155="",0,COUNTIFS($S$6:$S$505,"&lt;"&amp;$S155)-COUNTIFS($S$6:$S$505,"&lt;"&amp;$S155,$R$6:$R$505,"")+1)</f>
        <v/>
      </c>
      <c r="V155">
        <f>IF($K155="","",IF(ISNUMBER(Sync!$AK155),Sync!$AK155,LEFT(Sync!$AK155,4)&amp;MID(Sync!$AK155,6,2)&amp;RIGHT(Sync!$AK155,2))&amp;"|"&amp;"4"&amp;RIGHT("00000"&amp;150,5))</f>
        <v/>
      </c>
      <c r="W155">
        <f>IF($V155="",0,COUNTIFS($V$6:$V$2005,"&lt;"&amp;$V155)-COUNTIFS($V$6:$V$2005,"&lt;"&amp;$V155,$K$6:$K$2005,"")+1)</f>
        <v/>
      </c>
      <c r="X155">
        <f>IF(Sync!$AX155="","",IF(OR(N(Sync!$AY155)=0,N(Sync!$AZ155)=0),"",ROUND(N(Sync!$AY155)*N(Sync!$AZ155),0)))</f>
        <v/>
      </c>
      <c r="Y155">
        <f>IF($X155="","",IF(OR(Sync!$AX155="",COUNTIF(AcctCodesA,Sync!$AX155)=0),"متفرقه",Sync!$AX155))</f>
        <v/>
      </c>
      <c r="Z155">
        <f>IF($X155="","","سبد و ظروف")</f>
        <v/>
      </c>
      <c r="AA155">
        <f>IF($X155="","",$Y155)</f>
        <v/>
      </c>
    </row>
    <row r="156">
      <c r="A156">
        <f>IF(Sync!$Z156="","",LEFT(UPPER(TRIM(Sync!$Z156)),6))</f>
        <v/>
      </c>
      <c r="B156">
        <f>IF($A156="","",IF(Sync!$AA156="","",Sync!$AA156))</f>
        <v/>
      </c>
      <c r="C156">
        <f>IF($A156="","",IF(Sync!$AB156="","",Sync!$AB156))</f>
        <v/>
      </c>
      <c r="D156">
        <f>IF($A156="","",IF(Sync!$AC156="","",Sync!$AC156))</f>
        <v/>
      </c>
      <c r="E156">
        <f>IF($A156="","",IF(Sync!$AD156="","",Sync!$AD156))</f>
        <v/>
      </c>
      <c r="F156">
        <f>IF($A156="","",IF(Sync!$AE156="",0,Sync!$AE156))</f>
        <v/>
      </c>
      <c r="G156">
        <f>IF($A156="","",IF(Sync!$AF156="",0,Sync!$AF156))</f>
        <v/>
      </c>
      <c r="H156">
        <f>IF(OR($A156="",ROUND($F156+$G156,2)=0),"",$F156+$G156)</f>
        <v/>
      </c>
      <c r="I156">
        <f>IF($H156="","",IF(ROUND($F156,2)&gt;0,$A156,IF($D156="شخصی قاسم","شخصی قاسم",IF($D156="هزینه","هزینه: "&amp;IF($E156="","متفرقه",$E156),IF($C156="پاس چک","چک پرداختی",IF(OR($B156="",COUNTIF(AcctCodesA,$B156)=0),"متفرقه",$B156))))))</f>
        <v/>
      </c>
      <c r="J156">
        <f>IF($H156="","",IF(ROUND($F156,2)&gt;0,IF($D156="شخصی قاسم","شخصی قاسم",IF($D156="هزینه","هزینه: "&amp;IF($E156="","متفرقه",$E156),IF(OR($B156="",COUNTIF(AcctCodesA,$B156)=0),"متفرقه",$B156))),$A156))</f>
        <v/>
      </c>
      <c r="K156">
        <f>IF($A156="","",IF(AND($B156&lt;&gt;"",COUNTIF(AcctCodesA,$B156)=0),"کد طرف در INFO تعریف نشده",IF(AND($D156="هزینه",$E156=""),"هزینه بدون زیرگروه",IF(AND($C156="پاس چک",OR(Sync!$AJ156="",COUNTIF(IssueNosA,Sync!$AJ156)=0)),"شماره چک پاس‌شده معتبر نیست",""))))</f>
        <v/>
      </c>
      <c r="M156">
        <f>IF(Sync!$AH156="","",Sync!$AH156)</f>
        <v/>
      </c>
      <c r="N156">
        <f>IF($M156="","",IF(OR(Sync!$AI156="",COUNTIF(AcctCodesA,Sync!$AI156)=0),"متفرقه",Sync!$AI156))</f>
        <v/>
      </c>
      <c r="O156">
        <f>IF($M156="","",$N156)</f>
        <v/>
      </c>
      <c r="P156">
        <f>IF($M156="","","چک پرداختی")</f>
        <v/>
      </c>
      <c r="R156">
        <f>IF($M156="","",IF(COUNTIF(AcctCodesA,Sync!$AI156)=0,"ذی‌نفع چک تعریف‌نشده",""))</f>
        <v/>
      </c>
      <c r="S156">
        <f>IF($R156="","",Sync!$AG156&amp;"|"&amp;"5"&amp;RIGHT("00000"&amp;151,5))</f>
        <v/>
      </c>
      <c r="T156">
        <f>IF($S156="",0,COUNTIFS($S$6:$S$505,"&lt;"&amp;$S156)-COUNTIFS($S$6:$S$505,"&lt;"&amp;$S156,$R$6:$R$505,"")+1)</f>
        <v/>
      </c>
      <c r="V156">
        <f>IF($K156="","",IF(ISNUMBER(Sync!$AK156),Sync!$AK156,LEFT(Sync!$AK156,4)&amp;MID(Sync!$AK156,6,2)&amp;RIGHT(Sync!$AK156,2))&amp;"|"&amp;"4"&amp;RIGHT("00000"&amp;151,5))</f>
        <v/>
      </c>
      <c r="W156">
        <f>IF($V156="",0,COUNTIFS($V$6:$V$2005,"&lt;"&amp;$V156)-COUNTIFS($V$6:$V$2005,"&lt;"&amp;$V156,$K$6:$K$2005,"")+1)</f>
        <v/>
      </c>
      <c r="X156">
        <f>IF(Sync!$AX156="","",IF(OR(N(Sync!$AY156)=0,N(Sync!$AZ156)=0),"",ROUND(N(Sync!$AY156)*N(Sync!$AZ156),0)))</f>
        <v/>
      </c>
      <c r="Y156">
        <f>IF($X156="","",IF(OR(Sync!$AX156="",COUNTIF(AcctCodesA,Sync!$AX156)=0),"متفرقه",Sync!$AX156))</f>
        <v/>
      </c>
      <c r="Z156">
        <f>IF($X156="","","سبد و ظروف")</f>
        <v/>
      </c>
      <c r="AA156">
        <f>IF($X156="","",$Y156)</f>
        <v/>
      </c>
    </row>
    <row r="157">
      <c r="A157">
        <f>IF(Sync!$Z157="","",LEFT(UPPER(TRIM(Sync!$Z157)),6))</f>
        <v/>
      </c>
      <c r="B157">
        <f>IF($A157="","",IF(Sync!$AA157="","",Sync!$AA157))</f>
        <v/>
      </c>
      <c r="C157">
        <f>IF($A157="","",IF(Sync!$AB157="","",Sync!$AB157))</f>
        <v/>
      </c>
      <c r="D157">
        <f>IF($A157="","",IF(Sync!$AC157="","",Sync!$AC157))</f>
        <v/>
      </c>
      <c r="E157">
        <f>IF($A157="","",IF(Sync!$AD157="","",Sync!$AD157))</f>
        <v/>
      </c>
      <c r="F157">
        <f>IF($A157="","",IF(Sync!$AE157="",0,Sync!$AE157))</f>
        <v/>
      </c>
      <c r="G157">
        <f>IF($A157="","",IF(Sync!$AF157="",0,Sync!$AF157))</f>
        <v/>
      </c>
      <c r="H157">
        <f>IF(OR($A157="",ROUND($F157+$G157,2)=0),"",$F157+$G157)</f>
        <v/>
      </c>
      <c r="I157">
        <f>IF($H157="","",IF(ROUND($F157,2)&gt;0,$A157,IF($D157="شخصی قاسم","شخصی قاسم",IF($D157="هزینه","هزینه: "&amp;IF($E157="","متفرقه",$E157),IF($C157="پاس چک","چک پرداختی",IF(OR($B157="",COUNTIF(AcctCodesA,$B157)=0),"متفرقه",$B157))))))</f>
        <v/>
      </c>
      <c r="J157">
        <f>IF($H157="","",IF(ROUND($F157,2)&gt;0,IF($D157="شخصی قاسم","شخصی قاسم",IF($D157="هزینه","هزینه: "&amp;IF($E157="","متفرقه",$E157),IF(OR($B157="",COUNTIF(AcctCodesA,$B157)=0),"متفرقه",$B157))),$A157))</f>
        <v/>
      </c>
      <c r="K157">
        <f>IF($A157="","",IF(AND($B157&lt;&gt;"",COUNTIF(AcctCodesA,$B157)=0),"کد طرف در INFO تعریف نشده",IF(AND($D157="هزینه",$E157=""),"هزینه بدون زیرگروه",IF(AND($C157="پاس چک",OR(Sync!$AJ157="",COUNTIF(IssueNosA,Sync!$AJ157)=0)),"شماره چک پاس‌شده معتبر نیست",""))))</f>
        <v/>
      </c>
      <c r="M157">
        <f>IF(Sync!$AH157="","",Sync!$AH157)</f>
        <v/>
      </c>
      <c r="N157">
        <f>IF($M157="","",IF(OR(Sync!$AI157="",COUNTIF(AcctCodesA,Sync!$AI157)=0),"متفرقه",Sync!$AI157))</f>
        <v/>
      </c>
      <c r="O157">
        <f>IF($M157="","",$N157)</f>
        <v/>
      </c>
      <c r="P157">
        <f>IF($M157="","","چک پرداختی")</f>
        <v/>
      </c>
      <c r="R157">
        <f>IF($M157="","",IF(COUNTIF(AcctCodesA,Sync!$AI157)=0,"ذی‌نفع چک تعریف‌نشده",""))</f>
        <v/>
      </c>
      <c r="S157">
        <f>IF($R157="","",Sync!$AG157&amp;"|"&amp;"5"&amp;RIGHT("00000"&amp;152,5))</f>
        <v/>
      </c>
      <c r="T157">
        <f>IF($S157="",0,COUNTIFS($S$6:$S$505,"&lt;"&amp;$S157)-COUNTIFS($S$6:$S$505,"&lt;"&amp;$S157,$R$6:$R$505,"")+1)</f>
        <v/>
      </c>
      <c r="V157">
        <f>IF($K157="","",IF(ISNUMBER(Sync!$AK157),Sync!$AK157,LEFT(Sync!$AK157,4)&amp;MID(Sync!$AK157,6,2)&amp;RIGHT(Sync!$AK157,2))&amp;"|"&amp;"4"&amp;RIGHT("00000"&amp;152,5))</f>
        <v/>
      </c>
      <c r="W157">
        <f>IF($V157="",0,COUNTIFS($V$6:$V$2005,"&lt;"&amp;$V157)-COUNTIFS($V$6:$V$2005,"&lt;"&amp;$V157,$K$6:$K$2005,"")+1)</f>
        <v/>
      </c>
      <c r="X157">
        <f>IF(Sync!$AX157="","",IF(OR(N(Sync!$AY157)=0,N(Sync!$AZ157)=0),"",ROUND(N(Sync!$AY157)*N(Sync!$AZ157),0)))</f>
        <v/>
      </c>
      <c r="Y157">
        <f>IF($X157="","",IF(OR(Sync!$AX157="",COUNTIF(AcctCodesA,Sync!$AX157)=0),"متفرقه",Sync!$AX157))</f>
        <v/>
      </c>
      <c r="Z157">
        <f>IF($X157="","","سبد و ظروف")</f>
        <v/>
      </c>
      <c r="AA157">
        <f>IF($X157="","",$Y157)</f>
        <v/>
      </c>
    </row>
    <row r="158">
      <c r="A158">
        <f>IF(Sync!$Z158="","",LEFT(UPPER(TRIM(Sync!$Z158)),6))</f>
        <v/>
      </c>
      <c r="B158">
        <f>IF($A158="","",IF(Sync!$AA158="","",Sync!$AA158))</f>
        <v/>
      </c>
      <c r="C158">
        <f>IF($A158="","",IF(Sync!$AB158="","",Sync!$AB158))</f>
        <v/>
      </c>
      <c r="D158">
        <f>IF($A158="","",IF(Sync!$AC158="","",Sync!$AC158))</f>
        <v/>
      </c>
      <c r="E158">
        <f>IF($A158="","",IF(Sync!$AD158="","",Sync!$AD158))</f>
        <v/>
      </c>
      <c r="F158">
        <f>IF($A158="","",IF(Sync!$AE158="",0,Sync!$AE158))</f>
        <v/>
      </c>
      <c r="G158">
        <f>IF($A158="","",IF(Sync!$AF158="",0,Sync!$AF158))</f>
        <v/>
      </c>
      <c r="H158">
        <f>IF(OR($A158="",ROUND($F158+$G158,2)=0),"",$F158+$G158)</f>
        <v/>
      </c>
      <c r="I158">
        <f>IF($H158="","",IF(ROUND($F158,2)&gt;0,$A158,IF($D158="شخصی قاسم","شخصی قاسم",IF($D158="هزینه","هزینه: "&amp;IF($E158="","متفرقه",$E158),IF($C158="پاس چک","چک پرداختی",IF(OR($B158="",COUNTIF(AcctCodesA,$B158)=0),"متفرقه",$B158))))))</f>
        <v/>
      </c>
      <c r="J158">
        <f>IF($H158="","",IF(ROUND($F158,2)&gt;0,IF($D158="شخصی قاسم","شخصی قاسم",IF($D158="هزینه","هزینه: "&amp;IF($E158="","متفرقه",$E158),IF(OR($B158="",COUNTIF(AcctCodesA,$B158)=0),"متفرقه",$B158))),$A158))</f>
        <v/>
      </c>
      <c r="K158">
        <f>IF($A158="","",IF(AND($B158&lt;&gt;"",COUNTIF(AcctCodesA,$B158)=0),"کد طرف در INFO تعریف نشده",IF(AND($D158="هزینه",$E158=""),"هزینه بدون زیرگروه",IF(AND($C158="پاس چک",OR(Sync!$AJ158="",COUNTIF(IssueNosA,Sync!$AJ158)=0)),"شماره چک پاس‌شده معتبر نیست",""))))</f>
        <v/>
      </c>
      <c r="M158">
        <f>IF(Sync!$AH158="","",Sync!$AH158)</f>
        <v/>
      </c>
      <c r="N158">
        <f>IF($M158="","",IF(OR(Sync!$AI158="",COUNTIF(AcctCodesA,Sync!$AI158)=0),"متفرقه",Sync!$AI158))</f>
        <v/>
      </c>
      <c r="O158">
        <f>IF($M158="","",$N158)</f>
        <v/>
      </c>
      <c r="P158">
        <f>IF($M158="","","چک پرداختی")</f>
        <v/>
      </c>
      <c r="R158">
        <f>IF($M158="","",IF(COUNTIF(AcctCodesA,Sync!$AI158)=0,"ذی‌نفع چک تعریف‌نشده",""))</f>
        <v/>
      </c>
      <c r="S158">
        <f>IF($R158="","",Sync!$AG158&amp;"|"&amp;"5"&amp;RIGHT("00000"&amp;153,5))</f>
        <v/>
      </c>
      <c r="T158">
        <f>IF($S158="",0,COUNTIFS($S$6:$S$505,"&lt;"&amp;$S158)-COUNTIFS($S$6:$S$505,"&lt;"&amp;$S158,$R$6:$R$505,"")+1)</f>
        <v/>
      </c>
      <c r="V158">
        <f>IF($K158="","",IF(ISNUMBER(Sync!$AK158),Sync!$AK158,LEFT(Sync!$AK158,4)&amp;MID(Sync!$AK158,6,2)&amp;RIGHT(Sync!$AK158,2))&amp;"|"&amp;"4"&amp;RIGHT("00000"&amp;153,5))</f>
        <v/>
      </c>
      <c r="W158">
        <f>IF($V158="",0,COUNTIFS($V$6:$V$2005,"&lt;"&amp;$V158)-COUNTIFS($V$6:$V$2005,"&lt;"&amp;$V158,$K$6:$K$2005,"")+1)</f>
        <v/>
      </c>
      <c r="X158">
        <f>IF(Sync!$AX158="","",IF(OR(N(Sync!$AY158)=0,N(Sync!$AZ158)=0),"",ROUND(N(Sync!$AY158)*N(Sync!$AZ158),0)))</f>
        <v/>
      </c>
      <c r="Y158">
        <f>IF($X158="","",IF(OR(Sync!$AX158="",COUNTIF(AcctCodesA,Sync!$AX158)=0),"متفرقه",Sync!$AX158))</f>
        <v/>
      </c>
      <c r="Z158">
        <f>IF($X158="","","سبد و ظروف")</f>
        <v/>
      </c>
      <c r="AA158">
        <f>IF($X158="","",$Y158)</f>
        <v/>
      </c>
    </row>
    <row r="159">
      <c r="A159">
        <f>IF(Sync!$Z159="","",LEFT(UPPER(TRIM(Sync!$Z159)),6))</f>
        <v/>
      </c>
      <c r="B159">
        <f>IF($A159="","",IF(Sync!$AA159="","",Sync!$AA159))</f>
        <v/>
      </c>
      <c r="C159">
        <f>IF($A159="","",IF(Sync!$AB159="","",Sync!$AB159))</f>
        <v/>
      </c>
      <c r="D159">
        <f>IF($A159="","",IF(Sync!$AC159="","",Sync!$AC159))</f>
        <v/>
      </c>
      <c r="E159">
        <f>IF($A159="","",IF(Sync!$AD159="","",Sync!$AD159))</f>
        <v/>
      </c>
      <c r="F159">
        <f>IF($A159="","",IF(Sync!$AE159="",0,Sync!$AE159))</f>
        <v/>
      </c>
      <c r="G159">
        <f>IF($A159="","",IF(Sync!$AF159="",0,Sync!$AF159))</f>
        <v/>
      </c>
      <c r="H159">
        <f>IF(OR($A159="",ROUND($F159+$G159,2)=0),"",$F159+$G159)</f>
        <v/>
      </c>
      <c r="I159">
        <f>IF($H159="","",IF(ROUND($F159,2)&gt;0,$A159,IF($D159="شخصی قاسم","شخصی قاسم",IF($D159="هزینه","هزینه: "&amp;IF($E159="","متفرقه",$E159),IF($C159="پاس چک","چک پرداختی",IF(OR($B159="",COUNTIF(AcctCodesA,$B159)=0),"متفرقه",$B159))))))</f>
        <v/>
      </c>
      <c r="J159">
        <f>IF($H159="","",IF(ROUND($F159,2)&gt;0,IF($D159="شخصی قاسم","شخصی قاسم",IF($D159="هزینه","هزینه: "&amp;IF($E159="","متفرقه",$E159),IF(OR($B159="",COUNTIF(AcctCodesA,$B159)=0),"متفرقه",$B159))),$A159))</f>
        <v/>
      </c>
      <c r="K159">
        <f>IF($A159="","",IF(AND($B159&lt;&gt;"",COUNTIF(AcctCodesA,$B159)=0),"کد طرف در INFO تعریف نشده",IF(AND($D159="هزینه",$E159=""),"هزینه بدون زیرگروه",IF(AND($C159="پاس چک",OR(Sync!$AJ159="",COUNTIF(IssueNosA,Sync!$AJ159)=0)),"شماره چک پاس‌شده معتبر نیست",""))))</f>
        <v/>
      </c>
      <c r="M159">
        <f>IF(Sync!$AH159="","",Sync!$AH159)</f>
        <v/>
      </c>
      <c r="N159">
        <f>IF($M159="","",IF(OR(Sync!$AI159="",COUNTIF(AcctCodesA,Sync!$AI159)=0),"متفرقه",Sync!$AI159))</f>
        <v/>
      </c>
      <c r="O159">
        <f>IF($M159="","",$N159)</f>
        <v/>
      </c>
      <c r="P159">
        <f>IF($M159="","","چک پرداختی")</f>
        <v/>
      </c>
      <c r="R159">
        <f>IF($M159="","",IF(COUNTIF(AcctCodesA,Sync!$AI159)=0,"ذی‌نفع چک تعریف‌نشده",""))</f>
        <v/>
      </c>
      <c r="S159">
        <f>IF($R159="","",Sync!$AG159&amp;"|"&amp;"5"&amp;RIGHT("00000"&amp;154,5))</f>
        <v/>
      </c>
      <c r="T159">
        <f>IF($S159="",0,COUNTIFS($S$6:$S$505,"&lt;"&amp;$S159)-COUNTIFS($S$6:$S$505,"&lt;"&amp;$S159,$R$6:$R$505,"")+1)</f>
        <v/>
      </c>
      <c r="V159">
        <f>IF($K159="","",IF(ISNUMBER(Sync!$AK159),Sync!$AK159,LEFT(Sync!$AK159,4)&amp;MID(Sync!$AK159,6,2)&amp;RIGHT(Sync!$AK159,2))&amp;"|"&amp;"4"&amp;RIGHT("00000"&amp;154,5))</f>
        <v/>
      </c>
      <c r="W159">
        <f>IF($V159="",0,COUNTIFS($V$6:$V$2005,"&lt;"&amp;$V159)-COUNTIFS($V$6:$V$2005,"&lt;"&amp;$V159,$K$6:$K$2005,"")+1)</f>
        <v/>
      </c>
      <c r="X159">
        <f>IF(Sync!$AX159="","",IF(OR(N(Sync!$AY159)=0,N(Sync!$AZ159)=0),"",ROUND(N(Sync!$AY159)*N(Sync!$AZ159),0)))</f>
        <v/>
      </c>
      <c r="Y159">
        <f>IF($X159="","",IF(OR(Sync!$AX159="",COUNTIF(AcctCodesA,Sync!$AX159)=0),"متفرقه",Sync!$AX159))</f>
        <v/>
      </c>
      <c r="Z159">
        <f>IF($X159="","","سبد و ظروف")</f>
        <v/>
      </c>
      <c r="AA159">
        <f>IF($X159="","",$Y159)</f>
        <v/>
      </c>
    </row>
    <row r="160">
      <c r="A160">
        <f>IF(Sync!$Z160="","",LEFT(UPPER(TRIM(Sync!$Z160)),6))</f>
        <v/>
      </c>
      <c r="B160">
        <f>IF($A160="","",IF(Sync!$AA160="","",Sync!$AA160))</f>
        <v/>
      </c>
      <c r="C160">
        <f>IF($A160="","",IF(Sync!$AB160="","",Sync!$AB160))</f>
        <v/>
      </c>
      <c r="D160">
        <f>IF($A160="","",IF(Sync!$AC160="","",Sync!$AC160))</f>
        <v/>
      </c>
      <c r="E160">
        <f>IF($A160="","",IF(Sync!$AD160="","",Sync!$AD160))</f>
        <v/>
      </c>
      <c r="F160">
        <f>IF($A160="","",IF(Sync!$AE160="",0,Sync!$AE160))</f>
        <v/>
      </c>
      <c r="G160">
        <f>IF($A160="","",IF(Sync!$AF160="",0,Sync!$AF160))</f>
        <v/>
      </c>
      <c r="H160">
        <f>IF(OR($A160="",ROUND($F160+$G160,2)=0),"",$F160+$G160)</f>
        <v/>
      </c>
      <c r="I160">
        <f>IF($H160="","",IF(ROUND($F160,2)&gt;0,$A160,IF($D160="شخصی قاسم","شخصی قاسم",IF($D160="هزینه","هزینه: "&amp;IF($E160="","متفرقه",$E160),IF($C160="پاس چک","چک پرداختی",IF(OR($B160="",COUNTIF(AcctCodesA,$B160)=0),"متفرقه",$B160))))))</f>
        <v/>
      </c>
      <c r="J160">
        <f>IF($H160="","",IF(ROUND($F160,2)&gt;0,IF($D160="شخصی قاسم","شخصی قاسم",IF($D160="هزینه","هزینه: "&amp;IF($E160="","متفرقه",$E160),IF(OR($B160="",COUNTIF(AcctCodesA,$B160)=0),"متفرقه",$B160))),$A160))</f>
        <v/>
      </c>
      <c r="K160">
        <f>IF($A160="","",IF(AND($B160&lt;&gt;"",COUNTIF(AcctCodesA,$B160)=0),"کد طرف در INFO تعریف نشده",IF(AND($D160="هزینه",$E160=""),"هزینه بدون زیرگروه",IF(AND($C160="پاس چک",OR(Sync!$AJ160="",COUNTIF(IssueNosA,Sync!$AJ160)=0)),"شماره چک پاس‌شده معتبر نیست",""))))</f>
        <v/>
      </c>
      <c r="M160">
        <f>IF(Sync!$AH160="","",Sync!$AH160)</f>
        <v/>
      </c>
      <c r="N160">
        <f>IF($M160="","",IF(OR(Sync!$AI160="",COUNTIF(AcctCodesA,Sync!$AI160)=0),"متفرقه",Sync!$AI160))</f>
        <v/>
      </c>
      <c r="O160">
        <f>IF($M160="","",$N160)</f>
        <v/>
      </c>
      <c r="P160">
        <f>IF($M160="","","چک پرداختی")</f>
        <v/>
      </c>
      <c r="R160">
        <f>IF($M160="","",IF(COUNTIF(AcctCodesA,Sync!$AI160)=0,"ذی‌نفع چک تعریف‌نشده",""))</f>
        <v/>
      </c>
      <c r="S160">
        <f>IF($R160="","",Sync!$AG160&amp;"|"&amp;"5"&amp;RIGHT("00000"&amp;155,5))</f>
        <v/>
      </c>
      <c r="T160">
        <f>IF($S160="",0,COUNTIFS($S$6:$S$505,"&lt;"&amp;$S160)-COUNTIFS($S$6:$S$505,"&lt;"&amp;$S160,$R$6:$R$505,"")+1)</f>
        <v/>
      </c>
      <c r="V160">
        <f>IF($K160="","",IF(ISNUMBER(Sync!$AK160),Sync!$AK160,LEFT(Sync!$AK160,4)&amp;MID(Sync!$AK160,6,2)&amp;RIGHT(Sync!$AK160,2))&amp;"|"&amp;"4"&amp;RIGHT("00000"&amp;155,5))</f>
        <v/>
      </c>
      <c r="W160">
        <f>IF($V160="",0,COUNTIFS($V$6:$V$2005,"&lt;"&amp;$V160)-COUNTIFS($V$6:$V$2005,"&lt;"&amp;$V160,$K$6:$K$2005,"")+1)</f>
        <v/>
      </c>
      <c r="X160">
        <f>IF(Sync!$AX160="","",IF(OR(N(Sync!$AY160)=0,N(Sync!$AZ160)=0),"",ROUND(N(Sync!$AY160)*N(Sync!$AZ160),0)))</f>
        <v/>
      </c>
      <c r="Y160">
        <f>IF($X160="","",IF(OR(Sync!$AX160="",COUNTIF(AcctCodesA,Sync!$AX160)=0),"متفرقه",Sync!$AX160))</f>
        <v/>
      </c>
      <c r="Z160">
        <f>IF($X160="","","سبد و ظروف")</f>
        <v/>
      </c>
      <c r="AA160">
        <f>IF($X160="","",$Y160)</f>
        <v/>
      </c>
    </row>
    <row r="161">
      <c r="A161">
        <f>IF(Sync!$Z161="","",LEFT(UPPER(TRIM(Sync!$Z161)),6))</f>
        <v/>
      </c>
      <c r="B161">
        <f>IF($A161="","",IF(Sync!$AA161="","",Sync!$AA161))</f>
        <v/>
      </c>
      <c r="C161">
        <f>IF($A161="","",IF(Sync!$AB161="","",Sync!$AB161))</f>
        <v/>
      </c>
      <c r="D161">
        <f>IF($A161="","",IF(Sync!$AC161="","",Sync!$AC161))</f>
        <v/>
      </c>
      <c r="E161">
        <f>IF($A161="","",IF(Sync!$AD161="","",Sync!$AD161))</f>
        <v/>
      </c>
      <c r="F161">
        <f>IF($A161="","",IF(Sync!$AE161="",0,Sync!$AE161))</f>
        <v/>
      </c>
      <c r="G161">
        <f>IF($A161="","",IF(Sync!$AF161="",0,Sync!$AF161))</f>
        <v/>
      </c>
      <c r="H161">
        <f>IF(OR($A161="",ROUND($F161+$G161,2)=0),"",$F161+$G161)</f>
        <v/>
      </c>
      <c r="I161">
        <f>IF($H161="","",IF(ROUND($F161,2)&gt;0,$A161,IF($D161="شخصی قاسم","شخصی قاسم",IF($D161="هزینه","هزینه: "&amp;IF($E161="","متفرقه",$E161),IF($C161="پاس چک","چک پرداختی",IF(OR($B161="",COUNTIF(AcctCodesA,$B161)=0),"متفرقه",$B161))))))</f>
        <v/>
      </c>
      <c r="J161">
        <f>IF($H161="","",IF(ROUND($F161,2)&gt;0,IF($D161="شخصی قاسم","شخصی قاسم",IF($D161="هزینه","هزینه: "&amp;IF($E161="","متفرقه",$E161),IF(OR($B161="",COUNTIF(AcctCodesA,$B161)=0),"متفرقه",$B161))),$A161))</f>
        <v/>
      </c>
      <c r="K161">
        <f>IF($A161="","",IF(AND($B161&lt;&gt;"",COUNTIF(AcctCodesA,$B161)=0),"کد طرف در INFO تعریف نشده",IF(AND($D161="هزینه",$E161=""),"هزینه بدون زیرگروه",IF(AND($C161="پاس چک",OR(Sync!$AJ161="",COUNTIF(IssueNosA,Sync!$AJ161)=0)),"شماره چک پاس‌شده معتبر نیست",""))))</f>
        <v/>
      </c>
      <c r="M161">
        <f>IF(Sync!$AH161="","",Sync!$AH161)</f>
        <v/>
      </c>
      <c r="N161">
        <f>IF($M161="","",IF(OR(Sync!$AI161="",COUNTIF(AcctCodesA,Sync!$AI161)=0),"متفرقه",Sync!$AI161))</f>
        <v/>
      </c>
      <c r="O161">
        <f>IF($M161="","",$N161)</f>
        <v/>
      </c>
      <c r="P161">
        <f>IF($M161="","","چک پرداختی")</f>
        <v/>
      </c>
      <c r="R161">
        <f>IF($M161="","",IF(COUNTIF(AcctCodesA,Sync!$AI161)=0,"ذی‌نفع چک تعریف‌نشده",""))</f>
        <v/>
      </c>
      <c r="S161">
        <f>IF($R161="","",Sync!$AG161&amp;"|"&amp;"5"&amp;RIGHT("00000"&amp;156,5))</f>
        <v/>
      </c>
      <c r="T161">
        <f>IF($S161="",0,COUNTIFS($S$6:$S$505,"&lt;"&amp;$S161)-COUNTIFS($S$6:$S$505,"&lt;"&amp;$S161,$R$6:$R$505,"")+1)</f>
        <v/>
      </c>
      <c r="V161">
        <f>IF($K161="","",IF(ISNUMBER(Sync!$AK161),Sync!$AK161,LEFT(Sync!$AK161,4)&amp;MID(Sync!$AK161,6,2)&amp;RIGHT(Sync!$AK161,2))&amp;"|"&amp;"4"&amp;RIGHT("00000"&amp;156,5))</f>
        <v/>
      </c>
      <c r="W161">
        <f>IF($V161="",0,COUNTIFS($V$6:$V$2005,"&lt;"&amp;$V161)-COUNTIFS($V$6:$V$2005,"&lt;"&amp;$V161,$K$6:$K$2005,"")+1)</f>
        <v/>
      </c>
      <c r="X161">
        <f>IF(Sync!$AX161="","",IF(OR(N(Sync!$AY161)=0,N(Sync!$AZ161)=0),"",ROUND(N(Sync!$AY161)*N(Sync!$AZ161),0)))</f>
        <v/>
      </c>
      <c r="Y161">
        <f>IF($X161="","",IF(OR(Sync!$AX161="",COUNTIF(AcctCodesA,Sync!$AX161)=0),"متفرقه",Sync!$AX161))</f>
        <v/>
      </c>
      <c r="Z161">
        <f>IF($X161="","","سبد و ظروف")</f>
        <v/>
      </c>
      <c r="AA161">
        <f>IF($X161="","",$Y161)</f>
        <v/>
      </c>
    </row>
    <row r="162">
      <c r="A162">
        <f>IF(Sync!$Z162="","",LEFT(UPPER(TRIM(Sync!$Z162)),6))</f>
        <v/>
      </c>
      <c r="B162">
        <f>IF($A162="","",IF(Sync!$AA162="","",Sync!$AA162))</f>
        <v/>
      </c>
      <c r="C162">
        <f>IF($A162="","",IF(Sync!$AB162="","",Sync!$AB162))</f>
        <v/>
      </c>
      <c r="D162">
        <f>IF($A162="","",IF(Sync!$AC162="","",Sync!$AC162))</f>
        <v/>
      </c>
      <c r="E162">
        <f>IF($A162="","",IF(Sync!$AD162="","",Sync!$AD162))</f>
        <v/>
      </c>
      <c r="F162">
        <f>IF($A162="","",IF(Sync!$AE162="",0,Sync!$AE162))</f>
        <v/>
      </c>
      <c r="G162">
        <f>IF($A162="","",IF(Sync!$AF162="",0,Sync!$AF162))</f>
        <v/>
      </c>
      <c r="H162">
        <f>IF(OR($A162="",ROUND($F162+$G162,2)=0),"",$F162+$G162)</f>
        <v/>
      </c>
      <c r="I162">
        <f>IF($H162="","",IF(ROUND($F162,2)&gt;0,$A162,IF($D162="شخصی قاسم","شخصی قاسم",IF($D162="هزینه","هزینه: "&amp;IF($E162="","متفرقه",$E162),IF($C162="پاس چک","چک پرداختی",IF(OR($B162="",COUNTIF(AcctCodesA,$B162)=0),"متفرقه",$B162))))))</f>
        <v/>
      </c>
      <c r="J162">
        <f>IF($H162="","",IF(ROUND($F162,2)&gt;0,IF($D162="شخصی قاسم","شخصی قاسم",IF($D162="هزینه","هزینه: "&amp;IF($E162="","متفرقه",$E162),IF(OR($B162="",COUNTIF(AcctCodesA,$B162)=0),"متفرقه",$B162))),$A162))</f>
        <v/>
      </c>
      <c r="K162">
        <f>IF($A162="","",IF(AND($B162&lt;&gt;"",COUNTIF(AcctCodesA,$B162)=0),"کد طرف در INFO تعریف نشده",IF(AND($D162="هزینه",$E162=""),"هزینه بدون زیرگروه",IF(AND($C162="پاس چک",OR(Sync!$AJ162="",COUNTIF(IssueNosA,Sync!$AJ162)=0)),"شماره چک پاس‌شده معتبر نیست",""))))</f>
        <v/>
      </c>
      <c r="M162">
        <f>IF(Sync!$AH162="","",Sync!$AH162)</f>
        <v/>
      </c>
      <c r="N162">
        <f>IF($M162="","",IF(OR(Sync!$AI162="",COUNTIF(AcctCodesA,Sync!$AI162)=0),"متفرقه",Sync!$AI162))</f>
        <v/>
      </c>
      <c r="O162">
        <f>IF($M162="","",$N162)</f>
        <v/>
      </c>
      <c r="P162">
        <f>IF($M162="","","چک پرداختی")</f>
        <v/>
      </c>
      <c r="R162">
        <f>IF($M162="","",IF(COUNTIF(AcctCodesA,Sync!$AI162)=0,"ذی‌نفع چک تعریف‌نشده",""))</f>
        <v/>
      </c>
      <c r="S162">
        <f>IF($R162="","",Sync!$AG162&amp;"|"&amp;"5"&amp;RIGHT("00000"&amp;157,5))</f>
        <v/>
      </c>
      <c r="T162">
        <f>IF($S162="",0,COUNTIFS($S$6:$S$505,"&lt;"&amp;$S162)-COUNTIFS($S$6:$S$505,"&lt;"&amp;$S162,$R$6:$R$505,"")+1)</f>
        <v/>
      </c>
      <c r="V162">
        <f>IF($K162="","",IF(ISNUMBER(Sync!$AK162),Sync!$AK162,LEFT(Sync!$AK162,4)&amp;MID(Sync!$AK162,6,2)&amp;RIGHT(Sync!$AK162,2))&amp;"|"&amp;"4"&amp;RIGHT("00000"&amp;157,5))</f>
        <v/>
      </c>
      <c r="W162">
        <f>IF($V162="",0,COUNTIFS($V$6:$V$2005,"&lt;"&amp;$V162)-COUNTIFS($V$6:$V$2005,"&lt;"&amp;$V162,$K$6:$K$2005,"")+1)</f>
        <v/>
      </c>
      <c r="X162">
        <f>IF(Sync!$AX162="","",IF(OR(N(Sync!$AY162)=0,N(Sync!$AZ162)=0),"",ROUND(N(Sync!$AY162)*N(Sync!$AZ162),0)))</f>
        <v/>
      </c>
      <c r="Y162">
        <f>IF($X162="","",IF(OR(Sync!$AX162="",COUNTIF(AcctCodesA,Sync!$AX162)=0),"متفرقه",Sync!$AX162))</f>
        <v/>
      </c>
      <c r="Z162">
        <f>IF($X162="","","سبد و ظروف")</f>
        <v/>
      </c>
      <c r="AA162">
        <f>IF($X162="","",$Y162)</f>
        <v/>
      </c>
    </row>
    <row r="163">
      <c r="A163">
        <f>IF(Sync!$Z163="","",LEFT(UPPER(TRIM(Sync!$Z163)),6))</f>
        <v/>
      </c>
      <c r="B163">
        <f>IF($A163="","",IF(Sync!$AA163="","",Sync!$AA163))</f>
        <v/>
      </c>
      <c r="C163">
        <f>IF($A163="","",IF(Sync!$AB163="","",Sync!$AB163))</f>
        <v/>
      </c>
      <c r="D163">
        <f>IF($A163="","",IF(Sync!$AC163="","",Sync!$AC163))</f>
        <v/>
      </c>
      <c r="E163">
        <f>IF($A163="","",IF(Sync!$AD163="","",Sync!$AD163))</f>
        <v/>
      </c>
      <c r="F163">
        <f>IF($A163="","",IF(Sync!$AE163="",0,Sync!$AE163))</f>
        <v/>
      </c>
      <c r="G163">
        <f>IF($A163="","",IF(Sync!$AF163="",0,Sync!$AF163))</f>
        <v/>
      </c>
      <c r="H163">
        <f>IF(OR($A163="",ROUND($F163+$G163,2)=0),"",$F163+$G163)</f>
        <v/>
      </c>
      <c r="I163">
        <f>IF($H163="","",IF(ROUND($F163,2)&gt;0,$A163,IF($D163="شخصی قاسم","شخصی قاسم",IF($D163="هزینه","هزینه: "&amp;IF($E163="","متفرقه",$E163),IF($C163="پاس چک","چک پرداختی",IF(OR($B163="",COUNTIF(AcctCodesA,$B163)=0),"متفرقه",$B163))))))</f>
        <v/>
      </c>
      <c r="J163">
        <f>IF($H163="","",IF(ROUND($F163,2)&gt;0,IF($D163="شخصی قاسم","شخصی قاسم",IF($D163="هزینه","هزینه: "&amp;IF($E163="","متفرقه",$E163),IF(OR($B163="",COUNTIF(AcctCodesA,$B163)=0),"متفرقه",$B163))),$A163))</f>
        <v/>
      </c>
      <c r="K163">
        <f>IF($A163="","",IF(AND($B163&lt;&gt;"",COUNTIF(AcctCodesA,$B163)=0),"کد طرف در INFO تعریف نشده",IF(AND($D163="هزینه",$E163=""),"هزینه بدون زیرگروه",IF(AND($C163="پاس چک",OR(Sync!$AJ163="",COUNTIF(IssueNosA,Sync!$AJ163)=0)),"شماره چک پاس‌شده معتبر نیست",""))))</f>
        <v/>
      </c>
      <c r="M163">
        <f>IF(Sync!$AH163="","",Sync!$AH163)</f>
        <v/>
      </c>
      <c r="N163">
        <f>IF($M163="","",IF(OR(Sync!$AI163="",COUNTIF(AcctCodesA,Sync!$AI163)=0),"متفرقه",Sync!$AI163))</f>
        <v/>
      </c>
      <c r="O163">
        <f>IF($M163="","",$N163)</f>
        <v/>
      </c>
      <c r="P163">
        <f>IF($M163="","","چک پرداختی")</f>
        <v/>
      </c>
      <c r="R163">
        <f>IF($M163="","",IF(COUNTIF(AcctCodesA,Sync!$AI163)=0,"ذی‌نفع چک تعریف‌نشده",""))</f>
        <v/>
      </c>
      <c r="S163">
        <f>IF($R163="","",Sync!$AG163&amp;"|"&amp;"5"&amp;RIGHT("00000"&amp;158,5))</f>
        <v/>
      </c>
      <c r="T163">
        <f>IF($S163="",0,COUNTIFS($S$6:$S$505,"&lt;"&amp;$S163)-COUNTIFS($S$6:$S$505,"&lt;"&amp;$S163,$R$6:$R$505,"")+1)</f>
        <v/>
      </c>
      <c r="V163">
        <f>IF($K163="","",IF(ISNUMBER(Sync!$AK163),Sync!$AK163,LEFT(Sync!$AK163,4)&amp;MID(Sync!$AK163,6,2)&amp;RIGHT(Sync!$AK163,2))&amp;"|"&amp;"4"&amp;RIGHT("00000"&amp;158,5))</f>
        <v/>
      </c>
      <c r="W163">
        <f>IF($V163="",0,COUNTIFS($V$6:$V$2005,"&lt;"&amp;$V163)-COUNTIFS($V$6:$V$2005,"&lt;"&amp;$V163,$K$6:$K$2005,"")+1)</f>
        <v/>
      </c>
      <c r="X163">
        <f>IF(Sync!$AX163="","",IF(OR(N(Sync!$AY163)=0,N(Sync!$AZ163)=0),"",ROUND(N(Sync!$AY163)*N(Sync!$AZ163),0)))</f>
        <v/>
      </c>
      <c r="Y163">
        <f>IF($X163="","",IF(OR(Sync!$AX163="",COUNTIF(AcctCodesA,Sync!$AX163)=0),"متفرقه",Sync!$AX163))</f>
        <v/>
      </c>
      <c r="Z163">
        <f>IF($X163="","","سبد و ظروف")</f>
        <v/>
      </c>
      <c r="AA163">
        <f>IF($X163="","",$Y163)</f>
        <v/>
      </c>
    </row>
    <row r="164">
      <c r="A164">
        <f>IF(Sync!$Z164="","",LEFT(UPPER(TRIM(Sync!$Z164)),6))</f>
        <v/>
      </c>
      <c r="B164">
        <f>IF($A164="","",IF(Sync!$AA164="","",Sync!$AA164))</f>
        <v/>
      </c>
      <c r="C164">
        <f>IF($A164="","",IF(Sync!$AB164="","",Sync!$AB164))</f>
        <v/>
      </c>
      <c r="D164">
        <f>IF($A164="","",IF(Sync!$AC164="","",Sync!$AC164))</f>
        <v/>
      </c>
      <c r="E164">
        <f>IF($A164="","",IF(Sync!$AD164="","",Sync!$AD164))</f>
        <v/>
      </c>
      <c r="F164">
        <f>IF($A164="","",IF(Sync!$AE164="",0,Sync!$AE164))</f>
        <v/>
      </c>
      <c r="G164">
        <f>IF($A164="","",IF(Sync!$AF164="",0,Sync!$AF164))</f>
        <v/>
      </c>
      <c r="H164">
        <f>IF(OR($A164="",ROUND($F164+$G164,2)=0),"",$F164+$G164)</f>
        <v/>
      </c>
      <c r="I164">
        <f>IF($H164="","",IF(ROUND($F164,2)&gt;0,$A164,IF($D164="شخصی قاسم","شخصی قاسم",IF($D164="هزینه","هزینه: "&amp;IF($E164="","متفرقه",$E164),IF($C164="پاس چک","چک پرداختی",IF(OR($B164="",COUNTIF(AcctCodesA,$B164)=0),"متفرقه",$B164))))))</f>
        <v/>
      </c>
      <c r="J164">
        <f>IF($H164="","",IF(ROUND($F164,2)&gt;0,IF($D164="شخصی قاسم","شخصی قاسم",IF($D164="هزینه","هزینه: "&amp;IF($E164="","متفرقه",$E164),IF(OR($B164="",COUNTIF(AcctCodesA,$B164)=0),"متفرقه",$B164))),$A164))</f>
        <v/>
      </c>
      <c r="K164">
        <f>IF($A164="","",IF(AND($B164&lt;&gt;"",COUNTIF(AcctCodesA,$B164)=0),"کد طرف در INFO تعریف نشده",IF(AND($D164="هزینه",$E164=""),"هزینه بدون زیرگروه",IF(AND($C164="پاس چک",OR(Sync!$AJ164="",COUNTIF(IssueNosA,Sync!$AJ164)=0)),"شماره چک پاس‌شده معتبر نیست",""))))</f>
        <v/>
      </c>
      <c r="M164">
        <f>IF(Sync!$AH164="","",Sync!$AH164)</f>
        <v/>
      </c>
      <c r="N164">
        <f>IF($M164="","",IF(OR(Sync!$AI164="",COUNTIF(AcctCodesA,Sync!$AI164)=0),"متفرقه",Sync!$AI164))</f>
        <v/>
      </c>
      <c r="O164">
        <f>IF($M164="","",$N164)</f>
        <v/>
      </c>
      <c r="P164">
        <f>IF($M164="","","چک پرداختی")</f>
        <v/>
      </c>
      <c r="R164">
        <f>IF($M164="","",IF(COUNTIF(AcctCodesA,Sync!$AI164)=0,"ذی‌نفع چک تعریف‌نشده",""))</f>
        <v/>
      </c>
      <c r="S164">
        <f>IF($R164="","",Sync!$AG164&amp;"|"&amp;"5"&amp;RIGHT("00000"&amp;159,5))</f>
        <v/>
      </c>
      <c r="T164">
        <f>IF($S164="",0,COUNTIFS($S$6:$S$505,"&lt;"&amp;$S164)-COUNTIFS($S$6:$S$505,"&lt;"&amp;$S164,$R$6:$R$505,"")+1)</f>
        <v/>
      </c>
      <c r="V164">
        <f>IF($K164="","",IF(ISNUMBER(Sync!$AK164),Sync!$AK164,LEFT(Sync!$AK164,4)&amp;MID(Sync!$AK164,6,2)&amp;RIGHT(Sync!$AK164,2))&amp;"|"&amp;"4"&amp;RIGHT("00000"&amp;159,5))</f>
        <v/>
      </c>
      <c r="W164">
        <f>IF($V164="",0,COUNTIFS($V$6:$V$2005,"&lt;"&amp;$V164)-COUNTIFS($V$6:$V$2005,"&lt;"&amp;$V164,$K$6:$K$2005,"")+1)</f>
        <v/>
      </c>
      <c r="X164">
        <f>IF(Sync!$AX164="","",IF(OR(N(Sync!$AY164)=0,N(Sync!$AZ164)=0),"",ROUND(N(Sync!$AY164)*N(Sync!$AZ164),0)))</f>
        <v/>
      </c>
      <c r="Y164">
        <f>IF($X164="","",IF(OR(Sync!$AX164="",COUNTIF(AcctCodesA,Sync!$AX164)=0),"متفرقه",Sync!$AX164))</f>
        <v/>
      </c>
      <c r="Z164">
        <f>IF($X164="","","سبد و ظروف")</f>
        <v/>
      </c>
      <c r="AA164">
        <f>IF($X164="","",$Y164)</f>
        <v/>
      </c>
    </row>
    <row r="165">
      <c r="A165">
        <f>IF(Sync!$Z165="","",LEFT(UPPER(TRIM(Sync!$Z165)),6))</f>
        <v/>
      </c>
      <c r="B165">
        <f>IF($A165="","",IF(Sync!$AA165="","",Sync!$AA165))</f>
        <v/>
      </c>
      <c r="C165">
        <f>IF($A165="","",IF(Sync!$AB165="","",Sync!$AB165))</f>
        <v/>
      </c>
      <c r="D165">
        <f>IF($A165="","",IF(Sync!$AC165="","",Sync!$AC165))</f>
        <v/>
      </c>
      <c r="E165">
        <f>IF($A165="","",IF(Sync!$AD165="","",Sync!$AD165))</f>
        <v/>
      </c>
      <c r="F165">
        <f>IF($A165="","",IF(Sync!$AE165="",0,Sync!$AE165))</f>
        <v/>
      </c>
      <c r="G165">
        <f>IF($A165="","",IF(Sync!$AF165="",0,Sync!$AF165))</f>
        <v/>
      </c>
      <c r="H165">
        <f>IF(OR($A165="",ROUND($F165+$G165,2)=0),"",$F165+$G165)</f>
        <v/>
      </c>
      <c r="I165">
        <f>IF($H165="","",IF(ROUND($F165,2)&gt;0,$A165,IF($D165="شخصی قاسم","شخصی قاسم",IF($D165="هزینه","هزینه: "&amp;IF($E165="","متفرقه",$E165),IF($C165="پاس چک","چک پرداختی",IF(OR($B165="",COUNTIF(AcctCodesA,$B165)=0),"متفرقه",$B165))))))</f>
        <v/>
      </c>
      <c r="J165">
        <f>IF($H165="","",IF(ROUND($F165,2)&gt;0,IF($D165="شخصی قاسم","شخصی قاسم",IF($D165="هزینه","هزینه: "&amp;IF($E165="","متفرقه",$E165),IF(OR($B165="",COUNTIF(AcctCodesA,$B165)=0),"متفرقه",$B165))),$A165))</f>
        <v/>
      </c>
      <c r="K165">
        <f>IF($A165="","",IF(AND($B165&lt;&gt;"",COUNTIF(AcctCodesA,$B165)=0),"کد طرف در INFO تعریف نشده",IF(AND($D165="هزینه",$E165=""),"هزینه بدون زیرگروه",IF(AND($C165="پاس چک",OR(Sync!$AJ165="",COUNTIF(IssueNosA,Sync!$AJ165)=0)),"شماره چک پاس‌شده معتبر نیست",""))))</f>
        <v/>
      </c>
      <c r="M165">
        <f>IF(Sync!$AH165="","",Sync!$AH165)</f>
        <v/>
      </c>
      <c r="N165">
        <f>IF($M165="","",IF(OR(Sync!$AI165="",COUNTIF(AcctCodesA,Sync!$AI165)=0),"متفرقه",Sync!$AI165))</f>
        <v/>
      </c>
      <c r="O165">
        <f>IF($M165="","",$N165)</f>
        <v/>
      </c>
      <c r="P165">
        <f>IF($M165="","","چک پرداختی")</f>
        <v/>
      </c>
      <c r="R165">
        <f>IF($M165="","",IF(COUNTIF(AcctCodesA,Sync!$AI165)=0,"ذی‌نفع چک تعریف‌نشده",""))</f>
        <v/>
      </c>
      <c r="S165">
        <f>IF($R165="","",Sync!$AG165&amp;"|"&amp;"5"&amp;RIGHT("00000"&amp;160,5))</f>
        <v/>
      </c>
      <c r="T165">
        <f>IF($S165="",0,COUNTIFS($S$6:$S$505,"&lt;"&amp;$S165)-COUNTIFS($S$6:$S$505,"&lt;"&amp;$S165,$R$6:$R$505,"")+1)</f>
        <v/>
      </c>
      <c r="V165">
        <f>IF($K165="","",IF(ISNUMBER(Sync!$AK165),Sync!$AK165,LEFT(Sync!$AK165,4)&amp;MID(Sync!$AK165,6,2)&amp;RIGHT(Sync!$AK165,2))&amp;"|"&amp;"4"&amp;RIGHT("00000"&amp;160,5))</f>
        <v/>
      </c>
      <c r="W165">
        <f>IF($V165="",0,COUNTIFS($V$6:$V$2005,"&lt;"&amp;$V165)-COUNTIFS($V$6:$V$2005,"&lt;"&amp;$V165,$K$6:$K$2005,"")+1)</f>
        <v/>
      </c>
      <c r="X165">
        <f>IF(Sync!$AX165="","",IF(OR(N(Sync!$AY165)=0,N(Sync!$AZ165)=0),"",ROUND(N(Sync!$AY165)*N(Sync!$AZ165),0)))</f>
        <v/>
      </c>
      <c r="Y165">
        <f>IF($X165="","",IF(OR(Sync!$AX165="",COUNTIF(AcctCodesA,Sync!$AX165)=0),"متفرقه",Sync!$AX165))</f>
        <v/>
      </c>
      <c r="Z165">
        <f>IF($X165="","","سبد و ظروف")</f>
        <v/>
      </c>
      <c r="AA165">
        <f>IF($X165="","",$Y165)</f>
        <v/>
      </c>
    </row>
    <row r="166">
      <c r="A166">
        <f>IF(Sync!$Z166="","",LEFT(UPPER(TRIM(Sync!$Z166)),6))</f>
        <v/>
      </c>
      <c r="B166">
        <f>IF($A166="","",IF(Sync!$AA166="","",Sync!$AA166))</f>
        <v/>
      </c>
      <c r="C166">
        <f>IF($A166="","",IF(Sync!$AB166="","",Sync!$AB166))</f>
        <v/>
      </c>
      <c r="D166">
        <f>IF($A166="","",IF(Sync!$AC166="","",Sync!$AC166))</f>
        <v/>
      </c>
      <c r="E166">
        <f>IF($A166="","",IF(Sync!$AD166="","",Sync!$AD166))</f>
        <v/>
      </c>
      <c r="F166">
        <f>IF($A166="","",IF(Sync!$AE166="",0,Sync!$AE166))</f>
        <v/>
      </c>
      <c r="G166">
        <f>IF($A166="","",IF(Sync!$AF166="",0,Sync!$AF166))</f>
        <v/>
      </c>
      <c r="H166">
        <f>IF(OR($A166="",ROUND($F166+$G166,2)=0),"",$F166+$G166)</f>
        <v/>
      </c>
      <c r="I166">
        <f>IF($H166="","",IF(ROUND($F166,2)&gt;0,$A166,IF($D166="شخصی قاسم","شخصی قاسم",IF($D166="هزینه","هزینه: "&amp;IF($E166="","متفرقه",$E166),IF($C166="پاس چک","چک پرداختی",IF(OR($B166="",COUNTIF(AcctCodesA,$B166)=0),"متفرقه",$B166))))))</f>
        <v/>
      </c>
      <c r="J166">
        <f>IF($H166="","",IF(ROUND($F166,2)&gt;0,IF($D166="شخصی قاسم","شخصی قاسم",IF($D166="هزینه","هزینه: "&amp;IF($E166="","متفرقه",$E166),IF(OR($B166="",COUNTIF(AcctCodesA,$B166)=0),"متفرقه",$B166))),$A166))</f>
        <v/>
      </c>
      <c r="K166">
        <f>IF($A166="","",IF(AND($B166&lt;&gt;"",COUNTIF(AcctCodesA,$B166)=0),"کد طرف در INFO تعریف نشده",IF(AND($D166="هزینه",$E166=""),"هزینه بدون زیرگروه",IF(AND($C166="پاس چک",OR(Sync!$AJ166="",COUNTIF(IssueNosA,Sync!$AJ166)=0)),"شماره چک پاس‌شده معتبر نیست",""))))</f>
        <v/>
      </c>
      <c r="M166">
        <f>IF(Sync!$AH166="","",Sync!$AH166)</f>
        <v/>
      </c>
      <c r="N166">
        <f>IF($M166="","",IF(OR(Sync!$AI166="",COUNTIF(AcctCodesA,Sync!$AI166)=0),"متفرقه",Sync!$AI166))</f>
        <v/>
      </c>
      <c r="O166">
        <f>IF($M166="","",$N166)</f>
        <v/>
      </c>
      <c r="P166">
        <f>IF($M166="","","چک پرداختی")</f>
        <v/>
      </c>
      <c r="R166">
        <f>IF($M166="","",IF(COUNTIF(AcctCodesA,Sync!$AI166)=0,"ذی‌نفع چک تعریف‌نشده",""))</f>
        <v/>
      </c>
      <c r="S166">
        <f>IF($R166="","",Sync!$AG166&amp;"|"&amp;"5"&amp;RIGHT("00000"&amp;161,5))</f>
        <v/>
      </c>
      <c r="T166">
        <f>IF($S166="",0,COUNTIFS($S$6:$S$505,"&lt;"&amp;$S166)-COUNTIFS($S$6:$S$505,"&lt;"&amp;$S166,$R$6:$R$505,"")+1)</f>
        <v/>
      </c>
      <c r="V166">
        <f>IF($K166="","",IF(ISNUMBER(Sync!$AK166),Sync!$AK166,LEFT(Sync!$AK166,4)&amp;MID(Sync!$AK166,6,2)&amp;RIGHT(Sync!$AK166,2))&amp;"|"&amp;"4"&amp;RIGHT("00000"&amp;161,5))</f>
        <v/>
      </c>
      <c r="W166">
        <f>IF($V166="",0,COUNTIFS($V$6:$V$2005,"&lt;"&amp;$V166)-COUNTIFS($V$6:$V$2005,"&lt;"&amp;$V166,$K$6:$K$2005,"")+1)</f>
        <v/>
      </c>
      <c r="X166">
        <f>IF(Sync!$AX166="","",IF(OR(N(Sync!$AY166)=0,N(Sync!$AZ166)=0),"",ROUND(N(Sync!$AY166)*N(Sync!$AZ166),0)))</f>
        <v/>
      </c>
      <c r="Y166">
        <f>IF($X166="","",IF(OR(Sync!$AX166="",COUNTIF(AcctCodesA,Sync!$AX166)=0),"متفرقه",Sync!$AX166))</f>
        <v/>
      </c>
      <c r="Z166">
        <f>IF($X166="","","سبد و ظروف")</f>
        <v/>
      </c>
      <c r="AA166">
        <f>IF($X166="","",$Y166)</f>
        <v/>
      </c>
    </row>
    <row r="167">
      <c r="A167">
        <f>IF(Sync!$Z167="","",LEFT(UPPER(TRIM(Sync!$Z167)),6))</f>
        <v/>
      </c>
      <c r="B167">
        <f>IF($A167="","",IF(Sync!$AA167="","",Sync!$AA167))</f>
        <v/>
      </c>
      <c r="C167">
        <f>IF($A167="","",IF(Sync!$AB167="","",Sync!$AB167))</f>
        <v/>
      </c>
      <c r="D167">
        <f>IF($A167="","",IF(Sync!$AC167="","",Sync!$AC167))</f>
        <v/>
      </c>
      <c r="E167">
        <f>IF($A167="","",IF(Sync!$AD167="","",Sync!$AD167))</f>
        <v/>
      </c>
      <c r="F167">
        <f>IF($A167="","",IF(Sync!$AE167="",0,Sync!$AE167))</f>
        <v/>
      </c>
      <c r="G167">
        <f>IF($A167="","",IF(Sync!$AF167="",0,Sync!$AF167))</f>
        <v/>
      </c>
      <c r="H167">
        <f>IF(OR($A167="",ROUND($F167+$G167,2)=0),"",$F167+$G167)</f>
        <v/>
      </c>
      <c r="I167">
        <f>IF($H167="","",IF(ROUND($F167,2)&gt;0,$A167,IF($D167="شخصی قاسم","شخصی قاسم",IF($D167="هزینه","هزینه: "&amp;IF($E167="","متفرقه",$E167),IF($C167="پاس چک","چک پرداختی",IF(OR($B167="",COUNTIF(AcctCodesA,$B167)=0),"متفرقه",$B167))))))</f>
        <v/>
      </c>
      <c r="J167">
        <f>IF($H167="","",IF(ROUND($F167,2)&gt;0,IF($D167="شخصی قاسم","شخصی قاسم",IF($D167="هزینه","هزینه: "&amp;IF($E167="","متفرقه",$E167),IF(OR($B167="",COUNTIF(AcctCodesA,$B167)=0),"متفرقه",$B167))),$A167))</f>
        <v/>
      </c>
      <c r="K167">
        <f>IF($A167="","",IF(AND($B167&lt;&gt;"",COUNTIF(AcctCodesA,$B167)=0),"کد طرف در INFO تعریف نشده",IF(AND($D167="هزینه",$E167=""),"هزینه بدون زیرگروه",IF(AND($C167="پاس چک",OR(Sync!$AJ167="",COUNTIF(IssueNosA,Sync!$AJ167)=0)),"شماره چک پاس‌شده معتبر نیست",""))))</f>
        <v/>
      </c>
      <c r="M167">
        <f>IF(Sync!$AH167="","",Sync!$AH167)</f>
        <v/>
      </c>
      <c r="N167">
        <f>IF($M167="","",IF(OR(Sync!$AI167="",COUNTIF(AcctCodesA,Sync!$AI167)=0),"متفرقه",Sync!$AI167))</f>
        <v/>
      </c>
      <c r="O167">
        <f>IF($M167="","",$N167)</f>
        <v/>
      </c>
      <c r="P167">
        <f>IF($M167="","","چک پرداختی")</f>
        <v/>
      </c>
      <c r="R167">
        <f>IF($M167="","",IF(COUNTIF(AcctCodesA,Sync!$AI167)=0,"ذی‌نفع چک تعریف‌نشده",""))</f>
        <v/>
      </c>
      <c r="S167">
        <f>IF($R167="","",Sync!$AG167&amp;"|"&amp;"5"&amp;RIGHT("00000"&amp;162,5))</f>
        <v/>
      </c>
      <c r="T167">
        <f>IF($S167="",0,COUNTIFS($S$6:$S$505,"&lt;"&amp;$S167)-COUNTIFS($S$6:$S$505,"&lt;"&amp;$S167,$R$6:$R$505,"")+1)</f>
        <v/>
      </c>
      <c r="V167">
        <f>IF($K167="","",IF(ISNUMBER(Sync!$AK167),Sync!$AK167,LEFT(Sync!$AK167,4)&amp;MID(Sync!$AK167,6,2)&amp;RIGHT(Sync!$AK167,2))&amp;"|"&amp;"4"&amp;RIGHT("00000"&amp;162,5))</f>
        <v/>
      </c>
      <c r="W167">
        <f>IF($V167="",0,COUNTIFS($V$6:$V$2005,"&lt;"&amp;$V167)-COUNTIFS($V$6:$V$2005,"&lt;"&amp;$V167,$K$6:$K$2005,"")+1)</f>
        <v/>
      </c>
      <c r="X167">
        <f>IF(Sync!$AX167="","",IF(OR(N(Sync!$AY167)=0,N(Sync!$AZ167)=0),"",ROUND(N(Sync!$AY167)*N(Sync!$AZ167),0)))</f>
        <v/>
      </c>
      <c r="Y167">
        <f>IF($X167="","",IF(OR(Sync!$AX167="",COUNTIF(AcctCodesA,Sync!$AX167)=0),"متفرقه",Sync!$AX167))</f>
        <v/>
      </c>
      <c r="Z167">
        <f>IF($X167="","","سبد و ظروف")</f>
        <v/>
      </c>
      <c r="AA167">
        <f>IF($X167="","",$Y167)</f>
        <v/>
      </c>
    </row>
    <row r="168">
      <c r="A168">
        <f>IF(Sync!$Z168="","",LEFT(UPPER(TRIM(Sync!$Z168)),6))</f>
        <v/>
      </c>
      <c r="B168">
        <f>IF($A168="","",IF(Sync!$AA168="","",Sync!$AA168))</f>
        <v/>
      </c>
      <c r="C168">
        <f>IF($A168="","",IF(Sync!$AB168="","",Sync!$AB168))</f>
        <v/>
      </c>
      <c r="D168">
        <f>IF($A168="","",IF(Sync!$AC168="","",Sync!$AC168))</f>
        <v/>
      </c>
      <c r="E168">
        <f>IF($A168="","",IF(Sync!$AD168="","",Sync!$AD168))</f>
        <v/>
      </c>
      <c r="F168">
        <f>IF($A168="","",IF(Sync!$AE168="",0,Sync!$AE168))</f>
        <v/>
      </c>
      <c r="G168">
        <f>IF($A168="","",IF(Sync!$AF168="",0,Sync!$AF168))</f>
        <v/>
      </c>
      <c r="H168">
        <f>IF(OR($A168="",ROUND($F168+$G168,2)=0),"",$F168+$G168)</f>
        <v/>
      </c>
      <c r="I168">
        <f>IF($H168="","",IF(ROUND($F168,2)&gt;0,$A168,IF($D168="شخصی قاسم","شخصی قاسم",IF($D168="هزینه","هزینه: "&amp;IF($E168="","متفرقه",$E168),IF($C168="پاس چک","چک پرداختی",IF(OR($B168="",COUNTIF(AcctCodesA,$B168)=0),"متفرقه",$B168))))))</f>
        <v/>
      </c>
      <c r="J168">
        <f>IF($H168="","",IF(ROUND($F168,2)&gt;0,IF($D168="شخصی قاسم","شخصی قاسم",IF($D168="هزینه","هزینه: "&amp;IF($E168="","متفرقه",$E168),IF(OR($B168="",COUNTIF(AcctCodesA,$B168)=0),"متفرقه",$B168))),$A168))</f>
        <v/>
      </c>
      <c r="K168">
        <f>IF($A168="","",IF(AND($B168&lt;&gt;"",COUNTIF(AcctCodesA,$B168)=0),"کد طرف در INFO تعریف نشده",IF(AND($D168="هزینه",$E168=""),"هزینه بدون زیرگروه",IF(AND($C168="پاس چک",OR(Sync!$AJ168="",COUNTIF(IssueNosA,Sync!$AJ168)=0)),"شماره چک پاس‌شده معتبر نیست",""))))</f>
        <v/>
      </c>
      <c r="M168">
        <f>IF(Sync!$AH168="","",Sync!$AH168)</f>
        <v/>
      </c>
      <c r="N168">
        <f>IF($M168="","",IF(OR(Sync!$AI168="",COUNTIF(AcctCodesA,Sync!$AI168)=0),"متفرقه",Sync!$AI168))</f>
        <v/>
      </c>
      <c r="O168">
        <f>IF($M168="","",$N168)</f>
        <v/>
      </c>
      <c r="P168">
        <f>IF($M168="","","چک پرداختی")</f>
        <v/>
      </c>
      <c r="R168">
        <f>IF($M168="","",IF(COUNTIF(AcctCodesA,Sync!$AI168)=0,"ذی‌نفع چک تعریف‌نشده",""))</f>
        <v/>
      </c>
      <c r="S168">
        <f>IF($R168="","",Sync!$AG168&amp;"|"&amp;"5"&amp;RIGHT("00000"&amp;163,5))</f>
        <v/>
      </c>
      <c r="T168">
        <f>IF($S168="",0,COUNTIFS($S$6:$S$505,"&lt;"&amp;$S168)-COUNTIFS($S$6:$S$505,"&lt;"&amp;$S168,$R$6:$R$505,"")+1)</f>
        <v/>
      </c>
      <c r="V168">
        <f>IF($K168="","",IF(ISNUMBER(Sync!$AK168),Sync!$AK168,LEFT(Sync!$AK168,4)&amp;MID(Sync!$AK168,6,2)&amp;RIGHT(Sync!$AK168,2))&amp;"|"&amp;"4"&amp;RIGHT("00000"&amp;163,5))</f>
        <v/>
      </c>
      <c r="W168">
        <f>IF($V168="",0,COUNTIFS($V$6:$V$2005,"&lt;"&amp;$V168)-COUNTIFS($V$6:$V$2005,"&lt;"&amp;$V168,$K$6:$K$2005,"")+1)</f>
        <v/>
      </c>
      <c r="X168">
        <f>IF(Sync!$AX168="","",IF(OR(N(Sync!$AY168)=0,N(Sync!$AZ168)=0),"",ROUND(N(Sync!$AY168)*N(Sync!$AZ168),0)))</f>
        <v/>
      </c>
      <c r="Y168">
        <f>IF($X168="","",IF(OR(Sync!$AX168="",COUNTIF(AcctCodesA,Sync!$AX168)=0),"متفرقه",Sync!$AX168))</f>
        <v/>
      </c>
      <c r="Z168">
        <f>IF($X168="","","سبد و ظروف")</f>
        <v/>
      </c>
      <c r="AA168">
        <f>IF($X168="","",$Y168)</f>
        <v/>
      </c>
    </row>
    <row r="169">
      <c r="A169">
        <f>IF(Sync!$Z169="","",LEFT(UPPER(TRIM(Sync!$Z169)),6))</f>
        <v/>
      </c>
      <c r="B169">
        <f>IF($A169="","",IF(Sync!$AA169="","",Sync!$AA169))</f>
        <v/>
      </c>
      <c r="C169">
        <f>IF($A169="","",IF(Sync!$AB169="","",Sync!$AB169))</f>
        <v/>
      </c>
      <c r="D169">
        <f>IF($A169="","",IF(Sync!$AC169="","",Sync!$AC169))</f>
        <v/>
      </c>
      <c r="E169">
        <f>IF($A169="","",IF(Sync!$AD169="","",Sync!$AD169))</f>
        <v/>
      </c>
      <c r="F169">
        <f>IF($A169="","",IF(Sync!$AE169="",0,Sync!$AE169))</f>
        <v/>
      </c>
      <c r="G169">
        <f>IF($A169="","",IF(Sync!$AF169="",0,Sync!$AF169))</f>
        <v/>
      </c>
      <c r="H169">
        <f>IF(OR($A169="",ROUND($F169+$G169,2)=0),"",$F169+$G169)</f>
        <v/>
      </c>
      <c r="I169">
        <f>IF($H169="","",IF(ROUND($F169,2)&gt;0,$A169,IF($D169="شخصی قاسم","شخصی قاسم",IF($D169="هزینه","هزینه: "&amp;IF($E169="","متفرقه",$E169),IF($C169="پاس چک","چک پرداختی",IF(OR($B169="",COUNTIF(AcctCodesA,$B169)=0),"متفرقه",$B169))))))</f>
        <v/>
      </c>
      <c r="J169">
        <f>IF($H169="","",IF(ROUND($F169,2)&gt;0,IF($D169="شخصی قاسم","شخصی قاسم",IF($D169="هزینه","هزینه: "&amp;IF($E169="","متفرقه",$E169),IF(OR($B169="",COUNTIF(AcctCodesA,$B169)=0),"متفرقه",$B169))),$A169))</f>
        <v/>
      </c>
      <c r="K169">
        <f>IF($A169="","",IF(AND($B169&lt;&gt;"",COUNTIF(AcctCodesA,$B169)=0),"کد طرف در INFO تعریف نشده",IF(AND($D169="هزینه",$E169=""),"هزینه بدون زیرگروه",IF(AND($C169="پاس چک",OR(Sync!$AJ169="",COUNTIF(IssueNosA,Sync!$AJ169)=0)),"شماره چک پاس‌شده معتبر نیست",""))))</f>
        <v/>
      </c>
      <c r="M169">
        <f>IF(Sync!$AH169="","",Sync!$AH169)</f>
        <v/>
      </c>
      <c r="N169">
        <f>IF($M169="","",IF(OR(Sync!$AI169="",COUNTIF(AcctCodesA,Sync!$AI169)=0),"متفرقه",Sync!$AI169))</f>
        <v/>
      </c>
      <c r="O169">
        <f>IF($M169="","",$N169)</f>
        <v/>
      </c>
      <c r="P169">
        <f>IF($M169="","","چک پرداختی")</f>
        <v/>
      </c>
      <c r="R169">
        <f>IF($M169="","",IF(COUNTIF(AcctCodesA,Sync!$AI169)=0,"ذی‌نفع چک تعریف‌نشده",""))</f>
        <v/>
      </c>
      <c r="S169">
        <f>IF($R169="","",Sync!$AG169&amp;"|"&amp;"5"&amp;RIGHT("00000"&amp;164,5))</f>
        <v/>
      </c>
      <c r="T169">
        <f>IF($S169="",0,COUNTIFS($S$6:$S$505,"&lt;"&amp;$S169)-COUNTIFS($S$6:$S$505,"&lt;"&amp;$S169,$R$6:$R$505,"")+1)</f>
        <v/>
      </c>
      <c r="V169">
        <f>IF($K169="","",IF(ISNUMBER(Sync!$AK169),Sync!$AK169,LEFT(Sync!$AK169,4)&amp;MID(Sync!$AK169,6,2)&amp;RIGHT(Sync!$AK169,2))&amp;"|"&amp;"4"&amp;RIGHT("00000"&amp;164,5))</f>
        <v/>
      </c>
      <c r="W169">
        <f>IF($V169="",0,COUNTIFS($V$6:$V$2005,"&lt;"&amp;$V169)-COUNTIFS($V$6:$V$2005,"&lt;"&amp;$V169,$K$6:$K$2005,"")+1)</f>
        <v/>
      </c>
      <c r="X169">
        <f>IF(Sync!$AX169="","",IF(OR(N(Sync!$AY169)=0,N(Sync!$AZ169)=0),"",ROUND(N(Sync!$AY169)*N(Sync!$AZ169),0)))</f>
        <v/>
      </c>
      <c r="Y169">
        <f>IF($X169="","",IF(OR(Sync!$AX169="",COUNTIF(AcctCodesA,Sync!$AX169)=0),"متفرقه",Sync!$AX169))</f>
        <v/>
      </c>
      <c r="Z169">
        <f>IF($X169="","","سبد و ظروف")</f>
        <v/>
      </c>
      <c r="AA169">
        <f>IF($X169="","",$Y169)</f>
        <v/>
      </c>
    </row>
    <row r="170">
      <c r="A170">
        <f>IF(Sync!$Z170="","",LEFT(UPPER(TRIM(Sync!$Z170)),6))</f>
        <v/>
      </c>
      <c r="B170">
        <f>IF($A170="","",IF(Sync!$AA170="","",Sync!$AA170))</f>
        <v/>
      </c>
      <c r="C170">
        <f>IF($A170="","",IF(Sync!$AB170="","",Sync!$AB170))</f>
        <v/>
      </c>
      <c r="D170">
        <f>IF($A170="","",IF(Sync!$AC170="","",Sync!$AC170))</f>
        <v/>
      </c>
      <c r="E170">
        <f>IF($A170="","",IF(Sync!$AD170="","",Sync!$AD170))</f>
        <v/>
      </c>
      <c r="F170">
        <f>IF($A170="","",IF(Sync!$AE170="",0,Sync!$AE170))</f>
        <v/>
      </c>
      <c r="G170">
        <f>IF($A170="","",IF(Sync!$AF170="",0,Sync!$AF170))</f>
        <v/>
      </c>
      <c r="H170">
        <f>IF(OR($A170="",ROUND($F170+$G170,2)=0),"",$F170+$G170)</f>
        <v/>
      </c>
      <c r="I170">
        <f>IF($H170="","",IF(ROUND($F170,2)&gt;0,$A170,IF($D170="شخصی قاسم","شخصی قاسم",IF($D170="هزینه","هزینه: "&amp;IF($E170="","متفرقه",$E170),IF($C170="پاس چک","چک پرداختی",IF(OR($B170="",COUNTIF(AcctCodesA,$B170)=0),"متفرقه",$B170))))))</f>
        <v/>
      </c>
      <c r="J170">
        <f>IF($H170="","",IF(ROUND($F170,2)&gt;0,IF($D170="شخصی قاسم","شخصی قاسم",IF($D170="هزینه","هزینه: "&amp;IF($E170="","متفرقه",$E170),IF(OR($B170="",COUNTIF(AcctCodesA,$B170)=0),"متفرقه",$B170))),$A170))</f>
        <v/>
      </c>
      <c r="K170">
        <f>IF($A170="","",IF(AND($B170&lt;&gt;"",COUNTIF(AcctCodesA,$B170)=0),"کد طرف در INFO تعریف نشده",IF(AND($D170="هزینه",$E170=""),"هزینه بدون زیرگروه",IF(AND($C170="پاس چک",OR(Sync!$AJ170="",COUNTIF(IssueNosA,Sync!$AJ170)=0)),"شماره چک پاس‌شده معتبر نیست",""))))</f>
        <v/>
      </c>
      <c r="M170">
        <f>IF(Sync!$AH170="","",Sync!$AH170)</f>
        <v/>
      </c>
      <c r="N170">
        <f>IF($M170="","",IF(OR(Sync!$AI170="",COUNTIF(AcctCodesA,Sync!$AI170)=0),"متفرقه",Sync!$AI170))</f>
        <v/>
      </c>
      <c r="O170">
        <f>IF($M170="","",$N170)</f>
        <v/>
      </c>
      <c r="P170">
        <f>IF($M170="","","چک پرداختی")</f>
        <v/>
      </c>
      <c r="R170">
        <f>IF($M170="","",IF(COUNTIF(AcctCodesA,Sync!$AI170)=0,"ذی‌نفع چک تعریف‌نشده",""))</f>
        <v/>
      </c>
      <c r="S170">
        <f>IF($R170="","",Sync!$AG170&amp;"|"&amp;"5"&amp;RIGHT("00000"&amp;165,5))</f>
        <v/>
      </c>
      <c r="T170">
        <f>IF($S170="",0,COUNTIFS($S$6:$S$505,"&lt;"&amp;$S170)-COUNTIFS($S$6:$S$505,"&lt;"&amp;$S170,$R$6:$R$505,"")+1)</f>
        <v/>
      </c>
      <c r="V170">
        <f>IF($K170="","",IF(ISNUMBER(Sync!$AK170),Sync!$AK170,LEFT(Sync!$AK170,4)&amp;MID(Sync!$AK170,6,2)&amp;RIGHT(Sync!$AK170,2))&amp;"|"&amp;"4"&amp;RIGHT("00000"&amp;165,5))</f>
        <v/>
      </c>
      <c r="W170">
        <f>IF($V170="",0,COUNTIFS($V$6:$V$2005,"&lt;"&amp;$V170)-COUNTIFS($V$6:$V$2005,"&lt;"&amp;$V170,$K$6:$K$2005,"")+1)</f>
        <v/>
      </c>
      <c r="X170">
        <f>IF(Sync!$AX170="","",IF(OR(N(Sync!$AY170)=0,N(Sync!$AZ170)=0),"",ROUND(N(Sync!$AY170)*N(Sync!$AZ170),0)))</f>
        <v/>
      </c>
      <c r="Y170">
        <f>IF($X170="","",IF(OR(Sync!$AX170="",COUNTIF(AcctCodesA,Sync!$AX170)=0),"متفرقه",Sync!$AX170))</f>
        <v/>
      </c>
      <c r="Z170">
        <f>IF($X170="","","سبد و ظروف")</f>
        <v/>
      </c>
      <c r="AA170">
        <f>IF($X170="","",$Y170)</f>
        <v/>
      </c>
    </row>
    <row r="171">
      <c r="A171">
        <f>IF(Sync!$Z171="","",LEFT(UPPER(TRIM(Sync!$Z171)),6))</f>
        <v/>
      </c>
      <c r="B171">
        <f>IF($A171="","",IF(Sync!$AA171="","",Sync!$AA171))</f>
        <v/>
      </c>
      <c r="C171">
        <f>IF($A171="","",IF(Sync!$AB171="","",Sync!$AB171))</f>
        <v/>
      </c>
      <c r="D171">
        <f>IF($A171="","",IF(Sync!$AC171="","",Sync!$AC171))</f>
        <v/>
      </c>
      <c r="E171">
        <f>IF($A171="","",IF(Sync!$AD171="","",Sync!$AD171))</f>
        <v/>
      </c>
      <c r="F171">
        <f>IF($A171="","",IF(Sync!$AE171="",0,Sync!$AE171))</f>
        <v/>
      </c>
      <c r="G171">
        <f>IF($A171="","",IF(Sync!$AF171="",0,Sync!$AF171))</f>
        <v/>
      </c>
      <c r="H171">
        <f>IF(OR($A171="",ROUND($F171+$G171,2)=0),"",$F171+$G171)</f>
        <v/>
      </c>
      <c r="I171">
        <f>IF($H171="","",IF(ROUND($F171,2)&gt;0,$A171,IF($D171="شخصی قاسم","شخصی قاسم",IF($D171="هزینه","هزینه: "&amp;IF($E171="","متفرقه",$E171),IF($C171="پاس چک","چک پرداختی",IF(OR($B171="",COUNTIF(AcctCodesA,$B171)=0),"متفرقه",$B171))))))</f>
        <v/>
      </c>
      <c r="J171">
        <f>IF($H171="","",IF(ROUND($F171,2)&gt;0,IF($D171="شخصی قاسم","شخصی قاسم",IF($D171="هزینه","هزینه: "&amp;IF($E171="","متفرقه",$E171),IF(OR($B171="",COUNTIF(AcctCodesA,$B171)=0),"متفرقه",$B171))),$A171))</f>
        <v/>
      </c>
      <c r="K171">
        <f>IF($A171="","",IF(AND($B171&lt;&gt;"",COUNTIF(AcctCodesA,$B171)=0),"کد طرف در INFO تعریف نشده",IF(AND($D171="هزینه",$E171=""),"هزینه بدون زیرگروه",IF(AND($C171="پاس چک",OR(Sync!$AJ171="",COUNTIF(IssueNosA,Sync!$AJ171)=0)),"شماره چک پاس‌شده معتبر نیست",""))))</f>
        <v/>
      </c>
      <c r="M171">
        <f>IF(Sync!$AH171="","",Sync!$AH171)</f>
        <v/>
      </c>
      <c r="N171">
        <f>IF($M171="","",IF(OR(Sync!$AI171="",COUNTIF(AcctCodesA,Sync!$AI171)=0),"متفرقه",Sync!$AI171))</f>
        <v/>
      </c>
      <c r="O171">
        <f>IF($M171="","",$N171)</f>
        <v/>
      </c>
      <c r="P171">
        <f>IF($M171="","","چک پرداختی")</f>
        <v/>
      </c>
      <c r="R171">
        <f>IF($M171="","",IF(COUNTIF(AcctCodesA,Sync!$AI171)=0,"ذی‌نفع چک تعریف‌نشده",""))</f>
        <v/>
      </c>
      <c r="S171">
        <f>IF($R171="","",Sync!$AG171&amp;"|"&amp;"5"&amp;RIGHT("00000"&amp;166,5))</f>
        <v/>
      </c>
      <c r="T171">
        <f>IF($S171="",0,COUNTIFS($S$6:$S$505,"&lt;"&amp;$S171)-COUNTIFS($S$6:$S$505,"&lt;"&amp;$S171,$R$6:$R$505,"")+1)</f>
        <v/>
      </c>
      <c r="V171">
        <f>IF($K171="","",IF(ISNUMBER(Sync!$AK171),Sync!$AK171,LEFT(Sync!$AK171,4)&amp;MID(Sync!$AK171,6,2)&amp;RIGHT(Sync!$AK171,2))&amp;"|"&amp;"4"&amp;RIGHT("00000"&amp;166,5))</f>
        <v/>
      </c>
      <c r="W171">
        <f>IF($V171="",0,COUNTIFS($V$6:$V$2005,"&lt;"&amp;$V171)-COUNTIFS($V$6:$V$2005,"&lt;"&amp;$V171,$K$6:$K$2005,"")+1)</f>
        <v/>
      </c>
      <c r="X171">
        <f>IF(Sync!$AX171="","",IF(OR(N(Sync!$AY171)=0,N(Sync!$AZ171)=0),"",ROUND(N(Sync!$AY171)*N(Sync!$AZ171),0)))</f>
        <v/>
      </c>
      <c r="Y171">
        <f>IF($X171="","",IF(OR(Sync!$AX171="",COUNTIF(AcctCodesA,Sync!$AX171)=0),"متفرقه",Sync!$AX171))</f>
        <v/>
      </c>
      <c r="Z171">
        <f>IF($X171="","","سبد و ظروف")</f>
        <v/>
      </c>
      <c r="AA171">
        <f>IF($X171="","",$Y171)</f>
        <v/>
      </c>
    </row>
    <row r="172">
      <c r="A172">
        <f>IF(Sync!$Z172="","",LEFT(UPPER(TRIM(Sync!$Z172)),6))</f>
        <v/>
      </c>
      <c r="B172">
        <f>IF($A172="","",IF(Sync!$AA172="","",Sync!$AA172))</f>
        <v/>
      </c>
      <c r="C172">
        <f>IF($A172="","",IF(Sync!$AB172="","",Sync!$AB172))</f>
        <v/>
      </c>
      <c r="D172">
        <f>IF($A172="","",IF(Sync!$AC172="","",Sync!$AC172))</f>
        <v/>
      </c>
      <c r="E172">
        <f>IF($A172="","",IF(Sync!$AD172="","",Sync!$AD172))</f>
        <v/>
      </c>
      <c r="F172">
        <f>IF($A172="","",IF(Sync!$AE172="",0,Sync!$AE172))</f>
        <v/>
      </c>
      <c r="G172">
        <f>IF($A172="","",IF(Sync!$AF172="",0,Sync!$AF172))</f>
        <v/>
      </c>
      <c r="H172">
        <f>IF(OR($A172="",ROUND($F172+$G172,2)=0),"",$F172+$G172)</f>
        <v/>
      </c>
      <c r="I172">
        <f>IF($H172="","",IF(ROUND($F172,2)&gt;0,$A172,IF($D172="شخصی قاسم","شخصی قاسم",IF($D172="هزینه","هزینه: "&amp;IF($E172="","متفرقه",$E172),IF($C172="پاس چک","چک پرداختی",IF(OR($B172="",COUNTIF(AcctCodesA,$B172)=0),"متفرقه",$B172))))))</f>
        <v/>
      </c>
      <c r="J172">
        <f>IF($H172="","",IF(ROUND($F172,2)&gt;0,IF($D172="شخصی قاسم","شخصی قاسم",IF($D172="هزینه","هزینه: "&amp;IF($E172="","متفرقه",$E172),IF(OR($B172="",COUNTIF(AcctCodesA,$B172)=0),"متفرقه",$B172))),$A172))</f>
        <v/>
      </c>
      <c r="K172">
        <f>IF($A172="","",IF(AND($B172&lt;&gt;"",COUNTIF(AcctCodesA,$B172)=0),"کد طرف در INFO تعریف نشده",IF(AND($D172="هزینه",$E172=""),"هزینه بدون زیرگروه",IF(AND($C172="پاس چک",OR(Sync!$AJ172="",COUNTIF(IssueNosA,Sync!$AJ172)=0)),"شماره چک پاس‌شده معتبر نیست",""))))</f>
        <v/>
      </c>
      <c r="M172">
        <f>IF(Sync!$AH172="","",Sync!$AH172)</f>
        <v/>
      </c>
      <c r="N172">
        <f>IF($M172="","",IF(OR(Sync!$AI172="",COUNTIF(AcctCodesA,Sync!$AI172)=0),"متفرقه",Sync!$AI172))</f>
        <v/>
      </c>
      <c r="O172">
        <f>IF($M172="","",$N172)</f>
        <v/>
      </c>
      <c r="P172">
        <f>IF($M172="","","چک پرداختی")</f>
        <v/>
      </c>
      <c r="R172">
        <f>IF($M172="","",IF(COUNTIF(AcctCodesA,Sync!$AI172)=0,"ذی‌نفع چک تعریف‌نشده",""))</f>
        <v/>
      </c>
      <c r="S172">
        <f>IF($R172="","",Sync!$AG172&amp;"|"&amp;"5"&amp;RIGHT("00000"&amp;167,5))</f>
        <v/>
      </c>
      <c r="T172">
        <f>IF($S172="",0,COUNTIFS($S$6:$S$505,"&lt;"&amp;$S172)-COUNTIFS($S$6:$S$505,"&lt;"&amp;$S172,$R$6:$R$505,"")+1)</f>
        <v/>
      </c>
      <c r="V172">
        <f>IF($K172="","",IF(ISNUMBER(Sync!$AK172),Sync!$AK172,LEFT(Sync!$AK172,4)&amp;MID(Sync!$AK172,6,2)&amp;RIGHT(Sync!$AK172,2))&amp;"|"&amp;"4"&amp;RIGHT("00000"&amp;167,5))</f>
        <v/>
      </c>
      <c r="W172">
        <f>IF($V172="",0,COUNTIFS($V$6:$V$2005,"&lt;"&amp;$V172)-COUNTIFS($V$6:$V$2005,"&lt;"&amp;$V172,$K$6:$K$2005,"")+1)</f>
        <v/>
      </c>
      <c r="X172">
        <f>IF(Sync!$AX172="","",IF(OR(N(Sync!$AY172)=0,N(Sync!$AZ172)=0),"",ROUND(N(Sync!$AY172)*N(Sync!$AZ172),0)))</f>
        <v/>
      </c>
      <c r="Y172">
        <f>IF($X172="","",IF(OR(Sync!$AX172="",COUNTIF(AcctCodesA,Sync!$AX172)=0),"متفرقه",Sync!$AX172))</f>
        <v/>
      </c>
      <c r="Z172">
        <f>IF($X172="","","سبد و ظروف")</f>
        <v/>
      </c>
      <c r="AA172">
        <f>IF($X172="","",$Y172)</f>
        <v/>
      </c>
    </row>
    <row r="173">
      <c r="A173">
        <f>IF(Sync!$Z173="","",LEFT(UPPER(TRIM(Sync!$Z173)),6))</f>
        <v/>
      </c>
      <c r="B173">
        <f>IF($A173="","",IF(Sync!$AA173="","",Sync!$AA173))</f>
        <v/>
      </c>
      <c r="C173">
        <f>IF($A173="","",IF(Sync!$AB173="","",Sync!$AB173))</f>
        <v/>
      </c>
      <c r="D173">
        <f>IF($A173="","",IF(Sync!$AC173="","",Sync!$AC173))</f>
        <v/>
      </c>
      <c r="E173">
        <f>IF($A173="","",IF(Sync!$AD173="","",Sync!$AD173))</f>
        <v/>
      </c>
      <c r="F173">
        <f>IF($A173="","",IF(Sync!$AE173="",0,Sync!$AE173))</f>
        <v/>
      </c>
      <c r="G173">
        <f>IF($A173="","",IF(Sync!$AF173="",0,Sync!$AF173))</f>
        <v/>
      </c>
      <c r="H173">
        <f>IF(OR($A173="",ROUND($F173+$G173,2)=0),"",$F173+$G173)</f>
        <v/>
      </c>
      <c r="I173">
        <f>IF($H173="","",IF(ROUND($F173,2)&gt;0,$A173,IF($D173="شخصی قاسم","شخصی قاسم",IF($D173="هزینه","هزینه: "&amp;IF($E173="","متفرقه",$E173),IF($C173="پاس چک","چک پرداختی",IF(OR($B173="",COUNTIF(AcctCodesA,$B173)=0),"متفرقه",$B173))))))</f>
        <v/>
      </c>
      <c r="J173">
        <f>IF($H173="","",IF(ROUND($F173,2)&gt;0,IF($D173="شخصی قاسم","شخصی قاسم",IF($D173="هزینه","هزینه: "&amp;IF($E173="","متفرقه",$E173),IF(OR($B173="",COUNTIF(AcctCodesA,$B173)=0),"متفرقه",$B173))),$A173))</f>
        <v/>
      </c>
      <c r="K173">
        <f>IF($A173="","",IF(AND($B173&lt;&gt;"",COUNTIF(AcctCodesA,$B173)=0),"کد طرف در INFO تعریف نشده",IF(AND($D173="هزینه",$E173=""),"هزینه بدون زیرگروه",IF(AND($C173="پاس چک",OR(Sync!$AJ173="",COUNTIF(IssueNosA,Sync!$AJ173)=0)),"شماره چک پاس‌شده معتبر نیست",""))))</f>
        <v/>
      </c>
      <c r="M173">
        <f>IF(Sync!$AH173="","",Sync!$AH173)</f>
        <v/>
      </c>
      <c r="N173">
        <f>IF($M173="","",IF(OR(Sync!$AI173="",COUNTIF(AcctCodesA,Sync!$AI173)=0),"متفرقه",Sync!$AI173))</f>
        <v/>
      </c>
      <c r="O173">
        <f>IF($M173="","",$N173)</f>
        <v/>
      </c>
      <c r="P173">
        <f>IF($M173="","","چک پرداختی")</f>
        <v/>
      </c>
      <c r="R173">
        <f>IF($M173="","",IF(COUNTIF(AcctCodesA,Sync!$AI173)=0,"ذی‌نفع چک تعریف‌نشده",""))</f>
        <v/>
      </c>
      <c r="S173">
        <f>IF($R173="","",Sync!$AG173&amp;"|"&amp;"5"&amp;RIGHT("00000"&amp;168,5))</f>
        <v/>
      </c>
      <c r="T173">
        <f>IF($S173="",0,COUNTIFS($S$6:$S$505,"&lt;"&amp;$S173)-COUNTIFS($S$6:$S$505,"&lt;"&amp;$S173,$R$6:$R$505,"")+1)</f>
        <v/>
      </c>
      <c r="V173">
        <f>IF($K173="","",IF(ISNUMBER(Sync!$AK173),Sync!$AK173,LEFT(Sync!$AK173,4)&amp;MID(Sync!$AK173,6,2)&amp;RIGHT(Sync!$AK173,2))&amp;"|"&amp;"4"&amp;RIGHT("00000"&amp;168,5))</f>
        <v/>
      </c>
      <c r="W173">
        <f>IF($V173="",0,COUNTIFS($V$6:$V$2005,"&lt;"&amp;$V173)-COUNTIFS($V$6:$V$2005,"&lt;"&amp;$V173,$K$6:$K$2005,"")+1)</f>
        <v/>
      </c>
      <c r="X173">
        <f>IF(Sync!$AX173="","",IF(OR(N(Sync!$AY173)=0,N(Sync!$AZ173)=0),"",ROUND(N(Sync!$AY173)*N(Sync!$AZ173),0)))</f>
        <v/>
      </c>
      <c r="Y173">
        <f>IF($X173="","",IF(OR(Sync!$AX173="",COUNTIF(AcctCodesA,Sync!$AX173)=0),"متفرقه",Sync!$AX173))</f>
        <v/>
      </c>
      <c r="Z173">
        <f>IF($X173="","","سبد و ظروف")</f>
        <v/>
      </c>
      <c r="AA173">
        <f>IF($X173="","",$Y173)</f>
        <v/>
      </c>
    </row>
    <row r="174">
      <c r="A174">
        <f>IF(Sync!$Z174="","",LEFT(UPPER(TRIM(Sync!$Z174)),6))</f>
        <v/>
      </c>
      <c r="B174">
        <f>IF($A174="","",IF(Sync!$AA174="","",Sync!$AA174))</f>
        <v/>
      </c>
      <c r="C174">
        <f>IF($A174="","",IF(Sync!$AB174="","",Sync!$AB174))</f>
        <v/>
      </c>
      <c r="D174">
        <f>IF($A174="","",IF(Sync!$AC174="","",Sync!$AC174))</f>
        <v/>
      </c>
      <c r="E174">
        <f>IF($A174="","",IF(Sync!$AD174="","",Sync!$AD174))</f>
        <v/>
      </c>
      <c r="F174">
        <f>IF($A174="","",IF(Sync!$AE174="",0,Sync!$AE174))</f>
        <v/>
      </c>
      <c r="G174">
        <f>IF($A174="","",IF(Sync!$AF174="",0,Sync!$AF174))</f>
        <v/>
      </c>
      <c r="H174">
        <f>IF(OR($A174="",ROUND($F174+$G174,2)=0),"",$F174+$G174)</f>
        <v/>
      </c>
      <c r="I174">
        <f>IF($H174="","",IF(ROUND($F174,2)&gt;0,$A174,IF($D174="شخصی قاسم","شخصی قاسم",IF($D174="هزینه","هزینه: "&amp;IF($E174="","متفرقه",$E174),IF($C174="پاس چک","چک پرداختی",IF(OR($B174="",COUNTIF(AcctCodesA,$B174)=0),"متفرقه",$B174))))))</f>
        <v/>
      </c>
      <c r="J174">
        <f>IF($H174="","",IF(ROUND($F174,2)&gt;0,IF($D174="شخصی قاسم","شخصی قاسم",IF($D174="هزینه","هزینه: "&amp;IF($E174="","متفرقه",$E174),IF(OR($B174="",COUNTIF(AcctCodesA,$B174)=0),"متفرقه",$B174))),$A174))</f>
        <v/>
      </c>
      <c r="K174">
        <f>IF($A174="","",IF(AND($B174&lt;&gt;"",COUNTIF(AcctCodesA,$B174)=0),"کد طرف در INFO تعریف نشده",IF(AND($D174="هزینه",$E174=""),"هزینه بدون زیرگروه",IF(AND($C174="پاس چک",OR(Sync!$AJ174="",COUNTIF(IssueNosA,Sync!$AJ174)=0)),"شماره چک پاس‌شده معتبر نیست",""))))</f>
        <v/>
      </c>
      <c r="M174">
        <f>IF(Sync!$AH174="","",Sync!$AH174)</f>
        <v/>
      </c>
      <c r="N174">
        <f>IF($M174="","",IF(OR(Sync!$AI174="",COUNTIF(AcctCodesA,Sync!$AI174)=0),"متفرقه",Sync!$AI174))</f>
        <v/>
      </c>
      <c r="O174">
        <f>IF($M174="","",$N174)</f>
        <v/>
      </c>
      <c r="P174">
        <f>IF($M174="","","چک پرداختی")</f>
        <v/>
      </c>
      <c r="R174">
        <f>IF($M174="","",IF(COUNTIF(AcctCodesA,Sync!$AI174)=0,"ذی‌نفع چک تعریف‌نشده",""))</f>
        <v/>
      </c>
      <c r="S174">
        <f>IF($R174="","",Sync!$AG174&amp;"|"&amp;"5"&amp;RIGHT("00000"&amp;169,5))</f>
        <v/>
      </c>
      <c r="T174">
        <f>IF($S174="",0,COUNTIFS($S$6:$S$505,"&lt;"&amp;$S174)-COUNTIFS($S$6:$S$505,"&lt;"&amp;$S174,$R$6:$R$505,"")+1)</f>
        <v/>
      </c>
      <c r="V174">
        <f>IF($K174="","",IF(ISNUMBER(Sync!$AK174),Sync!$AK174,LEFT(Sync!$AK174,4)&amp;MID(Sync!$AK174,6,2)&amp;RIGHT(Sync!$AK174,2))&amp;"|"&amp;"4"&amp;RIGHT("00000"&amp;169,5))</f>
        <v/>
      </c>
      <c r="W174">
        <f>IF($V174="",0,COUNTIFS($V$6:$V$2005,"&lt;"&amp;$V174)-COUNTIFS($V$6:$V$2005,"&lt;"&amp;$V174,$K$6:$K$2005,"")+1)</f>
        <v/>
      </c>
      <c r="X174">
        <f>IF(Sync!$AX174="","",IF(OR(N(Sync!$AY174)=0,N(Sync!$AZ174)=0),"",ROUND(N(Sync!$AY174)*N(Sync!$AZ174),0)))</f>
        <v/>
      </c>
      <c r="Y174">
        <f>IF($X174="","",IF(OR(Sync!$AX174="",COUNTIF(AcctCodesA,Sync!$AX174)=0),"متفرقه",Sync!$AX174))</f>
        <v/>
      </c>
      <c r="Z174">
        <f>IF($X174="","","سبد و ظروف")</f>
        <v/>
      </c>
      <c r="AA174">
        <f>IF($X174="","",$Y174)</f>
        <v/>
      </c>
    </row>
    <row r="175">
      <c r="A175">
        <f>IF(Sync!$Z175="","",LEFT(UPPER(TRIM(Sync!$Z175)),6))</f>
        <v/>
      </c>
      <c r="B175">
        <f>IF($A175="","",IF(Sync!$AA175="","",Sync!$AA175))</f>
        <v/>
      </c>
      <c r="C175">
        <f>IF($A175="","",IF(Sync!$AB175="","",Sync!$AB175))</f>
        <v/>
      </c>
      <c r="D175">
        <f>IF($A175="","",IF(Sync!$AC175="","",Sync!$AC175))</f>
        <v/>
      </c>
      <c r="E175">
        <f>IF($A175="","",IF(Sync!$AD175="","",Sync!$AD175))</f>
        <v/>
      </c>
      <c r="F175">
        <f>IF($A175="","",IF(Sync!$AE175="",0,Sync!$AE175))</f>
        <v/>
      </c>
      <c r="G175">
        <f>IF($A175="","",IF(Sync!$AF175="",0,Sync!$AF175))</f>
        <v/>
      </c>
      <c r="H175">
        <f>IF(OR($A175="",ROUND($F175+$G175,2)=0),"",$F175+$G175)</f>
        <v/>
      </c>
      <c r="I175">
        <f>IF($H175="","",IF(ROUND($F175,2)&gt;0,$A175,IF($D175="شخصی قاسم","شخصی قاسم",IF($D175="هزینه","هزینه: "&amp;IF($E175="","متفرقه",$E175),IF($C175="پاس چک","چک پرداختی",IF(OR($B175="",COUNTIF(AcctCodesA,$B175)=0),"متفرقه",$B175))))))</f>
        <v/>
      </c>
      <c r="J175">
        <f>IF($H175="","",IF(ROUND($F175,2)&gt;0,IF($D175="شخصی قاسم","شخصی قاسم",IF($D175="هزینه","هزینه: "&amp;IF($E175="","متفرقه",$E175),IF(OR($B175="",COUNTIF(AcctCodesA,$B175)=0),"متفرقه",$B175))),$A175))</f>
        <v/>
      </c>
      <c r="K175">
        <f>IF($A175="","",IF(AND($B175&lt;&gt;"",COUNTIF(AcctCodesA,$B175)=0),"کد طرف در INFO تعریف نشده",IF(AND($D175="هزینه",$E175=""),"هزینه بدون زیرگروه",IF(AND($C175="پاس چک",OR(Sync!$AJ175="",COUNTIF(IssueNosA,Sync!$AJ175)=0)),"شماره چک پاس‌شده معتبر نیست",""))))</f>
        <v/>
      </c>
      <c r="M175">
        <f>IF(Sync!$AH175="","",Sync!$AH175)</f>
        <v/>
      </c>
      <c r="N175">
        <f>IF($M175="","",IF(OR(Sync!$AI175="",COUNTIF(AcctCodesA,Sync!$AI175)=0),"متفرقه",Sync!$AI175))</f>
        <v/>
      </c>
      <c r="O175">
        <f>IF($M175="","",$N175)</f>
        <v/>
      </c>
      <c r="P175">
        <f>IF($M175="","","چک پرداختی")</f>
        <v/>
      </c>
      <c r="R175">
        <f>IF($M175="","",IF(COUNTIF(AcctCodesA,Sync!$AI175)=0,"ذی‌نفع چک تعریف‌نشده",""))</f>
        <v/>
      </c>
      <c r="S175">
        <f>IF($R175="","",Sync!$AG175&amp;"|"&amp;"5"&amp;RIGHT("00000"&amp;170,5))</f>
        <v/>
      </c>
      <c r="T175">
        <f>IF($S175="",0,COUNTIFS($S$6:$S$505,"&lt;"&amp;$S175)-COUNTIFS($S$6:$S$505,"&lt;"&amp;$S175,$R$6:$R$505,"")+1)</f>
        <v/>
      </c>
      <c r="V175">
        <f>IF($K175="","",IF(ISNUMBER(Sync!$AK175),Sync!$AK175,LEFT(Sync!$AK175,4)&amp;MID(Sync!$AK175,6,2)&amp;RIGHT(Sync!$AK175,2))&amp;"|"&amp;"4"&amp;RIGHT("00000"&amp;170,5))</f>
        <v/>
      </c>
      <c r="W175">
        <f>IF($V175="",0,COUNTIFS($V$6:$V$2005,"&lt;"&amp;$V175)-COUNTIFS($V$6:$V$2005,"&lt;"&amp;$V175,$K$6:$K$2005,"")+1)</f>
        <v/>
      </c>
      <c r="X175">
        <f>IF(Sync!$AX175="","",IF(OR(N(Sync!$AY175)=0,N(Sync!$AZ175)=0),"",ROUND(N(Sync!$AY175)*N(Sync!$AZ175),0)))</f>
        <v/>
      </c>
      <c r="Y175">
        <f>IF($X175="","",IF(OR(Sync!$AX175="",COUNTIF(AcctCodesA,Sync!$AX175)=0),"متفرقه",Sync!$AX175))</f>
        <v/>
      </c>
      <c r="Z175">
        <f>IF($X175="","","سبد و ظروف")</f>
        <v/>
      </c>
      <c r="AA175">
        <f>IF($X175="","",$Y175)</f>
        <v/>
      </c>
    </row>
    <row r="176">
      <c r="A176">
        <f>IF(Sync!$Z176="","",LEFT(UPPER(TRIM(Sync!$Z176)),6))</f>
        <v/>
      </c>
      <c r="B176">
        <f>IF($A176="","",IF(Sync!$AA176="","",Sync!$AA176))</f>
        <v/>
      </c>
      <c r="C176">
        <f>IF($A176="","",IF(Sync!$AB176="","",Sync!$AB176))</f>
        <v/>
      </c>
      <c r="D176">
        <f>IF($A176="","",IF(Sync!$AC176="","",Sync!$AC176))</f>
        <v/>
      </c>
      <c r="E176">
        <f>IF($A176="","",IF(Sync!$AD176="","",Sync!$AD176))</f>
        <v/>
      </c>
      <c r="F176">
        <f>IF($A176="","",IF(Sync!$AE176="",0,Sync!$AE176))</f>
        <v/>
      </c>
      <c r="G176">
        <f>IF($A176="","",IF(Sync!$AF176="",0,Sync!$AF176))</f>
        <v/>
      </c>
      <c r="H176">
        <f>IF(OR($A176="",ROUND($F176+$G176,2)=0),"",$F176+$G176)</f>
        <v/>
      </c>
      <c r="I176">
        <f>IF($H176="","",IF(ROUND($F176,2)&gt;0,$A176,IF($D176="شخصی قاسم","شخصی قاسم",IF($D176="هزینه","هزینه: "&amp;IF($E176="","متفرقه",$E176),IF($C176="پاس چک","چک پرداختی",IF(OR($B176="",COUNTIF(AcctCodesA,$B176)=0),"متفرقه",$B176))))))</f>
        <v/>
      </c>
      <c r="J176">
        <f>IF($H176="","",IF(ROUND($F176,2)&gt;0,IF($D176="شخصی قاسم","شخصی قاسم",IF($D176="هزینه","هزینه: "&amp;IF($E176="","متفرقه",$E176),IF(OR($B176="",COUNTIF(AcctCodesA,$B176)=0),"متفرقه",$B176))),$A176))</f>
        <v/>
      </c>
      <c r="K176">
        <f>IF($A176="","",IF(AND($B176&lt;&gt;"",COUNTIF(AcctCodesA,$B176)=0),"کد طرف در INFO تعریف نشده",IF(AND($D176="هزینه",$E176=""),"هزینه بدون زیرگروه",IF(AND($C176="پاس چک",OR(Sync!$AJ176="",COUNTIF(IssueNosA,Sync!$AJ176)=0)),"شماره چک پاس‌شده معتبر نیست",""))))</f>
        <v/>
      </c>
      <c r="M176">
        <f>IF(Sync!$AH176="","",Sync!$AH176)</f>
        <v/>
      </c>
      <c r="N176">
        <f>IF($M176="","",IF(OR(Sync!$AI176="",COUNTIF(AcctCodesA,Sync!$AI176)=0),"متفرقه",Sync!$AI176))</f>
        <v/>
      </c>
      <c r="O176">
        <f>IF($M176="","",$N176)</f>
        <v/>
      </c>
      <c r="P176">
        <f>IF($M176="","","چک پرداختی")</f>
        <v/>
      </c>
      <c r="R176">
        <f>IF($M176="","",IF(COUNTIF(AcctCodesA,Sync!$AI176)=0,"ذی‌نفع چک تعریف‌نشده",""))</f>
        <v/>
      </c>
      <c r="S176">
        <f>IF($R176="","",Sync!$AG176&amp;"|"&amp;"5"&amp;RIGHT("00000"&amp;171,5))</f>
        <v/>
      </c>
      <c r="T176">
        <f>IF($S176="",0,COUNTIFS($S$6:$S$505,"&lt;"&amp;$S176)-COUNTIFS($S$6:$S$505,"&lt;"&amp;$S176,$R$6:$R$505,"")+1)</f>
        <v/>
      </c>
      <c r="V176">
        <f>IF($K176="","",IF(ISNUMBER(Sync!$AK176),Sync!$AK176,LEFT(Sync!$AK176,4)&amp;MID(Sync!$AK176,6,2)&amp;RIGHT(Sync!$AK176,2))&amp;"|"&amp;"4"&amp;RIGHT("00000"&amp;171,5))</f>
        <v/>
      </c>
      <c r="W176">
        <f>IF($V176="",0,COUNTIFS($V$6:$V$2005,"&lt;"&amp;$V176)-COUNTIFS($V$6:$V$2005,"&lt;"&amp;$V176,$K$6:$K$2005,"")+1)</f>
        <v/>
      </c>
      <c r="X176">
        <f>IF(Sync!$AX176="","",IF(OR(N(Sync!$AY176)=0,N(Sync!$AZ176)=0),"",ROUND(N(Sync!$AY176)*N(Sync!$AZ176),0)))</f>
        <v/>
      </c>
      <c r="Y176">
        <f>IF($X176="","",IF(OR(Sync!$AX176="",COUNTIF(AcctCodesA,Sync!$AX176)=0),"متفرقه",Sync!$AX176))</f>
        <v/>
      </c>
      <c r="Z176">
        <f>IF($X176="","","سبد و ظروف")</f>
        <v/>
      </c>
      <c r="AA176">
        <f>IF($X176="","",$Y176)</f>
        <v/>
      </c>
    </row>
    <row r="177">
      <c r="A177">
        <f>IF(Sync!$Z177="","",LEFT(UPPER(TRIM(Sync!$Z177)),6))</f>
        <v/>
      </c>
      <c r="B177">
        <f>IF($A177="","",IF(Sync!$AA177="","",Sync!$AA177))</f>
        <v/>
      </c>
      <c r="C177">
        <f>IF($A177="","",IF(Sync!$AB177="","",Sync!$AB177))</f>
        <v/>
      </c>
      <c r="D177">
        <f>IF($A177="","",IF(Sync!$AC177="","",Sync!$AC177))</f>
        <v/>
      </c>
      <c r="E177">
        <f>IF($A177="","",IF(Sync!$AD177="","",Sync!$AD177))</f>
        <v/>
      </c>
      <c r="F177">
        <f>IF($A177="","",IF(Sync!$AE177="",0,Sync!$AE177))</f>
        <v/>
      </c>
      <c r="G177">
        <f>IF($A177="","",IF(Sync!$AF177="",0,Sync!$AF177))</f>
        <v/>
      </c>
      <c r="H177">
        <f>IF(OR($A177="",ROUND($F177+$G177,2)=0),"",$F177+$G177)</f>
        <v/>
      </c>
      <c r="I177">
        <f>IF($H177="","",IF(ROUND($F177,2)&gt;0,$A177,IF($D177="شخصی قاسم","شخصی قاسم",IF($D177="هزینه","هزینه: "&amp;IF($E177="","متفرقه",$E177),IF($C177="پاس چک","چک پرداختی",IF(OR($B177="",COUNTIF(AcctCodesA,$B177)=0),"متفرقه",$B177))))))</f>
        <v/>
      </c>
      <c r="J177">
        <f>IF($H177="","",IF(ROUND($F177,2)&gt;0,IF($D177="شخصی قاسم","شخصی قاسم",IF($D177="هزینه","هزینه: "&amp;IF($E177="","متفرقه",$E177),IF(OR($B177="",COUNTIF(AcctCodesA,$B177)=0),"متفرقه",$B177))),$A177))</f>
        <v/>
      </c>
      <c r="K177">
        <f>IF($A177="","",IF(AND($B177&lt;&gt;"",COUNTIF(AcctCodesA,$B177)=0),"کد طرف در INFO تعریف نشده",IF(AND($D177="هزینه",$E177=""),"هزینه بدون زیرگروه",IF(AND($C177="پاس چک",OR(Sync!$AJ177="",COUNTIF(IssueNosA,Sync!$AJ177)=0)),"شماره چک پاس‌شده معتبر نیست",""))))</f>
        <v/>
      </c>
      <c r="M177">
        <f>IF(Sync!$AH177="","",Sync!$AH177)</f>
        <v/>
      </c>
      <c r="N177">
        <f>IF($M177="","",IF(OR(Sync!$AI177="",COUNTIF(AcctCodesA,Sync!$AI177)=0),"متفرقه",Sync!$AI177))</f>
        <v/>
      </c>
      <c r="O177">
        <f>IF($M177="","",$N177)</f>
        <v/>
      </c>
      <c r="P177">
        <f>IF($M177="","","چک پرداختی")</f>
        <v/>
      </c>
      <c r="R177">
        <f>IF($M177="","",IF(COUNTIF(AcctCodesA,Sync!$AI177)=0,"ذی‌نفع چک تعریف‌نشده",""))</f>
        <v/>
      </c>
      <c r="S177">
        <f>IF($R177="","",Sync!$AG177&amp;"|"&amp;"5"&amp;RIGHT("00000"&amp;172,5))</f>
        <v/>
      </c>
      <c r="T177">
        <f>IF($S177="",0,COUNTIFS($S$6:$S$505,"&lt;"&amp;$S177)-COUNTIFS($S$6:$S$505,"&lt;"&amp;$S177,$R$6:$R$505,"")+1)</f>
        <v/>
      </c>
      <c r="V177">
        <f>IF($K177="","",IF(ISNUMBER(Sync!$AK177),Sync!$AK177,LEFT(Sync!$AK177,4)&amp;MID(Sync!$AK177,6,2)&amp;RIGHT(Sync!$AK177,2))&amp;"|"&amp;"4"&amp;RIGHT("00000"&amp;172,5))</f>
        <v/>
      </c>
      <c r="W177">
        <f>IF($V177="",0,COUNTIFS($V$6:$V$2005,"&lt;"&amp;$V177)-COUNTIFS($V$6:$V$2005,"&lt;"&amp;$V177,$K$6:$K$2005,"")+1)</f>
        <v/>
      </c>
      <c r="X177">
        <f>IF(Sync!$AX177="","",IF(OR(N(Sync!$AY177)=0,N(Sync!$AZ177)=0),"",ROUND(N(Sync!$AY177)*N(Sync!$AZ177),0)))</f>
        <v/>
      </c>
      <c r="Y177">
        <f>IF($X177="","",IF(OR(Sync!$AX177="",COUNTIF(AcctCodesA,Sync!$AX177)=0),"متفرقه",Sync!$AX177))</f>
        <v/>
      </c>
      <c r="Z177">
        <f>IF($X177="","","سبد و ظروف")</f>
        <v/>
      </c>
      <c r="AA177">
        <f>IF($X177="","",$Y177)</f>
        <v/>
      </c>
    </row>
    <row r="178">
      <c r="A178">
        <f>IF(Sync!$Z178="","",LEFT(UPPER(TRIM(Sync!$Z178)),6))</f>
        <v/>
      </c>
      <c r="B178">
        <f>IF($A178="","",IF(Sync!$AA178="","",Sync!$AA178))</f>
        <v/>
      </c>
      <c r="C178">
        <f>IF($A178="","",IF(Sync!$AB178="","",Sync!$AB178))</f>
        <v/>
      </c>
      <c r="D178">
        <f>IF($A178="","",IF(Sync!$AC178="","",Sync!$AC178))</f>
        <v/>
      </c>
      <c r="E178">
        <f>IF($A178="","",IF(Sync!$AD178="","",Sync!$AD178))</f>
        <v/>
      </c>
      <c r="F178">
        <f>IF($A178="","",IF(Sync!$AE178="",0,Sync!$AE178))</f>
        <v/>
      </c>
      <c r="G178">
        <f>IF($A178="","",IF(Sync!$AF178="",0,Sync!$AF178))</f>
        <v/>
      </c>
      <c r="H178">
        <f>IF(OR($A178="",ROUND($F178+$G178,2)=0),"",$F178+$G178)</f>
        <v/>
      </c>
      <c r="I178">
        <f>IF($H178="","",IF(ROUND($F178,2)&gt;0,$A178,IF($D178="شخصی قاسم","شخصی قاسم",IF($D178="هزینه","هزینه: "&amp;IF($E178="","متفرقه",$E178),IF($C178="پاس چک","چک پرداختی",IF(OR($B178="",COUNTIF(AcctCodesA,$B178)=0),"متفرقه",$B178))))))</f>
        <v/>
      </c>
      <c r="J178">
        <f>IF($H178="","",IF(ROUND($F178,2)&gt;0,IF($D178="شخصی قاسم","شخصی قاسم",IF($D178="هزینه","هزینه: "&amp;IF($E178="","متفرقه",$E178),IF(OR($B178="",COUNTIF(AcctCodesA,$B178)=0),"متفرقه",$B178))),$A178))</f>
        <v/>
      </c>
      <c r="K178">
        <f>IF($A178="","",IF(AND($B178&lt;&gt;"",COUNTIF(AcctCodesA,$B178)=0),"کد طرف در INFO تعریف نشده",IF(AND($D178="هزینه",$E178=""),"هزینه بدون زیرگروه",IF(AND($C178="پاس چک",OR(Sync!$AJ178="",COUNTIF(IssueNosA,Sync!$AJ178)=0)),"شماره چک پاس‌شده معتبر نیست",""))))</f>
        <v/>
      </c>
      <c r="M178">
        <f>IF(Sync!$AH178="","",Sync!$AH178)</f>
        <v/>
      </c>
      <c r="N178">
        <f>IF($M178="","",IF(OR(Sync!$AI178="",COUNTIF(AcctCodesA,Sync!$AI178)=0),"متفرقه",Sync!$AI178))</f>
        <v/>
      </c>
      <c r="O178">
        <f>IF($M178="","",$N178)</f>
        <v/>
      </c>
      <c r="P178">
        <f>IF($M178="","","چک پرداختی")</f>
        <v/>
      </c>
      <c r="R178">
        <f>IF($M178="","",IF(COUNTIF(AcctCodesA,Sync!$AI178)=0,"ذی‌نفع چک تعریف‌نشده",""))</f>
        <v/>
      </c>
      <c r="S178">
        <f>IF($R178="","",Sync!$AG178&amp;"|"&amp;"5"&amp;RIGHT("00000"&amp;173,5))</f>
        <v/>
      </c>
      <c r="T178">
        <f>IF($S178="",0,COUNTIFS($S$6:$S$505,"&lt;"&amp;$S178)-COUNTIFS($S$6:$S$505,"&lt;"&amp;$S178,$R$6:$R$505,"")+1)</f>
        <v/>
      </c>
      <c r="V178">
        <f>IF($K178="","",IF(ISNUMBER(Sync!$AK178),Sync!$AK178,LEFT(Sync!$AK178,4)&amp;MID(Sync!$AK178,6,2)&amp;RIGHT(Sync!$AK178,2))&amp;"|"&amp;"4"&amp;RIGHT("00000"&amp;173,5))</f>
        <v/>
      </c>
      <c r="W178">
        <f>IF($V178="",0,COUNTIFS($V$6:$V$2005,"&lt;"&amp;$V178)-COUNTIFS($V$6:$V$2005,"&lt;"&amp;$V178,$K$6:$K$2005,"")+1)</f>
        <v/>
      </c>
      <c r="X178">
        <f>IF(Sync!$AX178="","",IF(OR(N(Sync!$AY178)=0,N(Sync!$AZ178)=0),"",ROUND(N(Sync!$AY178)*N(Sync!$AZ178),0)))</f>
        <v/>
      </c>
      <c r="Y178">
        <f>IF($X178="","",IF(OR(Sync!$AX178="",COUNTIF(AcctCodesA,Sync!$AX178)=0),"متفرقه",Sync!$AX178))</f>
        <v/>
      </c>
      <c r="Z178">
        <f>IF($X178="","","سبد و ظروف")</f>
        <v/>
      </c>
      <c r="AA178">
        <f>IF($X178="","",$Y178)</f>
        <v/>
      </c>
    </row>
    <row r="179">
      <c r="A179">
        <f>IF(Sync!$Z179="","",LEFT(UPPER(TRIM(Sync!$Z179)),6))</f>
        <v/>
      </c>
      <c r="B179">
        <f>IF($A179="","",IF(Sync!$AA179="","",Sync!$AA179))</f>
        <v/>
      </c>
      <c r="C179">
        <f>IF($A179="","",IF(Sync!$AB179="","",Sync!$AB179))</f>
        <v/>
      </c>
      <c r="D179">
        <f>IF($A179="","",IF(Sync!$AC179="","",Sync!$AC179))</f>
        <v/>
      </c>
      <c r="E179">
        <f>IF($A179="","",IF(Sync!$AD179="","",Sync!$AD179))</f>
        <v/>
      </c>
      <c r="F179">
        <f>IF($A179="","",IF(Sync!$AE179="",0,Sync!$AE179))</f>
        <v/>
      </c>
      <c r="G179">
        <f>IF($A179="","",IF(Sync!$AF179="",0,Sync!$AF179))</f>
        <v/>
      </c>
      <c r="H179">
        <f>IF(OR($A179="",ROUND($F179+$G179,2)=0),"",$F179+$G179)</f>
        <v/>
      </c>
      <c r="I179">
        <f>IF($H179="","",IF(ROUND($F179,2)&gt;0,$A179,IF($D179="شخصی قاسم","شخصی قاسم",IF($D179="هزینه","هزینه: "&amp;IF($E179="","متفرقه",$E179),IF($C179="پاس چک","چک پرداختی",IF(OR($B179="",COUNTIF(AcctCodesA,$B179)=0),"متفرقه",$B179))))))</f>
        <v/>
      </c>
      <c r="J179">
        <f>IF($H179="","",IF(ROUND($F179,2)&gt;0,IF($D179="شخصی قاسم","شخصی قاسم",IF($D179="هزینه","هزینه: "&amp;IF($E179="","متفرقه",$E179),IF(OR($B179="",COUNTIF(AcctCodesA,$B179)=0),"متفرقه",$B179))),$A179))</f>
        <v/>
      </c>
      <c r="K179">
        <f>IF($A179="","",IF(AND($B179&lt;&gt;"",COUNTIF(AcctCodesA,$B179)=0),"کد طرف در INFO تعریف نشده",IF(AND($D179="هزینه",$E179=""),"هزینه بدون زیرگروه",IF(AND($C179="پاس چک",OR(Sync!$AJ179="",COUNTIF(IssueNosA,Sync!$AJ179)=0)),"شماره چک پاس‌شده معتبر نیست",""))))</f>
        <v/>
      </c>
      <c r="M179">
        <f>IF(Sync!$AH179="","",Sync!$AH179)</f>
        <v/>
      </c>
      <c r="N179">
        <f>IF($M179="","",IF(OR(Sync!$AI179="",COUNTIF(AcctCodesA,Sync!$AI179)=0),"متفرقه",Sync!$AI179))</f>
        <v/>
      </c>
      <c r="O179">
        <f>IF($M179="","",$N179)</f>
        <v/>
      </c>
      <c r="P179">
        <f>IF($M179="","","چک پرداختی")</f>
        <v/>
      </c>
      <c r="R179">
        <f>IF($M179="","",IF(COUNTIF(AcctCodesA,Sync!$AI179)=0,"ذی‌نفع چک تعریف‌نشده",""))</f>
        <v/>
      </c>
      <c r="S179">
        <f>IF($R179="","",Sync!$AG179&amp;"|"&amp;"5"&amp;RIGHT("00000"&amp;174,5))</f>
        <v/>
      </c>
      <c r="T179">
        <f>IF($S179="",0,COUNTIFS($S$6:$S$505,"&lt;"&amp;$S179)-COUNTIFS($S$6:$S$505,"&lt;"&amp;$S179,$R$6:$R$505,"")+1)</f>
        <v/>
      </c>
      <c r="V179">
        <f>IF($K179="","",IF(ISNUMBER(Sync!$AK179),Sync!$AK179,LEFT(Sync!$AK179,4)&amp;MID(Sync!$AK179,6,2)&amp;RIGHT(Sync!$AK179,2))&amp;"|"&amp;"4"&amp;RIGHT("00000"&amp;174,5))</f>
        <v/>
      </c>
      <c r="W179">
        <f>IF($V179="",0,COUNTIFS($V$6:$V$2005,"&lt;"&amp;$V179)-COUNTIFS($V$6:$V$2005,"&lt;"&amp;$V179,$K$6:$K$2005,"")+1)</f>
        <v/>
      </c>
      <c r="X179">
        <f>IF(Sync!$AX179="","",IF(OR(N(Sync!$AY179)=0,N(Sync!$AZ179)=0),"",ROUND(N(Sync!$AY179)*N(Sync!$AZ179),0)))</f>
        <v/>
      </c>
      <c r="Y179">
        <f>IF($X179="","",IF(OR(Sync!$AX179="",COUNTIF(AcctCodesA,Sync!$AX179)=0),"متفرقه",Sync!$AX179))</f>
        <v/>
      </c>
      <c r="Z179">
        <f>IF($X179="","","سبد و ظروف")</f>
        <v/>
      </c>
      <c r="AA179">
        <f>IF($X179="","",$Y179)</f>
        <v/>
      </c>
    </row>
    <row r="180">
      <c r="A180">
        <f>IF(Sync!$Z180="","",LEFT(UPPER(TRIM(Sync!$Z180)),6))</f>
        <v/>
      </c>
      <c r="B180">
        <f>IF($A180="","",IF(Sync!$AA180="","",Sync!$AA180))</f>
        <v/>
      </c>
      <c r="C180">
        <f>IF($A180="","",IF(Sync!$AB180="","",Sync!$AB180))</f>
        <v/>
      </c>
      <c r="D180">
        <f>IF($A180="","",IF(Sync!$AC180="","",Sync!$AC180))</f>
        <v/>
      </c>
      <c r="E180">
        <f>IF($A180="","",IF(Sync!$AD180="","",Sync!$AD180))</f>
        <v/>
      </c>
      <c r="F180">
        <f>IF($A180="","",IF(Sync!$AE180="",0,Sync!$AE180))</f>
        <v/>
      </c>
      <c r="G180">
        <f>IF($A180="","",IF(Sync!$AF180="",0,Sync!$AF180))</f>
        <v/>
      </c>
      <c r="H180">
        <f>IF(OR($A180="",ROUND($F180+$G180,2)=0),"",$F180+$G180)</f>
        <v/>
      </c>
      <c r="I180">
        <f>IF($H180="","",IF(ROUND($F180,2)&gt;0,$A180,IF($D180="شخصی قاسم","شخصی قاسم",IF($D180="هزینه","هزینه: "&amp;IF($E180="","متفرقه",$E180),IF($C180="پاس چک","چک پرداختی",IF(OR($B180="",COUNTIF(AcctCodesA,$B180)=0),"متفرقه",$B180))))))</f>
        <v/>
      </c>
      <c r="J180">
        <f>IF($H180="","",IF(ROUND($F180,2)&gt;0,IF($D180="شخصی قاسم","شخصی قاسم",IF($D180="هزینه","هزینه: "&amp;IF($E180="","متفرقه",$E180),IF(OR($B180="",COUNTIF(AcctCodesA,$B180)=0),"متفرقه",$B180))),$A180))</f>
        <v/>
      </c>
      <c r="K180">
        <f>IF($A180="","",IF(AND($B180&lt;&gt;"",COUNTIF(AcctCodesA,$B180)=0),"کد طرف در INFO تعریف نشده",IF(AND($D180="هزینه",$E180=""),"هزینه بدون زیرگروه",IF(AND($C180="پاس چک",OR(Sync!$AJ180="",COUNTIF(IssueNosA,Sync!$AJ180)=0)),"شماره چک پاس‌شده معتبر نیست",""))))</f>
        <v/>
      </c>
      <c r="M180">
        <f>IF(Sync!$AH180="","",Sync!$AH180)</f>
        <v/>
      </c>
      <c r="N180">
        <f>IF($M180="","",IF(OR(Sync!$AI180="",COUNTIF(AcctCodesA,Sync!$AI180)=0),"متفرقه",Sync!$AI180))</f>
        <v/>
      </c>
      <c r="O180">
        <f>IF($M180="","",$N180)</f>
        <v/>
      </c>
      <c r="P180">
        <f>IF($M180="","","چک پرداختی")</f>
        <v/>
      </c>
      <c r="R180">
        <f>IF($M180="","",IF(COUNTIF(AcctCodesA,Sync!$AI180)=0,"ذی‌نفع چک تعریف‌نشده",""))</f>
        <v/>
      </c>
      <c r="S180">
        <f>IF($R180="","",Sync!$AG180&amp;"|"&amp;"5"&amp;RIGHT("00000"&amp;175,5))</f>
        <v/>
      </c>
      <c r="T180">
        <f>IF($S180="",0,COUNTIFS($S$6:$S$505,"&lt;"&amp;$S180)-COUNTIFS($S$6:$S$505,"&lt;"&amp;$S180,$R$6:$R$505,"")+1)</f>
        <v/>
      </c>
      <c r="V180">
        <f>IF($K180="","",IF(ISNUMBER(Sync!$AK180),Sync!$AK180,LEFT(Sync!$AK180,4)&amp;MID(Sync!$AK180,6,2)&amp;RIGHT(Sync!$AK180,2))&amp;"|"&amp;"4"&amp;RIGHT("00000"&amp;175,5))</f>
        <v/>
      </c>
      <c r="W180">
        <f>IF($V180="",0,COUNTIFS($V$6:$V$2005,"&lt;"&amp;$V180)-COUNTIFS($V$6:$V$2005,"&lt;"&amp;$V180,$K$6:$K$2005,"")+1)</f>
        <v/>
      </c>
      <c r="X180">
        <f>IF(Sync!$AX180="","",IF(OR(N(Sync!$AY180)=0,N(Sync!$AZ180)=0),"",ROUND(N(Sync!$AY180)*N(Sync!$AZ180),0)))</f>
        <v/>
      </c>
      <c r="Y180">
        <f>IF($X180="","",IF(OR(Sync!$AX180="",COUNTIF(AcctCodesA,Sync!$AX180)=0),"متفرقه",Sync!$AX180))</f>
        <v/>
      </c>
      <c r="Z180">
        <f>IF($X180="","","سبد و ظروف")</f>
        <v/>
      </c>
      <c r="AA180">
        <f>IF($X180="","",$Y180)</f>
        <v/>
      </c>
    </row>
    <row r="181">
      <c r="A181">
        <f>IF(Sync!$Z181="","",LEFT(UPPER(TRIM(Sync!$Z181)),6))</f>
        <v/>
      </c>
      <c r="B181">
        <f>IF($A181="","",IF(Sync!$AA181="","",Sync!$AA181))</f>
        <v/>
      </c>
      <c r="C181">
        <f>IF($A181="","",IF(Sync!$AB181="","",Sync!$AB181))</f>
        <v/>
      </c>
      <c r="D181">
        <f>IF($A181="","",IF(Sync!$AC181="","",Sync!$AC181))</f>
        <v/>
      </c>
      <c r="E181">
        <f>IF($A181="","",IF(Sync!$AD181="","",Sync!$AD181))</f>
        <v/>
      </c>
      <c r="F181">
        <f>IF($A181="","",IF(Sync!$AE181="",0,Sync!$AE181))</f>
        <v/>
      </c>
      <c r="G181">
        <f>IF($A181="","",IF(Sync!$AF181="",0,Sync!$AF181))</f>
        <v/>
      </c>
      <c r="H181">
        <f>IF(OR($A181="",ROUND($F181+$G181,2)=0),"",$F181+$G181)</f>
        <v/>
      </c>
      <c r="I181">
        <f>IF($H181="","",IF(ROUND($F181,2)&gt;0,$A181,IF($D181="شخصی قاسم","شخصی قاسم",IF($D181="هزینه","هزینه: "&amp;IF($E181="","متفرقه",$E181),IF($C181="پاس چک","چک پرداختی",IF(OR($B181="",COUNTIF(AcctCodesA,$B181)=0),"متفرقه",$B181))))))</f>
        <v/>
      </c>
      <c r="J181">
        <f>IF($H181="","",IF(ROUND($F181,2)&gt;0,IF($D181="شخصی قاسم","شخصی قاسم",IF($D181="هزینه","هزینه: "&amp;IF($E181="","متفرقه",$E181),IF(OR($B181="",COUNTIF(AcctCodesA,$B181)=0),"متفرقه",$B181))),$A181))</f>
        <v/>
      </c>
      <c r="K181">
        <f>IF($A181="","",IF(AND($B181&lt;&gt;"",COUNTIF(AcctCodesA,$B181)=0),"کد طرف در INFO تعریف نشده",IF(AND($D181="هزینه",$E181=""),"هزینه بدون زیرگروه",IF(AND($C181="پاس چک",OR(Sync!$AJ181="",COUNTIF(IssueNosA,Sync!$AJ181)=0)),"شماره چک پاس‌شده معتبر نیست",""))))</f>
        <v/>
      </c>
      <c r="M181">
        <f>IF(Sync!$AH181="","",Sync!$AH181)</f>
        <v/>
      </c>
      <c r="N181">
        <f>IF($M181="","",IF(OR(Sync!$AI181="",COUNTIF(AcctCodesA,Sync!$AI181)=0),"متفرقه",Sync!$AI181))</f>
        <v/>
      </c>
      <c r="O181">
        <f>IF($M181="","",$N181)</f>
        <v/>
      </c>
      <c r="P181">
        <f>IF($M181="","","چک پرداختی")</f>
        <v/>
      </c>
      <c r="R181">
        <f>IF($M181="","",IF(COUNTIF(AcctCodesA,Sync!$AI181)=0,"ذی‌نفع چک تعریف‌نشده",""))</f>
        <v/>
      </c>
      <c r="S181">
        <f>IF($R181="","",Sync!$AG181&amp;"|"&amp;"5"&amp;RIGHT("00000"&amp;176,5))</f>
        <v/>
      </c>
      <c r="T181">
        <f>IF($S181="",0,COUNTIFS($S$6:$S$505,"&lt;"&amp;$S181)-COUNTIFS($S$6:$S$505,"&lt;"&amp;$S181,$R$6:$R$505,"")+1)</f>
        <v/>
      </c>
      <c r="V181">
        <f>IF($K181="","",IF(ISNUMBER(Sync!$AK181),Sync!$AK181,LEFT(Sync!$AK181,4)&amp;MID(Sync!$AK181,6,2)&amp;RIGHT(Sync!$AK181,2))&amp;"|"&amp;"4"&amp;RIGHT("00000"&amp;176,5))</f>
        <v/>
      </c>
      <c r="W181">
        <f>IF($V181="",0,COUNTIFS($V$6:$V$2005,"&lt;"&amp;$V181)-COUNTIFS($V$6:$V$2005,"&lt;"&amp;$V181,$K$6:$K$2005,"")+1)</f>
        <v/>
      </c>
      <c r="X181">
        <f>IF(Sync!$AX181="","",IF(OR(N(Sync!$AY181)=0,N(Sync!$AZ181)=0),"",ROUND(N(Sync!$AY181)*N(Sync!$AZ181),0)))</f>
        <v/>
      </c>
      <c r="Y181">
        <f>IF($X181="","",IF(OR(Sync!$AX181="",COUNTIF(AcctCodesA,Sync!$AX181)=0),"متفرقه",Sync!$AX181))</f>
        <v/>
      </c>
      <c r="Z181">
        <f>IF($X181="","","سبد و ظروف")</f>
        <v/>
      </c>
      <c r="AA181">
        <f>IF($X181="","",$Y181)</f>
        <v/>
      </c>
    </row>
    <row r="182">
      <c r="A182">
        <f>IF(Sync!$Z182="","",LEFT(UPPER(TRIM(Sync!$Z182)),6))</f>
        <v/>
      </c>
      <c r="B182">
        <f>IF($A182="","",IF(Sync!$AA182="","",Sync!$AA182))</f>
        <v/>
      </c>
      <c r="C182">
        <f>IF($A182="","",IF(Sync!$AB182="","",Sync!$AB182))</f>
        <v/>
      </c>
      <c r="D182">
        <f>IF($A182="","",IF(Sync!$AC182="","",Sync!$AC182))</f>
        <v/>
      </c>
      <c r="E182">
        <f>IF($A182="","",IF(Sync!$AD182="","",Sync!$AD182))</f>
        <v/>
      </c>
      <c r="F182">
        <f>IF($A182="","",IF(Sync!$AE182="",0,Sync!$AE182))</f>
        <v/>
      </c>
      <c r="G182">
        <f>IF($A182="","",IF(Sync!$AF182="",0,Sync!$AF182))</f>
        <v/>
      </c>
      <c r="H182">
        <f>IF(OR($A182="",ROUND($F182+$G182,2)=0),"",$F182+$G182)</f>
        <v/>
      </c>
      <c r="I182">
        <f>IF($H182="","",IF(ROUND($F182,2)&gt;0,$A182,IF($D182="شخصی قاسم","شخصی قاسم",IF($D182="هزینه","هزینه: "&amp;IF($E182="","متفرقه",$E182),IF($C182="پاس چک","چک پرداختی",IF(OR($B182="",COUNTIF(AcctCodesA,$B182)=0),"متفرقه",$B182))))))</f>
        <v/>
      </c>
      <c r="J182">
        <f>IF($H182="","",IF(ROUND($F182,2)&gt;0,IF($D182="شخصی قاسم","شخصی قاسم",IF($D182="هزینه","هزینه: "&amp;IF($E182="","متفرقه",$E182),IF(OR($B182="",COUNTIF(AcctCodesA,$B182)=0),"متفرقه",$B182))),$A182))</f>
        <v/>
      </c>
      <c r="K182">
        <f>IF($A182="","",IF(AND($B182&lt;&gt;"",COUNTIF(AcctCodesA,$B182)=0),"کد طرف در INFO تعریف نشده",IF(AND($D182="هزینه",$E182=""),"هزینه بدون زیرگروه",IF(AND($C182="پاس چک",OR(Sync!$AJ182="",COUNTIF(IssueNosA,Sync!$AJ182)=0)),"شماره چک پاس‌شده معتبر نیست",""))))</f>
        <v/>
      </c>
      <c r="M182">
        <f>IF(Sync!$AH182="","",Sync!$AH182)</f>
        <v/>
      </c>
      <c r="N182">
        <f>IF($M182="","",IF(OR(Sync!$AI182="",COUNTIF(AcctCodesA,Sync!$AI182)=0),"متفرقه",Sync!$AI182))</f>
        <v/>
      </c>
      <c r="O182">
        <f>IF($M182="","",$N182)</f>
        <v/>
      </c>
      <c r="P182">
        <f>IF($M182="","","چک پرداختی")</f>
        <v/>
      </c>
      <c r="R182">
        <f>IF($M182="","",IF(COUNTIF(AcctCodesA,Sync!$AI182)=0,"ذی‌نفع چک تعریف‌نشده",""))</f>
        <v/>
      </c>
      <c r="S182">
        <f>IF($R182="","",Sync!$AG182&amp;"|"&amp;"5"&amp;RIGHT("00000"&amp;177,5))</f>
        <v/>
      </c>
      <c r="T182">
        <f>IF($S182="",0,COUNTIFS($S$6:$S$505,"&lt;"&amp;$S182)-COUNTIFS($S$6:$S$505,"&lt;"&amp;$S182,$R$6:$R$505,"")+1)</f>
        <v/>
      </c>
      <c r="V182">
        <f>IF($K182="","",IF(ISNUMBER(Sync!$AK182),Sync!$AK182,LEFT(Sync!$AK182,4)&amp;MID(Sync!$AK182,6,2)&amp;RIGHT(Sync!$AK182,2))&amp;"|"&amp;"4"&amp;RIGHT("00000"&amp;177,5))</f>
        <v/>
      </c>
      <c r="W182">
        <f>IF($V182="",0,COUNTIFS($V$6:$V$2005,"&lt;"&amp;$V182)-COUNTIFS($V$6:$V$2005,"&lt;"&amp;$V182,$K$6:$K$2005,"")+1)</f>
        <v/>
      </c>
      <c r="X182">
        <f>IF(Sync!$AX182="","",IF(OR(N(Sync!$AY182)=0,N(Sync!$AZ182)=0),"",ROUND(N(Sync!$AY182)*N(Sync!$AZ182),0)))</f>
        <v/>
      </c>
      <c r="Y182">
        <f>IF($X182="","",IF(OR(Sync!$AX182="",COUNTIF(AcctCodesA,Sync!$AX182)=0),"متفرقه",Sync!$AX182))</f>
        <v/>
      </c>
      <c r="Z182">
        <f>IF($X182="","","سبد و ظروف")</f>
        <v/>
      </c>
      <c r="AA182">
        <f>IF($X182="","",$Y182)</f>
        <v/>
      </c>
    </row>
    <row r="183">
      <c r="A183">
        <f>IF(Sync!$Z183="","",LEFT(UPPER(TRIM(Sync!$Z183)),6))</f>
        <v/>
      </c>
      <c r="B183">
        <f>IF($A183="","",IF(Sync!$AA183="","",Sync!$AA183))</f>
        <v/>
      </c>
      <c r="C183">
        <f>IF($A183="","",IF(Sync!$AB183="","",Sync!$AB183))</f>
        <v/>
      </c>
      <c r="D183">
        <f>IF($A183="","",IF(Sync!$AC183="","",Sync!$AC183))</f>
        <v/>
      </c>
      <c r="E183">
        <f>IF($A183="","",IF(Sync!$AD183="","",Sync!$AD183))</f>
        <v/>
      </c>
      <c r="F183">
        <f>IF($A183="","",IF(Sync!$AE183="",0,Sync!$AE183))</f>
        <v/>
      </c>
      <c r="G183">
        <f>IF($A183="","",IF(Sync!$AF183="",0,Sync!$AF183))</f>
        <v/>
      </c>
      <c r="H183">
        <f>IF(OR($A183="",ROUND($F183+$G183,2)=0),"",$F183+$G183)</f>
        <v/>
      </c>
      <c r="I183">
        <f>IF($H183="","",IF(ROUND($F183,2)&gt;0,$A183,IF($D183="شخصی قاسم","شخصی قاسم",IF($D183="هزینه","هزینه: "&amp;IF($E183="","متفرقه",$E183),IF($C183="پاس چک","چک پرداختی",IF(OR($B183="",COUNTIF(AcctCodesA,$B183)=0),"متفرقه",$B183))))))</f>
        <v/>
      </c>
      <c r="J183">
        <f>IF($H183="","",IF(ROUND($F183,2)&gt;0,IF($D183="شخصی قاسم","شخصی قاسم",IF($D183="هزینه","هزینه: "&amp;IF($E183="","متفرقه",$E183),IF(OR($B183="",COUNTIF(AcctCodesA,$B183)=0),"متفرقه",$B183))),$A183))</f>
        <v/>
      </c>
      <c r="K183">
        <f>IF($A183="","",IF(AND($B183&lt;&gt;"",COUNTIF(AcctCodesA,$B183)=0),"کد طرف در INFO تعریف نشده",IF(AND($D183="هزینه",$E183=""),"هزینه بدون زیرگروه",IF(AND($C183="پاس چک",OR(Sync!$AJ183="",COUNTIF(IssueNosA,Sync!$AJ183)=0)),"شماره چک پاس‌شده معتبر نیست",""))))</f>
        <v/>
      </c>
      <c r="M183">
        <f>IF(Sync!$AH183="","",Sync!$AH183)</f>
        <v/>
      </c>
      <c r="N183">
        <f>IF($M183="","",IF(OR(Sync!$AI183="",COUNTIF(AcctCodesA,Sync!$AI183)=0),"متفرقه",Sync!$AI183))</f>
        <v/>
      </c>
      <c r="O183">
        <f>IF($M183="","",$N183)</f>
        <v/>
      </c>
      <c r="P183">
        <f>IF($M183="","","چک پرداختی")</f>
        <v/>
      </c>
      <c r="R183">
        <f>IF($M183="","",IF(COUNTIF(AcctCodesA,Sync!$AI183)=0,"ذی‌نفع چک تعریف‌نشده",""))</f>
        <v/>
      </c>
      <c r="S183">
        <f>IF($R183="","",Sync!$AG183&amp;"|"&amp;"5"&amp;RIGHT("00000"&amp;178,5))</f>
        <v/>
      </c>
      <c r="T183">
        <f>IF($S183="",0,COUNTIFS($S$6:$S$505,"&lt;"&amp;$S183)-COUNTIFS($S$6:$S$505,"&lt;"&amp;$S183,$R$6:$R$505,"")+1)</f>
        <v/>
      </c>
      <c r="V183">
        <f>IF($K183="","",IF(ISNUMBER(Sync!$AK183),Sync!$AK183,LEFT(Sync!$AK183,4)&amp;MID(Sync!$AK183,6,2)&amp;RIGHT(Sync!$AK183,2))&amp;"|"&amp;"4"&amp;RIGHT("00000"&amp;178,5))</f>
        <v/>
      </c>
      <c r="W183">
        <f>IF($V183="",0,COUNTIFS($V$6:$V$2005,"&lt;"&amp;$V183)-COUNTIFS($V$6:$V$2005,"&lt;"&amp;$V183,$K$6:$K$2005,"")+1)</f>
        <v/>
      </c>
      <c r="X183">
        <f>IF(Sync!$AX183="","",IF(OR(N(Sync!$AY183)=0,N(Sync!$AZ183)=0),"",ROUND(N(Sync!$AY183)*N(Sync!$AZ183),0)))</f>
        <v/>
      </c>
      <c r="Y183">
        <f>IF($X183="","",IF(OR(Sync!$AX183="",COUNTIF(AcctCodesA,Sync!$AX183)=0),"متفرقه",Sync!$AX183))</f>
        <v/>
      </c>
      <c r="Z183">
        <f>IF($X183="","","سبد و ظروف")</f>
        <v/>
      </c>
      <c r="AA183">
        <f>IF($X183="","",$Y183)</f>
        <v/>
      </c>
    </row>
    <row r="184">
      <c r="A184">
        <f>IF(Sync!$Z184="","",LEFT(UPPER(TRIM(Sync!$Z184)),6))</f>
        <v/>
      </c>
      <c r="B184">
        <f>IF($A184="","",IF(Sync!$AA184="","",Sync!$AA184))</f>
        <v/>
      </c>
      <c r="C184">
        <f>IF($A184="","",IF(Sync!$AB184="","",Sync!$AB184))</f>
        <v/>
      </c>
      <c r="D184">
        <f>IF($A184="","",IF(Sync!$AC184="","",Sync!$AC184))</f>
        <v/>
      </c>
      <c r="E184">
        <f>IF($A184="","",IF(Sync!$AD184="","",Sync!$AD184))</f>
        <v/>
      </c>
      <c r="F184">
        <f>IF($A184="","",IF(Sync!$AE184="",0,Sync!$AE184))</f>
        <v/>
      </c>
      <c r="G184">
        <f>IF($A184="","",IF(Sync!$AF184="",0,Sync!$AF184))</f>
        <v/>
      </c>
      <c r="H184">
        <f>IF(OR($A184="",ROUND($F184+$G184,2)=0),"",$F184+$G184)</f>
        <v/>
      </c>
      <c r="I184">
        <f>IF($H184="","",IF(ROUND($F184,2)&gt;0,$A184,IF($D184="شخصی قاسم","شخصی قاسم",IF($D184="هزینه","هزینه: "&amp;IF($E184="","متفرقه",$E184),IF($C184="پاس چک","چک پرداختی",IF(OR($B184="",COUNTIF(AcctCodesA,$B184)=0),"متفرقه",$B184))))))</f>
        <v/>
      </c>
      <c r="J184">
        <f>IF($H184="","",IF(ROUND($F184,2)&gt;0,IF($D184="شخصی قاسم","شخصی قاسم",IF($D184="هزینه","هزینه: "&amp;IF($E184="","متفرقه",$E184),IF(OR($B184="",COUNTIF(AcctCodesA,$B184)=0),"متفرقه",$B184))),$A184))</f>
        <v/>
      </c>
      <c r="K184">
        <f>IF($A184="","",IF(AND($B184&lt;&gt;"",COUNTIF(AcctCodesA,$B184)=0),"کد طرف در INFO تعریف نشده",IF(AND($D184="هزینه",$E184=""),"هزینه بدون زیرگروه",IF(AND($C184="پاس چک",OR(Sync!$AJ184="",COUNTIF(IssueNosA,Sync!$AJ184)=0)),"شماره چک پاس‌شده معتبر نیست",""))))</f>
        <v/>
      </c>
      <c r="M184">
        <f>IF(Sync!$AH184="","",Sync!$AH184)</f>
        <v/>
      </c>
      <c r="N184">
        <f>IF($M184="","",IF(OR(Sync!$AI184="",COUNTIF(AcctCodesA,Sync!$AI184)=0),"متفرقه",Sync!$AI184))</f>
        <v/>
      </c>
      <c r="O184">
        <f>IF($M184="","",$N184)</f>
        <v/>
      </c>
      <c r="P184">
        <f>IF($M184="","","چک پرداختی")</f>
        <v/>
      </c>
      <c r="R184">
        <f>IF($M184="","",IF(COUNTIF(AcctCodesA,Sync!$AI184)=0,"ذی‌نفع چک تعریف‌نشده",""))</f>
        <v/>
      </c>
      <c r="S184">
        <f>IF($R184="","",Sync!$AG184&amp;"|"&amp;"5"&amp;RIGHT("00000"&amp;179,5))</f>
        <v/>
      </c>
      <c r="T184">
        <f>IF($S184="",0,COUNTIFS($S$6:$S$505,"&lt;"&amp;$S184)-COUNTIFS($S$6:$S$505,"&lt;"&amp;$S184,$R$6:$R$505,"")+1)</f>
        <v/>
      </c>
      <c r="V184">
        <f>IF($K184="","",IF(ISNUMBER(Sync!$AK184),Sync!$AK184,LEFT(Sync!$AK184,4)&amp;MID(Sync!$AK184,6,2)&amp;RIGHT(Sync!$AK184,2))&amp;"|"&amp;"4"&amp;RIGHT("00000"&amp;179,5))</f>
        <v/>
      </c>
      <c r="W184">
        <f>IF($V184="",0,COUNTIFS($V$6:$V$2005,"&lt;"&amp;$V184)-COUNTIFS($V$6:$V$2005,"&lt;"&amp;$V184,$K$6:$K$2005,"")+1)</f>
        <v/>
      </c>
      <c r="X184">
        <f>IF(Sync!$AX184="","",IF(OR(N(Sync!$AY184)=0,N(Sync!$AZ184)=0),"",ROUND(N(Sync!$AY184)*N(Sync!$AZ184),0)))</f>
        <v/>
      </c>
      <c r="Y184">
        <f>IF($X184="","",IF(OR(Sync!$AX184="",COUNTIF(AcctCodesA,Sync!$AX184)=0),"متفرقه",Sync!$AX184))</f>
        <v/>
      </c>
      <c r="Z184">
        <f>IF($X184="","","سبد و ظروف")</f>
        <v/>
      </c>
      <c r="AA184">
        <f>IF($X184="","",$Y184)</f>
        <v/>
      </c>
    </row>
    <row r="185">
      <c r="A185">
        <f>IF(Sync!$Z185="","",LEFT(UPPER(TRIM(Sync!$Z185)),6))</f>
        <v/>
      </c>
      <c r="B185">
        <f>IF($A185="","",IF(Sync!$AA185="","",Sync!$AA185))</f>
        <v/>
      </c>
      <c r="C185">
        <f>IF($A185="","",IF(Sync!$AB185="","",Sync!$AB185))</f>
        <v/>
      </c>
      <c r="D185">
        <f>IF($A185="","",IF(Sync!$AC185="","",Sync!$AC185))</f>
        <v/>
      </c>
      <c r="E185">
        <f>IF($A185="","",IF(Sync!$AD185="","",Sync!$AD185))</f>
        <v/>
      </c>
      <c r="F185">
        <f>IF($A185="","",IF(Sync!$AE185="",0,Sync!$AE185))</f>
        <v/>
      </c>
      <c r="G185">
        <f>IF($A185="","",IF(Sync!$AF185="",0,Sync!$AF185))</f>
        <v/>
      </c>
      <c r="H185">
        <f>IF(OR($A185="",ROUND($F185+$G185,2)=0),"",$F185+$G185)</f>
        <v/>
      </c>
      <c r="I185">
        <f>IF($H185="","",IF(ROUND($F185,2)&gt;0,$A185,IF($D185="شخصی قاسم","شخصی قاسم",IF($D185="هزینه","هزینه: "&amp;IF($E185="","متفرقه",$E185),IF($C185="پاس چک","چک پرداختی",IF(OR($B185="",COUNTIF(AcctCodesA,$B185)=0),"متفرقه",$B185))))))</f>
        <v/>
      </c>
      <c r="J185">
        <f>IF($H185="","",IF(ROUND($F185,2)&gt;0,IF($D185="شخصی قاسم","شخصی قاسم",IF($D185="هزینه","هزینه: "&amp;IF($E185="","متفرقه",$E185),IF(OR($B185="",COUNTIF(AcctCodesA,$B185)=0),"متفرقه",$B185))),$A185))</f>
        <v/>
      </c>
      <c r="K185">
        <f>IF($A185="","",IF(AND($B185&lt;&gt;"",COUNTIF(AcctCodesA,$B185)=0),"کد طرف در INFO تعریف نشده",IF(AND($D185="هزینه",$E185=""),"هزینه بدون زیرگروه",IF(AND($C185="پاس چک",OR(Sync!$AJ185="",COUNTIF(IssueNosA,Sync!$AJ185)=0)),"شماره چک پاس‌شده معتبر نیست",""))))</f>
        <v/>
      </c>
      <c r="M185">
        <f>IF(Sync!$AH185="","",Sync!$AH185)</f>
        <v/>
      </c>
      <c r="N185">
        <f>IF($M185="","",IF(OR(Sync!$AI185="",COUNTIF(AcctCodesA,Sync!$AI185)=0),"متفرقه",Sync!$AI185))</f>
        <v/>
      </c>
      <c r="O185">
        <f>IF($M185="","",$N185)</f>
        <v/>
      </c>
      <c r="P185">
        <f>IF($M185="","","چک پرداختی")</f>
        <v/>
      </c>
      <c r="R185">
        <f>IF($M185="","",IF(COUNTIF(AcctCodesA,Sync!$AI185)=0,"ذی‌نفع چک تعریف‌نشده",""))</f>
        <v/>
      </c>
      <c r="S185">
        <f>IF($R185="","",Sync!$AG185&amp;"|"&amp;"5"&amp;RIGHT("00000"&amp;180,5))</f>
        <v/>
      </c>
      <c r="T185">
        <f>IF($S185="",0,COUNTIFS($S$6:$S$505,"&lt;"&amp;$S185)-COUNTIFS($S$6:$S$505,"&lt;"&amp;$S185,$R$6:$R$505,"")+1)</f>
        <v/>
      </c>
      <c r="V185">
        <f>IF($K185="","",IF(ISNUMBER(Sync!$AK185),Sync!$AK185,LEFT(Sync!$AK185,4)&amp;MID(Sync!$AK185,6,2)&amp;RIGHT(Sync!$AK185,2))&amp;"|"&amp;"4"&amp;RIGHT("00000"&amp;180,5))</f>
        <v/>
      </c>
      <c r="W185">
        <f>IF($V185="",0,COUNTIFS($V$6:$V$2005,"&lt;"&amp;$V185)-COUNTIFS($V$6:$V$2005,"&lt;"&amp;$V185,$K$6:$K$2005,"")+1)</f>
        <v/>
      </c>
      <c r="X185">
        <f>IF(Sync!$AX185="","",IF(OR(N(Sync!$AY185)=0,N(Sync!$AZ185)=0),"",ROUND(N(Sync!$AY185)*N(Sync!$AZ185),0)))</f>
        <v/>
      </c>
      <c r="Y185">
        <f>IF($X185="","",IF(OR(Sync!$AX185="",COUNTIF(AcctCodesA,Sync!$AX185)=0),"متفرقه",Sync!$AX185))</f>
        <v/>
      </c>
      <c r="Z185">
        <f>IF($X185="","","سبد و ظروف")</f>
        <v/>
      </c>
      <c r="AA185">
        <f>IF($X185="","",$Y185)</f>
        <v/>
      </c>
    </row>
    <row r="186">
      <c r="A186">
        <f>IF(Sync!$Z186="","",LEFT(UPPER(TRIM(Sync!$Z186)),6))</f>
        <v/>
      </c>
      <c r="B186">
        <f>IF($A186="","",IF(Sync!$AA186="","",Sync!$AA186))</f>
        <v/>
      </c>
      <c r="C186">
        <f>IF($A186="","",IF(Sync!$AB186="","",Sync!$AB186))</f>
        <v/>
      </c>
      <c r="D186">
        <f>IF($A186="","",IF(Sync!$AC186="","",Sync!$AC186))</f>
        <v/>
      </c>
      <c r="E186">
        <f>IF($A186="","",IF(Sync!$AD186="","",Sync!$AD186))</f>
        <v/>
      </c>
      <c r="F186">
        <f>IF($A186="","",IF(Sync!$AE186="",0,Sync!$AE186))</f>
        <v/>
      </c>
      <c r="G186">
        <f>IF($A186="","",IF(Sync!$AF186="",0,Sync!$AF186))</f>
        <v/>
      </c>
      <c r="H186">
        <f>IF(OR($A186="",ROUND($F186+$G186,2)=0),"",$F186+$G186)</f>
        <v/>
      </c>
      <c r="I186">
        <f>IF($H186="","",IF(ROUND($F186,2)&gt;0,$A186,IF($D186="شخصی قاسم","شخصی قاسم",IF($D186="هزینه","هزینه: "&amp;IF($E186="","متفرقه",$E186),IF($C186="پاس چک","چک پرداختی",IF(OR($B186="",COUNTIF(AcctCodesA,$B186)=0),"متفرقه",$B186))))))</f>
        <v/>
      </c>
      <c r="J186">
        <f>IF($H186="","",IF(ROUND($F186,2)&gt;0,IF($D186="شخصی قاسم","شخصی قاسم",IF($D186="هزینه","هزینه: "&amp;IF($E186="","متفرقه",$E186),IF(OR($B186="",COUNTIF(AcctCodesA,$B186)=0),"متفرقه",$B186))),$A186))</f>
        <v/>
      </c>
      <c r="K186">
        <f>IF($A186="","",IF(AND($B186&lt;&gt;"",COUNTIF(AcctCodesA,$B186)=0),"کد طرف در INFO تعریف نشده",IF(AND($D186="هزینه",$E186=""),"هزینه بدون زیرگروه",IF(AND($C186="پاس چک",OR(Sync!$AJ186="",COUNTIF(IssueNosA,Sync!$AJ186)=0)),"شماره چک پاس‌شده معتبر نیست",""))))</f>
        <v/>
      </c>
      <c r="M186">
        <f>IF(Sync!$AH186="","",Sync!$AH186)</f>
        <v/>
      </c>
      <c r="N186">
        <f>IF($M186="","",IF(OR(Sync!$AI186="",COUNTIF(AcctCodesA,Sync!$AI186)=0),"متفرقه",Sync!$AI186))</f>
        <v/>
      </c>
      <c r="O186">
        <f>IF($M186="","",$N186)</f>
        <v/>
      </c>
      <c r="P186">
        <f>IF($M186="","","چک پرداختی")</f>
        <v/>
      </c>
      <c r="R186">
        <f>IF($M186="","",IF(COUNTIF(AcctCodesA,Sync!$AI186)=0,"ذی‌نفع چک تعریف‌نشده",""))</f>
        <v/>
      </c>
      <c r="S186">
        <f>IF($R186="","",Sync!$AG186&amp;"|"&amp;"5"&amp;RIGHT("00000"&amp;181,5))</f>
        <v/>
      </c>
      <c r="T186">
        <f>IF($S186="",0,COUNTIFS($S$6:$S$505,"&lt;"&amp;$S186)-COUNTIFS($S$6:$S$505,"&lt;"&amp;$S186,$R$6:$R$505,"")+1)</f>
        <v/>
      </c>
      <c r="V186">
        <f>IF($K186="","",IF(ISNUMBER(Sync!$AK186),Sync!$AK186,LEFT(Sync!$AK186,4)&amp;MID(Sync!$AK186,6,2)&amp;RIGHT(Sync!$AK186,2))&amp;"|"&amp;"4"&amp;RIGHT("00000"&amp;181,5))</f>
        <v/>
      </c>
      <c r="W186">
        <f>IF($V186="",0,COUNTIFS($V$6:$V$2005,"&lt;"&amp;$V186)-COUNTIFS($V$6:$V$2005,"&lt;"&amp;$V186,$K$6:$K$2005,"")+1)</f>
        <v/>
      </c>
      <c r="X186">
        <f>IF(Sync!$AX186="","",IF(OR(N(Sync!$AY186)=0,N(Sync!$AZ186)=0),"",ROUND(N(Sync!$AY186)*N(Sync!$AZ186),0)))</f>
        <v/>
      </c>
      <c r="Y186">
        <f>IF($X186="","",IF(OR(Sync!$AX186="",COUNTIF(AcctCodesA,Sync!$AX186)=0),"متفرقه",Sync!$AX186))</f>
        <v/>
      </c>
      <c r="Z186">
        <f>IF($X186="","","سبد و ظروف")</f>
        <v/>
      </c>
      <c r="AA186">
        <f>IF($X186="","",$Y186)</f>
        <v/>
      </c>
    </row>
    <row r="187">
      <c r="A187">
        <f>IF(Sync!$Z187="","",LEFT(UPPER(TRIM(Sync!$Z187)),6))</f>
        <v/>
      </c>
      <c r="B187">
        <f>IF($A187="","",IF(Sync!$AA187="","",Sync!$AA187))</f>
        <v/>
      </c>
      <c r="C187">
        <f>IF($A187="","",IF(Sync!$AB187="","",Sync!$AB187))</f>
        <v/>
      </c>
      <c r="D187">
        <f>IF($A187="","",IF(Sync!$AC187="","",Sync!$AC187))</f>
        <v/>
      </c>
      <c r="E187">
        <f>IF($A187="","",IF(Sync!$AD187="","",Sync!$AD187))</f>
        <v/>
      </c>
      <c r="F187">
        <f>IF($A187="","",IF(Sync!$AE187="",0,Sync!$AE187))</f>
        <v/>
      </c>
      <c r="G187">
        <f>IF($A187="","",IF(Sync!$AF187="",0,Sync!$AF187))</f>
        <v/>
      </c>
      <c r="H187">
        <f>IF(OR($A187="",ROUND($F187+$G187,2)=0),"",$F187+$G187)</f>
        <v/>
      </c>
      <c r="I187">
        <f>IF($H187="","",IF(ROUND($F187,2)&gt;0,$A187,IF($D187="شخصی قاسم","شخصی قاسم",IF($D187="هزینه","هزینه: "&amp;IF($E187="","متفرقه",$E187),IF($C187="پاس چک","چک پرداختی",IF(OR($B187="",COUNTIF(AcctCodesA,$B187)=0),"متفرقه",$B187))))))</f>
        <v/>
      </c>
      <c r="J187">
        <f>IF($H187="","",IF(ROUND($F187,2)&gt;0,IF($D187="شخصی قاسم","شخصی قاسم",IF($D187="هزینه","هزینه: "&amp;IF($E187="","متفرقه",$E187),IF(OR($B187="",COUNTIF(AcctCodesA,$B187)=0),"متفرقه",$B187))),$A187))</f>
        <v/>
      </c>
      <c r="K187">
        <f>IF($A187="","",IF(AND($B187&lt;&gt;"",COUNTIF(AcctCodesA,$B187)=0),"کد طرف در INFO تعریف نشده",IF(AND($D187="هزینه",$E187=""),"هزینه بدون زیرگروه",IF(AND($C187="پاس چک",OR(Sync!$AJ187="",COUNTIF(IssueNosA,Sync!$AJ187)=0)),"شماره چک پاس‌شده معتبر نیست",""))))</f>
        <v/>
      </c>
      <c r="M187">
        <f>IF(Sync!$AH187="","",Sync!$AH187)</f>
        <v/>
      </c>
      <c r="N187">
        <f>IF($M187="","",IF(OR(Sync!$AI187="",COUNTIF(AcctCodesA,Sync!$AI187)=0),"متفرقه",Sync!$AI187))</f>
        <v/>
      </c>
      <c r="O187">
        <f>IF($M187="","",$N187)</f>
        <v/>
      </c>
      <c r="P187">
        <f>IF($M187="","","چک پرداختی")</f>
        <v/>
      </c>
      <c r="R187">
        <f>IF($M187="","",IF(COUNTIF(AcctCodesA,Sync!$AI187)=0,"ذی‌نفع چک تعریف‌نشده",""))</f>
        <v/>
      </c>
      <c r="S187">
        <f>IF($R187="","",Sync!$AG187&amp;"|"&amp;"5"&amp;RIGHT("00000"&amp;182,5))</f>
        <v/>
      </c>
      <c r="T187">
        <f>IF($S187="",0,COUNTIFS($S$6:$S$505,"&lt;"&amp;$S187)-COUNTIFS($S$6:$S$505,"&lt;"&amp;$S187,$R$6:$R$505,"")+1)</f>
        <v/>
      </c>
      <c r="V187">
        <f>IF($K187="","",IF(ISNUMBER(Sync!$AK187),Sync!$AK187,LEFT(Sync!$AK187,4)&amp;MID(Sync!$AK187,6,2)&amp;RIGHT(Sync!$AK187,2))&amp;"|"&amp;"4"&amp;RIGHT("00000"&amp;182,5))</f>
        <v/>
      </c>
      <c r="W187">
        <f>IF($V187="",0,COUNTIFS($V$6:$V$2005,"&lt;"&amp;$V187)-COUNTIFS($V$6:$V$2005,"&lt;"&amp;$V187,$K$6:$K$2005,"")+1)</f>
        <v/>
      </c>
      <c r="X187">
        <f>IF(Sync!$AX187="","",IF(OR(N(Sync!$AY187)=0,N(Sync!$AZ187)=0),"",ROUND(N(Sync!$AY187)*N(Sync!$AZ187),0)))</f>
        <v/>
      </c>
      <c r="Y187">
        <f>IF($X187="","",IF(OR(Sync!$AX187="",COUNTIF(AcctCodesA,Sync!$AX187)=0),"متفرقه",Sync!$AX187))</f>
        <v/>
      </c>
      <c r="Z187">
        <f>IF($X187="","","سبد و ظروف")</f>
        <v/>
      </c>
      <c r="AA187">
        <f>IF($X187="","",$Y187)</f>
        <v/>
      </c>
    </row>
    <row r="188">
      <c r="A188">
        <f>IF(Sync!$Z188="","",LEFT(UPPER(TRIM(Sync!$Z188)),6))</f>
        <v/>
      </c>
      <c r="B188">
        <f>IF($A188="","",IF(Sync!$AA188="","",Sync!$AA188))</f>
        <v/>
      </c>
      <c r="C188">
        <f>IF($A188="","",IF(Sync!$AB188="","",Sync!$AB188))</f>
        <v/>
      </c>
      <c r="D188">
        <f>IF($A188="","",IF(Sync!$AC188="","",Sync!$AC188))</f>
        <v/>
      </c>
      <c r="E188">
        <f>IF($A188="","",IF(Sync!$AD188="","",Sync!$AD188))</f>
        <v/>
      </c>
      <c r="F188">
        <f>IF($A188="","",IF(Sync!$AE188="",0,Sync!$AE188))</f>
        <v/>
      </c>
      <c r="G188">
        <f>IF($A188="","",IF(Sync!$AF188="",0,Sync!$AF188))</f>
        <v/>
      </c>
      <c r="H188">
        <f>IF(OR($A188="",ROUND($F188+$G188,2)=0),"",$F188+$G188)</f>
        <v/>
      </c>
      <c r="I188">
        <f>IF($H188="","",IF(ROUND($F188,2)&gt;0,$A188,IF($D188="شخصی قاسم","شخصی قاسم",IF($D188="هزینه","هزینه: "&amp;IF($E188="","متفرقه",$E188),IF($C188="پاس چک","چک پرداختی",IF(OR($B188="",COUNTIF(AcctCodesA,$B188)=0),"متفرقه",$B188))))))</f>
        <v/>
      </c>
      <c r="J188">
        <f>IF($H188="","",IF(ROUND($F188,2)&gt;0,IF($D188="شخصی قاسم","شخصی قاسم",IF($D188="هزینه","هزینه: "&amp;IF($E188="","متفرقه",$E188),IF(OR($B188="",COUNTIF(AcctCodesA,$B188)=0),"متفرقه",$B188))),$A188))</f>
        <v/>
      </c>
      <c r="K188">
        <f>IF($A188="","",IF(AND($B188&lt;&gt;"",COUNTIF(AcctCodesA,$B188)=0),"کد طرف در INFO تعریف نشده",IF(AND($D188="هزینه",$E188=""),"هزینه بدون زیرگروه",IF(AND($C188="پاس چک",OR(Sync!$AJ188="",COUNTIF(IssueNosA,Sync!$AJ188)=0)),"شماره چک پاس‌شده معتبر نیست",""))))</f>
        <v/>
      </c>
      <c r="M188">
        <f>IF(Sync!$AH188="","",Sync!$AH188)</f>
        <v/>
      </c>
      <c r="N188">
        <f>IF($M188="","",IF(OR(Sync!$AI188="",COUNTIF(AcctCodesA,Sync!$AI188)=0),"متفرقه",Sync!$AI188))</f>
        <v/>
      </c>
      <c r="O188">
        <f>IF($M188="","",$N188)</f>
        <v/>
      </c>
      <c r="P188">
        <f>IF($M188="","","چک پرداختی")</f>
        <v/>
      </c>
      <c r="R188">
        <f>IF($M188="","",IF(COUNTIF(AcctCodesA,Sync!$AI188)=0,"ذی‌نفع چک تعریف‌نشده",""))</f>
        <v/>
      </c>
      <c r="S188">
        <f>IF($R188="","",Sync!$AG188&amp;"|"&amp;"5"&amp;RIGHT("00000"&amp;183,5))</f>
        <v/>
      </c>
      <c r="T188">
        <f>IF($S188="",0,COUNTIFS($S$6:$S$505,"&lt;"&amp;$S188)-COUNTIFS($S$6:$S$505,"&lt;"&amp;$S188,$R$6:$R$505,"")+1)</f>
        <v/>
      </c>
      <c r="V188">
        <f>IF($K188="","",IF(ISNUMBER(Sync!$AK188),Sync!$AK188,LEFT(Sync!$AK188,4)&amp;MID(Sync!$AK188,6,2)&amp;RIGHT(Sync!$AK188,2))&amp;"|"&amp;"4"&amp;RIGHT("00000"&amp;183,5))</f>
        <v/>
      </c>
      <c r="W188">
        <f>IF($V188="",0,COUNTIFS($V$6:$V$2005,"&lt;"&amp;$V188)-COUNTIFS($V$6:$V$2005,"&lt;"&amp;$V188,$K$6:$K$2005,"")+1)</f>
        <v/>
      </c>
      <c r="X188">
        <f>IF(Sync!$AX188="","",IF(OR(N(Sync!$AY188)=0,N(Sync!$AZ188)=0),"",ROUND(N(Sync!$AY188)*N(Sync!$AZ188),0)))</f>
        <v/>
      </c>
      <c r="Y188">
        <f>IF($X188="","",IF(OR(Sync!$AX188="",COUNTIF(AcctCodesA,Sync!$AX188)=0),"متفرقه",Sync!$AX188))</f>
        <v/>
      </c>
      <c r="Z188">
        <f>IF($X188="","","سبد و ظروف")</f>
        <v/>
      </c>
      <c r="AA188">
        <f>IF($X188="","",$Y188)</f>
        <v/>
      </c>
    </row>
    <row r="189">
      <c r="A189">
        <f>IF(Sync!$Z189="","",LEFT(UPPER(TRIM(Sync!$Z189)),6))</f>
        <v/>
      </c>
      <c r="B189">
        <f>IF($A189="","",IF(Sync!$AA189="","",Sync!$AA189))</f>
        <v/>
      </c>
      <c r="C189">
        <f>IF($A189="","",IF(Sync!$AB189="","",Sync!$AB189))</f>
        <v/>
      </c>
      <c r="D189">
        <f>IF($A189="","",IF(Sync!$AC189="","",Sync!$AC189))</f>
        <v/>
      </c>
      <c r="E189">
        <f>IF($A189="","",IF(Sync!$AD189="","",Sync!$AD189))</f>
        <v/>
      </c>
      <c r="F189">
        <f>IF($A189="","",IF(Sync!$AE189="",0,Sync!$AE189))</f>
        <v/>
      </c>
      <c r="G189">
        <f>IF($A189="","",IF(Sync!$AF189="",0,Sync!$AF189))</f>
        <v/>
      </c>
      <c r="H189">
        <f>IF(OR($A189="",ROUND($F189+$G189,2)=0),"",$F189+$G189)</f>
        <v/>
      </c>
      <c r="I189">
        <f>IF($H189="","",IF(ROUND($F189,2)&gt;0,$A189,IF($D189="شخصی قاسم","شخصی قاسم",IF($D189="هزینه","هزینه: "&amp;IF($E189="","متفرقه",$E189),IF($C189="پاس چک","چک پرداختی",IF(OR($B189="",COUNTIF(AcctCodesA,$B189)=0),"متفرقه",$B189))))))</f>
        <v/>
      </c>
      <c r="J189">
        <f>IF($H189="","",IF(ROUND($F189,2)&gt;0,IF($D189="شخصی قاسم","شخصی قاسم",IF($D189="هزینه","هزینه: "&amp;IF($E189="","متفرقه",$E189),IF(OR($B189="",COUNTIF(AcctCodesA,$B189)=0),"متفرقه",$B189))),$A189))</f>
        <v/>
      </c>
      <c r="K189">
        <f>IF($A189="","",IF(AND($B189&lt;&gt;"",COUNTIF(AcctCodesA,$B189)=0),"کد طرف در INFO تعریف نشده",IF(AND($D189="هزینه",$E189=""),"هزینه بدون زیرگروه",IF(AND($C189="پاس چک",OR(Sync!$AJ189="",COUNTIF(IssueNosA,Sync!$AJ189)=0)),"شماره چک پاس‌شده معتبر نیست",""))))</f>
        <v/>
      </c>
      <c r="M189">
        <f>IF(Sync!$AH189="","",Sync!$AH189)</f>
        <v/>
      </c>
      <c r="N189">
        <f>IF($M189="","",IF(OR(Sync!$AI189="",COUNTIF(AcctCodesA,Sync!$AI189)=0),"متفرقه",Sync!$AI189))</f>
        <v/>
      </c>
      <c r="O189">
        <f>IF($M189="","",$N189)</f>
        <v/>
      </c>
      <c r="P189">
        <f>IF($M189="","","چک پرداختی")</f>
        <v/>
      </c>
      <c r="R189">
        <f>IF($M189="","",IF(COUNTIF(AcctCodesA,Sync!$AI189)=0,"ذی‌نفع چک تعریف‌نشده",""))</f>
        <v/>
      </c>
      <c r="S189">
        <f>IF($R189="","",Sync!$AG189&amp;"|"&amp;"5"&amp;RIGHT("00000"&amp;184,5))</f>
        <v/>
      </c>
      <c r="T189">
        <f>IF($S189="",0,COUNTIFS($S$6:$S$505,"&lt;"&amp;$S189)-COUNTIFS($S$6:$S$505,"&lt;"&amp;$S189,$R$6:$R$505,"")+1)</f>
        <v/>
      </c>
      <c r="V189">
        <f>IF($K189="","",IF(ISNUMBER(Sync!$AK189),Sync!$AK189,LEFT(Sync!$AK189,4)&amp;MID(Sync!$AK189,6,2)&amp;RIGHT(Sync!$AK189,2))&amp;"|"&amp;"4"&amp;RIGHT("00000"&amp;184,5))</f>
        <v/>
      </c>
      <c r="W189">
        <f>IF($V189="",0,COUNTIFS($V$6:$V$2005,"&lt;"&amp;$V189)-COUNTIFS($V$6:$V$2005,"&lt;"&amp;$V189,$K$6:$K$2005,"")+1)</f>
        <v/>
      </c>
      <c r="X189">
        <f>IF(Sync!$AX189="","",IF(OR(N(Sync!$AY189)=0,N(Sync!$AZ189)=0),"",ROUND(N(Sync!$AY189)*N(Sync!$AZ189),0)))</f>
        <v/>
      </c>
      <c r="Y189">
        <f>IF($X189="","",IF(OR(Sync!$AX189="",COUNTIF(AcctCodesA,Sync!$AX189)=0),"متفرقه",Sync!$AX189))</f>
        <v/>
      </c>
      <c r="Z189">
        <f>IF($X189="","","سبد و ظروف")</f>
        <v/>
      </c>
      <c r="AA189">
        <f>IF($X189="","",$Y189)</f>
        <v/>
      </c>
    </row>
    <row r="190">
      <c r="A190">
        <f>IF(Sync!$Z190="","",LEFT(UPPER(TRIM(Sync!$Z190)),6))</f>
        <v/>
      </c>
      <c r="B190">
        <f>IF($A190="","",IF(Sync!$AA190="","",Sync!$AA190))</f>
        <v/>
      </c>
      <c r="C190">
        <f>IF($A190="","",IF(Sync!$AB190="","",Sync!$AB190))</f>
        <v/>
      </c>
      <c r="D190">
        <f>IF($A190="","",IF(Sync!$AC190="","",Sync!$AC190))</f>
        <v/>
      </c>
      <c r="E190">
        <f>IF($A190="","",IF(Sync!$AD190="","",Sync!$AD190))</f>
        <v/>
      </c>
      <c r="F190">
        <f>IF($A190="","",IF(Sync!$AE190="",0,Sync!$AE190))</f>
        <v/>
      </c>
      <c r="G190">
        <f>IF($A190="","",IF(Sync!$AF190="",0,Sync!$AF190))</f>
        <v/>
      </c>
      <c r="H190">
        <f>IF(OR($A190="",ROUND($F190+$G190,2)=0),"",$F190+$G190)</f>
        <v/>
      </c>
      <c r="I190">
        <f>IF($H190="","",IF(ROUND($F190,2)&gt;0,$A190,IF($D190="شخصی قاسم","شخصی قاسم",IF($D190="هزینه","هزینه: "&amp;IF($E190="","متفرقه",$E190),IF($C190="پاس چک","چک پرداختی",IF(OR($B190="",COUNTIF(AcctCodesA,$B190)=0),"متفرقه",$B190))))))</f>
        <v/>
      </c>
      <c r="J190">
        <f>IF($H190="","",IF(ROUND($F190,2)&gt;0,IF($D190="شخصی قاسم","شخصی قاسم",IF($D190="هزینه","هزینه: "&amp;IF($E190="","متفرقه",$E190),IF(OR($B190="",COUNTIF(AcctCodesA,$B190)=0),"متفرقه",$B190))),$A190))</f>
        <v/>
      </c>
      <c r="K190">
        <f>IF($A190="","",IF(AND($B190&lt;&gt;"",COUNTIF(AcctCodesA,$B190)=0),"کد طرف در INFO تعریف نشده",IF(AND($D190="هزینه",$E190=""),"هزینه بدون زیرگروه",IF(AND($C190="پاس چک",OR(Sync!$AJ190="",COUNTIF(IssueNosA,Sync!$AJ190)=0)),"شماره چک پاس‌شده معتبر نیست",""))))</f>
        <v/>
      </c>
      <c r="M190">
        <f>IF(Sync!$AH190="","",Sync!$AH190)</f>
        <v/>
      </c>
      <c r="N190">
        <f>IF($M190="","",IF(OR(Sync!$AI190="",COUNTIF(AcctCodesA,Sync!$AI190)=0),"متفرقه",Sync!$AI190))</f>
        <v/>
      </c>
      <c r="O190">
        <f>IF($M190="","",$N190)</f>
        <v/>
      </c>
      <c r="P190">
        <f>IF($M190="","","چک پرداختی")</f>
        <v/>
      </c>
      <c r="R190">
        <f>IF($M190="","",IF(COUNTIF(AcctCodesA,Sync!$AI190)=0,"ذی‌نفع چک تعریف‌نشده",""))</f>
        <v/>
      </c>
      <c r="S190">
        <f>IF($R190="","",Sync!$AG190&amp;"|"&amp;"5"&amp;RIGHT("00000"&amp;185,5))</f>
        <v/>
      </c>
      <c r="T190">
        <f>IF($S190="",0,COUNTIFS($S$6:$S$505,"&lt;"&amp;$S190)-COUNTIFS($S$6:$S$505,"&lt;"&amp;$S190,$R$6:$R$505,"")+1)</f>
        <v/>
      </c>
      <c r="V190">
        <f>IF($K190="","",IF(ISNUMBER(Sync!$AK190),Sync!$AK190,LEFT(Sync!$AK190,4)&amp;MID(Sync!$AK190,6,2)&amp;RIGHT(Sync!$AK190,2))&amp;"|"&amp;"4"&amp;RIGHT("00000"&amp;185,5))</f>
        <v/>
      </c>
      <c r="W190">
        <f>IF($V190="",0,COUNTIFS($V$6:$V$2005,"&lt;"&amp;$V190)-COUNTIFS($V$6:$V$2005,"&lt;"&amp;$V190,$K$6:$K$2005,"")+1)</f>
        <v/>
      </c>
      <c r="X190">
        <f>IF(Sync!$AX190="","",IF(OR(N(Sync!$AY190)=0,N(Sync!$AZ190)=0),"",ROUND(N(Sync!$AY190)*N(Sync!$AZ190),0)))</f>
        <v/>
      </c>
      <c r="Y190">
        <f>IF($X190="","",IF(OR(Sync!$AX190="",COUNTIF(AcctCodesA,Sync!$AX190)=0),"متفرقه",Sync!$AX190))</f>
        <v/>
      </c>
      <c r="Z190">
        <f>IF($X190="","","سبد و ظروف")</f>
        <v/>
      </c>
      <c r="AA190">
        <f>IF($X190="","",$Y190)</f>
        <v/>
      </c>
    </row>
    <row r="191">
      <c r="A191">
        <f>IF(Sync!$Z191="","",LEFT(UPPER(TRIM(Sync!$Z191)),6))</f>
        <v/>
      </c>
      <c r="B191">
        <f>IF($A191="","",IF(Sync!$AA191="","",Sync!$AA191))</f>
        <v/>
      </c>
      <c r="C191">
        <f>IF($A191="","",IF(Sync!$AB191="","",Sync!$AB191))</f>
        <v/>
      </c>
      <c r="D191">
        <f>IF($A191="","",IF(Sync!$AC191="","",Sync!$AC191))</f>
        <v/>
      </c>
      <c r="E191">
        <f>IF($A191="","",IF(Sync!$AD191="","",Sync!$AD191))</f>
        <v/>
      </c>
      <c r="F191">
        <f>IF($A191="","",IF(Sync!$AE191="",0,Sync!$AE191))</f>
        <v/>
      </c>
      <c r="G191">
        <f>IF($A191="","",IF(Sync!$AF191="",0,Sync!$AF191))</f>
        <v/>
      </c>
      <c r="H191">
        <f>IF(OR($A191="",ROUND($F191+$G191,2)=0),"",$F191+$G191)</f>
        <v/>
      </c>
      <c r="I191">
        <f>IF($H191="","",IF(ROUND($F191,2)&gt;0,$A191,IF($D191="شخصی قاسم","شخصی قاسم",IF($D191="هزینه","هزینه: "&amp;IF($E191="","متفرقه",$E191),IF($C191="پاس چک","چک پرداختی",IF(OR($B191="",COUNTIF(AcctCodesA,$B191)=0),"متفرقه",$B191))))))</f>
        <v/>
      </c>
      <c r="J191">
        <f>IF($H191="","",IF(ROUND($F191,2)&gt;0,IF($D191="شخصی قاسم","شخصی قاسم",IF($D191="هزینه","هزینه: "&amp;IF($E191="","متفرقه",$E191),IF(OR($B191="",COUNTIF(AcctCodesA,$B191)=0),"متفرقه",$B191))),$A191))</f>
        <v/>
      </c>
      <c r="K191">
        <f>IF($A191="","",IF(AND($B191&lt;&gt;"",COUNTIF(AcctCodesA,$B191)=0),"کد طرف در INFO تعریف نشده",IF(AND($D191="هزینه",$E191=""),"هزینه بدون زیرگروه",IF(AND($C191="پاس چک",OR(Sync!$AJ191="",COUNTIF(IssueNosA,Sync!$AJ191)=0)),"شماره چک پاس‌شده معتبر نیست",""))))</f>
        <v/>
      </c>
      <c r="M191">
        <f>IF(Sync!$AH191="","",Sync!$AH191)</f>
        <v/>
      </c>
      <c r="N191">
        <f>IF($M191="","",IF(OR(Sync!$AI191="",COUNTIF(AcctCodesA,Sync!$AI191)=0),"متفرقه",Sync!$AI191))</f>
        <v/>
      </c>
      <c r="O191">
        <f>IF($M191="","",$N191)</f>
        <v/>
      </c>
      <c r="P191">
        <f>IF($M191="","","چک پرداختی")</f>
        <v/>
      </c>
      <c r="R191">
        <f>IF($M191="","",IF(COUNTIF(AcctCodesA,Sync!$AI191)=0,"ذی‌نفع چک تعریف‌نشده",""))</f>
        <v/>
      </c>
      <c r="S191">
        <f>IF($R191="","",Sync!$AG191&amp;"|"&amp;"5"&amp;RIGHT("00000"&amp;186,5))</f>
        <v/>
      </c>
      <c r="T191">
        <f>IF($S191="",0,COUNTIFS($S$6:$S$505,"&lt;"&amp;$S191)-COUNTIFS($S$6:$S$505,"&lt;"&amp;$S191,$R$6:$R$505,"")+1)</f>
        <v/>
      </c>
      <c r="V191">
        <f>IF($K191="","",IF(ISNUMBER(Sync!$AK191),Sync!$AK191,LEFT(Sync!$AK191,4)&amp;MID(Sync!$AK191,6,2)&amp;RIGHT(Sync!$AK191,2))&amp;"|"&amp;"4"&amp;RIGHT("00000"&amp;186,5))</f>
        <v/>
      </c>
      <c r="W191">
        <f>IF($V191="",0,COUNTIFS($V$6:$V$2005,"&lt;"&amp;$V191)-COUNTIFS($V$6:$V$2005,"&lt;"&amp;$V191,$K$6:$K$2005,"")+1)</f>
        <v/>
      </c>
      <c r="X191">
        <f>IF(Sync!$AX191="","",IF(OR(N(Sync!$AY191)=0,N(Sync!$AZ191)=0),"",ROUND(N(Sync!$AY191)*N(Sync!$AZ191),0)))</f>
        <v/>
      </c>
      <c r="Y191">
        <f>IF($X191="","",IF(OR(Sync!$AX191="",COUNTIF(AcctCodesA,Sync!$AX191)=0),"متفرقه",Sync!$AX191))</f>
        <v/>
      </c>
      <c r="Z191">
        <f>IF($X191="","","سبد و ظروف")</f>
        <v/>
      </c>
      <c r="AA191">
        <f>IF($X191="","",$Y191)</f>
        <v/>
      </c>
    </row>
    <row r="192">
      <c r="A192">
        <f>IF(Sync!$Z192="","",LEFT(UPPER(TRIM(Sync!$Z192)),6))</f>
        <v/>
      </c>
      <c r="B192">
        <f>IF($A192="","",IF(Sync!$AA192="","",Sync!$AA192))</f>
        <v/>
      </c>
      <c r="C192">
        <f>IF($A192="","",IF(Sync!$AB192="","",Sync!$AB192))</f>
        <v/>
      </c>
      <c r="D192">
        <f>IF($A192="","",IF(Sync!$AC192="","",Sync!$AC192))</f>
        <v/>
      </c>
      <c r="E192">
        <f>IF($A192="","",IF(Sync!$AD192="","",Sync!$AD192))</f>
        <v/>
      </c>
      <c r="F192">
        <f>IF($A192="","",IF(Sync!$AE192="",0,Sync!$AE192))</f>
        <v/>
      </c>
      <c r="G192">
        <f>IF($A192="","",IF(Sync!$AF192="",0,Sync!$AF192))</f>
        <v/>
      </c>
      <c r="H192">
        <f>IF(OR($A192="",ROUND($F192+$G192,2)=0),"",$F192+$G192)</f>
        <v/>
      </c>
      <c r="I192">
        <f>IF($H192="","",IF(ROUND($F192,2)&gt;0,$A192,IF($D192="شخصی قاسم","شخصی قاسم",IF($D192="هزینه","هزینه: "&amp;IF($E192="","متفرقه",$E192),IF($C192="پاس چک","چک پرداختی",IF(OR($B192="",COUNTIF(AcctCodesA,$B192)=0),"متفرقه",$B192))))))</f>
        <v/>
      </c>
      <c r="J192">
        <f>IF($H192="","",IF(ROUND($F192,2)&gt;0,IF($D192="شخصی قاسم","شخصی قاسم",IF($D192="هزینه","هزینه: "&amp;IF($E192="","متفرقه",$E192),IF(OR($B192="",COUNTIF(AcctCodesA,$B192)=0),"متفرقه",$B192))),$A192))</f>
        <v/>
      </c>
      <c r="K192">
        <f>IF($A192="","",IF(AND($B192&lt;&gt;"",COUNTIF(AcctCodesA,$B192)=0),"کد طرف در INFO تعریف نشده",IF(AND($D192="هزینه",$E192=""),"هزینه بدون زیرگروه",IF(AND($C192="پاس چک",OR(Sync!$AJ192="",COUNTIF(IssueNosA,Sync!$AJ192)=0)),"شماره چک پاس‌شده معتبر نیست",""))))</f>
        <v/>
      </c>
      <c r="M192">
        <f>IF(Sync!$AH192="","",Sync!$AH192)</f>
        <v/>
      </c>
      <c r="N192">
        <f>IF($M192="","",IF(OR(Sync!$AI192="",COUNTIF(AcctCodesA,Sync!$AI192)=0),"متفرقه",Sync!$AI192))</f>
        <v/>
      </c>
      <c r="O192">
        <f>IF($M192="","",$N192)</f>
        <v/>
      </c>
      <c r="P192">
        <f>IF($M192="","","چک پرداختی")</f>
        <v/>
      </c>
      <c r="R192">
        <f>IF($M192="","",IF(COUNTIF(AcctCodesA,Sync!$AI192)=0,"ذی‌نفع چک تعریف‌نشده",""))</f>
        <v/>
      </c>
      <c r="S192">
        <f>IF($R192="","",Sync!$AG192&amp;"|"&amp;"5"&amp;RIGHT("00000"&amp;187,5))</f>
        <v/>
      </c>
      <c r="T192">
        <f>IF($S192="",0,COUNTIFS($S$6:$S$505,"&lt;"&amp;$S192)-COUNTIFS($S$6:$S$505,"&lt;"&amp;$S192,$R$6:$R$505,"")+1)</f>
        <v/>
      </c>
      <c r="V192">
        <f>IF($K192="","",IF(ISNUMBER(Sync!$AK192),Sync!$AK192,LEFT(Sync!$AK192,4)&amp;MID(Sync!$AK192,6,2)&amp;RIGHT(Sync!$AK192,2))&amp;"|"&amp;"4"&amp;RIGHT("00000"&amp;187,5))</f>
        <v/>
      </c>
      <c r="W192">
        <f>IF($V192="",0,COUNTIFS($V$6:$V$2005,"&lt;"&amp;$V192)-COUNTIFS($V$6:$V$2005,"&lt;"&amp;$V192,$K$6:$K$2005,"")+1)</f>
        <v/>
      </c>
      <c r="X192">
        <f>IF(Sync!$AX192="","",IF(OR(N(Sync!$AY192)=0,N(Sync!$AZ192)=0),"",ROUND(N(Sync!$AY192)*N(Sync!$AZ192),0)))</f>
        <v/>
      </c>
      <c r="Y192">
        <f>IF($X192="","",IF(OR(Sync!$AX192="",COUNTIF(AcctCodesA,Sync!$AX192)=0),"متفرقه",Sync!$AX192))</f>
        <v/>
      </c>
      <c r="Z192">
        <f>IF($X192="","","سبد و ظروف")</f>
        <v/>
      </c>
      <c r="AA192">
        <f>IF($X192="","",$Y192)</f>
        <v/>
      </c>
    </row>
    <row r="193">
      <c r="A193">
        <f>IF(Sync!$Z193="","",LEFT(UPPER(TRIM(Sync!$Z193)),6))</f>
        <v/>
      </c>
      <c r="B193">
        <f>IF($A193="","",IF(Sync!$AA193="","",Sync!$AA193))</f>
        <v/>
      </c>
      <c r="C193">
        <f>IF($A193="","",IF(Sync!$AB193="","",Sync!$AB193))</f>
        <v/>
      </c>
      <c r="D193">
        <f>IF($A193="","",IF(Sync!$AC193="","",Sync!$AC193))</f>
        <v/>
      </c>
      <c r="E193">
        <f>IF($A193="","",IF(Sync!$AD193="","",Sync!$AD193))</f>
        <v/>
      </c>
      <c r="F193">
        <f>IF($A193="","",IF(Sync!$AE193="",0,Sync!$AE193))</f>
        <v/>
      </c>
      <c r="G193">
        <f>IF($A193="","",IF(Sync!$AF193="",0,Sync!$AF193))</f>
        <v/>
      </c>
      <c r="H193">
        <f>IF(OR($A193="",ROUND($F193+$G193,2)=0),"",$F193+$G193)</f>
        <v/>
      </c>
      <c r="I193">
        <f>IF($H193="","",IF(ROUND($F193,2)&gt;0,$A193,IF($D193="شخصی قاسم","شخصی قاسم",IF($D193="هزینه","هزینه: "&amp;IF($E193="","متفرقه",$E193),IF($C193="پاس چک","چک پرداختی",IF(OR($B193="",COUNTIF(AcctCodesA,$B193)=0),"متفرقه",$B193))))))</f>
        <v/>
      </c>
      <c r="J193">
        <f>IF($H193="","",IF(ROUND($F193,2)&gt;0,IF($D193="شخصی قاسم","شخصی قاسم",IF($D193="هزینه","هزینه: "&amp;IF($E193="","متفرقه",$E193),IF(OR($B193="",COUNTIF(AcctCodesA,$B193)=0),"متفرقه",$B193))),$A193))</f>
        <v/>
      </c>
      <c r="K193">
        <f>IF($A193="","",IF(AND($B193&lt;&gt;"",COUNTIF(AcctCodesA,$B193)=0),"کد طرف در INFO تعریف نشده",IF(AND($D193="هزینه",$E193=""),"هزینه بدون زیرگروه",IF(AND($C193="پاس چک",OR(Sync!$AJ193="",COUNTIF(IssueNosA,Sync!$AJ193)=0)),"شماره چک پاس‌شده معتبر نیست",""))))</f>
        <v/>
      </c>
      <c r="M193">
        <f>IF(Sync!$AH193="","",Sync!$AH193)</f>
        <v/>
      </c>
      <c r="N193">
        <f>IF($M193="","",IF(OR(Sync!$AI193="",COUNTIF(AcctCodesA,Sync!$AI193)=0),"متفرقه",Sync!$AI193))</f>
        <v/>
      </c>
      <c r="O193">
        <f>IF($M193="","",$N193)</f>
        <v/>
      </c>
      <c r="P193">
        <f>IF($M193="","","چک پرداختی")</f>
        <v/>
      </c>
      <c r="R193">
        <f>IF($M193="","",IF(COUNTIF(AcctCodesA,Sync!$AI193)=0,"ذی‌نفع چک تعریف‌نشده",""))</f>
        <v/>
      </c>
      <c r="S193">
        <f>IF($R193="","",Sync!$AG193&amp;"|"&amp;"5"&amp;RIGHT("00000"&amp;188,5))</f>
        <v/>
      </c>
      <c r="T193">
        <f>IF($S193="",0,COUNTIFS($S$6:$S$505,"&lt;"&amp;$S193)-COUNTIFS($S$6:$S$505,"&lt;"&amp;$S193,$R$6:$R$505,"")+1)</f>
        <v/>
      </c>
      <c r="V193">
        <f>IF($K193="","",IF(ISNUMBER(Sync!$AK193),Sync!$AK193,LEFT(Sync!$AK193,4)&amp;MID(Sync!$AK193,6,2)&amp;RIGHT(Sync!$AK193,2))&amp;"|"&amp;"4"&amp;RIGHT("00000"&amp;188,5))</f>
        <v/>
      </c>
      <c r="W193">
        <f>IF($V193="",0,COUNTIFS($V$6:$V$2005,"&lt;"&amp;$V193)-COUNTIFS($V$6:$V$2005,"&lt;"&amp;$V193,$K$6:$K$2005,"")+1)</f>
        <v/>
      </c>
      <c r="X193">
        <f>IF(Sync!$AX193="","",IF(OR(N(Sync!$AY193)=0,N(Sync!$AZ193)=0),"",ROUND(N(Sync!$AY193)*N(Sync!$AZ193),0)))</f>
        <v/>
      </c>
      <c r="Y193">
        <f>IF($X193="","",IF(OR(Sync!$AX193="",COUNTIF(AcctCodesA,Sync!$AX193)=0),"متفرقه",Sync!$AX193))</f>
        <v/>
      </c>
      <c r="Z193">
        <f>IF($X193="","","سبد و ظروف")</f>
        <v/>
      </c>
      <c r="AA193">
        <f>IF($X193="","",$Y193)</f>
        <v/>
      </c>
    </row>
    <row r="194">
      <c r="A194">
        <f>IF(Sync!$Z194="","",LEFT(UPPER(TRIM(Sync!$Z194)),6))</f>
        <v/>
      </c>
      <c r="B194">
        <f>IF($A194="","",IF(Sync!$AA194="","",Sync!$AA194))</f>
        <v/>
      </c>
      <c r="C194">
        <f>IF($A194="","",IF(Sync!$AB194="","",Sync!$AB194))</f>
        <v/>
      </c>
      <c r="D194">
        <f>IF($A194="","",IF(Sync!$AC194="","",Sync!$AC194))</f>
        <v/>
      </c>
      <c r="E194">
        <f>IF($A194="","",IF(Sync!$AD194="","",Sync!$AD194))</f>
        <v/>
      </c>
      <c r="F194">
        <f>IF($A194="","",IF(Sync!$AE194="",0,Sync!$AE194))</f>
        <v/>
      </c>
      <c r="G194">
        <f>IF($A194="","",IF(Sync!$AF194="",0,Sync!$AF194))</f>
        <v/>
      </c>
      <c r="H194">
        <f>IF(OR($A194="",ROUND($F194+$G194,2)=0),"",$F194+$G194)</f>
        <v/>
      </c>
      <c r="I194">
        <f>IF($H194="","",IF(ROUND($F194,2)&gt;0,$A194,IF($D194="شخصی قاسم","شخصی قاسم",IF($D194="هزینه","هزینه: "&amp;IF($E194="","متفرقه",$E194),IF($C194="پاس چک","چک پرداختی",IF(OR($B194="",COUNTIF(AcctCodesA,$B194)=0),"متفرقه",$B194))))))</f>
        <v/>
      </c>
      <c r="J194">
        <f>IF($H194="","",IF(ROUND($F194,2)&gt;0,IF($D194="شخصی قاسم","شخصی قاسم",IF($D194="هزینه","هزینه: "&amp;IF($E194="","متفرقه",$E194),IF(OR($B194="",COUNTIF(AcctCodesA,$B194)=0),"متفرقه",$B194))),$A194))</f>
        <v/>
      </c>
      <c r="K194">
        <f>IF($A194="","",IF(AND($B194&lt;&gt;"",COUNTIF(AcctCodesA,$B194)=0),"کد طرف در INFO تعریف نشده",IF(AND($D194="هزینه",$E194=""),"هزینه بدون زیرگروه",IF(AND($C194="پاس چک",OR(Sync!$AJ194="",COUNTIF(IssueNosA,Sync!$AJ194)=0)),"شماره چک پاس‌شده معتبر نیست",""))))</f>
        <v/>
      </c>
      <c r="M194">
        <f>IF(Sync!$AH194="","",Sync!$AH194)</f>
        <v/>
      </c>
      <c r="N194">
        <f>IF($M194="","",IF(OR(Sync!$AI194="",COUNTIF(AcctCodesA,Sync!$AI194)=0),"متفرقه",Sync!$AI194))</f>
        <v/>
      </c>
      <c r="O194">
        <f>IF($M194="","",$N194)</f>
        <v/>
      </c>
      <c r="P194">
        <f>IF($M194="","","چک پرداختی")</f>
        <v/>
      </c>
      <c r="R194">
        <f>IF($M194="","",IF(COUNTIF(AcctCodesA,Sync!$AI194)=0,"ذی‌نفع چک تعریف‌نشده",""))</f>
        <v/>
      </c>
      <c r="S194">
        <f>IF($R194="","",Sync!$AG194&amp;"|"&amp;"5"&amp;RIGHT("00000"&amp;189,5))</f>
        <v/>
      </c>
      <c r="T194">
        <f>IF($S194="",0,COUNTIFS($S$6:$S$505,"&lt;"&amp;$S194)-COUNTIFS($S$6:$S$505,"&lt;"&amp;$S194,$R$6:$R$505,"")+1)</f>
        <v/>
      </c>
      <c r="V194">
        <f>IF($K194="","",IF(ISNUMBER(Sync!$AK194),Sync!$AK194,LEFT(Sync!$AK194,4)&amp;MID(Sync!$AK194,6,2)&amp;RIGHT(Sync!$AK194,2))&amp;"|"&amp;"4"&amp;RIGHT("00000"&amp;189,5))</f>
        <v/>
      </c>
      <c r="W194">
        <f>IF($V194="",0,COUNTIFS($V$6:$V$2005,"&lt;"&amp;$V194)-COUNTIFS($V$6:$V$2005,"&lt;"&amp;$V194,$K$6:$K$2005,"")+1)</f>
        <v/>
      </c>
      <c r="X194">
        <f>IF(Sync!$AX194="","",IF(OR(N(Sync!$AY194)=0,N(Sync!$AZ194)=0),"",ROUND(N(Sync!$AY194)*N(Sync!$AZ194),0)))</f>
        <v/>
      </c>
      <c r="Y194">
        <f>IF($X194="","",IF(OR(Sync!$AX194="",COUNTIF(AcctCodesA,Sync!$AX194)=0),"متفرقه",Sync!$AX194))</f>
        <v/>
      </c>
      <c r="Z194">
        <f>IF($X194="","","سبد و ظروف")</f>
        <v/>
      </c>
      <c r="AA194">
        <f>IF($X194="","",$Y194)</f>
        <v/>
      </c>
    </row>
    <row r="195">
      <c r="A195">
        <f>IF(Sync!$Z195="","",LEFT(UPPER(TRIM(Sync!$Z195)),6))</f>
        <v/>
      </c>
      <c r="B195">
        <f>IF($A195="","",IF(Sync!$AA195="","",Sync!$AA195))</f>
        <v/>
      </c>
      <c r="C195">
        <f>IF($A195="","",IF(Sync!$AB195="","",Sync!$AB195))</f>
        <v/>
      </c>
      <c r="D195">
        <f>IF($A195="","",IF(Sync!$AC195="","",Sync!$AC195))</f>
        <v/>
      </c>
      <c r="E195">
        <f>IF($A195="","",IF(Sync!$AD195="","",Sync!$AD195))</f>
        <v/>
      </c>
      <c r="F195">
        <f>IF($A195="","",IF(Sync!$AE195="",0,Sync!$AE195))</f>
        <v/>
      </c>
      <c r="G195">
        <f>IF($A195="","",IF(Sync!$AF195="",0,Sync!$AF195))</f>
        <v/>
      </c>
      <c r="H195">
        <f>IF(OR($A195="",ROUND($F195+$G195,2)=0),"",$F195+$G195)</f>
        <v/>
      </c>
      <c r="I195">
        <f>IF($H195="","",IF(ROUND($F195,2)&gt;0,$A195,IF($D195="شخصی قاسم","شخصی قاسم",IF($D195="هزینه","هزینه: "&amp;IF($E195="","متفرقه",$E195),IF($C195="پاس چک","چک پرداختی",IF(OR($B195="",COUNTIF(AcctCodesA,$B195)=0),"متفرقه",$B195))))))</f>
        <v/>
      </c>
      <c r="J195">
        <f>IF($H195="","",IF(ROUND($F195,2)&gt;0,IF($D195="شخصی قاسم","شخصی قاسم",IF($D195="هزینه","هزینه: "&amp;IF($E195="","متفرقه",$E195),IF(OR($B195="",COUNTIF(AcctCodesA,$B195)=0),"متفرقه",$B195))),$A195))</f>
        <v/>
      </c>
      <c r="K195">
        <f>IF($A195="","",IF(AND($B195&lt;&gt;"",COUNTIF(AcctCodesA,$B195)=0),"کد طرف در INFO تعریف نشده",IF(AND($D195="هزینه",$E195=""),"هزینه بدون زیرگروه",IF(AND($C195="پاس چک",OR(Sync!$AJ195="",COUNTIF(IssueNosA,Sync!$AJ195)=0)),"شماره چک پاس‌شده معتبر نیست",""))))</f>
        <v/>
      </c>
      <c r="M195">
        <f>IF(Sync!$AH195="","",Sync!$AH195)</f>
        <v/>
      </c>
      <c r="N195">
        <f>IF($M195="","",IF(OR(Sync!$AI195="",COUNTIF(AcctCodesA,Sync!$AI195)=0),"متفرقه",Sync!$AI195))</f>
        <v/>
      </c>
      <c r="O195">
        <f>IF($M195="","",$N195)</f>
        <v/>
      </c>
      <c r="P195">
        <f>IF($M195="","","چک پرداختی")</f>
        <v/>
      </c>
      <c r="R195">
        <f>IF($M195="","",IF(COUNTIF(AcctCodesA,Sync!$AI195)=0,"ذی‌نفع چک تعریف‌نشده",""))</f>
        <v/>
      </c>
      <c r="S195">
        <f>IF($R195="","",Sync!$AG195&amp;"|"&amp;"5"&amp;RIGHT("00000"&amp;190,5))</f>
        <v/>
      </c>
      <c r="T195">
        <f>IF($S195="",0,COUNTIFS($S$6:$S$505,"&lt;"&amp;$S195)-COUNTIFS($S$6:$S$505,"&lt;"&amp;$S195,$R$6:$R$505,"")+1)</f>
        <v/>
      </c>
      <c r="V195">
        <f>IF($K195="","",IF(ISNUMBER(Sync!$AK195),Sync!$AK195,LEFT(Sync!$AK195,4)&amp;MID(Sync!$AK195,6,2)&amp;RIGHT(Sync!$AK195,2))&amp;"|"&amp;"4"&amp;RIGHT("00000"&amp;190,5))</f>
        <v/>
      </c>
      <c r="W195">
        <f>IF($V195="",0,COUNTIFS($V$6:$V$2005,"&lt;"&amp;$V195)-COUNTIFS($V$6:$V$2005,"&lt;"&amp;$V195,$K$6:$K$2005,"")+1)</f>
        <v/>
      </c>
      <c r="X195">
        <f>IF(Sync!$AX195="","",IF(OR(N(Sync!$AY195)=0,N(Sync!$AZ195)=0),"",ROUND(N(Sync!$AY195)*N(Sync!$AZ195),0)))</f>
        <v/>
      </c>
      <c r="Y195">
        <f>IF($X195="","",IF(OR(Sync!$AX195="",COUNTIF(AcctCodesA,Sync!$AX195)=0),"متفرقه",Sync!$AX195))</f>
        <v/>
      </c>
      <c r="Z195">
        <f>IF($X195="","","سبد و ظروف")</f>
        <v/>
      </c>
      <c r="AA195">
        <f>IF($X195="","",$Y195)</f>
        <v/>
      </c>
    </row>
    <row r="196">
      <c r="A196">
        <f>IF(Sync!$Z196="","",LEFT(UPPER(TRIM(Sync!$Z196)),6))</f>
        <v/>
      </c>
      <c r="B196">
        <f>IF($A196="","",IF(Sync!$AA196="","",Sync!$AA196))</f>
        <v/>
      </c>
      <c r="C196">
        <f>IF($A196="","",IF(Sync!$AB196="","",Sync!$AB196))</f>
        <v/>
      </c>
      <c r="D196">
        <f>IF($A196="","",IF(Sync!$AC196="","",Sync!$AC196))</f>
        <v/>
      </c>
      <c r="E196">
        <f>IF($A196="","",IF(Sync!$AD196="","",Sync!$AD196))</f>
        <v/>
      </c>
      <c r="F196">
        <f>IF($A196="","",IF(Sync!$AE196="",0,Sync!$AE196))</f>
        <v/>
      </c>
      <c r="G196">
        <f>IF($A196="","",IF(Sync!$AF196="",0,Sync!$AF196))</f>
        <v/>
      </c>
      <c r="H196">
        <f>IF(OR($A196="",ROUND($F196+$G196,2)=0),"",$F196+$G196)</f>
        <v/>
      </c>
      <c r="I196">
        <f>IF($H196="","",IF(ROUND($F196,2)&gt;0,$A196,IF($D196="شخصی قاسم","شخصی قاسم",IF($D196="هزینه","هزینه: "&amp;IF($E196="","متفرقه",$E196),IF($C196="پاس چک","چک پرداختی",IF(OR($B196="",COUNTIF(AcctCodesA,$B196)=0),"متفرقه",$B196))))))</f>
        <v/>
      </c>
      <c r="J196">
        <f>IF($H196="","",IF(ROUND($F196,2)&gt;0,IF($D196="شخصی قاسم","شخصی قاسم",IF($D196="هزینه","هزینه: "&amp;IF($E196="","متفرقه",$E196),IF(OR($B196="",COUNTIF(AcctCodesA,$B196)=0),"متفرقه",$B196))),$A196))</f>
        <v/>
      </c>
      <c r="K196">
        <f>IF($A196="","",IF(AND($B196&lt;&gt;"",COUNTIF(AcctCodesA,$B196)=0),"کد طرف در INFO تعریف نشده",IF(AND($D196="هزینه",$E196=""),"هزینه بدون زیرگروه",IF(AND($C196="پاس چک",OR(Sync!$AJ196="",COUNTIF(IssueNosA,Sync!$AJ196)=0)),"شماره چک پاس‌شده معتبر نیست",""))))</f>
        <v/>
      </c>
      <c r="M196">
        <f>IF(Sync!$AH196="","",Sync!$AH196)</f>
        <v/>
      </c>
      <c r="N196">
        <f>IF($M196="","",IF(OR(Sync!$AI196="",COUNTIF(AcctCodesA,Sync!$AI196)=0),"متفرقه",Sync!$AI196))</f>
        <v/>
      </c>
      <c r="O196">
        <f>IF($M196="","",$N196)</f>
        <v/>
      </c>
      <c r="P196">
        <f>IF($M196="","","چک پرداختی")</f>
        <v/>
      </c>
      <c r="R196">
        <f>IF($M196="","",IF(COUNTIF(AcctCodesA,Sync!$AI196)=0,"ذی‌نفع چک تعریف‌نشده",""))</f>
        <v/>
      </c>
      <c r="S196">
        <f>IF($R196="","",Sync!$AG196&amp;"|"&amp;"5"&amp;RIGHT("00000"&amp;191,5))</f>
        <v/>
      </c>
      <c r="T196">
        <f>IF($S196="",0,COUNTIFS($S$6:$S$505,"&lt;"&amp;$S196)-COUNTIFS($S$6:$S$505,"&lt;"&amp;$S196,$R$6:$R$505,"")+1)</f>
        <v/>
      </c>
      <c r="V196">
        <f>IF($K196="","",IF(ISNUMBER(Sync!$AK196),Sync!$AK196,LEFT(Sync!$AK196,4)&amp;MID(Sync!$AK196,6,2)&amp;RIGHT(Sync!$AK196,2))&amp;"|"&amp;"4"&amp;RIGHT("00000"&amp;191,5))</f>
        <v/>
      </c>
      <c r="W196">
        <f>IF($V196="",0,COUNTIFS($V$6:$V$2005,"&lt;"&amp;$V196)-COUNTIFS($V$6:$V$2005,"&lt;"&amp;$V196,$K$6:$K$2005,"")+1)</f>
        <v/>
      </c>
      <c r="X196">
        <f>IF(Sync!$AX196="","",IF(OR(N(Sync!$AY196)=0,N(Sync!$AZ196)=0),"",ROUND(N(Sync!$AY196)*N(Sync!$AZ196),0)))</f>
        <v/>
      </c>
      <c r="Y196">
        <f>IF($X196="","",IF(OR(Sync!$AX196="",COUNTIF(AcctCodesA,Sync!$AX196)=0),"متفرقه",Sync!$AX196))</f>
        <v/>
      </c>
      <c r="Z196">
        <f>IF($X196="","","سبد و ظروف")</f>
        <v/>
      </c>
      <c r="AA196">
        <f>IF($X196="","",$Y196)</f>
        <v/>
      </c>
    </row>
    <row r="197">
      <c r="A197">
        <f>IF(Sync!$Z197="","",LEFT(UPPER(TRIM(Sync!$Z197)),6))</f>
        <v/>
      </c>
      <c r="B197">
        <f>IF($A197="","",IF(Sync!$AA197="","",Sync!$AA197))</f>
        <v/>
      </c>
      <c r="C197">
        <f>IF($A197="","",IF(Sync!$AB197="","",Sync!$AB197))</f>
        <v/>
      </c>
      <c r="D197">
        <f>IF($A197="","",IF(Sync!$AC197="","",Sync!$AC197))</f>
        <v/>
      </c>
      <c r="E197">
        <f>IF($A197="","",IF(Sync!$AD197="","",Sync!$AD197))</f>
        <v/>
      </c>
      <c r="F197">
        <f>IF($A197="","",IF(Sync!$AE197="",0,Sync!$AE197))</f>
        <v/>
      </c>
      <c r="G197">
        <f>IF($A197="","",IF(Sync!$AF197="",0,Sync!$AF197))</f>
        <v/>
      </c>
      <c r="H197">
        <f>IF(OR($A197="",ROUND($F197+$G197,2)=0),"",$F197+$G197)</f>
        <v/>
      </c>
      <c r="I197">
        <f>IF($H197="","",IF(ROUND($F197,2)&gt;0,$A197,IF($D197="شخصی قاسم","شخصی قاسم",IF($D197="هزینه","هزینه: "&amp;IF($E197="","متفرقه",$E197),IF($C197="پاس چک","چک پرداختی",IF(OR($B197="",COUNTIF(AcctCodesA,$B197)=0),"متفرقه",$B197))))))</f>
        <v/>
      </c>
      <c r="J197">
        <f>IF($H197="","",IF(ROUND($F197,2)&gt;0,IF($D197="شخصی قاسم","شخصی قاسم",IF($D197="هزینه","هزینه: "&amp;IF($E197="","متفرقه",$E197),IF(OR($B197="",COUNTIF(AcctCodesA,$B197)=0),"متفرقه",$B197))),$A197))</f>
        <v/>
      </c>
      <c r="K197">
        <f>IF($A197="","",IF(AND($B197&lt;&gt;"",COUNTIF(AcctCodesA,$B197)=0),"کد طرف در INFO تعریف نشده",IF(AND($D197="هزینه",$E197=""),"هزینه بدون زیرگروه",IF(AND($C197="پاس چک",OR(Sync!$AJ197="",COUNTIF(IssueNosA,Sync!$AJ197)=0)),"شماره چک پاس‌شده معتبر نیست",""))))</f>
        <v/>
      </c>
      <c r="M197">
        <f>IF(Sync!$AH197="","",Sync!$AH197)</f>
        <v/>
      </c>
      <c r="N197">
        <f>IF($M197="","",IF(OR(Sync!$AI197="",COUNTIF(AcctCodesA,Sync!$AI197)=0),"متفرقه",Sync!$AI197))</f>
        <v/>
      </c>
      <c r="O197">
        <f>IF($M197="","",$N197)</f>
        <v/>
      </c>
      <c r="P197">
        <f>IF($M197="","","چک پرداختی")</f>
        <v/>
      </c>
      <c r="R197">
        <f>IF($M197="","",IF(COUNTIF(AcctCodesA,Sync!$AI197)=0,"ذی‌نفع چک تعریف‌نشده",""))</f>
        <v/>
      </c>
      <c r="S197">
        <f>IF($R197="","",Sync!$AG197&amp;"|"&amp;"5"&amp;RIGHT("00000"&amp;192,5))</f>
        <v/>
      </c>
      <c r="T197">
        <f>IF($S197="",0,COUNTIFS($S$6:$S$505,"&lt;"&amp;$S197)-COUNTIFS($S$6:$S$505,"&lt;"&amp;$S197,$R$6:$R$505,"")+1)</f>
        <v/>
      </c>
      <c r="V197">
        <f>IF($K197="","",IF(ISNUMBER(Sync!$AK197),Sync!$AK197,LEFT(Sync!$AK197,4)&amp;MID(Sync!$AK197,6,2)&amp;RIGHT(Sync!$AK197,2))&amp;"|"&amp;"4"&amp;RIGHT("00000"&amp;192,5))</f>
        <v/>
      </c>
      <c r="W197">
        <f>IF($V197="",0,COUNTIFS($V$6:$V$2005,"&lt;"&amp;$V197)-COUNTIFS($V$6:$V$2005,"&lt;"&amp;$V197,$K$6:$K$2005,"")+1)</f>
        <v/>
      </c>
      <c r="X197">
        <f>IF(Sync!$AX197="","",IF(OR(N(Sync!$AY197)=0,N(Sync!$AZ197)=0),"",ROUND(N(Sync!$AY197)*N(Sync!$AZ197),0)))</f>
        <v/>
      </c>
      <c r="Y197">
        <f>IF($X197="","",IF(OR(Sync!$AX197="",COUNTIF(AcctCodesA,Sync!$AX197)=0),"متفرقه",Sync!$AX197))</f>
        <v/>
      </c>
      <c r="Z197">
        <f>IF($X197="","","سبد و ظروف")</f>
        <v/>
      </c>
      <c r="AA197">
        <f>IF($X197="","",$Y197)</f>
        <v/>
      </c>
    </row>
    <row r="198">
      <c r="A198">
        <f>IF(Sync!$Z198="","",LEFT(UPPER(TRIM(Sync!$Z198)),6))</f>
        <v/>
      </c>
      <c r="B198">
        <f>IF($A198="","",IF(Sync!$AA198="","",Sync!$AA198))</f>
        <v/>
      </c>
      <c r="C198">
        <f>IF($A198="","",IF(Sync!$AB198="","",Sync!$AB198))</f>
        <v/>
      </c>
      <c r="D198">
        <f>IF($A198="","",IF(Sync!$AC198="","",Sync!$AC198))</f>
        <v/>
      </c>
      <c r="E198">
        <f>IF($A198="","",IF(Sync!$AD198="","",Sync!$AD198))</f>
        <v/>
      </c>
      <c r="F198">
        <f>IF($A198="","",IF(Sync!$AE198="",0,Sync!$AE198))</f>
        <v/>
      </c>
      <c r="G198">
        <f>IF($A198="","",IF(Sync!$AF198="",0,Sync!$AF198))</f>
        <v/>
      </c>
      <c r="H198">
        <f>IF(OR($A198="",ROUND($F198+$G198,2)=0),"",$F198+$G198)</f>
        <v/>
      </c>
      <c r="I198">
        <f>IF($H198="","",IF(ROUND($F198,2)&gt;0,$A198,IF($D198="شخصی قاسم","شخصی قاسم",IF($D198="هزینه","هزینه: "&amp;IF($E198="","متفرقه",$E198),IF($C198="پاس چک","چک پرداختی",IF(OR($B198="",COUNTIF(AcctCodesA,$B198)=0),"متفرقه",$B198))))))</f>
        <v/>
      </c>
      <c r="J198">
        <f>IF($H198="","",IF(ROUND($F198,2)&gt;0,IF($D198="شخصی قاسم","شخصی قاسم",IF($D198="هزینه","هزینه: "&amp;IF($E198="","متفرقه",$E198),IF(OR($B198="",COUNTIF(AcctCodesA,$B198)=0),"متفرقه",$B198))),$A198))</f>
        <v/>
      </c>
      <c r="K198">
        <f>IF($A198="","",IF(AND($B198&lt;&gt;"",COUNTIF(AcctCodesA,$B198)=0),"کد طرف در INFO تعریف نشده",IF(AND($D198="هزینه",$E198=""),"هزینه بدون زیرگروه",IF(AND($C198="پاس چک",OR(Sync!$AJ198="",COUNTIF(IssueNosA,Sync!$AJ198)=0)),"شماره چک پاس‌شده معتبر نیست",""))))</f>
        <v/>
      </c>
      <c r="M198">
        <f>IF(Sync!$AH198="","",Sync!$AH198)</f>
        <v/>
      </c>
      <c r="N198">
        <f>IF($M198="","",IF(OR(Sync!$AI198="",COUNTIF(AcctCodesA,Sync!$AI198)=0),"متفرقه",Sync!$AI198))</f>
        <v/>
      </c>
      <c r="O198">
        <f>IF($M198="","",$N198)</f>
        <v/>
      </c>
      <c r="P198">
        <f>IF($M198="","","چک پرداختی")</f>
        <v/>
      </c>
      <c r="R198">
        <f>IF($M198="","",IF(COUNTIF(AcctCodesA,Sync!$AI198)=0,"ذی‌نفع چک تعریف‌نشده",""))</f>
        <v/>
      </c>
      <c r="S198">
        <f>IF($R198="","",Sync!$AG198&amp;"|"&amp;"5"&amp;RIGHT("00000"&amp;193,5))</f>
        <v/>
      </c>
      <c r="T198">
        <f>IF($S198="",0,COUNTIFS($S$6:$S$505,"&lt;"&amp;$S198)-COUNTIFS($S$6:$S$505,"&lt;"&amp;$S198,$R$6:$R$505,"")+1)</f>
        <v/>
      </c>
      <c r="V198">
        <f>IF($K198="","",IF(ISNUMBER(Sync!$AK198),Sync!$AK198,LEFT(Sync!$AK198,4)&amp;MID(Sync!$AK198,6,2)&amp;RIGHT(Sync!$AK198,2))&amp;"|"&amp;"4"&amp;RIGHT("00000"&amp;193,5))</f>
        <v/>
      </c>
      <c r="W198">
        <f>IF($V198="",0,COUNTIFS($V$6:$V$2005,"&lt;"&amp;$V198)-COUNTIFS($V$6:$V$2005,"&lt;"&amp;$V198,$K$6:$K$2005,"")+1)</f>
        <v/>
      </c>
      <c r="X198">
        <f>IF(Sync!$AX198="","",IF(OR(N(Sync!$AY198)=0,N(Sync!$AZ198)=0),"",ROUND(N(Sync!$AY198)*N(Sync!$AZ198),0)))</f>
        <v/>
      </c>
      <c r="Y198">
        <f>IF($X198="","",IF(OR(Sync!$AX198="",COUNTIF(AcctCodesA,Sync!$AX198)=0),"متفرقه",Sync!$AX198))</f>
        <v/>
      </c>
      <c r="Z198">
        <f>IF($X198="","","سبد و ظروف")</f>
        <v/>
      </c>
      <c r="AA198">
        <f>IF($X198="","",$Y198)</f>
        <v/>
      </c>
    </row>
    <row r="199">
      <c r="A199">
        <f>IF(Sync!$Z199="","",LEFT(UPPER(TRIM(Sync!$Z199)),6))</f>
        <v/>
      </c>
      <c r="B199">
        <f>IF($A199="","",IF(Sync!$AA199="","",Sync!$AA199))</f>
        <v/>
      </c>
      <c r="C199">
        <f>IF($A199="","",IF(Sync!$AB199="","",Sync!$AB199))</f>
        <v/>
      </c>
      <c r="D199">
        <f>IF($A199="","",IF(Sync!$AC199="","",Sync!$AC199))</f>
        <v/>
      </c>
      <c r="E199">
        <f>IF($A199="","",IF(Sync!$AD199="","",Sync!$AD199))</f>
        <v/>
      </c>
      <c r="F199">
        <f>IF($A199="","",IF(Sync!$AE199="",0,Sync!$AE199))</f>
        <v/>
      </c>
      <c r="G199">
        <f>IF($A199="","",IF(Sync!$AF199="",0,Sync!$AF199))</f>
        <v/>
      </c>
      <c r="H199">
        <f>IF(OR($A199="",ROUND($F199+$G199,2)=0),"",$F199+$G199)</f>
        <v/>
      </c>
      <c r="I199">
        <f>IF($H199="","",IF(ROUND($F199,2)&gt;0,$A199,IF($D199="شخصی قاسم","شخصی قاسم",IF($D199="هزینه","هزینه: "&amp;IF($E199="","متفرقه",$E199),IF($C199="پاس چک","چک پرداختی",IF(OR($B199="",COUNTIF(AcctCodesA,$B199)=0),"متفرقه",$B199))))))</f>
        <v/>
      </c>
      <c r="J199">
        <f>IF($H199="","",IF(ROUND($F199,2)&gt;0,IF($D199="شخصی قاسم","شخصی قاسم",IF($D199="هزینه","هزینه: "&amp;IF($E199="","متفرقه",$E199),IF(OR($B199="",COUNTIF(AcctCodesA,$B199)=0),"متفرقه",$B199))),$A199))</f>
        <v/>
      </c>
      <c r="K199">
        <f>IF($A199="","",IF(AND($B199&lt;&gt;"",COUNTIF(AcctCodesA,$B199)=0),"کد طرف در INFO تعریف نشده",IF(AND($D199="هزینه",$E199=""),"هزینه بدون زیرگروه",IF(AND($C199="پاس چک",OR(Sync!$AJ199="",COUNTIF(IssueNosA,Sync!$AJ199)=0)),"شماره چک پاس‌شده معتبر نیست",""))))</f>
        <v/>
      </c>
      <c r="M199">
        <f>IF(Sync!$AH199="","",Sync!$AH199)</f>
        <v/>
      </c>
      <c r="N199">
        <f>IF($M199="","",IF(OR(Sync!$AI199="",COUNTIF(AcctCodesA,Sync!$AI199)=0),"متفرقه",Sync!$AI199))</f>
        <v/>
      </c>
      <c r="O199">
        <f>IF($M199="","",$N199)</f>
        <v/>
      </c>
      <c r="P199">
        <f>IF($M199="","","چک پرداختی")</f>
        <v/>
      </c>
      <c r="R199">
        <f>IF($M199="","",IF(COUNTIF(AcctCodesA,Sync!$AI199)=0,"ذی‌نفع چک تعریف‌نشده",""))</f>
        <v/>
      </c>
      <c r="S199">
        <f>IF($R199="","",Sync!$AG199&amp;"|"&amp;"5"&amp;RIGHT("00000"&amp;194,5))</f>
        <v/>
      </c>
      <c r="T199">
        <f>IF($S199="",0,COUNTIFS($S$6:$S$505,"&lt;"&amp;$S199)-COUNTIFS($S$6:$S$505,"&lt;"&amp;$S199,$R$6:$R$505,"")+1)</f>
        <v/>
      </c>
      <c r="V199">
        <f>IF($K199="","",IF(ISNUMBER(Sync!$AK199),Sync!$AK199,LEFT(Sync!$AK199,4)&amp;MID(Sync!$AK199,6,2)&amp;RIGHT(Sync!$AK199,2))&amp;"|"&amp;"4"&amp;RIGHT("00000"&amp;194,5))</f>
        <v/>
      </c>
      <c r="W199">
        <f>IF($V199="",0,COUNTIFS($V$6:$V$2005,"&lt;"&amp;$V199)-COUNTIFS($V$6:$V$2005,"&lt;"&amp;$V199,$K$6:$K$2005,"")+1)</f>
        <v/>
      </c>
      <c r="X199">
        <f>IF(Sync!$AX199="","",IF(OR(N(Sync!$AY199)=0,N(Sync!$AZ199)=0),"",ROUND(N(Sync!$AY199)*N(Sync!$AZ199),0)))</f>
        <v/>
      </c>
      <c r="Y199">
        <f>IF($X199="","",IF(OR(Sync!$AX199="",COUNTIF(AcctCodesA,Sync!$AX199)=0),"متفرقه",Sync!$AX199))</f>
        <v/>
      </c>
      <c r="Z199">
        <f>IF($X199="","","سبد و ظروف")</f>
        <v/>
      </c>
      <c r="AA199">
        <f>IF($X199="","",$Y199)</f>
        <v/>
      </c>
    </row>
    <row r="200">
      <c r="A200">
        <f>IF(Sync!$Z200="","",LEFT(UPPER(TRIM(Sync!$Z200)),6))</f>
        <v/>
      </c>
      <c r="B200">
        <f>IF($A200="","",IF(Sync!$AA200="","",Sync!$AA200))</f>
        <v/>
      </c>
      <c r="C200">
        <f>IF($A200="","",IF(Sync!$AB200="","",Sync!$AB200))</f>
        <v/>
      </c>
      <c r="D200">
        <f>IF($A200="","",IF(Sync!$AC200="","",Sync!$AC200))</f>
        <v/>
      </c>
      <c r="E200">
        <f>IF($A200="","",IF(Sync!$AD200="","",Sync!$AD200))</f>
        <v/>
      </c>
      <c r="F200">
        <f>IF($A200="","",IF(Sync!$AE200="",0,Sync!$AE200))</f>
        <v/>
      </c>
      <c r="G200">
        <f>IF($A200="","",IF(Sync!$AF200="",0,Sync!$AF200))</f>
        <v/>
      </c>
      <c r="H200">
        <f>IF(OR($A200="",ROUND($F200+$G200,2)=0),"",$F200+$G200)</f>
        <v/>
      </c>
      <c r="I200">
        <f>IF($H200="","",IF(ROUND($F200,2)&gt;0,$A200,IF($D200="شخصی قاسم","شخصی قاسم",IF($D200="هزینه","هزینه: "&amp;IF($E200="","متفرقه",$E200),IF($C200="پاس چک","چک پرداختی",IF(OR($B200="",COUNTIF(AcctCodesA,$B200)=0),"متفرقه",$B200))))))</f>
        <v/>
      </c>
      <c r="J200">
        <f>IF($H200="","",IF(ROUND($F200,2)&gt;0,IF($D200="شخصی قاسم","شخصی قاسم",IF($D200="هزینه","هزینه: "&amp;IF($E200="","متفرقه",$E200),IF(OR($B200="",COUNTIF(AcctCodesA,$B200)=0),"متفرقه",$B200))),$A200))</f>
        <v/>
      </c>
      <c r="K200">
        <f>IF($A200="","",IF(AND($B200&lt;&gt;"",COUNTIF(AcctCodesA,$B200)=0),"کد طرف در INFO تعریف نشده",IF(AND($D200="هزینه",$E200=""),"هزینه بدون زیرگروه",IF(AND($C200="پاس چک",OR(Sync!$AJ200="",COUNTIF(IssueNosA,Sync!$AJ200)=0)),"شماره چک پاس‌شده معتبر نیست",""))))</f>
        <v/>
      </c>
      <c r="M200">
        <f>IF(Sync!$AH200="","",Sync!$AH200)</f>
        <v/>
      </c>
      <c r="N200">
        <f>IF($M200="","",IF(OR(Sync!$AI200="",COUNTIF(AcctCodesA,Sync!$AI200)=0),"متفرقه",Sync!$AI200))</f>
        <v/>
      </c>
      <c r="O200">
        <f>IF($M200="","",$N200)</f>
        <v/>
      </c>
      <c r="P200">
        <f>IF($M200="","","چک پرداختی")</f>
        <v/>
      </c>
      <c r="R200">
        <f>IF($M200="","",IF(COUNTIF(AcctCodesA,Sync!$AI200)=0,"ذی‌نفع چک تعریف‌نشده",""))</f>
        <v/>
      </c>
      <c r="S200">
        <f>IF($R200="","",Sync!$AG200&amp;"|"&amp;"5"&amp;RIGHT("00000"&amp;195,5))</f>
        <v/>
      </c>
      <c r="T200">
        <f>IF($S200="",0,COUNTIFS($S$6:$S$505,"&lt;"&amp;$S200)-COUNTIFS($S$6:$S$505,"&lt;"&amp;$S200,$R$6:$R$505,"")+1)</f>
        <v/>
      </c>
      <c r="V200">
        <f>IF($K200="","",IF(ISNUMBER(Sync!$AK200),Sync!$AK200,LEFT(Sync!$AK200,4)&amp;MID(Sync!$AK200,6,2)&amp;RIGHT(Sync!$AK200,2))&amp;"|"&amp;"4"&amp;RIGHT("00000"&amp;195,5))</f>
        <v/>
      </c>
      <c r="W200">
        <f>IF($V200="",0,COUNTIFS($V$6:$V$2005,"&lt;"&amp;$V200)-COUNTIFS($V$6:$V$2005,"&lt;"&amp;$V200,$K$6:$K$2005,"")+1)</f>
        <v/>
      </c>
      <c r="X200">
        <f>IF(Sync!$AX200="","",IF(OR(N(Sync!$AY200)=0,N(Sync!$AZ200)=0),"",ROUND(N(Sync!$AY200)*N(Sync!$AZ200),0)))</f>
        <v/>
      </c>
      <c r="Y200">
        <f>IF($X200="","",IF(OR(Sync!$AX200="",COUNTIF(AcctCodesA,Sync!$AX200)=0),"متفرقه",Sync!$AX200))</f>
        <v/>
      </c>
      <c r="Z200">
        <f>IF($X200="","","سبد و ظروف")</f>
        <v/>
      </c>
      <c r="AA200">
        <f>IF($X200="","",$Y200)</f>
        <v/>
      </c>
    </row>
    <row r="201">
      <c r="A201">
        <f>IF(Sync!$Z201="","",LEFT(UPPER(TRIM(Sync!$Z201)),6))</f>
        <v/>
      </c>
      <c r="B201">
        <f>IF($A201="","",IF(Sync!$AA201="","",Sync!$AA201))</f>
        <v/>
      </c>
      <c r="C201">
        <f>IF($A201="","",IF(Sync!$AB201="","",Sync!$AB201))</f>
        <v/>
      </c>
      <c r="D201">
        <f>IF($A201="","",IF(Sync!$AC201="","",Sync!$AC201))</f>
        <v/>
      </c>
      <c r="E201">
        <f>IF($A201="","",IF(Sync!$AD201="","",Sync!$AD201))</f>
        <v/>
      </c>
      <c r="F201">
        <f>IF($A201="","",IF(Sync!$AE201="",0,Sync!$AE201))</f>
        <v/>
      </c>
      <c r="G201">
        <f>IF($A201="","",IF(Sync!$AF201="",0,Sync!$AF201))</f>
        <v/>
      </c>
      <c r="H201">
        <f>IF(OR($A201="",ROUND($F201+$G201,2)=0),"",$F201+$G201)</f>
        <v/>
      </c>
      <c r="I201">
        <f>IF($H201="","",IF(ROUND($F201,2)&gt;0,$A201,IF($D201="شخصی قاسم","شخصی قاسم",IF($D201="هزینه","هزینه: "&amp;IF($E201="","متفرقه",$E201),IF($C201="پاس چک","چک پرداختی",IF(OR($B201="",COUNTIF(AcctCodesA,$B201)=0),"متفرقه",$B201))))))</f>
        <v/>
      </c>
      <c r="J201">
        <f>IF($H201="","",IF(ROUND($F201,2)&gt;0,IF($D201="شخصی قاسم","شخصی قاسم",IF($D201="هزینه","هزینه: "&amp;IF($E201="","متفرقه",$E201),IF(OR($B201="",COUNTIF(AcctCodesA,$B201)=0),"متفرقه",$B201))),$A201))</f>
        <v/>
      </c>
      <c r="K201">
        <f>IF($A201="","",IF(AND($B201&lt;&gt;"",COUNTIF(AcctCodesA,$B201)=0),"کد طرف در INFO تعریف نشده",IF(AND($D201="هزینه",$E201=""),"هزینه بدون زیرگروه",IF(AND($C201="پاس چک",OR(Sync!$AJ201="",COUNTIF(IssueNosA,Sync!$AJ201)=0)),"شماره چک پاس‌شده معتبر نیست",""))))</f>
        <v/>
      </c>
      <c r="M201">
        <f>IF(Sync!$AH201="","",Sync!$AH201)</f>
        <v/>
      </c>
      <c r="N201">
        <f>IF($M201="","",IF(OR(Sync!$AI201="",COUNTIF(AcctCodesA,Sync!$AI201)=0),"متفرقه",Sync!$AI201))</f>
        <v/>
      </c>
      <c r="O201">
        <f>IF($M201="","",$N201)</f>
        <v/>
      </c>
      <c r="P201">
        <f>IF($M201="","","چک پرداختی")</f>
        <v/>
      </c>
      <c r="R201">
        <f>IF($M201="","",IF(COUNTIF(AcctCodesA,Sync!$AI201)=0,"ذی‌نفع چک تعریف‌نشده",""))</f>
        <v/>
      </c>
      <c r="S201">
        <f>IF($R201="","",Sync!$AG201&amp;"|"&amp;"5"&amp;RIGHT("00000"&amp;196,5))</f>
        <v/>
      </c>
      <c r="T201">
        <f>IF($S201="",0,COUNTIFS($S$6:$S$505,"&lt;"&amp;$S201)-COUNTIFS($S$6:$S$505,"&lt;"&amp;$S201,$R$6:$R$505,"")+1)</f>
        <v/>
      </c>
      <c r="V201">
        <f>IF($K201="","",IF(ISNUMBER(Sync!$AK201),Sync!$AK201,LEFT(Sync!$AK201,4)&amp;MID(Sync!$AK201,6,2)&amp;RIGHT(Sync!$AK201,2))&amp;"|"&amp;"4"&amp;RIGHT("00000"&amp;196,5))</f>
        <v/>
      </c>
      <c r="W201">
        <f>IF($V201="",0,COUNTIFS($V$6:$V$2005,"&lt;"&amp;$V201)-COUNTIFS($V$6:$V$2005,"&lt;"&amp;$V201,$K$6:$K$2005,"")+1)</f>
        <v/>
      </c>
      <c r="X201">
        <f>IF(Sync!$AX201="","",IF(OR(N(Sync!$AY201)=0,N(Sync!$AZ201)=0),"",ROUND(N(Sync!$AY201)*N(Sync!$AZ201),0)))</f>
        <v/>
      </c>
      <c r="Y201">
        <f>IF($X201="","",IF(OR(Sync!$AX201="",COUNTIF(AcctCodesA,Sync!$AX201)=0),"متفرقه",Sync!$AX201))</f>
        <v/>
      </c>
      <c r="Z201">
        <f>IF($X201="","","سبد و ظروف")</f>
        <v/>
      </c>
      <c r="AA201">
        <f>IF($X201="","",$Y201)</f>
        <v/>
      </c>
    </row>
    <row r="202">
      <c r="A202">
        <f>IF(Sync!$Z202="","",LEFT(UPPER(TRIM(Sync!$Z202)),6))</f>
        <v/>
      </c>
      <c r="B202">
        <f>IF($A202="","",IF(Sync!$AA202="","",Sync!$AA202))</f>
        <v/>
      </c>
      <c r="C202">
        <f>IF($A202="","",IF(Sync!$AB202="","",Sync!$AB202))</f>
        <v/>
      </c>
      <c r="D202">
        <f>IF($A202="","",IF(Sync!$AC202="","",Sync!$AC202))</f>
        <v/>
      </c>
      <c r="E202">
        <f>IF($A202="","",IF(Sync!$AD202="","",Sync!$AD202))</f>
        <v/>
      </c>
      <c r="F202">
        <f>IF($A202="","",IF(Sync!$AE202="",0,Sync!$AE202))</f>
        <v/>
      </c>
      <c r="G202">
        <f>IF($A202="","",IF(Sync!$AF202="",0,Sync!$AF202))</f>
        <v/>
      </c>
      <c r="H202">
        <f>IF(OR($A202="",ROUND($F202+$G202,2)=0),"",$F202+$G202)</f>
        <v/>
      </c>
      <c r="I202">
        <f>IF($H202="","",IF(ROUND($F202,2)&gt;0,$A202,IF($D202="شخصی قاسم","شخصی قاسم",IF($D202="هزینه","هزینه: "&amp;IF($E202="","متفرقه",$E202),IF($C202="پاس چک","چک پرداختی",IF(OR($B202="",COUNTIF(AcctCodesA,$B202)=0),"متفرقه",$B202))))))</f>
        <v/>
      </c>
      <c r="J202">
        <f>IF($H202="","",IF(ROUND($F202,2)&gt;0,IF($D202="شخصی قاسم","شخصی قاسم",IF($D202="هزینه","هزینه: "&amp;IF($E202="","متفرقه",$E202),IF(OR($B202="",COUNTIF(AcctCodesA,$B202)=0),"متفرقه",$B202))),$A202))</f>
        <v/>
      </c>
      <c r="K202">
        <f>IF($A202="","",IF(AND($B202&lt;&gt;"",COUNTIF(AcctCodesA,$B202)=0),"کد طرف در INFO تعریف نشده",IF(AND($D202="هزینه",$E202=""),"هزینه بدون زیرگروه",IF(AND($C202="پاس چک",OR(Sync!$AJ202="",COUNTIF(IssueNosA,Sync!$AJ202)=0)),"شماره چک پاس‌شده معتبر نیست",""))))</f>
        <v/>
      </c>
      <c r="M202">
        <f>IF(Sync!$AH202="","",Sync!$AH202)</f>
        <v/>
      </c>
      <c r="N202">
        <f>IF($M202="","",IF(OR(Sync!$AI202="",COUNTIF(AcctCodesA,Sync!$AI202)=0),"متفرقه",Sync!$AI202))</f>
        <v/>
      </c>
      <c r="O202">
        <f>IF($M202="","",$N202)</f>
        <v/>
      </c>
      <c r="P202">
        <f>IF($M202="","","چک پرداختی")</f>
        <v/>
      </c>
      <c r="R202">
        <f>IF($M202="","",IF(COUNTIF(AcctCodesA,Sync!$AI202)=0,"ذی‌نفع چک تعریف‌نشده",""))</f>
        <v/>
      </c>
      <c r="S202">
        <f>IF($R202="","",Sync!$AG202&amp;"|"&amp;"5"&amp;RIGHT("00000"&amp;197,5))</f>
        <v/>
      </c>
      <c r="T202">
        <f>IF($S202="",0,COUNTIFS($S$6:$S$505,"&lt;"&amp;$S202)-COUNTIFS($S$6:$S$505,"&lt;"&amp;$S202,$R$6:$R$505,"")+1)</f>
        <v/>
      </c>
      <c r="V202">
        <f>IF($K202="","",IF(ISNUMBER(Sync!$AK202),Sync!$AK202,LEFT(Sync!$AK202,4)&amp;MID(Sync!$AK202,6,2)&amp;RIGHT(Sync!$AK202,2))&amp;"|"&amp;"4"&amp;RIGHT("00000"&amp;197,5))</f>
        <v/>
      </c>
      <c r="W202">
        <f>IF($V202="",0,COUNTIFS($V$6:$V$2005,"&lt;"&amp;$V202)-COUNTIFS($V$6:$V$2005,"&lt;"&amp;$V202,$K$6:$K$2005,"")+1)</f>
        <v/>
      </c>
      <c r="X202">
        <f>IF(Sync!$AX202="","",IF(OR(N(Sync!$AY202)=0,N(Sync!$AZ202)=0),"",ROUND(N(Sync!$AY202)*N(Sync!$AZ202),0)))</f>
        <v/>
      </c>
      <c r="Y202">
        <f>IF($X202="","",IF(OR(Sync!$AX202="",COUNTIF(AcctCodesA,Sync!$AX202)=0),"متفرقه",Sync!$AX202))</f>
        <v/>
      </c>
      <c r="Z202">
        <f>IF($X202="","","سبد و ظروف")</f>
        <v/>
      </c>
      <c r="AA202">
        <f>IF($X202="","",$Y202)</f>
        <v/>
      </c>
    </row>
    <row r="203">
      <c r="A203">
        <f>IF(Sync!$Z203="","",LEFT(UPPER(TRIM(Sync!$Z203)),6))</f>
        <v/>
      </c>
      <c r="B203">
        <f>IF($A203="","",IF(Sync!$AA203="","",Sync!$AA203))</f>
        <v/>
      </c>
      <c r="C203">
        <f>IF($A203="","",IF(Sync!$AB203="","",Sync!$AB203))</f>
        <v/>
      </c>
      <c r="D203">
        <f>IF($A203="","",IF(Sync!$AC203="","",Sync!$AC203))</f>
        <v/>
      </c>
      <c r="E203">
        <f>IF($A203="","",IF(Sync!$AD203="","",Sync!$AD203))</f>
        <v/>
      </c>
      <c r="F203">
        <f>IF($A203="","",IF(Sync!$AE203="",0,Sync!$AE203))</f>
        <v/>
      </c>
      <c r="G203">
        <f>IF($A203="","",IF(Sync!$AF203="",0,Sync!$AF203))</f>
        <v/>
      </c>
      <c r="H203">
        <f>IF(OR($A203="",ROUND($F203+$G203,2)=0),"",$F203+$G203)</f>
        <v/>
      </c>
      <c r="I203">
        <f>IF($H203="","",IF(ROUND($F203,2)&gt;0,$A203,IF($D203="شخصی قاسم","شخصی قاسم",IF($D203="هزینه","هزینه: "&amp;IF($E203="","متفرقه",$E203),IF($C203="پاس چک","چک پرداختی",IF(OR($B203="",COUNTIF(AcctCodesA,$B203)=0),"متفرقه",$B203))))))</f>
        <v/>
      </c>
      <c r="J203">
        <f>IF($H203="","",IF(ROUND($F203,2)&gt;0,IF($D203="شخصی قاسم","شخصی قاسم",IF($D203="هزینه","هزینه: "&amp;IF($E203="","متفرقه",$E203),IF(OR($B203="",COUNTIF(AcctCodesA,$B203)=0),"متفرقه",$B203))),$A203))</f>
        <v/>
      </c>
      <c r="K203">
        <f>IF($A203="","",IF(AND($B203&lt;&gt;"",COUNTIF(AcctCodesA,$B203)=0),"کد طرف در INFO تعریف نشده",IF(AND($D203="هزینه",$E203=""),"هزینه بدون زیرگروه",IF(AND($C203="پاس چک",OR(Sync!$AJ203="",COUNTIF(IssueNosA,Sync!$AJ203)=0)),"شماره چک پاس‌شده معتبر نیست",""))))</f>
        <v/>
      </c>
      <c r="M203">
        <f>IF(Sync!$AH203="","",Sync!$AH203)</f>
        <v/>
      </c>
      <c r="N203">
        <f>IF($M203="","",IF(OR(Sync!$AI203="",COUNTIF(AcctCodesA,Sync!$AI203)=0),"متفرقه",Sync!$AI203))</f>
        <v/>
      </c>
      <c r="O203">
        <f>IF($M203="","",$N203)</f>
        <v/>
      </c>
      <c r="P203">
        <f>IF($M203="","","چک پرداختی")</f>
        <v/>
      </c>
      <c r="R203">
        <f>IF($M203="","",IF(COUNTIF(AcctCodesA,Sync!$AI203)=0,"ذی‌نفع چک تعریف‌نشده",""))</f>
        <v/>
      </c>
      <c r="S203">
        <f>IF($R203="","",Sync!$AG203&amp;"|"&amp;"5"&amp;RIGHT("00000"&amp;198,5))</f>
        <v/>
      </c>
      <c r="T203">
        <f>IF($S203="",0,COUNTIFS($S$6:$S$505,"&lt;"&amp;$S203)-COUNTIFS($S$6:$S$505,"&lt;"&amp;$S203,$R$6:$R$505,"")+1)</f>
        <v/>
      </c>
      <c r="V203">
        <f>IF($K203="","",IF(ISNUMBER(Sync!$AK203),Sync!$AK203,LEFT(Sync!$AK203,4)&amp;MID(Sync!$AK203,6,2)&amp;RIGHT(Sync!$AK203,2))&amp;"|"&amp;"4"&amp;RIGHT("00000"&amp;198,5))</f>
        <v/>
      </c>
      <c r="W203">
        <f>IF($V203="",0,COUNTIFS($V$6:$V$2005,"&lt;"&amp;$V203)-COUNTIFS($V$6:$V$2005,"&lt;"&amp;$V203,$K$6:$K$2005,"")+1)</f>
        <v/>
      </c>
      <c r="X203">
        <f>IF(Sync!$AX203="","",IF(OR(N(Sync!$AY203)=0,N(Sync!$AZ203)=0),"",ROUND(N(Sync!$AY203)*N(Sync!$AZ203),0)))</f>
        <v/>
      </c>
      <c r="Y203">
        <f>IF($X203="","",IF(OR(Sync!$AX203="",COUNTIF(AcctCodesA,Sync!$AX203)=0),"متفرقه",Sync!$AX203))</f>
        <v/>
      </c>
      <c r="Z203">
        <f>IF($X203="","","سبد و ظروف")</f>
        <v/>
      </c>
      <c r="AA203">
        <f>IF($X203="","",$Y203)</f>
        <v/>
      </c>
    </row>
    <row r="204">
      <c r="A204">
        <f>IF(Sync!$Z204="","",LEFT(UPPER(TRIM(Sync!$Z204)),6))</f>
        <v/>
      </c>
      <c r="B204">
        <f>IF($A204="","",IF(Sync!$AA204="","",Sync!$AA204))</f>
        <v/>
      </c>
      <c r="C204">
        <f>IF($A204="","",IF(Sync!$AB204="","",Sync!$AB204))</f>
        <v/>
      </c>
      <c r="D204">
        <f>IF($A204="","",IF(Sync!$AC204="","",Sync!$AC204))</f>
        <v/>
      </c>
      <c r="E204">
        <f>IF($A204="","",IF(Sync!$AD204="","",Sync!$AD204))</f>
        <v/>
      </c>
      <c r="F204">
        <f>IF($A204="","",IF(Sync!$AE204="",0,Sync!$AE204))</f>
        <v/>
      </c>
      <c r="G204">
        <f>IF($A204="","",IF(Sync!$AF204="",0,Sync!$AF204))</f>
        <v/>
      </c>
      <c r="H204">
        <f>IF(OR($A204="",ROUND($F204+$G204,2)=0),"",$F204+$G204)</f>
        <v/>
      </c>
      <c r="I204">
        <f>IF($H204="","",IF(ROUND($F204,2)&gt;0,$A204,IF($D204="شخصی قاسم","شخصی قاسم",IF($D204="هزینه","هزینه: "&amp;IF($E204="","متفرقه",$E204),IF($C204="پاس چک","چک پرداختی",IF(OR($B204="",COUNTIF(AcctCodesA,$B204)=0),"متفرقه",$B204))))))</f>
        <v/>
      </c>
      <c r="J204">
        <f>IF($H204="","",IF(ROUND($F204,2)&gt;0,IF($D204="شخصی قاسم","شخصی قاسم",IF($D204="هزینه","هزینه: "&amp;IF($E204="","متفرقه",$E204),IF(OR($B204="",COUNTIF(AcctCodesA,$B204)=0),"متفرقه",$B204))),$A204))</f>
        <v/>
      </c>
      <c r="K204">
        <f>IF($A204="","",IF(AND($B204&lt;&gt;"",COUNTIF(AcctCodesA,$B204)=0),"کد طرف در INFO تعریف نشده",IF(AND($D204="هزینه",$E204=""),"هزینه بدون زیرگروه",IF(AND($C204="پاس چک",OR(Sync!$AJ204="",COUNTIF(IssueNosA,Sync!$AJ204)=0)),"شماره چک پاس‌شده معتبر نیست",""))))</f>
        <v/>
      </c>
      <c r="M204">
        <f>IF(Sync!$AH204="","",Sync!$AH204)</f>
        <v/>
      </c>
      <c r="N204">
        <f>IF($M204="","",IF(OR(Sync!$AI204="",COUNTIF(AcctCodesA,Sync!$AI204)=0),"متفرقه",Sync!$AI204))</f>
        <v/>
      </c>
      <c r="O204">
        <f>IF($M204="","",$N204)</f>
        <v/>
      </c>
      <c r="P204">
        <f>IF($M204="","","چک پرداختی")</f>
        <v/>
      </c>
      <c r="R204">
        <f>IF($M204="","",IF(COUNTIF(AcctCodesA,Sync!$AI204)=0,"ذی‌نفع چک تعریف‌نشده",""))</f>
        <v/>
      </c>
      <c r="S204">
        <f>IF($R204="","",Sync!$AG204&amp;"|"&amp;"5"&amp;RIGHT("00000"&amp;199,5))</f>
        <v/>
      </c>
      <c r="T204">
        <f>IF($S204="",0,COUNTIFS($S$6:$S$505,"&lt;"&amp;$S204)-COUNTIFS($S$6:$S$505,"&lt;"&amp;$S204,$R$6:$R$505,"")+1)</f>
        <v/>
      </c>
      <c r="V204">
        <f>IF($K204="","",IF(ISNUMBER(Sync!$AK204),Sync!$AK204,LEFT(Sync!$AK204,4)&amp;MID(Sync!$AK204,6,2)&amp;RIGHT(Sync!$AK204,2))&amp;"|"&amp;"4"&amp;RIGHT("00000"&amp;199,5))</f>
        <v/>
      </c>
      <c r="W204">
        <f>IF($V204="",0,COUNTIFS($V$6:$V$2005,"&lt;"&amp;$V204)-COUNTIFS($V$6:$V$2005,"&lt;"&amp;$V204,$K$6:$K$2005,"")+1)</f>
        <v/>
      </c>
      <c r="X204">
        <f>IF(Sync!$AX204="","",IF(OR(N(Sync!$AY204)=0,N(Sync!$AZ204)=0),"",ROUND(N(Sync!$AY204)*N(Sync!$AZ204),0)))</f>
        <v/>
      </c>
      <c r="Y204">
        <f>IF($X204="","",IF(OR(Sync!$AX204="",COUNTIF(AcctCodesA,Sync!$AX204)=0),"متفرقه",Sync!$AX204))</f>
        <v/>
      </c>
      <c r="Z204">
        <f>IF($X204="","","سبد و ظروف")</f>
        <v/>
      </c>
      <c r="AA204">
        <f>IF($X204="","",$Y204)</f>
        <v/>
      </c>
    </row>
    <row r="205">
      <c r="A205">
        <f>IF(Sync!$Z205="","",LEFT(UPPER(TRIM(Sync!$Z205)),6))</f>
        <v/>
      </c>
      <c r="B205">
        <f>IF($A205="","",IF(Sync!$AA205="","",Sync!$AA205))</f>
        <v/>
      </c>
      <c r="C205">
        <f>IF($A205="","",IF(Sync!$AB205="","",Sync!$AB205))</f>
        <v/>
      </c>
      <c r="D205">
        <f>IF($A205="","",IF(Sync!$AC205="","",Sync!$AC205))</f>
        <v/>
      </c>
      <c r="E205">
        <f>IF($A205="","",IF(Sync!$AD205="","",Sync!$AD205))</f>
        <v/>
      </c>
      <c r="F205">
        <f>IF($A205="","",IF(Sync!$AE205="",0,Sync!$AE205))</f>
        <v/>
      </c>
      <c r="G205">
        <f>IF($A205="","",IF(Sync!$AF205="",0,Sync!$AF205))</f>
        <v/>
      </c>
      <c r="H205">
        <f>IF(OR($A205="",ROUND($F205+$G205,2)=0),"",$F205+$G205)</f>
        <v/>
      </c>
      <c r="I205">
        <f>IF($H205="","",IF(ROUND($F205,2)&gt;0,$A205,IF($D205="شخصی قاسم","شخصی قاسم",IF($D205="هزینه","هزینه: "&amp;IF($E205="","متفرقه",$E205),IF($C205="پاس چک","چک پرداختی",IF(OR($B205="",COUNTIF(AcctCodesA,$B205)=0),"متفرقه",$B205))))))</f>
        <v/>
      </c>
      <c r="J205">
        <f>IF($H205="","",IF(ROUND($F205,2)&gt;0,IF($D205="شخصی قاسم","شخصی قاسم",IF($D205="هزینه","هزینه: "&amp;IF($E205="","متفرقه",$E205),IF(OR($B205="",COUNTIF(AcctCodesA,$B205)=0),"متفرقه",$B205))),$A205))</f>
        <v/>
      </c>
      <c r="K205">
        <f>IF($A205="","",IF(AND($B205&lt;&gt;"",COUNTIF(AcctCodesA,$B205)=0),"کد طرف در INFO تعریف نشده",IF(AND($D205="هزینه",$E205=""),"هزینه بدون زیرگروه",IF(AND($C205="پاس چک",OR(Sync!$AJ205="",COUNTIF(IssueNosA,Sync!$AJ205)=0)),"شماره چک پاس‌شده معتبر نیست",""))))</f>
        <v/>
      </c>
      <c r="M205">
        <f>IF(Sync!$AH205="","",Sync!$AH205)</f>
        <v/>
      </c>
      <c r="N205">
        <f>IF($M205="","",IF(OR(Sync!$AI205="",COUNTIF(AcctCodesA,Sync!$AI205)=0),"متفرقه",Sync!$AI205))</f>
        <v/>
      </c>
      <c r="O205">
        <f>IF($M205="","",$N205)</f>
        <v/>
      </c>
      <c r="P205">
        <f>IF($M205="","","چک پرداختی")</f>
        <v/>
      </c>
      <c r="R205">
        <f>IF($M205="","",IF(COUNTIF(AcctCodesA,Sync!$AI205)=0,"ذی‌نفع چک تعریف‌نشده",""))</f>
        <v/>
      </c>
      <c r="S205">
        <f>IF($R205="","",Sync!$AG205&amp;"|"&amp;"5"&amp;RIGHT("00000"&amp;200,5))</f>
        <v/>
      </c>
      <c r="T205">
        <f>IF($S205="",0,COUNTIFS($S$6:$S$505,"&lt;"&amp;$S205)-COUNTIFS($S$6:$S$505,"&lt;"&amp;$S205,$R$6:$R$505,"")+1)</f>
        <v/>
      </c>
      <c r="V205">
        <f>IF($K205="","",IF(ISNUMBER(Sync!$AK205),Sync!$AK205,LEFT(Sync!$AK205,4)&amp;MID(Sync!$AK205,6,2)&amp;RIGHT(Sync!$AK205,2))&amp;"|"&amp;"4"&amp;RIGHT("00000"&amp;200,5))</f>
        <v/>
      </c>
      <c r="W205">
        <f>IF($V205="",0,COUNTIFS($V$6:$V$2005,"&lt;"&amp;$V205)-COUNTIFS($V$6:$V$2005,"&lt;"&amp;$V205,$K$6:$K$2005,"")+1)</f>
        <v/>
      </c>
      <c r="X205">
        <f>IF(Sync!$AX205="","",IF(OR(N(Sync!$AY205)=0,N(Sync!$AZ205)=0),"",ROUND(N(Sync!$AY205)*N(Sync!$AZ205),0)))</f>
        <v/>
      </c>
      <c r="Y205">
        <f>IF($X205="","",IF(OR(Sync!$AX205="",COUNTIF(AcctCodesA,Sync!$AX205)=0),"متفرقه",Sync!$AX205))</f>
        <v/>
      </c>
      <c r="Z205">
        <f>IF($X205="","","سبد و ظروف")</f>
        <v/>
      </c>
      <c r="AA205">
        <f>IF($X205="","",$Y205)</f>
        <v/>
      </c>
    </row>
    <row r="206">
      <c r="A206">
        <f>IF(Sync!$Z206="","",LEFT(UPPER(TRIM(Sync!$Z206)),6))</f>
        <v/>
      </c>
      <c r="B206">
        <f>IF($A206="","",IF(Sync!$AA206="","",Sync!$AA206))</f>
        <v/>
      </c>
      <c r="C206">
        <f>IF($A206="","",IF(Sync!$AB206="","",Sync!$AB206))</f>
        <v/>
      </c>
      <c r="D206">
        <f>IF($A206="","",IF(Sync!$AC206="","",Sync!$AC206))</f>
        <v/>
      </c>
      <c r="E206">
        <f>IF($A206="","",IF(Sync!$AD206="","",Sync!$AD206))</f>
        <v/>
      </c>
      <c r="F206">
        <f>IF($A206="","",IF(Sync!$AE206="",0,Sync!$AE206))</f>
        <v/>
      </c>
      <c r="G206">
        <f>IF($A206="","",IF(Sync!$AF206="",0,Sync!$AF206))</f>
        <v/>
      </c>
      <c r="H206">
        <f>IF(OR($A206="",ROUND($F206+$G206,2)=0),"",$F206+$G206)</f>
        <v/>
      </c>
      <c r="I206">
        <f>IF($H206="","",IF(ROUND($F206,2)&gt;0,$A206,IF($D206="شخصی قاسم","شخصی قاسم",IF($D206="هزینه","هزینه: "&amp;IF($E206="","متفرقه",$E206),IF($C206="پاس چک","چک پرداختی",IF(OR($B206="",COUNTIF(AcctCodesA,$B206)=0),"متفرقه",$B206))))))</f>
        <v/>
      </c>
      <c r="J206">
        <f>IF($H206="","",IF(ROUND($F206,2)&gt;0,IF($D206="شخصی قاسم","شخصی قاسم",IF($D206="هزینه","هزینه: "&amp;IF($E206="","متفرقه",$E206),IF(OR($B206="",COUNTIF(AcctCodesA,$B206)=0),"متفرقه",$B206))),$A206))</f>
        <v/>
      </c>
      <c r="K206">
        <f>IF($A206="","",IF(AND($B206&lt;&gt;"",COUNTIF(AcctCodesA,$B206)=0),"کد طرف در INFO تعریف نشده",IF(AND($D206="هزینه",$E206=""),"هزینه بدون زیرگروه",IF(AND($C206="پاس چک",OR(Sync!$AJ206="",COUNTIF(IssueNosA,Sync!$AJ206)=0)),"شماره چک پاس‌شده معتبر نیست",""))))</f>
        <v/>
      </c>
      <c r="M206">
        <f>IF(Sync!$AH206="","",Sync!$AH206)</f>
        <v/>
      </c>
      <c r="N206">
        <f>IF($M206="","",IF(OR(Sync!$AI206="",COUNTIF(AcctCodesA,Sync!$AI206)=0),"متفرقه",Sync!$AI206))</f>
        <v/>
      </c>
      <c r="O206">
        <f>IF($M206="","",$N206)</f>
        <v/>
      </c>
      <c r="P206">
        <f>IF($M206="","","چک پرداختی")</f>
        <v/>
      </c>
      <c r="R206">
        <f>IF($M206="","",IF(COUNTIF(AcctCodesA,Sync!$AI206)=0,"ذی‌نفع چک تعریف‌نشده",""))</f>
        <v/>
      </c>
      <c r="S206">
        <f>IF($R206="","",Sync!$AG206&amp;"|"&amp;"5"&amp;RIGHT("00000"&amp;201,5))</f>
        <v/>
      </c>
      <c r="T206">
        <f>IF($S206="",0,COUNTIFS($S$6:$S$505,"&lt;"&amp;$S206)-COUNTIFS($S$6:$S$505,"&lt;"&amp;$S206,$R$6:$R$505,"")+1)</f>
        <v/>
      </c>
      <c r="V206">
        <f>IF($K206="","",IF(ISNUMBER(Sync!$AK206),Sync!$AK206,LEFT(Sync!$AK206,4)&amp;MID(Sync!$AK206,6,2)&amp;RIGHT(Sync!$AK206,2))&amp;"|"&amp;"4"&amp;RIGHT("00000"&amp;201,5))</f>
        <v/>
      </c>
      <c r="W206">
        <f>IF($V206="",0,COUNTIFS($V$6:$V$2005,"&lt;"&amp;$V206)-COUNTIFS($V$6:$V$2005,"&lt;"&amp;$V206,$K$6:$K$2005,"")+1)</f>
        <v/>
      </c>
      <c r="X206">
        <f>IF(Sync!$AX206="","",IF(OR(N(Sync!$AY206)=0,N(Sync!$AZ206)=0),"",ROUND(N(Sync!$AY206)*N(Sync!$AZ206),0)))</f>
        <v/>
      </c>
      <c r="Y206">
        <f>IF($X206="","",IF(OR(Sync!$AX206="",COUNTIF(AcctCodesA,Sync!$AX206)=0),"متفرقه",Sync!$AX206))</f>
        <v/>
      </c>
      <c r="Z206">
        <f>IF($X206="","","سبد و ظروف")</f>
        <v/>
      </c>
      <c r="AA206">
        <f>IF($X206="","",$Y206)</f>
        <v/>
      </c>
    </row>
    <row r="207">
      <c r="A207">
        <f>IF(Sync!$Z207="","",LEFT(UPPER(TRIM(Sync!$Z207)),6))</f>
        <v/>
      </c>
      <c r="B207">
        <f>IF($A207="","",IF(Sync!$AA207="","",Sync!$AA207))</f>
        <v/>
      </c>
      <c r="C207">
        <f>IF($A207="","",IF(Sync!$AB207="","",Sync!$AB207))</f>
        <v/>
      </c>
      <c r="D207">
        <f>IF($A207="","",IF(Sync!$AC207="","",Sync!$AC207))</f>
        <v/>
      </c>
      <c r="E207">
        <f>IF($A207="","",IF(Sync!$AD207="","",Sync!$AD207))</f>
        <v/>
      </c>
      <c r="F207">
        <f>IF($A207="","",IF(Sync!$AE207="",0,Sync!$AE207))</f>
        <v/>
      </c>
      <c r="G207">
        <f>IF($A207="","",IF(Sync!$AF207="",0,Sync!$AF207))</f>
        <v/>
      </c>
      <c r="H207">
        <f>IF(OR($A207="",ROUND($F207+$G207,2)=0),"",$F207+$G207)</f>
        <v/>
      </c>
      <c r="I207">
        <f>IF($H207="","",IF(ROUND($F207,2)&gt;0,$A207,IF($D207="شخصی قاسم","شخصی قاسم",IF($D207="هزینه","هزینه: "&amp;IF($E207="","متفرقه",$E207),IF($C207="پاس چک","چک پرداختی",IF(OR($B207="",COUNTIF(AcctCodesA,$B207)=0),"متفرقه",$B207))))))</f>
        <v/>
      </c>
      <c r="J207">
        <f>IF($H207="","",IF(ROUND($F207,2)&gt;0,IF($D207="شخصی قاسم","شخصی قاسم",IF($D207="هزینه","هزینه: "&amp;IF($E207="","متفرقه",$E207),IF(OR($B207="",COUNTIF(AcctCodesA,$B207)=0),"متفرقه",$B207))),$A207))</f>
        <v/>
      </c>
      <c r="K207">
        <f>IF($A207="","",IF(AND($B207&lt;&gt;"",COUNTIF(AcctCodesA,$B207)=0),"کد طرف در INFO تعریف نشده",IF(AND($D207="هزینه",$E207=""),"هزینه بدون زیرگروه",IF(AND($C207="پاس چک",OR(Sync!$AJ207="",COUNTIF(IssueNosA,Sync!$AJ207)=0)),"شماره چک پاس‌شده معتبر نیست",""))))</f>
        <v/>
      </c>
      <c r="M207">
        <f>IF(Sync!$AH207="","",Sync!$AH207)</f>
        <v/>
      </c>
      <c r="N207">
        <f>IF($M207="","",IF(OR(Sync!$AI207="",COUNTIF(AcctCodesA,Sync!$AI207)=0),"متفرقه",Sync!$AI207))</f>
        <v/>
      </c>
      <c r="O207">
        <f>IF($M207="","",$N207)</f>
        <v/>
      </c>
      <c r="P207">
        <f>IF($M207="","","چک پرداختی")</f>
        <v/>
      </c>
      <c r="R207">
        <f>IF($M207="","",IF(COUNTIF(AcctCodesA,Sync!$AI207)=0,"ذی‌نفع چک تعریف‌نشده",""))</f>
        <v/>
      </c>
      <c r="S207">
        <f>IF($R207="","",Sync!$AG207&amp;"|"&amp;"5"&amp;RIGHT("00000"&amp;202,5))</f>
        <v/>
      </c>
      <c r="T207">
        <f>IF($S207="",0,COUNTIFS($S$6:$S$505,"&lt;"&amp;$S207)-COUNTIFS($S$6:$S$505,"&lt;"&amp;$S207,$R$6:$R$505,"")+1)</f>
        <v/>
      </c>
      <c r="V207">
        <f>IF($K207="","",IF(ISNUMBER(Sync!$AK207),Sync!$AK207,LEFT(Sync!$AK207,4)&amp;MID(Sync!$AK207,6,2)&amp;RIGHT(Sync!$AK207,2))&amp;"|"&amp;"4"&amp;RIGHT("00000"&amp;202,5))</f>
        <v/>
      </c>
      <c r="W207">
        <f>IF($V207="",0,COUNTIFS($V$6:$V$2005,"&lt;"&amp;$V207)-COUNTIFS($V$6:$V$2005,"&lt;"&amp;$V207,$K$6:$K$2005,"")+1)</f>
        <v/>
      </c>
      <c r="X207">
        <f>IF(Sync!$AX207="","",IF(OR(N(Sync!$AY207)=0,N(Sync!$AZ207)=0),"",ROUND(N(Sync!$AY207)*N(Sync!$AZ207),0)))</f>
        <v/>
      </c>
      <c r="Y207">
        <f>IF($X207="","",IF(OR(Sync!$AX207="",COUNTIF(AcctCodesA,Sync!$AX207)=0),"متفرقه",Sync!$AX207))</f>
        <v/>
      </c>
      <c r="Z207">
        <f>IF($X207="","","سبد و ظروف")</f>
        <v/>
      </c>
      <c r="AA207">
        <f>IF($X207="","",$Y207)</f>
        <v/>
      </c>
    </row>
    <row r="208">
      <c r="A208">
        <f>IF(Sync!$Z208="","",LEFT(UPPER(TRIM(Sync!$Z208)),6))</f>
        <v/>
      </c>
      <c r="B208">
        <f>IF($A208="","",IF(Sync!$AA208="","",Sync!$AA208))</f>
        <v/>
      </c>
      <c r="C208">
        <f>IF($A208="","",IF(Sync!$AB208="","",Sync!$AB208))</f>
        <v/>
      </c>
      <c r="D208">
        <f>IF($A208="","",IF(Sync!$AC208="","",Sync!$AC208))</f>
        <v/>
      </c>
      <c r="E208">
        <f>IF($A208="","",IF(Sync!$AD208="","",Sync!$AD208))</f>
        <v/>
      </c>
      <c r="F208">
        <f>IF($A208="","",IF(Sync!$AE208="",0,Sync!$AE208))</f>
        <v/>
      </c>
      <c r="G208">
        <f>IF($A208="","",IF(Sync!$AF208="",0,Sync!$AF208))</f>
        <v/>
      </c>
      <c r="H208">
        <f>IF(OR($A208="",ROUND($F208+$G208,2)=0),"",$F208+$G208)</f>
        <v/>
      </c>
      <c r="I208">
        <f>IF($H208="","",IF(ROUND($F208,2)&gt;0,$A208,IF($D208="شخصی قاسم","شخصی قاسم",IF($D208="هزینه","هزینه: "&amp;IF($E208="","متفرقه",$E208),IF($C208="پاس چک","چک پرداختی",IF(OR($B208="",COUNTIF(AcctCodesA,$B208)=0),"متفرقه",$B208))))))</f>
        <v/>
      </c>
      <c r="J208">
        <f>IF($H208="","",IF(ROUND($F208,2)&gt;0,IF($D208="شخصی قاسم","شخصی قاسم",IF($D208="هزینه","هزینه: "&amp;IF($E208="","متفرقه",$E208),IF(OR($B208="",COUNTIF(AcctCodesA,$B208)=0),"متفرقه",$B208))),$A208))</f>
        <v/>
      </c>
      <c r="K208">
        <f>IF($A208="","",IF(AND($B208&lt;&gt;"",COUNTIF(AcctCodesA,$B208)=0),"کد طرف در INFO تعریف نشده",IF(AND($D208="هزینه",$E208=""),"هزینه بدون زیرگروه",IF(AND($C208="پاس چک",OR(Sync!$AJ208="",COUNTIF(IssueNosA,Sync!$AJ208)=0)),"شماره چک پاس‌شده معتبر نیست",""))))</f>
        <v/>
      </c>
      <c r="M208">
        <f>IF(Sync!$AH208="","",Sync!$AH208)</f>
        <v/>
      </c>
      <c r="N208">
        <f>IF($M208="","",IF(OR(Sync!$AI208="",COUNTIF(AcctCodesA,Sync!$AI208)=0),"متفرقه",Sync!$AI208))</f>
        <v/>
      </c>
      <c r="O208">
        <f>IF($M208="","",$N208)</f>
        <v/>
      </c>
      <c r="P208">
        <f>IF($M208="","","چک پرداختی")</f>
        <v/>
      </c>
      <c r="R208">
        <f>IF($M208="","",IF(COUNTIF(AcctCodesA,Sync!$AI208)=0,"ذی‌نفع چک تعریف‌نشده",""))</f>
        <v/>
      </c>
      <c r="S208">
        <f>IF($R208="","",Sync!$AG208&amp;"|"&amp;"5"&amp;RIGHT("00000"&amp;203,5))</f>
        <v/>
      </c>
      <c r="T208">
        <f>IF($S208="",0,COUNTIFS($S$6:$S$505,"&lt;"&amp;$S208)-COUNTIFS($S$6:$S$505,"&lt;"&amp;$S208,$R$6:$R$505,"")+1)</f>
        <v/>
      </c>
      <c r="V208">
        <f>IF($K208="","",IF(ISNUMBER(Sync!$AK208),Sync!$AK208,LEFT(Sync!$AK208,4)&amp;MID(Sync!$AK208,6,2)&amp;RIGHT(Sync!$AK208,2))&amp;"|"&amp;"4"&amp;RIGHT("00000"&amp;203,5))</f>
        <v/>
      </c>
      <c r="W208">
        <f>IF($V208="",0,COUNTIFS($V$6:$V$2005,"&lt;"&amp;$V208)-COUNTIFS($V$6:$V$2005,"&lt;"&amp;$V208,$K$6:$K$2005,"")+1)</f>
        <v/>
      </c>
      <c r="X208">
        <f>IF(Sync!$AX208="","",IF(OR(N(Sync!$AY208)=0,N(Sync!$AZ208)=0),"",ROUND(N(Sync!$AY208)*N(Sync!$AZ208),0)))</f>
        <v/>
      </c>
      <c r="Y208">
        <f>IF($X208="","",IF(OR(Sync!$AX208="",COUNTIF(AcctCodesA,Sync!$AX208)=0),"متفرقه",Sync!$AX208))</f>
        <v/>
      </c>
      <c r="Z208">
        <f>IF($X208="","","سبد و ظروف")</f>
        <v/>
      </c>
      <c r="AA208">
        <f>IF($X208="","",$Y208)</f>
        <v/>
      </c>
    </row>
    <row r="209">
      <c r="A209">
        <f>IF(Sync!$Z209="","",LEFT(UPPER(TRIM(Sync!$Z209)),6))</f>
        <v/>
      </c>
      <c r="B209">
        <f>IF($A209="","",IF(Sync!$AA209="","",Sync!$AA209))</f>
        <v/>
      </c>
      <c r="C209">
        <f>IF($A209="","",IF(Sync!$AB209="","",Sync!$AB209))</f>
        <v/>
      </c>
      <c r="D209">
        <f>IF($A209="","",IF(Sync!$AC209="","",Sync!$AC209))</f>
        <v/>
      </c>
      <c r="E209">
        <f>IF($A209="","",IF(Sync!$AD209="","",Sync!$AD209))</f>
        <v/>
      </c>
      <c r="F209">
        <f>IF($A209="","",IF(Sync!$AE209="",0,Sync!$AE209))</f>
        <v/>
      </c>
      <c r="G209">
        <f>IF($A209="","",IF(Sync!$AF209="",0,Sync!$AF209))</f>
        <v/>
      </c>
      <c r="H209">
        <f>IF(OR($A209="",ROUND($F209+$G209,2)=0),"",$F209+$G209)</f>
        <v/>
      </c>
      <c r="I209">
        <f>IF($H209="","",IF(ROUND($F209,2)&gt;0,$A209,IF($D209="شخصی قاسم","شخصی قاسم",IF($D209="هزینه","هزینه: "&amp;IF($E209="","متفرقه",$E209),IF($C209="پاس چک","چک پرداختی",IF(OR($B209="",COUNTIF(AcctCodesA,$B209)=0),"متفرقه",$B209))))))</f>
        <v/>
      </c>
      <c r="J209">
        <f>IF($H209="","",IF(ROUND($F209,2)&gt;0,IF($D209="شخصی قاسم","شخصی قاسم",IF($D209="هزینه","هزینه: "&amp;IF($E209="","متفرقه",$E209),IF(OR($B209="",COUNTIF(AcctCodesA,$B209)=0),"متفرقه",$B209))),$A209))</f>
        <v/>
      </c>
      <c r="K209">
        <f>IF($A209="","",IF(AND($B209&lt;&gt;"",COUNTIF(AcctCodesA,$B209)=0),"کد طرف در INFO تعریف نشده",IF(AND($D209="هزینه",$E209=""),"هزینه بدون زیرگروه",IF(AND($C209="پاس چک",OR(Sync!$AJ209="",COUNTIF(IssueNosA,Sync!$AJ209)=0)),"شماره چک پاس‌شده معتبر نیست",""))))</f>
        <v/>
      </c>
      <c r="M209">
        <f>IF(Sync!$AH209="","",Sync!$AH209)</f>
        <v/>
      </c>
      <c r="N209">
        <f>IF($M209="","",IF(OR(Sync!$AI209="",COUNTIF(AcctCodesA,Sync!$AI209)=0),"متفرقه",Sync!$AI209))</f>
        <v/>
      </c>
      <c r="O209">
        <f>IF($M209="","",$N209)</f>
        <v/>
      </c>
      <c r="P209">
        <f>IF($M209="","","چک پرداختی")</f>
        <v/>
      </c>
      <c r="R209">
        <f>IF($M209="","",IF(COUNTIF(AcctCodesA,Sync!$AI209)=0,"ذی‌نفع چک تعریف‌نشده",""))</f>
        <v/>
      </c>
      <c r="S209">
        <f>IF($R209="","",Sync!$AG209&amp;"|"&amp;"5"&amp;RIGHT("00000"&amp;204,5))</f>
        <v/>
      </c>
      <c r="T209">
        <f>IF($S209="",0,COUNTIFS($S$6:$S$505,"&lt;"&amp;$S209)-COUNTIFS($S$6:$S$505,"&lt;"&amp;$S209,$R$6:$R$505,"")+1)</f>
        <v/>
      </c>
      <c r="V209">
        <f>IF($K209="","",IF(ISNUMBER(Sync!$AK209),Sync!$AK209,LEFT(Sync!$AK209,4)&amp;MID(Sync!$AK209,6,2)&amp;RIGHT(Sync!$AK209,2))&amp;"|"&amp;"4"&amp;RIGHT("00000"&amp;204,5))</f>
        <v/>
      </c>
      <c r="W209">
        <f>IF($V209="",0,COUNTIFS($V$6:$V$2005,"&lt;"&amp;$V209)-COUNTIFS($V$6:$V$2005,"&lt;"&amp;$V209,$K$6:$K$2005,"")+1)</f>
        <v/>
      </c>
      <c r="X209">
        <f>IF(Sync!$AX209="","",IF(OR(N(Sync!$AY209)=0,N(Sync!$AZ209)=0),"",ROUND(N(Sync!$AY209)*N(Sync!$AZ209),0)))</f>
        <v/>
      </c>
      <c r="Y209">
        <f>IF($X209="","",IF(OR(Sync!$AX209="",COUNTIF(AcctCodesA,Sync!$AX209)=0),"متفرقه",Sync!$AX209))</f>
        <v/>
      </c>
      <c r="Z209">
        <f>IF($X209="","","سبد و ظروف")</f>
        <v/>
      </c>
      <c r="AA209">
        <f>IF($X209="","",$Y209)</f>
        <v/>
      </c>
    </row>
    <row r="210">
      <c r="A210">
        <f>IF(Sync!$Z210="","",LEFT(UPPER(TRIM(Sync!$Z210)),6))</f>
        <v/>
      </c>
      <c r="B210">
        <f>IF($A210="","",IF(Sync!$AA210="","",Sync!$AA210))</f>
        <v/>
      </c>
      <c r="C210">
        <f>IF($A210="","",IF(Sync!$AB210="","",Sync!$AB210))</f>
        <v/>
      </c>
      <c r="D210">
        <f>IF($A210="","",IF(Sync!$AC210="","",Sync!$AC210))</f>
        <v/>
      </c>
      <c r="E210">
        <f>IF($A210="","",IF(Sync!$AD210="","",Sync!$AD210))</f>
        <v/>
      </c>
      <c r="F210">
        <f>IF($A210="","",IF(Sync!$AE210="",0,Sync!$AE210))</f>
        <v/>
      </c>
      <c r="G210">
        <f>IF($A210="","",IF(Sync!$AF210="",0,Sync!$AF210))</f>
        <v/>
      </c>
      <c r="H210">
        <f>IF(OR($A210="",ROUND($F210+$G210,2)=0),"",$F210+$G210)</f>
        <v/>
      </c>
      <c r="I210">
        <f>IF($H210="","",IF(ROUND($F210,2)&gt;0,$A210,IF($D210="شخصی قاسم","شخصی قاسم",IF($D210="هزینه","هزینه: "&amp;IF($E210="","متفرقه",$E210),IF($C210="پاس چک","چک پرداختی",IF(OR($B210="",COUNTIF(AcctCodesA,$B210)=0),"متفرقه",$B210))))))</f>
        <v/>
      </c>
      <c r="J210">
        <f>IF($H210="","",IF(ROUND($F210,2)&gt;0,IF($D210="شخصی قاسم","شخصی قاسم",IF($D210="هزینه","هزینه: "&amp;IF($E210="","متفرقه",$E210),IF(OR($B210="",COUNTIF(AcctCodesA,$B210)=0),"متفرقه",$B210))),$A210))</f>
        <v/>
      </c>
      <c r="K210">
        <f>IF($A210="","",IF(AND($B210&lt;&gt;"",COUNTIF(AcctCodesA,$B210)=0),"کد طرف در INFO تعریف نشده",IF(AND($D210="هزینه",$E210=""),"هزینه بدون زیرگروه",IF(AND($C210="پاس چک",OR(Sync!$AJ210="",COUNTIF(IssueNosA,Sync!$AJ210)=0)),"شماره چک پاس‌شده معتبر نیست",""))))</f>
        <v/>
      </c>
      <c r="M210">
        <f>IF(Sync!$AH210="","",Sync!$AH210)</f>
        <v/>
      </c>
      <c r="N210">
        <f>IF($M210="","",IF(OR(Sync!$AI210="",COUNTIF(AcctCodesA,Sync!$AI210)=0),"متفرقه",Sync!$AI210))</f>
        <v/>
      </c>
      <c r="O210">
        <f>IF($M210="","",$N210)</f>
        <v/>
      </c>
      <c r="P210">
        <f>IF($M210="","","چک پرداختی")</f>
        <v/>
      </c>
      <c r="R210">
        <f>IF($M210="","",IF(COUNTIF(AcctCodesA,Sync!$AI210)=0,"ذی‌نفع چک تعریف‌نشده",""))</f>
        <v/>
      </c>
      <c r="S210">
        <f>IF($R210="","",Sync!$AG210&amp;"|"&amp;"5"&amp;RIGHT("00000"&amp;205,5))</f>
        <v/>
      </c>
      <c r="T210">
        <f>IF($S210="",0,COUNTIFS($S$6:$S$505,"&lt;"&amp;$S210)-COUNTIFS($S$6:$S$505,"&lt;"&amp;$S210,$R$6:$R$505,"")+1)</f>
        <v/>
      </c>
      <c r="V210">
        <f>IF($K210="","",IF(ISNUMBER(Sync!$AK210),Sync!$AK210,LEFT(Sync!$AK210,4)&amp;MID(Sync!$AK210,6,2)&amp;RIGHT(Sync!$AK210,2))&amp;"|"&amp;"4"&amp;RIGHT("00000"&amp;205,5))</f>
        <v/>
      </c>
      <c r="W210">
        <f>IF($V210="",0,COUNTIFS($V$6:$V$2005,"&lt;"&amp;$V210)-COUNTIFS($V$6:$V$2005,"&lt;"&amp;$V210,$K$6:$K$2005,"")+1)</f>
        <v/>
      </c>
      <c r="X210">
        <f>IF(Sync!$AX210="","",IF(OR(N(Sync!$AY210)=0,N(Sync!$AZ210)=0),"",ROUND(N(Sync!$AY210)*N(Sync!$AZ210),0)))</f>
        <v/>
      </c>
      <c r="Y210">
        <f>IF($X210="","",IF(OR(Sync!$AX210="",COUNTIF(AcctCodesA,Sync!$AX210)=0),"متفرقه",Sync!$AX210))</f>
        <v/>
      </c>
      <c r="Z210">
        <f>IF($X210="","","سبد و ظروف")</f>
        <v/>
      </c>
      <c r="AA210">
        <f>IF($X210="","",$Y210)</f>
        <v/>
      </c>
    </row>
    <row r="211">
      <c r="A211">
        <f>IF(Sync!$Z211="","",LEFT(UPPER(TRIM(Sync!$Z211)),6))</f>
        <v/>
      </c>
      <c r="B211">
        <f>IF($A211="","",IF(Sync!$AA211="","",Sync!$AA211))</f>
        <v/>
      </c>
      <c r="C211">
        <f>IF($A211="","",IF(Sync!$AB211="","",Sync!$AB211))</f>
        <v/>
      </c>
      <c r="D211">
        <f>IF($A211="","",IF(Sync!$AC211="","",Sync!$AC211))</f>
        <v/>
      </c>
      <c r="E211">
        <f>IF($A211="","",IF(Sync!$AD211="","",Sync!$AD211))</f>
        <v/>
      </c>
      <c r="F211">
        <f>IF($A211="","",IF(Sync!$AE211="",0,Sync!$AE211))</f>
        <v/>
      </c>
      <c r="G211">
        <f>IF($A211="","",IF(Sync!$AF211="",0,Sync!$AF211))</f>
        <v/>
      </c>
      <c r="H211">
        <f>IF(OR($A211="",ROUND($F211+$G211,2)=0),"",$F211+$G211)</f>
        <v/>
      </c>
      <c r="I211">
        <f>IF($H211="","",IF(ROUND($F211,2)&gt;0,$A211,IF($D211="شخصی قاسم","شخصی قاسم",IF($D211="هزینه","هزینه: "&amp;IF($E211="","متفرقه",$E211),IF($C211="پاس چک","چک پرداختی",IF(OR($B211="",COUNTIF(AcctCodesA,$B211)=0),"متفرقه",$B211))))))</f>
        <v/>
      </c>
      <c r="J211">
        <f>IF($H211="","",IF(ROUND($F211,2)&gt;0,IF($D211="شخصی قاسم","شخصی قاسم",IF($D211="هزینه","هزینه: "&amp;IF($E211="","متفرقه",$E211),IF(OR($B211="",COUNTIF(AcctCodesA,$B211)=0),"متفرقه",$B211))),$A211))</f>
        <v/>
      </c>
      <c r="K211">
        <f>IF($A211="","",IF(AND($B211&lt;&gt;"",COUNTIF(AcctCodesA,$B211)=0),"کد طرف در INFO تعریف نشده",IF(AND($D211="هزینه",$E211=""),"هزینه بدون زیرگروه",IF(AND($C211="پاس چک",OR(Sync!$AJ211="",COUNTIF(IssueNosA,Sync!$AJ211)=0)),"شماره چک پاس‌شده معتبر نیست",""))))</f>
        <v/>
      </c>
      <c r="M211">
        <f>IF(Sync!$AH211="","",Sync!$AH211)</f>
        <v/>
      </c>
      <c r="N211">
        <f>IF($M211="","",IF(OR(Sync!$AI211="",COUNTIF(AcctCodesA,Sync!$AI211)=0),"متفرقه",Sync!$AI211))</f>
        <v/>
      </c>
      <c r="O211">
        <f>IF($M211="","",$N211)</f>
        <v/>
      </c>
      <c r="P211">
        <f>IF($M211="","","چک پرداختی")</f>
        <v/>
      </c>
      <c r="R211">
        <f>IF($M211="","",IF(COUNTIF(AcctCodesA,Sync!$AI211)=0,"ذی‌نفع چک تعریف‌نشده",""))</f>
        <v/>
      </c>
      <c r="S211">
        <f>IF($R211="","",Sync!$AG211&amp;"|"&amp;"5"&amp;RIGHT("00000"&amp;206,5))</f>
        <v/>
      </c>
      <c r="T211">
        <f>IF($S211="",0,COUNTIFS($S$6:$S$505,"&lt;"&amp;$S211)-COUNTIFS($S$6:$S$505,"&lt;"&amp;$S211,$R$6:$R$505,"")+1)</f>
        <v/>
      </c>
      <c r="V211">
        <f>IF($K211="","",IF(ISNUMBER(Sync!$AK211),Sync!$AK211,LEFT(Sync!$AK211,4)&amp;MID(Sync!$AK211,6,2)&amp;RIGHT(Sync!$AK211,2))&amp;"|"&amp;"4"&amp;RIGHT("00000"&amp;206,5))</f>
        <v/>
      </c>
      <c r="W211">
        <f>IF($V211="",0,COUNTIFS($V$6:$V$2005,"&lt;"&amp;$V211)-COUNTIFS($V$6:$V$2005,"&lt;"&amp;$V211,$K$6:$K$2005,"")+1)</f>
        <v/>
      </c>
      <c r="X211">
        <f>IF(Sync!$AX211="","",IF(OR(N(Sync!$AY211)=0,N(Sync!$AZ211)=0),"",ROUND(N(Sync!$AY211)*N(Sync!$AZ211),0)))</f>
        <v/>
      </c>
      <c r="Y211">
        <f>IF($X211="","",IF(OR(Sync!$AX211="",COUNTIF(AcctCodesA,Sync!$AX211)=0),"متفرقه",Sync!$AX211))</f>
        <v/>
      </c>
      <c r="Z211">
        <f>IF($X211="","","سبد و ظروف")</f>
        <v/>
      </c>
      <c r="AA211">
        <f>IF($X211="","",$Y211)</f>
        <v/>
      </c>
    </row>
    <row r="212">
      <c r="A212">
        <f>IF(Sync!$Z212="","",LEFT(UPPER(TRIM(Sync!$Z212)),6))</f>
        <v/>
      </c>
      <c r="B212">
        <f>IF($A212="","",IF(Sync!$AA212="","",Sync!$AA212))</f>
        <v/>
      </c>
      <c r="C212">
        <f>IF($A212="","",IF(Sync!$AB212="","",Sync!$AB212))</f>
        <v/>
      </c>
      <c r="D212">
        <f>IF($A212="","",IF(Sync!$AC212="","",Sync!$AC212))</f>
        <v/>
      </c>
      <c r="E212">
        <f>IF($A212="","",IF(Sync!$AD212="","",Sync!$AD212))</f>
        <v/>
      </c>
      <c r="F212">
        <f>IF($A212="","",IF(Sync!$AE212="",0,Sync!$AE212))</f>
        <v/>
      </c>
      <c r="G212">
        <f>IF($A212="","",IF(Sync!$AF212="",0,Sync!$AF212))</f>
        <v/>
      </c>
      <c r="H212">
        <f>IF(OR($A212="",ROUND($F212+$G212,2)=0),"",$F212+$G212)</f>
        <v/>
      </c>
      <c r="I212">
        <f>IF($H212="","",IF(ROUND($F212,2)&gt;0,$A212,IF($D212="شخصی قاسم","شخصی قاسم",IF($D212="هزینه","هزینه: "&amp;IF($E212="","متفرقه",$E212),IF($C212="پاس چک","چک پرداختی",IF(OR($B212="",COUNTIF(AcctCodesA,$B212)=0),"متفرقه",$B212))))))</f>
        <v/>
      </c>
      <c r="J212">
        <f>IF($H212="","",IF(ROUND($F212,2)&gt;0,IF($D212="شخصی قاسم","شخصی قاسم",IF($D212="هزینه","هزینه: "&amp;IF($E212="","متفرقه",$E212),IF(OR($B212="",COUNTIF(AcctCodesA,$B212)=0),"متفرقه",$B212))),$A212))</f>
        <v/>
      </c>
      <c r="K212">
        <f>IF($A212="","",IF(AND($B212&lt;&gt;"",COUNTIF(AcctCodesA,$B212)=0),"کد طرف در INFO تعریف نشده",IF(AND($D212="هزینه",$E212=""),"هزینه بدون زیرگروه",IF(AND($C212="پاس چک",OR(Sync!$AJ212="",COUNTIF(IssueNosA,Sync!$AJ212)=0)),"شماره چک پاس‌شده معتبر نیست",""))))</f>
        <v/>
      </c>
      <c r="M212">
        <f>IF(Sync!$AH212="","",Sync!$AH212)</f>
        <v/>
      </c>
      <c r="N212">
        <f>IF($M212="","",IF(OR(Sync!$AI212="",COUNTIF(AcctCodesA,Sync!$AI212)=0),"متفرقه",Sync!$AI212))</f>
        <v/>
      </c>
      <c r="O212">
        <f>IF($M212="","",$N212)</f>
        <v/>
      </c>
      <c r="P212">
        <f>IF($M212="","","چک پرداختی")</f>
        <v/>
      </c>
      <c r="R212">
        <f>IF($M212="","",IF(COUNTIF(AcctCodesA,Sync!$AI212)=0,"ذی‌نفع چک تعریف‌نشده",""))</f>
        <v/>
      </c>
      <c r="S212">
        <f>IF($R212="","",Sync!$AG212&amp;"|"&amp;"5"&amp;RIGHT("00000"&amp;207,5))</f>
        <v/>
      </c>
      <c r="T212">
        <f>IF($S212="",0,COUNTIFS($S$6:$S$505,"&lt;"&amp;$S212)-COUNTIFS($S$6:$S$505,"&lt;"&amp;$S212,$R$6:$R$505,"")+1)</f>
        <v/>
      </c>
      <c r="V212">
        <f>IF($K212="","",IF(ISNUMBER(Sync!$AK212),Sync!$AK212,LEFT(Sync!$AK212,4)&amp;MID(Sync!$AK212,6,2)&amp;RIGHT(Sync!$AK212,2))&amp;"|"&amp;"4"&amp;RIGHT("00000"&amp;207,5))</f>
        <v/>
      </c>
      <c r="W212">
        <f>IF($V212="",0,COUNTIFS($V$6:$V$2005,"&lt;"&amp;$V212)-COUNTIFS($V$6:$V$2005,"&lt;"&amp;$V212,$K$6:$K$2005,"")+1)</f>
        <v/>
      </c>
      <c r="X212">
        <f>IF(Sync!$AX212="","",IF(OR(N(Sync!$AY212)=0,N(Sync!$AZ212)=0),"",ROUND(N(Sync!$AY212)*N(Sync!$AZ212),0)))</f>
        <v/>
      </c>
      <c r="Y212">
        <f>IF($X212="","",IF(OR(Sync!$AX212="",COUNTIF(AcctCodesA,Sync!$AX212)=0),"متفرقه",Sync!$AX212))</f>
        <v/>
      </c>
      <c r="Z212">
        <f>IF($X212="","","سبد و ظروف")</f>
        <v/>
      </c>
      <c r="AA212">
        <f>IF($X212="","",$Y212)</f>
        <v/>
      </c>
    </row>
    <row r="213">
      <c r="A213">
        <f>IF(Sync!$Z213="","",LEFT(UPPER(TRIM(Sync!$Z213)),6))</f>
        <v/>
      </c>
      <c r="B213">
        <f>IF($A213="","",IF(Sync!$AA213="","",Sync!$AA213))</f>
        <v/>
      </c>
      <c r="C213">
        <f>IF($A213="","",IF(Sync!$AB213="","",Sync!$AB213))</f>
        <v/>
      </c>
      <c r="D213">
        <f>IF($A213="","",IF(Sync!$AC213="","",Sync!$AC213))</f>
        <v/>
      </c>
      <c r="E213">
        <f>IF($A213="","",IF(Sync!$AD213="","",Sync!$AD213))</f>
        <v/>
      </c>
      <c r="F213">
        <f>IF($A213="","",IF(Sync!$AE213="",0,Sync!$AE213))</f>
        <v/>
      </c>
      <c r="G213">
        <f>IF($A213="","",IF(Sync!$AF213="",0,Sync!$AF213))</f>
        <v/>
      </c>
      <c r="H213">
        <f>IF(OR($A213="",ROUND($F213+$G213,2)=0),"",$F213+$G213)</f>
        <v/>
      </c>
      <c r="I213">
        <f>IF($H213="","",IF(ROUND($F213,2)&gt;0,$A213,IF($D213="شخصی قاسم","شخصی قاسم",IF($D213="هزینه","هزینه: "&amp;IF($E213="","متفرقه",$E213),IF($C213="پاس چک","چک پرداختی",IF(OR($B213="",COUNTIF(AcctCodesA,$B213)=0),"متفرقه",$B213))))))</f>
        <v/>
      </c>
      <c r="J213">
        <f>IF($H213="","",IF(ROUND($F213,2)&gt;0,IF($D213="شخصی قاسم","شخصی قاسم",IF($D213="هزینه","هزینه: "&amp;IF($E213="","متفرقه",$E213),IF(OR($B213="",COUNTIF(AcctCodesA,$B213)=0),"متفرقه",$B213))),$A213))</f>
        <v/>
      </c>
      <c r="K213">
        <f>IF($A213="","",IF(AND($B213&lt;&gt;"",COUNTIF(AcctCodesA,$B213)=0),"کد طرف در INFO تعریف نشده",IF(AND($D213="هزینه",$E213=""),"هزینه بدون زیرگروه",IF(AND($C213="پاس چک",OR(Sync!$AJ213="",COUNTIF(IssueNosA,Sync!$AJ213)=0)),"شماره چک پاس‌شده معتبر نیست",""))))</f>
        <v/>
      </c>
      <c r="M213">
        <f>IF(Sync!$AH213="","",Sync!$AH213)</f>
        <v/>
      </c>
      <c r="N213">
        <f>IF($M213="","",IF(OR(Sync!$AI213="",COUNTIF(AcctCodesA,Sync!$AI213)=0),"متفرقه",Sync!$AI213))</f>
        <v/>
      </c>
      <c r="O213">
        <f>IF($M213="","",$N213)</f>
        <v/>
      </c>
      <c r="P213">
        <f>IF($M213="","","چک پرداختی")</f>
        <v/>
      </c>
      <c r="R213">
        <f>IF($M213="","",IF(COUNTIF(AcctCodesA,Sync!$AI213)=0,"ذی‌نفع چک تعریف‌نشده",""))</f>
        <v/>
      </c>
      <c r="S213">
        <f>IF($R213="","",Sync!$AG213&amp;"|"&amp;"5"&amp;RIGHT("00000"&amp;208,5))</f>
        <v/>
      </c>
      <c r="T213">
        <f>IF($S213="",0,COUNTIFS($S$6:$S$505,"&lt;"&amp;$S213)-COUNTIFS($S$6:$S$505,"&lt;"&amp;$S213,$R$6:$R$505,"")+1)</f>
        <v/>
      </c>
      <c r="V213">
        <f>IF($K213="","",IF(ISNUMBER(Sync!$AK213),Sync!$AK213,LEFT(Sync!$AK213,4)&amp;MID(Sync!$AK213,6,2)&amp;RIGHT(Sync!$AK213,2))&amp;"|"&amp;"4"&amp;RIGHT("00000"&amp;208,5))</f>
        <v/>
      </c>
      <c r="W213">
        <f>IF($V213="",0,COUNTIFS($V$6:$V$2005,"&lt;"&amp;$V213)-COUNTIFS($V$6:$V$2005,"&lt;"&amp;$V213,$K$6:$K$2005,"")+1)</f>
        <v/>
      </c>
      <c r="X213">
        <f>IF(Sync!$AX213="","",IF(OR(N(Sync!$AY213)=0,N(Sync!$AZ213)=0),"",ROUND(N(Sync!$AY213)*N(Sync!$AZ213),0)))</f>
        <v/>
      </c>
      <c r="Y213">
        <f>IF($X213="","",IF(OR(Sync!$AX213="",COUNTIF(AcctCodesA,Sync!$AX213)=0),"متفرقه",Sync!$AX213))</f>
        <v/>
      </c>
      <c r="Z213">
        <f>IF($X213="","","سبد و ظروف")</f>
        <v/>
      </c>
      <c r="AA213">
        <f>IF($X213="","",$Y213)</f>
        <v/>
      </c>
    </row>
    <row r="214">
      <c r="A214">
        <f>IF(Sync!$Z214="","",LEFT(UPPER(TRIM(Sync!$Z214)),6))</f>
        <v/>
      </c>
      <c r="B214">
        <f>IF($A214="","",IF(Sync!$AA214="","",Sync!$AA214))</f>
        <v/>
      </c>
      <c r="C214">
        <f>IF($A214="","",IF(Sync!$AB214="","",Sync!$AB214))</f>
        <v/>
      </c>
      <c r="D214">
        <f>IF($A214="","",IF(Sync!$AC214="","",Sync!$AC214))</f>
        <v/>
      </c>
      <c r="E214">
        <f>IF($A214="","",IF(Sync!$AD214="","",Sync!$AD214))</f>
        <v/>
      </c>
      <c r="F214">
        <f>IF($A214="","",IF(Sync!$AE214="",0,Sync!$AE214))</f>
        <v/>
      </c>
      <c r="G214">
        <f>IF($A214="","",IF(Sync!$AF214="",0,Sync!$AF214))</f>
        <v/>
      </c>
      <c r="H214">
        <f>IF(OR($A214="",ROUND($F214+$G214,2)=0),"",$F214+$G214)</f>
        <v/>
      </c>
      <c r="I214">
        <f>IF($H214="","",IF(ROUND($F214,2)&gt;0,$A214,IF($D214="شخصی قاسم","شخصی قاسم",IF($D214="هزینه","هزینه: "&amp;IF($E214="","متفرقه",$E214),IF($C214="پاس چک","چک پرداختی",IF(OR($B214="",COUNTIF(AcctCodesA,$B214)=0),"متفرقه",$B214))))))</f>
        <v/>
      </c>
      <c r="J214">
        <f>IF($H214="","",IF(ROUND($F214,2)&gt;0,IF($D214="شخصی قاسم","شخصی قاسم",IF($D214="هزینه","هزینه: "&amp;IF($E214="","متفرقه",$E214),IF(OR($B214="",COUNTIF(AcctCodesA,$B214)=0),"متفرقه",$B214))),$A214))</f>
        <v/>
      </c>
      <c r="K214">
        <f>IF($A214="","",IF(AND($B214&lt;&gt;"",COUNTIF(AcctCodesA,$B214)=0),"کد طرف در INFO تعریف نشده",IF(AND($D214="هزینه",$E214=""),"هزینه بدون زیرگروه",IF(AND($C214="پاس چک",OR(Sync!$AJ214="",COUNTIF(IssueNosA,Sync!$AJ214)=0)),"شماره چک پاس‌شده معتبر نیست",""))))</f>
        <v/>
      </c>
      <c r="M214">
        <f>IF(Sync!$AH214="","",Sync!$AH214)</f>
        <v/>
      </c>
      <c r="N214">
        <f>IF($M214="","",IF(OR(Sync!$AI214="",COUNTIF(AcctCodesA,Sync!$AI214)=0),"متفرقه",Sync!$AI214))</f>
        <v/>
      </c>
      <c r="O214">
        <f>IF($M214="","",$N214)</f>
        <v/>
      </c>
      <c r="P214">
        <f>IF($M214="","","چک پرداختی")</f>
        <v/>
      </c>
      <c r="R214">
        <f>IF($M214="","",IF(COUNTIF(AcctCodesA,Sync!$AI214)=0,"ذی‌نفع چک تعریف‌نشده",""))</f>
        <v/>
      </c>
      <c r="S214">
        <f>IF($R214="","",Sync!$AG214&amp;"|"&amp;"5"&amp;RIGHT("00000"&amp;209,5))</f>
        <v/>
      </c>
      <c r="T214">
        <f>IF($S214="",0,COUNTIFS($S$6:$S$505,"&lt;"&amp;$S214)-COUNTIFS($S$6:$S$505,"&lt;"&amp;$S214,$R$6:$R$505,"")+1)</f>
        <v/>
      </c>
      <c r="V214">
        <f>IF($K214="","",IF(ISNUMBER(Sync!$AK214),Sync!$AK214,LEFT(Sync!$AK214,4)&amp;MID(Sync!$AK214,6,2)&amp;RIGHT(Sync!$AK214,2))&amp;"|"&amp;"4"&amp;RIGHT("00000"&amp;209,5))</f>
        <v/>
      </c>
      <c r="W214">
        <f>IF($V214="",0,COUNTIFS($V$6:$V$2005,"&lt;"&amp;$V214)-COUNTIFS($V$6:$V$2005,"&lt;"&amp;$V214,$K$6:$K$2005,"")+1)</f>
        <v/>
      </c>
      <c r="X214">
        <f>IF(Sync!$AX214="","",IF(OR(N(Sync!$AY214)=0,N(Sync!$AZ214)=0),"",ROUND(N(Sync!$AY214)*N(Sync!$AZ214),0)))</f>
        <v/>
      </c>
      <c r="Y214">
        <f>IF($X214="","",IF(OR(Sync!$AX214="",COUNTIF(AcctCodesA,Sync!$AX214)=0),"متفرقه",Sync!$AX214))</f>
        <v/>
      </c>
      <c r="Z214">
        <f>IF($X214="","","سبد و ظروف")</f>
        <v/>
      </c>
      <c r="AA214">
        <f>IF($X214="","",$Y214)</f>
        <v/>
      </c>
    </row>
    <row r="215">
      <c r="A215">
        <f>IF(Sync!$Z215="","",LEFT(UPPER(TRIM(Sync!$Z215)),6))</f>
        <v/>
      </c>
      <c r="B215">
        <f>IF($A215="","",IF(Sync!$AA215="","",Sync!$AA215))</f>
        <v/>
      </c>
      <c r="C215">
        <f>IF($A215="","",IF(Sync!$AB215="","",Sync!$AB215))</f>
        <v/>
      </c>
      <c r="D215">
        <f>IF($A215="","",IF(Sync!$AC215="","",Sync!$AC215))</f>
        <v/>
      </c>
      <c r="E215">
        <f>IF($A215="","",IF(Sync!$AD215="","",Sync!$AD215))</f>
        <v/>
      </c>
      <c r="F215">
        <f>IF($A215="","",IF(Sync!$AE215="",0,Sync!$AE215))</f>
        <v/>
      </c>
      <c r="G215">
        <f>IF($A215="","",IF(Sync!$AF215="",0,Sync!$AF215))</f>
        <v/>
      </c>
      <c r="H215">
        <f>IF(OR($A215="",ROUND($F215+$G215,2)=0),"",$F215+$G215)</f>
        <v/>
      </c>
      <c r="I215">
        <f>IF($H215="","",IF(ROUND($F215,2)&gt;0,$A215,IF($D215="شخصی قاسم","شخصی قاسم",IF($D215="هزینه","هزینه: "&amp;IF($E215="","متفرقه",$E215),IF($C215="پاس چک","چک پرداختی",IF(OR($B215="",COUNTIF(AcctCodesA,$B215)=0),"متفرقه",$B215))))))</f>
        <v/>
      </c>
      <c r="J215">
        <f>IF($H215="","",IF(ROUND($F215,2)&gt;0,IF($D215="شخصی قاسم","شخصی قاسم",IF($D215="هزینه","هزینه: "&amp;IF($E215="","متفرقه",$E215),IF(OR($B215="",COUNTIF(AcctCodesA,$B215)=0),"متفرقه",$B215))),$A215))</f>
        <v/>
      </c>
      <c r="K215">
        <f>IF($A215="","",IF(AND($B215&lt;&gt;"",COUNTIF(AcctCodesA,$B215)=0),"کد طرف در INFO تعریف نشده",IF(AND($D215="هزینه",$E215=""),"هزینه بدون زیرگروه",IF(AND($C215="پاس چک",OR(Sync!$AJ215="",COUNTIF(IssueNosA,Sync!$AJ215)=0)),"شماره چک پاس‌شده معتبر نیست",""))))</f>
        <v/>
      </c>
      <c r="M215">
        <f>IF(Sync!$AH215="","",Sync!$AH215)</f>
        <v/>
      </c>
      <c r="N215">
        <f>IF($M215="","",IF(OR(Sync!$AI215="",COUNTIF(AcctCodesA,Sync!$AI215)=0),"متفرقه",Sync!$AI215))</f>
        <v/>
      </c>
      <c r="O215">
        <f>IF($M215="","",$N215)</f>
        <v/>
      </c>
      <c r="P215">
        <f>IF($M215="","","چک پرداختی")</f>
        <v/>
      </c>
      <c r="R215">
        <f>IF($M215="","",IF(COUNTIF(AcctCodesA,Sync!$AI215)=0,"ذی‌نفع چک تعریف‌نشده",""))</f>
        <v/>
      </c>
      <c r="S215">
        <f>IF($R215="","",Sync!$AG215&amp;"|"&amp;"5"&amp;RIGHT("00000"&amp;210,5))</f>
        <v/>
      </c>
      <c r="T215">
        <f>IF($S215="",0,COUNTIFS($S$6:$S$505,"&lt;"&amp;$S215)-COUNTIFS($S$6:$S$505,"&lt;"&amp;$S215,$R$6:$R$505,"")+1)</f>
        <v/>
      </c>
      <c r="V215">
        <f>IF($K215="","",IF(ISNUMBER(Sync!$AK215),Sync!$AK215,LEFT(Sync!$AK215,4)&amp;MID(Sync!$AK215,6,2)&amp;RIGHT(Sync!$AK215,2))&amp;"|"&amp;"4"&amp;RIGHT("00000"&amp;210,5))</f>
        <v/>
      </c>
      <c r="W215">
        <f>IF($V215="",0,COUNTIFS($V$6:$V$2005,"&lt;"&amp;$V215)-COUNTIFS($V$6:$V$2005,"&lt;"&amp;$V215,$K$6:$K$2005,"")+1)</f>
        <v/>
      </c>
      <c r="X215">
        <f>IF(Sync!$AX215="","",IF(OR(N(Sync!$AY215)=0,N(Sync!$AZ215)=0),"",ROUND(N(Sync!$AY215)*N(Sync!$AZ215),0)))</f>
        <v/>
      </c>
      <c r="Y215">
        <f>IF($X215="","",IF(OR(Sync!$AX215="",COUNTIF(AcctCodesA,Sync!$AX215)=0),"متفرقه",Sync!$AX215))</f>
        <v/>
      </c>
      <c r="Z215">
        <f>IF($X215="","","سبد و ظروف")</f>
        <v/>
      </c>
      <c r="AA215">
        <f>IF($X215="","",$Y215)</f>
        <v/>
      </c>
    </row>
    <row r="216">
      <c r="A216">
        <f>IF(Sync!$Z216="","",LEFT(UPPER(TRIM(Sync!$Z216)),6))</f>
        <v/>
      </c>
      <c r="B216">
        <f>IF($A216="","",IF(Sync!$AA216="","",Sync!$AA216))</f>
        <v/>
      </c>
      <c r="C216">
        <f>IF($A216="","",IF(Sync!$AB216="","",Sync!$AB216))</f>
        <v/>
      </c>
      <c r="D216">
        <f>IF($A216="","",IF(Sync!$AC216="","",Sync!$AC216))</f>
        <v/>
      </c>
      <c r="E216">
        <f>IF($A216="","",IF(Sync!$AD216="","",Sync!$AD216))</f>
        <v/>
      </c>
      <c r="F216">
        <f>IF($A216="","",IF(Sync!$AE216="",0,Sync!$AE216))</f>
        <v/>
      </c>
      <c r="G216">
        <f>IF($A216="","",IF(Sync!$AF216="",0,Sync!$AF216))</f>
        <v/>
      </c>
      <c r="H216">
        <f>IF(OR($A216="",ROUND($F216+$G216,2)=0),"",$F216+$G216)</f>
        <v/>
      </c>
      <c r="I216">
        <f>IF($H216="","",IF(ROUND($F216,2)&gt;0,$A216,IF($D216="شخصی قاسم","شخصی قاسم",IF($D216="هزینه","هزینه: "&amp;IF($E216="","متفرقه",$E216),IF($C216="پاس چک","چک پرداختی",IF(OR($B216="",COUNTIF(AcctCodesA,$B216)=0),"متفرقه",$B216))))))</f>
        <v/>
      </c>
      <c r="J216">
        <f>IF($H216="","",IF(ROUND($F216,2)&gt;0,IF($D216="شخصی قاسم","شخصی قاسم",IF($D216="هزینه","هزینه: "&amp;IF($E216="","متفرقه",$E216),IF(OR($B216="",COUNTIF(AcctCodesA,$B216)=0),"متفرقه",$B216))),$A216))</f>
        <v/>
      </c>
      <c r="K216">
        <f>IF($A216="","",IF(AND($B216&lt;&gt;"",COUNTIF(AcctCodesA,$B216)=0),"کد طرف در INFO تعریف نشده",IF(AND($D216="هزینه",$E216=""),"هزینه بدون زیرگروه",IF(AND($C216="پاس چک",OR(Sync!$AJ216="",COUNTIF(IssueNosA,Sync!$AJ216)=0)),"شماره چک پاس‌شده معتبر نیست",""))))</f>
        <v/>
      </c>
      <c r="M216">
        <f>IF(Sync!$AH216="","",Sync!$AH216)</f>
        <v/>
      </c>
      <c r="N216">
        <f>IF($M216="","",IF(OR(Sync!$AI216="",COUNTIF(AcctCodesA,Sync!$AI216)=0),"متفرقه",Sync!$AI216))</f>
        <v/>
      </c>
      <c r="O216">
        <f>IF($M216="","",$N216)</f>
        <v/>
      </c>
      <c r="P216">
        <f>IF($M216="","","چک پرداختی")</f>
        <v/>
      </c>
      <c r="R216">
        <f>IF($M216="","",IF(COUNTIF(AcctCodesA,Sync!$AI216)=0,"ذی‌نفع چک تعریف‌نشده",""))</f>
        <v/>
      </c>
      <c r="S216">
        <f>IF($R216="","",Sync!$AG216&amp;"|"&amp;"5"&amp;RIGHT("00000"&amp;211,5))</f>
        <v/>
      </c>
      <c r="T216">
        <f>IF($S216="",0,COUNTIFS($S$6:$S$505,"&lt;"&amp;$S216)-COUNTIFS($S$6:$S$505,"&lt;"&amp;$S216,$R$6:$R$505,"")+1)</f>
        <v/>
      </c>
      <c r="V216">
        <f>IF($K216="","",IF(ISNUMBER(Sync!$AK216),Sync!$AK216,LEFT(Sync!$AK216,4)&amp;MID(Sync!$AK216,6,2)&amp;RIGHT(Sync!$AK216,2))&amp;"|"&amp;"4"&amp;RIGHT("00000"&amp;211,5))</f>
        <v/>
      </c>
      <c r="W216">
        <f>IF($V216="",0,COUNTIFS($V$6:$V$2005,"&lt;"&amp;$V216)-COUNTIFS($V$6:$V$2005,"&lt;"&amp;$V216,$K$6:$K$2005,"")+1)</f>
        <v/>
      </c>
      <c r="X216">
        <f>IF(Sync!$AX216="","",IF(OR(N(Sync!$AY216)=0,N(Sync!$AZ216)=0),"",ROUND(N(Sync!$AY216)*N(Sync!$AZ216),0)))</f>
        <v/>
      </c>
      <c r="Y216">
        <f>IF($X216="","",IF(OR(Sync!$AX216="",COUNTIF(AcctCodesA,Sync!$AX216)=0),"متفرقه",Sync!$AX216))</f>
        <v/>
      </c>
      <c r="Z216">
        <f>IF($X216="","","سبد و ظروف")</f>
        <v/>
      </c>
      <c r="AA216">
        <f>IF($X216="","",$Y216)</f>
        <v/>
      </c>
    </row>
    <row r="217">
      <c r="A217">
        <f>IF(Sync!$Z217="","",LEFT(UPPER(TRIM(Sync!$Z217)),6))</f>
        <v/>
      </c>
      <c r="B217">
        <f>IF($A217="","",IF(Sync!$AA217="","",Sync!$AA217))</f>
        <v/>
      </c>
      <c r="C217">
        <f>IF($A217="","",IF(Sync!$AB217="","",Sync!$AB217))</f>
        <v/>
      </c>
      <c r="D217">
        <f>IF($A217="","",IF(Sync!$AC217="","",Sync!$AC217))</f>
        <v/>
      </c>
      <c r="E217">
        <f>IF($A217="","",IF(Sync!$AD217="","",Sync!$AD217))</f>
        <v/>
      </c>
      <c r="F217">
        <f>IF($A217="","",IF(Sync!$AE217="",0,Sync!$AE217))</f>
        <v/>
      </c>
      <c r="G217">
        <f>IF($A217="","",IF(Sync!$AF217="",0,Sync!$AF217))</f>
        <v/>
      </c>
      <c r="H217">
        <f>IF(OR($A217="",ROUND($F217+$G217,2)=0),"",$F217+$G217)</f>
        <v/>
      </c>
      <c r="I217">
        <f>IF($H217="","",IF(ROUND($F217,2)&gt;0,$A217,IF($D217="شخصی قاسم","شخصی قاسم",IF($D217="هزینه","هزینه: "&amp;IF($E217="","متفرقه",$E217),IF($C217="پاس چک","چک پرداختی",IF(OR($B217="",COUNTIF(AcctCodesA,$B217)=0),"متفرقه",$B217))))))</f>
        <v/>
      </c>
      <c r="J217">
        <f>IF($H217="","",IF(ROUND($F217,2)&gt;0,IF($D217="شخصی قاسم","شخصی قاسم",IF($D217="هزینه","هزینه: "&amp;IF($E217="","متفرقه",$E217),IF(OR($B217="",COUNTIF(AcctCodesA,$B217)=0),"متفرقه",$B217))),$A217))</f>
        <v/>
      </c>
      <c r="K217">
        <f>IF($A217="","",IF(AND($B217&lt;&gt;"",COUNTIF(AcctCodesA,$B217)=0),"کد طرف در INFO تعریف نشده",IF(AND($D217="هزینه",$E217=""),"هزینه بدون زیرگروه",IF(AND($C217="پاس چک",OR(Sync!$AJ217="",COUNTIF(IssueNosA,Sync!$AJ217)=0)),"شماره چک پاس‌شده معتبر نیست",""))))</f>
        <v/>
      </c>
      <c r="M217">
        <f>IF(Sync!$AH217="","",Sync!$AH217)</f>
        <v/>
      </c>
      <c r="N217">
        <f>IF($M217="","",IF(OR(Sync!$AI217="",COUNTIF(AcctCodesA,Sync!$AI217)=0),"متفرقه",Sync!$AI217))</f>
        <v/>
      </c>
      <c r="O217">
        <f>IF($M217="","",$N217)</f>
        <v/>
      </c>
      <c r="P217">
        <f>IF($M217="","","چک پرداختی")</f>
        <v/>
      </c>
      <c r="R217">
        <f>IF($M217="","",IF(COUNTIF(AcctCodesA,Sync!$AI217)=0,"ذی‌نفع چک تعریف‌نشده",""))</f>
        <v/>
      </c>
      <c r="S217">
        <f>IF($R217="","",Sync!$AG217&amp;"|"&amp;"5"&amp;RIGHT("00000"&amp;212,5))</f>
        <v/>
      </c>
      <c r="T217">
        <f>IF($S217="",0,COUNTIFS($S$6:$S$505,"&lt;"&amp;$S217)-COUNTIFS($S$6:$S$505,"&lt;"&amp;$S217,$R$6:$R$505,"")+1)</f>
        <v/>
      </c>
      <c r="V217">
        <f>IF($K217="","",IF(ISNUMBER(Sync!$AK217),Sync!$AK217,LEFT(Sync!$AK217,4)&amp;MID(Sync!$AK217,6,2)&amp;RIGHT(Sync!$AK217,2))&amp;"|"&amp;"4"&amp;RIGHT("00000"&amp;212,5))</f>
        <v/>
      </c>
      <c r="W217">
        <f>IF($V217="",0,COUNTIFS($V$6:$V$2005,"&lt;"&amp;$V217)-COUNTIFS($V$6:$V$2005,"&lt;"&amp;$V217,$K$6:$K$2005,"")+1)</f>
        <v/>
      </c>
      <c r="X217">
        <f>IF(Sync!$AX217="","",IF(OR(N(Sync!$AY217)=0,N(Sync!$AZ217)=0),"",ROUND(N(Sync!$AY217)*N(Sync!$AZ217),0)))</f>
        <v/>
      </c>
      <c r="Y217">
        <f>IF($X217="","",IF(OR(Sync!$AX217="",COUNTIF(AcctCodesA,Sync!$AX217)=0),"متفرقه",Sync!$AX217))</f>
        <v/>
      </c>
      <c r="Z217">
        <f>IF($X217="","","سبد و ظروف")</f>
        <v/>
      </c>
      <c r="AA217">
        <f>IF($X217="","",$Y217)</f>
        <v/>
      </c>
    </row>
    <row r="218">
      <c r="A218">
        <f>IF(Sync!$Z218="","",LEFT(UPPER(TRIM(Sync!$Z218)),6))</f>
        <v/>
      </c>
      <c r="B218">
        <f>IF($A218="","",IF(Sync!$AA218="","",Sync!$AA218))</f>
        <v/>
      </c>
      <c r="C218">
        <f>IF($A218="","",IF(Sync!$AB218="","",Sync!$AB218))</f>
        <v/>
      </c>
      <c r="D218">
        <f>IF($A218="","",IF(Sync!$AC218="","",Sync!$AC218))</f>
        <v/>
      </c>
      <c r="E218">
        <f>IF($A218="","",IF(Sync!$AD218="","",Sync!$AD218))</f>
        <v/>
      </c>
      <c r="F218">
        <f>IF($A218="","",IF(Sync!$AE218="",0,Sync!$AE218))</f>
        <v/>
      </c>
      <c r="G218">
        <f>IF($A218="","",IF(Sync!$AF218="",0,Sync!$AF218))</f>
        <v/>
      </c>
      <c r="H218">
        <f>IF(OR($A218="",ROUND($F218+$G218,2)=0),"",$F218+$G218)</f>
        <v/>
      </c>
      <c r="I218">
        <f>IF($H218="","",IF(ROUND($F218,2)&gt;0,$A218,IF($D218="شخصی قاسم","شخصی قاسم",IF($D218="هزینه","هزینه: "&amp;IF($E218="","متفرقه",$E218),IF($C218="پاس چک","چک پرداختی",IF(OR($B218="",COUNTIF(AcctCodesA,$B218)=0),"متفرقه",$B218))))))</f>
        <v/>
      </c>
      <c r="J218">
        <f>IF($H218="","",IF(ROUND($F218,2)&gt;0,IF($D218="شخصی قاسم","شخصی قاسم",IF($D218="هزینه","هزینه: "&amp;IF($E218="","متفرقه",$E218),IF(OR($B218="",COUNTIF(AcctCodesA,$B218)=0),"متفرقه",$B218))),$A218))</f>
        <v/>
      </c>
      <c r="K218">
        <f>IF($A218="","",IF(AND($B218&lt;&gt;"",COUNTIF(AcctCodesA,$B218)=0),"کد طرف در INFO تعریف نشده",IF(AND($D218="هزینه",$E218=""),"هزینه بدون زیرگروه",IF(AND($C218="پاس چک",OR(Sync!$AJ218="",COUNTIF(IssueNosA,Sync!$AJ218)=0)),"شماره چک پاس‌شده معتبر نیست",""))))</f>
        <v/>
      </c>
      <c r="M218">
        <f>IF(Sync!$AH218="","",Sync!$AH218)</f>
        <v/>
      </c>
      <c r="N218">
        <f>IF($M218="","",IF(OR(Sync!$AI218="",COUNTIF(AcctCodesA,Sync!$AI218)=0),"متفرقه",Sync!$AI218))</f>
        <v/>
      </c>
      <c r="O218">
        <f>IF($M218="","",$N218)</f>
        <v/>
      </c>
      <c r="P218">
        <f>IF($M218="","","چک پرداختی")</f>
        <v/>
      </c>
      <c r="R218">
        <f>IF($M218="","",IF(COUNTIF(AcctCodesA,Sync!$AI218)=0,"ذی‌نفع چک تعریف‌نشده",""))</f>
        <v/>
      </c>
      <c r="S218">
        <f>IF($R218="","",Sync!$AG218&amp;"|"&amp;"5"&amp;RIGHT("00000"&amp;213,5))</f>
        <v/>
      </c>
      <c r="T218">
        <f>IF($S218="",0,COUNTIFS($S$6:$S$505,"&lt;"&amp;$S218)-COUNTIFS($S$6:$S$505,"&lt;"&amp;$S218,$R$6:$R$505,"")+1)</f>
        <v/>
      </c>
      <c r="V218">
        <f>IF($K218="","",IF(ISNUMBER(Sync!$AK218),Sync!$AK218,LEFT(Sync!$AK218,4)&amp;MID(Sync!$AK218,6,2)&amp;RIGHT(Sync!$AK218,2))&amp;"|"&amp;"4"&amp;RIGHT("00000"&amp;213,5))</f>
        <v/>
      </c>
      <c r="W218">
        <f>IF($V218="",0,COUNTIFS($V$6:$V$2005,"&lt;"&amp;$V218)-COUNTIFS($V$6:$V$2005,"&lt;"&amp;$V218,$K$6:$K$2005,"")+1)</f>
        <v/>
      </c>
      <c r="X218">
        <f>IF(Sync!$AX218="","",IF(OR(N(Sync!$AY218)=0,N(Sync!$AZ218)=0),"",ROUND(N(Sync!$AY218)*N(Sync!$AZ218),0)))</f>
        <v/>
      </c>
      <c r="Y218">
        <f>IF($X218="","",IF(OR(Sync!$AX218="",COUNTIF(AcctCodesA,Sync!$AX218)=0),"متفرقه",Sync!$AX218))</f>
        <v/>
      </c>
      <c r="Z218">
        <f>IF($X218="","","سبد و ظروف")</f>
        <v/>
      </c>
      <c r="AA218">
        <f>IF($X218="","",$Y218)</f>
        <v/>
      </c>
    </row>
    <row r="219">
      <c r="A219">
        <f>IF(Sync!$Z219="","",LEFT(UPPER(TRIM(Sync!$Z219)),6))</f>
        <v/>
      </c>
      <c r="B219">
        <f>IF($A219="","",IF(Sync!$AA219="","",Sync!$AA219))</f>
        <v/>
      </c>
      <c r="C219">
        <f>IF($A219="","",IF(Sync!$AB219="","",Sync!$AB219))</f>
        <v/>
      </c>
      <c r="D219">
        <f>IF($A219="","",IF(Sync!$AC219="","",Sync!$AC219))</f>
        <v/>
      </c>
      <c r="E219">
        <f>IF($A219="","",IF(Sync!$AD219="","",Sync!$AD219))</f>
        <v/>
      </c>
      <c r="F219">
        <f>IF($A219="","",IF(Sync!$AE219="",0,Sync!$AE219))</f>
        <v/>
      </c>
      <c r="G219">
        <f>IF($A219="","",IF(Sync!$AF219="",0,Sync!$AF219))</f>
        <v/>
      </c>
      <c r="H219">
        <f>IF(OR($A219="",ROUND($F219+$G219,2)=0),"",$F219+$G219)</f>
        <v/>
      </c>
      <c r="I219">
        <f>IF($H219="","",IF(ROUND($F219,2)&gt;0,$A219,IF($D219="شخصی قاسم","شخصی قاسم",IF($D219="هزینه","هزینه: "&amp;IF($E219="","متفرقه",$E219),IF($C219="پاس چک","چک پرداختی",IF(OR($B219="",COUNTIF(AcctCodesA,$B219)=0),"متفرقه",$B219))))))</f>
        <v/>
      </c>
      <c r="J219">
        <f>IF($H219="","",IF(ROUND($F219,2)&gt;0,IF($D219="شخصی قاسم","شخصی قاسم",IF($D219="هزینه","هزینه: "&amp;IF($E219="","متفرقه",$E219),IF(OR($B219="",COUNTIF(AcctCodesA,$B219)=0),"متفرقه",$B219))),$A219))</f>
        <v/>
      </c>
      <c r="K219">
        <f>IF($A219="","",IF(AND($B219&lt;&gt;"",COUNTIF(AcctCodesA,$B219)=0),"کد طرف در INFO تعریف نشده",IF(AND($D219="هزینه",$E219=""),"هزینه بدون زیرگروه",IF(AND($C219="پاس چک",OR(Sync!$AJ219="",COUNTIF(IssueNosA,Sync!$AJ219)=0)),"شماره چک پاس‌شده معتبر نیست",""))))</f>
        <v/>
      </c>
      <c r="M219">
        <f>IF(Sync!$AH219="","",Sync!$AH219)</f>
        <v/>
      </c>
      <c r="N219">
        <f>IF($M219="","",IF(OR(Sync!$AI219="",COUNTIF(AcctCodesA,Sync!$AI219)=0),"متفرقه",Sync!$AI219))</f>
        <v/>
      </c>
      <c r="O219">
        <f>IF($M219="","",$N219)</f>
        <v/>
      </c>
      <c r="P219">
        <f>IF($M219="","","چک پرداختی")</f>
        <v/>
      </c>
      <c r="R219">
        <f>IF($M219="","",IF(COUNTIF(AcctCodesA,Sync!$AI219)=0,"ذی‌نفع چک تعریف‌نشده",""))</f>
        <v/>
      </c>
      <c r="S219">
        <f>IF($R219="","",Sync!$AG219&amp;"|"&amp;"5"&amp;RIGHT("00000"&amp;214,5))</f>
        <v/>
      </c>
      <c r="T219">
        <f>IF($S219="",0,COUNTIFS($S$6:$S$505,"&lt;"&amp;$S219)-COUNTIFS($S$6:$S$505,"&lt;"&amp;$S219,$R$6:$R$505,"")+1)</f>
        <v/>
      </c>
      <c r="V219">
        <f>IF($K219="","",IF(ISNUMBER(Sync!$AK219),Sync!$AK219,LEFT(Sync!$AK219,4)&amp;MID(Sync!$AK219,6,2)&amp;RIGHT(Sync!$AK219,2))&amp;"|"&amp;"4"&amp;RIGHT("00000"&amp;214,5))</f>
        <v/>
      </c>
      <c r="W219">
        <f>IF($V219="",0,COUNTIFS($V$6:$V$2005,"&lt;"&amp;$V219)-COUNTIFS($V$6:$V$2005,"&lt;"&amp;$V219,$K$6:$K$2005,"")+1)</f>
        <v/>
      </c>
      <c r="X219">
        <f>IF(Sync!$AX219="","",IF(OR(N(Sync!$AY219)=0,N(Sync!$AZ219)=0),"",ROUND(N(Sync!$AY219)*N(Sync!$AZ219),0)))</f>
        <v/>
      </c>
      <c r="Y219">
        <f>IF($X219="","",IF(OR(Sync!$AX219="",COUNTIF(AcctCodesA,Sync!$AX219)=0),"متفرقه",Sync!$AX219))</f>
        <v/>
      </c>
      <c r="Z219">
        <f>IF($X219="","","سبد و ظروف")</f>
        <v/>
      </c>
      <c r="AA219">
        <f>IF($X219="","",$Y219)</f>
        <v/>
      </c>
    </row>
    <row r="220">
      <c r="A220">
        <f>IF(Sync!$Z220="","",LEFT(UPPER(TRIM(Sync!$Z220)),6))</f>
        <v/>
      </c>
      <c r="B220">
        <f>IF($A220="","",IF(Sync!$AA220="","",Sync!$AA220))</f>
        <v/>
      </c>
      <c r="C220">
        <f>IF($A220="","",IF(Sync!$AB220="","",Sync!$AB220))</f>
        <v/>
      </c>
      <c r="D220">
        <f>IF($A220="","",IF(Sync!$AC220="","",Sync!$AC220))</f>
        <v/>
      </c>
      <c r="E220">
        <f>IF($A220="","",IF(Sync!$AD220="","",Sync!$AD220))</f>
        <v/>
      </c>
      <c r="F220">
        <f>IF($A220="","",IF(Sync!$AE220="",0,Sync!$AE220))</f>
        <v/>
      </c>
      <c r="G220">
        <f>IF($A220="","",IF(Sync!$AF220="",0,Sync!$AF220))</f>
        <v/>
      </c>
      <c r="H220">
        <f>IF(OR($A220="",ROUND($F220+$G220,2)=0),"",$F220+$G220)</f>
        <v/>
      </c>
      <c r="I220">
        <f>IF($H220="","",IF(ROUND($F220,2)&gt;0,$A220,IF($D220="شخصی قاسم","شخصی قاسم",IF($D220="هزینه","هزینه: "&amp;IF($E220="","متفرقه",$E220),IF($C220="پاس چک","چک پرداختی",IF(OR($B220="",COUNTIF(AcctCodesA,$B220)=0),"متفرقه",$B220))))))</f>
        <v/>
      </c>
      <c r="J220">
        <f>IF($H220="","",IF(ROUND($F220,2)&gt;0,IF($D220="شخصی قاسم","شخصی قاسم",IF($D220="هزینه","هزینه: "&amp;IF($E220="","متفرقه",$E220),IF(OR($B220="",COUNTIF(AcctCodesA,$B220)=0),"متفرقه",$B220))),$A220))</f>
        <v/>
      </c>
      <c r="K220">
        <f>IF($A220="","",IF(AND($B220&lt;&gt;"",COUNTIF(AcctCodesA,$B220)=0),"کد طرف در INFO تعریف نشده",IF(AND($D220="هزینه",$E220=""),"هزینه بدون زیرگروه",IF(AND($C220="پاس چک",OR(Sync!$AJ220="",COUNTIF(IssueNosA,Sync!$AJ220)=0)),"شماره چک پاس‌شده معتبر نیست",""))))</f>
        <v/>
      </c>
      <c r="M220">
        <f>IF(Sync!$AH220="","",Sync!$AH220)</f>
        <v/>
      </c>
      <c r="N220">
        <f>IF($M220="","",IF(OR(Sync!$AI220="",COUNTIF(AcctCodesA,Sync!$AI220)=0),"متفرقه",Sync!$AI220))</f>
        <v/>
      </c>
      <c r="O220">
        <f>IF($M220="","",$N220)</f>
        <v/>
      </c>
      <c r="P220">
        <f>IF($M220="","","چک پرداختی")</f>
        <v/>
      </c>
      <c r="R220">
        <f>IF($M220="","",IF(COUNTIF(AcctCodesA,Sync!$AI220)=0,"ذی‌نفع چک تعریف‌نشده",""))</f>
        <v/>
      </c>
      <c r="S220">
        <f>IF($R220="","",Sync!$AG220&amp;"|"&amp;"5"&amp;RIGHT("00000"&amp;215,5))</f>
        <v/>
      </c>
      <c r="T220">
        <f>IF($S220="",0,COUNTIFS($S$6:$S$505,"&lt;"&amp;$S220)-COUNTIFS($S$6:$S$505,"&lt;"&amp;$S220,$R$6:$R$505,"")+1)</f>
        <v/>
      </c>
      <c r="V220">
        <f>IF($K220="","",IF(ISNUMBER(Sync!$AK220),Sync!$AK220,LEFT(Sync!$AK220,4)&amp;MID(Sync!$AK220,6,2)&amp;RIGHT(Sync!$AK220,2))&amp;"|"&amp;"4"&amp;RIGHT("00000"&amp;215,5))</f>
        <v/>
      </c>
      <c r="W220">
        <f>IF($V220="",0,COUNTIFS($V$6:$V$2005,"&lt;"&amp;$V220)-COUNTIFS($V$6:$V$2005,"&lt;"&amp;$V220,$K$6:$K$2005,"")+1)</f>
        <v/>
      </c>
      <c r="X220">
        <f>IF(Sync!$AX220="","",IF(OR(N(Sync!$AY220)=0,N(Sync!$AZ220)=0),"",ROUND(N(Sync!$AY220)*N(Sync!$AZ220),0)))</f>
        <v/>
      </c>
      <c r="Y220">
        <f>IF($X220="","",IF(OR(Sync!$AX220="",COUNTIF(AcctCodesA,Sync!$AX220)=0),"متفرقه",Sync!$AX220))</f>
        <v/>
      </c>
      <c r="Z220">
        <f>IF($X220="","","سبد و ظروف")</f>
        <v/>
      </c>
      <c r="AA220">
        <f>IF($X220="","",$Y220)</f>
        <v/>
      </c>
    </row>
    <row r="221">
      <c r="A221">
        <f>IF(Sync!$Z221="","",LEFT(UPPER(TRIM(Sync!$Z221)),6))</f>
        <v/>
      </c>
      <c r="B221">
        <f>IF($A221="","",IF(Sync!$AA221="","",Sync!$AA221))</f>
        <v/>
      </c>
      <c r="C221">
        <f>IF($A221="","",IF(Sync!$AB221="","",Sync!$AB221))</f>
        <v/>
      </c>
      <c r="D221">
        <f>IF($A221="","",IF(Sync!$AC221="","",Sync!$AC221))</f>
        <v/>
      </c>
      <c r="E221">
        <f>IF($A221="","",IF(Sync!$AD221="","",Sync!$AD221))</f>
        <v/>
      </c>
      <c r="F221">
        <f>IF($A221="","",IF(Sync!$AE221="",0,Sync!$AE221))</f>
        <v/>
      </c>
      <c r="G221">
        <f>IF($A221="","",IF(Sync!$AF221="",0,Sync!$AF221))</f>
        <v/>
      </c>
      <c r="H221">
        <f>IF(OR($A221="",ROUND($F221+$G221,2)=0),"",$F221+$G221)</f>
        <v/>
      </c>
      <c r="I221">
        <f>IF($H221="","",IF(ROUND($F221,2)&gt;0,$A221,IF($D221="شخصی قاسم","شخصی قاسم",IF($D221="هزینه","هزینه: "&amp;IF($E221="","متفرقه",$E221),IF($C221="پاس چک","چک پرداختی",IF(OR($B221="",COUNTIF(AcctCodesA,$B221)=0),"متفرقه",$B221))))))</f>
        <v/>
      </c>
      <c r="J221">
        <f>IF($H221="","",IF(ROUND($F221,2)&gt;0,IF($D221="شخصی قاسم","شخصی قاسم",IF($D221="هزینه","هزینه: "&amp;IF($E221="","متفرقه",$E221),IF(OR($B221="",COUNTIF(AcctCodesA,$B221)=0),"متفرقه",$B221))),$A221))</f>
        <v/>
      </c>
      <c r="K221">
        <f>IF($A221="","",IF(AND($B221&lt;&gt;"",COUNTIF(AcctCodesA,$B221)=0),"کد طرف در INFO تعریف نشده",IF(AND($D221="هزینه",$E221=""),"هزینه بدون زیرگروه",IF(AND($C221="پاس چک",OR(Sync!$AJ221="",COUNTIF(IssueNosA,Sync!$AJ221)=0)),"شماره چک پاس‌شده معتبر نیست",""))))</f>
        <v/>
      </c>
      <c r="M221">
        <f>IF(Sync!$AH221="","",Sync!$AH221)</f>
        <v/>
      </c>
      <c r="N221">
        <f>IF($M221="","",IF(OR(Sync!$AI221="",COUNTIF(AcctCodesA,Sync!$AI221)=0),"متفرقه",Sync!$AI221))</f>
        <v/>
      </c>
      <c r="O221">
        <f>IF($M221="","",$N221)</f>
        <v/>
      </c>
      <c r="P221">
        <f>IF($M221="","","چک پرداختی")</f>
        <v/>
      </c>
      <c r="R221">
        <f>IF($M221="","",IF(COUNTIF(AcctCodesA,Sync!$AI221)=0,"ذی‌نفع چک تعریف‌نشده",""))</f>
        <v/>
      </c>
      <c r="S221">
        <f>IF($R221="","",Sync!$AG221&amp;"|"&amp;"5"&amp;RIGHT("00000"&amp;216,5))</f>
        <v/>
      </c>
      <c r="T221">
        <f>IF($S221="",0,COUNTIFS($S$6:$S$505,"&lt;"&amp;$S221)-COUNTIFS($S$6:$S$505,"&lt;"&amp;$S221,$R$6:$R$505,"")+1)</f>
        <v/>
      </c>
      <c r="V221">
        <f>IF($K221="","",IF(ISNUMBER(Sync!$AK221),Sync!$AK221,LEFT(Sync!$AK221,4)&amp;MID(Sync!$AK221,6,2)&amp;RIGHT(Sync!$AK221,2))&amp;"|"&amp;"4"&amp;RIGHT("00000"&amp;216,5))</f>
        <v/>
      </c>
      <c r="W221">
        <f>IF($V221="",0,COUNTIFS($V$6:$V$2005,"&lt;"&amp;$V221)-COUNTIFS($V$6:$V$2005,"&lt;"&amp;$V221,$K$6:$K$2005,"")+1)</f>
        <v/>
      </c>
      <c r="X221">
        <f>IF(Sync!$AX221="","",IF(OR(N(Sync!$AY221)=0,N(Sync!$AZ221)=0),"",ROUND(N(Sync!$AY221)*N(Sync!$AZ221),0)))</f>
        <v/>
      </c>
      <c r="Y221">
        <f>IF($X221="","",IF(OR(Sync!$AX221="",COUNTIF(AcctCodesA,Sync!$AX221)=0),"متفرقه",Sync!$AX221))</f>
        <v/>
      </c>
      <c r="Z221">
        <f>IF($X221="","","سبد و ظروف")</f>
        <v/>
      </c>
      <c r="AA221">
        <f>IF($X221="","",$Y221)</f>
        <v/>
      </c>
    </row>
    <row r="222">
      <c r="A222">
        <f>IF(Sync!$Z222="","",LEFT(UPPER(TRIM(Sync!$Z222)),6))</f>
        <v/>
      </c>
      <c r="B222">
        <f>IF($A222="","",IF(Sync!$AA222="","",Sync!$AA222))</f>
        <v/>
      </c>
      <c r="C222">
        <f>IF($A222="","",IF(Sync!$AB222="","",Sync!$AB222))</f>
        <v/>
      </c>
      <c r="D222">
        <f>IF($A222="","",IF(Sync!$AC222="","",Sync!$AC222))</f>
        <v/>
      </c>
      <c r="E222">
        <f>IF($A222="","",IF(Sync!$AD222="","",Sync!$AD222))</f>
        <v/>
      </c>
      <c r="F222">
        <f>IF($A222="","",IF(Sync!$AE222="",0,Sync!$AE222))</f>
        <v/>
      </c>
      <c r="G222">
        <f>IF($A222="","",IF(Sync!$AF222="",0,Sync!$AF222))</f>
        <v/>
      </c>
      <c r="H222">
        <f>IF(OR($A222="",ROUND($F222+$G222,2)=0),"",$F222+$G222)</f>
        <v/>
      </c>
      <c r="I222">
        <f>IF($H222="","",IF(ROUND($F222,2)&gt;0,$A222,IF($D222="شخصی قاسم","شخصی قاسم",IF($D222="هزینه","هزینه: "&amp;IF($E222="","متفرقه",$E222),IF($C222="پاس چک","چک پرداختی",IF(OR($B222="",COUNTIF(AcctCodesA,$B222)=0),"متفرقه",$B222))))))</f>
        <v/>
      </c>
      <c r="J222">
        <f>IF($H222="","",IF(ROUND($F222,2)&gt;0,IF($D222="شخصی قاسم","شخصی قاسم",IF($D222="هزینه","هزینه: "&amp;IF($E222="","متفرقه",$E222),IF(OR($B222="",COUNTIF(AcctCodesA,$B222)=0),"متفرقه",$B222))),$A222))</f>
        <v/>
      </c>
      <c r="K222">
        <f>IF($A222="","",IF(AND($B222&lt;&gt;"",COUNTIF(AcctCodesA,$B222)=0),"کد طرف در INFO تعریف نشده",IF(AND($D222="هزینه",$E222=""),"هزینه بدون زیرگروه",IF(AND($C222="پاس چک",OR(Sync!$AJ222="",COUNTIF(IssueNosA,Sync!$AJ222)=0)),"شماره چک پاس‌شده معتبر نیست",""))))</f>
        <v/>
      </c>
      <c r="M222">
        <f>IF(Sync!$AH222="","",Sync!$AH222)</f>
        <v/>
      </c>
      <c r="N222">
        <f>IF($M222="","",IF(OR(Sync!$AI222="",COUNTIF(AcctCodesA,Sync!$AI222)=0),"متفرقه",Sync!$AI222))</f>
        <v/>
      </c>
      <c r="O222">
        <f>IF($M222="","",$N222)</f>
        <v/>
      </c>
      <c r="P222">
        <f>IF($M222="","","چک پرداختی")</f>
        <v/>
      </c>
      <c r="R222">
        <f>IF($M222="","",IF(COUNTIF(AcctCodesA,Sync!$AI222)=0,"ذی‌نفع چک تعریف‌نشده",""))</f>
        <v/>
      </c>
      <c r="S222">
        <f>IF($R222="","",Sync!$AG222&amp;"|"&amp;"5"&amp;RIGHT("00000"&amp;217,5))</f>
        <v/>
      </c>
      <c r="T222">
        <f>IF($S222="",0,COUNTIFS($S$6:$S$505,"&lt;"&amp;$S222)-COUNTIFS($S$6:$S$505,"&lt;"&amp;$S222,$R$6:$R$505,"")+1)</f>
        <v/>
      </c>
      <c r="V222">
        <f>IF($K222="","",IF(ISNUMBER(Sync!$AK222),Sync!$AK222,LEFT(Sync!$AK222,4)&amp;MID(Sync!$AK222,6,2)&amp;RIGHT(Sync!$AK222,2))&amp;"|"&amp;"4"&amp;RIGHT("00000"&amp;217,5))</f>
        <v/>
      </c>
      <c r="W222">
        <f>IF($V222="",0,COUNTIFS($V$6:$V$2005,"&lt;"&amp;$V222)-COUNTIFS($V$6:$V$2005,"&lt;"&amp;$V222,$K$6:$K$2005,"")+1)</f>
        <v/>
      </c>
      <c r="X222">
        <f>IF(Sync!$AX222="","",IF(OR(N(Sync!$AY222)=0,N(Sync!$AZ222)=0),"",ROUND(N(Sync!$AY222)*N(Sync!$AZ222),0)))</f>
        <v/>
      </c>
      <c r="Y222">
        <f>IF($X222="","",IF(OR(Sync!$AX222="",COUNTIF(AcctCodesA,Sync!$AX222)=0),"متفرقه",Sync!$AX222))</f>
        <v/>
      </c>
      <c r="Z222">
        <f>IF($X222="","","سبد و ظروف")</f>
        <v/>
      </c>
      <c r="AA222">
        <f>IF($X222="","",$Y222)</f>
        <v/>
      </c>
    </row>
    <row r="223">
      <c r="A223">
        <f>IF(Sync!$Z223="","",LEFT(UPPER(TRIM(Sync!$Z223)),6))</f>
        <v/>
      </c>
      <c r="B223">
        <f>IF($A223="","",IF(Sync!$AA223="","",Sync!$AA223))</f>
        <v/>
      </c>
      <c r="C223">
        <f>IF($A223="","",IF(Sync!$AB223="","",Sync!$AB223))</f>
        <v/>
      </c>
      <c r="D223">
        <f>IF($A223="","",IF(Sync!$AC223="","",Sync!$AC223))</f>
        <v/>
      </c>
      <c r="E223">
        <f>IF($A223="","",IF(Sync!$AD223="","",Sync!$AD223))</f>
        <v/>
      </c>
      <c r="F223">
        <f>IF($A223="","",IF(Sync!$AE223="",0,Sync!$AE223))</f>
        <v/>
      </c>
      <c r="G223">
        <f>IF($A223="","",IF(Sync!$AF223="",0,Sync!$AF223))</f>
        <v/>
      </c>
      <c r="H223">
        <f>IF(OR($A223="",ROUND($F223+$G223,2)=0),"",$F223+$G223)</f>
        <v/>
      </c>
      <c r="I223">
        <f>IF($H223="","",IF(ROUND($F223,2)&gt;0,$A223,IF($D223="شخصی قاسم","شخصی قاسم",IF($D223="هزینه","هزینه: "&amp;IF($E223="","متفرقه",$E223),IF($C223="پاس چک","چک پرداختی",IF(OR($B223="",COUNTIF(AcctCodesA,$B223)=0),"متفرقه",$B223))))))</f>
        <v/>
      </c>
      <c r="J223">
        <f>IF($H223="","",IF(ROUND($F223,2)&gt;0,IF($D223="شخصی قاسم","شخصی قاسم",IF($D223="هزینه","هزینه: "&amp;IF($E223="","متفرقه",$E223),IF(OR($B223="",COUNTIF(AcctCodesA,$B223)=0),"متفرقه",$B223))),$A223))</f>
        <v/>
      </c>
      <c r="K223">
        <f>IF($A223="","",IF(AND($B223&lt;&gt;"",COUNTIF(AcctCodesA,$B223)=0),"کد طرف در INFO تعریف نشده",IF(AND($D223="هزینه",$E223=""),"هزینه بدون زیرگروه",IF(AND($C223="پاس چک",OR(Sync!$AJ223="",COUNTIF(IssueNosA,Sync!$AJ223)=0)),"شماره چک پاس‌شده معتبر نیست",""))))</f>
        <v/>
      </c>
      <c r="M223">
        <f>IF(Sync!$AH223="","",Sync!$AH223)</f>
        <v/>
      </c>
      <c r="N223">
        <f>IF($M223="","",IF(OR(Sync!$AI223="",COUNTIF(AcctCodesA,Sync!$AI223)=0),"متفرقه",Sync!$AI223))</f>
        <v/>
      </c>
      <c r="O223">
        <f>IF($M223="","",$N223)</f>
        <v/>
      </c>
      <c r="P223">
        <f>IF($M223="","","چک پرداختی")</f>
        <v/>
      </c>
      <c r="R223">
        <f>IF($M223="","",IF(COUNTIF(AcctCodesA,Sync!$AI223)=0,"ذی‌نفع چک تعریف‌نشده",""))</f>
        <v/>
      </c>
      <c r="S223">
        <f>IF($R223="","",Sync!$AG223&amp;"|"&amp;"5"&amp;RIGHT("00000"&amp;218,5))</f>
        <v/>
      </c>
      <c r="T223">
        <f>IF($S223="",0,COUNTIFS($S$6:$S$505,"&lt;"&amp;$S223)-COUNTIFS($S$6:$S$505,"&lt;"&amp;$S223,$R$6:$R$505,"")+1)</f>
        <v/>
      </c>
      <c r="V223">
        <f>IF($K223="","",IF(ISNUMBER(Sync!$AK223),Sync!$AK223,LEFT(Sync!$AK223,4)&amp;MID(Sync!$AK223,6,2)&amp;RIGHT(Sync!$AK223,2))&amp;"|"&amp;"4"&amp;RIGHT("00000"&amp;218,5))</f>
        <v/>
      </c>
      <c r="W223">
        <f>IF($V223="",0,COUNTIFS($V$6:$V$2005,"&lt;"&amp;$V223)-COUNTIFS($V$6:$V$2005,"&lt;"&amp;$V223,$K$6:$K$2005,"")+1)</f>
        <v/>
      </c>
      <c r="X223">
        <f>IF(Sync!$AX223="","",IF(OR(N(Sync!$AY223)=0,N(Sync!$AZ223)=0),"",ROUND(N(Sync!$AY223)*N(Sync!$AZ223),0)))</f>
        <v/>
      </c>
      <c r="Y223">
        <f>IF($X223="","",IF(OR(Sync!$AX223="",COUNTIF(AcctCodesA,Sync!$AX223)=0),"متفرقه",Sync!$AX223))</f>
        <v/>
      </c>
      <c r="Z223">
        <f>IF($X223="","","سبد و ظروف")</f>
        <v/>
      </c>
      <c r="AA223">
        <f>IF($X223="","",$Y223)</f>
        <v/>
      </c>
    </row>
    <row r="224">
      <c r="A224">
        <f>IF(Sync!$Z224="","",LEFT(UPPER(TRIM(Sync!$Z224)),6))</f>
        <v/>
      </c>
      <c r="B224">
        <f>IF($A224="","",IF(Sync!$AA224="","",Sync!$AA224))</f>
        <v/>
      </c>
      <c r="C224">
        <f>IF($A224="","",IF(Sync!$AB224="","",Sync!$AB224))</f>
        <v/>
      </c>
      <c r="D224">
        <f>IF($A224="","",IF(Sync!$AC224="","",Sync!$AC224))</f>
        <v/>
      </c>
      <c r="E224">
        <f>IF($A224="","",IF(Sync!$AD224="","",Sync!$AD224))</f>
        <v/>
      </c>
      <c r="F224">
        <f>IF($A224="","",IF(Sync!$AE224="",0,Sync!$AE224))</f>
        <v/>
      </c>
      <c r="G224">
        <f>IF($A224="","",IF(Sync!$AF224="",0,Sync!$AF224))</f>
        <v/>
      </c>
      <c r="H224">
        <f>IF(OR($A224="",ROUND($F224+$G224,2)=0),"",$F224+$G224)</f>
        <v/>
      </c>
      <c r="I224">
        <f>IF($H224="","",IF(ROUND($F224,2)&gt;0,$A224,IF($D224="شخصی قاسم","شخصی قاسم",IF($D224="هزینه","هزینه: "&amp;IF($E224="","متفرقه",$E224),IF($C224="پاس چک","چک پرداختی",IF(OR($B224="",COUNTIF(AcctCodesA,$B224)=0),"متفرقه",$B224))))))</f>
        <v/>
      </c>
      <c r="J224">
        <f>IF($H224="","",IF(ROUND($F224,2)&gt;0,IF($D224="شخصی قاسم","شخصی قاسم",IF($D224="هزینه","هزینه: "&amp;IF($E224="","متفرقه",$E224),IF(OR($B224="",COUNTIF(AcctCodesA,$B224)=0),"متفرقه",$B224))),$A224))</f>
        <v/>
      </c>
      <c r="K224">
        <f>IF($A224="","",IF(AND($B224&lt;&gt;"",COUNTIF(AcctCodesA,$B224)=0),"کد طرف در INFO تعریف نشده",IF(AND($D224="هزینه",$E224=""),"هزینه بدون زیرگروه",IF(AND($C224="پاس چک",OR(Sync!$AJ224="",COUNTIF(IssueNosA,Sync!$AJ224)=0)),"شماره چک پاس‌شده معتبر نیست",""))))</f>
        <v/>
      </c>
      <c r="M224">
        <f>IF(Sync!$AH224="","",Sync!$AH224)</f>
        <v/>
      </c>
      <c r="N224">
        <f>IF($M224="","",IF(OR(Sync!$AI224="",COUNTIF(AcctCodesA,Sync!$AI224)=0),"متفرقه",Sync!$AI224))</f>
        <v/>
      </c>
      <c r="O224">
        <f>IF($M224="","",$N224)</f>
        <v/>
      </c>
      <c r="P224">
        <f>IF($M224="","","چک پرداختی")</f>
        <v/>
      </c>
      <c r="R224">
        <f>IF($M224="","",IF(COUNTIF(AcctCodesA,Sync!$AI224)=0,"ذی‌نفع چک تعریف‌نشده",""))</f>
        <v/>
      </c>
      <c r="S224">
        <f>IF($R224="","",Sync!$AG224&amp;"|"&amp;"5"&amp;RIGHT("00000"&amp;219,5))</f>
        <v/>
      </c>
      <c r="T224">
        <f>IF($S224="",0,COUNTIFS($S$6:$S$505,"&lt;"&amp;$S224)-COUNTIFS($S$6:$S$505,"&lt;"&amp;$S224,$R$6:$R$505,"")+1)</f>
        <v/>
      </c>
      <c r="V224">
        <f>IF($K224="","",IF(ISNUMBER(Sync!$AK224),Sync!$AK224,LEFT(Sync!$AK224,4)&amp;MID(Sync!$AK224,6,2)&amp;RIGHT(Sync!$AK224,2))&amp;"|"&amp;"4"&amp;RIGHT("00000"&amp;219,5))</f>
        <v/>
      </c>
      <c r="W224">
        <f>IF($V224="",0,COUNTIFS($V$6:$V$2005,"&lt;"&amp;$V224)-COUNTIFS($V$6:$V$2005,"&lt;"&amp;$V224,$K$6:$K$2005,"")+1)</f>
        <v/>
      </c>
      <c r="X224">
        <f>IF(Sync!$AX224="","",IF(OR(N(Sync!$AY224)=0,N(Sync!$AZ224)=0),"",ROUND(N(Sync!$AY224)*N(Sync!$AZ224),0)))</f>
        <v/>
      </c>
      <c r="Y224">
        <f>IF($X224="","",IF(OR(Sync!$AX224="",COUNTIF(AcctCodesA,Sync!$AX224)=0),"متفرقه",Sync!$AX224))</f>
        <v/>
      </c>
      <c r="Z224">
        <f>IF($X224="","","سبد و ظروف")</f>
        <v/>
      </c>
      <c r="AA224">
        <f>IF($X224="","",$Y224)</f>
        <v/>
      </c>
    </row>
    <row r="225">
      <c r="A225">
        <f>IF(Sync!$Z225="","",LEFT(UPPER(TRIM(Sync!$Z225)),6))</f>
        <v/>
      </c>
      <c r="B225">
        <f>IF($A225="","",IF(Sync!$AA225="","",Sync!$AA225))</f>
        <v/>
      </c>
      <c r="C225">
        <f>IF($A225="","",IF(Sync!$AB225="","",Sync!$AB225))</f>
        <v/>
      </c>
      <c r="D225">
        <f>IF($A225="","",IF(Sync!$AC225="","",Sync!$AC225))</f>
        <v/>
      </c>
      <c r="E225">
        <f>IF($A225="","",IF(Sync!$AD225="","",Sync!$AD225))</f>
        <v/>
      </c>
      <c r="F225">
        <f>IF($A225="","",IF(Sync!$AE225="",0,Sync!$AE225))</f>
        <v/>
      </c>
      <c r="G225">
        <f>IF($A225="","",IF(Sync!$AF225="",0,Sync!$AF225))</f>
        <v/>
      </c>
      <c r="H225">
        <f>IF(OR($A225="",ROUND($F225+$G225,2)=0),"",$F225+$G225)</f>
        <v/>
      </c>
      <c r="I225">
        <f>IF($H225="","",IF(ROUND($F225,2)&gt;0,$A225,IF($D225="شخصی قاسم","شخصی قاسم",IF($D225="هزینه","هزینه: "&amp;IF($E225="","متفرقه",$E225),IF($C225="پاس چک","چک پرداختی",IF(OR($B225="",COUNTIF(AcctCodesA,$B225)=0),"متفرقه",$B225))))))</f>
        <v/>
      </c>
      <c r="J225">
        <f>IF($H225="","",IF(ROUND($F225,2)&gt;0,IF($D225="شخصی قاسم","شخصی قاسم",IF($D225="هزینه","هزینه: "&amp;IF($E225="","متفرقه",$E225),IF(OR($B225="",COUNTIF(AcctCodesA,$B225)=0),"متفرقه",$B225))),$A225))</f>
        <v/>
      </c>
      <c r="K225">
        <f>IF($A225="","",IF(AND($B225&lt;&gt;"",COUNTIF(AcctCodesA,$B225)=0),"کد طرف در INFO تعریف نشده",IF(AND($D225="هزینه",$E225=""),"هزینه بدون زیرگروه",IF(AND($C225="پاس چک",OR(Sync!$AJ225="",COUNTIF(IssueNosA,Sync!$AJ225)=0)),"شماره چک پاس‌شده معتبر نیست",""))))</f>
        <v/>
      </c>
      <c r="M225">
        <f>IF(Sync!$AH225="","",Sync!$AH225)</f>
        <v/>
      </c>
      <c r="N225">
        <f>IF($M225="","",IF(OR(Sync!$AI225="",COUNTIF(AcctCodesA,Sync!$AI225)=0),"متفرقه",Sync!$AI225))</f>
        <v/>
      </c>
      <c r="O225">
        <f>IF($M225="","",$N225)</f>
        <v/>
      </c>
      <c r="P225">
        <f>IF($M225="","","چک پرداختی")</f>
        <v/>
      </c>
      <c r="R225">
        <f>IF($M225="","",IF(COUNTIF(AcctCodesA,Sync!$AI225)=0,"ذی‌نفع چک تعریف‌نشده",""))</f>
        <v/>
      </c>
      <c r="S225">
        <f>IF($R225="","",Sync!$AG225&amp;"|"&amp;"5"&amp;RIGHT("00000"&amp;220,5))</f>
        <v/>
      </c>
      <c r="T225">
        <f>IF($S225="",0,COUNTIFS($S$6:$S$505,"&lt;"&amp;$S225)-COUNTIFS($S$6:$S$505,"&lt;"&amp;$S225,$R$6:$R$505,"")+1)</f>
        <v/>
      </c>
      <c r="V225">
        <f>IF($K225="","",IF(ISNUMBER(Sync!$AK225),Sync!$AK225,LEFT(Sync!$AK225,4)&amp;MID(Sync!$AK225,6,2)&amp;RIGHT(Sync!$AK225,2))&amp;"|"&amp;"4"&amp;RIGHT("00000"&amp;220,5))</f>
        <v/>
      </c>
      <c r="W225">
        <f>IF($V225="",0,COUNTIFS($V$6:$V$2005,"&lt;"&amp;$V225)-COUNTIFS($V$6:$V$2005,"&lt;"&amp;$V225,$K$6:$K$2005,"")+1)</f>
        <v/>
      </c>
      <c r="X225">
        <f>IF(Sync!$AX225="","",IF(OR(N(Sync!$AY225)=0,N(Sync!$AZ225)=0),"",ROUND(N(Sync!$AY225)*N(Sync!$AZ225),0)))</f>
        <v/>
      </c>
      <c r="Y225">
        <f>IF($X225="","",IF(OR(Sync!$AX225="",COUNTIF(AcctCodesA,Sync!$AX225)=0),"متفرقه",Sync!$AX225))</f>
        <v/>
      </c>
      <c r="Z225">
        <f>IF($X225="","","سبد و ظروف")</f>
        <v/>
      </c>
      <c r="AA225">
        <f>IF($X225="","",$Y225)</f>
        <v/>
      </c>
    </row>
    <row r="226">
      <c r="A226">
        <f>IF(Sync!$Z226="","",LEFT(UPPER(TRIM(Sync!$Z226)),6))</f>
        <v/>
      </c>
      <c r="B226">
        <f>IF($A226="","",IF(Sync!$AA226="","",Sync!$AA226))</f>
        <v/>
      </c>
      <c r="C226">
        <f>IF($A226="","",IF(Sync!$AB226="","",Sync!$AB226))</f>
        <v/>
      </c>
      <c r="D226">
        <f>IF($A226="","",IF(Sync!$AC226="","",Sync!$AC226))</f>
        <v/>
      </c>
      <c r="E226">
        <f>IF($A226="","",IF(Sync!$AD226="","",Sync!$AD226))</f>
        <v/>
      </c>
      <c r="F226">
        <f>IF($A226="","",IF(Sync!$AE226="",0,Sync!$AE226))</f>
        <v/>
      </c>
      <c r="G226">
        <f>IF($A226="","",IF(Sync!$AF226="",0,Sync!$AF226))</f>
        <v/>
      </c>
      <c r="H226">
        <f>IF(OR($A226="",ROUND($F226+$G226,2)=0),"",$F226+$G226)</f>
        <v/>
      </c>
      <c r="I226">
        <f>IF($H226="","",IF(ROUND($F226,2)&gt;0,$A226,IF($D226="شخصی قاسم","شخصی قاسم",IF($D226="هزینه","هزینه: "&amp;IF($E226="","متفرقه",$E226),IF($C226="پاس چک","چک پرداختی",IF(OR($B226="",COUNTIF(AcctCodesA,$B226)=0),"متفرقه",$B226))))))</f>
        <v/>
      </c>
      <c r="J226">
        <f>IF($H226="","",IF(ROUND($F226,2)&gt;0,IF($D226="شخصی قاسم","شخصی قاسم",IF($D226="هزینه","هزینه: "&amp;IF($E226="","متفرقه",$E226),IF(OR($B226="",COUNTIF(AcctCodesA,$B226)=0),"متفرقه",$B226))),$A226))</f>
        <v/>
      </c>
      <c r="K226">
        <f>IF($A226="","",IF(AND($B226&lt;&gt;"",COUNTIF(AcctCodesA,$B226)=0),"کد طرف در INFO تعریف نشده",IF(AND($D226="هزینه",$E226=""),"هزینه بدون زیرگروه",IF(AND($C226="پاس چک",OR(Sync!$AJ226="",COUNTIF(IssueNosA,Sync!$AJ226)=0)),"شماره چک پاس‌شده معتبر نیست",""))))</f>
        <v/>
      </c>
      <c r="M226">
        <f>IF(Sync!$AH226="","",Sync!$AH226)</f>
        <v/>
      </c>
      <c r="N226">
        <f>IF($M226="","",IF(OR(Sync!$AI226="",COUNTIF(AcctCodesA,Sync!$AI226)=0),"متفرقه",Sync!$AI226))</f>
        <v/>
      </c>
      <c r="O226">
        <f>IF($M226="","",$N226)</f>
        <v/>
      </c>
      <c r="P226">
        <f>IF($M226="","","چک پرداختی")</f>
        <v/>
      </c>
      <c r="R226">
        <f>IF($M226="","",IF(COUNTIF(AcctCodesA,Sync!$AI226)=0,"ذی‌نفع چک تعریف‌نشده",""))</f>
        <v/>
      </c>
      <c r="S226">
        <f>IF($R226="","",Sync!$AG226&amp;"|"&amp;"5"&amp;RIGHT("00000"&amp;221,5))</f>
        <v/>
      </c>
      <c r="T226">
        <f>IF($S226="",0,COUNTIFS($S$6:$S$505,"&lt;"&amp;$S226)-COUNTIFS($S$6:$S$505,"&lt;"&amp;$S226,$R$6:$R$505,"")+1)</f>
        <v/>
      </c>
      <c r="V226">
        <f>IF($K226="","",IF(ISNUMBER(Sync!$AK226),Sync!$AK226,LEFT(Sync!$AK226,4)&amp;MID(Sync!$AK226,6,2)&amp;RIGHT(Sync!$AK226,2))&amp;"|"&amp;"4"&amp;RIGHT("00000"&amp;221,5))</f>
        <v/>
      </c>
      <c r="W226">
        <f>IF($V226="",0,COUNTIFS($V$6:$V$2005,"&lt;"&amp;$V226)-COUNTIFS($V$6:$V$2005,"&lt;"&amp;$V226,$K$6:$K$2005,"")+1)</f>
        <v/>
      </c>
      <c r="X226">
        <f>IF(Sync!$AX226="","",IF(OR(N(Sync!$AY226)=0,N(Sync!$AZ226)=0),"",ROUND(N(Sync!$AY226)*N(Sync!$AZ226),0)))</f>
        <v/>
      </c>
      <c r="Y226">
        <f>IF($X226="","",IF(OR(Sync!$AX226="",COUNTIF(AcctCodesA,Sync!$AX226)=0),"متفرقه",Sync!$AX226))</f>
        <v/>
      </c>
      <c r="Z226">
        <f>IF($X226="","","سبد و ظروف")</f>
        <v/>
      </c>
      <c r="AA226">
        <f>IF($X226="","",$Y226)</f>
        <v/>
      </c>
    </row>
    <row r="227">
      <c r="A227">
        <f>IF(Sync!$Z227="","",LEFT(UPPER(TRIM(Sync!$Z227)),6))</f>
        <v/>
      </c>
      <c r="B227">
        <f>IF($A227="","",IF(Sync!$AA227="","",Sync!$AA227))</f>
        <v/>
      </c>
      <c r="C227">
        <f>IF($A227="","",IF(Sync!$AB227="","",Sync!$AB227))</f>
        <v/>
      </c>
      <c r="D227">
        <f>IF($A227="","",IF(Sync!$AC227="","",Sync!$AC227))</f>
        <v/>
      </c>
      <c r="E227">
        <f>IF($A227="","",IF(Sync!$AD227="","",Sync!$AD227))</f>
        <v/>
      </c>
      <c r="F227">
        <f>IF($A227="","",IF(Sync!$AE227="",0,Sync!$AE227))</f>
        <v/>
      </c>
      <c r="G227">
        <f>IF($A227="","",IF(Sync!$AF227="",0,Sync!$AF227))</f>
        <v/>
      </c>
      <c r="H227">
        <f>IF(OR($A227="",ROUND($F227+$G227,2)=0),"",$F227+$G227)</f>
        <v/>
      </c>
      <c r="I227">
        <f>IF($H227="","",IF(ROUND($F227,2)&gt;0,$A227,IF($D227="شخصی قاسم","شخصی قاسم",IF($D227="هزینه","هزینه: "&amp;IF($E227="","متفرقه",$E227),IF($C227="پاس چک","چک پرداختی",IF(OR($B227="",COUNTIF(AcctCodesA,$B227)=0),"متفرقه",$B227))))))</f>
        <v/>
      </c>
      <c r="J227">
        <f>IF($H227="","",IF(ROUND($F227,2)&gt;0,IF($D227="شخصی قاسم","شخصی قاسم",IF($D227="هزینه","هزینه: "&amp;IF($E227="","متفرقه",$E227),IF(OR($B227="",COUNTIF(AcctCodesA,$B227)=0),"متفرقه",$B227))),$A227))</f>
        <v/>
      </c>
      <c r="K227">
        <f>IF($A227="","",IF(AND($B227&lt;&gt;"",COUNTIF(AcctCodesA,$B227)=0),"کد طرف در INFO تعریف نشده",IF(AND($D227="هزینه",$E227=""),"هزینه بدون زیرگروه",IF(AND($C227="پاس چک",OR(Sync!$AJ227="",COUNTIF(IssueNosA,Sync!$AJ227)=0)),"شماره چک پاس‌شده معتبر نیست",""))))</f>
        <v/>
      </c>
      <c r="M227">
        <f>IF(Sync!$AH227="","",Sync!$AH227)</f>
        <v/>
      </c>
      <c r="N227">
        <f>IF($M227="","",IF(OR(Sync!$AI227="",COUNTIF(AcctCodesA,Sync!$AI227)=0),"متفرقه",Sync!$AI227))</f>
        <v/>
      </c>
      <c r="O227">
        <f>IF($M227="","",$N227)</f>
        <v/>
      </c>
      <c r="P227">
        <f>IF($M227="","","چک پرداختی")</f>
        <v/>
      </c>
      <c r="R227">
        <f>IF($M227="","",IF(COUNTIF(AcctCodesA,Sync!$AI227)=0,"ذی‌نفع چک تعریف‌نشده",""))</f>
        <v/>
      </c>
      <c r="S227">
        <f>IF($R227="","",Sync!$AG227&amp;"|"&amp;"5"&amp;RIGHT("00000"&amp;222,5))</f>
        <v/>
      </c>
      <c r="T227">
        <f>IF($S227="",0,COUNTIFS($S$6:$S$505,"&lt;"&amp;$S227)-COUNTIFS($S$6:$S$505,"&lt;"&amp;$S227,$R$6:$R$505,"")+1)</f>
        <v/>
      </c>
      <c r="V227">
        <f>IF($K227="","",IF(ISNUMBER(Sync!$AK227),Sync!$AK227,LEFT(Sync!$AK227,4)&amp;MID(Sync!$AK227,6,2)&amp;RIGHT(Sync!$AK227,2))&amp;"|"&amp;"4"&amp;RIGHT("00000"&amp;222,5))</f>
        <v/>
      </c>
      <c r="W227">
        <f>IF($V227="",0,COUNTIFS($V$6:$V$2005,"&lt;"&amp;$V227)-COUNTIFS($V$6:$V$2005,"&lt;"&amp;$V227,$K$6:$K$2005,"")+1)</f>
        <v/>
      </c>
      <c r="X227">
        <f>IF(Sync!$AX227="","",IF(OR(N(Sync!$AY227)=0,N(Sync!$AZ227)=0),"",ROUND(N(Sync!$AY227)*N(Sync!$AZ227),0)))</f>
        <v/>
      </c>
      <c r="Y227">
        <f>IF($X227="","",IF(OR(Sync!$AX227="",COUNTIF(AcctCodesA,Sync!$AX227)=0),"متفرقه",Sync!$AX227))</f>
        <v/>
      </c>
      <c r="Z227">
        <f>IF($X227="","","سبد و ظروف")</f>
        <v/>
      </c>
      <c r="AA227">
        <f>IF($X227="","",$Y227)</f>
        <v/>
      </c>
    </row>
    <row r="228">
      <c r="A228">
        <f>IF(Sync!$Z228="","",LEFT(UPPER(TRIM(Sync!$Z228)),6))</f>
        <v/>
      </c>
      <c r="B228">
        <f>IF($A228="","",IF(Sync!$AA228="","",Sync!$AA228))</f>
        <v/>
      </c>
      <c r="C228">
        <f>IF($A228="","",IF(Sync!$AB228="","",Sync!$AB228))</f>
        <v/>
      </c>
      <c r="D228">
        <f>IF($A228="","",IF(Sync!$AC228="","",Sync!$AC228))</f>
        <v/>
      </c>
      <c r="E228">
        <f>IF($A228="","",IF(Sync!$AD228="","",Sync!$AD228))</f>
        <v/>
      </c>
      <c r="F228">
        <f>IF($A228="","",IF(Sync!$AE228="",0,Sync!$AE228))</f>
        <v/>
      </c>
      <c r="G228">
        <f>IF($A228="","",IF(Sync!$AF228="",0,Sync!$AF228))</f>
        <v/>
      </c>
      <c r="H228">
        <f>IF(OR($A228="",ROUND($F228+$G228,2)=0),"",$F228+$G228)</f>
        <v/>
      </c>
      <c r="I228">
        <f>IF($H228="","",IF(ROUND($F228,2)&gt;0,$A228,IF($D228="شخصی قاسم","شخصی قاسم",IF($D228="هزینه","هزینه: "&amp;IF($E228="","متفرقه",$E228),IF($C228="پاس چک","چک پرداختی",IF(OR($B228="",COUNTIF(AcctCodesA,$B228)=0),"متفرقه",$B228))))))</f>
        <v/>
      </c>
      <c r="J228">
        <f>IF($H228="","",IF(ROUND($F228,2)&gt;0,IF($D228="شخصی قاسم","شخصی قاسم",IF($D228="هزینه","هزینه: "&amp;IF($E228="","متفرقه",$E228),IF(OR($B228="",COUNTIF(AcctCodesA,$B228)=0),"متفرقه",$B228))),$A228))</f>
        <v/>
      </c>
      <c r="K228">
        <f>IF($A228="","",IF(AND($B228&lt;&gt;"",COUNTIF(AcctCodesA,$B228)=0),"کد طرف در INFO تعریف نشده",IF(AND($D228="هزینه",$E228=""),"هزینه بدون زیرگروه",IF(AND($C228="پاس چک",OR(Sync!$AJ228="",COUNTIF(IssueNosA,Sync!$AJ228)=0)),"شماره چک پاس‌شده معتبر نیست",""))))</f>
        <v/>
      </c>
      <c r="M228">
        <f>IF(Sync!$AH228="","",Sync!$AH228)</f>
        <v/>
      </c>
      <c r="N228">
        <f>IF($M228="","",IF(OR(Sync!$AI228="",COUNTIF(AcctCodesA,Sync!$AI228)=0),"متفرقه",Sync!$AI228))</f>
        <v/>
      </c>
      <c r="O228">
        <f>IF($M228="","",$N228)</f>
        <v/>
      </c>
      <c r="P228">
        <f>IF($M228="","","چک پرداختی")</f>
        <v/>
      </c>
      <c r="R228">
        <f>IF($M228="","",IF(COUNTIF(AcctCodesA,Sync!$AI228)=0,"ذی‌نفع چک تعریف‌نشده",""))</f>
        <v/>
      </c>
      <c r="S228">
        <f>IF($R228="","",Sync!$AG228&amp;"|"&amp;"5"&amp;RIGHT("00000"&amp;223,5))</f>
        <v/>
      </c>
      <c r="T228">
        <f>IF($S228="",0,COUNTIFS($S$6:$S$505,"&lt;"&amp;$S228)-COUNTIFS($S$6:$S$505,"&lt;"&amp;$S228,$R$6:$R$505,"")+1)</f>
        <v/>
      </c>
      <c r="V228">
        <f>IF($K228="","",IF(ISNUMBER(Sync!$AK228),Sync!$AK228,LEFT(Sync!$AK228,4)&amp;MID(Sync!$AK228,6,2)&amp;RIGHT(Sync!$AK228,2))&amp;"|"&amp;"4"&amp;RIGHT("00000"&amp;223,5))</f>
        <v/>
      </c>
      <c r="W228">
        <f>IF($V228="",0,COUNTIFS($V$6:$V$2005,"&lt;"&amp;$V228)-COUNTIFS($V$6:$V$2005,"&lt;"&amp;$V228,$K$6:$K$2005,"")+1)</f>
        <v/>
      </c>
      <c r="X228">
        <f>IF(Sync!$AX228="","",IF(OR(N(Sync!$AY228)=0,N(Sync!$AZ228)=0),"",ROUND(N(Sync!$AY228)*N(Sync!$AZ228),0)))</f>
        <v/>
      </c>
      <c r="Y228">
        <f>IF($X228="","",IF(OR(Sync!$AX228="",COUNTIF(AcctCodesA,Sync!$AX228)=0),"متفرقه",Sync!$AX228))</f>
        <v/>
      </c>
      <c r="Z228">
        <f>IF($X228="","","سبد و ظروف")</f>
        <v/>
      </c>
      <c r="AA228">
        <f>IF($X228="","",$Y228)</f>
        <v/>
      </c>
    </row>
    <row r="229">
      <c r="A229">
        <f>IF(Sync!$Z229="","",LEFT(UPPER(TRIM(Sync!$Z229)),6))</f>
        <v/>
      </c>
      <c r="B229">
        <f>IF($A229="","",IF(Sync!$AA229="","",Sync!$AA229))</f>
        <v/>
      </c>
      <c r="C229">
        <f>IF($A229="","",IF(Sync!$AB229="","",Sync!$AB229))</f>
        <v/>
      </c>
      <c r="D229">
        <f>IF($A229="","",IF(Sync!$AC229="","",Sync!$AC229))</f>
        <v/>
      </c>
      <c r="E229">
        <f>IF($A229="","",IF(Sync!$AD229="","",Sync!$AD229))</f>
        <v/>
      </c>
      <c r="F229">
        <f>IF($A229="","",IF(Sync!$AE229="",0,Sync!$AE229))</f>
        <v/>
      </c>
      <c r="G229">
        <f>IF($A229="","",IF(Sync!$AF229="",0,Sync!$AF229))</f>
        <v/>
      </c>
      <c r="H229">
        <f>IF(OR($A229="",ROUND($F229+$G229,2)=0),"",$F229+$G229)</f>
        <v/>
      </c>
      <c r="I229">
        <f>IF($H229="","",IF(ROUND($F229,2)&gt;0,$A229,IF($D229="شخصی قاسم","شخصی قاسم",IF($D229="هزینه","هزینه: "&amp;IF($E229="","متفرقه",$E229),IF($C229="پاس چک","چک پرداختی",IF(OR($B229="",COUNTIF(AcctCodesA,$B229)=0),"متفرقه",$B229))))))</f>
        <v/>
      </c>
      <c r="J229">
        <f>IF($H229="","",IF(ROUND($F229,2)&gt;0,IF($D229="شخصی قاسم","شخصی قاسم",IF($D229="هزینه","هزینه: "&amp;IF($E229="","متفرقه",$E229),IF(OR($B229="",COUNTIF(AcctCodesA,$B229)=0),"متفرقه",$B229))),$A229))</f>
        <v/>
      </c>
      <c r="K229">
        <f>IF($A229="","",IF(AND($B229&lt;&gt;"",COUNTIF(AcctCodesA,$B229)=0),"کد طرف در INFO تعریف نشده",IF(AND($D229="هزینه",$E229=""),"هزینه بدون زیرگروه",IF(AND($C229="پاس چک",OR(Sync!$AJ229="",COUNTIF(IssueNosA,Sync!$AJ229)=0)),"شماره چک پاس‌شده معتبر نیست",""))))</f>
        <v/>
      </c>
      <c r="M229">
        <f>IF(Sync!$AH229="","",Sync!$AH229)</f>
        <v/>
      </c>
      <c r="N229">
        <f>IF($M229="","",IF(OR(Sync!$AI229="",COUNTIF(AcctCodesA,Sync!$AI229)=0),"متفرقه",Sync!$AI229))</f>
        <v/>
      </c>
      <c r="O229">
        <f>IF($M229="","",$N229)</f>
        <v/>
      </c>
      <c r="P229">
        <f>IF($M229="","","چک پرداختی")</f>
        <v/>
      </c>
      <c r="R229">
        <f>IF($M229="","",IF(COUNTIF(AcctCodesA,Sync!$AI229)=0,"ذی‌نفع چک تعریف‌نشده",""))</f>
        <v/>
      </c>
      <c r="S229">
        <f>IF($R229="","",Sync!$AG229&amp;"|"&amp;"5"&amp;RIGHT("00000"&amp;224,5))</f>
        <v/>
      </c>
      <c r="T229">
        <f>IF($S229="",0,COUNTIFS($S$6:$S$505,"&lt;"&amp;$S229)-COUNTIFS($S$6:$S$505,"&lt;"&amp;$S229,$R$6:$R$505,"")+1)</f>
        <v/>
      </c>
      <c r="V229">
        <f>IF($K229="","",IF(ISNUMBER(Sync!$AK229),Sync!$AK229,LEFT(Sync!$AK229,4)&amp;MID(Sync!$AK229,6,2)&amp;RIGHT(Sync!$AK229,2))&amp;"|"&amp;"4"&amp;RIGHT("00000"&amp;224,5))</f>
        <v/>
      </c>
      <c r="W229">
        <f>IF($V229="",0,COUNTIFS($V$6:$V$2005,"&lt;"&amp;$V229)-COUNTIFS($V$6:$V$2005,"&lt;"&amp;$V229,$K$6:$K$2005,"")+1)</f>
        <v/>
      </c>
      <c r="X229">
        <f>IF(Sync!$AX229="","",IF(OR(N(Sync!$AY229)=0,N(Sync!$AZ229)=0),"",ROUND(N(Sync!$AY229)*N(Sync!$AZ229),0)))</f>
        <v/>
      </c>
      <c r="Y229">
        <f>IF($X229="","",IF(OR(Sync!$AX229="",COUNTIF(AcctCodesA,Sync!$AX229)=0),"متفرقه",Sync!$AX229))</f>
        <v/>
      </c>
      <c r="Z229">
        <f>IF($X229="","","سبد و ظروف")</f>
        <v/>
      </c>
      <c r="AA229">
        <f>IF($X229="","",$Y229)</f>
        <v/>
      </c>
    </row>
    <row r="230">
      <c r="A230">
        <f>IF(Sync!$Z230="","",LEFT(UPPER(TRIM(Sync!$Z230)),6))</f>
        <v/>
      </c>
      <c r="B230">
        <f>IF($A230="","",IF(Sync!$AA230="","",Sync!$AA230))</f>
        <v/>
      </c>
      <c r="C230">
        <f>IF($A230="","",IF(Sync!$AB230="","",Sync!$AB230))</f>
        <v/>
      </c>
      <c r="D230">
        <f>IF($A230="","",IF(Sync!$AC230="","",Sync!$AC230))</f>
        <v/>
      </c>
      <c r="E230">
        <f>IF($A230="","",IF(Sync!$AD230="","",Sync!$AD230))</f>
        <v/>
      </c>
      <c r="F230">
        <f>IF($A230="","",IF(Sync!$AE230="",0,Sync!$AE230))</f>
        <v/>
      </c>
      <c r="G230">
        <f>IF($A230="","",IF(Sync!$AF230="",0,Sync!$AF230))</f>
        <v/>
      </c>
      <c r="H230">
        <f>IF(OR($A230="",ROUND($F230+$G230,2)=0),"",$F230+$G230)</f>
        <v/>
      </c>
      <c r="I230">
        <f>IF($H230="","",IF(ROUND($F230,2)&gt;0,$A230,IF($D230="شخصی قاسم","شخصی قاسم",IF($D230="هزینه","هزینه: "&amp;IF($E230="","متفرقه",$E230),IF($C230="پاس چک","چک پرداختی",IF(OR($B230="",COUNTIF(AcctCodesA,$B230)=0),"متفرقه",$B230))))))</f>
        <v/>
      </c>
      <c r="J230">
        <f>IF($H230="","",IF(ROUND($F230,2)&gt;0,IF($D230="شخصی قاسم","شخصی قاسم",IF($D230="هزینه","هزینه: "&amp;IF($E230="","متفرقه",$E230),IF(OR($B230="",COUNTIF(AcctCodesA,$B230)=0),"متفرقه",$B230))),$A230))</f>
        <v/>
      </c>
      <c r="K230">
        <f>IF($A230="","",IF(AND($B230&lt;&gt;"",COUNTIF(AcctCodesA,$B230)=0),"کد طرف در INFO تعریف نشده",IF(AND($D230="هزینه",$E230=""),"هزینه بدون زیرگروه",IF(AND($C230="پاس چک",OR(Sync!$AJ230="",COUNTIF(IssueNosA,Sync!$AJ230)=0)),"شماره چک پاس‌شده معتبر نیست",""))))</f>
        <v/>
      </c>
      <c r="M230">
        <f>IF(Sync!$AH230="","",Sync!$AH230)</f>
        <v/>
      </c>
      <c r="N230">
        <f>IF($M230="","",IF(OR(Sync!$AI230="",COUNTIF(AcctCodesA,Sync!$AI230)=0),"متفرقه",Sync!$AI230))</f>
        <v/>
      </c>
      <c r="O230">
        <f>IF($M230="","",$N230)</f>
        <v/>
      </c>
      <c r="P230">
        <f>IF($M230="","","چک پرداختی")</f>
        <v/>
      </c>
      <c r="R230">
        <f>IF($M230="","",IF(COUNTIF(AcctCodesA,Sync!$AI230)=0,"ذی‌نفع چک تعریف‌نشده",""))</f>
        <v/>
      </c>
      <c r="S230">
        <f>IF($R230="","",Sync!$AG230&amp;"|"&amp;"5"&amp;RIGHT("00000"&amp;225,5))</f>
        <v/>
      </c>
      <c r="T230">
        <f>IF($S230="",0,COUNTIFS($S$6:$S$505,"&lt;"&amp;$S230)-COUNTIFS($S$6:$S$505,"&lt;"&amp;$S230,$R$6:$R$505,"")+1)</f>
        <v/>
      </c>
      <c r="V230">
        <f>IF($K230="","",IF(ISNUMBER(Sync!$AK230),Sync!$AK230,LEFT(Sync!$AK230,4)&amp;MID(Sync!$AK230,6,2)&amp;RIGHT(Sync!$AK230,2))&amp;"|"&amp;"4"&amp;RIGHT("00000"&amp;225,5))</f>
        <v/>
      </c>
      <c r="W230">
        <f>IF($V230="",0,COUNTIFS($V$6:$V$2005,"&lt;"&amp;$V230)-COUNTIFS($V$6:$V$2005,"&lt;"&amp;$V230,$K$6:$K$2005,"")+1)</f>
        <v/>
      </c>
      <c r="X230">
        <f>IF(Sync!$AX230="","",IF(OR(N(Sync!$AY230)=0,N(Sync!$AZ230)=0),"",ROUND(N(Sync!$AY230)*N(Sync!$AZ230),0)))</f>
        <v/>
      </c>
      <c r="Y230">
        <f>IF($X230="","",IF(OR(Sync!$AX230="",COUNTIF(AcctCodesA,Sync!$AX230)=0),"متفرقه",Sync!$AX230))</f>
        <v/>
      </c>
      <c r="Z230">
        <f>IF($X230="","","سبد و ظروف")</f>
        <v/>
      </c>
      <c r="AA230">
        <f>IF($X230="","",$Y230)</f>
        <v/>
      </c>
    </row>
    <row r="231">
      <c r="A231">
        <f>IF(Sync!$Z231="","",LEFT(UPPER(TRIM(Sync!$Z231)),6))</f>
        <v/>
      </c>
      <c r="B231">
        <f>IF($A231="","",IF(Sync!$AA231="","",Sync!$AA231))</f>
        <v/>
      </c>
      <c r="C231">
        <f>IF($A231="","",IF(Sync!$AB231="","",Sync!$AB231))</f>
        <v/>
      </c>
      <c r="D231">
        <f>IF($A231="","",IF(Sync!$AC231="","",Sync!$AC231))</f>
        <v/>
      </c>
      <c r="E231">
        <f>IF($A231="","",IF(Sync!$AD231="","",Sync!$AD231))</f>
        <v/>
      </c>
      <c r="F231">
        <f>IF($A231="","",IF(Sync!$AE231="",0,Sync!$AE231))</f>
        <v/>
      </c>
      <c r="G231">
        <f>IF($A231="","",IF(Sync!$AF231="",0,Sync!$AF231))</f>
        <v/>
      </c>
      <c r="H231">
        <f>IF(OR($A231="",ROUND($F231+$G231,2)=0),"",$F231+$G231)</f>
        <v/>
      </c>
      <c r="I231">
        <f>IF($H231="","",IF(ROUND($F231,2)&gt;0,$A231,IF($D231="شخصی قاسم","شخصی قاسم",IF($D231="هزینه","هزینه: "&amp;IF($E231="","متفرقه",$E231),IF($C231="پاس چک","چک پرداختی",IF(OR($B231="",COUNTIF(AcctCodesA,$B231)=0),"متفرقه",$B231))))))</f>
        <v/>
      </c>
      <c r="J231">
        <f>IF($H231="","",IF(ROUND($F231,2)&gt;0,IF($D231="شخصی قاسم","شخصی قاسم",IF($D231="هزینه","هزینه: "&amp;IF($E231="","متفرقه",$E231),IF(OR($B231="",COUNTIF(AcctCodesA,$B231)=0),"متفرقه",$B231))),$A231))</f>
        <v/>
      </c>
      <c r="K231">
        <f>IF($A231="","",IF(AND($B231&lt;&gt;"",COUNTIF(AcctCodesA,$B231)=0),"کد طرف در INFO تعریف نشده",IF(AND($D231="هزینه",$E231=""),"هزینه بدون زیرگروه",IF(AND($C231="پاس چک",OR(Sync!$AJ231="",COUNTIF(IssueNosA,Sync!$AJ231)=0)),"شماره چک پاس‌شده معتبر نیست",""))))</f>
        <v/>
      </c>
      <c r="M231">
        <f>IF(Sync!$AH231="","",Sync!$AH231)</f>
        <v/>
      </c>
      <c r="N231">
        <f>IF($M231="","",IF(OR(Sync!$AI231="",COUNTIF(AcctCodesA,Sync!$AI231)=0),"متفرقه",Sync!$AI231))</f>
        <v/>
      </c>
      <c r="O231">
        <f>IF($M231="","",$N231)</f>
        <v/>
      </c>
      <c r="P231">
        <f>IF($M231="","","چک پرداختی")</f>
        <v/>
      </c>
      <c r="R231">
        <f>IF($M231="","",IF(COUNTIF(AcctCodesA,Sync!$AI231)=0,"ذی‌نفع چک تعریف‌نشده",""))</f>
        <v/>
      </c>
      <c r="S231">
        <f>IF($R231="","",Sync!$AG231&amp;"|"&amp;"5"&amp;RIGHT("00000"&amp;226,5))</f>
        <v/>
      </c>
      <c r="T231">
        <f>IF($S231="",0,COUNTIFS($S$6:$S$505,"&lt;"&amp;$S231)-COUNTIFS($S$6:$S$505,"&lt;"&amp;$S231,$R$6:$R$505,"")+1)</f>
        <v/>
      </c>
      <c r="V231">
        <f>IF($K231="","",IF(ISNUMBER(Sync!$AK231),Sync!$AK231,LEFT(Sync!$AK231,4)&amp;MID(Sync!$AK231,6,2)&amp;RIGHT(Sync!$AK231,2))&amp;"|"&amp;"4"&amp;RIGHT("00000"&amp;226,5))</f>
        <v/>
      </c>
      <c r="W231">
        <f>IF($V231="",0,COUNTIFS($V$6:$V$2005,"&lt;"&amp;$V231)-COUNTIFS($V$6:$V$2005,"&lt;"&amp;$V231,$K$6:$K$2005,"")+1)</f>
        <v/>
      </c>
      <c r="X231">
        <f>IF(Sync!$AX231="","",IF(OR(N(Sync!$AY231)=0,N(Sync!$AZ231)=0),"",ROUND(N(Sync!$AY231)*N(Sync!$AZ231),0)))</f>
        <v/>
      </c>
      <c r="Y231">
        <f>IF($X231="","",IF(OR(Sync!$AX231="",COUNTIF(AcctCodesA,Sync!$AX231)=0),"متفرقه",Sync!$AX231))</f>
        <v/>
      </c>
      <c r="Z231">
        <f>IF($X231="","","سبد و ظروف")</f>
        <v/>
      </c>
      <c r="AA231">
        <f>IF($X231="","",$Y231)</f>
        <v/>
      </c>
    </row>
    <row r="232">
      <c r="A232">
        <f>IF(Sync!$Z232="","",LEFT(UPPER(TRIM(Sync!$Z232)),6))</f>
        <v/>
      </c>
      <c r="B232">
        <f>IF($A232="","",IF(Sync!$AA232="","",Sync!$AA232))</f>
        <v/>
      </c>
      <c r="C232">
        <f>IF($A232="","",IF(Sync!$AB232="","",Sync!$AB232))</f>
        <v/>
      </c>
      <c r="D232">
        <f>IF($A232="","",IF(Sync!$AC232="","",Sync!$AC232))</f>
        <v/>
      </c>
      <c r="E232">
        <f>IF($A232="","",IF(Sync!$AD232="","",Sync!$AD232))</f>
        <v/>
      </c>
      <c r="F232">
        <f>IF($A232="","",IF(Sync!$AE232="",0,Sync!$AE232))</f>
        <v/>
      </c>
      <c r="G232">
        <f>IF($A232="","",IF(Sync!$AF232="",0,Sync!$AF232))</f>
        <v/>
      </c>
      <c r="H232">
        <f>IF(OR($A232="",ROUND($F232+$G232,2)=0),"",$F232+$G232)</f>
        <v/>
      </c>
      <c r="I232">
        <f>IF($H232="","",IF(ROUND($F232,2)&gt;0,$A232,IF($D232="شخصی قاسم","شخصی قاسم",IF($D232="هزینه","هزینه: "&amp;IF($E232="","متفرقه",$E232),IF($C232="پاس چک","چک پرداختی",IF(OR($B232="",COUNTIF(AcctCodesA,$B232)=0),"متفرقه",$B232))))))</f>
        <v/>
      </c>
      <c r="J232">
        <f>IF($H232="","",IF(ROUND($F232,2)&gt;0,IF($D232="شخصی قاسم","شخصی قاسم",IF($D232="هزینه","هزینه: "&amp;IF($E232="","متفرقه",$E232),IF(OR($B232="",COUNTIF(AcctCodesA,$B232)=0),"متفرقه",$B232))),$A232))</f>
        <v/>
      </c>
      <c r="K232">
        <f>IF($A232="","",IF(AND($B232&lt;&gt;"",COUNTIF(AcctCodesA,$B232)=0),"کد طرف در INFO تعریف نشده",IF(AND($D232="هزینه",$E232=""),"هزینه بدون زیرگروه",IF(AND($C232="پاس چک",OR(Sync!$AJ232="",COUNTIF(IssueNosA,Sync!$AJ232)=0)),"شماره چک پاس‌شده معتبر نیست",""))))</f>
        <v/>
      </c>
      <c r="M232">
        <f>IF(Sync!$AH232="","",Sync!$AH232)</f>
        <v/>
      </c>
      <c r="N232">
        <f>IF($M232="","",IF(OR(Sync!$AI232="",COUNTIF(AcctCodesA,Sync!$AI232)=0),"متفرقه",Sync!$AI232))</f>
        <v/>
      </c>
      <c r="O232">
        <f>IF($M232="","",$N232)</f>
        <v/>
      </c>
      <c r="P232">
        <f>IF($M232="","","چک پرداختی")</f>
        <v/>
      </c>
      <c r="R232">
        <f>IF($M232="","",IF(COUNTIF(AcctCodesA,Sync!$AI232)=0,"ذی‌نفع چک تعریف‌نشده",""))</f>
        <v/>
      </c>
      <c r="S232">
        <f>IF($R232="","",Sync!$AG232&amp;"|"&amp;"5"&amp;RIGHT("00000"&amp;227,5))</f>
        <v/>
      </c>
      <c r="T232">
        <f>IF($S232="",0,COUNTIFS($S$6:$S$505,"&lt;"&amp;$S232)-COUNTIFS($S$6:$S$505,"&lt;"&amp;$S232,$R$6:$R$505,"")+1)</f>
        <v/>
      </c>
      <c r="V232">
        <f>IF($K232="","",IF(ISNUMBER(Sync!$AK232),Sync!$AK232,LEFT(Sync!$AK232,4)&amp;MID(Sync!$AK232,6,2)&amp;RIGHT(Sync!$AK232,2))&amp;"|"&amp;"4"&amp;RIGHT("00000"&amp;227,5))</f>
        <v/>
      </c>
      <c r="W232">
        <f>IF($V232="",0,COUNTIFS($V$6:$V$2005,"&lt;"&amp;$V232)-COUNTIFS($V$6:$V$2005,"&lt;"&amp;$V232,$K$6:$K$2005,"")+1)</f>
        <v/>
      </c>
      <c r="X232">
        <f>IF(Sync!$AX232="","",IF(OR(N(Sync!$AY232)=0,N(Sync!$AZ232)=0),"",ROUND(N(Sync!$AY232)*N(Sync!$AZ232),0)))</f>
        <v/>
      </c>
      <c r="Y232">
        <f>IF($X232="","",IF(OR(Sync!$AX232="",COUNTIF(AcctCodesA,Sync!$AX232)=0),"متفرقه",Sync!$AX232))</f>
        <v/>
      </c>
      <c r="Z232">
        <f>IF($X232="","","سبد و ظروف")</f>
        <v/>
      </c>
      <c r="AA232">
        <f>IF($X232="","",$Y232)</f>
        <v/>
      </c>
    </row>
    <row r="233">
      <c r="A233">
        <f>IF(Sync!$Z233="","",LEFT(UPPER(TRIM(Sync!$Z233)),6))</f>
        <v/>
      </c>
      <c r="B233">
        <f>IF($A233="","",IF(Sync!$AA233="","",Sync!$AA233))</f>
        <v/>
      </c>
      <c r="C233">
        <f>IF($A233="","",IF(Sync!$AB233="","",Sync!$AB233))</f>
        <v/>
      </c>
      <c r="D233">
        <f>IF($A233="","",IF(Sync!$AC233="","",Sync!$AC233))</f>
        <v/>
      </c>
      <c r="E233">
        <f>IF($A233="","",IF(Sync!$AD233="","",Sync!$AD233))</f>
        <v/>
      </c>
      <c r="F233">
        <f>IF($A233="","",IF(Sync!$AE233="",0,Sync!$AE233))</f>
        <v/>
      </c>
      <c r="G233">
        <f>IF($A233="","",IF(Sync!$AF233="",0,Sync!$AF233))</f>
        <v/>
      </c>
      <c r="H233">
        <f>IF(OR($A233="",ROUND($F233+$G233,2)=0),"",$F233+$G233)</f>
        <v/>
      </c>
      <c r="I233">
        <f>IF($H233="","",IF(ROUND($F233,2)&gt;0,$A233,IF($D233="شخصی قاسم","شخصی قاسم",IF($D233="هزینه","هزینه: "&amp;IF($E233="","متفرقه",$E233),IF($C233="پاس چک","چک پرداختی",IF(OR($B233="",COUNTIF(AcctCodesA,$B233)=0),"متفرقه",$B233))))))</f>
        <v/>
      </c>
      <c r="J233">
        <f>IF($H233="","",IF(ROUND($F233,2)&gt;0,IF($D233="شخصی قاسم","شخصی قاسم",IF($D233="هزینه","هزینه: "&amp;IF($E233="","متفرقه",$E233),IF(OR($B233="",COUNTIF(AcctCodesA,$B233)=0),"متفرقه",$B233))),$A233))</f>
        <v/>
      </c>
      <c r="K233">
        <f>IF($A233="","",IF(AND($B233&lt;&gt;"",COUNTIF(AcctCodesA,$B233)=0),"کد طرف در INFO تعریف نشده",IF(AND($D233="هزینه",$E233=""),"هزینه بدون زیرگروه",IF(AND($C233="پاس چک",OR(Sync!$AJ233="",COUNTIF(IssueNosA,Sync!$AJ233)=0)),"شماره چک پاس‌شده معتبر نیست",""))))</f>
        <v/>
      </c>
      <c r="M233">
        <f>IF(Sync!$AH233="","",Sync!$AH233)</f>
        <v/>
      </c>
      <c r="N233">
        <f>IF($M233="","",IF(OR(Sync!$AI233="",COUNTIF(AcctCodesA,Sync!$AI233)=0),"متفرقه",Sync!$AI233))</f>
        <v/>
      </c>
      <c r="O233">
        <f>IF($M233="","",$N233)</f>
        <v/>
      </c>
      <c r="P233">
        <f>IF($M233="","","چک پرداختی")</f>
        <v/>
      </c>
      <c r="R233">
        <f>IF($M233="","",IF(COUNTIF(AcctCodesA,Sync!$AI233)=0,"ذی‌نفع چک تعریف‌نشده",""))</f>
        <v/>
      </c>
      <c r="S233">
        <f>IF($R233="","",Sync!$AG233&amp;"|"&amp;"5"&amp;RIGHT("00000"&amp;228,5))</f>
        <v/>
      </c>
      <c r="T233">
        <f>IF($S233="",0,COUNTIFS($S$6:$S$505,"&lt;"&amp;$S233)-COUNTIFS($S$6:$S$505,"&lt;"&amp;$S233,$R$6:$R$505,"")+1)</f>
        <v/>
      </c>
      <c r="V233">
        <f>IF($K233="","",IF(ISNUMBER(Sync!$AK233),Sync!$AK233,LEFT(Sync!$AK233,4)&amp;MID(Sync!$AK233,6,2)&amp;RIGHT(Sync!$AK233,2))&amp;"|"&amp;"4"&amp;RIGHT("00000"&amp;228,5))</f>
        <v/>
      </c>
      <c r="W233">
        <f>IF($V233="",0,COUNTIFS($V$6:$V$2005,"&lt;"&amp;$V233)-COUNTIFS($V$6:$V$2005,"&lt;"&amp;$V233,$K$6:$K$2005,"")+1)</f>
        <v/>
      </c>
      <c r="X233">
        <f>IF(Sync!$AX233="","",IF(OR(N(Sync!$AY233)=0,N(Sync!$AZ233)=0),"",ROUND(N(Sync!$AY233)*N(Sync!$AZ233),0)))</f>
        <v/>
      </c>
      <c r="Y233">
        <f>IF($X233="","",IF(OR(Sync!$AX233="",COUNTIF(AcctCodesA,Sync!$AX233)=0),"متفرقه",Sync!$AX233))</f>
        <v/>
      </c>
      <c r="Z233">
        <f>IF($X233="","","سبد و ظروف")</f>
        <v/>
      </c>
      <c r="AA233">
        <f>IF($X233="","",$Y233)</f>
        <v/>
      </c>
    </row>
    <row r="234">
      <c r="A234">
        <f>IF(Sync!$Z234="","",LEFT(UPPER(TRIM(Sync!$Z234)),6))</f>
        <v/>
      </c>
      <c r="B234">
        <f>IF($A234="","",IF(Sync!$AA234="","",Sync!$AA234))</f>
        <v/>
      </c>
      <c r="C234">
        <f>IF($A234="","",IF(Sync!$AB234="","",Sync!$AB234))</f>
        <v/>
      </c>
      <c r="D234">
        <f>IF($A234="","",IF(Sync!$AC234="","",Sync!$AC234))</f>
        <v/>
      </c>
      <c r="E234">
        <f>IF($A234="","",IF(Sync!$AD234="","",Sync!$AD234))</f>
        <v/>
      </c>
      <c r="F234">
        <f>IF($A234="","",IF(Sync!$AE234="",0,Sync!$AE234))</f>
        <v/>
      </c>
      <c r="G234">
        <f>IF($A234="","",IF(Sync!$AF234="",0,Sync!$AF234))</f>
        <v/>
      </c>
      <c r="H234">
        <f>IF(OR($A234="",ROUND($F234+$G234,2)=0),"",$F234+$G234)</f>
        <v/>
      </c>
      <c r="I234">
        <f>IF($H234="","",IF(ROUND($F234,2)&gt;0,$A234,IF($D234="شخصی قاسم","شخصی قاسم",IF($D234="هزینه","هزینه: "&amp;IF($E234="","متفرقه",$E234),IF($C234="پاس چک","چک پرداختی",IF(OR($B234="",COUNTIF(AcctCodesA,$B234)=0),"متفرقه",$B234))))))</f>
        <v/>
      </c>
      <c r="J234">
        <f>IF($H234="","",IF(ROUND($F234,2)&gt;0,IF($D234="شخصی قاسم","شخصی قاسم",IF($D234="هزینه","هزینه: "&amp;IF($E234="","متفرقه",$E234),IF(OR($B234="",COUNTIF(AcctCodesA,$B234)=0),"متفرقه",$B234))),$A234))</f>
        <v/>
      </c>
      <c r="K234">
        <f>IF($A234="","",IF(AND($B234&lt;&gt;"",COUNTIF(AcctCodesA,$B234)=0),"کد طرف در INFO تعریف نشده",IF(AND($D234="هزینه",$E234=""),"هزینه بدون زیرگروه",IF(AND($C234="پاس چک",OR(Sync!$AJ234="",COUNTIF(IssueNosA,Sync!$AJ234)=0)),"شماره چک پاس‌شده معتبر نیست",""))))</f>
        <v/>
      </c>
      <c r="M234">
        <f>IF(Sync!$AH234="","",Sync!$AH234)</f>
        <v/>
      </c>
      <c r="N234">
        <f>IF($M234="","",IF(OR(Sync!$AI234="",COUNTIF(AcctCodesA,Sync!$AI234)=0),"متفرقه",Sync!$AI234))</f>
        <v/>
      </c>
      <c r="O234">
        <f>IF($M234="","",$N234)</f>
        <v/>
      </c>
      <c r="P234">
        <f>IF($M234="","","چک پرداختی")</f>
        <v/>
      </c>
      <c r="R234">
        <f>IF($M234="","",IF(COUNTIF(AcctCodesA,Sync!$AI234)=0,"ذی‌نفع چک تعریف‌نشده",""))</f>
        <v/>
      </c>
      <c r="S234">
        <f>IF($R234="","",Sync!$AG234&amp;"|"&amp;"5"&amp;RIGHT("00000"&amp;229,5))</f>
        <v/>
      </c>
      <c r="T234">
        <f>IF($S234="",0,COUNTIFS($S$6:$S$505,"&lt;"&amp;$S234)-COUNTIFS($S$6:$S$505,"&lt;"&amp;$S234,$R$6:$R$505,"")+1)</f>
        <v/>
      </c>
      <c r="V234">
        <f>IF($K234="","",IF(ISNUMBER(Sync!$AK234),Sync!$AK234,LEFT(Sync!$AK234,4)&amp;MID(Sync!$AK234,6,2)&amp;RIGHT(Sync!$AK234,2))&amp;"|"&amp;"4"&amp;RIGHT("00000"&amp;229,5))</f>
        <v/>
      </c>
      <c r="W234">
        <f>IF($V234="",0,COUNTIFS($V$6:$V$2005,"&lt;"&amp;$V234)-COUNTIFS($V$6:$V$2005,"&lt;"&amp;$V234,$K$6:$K$2005,"")+1)</f>
        <v/>
      </c>
      <c r="X234">
        <f>IF(Sync!$AX234="","",IF(OR(N(Sync!$AY234)=0,N(Sync!$AZ234)=0),"",ROUND(N(Sync!$AY234)*N(Sync!$AZ234),0)))</f>
        <v/>
      </c>
      <c r="Y234">
        <f>IF($X234="","",IF(OR(Sync!$AX234="",COUNTIF(AcctCodesA,Sync!$AX234)=0),"متفرقه",Sync!$AX234))</f>
        <v/>
      </c>
      <c r="Z234">
        <f>IF($X234="","","سبد و ظروف")</f>
        <v/>
      </c>
      <c r="AA234">
        <f>IF($X234="","",$Y234)</f>
        <v/>
      </c>
    </row>
    <row r="235">
      <c r="A235">
        <f>IF(Sync!$Z235="","",LEFT(UPPER(TRIM(Sync!$Z235)),6))</f>
        <v/>
      </c>
      <c r="B235">
        <f>IF($A235="","",IF(Sync!$AA235="","",Sync!$AA235))</f>
        <v/>
      </c>
      <c r="C235">
        <f>IF($A235="","",IF(Sync!$AB235="","",Sync!$AB235))</f>
        <v/>
      </c>
      <c r="D235">
        <f>IF($A235="","",IF(Sync!$AC235="","",Sync!$AC235))</f>
        <v/>
      </c>
      <c r="E235">
        <f>IF($A235="","",IF(Sync!$AD235="","",Sync!$AD235))</f>
        <v/>
      </c>
      <c r="F235">
        <f>IF($A235="","",IF(Sync!$AE235="",0,Sync!$AE235))</f>
        <v/>
      </c>
      <c r="G235">
        <f>IF($A235="","",IF(Sync!$AF235="",0,Sync!$AF235))</f>
        <v/>
      </c>
      <c r="H235">
        <f>IF(OR($A235="",ROUND($F235+$G235,2)=0),"",$F235+$G235)</f>
        <v/>
      </c>
      <c r="I235">
        <f>IF($H235="","",IF(ROUND($F235,2)&gt;0,$A235,IF($D235="شخصی قاسم","شخصی قاسم",IF($D235="هزینه","هزینه: "&amp;IF($E235="","متفرقه",$E235),IF($C235="پاس چک","چک پرداختی",IF(OR($B235="",COUNTIF(AcctCodesA,$B235)=0),"متفرقه",$B235))))))</f>
        <v/>
      </c>
      <c r="J235">
        <f>IF($H235="","",IF(ROUND($F235,2)&gt;0,IF($D235="شخصی قاسم","شخصی قاسم",IF($D235="هزینه","هزینه: "&amp;IF($E235="","متفرقه",$E235),IF(OR($B235="",COUNTIF(AcctCodesA,$B235)=0),"متفرقه",$B235))),$A235))</f>
        <v/>
      </c>
      <c r="K235">
        <f>IF($A235="","",IF(AND($B235&lt;&gt;"",COUNTIF(AcctCodesA,$B235)=0),"کد طرف در INFO تعریف نشده",IF(AND($D235="هزینه",$E235=""),"هزینه بدون زیرگروه",IF(AND($C235="پاس چک",OR(Sync!$AJ235="",COUNTIF(IssueNosA,Sync!$AJ235)=0)),"شماره چک پاس‌شده معتبر نیست",""))))</f>
        <v/>
      </c>
      <c r="M235">
        <f>IF(Sync!$AH235="","",Sync!$AH235)</f>
        <v/>
      </c>
      <c r="N235">
        <f>IF($M235="","",IF(OR(Sync!$AI235="",COUNTIF(AcctCodesA,Sync!$AI235)=0),"متفرقه",Sync!$AI235))</f>
        <v/>
      </c>
      <c r="O235">
        <f>IF($M235="","",$N235)</f>
        <v/>
      </c>
      <c r="P235">
        <f>IF($M235="","","چک پرداختی")</f>
        <v/>
      </c>
      <c r="R235">
        <f>IF($M235="","",IF(COUNTIF(AcctCodesA,Sync!$AI235)=0,"ذی‌نفع چک تعریف‌نشده",""))</f>
        <v/>
      </c>
      <c r="S235">
        <f>IF($R235="","",Sync!$AG235&amp;"|"&amp;"5"&amp;RIGHT("00000"&amp;230,5))</f>
        <v/>
      </c>
      <c r="T235">
        <f>IF($S235="",0,COUNTIFS($S$6:$S$505,"&lt;"&amp;$S235)-COUNTIFS($S$6:$S$505,"&lt;"&amp;$S235,$R$6:$R$505,"")+1)</f>
        <v/>
      </c>
      <c r="V235">
        <f>IF($K235="","",IF(ISNUMBER(Sync!$AK235),Sync!$AK235,LEFT(Sync!$AK235,4)&amp;MID(Sync!$AK235,6,2)&amp;RIGHT(Sync!$AK235,2))&amp;"|"&amp;"4"&amp;RIGHT("00000"&amp;230,5))</f>
        <v/>
      </c>
      <c r="W235">
        <f>IF($V235="",0,COUNTIFS($V$6:$V$2005,"&lt;"&amp;$V235)-COUNTIFS($V$6:$V$2005,"&lt;"&amp;$V235,$K$6:$K$2005,"")+1)</f>
        <v/>
      </c>
      <c r="X235">
        <f>IF(Sync!$AX235="","",IF(OR(N(Sync!$AY235)=0,N(Sync!$AZ235)=0),"",ROUND(N(Sync!$AY235)*N(Sync!$AZ235),0)))</f>
        <v/>
      </c>
      <c r="Y235">
        <f>IF($X235="","",IF(OR(Sync!$AX235="",COUNTIF(AcctCodesA,Sync!$AX235)=0),"متفرقه",Sync!$AX235))</f>
        <v/>
      </c>
      <c r="Z235">
        <f>IF($X235="","","سبد و ظروف")</f>
        <v/>
      </c>
      <c r="AA235">
        <f>IF($X235="","",$Y235)</f>
        <v/>
      </c>
    </row>
    <row r="236">
      <c r="A236">
        <f>IF(Sync!$Z236="","",LEFT(UPPER(TRIM(Sync!$Z236)),6))</f>
        <v/>
      </c>
      <c r="B236">
        <f>IF($A236="","",IF(Sync!$AA236="","",Sync!$AA236))</f>
        <v/>
      </c>
      <c r="C236">
        <f>IF($A236="","",IF(Sync!$AB236="","",Sync!$AB236))</f>
        <v/>
      </c>
      <c r="D236">
        <f>IF($A236="","",IF(Sync!$AC236="","",Sync!$AC236))</f>
        <v/>
      </c>
      <c r="E236">
        <f>IF($A236="","",IF(Sync!$AD236="","",Sync!$AD236))</f>
        <v/>
      </c>
      <c r="F236">
        <f>IF($A236="","",IF(Sync!$AE236="",0,Sync!$AE236))</f>
        <v/>
      </c>
      <c r="G236">
        <f>IF($A236="","",IF(Sync!$AF236="",0,Sync!$AF236))</f>
        <v/>
      </c>
      <c r="H236">
        <f>IF(OR($A236="",ROUND($F236+$G236,2)=0),"",$F236+$G236)</f>
        <v/>
      </c>
      <c r="I236">
        <f>IF($H236="","",IF(ROUND($F236,2)&gt;0,$A236,IF($D236="شخصی قاسم","شخصی قاسم",IF($D236="هزینه","هزینه: "&amp;IF($E236="","متفرقه",$E236),IF($C236="پاس چک","چک پرداختی",IF(OR($B236="",COUNTIF(AcctCodesA,$B236)=0),"متفرقه",$B236))))))</f>
        <v/>
      </c>
      <c r="J236">
        <f>IF($H236="","",IF(ROUND($F236,2)&gt;0,IF($D236="شخصی قاسم","شخصی قاسم",IF($D236="هزینه","هزینه: "&amp;IF($E236="","متفرقه",$E236),IF(OR($B236="",COUNTIF(AcctCodesA,$B236)=0),"متفرقه",$B236))),$A236))</f>
        <v/>
      </c>
      <c r="K236">
        <f>IF($A236="","",IF(AND($B236&lt;&gt;"",COUNTIF(AcctCodesA,$B236)=0),"کد طرف در INFO تعریف نشده",IF(AND($D236="هزینه",$E236=""),"هزینه بدون زیرگروه",IF(AND($C236="پاس چک",OR(Sync!$AJ236="",COUNTIF(IssueNosA,Sync!$AJ236)=0)),"شماره چک پاس‌شده معتبر نیست",""))))</f>
        <v/>
      </c>
      <c r="M236">
        <f>IF(Sync!$AH236="","",Sync!$AH236)</f>
        <v/>
      </c>
      <c r="N236">
        <f>IF($M236="","",IF(OR(Sync!$AI236="",COUNTIF(AcctCodesA,Sync!$AI236)=0),"متفرقه",Sync!$AI236))</f>
        <v/>
      </c>
      <c r="O236">
        <f>IF($M236="","",$N236)</f>
        <v/>
      </c>
      <c r="P236">
        <f>IF($M236="","","چک پرداختی")</f>
        <v/>
      </c>
      <c r="R236">
        <f>IF($M236="","",IF(COUNTIF(AcctCodesA,Sync!$AI236)=0,"ذی‌نفع چک تعریف‌نشده",""))</f>
        <v/>
      </c>
      <c r="S236">
        <f>IF($R236="","",Sync!$AG236&amp;"|"&amp;"5"&amp;RIGHT("00000"&amp;231,5))</f>
        <v/>
      </c>
      <c r="T236">
        <f>IF($S236="",0,COUNTIFS($S$6:$S$505,"&lt;"&amp;$S236)-COUNTIFS($S$6:$S$505,"&lt;"&amp;$S236,$R$6:$R$505,"")+1)</f>
        <v/>
      </c>
      <c r="V236">
        <f>IF($K236="","",IF(ISNUMBER(Sync!$AK236),Sync!$AK236,LEFT(Sync!$AK236,4)&amp;MID(Sync!$AK236,6,2)&amp;RIGHT(Sync!$AK236,2))&amp;"|"&amp;"4"&amp;RIGHT("00000"&amp;231,5))</f>
        <v/>
      </c>
      <c r="W236">
        <f>IF($V236="",0,COUNTIFS($V$6:$V$2005,"&lt;"&amp;$V236)-COUNTIFS($V$6:$V$2005,"&lt;"&amp;$V236,$K$6:$K$2005,"")+1)</f>
        <v/>
      </c>
      <c r="X236">
        <f>IF(Sync!$AX236="","",IF(OR(N(Sync!$AY236)=0,N(Sync!$AZ236)=0),"",ROUND(N(Sync!$AY236)*N(Sync!$AZ236),0)))</f>
        <v/>
      </c>
      <c r="Y236">
        <f>IF($X236="","",IF(OR(Sync!$AX236="",COUNTIF(AcctCodesA,Sync!$AX236)=0),"متفرقه",Sync!$AX236))</f>
        <v/>
      </c>
      <c r="Z236">
        <f>IF($X236="","","سبد و ظروف")</f>
        <v/>
      </c>
      <c r="AA236">
        <f>IF($X236="","",$Y236)</f>
        <v/>
      </c>
    </row>
    <row r="237">
      <c r="A237">
        <f>IF(Sync!$Z237="","",LEFT(UPPER(TRIM(Sync!$Z237)),6))</f>
        <v/>
      </c>
      <c r="B237">
        <f>IF($A237="","",IF(Sync!$AA237="","",Sync!$AA237))</f>
        <v/>
      </c>
      <c r="C237">
        <f>IF($A237="","",IF(Sync!$AB237="","",Sync!$AB237))</f>
        <v/>
      </c>
      <c r="D237">
        <f>IF($A237="","",IF(Sync!$AC237="","",Sync!$AC237))</f>
        <v/>
      </c>
      <c r="E237">
        <f>IF($A237="","",IF(Sync!$AD237="","",Sync!$AD237))</f>
        <v/>
      </c>
      <c r="F237">
        <f>IF($A237="","",IF(Sync!$AE237="",0,Sync!$AE237))</f>
        <v/>
      </c>
      <c r="G237">
        <f>IF($A237="","",IF(Sync!$AF237="",0,Sync!$AF237))</f>
        <v/>
      </c>
      <c r="H237">
        <f>IF(OR($A237="",ROUND($F237+$G237,2)=0),"",$F237+$G237)</f>
        <v/>
      </c>
      <c r="I237">
        <f>IF($H237="","",IF(ROUND($F237,2)&gt;0,$A237,IF($D237="شخصی قاسم","شخصی قاسم",IF($D237="هزینه","هزینه: "&amp;IF($E237="","متفرقه",$E237),IF($C237="پاس چک","چک پرداختی",IF(OR($B237="",COUNTIF(AcctCodesA,$B237)=0),"متفرقه",$B237))))))</f>
        <v/>
      </c>
      <c r="J237">
        <f>IF($H237="","",IF(ROUND($F237,2)&gt;0,IF($D237="شخصی قاسم","شخصی قاسم",IF($D237="هزینه","هزینه: "&amp;IF($E237="","متفرقه",$E237),IF(OR($B237="",COUNTIF(AcctCodesA,$B237)=0),"متفرقه",$B237))),$A237))</f>
        <v/>
      </c>
      <c r="K237">
        <f>IF($A237="","",IF(AND($B237&lt;&gt;"",COUNTIF(AcctCodesA,$B237)=0),"کد طرف در INFO تعریف نشده",IF(AND($D237="هزینه",$E237=""),"هزینه بدون زیرگروه",IF(AND($C237="پاس چک",OR(Sync!$AJ237="",COUNTIF(IssueNosA,Sync!$AJ237)=0)),"شماره چک پاس‌شده معتبر نیست",""))))</f>
        <v/>
      </c>
      <c r="M237">
        <f>IF(Sync!$AH237="","",Sync!$AH237)</f>
        <v/>
      </c>
      <c r="N237">
        <f>IF($M237="","",IF(OR(Sync!$AI237="",COUNTIF(AcctCodesA,Sync!$AI237)=0),"متفرقه",Sync!$AI237))</f>
        <v/>
      </c>
      <c r="O237">
        <f>IF($M237="","",$N237)</f>
        <v/>
      </c>
      <c r="P237">
        <f>IF($M237="","","چک پرداختی")</f>
        <v/>
      </c>
      <c r="R237">
        <f>IF($M237="","",IF(COUNTIF(AcctCodesA,Sync!$AI237)=0,"ذی‌نفع چک تعریف‌نشده",""))</f>
        <v/>
      </c>
      <c r="S237">
        <f>IF($R237="","",Sync!$AG237&amp;"|"&amp;"5"&amp;RIGHT("00000"&amp;232,5))</f>
        <v/>
      </c>
      <c r="T237">
        <f>IF($S237="",0,COUNTIFS($S$6:$S$505,"&lt;"&amp;$S237)-COUNTIFS($S$6:$S$505,"&lt;"&amp;$S237,$R$6:$R$505,"")+1)</f>
        <v/>
      </c>
      <c r="V237">
        <f>IF($K237="","",IF(ISNUMBER(Sync!$AK237),Sync!$AK237,LEFT(Sync!$AK237,4)&amp;MID(Sync!$AK237,6,2)&amp;RIGHT(Sync!$AK237,2))&amp;"|"&amp;"4"&amp;RIGHT("00000"&amp;232,5))</f>
        <v/>
      </c>
      <c r="W237">
        <f>IF($V237="",0,COUNTIFS($V$6:$V$2005,"&lt;"&amp;$V237)-COUNTIFS($V$6:$V$2005,"&lt;"&amp;$V237,$K$6:$K$2005,"")+1)</f>
        <v/>
      </c>
      <c r="X237">
        <f>IF(Sync!$AX237="","",IF(OR(N(Sync!$AY237)=0,N(Sync!$AZ237)=0),"",ROUND(N(Sync!$AY237)*N(Sync!$AZ237),0)))</f>
        <v/>
      </c>
      <c r="Y237">
        <f>IF($X237="","",IF(OR(Sync!$AX237="",COUNTIF(AcctCodesA,Sync!$AX237)=0),"متفرقه",Sync!$AX237))</f>
        <v/>
      </c>
      <c r="Z237">
        <f>IF($X237="","","سبد و ظروف")</f>
        <v/>
      </c>
      <c r="AA237">
        <f>IF($X237="","",$Y237)</f>
        <v/>
      </c>
    </row>
    <row r="238">
      <c r="A238">
        <f>IF(Sync!$Z238="","",LEFT(UPPER(TRIM(Sync!$Z238)),6))</f>
        <v/>
      </c>
      <c r="B238">
        <f>IF($A238="","",IF(Sync!$AA238="","",Sync!$AA238))</f>
        <v/>
      </c>
      <c r="C238">
        <f>IF($A238="","",IF(Sync!$AB238="","",Sync!$AB238))</f>
        <v/>
      </c>
      <c r="D238">
        <f>IF($A238="","",IF(Sync!$AC238="","",Sync!$AC238))</f>
        <v/>
      </c>
      <c r="E238">
        <f>IF($A238="","",IF(Sync!$AD238="","",Sync!$AD238))</f>
        <v/>
      </c>
      <c r="F238">
        <f>IF($A238="","",IF(Sync!$AE238="",0,Sync!$AE238))</f>
        <v/>
      </c>
      <c r="G238">
        <f>IF($A238="","",IF(Sync!$AF238="",0,Sync!$AF238))</f>
        <v/>
      </c>
      <c r="H238">
        <f>IF(OR($A238="",ROUND($F238+$G238,2)=0),"",$F238+$G238)</f>
        <v/>
      </c>
      <c r="I238">
        <f>IF($H238="","",IF(ROUND($F238,2)&gt;0,$A238,IF($D238="شخصی قاسم","شخصی قاسم",IF($D238="هزینه","هزینه: "&amp;IF($E238="","متفرقه",$E238),IF($C238="پاس چک","چک پرداختی",IF(OR($B238="",COUNTIF(AcctCodesA,$B238)=0),"متفرقه",$B238))))))</f>
        <v/>
      </c>
      <c r="J238">
        <f>IF($H238="","",IF(ROUND($F238,2)&gt;0,IF($D238="شخصی قاسم","شخصی قاسم",IF($D238="هزینه","هزینه: "&amp;IF($E238="","متفرقه",$E238),IF(OR($B238="",COUNTIF(AcctCodesA,$B238)=0),"متفرقه",$B238))),$A238))</f>
        <v/>
      </c>
      <c r="K238">
        <f>IF($A238="","",IF(AND($B238&lt;&gt;"",COUNTIF(AcctCodesA,$B238)=0),"کد طرف در INFO تعریف نشده",IF(AND($D238="هزینه",$E238=""),"هزینه بدون زیرگروه",IF(AND($C238="پاس چک",OR(Sync!$AJ238="",COUNTIF(IssueNosA,Sync!$AJ238)=0)),"شماره چک پاس‌شده معتبر نیست",""))))</f>
        <v/>
      </c>
      <c r="M238">
        <f>IF(Sync!$AH238="","",Sync!$AH238)</f>
        <v/>
      </c>
      <c r="N238">
        <f>IF($M238="","",IF(OR(Sync!$AI238="",COUNTIF(AcctCodesA,Sync!$AI238)=0),"متفرقه",Sync!$AI238))</f>
        <v/>
      </c>
      <c r="O238">
        <f>IF($M238="","",$N238)</f>
        <v/>
      </c>
      <c r="P238">
        <f>IF($M238="","","چک پرداختی")</f>
        <v/>
      </c>
      <c r="R238">
        <f>IF($M238="","",IF(COUNTIF(AcctCodesA,Sync!$AI238)=0,"ذی‌نفع چک تعریف‌نشده",""))</f>
        <v/>
      </c>
      <c r="S238">
        <f>IF($R238="","",Sync!$AG238&amp;"|"&amp;"5"&amp;RIGHT("00000"&amp;233,5))</f>
        <v/>
      </c>
      <c r="T238">
        <f>IF($S238="",0,COUNTIFS($S$6:$S$505,"&lt;"&amp;$S238)-COUNTIFS($S$6:$S$505,"&lt;"&amp;$S238,$R$6:$R$505,"")+1)</f>
        <v/>
      </c>
      <c r="V238">
        <f>IF($K238="","",IF(ISNUMBER(Sync!$AK238),Sync!$AK238,LEFT(Sync!$AK238,4)&amp;MID(Sync!$AK238,6,2)&amp;RIGHT(Sync!$AK238,2))&amp;"|"&amp;"4"&amp;RIGHT("00000"&amp;233,5))</f>
        <v/>
      </c>
      <c r="W238">
        <f>IF($V238="",0,COUNTIFS($V$6:$V$2005,"&lt;"&amp;$V238)-COUNTIFS($V$6:$V$2005,"&lt;"&amp;$V238,$K$6:$K$2005,"")+1)</f>
        <v/>
      </c>
      <c r="X238">
        <f>IF(Sync!$AX238="","",IF(OR(N(Sync!$AY238)=0,N(Sync!$AZ238)=0),"",ROUND(N(Sync!$AY238)*N(Sync!$AZ238),0)))</f>
        <v/>
      </c>
      <c r="Y238">
        <f>IF($X238="","",IF(OR(Sync!$AX238="",COUNTIF(AcctCodesA,Sync!$AX238)=0),"متفرقه",Sync!$AX238))</f>
        <v/>
      </c>
      <c r="Z238">
        <f>IF($X238="","","سبد و ظروف")</f>
        <v/>
      </c>
      <c r="AA238">
        <f>IF($X238="","",$Y238)</f>
        <v/>
      </c>
    </row>
    <row r="239">
      <c r="A239">
        <f>IF(Sync!$Z239="","",LEFT(UPPER(TRIM(Sync!$Z239)),6))</f>
        <v/>
      </c>
      <c r="B239">
        <f>IF($A239="","",IF(Sync!$AA239="","",Sync!$AA239))</f>
        <v/>
      </c>
      <c r="C239">
        <f>IF($A239="","",IF(Sync!$AB239="","",Sync!$AB239))</f>
        <v/>
      </c>
      <c r="D239">
        <f>IF($A239="","",IF(Sync!$AC239="","",Sync!$AC239))</f>
        <v/>
      </c>
      <c r="E239">
        <f>IF($A239="","",IF(Sync!$AD239="","",Sync!$AD239))</f>
        <v/>
      </c>
      <c r="F239">
        <f>IF($A239="","",IF(Sync!$AE239="",0,Sync!$AE239))</f>
        <v/>
      </c>
      <c r="G239">
        <f>IF($A239="","",IF(Sync!$AF239="",0,Sync!$AF239))</f>
        <v/>
      </c>
      <c r="H239">
        <f>IF(OR($A239="",ROUND($F239+$G239,2)=0),"",$F239+$G239)</f>
        <v/>
      </c>
      <c r="I239">
        <f>IF($H239="","",IF(ROUND($F239,2)&gt;0,$A239,IF($D239="شخصی قاسم","شخصی قاسم",IF($D239="هزینه","هزینه: "&amp;IF($E239="","متفرقه",$E239),IF($C239="پاس چک","چک پرداختی",IF(OR($B239="",COUNTIF(AcctCodesA,$B239)=0),"متفرقه",$B239))))))</f>
        <v/>
      </c>
      <c r="J239">
        <f>IF($H239="","",IF(ROUND($F239,2)&gt;0,IF($D239="شخصی قاسم","شخصی قاسم",IF($D239="هزینه","هزینه: "&amp;IF($E239="","متفرقه",$E239),IF(OR($B239="",COUNTIF(AcctCodesA,$B239)=0),"متفرقه",$B239))),$A239))</f>
        <v/>
      </c>
      <c r="K239">
        <f>IF($A239="","",IF(AND($B239&lt;&gt;"",COUNTIF(AcctCodesA,$B239)=0),"کد طرف در INFO تعریف نشده",IF(AND($D239="هزینه",$E239=""),"هزینه بدون زیرگروه",IF(AND($C239="پاس چک",OR(Sync!$AJ239="",COUNTIF(IssueNosA,Sync!$AJ239)=0)),"شماره چک پاس‌شده معتبر نیست",""))))</f>
        <v/>
      </c>
      <c r="M239">
        <f>IF(Sync!$AH239="","",Sync!$AH239)</f>
        <v/>
      </c>
      <c r="N239">
        <f>IF($M239="","",IF(OR(Sync!$AI239="",COUNTIF(AcctCodesA,Sync!$AI239)=0),"متفرقه",Sync!$AI239))</f>
        <v/>
      </c>
      <c r="O239">
        <f>IF($M239="","",$N239)</f>
        <v/>
      </c>
      <c r="P239">
        <f>IF($M239="","","چک پرداختی")</f>
        <v/>
      </c>
      <c r="R239">
        <f>IF($M239="","",IF(COUNTIF(AcctCodesA,Sync!$AI239)=0,"ذی‌نفع چک تعریف‌نشده",""))</f>
        <v/>
      </c>
      <c r="S239">
        <f>IF($R239="","",Sync!$AG239&amp;"|"&amp;"5"&amp;RIGHT("00000"&amp;234,5))</f>
        <v/>
      </c>
      <c r="T239">
        <f>IF($S239="",0,COUNTIFS($S$6:$S$505,"&lt;"&amp;$S239)-COUNTIFS($S$6:$S$505,"&lt;"&amp;$S239,$R$6:$R$505,"")+1)</f>
        <v/>
      </c>
      <c r="V239">
        <f>IF($K239="","",IF(ISNUMBER(Sync!$AK239),Sync!$AK239,LEFT(Sync!$AK239,4)&amp;MID(Sync!$AK239,6,2)&amp;RIGHT(Sync!$AK239,2))&amp;"|"&amp;"4"&amp;RIGHT("00000"&amp;234,5))</f>
        <v/>
      </c>
      <c r="W239">
        <f>IF($V239="",0,COUNTIFS($V$6:$V$2005,"&lt;"&amp;$V239)-COUNTIFS($V$6:$V$2005,"&lt;"&amp;$V239,$K$6:$K$2005,"")+1)</f>
        <v/>
      </c>
      <c r="X239">
        <f>IF(Sync!$AX239="","",IF(OR(N(Sync!$AY239)=0,N(Sync!$AZ239)=0),"",ROUND(N(Sync!$AY239)*N(Sync!$AZ239),0)))</f>
        <v/>
      </c>
      <c r="Y239">
        <f>IF($X239="","",IF(OR(Sync!$AX239="",COUNTIF(AcctCodesA,Sync!$AX239)=0),"متفرقه",Sync!$AX239))</f>
        <v/>
      </c>
      <c r="Z239">
        <f>IF($X239="","","سبد و ظروف")</f>
        <v/>
      </c>
      <c r="AA239">
        <f>IF($X239="","",$Y239)</f>
        <v/>
      </c>
    </row>
    <row r="240">
      <c r="A240">
        <f>IF(Sync!$Z240="","",LEFT(UPPER(TRIM(Sync!$Z240)),6))</f>
        <v/>
      </c>
      <c r="B240">
        <f>IF($A240="","",IF(Sync!$AA240="","",Sync!$AA240))</f>
        <v/>
      </c>
      <c r="C240">
        <f>IF($A240="","",IF(Sync!$AB240="","",Sync!$AB240))</f>
        <v/>
      </c>
      <c r="D240">
        <f>IF($A240="","",IF(Sync!$AC240="","",Sync!$AC240))</f>
        <v/>
      </c>
      <c r="E240">
        <f>IF($A240="","",IF(Sync!$AD240="","",Sync!$AD240))</f>
        <v/>
      </c>
      <c r="F240">
        <f>IF($A240="","",IF(Sync!$AE240="",0,Sync!$AE240))</f>
        <v/>
      </c>
      <c r="G240">
        <f>IF($A240="","",IF(Sync!$AF240="",0,Sync!$AF240))</f>
        <v/>
      </c>
      <c r="H240">
        <f>IF(OR($A240="",ROUND($F240+$G240,2)=0),"",$F240+$G240)</f>
        <v/>
      </c>
      <c r="I240">
        <f>IF($H240="","",IF(ROUND($F240,2)&gt;0,$A240,IF($D240="شخصی قاسم","شخصی قاسم",IF($D240="هزینه","هزینه: "&amp;IF($E240="","متفرقه",$E240),IF($C240="پاس چک","چک پرداختی",IF(OR($B240="",COUNTIF(AcctCodesA,$B240)=0),"متفرقه",$B240))))))</f>
        <v/>
      </c>
      <c r="J240">
        <f>IF($H240="","",IF(ROUND($F240,2)&gt;0,IF($D240="شخصی قاسم","شخصی قاسم",IF($D240="هزینه","هزینه: "&amp;IF($E240="","متفرقه",$E240),IF(OR($B240="",COUNTIF(AcctCodesA,$B240)=0),"متفرقه",$B240))),$A240))</f>
        <v/>
      </c>
      <c r="K240">
        <f>IF($A240="","",IF(AND($B240&lt;&gt;"",COUNTIF(AcctCodesA,$B240)=0),"کد طرف در INFO تعریف نشده",IF(AND($D240="هزینه",$E240=""),"هزینه بدون زیرگروه",IF(AND($C240="پاس چک",OR(Sync!$AJ240="",COUNTIF(IssueNosA,Sync!$AJ240)=0)),"شماره چک پاس‌شده معتبر نیست",""))))</f>
        <v/>
      </c>
      <c r="M240">
        <f>IF(Sync!$AH240="","",Sync!$AH240)</f>
        <v/>
      </c>
      <c r="N240">
        <f>IF($M240="","",IF(OR(Sync!$AI240="",COUNTIF(AcctCodesA,Sync!$AI240)=0),"متفرقه",Sync!$AI240))</f>
        <v/>
      </c>
      <c r="O240">
        <f>IF($M240="","",$N240)</f>
        <v/>
      </c>
      <c r="P240">
        <f>IF($M240="","","چک پرداختی")</f>
        <v/>
      </c>
      <c r="R240">
        <f>IF($M240="","",IF(COUNTIF(AcctCodesA,Sync!$AI240)=0,"ذی‌نفع چک تعریف‌نشده",""))</f>
        <v/>
      </c>
      <c r="S240">
        <f>IF($R240="","",Sync!$AG240&amp;"|"&amp;"5"&amp;RIGHT("00000"&amp;235,5))</f>
        <v/>
      </c>
      <c r="T240">
        <f>IF($S240="",0,COUNTIFS($S$6:$S$505,"&lt;"&amp;$S240)-COUNTIFS($S$6:$S$505,"&lt;"&amp;$S240,$R$6:$R$505,"")+1)</f>
        <v/>
      </c>
      <c r="V240">
        <f>IF($K240="","",IF(ISNUMBER(Sync!$AK240),Sync!$AK240,LEFT(Sync!$AK240,4)&amp;MID(Sync!$AK240,6,2)&amp;RIGHT(Sync!$AK240,2))&amp;"|"&amp;"4"&amp;RIGHT("00000"&amp;235,5))</f>
        <v/>
      </c>
      <c r="W240">
        <f>IF($V240="",0,COUNTIFS($V$6:$V$2005,"&lt;"&amp;$V240)-COUNTIFS($V$6:$V$2005,"&lt;"&amp;$V240,$K$6:$K$2005,"")+1)</f>
        <v/>
      </c>
      <c r="X240">
        <f>IF(Sync!$AX240="","",IF(OR(N(Sync!$AY240)=0,N(Sync!$AZ240)=0),"",ROUND(N(Sync!$AY240)*N(Sync!$AZ240),0)))</f>
        <v/>
      </c>
      <c r="Y240">
        <f>IF($X240="","",IF(OR(Sync!$AX240="",COUNTIF(AcctCodesA,Sync!$AX240)=0),"متفرقه",Sync!$AX240))</f>
        <v/>
      </c>
      <c r="Z240">
        <f>IF($X240="","","سبد و ظروف")</f>
        <v/>
      </c>
      <c r="AA240">
        <f>IF($X240="","",$Y240)</f>
        <v/>
      </c>
    </row>
    <row r="241">
      <c r="A241">
        <f>IF(Sync!$Z241="","",LEFT(UPPER(TRIM(Sync!$Z241)),6))</f>
        <v/>
      </c>
      <c r="B241">
        <f>IF($A241="","",IF(Sync!$AA241="","",Sync!$AA241))</f>
        <v/>
      </c>
      <c r="C241">
        <f>IF($A241="","",IF(Sync!$AB241="","",Sync!$AB241))</f>
        <v/>
      </c>
      <c r="D241">
        <f>IF($A241="","",IF(Sync!$AC241="","",Sync!$AC241))</f>
        <v/>
      </c>
      <c r="E241">
        <f>IF($A241="","",IF(Sync!$AD241="","",Sync!$AD241))</f>
        <v/>
      </c>
      <c r="F241">
        <f>IF($A241="","",IF(Sync!$AE241="",0,Sync!$AE241))</f>
        <v/>
      </c>
      <c r="G241">
        <f>IF($A241="","",IF(Sync!$AF241="",0,Sync!$AF241))</f>
        <v/>
      </c>
      <c r="H241">
        <f>IF(OR($A241="",ROUND($F241+$G241,2)=0),"",$F241+$G241)</f>
        <v/>
      </c>
      <c r="I241">
        <f>IF($H241="","",IF(ROUND($F241,2)&gt;0,$A241,IF($D241="شخصی قاسم","شخصی قاسم",IF($D241="هزینه","هزینه: "&amp;IF($E241="","متفرقه",$E241),IF($C241="پاس چک","چک پرداختی",IF(OR($B241="",COUNTIF(AcctCodesA,$B241)=0),"متفرقه",$B241))))))</f>
        <v/>
      </c>
      <c r="J241">
        <f>IF($H241="","",IF(ROUND($F241,2)&gt;0,IF($D241="شخصی قاسم","شخصی قاسم",IF($D241="هزینه","هزینه: "&amp;IF($E241="","متفرقه",$E241),IF(OR($B241="",COUNTIF(AcctCodesA,$B241)=0),"متفرقه",$B241))),$A241))</f>
        <v/>
      </c>
      <c r="K241">
        <f>IF($A241="","",IF(AND($B241&lt;&gt;"",COUNTIF(AcctCodesA,$B241)=0),"کد طرف در INFO تعریف نشده",IF(AND($D241="هزینه",$E241=""),"هزینه بدون زیرگروه",IF(AND($C241="پاس چک",OR(Sync!$AJ241="",COUNTIF(IssueNosA,Sync!$AJ241)=0)),"شماره چک پاس‌شده معتبر نیست",""))))</f>
        <v/>
      </c>
      <c r="M241">
        <f>IF(Sync!$AH241="","",Sync!$AH241)</f>
        <v/>
      </c>
      <c r="N241">
        <f>IF($M241="","",IF(OR(Sync!$AI241="",COUNTIF(AcctCodesA,Sync!$AI241)=0),"متفرقه",Sync!$AI241))</f>
        <v/>
      </c>
      <c r="O241">
        <f>IF($M241="","",$N241)</f>
        <v/>
      </c>
      <c r="P241">
        <f>IF($M241="","","چک پرداختی")</f>
        <v/>
      </c>
      <c r="R241">
        <f>IF($M241="","",IF(COUNTIF(AcctCodesA,Sync!$AI241)=0,"ذی‌نفع چک تعریف‌نشده",""))</f>
        <v/>
      </c>
      <c r="S241">
        <f>IF($R241="","",Sync!$AG241&amp;"|"&amp;"5"&amp;RIGHT("00000"&amp;236,5))</f>
        <v/>
      </c>
      <c r="T241">
        <f>IF($S241="",0,COUNTIFS($S$6:$S$505,"&lt;"&amp;$S241)-COUNTIFS($S$6:$S$505,"&lt;"&amp;$S241,$R$6:$R$505,"")+1)</f>
        <v/>
      </c>
      <c r="V241">
        <f>IF($K241="","",IF(ISNUMBER(Sync!$AK241),Sync!$AK241,LEFT(Sync!$AK241,4)&amp;MID(Sync!$AK241,6,2)&amp;RIGHT(Sync!$AK241,2))&amp;"|"&amp;"4"&amp;RIGHT("00000"&amp;236,5))</f>
        <v/>
      </c>
      <c r="W241">
        <f>IF($V241="",0,COUNTIFS($V$6:$V$2005,"&lt;"&amp;$V241)-COUNTIFS($V$6:$V$2005,"&lt;"&amp;$V241,$K$6:$K$2005,"")+1)</f>
        <v/>
      </c>
      <c r="X241">
        <f>IF(Sync!$AX241="","",IF(OR(N(Sync!$AY241)=0,N(Sync!$AZ241)=0),"",ROUND(N(Sync!$AY241)*N(Sync!$AZ241),0)))</f>
        <v/>
      </c>
      <c r="Y241">
        <f>IF($X241="","",IF(OR(Sync!$AX241="",COUNTIF(AcctCodesA,Sync!$AX241)=0),"متفرقه",Sync!$AX241))</f>
        <v/>
      </c>
      <c r="Z241">
        <f>IF($X241="","","سبد و ظروف")</f>
        <v/>
      </c>
      <c r="AA241">
        <f>IF($X241="","",$Y241)</f>
        <v/>
      </c>
    </row>
    <row r="242">
      <c r="A242">
        <f>IF(Sync!$Z242="","",LEFT(UPPER(TRIM(Sync!$Z242)),6))</f>
        <v/>
      </c>
      <c r="B242">
        <f>IF($A242="","",IF(Sync!$AA242="","",Sync!$AA242))</f>
        <v/>
      </c>
      <c r="C242">
        <f>IF($A242="","",IF(Sync!$AB242="","",Sync!$AB242))</f>
        <v/>
      </c>
      <c r="D242">
        <f>IF($A242="","",IF(Sync!$AC242="","",Sync!$AC242))</f>
        <v/>
      </c>
      <c r="E242">
        <f>IF($A242="","",IF(Sync!$AD242="","",Sync!$AD242))</f>
        <v/>
      </c>
      <c r="F242">
        <f>IF($A242="","",IF(Sync!$AE242="",0,Sync!$AE242))</f>
        <v/>
      </c>
      <c r="G242">
        <f>IF($A242="","",IF(Sync!$AF242="",0,Sync!$AF242))</f>
        <v/>
      </c>
      <c r="H242">
        <f>IF(OR($A242="",ROUND($F242+$G242,2)=0),"",$F242+$G242)</f>
        <v/>
      </c>
      <c r="I242">
        <f>IF($H242="","",IF(ROUND($F242,2)&gt;0,$A242,IF($D242="شخصی قاسم","شخصی قاسم",IF($D242="هزینه","هزینه: "&amp;IF($E242="","متفرقه",$E242),IF($C242="پاس چک","چک پرداختی",IF(OR($B242="",COUNTIF(AcctCodesA,$B242)=0),"متفرقه",$B242))))))</f>
        <v/>
      </c>
      <c r="J242">
        <f>IF($H242="","",IF(ROUND($F242,2)&gt;0,IF($D242="شخصی قاسم","شخصی قاسم",IF($D242="هزینه","هزینه: "&amp;IF($E242="","متفرقه",$E242),IF(OR($B242="",COUNTIF(AcctCodesA,$B242)=0),"متفرقه",$B242))),$A242))</f>
        <v/>
      </c>
      <c r="K242">
        <f>IF($A242="","",IF(AND($B242&lt;&gt;"",COUNTIF(AcctCodesA,$B242)=0),"کد طرف در INFO تعریف نشده",IF(AND($D242="هزینه",$E242=""),"هزینه بدون زیرگروه",IF(AND($C242="پاس چک",OR(Sync!$AJ242="",COUNTIF(IssueNosA,Sync!$AJ242)=0)),"شماره چک پاس‌شده معتبر نیست",""))))</f>
        <v/>
      </c>
      <c r="M242">
        <f>IF(Sync!$AH242="","",Sync!$AH242)</f>
        <v/>
      </c>
      <c r="N242">
        <f>IF($M242="","",IF(OR(Sync!$AI242="",COUNTIF(AcctCodesA,Sync!$AI242)=0),"متفرقه",Sync!$AI242))</f>
        <v/>
      </c>
      <c r="O242">
        <f>IF($M242="","",$N242)</f>
        <v/>
      </c>
      <c r="P242">
        <f>IF($M242="","","چک پرداختی")</f>
        <v/>
      </c>
      <c r="R242">
        <f>IF($M242="","",IF(COUNTIF(AcctCodesA,Sync!$AI242)=0,"ذی‌نفع چک تعریف‌نشده",""))</f>
        <v/>
      </c>
      <c r="S242">
        <f>IF($R242="","",Sync!$AG242&amp;"|"&amp;"5"&amp;RIGHT("00000"&amp;237,5))</f>
        <v/>
      </c>
      <c r="T242">
        <f>IF($S242="",0,COUNTIFS($S$6:$S$505,"&lt;"&amp;$S242)-COUNTIFS($S$6:$S$505,"&lt;"&amp;$S242,$R$6:$R$505,"")+1)</f>
        <v/>
      </c>
      <c r="V242">
        <f>IF($K242="","",IF(ISNUMBER(Sync!$AK242),Sync!$AK242,LEFT(Sync!$AK242,4)&amp;MID(Sync!$AK242,6,2)&amp;RIGHT(Sync!$AK242,2))&amp;"|"&amp;"4"&amp;RIGHT("00000"&amp;237,5))</f>
        <v/>
      </c>
      <c r="W242">
        <f>IF($V242="",0,COUNTIFS($V$6:$V$2005,"&lt;"&amp;$V242)-COUNTIFS($V$6:$V$2005,"&lt;"&amp;$V242,$K$6:$K$2005,"")+1)</f>
        <v/>
      </c>
      <c r="X242">
        <f>IF(Sync!$AX242="","",IF(OR(N(Sync!$AY242)=0,N(Sync!$AZ242)=0),"",ROUND(N(Sync!$AY242)*N(Sync!$AZ242),0)))</f>
        <v/>
      </c>
      <c r="Y242">
        <f>IF($X242="","",IF(OR(Sync!$AX242="",COUNTIF(AcctCodesA,Sync!$AX242)=0),"متفرقه",Sync!$AX242))</f>
        <v/>
      </c>
      <c r="Z242">
        <f>IF($X242="","","سبد و ظروف")</f>
        <v/>
      </c>
      <c r="AA242">
        <f>IF($X242="","",$Y242)</f>
        <v/>
      </c>
    </row>
    <row r="243">
      <c r="A243">
        <f>IF(Sync!$Z243="","",LEFT(UPPER(TRIM(Sync!$Z243)),6))</f>
        <v/>
      </c>
      <c r="B243">
        <f>IF($A243="","",IF(Sync!$AA243="","",Sync!$AA243))</f>
        <v/>
      </c>
      <c r="C243">
        <f>IF($A243="","",IF(Sync!$AB243="","",Sync!$AB243))</f>
        <v/>
      </c>
      <c r="D243">
        <f>IF($A243="","",IF(Sync!$AC243="","",Sync!$AC243))</f>
        <v/>
      </c>
      <c r="E243">
        <f>IF($A243="","",IF(Sync!$AD243="","",Sync!$AD243))</f>
        <v/>
      </c>
      <c r="F243">
        <f>IF($A243="","",IF(Sync!$AE243="",0,Sync!$AE243))</f>
        <v/>
      </c>
      <c r="G243">
        <f>IF($A243="","",IF(Sync!$AF243="",0,Sync!$AF243))</f>
        <v/>
      </c>
      <c r="H243">
        <f>IF(OR($A243="",ROUND($F243+$G243,2)=0),"",$F243+$G243)</f>
        <v/>
      </c>
      <c r="I243">
        <f>IF($H243="","",IF(ROUND($F243,2)&gt;0,$A243,IF($D243="شخصی قاسم","شخصی قاسم",IF($D243="هزینه","هزینه: "&amp;IF($E243="","متفرقه",$E243),IF($C243="پاس چک","چک پرداختی",IF(OR($B243="",COUNTIF(AcctCodesA,$B243)=0),"متفرقه",$B243))))))</f>
        <v/>
      </c>
      <c r="J243">
        <f>IF($H243="","",IF(ROUND($F243,2)&gt;0,IF($D243="شخصی قاسم","شخصی قاسم",IF($D243="هزینه","هزینه: "&amp;IF($E243="","متفرقه",$E243),IF(OR($B243="",COUNTIF(AcctCodesA,$B243)=0),"متفرقه",$B243))),$A243))</f>
        <v/>
      </c>
      <c r="K243">
        <f>IF($A243="","",IF(AND($B243&lt;&gt;"",COUNTIF(AcctCodesA,$B243)=0),"کد طرف در INFO تعریف نشده",IF(AND($D243="هزینه",$E243=""),"هزینه بدون زیرگروه",IF(AND($C243="پاس چک",OR(Sync!$AJ243="",COUNTIF(IssueNosA,Sync!$AJ243)=0)),"شماره چک پاس‌شده معتبر نیست",""))))</f>
        <v/>
      </c>
      <c r="M243">
        <f>IF(Sync!$AH243="","",Sync!$AH243)</f>
        <v/>
      </c>
      <c r="N243">
        <f>IF($M243="","",IF(OR(Sync!$AI243="",COUNTIF(AcctCodesA,Sync!$AI243)=0),"متفرقه",Sync!$AI243))</f>
        <v/>
      </c>
      <c r="O243">
        <f>IF($M243="","",$N243)</f>
        <v/>
      </c>
      <c r="P243">
        <f>IF($M243="","","چک پرداختی")</f>
        <v/>
      </c>
      <c r="R243">
        <f>IF($M243="","",IF(COUNTIF(AcctCodesA,Sync!$AI243)=0,"ذی‌نفع چک تعریف‌نشده",""))</f>
        <v/>
      </c>
      <c r="S243">
        <f>IF($R243="","",Sync!$AG243&amp;"|"&amp;"5"&amp;RIGHT("00000"&amp;238,5))</f>
        <v/>
      </c>
      <c r="T243">
        <f>IF($S243="",0,COUNTIFS($S$6:$S$505,"&lt;"&amp;$S243)-COUNTIFS($S$6:$S$505,"&lt;"&amp;$S243,$R$6:$R$505,"")+1)</f>
        <v/>
      </c>
      <c r="V243">
        <f>IF($K243="","",IF(ISNUMBER(Sync!$AK243),Sync!$AK243,LEFT(Sync!$AK243,4)&amp;MID(Sync!$AK243,6,2)&amp;RIGHT(Sync!$AK243,2))&amp;"|"&amp;"4"&amp;RIGHT("00000"&amp;238,5))</f>
        <v/>
      </c>
      <c r="W243">
        <f>IF($V243="",0,COUNTIFS($V$6:$V$2005,"&lt;"&amp;$V243)-COUNTIFS($V$6:$V$2005,"&lt;"&amp;$V243,$K$6:$K$2005,"")+1)</f>
        <v/>
      </c>
      <c r="X243">
        <f>IF(Sync!$AX243="","",IF(OR(N(Sync!$AY243)=0,N(Sync!$AZ243)=0),"",ROUND(N(Sync!$AY243)*N(Sync!$AZ243),0)))</f>
        <v/>
      </c>
      <c r="Y243">
        <f>IF($X243="","",IF(OR(Sync!$AX243="",COUNTIF(AcctCodesA,Sync!$AX243)=0),"متفرقه",Sync!$AX243))</f>
        <v/>
      </c>
      <c r="Z243">
        <f>IF($X243="","","سبد و ظروف")</f>
        <v/>
      </c>
      <c r="AA243">
        <f>IF($X243="","",$Y243)</f>
        <v/>
      </c>
    </row>
    <row r="244">
      <c r="A244">
        <f>IF(Sync!$Z244="","",LEFT(UPPER(TRIM(Sync!$Z244)),6))</f>
        <v/>
      </c>
      <c r="B244">
        <f>IF($A244="","",IF(Sync!$AA244="","",Sync!$AA244))</f>
        <v/>
      </c>
      <c r="C244">
        <f>IF($A244="","",IF(Sync!$AB244="","",Sync!$AB244))</f>
        <v/>
      </c>
      <c r="D244">
        <f>IF($A244="","",IF(Sync!$AC244="","",Sync!$AC244))</f>
        <v/>
      </c>
      <c r="E244">
        <f>IF($A244="","",IF(Sync!$AD244="","",Sync!$AD244))</f>
        <v/>
      </c>
      <c r="F244">
        <f>IF($A244="","",IF(Sync!$AE244="",0,Sync!$AE244))</f>
        <v/>
      </c>
      <c r="G244">
        <f>IF($A244="","",IF(Sync!$AF244="",0,Sync!$AF244))</f>
        <v/>
      </c>
      <c r="H244">
        <f>IF(OR($A244="",ROUND($F244+$G244,2)=0),"",$F244+$G244)</f>
        <v/>
      </c>
      <c r="I244">
        <f>IF($H244="","",IF(ROUND($F244,2)&gt;0,$A244,IF($D244="شخصی قاسم","شخصی قاسم",IF($D244="هزینه","هزینه: "&amp;IF($E244="","متفرقه",$E244),IF($C244="پاس چک","چک پرداختی",IF(OR($B244="",COUNTIF(AcctCodesA,$B244)=0),"متفرقه",$B244))))))</f>
        <v/>
      </c>
      <c r="J244">
        <f>IF($H244="","",IF(ROUND($F244,2)&gt;0,IF($D244="شخصی قاسم","شخصی قاسم",IF($D244="هزینه","هزینه: "&amp;IF($E244="","متفرقه",$E244),IF(OR($B244="",COUNTIF(AcctCodesA,$B244)=0),"متفرقه",$B244))),$A244))</f>
        <v/>
      </c>
      <c r="K244">
        <f>IF($A244="","",IF(AND($B244&lt;&gt;"",COUNTIF(AcctCodesA,$B244)=0),"کد طرف در INFO تعریف نشده",IF(AND($D244="هزینه",$E244=""),"هزینه بدون زیرگروه",IF(AND($C244="پاس چک",OR(Sync!$AJ244="",COUNTIF(IssueNosA,Sync!$AJ244)=0)),"شماره چک پاس‌شده معتبر نیست",""))))</f>
        <v/>
      </c>
      <c r="M244">
        <f>IF(Sync!$AH244="","",Sync!$AH244)</f>
        <v/>
      </c>
      <c r="N244">
        <f>IF($M244="","",IF(OR(Sync!$AI244="",COUNTIF(AcctCodesA,Sync!$AI244)=0),"متفرقه",Sync!$AI244))</f>
        <v/>
      </c>
      <c r="O244">
        <f>IF($M244="","",$N244)</f>
        <v/>
      </c>
      <c r="P244">
        <f>IF($M244="","","چک پرداختی")</f>
        <v/>
      </c>
      <c r="R244">
        <f>IF($M244="","",IF(COUNTIF(AcctCodesA,Sync!$AI244)=0,"ذی‌نفع چک تعریف‌نشده",""))</f>
        <v/>
      </c>
      <c r="S244">
        <f>IF($R244="","",Sync!$AG244&amp;"|"&amp;"5"&amp;RIGHT("00000"&amp;239,5))</f>
        <v/>
      </c>
      <c r="T244">
        <f>IF($S244="",0,COUNTIFS($S$6:$S$505,"&lt;"&amp;$S244)-COUNTIFS($S$6:$S$505,"&lt;"&amp;$S244,$R$6:$R$505,"")+1)</f>
        <v/>
      </c>
      <c r="V244">
        <f>IF($K244="","",IF(ISNUMBER(Sync!$AK244),Sync!$AK244,LEFT(Sync!$AK244,4)&amp;MID(Sync!$AK244,6,2)&amp;RIGHT(Sync!$AK244,2))&amp;"|"&amp;"4"&amp;RIGHT("00000"&amp;239,5))</f>
        <v/>
      </c>
      <c r="W244">
        <f>IF($V244="",0,COUNTIFS($V$6:$V$2005,"&lt;"&amp;$V244)-COUNTIFS($V$6:$V$2005,"&lt;"&amp;$V244,$K$6:$K$2005,"")+1)</f>
        <v/>
      </c>
      <c r="X244">
        <f>IF(Sync!$AX244="","",IF(OR(N(Sync!$AY244)=0,N(Sync!$AZ244)=0),"",ROUND(N(Sync!$AY244)*N(Sync!$AZ244),0)))</f>
        <v/>
      </c>
      <c r="Y244">
        <f>IF($X244="","",IF(OR(Sync!$AX244="",COUNTIF(AcctCodesA,Sync!$AX244)=0),"متفرقه",Sync!$AX244))</f>
        <v/>
      </c>
      <c r="Z244">
        <f>IF($X244="","","سبد و ظروف")</f>
        <v/>
      </c>
      <c r="AA244">
        <f>IF($X244="","",$Y244)</f>
        <v/>
      </c>
    </row>
    <row r="245">
      <c r="A245">
        <f>IF(Sync!$Z245="","",LEFT(UPPER(TRIM(Sync!$Z245)),6))</f>
        <v/>
      </c>
      <c r="B245">
        <f>IF($A245="","",IF(Sync!$AA245="","",Sync!$AA245))</f>
        <v/>
      </c>
      <c r="C245">
        <f>IF($A245="","",IF(Sync!$AB245="","",Sync!$AB245))</f>
        <v/>
      </c>
      <c r="D245">
        <f>IF($A245="","",IF(Sync!$AC245="","",Sync!$AC245))</f>
        <v/>
      </c>
      <c r="E245">
        <f>IF($A245="","",IF(Sync!$AD245="","",Sync!$AD245))</f>
        <v/>
      </c>
      <c r="F245">
        <f>IF($A245="","",IF(Sync!$AE245="",0,Sync!$AE245))</f>
        <v/>
      </c>
      <c r="G245">
        <f>IF($A245="","",IF(Sync!$AF245="",0,Sync!$AF245))</f>
        <v/>
      </c>
      <c r="H245">
        <f>IF(OR($A245="",ROUND($F245+$G245,2)=0),"",$F245+$G245)</f>
        <v/>
      </c>
      <c r="I245">
        <f>IF($H245="","",IF(ROUND($F245,2)&gt;0,$A245,IF($D245="شخصی قاسم","شخصی قاسم",IF($D245="هزینه","هزینه: "&amp;IF($E245="","متفرقه",$E245),IF($C245="پاس چک","چک پرداختی",IF(OR($B245="",COUNTIF(AcctCodesA,$B245)=0),"متفرقه",$B245))))))</f>
        <v/>
      </c>
      <c r="J245">
        <f>IF($H245="","",IF(ROUND($F245,2)&gt;0,IF($D245="شخصی قاسم","شخصی قاسم",IF($D245="هزینه","هزینه: "&amp;IF($E245="","متفرقه",$E245),IF(OR($B245="",COUNTIF(AcctCodesA,$B245)=0),"متفرقه",$B245))),$A245))</f>
        <v/>
      </c>
      <c r="K245">
        <f>IF($A245="","",IF(AND($B245&lt;&gt;"",COUNTIF(AcctCodesA,$B245)=0),"کد طرف در INFO تعریف نشده",IF(AND($D245="هزینه",$E245=""),"هزینه بدون زیرگروه",IF(AND($C245="پاس چک",OR(Sync!$AJ245="",COUNTIF(IssueNosA,Sync!$AJ245)=0)),"شماره چک پاس‌شده معتبر نیست",""))))</f>
        <v/>
      </c>
      <c r="M245">
        <f>IF(Sync!$AH245="","",Sync!$AH245)</f>
        <v/>
      </c>
      <c r="N245">
        <f>IF($M245="","",IF(OR(Sync!$AI245="",COUNTIF(AcctCodesA,Sync!$AI245)=0),"متفرقه",Sync!$AI245))</f>
        <v/>
      </c>
      <c r="O245">
        <f>IF($M245="","",$N245)</f>
        <v/>
      </c>
      <c r="P245">
        <f>IF($M245="","","چک پرداختی")</f>
        <v/>
      </c>
      <c r="R245">
        <f>IF($M245="","",IF(COUNTIF(AcctCodesA,Sync!$AI245)=0,"ذی‌نفع چک تعریف‌نشده",""))</f>
        <v/>
      </c>
      <c r="S245">
        <f>IF($R245="","",Sync!$AG245&amp;"|"&amp;"5"&amp;RIGHT("00000"&amp;240,5))</f>
        <v/>
      </c>
      <c r="T245">
        <f>IF($S245="",0,COUNTIFS($S$6:$S$505,"&lt;"&amp;$S245)-COUNTIFS($S$6:$S$505,"&lt;"&amp;$S245,$R$6:$R$505,"")+1)</f>
        <v/>
      </c>
      <c r="V245">
        <f>IF($K245="","",IF(ISNUMBER(Sync!$AK245),Sync!$AK245,LEFT(Sync!$AK245,4)&amp;MID(Sync!$AK245,6,2)&amp;RIGHT(Sync!$AK245,2))&amp;"|"&amp;"4"&amp;RIGHT("00000"&amp;240,5))</f>
        <v/>
      </c>
      <c r="W245">
        <f>IF($V245="",0,COUNTIFS($V$6:$V$2005,"&lt;"&amp;$V245)-COUNTIFS($V$6:$V$2005,"&lt;"&amp;$V245,$K$6:$K$2005,"")+1)</f>
        <v/>
      </c>
      <c r="X245">
        <f>IF(Sync!$AX245="","",IF(OR(N(Sync!$AY245)=0,N(Sync!$AZ245)=0),"",ROUND(N(Sync!$AY245)*N(Sync!$AZ245),0)))</f>
        <v/>
      </c>
      <c r="Y245">
        <f>IF($X245="","",IF(OR(Sync!$AX245="",COUNTIF(AcctCodesA,Sync!$AX245)=0),"متفرقه",Sync!$AX245))</f>
        <v/>
      </c>
      <c r="Z245">
        <f>IF($X245="","","سبد و ظروف")</f>
        <v/>
      </c>
      <c r="AA245">
        <f>IF($X245="","",$Y245)</f>
        <v/>
      </c>
    </row>
    <row r="246">
      <c r="A246">
        <f>IF(Sync!$Z246="","",LEFT(UPPER(TRIM(Sync!$Z246)),6))</f>
        <v/>
      </c>
      <c r="B246">
        <f>IF($A246="","",IF(Sync!$AA246="","",Sync!$AA246))</f>
        <v/>
      </c>
      <c r="C246">
        <f>IF($A246="","",IF(Sync!$AB246="","",Sync!$AB246))</f>
        <v/>
      </c>
      <c r="D246">
        <f>IF($A246="","",IF(Sync!$AC246="","",Sync!$AC246))</f>
        <v/>
      </c>
      <c r="E246">
        <f>IF($A246="","",IF(Sync!$AD246="","",Sync!$AD246))</f>
        <v/>
      </c>
      <c r="F246">
        <f>IF($A246="","",IF(Sync!$AE246="",0,Sync!$AE246))</f>
        <v/>
      </c>
      <c r="G246">
        <f>IF($A246="","",IF(Sync!$AF246="",0,Sync!$AF246))</f>
        <v/>
      </c>
      <c r="H246">
        <f>IF(OR($A246="",ROUND($F246+$G246,2)=0),"",$F246+$G246)</f>
        <v/>
      </c>
      <c r="I246">
        <f>IF($H246="","",IF(ROUND($F246,2)&gt;0,$A246,IF($D246="شخصی قاسم","شخصی قاسم",IF($D246="هزینه","هزینه: "&amp;IF($E246="","متفرقه",$E246),IF($C246="پاس چک","چک پرداختی",IF(OR($B246="",COUNTIF(AcctCodesA,$B246)=0),"متفرقه",$B246))))))</f>
        <v/>
      </c>
      <c r="J246">
        <f>IF($H246="","",IF(ROUND($F246,2)&gt;0,IF($D246="شخصی قاسم","شخصی قاسم",IF($D246="هزینه","هزینه: "&amp;IF($E246="","متفرقه",$E246),IF(OR($B246="",COUNTIF(AcctCodesA,$B246)=0),"متفرقه",$B246))),$A246))</f>
        <v/>
      </c>
      <c r="K246">
        <f>IF($A246="","",IF(AND($B246&lt;&gt;"",COUNTIF(AcctCodesA,$B246)=0),"کد طرف در INFO تعریف نشده",IF(AND($D246="هزینه",$E246=""),"هزینه بدون زیرگروه",IF(AND($C246="پاس چک",OR(Sync!$AJ246="",COUNTIF(IssueNosA,Sync!$AJ246)=0)),"شماره چک پاس‌شده معتبر نیست",""))))</f>
        <v/>
      </c>
      <c r="M246">
        <f>IF(Sync!$AH246="","",Sync!$AH246)</f>
        <v/>
      </c>
      <c r="N246">
        <f>IF($M246="","",IF(OR(Sync!$AI246="",COUNTIF(AcctCodesA,Sync!$AI246)=0),"متفرقه",Sync!$AI246))</f>
        <v/>
      </c>
      <c r="O246">
        <f>IF($M246="","",$N246)</f>
        <v/>
      </c>
      <c r="P246">
        <f>IF($M246="","","چک پرداختی")</f>
        <v/>
      </c>
      <c r="R246">
        <f>IF($M246="","",IF(COUNTIF(AcctCodesA,Sync!$AI246)=0,"ذی‌نفع چک تعریف‌نشده",""))</f>
        <v/>
      </c>
      <c r="S246">
        <f>IF($R246="","",Sync!$AG246&amp;"|"&amp;"5"&amp;RIGHT("00000"&amp;241,5))</f>
        <v/>
      </c>
      <c r="T246">
        <f>IF($S246="",0,COUNTIFS($S$6:$S$505,"&lt;"&amp;$S246)-COUNTIFS($S$6:$S$505,"&lt;"&amp;$S246,$R$6:$R$505,"")+1)</f>
        <v/>
      </c>
      <c r="V246">
        <f>IF($K246="","",IF(ISNUMBER(Sync!$AK246),Sync!$AK246,LEFT(Sync!$AK246,4)&amp;MID(Sync!$AK246,6,2)&amp;RIGHT(Sync!$AK246,2))&amp;"|"&amp;"4"&amp;RIGHT("00000"&amp;241,5))</f>
        <v/>
      </c>
      <c r="W246">
        <f>IF($V246="",0,COUNTIFS($V$6:$V$2005,"&lt;"&amp;$V246)-COUNTIFS($V$6:$V$2005,"&lt;"&amp;$V246,$K$6:$K$2005,"")+1)</f>
        <v/>
      </c>
      <c r="X246">
        <f>IF(Sync!$AX246="","",IF(OR(N(Sync!$AY246)=0,N(Sync!$AZ246)=0),"",ROUND(N(Sync!$AY246)*N(Sync!$AZ246),0)))</f>
        <v/>
      </c>
      <c r="Y246">
        <f>IF($X246="","",IF(OR(Sync!$AX246="",COUNTIF(AcctCodesA,Sync!$AX246)=0),"متفرقه",Sync!$AX246))</f>
        <v/>
      </c>
      <c r="Z246">
        <f>IF($X246="","","سبد و ظروف")</f>
        <v/>
      </c>
      <c r="AA246">
        <f>IF($X246="","",$Y246)</f>
        <v/>
      </c>
    </row>
    <row r="247">
      <c r="A247">
        <f>IF(Sync!$Z247="","",LEFT(UPPER(TRIM(Sync!$Z247)),6))</f>
        <v/>
      </c>
      <c r="B247">
        <f>IF($A247="","",IF(Sync!$AA247="","",Sync!$AA247))</f>
        <v/>
      </c>
      <c r="C247">
        <f>IF($A247="","",IF(Sync!$AB247="","",Sync!$AB247))</f>
        <v/>
      </c>
      <c r="D247">
        <f>IF($A247="","",IF(Sync!$AC247="","",Sync!$AC247))</f>
        <v/>
      </c>
      <c r="E247">
        <f>IF($A247="","",IF(Sync!$AD247="","",Sync!$AD247))</f>
        <v/>
      </c>
      <c r="F247">
        <f>IF($A247="","",IF(Sync!$AE247="",0,Sync!$AE247))</f>
        <v/>
      </c>
      <c r="G247">
        <f>IF($A247="","",IF(Sync!$AF247="",0,Sync!$AF247))</f>
        <v/>
      </c>
      <c r="H247">
        <f>IF(OR($A247="",ROUND($F247+$G247,2)=0),"",$F247+$G247)</f>
        <v/>
      </c>
      <c r="I247">
        <f>IF($H247="","",IF(ROUND($F247,2)&gt;0,$A247,IF($D247="شخصی قاسم","شخصی قاسم",IF($D247="هزینه","هزینه: "&amp;IF($E247="","متفرقه",$E247),IF($C247="پاس چک","چک پرداختی",IF(OR($B247="",COUNTIF(AcctCodesA,$B247)=0),"متفرقه",$B247))))))</f>
        <v/>
      </c>
      <c r="J247">
        <f>IF($H247="","",IF(ROUND($F247,2)&gt;0,IF($D247="شخصی قاسم","شخصی قاسم",IF($D247="هزینه","هزینه: "&amp;IF($E247="","متفرقه",$E247),IF(OR($B247="",COUNTIF(AcctCodesA,$B247)=0),"متفرقه",$B247))),$A247))</f>
        <v/>
      </c>
      <c r="K247">
        <f>IF($A247="","",IF(AND($B247&lt;&gt;"",COUNTIF(AcctCodesA,$B247)=0),"کد طرف در INFO تعریف نشده",IF(AND($D247="هزینه",$E247=""),"هزینه بدون زیرگروه",IF(AND($C247="پاس چک",OR(Sync!$AJ247="",COUNTIF(IssueNosA,Sync!$AJ247)=0)),"شماره چک پاس‌شده معتبر نیست",""))))</f>
        <v/>
      </c>
      <c r="M247">
        <f>IF(Sync!$AH247="","",Sync!$AH247)</f>
        <v/>
      </c>
      <c r="N247">
        <f>IF($M247="","",IF(OR(Sync!$AI247="",COUNTIF(AcctCodesA,Sync!$AI247)=0),"متفرقه",Sync!$AI247))</f>
        <v/>
      </c>
      <c r="O247">
        <f>IF($M247="","",$N247)</f>
        <v/>
      </c>
      <c r="P247">
        <f>IF($M247="","","چک پرداختی")</f>
        <v/>
      </c>
      <c r="R247">
        <f>IF($M247="","",IF(COUNTIF(AcctCodesA,Sync!$AI247)=0,"ذی‌نفع چک تعریف‌نشده",""))</f>
        <v/>
      </c>
      <c r="S247">
        <f>IF($R247="","",Sync!$AG247&amp;"|"&amp;"5"&amp;RIGHT("00000"&amp;242,5))</f>
        <v/>
      </c>
      <c r="T247">
        <f>IF($S247="",0,COUNTIFS($S$6:$S$505,"&lt;"&amp;$S247)-COUNTIFS($S$6:$S$505,"&lt;"&amp;$S247,$R$6:$R$505,"")+1)</f>
        <v/>
      </c>
      <c r="V247">
        <f>IF($K247="","",IF(ISNUMBER(Sync!$AK247),Sync!$AK247,LEFT(Sync!$AK247,4)&amp;MID(Sync!$AK247,6,2)&amp;RIGHT(Sync!$AK247,2))&amp;"|"&amp;"4"&amp;RIGHT("00000"&amp;242,5))</f>
        <v/>
      </c>
      <c r="W247">
        <f>IF($V247="",0,COUNTIFS($V$6:$V$2005,"&lt;"&amp;$V247)-COUNTIFS($V$6:$V$2005,"&lt;"&amp;$V247,$K$6:$K$2005,"")+1)</f>
        <v/>
      </c>
      <c r="X247">
        <f>IF(Sync!$AX247="","",IF(OR(N(Sync!$AY247)=0,N(Sync!$AZ247)=0),"",ROUND(N(Sync!$AY247)*N(Sync!$AZ247),0)))</f>
        <v/>
      </c>
      <c r="Y247">
        <f>IF($X247="","",IF(OR(Sync!$AX247="",COUNTIF(AcctCodesA,Sync!$AX247)=0),"متفرقه",Sync!$AX247))</f>
        <v/>
      </c>
      <c r="Z247">
        <f>IF($X247="","","سبد و ظروف")</f>
        <v/>
      </c>
      <c r="AA247">
        <f>IF($X247="","",$Y247)</f>
        <v/>
      </c>
    </row>
    <row r="248">
      <c r="A248">
        <f>IF(Sync!$Z248="","",LEFT(UPPER(TRIM(Sync!$Z248)),6))</f>
        <v/>
      </c>
      <c r="B248">
        <f>IF($A248="","",IF(Sync!$AA248="","",Sync!$AA248))</f>
        <v/>
      </c>
      <c r="C248">
        <f>IF($A248="","",IF(Sync!$AB248="","",Sync!$AB248))</f>
        <v/>
      </c>
      <c r="D248">
        <f>IF($A248="","",IF(Sync!$AC248="","",Sync!$AC248))</f>
        <v/>
      </c>
      <c r="E248">
        <f>IF($A248="","",IF(Sync!$AD248="","",Sync!$AD248))</f>
        <v/>
      </c>
      <c r="F248">
        <f>IF($A248="","",IF(Sync!$AE248="",0,Sync!$AE248))</f>
        <v/>
      </c>
      <c r="G248">
        <f>IF($A248="","",IF(Sync!$AF248="",0,Sync!$AF248))</f>
        <v/>
      </c>
      <c r="H248">
        <f>IF(OR($A248="",ROUND($F248+$G248,2)=0),"",$F248+$G248)</f>
        <v/>
      </c>
      <c r="I248">
        <f>IF($H248="","",IF(ROUND($F248,2)&gt;0,$A248,IF($D248="شخصی قاسم","شخصی قاسم",IF($D248="هزینه","هزینه: "&amp;IF($E248="","متفرقه",$E248),IF($C248="پاس چک","چک پرداختی",IF(OR($B248="",COUNTIF(AcctCodesA,$B248)=0),"متفرقه",$B248))))))</f>
        <v/>
      </c>
      <c r="J248">
        <f>IF($H248="","",IF(ROUND($F248,2)&gt;0,IF($D248="شخصی قاسم","شخصی قاسم",IF($D248="هزینه","هزینه: "&amp;IF($E248="","متفرقه",$E248),IF(OR($B248="",COUNTIF(AcctCodesA,$B248)=0),"متفرقه",$B248))),$A248))</f>
        <v/>
      </c>
      <c r="K248">
        <f>IF($A248="","",IF(AND($B248&lt;&gt;"",COUNTIF(AcctCodesA,$B248)=0),"کد طرف در INFO تعریف نشده",IF(AND($D248="هزینه",$E248=""),"هزینه بدون زیرگروه",IF(AND($C248="پاس چک",OR(Sync!$AJ248="",COUNTIF(IssueNosA,Sync!$AJ248)=0)),"شماره چک پاس‌شده معتبر نیست",""))))</f>
        <v/>
      </c>
      <c r="M248">
        <f>IF(Sync!$AH248="","",Sync!$AH248)</f>
        <v/>
      </c>
      <c r="N248">
        <f>IF($M248="","",IF(OR(Sync!$AI248="",COUNTIF(AcctCodesA,Sync!$AI248)=0),"متفرقه",Sync!$AI248))</f>
        <v/>
      </c>
      <c r="O248">
        <f>IF($M248="","",$N248)</f>
        <v/>
      </c>
      <c r="P248">
        <f>IF($M248="","","چک پرداختی")</f>
        <v/>
      </c>
      <c r="R248">
        <f>IF($M248="","",IF(COUNTIF(AcctCodesA,Sync!$AI248)=0,"ذی‌نفع چک تعریف‌نشده",""))</f>
        <v/>
      </c>
      <c r="S248">
        <f>IF($R248="","",Sync!$AG248&amp;"|"&amp;"5"&amp;RIGHT("00000"&amp;243,5))</f>
        <v/>
      </c>
      <c r="T248">
        <f>IF($S248="",0,COUNTIFS($S$6:$S$505,"&lt;"&amp;$S248)-COUNTIFS($S$6:$S$505,"&lt;"&amp;$S248,$R$6:$R$505,"")+1)</f>
        <v/>
      </c>
      <c r="V248">
        <f>IF($K248="","",IF(ISNUMBER(Sync!$AK248),Sync!$AK248,LEFT(Sync!$AK248,4)&amp;MID(Sync!$AK248,6,2)&amp;RIGHT(Sync!$AK248,2))&amp;"|"&amp;"4"&amp;RIGHT("00000"&amp;243,5))</f>
        <v/>
      </c>
      <c r="W248">
        <f>IF($V248="",0,COUNTIFS($V$6:$V$2005,"&lt;"&amp;$V248)-COUNTIFS($V$6:$V$2005,"&lt;"&amp;$V248,$K$6:$K$2005,"")+1)</f>
        <v/>
      </c>
      <c r="X248">
        <f>IF(Sync!$AX248="","",IF(OR(N(Sync!$AY248)=0,N(Sync!$AZ248)=0),"",ROUND(N(Sync!$AY248)*N(Sync!$AZ248),0)))</f>
        <v/>
      </c>
      <c r="Y248">
        <f>IF($X248="","",IF(OR(Sync!$AX248="",COUNTIF(AcctCodesA,Sync!$AX248)=0),"متفرقه",Sync!$AX248))</f>
        <v/>
      </c>
      <c r="Z248">
        <f>IF($X248="","","سبد و ظروف")</f>
        <v/>
      </c>
      <c r="AA248">
        <f>IF($X248="","",$Y248)</f>
        <v/>
      </c>
    </row>
    <row r="249">
      <c r="A249">
        <f>IF(Sync!$Z249="","",LEFT(UPPER(TRIM(Sync!$Z249)),6))</f>
        <v/>
      </c>
      <c r="B249">
        <f>IF($A249="","",IF(Sync!$AA249="","",Sync!$AA249))</f>
        <v/>
      </c>
      <c r="C249">
        <f>IF($A249="","",IF(Sync!$AB249="","",Sync!$AB249))</f>
        <v/>
      </c>
      <c r="D249">
        <f>IF($A249="","",IF(Sync!$AC249="","",Sync!$AC249))</f>
        <v/>
      </c>
      <c r="E249">
        <f>IF($A249="","",IF(Sync!$AD249="","",Sync!$AD249))</f>
        <v/>
      </c>
      <c r="F249">
        <f>IF($A249="","",IF(Sync!$AE249="",0,Sync!$AE249))</f>
        <v/>
      </c>
      <c r="G249">
        <f>IF($A249="","",IF(Sync!$AF249="",0,Sync!$AF249))</f>
        <v/>
      </c>
      <c r="H249">
        <f>IF(OR($A249="",ROUND($F249+$G249,2)=0),"",$F249+$G249)</f>
        <v/>
      </c>
      <c r="I249">
        <f>IF($H249="","",IF(ROUND($F249,2)&gt;0,$A249,IF($D249="شخصی قاسم","شخصی قاسم",IF($D249="هزینه","هزینه: "&amp;IF($E249="","متفرقه",$E249),IF($C249="پاس چک","چک پرداختی",IF(OR($B249="",COUNTIF(AcctCodesA,$B249)=0),"متفرقه",$B249))))))</f>
        <v/>
      </c>
      <c r="J249">
        <f>IF($H249="","",IF(ROUND($F249,2)&gt;0,IF($D249="شخصی قاسم","شخصی قاسم",IF($D249="هزینه","هزینه: "&amp;IF($E249="","متفرقه",$E249),IF(OR($B249="",COUNTIF(AcctCodesA,$B249)=0),"متفرقه",$B249))),$A249))</f>
        <v/>
      </c>
      <c r="K249">
        <f>IF($A249="","",IF(AND($B249&lt;&gt;"",COUNTIF(AcctCodesA,$B249)=0),"کد طرف در INFO تعریف نشده",IF(AND($D249="هزینه",$E249=""),"هزینه بدون زیرگروه",IF(AND($C249="پاس چک",OR(Sync!$AJ249="",COUNTIF(IssueNosA,Sync!$AJ249)=0)),"شماره چک پاس‌شده معتبر نیست",""))))</f>
        <v/>
      </c>
      <c r="M249">
        <f>IF(Sync!$AH249="","",Sync!$AH249)</f>
        <v/>
      </c>
      <c r="N249">
        <f>IF($M249="","",IF(OR(Sync!$AI249="",COUNTIF(AcctCodesA,Sync!$AI249)=0),"متفرقه",Sync!$AI249))</f>
        <v/>
      </c>
      <c r="O249">
        <f>IF($M249="","",$N249)</f>
        <v/>
      </c>
      <c r="P249">
        <f>IF($M249="","","چک پرداختی")</f>
        <v/>
      </c>
      <c r="R249">
        <f>IF($M249="","",IF(COUNTIF(AcctCodesA,Sync!$AI249)=0,"ذی‌نفع چک تعریف‌نشده",""))</f>
        <v/>
      </c>
      <c r="S249">
        <f>IF($R249="","",Sync!$AG249&amp;"|"&amp;"5"&amp;RIGHT("00000"&amp;244,5))</f>
        <v/>
      </c>
      <c r="T249">
        <f>IF($S249="",0,COUNTIFS($S$6:$S$505,"&lt;"&amp;$S249)-COUNTIFS($S$6:$S$505,"&lt;"&amp;$S249,$R$6:$R$505,"")+1)</f>
        <v/>
      </c>
      <c r="V249">
        <f>IF($K249="","",IF(ISNUMBER(Sync!$AK249),Sync!$AK249,LEFT(Sync!$AK249,4)&amp;MID(Sync!$AK249,6,2)&amp;RIGHT(Sync!$AK249,2))&amp;"|"&amp;"4"&amp;RIGHT("00000"&amp;244,5))</f>
        <v/>
      </c>
      <c r="W249">
        <f>IF($V249="",0,COUNTIFS($V$6:$V$2005,"&lt;"&amp;$V249)-COUNTIFS($V$6:$V$2005,"&lt;"&amp;$V249,$K$6:$K$2005,"")+1)</f>
        <v/>
      </c>
      <c r="X249">
        <f>IF(Sync!$AX249="","",IF(OR(N(Sync!$AY249)=0,N(Sync!$AZ249)=0),"",ROUND(N(Sync!$AY249)*N(Sync!$AZ249),0)))</f>
        <v/>
      </c>
      <c r="Y249">
        <f>IF($X249="","",IF(OR(Sync!$AX249="",COUNTIF(AcctCodesA,Sync!$AX249)=0),"متفرقه",Sync!$AX249))</f>
        <v/>
      </c>
      <c r="Z249">
        <f>IF($X249="","","سبد و ظروف")</f>
        <v/>
      </c>
      <c r="AA249">
        <f>IF($X249="","",$Y249)</f>
        <v/>
      </c>
    </row>
    <row r="250">
      <c r="A250">
        <f>IF(Sync!$Z250="","",LEFT(UPPER(TRIM(Sync!$Z250)),6))</f>
        <v/>
      </c>
      <c r="B250">
        <f>IF($A250="","",IF(Sync!$AA250="","",Sync!$AA250))</f>
        <v/>
      </c>
      <c r="C250">
        <f>IF($A250="","",IF(Sync!$AB250="","",Sync!$AB250))</f>
        <v/>
      </c>
      <c r="D250">
        <f>IF($A250="","",IF(Sync!$AC250="","",Sync!$AC250))</f>
        <v/>
      </c>
      <c r="E250">
        <f>IF($A250="","",IF(Sync!$AD250="","",Sync!$AD250))</f>
        <v/>
      </c>
      <c r="F250">
        <f>IF($A250="","",IF(Sync!$AE250="",0,Sync!$AE250))</f>
        <v/>
      </c>
      <c r="G250">
        <f>IF($A250="","",IF(Sync!$AF250="",0,Sync!$AF250))</f>
        <v/>
      </c>
      <c r="H250">
        <f>IF(OR($A250="",ROUND($F250+$G250,2)=0),"",$F250+$G250)</f>
        <v/>
      </c>
      <c r="I250">
        <f>IF($H250="","",IF(ROUND($F250,2)&gt;0,$A250,IF($D250="شخصی قاسم","شخصی قاسم",IF($D250="هزینه","هزینه: "&amp;IF($E250="","متفرقه",$E250),IF($C250="پاس چک","چک پرداختی",IF(OR($B250="",COUNTIF(AcctCodesA,$B250)=0),"متفرقه",$B250))))))</f>
        <v/>
      </c>
      <c r="J250">
        <f>IF($H250="","",IF(ROUND($F250,2)&gt;0,IF($D250="شخصی قاسم","شخصی قاسم",IF($D250="هزینه","هزینه: "&amp;IF($E250="","متفرقه",$E250),IF(OR($B250="",COUNTIF(AcctCodesA,$B250)=0),"متفرقه",$B250))),$A250))</f>
        <v/>
      </c>
      <c r="K250">
        <f>IF($A250="","",IF(AND($B250&lt;&gt;"",COUNTIF(AcctCodesA,$B250)=0),"کد طرف در INFO تعریف نشده",IF(AND($D250="هزینه",$E250=""),"هزینه بدون زیرگروه",IF(AND($C250="پاس چک",OR(Sync!$AJ250="",COUNTIF(IssueNosA,Sync!$AJ250)=0)),"شماره چک پاس‌شده معتبر نیست",""))))</f>
        <v/>
      </c>
      <c r="M250">
        <f>IF(Sync!$AH250="","",Sync!$AH250)</f>
        <v/>
      </c>
      <c r="N250">
        <f>IF($M250="","",IF(OR(Sync!$AI250="",COUNTIF(AcctCodesA,Sync!$AI250)=0),"متفرقه",Sync!$AI250))</f>
        <v/>
      </c>
      <c r="O250">
        <f>IF($M250="","",$N250)</f>
        <v/>
      </c>
      <c r="P250">
        <f>IF($M250="","","چک پرداختی")</f>
        <v/>
      </c>
      <c r="R250">
        <f>IF($M250="","",IF(COUNTIF(AcctCodesA,Sync!$AI250)=0,"ذی‌نفع چک تعریف‌نشده",""))</f>
        <v/>
      </c>
      <c r="S250">
        <f>IF($R250="","",Sync!$AG250&amp;"|"&amp;"5"&amp;RIGHT("00000"&amp;245,5))</f>
        <v/>
      </c>
      <c r="T250">
        <f>IF($S250="",0,COUNTIFS($S$6:$S$505,"&lt;"&amp;$S250)-COUNTIFS($S$6:$S$505,"&lt;"&amp;$S250,$R$6:$R$505,"")+1)</f>
        <v/>
      </c>
      <c r="V250">
        <f>IF($K250="","",IF(ISNUMBER(Sync!$AK250),Sync!$AK250,LEFT(Sync!$AK250,4)&amp;MID(Sync!$AK250,6,2)&amp;RIGHT(Sync!$AK250,2))&amp;"|"&amp;"4"&amp;RIGHT("00000"&amp;245,5))</f>
        <v/>
      </c>
      <c r="W250">
        <f>IF($V250="",0,COUNTIFS($V$6:$V$2005,"&lt;"&amp;$V250)-COUNTIFS($V$6:$V$2005,"&lt;"&amp;$V250,$K$6:$K$2005,"")+1)</f>
        <v/>
      </c>
      <c r="X250">
        <f>IF(Sync!$AX250="","",IF(OR(N(Sync!$AY250)=0,N(Sync!$AZ250)=0),"",ROUND(N(Sync!$AY250)*N(Sync!$AZ250),0)))</f>
        <v/>
      </c>
      <c r="Y250">
        <f>IF($X250="","",IF(OR(Sync!$AX250="",COUNTIF(AcctCodesA,Sync!$AX250)=0),"متفرقه",Sync!$AX250))</f>
        <v/>
      </c>
      <c r="Z250">
        <f>IF($X250="","","سبد و ظروف")</f>
        <v/>
      </c>
      <c r="AA250">
        <f>IF($X250="","",$Y250)</f>
        <v/>
      </c>
    </row>
    <row r="251">
      <c r="A251">
        <f>IF(Sync!$Z251="","",LEFT(UPPER(TRIM(Sync!$Z251)),6))</f>
        <v/>
      </c>
      <c r="B251">
        <f>IF($A251="","",IF(Sync!$AA251="","",Sync!$AA251))</f>
        <v/>
      </c>
      <c r="C251">
        <f>IF($A251="","",IF(Sync!$AB251="","",Sync!$AB251))</f>
        <v/>
      </c>
      <c r="D251">
        <f>IF($A251="","",IF(Sync!$AC251="","",Sync!$AC251))</f>
        <v/>
      </c>
      <c r="E251">
        <f>IF($A251="","",IF(Sync!$AD251="","",Sync!$AD251))</f>
        <v/>
      </c>
      <c r="F251">
        <f>IF($A251="","",IF(Sync!$AE251="",0,Sync!$AE251))</f>
        <v/>
      </c>
      <c r="G251">
        <f>IF($A251="","",IF(Sync!$AF251="",0,Sync!$AF251))</f>
        <v/>
      </c>
      <c r="H251">
        <f>IF(OR($A251="",ROUND($F251+$G251,2)=0),"",$F251+$G251)</f>
        <v/>
      </c>
      <c r="I251">
        <f>IF($H251="","",IF(ROUND($F251,2)&gt;0,$A251,IF($D251="شخصی قاسم","شخصی قاسم",IF($D251="هزینه","هزینه: "&amp;IF($E251="","متفرقه",$E251),IF($C251="پاس چک","چک پرداختی",IF(OR($B251="",COUNTIF(AcctCodesA,$B251)=0),"متفرقه",$B251))))))</f>
        <v/>
      </c>
      <c r="J251">
        <f>IF($H251="","",IF(ROUND($F251,2)&gt;0,IF($D251="شخصی قاسم","شخصی قاسم",IF($D251="هزینه","هزینه: "&amp;IF($E251="","متفرقه",$E251),IF(OR($B251="",COUNTIF(AcctCodesA,$B251)=0),"متفرقه",$B251))),$A251))</f>
        <v/>
      </c>
      <c r="K251">
        <f>IF($A251="","",IF(AND($B251&lt;&gt;"",COUNTIF(AcctCodesA,$B251)=0),"کد طرف در INFO تعریف نشده",IF(AND($D251="هزینه",$E251=""),"هزینه بدون زیرگروه",IF(AND($C251="پاس چک",OR(Sync!$AJ251="",COUNTIF(IssueNosA,Sync!$AJ251)=0)),"شماره چک پاس‌شده معتبر نیست",""))))</f>
        <v/>
      </c>
      <c r="M251">
        <f>IF(Sync!$AH251="","",Sync!$AH251)</f>
        <v/>
      </c>
      <c r="N251">
        <f>IF($M251="","",IF(OR(Sync!$AI251="",COUNTIF(AcctCodesA,Sync!$AI251)=0),"متفرقه",Sync!$AI251))</f>
        <v/>
      </c>
      <c r="O251">
        <f>IF($M251="","",$N251)</f>
        <v/>
      </c>
      <c r="P251">
        <f>IF($M251="","","چک پرداختی")</f>
        <v/>
      </c>
      <c r="R251">
        <f>IF($M251="","",IF(COUNTIF(AcctCodesA,Sync!$AI251)=0,"ذی‌نفع چک تعریف‌نشده",""))</f>
        <v/>
      </c>
      <c r="S251">
        <f>IF($R251="","",Sync!$AG251&amp;"|"&amp;"5"&amp;RIGHT("00000"&amp;246,5))</f>
        <v/>
      </c>
      <c r="T251">
        <f>IF($S251="",0,COUNTIFS($S$6:$S$505,"&lt;"&amp;$S251)-COUNTIFS($S$6:$S$505,"&lt;"&amp;$S251,$R$6:$R$505,"")+1)</f>
        <v/>
      </c>
      <c r="V251">
        <f>IF($K251="","",IF(ISNUMBER(Sync!$AK251),Sync!$AK251,LEFT(Sync!$AK251,4)&amp;MID(Sync!$AK251,6,2)&amp;RIGHT(Sync!$AK251,2))&amp;"|"&amp;"4"&amp;RIGHT("00000"&amp;246,5))</f>
        <v/>
      </c>
      <c r="W251">
        <f>IF($V251="",0,COUNTIFS($V$6:$V$2005,"&lt;"&amp;$V251)-COUNTIFS($V$6:$V$2005,"&lt;"&amp;$V251,$K$6:$K$2005,"")+1)</f>
        <v/>
      </c>
      <c r="X251">
        <f>IF(Sync!$AX251="","",IF(OR(N(Sync!$AY251)=0,N(Sync!$AZ251)=0),"",ROUND(N(Sync!$AY251)*N(Sync!$AZ251),0)))</f>
        <v/>
      </c>
      <c r="Y251">
        <f>IF($X251="","",IF(OR(Sync!$AX251="",COUNTIF(AcctCodesA,Sync!$AX251)=0),"متفرقه",Sync!$AX251))</f>
        <v/>
      </c>
      <c r="Z251">
        <f>IF($X251="","","سبد و ظروف")</f>
        <v/>
      </c>
      <c r="AA251">
        <f>IF($X251="","",$Y251)</f>
        <v/>
      </c>
    </row>
    <row r="252">
      <c r="A252">
        <f>IF(Sync!$Z252="","",LEFT(UPPER(TRIM(Sync!$Z252)),6))</f>
        <v/>
      </c>
      <c r="B252">
        <f>IF($A252="","",IF(Sync!$AA252="","",Sync!$AA252))</f>
        <v/>
      </c>
      <c r="C252">
        <f>IF($A252="","",IF(Sync!$AB252="","",Sync!$AB252))</f>
        <v/>
      </c>
      <c r="D252">
        <f>IF($A252="","",IF(Sync!$AC252="","",Sync!$AC252))</f>
        <v/>
      </c>
      <c r="E252">
        <f>IF($A252="","",IF(Sync!$AD252="","",Sync!$AD252))</f>
        <v/>
      </c>
      <c r="F252">
        <f>IF($A252="","",IF(Sync!$AE252="",0,Sync!$AE252))</f>
        <v/>
      </c>
      <c r="G252">
        <f>IF($A252="","",IF(Sync!$AF252="",0,Sync!$AF252))</f>
        <v/>
      </c>
      <c r="H252">
        <f>IF(OR($A252="",ROUND($F252+$G252,2)=0),"",$F252+$G252)</f>
        <v/>
      </c>
      <c r="I252">
        <f>IF($H252="","",IF(ROUND($F252,2)&gt;0,$A252,IF($D252="شخصی قاسم","شخصی قاسم",IF($D252="هزینه","هزینه: "&amp;IF($E252="","متفرقه",$E252),IF($C252="پاس چک","چک پرداختی",IF(OR($B252="",COUNTIF(AcctCodesA,$B252)=0),"متفرقه",$B252))))))</f>
        <v/>
      </c>
      <c r="J252">
        <f>IF($H252="","",IF(ROUND($F252,2)&gt;0,IF($D252="شخصی قاسم","شخصی قاسم",IF($D252="هزینه","هزینه: "&amp;IF($E252="","متفرقه",$E252),IF(OR($B252="",COUNTIF(AcctCodesA,$B252)=0),"متفرقه",$B252))),$A252))</f>
        <v/>
      </c>
      <c r="K252">
        <f>IF($A252="","",IF(AND($B252&lt;&gt;"",COUNTIF(AcctCodesA,$B252)=0),"کد طرف در INFO تعریف نشده",IF(AND($D252="هزینه",$E252=""),"هزینه بدون زیرگروه",IF(AND($C252="پاس چک",OR(Sync!$AJ252="",COUNTIF(IssueNosA,Sync!$AJ252)=0)),"شماره چک پاس‌شده معتبر نیست",""))))</f>
        <v/>
      </c>
      <c r="M252">
        <f>IF(Sync!$AH252="","",Sync!$AH252)</f>
        <v/>
      </c>
      <c r="N252">
        <f>IF($M252="","",IF(OR(Sync!$AI252="",COUNTIF(AcctCodesA,Sync!$AI252)=0),"متفرقه",Sync!$AI252))</f>
        <v/>
      </c>
      <c r="O252">
        <f>IF($M252="","",$N252)</f>
        <v/>
      </c>
      <c r="P252">
        <f>IF($M252="","","چک پرداختی")</f>
        <v/>
      </c>
      <c r="R252">
        <f>IF($M252="","",IF(COUNTIF(AcctCodesA,Sync!$AI252)=0,"ذی‌نفع چک تعریف‌نشده",""))</f>
        <v/>
      </c>
      <c r="S252">
        <f>IF($R252="","",Sync!$AG252&amp;"|"&amp;"5"&amp;RIGHT("00000"&amp;247,5))</f>
        <v/>
      </c>
      <c r="T252">
        <f>IF($S252="",0,COUNTIFS($S$6:$S$505,"&lt;"&amp;$S252)-COUNTIFS($S$6:$S$505,"&lt;"&amp;$S252,$R$6:$R$505,"")+1)</f>
        <v/>
      </c>
      <c r="V252">
        <f>IF($K252="","",IF(ISNUMBER(Sync!$AK252),Sync!$AK252,LEFT(Sync!$AK252,4)&amp;MID(Sync!$AK252,6,2)&amp;RIGHT(Sync!$AK252,2))&amp;"|"&amp;"4"&amp;RIGHT("00000"&amp;247,5))</f>
        <v/>
      </c>
      <c r="W252">
        <f>IF($V252="",0,COUNTIFS($V$6:$V$2005,"&lt;"&amp;$V252)-COUNTIFS($V$6:$V$2005,"&lt;"&amp;$V252,$K$6:$K$2005,"")+1)</f>
        <v/>
      </c>
      <c r="X252">
        <f>IF(Sync!$AX252="","",IF(OR(N(Sync!$AY252)=0,N(Sync!$AZ252)=0),"",ROUND(N(Sync!$AY252)*N(Sync!$AZ252),0)))</f>
        <v/>
      </c>
      <c r="Y252">
        <f>IF($X252="","",IF(OR(Sync!$AX252="",COUNTIF(AcctCodesA,Sync!$AX252)=0),"متفرقه",Sync!$AX252))</f>
        <v/>
      </c>
      <c r="Z252">
        <f>IF($X252="","","سبد و ظروف")</f>
        <v/>
      </c>
      <c r="AA252">
        <f>IF($X252="","",$Y252)</f>
        <v/>
      </c>
    </row>
    <row r="253">
      <c r="A253">
        <f>IF(Sync!$Z253="","",LEFT(UPPER(TRIM(Sync!$Z253)),6))</f>
        <v/>
      </c>
      <c r="B253">
        <f>IF($A253="","",IF(Sync!$AA253="","",Sync!$AA253))</f>
        <v/>
      </c>
      <c r="C253">
        <f>IF($A253="","",IF(Sync!$AB253="","",Sync!$AB253))</f>
        <v/>
      </c>
      <c r="D253">
        <f>IF($A253="","",IF(Sync!$AC253="","",Sync!$AC253))</f>
        <v/>
      </c>
      <c r="E253">
        <f>IF($A253="","",IF(Sync!$AD253="","",Sync!$AD253))</f>
        <v/>
      </c>
      <c r="F253">
        <f>IF($A253="","",IF(Sync!$AE253="",0,Sync!$AE253))</f>
        <v/>
      </c>
      <c r="G253">
        <f>IF($A253="","",IF(Sync!$AF253="",0,Sync!$AF253))</f>
        <v/>
      </c>
      <c r="H253">
        <f>IF(OR($A253="",ROUND($F253+$G253,2)=0),"",$F253+$G253)</f>
        <v/>
      </c>
      <c r="I253">
        <f>IF($H253="","",IF(ROUND($F253,2)&gt;0,$A253,IF($D253="شخصی قاسم","شخصی قاسم",IF($D253="هزینه","هزینه: "&amp;IF($E253="","متفرقه",$E253),IF($C253="پاس چک","چک پرداختی",IF(OR($B253="",COUNTIF(AcctCodesA,$B253)=0),"متفرقه",$B253))))))</f>
        <v/>
      </c>
      <c r="J253">
        <f>IF($H253="","",IF(ROUND($F253,2)&gt;0,IF($D253="شخصی قاسم","شخصی قاسم",IF($D253="هزینه","هزینه: "&amp;IF($E253="","متفرقه",$E253),IF(OR($B253="",COUNTIF(AcctCodesA,$B253)=0),"متفرقه",$B253))),$A253))</f>
        <v/>
      </c>
      <c r="K253">
        <f>IF($A253="","",IF(AND($B253&lt;&gt;"",COUNTIF(AcctCodesA,$B253)=0),"کد طرف در INFO تعریف نشده",IF(AND($D253="هزینه",$E253=""),"هزینه بدون زیرگروه",IF(AND($C253="پاس چک",OR(Sync!$AJ253="",COUNTIF(IssueNosA,Sync!$AJ253)=0)),"شماره چک پاس‌شده معتبر نیست",""))))</f>
        <v/>
      </c>
      <c r="M253">
        <f>IF(Sync!$AH253="","",Sync!$AH253)</f>
        <v/>
      </c>
      <c r="N253">
        <f>IF($M253="","",IF(OR(Sync!$AI253="",COUNTIF(AcctCodesA,Sync!$AI253)=0),"متفرقه",Sync!$AI253))</f>
        <v/>
      </c>
      <c r="O253">
        <f>IF($M253="","",$N253)</f>
        <v/>
      </c>
      <c r="P253">
        <f>IF($M253="","","چک پرداختی")</f>
        <v/>
      </c>
      <c r="R253">
        <f>IF($M253="","",IF(COUNTIF(AcctCodesA,Sync!$AI253)=0,"ذی‌نفع چک تعریف‌نشده",""))</f>
        <v/>
      </c>
      <c r="S253">
        <f>IF($R253="","",Sync!$AG253&amp;"|"&amp;"5"&amp;RIGHT("00000"&amp;248,5))</f>
        <v/>
      </c>
      <c r="T253">
        <f>IF($S253="",0,COUNTIFS($S$6:$S$505,"&lt;"&amp;$S253)-COUNTIFS($S$6:$S$505,"&lt;"&amp;$S253,$R$6:$R$505,"")+1)</f>
        <v/>
      </c>
      <c r="V253">
        <f>IF($K253="","",IF(ISNUMBER(Sync!$AK253),Sync!$AK253,LEFT(Sync!$AK253,4)&amp;MID(Sync!$AK253,6,2)&amp;RIGHT(Sync!$AK253,2))&amp;"|"&amp;"4"&amp;RIGHT("00000"&amp;248,5))</f>
        <v/>
      </c>
      <c r="W253">
        <f>IF($V253="",0,COUNTIFS($V$6:$V$2005,"&lt;"&amp;$V253)-COUNTIFS($V$6:$V$2005,"&lt;"&amp;$V253,$K$6:$K$2005,"")+1)</f>
        <v/>
      </c>
      <c r="X253">
        <f>IF(Sync!$AX253="","",IF(OR(N(Sync!$AY253)=0,N(Sync!$AZ253)=0),"",ROUND(N(Sync!$AY253)*N(Sync!$AZ253),0)))</f>
        <v/>
      </c>
      <c r="Y253">
        <f>IF($X253="","",IF(OR(Sync!$AX253="",COUNTIF(AcctCodesA,Sync!$AX253)=0),"متفرقه",Sync!$AX253))</f>
        <v/>
      </c>
      <c r="Z253">
        <f>IF($X253="","","سبد و ظروف")</f>
        <v/>
      </c>
      <c r="AA253">
        <f>IF($X253="","",$Y253)</f>
        <v/>
      </c>
    </row>
    <row r="254">
      <c r="A254">
        <f>IF(Sync!$Z254="","",LEFT(UPPER(TRIM(Sync!$Z254)),6))</f>
        <v/>
      </c>
      <c r="B254">
        <f>IF($A254="","",IF(Sync!$AA254="","",Sync!$AA254))</f>
        <v/>
      </c>
      <c r="C254">
        <f>IF($A254="","",IF(Sync!$AB254="","",Sync!$AB254))</f>
        <v/>
      </c>
      <c r="D254">
        <f>IF($A254="","",IF(Sync!$AC254="","",Sync!$AC254))</f>
        <v/>
      </c>
      <c r="E254">
        <f>IF($A254="","",IF(Sync!$AD254="","",Sync!$AD254))</f>
        <v/>
      </c>
      <c r="F254">
        <f>IF($A254="","",IF(Sync!$AE254="",0,Sync!$AE254))</f>
        <v/>
      </c>
      <c r="G254">
        <f>IF($A254="","",IF(Sync!$AF254="",0,Sync!$AF254))</f>
        <v/>
      </c>
      <c r="H254">
        <f>IF(OR($A254="",ROUND($F254+$G254,2)=0),"",$F254+$G254)</f>
        <v/>
      </c>
      <c r="I254">
        <f>IF($H254="","",IF(ROUND($F254,2)&gt;0,$A254,IF($D254="شخصی قاسم","شخصی قاسم",IF($D254="هزینه","هزینه: "&amp;IF($E254="","متفرقه",$E254),IF($C254="پاس چک","چک پرداختی",IF(OR($B254="",COUNTIF(AcctCodesA,$B254)=0),"متفرقه",$B254))))))</f>
        <v/>
      </c>
      <c r="J254">
        <f>IF($H254="","",IF(ROUND($F254,2)&gt;0,IF($D254="شخصی قاسم","شخصی قاسم",IF($D254="هزینه","هزینه: "&amp;IF($E254="","متفرقه",$E254),IF(OR($B254="",COUNTIF(AcctCodesA,$B254)=0),"متفرقه",$B254))),$A254))</f>
        <v/>
      </c>
      <c r="K254">
        <f>IF($A254="","",IF(AND($B254&lt;&gt;"",COUNTIF(AcctCodesA,$B254)=0),"کد طرف در INFO تعریف نشده",IF(AND($D254="هزینه",$E254=""),"هزینه بدون زیرگروه",IF(AND($C254="پاس چک",OR(Sync!$AJ254="",COUNTIF(IssueNosA,Sync!$AJ254)=0)),"شماره چک پاس‌شده معتبر نیست",""))))</f>
        <v/>
      </c>
      <c r="M254">
        <f>IF(Sync!$AH254="","",Sync!$AH254)</f>
        <v/>
      </c>
      <c r="N254">
        <f>IF($M254="","",IF(OR(Sync!$AI254="",COUNTIF(AcctCodesA,Sync!$AI254)=0),"متفرقه",Sync!$AI254))</f>
        <v/>
      </c>
      <c r="O254">
        <f>IF($M254="","",$N254)</f>
        <v/>
      </c>
      <c r="P254">
        <f>IF($M254="","","چک پرداختی")</f>
        <v/>
      </c>
      <c r="R254">
        <f>IF($M254="","",IF(COUNTIF(AcctCodesA,Sync!$AI254)=0,"ذی‌نفع چک تعریف‌نشده",""))</f>
        <v/>
      </c>
      <c r="S254">
        <f>IF($R254="","",Sync!$AG254&amp;"|"&amp;"5"&amp;RIGHT("00000"&amp;249,5))</f>
        <v/>
      </c>
      <c r="T254">
        <f>IF($S254="",0,COUNTIFS($S$6:$S$505,"&lt;"&amp;$S254)-COUNTIFS($S$6:$S$505,"&lt;"&amp;$S254,$R$6:$R$505,"")+1)</f>
        <v/>
      </c>
      <c r="V254">
        <f>IF($K254="","",IF(ISNUMBER(Sync!$AK254),Sync!$AK254,LEFT(Sync!$AK254,4)&amp;MID(Sync!$AK254,6,2)&amp;RIGHT(Sync!$AK254,2))&amp;"|"&amp;"4"&amp;RIGHT("00000"&amp;249,5))</f>
        <v/>
      </c>
      <c r="W254">
        <f>IF($V254="",0,COUNTIFS($V$6:$V$2005,"&lt;"&amp;$V254)-COUNTIFS($V$6:$V$2005,"&lt;"&amp;$V254,$K$6:$K$2005,"")+1)</f>
        <v/>
      </c>
      <c r="X254">
        <f>IF(Sync!$AX254="","",IF(OR(N(Sync!$AY254)=0,N(Sync!$AZ254)=0),"",ROUND(N(Sync!$AY254)*N(Sync!$AZ254),0)))</f>
        <v/>
      </c>
      <c r="Y254">
        <f>IF($X254="","",IF(OR(Sync!$AX254="",COUNTIF(AcctCodesA,Sync!$AX254)=0),"متفرقه",Sync!$AX254))</f>
        <v/>
      </c>
      <c r="Z254">
        <f>IF($X254="","","سبد و ظروف")</f>
        <v/>
      </c>
      <c r="AA254">
        <f>IF($X254="","",$Y254)</f>
        <v/>
      </c>
    </row>
    <row r="255">
      <c r="A255">
        <f>IF(Sync!$Z255="","",LEFT(UPPER(TRIM(Sync!$Z255)),6))</f>
        <v/>
      </c>
      <c r="B255">
        <f>IF($A255="","",IF(Sync!$AA255="","",Sync!$AA255))</f>
        <v/>
      </c>
      <c r="C255">
        <f>IF($A255="","",IF(Sync!$AB255="","",Sync!$AB255))</f>
        <v/>
      </c>
      <c r="D255">
        <f>IF($A255="","",IF(Sync!$AC255="","",Sync!$AC255))</f>
        <v/>
      </c>
      <c r="E255">
        <f>IF($A255="","",IF(Sync!$AD255="","",Sync!$AD255))</f>
        <v/>
      </c>
      <c r="F255">
        <f>IF($A255="","",IF(Sync!$AE255="",0,Sync!$AE255))</f>
        <v/>
      </c>
      <c r="G255">
        <f>IF($A255="","",IF(Sync!$AF255="",0,Sync!$AF255))</f>
        <v/>
      </c>
      <c r="H255">
        <f>IF(OR($A255="",ROUND($F255+$G255,2)=0),"",$F255+$G255)</f>
        <v/>
      </c>
      <c r="I255">
        <f>IF($H255="","",IF(ROUND($F255,2)&gt;0,$A255,IF($D255="شخصی قاسم","شخصی قاسم",IF($D255="هزینه","هزینه: "&amp;IF($E255="","متفرقه",$E255),IF($C255="پاس چک","چک پرداختی",IF(OR($B255="",COUNTIF(AcctCodesA,$B255)=0),"متفرقه",$B255))))))</f>
        <v/>
      </c>
      <c r="J255">
        <f>IF($H255="","",IF(ROUND($F255,2)&gt;0,IF($D255="شخصی قاسم","شخصی قاسم",IF($D255="هزینه","هزینه: "&amp;IF($E255="","متفرقه",$E255),IF(OR($B255="",COUNTIF(AcctCodesA,$B255)=0),"متفرقه",$B255))),$A255))</f>
        <v/>
      </c>
      <c r="K255">
        <f>IF($A255="","",IF(AND($B255&lt;&gt;"",COUNTIF(AcctCodesA,$B255)=0),"کد طرف در INFO تعریف نشده",IF(AND($D255="هزینه",$E255=""),"هزینه بدون زیرگروه",IF(AND($C255="پاس چک",OR(Sync!$AJ255="",COUNTIF(IssueNosA,Sync!$AJ255)=0)),"شماره چک پاس‌شده معتبر نیست",""))))</f>
        <v/>
      </c>
      <c r="M255">
        <f>IF(Sync!$AH255="","",Sync!$AH255)</f>
        <v/>
      </c>
      <c r="N255">
        <f>IF($M255="","",IF(OR(Sync!$AI255="",COUNTIF(AcctCodesA,Sync!$AI255)=0),"متفرقه",Sync!$AI255))</f>
        <v/>
      </c>
      <c r="O255">
        <f>IF($M255="","",$N255)</f>
        <v/>
      </c>
      <c r="P255">
        <f>IF($M255="","","چک پرداختی")</f>
        <v/>
      </c>
      <c r="R255">
        <f>IF($M255="","",IF(COUNTIF(AcctCodesA,Sync!$AI255)=0,"ذی‌نفع چک تعریف‌نشده",""))</f>
        <v/>
      </c>
      <c r="S255">
        <f>IF($R255="","",Sync!$AG255&amp;"|"&amp;"5"&amp;RIGHT("00000"&amp;250,5))</f>
        <v/>
      </c>
      <c r="T255">
        <f>IF($S255="",0,COUNTIFS($S$6:$S$505,"&lt;"&amp;$S255)-COUNTIFS($S$6:$S$505,"&lt;"&amp;$S255,$R$6:$R$505,"")+1)</f>
        <v/>
      </c>
      <c r="V255">
        <f>IF($K255="","",IF(ISNUMBER(Sync!$AK255),Sync!$AK255,LEFT(Sync!$AK255,4)&amp;MID(Sync!$AK255,6,2)&amp;RIGHT(Sync!$AK255,2))&amp;"|"&amp;"4"&amp;RIGHT("00000"&amp;250,5))</f>
        <v/>
      </c>
      <c r="W255">
        <f>IF($V255="",0,COUNTIFS($V$6:$V$2005,"&lt;"&amp;$V255)-COUNTIFS($V$6:$V$2005,"&lt;"&amp;$V255,$K$6:$K$2005,"")+1)</f>
        <v/>
      </c>
      <c r="X255">
        <f>IF(Sync!$AX255="","",IF(OR(N(Sync!$AY255)=0,N(Sync!$AZ255)=0),"",ROUND(N(Sync!$AY255)*N(Sync!$AZ255),0)))</f>
        <v/>
      </c>
      <c r="Y255">
        <f>IF($X255="","",IF(OR(Sync!$AX255="",COUNTIF(AcctCodesA,Sync!$AX255)=0),"متفرقه",Sync!$AX255))</f>
        <v/>
      </c>
      <c r="Z255">
        <f>IF($X255="","","سبد و ظروف")</f>
        <v/>
      </c>
      <c r="AA255">
        <f>IF($X255="","",$Y255)</f>
        <v/>
      </c>
    </row>
    <row r="256">
      <c r="A256">
        <f>IF(Sync!$Z256="","",LEFT(UPPER(TRIM(Sync!$Z256)),6))</f>
        <v/>
      </c>
      <c r="B256">
        <f>IF($A256="","",IF(Sync!$AA256="","",Sync!$AA256))</f>
        <v/>
      </c>
      <c r="C256">
        <f>IF($A256="","",IF(Sync!$AB256="","",Sync!$AB256))</f>
        <v/>
      </c>
      <c r="D256">
        <f>IF($A256="","",IF(Sync!$AC256="","",Sync!$AC256))</f>
        <v/>
      </c>
      <c r="E256">
        <f>IF($A256="","",IF(Sync!$AD256="","",Sync!$AD256))</f>
        <v/>
      </c>
      <c r="F256">
        <f>IF($A256="","",IF(Sync!$AE256="",0,Sync!$AE256))</f>
        <v/>
      </c>
      <c r="G256">
        <f>IF($A256="","",IF(Sync!$AF256="",0,Sync!$AF256))</f>
        <v/>
      </c>
      <c r="H256">
        <f>IF(OR($A256="",ROUND($F256+$G256,2)=0),"",$F256+$G256)</f>
        <v/>
      </c>
      <c r="I256">
        <f>IF($H256="","",IF(ROUND($F256,2)&gt;0,$A256,IF($D256="شخصی قاسم","شخصی قاسم",IF($D256="هزینه","هزینه: "&amp;IF($E256="","متفرقه",$E256),IF($C256="پاس چک","چک پرداختی",IF(OR($B256="",COUNTIF(AcctCodesA,$B256)=0),"متفرقه",$B256))))))</f>
        <v/>
      </c>
      <c r="J256">
        <f>IF($H256="","",IF(ROUND($F256,2)&gt;0,IF($D256="شخصی قاسم","شخصی قاسم",IF($D256="هزینه","هزینه: "&amp;IF($E256="","متفرقه",$E256),IF(OR($B256="",COUNTIF(AcctCodesA,$B256)=0),"متفرقه",$B256))),$A256))</f>
        <v/>
      </c>
      <c r="K256">
        <f>IF($A256="","",IF(AND($B256&lt;&gt;"",COUNTIF(AcctCodesA,$B256)=0),"کد طرف در INFO تعریف نشده",IF(AND($D256="هزینه",$E256=""),"هزینه بدون زیرگروه",IF(AND($C256="پاس چک",OR(Sync!$AJ256="",COUNTIF(IssueNosA,Sync!$AJ256)=0)),"شماره چک پاس‌شده معتبر نیست",""))))</f>
        <v/>
      </c>
      <c r="M256">
        <f>IF(Sync!$AH256="","",Sync!$AH256)</f>
        <v/>
      </c>
      <c r="N256">
        <f>IF($M256="","",IF(OR(Sync!$AI256="",COUNTIF(AcctCodesA,Sync!$AI256)=0),"متفرقه",Sync!$AI256))</f>
        <v/>
      </c>
      <c r="O256">
        <f>IF($M256="","",$N256)</f>
        <v/>
      </c>
      <c r="P256">
        <f>IF($M256="","","چک پرداختی")</f>
        <v/>
      </c>
      <c r="R256">
        <f>IF($M256="","",IF(COUNTIF(AcctCodesA,Sync!$AI256)=0,"ذی‌نفع چک تعریف‌نشده",""))</f>
        <v/>
      </c>
      <c r="S256">
        <f>IF($R256="","",Sync!$AG256&amp;"|"&amp;"5"&amp;RIGHT("00000"&amp;251,5))</f>
        <v/>
      </c>
      <c r="T256">
        <f>IF($S256="",0,COUNTIFS($S$6:$S$505,"&lt;"&amp;$S256)-COUNTIFS($S$6:$S$505,"&lt;"&amp;$S256,$R$6:$R$505,"")+1)</f>
        <v/>
      </c>
      <c r="V256">
        <f>IF($K256="","",IF(ISNUMBER(Sync!$AK256),Sync!$AK256,LEFT(Sync!$AK256,4)&amp;MID(Sync!$AK256,6,2)&amp;RIGHT(Sync!$AK256,2))&amp;"|"&amp;"4"&amp;RIGHT("00000"&amp;251,5))</f>
        <v/>
      </c>
      <c r="W256">
        <f>IF($V256="",0,COUNTIFS($V$6:$V$2005,"&lt;"&amp;$V256)-COUNTIFS($V$6:$V$2005,"&lt;"&amp;$V256,$K$6:$K$2005,"")+1)</f>
        <v/>
      </c>
      <c r="X256">
        <f>IF(Sync!$AX256="","",IF(OR(N(Sync!$AY256)=0,N(Sync!$AZ256)=0),"",ROUND(N(Sync!$AY256)*N(Sync!$AZ256),0)))</f>
        <v/>
      </c>
      <c r="Y256">
        <f>IF($X256="","",IF(OR(Sync!$AX256="",COUNTIF(AcctCodesA,Sync!$AX256)=0),"متفرقه",Sync!$AX256))</f>
        <v/>
      </c>
      <c r="Z256">
        <f>IF($X256="","","سبد و ظروف")</f>
        <v/>
      </c>
      <c r="AA256">
        <f>IF($X256="","",$Y256)</f>
        <v/>
      </c>
    </row>
    <row r="257">
      <c r="A257">
        <f>IF(Sync!$Z257="","",LEFT(UPPER(TRIM(Sync!$Z257)),6))</f>
        <v/>
      </c>
      <c r="B257">
        <f>IF($A257="","",IF(Sync!$AA257="","",Sync!$AA257))</f>
        <v/>
      </c>
      <c r="C257">
        <f>IF($A257="","",IF(Sync!$AB257="","",Sync!$AB257))</f>
        <v/>
      </c>
      <c r="D257">
        <f>IF($A257="","",IF(Sync!$AC257="","",Sync!$AC257))</f>
        <v/>
      </c>
      <c r="E257">
        <f>IF($A257="","",IF(Sync!$AD257="","",Sync!$AD257))</f>
        <v/>
      </c>
      <c r="F257">
        <f>IF($A257="","",IF(Sync!$AE257="",0,Sync!$AE257))</f>
        <v/>
      </c>
      <c r="G257">
        <f>IF($A257="","",IF(Sync!$AF257="",0,Sync!$AF257))</f>
        <v/>
      </c>
      <c r="H257">
        <f>IF(OR($A257="",ROUND($F257+$G257,2)=0),"",$F257+$G257)</f>
        <v/>
      </c>
      <c r="I257">
        <f>IF($H257="","",IF(ROUND($F257,2)&gt;0,$A257,IF($D257="شخصی قاسم","شخصی قاسم",IF($D257="هزینه","هزینه: "&amp;IF($E257="","متفرقه",$E257),IF($C257="پاس چک","چک پرداختی",IF(OR($B257="",COUNTIF(AcctCodesA,$B257)=0),"متفرقه",$B257))))))</f>
        <v/>
      </c>
      <c r="J257">
        <f>IF($H257="","",IF(ROUND($F257,2)&gt;0,IF($D257="شخصی قاسم","شخصی قاسم",IF($D257="هزینه","هزینه: "&amp;IF($E257="","متفرقه",$E257),IF(OR($B257="",COUNTIF(AcctCodesA,$B257)=0),"متفرقه",$B257))),$A257))</f>
        <v/>
      </c>
      <c r="K257">
        <f>IF($A257="","",IF(AND($B257&lt;&gt;"",COUNTIF(AcctCodesA,$B257)=0),"کد طرف در INFO تعریف نشده",IF(AND($D257="هزینه",$E257=""),"هزینه بدون زیرگروه",IF(AND($C257="پاس چک",OR(Sync!$AJ257="",COUNTIF(IssueNosA,Sync!$AJ257)=0)),"شماره چک پاس‌شده معتبر نیست",""))))</f>
        <v/>
      </c>
      <c r="M257">
        <f>IF(Sync!$AH257="","",Sync!$AH257)</f>
        <v/>
      </c>
      <c r="N257">
        <f>IF($M257="","",IF(OR(Sync!$AI257="",COUNTIF(AcctCodesA,Sync!$AI257)=0),"متفرقه",Sync!$AI257))</f>
        <v/>
      </c>
      <c r="O257">
        <f>IF($M257="","",$N257)</f>
        <v/>
      </c>
      <c r="P257">
        <f>IF($M257="","","چک پرداختی")</f>
        <v/>
      </c>
      <c r="R257">
        <f>IF($M257="","",IF(COUNTIF(AcctCodesA,Sync!$AI257)=0,"ذی‌نفع چک تعریف‌نشده",""))</f>
        <v/>
      </c>
      <c r="S257">
        <f>IF($R257="","",Sync!$AG257&amp;"|"&amp;"5"&amp;RIGHT("00000"&amp;252,5))</f>
        <v/>
      </c>
      <c r="T257">
        <f>IF($S257="",0,COUNTIFS($S$6:$S$505,"&lt;"&amp;$S257)-COUNTIFS($S$6:$S$505,"&lt;"&amp;$S257,$R$6:$R$505,"")+1)</f>
        <v/>
      </c>
      <c r="V257">
        <f>IF($K257="","",IF(ISNUMBER(Sync!$AK257),Sync!$AK257,LEFT(Sync!$AK257,4)&amp;MID(Sync!$AK257,6,2)&amp;RIGHT(Sync!$AK257,2))&amp;"|"&amp;"4"&amp;RIGHT("00000"&amp;252,5))</f>
        <v/>
      </c>
      <c r="W257">
        <f>IF($V257="",0,COUNTIFS($V$6:$V$2005,"&lt;"&amp;$V257)-COUNTIFS($V$6:$V$2005,"&lt;"&amp;$V257,$K$6:$K$2005,"")+1)</f>
        <v/>
      </c>
      <c r="X257">
        <f>IF(Sync!$AX257="","",IF(OR(N(Sync!$AY257)=0,N(Sync!$AZ257)=0),"",ROUND(N(Sync!$AY257)*N(Sync!$AZ257),0)))</f>
        <v/>
      </c>
      <c r="Y257">
        <f>IF($X257="","",IF(OR(Sync!$AX257="",COUNTIF(AcctCodesA,Sync!$AX257)=0),"متفرقه",Sync!$AX257))</f>
        <v/>
      </c>
      <c r="Z257">
        <f>IF($X257="","","سبد و ظروف")</f>
        <v/>
      </c>
      <c r="AA257">
        <f>IF($X257="","",$Y257)</f>
        <v/>
      </c>
    </row>
    <row r="258">
      <c r="A258">
        <f>IF(Sync!$Z258="","",LEFT(UPPER(TRIM(Sync!$Z258)),6))</f>
        <v/>
      </c>
      <c r="B258">
        <f>IF($A258="","",IF(Sync!$AA258="","",Sync!$AA258))</f>
        <v/>
      </c>
      <c r="C258">
        <f>IF($A258="","",IF(Sync!$AB258="","",Sync!$AB258))</f>
        <v/>
      </c>
      <c r="D258">
        <f>IF($A258="","",IF(Sync!$AC258="","",Sync!$AC258))</f>
        <v/>
      </c>
      <c r="E258">
        <f>IF($A258="","",IF(Sync!$AD258="","",Sync!$AD258))</f>
        <v/>
      </c>
      <c r="F258">
        <f>IF($A258="","",IF(Sync!$AE258="",0,Sync!$AE258))</f>
        <v/>
      </c>
      <c r="G258">
        <f>IF($A258="","",IF(Sync!$AF258="",0,Sync!$AF258))</f>
        <v/>
      </c>
      <c r="H258">
        <f>IF(OR($A258="",ROUND($F258+$G258,2)=0),"",$F258+$G258)</f>
        <v/>
      </c>
      <c r="I258">
        <f>IF($H258="","",IF(ROUND($F258,2)&gt;0,$A258,IF($D258="شخصی قاسم","شخصی قاسم",IF($D258="هزینه","هزینه: "&amp;IF($E258="","متفرقه",$E258),IF($C258="پاس چک","چک پرداختی",IF(OR($B258="",COUNTIF(AcctCodesA,$B258)=0),"متفرقه",$B258))))))</f>
        <v/>
      </c>
      <c r="J258">
        <f>IF($H258="","",IF(ROUND($F258,2)&gt;0,IF($D258="شخصی قاسم","شخصی قاسم",IF($D258="هزینه","هزینه: "&amp;IF($E258="","متفرقه",$E258),IF(OR($B258="",COUNTIF(AcctCodesA,$B258)=0),"متفرقه",$B258))),$A258))</f>
        <v/>
      </c>
      <c r="K258">
        <f>IF($A258="","",IF(AND($B258&lt;&gt;"",COUNTIF(AcctCodesA,$B258)=0),"کد طرف در INFO تعریف نشده",IF(AND($D258="هزینه",$E258=""),"هزینه بدون زیرگروه",IF(AND($C258="پاس چک",OR(Sync!$AJ258="",COUNTIF(IssueNosA,Sync!$AJ258)=0)),"شماره چک پاس‌شده معتبر نیست",""))))</f>
        <v/>
      </c>
      <c r="M258">
        <f>IF(Sync!$AH258="","",Sync!$AH258)</f>
        <v/>
      </c>
      <c r="N258">
        <f>IF($M258="","",IF(OR(Sync!$AI258="",COUNTIF(AcctCodesA,Sync!$AI258)=0),"متفرقه",Sync!$AI258))</f>
        <v/>
      </c>
      <c r="O258">
        <f>IF($M258="","",$N258)</f>
        <v/>
      </c>
      <c r="P258">
        <f>IF($M258="","","چک پرداختی")</f>
        <v/>
      </c>
      <c r="R258">
        <f>IF($M258="","",IF(COUNTIF(AcctCodesA,Sync!$AI258)=0,"ذی‌نفع چک تعریف‌نشده",""))</f>
        <v/>
      </c>
      <c r="S258">
        <f>IF($R258="","",Sync!$AG258&amp;"|"&amp;"5"&amp;RIGHT("00000"&amp;253,5))</f>
        <v/>
      </c>
      <c r="T258">
        <f>IF($S258="",0,COUNTIFS($S$6:$S$505,"&lt;"&amp;$S258)-COUNTIFS($S$6:$S$505,"&lt;"&amp;$S258,$R$6:$R$505,"")+1)</f>
        <v/>
      </c>
      <c r="V258">
        <f>IF($K258="","",IF(ISNUMBER(Sync!$AK258),Sync!$AK258,LEFT(Sync!$AK258,4)&amp;MID(Sync!$AK258,6,2)&amp;RIGHT(Sync!$AK258,2))&amp;"|"&amp;"4"&amp;RIGHT("00000"&amp;253,5))</f>
        <v/>
      </c>
      <c r="W258">
        <f>IF($V258="",0,COUNTIFS($V$6:$V$2005,"&lt;"&amp;$V258)-COUNTIFS($V$6:$V$2005,"&lt;"&amp;$V258,$K$6:$K$2005,"")+1)</f>
        <v/>
      </c>
      <c r="X258">
        <f>IF(Sync!$AX258="","",IF(OR(N(Sync!$AY258)=0,N(Sync!$AZ258)=0),"",ROUND(N(Sync!$AY258)*N(Sync!$AZ258),0)))</f>
        <v/>
      </c>
      <c r="Y258">
        <f>IF($X258="","",IF(OR(Sync!$AX258="",COUNTIF(AcctCodesA,Sync!$AX258)=0),"متفرقه",Sync!$AX258))</f>
        <v/>
      </c>
      <c r="Z258">
        <f>IF($X258="","","سبد و ظروف")</f>
        <v/>
      </c>
      <c r="AA258">
        <f>IF($X258="","",$Y258)</f>
        <v/>
      </c>
    </row>
    <row r="259">
      <c r="A259">
        <f>IF(Sync!$Z259="","",LEFT(UPPER(TRIM(Sync!$Z259)),6))</f>
        <v/>
      </c>
      <c r="B259">
        <f>IF($A259="","",IF(Sync!$AA259="","",Sync!$AA259))</f>
        <v/>
      </c>
      <c r="C259">
        <f>IF($A259="","",IF(Sync!$AB259="","",Sync!$AB259))</f>
        <v/>
      </c>
      <c r="D259">
        <f>IF($A259="","",IF(Sync!$AC259="","",Sync!$AC259))</f>
        <v/>
      </c>
      <c r="E259">
        <f>IF($A259="","",IF(Sync!$AD259="","",Sync!$AD259))</f>
        <v/>
      </c>
      <c r="F259">
        <f>IF($A259="","",IF(Sync!$AE259="",0,Sync!$AE259))</f>
        <v/>
      </c>
      <c r="G259">
        <f>IF($A259="","",IF(Sync!$AF259="",0,Sync!$AF259))</f>
        <v/>
      </c>
      <c r="H259">
        <f>IF(OR($A259="",ROUND($F259+$G259,2)=0),"",$F259+$G259)</f>
        <v/>
      </c>
      <c r="I259">
        <f>IF($H259="","",IF(ROUND($F259,2)&gt;0,$A259,IF($D259="شخصی قاسم","شخصی قاسم",IF($D259="هزینه","هزینه: "&amp;IF($E259="","متفرقه",$E259),IF($C259="پاس چک","چک پرداختی",IF(OR($B259="",COUNTIF(AcctCodesA,$B259)=0),"متفرقه",$B259))))))</f>
        <v/>
      </c>
      <c r="J259">
        <f>IF($H259="","",IF(ROUND($F259,2)&gt;0,IF($D259="شخصی قاسم","شخصی قاسم",IF($D259="هزینه","هزینه: "&amp;IF($E259="","متفرقه",$E259),IF(OR($B259="",COUNTIF(AcctCodesA,$B259)=0),"متفرقه",$B259))),$A259))</f>
        <v/>
      </c>
      <c r="K259">
        <f>IF($A259="","",IF(AND($B259&lt;&gt;"",COUNTIF(AcctCodesA,$B259)=0),"کد طرف در INFO تعریف نشده",IF(AND($D259="هزینه",$E259=""),"هزینه بدون زیرگروه",IF(AND($C259="پاس چک",OR(Sync!$AJ259="",COUNTIF(IssueNosA,Sync!$AJ259)=0)),"شماره چک پاس‌شده معتبر نیست",""))))</f>
        <v/>
      </c>
      <c r="M259">
        <f>IF(Sync!$AH259="","",Sync!$AH259)</f>
        <v/>
      </c>
      <c r="N259">
        <f>IF($M259="","",IF(OR(Sync!$AI259="",COUNTIF(AcctCodesA,Sync!$AI259)=0),"متفرقه",Sync!$AI259))</f>
        <v/>
      </c>
      <c r="O259">
        <f>IF($M259="","",$N259)</f>
        <v/>
      </c>
      <c r="P259">
        <f>IF($M259="","","چک پرداختی")</f>
        <v/>
      </c>
      <c r="R259">
        <f>IF($M259="","",IF(COUNTIF(AcctCodesA,Sync!$AI259)=0,"ذی‌نفع چک تعریف‌نشده",""))</f>
        <v/>
      </c>
      <c r="S259">
        <f>IF($R259="","",Sync!$AG259&amp;"|"&amp;"5"&amp;RIGHT("00000"&amp;254,5))</f>
        <v/>
      </c>
      <c r="T259">
        <f>IF($S259="",0,COUNTIFS($S$6:$S$505,"&lt;"&amp;$S259)-COUNTIFS($S$6:$S$505,"&lt;"&amp;$S259,$R$6:$R$505,"")+1)</f>
        <v/>
      </c>
      <c r="V259">
        <f>IF($K259="","",IF(ISNUMBER(Sync!$AK259),Sync!$AK259,LEFT(Sync!$AK259,4)&amp;MID(Sync!$AK259,6,2)&amp;RIGHT(Sync!$AK259,2))&amp;"|"&amp;"4"&amp;RIGHT("00000"&amp;254,5))</f>
        <v/>
      </c>
      <c r="W259">
        <f>IF($V259="",0,COUNTIFS($V$6:$V$2005,"&lt;"&amp;$V259)-COUNTIFS($V$6:$V$2005,"&lt;"&amp;$V259,$K$6:$K$2005,"")+1)</f>
        <v/>
      </c>
      <c r="X259">
        <f>IF(Sync!$AX259="","",IF(OR(N(Sync!$AY259)=0,N(Sync!$AZ259)=0),"",ROUND(N(Sync!$AY259)*N(Sync!$AZ259),0)))</f>
        <v/>
      </c>
      <c r="Y259">
        <f>IF($X259="","",IF(OR(Sync!$AX259="",COUNTIF(AcctCodesA,Sync!$AX259)=0),"متفرقه",Sync!$AX259))</f>
        <v/>
      </c>
      <c r="Z259">
        <f>IF($X259="","","سبد و ظروف")</f>
        <v/>
      </c>
      <c r="AA259">
        <f>IF($X259="","",$Y259)</f>
        <v/>
      </c>
    </row>
    <row r="260">
      <c r="A260">
        <f>IF(Sync!$Z260="","",LEFT(UPPER(TRIM(Sync!$Z260)),6))</f>
        <v/>
      </c>
      <c r="B260">
        <f>IF($A260="","",IF(Sync!$AA260="","",Sync!$AA260))</f>
        <v/>
      </c>
      <c r="C260">
        <f>IF($A260="","",IF(Sync!$AB260="","",Sync!$AB260))</f>
        <v/>
      </c>
      <c r="D260">
        <f>IF($A260="","",IF(Sync!$AC260="","",Sync!$AC260))</f>
        <v/>
      </c>
      <c r="E260">
        <f>IF($A260="","",IF(Sync!$AD260="","",Sync!$AD260))</f>
        <v/>
      </c>
      <c r="F260">
        <f>IF($A260="","",IF(Sync!$AE260="",0,Sync!$AE260))</f>
        <v/>
      </c>
      <c r="G260">
        <f>IF($A260="","",IF(Sync!$AF260="",0,Sync!$AF260))</f>
        <v/>
      </c>
      <c r="H260">
        <f>IF(OR($A260="",ROUND($F260+$G260,2)=0),"",$F260+$G260)</f>
        <v/>
      </c>
      <c r="I260">
        <f>IF($H260="","",IF(ROUND($F260,2)&gt;0,$A260,IF($D260="شخصی قاسم","شخصی قاسم",IF($D260="هزینه","هزینه: "&amp;IF($E260="","متفرقه",$E260),IF($C260="پاس چک","چک پرداختی",IF(OR($B260="",COUNTIF(AcctCodesA,$B260)=0),"متفرقه",$B260))))))</f>
        <v/>
      </c>
      <c r="J260">
        <f>IF($H260="","",IF(ROUND($F260,2)&gt;0,IF($D260="شخصی قاسم","شخصی قاسم",IF($D260="هزینه","هزینه: "&amp;IF($E260="","متفرقه",$E260),IF(OR($B260="",COUNTIF(AcctCodesA,$B260)=0),"متفرقه",$B260))),$A260))</f>
        <v/>
      </c>
      <c r="K260">
        <f>IF($A260="","",IF(AND($B260&lt;&gt;"",COUNTIF(AcctCodesA,$B260)=0),"کد طرف در INFO تعریف نشده",IF(AND($D260="هزینه",$E260=""),"هزینه بدون زیرگروه",IF(AND($C260="پاس چک",OR(Sync!$AJ260="",COUNTIF(IssueNosA,Sync!$AJ260)=0)),"شماره چک پاس‌شده معتبر نیست",""))))</f>
        <v/>
      </c>
      <c r="M260">
        <f>IF(Sync!$AH260="","",Sync!$AH260)</f>
        <v/>
      </c>
      <c r="N260">
        <f>IF($M260="","",IF(OR(Sync!$AI260="",COUNTIF(AcctCodesA,Sync!$AI260)=0),"متفرقه",Sync!$AI260))</f>
        <v/>
      </c>
      <c r="O260">
        <f>IF($M260="","",$N260)</f>
        <v/>
      </c>
      <c r="P260">
        <f>IF($M260="","","چک پرداختی")</f>
        <v/>
      </c>
      <c r="R260">
        <f>IF($M260="","",IF(COUNTIF(AcctCodesA,Sync!$AI260)=0,"ذی‌نفع چک تعریف‌نشده",""))</f>
        <v/>
      </c>
      <c r="S260">
        <f>IF($R260="","",Sync!$AG260&amp;"|"&amp;"5"&amp;RIGHT("00000"&amp;255,5))</f>
        <v/>
      </c>
      <c r="T260">
        <f>IF($S260="",0,COUNTIFS($S$6:$S$505,"&lt;"&amp;$S260)-COUNTIFS($S$6:$S$505,"&lt;"&amp;$S260,$R$6:$R$505,"")+1)</f>
        <v/>
      </c>
      <c r="V260">
        <f>IF($K260="","",IF(ISNUMBER(Sync!$AK260),Sync!$AK260,LEFT(Sync!$AK260,4)&amp;MID(Sync!$AK260,6,2)&amp;RIGHT(Sync!$AK260,2))&amp;"|"&amp;"4"&amp;RIGHT("00000"&amp;255,5))</f>
        <v/>
      </c>
      <c r="W260">
        <f>IF($V260="",0,COUNTIFS($V$6:$V$2005,"&lt;"&amp;$V260)-COUNTIFS($V$6:$V$2005,"&lt;"&amp;$V260,$K$6:$K$2005,"")+1)</f>
        <v/>
      </c>
      <c r="X260">
        <f>IF(Sync!$AX260="","",IF(OR(N(Sync!$AY260)=0,N(Sync!$AZ260)=0),"",ROUND(N(Sync!$AY260)*N(Sync!$AZ260),0)))</f>
        <v/>
      </c>
      <c r="Y260">
        <f>IF($X260="","",IF(OR(Sync!$AX260="",COUNTIF(AcctCodesA,Sync!$AX260)=0),"متفرقه",Sync!$AX260))</f>
        <v/>
      </c>
      <c r="Z260">
        <f>IF($X260="","","سبد و ظروف")</f>
        <v/>
      </c>
      <c r="AA260">
        <f>IF($X260="","",$Y260)</f>
        <v/>
      </c>
    </row>
    <row r="261">
      <c r="A261">
        <f>IF(Sync!$Z261="","",LEFT(UPPER(TRIM(Sync!$Z261)),6))</f>
        <v/>
      </c>
      <c r="B261">
        <f>IF($A261="","",IF(Sync!$AA261="","",Sync!$AA261))</f>
        <v/>
      </c>
      <c r="C261">
        <f>IF($A261="","",IF(Sync!$AB261="","",Sync!$AB261))</f>
        <v/>
      </c>
      <c r="D261">
        <f>IF($A261="","",IF(Sync!$AC261="","",Sync!$AC261))</f>
        <v/>
      </c>
      <c r="E261">
        <f>IF($A261="","",IF(Sync!$AD261="","",Sync!$AD261))</f>
        <v/>
      </c>
      <c r="F261">
        <f>IF($A261="","",IF(Sync!$AE261="",0,Sync!$AE261))</f>
        <v/>
      </c>
      <c r="G261">
        <f>IF($A261="","",IF(Sync!$AF261="",0,Sync!$AF261))</f>
        <v/>
      </c>
      <c r="H261">
        <f>IF(OR($A261="",ROUND($F261+$G261,2)=0),"",$F261+$G261)</f>
        <v/>
      </c>
      <c r="I261">
        <f>IF($H261="","",IF(ROUND($F261,2)&gt;0,$A261,IF($D261="شخصی قاسم","شخصی قاسم",IF($D261="هزینه","هزینه: "&amp;IF($E261="","متفرقه",$E261),IF($C261="پاس چک","چک پرداختی",IF(OR($B261="",COUNTIF(AcctCodesA,$B261)=0),"متفرقه",$B261))))))</f>
        <v/>
      </c>
      <c r="J261">
        <f>IF($H261="","",IF(ROUND($F261,2)&gt;0,IF($D261="شخصی قاسم","شخصی قاسم",IF($D261="هزینه","هزینه: "&amp;IF($E261="","متفرقه",$E261),IF(OR($B261="",COUNTIF(AcctCodesA,$B261)=0),"متفرقه",$B261))),$A261))</f>
        <v/>
      </c>
      <c r="K261">
        <f>IF($A261="","",IF(AND($B261&lt;&gt;"",COUNTIF(AcctCodesA,$B261)=0),"کد طرف در INFO تعریف نشده",IF(AND($D261="هزینه",$E261=""),"هزینه بدون زیرگروه",IF(AND($C261="پاس چک",OR(Sync!$AJ261="",COUNTIF(IssueNosA,Sync!$AJ261)=0)),"شماره چک پاس‌شده معتبر نیست",""))))</f>
        <v/>
      </c>
      <c r="M261">
        <f>IF(Sync!$AH261="","",Sync!$AH261)</f>
        <v/>
      </c>
      <c r="N261">
        <f>IF($M261="","",IF(OR(Sync!$AI261="",COUNTIF(AcctCodesA,Sync!$AI261)=0),"متفرقه",Sync!$AI261))</f>
        <v/>
      </c>
      <c r="O261">
        <f>IF($M261="","",$N261)</f>
        <v/>
      </c>
      <c r="P261">
        <f>IF($M261="","","چک پرداختی")</f>
        <v/>
      </c>
      <c r="R261">
        <f>IF($M261="","",IF(COUNTIF(AcctCodesA,Sync!$AI261)=0,"ذی‌نفع چک تعریف‌نشده",""))</f>
        <v/>
      </c>
      <c r="S261">
        <f>IF($R261="","",Sync!$AG261&amp;"|"&amp;"5"&amp;RIGHT("00000"&amp;256,5))</f>
        <v/>
      </c>
      <c r="T261">
        <f>IF($S261="",0,COUNTIFS($S$6:$S$505,"&lt;"&amp;$S261)-COUNTIFS($S$6:$S$505,"&lt;"&amp;$S261,$R$6:$R$505,"")+1)</f>
        <v/>
      </c>
      <c r="V261">
        <f>IF($K261="","",IF(ISNUMBER(Sync!$AK261),Sync!$AK261,LEFT(Sync!$AK261,4)&amp;MID(Sync!$AK261,6,2)&amp;RIGHT(Sync!$AK261,2))&amp;"|"&amp;"4"&amp;RIGHT("00000"&amp;256,5))</f>
        <v/>
      </c>
      <c r="W261">
        <f>IF($V261="",0,COUNTIFS($V$6:$V$2005,"&lt;"&amp;$V261)-COUNTIFS($V$6:$V$2005,"&lt;"&amp;$V261,$K$6:$K$2005,"")+1)</f>
        <v/>
      </c>
      <c r="X261">
        <f>IF(Sync!$AX261="","",IF(OR(N(Sync!$AY261)=0,N(Sync!$AZ261)=0),"",ROUND(N(Sync!$AY261)*N(Sync!$AZ261),0)))</f>
        <v/>
      </c>
      <c r="Y261">
        <f>IF($X261="","",IF(OR(Sync!$AX261="",COUNTIF(AcctCodesA,Sync!$AX261)=0),"متفرقه",Sync!$AX261))</f>
        <v/>
      </c>
      <c r="Z261">
        <f>IF($X261="","","سبد و ظروف")</f>
        <v/>
      </c>
      <c r="AA261">
        <f>IF($X261="","",$Y261)</f>
        <v/>
      </c>
    </row>
    <row r="262">
      <c r="A262">
        <f>IF(Sync!$Z262="","",LEFT(UPPER(TRIM(Sync!$Z262)),6))</f>
        <v/>
      </c>
      <c r="B262">
        <f>IF($A262="","",IF(Sync!$AA262="","",Sync!$AA262))</f>
        <v/>
      </c>
      <c r="C262">
        <f>IF($A262="","",IF(Sync!$AB262="","",Sync!$AB262))</f>
        <v/>
      </c>
      <c r="D262">
        <f>IF($A262="","",IF(Sync!$AC262="","",Sync!$AC262))</f>
        <v/>
      </c>
      <c r="E262">
        <f>IF($A262="","",IF(Sync!$AD262="","",Sync!$AD262))</f>
        <v/>
      </c>
      <c r="F262">
        <f>IF($A262="","",IF(Sync!$AE262="",0,Sync!$AE262))</f>
        <v/>
      </c>
      <c r="G262">
        <f>IF($A262="","",IF(Sync!$AF262="",0,Sync!$AF262))</f>
        <v/>
      </c>
      <c r="H262">
        <f>IF(OR($A262="",ROUND($F262+$G262,2)=0),"",$F262+$G262)</f>
        <v/>
      </c>
      <c r="I262">
        <f>IF($H262="","",IF(ROUND($F262,2)&gt;0,$A262,IF($D262="شخصی قاسم","شخصی قاسم",IF($D262="هزینه","هزینه: "&amp;IF($E262="","متفرقه",$E262),IF($C262="پاس چک","چک پرداختی",IF(OR($B262="",COUNTIF(AcctCodesA,$B262)=0),"متفرقه",$B262))))))</f>
        <v/>
      </c>
      <c r="J262">
        <f>IF($H262="","",IF(ROUND($F262,2)&gt;0,IF($D262="شخصی قاسم","شخصی قاسم",IF($D262="هزینه","هزینه: "&amp;IF($E262="","متفرقه",$E262),IF(OR($B262="",COUNTIF(AcctCodesA,$B262)=0),"متفرقه",$B262))),$A262))</f>
        <v/>
      </c>
      <c r="K262">
        <f>IF($A262="","",IF(AND($B262&lt;&gt;"",COUNTIF(AcctCodesA,$B262)=0),"کد طرف در INFO تعریف نشده",IF(AND($D262="هزینه",$E262=""),"هزینه بدون زیرگروه",IF(AND($C262="پاس چک",OR(Sync!$AJ262="",COUNTIF(IssueNosA,Sync!$AJ262)=0)),"شماره چک پاس‌شده معتبر نیست",""))))</f>
        <v/>
      </c>
      <c r="M262">
        <f>IF(Sync!$AH262="","",Sync!$AH262)</f>
        <v/>
      </c>
      <c r="N262">
        <f>IF($M262="","",IF(OR(Sync!$AI262="",COUNTIF(AcctCodesA,Sync!$AI262)=0),"متفرقه",Sync!$AI262))</f>
        <v/>
      </c>
      <c r="O262">
        <f>IF($M262="","",$N262)</f>
        <v/>
      </c>
      <c r="P262">
        <f>IF($M262="","","چک پرداختی")</f>
        <v/>
      </c>
      <c r="R262">
        <f>IF($M262="","",IF(COUNTIF(AcctCodesA,Sync!$AI262)=0,"ذی‌نفع چک تعریف‌نشده",""))</f>
        <v/>
      </c>
      <c r="S262">
        <f>IF($R262="","",Sync!$AG262&amp;"|"&amp;"5"&amp;RIGHT("00000"&amp;257,5))</f>
        <v/>
      </c>
      <c r="T262">
        <f>IF($S262="",0,COUNTIFS($S$6:$S$505,"&lt;"&amp;$S262)-COUNTIFS($S$6:$S$505,"&lt;"&amp;$S262,$R$6:$R$505,"")+1)</f>
        <v/>
      </c>
      <c r="V262">
        <f>IF($K262="","",IF(ISNUMBER(Sync!$AK262),Sync!$AK262,LEFT(Sync!$AK262,4)&amp;MID(Sync!$AK262,6,2)&amp;RIGHT(Sync!$AK262,2))&amp;"|"&amp;"4"&amp;RIGHT("00000"&amp;257,5))</f>
        <v/>
      </c>
      <c r="W262">
        <f>IF($V262="",0,COUNTIFS($V$6:$V$2005,"&lt;"&amp;$V262)-COUNTIFS($V$6:$V$2005,"&lt;"&amp;$V262,$K$6:$K$2005,"")+1)</f>
        <v/>
      </c>
      <c r="X262">
        <f>IF(Sync!$AX262="","",IF(OR(N(Sync!$AY262)=0,N(Sync!$AZ262)=0),"",ROUND(N(Sync!$AY262)*N(Sync!$AZ262),0)))</f>
        <v/>
      </c>
      <c r="Y262">
        <f>IF($X262="","",IF(OR(Sync!$AX262="",COUNTIF(AcctCodesA,Sync!$AX262)=0),"متفرقه",Sync!$AX262))</f>
        <v/>
      </c>
      <c r="Z262">
        <f>IF($X262="","","سبد و ظروف")</f>
        <v/>
      </c>
      <c r="AA262">
        <f>IF($X262="","",$Y262)</f>
        <v/>
      </c>
    </row>
    <row r="263">
      <c r="A263">
        <f>IF(Sync!$Z263="","",LEFT(UPPER(TRIM(Sync!$Z263)),6))</f>
        <v/>
      </c>
      <c r="B263">
        <f>IF($A263="","",IF(Sync!$AA263="","",Sync!$AA263))</f>
        <v/>
      </c>
      <c r="C263">
        <f>IF($A263="","",IF(Sync!$AB263="","",Sync!$AB263))</f>
        <v/>
      </c>
      <c r="D263">
        <f>IF($A263="","",IF(Sync!$AC263="","",Sync!$AC263))</f>
        <v/>
      </c>
      <c r="E263">
        <f>IF($A263="","",IF(Sync!$AD263="","",Sync!$AD263))</f>
        <v/>
      </c>
      <c r="F263">
        <f>IF($A263="","",IF(Sync!$AE263="",0,Sync!$AE263))</f>
        <v/>
      </c>
      <c r="G263">
        <f>IF($A263="","",IF(Sync!$AF263="",0,Sync!$AF263))</f>
        <v/>
      </c>
      <c r="H263">
        <f>IF(OR($A263="",ROUND($F263+$G263,2)=0),"",$F263+$G263)</f>
        <v/>
      </c>
      <c r="I263">
        <f>IF($H263="","",IF(ROUND($F263,2)&gt;0,$A263,IF($D263="شخصی قاسم","شخصی قاسم",IF($D263="هزینه","هزینه: "&amp;IF($E263="","متفرقه",$E263),IF($C263="پاس چک","چک پرداختی",IF(OR($B263="",COUNTIF(AcctCodesA,$B263)=0),"متفرقه",$B263))))))</f>
        <v/>
      </c>
      <c r="J263">
        <f>IF($H263="","",IF(ROUND($F263,2)&gt;0,IF($D263="شخصی قاسم","شخصی قاسم",IF($D263="هزینه","هزینه: "&amp;IF($E263="","متفرقه",$E263),IF(OR($B263="",COUNTIF(AcctCodesA,$B263)=0),"متفرقه",$B263))),$A263))</f>
        <v/>
      </c>
      <c r="K263">
        <f>IF($A263="","",IF(AND($B263&lt;&gt;"",COUNTIF(AcctCodesA,$B263)=0),"کد طرف در INFO تعریف نشده",IF(AND($D263="هزینه",$E263=""),"هزینه بدون زیرگروه",IF(AND($C263="پاس چک",OR(Sync!$AJ263="",COUNTIF(IssueNosA,Sync!$AJ263)=0)),"شماره چک پاس‌شده معتبر نیست",""))))</f>
        <v/>
      </c>
      <c r="M263">
        <f>IF(Sync!$AH263="","",Sync!$AH263)</f>
        <v/>
      </c>
      <c r="N263">
        <f>IF($M263="","",IF(OR(Sync!$AI263="",COUNTIF(AcctCodesA,Sync!$AI263)=0),"متفرقه",Sync!$AI263))</f>
        <v/>
      </c>
      <c r="O263">
        <f>IF($M263="","",$N263)</f>
        <v/>
      </c>
      <c r="P263">
        <f>IF($M263="","","چک پرداختی")</f>
        <v/>
      </c>
      <c r="R263">
        <f>IF($M263="","",IF(COUNTIF(AcctCodesA,Sync!$AI263)=0,"ذی‌نفع چک تعریف‌نشده",""))</f>
        <v/>
      </c>
      <c r="S263">
        <f>IF($R263="","",Sync!$AG263&amp;"|"&amp;"5"&amp;RIGHT("00000"&amp;258,5))</f>
        <v/>
      </c>
      <c r="T263">
        <f>IF($S263="",0,COUNTIFS($S$6:$S$505,"&lt;"&amp;$S263)-COUNTIFS($S$6:$S$505,"&lt;"&amp;$S263,$R$6:$R$505,"")+1)</f>
        <v/>
      </c>
      <c r="V263">
        <f>IF($K263="","",IF(ISNUMBER(Sync!$AK263),Sync!$AK263,LEFT(Sync!$AK263,4)&amp;MID(Sync!$AK263,6,2)&amp;RIGHT(Sync!$AK263,2))&amp;"|"&amp;"4"&amp;RIGHT("00000"&amp;258,5))</f>
        <v/>
      </c>
      <c r="W263">
        <f>IF($V263="",0,COUNTIFS($V$6:$V$2005,"&lt;"&amp;$V263)-COUNTIFS($V$6:$V$2005,"&lt;"&amp;$V263,$K$6:$K$2005,"")+1)</f>
        <v/>
      </c>
      <c r="X263">
        <f>IF(Sync!$AX263="","",IF(OR(N(Sync!$AY263)=0,N(Sync!$AZ263)=0),"",ROUND(N(Sync!$AY263)*N(Sync!$AZ263),0)))</f>
        <v/>
      </c>
      <c r="Y263">
        <f>IF($X263="","",IF(OR(Sync!$AX263="",COUNTIF(AcctCodesA,Sync!$AX263)=0),"متفرقه",Sync!$AX263))</f>
        <v/>
      </c>
      <c r="Z263">
        <f>IF($X263="","","سبد و ظروف")</f>
        <v/>
      </c>
      <c r="AA263">
        <f>IF($X263="","",$Y263)</f>
        <v/>
      </c>
    </row>
    <row r="264">
      <c r="A264">
        <f>IF(Sync!$Z264="","",LEFT(UPPER(TRIM(Sync!$Z264)),6))</f>
        <v/>
      </c>
      <c r="B264">
        <f>IF($A264="","",IF(Sync!$AA264="","",Sync!$AA264))</f>
        <v/>
      </c>
      <c r="C264">
        <f>IF($A264="","",IF(Sync!$AB264="","",Sync!$AB264))</f>
        <v/>
      </c>
      <c r="D264">
        <f>IF($A264="","",IF(Sync!$AC264="","",Sync!$AC264))</f>
        <v/>
      </c>
      <c r="E264">
        <f>IF($A264="","",IF(Sync!$AD264="","",Sync!$AD264))</f>
        <v/>
      </c>
      <c r="F264">
        <f>IF($A264="","",IF(Sync!$AE264="",0,Sync!$AE264))</f>
        <v/>
      </c>
      <c r="G264">
        <f>IF($A264="","",IF(Sync!$AF264="",0,Sync!$AF264))</f>
        <v/>
      </c>
      <c r="H264">
        <f>IF(OR($A264="",ROUND($F264+$G264,2)=0),"",$F264+$G264)</f>
        <v/>
      </c>
      <c r="I264">
        <f>IF($H264="","",IF(ROUND($F264,2)&gt;0,$A264,IF($D264="شخصی قاسم","شخصی قاسم",IF($D264="هزینه","هزینه: "&amp;IF($E264="","متفرقه",$E264),IF($C264="پاس چک","چک پرداختی",IF(OR($B264="",COUNTIF(AcctCodesA,$B264)=0),"متفرقه",$B264))))))</f>
        <v/>
      </c>
      <c r="J264">
        <f>IF($H264="","",IF(ROUND($F264,2)&gt;0,IF($D264="شخصی قاسم","شخصی قاسم",IF($D264="هزینه","هزینه: "&amp;IF($E264="","متفرقه",$E264),IF(OR($B264="",COUNTIF(AcctCodesA,$B264)=0),"متفرقه",$B264))),$A264))</f>
        <v/>
      </c>
      <c r="K264">
        <f>IF($A264="","",IF(AND($B264&lt;&gt;"",COUNTIF(AcctCodesA,$B264)=0),"کد طرف در INFO تعریف نشده",IF(AND($D264="هزینه",$E264=""),"هزینه بدون زیرگروه",IF(AND($C264="پاس چک",OR(Sync!$AJ264="",COUNTIF(IssueNosA,Sync!$AJ264)=0)),"شماره چک پاس‌شده معتبر نیست",""))))</f>
        <v/>
      </c>
      <c r="M264">
        <f>IF(Sync!$AH264="","",Sync!$AH264)</f>
        <v/>
      </c>
      <c r="N264">
        <f>IF($M264="","",IF(OR(Sync!$AI264="",COUNTIF(AcctCodesA,Sync!$AI264)=0),"متفرقه",Sync!$AI264))</f>
        <v/>
      </c>
      <c r="O264">
        <f>IF($M264="","",$N264)</f>
        <v/>
      </c>
      <c r="P264">
        <f>IF($M264="","","چک پرداختی")</f>
        <v/>
      </c>
      <c r="R264">
        <f>IF($M264="","",IF(COUNTIF(AcctCodesA,Sync!$AI264)=0,"ذی‌نفع چک تعریف‌نشده",""))</f>
        <v/>
      </c>
      <c r="S264">
        <f>IF($R264="","",Sync!$AG264&amp;"|"&amp;"5"&amp;RIGHT("00000"&amp;259,5))</f>
        <v/>
      </c>
      <c r="T264">
        <f>IF($S264="",0,COUNTIFS($S$6:$S$505,"&lt;"&amp;$S264)-COUNTIFS($S$6:$S$505,"&lt;"&amp;$S264,$R$6:$R$505,"")+1)</f>
        <v/>
      </c>
      <c r="V264">
        <f>IF($K264="","",IF(ISNUMBER(Sync!$AK264),Sync!$AK264,LEFT(Sync!$AK264,4)&amp;MID(Sync!$AK264,6,2)&amp;RIGHT(Sync!$AK264,2))&amp;"|"&amp;"4"&amp;RIGHT("00000"&amp;259,5))</f>
        <v/>
      </c>
      <c r="W264">
        <f>IF($V264="",0,COUNTIFS($V$6:$V$2005,"&lt;"&amp;$V264)-COUNTIFS($V$6:$V$2005,"&lt;"&amp;$V264,$K$6:$K$2005,"")+1)</f>
        <v/>
      </c>
      <c r="X264">
        <f>IF(Sync!$AX264="","",IF(OR(N(Sync!$AY264)=0,N(Sync!$AZ264)=0),"",ROUND(N(Sync!$AY264)*N(Sync!$AZ264),0)))</f>
        <v/>
      </c>
      <c r="Y264">
        <f>IF($X264="","",IF(OR(Sync!$AX264="",COUNTIF(AcctCodesA,Sync!$AX264)=0),"متفرقه",Sync!$AX264))</f>
        <v/>
      </c>
      <c r="Z264">
        <f>IF($X264="","","سبد و ظروف")</f>
        <v/>
      </c>
      <c r="AA264">
        <f>IF($X264="","",$Y264)</f>
        <v/>
      </c>
    </row>
    <row r="265">
      <c r="A265">
        <f>IF(Sync!$Z265="","",LEFT(UPPER(TRIM(Sync!$Z265)),6))</f>
        <v/>
      </c>
      <c r="B265">
        <f>IF($A265="","",IF(Sync!$AA265="","",Sync!$AA265))</f>
        <v/>
      </c>
      <c r="C265">
        <f>IF($A265="","",IF(Sync!$AB265="","",Sync!$AB265))</f>
        <v/>
      </c>
      <c r="D265">
        <f>IF($A265="","",IF(Sync!$AC265="","",Sync!$AC265))</f>
        <v/>
      </c>
      <c r="E265">
        <f>IF($A265="","",IF(Sync!$AD265="","",Sync!$AD265))</f>
        <v/>
      </c>
      <c r="F265">
        <f>IF($A265="","",IF(Sync!$AE265="",0,Sync!$AE265))</f>
        <v/>
      </c>
      <c r="G265">
        <f>IF($A265="","",IF(Sync!$AF265="",0,Sync!$AF265))</f>
        <v/>
      </c>
      <c r="H265">
        <f>IF(OR($A265="",ROUND($F265+$G265,2)=0),"",$F265+$G265)</f>
        <v/>
      </c>
      <c r="I265">
        <f>IF($H265="","",IF(ROUND($F265,2)&gt;0,$A265,IF($D265="شخصی قاسم","شخصی قاسم",IF($D265="هزینه","هزینه: "&amp;IF($E265="","متفرقه",$E265),IF($C265="پاس چک","چک پرداختی",IF(OR($B265="",COUNTIF(AcctCodesA,$B265)=0),"متفرقه",$B265))))))</f>
        <v/>
      </c>
      <c r="J265">
        <f>IF($H265="","",IF(ROUND($F265,2)&gt;0,IF($D265="شخصی قاسم","شخصی قاسم",IF($D265="هزینه","هزینه: "&amp;IF($E265="","متفرقه",$E265),IF(OR($B265="",COUNTIF(AcctCodesA,$B265)=0),"متفرقه",$B265))),$A265))</f>
        <v/>
      </c>
      <c r="K265">
        <f>IF($A265="","",IF(AND($B265&lt;&gt;"",COUNTIF(AcctCodesA,$B265)=0),"کد طرف در INFO تعریف نشده",IF(AND($D265="هزینه",$E265=""),"هزینه بدون زیرگروه",IF(AND($C265="پاس چک",OR(Sync!$AJ265="",COUNTIF(IssueNosA,Sync!$AJ265)=0)),"شماره چک پاس‌شده معتبر نیست",""))))</f>
        <v/>
      </c>
      <c r="M265">
        <f>IF(Sync!$AH265="","",Sync!$AH265)</f>
        <v/>
      </c>
      <c r="N265">
        <f>IF($M265="","",IF(OR(Sync!$AI265="",COUNTIF(AcctCodesA,Sync!$AI265)=0),"متفرقه",Sync!$AI265))</f>
        <v/>
      </c>
      <c r="O265">
        <f>IF($M265="","",$N265)</f>
        <v/>
      </c>
      <c r="P265">
        <f>IF($M265="","","چک پرداختی")</f>
        <v/>
      </c>
      <c r="R265">
        <f>IF($M265="","",IF(COUNTIF(AcctCodesA,Sync!$AI265)=0,"ذی‌نفع چک تعریف‌نشده",""))</f>
        <v/>
      </c>
      <c r="S265">
        <f>IF($R265="","",Sync!$AG265&amp;"|"&amp;"5"&amp;RIGHT("00000"&amp;260,5))</f>
        <v/>
      </c>
      <c r="T265">
        <f>IF($S265="",0,COUNTIFS($S$6:$S$505,"&lt;"&amp;$S265)-COUNTIFS($S$6:$S$505,"&lt;"&amp;$S265,$R$6:$R$505,"")+1)</f>
        <v/>
      </c>
      <c r="V265">
        <f>IF($K265="","",IF(ISNUMBER(Sync!$AK265),Sync!$AK265,LEFT(Sync!$AK265,4)&amp;MID(Sync!$AK265,6,2)&amp;RIGHT(Sync!$AK265,2))&amp;"|"&amp;"4"&amp;RIGHT("00000"&amp;260,5))</f>
        <v/>
      </c>
      <c r="W265">
        <f>IF($V265="",0,COUNTIFS($V$6:$V$2005,"&lt;"&amp;$V265)-COUNTIFS($V$6:$V$2005,"&lt;"&amp;$V265,$K$6:$K$2005,"")+1)</f>
        <v/>
      </c>
      <c r="X265">
        <f>IF(Sync!$AX265="","",IF(OR(N(Sync!$AY265)=0,N(Sync!$AZ265)=0),"",ROUND(N(Sync!$AY265)*N(Sync!$AZ265),0)))</f>
        <v/>
      </c>
      <c r="Y265">
        <f>IF($X265="","",IF(OR(Sync!$AX265="",COUNTIF(AcctCodesA,Sync!$AX265)=0),"متفرقه",Sync!$AX265))</f>
        <v/>
      </c>
      <c r="Z265">
        <f>IF($X265="","","سبد و ظروف")</f>
        <v/>
      </c>
      <c r="AA265">
        <f>IF($X265="","",$Y265)</f>
        <v/>
      </c>
    </row>
    <row r="266">
      <c r="A266">
        <f>IF(Sync!$Z266="","",LEFT(UPPER(TRIM(Sync!$Z266)),6))</f>
        <v/>
      </c>
      <c r="B266">
        <f>IF($A266="","",IF(Sync!$AA266="","",Sync!$AA266))</f>
        <v/>
      </c>
      <c r="C266">
        <f>IF($A266="","",IF(Sync!$AB266="","",Sync!$AB266))</f>
        <v/>
      </c>
      <c r="D266">
        <f>IF($A266="","",IF(Sync!$AC266="","",Sync!$AC266))</f>
        <v/>
      </c>
      <c r="E266">
        <f>IF($A266="","",IF(Sync!$AD266="","",Sync!$AD266))</f>
        <v/>
      </c>
      <c r="F266">
        <f>IF($A266="","",IF(Sync!$AE266="",0,Sync!$AE266))</f>
        <v/>
      </c>
      <c r="G266">
        <f>IF($A266="","",IF(Sync!$AF266="",0,Sync!$AF266))</f>
        <v/>
      </c>
      <c r="H266">
        <f>IF(OR($A266="",ROUND($F266+$G266,2)=0),"",$F266+$G266)</f>
        <v/>
      </c>
      <c r="I266">
        <f>IF($H266="","",IF(ROUND($F266,2)&gt;0,$A266,IF($D266="شخصی قاسم","شخصی قاسم",IF($D266="هزینه","هزینه: "&amp;IF($E266="","متفرقه",$E266),IF($C266="پاس چک","چک پرداختی",IF(OR($B266="",COUNTIF(AcctCodesA,$B266)=0),"متفرقه",$B266))))))</f>
        <v/>
      </c>
      <c r="J266">
        <f>IF($H266="","",IF(ROUND($F266,2)&gt;0,IF($D266="شخصی قاسم","شخصی قاسم",IF($D266="هزینه","هزینه: "&amp;IF($E266="","متفرقه",$E266),IF(OR($B266="",COUNTIF(AcctCodesA,$B266)=0),"متفرقه",$B266))),$A266))</f>
        <v/>
      </c>
      <c r="K266">
        <f>IF($A266="","",IF(AND($B266&lt;&gt;"",COUNTIF(AcctCodesA,$B266)=0),"کد طرف در INFO تعریف نشده",IF(AND($D266="هزینه",$E266=""),"هزینه بدون زیرگروه",IF(AND($C266="پاس چک",OR(Sync!$AJ266="",COUNTIF(IssueNosA,Sync!$AJ266)=0)),"شماره چک پاس‌شده معتبر نیست",""))))</f>
        <v/>
      </c>
      <c r="M266">
        <f>IF(Sync!$AH266="","",Sync!$AH266)</f>
        <v/>
      </c>
      <c r="N266">
        <f>IF($M266="","",IF(OR(Sync!$AI266="",COUNTIF(AcctCodesA,Sync!$AI266)=0),"متفرقه",Sync!$AI266))</f>
        <v/>
      </c>
      <c r="O266">
        <f>IF($M266="","",$N266)</f>
        <v/>
      </c>
      <c r="P266">
        <f>IF($M266="","","چک پرداختی")</f>
        <v/>
      </c>
      <c r="R266">
        <f>IF($M266="","",IF(COUNTIF(AcctCodesA,Sync!$AI266)=0,"ذی‌نفع چک تعریف‌نشده",""))</f>
        <v/>
      </c>
      <c r="S266">
        <f>IF($R266="","",Sync!$AG266&amp;"|"&amp;"5"&amp;RIGHT("00000"&amp;261,5))</f>
        <v/>
      </c>
      <c r="T266">
        <f>IF($S266="",0,COUNTIFS($S$6:$S$505,"&lt;"&amp;$S266)-COUNTIFS($S$6:$S$505,"&lt;"&amp;$S266,$R$6:$R$505,"")+1)</f>
        <v/>
      </c>
      <c r="V266">
        <f>IF($K266="","",IF(ISNUMBER(Sync!$AK266),Sync!$AK266,LEFT(Sync!$AK266,4)&amp;MID(Sync!$AK266,6,2)&amp;RIGHT(Sync!$AK266,2))&amp;"|"&amp;"4"&amp;RIGHT("00000"&amp;261,5))</f>
        <v/>
      </c>
      <c r="W266">
        <f>IF($V266="",0,COUNTIFS($V$6:$V$2005,"&lt;"&amp;$V266)-COUNTIFS($V$6:$V$2005,"&lt;"&amp;$V266,$K$6:$K$2005,"")+1)</f>
        <v/>
      </c>
      <c r="X266">
        <f>IF(Sync!$AX266="","",IF(OR(N(Sync!$AY266)=0,N(Sync!$AZ266)=0),"",ROUND(N(Sync!$AY266)*N(Sync!$AZ266),0)))</f>
        <v/>
      </c>
      <c r="Y266">
        <f>IF($X266="","",IF(OR(Sync!$AX266="",COUNTIF(AcctCodesA,Sync!$AX266)=0),"متفرقه",Sync!$AX266))</f>
        <v/>
      </c>
      <c r="Z266">
        <f>IF($X266="","","سبد و ظروف")</f>
        <v/>
      </c>
      <c r="AA266">
        <f>IF($X266="","",$Y266)</f>
        <v/>
      </c>
    </row>
    <row r="267">
      <c r="A267">
        <f>IF(Sync!$Z267="","",LEFT(UPPER(TRIM(Sync!$Z267)),6))</f>
        <v/>
      </c>
      <c r="B267">
        <f>IF($A267="","",IF(Sync!$AA267="","",Sync!$AA267))</f>
        <v/>
      </c>
      <c r="C267">
        <f>IF($A267="","",IF(Sync!$AB267="","",Sync!$AB267))</f>
        <v/>
      </c>
      <c r="D267">
        <f>IF($A267="","",IF(Sync!$AC267="","",Sync!$AC267))</f>
        <v/>
      </c>
      <c r="E267">
        <f>IF($A267="","",IF(Sync!$AD267="","",Sync!$AD267))</f>
        <v/>
      </c>
      <c r="F267">
        <f>IF($A267="","",IF(Sync!$AE267="",0,Sync!$AE267))</f>
        <v/>
      </c>
      <c r="G267">
        <f>IF($A267="","",IF(Sync!$AF267="",0,Sync!$AF267))</f>
        <v/>
      </c>
      <c r="H267">
        <f>IF(OR($A267="",ROUND($F267+$G267,2)=0),"",$F267+$G267)</f>
        <v/>
      </c>
      <c r="I267">
        <f>IF($H267="","",IF(ROUND($F267,2)&gt;0,$A267,IF($D267="شخصی قاسم","شخصی قاسم",IF($D267="هزینه","هزینه: "&amp;IF($E267="","متفرقه",$E267),IF($C267="پاس چک","چک پرداختی",IF(OR($B267="",COUNTIF(AcctCodesA,$B267)=0),"متفرقه",$B267))))))</f>
        <v/>
      </c>
      <c r="J267">
        <f>IF($H267="","",IF(ROUND($F267,2)&gt;0,IF($D267="شخصی قاسم","شخصی قاسم",IF($D267="هزینه","هزینه: "&amp;IF($E267="","متفرقه",$E267),IF(OR($B267="",COUNTIF(AcctCodesA,$B267)=0),"متفرقه",$B267))),$A267))</f>
        <v/>
      </c>
      <c r="K267">
        <f>IF($A267="","",IF(AND($B267&lt;&gt;"",COUNTIF(AcctCodesA,$B267)=0),"کد طرف در INFO تعریف نشده",IF(AND($D267="هزینه",$E267=""),"هزینه بدون زیرگروه",IF(AND($C267="پاس چک",OR(Sync!$AJ267="",COUNTIF(IssueNosA,Sync!$AJ267)=0)),"شماره چک پاس‌شده معتبر نیست",""))))</f>
        <v/>
      </c>
      <c r="M267">
        <f>IF(Sync!$AH267="","",Sync!$AH267)</f>
        <v/>
      </c>
      <c r="N267">
        <f>IF($M267="","",IF(OR(Sync!$AI267="",COUNTIF(AcctCodesA,Sync!$AI267)=0),"متفرقه",Sync!$AI267))</f>
        <v/>
      </c>
      <c r="O267">
        <f>IF($M267="","",$N267)</f>
        <v/>
      </c>
      <c r="P267">
        <f>IF($M267="","","چک پرداختی")</f>
        <v/>
      </c>
      <c r="R267">
        <f>IF($M267="","",IF(COUNTIF(AcctCodesA,Sync!$AI267)=0,"ذی‌نفع چک تعریف‌نشده",""))</f>
        <v/>
      </c>
      <c r="S267">
        <f>IF($R267="","",Sync!$AG267&amp;"|"&amp;"5"&amp;RIGHT("00000"&amp;262,5))</f>
        <v/>
      </c>
      <c r="T267">
        <f>IF($S267="",0,COUNTIFS($S$6:$S$505,"&lt;"&amp;$S267)-COUNTIFS($S$6:$S$505,"&lt;"&amp;$S267,$R$6:$R$505,"")+1)</f>
        <v/>
      </c>
      <c r="V267">
        <f>IF($K267="","",IF(ISNUMBER(Sync!$AK267),Sync!$AK267,LEFT(Sync!$AK267,4)&amp;MID(Sync!$AK267,6,2)&amp;RIGHT(Sync!$AK267,2))&amp;"|"&amp;"4"&amp;RIGHT("00000"&amp;262,5))</f>
        <v/>
      </c>
      <c r="W267">
        <f>IF($V267="",0,COUNTIFS($V$6:$V$2005,"&lt;"&amp;$V267)-COUNTIFS($V$6:$V$2005,"&lt;"&amp;$V267,$K$6:$K$2005,"")+1)</f>
        <v/>
      </c>
      <c r="X267">
        <f>IF(Sync!$AX267="","",IF(OR(N(Sync!$AY267)=0,N(Sync!$AZ267)=0),"",ROUND(N(Sync!$AY267)*N(Sync!$AZ267),0)))</f>
        <v/>
      </c>
      <c r="Y267">
        <f>IF($X267="","",IF(OR(Sync!$AX267="",COUNTIF(AcctCodesA,Sync!$AX267)=0),"متفرقه",Sync!$AX267))</f>
        <v/>
      </c>
      <c r="Z267">
        <f>IF($X267="","","سبد و ظروف")</f>
        <v/>
      </c>
      <c r="AA267">
        <f>IF($X267="","",$Y267)</f>
        <v/>
      </c>
    </row>
    <row r="268">
      <c r="A268">
        <f>IF(Sync!$Z268="","",LEFT(UPPER(TRIM(Sync!$Z268)),6))</f>
        <v/>
      </c>
      <c r="B268">
        <f>IF($A268="","",IF(Sync!$AA268="","",Sync!$AA268))</f>
        <v/>
      </c>
      <c r="C268">
        <f>IF($A268="","",IF(Sync!$AB268="","",Sync!$AB268))</f>
        <v/>
      </c>
      <c r="D268">
        <f>IF($A268="","",IF(Sync!$AC268="","",Sync!$AC268))</f>
        <v/>
      </c>
      <c r="E268">
        <f>IF($A268="","",IF(Sync!$AD268="","",Sync!$AD268))</f>
        <v/>
      </c>
      <c r="F268">
        <f>IF($A268="","",IF(Sync!$AE268="",0,Sync!$AE268))</f>
        <v/>
      </c>
      <c r="G268">
        <f>IF($A268="","",IF(Sync!$AF268="",0,Sync!$AF268))</f>
        <v/>
      </c>
      <c r="H268">
        <f>IF(OR($A268="",ROUND($F268+$G268,2)=0),"",$F268+$G268)</f>
        <v/>
      </c>
      <c r="I268">
        <f>IF($H268="","",IF(ROUND($F268,2)&gt;0,$A268,IF($D268="شخصی قاسم","شخصی قاسم",IF($D268="هزینه","هزینه: "&amp;IF($E268="","متفرقه",$E268),IF($C268="پاس چک","چک پرداختی",IF(OR($B268="",COUNTIF(AcctCodesA,$B268)=0),"متفرقه",$B268))))))</f>
        <v/>
      </c>
      <c r="J268">
        <f>IF($H268="","",IF(ROUND($F268,2)&gt;0,IF($D268="شخصی قاسم","شخصی قاسم",IF($D268="هزینه","هزینه: "&amp;IF($E268="","متفرقه",$E268),IF(OR($B268="",COUNTIF(AcctCodesA,$B268)=0),"متفرقه",$B268))),$A268))</f>
        <v/>
      </c>
      <c r="K268">
        <f>IF($A268="","",IF(AND($B268&lt;&gt;"",COUNTIF(AcctCodesA,$B268)=0),"کد طرف در INFO تعریف نشده",IF(AND($D268="هزینه",$E268=""),"هزینه بدون زیرگروه",IF(AND($C268="پاس چک",OR(Sync!$AJ268="",COUNTIF(IssueNosA,Sync!$AJ268)=0)),"شماره چک پاس‌شده معتبر نیست",""))))</f>
        <v/>
      </c>
      <c r="M268">
        <f>IF(Sync!$AH268="","",Sync!$AH268)</f>
        <v/>
      </c>
      <c r="N268">
        <f>IF($M268="","",IF(OR(Sync!$AI268="",COUNTIF(AcctCodesA,Sync!$AI268)=0),"متفرقه",Sync!$AI268))</f>
        <v/>
      </c>
      <c r="O268">
        <f>IF($M268="","",$N268)</f>
        <v/>
      </c>
      <c r="P268">
        <f>IF($M268="","","چک پرداختی")</f>
        <v/>
      </c>
      <c r="R268">
        <f>IF($M268="","",IF(COUNTIF(AcctCodesA,Sync!$AI268)=0,"ذی‌نفع چک تعریف‌نشده",""))</f>
        <v/>
      </c>
      <c r="S268">
        <f>IF($R268="","",Sync!$AG268&amp;"|"&amp;"5"&amp;RIGHT("00000"&amp;263,5))</f>
        <v/>
      </c>
      <c r="T268">
        <f>IF($S268="",0,COUNTIFS($S$6:$S$505,"&lt;"&amp;$S268)-COUNTIFS($S$6:$S$505,"&lt;"&amp;$S268,$R$6:$R$505,"")+1)</f>
        <v/>
      </c>
      <c r="V268">
        <f>IF($K268="","",IF(ISNUMBER(Sync!$AK268),Sync!$AK268,LEFT(Sync!$AK268,4)&amp;MID(Sync!$AK268,6,2)&amp;RIGHT(Sync!$AK268,2))&amp;"|"&amp;"4"&amp;RIGHT("00000"&amp;263,5))</f>
        <v/>
      </c>
      <c r="W268">
        <f>IF($V268="",0,COUNTIFS($V$6:$V$2005,"&lt;"&amp;$V268)-COUNTIFS($V$6:$V$2005,"&lt;"&amp;$V268,$K$6:$K$2005,"")+1)</f>
        <v/>
      </c>
      <c r="X268">
        <f>IF(Sync!$AX268="","",IF(OR(N(Sync!$AY268)=0,N(Sync!$AZ268)=0),"",ROUND(N(Sync!$AY268)*N(Sync!$AZ268),0)))</f>
        <v/>
      </c>
      <c r="Y268">
        <f>IF($X268="","",IF(OR(Sync!$AX268="",COUNTIF(AcctCodesA,Sync!$AX268)=0),"متفرقه",Sync!$AX268))</f>
        <v/>
      </c>
      <c r="Z268">
        <f>IF($X268="","","سبد و ظروف")</f>
        <v/>
      </c>
      <c r="AA268">
        <f>IF($X268="","",$Y268)</f>
        <v/>
      </c>
    </row>
    <row r="269">
      <c r="A269">
        <f>IF(Sync!$Z269="","",LEFT(UPPER(TRIM(Sync!$Z269)),6))</f>
        <v/>
      </c>
      <c r="B269">
        <f>IF($A269="","",IF(Sync!$AA269="","",Sync!$AA269))</f>
        <v/>
      </c>
      <c r="C269">
        <f>IF($A269="","",IF(Sync!$AB269="","",Sync!$AB269))</f>
        <v/>
      </c>
      <c r="D269">
        <f>IF($A269="","",IF(Sync!$AC269="","",Sync!$AC269))</f>
        <v/>
      </c>
      <c r="E269">
        <f>IF($A269="","",IF(Sync!$AD269="","",Sync!$AD269))</f>
        <v/>
      </c>
      <c r="F269">
        <f>IF($A269="","",IF(Sync!$AE269="",0,Sync!$AE269))</f>
        <v/>
      </c>
      <c r="G269">
        <f>IF($A269="","",IF(Sync!$AF269="",0,Sync!$AF269))</f>
        <v/>
      </c>
      <c r="H269">
        <f>IF(OR($A269="",ROUND($F269+$G269,2)=0),"",$F269+$G269)</f>
        <v/>
      </c>
      <c r="I269">
        <f>IF($H269="","",IF(ROUND($F269,2)&gt;0,$A269,IF($D269="شخصی قاسم","شخصی قاسم",IF($D269="هزینه","هزینه: "&amp;IF($E269="","متفرقه",$E269),IF($C269="پاس چک","چک پرداختی",IF(OR($B269="",COUNTIF(AcctCodesA,$B269)=0),"متفرقه",$B269))))))</f>
        <v/>
      </c>
      <c r="J269">
        <f>IF($H269="","",IF(ROUND($F269,2)&gt;0,IF($D269="شخصی قاسم","شخصی قاسم",IF($D269="هزینه","هزینه: "&amp;IF($E269="","متفرقه",$E269),IF(OR($B269="",COUNTIF(AcctCodesA,$B269)=0),"متفرقه",$B269))),$A269))</f>
        <v/>
      </c>
      <c r="K269">
        <f>IF($A269="","",IF(AND($B269&lt;&gt;"",COUNTIF(AcctCodesA,$B269)=0),"کد طرف در INFO تعریف نشده",IF(AND($D269="هزینه",$E269=""),"هزینه بدون زیرگروه",IF(AND($C269="پاس چک",OR(Sync!$AJ269="",COUNTIF(IssueNosA,Sync!$AJ269)=0)),"شماره چک پاس‌شده معتبر نیست",""))))</f>
        <v/>
      </c>
      <c r="M269">
        <f>IF(Sync!$AH269="","",Sync!$AH269)</f>
        <v/>
      </c>
      <c r="N269">
        <f>IF($M269="","",IF(OR(Sync!$AI269="",COUNTIF(AcctCodesA,Sync!$AI269)=0),"متفرقه",Sync!$AI269))</f>
        <v/>
      </c>
      <c r="O269">
        <f>IF($M269="","",$N269)</f>
        <v/>
      </c>
      <c r="P269">
        <f>IF($M269="","","چک پرداختی")</f>
        <v/>
      </c>
      <c r="R269">
        <f>IF($M269="","",IF(COUNTIF(AcctCodesA,Sync!$AI269)=0,"ذی‌نفع چک تعریف‌نشده",""))</f>
        <v/>
      </c>
      <c r="S269">
        <f>IF($R269="","",Sync!$AG269&amp;"|"&amp;"5"&amp;RIGHT("00000"&amp;264,5))</f>
        <v/>
      </c>
      <c r="T269">
        <f>IF($S269="",0,COUNTIFS($S$6:$S$505,"&lt;"&amp;$S269)-COUNTIFS($S$6:$S$505,"&lt;"&amp;$S269,$R$6:$R$505,"")+1)</f>
        <v/>
      </c>
      <c r="V269">
        <f>IF($K269="","",IF(ISNUMBER(Sync!$AK269),Sync!$AK269,LEFT(Sync!$AK269,4)&amp;MID(Sync!$AK269,6,2)&amp;RIGHT(Sync!$AK269,2))&amp;"|"&amp;"4"&amp;RIGHT("00000"&amp;264,5))</f>
        <v/>
      </c>
      <c r="W269">
        <f>IF($V269="",0,COUNTIFS($V$6:$V$2005,"&lt;"&amp;$V269)-COUNTIFS($V$6:$V$2005,"&lt;"&amp;$V269,$K$6:$K$2005,"")+1)</f>
        <v/>
      </c>
      <c r="X269">
        <f>IF(Sync!$AX269="","",IF(OR(N(Sync!$AY269)=0,N(Sync!$AZ269)=0),"",ROUND(N(Sync!$AY269)*N(Sync!$AZ269),0)))</f>
        <v/>
      </c>
      <c r="Y269">
        <f>IF($X269="","",IF(OR(Sync!$AX269="",COUNTIF(AcctCodesA,Sync!$AX269)=0),"متفرقه",Sync!$AX269))</f>
        <v/>
      </c>
      <c r="Z269">
        <f>IF($X269="","","سبد و ظروف")</f>
        <v/>
      </c>
      <c r="AA269">
        <f>IF($X269="","",$Y269)</f>
        <v/>
      </c>
    </row>
    <row r="270">
      <c r="A270">
        <f>IF(Sync!$Z270="","",LEFT(UPPER(TRIM(Sync!$Z270)),6))</f>
        <v/>
      </c>
      <c r="B270">
        <f>IF($A270="","",IF(Sync!$AA270="","",Sync!$AA270))</f>
        <v/>
      </c>
      <c r="C270">
        <f>IF($A270="","",IF(Sync!$AB270="","",Sync!$AB270))</f>
        <v/>
      </c>
      <c r="D270">
        <f>IF($A270="","",IF(Sync!$AC270="","",Sync!$AC270))</f>
        <v/>
      </c>
      <c r="E270">
        <f>IF($A270="","",IF(Sync!$AD270="","",Sync!$AD270))</f>
        <v/>
      </c>
      <c r="F270">
        <f>IF($A270="","",IF(Sync!$AE270="",0,Sync!$AE270))</f>
        <v/>
      </c>
      <c r="G270">
        <f>IF($A270="","",IF(Sync!$AF270="",0,Sync!$AF270))</f>
        <v/>
      </c>
      <c r="H270">
        <f>IF(OR($A270="",ROUND($F270+$G270,2)=0),"",$F270+$G270)</f>
        <v/>
      </c>
      <c r="I270">
        <f>IF($H270="","",IF(ROUND($F270,2)&gt;0,$A270,IF($D270="شخصی قاسم","شخصی قاسم",IF($D270="هزینه","هزینه: "&amp;IF($E270="","متفرقه",$E270),IF($C270="پاس چک","چک پرداختی",IF(OR($B270="",COUNTIF(AcctCodesA,$B270)=0),"متفرقه",$B270))))))</f>
        <v/>
      </c>
      <c r="J270">
        <f>IF($H270="","",IF(ROUND($F270,2)&gt;0,IF($D270="شخصی قاسم","شخصی قاسم",IF($D270="هزینه","هزینه: "&amp;IF($E270="","متفرقه",$E270),IF(OR($B270="",COUNTIF(AcctCodesA,$B270)=0),"متفرقه",$B270))),$A270))</f>
        <v/>
      </c>
      <c r="K270">
        <f>IF($A270="","",IF(AND($B270&lt;&gt;"",COUNTIF(AcctCodesA,$B270)=0),"کد طرف در INFO تعریف نشده",IF(AND($D270="هزینه",$E270=""),"هزینه بدون زیرگروه",IF(AND($C270="پاس چک",OR(Sync!$AJ270="",COUNTIF(IssueNosA,Sync!$AJ270)=0)),"شماره چک پاس‌شده معتبر نیست",""))))</f>
        <v/>
      </c>
      <c r="M270">
        <f>IF(Sync!$AH270="","",Sync!$AH270)</f>
        <v/>
      </c>
      <c r="N270">
        <f>IF($M270="","",IF(OR(Sync!$AI270="",COUNTIF(AcctCodesA,Sync!$AI270)=0),"متفرقه",Sync!$AI270))</f>
        <v/>
      </c>
      <c r="O270">
        <f>IF($M270="","",$N270)</f>
        <v/>
      </c>
      <c r="P270">
        <f>IF($M270="","","چک پرداختی")</f>
        <v/>
      </c>
      <c r="R270">
        <f>IF($M270="","",IF(COUNTIF(AcctCodesA,Sync!$AI270)=0,"ذی‌نفع چک تعریف‌نشده",""))</f>
        <v/>
      </c>
      <c r="S270">
        <f>IF($R270="","",Sync!$AG270&amp;"|"&amp;"5"&amp;RIGHT("00000"&amp;265,5))</f>
        <v/>
      </c>
      <c r="T270">
        <f>IF($S270="",0,COUNTIFS($S$6:$S$505,"&lt;"&amp;$S270)-COUNTIFS($S$6:$S$505,"&lt;"&amp;$S270,$R$6:$R$505,"")+1)</f>
        <v/>
      </c>
      <c r="V270">
        <f>IF($K270="","",IF(ISNUMBER(Sync!$AK270),Sync!$AK270,LEFT(Sync!$AK270,4)&amp;MID(Sync!$AK270,6,2)&amp;RIGHT(Sync!$AK270,2))&amp;"|"&amp;"4"&amp;RIGHT("00000"&amp;265,5))</f>
        <v/>
      </c>
      <c r="W270">
        <f>IF($V270="",0,COUNTIFS($V$6:$V$2005,"&lt;"&amp;$V270)-COUNTIFS($V$6:$V$2005,"&lt;"&amp;$V270,$K$6:$K$2005,"")+1)</f>
        <v/>
      </c>
      <c r="X270">
        <f>IF(Sync!$AX270="","",IF(OR(N(Sync!$AY270)=0,N(Sync!$AZ270)=0),"",ROUND(N(Sync!$AY270)*N(Sync!$AZ270),0)))</f>
        <v/>
      </c>
      <c r="Y270">
        <f>IF($X270="","",IF(OR(Sync!$AX270="",COUNTIF(AcctCodesA,Sync!$AX270)=0),"متفرقه",Sync!$AX270))</f>
        <v/>
      </c>
      <c r="Z270">
        <f>IF($X270="","","سبد و ظروف")</f>
        <v/>
      </c>
      <c r="AA270">
        <f>IF($X270="","",$Y270)</f>
        <v/>
      </c>
    </row>
    <row r="271">
      <c r="A271">
        <f>IF(Sync!$Z271="","",LEFT(UPPER(TRIM(Sync!$Z271)),6))</f>
        <v/>
      </c>
      <c r="B271">
        <f>IF($A271="","",IF(Sync!$AA271="","",Sync!$AA271))</f>
        <v/>
      </c>
      <c r="C271">
        <f>IF($A271="","",IF(Sync!$AB271="","",Sync!$AB271))</f>
        <v/>
      </c>
      <c r="D271">
        <f>IF($A271="","",IF(Sync!$AC271="","",Sync!$AC271))</f>
        <v/>
      </c>
      <c r="E271">
        <f>IF($A271="","",IF(Sync!$AD271="","",Sync!$AD271))</f>
        <v/>
      </c>
      <c r="F271">
        <f>IF($A271="","",IF(Sync!$AE271="",0,Sync!$AE271))</f>
        <v/>
      </c>
      <c r="G271">
        <f>IF($A271="","",IF(Sync!$AF271="",0,Sync!$AF271))</f>
        <v/>
      </c>
      <c r="H271">
        <f>IF(OR($A271="",ROUND($F271+$G271,2)=0),"",$F271+$G271)</f>
        <v/>
      </c>
      <c r="I271">
        <f>IF($H271="","",IF(ROUND($F271,2)&gt;0,$A271,IF($D271="شخصی قاسم","شخصی قاسم",IF($D271="هزینه","هزینه: "&amp;IF($E271="","متفرقه",$E271),IF($C271="پاس چک","چک پرداختی",IF(OR($B271="",COUNTIF(AcctCodesA,$B271)=0),"متفرقه",$B271))))))</f>
        <v/>
      </c>
      <c r="J271">
        <f>IF($H271="","",IF(ROUND($F271,2)&gt;0,IF($D271="شخصی قاسم","شخصی قاسم",IF($D271="هزینه","هزینه: "&amp;IF($E271="","متفرقه",$E271),IF(OR($B271="",COUNTIF(AcctCodesA,$B271)=0),"متفرقه",$B271))),$A271))</f>
        <v/>
      </c>
      <c r="K271">
        <f>IF($A271="","",IF(AND($B271&lt;&gt;"",COUNTIF(AcctCodesA,$B271)=0),"کد طرف در INFO تعریف نشده",IF(AND($D271="هزینه",$E271=""),"هزینه بدون زیرگروه",IF(AND($C271="پاس چک",OR(Sync!$AJ271="",COUNTIF(IssueNosA,Sync!$AJ271)=0)),"شماره چک پاس‌شده معتبر نیست",""))))</f>
        <v/>
      </c>
      <c r="M271">
        <f>IF(Sync!$AH271="","",Sync!$AH271)</f>
        <v/>
      </c>
      <c r="N271">
        <f>IF($M271="","",IF(OR(Sync!$AI271="",COUNTIF(AcctCodesA,Sync!$AI271)=0),"متفرقه",Sync!$AI271))</f>
        <v/>
      </c>
      <c r="O271">
        <f>IF($M271="","",$N271)</f>
        <v/>
      </c>
      <c r="P271">
        <f>IF($M271="","","چک پرداختی")</f>
        <v/>
      </c>
      <c r="R271">
        <f>IF($M271="","",IF(COUNTIF(AcctCodesA,Sync!$AI271)=0,"ذی‌نفع چک تعریف‌نشده",""))</f>
        <v/>
      </c>
      <c r="S271">
        <f>IF($R271="","",Sync!$AG271&amp;"|"&amp;"5"&amp;RIGHT("00000"&amp;266,5))</f>
        <v/>
      </c>
      <c r="T271">
        <f>IF($S271="",0,COUNTIFS($S$6:$S$505,"&lt;"&amp;$S271)-COUNTIFS($S$6:$S$505,"&lt;"&amp;$S271,$R$6:$R$505,"")+1)</f>
        <v/>
      </c>
      <c r="V271">
        <f>IF($K271="","",IF(ISNUMBER(Sync!$AK271),Sync!$AK271,LEFT(Sync!$AK271,4)&amp;MID(Sync!$AK271,6,2)&amp;RIGHT(Sync!$AK271,2))&amp;"|"&amp;"4"&amp;RIGHT("00000"&amp;266,5))</f>
        <v/>
      </c>
      <c r="W271">
        <f>IF($V271="",0,COUNTIFS($V$6:$V$2005,"&lt;"&amp;$V271)-COUNTIFS($V$6:$V$2005,"&lt;"&amp;$V271,$K$6:$K$2005,"")+1)</f>
        <v/>
      </c>
      <c r="X271">
        <f>IF(Sync!$AX271="","",IF(OR(N(Sync!$AY271)=0,N(Sync!$AZ271)=0),"",ROUND(N(Sync!$AY271)*N(Sync!$AZ271),0)))</f>
        <v/>
      </c>
      <c r="Y271">
        <f>IF($X271="","",IF(OR(Sync!$AX271="",COUNTIF(AcctCodesA,Sync!$AX271)=0),"متفرقه",Sync!$AX271))</f>
        <v/>
      </c>
      <c r="Z271">
        <f>IF($X271="","","سبد و ظروف")</f>
        <v/>
      </c>
      <c r="AA271">
        <f>IF($X271="","",$Y271)</f>
        <v/>
      </c>
    </row>
    <row r="272">
      <c r="A272">
        <f>IF(Sync!$Z272="","",LEFT(UPPER(TRIM(Sync!$Z272)),6))</f>
        <v/>
      </c>
      <c r="B272">
        <f>IF($A272="","",IF(Sync!$AA272="","",Sync!$AA272))</f>
        <v/>
      </c>
      <c r="C272">
        <f>IF($A272="","",IF(Sync!$AB272="","",Sync!$AB272))</f>
        <v/>
      </c>
      <c r="D272">
        <f>IF($A272="","",IF(Sync!$AC272="","",Sync!$AC272))</f>
        <v/>
      </c>
      <c r="E272">
        <f>IF($A272="","",IF(Sync!$AD272="","",Sync!$AD272))</f>
        <v/>
      </c>
      <c r="F272">
        <f>IF($A272="","",IF(Sync!$AE272="",0,Sync!$AE272))</f>
        <v/>
      </c>
      <c r="G272">
        <f>IF($A272="","",IF(Sync!$AF272="",0,Sync!$AF272))</f>
        <v/>
      </c>
      <c r="H272">
        <f>IF(OR($A272="",ROUND($F272+$G272,2)=0),"",$F272+$G272)</f>
        <v/>
      </c>
      <c r="I272">
        <f>IF($H272="","",IF(ROUND($F272,2)&gt;0,$A272,IF($D272="شخصی قاسم","شخصی قاسم",IF($D272="هزینه","هزینه: "&amp;IF($E272="","متفرقه",$E272),IF($C272="پاس چک","چک پرداختی",IF(OR($B272="",COUNTIF(AcctCodesA,$B272)=0),"متفرقه",$B272))))))</f>
        <v/>
      </c>
      <c r="J272">
        <f>IF($H272="","",IF(ROUND($F272,2)&gt;0,IF($D272="شخصی قاسم","شخصی قاسم",IF($D272="هزینه","هزینه: "&amp;IF($E272="","متفرقه",$E272),IF(OR($B272="",COUNTIF(AcctCodesA,$B272)=0),"متفرقه",$B272))),$A272))</f>
        <v/>
      </c>
      <c r="K272">
        <f>IF($A272="","",IF(AND($B272&lt;&gt;"",COUNTIF(AcctCodesA,$B272)=0),"کد طرف در INFO تعریف نشده",IF(AND($D272="هزینه",$E272=""),"هزینه بدون زیرگروه",IF(AND($C272="پاس چک",OR(Sync!$AJ272="",COUNTIF(IssueNosA,Sync!$AJ272)=0)),"شماره چک پاس‌شده معتبر نیست",""))))</f>
        <v/>
      </c>
      <c r="M272">
        <f>IF(Sync!$AH272="","",Sync!$AH272)</f>
        <v/>
      </c>
      <c r="N272">
        <f>IF($M272="","",IF(OR(Sync!$AI272="",COUNTIF(AcctCodesA,Sync!$AI272)=0),"متفرقه",Sync!$AI272))</f>
        <v/>
      </c>
      <c r="O272">
        <f>IF($M272="","",$N272)</f>
        <v/>
      </c>
      <c r="P272">
        <f>IF($M272="","","چک پرداختی")</f>
        <v/>
      </c>
      <c r="R272">
        <f>IF($M272="","",IF(COUNTIF(AcctCodesA,Sync!$AI272)=0,"ذی‌نفع چک تعریف‌نشده",""))</f>
        <v/>
      </c>
      <c r="S272">
        <f>IF($R272="","",Sync!$AG272&amp;"|"&amp;"5"&amp;RIGHT("00000"&amp;267,5))</f>
        <v/>
      </c>
      <c r="T272">
        <f>IF($S272="",0,COUNTIFS($S$6:$S$505,"&lt;"&amp;$S272)-COUNTIFS($S$6:$S$505,"&lt;"&amp;$S272,$R$6:$R$505,"")+1)</f>
        <v/>
      </c>
      <c r="V272">
        <f>IF($K272="","",IF(ISNUMBER(Sync!$AK272),Sync!$AK272,LEFT(Sync!$AK272,4)&amp;MID(Sync!$AK272,6,2)&amp;RIGHT(Sync!$AK272,2))&amp;"|"&amp;"4"&amp;RIGHT("00000"&amp;267,5))</f>
        <v/>
      </c>
      <c r="W272">
        <f>IF($V272="",0,COUNTIFS($V$6:$V$2005,"&lt;"&amp;$V272)-COUNTIFS($V$6:$V$2005,"&lt;"&amp;$V272,$K$6:$K$2005,"")+1)</f>
        <v/>
      </c>
      <c r="X272">
        <f>IF(Sync!$AX272="","",IF(OR(N(Sync!$AY272)=0,N(Sync!$AZ272)=0),"",ROUND(N(Sync!$AY272)*N(Sync!$AZ272),0)))</f>
        <v/>
      </c>
      <c r="Y272">
        <f>IF($X272="","",IF(OR(Sync!$AX272="",COUNTIF(AcctCodesA,Sync!$AX272)=0),"متفرقه",Sync!$AX272))</f>
        <v/>
      </c>
      <c r="Z272">
        <f>IF($X272="","","سبد و ظروف")</f>
        <v/>
      </c>
      <c r="AA272">
        <f>IF($X272="","",$Y272)</f>
        <v/>
      </c>
    </row>
    <row r="273">
      <c r="A273">
        <f>IF(Sync!$Z273="","",LEFT(UPPER(TRIM(Sync!$Z273)),6))</f>
        <v/>
      </c>
      <c r="B273">
        <f>IF($A273="","",IF(Sync!$AA273="","",Sync!$AA273))</f>
        <v/>
      </c>
      <c r="C273">
        <f>IF($A273="","",IF(Sync!$AB273="","",Sync!$AB273))</f>
        <v/>
      </c>
      <c r="D273">
        <f>IF($A273="","",IF(Sync!$AC273="","",Sync!$AC273))</f>
        <v/>
      </c>
      <c r="E273">
        <f>IF($A273="","",IF(Sync!$AD273="","",Sync!$AD273))</f>
        <v/>
      </c>
      <c r="F273">
        <f>IF($A273="","",IF(Sync!$AE273="",0,Sync!$AE273))</f>
        <v/>
      </c>
      <c r="G273">
        <f>IF($A273="","",IF(Sync!$AF273="",0,Sync!$AF273))</f>
        <v/>
      </c>
      <c r="H273">
        <f>IF(OR($A273="",ROUND($F273+$G273,2)=0),"",$F273+$G273)</f>
        <v/>
      </c>
      <c r="I273">
        <f>IF($H273="","",IF(ROUND($F273,2)&gt;0,$A273,IF($D273="شخصی قاسم","شخصی قاسم",IF($D273="هزینه","هزینه: "&amp;IF($E273="","متفرقه",$E273),IF($C273="پاس چک","چک پرداختی",IF(OR($B273="",COUNTIF(AcctCodesA,$B273)=0),"متفرقه",$B273))))))</f>
        <v/>
      </c>
      <c r="J273">
        <f>IF($H273="","",IF(ROUND($F273,2)&gt;0,IF($D273="شخصی قاسم","شخصی قاسم",IF($D273="هزینه","هزینه: "&amp;IF($E273="","متفرقه",$E273),IF(OR($B273="",COUNTIF(AcctCodesA,$B273)=0),"متفرقه",$B273))),$A273))</f>
        <v/>
      </c>
      <c r="K273">
        <f>IF($A273="","",IF(AND($B273&lt;&gt;"",COUNTIF(AcctCodesA,$B273)=0),"کد طرف در INFO تعریف نشده",IF(AND($D273="هزینه",$E273=""),"هزینه بدون زیرگروه",IF(AND($C273="پاس چک",OR(Sync!$AJ273="",COUNTIF(IssueNosA,Sync!$AJ273)=0)),"شماره چک پاس‌شده معتبر نیست",""))))</f>
        <v/>
      </c>
      <c r="M273">
        <f>IF(Sync!$AH273="","",Sync!$AH273)</f>
        <v/>
      </c>
      <c r="N273">
        <f>IF($M273="","",IF(OR(Sync!$AI273="",COUNTIF(AcctCodesA,Sync!$AI273)=0),"متفرقه",Sync!$AI273))</f>
        <v/>
      </c>
      <c r="O273">
        <f>IF($M273="","",$N273)</f>
        <v/>
      </c>
      <c r="P273">
        <f>IF($M273="","","چک پرداختی")</f>
        <v/>
      </c>
      <c r="R273">
        <f>IF($M273="","",IF(COUNTIF(AcctCodesA,Sync!$AI273)=0,"ذی‌نفع چک تعریف‌نشده",""))</f>
        <v/>
      </c>
      <c r="S273">
        <f>IF($R273="","",Sync!$AG273&amp;"|"&amp;"5"&amp;RIGHT("00000"&amp;268,5))</f>
        <v/>
      </c>
      <c r="T273">
        <f>IF($S273="",0,COUNTIFS($S$6:$S$505,"&lt;"&amp;$S273)-COUNTIFS($S$6:$S$505,"&lt;"&amp;$S273,$R$6:$R$505,"")+1)</f>
        <v/>
      </c>
      <c r="V273">
        <f>IF($K273="","",IF(ISNUMBER(Sync!$AK273),Sync!$AK273,LEFT(Sync!$AK273,4)&amp;MID(Sync!$AK273,6,2)&amp;RIGHT(Sync!$AK273,2))&amp;"|"&amp;"4"&amp;RIGHT("00000"&amp;268,5))</f>
        <v/>
      </c>
      <c r="W273">
        <f>IF($V273="",0,COUNTIFS($V$6:$V$2005,"&lt;"&amp;$V273)-COUNTIFS($V$6:$V$2005,"&lt;"&amp;$V273,$K$6:$K$2005,"")+1)</f>
        <v/>
      </c>
      <c r="X273">
        <f>IF(Sync!$AX273="","",IF(OR(N(Sync!$AY273)=0,N(Sync!$AZ273)=0),"",ROUND(N(Sync!$AY273)*N(Sync!$AZ273),0)))</f>
        <v/>
      </c>
      <c r="Y273">
        <f>IF($X273="","",IF(OR(Sync!$AX273="",COUNTIF(AcctCodesA,Sync!$AX273)=0),"متفرقه",Sync!$AX273))</f>
        <v/>
      </c>
      <c r="Z273">
        <f>IF($X273="","","سبد و ظروف")</f>
        <v/>
      </c>
      <c r="AA273">
        <f>IF($X273="","",$Y273)</f>
        <v/>
      </c>
    </row>
    <row r="274">
      <c r="A274">
        <f>IF(Sync!$Z274="","",LEFT(UPPER(TRIM(Sync!$Z274)),6))</f>
        <v/>
      </c>
      <c r="B274">
        <f>IF($A274="","",IF(Sync!$AA274="","",Sync!$AA274))</f>
        <v/>
      </c>
      <c r="C274">
        <f>IF($A274="","",IF(Sync!$AB274="","",Sync!$AB274))</f>
        <v/>
      </c>
      <c r="D274">
        <f>IF($A274="","",IF(Sync!$AC274="","",Sync!$AC274))</f>
        <v/>
      </c>
      <c r="E274">
        <f>IF($A274="","",IF(Sync!$AD274="","",Sync!$AD274))</f>
        <v/>
      </c>
      <c r="F274">
        <f>IF($A274="","",IF(Sync!$AE274="",0,Sync!$AE274))</f>
        <v/>
      </c>
      <c r="G274">
        <f>IF($A274="","",IF(Sync!$AF274="",0,Sync!$AF274))</f>
        <v/>
      </c>
      <c r="H274">
        <f>IF(OR($A274="",ROUND($F274+$G274,2)=0),"",$F274+$G274)</f>
        <v/>
      </c>
      <c r="I274">
        <f>IF($H274="","",IF(ROUND($F274,2)&gt;0,$A274,IF($D274="شخصی قاسم","شخصی قاسم",IF($D274="هزینه","هزینه: "&amp;IF($E274="","متفرقه",$E274),IF($C274="پاس چک","چک پرداختی",IF(OR($B274="",COUNTIF(AcctCodesA,$B274)=0),"متفرقه",$B274))))))</f>
        <v/>
      </c>
      <c r="J274">
        <f>IF($H274="","",IF(ROUND($F274,2)&gt;0,IF($D274="شخصی قاسم","شخصی قاسم",IF($D274="هزینه","هزینه: "&amp;IF($E274="","متفرقه",$E274),IF(OR($B274="",COUNTIF(AcctCodesA,$B274)=0),"متفرقه",$B274))),$A274))</f>
        <v/>
      </c>
      <c r="K274">
        <f>IF($A274="","",IF(AND($B274&lt;&gt;"",COUNTIF(AcctCodesA,$B274)=0),"کد طرف در INFO تعریف نشده",IF(AND($D274="هزینه",$E274=""),"هزینه بدون زیرگروه",IF(AND($C274="پاس چک",OR(Sync!$AJ274="",COUNTIF(IssueNosA,Sync!$AJ274)=0)),"شماره چک پاس‌شده معتبر نیست",""))))</f>
        <v/>
      </c>
      <c r="M274">
        <f>IF(Sync!$AH274="","",Sync!$AH274)</f>
        <v/>
      </c>
      <c r="N274">
        <f>IF($M274="","",IF(OR(Sync!$AI274="",COUNTIF(AcctCodesA,Sync!$AI274)=0),"متفرقه",Sync!$AI274))</f>
        <v/>
      </c>
      <c r="O274">
        <f>IF($M274="","",$N274)</f>
        <v/>
      </c>
      <c r="P274">
        <f>IF($M274="","","چک پرداختی")</f>
        <v/>
      </c>
      <c r="R274">
        <f>IF($M274="","",IF(COUNTIF(AcctCodesA,Sync!$AI274)=0,"ذی‌نفع چک تعریف‌نشده",""))</f>
        <v/>
      </c>
      <c r="S274">
        <f>IF($R274="","",Sync!$AG274&amp;"|"&amp;"5"&amp;RIGHT("00000"&amp;269,5))</f>
        <v/>
      </c>
      <c r="T274">
        <f>IF($S274="",0,COUNTIFS($S$6:$S$505,"&lt;"&amp;$S274)-COUNTIFS($S$6:$S$505,"&lt;"&amp;$S274,$R$6:$R$505,"")+1)</f>
        <v/>
      </c>
      <c r="V274">
        <f>IF($K274="","",IF(ISNUMBER(Sync!$AK274),Sync!$AK274,LEFT(Sync!$AK274,4)&amp;MID(Sync!$AK274,6,2)&amp;RIGHT(Sync!$AK274,2))&amp;"|"&amp;"4"&amp;RIGHT("00000"&amp;269,5))</f>
        <v/>
      </c>
      <c r="W274">
        <f>IF($V274="",0,COUNTIFS($V$6:$V$2005,"&lt;"&amp;$V274)-COUNTIFS($V$6:$V$2005,"&lt;"&amp;$V274,$K$6:$K$2005,"")+1)</f>
        <v/>
      </c>
      <c r="X274">
        <f>IF(Sync!$AX274="","",IF(OR(N(Sync!$AY274)=0,N(Sync!$AZ274)=0),"",ROUND(N(Sync!$AY274)*N(Sync!$AZ274),0)))</f>
        <v/>
      </c>
      <c r="Y274">
        <f>IF($X274="","",IF(OR(Sync!$AX274="",COUNTIF(AcctCodesA,Sync!$AX274)=0),"متفرقه",Sync!$AX274))</f>
        <v/>
      </c>
      <c r="Z274">
        <f>IF($X274="","","سبد و ظروف")</f>
        <v/>
      </c>
      <c r="AA274">
        <f>IF($X274="","",$Y274)</f>
        <v/>
      </c>
    </row>
    <row r="275">
      <c r="A275">
        <f>IF(Sync!$Z275="","",LEFT(UPPER(TRIM(Sync!$Z275)),6))</f>
        <v/>
      </c>
      <c r="B275">
        <f>IF($A275="","",IF(Sync!$AA275="","",Sync!$AA275))</f>
        <v/>
      </c>
      <c r="C275">
        <f>IF($A275="","",IF(Sync!$AB275="","",Sync!$AB275))</f>
        <v/>
      </c>
      <c r="D275">
        <f>IF($A275="","",IF(Sync!$AC275="","",Sync!$AC275))</f>
        <v/>
      </c>
      <c r="E275">
        <f>IF($A275="","",IF(Sync!$AD275="","",Sync!$AD275))</f>
        <v/>
      </c>
      <c r="F275">
        <f>IF($A275="","",IF(Sync!$AE275="",0,Sync!$AE275))</f>
        <v/>
      </c>
      <c r="G275">
        <f>IF($A275="","",IF(Sync!$AF275="",0,Sync!$AF275))</f>
        <v/>
      </c>
      <c r="H275">
        <f>IF(OR($A275="",ROUND($F275+$G275,2)=0),"",$F275+$G275)</f>
        <v/>
      </c>
      <c r="I275">
        <f>IF($H275="","",IF(ROUND($F275,2)&gt;0,$A275,IF($D275="شخصی قاسم","شخصی قاسم",IF($D275="هزینه","هزینه: "&amp;IF($E275="","متفرقه",$E275),IF($C275="پاس چک","چک پرداختی",IF(OR($B275="",COUNTIF(AcctCodesA,$B275)=0),"متفرقه",$B275))))))</f>
        <v/>
      </c>
      <c r="J275">
        <f>IF($H275="","",IF(ROUND($F275,2)&gt;0,IF($D275="شخصی قاسم","شخصی قاسم",IF($D275="هزینه","هزینه: "&amp;IF($E275="","متفرقه",$E275),IF(OR($B275="",COUNTIF(AcctCodesA,$B275)=0),"متفرقه",$B275))),$A275))</f>
        <v/>
      </c>
      <c r="K275">
        <f>IF($A275="","",IF(AND($B275&lt;&gt;"",COUNTIF(AcctCodesA,$B275)=0),"کد طرف در INFO تعریف نشده",IF(AND($D275="هزینه",$E275=""),"هزینه بدون زیرگروه",IF(AND($C275="پاس چک",OR(Sync!$AJ275="",COUNTIF(IssueNosA,Sync!$AJ275)=0)),"شماره چک پاس‌شده معتبر نیست",""))))</f>
        <v/>
      </c>
      <c r="M275">
        <f>IF(Sync!$AH275="","",Sync!$AH275)</f>
        <v/>
      </c>
      <c r="N275">
        <f>IF($M275="","",IF(OR(Sync!$AI275="",COUNTIF(AcctCodesA,Sync!$AI275)=0),"متفرقه",Sync!$AI275))</f>
        <v/>
      </c>
      <c r="O275">
        <f>IF($M275="","",$N275)</f>
        <v/>
      </c>
      <c r="P275">
        <f>IF($M275="","","چک پرداختی")</f>
        <v/>
      </c>
      <c r="R275">
        <f>IF($M275="","",IF(COUNTIF(AcctCodesA,Sync!$AI275)=0,"ذی‌نفع چک تعریف‌نشده",""))</f>
        <v/>
      </c>
      <c r="S275">
        <f>IF($R275="","",Sync!$AG275&amp;"|"&amp;"5"&amp;RIGHT("00000"&amp;270,5))</f>
        <v/>
      </c>
      <c r="T275">
        <f>IF($S275="",0,COUNTIFS($S$6:$S$505,"&lt;"&amp;$S275)-COUNTIFS($S$6:$S$505,"&lt;"&amp;$S275,$R$6:$R$505,"")+1)</f>
        <v/>
      </c>
      <c r="V275">
        <f>IF($K275="","",IF(ISNUMBER(Sync!$AK275),Sync!$AK275,LEFT(Sync!$AK275,4)&amp;MID(Sync!$AK275,6,2)&amp;RIGHT(Sync!$AK275,2))&amp;"|"&amp;"4"&amp;RIGHT("00000"&amp;270,5))</f>
        <v/>
      </c>
      <c r="W275">
        <f>IF($V275="",0,COUNTIFS($V$6:$V$2005,"&lt;"&amp;$V275)-COUNTIFS($V$6:$V$2005,"&lt;"&amp;$V275,$K$6:$K$2005,"")+1)</f>
        <v/>
      </c>
      <c r="X275">
        <f>IF(Sync!$AX275="","",IF(OR(N(Sync!$AY275)=0,N(Sync!$AZ275)=0),"",ROUND(N(Sync!$AY275)*N(Sync!$AZ275),0)))</f>
        <v/>
      </c>
      <c r="Y275">
        <f>IF($X275="","",IF(OR(Sync!$AX275="",COUNTIF(AcctCodesA,Sync!$AX275)=0),"متفرقه",Sync!$AX275))</f>
        <v/>
      </c>
      <c r="Z275">
        <f>IF($X275="","","سبد و ظروف")</f>
        <v/>
      </c>
      <c r="AA275">
        <f>IF($X275="","",$Y275)</f>
        <v/>
      </c>
    </row>
    <row r="276">
      <c r="A276">
        <f>IF(Sync!$Z276="","",LEFT(UPPER(TRIM(Sync!$Z276)),6))</f>
        <v/>
      </c>
      <c r="B276">
        <f>IF($A276="","",IF(Sync!$AA276="","",Sync!$AA276))</f>
        <v/>
      </c>
      <c r="C276">
        <f>IF($A276="","",IF(Sync!$AB276="","",Sync!$AB276))</f>
        <v/>
      </c>
      <c r="D276">
        <f>IF($A276="","",IF(Sync!$AC276="","",Sync!$AC276))</f>
        <v/>
      </c>
      <c r="E276">
        <f>IF($A276="","",IF(Sync!$AD276="","",Sync!$AD276))</f>
        <v/>
      </c>
      <c r="F276">
        <f>IF($A276="","",IF(Sync!$AE276="",0,Sync!$AE276))</f>
        <v/>
      </c>
      <c r="G276">
        <f>IF($A276="","",IF(Sync!$AF276="",0,Sync!$AF276))</f>
        <v/>
      </c>
      <c r="H276">
        <f>IF(OR($A276="",ROUND($F276+$G276,2)=0),"",$F276+$G276)</f>
        <v/>
      </c>
      <c r="I276">
        <f>IF($H276="","",IF(ROUND($F276,2)&gt;0,$A276,IF($D276="شخصی قاسم","شخصی قاسم",IF($D276="هزینه","هزینه: "&amp;IF($E276="","متفرقه",$E276),IF($C276="پاس چک","چک پرداختی",IF(OR($B276="",COUNTIF(AcctCodesA,$B276)=0),"متفرقه",$B276))))))</f>
        <v/>
      </c>
      <c r="J276">
        <f>IF($H276="","",IF(ROUND($F276,2)&gt;0,IF($D276="شخصی قاسم","شخصی قاسم",IF($D276="هزینه","هزینه: "&amp;IF($E276="","متفرقه",$E276),IF(OR($B276="",COUNTIF(AcctCodesA,$B276)=0),"متفرقه",$B276))),$A276))</f>
        <v/>
      </c>
      <c r="K276">
        <f>IF($A276="","",IF(AND($B276&lt;&gt;"",COUNTIF(AcctCodesA,$B276)=0),"کد طرف در INFO تعریف نشده",IF(AND($D276="هزینه",$E276=""),"هزینه بدون زیرگروه",IF(AND($C276="پاس چک",OR(Sync!$AJ276="",COUNTIF(IssueNosA,Sync!$AJ276)=0)),"شماره چک پاس‌شده معتبر نیست",""))))</f>
        <v/>
      </c>
      <c r="M276">
        <f>IF(Sync!$AH276="","",Sync!$AH276)</f>
        <v/>
      </c>
      <c r="N276">
        <f>IF($M276="","",IF(OR(Sync!$AI276="",COUNTIF(AcctCodesA,Sync!$AI276)=0),"متفرقه",Sync!$AI276))</f>
        <v/>
      </c>
      <c r="O276">
        <f>IF($M276="","",$N276)</f>
        <v/>
      </c>
      <c r="P276">
        <f>IF($M276="","","چک پرداختی")</f>
        <v/>
      </c>
      <c r="R276">
        <f>IF($M276="","",IF(COUNTIF(AcctCodesA,Sync!$AI276)=0,"ذی‌نفع چک تعریف‌نشده",""))</f>
        <v/>
      </c>
      <c r="S276">
        <f>IF($R276="","",Sync!$AG276&amp;"|"&amp;"5"&amp;RIGHT("00000"&amp;271,5))</f>
        <v/>
      </c>
      <c r="T276">
        <f>IF($S276="",0,COUNTIFS($S$6:$S$505,"&lt;"&amp;$S276)-COUNTIFS($S$6:$S$505,"&lt;"&amp;$S276,$R$6:$R$505,"")+1)</f>
        <v/>
      </c>
      <c r="V276">
        <f>IF($K276="","",IF(ISNUMBER(Sync!$AK276),Sync!$AK276,LEFT(Sync!$AK276,4)&amp;MID(Sync!$AK276,6,2)&amp;RIGHT(Sync!$AK276,2))&amp;"|"&amp;"4"&amp;RIGHT("00000"&amp;271,5))</f>
        <v/>
      </c>
      <c r="W276">
        <f>IF($V276="",0,COUNTIFS($V$6:$V$2005,"&lt;"&amp;$V276)-COUNTIFS($V$6:$V$2005,"&lt;"&amp;$V276,$K$6:$K$2005,"")+1)</f>
        <v/>
      </c>
      <c r="X276">
        <f>IF(Sync!$AX276="","",IF(OR(N(Sync!$AY276)=0,N(Sync!$AZ276)=0),"",ROUND(N(Sync!$AY276)*N(Sync!$AZ276),0)))</f>
        <v/>
      </c>
      <c r="Y276">
        <f>IF($X276="","",IF(OR(Sync!$AX276="",COUNTIF(AcctCodesA,Sync!$AX276)=0),"متفرقه",Sync!$AX276))</f>
        <v/>
      </c>
      <c r="Z276">
        <f>IF($X276="","","سبد و ظروف")</f>
        <v/>
      </c>
      <c r="AA276">
        <f>IF($X276="","",$Y276)</f>
        <v/>
      </c>
    </row>
    <row r="277">
      <c r="A277">
        <f>IF(Sync!$Z277="","",LEFT(UPPER(TRIM(Sync!$Z277)),6))</f>
        <v/>
      </c>
      <c r="B277">
        <f>IF($A277="","",IF(Sync!$AA277="","",Sync!$AA277))</f>
        <v/>
      </c>
      <c r="C277">
        <f>IF($A277="","",IF(Sync!$AB277="","",Sync!$AB277))</f>
        <v/>
      </c>
      <c r="D277">
        <f>IF($A277="","",IF(Sync!$AC277="","",Sync!$AC277))</f>
        <v/>
      </c>
      <c r="E277">
        <f>IF($A277="","",IF(Sync!$AD277="","",Sync!$AD277))</f>
        <v/>
      </c>
      <c r="F277">
        <f>IF($A277="","",IF(Sync!$AE277="",0,Sync!$AE277))</f>
        <v/>
      </c>
      <c r="G277">
        <f>IF($A277="","",IF(Sync!$AF277="",0,Sync!$AF277))</f>
        <v/>
      </c>
      <c r="H277">
        <f>IF(OR($A277="",ROUND($F277+$G277,2)=0),"",$F277+$G277)</f>
        <v/>
      </c>
      <c r="I277">
        <f>IF($H277="","",IF(ROUND($F277,2)&gt;0,$A277,IF($D277="شخصی قاسم","شخصی قاسم",IF($D277="هزینه","هزینه: "&amp;IF($E277="","متفرقه",$E277),IF($C277="پاس چک","چک پرداختی",IF(OR($B277="",COUNTIF(AcctCodesA,$B277)=0),"متفرقه",$B277))))))</f>
        <v/>
      </c>
      <c r="J277">
        <f>IF($H277="","",IF(ROUND($F277,2)&gt;0,IF($D277="شخصی قاسم","شخصی قاسم",IF($D277="هزینه","هزینه: "&amp;IF($E277="","متفرقه",$E277),IF(OR($B277="",COUNTIF(AcctCodesA,$B277)=0),"متفرقه",$B277))),$A277))</f>
        <v/>
      </c>
      <c r="K277">
        <f>IF($A277="","",IF(AND($B277&lt;&gt;"",COUNTIF(AcctCodesA,$B277)=0),"کد طرف در INFO تعریف نشده",IF(AND($D277="هزینه",$E277=""),"هزینه بدون زیرگروه",IF(AND($C277="پاس چک",OR(Sync!$AJ277="",COUNTIF(IssueNosA,Sync!$AJ277)=0)),"شماره چک پاس‌شده معتبر نیست",""))))</f>
        <v/>
      </c>
      <c r="M277">
        <f>IF(Sync!$AH277="","",Sync!$AH277)</f>
        <v/>
      </c>
      <c r="N277">
        <f>IF($M277="","",IF(OR(Sync!$AI277="",COUNTIF(AcctCodesA,Sync!$AI277)=0),"متفرقه",Sync!$AI277))</f>
        <v/>
      </c>
      <c r="O277">
        <f>IF($M277="","",$N277)</f>
        <v/>
      </c>
      <c r="P277">
        <f>IF($M277="","","چک پرداختی")</f>
        <v/>
      </c>
      <c r="R277">
        <f>IF($M277="","",IF(COUNTIF(AcctCodesA,Sync!$AI277)=0,"ذی‌نفع چک تعریف‌نشده",""))</f>
        <v/>
      </c>
      <c r="S277">
        <f>IF($R277="","",Sync!$AG277&amp;"|"&amp;"5"&amp;RIGHT("00000"&amp;272,5))</f>
        <v/>
      </c>
      <c r="T277">
        <f>IF($S277="",0,COUNTIFS($S$6:$S$505,"&lt;"&amp;$S277)-COUNTIFS($S$6:$S$505,"&lt;"&amp;$S277,$R$6:$R$505,"")+1)</f>
        <v/>
      </c>
      <c r="V277">
        <f>IF($K277="","",IF(ISNUMBER(Sync!$AK277),Sync!$AK277,LEFT(Sync!$AK277,4)&amp;MID(Sync!$AK277,6,2)&amp;RIGHT(Sync!$AK277,2))&amp;"|"&amp;"4"&amp;RIGHT("00000"&amp;272,5))</f>
        <v/>
      </c>
      <c r="W277">
        <f>IF($V277="",0,COUNTIFS($V$6:$V$2005,"&lt;"&amp;$V277)-COUNTIFS($V$6:$V$2005,"&lt;"&amp;$V277,$K$6:$K$2005,"")+1)</f>
        <v/>
      </c>
      <c r="X277">
        <f>IF(Sync!$AX277="","",IF(OR(N(Sync!$AY277)=0,N(Sync!$AZ277)=0),"",ROUND(N(Sync!$AY277)*N(Sync!$AZ277),0)))</f>
        <v/>
      </c>
      <c r="Y277">
        <f>IF($X277="","",IF(OR(Sync!$AX277="",COUNTIF(AcctCodesA,Sync!$AX277)=0),"متفرقه",Sync!$AX277))</f>
        <v/>
      </c>
      <c r="Z277">
        <f>IF($X277="","","سبد و ظروف")</f>
        <v/>
      </c>
      <c r="AA277">
        <f>IF($X277="","",$Y277)</f>
        <v/>
      </c>
    </row>
    <row r="278">
      <c r="A278">
        <f>IF(Sync!$Z278="","",LEFT(UPPER(TRIM(Sync!$Z278)),6))</f>
        <v/>
      </c>
      <c r="B278">
        <f>IF($A278="","",IF(Sync!$AA278="","",Sync!$AA278))</f>
        <v/>
      </c>
      <c r="C278">
        <f>IF($A278="","",IF(Sync!$AB278="","",Sync!$AB278))</f>
        <v/>
      </c>
      <c r="D278">
        <f>IF($A278="","",IF(Sync!$AC278="","",Sync!$AC278))</f>
        <v/>
      </c>
      <c r="E278">
        <f>IF($A278="","",IF(Sync!$AD278="","",Sync!$AD278))</f>
        <v/>
      </c>
      <c r="F278">
        <f>IF($A278="","",IF(Sync!$AE278="",0,Sync!$AE278))</f>
        <v/>
      </c>
      <c r="G278">
        <f>IF($A278="","",IF(Sync!$AF278="",0,Sync!$AF278))</f>
        <v/>
      </c>
      <c r="H278">
        <f>IF(OR($A278="",ROUND($F278+$G278,2)=0),"",$F278+$G278)</f>
        <v/>
      </c>
      <c r="I278">
        <f>IF($H278="","",IF(ROUND($F278,2)&gt;0,$A278,IF($D278="شخصی قاسم","شخصی قاسم",IF($D278="هزینه","هزینه: "&amp;IF($E278="","متفرقه",$E278),IF($C278="پاس چک","چک پرداختی",IF(OR($B278="",COUNTIF(AcctCodesA,$B278)=0),"متفرقه",$B278))))))</f>
        <v/>
      </c>
      <c r="J278">
        <f>IF($H278="","",IF(ROUND($F278,2)&gt;0,IF($D278="شخصی قاسم","شخصی قاسم",IF($D278="هزینه","هزینه: "&amp;IF($E278="","متفرقه",$E278),IF(OR($B278="",COUNTIF(AcctCodesA,$B278)=0),"متفرقه",$B278))),$A278))</f>
        <v/>
      </c>
      <c r="K278">
        <f>IF($A278="","",IF(AND($B278&lt;&gt;"",COUNTIF(AcctCodesA,$B278)=0),"کد طرف در INFO تعریف نشده",IF(AND($D278="هزینه",$E278=""),"هزینه بدون زیرگروه",IF(AND($C278="پاس چک",OR(Sync!$AJ278="",COUNTIF(IssueNosA,Sync!$AJ278)=0)),"شماره چک پاس‌شده معتبر نیست",""))))</f>
        <v/>
      </c>
      <c r="M278">
        <f>IF(Sync!$AH278="","",Sync!$AH278)</f>
        <v/>
      </c>
      <c r="N278">
        <f>IF($M278="","",IF(OR(Sync!$AI278="",COUNTIF(AcctCodesA,Sync!$AI278)=0),"متفرقه",Sync!$AI278))</f>
        <v/>
      </c>
      <c r="O278">
        <f>IF($M278="","",$N278)</f>
        <v/>
      </c>
      <c r="P278">
        <f>IF($M278="","","چک پرداختی")</f>
        <v/>
      </c>
      <c r="R278">
        <f>IF($M278="","",IF(COUNTIF(AcctCodesA,Sync!$AI278)=0,"ذی‌نفع چک تعریف‌نشده",""))</f>
        <v/>
      </c>
      <c r="S278">
        <f>IF($R278="","",Sync!$AG278&amp;"|"&amp;"5"&amp;RIGHT("00000"&amp;273,5))</f>
        <v/>
      </c>
      <c r="T278">
        <f>IF($S278="",0,COUNTIFS($S$6:$S$505,"&lt;"&amp;$S278)-COUNTIFS($S$6:$S$505,"&lt;"&amp;$S278,$R$6:$R$505,"")+1)</f>
        <v/>
      </c>
      <c r="V278">
        <f>IF($K278="","",IF(ISNUMBER(Sync!$AK278),Sync!$AK278,LEFT(Sync!$AK278,4)&amp;MID(Sync!$AK278,6,2)&amp;RIGHT(Sync!$AK278,2))&amp;"|"&amp;"4"&amp;RIGHT("00000"&amp;273,5))</f>
        <v/>
      </c>
      <c r="W278">
        <f>IF($V278="",0,COUNTIFS($V$6:$V$2005,"&lt;"&amp;$V278)-COUNTIFS($V$6:$V$2005,"&lt;"&amp;$V278,$K$6:$K$2005,"")+1)</f>
        <v/>
      </c>
      <c r="X278">
        <f>IF(Sync!$AX278="","",IF(OR(N(Sync!$AY278)=0,N(Sync!$AZ278)=0),"",ROUND(N(Sync!$AY278)*N(Sync!$AZ278),0)))</f>
        <v/>
      </c>
      <c r="Y278">
        <f>IF($X278="","",IF(OR(Sync!$AX278="",COUNTIF(AcctCodesA,Sync!$AX278)=0),"متفرقه",Sync!$AX278))</f>
        <v/>
      </c>
      <c r="Z278">
        <f>IF($X278="","","سبد و ظروف")</f>
        <v/>
      </c>
      <c r="AA278">
        <f>IF($X278="","",$Y278)</f>
        <v/>
      </c>
    </row>
    <row r="279">
      <c r="A279">
        <f>IF(Sync!$Z279="","",LEFT(UPPER(TRIM(Sync!$Z279)),6))</f>
        <v/>
      </c>
      <c r="B279">
        <f>IF($A279="","",IF(Sync!$AA279="","",Sync!$AA279))</f>
        <v/>
      </c>
      <c r="C279">
        <f>IF($A279="","",IF(Sync!$AB279="","",Sync!$AB279))</f>
        <v/>
      </c>
      <c r="D279">
        <f>IF($A279="","",IF(Sync!$AC279="","",Sync!$AC279))</f>
        <v/>
      </c>
      <c r="E279">
        <f>IF($A279="","",IF(Sync!$AD279="","",Sync!$AD279))</f>
        <v/>
      </c>
      <c r="F279">
        <f>IF($A279="","",IF(Sync!$AE279="",0,Sync!$AE279))</f>
        <v/>
      </c>
      <c r="G279">
        <f>IF($A279="","",IF(Sync!$AF279="",0,Sync!$AF279))</f>
        <v/>
      </c>
      <c r="H279">
        <f>IF(OR($A279="",ROUND($F279+$G279,2)=0),"",$F279+$G279)</f>
        <v/>
      </c>
      <c r="I279">
        <f>IF($H279="","",IF(ROUND($F279,2)&gt;0,$A279,IF($D279="شخصی قاسم","شخصی قاسم",IF($D279="هزینه","هزینه: "&amp;IF($E279="","متفرقه",$E279),IF($C279="پاس چک","چک پرداختی",IF(OR($B279="",COUNTIF(AcctCodesA,$B279)=0),"متفرقه",$B279))))))</f>
        <v/>
      </c>
      <c r="J279">
        <f>IF($H279="","",IF(ROUND($F279,2)&gt;0,IF($D279="شخصی قاسم","شخصی قاسم",IF($D279="هزینه","هزینه: "&amp;IF($E279="","متفرقه",$E279),IF(OR($B279="",COUNTIF(AcctCodesA,$B279)=0),"متفرقه",$B279))),$A279))</f>
        <v/>
      </c>
      <c r="K279">
        <f>IF($A279="","",IF(AND($B279&lt;&gt;"",COUNTIF(AcctCodesA,$B279)=0),"کد طرف در INFO تعریف نشده",IF(AND($D279="هزینه",$E279=""),"هزینه بدون زیرگروه",IF(AND($C279="پاس چک",OR(Sync!$AJ279="",COUNTIF(IssueNosA,Sync!$AJ279)=0)),"شماره چک پاس‌شده معتبر نیست",""))))</f>
        <v/>
      </c>
      <c r="M279">
        <f>IF(Sync!$AH279="","",Sync!$AH279)</f>
        <v/>
      </c>
      <c r="N279">
        <f>IF($M279="","",IF(OR(Sync!$AI279="",COUNTIF(AcctCodesA,Sync!$AI279)=0),"متفرقه",Sync!$AI279))</f>
        <v/>
      </c>
      <c r="O279">
        <f>IF($M279="","",$N279)</f>
        <v/>
      </c>
      <c r="P279">
        <f>IF($M279="","","چک پرداختی")</f>
        <v/>
      </c>
      <c r="R279">
        <f>IF($M279="","",IF(COUNTIF(AcctCodesA,Sync!$AI279)=0,"ذی‌نفع چک تعریف‌نشده",""))</f>
        <v/>
      </c>
      <c r="S279">
        <f>IF($R279="","",Sync!$AG279&amp;"|"&amp;"5"&amp;RIGHT("00000"&amp;274,5))</f>
        <v/>
      </c>
      <c r="T279">
        <f>IF($S279="",0,COUNTIFS($S$6:$S$505,"&lt;"&amp;$S279)-COUNTIFS($S$6:$S$505,"&lt;"&amp;$S279,$R$6:$R$505,"")+1)</f>
        <v/>
      </c>
      <c r="V279">
        <f>IF($K279="","",IF(ISNUMBER(Sync!$AK279),Sync!$AK279,LEFT(Sync!$AK279,4)&amp;MID(Sync!$AK279,6,2)&amp;RIGHT(Sync!$AK279,2))&amp;"|"&amp;"4"&amp;RIGHT("00000"&amp;274,5))</f>
        <v/>
      </c>
      <c r="W279">
        <f>IF($V279="",0,COUNTIFS($V$6:$V$2005,"&lt;"&amp;$V279)-COUNTIFS($V$6:$V$2005,"&lt;"&amp;$V279,$K$6:$K$2005,"")+1)</f>
        <v/>
      </c>
      <c r="X279">
        <f>IF(Sync!$AX279="","",IF(OR(N(Sync!$AY279)=0,N(Sync!$AZ279)=0),"",ROUND(N(Sync!$AY279)*N(Sync!$AZ279),0)))</f>
        <v/>
      </c>
      <c r="Y279">
        <f>IF($X279="","",IF(OR(Sync!$AX279="",COUNTIF(AcctCodesA,Sync!$AX279)=0),"متفرقه",Sync!$AX279))</f>
        <v/>
      </c>
      <c r="Z279">
        <f>IF($X279="","","سبد و ظروف")</f>
        <v/>
      </c>
      <c r="AA279">
        <f>IF($X279="","",$Y279)</f>
        <v/>
      </c>
    </row>
    <row r="280">
      <c r="A280">
        <f>IF(Sync!$Z280="","",LEFT(UPPER(TRIM(Sync!$Z280)),6))</f>
        <v/>
      </c>
      <c r="B280">
        <f>IF($A280="","",IF(Sync!$AA280="","",Sync!$AA280))</f>
        <v/>
      </c>
      <c r="C280">
        <f>IF($A280="","",IF(Sync!$AB280="","",Sync!$AB280))</f>
        <v/>
      </c>
      <c r="D280">
        <f>IF($A280="","",IF(Sync!$AC280="","",Sync!$AC280))</f>
        <v/>
      </c>
      <c r="E280">
        <f>IF($A280="","",IF(Sync!$AD280="","",Sync!$AD280))</f>
        <v/>
      </c>
      <c r="F280">
        <f>IF($A280="","",IF(Sync!$AE280="",0,Sync!$AE280))</f>
        <v/>
      </c>
      <c r="G280">
        <f>IF($A280="","",IF(Sync!$AF280="",0,Sync!$AF280))</f>
        <v/>
      </c>
      <c r="H280">
        <f>IF(OR($A280="",ROUND($F280+$G280,2)=0),"",$F280+$G280)</f>
        <v/>
      </c>
      <c r="I280">
        <f>IF($H280="","",IF(ROUND($F280,2)&gt;0,$A280,IF($D280="شخصی قاسم","شخصی قاسم",IF($D280="هزینه","هزینه: "&amp;IF($E280="","متفرقه",$E280),IF($C280="پاس چک","چک پرداختی",IF(OR($B280="",COUNTIF(AcctCodesA,$B280)=0),"متفرقه",$B280))))))</f>
        <v/>
      </c>
      <c r="J280">
        <f>IF($H280="","",IF(ROUND($F280,2)&gt;0,IF($D280="شخصی قاسم","شخصی قاسم",IF($D280="هزینه","هزینه: "&amp;IF($E280="","متفرقه",$E280),IF(OR($B280="",COUNTIF(AcctCodesA,$B280)=0),"متفرقه",$B280))),$A280))</f>
        <v/>
      </c>
      <c r="K280">
        <f>IF($A280="","",IF(AND($B280&lt;&gt;"",COUNTIF(AcctCodesA,$B280)=0),"کد طرف در INFO تعریف نشده",IF(AND($D280="هزینه",$E280=""),"هزینه بدون زیرگروه",IF(AND($C280="پاس چک",OR(Sync!$AJ280="",COUNTIF(IssueNosA,Sync!$AJ280)=0)),"شماره چک پاس‌شده معتبر نیست",""))))</f>
        <v/>
      </c>
      <c r="M280">
        <f>IF(Sync!$AH280="","",Sync!$AH280)</f>
        <v/>
      </c>
      <c r="N280">
        <f>IF($M280="","",IF(OR(Sync!$AI280="",COUNTIF(AcctCodesA,Sync!$AI280)=0),"متفرقه",Sync!$AI280))</f>
        <v/>
      </c>
      <c r="O280">
        <f>IF($M280="","",$N280)</f>
        <v/>
      </c>
      <c r="P280">
        <f>IF($M280="","","چک پرداختی")</f>
        <v/>
      </c>
      <c r="R280">
        <f>IF($M280="","",IF(COUNTIF(AcctCodesA,Sync!$AI280)=0,"ذی‌نفع چک تعریف‌نشده",""))</f>
        <v/>
      </c>
      <c r="S280">
        <f>IF($R280="","",Sync!$AG280&amp;"|"&amp;"5"&amp;RIGHT("00000"&amp;275,5))</f>
        <v/>
      </c>
      <c r="T280">
        <f>IF($S280="",0,COUNTIFS($S$6:$S$505,"&lt;"&amp;$S280)-COUNTIFS($S$6:$S$505,"&lt;"&amp;$S280,$R$6:$R$505,"")+1)</f>
        <v/>
      </c>
      <c r="V280">
        <f>IF($K280="","",IF(ISNUMBER(Sync!$AK280),Sync!$AK280,LEFT(Sync!$AK280,4)&amp;MID(Sync!$AK280,6,2)&amp;RIGHT(Sync!$AK280,2))&amp;"|"&amp;"4"&amp;RIGHT("00000"&amp;275,5))</f>
        <v/>
      </c>
      <c r="W280">
        <f>IF($V280="",0,COUNTIFS($V$6:$V$2005,"&lt;"&amp;$V280)-COUNTIFS($V$6:$V$2005,"&lt;"&amp;$V280,$K$6:$K$2005,"")+1)</f>
        <v/>
      </c>
      <c r="X280">
        <f>IF(Sync!$AX280="","",IF(OR(N(Sync!$AY280)=0,N(Sync!$AZ280)=0),"",ROUND(N(Sync!$AY280)*N(Sync!$AZ280),0)))</f>
        <v/>
      </c>
      <c r="Y280">
        <f>IF($X280="","",IF(OR(Sync!$AX280="",COUNTIF(AcctCodesA,Sync!$AX280)=0),"متفرقه",Sync!$AX280))</f>
        <v/>
      </c>
      <c r="Z280">
        <f>IF($X280="","","سبد و ظروف")</f>
        <v/>
      </c>
      <c r="AA280">
        <f>IF($X280="","",$Y280)</f>
        <v/>
      </c>
    </row>
    <row r="281">
      <c r="A281">
        <f>IF(Sync!$Z281="","",LEFT(UPPER(TRIM(Sync!$Z281)),6))</f>
        <v/>
      </c>
      <c r="B281">
        <f>IF($A281="","",IF(Sync!$AA281="","",Sync!$AA281))</f>
        <v/>
      </c>
      <c r="C281">
        <f>IF($A281="","",IF(Sync!$AB281="","",Sync!$AB281))</f>
        <v/>
      </c>
      <c r="D281">
        <f>IF($A281="","",IF(Sync!$AC281="","",Sync!$AC281))</f>
        <v/>
      </c>
      <c r="E281">
        <f>IF($A281="","",IF(Sync!$AD281="","",Sync!$AD281))</f>
        <v/>
      </c>
      <c r="F281">
        <f>IF($A281="","",IF(Sync!$AE281="",0,Sync!$AE281))</f>
        <v/>
      </c>
      <c r="G281">
        <f>IF($A281="","",IF(Sync!$AF281="",0,Sync!$AF281))</f>
        <v/>
      </c>
      <c r="H281">
        <f>IF(OR($A281="",ROUND($F281+$G281,2)=0),"",$F281+$G281)</f>
        <v/>
      </c>
      <c r="I281">
        <f>IF($H281="","",IF(ROUND($F281,2)&gt;0,$A281,IF($D281="شخصی قاسم","شخصی قاسم",IF($D281="هزینه","هزینه: "&amp;IF($E281="","متفرقه",$E281),IF($C281="پاس چک","چک پرداختی",IF(OR($B281="",COUNTIF(AcctCodesA,$B281)=0),"متفرقه",$B281))))))</f>
        <v/>
      </c>
      <c r="J281">
        <f>IF($H281="","",IF(ROUND($F281,2)&gt;0,IF($D281="شخصی قاسم","شخصی قاسم",IF($D281="هزینه","هزینه: "&amp;IF($E281="","متفرقه",$E281),IF(OR($B281="",COUNTIF(AcctCodesA,$B281)=0),"متفرقه",$B281))),$A281))</f>
        <v/>
      </c>
      <c r="K281">
        <f>IF($A281="","",IF(AND($B281&lt;&gt;"",COUNTIF(AcctCodesA,$B281)=0),"کد طرف در INFO تعریف نشده",IF(AND($D281="هزینه",$E281=""),"هزینه بدون زیرگروه",IF(AND($C281="پاس چک",OR(Sync!$AJ281="",COUNTIF(IssueNosA,Sync!$AJ281)=0)),"شماره چک پاس‌شده معتبر نیست",""))))</f>
        <v/>
      </c>
      <c r="M281">
        <f>IF(Sync!$AH281="","",Sync!$AH281)</f>
        <v/>
      </c>
      <c r="N281">
        <f>IF($M281="","",IF(OR(Sync!$AI281="",COUNTIF(AcctCodesA,Sync!$AI281)=0),"متفرقه",Sync!$AI281))</f>
        <v/>
      </c>
      <c r="O281">
        <f>IF($M281="","",$N281)</f>
        <v/>
      </c>
      <c r="P281">
        <f>IF($M281="","","چک پرداختی")</f>
        <v/>
      </c>
      <c r="R281">
        <f>IF($M281="","",IF(COUNTIF(AcctCodesA,Sync!$AI281)=0,"ذی‌نفع چک تعریف‌نشده",""))</f>
        <v/>
      </c>
      <c r="S281">
        <f>IF($R281="","",Sync!$AG281&amp;"|"&amp;"5"&amp;RIGHT("00000"&amp;276,5))</f>
        <v/>
      </c>
      <c r="T281">
        <f>IF($S281="",0,COUNTIFS($S$6:$S$505,"&lt;"&amp;$S281)-COUNTIFS($S$6:$S$505,"&lt;"&amp;$S281,$R$6:$R$505,"")+1)</f>
        <v/>
      </c>
      <c r="V281">
        <f>IF($K281="","",IF(ISNUMBER(Sync!$AK281),Sync!$AK281,LEFT(Sync!$AK281,4)&amp;MID(Sync!$AK281,6,2)&amp;RIGHT(Sync!$AK281,2))&amp;"|"&amp;"4"&amp;RIGHT("00000"&amp;276,5))</f>
        <v/>
      </c>
      <c r="W281">
        <f>IF($V281="",0,COUNTIFS($V$6:$V$2005,"&lt;"&amp;$V281)-COUNTIFS($V$6:$V$2005,"&lt;"&amp;$V281,$K$6:$K$2005,"")+1)</f>
        <v/>
      </c>
      <c r="X281">
        <f>IF(Sync!$AX281="","",IF(OR(N(Sync!$AY281)=0,N(Sync!$AZ281)=0),"",ROUND(N(Sync!$AY281)*N(Sync!$AZ281),0)))</f>
        <v/>
      </c>
      <c r="Y281">
        <f>IF($X281="","",IF(OR(Sync!$AX281="",COUNTIF(AcctCodesA,Sync!$AX281)=0),"متفرقه",Sync!$AX281))</f>
        <v/>
      </c>
      <c r="Z281">
        <f>IF($X281="","","سبد و ظروف")</f>
        <v/>
      </c>
      <c r="AA281">
        <f>IF($X281="","",$Y281)</f>
        <v/>
      </c>
    </row>
    <row r="282">
      <c r="A282">
        <f>IF(Sync!$Z282="","",LEFT(UPPER(TRIM(Sync!$Z282)),6))</f>
        <v/>
      </c>
      <c r="B282">
        <f>IF($A282="","",IF(Sync!$AA282="","",Sync!$AA282))</f>
        <v/>
      </c>
      <c r="C282">
        <f>IF($A282="","",IF(Sync!$AB282="","",Sync!$AB282))</f>
        <v/>
      </c>
      <c r="D282">
        <f>IF($A282="","",IF(Sync!$AC282="","",Sync!$AC282))</f>
        <v/>
      </c>
      <c r="E282">
        <f>IF($A282="","",IF(Sync!$AD282="","",Sync!$AD282))</f>
        <v/>
      </c>
      <c r="F282">
        <f>IF($A282="","",IF(Sync!$AE282="",0,Sync!$AE282))</f>
        <v/>
      </c>
      <c r="G282">
        <f>IF($A282="","",IF(Sync!$AF282="",0,Sync!$AF282))</f>
        <v/>
      </c>
      <c r="H282">
        <f>IF(OR($A282="",ROUND($F282+$G282,2)=0),"",$F282+$G282)</f>
        <v/>
      </c>
      <c r="I282">
        <f>IF($H282="","",IF(ROUND($F282,2)&gt;0,$A282,IF($D282="شخصی قاسم","شخصی قاسم",IF($D282="هزینه","هزینه: "&amp;IF($E282="","متفرقه",$E282),IF($C282="پاس چک","چک پرداختی",IF(OR($B282="",COUNTIF(AcctCodesA,$B282)=0),"متفرقه",$B282))))))</f>
        <v/>
      </c>
      <c r="J282">
        <f>IF($H282="","",IF(ROUND($F282,2)&gt;0,IF($D282="شخصی قاسم","شخصی قاسم",IF($D282="هزینه","هزینه: "&amp;IF($E282="","متفرقه",$E282),IF(OR($B282="",COUNTIF(AcctCodesA,$B282)=0),"متفرقه",$B282))),$A282))</f>
        <v/>
      </c>
      <c r="K282">
        <f>IF($A282="","",IF(AND($B282&lt;&gt;"",COUNTIF(AcctCodesA,$B282)=0),"کد طرف در INFO تعریف نشده",IF(AND($D282="هزینه",$E282=""),"هزینه بدون زیرگروه",IF(AND($C282="پاس چک",OR(Sync!$AJ282="",COUNTIF(IssueNosA,Sync!$AJ282)=0)),"شماره چک پاس‌شده معتبر نیست",""))))</f>
        <v/>
      </c>
      <c r="M282">
        <f>IF(Sync!$AH282="","",Sync!$AH282)</f>
        <v/>
      </c>
      <c r="N282">
        <f>IF($M282="","",IF(OR(Sync!$AI282="",COUNTIF(AcctCodesA,Sync!$AI282)=0),"متفرقه",Sync!$AI282))</f>
        <v/>
      </c>
      <c r="O282">
        <f>IF($M282="","",$N282)</f>
        <v/>
      </c>
      <c r="P282">
        <f>IF($M282="","","چک پرداختی")</f>
        <v/>
      </c>
      <c r="R282">
        <f>IF($M282="","",IF(COUNTIF(AcctCodesA,Sync!$AI282)=0,"ذی‌نفع چک تعریف‌نشده",""))</f>
        <v/>
      </c>
      <c r="S282">
        <f>IF($R282="","",Sync!$AG282&amp;"|"&amp;"5"&amp;RIGHT("00000"&amp;277,5))</f>
        <v/>
      </c>
      <c r="T282">
        <f>IF($S282="",0,COUNTIFS($S$6:$S$505,"&lt;"&amp;$S282)-COUNTIFS($S$6:$S$505,"&lt;"&amp;$S282,$R$6:$R$505,"")+1)</f>
        <v/>
      </c>
      <c r="V282">
        <f>IF($K282="","",IF(ISNUMBER(Sync!$AK282),Sync!$AK282,LEFT(Sync!$AK282,4)&amp;MID(Sync!$AK282,6,2)&amp;RIGHT(Sync!$AK282,2))&amp;"|"&amp;"4"&amp;RIGHT("00000"&amp;277,5))</f>
        <v/>
      </c>
      <c r="W282">
        <f>IF($V282="",0,COUNTIFS($V$6:$V$2005,"&lt;"&amp;$V282)-COUNTIFS($V$6:$V$2005,"&lt;"&amp;$V282,$K$6:$K$2005,"")+1)</f>
        <v/>
      </c>
      <c r="X282">
        <f>IF(Sync!$AX282="","",IF(OR(N(Sync!$AY282)=0,N(Sync!$AZ282)=0),"",ROUND(N(Sync!$AY282)*N(Sync!$AZ282),0)))</f>
        <v/>
      </c>
      <c r="Y282">
        <f>IF($X282="","",IF(OR(Sync!$AX282="",COUNTIF(AcctCodesA,Sync!$AX282)=0),"متفرقه",Sync!$AX282))</f>
        <v/>
      </c>
      <c r="Z282">
        <f>IF($X282="","","سبد و ظروف")</f>
        <v/>
      </c>
      <c r="AA282">
        <f>IF($X282="","",$Y282)</f>
        <v/>
      </c>
    </row>
    <row r="283">
      <c r="A283">
        <f>IF(Sync!$Z283="","",LEFT(UPPER(TRIM(Sync!$Z283)),6))</f>
        <v/>
      </c>
      <c r="B283">
        <f>IF($A283="","",IF(Sync!$AA283="","",Sync!$AA283))</f>
        <v/>
      </c>
      <c r="C283">
        <f>IF($A283="","",IF(Sync!$AB283="","",Sync!$AB283))</f>
        <v/>
      </c>
      <c r="D283">
        <f>IF($A283="","",IF(Sync!$AC283="","",Sync!$AC283))</f>
        <v/>
      </c>
      <c r="E283">
        <f>IF($A283="","",IF(Sync!$AD283="","",Sync!$AD283))</f>
        <v/>
      </c>
      <c r="F283">
        <f>IF($A283="","",IF(Sync!$AE283="",0,Sync!$AE283))</f>
        <v/>
      </c>
      <c r="G283">
        <f>IF($A283="","",IF(Sync!$AF283="",0,Sync!$AF283))</f>
        <v/>
      </c>
      <c r="H283">
        <f>IF(OR($A283="",ROUND($F283+$G283,2)=0),"",$F283+$G283)</f>
        <v/>
      </c>
      <c r="I283">
        <f>IF($H283="","",IF(ROUND($F283,2)&gt;0,$A283,IF($D283="شخصی قاسم","شخصی قاسم",IF($D283="هزینه","هزینه: "&amp;IF($E283="","متفرقه",$E283),IF($C283="پاس چک","چک پرداختی",IF(OR($B283="",COUNTIF(AcctCodesA,$B283)=0),"متفرقه",$B283))))))</f>
        <v/>
      </c>
      <c r="J283">
        <f>IF($H283="","",IF(ROUND($F283,2)&gt;0,IF($D283="شخصی قاسم","شخصی قاسم",IF($D283="هزینه","هزینه: "&amp;IF($E283="","متفرقه",$E283),IF(OR($B283="",COUNTIF(AcctCodesA,$B283)=0),"متفرقه",$B283))),$A283))</f>
        <v/>
      </c>
      <c r="K283">
        <f>IF($A283="","",IF(AND($B283&lt;&gt;"",COUNTIF(AcctCodesA,$B283)=0),"کد طرف در INFO تعریف نشده",IF(AND($D283="هزینه",$E283=""),"هزینه بدون زیرگروه",IF(AND($C283="پاس چک",OR(Sync!$AJ283="",COUNTIF(IssueNosA,Sync!$AJ283)=0)),"شماره چک پاس‌شده معتبر نیست",""))))</f>
        <v/>
      </c>
      <c r="M283">
        <f>IF(Sync!$AH283="","",Sync!$AH283)</f>
        <v/>
      </c>
      <c r="N283">
        <f>IF($M283="","",IF(OR(Sync!$AI283="",COUNTIF(AcctCodesA,Sync!$AI283)=0),"متفرقه",Sync!$AI283))</f>
        <v/>
      </c>
      <c r="O283">
        <f>IF($M283="","",$N283)</f>
        <v/>
      </c>
      <c r="P283">
        <f>IF($M283="","","چک پرداختی")</f>
        <v/>
      </c>
      <c r="R283">
        <f>IF($M283="","",IF(COUNTIF(AcctCodesA,Sync!$AI283)=0,"ذی‌نفع چک تعریف‌نشده",""))</f>
        <v/>
      </c>
      <c r="S283">
        <f>IF($R283="","",Sync!$AG283&amp;"|"&amp;"5"&amp;RIGHT("00000"&amp;278,5))</f>
        <v/>
      </c>
      <c r="T283">
        <f>IF($S283="",0,COUNTIFS($S$6:$S$505,"&lt;"&amp;$S283)-COUNTIFS($S$6:$S$505,"&lt;"&amp;$S283,$R$6:$R$505,"")+1)</f>
        <v/>
      </c>
      <c r="V283">
        <f>IF($K283="","",IF(ISNUMBER(Sync!$AK283),Sync!$AK283,LEFT(Sync!$AK283,4)&amp;MID(Sync!$AK283,6,2)&amp;RIGHT(Sync!$AK283,2))&amp;"|"&amp;"4"&amp;RIGHT("00000"&amp;278,5))</f>
        <v/>
      </c>
      <c r="W283">
        <f>IF($V283="",0,COUNTIFS($V$6:$V$2005,"&lt;"&amp;$V283)-COUNTIFS($V$6:$V$2005,"&lt;"&amp;$V283,$K$6:$K$2005,"")+1)</f>
        <v/>
      </c>
      <c r="X283">
        <f>IF(Sync!$AX283="","",IF(OR(N(Sync!$AY283)=0,N(Sync!$AZ283)=0),"",ROUND(N(Sync!$AY283)*N(Sync!$AZ283),0)))</f>
        <v/>
      </c>
      <c r="Y283">
        <f>IF($X283="","",IF(OR(Sync!$AX283="",COUNTIF(AcctCodesA,Sync!$AX283)=0),"متفرقه",Sync!$AX283))</f>
        <v/>
      </c>
      <c r="Z283">
        <f>IF($X283="","","سبد و ظروف")</f>
        <v/>
      </c>
      <c r="AA283">
        <f>IF($X283="","",$Y283)</f>
        <v/>
      </c>
    </row>
    <row r="284">
      <c r="A284">
        <f>IF(Sync!$Z284="","",LEFT(UPPER(TRIM(Sync!$Z284)),6))</f>
        <v/>
      </c>
      <c r="B284">
        <f>IF($A284="","",IF(Sync!$AA284="","",Sync!$AA284))</f>
        <v/>
      </c>
      <c r="C284">
        <f>IF($A284="","",IF(Sync!$AB284="","",Sync!$AB284))</f>
        <v/>
      </c>
      <c r="D284">
        <f>IF($A284="","",IF(Sync!$AC284="","",Sync!$AC284))</f>
        <v/>
      </c>
      <c r="E284">
        <f>IF($A284="","",IF(Sync!$AD284="","",Sync!$AD284))</f>
        <v/>
      </c>
      <c r="F284">
        <f>IF($A284="","",IF(Sync!$AE284="",0,Sync!$AE284))</f>
        <v/>
      </c>
      <c r="G284">
        <f>IF($A284="","",IF(Sync!$AF284="",0,Sync!$AF284))</f>
        <v/>
      </c>
      <c r="H284">
        <f>IF(OR($A284="",ROUND($F284+$G284,2)=0),"",$F284+$G284)</f>
        <v/>
      </c>
      <c r="I284">
        <f>IF($H284="","",IF(ROUND($F284,2)&gt;0,$A284,IF($D284="شخصی قاسم","شخصی قاسم",IF($D284="هزینه","هزینه: "&amp;IF($E284="","متفرقه",$E284),IF($C284="پاس چک","چک پرداختی",IF(OR($B284="",COUNTIF(AcctCodesA,$B284)=0),"متفرقه",$B284))))))</f>
        <v/>
      </c>
      <c r="J284">
        <f>IF($H284="","",IF(ROUND($F284,2)&gt;0,IF($D284="شخصی قاسم","شخصی قاسم",IF($D284="هزینه","هزینه: "&amp;IF($E284="","متفرقه",$E284),IF(OR($B284="",COUNTIF(AcctCodesA,$B284)=0),"متفرقه",$B284))),$A284))</f>
        <v/>
      </c>
      <c r="K284">
        <f>IF($A284="","",IF(AND($B284&lt;&gt;"",COUNTIF(AcctCodesA,$B284)=0),"کد طرف در INFO تعریف نشده",IF(AND($D284="هزینه",$E284=""),"هزینه بدون زیرگروه",IF(AND($C284="پاس چک",OR(Sync!$AJ284="",COUNTIF(IssueNosA,Sync!$AJ284)=0)),"شماره چک پاس‌شده معتبر نیست",""))))</f>
        <v/>
      </c>
      <c r="M284">
        <f>IF(Sync!$AH284="","",Sync!$AH284)</f>
        <v/>
      </c>
      <c r="N284">
        <f>IF($M284="","",IF(OR(Sync!$AI284="",COUNTIF(AcctCodesA,Sync!$AI284)=0),"متفرقه",Sync!$AI284))</f>
        <v/>
      </c>
      <c r="O284">
        <f>IF($M284="","",$N284)</f>
        <v/>
      </c>
      <c r="P284">
        <f>IF($M284="","","چک پرداختی")</f>
        <v/>
      </c>
      <c r="R284">
        <f>IF($M284="","",IF(COUNTIF(AcctCodesA,Sync!$AI284)=0,"ذی‌نفع چک تعریف‌نشده",""))</f>
        <v/>
      </c>
      <c r="S284">
        <f>IF($R284="","",Sync!$AG284&amp;"|"&amp;"5"&amp;RIGHT("00000"&amp;279,5))</f>
        <v/>
      </c>
      <c r="T284">
        <f>IF($S284="",0,COUNTIFS($S$6:$S$505,"&lt;"&amp;$S284)-COUNTIFS($S$6:$S$505,"&lt;"&amp;$S284,$R$6:$R$505,"")+1)</f>
        <v/>
      </c>
      <c r="V284">
        <f>IF($K284="","",IF(ISNUMBER(Sync!$AK284),Sync!$AK284,LEFT(Sync!$AK284,4)&amp;MID(Sync!$AK284,6,2)&amp;RIGHT(Sync!$AK284,2))&amp;"|"&amp;"4"&amp;RIGHT("00000"&amp;279,5))</f>
        <v/>
      </c>
      <c r="W284">
        <f>IF($V284="",0,COUNTIFS($V$6:$V$2005,"&lt;"&amp;$V284)-COUNTIFS($V$6:$V$2005,"&lt;"&amp;$V284,$K$6:$K$2005,"")+1)</f>
        <v/>
      </c>
      <c r="X284">
        <f>IF(Sync!$AX284="","",IF(OR(N(Sync!$AY284)=0,N(Sync!$AZ284)=0),"",ROUND(N(Sync!$AY284)*N(Sync!$AZ284),0)))</f>
        <v/>
      </c>
      <c r="Y284">
        <f>IF($X284="","",IF(OR(Sync!$AX284="",COUNTIF(AcctCodesA,Sync!$AX284)=0),"متفرقه",Sync!$AX284))</f>
        <v/>
      </c>
      <c r="Z284">
        <f>IF($X284="","","سبد و ظروف")</f>
        <v/>
      </c>
      <c r="AA284">
        <f>IF($X284="","",$Y284)</f>
        <v/>
      </c>
    </row>
    <row r="285">
      <c r="A285">
        <f>IF(Sync!$Z285="","",LEFT(UPPER(TRIM(Sync!$Z285)),6))</f>
        <v/>
      </c>
      <c r="B285">
        <f>IF($A285="","",IF(Sync!$AA285="","",Sync!$AA285))</f>
        <v/>
      </c>
      <c r="C285">
        <f>IF($A285="","",IF(Sync!$AB285="","",Sync!$AB285))</f>
        <v/>
      </c>
      <c r="D285">
        <f>IF($A285="","",IF(Sync!$AC285="","",Sync!$AC285))</f>
        <v/>
      </c>
      <c r="E285">
        <f>IF($A285="","",IF(Sync!$AD285="","",Sync!$AD285))</f>
        <v/>
      </c>
      <c r="F285">
        <f>IF($A285="","",IF(Sync!$AE285="",0,Sync!$AE285))</f>
        <v/>
      </c>
      <c r="G285">
        <f>IF($A285="","",IF(Sync!$AF285="",0,Sync!$AF285))</f>
        <v/>
      </c>
      <c r="H285">
        <f>IF(OR($A285="",ROUND($F285+$G285,2)=0),"",$F285+$G285)</f>
        <v/>
      </c>
      <c r="I285">
        <f>IF($H285="","",IF(ROUND($F285,2)&gt;0,$A285,IF($D285="شخصی قاسم","شخصی قاسم",IF($D285="هزینه","هزینه: "&amp;IF($E285="","متفرقه",$E285),IF($C285="پاس چک","چک پرداختی",IF(OR($B285="",COUNTIF(AcctCodesA,$B285)=0),"متفرقه",$B285))))))</f>
        <v/>
      </c>
      <c r="J285">
        <f>IF($H285="","",IF(ROUND($F285,2)&gt;0,IF($D285="شخصی قاسم","شخصی قاسم",IF($D285="هزینه","هزینه: "&amp;IF($E285="","متفرقه",$E285),IF(OR($B285="",COUNTIF(AcctCodesA,$B285)=0),"متفرقه",$B285))),$A285))</f>
        <v/>
      </c>
      <c r="K285">
        <f>IF($A285="","",IF(AND($B285&lt;&gt;"",COUNTIF(AcctCodesA,$B285)=0),"کد طرف در INFO تعریف نشده",IF(AND($D285="هزینه",$E285=""),"هزینه بدون زیرگروه",IF(AND($C285="پاس چک",OR(Sync!$AJ285="",COUNTIF(IssueNosA,Sync!$AJ285)=0)),"شماره چک پاس‌شده معتبر نیست",""))))</f>
        <v/>
      </c>
      <c r="M285">
        <f>IF(Sync!$AH285="","",Sync!$AH285)</f>
        <v/>
      </c>
      <c r="N285">
        <f>IF($M285="","",IF(OR(Sync!$AI285="",COUNTIF(AcctCodesA,Sync!$AI285)=0),"متفرقه",Sync!$AI285))</f>
        <v/>
      </c>
      <c r="O285">
        <f>IF($M285="","",$N285)</f>
        <v/>
      </c>
      <c r="P285">
        <f>IF($M285="","","چک پرداختی")</f>
        <v/>
      </c>
      <c r="R285">
        <f>IF($M285="","",IF(COUNTIF(AcctCodesA,Sync!$AI285)=0,"ذی‌نفع چک تعریف‌نشده",""))</f>
        <v/>
      </c>
      <c r="S285">
        <f>IF($R285="","",Sync!$AG285&amp;"|"&amp;"5"&amp;RIGHT("00000"&amp;280,5))</f>
        <v/>
      </c>
      <c r="T285">
        <f>IF($S285="",0,COUNTIFS($S$6:$S$505,"&lt;"&amp;$S285)-COUNTIFS($S$6:$S$505,"&lt;"&amp;$S285,$R$6:$R$505,"")+1)</f>
        <v/>
      </c>
      <c r="V285">
        <f>IF($K285="","",IF(ISNUMBER(Sync!$AK285),Sync!$AK285,LEFT(Sync!$AK285,4)&amp;MID(Sync!$AK285,6,2)&amp;RIGHT(Sync!$AK285,2))&amp;"|"&amp;"4"&amp;RIGHT("00000"&amp;280,5))</f>
        <v/>
      </c>
      <c r="W285">
        <f>IF($V285="",0,COUNTIFS($V$6:$V$2005,"&lt;"&amp;$V285)-COUNTIFS($V$6:$V$2005,"&lt;"&amp;$V285,$K$6:$K$2005,"")+1)</f>
        <v/>
      </c>
      <c r="X285">
        <f>IF(Sync!$AX285="","",IF(OR(N(Sync!$AY285)=0,N(Sync!$AZ285)=0),"",ROUND(N(Sync!$AY285)*N(Sync!$AZ285),0)))</f>
        <v/>
      </c>
      <c r="Y285">
        <f>IF($X285="","",IF(OR(Sync!$AX285="",COUNTIF(AcctCodesA,Sync!$AX285)=0),"متفرقه",Sync!$AX285))</f>
        <v/>
      </c>
      <c r="Z285">
        <f>IF($X285="","","سبد و ظروف")</f>
        <v/>
      </c>
      <c r="AA285">
        <f>IF($X285="","",$Y285)</f>
        <v/>
      </c>
    </row>
    <row r="286">
      <c r="A286">
        <f>IF(Sync!$Z286="","",LEFT(UPPER(TRIM(Sync!$Z286)),6))</f>
        <v/>
      </c>
      <c r="B286">
        <f>IF($A286="","",IF(Sync!$AA286="","",Sync!$AA286))</f>
        <v/>
      </c>
      <c r="C286">
        <f>IF($A286="","",IF(Sync!$AB286="","",Sync!$AB286))</f>
        <v/>
      </c>
      <c r="D286">
        <f>IF($A286="","",IF(Sync!$AC286="","",Sync!$AC286))</f>
        <v/>
      </c>
      <c r="E286">
        <f>IF($A286="","",IF(Sync!$AD286="","",Sync!$AD286))</f>
        <v/>
      </c>
      <c r="F286">
        <f>IF($A286="","",IF(Sync!$AE286="",0,Sync!$AE286))</f>
        <v/>
      </c>
      <c r="G286">
        <f>IF($A286="","",IF(Sync!$AF286="",0,Sync!$AF286))</f>
        <v/>
      </c>
      <c r="H286">
        <f>IF(OR($A286="",ROUND($F286+$G286,2)=0),"",$F286+$G286)</f>
        <v/>
      </c>
      <c r="I286">
        <f>IF($H286="","",IF(ROUND($F286,2)&gt;0,$A286,IF($D286="شخصی قاسم","شخصی قاسم",IF($D286="هزینه","هزینه: "&amp;IF($E286="","متفرقه",$E286),IF($C286="پاس چک","چک پرداختی",IF(OR($B286="",COUNTIF(AcctCodesA,$B286)=0),"متفرقه",$B286))))))</f>
        <v/>
      </c>
      <c r="J286">
        <f>IF($H286="","",IF(ROUND($F286,2)&gt;0,IF($D286="شخصی قاسم","شخصی قاسم",IF($D286="هزینه","هزینه: "&amp;IF($E286="","متفرقه",$E286),IF(OR($B286="",COUNTIF(AcctCodesA,$B286)=0),"متفرقه",$B286))),$A286))</f>
        <v/>
      </c>
      <c r="K286">
        <f>IF($A286="","",IF(AND($B286&lt;&gt;"",COUNTIF(AcctCodesA,$B286)=0),"کد طرف در INFO تعریف نشده",IF(AND($D286="هزینه",$E286=""),"هزینه بدون زیرگروه",IF(AND($C286="پاس چک",OR(Sync!$AJ286="",COUNTIF(IssueNosA,Sync!$AJ286)=0)),"شماره چک پاس‌شده معتبر نیست",""))))</f>
        <v/>
      </c>
      <c r="M286">
        <f>IF(Sync!$AH286="","",Sync!$AH286)</f>
        <v/>
      </c>
      <c r="N286">
        <f>IF($M286="","",IF(OR(Sync!$AI286="",COUNTIF(AcctCodesA,Sync!$AI286)=0),"متفرقه",Sync!$AI286))</f>
        <v/>
      </c>
      <c r="O286">
        <f>IF($M286="","",$N286)</f>
        <v/>
      </c>
      <c r="P286">
        <f>IF($M286="","","چک پرداختی")</f>
        <v/>
      </c>
      <c r="R286">
        <f>IF($M286="","",IF(COUNTIF(AcctCodesA,Sync!$AI286)=0,"ذی‌نفع چک تعریف‌نشده",""))</f>
        <v/>
      </c>
      <c r="S286">
        <f>IF($R286="","",Sync!$AG286&amp;"|"&amp;"5"&amp;RIGHT("00000"&amp;281,5))</f>
        <v/>
      </c>
      <c r="T286">
        <f>IF($S286="",0,COUNTIFS($S$6:$S$505,"&lt;"&amp;$S286)-COUNTIFS($S$6:$S$505,"&lt;"&amp;$S286,$R$6:$R$505,"")+1)</f>
        <v/>
      </c>
      <c r="V286">
        <f>IF($K286="","",IF(ISNUMBER(Sync!$AK286),Sync!$AK286,LEFT(Sync!$AK286,4)&amp;MID(Sync!$AK286,6,2)&amp;RIGHT(Sync!$AK286,2))&amp;"|"&amp;"4"&amp;RIGHT("00000"&amp;281,5))</f>
        <v/>
      </c>
      <c r="W286">
        <f>IF($V286="",0,COUNTIFS($V$6:$V$2005,"&lt;"&amp;$V286)-COUNTIFS($V$6:$V$2005,"&lt;"&amp;$V286,$K$6:$K$2005,"")+1)</f>
        <v/>
      </c>
      <c r="X286">
        <f>IF(Sync!$AX286="","",IF(OR(N(Sync!$AY286)=0,N(Sync!$AZ286)=0),"",ROUND(N(Sync!$AY286)*N(Sync!$AZ286),0)))</f>
        <v/>
      </c>
      <c r="Y286">
        <f>IF($X286="","",IF(OR(Sync!$AX286="",COUNTIF(AcctCodesA,Sync!$AX286)=0),"متفرقه",Sync!$AX286))</f>
        <v/>
      </c>
      <c r="Z286">
        <f>IF($X286="","","سبد و ظروف")</f>
        <v/>
      </c>
      <c r="AA286">
        <f>IF($X286="","",$Y286)</f>
        <v/>
      </c>
    </row>
    <row r="287">
      <c r="A287">
        <f>IF(Sync!$Z287="","",LEFT(UPPER(TRIM(Sync!$Z287)),6))</f>
        <v/>
      </c>
      <c r="B287">
        <f>IF($A287="","",IF(Sync!$AA287="","",Sync!$AA287))</f>
        <v/>
      </c>
      <c r="C287">
        <f>IF($A287="","",IF(Sync!$AB287="","",Sync!$AB287))</f>
        <v/>
      </c>
      <c r="D287">
        <f>IF($A287="","",IF(Sync!$AC287="","",Sync!$AC287))</f>
        <v/>
      </c>
      <c r="E287">
        <f>IF($A287="","",IF(Sync!$AD287="","",Sync!$AD287))</f>
        <v/>
      </c>
      <c r="F287">
        <f>IF($A287="","",IF(Sync!$AE287="",0,Sync!$AE287))</f>
        <v/>
      </c>
      <c r="G287">
        <f>IF($A287="","",IF(Sync!$AF287="",0,Sync!$AF287))</f>
        <v/>
      </c>
      <c r="H287">
        <f>IF(OR($A287="",ROUND($F287+$G287,2)=0),"",$F287+$G287)</f>
        <v/>
      </c>
      <c r="I287">
        <f>IF($H287="","",IF(ROUND($F287,2)&gt;0,$A287,IF($D287="شخصی قاسم","شخصی قاسم",IF($D287="هزینه","هزینه: "&amp;IF($E287="","متفرقه",$E287),IF($C287="پاس چک","چک پرداختی",IF(OR($B287="",COUNTIF(AcctCodesA,$B287)=0),"متفرقه",$B287))))))</f>
        <v/>
      </c>
      <c r="J287">
        <f>IF($H287="","",IF(ROUND($F287,2)&gt;0,IF($D287="شخصی قاسم","شخصی قاسم",IF($D287="هزینه","هزینه: "&amp;IF($E287="","متفرقه",$E287),IF(OR($B287="",COUNTIF(AcctCodesA,$B287)=0),"متفرقه",$B287))),$A287))</f>
        <v/>
      </c>
      <c r="K287">
        <f>IF($A287="","",IF(AND($B287&lt;&gt;"",COUNTIF(AcctCodesA,$B287)=0),"کد طرف در INFO تعریف نشده",IF(AND($D287="هزینه",$E287=""),"هزینه بدون زیرگروه",IF(AND($C287="پاس چک",OR(Sync!$AJ287="",COUNTIF(IssueNosA,Sync!$AJ287)=0)),"شماره چک پاس‌شده معتبر نیست",""))))</f>
        <v/>
      </c>
      <c r="M287">
        <f>IF(Sync!$AH287="","",Sync!$AH287)</f>
        <v/>
      </c>
      <c r="N287">
        <f>IF($M287="","",IF(OR(Sync!$AI287="",COUNTIF(AcctCodesA,Sync!$AI287)=0),"متفرقه",Sync!$AI287))</f>
        <v/>
      </c>
      <c r="O287">
        <f>IF($M287="","",$N287)</f>
        <v/>
      </c>
      <c r="P287">
        <f>IF($M287="","","چک پرداختی")</f>
        <v/>
      </c>
      <c r="R287">
        <f>IF($M287="","",IF(COUNTIF(AcctCodesA,Sync!$AI287)=0,"ذی‌نفع چک تعریف‌نشده",""))</f>
        <v/>
      </c>
      <c r="S287">
        <f>IF($R287="","",Sync!$AG287&amp;"|"&amp;"5"&amp;RIGHT("00000"&amp;282,5))</f>
        <v/>
      </c>
      <c r="T287">
        <f>IF($S287="",0,COUNTIFS($S$6:$S$505,"&lt;"&amp;$S287)-COUNTIFS($S$6:$S$505,"&lt;"&amp;$S287,$R$6:$R$505,"")+1)</f>
        <v/>
      </c>
      <c r="V287">
        <f>IF($K287="","",IF(ISNUMBER(Sync!$AK287),Sync!$AK287,LEFT(Sync!$AK287,4)&amp;MID(Sync!$AK287,6,2)&amp;RIGHT(Sync!$AK287,2))&amp;"|"&amp;"4"&amp;RIGHT("00000"&amp;282,5))</f>
        <v/>
      </c>
      <c r="W287">
        <f>IF($V287="",0,COUNTIFS($V$6:$V$2005,"&lt;"&amp;$V287)-COUNTIFS($V$6:$V$2005,"&lt;"&amp;$V287,$K$6:$K$2005,"")+1)</f>
        <v/>
      </c>
      <c r="X287">
        <f>IF(Sync!$AX287="","",IF(OR(N(Sync!$AY287)=0,N(Sync!$AZ287)=0),"",ROUND(N(Sync!$AY287)*N(Sync!$AZ287),0)))</f>
        <v/>
      </c>
      <c r="Y287">
        <f>IF($X287="","",IF(OR(Sync!$AX287="",COUNTIF(AcctCodesA,Sync!$AX287)=0),"متفرقه",Sync!$AX287))</f>
        <v/>
      </c>
      <c r="Z287">
        <f>IF($X287="","","سبد و ظروف")</f>
        <v/>
      </c>
      <c r="AA287">
        <f>IF($X287="","",$Y287)</f>
        <v/>
      </c>
    </row>
    <row r="288">
      <c r="A288">
        <f>IF(Sync!$Z288="","",LEFT(UPPER(TRIM(Sync!$Z288)),6))</f>
        <v/>
      </c>
      <c r="B288">
        <f>IF($A288="","",IF(Sync!$AA288="","",Sync!$AA288))</f>
        <v/>
      </c>
      <c r="C288">
        <f>IF($A288="","",IF(Sync!$AB288="","",Sync!$AB288))</f>
        <v/>
      </c>
      <c r="D288">
        <f>IF($A288="","",IF(Sync!$AC288="","",Sync!$AC288))</f>
        <v/>
      </c>
      <c r="E288">
        <f>IF($A288="","",IF(Sync!$AD288="","",Sync!$AD288))</f>
        <v/>
      </c>
      <c r="F288">
        <f>IF($A288="","",IF(Sync!$AE288="",0,Sync!$AE288))</f>
        <v/>
      </c>
      <c r="G288">
        <f>IF($A288="","",IF(Sync!$AF288="",0,Sync!$AF288))</f>
        <v/>
      </c>
      <c r="H288">
        <f>IF(OR($A288="",ROUND($F288+$G288,2)=0),"",$F288+$G288)</f>
        <v/>
      </c>
      <c r="I288">
        <f>IF($H288="","",IF(ROUND($F288,2)&gt;0,$A288,IF($D288="شخصی قاسم","شخصی قاسم",IF($D288="هزینه","هزینه: "&amp;IF($E288="","متفرقه",$E288),IF($C288="پاس چک","چک پرداختی",IF(OR($B288="",COUNTIF(AcctCodesA,$B288)=0),"متفرقه",$B288))))))</f>
        <v/>
      </c>
      <c r="J288">
        <f>IF($H288="","",IF(ROUND($F288,2)&gt;0,IF($D288="شخصی قاسم","شخصی قاسم",IF($D288="هزینه","هزینه: "&amp;IF($E288="","متفرقه",$E288),IF(OR($B288="",COUNTIF(AcctCodesA,$B288)=0),"متفرقه",$B288))),$A288))</f>
        <v/>
      </c>
      <c r="K288">
        <f>IF($A288="","",IF(AND($B288&lt;&gt;"",COUNTIF(AcctCodesA,$B288)=0),"کد طرف در INFO تعریف نشده",IF(AND($D288="هزینه",$E288=""),"هزینه بدون زیرگروه",IF(AND($C288="پاس چک",OR(Sync!$AJ288="",COUNTIF(IssueNosA,Sync!$AJ288)=0)),"شماره چک پاس‌شده معتبر نیست",""))))</f>
        <v/>
      </c>
      <c r="M288">
        <f>IF(Sync!$AH288="","",Sync!$AH288)</f>
        <v/>
      </c>
      <c r="N288">
        <f>IF($M288="","",IF(OR(Sync!$AI288="",COUNTIF(AcctCodesA,Sync!$AI288)=0),"متفرقه",Sync!$AI288))</f>
        <v/>
      </c>
      <c r="O288">
        <f>IF($M288="","",$N288)</f>
        <v/>
      </c>
      <c r="P288">
        <f>IF($M288="","","چک پرداختی")</f>
        <v/>
      </c>
      <c r="R288">
        <f>IF($M288="","",IF(COUNTIF(AcctCodesA,Sync!$AI288)=0,"ذی‌نفع چک تعریف‌نشده",""))</f>
        <v/>
      </c>
      <c r="S288">
        <f>IF($R288="","",Sync!$AG288&amp;"|"&amp;"5"&amp;RIGHT("00000"&amp;283,5))</f>
        <v/>
      </c>
      <c r="T288">
        <f>IF($S288="",0,COUNTIFS($S$6:$S$505,"&lt;"&amp;$S288)-COUNTIFS($S$6:$S$505,"&lt;"&amp;$S288,$R$6:$R$505,"")+1)</f>
        <v/>
      </c>
      <c r="V288">
        <f>IF($K288="","",IF(ISNUMBER(Sync!$AK288),Sync!$AK288,LEFT(Sync!$AK288,4)&amp;MID(Sync!$AK288,6,2)&amp;RIGHT(Sync!$AK288,2))&amp;"|"&amp;"4"&amp;RIGHT("00000"&amp;283,5))</f>
        <v/>
      </c>
      <c r="W288">
        <f>IF($V288="",0,COUNTIFS($V$6:$V$2005,"&lt;"&amp;$V288)-COUNTIFS($V$6:$V$2005,"&lt;"&amp;$V288,$K$6:$K$2005,"")+1)</f>
        <v/>
      </c>
      <c r="X288">
        <f>IF(Sync!$AX288="","",IF(OR(N(Sync!$AY288)=0,N(Sync!$AZ288)=0),"",ROUND(N(Sync!$AY288)*N(Sync!$AZ288),0)))</f>
        <v/>
      </c>
      <c r="Y288">
        <f>IF($X288="","",IF(OR(Sync!$AX288="",COUNTIF(AcctCodesA,Sync!$AX288)=0),"متفرقه",Sync!$AX288))</f>
        <v/>
      </c>
      <c r="Z288">
        <f>IF($X288="","","سبد و ظروف")</f>
        <v/>
      </c>
      <c r="AA288">
        <f>IF($X288="","",$Y288)</f>
        <v/>
      </c>
    </row>
    <row r="289">
      <c r="A289">
        <f>IF(Sync!$Z289="","",LEFT(UPPER(TRIM(Sync!$Z289)),6))</f>
        <v/>
      </c>
      <c r="B289">
        <f>IF($A289="","",IF(Sync!$AA289="","",Sync!$AA289))</f>
        <v/>
      </c>
      <c r="C289">
        <f>IF($A289="","",IF(Sync!$AB289="","",Sync!$AB289))</f>
        <v/>
      </c>
      <c r="D289">
        <f>IF($A289="","",IF(Sync!$AC289="","",Sync!$AC289))</f>
        <v/>
      </c>
      <c r="E289">
        <f>IF($A289="","",IF(Sync!$AD289="","",Sync!$AD289))</f>
        <v/>
      </c>
      <c r="F289">
        <f>IF($A289="","",IF(Sync!$AE289="",0,Sync!$AE289))</f>
        <v/>
      </c>
      <c r="G289">
        <f>IF($A289="","",IF(Sync!$AF289="",0,Sync!$AF289))</f>
        <v/>
      </c>
      <c r="H289">
        <f>IF(OR($A289="",ROUND($F289+$G289,2)=0),"",$F289+$G289)</f>
        <v/>
      </c>
      <c r="I289">
        <f>IF($H289="","",IF(ROUND($F289,2)&gt;0,$A289,IF($D289="شخصی قاسم","شخصی قاسم",IF($D289="هزینه","هزینه: "&amp;IF($E289="","متفرقه",$E289),IF($C289="پاس چک","چک پرداختی",IF(OR($B289="",COUNTIF(AcctCodesA,$B289)=0),"متفرقه",$B289))))))</f>
        <v/>
      </c>
      <c r="J289">
        <f>IF($H289="","",IF(ROUND($F289,2)&gt;0,IF($D289="شخصی قاسم","شخصی قاسم",IF($D289="هزینه","هزینه: "&amp;IF($E289="","متفرقه",$E289),IF(OR($B289="",COUNTIF(AcctCodesA,$B289)=0),"متفرقه",$B289))),$A289))</f>
        <v/>
      </c>
      <c r="K289">
        <f>IF($A289="","",IF(AND($B289&lt;&gt;"",COUNTIF(AcctCodesA,$B289)=0),"کد طرف در INFO تعریف نشده",IF(AND($D289="هزینه",$E289=""),"هزینه بدون زیرگروه",IF(AND($C289="پاس چک",OR(Sync!$AJ289="",COUNTIF(IssueNosA,Sync!$AJ289)=0)),"شماره چک پاس‌شده معتبر نیست",""))))</f>
        <v/>
      </c>
      <c r="M289">
        <f>IF(Sync!$AH289="","",Sync!$AH289)</f>
        <v/>
      </c>
      <c r="N289">
        <f>IF($M289="","",IF(OR(Sync!$AI289="",COUNTIF(AcctCodesA,Sync!$AI289)=0),"متفرقه",Sync!$AI289))</f>
        <v/>
      </c>
      <c r="O289">
        <f>IF($M289="","",$N289)</f>
        <v/>
      </c>
      <c r="P289">
        <f>IF($M289="","","چک پرداختی")</f>
        <v/>
      </c>
      <c r="R289">
        <f>IF($M289="","",IF(COUNTIF(AcctCodesA,Sync!$AI289)=0,"ذی‌نفع چک تعریف‌نشده",""))</f>
        <v/>
      </c>
      <c r="S289">
        <f>IF($R289="","",Sync!$AG289&amp;"|"&amp;"5"&amp;RIGHT("00000"&amp;284,5))</f>
        <v/>
      </c>
      <c r="T289">
        <f>IF($S289="",0,COUNTIFS($S$6:$S$505,"&lt;"&amp;$S289)-COUNTIFS($S$6:$S$505,"&lt;"&amp;$S289,$R$6:$R$505,"")+1)</f>
        <v/>
      </c>
      <c r="V289">
        <f>IF($K289="","",IF(ISNUMBER(Sync!$AK289),Sync!$AK289,LEFT(Sync!$AK289,4)&amp;MID(Sync!$AK289,6,2)&amp;RIGHT(Sync!$AK289,2))&amp;"|"&amp;"4"&amp;RIGHT("00000"&amp;284,5))</f>
        <v/>
      </c>
      <c r="W289">
        <f>IF($V289="",0,COUNTIFS($V$6:$V$2005,"&lt;"&amp;$V289)-COUNTIFS($V$6:$V$2005,"&lt;"&amp;$V289,$K$6:$K$2005,"")+1)</f>
        <v/>
      </c>
      <c r="X289">
        <f>IF(Sync!$AX289="","",IF(OR(N(Sync!$AY289)=0,N(Sync!$AZ289)=0),"",ROUND(N(Sync!$AY289)*N(Sync!$AZ289),0)))</f>
        <v/>
      </c>
      <c r="Y289">
        <f>IF($X289="","",IF(OR(Sync!$AX289="",COUNTIF(AcctCodesA,Sync!$AX289)=0),"متفرقه",Sync!$AX289))</f>
        <v/>
      </c>
      <c r="Z289">
        <f>IF($X289="","","سبد و ظروف")</f>
        <v/>
      </c>
      <c r="AA289">
        <f>IF($X289="","",$Y289)</f>
        <v/>
      </c>
    </row>
    <row r="290">
      <c r="A290">
        <f>IF(Sync!$Z290="","",LEFT(UPPER(TRIM(Sync!$Z290)),6))</f>
        <v/>
      </c>
      <c r="B290">
        <f>IF($A290="","",IF(Sync!$AA290="","",Sync!$AA290))</f>
        <v/>
      </c>
      <c r="C290">
        <f>IF($A290="","",IF(Sync!$AB290="","",Sync!$AB290))</f>
        <v/>
      </c>
      <c r="D290">
        <f>IF($A290="","",IF(Sync!$AC290="","",Sync!$AC290))</f>
        <v/>
      </c>
      <c r="E290">
        <f>IF($A290="","",IF(Sync!$AD290="","",Sync!$AD290))</f>
        <v/>
      </c>
      <c r="F290">
        <f>IF($A290="","",IF(Sync!$AE290="",0,Sync!$AE290))</f>
        <v/>
      </c>
      <c r="G290">
        <f>IF($A290="","",IF(Sync!$AF290="",0,Sync!$AF290))</f>
        <v/>
      </c>
      <c r="H290">
        <f>IF(OR($A290="",ROUND($F290+$G290,2)=0),"",$F290+$G290)</f>
        <v/>
      </c>
      <c r="I290">
        <f>IF($H290="","",IF(ROUND($F290,2)&gt;0,$A290,IF($D290="شخصی قاسم","شخصی قاسم",IF($D290="هزینه","هزینه: "&amp;IF($E290="","متفرقه",$E290),IF($C290="پاس چک","چک پرداختی",IF(OR($B290="",COUNTIF(AcctCodesA,$B290)=0),"متفرقه",$B290))))))</f>
        <v/>
      </c>
      <c r="J290">
        <f>IF($H290="","",IF(ROUND($F290,2)&gt;0,IF($D290="شخصی قاسم","شخصی قاسم",IF($D290="هزینه","هزینه: "&amp;IF($E290="","متفرقه",$E290),IF(OR($B290="",COUNTIF(AcctCodesA,$B290)=0),"متفرقه",$B290))),$A290))</f>
        <v/>
      </c>
      <c r="K290">
        <f>IF($A290="","",IF(AND($B290&lt;&gt;"",COUNTIF(AcctCodesA,$B290)=0),"کد طرف در INFO تعریف نشده",IF(AND($D290="هزینه",$E290=""),"هزینه بدون زیرگروه",IF(AND($C290="پاس چک",OR(Sync!$AJ290="",COUNTIF(IssueNosA,Sync!$AJ290)=0)),"شماره چک پاس‌شده معتبر نیست",""))))</f>
        <v/>
      </c>
      <c r="M290">
        <f>IF(Sync!$AH290="","",Sync!$AH290)</f>
        <v/>
      </c>
      <c r="N290">
        <f>IF($M290="","",IF(OR(Sync!$AI290="",COUNTIF(AcctCodesA,Sync!$AI290)=0),"متفرقه",Sync!$AI290))</f>
        <v/>
      </c>
      <c r="O290">
        <f>IF($M290="","",$N290)</f>
        <v/>
      </c>
      <c r="P290">
        <f>IF($M290="","","چک پرداختی")</f>
        <v/>
      </c>
      <c r="R290">
        <f>IF($M290="","",IF(COUNTIF(AcctCodesA,Sync!$AI290)=0,"ذی‌نفع چک تعریف‌نشده",""))</f>
        <v/>
      </c>
      <c r="S290">
        <f>IF($R290="","",Sync!$AG290&amp;"|"&amp;"5"&amp;RIGHT("00000"&amp;285,5))</f>
        <v/>
      </c>
      <c r="T290">
        <f>IF($S290="",0,COUNTIFS($S$6:$S$505,"&lt;"&amp;$S290)-COUNTIFS($S$6:$S$505,"&lt;"&amp;$S290,$R$6:$R$505,"")+1)</f>
        <v/>
      </c>
      <c r="V290">
        <f>IF($K290="","",IF(ISNUMBER(Sync!$AK290),Sync!$AK290,LEFT(Sync!$AK290,4)&amp;MID(Sync!$AK290,6,2)&amp;RIGHT(Sync!$AK290,2))&amp;"|"&amp;"4"&amp;RIGHT("00000"&amp;285,5))</f>
        <v/>
      </c>
      <c r="W290">
        <f>IF($V290="",0,COUNTIFS($V$6:$V$2005,"&lt;"&amp;$V290)-COUNTIFS($V$6:$V$2005,"&lt;"&amp;$V290,$K$6:$K$2005,"")+1)</f>
        <v/>
      </c>
      <c r="X290">
        <f>IF(Sync!$AX290="","",IF(OR(N(Sync!$AY290)=0,N(Sync!$AZ290)=0),"",ROUND(N(Sync!$AY290)*N(Sync!$AZ290),0)))</f>
        <v/>
      </c>
      <c r="Y290">
        <f>IF($X290="","",IF(OR(Sync!$AX290="",COUNTIF(AcctCodesA,Sync!$AX290)=0),"متفرقه",Sync!$AX290))</f>
        <v/>
      </c>
      <c r="Z290">
        <f>IF($X290="","","سبد و ظروف")</f>
        <v/>
      </c>
      <c r="AA290">
        <f>IF($X290="","",$Y290)</f>
        <v/>
      </c>
    </row>
    <row r="291">
      <c r="A291">
        <f>IF(Sync!$Z291="","",LEFT(UPPER(TRIM(Sync!$Z291)),6))</f>
        <v/>
      </c>
      <c r="B291">
        <f>IF($A291="","",IF(Sync!$AA291="","",Sync!$AA291))</f>
        <v/>
      </c>
      <c r="C291">
        <f>IF($A291="","",IF(Sync!$AB291="","",Sync!$AB291))</f>
        <v/>
      </c>
      <c r="D291">
        <f>IF($A291="","",IF(Sync!$AC291="","",Sync!$AC291))</f>
        <v/>
      </c>
      <c r="E291">
        <f>IF($A291="","",IF(Sync!$AD291="","",Sync!$AD291))</f>
        <v/>
      </c>
      <c r="F291">
        <f>IF($A291="","",IF(Sync!$AE291="",0,Sync!$AE291))</f>
        <v/>
      </c>
      <c r="G291">
        <f>IF($A291="","",IF(Sync!$AF291="",0,Sync!$AF291))</f>
        <v/>
      </c>
      <c r="H291">
        <f>IF(OR($A291="",ROUND($F291+$G291,2)=0),"",$F291+$G291)</f>
        <v/>
      </c>
      <c r="I291">
        <f>IF($H291="","",IF(ROUND($F291,2)&gt;0,$A291,IF($D291="شخصی قاسم","شخصی قاسم",IF($D291="هزینه","هزینه: "&amp;IF($E291="","متفرقه",$E291),IF($C291="پاس چک","چک پرداختی",IF(OR($B291="",COUNTIF(AcctCodesA,$B291)=0),"متفرقه",$B291))))))</f>
        <v/>
      </c>
      <c r="J291">
        <f>IF($H291="","",IF(ROUND($F291,2)&gt;0,IF($D291="شخصی قاسم","شخصی قاسم",IF($D291="هزینه","هزینه: "&amp;IF($E291="","متفرقه",$E291),IF(OR($B291="",COUNTIF(AcctCodesA,$B291)=0),"متفرقه",$B291))),$A291))</f>
        <v/>
      </c>
      <c r="K291">
        <f>IF($A291="","",IF(AND($B291&lt;&gt;"",COUNTIF(AcctCodesA,$B291)=0),"کد طرف در INFO تعریف نشده",IF(AND($D291="هزینه",$E291=""),"هزینه بدون زیرگروه",IF(AND($C291="پاس چک",OR(Sync!$AJ291="",COUNTIF(IssueNosA,Sync!$AJ291)=0)),"شماره چک پاس‌شده معتبر نیست",""))))</f>
        <v/>
      </c>
      <c r="M291">
        <f>IF(Sync!$AH291="","",Sync!$AH291)</f>
        <v/>
      </c>
      <c r="N291">
        <f>IF($M291="","",IF(OR(Sync!$AI291="",COUNTIF(AcctCodesA,Sync!$AI291)=0),"متفرقه",Sync!$AI291))</f>
        <v/>
      </c>
      <c r="O291">
        <f>IF($M291="","",$N291)</f>
        <v/>
      </c>
      <c r="P291">
        <f>IF($M291="","","چک پرداختی")</f>
        <v/>
      </c>
      <c r="R291">
        <f>IF($M291="","",IF(COUNTIF(AcctCodesA,Sync!$AI291)=0,"ذی‌نفع چک تعریف‌نشده",""))</f>
        <v/>
      </c>
      <c r="S291">
        <f>IF($R291="","",Sync!$AG291&amp;"|"&amp;"5"&amp;RIGHT("00000"&amp;286,5))</f>
        <v/>
      </c>
      <c r="T291">
        <f>IF($S291="",0,COUNTIFS($S$6:$S$505,"&lt;"&amp;$S291)-COUNTIFS($S$6:$S$505,"&lt;"&amp;$S291,$R$6:$R$505,"")+1)</f>
        <v/>
      </c>
      <c r="V291">
        <f>IF($K291="","",IF(ISNUMBER(Sync!$AK291),Sync!$AK291,LEFT(Sync!$AK291,4)&amp;MID(Sync!$AK291,6,2)&amp;RIGHT(Sync!$AK291,2))&amp;"|"&amp;"4"&amp;RIGHT("00000"&amp;286,5))</f>
        <v/>
      </c>
      <c r="W291">
        <f>IF($V291="",0,COUNTIFS($V$6:$V$2005,"&lt;"&amp;$V291)-COUNTIFS($V$6:$V$2005,"&lt;"&amp;$V291,$K$6:$K$2005,"")+1)</f>
        <v/>
      </c>
      <c r="X291">
        <f>IF(Sync!$AX291="","",IF(OR(N(Sync!$AY291)=0,N(Sync!$AZ291)=0),"",ROUND(N(Sync!$AY291)*N(Sync!$AZ291),0)))</f>
        <v/>
      </c>
      <c r="Y291">
        <f>IF($X291="","",IF(OR(Sync!$AX291="",COUNTIF(AcctCodesA,Sync!$AX291)=0),"متفرقه",Sync!$AX291))</f>
        <v/>
      </c>
      <c r="Z291">
        <f>IF($X291="","","سبد و ظروف")</f>
        <v/>
      </c>
      <c r="AA291">
        <f>IF($X291="","",$Y291)</f>
        <v/>
      </c>
    </row>
    <row r="292">
      <c r="A292">
        <f>IF(Sync!$Z292="","",LEFT(UPPER(TRIM(Sync!$Z292)),6))</f>
        <v/>
      </c>
      <c r="B292">
        <f>IF($A292="","",IF(Sync!$AA292="","",Sync!$AA292))</f>
        <v/>
      </c>
      <c r="C292">
        <f>IF($A292="","",IF(Sync!$AB292="","",Sync!$AB292))</f>
        <v/>
      </c>
      <c r="D292">
        <f>IF($A292="","",IF(Sync!$AC292="","",Sync!$AC292))</f>
        <v/>
      </c>
      <c r="E292">
        <f>IF($A292="","",IF(Sync!$AD292="","",Sync!$AD292))</f>
        <v/>
      </c>
      <c r="F292">
        <f>IF($A292="","",IF(Sync!$AE292="",0,Sync!$AE292))</f>
        <v/>
      </c>
      <c r="G292">
        <f>IF($A292="","",IF(Sync!$AF292="",0,Sync!$AF292))</f>
        <v/>
      </c>
      <c r="H292">
        <f>IF(OR($A292="",ROUND($F292+$G292,2)=0),"",$F292+$G292)</f>
        <v/>
      </c>
      <c r="I292">
        <f>IF($H292="","",IF(ROUND($F292,2)&gt;0,$A292,IF($D292="شخصی قاسم","شخصی قاسم",IF($D292="هزینه","هزینه: "&amp;IF($E292="","متفرقه",$E292),IF($C292="پاس چک","چک پرداختی",IF(OR($B292="",COUNTIF(AcctCodesA,$B292)=0),"متفرقه",$B292))))))</f>
        <v/>
      </c>
      <c r="J292">
        <f>IF($H292="","",IF(ROUND($F292,2)&gt;0,IF($D292="شخصی قاسم","شخصی قاسم",IF($D292="هزینه","هزینه: "&amp;IF($E292="","متفرقه",$E292),IF(OR($B292="",COUNTIF(AcctCodesA,$B292)=0),"متفرقه",$B292))),$A292))</f>
        <v/>
      </c>
      <c r="K292">
        <f>IF($A292="","",IF(AND($B292&lt;&gt;"",COUNTIF(AcctCodesA,$B292)=0),"کد طرف در INFO تعریف نشده",IF(AND($D292="هزینه",$E292=""),"هزینه بدون زیرگروه",IF(AND($C292="پاس چک",OR(Sync!$AJ292="",COUNTIF(IssueNosA,Sync!$AJ292)=0)),"شماره چک پاس‌شده معتبر نیست",""))))</f>
        <v/>
      </c>
      <c r="M292">
        <f>IF(Sync!$AH292="","",Sync!$AH292)</f>
        <v/>
      </c>
      <c r="N292">
        <f>IF($M292="","",IF(OR(Sync!$AI292="",COUNTIF(AcctCodesA,Sync!$AI292)=0),"متفرقه",Sync!$AI292))</f>
        <v/>
      </c>
      <c r="O292">
        <f>IF($M292="","",$N292)</f>
        <v/>
      </c>
      <c r="P292">
        <f>IF($M292="","","چک پرداختی")</f>
        <v/>
      </c>
      <c r="R292">
        <f>IF($M292="","",IF(COUNTIF(AcctCodesA,Sync!$AI292)=0,"ذی‌نفع چک تعریف‌نشده",""))</f>
        <v/>
      </c>
      <c r="S292">
        <f>IF($R292="","",Sync!$AG292&amp;"|"&amp;"5"&amp;RIGHT("00000"&amp;287,5))</f>
        <v/>
      </c>
      <c r="T292">
        <f>IF($S292="",0,COUNTIFS($S$6:$S$505,"&lt;"&amp;$S292)-COUNTIFS($S$6:$S$505,"&lt;"&amp;$S292,$R$6:$R$505,"")+1)</f>
        <v/>
      </c>
      <c r="V292">
        <f>IF($K292="","",IF(ISNUMBER(Sync!$AK292),Sync!$AK292,LEFT(Sync!$AK292,4)&amp;MID(Sync!$AK292,6,2)&amp;RIGHT(Sync!$AK292,2))&amp;"|"&amp;"4"&amp;RIGHT("00000"&amp;287,5))</f>
        <v/>
      </c>
      <c r="W292">
        <f>IF($V292="",0,COUNTIFS($V$6:$V$2005,"&lt;"&amp;$V292)-COUNTIFS($V$6:$V$2005,"&lt;"&amp;$V292,$K$6:$K$2005,"")+1)</f>
        <v/>
      </c>
      <c r="X292">
        <f>IF(Sync!$AX292="","",IF(OR(N(Sync!$AY292)=0,N(Sync!$AZ292)=0),"",ROUND(N(Sync!$AY292)*N(Sync!$AZ292),0)))</f>
        <v/>
      </c>
      <c r="Y292">
        <f>IF($X292="","",IF(OR(Sync!$AX292="",COUNTIF(AcctCodesA,Sync!$AX292)=0),"متفرقه",Sync!$AX292))</f>
        <v/>
      </c>
      <c r="Z292">
        <f>IF($X292="","","سبد و ظروف")</f>
        <v/>
      </c>
      <c r="AA292">
        <f>IF($X292="","",$Y292)</f>
        <v/>
      </c>
    </row>
    <row r="293">
      <c r="A293">
        <f>IF(Sync!$Z293="","",LEFT(UPPER(TRIM(Sync!$Z293)),6))</f>
        <v/>
      </c>
      <c r="B293">
        <f>IF($A293="","",IF(Sync!$AA293="","",Sync!$AA293))</f>
        <v/>
      </c>
      <c r="C293">
        <f>IF($A293="","",IF(Sync!$AB293="","",Sync!$AB293))</f>
        <v/>
      </c>
      <c r="D293">
        <f>IF($A293="","",IF(Sync!$AC293="","",Sync!$AC293))</f>
        <v/>
      </c>
      <c r="E293">
        <f>IF($A293="","",IF(Sync!$AD293="","",Sync!$AD293))</f>
        <v/>
      </c>
      <c r="F293">
        <f>IF($A293="","",IF(Sync!$AE293="",0,Sync!$AE293))</f>
        <v/>
      </c>
      <c r="G293">
        <f>IF($A293="","",IF(Sync!$AF293="",0,Sync!$AF293))</f>
        <v/>
      </c>
      <c r="H293">
        <f>IF(OR($A293="",ROUND($F293+$G293,2)=0),"",$F293+$G293)</f>
        <v/>
      </c>
      <c r="I293">
        <f>IF($H293="","",IF(ROUND($F293,2)&gt;0,$A293,IF($D293="شخصی قاسم","شخصی قاسم",IF($D293="هزینه","هزینه: "&amp;IF($E293="","متفرقه",$E293),IF($C293="پاس چک","چک پرداختی",IF(OR($B293="",COUNTIF(AcctCodesA,$B293)=0),"متفرقه",$B293))))))</f>
        <v/>
      </c>
      <c r="J293">
        <f>IF($H293="","",IF(ROUND($F293,2)&gt;0,IF($D293="شخصی قاسم","شخصی قاسم",IF($D293="هزینه","هزینه: "&amp;IF($E293="","متفرقه",$E293),IF(OR($B293="",COUNTIF(AcctCodesA,$B293)=0),"متفرقه",$B293))),$A293))</f>
        <v/>
      </c>
      <c r="K293">
        <f>IF($A293="","",IF(AND($B293&lt;&gt;"",COUNTIF(AcctCodesA,$B293)=0),"کد طرف در INFO تعریف نشده",IF(AND($D293="هزینه",$E293=""),"هزینه بدون زیرگروه",IF(AND($C293="پاس چک",OR(Sync!$AJ293="",COUNTIF(IssueNosA,Sync!$AJ293)=0)),"شماره چک پاس‌شده معتبر نیست",""))))</f>
        <v/>
      </c>
      <c r="M293">
        <f>IF(Sync!$AH293="","",Sync!$AH293)</f>
        <v/>
      </c>
      <c r="N293">
        <f>IF($M293="","",IF(OR(Sync!$AI293="",COUNTIF(AcctCodesA,Sync!$AI293)=0),"متفرقه",Sync!$AI293))</f>
        <v/>
      </c>
      <c r="O293">
        <f>IF($M293="","",$N293)</f>
        <v/>
      </c>
      <c r="P293">
        <f>IF($M293="","","چک پرداختی")</f>
        <v/>
      </c>
      <c r="R293">
        <f>IF($M293="","",IF(COUNTIF(AcctCodesA,Sync!$AI293)=0,"ذی‌نفع چک تعریف‌نشده",""))</f>
        <v/>
      </c>
      <c r="S293">
        <f>IF($R293="","",Sync!$AG293&amp;"|"&amp;"5"&amp;RIGHT("00000"&amp;288,5))</f>
        <v/>
      </c>
      <c r="T293">
        <f>IF($S293="",0,COUNTIFS($S$6:$S$505,"&lt;"&amp;$S293)-COUNTIFS($S$6:$S$505,"&lt;"&amp;$S293,$R$6:$R$505,"")+1)</f>
        <v/>
      </c>
      <c r="V293">
        <f>IF($K293="","",IF(ISNUMBER(Sync!$AK293),Sync!$AK293,LEFT(Sync!$AK293,4)&amp;MID(Sync!$AK293,6,2)&amp;RIGHT(Sync!$AK293,2))&amp;"|"&amp;"4"&amp;RIGHT("00000"&amp;288,5))</f>
        <v/>
      </c>
      <c r="W293">
        <f>IF($V293="",0,COUNTIFS($V$6:$V$2005,"&lt;"&amp;$V293)-COUNTIFS($V$6:$V$2005,"&lt;"&amp;$V293,$K$6:$K$2005,"")+1)</f>
        <v/>
      </c>
      <c r="X293">
        <f>IF(Sync!$AX293="","",IF(OR(N(Sync!$AY293)=0,N(Sync!$AZ293)=0),"",ROUND(N(Sync!$AY293)*N(Sync!$AZ293),0)))</f>
        <v/>
      </c>
      <c r="Y293">
        <f>IF($X293="","",IF(OR(Sync!$AX293="",COUNTIF(AcctCodesA,Sync!$AX293)=0),"متفرقه",Sync!$AX293))</f>
        <v/>
      </c>
      <c r="Z293">
        <f>IF($X293="","","سبد و ظروف")</f>
        <v/>
      </c>
      <c r="AA293">
        <f>IF($X293="","",$Y293)</f>
        <v/>
      </c>
    </row>
    <row r="294">
      <c r="A294">
        <f>IF(Sync!$Z294="","",LEFT(UPPER(TRIM(Sync!$Z294)),6))</f>
        <v/>
      </c>
      <c r="B294">
        <f>IF($A294="","",IF(Sync!$AA294="","",Sync!$AA294))</f>
        <v/>
      </c>
      <c r="C294">
        <f>IF($A294="","",IF(Sync!$AB294="","",Sync!$AB294))</f>
        <v/>
      </c>
      <c r="D294">
        <f>IF($A294="","",IF(Sync!$AC294="","",Sync!$AC294))</f>
        <v/>
      </c>
      <c r="E294">
        <f>IF($A294="","",IF(Sync!$AD294="","",Sync!$AD294))</f>
        <v/>
      </c>
      <c r="F294">
        <f>IF($A294="","",IF(Sync!$AE294="",0,Sync!$AE294))</f>
        <v/>
      </c>
      <c r="G294">
        <f>IF($A294="","",IF(Sync!$AF294="",0,Sync!$AF294))</f>
        <v/>
      </c>
      <c r="H294">
        <f>IF(OR($A294="",ROUND($F294+$G294,2)=0),"",$F294+$G294)</f>
        <v/>
      </c>
      <c r="I294">
        <f>IF($H294="","",IF(ROUND($F294,2)&gt;0,$A294,IF($D294="شخصی قاسم","شخصی قاسم",IF($D294="هزینه","هزینه: "&amp;IF($E294="","متفرقه",$E294),IF($C294="پاس چک","چک پرداختی",IF(OR($B294="",COUNTIF(AcctCodesA,$B294)=0),"متفرقه",$B294))))))</f>
        <v/>
      </c>
      <c r="J294">
        <f>IF($H294="","",IF(ROUND($F294,2)&gt;0,IF($D294="شخصی قاسم","شخصی قاسم",IF($D294="هزینه","هزینه: "&amp;IF($E294="","متفرقه",$E294),IF(OR($B294="",COUNTIF(AcctCodesA,$B294)=0),"متفرقه",$B294))),$A294))</f>
        <v/>
      </c>
      <c r="K294">
        <f>IF($A294="","",IF(AND($B294&lt;&gt;"",COUNTIF(AcctCodesA,$B294)=0),"کد طرف در INFO تعریف نشده",IF(AND($D294="هزینه",$E294=""),"هزینه بدون زیرگروه",IF(AND($C294="پاس چک",OR(Sync!$AJ294="",COUNTIF(IssueNosA,Sync!$AJ294)=0)),"شماره چک پاس‌شده معتبر نیست",""))))</f>
        <v/>
      </c>
      <c r="M294">
        <f>IF(Sync!$AH294="","",Sync!$AH294)</f>
        <v/>
      </c>
      <c r="N294">
        <f>IF($M294="","",IF(OR(Sync!$AI294="",COUNTIF(AcctCodesA,Sync!$AI294)=0),"متفرقه",Sync!$AI294))</f>
        <v/>
      </c>
      <c r="O294">
        <f>IF($M294="","",$N294)</f>
        <v/>
      </c>
      <c r="P294">
        <f>IF($M294="","","چک پرداختی")</f>
        <v/>
      </c>
      <c r="R294">
        <f>IF($M294="","",IF(COUNTIF(AcctCodesA,Sync!$AI294)=0,"ذی‌نفع چک تعریف‌نشده",""))</f>
        <v/>
      </c>
      <c r="S294">
        <f>IF($R294="","",Sync!$AG294&amp;"|"&amp;"5"&amp;RIGHT("00000"&amp;289,5))</f>
        <v/>
      </c>
      <c r="T294">
        <f>IF($S294="",0,COUNTIFS($S$6:$S$505,"&lt;"&amp;$S294)-COUNTIFS($S$6:$S$505,"&lt;"&amp;$S294,$R$6:$R$505,"")+1)</f>
        <v/>
      </c>
      <c r="V294">
        <f>IF($K294="","",IF(ISNUMBER(Sync!$AK294),Sync!$AK294,LEFT(Sync!$AK294,4)&amp;MID(Sync!$AK294,6,2)&amp;RIGHT(Sync!$AK294,2))&amp;"|"&amp;"4"&amp;RIGHT("00000"&amp;289,5))</f>
        <v/>
      </c>
      <c r="W294">
        <f>IF($V294="",0,COUNTIFS($V$6:$V$2005,"&lt;"&amp;$V294)-COUNTIFS($V$6:$V$2005,"&lt;"&amp;$V294,$K$6:$K$2005,"")+1)</f>
        <v/>
      </c>
      <c r="X294">
        <f>IF(Sync!$AX294="","",IF(OR(N(Sync!$AY294)=0,N(Sync!$AZ294)=0),"",ROUND(N(Sync!$AY294)*N(Sync!$AZ294),0)))</f>
        <v/>
      </c>
      <c r="Y294">
        <f>IF($X294="","",IF(OR(Sync!$AX294="",COUNTIF(AcctCodesA,Sync!$AX294)=0),"متفرقه",Sync!$AX294))</f>
        <v/>
      </c>
      <c r="Z294">
        <f>IF($X294="","","سبد و ظروف")</f>
        <v/>
      </c>
      <c r="AA294">
        <f>IF($X294="","",$Y294)</f>
        <v/>
      </c>
    </row>
    <row r="295">
      <c r="A295">
        <f>IF(Sync!$Z295="","",LEFT(UPPER(TRIM(Sync!$Z295)),6))</f>
        <v/>
      </c>
      <c r="B295">
        <f>IF($A295="","",IF(Sync!$AA295="","",Sync!$AA295))</f>
        <v/>
      </c>
      <c r="C295">
        <f>IF($A295="","",IF(Sync!$AB295="","",Sync!$AB295))</f>
        <v/>
      </c>
      <c r="D295">
        <f>IF($A295="","",IF(Sync!$AC295="","",Sync!$AC295))</f>
        <v/>
      </c>
      <c r="E295">
        <f>IF($A295="","",IF(Sync!$AD295="","",Sync!$AD295))</f>
        <v/>
      </c>
      <c r="F295">
        <f>IF($A295="","",IF(Sync!$AE295="",0,Sync!$AE295))</f>
        <v/>
      </c>
      <c r="G295">
        <f>IF($A295="","",IF(Sync!$AF295="",0,Sync!$AF295))</f>
        <v/>
      </c>
      <c r="H295">
        <f>IF(OR($A295="",ROUND($F295+$G295,2)=0),"",$F295+$G295)</f>
        <v/>
      </c>
      <c r="I295">
        <f>IF($H295="","",IF(ROUND($F295,2)&gt;0,$A295,IF($D295="شخصی قاسم","شخصی قاسم",IF($D295="هزینه","هزینه: "&amp;IF($E295="","متفرقه",$E295),IF($C295="پاس چک","چک پرداختی",IF(OR($B295="",COUNTIF(AcctCodesA,$B295)=0),"متفرقه",$B295))))))</f>
        <v/>
      </c>
      <c r="J295">
        <f>IF($H295="","",IF(ROUND($F295,2)&gt;0,IF($D295="شخصی قاسم","شخصی قاسم",IF($D295="هزینه","هزینه: "&amp;IF($E295="","متفرقه",$E295),IF(OR($B295="",COUNTIF(AcctCodesA,$B295)=0),"متفرقه",$B295))),$A295))</f>
        <v/>
      </c>
      <c r="K295">
        <f>IF($A295="","",IF(AND($B295&lt;&gt;"",COUNTIF(AcctCodesA,$B295)=0),"کد طرف در INFO تعریف نشده",IF(AND($D295="هزینه",$E295=""),"هزینه بدون زیرگروه",IF(AND($C295="پاس چک",OR(Sync!$AJ295="",COUNTIF(IssueNosA,Sync!$AJ295)=0)),"شماره چک پاس‌شده معتبر نیست",""))))</f>
        <v/>
      </c>
      <c r="M295">
        <f>IF(Sync!$AH295="","",Sync!$AH295)</f>
        <v/>
      </c>
      <c r="N295">
        <f>IF($M295="","",IF(OR(Sync!$AI295="",COUNTIF(AcctCodesA,Sync!$AI295)=0),"متفرقه",Sync!$AI295))</f>
        <v/>
      </c>
      <c r="O295">
        <f>IF($M295="","",$N295)</f>
        <v/>
      </c>
      <c r="P295">
        <f>IF($M295="","","چک پرداختی")</f>
        <v/>
      </c>
      <c r="R295">
        <f>IF($M295="","",IF(COUNTIF(AcctCodesA,Sync!$AI295)=0,"ذی‌نفع چک تعریف‌نشده",""))</f>
        <v/>
      </c>
      <c r="S295">
        <f>IF($R295="","",Sync!$AG295&amp;"|"&amp;"5"&amp;RIGHT("00000"&amp;290,5))</f>
        <v/>
      </c>
      <c r="T295">
        <f>IF($S295="",0,COUNTIFS($S$6:$S$505,"&lt;"&amp;$S295)-COUNTIFS($S$6:$S$505,"&lt;"&amp;$S295,$R$6:$R$505,"")+1)</f>
        <v/>
      </c>
      <c r="V295">
        <f>IF($K295="","",IF(ISNUMBER(Sync!$AK295),Sync!$AK295,LEFT(Sync!$AK295,4)&amp;MID(Sync!$AK295,6,2)&amp;RIGHT(Sync!$AK295,2))&amp;"|"&amp;"4"&amp;RIGHT("00000"&amp;290,5))</f>
        <v/>
      </c>
      <c r="W295">
        <f>IF($V295="",0,COUNTIFS($V$6:$V$2005,"&lt;"&amp;$V295)-COUNTIFS($V$6:$V$2005,"&lt;"&amp;$V295,$K$6:$K$2005,"")+1)</f>
        <v/>
      </c>
      <c r="X295">
        <f>IF(Sync!$AX295="","",IF(OR(N(Sync!$AY295)=0,N(Sync!$AZ295)=0),"",ROUND(N(Sync!$AY295)*N(Sync!$AZ295),0)))</f>
        <v/>
      </c>
      <c r="Y295">
        <f>IF($X295="","",IF(OR(Sync!$AX295="",COUNTIF(AcctCodesA,Sync!$AX295)=0),"متفرقه",Sync!$AX295))</f>
        <v/>
      </c>
      <c r="Z295">
        <f>IF($X295="","","سبد و ظروف")</f>
        <v/>
      </c>
      <c r="AA295">
        <f>IF($X295="","",$Y295)</f>
        <v/>
      </c>
    </row>
    <row r="296">
      <c r="A296">
        <f>IF(Sync!$Z296="","",LEFT(UPPER(TRIM(Sync!$Z296)),6))</f>
        <v/>
      </c>
      <c r="B296">
        <f>IF($A296="","",IF(Sync!$AA296="","",Sync!$AA296))</f>
        <v/>
      </c>
      <c r="C296">
        <f>IF($A296="","",IF(Sync!$AB296="","",Sync!$AB296))</f>
        <v/>
      </c>
      <c r="D296">
        <f>IF($A296="","",IF(Sync!$AC296="","",Sync!$AC296))</f>
        <v/>
      </c>
      <c r="E296">
        <f>IF($A296="","",IF(Sync!$AD296="","",Sync!$AD296))</f>
        <v/>
      </c>
      <c r="F296">
        <f>IF($A296="","",IF(Sync!$AE296="",0,Sync!$AE296))</f>
        <v/>
      </c>
      <c r="G296">
        <f>IF($A296="","",IF(Sync!$AF296="",0,Sync!$AF296))</f>
        <v/>
      </c>
      <c r="H296">
        <f>IF(OR($A296="",ROUND($F296+$G296,2)=0),"",$F296+$G296)</f>
        <v/>
      </c>
      <c r="I296">
        <f>IF($H296="","",IF(ROUND($F296,2)&gt;0,$A296,IF($D296="شخصی قاسم","شخصی قاسم",IF($D296="هزینه","هزینه: "&amp;IF($E296="","متفرقه",$E296),IF($C296="پاس چک","چک پرداختی",IF(OR($B296="",COUNTIF(AcctCodesA,$B296)=0),"متفرقه",$B296))))))</f>
        <v/>
      </c>
      <c r="J296">
        <f>IF($H296="","",IF(ROUND($F296,2)&gt;0,IF($D296="شخصی قاسم","شخصی قاسم",IF($D296="هزینه","هزینه: "&amp;IF($E296="","متفرقه",$E296),IF(OR($B296="",COUNTIF(AcctCodesA,$B296)=0),"متفرقه",$B296))),$A296))</f>
        <v/>
      </c>
      <c r="K296">
        <f>IF($A296="","",IF(AND($B296&lt;&gt;"",COUNTIF(AcctCodesA,$B296)=0),"کد طرف در INFO تعریف نشده",IF(AND($D296="هزینه",$E296=""),"هزینه بدون زیرگروه",IF(AND($C296="پاس چک",OR(Sync!$AJ296="",COUNTIF(IssueNosA,Sync!$AJ296)=0)),"شماره چک پاس‌شده معتبر نیست",""))))</f>
        <v/>
      </c>
      <c r="M296">
        <f>IF(Sync!$AH296="","",Sync!$AH296)</f>
        <v/>
      </c>
      <c r="N296">
        <f>IF($M296="","",IF(OR(Sync!$AI296="",COUNTIF(AcctCodesA,Sync!$AI296)=0),"متفرقه",Sync!$AI296))</f>
        <v/>
      </c>
      <c r="O296">
        <f>IF($M296="","",$N296)</f>
        <v/>
      </c>
      <c r="P296">
        <f>IF($M296="","","چک پرداختی")</f>
        <v/>
      </c>
      <c r="R296">
        <f>IF($M296="","",IF(COUNTIF(AcctCodesA,Sync!$AI296)=0,"ذی‌نفع چک تعریف‌نشده",""))</f>
        <v/>
      </c>
      <c r="S296">
        <f>IF($R296="","",Sync!$AG296&amp;"|"&amp;"5"&amp;RIGHT("00000"&amp;291,5))</f>
        <v/>
      </c>
      <c r="T296">
        <f>IF($S296="",0,COUNTIFS($S$6:$S$505,"&lt;"&amp;$S296)-COUNTIFS($S$6:$S$505,"&lt;"&amp;$S296,$R$6:$R$505,"")+1)</f>
        <v/>
      </c>
      <c r="V296">
        <f>IF($K296="","",IF(ISNUMBER(Sync!$AK296),Sync!$AK296,LEFT(Sync!$AK296,4)&amp;MID(Sync!$AK296,6,2)&amp;RIGHT(Sync!$AK296,2))&amp;"|"&amp;"4"&amp;RIGHT("00000"&amp;291,5))</f>
        <v/>
      </c>
      <c r="W296">
        <f>IF($V296="",0,COUNTIFS($V$6:$V$2005,"&lt;"&amp;$V296)-COUNTIFS($V$6:$V$2005,"&lt;"&amp;$V296,$K$6:$K$2005,"")+1)</f>
        <v/>
      </c>
      <c r="X296">
        <f>IF(Sync!$AX296="","",IF(OR(N(Sync!$AY296)=0,N(Sync!$AZ296)=0),"",ROUND(N(Sync!$AY296)*N(Sync!$AZ296),0)))</f>
        <v/>
      </c>
      <c r="Y296">
        <f>IF($X296="","",IF(OR(Sync!$AX296="",COUNTIF(AcctCodesA,Sync!$AX296)=0),"متفرقه",Sync!$AX296))</f>
        <v/>
      </c>
      <c r="Z296">
        <f>IF($X296="","","سبد و ظروف")</f>
        <v/>
      </c>
      <c r="AA296">
        <f>IF($X296="","",$Y296)</f>
        <v/>
      </c>
    </row>
    <row r="297">
      <c r="A297">
        <f>IF(Sync!$Z297="","",LEFT(UPPER(TRIM(Sync!$Z297)),6))</f>
        <v/>
      </c>
      <c r="B297">
        <f>IF($A297="","",IF(Sync!$AA297="","",Sync!$AA297))</f>
        <v/>
      </c>
      <c r="C297">
        <f>IF($A297="","",IF(Sync!$AB297="","",Sync!$AB297))</f>
        <v/>
      </c>
      <c r="D297">
        <f>IF($A297="","",IF(Sync!$AC297="","",Sync!$AC297))</f>
        <v/>
      </c>
      <c r="E297">
        <f>IF($A297="","",IF(Sync!$AD297="","",Sync!$AD297))</f>
        <v/>
      </c>
      <c r="F297">
        <f>IF($A297="","",IF(Sync!$AE297="",0,Sync!$AE297))</f>
        <v/>
      </c>
      <c r="G297">
        <f>IF($A297="","",IF(Sync!$AF297="",0,Sync!$AF297))</f>
        <v/>
      </c>
      <c r="H297">
        <f>IF(OR($A297="",ROUND($F297+$G297,2)=0),"",$F297+$G297)</f>
        <v/>
      </c>
      <c r="I297">
        <f>IF($H297="","",IF(ROUND($F297,2)&gt;0,$A297,IF($D297="شخصی قاسم","شخصی قاسم",IF($D297="هزینه","هزینه: "&amp;IF($E297="","متفرقه",$E297),IF($C297="پاس چک","چک پرداختی",IF(OR($B297="",COUNTIF(AcctCodesA,$B297)=0),"متفرقه",$B297))))))</f>
        <v/>
      </c>
      <c r="J297">
        <f>IF($H297="","",IF(ROUND($F297,2)&gt;0,IF($D297="شخصی قاسم","شخصی قاسم",IF($D297="هزینه","هزینه: "&amp;IF($E297="","متفرقه",$E297),IF(OR($B297="",COUNTIF(AcctCodesA,$B297)=0),"متفرقه",$B297))),$A297))</f>
        <v/>
      </c>
      <c r="K297">
        <f>IF($A297="","",IF(AND($B297&lt;&gt;"",COUNTIF(AcctCodesA,$B297)=0),"کد طرف در INFO تعریف نشده",IF(AND($D297="هزینه",$E297=""),"هزینه بدون زیرگروه",IF(AND($C297="پاس چک",OR(Sync!$AJ297="",COUNTIF(IssueNosA,Sync!$AJ297)=0)),"شماره چک پاس‌شده معتبر نیست",""))))</f>
        <v/>
      </c>
      <c r="M297">
        <f>IF(Sync!$AH297="","",Sync!$AH297)</f>
        <v/>
      </c>
      <c r="N297">
        <f>IF($M297="","",IF(OR(Sync!$AI297="",COUNTIF(AcctCodesA,Sync!$AI297)=0),"متفرقه",Sync!$AI297))</f>
        <v/>
      </c>
      <c r="O297">
        <f>IF($M297="","",$N297)</f>
        <v/>
      </c>
      <c r="P297">
        <f>IF($M297="","","چک پرداختی")</f>
        <v/>
      </c>
      <c r="R297">
        <f>IF($M297="","",IF(COUNTIF(AcctCodesA,Sync!$AI297)=0,"ذی‌نفع چک تعریف‌نشده",""))</f>
        <v/>
      </c>
      <c r="S297">
        <f>IF($R297="","",Sync!$AG297&amp;"|"&amp;"5"&amp;RIGHT("00000"&amp;292,5))</f>
        <v/>
      </c>
      <c r="T297">
        <f>IF($S297="",0,COUNTIFS($S$6:$S$505,"&lt;"&amp;$S297)-COUNTIFS($S$6:$S$505,"&lt;"&amp;$S297,$R$6:$R$505,"")+1)</f>
        <v/>
      </c>
      <c r="V297">
        <f>IF($K297="","",IF(ISNUMBER(Sync!$AK297),Sync!$AK297,LEFT(Sync!$AK297,4)&amp;MID(Sync!$AK297,6,2)&amp;RIGHT(Sync!$AK297,2))&amp;"|"&amp;"4"&amp;RIGHT("00000"&amp;292,5))</f>
        <v/>
      </c>
      <c r="W297">
        <f>IF($V297="",0,COUNTIFS($V$6:$V$2005,"&lt;"&amp;$V297)-COUNTIFS($V$6:$V$2005,"&lt;"&amp;$V297,$K$6:$K$2005,"")+1)</f>
        <v/>
      </c>
      <c r="X297">
        <f>IF(Sync!$AX297="","",IF(OR(N(Sync!$AY297)=0,N(Sync!$AZ297)=0),"",ROUND(N(Sync!$AY297)*N(Sync!$AZ297),0)))</f>
        <v/>
      </c>
      <c r="Y297">
        <f>IF($X297="","",IF(OR(Sync!$AX297="",COUNTIF(AcctCodesA,Sync!$AX297)=0),"متفرقه",Sync!$AX297))</f>
        <v/>
      </c>
      <c r="Z297">
        <f>IF($X297="","","سبد و ظروف")</f>
        <v/>
      </c>
      <c r="AA297">
        <f>IF($X297="","",$Y297)</f>
        <v/>
      </c>
    </row>
    <row r="298">
      <c r="A298">
        <f>IF(Sync!$Z298="","",LEFT(UPPER(TRIM(Sync!$Z298)),6))</f>
        <v/>
      </c>
      <c r="B298">
        <f>IF($A298="","",IF(Sync!$AA298="","",Sync!$AA298))</f>
        <v/>
      </c>
      <c r="C298">
        <f>IF($A298="","",IF(Sync!$AB298="","",Sync!$AB298))</f>
        <v/>
      </c>
      <c r="D298">
        <f>IF($A298="","",IF(Sync!$AC298="","",Sync!$AC298))</f>
        <v/>
      </c>
      <c r="E298">
        <f>IF($A298="","",IF(Sync!$AD298="","",Sync!$AD298))</f>
        <v/>
      </c>
      <c r="F298">
        <f>IF($A298="","",IF(Sync!$AE298="",0,Sync!$AE298))</f>
        <v/>
      </c>
      <c r="G298">
        <f>IF($A298="","",IF(Sync!$AF298="",0,Sync!$AF298))</f>
        <v/>
      </c>
      <c r="H298">
        <f>IF(OR($A298="",ROUND($F298+$G298,2)=0),"",$F298+$G298)</f>
        <v/>
      </c>
      <c r="I298">
        <f>IF($H298="","",IF(ROUND($F298,2)&gt;0,$A298,IF($D298="شخصی قاسم","شخصی قاسم",IF($D298="هزینه","هزینه: "&amp;IF($E298="","متفرقه",$E298),IF($C298="پاس چک","چک پرداختی",IF(OR($B298="",COUNTIF(AcctCodesA,$B298)=0),"متفرقه",$B298))))))</f>
        <v/>
      </c>
      <c r="J298">
        <f>IF($H298="","",IF(ROUND($F298,2)&gt;0,IF($D298="شخصی قاسم","شخصی قاسم",IF($D298="هزینه","هزینه: "&amp;IF($E298="","متفرقه",$E298),IF(OR($B298="",COUNTIF(AcctCodesA,$B298)=0),"متفرقه",$B298))),$A298))</f>
        <v/>
      </c>
      <c r="K298">
        <f>IF($A298="","",IF(AND($B298&lt;&gt;"",COUNTIF(AcctCodesA,$B298)=0),"کد طرف در INFO تعریف نشده",IF(AND($D298="هزینه",$E298=""),"هزینه بدون زیرگروه",IF(AND($C298="پاس چک",OR(Sync!$AJ298="",COUNTIF(IssueNosA,Sync!$AJ298)=0)),"شماره چک پاس‌شده معتبر نیست",""))))</f>
        <v/>
      </c>
      <c r="M298">
        <f>IF(Sync!$AH298="","",Sync!$AH298)</f>
        <v/>
      </c>
      <c r="N298">
        <f>IF($M298="","",IF(OR(Sync!$AI298="",COUNTIF(AcctCodesA,Sync!$AI298)=0),"متفرقه",Sync!$AI298))</f>
        <v/>
      </c>
      <c r="O298">
        <f>IF($M298="","",$N298)</f>
        <v/>
      </c>
      <c r="P298">
        <f>IF($M298="","","چک پرداختی")</f>
        <v/>
      </c>
      <c r="R298">
        <f>IF($M298="","",IF(COUNTIF(AcctCodesA,Sync!$AI298)=0,"ذی‌نفع چک تعریف‌نشده",""))</f>
        <v/>
      </c>
      <c r="S298">
        <f>IF($R298="","",Sync!$AG298&amp;"|"&amp;"5"&amp;RIGHT("00000"&amp;293,5))</f>
        <v/>
      </c>
      <c r="T298">
        <f>IF($S298="",0,COUNTIFS($S$6:$S$505,"&lt;"&amp;$S298)-COUNTIFS($S$6:$S$505,"&lt;"&amp;$S298,$R$6:$R$505,"")+1)</f>
        <v/>
      </c>
      <c r="V298">
        <f>IF($K298="","",IF(ISNUMBER(Sync!$AK298),Sync!$AK298,LEFT(Sync!$AK298,4)&amp;MID(Sync!$AK298,6,2)&amp;RIGHT(Sync!$AK298,2))&amp;"|"&amp;"4"&amp;RIGHT("00000"&amp;293,5))</f>
        <v/>
      </c>
      <c r="W298">
        <f>IF($V298="",0,COUNTIFS($V$6:$V$2005,"&lt;"&amp;$V298)-COUNTIFS($V$6:$V$2005,"&lt;"&amp;$V298,$K$6:$K$2005,"")+1)</f>
        <v/>
      </c>
      <c r="X298">
        <f>IF(Sync!$AX298="","",IF(OR(N(Sync!$AY298)=0,N(Sync!$AZ298)=0),"",ROUND(N(Sync!$AY298)*N(Sync!$AZ298),0)))</f>
        <v/>
      </c>
      <c r="Y298">
        <f>IF($X298="","",IF(OR(Sync!$AX298="",COUNTIF(AcctCodesA,Sync!$AX298)=0),"متفرقه",Sync!$AX298))</f>
        <v/>
      </c>
      <c r="Z298">
        <f>IF($X298="","","سبد و ظروف")</f>
        <v/>
      </c>
      <c r="AA298">
        <f>IF($X298="","",$Y298)</f>
        <v/>
      </c>
    </row>
    <row r="299">
      <c r="A299">
        <f>IF(Sync!$Z299="","",LEFT(UPPER(TRIM(Sync!$Z299)),6))</f>
        <v/>
      </c>
      <c r="B299">
        <f>IF($A299="","",IF(Sync!$AA299="","",Sync!$AA299))</f>
        <v/>
      </c>
      <c r="C299">
        <f>IF($A299="","",IF(Sync!$AB299="","",Sync!$AB299))</f>
        <v/>
      </c>
      <c r="D299">
        <f>IF($A299="","",IF(Sync!$AC299="","",Sync!$AC299))</f>
        <v/>
      </c>
      <c r="E299">
        <f>IF($A299="","",IF(Sync!$AD299="","",Sync!$AD299))</f>
        <v/>
      </c>
      <c r="F299">
        <f>IF($A299="","",IF(Sync!$AE299="",0,Sync!$AE299))</f>
        <v/>
      </c>
      <c r="G299">
        <f>IF($A299="","",IF(Sync!$AF299="",0,Sync!$AF299))</f>
        <v/>
      </c>
      <c r="H299">
        <f>IF(OR($A299="",ROUND($F299+$G299,2)=0),"",$F299+$G299)</f>
        <v/>
      </c>
      <c r="I299">
        <f>IF($H299="","",IF(ROUND($F299,2)&gt;0,$A299,IF($D299="شخصی قاسم","شخصی قاسم",IF($D299="هزینه","هزینه: "&amp;IF($E299="","متفرقه",$E299),IF($C299="پاس چک","چک پرداختی",IF(OR($B299="",COUNTIF(AcctCodesA,$B299)=0),"متفرقه",$B299))))))</f>
        <v/>
      </c>
      <c r="J299">
        <f>IF($H299="","",IF(ROUND($F299,2)&gt;0,IF($D299="شخصی قاسم","شخصی قاسم",IF($D299="هزینه","هزینه: "&amp;IF($E299="","متفرقه",$E299),IF(OR($B299="",COUNTIF(AcctCodesA,$B299)=0),"متفرقه",$B299))),$A299))</f>
        <v/>
      </c>
      <c r="K299">
        <f>IF($A299="","",IF(AND($B299&lt;&gt;"",COUNTIF(AcctCodesA,$B299)=0),"کد طرف در INFO تعریف نشده",IF(AND($D299="هزینه",$E299=""),"هزینه بدون زیرگروه",IF(AND($C299="پاس چک",OR(Sync!$AJ299="",COUNTIF(IssueNosA,Sync!$AJ299)=0)),"شماره چک پاس‌شده معتبر نیست",""))))</f>
        <v/>
      </c>
      <c r="M299">
        <f>IF(Sync!$AH299="","",Sync!$AH299)</f>
        <v/>
      </c>
      <c r="N299">
        <f>IF($M299="","",IF(OR(Sync!$AI299="",COUNTIF(AcctCodesA,Sync!$AI299)=0),"متفرقه",Sync!$AI299))</f>
        <v/>
      </c>
      <c r="O299">
        <f>IF($M299="","",$N299)</f>
        <v/>
      </c>
      <c r="P299">
        <f>IF($M299="","","چک پرداختی")</f>
        <v/>
      </c>
      <c r="R299">
        <f>IF($M299="","",IF(COUNTIF(AcctCodesA,Sync!$AI299)=0,"ذی‌نفع چک تعریف‌نشده",""))</f>
        <v/>
      </c>
      <c r="S299">
        <f>IF($R299="","",Sync!$AG299&amp;"|"&amp;"5"&amp;RIGHT("00000"&amp;294,5))</f>
        <v/>
      </c>
      <c r="T299">
        <f>IF($S299="",0,COUNTIFS($S$6:$S$505,"&lt;"&amp;$S299)-COUNTIFS($S$6:$S$505,"&lt;"&amp;$S299,$R$6:$R$505,"")+1)</f>
        <v/>
      </c>
      <c r="V299">
        <f>IF($K299="","",IF(ISNUMBER(Sync!$AK299),Sync!$AK299,LEFT(Sync!$AK299,4)&amp;MID(Sync!$AK299,6,2)&amp;RIGHT(Sync!$AK299,2))&amp;"|"&amp;"4"&amp;RIGHT("00000"&amp;294,5))</f>
        <v/>
      </c>
      <c r="W299">
        <f>IF($V299="",0,COUNTIFS($V$6:$V$2005,"&lt;"&amp;$V299)-COUNTIFS($V$6:$V$2005,"&lt;"&amp;$V299,$K$6:$K$2005,"")+1)</f>
        <v/>
      </c>
      <c r="X299">
        <f>IF(Sync!$AX299="","",IF(OR(N(Sync!$AY299)=0,N(Sync!$AZ299)=0),"",ROUND(N(Sync!$AY299)*N(Sync!$AZ299),0)))</f>
        <v/>
      </c>
      <c r="Y299">
        <f>IF($X299="","",IF(OR(Sync!$AX299="",COUNTIF(AcctCodesA,Sync!$AX299)=0),"متفرقه",Sync!$AX299))</f>
        <v/>
      </c>
      <c r="Z299">
        <f>IF($X299="","","سبد و ظروف")</f>
        <v/>
      </c>
      <c r="AA299">
        <f>IF($X299="","",$Y299)</f>
        <v/>
      </c>
    </row>
    <row r="300">
      <c r="A300">
        <f>IF(Sync!$Z300="","",LEFT(UPPER(TRIM(Sync!$Z300)),6))</f>
        <v/>
      </c>
      <c r="B300">
        <f>IF($A300="","",IF(Sync!$AA300="","",Sync!$AA300))</f>
        <v/>
      </c>
      <c r="C300">
        <f>IF($A300="","",IF(Sync!$AB300="","",Sync!$AB300))</f>
        <v/>
      </c>
      <c r="D300">
        <f>IF($A300="","",IF(Sync!$AC300="","",Sync!$AC300))</f>
        <v/>
      </c>
      <c r="E300">
        <f>IF($A300="","",IF(Sync!$AD300="","",Sync!$AD300))</f>
        <v/>
      </c>
      <c r="F300">
        <f>IF($A300="","",IF(Sync!$AE300="",0,Sync!$AE300))</f>
        <v/>
      </c>
      <c r="G300">
        <f>IF($A300="","",IF(Sync!$AF300="",0,Sync!$AF300))</f>
        <v/>
      </c>
      <c r="H300">
        <f>IF(OR($A300="",ROUND($F300+$G300,2)=0),"",$F300+$G300)</f>
        <v/>
      </c>
      <c r="I300">
        <f>IF($H300="","",IF(ROUND($F300,2)&gt;0,$A300,IF($D300="شخصی قاسم","شخصی قاسم",IF($D300="هزینه","هزینه: "&amp;IF($E300="","متفرقه",$E300),IF($C300="پاس چک","چک پرداختی",IF(OR($B300="",COUNTIF(AcctCodesA,$B300)=0),"متفرقه",$B300))))))</f>
        <v/>
      </c>
      <c r="J300">
        <f>IF($H300="","",IF(ROUND($F300,2)&gt;0,IF($D300="شخصی قاسم","شخصی قاسم",IF($D300="هزینه","هزینه: "&amp;IF($E300="","متفرقه",$E300),IF(OR($B300="",COUNTIF(AcctCodesA,$B300)=0),"متفرقه",$B300))),$A300))</f>
        <v/>
      </c>
      <c r="K300">
        <f>IF($A300="","",IF(AND($B300&lt;&gt;"",COUNTIF(AcctCodesA,$B300)=0),"کد طرف در INFO تعریف نشده",IF(AND($D300="هزینه",$E300=""),"هزینه بدون زیرگروه",IF(AND($C300="پاس چک",OR(Sync!$AJ300="",COUNTIF(IssueNosA,Sync!$AJ300)=0)),"شماره چک پاس‌شده معتبر نیست",""))))</f>
        <v/>
      </c>
      <c r="M300">
        <f>IF(Sync!$AH300="","",Sync!$AH300)</f>
        <v/>
      </c>
      <c r="N300">
        <f>IF($M300="","",IF(OR(Sync!$AI300="",COUNTIF(AcctCodesA,Sync!$AI300)=0),"متفرقه",Sync!$AI300))</f>
        <v/>
      </c>
      <c r="O300">
        <f>IF($M300="","",$N300)</f>
        <v/>
      </c>
      <c r="P300">
        <f>IF($M300="","","چک پرداختی")</f>
        <v/>
      </c>
      <c r="R300">
        <f>IF($M300="","",IF(COUNTIF(AcctCodesA,Sync!$AI300)=0,"ذی‌نفع چک تعریف‌نشده",""))</f>
        <v/>
      </c>
      <c r="S300">
        <f>IF($R300="","",Sync!$AG300&amp;"|"&amp;"5"&amp;RIGHT("00000"&amp;295,5))</f>
        <v/>
      </c>
      <c r="T300">
        <f>IF($S300="",0,COUNTIFS($S$6:$S$505,"&lt;"&amp;$S300)-COUNTIFS($S$6:$S$505,"&lt;"&amp;$S300,$R$6:$R$505,"")+1)</f>
        <v/>
      </c>
      <c r="V300">
        <f>IF($K300="","",IF(ISNUMBER(Sync!$AK300),Sync!$AK300,LEFT(Sync!$AK300,4)&amp;MID(Sync!$AK300,6,2)&amp;RIGHT(Sync!$AK300,2))&amp;"|"&amp;"4"&amp;RIGHT("00000"&amp;295,5))</f>
        <v/>
      </c>
      <c r="W300">
        <f>IF($V300="",0,COUNTIFS($V$6:$V$2005,"&lt;"&amp;$V300)-COUNTIFS($V$6:$V$2005,"&lt;"&amp;$V300,$K$6:$K$2005,"")+1)</f>
        <v/>
      </c>
      <c r="X300">
        <f>IF(Sync!$AX300="","",IF(OR(N(Sync!$AY300)=0,N(Sync!$AZ300)=0),"",ROUND(N(Sync!$AY300)*N(Sync!$AZ300),0)))</f>
        <v/>
      </c>
      <c r="Y300">
        <f>IF($X300="","",IF(OR(Sync!$AX300="",COUNTIF(AcctCodesA,Sync!$AX300)=0),"متفرقه",Sync!$AX300))</f>
        <v/>
      </c>
      <c r="Z300">
        <f>IF($X300="","","سبد و ظروف")</f>
        <v/>
      </c>
      <c r="AA300">
        <f>IF($X300="","",$Y300)</f>
        <v/>
      </c>
    </row>
    <row r="301">
      <c r="A301">
        <f>IF(Sync!$Z301="","",LEFT(UPPER(TRIM(Sync!$Z301)),6))</f>
        <v/>
      </c>
      <c r="B301">
        <f>IF($A301="","",IF(Sync!$AA301="","",Sync!$AA301))</f>
        <v/>
      </c>
      <c r="C301">
        <f>IF($A301="","",IF(Sync!$AB301="","",Sync!$AB301))</f>
        <v/>
      </c>
      <c r="D301">
        <f>IF($A301="","",IF(Sync!$AC301="","",Sync!$AC301))</f>
        <v/>
      </c>
      <c r="E301">
        <f>IF($A301="","",IF(Sync!$AD301="","",Sync!$AD301))</f>
        <v/>
      </c>
      <c r="F301">
        <f>IF($A301="","",IF(Sync!$AE301="",0,Sync!$AE301))</f>
        <v/>
      </c>
      <c r="G301">
        <f>IF($A301="","",IF(Sync!$AF301="",0,Sync!$AF301))</f>
        <v/>
      </c>
      <c r="H301">
        <f>IF(OR($A301="",ROUND($F301+$G301,2)=0),"",$F301+$G301)</f>
        <v/>
      </c>
      <c r="I301">
        <f>IF($H301="","",IF(ROUND($F301,2)&gt;0,$A301,IF($D301="شخصی قاسم","شخصی قاسم",IF($D301="هزینه","هزینه: "&amp;IF($E301="","متفرقه",$E301),IF($C301="پاس چک","چک پرداختی",IF(OR($B301="",COUNTIF(AcctCodesA,$B301)=0),"متفرقه",$B301))))))</f>
        <v/>
      </c>
      <c r="J301">
        <f>IF($H301="","",IF(ROUND($F301,2)&gt;0,IF($D301="شخصی قاسم","شخصی قاسم",IF($D301="هزینه","هزینه: "&amp;IF($E301="","متفرقه",$E301),IF(OR($B301="",COUNTIF(AcctCodesA,$B301)=0),"متفرقه",$B301))),$A301))</f>
        <v/>
      </c>
      <c r="K301">
        <f>IF($A301="","",IF(AND($B301&lt;&gt;"",COUNTIF(AcctCodesA,$B301)=0),"کد طرف در INFO تعریف نشده",IF(AND($D301="هزینه",$E301=""),"هزینه بدون زیرگروه",IF(AND($C301="پاس چک",OR(Sync!$AJ301="",COUNTIF(IssueNosA,Sync!$AJ301)=0)),"شماره چک پاس‌شده معتبر نیست",""))))</f>
        <v/>
      </c>
      <c r="M301">
        <f>IF(Sync!$AH301="","",Sync!$AH301)</f>
        <v/>
      </c>
      <c r="N301">
        <f>IF($M301="","",IF(OR(Sync!$AI301="",COUNTIF(AcctCodesA,Sync!$AI301)=0),"متفرقه",Sync!$AI301))</f>
        <v/>
      </c>
      <c r="O301">
        <f>IF($M301="","",$N301)</f>
        <v/>
      </c>
      <c r="P301">
        <f>IF($M301="","","چک پرداختی")</f>
        <v/>
      </c>
      <c r="R301">
        <f>IF($M301="","",IF(COUNTIF(AcctCodesA,Sync!$AI301)=0,"ذی‌نفع چک تعریف‌نشده",""))</f>
        <v/>
      </c>
      <c r="S301">
        <f>IF($R301="","",Sync!$AG301&amp;"|"&amp;"5"&amp;RIGHT("00000"&amp;296,5))</f>
        <v/>
      </c>
      <c r="T301">
        <f>IF($S301="",0,COUNTIFS($S$6:$S$505,"&lt;"&amp;$S301)-COUNTIFS($S$6:$S$505,"&lt;"&amp;$S301,$R$6:$R$505,"")+1)</f>
        <v/>
      </c>
      <c r="V301">
        <f>IF($K301="","",IF(ISNUMBER(Sync!$AK301),Sync!$AK301,LEFT(Sync!$AK301,4)&amp;MID(Sync!$AK301,6,2)&amp;RIGHT(Sync!$AK301,2))&amp;"|"&amp;"4"&amp;RIGHT("00000"&amp;296,5))</f>
        <v/>
      </c>
      <c r="W301">
        <f>IF($V301="",0,COUNTIFS($V$6:$V$2005,"&lt;"&amp;$V301)-COUNTIFS($V$6:$V$2005,"&lt;"&amp;$V301,$K$6:$K$2005,"")+1)</f>
        <v/>
      </c>
      <c r="X301">
        <f>IF(Sync!$AX301="","",IF(OR(N(Sync!$AY301)=0,N(Sync!$AZ301)=0),"",ROUND(N(Sync!$AY301)*N(Sync!$AZ301),0)))</f>
        <v/>
      </c>
      <c r="Y301">
        <f>IF($X301="","",IF(OR(Sync!$AX301="",COUNTIF(AcctCodesA,Sync!$AX301)=0),"متفرقه",Sync!$AX301))</f>
        <v/>
      </c>
      <c r="Z301">
        <f>IF($X301="","","سبد و ظروف")</f>
        <v/>
      </c>
      <c r="AA301">
        <f>IF($X301="","",$Y301)</f>
        <v/>
      </c>
    </row>
    <row r="302">
      <c r="A302">
        <f>IF(Sync!$Z302="","",LEFT(UPPER(TRIM(Sync!$Z302)),6))</f>
        <v/>
      </c>
      <c r="B302">
        <f>IF($A302="","",IF(Sync!$AA302="","",Sync!$AA302))</f>
        <v/>
      </c>
      <c r="C302">
        <f>IF($A302="","",IF(Sync!$AB302="","",Sync!$AB302))</f>
        <v/>
      </c>
      <c r="D302">
        <f>IF($A302="","",IF(Sync!$AC302="","",Sync!$AC302))</f>
        <v/>
      </c>
      <c r="E302">
        <f>IF($A302="","",IF(Sync!$AD302="","",Sync!$AD302))</f>
        <v/>
      </c>
      <c r="F302">
        <f>IF($A302="","",IF(Sync!$AE302="",0,Sync!$AE302))</f>
        <v/>
      </c>
      <c r="G302">
        <f>IF($A302="","",IF(Sync!$AF302="",0,Sync!$AF302))</f>
        <v/>
      </c>
      <c r="H302">
        <f>IF(OR($A302="",ROUND($F302+$G302,2)=0),"",$F302+$G302)</f>
        <v/>
      </c>
      <c r="I302">
        <f>IF($H302="","",IF(ROUND($F302,2)&gt;0,$A302,IF($D302="شخصی قاسم","شخصی قاسم",IF($D302="هزینه","هزینه: "&amp;IF($E302="","متفرقه",$E302),IF($C302="پاس چک","چک پرداختی",IF(OR($B302="",COUNTIF(AcctCodesA,$B302)=0),"متفرقه",$B302))))))</f>
        <v/>
      </c>
      <c r="J302">
        <f>IF($H302="","",IF(ROUND($F302,2)&gt;0,IF($D302="شخصی قاسم","شخصی قاسم",IF($D302="هزینه","هزینه: "&amp;IF($E302="","متفرقه",$E302),IF(OR($B302="",COUNTIF(AcctCodesA,$B302)=0),"متفرقه",$B302))),$A302))</f>
        <v/>
      </c>
      <c r="K302">
        <f>IF($A302="","",IF(AND($B302&lt;&gt;"",COUNTIF(AcctCodesA,$B302)=0),"کد طرف در INFO تعریف نشده",IF(AND($D302="هزینه",$E302=""),"هزینه بدون زیرگروه",IF(AND($C302="پاس چک",OR(Sync!$AJ302="",COUNTIF(IssueNosA,Sync!$AJ302)=0)),"شماره چک پاس‌شده معتبر نیست",""))))</f>
        <v/>
      </c>
      <c r="M302">
        <f>IF(Sync!$AH302="","",Sync!$AH302)</f>
        <v/>
      </c>
      <c r="N302">
        <f>IF($M302="","",IF(OR(Sync!$AI302="",COUNTIF(AcctCodesA,Sync!$AI302)=0),"متفرقه",Sync!$AI302))</f>
        <v/>
      </c>
      <c r="O302">
        <f>IF($M302="","",$N302)</f>
        <v/>
      </c>
      <c r="P302">
        <f>IF($M302="","","چک پرداختی")</f>
        <v/>
      </c>
      <c r="R302">
        <f>IF($M302="","",IF(COUNTIF(AcctCodesA,Sync!$AI302)=0,"ذی‌نفع چک تعریف‌نشده",""))</f>
        <v/>
      </c>
      <c r="S302">
        <f>IF($R302="","",Sync!$AG302&amp;"|"&amp;"5"&amp;RIGHT("00000"&amp;297,5))</f>
        <v/>
      </c>
      <c r="T302">
        <f>IF($S302="",0,COUNTIFS($S$6:$S$505,"&lt;"&amp;$S302)-COUNTIFS($S$6:$S$505,"&lt;"&amp;$S302,$R$6:$R$505,"")+1)</f>
        <v/>
      </c>
      <c r="V302">
        <f>IF($K302="","",IF(ISNUMBER(Sync!$AK302),Sync!$AK302,LEFT(Sync!$AK302,4)&amp;MID(Sync!$AK302,6,2)&amp;RIGHT(Sync!$AK302,2))&amp;"|"&amp;"4"&amp;RIGHT("00000"&amp;297,5))</f>
        <v/>
      </c>
      <c r="W302">
        <f>IF($V302="",0,COUNTIFS($V$6:$V$2005,"&lt;"&amp;$V302)-COUNTIFS($V$6:$V$2005,"&lt;"&amp;$V302,$K$6:$K$2005,"")+1)</f>
        <v/>
      </c>
      <c r="X302">
        <f>IF(Sync!$AX302="","",IF(OR(N(Sync!$AY302)=0,N(Sync!$AZ302)=0),"",ROUND(N(Sync!$AY302)*N(Sync!$AZ302),0)))</f>
        <v/>
      </c>
      <c r="Y302">
        <f>IF($X302="","",IF(OR(Sync!$AX302="",COUNTIF(AcctCodesA,Sync!$AX302)=0),"متفرقه",Sync!$AX302))</f>
        <v/>
      </c>
      <c r="Z302">
        <f>IF($X302="","","سبد و ظروف")</f>
        <v/>
      </c>
      <c r="AA302">
        <f>IF($X302="","",$Y302)</f>
        <v/>
      </c>
    </row>
    <row r="303">
      <c r="A303">
        <f>IF(Sync!$Z303="","",LEFT(UPPER(TRIM(Sync!$Z303)),6))</f>
        <v/>
      </c>
      <c r="B303">
        <f>IF($A303="","",IF(Sync!$AA303="","",Sync!$AA303))</f>
        <v/>
      </c>
      <c r="C303">
        <f>IF($A303="","",IF(Sync!$AB303="","",Sync!$AB303))</f>
        <v/>
      </c>
      <c r="D303">
        <f>IF($A303="","",IF(Sync!$AC303="","",Sync!$AC303))</f>
        <v/>
      </c>
      <c r="E303">
        <f>IF($A303="","",IF(Sync!$AD303="","",Sync!$AD303))</f>
        <v/>
      </c>
      <c r="F303">
        <f>IF($A303="","",IF(Sync!$AE303="",0,Sync!$AE303))</f>
        <v/>
      </c>
      <c r="G303">
        <f>IF($A303="","",IF(Sync!$AF303="",0,Sync!$AF303))</f>
        <v/>
      </c>
      <c r="H303">
        <f>IF(OR($A303="",ROUND($F303+$G303,2)=0),"",$F303+$G303)</f>
        <v/>
      </c>
      <c r="I303">
        <f>IF($H303="","",IF(ROUND($F303,2)&gt;0,$A303,IF($D303="شخصی قاسم","شخصی قاسم",IF($D303="هزینه","هزینه: "&amp;IF($E303="","متفرقه",$E303),IF($C303="پاس چک","چک پرداختی",IF(OR($B303="",COUNTIF(AcctCodesA,$B303)=0),"متفرقه",$B303))))))</f>
        <v/>
      </c>
      <c r="J303">
        <f>IF($H303="","",IF(ROUND($F303,2)&gt;0,IF($D303="شخصی قاسم","شخصی قاسم",IF($D303="هزینه","هزینه: "&amp;IF($E303="","متفرقه",$E303),IF(OR($B303="",COUNTIF(AcctCodesA,$B303)=0),"متفرقه",$B303))),$A303))</f>
        <v/>
      </c>
      <c r="K303">
        <f>IF($A303="","",IF(AND($B303&lt;&gt;"",COUNTIF(AcctCodesA,$B303)=0),"کد طرف در INFO تعریف نشده",IF(AND($D303="هزینه",$E303=""),"هزینه بدون زیرگروه",IF(AND($C303="پاس چک",OR(Sync!$AJ303="",COUNTIF(IssueNosA,Sync!$AJ303)=0)),"شماره چک پاس‌شده معتبر نیست",""))))</f>
        <v/>
      </c>
      <c r="M303">
        <f>IF(Sync!$AH303="","",Sync!$AH303)</f>
        <v/>
      </c>
      <c r="N303">
        <f>IF($M303="","",IF(OR(Sync!$AI303="",COUNTIF(AcctCodesA,Sync!$AI303)=0),"متفرقه",Sync!$AI303))</f>
        <v/>
      </c>
      <c r="O303">
        <f>IF($M303="","",$N303)</f>
        <v/>
      </c>
      <c r="P303">
        <f>IF($M303="","","چک پرداختی")</f>
        <v/>
      </c>
      <c r="R303">
        <f>IF($M303="","",IF(COUNTIF(AcctCodesA,Sync!$AI303)=0,"ذی‌نفع چک تعریف‌نشده",""))</f>
        <v/>
      </c>
      <c r="S303">
        <f>IF($R303="","",Sync!$AG303&amp;"|"&amp;"5"&amp;RIGHT("00000"&amp;298,5))</f>
        <v/>
      </c>
      <c r="T303">
        <f>IF($S303="",0,COUNTIFS($S$6:$S$505,"&lt;"&amp;$S303)-COUNTIFS($S$6:$S$505,"&lt;"&amp;$S303,$R$6:$R$505,"")+1)</f>
        <v/>
      </c>
      <c r="V303">
        <f>IF($K303="","",IF(ISNUMBER(Sync!$AK303),Sync!$AK303,LEFT(Sync!$AK303,4)&amp;MID(Sync!$AK303,6,2)&amp;RIGHT(Sync!$AK303,2))&amp;"|"&amp;"4"&amp;RIGHT("00000"&amp;298,5))</f>
        <v/>
      </c>
      <c r="W303">
        <f>IF($V303="",0,COUNTIFS($V$6:$V$2005,"&lt;"&amp;$V303)-COUNTIFS($V$6:$V$2005,"&lt;"&amp;$V303,$K$6:$K$2005,"")+1)</f>
        <v/>
      </c>
      <c r="X303">
        <f>IF(Sync!$AX303="","",IF(OR(N(Sync!$AY303)=0,N(Sync!$AZ303)=0),"",ROUND(N(Sync!$AY303)*N(Sync!$AZ303),0)))</f>
        <v/>
      </c>
      <c r="Y303">
        <f>IF($X303="","",IF(OR(Sync!$AX303="",COUNTIF(AcctCodesA,Sync!$AX303)=0),"متفرقه",Sync!$AX303))</f>
        <v/>
      </c>
      <c r="Z303">
        <f>IF($X303="","","سبد و ظروف")</f>
        <v/>
      </c>
      <c r="AA303">
        <f>IF($X303="","",$Y303)</f>
        <v/>
      </c>
    </row>
    <row r="304">
      <c r="A304">
        <f>IF(Sync!$Z304="","",LEFT(UPPER(TRIM(Sync!$Z304)),6))</f>
        <v/>
      </c>
      <c r="B304">
        <f>IF($A304="","",IF(Sync!$AA304="","",Sync!$AA304))</f>
        <v/>
      </c>
      <c r="C304">
        <f>IF($A304="","",IF(Sync!$AB304="","",Sync!$AB304))</f>
        <v/>
      </c>
      <c r="D304">
        <f>IF($A304="","",IF(Sync!$AC304="","",Sync!$AC304))</f>
        <v/>
      </c>
      <c r="E304">
        <f>IF($A304="","",IF(Sync!$AD304="","",Sync!$AD304))</f>
        <v/>
      </c>
      <c r="F304">
        <f>IF($A304="","",IF(Sync!$AE304="",0,Sync!$AE304))</f>
        <v/>
      </c>
      <c r="G304">
        <f>IF($A304="","",IF(Sync!$AF304="",0,Sync!$AF304))</f>
        <v/>
      </c>
      <c r="H304">
        <f>IF(OR($A304="",ROUND($F304+$G304,2)=0),"",$F304+$G304)</f>
        <v/>
      </c>
      <c r="I304">
        <f>IF($H304="","",IF(ROUND($F304,2)&gt;0,$A304,IF($D304="شخصی قاسم","شخصی قاسم",IF($D304="هزینه","هزینه: "&amp;IF($E304="","متفرقه",$E304),IF($C304="پاس چک","چک پرداختی",IF(OR($B304="",COUNTIF(AcctCodesA,$B304)=0),"متفرقه",$B304))))))</f>
        <v/>
      </c>
      <c r="J304">
        <f>IF($H304="","",IF(ROUND($F304,2)&gt;0,IF($D304="شخصی قاسم","شخصی قاسم",IF($D304="هزینه","هزینه: "&amp;IF($E304="","متفرقه",$E304),IF(OR($B304="",COUNTIF(AcctCodesA,$B304)=0),"متفرقه",$B304))),$A304))</f>
        <v/>
      </c>
      <c r="K304">
        <f>IF($A304="","",IF(AND($B304&lt;&gt;"",COUNTIF(AcctCodesA,$B304)=0),"کد طرف در INFO تعریف نشده",IF(AND($D304="هزینه",$E304=""),"هزینه بدون زیرگروه",IF(AND($C304="پاس چک",OR(Sync!$AJ304="",COUNTIF(IssueNosA,Sync!$AJ304)=0)),"شماره چک پاس‌شده معتبر نیست",""))))</f>
        <v/>
      </c>
      <c r="M304">
        <f>IF(Sync!$AH304="","",Sync!$AH304)</f>
        <v/>
      </c>
      <c r="N304">
        <f>IF($M304="","",IF(OR(Sync!$AI304="",COUNTIF(AcctCodesA,Sync!$AI304)=0),"متفرقه",Sync!$AI304))</f>
        <v/>
      </c>
      <c r="O304">
        <f>IF($M304="","",$N304)</f>
        <v/>
      </c>
      <c r="P304">
        <f>IF($M304="","","چک پرداختی")</f>
        <v/>
      </c>
      <c r="R304">
        <f>IF($M304="","",IF(COUNTIF(AcctCodesA,Sync!$AI304)=0,"ذی‌نفع چک تعریف‌نشده",""))</f>
        <v/>
      </c>
      <c r="S304">
        <f>IF($R304="","",Sync!$AG304&amp;"|"&amp;"5"&amp;RIGHT("00000"&amp;299,5))</f>
        <v/>
      </c>
      <c r="T304">
        <f>IF($S304="",0,COUNTIFS($S$6:$S$505,"&lt;"&amp;$S304)-COUNTIFS($S$6:$S$505,"&lt;"&amp;$S304,$R$6:$R$505,"")+1)</f>
        <v/>
      </c>
      <c r="V304">
        <f>IF($K304="","",IF(ISNUMBER(Sync!$AK304),Sync!$AK304,LEFT(Sync!$AK304,4)&amp;MID(Sync!$AK304,6,2)&amp;RIGHT(Sync!$AK304,2))&amp;"|"&amp;"4"&amp;RIGHT("00000"&amp;299,5))</f>
        <v/>
      </c>
      <c r="W304">
        <f>IF($V304="",0,COUNTIFS($V$6:$V$2005,"&lt;"&amp;$V304)-COUNTIFS($V$6:$V$2005,"&lt;"&amp;$V304,$K$6:$K$2005,"")+1)</f>
        <v/>
      </c>
      <c r="X304">
        <f>IF(Sync!$AX304="","",IF(OR(N(Sync!$AY304)=0,N(Sync!$AZ304)=0),"",ROUND(N(Sync!$AY304)*N(Sync!$AZ304),0)))</f>
        <v/>
      </c>
      <c r="Y304">
        <f>IF($X304="","",IF(OR(Sync!$AX304="",COUNTIF(AcctCodesA,Sync!$AX304)=0),"متفرقه",Sync!$AX304))</f>
        <v/>
      </c>
      <c r="Z304">
        <f>IF($X304="","","سبد و ظروف")</f>
        <v/>
      </c>
      <c r="AA304">
        <f>IF($X304="","",$Y304)</f>
        <v/>
      </c>
    </row>
    <row r="305">
      <c r="A305">
        <f>IF(Sync!$Z305="","",LEFT(UPPER(TRIM(Sync!$Z305)),6))</f>
        <v/>
      </c>
      <c r="B305">
        <f>IF($A305="","",IF(Sync!$AA305="","",Sync!$AA305))</f>
        <v/>
      </c>
      <c r="C305">
        <f>IF($A305="","",IF(Sync!$AB305="","",Sync!$AB305))</f>
        <v/>
      </c>
      <c r="D305">
        <f>IF($A305="","",IF(Sync!$AC305="","",Sync!$AC305))</f>
        <v/>
      </c>
      <c r="E305">
        <f>IF($A305="","",IF(Sync!$AD305="","",Sync!$AD305))</f>
        <v/>
      </c>
      <c r="F305">
        <f>IF($A305="","",IF(Sync!$AE305="",0,Sync!$AE305))</f>
        <v/>
      </c>
      <c r="G305">
        <f>IF($A305="","",IF(Sync!$AF305="",0,Sync!$AF305))</f>
        <v/>
      </c>
      <c r="H305">
        <f>IF(OR($A305="",ROUND($F305+$G305,2)=0),"",$F305+$G305)</f>
        <v/>
      </c>
      <c r="I305">
        <f>IF($H305="","",IF(ROUND($F305,2)&gt;0,$A305,IF($D305="شخصی قاسم","شخصی قاسم",IF($D305="هزینه","هزینه: "&amp;IF($E305="","متفرقه",$E305),IF($C305="پاس چک","چک پرداختی",IF(OR($B305="",COUNTIF(AcctCodesA,$B305)=0),"متفرقه",$B305))))))</f>
        <v/>
      </c>
      <c r="J305">
        <f>IF($H305="","",IF(ROUND($F305,2)&gt;0,IF($D305="شخصی قاسم","شخصی قاسم",IF($D305="هزینه","هزینه: "&amp;IF($E305="","متفرقه",$E305),IF(OR($B305="",COUNTIF(AcctCodesA,$B305)=0),"متفرقه",$B305))),$A305))</f>
        <v/>
      </c>
      <c r="K305">
        <f>IF($A305="","",IF(AND($B305&lt;&gt;"",COUNTIF(AcctCodesA,$B305)=0),"کد طرف در INFO تعریف نشده",IF(AND($D305="هزینه",$E305=""),"هزینه بدون زیرگروه",IF(AND($C305="پاس چک",OR(Sync!$AJ305="",COUNTIF(IssueNosA,Sync!$AJ305)=0)),"شماره چک پاس‌شده معتبر نیست",""))))</f>
        <v/>
      </c>
      <c r="M305">
        <f>IF(Sync!$AH305="","",Sync!$AH305)</f>
        <v/>
      </c>
      <c r="N305">
        <f>IF($M305="","",IF(OR(Sync!$AI305="",COUNTIF(AcctCodesA,Sync!$AI305)=0),"متفرقه",Sync!$AI305))</f>
        <v/>
      </c>
      <c r="O305">
        <f>IF($M305="","",$N305)</f>
        <v/>
      </c>
      <c r="P305">
        <f>IF($M305="","","چک پرداختی")</f>
        <v/>
      </c>
      <c r="R305">
        <f>IF($M305="","",IF(COUNTIF(AcctCodesA,Sync!$AI305)=0,"ذی‌نفع چک تعریف‌نشده",""))</f>
        <v/>
      </c>
      <c r="S305">
        <f>IF($R305="","",Sync!$AG305&amp;"|"&amp;"5"&amp;RIGHT("00000"&amp;300,5))</f>
        <v/>
      </c>
      <c r="T305">
        <f>IF($S305="",0,COUNTIFS($S$6:$S$505,"&lt;"&amp;$S305)-COUNTIFS($S$6:$S$505,"&lt;"&amp;$S305,$R$6:$R$505,"")+1)</f>
        <v/>
      </c>
      <c r="V305">
        <f>IF($K305="","",IF(ISNUMBER(Sync!$AK305),Sync!$AK305,LEFT(Sync!$AK305,4)&amp;MID(Sync!$AK305,6,2)&amp;RIGHT(Sync!$AK305,2))&amp;"|"&amp;"4"&amp;RIGHT("00000"&amp;300,5))</f>
        <v/>
      </c>
      <c r="W305">
        <f>IF($V305="",0,COUNTIFS($V$6:$V$2005,"&lt;"&amp;$V305)-COUNTIFS($V$6:$V$2005,"&lt;"&amp;$V305,$K$6:$K$2005,"")+1)</f>
        <v/>
      </c>
      <c r="X305">
        <f>IF(Sync!$AX305="","",IF(OR(N(Sync!$AY305)=0,N(Sync!$AZ305)=0),"",ROUND(N(Sync!$AY305)*N(Sync!$AZ305),0)))</f>
        <v/>
      </c>
      <c r="Y305">
        <f>IF($X305="","",IF(OR(Sync!$AX305="",COUNTIF(AcctCodesA,Sync!$AX305)=0),"متفرقه",Sync!$AX305))</f>
        <v/>
      </c>
      <c r="Z305">
        <f>IF($X305="","","سبد و ظروف")</f>
        <v/>
      </c>
      <c r="AA305">
        <f>IF($X305="","",$Y305)</f>
        <v/>
      </c>
    </row>
    <row r="306">
      <c r="A306">
        <f>IF(Sync!$Z306="","",LEFT(UPPER(TRIM(Sync!$Z306)),6))</f>
        <v/>
      </c>
      <c r="B306">
        <f>IF($A306="","",IF(Sync!$AA306="","",Sync!$AA306))</f>
        <v/>
      </c>
      <c r="C306">
        <f>IF($A306="","",IF(Sync!$AB306="","",Sync!$AB306))</f>
        <v/>
      </c>
      <c r="D306">
        <f>IF($A306="","",IF(Sync!$AC306="","",Sync!$AC306))</f>
        <v/>
      </c>
      <c r="E306">
        <f>IF($A306="","",IF(Sync!$AD306="","",Sync!$AD306))</f>
        <v/>
      </c>
      <c r="F306">
        <f>IF($A306="","",IF(Sync!$AE306="",0,Sync!$AE306))</f>
        <v/>
      </c>
      <c r="G306">
        <f>IF($A306="","",IF(Sync!$AF306="",0,Sync!$AF306))</f>
        <v/>
      </c>
      <c r="H306">
        <f>IF(OR($A306="",ROUND($F306+$G306,2)=0),"",$F306+$G306)</f>
        <v/>
      </c>
      <c r="I306">
        <f>IF($H306="","",IF(ROUND($F306,2)&gt;0,$A306,IF($D306="شخصی قاسم","شخصی قاسم",IF($D306="هزینه","هزینه: "&amp;IF($E306="","متفرقه",$E306),IF($C306="پاس چک","چک پرداختی",IF(OR($B306="",COUNTIF(AcctCodesA,$B306)=0),"متفرقه",$B306))))))</f>
        <v/>
      </c>
      <c r="J306">
        <f>IF($H306="","",IF(ROUND($F306,2)&gt;0,IF($D306="شخصی قاسم","شخصی قاسم",IF($D306="هزینه","هزینه: "&amp;IF($E306="","متفرقه",$E306),IF(OR($B306="",COUNTIF(AcctCodesA,$B306)=0),"متفرقه",$B306))),$A306))</f>
        <v/>
      </c>
      <c r="K306">
        <f>IF($A306="","",IF(AND($B306&lt;&gt;"",COUNTIF(AcctCodesA,$B306)=0),"کد طرف در INFO تعریف نشده",IF(AND($D306="هزینه",$E306=""),"هزینه بدون زیرگروه",IF(AND($C306="پاس چک",OR(Sync!$AJ306="",COUNTIF(IssueNosA,Sync!$AJ306)=0)),"شماره چک پاس‌شده معتبر نیست",""))))</f>
        <v/>
      </c>
      <c r="M306">
        <f>IF(Sync!$AH306="","",Sync!$AH306)</f>
        <v/>
      </c>
      <c r="N306">
        <f>IF($M306="","",IF(OR(Sync!$AI306="",COUNTIF(AcctCodesA,Sync!$AI306)=0),"متفرقه",Sync!$AI306))</f>
        <v/>
      </c>
      <c r="O306">
        <f>IF($M306="","",$N306)</f>
        <v/>
      </c>
      <c r="P306">
        <f>IF($M306="","","چک پرداختی")</f>
        <v/>
      </c>
      <c r="R306">
        <f>IF($M306="","",IF(COUNTIF(AcctCodesA,Sync!$AI306)=0,"ذی‌نفع چک تعریف‌نشده",""))</f>
        <v/>
      </c>
      <c r="S306">
        <f>IF($R306="","",Sync!$AG306&amp;"|"&amp;"5"&amp;RIGHT("00000"&amp;301,5))</f>
        <v/>
      </c>
      <c r="T306">
        <f>IF($S306="",0,COUNTIFS($S$6:$S$505,"&lt;"&amp;$S306)-COUNTIFS($S$6:$S$505,"&lt;"&amp;$S306,$R$6:$R$505,"")+1)</f>
        <v/>
      </c>
      <c r="V306">
        <f>IF($K306="","",IF(ISNUMBER(Sync!$AK306),Sync!$AK306,LEFT(Sync!$AK306,4)&amp;MID(Sync!$AK306,6,2)&amp;RIGHT(Sync!$AK306,2))&amp;"|"&amp;"4"&amp;RIGHT("00000"&amp;301,5))</f>
        <v/>
      </c>
      <c r="W306">
        <f>IF($V306="",0,COUNTIFS($V$6:$V$2005,"&lt;"&amp;$V306)-COUNTIFS($V$6:$V$2005,"&lt;"&amp;$V306,$K$6:$K$2005,"")+1)</f>
        <v/>
      </c>
      <c r="X306">
        <f>IF(Sync!$AX306="","",IF(OR(N(Sync!$AY306)=0,N(Sync!$AZ306)=0),"",ROUND(N(Sync!$AY306)*N(Sync!$AZ306),0)))</f>
        <v/>
      </c>
      <c r="Y306">
        <f>IF($X306="","",IF(OR(Sync!$AX306="",COUNTIF(AcctCodesA,Sync!$AX306)=0),"متفرقه",Sync!$AX306))</f>
        <v/>
      </c>
      <c r="Z306">
        <f>IF($X306="","","سبد و ظروف")</f>
        <v/>
      </c>
      <c r="AA306">
        <f>IF($X306="","",$Y306)</f>
        <v/>
      </c>
    </row>
    <row r="307">
      <c r="A307">
        <f>IF(Sync!$Z307="","",LEFT(UPPER(TRIM(Sync!$Z307)),6))</f>
        <v/>
      </c>
      <c r="B307">
        <f>IF($A307="","",IF(Sync!$AA307="","",Sync!$AA307))</f>
        <v/>
      </c>
      <c r="C307">
        <f>IF($A307="","",IF(Sync!$AB307="","",Sync!$AB307))</f>
        <v/>
      </c>
      <c r="D307">
        <f>IF($A307="","",IF(Sync!$AC307="","",Sync!$AC307))</f>
        <v/>
      </c>
      <c r="E307">
        <f>IF($A307="","",IF(Sync!$AD307="","",Sync!$AD307))</f>
        <v/>
      </c>
      <c r="F307">
        <f>IF($A307="","",IF(Sync!$AE307="",0,Sync!$AE307))</f>
        <v/>
      </c>
      <c r="G307">
        <f>IF($A307="","",IF(Sync!$AF307="",0,Sync!$AF307))</f>
        <v/>
      </c>
      <c r="H307">
        <f>IF(OR($A307="",ROUND($F307+$G307,2)=0),"",$F307+$G307)</f>
        <v/>
      </c>
      <c r="I307">
        <f>IF($H307="","",IF(ROUND($F307,2)&gt;0,$A307,IF($D307="شخصی قاسم","شخصی قاسم",IF($D307="هزینه","هزینه: "&amp;IF($E307="","متفرقه",$E307),IF($C307="پاس چک","چک پرداختی",IF(OR($B307="",COUNTIF(AcctCodesA,$B307)=0),"متفرقه",$B307))))))</f>
        <v/>
      </c>
      <c r="J307">
        <f>IF($H307="","",IF(ROUND($F307,2)&gt;0,IF($D307="شخصی قاسم","شخصی قاسم",IF($D307="هزینه","هزینه: "&amp;IF($E307="","متفرقه",$E307),IF(OR($B307="",COUNTIF(AcctCodesA,$B307)=0),"متفرقه",$B307))),$A307))</f>
        <v/>
      </c>
      <c r="K307">
        <f>IF($A307="","",IF(AND($B307&lt;&gt;"",COUNTIF(AcctCodesA,$B307)=0),"کد طرف در INFO تعریف نشده",IF(AND($D307="هزینه",$E307=""),"هزینه بدون زیرگروه",IF(AND($C307="پاس چک",OR(Sync!$AJ307="",COUNTIF(IssueNosA,Sync!$AJ307)=0)),"شماره چک پاس‌شده معتبر نیست",""))))</f>
        <v/>
      </c>
      <c r="M307">
        <f>IF(Sync!$AH307="","",Sync!$AH307)</f>
        <v/>
      </c>
      <c r="N307">
        <f>IF($M307="","",IF(OR(Sync!$AI307="",COUNTIF(AcctCodesA,Sync!$AI307)=0),"متفرقه",Sync!$AI307))</f>
        <v/>
      </c>
      <c r="O307">
        <f>IF($M307="","",$N307)</f>
        <v/>
      </c>
      <c r="P307">
        <f>IF($M307="","","چک پرداختی")</f>
        <v/>
      </c>
      <c r="R307">
        <f>IF($M307="","",IF(COUNTIF(AcctCodesA,Sync!$AI307)=0,"ذی‌نفع چک تعریف‌نشده",""))</f>
        <v/>
      </c>
      <c r="S307">
        <f>IF($R307="","",Sync!$AG307&amp;"|"&amp;"5"&amp;RIGHT("00000"&amp;302,5))</f>
        <v/>
      </c>
      <c r="T307">
        <f>IF($S307="",0,COUNTIFS($S$6:$S$505,"&lt;"&amp;$S307)-COUNTIFS($S$6:$S$505,"&lt;"&amp;$S307,$R$6:$R$505,"")+1)</f>
        <v/>
      </c>
      <c r="V307">
        <f>IF($K307="","",IF(ISNUMBER(Sync!$AK307),Sync!$AK307,LEFT(Sync!$AK307,4)&amp;MID(Sync!$AK307,6,2)&amp;RIGHT(Sync!$AK307,2))&amp;"|"&amp;"4"&amp;RIGHT("00000"&amp;302,5))</f>
        <v/>
      </c>
      <c r="W307">
        <f>IF($V307="",0,COUNTIFS($V$6:$V$2005,"&lt;"&amp;$V307)-COUNTIFS($V$6:$V$2005,"&lt;"&amp;$V307,$K$6:$K$2005,"")+1)</f>
        <v/>
      </c>
      <c r="X307">
        <f>IF(Sync!$AX307="","",IF(OR(N(Sync!$AY307)=0,N(Sync!$AZ307)=0),"",ROUND(N(Sync!$AY307)*N(Sync!$AZ307),0)))</f>
        <v/>
      </c>
      <c r="Y307">
        <f>IF($X307="","",IF(OR(Sync!$AX307="",COUNTIF(AcctCodesA,Sync!$AX307)=0),"متفرقه",Sync!$AX307))</f>
        <v/>
      </c>
      <c r="Z307">
        <f>IF($X307="","","سبد و ظروف")</f>
        <v/>
      </c>
      <c r="AA307">
        <f>IF($X307="","",$Y307)</f>
        <v/>
      </c>
    </row>
    <row r="308">
      <c r="A308">
        <f>IF(Sync!$Z308="","",LEFT(UPPER(TRIM(Sync!$Z308)),6))</f>
        <v/>
      </c>
      <c r="B308">
        <f>IF($A308="","",IF(Sync!$AA308="","",Sync!$AA308))</f>
        <v/>
      </c>
      <c r="C308">
        <f>IF($A308="","",IF(Sync!$AB308="","",Sync!$AB308))</f>
        <v/>
      </c>
      <c r="D308">
        <f>IF($A308="","",IF(Sync!$AC308="","",Sync!$AC308))</f>
        <v/>
      </c>
      <c r="E308">
        <f>IF($A308="","",IF(Sync!$AD308="","",Sync!$AD308))</f>
        <v/>
      </c>
      <c r="F308">
        <f>IF($A308="","",IF(Sync!$AE308="",0,Sync!$AE308))</f>
        <v/>
      </c>
      <c r="G308">
        <f>IF($A308="","",IF(Sync!$AF308="",0,Sync!$AF308))</f>
        <v/>
      </c>
      <c r="H308">
        <f>IF(OR($A308="",ROUND($F308+$G308,2)=0),"",$F308+$G308)</f>
        <v/>
      </c>
      <c r="I308">
        <f>IF($H308="","",IF(ROUND($F308,2)&gt;0,$A308,IF($D308="شخصی قاسم","شخصی قاسم",IF($D308="هزینه","هزینه: "&amp;IF($E308="","متفرقه",$E308),IF($C308="پاس چک","چک پرداختی",IF(OR($B308="",COUNTIF(AcctCodesA,$B308)=0),"متفرقه",$B308))))))</f>
        <v/>
      </c>
      <c r="J308">
        <f>IF($H308="","",IF(ROUND($F308,2)&gt;0,IF($D308="شخصی قاسم","شخصی قاسم",IF($D308="هزینه","هزینه: "&amp;IF($E308="","متفرقه",$E308),IF(OR($B308="",COUNTIF(AcctCodesA,$B308)=0),"متفرقه",$B308))),$A308))</f>
        <v/>
      </c>
      <c r="K308">
        <f>IF($A308="","",IF(AND($B308&lt;&gt;"",COUNTIF(AcctCodesA,$B308)=0),"کد طرف در INFO تعریف نشده",IF(AND($D308="هزینه",$E308=""),"هزینه بدون زیرگروه",IF(AND($C308="پاس چک",OR(Sync!$AJ308="",COUNTIF(IssueNosA,Sync!$AJ308)=0)),"شماره چک پاس‌شده معتبر نیست",""))))</f>
        <v/>
      </c>
      <c r="M308">
        <f>IF(Sync!$AH308="","",Sync!$AH308)</f>
        <v/>
      </c>
      <c r="N308">
        <f>IF($M308="","",IF(OR(Sync!$AI308="",COUNTIF(AcctCodesA,Sync!$AI308)=0),"متفرقه",Sync!$AI308))</f>
        <v/>
      </c>
      <c r="O308">
        <f>IF($M308="","",$N308)</f>
        <v/>
      </c>
      <c r="P308">
        <f>IF($M308="","","چک پرداختی")</f>
        <v/>
      </c>
      <c r="R308">
        <f>IF($M308="","",IF(COUNTIF(AcctCodesA,Sync!$AI308)=0,"ذی‌نفع چک تعریف‌نشده",""))</f>
        <v/>
      </c>
      <c r="S308">
        <f>IF($R308="","",Sync!$AG308&amp;"|"&amp;"5"&amp;RIGHT("00000"&amp;303,5))</f>
        <v/>
      </c>
      <c r="T308">
        <f>IF($S308="",0,COUNTIFS($S$6:$S$505,"&lt;"&amp;$S308)-COUNTIFS($S$6:$S$505,"&lt;"&amp;$S308,$R$6:$R$505,"")+1)</f>
        <v/>
      </c>
      <c r="V308">
        <f>IF($K308="","",IF(ISNUMBER(Sync!$AK308),Sync!$AK308,LEFT(Sync!$AK308,4)&amp;MID(Sync!$AK308,6,2)&amp;RIGHT(Sync!$AK308,2))&amp;"|"&amp;"4"&amp;RIGHT("00000"&amp;303,5))</f>
        <v/>
      </c>
      <c r="W308">
        <f>IF($V308="",0,COUNTIFS($V$6:$V$2005,"&lt;"&amp;$V308)-COUNTIFS($V$6:$V$2005,"&lt;"&amp;$V308,$K$6:$K$2005,"")+1)</f>
        <v/>
      </c>
      <c r="X308">
        <f>IF(Sync!$AX308="","",IF(OR(N(Sync!$AY308)=0,N(Sync!$AZ308)=0),"",ROUND(N(Sync!$AY308)*N(Sync!$AZ308),0)))</f>
        <v/>
      </c>
      <c r="Y308">
        <f>IF($X308="","",IF(OR(Sync!$AX308="",COUNTIF(AcctCodesA,Sync!$AX308)=0),"متفرقه",Sync!$AX308))</f>
        <v/>
      </c>
      <c r="Z308">
        <f>IF($X308="","","سبد و ظروف")</f>
        <v/>
      </c>
      <c r="AA308">
        <f>IF($X308="","",$Y308)</f>
        <v/>
      </c>
    </row>
    <row r="309">
      <c r="A309">
        <f>IF(Sync!$Z309="","",LEFT(UPPER(TRIM(Sync!$Z309)),6))</f>
        <v/>
      </c>
      <c r="B309">
        <f>IF($A309="","",IF(Sync!$AA309="","",Sync!$AA309))</f>
        <v/>
      </c>
      <c r="C309">
        <f>IF($A309="","",IF(Sync!$AB309="","",Sync!$AB309))</f>
        <v/>
      </c>
      <c r="D309">
        <f>IF($A309="","",IF(Sync!$AC309="","",Sync!$AC309))</f>
        <v/>
      </c>
      <c r="E309">
        <f>IF($A309="","",IF(Sync!$AD309="","",Sync!$AD309))</f>
        <v/>
      </c>
      <c r="F309">
        <f>IF($A309="","",IF(Sync!$AE309="",0,Sync!$AE309))</f>
        <v/>
      </c>
      <c r="G309">
        <f>IF($A309="","",IF(Sync!$AF309="",0,Sync!$AF309))</f>
        <v/>
      </c>
      <c r="H309">
        <f>IF(OR($A309="",ROUND($F309+$G309,2)=0),"",$F309+$G309)</f>
        <v/>
      </c>
      <c r="I309">
        <f>IF($H309="","",IF(ROUND($F309,2)&gt;0,$A309,IF($D309="شخصی قاسم","شخصی قاسم",IF($D309="هزینه","هزینه: "&amp;IF($E309="","متفرقه",$E309),IF($C309="پاس چک","چک پرداختی",IF(OR($B309="",COUNTIF(AcctCodesA,$B309)=0),"متفرقه",$B309))))))</f>
        <v/>
      </c>
      <c r="J309">
        <f>IF($H309="","",IF(ROUND($F309,2)&gt;0,IF($D309="شخصی قاسم","شخصی قاسم",IF($D309="هزینه","هزینه: "&amp;IF($E309="","متفرقه",$E309),IF(OR($B309="",COUNTIF(AcctCodesA,$B309)=0),"متفرقه",$B309))),$A309))</f>
        <v/>
      </c>
      <c r="K309">
        <f>IF($A309="","",IF(AND($B309&lt;&gt;"",COUNTIF(AcctCodesA,$B309)=0),"کد طرف در INFO تعریف نشده",IF(AND($D309="هزینه",$E309=""),"هزینه بدون زیرگروه",IF(AND($C309="پاس چک",OR(Sync!$AJ309="",COUNTIF(IssueNosA,Sync!$AJ309)=0)),"شماره چک پاس‌شده معتبر نیست",""))))</f>
        <v/>
      </c>
      <c r="M309">
        <f>IF(Sync!$AH309="","",Sync!$AH309)</f>
        <v/>
      </c>
      <c r="N309">
        <f>IF($M309="","",IF(OR(Sync!$AI309="",COUNTIF(AcctCodesA,Sync!$AI309)=0),"متفرقه",Sync!$AI309))</f>
        <v/>
      </c>
      <c r="O309">
        <f>IF($M309="","",$N309)</f>
        <v/>
      </c>
      <c r="P309">
        <f>IF($M309="","","چک پرداختی")</f>
        <v/>
      </c>
      <c r="R309">
        <f>IF($M309="","",IF(COUNTIF(AcctCodesA,Sync!$AI309)=0,"ذی‌نفع چک تعریف‌نشده",""))</f>
        <v/>
      </c>
      <c r="S309">
        <f>IF($R309="","",Sync!$AG309&amp;"|"&amp;"5"&amp;RIGHT("00000"&amp;304,5))</f>
        <v/>
      </c>
      <c r="T309">
        <f>IF($S309="",0,COUNTIFS($S$6:$S$505,"&lt;"&amp;$S309)-COUNTIFS($S$6:$S$505,"&lt;"&amp;$S309,$R$6:$R$505,"")+1)</f>
        <v/>
      </c>
      <c r="V309">
        <f>IF($K309="","",IF(ISNUMBER(Sync!$AK309),Sync!$AK309,LEFT(Sync!$AK309,4)&amp;MID(Sync!$AK309,6,2)&amp;RIGHT(Sync!$AK309,2))&amp;"|"&amp;"4"&amp;RIGHT("00000"&amp;304,5))</f>
        <v/>
      </c>
      <c r="W309">
        <f>IF($V309="",0,COUNTIFS($V$6:$V$2005,"&lt;"&amp;$V309)-COUNTIFS($V$6:$V$2005,"&lt;"&amp;$V309,$K$6:$K$2005,"")+1)</f>
        <v/>
      </c>
      <c r="X309">
        <f>IF(Sync!$AX309="","",IF(OR(N(Sync!$AY309)=0,N(Sync!$AZ309)=0),"",ROUND(N(Sync!$AY309)*N(Sync!$AZ309),0)))</f>
        <v/>
      </c>
      <c r="Y309">
        <f>IF($X309="","",IF(OR(Sync!$AX309="",COUNTIF(AcctCodesA,Sync!$AX309)=0),"متفرقه",Sync!$AX309))</f>
        <v/>
      </c>
      <c r="Z309">
        <f>IF($X309="","","سبد و ظروف")</f>
        <v/>
      </c>
      <c r="AA309">
        <f>IF($X309="","",$Y309)</f>
        <v/>
      </c>
    </row>
    <row r="310">
      <c r="A310">
        <f>IF(Sync!$Z310="","",LEFT(UPPER(TRIM(Sync!$Z310)),6))</f>
        <v/>
      </c>
      <c r="B310">
        <f>IF($A310="","",IF(Sync!$AA310="","",Sync!$AA310))</f>
        <v/>
      </c>
      <c r="C310">
        <f>IF($A310="","",IF(Sync!$AB310="","",Sync!$AB310))</f>
        <v/>
      </c>
      <c r="D310">
        <f>IF($A310="","",IF(Sync!$AC310="","",Sync!$AC310))</f>
        <v/>
      </c>
      <c r="E310">
        <f>IF($A310="","",IF(Sync!$AD310="","",Sync!$AD310))</f>
        <v/>
      </c>
      <c r="F310">
        <f>IF($A310="","",IF(Sync!$AE310="",0,Sync!$AE310))</f>
        <v/>
      </c>
      <c r="G310">
        <f>IF($A310="","",IF(Sync!$AF310="",0,Sync!$AF310))</f>
        <v/>
      </c>
      <c r="H310">
        <f>IF(OR($A310="",ROUND($F310+$G310,2)=0),"",$F310+$G310)</f>
        <v/>
      </c>
      <c r="I310">
        <f>IF($H310="","",IF(ROUND($F310,2)&gt;0,$A310,IF($D310="شخصی قاسم","شخصی قاسم",IF($D310="هزینه","هزینه: "&amp;IF($E310="","متفرقه",$E310),IF($C310="پاس چک","چک پرداختی",IF(OR($B310="",COUNTIF(AcctCodesA,$B310)=0),"متفرقه",$B310))))))</f>
        <v/>
      </c>
      <c r="J310">
        <f>IF($H310="","",IF(ROUND($F310,2)&gt;0,IF($D310="شخصی قاسم","شخصی قاسم",IF($D310="هزینه","هزینه: "&amp;IF($E310="","متفرقه",$E310),IF(OR($B310="",COUNTIF(AcctCodesA,$B310)=0),"متفرقه",$B310))),$A310))</f>
        <v/>
      </c>
      <c r="K310">
        <f>IF($A310="","",IF(AND($B310&lt;&gt;"",COUNTIF(AcctCodesA,$B310)=0),"کد طرف در INFO تعریف نشده",IF(AND($D310="هزینه",$E310=""),"هزینه بدون زیرگروه",IF(AND($C310="پاس چک",OR(Sync!$AJ310="",COUNTIF(IssueNosA,Sync!$AJ310)=0)),"شماره چک پاس‌شده معتبر نیست",""))))</f>
        <v/>
      </c>
      <c r="M310">
        <f>IF(Sync!$AH310="","",Sync!$AH310)</f>
        <v/>
      </c>
      <c r="N310">
        <f>IF($M310="","",IF(OR(Sync!$AI310="",COUNTIF(AcctCodesA,Sync!$AI310)=0),"متفرقه",Sync!$AI310))</f>
        <v/>
      </c>
      <c r="O310">
        <f>IF($M310="","",$N310)</f>
        <v/>
      </c>
      <c r="P310">
        <f>IF($M310="","","چک پرداختی")</f>
        <v/>
      </c>
      <c r="R310">
        <f>IF($M310="","",IF(COUNTIF(AcctCodesA,Sync!$AI310)=0,"ذی‌نفع چک تعریف‌نشده",""))</f>
        <v/>
      </c>
      <c r="S310">
        <f>IF($R310="","",Sync!$AG310&amp;"|"&amp;"5"&amp;RIGHT("00000"&amp;305,5))</f>
        <v/>
      </c>
      <c r="T310">
        <f>IF($S310="",0,COUNTIFS($S$6:$S$505,"&lt;"&amp;$S310)-COUNTIFS($S$6:$S$505,"&lt;"&amp;$S310,$R$6:$R$505,"")+1)</f>
        <v/>
      </c>
      <c r="V310">
        <f>IF($K310="","",IF(ISNUMBER(Sync!$AK310),Sync!$AK310,LEFT(Sync!$AK310,4)&amp;MID(Sync!$AK310,6,2)&amp;RIGHT(Sync!$AK310,2))&amp;"|"&amp;"4"&amp;RIGHT("00000"&amp;305,5))</f>
        <v/>
      </c>
      <c r="W310">
        <f>IF($V310="",0,COUNTIFS($V$6:$V$2005,"&lt;"&amp;$V310)-COUNTIFS($V$6:$V$2005,"&lt;"&amp;$V310,$K$6:$K$2005,"")+1)</f>
        <v/>
      </c>
      <c r="X310">
        <f>IF(Sync!$AX310="","",IF(OR(N(Sync!$AY310)=0,N(Sync!$AZ310)=0),"",ROUND(N(Sync!$AY310)*N(Sync!$AZ310),0)))</f>
        <v/>
      </c>
      <c r="Y310">
        <f>IF($X310="","",IF(OR(Sync!$AX310="",COUNTIF(AcctCodesA,Sync!$AX310)=0),"متفرقه",Sync!$AX310))</f>
        <v/>
      </c>
      <c r="Z310">
        <f>IF($X310="","","سبد و ظروف")</f>
        <v/>
      </c>
      <c r="AA310">
        <f>IF($X310="","",$Y310)</f>
        <v/>
      </c>
    </row>
    <row r="311">
      <c r="A311">
        <f>IF(Sync!$Z311="","",LEFT(UPPER(TRIM(Sync!$Z311)),6))</f>
        <v/>
      </c>
      <c r="B311">
        <f>IF($A311="","",IF(Sync!$AA311="","",Sync!$AA311))</f>
        <v/>
      </c>
      <c r="C311">
        <f>IF($A311="","",IF(Sync!$AB311="","",Sync!$AB311))</f>
        <v/>
      </c>
      <c r="D311">
        <f>IF($A311="","",IF(Sync!$AC311="","",Sync!$AC311))</f>
        <v/>
      </c>
      <c r="E311">
        <f>IF($A311="","",IF(Sync!$AD311="","",Sync!$AD311))</f>
        <v/>
      </c>
      <c r="F311">
        <f>IF($A311="","",IF(Sync!$AE311="",0,Sync!$AE311))</f>
        <v/>
      </c>
      <c r="G311">
        <f>IF($A311="","",IF(Sync!$AF311="",0,Sync!$AF311))</f>
        <v/>
      </c>
      <c r="H311">
        <f>IF(OR($A311="",ROUND($F311+$G311,2)=0),"",$F311+$G311)</f>
        <v/>
      </c>
      <c r="I311">
        <f>IF($H311="","",IF(ROUND($F311,2)&gt;0,$A311,IF($D311="شخصی قاسم","شخصی قاسم",IF($D311="هزینه","هزینه: "&amp;IF($E311="","متفرقه",$E311),IF($C311="پاس چک","چک پرداختی",IF(OR($B311="",COUNTIF(AcctCodesA,$B311)=0),"متفرقه",$B311))))))</f>
        <v/>
      </c>
      <c r="J311">
        <f>IF($H311="","",IF(ROUND($F311,2)&gt;0,IF($D311="شخصی قاسم","شخصی قاسم",IF($D311="هزینه","هزینه: "&amp;IF($E311="","متفرقه",$E311),IF(OR($B311="",COUNTIF(AcctCodesA,$B311)=0),"متفرقه",$B311))),$A311))</f>
        <v/>
      </c>
      <c r="K311">
        <f>IF($A311="","",IF(AND($B311&lt;&gt;"",COUNTIF(AcctCodesA,$B311)=0),"کد طرف در INFO تعریف نشده",IF(AND($D311="هزینه",$E311=""),"هزینه بدون زیرگروه",IF(AND($C311="پاس چک",OR(Sync!$AJ311="",COUNTIF(IssueNosA,Sync!$AJ311)=0)),"شماره چک پاس‌شده معتبر نیست",""))))</f>
        <v/>
      </c>
      <c r="M311">
        <f>IF(Sync!$AH311="","",Sync!$AH311)</f>
        <v/>
      </c>
      <c r="N311">
        <f>IF($M311="","",IF(OR(Sync!$AI311="",COUNTIF(AcctCodesA,Sync!$AI311)=0),"متفرقه",Sync!$AI311))</f>
        <v/>
      </c>
      <c r="O311">
        <f>IF($M311="","",$N311)</f>
        <v/>
      </c>
      <c r="P311">
        <f>IF($M311="","","چک پرداختی")</f>
        <v/>
      </c>
      <c r="R311">
        <f>IF($M311="","",IF(COUNTIF(AcctCodesA,Sync!$AI311)=0,"ذی‌نفع چک تعریف‌نشده",""))</f>
        <v/>
      </c>
      <c r="S311">
        <f>IF($R311="","",Sync!$AG311&amp;"|"&amp;"5"&amp;RIGHT("00000"&amp;306,5))</f>
        <v/>
      </c>
      <c r="T311">
        <f>IF($S311="",0,COUNTIFS($S$6:$S$505,"&lt;"&amp;$S311)-COUNTIFS($S$6:$S$505,"&lt;"&amp;$S311,$R$6:$R$505,"")+1)</f>
        <v/>
      </c>
      <c r="V311">
        <f>IF($K311="","",IF(ISNUMBER(Sync!$AK311),Sync!$AK311,LEFT(Sync!$AK311,4)&amp;MID(Sync!$AK311,6,2)&amp;RIGHT(Sync!$AK311,2))&amp;"|"&amp;"4"&amp;RIGHT("00000"&amp;306,5))</f>
        <v/>
      </c>
      <c r="W311">
        <f>IF($V311="",0,COUNTIFS($V$6:$V$2005,"&lt;"&amp;$V311)-COUNTIFS($V$6:$V$2005,"&lt;"&amp;$V311,$K$6:$K$2005,"")+1)</f>
        <v/>
      </c>
      <c r="X311">
        <f>IF(Sync!$AX311="","",IF(OR(N(Sync!$AY311)=0,N(Sync!$AZ311)=0),"",ROUND(N(Sync!$AY311)*N(Sync!$AZ311),0)))</f>
        <v/>
      </c>
      <c r="Y311">
        <f>IF($X311="","",IF(OR(Sync!$AX311="",COUNTIF(AcctCodesA,Sync!$AX311)=0),"متفرقه",Sync!$AX311))</f>
        <v/>
      </c>
      <c r="Z311">
        <f>IF($X311="","","سبد و ظروف")</f>
        <v/>
      </c>
      <c r="AA311">
        <f>IF($X311="","",$Y311)</f>
        <v/>
      </c>
    </row>
    <row r="312">
      <c r="A312">
        <f>IF(Sync!$Z312="","",LEFT(UPPER(TRIM(Sync!$Z312)),6))</f>
        <v/>
      </c>
      <c r="B312">
        <f>IF($A312="","",IF(Sync!$AA312="","",Sync!$AA312))</f>
        <v/>
      </c>
      <c r="C312">
        <f>IF($A312="","",IF(Sync!$AB312="","",Sync!$AB312))</f>
        <v/>
      </c>
      <c r="D312">
        <f>IF($A312="","",IF(Sync!$AC312="","",Sync!$AC312))</f>
        <v/>
      </c>
      <c r="E312">
        <f>IF($A312="","",IF(Sync!$AD312="","",Sync!$AD312))</f>
        <v/>
      </c>
      <c r="F312">
        <f>IF($A312="","",IF(Sync!$AE312="",0,Sync!$AE312))</f>
        <v/>
      </c>
      <c r="G312">
        <f>IF($A312="","",IF(Sync!$AF312="",0,Sync!$AF312))</f>
        <v/>
      </c>
      <c r="H312">
        <f>IF(OR($A312="",ROUND($F312+$G312,2)=0),"",$F312+$G312)</f>
        <v/>
      </c>
      <c r="I312">
        <f>IF($H312="","",IF(ROUND($F312,2)&gt;0,$A312,IF($D312="شخصی قاسم","شخصی قاسم",IF($D312="هزینه","هزینه: "&amp;IF($E312="","متفرقه",$E312),IF($C312="پاس چک","چک پرداختی",IF(OR($B312="",COUNTIF(AcctCodesA,$B312)=0),"متفرقه",$B312))))))</f>
        <v/>
      </c>
      <c r="J312">
        <f>IF($H312="","",IF(ROUND($F312,2)&gt;0,IF($D312="شخصی قاسم","شخصی قاسم",IF($D312="هزینه","هزینه: "&amp;IF($E312="","متفرقه",$E312),IF(OR($B312="",COUNTIF(AcctCodesA,$B312)=0),"متفرقه",$B312))),$A312))</f>
        <v/>
      </c>
      <c r="K312">
        <f>IF($A312="","",IF(AND($B312&lt;&gt;"",COUNTIF(AcctCodesA,$B312)=0),"کد طرف در INFO تعریف نشده",IF(AND($D312="هزینه",$E312=""),"هزینه بدون زیرگروه",IF(AND($C312="پاس چک",OR(Sync!$AJ312="",COUNTIF(IssueNosA,Sync!$AJ312)=0)),"شماره چک پاس‌شده معتبر نیست",""))))</f>
        <v/>
      </c>
      <c r="M312">
        <f>IF(Sync!$AH312="","",Sync!$AH312)</f>
        <v/>
      </c>
      <c r="N312">
        <f>IF($M312="","",IF(OR(Sync!$AI312="",COUNTIF(AcctCodesA,Sync!$AI312)=0),"متفرقه",Sync!$AI312))</f>
        <v/>
      </c>
      <c r="O312">
        <f>IF($M312="","",$N312)</f>
        <v/>
      </c>
      <c r="P312">
        <f>IF($M312="","","چک پرداختی")</f>
        <v/>
      </c>
      <c r="R312">
        <f>IF($M312="","",IF(COUNTIF(AcctCodesA,Sync!$AI312)=0,"ذی‌نفع چک تعریف‌نشده",""))</f>
        <v/>
      </c>
      <c r="S312">
        <f>IF($R312="","",Sync!$AG312&amp;"|"&amp;"5"&amp;RIGHT("00000"&amp;307,5))</f>
        <v/>
      </c>
      <c r="T312">
        <f>IF($S312="",0,COUNTIFS($S$6:$S$505,"&lt;"&amp;$S312)-COUNTIFS($S$6:$S$505,"&lt;"&amp;$S312,$R$6:$R$505,"")+1)</f>
        <v/>
      </c>
      <c r="V312">
        <f>IF($K312="","",IF(ISNUMBER(Sync!$AK312),Sync!$AK312,LEFT(Sync!$AK312,4)&amp;MID(Sync!$AK312,6,2)&amp;RIGHT(Sync!$AK312,2))&amp;"|"&amp;"4"&amp;RIGHT("00000"&amp;307,5))</f>
        <v/>
      </c>
      <c r="W312">
        <f>IF($V312="",0,COUNTIFS($V$6:$V$2005,"&lt;"&amp;$V312)-COUNTIFS($V$6:$V$2005,"&lt;"&amp;$V312,$K$6:$K$2005,"")+1)</f>
        <v/>
      </c>
      <c r="X312">
        <f>IF(Sync!$AX312="","",IF(OR(N(Sync!$AY312)=0,N(Sync!$AZ312)=0),"",ROUND(N(Sync!$AY312)*N(Sync!$AZ312),0)))</f>
        <v/>
      </c>
      <c r="Y312">
        <f>IF($X312="","",IF(OR(Sync!$AX312="",COUNTIF(AcctCodesA,Sync!$AX312)=0),"متفرقه",Sync!$AX312))</f>
        <v/>
      </c>
      <c r="Z312">
        <f>IF($X312="","","سبد و ظروف")</f>
        <v/>
      </c>
      <c r="AA312">
        <f>IF($X312="","",$Y312)</f>
        <v/>
      </c>
    </row>
    <row r="313">
      <c r="A313">
        <f>IF(Sync!$Z313="","",LEFT(UPPER(TRIM(Sync!$Z313)),6))</f>
        <v/>
      </c>
      <c r="B313">
        <f>IF($A313="","",IF(Sync!$AA313="","",Sync!$AA313))</f>
        <v/>
      </c>
      <c r="C313">
        <f>IF($A313="","",IF(Sync!$AB313="","",Sync!$AB313))</f>
        <v/>
      </c>
      <c r="D313">
        <f>IF($A313="","",IF(Sync!$AC313="","",Sync!$AC313))</f>
        <v/>
      </c>
      <c r="E313">
        <f>IF($A313="","",IF(Sync!$AD313="","",Sync!$AD313))</f>
        <v/>
      </c>
      <c r="F313">
        <f>IF($A313="","",IF(Sync!$AE313="",0,Sync!$AE313))</f>
        <v/>
      </c>
      <c r="G313">
        <f>IF($A313="","",IF(Sync!$AF313="",0,Sync!$AF313))</f>
        <v/>
      </c>
      <c r="H313">
        <f>IF(OR($A313="",ROUND($F313+$G313,2)=0),"",$F313+$G313)</f>
        <v/>
      </c>
      <c r="I313">
        <f>IF($H313="","",IF(ROUND($F313,2)&gt;0,$A313,IF($D313="شخصی قاسم","شخصی قاسم",IF($D313="هزینه","هزینه: "&amp;IF($E313="","متفرقه",$E313),IF($C313="پاس چک","چک پرداختی",IF(OR($B313="",COUNTIF(AcctCodesA,$B313)=0),"متفرقه",$B313))))))</f>
        <v/>
      </c>
      <c r="J313">
        <f>IF($H313="","",IF(ROUND($F313,2)&gt;0,IF($D313="شخصی قاسم","شخصی قاسم",IF($D313="هزینه","هزینه: "&amp;IF($E313="","متفرقه",$E313),IF(OR($B313="",COUNTIF(AcctCodesA,$B313)=0),"متفرقه",$B313))),$A313))</f>
        <v/>
      </c>
      <c r="K313">
        <f>IF($A313="","",IF(AND($B313&lt;&gt;"",COUNTIF(AcctCodesA,$B313)=0),"کد طرف در INFO تعریف نشده",IF(AND($D313="هزینه",$E313=""),"هزینه بدون زیرگروه",IF(AND($C313="پاس چک",OR(Sync!$AJ313="",COUNTIF(IssueNosA,Sync!$AJ313)=0)),"شماره چک پاس‌شده معتبر نیست",""))))</f>
        <v/>
      </c>
      <c r="M313">
        <f>IF(Sync!$AH313="","",Sync!$AH313)</f>
        <v/>
      </c>
      <c r="N313">
        <f>IF($M313="","",IF(OR(Sync!$AI313="",COUNTIF(AcctCodesA,Sync!$AI313)=0),"متفرقه",Sync!$AI313))</f>
        <v/>
      </c>
      <c r="O313">
        <f>IF($M313="","",$N313)</f>
        <v/>
      </c>
      <c r="P313">
        <f>IF($M313="","","چک پرداختی")</f>
        <v/>
      </c>
      <c r="R313">
        <f>IF($M313="","",IF(COUNTIF(AcctCodesA,Sync!$AI313)=0,"ذی‌نفع چک تعریف‌نشده",""))</f>
        <v/>
      </c>
      <c r="S313">
        <f>IF($R313="","",Sync!$AG313&amp;"|"&amp;"5"&amp;RIGHT("00000"&amp;308,5))</f>
        <v/>
      </c>
      <c r="T313">
        <f>IF($S313="",0,COUNTIFS($S$6:$S$505,"&lt;"&amp;$S313)-COUNTIFS($S$6:$S$505,"&lt;"&amp;$S313,$R$6:$R$505,"")+1)</f>
        <v/>
      </c>
      <c r="V313">
        <f>IF($K313="","",IF(ISNUMBER(Sync!$AK313),Sync!$AK313,LEFT(Sync!$AK313,4)&amp;MID(Sync!$AK313,6,2)&amp;RIGHT(Sync!$AK313,2))&amp;"|"&amp;"4"&amp;RIGHT("00000"&amp;308,5))</f>
        <v/>
      </c>
      <c r="W313">
        <f>IF($V313="",0,COUNTIFS($V$6:$V$2005,"&lt;"&amp;$V313)-COUNTIFS($V$6:$V$2005,"&lt;"&amp;$V313,$K$6:$K$2005,"")+1)</f>
        <v/>
      </c>
      <c r="X313">
        <f>IF(Sync!$AX313="","",IF(OR(N(Sync!$AY313)=0,N(Sync!$AZ313)=0),"",ROUND(N(Sync!$AY313)*N(Sync!$AZ313),0)))</f>
        <v/>
      </c>
      <c r="Y313">
        <f>IF($X313="","",IF(OR(Sync!$AX313="",COUNTIF(AcctCodesA,Sync!$AX313)=0),"متفرقه",Sync!$AX313))</f>
        <v/>
      </c>
      <c r="Z313">
        <f>IF($X313="","","سبد و ظروف")</f>
        <v/>
      </c>
      <c r="AA313">
        <f>IF($X313="","",$Y313)</f>
        <v/>
      </c>
    </row>
    <row r="314">
      <c r="A314">
        <f>IF(Sync!$Z314="","",LEFT(UPPER(TRIM(Sync!$Z314)),6))</f>
        <v/>
      </c>
      <c r="B314">
        <f>IF($A314="","",IF(Sync!$AA314="","",Sync!$AA314))</f>
        <v/>
      </c>
      <c r="C314">
        <f>IF($A314="","",IF(Sync!$AB314="","",Sync!$AB314))</f>
        <v/>
      </c>
      <c r="D314">
        <f>IF($A314="","",IF(Sync!$AC314="","",Sync!$AC314))</f>
        <v/>
      </c>
      <c r="E314">
        <f>IF($A314="","",IF(Sync!$AD314="","",Sync!$AD314))</f>
        <v/>
      </c>
      <c r="F314">
        <f>IF($A314="","",IF(Sync!$AE314="",0,Sync!$AE314))</f>
        <v/>
      </c>
      <c r="G314">
        <f>IF($A314="","",IF(Sync!$AF314="",0,Sync!$AF314))</f>
        <v/>
      </c>
      <c r="H314">
        <f>IF(OR($A314="",ROUND($F314+$G314,2)=0),"",$F314+$G314)</f>
        <v/>
      </c>
      <c r="I314">
        <f>IF($H314="","",IF(ROUND($F314,2)&gt;0,$A314,IF($D314="شخصی قاسم","شخصی قاسم",IF($D314="هزینه","هزینه: "&amp;IF($E314="","متفرقه",$E314),IF($C314="پاس چک","چک پرداختی",IF(OR($B314="",COUNTIF(AcctCodesA,$B314)=0),"متفرقه",$B314))))))</f>
        <v/>
      </c>
      <c r="J314">
        <f>IF($H314="","",IF(ROUND($F314,2)&gt;0,IF($D314="شخصی قاسم","شخصی قاسم",IF($D314="هزینه","هزینه: "&amp;IF($E314="","متفرقه",$E314),IF(OR($B314="",COUNTIF(AcctCodesA,$B314)=0),"متفرقه",$B314))),$A314))</f>
        <v/>
      </c>
      <c r="K314">
        <f>IF($A314="","",IF(AND($B314&lt;&gt;"",COUNTIF(AcctCodesA,$B314)=0),"کد طرف در INFO تعریف نشده",IF(AND($D314="هزینه",$E314=""),"هزینه بدون زیرگروه",IF(AND($C314="پاس چک",OR(Sync!$AJ314="",COUNTIF(IssueNosA,Sync!$AJ314)=0)),"شماره چک پاس‌شده معتبر نیست",""))))</f>
        <v/>
      </c>
      <c r="M314">
        <f>IF(Sync!$AH314="","",Sync!$AH314)</f>
        <v/>
      </c>
      <c r="N314">
        <f>IF($M314="","",IF(OR(Sync!$AI314="",COUNTIF(AcctCodesA,Sync!$AI314)=0),"متفرقه",Sync!$AI314))</f>
        <v/>
      </c>
      <c r="O314">
        <f>IF($M314="","",$N314)</f>
        <v/>
      </c>
      <c r="P314">
        <f>IF($M314="","","چک پرداختی")</f>
        <v/>
      </c>
      <c r="R314">
        <f>IF($M314="","",IF(COUNTIF(AcctCodesA,Sync!$AI314)=0,"ذی‌نفع چک تعریف‌نشده",""))</f>
        <v/>
      </c>
      <c r="S314">
        <f>IF($R314="","",Sync!$AG314&amp;"|"&amp;"5"&amp;RIGHT("00000"&amp;309,5))</f>
        <v/>
      </c>
      <c r="T314">
        <f>IF($S314="",0,COUNTIFS($S$6:$S$505,"&lt;"&amp;$S314)-COUNTIFS($S$6:$S$505,"&lt;"&amp;$S314,$R$6:$R$505,"")+1)</f>
        <v/>
      </c>
      <c r="V314">
        <f>IF($K314="","",IF(ISNUMBER(Sync!$AK314),Sync!$AK314,LEFT(Sync!$AK314,4)&amp;MID(Sync!$AK314,6,2)&amp;RIGHT(Sync!$AK314,2))&amp;"|"&amp;"4"&amp;RIGHT("00000"&amp;309,5))</f>
        <v/>
      </c>
      <c r="W314">
        <f>IF($V314="",0,COUNTIFS($V$6:$V$2005,"&lt;"&amp;$V314)-COUNTIFS($V$6:$V$2005,"&lt;"&amp;$V314,$K$6:$K$2005,"")+1)</f>
        <v/>
      </c>
      <c r="X314">
        <f>IF(Sync!$AX314="","",IF(OR(N(Sync!$AY314)=0,N(Sync!$AZ314)=0),"",ROUND(N(Sync!$AY314)*N(Sync!$AZ314),0)))</f>
        <v/>
      </c>
      <c r="Y314">
        <f>IF($X314="","",IF(OR(Sync!$AX314="",COUNTIF(AcctCodesA,Sync!$AX314)=0),"متفرقه",Sync!$AX314))</f>
        <v/>
      </c>
      <c r="Z314">
        <f>IF($X314="","","سبد و ظروف")</f>
        <v/>
      </c>
      <c r="AA314">
        <f>IF($X314="","",$Y314)</f>
        <v/>
      </c>
    </row>
    <row r="315">
      <c r="A315">
        <f>IF(Sync!$Z315="","",LEFT(UPPER(TRIM(Sync!$Z315)),6))</f>
        <v/>
      </c>
      <c r="B315">
        <f>IF($A315="","",IF(Sync!$AA315="","",Sync!$AA315))</f>
        <v/>
      </c>
      <c r="C315">
        <f>IF($A315="","",IF(Sync!$AB315="","",Sync!$AB315))</f>
        <v/>
      </c>
      <c r="D315">
        <f>IF($A315="","",IF(Sync!$AC315="","",Sync!$AC315))</f>
        <v/>
      </c>
      <c r="E315">
        <f>IF($A315="","",IF(Sync!$AD315="","",Sync!$AD315))</f>
        <v/>
      </c>
      <c r="F315">
        <f>IF($A315="","",IF(Sync!$AE315="",0,Sync!$AE315))</f>
        <v/>
      </c>
      <c r="G315">
        <f>IF($A315="","",IF(Sync!$AF315="",0,Sync!$AF315))</f>
        <v/>
      </c>
      <c r="H315">
        <f>IF(OR($A315="",ROUND($F315+$G315,2)=0),"",$F315+$G315)</f>
        <v/>
      </c>
      <c r="I315">
        <f>IF($H315="","",IF(ROUND($F315,2)&gt;0,$A315,IF($D315="شخصی قاسم","شخصی قاسم",IF($D315="هزینه","هزینه: "&amp;IF($E315="","متفرقه",$E315),IF($C315="پاس چک","چک پرداختی",IF(OR($B315="",COUNTIF(AcctCodesA,$B315)=0),"متفرقه",$B315))))))</f>
        <v/>
      </c>
      <c r="J315">
        <f>IF($H315="","",IF(ROUND($F315,2)&gt;0,IF($D315="شخصی قاسم","شخصی قاسم",IF($D315="هزینه","هزینه: "&amp;IF($E315="","متفرقه",$E315),IF(OR($B315="",COUNTIF(AcctCodesA,$B315)=0),"متفرقه",$B315))),$A315))</f>
        <v/>
      </c>
      <c r="K315">
        <f>IF($A315="","",IF(AND($B315&lt;&gt;"",COUNTIF(AcctCodesA,$B315)=0),"کد طرف در INFO تعریف نشده",IF(AND($D315="هزینه",$E315=""),"هزینه بدون زیرگروه",IF(AND($C315="پاس چک",OR(Sync!$AJ315="",COUNTIF(IssueNosA,Sync!$AJ315)=0)),"شماره چک پاس‌شده معتبر نیست",""))))</f>
        <v/>
      </c>
      <c r="M315">
        <f>IF(Sync!$AH315="","",Sync!$AH315)</f>
        <v/>
      </c>
      <c r="N315">
        <f>IF($M315="","",IF(OR(Sync!$AI315="",COUNTIF(AcctCodesA,Sync!$AI315)=0),"متفرقه",Sync!$AI315))</f>
        <v/>
      </c>
      <c r="O315">
        <f>IF($M315="","",$N315)</f>
        <v/>
      </c>
      <c r="P315">
        <f>IF($M315="","","چک پرداختی")</f>
        <v/>
      </c>
      <c r="R315">
        <f>IF($M315="","",IF(COUNTIF(AcctCodesA,Sync!$AI315)=0,"ذی‌نفع چک تعریف‌نشده",""))</f>
        <v/>
      </c>
      <c r="S315">
        <f>IF($R315="","",Sync!$AG315&amp;"|"&amp;"5"&amp;RIGHT("00000"&amp;310,5))</f>
        <v/>
      </c>
      <c r="T315">
        <f>IF($S315="",0,COUNTIFS($S$6:$S$505,"&lt;"&amp;$S315)-COUNTIFS($S$6:$S$505,"&lt;"&amp;$S315,$R$6:$R$505,"")+1)</f>
        <v/>
      </c>
      <c r="V315">
        <f>IF($K315="","",IF(ISNUMBER(Sync!$AK315),Sync!$AK315,LEFT(Sync!$AK315,4)&amp;MID(Sync!$AK315,6,2)&amp;RIGHT(Sync!$AK315,2))&amp;"|"&amp;"4"&amp;RIGHT("00000"&amp;310,5))</f>
        <v/>
      </c>
      <c r="W315">
        <f>IF($V315="",0,COUNTIFS($V$6:$V$2005,"&lt;"&amp;$V315)-COUNTIFS($V$6:$V$2005,"&lt;"&amp;$V315,$K$6:$K$2005,"")+1)</f>
        <v/>
      </c>
      <c r="X315">
        <f>IF(Sync!$AX315="","",IF(OR(N(Sync!$AY315)=0,N(Sync!$AZ315)=0),"",ROUND(N(Sync!$AY315)*N(Sync!$AZ315),0)))</f>
        <v/>
      </c>
      <c r="Y315">
        <f>IF($X315="","",IF(OR(Sync!$AX315="",COUNTIF(AcctCodesA,Sync!$AX315)=0),"متفرقه",Sync!$AX315))</f>
        <v/>
      </c>
      <c r="Z315">
        <f>IF($X315="","","سبد و ظروف")</f>
        <v/>
      </c>
      <c r="AA315">
        <f>IF($X315="","",$Y315)</f>
        <v/>
      </c>
    </row>
    <row r="316">
      <c r="A316">
        <f>IF(Sync!$Z316="","",LEFT(UPPER(TRIM(Sync!$Z316)),6))</f>
        <v/>
      </c>
      <c r="B316">
        <f>IF($A316="","",IF(Sync!$AA316="","",Sync!$AA316))</f>
        <v/>
      </c>
      <c r="C316">
        <f>IF($A316="","",IF(Sync!$AB316="","",Sync!$AB316))</f>
        <v/>
      </c>
      <c r="D316">
        <f>IF($A316="","",IF(Sync!$AC316="","",Sync!$AC316))</f>
        <v/>
      </c>
      <c r="E316">
        <f>IF($A316="","",IF(Sync!$AD316="","",Sync!$AD316))</f>
        <v/>
      </c>
      <c r="F316">
        <f>IF($A316="","",IF(Sync!$AE316="",0,Sync!$AE316))</f>
        <v/>
      </c>
      <c r="G316">
        <f>IF($A316="","",IF(Sync!$AF316="",0,Sync!$AF316))</f>
        <v/>
      </c>
      <c r="H316">
        <f>IF(OR($A316="",ROUND($F316+$G316,2)=0),"",$F316+$G316)</f>
        <v/>
      </c>
      <c r="I316">
        <f>IF($H316="","",IF(ROUND($F316,2)&gt;0,$A316,IF($D316="شخصی قاسم","شخصی قاسم",IF($D316="هزینه","هزینه: "&amp;IF($E316="","متفرقه",$E316),IF($C316="پاس چک","چک پرداختی",IF(OR($B316="",COUNTIF(AcctCodesA,$B316)=0),"متفرقه",$B316))))))</f>
        <v/>
      </c>
      <c r="J316">
        <f>IF($H316="","",IF(ROUND($F316,2)&gt;0,IF($D316="شخصی قاسم","شخصی قاسم",IF($D316="هزینه","هزینه: "&amp;IF($E316="","متفرقه",$E316),IF(OR($B316="",COUNTIF(AcctCodesA,$B316)=0),"متفرقه",$B316))),$A316))</f>
        <v/>
      </c>
      <c r="K316">
        <f>IF($A316="","",IF(AND($B316&lt;&gt;"",COUNTIF(AcctCodesA,$B316)=0),"کد طرف در INFO تعریف نشده",IF(AND($D316="هزینه",$E316=""),"هزینه بدون زیرگروه",IF(AND($C316="پاس چک",OR(Sync!$AJ316="",COUNTIF(IssueNosA,Sync!$AJ316)=0)),"شماره چک پاس‌شده معتبر نیست",""))))</f>
        <v/>
      </c>
      <c r="M316">
        <f>IF(Sync!$AH316="","",Sync!$AH316)</f>
        <v/>
      </c>
      <c r="N316">
        <f>IF($M316="","",IF(OR(Sync!$AI316="",COUNTIF(AcctCodesA,Sync!$AI316)=0),"متفرقه",Sync!$AI316))</f>
        <v/>
      </c>
      <c r="O316">
        <f>IF($M316="","",$N316)</f>
        <v/>
      </c>
      <c r="P316">
        <f>IF($M316="","","چک پرداختی")</f>
        <v/>
      </c>
      <c r="R316">
        <f>IF($M316="","",IF(COUNTIF(AcctCodesA,Sync!$AI316)=0,"ذی‌نفع چک تعریف‌نشده",""))</f>
        <v/>
      </c>
      <c r="S316">
        <f>IF($R316="","",Sync!$AG316&amp;"|"&amp;"5"&amp;RIGHT("00000"&amp;311,5))</f>
        <v/>
      </c>
      <c r="T316">
        <f>IF($S316="",0,COUNTIFS($S$6:$S$505,"&lt;"&amp;$S316)-COUNTIFS($S$6:$S$505,"&lt;"&amp;$S316,$R$6:$R$505,"")+1)</f>
        <v/>
      </c>
      <c r="V316">
        <f>IF($K316="","",IF(ISNUMBER(Sync!$AK316),Sync!$AK316,LEFT(Sync!$AK316,4)&amp;MID(Sync!$AK316,6,2)&amp;RIGHT(Sync!$AK316,2))&amp;"|"&amp;"4"&amp;RIGHT("00000"&amp;311,5))</f>
        <v/>
      </c>
      <c r="W316">
        <f>IF($V316="",0,COUNTIFS($V$6:$V$2005,"&lt;"&amp;$V316)-COUNTIFS($V$6:$V$2005,"&lt;"&amp;$V316,$K$6:$K$2005,"")+1)</f>
        <v/>
      </c>
      <c r="X316">
        <f>IF(Sync!$AX316="","",IF(OR(N(Sync!$AY316)=0,N(Sync!$AZ316)=0),"",ROUND(N(Sync!$AY316)*N(Sync!$AZ316),0)))</f>
        <v/>
      </c>
      <c r="Y316">
        <f>IF($X316="","",IF(OR(Sync!$AX316="",COUNTIF(AcctCodesA,Sync!$AX316)=0),"متفرقه",Sync!$AX316))</f>
        <v/>
      </c>
      <c r="Z316">
        <f>IF($X316="","","سبد و ظروف")</f>
        <v/>
      </c>
      <c r="AA316">
        <f>IF($X316="","",$Y316)</f>
        <v/>
      </c>
    </row>
    <row r="317">
      <c r="A317">
        <f>IF(Sync!$Z317="","",LEFT(UPPER(TRIM(Sync!$Z317)),6))</f>
        <v/>
      </c>
      <c r="B317">
        <f>IF($A317="","",IF(Sync!$AA317="","",Sync!$AA317))</f>
        <v/>
      </c>
      <c r="C317">
        <f>IF($A317="","",IF(Sync!$AB317="","",Sync!$AB317))</f>
        <v/>
      </c>
      <c r="D317">
        <f>IF($A317="","",IF(Sync!$AC317="","",Sync!$AC317))</f>
        <v/>
      </c>
      <c r="E317">
        <f>IF($A317="","",IF(Sync!$AD317="","",Sync!$AD317))</f>
        <v/>
      </c>
      <c r="F317">
        <f>IF($A317="","",IF(Sync!$AE317="",0,Sync!$AE317))</f>
        <v/>
      </c>
      <c r="G317">
        <f>IF($A317="","",IF(Sync!$AF317="",0,Sync!$AF317))</f>
        <v/>
      </c>
      <c r="H317">
        <f>IF(OR($A317="",ROUND($F317+$G317,2)=0),"",$F317+$G317)</f>
        <v/>
      </c>
      <c r="I317">
        <f>IF($H317="","",IF(ROUND($F317,2)&gt;0,$A317,IF($D317="شخصی قاسم","شخصی قاسم",IF($D317="هزینه","هزینه: "&amp;IF($E317="","متفرقه",$E317),IF($C317="پاس چک","چک پرداختی",IF(OR($B317="",COUNTIF(AcctCodesA,$B317)=0),"متفرقه",$B317))))))</f>
        <v/>
      </c>
      <c r="J317">
        <f>IF($H317="","",IF(ROUND($F317,2)&gt;0,IF($D317="شخصی قاسم","شخصی قاسم",IF($D317="هزینه","هزینه: "&amp;IF($E317="","متفرقه",$E317),IF(OR($B317="",COUNTIF(AcctCodesA,$B317)=0),"متفرقه",$B317))),$A317))</f>
        <v/>
      </c>
      <c r="K317">
        <f>IF($A317="","",IF(AND($B317&lt;&gt;"",COUNTIF(AcctCodesA,$B317)=0),"کد طرف در INFO تعریف نشده",IF(AND($D317="هزینه",$E317=""),"هزینه بدون زیرگروه",IF(AND($C317="پاس چک",OR(Sync!$AJ317="",COUNTIF(IssueNosA,Sync!$AJ317)=0)),"شماره چک پاس‌شده معتبر نیست",""))))</f>
        <v/>
      </c>
      <c r="M317">
        <f>IF(Sync!$AH317="","",Sync!$AH317)</f>
        <v/>
      </c>
      <c r="N317">
        <f>IF($M317="","",IF(OR(Sync!$AI317="",COUNTIF(AcctCodesA,Sync!$AI317)=0),"متفرقه",Sync!$AI317))</f>
        <v/>
      </c>
      <c r="O317">
        <f>IF($M317="","",$N317)</f>
        <v/>
      </c>
      <c r="P317">
        <f>IF($M317="","","چک پرداختی")</f>
        <v/>
      </c>
      <c r="R317">
        <f>IF($M317="","",IF(COUNTIF(AcctCodesA,Sync!$AI317)=0,"ذی‌نفع چک تعریف‌نشده",""))</f>
        <v/>
      </c>
      <c r="S317">
        <f>IF($R317="","",Sync!$AG317&amp;"|"&amp;"5"&amp;RIGHT("00000"&amp;312,5))</f>
        <v/>
      </c>
      <c r="T317">
        <f>IF($S317="",0,COUNTIFS($S$6:$S$505,"&lt;"&amp;$S317)-COUNTIFS($S$6:$S$505,"&lt;"&amp;$S317,$R$6:$R$505,"")+1)</f>
        <v/>
      </c>
      <c r="V317">
        <f>IF($K317="","",IF(ISNUMBER(Sync!$AK317),Sync!$AK317,LEFT(Sync!$AK317,4)&amp;MID(Sync!$AK317,6,2)&amp;RIGHT(Sync!$AK317,2))&amp;"|"&amp;"4"&amp;RIGHT("00000"&amp;312,5))</f>
        <v/>
      </c>
      <c r="W317">
        <f>IF($V317="",0,COUNTIFS($V$6:$V$2005,"&lt;"&amp;$V317)-COUNTIFS($V$6:$V$2005,"&lt;"&amp;$V317,$K$6:$K$2005,"")+1)</f>
        <v/>
      </c>
      <c r="X317">
        <f>IF(Sync!$AX317="","",IF(OR(N(Sync!$AY317)=0,N(Sync!$AZ317)=0),"",ROUND(N(Sync!$AY317)*N(Sync!$AZ317),0)))</f>
        <v/>
      </c>
      <c r="Y317">
        <f>IF($X317="","",IF(OR(Sync!$AX317="",COUNTIF(AcctCodesA,Sync!$AX317)=0),"متفرقه",Sync!$AX317))</f>
        <v/>
      </c>
      <c r="Z317">
        <f>IF($X317="","","سبد و ظروف")</f>
        <v/>
      </c>
      <c r="AA317">
        <f>IF($X317="","",$Y317)</f>
        <v/>
      </c>
    </row>
    <row r="318">
      <c r="A318">
        <f>IF(Sync!$Z318="","",LEFT(UPPER(TRIM(Sync!$Z318)),6))</f>
        <v/>
      </c>
      <c r="B318">
        <f>IF($A318="","",IF(Sync!$AA318="","",Sync!$AA318))</f>
        <v/>
      </c>
      <c r="C318">
        <f>IF($A318="","",IF(Sync!$AB318="","",Sync!$AB318))</f>
        <v/>
      </c>
      <c r="D318">
        <f>IF($A318="","",IF(Sync!$AC318="","",Sync!$AC318))</f>
        <v/>
      </c>
      <c r="E318">
        <f>IF($A318="","",IF(Sync!$AD318="","",Sync!$AD318))</f>
        <v/>
      </c>
      <c r="F318">
        <f>IF($A318="","",IF(Sync!$AE318="",0,Sync!$AE318))</f>
        <v/>
      </c>
      <c r="G318">
        <f>IF($A318="","",IF(Sync!$AF318="",0,Sync!$AF318))</f>
        <v/>
      </c>
      <c r="H318">
        <f>IF(OR($A318="",ROUND($F318+$G318,2)=0),"",$F318+$G318)</f>
        <v/>
      </c>
      <c r="I318">
        <f>IF($H318="","",IF(ROUND($F318,2)&gt;0,$A318,IF($D318="شخصی قاسم","شخصی قاسم",IF($D318="هزینه","هزینه: "&amp;IF($E318="","متفرقه",$E318),IF($C318="پاس چک","چک پرداختی",IF(OR($B318="",COUNTIF(AcctCodesA,$B318)=0),"متفرقه",$B318))))))</f>
        <v/>
      </c>
      <c r="J318">
        <f>IF($H318="","",IF(ROUND($F318,2)&gt;0,IF($D318="شخصی قاسم","شخصی قاسم",IF($D318="هزینه","هزینه: "&amp;IF($E318="","متفرقه",$E318),IF(OR($B318="",COUNTIF(AcctCodesA,$B318)=0),"متفرقه",$B318))),$A318))</f>
        <v/>
      </c>
      <c r="K318">
        <f>IF($A318="","",IF(AND($B318&lt;&gt;"",COUNTIF(AcctCodesA,$B318)=0),"کد طرف در INFO تعریف نشده",IF(AND($D318="هزینه",$E318=""),"هزینه بدون زیرگروه",IF(AND($C318="پاس چک",OR(Sync!$AJ318="",COUNTIF(IssueNosA,Sync!$AJ318)=0)),"شماره چک پاس‌شده معتبر نیست",""))))</f>
        <v/>
      </c>
      <c r="M318">
        <f>IF(Sync!$AH318="","",Sync!$AH318)</f>
        <v/>
      </c>
      <c r="N318">
        <f>IF($M318="","",IF(OR(Sync!$AI318="",COUNTIF(AcctCodesA,Sync!$AI318)=0),"متفرقه",Sync!$AI318))</f>
        <v/>
      </c>
      <c r="O318">
        <f>IF($M318="","",$N318)</f>
        <v/>
      </c>
      <c r="P318">
        <f>IF($M318="","","چک پرداختی")</f>
        <v/>
      </c>
      <c r="R318">
        <f>IF($M318="","",IF(COUNTIF(AcctCodesA,Sync!$AI318)=0,"ذی‌نفع چک تعریف‌نشده",""))</f>
        <v/>
      </c>
      <c r="S318">
        <f>IF($R318="","",Sync!$AG318&amp;"|"&amp;"5"&amp;RIGHT("00000"&amp;313,5))</f>
        <v/>
      </c>
      <c r="T318">
        <f>IF($S318="",0,COUNTIFS($S$6:$S$505,"&lt;"&amp;$S318)-COUNTIFS($S$6:$S$505,"&lt;"&amp;$S318,$R$6:$R$505,"")+1)</f>
        <v/>
      </c>
      <c r="V318">
        <f>IF($K318="","",IF(ISNUMBER(Sync!$AK318),Sync!$AK318,LEFT(Sync!$AK318,4)&amp;MID(Sync!$AK318,6,2)&amp;RIGHT(Sync!$AK318,2))&amp;"|"&amp;"4"&amp;RIGHT("00000"&amp;313,5))</f>
        <v/>
      </c>
      <c r="W318">
        <f>IF($V318="",0,COUNTIFS($V$6:$V$2005,"&lt;"&amp;$V318)-COUNTIFS($V$6:$V$2005,"&lt;"&amp;$V318,$K$6:$K$2005,"")+1)</f>
        <v/>
      </c>
      <c r="X318">
        <f>IF(Sync!$AX318="","",IF(OR(N(Sync!$AY318)=0,N(Sync!$AZ318)=0),"",ROUND(N(Sync!$AY318)*N(Sync!$AZ318),0)))</f>
        <v/>
      </c>
      <c r="Y318">
        <f>IF($X318="","",IF(OR(Sync!$AX318="",COUNTIF(AcctCodesA,Sync!$AX318)=0),"متفرقه",Sync!$AX318))</f>
        <v/>
      </c>
      <c r="Z318">
        <f>IF($X318="","","سبد و ظروف")</f>
        <v/>
      </c>
      <c r="AA318">
        <f>IF($X318="","",$Y318)</f>
        <v/>
      </c>
    </row>
    <row r="319">
      <c r="A319">
        <f>IF(Sync!$Z319="","",LEFT(UPPER(TRIM(Sync!$Z319)),6))</f>
        <v/>
      </c>
      <c r="B319">
        <f>IF($A319="","",IF(Sync!$AA319="","",Sync!$AA319))</f>
        <v/>
      </c>
      <c r="C319">
        <f>IF($A319="","",IF(Sync!$AB319="","",Sync!$AB319))</f>
        <v/>
      </c>
      <c r="D319">
        <f>IF($A319="","",IF(Sync!$AC319="","",Sync!$AC319))</f>
        <v/>
      </c>
      <c r="E319">
        <f>IF($A319="","",IF(Sync!$AD319="","",Sync!$AD319))</f>
        <v/>
      </c>
      <c r="F319">
        <f>IF($A319="","",IF(Sync!$AE319="",0,Sync!$AE319))</f>
        <v/>
      </c>
      <c r="G319">
        <f>IF($A319="","",IF(Sync!$AF319="",0,Sync!$AF319))</f>
        <v/>
      </c>
      <c r="H319">
        <f>IF(OR($A319="",ROUND($F319+$G319,2)=0),"",$F319+$G319)</f>
        <v/>
      </c>
      <c r="I319">
        <f>IF($H319="","",IF(ROUND($F319,2)&gt;0,$A319,IF($D319="شخصی قاسم","شخصی قاسم",IF($D319="هزینه","هزینه: "&amp;IF($E319="","متفرقه",$E319),IF($C319="پاس چک","چک پرداختی",IF(OR($B319="",COUNTIF(AcctCodesA,$B319)=0),"متفرقه",$B319))))))</f>
        <v/>
      </c>
      <c r="J319">
        <f>IF($H319="","",IF(ROUND($F319,2)&gt;0,IF($D319="شخصی قاسم","شخصی قاسم",IF($D319="هزینه","هزینه: "&amp;IF($E319="","متفرقه",$E319),IF(OR($B319="",COUNTIF(AcctCodesA,$B319)=0),"متفرقه",$B319))),$A319))</f>
        <v/>
      </c>
      <c r="K319">
        <f>IF($A319="","",IF(AND($B319&lt;&gt;"",COUNTIF(AcctCodesA,$B319)=0),"کد طرف در INFO تعریف نشده",IF(AND($D319="هزینه",$E319=""),"هزینه بدون زیرگروه",IF(AND($C319="پاس چک",OR(Sync!$AJ319="",COUNTIF(IssueNosA,Sync!$AJ319)=0)),"شماره چک پاس‌شده معتبر نیست",""))))</f>
        <v/>
      </c>
      <c r="M319">
        <f>IF(Sync!$AH319="","",Sync!$AH319)</f>
        <v/>
      </c>
      <c r="N319">
        <f>IF($M319="","",IF(OR(Sync!$AI319="",COUNTIF(AcctCodesA,Sync!$AI319)=0),"متفرقه",Sync!$AI319))</f>
        <v/>
      </c>
      <c r="O319">
        <f>IF($M319="","",$N319)</f>
        <v/>
      </c>
      <c r="P319">
        <f>IF($M319="","","چک پرداختی")</f>
        <v/>
      </c>
      <c r="R319">
        <f>IF($M319="","",IF(COUNTIF(AcctCodesA,Sync!$AI319)=0,"ذی‌نفع چک تعریف‌نشده",""))</f>
        <v/>
      </c>
      <c r="S319">
        <f>IF($R319="","",Sync!$AG319&amp;"|"&amp;"5"&amp;RIGHT("00000"&amp;314,5))</f>
        <v/>
      </c>
      <c r="T319">
        <f>IF($S319="",0,COUNTIFS($S$6:$S$505,"&lt;"&amp;$S319)-COUNTIFS($S$6:$S$505,"&lt;"&amp;$S319,$R$6:$R$505,"")+1)</f>
        <v/>
      </c>
      <c r="V319">
        <f>IF($K319="","",IF(ISNUMBER(Sync!$AK319),Sync!$AK319,LEFT(Sync!$AK319,4)&amp;MID(Sync!$AK319,6,2)&amp;RIGHT(Sync!$AK319,2))&amp;"|"&amp;"4"&amp;RIGHT("00000"&amp;314,5))</f>
        <v/>
      </c>
      <c r="W319">
        <f>IF($V319="",0,COUNTIFS($V$6:$V$2005,"&lt;"&amp;$V319)-COUNTIFS($V$6:$V$2005,"&lt;"&amp;$V319,$K$6:$K$2005,"")+1)</f>
        <v/>
      </c>
      <c r="X319">
        <f>IF(Sync!$AX319="","",IF(OR(N(Sync!$AY319)=0,N(Sync!$AZ319)=0),"",ROUND(N(Sync!$AY319)*N(Sync!$AZ319),0)))</f>
        <v/>
      </c>
      <c r="Y319">
        <f>IF($X319="","",IF(OR(Sync!$AX319="",COUNTIF(AcctCodesA,Sync!$AX319)=0),"متفرقه",Sync!$AX319))</f>
        <v/>
      </c>
      <c r="Z319">
        <f>IF($X319="","","سبد و ظروف")</f>
        <v/>
      </c>
      <c r="AA319">
        <f>IF($X319="","",$Y319)</f>
        <v/>
      </c>
    </row>
    <row r="320">
      <c r="A320">
        <f>IF(Sync!$Z320="","",LEFT(UPPER(TRIM(Sync!$Z320)),6))</f>
        <v/>
      </c>
      <c r="B320">
        <f>IF($A320="","",IF(Sync!$AA320="","",Sync!$AA320))</f>
        <v/>
      </c>
      <c r="C320">
        <f>IF($A320="","",IF(Sync!$AB320="","",Sync!$AB320))</f>
        <v/>
      </c>
      <c r="D320">
        <f>IF($A320="","",IF(Sync!$AC320="","",Sync!$AC320))</f>
        <v/>
      </c>
      <c r="E320">
        <f>IF($A320="","",IF(Sync!$AD320="","",Sync!$AD320))</f>
        <v/>
      </c>
      <c r="F320">
        <f>IF($A320="","",IF(Sync!$AE320="",0,Sync!$AE320))</f>
        <v/>
      </c>
      <c r="G320">
        <f>IF($A320="","",IF(Sync!$AF320="",0,Sync!$AF320))</f>
        <v/>
      </c>
      <c r="H320">
        <f>IF(OR($A320="",ROUND($F320+$G320,2)=0),"",$F320+$G320)</f>
        <v/>
      </c>
      <c r="I320">
        <f>IF($H320="","",IF(ROUND($F320,2)&gt;0,$A320,IF($D320="شخصی قاسم","شخصی قاسم",IF($D320="هزینه","هزینه: "&amp;IF($E320="","متفرقه",$E320),IF($C320="پاس چک","چک پرداختی",IF(OR($B320="",COUNTIF(AcctCodesA,$B320)=0),"متفرقه",$B320))))))</f>
        <v/>
      </c>
      <c r="J320">
        <f>IF($H320="","",IF(ROUND($F320,2)&gt;0,IF($D320="شخصی قاسم","شخصی قاسم",IF($D320="هزینه","هزینه: "&amp;IF($E320="","متفرقه",$E320),IF(OR($B320="",COUNTIF(AcctCodesA,$B320)=0),"متفرقه",$B320))),$A320))</f>
        <v/>
      </c>
      <c r="K320">
        <f>IF($A320="","",IF(AND($B320&lt;&gt;"",COUNTIF(AcctCodesA,$B320)=0),"کد طرف در INFO تعریف نشده",IF(AND($D320="هزینه",$E320=""),"هزینه بدون زیرگروه",IF(AND($C320="پاس چک",OR(Sync!$AJ320="",COUNTIF(IssueNosA,Sync!$AJ320)=0)),"شماره چک پاس‌شده معتبر نیست",""))))</f>
        <v/>
      </c>
      <c r="M320">
        <f>IF(Sync!$AH320="","",Sync!$AH320)</f>
        <v/>
      </c>
      <c r="N320">
        <f>IF($M320="","",IF(OR(Sync!$AI320="",COUNTIF(AcctCodesA,Sync!$AI320)=0),"متفرقه",Sync!$AI320))</f>
        <v/>
      </c>
      <c r="O320">
        <f>IF($M320="","",$N320)</f>
        <v/>
      </c>
      <c r="P320">
        <f>IF($M320="","","چک پرداختی")</f>
        <v/>
      </c>
      <c r="R320">
        <f>IF($M320="","",IF(COUNTIF(AcctCodesA,Sync!$AI320)=0,"ذی‌نفع چک تعریف‌نشده",""))</f>
        <v/>
      </c>
      <c r="S320">
        <f>IF($R320="","",Sync!$AG320&amp;"|"&amp;"5"&amp;RIGHT("00000"&amp;315,5))</f>
        <v/>
      </c>
      <c r="T320">
        <f>IF($S320="",0,COUNTIFS($S$6:$S$505,"&lt;"&amp;$S320)-COUNTIFS($S$6:$S$505,"&lt;"&amp;$S320,$R$6:$R$505,"")+1)</f>
        <v/>
      </c>
      <c r="V320">
        <f>IF($K320="","",IF(ISNUMBER(Sync!$AK320),Sync!$AK320,LEFT(Sync!$AK320,4)&amp;MID(Sync!$AK320,6,2)&amp;RIGHT(Sync!$AK320,2))&amp;"|"&amp;"4"&amp;RIGHT("00000"&amp;315,5))</f>
        <v/>
      </c>
      <c r="W320">
        <f>IF($V320="",0,COUNTIFS($V$6:$V$2005,"&lt;"&amp;$V320)-COUNTIFS($V$6:$V$2005,"&lt;"&amp;$V320,$K$6:$K$2005,"")+1)</f>
        <v/>
      </c>
      <c r="X320">
        <f>IF(Sync!$AX320="","",IF(OR(N(Sync!$AY320)=0,N(Sync!$AZ320)=0),"",ROUND(N(Sync!$AY320)*N(Sync!$AZ320),0)))</f>
        <v/>
      </c>
      <c r="Y320">
        <f>IF($X320="","",IF(OR(Sync!$AX320="",COUNTIF(AcctCodesA,Sync!$AX320)=0),"متفرقه",Sync!$AX320))</f>
        <v/>
      </c>
      <c r="Z320">
        <f>IF($X320="","","سبد و ظروف")</f>
        <v/>
      </c>
      <c r="AA320">
        <f>IF($X320="","",$Y320)</f>
        <v/>
      </c>
    </row>
    <row r="321">
      <c r="A321">
        <f>IF(Sync!$Z321="","",LEFT(UPPER(TRIM(Sync!$Z321)),6))</f>
        <v/>
      </c>
      <c r="B321">
        <f>IF($A321="","",IF(Sync!$AA321="","",Sync!$AA321))</f>
        <v/>
      </c>
      <c r="C321">
        <f>IF($A321="","",IF(Sync!$AB321="","",Sync!$AB321))</f>
        <v/>
      </c>
      <c r="D321">
        <f>IF($A321="","",IF(Sync!$AC321="","",Sync!$AC321))</f>
        <v/>
      </c>
      <c r="E321">
        <f>IF($A321="","",IF(Sync!$AD321="","",Sync!$AD321))</f>
        <v/>
      </c>
      <c r="F321">
        <f>IF($A321="","",IF(Sync!$AE321="",0,Sync!$AE321))</f>
        <v/>
      </c>
      <c r="G321">
        <f>IF($A321="","",IF(Sync!$AF321="",0,Sync!$AF321))</f>
        <v/>
      </c>
      <c r="H321">
        <f>IF(OR($A321="",ROUND($F321+$G321,2)=0),"",$F321+$G321)</f>
        <v/>
      </c>
      <c r="I321">
        <f>IF($H321="","",IF(ROUND($F321,2)&gt;0,$A321,IF($D321="شخصی قاسم","شخصی قاسم",IF($D321="هزینه","هزینه: "&amp;IF($E321="","متفرقه",$E321),IF($C321="پاس چک","چک پرداختی",IF(OR($B321="",COUNTIF(AcctCodesA,$B321)=0),"متفرقه",$B321))))))</f>
        <v/>
      </c>
      <c r="J321">
        <f>IF($H321="","",IF(ROUND($F321,2)&gt;0,IF($D321="شخصی قاسم","شخصی قاسم",IF($D321="هزینه","هزینه: "&amp;IF($E321="","متفرقه",$E321),IF(OR($B321="",COUNTIF(AcctCodesA,$B321)=0),"متفرقه",$B321))),$A321))</f>
        <v/>
      </c>
      <c r="K321">
        <f>IF($A321="","",IF(AND($B321&lt;&gt;"",COUNTIF(AcctCodesA,$B321)=0),"کد طرف در INFO تعریف نشده",IF(AND($D321="هزینه",$E321=""),"هزینه بدون زیرگروه",IF(AND($C321="پاس چک",OR(Sync!$AJ321="",COUNTIF(IssueNosA,Sync!$AJ321)=0)),"شماره چک پاس‌شده معتبر نیست",""))))</f>
        <v/>
      </c>
      <c r="M321">
        <f>IF(Sync!$AH321="","",Sync!$AH321)</f>
        <v/>
      </c>
      <c r="N321">
        <f>IF($M321="","",IF(OR(Sync!$AI321="",COUNTIF(AcctCodesA,Sync!$AI321)=0),"متفرقه",Sync!$AI321))</f>
        <v/>
      </c>
      <c r="O321">
        <f>IF($M321="","",$N321)</f>
        <v/>
      </c>
      <c r="P321">
        <f>IF($M321="","","چک پرداختی")</f>
        <v/>
      </c>
      <c r="R321">
        <f>IF($M321="","",IF(COUNTIF(AcctCodesA,Sync!$AI321)=0,"ذی‌نفع چک تعریف‌نشده",""))</f>
        <v/>
      </c>
      <c r="S321">
        <f>IF($R321="","",Sync!$AG321&amp;"|"&amp;"5"&amp;RIGHT("00000"&amp;316,5))</f>
        <v/>
      </c>
      <c r="T321">
        <f>IF($S321="",0,COUNTIFS($S$6:$S$505,"&lt;"&amp;$S321)-COUNTIFS($S$6:$S$505,"&lt;"&amp;$S321,$R$6:$R$505,"")+1)</f>
        <v/>
      </c>
      <c r="V321">
        <f>IF($K321="","",IF(ISNUMBER(Sync!$AK321),Sync!$AK321,LEFT(Sync!$AK321,4)&amp;MID(Sync!$AK321,6,2)&amp;RIGHT(Sync!$AK321,2))&amp;"|"&amp;"4"&amp;RIGHT("00000"&amp;316,5))</f>
        <v/>
      </c>
      <c r="W321">
        <f>IF($V321="",0,COUNTIFS($V$6:$V$2005,"&lt;"&amp;$V321)-COUNTIFS($V$6:$V$2005,"&lt;"&amp;$V321,$K$6:$K$2005,"")+1)</f>
        <v/>
      </c>
      <c r="X321">
        <f>IF(Sync!$AX321="","",IF(OR(N(Sync!$AY321)=0,N(Sync!$AZ321)=0),"",ROUND(N(Sync!$AY321)*N(Sync!$AZ321),0)))</f>
        <v/>
      </c>
      <c r="Y321">
        <f>IF($X321="","",IF(OR(Sync!$AX321="",COUNTIF(AcctCodesA,Sync!$AX321)=0),"متفرقه",Sync!$AX321))</f>
        <v/>
      </c>
      <c r="Z321">
        <f>IF($X321="","","سبد و ظروف")</f>
        <v/>
      </c>
      <c r="AA321">
        <f>IF($X321="","",$Y321)</f>
        <v/>
      </c>
    </row>
    <row r="322">
      <c r="A322">
        <f>IF(Sync!$Z322="","",LEFT(UPPER(TRIM(Sync!$Z322)),6))</f>
        <v/>
      </c>
      <c r="B322">
        <f>IF($A322="","",IF(Sync!$AA322="","",Sync!$AA322))</f>
        <v/>
      </c>
      <c r="C322">
        <f>IF($A322="","",IF(Sync!$AB322="","",Sync!$AB322))</f>
        <v/>
      </c>
      <c r="D322">
        <f>IF($A322="","",IF(Sync!$AC322="","",Sync!$AC322))</f>
        <v/>
      </c>
      <c r="E322">
        <f>IF($A322="","",IF(Sync!$AD322="","",Sync!$AD322))</f>
        <v/>
      </c>
      <c r="F322">
        <f>IF($A322="","",IF(Sync!$AE322="",0,Sync!$AE322))</f>
        <v/>
      </c>
      <c r="G322">
        <f>IF($A322="","",IF(Sync!$AF322="",0,Sync!$AF322))</f>
        <v/>
      </c>
      <c r="H322">
        <f>IF(OR($A322="",ROUND($F322+$G322,2)=0),"",$F322+$G322)</f>
        <v/>
      </c>
      <c r="I322">
        <f>IF($H322="","",IF(ROUND($F322,2)&gt;0,$A322,IF($D322="شخصی قاسم","شخصی قاسم",IF($D322="هزینه","هزینه: "&amp;IF($E322="","متفرقه",$E322),IF($C322="پاس چک","چک پرداختی",IF(OR($B322="",COUNTIF(AcctCodesA,$B322)=0),"متفرقه",$B322))))))</f>
        <v/>
      </c>
      <c r="J322">
        <f>IF($H322="","",IF(ROUND($F322,2)&gt;0,IF($D322="شخصی قاسم","شخصی قاسم",IF($D322="هزینه","هزینه: "&amp;IF($E322="","متفرقه",$E322),IF(OR($B322="",COUNTIF(AcctCodesA,$B322)=0),"متفرقه",$B322))),$A322))</f>
        <v/>
      </c>
      <c r="K322">
        <f>IF($A322="","",IF(AND($B322&lt;&gt;"",COUNTIF(AcctCodesA,$B322)=0),"کد طرف در INFO تعریف نشده",IF(AND($D322="هزینه",$E322=""),"هزینه بدون زیرگروه",IF(AND($C322="پاس چک",OR(Sync!$AJ322="",COUNTIF(IssueNosA,Sync!$AJ322)=0)),"شماره چک پاس‌شده معتبر نیست",""))))</f>
        <v/>
      </c>
      <c r="M322">
        <f>IF(Sync!$AH322="","",Sync!$AH322)</f>
        <v/>
      </c>
      <c r="N322">
        <f>IF($M322="","",IF(OR(Sync!$AI322="",COUNTIF(AcctCodesA,Sync!$AI322)=0),"متفرقه",Sync!$AI322))</f>
        <v/>
      </c>
      <c r="O322">
        <f>IF($M322="","",$N322)</f>
        <v/>
      </c>
      <c r="P322">
        <f>IF($M322="","","چک پرداختی")</f>
        <v/>
      </c>
      <c r="R322">
        <f>IF($M322="","",IF(COUNTIF(AcctCodesA,Sync!$AI322)=0,"ذی‌نفع چک تعریف‌نشده",""))</f>
        <v/>
      </c>
      <c r="S322">
        <f>IF($R322="","",Sync!$AG322&amp;"|"&amp;"5"&amp;RIGHT("00000"&amp;317,5))</f>
        <v/>
      </c>
      <c r="T322">
        <f>IF($S322="",0,COUNTIFS($S$6:$S$505,"&lt;"&amp;$S322)-COUNTIFS($S$6:$S$505,"&lt;"&amp;$S322,$R$6:$R$505,"")+1)</f>
        <v/>
      </c>
      <c r="V322">
        <f>IF($K322="","",IF(ISNUMBER(Sync!$AK322),Sync!$AK322,LEFT(Sync!$AK322,4)&amp;MID(Sync!$AK322,6,2)&amp;RIGHT(Sync!$AK322,2))&amp;"|"&amp;"4"&amp;RIGHT("00000"&amp;317,5))</f>
        <v/>
      </c>
      <c r="W322">
        <f>IF($V322="",0,COUNTIFS($V$6:$V$2005,"&lt;"&amp;$V322)-COUNTIFS($V$6:$V$2005,"&lt;"&amp;$V322,$K$6:$K$2005,"")+1)</f>
        <v/>
      </c>
      <c r="X322">
        <f>IF(Sync!$AX322="","",IF(OR(N(Sync!$AY322)=0,N(Sync!$AZ322)=0),"",ROUND(N(Sync!$AY322)*N(Sync!$AZ322),0)))</f>
        <v/>
      </c>
      <c r="Y322">
        <f>IF($X322="","",IF(OR(Sync!$AX322="",COUNTIF(AcctCodesA,Sync!$AX322)=0),"متفرقه",Sync!$AX322))</f>
        <v/>
      </c>
      <c r="Z322">
        <f>IF($X322="","","سبد و ظروف")</f>
        <v/>
      </c>
      <c r="AA322">
        <f>IF($X322="","",$Y322)</f>
        <v/>
      </c>
    </row>
    <row r="323">
      <c r="A323">
        <f>IF(Sync!$Z323="","",LEFT(UPPER(TRIM(Sync!$Z323)),6))</f>
        <v/>
      </c>
      <c r="B323">
        <f>IF($A323="","",IF(Sync!$AA323="","",Sync!$AA323))</f>
        <v/>
      </c>
      <c r="C323">
        <f>IF($A323="","",IF(Sync!$AB323="","",Sync!$AB323))</f>
        <v/>
      </c>
      <c r="D323">
        <f>IF($A323="","",IF(Sync!$AC323="","",Sync!$AC323))</f>
        <v/>
      </c>
      <c r="E323">
        <f>IF($A323="","",IF(Sync!$AD323="","",Sync!$AD323))</f>
        <v/>
      </c>
      <c r="F323">
        <f>IF($A323="","",IF(Sync!$AE323="",0,Sync!$AE323))</f>
        <v/>
      </c>
      <c r="G323">
        <f>IF($A323="","",IF(Sync!$AF323="",0,Sync!$AF323))</f>
        <v/>
      </c>
      <c r="H323">
        <f>IF(OR($A323="",ROUND($F323+$G323,2)=0),"",$F323+$G323)</f>
        <v/>
      </c>
      <c r="I323">
        <f>IF($H323="","",IF(ROUND($F323,2)&gt;0,$A323,IF($D323="شخصی قاسم","شخصی قاسم",IF($D323="هزینه","هزینه: "&amp;IF($E323="","متفرقه",$E323),IF($C323="پاس چک","چک پرداختی",IF(OR($B323="",COUNTIF(AcctCodesA,$B323)=0),"متفرقه",$B323))))))</f>
        <v/>
      </c>
      <c r="J323">
        <f>IF($H323="","",IF(ROUND($F323,2)&gt;0,IF($D323="شخصی قاسم","شخصی قاسم",IF($D323="هزینه","هزینه: "&amp;IF($E323="","متفرقه",$E323),IF(OR($B323="",COUNTIF(AcctCodesA,$B323)=0),"متفرقه",$B323))),$A323))</f>
        <v/>
      </c>
      <c r="K323">
        <f>IF($A323="","",IF(AND($B323&lt;&gt;"",COUNTIF(AcctCodesA,$B323)=0),"کد طرف در INFO تعریف نشده",IF(AND($D323="هزینه",$E323=""),"هزینه بدون زیرگروه",IF(AND($C323="پاس چک",OR(Sync!$AJ323="",COUNTIF(IssueNosA,Sync!$AJ323)=0)),"شماره چک پاس‌شده معتبر نیست",""))))</f>
        <v/>
      </c>
      <c r="M323">
        <f>IF(Sync!$AH323="","",Sync!$AH323)</f>
        <v/>
      </c>
      <c r="N323">
        <f>IF($M323="","",IF(OR(Sync!$AI323="",COUNTIF(AcctCodesA,Sync!$AI323)=0),"متفرقه",Sync!$AI323))</f>
        <v/>
      </c>
      <c r="O323">
        <f>IF($M323="","",$N323)</f>
        <v/>
      </c>
      <c r="P323">
        <f>IF($M323="","","چک پرداختی")</f>
        <v/>
      </c>
      <c r="R323">
        <f>IF($M323="","",IF(COUNTIF(AcctCodesA,Sync!$AI323)=0,"ذی‌نفع چک تعریف‌نشده",""))</f>
        <v/>
      </c>
      <c r="S323">
        <f>IF($R323="","",Sync!$AG323&amp;"|"&amp;"5"&amp;RIGHT("00000"&amp;318,5))</f>
        <v/>
      </c>
      <c r="T323">
        <f>IF($S323="",0,COUNTIFS($S$6:$S$505,"&lt;"&amp;$S323)-COUNTIFS($S$6:$S$505,"&lt;"&amp;$S323,$R$6:$R$505,"")+1)</f>
        <v/>
      </c>
      <c r="V323">
        <f>IF($K323="","",IF(ISNUMBER(Sync!$AK323),Sync!$AK323,LEFT(Sync!$AK323,4)&amp;MID(Sync!$AK323,6,2)&amp;RIGHT(Sync!$AK323,2))&amp;"|"&amp;"4"&amp;RIGHT("00000"&amp;318,5))</f>
        <v/>
      </c>
      <c r="W323">
        <f>IF($V323="",0,COUNTIFS($V$6:$V$2005,"&lt;"&amp;$V323)-COUNTIFS($V$6:$V$2005,"&lt;"&amp;$V323,$K$6:$K$2005,"")+1)</f>
        <v/>
      </c>
      <c r="X323">
        <f>IF(Sync!$AX323="","",IF(OR(N(Sync!$AY323)=0,N(Sync!$AZ323)=0),"",ROUND(N(Sync!$AY323)*N(Sync!$AZ323),0)))</f>
        <v/>
      </c>
      <c r="Y323">
        <f>IF($X323="","",IF(OR(Sync!$AX323="",COUNTIF(AcctCodesA,Sync!$AX323)=0),"متفرقه",Sync!$AX323))</f>
        <v/>
      </c>
      <c r="Z323">
        <f>IF($X323="","","سبد و ظروف")</f>
        <v/>
      </c>
      <c r="AA323">
        <f>IF($X323="","",$Y323)</f>
        <v/>
      </c>
    </row>
    <row r="324">
      <c r="A324">
        <f>IF(Sync!$Z324="","",LEFT(UPPER(TRIM(Sync!$Z324)),6))</f>
        <v/>
      </c>
      <c r="B324">
        <f>IF($A324="","",IF(Sync!$AA324="","",Sync!$AA324))</f>
        <v/>
      </c>
      <c r="C324">
        <f>IF($A324="","",IF(Sync!$AB324="","",Sync!$AB324))</f>
        <v/>
      </c>
      <c r="D324">
        <f>IF($A324="","",IF(Sync!$AC324="","",Sync!$AC324))</f>
        <v/>
      </c>
      <c r="E324">
        <f>IF($A324="","",IF(Sync!$AD324="","",Sync!$AD324))</f>
        <v/>
      </c>
      <c r="F324">
        <f>IF($A324="","",IF(Sync!$AE324="",0,Sync!$AE324))</f>
        <v/>
      </c>
      <c r="G324">
        <f>IF($A324="","",IF(Sync!$AF324="",0,Sync!$AF324))</f>
        <v/>
      </c>
      <c r="H324">
        <f>IF(OR($A324="",ROUND($F324+$G324,2)=0),"",$F324+$G324)</f>
        <v/>
      </c>
      <c r="I324">
        <f>IF($H324="","",IF(ROUND($F324,2)&gt;0,$A324,IF($D324="شخصی قاسم","شخصی قاسم",IF($D324="هزینه","هزینه: "&amp;IF($E324="","متفرقه",$E324),IF($C324="پاس چک","چک پرداختی",IF(OR($B324="",COUNTIF(AcctCodesA,$B324)=0),"متفرقه",$B324))))))</f>
        <v/>
      </c>
      <c r="J324">
        <f>IF($H324="","",IF(ROUND($F324,2)&gt;0,IF($D324="شخصی قاسم","شخصی قاسم",IF($D324="هزینه","هزینه: "&amp;IF($E324="","متفرقه",$E324),IF(OR($B324="",COUNTIF(AcctCodesA,$B324)=0),"متفرقه",$B324))),$A324))</f>
        <v/>
      </c>
      <c r="K324">
        <f>IF($A324="","",IF(AND($B324&lt;&gt;"",COUNTIF(AcctCodesA,$B324)=0),"کد طرف در INFO تعریف نشده",IF(AND($D324="هزینه",$E324=""),"هزینه بدون زیرگروه",IF(AND($C324="پاس چک",OR(Sync!$AJ324="",COUNTIF(IssueNosA,Sync!$AJ324)=0)),"شماره چک پاس‌شده معتبر نیست",""))))</f>
        <v/>
      </c>
      <c r="M324">
        <f>IF(Sync!$AH324="","",Sync!$AH324)</f>
        <v/>
      </c>
      <c r="N324">
        <f>IF($M324="","",IF(OR(Sync!$AI324="",COUNTIF(AcctCodesA,Sync!$AI324)=0),"متفرقه",Sync!$AI324))</f>
        <v/>
      </c>
      <c r="O324">
        <f>IF($M324="","",$N324)</f>
        <v/>
      </c>
      <c r="P324">
        <f>IF($M324="","","چک پرداختی")</f>
        <v/>
      </c>
      <c r="R324">
        <f>IF($M324="","",IF(COUNTIF(AcctCodesA,Sync!$AI324)=0,"ذی‌نفع چک تعریف‌نشده",""))</f>
        <v/>
      </c>
      <c r="S324">
        <f>IF($R324="","",Sync!$AG324&amp;"|"&amp;"5"&amp;RIGHT("00000"&amp;319,5))</f>
        <v/>
      </c>
      <c r="T324">
        <f>IF($S324="",0,COUNTIFS($S$6:$S$505,"&lt;"&amp;$S324)-COUNTIFS($S$6:$S$505,"&lt;"&amp;$S324,$R$6:$R$505,"")+1)</f>
        <v/>
      </c>
      <c r="V324">
        <f>IF($K324="","",IF(ISNUMBER(Sync!$AK324),Sync!$AK324,LEFT(Sync!$AK324,4)&amp;MID(Sync!$AK324,6,2)&amp;RIGHT(Sync!$AK324,2))&amp;"|"&amp;"4"&amp;RIGHT("00000"&amp;319,5))</f>
        <v/>
      </c>
      <c r="W324">
        <f>IF($V324="",0,COUNTIFS($V$6:$V$2005,"&lt;"&amp;$V324)-COUNTIFS($V$6:$V$2005,"&lt;"&amp;$V324,$K$6:$K$2005,"")+1)</f>
        <v/>
      </c>
      <c r="X324">
        <f>IF(Sync!$AX324="","",IF(OR(N(Sync!$AY324)=0,N(Sync!$AZ324)=0),"",ROUND(N(Sync!$AY324)*N(Sync!$AZ324),0)))</f>
        <v/>
      </c>
      <c r="Y324">
        <f>IF($X324="","",IF(OR(Sync!$AX324="",COUNTIF(AcctCodesA,Sync!$AX324)=0),"متفرقه",Sync!$AX324))</f>
        <v/>
      </c>
      <c r="Z324">
        <f>IF($X324="","","سبد و ظروف")</f>
        <v/>
      </c>
      <c r="AA324">
        <f>IF($X324="","",$Y324)</f>
        <v/>
      </c>
    </row>
    <row r="325">
      <c r="A325">
        <f>IF(Sync!$Z325="","",LEFT(UPPER(TRIM(Sync!$Z325)),6))</f>
        <v/>
      </c>
      <c r="B325">
        <f>IF($A325="","",IF(Sync!$AA325="","",Sync!$AA325))</f>
        <v/>
      </c>
      <c r="C325">
        <f>IF($A325="","",IF(Sync!$AB325="","",Sync!$AB325))</f>
        <v/>
      </c>
      <c r="D325">
        <f>IF($A325="","",IF(Sync!$AC325="","",Sync!$AC325))</f>
        <v/>
      </c>
      <c r="E325">
        <f>IF($A325="","",IF(Sync!$AD325="","",Sync!$AD325))</f>
        <v/>
      </c>
      <c r="F325">
        <f>IF($A325="","",IF(Sync!$AE325="",0,Sync!$AE325))</f>
        <v/>
      </c>
      <c r="G325">
        <f>IF($A325="","",IF(Sync!$AF325="",0,Sync!$AF325))</f>
        <v/>
      </c>
      <c r="H325">
        <f>IF(OR($A325="",ROUND($F325+$G325,2)=0),"",$F325+$G325)</f>
        <v/>
      </c>
      <c r="I325">
        <f>IF($H325="","",IF(ROUND($F325,2)&gt;0,$A325,IF($D325="شخصی قاسم","شخصی قاسم",IF($D325="هزینه","هزینه: "&amp;IF($E325="","متفرقه",$E325),IF($C325="پاس چک","چک پرداختی",IF(OR($B325="",COUNTIF(AcctCodesA,$B325)=0),"متفرقه",$B325))))))</f>
        <v/>
      </c>
      <c r="J325">
        <f>IF($H325="","",IF(ROUND($F325,2)&gt;0,IF($D325="شخصی قاسم","شخصی قاسم",IF($D325="هزینه","هزینه: "&amp;IF($E325="","متفرقه",$E325),IF(OR($B325="",COUNTIF(AcctCodesA,$B325)=0),"متفرقه",$B325))),$A325))</f>
        <v/>
      </c>
      <c r="K325">
        <f>IF($A325="","",IF(AND($B325&lt;&gt;"",COUNTIF(AcctCodesA,$B325)=0),"کد طرف در INFO تعریف نشده",IF(AND($D325="هزینه",$E325=""),"هزینه بدون زیرگروه",IF(AND($C325="پاس چک",OR(Sync!$AJ325="",COUNTIF(IssueNosA,Sync!$AJ325)=0)),"شماره چک پاس‌شده معتبر نیست",""))))</f>
        <v/>
      </c>
      <c r="M325">
        <f>IF(Sync!$AH325="","",Sync!$AH325)</f>
        <v/>
      </c>
      <c r="N325">
        <f>IF($M325="","",IF(OR(Sync!$AI325="",COUNTIF(AcctCodesA,Sync!$AI325)=0),"متفرقه",Sync!$AI325))</f>
        <v/>
      </c>
      <c r="O325">
        <f>IF($M325="","",$N325)</f>
        <v/>
      </c>
      <c r="P325">
        <f>IF($M325="","","چک پرداختی")</f>
        <v/>
      </c>
      <c r="R325">
        <f>IF($M325="","",IF(COUNTIF(AcctCodesA,Sync!$AI325)=0,"ذی‌نفع چک تعریف‌نشده",""))</f>
        <v/>
      </c>
      <c r="S325">
        <f>IF($R325="","",Sync!$AG325&amp;"|"&amp;"5"&amp;RIGHT("00000"&amp;320,5))</f>
        <v/>
      </c>
      <c r="T325">
        <f>IF($S325="",0,COUNTIFS($S$6:$S$505,"&lt;"&amp;$S325)-COUNTIFS($S$6:$S$505,"&lt;"&amp;$S325,$R$6:$R$505,"")+1)</f>
        <v/>
      </c>
      <c r="V325">
        <f>IF($K325="","",IF(ISNUMBER(Sync!$AK325),Sync!$AK325,LEFT(Sync!$AK325,4)&amp;MID(Sync!$AK325,6,2)&amp;RIGHT(Sync!$AK325,2))&amp;"|"&amp;"4"&amp;RIGHT("00000"&amp;320,5))</f>
        <v/>
      </c>
      <c r="W325">
        <f>IF($V325="",0,COUNTIFS($V$6:$V$2005,"&lt;"&amp;$V325)-COUNTIFS($V$6:$V$2005,"&lt;"&amp;$V325,$K$6:$K$2005,"")+1)</f>
        <v/>
      </c>
      <c r="X325">
        <f>IF(Sync!$AX325="","",IF(OR(N(Sync!$AY325)=0,N(Sync!$AZ325)=0),"",ROUND(N(Sync!$AY325)*N(Sync!$AZ325),0)))</f>
        <v/>
      </c>
      <c r="Y325">
        <f>IF($X325="","",IF(OR(Sync!$AX325="",COUNTIF(AcctCodesA,Sync!$AX325)=0),"متفرقه",Sync!$AX325))</f>
        <v/>
      </c>
      <c r="Z325">
        <f>IF($X325="","","سبد و ظروف")</f>
        <v/>
      </c>
      <c r="AA325">
        <f>IF($X325="","",$Y325)</f>
        <v/>
      </c>
    </row>
    <row r="326">
      <c r="A326">
        <f>IF(Sync!$Z326="","",LEFT(UPPER(TRIM(Sync!$Z326)),6))</f>
        <v/>
      </c>
      <c r="B326">
        <f>IF($A326="","",IF(Sync!$AA326="","",Sync!$AA326))</f>
        <v/>
      </c>
      <c r="C326">
        <f>IF($A326="","",IF(Sync!$AB326="","",Sync!$AB326))</f>
        <v/>
      </c>
      <c r="D326">
        <f>IF($A326="","",IF(Sync!$AC326="","",Sync!$AC326))</f>
        <v/>
      </c>
      <c r="E326">
        <f>IF($A326="","",IF(Sync!$AD326="","",Sync!$AD326))</f>
        <v/>
      </c>
      <c r="F326">
        <f>IF($A326="","",IF(Sync!$AE326="",0,Sync!$AE326))</f>
        <v/>
      </c>
      <c r="G326">
        <f>IF($A326="","",IF(Sync!$AF326="",0,Sync!$AF326))</f>
        <v/>
      </c>
      <c r="H326">
        <f>IF(OR($A326="",ROUND($F326+$G326,2)=0),"",$F326+$G326)</f>
        <v/>
      </c>
      <c r="I326">
        <f>IF($H326="","",IF(ROUND($F326,2)&gt;0,$A326,IF($D326="شخصی قاسم","شخصی قاسم",IF($D326="هزینه","هزینه: "&amp;IF($E326="","متفرقه",$E326),IF($C326="پاس چک","چک پرداختی",IF(OR($B326="",COUNTIF(AcctCodesA,$B326)=0),"متفرقه",$B326))))))</f>
        <v/>
      </c>
      <c r="J326">
        <f>IF($H326="","",IF(ROUND($F326,2)&gt;0,IF($D326="شخصی قاسم","شخصی قاسم",IF($D326="هزینه","هزینه: "&amp;IF($E326="","متفرقه",$E326),IF(OR($B326="",COUNTIF(AcctCodesA,$B326)=0),"متفرقه",$B326))),$A326))</f>
        <v/>
      </c>
      <c r="K326">
        <f>IF($A326="","",IF(AND($B326&lt;&gt;"",COUNTIF(AcctCodesA,$B326)=0),"کد طرف در INFO تعریف نشده",IF(AND($D326="هزینه",$E326=""),"هزینه بدون زیرگروه",IF(AND($C326="پاس چک",OR(Sync!$AJ326="",COUNTIF(IssueNosA,Sync!$AJ326)=0)),"شماره چک پاس‌شده معتبر نیست",""))))</f>
        <v/>
      </c>
      <c r="M326">
        <f>IF(Sync!$AH326="","",Sync!$AH326)</f>
        <v/>
      </c>
      <c r="N326">
        <f>IF($M326="","",IF(OR(Sync!$AI326="",COUNTIF(AcctCodesA,Sync!$AI326)=0),"متفرقه",Sync!$AI326))</f>
        <v/>
      </c>
      <c r="O326">
        <f>IF($M326="","",$N326)</f>
        <v/>
      </c>
      <c r="P326">
        <f>IF($M326="","","چک پرداختی")</f>
        <v/>
      </c>
      <c r="R326">
        <f>IF($M326="","",IF(COUNTIF(AcctCodesA,Sync!$AI326)=0,"ذی‌نفع چک تعریف‌نشده",""))</f>
        <v/>
      </c>
      <c r="S326">
        <f>IF($R326="","",Sync!$AG326&amp;"|"&amp;"5"&amp;RIGHT("00000"&amp;321,5))</f>
        <v/>
      </c>
      <c r="T326">
        <f>IF($S326="",0,COUNTIFS($S$6:$S$505,"&lt;"&amp;$S326)-COUNTIFS($S$6:$S$505,"&lt;"&amp;$S326,$R$6:$R$505,"")+1)</f>
        <v/>
      </c>
      <c r="V326">
        <f>IF($K326="","",IF(ISNUMBER(Sync!$AK326),Sync!$AK326,LEFT(Sync!$AK326,4)&amp;MID(Sync!$AK326,6,2)&amp;RIGHT(Sync!$AK326,2))&amp;"|"&amp;"4"&amp;RIGHT("00000"&amp;321,5))</f>
        <v/>
      </c>
      <c r="W326">
        <f>IF($V326="",0,COUNTIFS($V$6:$V$2005,"&lt;"&amp;$V326)-COUNTIFS($V$6:$V$2005,"&lt;"&amp;$V326,$K$6:$K$2005,"")+1)</f>
        <v/>
      </c>
      <c r="X326">
        <f>IF(Sync!$AX326="","",IF(OR(N(Sync!$AY326)=0,N(Sync!$AZ326)=0),"",ROUND(N(Sync!$AY326)*N(Sync!$AZ326),0)))</f>
        <v/>
      </c>
      <c r="Y326">
        <f>IF($X326="","",IF(OR(Sync!$AX326="",COUNTIF(AcctCodesA,Sync!$AX326)=0),"متفرقه",Sync!$AX326))</f>
        <v/>
      </c>
      <c r="Z326">
        <f>IF($X326="","","سبد و ظروف")</f>
        <v/>
      </c>
      <c r="AA326">
        <f>IF($X326="","",$Y326)</f>
        <v/>
      </c>
    </row>
    <row r="327">
      <c r="A327">
        <f>IF(Sync!$Z327="","",LEFT(UPPER(TRIM(Sync!$Z327)),6))</f>
        <v/>
      </c>
      <c r="B327">
        <f>IF($A327="","",IF(Sync!$AA327="","",Sync!$AA327))</f>
        <v/>
      </c>
      <c r="C327">
        <f>IF($A327="","",IF(Sync!$AB327="","",Sync!$AB327))</f>
        <v/>
      </c>
      <c r="D327">
        <f>IF($A327="","",IF(Sync!$AC327="","",Sync!$AC327))</f>
        <v/>
      </c>
      <c r="E327">
        <f>IF($A327="","",IF(Sync!$AD327="","",Sync!$AD327))</f>
        <v/>
      </c>
      <c r="F327">
        <f>IF($A327="","",IF(Sync!$AE327="",0,Sync!$AE327))</f>
        <v/>
      </c>
      <c r="G327">
        <f>IF($A327="","",IF(Sync!$AF327="",0,Sync!$AF327))</f>
        <v/>
      </c>
      <c r="H327">
        <f>IF(OR($A327="",ROUND($F327+$G327,2)=0),"",$F327+$G327)</f>
        <v/>
      </c>
      <c r="I327">
        <f>IF($H327="","",IF(ROUND($F327,2)&gt;0,$A327,IF($D327="شخصی قاسم","شخصی قاسم",IF($D327="هزینه","هزینه: "&amp;IF($E327="","متفرقه",$E327),IF($C327="پاس چک","چک پرداختی",IF(OR($B327="",COUNTIF(AcctCodesA,$B327)=0),"متفرقه",$B327))))))</f>
        <v/>
      </c>
      <c r="J327">
        <f>IF($H327="","",IF(ROUND($F327,2)&gt;0,IF($D327="شخصی قاسم","شخصی قاسم",IF($D327="هزینه","هزینه: "&amp;IF($E327="","متفرقه",$E327),IF(OR($B327="",COUNTIF(AcctCodesA,$B327)=0),"متفرقه",$B327))),$A327))</f>
        <v/>
      </c>
      <c r="K327">
        <f>IF($A327="","",IF(AND($B327&lt;&gt;"",COUNTIF(AcctCodesA,$B327)=0),"کد طرف در INFO تعریف نشده",IF(AND($D327="هزینه",$E327=""),"هزینه بدون زیرگروه",IF(AND($C327="پاس چک",OR(Sync!$AJ327="",COUNTIF(IssueNosA,Sync!$AJ327)=0)),"شماره چک پاس‌شده معتبر نیست",""))))</f>
        <v/>
      </c>
      <c r="M327">
        <f>IF(Sync!$AH327="","",Sync!$AH327)</f>
        <v/>
      </c>
      <c r="N327">
        <f>IF($M327="","",IF(OR(Sync!$AI327="",COUNTIF(AcctCodesA,Sync!$AI327)=0),"متفرقه",Sync!$AI327))</f>
        <v/>
      </c>
      <c r="O327">
        <f>IF($M327="","",$N327)</f>
        <v/>
      </c>
      <c r="P327">
        <f>IF($M327="","","چک پرداختی")</f>
        <v/>
      </c>
      <c r="R327">
        <f>IF($M327="","",IF(COUNTIF(AcctCodesA,Sync!$AI327)=0,"ذی‌نفع چک تعریف‌نشده",""))</f>
        <v/>
      </c>
      <c r="S327">
        <f>IF($R327="","",Sync!$AG327&amp;"|"&amp;"5"&amp;RIGHT("00000"&amp;322,5))</f>
        <v/>
      </c>
      <c r="T327">
        <f>IF($S327="",0,COUNTIFS($S$6:$S$505,"&lt;"&amp;$S327)-COUNTIFS($S$6:$S$505,"&lt;"&amp;$S327,$R$6:$R$505,"")+1)</f>
        <v/>
      </c>
      <c r="V327">
        <f>IF($K327="","",IF(ISNUMBER(Sync!$AK327),Sync!$AK327,LEFT(Sync!$AK327,4)&amp;MID(Sync!$AK327,6,2)&amp;RIGHT(Sync!$AK327,2))&amp;"|"&amp;"4"&amp;RIGHT("00000"&amp;322,5))</f>
        <v/>
      </c>
      <c r="W327">
        <f>IF($V327="",0,COUNTIFS($V$6:$V$2005,"&lt;"&amp;$V327)-COUNTIFS($V$6:$V$2005,"&lt;"&amp;$V327,$K$6:$K$2005,"")+1)</f>
        <v/>
      </c>
      <c r="X327">
        <f>IF(Sync!$AX327="","",IF(OR(N(Sync!$AY327)=0,N(Sync!$AZ327)=0),"",ROUND(N(Sync!$AY327)*N(Sync!$AZ327),0)))</f>
        <v/>
      </c>
      <c r="Y327">
        <f>IF($X327="","",IF(OR(Sync!$AX327="",COUNTIF(AcctCodesA,Sync!$AX327)=0),"متفرقه",Sync!$AX327))</f>
        <v/>
      </c>
      <c r="Z327">
        <f>IF($X327="","","سبد و ظروف")</f>
        <v/>
      </c>
      <c r="AA327">
        <f>IF($X327="","",$Y327)</f>
        <v/>
      </c>
    </row>
    <row r="328">
      <c r="A328">
        <f>IF(Sync!$Z328="","",LEFT(UPPER(TRIM(Sync!$Z328)),6))</f>
        <v/>
      </c>
      <c r="B328">
        <f>IF($A328="","",IF(Sync!$AA328="","",Sync!$AA328))</f>
        <v/>
      </c>
      <c r="C328">
        <f>IF($A328="","",IF(Sync!$AB328="","",Sync!$AB328))</f>
        <v/>
      </c>
      <c r="D328">
        <f>IF($A328="","",IF(Sync!$AC328="","",Sync!$AC328))</f>
        <v/>
      </c>
      <c r="E328">
        <f>IF($A328="","",IF(Sync!$AD328="","",Sync!$AD328))</f>
        <v/>
      </c>
      <c r="F328">
        <f>IF($A328="","",IF(Sync!$AE328="",0,Sync!$AE328))</f>
        <v/>
      </c>
      <c r="G328">
        <f>IF($A328="","",IF(Sync!$AF328="",0,Sync!$AF328))</f>
        <v/>
      </c>
      <c r="H328">
        <f>IF(OR($A328="",ROUND($F328+$G328,2)=0),"",$F328+$G328)</f>
        <v/>
      </c>
      <c r="I328">
        <f>IF($H328="","",IF(ROUND($F328,2)&gt;0,$A328,IF($D328="شخصی قاسم","شخصی قاسم",IF($D328="هزینه","هزینه: "&amp;IF($E328="","متفرقه",$E328),IF($C328="پاس چک","چک پرداختی",IF(OR($B328="",COUNTIF(AcctCodesA,$B328)=0),"متفرقه",$B328))))))</f>
        <v/>
      </c>
      <c r="J328">
        <f>IF($H328="","",IF(ROUND($F328,2)&gt;0,IF($D328="شخصی قاسم","شخصی قاسم",IF($D328="هزینه","هزینه: "&amp;IF($E328="","متفرقه",$E328),IF(OR($B328="",COUNTIF(AcctCodesA,$B328)=0),"متفرقه",$B328))),$A328))</f>
        <v/>
      </c>
      <c r="K328">
        <f>IF($A328="","",IF(AND($B328&lt;&gt;"",COUNTIF(AcctCodesA,$B328)=0),"کد طرف در INFO تعریف نشده",IF(AND($D328="هزینه",$E328=""),"هزینه بدون زیرگروه",IF(AND($C328="پاس چک",OR(Sync!$AJ328="",COUNTIF(IssueNosA,Sync!$AJ328)=0)),"شماره چک پاس‌شده معتبر نیست",""))))</f>
        <v/>
      </c>
      <c r="M328">
        <f>IF(Sync!$AH328="","",Sync!$AH328)</f>
        <v/>
      </c>
      <c r="N328">
        <f>IF($M328="","",IF(OR(Sync!$AI328="",COUNTIF(AcctCodesA,Sync!$AI328)=0),"متفرقه",Sync!$AI328))</f>
        <v/>
      </c>
      <c r="O328">
        <f>IF($M328="","",$N328)</f>
        <v/>
      </c>
      <c r="P328">
        <f>IF($M328="","","چک پرداختی")</f>
        <v/>
      </c>
      <c r="R328">
        <f>IF($M328="","",IF(COUNTIF(AcctCodesA,Sync!$AI328)=0,"ذی‌نفع چک تعریف‌نشده",""))</f>
        <v/>
      </c>
      <c r="S328">
        <f>IF($R328="","",Sync!$AG328&amp;"|"&amp;"5"&amp;RIGHT("00000"&amp;323,5))</f>
        <v/>
      </c>
      <c r="T328">
        <f>IF($S328="",0,COUNTIFS($S$6:$S$505,"&lt;"&amp;$S328)-COUNTIFS($S$6:$S$505,"&lt;"&amp;$S328,$R$6:$R$505,"")+1)</f>
        <v/>
      </c>
      <c r="V328">
        <f>IF($K328="","",IF(ISNUMBER(Sync!$AK328),Sync!$AK328,LEFT(Sync!$AK328,4)&amp;MID(Sync!$AK328,6,2)&amp;RIGHT(Sync!$AK328,2))&amp;"|"&amp;"4"&amp;RIGHT("00000"&amp;323,5))</f>
        <v/>
      </c>
      <c r="W328">
        <f>IF($V328="",0,COUNTIFS($V$6:$V$2005,"&lt;"&amp;$V328)-COUNTIFS($V$6:$V$2005,"&lt;"&amp;$V328,$K$6:$K$2005,"")+1)</f>
        <v/>
      </c>
      <c r="X328">
        <f>IF(Sync!$AX328="","",IF(OR(N(Sync!$AY328)=0,N(Sync!$AZ328)=0),"",ROUND(N(Sync!$AY328)*N(Sync!$AZ328),0)))</f>
        <v/>
      </c>
      <c r="Y328">
        <f>IF($X328="","",IF(OR(Sync!$AX328="",COUNTIF(AcctCodesA,Sync!$AX328)=0),"متفرقه",Sync!$AX328))</f>
        <v/>
      </c>
      <c r="Z328">
        <f>IF($X328="","","سبد و ظروف")</f>
        <v/>
      </c>
      <c r="AA328">
        <f>IF($X328="","",$Y328)</f>
        <v/>
      </c>
    </row>
    <row r="329">
      <c r="A329">
        <f>IF(Sync!$Z329="","",LEFT(UPPER(TRIM(Sync!$Z329)),6))</f>
        <v/>
      </c>
      <c r="B329">
        <f>IF($A329="","",IF(Sync!$AA329="","",Sync!$AA329))</f>
        <v/>
      </c>
      <c r="C329">
        <f>IF($A329="","",IF(Sync!$AB329="","",Sync!$AB329))</f>
        <v/>
      </c>
      <c r="D329">
        <f>IF($A329="","",IF(Sync!$AC329="","",Sync!$AC329))</f>
        <v/>
      </c>
      <c r="E329">
        <f>IF($A329="","",IF(Sync!$AD329="","",Sync!$AD329))</f>
        <v/>
      </c>
      <c r="F329">
        <f>IF($A329="","",IF(Sync!$AE329="",0,Sync!$AE329))</f>
        <v/>
      </c>
      <c r="G329">
        <f>IF($A329="","",IF(Sync!$AF329="",0,Sync!$AF329))</f>
        <v/>
      </c>
      <c r="H329">
        <f>IF(OR($A329="",ROUND($F329+$G329,2)=0),"",$F329+$G329)</f>
        <v/>
      </c>
      <c r="I329">
        <f>IF($H329="","",IF(ROUND($F329,2)&gt;0,$A329,IF($D329="شخصی قاسم","شخصی قاسم",IF($D329="هزینه","هزینه: "&amp;IF($E329="","متفرقه",$E329),IF($C329="پاس چک","چک پرداختی",IF(OR($B329="",COUNTIF(AcctCodesA,$B329)=0),"متفرقه",$B329))))))</f>
        <v/>
      </c>
      <c r="J329">
        <f>IF($H329="","",IF(ROUND($F329,2)&gt;0,IF($D329="شخصی قاسم","شخصی قاسم",IF($D329="هزینه","هزینه: "&amp;IF($E329="","متفرقه",$E329),IF(OR($B329="",COUNTIF(AcctCodesA,$B329)=0),"متفرقه",$B329))),$A329))</f>
        <v/>
      </c>
      <c r="K329">
        <f>IF($A329="","",IF(AND($B329&lt;&gt;"",COUNTIF(AcctCodesA,$B329)=0),"کد طرف در INFO تعریف نشده",IF(AND($D329="هزینه",$E329=""),"هزینه بدون زیرگروه",IF(AND($C329="پاس چک",OR(Sync!$AJ329="",COUNTIF(IssueNosA,Sync!$AJ329)=0)),"شماره چک پاس‌شده معتبر نیست",""))))</f>
        <v/>
      </c>
      <c r="M329">
        <f>IF(Sync!$AH329="","",Sync!$AH329)</f>
        <v/>
      </c>
      <c r="N329">
        <f>IF($M329="","",IF(OR(Sync!$AI329="",COUNTIF(AcctCodesA,Sync!$AI329)=0),"متفرقه",Sync!$AI329))</f>
        <v/>
      </c>
      <c r="O329">
        <f>IF($M329="","",$N329)</f>
        <v/>
      </c>
      <c r="P329">
        <f>IF($M329="","","چک پرداختی")</f>
        <v/>
      </c>
      <c r="R329">
        <f>IF($M329="","",IF(COUNTIF(AcctCodesA,Sync!$AI329)=0,"ذی‌نفع چک تعریف‌نشده",""))</f>
        <v/>
      </c>
      <c r="S329">
        <f>IF($R329="","",Sync!$AG329&amp;"|"&amp;"5"&amp;RIGHT("00000"&amp;324,5))</f>
        <v/>
      </c>
      <c r="T329">
        <f>IF($S329="",0,COUNTIFS($S$6:$S$505,"&lt;"&amp;$S329)-COUNTIFS($S$6:$S$505,"&lt;"&amp;$S329,$R$6:$R$505,"")+1)</f>
        <v/>
      </c>
      <c r="V329">
        <f>IF($K329="","",IF(ISNUMBER(Sync!$AK329),Sync!$AK329,LEFT(Sync!$AK329,4)&amp;MID(Sync!$AK329,6,2)&amp;RIGHT(Sync!$AK329,2))&amp;"|"&amp;"4"&amp;RIGHT("00000"&amp;324,5))</f>
        <v/>
      </c>
      <c r="W329">
        <f>IF($V329="",0,COUNTIFS($V$6:$V$2005,"&lt;"&amp;$V329)-COUNTIFS($V$6:$V$2005,"&lt;"&amp;$V329,$K$6:$K$2005,"")+1)</f>
        <v/>
      </c>
      <c r="X329">
        <f>IF(Sync!$AX329="","",IF(OR(N(Sync!$AY329)=0,N(Sync!$AZ329)=0),"",ROUND(N(Sync!$AY329)*N(Sync!$AZ329),0)))</f>
        <v/>
      </c>
      <c r="Y329">
        <f>IF($X329="","",IF(OR(Sync!$AX329="",COUNTIF(AcctCodesA,Sync!$AX329)=0),"متفرقه",Sync!$AX329))</f>
        <v/>
      </c>
      <c r="Z329">
        <f>IF($X329="","","سبد و ظروف")</f>
        <v/>
      </c>
      <c r="AA329">
        <f>IF($X329="","",$Y329)</f>
        <v/>
      </c>
    </row>
    <row r="330">
      <c r="A330">
        <f>IF(Sync!$Z330="","",LEFT(UPPER(TRIM(Sync!$Z330)),6))</f>
        <v/>
      </c>
      <c r="B330">
        <f>IF($A330="","",IF(Sync!$AA330="","",Sync!$AA330))</f>
        <v/>
      </c>
      <c r="C330">
        <f>IF($A330="","",IF(Sync!$AB330="","",Sync!$AB330))</f>
        <v/>
      </c>
      <c r="D330">
        <f>IF($A330="","",IF(Sync!$AC330="","",Sync!$AC330))</f>
        <v/>
      </c>
      <c r="E330">
        <f>IF($A330="","",IF(Sync!$AD330="","",Sync!$AD330))</f>
        <v/>
      </c>
      <c r="F330">
        <f>IF($A330="","",IF(Sync!$AE330="",0,Sync!$AE330))</f>
        <v/>
      </c>
      <c r="G330">
        <f>IF($A330="","",IF(Sync!$AF330="",0,Sync!$AF330))</f>
        <v/>
      </c>
      <c r="H330">
        <f>IF(OR($A330="",ROUND($F330+$G330,2)=0),"",$F330+$G330)</f>
        <v/>
      </c>
      <c r="I330">
        <f>IF($H330="","",IF(ROUND($F330,2)&gt;0,$A330,IF($D330="شخصی قاسم","شخصی قاسم",IF($D330="هزینه","هزینه: "&amp;IF($E330="","متفرقه",$E330),IF($C330="پاس چک","چک پرداختی",IF(OR($B330="",COUNTIF(AcctCodesA,$B330)=0),"متفرقه",$B330))))))</f>
        <v/>
      </c>
      <c r="J330">
        <f>IF($H330="","",IF(ROUND($F330,2)&gt;0,IF($D330="شخصی قاسم","شخصی قاسم",IF($D330="هزینه","هزینه: "&amp;IF($E330="","متفرقه",$E330),IF(OR($B330="",COUNTIF(AcctCodesA,$B330)=0),"متفرقه",$B330))),$A330))</f>
        <v/>
      </c>
      <c r="K330">
        <f>IF($A330="","",IF(AND($B330&lt;&gt;"",COUNTIF(AcctCodesA,$B330)=0),"کد طرف در INFO تعریف نشده",IF(AND($D330="هزینه",$E330=""),"هزینه بدون زیرگروه",IF(AND($C330="پاس چک",OR(Sync!$AJ330="",COUNTIF(IssueNosA,Sync!$AJ330)=0)),"شماره چک پاس‌شده معتبر نیست",""))))</f>
        <v/>
      </c>
      <c r="M330">
        <f>IF(Sync!$AH330="","",Sync!$AH330)</f>
        <v/>
      </c>
      <c r="N330">
        <f>IF($M330="","",IF(OR(Sync!$AI330="",COUNTIF(AcctCodesA,Sync!$AI330)=0),"متفرقه",Sync!$AI330))</f>
        <v/>
      </c>
      <c r="O330">
        <f>IF($M330="","",$N330)</f>
        <v/>
      </c>
      <c r="P330">
        <f>IF($M330="","","چک پرداختی")</f>
        <v/>
      </c>
      <c r="R330">
        <f>IF($M330="","",IF(COUNTIF(AcctCodesA,Sync!$AI330)=0,"ذی‌نفع چک تعریف‌نشده",""))</f>
        <v/>
      </c>
      <c r="S330">
        <f>IF($R330="","",Sync!$AG330&amp;"|"&amp;"5"&amp;RIGHT("00000"&amp;325,5))</f>
        <v/>
      </c>
      <c r="T330">
        <f>IF($S330="",0,COUNTIFS($S$6:$S$505,"&lt;"&amp;$S330)-COUNTIFS($S$6:$S$505,"&lt;"&amp;$S330,$R$6:$R$505,"")+1)</f>
        <v/>
      </c>
      <c r="V330">
        <f>IF($K330="","",IF(ISNUMBER(Sync!$AK330),Sync!$AK330,LEFT(Sync!$AK330,4)&amp;MID(Sync!$AK330,6,2)&amp;RIGHT(Sync!$AK330,2))&amp;"|"&amp;"4"&amp;RIGHT("00000"&amp;325,5))</f>
        <v/>
      </c>
      <c r="W330">
        <f>IF($V330="",0,COUNTIFS($V$6:$V$2005,"&lt;"&amp;$V330)-COUNTIFS($V$6:$V$2005,"&lt;"&amp;$V330,$K$6:$K$2005,"")+1)</f>
        <v/>
      </c>
      <c r="X330">
        <f>IF(Sync!$AX330="","",IF(OR(N(Sync!$AY330)=0,N(Sync!$AZ330)=0),"",ROUND(N(Sync!$AY330)*N(Sync!$AZ330),0)))</f>
        <v/>
      </c>
      <c r="Y330">
        <f>IF($X330="","",IF(OR(Sync!$AX330="",COUNTIF(AcctCodesA,Sync!$AX330)=0),"متفرقه",Sync!$AX330))</f>
        <v/>
      </c>
      <c r="Z330">
        <f>IF($X330="","","سبد و ظروف")</f>
        <v/>
      </c>
      <c r="AA330">
        <f>IF($X330="","",$Y330)</f>
        <v/>
      </c>
    </row>
    <row r="331">
      <c r="A331">
        <f>IF(Sync!$Z331="","",LEFT(UPPER(TRIM(Sync!$Z331)),6))</f>
        <v/>
      </c>
      <c r="B331">
        <f>IF($A331="","",IF(Sync!$AA331="","",Sync!$AA331))</f>
        <v/>
      </c>
      <c r="C331">
        <f>IF($A331="","",IF(Sync!$AB331="","",Sync!$AB331))</f>
        <v/>
      </c>
      <c r="D331">
        <f>IF($A331="","",IF(Sync!$AC331="","",Sync!$AC331))</f>
        <v/>
      </c>
      <c r="E331">
        <f>IF($A331="","",IF(Sync!$AD331="","",Sync!$AD331))</f>
        <v/>
      </c>
      <c r="F331">
        <f>IF($A331="","",IF(Sync!$AE331="",0,Sync!$AE331))</f>
        <v/>
      </c>
      <c r="G331">
        <f>IF($A331="","",IF(Sync!$AF331="",0,Sync!$AF331))</f>
        <v/>
      </c>
      <c r="H331">
        <f>IF(OR($A331="",ROUND($F331+$G331,2)=0),"",$F331+$G331)</f>
        <v/>
      </c>
      <c r="I331">
        <f>IF($H331="","",IF(ROUND($F331,2)&gt;0,$A331,IF($D331="شخصی قاسم","شخصی قاسم",IF($D331="هزینه","هزینه: "&amp;IF($E331="","متفرقه",$E331),IF($C331="پاس چک","چک پرداختی",IF(OR($B331="",COUNTIF(AcctCodesA,$B331)=0),"متفرقه",$B331))))))</f>
        <v/>
      </c>
      <c r="J331">
        <f>IF($H331="","",IF(ROUND($F331,2)&gt;0,IF($D331="شخصی قاسم","شخصی قاسم",IF($D331="هزینه","هزینه: "&amp;IF($E331="","متفرقه",$E331),IF(OR($B331="",COUNTIF(AcctCodesA,$B331)=0),"متفرقه",$B331))),$A331))</f>
        <v/>
      </c>
      <c r="K331">
        <f>IF($A331="","",IF(AND($B331&lt;&gt;"",COUNTIF(AcctCodesA,$B331)=0),"کد طرف در INFO تعریف نشده",IF(AND($D331="هزینه",$E331=""),"هزینه بدون زیرگروه",IF(AND($C331="پاس چک",OR(Sync!$AJ331="",COUNTIF(IssueNosA,Sync!$AJ331)=0)),"شماره چک پاس‌شده معتبر نیست",""))))</f>
        <v/>
      </c>
      <c r="M331">
        <f>IF(Sync!$AH331="","",Sync!$AH331)</f>
        <v/>
      </c>
      <c r="N331">
        <f>IF($M331="","",IF(OR(Sync!$AI331="",COUNTIF(AcctCodesA,Sync!$AI331)=0),"متفرقه",Sync!$AI331))</f>
        <v/>
      </c>
      <c r="O331">
        <f>IF($M331="","",$N331)</f>
        <v/>
      </c>
      <c r="P331">
        <f>IF($M331="","","چک پرداختی")</f>
        <v/>
      </c>
      <c r="R331">
        <f>IF($M331="","",IF(COUNTIF(AcctCodesA,Sync!$AI331)=0,"ذی‌نفع چک تعریف‌نشده",""))</f>
        <v/>
      </c>
      <c r="S331">
        <f>IF($R331="","",Sync!$AG331&amp;"|"&amp;"5"&amp;RIGHT("00000"&amp;326,5))</f>
        <v/>
      </c>
      <c r="T331">
        <f>IF($S331="",0,COUNTIFS($S$6:$S$505,"&lt;"&amp;$S331)-COUNTIFS($S$6:$S$505,"&lt;"&amp;$S331,$R$6:$R$505,"")+1)</f>
        <v/>
      </c>
      <c r="V331">
        <f>IF($K331="","",IF(ISNUMBER(Sync!$AK331),Sync!$AK331,LEFT(Sync!$AK331,4)&amp;MID(Sync!$AK331,6,2)&amp;RIGHT(Sync!$AK331,2))&amp;"|"&amp;"4"&amp;RIGHT("00000"&amp;326,5))</f>
        <v/>
      </c>
      <c r="W331">
        <f>IF($V331="",0,COUNTIFS($V$6:$V$2005,"&lt;"&amp;$V331)-COUNTIFS($V$6:$V$2005,"&lt;"&amp;$V331,$K$6:$K$2005,"")+1)</f>
        <v/>
      </c>
      <c r="X331">
        <f>IF(Sync!$AX331="","",IF(OR(N(Sync!$AY331)=0,N(Sync!$AZ331)=0),"",ROUND(N(Sync!$AY331)*N(Sync!$AZ331),0)))</f>
        <v/>
      </c>
      <c r="Y331">
        <f>IF($X331="","",IF(OR(Sync!$AX331="",COUNTIF(AcctCodesA,Sync!$AX331)=0),"متفرقه",Sync!$AX331))</f>
        <v/>
      </c>
      <c r="Z331">
        <f>IF($X331="","","سبد و ظروف")</f>
        <v/>
      </c>
      <c r="AA331">
        <f>IF($X331="","",$Y331)</f>
        <v/>
      </c>
    </row>
    <row r="332">
      <c r="A332">
        <f>IF(Sync!$Z332="","",LEFT(UPPER(TRIM(Sync!$Z332)),6))</f>
        <v/>
      </c>
      <c r="B332">
        <f>IF($A332="","",IF(Sync!$AA332="","",Sync!$AA332))</f>
        <v/>
      </c>
      <c r="C332">
        <f>IF($A332="","",IF(Sync!$AB332="","",Sync!$AB332))</f>
        <v/>
      </c>
      <c r="D332">
        <f>IF($A332="","",IF(Sync!$AC332="","",Sync!$AC332))</f>
        <v/>
      </c>
      <c r="E332">
        <f>IF($A332="","",IF(Sync!$AD332="","",Sync!$AD332))</f>
        <v/>
      </c>
      <c r="F332">
        <f>IF($A332="","",IF(Sync!$AE332="",0,Sync!$AE332))</f>
        <v/>
      </c>
      <c r="G332">
        <f>IF($A332="","",IF(Sync!$AF332="",0,Sync!$AF332))</f>
        <v/>
      </c>
      <c r="H332">
        <f>IF(OR($A332="",ROUND($F332+$G332,2)=0),"",$F332+$G332)</f>
        <v/>
      </c>
      <c r="I332">
        <f>IF($H332="","",IF(ROUND($F332,2)&gt;0,$A332,IF($D332="شخصی قاسم","شخصی قاسم",IF($D332="هزینه","هزینه: "&amp;IF($E332="","متفرقه",$E332),IF($C332="پاس چک","چک پرداختی",IF(OR($B332="",COUNTIF(AcctCodesA,$B332)=0),"متفرقه",$B332))))))</f>
        <v/>
      </c>
      <c r="J332">
        <f>IF($H332="","",IF(ROUND($F332,2)&gt;0,IF($D332="شخصی قاسم","شخصی قاسم",IF($D332="هزینه","هزینه: "&amp;IF($E332="","متفرقه",$E332),IF(OR($B332="",COUNTIF(AcctCodesA,$B332)=0),"متفرقه",$B332))),$A332))</f>
        <v/>
      </c>
      <c r="K332">
        <f>IF($A332="","",IF(AND($B332&lt;&gt;"",COUNTIF(AcctCodesA,$B332)=0),"کد طرف در INFO تعریف نشده",IF(AND($D332="هزینه",$E332=""),"هزینه بدون زیرگروه",IF(AND($C332="پاس چک",OR(Sync!$AJ332="",COUNTIF(IssueNosA,Sync!$AJ332)=0)),"شماره چک پاس‌شده معتبر نیست",""))))</f>
        <v/>
      </c>
      <c r="M332">
        <f>IF(Sync!$AH332="","",Sync!$AH332)</f>
        <v/>
      </c>
      <c r="N332">
        <f>IF($M332="","",IF(OR(Sync!$AI332="",COUNTIF(AcctCodesA,Sync!$AI332)=0),"متفرقه",Sync!$AI332))</f>
        <v/>
      </c>
      <c r="O332">
        <f>IF($M332="","",$N332)</f>
        <v/>
      </c>
      <c r="P332">
        <f>IF($M332="","","چک پرداختی")</f>
        <v/>
      </c>
      <c r="R332">
        <f>IF($M332="","",IF(COUNTIF(AcctCodesA,Sync!$AI332)=0,"ذی‌نفع چک تعریف‌نشده",""))</f>
        <v/>
      </c>
      <c r="S332">
        <f>IF($R332="","",Sync!$AG332&amp;"|"&amp;"5"&amp;RIGHT("00000"&amp;327,5))</f>
        <v/>
      </c>
      <c r="T332">
        <f>IF($S332="",0,COUNTIFS($S$6:$S$505,"&lt;"&amp;$S332)-COUNTIFS($S$6:$S$505,"&lt;"&amp;$S332,$R$6:$R$505,"")+1)</f>
        <v/>
      </c>
      <c r="V332">
        <f>IF($K332="","",IF(ISNUMBER(Sync!$AK332),Sync!$AK332,LEFT(Sync!$AK332,4)&amp;MID(Sync!$AK332,6,2)&amp;RIGHT(Sync!$AK332,2))&amp;"|"&amp;"4"&amp;RIGHT("00000"&amp;327,5))</f>
        <v/>
      </c>
      <c r="W332">
        <f>IF($V332="",0,COUNTIFS($V$6:$V$2005,"&lt;"&amp;$V332)-COUNTIFS($V$6:$V$2005,"&lt;"&amp;$V332,$K$6:$K$2005,"")+1)</f>
        <v/>
      </c>
      <c r="X332">
        <f>IF(Sync!$AX332="","",IF(OR(N(Sync!$AY332)=0,N(Sync!$AZ332)=0),"",ROUND(N(Sync!$AY332)*N(Sync!$AZ332),0)))</f>
        <v/>
      </c>
      <c r="Y332">
        <f>IF($X332="","",IF(OR(Sync!$AX332="",COUNTIF(AcctCodesA,Sync!$AX332)=0),"متفرقه",Sync!$AX332))</f>
        <v/>
      </c>
      <c r="Z332">
        <f>IF($X332="","","سبد و ظروف")</f>
        <v/>
      </c>
      <c r="AA332">
        <f>IF($X332="","",$Y332)</f>
        <v/>
      </c>
    </row>
    <row r="333">
      <c r="A333">
        <f>IF(Sync!$Z333="","",LEFT(UPPER(TRIM(Sync!$Z333)),6))</f>
        <v/>
      </c>
      <c r="B333">
        <f>IF($A333="","",IF(Sync!$AA333="","",Sync!$AA333))</f>
        <v/>
      </c>
      <c r="C333">
        <f>IF($A333="","",IF(Sync!$AB333="","",Sync!$AB333))</f>
        <v/>
      </c>
      <c r="D333">
        <f>IF($A333="","",IF(Sync!$AC333="","",Sync!$AC333))</f>
        <v/>
      </c>
      <c r="E333">
        <f>IF($A333="","",IF(Sync!$AD333="","",Sync!$AD333))</f>
        <v/>
      </c>
      <c r="F333">
        <f>IF($A333="","",IF(Sync!$AE333="",0,Sync!$AE333))</f>
        <v/>
      </c>
      <c r="G333">
        <f>IF($A333="","",IF(Sync!$AF333="",0,Sync!$AF333))</f>
        <v/>
      </c>
      <c r="H333">
        <f>IF(OR($A333="",ROUND($F333+$G333,2)=0),"",$F333+$G333)</f>
        <v/>
      </c>
      <c r="I333">
        <f>IF($H333="","",IF(ROUND($F333,2)&gt;0,$A333,IF($D333="شخصی قاسم","شخصی قاسم",IF($D333="هزینه","هزینه: "&amp;IF($E333="","متفرقه",$E333),IF($C333="پاس چک","چک پرداختی",IF(OR($B333="",COUNTIF(AcctCodesA,$B333)=0),"متفرقه",$B333))))))</f>
        <v/>
      </c>
      <c r="J333">
        <f>IF($H333="","",IF(ROUND($F333,2)&gt;0,IF($D333="شخصی قاسم","شخصی قاسم",IF($D333="هزینه","هزینه: "&amp;IF($E333="","متفرقه",$E333),IF(OR($B333="",COUNTIF(AcctCodesA,$B333)=0),"متفرقه",$B333))),$A333))</f>
        <v/>
      </c>
      <c r="K333">
        <f>IF($A333="","",IF(AND($B333&lt;&gt;"",COUNTIF(AcctCodesA,$B333)=0),"کد طرف در INFO تعریف نشده",IF(AND($D333="هزینه",$E333=""),"هزینه بدون زیرگروه",IF(AND($C333="پاس چک",OR(Sync!$AJ333="",COUNTIF(IssueNosA,Sync!$AJ333)=0)),"شماره چک پاس‌شده معتبر نیست",""))))</f>
        <v/>
      </c>
      <c r="M333">
        <f>IF(Sync!$AH333="","",Sync!$AH333)</f>
        <v/>
      </c>
      <c r="N333">
        <f>IF($M333="","",IF(OR(Sync!$AI333="",COUNTIF(AcctCodesA,Sync!$AI333)=0),"متفرقه",Sync!$AI333))</f>
        <v/>
      </c>
      <c r="O333">
        <f>IF($M333="","",$N333)</f>
        <v/>
      </c>
      <c r="P333">
        <f>IF($M333="","","چک پرداختی")</f>
        <v/>
      </c>
      <c r="R333">
        <f>IF($M333="","",IF(COUNTIF(AcctCodesA,Sync!$AI333)=0,"ذی‌نفع چک تعریف‌نشده",""))</f>
        <v/>
      </c>
      <c r="S333">
        <f>IF($R333="","",Sync!$AG333&amp;"|"&amp;"5"&amp;RIGHT("00000"&amp;328,5))</f>
        <v/>
      </c>
      <c r="T333">
        <f>IF($S333="",0,COUNTIFS($S$6:$S$505,"&lt;"&amp;$S333)-COUNTIFS($S$6:$S$505,"&lt;"&amp;$S333,$R$6:$R$505,"")+1)</f>
        <v/>
      </c>
      <c r="V333">
        <f>IF($K333="","",IF(ISNUMBER(Sync!$AK333),Sync!$AK333,LEFT(Sync!$AK333,4)&amp;MID(Sync!$AK333,6,2)&amp;RIGHT(Sync!$AK333,2))&amp;"|"&amp;"4"&amp;RIGHT("00000"&amp;328,5))</f>
        <v/>
      </c>
      <c r="W333">
        <f>IF($V333="",0,COUNTIFS($V$6:$V$2005,"&lt;"&amp;$V333)-COUNTIFS($V$6:$V$2005,"&lt;"&amp;$V333,$K$6:$K$2005,"")+1)</f>
        <v/>
      </c>
      <c r="X333">
        <f>IF(Sync!$AX333="","",IF(OR(N(Sync!$AY333)=0,N(Sync!$AZ333)=0),"",ROUND(N(Sync!$AY333)*N(Sync!$AZ333),0)))</f>
        <v/>
      </c>
      <c r="Y333">
        <f>IF($X333="","",IF(OR(Sync!$AX333="",COUNTIF(AcctCodesA,Sync!$AX333)=0),"متفرقه",Sync!$AX333))</f>
        <v/>
      </c>
      <c r="Z333">
        <f>IF($X333="","","سبد و ظروف")</f>
        <v/>
      </c>
      <c r="AA333">
        <f>IF($X333="","",$Y333)</f>
        <v/>
      </c>
    </row>
    <row r="334">
      <c r="A334">
        <f>IF(Sync!$Z334="","",LEFT(UPPER(TRIM(Sync!$Z334)),6))</f>
        <v/>
      </c>
      <c r="B334">
        <f>IF($A334="","",IF(Sync!$AA334="","",Sync!$AA334))</f>
        <v/>
      </c>
      <c r="C334">
        <f>IF($A334="","",IF(Sync!$AB334="","",Sync!$AB334))</f>
        <v/>
      </c>
      <c r="D334">
        <f>IF($A334="","",IF(Sync!$AC334="","",Sync!$AC334))</f>
        <v/>
      </c>
      <c r="E334">
        <f>IF($A334="","",IF(Sync!$AD334="","",Sync!$AD334))</f>
        <v/>
      </c>
      <c r="F334">
        <f>IF($A334="","",IF(Sync!$AE334="",0,Sync!$AE334))</f>
        <v/>
      </c>
      <c r="G334">
        <f>IF($A334="","",IF(Sync!$AF334="",0,Sync!$AF334))</f>
        <v/>
      </c>
      <c r="H334">
        <f>IF(OR($A334="",ROUND($F334+$G334,2)=0),"",$F334+$G334)</f>
        <v/>
      </c>
      <c r="I334">
        <f>IF($H334="","",IF(ROUND($F334,2)&gt;0,$A334,IF($D334="شخصی قاسم","شخصی قاسم",IF($D334="هزینه","هزینه: "&amp;IF($E334="","متفرقه",$E334),IF($C334="پاس چک","چک پرداختی",IF(OR($B334="",COUNTIF(AcctCodesA,$B334)=0),"متفرقه",$B334))))))</f>
        <v/>
      </c>
      <c r="J334">
        <f>IF($H334="","",IF(ROUND($F334,2)&gt;0,IF($D334="شخصی قاسم","شخصی قاسم",IF($D334="هزینه","هزینه: "&amp;IF($E334="","متفرقه",$E334),IF(OR($B334="",COUNTIF(AcctCodesA,$B334)=0),"متفرقه",$B334))),$A334))</f>
        <v/>
      </c>
      <c r="K334">
        <f>IF($A334="","",IF(AND($B334&lt;&gt;"",COUNTIF(AcctCodesA,$B334)=0),"کد طرف در INFO تعریف نشده",IF(AND($D334="هزینه",$E334=""),"هزینه بدون زیرگروه",IF(AND($C334="پاس چک",OR(Sync!$AJ334="",COUNTIF(IssueNosA,Sync!$AJ334)=0)),"شماره چک پاس‌شده معتبر نیست",""))))</f>
        <v/>
      </c>
      <c r="M334">
        <f>IF(Sync!$AH334="","",Sync!$AH334)</f>
        <v/>
      </c>
      <c r="N334">
        <f>IF($M334="","",IF(OR(Sync!$AI334="",COUNTIF(AcctCodesA,Sync!$AI334)=0),"متفرقه",Sync!$AI334))</f>
        <v/>
      </c>
      <c r="O334">
        <f>IF($M334="","",$N334)</f>
        <v/>
      </c>
      <c r="P334">
        <f>IF($M334="","","چک پرداختی")</f>
        <v/>
      </c>
      <c r="R334">
        <f>IF($M334="","",IF(COUNTIF(AcctCodesA,Sync!$AI334)=0,"ذی‌نفع چک تعریف‌نشده",""))</f>
        <v/>
      </c>
      <c r="S334">
        <f>IF($R334="","",Sync!$AG334&amp;"|"&amp;"5"&amp;RIGHT("00000"&amp;329,5))</f>
        <v/>
      </c>
      <c r="T334">
        <f>IF($S334="",0,COUNTIFS($S$6:$S$505,"&lt;"&amp;$S334)-COUNTIFS($S$6:$S$505,"&lt;"&amp;$S334,$R$6:$R$505,"")+1)</f>
        <v/>
      </c>
      <c r="V334">
        <f>IF($K334="","",IF(ISNUMBER(Sync!$AK334),Sync!$AK334,LEFT(Sync!$AK334,4)&amp;MID(Sync!$AK334,6,2)&amp;RIGHT(Sync!$AK334,2))&amp;"|"&amp;"4"&amp;RIGHT("00000"&amp;329,5))</f>
        <v/>
      </c>
      <c r="W334">
        <f>IF($V334="",0,COUNTIFS($V$6:$V$2005,"&lt;"&amp;$V334)-COUNTIFS($V$6:$V$2005,"&lt;"&amp;$V334,$K$6:$K$2005,"")+1)</f>
        <v/>
      </c>
      <c r="X334">
        <f>IF(Sync!$AX334="","",IF(OR(N(Sync!$AY334)=0,N(Sync!$AZ334)=0),"",ROUND(N(Sync!$AY334)*N(Sync!$AZ334),0)))</f>
        <v/>
      </c>
      <c r="Y334">
        <f>IF($X334="","",IF(OR(Sync!$AX334="",COUNTIF(AcctCodesA,Sync!$AX334)=0),"متفرقه",Sync!$AX334))</f>
        <v/>
      </c>
      <c r="Z334">
        <f>IF($X334="","","سبد و ظروف")</f>
        <v/>
      </c>
      <c r="AA334">
        <f>IF($X334="","",$Y334)</f>
        <v/>
      </c>
    </row>
    <row r="335">
      <c r="A335">
        <f>IF(Sync!$Z335="","",LEFT(UPPER(TRIM(Sync!$Z335)),6))</f>
        <v/>
      </c>
      <c r="B335">
        <f>IF($A335="","",IF(Sync!$AA335="","",Sync!$AA335))</f>
        <v/>
      </c>
      <c r="C335">
        <f>IF($A335="","",IF(Sync!$AB335="","",Sync!$AB335))</f>
        <v/>
      </c>
      <c r="D335">
        <f>IF($A335="","",IF(Sync!$AC335="","",Sync!$AC335))</f>
        <v/>
      </c>
      <c r="E335">
        <f>IF($A335="","",IF(Sync!$AD335="","",Sync!$AD335))</f>
        <v/>
      </c>
      <c r="F335">
        <f>IF($A335="","",IF(Sync!$AE335="",0,Sync!$AE335))</f>
        <v/>
      </c>
      <c r="G335">
        <f>IF($A335="","",IF(Sync!$AF335="",0,Sync!$AF335))</f>
        <v/>
      </c>
      <c r="H335">
        <f>IF(OR($A335="",ROUND($F335+$G335,2)=0),"",$F335+$G335)</f>
        <v/>
      </c>
      <c r="I335">
        <f>IF($H335="","",IF(ROUND($F335,2)&gt;0,$A335,IF($D335="شخصی قاسم","شخصی قاسم",IF($D335="هزینه","هزینه: "&amp;IF($E335="","متفرقه",$E335),IF($C335="پاس چک","چک پرداختی",IF(OR($B335="",COUNTIF(AcctCodesA,$B335)=0),"متفرقه",$B335))))))</f>
        <v/>
      </c>
      <c r="J335">
        <f>IF($H335="","",IF(ROUND($F335,2)&gt;0,IF($D335="شخصی قاسم","شخصی قاسم",IF($D335="هزینه","هزینه: "&amp;IF($E335="","متفرقه",$E335),IF(OR($B335="",COUNTIF(AcctCodesA,$B335)=0),"متفرقه",$B335))),$A335))</f>
        <v/>
      </c>
      <c r="K335">
        <f>IF($A335="","",IF(AND($B335&lt;&gt;"",COUNTIF(AcctCodesA,$B335)=0),"کد طرف در INFO تعریف نشده",IF(AND($D335="هزینه",$E335=""),"هزینه بدون زیرگروه",IF(AND($C335="پاس چک",OR(Sync!$AJ335="",COUNTIF(IssueNosA,Sync!$AJ335)=0)),"شماره چک پاس‌شده معتبر نیست",""))))</f>
        <v/>
      </c>
      <c r="M335">
        <f>IF(Sync!$AH335="","",Sync!$AH335)</f>
        <v/>
      </c>
      <c r="N335">
        <f>IF($M335="","",IF(OR(Sync!$AI335="",COUNTIF(AcctCodesA,Sync!$AI335)=0),"متفرقه",Sync!$AI335))</f>
        <v/>
      </c>
      <c r="O335">
        <f>IF($M335="","",$N335)</f>
        <v/>
      </c>
      <c r="P335">
        <f>IF($M335="","","چک پرداختی")</f>
        <v/>
      </c>
      <c r="R335">
        <f>IF($M335="","",IF(COUNTIF(AcctCodesA,Sync!$AI335)=0,"ذی‌نفع چک تعریف‌نشده",""))</f>
        <v/>
      </c>
      <c r="S335">
        <f>IF($R335="","",Sync!$AG335&amp;"|"&amp;"5"&amp;RIGHT("00000"&amp;330,5))</f>
        <v/>
      </c>
      <c r="T335">
        <f>IF($S335="",0,COUNTIFS($S$6:$S$505,"&lt;"&amp;$S335)-COUNTIFS($S$6:$S$505,"&lt;"&amp;$S335,$R$6:$R$505,"")+1)</f>
        <v/>
      </c>
      <c r="V335">
        <f>IF($K335="","",IF(ISNUMBER(Sync!$AK335),Sync!$AK335,LEFT(Sync!$AK335,4)&amp;MID(Sync!$AK335,6,2)&amp;RIGHT(Sync!$AK335,2))&amp;"|"&amp;"4"&amp;RIGHT("00000"&amp;330,5))</f>
        <v/>
      </c>
      <c r="W335">
        <f>IF($V335="",0,COUNTIFS($V$6:$V$2005,"&lt;"&amp;$V335)-COUNTIFS($V$6:$V$2005,"&lt;"&amp;$V335,$K$6:$K$2005,"")+1)</f>
        <v/>
      </c>
      <c r="X335">
        <f>IF(Sync!$AX335="","",IF(OR(N(Sync!$AY335)=0,N(Sync!$AZ335)=0),"",ROUND(N(Sync!$AY335)*N(Sync!$AZ335),0)))</f>
        <v/>
      </c>
      <c r="Y335">
        <f>IF($X335="","",IF(OR(Sync!$AX335="",COUNTIF(AcctCodesA,Sync!$AX335)=0),"متفرقه",Sync!$AX335))</f>
        <v/>
      </c>
      <c r="Z335">
        <f>IF($X335="","","سبد و ظروف")</f>
        <v/>
      </c>
      <c r="AA335">
        <f>IF($X335="","",$Y335)</f>
        <v/>
      </c>
    </row>
    <row r="336">
      <c r="A336">
        <f>IF(Sync!$Z336="","",LEFT(UPPER(TRIM(Sync!$Z336)),6))</f>
        <v/>
      </c>
      <c r="B336">
        <f>IF($A336="","",IF(Sync!$AA336="","",Sync!$AA336))</f>
        <v/>
      </c>
      <c r="C336">
        <f>IF($A336="","",IF(Sync!$AB336="","",Sync!$AB336))</f>
        <v/>
      </c>
      <c r="D336">
        <f>IF($A336="","",IF(Sync!$AC336="","",Sync!$AC336))</f>
        <v/>
      </c>
      <c r="E336">
        <f>IF($A336="","",IF(Sync!$AD336="","",Sync!$AD336))</f>
        <v/>
      </c>
      <c r="F336">
        <f>IF($A336="","",IF(Sync!$AE336="",0,Sync!$AE336))</f>
        <v/>
      </c>
      <c r="G336">
        <f>IF($A336="","",IF(Sync!$AF336="",0,Sync!$AF336))</f>
        <v/>
      </c>
      <c r="H336">
        <f>IF(OR($A336="",ROUND($F336+$G336,2)=0),"",$F336+$G336)</f>
        <v/>
      </c>
      <c r="I336">
        <f>IF($H336="","",IF(ROUND($F336,2)&gt;0,$A336,IF($D336="شخصی قاسم","شخصی قاسم",IF($D336="هزینه","هزینه: "&amp;IF($E336="","متفرقه",$E336),IF($C336="پاس چک","چک پرداختی",IF(OR($B336="",COUNTIF(AcctCodesA,$B336)=0),"متفرقه",$B336))))))</f>
        <v/>
      </c>
      <c r="J336">
        <f>IF($H336="","",IF(ROUND($F336,2)&gt;0,IF($D336="شخصی قاسم","شخصی قاسم",IF($D336="هزینه","هزینه: "&amp;IF($E336="","متفرقه",$E336),IF(OR($B336="",COUNTIF(AcctCodesA,$B336)=0),"متفرقه",$B336))),$A336))</f>
        <v/>
      </c>
      <c r="K336">
        <f>IF($A336="","",IF(AND($B336&lt;&gt;"",COUNTIF(AcctCodesA,$B336)=0),"کد طرف در INFO تعریف نشده",IF(AND($D336="هزینه",$E336=""),"هزینه بدون زیرگروه",IF(AND($C336="پاس چک",OR(Sync!$AJ336="",COUNTIF(IssueNosA,Sync!$AJ336)=0)),"شماره چک پاس‌شده معتبر نیست",""))))</f>
        <v/>
      </c>
      <c r="M336">
        <f>IF(Sync!$AH336="","",Sync!$AH336)</f>
        <v/>
      </c>
      <c r="N336">
        <f>IF($M336="","",IF(OR(Sync!$AI336="",COUNTIF(AcctCodesA,Sync!$AI336)=0),"متفرقه",Sync!$AI336))</f>
        <v/>
      </c>
      <c r="O336">
        <f>IF($M336="","",$N336)</f>
        <v/>
      </c>
      <c r="P336">
        <f>IF($M336="","","چک پرداختی")</f>
        <v/>
      </c>
      <c r="R336">
        <f>IF($M336="","",IF(COUNTIF(AcctCodesA,Sync!$AI336)=0,"ذی‌نفع چک تعریف‌نشده",""))</f>
        <v/>
      </c>
      <c r="S336">
        <f>IF($R336="","",Sync!$AG336&amp;"|"&amp;"5"&amp;RIGHT("00000"&amp;331,5))</f>
        <v/>
      </c>
      <c r="T336">
        <f>IF($S336="",0,COUNTIFS($S$6:$S$505,"&lt;"&amp;$S336)-COUNTIFS($S$6:$S$505,"&lt;"&amp;$S336,$R$6:$R$505,"")+1)</f>
        <v/>
      </c>
      <c r="V336">
        <f>IF($K336="","",IF(ISNUMBER(Sync!$AK336),Sync!$AK336,LEFT(Sync!$AK336,4)&amp;MID(Sync!$AK336,6,2)&amp;RIGHT(Sync!$AK336,2))&amp;"|"&amp;"4"&amp;RIGHT("00000"&amp;331,5))</f>
        <v/>
      </c>
      <c r="W336">
        <f>IF($V336="",0,COUNTIFS($V$6:$V$2005,"&lt;"&amp;$V336)-COUNTIFS($V$6:$V$2005,"&lt;"&amp;$V336,$K$6:$K$2005,"")+1)</f>
        <v/>
      </c>
      <c r="X336">
        <f>IF(Sync!$AX336="","",IF(OR(N(Sync!$AY336)=0,N(Sync!$AZ336)=0),"",ROUND(N(Sync!$AY336)*N(Sync!$AZ336),0)))</f>
        <v/>
      </c>
      <c r="Y336">
        <f>IF($X336="","",IF(OR(Sync!$AX336="",COUNTIF(AcctCodesA,Sync!$AX336)=0),"متفرقه",Sync!$AX336))</f>
        <v/>
      </c>
      <c r="Z336">
        <f>IF($X336="","","سبد و ظروف")</f>
        <v/>
      </c>
      <c r="AA336">
        <f>IF($X336="","",$Y336)</f>
        <v/>
      </c>
    </row>
    <row r="337">
      <c r="A337">
        <f>IF(Sync!$Z337="","",LEFT(UPPER(TRIM(Sync!$Z337)),6))</f>
        <v/>
      </c>
      <c r="B337">
        <f>IF($A337="","",IF(Sync!$AA337="","",Sync!$AA337))</f>
        <v/>
      </c>
      <c r="C337">
        <f>IF($A337="","",IF(Sync!$AB337="","",Sync!$AB337))</f>
        <v/>
      </c>
      <c r="D337">
        <f>IF($A337="","",IF(Sync!$AC337="","",Sync!$AC337))</f>
        <v/>
      </c>
      <c r="E337">
        <f>IF($A337="","",IF(Sync!$AD337="","",Sync!$AD337))</f>
        <v/>
      </c>
      <c r="F337">
        <f>IF($A337="","",IF(Sync!$AE337="",0,Sync!$AE337))</f>
        <v/>
      </c>
      <c r="G337">
        <f>IF($A337="","",IF(Sync!$AF337="",0,Sync!$AF337))</f>
        <v/>
      </c>
      <c r="H337">
        <f>IF(OR($A337="",ROUND($F337+$G337,2)=0),"",$F337+$G337)</f>
        <v/>
      </c>
      <c r="I337">
        <f>IF($H337="","",IF(ROUND($F337,2)&gt;0,$A337,IF($D337="شخصی قاسم","شخصی قاسم",IF($D337="هزینه","هزینه: "&amp;IF($E337="","متفرقه",$E337),IF($C337="پاس چک","چک پرداختی",IF(OR($B337="",COUNTIF(AcctCodesA,$B337)=0),"متفرقه",$B337))))))</f>
        <v/>
      </c>
      <c r="J337">
        <f>IF($H337="","",IF(ROUND($F337,2)&gt;0,IF($D337="شخصی قاسم","شخصی قاسم",IF($D337="هزینه","هزینه: "&amp;IF($E337="","متفرقه",$E337),IF(OR($B337="",COUNTIF(AcctCodesA,$B337)=0),"متفرقه",$B337))),$A337))</f>
        <v/>
      </c>
      <c r="K337">
        <f>IF($A337="","",IF(AND($B337&lt;&gt;"",COUNTIF(AcctCodesA,$B337)=0),"کد طرف در INFO تعریف نشده",IF(AND($D337="هزینه",$E337=""),"هزینه بدون زیرگروه",IF(AND($C337="پاس چک",OR(Sync!$AJ337="",COUNTIF(IssueNosA,Sync!$AJ337)=0)),"شماره چک پاس‌شده معتبر نیست",""))))</f>
        <v/>
      </c>
      <c r="M337">
        <f>IF(Sync!$AH337="","",Sync!$AH337)</f>
        <v/>
      </c>
      <c r="N337">
        <f>IF($M337="","",IF(OR(Sync!$AI337="",COUNTIF(AcctCodesA,Sync!$AI337)=0),"متفرقه",Sync!$AI337))</f>
        <v/>
      </c>
      <c r="O337">
        <f>IF($M337="","",$N337)</f>
        <v/>
      </c>
      <c r="P337">
        <f>IF($M337="","","چک پرداختی")</f>
        <v/>
      </c>
      <c r="R337">
        <f>IF($M337="","",IF(COUNTIF(AcctCodesA,Sync!$AI337)=0,"ذی‌نفع چک تعریف‌نشده",""))</f>
        <v/>
      </c>
      <c r="S337">
        <f>IF($R337="","",Sync!$AG337&amp;"|"&amp;"5"&amp;RIGHT("00000"&amp;332,5))</f>
        <v/>
      </c>
      <c r="T337">
        <f>IF($S337="",0,COUNTIFS($S$6:$S$505,"&lt;"&amp;$S337)-COUNTIFS($S$6:$S$505,"&lt;"&amp;$S337,$R$6:$R$505,"")+1)</f>
        <v/>
      </c>
      <c r="V337">
        <f>IF($K337="","",IF(ISNUMBER(Sync!$AK337),Sync!$AK337,LEFT(Sync!$AK337,4)&amp;MID(Sync!$AK337,6,2)&amp;RIGHT(Sync!$AK337,2))&amp;"|"&amp;"4"&amp;RIGHT("00000"&amp;332,5))</f>
        <v/>
      </c>
      <c r="W337">
        <f>IF($V337="",0,COUNTIFS($V$6:$V$2005,"&lt;"&amp;$V337)-COUNTIFS($V$6:$V$2005,"&lt;"&amp;$V337,$K$6:$K$2005,"")+1)</f>
        <v/>
      </c>
      <c r="X337">
        <f>IF(Sync!$AX337="","",IF(OR(N(Sync!$AY337)=0,N(Sync!$AZ337)=0),"",ROUND(N(Sync!$AY337)*N(Sync!$AZ337),0)))</f>
        <v/>
      </c>
      <c r="Y337">
        <f>IF($X337="","",IF(OR(Sync!$AX337="",COUNTIF(AcctCodesA,Sync!$AX337)=0),"متفرقه",Sync!$AX337))</f>
        <v/>
      </c>
      <c r="Z337">
        <f>IF($X337="","","سبد و ظروف")</f>
        <v/>
      </c>
      <c r="AA337">
        <f>IF($X337="","",$Y337)</f>
        <v/>
      </c>
    </row>
    <row r="338">
      <c r="A338">
        <f>IF(Sync!$Z338="","",LEFT(UPPER(TRIM(Sync!$Z338)),6))</f>
        <v/>
      </c>
      <c r="B338">
        <f>IF($A338="","",IF(Sync!$AA338="","",Sync!$AA338))</f>
        <v/>
      </c>
      <c r="C338">
        <f>IF($A338="","",IF(Sync!$AB338="","",Sync!$AB338))</f>
        <v/>
      </c>
      <c r="D338">
        <f>IF($A338="","",IF(Sync!$AC338="","",Sync!$AC338))</f>
        <v/>
      </c>
      <c r="E338">
        <f>IF($A338="","",IF(Sync!$AD338="","",Sync!$AD338))</f>
        <v/>
      </c>
      <c r="F338">
        <f>IF($A338="","",IF(Sync!$AE338="",0,Sync!$AE338))</f>
        <v/>
      </c>
      <c r="G338">
        <f>IF($A338="","",IF(Sync!$AF338="",0,Sync!$AF338))</f>
        <v/>
      </c>
      <c r="H338">
        <f>IF(OR($A338="",ROUND($F338+$G338,2)=0),"",$F338+$G338)</f>
        <v/>
      </c>
      <c r="I338">
        <f>IF($H338="","",IF(ROUND($F338,2)&gt;0,$A338,IF($D338="شخصی قاسم","شخصی قاسم",IF($D338="هزینه","هزینه: "&amp;IF($E338="","متفرقه",$E338),IF($C338="پاس چک","چک پرداختی",IF(OR($B338="",COUNTIF(AcctCodesA,$B338)=0),"متفرقه",$B338))))))</f>
        <v/>
      </c>
      <c r="J338">
        <f>IF($H338="","",IF(ROUND($F338,2)&gt;0,IF($D338="شخصی قاسم","شخصی قاسم",IF($D338="هزینه","هزینه: "&amp;IF($E338="","متفرقه",$E338),IF(OR($B338="",COUNTIF(AcctCodesA,$B338)=0),"متفرقه",$B338))),$A338))</f>
        <v/>
      </c>
      <c r="K338">
        <f>IF($A338="","",IF(AND($B338&lt;&gt;"",COUNTIF(AcctCodesA,$B338)=0),"کد طرف در INFO تعریف نشده",IF(AND($D338="هزینه",$E338=""),"هزینه بدون زیرگروه",IF(AND($C338="پاس چک",OR(Sync!$AJ338="",COUNTIF(IssueNosA,Sync!$AJ338)=0)),"شماره چک پاس‌شده معتبر نیست",""))))</f>
        <v/>
      </c>
      <c r="M338">
        <f>IF(Sync!$AH338="","",Sync!$AH338)</f>
        <v/>
      </c>
      <c r="N338">
        <f>IF($M338="","",IF(OR(Sync!$AI338="",COUNTIF(AcctCodesA,Sync!$AI338)=0),"متفرقه",Sync!$AI338))</f>
        <v/>
      </c>
      <c r="O338">
        <f>IF($M338="","",$N338)</f>
        <v/>
      </c>
      <c r="P338">
        <f>IF($M338="","","چک پرداختی")</f>
        <v/>
      </c>
      <c r="R338">
        <f>IF($M338="","",IF(COUNTIF(AcctCodesA,Sync!$AI338)=0,"ذی‌نفع چک تعریف‌نشده",""))</f>
        <v/>
      </c>
      <c r="S338">
        <f>IF($R338="","",Sync!$AG338&amp;"|"&amp;"5"&amp;RIGHT("00000"&amp;333,5))</f>
        <v/>
      </c>
      <c r="T338">
        <f>IF($S338="",0,COUNTIFS($S$6:$S$505,"&lt;"&amp;$S338)-COUNTIFS($S$6:$S$505,"&lt;"&amp;$S338,$R$6:$R$505,"")+1)</f>
        <v/>
      </c>
      <c r="V338">
        <f>IF($K338="","",IF(ISNUMBER(Sync!$AK338),Sync!$AK338,LEFT(Sync!$AK338,4)&amp;MID(Sync!$AK338,6,2)&amp;RIGHT(Sync!$AK338,2))&amp;"|"&amp;"4"&amp;RIGHT("00000"&amp;333,5))</f>
        <v/>
      </c>
      <c r="W338">
        <f>IF($V338="",0,COUNTIFS($V$6:$V$2005,"&lt;"&amp;$V338)-COUNTIFS($V$6:$V$2005,"&lt;"&amp;$V338,$K$6:$K$2005,"")+1)</f>
        <v/>
      </c>
      <c r="X338">
        <f>IF(Sync!$AX338="","",IF(OR(N(Sync!$AY338)=0,N(Sync!$AZ338)=0),"",ROUND(N(Sync!$AY338)*N(Sync!$AZ338),0)))</f>
        <v/>
      </c>
      <c r="Y338">
        <f>IF($X338="","",IF(OR(Sync!$AX338="",COUNTIF(AcctCodesA,Sync!$AX338)=0),"متفرقه",Sync!$AX338))</f>
        <v/>
      </c>
      <c r="Z338">
        <f>IF($X338="","","سبد و ظروف")</f>
        <v/>
      </c>
      <c r="AA338">
        <f>IF($X338="","",$Y338)</f>
        <v/>
      </c>
    </row>
    <row r="339">
      <c r="A339">
        <f>IF(Sync!$Z339="","",LEFT(UPPER(TRIM(Sync!$Z339)),6))</f>
        <v/>
      </c>
      <c r="B339">
        <f>IF($A339="","",IF(Sync!$AA339="","",Sync!$AA339))</f>
        <v/>
      </c>
      <c r="C339">
        <f>IF($A339="","",IF(Sync!$AB339="","",Sync!$AB339))</f>
        <v/>
      </c>
      <c r="D339">
        <f>IF($A339="","",IF(Sync!$AC339="","",Sync!$AC339))</f>
        <v/>
      </c>
      <c r="E339">
        <f>IF($A339="","",IF(Sync!$AD339="","",Sync!$AD339))</f>
        <v/>
      </c>
      <c r="F339">
        <f>IF($A339="","",IF(Sync!$AE339="",0,Sync!$AE339))</f>
        <v/>
      </c>
      <c r="G339">
        <f>IF($A339="","",IF(Sync!$AF339="",0,Sync!$AF339))</f>
        <v/>
      </c>
      <c r="H339">
        <f>IF(OR($A339="",ROUND($F339+$G339,2)=0),"",$F339+$G339)</f>
        <v/>
      </c>
      <c r="I339">
        <f>IF($H339="","",IF(ROUND($F339,2)&gt;0,$A339,IF($D339="شخصی قاسم","شخصی قاسم",IF($D339="هزینه","هزینه: "&amp;IF($E339="","متفرقه",$E339),IF($C339="پاس چک","چک پرداختی",IF(OR($B339="",COUNTIF(AcctCodesA,$B339)=0),"متفرقه",$B339))))))</f>
        <v/>
      </c>
      <c r="J339">
        <f>IF($H339="","",IF(ROUND($F339,2)&gt;0,IF($D339="شخصی قاسم","شخصی قاسم",IF($D339="هزینه","هزینه: "&amp;IF($E339="","متفرقه",$E339),IF(OR($B339="",COUNTIF(AcctCodesA,$B339)=0),"متفرقه",$B339))),$A339))</f>
        <v/>
      </c>
      <c r="K339">
        <f>IF($A339="","",IF(AND($B339&lt;&gt;"",COUNTIF(AcctCodesA,$B339)=0),"کد طرف در INFO تعریف نشده",IF(AND($D339="هزینه",$E339=""),"هزینه بدون زیرگروه",IF(AND($C339="پاس چک",OR(Sync!$AJ339="",COUNTIF(IssueNosA,Sync!$AJ339)=0)),"شماره چک پاس‌شده معتبر نیست",""))))</f>
        <v/>
      </c>
      <c r="M339">
        <f>IF(Sync!$AH339="","",Sync!$AH339)</f>
        <v/>
      </c>
      <c r="N339">
        <f>IF($M339="","",IF(OR(Sync!$AI339="",COUNTIF(AcctCodesA,Sync!$AI339)=0),"متفرقه",Sync!$AI339))</f>
        <v/>
      </c>
      <c r="O339">
        <f>IF($M339="","",$N339)</f>
        <v/>
      </c>
      <c r="P339">
        <f>IF($M339="","","چک پرداختی")</f>
        <v/>
      </c>
      <c r="R339">
        <f>IF($M339="","",IF(COUNTIF(AcctCodesA,Sync!$AI339)=0,"ذی‌نفع چک تعریف‌نشده",""))</f>
        <v/>
      </c>
      <c r="S339">
        <f>IF($R339="","",Sync!$AG339&amp;"|"&amp;"5"&amp;RIGHT("00000"&amp;334,5))</f>
        <v/>
      </c>
      <c r="T339">
        <f>IF($S339="",0,COUNTIFS($S$6:$S$505,"&lt;"&amp;$S339)-COUNTIFS($S$6:$S$505,"&lt;"&amp;$S339,$R$6:$R$505,"")+1)</f>
        <v/>
      </c>
      <c r="V339">
        <f>IF($K339="","",IF(ISNUMBER(Sync!$AK339),Sync!$AK339,LEFT(Sync!$AK339,4)&amp;MID(Sync!$AK339,6,2)&amp;RIGHT(Sync!$AK339,2))&amp;"|"&amp;"4"&amp;RIGHT("00000"&amp;334,5))</f>
        <v/>
      </c>
      <c r="W339">
        <f>IF($V339="",0,COUNTIFS($V$6:$V$2005,"&lt;"&amp;$V339)-COUNTIFS($V$6:$V$2005,"&lt;"&amp;$V339,$K$6:$K$2005,"")+1)</f>
        <v/>
      </c>
      <c r="X339">
        <f>IF(Sync!$AX339="","",IF(OR(N(Sync!$AY339)=0,N(Sync!$AZ339)=0),"",ROUND(N(Sync!$AY339)*N(Sync!$AZ339),0)))</f>
        <v/>
      </c>
      <c r="Y339">
        <f>IF($X339="","",IF(OR(Sync!$AX339="",COUNTIF(AcctCodesA,Sync!$AX339)=0),"متفرقه",Sync!$AX339))</f>
        <v/>
      </c>
      <c r="Z339">
        <f>IF($X339="","","سبد و ظروف")</f>
        <v/>
      </c>
      <c r="AA339">
        <f>IF($X339="","",$Y339)</f>
        <v/>
      </c>
    </row>
    <row r="340">
      <c r="A340">
        <f>IF(Sync!$Z340="","",LEFT(UPPER(TRIM(Sync!$Z340)),6))</f>
        <v/>
      </c>
      <c r="B340">
        <f>IF($A340="","",IF(Sync!$AA340="","",Sync!$AA340))</f>
        <v/>
      </c>
      <c r="C340">
        <f>IF($A340="","",IF(Sync!$AB340="","",Sync!$AB340))</f>
        <v/>
      </c>
      <c r="D340">
        <f>IF($A340="","",IF(Sync!$AC340="","",Sync!$AC340))</f>
        <v/>
      </c>
      <c r="E340">
        <f>IF($A340="","",IF(Sync!$AD340="","",Sync!$AD340))</f>
        <v/>
      </c>
      <c r="F340">
        <f>IF($A340="","",IF(Sync!$AE340="",0,Sync!$AE340))</f>
        <v/>
      </c>
      <c r="G340">
        <f>IF($A340="","",IF(Sync!$AF340="",0,Sync!$AF340))</f>
        <v/>
      </c>
      <c r="H340">
        <f>IF(OR($A340="",ROUND($F340+$G340,2)=0),"",$F340+$G340)</f>
        <v/>
      </c>
      <c r="I340">
        <f>IF($H340="","",IF(ROUND($F340,2)&gt;0,$A340,IF($D340="شخصی قاسم","شخصی قاسم",IF($D340="هزینه","هزینه: "&amp;IF($E340="","متفرقه",$E340),IF($C340="پاس چک","چک پرداختی",IF(OR($B340="",COUNTIF(AcctCodesA,$B340)=0),"متفرقه",$B340))))))</f>
        <v/>
      </c>
      <c r="J340">
        <f>IF($H340="","",IF(ROUND($F340,2)&gt;0,IF($D340="شخصی قاسم","شخصی قاسم",IF($D340="هزینه","هزینه: "&amp;IF($E340="","متفرقه",$E340),IF(OR($B340="",COUNTIF(AcctCodesA,$B340)=0),"متفرقه",$B340))),$A340))</f>
        <v/>
      </c>
      <c r="K340">
        <f>IF($A340="","",IF(AND($B340&lt;&gt;"",COUNTIF(AcctCodesA,$B340)=0),"کد طرف در INFO تعریف نشده",IF(AND($D340="هزینه",$E340=""),"هزینه بدون زیرگروه",IF(AND($C340="پاس چک",OR(Sync!$AJ340="",COUNTIF(IssueNosA,Sync!$AJ340)=0)),"شماره چک پاس‌شده معتبر نیست",""))))</f>
        <v/>
      </c>
      <c r="M340">
        <f>IF(Sync!$AH340="","",Sync!$AH340)</f>
        <v/>
      </c>
      <c r="N340">
        <f>IF($M340="","",IF(OR(Sync!$AI340="",COUNTIF(AcctCodesA,Sync!$AI340)=0),"متفرقه",Sync!$AI340))</f>
        <v/>
      </c>
      <c r="O340">
        <f>IF($M340="","",$N340)</f>
        <v/>
      </c>
      <c r="P340">
        <f>IF($M340="","","چک پرداختی")</f>
        <v/>
      </c>
      <c r="R340">
        <f>IF($M340="","",IF(COUNTIF(AcctCodesA,Sync!$AI340)=0,"ذی‌نفع چک تعریف‌نشده",""))</f>
        <v/>
      </c>
      <c r="S340">
        <f>IF($R340="","",Sync!$AG340&amp;"|"&amp;"5"&amp;RIGHT("00000"&amp;335,5))</f>
        <v/>
      </c>
      <c r="T340">
        <f>IF($S340="",0,COUNTIFS($S$6:$S$505,"&lt;"&amp;$S340)-COUNTIFS($S$6:$S$505,"&lt;"&amp;$S340,$R$6:$R$505,"")+1)</f>
        <v/>
      </c>
      <c r="V340">
        <f>IF($K340="","",IF(ISNUMBER(Sync!$AK340),Sync!$AK340,LEFT(Sync!$AK340,4)&amp;MID(Sync!$AK340,6,2)&amp;RIGHT(Sync!$AK340,2))&amp;"|"&amp;"4"&amp;RIGHT("00000"&amp;335,5))</f>
        <v/>
      </c>
      <c r="W340">
        <f>IF($V340="",0,COUNTIFS($V$6:$V$2005,"&lt;"&amp;$V340)-COUNTIFS($V$6:$V$2005,"&lt;"&amp;$V340,$K$6:$K$2005,"")+1)</f>
        <v/>
      </c>
      <c r="X340">
        <f>IF(Sync!$AX340="","",IF(OR(N(Sync!$AY340)=0,N(Sync!$AZ340)=0),"",ROUND(N(Sync!$AY340)*N(Sync!$AZ340),0)))</f>
        <v/>
      </c>
      <c r="Y340">
        <f>IF($X340="","",IF(OR(Sync!$AX340="",COUNTIF(AcctCodesA,Sync!$AX340)=0),"متفرقه",Sync!$AX340))</f>
        <v/>
      </c>
      <c r="Z340">
        <f>IF($X340="","","سبد و ظروف")</f>
        <v/>
      </c>
      <c r="AA340">
        <f>IF($X340="","",$Y340)</f>
        <v/>
      </c>
    </row>
    <row r="341">
      <c r="A341">
        <f>IF(Sync!$Z341="","",LEFT(UPPER(TRIM(Sync!$Z341)),6))</f>
        <v/>
      </c>
      <c r="B341">
        <f>IF($A341="","",IF(Sync!$AA341="","",Sync!$AA341))</f>
        <v/>
      </c>
      <c r="C341">
        <f>IF($A341="","",IF(Sync!$AB341="","",Sync!$AB341))</f>
        <v/>
      </c>
      <c r="D341">
        <f>IF($A341="","",IF(Sync!$AC341="","",Sync!$AC341))</f>
        <v/>
      </c>
      <c r="E341">
        <f>IF($A341="","",IF(Sync!$AD341="","",Sync!$AD341))</f>
        <v/>
      </c>
      <c r="F341">
        <f>IF($A341="","",IF(Sync!$AE341="",0,Sync!$AE341))</f>
        <v/>
      </c>
      <c r="G341">
        <f>IF($A341="","",IF(Sync!$AF341="",0,Sync!$AF341))</f>
        <v/>
      </c>
      <c r="H341">
        <f>IF(OR($A341="",ROUND($F341+$G341,2)=0),"",$F341+$G341)</f>
        <v/>
      </c>
      <c r="I341">
        <f>IF($H341="","",IF(ROUND($F341,2)&gt;0,$A341,IF($D341="شخصی قاسم","شخصی قاسم",IF($D341="هزینه","هزینه: "&amp;IF($E341="","متفرقه",$E341),IF($C341="پاس چک","چک پرداختی",IF(OR($B341="",COUNTIF(AcctCodesA,$B341)=0),"متفرقه",$B341))))))</f>
        <v/>
      </c>
      <c r="J341">
        <f>IF($H341="","",IF(ROUND($F341,2)&gt;0,IF($D341="شخصی قاسم","شخصی قاسم",IF($D341="هزینه","هزینه: "&amp;IF($E341="","متفرقه",$E341),IF(OR($B341="",COUNTIF(AcctCodesA,$B341)=0),"متفرقه",$B341))),$A341))</f>
        <v/>
      </c>
      <c r="K341">
        <f>IF($A341="","",IF(AND($B341&lt;&gt;"",COUNTIF(AcctCodesA,$B341)=0),"کد طرف در INFO تعریف نشده",IF(AND($D341="هزینه",$E341=""),"هزینه بدون زیرگروه",IF(AND($C341="پاس چک",OR(Sync!$AJ341="",COUNTIF(IssueNosA,Sync!$AJ341)=0)),"شماره چک پاس‌شده معتبر نیست",""))))</f>
        <v/>
      </c>
      <c r="M341">
        <f>IF(Sync!$AH341="","",Sync!$AH341)</f>
        <v/>
      </c>
      <c r="N341">
        <f>IF($M341="","",IF(OR(Sync!$AI341="",COUNTIF(AcctCodesA,Sync!$AI341)=0),"متفرقه",Sync!$AI341))</f>
        <v/>
      </c>
      <c r="O341">
        <f>IF($M341="","",$N341)</f>
        <v/>
      </c>
      <c r="P341">
        <f>IF($M341="","","چک پرداختی")</f>
        <v/>
      </c>
      <c r="R341">
        <f>IF($M341="","",IF(COUNTIF(AcctCodesA,Sync!$AI341)=0,"ذی‌نفع چک تعریف‌نشده",""))</f>
        <v/>
      </c>
      <c r="S341">
        <f>IF($R341="","",Sync!$AG341&amp;"|"&amp;"5"&amp;RIGHT("00000"&amp;336,5))</f>
        <v/>
      </c>
      <c r="T341">
        <f>IF($S341="",0,COUNTIFS($S$6:$S$505,"&lt;"&amp;$S341)-COUNTIFS($S$6:$S$505,"&lt;"&amp;$S341,$R$6:$R$505,"")+1)</f>
        <v/>
      </c>
      <c r="V341">
        <f>IF($K341="","",IF(ISNUMBER(Sync!$AK341),Sync!$AK341,LEFT(Sync!$AK341,4)&amp;MID(Sync!$AK341,6,2)&amp;RIGHT(Sync!$AK341,2))&amp;"|"&amp;"4"&amp;RIGHT("00000"&amp;336,5))</f>
        <v/>
      </c>
      <c r="W341">
        <f>IF($V341="",0,COUNTIFS($V$6:$V$2005,"&lt;"&amp;$V341)-COUNTIFS($V$6:$V$2005,"&lt;"&amp;$V341,$K$6:$K$2005,"")+1)</f>
        <v/>
      </c>
      <c r="X341">
        <f>IF(Sync!$AX341="","",IF(OR(N(Sync!$AY341)=0,N(Sync!$AZ341)=0),"",ROUND(N(Sync!$AY341)*N(Sync!$AZ341),0)))</f>
        <v/>
      </c>
      <c r="Y341">
        <f>IF($X341="","",IF(OR(Sync!$AX341="",COUNTIF(AcctCodesA,Sync!$AX341)=0),"متفرقه",Sync!$AX341))</f>
        <v/>
      </c>
      <c r="Z341">
        <f>IF($X341="","","سبد و ظروف")</f>
        <v/>
      </c>
      <c r="AA341">
        <f>IF($X341="","",$Y341)</f>
        <v/>
      </c>
    </row>
    <row r="342">
      <c r="A342">
        <f>IF(Sync!$Z342="","",LEFT(UPPER(TRIM(Sync!$Z342)),6))</f>
        <v/>
      </c>
      <c r="B342">
        <f>IF($A342="","",IF(Sync!$AA342="","",Sync!$AA342))</f>
        <v/>
      </c>
      <c r="C342">
        <f>IF($A342="","",IF(Sync!$AB342="","",Sync!$AB342))</f>
        <v/>
      </c>
      <c r="D342">
        <f>IF($A342="","",IF(Sync!$AC342="","",Sync!$AC342))</f>
        <v/>
      </c>
      <c r="E342">
        <f>IF($A342="","",IF(Sync!$AD342="","",Sync!$AD342))</f>
        <v/>
      </c>
      <c r="F342">
        <f>IF($A342="","",IF(Sync!$AE342="",0,Sync!$AE342))</f>
        <v/>
      </c>
      <c r="G342">
        <f>IF($A342="","",IF(Sync!$AF342="",0,Sync!$AF342))</f>
        <v/>
      </c>
      <c r="H342">
        <f>IF(OR($A342="",ROUND($F342+$G342,2)=0),"",$F342+$G342)</f>
        <v/>
      </c>
      <c r="I342">
        <f>IF($H342="","",IF(ROUND($F342,2)&gt;0,$A342,IF($D342="شخصی قاسم","شخصی قاسم",IF($D342="هزینه","هزینه: "&amp;IF($E342="","متفرقه",$E342),IF($C342="پاس چک","چک پرداختی",IF(OR($B342="",COUNTIF(AcctCodesA,$B342)=0),"متفرقه",$B342))))))</f>
        <v/>
      </c>
      <c r="J342">
        <f>IF($H342="","",IF(ROUND($F342,2)&gt;0,IF($D342="شخصی قاسم","شخصی قاسم",IF($D342="هزینه","هزینه: "&amp;IF($E342="","متفرقه",$E342),IF(OR($B342="",COUNTIF(AcctCodesA,$B342)=0),"متفرقه",$B342))),$A342))</f>
        <v/>
      </c>
      <c r="K342">
        <f>IF($A342="","",IF(AND($B342&lt;&gt;"",COUNTIF(AcctCodesA,$B342)=0),"کد طرف در INFO تعریف نشده",IF(AND($D342="هزینه",$E342=""),"هزینه بدون زیرگروه",IF(AND($C342="پاس چک",OR(Sync!$AJ342="",COUNTIF(IssueNosA,Sync!$AJ342)=0)),"شماره چک پاس‌شده معتبر نیست",""))))</f>
        <v/>
      </c>
      <c r="M342">
        <f>IF(Sync!$AH342="","",Sync!$AH342)</f>
        <v/>
      </c>
      <c r="N342">
        <f>IF($M342="","",IF(OR(Sync!$AI342="",COUNTIF(AcctCodesA,Sync!$AI342)=0),"متفرقه",Sync!$AI342))</f>
        <v/>
      </c>
      <c r="O342">
        <f>IF($M342="","",$N342)</f>
        <v/>
      </c>
      <c r="P342">
        <f>IF($M342="","","چک پرداختی")</f>
        <v/>
      </c>
      <c r="R342">
        <f>IF($M342="","",IF(COUNTIF(AcctCodesA,Sync!$AI342)=0,"ذی‌نفع چک تعریف‌نشده",""))</f>
        <v/>
      </c>
      <c r="S342">
        <f>IF($R342="","",Sync!$AG342&amp;"|"&amp;"5"&amp;RIGHT("00000"&amp;337,5))</f>
        <v/>
      </c>
      <c r="T342">
        <f>IF($S342="",0,COUNTIFS($S$6:$S$505,"&lt;"&amp;$S342)-COUNTIFS($S$6:$S$505,"&lt;"&amp;$S342,$R$6:$R$505,"")+1)</f>
        <v/>
      </c>
      <c r="V342">
        <f>IF($K342="","",IF(ISNUMBER(Sync!$AK342),Sync!$AK342,LEFT(Sync!$AK342,4)&amp;MID(Sync!$AK342,6,2)&amp;RIGHT(Sync!$AK342,2))&amp;"|"&amp;"4"&amp;RIGHT("00000"&amp;337,5))</f>
        <v/>
      </c>
      <c r="W342">
        <f>IF($V342="",0,COUNTIFS($V$6:$V$2005,"&lt;"&amp;$V342)-COUNTIFS($V$6:$V$2005,"&lt;"&amp;$V342,$K$6:$K$2005,"")+1)</f>
        <v/>
      </c>
      <c r="X342">
        <f>IF(Sync!$AX342="","",IF(OR(N(Sync!$AY342)=0,N(Sync!$AZ342)=0),"",ROUND(N(Sync!$AY342)*N(Sync!$AZ342),0)))</f>
        <v/>
      </c>
      <c r="Y342">
        <f>IF($X342="","",IF(OR(Sync!$AX342="",COUNTIF(AcctCodesA,Sync!$AX342)=0),"متفرقه",Sync!$AX342))</f>
        <v/>
      </c>
      <c r="Z342">
        <f>IF($X342="","","سبد و ظروف")</f>
        <v/>
      </c>
      <c r="AA342">
        <f>IF($X342="","",$Y342)</f>
        <v/>
      </c>
    </row>
    <row r="343">
      <c r="A343">
        <f>IF(Sync!$Z343="","",LEFT(UPPER(TRIM(Sync!$Z343)),6))</f>
        <v/>
      </c>
      <c r="B343">
        <f>IF($A343="","",IF(Sync!$AA343="","",Sync!$AA343))</f>
        <v/>
      </c>
      <c r="C343">
        <f>IF($A343="","",IF(Sync!$AB343="","",Sync!$AB343))</f>
        <v/>
      </c>
      <c r="D343">
        <f>IF($A343="","",IF(Sync!$AC343="","",Sync!$AC343))</f>
        <v/>
      </c>
      <c r="E343">
        <f>IF($A343="","",IF(Sync!$AD343="","",Sync!$AD343))</f>
        <v/>
      </c>
      <c r="F343">
        <f>IF($A343="","",IF(Sync!$AE343="",0,Sync!$AE343))</f>
        <v/>
      </c>
      <c r="G343">
        <f>IF($A343="","",IF(Sync!$AF343="",0,Sync!$AF343))</f>
        <v/>
      </c>
      <c r="H343">
        <f>IF(OR($A343="",ROUND($F343+$G343,2)=0),"",$F343+$G343)</f>
        <v/>
      </c>
      <c r="I343">
        <f>IF($H343="","",IF(ROUND($F343,2)&gt;0,$A343,IF($D343="شخصی قاسم","شخصی قاسم",IF($D343="هزینه","هزینه: "&amp;IF($E343="","متفرقه",$E343),IF($C343="پاس چک","چک پرداختی",IF(OR($B343="",COUNTIF(AcctCodesA,$B343)=0),"متفرقه",$B343))))))</f>
        <v/>
      </c>
      <c r="J343">
        <f>IF($H343="","",IF(ROUND($F343,2)&gt;0,IF($D343="شخصی قاسم","شخصی قاسم",IF($D343="هزینه","هزینه: "&amp;IF($E343="","متفرقه",$E343),IF(OR($B343="",COUNTIF(AcctCodesA,$B343)=0),"متفرقه",$B343))),$A343))</f>
        <v/>
      </c>
      <c r="K343">
        <f>IF($A343="","",IF(AND($B343&lt;&gt;"",COUNTIF(AcctCodesA,$B343)=0),"کد طرف در INFO تعریف نشده",IF(AND($D343="هزینه",$E343=""),"هزینه بدون زیرگروه",IF(AND($C343="پاس چک",OR(Sync!$AJ343="",COUNTIF(IssueNosA,Sync!$AJ343)=0)),"شماره چک پاس‌شده معتبر نیست",""))))</f>
        <v/>
      </c>
      <c r="M343">
        <f>IF(Sync!$AH343="","",Sync!$AH343)</f>
        <v/>
      </c>
      <c r="N343">
        <f>IF($M343="","",IF(OR(Sync!$AI343="",COUNTIF(AcctCodesA,Sync!$AI343)=0),"متفرقه",Sync!$AI343))</f>
        <v/>
      </c>
      <c r="O343">
        <f>IF($M343="","",$N343)</f>
        <v/>
      </c>
      <c r="P343">
        <f>IF($M343="","","چک پرداختی")</f>
        <v/>
      </c>
      <c r="R343">
        <f>IF($M343="","",IF(COUNTIF(AcctCodesA,Sync!$AI343)=0,"ذی‌نفع چک تعریف‌نشده",""))</f>
        <v/>
      </c>
      <c r="S343">
        <f>IF($R343="","",Sync!$AG343&amp;"|"&amp;"5"&amp;RIGHT("00000"&amp;338,5))</f>
        <v/>
      </c>
      <c r="T343">
        <f>IF($S343="",0,COUNTIFS($S$6:$S$505,"&lt;"&amp;$S343)-COUNTIFS($S$6:$S$505,"&lt;"&amp;$S343,$R$6:$R$505,"")+1)</f>
        <v/>
      </c>
      <c r="V343">
        <f>IF($K343="","",IF(ISNUMBER(Sync!$AK343),Sync!$AK343,LEFT(Sync!$AK343,4)&amp;MID(Sync!$AK343,6,2)&amp;RIGHT(Sync!$AK343,2))&amp;"|"&amp;"4"&amp;RIGHT("00000"&amp;338,5))</f>
        <v/>
      </c>
      <c r="W343">
        <f>IF($V343="",0,COUNTIFS($V$6:$V$2005,"&lt;"&amp;$V343)-COUNTIFS($V$6:$V$2005,"&lt;"&amp;$V343,$K$6:$K$2005,"")+1)</f>
        <v/>
      </c>
      <c r="X343">
        <f>IF(Sync!$AX343="","",IF(OR(N(Sync!$AY343)=0,N(Sync!$AZ343)=0),"",ROUND(N(Sync!$AY343)*N(Sync!$AZ343),0)))</f>
        <v/>
      </c>
      <c r="Y343">
        <f>IF($X343="","",IF(OR(Sync!$AX343="",COUNTIF(AcctCodesA,Sync!$AX343)=0),"متفرقه",Sync!$AX343))</f>
        <v/>
      </c>
      <c r="Z343">
        <f>IF($X343="","","سبد و ظروف")</f>
        <v/>
      </c>
      <c r="AA343">
        <f>IF($X343="","",$Y343)</f>
        <v/>
      </c>
    </row>
    <row r="344">
      <c r="A344">
        <f>IF(Sync!$Z344="","",LEFT(UPPER(TRIM(Sync!$Z344)),6))</f>
        <v/>
      </c>
      <c r="B344">
        <f>IF($A344="","",IF(Sync!$AA344="","",Sync!$AA344))</f>
        <v/>
      </c>
      <c r="C344">
        <f>IF($A344="","",IF(Sync!$AB344="","",Sync!$AB344))</f>
        <v/>
      </c>
      <c r="D344">
        <f>IF($A344="","",IF(Sync!$AC344="","",Sync!$AC344))</f>
        <v/>
      </c>
      <c r="E344">
        <f>IF($A344="","",IF(Sync!$AD344="","",Sync!$AD344))</f>
        <v/>
      </c>
      <c r="F344">
        <f>IF($A344="","",IF(Sync!$AE344="",0,Sync!$AE344))</f>
        <v/>
      </c>
      <c r="G344">
        <f>IF($A344="","",IF(Sync!$AF344="",0,Sync!$AF344))</f>
        <v/>
      </c>
      <c r="H344">
        <f>IF(OR($A344="",ROUND($F344+$G344,2)=0),"",$F344+$G344)</f>
        <v/>
      </c>
      <c r="I344">
        <f>IF($H344="","",IF(ROUND($F344,2)&gt;0,$A344,IF($D344="شخصی قاسم","شخصی قاسم",IF($D344="هزینه","هزینه: "&amp;IF($E344="","متفرقه",$E344),IF($C344="پاس چک","چک پرداختی",IF(OR($B344="",COUNTIF(AcctCodesA,$B344)=0),"متفرقه",$B344))))))</f>
        <v/>
      </c>
      <c r="J344">
        <f>IF($H344="","",IF(ROUND($F344,2)&gt;0,IF($D344="شخصی قاسم","شخصی قاسم",IF($D344="هزینه","هزینه: "&amp;IF($E344="","متفرقه",$E344),IF(OR($B344="",COUNTIF(AcctCodesA,$B344)=0),"متفرقه",$B344))),$A344))</f>
        <v/>
      </c>
      <c r="K344">
        <f>IF($A344="","",IF(AND($B344&lt;&gt;"",COUNTIF(AcctCodesA,$B344)=0),"کد طرف در INFO تعریف نشده",IF(AND($D344="هزینه",$E344=""),"هزینه بدون زیرگروه",IF(AND($C344="پاس چک",OR(Sync!$AJ344="",COUNTIF(IssueNosA,Sync!$AJ344)=0)),"شماره چک پاس‌شده معتبر نیست",""))))</f>
        <v/>
      </c>
      <c r="M344">
        <f>IF(Sync!$AH344="","",Sync!$AH344)</f>
        <v/>
      </c>
      <c r="N344">
        <f>IF($M344="","",IF(OR(Sync!$AI344="",COUNTIF(AcctCodesA,Sync!$AI344)=0),"متفرقه",Sync!$AI344))</f>
        <v/>
      </c>
      <c r="O344">
        <f>IF($M344="","",$N344)</f>
        <v/>
      </c>
      <c r="P344">
        <f>IF($M344="","","چک پرداختی")</f>
        <v/>
      </c>
      <c r="R344">
        <f>IF($M344="","",IF(COUNTIF(AcctCodesA,Sync!$AI344)=0,"ذی‌نفع چک تعریف‌نشده",""))</f>
        <v/>
      </c>
      <c r="S344">
        <f>IF($R344="","",Sync!$AG344&amp;"|"&amp;"5"&amp;RIGHT("00000"&amp;339,5))</f>
        <v/>
      </c>
      <c r="T344">
        <f>IF($S344="",0,COUNTIFS($S$6:$S$505,"&lt;"&amp;$S344)-COUNTIFS($S$6:$S$505,"&lt;"&amp;$S344,$R$6:$R$505,"")+1)</f>
        <v/>
      </c>
      <c r="V344">
        <f>IF($K344="","",IF(ISNUMBER(Sync!$AK344),Sync!$AK344,LEFT(Sync!$AK344,4)&amp;MID(Sync!$AK344,6,2)&amp;RIGHT(Sync!$AK344,2))&amp;"|"&amp;"4"&amp;RIGHT("00000"&amp;339,5))</f>
        <v/>
      </c>
      <c r="W344">
        <f>IF($V344="",0,COUNTIFS($V$6:$V$2005,"&lt;"&amp;$V344)-COUNTIFS($V$6:$V$2005,"&lt;"&amp;$V344,$K$6:$K$2005,"")+1)</f>
        <v/>
      </c>
      <c r="X344">
        <f>IF(Sync!$AX344="","",IF(OR(N(Sync!$AY344)=0,N(Sync!$AZ344)=0),"",ROUND(N(Sync!$AY344)*N(Sync!$AZ344),0)))</f>
        <v/>
      </c>
      <c r="Y344">
        <f>IF($X344="","",IF(OR(Sync!$AX344="",COUNTIF(AcctCodesA,Sync!$AX344)=0),"متفرقه",Sync!$AX344))</f>
        <v/>
      </c>
      <c r="Z344">
        <f>IF($X344="","","سبد و ظروف")</f>
        <v/>
      </c>
      <c r="AA344">
        <f>IF($X344="","",$Y344)</f>
        <v/>
      </c>
    </row>
    <row r="345">
      <c r="A345">
        <f>IF(Sync!$Z345="","",LEFT(UPPER(TRIM(Sync!$Z345)),6))</f>
        <v/>
      </c>
      <c r="B345">
        <f>IF($A345="","",IF(Sync!$AA345="","",Sync!$AA345))</f>
        <v/>
      </c>
      <c r="C345">
        <f>IF($A345="","",IF(Sync!$AB345="","",Sync!$AB345))</f>
        <v/>
      </c>
      <c r="D345">
        <f>IF($A345="","",IF(Sync!$AC345="","",Sync!$AC345))</f>
        <v/>
      </c>
      <c r="E345">
        <f>IF($A345="","",IF(Sync!$AD345="","",Sync!$AD345))</f>
        <v/>
      </c>
      <c r="F345">
        <f>IF($A345="","",IF(Sync!$AE345="",0,Sync!$AE345))</f>
        <v/>
      </c>
      <c r="G345">
        <f>IF($A345="","",IF(Sync!$AF345="",0,Sync!$AF345))</f>
        <v/>
      </c>
      <c r="H345">
        <f>IF(OR($A345="",ROUND($F345+$G345,2)=0),"",$F345+$G345)</f>
        <v/>
      </c>
      <c r="I345">
        <f>IF($H345="","",IF(ROUND($F345,2)&gt;0,$A345,IF($D345="شخصی قاسم","شخصی قاسم",IF($D345="هزینه","هزینه: "&amp;IF($E345="","متفرقه",$E345),IF($C345="پاس چک","چک پرداختی",IF(OR($B345="",COUNTIF(AcctCodesA,$B345)=0),"متفرقه",$B345))))))</f>
        <v/>
      </c>
      <c r="J345">
        <f>IF($H345="","",IF(ROUND($F345,2)&gt;0,IF($D345="شخصی قاسم","شخصی قاسم",IF($D345="هزینه","هزینه: "&amp;IF($E345="","متفرقه",$E345),IF(OR($B345="",COUNTIF(AcctCodesA,$B345)=0),"متفرقه",$B345))),$A345))</f>
        <v/>
      </c>
      <c r="K345">
        <f>IF($A345="","",IF(AND($B345&lt;&gt;"",COUNTIF(AcctCodesA,$B345)=0),"کد طرف در INFO تعریف نشده",IF(AND($D345="هزینه",$E345=""),"هزینه بدون زیرگروه",IF(AND($C345="پاس چک",OR(Sync!$AJ345="",COUNTIF(IssueNosA,Sync!$AJ345)=0)),"شماره چک پاس‌شده معتبر نیست",""))))</f>
        <v/>
      </c>
      <c r="M345">
        <f>IF(Sync!$AH345="","",Sync!$AH345)</f>
        <v/>
      </c>
      <c r="N345">
        <f>IF($M345="","",IF(OR(Sync!$AI345="",COUNTIF(AcctCodesA,Sync!$AI345)=0),"متفرقه",Sync!$AI345))</f>
        <v/>
      </c>
      <c r="O345">
        <f>IF($M345="","",$N345)</f>
        <v/>
      </c>
      <c r="P345">
        <f>IF($M345="","","چک پرداختی")</f>
        <v/>
      </c>
      <c r="R345">
        <f>IF($M345="","",IF(COUNTIF(AcctCodesA,Sync!$AI345)=0,"ذی‌نفع چک تعریف‌نشده",""))</f>
        <v/>
      </c>
      <c r="S345">
        <f>IF($R345="","",Sync!$AG345&amp;"|"&amp;"5"&amp;RIGHT("00000"&amp;340,5))</f>
        <v/>
      </c>
      <c r="T345">
        <f>IF($S345="",0,COUNTIFS($S$6:$S$505,"&lt;"&amp;$S345)-COUNTIFS($S$6:$S$505,"&lt;"&amp;$S345,$R$6:$R$505,"")+1)</f>
        <v/>
      </c>
      <c r="V345">
        <f>IF($K345="","",IF(ISNUMBER(Sync!$AK345),Sync!$AK345,LEFT(Sync!$AK345,4)&amp;MID(Sync!$AK345,6,2)&amp;RIGHT(Sync!$AK345,2))&amp;"|"&amp;"4"&amp;RIGHT("00000"&amp;340,5))</f>
        <v/>
      </c>
      <c r="W345">
        <f>IF($V345="",0,COUNTIFS($V$6:$V$2005,"&lt;"&amp;$V345)-COUNTIFS($V$6:$V$2005,"&lt;"&amp;$V345,$K$6:$K$2005,"")+1)</f>
        <v/>
      </c>
      <c r="X345">
        <f>IF(Sync!$AX345="","",IF(OR(N(Sync!$AY345)=0,N(Sync!$AZ345)=0),"",ROUND(N(Sync!$AY345)*N(Sync!$AZ345),0)))</f>
        <v/>
      </c>
      <c r="Y345">
        <f>IF($X345="","",IF(OR(Sync!$AX345="",COUNTIF(AcctCodesA,Sync!$AX345)=0),"متفرقه",Sync!$AX345))</f>
        <v/>
      </c>
      <c r="Z345">
        <f>IF($X345="","","سبد و ظروف")</f>
        <v/>
      </c>
      <c r="AA345">
        <f>IF($X345="","",$Y345)</f>
        <v/>
      </c>
    </row>
    <row r="346">
      <c r="A346">
        <f>IF(Sync!$Z346="","",LEFT(UPPER(TRIM(Sync!$Z346)),6))</f>
        <v/>
      </c>
      <c r="B346">
        <f>IF($A346="","",IF(Sync!$AA346="","",Sync!$AA346))</f>
        <v/>
      </c>
      <c r="C346">
        <f>IF($A346="","",IF(Sync!$AB346="","",Sync!$AB346))</f>
        <v/>
      </c>
      <c r="D346">
        <f>IF($A346="","",IF(Sync!$AC346="","",Sync!$AC346))</f>
        <v/>
      </c>
      <c r="E346">
        <f>IF($A346="","",IF(Sync!$AD346="","",Sync!$AD346))</f>
        <v/>
      </c>
      <c r="F346">
        <f>IF($A346="","",IF(Sync!$AE346="",0,Sync!$AE346))</f>
        <v/>
      </c>
      <c r="G346">
        <f>IF($A346="","",IF(Sync!$AF346="",0,Sync!$AF346))</f>
        <v/>
      </c>
      <c r="H346">
        <f>IF(OR($A346="",ROUND($F346+$G346,2)=0),"",$F346+$G346)</f>
        <v/>
      </c>
      <c r="I346">
        <f>IF($H346="","",IF(ROUND($F346,2)&gt;0,$A346,IF($D346="شخصی قاسم","شخصی قاسم",IF($D346="هزینه","هزینه: "&amp;IF($E346="","متفرقه",$E346),IF($C346="پاس چک","چک پرداختی",IF(OR($B346="",COUNTIF(AcctCodesA,$B346)=0),"متفرقه",$B346))))))</f>
        <v/>
      </c>
      <c r="J346">
        <f>IF($H346="","",IF(ROUND($F346,2)&gt;0,IF($D346="شخصی قاسم","شخصی قاسم",IF($D346="هزینه","هزینه: "&amp;IF($E346="","متفرقه",$E346),IF(OR($B346="",COUNTIF(AcctCodesA,$B346)=0),"متفرقه",$B346))),$A346))</f>
        <v/>
      </c>
      <c r="K346">
        <f>IF($A346="","",IF(AND($B346&lt;&gt;"",COUNTIF(AcctCodesA,$B346)=0),"کد طرف در INFO تعریف نشده",IF(AND($D346="هزینه",$E346=""),"هزینه بدون زیرگروه",IF(AND($C346="پاس چک",OR(Sync!$AJ346="",COUNTIF(IssueNosA,Sync!$AJ346)=0)),"شماره چک پاس‌شده معتبر نیست",""))))</f>
        <v/>
      </c>
      <c r="M346">
        <f>IF(Sync!$AH346="","",Sync!$AH346)</f>
        <v/>
      </c>
      <c r="N346">
        <f>IF($M346="","",IF(OR(Sync!$AI346="",COUNTIF(AcctCodesA,Sync!$AI346)=0),"متفرقه",Sync!$AI346))</f>
        <v/>
      </c>
      <c r="O346">
        <f>IF($M346="","",$N346)</f>
        <v/>
      </c>
      <c r="P346">
        <f>IF($M346="","","چک پرداختی")</f>
        <v/>
      </c>
      <c r="R346">
        <f>IF($M346="","",IF(COUNTIF(AcctCodesA,Sync!$AI346)=0,"ذی‌نفع چک تعریف‌نشده",""))</f>
        <v/>
      </c>
      <c r="S346">
        <f>IF($R346="","",Sync!$AG346&amp;"|"&amp;"5"&amp;RIGHT("00000"&amp;341,5))</f>
        <v/>
      </c>
      <c r="T346">
        <f>IF($S346="",0,COUNTIFS($S$6:$S$505,"&lt;"&amp;$S346)-COUNTIFS($S$6:$S$505,"&lt;"&amp;$S346,$R$6:$R$505,"")+1)</f>
        <v/>
      </c>
      <c r="V346">
        <f>IF($K346="","",IF(ISNUMBER(Sync!$AK346),Sync!$AK346,LEFT(Sync!$AK346,4)&amp;MID(Sync!$AK346,6,2)&amp;RIGHT(Sync!$AK346,2))&amp;"|"&amp;"4"&amp;RIGHT("00000"&amp;341,5))</f>
        <v/>
      </c>
      <c r="W346">
        <f>IF($V346="",0,COUNTIFS($V$6:$V$2005,"&lt;"&amp;$V346)-COUNTIFS($V$6:$V$2005,"&lt;"&amp;$V346,$K$6:$K$2005,"")+1)</f>
        <v/>
      </c>
      <c r="X346">
        <f>IF(Sync!$AX346="","",IF(OR(N(Sync!$AY346)=0,N(Sync!$AZ346)=0),"",ROUND(N(Sync!$AY346)*N(Sync!$AZ346),0)))</f>
        <v/>
      </c>
      <c r="Y346">
        <f>IF($X346="","",IF(OR(Sync!$AX346="",COUNTIF(AcctCodesA,Sync!$AX346)=0),"متفرقه",Sync!$AX346))</f>
        <v/>
      </c>
      <c r="Z346">
        <f>IF($X346="","","سبد و ظروف")</f>
        <v/>
      </c>
      <c r="AA346">
        <f>IF($X346="","",$Y346)</f>
        <v/>
      </c>
    </row>
    <row r="347">
      <c r="A347">
        <f>IF(Sync!$Z347="","",LEFT(UPPER(TRIM(Sync!$Z347)),6))</f>
        <v/>
      </c>
      <c r="B347">
        <f>IF($A347="","",IF(Sync!$AA347="","",Sync!$AA347))</f>
        <v/>
      </c>
      <c r="C347">
        <f>IF($A347="","",IF(Sync!$AB347="","",Sync!$AB347))</f>
        <v/>
      </c>
      <c r="D347">
        <f>IF($A347="","",IF(Sync!$AC347="","",Sync!$AC347))</f>
        <v/>
      </c>
      <c r="E347">
        <f>IF($A347="","",IF(Sync!$AD347="","",Sync!$AD347))</f>
        <v/>
      </c>
      <c r="F347">
        <f>IF($A347="","",IF(Sync!$AE347="",0,Sync!$AE347))</f>
        <v/>
      </c>
      <c r="G347">
        <f>IF($A347="","",IF(Sync!$AF347="",0,Sync!$AF347))</f>
        <v/>
      </c>
      <c r="H347">
        <f>IF(OR($A347="",ROUND($F347+$G347,2)=0),"",$F347+$G347)</f>
        <v/>
      </c>
      <c r="I347">
        <f>IF($H347="","",IF(ROUND($F347,2)&gt;0,$A347,IF($D347="شخصی قاسم","شخصی قاسم",IF($D347="هزینه","هزینه: "&amp;IF($E347="","متفرقه",$E347),IF($C347="پاس چک","چک پرداختی",IF(OR($B347="",COUNTIF(AcctCodesA,$B347)=0),"متفرقه",$B347))))))</f>
        <v/>
      </c>
      <c r="J347">
        <f>IF($H347="","",IF(ROUND($F347,2)&gt;0,IF($D347="شخصی قاسم","شخصی قاسم",IF($D347="هزینه","هزینه: "&amp;IF($E347="","متفرقه",$E347),IF(OR($B347="",COUNTIF(AcctCodesA,$B347)=0),"متفرقه",$B347))),$A347))</f>
        <v/>
      </c>
      <c r="K347">
        <f>IF($A347="","",IF(AND($B347&lt;&gt;"",COUNTIF(AcctCodesA,$B347)=0),"کد طرف در INFO تعریف نشده",IF(AND($D347="هزینه",$E347=""),"هزینه بدون زیرگروه",IF(AND($C347="پاس چک",OR(Sync!$AJ347="",COUNTIF(IssueNosA,Sync!$AJ347)=0)),"شماره چک پاس‌شده معتبر نیست",""))))</f>
        <v/>
      </c>
      <c r="M347">
        <f>IF(Sync!$AH347="","",Sync!$AH347)</f>
        <v/>
      </c>
      <c r="N347">
        <f>IF($M347="","",IF(OR(Sync!$AI347="",COUNTIF(AcctCodesA,Sync!$AI347)=0),"متفرقه",Sync!$AI347))</f>
        <v/>
      </c>
      <c r="O347">
        <f>IF($M347="","",$N347)</f>
        <v/>
      </c>
      <c r="P347">
        <f>IF($M347="","","چک پرداختی")</f>
        <v/>
      </c>
      <c r="R347">
        <f>IF($M347="","",IF(COUNTIF(AcctCodesA,Sync!$AI347)=0,"ذی‌نفع چک تعریف‌نشده",""))</f>
        <v/>
      </c>
      <c r="S347">
        <f>IF($R347="","",Sync!$AG347&amp;"|"&amp;"5"&amp;RIGHT("00000"&amp;342,5))</f>
        <v/>
      </c>
      <c r="T347">
        <f>IF($S347="",0,COUNTIFS($S$6:$S$505,"&lt;"&amp;$S347)-COUNTIFS($S$6:$S$505,"&lt;"&amp;$S347,$R$6:$R$505,"")+1)</f>
        <v/>
      </c>
      <c r="V347">
        <f>IF($K347="","",IF(ISNUMBER(Sync!$AK347),Sync!$AK347,LEFT(Sync!$AK347,4)&amp;MID(Sync!$AK347,6,2)&amp;RIGHT(Sync!$AK347,2))&amp;"|"&amp;"4"&amp;RIGHT("00000"&amp;342,5))</f>
        <v/>
      </c>
      <c r="W347">
        <f>IF($V347="",0,COUNTIFS($V$6:$V$2005,"&lt;"&amp;$V347)-COUNTIFS($V$6:$V$2005,"&lt;"&amp;$V347,$K$6:$K$2005,"")+1)</f>
        <v/>
      </c>
      <c r="X347">
        <f>IF(Sync!$AX347="","",IF(OR(N(Sync!$AY347)=0,N(Sync!$AZ347)=0),"",ROUND(N(Sync!$AY347)*N(Sync!$AZ347),0)))</f>
        <v/>
      </c>
      <c r="Y347">
        <f>IF($X347="","",IF(OR(Sync!$AX347="",COUNTIF(AcctCodesA,Sync!$AX347)=0),"متفرقه",Sync!$AX347))</f>
        <v/>
      </c>
      <c r="Z347">
        <f>IF($X347="","","سبد و ظروف")</f>
        <v/>
      </c>
      <c r="AA347">
        <f>IF($X347="","",$Y347)</f>
        <v/>
      </c>
    </row>
    <row r="348">
      <c r="A348">
        <f>IF(Sync!$Z348="","",LEFT(UPPER(TRIM(Sync!$Z348)),6))</f>
        <v/>
      </c>
      <c r="B348">
        <f>IF($A348="","",IF(Sync!$AA348="","",Sync!$AA348))</f>
        <v/>
      </c>
      <c r="C348">
        <f>IF($A348="","",IF(Sync!$AB348="","",Sync!$AB348))</f>
        <v/>
      </c>
      <c r="D348">
        <f>IF($A348="","",IF(Sync!$AC348="","",Sync!$AC348))</f>
        <v/>
      </c>
      <c r="E348">
        <f>IF($A348="","",IF(Sync!$AD348="","",Sync!$AD348))</f>
        <v/>
      </c>
      <c r="F348">
        <f>IF($A348="","",IF(Sync!$AE348="",0,Sync!$AE348))</f>
        <v/>
      </c>
      <c r="G348">
        <f>IF($A348="","",IF(Sync!$AF348="",0,Sync!$AF348))</f>
        <v/>
      </c>
      <c r="H348">
        <f>IF(OR($A348="",ROUND($F348+$G348,2)=0),"",$F348+$G348)</f>
        <v/>
      </c>
      <c r="I348">
        <f>IF($H348="","",IF(ROUND($F348,2)&gt;0,$A348,IF($D348="شخصی قاسم","شخصی قاسم",IF($D348="هزینه","هزینه: "&amp;IF($E348="","متفرقه",$E348),IF($C348="پاس چک","چک پرداختی",IF(OR($B348="",COUNTIF(AcctCodesA,$B348)=0),"متفرقه",$B348))))))</f>
        <v/>
      </c>
      <c r="J348">
        <f>IF($H348="","",IF(ROUND($F348,2)&gt;0,IF($D348="شخصی قاسم","شخصی قاسم",IF($D348="هزینه","هزینه: "&amp;IF($E348="","متفرقه",$E348),IF(OR($B348="",COUNTIF(AcctCodesA,$B348)=0),"متفرقه",$B348))),$A348))</f>
        <v/>
      </c>
      <c r="K348">
        <f>IF($A348="","",IF(AND($B348&lt;&gt;"",COUNTIF(AcctCodesA,$B348)=0),"کد طرف در INFO تعریف نشده",IF(AND($D348="هزینه",$E348=""),"هزینه بدون زیرگروه",IF(AND($C348="پاس چک",OR(Sync!$AJ348="",COUNTIF(IssueNosA,Sync!$AJ348)=0)),"شماره چک پاس‌شده معتبر نیست",""))))</f>
        <v/>
      </c>
      <c r="M348">
        <f>IF(Sync!$AH348="","",Sync!$AH348)</f>
        <v/>
      </c>
      <c r="N348">
        <f>IF($M348="","",IF(OR(Sync!$AI348="",COUNTIF(AcctCodesA,Sync!$AI348)=0),"متفرقه",Sync!$AI348))</f>
        <v/>
      </c>
      <c r="O348">
        <f>IF($M348="","",$N348)</f>
        <v/>
      </c>
      <c r="P348">
        <f>IF($M348="","","چک پرداختی")</f>
        <v/>
      </c>
      <c r="R348">
        <f>IF($M348="","",IF(COUNTIF(AcctCodesA,Sync!$AI348)=0,"ذی‌نفع چک تعریف‌نشده",""))</f>
        <v/>
      </c>
      <c r="S348">
        <f>IF($R348="","",Sync!$AG348&amp;"|"&amp;"5"&amp;RIGHT("00000"&amp;343,5))</f>
        <v/>
      </c>
      <c r="T348">
        <f>IF($S348="",0,COUNTIFS($S$6:$S$505,"&lt;"&amp;$S348)-COUNTIFS($S$6:$S$505,"&lt;"&amp;$S348,$R$6:$R$505,"")+1)</f>
        <v/>
      </c>
      <c r="V348">
        <f>IF($K348="","",IF(ISNUMBER(Sync!$AK348),Sync!$AK348,LEFT(Sync!$AK348,4)&amp;MID(Sync!$AK348,6,2)&amp;RIGHT(Sync!$AK348,2))&amp;"|"&amp;"4"&amp;RIGHT("00000"&amp;343,5))</f>
        <v/>
      </c>
      <c r="W348">
        <f>IF($V348="",0,COUNTIFS($V$6:$V$2005,"&lt;"&amp;$V348)-COUNTIFS($V$6:$V$2005,"&lt;"&amp;$V348,$K$6:$K$2005,"")+1)</f>
        <v/>
      </c>
      <c r="X348">
        <f>IF(Sync!$AX348="","",IF(OR(N(Sync!$AY348)=0,N(Sync!$AZ348)=0),"",ROUND(N(Sync!$AY348)*N(Sync!$AZ348),0)))</f>
        <v/>
      </c>
      <c r="Y348">
        <f>IF($X348="","",IF(OR(Sync!$AX348="",COUNTIF(AcctCodesA,Sync!$AX348)=0),"متفرقه",Sync!$AX348))</f>
        <v/>
      </c>
      <c r="Z348">
        <f>IF($X348="","","سبد و ظروف")</f>
        <v/>
      </c>
      <c r="AA348">
        <f>IF($X348="","",$Y348)</f>
        <v/>
      </c>
    </row>
    <row r="349">
      <c r="A349">
        <f>IF(Sync!$Z349="","",LEFT(UPPER(TRIM(Sync!$Z349)),6))</f>
        <v/>
      </c>
      <c r="B349">
        <f>IF($A349="","",IF(Sync!$AA349="","",Sync!$AA349))</f>
        <v/>
      </c>
      <c r="C349">
        <f>IF($A349="","",IF(Sync!$AB349="","",Sync!$AB349))</f>
        <v/>
      </c>
      <c r="D349">
        <f>IF($A349="","",IF(Sync!$AC349="","",Sync!$AC349))</f>
        <v/>
      </c>
      <c r="E349">
        <f>IF($A349="","",IF(Sync!$AD349="","",Sync!$AD349))</f>
        <v/>
      </c>
      <c r="F349">
        <f>IF($A349="","",IF(Sync!$AE349="",0,Sync!$AE349))</f>
        <v/>
      </c>
      <c r="G349">
        <f>IF($A349="","",IF(Sync!$AF349="",0,Sync!$AF349))</f>
        <v/>
      </c>
      <c r="H349">
        <f>IF(OR($A349="",ROUND($F349+$G349,2)=0),"",$F349+$G349)</f>
        <v/>
      </c>
      <c r="I349">
        <f>IF($H349="","",IF(ROUND($F349,2)&gt;0,$A349,IF($D349="شخصی قاسم","شخصی قاسم",IF($D349="هزینه","هزینه: "&amp;IF($E349="","متفرقه",$E349),IF($C349="پاس چک","چک پرداختی",IF(OR($B349="",COUNTIF(AcctCodesA,$B349)=0),"متفرقه",$B349))))))</f>
        <v/>
      </c>
      <c r="J349">
        <f>IF($H349="","",IF(ROUND($F349,2)&gt;0,IF($D349="شخصی قاسم","شخصی قاسم",IF($D349="هزینه","هزینه: "&amp;IF($E349="","متفرقه",$E349),IF(OR($B349="",COUNTIF(AcctCodesA,$B349)=0),"متفرقه",$B349))),$A349))</f>
        <v/>
      </c>
      <c r="K349">
        <f>IF($A349="","",IF(AND($B349&lt;&gt;"",COUNTIF(AcctCodesA,$B349)=0),"کد طرف در INFO تعریف نشده",IF(AND($D349="هزینه",$E349=""),"هزینه بدون زیرگروه",IF(AND($C349="پاس چک",OR(Sync!$AJ349="",COUNTIF(IssueNosA,Sync!$AJ349)=0)),"شماره چک پاس‌شده معتبر نیست",""))))</f>
        <v/>
      </c>
      <c r="M349">
        <f>IF(Sync!$AH349="","",Sync!$AH349)</f>
        <v/>
      </c>
      <c r="N349">
        <f>IF($M349="","",IF(OR(Sync!$AI349="",COUNTIF(AcctCodesA,Sync!$AI349)=0),"متفرقه",Sync!$AI349))</f>
        <v/>
      </c>
      <c r="O349">
        <f>IF($M349="","",$N349)</f>
        <v/>
      </c>
      <c r="P349">
        <f>IF($M349="","","چک پرداختی")</f>
        <v/>
      </c>
      <c r="R349">
        <f>IF($M349="","",IF(COUNTIF(AcctCodesA,Sync!$AI349)=0,"ذی‌نفع چک تعریف‌نشده",""))</f>
        <v/>
      </c>
      <c r="S349">
        <f>IF($R349="","",Sync!$AG349&amp;"|"&amp;"5"&amp;RIGHT("00000"&amp;344,5))</f>
        <v/>
      </c>
      <c r="T349">
        <f>IF($S349="",0,COUNTIFS($S$6:$S$505,"&lt;"&amp;$S349)-COUNTIFS($S$6:$S$505,"&lt;"&amp;$S349,$R$6:$R$505,"")+1)</f>
        <v/>
      </c>
      <c r="V349">
        <f>IF($K349="","",IF(ISNUMBER(Sync!$AK349),Sync!$AK349,LEFT(Sync!$AK349,4)&amp;MID(Sync!$AK349,6,2)&amp;RIGHT(Sync!$AK349,2))&amp;"|"&amp;"4"&amp;RIGHT("00000"&amp;344,5))</f>
        <v/>
      </c>
      <c r="W349">
        <f>IF($V349="",0,COUNTIFS($V$6:$V$2005,"&lt;"&amp;$V349)-COUNTIFS($V$6:$V$2005,"&lt;"&amp;$V349,$K$6:$K$2005,"")+1)</f>
        <v/>
      </c>
      <c r="X349">
        <f>IF(Sync!$AX349="","",IF(OR(N(Sync!$AY349)=0,N(Sync!$AZ349)=0),"",ROUND(N(Sync!$AY349)*N(Sync!$AZ349),0)))</f>
        <v/>
      </c>
      <c r="Y349">
        <f>IF($X349="","",IF(OR(Sync!$AX349="",COUNTIF(AcctCodesA,Sync!$AX349)=0),"متفرقه",Sync!$AX349))</f>
        <v/>
      </c>
      <c r="Z349">
        <f>IF($X349="","","سبد و ظروف")</f>
        <v/>
      </c>
      <c r="AA349">
        <f>IF($X349="","",$Y349)</f>
        <v/>
      </c>
    </row>
    <row r="350">
      <c r="A350">
        <f>IF(Sync!$Z350="","",LEFT(UPPER(TRIM(Sync!$Z350)),6))</f>
        <v/>
      </c>
      <c r="B350">
        <f>IF($A350="","",IF(Sync!$AA350="","",Sync!$AA350))</f>
        <v/>
      </c>
      <c r="C350">
        <f>IF($A350="","",IF(Sync!$AB350="","",Sync!$AB350))</f>
        <v/>
      </c>
      <c r="D350">
        <f>IF($A350="","",IF(Sync!$AC350="","",Sync!$AC350))</f>
        <v/>
      </c>
      <c r="E350">
        <f>IF($A350="","",IF(Sync!$AD350="","",Sync!$AD350))</f>
        <v/>
      </c>
      <c r="F350">
        <f>IF($A350="","",IF(Sync!$AE350="",0,Sync!$AE350))</f>
        <v/>
      </c>
      <c r="G350">
        <f>IF($A350="","",IF(Sync!$AF350="",0,Sync!$AF350))</f>
        <v/>
      </c>
      <c r="H350">
        <f>IF(OR($A350="",ROUND($F350+$G350,2)=0),"",$F350+$G350)</f>
        <v/>
      </c>
      <c r="I350">
        <f>IF($H350="","",IF(ROUND($F350,2)&gt;0,$A350,IF($D350="شخصی قاسم","شخصی قاسم",IF($D350="هزینه","هزینه: "&amp;IF($E350="","متفرقه",$E350),IF($C350="پاس چک","چک پرداختی",IF(OR($B350="",COUNTIF(AcctCodesA,$B350)=0),"متفرقه",$B350))))))</f>
        <v/>
      </c>
      <c r="J350">
        <f>IF($H350="","",IF(ROUND($F350,2)&gt;0,IF($D350="شخصی قاسم","شخصی قاسم",IF($D350="هزینه","هزینه: "&amp;IF($E350="","متفرقه",$E350),IF(OR($B350="",COUNTIF(AcctCodesA,$B350)=0),"متفرقه",$B350))),$A350))</f>
        <v/>
      </c>
      <c r="K350">
        <f>IF($A350="","",IF(AND($B350&lt;&gt;"",COUNTIF(AcctCodesA,$B350)=0),"کد طرف در INFO تعریف نشده",IF(AND($D350="هزینه",$E350=""),"هزینه بدون زیرگروه",IF(AND($C350="پاس چک",OR(Sync!$AJ350="",COUNTIF(IssueNosA,Sync!$AJ350)=0)),"شماره چک پاس‌شده معتبر نیست",""))))</f>
        <v/>
      </c>
      <c r="M350">
        <f>IF(Sync!$AH350="","",Sync!$AH350)</f>
        <v/>
      </c>
      <c r="N350">
        <f>IF($M350="","",IF(OR(Sync!$AI350="",COUNTIF(AcctCodesA,Sync!$AI350)=0),"متفرقه",Sync!$AI350))</f>
        <v/>
      </c>
      <c r="O350">
        <f>IF($M350="","",$N350)</f>
        <v/>
      </c>
      <c r="P350">
        <f>IF($M350="","","چک پرداختی")</f>
        <v/>
      </c>
      <c r="R350">
        <f>IF($M350="","",IF(COUNTIF(AcctCodesA,Sync!$AI350)=0,"ذی‌نفع چک تعریف‌نشده",""))</f>
        <v/>
      </c>
      <c r="S350">
        <f>IF($R350="","",Sync!$AG350&amp;"|"&amp;"5"&amp;RIGHT("00000"&amp;345,5))</f>
        <v/>
      </c>
      <c r="T350">
        <f>IF($S350="",0,COUNTIFS($S$6:$S$505,"&lt;"&amp;$S350)-COUNTIFS($S$6:$S$505,"&lt;"&amp;$S350,$R$6:$R$505,"")+1)</f>
        <v/>
      </c>
      <c r="V350">
        <f>IF($K350="","",IF(ISNUMBER(Sync!$AK350),Sync!$AK350,LEFT(Sync!$AK350,4)&amp;MID(Sync!$AK350,6,2)&amp;RIGHT(Sync!$AK350,2))&amp;"|"&amp;"4"&amp;RIGHT("00000"&amp;345,5))</f>
        <v/>
      </c>
      <c r="W350">
        <f>IF($V350="",0,COUNTIFS($V$6:$V$2005,"&lt;"&amp;$V350)-COUNTIFS($V$6:$V$2005,"&lt;"&amp;$V350,$K$6:$K$2005,"")+1)</f>
        <v/>
      </c>
      <c r="X350">
        <f>IF(Sync!$AX350="","",IF(OR(N(Sync!$AY350)=0,N(Sync!$AZ350)=0),"",ROUND(N(Sync!$AY350)*N(Sync!$AZ350),0)))</f>
        <v/>
      </c>
      <c r="Y350">
        <f>IF($X350="","",IF(OR(Sync!$AX350="",COUNTIF(AcctCodesA,Sync!$AX350)=0),"متفرقه",Sync!$AX350))</f>
        <v/>
      </c>
      <c r="Z350">
        <f>IF($X350="","","سبد و ظروف")</f>
        <v/>
      </c>
      <c r="AA350">
        <f>IF($X350="","",$Y350)</f>
        <v/>
      </c>
    </row>
    <row r="351">
      <c r="A351">
        <f>IF(Sync!$Z351="","",LEFT(UPPER(TRIM(Sync!$Z351)),6))</f>
        <v/>
      </c>
      <c r="B351">
        <f>IF($A351="","",IF(Sync!$AA351="","",Sync!$AA351))</f>
        <v/>
      </c>
      <c r="C351">
        <f>IF($A351="","",IF(Sync!$AB351="","",Sync!$AB351))</f>
        <v/>
      </c>
      <c r="D351">
        <f>IF($A351="","",IF(Sync!$AC351="","",Sync!$AC351))</f>
        <v/>
      </c>
      <c r="E351">
        <f>IF($A351="","",IF(Sync!$AD351="","",Sync!$AD351))</f>
        <v/>
      </c>
      <c r="F351">
        <f>IF($A351="","",IF(Sync!$AE351="",0,Sync!$AE351))</f>
        <v/>
      </c>
      <c r="G351">
        <f>IF($A351="","",IF(Sync!$AF351="",0,Sync!$AF351))</f>
        <v/>
      </c>
      <c r="H351">
        <f>IF(OR($A351="",ROUND($F351+$G351,2)=0),"",$F351+$G351)</f>
        <v/>
      </c>
      <c r="I351">
        <f>IF($H351="","",IF(ROUND($F351,2)&gt;0,$A351,IF($D351="شخصی قاسم","شخصی قاسم",IF($D351="هزینه","هزینه: "&amp;IF($E351="","متفرقه",$E351),IF($C351="پاس چک","چک پرداختی",IF(OR($B351="",COUNTIF(AcctCodesA,$B351)=0),"متفرقه",$B351))))))</f>
        <v/>
      </c>
      <c r="J351">
        <f>IF($H351="","",IF(ROUND($F351,2)&gt;0,IF($D351="شخصی قاسم","شخصی قاسم",IF($D351="هزینه","هزینه: "&amp;IF($E351="","متفرقه",$E351),IF(OR($B351="",COUNTIF(AcctCodesA,$B351)=0),"متفرقه",$B351))),$A351))</f>
        <v/>
      </c>
      <c r="K351">
        <f>IF($A351="","",IF(AND($B351&lt;&gt;"",COUNTIF(AcctCodesA,$B351)=0),"کد طرف در INFO تعریف نشده",IF(AND($D351="هزینه",$E351=""),"هزینه بدون زیرگروه",IF(AND($C351="پاس چک",OR(Sync!$AJ351="",COUNTIF(IssueNosA,Sync!$AJ351)=0)),"شماره چک پاس‌شده معتبر نیست",""))))</f>
        <v/>
      </c>
      <c r="M351">
        <f>IF(Sync!$AH351="","",Sync!$AH351)</f>
        <v/>
      </c>
      <c r="N351">
        <f>IF($M351="","",IF(OR(Sync!$AI351="",COUNTIF(AcctCodesA,Sync!$AI351)=0),"متفرقه",Sync!$AI351))</f>
        <v/>
      </c>
      <c r="O351">
        <f>IF($M351="","",$N351)</f>
        <v/>
      </c>
      <c r="P351">
        <f>IF($M351="","","چک پرداختی")</f>
        <v/>
      </c>
      <c r="R351">
        <f>IF($M351="","",IF(COUNTIF(AcctCodesA,Sync!$AI351)=0,"ذی‌نفع چک تعریف‌نشده",""))</f>
        <v/>
      </c>
      <c r="S351">
        <f>IF($R351="","",Sync!$AG351&amp;"|"&amp;"5"&amp;RIGHT("00000"&amp;346,5))</f>
        <v/>
      </c>
      <c r="T351">
        <f>IF($S351="",0,COUNTIFS($S$6:$S$505,"&lt;"&amp;$S351)-COUNTIFS($S$6:$S$505,"&lt;"&amp;$S351,$R$6:$R$505,"")+1)</f>
        <v/>
      </c>
      <c r="V351">
        <f>IF($K351="","",IF(ISNUMBER(Sync!$AK351),Sync!$AK351,LEFT(Sync!$AK351,4)&amp;MID(Sync!$AK351,6,2)&amp;RIGHT(Sync!$AK351,2))&amp;"|"&amp;"4"&amp;RIGHT("00000"&amp;346,5))</f>
        <v/>
      </c>
      <c r="W351">
        <f>IF($V351="",0,COUNTIFS($V$6:$V$2005,"&lt;"&amp;$V351)-COUNTIFS($V$6:$V$2005,"&lt;"&amp;$V351,$K$6:$K$2005,"")+1)</f>
        <v/>
      </c>
      <c r="X351">
        <f>IF(Sync!$AX351="","",IF(OR(N(Sync!$AY351)=0,N(Sync!$AZ351)=0),"",ROUND(N(Sync!$AY351)*N(Sync!$AZ351),0)))</f>
        <v/>
      </c>
      <c r="Y351">
        <f>IF($X351="","",IF(OR(Sync!$AX351="",COUNTIF(AcctCodesA,Sync!$AX351)=0),"متفرقه",Sync!$AX351))</f>
        <v/>
      </c>
      <c r="Z351">
        <f>IF($X351="","","سبد و ظروف")</f>
        <v/>
      </c>
      <c r="AA351">
        <f>IF($X351="","",$Y351)</f>
        <v/>
      </c>
    </row>
    <row r="352">
      <c r="A352">
        <f>IF(Sync!$Z352="","",LEFT(UPPER(TRIM(Sync!$Z352)),6))</f>
        <v/>
      </c>
      <c r="B352">
        <f>IF($A352="","",IF(Sync!$AA352="","",Sync!$AA352))</f>
        <v/>
      </c>
      <c r="C352">
        <f>IF($A352="","",IF(Sync!$AB352="","",Sync!$AB352))</f>
        <v/>
      </c>
      <c r="D352">
        <f>IF($A352="","",IF(Sync!$AC352="","",Sync!$AC352))</f>
        <v/>
      </c>
      <c r="E352">
        <f>IF($A352="","",IF(Sync!$AD352="","",Sync!$AD352))</f>
        <v/>
      </c>
      <c r="F352">
        <f>IF($A352="","",IF(Sync!$AE352="",0,Sync!$AE352))</f>
        <v/>
      </c>
      <c r="G352">
        <f>IF($A352="","",IF(Sync!$AF352="",0,Sync!$AF352))</f>
        <v/>
      </c>
      <c r="H352">
        <f>IF(OR($A352="",ROUND($F352+$G352,2)=0),"",$F352+$G352)</f>
        <v/>
      </c>
      <c r="I352">
        <f>IF($H352="","",IF(ROUND($F352,2)&gt;0,$A352,IF($D352="شخصی قاسم","شخصی قاسم",IF($D352="هزینه","هزینه: "&amp;IF($E352="","متفرقه",$E352),IF($C352="پاس چک","چک پرداختی",IF(OR($B352="",COUNTIF(AcctCodesA,$B352)=0),"متفرقه",$B352))))))</f>
        <v/>
      </c>
      <c r="J352">
        <f>IF($H352="","",IF(ROUND($F352,2)&gt;0,IF($D352="شخصی قاسم","شخصی قاسم",IF($D352="هزینه","هزینه: "&amp;IF($E352="","متفرقه",$E352),IF(OR($B352="",COUNTIF(AcctCodesA,$B352)=0),"متفرقه",$B352))),$A352))</f>
        <v/>
      </c>
      <c r="K352">
        <f>IF($A352="","",IF(AND($B352&lt;&gt;"",COUNTIF(AcctCodesA,$B352)=0),"کد طرف در INFO تعریف نشده",IF(AND($D352="هزینه",$E352=""),"هزینه بدون زیرگروه",IF(AND($C352="پاس چک",OR(Sync!$AJ352="",COUNTIF(IssueNosA,Sync!$AJ352)=0)),"شماره چک پاس‌شده معتبر نیست",""))))</f>
        <v/>
      </c>
      <c r="M352">
        <f>IF(Sync!$AH352="","",Sync!$AH352)</f>
        <v/>
      </c>
      <c r="N352">
        <f>IF($M352="","",IF(OR(Sync!$AI352="",COUNTIF(AcctCodesA,Sync!$AI352)=0),"متفرقه",Sync!$AI352))</f>
        <v/>
      </c>
      <c r="O352">
        <f>IF($M352="","",$N352)</f>
        <v/>
      </c>
      <c r="P352">
        <f>IF($M352="","","چک پرداختی")</f>
        <v/>
      </c>
      <c r="R352">
        <f>IF($M352="","",IF(COUNTIF(AcctCodesA,Sync!$AI352)=0,"ذی‌نفع چک تعریف‌نشده",""))</f>
        <v/>
      </c>
      <c r="S352">
        <f>IF($R352="","",Sync!$AG352&amp;"|"&amp;"5"&amp;RIGHT("00000"&amp;347,5))</f>
        <v/>
      </c>
      <c r="T352">
        <f>IF($S352="",0,COUNTIFS($S$6:$S$505,"&lt;"&amp;$S352)-COUNTIFS($S$6:$S$505,"&lt;"&amp;$S352,$R$6:$R$505,"")+1)</f>
        <v/>
      </c>
      <c r="V352">
        <f>IF($K352="","",IF(ISNUMBER(Sync!$AK352),Sync!$AK352,LEFT(Sync!$AK352,4)&amp;MID(Sync!$AK352,6,2)&amp;RIGHT(Sync!$AK352,2))&amp;"|"&amp;"4"&amp;RIGHT("00000"&amp;347,5))</f>
        <v/>
      </c>
      <c r="W352">
        <f>IF($V352="",0,COUNTIFS($V$6:$V$2005,"&lt;"&amp;$V352)-COUNTIFS($V$6:$V$2005,"&lt;"&amp;$V352,$K$6:$K$2005,"")+1)</f>
        <v/>
      </c>
      <c r="X352">
        <f>IF(Sync!$AX352="","",IF(OR(N(Sync!$AY352)=0,N(Sync!$AZ352)=0),"",ROUND(N(Sync!$AY352)*N(Sync!$AZ352),0)))</f>
        <v/>
      </c>
      <c r="Y352">
        <f>IF($X352="","",IF(OR(Sync!$AX352="",COUNTIF(AcctCodesA,Sync!$AX352)=0),"متفرقه",Sync!$AX352))</f>
        <v/>
      </c>
      <c r="Z352">
        <f>IF($X352="","","سبد و ظروف")</f>
        <v/>
      </c>
      <c r="AA352">
        <f>IF($X352="","",$Y352)</f>
        <v/>
      </c>
    </row>
    <row r="353">
      <c r="A353">
        <f>IF(Sync!$Z353="","",LEFT(UPPER(TRIM(Sync!$Z353)),6))</f>
        <v/>
      </c>
      <c r="B353">
        <f>IF($A353="","",IF(Sync!$AA353="","",Sync!$AA353))</f>
        <v/>
      </c>
      <c r="C353">
        <f>IF($A353="","",IF(Sync!$AB353="","",Sync!$AB353))</f>
        <v/>
      </c>
      <c r="D353">
        <f>IF($A353="","",IF(Sync!$AC353="","",Sync!$AC353))</f>
        <v/>
      </c>
      <c r="E353">
        <f>IF($A353="","",IF(Sync!$AD353="","",Sync!$AD353))</f>
        <v/>
      </c>
      <c r="F353">
        <f>IF($A353="","",IF(Sync!$AE353="",0,Sync!$AE353))</f>
        <v/>
      </c>
      <c r="G353">
        <f>IF($A353="","",IF(Sync!$AF353="",0,Sync!$AF353))</f>
        <v/>
      </c>
      <c r="H353">
        <f>IF(OR($A353="",ROUND($F353+$G353,2)=0),"",$F353+$G353)</f>
        <v/>
      </c>
      <c r="I353">
        <f>IF($H353="","",IF(ROUND($F353,2)&gt;0,$A353,IF($D353="شخصی قاسم","شخصی قاسم",IF($D353="هزینه","هزینه: "&amp;IF($E353="","متفرقه",$E353),IF($C353="پاس چک","چک پرداختی",IF(OR($B353="",COUNTIF(AcctCodesA,$B353)=0),"متفرقه",$B353))))))</f>
        <v/>
      </c>
      <c r="J353">
        <f>IF($H353="","",IF(ROUND($F353,2)&gt;0,IF($D353="شخصی قاسم","شخصی قاسم",IF($D353="هزینه","هزینه: "&amp;IF($E353="","متفرقه",$E353),IF(OR($B353="",COUNTIF(AcctCodesA,$B353)=0),"متفرقه",$B353))),$A353))</f>
        <v/>
      </c>
      <c r="K353">
        <f>IF($A353="","",IF(AND($B353&lt;&gt;"",COUNTIF(AcctCodesA,$B353)=0),"کد طرف در INFO تعریف نشده",IF(AND($D353="هزینه",$E353=""),"هزینه بدون زیرگروه",IF(AND($C353="پاس چک",OR(Sync!$AJ353="",COUNTIF(IssueNosA,Sync!$AJ353)=0)),"شماره چک پاس‌شده معتبر نیست",""))))</f>
        <v/>
      </c>
      <c r="M353">
        <f>IF(Sync!$AH353="","",Sync!$AH353)</f>
        <v/>
      </c>
      <c r="N353">
        <f>IF($M353="","",IF(OR(Sync!$AI353="",COUNTIF(AcctCodesA,Sync!$AI353)=0),"متفرقه",Sync!$AI353))</f>
        <v/>
      </c>
      <c r="O353">
        <f>IF($M353="","",$N353)</f>
        <v/>
      </c>
      <c r="P353">
        <f>IF($M353="","","چک پرداختی")</f>
        <v/>
      </c>
      <c r="R353">
        <f>IF($M353="","",IF(COUNTIF(AcctCodesA,Sync!$AI353)=0,"ذی‌نفع چک تعریف‌نشده",""))</f>
        <v/>
      </c>
      <c r="S353">
        <f>IF($R353="","",Sync!$AG353&amp;"|"&amp;"5"&amp;RIGHT("00000"&amp;348,5))</f>
        <v/>
      </c>
      <c r="T353">
        <f>IF($S353="",0,COUNTIFS($S$6:$S$505,"&lt;"&amp;$S353)-COUNTIFS($S$6:$S$505,"&lt;"&amp;$S353,$R$6:$R$505,"")+1)</f>
        <v/>
      </c>
      <c r="V353">
        <f>IF($K353="","",IF(ISNUMBER(Sync!$AK353),Sync!$AK353,LEFT(Sync!$AK353,4)&amp;MID(Sync!$AK353,6,2)&amp;RIGHT(Sync!$AK353,2))&amp;"|"&amp;"4"&amp;RIGHT("00000"&amp;348,5))</f>
        <v/>
      </c>
      <c r="W353">
        <f>IF($V353="",0,COUNTIFS($V$6:$V$2005,"&lt;"&amp;$V353)-COUNTIFS($V$6:$V$2005,"&lt;"&amp;$V353,$K$6:$K$2005,"")+1)</f>
        <v/>
      </c>
      <c r="X353">
        <f>IF(Sync!$AX353="","",IF(OR(N(Sync!$AY353)=0,N(Sync!$AZ353)=0),"",ROUND(N(Sync!$AY353)*N(Sync!$AZ353),0)))</f>
        <v/>
      </c>
      <c r="Y353">
        <f>IF($X353="","",IF(OR(Sync!$AX353="",COUNTIF(AcctCodesA,Sync!$AX353)=0),"متفرقه",Sync!$AX353))</f>
        <v/>
      </c>
      <c r="Z353">
        <f>IF($X353="","","سبد و ظروف")</f>
        <v/>
      </c>
      <c r="AA353">
        <f>IF($X353="","",$Y353)</f>
        <v/>
      </c>
    </row>
    <row r="354">
      <c r="A354">
        <f>IF(Sync!$Z354="","",LEFT(UPPER(TRIM(Sync!$Z354)),6))</f>
        <v/>
      </c>
      <c r="B354">
        <f>IF($A354="","",IF(Sync!$AA354="","",Sync!$AA354))</f>
        <v/>
      </c>
      <c r="C354">
        <f>IF($A354="","",IF(Sync!$AB354="","",Sync!$AB354))</f>
        <v/>
      </c>
      <c r="D354">
        <f>IF($A354="","",IF(Sync!$AC354="","",Sync!$AC354))</f>
        <v/>
      </c>
      <c r="E354">
        <f>IF($A354="","",IF(Sync!$AD354="","",Sync!$AD354))</f>
        <v/>
      </c>
      <c r="F354">
        <f>IF($A354="","",IF(Sync!$AE354="",0,Sync!$AE354))</f>
        <v/>
      </c>
      <c r="G354">
        <f>IF($A354="","",IF(Sync!$AF354="",0,Sync!$AF354))</f>
        <v/>
      </c>
      <c r="H354">
        <f>IF(OR($A354="",ROUND($F354+$G354,2)=0),"",$F354+$G354)</f>
        <v/>
      </c>
      <c r="I354">
        <f>IF($H354="","",IF(ROUND($F354,2)&gt;0,$A354,IF($D354="شخصی قاسم","شخصی قاسم",IF($D354="هزینه","هزینه: "&amp;IF($E354="","متفرقه",$E354),IF($C354="پاس چک","چک پرداختی",IF(OR($B354="",COUNTIF(AcctCodesA,$B354)=0),"متفرقه",$B354))))))</f>
        <v/>
      </c>
      <c r="J354">
        <f>IF($H354="","",IF(ROUND($F354,2)&gt;0,IF($D354="شخصی قاسم","شخصی قاسم",IF($D354="هزینه","هزینه: "&amp;IF($E354="","متفرقه",$E354),IF(OR($B354="",COUNTIF(AcctCodesA,$B354)=0),"متفرقه",$B354))),$A354))</f>
        <v/>
      </c>
      <c r="K354">
        <f>IF($A354="","",IF(AND($B354&lt;&gt;"",COUNTIF(AcctCodesA,$B354)=0),"کد طرف در INFO تعریف نشده",IF(AND($D354="هزینه",$E354=""),"هزینه بدون زیرگروه",IF(AND($C354="پاس چک",OR(Sync!$AJ354="",COUNTIF(IssueNosA,Sync!$AJ354)=0)),"شماره چک پاس‌شده معتبر نیست",""))))</f>
        <v/>
      </c>
      <c r="M354">
        <f>IF(Sync!$AH354="","",Sync!$AH354)</f>
        <v/>
      </c>
      <c r="N354">
        <f>IF($M354="","",IF(OR(Sync!$AI354="",COUNTIF(AcctCodesA,Sync!$AI354)=0),"متفرقه",Sync!$AI354))</f>
        <v/>
      </c>
      <c r="O354">
        <f>IF($M354="","",$N354)</f>
        <v/>
      </c>
      <c r="P354">
        <f>IF($M354="","","چک پرداختی")</f>
        <v/>
      </c>
      <c r="R354">
        <f>IF($M354="","",IF(COUNTIF(AcctCodesA,Sync!$AI354)=0,"ذی‌نفع چک تعریف‌نشده",""))</f>
        <v/>
      </c>
      <c r="S354">
        <f>IF($R354="","",Sync!$AG354&amp;"|"&amp;"5"&amp;RIGHT("00000"&amp;349,5))</f>
        <v/>
      </c>
      <c r="T354">
        <f>IF($S354="",0,COUNTIFS($S$6:$S$505,"&lt;"&amp;$S354)-COUNTIFS($S$6:$S$505,"&lt;"&amp;$S354,$R$6:$R$505,"")+1)</f>
        <v/>
      </c>
      <c r="V354">
        <f>IF($K354="","",IF(ISNUMBER(Sync!$AK354),Sync!$AK354,LEFT(Sync!$AK354,4)&amp;MID(Sync!$AK354,6,2)&amp;RIGHT(Sync!$AK354,2))&amp;"|"&amp;"4"&amp;RIGHT("00000"&amp;349,5))</f>
        <v/>
      </c>
      <c r="W354">
        <f>IF($V354="",0,COUNTIFS($V$6:$V$2005,"&lt;"&amp;$V354)-COUNTIFS($V$6:$V$2005,"&lt;"&amp;$V354,$K$6:$K$2005,"")+1)</f>
        <v/>
      </c>
      <c r="X354">
        <f>IF(Sync!$AX354="","",IF(OR(N(Sync!$AY354)=0,N(Sync!$AZ354)=0),"",ROUND(N(Sync!$AY354)*N(Sync!$AZ354),0)))</f>
        <v/>
      </c>
      <c r="Y354">
        <f>IF($X354="","",IF(OR(Sync!$AX354="",COUNTIF(AcctCodesA,Sync!$AX354)=0),"متفرقه",Sync!$AX354))</f>
        <v/>
      </c>
      <c r="Z354">
        <f>IF($X354="","","سبد و ظروف")</f>
        <v/>
      </c>
      <c r="AA354">
        <f>IF($X354="","",$Y354)</f>
        <v/>
      </c>
    </row>
    <row r="355">
      <c r="A355">
        <f>IF(Sync!$Z355="","",LEFT(UPPER(TRIM(Sync!$Z355)),6))</f>
        <v/>
      </c>
      <c r="B355">
        <f>IF($A355="","",IF(Sync!$AA355="","",Sync!$AA355))</f>
        <v/>
      </c>
      <c r="C355">
        <f>IF($A355="","",IF(Sync!$AB355="","",Sync!$AB355))</f>
        <v/>
      </c>
      <c r="D355">
        <f>IF($A355="","",IF(Sync!$AC355="","",Sync!$AC355))</f>
        <v/>
      </c>
      <c r="E355">
        <f>IF($A355="","",IF(Sync!$AD355="","",Sync!$AD355))</f>
        <v/>
      </c>
      <c r="F355">
        <f>IF($A355="","",IF(Sync!$AE355="",0,Sync!$AE355))</f>
        <v/>
      </c>
      <c r="G355">
        <f>IF($A355="","",IF(Sync!$AF355="",0,Sync!$AF355))</f>
        <v/>
      </c>
      <c r="H355">
        <f>IF(OR($A355="",ROUND($F355+$G355,2)=0),"",$F355+$G355)</f>
        <v/>
      </c>
      <c r="I355">
        <f>IF($H355="","",IF(ROUND($F355,2)&gt;0,$A355,IF($D355="شخصی قاسم","شخصی قاسم",IF($D355="هزینه","هزینه: "&amp;IF($E355="","متفرقه",$E355),IF($C355="پاس چک","چک پرداختی",IF(OR($B355="",COUNTIF(AcctCodesA,$B355)=0),"متفرقه",$B355))))))</f>
        <v/>
      </c>
      <c r="J355">
        <f>IF($H355="","",IF(ROUND($F355,2)&gt;0,IF($D355="شخصی قاسم","شخصی قاسم",IF($D355="هزینه","هزینه: "&amp;IF($E355="","متفرقه",$E355),IF(OR($B355="",COUNTIF(AcctCodesA,$B355)=0),"متفرقه",$B355))),$A355))</f>
        <v/>
      </c>
      <c r="K355">
        <f>IF($A355="","",IF(AND($B355&lt;&gt;"",COUNTIF(AcctCodesA,$B355)=0),"کد طرف در INFO تعریف نشده",IF(AND($D355="هزینه",$E355=""),"هزینه بدون زیرگروه",IF(AND($C355="پاس چک",OR(Sync!$AJ355="",COUNTIF(IssueNosA,Sync!$AJ355)=0)),"شماره چک پاس‌شده معتبر نیست",""))))</f>
        <v/>
      </c>
      <c r="M355">
        <f>IF(Sync!$AH355="","",Sync!$AH355)</f>
        <v/>
      </c>
      <c r="N355">
        <f>IF($M355="","",IF(OR(Sync!$AI355="",COUNTIF(AcctCodesA,Sync!$AI355)=0),"متفرقه",Sync!$AI355))</f>
        <v/>
      </c>
      <c r="O355">
        <f>IF($M355="","",$N355)</f>
        <v/>
      </c>
      <c r="P355">
        <f>IF($M355="","","چک پرداختی")</f>
        <v/>
      </c>
      <c r="R355">
        <f>IF($M355="","",IF(COUNTIF(AcctCodesA,Sync!$AI355)=0,"ذی‌نفع چک تعریف‌نشده",""))</f>
        <v/>
      </c>
      <c r="S355">
        <f>IF($R355="","",Sync!$AG355&amp;"|"&amp;"5"&amp;RIGHT("00000"&amp;350,5))</f>
        <v/>
      </c>
      <c r="T355">
        <f>IF($S355="",0,COUNTIFS($S$6:$S$505,"&lt;"&amp;$S355)-COUNTIFS($S$6:$S$505,"&lt;"&amp;$S355,$R$6:$R$505,"")+1)</f>
        <v/>
      </c>
      <c r="V355">
        <f>IF($K355="","",IF(ISNUMBER(Sync!$AK355),Sync!$AK355,LEFT(Sync!$AK355,4)&amp;MID(Sync!$AK355,6,2)&amp;RIGHT(Sync!$AK355,2))&amp;"|"&amp;"4"&amp;RIGHT("00000"&amp;350,5))</f>
        <v/>
      </c>
      <c r="W355">
        <f>IF($V355="",0,COUNTIFS($V$6:$V$2005,"&lt;"&amp;$V355)-COUNTIFS($V$6:$V$2005,"&lt;"&amp;$V355,$K$6:$K$2005,"")+1)</f>
        <v/>
      </c>
      <c r="X355">
        <f>IF(Sync!$AX355="","",IF(OR(N(Sync!$AY355)=0,N(Sync!$AZ355)=0),"",ROUND(N(Sync!$AY355)*N(Sync!$AZ355),0)))</f>
        <v/>
      </c>
      <c r="Y355">
        <f>IF($X355="","",IF(OR(Sync!$AX355="",COUNTIF(AcctCodesA,Sync!$AX355)=0),"متفرقه",Sync!$AX355))</f>
        <v/>
      </c>
      <c r="Z355">
        <f>IF($X355="","","سبد و ظروف")</f>
        <v/>
      </c>
      <c r="AA355">
        <f>IF($X355="","",$Y355)</f>
        <v/>
      </c>
    </row>
    <row r="356">
      <c r="A356">
        <f>IF(Sync!$Z356="","",LEFT(UPPER(TRIM(Sync!$Z356)),6))</f>
        <v/>
      </c>
      <c r="B356">
        <f>IF($A356="","",IF(Sync!$AA356="","",Sync!$AA356))</f>
        <v/>
      </c>
      <c r="C356">
        <f>IF($A356="","",IF(Sync!$AB356="","",Sync!$AB356))</f>
        <v/>
      </c>
      <c r="D356">
        <f>IF($A356="","",IF(Sync!$AC356="","",Sync!$AC356))</f>
        <v/>
      </c>
      <c r="E356">
        <f>IF($A356="","",IF(Sync!$AD356="","",Sync!$AD356))</f>
        <v/>
      </c>
      <c r="F356">
        <f>IF($A356="","",IF(Sync!$AE356="",0,Sync!$AE356))</f>
        <v/>
      </c>
      <c r="G356">
        <f>IF($A356="","",IF(Sync!$AF356="",0,Sync!$AF356))</f>
        <v/>
      </c>
      <c r="H356">
        <f>IF(OR($A356="",ROUND($F356+$G356,2)=0),"",$F356+$G356)</f>
        <v/>
      </c>
      <c r="I356">
        <f>IF($H356="","",IF(ROUND($F356,2)&gt;0,$A356,IF($D356="شخصی قاسم","شخصی قاسم",IF($D356="هزینه","هزینه: "&amp;IF($E356="","متفرقه",$E356),IF($C356="پاس چک","چک پرداختی",IF(OR($B356="",COUNTIF(AcctCodesA,$B356)=0),"متفرقه",$B356))))))</f>
        <v/>
      </c>
      <c r="J356">
        <f>IF($H356="","",IF(ROUND($F356,2)&gt;0,IF($D356="شخصی قاسم","شخصی قاسم",IF($D356="هزینه","هزینه: "&amp;IF($E356="","متفرقه",$E356),IF(OR($B356="",COUNTIF(AcctCodesA,$B356)=0),"متفرقه",$B356))),$A356))</f>
        <v/>
      </c>
      <c r="K356">
        <f>IF($A356="","",IF(AND($B356&lt;&gt;"",COUNTIF(AcctCodesA,$B356)=0),"کد طرف در INFO تعریف نشده",IF(AND($D356="هزینه",$E356=""),"هزینه بدون زیرگروه",IF(AND($C356="پاس چک",OR(Sync!$AJ356="",COUNTIF(IssueNosA,Sync!$AJ356)=0)),"شماره چک پاس‌شده معتبر نیست",""))))</f>
        <v/>
      </c>
      <c r="M356">
        <f>IF(Sync!$AH356="","",Sync!$AH356)</f>
        <v/>
      </c>
      <c r="N356">
        <f>IF($M356="","",IF(OR(Sync!$AI356="",COUNTIF(AcctCodesA,Sync!$AI356)=0),"متفرقه",Sync!$AI356))</f>
        <v/>
      </c>
      <c r="O356">
        <f>IF($M356="","",$N356)</f>
        <v/>
      </c>
      <c r="P356">
        <f>IF($M356="","","چک پرداختی")</f>
        <v/>
      </c>
      <c r="R356">
        <f>IF($M356="","",IF(COUNTIF(AcctCodesA,Sync!$AI356)=0,"ذی‌نفع چک تعریف‌نشده",""))</f>
        <v/>
      </c>
      <c r="S356">
        <f>IF($R356="","",Sync!$AG356&amp;"|"&amp;"5"&amp;RIGHT("00000"&amp;351,5))</f>
        <v/>
      </c>
      <c r="T356">
        <f>IF($S356="",0,COUNTIFS($S$6:$S$505,"&lt;"&amp;$S356)-COUNTIFS($S$6:$S$505,"&lt;"&amp;$S356,$R$6:$R$505,"")+1)</f>
        <v/>
      </c>
      <c r="V356">
        <f>IF($K356="","",IF(ISNUMBER(Sync!$AK356),Sync!$AK356,LEFT(Sync!$AK356,4)&amp;MID(Sync!$AK356,6,2)&amp;RIGHT(Sync!$AK356,2))&amp;"|"&amp;"4"&amp;RIGHT("00000"&amp;351,5))</f>
        <v/>
      </c>
      <c r="W356">
        <f>IF($V356="",0,COUNTIFS($V$6:$V$2005,"&lt;"&amp;$V356)-COUNTIFS($V$6:$V$2005,"&lt;"&amp;$V356,$K$6:$K$2005,"")+1)</f>
        <v/>
      </c>
      <c r="X356">
        <f>IF(Sync!$AX356="","",IF(OR(N(Sync!$AY356)=0,N(Sync!$AZ356)=0),"",ROUND(N(Sync!$AY356)*N(Sync!$AZ356),0)))</f>
        <v/>
      </c>
      <c r="Y356">
        <f>IF($X356="","",IF(OR(Sync!$AX356="",COUNTIF(AcctCodesA,Sync!$AX356)=0),"متفرقه",Sync!$AX356))</f>
        <v/>
      </c>
      <c r="Z356">
        <f>IF($X356="","","سبد و ظروف")</f>
        <v/>
      </c>
      <c r="AA356">
        <f>IF($X356="","",$Y356)</f>
        <v/>
      </c>
    </row>
    <row r="357">
      <c r="A357">
        <f>IF(Sync!$Z357="","",LEFT(UPPER(TRIM(Sync!$Z357)),6))</f>
        <v/>
      </c>
      <c r="B357">
        <f>IF($A357="","",IF(Sync!$AA357="","",Sync!$AA357))</f>
        <v/>
      </c>
      <c r="C357">
        <f>IF($A357="","",IF(Sync!$AB357="","",Sync!$AB357))</f>
        <v/>
      </c>
      <c r="D357">
        <f>IF($A357="","",IF(Sync!$AC357="","",Sync!$AC357))</f>
        <v/>
      </c>
      <c r="E357">
        <f>IF($A357="","",IF(Sync!$AD357="","",Sync!$AD357))</f>
        <v/>
      </c>
      <c r="F357">
        <f>IF($A357="","",IF(Sync!$AE357="",0,Sync!$AE357))</f>
        <v/>
      </c>
      <c r="G357">
        <f>IF($A357="","",IF(Sync!$AF357="",0,Sync!$AF357))</f>
        <v/>
      </c>
      <c r="H357">
        <f>IF(OR($A357="",ROUND($F357+$G357,2)=0),"",$F357+$G357)</f>
        <v/>
      </c>
      <c r="I357">
        <f>IF($H357="","",IF(ROUND($F357,2)&gt;0,$A357,IF($D357="شخصی قاسم","شخصی قاسم",IF($D357="هزینه","هزینه: "&amp;IF($E357="","متفرقه",$E357),IF($C357="پاس چک","چک پرداختی",IF(OR($B357="",COUNTIF(AcctCodesA,$B357)=0),"متفرقه",$B357))))))</f>
        <v/>
      </c>
      <c r="J357">
        <f>IF($H357="","",IF(ROUND($F357,2)&gt;0,IF($D357="شخصی قاسم","شخصی قاسم",IF($D357="هزینه","هزینه: "&amp;IF($E357="","متفرقه",$E357),IF(OR($B357="",COUNTIF(AcctCodesA,$B357)=0),"متفرقه",$B357))),$A357))</f>
        <v/>
      </c>
      <c r="K357">
        <f>IF($A357="","",IF(AND($B357&lt;&gt;"",COUNTIF(AcctCodesA,$B357)=0),"کد طرف در INFO تعریف نشده",IF(AND($D357="هزینه",$E357=""),"هزینه بدون زیرگروه",IF(AND($C357="پاس چک",OR(Sync!$AJ357="",COUNTIF(IssueNosA,Sync!$AJ357)=0)),"شماره چک پاس‌شده معتبر نیست",""))))</f>
        <v/>
      </c>
      <c r="M357">
        <f>IF(Sync!$AH357="","",Sync!$AH357)</f>
        <v/>
      </c>
      <c r="N357">
        <f>IF($M357="","",IF(OR(Sync!$AI357="",COUNTIF(AcctCodesA,Sync!$AI357)=0),"متفرقه",Sync!$AI357))</f>
        <v/>
      </c>
      <c r="O357">
        <f>IF($M357="","",$N357)</f>
        <v/>
      </c>
      <c r="P357">
        <f>IF($M357="","","چک پرداختی")</f>
        <v/>
      </c>
      <c r="R357">
        <f>IF($M357="","",IF(COUNTIF(AcctCodesA,Sync!$AI357)=0,"ذی‌نفع چک تعریف‌نشده",""))</f>
        <v/>
      </c>
      <c r="S357">
        <f>IF($R357="","",Sync!$AG357&amp;"|"&amp;"5"&amp;RIGHT("00000"&amp;352,5))</f>
        <v/>
      </c>
      <c r="T357">
        <f>IF($S357="",0,COUNTIFS($S$6:$S$505,"&lt;"&amp;$S357)-COUNTIFS($S$6:$S$505,"&lt;"&amp;$S357,$R$6:$R$505,"")+1)</f>
        <v/>
      </c>
      <c r="V357">
        <f>IF($K357="","",IF(ISNUMBER(Sync!$AK357),Sync!$AK357,LEFT(Sync!$AK357,4)&amp;MID(Sync!$AK357,6,2)&amp;RIGHT(Sync!$AK357,2))&amp;"|"&amp;"4"&amp;RIGHT("00000"&amp;352,5))</f>
        <v/>
      </c>
      <c r="W357">
        <f>IF($V357="",0,COUNTIFS($V$6:$V$2005,"&lt;"&amp;$V357)-COUNTIFS($V$6:$V$2005,"&lt;"&amp;$V357,$K$6:$K$2005,"")+1)</f>
        <v/>
      </c>
      <c r="X357">
        <f>IF(Sync!$AX357="","",IF(OR(N(Sync!$AY357)=0,N(Sync!$AZ357)=0),"",ROUND(N(Sync!$AY357)*N(Sync!$AZ357),0)))</f>
        <v/>
      </c>
      <c r="Y357">
        <f>IF($X357="","",IF(OR(Sync!$AX357="",COUNTIF(AcctCodesA,Sync!$AX357)=0),"متفرقه",Sync!$AX357))</f>
        <v/>
      </c>
      <c r="Z357">
        <f>IF($X357="","","سبد و ظروف")</f>
        <v/>
      </c>
      <c r="AA357">
        <f>IF($X357="","",$Y357)</f>
        <v/>
      </c>
    </row>
    <row r="358">
      <c r="A358">
        <f>IF(Sync!$Z358="","",LEFT(UPPER(TRIM(Sync!$Z358)),6))</f>
        <v/>
      </c>
      <c r="B358">
        <f>IF($A358="","",IF(Sync!$AA358="","",Sync!$AA358))</f>
        <v/>
      </c>
      <c r="C358">
        <f>IF($A358="","",IF(Sync!$AB358="","",Sync!$AB358))</f>
        <v/>
      </c>
      <c r="D358">
        <f>IF($A358="","",IF(Sync!$AC358="","",Sync!$AC358))</f>
        <v/>
      </c>
      <c r="E358">
        <f>IF($A358="","",IF(Sync!$AD358="","",Sync!$AD358))</f>
        <v/>
      </c>
      <c r="F358">
        <f>IF($A358="","",IF(Sync!$AE358="",0,Sync!$AE358))</f>
        <v/>
      </c>
      <c r="G358">
        <f>IF($A358="","",IF(Sync!$AF358="",0,Sync!$AF358))</f>
        <v/>
      </c>
      <c r="H358">
        <f>IF(OR($A358="",ROUND($F358+$G358,2)=0),"",$F358+$G358)</f>
        <v/>
      </c>
      <c r="I358">
        <f>IF($H358="","",IF(ROUND($F358,2)&gt;0,$A358,IF($D358="شخصی قاسم","شخصی قاسم",IF($D358="هزینه","هزینه: "&amp;IF($E358="","متفرقه",$E358),IF($C358="پاس چک","چک پرداختی",IF(OR($B358="",COUNTIF(AcctCodesA,$B358)=0),"متفرقه",$B358))))))</f>
        <v/>
      </c>
      <c r="J358">
        <f>IF($H358="","",IF(ROUND($F358,2)&gt;0,IF($D358="شخصی قاسم","شخصی قاسم",IF($D358="هزینه","هزینه: "&amp;IF($E358="","متفرقه",$E358),IF(OR($B358="",COUNTIF(AcctCodesA,$B358)=0),"متفرقه",$B358))),$A358))</f>
        <v/>
      </c>
      <c r="K358">
        <f>IF($A358="","",IF(AND($B358&lt;&gt;"",COUNTIF(AcctCodesA,$B358)=0),"کد طرف در INFO تعریف نشده",IF(AND($D358="هزینه",$E358=""),"هزینه بدون زیرگروه",IF(AND($C358="پاس چک",OR(Sync!$AJ358="",COUNTIF(IssueNosA,Sync!$AJ358)=0)),"شماره چک پاس‌شده معتبر نیست",""))))</f>
        <v/>
      </c>
      <c r="M358">
        <f>IF(Sync!$AH358="","",Sync!$AH358)</f>
        <v/>
      </c>
      <c r="N358">
        <f>IF($M358="","",IF(OR(Sync!$AI358="",COUNTIF(AcctCodesA,Sync!$AI358)=0),"متفرقه",Sync!$AI358))</f>
        <v/>
      </c>
      <c r="O358">
        <f>IF($M358="","",$N358)</f>
        <v/>
      </c>
      <c r="P358">
        <f>IF($M358="","","چک پرداختی")</f>
        <v/>
      </c>
      <c r="R358">
        <f>IF($M358="","",IF(COUNTIF(AcctCodesA,Sync!$AI358)=0,"ذی‌نفع چک تعریف‌نشده",""))</f>
        <v/>
      </c>
      <c r="S358">
        <f>IF($R358="","",Sync!$AG358&amp;"|"&amp;"5"&amp;RIGHT("00000"&amp;353,5))</f>
        <v/>
      </c>
      <c r="T358">
        <f>IF($S358="",0,COUNTIFS($S$6:$S$505,"&lt;"&amp;$S358)-COUNTIFS($S$6:$S$505,"&lt;"&amp;$S358,$R$6:$R$505,"")+1)</f>
        <v/>
      </c>
      <c r="V358">
        <f>IF($K358="","",IF(ISNUMBER(Sync!$AK358),Sync!$AK358,LEFT(Sync!$AK358,4)&amp;MID(Sync!$AK358,6,2)&amp;RIGHT(Sync!$AK358,2))&amp;"|"&amp;"4"&amp;RIGHT("00000"&amp;353,5))</f>
        <v/>
      </c>
      <c r="W358">
        <f>IF($V358="",0,COUNTIFS($V$6:$V$2005,"&lt;"&amp;$V358)-COUNTIFS($V$6:$V$2005,"&lt;"&amp;$V358,$K$6:$K$2005,"")+1)</f>
        <v/>
      </c>
      <c r="X358">
        <f>IF(Sync!$AX358="","",IF(OR(N(Sync!$AY358)=0,N(Sync!$AZ358)=0),"",ROUND(N(Sync!$AY358)*N(Sync!$AZ358),0)))</f>
        <v/>
      </c>
      <c r="Y358">
        <f>IF($X358="","",IF(OR(Sync!$AX358="",COUNTIF(AcctCodesA,Sync!$AX358)=0),"متفرقه",Sync!$AX358))</f>
        <v/>
      </c>
      <c r="Z358">
        <f>IF($X358="","","سبد و ظروف")</f>
        <v/>
      </c>
      <c r="AA358">
        <f>IF($X358="","",$Y358)</f>
        <v/>
      </c>
    </row>
    <row r="359">
      <c r="A359">
        <f>IF(Sync!$Z359="","",LEFT(UPPER(TRIM(Sync!$Z359)),6))</f>
        <v/>
      </c>
      <c r="B359">
        <f>IF($A359="","",IF(Sync!$AA359="","",Sync!$AA359))</f>
        <v/>
      </c>
      <c r="C359">
        <f>IF($A359="","",IF(Sync!$AB359="","",Sync!$AB359))</f>
        <v/>
      </c>
      <c r="D359">
        <f>IF($A359="","",IF(Sync!$AC359="","",Sync!$AC359))</f>
        <v/>
      </c>
      <c r="E359">
        <f>IF($A359="","",IF(Sync!$AD359="","",Sync!$AD359))</f>
        <v/>
      </c>
      <c r="F359">
        <f>IF($A359="","",IF(Sync!$AE359="",0,Sync!$AE359))</f>
        <v/>
      </c>
      <c r="G359">
        <f>IF($A359="","",IF(Sync!$AF359="",0,Sync!$AF359))</f>
        <v/>
      </c>
      <c r="H359">
        <f>IF(OR($A359="",ROUND($F359+$G359,2)=0),"",$F359+$G359)</f>
        <v/>
      </c>
      <c r="I359">
        <f>IF($H359="","",IF(ROUND($F359,2)&gt;0,$A359,IF($D359="شخصی قاسم","شخصی قاسم",IF($D359="هزینه","هزینه: "&amp;IF($E359="","متفرقه",$E359),IF($C359="پاس چک","چک پرداختی",IF(OR($B359="",COUNTIF(AcctCodesA,$B359)=0),"متفرقه",$B359))))))</f>
        <v/>
      </c>
      <c r="J359">
        <f>IF($H359="","",IF(ROUND($F359,2)&gt;0,IF($D359="شخصی قاسم","شخصی قاسم",IF($D359="هزینه","هزینه: "&amp;IF($E359="","متفرقه",$E359),IF(OR($B359="",COUNTIF(AcctCodesA,$B359)=0),"متفرقه",$B359))),$A359))</f>
        <v/>
      </c>
      <c r="K359">
        <f>IF($A359="","",IF(AND($B359&lt;&gt;"",COUNTIF(AcctCodesA,$B359)=0),"کد طرف در INFO تعریف نشده",IF(AND($D359="هزینه",$E359=""),"هزینه بدون زیرگروه",IF(AND($C359="پاس چک",OR(Sync!$AJ359="",COUNTIF(IssueNosA,Sync!$AJ359)=0)),"شماره چک پاس‌شده معتبر نیست",""))))</f>
        <v/>
      </c>
      <c r="M359">
        <f>IF(Sync!$AH359="","",Sync!$AH359)</f>
        <v/>
      </c>
      <c r="N359">
        <f>IF($M359="","",IF(OR(Sync!$AI359="",COUNTIF(AcctCodesA,Sync!$AI359)=0),"متفرقه",Sync!$AI359))</f>
        <v/>
      </c>
      <c r="O359">
        <f>IF($M359="","",$N359)</f>
        <v/>
      </c>
      <c r="P359">
        <f>IF($M359="","","چک پرداختی")</f>
        <v/>
      </c>
      <c r="R359">
        <f>IF($M359="","",IF(COUNTIF(AcctCodesA,Sync!$AI359)=0,"ذی‌نفع چک تعریف‌نشده",""))</f>
        <v/>
      </c>
      <c r="S359">
        <f>IF($R359="","",Sync!$AG359&amp;"|"&amp;"5"&amp;RIGHT("00000"&amp;354,5))</f>
        <v/>
      </c>
      <c r="T359">
        <f>IF($S359="",0,COUNTIFS($S$6:$S$505,"&lt;"&amp;$S359)-COUNTIFS($S$6:$S$505,"&lt;"&amp;$S359,$R$6:$R$505,"")+1)</f>
        <v/>
      </c>
      <c r="V359">
        <f>IF($K359="","",IF(ISNUMBER(Sync!$AK359),Sync!$AK359,LEFT(Sync!$AK359,4)&amp;MID(Sync!$AK359,6,2)&amp;RIGHT(Sync!$AK359,2))&amp;"|"&amp;"4"&amp;RIGHT("00000"&amp;354,5))</f>
        <v/>
      </c>
      <c r="W359">
        <f>IF($V359="",0,COUNTIFS($V$6:$V$2005,"&lt;"&amp;$V359)-COUNTIFS($V$6:$V$2005,"&lt;"&amp;$V359,$K$6:$K$2005,"")+1)</f>
        <v/>
      </c>
      <c r="X359">
        <f>IF(Sync!$AX359="","",IF(OR(N(Sync!$AY359)=0,N(Sync!$AZ359)=0),"",ROUND(N(Sync!$AY359)*N(Sync!$AZ359),0)))</f>
        <v/>
      </c>
      <c r="Y359">
        <f>IF($X359="","",IF(OR(Sync!$AX359="",COUNTIF(AcctCodesA,Sync!$AX359)=0),"متفرقه",Sync!$AX359))</f>
        <v/>
      </c>
      <c r="Z359">
        <f>IF($X359="","","سبد و ظروف")</f>
        <v/>
      </c>
      <c r="AA359">
        <f>IF($X359="","",$Y359)</f>
        <v/>
      </c>
    </row>
    <row r="360">
      <c r="A360">
        <f>IF(Sync!$Z360="","",LEFT(UPPER(TRIM(Sync!$Z360)),6))</f>
        <v/>
      </c>
      <c r="B360">
        <f>IF($A360="","",IF(Sync!$AA360="","",Sync!$AA360))</f>
        <v/>
      </c>
      <c r="C360">
        <f>IF($A360="","",IF(Sync!$AB360="","",Sync!$AB360))</f>
        <v/>
      </c>
      <c r="D360">
        <f>IF($A360="","",IF(Sync!$AC360="","",Sync!$AC360))</f>
        <v/>
      </c>
      <c r="E360">
        <f>IF($A360="","",IF(Sync!$AD360="","",Sync!$AD360))</f>
        <v/>
      </c>
      <c r="F360">
        <f>IF($A360="","",IF(Sync!$AE360="",0,Sync!$AE360))</f>
        <v/>
      </c>
      <c r="G360">
        <f>IF($A360="","",IF(Sync!$AF360="",0,Sync!$AF360))</f>
        <v/>
      </c>
      <c r="H360">
        <f>IF(OR($A360="",ROUND($F360+$G360,2)=0),"",$F360+$G360)</f>
        <v/>
      </c>
      <c r="I360">
        <f>IF($H360="","",IF(ROUND($F360,2)&gt;0,$A360,IF($D360="شخصی قاسم","شخصی قاسم",IF($D360="هزینه","هزینه: "&amp;IF($E360="","متفرقه",$E360),IF($C360="پاس چک","چک پرداختی",IF(OR($B360="",COUNTIF(AcctCodesA,$B360)=0),"متفرقه",$B360))))))</f>
        <v/>
      </c>
      <c r="J360">
        <f>IF($H360="","",IF(ROUND($F360,2)&gt;0,IF($D360="شخصی قاسم","شخصی قاسم",IF($D360="هزینه","هزینه: "&amp;IF($E360="","متفرقه",$E360),IF(OR($B360="",COUNTIF(AcctCodesA,$B360)=0),"متفرقه",$B360))),$A360))</f>
        <v/>
      </c>
      <c r="K360">
        <f>IF($A360="","",IF(AND($B360&lt;&gt;"",COUNTIF(AcctCodesA,$B360)=0),"کد طرف در INFO تعریف نشده",IF(AND($D360="هزینه",$E360=""),"هزینه بدون زیرگروه",IF(AND($C360="پاس چک",OR(Sync!$AJ360="",COUNTIF(IssueNosA,Sync!$AJ360)=0)),"شماره چک پاس‌شده معتبر نیست",""))))</f>
        <v/>
      </c>
      <c r="M360">
        <f>IF(Sync!$AH360="","",Sync!$AH360)</f>
        <v/>
      </c>
      <c r="N360">
        <f>IF($M360="","",IF(OR(Sync!$AI360="",COUNTIF(AcctCodesA,Sync!$AI360)=0),"متفرقه",Sync!$AI360))</f>
        <v/>
      </c>
      <c r="O360">
        <f>IF($M360="","",$N360)</f>
        <v/>
      </c>
      <c r="P360">
        <f>IF($M360="","","چک پرداختی")</f>
        <v/>
      </c>
      <c r="R360">
        <f>IF($M360="","",IF(COUNTIF(AcctCodesA,Sync!$AI360)=0,"ذی‌نفع چک تعریف‌نشده",""))</f>
        <v/>
      </c>
      <c r="S360">
        <f>IF($R360="","",Sync!$AG360&amp;"|"&amp;"5"&amp;RIGHT("00000"&amp;355,5))</f>
        <v/>
      </c>
      <c r="T360">
        <f>IF($S360="",0,COUNTIFS($S$6:$S$505,"&lt;"&amp;$S360)-COUNTIFS($S$6:$S$505,"&lt;"&amp;$S360,$R$6:$R$505,"")+1)</f>
        <v/>
      </c>
      <c r="V360">
        <f>IF($K360="","",IF(ISNUMBER(Sync!$AK360),Sync!$AK360,LEFT(Sync!$AK360,4)&amp;MID(Sync!$AK360,6,2)&amp;RIGHT(Sync!$AK360,2))&amp;"|"&amp;"4"&amp;RIGHT("00000"&amp;355,5))</f>
        <v/>
      </c>
      <c r="W360">
        <f>IF($V360="",0,COUNTIFS($V$6:$V$2005,"&lt;"&amp;$V360)-COUNTIFS($V$6:$V$2005,"&lt;"&amp;$V360,$K$6:$K$2005,"")+1)</f>
        <v/>
      </c>
      <c r="X360">
        <f>IF(Sync!$AX360="","",IF(OR(N(Sync!$AY360)=0,N(Sync!$AZ360)=0),"",ROUND(N(Sync!$AY360)*N(Sync!$AZ360),0)))</f>
        <v/>
      </c>
      <c r="Y360">
        <f>IF($X360="","",IF(OR(Sync!$AX360="",COUNTIF(AcctCodesA,Sync!$AX360)=0),"متفرقه",Sync!$AX360))</f>
        <v/>
      </c>
      <c r="Z360">
        <f>IF($X360="","","سبد و ظروف")</f>
        <v/>
      </c>
      <c r="AA360">
        <f>IF($X360="","",$Y360)</f>
        <v/>
      </c>
    </row>
    <row r="361">
      <c r="A361">
        <f>IF(Sync!$Z361="","",LEFT(UPPER(TRIM(Sync!$Z361)),6))</f>
        <v/>
      </c>
      <c r="B361">
        <f>IF($A361="","",IF(Sync!$AA361="","",Sync!$AA361))</f>
        <v/>
      </c>
      <c r="C361">
        <f>IF($A361="","",IF(Sync!$AB361="","",Sync!$AB361))</f>
        <v/>
      </c>
      <c r="D361">
        <f>IF($A361="","",IF(Sync!$AC361="","",Sync!$AC361))</f>
        <v/>
      </c>
      <c r="E361">
        <f>IF($A361="","",IF(Sync!$AD361="","",Sync!$AD361))</f>
        <v/>
      </c>
      <c r="F361">
        <f>IF($A361="","",IF(Sync!$AE361="",0,Sync!$AE361))</f>
        <v/>
      </c>
      <c r="G361">
        <f>IF($A361="","",IF(Sync!$AF361="",0,Sync!$AF361))</f>
        <v/>
      </c>
      <c r="H361">
        <f>IF(OR($A361="",ROUND($F361+$G361,2)=0),"",$F361+$G361)</f>
        <v/>
      </c>
      <c r="I361">
        <f>IF($H361="","",IF(ROUND($F361,2)&gt;0,$A361,IF($D361="شخصی قاسم","شخصی قاسم",IF($D361="هزینه","هزینه: "&amp;IF($E361="","متفرقه",$E361),IF($C361="پاس چک","چک پرداختی",IF(OR($B361="",COUNTIF(AcctCodesA,$B361)=0),"متفرقه",$B361))))))</f>
        <v/>
      </c>
      <c r="J361">
        <f>IF($H361="","",IF(ROUND($F361,2)&gt;0,IF($D361="شخصی قاسم","شخصی قاسم",IF($D361="هزینه","هزینه: "&amp;IF($E361="","متفرقه",$E361),IF(OR($B361="",COUNTIF(AcctCodesA,$B361)=0),"متفرقه",$B361))),$A361))</f>
        <v/>
      </c>
      <c r="K361">
        <f>IF($A361="","",IF(AND($B361&lt;&gt;"",COUNTIF(AcctCodesA,$B361)=0),"کد طرف در INFO تعریف نشده",IF(AND($D361="هزینه",$E361=""),"هزینه بدون زیرگروه",IF(AND($C361="پاس چک",OR(Sync!$AJ361="",COUNTIF(IssueNosA,Sync!$AJ361)=0)),"شماره چک پاس‌شده معتبر نیست",""))))</f>
        <v/>
      </c>
      <c r="M361">
        <f>IF(Sync!$AH361="","",Sync!$AH361)</f>
        <v/>
      </c>
      <c r="N361">
        <f>IF($M361="","",IF(OR(Sync!$AI361="",COUNTIF(AcctCodesA,Sync!$AI361)=0),"متفرقه",Sync!$AI361))</f>
        <v/>
      </c>
      <c r="O361">
        <f>IF($M361="","",$N361)</f>
        <v/>
      </c>
      <c r="P361">
        <f>IF($M361="","","چک پرداختی")</f>
        <v/>
      </c>
      <c r="R361">
        <f>IF($M361="","",IF(COUNTIF(AcctCodesA,Sync!$AI361)=0,"ذی‌نفع چک تعریف‌نشده",""))</f>
        <v/>
      </c>
      <c r="S361">
        <f>IF($R361="","",Sync!$AG361&amp;"|"&amp;"5"&amp;RIGHT("00000"&amp;356,5))</f>
        <v/>
      </c>
      <c r="T361">
        <f>IF($S361="",0,COUNTIFS($S$6:$S$505,"&lt;"&amp;$S361)-COUNTIFS($S$6:$S$505,"&lt;"&amp;$S361,$R$6:$R$505,"")+1)</f>
        <v/>
      </c>
      <c r="V361">
        <f>IF($K361="","",IF(ISNUMBER(Sync!$AK361),Sync!$AK361,LEFT(Sync!$AK361,4)&amp;MID(Sync!$AK361,6,2)&amp;RIGHT(Sync!$AK361,2))&amp;"|"&amp;"4"&amp;RIGHT("00000"&amp;356,5))</f>
        <v/>
      </c>
      <c r="W361">
        <f>IF($V361="",0,COUNTIFS($V$6:$V$2005,"&lt;"&amp;$V361)-COUNTIFS($V$6:$V$2005,"&lt;"&amp;$V361,$K$6:$K$2005,"")+1)</f>
        <v/>
      </c>
      <c r="X361">
        <f>IF(Sync!$AX361="","",IF(OR(N(Sync!$AY361)=0,N(Sync!$AZ361)=0),"",ROUND(N(Sync!$AY361)*N(Sync!$AZ361),0)))</f>
        <v/>
      </c>
      <c r="Y361">
        <f>IF($X361="","",IF(OR(Sync!$AX361="",COUNTIF(AcctCodesA,Sync!$AX361)=0),"متفرقه",Sync!$AX361))</f>
        <v/>
      </c>
      <c r="Z361">
        <f>IF($X361="","","سبد و ظروف")</f>
        <v/>
      </c>
      <c r="AA361">
        <f>IF($X361="","",$Y361)</f>
        <v/>
      </c>
    </row>
    <row r="362">
      <c r="A362">
        <f>IF(Sync!$Z362="","",LEFT(UPPER(TRIM(Sync!$Z362)),6))</f>
        <v/>
      </c>
      <c r="B362">
        <f>IF($A362="","",IF(Sync!$AA362="","",Sync!$AA362))</f>
        <v/>
      </c>
      <c r="C362">
        <f>IF($A362="","",IF(Sync!$AB362="","",Sync!$AB362))</f>
        <v/>
      </c>
      <c r="D362">
        <f>IF($A362="","",IF(Sync!$AC362="","",Sync!$AC362))</f>
        <v/>
      </c>
      <c r="E362">
        <f>IF($A362="","",IF(Sync!$AD362="","",Sync!$AD362))</f>
        <v/>
      </c>
      <c r="F362">
        <f>IF($A362="","",IF(Sync!$AE362="",0,Sync!$AE362))</f>
        <v/>
      </c>
      <c r="G362">
        <f>IF($A362="","",IF(Sync!$AF362="",0,Sync!$AF362))</f>
        <v/>
      </c>
      <c r="H362">
        <f>IF(OR($A362="",ROUND($F362+$G362,2)=0),"",$F362+$G362)</f>
        <v/>
      </c>
      <c r="I362">
        <f>IF($H362="","",IF(ROUND($F362,2)&gt;0,$A362,IF($D362="شخصی قاسم","شخصی قاسم",IF($D362="هزینه","هزینه: "&amp;IF($E362="","متفرقه",$E362),IF($C362="پاس چک","چک پرداختی",IF(OR($B362="",COUNTIF(AcctCodesA,$B362)=0),"متفرقه",$B362))))))</f>
        <v/>
      </c>
      <c r="J362">
        <f>IF($H362="","",IF(ROUND($F362,2)&gt;0,IF($D362="شخصی قاسم","شخصی قاسم",IF($D362="هزینه","هزینه: "&amp;IF($E362="","متفرقه",$E362),IF(OR($B362="",COUNTIF(AcctCodesA,$B362)=0),"متفرقه",$B362))),$A362))</f>
        <v/>
      </c>
      <c r="K362">
        <f>IF($A362="","",IF(AND($B362&lt;&gt;"",COUNTIF(AcctCodesA,$B362)=0),"کد طرف در INFO تعریف نشده",IF(AND($D362="هزینه",$E362=""),"هزینه بدون زیرگروه",IF(AND($C362="پاس چک",OR(Sync!$AJ362="",COUNTIF(IssueNosA,Sync!$AJ362)=0)),"شماره چک پاس‌شده معتبر نیست",""))))</f>
        <v/>
      </c>
      <c r="M362">
        <f>IF(Sync!$AH362="","",Sync!$AH362)</f>
        <v/>
      </c>
      <c r="N362">
        <f>IF($M362="","",IF(OR(Sync!$AI362="",COUNTIF(AcctCodesA,Sync!$AI362)=0),"متفرقه",Sync!$AI362))</f>
        <v/>
      </c>
      <c r="O362">
        <f>IF($M362="","",$N362)</f>
        <v/>
      </c>
      <c r="P362">
        <f>IF($M362="","","چک پرداختی")</f>
        <v/>
      </c>
      <c r="R362">
        <f>IF($M362="","",IF(COUNTIF(AcctCodesA,Sync!$AI362)=0,"ذی‌نفع چک تعریف‌نشده",""))</f>
        <v/>
      </c>
      <c r="S362">
        <f>IF($R362="","",Sync!$AG362&amp;"|"&amp;"5"&amp;RIGHT("00000"&amp;357,5))</f>
        <v/>
      </c>
      <c r="T362">
        <f>IF($S362="",0,COUNTIFS($S$6:$S$505,"&lt;"&amp;$S362)-COUNTIFS($S$6:$S$505,"&lt;"&amp;$S362,$R$6:$R$505,"")+1)</f>
        <v/>
      </c>
      <c r="V362">
        <f>IF($K362="","",IF(ISNUMBER(Sync!$AK362),Sync!$AK362,LEFT(Sync!$AK362,4)&amp;MID(Sync!$AK362,6,2)&amp;RIGHT(Sync!$AK362,2))&amp;"|"&amp;"4"&amp;RIGHT("00000"&amp;357,5))</f>
        <v/>
      </c>
      <c r="W362">
        <f>IF($V362="",0,COUNTIFS($V$6:$V$2005,"&lt;"&amp;$V362)-COUNTIFS($V$6:$V$2005,"&lt;"&amp;$V362,$K$6:$K$2005,"")+1)</f>
        <v/>
      </c>
      <c r="X362">
        <f>IF(Sync!$AX362="","",IF(OR(N(Sync!$AY362)=0,N(Sync!$AZ362)=0),"",ROUND(N(Sync!$AY362)*N(Sync!$AZ362),0)))</f>
        <v/>
      </c>
      <c r="Y362">
        <f>IF($X362="","",IF(OR(Sync!$AX362="",COUNTIF(AcctCodesA,Sync!$AX362)=0),"متفرقه",Sync!$AX362))</f>
        <v/>
      </c>
      <c r="Z362">
        <f>IF($X362="","","سبد و ظروف")</f>
        <v/>
      </c>
      <c r="AA362">
        <f>IF($X362="","",$Y362)</f>
        <v/>
      </c>
    </row>
    <row r="363">
      <c r="A363">
        <f>IF(Sync!$Z363="","",LEFT(UPPER(TRIM(Sync!$Z363)),6))</f>
        <v/>
      </c>
      <c r="B363">
        <f>IF($A363="","",IF(Sync!$AA363="","",Sync!$AA363))</f>
        <v/>
      </c>
      <c r="C363">
        <f>IF($A363="","",IF(Sync!$AB363="","",Sync!$AB363))</f>
        <v/>
      </c>
      <c r="D363">
        <f>IF($A363="","",IF(Sync!$AC363="","",Sync!$AC363))</f>
        <v/>
      </c>
      <c r="E363">
        <f>IF($A363="","",IF(Sync!$AD363="","",Sync!$AD363))</f>
        <v/>
      </c>
      <c r="F363">
        <f>IF($A363="","",IF(Sync!$AE363="",0,Sync!$AE363))</f>
        <v/>
      </c>
      <c r="G363">
        <f>IF($A363="","",IF(Sync!$AF363="",0,Sync!$AF363))</f>
        <v/>
      </c>
      <c r="H363">
        <f>IF(OR($A363="",ROUND($F363+$G363,2)=0),"",$F363+$G363)</f>
        <v/>
      </c>
      <c r="I363">
        <f>IF($H363="","",IF(ROUND($F363,2)&gt;0,$A363,IF($D363="شخصی قاسم","شخصی قاسم",IF($D363="هزینه","هزینه: "&amp;IF($E363="","متفرقه",$E363),IF($C363="پاس چک","چک پرداختی",IF(OR($B363="",COUNTIF(AcctCodesA,$B363)=0),"متفرقه",$B363))))))</f>
        <v/>
      </c>
      <c r="J363">
        <f>IF($H363="","",IF(ROUND($F363,2)&gt;0,IF($D363="شخصی قاسم","شخصی قاسم",IF($D363="هزینه","هزینه: "&amp;IF($E363="","متفرقه",$E363),IF(OR($B363="",COUNTIF(AcctCodesA,$B363)=0),"متفرقه",$B363))),$A363))</f>
        <v/>
      </c>
      <c r="K363">
        <f>IF($A363="","",IF(AND($B363&lt;&gt;"",COUNTIF(AcctCodesA,$B363)=0),"کد طرف در INFO تعریف نشده",IF(AND($D363="هزینه",$E363=""),"هزینه بدون زیرگروه",IF(AND($C363="پاس چک",OR(Sync!$AJ363="",COUNTIF(IssueNosA,Sync!$AJ363)=0)),"شماره چک پاس‌شده معتبر نیست",""))))</f>
        <v/>
      </c>
      <c r="M363">
        <f>IF(Sync!$AH363="","",Sync!$AH363)</f>
        <v/>
      </c>
      <c r="N363">
        <f>IF($M363="","",IF(OR(Sync!$AI363="",COUNTIF(AcctCodesA,Sync!$AI363)=0),"متفرقه",Sync!$AI363))</f>
        <v/>
      </c>
      <c r="O363">
        <f>IF($M363="","",$N363)</f>
        <v/>
      </c>
      <c r="P363">
        <f>IF($M363="","","چک پرداختی")</f>
        <v/>
      </c>
      <c r="R363">
        <f>IF($M363="","",IF(COUNTIF(AcctCodesA,Sync!$AI363)=0,"ذی‌نفع چک تعریف‌نشده",""))</f>
        <v/>
      </c>
      <c r="S363">
        <f>IF($R363="","",Sync!$AG363&amp;"|"&amp;"5"&amp;RIGHT("00000"&amp;358,5))</f>
        <v/>
      </c>
      <c r="T363">
        <f>IF($S363="",0,COUNTIFS($S$6:$S$505,"&lt;"&amp;$S363)-COUNTIFS($S$6:$S$505,"&lt;"&amp;$S363,$R$6:$R$505,"")+1)</f>
        <v/>
      </c>
      <c r="V363">
        <f>IF($K363="","",IF(ISNUMBER(Sync!$AK363),Sync!$AK363,LEFT(Sync!$AK363,4)&amp;MID(Sync!$AK363,6,2)&amp;RIGHT(Sync!$AK363,2))&amp;"|"&amp;"4"&amp;RIGHT("00000"&amp;358,5))</f>
        <v/>
      </c>
      <c r="W363">
        <f>IF($V363="",0,COUNTIFS($V$6:$V$2005,"&lt;"&amp;$V363)-COUNTIFS($V$6:$V$2005,"&lt;"&amp;$V363,$K$6:$K$2005,"")+1)</f>
        <v/>
      </c>
      <c r="X363">
        <f>IF(Sync!$AX363="","",IF(OR(N(Sync!$AY363)=0,N(Sync!$AZ363)=0),"",ROUND(N(Sync!$AY363)*N(Sync!$AZ363),0)))</f>
        <v/>
      </c>
      <c r="Y363">
        <f>IF($X363="","",IF(OR(Sync!$AX363="",COUNTIF(AcctCodesA,Sync!$AX363)=0),"متفرقه",Sync!$AX363))</f>
        <v/>
      </c>
      <c r="Z363">
        <f>IF($X363="","","سبد و ظروف")</f>
        <v/>
      </c>
      <c r="AA363">
        <f>IF($X363="","",$Y363)</f>
        <v/>
      </c>
    </row>
    <row r="364">
      <c r="A364">
        <f>IF(Sync!$Z364="","",LEFT(UPPER(TRIM(Sync!$Z364)),6))</f>
        <v/>
      </c>
      <c r="B364">
        <f>IF($A364="","",IF(Sync!$AA364="","",Sync!$AA364))</f>
        <v/>
      </c>
      <c r="C364">
        <f>IF($A364="","",IF(Sync!$AB364="","",Sync!$AB364))</f>
        <v/>
      </c>
      <c r="D364">
        <f>IF($A364="","",IF(Sync!$AC364="","",Sync!$AC364))</f>
        <v/>
      </c>
      <c r="E364">
        <f>IF($A364="","",IF(Sync!$AD364="","",Sync!$AD364))</f>
        <v/>
      </c>
      <c r="F364">
        <f>IF($A364="","",IF(Sync!$AE364="",0,Sync!$AE364))</f>
        <v/>
      </c>
      <c r="G364">
        <f>IF($A364="","",IF(Sync!$AF364="",0,Sync!$AF364))</f>
        <v/>
      </c>
      <c r="H364">
        <f>IF(OR($A364="",ROUND($F364+$G364,2)=0),"",$F364+$G364)</f>
        <v/>
      </c>
      <c r="I364">
        <f>IF($H364="","",IF(ROUND($F364,2)&gt;0,$A364,IF($D364="شخصی قاسم","شخصی قاسم",IF($D364="هزینه","هزینه: "&amp;IF($E364="","متفرقه",$E364),IF($C364="پاس چک","چک پرداختی",IF(OR($B364="",COUNTIF(AcctCodesA,$B364)=0),"متفرقه",$B364))))))</f>
        <v/>
      </c>
      <c r="J364">
        <f>IF($H364="","",IF(ROUND($F364,2)&gt;0,IF($D364="شخصی قاسم","شخصی قاسم",IF($D364="هزینه","هزینه: "&amp;IF($E364="","متفرقه",$E364),IF(OR($B364="",COUNTIF(AcctCodesA,$B364)=0),"متفرقه",$B364))),$A364))</f>
        <v/>
      </c>
      <c r="K364">
        <f>IF($A364="","",IF(AND($B364&lt;&gt;"",COUNTIF(AcctCodesA,$B364)=0),"کد طرف در INFO تعریف نشده",IF(AND($D364="هزینه",$E364=""),"هزینه بدون زیرگروه",IF(AND($C364="پاس چک",OR(Sync!$AJ364="",COUNTIF(IssueNosA,Sync!$AJ364)=0)),"شماره چک پاس‌شده معتبر نیست",""))))</f>
        <v/>
      </c>
      <c r="M364">
        <f>IF(Sync!$AH364="","",Sync!$AH364)</f>
        <v/>
      </c>
      <c r="N364">
        <f>IF($M364="","",IF(OR(Sync!$AI364="",COUNTIF(AcctCodesA,Sync!$AI364)=0),"متفرقه",Sync!$AI364))</f>
        <v/>
      </c>
      <c r="O364">
        <f>IF($M364="","",$N364)</f>
        <v/>
      </c>
      <c r="P364">
        <f>IF($M364="","","چک پرداختی")</f>
        <v/>
      </c>
      <c r="R364">
        <f>IF($M364="","",IF(COUNTIF(AcctCodesA,Sync!$AI364)=0,"ذی‌نفع چک تعریف‌نشده",""))</f>
        <v/>
      </c>
      <c r="S364">
        <f>IF($R364="","",Sync!$AG364&amp;"|"&amp;"5"&amp;RIGHT("00000"&amp;359,5))</f>
        <v/>
      </c>
      <c r="T364">
        <f>IF($S364="",0,COUNTIFS($S$6:$S$505,"&lt;"&amp;$S364)-COUNTIFS($S$6:$S$505,"&lt;"&amp;$S364,$R$6:$R$505,"")+1)</f>
        <v/>
      </c>
      <c r="V364">
        <f>IF($K364="","",IF(ISNUMBER(Sync!$AK364),Sync!$AK364,LEFT(Sync!$AK364,4)&amp;MID(Sync!$AK364,6,2)&amp;RIGHT(Sync!$AK364,2))&amp;"|"&amp;"4"&amp;RIGHT("00000"&amp;359,5))</f>
        <v/>
      </c>
      <c r="W364">
        <f>IF($V364="",0,COUNTIFS($V$6:$V$2005,"&lt;"&amp;$V364)-COUNTIFS($V$6:$V$2005,"&lt;"&amp;$V364,$K$6:$K$2005,"")+1)</f>
        <v/>
      </c>
      <c r="X364">
        <f>IF(Sync!$AX364="","",IF(OR(N(Sync!$AY364)=0,N(Sync!$AZ364)=0),"",ROUND(N(Sync!$AY364)*N(Sync!$AZ364),0)))</f>
        <v/>
      </c>
      <c r="Y364">
        <f>IF($X364="","",IF(OR(Sync!$AX364="",COUNTIF(AcctCodesA,Sync!$AX364)=0),"متفرقه",Sync!$AX364))</f>
        <v/>
      </c>
      <c r="Z364">
        <f>IF($X364="","","سبد و ظروف")</f>
        <v/>
      </c>
      <c r="AA364">
        <f>IF($X364="","",$Y364)</f>
        <v/>
      </c>
    </row>
    <row r="365">
      <c r="A365">
        <f>IF(Sync!$Z365="","",LEFT(UPPER(TRIM(Sync!$Z365)),6))</f>
        <v/>
      </c>
      <c r="B365">
        <f>IF($A365="","",IF(Sync!$AA365="","",Sync!$AA365))</f>
        <v/>
      </c>
      <c r="C365">
        <f>IF($A365="","",IF(Sync!$AB365="","",Sync!$AB365))</f>
        <v/>
      </c>
      <c r="D365">
        <f>IF($A365="","",IF(Sync!$AC365="","",Sync!$AC365))</f>
        <v/>
      </c>
      <c r="E365">
        <f>IF($A365="","",IF(Sync!$AD365="","",Sync!$AD365))</f>
        <v/>
      </c>
      <c r="F365">
        <f>IF($A365="","",IF(Sync!$AE365="",0,Sync!$AE365))</f>
        <v/>
      </c>
      <c r="G365">
        <f>IF($A365="","",IF(Sync!$AF365="",0,Sync!$AF365))</f>
        <v/>
      </c>
      <c r="H365">
        <f>IF(OR($A365="",ROUND($F365+$G365,2)=0),"",$F365+$G365)</f>
        <v/>
      </c>
      <c r="I365">
        <f>IF($H365="","",IF(ROUND($F365,2)&gt;0,$A365,IF($D365="شخصی قاسم","شخصی قاسم",IF($D365="هزینه","هزینه: "&amp;IF($E365="","متفرقه",$E365),IF($C365="پاس چک","چک پرداختی",IF(OR($B365="",COUNTIF(AcctCodesA,$B365)=0),"متفرقه",$B365))))))</f>
        <v/>
      </c>
      <c r="J365">
        <f>IF($H365="","",IF(ROUND($F365,2)&gt;0,IF($D365="شخصی قاسم","شخصی قاسم",IF($D365="هزینه","هزینه: "&amp;IF($E365="","متفرقه",$E365),IF(OR($B365="",COUNTIF(AcctCodesA,$B365)=0),"متفرقه",$B365))),$A365))</f>
        <v/>
      </c>
      <c r="K365">
        <f>IF($A365="","",IF(AND($B365&lt;&gt;"",COUNTIF(AcctCodesA,$B365)=0),"کد طرف در INFO تعریف نشده",IF(AND($D365="هزینه",$E365=""),"هزینه بدون زیرگروه",IF(AND($C365="پاس چک",OR(Sync!$AJ365="",COUNTIF(IssueNosA,Sync!$AJ365)=0)),"شماره چک پاس‌شده معتبر نیست",""))))</f>
        <v/>
      </c>
      <c r="M365">
        <f>IF(Sync!$AH365="","",Sync!$AH365)</f>
        <v/>
      </c>
      <c r="N365">
        <f>IF($M365="","",IF(OR(Sync!$AI365="",COUNTIF(AcctCodesA,Sync!$AI365)=0),"متفرقه",Sync!$AI365))</f>
        <v/>
      </c>
      <c r="O365">
        <f>IF($M365="","",$N365)</f>
        <v/>
      </c>
      <c r="P365">
        <f>IF($M365="","","چک پرداختی")</f>
        <v/>
      </c>
      <c r="R365">
        <f>IF($M365="","",IF(COUNTIF(AcctCodesA,Sync!$AI365)=0,"ذی‌نفع چک تعریف‌نشده",""))</f>
        <v/>
      </c>
      <c r="S365">
        <f>IF($R365="","",Sync!$AG365&amp;"|"&amp;"5"&amp;RIGHT("00000"&amp;360,5))</f>
        <v/>
      </c>
      <c r="T365">
        <f>IF($S365="",0,COUNTIFS($S$6:$S$505,"&lt;"&amp;$S365)-COUNTIFS($S$6:$S$505,"&lt;"&amp;$S365,$R$6:$R$505,"")+1)</f>
        <v/>
      </c>
      <c r="V365">
        <f>IF($K365="","",IF(ISNUMBER(Sync!$AK365),Sync!$AK365,LEFT(Sync!$AK365,4)&amp;MID(Sync!$AK365,6,2)&amp;RIGHT(Sync!$AK365,2))&amp;"|"&amp;"4"&amp;RIGHT("00000"&amp;360,5))</f>
        <v/>
      </c>
      <c r="W365">
        <f>IF($V365="",0,COUNTIFS($V$6:$V$2005,"&lt;"&amp;$V365)-COUNTIFS($V$6:$V$2005,"&lt;"&amp;$V365,$K$6:$K$2005,"")+1)</f>
        <v/>
      </c>
      <c r="X365">
        <f>IF(Sync!$AX365="","",IF(OR(N(Sync!$AY365)=0,N(Sync!$AZ365)=0),"",ROUND(N(Sync!$AY365)*N(Sync!$AZ365),0)))</f>
        <v/>
      </c>
      <c r="Y365">
        <f>IF($X365="","",IF(OR(Sync!$AX365="",COUNTIF(AcctCodesA,Sync!$AX365)=0),"متفرقه",Sync!$AX365))</f>
        <v/>
      </c>
      <c r="Z365">
        <f>IF($X365="","","سبد و ظروف")</f>
        <v/>
      </c>
      <c r="AA365">
        <f>IF($X365="","",$Y365)</f>
        <v/>
      </c>
    </row>
    <row r="366">
      <c r="A366">
        <f>IF(Sync!$Z366="","",LEFT(UPPER(TRIM(Sync!$Z366)),6))</f>
        <v/>
      </c>
      <c r="B366">
        <f>IF($A366="","",IF(Sync!$AA366="","",Sync!$AA366))</f>
        <v/>
      </c>
      <c r="C366">
        <f>IF($A366="","",IF(Sync!$AB366="","",Sync!$AB366))</f>
        <v/>
      </c>
      <c r="D366">
        <f>IF($A366="","",IF(Sync!$AC366="","",Sync!$AC366))</f>
        <v/>
      </c>
      <c r="E366">
        <f>IF($A366="","",IF(Sync!$AD366="","",Sync!$AD366))</f>
        <v/>
      </c>
      <c r="F366">
        <f>IF($A366="","",IF(Sync!$AE366="",0,Sync!$AE366))</f>
        <v/>
      </c>
      <c r="G366">
        <f>IF($A366="","",IF(Sync!$AF366="",0,Sync!$AF366))</f>
        <v/>
      </c>
      <c r="H366">
        <f>IF(OR($A366="",ROUND($F366+$G366,2)=0),"",$F366+$G366)</f>
        <v/>
      </c>
      <c r="I366">
        <f>IF($H366="","",IF(ROUND($F366,2)&gt;0,$A366,IF($D366="شخصی قاسم","شخصی قاسم",IF($D366="هزینه","هزینه: "&amp;IF($E366="","متفرقه",$E366),IF($C366="پاس چک","چک پرداختی",IF(OR($B366="",COUNTIF(AcctCodesA,$B366)=0),"متفرقه",$B366))))))</f>
        <v/>
      </c>
      <c r="J366">
        <f>IF($H366="","",IF(ROUND($F366,2)&gt;0,IF($D366="شخصی قاسم","شخصی قاسم",IF($D366="هزینه","هزینه: "&amp;IF($E366="","متفرقه",$E366),IF(OR($B366="",COUNTIF(AcctCodesA,$B366)=0),"متفرقه",$B366))),$A366))</f>
        <v/>
      </c>
      <c r="K366">
        <f>IF($A366="","",IF(AND($B366&lt;&gt;"",COUNTIF(AcctCodesA,$B366)=0),"کد طرف در INFO تعریف نشده",IF(AND($D366="هزینه",$E366=""),"هزینه بدون زیرگروه",IF(AND($C366="پاس چک",OR(Sync!$AJ366="",COUNTIF(IssueNosA,Sync!$AJ366)=0)),"شماره چک پاس‌شده معتبر نیست",""))))</f>
        <v/>
      </c>
      <c r="M366">
        <f>IF(Sync!$AH366="","",Sync!$AH366)</f>
        <v/>
      </c>
      <c r="N366">
        <f>IF($M366="","",IF(OR(Sync!$AI366="",COUNTIF(AcctCodesA,Sync!$AI366)=0),"متفرقه",Sync!$AI366))</f>
        <v/>
      </c>
      <c r="O366">
        <f>IF($M366="","",$N366)</f>
        <v/>
      </c>
      <c r="P366">
        <f>IF($M366="","","چک پرداختی")</f>
        <v/>
      </c>
      <c r="R366">
        <f>IF($M366="","",IF(COUNTIF(AcctCodesA,Sync!$AI366)=0,"ذی‌نفع چک تعریف‌نشده",""))</f>
        <v/>
      </c>
      <c r="S366">
        <f>IF($R366="","",Sync!$AG366&amp;"|"&amp;"5"&amp;RIGHT("00000"&amp;361,5))</f>
        <v/>
      </c>
      <c r="T366">
        <f>IF($S366="",0,COUNTIFS($S$6:$S$505,"&lt;"&amp;$S366)-COUNTIFS($S$6:$S$505,"&lt;"&amp;$S366,$R$6:$R$505,"")+1)</f>
        <v/>
      </c>
      <c r="V366">
        <f>IF($K366="","",IF(ISNUMBER(Sync!$AK366),Sync!$AK366,LEFT(Sync!$AK366,4)&amp;MID(Sync!$AK366,6,2)&amp;RIGHT(Sync!$AK366,2))&amp;"|"&amp;"4"&amp;RIGHT("00000"&amp;361,5))</f>
        <v/>
      </c>
      <c r="W366">
        <f>IF($V366="",0,COUNTIFS($V$6:$V$2005,"&lt;"&amp;$V366)-COUNTIFS($V$6:$V$2005,"&lt;"&amp;$V366,$K$6:$K$2005,"")+1)</f>
        <v/>
      </c>
      <c r="X366">
        <f>IF(Sync!$AX366="","",IF(OR(N(Sync!$AY366)=0,N(Sync!$AZ366)=0),"",ROUND(N(Sync!$AY366)*N(Sync!$AZ366),0)))</f>
        <v/>
      </c>
      <c r="Y366">
        <f>IF($X366="","",IF(OR(Sync!$AX366="",COUNTIF(AcctCodesA,Sync!$AX366)=0),"متفرقه",Sync!$AX366))</f>
        <v/>
      </c>
      <c r="Z366">
        <f>IF($X366="","","سبد و ظروف")</f>
        <v/>
      </c>
      <c r="AA366">
        <f>IF($X366="","",$Y366)</f>
        <v/>
      </c>
    </row>
    <row r="367">
      <c r="A367">
        <f>IF(Sync!$Z367="","",LEFT(UPPER(TRIM(Sync!$Z367)),6))</f>
        <v/>
      </c>
      <c r="B367">
        <f>IF($A367="","",IF(Sync!$AA367="","",Sync!$AA367))</f>
        <v/>
      </c>
      <c r="C367">
        <f>IF($A367="","",IF(Sync!$AB367="","",Sync!$AB367))</f>
        <v/>
      </c>
      <c r="D367">
        <f>IF($A367="","",IF(Sync!$AC367="","",Sync!$AC367))</f>
        <v/>
      </c>
      <c r="E367">
        <f>IF($A367="","",IF(Sync!$AD367="","",Sync!$AD367))</f>
        <v/>
      </c>
      <c r="F367">
        <f>IF($A367="","",IF(Sync!$AE367="",0,Sync!$AE367))</f>
        <v/>
      </c>
      <c r="G367">
        <f>IF($A367="","",IF(Sync!$AF367="",0,Sync!$AF367))</f>
        <v/>
      </c>
      <c r="H367">
        <f>IF(OR($A367="",ROUND($F367+$G367,2)=0),"",$F367+$G367)</f>
        <v/>
      </c>
      <c r="I367">
        <f>IF($H367="","",IF(ROUND($F367,2)&gt;0,$A367,IF($D367="شخصی قاسم","شخصی قاسم",IF($D367="هزینه","هزینه: "&amp;IF($E367="","متفرقه",$E367),IF($C367="پاس چک","چک پرداختی",IF(OR($B367="",COUNTIF(AcctCodesA,$B367)=0),"متفرقه",$B367))))))</f>
        <v/>
      </c>
      <c r="J367">
        <f>IF($H367="","",IF(ROUND($F367,2)&gt;0,IF($D367="شخصی قاسم","شخصی قاسم",IF($D367="هزینه","هزینه: "&amp;IF($E367="","متفرقه",$E367),IF(OR($B367="",COUNTIF(AcctCodesA,$B367)=0),"متفرقه",$B367))),$A367))</f>
        <v/>
      </c>
      <c r="K367">
        <f>IF($A367="","",IF(AND($B367&lt;&gt;"",COUNTIF(AcctCodesA,$B367)=0),"کد طرف در INFO تعریف نشده",IF(AND($D367="هزینه",$E367=""),"هزینه بدون زیرگروه",IF(AND($C367="پاس چک",OR(Sync!$AJ367="",COUNTIF(IssueNosA,Sync!$AJ367)=0)),"شماره چک پاس‌شده معتبر نیست",""))))</f>
        <v/>
      </c>
      <c r="M367">
        <f>IF(Sync!$AH367="","",Sync!$AH367)</f>
        <v/>
      </c>
      <c r="N367">
        <f>IF($M367="","",IF(OR(Sync!$AI367="",COUNTIF(AcctCodesA,Sync!$AI367)=0),"متفرقه",Sync!$AI367))</f>
        <v/>
      </c>
      <c r="O367">
        <f>IF($M367="","",$N367)</f>
        <v/>
      </c>
      <c r="P367">
        <f>IF($M367="","","چک پرداختی")</f>
        <v/>
      </c>
      <c r="R367">
        <f>IF($M367="","",IF(COUNTIF(AcctCodesA,Sync!$AI367)=0,"ذی‌نفع چک تعریف‌نشده",""))</f>
        <v/>
      </c>
      <c r="S367">
        <f>IF($R367="","",Sync!$AG367&amp;"|"&amp;"5"&amp;RIGHT("00000"&amp;362,5))</f>
        <v/>
      </c>
      <c r="T367">
        <f>IF($S367="",0,COUNTIFS($S$6:$S$505,"&lt;"&amp;$S367)-COUNTIFS($S$6:$S$505,"&lt;"&amp;$S367,$R$6:$R$505,"")+1)</f>
        <v/>
      </c>
      <c r="V367">
        <f>IF($K367="","",IF(ISNUMBER(Sync!$AK367),Sync!$AK367,LEFT(Sync!$AK367,4)&amp;MID(Sync!$AK367,6,2)&amp;RIGHT(Sync!$AK367,2))&amp;"|"&amp;"4"&amp;RIGHT("00000"&amp;362,5))</f>
        <v/>
      </c>
      <c r="W367">
        <f>IF($V367="",0,COUNTIFS($V$6:$V$2005,"&lt;"&amp;$V367)-COUNTIFS($V$6:$V$2005,"&lt;"&amp;$V367,$K$6:$K$2005,"")+1)</f>
        <v/>
      </c>
      <c r="X367">
        <f>IF(Sync!$AX367="","",IF(OR(N(Sync!$AY367)=0,N(Sync!$AZ367)=0),"",ROUND(N(Sync!$AY367)*N(Sync!$AZ367),0)))</f>
        <v/>
      </c>
      <c r="Y367">
        <f>IF($X367="","",IF(OR(Sync!$AX367="",COUNTIF(AcctCodesA,Sync!$AX367)=0),"متفرقه",Sync!$AX367))</f>
        <v/>
      </c>
      <c r="Z367">
        <f>IF($X367="","","سبد و ظروف")</f>
        <v/>
      </c>
      <c r="AA367">
        <f>IF($X367="","",$Y367)</f>
        <v/>
      </c>
    </row>
    <row r="368">
      <c r="A368">
        <f>IF(Sync!$Z368="","",LEFT(UPPER(TRIM(Sync!$Z368)),6))</f>
        <v/>
      </c>
      <c r="B368">
        <f>IF($A368="","",IF(Sync!$AA368="","",Sync!$AA368))</f>
        <v/>
      </c>
      <c r="C368">
        <f>IF($A368="","",IF(Sync!$AB368="","",Sync!$AB368))</f>
        <v/>
      </c>
      <c r="D368">
        <f>IF($A368="","",IF(Sync!$AC368="","",Sync!$AC368))</f>
        <v/>
      </c>
      <c r="E368">
        <f>IF($A368="","",IF(Sync!$AD368="","",Sync!$AD368))</f>
        <v/>
      </c>
      <c r="F368">
        <f>IF($A368="","",IF(Sync!$AE368="",0,Sync!$AE368))</f>
        <v/>
      </c>
      <c r="G368">
        <f>IF($A368="","",IF(Sync!$AF368="",0,Sync!$AF368))</f>
        <v/>
      </c>
      <c r="H368">
        <f>IF(OR($A368="",ROUND($F368+$G368,2)=0),"",$F368+$G368)</f>
        <v/>
      </c>
      <c r="I368">
        <f>IF($H368="","",IF(ROUND($F368,2)&gt;0,$A368,IF($D368="شخصی قاسم","شخصی قاسم",IF($D368="هزینه","هزینه: "&amp;IF($E368="","متفرقه",$E368),IF($C368="پاس چک","چک پرداختی",IF(OR($B368="",COUNTIF(AcctCodesA,$B368)=0),"متفرقه",$B368))))))</f>
        <v/>
      </c>
      <c r="J368">
        <f>IF($H368="","",IF(ROUND($F368,2)&gt;0,IF($D368="شخصی قاسم","شخصی قاسم",IF($D368="هزینه","هزینه: "&amp;IF($E368="","متفرقه",$E368),IF(OR($B368="",COUNTIF(AcctCodesA,$B368)=0),"متفرقه",$B368))),$A368))</f>
        <v/>
      </c>
      <c r="K368">
        <f>IF($A368="","",IF(AND($B368&lt;&gt;"",COUNTIF(AcctCodesA,$B368)=0),"کد طرف در INFO تعریف نشده",IF(AND($D368="هزینه",$E368=""),"هزینه بدون زیرگروه",IF(AND($C368="پاس چک",OR(Sync!$AJ368="",COUNTIF(IssueNosA,Sync!$AJ368)=0)),"شماره چک پاس‌شده معتبر نیست",""))))</f>
        <v/>
      </c>
      <c r="M368">
        <f>IF(Sync!$AH368="","",Sync!$AH368)</f>
        <v/>
      </c>
      <c r="N368">
        <f>IF($M368="","",IF(OR(Sync!$AI368="",COUNTIF(AcctCodesA,Sync!$AI368)=0),"متفرقه",Sync!$AI368))</f>
        <v/>
      </c>
      <c r="O368">
        <f>IF($M368="","",$N368)</f>
        <v/>
      </c>
      <c r="P368">
        <f>IF($M368="","","چک پرداختی")</f>
        <v/>
      </c>
      <c r="R368">
        <f>IF($M368="","",IF(COUNTIF(AcctCodesA,Sync!$AI368)=0,"ذی‌نفع چک تعریف‌نشده",""))</f>
        <v/>
      </c>
      <c r="S368">
        <f>IF($R368="","",Sync!$AG368&amp;"|"&amp;"5"&amp;RIGHT("00000"&amp;363,5))</f>
        <v/>
      </c>
      <c r="T368">
        <f>IF($S368="",0,COUNTIFS($S$6:$S$505,"&lt;"&amp;$S368)-COUNTIFS($S$6:$S$505,"&lt;"&amp;$S368,$R$6:$R$505,"")+1)</f>
        <v/>
      </c>
      <c r="V368">
        <f>IF($K368="","",IF(ISNUMBER(Sync!$AK368),Sync!$AK368,LEFT(Sync!$AK368,4)&amp;MID(Sync!$AK368,6,2)&amp;RIGHT(Sync!$AK368,2))&amp;"|"&amp;"4"&amp;RIGHT("00000"&amp;363,5))</f>
        <v/>
      </c>
      <c r="W368">
        <f>IF($V368="",0,COUNTIFS($V$6:$V$2005,"&lt;"&amp;$V368)-COUNTIFS($V$6:$V$2005,"&lt;"&amp;$V368,$K$6:$K$2005,"")+1)</f>
        <v/>
      </c>
      <c r="X368">
        <f>IF(Sync!$AX368="","",IF(OR(N(Sync!$AY368)=0,N(Sync!$AZ368)=0),"",ROUND(N(Sync!$AY368)*N(Sync!$AZ368),0)))</f>
        <v/>
      </c>
      <c r="Y368">
        <f>IF($X368="","",IF(OR(Sync!$AX368="",COUNTIF(AcctCodesA,Sync!$AX368)=0),"متفرقه",Sync!$AX368))</f>
        <v/>
      </c>
      <c r="Z368">
        <f>IF($X368="","","سبد و ظروف")</f>
        <v/>
      </c>
      <c r="AA368">
        <f>IF($X368="","",$Y368)</f>
        <v/>
      </c>
    </row>
    <row r="369">
      <c r="A369">
        <f>IF(Sync!$Z369="","",LEFT(UPPER(TRIM(Sync!$Z369)),6))</f>
        <v/>
      </c>
      <c r="B369">
        <f>IF($A369="","",IF(Sync!$AA369="","",Sync!$AA369))</f>
        <v/>
      </c>
      <c r="C369">
        <f>IF($A369="","",IF(Sync!$AB369="","",Sync!$AB369))</f>
        <v/>
      </c>
      <c r="D369">
        <f>IF($A369="","",IF(Sync!$AC369="","",Sync!$AC369))</f>
        <v/>
      </c>
      <c r="E369">
        <f>IF($A369="","",IF(Sync!$AD369="","",Sync!$AD369))</f>
        <v/>
      </c>
      <c r="F369">
        <f>IF($A369="","",IF(Sync!$AE369="",0,Sync!$AE369))</f>
        <v/>
      </c>
      <c r="G369">
        <f>IF($A369="","",IF(Sync!$AF369="",0,Sync!$AF369))</f>
        <v/>
      </c>
      <c r="H369">
        <f>IF(OR($A369="",ROUND($F369+$G369,2)=0),"",$F369+$G369)</f>
        <v/>
      </c>
      <c r="I369">
        <f>IF($H369="","",IF(ROUND($F369,2)&gt;0,$A369,IF($D369="شخصی قاسم","شخصی قاسم",IF($D369="هزینه","هزینه: "&amp;IF($E369="","متفرقه",$E369),IF($C369="پاس چک","چک پرداختی",IF(OR($B369="",COUNTIF(AcctCodesA,$B369)=0),"متفرقه",$B369))))))</f>
        <v/>
      </c>
      <c r="J369">
        <f>IF($H369="","",IF(ROUND($F369,2)&gt;0,IF($D369="شخصی قاسم","شخصی قاسم",IF($D369="هزینه","هزینه: "&amp;IF($E369="","متفرقه",$E369),IF(OR($B369="",COUNTIF(AcctCodesA,$B369)=0),"متفرقه",$B369))),$A369))</f>
        <v/>
      </c>
      <c r="K369">
        <f>IF($A369="","",IF(AND($B369&lt;&gt;"",COUNTIF(AcctCodesA,$B369)=0),"کد طرف در INFO تعریف نشده",IF(AND($D369="هزینه",$E369=""),"هزینه بدون زیرگروه",IF(AND($C369="پاس چک",OR(Sync!$AJ369="",COUNTIF(IssueNosA,Sync!$AJ369)=0)),"شماره چک پاس‌شده معتبر نیست",""))))</f>
        <v/>
      </c>
      <c r="M369">
        <f>IF(Sync!$AH369="","",Sync!$AH369)</f>
        <v/>
      </c>
      <c r="N369">
        <f>IF($M369="","",IF(OR(Sync!$AI369="",COUNTIF(AcctCodesA,Sync!$AI369)=0),"متفرقه",Sync!$AI369))</f>
        <v/>
      </c>
      <c r="O369">
        <f>IF($M369="","",$N369)</f>
        <v/>
      </c>
      <c r="P369">
        <f>IF($M369="","","چک پرداختی")</f>
        <v/>
      </c>
      <c r="R369">
        <f>IF($M369="","",IF(COUNTIF(AcctCodesA,Sync!$AI369)=0,"ذی‌نفع چک تعریف‌نشده",""))</f>
        <v/>
      </c>
      <c r="S369">
        <f>IF($R369="","",Sync!$AG369&amp;"|"&amp;"5"&amp;RIGHT("00000"&amp;364,5))</f>
        <v/>
      </c>
      <c r="T369">
        <f>IF($S369="",0,COUNTIFS($S$6:$S$505,"&lt;"&amp;$S369)-COUNTIFS($S$6:$S$505,"&lt;"&amp;$S369,$R$6:$R$505,"")+1)</f>
        <v/>
      </c>
      <c r="V369">
        <f>IF($K369="","",IF(ISNUMBER(Sync!$AK369),Sync!$AK369,LEFT(Sync!$AK369,4)&amp;MID(Sync!$AK369,6,2)&amp;RIGHT(Sync!$AK369,2))&amp;"|"&amp;"4"&amp;RIGHT("00000"&amp;364,5))</f>
        <v/>
      </c>
      <c r="W369">
        <f>IF($V369="",0,COUNTIFS($V$6:$V$2005,"&lt;"&amp;$V369)-COUNTIFS($V$6:$V$2005,"&lt;"&amp;$V369,$K$6:$K$2005,"")+1)</f>
        <v/>
      </c>
      <c r="X369">
        <f>IF(Sync!$AX369="","",IF(OR(N(Sync!$AY369)=0,N(Sync!$AZ369)=0),"",ROUND(N(Sync!$AY369)*N(Sync!$AZ369),0)))</f>
        <v/>
      </c>
      <c r="Y369">
        <f>IF($X369="","",IF(OR(Sync!$AX369="",COUNTIF(AcctCodesA,Sync!$AX369)=0),"متفرقه",Sync!$AX369))</f>
        <v/>
      </c>
      <c r="Z369">
        <f>IF($X369="","","سبد و ظروف")</f>
        <v/>
      </c>
      <c r="AA369">
        <f>IF($X369="","",$Y369)</f>
        <v/>
      </c>
    </row>
    <row r="370">
      <c r="A370">
        <f>IF(Sync!$Z370="","",LEFT(UPPER(TRIM(Sync!$Z370)),6))</f>
        <v/>
      </c>
      <c r="B370">
        <f>IF($A370="","",IF(Sync!$AA370="","",Sync!$AA370))</f>
        <v/>
      </c>
      <c r="C370">
        <f>IF($A370="","",IF(Sync!$AB370="","",Sync!$AB370))</f>
        <v/>
      </c>
      <c r="D370">
        <f>IF($A370="","",IF(Sync!$AC370="","",Sync!$AC370))</f>
        <v/>
      </c>
      <c r="E370">
        <f>IF($A370="","",IF(Sync!$AD370="","",Sync!$AD370))</f>
        <v/>
      </c>
      <c r="F370">
        <f>IF($A370="","",IF(Sync!$AE370="",0,Sync!$AE370))</f>
        <v/>
      </c>
      <c r="G370">
        <f>IF($A370="","",IF(Sync!$AF370="",0,Sync!$AF370))</f>
        <v/>
      </c>
      <c r="H370">
        <f>IF(OR($A370="",ROUND($F370+$G370,2)=0),"",$F370+$G370)</f>
        <v/>
      </c>
      <c r="I370">
        <f>IF($H370="","",IF(ROUND($F370,2)&gt;0,$A370,IF($D370="شخصی قاسم","شخصی قاسم",IF($D370="هزینه","هزینه: "&amp;IF($E370="","متفرقه",$E370),IF($C370="پاس چک","چک پرداختی",IF(OR($B370="",COUNTIF(AcctCodesA,$B370)=0),"متفرقه",$B370))))))</f>
        <v/>
      </c>
      <c r="J370">
        <f>IF($H370="","",IF(ROUND($F370,2)&gt;0,IF($D370="شخصی قاسم","شخصی قاسم",IF($D370="هزینه","هزینه: "&amp;IF($E370="","متفرقه",$E370),IF(OR($B370="",COUNTIF(AcctCodesA,$B370)=0),"متفرقه",$B370))),$A370))</f>
        <v/>
      </c>
      <c r="K370">
        <f>IF($A370="","",IF(AND($B370&lt;&gt;"",COUNTIF(AcctCodesA,$B370)=0),"کد طرف در INFO تعریف نشده",IF(AND($D370="هزینه",$E370=""),"هزینه بدون زیرگروه",IF(AND($C370="پاس چک",OR(Sync!$AJ370="",COUNTIF(IssueNosA,Sync!$AJ370)=0)),"شماره چک پاس‌شده معتبر نیست",""))))</f>
        <v/>
      </c>
      <c r="M370">
        <f>IF(Sync!$AH370="","",Sync!$AH370)</f>
        <v/>
      </c>
      <c r="N370">
        <f>IF($M370="","",IF(OR(Sync!$AI370="",COUNTIF(AcctCodesA,Sync!$AI370)=0),"متفرقه",Sync!$AI370))</f>
        <v/>
      </c>
      <c r="O370">
        <f>IF($M370="","",$N370)</f>
        <v/>
      </c>
      <c r="P370">
        <f>IF($M370="","","چک پرداختی")</f>
        <v/>
      </c>
      <c r="R370">
        <f>IF($M370="","",IF(COUNTIF(AcctCodesA,Sync!$AI370)=0,"ذی‌نفع چک تعریف‌نشده",""))</f>
        <v/>
      </c>
      <c r="S370">
        <f>IF($R370="","",Sync!$AG370&amp;"|"&amp;"5"&amp;RIGHT("00000"&amp;365,5))</f>
        <v/>
      </c>
      <c r="T370">
        <f>IF($S370="",0,COUNTIFS($S$6:$S$505,"&lt;"&amp;$S370)-COUNTIFS($S$6:$S$505,"&lt;"&amp;$S370,$R$6:$R$505,"")+1)</f>
        <v/>
      </c>
      <c r="V370">
        <f>IF($K370="","",IF(ISNUMBER(Sync!$AK370),Sync!$AK370,LEFT(Sync!$AK370,4)&amp;MID(Sync!$AK370,6,2)&amp;RIGHT(Sync!$AK370,2))&amp;"|"&amp;"4"&amp;RIGHT("00000"&amp;365,5))</f>
        <v/>
      </c>
      <c r="W370">
        <f>IF($V370="",0,COUNTIFS($V$6:$V$2005,"&lt;"&amp;$V370)-COUNTIFS($V$6:$V$2005,"&lt;"&amp;$V370,$K$6:$K$2005,"")+1)</f>
        <v/>
      </c>
      <c r="X370">
        <f>IF(Sync!$AX370="","",IF(OR(N(Sync!$AY370)=0,N(Sync!$AZ370)=0),"",ROUND(N(Sync!$AY370)*N(Sync!$AZ370),0)))</f>
        <v/>
      </c>
      <c r="Y370">
        <f>IF($X370="","",IF(OR(Sync!$AX370="",COUNTIF(AcctCodesA,Sync!$AX370)=0),"متفرقه",Sync!$AX370))</f>
        <v/>
      </c>
      <c r="Z370">
        <f>IF($X370="","","سبد و ظروف")</f>
        <v/>
      </c>
      <c r="AA370">
        <f>IF($X370="","",$Y370)</f>
        <v/>
      </c>
    </row>
    <row r="371">
      <c r="A371">
        <f>IF(Sync!$Z371="","",LEFT(UPPER(TRIM(Sync!$Z371)),6))</f>
        <v/>
      </c>
      <c r="B371">
        <f>IF($A371="","",IF(Sync!$AA371="","",Sync!$AA371))</f>
        <v/>
      </c>
      <c r="C371">
        <f>IF($A371="","",IF(Sync!$AB371="","",Sync!$AB371))</f>
        <v/>
      </c>
      <c r="D371">
        <f>IF($A371="","",IF(Sync!$AC371="","",Sync!$AC371))</f>
        <v/>
      </c>
      <c r="E371">
        <f>IF($A371="","",IF(Sync!$AD371="","",Sync!$AD371))</f>
        <v/>
      </c>
      <c r="F371">
        <f>IF($A371="","",IF(Sync!$AE371="",0,Sync!$AE371))</f>
        <v/>
      </c>
      <c r="G371">
        <f>IF($A371="","",IF(Sync!$AF371="",0,Sync!$AF371))</f>
        <v/>
      </c>
      <c r="H371">
        <f>IF(OR($A371="",ROUND($F371+$G371,2)=0),"",$F371+$G371)</f>
        <v/>
      </c>
      <c r="I371">
        <f>IF($H371="","",IF(ROUND($F371,2)&gt;0,$A371,IF($D371="شخصی قاسم","شخصی قاسم",IF($D371="هزینه","هزینه: "&amp;IF($E371="","متفرقه",$E371),IF($C371="پاس چک","چک پرداختی",IF(OR($B371="",COUNTIF(AcctCodesA,$B371)=0),"متفرقه",$B371))))))</f>
        <v/>
      </c>
      <c r="J371">
        <f>IF($H371="","",IF(ROUND($F371,2)&gt;0,IF($D371="شخصی قاسم","شخصی قاسم",IF($D371="هزینه","هزینه: "&amp;IF($E371="","متفرقه",$E371),IF(OR($B371="",COUNTIF(AcctCodesA,$B371)=0),"متفرقه",$B371))),$A371))</f>
        <v/>
      </c>
      <c r="K371">
        <f>IF($A371="","",IF(AND($B371&lt;&gt;"",COUNTIF(AcctCodesA,$B371)=0),"کد طرف در INFO تعریف نشده",IF(AND($D371="هزینه",$E371=""),"هزینه بدون زیرگروه",IF(AND($C371="پاس چک",OR(Sync!$AJ371="",COUNTIF(IssueNosA,Sync!$AJ371)=0)),"شماره چک پاس‌شده معتبر نیست",""))))</f>
        <v/>
      </c>
      <c r="M371">
        <f>IF(Sync!$AH371="","",Sync!$AH371)</f>
        <v/>
      </c>
      <c r="N371">
        <f>IF($M371="","",IF(OR(Sync!$AI371="",COUNTIF(AcctCodesA,Sync!$AI371)=0),"متفرقه",Sync!$AI371))</f>
        <v/>
      </c>
      <c r="O371">
        <f>IF($M371="","",$N371)</f>
        <v/>
      </c>
      <c r="P371">
        <f>IF($M371="","","چک پرداختی")</f>
        <v/>
      </c>
      <c r="R371">
        <f>IF($M371="","",IF(COUNTIF(AcctCodesA,Sync!$AI371)=0,"ذی‌نفع چک تعریف‌نشده",""))</f>
        <v/>
      </c>
      <c r="S371">
        <f>IF($R371="","",Sync!$AG371&amp;"|"&amp;"5"&amp;RIGHT("00000"&amp;366,5))</f>
        <v/>
      </c>
      <c r="T371">
        <f>IF($S371="",0,COUNTIFS($S$6:$S$505,"&lt;"&amp;$S371)-COUNTIFS($S$6:$S$505,"&lt;"&amp;$S371,$R$6:$R$505,"")+1)</f>
        <v/>
      </c>
      <c r="V371">
        <f>IF($K371="","",IF(ISNUMBER(Sync!$AK371),Sync!$AK371,LEFT(Sync!$AK371,4)&amp;MID(Sync!$AK371,6,2)&amp;RIGHT(Sync!$AK371,2))&amp;"|"&amp;"4"&amp;RIGHT("00000"&amp;366,5))</f>
        <v/>
      </c>
      <c r="W371">
        <f>IF($V371="",0,COUNTIFS($V$6:$V$2005,"&lt;"&amp;$V371)-COUNTIFS($V$6:$V$2005,"&lt;"&amp;$V371,$K$6:$K$2005,"")+1)</f>
        <v/>
      </c>
      <c r="X371">
        <f>IF(Sync!$AX371="","",IF(OR(N(Sync!$AY371)=0,N(Sync!$AZ371)=0),"",ROUND(N(Sync!$AY371)*N(Sync!$AZ371),0)))</f>
        <v/>
      </c>
      <c r="Y371">
        <f>IF($X371="","",IF(OR(Sync!$AX371="",COUNTIF(AcctCodesA,Sync!$AX371)=0),"متفرقه",Sync!$AX371))</f>
        <v/>
      </c>
      <c r="Z371">
        <f>IF($X371="","","سبد و ظروف")</f>
        <v/>
      </c>
      <c r="AA371">
        <f>IF($X371="","",$Y371)</f>
        <v/>
      </c>
    </row>
    <row r="372">
      <c r="A372">
        <f>IF(Sync!$Z372="","",LEFT(UPPER(TRIM(Sync!$Z372)),6))</f>
        <v/>
      </c>
      <c r="B372">
        <f>IF($A372="","",IF(Sync!$AA372="","",Sync!$AA372))</f>
        <v/>
      </c>
      <c r="C372">
        <f>IF($A372="","",IF(Sync!$AB372="","",Sync!$AB372))</f>
        <v/>
      </c>
      <c r="D372">
        <f>IF($A372="","",IF(Sync!$AC372="","",Sync!$AC372))</f>
        <v/>
      </c>
      <c r="E372">
        <f>IF($A372="","",IF(Sync!$AD372="","",Sync!$AD372))</f>
        <v/>
      </c>
      <c r="F372">
        <f>IF($A372="","",IF(Sync!$AE372="",0,Sync!$AE372))</f>
        <v/>
      </c>
      <c r="G372">
        <f>IF($A372="","",IF(Sync!$AF372="",0,Sync!$AF372))</f>
        <v/>
      </c>
      <c r="H372">
        <f>IF(OR($A372="",ROUND($F372+$G372,2)=0),"",$F372+$G372)</f>
        <v/>
      </c>
      <c r="I372">
        <f>IF($H372="","",IF(ROUND($F372,2)&gt;0,$A372,IF($D372="شخصی قاسم","شخصی قاسم",IF($D372="هزینه","هزینه: "&amp;IF($E372="","متفرقه",$E372),IF($C372="پاس چک","چک پرداختی",IF(OR($B372="",COUNTIF(AcctCodesA,$B372)=0),"متفرقه",$B372))))))</f>
        <v/>
      </c>
      <c r="J372">
        <f>IF($H372="","",IF(ROUND($F372,2)&gt;0,IF($D372="شخصی قاسم","شخصی قاسم",IF($D372="هزینه","هزینه: "&amp;IF($E372="","متفرقه",$E372),IF(OR($B372="",COUNTIF(AcctCodesA,$B372)=0),"متفرقه",$B372))),$A372))</f>
        <v/>
      </c>
      <c r="K372">
        <f>IF($A372="","",IF(AND($B372&lt;&gt;"",COUNTIF(AcctCodesA,$B372)=0),"کد طرف در INFO تعریف نشده",IF(AND($D372="هزینه",$E372=""),"هزینه بدون زیرگروه",IF(AND($C372="پاس چک",OR(Sync!$AJ372="",COUNTIF(IssueNosA,Sync!$AJ372)=0)),"شماره چک پاس‌شده معتبر نیست",""))))</f>
        <v/>
      </c>
      <c r="M372">
        <f>IF(Sync!$AH372="","",Sync!$AH372)</f>
        <v/>
      </c>
      <c r="N372">
        <f>IF($M372="","",IF(OR(Sync!$AI372="",COUNTIF(AcctCodesA,Sync!$AI372)=0),"متفرقه",Sync!$AI372))</f>
        <v/>
      </c>
      <c r="O372">
        <f>IF($M372="","",$N372)</f>
        <v/>
      </c>
      <c r="P372">
        <f>IF($M372="","","چک پرداختی")</f>
        <v/>
      </c>
      <c r="R372">
        <f>IF($M372="","",IF(COUNTIF(AcctCodesA,Sync!$AI372)=0,"ذی‌نفع چک تعریف‌نشده",""))</f>
        <v/>
      </c>
      <c r="S372">
        <f>IF($R372="","",Sync!$AG372&amp;"|"&amp;"5"&amp;RIGHT("00000"&amp;367,5))</f>
        <v/>
      </c>
      <c r="T372">
        <f>IF($S372="",0,COUNTIFS($S$6:$S$505,"&lt;"&amp;$S372)-COUNTIFS($S$6:$S$505,"&lt;"&amp;$S372,$R$6:$R$505,"")+1)</f>
        <v/>
      </c>
      <c r="V372">
        <f>IF($K372="","",IF(ISNUMBER(Sync!$AK372),Sync!$AK372,LEFT(Sync!$AK372,4)&amp;MID(Sync!$AK372,6,2)&amp;RIGHT(Sync!$AK372,2))&amp;"|"&amp;"4"&amp;RIGHT("00000"&amp;367,5))</f>
        <v/>
      </c>
      <c r="W372">
        <f>IF($V372="",0,COUNTIFS($V$6:$V$2005,"&lt;"&amp;$V372)-COUNTIFS($V$6:$V$2005,"&lt;"&amp;$V372,$K$6:$K$2005,"")+1)</f>
        <v/>
      </c>
      <c r="X372">
        <f>IF(Sync!$AX372="","",IF(OR(N(Sync!$AY372)=0,N(Sync!$AZ372)=0),"",ROUND(N(Sync!$AY372)*N(Sync!$AZ372),0)))</f>
        <v/>
      </c>
      <c r="Y372">
        <f>IF($X372="","",IF(OR(Sync!$AX372="",COUNTIF(AcctCodesA,Sync!$AX372)=0),"متفرقه",Sync!$AX372))</f>
        <v/>
      </c>
      <c r="Z372">
        <f>IF($X372="","","سبد و ظروف")</f>
        <v/>
      </c>
      <c r="AA372">
        <f>IF($X372="","",$Y372)</f>
        <v/>
      </c>
    </row>
    <row r="373">
      <c r="A373">
        <f>IF(Sync!$Z373="","",LEFT(UPPER(TRIM(Sync!$Z373)),6))</f>
        <v/>
      </c>
      <c r="B373">
        <f>IF($A373="","",IF(Sync!$AA373="","",Sync!$AA373))</f>
        <v/>
      </c>
      <c r="C373">
        <f>IF($A373="","",IF(Sync!$AB373="","",Sync!$AB373))</f>
        <v/>
      </c>
      <c r="D373">
        <f>IF($A373="","",IF(Sync!$AC373="","",Sync!$AC373))</f>
        <v/>
      </c>
      <c r="E373">
        <f>IF($A373="","",IF(Sync!$AD373="","",Sync!$AD373))</f>
        <v/>
      </c>
      <c r="F373">
        <f>IF($A373="","",IF(Sync!$AE373="",0,Sync!$AE373))</f>
        <v/>
      </c>
      <c r="G373">
        <f>IF($A373="","",IF(Sync!$AF373="",0,Sync!$AF373))</f>
        <v/>
      </c>
      <c r="H373">
        <f>IF(OR($A373="",ROUND($F373+$G373,2)=0),"",$F373+$G373)</f>
        <v/>
      </c>
      <c r="I373">
        <f>IF($H373="","",IF(ROUND($F373,2)&gt;0,$A373,IF($D373="شخصی قاسم","شخصی قاسم",IF($D373="هزینه","هزینه: "&amp;IF($E373="","متفرقه",$E373),IF($C373="پاس چک","چک پرداختی",IF(OR($B373="",COUNTIF(AcctCodesA,$B373)=0),"متفرقه",$B373))))))</f>
        <v/>
      </c>
      <c r="J373">
        <f>IF($H373="","",IF(ROUND($F373,2)&gt;0,IF($D373="شخصی قاسم","شخصی قاسم",IF($D373="هزینه","هزینه: "&amp;IF($E373="","متفرقه",$E373),IF(OR($B373="",COUNTIF(AcctCodesA,$B373)=0),"متفرقه",$B373))),$A373))</f>
        <v/>
      </c>
      <c r="K373">
        <f>IF($A373="","",IF(AND($B373&lt;&gt;"",COUNTIF(AcctCodesA,$B373)=0),"کد طرف در INFO تعریف نشده",IF(AND($D373="هزینه",$E373=""),"هزینه بدون زیرگروه",IF(AND($C373="پاس چک",OR(Sync!$AJ373="",COUNTIF(IssueNosA,Sync!$AJ373)=0)),"شماره چک پاس‌شده معتبر نیست",""))))</f>
        <v/>
      </c>
      <c r="M373">
        <f>IF(Sync!$AH373="","",Sync!$AH373)</f>
        <v/>
      </c>
      <c r="N373">
        <f>IF($M373="","",IF(OR(Sync!$AI373="",COUNTIF(AcctCodesA,Sync!$AI373)=0),"متفرقه",Sync!$AI373))</f>
        <v/>
      </c>
      <c r="O373">
        <f>IF($M373="","",$N373)</f>
        <v/>
      </c>
      <c r="P373">
        <f>IF($M373="","","چک پرداختی")</f>
        <v/>
      </c>
      <c r="R373">
        <f>IF($M373="","",IF(COUNTIF(AcctCodesA,Sync!$AI373)=0,"ذی‌نفع چک تعریف‌نشده",""))</f>
        <v/>
      </c>
      <c r="S373">
        <f>IF($R373="","",Sync!$AG373&amp;"|"&amp;"5"&amp;RIGHT("00000"&amp;368,5))</f>
        <v/>
      </c>
      <c r="T373">
        <f>IF($S373="",0,COUNTIFS($S$6:$S$505,"&lt;"&amp;$S373)-COUNTIFS($S$6:$S$505,"&lt;"&amp;$S373,$R$6:$R$505,"")+1)</f>
        <v/>
      </c>
      <c r="V373">
        <f>IF($K373="","",IF(ISNUMBER(Sync!$AK373),Sync!$AK373,LEFT(Sync!$AK373,4)&amp;MID(Sync!$AK373,6,2)&amp;RIGHT(Sync!$AK373,2))&amp;"|"&amp;"4"&amp;RIGHT("00000"&amp;368,5))</f>
        <v/>
      </c>
      <c r="W373">
        <f>IF($V373="",0,COUNTIFS($V$6:$V$2005,"&lt;"&amp;$V373)-COUNTIFS($V$6:$V$2005,"&lt;"&amp;$V373,$K$6:$K$2005,"")+1)</f>
        <v/>
      </c>
      <c r="X373">
        <f>IF(Sync!$AX373="","",IF(OR(N(Sync!$AY373)=0,N(Sync!$AZ373)=0),"",ROUND(N(Sync!$AY373)*N(Sync!$AZ373),0)))</f>
        <v/>
      </c>
      <c r="Y373">
        <f>IF($X373="","",IF(OR(Sync!$AX373="",COUNTIF(AcctCodesA,Sync!$AX373)=0),"متفرقه",Sync!$AX373))</f>
        <v/>
      </c>
      <c r="Z373">
        <f>IF($X373="","","سبد و ظروف")</f>
        <v/>
      </c>
      <c r="AA373">
        <f>IF($X373="","",$Y373)</f>
        <v/>
      </c>
    </row>
    <row r="374">
      <c r="A374">
        <f>IF(Sync!$Z374="","",LEFT(UPPER(TRIM(Sync!$Z374)),6))</f>
        <v/>
      </c>
      <c r="B374">
        <f>IF($A374="","",IF(Sync!$AA374="","",Sync!$AA374))</f>
        <v/>
      </c>
      <c r="C374">
        <f>IF($A374="","",IF(Sync!$AB374="","",Sync!$AB374))</f>
        <v/>
      </c>
      <c r="D374">
        <f>IF($A374="","",IF(Sync!$AC374="","",Sync!$AC374))</f>
        <v/>
      </c>
      <c r="E374">
        <f>IF($A374="","",IF(Sync!$AD374="","",Sync!$AD374))</f>
        <v/>
      </c>
      <c r="F374">
        <f>IF($A374="","",IF(Sync!$AE374="",0,Sync!$AE374))</f>
        <v/>
      </c>
      <c r="G374">
        <f>IF($A374="","",IF(Sync!$AF374="",0,Sync!$AF374))</f>
        <v/>
      </c>
      <c r="H374">
        <f>IF(OR($A374="",ROUND($F374+$G374,2)=0),"",$F374+$G374)</f>
        <v/>
      </c>
      <c r="I374">
        <f>IF($H374="","",IF(ROUND($F374,2)&gt;0,$A374,IF($D374="شخصی قاسم","شخصی قاسم",IF($D374="هزینه","هزینه: "&amp;IF($E374="","متفرقه",$E374),IF($C374="پاس چک","چک پرداختی",IF(OR($B374="",COUNTIF(AcctCodesA,$B374)=0),"متفرقه",$B374))))))</f>
        <v/>
      </c>
      <c r="J374">
        <f>IF($H374="","",IF(ROUND($F374,2)&gt;0,IF($D374="شخصی قاسم","شخصی قاسم",IF($D374="هزینه","هزینه: "&amp;IF($E374="","متفرقه",$E374),IF(OR($B374="",COUNTIF(AcctCodesA,$B374)=0),"متفرقه",$B374))),$A374))</f>
        <v/>
      </c>
      <c r="K374">
        <f>IF($A374="","",IF(AND($B374&lt;&gt;"",COUNTIF(AcctCodesA,$B374)=0),"کد طرف در INFO تعریف نشده",IF(AND($D374="هزینه",$E374=""),"هزینه بدون زیرگروه",IF(AND($C374="پاس چک",OR(Sync!$AJ374="",COUNTIF(IssueNosA,Sync!$AJ374)=0)),"شماره چک پاس‌شده معتبر نیست",""))))</f>
        <v/>
      </c>
      <c r="M374">
        <f>IF(Sync!$AH374="","",Sync!$AH374)</f>
        <v/>
      </c>
      <c r="N374">
        <f>IF($M374="","",IF(OR(Sync!$AI374="",COUNTIF(AcctCodesA,Sync!$AI374)=0),"متفرقه",Sync!$AI374))</f>
        <v/>
      </c>
      <c r="O374">
        <f>IF($M374="","",$N374)</f>
        <v/>
      </c>
      <c r="P374">
        <f>IF($M374="","","چک پرداختی")</f>
        <v/>
      </c>
      <c r="R374">
        <f>IF($M374="","",IF(COUNTIF(AcctCodesA,Sync!$AI374)=0,"ذی‌نفع چک تعریف‌نشده",""))</f>
        <v/>
      </c>
      <c r="S374">
        <f>IF($R374="","",Sync!$AG374&amp;"|"&amp;"5"&amp;RIGHT("00000"&amp;369,5))</f>
        <v/>
      </c>
      <c r="T374">
        <f>IF($S374="",0,COUNTIFS($S$6:$S$505,"&lt;"&amp;$S374)-COUNTIFS($S$6:$S$505,"&lt;"&amp;$S374,$R$6:$R$505,"")+1)</f>
        <v/>
      </c>
      <c r="V374">
        <f>IF($K374="","",IF(ISNUMBER(Sync!$AK374),Sync!$AK374,LEFT(Sync!$AK374,4)&amp;MID(Sync!$AK374,6,2)&amp;RIGHT(Sync!$AK374,2))&amp;"|"&amp;"4"&amp;RIGHT("00000"&amp;369,5))</f>
        <v/>
      </c>
      <c r="W374">
        <f>IF($V374="",0,COUNTIFS($V$6:$V$2005,"&lt;"&amp;$V374)-COUNTIFS($V$6:$V$2005,"&lt;"&amp;$V374,$K$6:$K$2005,"")+1)</f>
        <v/>
      </c>
      <c r="X374">
        <f>IF(Sync!$AX374="","",IF(OR(N(Sync!$AY374)=0,N(Sync!$AZ374)=0),"",ROUND(N(Sync!$AY374)*N(Sync!$AZ374),0)))</f>
        <v/>
      </c>
      <c r="Y374">
        <f>IF($X374="","",IF(OR(Sync!$AX374="",COUNTIF(AcctCodesA,Sync!$AX374)=0),"متفرقه",Sync!$AX374))</f>
        <v/>
      </c>
      <c r="Z374">
        <f>IF($X374="","","سبد و ظروف")</f>
        <v/>
      </c>
      <c r="AA374">
        <f>IF($X374="","",$Y374)</f>
        <v/>
      </c>
    </row>
    <row r="375">
      <c r="A375">
        <f>IF(Sync!$Z375="","",LEFT(UPPER(TRIM(Sync!$Z375)),6))</f>
        <v/>
      </c>
      <c r="B375">
        <f>IF($A375="","",IF(Sync!$AA375="","",Sync!$AA375))</f>
        <v/>
      </c>
      <c r="C375">
        <f>IF($A375="","",IF(Sync!$AB375="","",Sync!$AB375))</f>
        <v/>
      </c>
      <c r="D375">
        <f>IF($A375="","",IF(Sync!$AC375="","",Sync!$AC375))</f>
        <v/>
      </c>
      <c r="E375">
        <f>IF($A375="","",IF(Sync!$AD375="","",Sync!$AD375))</f>
        <v/>
      </c>
      <c r="F375">
        <f>IF($A375="","",IF(Sync!$AE375="",0,Sync!$AE375))</f>
        <v/>
      </c>
      <c r="G375">
        <f>IF($A375="","",IF(Sync!$AF375="",0,Sync!$AF375))</f>
        <v/>
      </c>
      <c r="H375">
        <f>IF(OR($A375="",ROUND($F375+$G375,2)=0),"",$F375+$G375)</f>
        <v/>
      </c>
      <c r="I375">
        <f>IF($H375="","",IF(ROUND($F375,2)&gt;0,$A375,IF($D375="شخصی قاسم","شخصی قاسم",IF($D375="هزینه","هزینه: "&amp;IF($E375="","متفرقه",$E375),IF($C375="پاس چک","چک پرداختی",IF(OR($B375="",COUNTIF(AcctCodesA,$B375)=0),"متفرقه",$B375))))))</f>
        <v/>
      </c>
      <c r="J375">
        <f>IF($H375="","",IF(ROUND($F375,2)&gt;0,IF($D375="شخصی قاسم","شخصی قاسم",IF($D375="هزینه","هزینه: "&amp;IF($E375="","متفرقه",$E375),IF(OR($B375="",COUNTIF(AcctCodesA,$B375)=0),"متفرقه",$B375))),$A375))</f>
        <v/>
      </c>
      <c r="K375">
        <f>IF($A375="","",IF(AND($B375&lt;&gt;"",COUNTIF(AcctCodesA,$B375)=0),"کد طرف در INFO تعریف نشده",IF(AND($D375="هزینه",$E375=""),"هزینه بدون زیرگروه",IF(AND($C375="پاس چک",OR(Sync!$AJ375="",COUNTIF(IssueNosA,Sync!$AJ375)=0)),"شماره چک پاس‌شده معتبر نیست",""))))</f>
        <v/>
      </c>
      <c r="M375">
        <f>IF(Sync!$AH375="","",Sync!$AH375)</f>
        <v/>
      </c>
      <c r="N375">
        <f>IF($M375="","",IF(OR(Sync!$AI375="",COUNTIF(AcctCodesA,Sync!$AI375)=0),"متفرقه",Sync!$AI375))</f>
        <v/>
      </c>
      <c r="O375">
        <f>IF($M375="","",$N375)</f>
        <v/>
      </c>
      <c r="P375">
        <f>IF($M375="","","چک پرداختی")</f>
        <v/>
      </c>
      <c r="R375">
        <f>IF($M375="","",IF(COUNTIF(AcctCodesA,Sync!$AI375)=0,"ذی‌نفع چک تعریف‌نشده",""))</f>
        <v/>
      </c>
      <c r="S375">
        <f>IF($R375="","",Sync!$AG375&amp;"|"&amp;"5"&amp;RIGHT("00000"&amp;370,5))</f>
        <v/>
      </c>
      <c r="T375">
        <f>IF($S375="",0,COUNTIFS($S$6:$S$505,"&lt;"&amp;$S375)-COUNTIFS($S$6:$S$505,"&lt;"&amp;$S375,$R$6:$R$505,"")+1)</f>
        <v/>
      </c>
      <c r="V375">
        <f>IF($K375="","",IF(ISNUMBER(Sync!$AK375),Sync!$AK375,LEFT(Sync!$AK375,4)&amp;MID(Sync!$AK375,6,2)&amp;RIGHT(Sync!$AK375,2))&amp;"|"&amp;"4"&amp;RIGHT("00000"&amp;370,5))</f>
        <v/>
      </c>
      <c r="W375">
        <f>IF($V375="",0,COUNTIFS($V$6:$V$2005,"&lt;"&amp;$V375)-COUNTIFS($V$6:$V$2005,"&lt;"&amp;$V375,$K$6:$K$2005,"")+1)</f>
        <v/>
      </c>
      <c r="X375">
        <f>IF(Sync!$AX375="","",IF(OR(N(Sync!$AY375)=0,N(Sync!$AZ375)=0),"",ROUND(N(Sync!$AY375)*N(Sync!$AZ375),0)))</f>
        <v/>
      </c>
      <c r="Y375">
        <f>IF($X375="","",IF(OR(Sync!$AX375="",COUNTIF(AcctCodesA,Sync!$AX375)=0),"متفرقه",Sync!$AX375))</f>
        <v/>
      </c>
      <c r="Z375">
        <f>IF($X375="","","سبد و ظروف")</f>
        <v/>
      </c>
      <c r="AA375">
        <f>IF($X375="","",$Y375)</f>
        <v/>
      </c>
    </row>
    <row r="376">
      <c r="A376">
        <f>IF(Sync!$Z376="","",LEFT(UPPER(TRIM(Sync!$Z376)),6))</f>
        <v/>
      </c>
      <c r="B376">
        <f>IF($A376="","",IF(Sync!$AA376="","",Sync!$AA376))</f>
        <v/>
      </c>
      <c r="C376">
        <f>IF($A376="","",IF(Sync!$AB376="","",Sync!$AB376))</f>
        <v/>
      </c>
      <c r="D376">
        <f>IF($A376="","",IF(Sync!$AC376="","",Sync!$AC376))</f>
        <v/>
      </c>
      <c r="E376">
        <f>IF($A376="","",IF(Sync!$AD376="","",Sync!$AD376))</f>
        <v/>
      </c>
      <c r="F376">
        <f>IF($A376="","",IF(Sync!$AE376="",0,Sync!$AE376))</f>
        <v/>
      </c>
      <c r="G376">
        <f>IF($A376="","",IF(Sync!$AF376="",0,Sync!$AF376))</f>
        <v/>
      </c>
      <c r="H376">
        <f>IF(OR($A376="",ROUND($F376+$G376,2)=0),"",$F376+$G376)</f>
        <v/>
      </c>
      <c r="I376">
        <f>IF($H376="","",IF(ROUND($F376,2)&gt;0,$A376,IF($D376="شخصی قاسم","شخصی قاسم",IF($D376="هزینه","هزینه: "&amp;IF($E376="","متفرقه",$E376),IF($C376="پاس چک","چک پرداختی",IF(OR($B376="",COUNTIF(AcctCodesA,$B376)=0),"متفرقه",$B376))))))</f>
        <v/>
      </c>
      <c r="J376">
        <f>IF($H376="","",IF(ROUND($F376,2)&gt;0,IF($D376="شخصی قاسم","شخصی قاسم",IF($D376="هزینه","هزینه: "&amp;IF($E376="","متفرقه",$E376),IF(OR($B376="",COUNTIF(AcctCodesA,$B376)=0),"متفرقه",$B376))),$A376))</f>
        <v/>
      </c>
      <c r="K376">
        <f>IF($A376="","",IF(AND($B376&lt;&gt;"",COUNTIF(AcctCodesA,$B376)=0),"کد طرف در INFO تعریف نشده",IF(AND($D376="هزینه",$E376=""),"هزینه بدون زیرگروه",IF(AND($C376="پاس چک",OR(Sync!$AJ376="",COUNTIF(IssueNosA,Sync!$AJ376)=0)),"شماره چک پاس‌شده معتبر نیست",""))))</f>
        <v/>
      </c>
      <c r="M376">
        <f>IF(Sync!$AH376="","",Sync!$AH376)</f>
        <v/>
      </c>
      <c r="N376">
        <f>IF($M376="","",IF(OR(Sync!$AI376="",COUNTIF(AcctCodesA,Sync!$AI376)=0),"متفرقه",Sync!$AI376))</f>
        <v/>
      </c>
      <c r="O376">
        <f>IF($M376="","",$N376)</f>
        <v/>
      </c>
      <c r="P376">
        <f>IF($M376="","","چک پرداختی")</f>
        <v/>
      </c>
      <c r="R376">
        <f>IF($M376="","",IF(COUNTIF(AcctCodesA,Sync!$AI376)=0,"ذی‌نفع چک تعریف‌نشده",""))</f>
        <v/>
      </c>
      <c r="S376">
        <f>IF($R376="","",Sync!$AG376&amp;"|"&amp;"5"&amp;RIGHT("00000"&amp;371,5))</f>
        <v/>
      </c>
      <c r="T376">
        <f>IF($S376="",0,COUNTIFS($S$6:$S$505,"&lt;"&amp;$S376)-COUNTIFS($S$6:$S$505,"&lt;"&amp;$S376,$R$6:$R$505,"")+1)</f>
        <v/>
      </c>
      <c r="V376">
        <f>IF($K376="","",IF(ISNUMBER(Sync!$AK376),Sync!$AK376,LEFT(Sync!$AK376,4)&amp;MID(Sync!$AK376,6,2)&amp;RIGHT(Sync!$AK376,2))&amp;"|"&amp;"4"&amp;RIGHT("00000"&amp;371,5))</f>
        <v/>
      </c>
      <c r="W376">
        <f>IF($V376="",0,COUNTIFS($V$6:$V$2005,"&lt;"&amp;$V376)-COUNTIFS($V$6:$V$2005,"&lt;"&amp;$V376,$K$6:$K$2005,"")+1)</f>
        <v/>
      </c>
      <c r="X376">
        <f>IF(Sync!$AX376="","",IF(OR(N(Sync!$AY376)=0,N(Sync!$AZ376)=0),"",ROUND(N(Sync!$AY376)*N(Sync!$AZ376),0)))</f>
        <v/>
      </c>
      <c r="Y376">
        <f>IF($X376="","",IF(OR(Sync!$AX376="",COUNTIF(AcctCodesA,Sync!$AX376)=0),"متفرقه",Sync!$AX376))</f>
        <v/>
      </c>
      <c r="Z376">
        <f>IF($X376="","","سبد و ظروف")</f>
        <v/>
      </c>
      <c r="AA376">
        <f>IF($X376="","",$Y376)</f>
        <v/>
      </c>
    </row>
    <row r="377">
      <c r="A377">
        <f>IF(Sync!$Z377="","",LEFT(UPPER(TRIM(Sync!$Z377)),6))</f>
        <v/>
      </c>
      <c r="B377">
        <f>IF($A377="","",IF(Sync!$AA377="","",Sync!$AA377))</f>
        <v/>
      </c>
      <c r="C377">
        <f>IF($A377="","",IF(Sync!$AB377="","",Sync!$AB377))</f>
        <v/>
      </c>
      <c r="D377">
        <f>IF($A377="","",IF(Sync!$AC377="","",Sync!$AC377))</f>
        <v/>
      </c>
      <c r="E377">
        <f>IF($A377="","",IF(Sync!$AD377="","",Sync!$AD377))</f>
        <v/>
      </c>
      <c r="F377">
        <f>IF($A377="","",IF(Sync!$AE377="",0,Sync!$AE377))</f>
        <v/>
      </c>
      <c r="G377">
        <f>IF($A377="","",IF(Sync!$AF377="",0,Sync!$AF377))</f>
        <v/>
      </c>
      <c r="H377">
        <f>IF(OR($A377="",ROUND($F377+$G377,2)=0),"",$F377+$G377)</f>
        <v/>
      </c>
      <c r="I377">
        <f>IF($H377="","",IF(ROUND($F377,2)&gt;0,$A377,IF($D377="شخصی قاسم","شخصی قاسم",IF($D377="هزینه","هزینه: "&amp;IF($E377="","متفرقه",$E377),IF($C377="پاس چک","چک پرداختی",IF(OR($B377="",COUNTIF(AcctCodesA,$B377)=0),"متفرقه",$B377))))))</f>
        <v/>
      </c>
      <c r="J377">
        <f>IF($H377="","",IF(ROUND($F377,2)&gt;0,IF($D377="شخصی قاسم","شخصی قاسم",IF($D377="هزینه","هزینه: "&amp;IF($E377="","متفرقه",$E377),IF(OR($B377="",COUNTIF(AcctCodesA,$B377)=0),"متفرقه",$B377))),$A377))</f>
        <v/>
      </c>
      <c r="K377">
        <f>IF($A377="","",IF(AND($B377&lt;&gt;"",COUNTIF(AcctCodesA,$B377)=0),"کد طرف در INFO تعریف نشده",IF(AND($D377="هزینه",$E377=""),"هزینه بدون زیرگروه",IF(AND($C377="پاس چک",OR(Sync!$AJ377="",COUNTIF(IssueNosA,Sync!$AJ377)=0)),"شماره چک پاس‌شده معتبر نیست",""))))</f>
        <v/>
      </c>
      <c r="M377">
        <f>IF(Sync!$AH377="","",Sync!$AH377)</f>
        <v/>
      </c>
      <c r="N377">
        <f>IF($M377="","",IF(OR(Sync!$AI377="",COUNTIF(AcctCodesA,Sync!$AI377)=0),"متفرقه",Sync!$AI377))</f>
        <v/>
      </c>
      <c r="O377">
        <f>IF($M377="","",$N377)</f>
        <v/>
      </c>
      <c r="P377">
        <f>IF($M377="","","چک پرداختی")</f>
        <v/>
      </c>
      <c r="R377">
        <f>IF($M377="","",IF(COUNTIF(AcctCodesA,Sync!$AI377)=0,"ذی‌نفع چک تعریف‌نشده",""))</f>
        <v/>
      </c>
      <c r="S377">
        <f>IF($R377="","",Sync!$AG377&amp;"|"&amp;"5"&amp;RIGHT("00000"&amp;372,5))</f>
        <v/>
      </c>
      <c r="T377">
        <f>IF($S377="",0,COUNTIFS($S$6:$S$505,"&lt;"&amp;$S377)-COUNTIFS($S$6:$S$505,"&lt;"&amp;$S377,$R$6:$R$505,"")+1)</f>
        <v/>
      </c>
      <c r="V377">
        <f>IF($K377="","",IF(ISNUMBER(Sync!$AK377),Sync!$AK377,LEFT(Sync!$AK377,4)&amp;MID(Sync!$AK377,6,2)&amp;RIGHT(Sync!$AK377,2))&amp;"|"&amp;"4"&amp;RIGHT("00000"&amp;372,5))</f>
        <v/>
      </c>
      <c r="W377">
        <f>IF($V377="",0,COUNTIFS($V$6:$V$2005,"&lt;"&amp;$V377)-COUNTIFS($V$6:$V$2005,"&lt;"&amp;$V377,$K$6:$K$2005,"")+1)</f>
        <v/>
      </c>
      <c r="X377">
        <f>IF(Sync!$AX377="","",IF(OR(N(Sync!$AY377)=0,N(Sync!$AZ377)=0),"",ROUND(N(Sync!$AY377)*N(Sync!$AZ377),0)))</f>
        <v/>
      </c>
      <c r="Y377">
        <f>IF($X377="","",IF(OR(Sync!$AX377="",COUNTIF(AcctCodesA,Sync!$AX377)=0),"متفرقه",Sync!$AX377))</f>
        <v/>
      </c>
      <c r="Z377">
        <f>IF($X377="","","سبد و ظروف")</f>
        <v/>
      </c>
      <c r="AA377">
        <f>IF($X377="","",$Y377)</f>
        <v/>
      </c>
    </row>
    <row r="378">
      <c r="A378">
        <f>IF(Sync!$Z378="","",LEFT(UPPER(TRIM(Sync!$Z378)),6))</f>
        <v/>
      </c>
      <c r="B378">
        <f>IF($A378="","",IF(Sync!$AA378="","",Sync!$AA378))</f>
        <v/>
      </c>
      <c r="C378">
        <f>IF($A378="","",IF(Sync!$AB378="","",Sync!$AB378))</f>
        <v/>
      </c>
      <c r="D378">
        <f>IF($A378="","",IF(Sync!$AC378="","",Sync!$AC378))</f>
        <v/>
      </c>
      <c r="E378">
        <f>IF($A378="","",IF(Sync!$AD378="","",Sync!$AD378))</f>
        <v/>
      </c>
      <c r="F378">
        <f>IF($A378="","",IF(Sync!$AE378="",0,Sync!$AE378))</f>
        <v/>
      </c>
      <c r="G378">
        <f>IF($A378="","",IF(Sync!$AF378="",0,Sync!$AF378))</f>
        <v/>
      </c>
      <c r="H378">
        <f>IF(OR($A378="",ROUND($F378+$G378,2)=0),"",$F378+$G378)</f>
        <v/>
      </c>
      <c r="I378">
        <f>IF($H378="","",IF(ROUND($F378,2)&gt;0,$A378,IF($D378="شخصی قاسم","شخصی قاسم",IF($D378="هزینه","هزینه: "&amp;IF($E378="","متفرقه",$E378),IF($C378="پاس چک","چک پرداختی",IF(OR($B378="",COUNTIF(AcctCodesA,$B378)=0),"متفرقه",$B378))))))</f>
        <v/>
      </c>
      <c r="J378">
        <f>IF($H378="","",IF(ROUND($F378,2)&gt;0,IF($D378="شخصی قاسم","شخصی قاسم",IF($D378="هزینه","هزینه: "&amp;IF($E378="","متفرقه",$E378),IF(OR($B378="",COUNTIF(AcctCodesA,$B378)=0),"متفرقه",$B378))),$A378))</f>
        <v/>
      </c>
      <c r="K378">
        <f>IF($A378="","",IF(AND($B378&lt;&gt;"",COUNTIF(AcctCodesA,$B378)=0),"کد طرف در INFO تعریف نشده",IF(AND($D378="هزینه",$E378=""),"هزینه بدون زیرگروه",IF(AND($C378="پاس چک",OR(Sync!$AJ378="",COUNTIF(IssueNosA,Sync!$AJ378)=0)),"شماره چک پاس‌شده معتبر نیست",""))))</f>
        <v/>
      </c>
      <c r="M378">
        <f>IF(Sync!$AH378="","",Sync!$AH378)</f>
        <v/>
      </c>
      <c r="N378">
        <f>IF($M378="","",IF(OR(Sync!$AI378="",COUNTIF(AcctCodesA,Sync!$AI378)=0),"متفرقه",Sync!$AI378))</f>
        <v/>
      </c>
      <c r="O378">
        <f>IF($M378="","",$N378)</f>
        <v/>
      </c>
      <c r="P378">
        <f>IF($M378="","","چک پرداختی")</f>
        <v/>
      </c>
      <c r="R378">
        <f>IF($M378="","",IF(COUNTIF(AcctCodesA,Sync!$AI378)=0,"ذی‌نفع چک تعریف‌نشده",""))</f>
        <v/>
      </c>
      <c r="S378">
        <f>IF($R378="","",Sync!$AG378&amp;"|"&amp;"5"&amp;RIGHT("00000"&amp;373,5))</f>
        <v/>
      </c>
      <c r="T378">
        <f>IF($S378="",0,COUNTIFS($S$6:$S$505,"&lt;"&amp;$S378)-COUNTIFS($S$6:$S$505,"&lt;"&amp;$S378,$R$6:$R$505,"")+1)</f>
        <v/>
      </c>
      <c r="V378">
        <f>IF($K378="","",IF(ISNUMBER(Sync!$AK378),Sync!$AK378,LEFT(Sync!$AK378,4)&amp;MID(Sync!$AK378,6,2)&amp;RIGHT(Sync!$AK378,2))&amp;"|"&amp;"4"&amp;RIGHT("00000"&amp;373,5))</f>
        <v/>
      </c>
      <c r="W378">
        <f>IF($V378="",0,COUNTIFS($V$6:$V$2005,"&lt;"&amp;$V378)-COUNTIFS($V$6:$V$2005,"&lt;"&amp;$V378,$K$6:$K$2005,"")+1)</f>
        <v/>
      </c>
      <c r="X378">
        <f>IF(Sync!$AX378="","",IF(OR(N(Sync!$AY378)=0,N(Sync!$AZ378)=0),"",ROUND(N(Sync!$AY378)*N(Sync!$AZ378),0)))</f>
        <v/>
      </c>
      <c r="Y378">
        <f>IF($X378="","",IF(OR(Sync!$AX378="",COUNTIF(AcctCodesA,Sync!$AX378)=0),"متفرقه",Sync!$AX378))</f>
        <v/>
      </c>
      <c r="Z378">
        <f>IF($X378="","","سبد و ظروف")</f>
        <v/>
      </c>
      <c r="AA378">
        <f>IF($X378="","",$Y378)</f>
        <v/>
      </c>
    </row>
    <row r="379">
      <c r="A379">
        <f>IF(Sync!$Z379="","",LEFT(UPPER(TRIM(Sync!$Z379)),6))</f>
        <v/>
      </c>
      <c r="B379">
        <f>IF($A379="","",IF(Sync!$AA379="","",Sync!$AA379))</f>
        <v/>
      </c>
      <c r="C379">
        <f>IF($A379="","",IF(Sync!$AB379="","",Sync!$AB379))</f>
        <v/>
      </c>
      <c r="D379">
        <f>IF($A379="","",IF(Sync!$AC379="","",Sync!$AC379))</f>
        <v/>
      </c>
      <c r="E379">
        <f>IF($A379="","",IF(Sync!$AD379="","",Sync!$AD379))</f>
        <v/>
      </c>
      <c r="F379">
        <f>IF($A379="","",IF(Sync!$AE379="",0,Sync!$AE379))</f>
        <v/>
      </c>
      <c r="G379">
        <f>IF($A379="","",IF(Sync!$AF379="",0,Sync!$AF379))</f>
        <v/>
      </c>
      <c r="H379">
        <f>IF(OR($A379="",ROUND($F379+$G379,2)=0),"",$F379+$G379)</f>
        <v/>
      </c>
      <c r="I379">
        <f>IF($H379="","",IF(ROUND($F379,2)&gt;0,$A379,IF($D379="شخصی قاسم","شخصی قاسم",IF($D379="هزینه","هزینه: "&amp;IF($E379="","متفرقه",$E379),IF($C379="پاس چک","چک پرداختی",IF(OR($B379="",COUNTIF(AcctCodesA,$B379)=0),"متفرقه",$B379))))))</f>
        <v/>
      </c>
      <c r="J379">
        <f>IF($H379="","",IF(ROUND($F379,2)&gt;0,IF($D379="شخصی قاسم","شخصی قاسم",IF($D379="هزینه","هزینه: "&amp;IF($E379="","متفرقه",$E379),IF(OR($B379="",COUNTIF(AcctCodesA,$B379)=0),"متفرقه",$B379))),$A379))</f>
        <v/>
      </c>
      <c r="K379">
        <f>IF($A379="","",IF(AND($B379&lt;&gt;"",COUNTIF(AcctCodesA,$B379)=0),"کد طرف در INFO تعریف نشده",IF(AND($D379="هزینه",$E379=""),"هزینه بدون زیرگروه",IF(AND($C379="پاس چک",OR(Sync!$AJ379="",COUNTIF(IssueNosA,Sync!$AJ379)=0)),"شماره چک پاس‌شده معتبر نیست",""))))</f>
        <v/>
      </c>
      <c r="M379">
        <f>IF(Sync!$AH379="","",Sync!$AH379)</f>
        <v/>
      </c>
      <c r="N379">
        <f>IF($M379="","",IF(OR(Sync!$AI379="",COUNTIF(AcctCodesA,Sync!$AI379)=0),"متفرقه",Sync!$AI379))</f>
        <v/>
      </c>
      <c r="O379">
        <f>IF($M379="","",$N379)</f>
        <v/>
      </c>
      <c r="P379">
        <f>IF($M379="","","چک پرداختی")</f>
        <v/>
      </c>
      <c r="R379">
        <f>IF($M379="","",IF(COUNTIF(AcctCodesA,Sync!$AI379)=0,"ذی‌نفع چک تعریف‌نشده",""))</f>
        <v/>
      </c>
      <c r="S379">
        <f>IF($R379="","",Sync!$AG379&amp;"|"&amp;"5"&amp;RIGHT("00000"&amp;374,5))</f>
        <v/>
      </c>
      <c r="T379">
        <f>IF($S379="",0,COUNTIFS($S$6:$S$505,"&lt;"&amp;$S379)-COUNTIFS($S$6:$S$505,"&lt;"&amp;$S379,$R$6:$R$505,"")+1)</f>
        <v/>
      </c>
      <c r="V379">
        <f>IF($K379="","",IF(ISNUMBER(Sync!$AK379),Sync!$AK379,LEFT(Sync!$AK379,4)&amp;MID(Sync!$AK379,6,2)&amp;RIGHT(Sync!$AK379,2))&amp;"|"&amp;"4"&amp;RIGHT("00000"&amp;374,5))</f>
        <v/>
      </c>
      <c r="W379">
        <f>IF($V379="",0,COUNTIFS($V$6:$V$2005,"&lt;"&amp;$V379)-COUNTIFS($V$6:$V$2005,"&lt;"&amp;$V379,$K$6:$K$2005,"")+1)</f>
        <v/>
      </c>
      <c r="X379">
        <f>IF(Sync!$AX379="","",IF(OR(N(Sync!$AY379)=0,N(Sync!$AZ379)=0),"",ROUND(N(Sync!$AY379)*N(Sync!$AZ379),0)))</f>
        <v/>
      </c>
      <c r="Y379">
        <f>IF($X379="","",IF(OR(Sync!$AX379="",COUNTIF(AcctCodesA,Sync!$AX379)=0),"متفرقه",Sync!$AX379))</f>
        <v/>
      </c>
      <c r="Z379">
        <f>IF($X379="","","سبد و ظروف")</f>
        <v/>
      </c>
      <c r="AA379">
        <f>IF($X379="","",$Y379)</f>
        <v/>
      </c>
    </row>
    <row r="380">
      <c r="A380">
        <f>IF(Sync!$Z380="","",LEFT(UPPER(TRIM(Sync!$Z380)),6))</f>
        <v/>
      </c>
      <c r="B380">
        <f>IF($A380="","",IF(Sync!$AA380="","",Sync!$AA380))</f>
        <v/>
      </c>
      <c r="C380">
        <f>IF($A380="","",IF(Sync!$AB380="","",Sync!$AB380))</f>
        <v/>
      </c>
      <c r="D380">
        <f>IF($A380="","",IF(Sync!$AC380="","",Sync!$AC380))</f>
        <v/>
      </c>
      <c r="E380">
        <f>IF($A380="","",IF(Sync!$AD380="","",Sync!$AD380))</f>
        <v/>
      </c>
      <c r="F380">
        <f>IF($A380="","",IF(Sync!$AE380="",0,Sync!$AE380))</f>
        <v/>
      </c>
      <c r="G380">
        <f>IF($A380="","",IF(Sync!$AF380="",0,Sync!$AF380))</f>
        <v/>
      </c>
      <c r="H380">
        <f>IF(OR($A380="",ROUND($F380+$G380,2)=0),"",$F380+$G380)</f>
        <v/>
      </c>
      <c r="I380">
        <f>IF($H380="","",IF(ROUND($F380,2)&gt;0,$A380,IF($D380="شخصی قاسم","شخصی قاسم",IF($D380="هزینه","هزینه: "&amp;IF($E380="","متفرقه",$E380),IF($C380="پاس چک","چک پرداختی",IF(OR($B380="",COUNTIF(AcctCodesA,$B380)=0),"متفرقه",$B380))))))</f>
        <v/>
      </c>
      <c r="J380">
        <f>IF($H380="","",IF(ROUND($F380,2)&gt;0,IF($D380="شخصی قاسم","شخصی قاسم",IF($D380="هزینه","هزینه: "&amp;IF($E380="","متفرقه",$E380),IF(OR($B380="",COUNTIF(AcctCodesA,$B380)=0),"متفرقه",$B380))),$A380))</f>
        <v/>
      </c>
      <c r="K380">
        <f>IF($A380="","",IF(AND($B380&lt;&gt;"",COUNTIF(AcctCodesA,$B380)=0),"کد طرف در INFO تعریف نشده",IF(AND($D380="هزینه",$E380=""),"هزینه بدون زیرگروه",IF(AND($C380="پاس چک",OR(Sync!$AJ380="",COUNTIF(IssueNosA,Sync!$AJ380)=0)),"شماره چک پاس‌شده معتبر نیست",""))))</f>
        <v/>
      </c>
      <c r="M380">
        <f>IF(Sync!$AH380="","",Sync!$AH380)</f>
        <v/>
      </c>
      <c r="N380">
        <f>IF($M380="","",IF(OR(Sync!$AI380="",COUNTIF(AcctCodesA,Sync!$AI380)=0),"متفرقه",Sync!$AI380))</f>
        <v/>
      </c>
      <c r="O380">
        <f>IF($M380="","",$N380)</f>
        <v/>
      </c>
      <c r="P380">
        <f>IF($M380="","","چک پرداختی")</f>
        <v/>
      </c>
      <c r="R380">
        <f>IF($M380="","",IF(COUNTIF(AcctCodesA,Sync!$AI380)=0,"ذی‌نفع چک تعریف‌نشده",""))</f>
        <v/>
      </c>
      <c r="S380">
        <f>IF($R380="","",Sync!$AG380&amp;"|"&amp;"5"&amp;RIGHT("00000"&amp;375,5))</f>
        <v/>
      </c>
      <c r="T380">
        <f>IF($S380="",0,COUNTIFS($S$6:$S$505,"&lt;"&amp;$S380)-COUNTIFS($S$6:$S$505,"&lt;"&amp;$S380,$R$6:$R$505,"")+1)</f>
        <v/>
      </c>
      <c r="V380">
        <f>IF($K380="","",IF(ISNUMBER(Sync!$AK380),Sync!$AK380,LEFT(Sync!$AK380,4)&amp;MID(Sync!$AK380,6,2)&amp;RIGHT(Sync!$AK380,2))&amp;"|"&amp;"4"&amp;RIGHT("00000"&amp;375,5))</f>
        <v/>
      </c>
      <c r="W380">
        <f>IF($V380="",0,COUNTIFS($V$6:$V$2005,"&lt;"&amp;$V380)-COUNTIFS($V$6:$V$2005,"&lt;"&amp;$V380,$K$6:$K$2005,"")+1)</f>
        <v/>
      </c>
      <c r="X380">
        <f>IF(Sync!$AX380="","",IF(OR(N(Sync!$AY380)=0,N(Sync!$AZ380)=0),"",ROUND(N(Sync!$AY380)*N(Sync!$AZ380),0)))</f>
        <v/>
      </c>
      <c r="Y380">
        <f>IF($X380="","",IF(OR(Sync!$AX380="",COUNTIF(AcctCodesA,Sync!$AX380)=0),"متفرقه",Sync!$AX380))</f>
        <v/>
      </c>
      <c r="Z380">
        <f>IF($X380="","","سبد و ظروف")</f>
        <v/>
      </c>
      <c r="AA380">
        <f>IF($X380="","",$Y380)</f>
        <v/>
      </c>
    </row>
    <row r="381">
      <c r="A381">
        <f>IF(Sync!$Z381="","",LEFT(UPPER(TRIM(Sync!$Z381)),6))</f>
        <v/>
      </c>
      <c r="B381">
        <f>IF($A381="","",IF(Sync!$AA381="","",Sync!$AA381))</f>
        <v/>
      </c>
      <c r="C381">
        <f>IF($A381="","",IF(Sync!$AB381="","",Sync!$AB381))</f>
        <v/>
      </c>
      <c r="D381">
        <f>IF($A381="","",IF(Sync!$AC381="","",Sync!$AC381))</f>
        <v/>
      </c>
      <c r="E381">
        <f>IF($A381="","",IF(Sync!$AD381="","",Sync!$AD381))</f>
        <v/>
      </c>
      <c r="F381">
        <f>IF($A381="","",IF(Sync!$AE381="",0,Sync!$AE381))</f>
        <v/>
      </c>
      <c r="G381">
        <f>IF($A381="","",IF(Sync!$AF381="",0,Sync!$AF381))</f>
        <v/>
      </c>
      <c r="H381">
        <f>IF(OR($A381="",ROUND($F381+$G381,2)=0),"",$F381+$G381)</f>
        <v/>
      </c>
      <c r="I381">
        <f>IF($H381="","",IF(ROUND($F381,2)&gt;0,$A381,IF($D381="شخصی قاسم","شخصی قاسم",IF($D381="هزینه","هزینه: "&amp;IF($E381="","متفرقه",$E381),IF($C381="پاس چک","چک پرداختی",IF(OR($B381="",COUNTIF(AcctCodesA,$B381)=0),"متفرقه",$B381))))))</f>
        <v/>
      </c>
      <c r="J381">
        <f>IF($H381="","",IF(ROUND($F381,2)&gt;0,IF($D381="شخصی قاسم","شخصی قاسم",IF($D381="هزینه","هزینه: "&amp;IF($E381="","متفرقه",$E381),IF(OR($B381="",COUNTIF(AcctCodesA,$B381)=0),"متفرقه",$B381))),$A381))</f>
        <v/>
      </c>
      <c r="K381">
        <f>IF($A381="","",IF(AND($B381&lt;&gt;"",COUNTIF(AcctCodesA,$B381)=0),"کد طرف در INFO تعریف نشده",IF(AND($D381="هزینه",$E381=""),"هزینه بدون زیرگروه",IF(AND($C381="پاس چک",OR(Sync!$AJ381="",COUNTIF(IssueNosA,Sync!$AJ381)=0)),"شماره چک پاس‌شده معتبر نیست",""))))</f>
        <v/>
      </c>
      <c r="M381">
        <f>IF(Sync!$AH381="","",Sync!$AH381)</f>
        <v/>
      </c>
      <c r="N381">
        <f>IF($M381="","",IF(OR(Sync!$AI381="",COUNTIF(AcctCodesA,Sync!$AI381)=0),"متفرقه",Sync!$AI381))</f>
        <v/>
      </c>
      <c r="O381">
        <f>IF($M381="","",$N381)</f>
        <v/>
      </c>
      <c r="P381">
        <f>IF($M381="","","چک پرداختی")</f>
        <v/>
      </c>
      <c r="R381">
        <f>IF($M381="","",IF(COUNTIF(AcctCodesA,Sync!$AI381)=0,"ذی‌نفع چک تعریف‌نشده",""))</f>
        <v/>
      </c>
      <c r="S381">
        <f>IF($R381="","",Sync!$AG381&amp;"|"&amp;"5"&amp;RIGHT("00000"&amp;376,5))</f>
        <v/>
      </c>
      <c r="T381">
        <f>IF($S381="",0,COUNTIFS($S$6:$S$505,"&lt;"&amp;$S381)-COUNTIFS($S$6:$S$505,"&lt;"&amp;$S381,$R$6:$R$505,"")+1)</f>
        <v/>
      </c>
      <c r="V381">
        <f>IF($K381="","",IF(ISNUMBER(Sync!$AK381),Sync!$AK381,LEFT(Sync!$AK381,4)&amp;MID(Sync!$AK381,6,2)&amp;RIGHT(Sync!$AK381,2))&amp;"|"&amp;"4"&amp;RIGHT("00000"&amp;376,5))</f>
        <v/>
      </c>
      <c r="W381">
        <f>IF($V381="",0,COUNTIFS($V$6:$V$2005,"&lt;"&amp;$V381)-COUNTIFS($V$6:$V$2005,"&lt;"&amp;$V381,$K$6:$K$2005,"")+1)</f>
        <v/>
      </c>
      <c r="X381">
        <f>IF(Sync!$AX381="","",IF(OR(N(Sync!$AY381)=0,N(Sync!$AZ381)=0),"",ROUND(N(Sync!$AY381)*N(Sync!$AZ381),0)))</f>
        <v/>
      </c>
      <c r="Y381">
        <f>IF($X381="","",IF(OR(Sync!$AX381="",COUNTIF(AcctCodesA,Sync!$AX381)=0),"متفرقه",Sync!$AX381))</f>
        <v/>
      </c>
      <c r="Z381">
        <f>IF($X381="","","سبد و ظروف")</f>
        <v/>
      </c>
      <c r="AA381">
        <f>IF($X381="","",$Y381)</f>
        <v/>
      </c>
    </row>
    <row r="382">
      <c r="A382">
        <f>IF(Sync!$Z382="","",LEFT(UPPER(TRIM(Sync!$Z382)),6))</f>
        <v/>
      </c>
      <c r="B382">
        <f>IF($A382="","",IF(Sync!$AA382="","",Sync!$AA382))</f>
        <v/>
      </c>
      <c r="C382">
        <f>IF($A382="","",IF(Sync!$AB382="","",Sync!$AB382))</f>
        <v/>
      </c>
      <c r="D382">
        <f>IF($A382="","",IF(Sync!$AC382="","",Sync!$AC382))</f>
        <v/>
      </c>
      <c r="E382">
        <f>IF($A382="","",IF(Sync!$AD382="","",Sync!$AD382))</f>
        <v/>
      </c>
      <c r="F382">
        <f>IF($A382="","",IF(Sync!$AE382="",0,Sync!$AE382))</f>
        <v/>
      </c>
      <c r="G382">
        <f>IF($A382="","",IF(Sync!$AF382="",0,Sync!$AF382))</f>
        <v/>
      </c>
      <c r="H382">
        <f>IF(OR($A382="",ROUND($F382+$G382,2)=0),"",$F382+$G382)</f>
        <v/>
      </c>
      <c r="I382">
        <f>IF($H382="","",IF(ROUND($F382,2)&gt;0,$A382,IF($D382="شخصی قاسم","شخصی قاسم",IF($D382="هزینه","هزینه: "&amp;IF($E382="","متفرقه",$E382),IF($C382="پاس چک","چک پرداختی",IF(OR($B382="",COUNTIF(AcctCodesA,$B382)=0),"متفرقه",$B382))))))</f>
        <v/>
      </c>
      <c r="J382">
        <f>IF($H382="","",IF(ROUND($F382,2)&gt;0,IF($D382="شخصی قاسم","شخصی قاسم",IF($D382="هزینه","هزینه: "&amp;IF($E382="","متفرقه",$E382),IF(OR($B382="",COUNTIF(AcctCodesA,$B382)=0),"متفرقه",$B382))),$A382))</f>
        <v/>
      </c>
      <c r="K382">
        <f>IF($A382="","",IF(AND($B382&lt;&gt;"",COUNTIF(AcctCodesA,$B382)=0),"کد طرف در INFO تعریف نشده",IF(AND($D382="هزینه",$E382=""),"هزینه بدون زیرگروه",IF(AND($C382="پاس چک",OR(Sync!$AJ382="",COUNTIF(IssueNosA,Sync!$AJ382)=0)),"شماره چک پاس‌شده معتبر نیست",""))))</f>
        <v/>
      </c>
      <c r="M382">
        <f>IF(Sync!$AH382="","",Sync!$AH382)</f>
        <v/>
      </c>
      <c r="N382">
        <f>IF($M382="","",IF(OR(Sync!$AI382="",COUNTIF(AcctCodesA,Sync!$AI382)=0),"متفرقه",Sync!$AI382))</f>
        <v/>
      </c>
      <c r="O382">
        <f>IF($M382="","",$N382)</f>
        <v/>
      </c>
      <c r="P382">
        <f>IF($M382="","","چک پرداختی")</f>
        <v/>
      </c>
      <c r="R382">
        <f>IF($M382="","",IF(COUNTIF(AcctCodesA,Sync!$AI382)=0,"ذی‌نفع چک تعریف‌نشده",""))</f>
        <v/>
      </c>
      <c r="S382">
        <f>IF($R382="","",Sync!$AG382&amp;"|"&amp;"5"&amp;RIGHT("00000"&amp;377,5))</f>
        <v/>
      </c>
      <c r="T382">
        <f>IF($S382="",0,COUNTIFS($S$6:$S$505,"&lt;"&amp;$S382)-COUNTIFS($S$6:$S$505,"&lt;"&amp;$S382,$R$6:$R$505,"")+1)</f>
        <v/>
      </c>
      <c r="V382">
        <f>IF($K382="","",IF(ISNUMBER(Sync!$AK382),Sync!$AK382,LEFT(Sync!$AK382,4)&amp;MID(Sync!$AK382,6,2)&amp;RIGHT(Sync!$AK382,2))&amp;"|"&amp;"4"&amp;RIGHT("00000"&amp;377,5))</f>
        <v/>
      </c>
      <c r="W382">
        <f>IF($V382="",0,COUNTIFS($V$6:$V$2005,"&lt;"&amp;$V382)-COUNTIFS($V$6:$V$2005,"&lt;"&amp;$V382,$K$6:$K$2005,"")+1)</f>
        <v/>
      </c>
      <c r="X382">
        <f>IF(Sync!$AX382="","",IF(OR(N(Sync!$AY382)=0,N(Sync!$AZ382)=0),"",ROUND(N(Sync!$AY382)*N(Sync!$AZ382),0)))</f>
        <v/>
      </c>
      <c r="Y382">
        <f>IF($X382="","",IF(OR(Sync!$AX382="",COUNTIF(AcctCodesA,Sync!$AX382)=0),"متفرقه",Sync!$AX382))</f>
        <v/>
      </c>
      <c r="Z382">
        <f>IF($X382="","","سبد و ظروف")</f>
        <v/>
      </c>
      <c r="AA382">
        <f>IF($X382="","",$Y382)</f>
        <v/>
      </c>
    </row>
    <row r="383">
      <c r="A383">
        <f>IF(Sync!$Z383="","",LEFT(UPPER(TRIM(Sync!$Z383)),6))</f>
        <v/>
      </c>
      <c r="B383">
        <f>IF($A383="","",IF(Sync!$AA383="","",Sync!$AA383))</f>
        <v/>
      </c>
      <c r="C383">
        <f>IF($A383="","",IF(Sync!$AB383="","",Sync!$AB383))</f>
        <v/>
      </c>
      <c r="D383">
        <f>IF($A383="","",IF(Sync!$AC383="","",Sync!$AC383))</f>
        <v/>
      </c>
      <c r="E383">
        <f>IF($A383="","",IF(Sync!$AD383="","",Sync!$AD383))</f>
        <v/>
      </c>
      <c r="F383">
        <f>IF($A383="","",IF(Sync!$AE383="",0,Sync!$AE383))</f>
        <v/>
      </c>
      <c r="G383">
        <f>IF($A383="","",IF(Sync!$AF383="",0,Sync!$AF383))</f>
        <v/>
      </c>
      <c r="H383">
        <f>IF(OR($A383="",ROUND($F383+$G383,2)=0),"",$F383+$G383)</f>
        <v/>
      </c>
      <c r="I383">
        <f>IF($H383="","",IF(ROUND($F383,2)&gt;0,$A383,IF($D383="شخصی قاسم","شخصی قاسم",IF($D383="هزینه","هزینه: "&amp;IF($E383="","متفرقه",$E383),IF($C383="پاس چک","چک پرداختی",IF(OR($B383="",COUNTIF(AcctCodesA,$B383)=0),"متفرقه",$B383))))))</f>
        <v/>
      </c>
      <c r="J383">
        <f>IF($H383="","",IF(ROUND($F383,2)&gt;0,IF($D383="شخصی قاسم","شخصی قاسم",IF($D383="هزینه","هزینه: "&amp;IF($E383="","متفرقه",$E383),IF(OR($B383="",COUNTIF(AcctCodesA,$B383)=0),"متفرقه",$B383))),$A383))</f>
        <v/>
      </c>
      <c r="K383">
        <f>IF($A383="","",IF(AND($B383&lt;&gt;"",COUNTIF(AcctCodesA,$B383)=0),"کد طرف در INFO تعریف نشده",IF(AND($D383="هزینه",$E383=""),"هزینه بدون زیرگروه",IF(AND($C383="پاس چک",OR(Sync!$AJ383="",COUNTIF(IssueNosA,Sync!$AJ383)=0)),"شماره چک پاس‌شده معتبر نیست",""))))</f>
        <v/>
      </c>
      <c r="M383">
        <f>IF(Sync!$AH383="","",Sync!$AH383)</f>
        <v/>
      </c>
      <c r="N383">
        <f>IF($M383="","",IF(OR(Sync!$AI383="",COUNTIF(AcctCodesA,Sync!$AI383)=0),"متفرقه",Sync!$AI383))</f>
        <v/>
      </c>
      <c r="O383">
        <f>IF($M383="","",$N383)</f>
        <v/>
      </c>
      <c r="P383">
        <f>IF($M383="","","چک پرداختی")</f>
        <v/>
      </c>
      <c r="R383">
        <f>IF($M383="","",IF(COUNTIF(AcctCodesA,Sync!$AI383)=0,"ذی‌نفع چک تعریف‌نشده",""))</f>
        <v/>
      </c>
      <c r="S383">
        <f>IF($R383="","",Sync!$AG383&amp;"|"&amp;"5"&amp;RIGHT("00000"&amp;378,5))</f>
        <v/>
      </c>
      <c r="T383">
        <f>IF($S383="",0,COUNTIFS($S$6:$S$505,"&lt;"&amp;$S383)-COUNTIFS($S$6:$S$505,"&lt;"&amp;$S383,$R$6:$R$505,"")+1)</f>
        <v/>
      </c>
      <c r="V383">
        <f>IF($K383="","",IF(ISNUMBER(Sync!$AK383),Sync!$AK383,LEFT(Sync!$AK383,4)&amp;MID(Sync!$AK383,6,2)&amp;RIGHT(Sync!$AK383,2))&amp;"|"&amp;"4"&amp;RIGHT("00000"&amp;378,5))</f>
        <v/>
      </c>
      <c r="W383">
        <f>IF($V383="",0,COUNTIFS($V$6:$V$2005,"&lt;"&amp;$V383)-COUNTIFS($V$6:$V$2005,"&lt;"&amp;$V383,$K$6:$K$2005,"")+1)</f>
        <v/>
      </c>
      <c r="X383">
        <f>IF(Sync!$AX383="","",IF(OR(N(Sync!$AY383)=0,N(Sync!$AZ383)=0),"",ROUND(N(Sync!$AY383)*N(Sync!$AZ383),0)))</f>
        <v/>
      </c>
      <c r="Y383">
        <f>IF($X383="","",IF(OR(Sync!$AX383="",COUNTIF(AcctCodesA,Sync!$AX383)=0),"متفرقه",Sync!$AX383))</f>
        <v/>
      </c>
      <c r="Z383">
        <f>IF($X383="","","سبد و ظروف")</f>
        <v/>
      </c>
      <c r="AA383">
        <f>IF($X383="","",$Y383)</f>
        <v/>
      </c>
    </row>
    <row r="384">
      <c r="A384">
        <f>IF(Sync!$Z384="","",LEFT(UPPER(TRIM(Sync!$Z384)),6))</f>
        <v/>
      </c>
      <c r="B384">
        <f>IF($A384="","",IF(Sync!$AA384="","",Sync!$AA384))</f>
        <v/>
      </c>
      <c r="C384">
        <f>IF($A384="","",IF(Sync!$AB384="","",Sync!$AB384))</f>
        <v/>
      </c>
      <c r="D384">
        <f>IF($A384="","",IF(Sync!$AC384="","",Sync!$AC384))</f>
        <v/>
      </c>
      <c r="E384">
        <f>IF($A384="","",IF(Sync!$AD384="","",Sync!$AD384))</f>
        <v/>
      </c>
      <c r="F384">
        <f>IF($A384="","",IF(Sync!$AE384="",0,Sync!$AE384))</f>
        <v/>
      </c>
      <c r="G384">
        <f>IF($A384="","",IF(Sync!$AF384="",0,Sync!$AF384))</f>
        <v/>
      </c>
      <c r="H384">
        <f>IF(OR($A384="",ROUND($F384+$G384,2)=0),"",$F384+$G384)</f>
        <v/>
      </c>
      <c r="I384">
        <f>IF($H384="","",IF(ROUND($F384,2)&gt;0,$A384,IF($D384="شخصی قاسم","شخصی قاسم",IF($D384="هزینه","هزینه: "&amp;IF($E384="","متفرقه",$E384),IF($C384="پاس چک","چک پرداختی",IF(OR($B384="",COUNTIF(AcctCodesA,$B384)=0),"متفرقه",$B384))))))</f>
        <v/>
      </c>
      <c r="J384">
        <f>IF($H384="","",IF(ROUND($F384,2)&gt;0,IF($D384="شخصی قاسم","شخصی قاسم",IF($D384="هزینه","هزینه: "&amp;IF($E384="","متفرقه",$E384),IF(OR($B384="",COUNTIF(AcctCodesA,$B384)=0),"متفرقه",$B384))),$A384))</f>
        <v/>
      </c>
      <c r="K384">
        <f>IF($A384="","",IF(AND($B384&lt;&gt;"",COUNTIF(AcctCodesA,$B384)=0),"کد طرف در INFO تعریف نشده",IF(AND($D384="هزینه",$E384=""),"هزینه بدون زیرگروه",IF(AND($C384="پاس چک",OR(Sync!$AJ384="",COUNTIF(IssueNosA,Sync!$AJ384)=0)),"شماره چک پاس‌شده معتبر نیست",""))))</f>
        <v/>
      </c>
      <c r="M384">
        <f>IF(Sync!$AH384="","",Sync!$AH384)</f>
        <v/>
      </c>
      <c r="N384">
        <f>IF($M384="","",IF(OR(Sync!$AI384="",COUNTIF(AcctCodesA,Sync!$AI384)=0),"متفرقه",Sync!$AI384))</f>
        <v/>
      </c>
      <c r="O384">
        <f>IF($M384="","",$N384)</f>
        <v/>
      </c>
      <c r="P384">
        <f>IF($M384="","","چک پرداختی")</f>
        <v/>
      </c>
      <c r="R384">
        <f>IF($M384="","",IF(COUNTIF(AcctCodesA,Sync!$AI384)=0,"ذی‌نفع چک تعریف‌نشده",""))</f>
        <v/>
      </c>
      <c r="S384">
        <f>IF($R384="","",Sync!$AG384&amp;"|"&amp;"5"&amp;RIGHT("00000"&amp;379,5))</f>
        <v/>
      </c>
      <c r="T384">
        <f>IF($S384="",0,COUNTIFS($S$6:$S$505,"&lt;"&amp;$S384)-COUNTIFS($S$6:$S$505,"&lt;"&amp;$S384,$R$6:$R$505,"")+1)</f>
        <v/>
      </c>
      <c r="V384">
        <f>IF($K384="","",IF(ISNUMBER(Sync!$AK384),Sync!$AK384,LEFT(Sync!$AK384,4)&amp;MID(Sync!$AK384,6,2)&amp;RIGHT(Sync!$AK384,2))&amp;"|"&amp;"4"&amp;RIGHT("00000"&amp;379,5))</f>
        <v/>
      </c>
      <c r="W384">
        <f>IF($V384="",0,COUNTIFS($V$6:$V$2005,"&lt;"&amp;$V384)-COUNTIFS($V$6:$V$2005,"&lt;"&amp;$V384,$K$6:$K$2005,"")+1)</f>
        <v/>
      </c>
      <c r="X384">
        <f>IF(Sync!$AX384="","",IF(OR(N(Sync!$AY384)=0,N(Sync!$AZ384)=0),"",ROUND(N(Sync!$AY384)*N(Sync!$AZ384),0)))</f>
        <v/>
      </c>
      <c r="Y384">
        <f>IF($X384="","",IF(OR(Sync!$AX384="",COUNTIF(AcctCodesA,Sync!$AX384)=0),"متفرقه",Sync!$AX384))</f>
        <v/>
      </c>
      <c r="Z384">
        <f>IF($X384="","","سبد و ظروف")</f>
        <v/>
      </c>
      <c r="AA384">
        <f>IF($X384="","",$Y384)</f>
        <v/>
      </c>
    </row>
    <row r="385">
      <c r="A385">
        <f>IF(Sync!$Z385="","",LEFT(UPPER(TRIM(Sync!$Z385)),6))</f>
        <v/>
      </c>
      <c r="B385">
        <f>IF($A385="","",IF(Sync!$AA385="","",Sync!$AA385))</f>
        <v/>
      </c>
      <c r="C385">
        <f>IF($A385="","",IF(Sync!$AB385="","",Sync!$AB385))</f>
        <v/>
      </c>
      <c r="D385">
        <f>IF($A385="","",IF(Sync!$AC385="","",Sync!$AC385))</f>
        <v/>
      </c>
      <c r="E385">
        <f>IF($A385="","",IF(Sync!$AD385="","",Sync!$AD385))</f>
        <v/>
      </c>
      <c r="F385">
        <f>IF($A385="","",IF(Sync!$AE385="",0,Sync!$AE385))</f>
        <v/>
      </c>
      <c r="G385">
        <f>IF($A385="","",IF(Sync!$AF385="",0,Sync!$AF385))</f>
        <v/>
      </c>
      <c r="H385">
        <f>IF(OR($A385="",ROUND($F385+$G385,2)=0),"",$F385+$G385)</f>
        <v/>
      </c>
      <c r="I385">
        <f>IF($H385="","",IF(ROUND($F385,2)&gt;0,$A385,IF($D385="شخصی قاسم","شخصی قاسم",IF($D385="هزینه","هزینه: "&amp;IF($E385="","متفرقه",$E385),IF($C385="پاس چک","چک پرداختی",IF(OR($B385="",COUNTIF(AcctCodesA,$B385)=0),"متفرقه",$B385))))))</f>
        <v/>
      </c>
      <c r="J385">
        <f>IF($H385="","",IF(ROUND($F385,2)&gt;0,IF($D385="شخصی قاسم","شخصی قاسم",IF($D385="هزینه","هزینه: "&amp;IF($E385="","متفرقه",$E385),IF(OR($B385="",COUNTIF(AcctCodesA,$B385)=0),"متفرقه",$B385))),$A385))</f>
        <v/>
      </c>
      <c r="K385">
        <f>IF($A385="","",IF(AND($B385&lt;&gt;"",COUNTIF(AcctCodesA,$B385)=0),"کد طرف در INFO تعریف نشده",IF(AND($D385="هزینه",$E385=""),"هزینه بدون زیرگروه",IF(AND($C385="پاس چک",OR(Sync!$AJ385="",COUNTIF(IssueNosA,Sync!$AJ385)=0)),"شماره چک پاس‌شده معتبر نیست",""))))</f>
        <v/>
      </c>
      <c r="M385">
        <f>IF(Sync!$AH385="","",Sync!$AH385)</f>
        <v/>
      </c>
      <c r="N385">
        <f>IF($M385="","",IF(OR(Sync!$AI385="",COUNTIF(AcctCodesA,Sync!$AI385)=0),"متفرقه",Sync!$AI385))</f>
        <v/>
      </c>
      <c r="O385">
        <f>IF($M385="","",$N385)</f>
        <v/>
      </c>
      <c r="P385">
        <f>IF($M385="","","چک پرداختی")</f>
        <v/>
      </c>
      <c r="R385">
        <f>IF($M385="","",IF(COUNTIF(AcctCodesA,Sync!$AI385)=0,"ذی‌نفع چک تعریف‌نشده",""))</f>
        <v/>
      </c>
      <c r="S385">
        <f>IF($R385="","",Sync!$AG385&amp;"|"&amp;"5"&amp;RIGHT("00000"&amp;380,5))</f>
        <v/>
      </c>
      <c r="T385">
        <f>IF($S385="",0,COUNTIFS($S$6:$S$505,"&lt;"&amp;$S385)-COUNTIFS($S$6:$S$505,"&lt;"&amp;$S385,$R$6:$R$505,"")+1)</f>
        <v/>
      </c>
      <c r="V385">
        <f>IF($K385="","",IF(ISNUMBER(Sync!$AK385),Sync!$AK385,LEFT(Sync!$AK385,4)&amp;MID(Sync!$AK385,6,2)&amp;RIGHT(Sync!$AK385,2))&amp;"|"&amp;"4"&amp;RIGHT("00000"&amp;380,5))</f>
        <v/>
      </c>
      <c r="W385">
        <f>IF($V385="",0,COUNTIFS($V$6:$V$2005,"&lt;"&amp;$V385)-COUNTIFS($V$6:$V$2005,"&lt;"&amp;$V385,$K$6:$K$2005,"")+1)</f>
        <v/>
      </c>
      <c r="X385">
        <f>IF(Sync!$AX385="","",IF(OR(N(Sync!$AY385)=0,N(Sync!$AZ385)=0),"",ROUND(N(Sync!$AY385)*N(Sync!$AZ385),0)))</f>
        <v/>
      </c>
      <c r="Y385">
        <f>IF($X385="","",IF(OR(Sync!$AX385="",COUNTIF(AcctCodesA,Sync!$AX385)=0),"متفرقه",Sync!$AX385))</f>
        <v/>
      </c>
      <c r="Z385">
        <f>IF($X385="","","سبد و ظروف")</f>
        <v/>
      </c>
      <c r="AA385">
        <f>IF($X385="","",$Y385)</f>
        <v/>
      </c>
    </row>
    <row r="386">
      <c r="A386">
        <f>IF(Sync!$Z386="","",LEFT(UPPER(TRIM(Sync!$Z386)),6))</f>
        <v/>
      </c>
      <c r="B386">
        <f>IF($A386="","",IF(Sync!$AA386="","",Sync!$AA386))</f>
        <v/>
      </c>
      <c r="C386">
        <f>IF($A386="","",IF(Sync!$AB386="","",Sync!$AB386))</f>
        <v/>
      </c>
      <c r="D386">
        <f>IF($A386="","",IF(Sync!$AC386="","",Sync!$AC386))</f>
        <v/>
      </c>
      <c r="E386">
        <f>IF($A386="","",IF(Sync!$AD386="","",Sync!$AD386))</f>
        <v/>
      </c>
      <c r="F386">
        <f>IF($A386="","",IF(Sync!$AE386="",0,Sync!$AE386))</f>
        <v/>
      </c>
      <c r="G386">
        <f>IF($A386="","",IF(Sync!$AF386="",0,Sync!$AF386))</f>
        <v/>
      </c>
      <c r="H386">
        <f>IF(OR($A386="",ROUND($F386+$G386,2)=0),"",$F386+$G386)</f>
        <v/>
      </c>
      <c r="I386">
        <f>IF($H386="","",IF(ROUND($F386,2)&gt;0,$A386,IF($D386="شخصی قاسم","شخصی قاسم",IF($D386="هزینه","هزینه: "&amp;IF($E386="","متفرقه",$E386),IF($C386="پاس چک","چک پرداختی",IF(OR($B386="",COUNTIF(AcctCodesA,$B386)=0),"متفرقه",$B386))))))</f>
        <v/>
      </c>
      <c r="J386">
        <f>IF($H386="","",IF(ROUND($F386,2)&gt;0,IF($D386="شخصی قاسم","شخصی قاسم",IF($D386="هزینه","هزینه: "&amp;IF($E386="","متفرقه",$E386),IF(OR($B386="",COUNTIF(AcctCodesA,$B386)=0),"متفرقه",$B386))),$A386))</f>
        <v/>
      </c>
      <c r="K386">
        <f>IF($A386="","",IF(AND($B386&lt;&gt;"",COUNTIF(AcctCodesA,$B386)=0),"کد طرف در INFO تعریف نشده",IF(AND($D386="هزینه",$E386=""),"هزینه بدون زیرگروه",IF(AND($C386="پاس چک",OR(Sync!$AJ386="",COUNTIF(IssueNosA,Sync!$AJ386)=0)),"شماره چک پاس‌شده معتبر نیست",""))))</f>
        <v/>
      </c>
      <c r="M386">
        <f>IF(Sync!$AH386="","",Sync!$AH386)</f>
        <v/>
      </c>
      <c r="N386">
        <f>IF($M386="","",IF(OR(Sync!$AI386="",COUNTIF(AcctCodesA,Sync!$AI386)=0),"متفرقه",Sync!$AI386))</f>
        <v/>
      </c>
      <c r="O386">
        <f>IF($M386="","",$N386)</f>
        <v/>
      </c>
      <c r="P386">
        <f>IF($M386="","","چک پرداختی")</f>
        <v/>
      </c>
      <c r="R386">
        <f>IF($M386="","",IF(COUNTIF(AcctCodesA,Sync!$AI386)=0,"ذی‌نفع چک تعریف‌نشده",""))</f>
        <v/>
      </c>
      <c r="S386">
        <f>IF($R386="","",Sync!$AG386&amp;"|"&amp;"5"&amp;RIGHT("00000"&amp;381,5))</f>
        <v/>
      </c>
      <c r="T386">
        <f>IF($S386="",0,COUNTIFS($S$6:$S$505,"&lt;"&amp;$S386)-COUNTIFS($S$6:$S$505,"&lt;"&amp;$S386,$R$6:$R$505,"")+1)</f>
        <v/>
      </c>
      <c r="V386">
        <f>IF($K386="","",IF(ISNUMBER(Sync!$AK386),Sync!$AK386,LEFT(Sync!$AK386,4)&amp;MID(Sync!$AK386,6,2)&amp;RIGHT(Sync!$AK386,2))&amp;"|"&amp;"4"&amp;RIGHT("00000"&amp;381,5))</f>
        <v/>
      </c>
      <c r="W386">
        <f>IF($V386="",0,COUNTIFS($V$6:$V$2005,"&lt;"&amp;$V386)-COUNTIFS($V$6:$V$2005,"&lt;"&amp;$V386,$K$6:$K$2005,"")+1)</f>
        <v/>
      </c>
      <c r="X386">
        <f>IF(Sync!$AX386="","",IF(OR(N(Sync!$AY386)=0,N(Sync!$AZ386)=0),"",ROUND(N(Sync!$AY386)*N(Sync!$AZ386),0)))</f>
        <v/>
      </c>
      <c r="Y386">
        <f>IF($X386="","",IF(OR(Sync!$AX386="",COUNTIF(AcctCodesA,Sync!$AX386)=0),"متفرقه",Sync!$AX386))</f>
        <v/>
      </c>
      <c r="Z386">
        <f>IF($X386="","","سبد و ظروف")</f>
        <v/>
      </c>
      <c r="AA386">
        <f>IF($X386="","",$Y386)</f>
        <v/>
      </c>
    </row>
    <row r="387">
      <c r="A387">
        <f>IF(Sync!$Z387="","",LEFT(UPPER(TRIM(Sync!$Z387)),6))</f>
        <v/>
      </c>
      <c r="B387">
        <f>IF($A387="","",IF(Sync!$AA387="","",Sync!$AA387))</f>
        <v/>
      </c>
      <c r="C387">
        <f>IF($A387="","",IF(Sync!$AB387="","",Sync!$AB387))</f>
        <v/>
      </c>
      <c r="D387">
        <f>IF($A387="","",IF(Sync!$AC387="","",Sync!$AC387))</f>
        <v/>
      </c>
      <c r="E387">
        <f>IF($A387="","",IF(Sync!$AD387="","",Sync!$AD387))</f>
        <v/>
      </c>
      <c r="F387">
        <f>IF($A387="","",IF(Sync!$AE387="",0,Sync!$AE387))</f>
        <v/>
      </c>
      <c r="G387">
        <f>IF($A387="","",IF(Sync!$AF387="",0,Sync!$AF387))</f>
        <v/>
      </c>
      <c r="H387">
        <f>IF(OR($A387="",ROUND($F387+$G387,2)=0),"",$F387+$G387)</f>
        <v/>
      </c>
      <c r="I387">
        <f>IF($H387="","",IF(ROUND($F387,2)&gt;0,$A387,IF($D387="شخصی قاسم","شخصی قاسم",IF($D387="هزینه","هزینه: "&amp;IF($E387="","متفرقه",$E387),IF($C387="پاس چک","چک پرداختی",IF(OR($B387="",COUNTIF(AcctCodesA,$B387)=0),"متفرقه",$B387))))))</f>
        <v/>
      </c>
      <c r="J387">
        <f>IF($H387="","",IF(ROUND($F387,2)&gt;0,IF($D387="شخصی قاسم","شخصی قاسم",IF($D387="هزینه","هزینه: "&amp;IF($E387="","متفرقه",$E387),IF(OR($B387="",COUNTIF(AcctCodesA,$B387)=0),"متفرقه",$B387))),$A387))</f>
        <v/>
      </c>
      <c r="K387">
        <f>IF($A387="","",IF(AND($B387&lt;&gt;"",COUNTIF(AcctCodesA,$B387)=0),"کد طرف در INFO تعریف نشده",IF(AND($D387="هزینه",$E387=""),"هزینه بدون زیرگروه",IF(AND($C387="پاس چک",OR(Sync!$AJ387="",COUNTIF(IssueNosA,Sync!$AJ387)=0)),"شماره چک پاس‌شده معتبر نیست",""))))</f>
        <v/>
      </c>
      <c r="M387">
        <f>IF(Sync!$AH387="","",Sync!$AH387)</f>
        <v/>
      </c>
      <c r="N387">
        <f>IF($M387="","",IF(OR(Sync!$AI387="",COUNTIF(AcctCodesA,Sync!$AI387)=0),"متفرقه",Sync!$AI387))</f>
        <v/>
      </c>
      <c r="O387">
        <f>IF($M387="","",$N387)</f>
        <v/>
      </c>
      <c r="P387">
        <f>IF($M387="","","چک پرداختی")</f>
        <v/>
      </c>
      <c r="R387">
        <f>IF($M387="","",IF(COUNTIF(AcctCodesA,Sync!$AI387)=0,"ذی‌نفع چک تعریف‌نشده",""))</f>
        <v/>
      </c>
      <c r="S387">
        <f>IF($R387="","",Sync!$AG387&amp;"|"&amp;"5"&amp;RIGHT("00000"&amp;382,5))</f>
        <v/>
      </c>
      <c r="T387">
        <f>IF($S387="",0,COUNTIFS($S$6:$S$505,"&lt;"&amp;$S387)-COUNTIFS($S$6:$S$505,"&lt;"&amp;$S387,$R$6:$R$505,"")+1)</f>
        <v/>
      </c>
      <c r="V387">
        <f>IF($K387="","",IF(ISNUMBER(Sync!$AK387),Sync!$AK387,LEFT(Sync!$AK387,4)&amp;MID(Sync!$AK387,6,2)&amp;RIGHT(Sync!$AK387,2))&amp;"|"&amp;"4"&amp;RIGHT("00000"&amp;382,5))</f>
        <v/>
      </c>
      <c r="W387">
        <f>IF($V387="",0,COUNTIFS($V$6:$V$2005,"&lt;"&amp;$V387)-COUNTIFS($V$6:$V$2005,"&lt;"&amp;$V387,$K$6:$K$2005,"")+1)</f>
        <v/>
      </c>
      <c r="X387">
        <f>IF(Sync!$AX387="","",IF(OR(N(Sync!$AY387)=0,N(Sync!$AZ387)=0),"",ROUND(N(Sync!$AY387)*N(Sync!$AZ387),0)))</f>
        <v/>
      </c>
      <c r="Y387">
        <f>IF($X387="","",IF(OR(Sync!$AX387="",COUNTIF(AcctCodesA,Sync!$AX387)=0),"متفرقه",Sync!$AX387))</f>
        <v/>
      </c>
      <c r="Z387">
        <f>IF($X387="","","سبد و ظروف")</f>
        <v/>
      </c>
      <c r="AA387">
        <f>IF($X387="","",$Y387)</f>
        <v/>
      </c>
    </row>
    <row r="388">
      <c r="A388">
        <f>IF(Sync!$Z388="","",LEFT(UPPER(TRIM(Sync!$Z388)),6))</f>
        <v/>
      </c>
      <c r="B388">
        <f>IF($A388="","",IF(Sync!$AA388="","",Sync!$AA388))</f>
        <v/>
      </c>
      <c r="C388">
        <f>IF($A388="","",IF(Sync!$AB388="","",Sync!$AB388))</f>
        <v/>
      </c>
      <c r="D388">
        <f>IF($A388="","",IF(Sync!$AC388="","",Sync!$AC388))</f>
        <v/>
      </c>
      <c r="E388">
        <f>IF($A388="","",IF(Sync!$AD388="","",Sync!$AD388))</f>
        <v/>
      </c>
      <c r="F388">
        <f>IF($A388="","",IF(Sync!$AE388="",0,Sync!$AE388))</f>
        <v/>
      </c>
      <c r="G388">
        <f>IF($A388="","",IF(Sync!$AF388="",0,Sync!$AF388))</f>
        <v/>
      </c>
      <c r="H388">
        <f>IF(OR($A388="",ROUND($F388+$G388,2)=0),"",$F388+$G388)</f>
        <v/>
      </c>
      <c r="I388">
        <f>IF($H388="","",IF(ROUND($F388,2)&gt;0,$A388,IF($D388="شخصی قاسم","شخصی قاسم",IF($D388="هزینه","هزینه: "&amp;IF($E388="","متفرقه",$E388),IF($C388="پاس چک","چک پرداختی",IF(OR($B388="",COUNTIF(AcctCodesA,$B388)=0),"متفرقه",$B388))))))</f>
        <v/>
      </c>
      <c r="J388">
        <f>IF($H388="","",IF(ROUND($F388,2)&gt;0,IF($D388="شخصی قاسم","شخصی قاسم",IF($D388="هزینه","هزینه: "&amp;IF($E388="","متفرقه",$E388),IF(OR($B388="",COUNTIF(AcctCodesA,$B388)=0),"متفرقه",$B388))),$A388))</f>
        <v/>
      </c>
      <c r="K388">
        <f>IF($A388="","",IF(AND($B388&lt;&gt;"",COUNTIF(AcctCodesA,$B388)=0),"کد طرف در INFO تعریف نشده",IF(AND($D388="هزینه",$E388=""),"هزینه بدون زیرگروه",IF(AND($C388="پاس چک",OR(Sync!$AJ388="",COUNTIF(IssueNosA,Sync!$AJ388)=0)),"شماره چک پاس‌شده معتبر نیست",""))))</f>
        <v/>
      </c>
      <c r="M388">
        <f>IF(Sync!$AH388="","",Sync!$AH388)</f>
        <v/>
      </c>
      <c r="N388">
        <f>IF($M388="","",IF(OR(Sync!$AI388="",COUNTIF(AcctCodesA,Sync!$AI388)=0),"متفرقه",Sync!$AI388))</f>
        <v/>
      </c>
      <c r="O388">
        <f>IF($M388="","",$N388)</f>
        <v/>
      </c>
      <c r="P388">
        <f>IF($M388="","","چک پرداختی")</f>
        <v/>
      </c>
      <c r="R388">
        <f>IF($M388="","",IF(COUNTIF(AcctCodesA,Sync!$AI388)=0,"ذی‌نفع چک تعریف‌نشده",""))</f>
        <v/>
      </c>
      <c r="S388">
        <f>IF($R388="","",Sync!$AG388&amp;"|"&amp;"5"&amp;RIGHT("00000"&amp;383,5))</f>
        <v/>
      </c>
      <c r="T388">
        <f>IF($S388="",0,COUNTIFS($S$6:$S$505,"&lt;"&amp;$S388)-COUNTIFS($S$6:$S$505,"&lt;"&amp;$S388,$R$6:$R$505,"")+1)</f>
        <v/>
      </c>
      <c r="V388">
        <f>IF($K388="","",IF(ISNUMBER(Sync!$AK388),Sync!$AK388,LEFT(Sync!$AK388,4)&amp;MID(Sync!$AK388,6,2)&amp;RIGHT(Sync!$AK388,2))&amp;"|"&amp;"4"&amp;RIGHT("00000"&amp;383,5))</f>
        <v/>
      </c>
      <c r="W388">
        <f>IF($V388="",0,COUNTIFS($V$6:$V$2005,"&lt;"&amp;$V388)-COUNTIFS($V$6:$V$2005,"&lt;"&amp;$V388,$K$6:$K$2005,"")+1)</f>
        <v/>
      </c>
      <c r="X388">
        <f>IF(Sync!$AX388="","",IF(OR(N(Sync!$AY388)=0,N(Sync!$AZ388)=0),"",ROUND(N(Sync!$AY388)*N(Sync!$AZ388),0)))</f>
        <v/>
      </c>
      <c r="Y388">
        <f>IF($X388="","",IF(OR(Sync!$AX388="",COUNTIF(AcctCodesA,Sync!$AX388)=0),"متفرقه",Sync!$AX388))</f>
        <v/>
      </c>
      <c r="Z388">
        <f>IF($X388="","","سبد و ظروف")</f>
        <v/>
      </c>
      <c r="AA388">
        <f>IF($X388="","",$Y388)</f>
        <v/>
      </c>
    </row>
    <row r="389">
      <c r="A389">
        <f>IF(Sync!$Z389="","",LEFT(UPPER(TRIM(Sync!$Z389)),6))</f>
        <v/>
      </c>
      <c r="B389">
        <f>IF($A389="","",IF(Sync!$AA389="","",Sync!$AA389))</f>
        <v/>
      </c>
      <c r="C389">
        <f>IF($A389="","",IF(Sync!$AB389="","",Sync!$AB389))</f>
        <v/>
      </c>
      <c r="D389">
        <f>IF($A389="","",IF(Sync!$AC389="","",Sync!$AC389))</f>
        <v/>
      </c>
      <c r="E389">
        <f>IF($A389="","",IF(Sync!$AD389="","",Sync!$AD389))</f>
        <v/>
      </c>
      <c r="F389">
        <f>IF($A389="","",IF(Sync!$AE389="",0,Sync!$AE389))</f>
        <v/>
      </c>
      <c r="G389">
        <f>IF($A389="","",IF(Sync!$AF389="",0,Sync!$AF389))</f>
        <v/>
      </c>
      <c r="H389">
        <f>IF(OR($A389="",ROUND($F389+$G389,2)=0),"",$F389+$G389)</f>
        <v/>
      </c>
      <c r="I389">
        <f>IF($H389="","",IF(ROUND($F389,2)&gt;0,$A389,IF($D389="شخصی قاسم","شخصی قاسم",IF($D389="هزینه","هزینه: "&amp;IF($E389="","متفرقه",$E389),IF($C389="پاس چک","چک پرداختی",IF(OR($B389="",COUNTIF(AcctCodesA,$B389)=0),"متفرقه",$B389))))))</f>
        <v/>
      </c>
      <c r="J389">
        <f>IF($H389="","",IF(ROUND($F389,2)&gt;0,IF($D389="شخصی قاسم","شخصی قاسم",IF($D389="هزینه","هزینه: "&amp;IF($E389="","متفرقه",$E389),IF(OR($B389="",COUNTIF(AcctCodesA,$B389)=0),"متفرقه",$B389))),$A389))</f>
        <v/>
      </c>
      <c r="K389">
        <f>IF($A389="","",IF(AND($B389&lt;&gt;"",COUNTIF(AcctCodesA,$B389)=0),"کد طرف در INFO تعریف نشده",IF(AND($D389="هزینه",$E389=""),"هزینه بدون زیرگروه",IF(AND($C389="پاس چک",OR(Sync!$AJ389="",COUNTIF(IssueNosA,Sync!$AJ389)=0)),"شماره چک پاس‌شده معتبر نیست",""))))</f>
        <v/>
      </c>
      <c r="M389">
        <f>IF(Sync!$AH389="","",Sync!$AH389)</f>
        <v/>
      </c>
      <c r="N389">
        <f>IF($M389="","",IF(OR(Sync!$AI389="",COUNTIF(AcctCodesA,Sync!$AI389)=0),"متفرقه",Sync!$AI389))</f>
        <v/>
      </c>
      <c r="O389">
        <f>IF($M389="","",$N389)</f>
        <v/>
      </c>
      <c r="P389">
        <f>IF($M389="","","چک پرداختی")</f>
        <v/>
      </c>
      <c r="R389">
        <f>IF($M389="","",IF(COUNTIF(AcctCodesA,Sync!$AI389)=0,"ذی‌نفع چک تعریف‌نشده",""))</f>
        <v/>
      </c>
      <c r="S389">
        <f>IF($R389="","",Sync!$AG389&amp;"|"&amp;"5"&amp;RIGHT("00000"&amp;384,5))</f>
        <v/>
      </c>
      <c r="T389">
        <f>IF($S389="",0,COUNTIFS($S$6:$S$505,"&lt;"&amp;$S389)-COUNTIFS($S$6:$S$505,"&lt;"&amp;$S389,$R$6:$R$505,"")+1)</f>
        <v/>
      </c>
      <c r="V389">
        <f>IF($K389="","",IF(ISNUMBER(Sync!$AK389),Sync!$AK389,LEFT(Sync!$AK389,4)&amp;MID(Sync!$AK389,6,2)&amp;RIGHT(Sync!$AK389,2))&amp;"|"&amp;"4"&amp;RIGHT("00000"&amp;384,5))</f>
        <v/>
      </c>
      <c r="W389">
        <f>IF($V389="",0,COUNTIFS($V$6:$V$2005,"&lt;"&amp;$V389)-COUNTIFS($V$6:$V$2005,"&lt;"&amp;$V389,$K$6:$K$2005,"")+1)</f>
        <v/>
      </c>
      <c r="X389">
        <f>IF(Sync!$AX389="","",IF(OR(N(Sync!$AY389)=0,N(Sync!$AZ389)=0),"",ROUND(N(Sync!$AY389)*N(Sync!$AZ389),0)))</f>
        <v/>
      </c>
      <c r="Y389">
        <f>IF($X389="","",IF(OR(Sync!$AX389="",COUNTIF(AcctCodesA,Sync!$AX389)=0),"متفرقه",Sync!$AX389))</f>
        <v/>
      </c>
      <c r="Z389">
        <f>IF($X389="","","سبد و ظروف")</f>
        <v/>
      </c>
      <c r="AA389">
        <f>IF($X389="","",$Y389)</f>
        <v/>
      </c>
    </row>
    <row r="390">
      <c r="A390">
        <f>IF(Sync!$Z390="","",LEFT(UPPER(TRIM(Sync!$Z390)),6))</f>
        <v/>
      </c>
      <c r="B390">
        <f>IF($A390="","",IF(Sync!$AA390="","",Sync!$AA390))</f>
        <v/>
      </c>
      <c r="C390">
        <f>IF($A390="","",IF(Sync!$AB390="","",Sync!$AB390))</f>
        <v/>
      </c>
      <c r="D390">
        <f>IF($A390="","",IF(Sync!$AC390="","",Sync!$AC390))</f>
        <v/>
      </c>
      <c r="E390">
        <f>IF($A390="","",IF(Sync!$AD390="","",Sync!$AD390))</f>
        <v/>
      </c>
      <c r="F390">
        <f>IF($A390="","",IF(Sync!$AE390="",0,Sync!$AE390))</f>
        <v/>
      </c>
      <c r="G390">
        <f>IF($A390="","",IF(Sync!$AF390="",0,Sync!$AF390))</f>
        <v/>
      </c>
      <c r="H390">
        <f>IF(OR($A390="",ROUND($F390+$G390,2)=0),"",$F390+$G390)</f>
        <v/>
      </c>
      <c r="I390">
        <f>IF($H390="","",IF(ROUND($F390,2)&gt;0,$A390,IF($D390="شخصی قاسم","شخصی قاسم",IF($D390="هزینه","هزینه: "&amp;IF($E390="","متفرقه",$E390),IF($C390="پاس چک","چک پرداختی",IF(OR($B390="",COUNTIF(AcctCodesA,$B390)=0),"متفرقه",$B390))))))</f>
        <v/>
      </c>
      <c r="J390">
        <f>IF($H390="","",IF(ROUND($F390,2)&gt;0,IF($D390="شخصی قاسم","شخصی قاسم",IF($D390="هزینه","هزینه: "&amp;IF($E390="","متفرقه",$E390),IF(OR($B390="",COUNTIF(AcctCodesA,$B390)=0),"متفرقه",$B390))),$A390))</f>
        <v/>
      </c>
      <c r="K390">
        <f>IF($A390="","",IF(AND($B390&lt;&gt;"",COUNTIF(AcctCodesA,$B390)=0),"کد طرف در INFO تعریف نشده",IF(AND($D390="هزینه",$E390=""),"هزینه بدون زیرگروه",IF(AND($C390="پاس چک",OR(Sync!$AJ390="",COUNTIF(IssueNosA,Sync!$AJ390)=0)),"شماره چک پاس‌شده معتبر نیست",""))))</f>
        <v/>
      </c>
      <c r="M390">
        <f>IF(Sync!$AH390="","",Sync!$AH390)</f>
        <v/>
      </c>
      <c r="N390">
        <f>IF($M390="","",IF(OR(Sync!$AI390="",COUNTIF(AcctCodesA,Sync!$AI390)=0),"متفرقه",Sync!$AI390))</f>
        <v/>
      </c>
      <c r="O390">
        <f>IF($M390="","",$N390)</f>
        <v/>
      </c>
      <c r="P390">
        <f>IF($M390="","","چک پرداختی")</f>
        <v/>
      </c>
      <c r="R390">
        <f>IF($M390="","",IF(COUNTIF(AcctCodesA,Sync!$AI390)=0,"ذی‌نفع چک تعریف‌نشده",""))</f>
        <v/>
      </c>
      <c r="S390">
        <f>IF($R390="","",Sync!$AG390&amp;"|"&amp;"5"&amp;RIGHT("00000"&amp;385,5))</f>
        <v/>
      </c>
      <c r="T390">
        <f>IF($S390="",0,COUNTIFS($S$6:$S$505,"&lt;"&amp;$S390)-COUNTIFS($S$6:$S$505,"&lt;"&amp;$S390,$R$6:$R$505,"")+1)</f>
        <v/>
      </c>
      <c r="V390">
        <f>IF($K390="","",IF(ISNUMBER(Sync!$AK390),Sync!$AK390,LEFT(Sync!$AK390,4)&amp;MID(Sync!$AK390,6,2)&amp;RIGHT(Sync!$AK390,2))&amp;"|"&amp;"4"&amp;RIGHT("00000"&amp;385,5))</f>
        <v/>
      </c>
      <c r="W390">
        <f>IF($V390="",0,COUNTIFS($V$6:$V$2005,"&lt;"&amp;$V390)-COUNTIFS($V$6:$V$2005,"&lt;"&amp;$V390,$K$6:$K$2005,"")+1)</f>
        <v/>
      </c>
      <c r="X390">
        <f>IF(Sync!$AX390="","",IF(OR(N(Sync!$AY390)=0,N(Sync!$AZ390)=0),"",ROUND(N(Sync!$AY390)*N(Sync!$AZ390),0)))</f>
        <v/>
      </c>
      <c r="Y390">
        <f>IF($X390="","",IF(OR(Sync!$AX390="",COUNTIF(AcctCodesA,Sync!$AX390)=0),"متفرقه",Sync!$AX390))</f>
        <v/>
      </c>
      <c r="Z390">
        <f>IF($X390="","","سبد و ظروف")</f>
        <v/>
      </c>
      <c r="AA390">
        <f>IF($X390="","",$Y390)</f>
        <v/>
      </c>
    </row>
    <row r="391">
      <c r="A391">
        <f>IF(Sync!$Z391="","",LEFT(UPPER(TRIM(Sync!$Z391)),6))</f>
        <v/>
      </c>
      <c r="B391">
        <f>IF($A391="","",IF(Sync!$AA391="","",Sync!$AA391))</f>
        <v/>
      </c>
      <c r="C391">
        <f>IF($A391="","",IF(Sync!$AB391="","",Sync!$AB391))</f>
        <v/>
      </c>
      <c r="D391">
        <f>IF($A391="","",IF(Sync!$AC391="","",Sync!$AC391))</f>
        <v/>
      </c>
      <c r="E391">
        <f>IF($A391="","",IF(Sync!$AD391="","",Sync!$AD391))</f>
        <v/>
      </c>
      <c r="F391">
        <f>IF($A391="","",IF(Sync!$AE391="",0,Sync!$AE391))</f>
        <v/>
      </c>
      <c r="G391">
        <f>IF($A391="","",IF(Sync!$AF391="",0,Sync!$AF391))</f>
        <v/>
      </c>
      <c r="H391">
        <f>IF(OR($A391="",ROUND($F391+$G391,2)=0),"",$F391+$G391)</f>
        <v/>
      </c>
      <c r="I391">
        <f>IF($H391="","",IF(ROUND($F391,2)&gt;0,$A391,IF($D391="شخصی قاسم","شخصی قاسم",IF($D391="هزینه","هزینه: "&amp;IF($E391="","متفرقه",$E391),IF($C391="پاس چک","چک پرداختی",IF(OR($B391="",COUNTIF(AcctCodesA,$B391)=0),"متفرقه",$B391))))))</f>
        <v/>
      </c>
      <c r="J391">
        <f>IF($H391="","",IF(ROUND($F391,2)&gt;0,IF($D391="شخصی قاسم","شخصی قاسم",IF($D391="هزینه","هزینه: "&amp;IF($E391="","متفرقه",$E391),IF(OR($B391="",COUNTIF(AcctCodesA,$B391)=0),"متفرقه",$B391))),$A391))</f>
        <v/>
      </c>
      <c r="K391">
        <f>IF($A391="","",IF(AND($B391&lt;&gt;"",COUNTIF(AcctCodesA,$B391)=0),"کد طرف در INFO تعریف نشده",IF(AND($D391="هزینه",$E391=""),"هزینه بدون زیرگروه",IF(AND($C391="پاس چک",OR(Sync!$AJ391="",COUNTIF(IssueNosA,Sync!$AJ391)=0)),"شماره چک پاس‌شده معتبر نیست",""))))</f>
        <v/>
      </c>
      <c r="M391">
        <f>IF(Sync!$AH391="","",Sync!$AH391)</f>
        <v/>
      </c>
      <c r="N391">
        <f>IF($M391="","",IF(OR(Sync!$AI391="",COUNTIF(AcctCodesA,Sync!$AI391)=0),"متفرقه",Sync!$AI391))</f>
        <v/>
      </c>
      <c r="O391">
        <f>IF($M391="","",$N391)</f>
        <v/>
      </c>
      <c r="P391">
        <f>IF($M391="","","چک پرداختی")</f>
        <v/>
      </c>
      <c r="R391">
        <f>IF($M391="","",IF(COUNTIF(AcctCodesA,Sync!$AI391)=0,"ذی‌نفع چک تعریف‌نشده",""))</f>
        <v/>
      </c>
      <c r="S391">
        <f>IF($R391="","",Sync!$AG391&amp;"|"&amp;"5"&amp;RIGHT("00000"&amp;386,5))</f>
        <v/>
      </c>
      <c r="T391">
        <f>IF($S391="",0,COUNTIFS($S$6:$S$505,"&lt;"&amp;$S391)-COUNTIFS($S$6:$S$505,"&lt;"&amp;$S391,$R$6:$R$505,"")+1)</f>
        <v/>
      </c>
      <c r="V391">
        <f>IF($K391="","",IF(ISNUMBER(Sync!$AK391),Sync!$AK391,LEFT(Sync!$AK391,4)&amp;MID(Sync!$AK391,6,2)&amp;RIGHT(Sync!$AK391,2))&amp;"|"&amp;"4"&amp;RIGHT("00000"&amp;386,5))</f>
        <v/>
      </c>
      <c r="W391">
        <f>IF($V391="",0,COUNTIFS($V$6:$V$2005,"&lt;"&amp;$V391)-COUNTIFS($V$6:$V$2005,"&lt;"&amp;$V391,$K$6:$K$2005,"")+1)</f>
        <v/>
      </c>
      <c r="X391">
        <f>IF(Sync!$AX391="","",IF(OR(N(Sync!$AY391)=0,N(Sync!$AZ391)=0),"",ROUND(N(Sync!$AY391)*N(Sync!$AZ391),0)))</f>
        <v/>
      </c>
      <c r="Y391">
        <f>IF($X391="","",IF(OR(Sync!$AX391="",COUNTIF(AcctCodesA,Sync!$AX391)=0),"متفرقه",Sync!$AX391))</f>
        <v/>
      </c>
      <c r="Z391">
        <f>IF($X391="","","سبد و ظروف")</f>
        <v/>
      </c>
      <c r="AA391">
        <f>IF($X391="","",$Y391)</f>
        <v/>
      </c>
    </row>
    <row r="392">
      <c r="A392">
        <f>IF(Sync!$Z392="","",LEFT(UPPER(TRIM(Sync!$Z392)),6))</f>
        <v/>
      </c>
      <c r="B392">
        <f>IF($A392="","",IF(Sync!$AA392="","",Sync!$AA392))</f>
        <v/>
      </c>
      <c r="C392">
        <f>IF($A392="","",IF(Sync!$AB392="","",Sync!$AB392))</f>
        <v/>
      </c>
      <c r="D392">
        <f>IF($A392="","",IF(Sync!$AC392="","",Sync!$AC392))</f>
        <v/>
      </c>
      <c r="E392">
        <f>IF($A392="","",IF(Sync!$AD392="","",Sync!$AD392))</f>
        <v/>
      </c>
      <c r="F392">
        <f>IF($A392="","",IF(Sync!$AE392="",0,Sync!$AE392))</f>
        <v/>
      </c>
      <c r="G392">
        <f>IF($A392="","",IF(Sync!$AF392="",0,Sync!$AF392))</f>
        <v/>
      </c>
      <c r="H392">
        <f>IF(OR($A392="",ROUND($F392+$G392,2)=0),"",$F392+$G392)</f>
        <v/>
      </c>
      <c r="I392">
        <f>IF($H392="","",IF(ROUND($F392,2)&gt;0,$A392,IF($D392="شخصی قاسم","شخصی قاسم",IF($D392="هزینه","هزینه: "&amp;IF($E392="","متفرقه",$E392),IF($C392="پاس چک","چک پرداختی",IF(OR($B392="",COUNTIF(AcctCodesA,$B392)=0),"متفرقه",$B392))))))</f>
        <v/>
      </c>
      <c r="J392">
        <f>IF($H392="","",IF(ROUND($F392,2)&gt;0,IF($D392="شخصی قاسم","شخصی قاسم",IF($D392="هزینه","هزینه: "&amp;IF($E392="","متفرقه",$E392),IF(OR($B392="",COUNTIF(AcctCodesA,$B392)=0),"متفرقه",$B392))),$A392))</f>
        <v/>
      </c>
      <c r="K392">
        <f>IF($A392="","",IF(AND($B392&lt;&gt;"",COUNTIF(AcctCodesA,$B392)=0),"کد طرف در INFO تعریف نشده",IF(AND($D392="هزینه",$E392=""),"هزینه بدون زیرگروه",IF(AND($C392="پاس چک",OR(Sync!$AJ392="",COUNTIF(IssueNosA,Sync!$AJ392)=0)),"شماره چک پاس‌شده معتبر نیست",""))))</f>
        <v/>
      </c>
      <c r="M392">
        <f>IF(Sync!$AH392="","",Sync!$AH392)</f>
        <v/>
      </c>
      <c r="N392">
        <f>IF($M392="","",IF(OR(Sync!$AI392="",COUNTIF(AcctCodesA,Sync!$AI392)=0),"متفرقه",Sync!$AI392))</f>
        <v/>
      </c>
      <c r="O392">
        <f>IF($M392="","",$N392)</f>
        <v/>
      </c>
      <c r="P392">
        <f>IF($M392="","","چک پرداختی")</f>
        <v/>
      </c>
      <c r="R392">
        <f>IF($M392="","",IF(COUNTIF(AcctCodesA,Sync!$AI392)=0,"ذی‌نفع چک تعریف‌نشده",""))</f>
        <v/>
      </c>
      <c r="S392">
        <f>IF($R392="","",Sync!$AG392&amp;"|"&amp;"5"&amp;RIGHT("00000"&amp;387,5))</f>
        <v/>
      </c>
      <c r="T392">
        <f>IF($S392="",0,COUNTIFS($S$6:$S$505,"&lt;"&amp;$S392)-COUNTIFS($S$6:$S$505,"&lt;"&amp;$S392,$R$6:$R$505,"")+1)</f>
        <v/>
      </c>
      <c r="V392">
        <f>IF($K392="","",IF(ISNUMBER(Sync!$AK392),Sync!$AK392,LEFT(Sync!$AK392,4)&amp;MID(Sync!$AK392,6,2)&amp;RIGHT(Sync!$AK392,2))&amp;"|"&amp;"4"&amp;RIGHT("00000"&amp;387,5))</f>
        <v/>
      </c>
      <c r="W392">
        <f>IF($V392="",0,COUNTIFS($V$6:$V$2005,"&lt;"&amp;$V392)-COUNTIFS($V$6:$V$2005,"&lt;"&amp;$V392,$K$6:$K$2005,"")+1)</f>
        <v/>
      </c>
      <c r="X392">
        <f>IF(Sync!$AX392="","",IF(OR(N(Sync!$AY392)=0,N(Sync!$AZ392)=0),"",ROUND(N(Sync!$AY392)*N(Sync!$AZ392),0)))</f>
        <v/>
      </c>
      <c r="Y392">
        <f>IF($X392="","",IF(OR(Sync!$AX392="",COUNTIF(AcctCodesA,Sync!$AX392)=0),"متفرقه",Sync!$AX392))</f>
        <v/>
      </c>
      <c r="Z392">
        <f>IF($X392="","","سبد و ظروف")</f>
        <v/>
      </c>
      <c r="AA392">
        <f>IF($X392="","",$Y392)</f>
        <v/>
      </c>
    </row>
    <row r="393">
      <c r="A393">
        <f>IF(Sync!$Z393="","",LEFT(UPPER(TRIM(Sync!$Z393)),6))</f>
        <v/>
      </c>
      <c r="B393">
        <f>IF($A393="","",IF(Sync!$AA393="","",Sync!$AA393))</f>
        <v/>
      </c>
      <c r="C393">
        <f>IF($A393="","",IF(Sync!$AB393="","",Sync!$AB393))</f>
        <v/>
      </c>
      <c r="D393">
        <f>IF($A393="","",IF(Sync!$AC393="","",Sync!$AC393))</f>
        <v/>
      </c>
      <c r="E393">
        <f>IF($A393="","",IF(Sync!$AD393="","",Sync!$AD393))</f>
        <v/>
      </c>
      <c r="F393">
        <f>IF($A393="","",IF(Sync!$AE393="",0,Sync!$AE393))</f>
        <v/>
      </c>
      <c r="G393">
        <f>IF($A393="","",IF(Sync!$AF393="",0,Sync!$AF393))</f>
        <v/>
      </c>
      <c r="H393">
        <f>IF(OR($A393="",ROUND($F393+$G393,2)=0),"",$F393+$G393)</f>
        <v/>
      </c>
      <c r="I393">
        <f>IF($H393="","",IF(ROUND($F393,2)&gt;0,$A393,IF($D393="شخصی قاسم","شخصی قاسم",IF($D393="هزینه","هزینه: "&amp;IF($E393="","متفرقه",$E393),IF($C393="پاس چک","چک پرداختی",IF(OR($B393="",COUNTIF(AcctCodesA,$B393)=0),"متفرقه",$B393))))))</f>
        <v/>
      </c>
      <c r="J393">
        <f>IF($H393="","",IF(ROUND($F393,2)&gt;0,IF($D393="شخصی قاسم","شخصی قاسم",IF($D393="هزینه","هزینه: "&amp;IF($E393="","متفرقه",$E393),IF(OR($B393="",COUNTIF(AcctCodesA,$B393)=0),"متفرقه",$B393))),$A393))</f>
        <v/>
      </c>
      <c r="K393">
        <f>IF($A393="","",IF(AND($B393&lt;&gt;"",COUNTIF(AcctCodesA,$B393)=0),"کد طرف در INFO تعریف نشده",IF(AND($D393="هزینه",$E393=""),"هزینه بدون زیرگروه",IF(AND($C393="پاس چک",OR(Sync!$AJ393="",COUNTIF(IssueNosA,Sync!$AJ393)=0)),"شماره چک پاس‌شده معتبر نیست",""))))</f>
        <v/>
      </c>
      <c r="M393">
        <f>IF(Sync!$AH393="","",Sync!$AH393)</f>
        <v/>
      </c>
      <c r="N393">
        <f>IF($M393="","",IF(OR(Sync!$AI393="",COUNTIF(AcctCodesA,Sync!$AI393)=0),"متفرقه",Sync!$AI393))</f>
        <v/>
      </c>
      <c r="O393">
        <f>IF($M393="","",$N393)</f>
        <v/>
      </c>
      <c r="P393">
        <f>IF($M393="","","چک پرداختی")</f>
        <v/>
      </c>
      <c r="R393">
        <f>IF($M393="","",IF(COUNTIF(AcctCodesA,Sync!$AI393)=0,"ذی‌نفع چک تعریف‌نشده",""))</f>
        <v/>
      </c>
      <c r="S393">
        <f>IF($R393="","",Sync!$AG393&amp;"|"&amp;"5"&amp;RIGHT("00000"&amp;388,5))</f>
        <v/>
      </c>
      <c r="T393">
        <f>IF($S393="",0,COUNTIFS($S$6:$S$505,"&lt;"&amp;$S393)-COUNTIFS($S$6:$S$505,"&lt;"&amp;$S393,$R$6:$R$505,"")+1)</f>
        <v/>
      </c>
      <c r="V393">
        <f>IF($K393="","",IF(ISNUMBER(Sync!$AK393),Sync!$AK393,LEFT(Sync!$AK393,4)&amp;MID(Sync!$AK393,6,2)&amp;RIGHT(Sync!$AK393,2))&amp;"|"&amp;"4"&amp;RIGHT("00000"&amp;388,5))</f>
        <v/>
      </c>
      <c r="W393">
        <f>IF($V393="",0,COUNTIFS($V$6:$V$2005,"&lt;"&amp;$V393)-COUNTIFS($V$6:$V$2005,"&lt;"&amp;$V393,$K$6:$K$2005,"")+1)</f>
        <v/>
      </c>
      <c r="X393">
        <f>IF(Sync!$AX393="","",IF(OR(N(Sync!$AY393)=0,N(Sync!$AZ393)=0),"",ROUND(N(Sync!$AY393)*N(Sync!$AZ393),0)))</f>
        <v/>
      </c>
      <c r="Y393">
        <f>IF($X393="","",IF(OR(Sync!$AX393="",COUNTIF(AcctCodesA,Sync!$AX393)=0),"متفرقه",Sync!$AX393))</f>
        <v/>
      </c>
      <c r="Z393">
        <f>IF($X393="","","سبد و ظروف")</f>
        <v/>
      </c>
      <c r="AA393">
        <f>IF($X393="","",$Y393)</f>
        <v/>
      </c>
    </row>
    <row r="394">
      <c r="A394">
        <f>IF(Sync!$Z394="","",LEFT(UPPER(TRIM(Sync!$Z394)),6))</f>
        <v/>
      </c>
      <c r="B394">
        <f>IF($A394="","",IF(Sync!$AA394="","",Sync!$AA394))</f>
        <v/>
      </c>
      <c r="C394">
        <f>IF($A394="","",IF(Sync!$AB394="","",Sync!$AB394))</f>
        <v/>
      </c>
      <c r="D394">
        <f>IF($A394="","",IF(Sync!$AC394="","",Sync!$AC394))</f>
        <v/>
      </c>
      <c r="E394">
        <f>IF($A394="","",IF(Sync!$AD394="","",Sync!$AD394))</f>
        <v/>
      </c>
      <c r="F394">
        <f>IF($A394="","",IF(Sync!$AE394="",0,Sync!$AE394))</f>
        <v/>
      </c>
      <c r="G394">
        <f>IF($A394="","",IF(Sync!$AF394="",0,Sync!$AF394))</f>
        <v/>
      </c>
      <c r="H394">
        <f>IF(OR($A394="",ROUND($F394+$G394,2)=0),"",$F394+$G394)</f>
        <v/>
      </c>
      <c r="I394">
        <f>IF($H394="","",IF(ROUND($F394,2)&gt;0,$A394,IF($D394="شخصی قاسم","شخصی قاسم",IF($D394="هزینه","هزینه: "&amp;IF($E394="","متفرقه",$E394),IF($C394="پاس چک","چک پرداختی",IF(OR($B394="",COUNTIF(AcctCodesA,$B394)=0),"متفرقه",$B394))))))</f>
        <v/>
      </c>
      <c r="J394">
        <f>IF($H394="","",IF(ROUND($F394,2)&gt;0,IF($D394="شخصی قاسم","شخصی قاسم",IF($D394="هزینه","هزینه: "&amp;IF($E394="","متفرقه",$E394),IF(OR($B394="",COUNTIF(AcctCodesA,$B394)=0),"متفرقه",$B394))),$A394))</f>
        <v/>
      </c>
      <c r="K394">
        <f>IF($A394="","",IF(AND($B394&lt;&gt;"",COUNTIF(AcctCodesA,$B394)=0),"کد طرف در INFO تعریف نشده",IF(AND($D394="هزینه",$E394=""),"هزینه بدون زیرگروه",IF(AND($C394="پاس چک",OR(Sync!$AJ394="",COUNTIF(IssueNosA,Sync!$AJ394)=0)),"شماره چک پاس‌شده معتبر نیست",""))))</f>
        <v/>
      </c>
      <c r="M394">
        <f>IF(Sync!$AH394="","",Sync!$AH394)</f>
        <v/>
      </c>
      <c r="N394">
        <f>IF($M394="","",IF(OR(Sync!$AI394="",COUNTIF(AcctCodesA,Sync!$AI394)=0),"متفرقه",Sync!$AI394))</f>
        <v/>
      </c>
      <c r="O394">
        <f>IF($M394="","",$N394)</f>
        <v/>
      </c>
      <c r="P394">
        <f>IF($M394="","","چک پرداختی")</f>
        <v/>
      </c>
      <c r="R394">
        <f>IF($M394="","",IF(COUNTIF(AcctCodesA,Sync!$AI394)=0,"ذی‌نفع چک تعریف‌نشده",""))</f>
        <v/>
      </c>
      <c r="S394">
        <f>IF($R394="","",Sync!$AG394&amp;"|"&amp;"5"&amp;RIGHT("00000"&amp;389,5))</f>
        <v/>
      </c>
      <c r="T394">
        <f>IF($S394="",0,COUNTIFS($S$6:$S$505,"&lt;"&amp;$S394)-COUNTIFS($S$6:$S$505,"&lt;"&amp;$S394,$R$6:$R$505,"")+1)</f>
        <v/>
      </c>
      <c r="V394">
        <f>IF($K394="","",IF(ISNUMBER(Sync!$AK394),Sync!$AK394,LEFT(Sync!$AK394,4)&amp;MID(Sync!$AK394,6,2)&amp;RIGHT(Sync!$AK394,2))&amp;"|"&amp;"4"&amp;RIGHT("00000"&amp;389,5))</f>
        <v/>
      </c>
      <c r="W394">
        <f>IF($V394="",0,COUNTIFS($V$6:$V$2005,"&lt;"&amp;$V394)-COUNTIFS($V$6:$V$2005,"&lt;"&amp;$V394,$K$6:$K$2005,"")+1)</f>
        <v/>
      </c>
      <c r="X394">
        <f>IF(Sync!$AX394="","",IF(OR(N(Sync!$AY394)=0,N(Sync!$AZ394)=0),"",ROUND(N(Sync!$AY394)*N(Sync!$AZ394),0)))</f>
        <v/>
      </c>
      <c r="Y394">
        <f>IF($X394="","",IF(OR(Sync!$AX394="",COUNTIF(AcctCodesA,Sync!$AX394)=0),"متفرقه",Sync!$AX394))</f>
        <v/>
      </c>
      <c r="Z394">
        <f>IF($X394="","","سبد و ظروف")</f>
        <v/>
      </c>
      <c r="AA394">
        <f>IF($X394="","",$Y394)</f>
        <v/>
      </c>
    </row>
    <row r="395">
      <c r="A395">
        <f>IF(Sync!$Z395="","",LEFT(UPPER(TRIM(Sync!$Z395)),6))</f>
        <v/>
      </c>
      <c r="B395">
        <f>IF($A395="","",IF(Sync!$AA395="","",Sync!$AA395))</f>
        <v/>
      </c>
      <c r="C395">
        <f>IF($A395="","",IF(Sync!$AB395="","",Sync!$AB395))</f>
        <v/>
      </c>
      <c r="D395">
        <f>IF($A395="","",IF(Sync!$AC395="","",Sync!$AC395))</f>
        <v/>
      </c>
      <c r="E395">
        <f>IF($A395="","",IF(Sync!$AD395="","",Sync!$AD395))</f>
        <v/>
      </c>
      <c r="F395">
        <f>IF($A395="","",IF(Sync!$AE395="",0,Sync!$AE395))</f>
        <v/>
      </c>
      <c r="G395">
        <f>IF($A395="","",IF(Sync!$AF395="",0,Sync!$AF395))</f>
        <v/>
      </c>
      <c r="H395">
        <f>IF(OR($A395="",ROUND($F395+$G395,2)=0),"",$F395+$G395)</f>
        <v/>
      </c>
      <c r="I395">
        <f>IF($H395="","",IF(ROUND($F395,2)&gt;0,$A395,IF($D395="شخصی قاسم","شخصی قاسم",IF($D395="هزینه","هزینه: "&amp;IF($E395="","متفرقه",$E395),IF($C395="پاس چک","چک پرداختی",IF(OR($B395="",COUNTIF(AcctCodesA,$B395)=0),"متفرقه",$B395))))))</f>
        <v/>
      </c>
      <c r="J395">
        <f>IF($H395="","",IF(ROUND($F395,2)&gt;0,IF($D395="شخصی قاسم","شخصی قاسم",IF($D395="هزینه","هزینه: "&amp;IF($E395="","متفرقه",$E395),IF(OR($B395="",COUNTIF(AcctCodesA,$B395)=0),"متفرقه",$B395))),$A395))</f>
        <v/>
      </c>
      <c r="K395">
        <f>IF($A395="","",IF(AND($B395&lt;&gt;"",COUNTIF(AcctCodesA,$B395)=0),"کد طرف در INFO تعریف نشده",IF(AND($D395="هزینه",$E395=""),"هزینه بدون زیرگروه",IF(AND($C395="پاس چک",OR(Sync!$AJ395="",COUNTIF(IssueNosA,Sync!$AJ395)=0)),"شماره چک پاس‌شده معتبر نیست",""))))</f>
        <v/>
      </c>
      <c r="M395">
        <f>IF(Sync!$AH395="","",Sync!$AH395)</f>
        <v/>
      </c>
      <c r="N395">
        <f>IF($M395="","",IF(OR(Sync!$AI395="",COUNTIF(AcctCodesA,Sync!$AI395)=0),"متفرقه",Sync!$AI395))</f>
        <v/>
      </c>
      <c r="O395">
        <f>IF($M395="","",$N395)</f>
        <v/>
      </c>
      <c r="P395">
        <f>IF($M395="","","چک پرداختی")</f>
        <v/>
      </c>
      <c r="R395">
        <f>IF($M395="","",IF(COUNTIF(AcctCodesA,Sync!$AI395)=0,"ذی‌نفع چک تعریف‌نشده",""))</f>
        <v/>
      </c>
      <c r="S395">
        <f>IF($R395="","",Sync!$AG395&amp;"|"&amp;"5"&amp;RIGHT("00000"&amp;390,5))</f>
        <v/>
      </c>
      <c r="T395">
        <f>IF($S395="",0,COUNTIFS($S$6:$S$505,"&lt;"&amp;$S395)-COUNTIFS($S$6:$S$505,"&lt;"&amp;$S395,$R$6:$R$505,"")+1)</f>
        <v/>
      </c>
      <c r="V395">
        <f>IF($K395="","",IF(ISNUMBER(Sync!$AK395),Sync!$AK395,LEFT(Sync!$AK395,4)&amp;MID(Sync!$AK395,6,2)&amp;RIGHT(Sync!$AK395,2))&amp;"|"&amp;"4"&amp;RIGHT("00000"&amp;390,5))</f>
        <v/>
      </c>
      <c r="W395">
        <f>IF($V395="",0,COUNTIFS($V$6:$V$2005,"&lt;"&amp;$V395)-COUNTIFS($V$6:$V$2005,"&lt;"&amp;$V395,$K$6:$K$2005,"")+1)</f>
        <v/>
      </c>
      <c r="X395">
        <f>IF(Sync!$AX395="","",IF(OR(N(Sync!$AY395)=0,N(Sync!$AZ395)=0),"",ROUND(N(Sync!$AY395)*N(Sync!$AZ395),0)))</f>
        <v/>
      </c>
      <c r="Y395">
        <f>IF($X395="","",IF(OR(Sync!$AX395="",COUNTIF(AcctCodesA,Sync!$AX395)=0),"متفرقه",Sync!$AX395))</f>
        <v/>
      </c>
      <c r="Z395">
        <f>IF($X395="","","سبد و ظروف")</f>
        <v/>
      </c>
      <c r="AA395">
        <f>IF($X395="","",$Y395)</f>
        <v/>
      </c>
    </row>
    <row r="396">
      <c r="A396">
        <f>IF(Sync!$Z396="","",LEFT(UPPER(TRIM(Sync!$Z396)),6))</f>
        <v/>
      </c>
      <c r="B396">
        <f>IF($A396="","",IF(Sync!$AA396="","",Sync!$AA396))</f>
        <v/>
      </c>
      <c r="C396">
        <f>IF($A396="","",IF(Sync!$AB396="","",Sync!$AB396))</f>
        <v/>
      </c>
      <c r="D396">
        <f>IF($A396="","",IF(Sync!$AC396="","",Sync!$AC396))</f>
        <v/>
      </c>
      <c r="E396">
        <f>IF($A396="","",IF(Sync!$AD396="","",Sync!$AD396))</f>
        <v/>
      </c>
      <c r="F396">
        <f>IF($A396="","",IF(Sync!$AE396="",0,Sync!$AE396))</f>
        <v/>
      </c>
      <c r="G396">
        <f>IF($A396="","",IF(Sync!$AF396="",0,Sync!$AF396))</f>
        <v/>
      </c>
      <c r="H396">
        <f>IF(OR($A396="",ROUND($F396+$G396,2)=0),"",$F396+$G396)</f>
        <v/>
      </c>
      <c r="I396">
        <f>IF($H396="","",IF(ROUND($F396,2)&gt;0,$A396,IF($D396="شخصی قاسم","شخصی قاسم",IF($D396="هزینه","هزینه: "&amp;IF($E396="","متفرقه",$E396),IF($C396="پاس چک","چک پرداختی",IF(OR($B396="",COUNTIF(AcctCodesA,$B396)=0),"متفرقه",$B396))))))</f>
        <v/>
      </c>
      <c r="J396">
        <f>IF($H396="","",IF(ROUND($F396,2)&gt;0,IF($D396="شخصی قاسم","شخصی قاسم",IF($D396="هزینه","هزینه: "&amp;IF($E396="","متفرقه",$E396),IF(OR($B396="",COUNTIF(AcctCodesA,$B396)=0),"متفرقه",$B396))),$A396))</f>
        <v/>
      </c>
      <c r="K396">
        <f>IF($A396="","",IF(AND($B396&lt;&gt;"",COUNTIF(AcctCodesA,$B396)=0),"کد طرف در INFO تعریف نشده",IF(AND($D396="هزینه",$E396=""),"هزینه بدون زیرگروه",IF(AND($C396="پاس چک",OR(Sync!$AJ396="",COUNTIF(IssueNosA,Sync!$AJ396)=0)),"شماره چک پاس‌شده معتبر نیست",""))))</f>
        <v/>
      </c>
      <c r="M396">
        <f>IF(Sync!$AH396="","",Sync!$AH396)</f>
        <v/>
      </c>
      <c r="N396">
        <f>IF($M396="","",IF(OR(Sync!$AI396="",COUNTIF(AcctCodesA,Sync!$AI396)=0),"متفرقه",Sync!$AI396))</f>
        <v/>
      </c>
      <c r="O396">
        <f>IF($M396="","",$N396)</f>
        <v/>
      </c>
      <c r="P396">
        <f>IF($M396="","","چک پرداختی")</f>
        <v/>
      </c>
      <c r="R396">
        <f>IF($M396="","",IF(COUNTIF(AcctCodesA,Sync!$AI396)=0,"ذی‌نفع چک تعریف‌نشده",""))</f>
        <v/>
      </c>
      <c r="S396">
        <f>IF($R396="","",Sync!$AG396&amp;"|"&amp;"5"&amp;RIGHT("00000"&amp;391,5))</f>
        <v/>
      </c>
      <c r="T396">
        <f>IF($S396="",0,COUNTIFS($S$6:$S$505,"&lt;"&amp;$S396)-COUNTIFS($S$6:$S$505,"&lt;"&amp;$S396,$R$6:$R$505,"")+1)</f>
        <v/>
      </c>
      <c r="V396">
        <f>IF($K396="","",IF(ISNUMBER(Sync!$AK396),Sync!$AK396,LEFT(Sync!$AK396,4)&amp;MID(Sync!$AK396,6,2)&amp;RIGHT(Sync!$AK396,2))&amp;"|"&amp;"4"&amp;RIGHT("00000"&amp;391,5))</f>
        <v/>
      </c>
      <c r="W396">
        <f>IF($V396="",0,COUNTIFS($V$6:$V$2005,"&lt;"&amp;$V396)-COUNTIFS($V$6:$V$2005,"&lt;"&amp;$V396,$K$6:$K$2005,"")+1)</f>
        <v/>
      </c>
      <c r="X396">
        <f>IF(Sync!$AX396="","",IF(OR(N(Sync!$AY396)=0,N(Sync!$AZ396)=0),"",ROUND(N(Sync!$AY396)*N(Sync!$AZ396),0)))</f>
        <v/>
      </c>
      <c r="Y396">
        <f>IF($X396="","",IF(OR(Sync!$AX396="",COUNTIF(AcctCodesA,Sync!$AX396)=0),"متفرقه",Sync!$AX396))</f>
        <v/>
      </c>
      <c r="Z396">
        <f>IF($X396="","","سبد و ظروف")</f>
        <v/>
      </c>
      <c r="AA396">
        <f>IF($X396="","",$Y396)</f>
        <v/>
      </c>
    </row>
    <row r="397">
      <c r="A397">
        <f>IF(Sync!$Z397="","",LEFT(UPPER(TRIM(Sync!$Z397)),6))</f>
        <v/>
      </c>
      <c r="B397">
        <f>IF($A397="","",IF(Sync!$AA397="","",Sync!$AA397))</f>
        <v/>
      </c>
      <c r="C397">
        <f>IF($A397="","",IF(Sync!$AB397="","",Sync!$AB397))</f>
        <v/>
      </c>
      <c r="D397">
        <f>IF($A397="","",IF(Sync!$AC397="","",Sync!$AC397))</f>
        <v/>
      </c>
      <c r="E397">
        <f>IF($A397="","",IF(Sync!$AD397="","",Sync!$AD397))</f>
        <v/>
      </c>
      <c r="F397">
        <f>IF($A397="","",IF(Sync!$AE397="",0,Sync!$AE397))</f>
        <v/>
      </c>
      <c r="G397">
        <f>IF($A397="","",IF(Sync!$AF397="",0,Sync!$AF397))</f>
        <v/>
      </c>
      <c r="H397">
        <f>IF(OR($A397="",ROUND($F397+$G397,2)=0),"",$F397+$G397)</f>
        <v/>
      </c>
      <c r="I397">
        <f>IF($H397="","",IF(ROUND($F397,2)&gt;0,$A397,IF($D397="شخصی قاسم","شخصی قاسم",IF($D397="هزینه","هزینه: "&amp;IF($E397="","متفرقه",$E397),IF($C397="پاس چک","چک پرداختی",IF(OR($B397="",COUNTIF(AcctCodesA,$B397)=0),"متفرقه",$B397))))))</f>
        <v/>
      </c>
      <c r="J397">
        <f>IF($H397="","",IF(ROUND($F397,2)&gt;0,IF($D397="شخصی قاسم","شخصی قاسم",IF($D397="هزینه","هزینه: "&amp;IF($E397="","متفرقه",$E397),IF(OR($B397="",COUNTIF(AcctCodesA,$B397)=0),"متفرقه",$B397))),$A397))</f>
        <v/>
      </c>
      <c r="K397">
        <f>IF($A397="","",IF(AND($B397&lt;&gt;"",COUNTIF(AcctCodesA,$B397)=0),"کد طرف در INFO تعریف نشده",IF(AND($D397="هزینه",$E397=""),"هزینه بدون زیرگروه",IF(AND($C397="پاس چک",OR(Sync!$AJ397="",COUNTIF(IssueNosA,Sync!$AJ397)=0)),"شماره چک پاس‌شده معتبر نیست",""))))</f>
        <v/>
      </c>
      <c r="M397">
        <f>IF(Sync!$AH397="","",Sync!$AH397)</f>
        <v/>
      </c>
      <c r="N397">
        <f>IF($M397="","",IF(OR(Sync!$AI397="",COUNTIF(AcctCodesA,Sync!$AI397)=0),"متفرقه",Sync!$AI397))</f>
        <v/>
      </c>
      <c r="O397">
        <f>IF($M397="","",$N397)</f>
        <v/>
      </c>
      <c r="P397">
        <f>IF($M397="","","چک پرداختی")</f>
        <v/>
      </c>
      <c r="R397">
        <f>IF($M397="","",IF(COUNTIF(AcctCodesA,Sync!$AI397)=0,"ذی‌نفع چک تعریف‌نشده",""))</f>
        <v/>
      </c>
      <c r="S397">
        <f>IF($R397="","",Sync!$AG397&amp;"|"&amp;"5"&amp;RIGHT("00000"&amp;392,5))</f>
        <v/>
      </c>
      <c r="T397">
        <f>IF($S397="",0,COUNTIFS($S$6:$S$505,"&lt;"&amp;$S397)-COUNTIFS($S$6:$S$505,"&lt;"&amp;$S397,$R$6:$R$505,"")+1)</f>
        <v/>
      </c>
      <c r="V397">
        <f>IF($K397="","",IF(ISNUMBER(Sync!$AK397),Sync!$AK397,LEFT(Sync!$AK397,4)&amp;MID(Sync!$AK397,6,2)&amp;RIGHT(Sync!$AK397,2))&amp;"|"&amp;"4"&amp;RIGHT("00000"&amp;392,5))</f>
        <v/>
      </c>
      <c r="W397">
        <f>IF($V397="",0,COUNTIFS($V$6:$V$2005,"&lt;"&amp;$V397)-COUNTIFS($V$6:$V$2005,"&lt;"&amp;$V397,$K$6:$K$2005,"")+1)</f>
        <v/>
      </c>
      <c r="X397">
        <f>IF(Sync!$AX397="","",IF(OR(N(Sync!$AY397)=0,N(Sync!$AZ397)=0),"",ROUND(N(Sync!$AY397)*N(Sync!$AZ397),0)))</f>
        <v/>
      </c>
      <c r="Y397">
        <f>IF($X397="","",IF(OR(Sync!$AX397="",COUNTIF(AcctCodesA,Sync!$AX397)=0),"متفرقه",Sync!$AX397))</f>
        <v/>
      </c>
      <c r="Z397">
        <f>IF($X397="","","سبد و ظروف")</f>
        <v/>
      </c>
      <c r="AA397">
        <f>IF($X397="","",$Y397)</f>
        <v/>
      </c>
    </row>
    <row r="398">
      <c r="A398">
        <f>IF(Sync!$Z398="","",LEFT(UPPER(TRIM(Sync!$Z398)),6))</f>
        <v/>
      </c>
      <c r="B398">
        <f>IF($A398="","",IF(Sync!$AA398="","",Sync!$AA398))</f>
        <v/>
      </c>
      <c r="C398">
        <f>IF($A398="","",IF(Sync!$AB398="","",Sync!$AB398))</f>
        <v/>
      </c>
      <c r="D398">
        <f>IF($A398="","",IF(Sync!$AC398="","",Sync!$AC398))</f>
        <v/>
      </c>
      <c r="E398">
        <f>IF($A398="","",IF(Sync!$AD398="","",Sync!$AD398))</f>
        <v/>
      </c>
      <c r="F398">
        <f>IF($A398="","",IF(Sync!$AE398="",0,Sync!$AE398))</f>
        <v/>
      </c>
      <c r="G398">
        <f>IF($A398="","",IF(Sync!$AF398="",0,Sync!$AF398))</f>
        <v/>
      </c>
      <c r="H398">
        <f>IF(OR($A398="",ROUND($F398+$G398,2)=0),"",$F398+$G398)</f>
        <v/>
      </c>
      <c r="I398">
        <f>IF($H398="","",IF(ROUND($F398,2)&gt;0,$A398,IF($D398="شخصی قاسم","شخصی قاسم",IF($D398="هزینه","هزینه: "&amp;IF($E398="","متفرقه",$E398),IF($C398="پاس چک","چک پرداختی",IF(OR($B398="",COUNTIF(AcctCodesA,$B398)=0),"متفرقه",$B398))))))</f>
        <v/>
      </c>
      <c r="J398">
        <f>IF($H398="","",IF(ROUND($F398,2)&gt;0,IF($D398="شخصی قاسم","شخصی قاسم",IF($D398="هزینه","هزینه: "&amp;IF($E398="","متفرقه",$E398),IF(OR($B398="",COUNTIF(AcctCodesA,$B398)=0),"متفرقه",$B398))),$A398))</f>
        <v/>
      </c>
      <c r="K398">
        <f>IF($A398="","",IF(AND($B398&lt;&gt;"",COUNTIF(AcctCodesA,$B398)=0),"کد طرف در INFO تعریف نشده",IF(AND($D398="هزینه",$E398=""),"هزینه بدون زیرگروه",IF(AND($C398="پاس چک",OR(Sync!$AJ398="",COUNTIF(IssueNosA,Sync!$AJ398)=0)),"شماره چک پاس‌شده معتبر نیست",""))))</f>
        <v/>
      </c>
      <c r="M398">
        <f>IF(Sync!$AH398="","",Sync!$AH398)</f>
        <v/>
      </c>
      <c r="N398">
        <f>IF($M398="","",IF(OR(Sync!$AI398="",COUNTIF(AcctCodesA,Sync!$AI398)=0),"متفرقه",Sync!$AI398))</f>
        <v/>
      </c>
      <c r="O398">
        <f>IF($M398="","",$N398)</f>
        <v/>
      </c>
      <c r="P398">
        <f>IF($M398="","","چک پرداختی")</f>
        <v/>
      </c>
      <c r="R398">
        <f>IF($M398="","",IF(COUNTIF(AcctCodesA,Sync!$AI398)=0,"ذی‌نفع چک تعریف‌نشده",""))</f>
        <v/>
      </c>
      <c r="S398">
        <f>IF($R398="","",Sync!$AG398&amp;"|"&amp;"5"&amp;RIGHT("00000"&amp;393,5))</f>
        <v/>
      </c>
      <c r="T398">
        <f>IF($S398="",0,COUNTIFS($S$6:$S$505,"&lt;"&amp;$S398)-COUNTIFS($S$6:$S$505,"&lt;"&amp;$S398,$R$6:$R$505,"")+1)</f>
        <v/>
      </c>
      <c r="V398">
        <f>IF($K398="","",IF(ISNUMBER(Sync!$AK398),Sync!$AK398,LEFT(Sync!$AK398,4)&amp;MID(Sync!$AK398,6,2)&amp;RIGHT(Sync!$AK398,2))&amp;"|"&amp;"4"&amp;RIGHT("00000"&amp;393,5))</f>
        <v/>
      </c>
      <c r="W398">
        <f>IF($V398="",0,COUNTIFS($V$6:$V$2005,"&lt;"&amp;$V398)-COUNTIFS($V$6:$V$2005,"&lt;"&amp;$V398,$K$6:$K$2005,"")+1)</f>
        <v/>
      </c>
      <c r="X398">
        <f>IF(Sync!$AX398="","",IF(OR(N(Sync!$AY398)=0,N(Sync!$AZ398)=0),"",ROUND(N(Sync!$AY398)*N(Sync!$AZ398),0)))</f>
        <v/>
      </c>
      <c r="Y398">
        <f>IF($X398="","",IF(OR(Sync!$AX398="",COUNTIF(AcctCodesA,Sync!$AX398)=0),"متفرقه",Sync!$AX398))</f>
        <v/>
      </c>
      <c r="Z398">
        <f>IF($X398="","","سبد و ظروف")</f>
        <v/>
      </c>
      <c r="AA398">
        <f>IF($X398="","",$Y398)</f>
        <v/>
      </c>
    </row>
    <row r="399">
      <c r="A399">
        <f>IF(Sync!$Z399="","",LEFT(UPPER(TRIM(Sync!$Z399)),6))</f>
        <v/>
      </c>
      <c r="B399">
        <f>IF($A399="","",IF(Sync!$AA399="","",Sync!$AA399))</f>
        <v/>
      </c>
      <c r="C399">
        <f>IF($A399="","",IF(Sync!$AB399="","",Sync!$AB399))</f>
        <v/>
      </c>
      <c r="D399">
        <f>IF($A399="","",IF(Sync!$AC399="","",Sync!$AC399))</f>
        <v/>
      </c>
      <c r="E399">
        <f>IF($A399="","",IF(Sync!$AD399="","",Sync!$AD399))</f>
        <v/>
      </c>
      <c r="F399">
        <f>IF($A399="","",IF(Sync!$AE399="",0,Sync!$AE399))</f>
        <v/>
      </c>
      <c r="G399">
        <f>IF($A399="","",IF(Sync!$AF399="",0,Sync!$AF399))</f>
        <v/>
      </c>
      <c r="H399">
        <f>IF(OR($A399="",ROUND($F399+$G399,2)=0),"",$F399+$G399)</f>
        <v/>
      </c>
      <c r="I399">
        <f>IF($H399="","",IF(ROUND($F399,2)&gt;0,$A399,IF($D399="شخصی قاسم","شخصی قاسم",IF($D399="هزینه","هزینه: "&amp;IF($E399="","متفرقه",$E399),IF($C399="پاس چک","چک پرداختی",IF(OR($B399="",COUNTIF(AcctCodesA,$B399)=0),"متفرقه",$B399))))))</f>
        <v/>
      </c>
      <c r="J399">
        <f>IF($H399="","",IF(ROUND($F399,2)&gt;0,IF($D399="شخصی قاسم","شخصی قاسم",IF($D399="هزینه","هزینه: "&amp;IF($E399="","متفرقه",$E399),IF(OR($B399="",COUNTIF(AcctCodesA,$B399)=0),"متفرقه",$B399))),$A399))</f>
        <v/>
      </c>
      <c r="K399">
        <f>IF($A399="","",IF(AND($B399&lt;&gt;"",COUNTIF(AcctCodesA,$B399)=0),"کد طرف در INFO تعریف نشده",IF(AND($D399="هزینه",$E399=""),"هزینه بدون زیرگروه",IF(AND($C399="پاس چک",OR(Sync!$AJ399="",COUNTIF(IssueNosA,Sync!$AJ399)=0)),"شماره چک پاس‌شده معتبر نیست",""))))</f>
        <v/>
      </c>
      <c r="M399">
        <f>IF(Sync!$AH399="","",Sync!$AH399)</f>
        <v/>
      </c>
      <c r="N399">
        <f>IF($M399="","",IF(OR(Sync!$AI399="",COUNTIF(AcctCodesA,Sync!$AI399)=0),"متفرقه",Sync!$AI399))</f>
        <v/>
      </c>
      <c r="O399">
        <f>IF($M399="","",$N399)</f>
        <v/>
      </c>
      <c r="P399">
        <f>IF($M399="","","چک پرداختی")</f>
        <v/>
      </c>
      <c r="R399">
        <f>IF($M399="","",IF(COUNTIF(AcctCodesA,Sync!$AI399)=0,"ذی‌نفع چک تعریف‌نشده",""))</f>
        <v/>
      </c>
      <c r="S399">
        <f>IF($R399="","",Sync!$AG399&amp;"|"&amp;"5"&amp;RIGHT("00000"&amp;394,5))</f>
        <v/>
      </c>
      <c r="T399">
        <f>IF($S399="",0,COUNTIFS($S$6:$S$505,"&lt;"&amp;$S399)-COUNTIFS($S$6:$S$505,"&lt;"&amp;$S399,$R$6:$R$505,"")+1)</f>
        <v/>
      </c>
      <c r="V399">
        <f>IF($K399="","",IF(ISNUMBER(Sync!$AK399),Sync!$AK399,LEFT(Sync!$AK399,4)&amp;MID(Sync!$AK399,6,2)&amp;RIGHT(Sync!$AK399,2))&amp;"|"&amp;"4"&amp;RIGHT("00000"&amp;394,5))</f>
        <v/>
      </c>
      <c r="W399">
        <f>IF($V399="",0,COUNTIFS($V$6:$V$2005,"&lt;"&amp;$V399)-COUNTIFS($V$6:$V$2005,"&lt;"&amp;$V399,$K$6:$K$2005,"")+1)</f>
        <v/>
      </c>
      <c r="X399">
        <f>IF(Sync!$AX399="","",IF(OR(N(Sync!$AY399)=0,N(Sync!$AZ399)=0),"",ROUND(N(Sync!$AY399)*N(Sync!$AZ399),0)))</f>
        <v/>
      </c>
      <c r="Y399">
        <f>IF($X399="","",IF(OR(Sync!$AX399="",COUNTIF(AcctCodesA,Sync!$AX399)=0),"متفرقه",Sync!$AX399))</f>
        <v/>
      </c>
      <c r="Z399">
        <f>IF($X399="","","سبد و ظروف")</f>
        <v/>
      </c>
      <c r="AA399">
        <f>IF($X399="","",$Y399)</f>
        <v/>
      </c>
    </row>
    <row r="400">
      <c r="A400">
        <f>IF(Sync!$Z400="","",LEFT(UPPER(TRIM(Sync!$Z400)),6))</f>
        <v/>
      </c>
      <c r="B400">
        <f>IF($A400="","",IF(Sync!$AA400="","",Sync!$AA400))</f>
        <v/>
      </c>
      <c r="C400">
        <f>IF($A400="","",IF(Sync!$AB400="","",Sync!$AB400))</f>
        <v/>
      </c>
      <c r="D400">
        <f>IF($A400="","",IF(Sync!$AC400="","",Sync!$AC400))</f>
        <v/>
      </c>
      <c r="E400">
        <f>IF($A400="","",IF(Sync!$AD400="","",Sync!$AD400))</f>
        <v/>
      </c>
      <c r="F400">
        <f>IF($A400="","",IF(Sync!$AE400="",0,Sync!$AE400))</f>
        <v/>
      </c>
      <c r="G400">
        <f>IF($A400="","",IF(Sync!$AF400="",0,Sync!$AF400))</f>
        <v/>
      </c>
      <c r="H400">
        <f>IF(OR($A400="",ROUND($F400+$G400,2)=0),"",$F400+$G400)</f>
        <v/>
      </c>
      <c r="I400">
        <f>IF($H400="","",IF(ROUND($F400,2)&gt;0,$A400,IF($D400="شخصی قاسم","شخصی قاسم",IF($D400="هزینه","هزینه: "&amp;IF($E400="","متفرقه",$E400),IF($C400="پاس چک","چک پرداختی",IF(OR($B400="",COUNTIF(AcctCodesA,$B400)=0),"متفرقه",$B400))))))</f>
        <v/>
      </c>
      <c r="J400">
        <f>IF($H400="","",IF(ROUND($F400,2)&gt;0,IF($D400="شخصی قاسم","شخصی قاسم",IF($D400="هزینه","هزینه: "&amp;IF($E400="","متفرقه",$E400),IF(OR($B400="",COUNTIF(AcctCodesA,$B400)=0),"متفرقه",$B400))),$A400))</f>
        <v/>
      </c>
      <c r="K400">
        <f>IF($A400="","",IF(AND($B400&lt;&gt;"",COUNTIF(AcctCodesA,$B400)=0),"کد طرف در INFO تعریف نشده",IF(AND($D400="هزینه",$E400=""),"هزینه بدون زیرگروه",IF(AND($C400="پاس چک",OR(Sync!$AJ400="",COUNTIF(IssueNosA,Sync!$AJ400)=0)),"شماره چک پاس‌شده معتبر نیست",""))))</f>
        <v/>
      </c>
      <c r="M400">
        <f>IF(Sync!$AH400="","",Sync!$AH400)</f>
        <v/>
      </c>
      <c r="N400">
        <f>IF($M400="","",IF(OR(Sync!$AI400="",COUNTIF(AcctCodesA,Sync!$AI400)=0),"متفرقه",Sync!$AI400))</f>
        <v/>
      </c>
      <c r="O400">
        <f>IF($M400="","",$N400)</f>
        <v/>
      </c>
      <c r="P400">
        <f>IF($M400="","","چک پرداختی")</f>
        <v/>
      </c>
      <c r="R400">
        <f>IF($M400="","",IF(COUNTIF(AcctCodesA,Sync!$AI400)=0,"ذی‌نفع چک تعریف‌نشده",""))</f>
        <v/>
      </c>
      <c r="S400">
        <f>IF($R400="","",Sync!$AG400&amp;"|"&amp;"5"&amp;RIGHT("00000"&amp;395,5))</f>
        <v/>
      </c>
      <c r="T400">
        <f>IF($S400="",0,COUNTIFS($S$6:$S$505,"&lt;"&amp;$S400)-COUNTIFS($S$6:$S$505,"&lt;"&amp;$S400,$R$6:$R$505,"")+1)</f>
        <v/>
      </c>
      <c r="V400">
        <f>IF($K400="","",IF(ISNUMBER(Sync!$AK400),Sync!$AK400,LEFT(Sync!$AK400,4)&amp;MID(Sync!$AK400,6,2)&amp;RIGHT(Sync!$AK400,2))&amp;"|"&amp;"4"&amp;RIGHT("00000"&amp;395,5))</f>
        <v/>
      </c>
      <c r="W400">
        <f>IF($V400="",0,COUNTIFS($V$6:$V$2005,"&lt;"&amp;$V400)-COUNTIFS($V$6:$V$2005,"&lt;"&amp;$V400,$K$6:$K$2005,"")+1)</f>
        <v/>
      </c>
      <c r="X400">
        <f>IF(Sync!$AX400="","",IF(OR(N(Sync!$AY400)=0,N(Sync!$AZ400)=0),"",ROUND(N(Sync!$AY400)*N(Sync!$AZ400),0)))</f>
        <v/>
      </c>
      <c r="Y400">
        <f>IF($X400="","",IF(OR(Sync!$AX400="",COUNTIF(AcctCodesA,Sync!$AX400)=0),"متفرقه",Sync!$AX400))</f>
        <v/>
      </c>
      <c r="Z400">
        <f>IF($X400="","","سبد و ظروف")</f>
        <v/>
      </c>
      <c r="AA400">
        <f>IF($X400="","",$Y400)</f>
        <v/>
      </c>
    </row>
    <row r="401">
      <c r="A401">
        <f>IF(Sync!$Z401="","",LEFT(UPPER(TRIM(Sync!$Z401)),6))</f>
        <v/>
      </c>
      <c r="B401">
        <f>IF($A401="","",IF(Sync!$AA401="","",Sync!$AA401))</f>
        <v/>
      </c>
      <c r="C401">
        <f>IF($A401="","",IF(Sync!$AB401="","",Sync!$AB401))</f>
        <v/>
      </c>
      <c r="D401">
        <f>IF($A401="","",IF(Sync!$AC401="","",Sync!$AC401))</f>
        <v/>
      </c>
      <c r="E401">
        <f>IF($A401="","",IF(Sync!$AD401="","",Sync!$AD401))</f>
        <v/>
      </c>
      <c r="F401">
        <f>IF($A401="","",IF(Sync!$AE401="",0,Sync!$AE401))</f>
        <v/>
      </c>
      <c r="G401">
        <f>IF($A401="","",IF(Sync!$AF401="",0,Sync!$AF401))</f>
        <v/>
      </c>
      <c r="H401">
        <f>IF(OR($A401="",ROUND($F401+$G401,2)=0),"",$F401+$G401)</f>
        <v/>
      </c>
      <c r="I401">
        <f>IF($H401="","",IF(ROUND($F401,2)&gt;0,$A401,IF($D401="شخصی قاسم","شخصی قاسم",IF($D401="هزینه","هزینه: "&amp;IF($E401="","متفرقه",$E401),IF($C401="پاس چک","چک پرداختی",IF(OR($B401="",COUNTIF(AcctCodesA,$B401)=0),"متفرقه",$B401))))))</f>
        <v/>
      </c>
      <c r="J401">
        <f>IF($H401="","",IF(ROUND($F401,2)&gt;0,IF($D401="شخصی قاسم","شخصی قاسم",IF($D401="هزینه","هزینه: "&amp;IF($E401="","متفرقه",$E401),IF(OR($B401="",COUNTIF(AcctCodesA,$B401)=0),"متفرقه",$B401))),$A401))</f>
        <v/>
      </c>
      <c r="K401">
        <f>IF($A401="","",IF(AND($B401&lt;&gt;"",COUNTIF(AcctCodesA,$B401)=0),"کد طرف در INFO تعریف نشده",IF(AND($D401="هزینه",$E401=""),"هزینه بدون زیرگروه",IF(AND($C401="پاس چک",OR(Sync!$AJ401="",COUNTIF(IssueNosA,Sync!$AJ401)=0)),"شماره چک پاس‌شده معتبر نیست",""))))</f>
        <v/>
      </c>
      <c r="M401">
        <f>IF(Sync!$AH401="","",Sync!$AH401)</f>
        <v/>
      </c>
      <c r="N401">
        <f>IF($M401="","",IF(OR(Sync!$AI401="",COUNTIF(AcctCodesA,Sync!$AI401)=0),"متفرقه",Sync!$AI401))</f>
        <v/>
      </c>
      <c r="O401">
        <f>IF($M401="","",$N401)</f>
        <v/>
      </c>
      <c r="P401">
        <f>IF($M401="","","چک پرداختی")</f>
        <v/>
      </c>
      <c r="R401">
        <f>IF($M401="","",IF(COUNTIF(AcctCodesA,Sync!$AI401)=0,"ذی‌نفع چک تعریف‌نشده",""))</f>
        <v/>
      </c>
      <c r="S401">
        <f>IF($R401="","",Sync!$AG401&amp;"|"&amp;"5"&amp;RIGHT("00000"&amp;396,5))</f>
        <v/>
      </c>
      <c r="T401">
        <f>IF($S401="",0,COUNTIFS($S$6:$S$505,"&lt;"&amp;$S401)-COUNTIFS($S$6:$S$505,"&lt;"&amp;$S401,$R$6:$R$505,"")+1)</f>
        <v/>
      </c>
      <c r="V401">
        <f>IF($K401="","",IF(ISNUMBER(Sync!$AK401),Sync!$AK401,LEFT(Sync!$AK401,4)&amp;MID(Sync!$AK401,6,2)&amp;RIGHT(Sync!$AK401,2))&amp;"|"&amp;"4"&amp;RIGHT("00000"&amp;396,5))</f>
        <v/>
      </c>
      <c r="W401">
        <f>IF($V401="",0,COUNTIFS($V$6:$V$2005,"&lt;"&amp;$V401)-COUNTIFS($V$6:$V$2005,"&lt;"&amp;$V401,$K$6:$K$2005,"")+1)</f>
        <v/>
      </c>
      <c r="X401">
        <f>IF(Sync!$AX401="","",IF(OR(N(Sync!$AY401)=0,N(Sync!$AZ401)=0),"",ROUND(N(Sync!$AY401)*N(Sync!$AZ401),0)))</f>
        <v/>
      </c>
      <c r="Y401">
        <f>IF($X401="","",IF(OR(Sync!$AX401="",COUNTIF(AcctCodesA,Sync!$AX401)=0),"متفرقه",Sync!$AX401))</f>
        <v/>
      </c>
      <c r="Z401">
        <f>IF($X401="","","سبد و ظروف")</f>
        <v/>
      </c>
      <c r="AA401">
        <f>IF($X401="","",$Y401)</f>
        <v/>
      </c>
    </row>
    <row r="402">
      <c r="A402">
        <f>IF(Sync!$Z402="","",LEFT(UPPER(TRIM(Sync!$Z402)),6))</f>
        <v/>
      </c>
      <c r="B402">
        <f>IF($A402="","",IF(Sync!$AA402="","",Sync!$AA402))</f>
        <v/>
      </c>
      <c r="C402">
        <f>IF($A402="","",IF(Sync!$AB402="","",Sync!$AB402))</f>
        <v/>
      </c>
      <c r="D402">
        <f>IF($A402="","",IF(Sync!$AC402="","",Sync!$AC402))</f>
        <v/>
      </c>
      <c r="E402">
        <f>IF($A402="","",IF(Sync!$AD402="","",Sync!$AD402))</f>
        <v/>
      </c>
      <c r="F402">
        <f>IF($A402="","",IF(Sync!$AE402="",0,Sync!$AE402))</f>
        <v/>
      </c>
      <c r="G402">
        <f>IF($A402="","",IF(Sync!$AF402="",0,Sync!$AF402))</f>
        <v/>
      </c>
      <c r="H402">
        <f>IF(OR($A402="",ROUND($F402+$G402,2)=0),"",$F402+$G402)</f>
        <v/>
      </c>
      <c r="I402">
        <f>IF($H402="","",IF(ROUND($F402,2)&gt;0,$A402,IF($D402="شخصی قاسم","شخصی قاسم",IF($D402="هزینه","هزینه: "&amp;IF($E402="","متفرقه",$E402),IF($C402="پاس چک","چک پرداختی",IF(OR($B402="",COUNTIF(AcctCodesA,$B402)=0),"متفرقه",$B402))))))</f>
        <v/>
      </c>
      <c r="J402">
        <f>IF($H402="","",IF(ROUND($F402,2)&gt;0,IF($D402="شخصی قاسم","شخصی قاسم",IF($D402="هزینه","هزینه: "&amp;IF($E402="","متفرقه",$E402),IF(OR($B402="",COUNTIF(AcctCodesA,$B402)=0),"متفرقه",$B402))),$A402))</f>
        <v/>
      </c>
      <c r="K402">
        <f>IF($A402="","",IF(AND($B402&lt;&gt;"",COUNTIF(AcctCodesA,$B402)=0),"کد طرف در INFO تعریف نشده",IF(AND($D402="هزینه",$E402=""),"هزینه بدون زیرگروه",IF(AND($C402="پاس چک",OR(Sync!$AJ402="",COUNTIF(IssueNosA,Sync!$AJ402)=0)),"شماره چک پاس‌شده معتبر نیست",""))))</f>
        <v/>
      </c>
      <c r="M402">
        <f>IF(Sync!$AH402="","",Sync!$AH402)</f>
        <v/>
      </c>
      <c r="N402">
        <f>IF($M402="","",IF(OR(Sync!$AI402="",COUNTIF(AcctCodesA,Sync!$AI402)=0),"متفرقه",Sync!$AI402))</f>
        <v/>
      </c>
      <c r="O402">
        <f>IF($M402="","",$N402)</f>
        <v/>
      </c>
      <c r="P402">
        <f>IF($M402="","","چک پرداختی")</f>
        <v/>
      </c>
      <c r="R402">
        <f>IF($M402="","",IF(COUNTIF(AcctCodesA,Sync!$AI402)=0,"ذی‌نفع چک تعریف‌نشده",""))</f>
        <v/>
      </c>
      <c r="S402">
        <f>IF($R402="","",Sync!$AG402&amp;"|"&amp;"5"&amp;RIGHT("00000"&amp;397,5))</f>
        <v/>
      </c>
      <c r="T402">
        <f>IF($S402="",0,COUNTIFS($S$6:$S$505,"&lt;"&amp;$S402)-COUNTIFS($S$6:$S$505,"&lt;"&amp;$S402,$R$6:$R$505,"")+1)</f>
        <v/>
      </c>
      <c r="V402">
        <f>IF($K402="","",IF(ISNUMBER(Sync!$AK402),Sync!$AK402,LEFT(Sync!$AK402,4)&amp;MID(Sync!$AK402,6,2)&amp;RIGHT(Sync!$AK402,2))&amp;"|"&amp;"4"&amp;RIGHT("00000"&amp;397,5))</f>
        <v/>
      </c>
      <c r="W402">
        <f>IF($V402="",0,COUNTIFS($V$6:$V$2005,"&lt;"&amp;$V402)-COUNTIFS($V$6:$V$2005,"&lt;"&amp;$V402,$K$6:$K$2005,"")+1)</f>
        <v/>
      </c>
      <c r="X402">
        <f>IF(Sync!$AX402="","",IF(OR(N(Sync!$AY402)=0,N(Sync!$AZ402)=0),"",ROUND(N(Sync!$AY402)*N(Sync!$AZ402),0)))</f>
        <v/>
      </c>
      <c r="Y402">
        <f>IF($X402="","",IF(OR(Sync!$AX402="",COUNTIF(AcctCodesA,Sync!$AX402)=0),"متفرقه",Sync!$AX402))</f>
        <v/>
      </c>
      <c r="Z402">
        <f>IF($X402="","","سبد و ظروف")</f>
        <v/>
      </c>
      <c r="AA402">
        <f>IF($X402="","",$Y402)</f>
        <v/>
      </c>
    </row>
    <row r="403">
      <c r="A403">
        <f>IF(Sync!$Z403="","",LEFT(UPPER(TRIM(Sync!$Z403)),6))</f>
        <v/>
      </c>
      <c r="B403">
        <f>IF($A403="","",IF(Sync!$AA403="","",Sync!$AA403))</f>
        <v/>
      </c>
      <c r="C403">
        <f>IF($A403="","",IF(Sync!$AB403="","",Sync!$AB403))</f>
        <v/>
      </c>
      <c r="D403">
        <f>IF($A403="","",IF(Sync!$AC403="","",Sync!$AC403))</f>
        <v/>
      </c>
      <c r="E403">
        <f>IF($A403="","",IF(Sync!$AD403="","",Sync!$AD403))</f>
        <v/>
      </c>
      <c r="F403">
        <f>IF($A403="","",IF(Sync!$AE403="",0,Sync!$AE403))</f>
        <v/>
      </c>
      <c r="G403">
        <f>IF($A403="","",IF(Sync!$AF403="",0,Sync!$AF403))</f>
        <v/>
      </c>
      <c r="H403">
        <f>IF(OR($A403="",ROUND($F403+$G403,2)=0),"",$F403+$G403)</f>
        <v/>
      </c>
      <c r="I403">
        <f>IF($H403="","",IF(ROUND($F403,2)&gt;0,$A403,IF($D403="شخصی قاسم","شخصی قاسم",IF($D403="هزینه","هزینه: "&amp;IF($E403="","متفرقه",$E403),IF($C403="پاس چک","چک پرداختی",IF(OR($B403="",COUNTIF(AcctCodesA,$B403)=0),"متفرقه",$B403))))))</f>
        <v/>
      </c>
      <c r="J403">
        <f>IF($H403="","",IF(ROUND($F403,2)&gt;0,IF($D403="شخصی قاسم","شخصی قاسم",IF($D403="هزینه","هزینه: "&amp;IF($E403="","متفرقه",$E403),IF(OR($B403="",COUNTIF(AcctCodesA,$B403)=0),"متفرقه",$B403))),$A403))</f>
        <v/>
      </c>
      <c r="K403">
        <f>IF($A403="","",IF(AND($B403&lt;&gt;"",COUNTIF(AcctCodesA,$B403)=0),"کد طرف در INFO تعریف نشده",IF(AND($D403="هزینه",$E403=""),"هزینه بدون زیرگروه",IF(AND($C403="پاس چک",OR(Sync!$AJ403="",COUNTIF(IssueNosA,Sync!$AJ403)=0)),"شماره چک پاس‌شده معتبر نیست",""))))</f>
        <v/>
      </c>
      <c r="M403">
        <f>IF(Sync!$AH403="","",Sync!$AH403)</f>
        <v/>
      </c>
      <c r="N403">
        <f>IF($M403="","",IF(OR(Sync!$AI403="",COUNTIF(AcctCodesA,Sync!$AI403)=0),"متفرقه",Sync!$AI403))</f>
        <v/>
      </c>
      <c r="O403">
        <f>IF($M403="","",$N403)</f>
        <v/>
      </c>
      <c r="P403">
        <f>IF($M403="","","چک پرداختی")</f>
        <v/>
      </c>
      <c r="R403">
        <f>IF($M403="","",IF(COUNTIF(AcctCodesA,Sync!$AI403)=0,"ذی‌نفع چک تعریف‌نشده",""))</f>
        <v/>
      </c>
      <c r="S403">
        <f>IF($R403="","",Sync!$AG403&amp;"|"&amp;"5"&amp;RIGHT("00000"&amp;398,5))</f>
        <v/>
      </c>
      <c r="T403">
        <f>IF($S403="",0,COUNTIFS($S$6:$S$505,"&lt;"&amp;$S403)-COUNTIFS($S$6:$S$505,"&lt;"&amp;$S403,$R$6:$R$505,"")+1)</f>
        <v/>
      </c>
      <c r="V403">
        <f>IF($K403="","",IF(ISNUMBER(Sync!$AK403),Sync!$AK403,LEFT(Sync!$AK403,4)&amp;MID(Sync!$AK403,6,2)&amp;RIGHT(Sync!$AK403,2))&amp;"|"&amp;"4"&amp;RIGHT("00000"&amp;398,5))</f>
        <v/>
      </c>
      <c r="W403">
        <f>IF($V403="",0,COUNTIFS($V$6:$V$2005,"&lt;"&amp;$V403)-COUNTIFS($V$6:$V$2005,"&lt;"&amp;$V403,$K$6:$K$2005,"")+1)</f>
        <v/>
      </c>
      <c r="X403">
        <f>IF(Sync!$AX403="","",IF(OR(N(Sync!$AY403)=0,N(Sync!$AZ403)=0),"",ROUND(N(Sync!$AY403)*N(Sync!$AZ403),0)))</f>
        <v/>
      </c>
      <c r="Y403">
        <f>IF($X403="","",IF(OR(Sync!$AX403="",COUNTIF(AcctCodesA,Sync!$AX403)=0),"متفرقه",Sync!$AX403))</f>
        <v/>
      </c>
      <c r="Z403">
        <f>IF($X403="","","سبد و ظروف")</f>
        <v/>
      </c>
      <c r="AA403">
        <f>IF($X403="","",$Y403)</f>
        <v/>
      </c>
    </row>
    <row r="404">
      <c r="A404">
        <f>IF(Sync!$Z404="","",LEFT(UPPER(TRIM(Sync!$Z404)),6))</f>
        <v/>
      </c>
      <c r="B404">
        <f>IF($A404="","",IF(Sync!$AA404="","",Sync!$AA404))</f>
        <v/>
      </c>
      <c r="C404">
        <f>IF($A404="","",IF(Sync!$AB404="","",Sync!$AB404))</f>
        <v/>
      </c>
      <c r="D404">
        <f>IF($A404="","",IF(Sync!$AC404="","",Sync!$AC404))</f>
        <v/>
      </c>
      <c r="E404">
        <f>IF($A404="","",IF(Sync!$AD404="","",Sync!$AD404))</f>
        <v/>
      </c>
      <c r="F404">
        <f>IF($A404="","",IF(Sync!$AE404="",0,Sync!$AE404))</f>
        <v/>
      </c>
      <c r="G404">
        <f>IF($A404="","",IF(Sync!$AF404="",0,Sync!$AF404))</f>
        <v/>
      </c>
      <c r="H404">
        <f>IF(OR($A404="",ROUND($F404+$G404,2)=0),"",$F404+$G404)</f>
        <v/>
      </c>
      <c r="I404">
        <f>IF($H404="","",IF(ROUND($F404,2)&gt;0,$A404,IF($D404="شخصی قاسم","شخصی قاسم",IF($D404="هزینه","هزینه: "&amp;IF($E404="","متفرقه",$E404),IF($C404="پاس چک","چک پرداختی",IF(OR($B404="",COUNTIF(AcctCodesA,$B404)=0),"متفرقه",$B404))))))</f>
        <v/>
      </c>
      <c r="J404">
        <f>IF($H404="","",IF(ROUND($F404,2)&gt;0,IF($D404="شخصی قاسم","شخصی قاسم",IF($D404="هزینه","هزینه: "&amp;IF($E404="","متفرقه",$E404),IF(OR($B404="",COUNTIF(AcctCodesA,$B404)=0),"متفرقه",$B404))),$A404))</f>
        <v/>
      </c>
      <c r="K404">
        <f>IF($A404="","",IF(AND($B404&lt;&gt;"",COUNTIF(AcctCodesA,$B404)=0),"کد طرف در INFO تعریف نشده",IF(AND($D404="هزینه",$E404=""),"هزینه بدون زیرگروه",IF(AND($C404="پاس چک",OR(Sync!$AJ404="",COUNTIF(IssueNosA,Sync!$AJ404)=0)),"شماره چک پاس‌شده معتبر نیست",""))))</f>
        <v/>
      </c>
      <c r="M404">
        <f>IF(Sync!$AH404="","",Sync!$AH404)</f>
        <v/>
      </c>
      <c r="N404">
        <f>IF($M404="","",IF(OR(Sync!$AI404="",COUNTIF(AcctCodesA,Sync!$AI404)=0),"متفرقه",Sync!$AI404))</f>
        <v/>
      </c>
      <c r="O404">
        <f>IF($M404="","",$N404)</f>
        <v/>
      </c>
      <c r="P404">
        <f>IF($M404="","","چک پرداختی")</f>
        <v/>
      </c>
      <c r="R404">
        <f>IF($M404="","",IF(COUNTIF(AcctCodesA,Sync!$AI404)=0,"ذی‌نفع چک تعریف‌نشده",""))</f>
        <v/>
      </c>
      <c r="S404">
        <f>IF($R404="","",Sync!$AG404&amp;"|"&amp;"5"&amp;RIGHT("00000"&amp;399,5))</f>
        <v/>
      </c>
      <c r="T404">
        <f>IF($S404="",0,COUNTIFS($S$6:$S$505,"&lt;"&amp;$S404)-COUNTIFS($S$6:$S$505,"&lt;"&amp;$S404,$R$6:$R$505,"")+1)</f>
        <v/>
      </c>
      <c r="V404">
        <f>IF($K404="","",IF(ISNUMBER(Sync!$AK404),Sync!$AK404,LEFT(Sync!$AK404,4)&amp;MID(Sync!$AK404,6,2)&amp;RIGHT(Sync!$AK404,2))&amp;"|"&amp;"4"&amp;RIGHT("00000"&amp;399,5))</f>
        <v/>
      </c>
      <c r="W404">
        <f>IF($V404="",0,COUNTIFS($V$6:$V$2005,"&lt;"&amp;$V404)-COUNTIFS($V$6:$V$2005,"&lt;"&amp;$V404,$K$6:$K$2005,"")+1)</f>
        <v/>
      </c>
      <c r="X404">
        <f>IF(Sync!$AX404="","",IF(OR(N(Sync!$AY404)=0,N(Sync!$AZ404)=0),"",ROUND(N(Sync!$AY404)*N(Sync!$AZ404),0)))</f>
        <v/>
      </c>
      <c r="Y404">
        <f>IF($X404="","",IF(OR(Sync!$AX404="",COUNTIF(AcctCodesA,Sync!$AX404)=0),"متفرقه",Sync!$AX404))</f>
        <v/>
      </c>
      <c r="Z404">
        <f>IF($X404="","","سبد و ظروف")</f>
        <v/>
      </c>
      <c r="AA404">
        <f>IF($X404="","",$Y404)</f>
        <v/>
      </c>
    </row>
    <row r="405">
      <c r="A405">
        <f>IF(Sync!$Z405="","",LEFT(UPPER(TRIM(Sync!$Z405)),6))</f>
        <v/>
      </c>
      <c r="B405">
        <f>IF($A405="","",IF(Sync!$AA405="","",Sync!$AA405))</f>
        <v/>
      </c>
      <c r="C405">
        <f>IF($A405="","",IF(Sync!$AB405="","",Sync!$AB405))</f>
        <v/>
      </c>
      <c r="D405">
        <f>IF($A405="","",IF(Sync!$AC405="","",Sync!$AC405))</f>
        <v/>
      </c>
      <c r="E405">
        <f>IF($A405="","",IF(Sync!$AD405="","",Sync!$AD405))</f>
        <v/>
      </c>
      <c r="F405">
        <f>IF($A405="","",IF(Sync!$AE405="",0,Sync!$AE405))</f>
        <v/>
      </c>
      <c r="G405">
        <f>IF($A405="","",IF(Sync!$AF405="",0,Sync!$AF405))</f>
        <v/>
      </c>
      <c r="H405">
        <f>IF(OR($A405="",ROUND($F405+$G405,2)=0),"",$F405+$G405)</f>
        <v/>
      </c>
      <c r="I405">
        <f>IF($H405="","",IF(ROUND($F405,2)&gt;0,$A405,IF($D405="شخصی قاسم","شخصی قاسم",IF($D405="هزینه","هزینه: "&amp;IF($E405="","متفرقه",$E405),IF($C405="پاس چک","چک پرداختی",IF(OR($B405="",COUNTIF(AcctCodesA,$B405)=0),"متفرقه",$B405))))))</f>
        <v/>
      </c>
      <c r="J405">
        <f>IF($H405="","",IF(ROUND($F405,2)&gt;0,IF($D405="شخصی قاسم","شخصی قاسم",IF($D405="هزینه","هزینه: "&amp;IF($E405="","متفرقه",$E405),IF(OR($B405="",COUNTIF(AcctCodesA,$B405)=0),"متفرقه",$B405))),$A405))</f>
        <v/>
      </c>
      <c r="K405">
        <f>IF($A405="","",IF(AND($B405&lt;&gt;"",COUNTIF(AcctCodesA,$B405)=0),"کد طرف در INFO تعریف نشده",IF(AND($D405="هزینه",$E405=""),"هزینه بدون زیرگروه",IF(AND($C405="پاس چک",OR(Sync!$AJ405="",COUNTIF(IssueNosA,Sync!$AJ405)=0)),"شماره چک پاس‌شده معتبر نیست",""))))</f>
        <v/>
      </c>
      <c r="M405">
        <f>IF(Sync!$AH405="","",Sync!$AH405)</f>
        <v/>
      </c>
      <c r="N405">
        <f>IF($M405="","",IF(OR(Sync!$AI405="",COUNTIF(AcctCodesA,Sync!$AI405)=0),"متفرقه",Sync!$AI405))</f>
        <v/>
      </c>
      <c r="O405">
        <f>IF($M405="","",$N405)</f>
        <v/>
      </c>
      <c r="P405">
        <f>IF($M405="","","چک پرداختی")</f>
        <v/>
      </c>
      <c r="R405">
        <f>IF($M405="","",IF(COUNTIF(AcctCodesA,Sync!$AI405)=0,"ذی‌نفع چک تعریف‌نشده",""))</f>
        <v/>
      </c>
      <c r="S405">
        <f>IF($R405="","",Sync!$AG405&amp;"|"&amp;"5"&amp;RIGHT("00000"&amp;400,5))</f>
        <v/>
      </c>
      <c r="T405">
        <f>IF($S405="",0,COUNTIFS($S$6:$S$505,"&lt;"&amp;$S405)-COUNTIFS($S$6:$S$505,"&lt;"&amp;$S405,$R$6:$R$505,"")+1)</f>
        <v/>
      </c>
      <c r="V405">
        <f>IF($K405="","",IF(ISNUMBER(Sync!$AK405),Sync!$AK405,LEFT(Sync!$AK405,4)&amp;MID(Sync!$AK405,6,2)&amp;RIGHT(Sync!$AK405,2))&amp;"|"&amp;"4"&amp;RIGHT("00000"&amp;400,5))</f>
        <v/>
      </c>
      <c r="W405">
        <f>IF($V405="",0,COUNTIFS($V$6:$V$2005,"&lt;"&amp;$V405)-COUNTIFS($V$6:$V$2005,"&lt;"&amp;$V405,$K$6:$K$2005,"")+1)</f>
        <v/>
      </c>
      <c r="X405">
        <f>IF(Sync!$AX405="","",IF(OR(N(Sync!$AY405)=0,N(Sync!$AZ405)=0),"",ROUND(N(Sync!$AY405)*N(Sync!$AZ405),0)))</f>
        <v/>
      </c>
      <c r="Y405">
        <f>IF($X405="","",IF(OR(Sync!$AX405="",COUNTIF(AcctCodesA,Sync!$AX405)=0),"متفرقه",Sync!$AX405))</f>
        <v/>
      </c>
      <c r="Z405">
        <f>IF($X405="","","سبد و ظروف")</f>
        <v/>
      </c>
      <c r="AA405">
        <f>IF($X405="","",$Y405)</f>
        <v/>
      </c>
    </row>
    <row r="406">
      <c r="A406">
        <f>IF(Sync!$Z406="","",LEFT(UPPER(TRIM(Sync!$Z406)),6))</f>
        <v/>
      </c>
      <c r="B406">
        <f>IF($A406="","",IF(Sync!$AA406="","",Sync!$AA406))</f>
        <v/>
      </c>
      <c r="C406">
        <f>IF($A406="","",IF(Sync!$AB406="","",Sync!$AB406))</f>
        <v/>
      </c>
      <c r="D406">
        <f>IF($A406="","",IF(Sync!$AC406="","",Sync!$AC406))</f>
        <v/>
      </c>
      <c r="E406">
        <f>IF($A406="","",IF(Sync!$AD406="","",Sync!$AD406))</f>
        <v/>
      </c>
      <c r="F406">
        <f>IF($A406="","",IF(Sync!$AE406="",0,Sync!$AE406))</f>
        <v/>
      </c>
      <c r="G406">
        <f>IF($A406="","",IF(Sync!$AF406="",0,Sync!$AF406))</f>
        <v/>
      </c>
      <c r="H406">
        <f>IF(OR($A406="",ROUND($F406+$G406,2)=0),"",$F406+$G406)</f>
        <v/>
      </c>
      <c r="I406">
        <f>IF($H406="","",IF(ROUND($F406,2)&gt;0,$A406,IF($D406="شخصی قاسم","شخصی قاسم",IF($D406="هزینه","هزینه: "&amp;IF($E406="","متفرقه",$E406),IF($C406="پاس چک","چک پرداختی",IF(OR($B406="",COUNTIF(AcctCodesA,$B406)=0),"متفرقه",$B406))))))</f>
        <v/>
      </c>
      <c r="J406">
        <f>IF($H406="","",IF(ROUND($F406,2)&gt;0,IF($D406="شخصی قاسم","شخصی قاسم",IF($D406="هزینه","هزینه: "&amp;IF($E406="","متفرقه",$E406),IF(OR($B406="",COUNTIF(AcctCodesA,$B406)=0),"متفرقه",$B406))),$A406))</f>
        <v/>
      </c>
      <c r="K406">
        <f>IF($A406="","",IF(AND($B406&lt;&gt;"",COUNTIF(AcctCodesA,$B406)=0),"کد طرف در INFO تعریف نشده",IF(AND($D406="هزینه",$E406=""),"هزینه بدون زیرگروه",IF(AND($C406="پاس چک",OR(Sync!$AJ406="",COUNTIF(IssueNosA,Sync!$AJ406)=0)),"شماره چک پاس‌شده معتبر نیست",""))))</f>
        <v/>
      </c>
      <c r="M406">
        <f>IF(Sync!$AH406="","",Sync!$AH406)</f>
        <v/>
      </c>
      <c r="N406">
        <f>IF($M406="","",IF(OR(Sync!$AI406="",COUNTIF(AcctCodesA,Sync!$AI406)=0),"متفرقه",Sync!$AI406))</f>
        <v/>
      </c>
      <c r="O406">
        <f>IF($M406="","",$N406)</f>
        <v/>
      </c>
      <c r="P406">
        <f>IF($M406="","","چک پرداختی")</f>
        <v/>
      </c>
      <c r="R406">
        <f>IF($M406="","",IF(COUNTIF(AcctCodesA,Sync!$AI406)=0,"ذی‌نفع چک تعریف‌نشده",""))</f>
        <v/>
      </c>
      <c r="S406">
        <f>IF($R406="","",Sync!$AG406&amp;"|"&amp;"5"&amp;RIGHT("00000"&amp;401,5))</f>
        <v/>
      </c>
      <c r="T406">
        <f>IF($S406="",0,COUNTIFS($S$6:$S$505,"&lt;"&amp;$S406)-COUNTIFS($S$6:$S$505,"&lt;"&amp;$S406,$R$6:$R$505,"")+1)</f>
        <v/>
      </c>
      <c r="V406">
        <f>IF($K406="","",IF(ISNUMBER(Sync!$AK406),Sync!$AK406,LEFT(Sync!$AK406,4)&amp;MID(Sync!$AK406,6,2)&amp;RIGHT(Sync!$AK406,2))&amp;"|"&amp;"4"&amp;RIGHT("00000"&amp;401,5))</f>
        <v/>
      </c>
      <c r="W406">
        <f>IF($V406="",0,COUNTIFS($V$6:$V$2005,"&lt;"&amp;$V406)-COUNTIFS($V$6:$V$2005,"&lt;"&amp;$V406,$K$6:$K$2005,"")+1)</f>
        <v/>
      </c>
      <c r="X406">
        <f>IF(Sync!$AX406="","",IF(OR(N(Sync!$AY406)=0,N(Sync!$AZ406)=0),"",ROUND(N(Sync!$AY406)*N(Sync!$AZ406),0)))</f>
        <v/>
      </c>
      <c r="Y406">
        <f>IF($X406="","",IF(OR(Sync!$AX406="",COUNTIF(AcctCodesA,Sync!$AX406)=0),"متفرقه",Sync!$AX406))</f>
        <v/>
      </c>
      <c r="Z406">
        <f>IF($X406="","","سبد و ظروف")</f>
        <v/>
      </c>
      <c r="AA406">
        <f>IF($X406="","",$Y406)</f>
        <v/>
      </c>
    </row>
    <row r="407">
      <c r="A407">
        <f>IF(Sync!$Z407="","",LEFT(UPPER(TRIM(Sync!$Z407)),6))</f>
        <v/>
      </c>
      <c r="B407">
        <f>IF($A407="","",IF(Sync!$AA407="","",Sync!$AA407))</f>
        <v/>
      </c>
      <c r="C407">
        <f>IF($A407="","",IF(Sync!$AB407="","",Sync!$AB407))</f>
        <v/>
      </c>
      <c r="D407">
        <f>IF($A407="","",IF(Sync!$AC407="","",Sync!$AC407))</f>
        <v/>
      </c>
      <c r="E407">
        <f>IF($A407="","",IF(Sync!$AD407="","",Sync!$AD407))</f>
        <v/>
      </c>
      <c r="F407">
        <f>IF($A407="","",IF(Sync!$AE407="",0,Sync!$AE407))</f>
        <v/>
      </c>
      <c r="G407">
        <f>IF($A407="","",IF(Sync!$AF407="",0,Sync!$AF407))</f>
        <v/>
      </c>
      <c r="H407">
        <f>IF(OR($A407="",ROUND($F407+$G407,2)=0),"",$F407+$G407)</f>
        <v/>
      </c>
      <c r="I407">
        <f>IF($H407="","",IF(ROUND($F407,2)&gt;0,$A407,IF($D407="شخصی قاسم","شخصی قاسم",IF($D407="هزینه","هزینه: "&amp;IF($E407="","متفرقه",$E407),IF($C407="پاس چک","چک پرداختی",IF(OR($B407="",COUNTIF(AcctCodesA,$B407)=0),"متفرقه",$B407))))))</f>
        <v/>
      </c>
      <c r="J407">
        <f>IF($H407="","",IF(ROUND($F407,2)&gt;0,IF($D407="شخصی قاسم","شخصی قاسم",IF($D407="هزینه","هزینه: "&amp;IF($E407="","متفرقه",$E407),IF(OR($B407="",COUNTIF(AcctCodesA,$B407)=0),"متفرقه",$B407))),$A407))</f>
        <v/>
      </c>
      <c r="K407">
        <f>IF($A407="","",IF(AND($B407&lt;&gt;"",COUNTIF(AcctCodesA,$B407)=0),"کد طرف در INFO تعریف نشده",IF(AND($D407="هزینه",$E407=""),"هزینه بدون زیرگروه",IF(AND($C407="پاس چک",OR(Sync!$AJ407="",COUNTIF(IssueNosA,Sync!$AJ407)=0)),"شماره چک پاس‌شده معتبر نیست",""))))</f>
        <v/>
      </c>
      <c r="M407">
        <f>IF(Sync!$AH407="","",Sync!$AH407)</f>
        <v/>
      </c>
      <c r="N407">
        <f>IF($M407="","",IF(OR(Sync!$AI407="",COUNTIF(AcctCodesA,Sync!$AI407)=0),"متفرقه",Sync!$AI407))</f>
        <v/>
      </c>
      <c r="O407">
        <f>IF($M407="","",$N407)</f>
        <v/>
      </c>
      <c r="P407">
        <f>IF($M407="","","چک پرداختی")</f>
        <v/>
      </c>
      <c r="R407">
        <f>IF($M407="","",IF(COUNTIF(AcctCodesA,Sync!$AI407)=0,"ذی‌نفع چک تعریف‌نشده",""))</f>
        <v/>
      </c>
      <c r="S407">
        <f>IF($R407="","",Sync!$AG407&amp;"|"&amp;"5"&amp;RIGHT("00000"&amp;402,5))</f>
        <v/>
      </c>
      <c r="T407">
        <f>IF($S407="",0,COUNTIFS($S$6:$S$505,"&lt;"&amp;$S407)-COUNTIFS($S$6:$S$505,"&lt;"&amp;$S407,$R$6:$R$505,"")+1)</f>
        <v/>
      </c>
      <c r="V407">
        <f>IF($K407="","",IF(ISNUMBER(Sync!$AK407),Sync!$AK407,LEFT(Sync!$AK407,4)&amp;MID(Sync!$AK407,6,2)&amp;RIGHT(Sync!$AK407,2))&amp;"|"&amp;"4"&amp;RIGHT("00000"&amp;402,5))</f>
        <v/>
      </c>
      <c r="W407">
        <f>IF($V407="",0,COUNTIFS($V$6:$V$2005,"&lt;"&amp;$V407)-COUNTIFS($V$6:$V$2005,"&lt;"&amp;$V407,$K$6:$K$2005,"")+1)</f>
        <v/>
      </c>
      <c r="X407">
        <f>IF(Sync!$AX407="","",IF(OR(N(Sync!$AY407)=0,N(Sync!$AZ407)=0),"",ROUND(N(Sync!$AY407)*N(Sync!$AZ407),0)))</f>
        <v/>
      </c>
      <c r="Y407">
        <f>IF($X407="","",IF(OR(Sync!$AX407="",COUNTIF(AcctCodesA,Sync!$AX407)=0),"متفرقه",Sync!$AX407))</f>
        <v/>
      </c>
      <c r="Z407">
        <f>IF($X407="","","سبد و ظروف")</f>
        <v/>
      </c>
      <c r="AA407">
        <f>IF($X407="","",$Y407)</f>
        <v/>
      </c>
    </row>
    <row r="408">
      <c r="A408">
        <f>IF(Sync!$Z408="","",LEFT(UPPER(TRIM(Sync!$Z408)),6))</f>
        <v/>
      </c>
      <c r="B408">
        <f>IF($A408="","",IF(Sync!$AA408="","",Sync!$AA408))</f>
        <v/>
      </c>
      <c r="C408">
        <f>IF($A408="","",IF(Sync!$AB408="","",Sync!$AB408))</f>
        <v/>
      </c>
      <c r="D408">
        <f>IF($A408="","",IF(Sync!$AC408="","",Sync!$AC408))</f>
        <v/>
      </c>
      <c r="E408">
        <f>IF($A408="","",IF(Sync!$AD408="","",Sync!$AD408))</f>
        <v/>
      </c>
      <c r="F408">
        <f>IF($A408="","",IF(Sync!$AE408="",0,Sync!$AE408))</f>
        <v/>
      </c>
      <c r="G408">
        <f>IF($A408="","",IF(Sync!$AF408="",0,Sync!$AF408))</f>
        <v/>
      </c>
      <c r="H408">
        <f>IF(OR($A408="",ROUND($F408+$G408,2)=0),"",$F408+$G408)</f>
        <v/>
      </c>
      <c r="I408">
        <f>IF($H408="","",IF(ROUND($F408,2)&gt;0,$A408,IF($D408="شخصی قاسم","شخصی قاسم",IF($D408="هزینه","هزینه: "&amp;IF($E408="","متفرقه",$E408),IF($C408="پاس چک","چک پرداختی",IF(OR($B408="",COUNTIF(AcctCodesA,$B408)=0),"متفرقه",$B408))))))</f>
        <v/>
      </c>
      <c r="J408">
        <f>IF($H408="","",IF(ROUND($F408,2)&gt;0,IF($D408="شخصی قاسم","شخصی قاسم",IF($D408="هزینه","هزینه: "&amp;IF($E408="","متفرقه",$E408),IF(OR($B408="",COUNTIF(AcctCodesA,$B408)=0),"متفرقه",$B408))),$A408))</f>
        <v/>
      </c>
      <c r="K408">
        <f>IF($A408="","",IF(AND($B408&lt;&gt;"",COUNTIF(AcctCodesA,$B408)=0),"کد طرف در INFO تعریف نشده",IF(AND($D408="هزینه",$E408=""),"هزینه بدون زیرگروه",IF(AND($C408="پاس چک",OR(Sync!$AJ408="",COUNTIF(IssueNosA,Sync!$AJ408)=0)),"شماره چک پاس‌شده معتبر نیست",""))))</f>
        <v/>
      </c>
      <c r="M408">
        <f>IF(Sync!$AH408="","",Sync!$AH408)</f>
        <v/>
      </c>
      <c r="N408">
        <f>IF($M408="","",IF(OR(Sync!$AI408="",COUNTIF(AcctCodesA,Sync!$AI408)=0),"متفرقه",Sync!$AI408))</f>
        <v/>
      </c>
      <c r="O408">
        <f>IF($M408="","",$N408)</f>
        <v/>
      </c>
      <c r="P408">
        <f>IF($M408="","","چک پرداختی")</f>
        <v/>
      </c>
      <c r="R408">
        <f>IF($M408="","",IF(COUNTIF(AcctCodesA,Sync!$AI408)=0,"ذی‌نفع چک تعریف‌نشده",""))</f>
        <v/>
      </c>
      <c r="S408">
        <f>IF($R408="","",Sync!$AG408&amp;"|"&amp;"5"&amp;RIGHT("00000"&amp;403,5))</f>
        <v/>
      </c>
      <c r="T408">
        <f>IF($S408="",0,COUNTIFS($S$6:$S$505,"&lt;"&amp;$S408)-COUNTIFS($S$6:$S$505,"&lt;"&amp;$S408,$R$6:$R$505,"")+1)</f>
        <v/>
      </c>
      <c r="V408">
        <f>IF($K408="","",IF(ISNUMBER(Sync!$AK408),Sync!$AK408,LEFT(Sync!$AK408,4)&amp;MID(Sync!$AK408,6,2)&amp;RIGHT(Sync!$AK408,2))&amp;"|"&amp;"4"&amp;RIGHT("00000"&amp;403,5))</f>
        <v/>
      </c>
      <c r="W408">
        <f>IF($V408="",0,COUNTIFS($V$6:$V$2005,"&lt;"&amp;$V408)-COUNTIFS($V$6:$V$2005,"&lt;"&amp;$V408,$K$6:$K$2005,"")+1)</f>
        <v/>
      </c>
      <c r="X408">
        <f>IF(Sync!$AX408="","",IF(OR(N(Sync!$AY408)=0,N(Sync!$AZ408)=0),"",ROUND(N(Sync!$AY408)*N(Sync!$AZ408),0)))</f>
        <v/>
      </c>
      <c r="Y408">
        <f>IF($X408="","",IF(OR(Sync!$AX408="",COUNTIF(AcctCodesA,Sync!$AX408)=0),"متفرقه",Sync!$AX408))</f>
        <v/>
      </c>
      <c r="Z408">
        <f>IF($X408="","","سبد و ظروف")</f>
        <v/>
      </c>
      <c r="AA408">
        <f>IF($X408="","",$Y408)</f>
        <v/>
      </c>
    </row>
    <row r="409">
      <c r="A409">
        <f>IF(Sync!$Z409="","",LEFT(UPPER(TRIM(Sync!$Z409)),6))</f>
        <v/>
      </c>
      <c r="B409">
        <f>IF($A409="","",IF(Sync!$AA409="","",Sync!$AA409))</f>
        <v/>
      </c>
      <c r="C409">
        <f>IF($A409="","",IF(Sync!$AB409="","",Sync!$AB409))</f>
        <v/>
      </c>
      <c r="D409">
        <f>IF($A409="","",IF(Sync!$AC409="","",Sync!$AC409))</f>
        <v/>
      </c>
      <c r="E409">
        <f>IF($A409="","",IF(Sync!$AD409="","",Sync!$AD409))</f>
        <v/>
      </c>
      <c r="F409">
        <f>IF($A409="","",IF(Sync!$AE409="",0,Sync!$AE409))</f>
        <v/>
      </c>
      <c r="G409">
        <f>IF($A409="","",IF(Sync!$AF409="",0,Sync!$AF409))</f>
        <v/>
      </c>
      <c r="H409">
        <f>IF(OR($A409="",ROUND($F409+$G409,2)=0),"",$F409+$G409)</f>
        <v/>
      </c>
      <c r="I409">
        <f>IF($H409="","",IF(ROUND($F409,2)&gt;0,$A409,IF($D409="شخصی قاسم","شخصی قاسم",IF($D409="هزینه","هزینه: "&amp;IF($E409="","متفرقه",$E409),IF($C409="پاس چک","چک پرداختی",IF(OR($B409="",COUNTIF(AcctCodesA,$B409)=0),"متفرقه",$B409))))))</f>
        <v/>
      </c>
      <c r="J409">
        <f>IF($H409="","",IF(ROUND($F409,2)&gt;0,IF($D409="شخصی قاسم","شخصی قاسم",IF($D409="هزینه","هزینه: "&amp;IF($E409="","متفرقه",$E409),IF(OR($B409="",COUNTIF(AcctCodesA,$B409)=0),"متفرقه",$B409))),$A409))</f>
        <v/>
      </c>
      <c r="K409">
        <f>IF($A409="","",IF(AND($B409&lt;&gt;"",COUNTIF(AcctCodesA,$B409)=0),"کد طرف در INFO تعریف نشده",IF(AND($D409="هزینه",$E409=""),"هزینه بدون زیرگروه",IF(AND($C409="پاس چک",OR(Sync!$AJ409="",COUNTIF(IssueNosA,Sync!$AJ409)=0)),"شماره چک پاس‌شده معتبر نیست",""))))</f>
        <v/>
      </c>
      <c r="M409">
        <f>IF(Sync!$AH409="","",Sync!$AH409)</f>
        <v/>
      </c>
      <c r="N409">
        <f>IF($M409="","",IF(OR(Sync!$AI409="",COUNTIF(AcctCodesA,Sync!$AI409)=0),"متفرقه",Sync!$AI409))</f>
        <v/>
      </c>
      <c r="O409">
        <f>IF($M409="","",$N409)</f>
        <v/>
      </c>
      <c r="P409">
        <f>IF($M409="","","چک پرداختی")</f>
        <v/>
      </c>
      <c r="R409">
        <f>IF($M409="","",IF(COUNTIF(AcctCodesA,Sync!$AI409)=0,"ذی‌نفع چک تعریف‌نشده",""))</f>
        <v/>
      </c>
      <c r="S409">
        <f>IF($R409="","",Sync!$AG409&amp;"|"&amp;"5"&amp;RIGHT("00000"&amp;404,5))</f>
        <v/>
      </c>
      <c r="T409">
        <f>IF($S409="",0,COUNTIFS($S$6:$S$505,"&lt;"&amp;$S409)-COUNTIFS($S$6:$S$505,"&lt;"&amp;$S409,$R$6:$R$505,"")+1)</f>
        <v/>
      </c>
      <c r="V409">
        <f>IF($K409="","",IF(ISNUMBER(Sync!$AK409),Sync!$AK409,LEFT(Sync!$AK409,4)&amp;MID(Sync!$AK409,6,2)&amp;RIGHT(Sync!$AK409,2))&amp;"|"&amp;"4"&amp;RIGHT("00000"&amp;404,5))</f>
        <v/>
      </c>
      <c r="W409">
        <f>IF($V409="",0,COUNTIFS($V$6:$V$2005,"&lt;"&amp;$V409)-COUNTIFS($V$6:$V$2005,"&lt;"&amp;$V409,$K$6:$K$2005,"")+1)</f>
        <v/>
      </c>
      <c r="X409">
        <f>IF(Sync!$AX409="","",IF(OR(N(Sync!$AY409)=0,N(Sync!$AZ409)=0),"",ROUND(N(Sync!$AY409)*N(Sync!$AZ409),0)))</f>
        <v/>
      </c>
      <c r="Y409">
        <f>IF($X409="","",IF(OR(Sync!$AX409="",COUNTIF(AcctCodesA,Sync!$AX409)=0),"متفرقه",Sync!$AX409))</f>
        <v/>
      </c>
      <c r="Z409">
        <f>IF($X409="","","سبد و ظروف")</f>
        <v/>
      </c>
      <c r="AA409">
        <f>IF($X409="","",$Y409)</f>
        <v/>
      </c>
    </row>
    <row r="410">
      <c r="A410">
        <f>IF(Sync!$Z410="","",LEFT(UPPER(TRIM(Sync!$Z410)),6))</f>
        <v/>
      </c>
      <c r="B410">
        <f>IF($A410="","",IF(Sync!$AA410="","",Sync!$AA410))</f>
        <v/>
      </c>
      <c r="C410">
        <f>IF($A410="","",IF(Sync!$AB410="","",Sync!$AB410))</f>
        <v/>
      </c>
      <c r="D410">
        <f>IF($A410="","",IF(Sync!$AC410="","",Sync!$AC410))</f>
        <v/>
      </c>
      <c r="E410">
        <f>IF($A410="","",IF(Sync!$AD410="","",Sync!$AD410))</f>
        <v/>
      </c>
      <c r="F410">
        <f>IF($A410="","",IF(Sync!$AE410="",0,Sync!$AE410))</f>
        <v/>
      </c>
      <c r="G410">
        <f>IF($A410="","",IF(Sync!$AF410="",0,Sync!$AF410))</f>
        <v/>
      </c>
      <c r="H410">
        <f>IF(OR($A410="",ROUND($F410+$G410,2)=0),"",$F410+$G410)</f>
        <v/>
      </c>
      <c r="I410">
        <f>IF($H410="","",IF(ROUND($F410,2)&gt;0,$A410,IF($D410="شخصی قاسم","شخصی قاسم",IF($D410="هزینه","هزینه: "&amp;IF($E410="","متفرقه",$E410),IF($C410="پاس چک","چک پرداختی",IF(OR($B410="",COUNTIF(AcctCodesA,$B410)=0),"متفرقه",$B410))))))</f>
        <v/>
      </c>
      <c r="J410">
        <f>IF($H410="","",IF(ROUND($F410,2)&gt;0,IF($D410="شخصی قاسم","شخصی قاسم",IF($D410="هزینه","هزینه: "&amp;IF($E410="","متفرقه",$E410),IF(OR($B410="",COUNTIF(AcctCodesA,$B410)=0),"متفرقه",$B410))),$A410))</f>
        <v/>
      </c>
      <c r="K410">
        <f>IF($A410="","",IF(AND($B410&lt;&gt;"",COUNTIF(AcctCodesA,$B410)=0),"کد طرف در INFO تعریف نشده",IF(AND($D410="هزینه",$E410=""),"هزینه بدون زیرگروه",IF(AND($C410="پاس چک",OR(Sync!$AJ410="",COUNTIF(IssueNosA,Sync!$AJ410)=0)),"شماره چک پاس‌شده معتبر نیست",""))))</f>
        <v/>
      </c>
      <c r="M410">
        <f>IF(Sync!$AH410="","",Sync!$AH410)</f>
        <v/>
      </c>
      <c r="N410">
        <f>IF($M410="","",IF(OR(Sync!$AI410="",COUNTIF(AcctCodesA,Sync!$AI410)=0),"متفرقه",Sync!$AI410))</f>
        <v/>
      </c>
      <c r="O410">
        <f>IF($M410="","",$N410)</f>
        <v/>
      </c>
      <c r="P410">
        <f>IF($M410="","","چک پرداختی")</f>
        <v/>
      </c>
      <c r="R410">
        <f>IF($M410="","",IF(COUNTIF(AcctCodesA,Sync!$AI410)=0,"ذی‌نفع چک تعریف‌نشده",""))</f>
        <v/>
      </c>
      <c r="S410">
        <f>IF($R410="","",Sync!$AG410&amp;"|"&amp;"5"&amp;RIGHT("00000"&amp;405,5))</f>
        <v/>
      </c>
      <c r="T410">
        <f>IF($S410="",0,COUNTIFS($S$6:$S$505,"&lt;"&amp;$S410)-COUNTIFS($S$6:$S$505,"&lt;"&amp;$S410,$R$6:$R$505,"")+1)</f>
        <v/>
      </c>
      <c r="V410">
        <f>IF($K410="","",IF(ISNUMBER(Sync!$AK410),Sync!$AK410,LEFT(Sync!$AK410,4)&amp;MID(Sync!$AK410,6,2)&amp;RIGHT(Sync!$AK410,2))&amp;"|"&amp;"4"&amp;RIGHT("00000"&amp;405,5))</f>
        <v/>
      </c>
      <c r="W410">
        <f>IF($V410="",0,COUNTIFS($V$6:$V$2005,"&lt;"&amp;$V410)-COUNTIFS($V$6:$V$2005,"&lt;"&amp;$V410,$K$6:$K$2005,"")+1)</f>
        <v/>
      </c>
      <c r="X410">
        <f>IF(Sync!$AX410="","",IF(OR(N(Sync!$AY410)=0,N(Sync!$AZ410)=0),"",ROUND(N(Sync!$AY410)*N(Sync!$AZ410),0)))</f>
        <v/>
      </c>
      <c r="Y410">
        <f>IF($X410="","",IF(OR(Sync!$AX410="",COUNTIF(AcctCodesA,Sync!$AX410)=0),"متفرقه",Sync!$AX410))</f>
        <v/>
      </c>
      <c r="Z410">
        <f>IF($X410="","","سبد و ظروف")</f>
        <v/>
      </c>
      <c r="AA410">
        <f>IF($X410="","",$Y410)</f>
        <v/>
      </c>
    </row>
    <row r="411">
      <c r="A411">
        <f>IF(Sync!$Z411="","",LEFT(UPPER(TRIM(Sync!$Z411)),6))</f>
        <v/>
      </c>
      <c r="B411">
        <f>IF($A411="","",IF(Sync!$AA411="","",Sync!$AA411))</f>
        <v/>
      </c>
      <c r="C411">
        <f>IF($A411="","",IF(Sync!$AB411="","",Sync!$AB411))</f>
        <v/>
      </c>
      <c r="D411">
        <f>IF($A411="","",IF(Sync!$AC411="","",Sync!$AC411))</f>
        <v/>
      </c>
      <c r="E411">
        <f>IF($A411="","",IF(Sync!$AD411="","",Sync!$AD411))</f>
        <v/>
      </c>
      <c r="F411">
        <f>IF($A411="","",IF(Sync!$AE411="",0,Sync!$AE411))</f>
        <v/>
      </c>
      <c r="G411">
        <f>IF($A411="","",IF(Sync!$AF411="",0,Sync!$AF411))</f>
        <v/>
      </c>
      <c r="H411">
        <f>IF(OR($A411="",ROUND($F411+$G411,2)=0),"",$F411+$G411)</f>
        <v/>
      </c>
      <c r="I411">
        <f>IF($H411="","",IF(ROUND($F411,2)&gt;0,$A411,IF($D411="شخصی قاسم","شخصی قاسم",IF($D411="هزینه","هزینه: "&amp;IF($E411="","متفرقه",$E411),IF($C411="پاس چک","چک پرداختی",IF(OR($B411="",COUNTIF(AcctCodesA,$B411)=0),"متفرقه",$B411))))))</f>
        <v/>
      </c>
      <c r="J411">
        <f>IF($H411="","",IF(ROUND($F411,2)&gt;0,IF($D411="شخصی قاسم","شخصی قاسم",IF($D411="هزینه","هزینه: "&amp;IF($E411="","متفرقه",$E411),IF(OR($B411="",COUNTIF(AcctCodesA,$B411)=0),"متفرقه",$B411))),$A411))</f>
        <v/>
      </c>
      <c r="K411">
        <f>IF($A411="","",IF(AND($B411&lt;&gt;"",COUNTIF(AcctCodesA,$B411)=0),"کد طرف در INFO تعریف نشده",IF(AND($D411="هزینه",$E411=""),"هزینه بدون زیرگروه",IF(AND($C411="پاس چک",OR(Sync!$AJ411="",COUNTIF(IssueNosA,Sync!$AJ411)=0)),"شماره چک پاس‌شده معتبر نیست",""))))</f>
        <v/>
      </c>
      <c r="M411">
        <f>IF(Sync!$AH411="","",Sync!$AH411)</f>
        <v/>
      </c>
      <c r="N411">
        <f>IF($M411="","",IF(OR(Sync!$AI411="",COUNTIF(AcctCodesA,Sync!$AI411)=0),"متفرقه",Sync!$AI411))</f>
        <v/>
      </c>
      <c r="O411">
        <f>IF($M411="","",$N411)</f>
        <v/>
      </c>
      <c r="P411">
        <f>IF($M411="","","چک پرداختی")</f>
        <v/>
      </c>
      <c r="R411">
        <f>IF($M411="","",IF(COUNTIF(AcctCodesA,Sync!$AI411)=0,"ذی‌نفع چک تعریف‌نشده",""))</f>
        <v/>
      </c>
      <c r="S411">
        <f>IF($R411="","",Sync!$AG411&amp;"|"&amp;"5"&amp;RIGHT("00000"&amp;406,5))</f>
        <v/>
      </c>
      <c r="T411">
        <f>IF($S411="",0,COUNTIFS($S$6:$S$505,"&lt;"&amp;$S411)-COUNTIFS($S$6:$S$505,"&lt;"&amp;$S411,$R$6:$R$505,"")+1)</f>
        <v/>
      </c>
      <c r="V411">
        <f>IF($K411="","",IF(ISNUMBER(Sync!$AK411),Sync!$AK411,LEFT(Sync!$AK411,4)&amp;MID(Sync!$AK411,6,2)&amp;RIGHT(Sync!$AK411,2))&amp;"|"&amp;"4"&amp;RIGHT("00000"&amp;406,5))</f>
        <v/>
      </c>
      <c r="W411">
        <f>IF($V411="",0,COUNTIFS($V$6:$V$2005,"&lt;"&amp;$V411)-COUNTIFS($V$6:$V$2005,"&lt;"&amp;$V411,$K$6:$K$2005,"")+1)</f>
        <v/>
      </c>
      <c r="X411">
        <f>IF(Sync!$AX411="","",IF(OR(N(Sync!$AY411)=0,N(Sync!$AZ411)=0),"",ROUND(N(Sync!$AY411)*N(Sync!$AZ411),0)))</f>
        <v/>
      </c>
      <c r="Y411">
        <f>IF($X411="","",IF(OR(Sync!$AX411="",COUNTIF(AcctCodesA,Sync!$AX411)=0),"متفرقه",Sync!$AX411))</f>
        <v/>
      </c>
      <c r="Z411">
        <f>IF($X411="","","سبد و ظروف")</f>
        <v/>
      </c>
      <c r="AA411">
        <f>IF($X411="","",$Y411)</f>
        <v/>
      </c>
    </row>
    <row r="412">
      <c r="A412">
        <f>IF(Sync!$Z412="","",LEFT(UPPER(TRIM(Sync!$Z412)),6))</f>
        <v/>
      </c>
      <c r="B412">
        <f>IF($A412="","",IF(Sync!$AA412="","",Sync!$AA412))</f>
        <v/>
      </c>
      <c r="C412">
        <f>IF($A412="","",IF(Sync!$AB412="","",Sync!$AB412))</f>
        <v/>
      </c>
      <c r="D412">
        <f>IF($A412="","",IF(Sync!$AC412="","",Sync!$AC412))</f>
        <v/>
      </c>
      <c r="E412">
        <f>IF($A412="","",IF(Sync!$AD412="","",Sync!$AD412))</f>
        <v/>
      </c>
      <c r="F412">
        <f>IF($A412="","",IF(Sync!$AE412="",0,Sync!$AE412))</f>
        <v/>
      </c>
      <c r="G412">
        <f>IF($A412="","",IF(Sync!$AF412="",0,Sync!$AF412))</f>
        <v/>
      </c>
      <c r="H412">
        <f>IF(OR($A412="",ROUND($F412+$G412,2)=0),"",$F412+$G412)</f>
        <v/>
      </c>
      <c r="I412">
        <f>IF($H412="","",IF(ROUND($F412,2)&gt;0,$A412,IF($D412="شخصی قاسم","شخصی قاسم",IF($D412="هزینه","هزینه: "&amp;IF($E412="","متفرقه",$E412),IF($C412="پاس چک","چک پرداختی",IF(OR($B412="",COUNTIF(AcctCodesA,$B412)=0),"متفرقه",$B412))))))</f>
        <v/>
      </c>
      <c r="J412">
        <f>IF($H412="","",IF(ROUND($F412,2)&gt;0,IF($D412="شخصی قاسم","شخصی قاسم",IF($D412="هزینه","هزینه: "&amp;IF($E412="","متفرقه",$E412),IF(OR($B412="",COUNTIF(AcctCodesA,$B412)=0),"متفرقه",$B412))),$A412))</f>
        <v/>
      </c>
      <c r="K412">
        <f>IF($A412="","",IF(AND($B412&lt;&gt;"",COUNTIF(AcctCodesA,$B412)=0),"کد طرف در INFO تعریف نشده",IF(AND($D412="هزینه",$E412=""),"هزینه بدون زیرگروه",IF(AND($C412="پاس چک",OR(Sync!$AJ412="",COUNTIF(IssueNosA,Sync!$AJ412)=0)),"شماره چک پاس‌شده معتبر نیست",""))))</f>
        <v/>
      </c>
      <c r="M412">
        <f>IF(Sync!$AH412="","",Sync!$AH412)</f>
        <v/>
      </c>
      <c r="N412">
        <f>IF($M412="","",IF(OR(Sync!$AI412="",COUNTIF(AcctCodesA,Sync!$AI412)=0),"متفرقه",Sync!$AI412))</f>
        <v/>
      </c>
      <c r="O412">
        <f>IF($M412="","",$N412)</f>
        <v/>
      </c>
      <c r="P412">
        <f>IF($M412="","","چک پرداختی")</f>
        <v/>
      </c>
      <c r="R412">
        <f>IF($M412="","",IF(COUNTIF(AcctCodesA,Sync!$AI412)=0,"ذی‌نفع چک تعریف‌نشده",""))</f>
        <v/>
      </c>
      <c r="S412">
        <f>IF($R412="","",Sync!$AG412&amp;"|"&amp;"5"&amp;RIGHT("00000"&amp;407,5))</f>
        <v/>
      </c>
      <c r="T412">
        <f>IF($S412="",0,COUNTIFS($S$6:$S$505,"&lt;"&amp;$S412)-COUNTIFS($S$6:$S$505,"&lt;"&amp;$S412,$R$6:$R$505,"")+1)</f>
        <v/>
      </c>
      <c r="V412">
        <f>IF($K412="","",IF(ISNUMBER(Sync!$AK412),Sync!$AK412,LEFT(Sync!$AK412,4)&amp;MID(Sync!$AK412,6,2)&amp;RIGHT(Sync!$AK412,2))&amp;"|"&amp;"4"&amp;RIGHT("00000"&amp;407,5))</f>
        <v/>
      </c>
      <c r="W412">
        <f>IF($V412="",0,COUNTIFS($V$6:$V$2005,"&lt;"&amp;$V412)-COUNTIFS($V$6:$V$2005,"&lt;"&amp;$V412,$K$6:$K$2005,"")+1)</f>
        <v/>
      </c>
      <c r="X412">
        <f>IF(Sync!$AX412="","",IF(OR(N(Sync!$AY412)=0,N(Sync!$AZ412)=0),"",ROUND(N(Sync!$AY412)*N(Sync!$AZ412),0)))</f>
        <v/>
      </c>
      <c r="Y412">
        <f>IF($X412="","",IF(OR(Sync!$AX412="",COUNTIF(AcctCodesA,Sync!$AX412)=0),"متفرقه",Sync!$AX412))</f>
        <v/>
      </c>
      <c r="Z412">
        <f>IF($X412="","","سبد و ظروف")</f>
        <v/>
      </c>
      <c r="AA412">
        <f>IF($X412="","",$Y412)</f>
        <v/>
      </c>
    </row>
    <row r="413">
      <c r="A413">
        <f>IF(Sync!$Z413="","",LEFT(UPPER(TRIM(Sync!$Z413)),6))</f>
        <v/>
      </c>
      <c r="B413">
        <f>IF($A413="","",IF(Sync!$AA413="","",Sync!$AA413))</f>
        <v/>
      </c>
      <c r="C413">
        <f>IF($A413="","",IF(Sync!$AB413="","",Sync!$AB413))</f>
        <v/>
      </c>
      <c r="D413">
        <f>IF($A413="","",IF(Sync!$AC413="","",Sync!$AC413))</f>
        <v/>
      </c>
      <c r="E413">
        <f>IF($A413="","",IF(Sync!$AD413="","",Sync!$AD413))</f>
        <v/>
      </c>
      <c r="F413">
        <f>IF($A413="","",IF(Sync!$AE413="",0,Sync!$AE413))</f>
        <v/>
      </c>
      <c r="G413">
        <f>IF($A413="","",IF(Sync!$AF413="",0,Sync!$AF413))</f>
        <v/>
      </c>
      <c r="H413">
        <f>IF(OR($A413="",ROUND($F413+$G413,2)=0),"",$F413+$G413)</f>
        <v/>
      </c>
      <c r="I413">
        <f>IF($H413="","",IF(ROUND($F413,2)&gt;0,$A413,IF($D413="شخصی قاسم","شخصی قاسم",IF($D413="هزینه","هزینه: "&amp;IF($E413="","متفرقه",$E413),IF($C413="پاس چک","چک پرداختی",IF(OR($B413="",COUNTIF(AcctCodesA,$B413)=0),"متفرقه",$B413))))))</f>
        <v/>
      </c>
      <c r="J413">
        <f>IF($H413="","",IF(ROUND($F413,2)&gt;0,IF($D413="شخصی قاسم","شخصی قاسم",IF($D413="هزینه","هزینه: "&amp;IF($E413="","متفرقه",$E413),IF(OR($B413="",COUNTIF(AcctCodesA,$B413)=0),"متفرقه",$B413))),$A413))</f>
        <v/>
      </c>
      <c r="K413">
        <f>IF($A413="","",IF(AND($B413&lt;&gt;"",COUNTIF(AcctCodesA,$B413)=0),"کد طرف در INFO تعریف نشده",IF(AND($D413="هزینه",$E413=""),"هزینه بدون زیرگروه",IF(AND($C413="پاس چک",OR(Sync!$AJ413="",COUNTIF(IssueNosA,Sync!$AJ413)=0)),"شماره چک پاس‌شده معتبر نیست",""))))</f>
        <v/>
      </c>
      <c r="M413">
        <f>IF(Sync!$AH413="","",Sync!$AH413)</f>
        <v/>
      </c>
      <c r="N413">
        <f>IF($M413="","",IF(OR(Sync!$AI413="",COUNTIF(AcctCodesA,Sync!$AI413)=0),"متفرقه",Sync!$AI413))</f>
        <v/>
      </c>
      <c r="O413">
        <f>IF($M413="","",$N413)</f>
        <v/>
      </c>
      <c r="P413">
        <f>IF($M413="","","چک پرداختی")</f>
        <v/>
      </c>
      <c r="R413">
        <f>IF($M413="","",IF(COUNTIF(AcctCodesA,Sync!$AI413)=0,"ذی‌نفع چک تعریف‌نشده",""))</f>
        <v/>
      </c>
      <c r="S413">
        <f>IF($R413="","",Sync!$AG413&amp;"|"&amp;"5"&amp;RIGHT("00000"&amp;408,5))</f>
        <v/>
      </c>
      <c r="T413">
        <f>IF($S413="",0,COUNTIFS($S$6:$S$505,"&lt;"&amp;$S413)-COUNTIFS($S$6:$S$505,"&lt;"&amp;$S413,$R$6:$R$505,"")+1)</f>
        <v/>
      </c>
      <c r="V413">
        <f>IF($K413="","",IF(ISNUMBER(Sync!$AK413),Sync!$AK413,LEFT(Sync!$AK413,4)&amp;MID(Sync!$AK413,6,2)&amp;RIGHT(Sync!$AK413,2))&amp;"|"&amp;"4"&amp;RIGHT("00000"&amp;408,5))</f>
        <v/>
      </c>
      <c r="W413">
        <f>IF($V413="",0,COUNTIFS($V$6:$V$2005,"&lt;"&amp;$V413)-COUNTIFS($V$6:$V$2005,"&lt;"&amp;$V413,$K$6:$K$2005,"")+1)</f>
        <v/>
      </c>
      <c r="X413">
        <f>IF(Sync!$AX413="","",IF(OR(N(Sync!$AY413)=0,N(Sync!$AZ413)=0),"",ROUND(N(Sync!$AY413)*N(Sync!$AZ413),0)))</f>
        <v/>
      </c>
      <c r="Y413">
        <f>IF($X413="","",IF(OR(Sync!$AX413="",COUNTIF(AcctCodesA,Sync!$AX413)=0),"متفرقه",Sync!$AX413))</f>
        <v/>
      </c>
      <c r="Z413">
        <f>IF($X413="","","سبد و ظروف")</f>
        <v/>
      </c>
      <c r="AA413">
        <f>IF($X413="","",$Y413)</f>
        <v/>
      </c>
    </row>
    <row r="414">
      <c r="A414">
        <f>IF(Sync!$Z414="","",LEFT(UPPER(TRIM(Sync!$Z414)),6))</f>
        <v/>
      </c>
      <c r="B414">
        <f>IF($A414="","",IF(Sync!$AA414="","",Sync!$AA414))</f>
        <v/>
      </c>
      <c r="C414">
        <f>IF($A414="","",IF(Sync!$AB414="","",Sync!$AB414))</f>
        <v/>
      </c>
      <c r="D414">
        <f>IF($A414="","",IF(Sync!$AC414="","",Sync!$AC414))</f>
        <v/>
      </c>
      <c r="E414">
        <f>IF($A414="","",IF(Sync!$AD414="","",Sync!$AD414))</f>
        <v/>
      </c>
      <c r="F414">
        <f>IF($A414="","",IF(Sync!$AE414="",0,Sync!$AE414))</f>
        <v/>
      </c>
      <c r="G414">
        <f>IF($A414="","",IF(Sync!$AF414="",0,Sync!$AF414))</f>
        <v/>
      </c>
      <c r="H414">
        <f>IF(OR($A414="",ROUND($F414+$G414,2)=0),"",$F414+$G414)</f>
        <v/>
      </c>
      <c r="I414">
        <f>IF($H414="","",IF(ROUND($F414,2)&gt;0,$A414,IF($D414="شخصی قاسم","شخصی قاسم",IF($D414="هزینه","هزینه: "&amp;IF($E414="","متفرقه",$E414),IF($C414="پاس چک","چک پرداختی",IF(OR($B414="",COUNTIF(AcctCodesA,$B414)=0),"متفرقه",$B414))))))</f>
        <v/>
      </c>
      <c r="J414">
        <f>IF($H414="","",IF(ROUND($F414,2)&gt;0,IF($D414="شخصی قاسم","شخصی قاسم",IF($D414="هزینه","هزینه: "&amp;IF($E414="","متفرقه",$E414),IF(OR($B414="",COUNTIF(AcctCodesA,$B414)=0),"متفرقه",$B414))),$A414))</f>
        <v/>
      </c>
      <c r="K414">
        <f>IF($A414="","",IF(AND($B414&lt;&gt;"",COUNTIF(AcctCodesA,$B414)=0),"کد طرف در INFO تعریف نشده",IF(AND($D414="هزینه",$E414=""),"هزینه بدون زیرگروه",IF(AND($C414="پاس چک",OR(Sync!$AJ414="",COUNTIF(IssueNosA,Sync!$AJ414)=0)),"شماره چک پاس‌شده معتبر نیست",""))))</f>
        <v/>
      </c>
      <c r="M414">
        <f>IF(Sync!$AH414="","",Sync!$AH414)</f>
        <v/>
      </c>
      <c r="N414">
        <f>IF($M414="","",IF(OR(Sync!$AI414="",COUNTIF(AcctCodesA,Sync!$AI414)=0),"متفرقه",Sync!$AI414))</f>
        <v/>
      </c>
      <c r="O414">
        <f>IF($M414="","",$N414)</f>
        <v/>
      </c>
      <c r="P414">
        <f>IF($M414="","","چک پرداختی")</f>
        <v/>
      </c>
      <c r="R414">
        <f>IF($M414="","",IF(COUNTIF(AcctCodesA,Sync!$AI414)=0,"ذی‌نفع چک تعریف‌نشده",""))</f>
        <v/>
      </c>
      <c r="S414">
        <f>IF($R414="","",Sync!$AG414&amp;"|"&amp;"5"&amp;RIGHT("00000"&amp;409,5))</f>
        <v/>
      </c>
      <c r="T414">
        <f>IF($S414="",0,COUNTIFS($S$6:$S$505,"&lt;"&amp;$S414)-COUNTIFS($S$6:$S$505,"&lt;"&amp;$S414,$R$6:$R$505,"")+1)</f>
        <v/>
      </c>
      <c r="V414">
        <f>IF($K414="","",IF(ISNUMBER(Sync!$AK414),Sync!$AK414,LEFT(Sync!$AK414,4)&amp;MID(Sync!$AK414,6,2)&amp;RIGHT(Sync!$AK414,2))&amp;"|"&amp;"4"&amp;RIGHT("00000"&amp;409,5))</f>
        <v/>
      </c>
      <c r="W414">
        <f>IF($V414="",0,COUNTIFS($V$6:$V$2005,"&lt;"&amp;$V414)-COUNTIFS($V$6:$V$2005,"&lt;"&amp;$V414,$K$6:$K$2005,"")+1)</f>
        <v/>
      </c>
      <c r="X414">
        <f>IF(Sync!$AX414="","",IF(OR(N(Sync!$AY414)=0,N(Sync!$AZ414)=0),"",ROUND(N(Sync!$AY414)*N(Sync!$AZ414),0)))</f>
        <v/>
      </c>
      <c r="Y414">
        <f>IF($X414="","",IF(OR(Sync!$AX414="",COUNTIF(AcctCodesA,Sync!$AX414)=0),"متفرقه",Sync!$AX414))</f>
        <v/>
      </c>
      <c r="Z414">
        <f>IF($X414="","","سبد و ظروف")</f>
        <v/>
      </c>
      <c r="AA414">
        <f>IF($X414="","",$Y414)</f>
        <v/>
      </c>
    </row>
    <row r="415">
      <c r="A415">
        <f>IF(Sync!$Z415="","",LEFT(UPPER(TRIM(Sync!$Z415)),6))</f>
        <v/>
      </c>
      <c r="B415">
        <f>IF($A415="","",IF(Sync!$AA415="","",Sync!$AA415))</f>
        <v/>
      </c>
      <c r="C415">
        <f>IF($A415="","",IF(Sync!$AB415="","",Sync!$AB415))</f>
        <v/>
      </c>
      <c r="D415">
        <f>IF($A415="","",IF(Sync!$AC415="","",Sync!$AC415))</f>
        <v/>
      </c>
      <c r="E415">
        <f>IF($A415="","",IF(Sync!$AD415="","",Sync!$AD415))</f>
        <v/>
      </c>
      <c r="F415">
        <f>IF($A415="","",IF(Sync!$AE415="",0,Sync!$AE415))</f>
        <v/>
      </c>
      <c r="G415">
        <f>IF($A415="","",IF(Sync!$AF415="",0,Sync!$AF415))</f>
        <v/>
      </c>
      <c r="H415">
        <f>IF(OR($A415="",ROUND($F415+$G415,2)=0),"",$F415+$G415)</f>
        <v/>
      </c>
      <c r="I415">
        <f>IF($H415="","",IF(ROUND($F415,2)&gt;0,$A415,IF($D415="شخصی قاسم","شخصی قاسم",IF($D415="هزینه","هزینه: "&amp;IF($E415="","متفرقه",$E415),IF($C415="پاس چک","چک پرداختی",IF(OR($B415="",COUNTIF(AcctCodesA,$B415)=0),"متفرقه",$B415))))))</f>
        <v/>
      </c>
      <c r="J415">
        <f>IF($H415="","",IF(ROUND($F415,2)&gt;0,IF($D415="شخصی قاسم","شخصی قاسم",IF($D415="هزینه","هزینه: "&amp;IF($E415="","متفرقه",$E415),IF(OR($B415="",COUNTIF(AcctCodesA,$B415)=0),"متفرقه",$B415))),$A415))</f>
        <v/>
      </c>
      <c r="K415">
        <f>IF($A415="","",IF(AND($B415&lt;&gt;"",COUNTIF(AcctCodesA,$B415)=0),"کد طرف در INFO تعریف نشده",IF(AND($D415="هزینه",$E415=""),"هزینه بدون زیرگروه",IF(AND($C415="پاس چک",OR(Sync!$AJ415="",COUNTIF(IssueNosA,Sync!$AJ415)=0)),"شماره چک پاس‌شده معتبر نیست",""))))</f>
        <v/>
      </c>
      <c r="M415">
        <f>IF(Sync!$AH415="","",Sync!$AH415)</f>
        <v/>
      </c>
      <c r="N415">
        <f>IF($M415="","",IF(OR(Sync!$AI415="",COUNTIF(AcctCodesA,Sync!$AI415)=0),"متفرقه",Sync!$AI415))</f>
        <v/>
      </c>
      <c r="O415">
        <f>IF($M415="","",$N415)</f>
        <v/>
      </c>
      <c r="P415">
        <f>IF($M415="","","چک پرداختی")</f>
        <v/>
      </c>
      <c r="R415">
        <f>IF($M415="","",IF(COUNTIF(AcctCodesA,Sync!$AI415)=0,"ذی‌نفع چک تعریف‌نشده",""))</f>
        <v/>
      </c>
      <c r="S415">
        <f>IF($R415="","",Sync!$AG415&amp;"|"&amp;"5"&amp;RIGHT("00000"&amp;410,5))</f>
        <v/>
      </c>
      <c r="T415">
        <f>IF($S415="",0,COUNTIFS($S$6:$S$505,"&lt;"&amp;$S415)-COUNTIFS($S$6:$S$505,"&lt;"&amp;$S415,$R$6:$R$505,"")+1)</f>
        <v/>
      </c>
      <c r="V415">
        <f>IF($K415="","",IF(ISNUMBER(Sync!$AK415),Sync!$AK415,LEFT(Sync!$AK415,4)&amp;MID(Sync!$AK415,6,2)&amp;RIGHT(Sync!$AK415,2))&amp;"|"&amp;"4"&amp;RIGHT("00000"&amp;410,5))</f>
        <v/>
      </c>
      <c r="W415">
        <f>IF($V415="",0,COUNTIFS($V$6:$V$2005,"&lt;"&amp;$V415)-COUNTIFS($V$6:$V$2005,"&lt;"&amp;$V415,$K$6:$K$2005,"")+1)</f>
        <v/>
      </c>
      <c r="X415">
        <f>IF(Sync!$AX415="","",IF(OR(N(Sync!$AY415)=0,N(Sync!$AZ415)=0),"",ROUND(N(Sync!$AY415)*N(Sync!$AZ415),0)))</f>
        <v/>
      </c>
      <c r="Y415">
        <f>IF($X415="","",IF(OR(Sync!$AX415="",COUNTIF(AcctCodesA,Sync!$AX415)=0),"متفرقه",Sync!$AX415))</f>
        <v/>
      </c>
      <c r="Z415">
        <f>IF($X415="","","سبد و ظروف")</f>
        <v/>
      </c>
      <c r="AA415">
        <f>IF($X415="","",$Y415)</f>
        <v/>
      </c>
    </row>
    <row r="416">
      <c r="A416">
        <f>IF(Sync!$Z416="","",LEFT(UPPER(TRIM(Sync!$Z416)),6))</f>
        <v/>
      </c>
      <c r="B416">
        <f>IF($A416="","",IF(Sync!$AA416="","",Sync!$AA416))</f>
        <v/>
      </c>
      <c r="C416">
        <f>IF($A416="","",IF(Sync!$AB416="","",Sync!$AB416))</f>
        <v/>
      </c>
      <c r="D416">
        <f>IF($A416="","",IF(Sync!$AC416="","",Sync!$AC416))</f>
        <v/>
      </c>
      <c r="E416">
        <f>IF($A416="","",IF(Sync!$AD416="","",Sync!$AD416))</f>
        <v/>
      </c>
      <c r="F416">
        <f>IF($A416="","",IF(Sync!$AE416="",0,Sync!$AE416))</f>
        <v/>
      </c>
      <c r="G416">
        <f>IF($A416="","",IF(Sync!$AF416="",0,Sync!$AF416))</f>
        <v/>
      </c>
      <c r="H416">
        <f>IF(OR($A416="",ROUND($F416+$G416,2)=0),"",$F416+$G416)</f>
        <v/>
      </c>
      <c r="I416">
        <f>IF($H416="","",IF(ROUND($F416,2)&gt;0,$A416,IF($D416="شخصی قاسم","شخصی قاسم",IF($D416="هزینه","هزینه: "&amp;IF($E416="","متفرقه",$E416),IF($C416="پاس چک","چک پرداختی",IF(OR($B416="",COUNTIF(AcctCodesA,$B416)=0),"متفرقه",$B416))))))</f>
        <v/>
      </c>
      <c r="J416">
        <f>IF($H416="","",IF(ROUND($F416,2)&gt;0,IF($D416="شخصی قاسم","شخصی قاسم",IF($D416="هزینه","هزینه: "&amp;IF($E416="","متفرقه",$E416),IF(OR($B416="",COUNTIF(AcctCodesA,$B416)=0),"متفرقه",$B416))),$A416))</f>
        <v/>
      </c>
      <c r="K416">
        <f>IF($A416="","",IF(AND($B416&lt;&gt;"",COUNTIF(AcctCodesA,$B416)=0),"کد طرف در INFO تعریف نشده",IF(AND($D416="هزینه",$E416=""),"هزینه بدون زیرگروه",IF(AND($C416="پاس چک",OR(Sync!$AJ416="",COUNTIF(IssueNosA,Sync!$AJ416)=0)),"شماره چک پاس‌شده معتبر نیست",""))))</f>
        <v/>
      </c>
      <c r="M416">
        <f>IF(Sync!$AH416="","",Sync!$AH416)</f>
        <v/>
      </c>
      <c r="N416">
        <f>IF($M416="","",IF(OR(Sync!$AI416="",COUNTIF(AcctCodesA,Sync!$AI416)=0),"متفرقه",Sync!$AI416))</f>
        <v/>
      </c>
      <c r="O416">
        <f>IF($M416="","",$N416)</f>
        <v/>
      </c>
      <c r="P416">
        <f>IF($M416="","","چک پرداختی")</f>
        <v/>
      </c>
      <c r="R416">
        <f>IF($M416="","",IF(COUNTIF(AcctCodesA,Sync!$AI416)=0,"ذی‌نفع چک تعریف‌نشده",""))</f>
        <v/>
      </c>
      <c r="S416">
        <f>IF($R416="","",Sync!$AG416&amp;"|"&amp;"5"&amp;RIGHT("00000"&amp;411,5))</f>
        <v/>
      </c>
      <c r="T416">
        <f>IF($S416="",0,COUNTIFS($S$6:$S$505,"&lt;"&amp;$S416)-COUNTIFS($S$6:$S$505,"&lt;"&amp;$S416,$R$6:$R$505,"")+1)</f>
        <v/>
      </c>
      <c r="V416">
        <f>IF($K416="","",IF(ISNUMBER(Sync!$AK416),Sync!$AK416,LEFT(Sync!$AK416,4)&amp;MID(Sync!$AK416,6,2)&amp;RIGHT(Sync!$AK416,2))&amp;"|"&amp;"4"&amp;RIGHT("00000"&amp;411,5))</f>
        <v/>
      </c>
      <c r="W416">
        <f>IF($V416="",0,COUNTIFS($V$6:$V$2005,"&lt;"&amp;$V416)-COUNTIFS($V$6:$V$2005,"&lt;"&amp;$V416,$K$6:$K$2005,"")+1)</f>
        <v/>
      </c>
      <c r="X416">
        <f>IF(Sync!$AX416="","",IF(OR(N(Sync!$AY416)=0,N(Sync!$AZ416)=0),"",ROUND(N(Sync!$AY416)*N(Sync!$AZ416),0)))</f>
        <v/>
      </c>
      <c r="Y416">
        <f>IF($X416="","",IF(OR(Sync!$AX416="",COUNTIF(AcctCodesA,Sync!$AX416)=0),"متفرقه",Sync!$AX416))</f>
        <v/>
      </c>
      <c r="Z416">
        <f>IF($X416="","","سبد و ظروف")</f>
        <v/>
      </c>
      <c r="AA416">
        <f>IF($X416="","",$Y416)</f>
        <v/>
      </c>
    </row>
    <row r="417">
      <c r="A417">
        <f>IF(Sync!$Z417="","",LEFT(UPPER(TRIM(Sync!$Z417)),6))</f>
        <v/>
      </c>
      <c r="B417">
        <f>IF($A417="","",IF(Sync!$AA417="","",Sync!$AA417))</f>
        <v/>
      </c>
      <c r="C417">
        <f>IF($A417="","",IF(Sync!$AB417="","",Sync!$AB417))</f>
        <v/>
      </c>
      <c r="D417">
        <f>IF($A417="","",IF(Sync!$AC417="","",Sync!$AC417))</f>
        <v/>
      </c>
      <c r="E417">
        <f>IF($A417="","",IF(Sync!$AD417="","",Sync!$AD417))</f>
        <v/>
      </c>
      <c r="F417">
        <f>IF($A417="","",IF(Sync!$AE417="",0,Sync!$AE417))</f>
        <v/>
      </c>
      <c r="G417">
        <f>IF($A417="","",IF(Sync!$AF417="",0,Sync!$AF417))</f>
        <v/>
      </c>
      <c r="H417">
        <f>IF(OR($A417="",ROUND($F417+$G417,2)=0),"",$F417+$G417)</f>
        <v/>
      </c>
      <c r="I417">
        <f>IF($H417="","",IF(ROUND($F417,2)&gt;0,$A417,IF($D417="شخصی قاسم","شخصی قاسم",IF($D417="هزینه","هزینه: "&amp;IF($E417="","متفرقه",$E417),IF($C417="پاس چک","چک پرداختی",IF(OR($B417="",COUNTIF(AcctCodesA,$B417)=0),"متفرقه",$B417))))))</f>
        <v/>
      </c>
      <c r="J417">
        <f>IF($H417="","",IF(ROUND($F417,2)&gt;0,IF($D417="شخصی قاسم","شخصی قاسم",IF($D417="هزینه","هزینه: "&amp;IF($E417="","متفرقه",$E417),IF(OR($B417="",COUNTIF(AcctCodesA,$B417)=0),"متفرقه",$B417))),$A417))</f>
        <v/>
      </c>
      <c r="K417">
        <f>IF($A417="","",IF(AND($B417&lt;&gt;"",COUNTIF(AcctCodesA,$B417)=0),"کد طرف در INFO تعریف نشده",IF(AND($D417="هزینه",$E417=""),"هزینه بدون زیرگروه",IF(AND($C417="پاس چک",OR(Sync!$AJ417="",COUNTIF(IssueNosA,Sync!$AJ417)=0)),"شماره چک پاس‌شده معتبر نیست",""))))</f>
        <v/>
      </c>
      <c r="M417">
        <f>IF(Sync!$AH417="","",Sync!$AH417)</f>
        <v/>
      </c>
      <c r="N417">
        <f>IF($M417="","",IF(OR(Sync!$AI417="",COUNTIF(AcctCodesA,Sync!$AI417)=0),"متفرقه",Sync!$AI417))</f>
        <v/>
      </c>
      <c r="O417">
        <f>IF($M417="","",$N417)</f>
        <v/>
      </c>
      <c r="P417">
        <f>IF($M417="","","چک پرداختی")</f>
        <v/>
      </c>
      <c r="R417">
        <f>IF($M417="","",IF(COUNTIF(AcctCodesA,Sync!$AI417)=0,"ذی‌نفع چک تعریف‌نشده",""))</f>
        <v/>
      </c>
      <c r="S417">
        <f>IF($R417="","",Sync!$AG417&amp;"|"&amp;"5"&amp;RIGHT("00000"&amp;412,5))</f>
        <v/>
      </c>
      <c r="T417">
        <f>IF($S417="",0,COUNTIFS($S$6:$S$505,"&lt;"&amp;$S417)-COUNTIFS($S$6:$S$505,"&lt;"&amp;$S417,$R$6:$R$505,"")+1)</f>
        <v/>
      </c>
      <c r="V417">
        <f>IF($K417="","",IF(ISNUMBER(Sync!$AK417),Sync!$AK417,LEFT(Sync!$AK417,4)&amp;MID(Sync!$AK417,6,2)&amp;RIGHT(Sync!$AK417,2))&amp;"|"&amp;"4"&amp;RIGHT("00000"&amp;412,5))</f>
        <v/>
      </c>
      <c r="W417">
        <f>IF($V417="",0,COUNTIFS($V$6:$V$2005,"&lt;"&amp;$V417)-COUNTIFS($V$6:$V$2005,"&lt;"&amp;$V417,$K$6:$K$2005,"")+1)</f>
        <v/>
      </c>
      <c r="X417">
        <f>IF(Sync!$AX417="","",IF(OR(N(Sync!$AY417)=0,N(Sync!$AZ417)=0),"",ROUND(N(Sync!$AY417)*N(Sync!$AZ417),0)))</f>
        <v/>
      </c>
      <c r="Y417">
        <f>IF($X417="","",IF(OR(Sync!$AX417="",COUNTIF(AcctCodesA,Sync!$AX417)=0),"متفرقه",Sync!$AX417))</f>
        <v/>
      </c>
      <c r="Z417">
        <f>IF($X417="","","سبد و ظروف")</f>
        <v/>
      </c>
      <c r="AA417">
        <f>IF($X417="","",$Y417)</f>
        <v/>
      </c>
    </row>
    <row r="418">
      <c r="A418">
        <f>IF(Sync!$Z418="","",LEFT(UPPER(TRIM(Sync!$Z418)),6))</f>
        <v/>
      </c>
      <c r="B418">
        <f>IF($A418="","",IF(Sync!$AA418="","",Sync!$AA418))</f>
        <v/>
      </c>
      <c r="C418">
        <f>IF($A418="","",IF(Sync!$AB418="","",Sync!$AB418))</f>
        <v/>
      </c>
      <c r="D418">
        <f>IF($A418="","",IF(Sync!$AC418="","",Sync!$AC418))</f>
        <v/>
      </c>
      <c r="E418">
        <f>IF($A418="","",IF(Sync!$AD418="","",Sync!$AD418))</f>
        <v/>
      </c>
      <c r="F418">
        <f>IF($A418="","",IF(Sync!$AE418="",0,Sync!$AE418))</f>
        <v/>
      </c>
      <c r="G418">
        <f>IF($A418="","",IF(Sync!$AF418="",0,Sync!$AF418))</f>
        <v/>
      </c>
      <c r="H418">
        <f>IF(OR($A418="",ROUND($F418+$G418,2)=0),"",$F418+$G418)</f>
        <v/>
      </c>
      <c r="I418">
        <f>IF($H418="","",IF(ROUND($F418,2)&gt;0,$A418,IF($D418="شخصی قاسم","شخصی قاسم",IF($D418="هزینه","هزینه: "&amp;IF($E418="","متفرقه",$E418),IF($C418="پاس چک","چک پرداختی",IF(OR($B418="",COUNTIF(AcctCodesA,$B418)=0),"متفرقه",$B418))))))</f>
        <v/>
      </c>
      <c r="J418">
        <f>IF($H418="","",IF(ROUND($F418,2)&gt;0,IF($D418="شخصی قاسم","شخصی قاسم",IF($D418="هزینه","هزینه: "&amp;IF($E418="","متفرقه",$E418),IF(OR($B418="",COUNTIF(AcctCodesA,$B418)=0),"متفرقه",$B418))),$A418))</f>
        <v/>
      </c>
      <c r="K418">
        <f>IF($A418="","",IF(AND($B418&lt;&gt;"",COUNTIF(AcctCodesA,$B418)=0),"کد طرف در INFO تعریف نشده",IF(AND($D418="هزینه",$E418=""),"هزینه بدون زیرگروه",IF(AND($C418="پاس چک",OR(Sync!$AJ418="",COUNTIF(IssueNosA,Sync!$AJ418)=0)),"شماره چک پاس‌شده معتبر نیست",""))))</f>
        <v/>
      </c>
      <c r="M418">
        <f>IF(Sync!$AH418="","",Sync!$AH418)</f>
        <v/>
      </c>
      <c r="N418">
        <f>IF($M418="","",IF(OR(Sync!$AI418="",COUNTIF(AcctCodesA,Sync!$AI418)=0),"متفرقه",Sync!$AI418))</f>
        <v/>
      </c>
      <c r="O418">
        <f>IF($M418="","",$N418)</f>
        <v/>
      </c>
      <c r="P418">
        <f>IF($M418="","","چک پرداختی")</f>
        <v/>
      </c>
      <c r="R418">
        <f>IF($M418="","",IF(COUNTIF(AcctCodesA,Sync!$AI418)=0,"ذی‌نفع چک تعریف‌نشده",""))</f>
        <v/>
      </c>
      <c r="S418">
        <f>IF($R418="","",Sync!$AG418&amp;"|"&amp;"5"&amp;RIGHT("00000"&amp;413,5))</f>
        <v/>
      </c>
      <c r="T418">
        <f>IF($S418="",0,COUNTIFS($S$6:$S$505,"&lt;"&amp;$S418)-COUNTIFS($S$6:$S$505,"&lt;"&amp;$S418,$R$6:$R$505,"")+1)</f>
        <v/>
      </c>
      <c r="V418">
        <f>IF($K418="","",IF(ISNUMBER(Sync!$AK418),Sync!$AK418,LEFT(Sync!$AK418,4)&amp;MID(Sync!$AK418,6,2)&amp;RIGHT(Sync!$AK418,2))&amp;"|"&amp;"4"&amp;RIGHT("00000"&amp;413,5))</f>
        <v/>
      </c>
      <c r="W418">
        <f>IF($V418="",0,COUNTIFS($V$6:$V$2005,"&lt;"&amp;$V418)-COUNTIFS($V$6:$V$2005,"&lt;"&amp;$V418,$K$6:$K$2005,"")+1)</f>
        <v/>
      </c>
      <c r="X418">
        <f>IF(Sync!$AX418="","",IF(OR(N(Sync!$AY418)=0,N(Sync!$AZ418)=0),"",ROUND(N(Sync!$AY418)*N(Sync!$AZ418),0)))</f>
        <v/>
      </c>
      <c r="Y418">
        <f>IF($X418="","",IF(OR(Sync!$AX418="",COUNTIF(AcctCodesA,Sync!$AX418)=0),"متفرقه",Sync!$AX418))</f>
        <v/>
      </c>
      <c r="Z418">
        <f>IF($X418="","","سبد و ظروف")</f>
        <v/>
      </c>
      <c r="AA418">
        <f>IF($X418="","",$Y418)</f>
        <v/>
      </c>
    </row>
    <row r="419">
      <c r="A419">
        <f>IF(Sync!$Z419="","",LEFT(UPPER(TRIM(Sync!$Z419)),6))</f>
        <v/>
      </c>
      <c r="B419">
        <f>IF($A419="","",IF(Sync!$AA419="","",Sync!$AA419))</f>
        <v/>
      </c>
      <c r="C419">
        <f>IF($A419="","",IF(Sync!$AB419="","",Sync!$AB419))</f>
        <v/>
      </c>
      <c r="D419">
        <f>IF($A419="","",IF(Sync!$AC419="","",Sync!$AC419))</f>
        <v/>
      </c>
      <c r="E419">
        <f>IF($A419="","",IF(Sync!$AD419="","",Sync!$AD419))</f>
        <v/>
      </c>
      <c r="F419">
        <f>IF($A419="","",IF(Sync!$AE419="",0,Sync!$AE419))</f>
        <v/>
      </c>
      <c r="G419">
        <f>IF($A419="","",IF(Sync!$AF419="",0,Sync!$AF419))</f>
        <v/>
      </c>
      <c r="H419">
        <f>IF(OR($A419="",ROUND($F419+$G419,2)=0),"",$F419+$G419)</f>
        <v/>
      </c>
      <c r="I419">
        <f>IF($H419="","",IF(ROUND($F419,2)&gt;0,$A419,IF($D419="شخصی قاسم","شخصی قاسم",IF($D419="هزینه","هزینه: "&amp;IF($E419="","متفرقه",$E419),IF($C419="پاس چک","چک پرداختی",IF(OR($B419="",COUNTIF(AcctCodesA,$B419)=0),"متفرقه",$B419))))))</f>
        <v/>
      </c>
      <c r="J419">
        <f>IF($H419="","",IF(ROUND($F419,2)&gt;0,IF($D419="شخصی قاسم","شخصی قاسم",IF($D419="هزینه","هزینه: "&amp;IF($E419="","متفرقه",$E419),IF(OR($B419="",COUNTIF(AcctCodesA,$B419)=0),"متفرقه",$B419))),$A419))</f>
        <v/>
      </c>
      <c r="K419">
        <f>IF($A419="","",IF(AND($B419&lt;&gt;"",COUNTIF(AcctCodesA,$B419)=0),"کد طرف در INFO تعریف نشده",IF(AND($D419="هزینه",$E419=""),"هزینه بدون زیرگروه",IF(AND($C419="پاس چک",OR(Sync!$AJ419="",COUNTIF(IssueNosA,Sync!$AJ419)=0)),"شماره چک پاس‌شده معتبر نیست",""))))</f>
        <v/>
      </c>
      <c r="M419">
        <f>IF(Sync!$AH419="","",Sync!$AH419)</f>
        <v/>
      </c>
      <c r="N419">
        <f>IF($M419="","",IF(OR(Sync!$AI419="",COUNTIF(AcctCodesA,Sync!$AI419)=0),"متفرقه",Sync!$AI419))</f>
        <v/>
      </c>
      <c r="O419">
        <f>IF($M419="","",$N419)</f>
        <v/>
      </c>
      <c r="P419">
        <f>IF($M419="","","چک پرداختی")</f>
        <v/>
      </c>
      <c r="R419">
        <f>IF($M419="","",IF(COUNTIF(AcctCodesA,Sync!$AI419)=0,"ذی‌نفع چک تعریف‌نشده",""))</f>
        <v/>
      </c>
      <c r="S419">
        <f>IF($R419="","",Sync!$AG419&amp;"|"&amp;"5"&amp;RIGHT("00000"&amp;414,5))</f>
        <v/>
      </c>
      <c r="T419">
        <f>IF($S419="",0,COUNTIFS($S$6:$S$505,"&lt;"&amp;$S419)-COUNTIFS($S$6:$S$505,"&lt;"&amp;$S419,$R$6:$R$505,"")+1)</f>
        <v/>
      </c>
      <c r="V419">
        <f>IF($K419="","",IF(ISNUMBER(Sync!$AK419),Sync!$AK419,LEFT(Sync!$AK419,4)&amp;MID(Sync!$AK419,6,2)&amp;RIGHT(Sync!$AK419,2))&amp;"|"&amp;"4"&amp;RIGHT("00000"&amp;414,5))</f>
        <v/>
      </c>
      <c r="W419">
        <f>IF($V419="",0,COUNTIFS($V$6:$V$2005,"&lt;"&amp;$V419)-COUNTIFS($V$6:$V$2005,"&lt;"&amp;$V419,$K$6:$K$2005,"")+1)</f>
        <v/>
      </c>
      <c r="X419">
        <f>IF(Sync!$AX419="","",IF(OR(N(Sync!$AY419)=0,N(Sync!$AZ419)=0),"",ROUND(N(Sync!$AY419)*N(Sync!$AZ419),0)))</f>
        <v/>
      </c>
      <c r="Y419">
        <f>IF($X419="","",IF(OR(Sync!$AX419="",COUNTIF(AcctCodesA,Sync!$AX419)=0),"متفرقه",Sync!$AX419))</f>
        <v/>
      </c>
      <c r="Z419">
        <f>IF($X419="","","سبد و ظروف")</f>
        <v/>
      </c>
      <c r="AA419">
        <f>IF($X419="","",$Y419)</f>
        <v/>
      </c>
    </row>
    <row r="420">
      <c r="A420">
        <f>IF(Sync!$Z420="","",LEFT(UPPER(TRIM(Sync!$Z420)),6))</f>
        <v/>
      </c>
      <c r="B420">
        <f>IF($A420="","",IF(Sync!$AA420="","",Sync!$AA420))</f>
        <v/>
      </c>
      <c r="C420">
        <f>IF($A420="","",IF(Sync!$AB420="","",Sync!$AB420))</f>
        <v/>
      </c>
      <c r="D420">
        <f>IF($A420="","",IF(Sync!$AC420="","",Sync!$AC420))</f>
        <v/>
      </c>
      <c r="E420">
        <f>IF($A420="","",IF(Sync!$AD420="","",Sync!$AD420))</f>
        <v/>
      </c>
      <c r="F420">
        <f>IF($A420="","",IF(Sync!$AE420="",0,Sync!$AE420))</f>
        <v/>
      </c>
      <c r="G420">
        <f>IF($A420="","",IF(Sync!$AF420="",0,Sync!$AF420))</f>
        <v/>
      </c>
      <c r="H420">
        <f>IF(OR($A420="",ROUND($F420+$G420,2)=0),"",$F420+$G420)</f>
        <v/>
      </c>
      <c r="I420">
        <f>IF($H420="","",IF(ROUND($F420,2)&gt;0,$A420,IF($D420="شخصی قاسم","شخصی قاسم",IF($D420="هزینه","هزینه: "&amp;IF($E420="","متفرقه",$E420),IF($C420="پاس چک","چک پرداختی",IF(OR($B420="",COUNTIF(AcctCodesA,$B420)=0),"متفرقه",$B420))))))</f>
        <v/>
      </c>
      <c r="J420">
        <f>IF($H420="","",IF(ROUND($F420,2)&gt;0,IF($D420="شخصی قاسم","شخصی قاسم",IF($D420="هزینه","هزینه: "&amp;IF($E420="","متفرقه",$E420),IF(OR($B420="",COUNTIF(AcctCodesA,$B420)=0),"متفرقه",$B420))),$A420))</f>
        <v/>
      </c>
      <c r="K420">
        <f>IF($A420="","",IF(AND($B420&lt;&gt;"",COUNTIF(AcctCodesA,$B420)=0),"کد طرف در INFO تعریف نشده",IF(AND($D420="هزینه",$E420=""),"هزینه بدون زیرگروه",IF(AND($C420="پاس چک",OR(Sync!$AJ420="",COUNTIF(IssueNosA,Sync!$AJ420)=0)),"شماره چک پاس‌شده معتبر نیست",""))))</f>
        <v/>
      </c>
      <c r="M420">
        <f>IF(Sync!$AH420="","",Sync!$AH420)</f>
        <v/>
      </c>
      <c r="N420">
        <f>IF($M420="","",IF(OR(Sync!$AI420="",COUNTIF(AcctCodesA,Sync!$AI420)=0),"متفرقه",Sync!$AI420))</f>
        <v/>
      </c>
      <c r="O420">
        <f>IF($M420="","",$N420)</f>
        <v/>
      </c>
      <c r="P420">
        <f>IF($M420="","","چک پرداختی")</f>
        <v/>
      </c>
      <c r="R420">
        <f>IF($M420="","",IF(COUNTIF(AcctCodesA,Sync!$AI420)=0,"ذی‌نفع چک تعریف‌نشده",""))</f>
        <v/>
      </c>
      <c r="S420">
        <f>IF($R420="","",Sync!$AG420&amp;"|"&amp;"5"&amp;RIGHT("00000"&amp;415,5))</f>
        <v/>
      </c>
      <c r="T420">
        <f>IF($S420="",0,COUNTIFS($S$6:$S$505,"&lt;"&amp;$S420)-COUNTIFS($S$6:$S$505,"&lt;"&amp;$S420,$R$6:$R$505,"")+1)</f>
        <v/>
      </c>
      <c r="V420">
        <f>IF($K420="","",IF(ISNUMBER(Sync!$AK420),Sync!$AK420,LEFT(Sync!$AK420,4)&amp;MID(Sync!$AK420,6,2)&amp;RIGHT(Sync!$AK420,2))&amp;"|"&amp;"4"&amp;RIGHT("00000"&amp;415,5))</f>
        <v/>
      </c>
      <c r="W420">
        <f>IF($V420="",0,COUNTIFS($V$6:$V$2005,"&lt;"&amp;$V420)-COUNTIFS($V$6:$V$2005,"&lt;"&amp;$V420,$K$6:$K$2005,"")+1)</f>
        <v/>
      </c>
      <c r="X420">
        <f>IF(Sync!$AX420="","",IF(OR(N(Sync!$AY420)=0,N(Sync!$AZ420)=0),"",ROUND(N(Sync!$AY420)*N(Sync!$AZ420),0)))</f>
        <v/>
      </c>
      <c r="Y420">
        <f>IF($X420="","",IF(OR(Sync!$AX420="",COUNTIF(AcctCodesA,Sync!$AX420)=0),"متفرقه",Sync!$AX420))</f>
        <v/>
      </c>
      <c r="Z420">
        <f>IF($X420="","","سبد و ظروف")</f>
        <v/>
      </c>
      <c r="AA420">
        <f>IF($X420="","",$Y420)</f>
        <v/>
      </c>
    </row>
    <row r="421">
      <c r="A421">
        <f>IF(Sync!$Z421="","",LEFT(UPPER(TRIM(Sync!$Z421)),6))</f>
        <v/>
      </c>
      <c r="B421">
        <f>IF($A421="","",IF(Sync!$AA421="","",Sync!$AA421))</f>
        <v/>
      </c>
      <c r="C421">
        <f>IF($A421="","",IF(Sync!$AB421="","",Sync!$AB421))</f>
        <v/>
      </c>
      <c r="D421">
        <f>IF($A421="","",IF(Sync!$AC421="","",Sync!$AC421))</f>
        <v/>
      </c>
      <c r="E421">
        <f>IF($A421="","",IF(Sync!$AD421="","",Sync!$AD421))</f>
        <v/>
      </c>
      <c r="F421">
        <f>IF($A421="","",IF(Sync!$AE421="",0,Sync!$AE421))</f>
        <v/>
      </c>
      <c r="G421">
        <f>IF($A421="","",IF(Sync!$AF421="",0,Sync!$AF421))</f>
        <v/>
      </c>
      <c r="H421">
        <f>IF(OR($A421="",ROUND($F421+$G421,2)=0),"",$F421+$G421)</f>
        <v/>
      </c>
      <c r="I421">
        <f>IF($H421="","",IF(ROUND($F421,2)&gt;0,$A421,IF($D421="شخصی قاسم","شخصی قاسم",IF($D421="هزینه","هزینه: "&amp;IF($E421="","متفرقه",$E421),IF($C421="پاس چک","چک پرداختی",IF(OR($B421="",COUNTIF(AcctCodesA,$B421)=0),"متفرقه",$B421))))))</f>
        <v/>
      </c>
      <c r="J421">
        <f>IF($H421="","",IF(ROUND($F421,2)&gt;0,IF($D421="شخصی قاسم","شخصی قاسم",IF($D421="هزینه","هزینه: "&amp;IF($E421="","متفرقه",$E421),IF(OR($B421="",COUNTIF(AcctCodesA,$B421)=0),"متفرقه",$B421))),$A421))</f>
        <v/>
      </c>
      <c r="K421">
        <f>IF($A421="","",IF(AND($B421&lt;&gt;"",COUNTIF(AcctCodesA,$B421)=0),"کد طرف در INFO تعریف نشده",IF(AND($D421="هزینه",$E421=""),"هزینه بدون زیرگروه",IF(AND($C421="پاس چک",OR(Sync!$AJ421="",COUNTIF(IssueNosA,Sync!$AJ421)=0)),"شماره چک پاس‌شده معتبر نیست",""))))</f>
        <v/>
      </c>
      <c r="M421">
        <f>IF(Sync!$AH421="","",Sync!$AH421)</f>
        <v/>
      </c>
      <c r="N421">
        <f>IF($M421="","",IF(OR(Sync!$AI421="",COUNTIF(AcctCodesA,Sync!$AI421)=0),"متفرقه",Sync!$AI421))</f>
        <v/>
      </c>
      <c r="O421">
        <f>IF($M421="","",$N421)</f>
        <v/>
      </c>
      <c r="P421">
        <f>IF($M421="","","چک پرداختی")</f>
        <v/>
      </c>
      <c r="R421">
        <f>IF($M421="","",IF(COUNTIF(AcctCodesA,Sync!$AI421)=0,"ذی‌نفع چک تعریف‌نشده",""))</f>
        <v/>
      </c>
      <c r="S421">
        <f>IF($R421="","",Sync!$AG421&amp;"|"&amp;"5"&amp;RIGHT("00000"&amp;416,5))</f>
        <v/>
      </c>
      <c r="T421">
        <f>IF($S421="",0,COUNTIFS($S$6:$S$505,"&lt;"&amp;$S421)-COUNTIFS($S$6:$S$505,"&lt;"&amp;$S421,$R$6:$R$505,"")+1)</f>
        <v/>
      </c>
      <c r="V421">
        <f>IF($K421="","",IF(ISNUMBER(Sync!$AK421),Sync!$AK421,LEFT(Sync!$AK421,4)&amp;MID(Sync!$AK421,6,2)&amp;RIGHT(Sync!$AK421,2))&amp;"|"&amp;"4"&amp;RIGHT("00000"&amp;416,5))</f>
        <v/>
      </c>
      <c r="W421">
        <f>IF($V421="",0,COUNTIFS($V$6:$V$2005,"&lt;"&amp;$V421)-COUNTIFS($V$6:$V$2005,"&lt;"&amp;$V421,$K$6:$K$2005,"")+1)</f>
        <v/>
      </c>
      <c r="X421">
        <f>IF(Sync!$AX421="","",IF(OR(N(Sync!$AY421)=0,N(Sync!$AZ421)=0),"",ROUND(N(Sync!$AY421)*N(Sync!$AZ421),0)))</f>
        <v/>
      </c>
      <c r="Y421">
        <f>IF($X421="","",IF(OR(Sync!$AX421="",COUNTIF(AcctCodesA,Sync!$AX421)=0),"متفرقه",Sync!$AX421))</f>
        <v/>
      </c>
      <c r="Z421">
        <f>IF($X421="","","سبد و ظروف")</f>
        <v/>
      </c>
      <c r="AA421">
        <f>IF($X421="","",$Y421)</f>
        <v/>
      </c>
    </row>
    <row r="422">
      <c r="A422">
        <f>IF(Sync!$Z422="","",LEFT(UPPER(TRIM(Sync!$Z422)),6))</f>
        <v/>
      </c>
      <c r="B422">
        <f>IF($A422="","",IF(Sync!$AA422="","",Sync!$AA422))</f>
        <v/>
      </c>
      <c r="C422">
        <f>IF($A422="","",IF(Sync!$AB422="","",Sync!$AB422))</f>
        <v/>
      </c>
      <c r="D422">
        <f>IF($A422="","",IF(Sync!$AC422="","",Sync!$AC422))</f>
        <v/>
      </c>
      <c r="E422">
        <f>IF($A422="","",IF(Sync!$AD422="","",Sync!$AD422))</f>
        <v/>
      </c>
      <c r="F422">
        <f>IF($A422="","",IF(Sync!$AE422="",0,Sync!$AE422))</f>
        <v/>
      </c>
      <c r="G422">
        <f>IF($A422="","",IF(Sync!$AF422="",0,Sync!$AF422))</f>
        <v/>
      </c>
      <c r="H422">
        <f>IF(OR($A422="",ROUND($F422+$G422,2)=0),"",$F422+$G422)</f>
        <v/>
      </c>
      <c r="I422">
        <f>IF($H422="","",IF(ROUND($F422,2)&gt;0,$A422,IF($D422="شخصی قاسم","شخصی قاسم",IF($D422="هزینه","هزینه: "&amp;IF($E422="","متفرقه",$E422),IF($C422="پاس چک","چک پرداختی",IF(OR($B422="",COUNTIF(AcctCodesA,$B422)=0),"متفرقه",$B422))))))</f>
        <v/>
      </c>
      <c r="J422">
        <f>IF($H422="","",IF(ROUND($F422,2)&gt;0,IF($D422="شخصی قاسم","شخصی قاسم",IF($D422="هزینه","هزینه: "&amp;IF($E422="","متفرقه",$E422),IF(OR($B422="",COUNTIF(AcctCodesA,$B422)=0),"متفرقه",$B422))),$A422))</f>
        <v/>
      </c>
      <c r="K422">
        <f>IF($A422="","",IF(AND($B422&lt;&gt;"",COUNTIF(AcctCodesA,$B422)=0),"کد طرف در INFO تعریف نشده",IF(AND($D422="هزینه",$E422=""),"هزینه بدون زیرگروه",IF(AND($C422="پاس چک",OR(Sync!$AJ422="",COUNTIF(IssueNosA,Sync!$AJ422)=0)),"شماره چک پاس‌شده معتبر نیست",""))))</f>
        <v/>
      </c>
      <c r="M422">
        <f>IF(Sync!$AH422="","",Sync!$AH422)</f>
        <v/>
      </c>
      <c r="N422">
        <f>IF($M422="","",IF(OR(Sync!$AI422="",COUNTIF(AcctCodesA,Sync!$AI422)=0),"متفرقه",Sync!$AI422))</f>
        <v/>
      </c>
      <c r="O422">
        <f>IF($M422="","",$N422)</f>
        <v/>
      </c>
      <c r="P422">
        <f>IF($M422="","","چک پرداختی")</f>
        <v/>
      </c>
      <c r="R422">
        <f>IF($M422="","",IF(COUNTIF(AcctCodesA,Sync!$AI422)=0,"ذی‌نفع چک تعریف‌نشده",""))</f>
        <v/>
      </c>
      <c r="S422">
        <f>IF($R422="","",Sync!$AG422&amp;"|"&amp;"5"&amp;RIGHT("00000"&amp;417,5))</f>
        <v/>
      </c>
      <c r="T422">
        <f>IF($S422="",0,COUNTIFS($S$6:$S$505,"&lt;"&amp;$S422)-COUNTIFS($S$6:$S$505,"&lt;"&amp;$S422,$R$6:$R$505,"")+1)</f>
        <v/>
      </c>
      <c r="V422">
        <f>IF($K422="","",IF(ISNUMBER(Sync!$AK422),Sync!$AK422,LEFT(Sync!$AK422,4)&amp;MID(Sync!$AK422,6,2)&amp;RIGHT(Sync!$AK422,2))&amp;"|"&amp;"4"&amp;RIGHT("00000"&amp;417,5))</f>
        <v/>
      </c>
      <c r="W422">
        <f>IF($V422="",0,COUNTIFS($V$6:$V$2005,"&lt;"&amp;$V422)-COUNTIFS($V$6:$V$2005,"&lt;"&amp;$V422,$K$6:$K$2005,"")+1)</f>
        <v/>
      </c>
      <c r="X422">
        <f>IF(Sync!$AX422="","",IF(OR(N(Sync!$AY422)=0,N(Sync!$AZ422)=0),"",ROUND(N(Sync!$AY422)*N(Sync!$AZ422),0)))</f>
        <v/>
      </c>
      <c r="Y422">
        <f>IF($X422="","",IF(OR(Sync!$AX422="",COUNTIF(AcctCodesA,Sync!$AX422)=0),"متفرقه",Sync!$AX422))</f>
        <v/>
      </c>
      <c r="Z422">
        <f>IF($X422="","","سبد و ظروف")</f>
        <v/>
      </c>
      <c r="AA422">
        <f>IF($X422="","",$Y422)</f>
        <v/>
      </c>
    </row>
    <row r="423">
      <c r="A423">
        <f>IF(Sync!$Z423="","",LEFT(UPPER(TRIM(Sync!$Z423)),6))</f>
        <v/>
      </c>
      <c r="B423">
        <f>IF($A423="","",IF(Sync!$AA423="","",Sync!$AA423))</f>
        <v/>
      </c>
      <c r="C423">
        <f>IF($A423="","",IF(Sync!$AB423="","",Sync!$AB423))</f>
        <v/>
      </c>
      <c r="D423">
        <f>IF($A423="","",IF(Sync!$AC423="","",Sync!$AC423))</f>
        <v/>
      </c>
      <c r="E423">
        <f>IF($A423="","",IF(Sync!$AD423="","",Sync!$AD423))</f>
        <v/>
      </c>
      <c r="F423">
        <f>IF($A423="","",IF(Sync!$AE423="",0,Sync!$AE423))</f>
        <v/>
      </c>
      <c r="G423">
        <f>IF($A423="","",IF(Sync!$AF423="",0,Sync!$AF423))</f>
        <v/>
      </c>
      <c r="H423">
        <f>IF(OR($A423="",ROUND($F423+$G423,2)=0),"",$F423+$G423)</f>
        <v/>
      </c>
      <c r="I423">
        <f>IF($H423="","",IF(ROUND($F423,2)&gt;0,$A423,IF($D423="شخصی قاسم","شخصی قاسم",IF($D423="هزینه","هزینه: "&amp;IF($E423="","متفرقه",$E423),IF($C423="پاس چک","چک پرداختی",IF(OR($B423="",COUNTIF(AcctCodesA,$B423)=0),"متفرقه",$B423))))))</f>
        <v/>
      </c>
      <c r="J423">
        <f>IF($H423="","",IF(ROUND($F423,2)&gt;0,IF($D423="شخصی قاسم","شخصی قاسم",IF($D423="هزینه","هزینه: "&amp;IF($E423="","متفرقه",$E423),IF(OR($B423="",COUNTIF(AcctCodesA,$B423)=0),"متفرقه",$B423))),$A423))</f>
        <v/>
      </c>
      <c r="K423">
        <f>IF($A423="","",IF(AND($B423&lt;&gt;"",COUNTIF(AcctCodesA,$B423)=0),"کد طرف در INFO تعریف نشده",IF(AND($D423="هزینه",$E423=""),"هزینه بدون زیرگروه",IF(AND($C423="پاس چک",OR(Sync!$AJ423="",COUNTIF(IssueNosA,Sync!$AJ423)=0)),"شماره چک پاس‌شده معتبر نیست",""))))</f>
        <v/>
      </c>
      <c r="M423">
        <f>IF(Sync!$AH423="","",Sync!$AH423)</f>
        <v/>
      </c>
      <c r="N423">
        <f>IF($M423="","",IF(OR(Sync!$AI423="",COUNTIF(AcctCodesA,Sync!$AI423)=0),"متفرقه",Sync!$AI423))</f>
        <v/>
      </c>
      <c r="O423">
        <f>IF($M423="","",$N423)</f>
        <v/>
      </c>
      <c r="P423">
        <f>IF($M423="","","چک پرداختی")</f>
        <v/>
      </c>
      <c r="R423">
        <f>IF($M423="","",IF(COUNTIF(AcctCodesA,Sync!$AI423)=0,"ذی‌نفع چک تعریف‌نشده",""))</f>
        <v/>
      </c>
      <c r="S423">
        <f>IF($R423="","",Sync!$AG423&amp;"|"&amp;"5"&amp;RIGHT("00000"&amp;418,5))</f>
        <v/>
      </c>
      <c r="T423">
        <f>IF($S423="",0,COUNTIFS($S$6:$S$505,"&lt;"&amp;$S423)-COUNTIFS($S$6:$S$505,"&lt;"&amp;$S423,$R$6:$R$505,"")+1)</f>
        <v/>
      </c>
      <c r="V423">
        <f>IF($K423="","",IF(ISNUMBER(Sync!$AK423),Sync!$AK423,LEFT(Sync!$AK423,4)&amp;MID(Sync!$AK423,6,2)&amp;RIGHT(Sync!$AK423,2))&amp;"|"&amp;"4"&amp;RIGHT("00000"&amp;418,5))</f>
        <v/>
      </c>
      <c r="W423">
        <f>IF($V423="",0,COUNTIFS($V$6:$V$2005,"&lt;"&amp;$V423)-COUNTIFS($V$6:$V$2005,"&lt;"&amp;$V423,$K$6:$K$2005,"")+1)</f>
        <v/>
      </c>
      <c r="X423">
        <f>IF(Sync!$AX423="","",IF(OR(N(Sync!$AY423)=0,N(Sync!$AZ423)=0),"",ROUND(N(Sync!$AY423)*N(Sync!$AZ423),0)))</f>
        <v/>
      </c>
      <c r="Y423">
        <f>IF($X423="","",IF(OR(Sync!$AX423="",COUNTIF(AcctCodesA,Sync!$AX423)=0),"متفرقه",Sync!$AX423))</f>
        <v/>
      </c>
      <c r="Z423">
        <f>IF($X423="","","سبد و ظروف")</f>
        <v/>
      </c>
      <c r="AA423">
        <f>IF($X423="","",$Y423)</f>
        <v/>
      </c>
    </row>
    <row r="424">
      <c r="A424">
        <f>IF(Sync!$Z424="","",LEFT(UPPER(TRIM(Sync!$Z424)),6))</f>
        <v/>
      </c>
      <c r="B424">
        <f>IF($A424="","",IF(Sync!$AA424="","",Sync!$AA424))</f>
        <v/>
      </c>
      <c r="C424">
        <f>IF($A424="","",IF(Sync!$AB424="","",Sync!$AB424))</f>
        <v/>
      </c>
      <c r="D424">
        <f>IF($A424="","",IF(Sync!$AC424="","",Sync!$AC424))</f>
        <v/>
      </c>
      <c r="E424">
        <f>IF($A424="","",IF(Sync!$AD424="","",Sync!$AD424))</f>
        <v/>
      </c>
      <c r="F424">
        <f>IF($A424="","",IF(Sync!$AE424="",0,Sync!$AE424))</f>
        <v/>
      </c>
      <c r="G424">
        <f>IF($A424="","",IF(Sync!$AF424="",0,Sync!$AF424))</f>
        <v/>
      </c>
      <c r="H424">
        <f>IF(OR($A424="",ROUND($F424+$G424,2)=0),"",$F424+$G424)</f>
        <v/>
      </c>
      <c r="I424">
        <f>IF($H424="","",IF(ROUND($F424,2)&gt;0,$A424,IF($D424="شخصی قاسم","شخصی قاسم",IF($D424="هزینه","هزینه: "&amp;IF($E424="","متفرقه",$E424),IF($C424="پاس چک","چک پرداختی",IF(OR($B424="",COUNTIF(AcctCodesA,$B424)=0),"متفرقه",$B424))))))</f>
        <v/>
      </c>
      <c r="J424">
        <f>IF($H424="","",IF(ROUND($F424,2)&gt;0,IF($D424="شخصی قاسم","شخصی قاسم",IF($D424="هزینه","هزینه: "&amp;IF($E424="","متفرقه",$E424),IF(OR($B424="",COUNTIF(AcctCodesA,$B424)=0),"متفرقه",$B424))),$A424))</f>
        <v/>
      </c>
      <c r="K424">
        <f>IF($A424="","",IF(AND($B424&lt;&gt;"",COUNTIF(AcctCodesA,$B424)=0),"کد طرف در INFO تعریف نشده",IF(AND($D424="هزینه",$E424=""),"هزینه بدون زیرگروه",IF(AND($C424="پاس چک",OR(Sync!$AJ424="",COUNTIF(IssueNosA,Sync!$AJ424)=0)),"شماره چک پاس‌شده معتبر نیست",""))))</f>
        <v/>
      </c>
      <c r="M424">
        <f>IF(Sync!$AH424="","",Sync!$AH424)</f>
        <v/>
      </c>
      <c r="N424">
        <f>IF($M424="","",IF(OR(Sync!$AI424="",COUNTIF(AcctCodesA,Sync!$AI424)=0),"متفرقه",Sync!$AI424))</f>
        <v/>
      </c>
      <c r="O424">
        <f>IF($M424="","",$N424)</f>
        <v/>
      </c>
      <c r="P424">
        <f>IF($M424="","","چک پرداختی")</f>
        <v/>
      </c>
      <c r="R424">
        <f>IF($M424="","",IF(COUNTIF(AcctCodesA,Sync!$AI424)=0,"ذی‌نفع چک تعریف‌نشده",""))</f>
        <v/>
      </c>
      <c r="S424">
        <f>IF($R424="","",Sync!$AG424&amp;"|"&amp;"5"&amp;RIGHT("00000"&amp;419,5))</f>
        <v/>
      </c>
      <c r="T424">
        <f>IF($S424="",0,COUNTIFS($S$6:$S$505,"&lt;"&amp;$S424)-COUNTIFS($S$6:$S$505,"&lt;"&amp;$S424,$R$6:$R$505,"")+1)</f>
        <v/>
      </c>
      <c r="V424">
        <f>IF($K424="","",IF(ISNUMBER(Sync!$AK424),Sync!$AK424,LEFT(Sync!$AK424,4)&amp;MID(Sync!$AK424,6,2)&amp;RIGHT(Sync!$AK424,2))&amp;"|"&amp;"4"&amp;RIGHT("00000"&amp;419,5))</f>
        <v/>
      </c>
      <c r="W424">
        <f>IF($V424="",0,COUNTIFS($V$6:$V$2005,"&lt;"&amp;$V424)-COUNTIFS($V$6:$V$2005,"&lt;"&amp;$V424,$K$6:$K$2005,"")+1)</f>
        <v/>
      </c>
      <c r="X424">
        <f>IF(Sync!$AX424="","",IF(OR(N(Sync!$AY424)=0,N(Sync!$AZ424)=0),"",ROUND(N(Sync!$AY424)*N(Sync!$AZ424),0)))</f>
        <v/>
      </c>
      <c r="Y424">
        <f>IF($X424="","",IF(OR(Sync!$AX424="",COUNTIF(AcctCodesA,Sync!$AX424)=0),"متفرقه",Sync!$AX424))</f>
        <v/>
      </c>
      <c r="Z424">
        <f>IF($X424="","","سبد و ظروف")</f>
        <v/>
      </c>
      <c r="AA424">
        <f>IF($X424="","",$Y424)</f>
        <v/>
      </c>
    </row>
    <row r="425">
      <c r="A425">
        <f>IF(Sync!$Z425="","",LEFT(UPPER(TRIM(Sync!$Z425)),6))</f>
        <v/>
      </c>
      <c r="B425">
        <f>IF($A425="","",IF(Sync!$AA425="","",Sync!$AA425))</f>
        <v/>
      </c>
      <c r="C425">
        <f>IF($A425="","",IF(Sync!$AB425="","",Sync!$AB425))</f>
        <v/>
      </c>
      <c r="D425">
        <f>IF($A425="","",IF(Sync!$AC425="","",Sync!$AC425))</f>
        <v/>
      </c>
      <c r="E425">
        <f>IF($A425="","",IF(Sync!$AD425="","",Sync!$AD425))</f>
        <v/>
      </c>
      <c r="F425">
        <f>IF($A425="","",IF(Sync!$AE425="",0,Sync!$AE425))</f>
        <v/>
      </c>
      <c r="G425">
        <f>IF($A425="","",IF(Sync!$AF425="",0,Sync!$AF425))</f>
        <v/>
      </c>
      <c r="H425">
        <f>IF(OR($A425="",ROUND($F425+$G425,2)=0),"",$F425+$G425)</f>
        <v/>
      </c>
      <c r="I425">
        <f>IF($H425="","",IF(ROUND($F425,2)&gt;0,$A425,IF($D425="شخصی قاسم","شخصی قاسم",IF($D425="هزینه","هزینه: "&amp;IF($E425="","متفرقه",$E425),IF($C425="پاس چک","چک پرداختی",IF(OR($B425="",COUNTIF(AcctCodesA,$B425)=0),"متفرقه",$B425))))))</f>
        <v/>
      </c>
      <c r="J425">
        <f>IF($H425="","",IF(ROUND($F425,2)&gt;0,IF($D425="شخصی قاسم","شخصی قاسم",IF($D425="هزینه","هزینه: "&amp;IF($E425="","متفرقه",$E425),IF(OR($B425="",COUNTIF(AcctCodesA,$B425)=0),"متفرقه",$B425))),$A425))</f>
        <v/>
      </c>
      <c r="K425">
        <f>IF($A425="","",IF(AND($B425&lt;&gt;"",COUNTIF(AcctCodesA,$B425)=0),"کد طرف در INFO تعریف نشده",IF(AND($D425="هزینه",$E425=""),"هزینه بدون زیرگروه",IF(AND($C425="پاس چک",OR(Sync!$AJ425="",COUNTIF(IssueNosA,Sync!$AJ425)=0)),"شماره چک پاس‌شده معتبر نیست",""))))</f>
        <v/>
      </c>
      <c r="M425">
        <f>IF(Sync!$AH425="","",Sync!$AH425)</f>
        <v/>
      </c>
      <c r="N425">
        <f>IF($M425="","",IF(OR(Sync!$AI425="",COUNTIF(AcctCodesA,Sync!$AI425)=0),"متفرقه",Sync!$AI425))</f>
        <v/>
      </c>
      <c r="O425">
        <f>IF($M425="","",$N425)</f>
        <v/>
      </c>
      <c r="P425">
        <f>IF($M425="","","چک پرداختی")</f>
        <v/>
      </c>
      <c r="R425">
        <f>IF($M425="","",IF(COUNTIF(AcctCodesA,Sync!$AI425)=0,"ذی‌نفع چک تعریف‌نشده",""))</f>
        <v/>
      </c>
      <c r="S425">
        <f>IF($R425="","",Sync!$AG425&amp;"|"&amp;"5"&amp;RIGHT("00000"&amp;420,5))</f>
        <v/>
      </c>
      <c r="T425">
        <f>IF($S425="",0,COUNTIFS($S$6:$S$505,"&lt;"&amp;$S425)-COUNTIFS($S$6:$S$505,"&lt;"&amp;$S425,$R$6:$R$505,"")+1)</f>
        <v/>
      </c>
      <c r="V425">
        <f>IF($K425="","",IF(ISNUMBER(Sync!$AK425),Sync!$AK425,LEFT(Sync!$AK425,4)&amp;MID(Sync!$AK425,6,2)&amp;RIGHT(Sync!$AK425,2))&amp;"|"&amp;"4"&amp;RIGHT("00000"&amp;420,5))</f>
        <v/>
      </c>
      <c r="W425">
        <f>IF($V425="",0,COUNTIFS($V$6:$V$2005,"&lt;"&amp;$V425)-COUNTIFS($V$6:$V$2005,"&lt;"&amp;$V425,$K$6:$K$2005,"")+1)</f>
        <v/>
      </c>
      <c r="X425">
        <f>IF(Sync!$AX425="","",IF(OR(N(Sync!$AY425)=0,N(Sync!$AZ425)=0),"",ROUND(N(Sync!$AY425)*N(Sync!$AZ425),0)))</f>
        <v/>
      </c>
      <c r="Y425">
        <f>IF($X425="","",IF(OR(Sync!$AX425="",COUNTIF(AcctCodesA,Sync!$AX425)=0),"متفرقه",Sync!$AX425))</f>
        <v/>
      </c>
      <c r="Z425">
        <f>IF($X425="","","سبد و ظروف")</f>
        <v/>
      </c>
      <c r="AA425">
        <f>IF($X425="","",$Y425)</f>
        <v/>
      </c>
    </row>
    <row r="426">
      <c r="A426">
        <f>IF(Sync!$Z426="","",LEFT(UPPER(TRIM(Sync!$Z426)),6))</f>
        <v/>
      </c>
      <c r="B426">
        <f>IF($A426="","",IF(Sync!$AA426="","",Sync!$AA426))</f>
        <v/>
      </c>
      <c r="C426">
        <f>IF($A426="","",IF(Sync!$AB426="","",Sync!$AB426))</f>
        <v/>
      </c>
      <c r="D426">
        <f>IF($A426="","",IF(Sync!$AC426="","",Sync!$AC426))</f>
        <v/>
      </c>
      <c r="E426">
        <f>IF($A426="","",IF(Sync!$AD426="","",Sync!$AD426))</f>
        <v/>
      </c>
      <c r="F426">
        <f>IF($A426="","",IF(Sync!$AE426="",0,Sync!$AE426))</f>
        <v/>
      </c>
      <c r="G426">
        <f>IF($A426="","",IF(Sync!$AF426="",0,Sync!$AF426))</f>
        <v/>
      </c>
      <c r="H426">
        <f>IF(OR($A426="",ROUND($F426+$G426,2)=0),"",$F426+$G426)</f>
        <v/>
      </c>
      <c r="I426">
        <f>IF($H426="","",IF(ROUND($F426,2)&gt;0,$A426,IF($D426="شخصی قاسم","شخصی قاسم",IF($D426="هزینه","هزینه: "&amp;IF($E426="","متفرقه",$E426),IF($C426="پاس چک","چک پرداختی",IF(OR($B426="",COUNTIF(AcctCodesA,$B426)=0),"متفرقه",$B426))))))</f>
        <v/>
      </c>
      <c r="J426">
        <f>IF($H426="","",IF(ROUND($F426,2)&gt;0,IF($D426="شخصی قاسم","شخصی قاسم",IF($D426="هزینه","هزینه: "&amp;IF($E426="","متفرقه",$E426),IF(OR($B426="",COUNTIF(AcctCodesA,$B426)=0),"متفرقه",$B426))),$A426))</f>
        <v/>
      </c>
      <c r="K426">
        <f>IF($A426="","",IF(AND($B426&lt;&gt;"",COUNTIF(AcctCodesA,$B426)=0),"کد طرف در INFO تعریف نشده",IF(AND($D426="هزینه",$E426=""),"هزینه بدون زیرگروه",IF(AND($C426="پاس چک",OR(Sync!$AJ426="",COUNTIF(IssueNosA,Sync!$AJ426)=0)),"شماره چک پاس‌شده معتبر نیست",""))))</f>
        <v/>
      </c>
      <c r="M426">
        <f>IF(Sync!$AH426="","",Sync!$AH426)</f>
        <v/>
      </c>
      <c r="N426">
        <f>IF($M426="","",IF(OR(Sync!$AI426="",COUNTIF(AcctCodesA,Sync!$AI426)=0),"متفرقه",Sync!$AI426))</f>
        <v/>
      </c>
      <c r="O426">
        <f>IF($M426="","",$N426)</f>
        <v/>
      </c>
      <c r="P426">
        <f>IF($M426="","","چک پرداختی")</f>
        <v/>
      </c>
      <c r="R426">
        <f>IF($M426="","",IF(COUNTIF(AcctCodesA,Sync!$AI426)=0,"ذی‌نفع چک تعریف‌نشده",""))</f>
        <v/>
      </c>
      <c r="S426">
        <f>IF($R426="","",Sync!$AG426&amp;"|"&amp;"5"&amp;RIGHT("00000"&amp;421,5))</f>
        <v/>
      </c>
      <c r="T426">
        <f>IF($S426="",0,COUNTIFS($S$6:$S$505,"&lt;"&amp;$S426)-COUNTIFS($S$6:$S$505,"&lt;"&amp;$S426,$R$6:$R$505,"")+1)</f>
        <v/>
      </c>
      <c r="V426">
        <f>IF($K426="","",IF(ISNUMBER(Sync!$AK426),Sync!$AK426,LEFT(Sync!$AK426,4)&amp;MID(Sync!$AK426,6,2)&amp;RIGHT(Sync!$AK426,2))&amp;"|"&amp;"4"&amp;RIGHT("00000"&amp;421,5))</f>
        <v/>
      </c>
      <c r="W426">
        <f>IF($V426="",0,COUNTIFS($V$6:$V$2005,"&lt;"&amp;$V426)-COUNTIFS($V$6:$V$2005,"&lt;"&amp;$V426,$K$6:$K$2005,"")+1)</f>
        <v/>
      </c>
      <c r="X426">
        <f>IF(Sync!$AX426="","",IF(OR(N(Sync!$AY426)=0,N(Sync!$AZ426)=0),"",ROUND(N(Sync!$AY426)*N(Sync!$AZ426),0)))</f>
        <v/>
      </c>
      <c r="Y426">
        <f>IF($X426="","",IF(OR(Sync!$AX426="",COUNTIF(AcctCodesA,Sync!$AX426)=0),"متفرقه",Sync!$AX426))</f>
        <v/>
      </c>
      <c r="Z426">
        <f>IF($X426="","","سبد و ظروف")</f>
        <v/>
      </c>
      <c r="AA426">
        <f>IF($X426="","",$Y426)</f>
        <v/>
      </c>
    </row>
    <row r="427">
      <c r="A427">
        <f>IF(Sync!$Z427="","",LEFT(UPPER(TRIM(Sync!$Z427)),6))</f>
        <v/>
      </c>
      <c r="B427">
        <f>IF($A427="","",IF(Sync!$AA427="","",Sync!$AA427))</f>
        <v/>
      </c>
      <c r="C427">
        <f>IF($A427="","",IF(Sync!$AB427="","",Sync!$AB427))</f>
        <v/>
      </c>
      <c r="D427">
        <f>IF($A427="","",IF(Sync!$AC427="","",Sync!$AC427))</f>
        <v/>
      </c>
      <c r="E427">
        <f>IF($A427="","",IF(Sync!$AD427="","",Sync!$AD427))</f>
        <v/>
      </c>
      <c r="F427">
        <f>IF($A427="","",IF(Sync!$AE427="",0,Sync!$AE427))</f>
        <v/>
      </c>
      <c r="G427">
        <f>IF($A427="","",IF(Sync!$AF427="",0,Sync!$AF427))</f>
        <v/>
      </c>
      <c r="H427">
        <f>IF(OR($A427="",ROUND($F427+$G427,2)=0),"",$F427+$G427)</f>
        <v/>
      </c>
      <c r="I427">
        <f>IF($H427="","",IF(ROUND($F427,2)&gt;0,$A427,IF($D427="شخصی قاسم","شخصی قاسم",IF($D427="هزینه","هزینه: "&amp;IF($E427="","متفرقه",$E427),IF($C427="پاس چک","چک پرداختی",IF(OR($B427="",COUNTIF(AcctCodesA,$B427)=0),"متفرقه",$B427))))))</f>
        <v/>
      </c>
      <c r="J427">
        <f>IF($H427="","",IF(ROUND($F427,2)&gt;0,IF($D427="شخصی قاسم","شخصی قاسم",IF($D427="هزینه","هزینه: "&amp;IF($E427="","متفرقه",$E427),IF(OR($B427="",COUNTIF(AcctCodesA,$B427)=0),"متفرقه",$B427))),$A427))</f>
        <v/>
      </c>
      <c r="K427">
        <f>IF($A427="","",IF(AND($B427&lt;&gt;"",COUNTIF(AcctCodesA,$B427)=0),"کد طرف در INFO تعریف نشده",IF(AND($D427="هزینه",$E427=""),"هزینه بدون زیرگروه",IF(AND($C427="پاس چک",OR(Sync!$AJ427="",COUNTIF(IssueNosA,Sync!$AJ427)=0)),"شماره چک پاس‌شده معتبر نیست",""))))</f>
        <v/>
      </c>
      <c r="M427">
        <f>IF(Sync!$AH427="","",Sync!$AH427)</f>
        <v/>
      </c>
      <c r="N427">
        <f>IF($M427="","",IF(OR(Sync!$AI427="",COUNTIF(AcctCodesA,Sync!$AI427)=0),"متفرقه",Sync!$AI427))</f>
        <v/>
      </c>
      <c r="O427">
        <f>IF($M427="","",$N427)</f>
        <v/>
      </c>
      <c r="P427">
        <f>IF($M427="","","چک پرداختی")</f>
        <v/>
      </c>
      <c r="R427">
        <f>IF($M427="","",IF(COUNTIF(AcctCodesA,Sync!$AI427)=0,"ذی‌نفع چک تعریف‌نشده",""))</f>
        <v/>
      </c>
      <c r="S427">
        <f>IF($R427="","",Sync!$AG427&amp;"|"&amp;"5"&amp;RIGHT("00000"&amp;422,5))</f>
        <v/>
      </c>
      <c r="T427">
        <f>IF($S427="",0,COUNTIFS($S$6:$S$505,"&lt;"&amp;$S427)-COUNTIFS($S$6:$S$505,"&lt;"&amp;$S427,$R$6:$R$505,"")+1)</f>
        <v/>
      </c>
      <c r="V427">
        <f>IF($K427="","",IF(ISNUMBER(Sync!$AK427),Sync!$AK427,LEFT(Sync!$AK427,4)&amp;MID(Sync!$AK427,6,2)&amp;RIGHT(Sync!$AK427,2))&amp;"|"&amp;"4"&amp;RIGHT("00000"&amp;422,5))</f>
        <v/>
      </c>
      <c r="W427">
        <f>IF($V427="",0,COUNTIFS($V$6:$V$2005,"&lt;"&amp;$V427)-COUNTIFS($V$6:$V$2005,"&lt;"&amp;$V427,$K$6:$K$2005,"")+1)</f>
        <v/>
      </c>
      <c r="X427">
        <f>IF(Sync!$AX427="","",IF(OR(N(Sync!$AY427)=0,N(Sync!$AZ427)=0),"",ROUND(N(Sync!$AY427)*N(Sync!$AZ427),0)))</f>
        <v/>
      </c>
      <c r="Y427">
        <f>IF($X427="","",IF(OR(Sync!$AX427="",COUNTIF(AcctCodesA,Sync!$AX427)=0),"متفرقه",Sync!$AX427))</f>
        <v/>
      </c>
      <c r="Z427">
        <f>IF($X427="","","سبد و ظروف")</f>
        <v/>
      </c>
      <c r="AA427">
        <f>IF($X427="","",$Y427)</f>
        <v/>
      </c>
    </row>
    <row r="428">
      <c r="A428">
        <f>IF(Sync!$Z428="","",LEFT(UPPER(TRIM(Sync!$Z428)),6))</f>
        <v/>
      </c>
      <c r="B428">
        <f>IF($A428="","",IF(Sync!$AA428="","",Sync!$AA428))</f>
        <v/>
      </c>
      <c r="C428">
        <f>IF($A428="","",IF(Sync!$AB428="","",Sync!$AB428))</f>
        <v/>
      </c>
      <c r="D428">
        <f>IF($A428="","",IF(Sync!$AC428="","",Sync!$AC428))</f>
        <v/>
      </c>
      <c r="E428">
        <f>IF($A428="","",IF(Sync!$AD428="","",Sync!$AD428))</f>
        <v/>
      </c>
      <c r="F428">
        <f>IF($A428="","",IF(Sync!$AE428="",0,Sync!$AE428))</f>
        <v/>
      </c>
      <c r="G428">
        <f>IF($A428="","",IF(Sync!$AF428="",0,Sync!$AF428))</f>
        <v/>
      </c>
      <c r="H428">
        <f>IF(OR($A428="",ROUND($F428+$G428,2)=0),"",$F428+$G428)</f>
        <v/>
      </c>
      <c r="I428">
        <f>IF($H428="","",IF(ROUND($F428,2)&gt;0,$A428,IF($D428="شخصی قاسم","شخصی قاسم",IF($D428="هزینه","هزینه: "&amp;IF($E428="","متفرقه",$E428),IF($C428="پاس چک","چک پرداختی",IF(OR($B428="",COUNTIF(AcctCodesA,$B428)=0),"متفرقه",$B428))))))</f>
        <v/>
      </c>
      <c r="J428">
        <f>IF($H428="","",IF(ROUND($F428,2)&gt;0,IF($D428="شخصی قاسم","شخصی قاسم",IF($D428="هزینه","هزینه: "&amp;IF($E428="","متفرقه",$E428),IF(OR($B428="",COUNTIF(AcctCodesA,$B428)=0),"متفرقه",$B428))),$A428))</f>
        <v/>
      </c>
      <c r="K428">
        <f>IF($A428="","",IF(AND($B428&lt;&gt;"",COUNTIF(AcctCodesA,$B428)=0),"کد طرف در INFO تعریف نشده",IF(AND($D428="هزینه",$E428=""),"هزینه بدون زیرگروه",IF(AND($C428="پاس چک",OR(Sync!$AJ428="",COUNTIF(IssueNosA,Sync!$AJ428)=0)),"شماره چک پاس‌شده معتبر نیست",""))))</f>
        <v/>
      </c>
      <c r="M428">
        <f>IF(Sync!$AH428="","",Sync!$AH428)</f>
        <v/>
      </c>
      <c r="N428">
        <f>IF($M428="","",IF(OR(Sync!$AI428="",COUNTIF(AcctCodesA,Sync!$AI428)=0),"متفرقه",Sync!$AI428))</f>
        <v/>
      </c>
      <c r="O428">
        <f>IF($M428="","",$N428)</f>
        <v/>
      </c>
      <c r="P428">
        <f>IF($M428="","","چک پرداختی")</f>
        <v/>
      </c>
      <c r="R428">
        <f>IF($M428="","",IF(COUNTIF(AcctCodesA,Sync!$AI428)=0,"ذی‌نفع چک تعریف‌نشده",""))</f>
        <v/>
      </c>
      <c r="S428">
        <f>IF($R428="","",Sync!$AG428&amp;"|"&amp;"5"&amp;RIGHT("00000"&amp;423,5))</f>
        <v/>
      </c>
      <c r="T428">
        <f>IF($S428="",0,COUNTIFS($S$6:$S$505,"&lt;"&amp;$S428)-COUNTIFS($S$6:$S$505,"&lt;"&amp;$S428,$R$6:$R$505,"")+1)</f>
        <v/>
      </c>
      <c r="V428">
        <f>IF($K428="","",IF(ISNUMBER(Sync!$AK428),Sync!$AK428,LEFT(Sync!$AK428,4)&amp;MID(Sync!$AK428,6,2)&amp;RIGHT(Sync!$AK428,2))&amp;"|"&amp;"4"&amp;RIGHT("00000"&amp;423,5))</f>
        <v/>
      </c>
      <c r="W428">
        <f>IF($V428="",0,COUNTIFS($V$6:$V$2005,"&lt;"&amp;$V428)-COUNTIFS($V$6:$V$2005,"&lt;"&amp;$V428,$K$6:$K$2005,"")+1)</f>
        <v/>
      </c>
      <c r="X428">
        <f>IF(Sync!$AX428="","",IF(OR(N(Sync!$AY428)=0,N(Sync!$AZ428)=0),"",ROUND(N(Sync!$AY428)*N(Sync!$AZ428),0)))</f>
        <v/>
      </c>
      <c r="Y428">
        <f>IF($X428="","",IF(OR(Sync!$AX428="",COUNTIF(AcctCodesA,Sync!$AX428)=0),"متفرقه",Sync!$AX428))</f>
        <v/>
      </c>
      <c r="Z428">
        <f>IF($X428="","","سبد و ظروف")</f>
        <v/>
      </c>
      <c r="AA428">
        <f>IF($X428="","",$Y428)</f>
        <v/>
      </c>
    </row>
    <row r="429">
      <c r="A429">
        <f>IF(Sync!$Z429="","",LEFT(UPPER(TRIM(Sync!$Z429)),6))</f>
        <v/>
      </c>
      <c r="B429">
        <f>IF($A429="","",IF(Sync!$AA429="","",Sync!$AA429))</f>
        <v/>
      </c>
      <c r="C429">
        <f>IF($A429="","",IF(Sync!$AB429="","",Sync!$AB429))</f>
        <v/>
      </c>
      <c r="D429">
        <f>IF($A429="","",IF(Sync!$AC429="","",Sync!$AC429))</f>
        <v/>
      </c>
      <c r="E429">
        <f>IF($A429="","",IF(Sync!$AD429="","",Sync!$AD429))</f>
        <v/>
      </c>
      <c r="F429">
        <f>IF($A429="","",IF(Sync!$AE429="",0,Sync!$AE429))</f>
        <v/>
      </c>
      <c r="G429">
        <f>IF($A429="","",IF(Sync!$AF429="",0,Sync!$AF429))</f>
        <v/>
      </c>
      <c r="H429">
        <f>IF(OR($A429="",ROUND($F429+$G429,2)=0),"",$F429+$G429)</f>
        <v/>
      </c>
      <c r="I429">
        <f>IF($H429="","",IF(ROUND($F429,2)&gt;0,$A429,IF($D429="شخصی قاسم","شخصی قاسم",IF($D429="هزینه","هزینه: "&amp;IF($E429="","متفرقه",$E429),IF($C429="پاس چک","چک پرداختی",IF(OR($B429="",COUNTIF(AcctCodesA,$B429)=0),"متفرقه",$B429))))))</f>
        <v/>
      </c>
      <c r="J429">
        <f>IF($H429="","",IF(ROUND($F429,2)&gt;0,IF($D429="شخصی قاسم","شخصی قاسم",IF($D429="هزینه","هزینه: "&amp;IF($E429="","متفرقه",$E429),IF(OR($B429="",COUNTIF(AcctCodesA,$B429)=0),"متفرقه",$B429))),$A429))</f>
        <v/>
      </c>
      <c r="K429">
        <f>IF($A429="","",IF(AND($B429&lt;&gt;"",COUNTIF(AcctCodesA,$B429)=0),"کد طرف در INFO تعریف نشده",IF(AND($D429="هزینه",$E429=""),"هزینه بدون زیرگروه",IF(AND($C429="پاس چک",OR(Sync!$AJ429="",COUNTIF(IssueNosA,Sync!$AJ429)=0)),"شماره چک پاس‌شده معتبر نیست",""))))</f>
        <v/>
      </c>
      <c r="M429">
        <f>IF(Sync!$AH429="","",Sync!$AH429)</f>
        <v/>
      </c>
      <c r="N429">
        <f>IF($M429="","",IF(OR(Sync!$AI429="",COUNTIF(AcctCodesA,Sync!$AI429)=0),"متفرقه",Sync!$AI429))</f>
        <v/>
      </c>
      <c r="O429">
        <f>IF($M429="","",$N429)</f>
        <v/>
      </c>
      <c r="P429">
        <f>IF($M429="","","چک پرداختی")</f>
        <v/>
      </c>
      <c r="R429">
        <f>IF($M429="","",IF(COUNTIF(AcctCodesA,Sync!$AI429)=0,"ذی‌نفع چک تعریف‌نشده",""))</f>
        <v/>
      </c>
      <c r="S429">
        <f>IF($R429="","",Sync!$AG429&amp;"|"&amp;"5"&amp;RIGHT("00000"&amp;424,5))</f>
        <v/>
      </c>
      <c r="T429">
        <f>IF($S429="",0,COUNTIFS($S$6:$S$505,"&lt;"&amp;$S429)-COUNTIFS($S$6:$S$505,"&lt;"&amp;$S429,$R$6:$R$505,"")+1)</f>
        <v/>
      </c>
      <c r="V429">
        <f>IF($K429="","",IF(ISNUMBER(Sync!$AK429),Sync!$AK429,LEFT(Sync!$AK429,4)&amp;MID(Sync!$AK429,6,2)&amp;RIGHT(Sync!$AK429,2))&amp;"|"&amp;"4"&amp;RIGHT("00000"&amp;424,5))</f>
        <v/>
      </c>
      <c r="W429">
        <f>IF($V429="",0,COUNTIFS($V$6:$V$2005,"&lt;"&amp;$V429)-COUNTIFS($V$6:$V$2005,"&lt;"&amp;$V429,$K$6:$K$2005,"")+1)</f>
        <v/>
      </c>
      <c r="X429">
        <f>IF(Sync!$AX429="","",IF(OR(N(Sync!$AY429)=0,N(Sync!$AZ429)=0),"",ROUND(N(Sync!$AY429)*N(Sync!$AZ429),0)))</f>
        <v/>
      </c>
      <c r="Y429">
        <f>IF($X429="","",IF(OR(Sync!$AX429="",COUNTIF(AcctCodesA,Sync!$AX429)=0),"متفرقه",Sync!$AX429))</f>
        <v/>
      </c>
      <c r="Z429">
        <f>IF($X429="","","سبد و ظروف")</f>
        <v/>
      </c>
      <c r="AA429">
        <f>IF($X429="","",$Y429)</f>
        <v/>
      </c>
    </row>
    <row r="430">
      <c r="A430">
        <f>IF(Sync!$Z430="","",LEFT(UPPER(TRIM(Sync!$Z430)),6))</f>
        <v/>
      </c>
      <c r="B430">
        <f>IF($A430="","",IF(Sync!$AA430="","",Sync!$AA430))</f>
        <v/>
      </c>
      <c r="C430">
        <f>IF($A430="","",IF(Sync!$AB430="","",Sync!$AB430))</f>
        <v/>
      </c>
      <c r="D430">
        <f>IF($A430="","",IF(Sync!$AC430="","",Sync!$AC430))</f>
        <v/>
      </c>
      <c r="E430">
        <f>IF($A430="","",IF(Sync!$AD430="","",Sync!$AD430))</f>
        <v/>
      </c>
      <c r="F430">
        <f>IF($A430="","",IF(Sync!$AE430="",0,Sync!$AE430))</f>
        <v/>
      </c>
      <c r="G430">
        <f>IF($A430="","",IF(Sync!$AF430="",0,Sync!$AF430))</f>
        <v/>
      </c>
      <c r="H430">
        <f>IF(OR($A430="",ROUND($F430+$G430,2)=0),"",$F430+$G430)</f>
        <v/>
      </c>
      <c r="I430">
        <f>IF($H430="","",IF(ROUND($F430,2)&gt;0,$A430,IF($D430="شخصی قاسم","شخصی قاسم",IF($D430="هزینه","هزینه: "&amp;IF($E430="","متفرقه",$E430),IF($C430="پاس چک","چک پرداختی",IF(OR($B430="",COUNTIF(AcctCodesA,$B430)=0),"متفرقه",$B430))))))</f>
        <v/>
      </c>
      <c r="J430">
        <f>IF($H430="","",IF(ROUND($F430,2)&gt;0,IF($D430="شخصی قاسم","شخصی قاسم",IF($D430="هزینه","هزینه: "&amp;IF($E430="","متفرقه",$E430),IF(OR($B430="",COUNTIF(AcctCodesA,$B430)=0),"متفرقه",$B430))),$A430))</f>
        <v/>
      </c>
      <c r="K430">
        <f>IF($A430="","",IF(AND($B430&lt;&gt;"",COUNTIF(AcctCodesA,$B430)=0),"کد طرف در INFO تعریف نشده",IF(AND($D430="هزینه",$E430=""),"هزینه بدون زیرگروه",IF(AND($C430="پاس چک",OR(Sync!$AJ430="",COUNTIF(IssueNosA,Sync!$AJ430)=0)),"شماره چک پاس‌شده معتبر نیست",""))))</f>
        <v/>
      </c>
      <c r="M430">
        <f>IF(Sync!$AH430="","",Sync!$AH430)</f>
        <v/>
      </c>
      <c r="N430">
        <f>IF($M430="","",IF(OR(Sync!$AI430="",COUNTIF(AcctCodesA,Sync!$AI430)=0),"متفرقه",Sync!$AI430))</f>
        <v/>
      </c>
      <c r="O430">
        <f>IF($M430="","",$N430)</f>
        <v/>
      </c>
      <c r="P430">
        <f>IF($M430="","","چک پرداختی")</f>
        <v/>
      </c>
      <c r="R430">
        <f>IF($M430="","",IF(COUNTIF(AcctCodesA,Sync!$AI430)=0,"ذی‌نفع چک تعریف‌نشده",""))</f>
        <v/>
      </c>
      <c r="S430">
        <f>IF($R430="","",Sync!$AG430&amp;"|"&amp;"5"&amp;RIGHT("00000"&amp;425,5))</f>
        <v/>
      </c>
      <c r="T430">
        <f>IF($S430="",0,COUNTIFS($S$6:$S$505,"&lt;"&amp;$S430)-COUNTIFS($S$6:$S$505,"&lt;"&amp;$S430,$R$6:$R$505,"")+1)</f>
        <v/>
      </c>
      <c r="V430">
        <f>IF($K430="","",IF(ISNUMBER(Sync!$AK430),Sync!$AK430,LEFT(Sync!$AK430,4)&amp;MID(Sync!$AK430,6,2)&amp;RIGHT(Sync!$AK430,2))&amp;"|"&amp;"4"&amp;RIGHT("00000"&amp;425,5))</f>
        <v/>
      </c>
      <c r="W430">
        <f>IF($V430="",0,COUNTIFS($V$6:$V$2005,"&lt;"&amp;$V430)-COUNTIFS($V$6:$V$2005,"&lt;"&amp;$V430,$K$6:$K$2005,"")+1)</f>
        <v/>
      </c>
      <c r="X430">
        <f>IF(Sync!$AX430="","",IF(OR(N(Sync!$AY430)=0,N(Sync!$AZ430)=0),"",ROUND(N(Sync!$AY430)*N(Sync!$AZ430),0)))</f>
        <v/>
      </c>
      <c r="Y430">
        <f>IF($X430="","",IF(OR(Sync!$AX430="",COUNTIF(AcctCodesA,Sync!$AX430)=0),"متفرقه",Sync!$AX430))</f>
        <v/>
      </c>
      <c r="Z430">
        <f>IF($X430="","","سبد و ظروف")</f>
        <v/>
      </c>
      <c r="AA430">
        <f>IF($X430="","",$Y430)</f>
        <v/>
      </c>
    </row>
    <row r="431">
      <c r="A431">
        <f>IF(Sync!$Z431="","",LEFT(UPPER(TRIM(Sync!$Z431)),6))</f>
        <v/>
      </c>
      <c r="B431">
        <f>IF($A431="","",IF(Sync!$AA431="","",Sync!$AA431))</f>
        <v/>
      </c>
      <c r="C431">
        <f>IF($A431="","",IF(Sync!$AB431="","",Sync!$AB431))</f>
        <v/>
      </c>
      <c r="D431">
        <f>IF($A431="","",IF(Sync!$AC431="","",Sync!$AC431))</f>
        <v/>
      </c>
      <c r="E431">
        <f>IF($A431="","",IF(Sync!$AD431="","",Sync!$AD431))</f>
        <v/>
      </c>
      <c r="F431">
        <f>IF($A431="","",IF(Sync!$AE431="",0,Sync!$AE431))</f>
        <v/>
      </c>
      <c r="G431">
        <f>IF($A431="","",IF(Sync!$AF431="",0,Sync!$AF431))</f>
        <v/>
      </c>
      <c r="H431">
        <f>IF(OR($A431="",ROUND($F431+$G431,2)=0),"",$F431+$G431)</f>
        <v/>
      </c>
      <c r="I431">
        <f>IF($H431="","",IF(ROUND($F431,2)&gt;0,$A431,IF($D431="شخصی قاسم","شخصی قاسم",IF($D431="هزینه","هزینه: "&amp;IF($E431="","متفرقه",$E431),IF($C431="پاس چک","چک پرداختی",IF(OR($B431="",COUNTIF(AcctCodesA,$B431)=0),"متفرقه",$B431))))))</f>
        <v/>
      </c>
      <c r="J431">
        <f>IF($H431="","",IF(ROUND($F431,2)&gt;0,IF($D431="شخصی قاسم","شخصی قاسم",IF($D431="هزینه","هزینه: "&amp;IF($E431="","متفرقه",$E431),IF(OR($B431="",COUNTIF(AcctCodesA,$B431)=0),"متفرقه",$B431))),$A431))</f>
        <v/>
      </c>
      <c r="K431">
        <f>IF($A431="","",IF(AND($B431&lt;&gt;"",COUNTIF(AcctCodesA,$B431)=0),"کد طرف در INFO تعریف نشده",IF(AND($D431="هزینه",$E431=""),"هزینه بدون زیرگروه",IF(AND($C431="پاس چک",OR(Sync!$AJ431="",COUNTIF(IssueNosA,Sync!$AJ431)=0)),"شماره چک پاس‌شده معتبر نیست",""))))</f>
        <v/>
      </c>
      <c r="M431">
        <f>IF(Sync!$AH431="","",Sync!$AH431)</f>
        <v/>
      </c>
      <c r="N431">
        <f>IF($M431="","",IF(OR(Sync!$AI431="",COUNTIF(AcctCodesA,Sync!$AI431)=0),"متفرقه",Sync!$AI431))</f>
        <v/>
      </c>
      <c r="O431">
        <f>IF($M431="","",$N431)</f>
        <v/>
      </c>
      <c r="P431">
        <f>IF($M431="","","چک پرداختی")</f>
        <v/>
      </c>
      <c r="R431">
        <f>IF($M431="","",IF(COUNTIF(AcctCodesA,Sync!$AI431)=0,"ذی‌نفع چک تعریف‌نشده",""))</f>
        <v/>
      </c>
      <c r="S431">
        <f>IF($R431="","",Sync!$AG431&amp;"|"&amp;"5"&amp;RIGHT("00000"&amp;426,5))</f>
        <v/>
      </c>
      <c r="T431">
        <f>IF($S431="",0,COUNTIFS($S$6:$S$505,"&lt;"&amp;$S431)-COUNTIFS($S$6:$S$505,"&lt;"&amp;$S431,$R$6:$R$505,"")+1)</f>
        <v/>
      </c>
      <c r="V431">
        <f>IF($K431="","",IF(ISNUMBER(Sync!$AK431),Sync!$AK431,LEFT(Sync!$AK431,4)&amp;MID(Sync!$AK431,6,2)&amp;RIGHT(Sync!$AK431,2))&amp;"|"&amp;"4"&amp;RIGHT("00000"&amp;426,5))</f>
        <v/>
      </c>
      <c r="W431">
        <f>IF($V431="",0,COUNTIFS($V$6:$V$2005,"&lt;"&amp;$V431)-COUNTIFS($V$6:$V$2005,"&lt;"&amp;$V431,$K$6:$K$2005,"")+1)</f>
        <v/>
      </c>
      <c r="X431">
        <f>IF(Sync!$AX431="","",IF(OR(N(Sync!$AY431)=0,N(Sync!$AZ431)=0),"",ROUND(N(Sync!$AY431)*N(Sync!$AZ431),0)))</f>
        <v/>
      </c>
      <c r="Y431">
        <f>IF($X431="","",IF(OR(Sync!$AX431="",COUNTIF(AcctCodesA,Sync!$AX431)=0),"متفرقه",Sync!$AX431))</f>
        <v/>
      </c>
      <c r="Z431">
        <f>IF($X431="","","سبد و ظروف")</f>
        <v/>
      </c>
      <c r="AA431">
        <f>IF($X431="","",$Y431)</f>
        <v/>
      </c>
    </row>
    <row r="432">
      <c r="A432">
        <f>IF(Sync!$Z432="","",LEFT(UPPER(TRIM(Sync!$Z432)),6))</f>
        <v/>
      </c>
      <c r="B432">
        <f>IF($A432="","",IF(Sync!$AA432="","",Sync!$AA432))</f>
        <v/>
      </c>
      <c r="C432">
        <f>IF($A432="","",IF(Sync!$AB432="","",Sync!$AB432))</f>
        <v/>
      </c>
      <c r="D432">
        <f>IF($A432="","",IF(Sync!$AC432="","",Sync!$AC432))</f>
        <v/>
      </c>
      <c r="E432">
        <f>IF($A432="","",IF(Sync!$AD432="","",Sync!$AD432))</f>
        <v/>
      </c>
      <c r="F432">
        <f>IF($A432="","",IF(Sync!$AE432="",0,Sync!$AE432))</f>
        <v/>
      </c>
      <c r="G432">
        <f>IF($A432="","",IF(Sync!$AF432="",0,Sync!$AF432))</f>
        <v/>
      </c>
      <c r="H432">
        <f>IF(OR($A432="",ROUND($F432+$G432,2)=0),"",$F432+$G432)</f>
        <v/>
      </c>
      <c r="I432">
        <f>IF($H432="","",IF(ROUND($F432,2)&gt;0,$A432,IF($D432="شخصی قاسم","شخصی قاسم",IF($D432="هزینه","هزینه: "&amp;IF($E432="","متفرقه",$E432),IF($C432="پاس چک","چک پرداختی",IF(OR($B432="",COUNTIF(AcctCodesA,$B432)=0),"متفرقه",$B432))))))</f>
        <v/>
      </c>
      <c r="J432">
        <f>IF($H432="","",IF(ROUND($F432,2)&gt;0,IF($D432="شخصی قاسم","شخصی قاسم",IF($D432="هزینه","هزینه: "&amp;IF($E432="","متفرقه",$E432),IF(OR($B432="",COUNTIF(AcctCodesA,$B432)=0),"متفرقه",$B432))),$A432))</f>
        <v/>
      </c>
      <c r="K432">
        <f>IF($A432="","",IF(AND($B432&lt;&gt;"",COUNTIF(AcctCodesA,$B432)=0),"کد طرف در INFO تعریف نشده",IF(AND($D432="هزینه",$E432=""),"هزینه بدون زیرگروه",IF(AND($C432="پاس چک",OR(Sync!$AJ432="",COUNTIF(IssueNosA,Sync!$AJ432)=0)),"شماره چک پاس‌شده معتبر نیست",""))))</f>
        <v/>
      </c>
      <c r="M432">
        <f>IF(Sync!$AH432="","",Sync!$AH432)</f>
        <v/>
      </c>
      <c r="N432">
        <f>IF($M432="","",IF(OR(Sync!$AI432="",COUNTIF(AcctCodesA,Sync!$AI432)=0),"متفرقه",Sync!$AI432))</f>
        <v/>
      </c>
      <c r="O432">
        <f>IF($M432="","",$N432)</f>
        <v/>
      </c>
      <c r="P432">
        <f>IF($M432="","","چک پرداختی")</f>
        <v/>
      </c>
      <c r="R432">
        <f>IF($M432="","",IF(COUNTIF(AcctCodesA,Sync!$AI432)=0,"ذی‌نفع چک تعریف‌نشده",""))</f>
        <v/>
      </c>
      <c r="S432">
        <f>IF($R432="","",Sync!$AG432&amp;"|"&amp;"5"&amp;RIGHT("00000"&amp;427,5))</f>
        <v/>
      </c>
      <c r="T432">
        <f>IF($S432="",0,COUNTIFS($S$6:$S$505,"&lt;"&amp;$S432)-COUNTIFS($S$6:$S$505,"&lt;"&amp;$S432,$R$6:$R$505,"")+1)</f>
        <v/>
      </c>
      <c r="V432">
        <f>IF($K432="","",IF(ISNUMBER(Sync!$AK432),Sync!$AK432,LEFT(Sync!$AK432,4)&amp;MID(Sync!$AK432,6,2)&amp;RIGHT(Sync!$AK432,2))&amp;"|"&amp;"4"&amp;RIGHT("00000"&amp;427,5))</f>
        <v/>
      </c>
      <c r="W432">
        <f>IF($V432="",0,COUNTIFS($V$6:$V$2005,"&lt;"&amp;$V432)-COUNTIFS($V$6:$V$2005,"&lt;"&amp;$V432,$K$6:$K$2005,"")+1)</f>
        <v/>
      </c>
      <c r="X432">
        <f>IF(Sync!$AX432="","",IF(OR(N(Sync!$AY432)=0,N(Sync!$AZ432)=0),"",ROUND(N(Sync!$AY432)*N(Sync!$AZ432),0)))</f>
        <v/>
      </c>
      <c r="Y432">
        <f>IF($X432="","",IF(OR(Sync!$AX432="",COUNTIF(AcctCodesA,Sync!$AX432)=0),"متفرقه",Sync!$AX432))</f>
        <v/>
      </c>
      <c r="Z432">
        <f>IF($X432="","","سبد و ظروف")</f>
        <v/>
      </c>
      <c r="AA432">
        <f>IF($X432="","",$Y432)</f>
        <v/>
      </c>
    </row>
    <row r="433">
      <c r="A433">
        <f>IF(Sync!$Z433="","",LEFT(UPPER(TRIM(Sync!$Z433)),6))</f>
        <v/>
      </c>
      <c r="B433">
        <f>IF($A433="","",IF(Sync!$AA433="","",Sync!$AA433))</f>
        <v/>
      </c>
      <c r="C433">
        <f>IF($A433="","",IF(Sync!$AB433="","",Sync!$AB433))</f>
        <v/>
      </c>
      <c r="D433">
        <f>IF($A433="","",IF(Sync!$AC433="","",Sync!$AC433))</f>
        <v/>
      </c>
      <c r="E433">
        <f>IF($A433="","",IF(Sync!$AD433="","",Sync!$AD433))</f>
        <v/>
      </c>
      <c r="F433">
        <f>IF($A433="","",IF(Sync!$AE433="",0,Sync!$AE433))</f>
        <v/>
      </c>
      <c r="G433">
        <f>IF($A433="","",IF(Sync!$AF433="",0,Sync!$AF433))</f>
        <v/>
      </c>
      <c r="H433">
        <f>IF(OR($A433="",ROUND($F433+$G433,2)=0),"",$F433+$G433)</f>
        <v/>
      </c>
      <c r="I433">
        <f>IF($H433="","",IF(ROUND($F433,2)&gt;0,$A433,IF($D433="شخصی قاسم","شخصی قاسم",IF($D433="هزینه","هزینه: "&amp;IF($E433="","متفرقه",$E433),IF($C433="پاس چک","چک پرداختی",IF(OR($B433="",COUNTIF(AcctCodesA,$B433)=0),"متفرقه",$B433))))))</f>
        <v/>
      </c>
      <c r="J433">
        <f>IF($H433="","",IF(ROUND($F433,2)&gt;0,IF($D433="شخصی قاسم","شخصی قاسم",IF($D433="هزینه","هزینه: "&amp;IF($E433="","متفرقه",$E433),IF(OR($B433="",COUNTIF(AcctCodesA,$B433)=0),"متفرقه",$B433))),$A433))</f>
        <v/>
      </c>
      <c r="K433">
        <f>IF($A433="","",IF(AND($B433&lt;&gt;"",COUNTIF(AcctCodesA,$B433)=0),"کد طرف در INFO تعریف نشده",IF(AND($D433="هزینه",$E433=""),"هزینه بدون زیرگروه",IF(AND($C433="پاس چک",OR(Sync!$AJ433="",COUNTIF(IssueNosA,Sync!$AJ433)=0)),"شماره چک پاس‌شده معتبر نیست",""))))</f>
        <v/>
      </c>
      <c r="M433">
        <f>IF(Sync!$AH433="","",Sync!$AH433)</f>
        <v/>
      </c>
      <c r="N433">
        <f>IF($M433="","",IF(OR(Sync!$AI433="",COUNTIF(AcctCodesA,Sync!$AI433)=0),"متفرقه",Sync!$AI433))</f>
        <v/>
      </c>
      <c r="O433">
        <f>IF($M433="","",$N433)</f>
        <v/>
      </c>
      <c r="P433">
        <f>IF($M433="","","چک پرداختی")</f>
        <v/>
      </c>
      <c r="R433">
        <f>IF($M433="","",IF(COUNTIF(AcctCodesA,Sync!$AI433)=0,"ذی‌نفع چک تعریف‌نشده",""))</f>
        <v/>
      </c>
      <c r="S433">
        <f>IF($R433="","",Sync!$AG433&amp;"|"&amp;"5"&amp;RIGHT("00000"&amp;428,5))</f>
        <v/>
      </c>
      <c r="T433">
        <f>IF($S433="",0,COUNTIFS($S$6:$S$505,"&lt;"&amp;$S433)-COUNTIFS($S$6:$S$505,"&lt;"&amp;$S433,$R$6:$R$505,"")+1)</f>
        <v/>
      </c>
      <c r="V433">
        <f>IF($K433="","",IF(ISNUMBER(Sync!$AK433),Sync!$AK433,LEFT(Sync!$AK433,4)&amp;MID(Sync!$AK433,6,2)&amp;RIGHT(Sync!$AK433,2))&amp;"|"&amp;"4"&amp;RIGHT("00000"&amp;428,5))</f>
        <v/>
      </c>
      <c r="W433">
        <f>IF($V433="",0,COUNTIFS($V$6:$V$2005,"&lt;"&amp;$V433)-COUNTIFS($V$6:$V$2005,"&lt;"&amp;$V433,$K$6:$K$2005,"")+1)</f>
        <v/>
      </c>
      <c r="X433">
        <f>IF(Sync!$AX433="","",IF(OR(N(Sync!$AY433)=0,N(Sync!$AZ433)=0),"",ROUND(N(Sync!$AY433)*N(Sync!$AZ433),0)))</f>
        <v/>
      </c>
      <c r="Y433">
        <f>IF($X433="","",IF(OR(Sync!$AX433="",COUNTIF(AcctCodesA,Sync!$AX433)=0),"متفرقه",Sync!$AX433))</f>
        <v/>
      </c>
      <c r="Z433">
        <f>IF($X433="","","سبد و ظروف")</f>
        <v/>
      </c>
      <c r="AA433">
        <f>IF($X433="","",$Y433)</f>
        <v/>
      </c>
    </row>
    <row r="434">
      <c r="A434">
        <f>IF(Sync!$Z434="","",LEFT(UPPER(TRIM(Sync!$Z434)),6))</f>
        <v/>
      </c>
      <c r="B434">
        <f>IF($A434="","",IF(Sync!$AA434="","",Sync!$AA434))</f>
        <v/>
      </c>
      <c r="C434">
        <f>IF($A434="","",IF(Sync!$AB434="","",Sync!$AB434))</f>
        <v/>
      </c>
      <c r="D434">
        <f>IF($A434="","",IF(Sync!$AC434="","",Sync!$AC434))</f>
        <v/>
      </c>
      <c r="E434">
        <f>IF($A434="","",IF(Sync!$AD434="","",Sync!$AD434))</f>
        <v/>
      </c>
      <c r="F434">
        <f>IF($A434="","",IF(Sync!$AE434="",0,Sync!$AE434))</f>
        <v/>
      </c>
      <c r="G434">
        <f>IF($A434="","",IF(Sync!$AF434="",0,Sync!$AF434))</f>
        <v/>
      </c>
      <c r="H434">
        <f>IF(OR($A434="",ROUND($F434+$G434,2)=0),"",$F434+$G434)</f>
        <v/>
      </c>
      <c r="I434">
        <f>IF($H434="","",IF(ROUND($F434,2)&gt;0,$A434,IF($D434="شخصی قاسم","شخصی قاسم",IF($D434="هزینه","هزینه: "&amp;IF($E434="","متفرقه",$E434),IF($C434="پاس چک","چک پرداختی",IF(OR($B434="",COUNTIF(AcctCodesA,$B434)=0),"متفرقه",$B434))))))</f>
        <v/>
      </c>
      <c r="J434">
        <f>IF($H434="","",IF(ROUND($F434,2)&gt;0,IF($D434="شخصی قاسم","شخصی قاسم",IF($D434="هزینه","هزینه: "&amp;IF($E434="","متفرقه",$E434),IF(OR($B434="",COUNTIF(AcctCodesA,$B434)=0),"متفرقه",$B434))),$A434))</f>
        <v/>
      </c>
      <c r="K434">
        <f>IF($A434="","",IF(AND($B434&lt;&gt;"",COUNTIF(AcctCodesA,$B434)=0),"کد طرف در INFO تعریف نشده",IF(AND($D434="هزینه",$E434=""),"هزینه بدون زیرگروه",IF(AND($C434="پاس چک",OR(Sync!$AJ434="",COUNTIF(IssueNosA,Sync!$AJ434)=0)),"شماره چک پاس‌شده معتبر نیست",""))))</f>
        <v/>
      </c>
      <c r="M434">
        <f>IF(Sync!$AH434="","",Sync!$AH434)</f>
        <v/>
      </c>
      <c r="N434">
        <f>IF($M434="","",IF(OR(Sync!$AI434="",COUNTIF(AcctCodesA,Sync!$AI434)=0),"متفرقه",Sync!$AI434))</f>
        <v/>
      </c>
      <c r="O434">
        <f>IF($M434="","",$N434)</f>
        <v/>
      </c>
      <c r="P434">
        <f>IF($M434="","","چک پرداختی")</f>
        <v/>
      </c>
      <c r="R434">
        <f>IF($M434="","",IF(COUNTIF(AcctCodesA,Sync!$AI434)=0,"ذی‌نفع چک تعریف‌نشده",""))</f>
        <v/>
      </c>
      <c r="S434">
        <f>IF($R434="","",Sync!$AG434&amp;"|"&amp;"5"&amp;RIGHT("00000"&amp;429,5))</f>
        <v/>
      </c>
      <c r="T434">
        <f>IF($S434="",0,COUNTIFS($S$6:$S$505,"&lt;"&amp;$S434)-COUNTIFS($S$6:$S$505,"&lt;"&amp;$S434,$R$6:$R$505,"")+1)</f>
        <v/>
      </c>
      <c r="V434">
        <f>IF($K434="","",IF(ISNUMBER(Sync!$AK434),Sync!$AK434,LEFT(Sync!$AK434,4)&amp;MID(Sync!$AK434,6,2)&amp;RIGHT(Sync!$AK434,2))&amp;"|"&amp;"4"&amp;RIGHT("00000"&amp;429,5))</f>
        <v/>
      </c>
      <c r="W434">
        <f>IF($V434="",0,COUNTIFS($V$6:$V$2005,"&lt;"&amp;$V434)-COUNTIFS($V$6:$V$2005,"&lt;"&amp;$V434,$K$6:$K$2005,"")+1)</f>
        <v/>
      </c>
      <c r="X434">
        <f>IF(Sync!$AX434="","",IF(OR(N(Sync!$AY434)=0,N(Sync!$AZ434)=0),"",ROUND(N(Sync!$AY434)*N(Sync!$AZ434),0)))</f>
        <v/>
      </c>
      <c r="Y434">
        <f>IF($X434="","",IF(OR(Sync!$AX434="",COUNTIF(AcctCodesA,Sync!$AX434)=0),"متفرقه",Sync!$AX434))</f>
        <v/>
      </c>
      <c r="Z434">
        <f>IF($X434="","","سبد و ظروف")</f>
        <v/>
      </c>
      <c r="AA434">
        <f>IF($X434="","",$Y434)</f>
        <v/>
      </c>
    </row>
    <row r="435">
      <c r="A435">
        <f>IF(Sync!$Z435="","",LEFT(UPPER(TRIM(Sync!$Z435)),6))</f>
        <v/>
      </c>
      <c r="B435">
        <f>IF($A435="","",IF(Sync!$AA435="","",Sync!$AA435))</f>
        <v/>
      </c>
      <c r="C435">
        <f>IF($A435="","",IF(Sync!$AB435="","",Sync!$AB435))</f>
        <v/>
      </c>
      <c r="D435">
        <f>IF($A435="","",IF(Sync!$AC435="","",Sync!$AC435))</f>
        <v/>
      </c>
      <c r="E435">
        <f>IF($A435="","",IF(Sync!$AD435="","",Sync!$AD435))</f>
        <v/>
      </c>
      <c r="F435">
        <f>IF($A435="","",IF(Sync!$AE435="",0,Sync!$AE435))</f>
        <v/>
      </c>
      <c r="G435">
        <f>IF($A435="","",IF(Sync!$AF435="",0,Sync!$AF435))</f>
        <v/>
      </c>
      <c r="H435">
        <f>IF(OR($A435="",ROUND($F435+$G435,2)=0),"",$F435+$G435)</f>
        <v/>
      </c>
      <c r="I435">
        <f>IF($H435="","",IF(ROUND($F435,2)&gt;0,$A435,IF($D435="شخصی قاسم","شخصی قاسم",IF($D435="هزینه","هزینه: "&amp;IF($E435="","متفرقه",$E435),IF($C435="پاس چک","چک پرداختی",IF(OR($B435="",COUNTIF(AcctCodesA,$B435)=0),"متفرقه",$B435))))))</f>
        <v/>
      </c>
      <c r="J435">
        <f>IF($H435="","",IF(ROUND($F435,2)&gt;0,IF($D435="شخصی قاسم","شخصی قاسم",IF($D435="هزینه","هزینه: "&amp;IF($E435="","متفرقه",$E435),IF(OR($B435="",COUNTIF(AcctCodesA,$B435)=0),"متفرقه",$B435))),$A435))</f>
        <v/>
      </c>
      <c r="K435">
        <f>IF($A435="","",IF(AND($B435&lt;&gt;"",COUNTIF(AcctCodesA,$B435)=0),"کد طرف در INFO تعریف نشده",IF(AND($D435="هزینه",$E435=""),"هزینه بدون زیرگروه",IF(AND($C435="پاس چک",OR(Sync!$AJ435="",COUNTIF(IssueNosA,Sync!$AJ435)=0)),"شماره چک پاس‌شده معتبر نیست",""))))</f>
        <v/>
      </c>
      <c r="M435">
        <f>IF(Sync!$AH435="","",Sync!$AH435)</f>
        <v/>
      </c>
      <c r="N435">
        <f>IF($M435="","",IF(OR(Sync!$AI435="",COUNTIF(AcctCodesA,Sync!$AI435)=0),"متفرقه",Sync!$AI435))</f>
        <v/>
      </c>
      <c r="O435">
        <f>IF($M435="","",$N435)</f>
        <v/>
      </c>
      <c r="P435">
        <f>IF($M435="","","چک پرداختی")</f>
        <v/>
      </c>
      <c r="R435">
        <f>IF($M435="","",IF(COUNTIF(AcctCodesA,Sync!$AI435)=0,"ذی‌نفع چک تعریف‌نشده",""))</f>
        <v/>
      </c>
      <c r="S435">
        <f>IF($R435="","",Sync!$AG435&amp;"|"&amp;"5"&amp;RIGHT("00000"&amp;430,5))</f>
        <v/>
      </c>
      <c r="T435">
        <f>IF($S435="",0,COUNTIFS($S$6:$S$505,"&lt;"&amp;$S435)-COUNTIFS($S$6:$S$505,"&lt;"&amp;$S435,$R$6:$R$505,"")+1)</f>
        <v/>
      </c>
      <c r="V435">
        <f>IF($K435="","",IF(ISNUMBER(Sync!$AK435),Sync!$AK435,LEFT(Sync!$AK435,4)&amp;MID(Sync!$AK435,6,2)&amp;RIGHT(Sync!$AK435,2))&amp;"|"&amp;"4"&amp;RIGHT("00000"&amp;430,5))</f>
        <v/>
      </c>
      <c r="W435">
        <f>IF($V435="",0,COUNTIFS($V$6:$V$2005,"&lt;"&amp;$V435)-COUNTIFS($V$6:$V$2005,"&lt;"&amp;$V435,$K$6:$K$2005,"")+1)</f>
        <v/>
      </c>
      <c r="X435">
        <f>IF(Sync!$AX435="","",IF(OR(N(Sync!$AY435)=0,N(Sync!$AZ435)=0),"",ROUND(N(Sync!$AY435)*N(Sync!$AZ435),0)))</f>
        <v/>
      </c>
      <c r="Y435">
        <f>IF($X435="","",IF(OR(Sync!$AX435="",COUNTIF(AcctCodesA,Sync!$AX435)=0),"متفرقه",Sync!$AX435))</f>
        <v/>
      </c>
      <c r="Z435">
        <f>IF($X435="","","سبد و ظروف")</f>
        <v/>
      </c>
      <c r="AA435">
        <f>IF($X435="","",$Y435)</f>
        <v/>
      </c>
    </row>
    <row r="436">
      <c r="A436">
        <f>IF(Sync!$Z436="","",LEFT(UPPER(TRIM(Sync!$Z436)),6))</f>
        <v/>
      </c>
      <c r="B436">
        <f>IF($A436="","",IF(Sync!$AA436="","",Sync!$AA436))</f>
        <v/>
      </c>
      <c r="C436">
        <f>IF($A436="","",IF(Sync!$AB436="","",Sync!$AB436))</f>
        <v/>
      </c>
      <c r="D436">
        <f>IF($A436="","",IF(Sync!$AC436="","",Sync!$AC436))</f>
        <v/>
      </c>
      <c r="E436">
        <f>IF($A436="","",IF(Sync!$AD436="","",Sync!$AD436))</f>
        <v/>
      </c>
      <c r="F436">
        <f>IF($A436="","",IF(Sync!$AE436="",0,Sync!$AE436))</f>
        <v/>
      </c>
      <c r="G436">
        <f>IF($A436="","",IF(Sync!$AF436="",0,Sync!$AF436))</f>
        <v/>
      </c>
      <c r="H436">
        <f>IF(OR($A436="",ROUND($F436+$G436,2)=0),"",$F436+$G436)</f>
        <v/>
      </c>
      <c r="I436">
        <f>IF($H436="","",IF(ROUND($F436,2)&gt;0,$A436,IF($D436="شخصی قاسم","شخصی قاسم",IF($D436="هزینه","هزینه: "&amp;IF($E436="","متفرقه",$E436),IF($C436="پاس چک","چک پرداختی",IF(OR($B436="",COUNTIF(AcctCodesA,$B436)=0),"متفرقه",$B436))))))</f>
        <v/>
      </c>
      <c r="J436">
        <f>IF($H436="","",IF(ROUND($F436,2)&gt;0,IF($D436="شخصی قاسم","شخصی قاسم",IF($D436="هزینه","هزینه: "&amp;IF($E436="","متفرقه",$E436),IF(OR($B436="",COUNTIF(AcctCodesA,$B436)=0),"متفرقه",$B436))),$A436))</f>
        <v/>
      </c>
      <c r="K436">
        <f>IF($A436="","",IF(AND($B436&lt;&gt;"",COUNTIF(AcctCodesA,$B436)=0),"کد طرف در INFO تعریف نشده",IF(AND($D436="هزینه",$E436=""),"هزینه بدون زیرگروه",IF(AND($C436="پاس چک",OR(Sync!$AJ436="",COUNTIF(IssueNosA,Sync!$AJ436)=0)),"شماره چک پاس‌شده معتبر نیست",""))))</f>
        <v/>
      </c>
      <c r="M436">
        <f>IF(Sync!$AH436="","",Sync!$AH436)</f>
        <v/>
      </c>
      <c r="N436">
        <f>IF($M436="","",IF(OR(Sync!$AI436="",COUNTIF(AcctCodesA,Sync!$AI436)=0),"متفرقه",Sync!$AI436))</f>
        <v/>
      </c>
      <c r="O436">
        <f>IF($M436="","",$N436)</f>
        <v/>
      </c>
      <c r="P436">
        <f>IF($M436="","","چک پرداختی")</f>
        <v/>
      </c>
      <c r="R436">
        <f>IF($M436="","",IF(COUNTIF(AcctCodesA,Sync!$AI436)=0,"ذی‌نفع چک تعریف‌نشده",""))</f>
        <v/>
      </c>
      <c r="S436">
        <f>IF($R436="","",Sync!$AG436&amp;"|"&amp;"5"&amp;RIGHT("00000"&amp;431,5))</f>
        <v/>
      </c>
      <c r="T436">
        <f>IF($S436="",0,COUNTIFS($S$6:$S$505,"&lt;"&amp;$S436)-COUNTIFS($S$6:$S$505,"&lt;"&amp;$S436,$R$6:$R$505,"")+1)</f>
        <v/>
      </c>
      <c r="V436">
        <f>IF($K436="","",IF(ISNUMBER(Sync!$AK436),Sync!$AK436,LEFT(Sync!$AK436,4)&amp;MID(Sync!$AK436,6,2)&amp;RIGHT(Sync!$AK436,2))&amp;"|"&amp;"4"&amp;RIGHT("00000"&amp;431,5))</f>
        <v/>
      </c>
      <c r="W436">
        <f>IF($V436="",0,COUNTIFS($V$6:$V$2005,"&lt;"&amp;$V436)-COUNTIFS($V$6:$V$2005,"&lt;"&amp;$V436,$K$6:$K$2005,"")+1)</f>
        <v/>
      </c>
      <c r="X436">
        <f>IF(Sync!$AX436="","",IF(OR(N(Sync!$AY436)=0,N(Sync!$AZ436)=0),"",ROUND(N(Sync!$AY436)*N(Sync!$AZ436),0)))</f>
        <v/>
      </c>
      <c r="Y436">
        <f>IF($X436="","",IF(OR(Sync!$AX436="",COUNTIF(AcctCodesA,Sync!$AX436)=0),"متفرقه",Sync!$AX436))</f>
        <v/>
      </c>
      <c r="Z436">
        <f>IF($X436="","","سبد و ظروف")</f>
        <v/>
      </c>
      <c r="AA436">
        <f>IF($X436="","",$Y436)</f>
        <v/>
      </c>
    </row>
    <row r="437">
      <c r="A437">
        <f>IF(Sync!$Z437="","",LEFT(UPPER(TRIM(Sync!$Z437)),6))</f>
        <v/>
      </c>
      <c r="B437">
        <f>IF($A437="","",IF(Sync!$AA437="","",Sync!$AA437))</f>
        <v/>
      </c>
      <c r="C437">
        <f>IF($A437="","",IF(Sync!$AB437="","",Sync!$AB437))</f>
        <v/>
      </c>
      <c r="D437">
        <f>IF($A437="","",IF(Sync!$AC437="","",Sync!$AC437))</f>
        <v/>
      </c>
      <c r="E437">
        <f>IF($A437="","",IF(Sync!$AD437="","",Sync!$AD437))</f>
        <v/>
      </c>
      <c r="F437">
        <f>IF($A437="","",IF(Sync!$AE437="",0,Sync!$AE437))</f>
        <v/>
      </c>
      <c r="G437">
        <f>IF($A437="","",IF(Sync!$AF437="",0,Sync!$AF437))</f>
        <v/>
      </c>
      <c r="H437">
        <f>IF(OR($A437="",ROUND($F437+$G437,2)=0),"",$F437+$G437)</f>
        <v/>
      </c>
      <c r="I437">
        <f>IF($H437="","",IF(ROUND($F437,2)&gt;0,$A437,IF($D437="شخصی قاسم","شخصی قاسم",IF($D437="هزینه","هزینه: "&amp;IF($E437="","متفرقه",$E437),IF($C437="پاس چک","چک پرداختی",IF(OR($B437="",COUNTIF(AcctCodesA,$B437)=0),"متفرقه",$B437))))))</f>
        <v/>
      </c>
      <c r="J437">
        <f>IF($H437="","",IF(ROUND($F437,2)&gt;0,IF($D437="شخصی قاسم","شخصی قاسم",IF($D437="هزینه","هزینه: "&amp;IF($E437="","متفرقه",$E437),IF(OR($B437="",COUNTIF(AcctCodesA,$B437)=0),"متفرقه",$B437))),$A437))</f>
        <v/>
      </c>
      <c r="K437">
        <f>IF($A437="","",IF(AND($B437&lt;&gt;"",COUNTIF(AcctCodesA,$B437)=0),"کد طرف در INFO تعریف نشده",IF(AND($D437="هزینه",$E437=""),"هزینه بدون زیرگروه",IF(AND($C437="پاس چک",OR(Sync!$AJ437="",COUNTIF(IssueNosA,Sync!$AJ437)=0)),"شماره چک پاس‌شده معتبر نیست",""))))</f>
        <v/>
      </c>
      <c r="M437">
        <f>IF(Sync!$AH437="","",Sync!$AH437)</f>
        <v/>
      </c>
      <c r="N437">
        <f>IF($M437="","",IF(OR(Sync!$AI437="",COUNTIF(AcctCodesA,Sync!$AI437)=0),"متفرقه",Sync!$AI437))</f>
        <v/>
      </c>
      <c r="O437">
        <f>IF($M437="","",$N437)</f>
        <v/>
      </c>
      <c r="P437">
        <f>IF($M437="","","چک پرداختی")</f>
        <v/>
      </c>
      <c r="R437">
        <f>IF($M437="","",IF(COUNTIF(AcctCodesA,Sync!$AI437)=0,"ذی‌نفع چک تعریف‌نشده",""))</f>
        <v/>
      </c>
      <c r="S437">
        <f>IF($R437="","",Sync!$AG437&amp;"|"&amp;"5"&amp;RIGHT("00000"&amp;432,5))</f>
        <v/>
      </c>
      <c r="T437">
        <f>IF($S437="",0,COUNTIFS($S$6:$S$505,"&lt;"&amp;$S437)-COUNTIFS($S$6:$S$505,"&lt;"&amp;$S437,$R$6:$R$505,"")+1)</f>
        <v/>
      </c>
      <c r="V437">
        <f>IF($K437="","",IF(ISNUMBER(Sync!$AK437),Sync!$AK437,LEFT(Sync!$AK437,4)&amp;MID(Sync!$AK437,6,2)&amp;RIGHT(Sync!$AK437,2))&amp;"|"&amp;"4"&amp;RIGHT("00000"&amp;432,5))</f>
        <v/>
      </c>
      <c r="W437">
        <f>IF($V437="",0,COUNTIFS($V$6:$V$2005,"&lt;"&amp;$V437)-COUNTIFS($V$6:$V$2005,"&lt;"&amp;$V437,$K$6:$K$2005,"")+1)</f>
        <v/>
      </c>
      <c r="X437">
        <f>IF(Sync!$AX437="","",IF(OR(N(Sync!$AY437)=0,N(Sync!$AZ437)=0),"",ROUND(N(Sync!$AY437)*N(Sync!$AZ437),0)))</f>
        <v/>
      </c>
      <c r="Y437">
        <f>IF($X437="","",IF(OR(Sync!$AX437="",COUNTIF(AcctCodesA,Sync!$AX437)=0),"متفرقه",Sync!$AX437))</f>
        <v/>
      </c>
      <c r="Z437">
        <f>IF($X437="","","سبد و ظروف")</f>
        <v/>
      </c>
      <c r="AA437">
        <f>IF($X437="","",$Y437)</f>
        <v/>
      </c>
    </row>
    <row r="438">
      <c r="A438">
        <f>IF(Sync!$Z438="","",LEFT(UPPER(TRIM(Sync!$Z438)),6))</f>
        <v/>
      </c>
      <c r="B438">
        <f>IF($A438="","",IF(Sync!$AA438="","",Sync!$AA438))</f>
        <v/>
      </c>
      <c r="C438">
        <f>IF($A438="","",IF(Sync!$AB438="","",Sync!$AB438))</f>
        <v/>
      </c>
      <c r="D438">
        <f>IF($A438="","",IF(Sync!$AC438="","",Sync!$AC438))</f>
        <v/>
      </c>
      <c r="E438">
        <f>IF($A438="","",IF(Sync!$AD438="","",Sync!$AD438))</f>
        <v/>
      </c>
      <c r="F438">
        <f>IF($A438="","",IF(Sync!$AE438="",0,Sync!$AE438))</f>
        <v/>
      </c>
      <c r="G438">
        <f>IF($A438="","",IF(Sync!$AF438="",0,Sync!$AF438))</f>
        <v/>
      </c>
      <c r="H438">
        <f>IF(OR($A438="",ROUND($F438+$G438,2)=0),"",$F438+$G438)</f>
        <v/>
      </c>
      <c r="I438">
        <f>IF($H438="","",IF(ROUND($F438,2)&gt;0,$A438,IF($D438="شخصی قاسم","شخصی قاسم",IF($D438="هزینه","هزینه: "&amp;IF($E438="","متفرقه",$E438),IF($C438="پاس چک","چک پرداختی",IF(OR($B438="",COUNTIF(AcctCodesA,$B438)=0),"متفرقه",$B438))))))</f>
        <v/>
      </c>
      <c r="J438">
        <f>IF($H438="","",IF(ROUND($F438,2)&gt;0,IF($D438="شخصی قاسم","شخصی قاسم",IF($D438="هزینه","هزینه: "&amp;IF($E438="","متفرقه",$E438),IF(OR($B438="",COUNTIF(AcctCodesA,$B438)=0),"متفرقه",$B438))),$A438))</f>
        <v/>
      </c>
      <c r="K438">
        <f>IF($A438="","",IF(AND($B438&lt;&gt;"",COUNTIF(AcctCodesA,$B438)=0),"کد طرف در INFO تعریف نشده",IF(AND($D438="هزینه",$E438=""),"هزینه بدون زیرگروه",IF(AND($C438="پاس چک",OR(Sync!$AJ438="",COUNTIF(IssueNosA,Sync!$AJ438)=0)),"شماره چک پاس‌شده معتبر نیست",""))))</f>
        <v/>
      </c>
      <c r="M438">
        <f>IF(Sync!$AH438="","",Sync!$AH438)</f>
        <v/>
      </c>
      <c r="N438">
        <f>IF($M438="","",IF(OR(Sync!$AI438="",COUNTIF(AcctCodesA,Sync!$AI438)=0),"متفرقه",Sync!$AI438))</f>
        <v/>
      </c>
      <c r="O438">
        <f>IF($M438="","",$N438)</f>
        <v/>
      </c>
      <c r="P438">
        <f>IF($M438="","","چک پرداختی")</f>
        <v/>
      </c>
      <c r="R438">
        <f>IF($M438="","",IF(COUNTIF(AcctCodesA,Sync!$AI438)=0,"ذی‌نفع چک تعریف‌نشده",""))</f>
        <v/>
      </c>
      <c r="S438">
        <f>IF($R438="","",Sync!$AG438&amp;"|"&amp;"5"&amp;RIGHT("00000"&amp;433,5))</f>
        <v/>
      </c>
      <c r="T438">
        <f>IF($S438="",0,COUNTIFS($S$6:$S$505,"&lt;"&amp;$S438)-COUNTIFS($S$6:$S$505,"&lt;"&amp;$S438,$R$6:$R$505,"")+1)</f>
        <v/>
      </c>
      <c r="V438">
        <f>IF($K438="","",IF(ISNUMBER(Sync!$AK438),Sync!$AK438,LEFT(Sync!$AK438,4)&amp;MID(Sync!$AK438,6,2)&amp;RIGHT(Sync!$AK438,2))&amp;"|"&amp;"4"&amp;RIGHT("00000"&amp;433,5))</f>
        <v/>
      </c>
      <c r="W438">
        <f>IF($V438="",0,COUNTIFS($V$6:$V$2005,"&lt;"&amp;$V438)-COUNTIFS($V$6:$V$2005,"&lt;"&amp;$V438,$K$6:$K$2005,"")+1)</f>
        <v/>
      </c>
      <c r="X438">
        <f>IF(Sync!$AX438="","",IF(OR(N(Sync!$AY438)=0,N(Sync!$AZ438)=0),"",ROUND(N(Sync!$AY438)*N(Sync!$AZ438),0)))</f>
        <v/>
      </c>
      <c r="Y438">
        <f>IF($X438="","",IF(OR(Sync!$AX438="",COUNTIF(AcctCodesA,Sync!$AX438)=0),"متفرقه",Sync!$AX438))</f>
        <v/>
      </c>
      <c r="Z438">
        <f>IF($X438="","","سبد و ظروف")</f>
        <v/>
      </c>
      <c r="AA438">
        <f>IF($X438="","",$Y438)</f>
        <v/>
      </c>
    </row>
    <row r="439">
      <c r="A439">
        <f>IF(Sync!$Z439="","",LEFT(UPPER(TRIM(Sync!$Z439)),6))</f>
        <v/>
      </c>
      <c r="B439">
        <f>IF($A439="","",IF(Sync!$AA439="","",Sync!$AA439))</f>
        <v/>
      </c>
      <c r="C439">
        <f>IF($A439="","",IF(Sync!$AB439="","",Sync!$AB439))</f>
        <v/>
      </c>
      <c r="D439">
        <f>IF($A439="","",IF(Sync!$AC439="","",Sync!$AC439))</f>
        <v/>
      </c>
      <c r="E439">
        <f>IF($A439="","",IF(Sync!$AD439="","",Sync!$AD439))</f>
        <v/>
      </c>
      <c r="F439">
        <f>IF($A439="","",IF(Sync!$AE439="",0,Sync!$AE439))</f>
        <v/>
      </c>
      <c r="G439">
        <f>IF($A439="","",IF(Sync!$AF439="",0,Sync!$AF439))</f>
        <v/>
      </c>
      <c r="H439">
        <f>IF(OR($A439="",ROUND($F439+$G439,2)=0),"",$F439+$G439)</f>
        <v/>
      </c>
      <c r="I439">
        <f>IF($H439="","",IF(ROUND($F439,2)&gt;0,$A439,IF($D439="شخصی قاسم","شخصی قاسم",IF($D439="هزینه","هزینه: "&amp;IF($E439="","متفرقه",$E439),IF($C439="پاس چک","چک پرداختی",IF(OR($B439="",COUNTIF(AcctCodesA,$B439)=0),"متفرقه",$B439))))))</f>
        <v/>
      </c>
      <c r="J439">
        <f>IF($H439="","",IF(ROUND($F439,2)&gt;0,IF($D439="شخصی قاسم","شخصی قاسم",IF($D439="هزینه","هزینه: "&amp;IF($E439="","متفرقه",$E439),IF(OR($B439="",COUNTIF(AcctCodesA,$B439)=0),"متفرقه",$B439))),$A439))</f>
        <v/>
      </c>
      <c r="K439">
        <f>IF($A439="","",IF(AND($B439&lt;&gt;"",COUNTIF(AcctCodesA,$B439)=0),"کد طرف در INFO تعریف نشده",IF(AND($D439="هزینه",$E439=""),"هزینه بدون زیرگروه",IF(AND($C439="پاس چک",OR(Sync!$AJ439="",COUNTIF(IssueNosA,Sync!$AJ439)=0)),"شماره چک پاس‌شده معتبر نیست",""))))</f>
        <v/>
      </c>
      <c r="M439">
        <f>IF(Sync!$AH439="","",Sync!$AH439)</f>
        <v/>
      </c>
      <c r="N439">
        <f>IF($M439="","",IF(OR(Sync!$AI439="",COUNTIF(AcctCodesA,Sync!$AI439)=0),"متفرقه",Sync!$AI439))</f>
        <v/>
      </c>
      <c r="O439">
        <f>IF($M439="","",$N439)</f>
        <v/>
      </c>
      <c r="P439">
        <f>IF($M439="","","چک پرداختی")</f>
        <v/>
      </c>
      <c r="R439">
        <f>IF($M439="","",IF(COUNTIF(AcctCodesA,Sync!$AI439)=0,"ذی‌نفع چک تعریف‌نشده",""))</f>
        <v/>
      </c>
      <c r="S439">
        <f>IF($R439="","",Sync!$AG439&amp;"|"&amp;"5"&amp;RIGHT("00000"&amp;434,5))</f>
        <v/>
      </c>
      <c r="T439">
        <f>IF($S439="",0,COUNTIFS($S$6:$S$505,"&lt;"&amp;$S439)-COUNTIFS($S$6:$S$505,"&lt;"&amp;$S439,$R$6:$R$505,"")+1)</f>
        <v/>
      </c>
      <c r="V439">
        <f>IF($K439="","",IF(ISNUMBER(Sync!$AK439),Sync!$AK439,LEFT(Sync!$AK439,4)&amp;MID(Sync!$AK439,6,2)&amp;RIGHT(Sync!$AK439,2))&amp;"|"&amp;"4"&amp;RIGHT("00000"&amp;434,5))</f>
        <v/>
      </c>
      <c r="W439">
        <f>IF($V439="",0,COUNTIFS($V$6:$V$2005,"&lt;"&amp;$V439)-COUNTIFS($V$6:$V$2005,"&lt;"&amp;$V439,$K$6:$K$2005,"")+1)</f>
        <v/>
      </c>
      <c r="X439">
        <f>IF(Sync!$AX439="","",IF(OR(N(Sync!$AY439)=0,N(Sync!$AZ439)=0),"",ROUND(N(Sync!$AY439)*N(Sync!$AZ439),0)))</f>
        <v/>
      </c>
      <c r="Y439">
        <f>IF($X439="","",IF(OR(Sync!$AX439="",COUNTIF(AcctCodesA,Sync!$AX439)=0),"متفرقه",Sync!$AX439))</f>
        <v/>
      </c>
      <c r="Z439">
        <f>IF($X439="","","سبد و ظروف")</f>
        <v/>
      </c>
      <c r="AA439">
        <f>IF($X439="","",$Y439)</f>
        <v/>
      </c>
    </row>
    <row r="440">
      <c r="A440">
        <f>IF(Sync!$Z440="","",LEFT(UPPER(TRIM(Sync!$Z440)),6))</f>
        <v/>
      </c>
      <c r="B440">
        <f>IF($A440="","",IF(Sync!$AA440="","",Sync!$AA440))</f>
        <v/>
      </c>
      <c r="C440">
        <f>IF($A440="","",IF(Sync!$AB440="","",Sync!$AB440))</f>
        <v/>
      </c>
      <c r="D440">
        <f>IF($A440="","",IF(Sync!$AC440="","",Sync!$AC440))</f>
        <v/>
      </c>
      <c r="E440">
        <f>IF($A440="","",IF(Sync!$AD440="","",Sync!$AD440))</f>
        <v/>
      </c>
      <c r="F440">
        <f>IF($A440="","",IF(Sync!$AE440="",0,Sync!$AE440))</f>
        <v/>
      </c>
      <c r="G440">
        <f>IF($A440="","",IF(Sync!$AF440="",0,Sync!$AF440))</f>
        <v/>
      </c>
      <c r="H440">
        <f>IF(OR($A440="",ROUND($F440+$G440,2)=0),"",$F440+$G440)</f>
        <v/>
      </c>
      <c r="I440">
        <f>IF($H440="","",IF(ROUND($F440,2)&gt;0,$A440,IF($D440="شخصی قاسم","شخصی قاسم",IF($D440="هزینه","هزینه: "&amp;IF($E440="","متفرقه",$E440),IF($C440="پاس چک","چک پرداختی",IF(OR($B440="",COUNTIF(AcctCodesA,$B440)=0),"متفرقه",$B440))))))</f>
        <v/>
      </c>
      <c r="J440">
        <f>IF($H440="","",IF(ROUND($F440,2)&gt;0,IF($D440="شخصی قاسم","شخصی قاسم",IF($D440="هزینه","هزینه: "&amp;IF($E440="","متفرقه",$E440),IF(OR($B440="",COUNTIF(AcctCodesA,$B440)=0),"متفرقه",$B440))),$A440))</f>
        <v/>
      </c>
      <c r="K440">
        <f>IF($A440="","",IF(AND($B440&lt;&gt;"",COUNTIF(AcctCodesA,$B440)=0),"کد طرف در INFO تعریف نشده",IF(AND($D440="هزینه",$E440=""),"هزینه بدون زیرگروه",IF(AND($C440="پاس چک",OR(Sync!$AJ440="",COUNTIF(IssueNosA,Sync!$AJ440)=0)),"شماره چک پاس‌شده معتبر نیست",""))))</f>
        <v/>
      </c>
      <c r="M440">
        <f>IF(Sync!$AH440="","",Sync!$AH440)</f>
        <v/>
      </c>
      <c r="N440">
        <f>IF($M440="","",IF(OR(Sync!$AI440="",COUNTIF(AcctCodesA,Sync!$AI440)=0),"متفرقه",Sync!$AI440))</f>
        <v/>
      </c>
      <c r="O440">
        <f>IF($M440="","",$N440)</f>
        <v/>
      </c>
      <c r="P440">
        <f>IF($M440="","","چک پرداختی")</f>
        <v/>
      </c>
      <c r="R440">
        <f>IF($M440="","",IF(COUNTIF(AcctCodesA,Sync!$AI440)=0,"ذی‌نفع چک تعریف‌نشده",""))</f>
        <v/>
      </c>
      <c r="S440">
        <f>IF($R440="","",Sync!$AG440&amp;"|"&amp;"5"&amp;RIGHT("00000"&amp;435,5))</f>
        <v/>
      </c>
      <c r="T440">
        <f>IF($S440="",0,COUNTIFS($S$6:$S$505,"&lt;"&amp;$S440)-COUNTIFS($S$6:$S$505,"&lt;"&amp;$S440,$R$6:$R$505,"")+1)</f>
        <v/>
      </c>
      <c r="V440">
        <f>IF($K440="","",IF(ISNUMBER(Sync!$AK440),Sync!$AK440,LEFT(Sync!$AK440,4)&amp;MID(Sync!$AK440,6,2)&amp;RIGHT(Sync!$AK440,2))&amp;"|"&amp;"4"&amp;RIGHT("00000"&amp;435,5))</f>
        <v/>
      </c>
      <c r="W440">
        <f>IF($V440="",0,COUNTIFS($V$6:$V$2005,"&lt;"&amp;$V440)-COUNTIFS($V$6:$V$2005,"&lt;"&amp;$V440,$K$6:$K$2005,"")+1)</f>
        <v/>
      </c>
      <c r="X440">
        <f>IF(Sync!$AX440="","",IF(OR(N(Sync!$AY440)=0,N(Sync!$AZ440)=0),"",ROUND(N(Sync!$AY440)*N(Sync!$AZ440),0)))</f>
        <v/>
      </c>
      <c r="Y440">
        <f>IF($X440="","",IF(OR(Sync!$AX440="",COUNTIF(AcctCodesA,Sync!$AX440)=0),"متفرقه",Sync!$AX440))</f>
        <v/>
      </c>
      <c r="Z440">
        <f>IF($X440="","","سبد و ظروف")</f>
        <v/>
      </c>
      <c r="AA440">
        <f>IF($X440="","",$Y440)</f>
        <v/>
      </c>
    </row>
    <row r="441">
      <c r="A441">
        <f>IF(Sync!$Z441="","",LEFT(UPPER(TRIM(Sync!$Z441)),6))</f>
        <v/>
      </c>
      <c r="B441">
        <f>IF($A441="","",IF(Sync!$AA441="","",Sync!$AA441))</f>
        <v/>
      </c>
      <c r="C441">
        <f>IF($A441="","",IF(Sync!$AB441="","",Sync!$AB441))</f>
        <v/>
      </c>
      <c r="D441">
        <f>IF($A441="","",IF(Sync!$AC441="","",Sync!$AC441))</f>
        <v/>
      </c>
      <c r="E441">
        <f>IF($A441="","",IF(Sync!$AD441="","",Sync!$AD441))</f>
        <v/>
      </c>
      <c r="F441">
        <f>IF($A441="","",IF(Sync!$AE441="",0,Sync!$AE441))</f>
        <v/>
      </c>
      <c r="G441">
        <f>IF($A441="","",IF(Sync!$AF441="",0,Sync!$AF441))</f>
        <v/>
      </c>
      <c r="H441">
        <f>IF(OR($A441="",ROUND($F441+$G441,2)=0),"",$F441+$G441)</f>
        <v/>
      </c>
      <c r="I441">
        <f>IF($H441="","",IF(ROUND($F441,2)&gt;0,$A441,IF($D441="شخصی قاسم","شخصی قاسم",IF($D441="هزینه","هزینه: "&amp;IF($E441="","متفرقه",$E441),IF($C441="پاس چک","چک پرداختی",IF(OR($B441="",COUNTIF(AcctCodesA,$B441)=0),"متفرقه",$B441))))))</f>
        <v/>
      </c>
      <c r="J441">
        <f>IF($H441="","",IF(ROUND($F441,2)&gt;0,IF($D441="شخصی قاسم","شخصی قاسم",IF($D441="هزینه","هزینه: "&amp;IF($E441="","متفرقه",$E441),IF(OR($B441="",COUNTIF(AcctCodesA,$B441)=0),"متفرقه",$B441))),$A441))</f>
        <v/>
      </c>
      <c r="K441">
        <f>IF($A441="","",IF(AND($B441&lt;&gt;"",COUNTIF(AcctCodesA,$B441)=0),"کد طرف در INFO تعریف نشده",IF(AND($D441="هزینه",$E441=""),"هزینه بدون زیرگروه",IF(AND($C441="پاس چک",OR(Sync!$AJ441="",COUNTIF(IssueNosA,Sync!$AJ441)=0)),"شماره چک پاس‌شده معتبر نیست",""))))</f>
        <v/>
      </c>
      <c r="M441">
        <f>IF(Sync!$AH441="","",Sync!$AH441)</f>
        <v/>
      </c>
      <c r="N441">
        <f>IF($M441="","",IF(OR(Sync!$AI441="",COUNTIF(AcctCodesA,Sync!$AI441)=0),"متفرقه",Sync!$AI441))</f>
        <v/>
      </c>
      <c r="O441">
        <f>IF($M441="","",$N441)</f>
        <v/>
      </c>
      <c r="P441">
        <f>IF($M441="","","چک پرداختی")</f>
        <v/>
      </c>
      <c r="R441">
        <f>IF($M441="","",IF(COUNTIF(AcctCodesA,Sync!$AI441)=0,"ذی‌نفع چک تعریف‌نشده",""))</f>
        <v/>
      </c>
      <c r="S441">
        <f>IF($R441="","",Sync!$AG441&amp;"|"&amp;"5"&amp;RIGHT("00000"&amp;436,5))</f>
        <v/>
      </c>
      <c r="T441">
        <f>IF($S441="",0,COUNTIFS($S$6:$S$505,"&lt;"&amp;$S441)-COUNTIFS($S$6:$S$505,"&lt;"&amp;$S441,$R$6:$R$505,"")+1)</f>
        <v/>
      </c>
      <c r="V441">
        <f>IF($K441="","",IF(ISNUMBER(Sync!$AK441),Sync!$AK441,LEFT(Sync!$AK441,4)&amp;MID(Sync!$AK441,6,2)&amp;RIGHT(Sync!$AK441,2))&amp;"|"&amp;"4"&amp;RIGHT("00000"&amp;436,5))</f>
        <v/>
      </c>
      <c r="W441">
        <f>IF($V441="",0,COUNTIFS($V$6:$V$2005,"&lt;"&amp;$V441)-COUNTIFS($V$6:$V$2005,"&lt;"&amp;$V441,$K$6:$K$2005,"")+1)</f>
        <v/>
      </c>
      <c r="X441">
        <f>IF(Sync!$AX441="","",IF(OR(N(Sync!$AY441)=0,N(Sync!$AZ441)=0),"",ROUND(N(Sync!$AY441)*N(Sync!$AZ441),0)))</f>
        <v/>
      </c>
      <c r="Y441">
        <f>IF($X441="","",IF(OR(Sync!$AX441="",COUNTIF(AcctCodesA,Sync!$AX441)=0),"متفرقه",Sync!$AX441))</f>
        <v/>
      </c>
      <c r="Z441">
        <f>IF($X441="","","سبد و ظروف")</f>
        <v/>
      </c>
      <c r="AA441">
        <f>IF($X441="","",$Y441)</f>
        <v/>
      </c>
    </row>
    <row r="442">
      <c r="A442">
        <f>IF(Sync!$Z442="","",LEFT(UPPER(TRIM(Sync!$Z442)),6))</f>
        <v/>
      </c>
      <c r="B442">
        <f>IF($A442="","",IF(Sync!$AA442="","",Sync!$AA442))</f>
        <v/>
      </c>
      <c r="C442">
        <f>IF($A442="","",IF(Sync!$AB442="","",Sync!$AB442))</f>
        <v/>
      </c>
      <c r="D442">
        <f>IF($A442="","",IF(Sync!$AC442="","",Sync!$AC442))</f>
        <v/>
      </c>
      <c r="E442">
        <f>IF($A442="","",IF(Sync!$AD442="","",Sync!$AD442))</f>
        <v/>
      </c>
      <c r="F442">
        <f>IF($A442="","",IF(Sync!$AE442="",0,Sync!$AE442))</f>
        <v/>
      </c>
      <c r="G442">
        <f>IF($A442="","",IF(Sync!$AF442="",0,Sync!$AF442))</f>
        <v/>
      </c>
      <c r="H442">
        <f>IF(OR($A442="",ROUND($F442+$G442,2)=0),"",$F442+$G442)</f>
        <v/>
      </c>
      <c r="I442">
        <f>IF($H442="","",IF(ROUND($F442,2)&gt;0,$A442,IF($D442="شخصی قاسم","شخصی قاسم",IF($D442="هزینه","هزینه: "&amp;IF($E442="","متفرقه",$E442),IF($C442="پاس چک","چک پرداختی",IF(OR($B442="",COUNTIF(AcctCodesA,$B442)=0),"متفرقه",$B442))))))</f>
        <v/>
      </c>
      <c r="J442">
        <f>IF($H442="","",IF(ROUND($F442,2)&gt;0,IF($D442="شخصی قاسم","شخصی قاسم",IF($D442="هزینه","هزینه: "&amp;IF($E442="","متفرقه",$E442),IF(OR($B442="",COUNTIF(AcctCodesA,$B442)=0),"متفرقه",$B442))),$A442))</f>
        <v/>
      </c>
      <c r="K442">
        <f>IF($A442="","",IF(AND($B442&lt;&gt;"",COUNTIF(AcctCodesA,$B442)=0),"کد طرف در INFO تعریف نشده",IF(AND($D442="هزینه",$E442=""),"هزینه بدون زیرگروه",IF(AND($C442="پاس چک",OR(Sync!$AJ442="",COUNTIF(IssueNosA,Sync!$AJ442)=0)),"شماره چک پاس‌شده معتبر نیست",""))))</f>
        <v/>
      </c>
      <c r="M442">
        <f>IF(Sync!$AH442="","",Sync!$AH442)</f>
        <v/>
      </c>
      <c r="N442">
        <f>IF($M442="","",IF(OR(Sync!$AI442="",COUNTIF(AcctCodesA,Sync!$AI442)=0),"متفرقه",Sync!$AI442))</f>
        <v/>
      </c>
      <c r="O442">
        <f>IF($M442="","",$N442)</f>
        <v/>
      </c>
      <c r="P442">
        <f>IF($M442="","","چک پرداختی")</f>
        <v/>
      </c>
      <c r="R442">
        <f>IF($M442="","",IF(COUNTIF(AcctCodesA,Sync!$AI442)=0,"ذی‌نفع چک تعریف‌نشده",""))</f>
        <v/>
      </c>
      <c r="S442">
        <f>IF($R442="","",Sync!$AG442&amp;"|"&amp;"5"&amp;RIGHT("00000"&amp;437,5))</f>
        <v/>
      </c>
      <c r="T442">
        <f>IF($S442="",0,COUNTIFS($S$6:$S$505,"&lt;"&amp;$S442)-COUNTIFS($S$6:$S$505,"&lt;"&amp;$S442,$R$6:$R$505,"")+1)</f>
        <v/>
      </c>
      <c r="V442">
        <f>IF($K442="","",IF(ISNUMBER(Sync!$AK442),Sync!$AK442,LEFT(Sync!$AK442,4)&amp;MID(Sync!$AK442,6,2)&amp;RIGHT(Sync!$AK442,2))&amp;"|"&amp;"4"&amp;RIGHT("00000"&amp;437,5))</f>
        <v/>
      </c>
      <c r="W442">
        <f>IF($V442="",0,COUNTIFS($V$6:$V$2005,"&lt;"&amp;$V442)-COUNTIFS($V$6:$V$2005,"&lt;"&amp;$V442,$K$6:$K$2005,"")+1)</f>
        <v/>
      </c>
      <c r="X442">
        <f>IF(Sync!$AX442="","",IF(OR(N(Sync!$AY442)=0,N(Sync!$AZ442)=0),"",ROUND(N(Sync!$AY442)*N(Sync!$AZ442),0)))</f>
        <v/>
      </c>
      <c r="Y442">
        <f>IF($X442="","",IF(OR(Sync!$AX442="",COUNTIF(AcctCodesA,Sync!$AX442)=0),"متفرقه",Sync!$AX442))</f>
        <v/>
      </c>
      <c r="Z442">
        <f>IF($X442="","","سبد و ظروف")</f>
        <v/>
      </c>
      <c r="AA442">
        <f>IF($X442="","",$Y442)</f>
        <v/>
      </c>
    </row>
    <row r="443">
      <c r="A443">
        <f>IF(Sync!$Z443="","",LEFT(UPPER(TRIM(Sync!$Z443)),6))</f>
        <v/>
      </c>
      <c r="B443">
        <f>IF($A443="","",IF(Sync!$AA443="","",Sync!$AA443))</f>
        <v/>
      </c>
      <c r="C443">
        <f>IF($A443="","",IF(Sync!$AB443="","",Sync!$AB443))</f>
        <v/>
      </c>
      <c r="D443">
        <f>IF($A443="","",IF(Sync!$AC443="","",Sync!$AC443))</f>
        <v/>
      </c>
      <c r="E443">
        <f>IF($A443="","",IF(Sync!$AD443="","",Sync!$AD443))</f>
        <v/>
      </c>
      <c r="F443">
        <f>IF($A443="","",IF(Sync!$AE443="",0,Sync!$AE443))</f>
        <v/>
      </c>
      <c r="G443">
        <f>IF($A443="","",IF(Sync!$AF443="",0,Sync!$AF443))</f>
        <v/>
      </c>
      <c r="H443">
        <f>IF(OR($A443="",ROUND($F443+$G443,2)=0),"",$F443+$G443)</f>
        <v/>
      </c>
      <c r="I443">
        <f>IF($H443="","",IF(ROUND($F443,2)&gt;0,$A443,IF($D443="شخصی قاسم","شخصی قاسم",IF($D443="هزینه","هزینه: "&amp;IF($E443="","متفرقه",$E443),IF($C443="پاس چک","چک پرداختی",IF(OR($B443="",COUNTIF(AcctCodesA,$B443)=0),"متفرقه",$B443))))))</f>
        <v/>
      </c>
      <c r="J443">
        <f>IF($H443="","",IF(ROUND($F443,2)&gt;0,IF($D443="شخصی قاسم","شخصی قاسم",IF($D443="هزینه","هزینه: "&amp;IF($E443="","متفرقه",$E443),IF(OR($B443="",COUNTIF(AcctCodesA,$B443)=0),"متفرقه",$B443))),$A443))</f>
        <v/>
      </c>
      <c r="K443">
        <f>IF($A443="","",IF(AND($B443&lt;&gt;"",COUNTIF(AcctCodesA,$B443)=0),"کد طرف در INFO تعریف نشده",IF(AND($D443="هزینه",$E443=""),"هزینه بدون زیرگروه",IF(AND($C443="پاس چک",OR(Sync!$AJ443="",COUNTIF(IssueNosA,Sync!$AJ443)=0)),"شماره چک پاس‌شده معتبر نیست",""))))</f>
        <v/>
      </c>
      <c r="M443">
        <f>IF(Sync!$AH443="","",Sync!$AH443)</f>
        <v/>
      </c>
      <c r="N443">
        <f>IF($M443="","",IF(OR(Sync!$AI443="",COUNTIF(AcctCodesA,Sync!$AI443)=0),"متفرقه",Sync!$AI443))</f>
        <v/>
      </c>
      <c r="O443">
        <f>IF($M443="","",$N443)</f>
        <v/>
      </c>
      <c r="P443">
        <f>IF($M443="","","چک پرداختی")</f>
        <v/>
      </c>
      <c r="R443">
        <f>IF($M443="","",IF(COUNTIF(AcctCodesA,Sync!$AI443)=0,"ذی‌نفع چک تعریف‌نشده",""))</f>
        <v/>
      </c>
      <c r="S443">
        <f>IF($R443="","",Sync!$AG443&amp;"|"&amp;"5"&amp;RIGHT("00000"&amp;438,5))</f>
        <v/>
      </c>
      <c r="T443">
        <f>IF($S443="",0,COUNTIFS($S$6:$S$505,"&lt;"&amp;$S443)-COUNTIFS($S$6:$S$505,"&lt;"&amp;$S443,$R$6:$R$505,"")+1)</f>
        <v/>
      </c>
      <c r="V443">
        <f>IF($K443="","",IF(ISNUMBER(Sync!$AK443),Sync!$AK443,LEFT(Sync!$AK443,4)&amp;MID(Sync!$AK443,6,2)&amp;RIGHT(Sync!$AK443,2))&amp;"|"&amp;"4"&amp;RIGHT("00000"&amp;438,5))</f>
        <v/>
      </c>
      <c r="W443">
        <f>IF($V443="",0,COUNTIFS($V$6:$V$2005,"&lt;"&amp;$V443)-COUNTIFS($V$6:$V$2005,"&lt;"&amp;$V443,$K$6:$K$2005,"")+1)</f>
        <v/>
      </c>
      <c r="X443">
        <f>IF(Sync!$AX443="","",IF(OR(N(Sync!$AY443)=0,N(Sync!$AZ443)=0),"",ROUND(N(Sync!$AY443)*N(Sync!$AZ443),0)))</f>
        <v/>
      </c>
      <c r="Y443">
        <f>IF($X443="","",IF(OR(Sync!$AX443="",COUNTIF(AcctCodesA,Sync!$AX443)=0),"متفرقه",Sync!$AX443))</f>
        <v/>
      </c>
      <c r="Z443">
        <f>IF($X443="","","سبد و ظروف")</f>
        <v/>
      </c>
      <c r="AA443">
        <f>IF($X443="","",$Y443)</f>
        <v/>
      </c>
    </row>
    <row r="444">
      <c r="A444">
        <f>IF(Sync!$Z444="","",LEFT(UPPER(TRIM(Sync!$Z444)),6))</f>
        <v/>
      </c>
      <c r="B444">
        <f>IF($A444="","",IF(Sync!$AA444="","",Sync!$AA444))</f>
        <v/>
      </c>
      <c r="C444">
        <f>IF($A444="","",IF(Sync!$AB444="","",Sync!$AB444))</f>
        <v/>
      </c>
      <c r="D444">
        <f>IF($A444="","",IF(Sync!$AC444="","",Sync!$AC444))</f>
        <v/>
      </c>
      <c r="E444">
        <f>IF($A444="","",IF(Sync!$AD444="","",Sync!$AD444))</f>
        <v/>
      </c>
      <c r="F444">
        <f>IF($A444="","",IF(Sync!$AE444="",0,Sync!$AE444))</f>
        <v/>
      </c>
      <c r="G444">
        <f>IF($A444="","",IF(Sync!$AF444="",0,Sync!$AF444))</f>
        <v/>
      </c>
      <c r="H444">
        <f>IF(OR($A444="",ROUND($F444+$G444,2)=0),"",$F444+$G444)</f>
        <v/>
      </c>
      <c r="I444">
        <f>IF($H444="","",IF(ROUND($F444,2)&gt;0,$A444,IF($D444="شخصی قاسم","شخصی قاسم",IF($D444="هزینه","هزینه: "&amp;IF($E444="","متفرقه",$E444),IF($C444="پاس چک","چک پرداختی",IF(OR($B444="",COUNTIF(AcctCodesA,$B444)=0),"متفرقه",$B444))))))</f>
        <v/>
      </c>
      <c r="J444">
        <f>IF($H444="","",IF(ROUND($F444,2)&gt;0,IF($D444="شخصی قاسم","شخصی قاسم",IF($D444="هزینه","هزینه: "&amp;IF($E444="","متفرقه",$E444),IF(OR($B444="",COUNTIF(AcctCodesA,$B444)=0),"متفرقه",$B444))),$A444))</f>
        <v/>
      </c>
      <c r="K444">
        <f>IF($A444="","",IF(AND($B444&lt;&gt;"",COUNTIF(AcctCodesA,$B444)=0),"کد طرف در INFO تعریف نشده",IF(AND($D444="هزینه",$E444=""),"هزینه بدون زیرگروه",IF(AND($C444="پاس چک",OR(Sync!$AJ444="",COUNTIF(IssueNosA,Sync!$AJ444)=0)),"شماره چک پاس‌شده معتبر نیست",""))))</f>
        <v/>
      </c>
      <c r="M444">
        <f>IF(Sync!$AH444="","",Sync!$AH444)</f>
        <v/>
      </c>
      <c r="N444">
        <f>IF($M444="","",IF(OR(Sync!$AI444="",COUNTIF(AcctCodesA,Sync!$AI444)=0),"متفرقه",Sync!$AI444))</f>
        <v/>
      </c>
      <c r="O444">
        <f>IF($M444="","",$N444)</f>
        <v/>
      </c>
      <c r="P444">
        <f>IF($M444="","","چک پرداختی")</f>
        <v/>
      </c>
      <c r="R444">
        <f>IF($M444="","",IF(COUNTIF(AcctCodesA,Sync!$AI444)=0,"ذی‌نفع چک تعریف‌نشده",""))</f>
        <v/>
      </c>
      <c r="S444">
        <f>IF($R444="","",Sync!$AG444&amp;"|"&amp;"5"&amp;RIGHT("00000"&amp;439,5))</f>
        <v/>
      </c>
      <c r="T444">
        <f>IF($S444="",0,COUNTIFS($S$6:$S$505,"&lt;"&amp;$S444)-COUNTIFS($S$6:$S$505,"&lt;"&amp;$S444,$R$6:$R$505,"")+1)</f>
        <v/>
      </c>
      <c r="V444">
        <f>IF($K444="","",IF(ISNUMBER(Sync!$AK444),Sync!$AK444,LEFT(Sync!$AK444,4)&amp;MID(Sync!$AK444,6,2)&amp;RIGHT(Sync!$AK444,2))&amp;"|"&amp;"4"&amp;RIGHT("00000"&amp;439,5))</f>
        <v/>
      </c>
      <c r="W444">
        <f>IF($V444="",0,COUNTIFS($V$6:$V$2005,"&lt;"&amp;$V444)-COUNTIFS($V$6:$V$2005,"&lt;"&amp;$V444,$K$6:$K$2005,"")+1)</f>
        <v/>
      </c>
      <c r="X444">
        <f>IF(Sync!$AX444="","",IF(OR(N(Sync!$AY444)=0,N(Sync!$AZ444)=0),"",ROUND(N(Sync!$AY444)*N(Sync!$AZ444),0)))</f>
        <v/>
      </c>
      <c r="Y444">
        <f>IF($X444="","",IF(OR(Sync!$AX444="",COUNTIF(AcctCodesA,Sync!$AX444)=0),"متفرقه",Sync!$AX444))</f>
        <v/>
      </c>
      <c r="Z444">
        <f>IF($X444="","","سبد و ظروف")</f>
        <v/>
      </c>
      <c r="AA444">
        <f>IF($X444="","",$Y444)</f>
        <v/>
      </c>
    </row>
    <row r="445">
      <c r="A445">
        <f>IF(Sync!$Z445="","",LEFT(UPPER(TRIM(Sync!$Z445)),6))</f>
        <v/>
      </c>
      <c r="B445">
        <f>IF($A445="","",IF(Sync!$AA445="","",Sync!$AA445))</f>
        <v/>
      </c>
      <c r="C445">
        <f>IF($A445="","",IF(Sync!$AB445="","",Sync!$AB445))</f>
        <v/>
      </c>
      <c r="D445">
        <f>IF($A445="","",IF(Sync!$AC445="","",Sync!$AC445))</f>
        <v/>
      </c>
      <c r="E445">
        <f>IF($A445="","",IF(Sync!$AD445="","",Sync!$AD445))</f>
        <v/>
      </c>
      <c r="F445">
        <f>IF($A445="","",IF(Sync!$AE445="",0,Sync!$AE445))</f>
        <v/>
      </c>
      <c r="G445">
        <f>IF($A445="","",IF(Sync!$AF445="",0,Sync!$AF445))</f>
        <v/>
      </c>
      <c r="H445">
        <f>IF(OR($A445="",ROUND($F445+$G445,2)=0),"",$F445+$G445)</f>
        <v/>
      </c>
      <c r="I445">
        <f>IF($H445="","",IF(ROUND($F445,2)&gt;0,$A445,IF($D445="شخصی قاسم","شخصی قاسم",IF($D445="هزینه","هزینه: "&amp;IF($E445="","متفرقه",$E445),IF($C445="پاس چک","چک پرداختی",IF(OR($B445="",COUNTIF(AcctCodesA,$B445)=0),"متفرقه",$B445))))))</f>
        <v/>
      </c>
      <c r="J445">
        <f>IF($H445="","",IF(ROUND($F445,2)&gt;0,IF($D445="شخصی قاسم","شخصی قاسم",IF($D445="هزینه","هزینه: "&amp;IF($E445="","متفرقه",$E445),IF(OR($B445="",COUNTIF(AcctCodesA,$B445)=0),"متفرقه",$B445))),$A445))</f>
        <v/>
      </c>
      <c r="K445">
        <f>IF($A445="","",IF(AND($B445&lt;&gt;"",COUNTIF(AcctCodesA,$B445)=0),"کد طرف در INFO تعریف نشده",IF(AND($D445="هزینه",$E445=""),"هزینه بدون زیرگروه",IF(AND($C445="پاس چک",OR(Sync!$AJ445="",COUNTIF(IssueNosA,Sync!$AJ445)=0)),"شماره چک پاس‌شده معتبر نیست",""))))</f>
        <v/>
      </c>
      <c r="M445">
        <f>IF(Sync!$AH445="","",Sync!$AH445)</f>
        <v/>
      </c>
      <c r="N445">
        <f>IF($M445="","",IF(OR(Sync!$AI445="",COUNTIF(AcctCodesA,Sync!$AI445)=0),"متفرقه",Sync!$AI445))</f>
        <v/>
      </c>
      <c r="O445">
        <f>IF($M445="","",$N445)</f>
        <v/>
      </c>
      <c r="P445">
        <f>IF($M445="","","چک پرداختی")</f>
        <v/>
      </c>
      <c r="R445">
        <f>IF($M445="","",IF(COUNTIF(AcctCodesA,Sync!$AI445)=0,"ذی‌نفع چک تعریف‌نشده",""))</f>
        <v/>
      </c>
      <c r="S445">
        <f>IF($R445="","",Sync!$AG445&amp;"|"&amp;"5"&amp;RIGHT("00000"&amp;440,5))</f>
        <v/>
      </c>
      <c r="T445">
        <f>IF($S445="",0,COUNTIFS($S$6:$S$505,"&lt;"&amp;$S445)-COUNTIFS($S$6:$S$505,"&lt;"&amp;$S445,$R$6:$R$505,"")+1)</f>
        <v/>
      </c>
      <c r="V445">
        <f>IF($K445="","",IF(ISNUMBER(Sync!$AK445),Sync!$AK445,LEFT(Sync!$AK445,4)&amp;MID(Sync!$AK445,6,2)&amp;RIGHT(Sync!$AK445,2))&amp;"|"&amp;"4"&amp;RIGHT("00000"&amp;440,5))</f>
        <v/>
      </c>
      <c r="W445">
        <f>IF($V445="",0,COUNTIFS($V$6:$V$2005,"&lt;"&amp;$V445)-COUNTIFS($V$6:$V$2005,"&lt;"&amp;$V445,$K$6:$K$2005,"")+1)</f>
        <v/>
      </c>
      <c r="X445">
        <f>IF(Sync!$AX445="","",IF(OR(N(Sync!$AY445)=0,N(Sync!$AZ445)=0),"",ROUND(N(Sync!$AY445)*N(Sync!$AZ445),0)))</f>
        <v/>
      </c>
      <c r="Y445">
        <f>IF($X445="","",IF(OR(Sync!$AX445="",COUNTIF(AcctCodesA,Sync!$AX445)=0),"متفرقه",Sync!$AX445))</f>
        <v/>
      </c>
      <c r="Z445">
        <f>IF($X445="","","سبد و ظروف")</f>
        <v/>
      </c>
      <c r="AA445">
        <f>IF($X445="","",$Y445)</f>
        <v/>
      </c>
    </row>
    <row r="446">
      <c r="A446">
        <f>IF(Sync!$Z446="","",LEFT(UPPER(TRIM(Sync!$Z446)),6))</f>
        <v/>
      </c>
      <c r="B446">
        <f>IF($A446="","",IF(Sync!$AA446="","",Sync!$AA446))</f>
        <v/>
      </c>
      <c r="C446">
        <f>IF($A446="","",IF(Sync!$AB446="","",Sync!$AB446))</f>
        <v/>
      </c>
      <c r="D446">
        <f>IF($A446="","",IF(Sync!$AC446="","",Sync!$AC446))</f>
        <v/>
      </c>
      <c r="E446">
        <f>IF($A446="","",IF(Sync!$AD446="","",Sync!$AD446))</f>
        <v/>
      </c>
      <c r="F446">
        <f>IF($A446="","",IF(Sync!$AE446="",0,Sync!$AE446))</f>
        <v/>
      </c>
      <c r="G446">
        <f>IF($A446="","",IF(Sync!$AF446="",0,Sync!$AF446))</f>
        <v/>
      </c>
      <c r="H446">
        <f>IF(OR($A446="",ROUND($F446+$G446,2)=0),"",$F446+$G446)</f>
        <v/>
      </c>
      <c r="I446">
        <f>IF($H446="","",IF(ROUND($F446,2)&gt;0,$A446,IF($D446="شخصی قاسم","شخصی قاسم",IF($D446="هزینه","هزینه: "&amp;IF($E446="","متفرقه",$E446),IF($C446="پاس چک","چک پرداختی",IF(OR($B446="",COUNTIF(AcctCodesA,$B446)=0),"متفرقه",$B446))))))</f>
        <v/>
      </c>
      <c r="J446">
        <f>IF($H446="","",IF(ROUND($F446,2)&gt;0,IF($D446="شخصی قاسم","شخصی قاسم",IF($D446="هزینه","هزینه: "&amp;IF($E446="","متفرقه",$E446),IF(OR($B446="",COUNTIF(AcctCodesA,$B446)=0),"متفرقه",$B446))),$A446))</f>
        <v/>
      </c>
      <c r="K446">
        <f>IF($A446="","",IF(AND($B446&lt;&gt;"",COUNTIF(AcctCodesA,$B446)=0),"کد طرف در INFO تعریف نشده",IF(AND($D446="هزینه",$E446=""),"هزینه بدون زیرگروه",IF(AND($C446="پاس چک",OR(Sync!$AJ446="",COUNTIF(IssueNosA,Sync!$AJ446)=0)),"شماره چک پاس‌شده معتبر نیست",""))))</f>
        <v/>
      </c>
      <c r="M446">
        <f>IF(Sync!$AH446="","",Sync!$AH446)</f>
        <v/>
      </c>
      <c r="N446">
        <f>IF($M446="","",IF(OR(Sync!$AI446="",COUNTIF(AcctCodesA,Sync!$AI446)=0),"متفرقه",Sync!$AI446))</f>
        <v/>
      </c>
      <c r="O446">
        <f>IF($M446="","",$N446)</f>
        <v/>
      </c>
      <c r="P446">
        <f>IF($M446="","","چک پرداختی")</f>
        <v/>
      </c>
      <c r="R446">
        <f>IF($M446="","",IF(COUNTIF(AcctCodesA,Sync!$AI446)=0,"ذی‌نفع چک تعریف‌نشده",""))</f>
        <v/>
      </c>
      <c r="S446">
        <f>IF($R446="","",Sync!$AG446&amp;"|"&amp;"5"&amp;RIGHT("00000"&amp;441,5))</f>
        <v/>
      </c>
      <c r="T446">
        <f>IF($S446="",0,COUNTIFS($S$6:$S$505,"&lt;"&amp;$S446)-COUNTIFS($S$6:$S$505,"&lt;"&amp;$S446,$R$6:$R$505,"")+1)</f>
        <v/>
      </c>
      <c r="V446">
        <f>IF($K446="","",IF(ISNUMBER(Sync!$AK446),Sync!$AK446,LEFT(Sync!$AK446,4)&amp;MID(Sync!$AK446,6,2)&amp;RIGHT(Sync!$AK446,2))&amp;"|"&amp;"4"&amp;RIGHT("00000"&amp;441,5))</f>
        <v/>
      </c>
      <c r="W446">
        <f>IF($V446="",0,COUNTIFS($V$6:$V$2005,"&lt;"&amp;$V446)-COUNTIFS($V$6:$V$2005,"&lt;"&amp;$V446,$K$6:$K$2005,"")+1)</f>
        <v/>
      </c>
      <c r="X446">
        <f>IF(Sync!$AX446="","",IF(OR(N(Sync!$AY446)=0,N(Sync!$AZ446)=0),"",ROUND(N(Sync!$AY446)*N(Sync!$AZ446),0)))</f>
        <v/>
      </c>
      <c r="Y446">
        <f>IF($X446="","",IF(OR(Sync!$AX446="",COUNTIF(AcctCodesA,Sync!$AX446)=0),"متفرقه",Sync!$AX446))</f>
        <v/>
      </c>
      <c r="Z446">
        <f>IF($X446="","","سبد و ظروف")</f>
        <v/>
      </c>
      <c r="AA446">
        <f>IF($X446="","",$Y446)</f>
        <v/>
      </c>
    </row>
    <row r="447">
      <c r="A447">
        <f>IF(Sync!$Z447="","",LEFT(UPPER(TRIM(Sync!$Z447)),6))</f>
        <v/>
      </c>
      <c r="B447">
        <f>IF($A447="","",IF(Sync!$AA447="","",Sync!$AA447))</f>
        <v/>
      </c>
      <c r="C447">
        <f>IF($A447="","",IF(Sync!$AB447="","",Sync!$AB447))</f>
        <v/>
      </c>
      <c r="D447">
        <f>IF($A447="","",IF(Sync!$AC447="","",Sync!$AC447))</f>
        <v/>
      </c>
      <c r="E447">
        <f>IF($A447="","",IF(Sync!$AD447="","",Sync!$AD447))</f>
        <v/>
      </c>
      <c r="F447">
        <f>IF($A447="","",IF(Sync!$AE447="",0,Sync!$AE447))</f>
        <v/>
      </c>
      <c r="G447">
        <f>IF($A447="","",IF(Sync!$AF447="",0,Sync!$AF447))</f>
        <v/>
      </c>
      <c r="H447">
        <f>IF(OR($A447="",ROUND($F447+$G447,2)=0),"",$F447+$G447)</f>
        <v/>
      </c>
      <c r="I447">
        <f>IF($H447="","",IF(ROUND($F447,2)&gt;0,$A447,IF($D447="شخصی قاسم","شخصی قاسم",IF($D447="هزینه","هزینه: "&amp;IF($E447="","متفرقه",$E447),IF($C447="پاس چک","چک پرداختی",IF(OR($B447="",COUNTIF(AcctCodesA,$B447)=0),"متفرقه",$B447))))))</f>
        <v/>
      </c>
      <c r="J447">
        <f>IF($H447="","",IF(ROUND($F447,2)&gt;0,IF($D447="شخصی قاسم","شخصی قاسم",IF($D447="هزینه","هزینه: "&amp;IF($E447="","متفرقه",$E447),IF(OR($B447="",COUNTIF(AcctCodesA,$B447)=0),"متفرقه",$B447))),$A447))</f>
        <v/>
      </c>
      <c r="K447">
        <f>IF($A447="","",IF(AND($B447&lt;&gt;"",COUNTIF(AcctCodesA,$B447)=0),"کد طرف در INFO تعریف نشده",IF(AND($D447="هزینه",$E447=""),"هزینه بدون زیرگروه",IF(AND($C447="پاس چک",OR(Sync!$AJ447="",COUNTIF(IssueNosA,Sync!$AJ447)=0)),"شماره چک پاس‌شده معتبر نیست",""))))</f>
        <v/>
      </c>
      <c r="M447">
        <f>IF(Sync!$AH447="","",Sync!$AH447)</f>
        <v/>
      </c>
      <c r="N447">
        <f>IF($M447="","",IF(OR(Sync!$AI447="",COUNTIF(AcctCodesA,Sync!$AI447)=0),"متفرقه",Sync!$AI447))</f>
        <v/>
      </c>
      <c r="O447">
        <f>IF($M447="","",$N447)</f>
        <v/>
      </c>
      <c r="P447">
        <f>IF($M447="","","چک پرداختی")</f>
        <v/>
      </c>
      <c r="R447">
        <f>IF($M447="","",IF(COUNTIF(AcctCodesA,Sync!$AI447)=0,"ذی‌نفع چک تعریف‌نشده",""))</f>
        <v/>
      </c>
      <c r="S447">
        <f>IF($R447="","",Sync!$AG447&amp;"|"&amp;"5"&amp;RIGHT("00000"&amp;442,5))</f>
        <v/>
      </c>
      <c r="T447">
        <f>IF($S447="",0,COUNTIFS($S$6:$S$505,"&lt;"&amp;$S447)-COUNTIFS($S$6:$S$505,"&lt;"&amp;$S447,$R$6:$R$505,"")+1)</f>
        <v/>
      </c>
      <c r="V447">
        <f>IF($K447="","",IF(ISNUMBER(Sync!$AK447),Sync!$AK447,LEFT(Sync!$AK447,4)&amp;MID(Sync!$AK447,6,2)&amp;RIGHT(Sync!$AK447,2))&amp;"|"&amp;"4"&amp;RIGHT("00000"&amp;442,5))</f>
        <v/>
      </c>
      <c r="W447">
        <f>IF($V447="",0,COUNTIFS($V$6:$V$2005,"&lt;"&amp;$V447)-COUNTIFS($V$6:$V$2005,"&lt;"&amp;$V447,$K$6:$K$2005,"")+1)</f>
        <v/>
      </c>
      <c r="X447">
        <f>IF(Sync!$AX447="","",IF(OR(N(Sync!$AY447)=0,N(Sync!$AZ447)=0),"",ROUND(N(Sync!$AY447)*N(Sync!$AZ447),0)))</f>
        <v/>
      </c>
      <c r="Y447">
        <f>IF($X447="","",IF(OR(Sync!$AX447="",COUNTIF(AcctCodesA,Sync!$AX447)=0),"متفرقه",Sync!$AX447))</f>
        <v/>
      </c>
      <c r="Z447">
        <f>IF($X447="","","سبد و ظروف")</f>
        <v/>
      </c>
      <c r="AA447">
        <f>IF($X447="","",$Y447)</f>
        <v/>
      </c>
    </row>
    <row r="448">
      <c r="A448">
        <f>IF(Sync!$Z448="","",LEFT(UPPER(TRIM(Sync!$Z448)),6))</f>
        <v/>
      </c>
      <c r="B448">
        <f>IF($A448="","",IF(Sync!$AA448="","",Sync!$AA448))</f>
        <v/>
      </c>
      <c r="C448">
        <f>IF($A448="","",IF(Sync!$AB448="","",Sync!$AB448))</f>
        <v/>
      </c>
      <c r="D448">
        <f>IF($A448="","",IF(Sync!$AC448="","",Sync!$AC448))</f>
        <v/>
      </c>
      <c r="E448">
        <f>IF($A448="","",IF(Sync!$AD448="","",Sync!$AD448))</f>
        <v/>
      </c>
      <c r="F448">
        <f>IF($A448="","",IF(Sync!$AE448="",0,Sync!$AE448))</f>
        <v/>
      </c>
      <c r="G448">
        <f>IF($A448="","",IF(Sync!$AF448="",0,Sync!$AF448))</f>
        <v/>
      </c>
      <c r="H448">
        <f>IF(OR($A448="",ROUND($F448+$G448,2)=0),"",$F448+$G448)</f>
        <v/>
      </c>
      <c r="I448">
        <f>IF($H448="","",IF(ROUND($F448,2)&gt;0,$A448,IF($D448="شخصی قاسم","شخصی قاسم",IF($D448="هزینه","هزینه: "&amp;IF($E448="","متفرقه",$E448),IF($C448="پاس چک","چک پرداختی",IF(OR($B448="",COUNTIF(AcctCodesA,$B448)=0),"متفرقه",$B448))))))</f>
        <v/>
      </c>
      <c r="J448">
        <f>IF($H448="","",IF(ROUND($F448,2)&gt;0,IF($D448="شخصی قاسم","شخصی قاسم",IF($D448="هزینه","هزینه: "&amp;IF($E448="","متفرقه",$E448),IF(OR($B448="",COUNTIF(AcctCodesA,$B448)=0),"متفرقه",$B448))),$A448))</f>
        <v/>
      </c>
      <c r="K448">
        <f>IF($A448="","",IF(AND($B448&lt;&gt;"",COUNTIF(AcctCodesA,$B448)=0),"کد طرف در INFO تعریف نشده",IF(AND($D448="هزینه",$E448=""),"هزینه بدون زیرگروه",IF(AND($C448="پاس چک",OR(Sync!$AJ448="",COUNTIF(IssueNosA,Sync!$AJ448)=0)),"شماره چک پاس‌شده معتبر نیست",""))))</f>
        <v/>
      </c>
      <c r="M448">
        <f>IF(Sync!$AH448="","",Sync!$AH448)</f>
        <v/>
      </c>
      <c r="N448">
        <f>IF($M448="","",IF(OR(Sync!$AI448="",COUNTIF(AcctCodesA,Sync!$AI448)=0),"متفرقه",Sync!$AI448))</f>
        <v/>
      </c>
      <c r="O448">
        <f>IF($M448="","",$N448)</f>
        <v/>
      </c>
      <c r="P448">
        <f>IF($M448="","","چک پرداختی")</f>
        <v/>
      </c>
      <c r="R448">
        <f>IF($M448="","",IF(COUNTIF(AcctCodesA,Sync!$AI448)=0,"ذی‌نفع چک تعریف‌نشده",""))</f>
        <v/>
      </c>
      <c r="S448">
        <f>IF($R448="","",Sync!$AG448&amp;"|"&amp;"5"&amp;RIGHT("00000"&amp;443,5))</f>
        <v/>
      </c>
      <c r="T448">
        <f>IF($S448="",0,COUNTIFS($S$6:$S$505,"&lt;"&amp;$S448)-COUNTIFS($S$6:$S$505,"&lt;"&amp;$S448,$R$6:$R$505,"")+1)</f>
        <v/>
      </c>
      <c r="V448">
        <f>IF($K448="","",IF(ISNUMBER(Sync!$AK448),Sync!$AK448,LEFT(Sync!$AK448,4)&amp;MID(Sync!$AK448,6,2)&amp;RIGHT(Sync!$AK448,2))&amp;"|"&amp;"4"&amp;RIGHT("00000"&amp;443,5))</f>
        <v/>
      </c>
      <c r="W448">
        <f>IF($V448="",0,COUNTIFS($V$6:$V$2005,"&lt;"&amp;$V448)-COUNTIFS($V$6:$V$2005,"&lt;"&amp;$V448,$K$6:$K$2005,"")+1)</f>
        <v/>
      </c>
      <c r="X448">
        <f>IF(Sync!$AX448="","",IF(OR(N(Sync!$AY448)=0,N(Sync!$AZ448)=0),"",ROUND(N(Sync!$AY448)*N(Sync!$AZ448),0)))</f>
        <v/>
      </c>
      <c r="Y448">
        <f>IF($X448="","",IF(OR(Sync!$AX448="",COUNTIF(AcctCodesA,Sync!$AX448)=0),"متفرقه",Sync!$AX448))</f>
        <v/>
      </c>
      <c r="Z448">
        <f>IF($X448="","","سبد و ظروف")</f>
        <v/>
      </c>
      <c r="AA448">
        <f>IF($X448="","",$Y448)</f>
        <v/>
      </c>
    </row>
    <row r="449">
      <c r="A449">
        <f>IF(Sync!$Z449="","",LEFT(UPPER(TRIM(Sync!$Z449)),6))</f>
        <v/>
      </c>
      <c r="B449">
        <f>IF($A449="","",IF(Sync!$AA449="","",Sync!$AA449))</f>
        <v/>
      </c>
      <c r="C449">
        <f>IF($A449="","",IF(Sync!$AB449="","",Sync!$AB449))</f>
        <v/>
      </c>
      <c r="D449">
        <f>IF($A449="","",IF(Sync!$AC449="","",Sync!$AC449))</f>
        <v/>
      </c>
      <c r="E449">
        <f>IF($A449="","",IF(Sync!$AD449="","",Sync!$AD449))</f>
        <v/>
      </c>
      <c r="F449">
        <f>IF($A449="","",IF(Sync!$AE449="",0,Sync!$AE449))</f>
        <v/>
      </c>
      <c r="G449">
        <f>IF($A449="","",IF(Sync!$AF449="",0,Sync!$AF449))</f>
        <v/>
      </c>
      <c r="H449">
        <f>IF(OR($A449="",ROUND($F449+$G449,2)=0),"",$F449+$G449)</f>
        <v/>
      </c>
      <c r="I449">
        <f>IF($H449="","",IF(ROUND($F449,2)&gt;0,$A449,IF($D449="شخصی قاسم","شخصی قاسم",IF($D449="هزینه","هزینه: "&amp;IF($E449="","متفرقه",$E449),IF($C449="پاس چک","چک پرداختی",IF(OR($B449="",COUNTIF(AcctCodesA,$B449)=0),"متفرقه",$B449))))))</f>
        <v/>
      </c>
      <c r="J449">
        <f>IF($H449="","",IF(ROUND($F449,2)&gt;0,IF($D449="شخصی قاسم","شخصی قاسم",IF($D449="هزینه","هزینه: "&amp;IF($E449="","متفرقه",$E449),IF(OR($B449="",COUNTIF(AcctCodesA,$B449)=0),"متفرقه",$B449))),$A449))</f>
        <v/>
      </c>
      <c r="K449">
        <f>IF($A449="","",IF(AND($B449&lt;&gt;"",COUNTIF(AcctCodesA,$B449)=0),"کد طرف در INFO تعریف نشده",IF(AND($D449="هزینه",$E449=""),"هزینه بدون زیرگروه",IF(AND($C449="پاس چک",OR(Sync!$AJ449="",COUNTIF(IssueNosA,Sync!$AJ449)=0)),"شماره چک پاس‌شده معتبر نیست",""))))</f>
        <v/>
      </c>
      <c r="M449">
        <f>IF(Sync!$AH449="","",Sync!$AH449)</f>
        <v/>
      </c>
      <c r="N449">
        <f>IF($M449="","",IF(OR(Sync!$AI449="",COUNTIF(AcctCodesA,Sync!$AI449)=0),"متفرقه",Sync!$AI449))</f>
        <v/>
      </c>
      <c r="O449">
        <f>IF($M449="","",$N449)</f>
        <v/>
      </c>
      <c r="P449">
        <f>IF($M449="","","چک پرداختی")</f>
        <v/>
      </c>
      <c r="R449">
        <f>IF($M449="","",IF(COUNTIF(AcctCodesA,Sync!$AI449)=0,"ذی‌نفع چک تعریف‌نشده",""))</f>
        <v/>
      </c>
      <c r="S449">
        <f>IF($R449="","",Sync!$AG449&amp;"|"&amp;"5"&amp;RIGHT("00000"&amp;444,5))</f>
        <v/>
      </c>
      <c r="T449">
        <f>IF($S449="",0,COUNTIFS($S$6:$S$505,"&lt;"&amp;$S449)-COUNTIFS($S$6:$S$505,"&lt;"&amp;$S449,$R$6:$R$505,"")+1)</f>
        <v/>
      </c>
      <c r="V449">
        <f>IF($K449="","",IF(ISNUMBER(Sync!$AK449),Sync!$AK449,LEFT(Sync!$AK449,4)&amp;MID(Sync!$AK449,6,2)&amp;RIGHT(Sync!$AK449,2))&amp;"|"&amp;"4"&amp;RIGHT("00000"&amp;444,5))</f>
        <v/>
      </c>
      <c r="W449">
        <f>IF($V449="",0,COUNTIFS($V$6:$V$2005,"&lt;"&amp;$V449)-COUNTIFS($V$6:$V$2005,"&lt;"&amp;$V449,$K$6:$K$2005,"")+1)</f>
        <v/>
      </c>
      <c r="X449">
        <f>IF(Sync!$AX449="","",IF(OR(N(Sync!$AY449)=0,N(Sync!$AZ449)=0),"",ROUND(N(Sync!$AY449)*N(Sync!$AZ449),0)))</f>
        <v/>
      </c>
      <c r="Y449">
        <f>IF($X449="","",IF(OR(Sync!$AX449="",COUNTIF(AcctCodesA,Sync!$AX449)=0),"متفرقه",Sync!$AX449))</f>
        <v/>
      </c>
      <c r="Z449">
        <f>IF($X449="","","سبد و ظروف")</f>
        <v/>
      </c>
      <c r="AA449">
        <f>IF($X449="","",$Y449)</f>
        <v/>
      </c>
    </row>
    <row r="450">
      <c r="A450">
        <f>IF(Sync!$Z450="","",LEFT(UPPER(TRIM(Sync!$Z450)),6))</f>
        <v/>
      </c>
      <c r="B450">
        <f>IF($A450="","",IF(Sync!$AA450="","",Sync!$AA450))</f>
        <v/>
      </c>
      <c r="C450">
        <f>IF($A450="","",IF(Sync!$AB450="","",Sync!$AB450))</f>
        <v/>
      </c>
      <c r="D450">
        <f>IF($A450="","",IF(Sync!$AC450="","",Sync!$AC450))</f>
        <v/>
      </c>
      <c r="E450">
        <f>IF($A450="","",IF(Sync!$AD450="","",Sync!$AD450))</f>
        <v/>
      </c>
      <c r="F450">
        <f>IF($A450="","",IF(Sync!$AE450="",0,Sync!$AE450))</f>
        <v/>
      </c>
      <c r="G450">
        <f>IF($A450="","",IF(Sync!$AF450="",0,Sync!$AF450))</f>
        <v/>
      </c>
      <c r="H450">
        <f>IF(OR($A450="",ROUND($F450+$G450,2)=0),"",$F450+$G450)</f>
        <v/>
      </c>
      <c r="I450">
        <f>IF($H450="","",IF(ROUND($F450,2)&gt;0,$A450,IF($D450="شخصی قاسم","شخصی قاسم",IF($D450="هزینه","هزینه: "&amp;IF($E450="","متفرقه",$E450),IF($C450="پاس چک","چک پرداختی",IF(OR($B450="",COUNTIF(AcctCodesA,$B450)=0),"متفرقه",$B450))))))</f>
        <v/>
      </c>
      <c r="J450">
        <f>IF($H450="","",IF(ROUND($F450,2)&gt;0,IF($D450="شخصی قاسم","شخصی قاسم",IF($D450="هزینه","هزینه: "&amp;IF($E450="","متفرقه",$E450),IF(OR($B450="",COUNTIF(AcctCodesA,$B450)=0),"متفرقه",$B450))),$A450))</f>
        <v/>
      </c>
      <c r="K450">
        <f>IF($A450="","",IF(AND($B450&lt;&gt;"",COUNTIF(AcctCodesA,$B450)=0),"کد طرف در INFO تعریف نشده",IF(AND($D450="هزینه",$E450=""),"هزینه بدون زیرگروه",IF(AND($C450="پاس چک",OR(Sync!$AJ450="",COUNTIF(IssueNosA,Sync!$AJ450)=0)),"شماره چک پاس‌شده معتبر نیست",""))))</f>
        <v/>
      </c>
      <c r="M450">
        <f>IF(Sync!$AH450="","",Sync!$AH450)</f>
        <v/>
      </c>
      <c r="N450">
        <f>IF($M450="","",IF(OR(Sync!$AI450="",COUNTIF(AcctCodesA,Sync!$AI450)=0),"متفرقه",Sync!$AI450))</f>
        <v/>
      </c>
      <c r="O450">
        <f>IF($M450="","",$N450)</f>
        <v/>
      </c>
      <c r="P450">
        <f>IF($M450="","","چک پرداختی")</f>
        <v/>
      </c>
      <c r="R450">
        <f>IF($M450="","",IF(COUNTIF(AcctCodesA,Sync!$AI450)=0,"ذی‌نفع چک تعریف‌نشده",""))</f>
        <v/>
      </c>
      <c r="S450">
        <f>IF($R450="","",Sync!$AG450&amp;"|"&amp;"5"&amp;RIGHT("00000"&amp;445,5))</f>
        <v/>
      </c>
      <c r="T450">
        <f>IF($S450="",0,COUNTIFS($S$6:$S$505,"&lt;"&amp;$S450)-COUNTIFS($S$6:$S$505,"&lt;"&amp;$S450,$R$6:$R$505,"")+1)</f>
        <v/>
      </c>
      <c r="V450">
        <f>IF($K450="","",IF(ISNUMBER(Sync!$AK450),Sync!$AK450,LEFT(Sync!$AK450,4)&amp;MID(Sync!$AK450,6,2)&amp;RIGHT(Sync!$AK450,2))&amp;"|"&amp;"4"&amp;RIGHT("00000"&amp;445,5))</f>
        <v/>
      </c>
      <c r="W450">
        <f>IF($V450="",0,COUNTIFS($V$6:$V$2005,"&lt;"&amp;$V450)-COUNTIFS($V$6:$V$2005,"&lt;"&amp;$V450,$K$6:$K$2005,"")+1)</f>
        <v/>
      </c>
      <c r="X450">
        <f>IF(Sync!$AX450="","",IF(OR(N(Sync!$AY450)=0,N(Sync!$AZ450)=0),"",ROUND(N(Sync!$AY450)*N(Sync!$AZ450),0)))</f>
        <v/>
      </c>
      <c r="Y450">
        <f>IF($X450="","",IF(OR(Sync!$AX450="",COUNTIF(AcctCodesA,Sync!$AX450)=0),"متفرقه",Sync!$AX450))</f>
        <v/>
      </c>
      <c r="Z450">
        <f>IF($X450="","","سبد و ظروف")</f>
        <v/>
      </c>
      <c r="AA450">
        <f>IF($X450="","",$Y450)</f>
        <v/>
      </c>
    </row>
    <row r="451">
      <c r="A451">
        <f>IF(Sync!$Z451="","",LEFT(UPPER(TRIM(Sync!$Z451)),6))</f>
        <v/>
      </c>
      <c r="B451">
        <f>IF($A451="","",IF(Sync!$AA451="","",Sync!$AA451))</f>
        <v/>
      </c>
      <c r="C451">
        <f>IF($A451="","",IF(Sync!$AB451="","",Sync!$AB451))</f>
        <v/>
      </c>
      <c r="D451">
        <f>IF($A451="","",IF(Sync!$AC451="","",Sync!$AC451))</f>
        <v/>
      </c>
      <c r="E451">
        <f>IF($A451="","",IF(Sync!$AD451="","",Sync!$AD451))</f>
        <v/>
      </c>
      <c r="F451">
        <f>IF($A451="","",IF(Sync!$AE451="",0,Sync!$AE451))</f>
        <v/>
      </c>
      <c r="G451">
        <f>IF($A451="","",IF(Sync!$AF451="",0,Sync!$AF451))</f>
        <v/>
      </c>
      <c r="H451">
        <f>IF(OR($A451="",ROUND($F451+$G451,2)=0),"",$F451+$G451)</f>
        <v/>
      </c>
      <c r="I451">
        <f>IF($H451="","",IF(ROUND($F451,2)&gt;0,$A451,IF($D451="شخصی قاسم","شخصی قاسم",IF($D451="هزینه","هزینه: "&amp;IF($E451="","متفرقه",$E451),IF($C451="پاس چک","چک پرداختی",IF(OR($B451="",COUNTIF(AcctCodesA,$B451)=0),"متفرقه",$B451))))))</f>
        <v/>
      </c>
      <c r="J451">
        <f>IF($H451="","",IF(ROUND($F451,2)&gt;0,IF($D451="شخصی قاسم","شخصی قاسم",IF($D451="هزینه","هزینه: "&amp;IF($E451="","متفرقه",$E451),IF(OR($B451="",COUNTIF(AcctCodesA,$B451)=0),"متفرقه",$B451))),$A451))</f>
        <v/>
      </c>
      <c r="K451">
        <f>IF($A451="","",IF(AND($B451&lt;&gt;"",COUNTIF(AcctCodesA,$B451)=0),"کد طرف در INFO تعریف نشده",IF(AND($D451="هزینه",$E451=""),"هزینه بدون زیرگروه",IF(AND($C451="پاس چک",OR(Sync!$AJ451="",COUNTIF(IssueNosA,Sync!$AJ451)=0)),"شماره چک پاس‌شده معتبر نیست",""))))</f>
        <v/>
      </c>
      <c r="M451">
        <f>IF(Sync!$AH451="","",Sync!$AH451)</f>
        <v/>
      </c>
      <c r="N451">
        <f>IF($M451="","",IF(OR(Sync!$AI451="",COUNTIF(AcctCodesA,Sync!$AI451)=0),"متفرقه",Sync!$AI451))</f>
        <v/>
      </c>
      <c r="O451">
        <f>IF($M451="","",$N451)</f>
        <v/>
      </c>
      <c r="P451">
        <f>IF($M451="","","چک پرداختی")</f>
        <v/>
      </c>
      <c r="R451">
        <f>IF($M451="","",IF(COUNTIF(AcctCodesA,Sync!$AI451)=0,"ذی‌نفع چک تعریف‌نشده",""))</f>
        <v/>
      </c>
      <c r="S451">
        <f>IF($R451="","",Sync!$AG451&amp;"|"&amp;"5"&amp;RIGHT("00000"&amp;446,5))</f>
        <v/>
      </c>
      <c r="T451">
        <f>IF($S451="",0,COUNTIFS($S$6:$S$505,"&lt;"&amp;$S451)-COUNTIFS($S$6:$S$505,"&lt;"&amp;$S451,$R$6:$R$505,"")+1)</f>
        <v/>
      </c>
      <c r="V451">
        <f>IF($K451="","",IF(ISNUMBER(Sync!$AK451),Sync!$AK451,LEFT(Sync!$AK451,4)&amp;MID(Sync!$AK451,6,2)&amp;RIGHT(Sync!$AK451,2))&amp;"|"&amp;"4"&amp;RIGHT("00000"&amp;446,5))</f>
        <v/>
      </c>
      <c r="W451">
        <f>IF($V451="",0,COUNTIFS($V$6:$V$2005,"&lt;"&amp;$V451)-COUNTIFS($V$6:$V$2005,"&lt;"&amp;$V451,$K$6:$K$2005,"")+1)</f>
        <v/>
      </c>
      <c r="X451">
        <f>IF(Sync!$AX451="","",IF(OR(N(Sync!$AY451)=0,N(Sync!$AZ451)=0),"",ROUND(N(Sync!$AY451)*N(Sync!$AZ451),0)))</f>
        <v/>
      </c>
      <c r="Y451">
        <f>IF($X451="","",IF(OR(Sync!$AX451="",COUNTIF(AcctCodesA,Sync!$AX451)=0),"متفرقه",Sync!$AX451))</f>
        <v/>
      </c>
      <c r="Z451">
        <f>IF($X451="","","سبد و ظروف")</f>
        <v/>
      </c>
      <c r="AA451">
        <f>IF($X451="","",$Y451)</f>
        <v/>
      </c>
    </row>
    <row r="452">
      <c r="A452">
        <f>IF(Sync!$Z452="","",LEFT(UPPER(TRIM(Sync!$Z452)),6))</f>
        <v/>
      </c>
      <c r="B452">
        <f>IF($A452="","",IF(Sync!$AA452="","",Sync!$AA452))</f>
        <v/>
      </c>
      <c r="C452">
        <f>IF($A452="","",IF(Sync!$AB452="","",Sync!$AB452))</f>
        <v/>
      </c>
      <c r="D452">
        <f>IF($A452="","",IF(Sync!$AC452="","",Sync!$AC452))</f>
        <v/>
      </c>
      <c r="E452">
        <f>IF($A452="","",IF(Sync!$AD452="","",Sync!$AD452))</f>
        <v/>
      </c>
      <c r="F452">
        <f>IF($A452="","",IF(Sync!$AE452="",0,Sync!$AE452))</f>
        <v/>
      </c>
      <c r="G452">
        <f>IF($A452="","",IF(Sync!$AF452="",0,Sync!$AF452))</f>
        <v/>
      </c>
      <c r="H452">
        <f>IF(OR($A452="",ROUND($F452+$G452,2)=0),"",$F452+$G452)</f>
        <v/>
      </c>
      <c r="I452">
        <f>IF($H452="","",IF(ROUND($F452,2)&gt;0,$A452,IF($D452="شخصی قاسم","شخصی قاسم",IF($D452="هزینه","هزینه: "&amp;IF($E452="","متفرقه",$E452),IF($C452="پاس چک","چک پرداختی",IF(OR($B452="",COUNTIF(AcctCodesA,$B452)=0),"متفرقه",$B452))))))</f>
        <v/>
      </c>
      <c r="J452">
        <f>IF($H452="","",IF(ROUND($F452,2)&gt;0,IF($D452="شخصی قاسم","شخصی قاسم",IF($D452="هزینه","هزینه: "&amp;IF($E452="","متفرقه",$E452),IF(OR($B452="",COUNTIF(AcctCodesA,$B452)=0),"متفرقه",$B452))),$A452))</f>
        <v/>
      </c>
      <c r="K452">
        <f>IF($A452="","",IF(AND($B452&lt;&gt;"",COUNTIF(AcctCodesA,$B452)=0),"کد طرف در INFO تعریف نشده",IF(AND($D452="هزینه",$E452=""),"هزینه بدون زیرگروه",IF(AND($C452="پاس چک",OR(Sync!$AJ452="",COUNTIF(IssueNosA,Sync!$AJ452)=0)),"شماره چک پاس‌شده معتبر نیست",""))))</f>
        <v/>
      </c>
      <c r="M452">
        <f>IF(Sync!$AH452="","",Sync!$AH452)</f>
        <v/>
      </c>
      <c r="N452">
        <f>IF($M452="","",IF(OR(Sync!$AI452="",COUNTIF(AcctCodesA,Sync!$AI452)=0),"متفرقه",Sync!$AI452))</f>
        <v/>
      </c>
      <c r="O452">
        <f>IF($M452="","",$N452)</f>
        <v/>
      </c>
      <c r="P452">
        <f>IF($M452="","","چک پرداختی")</f>
        <v/>
      </c>
      <c r="R452">
        <f>IF($M452="","",IF(COUNTIF(AcctCodesA,Sync!$AI452)=0,"ذی‌نفع چک تعریف‌نشده",""))</f>
        <v/>
      </c>
      <c r="S452">
        <f>IF($R452="","",Sync!$AG452&amp;"|"&amp;"5"&amp;RIGHT("00000"&amp;447,5))</f>
        <v/>
      </c>
      <c r="T452">
        <f>IF($S452="",0,COUNTIFS($S$6:$S$505,"&lt;"&amp;$S452)-COUNTIFS($S$6:$S$505,"&lt;"&amp;$S452,$R$6:$R$505,"")+1)</f>
        <v/>
      </c>
      <c r="V452">
        <f>IF($K452="","",IF(ISNUMBER(Sync!$AK452),Sync!$AK452,LEFT(Sync!$AK452,4)&amp;MID(Sync!$AK452,6,2)&amp;RIGHT(Sync!$AK452,2))&amp;"|"&amp;"4"&amp;RIGHT("00000"&amp;447,5))</f>
        <v/>
      </c>
      <c r="W452">
        <f>IF($V452="",0,COUNTIFS($V$6:$V$2005,"&lt;"&amp;$V452)-COUNTIFS($V$6:$V$2005,"&lt;"&amp;$V452,$K$6:$K$2005,"")+1)</f>
        <v/>
      </c>
      <c r="X452">
        <f>IF(Sync!$AX452="","",IF(OR(N(Sync!$AY452)=0,N(Sync!$AZ452)=0),"",ROUND(N(Sync!$AY452)*N(Sync!$AZ452),0)))</f>
        <v/>
      </c>
      <c r="Y452">
        <f>IF($X452="","",IF(OR(Sync!$AX452="",COUNTIF(AcctCodesA,Sync!$AX452)=0),"متفرقه",Sync!$AX452))</f>
        <v/>
      </c>
      <c r="Z452">
        <f>IF($X452="","","سبد و ظروف")</f>
        <v/>
      </c>
      <c r="AA452">
        <f>IF($X452="","",$Y452)</f>
        <v/>
      </c>
    </row>
    <row r="453">
      <c r="A453">
        <f>IF(Sync!$Z453="","",LEFT(UPPER(TRIM(Sync!$Z453)),6))</f>
        <v/>
      </c>
      <c r="B453">
        <f>IF($A453="","",IF(Sync!$AA453="","",Sync!$AA453))</f>
        <v/>
      </c>
      <c r="C453">
        <f>IF($A453="","",IF(Sync!$AB453="","",Sync!$AB453))</f>
        <v/>
      </c>
      <c r="D453">
        <f>IF($A453="","",IF(Sync!$AC453="","",Sync!$AC453))</f>
        <v/>
      </c>
      <c r="E453">
        <f>IF($A453="","",IF(Sync!$AD453="","",Sync!$AD453))</f>
        <v/>
      </c>
      <c r="F453">
        <f>IF($A453="","",IF(Sync!$AE453="",0,Sync!$AE453))</f>
        <v/>
      </c>
      <c r="G453">
        <f>IF($A453="","",IF(Sync!$AF453="",0,Sync!$AF453))</f>
        <v/>
      </c>
      <c r="H453">
        <f>IF(OR($A453="",ROUND($F453+$G453,2)=0),"",$F453+$G453)</f>
        <v/>
      </c>
      <c r="I453">
        <f>IF($H453="","",IF(ROUND($F453,2)&gt;0,$A453,IF($D453="شخصی قاسم","شخصی قاسم",IF($D453="هزینه","هزینه: "&amp;IF($E453="","متفرقه",$E453),IF($C453="پاس چک","چک پرداختی",IF(OR($B453="",COUNTIF(AcctCodesA,$B453)=0),"متفرقه",$B453))))))</f>
        <v/>
      </c>
      <c r="J453">
        <f>IF($H453="","",IF(ROUND($F453,2)&gt;0,IF($D453="شخصی قاسم","شخصی قاسم",IF($D453="هزینه","هزینه: "&amp;IF($E453="","متفرقه",$E453),IF(OR($B453="",COUNTIF(AcctCodesA,$B453)=0),"متفرقه",$B453))),$A453))</f>
        <v/>
      </c>
      <c r="K453">
        <f>IF($A453="","",IF(AND($B453&lt;&gt;"",COUNTIF(AcctCodesA,$B453)=0),"کد طرف در INFO تعریف نشده",IF(AND($D453="هزینه",$E453=""),"هزینه بدون زیرگروه",IF(AND($C453="پاس چک",OR(Sync!$AJ453="",COUNTIF(IssueNosA,Sync!$AJ453)=0)),"شماره چک پاس‌شده معتبر نیست",""))))</f>
        <v/>
      </c>
      <c r="M453">
        <f>IF(Sync!$AH453="","",Sync!$AH453)</f>
        <v/>
      </c>
      <c r="N453">
        <f>IF($M453="","",IF(OR(Sync!$AI453="",COUNTIF(AcctCodesA,Sync!$AI453)=0),"متفرقه",Sync!$AI453))</f>
        <v/>
      </c>
      <c r="O453">
        <f>IF($M453="","",$N453)</f>
        <v/>
      </c>
      <c r="P453">
        <f>IF($M453="","","چک پرداختی")</f>
        <v/>
      </c>
      <c r="R453">
        <f>IF($M453="","",IF(COUNTIF(AcctCodesA,Sync!$AI453)=0,"ذی‌نفع چک تعریف‌نشده",""))</f>
        <v/>
      </c>
      <c r="S453">
        <f>IF($R453="","",Sync!$AG453&amp;"|"&amp;"5"&amp;RIGHT("00000"&amp;448,5))</f>
        <v/>
      </c>
      <c r="T453">
        <f>IF($S453="",0,COUNTIFS($S$6:$S$505,"&lt;"&amp;$S453)-COUNTIFS($S$6:$S$505,"&lt;"&amp;$S453,$R$6:$R$505,"")+1)</f>
        <v/>
      </c>
      <c r="V453">
        <f>IF($K453="","",IF(ISNUMBER(Sync!$AK453),Sync!$AK453,LEFT(Sync!$AK453,4)&amp;MID(Sync!$AK453,6,2)&amp;RIGHT(Sync!$AK453,2))&amp;"|"&amp;"4"&amp;RIGHT("00000"&amp;448,5))</f>
        <v/>
      </c>
      <c r="W453">
        <f>IF($V453="",0,COUNTIFS($V$6:$V$2005,"&lt;"&amp;$V453)-COUNTIFS($V$6:$V$2005,"&lt;"&amp;$V453,$K$6:$K$2005,"")+1)</f>
        <v/>
      </c>
      <c r="X453">
        <f>IF(Sync!$AX453="","",IF(OR(N(Sync!$AY453)=0,N(Sync!$AZ453)=0),"",ROUND(N(Sync!$AY453)*N(Sync!$AZ453),0)))</f>
        <v/>
      </c>
      <c r="Y453">
        <f>IF($X453="","",IF(OR(Sync!$AX453="",COUNTIF(AcctCodesA,Sync!$AX453)=0),"متفرقه",Sync!$AX453))</f>
        <v/>
      </c>
      <c r="Z453">
        <f>IF($X453="","","سبد و ظروف")</f>
        <v/>
      </c>
      <c r="AA453">
        <f>IF($X453="","",$Y453)</f>
        <v/>
      </c>
    </row>
    <row r="454">
      <c r="A454">
        <f>IF(Sync!$Z454="","",LEFT(UPPER(TRIM(Sync!$Z454)),6))</f>
        <v/>
      </c>
      <c r="B454">
        <f>IF($A454="","",IF(Sync!$AA454="","",Sync!$AA454))</f>
        <v/>
      </c>
      <c r="C454">
        <f>IF($A454="","",IF(Sync!$AB454="","",Sync!$AB454))</f>
        <v/>
      </c>
      <c r="D454">
        <f>IF($A454="","",IF(Sync!$AC454="","",Sync!$AC454))</f>
        <v/>
      </c>
      <c r="E454">
        <f>IF($A454="","",IF(Sync!$AD454="","",Sync!$AD454))</f>
        <v/>
      </c>
      <c r="F454">
        <f>IF($A454="","",IF(Sync!$AE454="",0,Sync!$AE454))</f>
        <v/>
      </c>
      <c r="G454">
        <f>IF($A454="","",IF(Sync!$AF454="",0,Sync!$AF454))</f>
        <v/>
      </c>
      <c r="H454">
        <f>IF(OR($A454="",ROUND($F454+$G454,2)=0),"",$F454+$G454)</f>
        <v/>
      </c>
      <c r="I454">
        <f>IF($H454="","",IF(ROUND($F454,2)&gt;0,$A454,IF($D454="شخصی قاسم","شخصی قاسم",IF($D454="هزینه","هزینه: "&amp;IF($E454="","متفرقه",$E454),IF($C454="پاس چک","چک پرداختی",IF(OR($B454="",COUNTIF(AcctCodesA,$B454)=0),"متفرقه",$B454))))))</f>
        <v/>
      </c>
      <c r="J454">
        <f>IF($H454="","",IF(ROUND($F454,2)&gt;0,IF($D454="شخصی قاسم","شخصی قاسم",IF($D454="هزینه","هزینه: "&amp;IF($E454="","متفرقه",$E454),IF(OR($B454="",COUNTIF(AcctCodesA,$B454)=0),"متفرقه",$B454))),$A454))</f>
        <v/>
      </c>
      <c r="K454">
        <f>IF($A454="","",IF(AND($B454&lt;&gt;"",COUNTIF(AcctCodesA,$B454)=0),"کد طرف در INFO تعریف نشده",IF(AND($D454="هزینه",$E454=""),"هزینه بدون زیرگروه",IF(AND($C454="پاس چک",OR(Sync!$AJ454="",COUNTIF(IssueNosA,Sync!$AJ454)=0)),"شماره چک پاس‌شده معتبر نیست",""))))</f>
        <v/>
      </c>
      <c r="M454">
        <f>IF(Sync!$AH454="","",Sync!$AH454)</f>
        <v/>
      </c>
      <c r="N454">
        <f>IF($M454="","",IF(OR(Sync!$AI454="",COUNTIF(AcctCodesA,Sync!$AI454)=0),"متفرقه",Sync!$AI454))</f>
        <v/>
      </c>
      <c r="O454">
        <f>IF($M454="","",$N454)</f>
        <v/>
      </c>
      <c r="P454">
        <f>IF($M454="","","چک پرداختی")</f>
        <v/>
      </c>
      <c r="R454">
        <f>IF($M454="","",IF(COUNTIF(AcctCodesA,Sync!$AI454)=0,"ذی‌نفع چک تعریف‌نشده",""))</f>
        <v/>
      </c>
      <c r="S454">
        <f>IF($R454="","",Sync!$AG454&amp;"|"&amp;"5"&amp;RIGHT("00000"&amp;449,5))</f>
        <v/>
      </c>
      <c r="T454">
        <f>IF($S454="",0,COUNTIFS($S$6:$S$505,"&lt;"&amp;$S454)-COUNTIFS($S$6:$S$505,"&lt;"&amp;$S454,$R$6:$R$505,"")+1)</f>
        <v/>
      </c>
      <c r="V454">
        <f>IF($K454="","",IF(ISNUMBER(Sync!$AK454),Sync!$AK454,LEFT(Sync!$AK454,4)&amp;MID(Sync!$AK454,6,2)&amp;RIGHT(Sync!$AK454,2))&amp;"|"&amp;"4"&amp;RIGHT("00000"&amp;449,5))</f>
        <v/>
      </c>
      <c r="W454">
        <f>IF($V454="",0,COUNTIFS($V$6:$V$2005,"&lt;"&amp;$V454)-COUNTIFS($V$6:$V$2005,"&lt;"&amp;$V454,$K$6:$K$2005,"")+1)</f>
        <v/>
      </c>
      <c r="X454">
        <f>IF(Sync!$AX454="","",IF(OR(N(Sync!$AY454)=0,N(Sync!$AZ454)=0),"",ROUND(N(Sync!$AY454)*N(Sync!$AZ454),0)))</f>
        <v/>
      </c>
      <c r="Y454">
        <f>IF($X454="","",IF(OR(Sync!$AX454="",COUNTIF(AcctCodesA,Sync!$AX454)=0),"متفرقه",Sync!$AX454))</f>
        <v/>
      </c>
      <c r="Z454">
        <f>IF($X454="","","سبد و ظروف")</f>
        <v/>
      </c>
      <c r="AA454">
        <f>IF($X454="","",$Y454)</f>
        <v/>
      </c>
    </row>
    <row r="455">
      <c r="A455">
        <f>IF(Sync!$Z455="","",LEFT(UPPER(TRIM(Sync!$Z455)),6))</f>
        <v/>
      </c>
      <c r="B455">
        <f>IF($A455="","",IF(Sync!$AA455="","",Sync!$AA455))</f>
        <v/>
      </c>
      <c r="C455">
        <f>IF($A455="","",IF(Sync!$AB455="","",Sync!$AB455))</f>
        <v/>
      </c>
      <c r="D455">
        <f>IF($A455="","",IF(Sync!$AC455="","",Sync!$AC455))</f>
        <v/>
      </c>
      <c r="E455">
        <f>IF($A455="","",IF(Sync!$AD455="","",Sync!$AD455))</f>
        <v/>
      </c>
      <c r="F455">
        <f>IF($A455="","",IF(Sync!$AE455="",0,Sync!$AE455))</f>
        <v/>
      </c>
      <c r="G455">
        <f>IF($A455="","",IF(Sync!$AF455="",0,Sync!$AF455))</f>
        <v/>
      </c>
      <c r="H455">
        <f>IF(OR($A455="",ROUND($F455+$G455,2)=0),"",$F455+$G455)</f>
        <v/>
      </c>
      <c r="I455">
        <f>IF($H455="","",IF(ROUND($F455,2)&gt;0,$A455,IF($D455="شخصی قاسم","شخصی قاسم",IF($D455="هزینه","هزینه: "&amp;IF($E455="","متفرقه",$E455),IF($C455="پاس چک","چک پرداختی",IF(OR($B455="",COUNTIF(AcctCodesA,$B455)=0),"متفرقه",$B455))))))</f>
        <v/>
      </c>
      <c r="J455">
        <f>IF($H455="","",IF(ROUND($F455,2)&gt;0,IF($D455="شخصی قاسم","شخصی قاسم",IF($D455="هزینه","هزینه: "&amp;IF($E455="","متفرقه",$E455),IF(OR($B455="",COUNTIF(AcctCodesA,$B455)=0),"متفرقه",$B455))),$A455))</f>
        <v/>
      </c>
      <c r="K455">
        <f>IF($A455="","",IF(AND($B455&lt;&gt;"",COUNTIF(AcctCodesA,$B455)=0),"کد طرف در INFO تعریف نشده",IF(AND($D455="هزینه",$E455=""),"هزینه بدون زیرگروه",IF(AND($C455="پاس چک",OR(Sync!$AJ455="",COUNTIF(IssueNosA,Sync!$AJ455)=0)),"شماره چک پاس‌شده معتبر نیست",""))))</f>
        <v/>
      </c>
      <c r="M455">
        <f>IF(Sync!$AH455="","",Sync!$AH455)</f>
        <v/>
      </c>
      <c r="N455">
        <f>IF($M455="","",IF(OR(Sync!$AI455="",COUNTIF(AcctCodesA,Sync!$AI455)=0),"متفرقه",Sync!$AI455))</f>
        <v/>
      </c>
      <c r="O455">
        <f>IF($M455="","",$N455)</f>
        <v/>
      </c>
      <c r="P455">
        <f>IF($M455="","","چک پرداختی")</f>
        <v/>
      </c>
      <c r="R455">
        <f>IF($M455="","",IF(COUNTIF(AcctCodesA,Sync!$AI455)=0,"ذی‌نفع چک تعریف‌نشده",""))</f>
        <v/>
      </c>
      <c r="S455">
        <f>IF($R455="","",Sync!$AG455&amp;"|"&amp;"5"&amp;RIGHT("00000"&amp;450,5))</f>
        <v/>
      </c>
      <c r="T455">
        <f>IF($S455="",0,COUNTIFS($S$6:$S$505,"&lt;"&amp;$S455)-COUNTIFS($S$6:$S$505,"&lt;"&amp;$S455,$R$6:$R$505,"")+1)</f>
        <v/>
      </c>
      <c r="V455">
        <f>IF($K455="","",IF(ISNUMBER(Sync!$AK455),Sync!$AK455,LEFT(Sync!$AK455,4)&amp;MID(Sync!$AK455,6,2)&amp;RIGHT(Sync!$AK455,2))&amp;"|"&amp;"4"&amp;RIGHT("00000"&amp;450,5))</f>
        <v/>
      </c>
      <c r="W455">
        <f>IF($V455="",0,COUNTIFS($V$6:$V$2005,"&lt;"&amp;$V455)-COUNTIFS($V$6:$V$2005,"&lt;"&amp;$V455,$K$6:$K$2005,"")+1)</f>
        <v/>
      </c>
      <c r="X455">
        <f>IF(Sync!$AX455="","",IF(OR(N(Sync!$AY455)=0,N(Sync!$AZ455)=0),"",ROUND(N(Sync!$AY455)*N(Sync!$AZ455),0)))</f>
        <v/>
      </c>
      <c r="Y455">
        <f>IF($X455="","",IF(OR(Sync!$AX455="",COUNTIF(AcctCodesA,Sync!$AX455)=0),"متفرقه",Sync!$AX455))</f>
        <v/>
      </c>
      <c r="Z455">
        <f>IF($X455="","","سبد و ظروف")</f>
        <v/>
      </c>
      <c r="AA455">
        <f>IF($X455="","",$Y455)</f>
        <v/>
      </c>
    </row>
    <row r="456">
      <c r="A456">
        <f>IF(Sync!$Z456="","",LEFT(UPPER(TRIM(Sync!$Z456)),6))</f>
        <v/>
      </c>
      <c r="B456">
        <f>IF($A456="","",IF(Sync!$AA456="","",Sync!$AA456))</f>
        <v/>
      </c>
      <c r="C456">
        <f>IF($A456="","",IF(Sync!$AB456="","",Sync!$AB456))</f>
        <v/>
      </c>
      <c r="D456">
        <f>IF($A456="","",IF(Sync!$AC456="","",Sync!$AC456))</f>
        <v/>
      </c>
      <c r="E456">
        <f>IF($A456="","",IF(Sync!$AD456="","",Sync!$AD456))</f>
        <v/>
      </c>
      <c r="F456">
        <f>IF($A456="","",IF(Sync!$AE456="",0,Sync!$AE456))</f>
        <v/>
      </c>
      <c r="G456">
        <f>IF($A456="","",IF(Sync!$AF456="",0,Sync!$AF456))</f>
        <v/>
      </c>
      <c r="H456">
        <f>IF(OR($A456="",ROUND($F456+$G456,2)=0),"",$F456+$G456)</f>
        <v/>
      </c>
      <c r="I456">
        <f>IF($H456="","",IF(ROUND($F456,2)&gt;0,$A456,IF($D456="شخصی قاسم","شخصی قاسم",IF($D456="هزینه","هزینه: "&amp;IF($E456="","متفرقه",$E456),IF($C456="پاس چک","چک پرداختی",IF(OR($B456="",COUNTIF(AcctCodesA,$B456)=0),"متفرقه",$B456))))))</f>
        <v/>
      </c>
      <c r="J456">
        <f>IF($H456="","",IF(ROUND($F456,2)&gt;0,IF($D456="شخصی قاسم","شخصی قاسم",IF($D456="هزینه","هزینه: "&amp;IF($E456="","متفرقه",$E456),IF(OR($B456="",COUNTIF(AcctCodesA,$B456)=0),"متفرقه",$B456))),$A456))</f>
        <v/>
      </c>
      <c r="K456">
        <f>IF($A456="","",IF(AND($B456&lt;&gt;"",COUNTIF(AcctCodesA,$B456)=0),"کد طرف در INFO تعریف نشده",IF(AND($D456="هزینه",$E456=""),"هزینه بدون زیرگروه",IF(AND($C456="پاس چک",OR(Sync!$AJ456="",COUNTIF(IssueNosA,Sync!$AJ456)=0)),"شماره چک پاس‌شده معتبر نیست",""))))</f>
        <v/>
      </c>
      <c r="M456">
        <f>IF(Sync!$AH456="","",Sync!$AH456)</f>
        <v/>
      </c>
      <c r="N456">
        <f>IF($M456="","",IF(OR(Sync!$AI456="",COUNTIF(AcctCodesA,Sync!$AI456)=0),"متفرقه",Sync!$AI456))</f>
        <v/>
      </c>
      <c r="O456">
        <f>IF($M456="","",$N456)</f>
        <v/>
      </c>
      <c r="P456">
        <f>IF($M456="","","چک پرداختی")</f>
        <v/>
      </c>
      <c r="R456">
        <f>IF($M456="","",IF(COUNTIF(AcctCodesA,Sync!$AI456)=0,"ذی‌نفع چک تعریف‌نشده",""))</f>
        <v/>
      </c>
      <c r="S456">
        <f>IF($R456="","",Sync!$AG456&amp;"|"&amp;"5"&amp;RIGHT("00000"&amp;451,5))</f>
        <v/>
      </c>
      <c r="T456">
        <f>IF($S456="",0,COUNTIFS($S$6:$S$505,"&lt;"&amp;$S456)-COUNTIFS($S$6:$S$505,"&lt;"&amp;$S456,$R$6:$R$505,"")+1)</f>
        <v/>
      </c>
      <c r="V456">
        <f>IF($K456="","",IF(ISNUMBER(Sync!$AK456),Sync!$AK456,LEFT(Sync!$AK456,4)&amp;MID(Sync!$AK456,6,2)&amp;RIGHT(Sync!$AK456,2))&amp;"|"&amp;"4"&amp;RIGHT("00000"&amp;451,5))</f>
        <v/>
      </c>
      <c r="W456">
        <f>IF($V456="",0,COUNTIFS($V$6:$V$2005,"&lt;"&amp;$V456)-COUNTIFS($V$6:$V$2005,"&lt;"&amp;$V456,$K$6:$K$2005,"")+1)</f>
        <v/>
      </c>
      <c r="X456">
        <f>IF(Sync!$AX456="","",IF(OR(N(Sync!$AY456)=0,N(Sync!$AZ456)=0),"",ROUND(N(Sync!$AY456)*N(Sync!$AZ456),0)))</f>
        <v/>
      </c>
      <c r="Y456">
        <f>IF($X456="","",IF(OR(Sync!$AX456="",COUNTIF(AcctCodesA,Sync!$AX456)=0),"متفرقه",Sync!$AX456))</f>
        <v/>
      </c>
      <c r="Z456">
        <f>IF($X456="","","سبد و ظروف")</f>
        <v/>
      </c>
      <c r="AA456">
        <f>IF($X456="","",$Y456)</f>
        <v/>
      </c>
    </row>
    <row r="457">
      <c r="A457">
        <f>IF(Sync!$Z457="","",LEFT(UPPER(TRIM(Sync!$Z457)),6))</f>
        <v/>
      </c>
      <c r="B457">
        <f>IF($A457="","",IF(Sync!$AA457="","",Sync!$AA457))</f>
        <v/>
      </c>
      <c r="C457">
        <f>IF($A457="","",IF(Sync!$AB457="","",Sync!$AB457))</f>
        <v/>
      </c>
      <c r="D457">
        <f>IF($A457="","",IF(Sync!$AC457="","",Sync!$AC457))</f>
        <v/>
      </c>
      <c r="E457">
        <f>IF($A457="","",IF(Sync!$AD457="","",Sync!$AD457))</f>
        <v/>
      </c>
      <c r="F457">
        <f>IF($A457="","",IF(Sync!$AE457="",0,Sync!$AE457))</f>
        <v/>
      </c>
      <c r="G457">
        <f>IF($A457="","",IF(Sync!$AF457="",0,Sync!$AF457))</f>
        <v/>
      </c>
      <c r="H457">
        <f>IF(OR($A457="",ROUND($F457+$G457,2)=0),"",$F457+$G457)</f>
        <v/>
      </c>
      <c r="I457">
        <f>IF($H457="","",IF(ROUND($F457,2)&gt;0,$A457,IF($D457="شخصی قاسم","شخصی قاسم",IF($D457="هزینه","هزینه: "&amp;IF($E457="","متفرقه",$E457),IF($C457="پاس چک","چک پرداختی",IF(OR($B457="",COUNTIF(AcctCodesA,$B457)=0),"متفرقه",$B457))))))</f>
        <v/>
      </c>
      <c r="J457">
        <f>IF($H457="","",IF(ROUND($F457,2)&gt;0,IF($D457="شخصی قاسم","شخصی قاسم",IF($D457="هزینه","هزینه: "&amp;IF($E457="","متفرقه",$E457),IF(OR($B457="",COUNTIF(AcctCodesA,$B457)=0),"متفرقه",$B457))),$A457))</f>
        <v/>
      </c>
      <c r="K457">
        <f>IF($A457="","",IF(AND($B457&lt;&gt;"",COUNTIF(AcctCodesA,$B457)=0),"کد طرف در INFO تعریف نشده",IF(AND($D457="هزینه",$E457=""),"هزینه بدون زیرگروه",IF(AND($C457="پاس چک",OR(Sync!$AJ457="",COUNTIF(IssueNosA,Sync!$AJ457)=0)),"شماره چک پاس‌شده معتبر نیست",""))))</f>
        <v/>
      </c>
      <c r="M457">
        <f>IF(Sync!$AH457="","",Sync!$AH457)</f>
        <v/>
      </c>
      <c r="N457">
        <f>IF($M457="","",IF(OR(Sync!$AI457="",COUNTIF(AcctCodesA,Sync!$AI457)=0),"متفرقه",Sync!$AI457))</f>
        <v/>
      </c>
      <c r="O457">
        <f>IF($M457="","",$N457)</f>
        <v/>
      </c>
      <c r="P457">
        <f>IF($M457="","","چک پرداختی")</f>
        <v/>
      </c>
      <c r="R457">
        <f>IF($M457="","",IF(COUNTIF(AcctCodesA,Sync!$AI457)=0,"ذی‌نفع چک تعریف‌نشده",""))</f>
        <v/>
      </c>
      <c r="S457">
        <f>IF($R457="","",Sync!$AG457&amp;"|"&amp;"5"&amp;RIGHT("00000"&amp;452,5))</f>
        <v/>
      </c>
      <c r="T457">
        <f>IF($S457="",0,COUNTIFS($S$6:$S$505,"&lt;"&amp;$S457)-COUNTIFS($S$6:$S$505,"&lt;"&amp;$S457,$R$6:$R$505,"")+1)</f>
        <v/>
      </c>
      <c r="V457">
        <f>IF($K457="","",IF(ISNUMBER(Sync!$AK457),Sync!$AK457,LEFT(Sync!$AK457,4)&amp;MID(Sync!$AK457,6,2)&amp;RIGHT(Sync!$AK457,2))&amp;"|"&amp;"4"&amp;RIGHT("00000"&amp;452,5))</f>
        <v/>
      </c>
      <c r="W457">
        <f>IF($V457="",0,COUNTIFS($V$6:$V$2005,"&lt;"&amp;$V457)-COUNTIFS($V$6:$V$2005,"&lt;"&amp;$V457,$K$6:$K$2005,"")+1)</f>
        <v/>
      </c>
      <c r="X457">
        <f>IF(Sync!$AX457="","",IF(OR(N(Sync!$AY457)=0,N(Sync!$AZ457)=0),"",ROUND(N(Sync!$AY457)*N(Sync!$AZ457),0)))</f>
        <v/>
      </c>
      <c r="Y457">
        <f>IF($X457="","",IF(OR(Sync!$AX457="",COUNTIF(AcctCodesA,Sync!$AX457)=0),"متفرقه",Sync!$AX457))</f>
        <v/>
      </c>
      <c r="Z457">
        <f>IF($X457="","","سبد و ظروف")</f>
        <v/>
      </c>
      <c r="AA457">
        <f>IF($X457="","",$Y457)</f>
        <v/>
      </c>
    </row>
    <row r="458">
      <c r="A458">
        <f>IF(Sync!$Z458="","",LEFT(UPPER(TRIM(Sync!$Z458)),6))</f>
        <v/>
      </c>
      <c r="B458">
        <f>IF($A458="","",IF(Sync!$AA458="","",Sync!$AA458))</f>
        <v/>
      </c>
      <c r="C458">
        <f>IF($A458="","",IF(Sync!$AB458="","",Sync!$AB458))</f>
        <v/>
      </c>
      <c r="D458">
        <f>IF($A458="","",IF(Sync!$AC458="","",Sync!$AC458))</f>
        <v/>
      </c>
      <c r="E458">
        <f>IF($A458="","",IF(Sync!$AD458="","",Sync!$AD458))</f>
        <v/>
      </c>
      <c r="F458">
        <f>IF($A458="","",IF(Sync!$AE458="",0,Sync!$AE458))</f>
        <v/>
      </c>
      <c r="G458">
        <f>IF($A458="","",IF(Sync!$AF458="",0,Sync!$AF458))</f>
        <v/>
      </c>
      <c r="H458">
        <f>IF(OR($A458="",ROUND($F458+$G458,2)=0),"",$F458+$G458)</f>
        <v/>
      </c>
      <c r="I458">
        <f>IF($H458="","",IF(ROUND($F458,2)&gt;0,$A458,IF($D458="شخصی قاسم","شخصی قاسم",IF($D458="هزینه","هزینه: "&amp;IF($E458="","متفرقه",$E458),IF($C458="پاس چک","چک پرداختی",IF(OR($B458="",COUNTIF(AcctCodesA,$B458)=0),"متفرقه",$B458))))))</f>
        <v/>
      </c>
      <c r="J458">
        <f>IF($H458="","",IF(ROUND($F458,2)&gt;0,IF($D458="شخصی قاسم","شخصی قاسم",IF($D458="هزینه","هزینه: "&amp;IF($E458="","متفرقه",$E458),IF(OR($B458="",COUNTIF(AcctCodesA,$B458)=0),"متفرقه",$B458))),$A458))</f>
        <v/>
      </c>
      <c r="K458">
        <f>IF($A458="","",IF(AND($B458&lt;&gt;"",COUNTIF(AcctCodesA,$B458)=0),"کد طرف در INFO تعریف نشده",IF(AND($D458="هزینه",$E458=""),"هزینه بدون زیرگروه",IF(AND($C458="پاس چک",OR(Sync!$AJ458="",COUNTIF(IssueNosA,Sync!$AJ458)=0)),"شماره چک پاس‌شده معتبر نیست",""))))</f>
        <v/>
      </c>
      <c r="M458">
        <f>IF(Sync!$AH458="","",Sync!$AH458)</f>
        <v/>
      </c>
      <c r="N458">
        <f>IF($M458="","",IF(OR(Sync!$AI458="",COUNTIF(AcctCodesA,Sync!$AI458)=0),"متفرقه",Sync!$AI458))</f>
        <v/>
      </c>
      <c r="O458">
        <f>IF($M458="","",$N458)</f>
        <v/>
      </c>
      <c r="P458">
        <f>IF($M458="","","چک پرداختی")</f>
        <v/>
      </c>
      <c r="R458">
        <f>IF($M458="","",IF(COUNTIF(AcctCodesA,Sync!$AI458)=0,"ذی‌نفع چک تعریف‌نشده",""))</f>
        <v/>
      </c>
      <c r="S458">
        <f>IF($R458="","",Sync!$AG458&amp;"|"&amp;"5"&amp;RIGHT("00000"&amp;453,5))</f>
        <v/>
      </c>
      <c r="T458">
        <f>IF($S458="",0,COUNTIFS($S$6:$S$505,"&lt;"&amp;$S458)-COUNTIFS($S$6:$S$505,"&lt;"&amp;$S458,$R$6:$R$505,"")+1)</f>
        <v/>
      </c>
      <c r="V458">
        <f>IF($K458="","",IF(ISNUMBER(Sync!$AK458),Sync!$AK458,LEFT(Sync!$AK458,4)&amp;MID(Sync!$AK458,6,2)&amp;RIGHT(Sync!$AK458,2))&amp;"|"&amp;"4"&amp;RIGHT("00000"&amp;453,5))</f>
        <v/>
      </c>
      <c r="W458">
        <f>IF($V458="",0,COUNTIFS($V$6:$V$2005,"&lt;"&amp;$V458)-COUNTIFS($V$6:$V$2005,"&lt;"&amp;$V458,$K$6:$K$2005,"")+1)</f>
        <v/>
      </c>
      <c r="X458">
        <f>IF(Sync!$AX458="","",IF(OR(N(Sync!$AY458)=0,N(Sync!$AZ458)=0),"",ROUND(N(Sync!$AY458)*N(Sync!$AZ458),0)))</f>
        <v/>
      </c>
      <c r="Y458">
        <f>IF($X458="","",IF(OR(Sync!$AX458="",COUNTIF(AcctCodesA,Sync!$AX458)=0),"متفرقه",Sync!$AX458))</f>
        <v/>
      </c>
      <c r="Z458">
        <f>IF($X458="","","سبد و ظروف")</f>
        <v/>
      </c>
      <c r="AA458">
        <f>IF($X458="","",$Y458)</f>
        <v/>
      </c>
    </row>
    <row r="459">
      <c r="A459">
        <f>IF(Sync!$Z459="","",LEFT(UPPER(TRIM(Sync!$Z459)),6))</f>
        <v/>
      </c>
      <c r="B459">
        <f>IF($A459="","",IF(Sync!$AA459="","",Sync!$AA459))</f>
        <v/>
      </c>
      <c r="C459">
        <f>IF($A459="","",IF(Sync!$AB459="","",Sync!$AB459))</f>
        <v/>
      </c>
      <c r="D459">
        <f>IF($A459="","",IF(Sync!$AC459="","",Sync!$AC459))</f>
        <v/>
      </c>
      <c r="E459">
        <f>IF($A459="","",IF(Sync!$AD459="","",Sync!$AD459))</f>
        <v/>
      </c>
      <c r="F459">
        <f>IF($A459="","",IF(Sync!$AE459="",0,Sync!$AE459))</f>
        <v/>
      </c>
      <c r="G459">
        <f>IF($A459="","",IF(Sync!$AF459="",0,Sync!$AF459))</f>
        <v/>
      </c>
      <c r="H459">
        <f>IF(OR($A459="",ROUND($F459+$G459,2)=0),"",$F459+$G459)</f>
        <v/>
      </c>
      <c r="I459">
        <f>IF($H459="","",IF(ROUND($F459,2)&gt;0,$A459,IF($D459="شخصی قاسم","شخصی قاسم",IF($D459="هزینه","هزینه: "&amp;IF($E459="","متفرقه",$E459),IF($C459="پاس چک","چک پرداختی",IF(OR($B459="",COUNTIF(AcctCodesA,$B459)=0),"متفرقه",$B459))))))</f>
        <v/>
      </c>
      <c r="J459">
        <f>IF($H459="","",IF(ROUND($F459,2)&gt;0,IF($D459="شخصی قاسم","شخصی قاسم",IF($D459="هزینه","هزینه: "&amp;IF($E459="","متفرقه",$E459),IF(OR($B459="",COUNTIF(AcctCodesA,$B459)=0),"متفرقه",$B459))),$A459))</f>
        <v/>
      </c>
      <c r="K459">
        <f>IF($A459="","",IF(AND($B459&lt;&gt;"",COUNTIF(AcctCodesA,$B459)=0),"کد طرف در INFO تعریف نشده",IF(AND($D459="هزینه",$E459=""),"هزینه بدون زیرگروه",IF(AND($C459="پاس چک",OR(Sync!$AJ459="",COUNTIF(IssueNosA,Sync!$AJ459)=0)),"شماره چک پاس‌شده معتبر نیست",""))))</f>
        <v/>
      </c>
      <c r="M459">
        <f>IF(Sync!$AH459="","",Sync!$AH459)</f>
        <v/>
      </c>
      <c r="N459">
        <f>IF($M459="","",IF(OR(Sync!$AI459="",COUNTIF(AcctCodesA,Sync!$AI459)=0),"متفرقه",Sync!$AI459))</f>
        <v/>
      </c>
      <c r="O459">
        <f>IF($M459="","",$N459)</f>
        <v/>
      </c>
      <c r="P459">
        <f>IF($M459="","","چک پرداختی")</f>
        <v/>
      </c>
      <c r="R459">
        <f>IF($M459="","",IF(COUNTIF(AcctCodesA,Sync!$AI459)=0,"ذی‌نفع چک تعریف‌نشده",""))</f>
        <v/>
      </c>
      <c r="S459">
        <f>IF($R459="","",Sync!$AG459&amp;"|"&amp;"5"&amp;RIGHT("00000"&amp;454,5))</f>
        <v/>
      </c>
      <c r="T459">
        <f>IF($S459="",0,COUNTIFS($S$6:$S$505,"&lt;"&amp;$S459)-COUNTIFS($S$6:$S$505,"&lt;"&amp;$S459,$R$6:$R$505,"")+1)</f>
        <v/>
      </c>
      <c r="V459">
        <f>IF($K459="","",IF(ISNUMBER(Sync!$AK459),Sync!$AK459,LEFT(Sync!$AK459,4)&amp;MID(Sync!$AK459,6,2)&amp;RIGHT(Sync!$AK459,2))&amp;"|"&amp;"4"&amp;RIGHT("00000"&amp;454,5))</f>
        <v/>
      </c>
      <c r="W459">
        <f>IF($V459="",0,COUNTIFS($V$6:$V$2005,"&lt;"&amp;$V459)-COUNTIFS($V$6:$V$2005,"&lt;"&amp;$V459,$K$6:$K$2005,"")+1)</f>
        <v/>
      </c>
      <c r="X459">
        <f>IF(Sync!$AX459="","",IF(OR(N(Sync!$AY459)=0,N(Sync!$AZ459)=0),"",ROUND(N(Sync!$AY459)*N(Sync!$AZ459),0)))</f>
        <v/>
      </c>
      <c r="Y459">
        <f>IF($X459="","",IF(OR(Sync!$AX459="",COUNTIF(AcctCodesA,Sync!$AX459)=0),"متفرقه",Sync!$AX459))</f>
        <v/>
      </c>
      <c r="Z459">
        <f>IF($X459="","","سبد و ظروف")</f>
        <v/>
      </c>
      <c r="AA459">
        <f>IF($X459="","",$Y459)</f>
        <v/>
      </c>
    </row>
    <row r="460">
      <c r="A460">
        <f>IF(Sync!$Z460="","",LEFT(UPPER(TRIM(Sync!$Z460)),6))</f>
        <v/>
      </c>
      <c r="B460">
        <f>IF($A460="","",IF(Sync!$AA460="","",Sync!$AA460))</f>
        <v/>
      </c>
      <c r="C460">
        <f>IF($A460="","",IF(Sync!$AB460="","",Sync!$AB460))</f>
        <v/>
      </c>
      <c r="D460">
        <f>IF($A460="","",IF(Sync!$AC460="","",Sync!$AC460))</f>
        <v/>
      </c>
      <c r="E460">
        <f>IF($A460="","",IF(Sync!$AD460="","",Sync!$AD460))</f>
        <v/>
      </c>
      <c r="F460">
        <f>IF($A460="","",IF(Sync!$AE460="",0,Sync!$AE460))</f>
        <v/>
      </c>
      <c r="G460">
        <f>IF($A460="","",IF(Sync!$AF460="",0,Sync!$AF460))</f>
        <v/>
      </c>
      <c r="H460">
        <f>IF(OR($A460="",ROUND($F460+$G460,2)=0),"",$F460+$G460)</f>
        <v/>
      </c>
      <c r="I460">
        <f>IF($H460="","",IF(ROUND($F460,2)&gt;0,$A460,IF($D460="شخصی قاسم","شخصی قاسم",IF($D460="هزینه","هزینه: "&amp;IF($E460="","متفرقه",$E460),IF($C460="پاس چک","چک پرداختی",IF(OR($B460="",COUNTIF(AcctCodesA,$B460)=0),"متفرقه",$B460))))))</f>
        <v/>
      </c>
      <c r="J460">
        <f>IF($H460="","",IF(ROUND($F460,2)&gt;0,IF($D460="شخصی قاسم","شخصی قاسم",IF($D460="هزینه","هزینه: "&amp;IF($E460="","متفرقه",$E460),IF(OR($B460="",COUNTIF(AcctCodesA,$B460)=0),"متفرقه",$B460))),$A460))</f>
        <v/>
      </c>
      <c r="K460">
        <f>IF($A460="","",IF(AND($B460&lt;&gt;"",COUNTIF(AcctCodesA,$B460)=0),"کد طرف در INFO تعریف نشده",IF(AND($D460="هزینه",$E460=""),"هزینه بدون زیرگروه",IF(AND($C460="پاس چک",OR(Sync!$AJ460="",COUNTIF(IssueNosA,Sync!$AJ460)=0)),"شماره چک پاس‌شده معتبر نیست",""))))</f>
        <v/>
      </c>
      <c r="M460">
        <f>IF(Sync!$AH460="","",Sync!$AH460)</f>
        <v/>
      </c>
      <c r="N460">
        <f>IF($M460="","",IF(OR(Sync!$AI460="",COUNTIF(AcctCodesA,Sync!$AI460)=0),"متفرقه",Sync!$AI460))</f>
        <v/>
      </c>
      <c r="O460">
        <f>IF($M460="","",$N460)</f>
        <v/>
      </c>
      <c r="P460">
        <f>IF($M460="","","چک پرداختی")</f>
        <v/>
      </c>
      <c r="R460">
        <f>IF($M460="","",IF(COUNTIF(AcctCodesA,Sync!$AI460)=0,"ذی‌نفع چک تعریف‌نشده",""))</f>
        <v/>
      </c>
      <c r="S460">
        <f>IF($R460="","",Sync!$AG460&amp;"|"&amp;"5"&amp;RIGHT("00000"&amp;455,5))</f>
        <v/>
      </c>
      <c r="T460">
        <f>IF($S460="",0,COUNTIFS($S$6:$S$505,"&lt;"&amp;$S460)-COUNTIFS($S$6:$S$505,"&lt;"&amp;$S460,$R$6:$R$505,"")+1)</f>
        <v/>
      </c>
      <c r="V460">
        <f>IF($K460="","",IF(ISNUMBER(Sync!$AK460),Sync!$AK460,LEFT(Sync!$AK460,4)&amp;MID(Sync!$AK460,6,2)&amp;RIGHT(Sync!$AK460,2))&amp;"|"&amp;"4"&amp;RIGHT("00000"&amp;455,5))</f>
        <v/>
      </c>
      <c r="W460">
        <f>IF($V460="",0,COUNTIFS($V$6:$V$2005,"&lt;"&amp;$V460)-COUNTIFS($V$6:$V$2005,"&lt;"&amp;$V460,$K$6:$K$2005,"")+1)</f>
        <v/>
      </c>
      <c r="X460">
        <f>IF(Sync!$AX460="","",IF(OR(N(Sync!$AY460)=0,N(Sync!$AZ460)=0),"",ROUND(N(Sync!$AY460)*N(Sync!$AZ460),0)))</f>
        <v/>
      </c>
      <c r="Y460">
        <f>IF($X460="","",IF(OR(Sync!$AX460="",COUNTIF(AcctCodesA,Sync!$AX460)=0),"متفرقه",Sync!$AX460))</f>
        <v/>
      </c>
      <c r="Z460">
        <f>IF($X460="","","سبد و ظروف")</f>
        <v/>
      </c>
      <c r="AA460">
        <f>IF($X460="","",$Y460)</f>
        <v/>
      </c>
    </row>
    <row r="461">
      <c r="A461">
        <f>IF(Sync!$Z461="","",LEFT(UPPER(TRIM(Sync!$Z461)),6))</f>
        <v/>
      </c>
      <c r="B461">
        <f>IF($A461="","",IF(Sync!$AA461="","",Sync!$AA461))</f>
        <v/>
      </c>
      <c r="C461">
        <f>IF($A461="","",IF(Sync!$AB461="","",Sync!$AB461))</f>
        <v/>
      </c>
      <c r="D461">
        <f>IF($A461="","",IF(Sync!$AC461="","",Sync!$AC461))</f>
        <v/>
      </c>
      <c r="E461">
        <f>IF($A461="","",IF(Sync!$AD461="","",Sync!$AD461))</f>
        <v/>
      </c>
      <c r="F461">
        <f>IF($A461="","",IF(Sync!$AE461="",0,Sync!$AE461))</f>
        <v/>
      </c>
      <c r="G461">
        <f>IF($A461="","",IF(Sync!$AF461="",0,Sync!$AF461))</f>
        <v/>
      </c>
      <c r="H461">
        <f>IF(OR($A461="",ROUND($F461+$G461,2)=0),"",$F461+$G461)</f>
        <v/>
      </c>
      <c r="I461">
        <f>IF($H461="","",IF(ROUND($F461,2)&gt;0,$A461,IF($D461="شخصی قاسم","شخصی قاسم",IF($D461="هزینه","هزینه: "&amp;IF($E461="","متفرقه",$E461),IF($C461="پاس چک","چک پرداختی",IF(OR($B461="",COUNTIF(AcctCodesA,$B461)=0),"متفرقه",$B461))))))</f>
        <v/>
      </c>
      <c r="J461">
        <f>IF($H461="","",IF(ROUND($F461,2)&gt;0,IF($D461="شخصی قاسم","شخصی قاسم",IF($D461="هزینه","هزینه: "&amp;IF($E461="","متفرقه",$E461),IF(OR($B461="",COUNTIF(AcctCodesA,$B461)=0),"متفرقه",$B461))),$A461))</f>
        <v/>
      </c>
      <c r="K461">
        <f>IF($A461="","",IF(AND($B461&lt;&gt;"",COUNTIF(AcctCodesA,$B461)=0),"کد طرف در INFO تعریف نشده",IF(AND($D461="هزینه",$E461=""),"هزینه بدون زیرگروه",IF(AND($C461="پاس چک",OR(Sync!$AJ461="",COUNTIF(IssueNosA,Sync!$AJ461)=0)),"شماره چک پاس‌شده معتبر نیست",""))))</f>
        <v/>
      </c>
      <c r="M461">
        <f>IF(Sync!$AH461="","",Sync!$AH461)</f>
        <v/>
      </c>
      <c r="N461">
        <f>IF($M461="","",IF(OR(Sync!$AI461="",COUNTIF(AcctCodesA,Sync!$AI461)=0),"متفرقه",Sync!$AI461))</f>
        <v/>
      </c>
      <c r="O461">
        <f>IF($M461="","",$N461)</f>
        <v/>
      </c>
      <c r="P461">
        <f>IF($M461="","","چک پرداختی")</f>
        <v/>
      </c>
      <c r="R461">
        <f>IF($M461="","",IF(COUNTIF(AcctCodesA,Sync!$AI461)=0,"ذی‌نفع چک تعریف‌نشده",""))</f>
        <v/>
      </c>
      <c r="S461">
        <f>IF($R461="","",Sync!$AG461&amp;"|"&amp;"5"&amp;RIGHT("00000"&amp;456,5))</f>
        <v/>
      </c>
      <c r="T461">
        <f>IF($S461="",0,COUNTIFS($S$6:$S$505,"&lt;"&amp;$S461)-COUNTIFS($S$6:$S$505,"&lt;"&amp;$S461,$R$6:$R$505,"")+1)</f>
        <v/>
      </c>
      <c r="V461">
        <f>IF($K461="","",IF(ISNUMBER(Sync!$AK461),Sync!$AK461,LEFT(Sync!$AK461,4)&amp;MID(Sync!$AK461,6,2)&amp;RIGHT(Sync!$AK461,2))&amp;"|"&amp;"4"&amp;RIGHT("00000"&amp;456,5))</f>
        <v/>
      </c>
      <c r="W461">
        <f>IF($V461="",0,COUNTIFS($V$6:$V$2005,"&lt;"&amp;$V461)-COUNTIFS($V$6:$V$2005,"&lt;"&amp;$V461,$K$6:$K$2005,"")+1)</f>
        <v/>
      </c>
      <c r="X461">
        <f>IF(Sync!$AX461="","",IF(OR(N(Sync!$AY461)=0,N(Sync!$AZ461)=0),"",ROUND(N(Sync!$AY461)*N(Sync!$AZ461),0)))</f>
        <v/>
      </c>
      <c r="Y461">
        <f>IF($X461="","",IF(OR(Sync!$AX461="",COUNTIF(AcctCodesA,Sync!$AX461)=0),"متفرقه",Sync!$AX461))</f>
        <v/>
      </c>
      <c r="Z461">
        <f>IF($X461="","","سبد و ظروف")</f>
        <v/>
      </c>
      <c r="AA461">
        <f>IF($X461="","",$Y461)</f>
        <v/>
      </c>
    </row>
    <row r="462">
      <c r="A462">
        <f>IF(Sync!$Z462="","",LEFT(UPPER(TRIM(Sync!$Z462)),6))</f>
        <v/>
      </c>
      <c r="B462">
        <f>IF($A462="","",IF(Sync!$AA462="","",Sync!$AA462))</f>
        <v/>
      </c>
      <c r="C462">
        <f>IF($A462="","",IF(Sync!$AB462="","",Sync!$AB462))</f>
        <v/>
      </c>
      <c r="D462">
        <f>IF($A462="","",IF(Sync!$AC462="","",Sync!$AC462))</f>
        <v/>
      </c>
      <c r="E462">
        <f>IF($A462="","",IF(Sync!$AD462="","",Sync!$AD462))</f>
        <v/>
      </c>
      <c r="F462">
        <f>IF($A462="","",IF(Sync!$AE462="",0,Sync!$AE462))</f>
        <v/>
      </c>
      <c r="G462">
        <f>IF($A462="","",IF(Sync!$AF462="",0,Sync!$AF462))</f>
        <v/>
      </c>
      <c r="H462">
        <f>IF(OR($A462="",ROUND($F462+$G462,2)=0),"",$F462+$G462)</f>
        <v/>
      </c>
      <c r="I462">
        <f>IF($H462="","",IF(ROUND($F462,2)&gt;0,$A462,IF($D462="شخصی قاسم","شخصی قاسم",IF($D462="هزینه","هزینه: "&amp;IF($E462="","متفرقه",$E462),IF($C462="پاس چک","چک پرداختی",IF(OR($B462="",COUNTIF(AcctCodesA,$B462)=0),"متفرقه",$B462))))))</f>
        <v/>
      </c>
      <c r="J462">
        <f>IF($H462="","",IF(ROUND($F462,2)&gt;0,IF($D462="شخصی قاسم","شخصی قاسم",IF($D462="هزینه","هزینه: "&amp;IF($E462="","متفرقه",$E462),IF(OR($B462="",COUNTIF(AcctCodesA,$B462)=0),"متفرقه",$B462))),$A462))</f>
        <v/>
      </c>
      <c r="K462">
        <f>IF($A462="","",IF(AND($B462&lt;&gt;"",COUNTIF(AcctCodesA,$B462)=0),"کد طرف در INFO تعریف نشده",IF(AND($D462="هزینه",$E462=""),"هزینه بدون زیرگروه",IF(AND($C462="پاس چک",OR(Sync!$AJ462="",COUNTIF(IssueNosA,Sync!$AJ462)=0)),"شماره چک پاس‌شده معتبر نیست",""))))</f>
        <v/>
      </c>
      <c r="M462">
        <f>IF(Sync!$AH462="","",Sync!$AH462)</f>
        <v/>
      </c>
      <c r="N462">
        <f>IF($M462="","",IF(OR(Sync!$AI462="",COUNTIF(AcctCodesA,Sync!$AI462)=0),"متفرقه",Sync!$AI462))</f>
        <v/>
      </c>
      <c r="O462">
        <f>IF($M462="","",$N462)</f>
        <v/>
      </c>
      <c r="P462">
        <f>IF($M462="","","چک پرداختی")</f>
        <v/>
      </c>
      <c r="R462">
        <f>IF($M462="","",IF(COUNTIF(AcctCodesA,Sync!$AI462)=0,"ذی‌نفع چک تعریف‌نشده",""))</f>
        <v/>
      </c>
      <c r="S462">
        <f>IF($R462="","",Sync!$AG462&amp;"|"&amp;"5"&amp;RIGHT("00000"&amp;457,5))</f>
        <v/>
      </c>
      <c r="T462">
        <f>IF($S462="",0,COUNTIFS($S$6:$S$505,"&lt;"&amp;$S462)-COUNTIFS($S$6:$S$505,"&lt;"&amp;$S462,$R$6:$R$505,"")+1)</f>
        <v/>
      </c>
      <c r="V462">
        <f>IF($K462="","",IF(ISNUMBER(Sync!$AK462),Sync!$AK462,LEFT(Sync!$AK462,4)&amp;MID(Sync!$AK462,6,2)&amp;RIGHT(Sync!$AK462,2))&amp;"|"&amp;"4"&amp;RIGHT("00000"&amp;457,5))</f>
        <v/>
      </c>
      <c r="W462">
        <f>IF($V462="",0,COUNTIFS($V$6:$V$2005,"&lt;"&amp;$V462)-COUNTIFS($V$6:$V$2005,"&lt;"&amp;$V462,$K$6:$K$2005,"")+1)</f>
        <v/>
      </c>
      <c r="X462">
        <f>IF(Sync!$AX462="","",IF(OR(N(Sync!$AY462)=0,N(Sync!$AZ462)=0),"",ROUND(N(Sync!$AY462)*N(Sync!$AZ462),0)))</f>
        <v/>
      </c>
      <c r="Y462">
        <f>IF($X462="","",IF(OR(Sync!$AX462="",COUNTIF(AcctCodesA,Sync!$AX462)=0),"متفرقه",Sync!$AX462))</f>
        <v/>
      </c>
      <c r="Z462">
        <f>IF($X462="","","سبد و ظروف")</f>
        <v/>
      </c>
      <c r="AA462">
        <f>IF($X462="","",$Y462)</f>
        <v/>
      </c>
    </row>
    <row r="463">
      <c r="A463">
        <f>IF(Sync!$Z463="","",LEFT(UPPER(TRIM(Sync!$Z463)),6))</f>
        <v/>
      </c>
      <c r="B463">
        <f>IF($A463="","",IF(Sync!$AA463="","",Sync!$AA463))</f>
        <v/>
      </c>
      <c r="C463">
        <f>IF($A463="","",IF(Sync!$AB463="","",Sync!$AB463))</f>
        <v/>
      </c>
      <c r="D463">
        <f>IF($A463="","",IF(Sync!$AC463="","",Sync!$AC463))</f>
        <v/>
      </c>
      <c r="E463">
        <f>IF($A463="","",IF(Sync!$AD463="","",Sync!$AD463))</f>
        <v/>
      </c>
      <c r="F463">
        <f>IF($A463="","",IF(Sync!$AE463="",0,Sync!$AE463))</f>
        <v/>
      </c>
      <c r="G463">
        <f>IF($A463="","",IF(Sync!$AF463="",0,Sync!$AF463))</f>
        <v/>
      </c>
      <c r="H463">
        <f>IF(OR($A463="",ROUND($F463+$G463,2)=0),"",$F463+$G463)</f>
        <v/>
      </c>
      <c r="I463">
        <f>IF($H463="","",IF(ROUND($F463,2)&gt;0,$A463,IF($D463="شخصی قاسم","شخصی قاسم",IF($D463="هزینه","هزینه: "&amp;IF($E463="","متفرقه",$E463),IF($C463="پاس چک","چک پرداختی",IF(OR($B463="",COUNTIF(AcctCodesA,$B463)=0),"متفرقه",$B463))))))</f>
        <v/>
      </c>
      <c r="J463">
        <f>IF($H463="","",IF(ROUND($F463,2)&gt;0,IF($D463="شخصی قاسم","شخصی قاسم",IF($D463="هزینه","هزینه: "&amp;IF($E463="","متفرقه",$E463),IF(OR($B463="",COUNTIF(AcctCodesA,$B463)=0),"متفرقه",$B463))),$A463))</f>
        <v/>
      </c>
      <c r="K463">
        <f>IF($A463="","",IF(AND($B463&lt;&gt;"",COUNTIF(AcctCodesA,$B463)=0),"کد طرف در INFO تعریف نشده",IF(AND($D463="هزینه",$E463=""),"هزینه بدون زیرگروه",IF(AND($C463="پاس چک",OR(Sync!$AJ463="",COUNTIF(IssueNosA,Sync!$AJ463)=0)),"شماره چک پاس‌شده معتبر نیست",""))))</f>
        <v/>
      </c>
      <c r="M463">
        <f>IF(Sync!$AH463="","",Sync!$AH463)</f>
        <v/>
      </c>
      <c r="N463">
        <f>IF($M463="","",IF(OR(Sync!$AI463="",COUNTIF(AcctCodesA,Sync!$AI463)=0),"متفرقه",Sync!$AI463))</f>
        <v/>
      </c>
      <c r="O463">
        <f>IF($M463="","",$N463)</f>
        <v/>
      </c>
      <c r="P463">
        <f>IF($M463="","","چک پرداختی")</f>
        <v/>
      </c>
      <c r="R463">
        <f>IF($M463="","",IF(COUNTIF(AcctCodesA,Sync!$AI463)=0,"ذی‌نفع چک تعریف‌نشده",""))</f>
        <v/>
      </c>
      <c r="S463">
        <f>IF($R463="","",Sync!$AG463&amp;"|"&amp;"5"&amp;RIGHT("00000"&amp;458,5))</f>
        <v/>
      </c>
      <c r="T463">
        <f>IF($S463="",0,COUNTIFS($S$6:$S$505,"&lt;"&amp;$S463)-COUNTIFS($S$6:$S$505,"&lt;"&amp;$S463,$R$6:$R$505,"")+1)</f>
        <v/>
      </c>
      <c r="V463">
        <f>IF($K463="","",IF(ISNUMBER(Sync!$AK463),Sync!$AK463,LEFT(Sync!$AK463,4)&amp;MID(Sync!$AK463,6,2)&amp;RIGHT(Sync!$AK463,2))&amp;"|"&amp;"4"&amp;RIGHT("00000"&amp;458,5))</f>
        <v/>
      </c>
      <c r="W463">
        <f>IF($V463="",0,COUNTIFS($V$6:$V$2005,"&lt;"&amp;$V463)-COUNTIFS($V$6:$V$2005,"&lt;"&amp;$V463,$K$6:$K$2005,"")+1)</f>
        <v/>
      </c>
      <c r="X463">
        <f>IF(Sync!$AX463="","",IF(OR(N(Sync!$AY463)=0,N(Sync!$AZ463)=0),"",ROUND(N(Sync!$AY463)*N(Sync!$AZ463),0)))</f>
        <v/>
      </c>
      <c r="Y463">
        <f>IF($X463="","",IF(OR(Sync!$AX463="",COUNTIF(AcctCodesA,Sync!$AX463)=0),"متفرقه",Sync!$AX463))</f>
        <v/>
      </c>
      <c r="Z463">
        <f>IF($X463="","","سبد و ظروف")</f>
        <v/>
      </c>
      <c r="AA463">
        <f>IF($X463="","",$Y463)</f>
        <v/>
      </c>
    </row>
    <row r="464">
      <c r="A464">
        <f>IF(Sync!$Z464="","",LEFT(UPPER(TRIM(Sync!$Z464)),6))</f>
        <v/>
      </c>
      <c r="B464">
        <f>IF($A464="","",IF(Sync!$AA464="","",Sync!$AA464))</f>
        <v/>
      </c>
      <c r="C464">
        <f>IF($A464="","",IF(Sync!$AB464="","",Sync!$AB464))</f>
        <v/>
      </c>
      <c r="D464">
        <f>IF($A464="","",IF(Sync!$AC464="","",Sync!$AC464))</f>
        <v/>
      </c>
      <c r="E464">
        <f>IF($A464="","",IF(Sync!$AD464="","",Sync!$AD464))</f>
        <v/>
      </c>
      <c r="F464">
        <f>IF($A464="","",IF(Sync!$AE464="",0,Sync!$AE464))</f>
        <v/>
      </c>
      <c r="G464">
        <f>IF($A464="","",IF(Sync!$AF464="",0,Sync!$AF464))</f>
        <v/>
      </c>
      <c r="H464">
        <f>IF(OR($A464="",ROUND($F464+$G464,2)=0),"",$F464+$G464)</f>
        <v/>
      </c>
      <c r="I464">
        <f>IF($H464="","",IF(ROUND($F464,2)&gt;0,$A464,IF($D464="شخصی قاسم","شخصی قاسم",IF($D464="هزینه","هزینه: "&amp;IF($E464="","متفرقه",$E464),IF($C464="پاس چک","چک پرداختی",IF(OR($B464="",COUNTIF(AcctCodesA,$B464)=0),"متفرقه",$B464))))))</f>
        <v/>
      </c>
      <c r="J464">
        <f>IF($H464="","",IF(ROUND($F464,2)&gt;0,IF($D464="شخصی قاسم","شخصی قاسم",IF($D464="هزینه","هزینه: "&amp;IF($E464="","متفرقه",$E464),IF(OR($B464="",COUNTIF(AcctCodesA,$B464)=0),"متفرقه",$B464))),$A464))</f>
        <v/>
      </c>
      <c r="K464">
        <f>IF($A464="","",IF(AND($B464&lt;&gt;"",COUNTIF(AcctCodesA,$B464)=0),"کد طرف در INFO تعریف نشده",IF(AND($D464="هزینه",$E464=""),"هزینه بدون زیرگروه",IF(AND($C464="پاس چک",OR(Sync!$AJ464="",COUNTIF(IssueNosA,Sync!$AJ464)=0)),"شماره چک پاس‌شده معتبر نیست",""))))</f>
        <v/>
      </c>
      <c r="M464">
        <f>IF(Sync!$AH464="","",Sync!$AH464)</f>
        <v/>
      </c>
      <c r="N464">
        <f>IF($M464="","",IF(OR(Sync!$AI464="",COUNTIF(AcctCodesA,Sync!$AI464)=0),"متفرقه",Sync!$AI464))</f>
        <v/>
      </c>
      <c r="O464">
        <f>IF($M464="","",$N464)</f>
        <v/>
      </c>
      <c r="P464">
        <f>IF($M464="","","چک پرداختی")</f>
        <v/>
      </c>
      <c r="R464">
        <f>IF($M464="","",IF(COUNTIF(AcctCodesA,Sync!$AI464)=0,"ذی‌نفع چک تعریف‌نشده",""))</f>
        <v/>
      </c>
      <c r="S464">
        <f>IF($R464="","",Sync!$AG464&amp;"|"&amp;"5"&amp;RIGHT("00000"&amp;459,5))</f>
        <v/>
      </c>
      <c r="T464">
        <f>IF($S464="",0,COUNTIFS($S$6:$S$505,"&lt;"&amp;$S464)-COUNTIFS($S$6:$S$505,"&lt;"&amp;$S464,$R$6:$R$505,"")+1)</f>
        <v/>
      </c>
      <c r="V464">
        <f>IF($K464="","",IF(ISNUMBER(Sync!$AK464),Sync!$AK464,LEFT(Sync!$AK464,4)&amp;MID(Sync!$AK464,6,2)&amp;RIGHT(Sync!$AK464,2))&amp;"|"&amp;"4"&amp;RIGHT("00000"&amp;459,5))</f>
        <v/>
      </c>
      <c r="W464">
        <f>IF($V464="",0,COUNTIFS($V$6:$V$2005,"&lt;"&amp;$V464)-COUNTIFS($V$6:$V$2005,"&lt;"&amp;$V464,$K$6:$K$2005,"")+1)</f>
        <v/>
      </c>
      <c r="X464">
        <f>IF(Sync!$AX464="","",IF(OR(N(Sync!$AY464)=0,N(Sync!$AZ464)=0),"",ROUND(N(Sync!$AY464)*N(Sync!$AZ464),0)))</f>
        <v/>
      </c>
      <c r="Y464">
        <f>IF($X464="","",IF(OR(Sync!$AX464="",COUNTIF(AcctCodesA,Sync!$AX464)=0),"متفرقه",Sync!$AX464))</f>
        <v/>
      </c>
      <c r="Z464">
        <f>IF($X464="","","سبد و ظروف")</f>
        <v/>
      </c>
      <c r="AA464">
        <f>IF($X464="","",$Y464)</f>
        <v/>
      </c>
    </row>
    <row r="465">
      <c r="A465">
        <f>IF(Sync!$Z465="","",LEFT(UPPER(TRIM(Sync!$Z465)),6))</f>
        <v/>
      </c>
      <c r="B465">
        <f>IF($A465="","",IF(Sync!$AA465="","",Sync!$AA465))</f>
        <v/>
      </c>
      <c r="C465">
        <f>IF($A465="","",IF(Sync!$AB465="","",Sync!$AB465))</f>
        <v/>
      </c>
      <c r="D465">
        <f>IF($A465="","",IF(Sync!$AC465="","",Sync!$AC465))</f>
        <v/>
      </c>
      <c r="E465">
        <f>IF($A465="","",IF(Sync!$AD465="","",Sync!$AD465))</f>
        <v/>
      </c>
      <c r="F465">
        <f>IF($A465="","",IF(Sync!$AE465="",0,Sync!$AE465))</f>
        <v/>
      </c>
      <c r="G465">
        <f>IF($A465="","",IF(Sync!$AF465="",0,Sync!$AF465))</f>
        <v/>
      </c>
      <c r="H465">
        <f>IF(OR($A465="",ROUND($F465+$G465,2)=0),"",$F465+$G465)</f>
        <v/>
      </c>
      <c r="I465">
        <f>IF($H465="","",IF(ROUND($F465,2)&gt;0,$A465,IF($D465="شخصی قاسم","شخصی قاسم",IF($D465="هزینه","هزینه: "&amp;IF($E465="","متفرقه",$E465),IF($C465="پاس چک","چک پرداختی",IF(OR($B465="",COUNTIF(AcctCodesA,$B465)=0),"متفرقه",$B465))))))</f>
        <v/>
      </c>
      <c r="J465">
        <f>IF($H465="","",IF(ROUND($F465,2)&gt;0,IF($D465="شخصی قاسم","شخصی قاسم",IF($D465="هزینه","هزینه: "&amp;IF($E465="","متفرقه",$E465),IF(OR($B465="",COUNTIF(AcctCodesA,$B465)=0),"متفرقه",$B465))),$A465))</f>
        <v/>
      </c>
      <c r="K465">
        <f>IF($A465="","",IF(AND($B465&lt;&gt;"",COUNTIF(AcctCodesA,$B465)=0),"کد طرف در INFO تعریف نشده",IF(AND($D465="هزینه",$E465=""),"هزینه بدون زیرگروه",IF(AND($C465="پاس چک",OR(Sync!$AJ465="",COUNTIF(IssueNosA,Sync!$AJ465)=0)),"شماره چک پاس‌شده معتبر نیست",""))))</f>
        <v/>
      </c>
      <c r="M465">
        <f>IF(Sync!$AH465="","",Sync!$AH465)</f>
        <v/>
      </c>
      <c r="N465">
        <f>IF($M465="","",IF(OR(Sync!$AI465="",COUNTIF(AcctCodesA,Sync!$AI465)=0),"متفرقه",Sync!$AI465))</f>
        <v/>
      </c>
      <c r="O465">
        <f>IF($M465="","",$N465)</f>
        <v/>
      </c>
      <c r="P465">
        <f>IF($M465="","","چک پرداختی")</f>
        <v/>
      </c>
      <c r="R465">
        <f>IF($M465="","",IF(COUNTIF(AcctCodesA,Sync!$AI465)=0,"ذی‌نفع چک تعریف‌نشده",""))</f>
        <v/>
      </c>
      <c r="S465">
        <f>IF($R465="","",Sync!$AG465&amp;"|"&amp;"5"&amp;RIGHT("00000"&amp;460,5))</f>
        <v/>
      </c>
      <c r="T465">
        <f>IF($S465="",0,COUNTIFS($S$6:$S$505,"&lt;"&amp;$S465)-COUNTIFS($S$6:$S$505,"&lt;"&amp;$S465,$R$6:$R$505,"")+1)</f>
        <v/>
      </c>
      <c r="V465">
        <f>IF($K465="","",IF(ISNUMBER(Sync!$AK465),Sync!$AK465,LEFT(Sync!$AK465,4)&amp;MID(Sync!$AK465,6,2)&amp;RIGHT(Sync!$AK465,2))&amp;"|"&amp;"4"&amp;RIGHT("00000"&amp;460,5))</f>
        <v/>
      </c>
      <c r="W465">
        <f>IF($V465="",0,COUNTIFS($V$6:$V$2005,"&lt;"&amp;$V465)-COUNTIFS($V$6:$V$2005,"&lt;"&amp;$V465,$K$6:$K$2005,"")+1)</f>
        <v/>
      </c>
      <c r="X465">
        <f>IF(Sync!$AX465="","",IF(OR(N(Sync!$AY465)=0,N(Sync!$AZ465)=0),"",ROUND(N(Sync!$AY465)*N(Sync!$AZ465),0)))</f>
        <v/>
      </c>
      <c r="Y465">
        <f>IF($X465="","",IF(OR(Sync!$AX465="",COUNTIF(AcctCodesA,Sync!$AX465)=0),"متفرقه",Sync!$AX465))</f>
        <v/>
      </c>
      <c r="Z465">
        <f>IF($X465="","","سبد و ظروف")</f>
        <v/>
      </c>
      <c r="AA465">
        <f>IF($X465="","",$Y465)</f>
        <v/>
      </c>
    </row>
    <row r="466">
      <c r="A466">
        <f>IF(Sync!$Z466="","",LEFT(UPPER(TRIM(Sync!$Z466)),6))</f>
        <v/>
      </c>
      <c r="B466">
        <f>IF($A466="","",IF(Sync!$AA466="","",Sync!$AA466))</f>
        <v/>
      </c>
      <c r="C466">
        <f>IF($A466="","",IF(Sync!$AB466="","",Sync!$AB466))</f>
        <v/>
      </c>
      <c r="D466">
        <f>IF($A466="","",IF(Sync!$AC466="","",Sync!$AC466))</f>
        <v/>
      </c>
      <c r="E466">
        <f>IF($A466="","",IF(Sync!$AD466="","",Sync!$AD466))</f>
        <v/>
      </c>
      <c r="F466">
        <f>IF($A466="","",IF(Sync!$AE466="",0,Sync!$AE466))</f>
        <v/>
      </c>
      <c r="G466">
        <f>IF($A466="","",IF(Sync!$AF466="",0,Sync!$AF466))</f>
        <v/>
      </c>
      <c r="H466">
        <f>IF(OR($A466="",ROUND($F466+$G466,2)=0),"",$F466+$G466)</f>
        <v/>
      </c>
      <c r="I466">
        <f>IF($H466="","",IF(ROUND($F466,2)&gt;0,$A466,IF($D466="شخصی قاسم","شخصی قاسم",IF($D466="هزینه","هزینه: "&amp;IF($E466="","متفرقه",$E466),IF($C466="پاس چک","چک پرداختی",IF(OR($B466="",COUNTIF(AcctCodesA,$B466)=0),"متفرقه",$B466))))))</f>
        <v/>
      </c>
      <c r="J466">
        <f>IF($H466="","",IF(ROUND($F466,2)&gt;0,IF($D466="شخصی قاسم","شخصی قاسم",IF($D466="هزینه","هزینه: "&amp;IF($E466="","متفرقه",$E466),IF(OR($B466="",COUNTIF(AcctCodesA,$B466)=0),"متفرقه",$B466))),$A466))</f>
        <v/>
      </c>
      <c r="K466">
        <f>IF($A466="","",IF(AND($B466&lt;&gt;"",COUNTIF(AcctCodesA,$B466)=0),"کد طرف در INFO تعریف نشده",IF(AND($D466="هزینه",$E466=""),"هزینه بدون زیرگروه",IF(AND($C466="پاس چک",OR(Sync!$AJ466="",COUNTIF(IssueNosA,Sync!$AJ466)=0)),"شماره چک پاس‌شده معتبر نیست",""))))</f>
        <v/>
      </c>
      <c r="M466">
        <f>IF(Sync!$AH466="","",Sync!$AH466)</f>
        <v/>
      </c>
      <c r="N466">
        <f>IF($M466="","",IF(OR(Sync!$AI466="",COUNTIF(AcctCodesA,Sync!$AI466)=0),"متفرقه",Sync!$AI466))</f>
        <v/>
      </c>
      <c r="O466">
        <f>IF($M466="","",$N466)</f>
        <v/>
      </c>
      <c r="P466">
        <f>IF($M466="","","چک پرداختی")</f>
        <v/>
      </c>
      <c r="R466">
        <f>IF($M466="","",IF(COUNTIF(AcctCodesA,Sync!$AI466)=0,"ذی‌نفع چک تعریف‌نشده",""))</f>
        <v/>
      </c>
      <c r="S466">
        <f>IF($R466="","",Sync!$AG466&amp;"|"&amp;"5"&amp;RIGHT("00000"&amp;461,5))</f>
        <v/>
      </c>
      <c r="T466">
        <f>IF($S466="",0,COUNTIFS($S$6:$S$505,"&lt;"&amp;$S466)-COUNTIFS($S$6:$S$505,"&lt;"&amp;$S466,$R$6:$R$505,"")+1)</f>
        <v/>
      </c>
      <c r="V466">
        <f>IF($K466="","",IF(ISNUMBER(Sync!$AK466),Sync!$AK466,LEFT(Sync!$AK466,4)&amp;MID(Sync!$AK466,6,2)&amp;RIGHT(Sync!$AK466,2))&amp;"|"&amp;"4"&amp;RIGHT("00000"&amp;461,5))</f>
        <v/>
      </c>
      <c r="W466">
        <f>IF($V466="",0,COUNTIFS($V$6:$V$2005,"&lt;"&amp;$V466)-COUNTIFS($V$6:$V$2005,"&lt;"&amp;$V466,$K$6:$K$2005,"")+1)</f>
        <v/>
      </c>
      <c r="X466">
        <f>IF(Sync!$AX466="","",IF(OR(N(Sync!$AY466)=0,N(Sync!$AZ466)=0),"",ROUND(N(Sync!$AY466)*N(Sync!$AZ466),0)))</f>
        <v/>
      </c>
      <c r="Y466">
        <f>IF($X466="","",IF(OR(Sync!$AX466="",COUNTIF(AcctCodesA,Sync!$AX466)=0),"متفرقه",Sync!$AX466))</f>
        <v/>
      </c>
      <c r="Z466">
        <f>IF($X466="","","سبد و ظروف")</f>
        <v/>
      </c>
      <c r="AA466">
        <f>IF($X466="","",$Y466)</f>
        <v/>
      </c>
    </row>
    <row r="467">
      <c r="A467">
        <f>IF(Sync!$Z467="","",LEFT(UPPER(TRIM(Sync!$Z467)),6))</f>
        <v/>
      </c>
      <c r="B467">
        <f>IF($A467="","",IF(Sync!$AA467="","",Sync!$AA467))</f>
        <v/>
      </c>
      <c r="C467">
        <f>IF($A467="","",IF(Sync!$AB467="","",Sync!$AB467))</f>
        <v/>
      </c>
      <c r="D467">
        <f>IF($A467="","",IF(Sync!$AC467="","",Sync!$AC467))</f>
        <v/>
      </c>
      <c r="E467">
        <f>IF($A467="","",IF(Sync!$AD467="","",Sync!$AD467))</f>
        <v/>
      </c>
      <c r="F467">
        <f>IF($A467="","",IF(Sync!$AE467="",0,Sync!$AE467))</f>
        <v/>
      </c>
      <c r="G467">
        <f>IF($A467="","",IF(Sync!$AF467="",0,Sync!$AF467))</f>
        <v/>
      </c>
      <c r="H467">
        <f>IF(OR($A467="",ROUND($F467+$G467,2)=0),"",$F467+$G467)</f>
        <v/>
      </c>
      <c r="I467">
        <f>IF($H467="","",IF(ROUND($F467,2)&gt;0,$A467,IF($D467="شخصی قاسم","شخصی قاسم",IF($D467="هزینه","هزینه: "&amp;IF($E467="","متفرقه",$E467),IF($C467="پاس چک","چک پرداختی",IF(OR($B467="",COUNTIF(AcctCodesA,$B467)=0),"متفرقه",$B467))))))</f>
        <v/>
      </c>
      <c r="J467">
        <f>IF($H467="","",IF(ROUND($F467,2)&gt;0,IF($D467="شخصی قاسم","شخصی قاسم",IF($D467="هزینه","هزینه: "&amp;IF($E467="","متفرقه",$E467),IF(OR($B467="",COUNTIF(AcctCodesA,$B467)=0),"متفرقه",$B467))),$A467))</f>
        <v/>
      </c>
      <c r="K467">
        <f>IF($A467="","",IF(AND($B467&lt;&gt;"",COUNTIF(AcctCodesA,$B467)=0),"کد طرف در INFO تعریف نشده",IF(AND($D467="هزینه",$E467=""),"هزینه بدون زیرگروه",IF(AND($C467="پاس چک",OR(Sync!$AJ467="",COUNTIF(IssueNosA,Sync!$AJ467)=0)),"شماره چک پاس‌شده معتبر نیست",""))))</f>
        <v/>
      </c>
      <c r="M467">
        <f>IF(Sync!$AH467="","",Sync!$AH467)</f>
        <v/>
      </c>
      <c r="N467">
        <f>IF($M467="","",IF(OR(Sync!$AI467="",COUNTIF(AcctCodesA,Sync!$AI467)=0),"متفرقه",Sync!$AI467))</f>
        <v/>
      </c>
      <c r="O467">
        <f>IF($M467="","",$N467)</f>
        <v/>
      </c>
      <c r="P467">
        <f>IF($M467="","","چک پرداختی")</f>
        <v/>
      </c>
      <c r="R467">
        <f>IF($M467="","",IF(COUNTIF(AcctCodesA,Sync!$AI467)=0,"ذی‌نفع چک تعریف‌نشده",""))</f>
        <v/>
      </c>
      <c r="S467">
        <f>IF($R467="","",Sync!$AG467&amp;"|"&amp;"5"&amp;RIGHT("00000"&amp;462,5))</f>
        <v/>
      </c>
      <c r="T467">
        <f>IF($S467="",0,COUNTIFS($S$6:$S$505,"&lt;"&amp;$S467)-COUNTIFS($S$6:$S$505,"&lt;"&amp;$S467,$R$6:$R$505,"")+1)</f>
        <v/>
      </c>
      <c r="V467">
        <f>IF($K467="","",IF(ISNUMBER(Sync!$AK467),Sync!$AK467,LEFT(Sync!$AK467,4)&amp;MID(Sync!$AK467,6,2)&amp;RIGHT(Sync!$AK467,2))&amp;"|"&amp;"4"&amp;RIGHT("00000"&amp;462,5))</f>
        <v/>
      </c>
      <c r="W467">
        <f>IF($V467="",0,COUNTIFS($V$6:$V$2005,"&lt;"&amp;$V467)-COUNTIFS($V$6:$V$2005,"&lt;"&amp;$V467,$K$6:$K$2005,"")+1)</f>
        <v/>
      </c>
      <c r="X467">
        <f>IF(Sync!$AX467="","",IF(OR(N(Sync!$AY467)=0,N(Sync!$AZ467)=0),"",ROUND(N(Sync!$AY467)*N(Sync!$AZ467),0)))</f>
        <v/>
      </c>
      <c r="Y467">
        <f>IF($X467="","",IF(OR(Sync!$AX467="",COUNTIF(AcctCodesA,Sync!$AX467)=0),"متفرقه",Sync!$AX467))</f>
        <v/>
      </c>
      <c r="Z467">
        <f>IF($X467="","","سبد و ظروف")</f>
        <v/>
      </c>
      <c r="AA467">
        <f>IF($X467="","",$Y467)</f>
        <v/>
      </c>
    </row>
    <row r="468">
      <c r="A468">
        <f>IF(Sync!$Z468="","",LEFT(UPPER(TRIM(Sync!$Z468)),6))</f>
        <v/>
      </c>
      <c r="B468">
        <f>IF($A468="","",IF(Sync!$AA468="","",Sync!$AA468))</f>
        <v/>
      </c>
      <c r="C468">
        <f>IF($A468="","",IF(Sync!$AB468="","",Sync!$AB468))</f>
        <v/>
      </c>
      <c r="D468">
        <f>IF($A468="","",IF(Sync!$AC468="","",Sync!$AC468))</f>
        <v/>
      </c>
      <c r="E468">
        <f>IF($A468="","",IF(Sync!$AD468="","",Sync!$AD468))</f>
        <v/>
      </c>
      <c r="F468">
        <f>IF($A468="","",IF(Sync!$AE468="",0,Sync!$AE468))</f>
        <v/>
      </c>
      <c r="G468">
        <f>IF($A468="","",IF(Sync!$AF468="",0,Sync!$AF468))</f>
        <v/>
      </c>
      <c r="H468">
        <f>IF(OR($A468="",ROUND($F468+$G468,2)=0),"",$F468+$G468)</f>
        <v/>
      </c>
      <c r="I468">
        <f>IF($H468="","",IF(ROUND($F468,2)&gt;0,$A468,IF($D468="شخصی قاسم","شخصی قاسم",IF($D468="هزینه","هزینه: "&amp;IF($E468="","متفرقه",$E468),IF($C468="پاس چک","چک پرداختی",IF(OR($B468="",COUNTIF(AcctCodesA,$B468)=0),"متفرقه",$B468))))))</f>
        <v/>
      </c>
      <c r="J468">
        <f>IF($H468="","",IF(ROUND($F468,2)&gt;0,IF($D468="شخصی قاسم","شخصی قاسم",IF($D468="هزینه","هزینه: "&amp;IF($E468="","متفرقه",$E468),IF(OR($B468="",COUNTIF(AcctCodesA,$B468)=0),"متفرقه",$B468))),$A468))</f>
        <v/>
      </c>
      <c r="K468">
        <f>IF($A468="","",IF(AND($B468&lt;&gt;"",COUNTIF(AcctCodesA,$B468)=0),"کد طرف در INFO تعریف نشده",IF(AND($D468="هزینه",$E468=""),"هزینه بدون زیرگروه",IF(AND($C468="پاس چک",OR(Sync!$AJ468="",COUNTIF(IssueNosA,Sync!$AJ468)=0)),"شماره چک پاس‌شده معتبر نیست",""))))</f>
        <v/>
      </c>
      <c r="M468">
        <f>IF(Sync!$AH468="","",Sync!$AH468)</f>
        <v/>
      </c>
      <c r="N468">
        <f>IF($M468="","",IF(OR(Sync!$AI468="",COUNTIF(AcctCodesA,Sync!$AI468)=0),"متفرقه",Sync!$AI468))</f>
        <v/>
      </c>
      <c r="O468">
        <f>IF($M468="","",$N468)</f>
        <v/>
      </c>
      <c r="P468">
        <f>IF($M468="","","چک پرداختی")</f>
        <v/>
      </c>
      <c r="R468">
        <f>IF($M468="","",IF(COUNTIF(AcctCodesA,Sync!$AI468)=0,"ذی‌نفع چک تعریف‌نشده",""))</f>
        <v/>
      </c>
      <c r="S468">
        <f>IF($R468="","",Sync!$AG468&amp;"|"&amp;"5"&amp;RIGHT("00000"&amp;463,5))</f>
        <v/>
      </c>
      <c r="T468">
        <f>IF($S468="",0,COUNTIFS($S$6:$S$505,"&lt;"&amp;$S468)-COUNTIFS($S$6:$S$505,"&lt;"&amp;$S468,$R$6:$R$505,"")+1)</f>
        <v/>
      </c>
      <c r="V468">
        <f>IF($K468="","",IF(ISNUMBER(Sync!$AK468),Sync!$AK468,LEFT(Sync!$AK468,4)&amp;MID(Sync!$AK468,6,2)&amp;RIGHT(Sync!$AK468,2))&amp;"|"&amp;"4"&amp;RIGHT("00000"&amp;463,5))</f>
        <v/>
      </c>
      <c r="W468">
        <f>IF($V468="",0,COUNTIFS($V$6:$V$2005,"&lt;"&amp;$V468)-COUNTIFS($V$6:$V$2005,"&lt;"&amp;$V468,$K$6:$K$2005,"")+1)</f>
        <v/>
      </c>
      <c r="X468">
        <f>IF(Sync!$AX468="","",IF(OR(N(Sync!$AY468)=0,N(Sync!$AZ468)=0),"",ROUND(N(Sync!$AY468)*N(Sync!$AZ468),0)))</f>
        <v/>
      </c>
      <c r="Y468">
        <f>IF($X468="","",IF(OR(Sync!$AX468="",COUNTIF(AcctCodesA,Sync!$AX468)=0),"متفرقه",Sync!$AX468))</f>
        <v/>
      </c>
      <c r="Z468">
        <f>IF($X468="","","سبد و ظروف")</f>
        <v/>
      </c>
      <c r="AA468">
        <f>IF($X468="","",$Y468)</f>
        <v/>
      </c>
    </row>
    <row r="469">
      <c r="A469">
        <f>IF(Sync!$Z469="","",LEFT(UPPER(TRIM(Sync!$Z469)),6))</f>
        <v/>
      </c>
      <c r="B469">
        <f>IF($A469="","",IF(Sync!$AA469="","",Sync!$AA469))</f>
        <v/>
      </c>
      <c r="C469">
        <f>IF($A469="","",IF(Sync!$AB469="","",Sync!$AB469))</f>
        <v/>
      </c>
      <c r="D469">
        <f>IF($A469="","",IF(Sync!$AC469="","",Sync!$AC469))</f>
        <v/>
      </c>
      <c r="E469">
        <f>IF($A469="","",IF(Sync!$AD469="","",Sync!$AD469))</f>
        <v/>
      </c>
      <c r="F469">
        <f>IF($A469="","",IF(Sync!$AE469="",0,Sync!$AE469))</f>
        <v/>
      </c>
      <c r="G469">
        <f>IF($A469="","",IF(Sync!$AF469="",0,Sync!$AF469))</f>
        <v/>
      </c>
      <c r="H469">
        <f>IF(OR($A469="",ROUND($F469+$G469,2)=0),"",$F469+$G469)</f>
        <v/>
      </c>
      <c r="I469">
        <f>IF($H469="","",IF(ROUND($F469,2)&gt;0,$A469,IF($D469="شخصی قاسم","شخصی قاسم",IF($D469="هزینه","هزینه: "&amp;IF($E469="","متفرقه",$E469),IF($C469="پاس چک","چک پرداختی",IF(OR($B469="",COUNTIF(AcctCodesA,$B469)=0),"متفرقه",$B469))))))</f>
        <v/>
      </c>
      <c r="J469">
        <f>IF($H469="","",IF(ROUND($F469,2)&gt;0,IF($D469="شخصی قاسم","شخصی قاسم",IF($D469="هزینه","هزینه: "&amp;IF($E469="","متفرقه",$E469),IF(OR($B469="",COUNTIF(AcctCodesA,$B469)=0),"متفرقه",$B469))),$A469))</f>
        <v/>
      </c>
      <c r="K469">
        <f>IF($A469="","",IF(AND($B469&lt;&gt;"",COUNTIF(AcctCodesA,$B469)=0),"کد طرف در INFO تعریف نشده",IF(AND($D469="هزینه",$E469=""),"هزینه بدون زیرگروه",IF(AND($C469="پاس چک",OR(Sync!$AJ469="",COUNTIF(IssueNosA,Sync!$AJ469)=0)),"شماره چک پاس‌شده معتبر نیست",""))))</f>
        <v/>
      </c>
      <c r="M469">
        <f>IF(Sync!$AH469="","",Sync!$AH469)</f>
        <v/>
      </c>
      <c r="N469">
        <f>IF($M469="","",IF(OR(Sync!$AI469="",COUNTIF(AcctCodesA,Sync!$AI469)=0),"متفرقه",Sync!$AI469))</f>
        <v/>
      </c>
      <c r="O469">
        <f>IF($M469="","",$N469)</f>
        <v/>
      </c>
      <c r="P469">
        <f>IF($M469="","","چک پرداختی")</f>
        <v/>
      </c>
      <c r="R469">
        <f>IF($M469="","",IF(COUNTIF(AcctCodesA,Sync!$AI469)=0,"ذی‌نفع چک تعریف‌نشده",""))</f>
        <v/>
      </c>
      <c r="S469">
        <f>IF($R469="","",Sync!$AG469&amp;"|"&amp;"5"&amp;RIGHT("00000"&amp;464,5))</f>
        <v/>
      </c>
      <c r="T469">
        <f>IF($S469="",0,COUNTIFS($S$6:$S$505,"&lt;"&amp;$S469)-COUNTIFS($S$6:$S$505,"&lt;"&amp;$S469,$R$6:$R$505,"")+1)</f>
        <v/>
      </c>
      <c r="V469">
        <f>IF($K469="","",IF(ISNUMBER(Sync!$AK469),Sync!$AK469,LEFT(Sync!$AK469,4)&amp;MID(Sync!$AK469,6,2)&amp;RIGHT(Sync!$AK469,2))&amp;"|"&amp;"4"&amp;RIGHT("00000"&amp;464,5))</f>
        <v/>
      </c>
      <c r="W469">
        <f>IF($V469="",0,COUNTIFS($V$6:$V$2005,"&lt;"&amp;$V469)-COUNTIFS($V$6:$V$2005,"&lt;"&amp;$V469,$K$6:$K$2005,"")+1)</f>
        <v/>
      </c>
      <c r="X469">
        <f>IF(Sync!$AX469="","",IF(OR(N(Sync!$AY469)=0,N(Sync!$AZ469)=0),"",ROUND(N(Sync!$AY469)*N(Sync!$AZ469),0)))</f>
        <v/>
      </c>
      <c r="Y469">
        <f>IF($X469="","",IF(OR(Sync!$AX469="",COUNTIF(AcctCodesA,Sync!$AX469)=0),"متفرقه",Sync!$AX469))</f>
        <v/>
      </c>
      <c r="Z469">
        <f>IF($X469="","","سبد و ظروف")</f>
        <v/>
      </c>
      <c r="AA469">
        <f>IF($X469="","",$Y469)</f>
        <v/>
      </c>
    </row>
    <row r="470">
      <c r="A470">
        <f>IF(Sync!$Z470="","",LEFT(UPPER(TRIM(Sync!$Z470)),6))</f>
        <v/>
      </c>
      <c r="B470">
        <f>IF($A470="","",IF(Sync!$AA470="","",Sync!$AA470))</f>
        <v/>
      </c>
      <c r="C470">
        <f>IF($A470="","",IF(Sync!$AB470="","",Sync!$AB470))</f>
        <v/>
      </c>
      <c r="D470">
        <f>IF($A470="","",IF(Sync!$AC470="","",Sync!$AC470))</f>
        <v/>
      </c>
      <c r="E470">
        <f>IF($A470="","",IF(Sync!$AD470="","",Sync!$AD470))</f>
        <v/>
      </c>
      <c r="F470">
        <f>IF($A470="","",IF(Sync!$AE470="",0,Sync!$AE470))</f>
        <v/>
      </c>
      <c r="G470">
        <f>IF($A470="","",IF(Sync!$AF470="",0,Sync!$AF470))</f>
        <v/>
      </c>
      <c r="H470">
        <f>IF(OR($A470="",ROUND($F470+$G470,2)=0),"",$F470+$G470)</f>
        <v/>
      </c>
      <c r="I470">
        <f>IF($H470="","",IF(ROUND($F470,2)&gt;0,$A470,IF($D470="شخصی قاسم","شخصی قاسم",IF($D470="هزینه","هزینه: "&amp;IF($E470="","متفرقه",$E470),IF($C470="پاس چک","چک پرداختی",IF(OR($B470="",COUNTIF(AcctCodesA,$B470)=0),"متفرقه",$B470))))))</f>
        <v/>
      </c>
      <c r="J470">
        <f>IF($H470="","",IF(ROUND($F470,2)&gt;0,IF($D470="شخصی قاسم","شخصی قاسم",IF($D470="هزینه","هزینه: "&amp;IF($E470="","متفرقه",$E470),IF(OR($B470="",COUNTIF(AcctCodesA,$B470)=0),"متفرقه",$B470))),$A470))</f>
        <v/>
      </c>
      <c r="K470">
        <f>IF($A470="","",IF(AND($B470&lt;&gt;"",COUNTIF(AcctCodesA,$B470)=0),"کد طرف در INFO تعریف نشده",IF(AND($D470="هزینه",$E470=""),"هزینه بدون زیرگروه",IF(AND($C470="پاس چک",OR(Sync!$AJ470="",COUNTIF(IssueNosA,Sync!$AJ470)=0)),"شماره چک پاس‌شده معتبر نیست",""))))</f>
        <v/>
      </c>
      <c r="M470">
        <f>IF(Sync!$AH470="","",Sync!$AH470)</f>
        <v/>
      </c>
      <c r="N470">
        <f>IF($M470="","",IF(OR(Sync!$AI470="",COUNTIF(AcctCodesA,Sync!$AI470)=0),"متفرقه",Sync!$AI470))</f>
        <v/>
      </c>
      <c r="O470">
        <f>IF($M470="","",$N470)</f>
        <v/>
      </c>
      <c r="P470">
        <f>IF($M470="","","چک پرداختی")</f>
        <v/>
      </c>
      <c r="R470">
        <f>IF($M470="","",IF(COUNTIF(AcctCodesA,Sync!$AI470)=0,"ذی‌نفع چک تعریف‌نشده",""))</f>
        <v/>
      </c>
      <c r="S470">
        <f>IF($R470="","",Sync!$AG470&amp;"|"&amp;"5"&amp;RIGHT("00000"&amp;465,5))</f>
        <v/>
      </c>
      <c r="T470">
        <f>IF($S470="",0,COUNTIFS($S$6:$S$505,"&lt;"&amp;$S470)-COUNTIFS($S$6:$S$505,"&lt;"&amp;$S470,$R$6:$R$505,"")+1)</f>
        <v/>
      </c>
      <c r="V470">
        <f>IF($K470="","",IF(ISNUMBER(Sync!$AK470),Sync!$AK470,LEFT(Sync!$AK470,4)&amp;MID(Sync!$AK470,6,2)&amp;RIGHT(Sync!$AK470,2))&amp;"|"&amp;"4"&amp;RIGHT("00000"&amp;465,5))</f>
        <v/>
      </c>
      <c r="W470">
        <f>IF($V470="",0,COUNTIFS($V$6:$V$2005,"&lt;"&amp;$V470)-COUNTIFS($V$6:$V$2005,"&lt;"&amp;$V470,$K$6:$K$2005,"")+1)</f>
        <v/>
      </c>
      <c r="X470">
        <f>IF(Sync!$AX470="","",IF(OR(N(Sync!$AY470)=0,N(Sync!$AZ470)=0),"",ROUND(N(Sync!$AY470)*N(Sync!$AZ470),0)))</f>
        <v/>
      </c>
      <c r="Y470">
        <f>IF($X470="","",IF(OR(Sync!$AX470="",COUNTIF(AcctCodesA,Sync!$AX470)=0),"متفرقه",Sync!$AX470))</f>
        <v/>
      </c>
      <c r="Z470">
        <f>IF($X470="","","سبد و ظروف")</f>
        <v/>
      </c>
      <c r="AA470">
        <f>IF($X470="","",$Y470)</f>
        <v/>
      </c>
    </row>
    <row r="471">
      <c r="A471">
        <f>IF(Sync!$Z471="","",LEFT(UPPER(TRIM(Sync!$Z471)),6))</f>
        <v/>
      </c>
      <c r="B471">
        <f>IF($A471="","",IF(Sync!$AA471="","",Sync!$AA471))</f>
        <v/>
      </c>
      <c r="C471">
        <f>IF($A471="","",IF(Sync!$AB471="","",Sync!$AB471))</f>
        <v/>
      </c>
      <c r="D471">
        <f>IF($A471="","",IF(Sync!$AC471="","",Sync!$AC471))</f>
        <v/>
      </c>
      <c r="E471">
        <f>IF($A471="","",IF(Sync!$AD471="","",Sync!$AD471))</f>
        <v/>
      </c>
      <c r="F471">
        <f>IF($A471="","",IF(Sync!$AE471="",0,Sync!$AE471))</f>
        <v/>
      </c>
      <c r="G471">
        <f>IF($A471="","",IF(Sync!$AF471="",0,Sync!$AF471))</f>
        <v/>
      </c>
      <c r="H471">
        <f>IF(OR($A471="",ROUND($F471+$G471,2)=0),"",$F471+$G471)</f>
        <v/>
      </c>
      <c r="I471">
        <f>IF($H471="","",IF(ROUND($F471,2)&gt;0,$A471,IF($D471="شخصی قاسم","شخصی قاسم",IF($D471="هزینه","هزینه: "&amp;IF($E471="","متفرقه",$E471),IF($C471="پاس چک","چک پرداختی",IF(OR($B471="",COUNTIF(AcctCodesA,$B471)=0),"متفرقه",$B471))))))</f>
        <v/>
      </c>
      <c r="J471">
        <f>IF($H471="","",IF(ROUND($F471,2)&gt;0,IF($D471="شخصی قاسم","شخصی قاسم",IF($D471="هزینه","هزینه: "&amp;IF($E471="","متفرقه",$E471),IF(OR($B471="",COUNTIF(AcctCodesA,$B471)=0),"متفرقه",$B471))),$A471))</f>
        <v/>
      </c>
      <c r="K471">
        <f>IF($A471="","",IF(AND($B471&lt;&gt;"",COUNTIF(AcctCodesA,$B471)=0),"کد طرف در INFO تعریف نشده",IF(AND($D471="هزینه",$E471=""),"هزینه بدون زیرگروه",IF(AND($C471="پاس چک",OR(Sync!$AJ471="",COUNTIF(IssueNosA,Sync!$AJ471)=0)),"شماره چک پاس‌شده معتبر نیست",""))))</f>
        <v/>
      </c>
      <c r="M471">
        <f>IF(Sync!$AH471="","",Sync!$AH471)</f>
        <v/>
      </c>
      <c r="N471">
        <f>IF($M471="","",IF(OR(Sync!$AI471="",COUNTIF(AcctCodesA,Sync!$AI471)=0),"متفرقه",Sync!$AI471))</f>
        <v/>
      </c>
      <c r="O471">
        <f>IF($M471="","",$N471)</f>
        <v/>
      </c>
      <c r="P471">
        <f>IF($M471="","","چک پرداختی")</f>
        <v/>
      </c>
      <c r="R471">
        <f>IF($M471="","",IF(COUNTIF(AcctCodesA,Sync!$AI471)=0,"ذی‌نفع چک تعریف‌نشده",""))</f>
        <v/>
      </c>
      <c r="S471">
        <f>IF($R471="","",Sync!$AG471&amp;"|"&amp;"5"&amp;RIGHT("00000"&amp;466,5))</f>
        <v/>
      </c>
      <c r="T471">
        <f>IF($S471="",0,COUNTIFS($S$6:$S$505,"&lt;"&amp;$S471)-COUNTIFS($S$6:$S$505,"&lt;"&amp;$S471,$R$6:$R$505,"")+1)</f>
        <v/>
      </c>
      <c r="V471">
        <f>IF($K471="","",IF(ISNUMBER(Sync!$AK471),Sync!$AK471,LEFT(Sync!$AK471,4)&amp;MID(Sync!$AK471,6,2)&amp;RIGHT(Sync!$AK471,2))&amp;"|"&amp;"4"&amp;RIGHT("00000"&amp;466,5))</f>
        <v/>
      </c>
      <c r="W471">
        <f>IF($V471="",0,COUNTIFS($V$6:$V$2005,"&lt;"&amp;$V471)-COUNTIFS($V$6:$V$2005,"&lt;"&amp;$V471,$K$6:$K$2005,"")+1)</f>
        <v/>
      </c>
      <c r="X471">
        <f>IF(Sync!$AX471="","",IF(OR(N(Sync!$AY471)=0,N(Sync!$AZ471)=0),"",ROUND(N(Sync!$AY471)*N(Sync!$AZ471),0)))</f>
        <v/>
      </c>
      <c r="Y471">
        <f>IF($X471="","",IF(OR(Sync!$AX471="",COUNTIF(AcctCodesA,Sync!$AX471)=0),"متفرقه",Sync!$AX471))</f>
        <v/>
      </c>
      <c r="Z471">
        <f>IF($X471="","","سبد و ظروف")</f>
        <v/>
      </c>
      <c r="AA471">
        <f>IF($X471="","",$Y471)</f>
        <v/>
      </c>
    </row>
    <row r="472">
      <c r="A472">
        <f>IF(Sync!$Z472="","",LEFT(UPPER(TRIM(Sync!$Z472)),6))</f>
        <v/>
      </c>
      <c r="B472">
        <f>IF($A472="","",IF(Sync!$AA472="","",Sync!$AA472))</f>
        <v/>
      </c>
      <c r="C472">
        <f>IF($A472="","",IF(Sync!$AB472="","",Sync!$AB472))</f>
        <v/>
      </c>
      <c r="D472">
        <f>IF($A472="","",IF(Sync!$AC472="","",Sync!$AC472))</f>
        <v/>
      </c>
      <c r="E472">
        <f>IF($A472="","",IF(Sync!$AD472="","",Sync!$AD472))</f>
        <v/>
      </c>
      <c r="F472">
        <f>IF($A472="","",IF(Sync!$AE472="",0,Sync!$AE472))</f>
        <v/>
      </c>
      <c r="G472">
        <f>IF($A472="","",IF(Sync!$AF472="",0,Sync!$AF472))</f>
        <v/>
      </c>
      <c r="H472">
        <f>IF(OR($A472="",ROUND($F472+$G472,2)=0),"",$F472+$G472)</f>
        <v/>
      </c>
      <c r="I472">
        <f>IF($H472="","",IF(ROUND($F472,2)&gt;0,$A472,IF($D472="شخصی قاسم","شخصی قاسم",IF($D472="هزینه","هزینه: "&amp;IF($E472="","متفرقه",$E472),IF($C472="پاس چک","چک پرداختی",IF(OR($B472="",COUNTIF(AcctCodesA,$B472)=0),"متفرقه",$B472))))))</f>
        <v/>
      </c>
      <c r="J472">
        <f>IF($H472="","",IF(ROUND($F472,2)&gt;0,IF($D472="شخصی قاسم","شخصی قاسم",IF($D472="هزینه","هزینه: "&amp;IF($E472="","متفرقه",$E472),IF(OR($B472="",COUNTIF(AcctCodesA,$B472)=0),"متفرقه",$B472))),$A472))</f>
        <v/>
      </c>
      <c r="K472">
        <f>IF($A472="","",IF(AND($B472&lt;&gt;"",COUNTIF(AcctCodesA,$B472)=0),"کد طرف در INFO تعریف نشده",IF(AND($D472="هزینه",$E472=""),"هزینه بدون زیرگروه",IF(AND($C472="پاس چک",OR(Sync!$AJ472="",COUNTIF(IssueNosA,Sync!$AJ472)=0)),"شماره چک پاس‌شده معتبر نیست",""))))</f>
        <v/>
      </c>
      <c r="M472">
        <f>IF(Sync!$AH472="","",Sync!$AH472)</f>
        <v/>
      </c>
      <c r="N472">
        <f>IF($M472="","",IF(OR(Sync!$AI472="",COUNTIF(AcctCodesA,Sync!$AI472)=0),"متفرقه",Sync!$AI472))</f>
        <v/>
      </c>
      <c r="O472">
        <f>IF($M472="","",$N472)</f>
        <v/>
      </c>
      <c r="P472">
        <f>IF($M472="","","چک پرداختی")</f>
        <v/>
      </c>
      <c r="R472">
        <f>IF($M472="","",IF(COUNTIF(AcctCodesA,Sync!$AI472)=0,"ذی‌نفع چک تعریف‌نشده",""))</f>
        <v/>
      </c>
      <c r="S472">
        <f>IF($R472="","",Sync!$AG472&amp;"|"&amp;"5"&amp;RIGHT("00000"&amp;467,5))</f>
        <v/>
      </c>
      <c r="T472">
        <f>IF($S472="",0,COUNTIFS($S$6:$S$505,"&lt;"&amp;$S472)-COUNTIFS($S$6:$S$505,"&lt;"&amp;$S472,$R$6:$R$505,"")+1)</f>
        <v/>
      </c>
      <c r="V472">
        <f>IF($K472="","",IF(ISNUMBER(Sync!$AK472),Sync!$AK472,LEFT(Sync!$AK472,4)&amp;MID(Sync!$AK472,6,2)&amp;RIGHT(Sync!$AK472,2))&amp;"|"&amp;"4"&amp;RIGHT("00000"&amp;467,5))</f>
        <v/>
      </c>
      <c r="W472">
        <f>IF($V472="",0,COUNTIFS($V$6:$V$2005,"&lt;"&amp;$V472)-COUNTIFS($V$6:$V$2005,"&lt;"&amp;$V472,$K$6:$K$2005,"")+1)</f>
        <v/>
      </c>
      <c r="X472">
        <f>IF(Sync!$AX472="","",IF(OR(N(Sync!$AY472)=0,N(Sync!$AZ472)=0),"",ROUND(N(Sync!$AY472)*N(Sync!$AZ472),0)))</f>
        <v/>
      </c>
      <c r="Y472">
        <f>IF($X472="","",IF(OR(Sync!$AX472="",COUNTIF(AcctCodesA,Sync!$AX472)=0),"متفرقه",Sync!$AX472))</f>
        <v/>
      </c>
      <c r="Z472">
        <f>IF($X472="","","سبد و ظروف")</f>
        <v/>
      </c>
      <c r="AA472">
        <f>IF($X472="","",$Y472)</f>
        <v/>
      </c>
    </row>
    <row r="473">
      <c r="A473">
        <f>IF(Sync!$Z473="","",LEFT(UPPER(TRIM(Sync!$Z473)),6))</f>
        <v/>
      </c>
      <c r="B473">
        <f>IF($A473="","",IF(Sync!$AA473="","",Sync!$AA473))</f>
        <v/>
      </c>
      <c r="C473">
        <f>IF($A473="","",IF(Sync!$AB473="","",Sync!$AB473))</f>
        <v/>
      </c>
      <c r="D473">
        <f>IF($A473="","",IF(Sync!$AC473="","",Sync!$AC473))</f>
        <v/>
      </c>
      <c r="E473">
        <f>IF($A473="","",IF(Sync!$AD473="","",Sync!$AD473))</f>
        <v/>
      </c>
      <c r="F473">
        <f>IF($A473="","",IF(Sync!$AE473="",0,Sync!$AE473))</f>
        <v/>
      </c>
      <c r="G473">
        <f>IF($A473="","",IF(Sync!$AF473="",0,Sync!$AF473))</f>
        <v/>
      </c>
      <c r="H473">
        <f>IF(OR($A473="",ROUND($F473+$G473,2)=0),"",$F473+$G473)</f>
        <v/>
      </c>
      <c r="I473">
        <f>IF($H473="","",IF(ROUND($F473,2)&gt;0,$A473,IF($D473="شخصی قاسم","شخصی قاسم",IF($D473="هزینه","هزینه: "&amp;IF($E473="","متفرقه",$E473),IF($C473="پاس چک","چک پرداختی",IF(OR($B473="",COUNTIF(AcctCodesA,$B473)=0),"متفرقه",$B473))))))</f>
        <v/>
      </c>
      <c r="J473">
        <f>IF($H473="","",IF(ROUND($F473,2)&gt;0,IF($D473="شخصی قاسم","شخصی قاسم",IF($D473="هزینه","هزینه: "&amp;IF($E473="","متفرقه",$E473),IF(OR($B473="",COUNTIF(AcctCodesA,$B473)=0),"متفرقه",$B473))),$A473))</f>
        <v/>
      </c>
      <c r="K473">
        <f>IF($A473="","",IF(AND($B473&lt;&gt;"",COUNTIF(AcctCodesA,$B473)=0),"کد طرف در INFO تعریف نشده",IF(AND($D473="هزینه",$E473=""),"هزینه بدون زیرگروه",IF(AND($C473="پاس چک",OR(Sync!$AJ473="",COUNTIF(IssueNosA,Sync!$AJ473)=0)),"شماره چک پاس‌شده معتبر نیست",""))))</f>
        <v/>
      </c>
      <c r="M473">
        <f>IF(Sync!$AH473="","",Sync!$AH473)</f>
        <v/>
      </c>
      <c r="N473">
        <f>IF($M473="","",IF(OR(Sync!$AI473="",COUNTIF(AcctCodesA,Sync!$AI473)=0),"متفرقه",Sync!$AI473))</f>
        <v/>
      </c>
      <c r="O473">
        <f>IF($M473="","",$N473)</f>
        <v/>
      </c>
      <c r="P473">
        <f>IF($M473="","","چک پرداختی")</f>
        <v/>
      </c>
      <c r="R473">
        <f>IF($M473="","",IF(COUNTIF(AcctCodesA,Sync!$AI473)=0,"ذی‌نفع چک تعریف‌نشده",""))</f>
        <v/>
      </c>
      <c r="S473">
        <f>IF($R473="","",Sync!$AG473&amp;"|"&amp;"5"&amp;RIGHT("00000"&amp;468,5))</f>
        <v/>
      </c>
      <c r="T473">
        <f>IF($S473="",0,COUNTIFS($S$6:$S$505,"&lt;"&amp;$S473)-COUNTIFS($S$6:$S$505,"&lt;"&amp;$S473,$R$6:$R$505,"")+1)</f>
        <v/>
      </c>
      <c r="V473">
        <f>IF($K473="","",IF(ISNUMBER(Sync!$AK473),Sync!$AK473,LEFT(Sync!$AK473,4)&amp;MID(Sync!$AK473,6,2)&amp;RIGHT(Sync!$AK473,2))&amp;"|"&amp;"4"&amp;RIGHT("00000"&amp;468,5))</f>
        <v/>
      </c>
      <c r="W473">
        <f>IF($V473="",0,COUNTIFS($V$6:$V$2005,"&lt;"&amp;$V473)-COUNTIFS($V$6:$V$2005,"&lt;"&amp;$V473,$K$6:$K$2005,"")+1)</f>
        <v/>
      </c>
      <c r="X473">
        <f>IF(Sync!$AX473="","",IF(OR(N(Sync!$AY473)=0,N(Sync!$AZ473)=0),"",ROUND(N(Sync!$AY473)*N(Sync!$AZ473),0)))</f>
        <v/>
      </c>
      <c r="Y473">
        <f>IF($X473="","",IF(OR(Sync!$AX473="",COUNTIF(AcctCodesA,Sync!$AX473)=0),"متفرقه",Sync!$AX473))</f>
        <v/>
      </c>
      <c r="Z473">
        <f>IF($X473="","","سبد و ظروف")</f>
        <v/>
      </c>
      <c r="AA473">
        <f>IF($X473="","",$Y473)</f>
        <v/>
      </c>
    </row>
    <row r="474">
      <c r="A474">
        <f>IF(Sync!$Z474="","",LEFT(UPPER(TRIM(Sync!$Z474)),6))</f>
        <v/>
      </c>
      <c r="B474">
        <f>IF($A474="","",IF(Sync!$AA474="","",Sync!$AA474))</f>
        <v/>
      </c>
      <c r="C474">
        <f>IF($A474="","",IF(Sync!$AB474="","",Sync!$AB474))</f>
        <v/>
      </c>
      <c r="D474">
        <f>IF($A474="","",IF(Sync!$AC474="","",Sync!$AC474))</f>
        <v/>
      </c>
      <c r="E474">
        <f>IF($A474="","",IF(Sync!$AD474="","",Sync!$AD474))</f>
        <v/>
      </c>
      <c r="F474">
        <f>IF($A474="","",IF(Sync!$AE474="",0,Sync!$AE474))</f>
        <v/>
      </c>
      <c r="G474">
        <f>IF($A474="","",IF(Sync!$AF474="",0,Sync!$AF474))</f>
        <v/>
      </c>
      <c r="H474">
        <f>IF(OR($A474="",ROUND($F474+$G474,2)=0),"",$F474+$G474)</f>
        <v/>
      </c>
      <c r="I474">
        <f>IF($H474="","",IF(ROUND($F474,2)&gt;0,$A474,IF($D474="شخصی قاسم","شخصی قاسم",IF($D474="هزینه","هزینه: "&amp;IF($E474="","متفرقه",$E474),IF($C474="پاس چک","چک پرداختی",IF(OR($B474="",COUNTIF(AcctCodesA,$B474)=0),"متفرقه",$B474))))))</f>
        <v/>
      </c>
      <c r="J474">
        <f>IF($H474="","",IF(ROUND($F474,2)&gt;0,IF($D474="شخصی قاسم","شخصی قاسم",IF($D474="هزینه","هزینه: "&amp;IF($E474="","متفرقه",$E474),IF(OR($B474="",COUNTIF(AcctCodesA,$B474)=0),"متفرقه",$B474))),$A474))</f>
        <v/>
      </c>
      <c r="K474">
        <f>IF($A474="","",IF(AND($B474&lt;&gt;"",COUNTIF(AcctCodesA,$B474)=0),"کد طرف در INFO تعریف نشده",IF(AND($D474="هزینه",$E474=""),"هزینه بدون زیرگروه",IF(AND($C474="پاس چک",OR(Sync!$AJ474="",COUNTIF(IssueNosA,Sync!$AJ474)=0)),"شماره چک پاس‌شده معتبر نیست",""))))</f>
        <v/>
      </c>
      <c r="M474">
        <f>IF(Sync!$AH474="","",Sync!$AH474)</f>
        <v/>
      </c>
      <c r="N474">
        <f>IF($M474="","",IF(OR(Sync!$AI474="",COUNTIF(AcctCodesA,Sync!$AI474)=0),"متفرقه",Sync!$AI474))</f>
        <v/>
      </c>
      <c r="O474">
        <f>IF($M474="","",$N474)</f>
        <v/>
      </c>
      <c r="P474">
        <f>IF($M474="","","چک پرداختی")</f>
        <v/>
      </c>
      <c r="R474">
        <f>IF($M474="","",IF(COUNTIF(AcctCodesA,Sync!$AI474)=0,"ذی‌نفع چک تعریف‌نشده",""))</f>
        <v/>
      </c>
      <c r="S474">
        <f>IF($R474="","",Sync!$AG474&amp;"|"&amp;"5"&amp;RIGHT("00000"&amp;469,5))</f>
        <v/>
      </c>
      <c r="T474">
        <f>IF($S474="",0,COUNTIFS($S$6:$S$505,"&lt;"&amp;$S474)-COUNTIFS($S$6:$S$505,"&lt;"&amp;$S474,$R$6:$R$505,"")+1)</f>
        <v/>
      </c>
      <c r="V474">
        <f>IF($K474="","",IF(ISNUMBER(Sync!$AK474),Sync!$AK474,LEFT(Sync!$AK474,4)&amp;MID(Sync!$AK474,6,2)&amp;RIGHT(Sync!$AK474,2))&amp;"|"&amp;"4"&amp;RIGHT("00000"&amp;469,5))</f>
        <v/>
      </c>
      <c r="W474">
        <f>IF($V474="",0,COUNTIFS($V$6:$V$2005,"&lt;"&amp;$V474)-COUNTIFS($V$6:$V$2005,"&lt;"&amp;$V474,$K$6:$K$2005,"")+1)</f>
        <v/>
      </c>
      <c r="X474">
        <f>IF(Sync!$AX474="","",IF(OR(N(Sync!$AY474)=0,N(Sync!$AZ474)=0),"",ROUND(N(Sync!$AY474)*N(Sync!$AZ474),0)))</f>
        <v/>
      </c>
      <c r="Y474">
        <f>IF($X474="","",IF(OR(Sync!$AX474="",COUNTIF(AcctCodesA,Sync!$AX474)=0),"متفرقه",Sync!$AX474))</f>
        <v/>
      </c>
      <c r="Z474">
        <f>IF($X474="","","سبد و ظروف")</f>
        <v/>
      </c>
      <c r="AA474">
        <f>IF($X474="","",$Y474)</f>
        <v/>
      </c>
    </row>
    <row r="475">
      <c r="A475">
        <f>IF(Sync!$Z475="","",LEFT(UPPER(TRIM(Sync!$Z475)),6))</f>
        <v/>
      </c>
      <c r="B475">
        <f>IF($A475="","",IF(Sync!$AA475="","",Sync!$AA475))</f>
        <v/>
      </c>
      <c r="C475">
        <f>IF($A475="","",IF(Sync!$AB475="","",Sync!$AB475))</f>
        <v/>
      </c>
      <c r="D475">
        <f>IF($A475="","",IF(Sync!$AC475="","",Sync!$AC475))</f>
        <v/>
      </c>
      <c r="E475">
        <f>IF($A475="","",IF(Sync!$AD475="","",Sync!$AD475))</f>
        <v/>
      </c>
      <c r="F475">
        <f>IF($A475="","",IF(Sync!$AE475="",0,Sync!$AE475))</f>
        <v/>
      </c>
      <c r="G475">
        <f>IF($A475="","",IF(Sync!$AF475="",0,Sync!$AF475))</f>
        <v/>
      </c>
      <c r="H475">
        <f>IF(OR($A475="",ROUND($F475+$G475,2)=0),"",$F475+$G475)</f>
        <v/>
      </c>
      <c r="I475">
        <f>IF($H475="","",IF(ROUND($F475,2)&gt;0,$A475,IF($D475="شخصی قاسم","شخصی قاسم",IF($D475="هزینه","هزینه: "&amp;IF($E475="","متفرقه",$E475),IF($C475="پاس چک","چک پرداختی",IF(OR($B475="",COUNTIF(AcctCodesA,$B475)=0),"متفرقه",$B475))))))</f>
        <v/>
      </c>
      <c r="J475">
        <f>IF($H475="","",IF(ROUND($F475,2)&gt;0,IF($D475="شخصی قاسم","شخصی قاسم",IF($D475="هزینه","هزینه: "&amp;IF($E475="","متفرقه",$E475),IF(OR($B475="",COUNTIF(AcctCodesA,$B475)=0),"متفرقه",$B475))),$A475))</f>
        <v/>
      </c>
      <c r="K475">
        <f>IF($A475="","",IF(AND($B475&lt;&gt;"",COUNTIF(AcctCodesA,$B475)=0),"کد طرف در INFO تعریف نشده",IF(AND($D475="هزینه",$E475=""),"هزینه بدون زیرگروه",IF(AND($C475="پاس چک",OR(Sync!$AJ475="",COUNTIF(IssueNosA,Sync!$AJ475)=0)),"شماره چک پاس‌شده معتبر نیست",""))))</f>
        <v/>
      </c>
      <c r="M475">
        <f>IF(Sync!$AH475="","",Sync!$AH475)</f>
        <v/>
      </c>
      <c r="N475">
        <f>IF($M475="","",IF(OR(Sync!$AI475="",COUNTIF(AcctCodesA,Sync!$AI475)=0),"متفرقه",Sync!$AI475))</f>
        <v/>
      </c>
      <c r="O475">
        <f>IF($M475="","",$N475)</f>
        <v/>
      </c>
      <c r="P475">
        <f>IF($M475="","","چک پرداختی")</f>
        <v/>
      </c>
      <c r="R475">
        <f>IF($M475="","",IF(COUNTIF(AcctCodesA,Sync!$AI475)=0,"ذی‌نفع چک تعریف‌نشده",""))</f>
        <v/>
      </c>
      <c r="S475">
        <f>IF($R475="","",Sync!$AG475&amp;"|"&amp;"5"&amp;RIGHT("00000"&amp;470,5))</f>
        <v/>
      </c>
      <c r="T475">
        <f>IF($S475="",0,COUNTIFS($S$6:$S$505,"&lt;"&amp;$S475)-COUNTIFS($S$6:$S$505,"&lt;"&amp;$S475,$R$6:$R$505,"")+1)</f>
        <v/>
      </c>
      <c r="V475">
        <f>IF($K475="","",IF(ISNUMBER(Sync!$AK475),Sync!$AK475,LEFT(Sync!$AK475,4)&amp;MID(Sync!$AK475,6,2)&amp;RIGHT(Sync!$AK475,2))&amp;"|"&amp;"4"&amp;RIGHT("00000"&amp;470,5))</f>
        <v/>
      </c>
      <c r="W475">
        <f>IF($V475="",0,COUNTIFS($V$6:$V$2005,"&lt;"&amp;$V475)-COUNTIFS($V$6:$V$2005,"&lt;"&amp;$V475,$K$6:$K$2005,"")+1)</f>
        <v/>
      </c>
      <c r="X475">
        <f>IF(Sync!$AX475="","",IF(OR(N(Sync!$AY475)=0,N(Sync!$AZ475)=0),"",ROUND(N(Sync!$AY475)*N(Sync!$AZ475),0)))</f>
        <v/>
      </c>
      <c r="Y475">
        <f>IF($X475="","",IF(OR(Sync!$AX475="",COUNTIF(AcctCodesA,Sync!$AX475)=0),"متفرقه",Sync!$AX475))</f>
        <v/>
      </c>
      <c r="Z475">
        <f>IF($X475="","","سبد و ظروف")</f>
        <v/>
      </c>
      <c r="AA475">
        <f>IF($X475="","",$Y475)</f>
        <v/>
      </c>
    </row>
    <row r="476">
      <c r="A476">
        <f>IF(Sync!$Z476="","",LEFT(UPPER(TRIM(Sync!$Z476)),6))</f>
        <v/>
      </c>
      <c r="B476">
        <f>IF($A476="","",IF(Sync!$AA476="","",Sync!$AA476))</f>
        <v/>
      </c>
      <c r="C476">
        <f>IF($A476="","",IF(Sync!$AB476="","",Sync!$AB476))</f>
        <v/>
      </c>
      <c r="D476">
        <f>IF($A476="","",IF(Sync!$AC476="","",Sync!$AC476))</f>
        <v/>
      </c>
      <c r="E476">
        <f>IF($A476="","",IF(Sync!$AD476="","",Sync!$AD476))</f>
        <v/>
      </c>
      <c r="F476">
        <f>IF($A476="","",IF(Sync!$AE476="",0,Sync!$AE476))</f>
        <v/>
      </c>
      <c r="G476">
        <f>IF($A476="","",IF(Sync!$AF476="",0,Sync!$AF476))</f>
        <v/>
      </c>
      <c r="H476">
        <f>IF(OR($A476="",ROUND($F476+$G476,2)=0),"",$F476+$G476)</f>
        <v/>
      </c>
      <c r="I476">
        <f>IF($H476="","",IF(ROUND($F476,2)&gt;0,$A476,IF($D476="شخصی قاسم","شخصی قاسم",IF($D476="هزینه","هزینه: "&amp;IF($E476="","متفرقه",$E476),IF($C476="پاس چک","چک پرداختی",IF(OR($B476="",COUNTIF(AcctCodesA,$B476)=0),"متفرقه",$B476))))))</f>
        <v/>
      </c>
      <c r="J476">
        <f>IF($H476="","",IF(ROUND($F476,2)&gt;0,IF($D476="شخصی قاسم","شخصی قاسم",IF($D476="هزینه","هزینه: "&amp;IF($E476="","متفرقه",$E476),IF(OR($B476="",COUNTIF(AcctCodesA,$B476)=0),"متفرقه",$B476))),$A476))</f>
        <v/>
      </c>
      <c r="K476">
        <f>IF($A476="","",IF(AND($B476&lt;&gt;"",COUNTIF(AcctCodesA,$B476)=0),"کد طرف در INFO تعریف نشده",IF(AND($D476="هزینه",$E476=""),"هزینه بدون زیرگروه",IF(AND($C476="پاس چک",OR(Sync!$AJ476="",COUNTIF(IssueNosA,Sync!$AJ476)=0)),"شماره چک پاس‌شده معتبر نیست",""))))</f>
        <v/>
      </c>
      <c r="M476">
        <f>IF(Sync!$AH476="","",Sync!$AH476)</f>
        <v/>
      </c>
      <c r="N476">
        <f>IF($M476="","",IF(OR(Sync!$AI476="",COUNTIF(AcctCodesA,Sync!$AI476)=0),"متفرقه",Sync!$AI476))</f>
        <v/>
      </c>
      <c r="O476">
        <f>IF($M476="","",$N476)</f>
        <v/>
      </c>
      <c r="P476">
        <f>IF($M476="","","چک پرداختی")</f>
        <v/>
      </c>
      <c r="R476">
        <f>IF($M476="","",IF(COUNTIF(AcctCodesA,Sync!$AI476)=0,"ذی‌نفع چک تعریف‌نشده",""))</f>
        <v/>
      </c>
      <c r="S476">
        <f>IF($R476="","",Sync!$AG476&amp;"|"&amp;"5"&amp;RIGHT("00000"&amp;471,5))</f>
        <v/>
      </c>
      <c r="T476">
        <f>IF($S476="",0,COUNTIFS($S$6:$S$505,"&lt;"&amp;$S476)-COUNTIFS($S$6:$S$505,"&lt;"&amp;$S476,$R$6:$R$505,"")+1)</f>
        <v/>
      </c>
      <c r="V476">
        <f>IF($K476="","",IF(ISNUMBER(Sync!$AK476),Sync!$AK476,LEFT(Sync!$AK476,4)&amp;MID(Sync!$AK476,6,2)&amp;RIGHT(Sync!$AK476,2))&amp;"|"&amp;"4"&amp;RIGHT("00000"&amp;471,5))</f>
        <v/>
      </c>
      <c r="W476">
        <f>IF($V476="",0,COUNTIFS($V$6:$V$2005,"&lt;"&amp;$V476)-COUNTIFS($V$6:$V$2005,"&lt;"&amp;$V476,$K$6:$K$2005,"")+1)</f>
        <v/>
      </c>
      <c r="X476">
        <f>IF(Sync!$AX476="","",IF(OR(N(Sync!$AY476)=0,N(Sync!$AZ476)=0),"",ROUND(N(Sync!$AY476)*N(Sync!$AZ476),0)))</f>
        <v/>
      </c>
      <c r="Y476">
        <f>IF($X476="","",IF(OR(Sync!$AX476="",COUNTIF(AcctCodesA,Sync!$AX476)=0),"متفرقه",Sync!$AX476))</f>
        <v/>
      </c>
      <c r="Z476">
        <f>IF($X476="","","سبد و ظروف")</f>
        <v/>
      </c>
      <c r="AA476">
        <f>IF($X476="","",$Y476)</f>
        <v/>
      </c>
    </row>
    <row r="477">
      <c r="A477">
        <f>IF(Sync!$Z477="","",LEFT(UPPER(TRIM(Sync!$Z477)),6))</f>
        <v/>
      </c>
      <c r="B477">
        <f>IF($A477="","",IF(Sync!$AA477="","",Sync!$AA477))</f>
        <v/>
      </c>
      <c r="C477">
        <f>IF($A477="","",IF(Sync!$AB477="","",Sync!$AB477))</f>
        <v/>
      </c>
      <c r="D477">
        <f>IF($A477="","",IF(Sync!$AC477="","",Sync!$AC477))</f>
        <v/>
      </c>
      <c r="E477">
        <f>IF($A477="","",IF(Sync!$AD477="","",Sync!$AD477))</f>
        <v/>
      </c>
      <c r="F477">
        <f>IF($A477="","",IF(Sync!$AE477="",0,Sync!$AE477))</f>
        <v/>
      </c>
      <c r="G477">
        <f>IF($A477="","",IF(Sync!$AF477="",0,Sync!$AF477))</f>
        <v/>
      </c>
      <c r="H477">
        <f>IF(OR($A477="",ROUND($F477+$G477,2)=0),"",$F477+$G477)</f>
        <v/>
      </c>
      <c r="I477">
        <f>IF($H477="","",IF(ROUND($F477,2)&gt;0,$A477,IF($D477="شخصی قاسم","شخصی قاسم",IF($D477="هزینه","هزینه: "&amp;IF($E477="","متفرقه",$E477),IF($C477="پاس چک","چک پرداختی",IF(OR($B477="",COUNTIF(AcctCodesA,$B477)=0),"متفرقه",$B477))))))</f>
        <v/>
      </c>
      <c r="J477">
        <f>IF($H477="","",IF(ROUND($F477,2)&gt;0,IF($D477="شخصی قاسم","شخصی قاسم",IF($D477="هزینه","هزینه: "&amp;IF($E477="","متفرقه",$E477),IF(OR($B477="",COUNTIF(AcctCodesA,$B477)=0),"متفرقه",$B477))),$A477))</f>
        <v/>
      </c>
      <c r="K477">
        <f>IF($A477="","",IF(AND($B477&lt;&gt;"",COUNTIF(AcctCodesA,$B477)=0),"کد طرف در INFO تعریف نشده",IF(AND($D477="هزینه",$E477=""),"هزینه بدون زیرگروه",IF(AND($C477="پاس چک",OR(Sync!$AJ477="",COUNTIF(IssueNosA,Sync!$AJ477)=0)),"شماره چک پاس‌شده معتبر نیست",""))))</f>
        <v/>
      </c>
      <c r="M477">
        <f>IF(Sync!$AH477="","",Sync!$AH477)</f>
        <v/>
      </c>
      <c r="N477">
        <f>IF($M477="","",IF(OR(Sync!$AI477="",COUNTIF(AcctCodesA,Sync!$AI477)=0),"متفرقه",Sync!$AI477))</f>
        <v/>
      </c>
      <c r="O477">
        <f>IF($M477="","",$N477)</f>
        <v/>
      </c>
      <c r="P477">
        <f>IF($M477="","","چک پرداختی")</f>
        <v/>
      </c>
      <c r="R477">
        <f>IF($M477="","",IF(COUNTIF(AcctCodesA,Sync!$AI477)=0,"ذی‌نفع چک تعریف‌نشده",""))</f>
        <v/>
      </c>
      <c r="S477">
        <f>IF($R477="","",Sync!$AG477&amp;"|"&amp;"5"&amp;RIGHT("00000"&amp;472,5))</f>
        <v/>
      </c>
      <c r="T477">
        <f>IF($S477="",0,COUNTIFS($S$6:$S$505,"&lt;"&amp;$S477)-COUNTIFS($S$6:$S$505,"&lt;"&amp;$S477,$R$6:$R$505,"")+1)</f>
        <v/>
      </c>
      <c r="V477">
        <f>IF($K477="","",IF(ISNUMBER(Sync!$AK477),Sync!$AK477,LEFT(Sync!$AK477,4)&amp;MID(Sync!$AK477,6,2)&amp;RIGHT(Sync!$AK477,2))&amp;"|"&amp;"4"&amp;RIGHT("00000"&amp;472,5))</f>
        <v/>
      </c>
      <c r="W477">
        <f>IF($V477="",0,COUNTIFS($V$6:$V$2005,"&lt;"&amp;$V477)-COUNTIFS($V$6:$V$2005,"&lt;"&amp;$V477,$K$6:$K$2005,"")+1)</f>
        <v/>
      </c>
      <c r="X477">
        <f>IF(Sync!$AX477="","",IF(OR(N(Sync!$AY477)=0,N(Sync!$AZ477)=0),"",ROUND(N(Sync!$AY477)*N(Sync!$AZ477),0)))</f>
        <v/>
      </c>
      <c r="Y477">
        <f>IF($X477="","",IF(OR(Sync!$AX477="",COUNTIF(AcctCodesA,Sync!$AX477)=0),"متفرقه",Sync!$AX477))</f>
        <v/>
      </c>
      <c r="Z477">
        <f>IF($X477="","","سبد و ظروف")</f>
        <v/>
      </c>
      <c r="AA477">
        <f>IF($X477="","",$Y477)</f>
        <v/>
      </c>
    </row>
    <row r="478">
      <c r="A478">
        <f>IF(Sync!$Z478="","",LEFT(UPPER(TRIM(Sync!$Z478)),6))</f>
        <v/>
      </c>
      <c r="B478">
        <f>IF($A478="","",IF(Sync!$AA478="","",Sync!$AA478))</f>
        <v/>
      </c>
      <c r="C478">
        <f>IF($A478="","",IF(Sync!$AB478="","",Sync!$AB478))</f>
        <v/>
      </c>
      <c r="D478">
        <f>IF($A478="","",IF(Sync!$AC478="","",Sync!$AC478))</f>
        <v/>
      </c>
      <c r="E478">
        <f>IF($A478="","",IF(Sync!$AD478="","",Sync!$AD478))</f>
        <v/>
      </c>
      <c r="F478">
        <f>IF($A478="","",IF(Sync!$AE478="",0,Sync!$AE478))</f>
        <v/>
      </c>
      <c r="G478">
        <f>IF($A478="","",IF(Sync!$AF478="",0,Sync!$AF478))</f>
        <v/>
      </c>
      <c r="H478">
        <f>IF(OR($A478="",ROUND($F478+$G478,2)=0),"",$F478+$G478)</f>
        <v/>
      </c>
      <c r="I478">
        <f>IF($H478="","",IF(ROUND($F478,2)&gt;0,$A478,IF($D478="شخصی قاسم","شخصی قاسم",IF($D478="هزینه","هزینه: "&amp;IF($E478="","متفرقه",$E478),IF($C478="پاس چک","چک پرداختی",IF(OR($B478="",COUNTIF(AcctCodesA,$B478)=0),"متفرقه",$B478))))))</f>
        <v/>
      </c>
      <c r="J478">
        <f>IF($H478="","",IF(ROUND($F478,2)&gt;0,IF($D478="شخصی قاسم","شخصی قاسم",IF($D478="هزینه","هزینه: "&amp;IF($E478="","متفرقه",$E478),IF(OR($B478="",COUNTIF(AcctCodesA,$B478)=0),"متفرقه",$B478))),$A478))</f>
        <v/>
      </c>
      <c r="K478">
        <f>IF($A478="","",IF(AND($B478&lt;&gt;"",COUNTIF(AcctCodesA,$B478)=0),"کد طرف در INFO تعریف نشده",IF(AND($D478="هزینه",$E478=""),"هزینه بدون زیرگروه",IF(AND($C478="پاس چک",OR(Sync!$AJ478="",COUNTIF(IssueNosA,Sync!$AJ478)=0)),"شماره چک پاس‌شده معتبر نیست",""))))</f>
        <v/>
      </c>
      <c r="M478">
        <f>IF(Sync!$AH478="","",Sync!$AH478)</f>
        <v/>
      </c>
      <c r="N478">
        <f>IF($M478="","",IF(OR(Sync!$AI478="",COUNTIF(AcctCodesA,Sync!$AI478)=0),"متفرقه",Sync!$AI478))</f>
        <v/>
      </c>
      <c r="O478">
        <f>IF($M478="","",$N478)</f>
        <v/>
      </c>
      <c r="P478">
        <f>IF($M478="","","چک پرداختی")</f>
        <v/>
      </c>
      <c r="R478">
        <f>IF($M478="","",IF(COUNTIF(AcctCodesA,Sync!$AI478)=0,"ذی‌نفع چک تعریف‌نشده",""))</f>
        <v/>
      </c>
      <c r="S478">
        <f>IF($R478="","",Sync!$AG478&amp;"|"&amp;"5"&amp;RIGHT("00000"&amp;473,5))</f>
        <v/>
      </c>
      <c r="T478">
        <f>IF($S478="",0,COUNTIFS($S$6:$S$505,"&lt;"&amp;$S478)-COUNTIFS($S$6:$S$505,"&lt;"&amp;$S478,$R$6:$R$505,"")+1)</f>
        <v/>
      </c>
      <c r="V478">
        <f>IF($K478="","",IF(ISNUMBER(Sync!$AK478),Sync!$AK478,LEFT(Sync!$AK478,4)&amp;MID(Sync!$AK478,6,2)&amp;RIGHT(Sync!$AK478,2))&amp;"|"&amp;"4"&amp;RIGHT("00000"&amp;473,5))</f>
        <v/>
      </c>
      <c r="W478">
        <f>IF($V478="",0,COUNTIFS($V$6:$V$2005,"&lt;"&amp;$V478)-COUNTIFS($V$6:$V$2005,"&lt;"&amp;$V478,$K$6:$K$2005,"")+1)</f>
        <v/>
      </c>
      <c r="X478">
        <f>IF(Sync!$AX478="","",IF(OR(N(Sync!$AY478)=0,N(Sync!$AZ478)=0),"",ROUND(N(Sync!$AY478)*N(Sync!$AZ478),0)))</f>
        <v/>
      </c>
      <c r="Y478">
        <f>IF($X478="","",IF(OR(Sync!$AX478="",COUNTIF(AcctCodesA,Sync!$AX478)=0),"متفرقه",Sync!$AX478))</f>
        <v/>
      </c>
      <c r="Z478">
        <f>IF($X478="","","سبد و ظروف")</f>
        <v/>
      </c>
      <c r="AA478">
        <f>IF($X478="","",$Y478)</f>
        <v/>
      </c>
    </row>
    <row r="479">
      <c r="A479">
        <f>IF(Sync!$Z479="","",LEFT(UPPER(TRIM(Sync!$Z479)),6))</f>
        <v/>
      </c>
      <c r="B479">
        <f>IF($A479="","",IF(Sync!$AA479="","",Sync!$AA479))</f>
        <v/>
      </c>
      <c r="C479">
        <f>IF($A479="","",IF(Sync!$AB479="","",Sync!$AB479))</f>
        <v/>
      </c>
      <c r="D479">
        <f>IF($A479="","",IF(Sync!$AC479="","",Sync!$AC479))</f>
        <v/>
      </c>
      <c r="E479">
        <f>IF($A479="","",IF(Sync!$AD479="","",Sync!$AD479))</f>
        <v/>
      </c>
      <c r="F479">
        <f>IF($A479="","",IF(Sync!$AE479="",0,Sync!$AE479))</f>
        <v/>
      </c>
      <c r="G479">
        <f>IF($A479="","",IF(Sync!$AF479="",0,Sync!$AF479))</f>
        <v/>
      </c>
      <c r="H479">
        <f>IF(OR($A479="",ROUND($F479+$G479,2)=0),"",$F479+$G479)</f>
        <v/>
      </c>
      <c r="I479">
        <f>IF($H479="","",IF(ROUND($F479,2)&gt;0,$A479,IF($D479="شخصی قاسم","شخصی قاسم",IF($D479="هزینه","هزینه: "&amp;IF($E479="","متفرقه",$E479),IF($C479="پاس چک","چک پرداختی",IF(OR($B479="",COUNTIF(AcctCodesA,$B479)=0),"متفرقه",$B479))))))</f>
        <v/>
      </c>
      <c r="J479">
        <f>IF($H479="","",IF(ROUND($F479,2)&gt;0,IF($D479="شخصی قاسم","شخصی قاسم",IF($D479="هزینه","هزینه: "&amp;IF($E479="","متفرقه",$E479),IF(OR($B479="",COUNTIF(AcctCodesA,$B479)=0),"متفرقه",$B479))),$A479))</f>
        <v/>
      </c>
      <c r="K479">
        <f>IF($A479="","",IF(AND($B479&lt;&gt;"",COUNTIF(AcctCodesA,$B479)=0),"کد طرف در INFO تعریف نشده",IF(AND($D479="هزینه",$E479=""),"هزینه بدون زیرگروه",IF(AND($C479="پاس چک",OR(Sync!$AJ479="",COUNTIF(IssueNosA,Sync!$AJ479)=0)),"شماره چک پاس‌شده معتبر نیست",""))))</f>
        <v/>
      </c>
      <c r="M479">
        <f>IF(Sync!$AH479="","",Sync!$AH479)</f>
        <v/>
      </c>
      <c r="N479">
        <f>IF($M479="","",IF(OR(Sync!$AI479="",COUNTIF(AcctCodesA,Sync!$AI479)=0),"متفرقه",Sync!$AI479))</f>
        <v/>
      </c>
      <c r="O479">
        <f>IF($M479="","",$N479)</f>
        <v/>
      </c>
      <c r="P479">
        <f>IF($M479="","","چک پرداختی")</f>
        <v/>
      </c>
      <c r="R479">
        <f>IF($M479="","",IF(COUNTIF(AcctCodesA,Sync!$AI479)=0,"ذی‌نفع چک تعریف‌نشده",""))</f>
        <v/>
      </c>
      <c r="S479">
        <f>IF($R479="","",Sync!$AG479&amp;"|"&amp;"5"&amp;RIGHT("00000"&amp;474,5))</f>
        <v/>
      </c>
      <c r="T479">
        <f>IF($S479="",0,COUNTIFS($S$6:$S$505,"&lt;"&amp;$S479)-COUNTIFS($S$6:$S$505,"&lt;"&amp;$S479,$R$6:$R$505,"")+1)</f>
        <v/>
      </c>
      <c r="V479">
        <f>IF($K479="","",IF(ISNUMBER(Sync!$AK479),Sync!$AK479,LEFT(Sync!$AK479,4)&amp;MID(Sync!$AK479,6,2)&amp;RIGHT(Sync!$AK479,2))&amp;"|"&amp;"4"&amp;RIGHT("00000"&amp;474,5))</f>
        <v/>
      </c>
      <c r="W479">
        <f>IF($V479="",0,COUNTIFS($V$6:$V$2005,"&lt;"&amp;$V479)-COUNTIFS($V$6:$V$2005,"&lt;"&amp;$V479,$K$6:$K$2005,"")+1)</f>
        <v/>
      </c>
      <c r="X479">
        <f>IF(Sync!$AX479="","",IF(OR(N(Sync!$AY479)=0,N(Sync!$AZ479)=0),"",ROUND(N(Sync!$AY479)*N(Sync!$AZ479),0)))</f>
        <v/>
      </c>
      <c r="Y479">
        <f>IF($X479="","",IF(OR(Sync!$AX479="",COUNTIF(AcctCodesA,Sync!$AX479)=0),"متفرقه",Sync!$AX479))</f>
        <v/>
      </c>
      <c r="Z479">
        <f>IF($X479="","","سبد و ظروف")</f>
        <v/>
      </c>
      <c r="AA479">
        <f>IF($X479="","",$Y479)</f>
        <v/>
      </c>
    </row>
    <row r="480">
      <c r="A480">
        <f>IF(Sync!$Z480="","",LEFT(UPPER(TRIM(Sync!$Z480)),6))</f>
        <v/>
      </c>
      <c r="B480">
        <f>IF($A480="","",IF(Sync!$AA480="","",Sync!$AA480))</f>
        <v/>
      </c>
      <c r="C480">
        <f>IF($A480="","",IF(Sync!$AB480="","",Sync!$AB480))</f>
        <v/>
      </c>
      <c r="D480">
        <f>IF($A480="","",IF(Sync!$AC480="","",Sync!$AC480))</f>
        <v/>
      </c>
      <c r="E480">
        <f>IF($A480="","",IF(Sync!$AD480="","",Sync!$AD480))</f>
        <v/>
      </c>
      <c r="F480">
        <f>IF($A480="","",IF(Sync!$AE480="",0,Sync!$AE480))</f>
        <v/>
      </c>
      <c r="G480">
        <f>IF($A480="","",IF(Sync!$AF480="",0,Sync!$AF480))</f>
        <v/>
      </c>
      <c r="H480">
        <f>IF(OR($A480="",ROUND($F480+$G480,2)=0),"",$F480+$G480)</f>
        <v/>
      </c>
      <c r="I480">
        <f>IF($H480="","",IF(ROUND($F480,2)&gt;0,$A480,IF($D480="شخصی قاسم","شخصی قاسم",IF($D480="هزینه","هزینه: "&amp;IF($E480="","متفرقه",$E480),IF($C480="پاس چک","چک پرداختی",IF(OR($B480="",COUNTIF(AcctCodesA,$B480)=0),"متفرقه",$B480))))))</f>
        <v/>
      </c>
      <c r="J480">
        <f>IF($H480="","",IF(ROUND($F480,2)&gt;0,IF($D480="شخصی قاسم","شخصی قاسم",IF($D480="هزینه","هزینه: "&amp;IF($E480="","متفرقه",$E480),IF(OR($B480="",COUNTIF(AcctCodesA,$B480)=0),"متفرقه",$B480))),$A480))</f>
        <v/>
      </c>
      <c r="K480">
        <f>IF($A480="","",IF(AND($B480&lt;&gt;"",COUNTIF(AcctCodesA,$B480)=0),"کد طرف در INFO تعریف نشده",IF(AND($D480="هزینه",$E480=""),"هزینه بدون زیرگروه",IF(AND($C480="پاس چک",OR(Sync!$AJ480="",COUNTIF(IssueNosA,Sync!$AJ480)=0)),"شماره چک پاس‌شده معتبر نیست",""))))</f>
        <v/>
      </c>
      <c r="M480">
        <f>IF(Sync!$AH480="","",Sync!$AH480)</f>
        <v/>
      </c>
      <c r="N480">
        <f>IF($M480="","",IF(OR(Sync!$AI480="",COUNTIF(AcctCodesA,Sync!$AI480)=0),"متفرقه",Sync!$AI480))</f>
        <v/>
      </c>
      <c r="O480">
        <f>IF($M480="","",$N480)</f>
        <v/>
      </c>
      <c r="P480">
        <f>IF($M480="","","چک پرداختی")</f>
        <v/>
      </c>
      <c r="R480">
        <f>IF($M480="","",IF(COUNTIF(AcctCodesA,Sync!$AI480)=0,"ذی‌نفع چک تعریف‌نشده",""))</f>
        <v/>
      </c>
      <c r="S480">
        <f>IF($R480="","",Sync!$AG480&amp;"|"&amp;"5"&amp;RIGHT("00000"&amp;475,5))</f>
        <v/>
      </c>
      <c r="T480">
        <f>IF($S480="",0,COUNTIFS($S$6:$S$505,"&lt;"&amp;$S480)-COUNTIFS($S$6:$S$505,"&lt;"&amp;$S480,$R$6:$R$505,"")+1)</f>
        <v/>
      </c>
      <c r="V480">
        <f>IF($K480="","",IF(ISNUMBER(Sync!$AK480),Sync!$AK480,LEFT(Sync!$AK480,4)&amp;MID(Sync!$AK480,6,2)&amp;RIGHT(Sync!$AK480,2))&amp;"|"&amp;"4"&amp;RIGHT("00000"&amp;475,5))</f>
        <v/>
      </c>
      <c r="W480">
        <f>IF($V480="",0,COUNTIFS($V$6:$V$2005,"&lt;"&amp;$V480)-COUNTIFS($V$6:$V$2005,"&lt;"&amp;$V480,$K$6:$K$2005,"")+1)</f>
        <v/>
      </c>
      <c r="X480">
        <f>IF(Sync!$AX480="","",IF(OR(N(Sync!$AY480)=0,N(Sync!$AZ480)=0),"",ROUND(N(Sync!$AY480)*N(Sync!$AZ480),0)))</f>
        <v/>
      </c>
      <c r="Y480">
        <f>IF($X480="","",IF(OR(Sync!$AX480="",COUNTIF(AcctCodesA,Sync!$AX480)=0),"متفرقه",Sync!$AX480))</f>
        <v/>
      </c>
      <c r="Z480">
        <f>IF($X480="","","سبد و ظروف")</f>
        <v/>
      </c>
      <c r="AA480">
        <f>IF($X480="","",$Y480)</f>
        <v/>
      </c>
    </row>
    <row r="481">
      <c r="A481">
        <f>IF(Sync!$Z481="","",LEFT(UPPER(TRIM(Sync!$Z481)),6))</f>
        <v/>
      </c>
      <c r="B481">
        <f>IF($A481="","",IF(Sync!$AA481="","",Sync!$AA481))</f>
        <v/>
      </c>
      <c r="C481">
        <f>IF($A481="","",IF(Sync!$AB481="","",Sync!$AB481))</f>
        <v/>
      </c>
      <c r="D481">
        <f>IF($A481="","",IF(Sync!$AC481="","",Sync!$AC481))</f>
        <v/>
      </c>
      <c r="E481">
        <f>IF($A481="","",IF(Sync!$AD481="","",Sync!$AD481))</f>
        <v/>
      </c>
      <c r="F481">
        <f>IF($A481="","",IF(Sync!$AE481="",0,Sync!$AE481))</f>
        <v/>
      </c>
      <c r="G481">
        <f>IF($A481="","",IF(Sync!$AF481="",0,Sync!$AF481))</f>
        <v/>
      </c>
      <c r="H481">
        <f>IF(OR($A481="",ROUND($F481+$G481,2)=0),"",$F481+$G481)</f>
        <v/>
      </c>
      <c r="I481">
        <f>IF($H481="","",IF(ROUND($F481,2)&gt;0,$A481,IF($D481="شخصی قاسم","شخصی قاسم",IF($D481="هزینه","هزینه: "&amp;IF($E481="","متفرقه",$E481),IF($C481="پاس چک","چک پرداختی",IF(OR($B481="",COUNTIF(AcctCodesA,$B481)=0),"متفرقه",$B481))))))</f>
        <v/>
      </c>
      <c r="J481">
        <f>IF($H481="","",IF(ROUND($F481,2)&gt;0,IF($D481="شخصی قاسم","شخصی قاسم",IF($D481="هزینه","هزینه: "&amp;IF($E481="","متفرقه",$E481),IF(OR($B481="",COUNTIF(AcctCodesA,$B481)=0),"متفرقه",$B481))),$A481))</f>
        <v/>
      </c>
      <c r="K481">
        <f>IF($A481="","",IF(AND($B481&lt;&gt;"",COUNTIF(AcctCodesA,$B481)=0),"کد طرف در INFO تعریف نشده",IF(AND($D481="هزینه",$E481=""),"هزینه بدون زیرگروه",IF(AND($C481="پاس چک",OR(Sync!$AJ481="",COUNTIF(IssueNosA,Sync!$AJ481)=0)),"شماره چک پاس‌شده معتبر نیست",""))))</f>
        <v/>
      </c>
      <c r="M481">
        <f>IF(Sync!$AH481="","",Sync!$AH481)</f>
        <v/>
      </c>
      <c r="N481">
        <f>IF($M481="","",IF(OR(Sync!$AI481="",COUNTIF(AcctCodesA,Sync!$AI481)=0),"متفرقه",Sync!$AI481))</f>
        <v/>
      </c>
      <c r="O481">
        <f>IF($M481="","",$N481)</f>
        <v/>
      </c>
      <c r="P481">
        <f>IF($M481="","","چک پرداختی")</f>
        <v/>
      </c>
      <c r="R481">
        <f>IF($M481="","",IF(COUNTIF(AcctCodesA,Sync!$AI481)=0,"ذی‌نفع چک تعریف‌نشده",""))</f>
        <v/>
      </c>
      <c r="S481">
        <f>IF($R481="","",Sync!$AG481&amp;"|"&amp;"5"&amp;RIGHT("00000"&amp;476,5))</f>
        <v/>
      </c>
      <c r="T481">
        <f>IF($S481="",0,COUNTIFS($S$6:$S$505,"&lt;"&amp;$S481)-COUNTIFS($S$6:$S$505,"&lt;"&amp;$S481,$R$6:$R$505,"")+1)</f>
        <v/>
      </c>
      <c r="V481">
        <f>IF($K481="","",IF(ISNUMBER(Sync!$AK481),Sync!$AK481,LEFT(Sync!$AK481,4)&amp;MID(Sync!$AK481,6,2)&amp;RIGHT(Sync!$AK481,2))&amp;"|"&amp;"4"&amp;RIGHT("00000"&amp;476,5))</f>
        <v/>
      </c>
      <c r="W481">
        <f>IF($V481="",0,COUNTIFS($V$6:$V$2005,"&lt;"&amp;$V481)-COUNTIFS($V$6:$V$2005,"&lt;"&amp;$V481,$K$6:$K$2005,"")+1)</f>
        <v/>
      </c>
      <c r="X481">
        <f>IF(Sync!$AX481="","",IF(OR(N(Sync!$AY481)=0,N(Sync!$AZ481)=0),"",ROUND(N(Sync!$AY481)*N(Sync!$AZ481),0)))</f>
        <v/>
      </c>
      <c r="Y481">
        <f>IF($X481="","",IF(OR(Sync!$AX481="",COUNTIF(AcctCodesA,Sync!$AX481)=0),"متفرقه",Sync!$AX481))</f>
        <v/>
      </c>
      <c r="Z481">
        <f>IF($X481="","","سبد و ظروف")</f>
        <v/>
      </c>
      <c r="AA481">
        <f>IF($X481="","",$Y481)</f>
        <v/>
      </c>
    </row>
    <row r="482">
      <c r="A482">
        <f>IF(Sync!$Z482="","",LEFT(UPPER(TRIM(Sync!$Z482)),6))</f>
        <v/>
      </c>
      <c r="B482">
        <f>IF($A482="","",IF(Sync!$AA482="","",Sync!$AA482))</f>
        <v/>
      </c>
      <c r="C482">
        <f>IF($A482="","",IF(Sync!$AB482="","",Sync!$AB482))</f>
        <v/>
      </c>
      <c r="D482">
        <f>IF($A482="","",IF(Sync!$AC482="","",Sync!$AC482))</f>
        <v/>
      </c>
      <c r="E482">
        <f>IF($A482="","",IF(Sync!$AD482="","",Sync!$AD482))</f>
        <v/>
      </c>
      <c r="F482">
        <f>IF($A482="","",IF(Sync!$AE482="",0,Sync!$AE482))</f>
        <v/>
      </c>
      <c r="G482">
        <f>IF($A482="","",IF(Sync!$AF482="",0,Sync!$AF482))</f>
        <v/>
      </c>
      <c r="H482">
        <f>IF(OR($A482="",ROUND($F482+$G482,2)=0),"",$F482+$G482)</f>
        <v/>
      </c>
      <c r="I482">
        <f>IF($H482="","",IF(ROUND($F482,2)&gt;0,$A482,IF($D482="شخصی قاسم","شخصی قاسم",IF($D482="هزینه","هزینه: "&amp;IF($E482="","متفرقه",$E482),IF($C482="پاس چک","چک پرداختی",IF(OR($B482="",COUNTIF(AcctCodesA,$B482)=0),"متفرقه",$B482))))))</f>
        <v/>
      </c>
      <c r="J482">
        <f>IF($H482="","",IF(ROUND($F482,2)&gt;0,IF($D482="شخصی قاسم","شخصی قاسم",IF($D482="هزینه","هزینه: "&amp;IF($E482="","متفرقه",$E482),IF(OR($B482="",COUNTIF(AcctCodesA,$B482)=0),"متفرقه",$B482))),$A482))</f>
        <v/>
      </c>
      <c r="K482">
        <f>IF($A482="","",IF(AND($B482&lt;&gt;"",COUNTIF(AcctCodesA,$B482)=0),"کد طرف در INFO تعریف نشده",IF(AND($D482="هزینه",$E482=""),"هزینه بدون زیرگروه",IF(AND($C482="پاس چک",OR(Sync!$AJ482="",COUNTIF(IssueNosA,Sync!$AJ482)=0)),"شماره چک پاس‌شده معتبر نیست",""))))</f>
        <v/>
      </c>
      <c r="M482">
        <f>IF(Sync!$AH482="","",Sync!$AH482)</f>
        <v/>
      </c>
      <c r="N482">
        <f>IF($M482="","",IF(OR(Sync!$AI482="",COUNTIF(AcctCodesA,Sync!$AI482)=0),"متفرقه",Sync!$AI482))</f>
        <v/>
      </c>
      <c r="O482">
        <f>IF($M482="","",$N482)</f>
        <v/>
      </c>
      <c r="P482">
        <f>IF($M482="","","چک پرداختی")</f>
        <v/>
      </c>
      <c r="R482">
        <f>IF($M482="","",IF(COUNTIF(AcctCodesA,Sync!$AI482)=0,"ذی‌نفع چک تعریف‌نشده",""))</f>
        <v/>
      </c>
      <c r="S482">
        <f>IF($R482="","",Sync!$AG482&amp;"|"&amp;"5"&amp;RIGHT("00000"&amp;477,5))</f>
        <v/>
      </c>
      <c r="T482">
        <f>IF($S482="",0,COUNTIFS($S$6:$S$505,"&lt;"&amp;$S482)-COUNTIFS($S$6:$S$505,"&lt;"&amp;$S482,$R$6:$R$505,"")+1)</f>
        <v/>
      </c>
      <c r="V482">
        <f>IF($K482="","",IF(ISNUMBER(Sync!$AK482),Sync!$AK482,LEFT(Sync!$AK482,4)&amp;MID(Sync!$AK482,6,2)&amp;RIGHT(Sync!$AK482,2))&amp;"|"&amp;"4"&amp;RIGHT("00000"&amp;477,5))</f>
        <v/>
      </c>
      <c r="W482">
        <f>IF($V482="",0,COUNTIFS($V$6:$V$2005,"&lt;"&amp;$V482)-COUNTIFS($V$6:$V$2005,"&lt;"&amp;$V482,$K$6:$K$2005,"")+1)</f>
        <v/>
      </c>
      <c r="X482">
        <f>IF(Sync!$AX482="","",IF(OR(N(Sync!$AY482)=0,N(Sync!$AZ482)=0),"",ROUND(N(Sync!$AY482)*N(Sync!$AZ482),0)))</f>
        <v/>
      </c>
      <c r="Y482">
        <f>IF($X482="","",IF(OR(Sync!$AX482="",COUNTIF(AcctCodesA,Sync!$AX482)=0),"متفرقه",Sync!$AX482))</f>
        <v/>
      </c>
      <c r="Z482">
        <f>IF($X482="","","سبد و ظروف")</f>
        <v/>
      </c>
      <c r="AA482">
        <f>IF($X482="","",$Y482)</f>
        <v/>
      </c>
    </row>
    <row r="483">
      <c r="A483">
        <f>IF(Sync!$Z483="","",LEFT(UPPER(TRIM(Sync!$Z483)),6))</f>
        <v/>
      </c>
      <c r="B483">
        <f>IF($A483="","",IF(Sync!$AA483="","",Sync!$AA483))</f>
        <v/>
      </c>
      <c r="C483">
        <f>IF($A483="","",IF(Sync!$AB483="","",Sync!$AB483))</f>
        <v/>
      </c>
      <c r="D483">
        <f>IF($A483="","",IF(Sync!$AC483="","",Sync!$AC483))</f>
        <v/>
      </c>
      <c r="E483">
        <f>IF($A483="","",IF(Sync!$AD483="","",Sync!$AD483))</f>
        <v/>
      </c>
      <c r="F483">
        <f>IF($A483="","",IF(Sync!$AE483="",0,Sync!$AE483))</f>
        <v/>
      </c>
      <c r="G483">
        <f>IF($A483="","",IF(Sync!$AF483="",0,Sync!$AF483))</f>
        <v/>
      </c>
      <c r="H483">
        <f>IF(OR($A483="",ROUND($F483+$G483,2)=0),"",$F483+$G483)</f>
        <v/>
      </c>
      <c r="I483">
        <f>IF($H483="","",IF(ROUND($F483,2)&gt;0,$A483,IF($D483="شخصی قاسم","شخصی قاسم",IF($D483="هزینه","هزینه: "&amp;IF($E483="","متفرقه",$E483),IF($C483="پاس چک","چک پرداختی",IF(OR($B483="",COUNTIF(AcctCodesA,$B483)=0),"متفرقه",$B483))))))</f>
        <v/>
      </c>
      <c r="J483">
        <f>IF($H483="","",IF(ROUND($F483,2)&gt;0,IF($D483="شخصی قاسم","شخصی قاسم",IF($D483="هزینه","هزینه: "&amp;IF($E483="","متفرقه",$E483),IF(OR($B483="",COUNTIF(AcctCodesA,$B483)=0),"متفرقه",$B483))),$A483))</f>
        <v/>
      </c>
      <c r="K483">
        <f>IF($A483="","",IF(AND($B483&lt;&gt;"",COUNTIF(AcctCodesA,$B483)=0),"کد طرف در INFO تعریف نشده",IF(AND($D483="هزینه",$E483=""),"هزینه بدون زیرگروه",IF(AND($C483="پاس چک",OR(Sync!$AJ483="",COUNTIF(IssueNosA,Sync!$AJ483)=0)),"شماره چک پاس‌شده معتبر نیست",""))))</f>
        <v/>
      </c>
      <c r="M483">
        <f>IF(Sync!$AH483="","",Sync!$AH483)</f>
        <v/>
      </c>
      <c r="N483">
        <f>IF($M483="","",IF(OR(Sync!$AI483="",COUNTIF(AcctCodesA,Sync!$AI483)=0),"متفرقه",Sync!$AI483))</f>
        <v/>
      </c>
      <c r="O483">
        <f>IF($M483="","",$N483)</f>
        <v/>
      </c>
      <c r="P483">
        <f>IF($M483="","","چک پرداختی")</f>
        <v/>
      </c>
      <c r="R483">
        <f>IF($M483="","",IF(COUNTIF(AcctCodesA,Sync!$AI483)=0,"ذی‌نفع چک تعریف‌نشده",""))</f>
        <v/>
      </c>
      <c r="S483">
        <f>IF($R483="","",Sync!$AG483&amp;"|"&amp;"5"&amp;RIGHT("00000"&amp;478,5))</f>
        <v/>
      </c>
      <c r="T483">
        <f>IF($S483="",0,COUNTIFS($S$6:$S$505,"&lt;"&amp;$S483)-COUNTIFS($S$6:$S$505,"&lt;"&amp;$S483,$R$6:$R$505,"")+1)</f>
        <v/>
      </c>
      <c r="V483">
        <f>IF($K483="","",IF(ISNUMBER(Sync!$AK483),Sync!$AK483,LEFT(Sync!$AK483,4)&amp;MID(Sync!$AK483,6,2)&amp;RIGHT(Sync!$AK483,2))&amp;"|"&amp;"4"&amp;RIGHT("00000"&amp;478,5))</f>
        <v/>
      </c>
      <c r="W483">
        <f>IF($V483="",0,COUNTIFS($V$6:$V$2005,"&lt;"&amp;$V483)-COUNTIFS($V$6:$V$2005,"&lt;"&amp;$V483,$K$6:$K$2005,"")+1)</f>
        <v/>
      </c>
      <c r="X483">
        <f>IF(Sync!$AX483="","",IF(OR(N(Sync!$AY483)=0,N(Sync!$AZ483)=0),"",ROUND(N(Sync!$AY483)*N(Sync!$AZ483),0)))</f>
        <v/>
      </c>
      <c r="Y483">
        <f>IF($X483="","",IF(OR(Sync!$AX483="",COUNTIF(AcctCodesA,Sync!$AX483)=0),"متفرقه",Sync!$AX483))</f>
        <v/>
      </c>
      <c r="Z483">
        <f>IF($X483="","","سبد و ظروف")</f>
        <v/>
      </c>
      <c r="AA483">
        <f>IF($X483="","",$Y483)</f>
        <v/>
      </c>
    </row>
    <row r="484">
      <c r="A484">
        <f>IF(Sync!$Z484="","",LEFT(UPPER(TRIM(Sync!$Z484)),6))</f>
        <v/>
      </c>
      <c r="B484">
        <f>IF($A484="","",IF(Sync!$AA484="","",Sync!$AA484))</f>
        <v/>
      </c>
      <c r="C484">
        <f>IF($A484="","",IF(Sync!$AB484="","",Sync!$AB484))</f>
        <v/>
      </c>
      <c r="D484">
        <f>IF($A484="","",IF(Sync!$AC484="","",Sync!$AC484))</f>
        <v/>
      </c>
      <c r="E484">
        <f>IF($A484="","",IF(Sync!$AD484="","",Sync!$AD484))</f>
        <v/>
      </c>
      <c r="F484">
        <f>IF($A484="","",IF(Sync!$AE484="",0,Sync!$AE484))</f>
        <v/>
      </c>
      <c r="G484">
        <f>IF($A484="","",IF(Sync!$AF484="",0,Sync!$AF484))</f>
        <v/>
      </c>
      <c r="H484">
        <f>IF(OR($A484="",ROUND($F484+$G484,2)=0),"",$F484+$G484)</f>
        <v/>
      </c>
      <c r="I484">
        <f>IF($H484="","",IF(ROUND($F484,2)&gt;0,$A484,IF($D484="شخصی قاسم","شخصی قاسم",IF($D484="هزینه","هزینه: "&amp;IF($E484="","متفرقه",$E484),IF($C484="پاس چک","چک پرداختی",IF(OR($B484="",COUNTIF(AcctCodesA,$B484)=0),"متفرقه",$B484))))))</f>
        <v/>
      </c>
      <c r="J484">
        <f>IF($H484="","",IF(ROUND($F484,2)&gt;0,IF($D484="شخصی قاسم","شخصی قاسم",IF($D484="هزینه","هزینه: "&amp;IF($E484="","متفرقه",$E484),IF(OR($B484="",COUNTIF(AcctCodesA,$B484)=0),"متفرقه",$B484))),$A484))</f>
        <v/>
      </c>
      <c r="K484">
        <f>IF($A484="","",IF(AND($B484&lt;&gt;"",COUNTIF(AcctCodesA,$B484)=0),"کد طرف در INFO تعریف نشده",IF(AND($D484="هزینه",$E484=""),"هزینه بدون زیرگروه",IF(AND($C484="پاس چک",OR(Sync!$AJ484="",COUNTIF(IssueNosA,Sync!$AJ484)=0)),"شماره چک پاس‌شده معتبر نیست",""))))</f>
        <v/>
      </c>
      <c r="M484">
        <f>IF(Sync!$AH484="","",Sync!$AH484)</f>
        <v/>
      </c>
      <c r="N484">
        <f>IF($M484="","",IF(OR(Sync!$AI484="",COUNTIF(AcctCodesA,Sync!$AI484)=0),"متفرقه",Sync!$AI484))</f>
        <v/>
      </c>
      <c r="O484">
        <f>IF($M484="","",$N484)</f>
        <v/>
      </c>
      <c r="P484">
        <f>IF($M484="","","چک پرداختی")</f>
        <v/>
      </c>
      <c r="R484">
        <f>IF($M484="","",IF(COUNTIF(AcctCodesA,Sync!$AI484)=0,"ذی‌نفع چک تعریف‌نشده",""))</f>
        <v/>
      </c>
      <c r="S484">
        <f>IF($R484="","",Sync!$AG484&amp;"|"&amp;"5"&amp;RIGHT("00000"&amp;479,5))</f>
        <v/>
      </c>
      <c r="T484">
        <f>IF($S484="",0,COUNTIFS($S$6:$S$505,"&lt;"&amp;$S484)-COUNTIFS($S$6:$S$505,"&lt;"&amp;$S484,$R$6:$R$505,"")+1)</f>
        <v/>
      </c>
      <c r="V484">
        <f>IF($K484="","",IF(ISNUMBER(Sync!$AK484),Sync!$AK484,LEFT(Sync!$AK484,4)&amp;MID(Sync!$AK484,6,2)&amp;RIGHT(Sync!$AK484,2))&amp;"|"&amp;"4"&amp;RIGHT("00000"&amp;479,5))</f>
        <v/>
      </c>
      <c r="W484">
        <f>IF($V484="",0,COUNTIFS($V$6:$V$2005,"&lt;"&amp;$V484)-COUNTIFS($V$6:$V$2005,"&lt;"&amp;$V484,$K$6:$K$2005,"")+1)</f>
        <v/>
      </c>
      <c r="X484">
        <f>IF(Sync!$AX484="","",IF(OR(N(Sync!$AY484)=0,N(Sync!$AZ484)=0),"",ROUND(N(Sync!$AY484)*N(Sync!$AZ484),0)))</f>
        <v/>
      </c>
      <c r="Y484">
        <f>IF($X484="","",IF(OR(Sync!$AX484="",COUNTIF(AcctCodesA,Sync!$AX484)=0),"متفرقه",Sync!$AX484))</f>
        <v/>
      </c>
      <c r="Z484">
        <f>IF($X484="","","سبد و ظروف")</f>
        <v/>
      </c>
      <c r="AA484">
        <f>IF($X484="","",$Y484)</f>
        <v/>
      </c>
    </row>
    <row r="485">
      <c r="A485">
        <f>IF(Sync!$Z485="","",LEFT(UPPER(TRIM(Sync!$Z485)),6))</f>
        <v/>
      </c>
      <c r="B485">
        <f>IF($A485="","",IF(Sync!$AA485="","",Sync!$AA485))</f>
        <v/>
      </c>
      <c r="C485">
        <f>IF($A485="","",IF(Sync!$AB485="","",Sync!$AB485))</f>
        <v/>
      </c>
      <c r="D485">
        <f>IF($A485="","",IF(Sync!$AC485="","",Sync!$AC485))</f>
        <v/>
      </c>
      <c r="E485">
        <f>IF($A485="","",IF(Sync!$AD485="","",Sync!$AD485))</f>
        <v/>
      </c>
      <c r="F485">
        <f>IF($A485="","",IF(Sync!$AE485="",0,Sync!$AE485))</f>
        <v/>
      </c>
      <c r="G485">
        <f>IF($A485="","",IF(Sync!$AF485="",0,Sync!$AF485))</f>
        <v/>
      </c>
      <c r="H485">
        <f>IF(OR($A485="",ROUND($F485+$G485,2)=0),"",$F485+$G485)</f>
        <v/>
      </c>
      <c r="I485">
        <f>IF($H485="","",IF(ROUND($F485,2)&gt;0,$A485,IF($D485="شخصی قاسم","شخصی قاسم",IF($D485="هزینه","هزینه: "&amp;IF($E485="","متفرقه",$E485),IF($C485="پاس چک","چک پرداختی",IF(OR($B485="",COUNTIF(AcctCodesA,$B485)=0),"متفرقه",$B485))))))</f>
        <v/>
      </c>
      <c r="J485">
        <f>IF($H485="","",IF(ROUND($F485,2)&gt;0,IF($D485="شخصی قاسم","شخصی قاسم",IF($D485="هزینه","هزینه: "&amp;IF($E485="","متفرقه",$E485),IF(OR($B485="",COUNTIF(AcctCodesA,$B485)=0),"متفرقه",$B485))),$A485))</f>
        <v/>
      </c>
      <c r="K485">
        <f>IF($A485="","",IF(AND($B485&lt;&gt;"",COUNTIF(AcctCodesA,$B485)=0),"کد طرف در INFO تعریف نشده",IF(AND($D485="هزینه",$E485=""),"هزینه بدون زیرگروه",IF(AND($C485="پاس چک",OR(Sync!$AJ485="",COUNTIF(IssueNosA,Sync!$AJ485)=0)),"شماره چک پاس‌شده معتبر نیست",""))))</f>
        <v/>
      </c>
      <c r="M485">
        <f>IF(Sync!$AH485="","",Sync!$AH485)</f>
        <v/>
      </c>
      <c r="N485">
        <f>IF($M485="","",IF(OR(Sync!$AI485="",COUNTIF(AcctCodesA,Sync!$AI485)=0),"متفرقه",Sync!$AI485))</f>
        <v/>
      </c>
      <c r="O485">
        <f>IF($M485="","",$N485)</f>
        <v/>
      </c>
      <c r="P485">
        <f>IF($M485="","","چک پرداختی")</f>
        <v/>
      </c>
      <c r="R485">
        <f>IF($M485="","",IF(COUNTIF(AcctCodesA,Sync!$AI485)=0,"ذی‌نفع چک تعریف‌نشده",""))</f>
        <v/>
      </c>
      <c r="S485">
        <f>IF($R485="","",Sync!$AG485&amp;"|"&amp;"5"&amp;RIGHT("00000"&amp;480,5))</f>
        <v/>
      </c>
      <c r="T485">
        <f>IF($S485="",0,COUNTIFS($S$6:$S$505,"&lt;"&amp;$S485)-COUNTIFS($S$6:$S$505,"&lt;"&amp;$S485,$R$6:$R$505,"")+1)</f>
        <v/>
      </c>
      <c r="V485">
        <f>IF($K485="","",IF(ISNUMBER(Sync!$AK485),Sync!$AK485,LEFT(Sync!$AK485,4)&amp;MID(Sync!$AK485,6,2)&amp;RIGHT(Sync!$AK485,2))&amp;"|"&amp;"4"&amp;RIGHT("00000"&amp;480,5))</f>
        <v/>
      </c>
      <c r="W485">
        <f>IF($V485="",0,COUNTIFS($V$6:$V$2005,"&lt;"&amp;$V485)-COUNTIFS($V$6:$V$2005,"&lt;"&amp;$V485,$K$6:$K$2005,"")+1)</f>
        <v/>
      </c>
      <c r="X485">
        <f>IF(Sync!$AX485="","",IF(OR(N(Sync!$AY485)=0,N(Sync!$AZ485)=0),"",ROUND(N(Sync!$AY485)*N(Sync!$AZ485),0)))</f>
        <v/>
      </c>
      <c r="Y485">
        <f>IF($X485="","",IF(OR(Sync!$AX485="",COUNTIF(AcctCodesA,Sync!$AX485)=0),"متفرقه",Sync!$AX485))</f>
        <v/>
      </c>
      <c r="Z485">
        <f>IF($X485="","","سبد و ظروف")</f>
        <v/>
      </c>
      <c r="AA485">
        <f>IF($X485="","",$Y485)</f>
        <v/>
      </c>
    </row>
    <row r="486">
      <c r="A486">
        <f>IF(Sync!$Z486="","",LEFT(UPPER(TRIM(Sync!$Z486)),6))</f>
        <v/>
      </c>
      <c r="B486">
        <f>IF($A486="","",IF(Sync!$AA486="","",Sync!$AA486))</f>
        <v/>
      </c>
      <c r="C486">
        <f>IF($A486="","",IF(Sync!$AB486="","",Sync!$AB486))</f>
        <v/>
      </c>
      <c r="D486">
        <f>IF($A486="","",IF(Sync!$AC486="","",Sync!$AC486))</f>
        <v/>
      </c>
      <c r="E486">
        <f>IF($A486="","",IF(Sync!$AD486="","",Sync!$AD486))</f>
        <v/>
      </c>
      <c r="F486">
        <f>IF($A486="","",IF(Sync!$AE486="",0,Sync!$AE486))</f>
        <v/>
      </c>
      <c r="G486">
        <f>IF($A486="","",IF(Sync!$AF486="",0,Sync!$AF486))</f>
        <v/>
      </c>
      <c r="H486">
        <f>IF(OR($A486="",ROUND($F486+$G486,2)=0),"",$F486+$G486)</f>
        <v/>
      </c>
      <c r="I486">
        <f>IF($H486="","",IF(ROUND($F486,2)&gt;0,$A486,IF($D486="شخصی قاسم","شخصی قاسم",IF($D486="هزینه","هزینه: "&amp;IF($E486="","متفرقه",$E486),IF($C486="پاس چک","چک پرداختی",IF(OR($B486="",COUNTIF(AcctCodesA,$B486)=0),"متفرقه",$B486))))))</f>
        <v/>
      </c>
      <c r="J486">
        <f>IF($H486="","",IF(ROUND($F486,2)&gt;0,IF($D486="شخصی قاسم","شخصی قاسم",IF($D486="هزینه","هزینه: "&amp;IF($E486="","متفرقه",$E486),IF(OR($B486="",COUNTIF(AcctCodesA,$B486)=0),"متفرقه",$B486))),$A486))</f>
        <v/>
      </c>
      <c r="K486">
        <f>IF($A486="","",IF(AND($B486&lt;&gt;"",COUNTIF(AcctCodesA,$B486)=0),"کد طرف در INFO تعریف نشده",IF(AND($D486="هزینه",$E486=""),"هزینه بدون زیرگروه",IF(AND($C486="پاس چک",OR(Sync!$AJ486="",COUNTIF(IssueNosA,Sync!$AJ486)=0)),"شماره چک پاس‌شده معتبر نیست",""))))</f>
        <v/>
      </c>
      <c r="M486">
        <f>IF(Sync!$AH486="","",Sync!$AH486)</f>
        <v/>
      </c>
      <c r="N486">
        <f>IF($M486="","",IF(OR(Sync!$AI486="",COUNTIF(AcctCodesA,Sync!$AI486)=0),"متفرقه",Sync!$AI486))</f>
        <v/>
      </c>
      <c r="O486">
        <f>IF($M486="","",$N486)</f>
        <v/>
      </c>
      <c r="P486">
        <f>IF($M486="","","چک پرداختی")</f>
        <v/>
      </c>
      <c r="R486">
        <f>IF($M486="","",IF(COUNTIF(AcctCodesA,Sync!$AI486)=0,"ذی‌نفع چک تعریف‌نشده",""))</f>
        <v/>
      </c>
      <c r="S486">
        <f>IF($R486="","",Sync!$AG486&amp;"|"&amp;"5"&amp;RIGHT("00000"&amp;481,5))</f>
        <v/>
      </c>
      <c r="T486">
        <f>IF($S486="",0,COUNTIFS($S$6:$S$505,"&lt;"&amp;$S486)-COUNTIFS($S$6:$S$505,"&lt;"&amp;$S486,$R$6:$R$505,"")+1)</f>
        <v/>
      </c>
      <c r="V486">
        <f>IF($K486="","",IF(ISNUMBER(Sync!$AK486),Sync!$AK486,LEFT(Sync!$AK486,4)&amp;MID(Sync!$AK486,6,2)&amp;RIGHT(Sync!$AK486,2))&amp;"|"&amp;"4"&amp;RIGHT("00000"&amp;481,5))</f>
        <v/>
      </c>
      <c r="W486">
        <f>IF($V486="",0,COUNTIFS($V$6:$V$2005,"&lt;"&amp;$V486)-COUNTIFS($V$6:$V$2005,"&lt;"&amp;$V486,$K$6:$K$2005,"")+1)</f>
        <v/>
      </c>
      <c r="X486">
        <f>IF(Sync!$AX486="","",IF(OR(N(Sync!$AY486)=0,N(Sync!$AZ486)=0),"",ROUND(N(Sync!$AY486)*N(Sync!$AZ486),0)))</f>
        <v/>
      </c>
      <c r="Y486">
        <f>IF($X486="","",IF(OR(Sync!$AX486="",COUNTIF(AcctCodesA,Sync!$AX486)=0),"متفرقه",Sync!$AX486))</f>
        <v/>
      </c>
      <c r="Z486">
        <f>IF($X486="","","سبد و ظروف")</f>
        <v/>
      </c>
      <c r="AA486">
        <f>IF($X486="","",$Y486)</f>
        <v/>
      </c>
    </row>
    <row r="487">
      <c r="A487">
        <f>IF(Sync!$Z487="","",LEFT(UPPER(TRIM(Sync!$Z487)),6))</f>
        <v/>
      </c>
      <c r="B487">
        <f>IF($A487="","",IF(Sync!$AA487="","",Sync!$AA487))</f>
        <v/>
      </c>
      <c r="C487">
        <f>IF($A487="","",IF(Sync!$AB487="","",Sync!$AB487))</f>
        <v/>
      </c>
      <c r="D487">
        <f>IF($A487="","",IF(Sync!$AC487="","",Sync!$AC487))</f>
        <v/>
      </c>
      <c r="E487">
        <f>IF($A487="","",IF(Sync!$AD487="","",Sync!$AD487))</f>
        <v/>
      </c>
      <c r="F487">
        <f>IF($A487="","",IF(Sync!$AE487="",0,Sync!$AE487))</f>
        <v/>
      </c>
      <c r="G487">
        <f>IF($A487="","",IF(Sync!$AF487="",0,Sync!$AF487))</f>
        <v/>
      </c>
      <c r="H487">
        <f>IF(OR($A487="",ROUND($F487+$G487,2)=0),"",$F487+$G487)</f>
        <v/>
      </c>
      <c r="I487">
        <f>IF($H487="","",IF(ROUND($F487,2)&gt;0,$A487,IF($D487="شخصی قاسم","شخصی قاسم",IF($D487="هزینه","هزینه: "&amp;IF($E487="","متفرقه",$E487),IF($C487="پاس چک","چک پرداختی",IF(OR($B487="",COUNTIF(AcctCodesA,$B487)=0),"متفرقه",$B487))))))</f>
        <v/>
      </c>
      <c r="J487">
        <f>IF($H487="","",IF(ROUND($F487,2)&gt;0,IF($D487="شخصی قاسم","شخصی قاسم",IF($D487="هزینه","هزینه: "&amp;IF($E487="","متفرقه",$E487),IF(OR($B487="",COUNTIF(AcctCodesA,$B487)=0),"متفرقه",$B487))),$A487))</f>
        <v/>
      </c>
      <c r="K487">
        <f>IF($A487="","",IF(AND($B487&lt;&gt;"",COUNTIF(AcctCodesA,$B487)=0),"کد طرف در INFO تعریف نشده",IF(AND($D487="هزینه",$E487=""),"هزینه بدون زیرگروه",IF(AND($C487="پاس چک",OR(Sync!$AJ487="",COUNTIF(IssueNosA,Sync!$AJ487)=0)),"شماره چک پاس‌شده معتبر نیست",""))))</f>
        <v/>
      </c>
      <c r="M487">
        <f>IF(Sync!$AH487="","",Sync!$AH487)</f>
        <v/>
      </c>
      <c r="N487">
        <f>IF($M487="","",IF(OR(Sync!$AI487="",COUNTIF(AcctCodesA,Sync!$AI487)=0),"متفرقه",Sync!$AI487))</f>
        <v/>
      </c>
      <c r="O487">
        <f>IF($M487="","",$N487)</f>
        <v/>
      </c>
      <c r="P487">
        <f>IF($M487="","","چک پرداختی")</f>
        <v/>
      </c>
      <c r="R487">
        <f>IF($M487="","",IF(COUNTIF(AcctCodesA,Sync!$AI487)=0,"ذی‌نفع چک تعریف‌نشده",""))</f>
        <v/>
      </c>
      <c r="S487">
        <f>IF($R487="","",Sync!$AG487&amp;"|"&amp;"5"&amp;RIGHT("00000"&amp;482,5))</f>
        <v/>
      </c>
      <c r="T487">
        <f>IF($S487="",0,COUNTIFS($S$6:$S$505,"&lt;"&amp;$S487)-COUNTIFS($S$6:$S$505,"&lt;"&amp;$S487,$R$6:$R$505,"")+1)</f>
        <v/>
      </c>
      <c r="V487">
        <f>IF($K487="","",IF(ISNUMBER(Sync!$AK487),Sync!$AK487,LEFT(Sync!$AK487,4)&amp;MID(Sync!$AK487,6,2)&amp;RIGHT(Sync!$AK487,2))&amp;"|"&amp;"4"&amp;RIGHT("00000"&amp;482,5))</f>
        <v/>
      </c>
      <c r="W487">
        <f>IF($V487="",0,COUNTIFS($V$6:$V$2005,"&lt;"&amp;$V487)-COUNTIFS($V$6:$V$2005,"&lt;"&amp;$V487,$K$6:$K$2005,"")+1)</f>
        <v/>
      </c>
      <c r="X487">
        <f>IF(Sync!$AX487="","",IF(OR(N(Sync!$AY487)=0,N(Sync!$AZ487)=0),"",ROUND(N(Sync!$AY487)*N(Sync!$AZ487),0)))</f>
        <v/>
      </c>
      <c r="Y487">
        <f>IF($X487="","",IF(OR(Sync!$AX487="",COUNTIF(AcctCodesA,Sync!$AX487)=0),"متفرقه",Sync!$AX487))</f>
        <v/>
      </c>
      <c r="Z487">
        <f>IF($X487="","","سبد و ظروف")</f>
        <v/>
      </c>
      <c r="AA487">
        <f>IF($X487="","",$Y487)</f>
        <v/>
      </c>
    </row>
    <row r="488">
      <c r="A488">
        <f>IF(Sync!$Z488="","",LEFT(UPPER(TRIM(Sync!$Z488)),6))</f>
        <v/>
      </c>
      <c r="B488">
        <f>IF($A488="","",IF(Sync!$AA488="","",Sync!$AA488))</f>
        <v/>
      </c>
      <c r="C488">
        <f>IF($A488="","",IF(Sync!$AB488="","",Sync!$AB488))</f>
        <v/>
      </c>
      <c r="D488">
        <f>IF($A488="","",IF(Sync!$AC488="","",Sync!$AC488))</f>
        <v/>
      </c>
      <c r="E488">
        <f>IF($A488="","",IF(Sync!$AD488="","",Sync!$AD488))</f>
        <v/>
      </c>
      <c r="F488">
        <f>IF($A488="","",IF(Sync!$AE488="",0,Sync!$AE488))</f>
        <v/>
      </c>
      <c r="G488">
        <f>IF($A488="","",IF(Sync!$AF488="",0,Sync!$AF488))</f>
        <v/>
      </c>
      <c r="H488">
        <f>IF(OR($A488="",ROUND($F488+$G488,2)=0),"",$F488+$G488)</f>
        <v/>
      </c>
      <c r="I488">
        <f>IF($H488="","",IF(ROUND($F488,2)&gt;0,$A488,IF($D488="شخصی قاسم","شخصی قاسم",IF($D488="هزینه","هزینه: "&amp;IF($E488="","متفرقه",$E488),IF($C488="پاس چک","چک پرداختی",IF(OR($B488="",COUNTIF(AcctCodesA,$B488)=0),"متفرقه",$B488))))))</f>
        <v/>
      </c>
      <c r="J488">
        <f>IF($H488="","",IF(ROUND($F488,2)&gt;0,IF($D488="شخصی قاسم","شخصی قاسم",IF($D488="هزینه","هزینه: "&amp;IF($E488="","متفرقه",$E488),IF(OR($B488="",COUNTIF(AcctCodesA,$B488)=0),"متفرقه",$B488))),$A488))</f>
        <v/>
      </c>
      <c r="K488">
        <f>IF($A488="","",IF(AND($B488&lt;&gt;"",COUNTIF(AcctCodesA,$B488)=0),"کد طرف در INFO تعریف نشده",IF(AND($D488="هزینه",$E488=""),"هزینه بدون زیرگروه",IF(AND($C488="پاس چک",OR(Sync!$AJ488="",COUNTIF(IssueNosA,Sync!$AJ488)=0)),"شماره چک پاس‌شده معتبر نیست",""))))</f>
        <v/>
      </c>
      <c r="M488">
        <f>IF(Sync!$AH488="","",Sync!$AH488)</f>
        <v/>
      </c>
      <c r="N488">
        <f>IF($M488="","",IF(OR(Sync!$AI488="",COUNTIF(AcctCodesA,Sync!$AI488)=0),"متفرقه",Sync!$AI488))</f>
        <v/>
      </c>
      <c r="O488">
        <f>IF($M488="","",$N488)</f>
        <v/>
      </c>
      <c r="P488">
        <f>IF($M488="","","چک پرداختی")</f>
        <v/>
      </c>
      <c r="R488">
        <f>IF($M488="","",IF(COUNTIF(AcctCodesA,Sync!$AI488)=0,"ذی‌نفع چک تعریف‌نشده",""))</f>
        <v/>
      </c>
      <c r="S488">
        <f>IF($R488="","",Sync!$AG488&amp;"|"&amp;"5"&amp;RIGHT("00000"&amp;483,5))</f>
        <v/>
      </c>
      <c r="T488">
        <f>IF($S488="",0,COUNTIFS($S$6:$S$505,"&lt;"&amp;$S488)-COUNTIFS($S$6:$S$505,"&lt;"&amp;$S488,$R$6:$R$505,"")+1)</f>
        <v/>
      </c>
      <c r="V488">
        <f>IF($K488="","",IF(ISNUMBER(Sync!$AK488),Sync!$AK488,LEFT(Sync!$AK488,4)&amp;MID(Sync!$AK488,6,2)&amp;RIGHT(Sync!$AK488,2))&amp;"|"&amp;"4"&amp;RIGHT("00000"&amp;483,5))</f>
        <v/>
      </c>
      <c r="W488">
        <f>IF($V488="",0,COUNTIFS($V$6:$V$2005,"&lt;"&amp;$V488)-COUNTIFS($V$6:$V$2005,"&lt;"&amp;$V488,$K$6:$K$2005,"")+1)</f>
        <v/>
      </c>
      <c r="X488">
        <f>IF(Sync!$AX488="","",IF(OR(N(Sync!$AY488)=0,N(Sync!$AZ488)=0),"",ROUND(N(Sync!$AY488)*N(Sync!$AZ488),0)))</f>
        <v/>
      </c>
      <c r="Y488">
        <f>IF($X488="","",IF(OR(Sync!$AX488="",COUNTIF(AcctCodesA,Sync!$AX488)=0),"متفرقه",Sync!$AX488))</f>
        <v/>
      </c>
      <c r="Z488">
        <f>IF($X488="","","سبد و ظروف")</f>
        <v/>
      </c>
      <c r="AA488">
        <f>IF($X488="","",$Y488)</f>
        <v/>
      </c>
    </row>
    <row r="489">
      <c r="A489">
        <f>IF(Sync!$Z489="","",LEFT(UPPER(TRIM(Sync!$Z489)),6))</f>
        <v/>
      </c>
      <c r="B489">
        <f>IF($A489="","",IF(Sync!$AA489="","",Sync!$AA489))</f>
        <v/>
      </c>
      <c r="C489">
        <f>IF($A489="","",IF(Sync!$AB489="","",Sync!$AB489))</f>
        <v/>
      </c>
      <c r="D489">
        <f>IF($A489="","",IF(Sync!$AC489="","",Sync!$AC489))</f>
        <v/>
      </c>
      <c r="E489">
        <f>IF($A489="","",IF(Sync!$AD489="","",Sync!$AD489))</f>
        <v/>
      </c>
      <c r="F489">
        <f>IF($A489="","",IF(Sync!$AE489="",0,Sync!$AE489))</f>
        <v/>
      </c>
      <c r="G489">
        <f>IF($A489="","",IF(Sync!$AF489="",0,Sync!$AF489))</f>
        <v/>
      </c>
      <c r="H489">
        <f>IF(OR($A489="",ROUND($F489+$G489,2)=0),"",$F489+$G489)</f>
        <v/>
      </c>
      <c r="I489">
        <f>IF($H489="","",IF(ROUND($F489,2)&gt;0,$A489,IF($D489="شخصی قاسم","شخصی قاسم",IF($D489="هزینه","هزینه: "&amp;IF($E489="","متفرقه",$E489),IF($C489="پاس چک","چک پرداختی",IF(OR($B489="",COUNTIF(AcctCodesA,$B489)=0),"متفرقه",$B489))))))</f>
        <v/>
      </c>
      <c r="J489">
        <f>IF($H489="","",IF(ROUND($F489,2)&gt;0,IF($D489="شخصی قاسم","شخصی قاسم",IF($D489="هزینه","هزینه: "&amp;IF($E489="","متفرقه",$E489),IF(OR($B489="",COUNTIF(AcctCodesA,$B489)=0),"متفرقه",$B489))),$A489))</f>
        <v/>
      </c>
      <c r="K489">
        <f>IF($A489="","",IF(AND($B489&lt;&gt;"",COUNTIF(AcctCodesA,$B489)=0),"کد طرف در INFO تعریف نشده",IF(AND($D489="هزینه",$E489=""),"هزینه بدون زیرگروه",IF(AND($C489="پاس چک",OR(Sync!$AJ489="",COUNTIF(IssueNosA,Sync!$AJ489)=0)),"شماره چک پاس‌شده معتبر نیست",""))))</f>
        <v/>
      </c>
      <c r="M489">
        <f>IF(Sync!$AH489="","",Sync!$AH489)</f>
        <v/>
      </c>
      <c r="N489">
        <f>IF($M489="","",IF(OR(Sync!$AI489="",COUNTIF(AcctCodesA,Sync!$AI489)=0),"متفرقه",Sync!$AI489))</f>
        <v/>
      </c>
      <c r="O489">
        <f>IF($M489="","",$N489)</f>
        <v/>
      </c>
      <c r="P489">
        <f>IF($M489="","","چک پرداختی")</f>
        <v/>
      </c>
      <c r="R489">
        <f>IF($M489="","",IF(COUNTIF(AcctCodesA,Sync!$AI489)=0,"ذی‌نفع چک تعریف‌نشده",""))</f>
        <v/>
      </c>
      <c r="S489">
        <f>IF($R489="","",Sync!$AG489&amp;"|"&amp;"5"&amp;RIGHT("00000"&amp;484,5))</f>
        <v/>
      </c>
      <c r="T489">
        <f>IF($S489="",0,COUNTIFS($S$6:$S$505,"&lt;"&amp;$S489)-COUNTIFS($S$6:$S$505,"&lt;"&amp;$S489,$R$6:$R$505,"")+1)</f>
        <v/>
      </c>
      <c r="V489">
        <f>IF($K489="","",IF(ISNUMBER(Sync!$AK489),Sync!$AK489,LEFT(Sync!$AK489,4)&amp;MID(Sync!$AK489,6,2)&amp;RIGHT(Sync!$AK489,2))&amp;"|"&amp;"4"&amp;RIGHT("00000"&amp;484,5))</f>
        <v/>
      </c>
      <c r="W489">
        <f>IF($V489="",0,COUNTIFS($V$6:$V$2005,"&lt;"&amp;$V489)-COUNTIFS($V$6:$V$2005,"&lt;"&amp;$V489,$K$6:$K$2005,"")+1)</f>
        <v/>
      </c>
      <c r="X489">
        <f>IF(Sync!$AX489="","",IF(OR(N(Sync!$AY489)=0,N(Sync!$AZ489)=0),"",ROUND(N(Sync!$AY489)*N(Sync!$AZ489),0)))</f>
        <v/>
      </c>
      <c r="Y489">
        <f>IF($X489="","",IF(OR(Sync!$AX489="",COUNTIF(AcctCodesA,Sync!$AX489)=0),"متفرقه",Sync!$AX489))</f>
        <v/>
      </c>
      <c r="Z489">
        <f>IF($X489="","","سبد و ظروف")</f>
        <v/>
      </c>
      <c r="AA489">
        <f>IF($X489="","",$Y489)</f>
        <v/>
      </c>
    </row>
    <row r="490">
      <c r="A490">
        <f>IF(Sync!$Z490="","",LEFT(UPPER(TRIM(Sync!$Z490)),6))</f>
        <v/>
      </c>
      <c r="B490">
        <f>IF($A490="","",IF(Sync!$AA490="","",Sync!$AA490))</f>
        <v/>
      </c>
      <c r="C490">
        <f>IF($A490="","",IF(Sync!$AB490="","",Sync!$AB490))</f>
        <v/>
      </c>
      <c r="D490">
        <f>IF($A490="","",IF(Sync!$AC490="","",Sync!$AC490))</f>
        <v/>
      </c>
      <c r="E490">
        <f>IF($A490="","",IF(Sync!$AD490="","",Sync!$AD490))</f>
        <v/>
      </c>
      <c r="F490">
        <f>IF($A490="","",IF(Sync!$AE490="",0,Sync!$AE490))</f>
        <v/>
      </c>
      <c r="G490">
        <f>IF($A490="","",IF(Sync!$AF490="",0,Sync!$AF490))</f>
        <v/>
      </c>
      <c r="H490">
        <f>IF(OR($A490="",ROUND($F490+$G490,2)=0),"",$F490+$G490)</f>
        <v/>
      </c>
      <c r="I490">
        <f>IF($H490="","",IF(ROUND($F490,2)&gt;0,$A490,IF($D490="شخصی قاسم","شخصی قاسم",IF($D490="هزینه","هزینه: "&amp;IF($E490="","متفرقه",$E490),IF($C490="پاس چک","چک پرداختی",IF(OR($B490="",COUNTIF(AcctCodesA,$B490)=0),"متفرقه",$B490))))))</f>
        <v/>
      </c>
      <c r="J490">
        <f>IF($H490="","",IF(ROUND($F490,2)&gt;0,IF($D490="شخصی قاسم","شخصی قاسم",IF($D490="هزینه","هزینه: "&amp;IF($E490="","متفرقه",$E490),IF(OR($B490="",COUNTIF(AcctCodesA,$B490)=0),"متفرقه",$B490))),$A490))</f>
        <v/>
      </c>
      <c r="K490">
        <f>IF($A490="","",IF(AND($B490&lt;&gt;"",COUNTIF(AcctCodesA,$B490)=0),"کد طرف در INFO تعریف نشده",IF(AND($D490="هزینه",$E490=""),"هزینه بدون زیرگروه",IF(AND($C490="پاس چک",OR(Sync!$AJ490="",COUNTIF(IssueNosA,Sync!$AJ490)=0)),"شماره چک پاس‌شده معتبر نیست",""))))</f>
        <v/>
      </c>
      <c r="M490">
        <f>IF(Sync!$AH490="","",Sync!$AH490)</f>
        <v/>
      </c>
      <c r="N490">
        <f>IF($M490="","",IF(OR(Sync!$AI490="",COUNTIF(AcctCodesA,Sync!$AI490)=0),"متفرقه",Sync!$AI490))</f>
        <v/>
      </c>
      <c r="O490">
        <f>IF($M490="","",$N490)</f>
        <v/>
      </c>
      <c r="P490">
        <f>IF($M490="","","چک پرداختی")</f>
        <v/>
      </c>
      <c r="R490">
        <f>IF($M490="","",IF(COUNTIF(AcctCodesA,Sync!$AI490)=0,"ذی‌نفع چک تعریف‌نشده",""))</f>
        <v/>
      </c>
      <c r="S490">
        <f>IF($R490="","",Sync!$AG490&amp;"|"&amp;"5"&amp;RIGHT("00000"&amp;485,5))</f>
        <v/>
      </c>
      <c r="T490">
        <f>IF($S490="",0,COUNTIFS($S$6:$S$505,"&lt;"&amp;$S490)-COUNTIFS($S$6:$S$505,"&lt;"&amp;$S490,$R$6:$R$505,"")+1)</f>
        <v/>
      </c>
      <c r="V490">
        <f>IF($K490="","",IF(ISNUMBER(Sync!$AK490),Sync!$AK490,LEFT(Sync!$AK490,4)&amp;MID(Sync!$AK490,6,2)&amp;RIGHT(Sync!$AK490,2))&amp;"|"&amp;"4"&amp;RIGHT("00000"&amp;485,5))</f>
        <v/>
      </c>
      <c r="W490">
        <f>IF($V490="",0,COUNTIFS($V$6:$V$2005,"&lt;"&amp;$V490)-COUNTIFS($V$6:$V$2005,"&lt;"&amp;$V490,$K$6:$K$2005,"")+1)</f>
        <v/>
      </c>
      <c r="X490">
        <f>IF(Sync!$AX490="","",IF(OR(N(Sync!$AY490)=0,N(Sync!$AZ490)=0),"",ROUND(N(Sync!$AY490)*N(Sync!$AZ490),0)))</f>
        <v/>
      </c>
      <c r="Y490">
        <f>IF($X490="","",IF(OR(Sync!$AX490="",COUNTIF(AcctCodesA,Sync!$AX490)=0),"متفرقه",Sync!$AX490))</f>
        <v/>
      </c>
      <c r="Z490">
        <f>IF($X490="","","سبد و ظروف")</f>
        <v/>
      </c>
      <c r="AA490">
        <f>IF($X490="","",$Y490)</f>
        <v/>
      </c>
    </row>
    <row r="491">
      <c r="A491">
        <f>IF(Sync!$Z491="","",LEFT(UPPER(TRIM(Sync!$Z491)),6))</f>
        <v/>
      </c>
      <c r="B491">
        <f>IF($A491="","",IF(Sync!$AA491="","",Sync!$AA491))</f>
        <v/>
      </c>
      <c r="C491">
        <f>IF($A491="","",IF(Sync!$AB491="","",Sync!$AB491))</f>
        <v/>
      </c>
      <c r="D491">
        <f>IF($A491="","",IF(Sync!$AC491="","",Sync!$AC491))</f>
        <v/>
      </c>
      <c r="E491">
        <f>IF($A491="","",IF(Sync!$AD491="","",Sync!$AD491))</f>
        <v/>
      </c>
      <c r="F491">
        <f>IF($A491="","",IF(Sync!$AE491="",0,Sync!$AE491))</f>
        <v/>
      </c>
      <c r="G491">
        <f>IF($A491="","",IF(Sync!$AF491="",0,Sync!$AF491))</f>
        <v/>
      </c>
      <c r="H491">
        <f>IF(OR($A491="",ROUND($F491+$G491,2)=0),"",$F491+$G491)</f>
        <v/>
      </c>
      <c r="I491">
        <f>IF($H491="","",IF(ROUND($F491,2)&gt;0,$A491,IF($D491="شخصی قاسم","شخصی قاسم",IF($D491="هزینه","هزینه: "&amp;IF($E491="","متفرقه",$E491),IF($C491="پاس چک","چک پرداختی",IF(OR($B491="",COUNTIF(AcctCodesA,$B491)=0),"متفرقه",$B491))))))</f>
        <v/>
      </c>
      <c r="J491">
        <f>IF($H491="","",IF(ROUND($F491,2)&gt;0,IF($D491="شخصی قاسم","شخصی قاسم",IF($D491="هزینه","هزینه: "&amp;IF($E491="","متفرقه",$E491),IF(OR($B491="",COUNTIF(AcctCodesA,$B491)=0),"متفرقه",$B491))),$A491))</f>
        <v/>
      </c>
      <c r="K491">
        <f>IF($A491="","",IF(AND($B491&lt;&gt;"",COUNTIF(AcctCodesA,$B491)=0),"کد طرف در INFO تعریف نشده",IF(AND($D491="هزینه",$E491=""),"هزینه بدون زیرگروه",IF(AND($C491="پاس چک",OR(Sync!$AJ491="",COUNTIF(IssueNosA,Sync!$AJ491)=0)),"شماره چک پاس‌شده معتبر نیست",""))))</f>
        <v/>
      </c>
      <c r="M491">
        <f>IF(Sync!$AH491="","",Sync!$AH491)</f>
        <v/>
      </c>
      <c r="N491">
        <f>IF($M491="","",IF(OR(Sync!$AI491="",COUNTIF(AcctCodesA,Sync!$AI491)=0),"متفرقه",Sync!$AI491))</f>
        <v/>
      </c>
      <c r="O491">
        <f>IF($M491="","",$N491)</f>
        <v/>
      </c>
      <c r="P491">
        <f>IF($M491="","","چک پرداختی")</f>
        <v/>
      </c>
      <c r="R491">
        <f>IF($M491="","",IF(COUNTIF(AcctCodesA,Sync!$AI491)=0,"ذی‌نفع چک تعریف‌نشده",""))</f>
        <v/>
      </c>
      <c r="S491">
        <f>IF($R491="","",Sync!$AG491&amp;"|"&amp;"5"&amp;RIGHT("00000"&amp;486,5))</f>
        <v/>
      </c>
      <c r="T491">
        <f>IF($S491="",0,COUNTIFS($S$6:$S$505,"&lt;"&amp;$S491)-COUNTIFS($S$6:$S$505,"&lt;"&amp;$S491,$R$6:$R$505,"")+1)</f>
        <v/>
      </c>
      <c r="V491">
        <f>IF($K491="","",IF(ISNUMBER(Sync!$AK491),Sync!$AK491,LEFT(Sync!$AK491,4)&amp;MID(Sync!$AK491,6,2)&amp;RIGHT(Sync!$AK491,2))&amp;"|"&amp;"4"&amp;RIGHT("00000"&amp;486,5))</f>
        <v/>
      </c>
      <c r="W491">
        <f>IF($V491="",0,COUNTIFS($V$6:$V$2005,"&lt;"&amp;$V491)-COUNTIFS($V$6:$V$2005,"&lt;"&amp;$V491,$K$6:$K$2005,"")+1)</f>
        <v/>
      </c>
      <c r="X491">
        <f>IF(Sync!$AX491="","",IF(OR(N(Sync!$AY491)=0,N(Sync!$AZ491)=0),"",ROUND(N(Sync!$AY491)*N(Sync!$AZ491),0)))</f>
        <v/>
      </c>
      <c r="Y491">
        <f>IF($X491="","",IF(OR(Sync!$AX491="",COUNTIF(AcctCodesA,Sync!$AX491)=0),"متفرقه",Sync!$AX491))</f>
        <v/>
      </c>
      <c r="Z491">
        <f>IF($X491="","","سبد و ظروف")</f>
        <v/>
      </c>
      <c r="AA491">
        <f>IF($X491="","",$Y491)</f>
        <v/>
      </c>
    </row>
    <row r="492">
      <c r="A492">
        <f>IF(Sync!$Z492="","",LEFT(UPPER(TRIM(Sync!$Z492)),6))</f>
        <v/>
      </c>
      <c r="B492">
        <f>IF($A492="","",IF(Sync!$AA492="","",Sync!$AA492))</f>
        <v/>
      </c>
      <c r="C492">
        <f>IF($A492="","",IF(Sync!$AB492="","",Sync!$AB492))</f>
        <v/>
      </c>
      <c r="D492">
        <f>IF($A492="","",IF(Sync!$AC492="","",Sync!$AC492))</f>
        <v/>
      </c>
      <c r="E492">
        <f>IF($A492="","",IF(Sync!$AD492="","",Sync!$AD492))</f>
        <v/>
      </c>
      <c r="F492">
        <f>IF($A492="","",IF(Sync!$AE492="",0,Sync!$AE492))</f>
        <v/>
      </c>
      <c r="G492">
        <f>IF($A492="","",IF(Sync!$AF492="",0,Sync!$AF492))</f>
        <v/>
      </c>
      <c r="H492">
        <f>IF(OR($A492="",ROUND($F492+$G492,2)=0),"",$F492+$G492)</f>
        <v/>
      </c>
      <c r="I492">
        <f>IF($H492="","",IF(ROUND($F492,2)&gt;0,$A492,IF($D492="شخصی قاسم","شخصی قاسم",IF($D492="هزینه","هزینه: "&amp;IF($E492="","متفرقه",$E492),IF($C492="پاس چک","چک پرداختی",IF(OR($B492="",COUNTIF(AcctCodesA,$B492)=0),"متفرقه",$B492))))))</f>
        <v/>
      </c>
      <c r="J492">
        <f>IF($H492="","",IF(ROUND($F492,2)&gt;0,IF($D492="شخصی قاسم","شخصی قاسم",IF($D492="هزینه","هزینه: "&amp;IF($E492="","متفرقه",$E492),IF(OR($B492="",COUNTIF(AcctCodesA,$B492)=0),"متفرقه",$B492))),$A492))</f>
        <v/>
      </c>
      <c r="K492">
        <f>IF($A492="","",IF(AND($B492&lt;&gt;"",COUNTIF(AcctCodesA,$B492)=0),"کد طرف در INFO تعریف نشده",IF(AND($D492="هزینه",$E492=""),"هزینه بدون زیرگروه",IF(AND($C492="پاس چک",OR(Sync!$AJ492="",COUNTIF(IssueNosA,Sync!$AJ492)=0)),"شماره چک پاس‌شده معتبر نیست",""))))</f>
        <v/>
      </c>
      <c r="M492">
        <f>IF(Sync!$AH492="","",Sync!$AH492)</f>
        <v/>
      </c>
      <c r="N492">
        <f>IF($M492="","",IF(OR(Sync!$AI492="",COUNTIF(AcctCodesA,Sync!$AI492)=0),"متفرقه",Sync!$AI492))</f>
        <v/>
      </c>
      <c r="O492">
        <f>IF($M492="","",$N492)</f>
        <v/>
      </c>
      <c r="P492">
        <f>IF($M492="","","چک پرداختی")</f>
        <v/>
      </c>
      <c r="R492">
        <f>IF($M492="","",IF(COUNTIF(AcctCodesA,Sync!$AI492)=0,"ذی‌نفع چک تعریف‌نشده",""))</f>
        <v/>
      </c>
      <c r="S492">
        <f>IF($R492="","",Sync!$AG492&amp;"|"&amp;"5"&amp;RIGHT("00000"&amp;487,5))</f>
        <v/>
      </c>
      <c r="T492">
        <f>IF($S492="",0,COUNTIFS($S$6:$S$505,"&lt;"&amp;$S492)-COUNTIFS($S$6:$S$505,"&lt;"&amp;$S492,$R$6:$R$505,"")+1)</f>
        <v/>
      </c>
      <c r="V492">
        <f>IF($K492="","",IF(ISNUMBER(Sync!$AK492),Sync!$AK492,LEFT(Sync!$AK492,4)&amp;MID(Sync!$AK492,6,2)&amp;RIGHT(Sync!$AK492,2))&amp;"|"&amp;"4"&amp;RIGHT("00000"&amp;487,5))</f>
        <v/>
      </c>
      <c r="W492">
        <f>IF($V492="",0,COUNTIFS($V$6:$V$2005,"&lt;"&amp;$V492)-COUNTIFS($V$6:$V$2005,"&lt;"&amp;$V492,$K$6:$K$2005,"")+1)</f>
        <v/>
      </c>
      <c r="X492">
        <f>IF(Sync!$AX492="","",IF(OR(N(Sync!$AY492)=0,N(Sync!$AZ492)=0),"",ROUND(N(Sync!$AY492)*N(Sync!$AZ492),0)))</f>
        <v/>
      </c>
      <c r="Y492">
        <f>IF($X492="","",IF(OR(Sync!$AX492="",COUNTIF(AcctCodesA,Sync!$AX492)=0),"متفرقه",Sync!$AX492))</f>
        <v/>
      </c>
      <c r="Z492">
        <f>IF($X492="","","سبد و ظروف")</f>
        <v/>
      </c>
      <c r="AA492">
        <f>IF($X492="","",$Y492)</f>
        <v/>
      </c>
    </row>
    <row r="493">
      <c r="A493">
        <f>IF(Sync!$Z493="","",LEFT(UPPER(TRIM(Sync!$Z493)),6))</f>
        <v/>
      </c>
      <c r="B493">
        <f>IF($A493="","",IF(Sync!$AA493="","",Sync!$AA493))</f>
        <v/>
      </c>
      <c r="C493">
        <f>IF($A493="","",IF(Sync!$AB493="","",Sync!$AB493))</f>
        <v/>
      </c>
      <c r="D493">
        <f>IF($A493="","",IF(Sync!$AC493="","",Sync!$AC493))</f>
        <v/>
      </c>
      <c r="E493">
        <f>IF($A493="","",IF(Sync!$AD493="","",Sync!$AD493))</f>
        <v/>
      </c>
      <c r="F493">
        <f>IF($A493="","",IF(Sync!$AE493="",0,Sync!$AE493))</f>
        <v/>
      </c>
      <c r="G493">
        <f>IF($A493="","",IF(Sync!$AF493="",0,Sync!$AF493))</f>
        <v/>
      </c>
      <c r="H493">
        <f>IF(OR($A493="",ROUND($F493+$G493,2)=0),"",$F493+$G493)</f>
        <v/>
      </c>
      <c r="I493">
        <f>IF($H493="","",IF(ROUND($F493,2)&gt;0,$A493,IF($D493="شخصی قاسم","شخصی قاسم",IF($D493="هزینه","هزینه: "&amp;IF($E493="","متفرقه",$E493),IF($C493="پاس چک","چک پرداختی",IF(OR($B493="",COUNTIF(AcctCodesA,$B493)=0),"متفرقه",$B493))))))</f>
        <v/>
      </c>
      <c r="J493">
        <f>IF($H493="","",IF(ROUND($F493,2)&gt;0,IF($D493="شخصی قاسم","شخصی قاسم",IF($D493="هزینه","هزینه: "&amp;IF($E493="","متفرقه",$E493),IF(OR($B493="",COUNTIF(AcctCodesA,$B493)=0),"متفرقه",$B493))),$A493))</f>
        <v/>
      </c>
      <c r="K493">
        <f>IF($A493="","",IF(AND($B493&lt;&gt;"",COUNTIF(AcctCodesA,$B493)=0),"کد طرف در INFO تعریف نشده",IF(AND($D493="هزینه",$E493=""),"هزینه بدون زیرگروه",IF(AND($C493="پاس چک",OR(Sync!$AJ493="",COUNTIF(IssueNosA,Sync!$AJ493)=0)),"شماره چک پاس‌شده معتبر نیست",""))))</f>
        <v/>
      </c>
      <c r="M493">
        <f>IF(Sync!$AH493="","",Sync!$AH493)</f>
        <v/>
      </c>
      <c r="N493">
        <f>IF($M493="","",IF(OR(Sync!$AI493="",COUNTIF(AcctCodesA,Sync!$AI493)=0),"متفرقه",Sync!$AI493))</f>
        <v/>
      </c>
      <c r="O493">
        <f>IF($M493="","",$N493)</f>
        <v/>
      </c>
      <c r="P493">
        <f>IF($M493="","","چک پرداختی")</f>
        <v/>
      </c>
      <c r="R493">
        <f>IF($M493="","",IF(COUNTIF(AcctCodesA,Sync!$AI493)=0,"ذی‌نفع چک تعریف‌نشده",""))</f>
        <v/>
      </c>
      <c r="S493">
        <f>IF($R493="","",Sync!$AG493&amp;"|"&amp;"5"&amp;RIGHT("00000"&amp;488,5))</f>
        <v/>
      </c>
      <c r="T493">
        <f>IF($S493="",0,COUNTIFS($S$6:$S$505,"&lt;"&amp;$S493)-COUNTIFS($S$6:$S$505,"&lt;"&amp;$S493,$R$6:$R$505,"")+1)</f>
        <v/>
      </c>
      <c r="V493">
        <f>IF($K493="","",IF(ISNUMBER(Sync!$AK493),Sync!$AK493,LEFT(Sync!$AK493,4)&amp;MID(Sync!$AK493,6,2)&amp;RIGHT(Sync!$AK493,2))&amp;"|"&amp;"4"&amp;RIGHT("00000"&amp;488,5))</f>
        <v/>
      </c>
      <c r="W493">
        <f>IF($V493="",0,COUNTIFS($V$6:$V$2005,"&lt;"&amp;$V493)-COUNTIFS($V$6:$V$2005,"&lt;"&amp;$V493,$K$6:$K$2005,"")+1)</f>
        <v/>
      </c>
      <c r="X493">
        <f>IF(Sync!$AX493="","",IF(OR(N(Sync!$AY493)=0,N(Sync!$AZ493)=0),"",ROUND(N(Sync!$AY493)*N(Sync!$AZ493),0)))</f>
        <v/>
      </c>
      <c r="Y493">
        <f>IF($X493="","",IF(OR(Sync!$AX493="",COUNTIF(AcctCodesA,Sync!$AX493)=0),"متفرقه",Sync!$AX493))</f>
        <v/>
      </c>
      <c r="Z493">
        <f>IF($X493="","","سبد و ظروف")</f>
        <v/>
      </c>
      <c r="AA493">
        <f>IF($X493="","",$Y493)</f>
        <v/>
      </c>
    </row>
    <row r="494">
      <c r="A494">
        <f>IF(Sync!$Z494="","",LEFT(UPPER(TRIM(Sync!$Z494)),6))</f>
        <v/>
      </c>
      <c r="B494">
        <f>IF($A494="","",IF(Sync!$AA494="","",Sync!$AA494))</f>
        <v/>
      </c>
      <c r="C494">
        <f>IF($A494="","",IF(Sync!$AB494="","",Sync!$AB494))</f>
        <v/>
      </c>
      <c r="D494">
        <f>IF($A494="","",IF(Sync!$AC494="","",Sync!$AC494))</f>
        <v/>
      </c>
      <c r="E494">
        <f>IF($A494="","",IF(Sync!$AD494="","",Sync!$AD494))</f>
        <v/>
      </c>
      <c r="F494">
        <f>IF($A494="","",IF(Sync!$AE494="",0,Sync!$AE494))</f>
        <v/>
      </c>
      <c r="G494">
        <f>IF($A494="","",IF(Sync!$AF494="",0,Sync!$AF494))</f>
        <v/>
      </c>
      <c r="H494">
        <f>IF(OR($A494="",ROUND($F494+$G494,2)=0),"",$F494+$G494)</f>
        <v/>
      </c>
      <c r="I494">
        <f>IF($H494="","",IF(ROUND($F494,2)&gt;0,$A494,IF($D494="شخصی قاسم","شخصی قاسم",IF($D494="هزینه","هزینه: "&amp;IF($E494="","متفرقه",$E494),IF($C494="پاس چک","چک پرداختی",IF(OR($B494="",COUNTIF(AcctCodesA,$B494)=0),"متفرقه",$B494))))))</f>
        <v/>
      </c>
      <c r="J494">
        <f>IF($H494="","",IF(ROUND($F494,2)&gt;0,IF($D494="شخصی قاسم","شخصی قاسم",IF($D494="هزینه","هزینه: "&amp;IF($E494="","متفرقه",$E494),IF(OR($B494="",COUNTIF(AcctCodesA,$B494)=0),"متفرقه",$B494))),$A494))</f>
        <v/>
      </c>
      <c r="K494">
        <f>IF($A494="","",IF(AND($B494&lt;&gt;"",COUNTIF(AcctCodesA,$B494)=0),"کد طرف در INFO تعریف نشده",IF(AND($D494="هزینه",$E494=""),"هزینه بدون زیرگروه",IF(AND($C494="پاس چک",OR(Sync!$AJ494="",COUNTIF(IssueNosA,Sync!$AJ494)=0)),"شماره چک پاس‌شده معتبر نیست",""))))</f>
        <v/>
      </c>
      <c r="M494">
        <f>IF(Sync!$AH494="","",Sync!$AH494)</f>
        <v/>
      </c>
      <c r="N494">
        <f>IF($M494="","",IF(OR(Sync!$AI494="",COUNTIF(AcctCodesA,Sync!$AI494)=0),"متفرقه",Sync!$AI494))</f>
        <v/>
      </c>
      <c r="O494">
        <f>IF($M494="","",$N494)</f>
        <v/>
      </c>
      <c r="P494">
        <f>IF($M494="","","چک پرداختی")</f>
        <v/>
      </c>
      <c r="R494">
        <f>IF($M494="","",IF(COUNTIF(AcctCodesA,Sync!$AI494)=0,"ذی‌نفع چک تعریف‌نشده",""))</f>
        <v/>
      </c>
      <c r="S494">
        <f>IF($R494="","",Sync!$AG494&amp;"|"&amp;"5"&amp;RIGHT("00000"&amp;489,5))</f>
        <v/>
      </c>
      <c r="T494">
        <f>IF($S494="",0,COUNTIFS($S$6:$S$505,"&lt;"&amp;$S494)-COUNTIFS($S$6:$S$505,"&lt;"&amp;$S494,$R$6:$R$505,"")+1)</f>
        <v/>
      </c>
      <c r="V494">
        <f>IF($K494="","",IF(ISNUMBER(Sync!$AK494),Sync!$AK494,LEFT(Sync!$AK494,4)&amp;MID(Sync!$AK494,6,2)&amp;RIGHT(Sync!$AK494,2))&amp;"|"&amp;"4"&amp;RIGHT("00000"&amp;489,5))</f>
        <v/>
      </c>
      <c r="W494">
        <f>IF($V494="",0,COUNTIFS($V$6:$V$2005,"&lt;"&amp;$V494)-COUNTIFS($V$6:$V$2005,"&lt;"&amp;$V494,$K$6:$K$2005,"")+1)</f>
        <v/>
      </c>
      <c r="X494">
        <f>IF(Sync!$AX494="","",IF(OR(N(Sync!$AY494)=0,N(Sync!$AZ494)=0),"",ROUND(N(Sync!$AY494)*N(Sync!$AZ494),0)))</f>
        <v/>
      </c>
      <c r="Y494">
        <f>IF($X494="","",IF(OR(Sync!$AX494="",COUNTIF(AcctCodesA,Sync!$AX494)=0),"متفرقه",Sync!$AX494))</f>
        <v/>
      </c>
      <c r="Z494">
        <f>IF($X494="","","سبد و ظروف")</f>
        <v/>
      </c>
      <c r="AA494">
        <f>IF($X494="","",$Y494)</f>
        <v/>
      </c>
    </row>
    <row r="495">
      <c r="A495">
        <f>IF(Sync!$Z495="","",LEFT(UPPER(TRIM(Sync!$Z495)),6))</f>
        <v/>
      </c>
      <c r="B495">
        <f>IF($A495="","",IF(Sync!$AA495="","",Sync!$AA495))</f>
        <v/>
      </c>
      <c r="C495">
        <f>IF($A495="","",IF(Sync!$AB495="","",Sync!$AB495))</f>
        <v/>
      </c>
      <c r="D495">
        <f>IF($A495="","",IF(Sync!$AC495="","",Sync!$AC495))</f>
        <v/>
      </c>
      <c r="E495">
        <f>IF($A495="","",IF(Sync!$AD495="","",Sync!$AD495))</f>
        <v/>
      </c>
      <c r="F495">
        <f>IF($A495="","",IF(Sync!$AE495="",0,Sync!$AE495))</f>
        <v/>
      </c>
      <c r="G495">
        <f>IF($A495="","",IF(Sync!$AF495="",0,Sync!$AF495))</f>
        <v/>
      </c>
      <c r="H495">
        <f>IF(OR($A495="",ROUND($F495+$G495,2)=0),"",$F495+$G495)</f>
        <v/>
      </c>
      <c r="I495">
        <f>IF($H495="","",IF(ROUND($F495,2)&gt;0,$A495,IF($D495="شخصی قاسم","شخصی قاسم",IF($D495="هزینه","هزینه: "&amp;IF($E495="","متفرقه",$E495),IF($C495="پاس چک","چک پرداختی",IF(OR($B495="",COUNTIF(AcctCodesA,$B495)=0),"متفرقه",$B495))))))</f>
        <v/>
      </c>
      <c r="J495">
        <f>IF($H495="","",IF(ROUND($F495,2)&gt;0,IF($D495="شخصی قاسم","شخصی قاسم",IF($D495="هزینه","هزینه: "&amp;IF($E495="","متفرقه",$E495),IF(OR($B495="",COUNTIF(AcctCodesA,$B495)=0),"متفرقه",$B495))),$A495))</f>
        <v/>
      </c>
      <c r="K495">
        <f>IF($A495="","",IF(AND($B495&lt;&gt;"",COUNTIF(AcctCodesA,$B495)=0),"کد طرف در INFO تعریف نشده",IF(AND($D495="هزینه",$E495=""),"هزینه بدون زیرگروه",IF(AND($C495="پاس چک",OR(Sync!$AJ495="",COUNTIF(IssueNosA,Sync!$AJ495)=0)),"شماره چک پاس‌شده معتبر نیست",""))))</f>
        <v/>
      </c>
      <c r="M495">
        <f>IF(Sync!$AH495="","",Sync!$AH495)</f>
        <v/>
      </c>
      <c r="N495">
        <f>IF($M495="","",IF(OR(Sync!$AI495="",COUNTIF(AcctCodesA,Sync!$AI495)=0),"متفرقه",Sync!$AI495))</f>
        <v/>
      </c>
      <c r="O495">
        <f>IF($M495="","",$N495)</f>
        <v/>
      </c>
      <c r="P495">
        <f>IF($M495="","","چک پرداختی")</f>
        <v/>
      </c>
      <c r="R495">
        <f>IF($M495="","",IF(COUNTIF(AcctCodesA,Sync!$AI495)=0,"ذی‌نفع چک تعریف‌نشده",""))</f>
        <v/>
      </c>
      <c r="S495">
        <f>IF($R495="","",Sync!$AG495&amp;"|"&amp;"5"&amp;RIGHT("00000"&amp;490,5))</f>
        <v/>
      </c>
      <c r="T495">
        <f>IF($S495="",0,COUNTIFS($S$6:$S$505,"&lt;"&amp;$S495)-COUNTIFS($S$6:$S$505,"&lt;"&amp;$S495,$R$6:$R$505,"")+1)</f>
        <v/>
      </c>
      <c r="V495">
        <f>IF($K495="","",IF(ISNUMBER(Sync!$AK495),Sync!$AK495,LEFT(Sync!$AK495,4)&amp;MID(Sync!$AK495,6,2)&amp;RIGHT(Sync!$AK495,2))&amp;"|"&amp;"4"&amp;RIGHT("00000"&amp;490,5))</f>
        <v/>
      </c>
      <c r="W495">
        <f>IF($V495="",0,COUNTIFS($V$6:$V$2005,"&lt;"&amp;$V495)-COUNTIFS($V$6:$V$2005,"&lt;"&amp;$V495,$K$6:$K$2005,"")+1)</f>
        <v/>
      </c>
      <c r="X495">
        <f>IF(Sync!$AX495="","",IF(OR(N(Sync!$AY495)=0,N(Sync!$AZ495)=0),"",ROUND(N(Sync!$AY495)*N(Sync!$AZ495),0)))</f>
        <v/>
      </c>
      <c r="Y495">
        <f>IF($X495="","",IF(OR(Sync!$AX495="",COUNTIF(AcctCodesA,Sync!$AX495)=0),"متفرقه",Sync!$AX495))</f>
        <v/>
      </c>
      <c r="Z495">
        <f>IF($X495="","","سبد و ظروف")</f>
        <v/>
      </c>
      <c r="AA495">
        <f>IF($X495="","",$Y495)</f>
        <v/>
      </c>
    </row>
    <row r="496">
      <c r="A496">
        <f>IF(Sync!$Z496="","",LEFT(UPPER(TRIM(Sync!$Z496)),6))</f>
        <v/>
      </c>
      <c r="B496">
        <f>IF($A496="","",IF(Sync!$AA496="","",Sync!$AA496))</f>
        <v/>
      </c>
      <c r="C496">
        <f>IF($A496="","",IF(Sync!$AB496="","",Sync!$AB496))</f>
        <v/>
      </c>
      <c r="D496">
        <f>IF($A496="","",IF(Sync!$AC496="","",Sync!$AC496))</f>
        <v/>
      </c>
      <c r="E496">
        <f>IF($A496="","",IF(Sync!$AD496="","",Sync!$AD496))</f>
        <v/>
      </c>
      <c r="F496">
        <f>IF($A496="","",IF(Sync!$AE496="",0,Sync!$AE496))</f>
        <v/>
      </c>
      <c r="G496">
        <f>IF($A496="","",IF(Sync!$AF496="",0,Sync!$AF496))</f>
        <v/>
      </c>
      <c r="H496">
        <f>IF(OR($A496="",ROUND($F496+$G496,2)=0),"",$F496+$G496)</f>
        <v/>
      </c>
      <c r="I496">
        <f>IF($H496="","",IF(ROUND($F496,2)&gt;0,$A496,IF($D496="شخصی قاسم","شخصی قاسم",IF($D496="هزینه","هزینه: "&amp;IF($E496="","متفرقه",$E496),IF($C496="پاس چک","چک پرداختی",IF(OR($B496="",COUNTIF(AcctCodesA,$B496)=0),"متفرقه",$B496))))))</f>
        <v/>
      </c>
      <c r="J496">
        <f>IF($H496="","",IF(ROUND($F496,2)&gt;0,IF($D496="شخصی قاسم","شخصی قاسم",IF($D496="هزینه","هزینه: "&amp;IF($E496="","متفرقه",$E496),IF(OR($B496="",COUNTIF(AcctCodesA,$B496)=0),"متفرقه",$B496))),$A496))</f>
        <v/>
      </c>
      <c r="K496">
        <f>IF($A496="","",IF(AND($B496&lt;&gt;"",COUNTIF(AcctCodesA,$B496)=0),"کد طرف در INFO تعریف نشده",IF(AND($D496="هزینه",$E496=""),"هزینه بدون زیرگروه",IF(AND($C496="پاس چک",OR(Sync!$AJ496="",COUNTIF(IssueNosA,Sync!$AJ496)=0)),"شماره چک پاس‌شده معتبر نیست",""))))</f>
        <v/>
      </c>
      <c r="M496">
        <f>IF(Sync!$AH496="","",Sync!$AH496)</f>
        <v/>
      </c>
      <c r="N496">
        <f>IF($M496="","",IF(OR(Sync!$AI496="",COUNTIF(AcctCodesA,Sync!$AI496)=0),"متفرقه",Sync!$AI496))</f>
        <v/>
      </c>
      <c r="O496">
        <f>IF($M496="","",$N496)</f>
        <v/>
      </c>
      <c r="P496">
        <f>IF($M496="","","چک پرداختی")</f>
        <v/>
      </c>
      <c r="R496">
        <f>IF($M496="","",IF(COUNTIF(AcctCodesA,Sync!$AI496)=0,"ذی‌نفع چک تعریف‌نشده",""))</f>
        <v/>
      </c>
      <c r="S496">
        <f>IF($R496="","",Sync!$AG496&amp;"|"&amp;"5"&amp;RIGHT("00000"&amp;491,5))</f>
        <v/>
      </c>
      <c r="T496">
        <f>IF($S496="",0,COUNTIFS($S$6:$S$505,"&lt;"&amp;$S496)-COUNTIFS($S$6:$S$505,"&lt;"&amp;$S496,$R$6:$R$505,"")+1)</f>
        <v/>
      </c>
      <c r="V496">
        <f>IF($K496="","",IF(ISNUMBER(Sync!$AK496),Sync!$AK496,LEFT(Sync!$AK496,4)&amp;MID(Sync!$AK496,6,2)&amp;RIGHT(Sync!$AK496,2))&amp;"|"&amp;"4"&amp;RIGHT("00000"&amp;491,5))</f>
        <v/>
      </c>
      <c r="W496">
        <f>IF($V496="",0,COUNTIFS($V$6:$V$2005,"&lt;"&amp;$V496)-COUNTIFS($V$6:$V$2005,"&lt;"&amp;$V496,$K$6:$K$2005,"")+1)</f>
        <v/>
      </c>
      <c r="X496">
        <f>IF(Sync!$AX496="","",IF(OR(N(Sync!$AY496)=0,N(Sync!$AZ496)=0),"",ROUND(N(Sync!$AY496)*N(Sync!$AZ496),0)))</f>
        <v/>
      </c>
      <c r="Y496">
        <f>IF($X496="","",IF(OR(Sync!$AX496="",COUNTIF(AcctCodesA,Sync!$AX496)=0),"متفرقه",Sync!$AX496))</f>
        <v/>
      </c>
      <c r="Z496">
        <f>IF($X496="","","سبد و ظروف")</f>
        <v/>
      </c>
      <c r="AA496">
        <f>IF($X496="","",$Y496)</f>
        <v/>
      </c>
    </row>
    <row r="497">
      <c r="A497">
        <f>IF(Sync!$Z497="","",LEFT(UPPER(TRIM(Sync!$Z497)),6))</f>
        <v/>
      </c>
      <c r="B497">
        <f>IF($A497="","",IF(Sync!$AA497="","",Sync!$AA497))</f>
        <v/>
      </c>
      <c r="C497">
        <f>IF($A497="","",IF(Sync!$AB497="","",Sync!$AB497))</f>
        <v/>
      </c>
      <c r="D497">
        <f>IF($A497="","",IF(Sync!$AC497="","",Sync!$AC497))</f>
        <v/>
      </c>
      <c r="E497">
        <f>IF($A497="","",IF(Sync!$AD497="","",Sync!$AD497))</f>
        <v/>
      </c>
      <c r="F497">
        <f>IF($A497="","",IF(Sync!$AE497="",0,Sync!$AE497))</f>
        <v/>
      </c>
      <c r="G497">
        <f>IF($A497="","",IF(Sync!$AF497="",0,Sync!$AF497))</f>
        <v/>
      </c>
      <c r="H497">
        <f>IF(OR($A497="",ROUND($F497+$G497,2)=0),"",$F497+$G497)</f>
        <v/>
      </c>
      <c r="I497">
        <f>IF($H497="","",IF(ROUND($F497,2)&gt;0,$A497,IF($D497="شخصی قاسم","شخصی قاسم",IF($D497="هزینه","هزینه: "&amp;IF($E497="","متفرقه",$E497),IF($C497="پاس چک","چک پرداختی",IF(OR($B497="",COUNTIF(AcctCodesA,$B497)=0),"متفرقه",$B497))))))</f>
        <v/>
      </c>
      <c r="J497">
        <f>IF($H497="","",IF(ROUND($F497,2)&gt;0,IF($D497="شخصی قاسم","شخصی قاسم",IF($D497="هزینه","هزینه: "&amp;IF($E497="","متفرقه",$E497),IF(OR($B497="",COUNTIF(AcctCodesA,$B497)=0),"متفرقه",$B497))),$A497))</f>
        <v/>
      </c>
      <c r="K497">
        <f>IF($A497="","",IF(AND($B497&lt;&gt;"",COUNTIF(AcctCodesA,$B497)=0),"کد طرف در INFO تعریف نشده",IF(AND($D497="هزینه",$E497=""),"هزینه بدون زیرگروه",IF(AND($C497="پاس چک",OR(Sync!$AJ497="",COUNTIF(IssueNosA,Sync!$AJ497)=0)),"شماره چک پاس‌شده معتبر نیست",""))))</f>
        <v/>
      </c>
      <c r="M497">
        <f>IF(Sync!$AH497="","",Sync!$AH497)</f>
        <v/>
      </c>
      <c r="N497">
        <f>IF($M497="","",IF(OR(Sync!$AI497="",COUNTIF(AcctCodesA,Sync!$AI497)=0),"متفرقه",Sync!$AI497))</f>
        <v/>
      </c>
      <c r="O497">
        <f>IF($M497="","",$N497)</f>
        <v/>
      </c>
      <c r="P497">
        <f>IF($M497="","","چک پرداختی")</f>
        <v/>
      </c>
      <c r="R497">
        <f>IF($M497="","",IF(COUNTIF(AcctCodesA,Sync!$AI497)=0,"ذی‌نفع چک تعریف‌نشده",""))</f>
        <v/>
      </c>
      <c r="S497">
        <f>IF($R497="","",Sync!$AG497&amp;"|"&amp;"5"&amp;RIGHT("00000"&amp;492,5))</f>
        <v/>
      </c>
      <c r="T497">
        <f>IF($S497="",0,COUNTIFS($S$6:$S$505,"&lt;"&amp;$S497)-COUNTIFS($S$6:$S$505,"&lt;"&amp;$S497,$R$6:$R$505,"")+1)</f>
        <v/>
      </c>
      <c r="V497">
        <f>IF($K497="","",IF(ISNUMBER(Sync!$AK497),Sync!$AK497,LEFT(Sync!$AK497,4)&amp;MID(Sync!$AK497,6,2)&amp;RIGHT(Sync!$AK497,2))&amp;"|"&amp;"4"&amp;RIGHT("00000"&amp;492,5))</f>
        <v/>
      </c>
      <c r="W497">
        <f>IF($V497="",0,COUNTIFS($V$6:$V$2005,"&lt;"&amp;$V497)-COUNTIFS($V$6:$V$2005,"&lt;"&amp;$V497,$K$6:$K$2005,"")+1)</f>
        <v/>
      </c>
      <c r="X497">
        <f>IF(Sync!$AX497="","",IF(OR(N(Sync!$AY497)=0,N(Sync!$AZ497)=0),"",ROUND(N(Sync!$AY497)*N(Sync!$AZ497),0)))</f>
        <v/>
      </c>
      <c r="Y497">
        <f>IF($X497="","",IF(OR(Sync!$AX497="",COUNTIF(AcctCodesA,Sync!$AX497)=0),"متفرقه",Sync!$AX497))</f>
        <v/>
      </c>
      <c r="Z497">
        <f>IF($X497="","","سبد و ظروف")</f>
        <v/>
      </c>
      <c r="AA497">
        <f>IF($X497="","",$Y497)</f>
        <v/>
      </c>
    </row>
    <row r="498">
      <c r="A498">
        <f>IF(Sync!$Z498="","",LEFT(UPPER(TRIM(Sync!$Z498)),6))</f>
        <v/>
      </c>
      <c r="B498">
        <f>IF($A498="","",IF(Sync!$AA498="","",Sync!$AA498))</f>
        <v/>
      </c>
      <c r="C498">
        <f>IF($A498="","",IF(Sync!$AB498="","",Sync!$AB498))</f>
        <v/>
      </c>
      <c r="D498">
        <f>IF($A498="","",IF(Sync!$AC498="","",Sync!$AC498))</f>
        <v/>
      </c>
      <c r="E498">
        <f>IF($A498="","",IF(Sync!$AD498="","",Sync!$AD498))</f>
        <v/>
      </c>
      <c r="F498">
        <f>IF($A498="","",IF(Sync!$AE498="",0,Sync!$AE498))</f>
        <v/>
      </c>
      <c r="G498">
        <f>IF($A498="","",IF(Sync!$AF498="",0,Sync!$AF498))</f>
        <v/>
      </c>
      <c r="H498">
        <f>IF(OR($A498="",ROUND($F498+$G498,2)=0),"",$F498+$G498)</f>
        <v/>
      </c>
      <c r="I498">
        <f>IF($H498="","",IF(ROUND($F498,2)&gt;0,$A498,IF($D498="شخصی قاسم","شخصی قاسم",IF($D498="هزینه","هزینه: "&amp;IF($E498="","متفرقه",$E498),IF($C498="پاس چک","چک پرداختی",IF(OR($B498="",COUNTIF(AcctCodesA,$B498)=0),"متفرقه",$B498))))))</f>
        <v/>
      </c>
      <c r="J498">
        <f>IF($H498="","",IF(ROUND($F498,2)&gt;0,IF($D498="شخصی قاسم","شخصی قاسم",IF($D498="هزینه","هزینه: "&amp;IF($E498="","متفرقه",$E498),IF(OR($B498="",COUNTIF(AcctCodesA,$B498)=0),"متفرقه",$B498))),$A498))</f>
        <v/>
      </c>
      <c r="K498">
        <f>IF($A498="","",IF(AND($B498&lt;&gt;"",COUNTIF(AcctCodesA,$B498)=0),"کد طرف در INFO تعریف نشده",IF(AND($D498="هزینه",$E498=""),"هزینه بدون زیرگروه",IF(AND($C498="پاس چک",OR(Sync!$AJ498="",COUNTIF(IssueNosA,Sync!$AJ498)=0)),"شماره چک پاس‌شده معتبر نیست",""))))</f>
        <v/>
      </c>
      <c r="M498">
        <f>IF(Sync!$AH498="","",Sync!$AH498)</f>
        <v/>
      </c>
      <c r="N498">
        <f>IF($M498="","",IF(OR(Sync!$AI498="",COUNTIF(AcctCodesA,Sync!$AI498)=0),"متفرقه",Sync!$AI498))</f>
        <v/>
      </c>
      <c r="O498">
        <f>IF($M498="","",$N498)</f>
        <v/>
      </c>
      <c r="P498">
        <f>IF($M498="","","چک پرداختی")</f>
        <v/>
      </c>
      <c r="R498">
        <f>IF($M498="","",IF(COUNTIF(AcctCodesA,Sync!$AI498)=0,"ذی‌نفع چک تعریف‌نشده",""))</f>
        <v/>
      </c>
      <c r="S498">
        <f>IF($R498="","",Sync!$AG498&amp;"|"&amp;"5"&amp;RIGHT("00000"&amp;493,5))</f>
        <v/>
      </c>
      <c r="T498">
        <f>IF($S498="",0,COUNTIFS($S$6:$S$505,"&lt;"&amp;$S498)-COUNTIFS($S$6:$S$505,"&lt;"&amp;$S498,$R$6:$R$505,"")+1)</f>
        <v/>
      </c>
      <c r="V498">
        <f>IF($K498="","",IF(ISNUMBER(Sync!$AK498),Sync!$AK498,LEFT(Sync!$AK498,4)&amp;MID(Sync!$AK498,6,2)&amp;RIGHT(Sync!$AK498,2))&amp;"|"&amp;"4"&amp;RIGHT("00000"&amp;493,5))</f>
        <v/>
      </c>
      <c r="W498">
        <f>IF($V498="",0,COUNTIFS($V$6:$V$2005,"&lt;"&amp;$V498)-COUNTIFS($V$6:$V$2005,"&lt;"&amp;$V498,$K$6:$K$2005,"")+1)</f>
        <v/>
      </c>
      <c r="X498">
        <f>IF(Sync!$AX498="","",IF(OR(N(Sync!$AY498)=0,N(Sync!$AZ498)=0),"",ROUND(N(Sync!$AY498)*N(Sync!$AZ498),0)))</f>
        <v/>
      </c>
      <c r="Y498">
        <f>IF($X498="","",IF(OR(Sync!$AX498="",COUNTIF(AcctCodesA,Sync!$AX498)=0),"متفرقه",Sync!$AX498))</f>
        <v/>
      </c>
      <c r="Z498">
        <f>IF($X498="","","سبد و ظروف")</f>
        <v/>
      </c>
      <c r="AA498">
        <f>IF($X498="","",$Y498)</f>
        <v/>
      </c>
    </row>
    <row r="499">
      <c r="A499">
        <f>IF(Sync!$Z499="","",LEFT(UPPER(TRIM(Sync!$Z499)),6))</f>
        <v/>
      </c>
      <c r="B499">
        <f>IF($A499="","",IF(Sync!$AA499="","",Sync!$AA499))</f>
        <v/>
      </c>
      <c r="C499">
        <f>IF($A499="","",IF(Sync!$AB499="","",Sync!$AB499))</f>
        <v/>
      </c>
      <c r="D499">
        <f>IF($A499="","",IF(Sync!$AC499="","",Sync!$AC499))</f>
        <v/>
      </c>
      <c r="E499">
        <f>IF($A499="","",IF(Sync!$AD499="","",Sync!$AD499))</f>
        <v/>
      </c>
      <c r="F499">
        <f>IF($A499="","",IF(Sync!$AE499="",0,Sync!$AE499))</f>
        <v/>
      </c>
      <c r="G499">
        <f>IF($A499="","",IF(Sync!$AF499="",0,Sync!$AF499))</f>
        <v/>
      </c>
      <c r="H499">
        <f>IF(OR($A499="",ROUND($F499+$G499,2)=0),"",$F499+$G499)</f>
        <v/>
      </c>
      <c r="I499">
        <f>IF($H499="","",IF(ROUND($F499,2)&gt;0,$A499,IF($D499="شخصی قاسم","شخصی قاسم",IF($D499="هزینه","هزینه: "&amp;IF($E499="","متفرقه",$E499),IF($C499="پاس چک","چک پرداختی",IF(OR($B499="",COUNTIF(AcctCodesA,$B499)=0),"متفرقه",$B499))))))</f>
        <v/>
      </c>
      <c r="J499">
        <f>IF($H499="","",IF(ROUND($F499,2)&gt;0,IF($D499="شخصی قاسم","شخصی قاسم",IF($D499="هزینه","هزینه: "&amp;IF($E499="","متفرقه",$E499),IF(OR($B499="",COUNTIF(AcctCodesA,$B499)=0),"متفرقه",$B499))),$A499))</f>
        <v/>
      </c>
      <c r="K499">
        <f>IF($A499="","",IF(AND($B499&lt;&gt;"",COUNTIF(AcctCodesA,$B499)=0),"کد طرف در INFO تعریف نشده",IF(AND($D499="هزینه",$E499=""),"هزینه بدون زیرگروه",IF(AND($C499="پاس چک",OR(Sync!$AJ499="",COUNTIF(IssueNosA,Sync!$AJ499)=0)),"شماره چک پاس‌شده معتبر نیست",""))))</f>
        <v/>
      </c>
      <c r="M499">
        <f>IF(Sync!$AH499="","",Sync!$AH499)</f>
        <v/>
      </c>
      <c r="N499">
        <f>IF($M499="","",IF(OR(Sync!$AI499="",COUNTIF(AcctCodesA,Sync!$AI499)=0),"متفرقه",Sync!$AI499))</f>
        <v/>
      </c>
      <c r="O499">
        <f>IF($M499="","",$N499)</f>
        <v/>
      </c>
      <c r="P499">
        <f>IF($M499="","","چک پرداختی")</f>
        <v/>
      </c>
      <c r="R499">
        <f>IF($M499="","",IF(COUNTIF(AcctCodesA,Sync!$AI499)=0,"ذی‌نفع چک تعریف‌نشده",""))</f>
        <v/>
      </c>
      <c r="S499">
        <f>IF($R499="","",Sync!$AG499&amp;"|"&amp;"5"&amp;RIGHT("00000"&amp;494,5))</f>
        <v/>
      </c>
      <c r="T499">
        <f>IF($S499="",0,COUNTIFS($S$6:$S$505,"&lt;"&amp;$S499)-COUNTIFS($S$6:$S$505,"&lt;"&amp;$S499,$R$6:$R$505,"")+1)</f>
        <v/>
      </c>
      <c r="V499">
        <f>IF($K499="","",IF(ISNUMBER(Sync!$AK499),Sync!$AK499,LEFT(Sync!$AK499,4)&amp;MID(Sync!$AK499,6,2)&amp;RIGHT(Sync!$AK499,2))&amp;"|"&amp;"4"&amp;RIGHT("00000"&amp;494,5))</f>
        <v/>
      </c>
      <c r="W499">
        <f>IF($V499="",0,COUNTIFS($V$6:$V$2005,"&lt;"&amp;$V499)-COUNTIFS($V$6:$V$2005,"&lt;"&amp;$V499,$K$6:$K$2005,"")+1)</f>
        <v/>
      </c>
      <c r="X499">
        <f>IF(Sync!$AX499="","",IF(OR(N(Sync!$AY499)=0,N(Sync!$AZ499)=0),"",ROUND(N(Sync!$AY499)*N(Sync!$AZ499),0)))</f>
        <v/>
      </c>
      <c r="Y499">
        <f>IF($X499="","",IF(OR(Sync!$AX499="",COUNTIF(AcctCodesA,Sync!$AX499)=0),"متفرقه",Sync!$AX499))</f>
        <v/>
      </c>
      <c r="Z499">
        <f>IF($X499="","","سبد و ظروف")</f>
        <v/>
      </c>
      <c r="AA499">
        <f>IF($X499="","",$Y499)</f>
        <v/>
      </c>
    </row>
    <row r="500">
      <c r="A500">
        <f>IF(Sync!$Z500="","",LEFT(UPPER(TRIM(Sync!$Z500)),6))</f>
        <v/>
      </c>
      <c r="B500">
        <f>IF($A500="","",IF(Sync!$AA500="","",Sync!$AA500))</f>
        <v/>
      </c>
      <c r="C500">
        <f>IF($A500="","",IF(Sync!$AB500="","",Sync!$AB500))</f>
        <v/>
      </c>
      <c r="D500">
        <f>IF($A500="","",IF(Sync!$AC500="","",Sync!$AC500))</f>
        <v/>
      </c>
      <c r="E500">
        <f>IF($A500="","",IF(Sync!$AD500="","",Sync!$AD500))</f>
        <v/>
      </c>
      <c r="F500">
        <f>IF($A500="","",IF(Sync!$AE500="",0,Sync!$AE500))</f>
        <v/>
      </c>
      <c r="G500">
        <f>IF($A500="","",IF(Sync!$AF500="",0,Sync!$AF500))</f>
        <v/>
      </c>
      <c r="H500">
        <f>IF(OR($A500="",ROUND($F500+$G500,2)=0),"",$F500+$G500)</f>
        <v/>
      </c>
      <c r="I500">
        <f>IF($H500="","",IF(ROUND($F500,2)&gt;0,$A500,IF($D500="شخصی قاسم","شخصی قاسم",IF($D500="هزینه","هزینه: "&amp;IF($E500="","متفرقه",$E500),IF($C500="پاس چک","چک پرداختی",IF(OR($B500="",COUNTIF(AcctCodesA,$B500)=0),"متفرقه",$B500))))))</f>
        <v/>
      </c>
      <c r="J500">
        <f>IF($H500="","",IF(ROUND($F500,2)&gt;0,IF($D500="شخصی قاسم","شخصی قاسم",IF($D500="هزینه","هزینه: "&amp;IF($E500="","متفرقه",$E500),IF(OR($B500="",COUNTIF(AcctCodesA,$B500)=0),"متفرقه",$B500))),$A500))</f>
        <v/>
      </c>
      <c r="K500">
        <f>IF($A500="","",IF(AND($B500&lt;&gt;"",COUNTIF(AcctCodesA,$B500)=0),"کد طرف در INFO تعریف نشده",IF(AND($D500="هزینه",$E500=""),"هزینه بدون زیرگروه",IF(AND($C500="پاس چک",OR(Sync!$AJ500="",COUNTIF(IssueNosA,Sync!$AJ500)=0)),"شماره چک پاس‌شده معتبر نیست",""))))</f>
        <v/>
      </c>
      <c r="M500">
        <f>IF(Sync!$AH500="","",Sync!$AH500)</f>
        <v/>
      </c>
      <c r="N500">
        <f>IF($M500="","",IF(OR(Sync!$AI500="",COUNTIF(AcctCodesA,Sync!$AI500)=0),"متفرقه",Sync!$AI500))</f>
        <v/>
      </c>
      <c r="O500">
        <f>IF($M500="","",$N500)</f>
        <v/>
      </c>
      <c r="P500">
        <f>IF($M500="","","چک پرداختی")</f>
        <v/>
      </c>
      <c r="R500">
        <f>IF($M500="","",IF(COUNTIF(AcctCodesA,Sync!$AI500)=0,"ذی‌نفع چک تعریف‌نشده",""))</f>
        <v/>
      </c>
      <c r="S500">
        <f>IF($R500="","",Sync!$AG500&amp;"|"&amp;"5"&amp;RIGHT("00000"&amp;495,5))</f>
        <v/>
      </c>
      <c r="T500">
        <f>IF($S500="",0,COUNTIFS($S$6:$S$505,"&lt;"&amp;$S500)-COUNTIFS($S$6:$S$505,"&lt;"&amp;$S500,$R$6:$R$505,"")+1)</f>
        <v/>
      </c>
      <c r="V500">
        <f>IF($K500="","",IF(ISNUMBER(Sync!$AK500),Sync!$AK500,LEFT(Sync!$AK500,4)&amp;MID(Sync!$AK500,6,2)&amp;RIGHT(Sync!$AK500,2))&amp;"|"&amp;"4"&amp;RIGHT("00000"&amp;495,5))</f>
        <v/>
      </c>
      <c r="W500">
        <f>IF($V500="",0,COUNTIFS($V$6:$V$2005,"&lt;"&amp;$V500)-COUNTIFS($V$6:$V$2005,"&lt;"&amp;$V500,$K$6:$K$2005,"")+1)</f>
        <v/>
      </c>
      <c r="X500">
        <f>IF(Sync!$AX500="","",IF(OR(N(Sync!$AY500)=0,N(Sync!$AZ500)=0),"",ROUND(N(Sync!$AY500)*N(Sync!$AZ500),0)))</f>
        <v/>
      </c>
      <c r="Y500">
        <f>IF($X500="","",IF(OR(Sync!$AX500="",COUNTIF(AcctCodesA,Sync!$AX500)=0),"متفرقه",Sync!$AX500))</f>
        <v/>
      </c>
      <c r="Z500">
        <f>IF($X500="","","سبد و ظروف")</f>
        <v/>
      </c>
      <c r="AA500">
        <f>IF($X500="","",$Y500)</f>
        <v/>
      </c>
    </row>
    <row r="501">
      <c r="A501">
        <f>IF(Sync!$Z501="","",LEFT(UPPER(TRIM(Sync!$Z501)),6))</f>
        <v/>
      </c>
      <c r="B501">
        <f>IF($A501="","",IF(Sync!$AA501="","",Sync!$AA501))</f>
        <v/>
      </c>
      <c r="C501">
        <f>IF($A501="","",IF(Sync!$AB501="","",Sync!$AB501))</f>
        <v/>
      </c>
      <c r="D501">
        <f>IF($A501="","",IF(Sync!$AC501="","",Sync!$AC501))</f>
        <v/>
      </c>
      <c r="E501">
        <f>IF($A501="","",IF(Sync!$AD501="","",Sync!$AD501))</f>
        <v/>
      </c>
      <c r="F501">
        <f>IF($A501="","",IF(Sync!$AE501="",0,Sync!$AE501))</f>
        <v/>
      </c>
      <c r="G501">
        <f>IF($A501="","",IF(Sync!$AF501="",0,Sync!$AF501))</f>
        <v/>
      </c>
      <c r="H501">
        <f>IF(OR($A501="",ROUND($F501+$G501,2)=0),"",$F501+$G501)</f>
        <v/>
      </c>
      <c r="I501">
        <f>IF($H501="","",IF(ROUND($F501,2)&gt;0,$A501,IF($D501="شخصی قاسم","شخصی قاسم",IF($D501="هزینه","هزینه: "&amp;IF($E501="","متفرقه",$E501),IF($C501="پاس چک","چک پرداختی",IF(OR($B501="",COUNTIF(AcctCodesA,$B501)=0),"متفرقه",$B501))))))</f>
        <v/>
      </c>
      <c r="J501">
        <f>IF($H501="","",IF(ROUND($F501,2)&gt;0,IF($D501="شخصی قاسم","شخصی قاسم",IF($D501="هزینه","هزینه: "&amp;IF($E501="","متفرقه",$E501),IF(OR($B501="",COUNTIF(AcctCodesA,$B501)=0),"متفرقه",$B501))),$A501))</f>
        <v/>
      </c>
      <c r="K501">
        <f>IF($A501="","",IF(AND($B501&lt;&gt;"",COUNTIF(AcctCodesA,$B501)=0),"کد طرف در INFO تعریف نشده",IF(AND($D501="هزینه",$E501=""),"هزینه بدون زیرگروه",IF(AND($C501="پاس چک",OR(Sync!$AJ501="",COUNTIF(IssueNosA,Sync!$AJ501)=0)),"شماره چک پاس‌شده معتبر نیست",""))))</f>
        <v/>
      </c>
      <c r="M501">
        <f>IF(Sync!$AH501="","",Sync!$AH501)</f>
        <v/>
      </c>
      <c r="N501">
        <f>IF($M501="","",IF(OR(Sync!$AI501="",COUNTIF(AcctCodesA,Sync!$AI501)=0),"متفرقه",Sync!$AI501))</f>
        <v/>
      </c>
      <c r="O501">
        <f>IF($M501="","",$N501)</f>
        <v/>
      </c>
      <c r="P501">
        <f>IF($M501="","","چک پرداختی")</f>
        <v/>
      </c>
      <c r="R501">
        <f>IF($M501="","",IF(COUNTIF(AcctCodesA,Sync!$AI501)=0,"ذی‌نفع چک تعریف‌نشده",""))</f>
        <v/>
      </c>
      <c r="S501">
        <f>IF($R501="","",Sync!$AG501&amp;"|"&amp;"5"&amp;RIGHT("00000"&amp;496,5))</f>
        <v/>
      </c>
      <c r="T501">
        <f>IF($S501="",0,COUNTIFS($S$6:$S$505,"&lt;"&amp;$S501)-COUNTIFS($S$6:$S$505,"&lt;"&amp;$S501,$R$6:$R$505,"")+1)</f>
        <v/>
      </c>
      <c r="V501">
        <f>IF($K501="","",IF(ISNUMBER(Sync!$AK501),Sync!$AK501,LEFT(Sync!$AK501,4)&amp;MID(Sync!$AK501,6,2)&amp;RIGHT(Sync!$AK501,2))&amp;"|"&amp;"4"&amp;RIGHT("00000"&amp;496,5))</f>
        <v/>
      </c>
      <c r="W501">
        <f>IF($V501="",0,COUNTIFS($V$6:$V$2005,"&lt;"&amp;$V501)-COUNTIFS($V$6:$V$2005,"&lt;"&amp;$V501,$K$6:$K$2005,"")+1)</f>
        <v/>
      </c>
      <c r="X501">
        <f>IF(Sync!$AX501="","",IF(OR(N(Sync!$AY501)=0,N(Sync!$AZ501)=0),"",ROUND(N(Sync!$AY501)*N(Sync!$AZ501),0)))</f>
        <v/>
      </c>
      <c r="Y501">
        <f>IF($X501="","",IF(OR(Sync!$AX501="",COUNTIF(AcctCodesA,Sync!$AX501)=0),"متفرقه",Sync!$AX501))</f>
        <v/>
      </c>
      <c r="Z501">
        <f>IF($X501="","","سبد و ظروف")</f>
        <v/>
      </c>
      <c r="AA501">
        <f>IF($X501="","",$Y501)</f>
        <v/>
      </c>
    </row>
    <row r="502">
      <c r="A502">
        <f>IF(Sync!$Z502="","",LEFT(UPPER(TRIM(Sync!$Z502)),6))</f>
        <v/>
      </c>
      <c r="B502">
        <f>IF($A502="","",IF(Sync!$AA502="","",Sync!$AA502))</f>
        <v/>
      </c>
      <c r="C502">
        <f>IF($A502="","",IF(Sync!$AB502="","",Sync!$AB502))</f>
        <v/>
      </c>
      <c r="D502">
        <f>IF($A502="","",IF(Sync!$AC502="","",Sync!$AC502))</f>
        <v/>
      </c>
      <c r="E502">
        <f>IF($A502="","",IF(Sync!$AD502="","",Sync!$AD502))</f>
        <v/>
      </c>
      <c r="F502">
        <f>IF($A502="","",IF(Sync!$AE502="",0,Sync!$AE502))</f>
        <v/>
      </c>
      <c r="G502">
        <f>IF($A502="","",IF(Sync!$AF502="",0,Sync!$AF502))</f>
        <v/>
      </c>
      <c r="H502">
        <f>IF(OR($A502="",ROUND($F502+$G502,2)=0),"",$F502+$G502)</f>
        <v/>
      </c>
      <c r="I502">
        <f>IF($H502="","",IF(ROUND($F502,2)&gt;0,$A502,IF($D502="شخصی قاسم","شخصی قاسم",IF($D502="هزینه","هزینه: "&amp;IF($E502="","متفرقه",$E502),IF($C502="پاس چک","چک پرداختی",IF(OR($B502="",COUNTIF(AcctCodesA,$B502)=0),"متفرقه",$B502))))))</f>
        <v/>
      </c>
      <c r="J502">
        <f>IF($H502="","",IF(ROUND($F502,2)&gt;0,IF($D502="شخصی قاسم","شخصی قاسم",IF($D502="هزینه","هزینه: "&amp;IF($E502="","متفرقه",$E502),IF(OR($B502="",COUNTIF(AcctCodesA,$B502)=0),"متفرقه",$B502))),$A502))</f>
        <v/>
      </c>
      <c r="K502">
        <f>IF($A502="","",IF(AND($B502&lt;&gt;"",COUNTIF(AcctCodesA,$B502)=0),"کد طرف در INFO تعریف نشده",IF(AND($D502="هزینه",$E502=""),"هزینه بدون زیرگروه",IF(AND($C502="پاس چک",OR(Sync!$AJ502="",COUNTIF(IssueNosA,Sync!$AJ502)=0)),"شماره چک پاس‌شده معتبر نیست",""))))</f>
        <v/>
      </c>
      <c r="M502">
        <f>IF(Sync!$AH502="","",Sync!$AH502)</f>
        <v/>
      </c>
      <c r="N502">
        <f>IF($M502="","",IF(OR(Sync!$AI502="",COUNTIF(AcctCodesA,Sync!$AI502)=0),"متفرقه",Sync!$AI502))</f>
        <v/>
      </c>
      <c r="O502">
        <f>IF($M502="","",$N502)</f>
        <v/>
      </c>
      <c r="P502">
        <f>IF($M502="","","چک پرداختی")</f>
        <v/>
      </c>
      <c r="R502">
        <f>IF($M502="","",IF(COUNTIF(AcctCodesA,Sync!$AI502)=0,"ذی‌نفع چک تعریف‌نشده",""))</f>
        <v/>
      </c>
      <c r="S502">
        <f>IF($R502="","",Sync!$AG502&amp;"|"&amp;"5"&amp;RIGHT("00000"&amp;497,5))</f>
        <v/>
      </c>
      <c r="T502">
        <f>IF($S502="",0,COUNTIFS($S$6:$S$505,"&lt;"&amp;$S502)-COUNTIFS($S$6:$S$505,"&lt;"&amp;$S502,$R$6:$R$505,"")+1)</f>
        <v/>
      </c>
      <c r="V502">
        <f>IF($K502="","",IF(ISNUMBER(Sync!$AK502),Sync!$AK502,LEFT(Sync!$AK502,4)&amp;MID(Sync!$AK502,6,2)&amp;RIGHT(Sync!$AK502,2))&amp;"|"&amp;"4"&amp;RIGHT("00000"&amp;497,5))</f>
        <v/>
      </c>
      <c r="W502">
        <f>IF($V502="",0,COUNTIFS($V$6:$V$2005,"&lt;"&amp;$V502)-COUNTIFS($V$6:$V$2005,"&lt;"&amp;$V502,$K$6:$K$2005,"")+1)</f>
        <v/>
      </c>
      <c r="X502">
        <f>IF(Sync!$AX502="","",IF(OR(N(Sync!$AY502)=0,N(Sync!$AZ502)=0),"",ROUND(N(Sync!$AY502)*N(Sync!$AZ502),0)))</f>
        <v/>
      </c>
      <c r="Y502">
        <f>IF($X502="","",IF(OR(Sync!$AX502="",COUNTIF(AcctCodesA,Sync!$AX502)=0),"متفرقه",Sync!$AX502))</f>
        <v/>
      </c>
      <c r="Z502">
        <f>IF($X502="","","سبد و ظروف")</f>
        <v/>
      </c>
      <c r="AA502">
        <f>IF($X502="","",$Y502)</f>
        <v/>
      </c>
    </row>
    <row r="503">
      <c r="A503">
        <f>IF(Sync!$Z503="","",LEFT(UPPER(TRIM(Sync!$Z503)),6))</f>
        <v/>
      </c>
      <c r="B503">
        <f>IF($A503="","",IF(Sync!$AA503="","",Sync!$AA503))</f>
        <v/>
      </c>
      <c r="C503">
        <f>IF($A503="","",IF(Sync!$AB503="","",Sync!$AB503))</f>
        <v/>
      </c>
      <c r="D503">
        <f>IF($A503="","",IF(Sync!$AC503="","",Sync!$AC503))</f>
        <v/>
      </c>
      <c r="E503">
        <f>IF($A503="","",IF(Sync!$AD503="","",Sync!$AD503))</f>
        <v/>
      </c>
      <c r="F503">
        <f>IF($A503="","",IF(Sync!$AE503="",0,Sync!$AE503))</f>
        <v/>
      </c>
      <c r="G503">
        <f>IF($A503="","",IF(Sync!$AF503="",0,Sync!$AF503))</f>
        <v/>
      </c>
      <c r="H503">
        <f>IF(OR($A503="",ROUND($F503+$G503,2)=0),"",$F503+$G503)</f>
        <v/>
      </c>
      <c r="I503">
        <f>IF($H503="","",IF(ROUND($F503,2)&gt;0,$A503,IF($D503="شخصی قاسم","شخصی قاسم",IF($D503="هزینه","هزینه: "&amp;IF($E503="","متفرقه",$E503),IF($C503="پاس چک","چک پرداختی",IF(OR($B503="",COUNTIF(AcctCodesA,$B503)=0),"متفرقه",$B503))))))</f>
        <v/>
      </c>
      <c r="J503">
        <f>IF($H503="","",IF(ROUND($F503,2)&gt;0,IF($D503="شخصی قاسم","شخصی قاسم",IF($D503="هزینه","هزینه: "&amp;IF($E503="","متفرقه",$E503),IF(OR($B503="",COUNTIF(AcctCodesA,$B503)=0),"متفرقه",$B503))),$A503))</f>
        <v/>
      </c>
      <c r="K503">
        <f>IF($A503="","",IF(AND($B503&lt;&gt;"",COUNTIF(AcctCodesA,$B503)=0),"کد طرف در INFO تعریف نشده",IF(AND($D503="هزینه",$E503=""),"هزینه بدون زیرگروه",IF(AND($C503="پاس چک",OR(Sync!$AJ503="",COUNTIF(IssueNosA,Sync!$AJ503)=0)),"شماره چک پاس‌شده معتبر نیست",""))))</f>
        <v/>
      </c>
      <c r="M503">
        <f>IF(Sync!$AH503="","",Sync!$AH503)</f>
        <v/>
      </c>
      <c r="N503">
        <f>IF($M503="","",IF(OR(Sync!$AI503="",COUNTIF(AcctCodesA,Sync!$AI503)=0),"متفرقه",Sync!$AI503))</f>
        <v/>
      </c>
      <c r="O503">
        <f>IF($M503="","",$N503)</f>
        <v/>
      </c>
      <c r="P503">
        <f>IF($M503="","","چک پرداختی")</f>
        <v/>
      </c>
      <c r="R503">
        <f>IF($M503="","",IF(COUNTIF(AcctCodesA,Sync!$AI503)=0,"ذی‌نفع چک تعریف‌نشده",""))</f>
        <v/>
      </c>
      <c r="S503">
        <f>IF($R503="","",Sync!$AG503&amp;"|"&amp;"5"&amp;RIGHT("00000"&amp;498,5))</f>
        <v/>
      </c>
      <c r="T503">
        <f>IF($S503="",0,COUNTIFS($S$6:$S$505,"&lt;"&amp;$S503)-COUNTIFS($S$6:$S$505,"&lt;"&amp;$S503,$R$6:$R$505,"")+1)</f>
        <v/>
      </c>
      <c r="V503">
        <f>IF($K503="","",IF(ISNUMBER(Sync!$AK503),Sync!$AK503,LEFT(Sync!$AK503,4)&amp;MID(Sync!$AK503,6,2)&amp;RIGHT(Sync!$AK503,2))&amp;"|"&amp;"4"&amp;RIGHT("00000"&amp;498,5))</f>
        <v/>
      </c>
      <c r="W503">
        <f>IF($V503="",0,COUNTIFS($V$6:$V$2005,"&lt;"&amp;$V503)-COUNTIFS($V$6:$V$2005,"&lt;"&amp;$V503,$K$6:$K$2005,"")+1)</f>
        <v/>
      </c>
      <c r="X503">
        <f>IF(Sync!$AX503="","",IF(OR(N(Sync!$AY503)=0,N(Sync!$AZ503)=0),"",ROUND(N(Sync!$AY503)*N(Sync!$AZ503),0)))</f>
        <v/>
      </c>
      <c r="Y503">
        <f>IF($X503="","",IF(OR(Sync!$AX503="",COUNTIF(AcctCodesA,Sync!$AX503)=0),"متفرقه",Sync!$AX503))</f>
        <v/>
      </c>
      <c r="Z503">
        <f>IF($X503="","","سبد و ظروف")</f>
        <v/>
      </c>
      <c r="AA503">
        <f>IF($X503="","",$Y503)</f>
        <v/>
      </c>
    </row>
    <row r="504">
      <c r="A504">
        <f>IF(Sync!$Z504="","",LEFT(UPPER(TRIM(Sync!$Z504)),6))</f>
        <v/>
      </c>
      <c r="B504">
        <f>IF($A504="","",IF(Sync!$AA504="","",Sync!$AA504))</f>
        <v/>
      </c>
      <c r="C504">
        <f>IF($A504="","",IF(Sync!$AB504="","",Sync!$AB504))</f>
        <v/>
      </c>
      <c r="D504">
        <f>IF($A504="","",IF(Sync!$AC504="","",Sync!$AC504))</f>
        <v/>
      </c>
      <c r="E504">
        <f>IF($A504="","",IF(Sync!$AD504="","",Sync!$AD504))</f>
        <v/>
      </c>
      <c r="F504">
        <f>IF($A504="","",IF(Sync!$AE504="",0,Sync!$AE504))</f>
        <v/>
      </c>
      <c r="G504">
        <f>IF($A504="","",IF(Sync!$AF504="",0,Sync!$AF504))</f>
        <v/>
      </c>
      <c r="H504">
        <f>IF(OR($A504="",ROUND($F504+$G504,2)=0),"",$F504+$G504)</f>
        <v/>
      </c>
      <c r="I504">
        <f>IF($H504="","",IF(ROUND($F504,2)&gt;0,$A504,IF($D504="شخصی قاسم","شخصی قاسم",IF($D504="هزینه","هزینه: "&amp;IF($E504="","متفرقه",$E504),IF($C504="پاس چک","چک پرداختی",IF(OR($B504="",COUNTIF(AcctCodesA,$B504)=0),"متفرقه",$B504))))))</f>
        <v/>
      </c>
      <c r="J504">
        <f>IF($H504="","",IF(ROUND($F504,2)&gt;0,IF($D504="شخصی قاسم","شخصی قاسم",IF($D504="هزینه","هزینه: "&amp;IF($E504="","متفرقه",$E504),IF(OR($B504="",COUNTIF(AcctCodesA,$B504)=0),"متفرقه",$B504))),$A504))</f>
        <v/>
      </c>
      <c r="K504">
        <f>IF($A504="","",IF(AND($B504&lt;&gt;"",COUNTIF(AcctCodesA,$B504)=0),"کد طرف در INFO تعریف نشده",IF(AND($D504="هزینه",$E504=""),"هزینه بدون زیرگروه",IF(AND($C504="پاس چک",OR(Sync!$AJ504="",COUNTIF(IssueNosA,Sync!$AJ504)=0)),"شماره چک پاس‌شده معتبر نیست",""))))</f>
        <v/>
      </c>
      <c r="M504">
        <f>IF(Sync!$AH504="","",Sync!$AH504)</f>
        <v/>
      </c>
      <c r="N504">
        <f>IF($M504="","",IF(OR(Sync!$AI504="",COUNTIF(AcctCodesA,Sync!$AI504)=0),"متفرقه",Sync!$AI504))</f>
        <v/>
      </c>
      <c r="O504">
        <f>IF($M504="","",$N504)</f>
        <v/>
      </c>
      <c r="P504">
        <f>IF($M504="","","چک پرداختی")</f>
        <v/>
      </c>
      <c r="R504">
        <f>IF($M504="","",IF(COUNTIF(AcctCodesA,Sync!$AI504)=0,"ذی‌نفع چک تعریف‌نشده",""))</f>
        <v/>
      </c>
      <c r="S504">
        <f>IF($R504="","",Sync!$AG504&amp;"|"&amp;"5"&amp;RIGHT("00000"&amp;499,5))</f>
        <v/>
      </c>
      <c r="T504">
        <f>IF($S504="",0,COUNTIFS($S$6:$S$505,"&lt;"&amp;$S504)-COUNTIFS($S$6:$S$505,"&lt;"&amp;$S504,$R$6:$R$505,"")+1)</f>
        <v/>
      </c>
      <c r="V504">
        <f>IF($K504="","",IF(ISNUMBER(Sync!$AK504),Sync!$AK504,LEFT(Sync!$AK504,4)&amp;MID(Sync!$AK504,6,2)&amp;RIGHT(Sync!$AK504,2))&amp;"|"&amp;"4"&amp;RIGHT("00000"&amp;499,5))</f>
        <v/>
      </c>
      <c r="W504">
        <f>IF($V504="",0,COUNTIFS($V$6:$V$2005,"&lt;"&amp;$V504)-COUNTIFS($V$6:$V$2005,"&lt;"&amp;$V504,$K$6:$K$2005,"")+1)</f>
        <v/>
      </c>
      <c r="X504">
        <f>IF(Sync!$AX504="","",IF(OR(N(Sync!$AY504)=0,N(Sync!$AZ504)=0),"",ROUND(N(Sync!$AY504)*N(Sync!$AZ504),0)))</f>
        <v/>
      </c>
      <c r="Y504">
        <f>IF($X504="","",IF(OR(Sync!$AX504="",COUNTIF(AcctCodesA,Sync!$AX504)=0),"متفرقه",Sync!$AX504))</f>
        <v/>
      </c>
      <c r="Z504">
        <f>IF($X504="","","سبد و ظروف")</f>
        <v/>
      </c>
      <c r="AA504">
        <f>IF($X504="","",$Y504)</f>
        <v/>
      </c>
    </row>
    <row r="505">
      <c r="A505">
        <f>IF(Sync!$Z505="","",LEFT(UPPER(TRIM(Sync!$Z505)),6))</f>
        <v/>
      </c>
      <c r="B505">
        <f>IF($A505="","",IF(Sync!$AA505="","",Sync!$AA505))</f>
        <v/>
      </c>
      <c r="C505">
        <f>IF($A505="","",IF(Sync!$AB505="","",Sync!$AB505))</f>
        <v/>
      </c>
      <c r="D505">
        <f>IF($A505="","",IF(Sync!$AC505="","",Sync!$AC505))</f>
        <v/>
      </c>
      <c r="E505">
        <f>IF($A505="","",IF(Sync!$AD505="","",Sync!$AD505))</f>
        <v/>
      </c>
      <c r="F505">
        <f>IF($A505="","",IF(Sync!$AE505="",0,Sync!$AE505))</f>
        <v/>
      </c>
      <c r="G505">
        <f>IF($A505="","",IF(Sync!$AF505="",0,Sync!$AF505))</f>
        <v/>
      </c>
      <c r="H505">
        <f>IF(OR($A505="",ROUND($F505+$G505,2)=0),"",$F505+$G505)</f>
        <v/>
      </c>
      <c r="I505">
        <f>IF($H505="","",IF(ROUND($F505,2)&gt;0,$A505,IF($D505="شخصی قاسم","شخصی قاسم",IF($D505="هزینه","هزینه: "&amp;IF($E505="","متفرقه",$E505),IF($C505="پاس چک","چک پرداختی",IF(OR($B505="",COUNTIF(AcctCodesA,$B505)=0),"متفرقه",$B505))))))</f>
        <v/>
      </c>
      <c r="J505">
        <f>IF($H505="","",IF(ROUND($F505,2)&gt;0,IF($D505="شخصی قاسم","شخصی قاسم",IF($D505="هزینه","هزینه: "&amp;IF($E505="","متفرقه",$E505),IF(OR($B505="",COUNTIF(AcctCodesA,$B505)=0),"متفرقه",$B505))),$A505))</f>
        <v/>
      </c>
      <c r="K505">
        <f>IF($A505="","",IF(AND($B505&lt;&gt;"",COUNTIF(AcctCodesA,$B505)=0),"کد طرف در INFO تعریف نشده",IF(AND($D505="هزینه",$E505=""),"هزینه بدون زیرگروه",IF(AND($C505="پاس چک",OR(Sync!$AJ505="",COUNTIF(IssueNosA,Sync!$AJ505)=0)),"شماره چک پاس‌شده معتبر نیست",""))))</f>
        <v/>
      </c>
      <c r="M505">
        <f>IF(Sync!$AH505="","",Sync!$AH505)</f>
        <v/>
      </c>
      <c r="N505">
        <f>IF($M505="","",IF(OR(Sync!$AI505="",COUNTIF(AcctCodesA,Sync!$AI505)=0),"متفرقه",Sync!$AI505))</f>
        <v/>
      </c>
      <c r="O505">
        <f>IF($M505="","",$N505)</f>
        <v/>
      </c>
      <c r="P505">
        <f>IF($M505="","","چک پرداختی")</f>
        <v/>
      </c>
      <c r="R505">
        <f>IF($M505="","",IF(COUNTIF(AcctCodesA,Sync!$AI505)=0,"ذی‌نفع چک تعریف‌نشده",""))</f>
        <v/>
      </c>
      <c r="S505">
        <f>IF($R505="","",Sync!$AG505&amp;"|"&amp;"5"&amp;RIGHT("00000"&amp;500,5))</f>
        <v/>
      </c>
      <c r="T505">
        <f>IF($S505="",0,COUNTIFS($S$6:$S$505,"&lt;"&amp;$S505)-COUNTIFS($S$6:$S$505,"&lt;"&amp;$S505,$R$6:$R$505,"")+1)</f>
        <v/>
      </c>
      <c r="V505">
        <f>IF($K505="","",IF(ISNUMBER(Sync!$AK505),Sync!$AK505,LEFT(Sync!$AK505,4)&amp;MID(Sync!$AK505,6,2)&amp;RIGHT(Sync!$AK505,2))&amp;"|"&amp;"4"&amp;RIGHT("00000"&amp;500,5))</f>
        <v/>
      </c>
      <c r="W505">
        <f>IF($V505="",0,COUNTIFS($V$6:$V$2005,"&lt;"&amp;$V505)-COUNTIFS($V$6:$V$2005,"&lt;"&amp;$V505,$K$6:$K$2005,"")+1)</f>
        <v/>
      </c>
      <c r="X505">
        <f>IF(Sync!$AX505="","",IF(OR(N(Sync!$AY505)=0,N(Sync!$AZ505)=0),"",ROUND(N(Sync!$AY505)*N(Sync!$AZ505),0)))</f>
        <v/>
      </c>
      <c r="Y505">
        <f>IF($X505="","",IF(OR(Sync!$AX505="",COUNTIF(AcctCodesA,Sync!$AX505)=0),"متفرقه",Sync!$AX505))</f>
        <v/>
      </c>
      <c r="Z505">
        <f>IF($X505="","","سبد و ظروف")</f>
        <v/>
      </c>
      <c r="AA505">
        <f>IF($X505="","",$Y505)</f>
        <v/>
      </c>
    </row>
    <row r="506">
      <c r="A506">
        <f>IF(Sync!$Z506="","",LEFT(UPPER(TRIM(Sync!$Z506)),6))</f>
        <v/>
      </c>
      <c r="B506">
        <f>IF($A506="","",IF(Sync!$AA506="","",Sync!$AA506))</f>
        <v/>
      </c>
      <c r="C506">
        <f>IF($A506="","",IF(Sync!$AB506="","",Sync!$AB506))</f>
        <v/>
      </c>
      <c r="D506">
        <f>IF($A506="","",IF(Sync!$AC506="","",Sync!$AC506))</f>
        <v/>
      </c>
      <c r="E506">
        <f>IF($A506="","",IF(Sync!$AD506="","",Sync!$AD506))</f>
        <v/>
      </c>
      <c r="F506">
        <f>IF($A506="","",IF(Sync!$AE506="",0,Sync!$AE506))</f>
        <v/>
      </c>
      <c r="G506">
        <f>IF($A506="","",IF(Sync!$AF506="",0,Sync!$AF506))</f>
        <v/>
      </c>
      <c r="H506">
        <f>IF(OR($A506="",ROUND($F506+$G506,2)=0),"",$F506+$G506)</f>
        <v/>
      </c>
      <c r="I506">
        <f>IF($H506="","",IF(ROUND($F506,2)&gt;0,$A506,IF($D506="شخصی قاسم","شخصی قاسم",IF($D506="هزینه","هزینه: "&amp;IF($E506="","متفرقه",$E506),IF($C506="پاس چک","چک پرداختی",IF(OR($B506="",COUNTIF(AcctCodesA,$B506)=0),"متفرقه",$B506))))))</f>
        <v/>
      </c>
      <c r="J506">
        <f>IF($H506="","",IF(ROUND($F506,2)&gt;0,IF($D506="شخصی قاسم","شخصی قاسم",IF($D506="هزینه","هزینه: "&amp;IF($E506="","متفرقه",$E506),IF(OR($B506="",COUNTIF(AcctCodesA,$B506)=0),"متفرقه",$B506))),$A506))</f>
        <v/>
      </c>
      <c r="K506">
        <f>IF($A506="","",IF(AND($B506&lt;&gt;"",COUNTIF(AcctCodesA,$B506)=0),"کد طرف در INFO تعریف نشده",IF(AND($D506="هزینه",$E506=""),"هزینه بدون زیرگروه",IF(AND($C506="پاس چک",OR(Sync!$AJ506="",COUNTIF(IssueNosA,Sync!$AJ506)=0)),"شماره چک پاس‌شده معتبر نیست",""))))</f>
        <v/>
      </c>
      <c r="V506">
        <f>IF($K506="","",IF(ISNUMBER(Sync!$AK506),Sync!$AK506,LEFT(Sync!$AK506,4)&amp;MID(Sync!$AK506,6,2)&amp;RIGHT(Sync!$AK506,2))&amp;"|"&amp;"4"&amp;RIGHT("00000"&amp;501,5))</f>
        <v/>
      </c>
      <c r="W506">
        <f>IF($V506="",0,COUNTIFS($V$6:$V$2005,"&lt;"&amp;$V506)-COUNTIFS($V$6:$V$2005,"&lt;"&amp;$V506,$K$6:$K$2005,"")+1)</f>
        <v/>
      </c>
      <c r="X506">
        <f>IF(Sync!$AX506="","",IF(OR(N(Sync!$AY506)=0,N(Sync!$AZ506)=0),"",ROUND(N(Sync!$AY506)*N(Sync!$AZ506),0)))</f>
        <v/>
      </c>
      <c r="Y506">
        <f>IF($X506="","",IF(OR(Sync!$AX506="",COUNTIF(AcctCodesA,Sync!$AX506)=0),"متفرقه",Sync!$AX506))</f>
        <v/>
      </c>
      <c r="Z506">
        <f>IF($X506="","","سبد و ظروف")</f>
        <v/>
      </c>
      <c r="AA506">
        <f>IF($X506="","",$Y506)</f>
        <v/>
      </c>
    </row>
    <row r="507">
      <c r="A507">
        <f>IF(Sync!$Z507="","",LEFT(UPPER(TRIM(Sync!$Z507)),6))</f>
        <v/>
      </c>
      <c r="B507">
        <f>IF($A507="","",IF(Sync!$AA507="","",Sync!$AA507))</f>
        <v/>
      </c>
      <c r="C507">
        <f>IF($A507="","",IF(Sync!$AB507="","",Sync!$AB507))</f>
        <v/>
      </c>
      <c r="D507">
        <f>IF($A507="","",IF(Sync!$AC507="","",Sync!$AC507))</f>
        <v/>
      </c>
      <c r="E507">
        <f>IF($A507="","",IF(Sync!$AD507="","",Sync!$AD507))</f>
        <v/>
      </c>
      <c r="F507">
        <f>IF($A507="","",IF(Sync!$AE507="",0,Sync!$AE507))</f>
        <v/>
      </c>
      <c r="G507">
        <f>IF($A507="","",IF(Sync!$AF507="",0,Sync!$AF507))</f>
        <v/>
      </c>
      <c r="H507">
        <f>IF(OR($A507="",ROUND($F507+$G507,2)=0),"",$F507+$G507)</f>
        <v/>
      </c>
      <c r="I507">
        <f>IF($H507="","",IF(ROUND($F507,2)&gt;0,$A507,IF($D507="شخصی قاسم","شخصی قاسم",IF($D507="هزینه","هزینه: "&amp;IF($E507="","متفرقه",$E507),IF($C507="پاس چک","چک پرداختی",IF(OR($B507="",COUNTIF(AcctCodesA,$B507)=0),"متفرقه",$B507))))))</f>
        <v/>
      </c>
      <c r="J507">
        <f>IF($H507="","",IF(ROUND($F507,2)&gt;0,IF($D507="شخصی قاسم","شخصی قاسم",IF($D507="هزینه","هزینه: "&amp;IF($E507="","متفرقه",$E507),IF(OR($B507="",COUNTIF(AcctCodesA,$B507)=0),"متفرقه",$B507))),$A507))</f>
        <v/>
      </c>
      <c r="K507">
        <f>IF($A507="","",IF(AND($B507&lt;&gt;"",COUNTIF(AcctCodesA,$B507)=0),"کد طرف در INFO تعریف نشده",IF(AND($D507="هزینه",$E507=""),"هزینه بدون زیرگروه",IF(AND($C507="پاس چک",OR(Sync!$AJ507="",COUNTIF(IssueNosA,Sync!$AJ507)=0)),"شماره چک پاس‌شده معتبر نیست",""))))</f>
        <v/>
      </c>
      <c r="V507">
        <f>IF($K507="","",IF(ISNUMBER(Sync!$AK507),Sync!$AK507,LEFT(Sync!$AK507,4)&amp;MID(Sync!$AK507,6,2)&amp;RIGHT(Sync!$AK507,2))&amp;"|"&amp;"4"&amp;RIGHT("00000"&amp;502,5))</f>
        <v/>
      </c>
      <c r="W507">
        <f>IF($V507="",0,COUNTIFS($V$6:$V$2005,"&lt;"&amp;$V507)-COUNTIFS($V$6:$V$2005,"&lt;"&amp;$V507,$K$6:$K$2005,"")+1)</f>
        <v/>
      </c>
      <c r="X507">
        <f>IF(Sync!$AX507="","",IF(OR(N(Sync!$AY507)=0,N(Sync!$AZ507)=0),"",ROUND(N(Sync!$AY507)*N(Sync!$AZ507),0)))</f>
        <v/>
      </c>
      <c r="Y507">
        <f>IF($X507="","",IF(OR(Sync!$AX507="",COUNTIF(AcctCodesA,Sync!$AX507)=0),"متفرقه",Sync!$AX507))</f>
        <v/>
      </c>
      <c r="Z507">
        <f>IF($X507="","","سبد و ظروف")</f>
        <v/>
      </c>
      <c r="AA507">
        <f>IF($X507="","",$Y507)</f>
        <v/>
      </c>
    </row>
    <row r="508">
      <c r="A508">
        <f>IF(Sync!$Z508="","",LEFT(UPPER(TRIM(Sync!$Z508)),6))</f>
        <v/>
      </c>
      <c r="B508">
        <f>IF($A508="","",IF(Sync!$AA508="","",Sync!$AA508))</f>
        <v/>
      </c>
      <c r="C508">
        <f>IF($A508="","",IF(Sync!$AB508="","",Sync!$AB508))</f>
        <v/>
      </c>
      <c r="D508">
        <f>IF($A508="","",IF(Sync!$AC508="","",Sync!$AC508))</f>
        <v/>
      </c>
      <c r="E508">
        <f>IF($A508="","",IF(Sync!$AD508="","",Sync!$AD508))</f>
        <v/>
      </c>
      <c r="F508">
        <f>IF($A508="","",IF(Sync!$AE508="",0,Sync!$AE508))</f>
        <v/>
      </c>
      <c r="G508">
        <f>IF($A508="","",IF(Sync!$AF508="",0,Sync!$AF508))</f>
        <v/>
      </c>
      <c r="H508">
        <f>IF(OR($A508="",ROUND($F508+$G508,2)=0),"",$F508+$G508)</f>
        <v/>
      </c>
      <c r="I508">
        <f>IF($H508="","",IF(ROUND($F508,2)&gt;0,$A508,IF($D508="شخصی قاسم","شخصی قاسم",IF($D508="هزینه","هزینه: "&amp;IF($E508="","متفرقه",$E508),IF($C508="پاس چک","چک پرداختی",IF(OR($B508="",COUNTIF(AcctCodesA,$B508)=0),"متفرقه",$B508))))))</f>
        <v/>
      </c>
      <c r="J508">
        <f>IF($H508="","",IF(ROUND($F508,2)&gt;0,IF($D508="شخصی قاسم","شخصی قاسم",IF($D508="هزینه","هزینه: "&amp;IF($E508="","متفرقه",$E508),IF(OR($B508="",COUNTIF(AcctCodesA,$B508)=0),"متفرقه",$B508))),$A508))</f>
        <v/>
      </c>
      <c r="K508">
        <f>IF($A508="","",IF(AND($B508&lt;&gt;"",COUNTIF(AcctCodesA,$B508)=0),"کد طرف در INFO تعریف نشده",IF(AND($D508="هزینه",$E508=""),"هزینه بدون زیرگروه",IF(AND($C508="پاس چک",OR(Sync!$AJ508="",COUNTIF(IssueNosA,Sync!$AJ508)=0)),"شماره چک پاس‌شده معتبر نیست",""))))</f>
        <v/>
      </c>
      <c r="V508">
        <f>IF($K508="","",IF(ISNUMBER(Sync!$AK508),Sync!$AK508,LEFT(Sync!$AK508,4)&amp;MID(Sync!$AK508,6,2)&amp;RIGHT(Sync!$AK508,2))&amp;"|"&amp;"4"&amp;RIGHT("00000"&amp;503,5))</f>
        <v/>
      </c>
      <c r="W508">
        <f>IF($V508="",0,COUNTIFS($V$6:$V$2005,"&lt;"&amp;$V508)-COUNTIFS($V$6:$V$2005,"&lt;"&amp;$V508,$K$6:$K$2005,"")+1)</f>
        <v/>
      </c>
      <c r="X508">
        <f>IF(Sync!$AX508="","",IF(OR(N(Sync!$AY508)=0,N(Sync!$AZ508)=0),"",ROUND(N(Sync!$AY508)*N(Sync!$AZ508),0)))</f>
        <v/>
      </c>
      <c r="Y508">
        <f>IF($X508="","",IF(OR(Sync!$AX508="",COUNTIF(AcctCodesA,Sync!$AX508)=0),"متفرقه",Sync!$AX508))</f>
        <v/>
      </c>
      <c r="Z508">
        <f>IF($X508="","","سبد و ظروف")</f>
        <v/>
      </c>
      <c r="AA508">
        <f>IF($X508="","",$Y508)</f>
        <v/>
      </c>
    </row>
    <row r="509">
      <c r="A509">
        <f>IF(Sync!$Z509="","",LEFT(UPPER(TRIM(Sync!$Z509)),6))</f>
        <v/>
      </c>
      <c r="B509">
        <f>IF($A509="","",IF(Sync!$AA509="","",Sync!$AA509))</f>
        <v/>
      </c>
      <c r="C509">
        <f>IF($A509="","",IF(Sync!$AB509="","",Sync!$AB509))</f>
        <v/>
      </c>
      <c r="D509">
        <f>IF($A509="","",IF(Sync!$AC509="","",Sync!$AC509))</f>
        <v/>
      </c>
      <c r="E509">
        <f>IF($A509="","",IF(Sync!$AD509="","",Sync!$AD509))</f>
        <v/>
      </c>
      <c r="F509">
        <f>IF($A509="","",IF(Sync!$AE509="",0,Sync!$AE509))</f>
        <v/>
      </c>
      <c r="G509">
        <f>IF($A509="","",IF(Sync!$AF509="",0,Sync!$AF509))</f>
        <v/>
      </c>
      <c r="H509">
        <f>IF(OR($A509="",ROUND($F509+$G509,2)=0),"",$F509+$G509)</f>
        <v/>
      </c>
      <c r="I509">
        <f>IF($H509="","",IF(ROUND($F509,2)&gt;0,$A509,IF($D509="شخصی قاسم","شخصی قاسم",IF($D509="هزینه","هزینه: "&amp;IF($E509="","متفرقه",$E509),IF($C509="پاس چک","چک پرداختی",IF(OR($B509="",COUNTIF(AcctCodesA,$B509)=0),"متفرقه",$B509))))))</f>
        <v/>
      </c>
      <c r="J509">
        <f>IF($H509="","",IF(ROUND($F509,2)&gt;0,IF($D509="شخصی قاسم","شخصی قاسم",IF($D509="هزینه","هزینه: "&amp;IF($E509="","متفرقه",$E509),IF(OR($B509="",COUNTIF(AcctCodesA,$B509)=0),"متفرقه",$B509))),$A509))</f>
        <v/>
      </c>
      <c r="K509">
        <f>IF($A509="","",IF(AND($B509&lt;&gt;"",COUNTIF(AcctCodesA,$B509)=0),"کد طرف در INFO تعریف نشده",IF(AND($D509="هزینه",$E509=""),"هزینه بدون زیرگروه",IF(AND($C509="پاس چک",OR(Sync!$AJ509="",COUNTIF(IssueNosA,Sync!$AJ509)=0)),"شماره چک پاس‌شده معتبر نیست",""))))</f>
        <v/>
      </c>
      <c r="V509">
        <f>IF($K509="","",IF(ISNUMBER(Sync!$AK509),Sync!$AK509,LEFT(Sync!$AK509,4)&amp;MID(Sync!$AK509,6,2)&amp;RIGHT(Sync!$AK509,2))&amp;"|"&amp;"4"&amp;RIGHT("00000"&amp;504,5))</f>
        <v/>
      </c>
      <c r="W509">
        <f>IF($V509="",0,COUNTIFS($V$6:$V$2005,"&lt;"&amp;$V509)-COUNTIFS($V$6:$V$2005,"&lt;"&amp;$V509,$K$6:$K$2005,"")+1)</f>
        <v/>
      </c>
      <c r="X509">
        <f>IF(Sync!$AX509="","",IF(OR(N(Sync!$AY509)=0,N(Sync!$AZ509)=0),"",ROUND(N(Sync!$AY509)*N(Sync!$AZ509),0)))</f>
        <v/>
      </c>
      <c r="Y509">
        <f>IF($X509="","",IF(OR(Sync!$AX509="",COUNTIF(AcctCodesA,Sync!$AX509)=0),"متفرقه",Sync!$AX509))</f>
        <v/>
      </c>
      <c r="Z509">
        <f>IF($X509="","","سبد و ظروف")</f>
        <v/>
      </c>
      <c r="AA509">
        <f>IF($X509="","",$Y509)</f>
        <v/>
      </c>
    </row>
    <row r="510">
      <c r="A510">
        <f>IF(Sync!$Z510="","",LEFT(UPPER(TRIM(Sync!$Z510)),6))</f>
        <v/>
      </c>
      <c r="B510">
        <f>IF($A510="","",IF(Sync!$AA510="","",Sync!$AA510))</f>
        <v/>
      </c>
      <c r="C510">
        <f>IF($A510="","",IF(Sync!$AB510="","",Sync!$AB510))</f>
        <v/>
      </c>
      <c r="D510">
        <f>IF($A510="","",IF(Sync!$AC510="","",Sync!$AC510))</f>
        <v/>
      </c>
      <c r="E510">
        <f>IF($A510="","",IF(Sync!$AD510="","",Sync!$AD510))</f>
        <v/>
      </c>
      <c r="F510">
        <f>IF($A510="","",IF(Sync!$AE510="",0,Sync!$AE510))</f>
        <v/>
      </c>
      <c r="G510">
        <f>IF($A510="","",IF(Sync!$AF510="",0,Sync!$AF510))</f>
        <v/>
      </c>
      <c r="H510">
        <f>IF(OR($A510="",ROUND($F510+$G510,2)=0),"",$F510+$G510)</f>
        <v/>
      </c>
      <c r="I510">
        <f>IF($H510="","",IF(ROUND($F510,2)&gt;0,$A510,IF($D510="شخصی قاسم","شخصی قاسم",IF($D510="هزینه","هزینه: "&amp;IF($E510="","متفرقه",$E510),IF($C510="پاس چک","چک پرداختی",IF(OR($B510="",COUNTIF(AcctCodesA,$B510)=0),"متفرقه",$B510))))))</f>
        <v/>
      </c>
      <c r="J510">
        <f>IF($H510="","",IF(ROUND($F510,2)&gt;0,IF($D510="شخصی قاسم","شخصی قاسم",IF($D510="هزینه","هزینه: "&amp;IF($E510="","متفرقه",$E510),IF(OR($B510="",COUNTIF(AcctCodesA,$B510)=0),"متفرقه",$B510))),$A510))</f>
        <v/>
      </c>
      <c r="K510">
        <f>IF($A510="","",IF(AND($B510&lt;&gt;"",COUNTIF(AcctCodesA,$B510)=0),"کد طرف در INFO تعریف نشده",IF(AND($D510="هزینه",$E510=""),"هزینه بدون زیرگروه",IF(AND($C510="پاس چک",OR(Sync!$AJ510="",COUNTIF(IssueNosA,Sync!$AJ510)=0)),"شماره چک پاس‌شده معتبر نیست",""))))</f>
        <v/>
      </c>
      <c r="V510">
        <f>IF($K510="","",IF(ISNUMBER(Sync!$AK510),Sync!$AK510,LEFT(Sync!$AK510,4)&amp;MID(Sync!$AK510,6,2)&amp;RIGHT(Sync!$AK510,2))&amp;"|"&amp;"4"&amp;RIGHT("00000"&amp;505,5))</f>
        <v/>
      </c>
      <c r="W510">
        <f>IF($V510="",0,COUNTIFS($V$6:$V$2005,"&lt;"&amp;$V510)-COUNTIFS($V$6:$V$2005,"&lt;"&amp;$V510,$K$6:$K$2005,"")+1)</f>
        <v/>
      </c>
      <c r="X510">
        <f>IF(Sync!$AX510="","",IF(OR(N(Sync!$AY510)=0,N(Sync!$AZ510)=0),"",ROUND(N(Sync!$AY510)*N(Sync!$AZ510),0)))</f>
        <v/>
      </c>
      <c r="Y510">
        <f>IF($X510="","",IF(OR(Sync!$AX510="",COUNTIF(AcctCodesA,Sync!$AX510)=0),"متفرقه",Sync!$AX510))</f>
        <v/>
      </c>
      <c r="Z510">
        <f>IF($X510="","","سبد و ظروف")</f>
        <v/>
      </c>
      <c r="AA510">
        <f>IF($X510="","",$Y510)</f>
        <v/>
      </c>
    </row>
    <row r="511">
      <c r="A511">
        <f>IF(Sync!$Z511="","",LEFT(UPPER(TRIM(Sync!$Z511)),6))</f>
        <v/>
      </c>
      <c r="B511">
        <f>IF($A511="","",IF(Sync!$AA511="","",Sync!$AA511))</f>
        <v/>
      </c>
      <c r="C511">
        <f>IF($A511="","",IF(Sync!$AB511="","",Sync!$AB511))</f>
        <v/>
      </c>
      <c r="D511">
        <f>IF($A511="","",IF(Sync!$AC511="","",Sync!$AC511))</f>
        <v/>
      </c>
      <c r="E511">
        <f>IF($A511="","",IF(Sync!$AD511="","",Sync!$AD511))</f>
        <v/>
      </c>
      <c r="F511">
        <f>IF($A511="","",IF(Sync!$AE511="",0,Sync!$AE511))</f>
        <v/>
      </c>
      <c r="G511">
        <f>IF($A511="","",IF(Sync!$AF511="",0,Sync!$AF511))</f>
        <v/>
      </c>
      <c r="H511">
        <f>IF(OR($A511="",ROUND($F511+$G511,2)=0),"",$F511+$G511)</f>
        <v/>
      </c>
      <c r="I511">
        <f>IF($H511="","",IF(ROUND($F511,2)&gt;0,$A511,IF($D511="شخصی قاسم","شخصی قاسم",IF($D511="هزینه","هزینه: "&amp;IF($E511="","متفرقه",$E511),IF($C511="پاس چک","چک پرداختی",IF(OR($B511="",COUNTIF(AcctCodesA,$B511)=0),"متفرقه",$B511))))))</f>
        <v/>
      </c>
      <c r="J511">
        <f>IF($H511="","",IF(ROUND($F511,2)&gt;0,IF($D511="شخصی قاسم","شخصی قاسم",IF($D511="هزینه","هزینه: "&amp;IF($E511="","متفرقه",$E511),IF(OR($B511="",COUNTIF(AcctCodesA,$B511)=0),"متفرقه",$B511))),$A511))</f>
        <v/>
      </c>
      <c r="K511">
        <f>IF($A511="","",IF(AND($B511&lt;&gt;"",COUNTIF(AcctCodesA,$B511)=0),"کد طرف در INFO تعریف نشده",IF(AND($D511="هزینه",$E511=""),"هزینه بدون زیرگروه",IF(AND($C511="پاس چک",OR(Sync!$AJ511="",COUNTIF(IssueNosA,Sync!$AJ511)=0)),"شماره چک پاس‌شده معتبر نیست",""))))</f>
        <v/>
      </c>
      <c r="V511">
        <f>IF($K511="","",IF(ISNUMBER(Sync!$AK511),Sync!$AK511,LEFT(Sync!$AK511,4)&amp;MID(Sync!$AK511,6,2)&amp;RIGHT(Sync!$AK511,2))&amp;"|"&amp;"4"&amp;RIGHT("00000"&amp;506,5))</f>
        <v/>
      </c>
      <c r="W511">
        <f>IF($V511="",0,COUNTIFS($V$6:$V$2005,"&lt;"&amp;$V511)-COUNTIFS($V$6:$V$2005,"&lt;"&amp;$V511,$K$6:$K$2005,"")+1)</f>
        <v/>
      </c>
      <c r="X511">
        <f>IF(Sync!$AX511="","",IF(OR(N(Sync!$AY511)=0,N(Sync!$AZ511)=0),"",ROUND(N(Sync!$AY511)*N(Sync!$AZ511),0)))</f>
        <v/>
      </c>
      <c r="Y511">
        <f>IF($X511="","",IF(OR(Sync!$AX511="",COUNTIF(AcctCodesA,Sync!$AX511)=0),"متفرقه",Sync!$AX511))</f>
        <v/>
      </c>
      <c r="Z511">
        <f>IF($X511="","","سبد و ظروف")</f>
        <v/>
      </c>
      <c r="AA511">
        <f>IF($X511="","",$Y511)</f>
        <v/>
      </c>
    </row>
    <row r="512">
      <c r="A512">
        <f>IF(Sync!$Z512="","",LEFT(UPPER(TRIM(Sync!$Z512)),6))</f>
        <v/>
      </c>
      <c r="B512">
        <f>IF($A512="","",IF(Sync!$AA512="","",Sync!$AA512))</f>
        <v/>
      </c>
      <c r="C512">
        <f>IF($A512="","",IF(Sync!$AB512="","",Sync!$AB512))</f>
        <v/>
      </c>
      <c r="D512">
        <f>IF($A512="","",IF(Sync!$AC512="","",Sync!$AC512))</f>
        <v/>
      </c>
      <c r="E512">
        <f>IF($A512="","",IF(Sync!$AD512="","",Sync!$AD512))</f>
        <v/>
      </c>
      <c r="F512">
        <f>IF($A512="","",IF(Sync!$AE512="",0,Sync!$AE512))</f>
        <v/>
      </c>
      <c r="G512">
        <f>IF($A512="","",IF(Sync!$AF512="",0,Sync!$AF512))</f>
        <v/>
      </c>
      <c r="H512">
        <f>IF(OR($A512="",ROUND($F512+$G512,2)=0),"",$F512+$G512)</f>
        <v/>
      </c>
      <c r="I512">
        <f>IF($H512="","",IF(ROUND($F512,2)&gt;0,$A512,IF($D512="شخصی قاسم","شخصی قاسم",IF($D512="هزینه","هزینه: "&amp;IF($E512="","متفرقه",$E512),IF($C512="پاس چک","چک پرداختی",IF(OR($B512="",COUNTIF(AcctCodesA,$B512)=0),"متفرقه",$B512))))))</f>
        <v/>
      </c>
      <c r="J512">
        <f>IF($H512="","",IF(ROUND($F512,2)&gt;0,IF($D512="شخصی قاسم","شخصی قاسم",IF($D512="هزینه","هزینه: "&amp;IF($E512="","متفرقه",$E512),IF(OR($B512="",COUNTIF(AcctCodesA,$B512)=0),"متفرقه",$B512))),$A512))</f>
        <v/>
      </c>
      <c r="K512">
        <f>IF($A512="","",IF(AND($B512&lt;&gt;"",COUNTIF(AcctCodesA,$B512)=0),"کد طرف در INFO تعریف نشده",IF(AND($D512="هزینه",$E512=""),"هزینه بدون زیرگروه",IF(AND($C512="پاس چک",OR(Sync!$AJ512="",COUNTIF(IssueNosA,Sync!$AJ512)=0)),"شماره چک پاس‌شده معتبر نیست",""))))</f>
        <v/>
      </c>
      <c r="V512">
        <f>IF($K512="","",IF(ISNUMBER(Sync!$AK512),Sync!$AK512,LEFT(Sync!$AK512,4)&amp;MID(Sync!$AK512,6,2)&amp;RIGHT(Sync!$AK512,2))&amp;"|"&amp;"4"&amp;RIGHT("00000"&amp;507,5))</f>
        <v/>
      </c>
      <c r="W512">
        <f>IF($V512="",0,COUNTIFS($V$6:$V$2005,"&lt;"&amp;$V512)-COUNTIFS($V$6:$V$2005,"&lt;"&amp;$V512,$K$6:$K$2005,"")+1)</f>
        <v/>
      </c>
      <c r="X512">
        <f>IF(Sync!$AX512="","",IF(OR(N(Sync!$AY512)=0,N(Sync!$AZ512)=0),"",ROUND(N(Sync!$AY512)*N(Sync!$AZ512),0)))</f>
        <v/>
      </c>
      <c r="Y512">
        <f>IF($X512="","",IF(OR(Sync!$AX512="",COUNTIF(AcctCodesA,Sync!$AX512)=0),"متفرقه",Sync!$AX512))</f>
        <v/>
      </c>
      <c r="Z512">
        <f>IF($X512="","","سبد و ظروف")</f>
        <v/>
      </c>
      <c r="AA512">
        <f>IF($X512="","",$Y512)</f>
        <v/>
      </c>
    </row>
    <row r="513">
      <c r="A513">
        <f>IF(Sync!$Z513="","",LEFT(UPPER(TRIM(Sync!$Z513)),6))</f>
        <v/>
      </c>
      <c r="B513">
        <f>IF($A513="","",IF(Sync!$AA513="","",Sync!$AA513))</f>
        <v/>
      </c>
      <c r="C513">
        <f>IF($A513="","",IF(Sync!$AB513="","",Sync!$AB513))</f>
        <v/>
      </c>
      <c r="D513">
        <f>IF($A513="","",IF(Sync!$AC513="","",Sync!$AC513))</f>
        <v/>
      </c>
      <c r="E513">
        <f>IF($A513="","",IF(Sync!$AD513="","",Sync!$AD513))</f>
        <v/>
      </c>
      <c r="F513">
        <f>IF($A513="","",IF(Sync!$AE513="",0,Sync!$AE513))</f>
        <v/>
      </c>
      <c r="G513">
        <f>IF($A513="","",IF(Sync!$AF513="",0,Sync!$AF513))</f>
        <v/>
      </c>
      <c r="H513">
        <f>IF(OR($A513="",ROUND($F513+$G513,2)=0),"",$F513+$G513)</f>
        <v/>
      </c>
      <c r="I513">
        <f>IF($H513="","",IF(ROUND($F513,2)&gt;0,$A513,IF($D513="شخصی قاسم","شخصی قاسم",IF($D513="هزینه","هزینه: "&amp;IF($E513="","متفرقه",$E513),IF($C513="پاس چک","چک پرداختی",IF(OR($B513="",COUNTIF(AcctCodesA,$B513)=0),"متفرقه",$B513))))))</f>
        <v/>
      </c>
      <c r="J513">
        <f>IF($H513="","",IF(ROUND($F513,2)&gt;0,IF($D513="شخصی قاسم","شخصی قاسم",IF($D513="هزینه","هزینه: "&amp;IF($E513="","متفرقه",$E513),IF(OR($B513="",COUNTIF(AcctCodesA,$B513)=0),"متفرقه",$B513))),$A513))</f>
        <v/>
      </c>
      <c r="K513">
        <f>IF($A513="","",IF(AND($B513&lt;&gt;"",COUNTIF(AcctCodesA,$B513)=0),"کد طرف در INFO تعریف نشده",IF(AND($D513="هزینه",$E513=""),"هزینه بدون زیرگروه",IF(AND($C513="پاس چک",OR(Sync!$AJ513="",COUNTIF(IssueNosA,Sync!$AJ513)=0)),"شماره چک پاس‌شده معتبر نیست",""))))</f>
        <v/>
      </c>
      <c r="V513">
        <f>IF($K513="","",IF(ISNUMBER(Sync!$AK513),Sync!$AK513,LEFT(Sync!$AK513,4)&amp;MID(Sync!$AK513,6,2)&amp;RIGHT(Sync!$AK513,2))&amp;"|"&amp;"4"&amp;RIGHT("00000"&amp;508,5))</f>
        <v/>
      </c>
      <c r="W513">
        <f>IF($V513="",0,COUNTIFS($V$6:$V$2005,"&lt;"&amp;$V513)-COUNTIFS($V$6:$V$2005,"&lt;"&amp;$V513,$K$6:$K$2005,"")+1)</f>
        <v/>
      </c>
      <c r="X513">
        <f>IF(Sync!$AX513="","",IF(OR(N(Sync!$AY513)=0,N(Sync!$AZ513)=0),"",ROUND(N(Sync!$AY513)*N(Sync!$AZ513),0)))</f>
        <v/>
      </c>
      <c r="Y513">
        <f>IF($X513="","",IF(OR(Sync!$AX513="",COUNTIF(AcctCodesA,Sync!$AX513)=0),"متفرقه",Sync!$AX513))</f>
        <v/>
      </c>
      <c r="Z513">
        <f>IF($X513="","","سبد و ظروف")</f>
        <v/>
      </c>
      <c r="AA513">
        <f>IF($X513="","",$Y513)</f>
        <v/>
      </c>
    </row>
    <row r="514">
      <c r="A514">
        <f>IF(Sync!$Z514="","",LEFT(UPPER(TRIM(Sync!$Z514)),6))</f>
        <v/>
      </c>
      <c r="B514">
        <f>IF($A514="","",IF(Sync!$AA514="","",Sync!$AA514))</f>
        <v/>
      </c>
      <c r="C514">
        <f>IF($A514="","",IF(Sync!$AB514="","",Sync!$AB514))</f>
        <v/>
      </c>
      <c r="D514">
        <f>IF($A514="","",IF(Sync!$AC514="","",Sync!$AC514))</f>
        <v/>
      </c>
      <c r="E514">
        <f>IF($A514="","",IF(Sync!$AD514="","",Sync!$AD514))</f>
        <v/>
      </c>
      <c r="F514">
        <f>IF($A514="","",IF(Sync!$AE514="",0,Sync!$AE514))</f>
        <v/>
      </c>
      <c r="G514">
        <f>IF($A514="","",IF(Sync!$AF514="",0,Sync!$AF514))</f>
        <v/>
      </c>
      <c r="H514">
        <f>IF(OR($A514="",ROUND($F514+$G514,2)=0),"",$F514+$G514)</f>
        <v/>
      </c>
      <c r="I514">
        <f>IF($H514="","",IF(ROUND($F514,2)&gt;0,$A514,IF($D514="شخصی قاسم","شخصی قاسم",IF($D514="هزینه","هزینه: "&amp;IF($E514="","متفرقه",$E514),IF($C514="پاس چک","چک پرداختی",IF(OR($B514="",COUNTIF(AcctCodesA,$B514)=0),"متفرقه",$B514))))))</f>
        <v/>
      </c>
      <c r="J514">
        <f>IF($H514="","",IF(ROUND($F514,2)&gt;0,IF($D514="شخصی قاسم","شخصی قاسم",IF($D514="هزینه","هزینه: "&amp;IF($E514="","متفرقه",$E514),IF(OR($B514="",COUNTIF(AcctCodesA,$B514)=0),"متفرقه",$B514))),$A514))</f>
        <v/>
      </c>
      <c r="K514">
        <f>IF($A514="","",IF(AND($B514&lt;&gt;"",COUNTIF(AcctCodesA,$B514)=0),"کد طرف در INFO تعریف نشده",IF(AND($D514="هزینه",$E514=""),"هزینه بدون زیرگروه",IF(AND($C514="پاس چک",OR(Sync!$AJ514="",COUNTIF(IssueNosA,Sync!$AJ514)=0)),"شماره چک پاس‌شده معتبر نیست",""))))</f>
        <v/>
      </c>
      <c r="V514">
        <f>IF($K514="","",IF(ISNUMBER(Sync!$AK514),Sync!$AK514,LEFT(Sync!$AK514,4)&amp;MID(Sync!$AK514,6,2)&amp;RIGHT(Sync!$AK514,2))&amp;"|"&amp;"4"&amp;RIGHT("00000"&amp;509,5))</f>
        <v/>
      </c>
      <c r="W514">
        <f>IF($V514="",0,COUNTIFS($V$6:$V$2005,"&lt;"&amp;$V514)-COUNTIFS($V$6:$V$2005,"&lt;"&amp;$V514,$K$6:$K$2005,"")+1)</f>
        <v/>
      </c>
      <c r="X514">
        <f>IF(Sync!$AX514="","",IF(OR(N(Sync!$AY514)=0,N(Sync!$AZ514)=0),"",ROUND(N(Sync!$AY514)*N(Sync!$AZ514),0)))</f>
        <v/>
      </c>
      <c r="Y514">
        <f>IF($X514="","",IF(OR(Sync!$AX514="",COUNTIF(AcctCodesA,Sync!$AX514)=0),"متفرقه",Sync!$AX514))</f>
        <v/>
      </c>
      <c r="Z514">
        <f>IF($X514="","","سبد و ظروف")</f>
        <v/>
      </c>
      <c r="AA514">
        <f>IF($X514="","",$Y514)</f>
        <v/>
      </c>
    </row>
    <row r="515">
      <c r="A515">
        <f>IF(Sync!$Z515="","",LEFT(UPPER(TRIM(Sync!$Z515)),6))</f>
        <v/>
      </c>
      <c r="B515">
        <f>IF($A515="","",IF(Sync!$AA515="","",Sync!$AA515))</f>
        <v/>
      </c>
      <c r="C515">
        <f>IF($A515="","",IF(Sync!$AB515="","",Sync!$AB515))</f>
        <v/>
      </c>
      <c r="D515">
        <f>IF($A515="","",IF(Sync!$AC515="","",Sync!$AC515))</f>
        <v/>
      </c>
      <c r="E515">
        <f>IF($A515="","",IF(Sync!$AD515="","",Sync!$AD515))</f>
        <v/>
      </c>
      <c r="F515">
        <f>IF($A515="","",IF(Sync!$AE515="",0,Sync!$AE515))</f>
        <v/>
      </c>
      <c r="G515">
        <f>IF($A515="","",IF(Sync!$AF515="",0,Sync!$AF515))</f>
        <v/>
      </c>
      <c r="H515">
        <f>IF(OR($A515="",ROUND($F515+$G515,2)=0),"",$F515+$G515)</f>
        <v/>
      </c>
      <c r="I515">
        <f>IF($H515="","",IF(ROUND($F515,2)&gt;0,$A515,IF($D515="شخصی قاسم","شخصی قاسم",IF($D515="هزینه","هزینه: "&amp;IF($E515="","متفرقه",$E515),IF($C515="پاس چک","چک پرداختی",IF(OR($B515="",COUNTIF(AcctCodesA,$B515)=0),"متفرقه",$B515))))))</f>
        <v/>
      </c>
      <c r="J515">
        <f>IF($H515="","",IF(ROUND($F515,2)&gt;0,IF($D515="شخصی قاسم","شخصی قاسم",IF($D515="هزینه","هزینه: "&amp;IF($E515="","متفرقه",$E515),IF(OR($B515="",COUNTIF(AcctCodesA,$B515)=0),"متفرقه",$B515))),$A515))</f>
        <v/>
      </c>
      <c r="K515">
        <f>IF($A515="","",IF(AND($B515&lt;&gt;"",COUNTIF(AcctCodesA,$B515)=0),"کد طرف در INFO تعریف نشده",IF(AND($D515="هزینه",$E515=""),"هزینه بدون زیرگروه",IF(AND($C515="پاس چک",OR(Sync!$AJ515="",COUNTIF(IssueNosA,Sync!$AJ515)=0)),"شماره چک پاس‌شده معتبر نیست",""))))</f>
        <v/>
      </c>
      <c r="V515">
        <f>IF($K515="","",IF(ISNUMBER(Sync!$AK515),Sync!$AK515,LEFT(Sync!$AK515,4)&amp;MID(Sync!$AK515,6,2)&amp;RIGHT(Sync!$AK515,2))&amp;"|"&amp;"4"&amp;RIGHT("00000"&amp;510,5))</f>
        <v/>
      </c>
      <c r="W515">
        <f>IF($V515="",0,COUNTIFS($V$6:$V$2005,"&lt;"&amp;$V515)-COUNTIFS($V$6:$V$2005,"&lt;"&amp;$V515,$K$6:$K$2005,"")+1)</f>
        <v/>
      </c>
      <c r="X515">
        <f>IF(Sync!$AX515="","",IF(OR(N(Sync!$AY515)=0,N(Sync!$AZ515)=0),"",ROUND(N(Sync!$AY515)*N(Sync!$AZ515),0)))</f>
        <v/>
      </c>
      <c r="Y515">
        <f>IF($X515="","",IF(OR(Sync!$AX515="",COUNTIF(AcctCodesA,Sync!$AX515)=0),"متفرقه",Sync!$AX515))</f>
        <v/>
      </c>
      <c r="Z515">
        <f>IF($X515="","","سبد و ظروف")</f>
        <v/>
      </c>
      <c r="AA515">
        <f>IF($X515="","",$Y515)</f>
        <v/>
      </c>
    </row>
    <row r="516">
      <c r="A516">
        <f>IF(Sync!$Z516="","",LEFT(UPPER(TRIM(Sync!$Z516)),6))</f>
        <v/>
      </c>
      <c r="B516">
        <f>IF($A516="","",IF(Sync!$AA516="","",Sync!$AA516))</f>
        <v/>
      </c>
      <c r="C516">
        <f>IF($A516="","",IF(Sync!$AB516="","",Sync!$AB516))</f>
        <v/>
      </c>
      <c r="D516">
        <f>IF($A516="","",IF(Sync!$AC516="","",Sync!$AC516))</f>
        <v/>
      </c>
      <c r="E516">
        <f>IF($A516="","",IF(Sync!$AD516="","",Sync!$AD516))</f>
        <v/>
      </c>
      <c r="F516">
        <f>IF($A516="","",IF(Sync!$AE516="",0,Sync!$AE516))</f>
        <v/>
      </c>
      <c r="G516">
        <f>IF($A516="","",IF(Sync!$AF516="",0,Sync!$AF516))</f>
        <v/>
      </c>
      <c r="H516">
        <f>IF(OR($A516="",ROUND($F516+$G516,2)=0),"",$F516+$G516)</f>
        <v/>
      </c>
      <c r="I516">
        <f>IF($H516="","",IF(ROUND($F516,2)&gt;0,$A516,IF($D516="شخصی قاسم","شخصی قاسم",IF($D516="هزینه","هزینه: "&amp;IF($E516="","متفرقه",$E516),IF($C516="پاس چک","چک پرداختی",IF(OR($B516="",COUNTIF(AcctCodesA,$B516)=0),"متفرقه",$B516))))))</f>
        <v/>
      </c>
      <c r="J516">
        <f>IF($H516="","",IF(ROUND($F516,2)&gt;0,IF($D516="شخصی قاسم","شخصی قاسم",IF($D516="هزینه","هزینه: "&amp;IF($E516="","متفرقه",$E516),IF(OR($B516="",COUNTIF(AcctCodesA,$B516)=0),"متفرقه",$B516))),$A516))</f>
        <v/>
      </c>
      <c r="K516">
        <f>IF($A516="","",IF(AND($B516&lt;&gt;"",COUNTIF(AcctCodesA,$B516)=0),"کد طرف در INFO تعریف نشده",IF(AND($D516="هزینه",$E516=""),"هزینه بدون زیرگروه",IF(AND($C516="پاس چک",OR(Sync!$AJ516="",COUNTIF(IssueNosA,Sync!$AJ516)=0)),"شماره چک پاس‌شده معتبر نیست",""))))</f>
        <v/>
      </c>
      <c r="V516">
        <f>IF($K516="","",IF(ISNUMBER(Sync!$AK516),Sync!$AK516,LEFT(Sync!$AK516,4)&amp;MID(Sync!$AK516,6,2)&amp;RIGHT(Sync!$AK516,2))&amp;"|"&amp;"4"&amp;RIGHT("00000"&amp;511,5))</f>
        <v/>
      </c>
      <c r="W516">
        <f>IF($V516="",0,COUNTIFS($V$6:$V$2005,"&lt;"&amp;$V516)-COUNTIFS($V$6:$V$2005,"&lt;"&amp;$V516,$K$6:$K$2005,"")+1)</f>
        <v/>
      </c>
      <c r="X516">
        <f>IF(Sync!$AX516="","",IF(OR(N(Sync!$AY516)=0,N(Sync!$AZ516)=0),"",ROUND(N(Sync!$AY516)*N(Sync!$AZ516),0)))</f>
        <v/>
      </c>
      <c r="Y516">
        <f>IF($X516="","",IF(OR(Sync!$AX516="",COUNTIF(AcctCodesA,Sync!$AX516)=0),"متفرقه",Sync!$AX516))</f>
        <v/>
      </c>
      <c r="Z516">
        <f>IF($X516="","","سبد و ظروف")</f>
        <v/>
      </c>
      <c r="AA516">
        <f>IF($X516="","",$Y516)</f>
        <v/>
      </c>
    </row>
    <row r="517">
      <c r="A517">
        <f>IF(Sync!$Z517="","",LEFT(UPPER(TRIM(Sync!$Z517)),6))</f>
        <v/>
      </c>
      <c r="B517">
        <f>IF($A517="","",IF(Sync!$AA517="","",Sync!$AA517))</f>
        <v/>
      </c>
      <c r="C517">
        <f>IF($A517="","",IF(Sync!$AB517="","",Sync!$AB517))</f>
        <v/>
      </c>
      <c r="D517">
        <f>IF($A517="","",IF(Sync!$AC517="","",Sync!$AC517))</f>
        <v/>
      </c>
      <c r="E517">
        <f>IF($A517="","",IF(Sync!$AD517="","",Sync!$AD517))</f>
        <v/>
      </c>
      <c r="F517">
        <f>IF($A517="","",IF(Sync!$AE517="",0,Sync!$AE517))</f>
        <v/>
      </c>
      <c r="G517">
        <f>IF($A517="","",IF(Sync!$AF517="",0,Sync!$AF517))</f>
        <v/>
      </c>
      <c r="H517">
        <f>IF(OR($A517="",ROUND($F517+$G517,2)=0),"",$F517+$G517)</f>
        <v/>
      </c>
      <c r="I517">
        <f>IF($H517="","",IF(ROUND($F517,2)&gt;0,$A517,IF($D517="شخصی قاسم","شخصی قاسم",IF($D517="هزینه","هزینه: "&amp;IF($E517="","متفرقه",$E517),IF($C517="پاس چک","چک پرداختی",IF(OR($B517="",COUNTIF(AcctCodesA,$B517)=0),"متفرقه",$B517))))))</f>
        <v/>
      </c>
      <c r="J517">
        <f>IF($H517="","",IF(ROUND($F517,2)&gt;0,IF($D517="شخصی قاسم","شخصی قاسم",IF($D517="هزینه","هزینه: "&amp;IF($E517="","متفرقه",$E517),IF(OR($B517="",COUNTIF(AcctCodesA,$B517)=0),"متفرقه",$B517))),$A517))</f>
        <v/>
      </c>
      <c r="K517">
        <f>IF($A517="","",IF(AND($B517&lt;&gt;"",COUNTIF(AcctCodesA,$B517)=0),"کد طرف در INFO تعریف نشده",IF(AND($D517="هزینه",$E517=""),"هزینه بدون زیرگروه",IF(AND($C517="پاس چک",OR(Sync!$AJ517="",COUNTIF(IssueNosA,Sync!$AJ517)=0)),"شماره چک پاس‌شده معتبر نیست",""))))</f>
        <v/>
      </c>
      <c r="V517">
        <f>IF($K517="","",IF(ISNUMBER(Sync!$AK517),Sync!$AK517,LEFT(Sync!$AK517,4)&amp;MID(Sync!$AK517,6,2)&amp;RIGHT(Sync!$AK517,2))&amp;"|"&amp;"4"&amp;RIGHT("00000"&amp;512,5))</f>
        <v/>
      </c>
      <c r="W517">
        <f>IF($V517="",0,COUNTIFS($V$6:$V$2005,"&lt;"&amp;$V517)-COUNTIFS($V$6:$V$2005,"&lt;"&amp;$V517,$K$6:$K$2005,"")+1)</f>
        <v/>
      </c>
      <c r="X517">
        <f>IF(Sync!$AX517="","",IF(OR(N(Sync!$AY517)=0,N(Sync!$AZ517)=0),"",ROUND(N(Sync!$AY517)*N(Sync!$AZ517),0)))</f>
        <v/>
      </c>
      <c r="Y517">
        <f>IF($X517="","",IF(OR(Sync!$AX517="",COUNTIF(AcctCodesA,Sync!$AX517)=0),"متفرقه",Sync!$AX517))</f>
        <v/>
      </c>
      <c r="Z517">
        <f>IF($X517="","","سبد و ظروف")</f>
        <v/>
      </c>
      <c r="AA517">
        <f>IF($X517="","",$Y517)</f>
        <v/>
      </c>
    </row>
    <row r="518">
      <c r="A518">
        <f>IF(Sync!$Z518="","",LEFT(UPPER(TRIM(Sync!$Z518)),6))</f>
        <v/>
      </c>
      <c r="B518">
        <f>IF($A518="","",IF(Sync!$AA518="","",Sync!$AA518))</f>
        <v/>
      </c>
      <c r="C518">
        <f>IF($A518="","",IF(Sync!$AB518="","",Sync!$AB518))</f>
        <v/>
      </c>
      <c r="D518">
        <f>IF($A518="","",IF(Sync!$AC518="","",Sync!$AC518))</f>
        <v/>
      </c>
      <c r="E518">
        <f>IF($A518="","",IF(Sync!$AD518="","",Sync!$AD518))</f>
        <v/>
      </c>
      <c r="F518">
        <f>IF($A518="","",IF(Sync!$AE518="",0,Sync!$AE518))</f>
        <v/>
      </c>
      <c r="G518">
        <f>IF($A518="","",IF(Sync!$AF518="",0,Sync!$AF518))</f>
        <v/>
      </c>
      <c r="H518">
        <f>IF(OR($A518="",ROUND($F518+$G518,2)=0),"",$F518+$G518)</f>
        <v/>
      </c>
      <c r="I518">
        <f>IF($H518="","",IF(ROUND($F518,2)&gt;0,$A518,IF($D518="شخصی قاسم","شخصی قاسم",IF($D518="هزینه","هزینه: "&amp;IF($E518="","متفرقه",$E518),IF($C518="پاس چک","چک پرداختی",IF(OR($B518="",COUNTIF(AcctCodesA,$B518)=0),"متفرقه",$B518))))))</f>
        <v/>
      </c>
      <c r="J518">
        <f>IF($H518="","",IF(ROUND($F518,2)&gt;0,IF($D518="شخصی قاسم","شخصی قاسم",IF($D518="هزینه","هزینه: "&amp;IF($E518="","متفرقه",$E518),IF(OR($B518="",COUNTIF(AcctCodesA,$B518)=0),"متفرقه",$B518))),$A518))</f>
        <v/>
      </c>
      <c r="K518">
        <f>IF($A518="","",IF(AND($B518&lt;&gt;"",COUNTIF(AcctCodesA,$B518)=0),"کد طرف در INFO تعریف نشده",IF(AND($D518="هزینه",$E518=""),"هزینه بدون زیرگروه",IF(AND($C518="پاس چک",OR(Sync!$AJ518="",COUNTIF(IssueNosA,Sync!$AJ518)=0)),"شماره چک پاس‌شده معتبر نیست",""))))</f>
        <v/>
      </c>
      <c r="V518">
        <f>IF($K518="","",IF(ISNUMBER(Sync!$AK518),Sync!$AK518,LEFT(Sync!$AK518,4)&amp;MID(Sync!$AK518,6,2)&amp;RIGHT(Sync!$AK518,2))&amp;"|"&amp;"4"&amp;RIGHT("00000"&amp;513,5))</f>
        <v/>
      </c>
      <c r="W518">
        <f>IF($V518="",0,COUNTIFS($V$6:$V$2005,"&lt;"&amp;$V518)-COUNTIFS($V$6:$V$2005,"&lt;"&amp;$V518,$K$6:$K$2005,"")+1)</f>
        <v/>
      </c>
      <c r="X518">
        <f>IF(Sync!$AX518="","",IF(OR(N(Sync!$AY518)=0,N(Sync!$AZ518)=0),"",ROUND(N(Sync!$AY518)*N(Sync!$AZ518),0)))</f>
        <v/>
      </c>
      <c r="Y518">
        <f>IF($X518="","",IF(OR(Sync!$AX518="",COUNTIF(AcctCodesA,Sync!$AX518)=0),"متفرقه",Sync!$AX518))</f>
        <v/>
      </c>
      <c r="Z518">
        <f>IF($X518="","","سبد و ظروف")</f>
        <v/>
      </c>
      <c r="AA518">
        <f>IF($X518="","",$Y518)</f>
        <v/>
      </c>
    </row>
    <row r="519">
      <c r="A519">
        <f>IF(Sync!$Z519="","",LEFT(UPPER(TRIM(Sync!$Z519)),6))</f>
        <v/>
      </c>
      <c r="B519">
        <f>IF($A519="","",IF(Sync!$AA519="","",Sync!$AA519))</f>
        <v/>
      </c>
      <c r="C519">
        <f>IF($A519="","",IF(Sync!$AB519="","",Sync!$AB519))</f>
        <v/>
      </c>
      <c r="D519">
        <f>IF($A519="","",IF(Sync!$AC519="","",Sync!$AC519))</f>
        <v/>
      </c>
      <c r="E519">
        <f>IF($A519="","",IF(Sync!$AD519="","",Sync!$AD519))</f>
        <v/>
      </c>
      <c r="F519">
        <f>IF($A519="","",IF(Sync!$AE519="",0,Sync!$AE519))</f>
        <v/>
      </c>
      <c r="G519">
        <f>IF($A519="","",IF(Sync!$AF519="",0,Sync!$AF519))</f>
        <v/>
      </c>
      <c r="H519">
        <f>IF(OR($A519="",ROUND($F519+$G519,2)=0),"",$F519+$G519)</f>
        <v/>
      </c>
      <c r="I519">
        <f>IF($H519="","",IF(ROUND($F519,2)&gt;0,$A519,IF($D519="شخصی قاسم","شخصی قاسم",IF($D519="هزینه","هزینه: "&amp;IF($E519="","متفرقه",$E519),IF($C519="پاس چک","چک پرداختی",IF(OR($B519="",COUNTIF(AcctCodesA,$B519)=0),"متفرقه",$B519))))))</f>
        <v/>
      </c>
      <c r="J519">
        <f>IF($H519="","",IF(ROUND($F519,2)&gt;0,IF($D519="شخصی قاسم","شخصی قاسم",IF($D519="هزینه","هزینه: "&amp;IF($E519="","متفرقه",$E519),IF(OR($B519="",COUNTIF(AcctCodesA,$B519)=0),"متفرقه",$B519))),$A519))</f>
        <v/>
      </c>
      <c r="K519">
        <f>IF($A519="","",IF(AND($B519&lt;&gt;"",COUNTIF(AcctCodesA,$B519)=0),"کد طرف در INFO تعریف نشده",IF(AND($D519="هزینه",$E519=""),"هزینه بدون زیرگروه",IF(AND($C519="پاس چک",OR(Sync!$AJ519="",COUNTIF(IssueNosA,Sync!$AJ519)=0)),"شماره چک پاس‌شده معتبر نیست",""))))</f>
        <v/>
      </c>
      <c r="V519">
        <f>IF($K519="","",IF(ISNUMBER(Sync!$AK519),Sync!$AK519,LEFT(Sync!$AK519,4)&amp;MID(Sync!$AK519,6,2)&amp;RIGHT(Sync!$AK519,2))&amp;"|"&amp;"4"&amp;RIGHT("00000"&amp;514,5))</f>
        <v/>
      </c>
      <c r="W519">
        <f>IF($V519="",0,COUNTIFS($V$6:$V$2005,"&lt;"&amp;$V519)-COUNTIFS($V$6:$V$2005,"&lt;"&amp;$V519,$K$6:$K$2005,"")+1)</f>
        <v/>
      </c>
      <c r="X519">
        <f>IF(Sync!$AX519="","",IF(OR(N(Sync!$AY519)=0,N(Sync!$AZ519)=0),"",ROUND(N(Sync!$AY519)*N(Sync!$AZ519),0)))</f>
        <v/>
      </c>
      <c r="Y519">
        <f>IF($X519="","",IF(OR(Sync!$AX519="",COUNTIF(AcctCodesA,Sync!$AX519)=0),"متفرقه",Sync!$AX519))</f>
        <v/>
      </c>
      <c r="Z519">
        <f>IF($X519="","","سبد و ظروف")</f>
        <v/>
      </c>
      <c r="AA519">
        <f>IF($X519="","",$Y519)</f>
        <v/>
      </c>
    </row>
    <row r="520">
      <c r="A520">
        <f>IF(Sync!$Z520="","",LEFT(UPPER(TRIM(Sync!$Z520)),6))</f>
        <v/>
      </c>
      <c r="B520">
        <f>IF($A520="","",IF(Sync!$AA520="","",Sync!$AA520))</f>
        <v/>
      </c>
      <c r="C520">
        <f>IF($A520="","",IF(Sync!$AB520="","",Sync!$AB520))</f>
        <v/>
      </c>
      <c r="D520">
        <f>IF($A520="","",IF(Sync!$AC520="","",Sync!$AC520))</f>
        <v/>
      </c>
      <c r="E520">
        <f>IF($A520="","",IF(Sync!$AD520="","",Sync!$AD520))</f>
        <v/>
      </c>
      <c r="F520">
        <f>IF($A520="","",IF(Sync!$AE520="",0,Sync!$AE520))</f>
        <v/>
      </c>
      <c r="G520">
        <f>IF($A520="","",IF(Sync!$AF520="",0,Sync!$AF520))</f>
        <v/>
      </c>
      <c r="H520">
        <f>IF(OR($A520="",ROUND($F520+$G520,2)=0),"",$F520+$G520)</f>
        <v/>
      </c>
      <c r="I520">
        <f>IF($H520="","",IF(ROUND($F520,2)&gt;0,$A520,IF($D520="شخصی قاسم","شخصی قاسم",IF($D520="هزینه","هزینه: "&amp;IF($E520="","متفرقه",$E520),IF($C520="پاس چک","چک پرداختی",IF(OR($B520="",COUNTIF(AcctCodesA,$B520)=0),"متفرقه",$B520))))))</f>
        <v/>
      </c>
      <c r="J520">
        <f>IF($H520="","",IF(ROUND($F520,2)&gt;0,IF($D520="شخصی قاسم","شخصی قاسم",IF($D520="هزینه","هزینه: "&amp;IF($E520="","متفرقه",$E520),IF(OR($B520="",COUNTIF(AcctCodesA,$B520)=0),"متفرقه",$B520))),$A520))</f>
        <v/>
      </c>
      <c r="K520">
        <f>IF($A520="","",IF(AND($B520&lt;&gt;"",COUNTIF(AcctCodesA,$B520)=0),"کد طرف در INFO تعریف نشده",IF(AND($D520="هزینه",$E520=""),"هزینه بدون زیرگروه",IF(AND($C520="پاس چک",OR(Sync!$AJ520="",COUNTIF(IssueNosA,Sync!$AJ520)=0)),"شماره چک پاس‌شده معتبر نیست",""))))</f>
        <v/>
      </c>
      <c r="V520">
        <f>IF($K520="","",IF(ISNUMBER(Sync!$AK520),Sync!$AK520,LEFT(Sync!$AK520,4)&amp;MID(Sync!$AK520,6,2)&amp;RIGHT(Sync!$AK520,2))&amp;"|"&amp;"4"&amp;RIGHT("00000"&amp;515,5))</f>
        <v/>
      </c>
      <c r="W520">
        <f>IF($V520="",0,COUNTIFS($V$6:$V$2005,"&lt;"&amp;$V520)-COUNTIFS($V$6:$V$2005,"&lt;"&amp;$V520,$K$6:$K$2005,"")+1)</f>
        <v/>
      </c>
      <c r="X520">
        <f>IF(Sync!$AX520="","",IF(OR(N(Sync!$AY520)=0,N(Sync!$AZ520)=0),"",ROUND(N(Sync!$AY520)*N(Sync!$AZ520),0)))</f>
        <v/>
      </c>
      <c r="Y520">
        <f>IF($X520="","",IF(OR(Sync!$AX520="",COUNTIF(AcctCodesA,Sync!$AX520)=0),"متفرقه",Sync!$AX520))</f>
        <v/>
      </c>
      <c r="Z520">
        <f>IF($X520="","","سبد و ظروف")</f>
        <v/>
      </c>
      <c r="AA520">
        <f>IF($X520="","",$Y520)</f>
        <v/>
      </c>
    </row>
    <row r="521">
      <c r="A521">
        <f>IF(Sync!$Z521="","",LEFT(UPPER(TRIM(Sync!$Z521)),6))</f>
        <v/>
      </c>
      <c r="B521">
        <f>IF($A521="","",IF(Sync!$AA521="","",Sync!$AA521))</f>
        <v/>
      </c>
      <c r="C521">
        <f>IF($A521="","",IF(Sync!$AB521="","",Sync!$AB521))</f>
        <v/>
      </c>
      <c r="D521">
        <f>IF($A521="","",IF(Sync!$AC521="","",Sync!$AC521))</f>
        <v/>
      </c>
      <c r="E521">
        <f>IF($A521="","",IF(Sync!$AD521="","",Sync!$AD521))</f>
        <v/>
      </c>
      <c r="F521">
        <f>IF($A521="","",IF(Sync!$AE521="",0,Sync!$AE521))</f>
        <v/>
      </c>
      <c r="G521">
        <f>IF($A521="","",IF(Sync!$AF521="",0,Sync!$AF521))</f>
        <v/>
      </c>
      <c r="H521">
        <f>IF(OR($A521="",ROUND($F521+$G521,2)=0),"",$F521+$G521)</f>
        <v/>
      </c>
      <c r="I521">
        <f>IF($H521="","",IF(ROUND($F521,2)&gt;0,$A521,IF($D521="شخصی قاسم","شخصی قاسم",IF($D521="هزینه","هزینه: "&amp;IF($E521="","متفرقه",$E521),IF($C521="پاس چک","چک پرداختی",IF(OR($B521="",COUNTIF(AcctCodesA,$B521)=0),"متفرقه",$B521))))))</f>
        <v/>
      </c>
      <c r="J521">
        <f>IF($H521="","",IF(ROUND($F521,2)&gt;0,IF($D521="شخصی قاسم","شخصی قاسم",IF($D521="هزینه","هزینه: "&amp;IF($E521="","متفرقه",$E521),IF(OR($B521="",COUNTIF(AcctCodesA,$B521)=0),"متفرقه",$B521))),$A521))</f>
        <v/>
      </c>
      <c r="K521">
        <f>IF($A521="","",IF(AND($B521&lt;&gt;"",COUNTIF(AcctCodesA,$B521)=0),"کد طرف در INFO تعریف نشده",IF(AND($D521="هزینه",$E521=""),"هزینه بدون زیرگروه",IF(AND($C521="پاس چک",OR(Sync!$AJ521="",COUNTIF(IssueNosA,Sync!$AJ521)=0)),"شماره چک پاس‌شده معتبر نیست",""))))</f>
        <v/>
      </c>
      <c r="V521">
        <f>IF($K521="","",IF(ISNUMBER(Sync!$AK521),Sync!$AK521,LEFT(Sync!$AK521,4)&amp;MID(Sync!$AK521,6,2)&amp;RIGHT(Sync!$AK521,2))&amp;"|"&amp;"4"&amp;RIGHT("00000"&amp;516,5))</f>
        <v/>
      </c>
      <c r="W521">
        <f>IF($V521="",0,COUNTIFS($V$6:$V$2005,"&lt;"&amp;$V521)-COUNTIFS($V$6:$V$2005,"&lt;"&amp;$V521,$K$6:$K$2005,"")+1)</f>
        <v/>
      </c>
      <c r="X521">
        <f>IF(Sync!$AX521="","",IF(OR(N(Sync!$AY521)=0,N(Sync!$AZ521)=0),"",ROUND(N(Sync!$AY521)*N(Sync!$AZ521),0)))</f>
        <v/>
      </c>
      <c r="Y521">
        <f>IF($X521="","",IF(OR(Sync!$AX521="",COUNTIF(AcctCodesA,Sync!$AX521)=0),"متفرقه",Sync!$AX521))</f>
        <v/>
      </c>
      <c r="Z521">
        <f>IF($X521="","","سبد و ظروف")</f>
        <v/>
      </c>
      <c r="AA521">
        <f>IF($X521="","",$Y521)</f>
        <v/>
      </c>
    </row>
    <row r="522">
      <c r="A522">
        <f>IF(Sync!$Z522="","",LEFT(UPPER(TRIM(Sync!$Z522)),6))</f>
        <v/>
      </c>
      <c r="B522">
        <f>IF($A522="","",IF(Sync!$AA522="","",Sync!$AA522))</f>
        <v/>
      </c>
      <c r="C522">
        <f>IF($A522="","",IF(Sync!$AB522="","",Sync!$AB522))</f>
        <v/>
      </c>
      <c r="D522">
        <f>IF($A522="","",IF(Sync!$AC522="","",Sync!$AC522))</f>
        <v/>
      </c>
      <c r="E522">
        <f>IF($A522="","",IF(Sync!$AD522="","",Sync!$AD522))</f>
        <v/>
      </c>
      <c r="F522">
        <f>IF($A522="","",IF(Sync!$AE522="",0,Sync!$AE522))</f>
        <v/>
      </c>
      <c r="G522">
        <f>IF($A522="","",IF(Sync!$AF522="",0,Sync!$AF522))</f>
        <v/>
      </c>
      <c r="H522">
        <f>IF(OR($A522="",ROUND($F522+$G522,2)=0),"",$F522+$G522)</f>
        <v/>
      </c>
      <c r="I522">
        <f>IF($H522="","",IF(ROUND($F522,2)&gt;0,$A522,IF($D522="شخصی قاسم","شخصی قاسم",IF($D522="هزینه","هزینه: "&amp;IF($E522="","متفرقه",$E522),IF($C522="پاس چک","چک پرداختی",IF(OR($B522="",COUNTIF(AcctCodesA,$B522)=0),"متفرقه",$B522))))))</f>
        <v/>
      </c>
      <c r="J522">
        <f>IF($H522="","",IF(ROUND($F522,2)&gt;0,IF($D522="شخصی قاسم","شخصی قاسم",IF($D522="هزینه","هزینه: "&amp;IF($E522="","متفرقه",$E522),IF(OR($B522="",COUNTIF(AcctCodesA,$B522)=0),"متفرقه",$B522))),$A522))</f>
        <v/>
      </c>
      <c r="K522">
        <f>IF($A522="","",IF(AND($B522&lt;&gt;"",COUNTIF(AcctCodesA,$B522)=0),"کد طرف در INFO تعریف نشده",IF(AND($D522="هزینه",$E522=""),"هزینه بدون زیرگروه",IF(AND($C522="پاس چک",OR(Sync!$AJ522="",COUNTIF(IssueNosA,Sync!$AJ522)=0)),"شماره چک پاس‌شده معتبر نیست",""))))</f>
        <v/>
      </c>
      <c r="V522">
        <f>IF($K522="","",IF(ISNUMBER(Sync!$AK522),Sync!$AK522,LEFT(Sync!$AK522,4)&amp;MID(Sync!$AK522,6,2)&amp;RIGHT(Sync!$AK522,2))&amp;"|"&amp;"4"&amp;RIGHT("00000"&amp;517,5))</f>
        <v/>
      </c>
      <c r="W522">
        <f>IF($V522="",0,COUNTIFS($V$6:$V$2005,"&lt;"&amp;$V522)-COUNTIFS($V$6:$V$2005,"&lt;"&amp;$V522,$K$6:$K$2005,"")+1)</f>
        <v/>
      </c>
      <c r="X522">
        <f>IF(Sync!$AX522="","",IF(OR(N(Sync!$AY522)=0,N(Sync!$AZ522)=0),"",ROUND(N(Sync!$AY522)*N(Sync!$AZ522),0)))</f>
        <v/>
      </c>
      <c r="Y522">
        <f>IF($X522="","",IF(OR(Sync!$AX522="",COUNTIF(AcctCodesA,Sync!$AX522)=0),"متفرقه",Sync!$AX522))</f>
        <v/>
      </c>
      <c r="Z522">
        <f>IF($X522="","","سبد و ظروف")</f>
        <v/>
      </c>
      <c r="AA522">
        <f>IF($X522="","",$Y522)</f>
        <v/>
      </c>
    </row>
    <row r="523">
      <c r="A523">
        <f>IF(Sync!$Z523="","",LEFT(UPPER(TRIM(Sync!$Z523)),6))</f>
        <v/>
      </c>
      <c r="B523">
        <f>IF($A523="","",IF(Sync!$AA523="","",Sync!$AA523))</f>
        <v/>
      </c>
      <c r="C523">
        <f>IF($A523="","",IF(Sync!$AB523="","",Sync!$AB523))</f>
        <v/>
      </c>
      <c r="D523">
        <f>IF($A523="","",IF(Sync!$AC523="","",Sync!$AC523))</f>
        <v/>
      </c>
      <c r="E523">
        <f>IF($A523="","",IF(Sync!$AD523="","",Sync!$AD523))</f>
        <v/>
      </c>
      <c r="F523">
        <f>IF($A523="","",IF(Sync!$AE523="",0,Sync!$AE523))</f>
        <v/>
      </c>
      <c r="G523">
        <f>IF($A523="","",IF(Sync!$AF523="",0,Sync!$AF523))</f>
        <v/>
      </c>
      <c r="H523">
        <f>IF(OR($A523="",ROUND($F523+$G523,2)=0),"",$F523+$G523)</f>
        <v/>
      </c>
      <c r="I523">
        <f>IF($H523="","",IF(ROUND($F523,2)&gt;0,$A523,IF($D523="شخصی قاسم","شخصی قاسم",IF($D523="هزینه","هزینه: "&amp;IF($E523="","متفرقه",$E523),IF($C523="پاس چک","چک پرداختی",IF(OR($B523="",COUNTIF(AcctCodesA,$B523)=0),"متفرقه",$B523))))))</f>
        <v/>
      </c>
      <c r="J523">
        <f>IF($H523="","",IF(ROUND($F523,2)&gt;0,IF($D523="شخصی قاسم","شخصی قاسم",IF($D523="هزینه","هزینه: "&amp;IF($E523="","متفرقه",$E523),IF(OR($B523="",COUNTIF(AcctCodesA,$B523)=0),"متفرقه",$B523))),$A523))</f>
        <v/>
      </c>
      <c r="K523">
        <f>IF($A523="","",IF(AND($B523&lt;&gt;"",COUNTIF(AcctCodesA,$B523)=0),"کد طرف در INFO تعریف نشده",IF(AND($D523="هزینه",$E523=""),"هزینه بدون زیرگروه",IF(AND($C523="پاس چک",OR(Sync!$AJ523="",COUNTIF(IssueNosA,Sync!$AJ523)=0)),"شماره چک پاس‌شده معتبر نیست",""))))</f>
        <v/>
      </c>
      <c r="V523">
        <f>IF($K523="","",IF(ISNUMBER(Sync!$AK523),Sync!$AK523,LEFT(Sync!$AK523,4)&amp;MID(Sync!$AK523,6,2)&amp;RIGHT(Sync!$AK523,2))&amp;"|"&amp;"4"&amp;RIGHT("00000"&amp;518,5))</f>
        <v/>
      </c>
      <c r="W523">
        <f>IF($V523="",0,COUNTIFS($V$6:$V$2005,"&lt;"&amp;$V523)-COUNTIFS($V$6:$V$2005,"&lt;"&amp;$V523,$K$6:$K$2005,"")+1)</f>
        <v/>
      </c>
      <c r="X523">
        <f>IF(Sync!$AX523="","",IF(OR(N(Sync!$AY523)=0,N(Sync!$AZ523)=0),"",ROUND(N(Sync!$AY523)*N(Sync!$AZ523),0)))</f>
        <v/>
      </c>
      <c r="Y523">
        <f>IF($X523="","",IF(OR(Sync!$AX523="",COUNTIF(AcctCodesA,Sync!$AX523)=0),"متفرقه",Sync!$AX523))</f>
        <v/>
      </c>
      <c r="Z523">
        <f>IF($X523="","","سبد و ظروف")</f>
        <v/>
      </c>
      <c r="AA523">
        <f>IF($X523="","",$Y523)</f>
        <v/>
      </c>
    </row>
    <row r="524">
      <c r="A524">
        <f>IF(Sync!$Z524="","",LEFT(UPPER(TRIM(Sync!$Z524)),6))</f>
        <v/>
      </c>
      <c r="B524">
        <f>IF($A524="","",IF(Sync!$AA524="","",Sync!$AA524))</f>
        <v/>
      </c>
      <c r="C524">
        <f>IF($A524="","",IF(Sync!$AB524="","",Sync!$AB524))</f>
        <v/>
      </c>
      <c r="D524">
        <f>IF($A524="","",IF(Sync!$AC524="","",Sync!$AC524))</f>
        <v/>
      </c>
      <c r="E524">
        <f>IF($A524="","",IF(Sync!$AD524="","",Sync!$AD524))</f>
        <v/>
      </c>
      <c r="F524">
        <f>IF($A524="","",IF(Sync!$AE524="",0,Sync!$AE524))</f>
        <v/>
      </c>
      <c r="G524">
        <f>IF($A524="","",IF(Sync!$AF524="",0,Sync!$AF524))</f>
        <v/>
      </c>
      <c r="H524">
        <f>IF(OR($A524="",ROUND($F524+$G524,2)=0),"",$F524+$G524)</f>
        <v/>
      </c>
      <c r="I524">
        <f>IF($H524="","",IF(ROUND($F524,2)&gt;0,$A524,IF($D524="شخصی قاسم","شخصی قاسم",IF($D524="هزینه","هزینه: "&amp;IF($E524="","متفرقه",$E524),IF($C524="پاس چک","چک پرداختی",IF(OR($B524="",COUNTIF(AcctCodesA,$B524)=0),"متفرقه",$B524))))))</f>
        <v/>
      </c>
      <c r="J524">
        <f>IF($H524="","",IF(ROUND($F524,2)&gt;0,IF($D524="شخصی قاسم","شخصی قاسم",IF($D524="هزینه","هزینه: "&amp;IF($E524="","متفرقه",$E524),IF(OR($B524="",COUNTIF(AcctCodesA,$B524)=0),"متفرقه",$B524))),$A524))</f>
        <v/>
      </c>
      <c r="K524">
        <f>IF($A524="","",IF(AND($B524&lt;&gt;"",COUNTIF(AcctCodesA,$B524)=0),"کد طرف در INFO تعریف نشده",IF(AND($D524="هزینه",$E524=""),"هزینه بدون زیرگروه",IF(AND($C524="پاس چک",OR(Sync!$AJ524="",COUNTIF(IssueNosA,Sync!$AJ524)=0)),"شماره چک پاس‌شده معتبر نیست",""))))</f>
        <v/>
      </c>
      <c r="V524">
        <f>IF($K524="","",IF(ISNUMBER(Sync!$AK524),Sync!$AK524,LEFT(Sync!$AK524,4)&amp;MID(Sync!$AK524,6,2)&amp;RIGHT(Sync!$AK524,2))&amp;"|"&amp;"4"&amp;RIGHT("00000"&amp;519,5))</f>
        <v/>
      </c>
      <c r="W524">
        <f>IF($V524="",0,COUNTIFS($V$6:$V$2005,"&lt;"&amp;$V524)-COUNTIFS($V$6:$V$2005,"&lt;"&amp;$V524,$K$6:$K$2005,"")+1)</f>
        <v/>
      </c>
      <c r="X524">
        <f>IF(Sync!$AX524="","",IF(OR(N(Sync!$AY524)=0,N(Sync!$AZ524)=0),"",ROUND(N(Sync!$AY524)*N(Sync!$AZ524),0)))</f>
        <v/>
      </c>
      <c r="Y524">
        <f>IF($X524="","",IF(OR(Sync!$AX524="",COUNTIF(AcctCodesA,Sync!$AX524)=0),"متفرقه",Sync!$AX524))</f>
        <v/>
      </c>
      <c r="Z524">
        <f>IF($X524="","","سبد و ظروف")</f>
        <v/>
      </c>
      <c r="AA524">
        <f>IF($X524="","",$Y524)</f>
        <v/>
      </c>
    </row>
    <row r="525">
      <c r="A525">
        <f>IF(Sync!$Z525="","",LEFT(UPPER(TRIM(Sync!$Z525)),6))</f>
        <v/>
      </c>
      <c r="B525">
        <f>IF($A525="","",IF(Sync!$AA525="","",Sync!$AA525))</f>
        <v/>
      </c>
      <c r="C525">
        <f>IF($A525="","",IF(Sync!$AB525="","",Sync!$AB525))</f>
        <v/>
      </c>
      <c r="D525">
        <f>IF($A525="","",IF(Sync!$AC525="","",Sync!$AC525))</f>
        <v/>
      </c>
      <c r="E525">
        <f>IF($A525="","",IF(Sync!$AD525="","",Sync!$AD525))</f>
        <v/>
      </c>
      <c r="F525">
        <f>IF($A525="","",IF(Sync!$AE525="",0,Sync!$AE525))</f>
        <v/>
      </c>
      <c r="G525">
        <f>IF($A525="","",IF(Sync!$AF525="",0,Sync!$AF525))</f>
        <v/>
      </c>
      <c r="H525">
        <f>IF(OR($A525="",ROUND($F525+$G525,2)=0),"",$F525+$G525)</f>
        <v/>
      </c>
      <c r="I525">
        <f>IF($H525="","",IF(ROUND($F525,2)&gt;0,$A525,IF($D525="شخصی قاسم","شخصی قاسم",IF($D525="هزینه","هزینه: "&amp;IF($E525="","متفرقه",$E525),IF($C525="پاس چک","چک پرداختی",IF(OR($B525="",COUNTIF(AcctCodesA,$B525)=0),"متفرقه",$B525))))))</f>
        <v/>
      </c>
      <c r="J525">
        <f>IF($H525="","",IF(ROUND($F525,2)&gt;0,IF($D525="شخصی قاسم","شخصی قاسم",IF($D525="هزینه","هزینه: "&amp;IF($E525="","متفرقه",$E525),IF(OR($B525="",COUNTIF(AcctCodesA,$B525)=0),"متفرقه",$B525))),$A525))</f>
        <v/>
      </c>
      <c r="K525">
        <f>IF($A525="","",IF(AND($B525&lt;&gt;"",COUNTIF(AcctCodesA,$B525)=0),"کد طرف در INFO تعریف نشده",IF(AND($D525="هزینه",$E525=""),"هزینه بدون زیرگروه",IF(AND($C525="پاس چک",OR(Sync!$AJ525="",COUNTIF(IssueNosA,Sync!$AJ525)=0)),"شماره چک پاس‌شده معتبر نیست",""))))</f>
        <v/>
      </c>
      <c r="V525">
        <f>IF($K525="","",IF(ISNUMBER(Sync!$AK525),Sync!$AK525,LEFT(Sync!$AK525,4)&amp;MID(Sync!$AK525,6,2)&amp;RIGHT(Sync!$AK525,2))&amp;"|"&amp;"4"&amp;RIGHT("00000"&amp;520,5))</f>
        <v/>
      </c>
      <c r="W525">
        <f>IF($V525="",0,COUNTIFS($V$6:$V$2005,"&lt;"&amp;$V525)-COUNTIFS($V$6:$V$2005,"&lt;"&amp;$V525,$K$6:$K$2005,"")+1)</f>
        <v/>
      </c>
      <c r="X525">
        <f>IF(Sync!$AX525="","",IF(OR(N(Sync!$AY525)=0,N(Sync!$AZ525)=0),"",ROUND(N(Sync!$AY525)*N(Sync!$AZ525),0)))</f>
        <v/>
      </c>
      <c r="Y525">
        <f>IF($X525="","",IF(OR(Sync!$AX525="",COUNTIF(AcctCodesA,Sync!$AX525)=0),"متفرقه",Sync!$AX525))</f>
        <v/>
      </c>
      <c r="Z525">
        <f>IF($X525="","","سبد و ظروف")</f>
        <v/>
      </c>
      <c r="AA525">
        <f>IF($X525="","",$Y525)</f>
        <v/>
      </c>
    </row>
    <row r="526">
      <c r="A526">
        <f>IF(Sync!$Z526="","",LEFT(UPPER(TRIM(Sync!$Z526)),6))</f>
        <v/>
      </c>
      <c r="B526">
        <f>IF($A526="","",IF(Sync!$AA526="","",Sync!$AA526))</f>
        <v/>
      </c>
      <c r="C526">
        <f>IF($A526="","",IF(Sync!$AB526="","",Sync!$AB526))</f>
        <v/>
      </c>
      <c r="D526">
        <f>IF($A526="","",IF(Sync!$AC526="","",Sync!$AC526))</f>
        <v/>
      </c>
      <c r="E526">
        <f>IF($A526="","",IF(Sync!$AD526="","",Sync!$AD526))</f>
        <v/>
      </c>
      <c r="F526">
        <f>IF($A526="","",IF(Sync!$AE526="",0,Sync!$AE526))</f>
        <v/>
      </c>
      <c r="G526">
        <f>IF($A526="","",IF(Sync!$AF526="",0,Sync!$AF526))</f>
        <v/>
      </c>
      <c r="H526">
        <f>IF(OR($A526="",ROUND($F526+$G526,2)=0),"",$F526+$G526)</f>
        <v/>
      </c>
      <c r="I526">
        <f>IF($H526="","",IF(ROUND($F526,2)&gt;0,$A526,IF($D526="شخصی قاسم","شخصی قاسم",IF($D526="هزینه","هزینه: "&amp;IF($E526="","متفرقه",$E526),IF($C526="پاس چک","چک پرداختی",IF(OR($B526="",COUNTIF(AcctCodesA,$B526)=0),"متفرقه",$B526))))))</f>
        <v/>
      </c>
      <c r="J526">
        <f>IF($H526="","",IF(ROUND($F526,2)&gt;0,IF($D526="شخصی قاسم","شخصی قاسم",IF($D526="هزینه","هزینه: "&amp;IF($E526="","متفرقه",$E526),IF(OR($B526="",COUNTIF(AcctCodesA,$B526)=0),"متفرقه",$B526))),$A526))</f>
        <v/>
      </c>
      <c r="K526">
        <f>IF($A526="","",IF(AND($B526&lt;&gt;"",COUNTIF(AcctCodesA,$B526)=0),"کد طرف در INFO تعریف نشده",IF(AND($D526="هزینه",$E526=""),"هزینه بدون زیرگروه",IF(AND($C526="پاس چک",OR(Sync!$AJ526="",COUNTIF(IssueNosA,Sync!$AJ526)=0)),"شماره چک پاس‌شده معتبر نیست",""))))</f>
        <v/>
      </c>
      <c r="V526">
        <f>IF($K526="","",IF(ISNUMBER(Sync!$AK526),Sync!$AK526,LEFT(Sync!$AK526,4)&amp;MID(Sync!$AK526,6,2)&amp;RIGHT(Sync!$AK526,2))&amp;"|"&amp;"4"&amp;RIGHT("00000"&amp;521,5))</f>
        <v/>
      </c>
      <c r="W526">
        <f>IF($V526="",0,COUNTIFS($V$6:$V$2005,"&lt;"&amp;$V526)-COUNTIFS($V$6:$V$2005,"&lt;"&amp;$V526,$K$6:$K$2005,"")+1)</f>
        <v/>
      </c>
      <c r="X526">
        <f>IF(Sync!$AX526="","",IF(OR(N(Sync!$AY526)=0,N(Sync!$AZ526)=0),"",ROUND(N(Sync!$AY526)*N(Sync!$AZ526),0)))</f>
        <v/>
      </c>
      <c r="Y526">
        <f>IF($X526="","",IF(OR(Sync!$AX526="",COUNTIF(AcctCodesA,Sync!$AX526)=0),"متفرقه",Sync!$AX526))</f>
        <v/>
      </c>
      <c r="Z526">
        <f>IF($X526="","","سبد و ظروف")</f>
        <v/>
      </c>
      <c r="AA526">
        <f>IF($X526="","",$Y526)</f>
        <v/>
      </c>
    </row>
    <row r="527">
      <c r="A527">
        <f>IF(Sync!$Z527="","",LEFT(UPPER(TRIM(Sync!$Z527)),6))</f>
        <v/>
      </c>
      <c r="B527">
        <f>IF($A527="","",IF(Sync!$AA527="","",Sync!$AA527))</f>
        <v/>
      </c>
      <c r="C527">
        <f>IF($A527="","",IF(Sync!$AB527="","",Sync!$AB527))</f>
        <v/>
      </c>
      <c r="D527">
        <f>IF($A527="","",IF(Sync!$AC527="","",Sync!$AC527))</f>
        <v/>
      </c>
      <c r="E527">
        <f>IF($A527="","",IF(Sync!$AD527="","",Sync!$AD527))</f>
        <v/>
      </c>
      <c r="F527">
        <f>IF($A527="","",IF(Sync!$AE527="",0,Sync!$AE527))</f>
        <v/>
      </c>
      <c r="G527">
        <f>IF($A527="","",IF(Sync!$AF527="",0,Sync!$AF527))</f>
        <v/>
      </c>
      <c r="H527">
        <f>IF(OR($A527="",ROUND($F527+$G527,2)=0),"",$F527+$G527)</f>
        <v/>
      </c>
      <c r="I527">
        <f>IF($H527="","",IF(ROUND($F527,2)&gt;0,$A527,IF($D527="شخصی قاسم","شخصی قاسم",IF($D527="هزینه","هزینه: "&amp;IF($E527="","متفرقه",$E527),IF($C527="پاس چک","چک پرداختی",IF(OR($B527="",COUNTIF(AcctCodesA,$B527)=0),"متفرقه",$B527))))))</f>
        <v/>
      </c>
      <c r="J527">
        <f>IF($H527="","",IF(ROUND($F527,2)&gt;0,IF($D527="شخصی قاسم","شخصی قاسم",IF($D527="هزینه","هزینه: "&amp;IF($E527="","متفرقه",$E527),IF(OR($B527="",COUNTIF(AcctCodesA,$B527)=0),"متفرقه",$B527))),$A527))</f>
        <v/>
      </c>
      <c r="K527">
        <f>IF($A527="","",IF(AND($B527&lt;&gt;"",COUNTIF(AcctCodesA,$B527)=0),"کد طرف در INFO تعریف نشده",IF(AND($D527="هزینه",$E527=""),"هزینه بدون زیرگروه",IF(AND($C527="پاس چک",OR(Sync!$AJ527="",COUNTIF(IssueNosA,Sync!$AJ527)=0)),"شماره چک پاس‌شده معتبر نیست",""))))</f>
        <v/>
      </c>
      <c r="V527">
        <f>IF($K527="","",IF(ISNUMBER(Sync!$AK527),Sync!$AK527,LEFT(Sync!$AK527,4)&amp;MID(Sync!$AK527,6,2)&amp;RIGHT(Sync!$AK527,2))&amp;"|"&amp;"4"&amp;RIGHT("00000"&amp;522,5))</f>
        <v/>
      </c>
      <c r="W527">
        <f>IF($V527="",0,COUNTIFS($V$6:$V$2005,"&lt;"&amp;$V527)-COUNTIFS($V$6:$V$2005,"&lt;"&amp;$V527,$K$6:$K$2005,"")+1)</f>
        <v/>
      </c>
      <c r="X527">
        <f>IF(Sync!$AX527="","",IF(OR(N(Sync!$AY527)=0,N(Sync!$AZ527)=0),"",ROUND(N(Sync!$AY527)*N(Sync!$AZ527),0)))</f>
        <v/>
      </c>
      <c r="Y527">
        <f>IF($X527="","",IF(OR(Sync!$AX527="",COUNTIF(AcctCodesA,Sync!$AX527)=0),"متفرقه",Sync!$AX527))</f>
        <v/>
      </c>
      <c r="Z527">
        <f>IF($X527="","","سبد و ظروف")</f>
        <v/>
      </c>
      <c r="AA527">
        <f>IF($X527="","",$Y527)</f>
        <v/>
      </c>
    </row>
    <row r="528">
      <c r="A528">
        <f>IF(Sync!$Z528="","",LEFT(UPPER(TRIM(Sync!$Z528)),6))</f>
        <v/>
      </c>
      <c r="B528">
        <f>IF($A528="","",IF(Sync!$AA528="","",Sync!$AA528))</f>
        <v/>
      </c>
      <c r="C528">
        <f>IF($A528="","",IF(Sync!$AB528="","",Sync!$AB528))</f>
        <v/>
      </c>
      <c r="D528">
        <f>IF($A528="","",IF(Sync!$AC528="","",Sync!$AC528))</f>
        <v/>
      </c>
      <c r="E528">
        <f>IF($A528="","",IF(Sync!$AD528="","",Sync!$AD528))</f>
        <v/>
      </c>
      <c r="F528">
        <f>IF($A528="","",IF(Sync!$AE528="",0,Sync!$AE528))</f>
        <v/>
      </c>
      <c r="G528">
        <f>IF($A528="","",IF(Sync!$AF528="",0,Sync!$AF528))</f>
        <v/>
      </c>
      <c r="H528">
        <f>IF(OR($A528="",ROUND($F528+$G528,2)=0),"",$F528+$G528)</f>
        <v/>
      </c>
      <c r="I528">
        <f>IF($H528="","",IF(ROUND($F528,2)&gt;0,$A528,IF($D528="شخصی قاسم","شخصی قاسم",IF($D528="هزینه","هزینه: "&amp;IF($E528="","متفرقه",$E528),IF($C528="پاس چک","چک پرداختی",IF(OR($B528="",COUNTIF(AcctCodesA,$B528)=0),"متفرقه",$B528))))))</f>
        <v/>
      </c>
      <c r="J528">
        <f>IF($H528="","",IF(ROUND($F528,2)&gt;0,IF($D528="شخصی قاسم","شخصی قاسم",IF($D528="هزینه","هزینه: "&amp;IF($E528="","متفرقه",$E528),IF(OR($B528="",COUNTIF(AcctCodesA,$B528)=0),"متفرقه",$B528))),$A528))</f>
        <v/>
      </c>
      <c r="K528">
        <f>IF($A528="","",IF(AND($B528&lt;&gt;"",COUNTIF(AcctCodesA,$B528)=0),"کد طرف در INFO تعریف نشده",IF(AND($D528="هزینه",$E528=""),"هزینه بدون زیرگروه",IF(AND($C528="پاس چک",OR(Sync!$AJ528="",COUNTIF(IssueNosA,Sync!$AJ528)=0)),"شماره چک پاس‌شده معتبر نیست",""))))</f>
        <v/>
      </c>
      <c r="V528">
        <f>IF($K528="","",IF(ISNUMBER(Sync!$AK528),Sync!$AK528,LEFT(Sync!$AK528,4)&amp;MID(Sync!$AK528,6,2)&amp;RIGHT(Sync!$AK528,2))&amp;"|"&amp;"4"&amp;RIGHT("00000"&amp;523,5))</f>
        <v/>
      </c>
      <c r="W528">
        <f>IF($V528="",0,COUNTIFS($V$6:$V$2005,"&lt;"&amp;$V528)-COUNTIFS($V$6:$V$2005,"&lt;"&amp;$V528,$K$6:$K$2005,"")+1)</f>
        <v/>
      </c>
      <c r="X528">
        <f>IF(Sync!$AX528="","",IF(OR(N(Sync!$AY528)=0,N(Sync!$AZ528)=0),"",ROUND(N(Sync!$AY528)*N(Sync!$AZ528),0)))</f>
        <v/>
      </c>
      <c r="Y528">
        <f>IF($X528="","",IF(OR(Sync!$AX528="",COUNTIF(AcctCodesA,Sync!$AX528)=0),"متفرقه",Sync!$AX528))</f>
        <v/>
      </c>
      <c r="Z528">
        <f>IF($X528="","","سبد و ظروف")</f>
        <v/>
      </c>
      <c r="AA528">
        <f>IF($X528="","",$Y528)</f>
        <v/>
      </c>
    </row>
    <row r="529">
      <c r="A529">
        <f>IF(Sync!$Z529="","",LEFT(UPPER(TRIM(Sync!$Z529)),6))</f>
        <v/>
      </c>
      <c r="B529">
        <f>IF($A529="","",IF(Sync!$AA529="","",Sync!$AA529))</f>
        <v/>
      </c>
      <c r="C529">
        <f>IF($A529="","",IF(Sync!$AB529="","",Sync!$AB529))</f>
        <v/>
      </c>
      <c r="D529">
        <f>IF($A529="","",IF(Sync!$AC529="","",Sync!$AC529))</f>
        <v/>
      </c>
      <c r="E529">
        <f>IF($A529="","",IF(Sync!$AD529="","",Sync!$AD529))</f>
        <v/>
      </c>
      <c r="F529">
        <f>IF($A529="","",IF(Sync!$AE529="",0,Sync!$AE529))</f>
        <v/>
      </c>
      <c r="G529">
        <f>IF($A529="","",IF(Sync!$AF529="",0,Sync!$AF529))</f>
        <v/>
      </c>
      <c r="H529">
        <f>IF(OR($A529="",ROUND($F529+$G529,2)=0),"",$F529+$G529)</f>
        <v/>
      </c>
      <c r="I529">
        <f>IF($H529="","",IF(ROUND($F529,2)&gt;0,$A529,IF($D529="شخصی قاسم","شخصی قاسم",IF($D529="هزینه","هزینه: "&amp;IF($E529="","متفرقه",$E529),IF($C529="پاس چک","چک پرداختی",IF(OR($B529="",COUNTIF(AcctCodesA,$B529)=0),"متفرقه",$B529))))))</f>
        <v/>
      </c>
      <c r="J529">
        <f>IF($H529="","",IF(ROUND($F529,2)&gt;0,IF($D529="شخصی قاسم","شخصی قاسم",IF($D529="هزینه","هزینه: "&amp;IF($E529="","متفرقه",$E529),IF(OR($B529="",COUNTIF(AcctCodesA,$B529)=0),"متفرقه",$B529))),$A529))</f>
        <v/>
      </c>
      <c r="K529">
        <f>IF($A529="","",IF(AND($B529&lt;&gt;"",COUNTIF(AcctCodesA,$B529)=0),"کد طرف در INFO تعریف نشده",IF(AND($D529="هزینه",$E529=""),"هزینه بدون زیرگروه",IF(AND($C529="پاس چک",OR(Sync!$AJ529="",COUNTIF(IssueNosA,Sync!$AJ529)=0)),"شماره چک پاس‌شده معتبر نیست",""))))</f>
        <v/>
      </c>
      <c r="V529">
        <f>IF($K529="","",IF(ISNUMBER(Sync!$AK529),Sync!$AK529,LEFT(Sync!$AK529,4)&amp;MID(Sync!$AK529,6,2)&amp;RIGHT(Sync!$AK529,2))&amp;"|"&amp;"4"&amp;RIGHT("00000"&amp;524,5))</f>
        <v/>
      </c>
      <c r="W529">
        <f>IF($V529="",0,COUNTIFS($V$6:$V$2005,"&lt;"&amp;$V529)-COUNTIFS($V$6:$V$2005,"&lt;"&amp;$V529,$K$6:$K$2005,"")+1)</f>
        <v/>
      </c>
      <c r="X529">
        <f>IF(Sync!$AX529="","",IF(OR(N(Sync!$AY529)=0,N(Sync!$AZ529)=0),"",ROUND(N(Sync!$AY529)*N(Sync!$AZ529),0)))</f>
        <v/>
      </c>
      <c r="Y529">
        <f>IF($X529="","",IF(OR(Sync!$AX529="",COUNTIF(AcctCodesA,Sync!$AX529)=0),"متفرقه",Sync!$AX529))</f>
        <v/>
      </c>
      <c r="Z529">
        <f>IF($X529="","","سبد و ظروف")</f>
        <v/>
      </c>
      <c r="AA529">
        <f>IF($X529="","",$Y529)</f>
        <v/>
      </c>
    </row>
    <row r="530">
      <c r="A530">
        <f>IF(Sync!$Z530="","",LEFT(UPPER(TRIM(Sync!$Z530)),6))</f>
        <v/>
      </c>
      <c r="B530">
        <f>IF($A530="","",IF(Sync!$AA530="","",Sync!$AA530))</f>
        <v/>
      </c>
      <c r="C530">
        <f>IF($A530="","",IF(Sync!$AB530="","",Sync!$AB530))</f>
        <v/>
      </c>
      <c r="D530">
        <f>IF($A530="","",IF(Sync!$AC530="","",Sync!$AC530))</f>
        <v/>
      </c>
      <c r="E530">
        <f>IF($A530="","",IF(Sync!$AD530="","",Sync!$AD530))</f>
        <v/>
      </c>
      <c r="F530">
        <f>IF($A530="","",IF(Sync!$AE530="",0,Sync!$AE530))</f>
        <v/>
      </c>
      <c r="G530">
        <f>IF($A530="","",IF(Sync!$AF530="",0,Sync!$AF530))</f>
        <v/>
      </c>
      <c r="H530">
        <f>IF(OR($A530="",ROUND($F530+$G530,2)=0),"",$F530+$G530)</f>
        <v/>
      </c>
      <c r="I530">
        <f>IF($H530="","",IF(ROUND($F530,2)&gt;0,$A530,IF($D530="شخصی قاسم","شخصی قاسم",IF($D530="هزینه","هزینه: "&amp;IF($E530="","متفرقه",$E530),IF($C530="پاس چک","چک پرداختی",IF(OR($B530="",COUNTIF(AcctCodesA,$B530)=0),"متفرقه",$B530))))))</f>
        <v/>
      </c>
      <c r="J530">
        <f>IF($H530="","",IF(ROUND($F530,2)&gt;0,IF($D530="شخصی قاسم","شخصی قاسم",IF($D530="هزینه","هزینه: "&amp;IF($E530="","متفرقه",$E530),IF(OR($B530="",COUNTIF(AcctCodesA,$B530)=0),"متفرقه",$B530))),$A530))</f>
        <v/>
      </c>
      <c r="K530">
        <f>IF($A530="","",IF(AND($B530&lt;&gt;"",COUNTIF(AcctCodesA,$B530)=0),"کد طرف در INFO تعریف نشده",IF(AND($D530="هزینه",$E530=""),"هزینه بدون زیرگروه",IF(AND($C530="پاس چک",OR(Sync!$AJ530="",COUNTIF(IssueNosA,Sync!$AJ530)=0)),"شماره چک پاس‌شده معتبر نیست",""))))</f>
        <v/>
      </c>
      <c r="V530">
        <f>IF($K530="","",IF(ISNUMBER(Sync!$AK530),Sync!$AK530,LEFT(Sync!$AK530,4)&amp;MID(Sync!$AK530,6,2)&amp;RIGHT(Sync!$AK530,2))&amp;"|"&amp;"4"&amp;RIGHT("00000"&amp;525,5))</f>
        <v/>
      </c>
      <c r="W530">
        <f>IF($V530="",0,COUNTIFS($V$6:$V$2005,"&lt;"&amp;$V530)-COUNTIFS($V$6:$V$2005,"&lt;"&amp;$V530,$K$6:$K$2005,"")+1)</f>
        <v/>
      </c>
      <c r="X530">
        <f>IF(Sync!$AX530="","",IF(OR(N(Sync!$AY530)=0,N(Sync!$AZ530)=0),"",ROUND(N(Sync!$AY530)*N(Sync!$AZ530),0)))</f>
        <v/>
      </c>
      <c r="Y530">
        <f>IF($X530="","",IF(OR(Sync!$AX530="",COUNTIF(AcctCodesA,Sync!$AX530)=0),"متفرقه",Sync!$AX530))</f>
        <v/>
      </c>
      <c r="Z530">
        <f>IF($X530="","","سبد و ظروف")</f>
        <v/>
      </c>
      <c r="AA530">
        <f>IF($X530="","",$Y530)</f>
        <v/>
      </c>
    </row>
    <row r="531">
      <c r="A531">
        <f>IF(Sync!$Z531="","",LEFT(UPPER(TRIM(Sync!$Z531)),6))</f>
        <v/>
      </c>
      <c r="B531">
        <f>IF($A531="","",IF(Sync!$AA531="","",Sync!$AA531))</f>
        <v/>
      </c>
      <c r="C531">
        <f>IF($A531="","",IF(Sync!$AB531="","",Sync!$AB531))</f>
        <v/>
      </c>
      <c r="D531">
        <f>IF($A531="","",IF(Sync!$AC531="","",Sync!$AC531))</f>
        <v/>
      </c>
      <c r="E531">
        <f>IF($A531="","",IF(Sync!$AD531="","",Sync!$AD531))</f>
        <v/>
      </c>
      <c r="F531">
        <f>IF($A531="","",IF(Sync!$AE531="",0,Sync!$AE531))</f>
        <v/>
      </c>
      <c r="G531">
        <f>IF($A531="","",IF(Sync!$AF531="",0,Sync!$AF531))</f>
        <v/>
      </c>
      <c r="H531">
        <f>IF(OR($A531="",ROUND($F531+$G531,2)=0),"",$F531+$G531)</f>
        <v/>
      </c>
      <c r="I531">
        <f>IF($H531="","",IF(ROUND($F531,2)&gt;0,$A531,IF($D531="شخصی قاسم","شخصی قاسم",IF($D531="هزینه","هزینه: "&amp;IF($E531="","متفرقه",$E531),IF($C531="پاس چک","چک پرداختی",IF(OR($B531="",COUNTIF(AcctCodesA,$B531)=0),"متفرقه",$B531))))))</f>
        <v/>
      </c>
      <c r="J531">
        <f>IF($H531="","",IF(ROUND($F531,2)&gt;0,IF($D531="شخصی قاسم","شخصی قاسم",IF($D531="هزینه","هزینه: "&amp;IF($E531="","متفرقه",$E531),IF(OR($B531="",COUNTIF(AcctCodesA,$B531)=0),"متفرقه",$B531))),$A531))</f>
        <v/>
      </c>
      <c r="K531">
        <f>IF($A531="","",IF(AND($B531&lt;&gt;"",COUNTIF(AcctCodesA,$B531)=0),"کد طرف در INFO تعریف نشده",IF(AND($D531="هزینه",$E531=""),"هزینه بدون زیرگروه",IF(AND($C531="پاس چک",OR(Sync!$AJ531="",COUNTIF(IssueNosA,Sync!$AJ531)=0)),"شماره چک پاس‌شده معتبر نیست",""))))</f>
        <v/>
      </c>
      <c r="V531">
        <f>IF($K531="","",IF(ISNUMBER(Sync!$AK531),Sync!$AK531,LEFT(Sync!$AK531,4)&amp;MID(Sync!$AK531,6,2)&amp;RIGHT(Sync!$AK531,2))&amp;"|"&amp;"4"&amp;RIGHT("00000"&amp;526,5))</f>
        <v/>
      </c>
      <c r="W531">
        <f>IF($V531="",0,COUNTIFS($V$6:$V$2005,"&lt;"&amp;$V531)-COUNTIFS($V$6:$V$2005,"&lt;"&amp;$V531,$K$6:$K$2005,"")+1)</f>
        <v/>
      </c>
      <c r="X531">
        <f>IF(Sync!$AX531="","",IF(OR(N(Sync!$AY531)=0,N(Sync!$AZ531)=0),"",ROUND(N(Sync!$AY531)*N(Sync!$AZ531),0)))</f>
        <v/>
      </c>
      <c r="Y531">
        <f>IF($X531="","",IF(OR(Sync!$AX531="",COUNTIF(AcctCodesA,Sync!$AX531)=0),"متفرقه",Sync!$AX531))</f>
        <v/>
      </c>
      <c r="Z531">
        <f>IF($X531="","","سبد و ظروف")</f>
        <v/>
      </c>
      <c r="AA531">
        <f>IF($X531="","",$Y531)</f>
        <v/>
      </c>
    </row>
    <row r="532">
      <c r="A532">
        <f>IF(Sync!$Z532="","",LEFT(UPPER(TRIM(Sync!$Z532)),6))</f>
        <v/>
      </c>
      <c r="B532">
        <f>IF($A532="","",IF(Sync!$AA532="","",Sync!$AA532))</f>
        <v/>
      </c>
      <c r="C532">
        <f>IF($A532="","",IF(Sync!$AB532="","",Sync!$AB532))</f>
        <v/>
      </c>
      <c r="D532">
        <f>IF($A532="","",IF(Sync!$AC532="","",Sync!$AC532))</f>
        <v/>
      </c>
      <c r="E532">
        <f>IF($A532="","",IF(Sync!$AD532="","",Sync!$AD532))</f>
        <v/>
      </c>
      <c r="F532">
        <f>IF($A532="","",IF(Sync!$AE532="",0,Sync!$AE532))</f>
        <v/>
      </c>
      <c r="G532">
        <f>IF($A532="","",IF(Sync!$AF532="",0,Sync!$AF532))</f>
        <v/>
      </c>
      <c r="H532">
        <f>IF(OR($A532="",ROUND($F532+$G532,2)=0),"",$F532+$G532)</f>
        <v/>
      </c>
      <c r="I532">
        <f>IF($H532="","",IF(ROUND($F532,2)&gt;0,$A532,IF($D532="شخصی قاسم","شخصی قاسم",IF($D532="هزینه","هزینه: "&amp;IF($E532="","متفرقه",$E532),IF($C532="پاس چک","چک پرداختی",IF(OR($B532="",COUNTIF(AcctCodesA,$B532)=0),"متفرقه",$B532))))))</f>
        <v/>
      </c>
      <c r="J532">
        <f>IF($H532="","",IF(ROUND($F532,2)&gt;0,IF($D532="شخصی قاسم","شخصی قاسم",IF($D532="هزینه","هزینه: "&amp;IF($E532="","متفرقه",$E532),IF(OR($B532="",COUNTIF(AcctCodesA,$B532)=0),"متفرقه",$B532))),$A532))</f>
        <v/>
      </c>
      <c r="K532">
        <f>IF($A532="","",IF(AND($B532&lt;&gt;"",COUNTIF(AcctCodesA,$B532)=0),"کد طرف در INFO تعریف نشده",IF(AND($D532="هزینه",$E532=""),"هزینه بدون زیرگروه",IF(AND($C532="پاس چک",OR(Sync!$AJ532="",COUNTIF(IssueNosA,Sync!$AJ532)=0)),"شماره چک پاس‌شده معتبر نیست",""))))</f>
        <v/>
      </c>
      <c r="V532">
        <f>IF($K532="","",IF(ISNUMBER(Sync!$AK532),Sync!$AK532,LEFT(Sync!$AK532,4)&amp;MID(Sync!$AK532,6,2)&amp;RIGHT(Sync!$AK532,2))&amp;"|"&amp;"4"&amp;RIGHT("00000"&amp;527,5))</f>
        <v/>
      </c>
      <c r="W532">
        <f>IF($V532="",0,COUNTIFS($V$6:$V$2005,"&lt;"&amp;$V532)-COUNTIFS($V$6:$V$2005,"&lt;"&amp;$V532,$K$6:$K$2005,"")+1)</f>
        <v/>
      </c>
      <c r="X532">
        <f>IF(Sync!$AX532="","",IF(OR(N(Sync!$AY532)=0,N(Sync!$AZ532)=0),"",ROUND(N(Sync!$AY532)*N(Sync!$AZ532),0)))</f>
        <v/>
      </c>
      <c r="Y532">
        <f>IF($X532="","",IF(OR(Sync!$AX532="",COUNTIF(AcctCodesA,Sync!$AX532)=0),"متفرقه",Sync!$AX532))</f>
        <v/>
      </c>
      <c r="Z532">
        <f>IF($X532="","","سبد و ظروف")</f>
        <v/>
      </c>
      <c r="AA532">
        <f>IF($X532="","",$Y532)</f>
        <v/>
      </c>
    </row>
    <row r="533">
      <c r="A533">
        <f>IF(Sync!$Z533="","",LEFT(UPPER(TRIM(Sync!$Z533)),6))</f>
        <v/>
      </c>
      <c r="B533">
        <f>IF($A533="","",IF(Sync!$AA533="","",Sync!$AA533))</f>
        <v/>
      </c>
      <c r="C533">
        <f>IF($A533="","",IF(Sync!$AB533="","",Sync!$AB533))</f>
        <v/>
      </c>
      <c r="D533">
        <f>IF($A533="","",IF(Sync!$AC533="","",Sync!$AC533))</f>
        <v/>
      </c>
      <c r="E533">
        <f>IF($A533="","",IF(Sync!$AD533="","",Sync!$AD533))</f>
        <v/>
      </c>
      <c r="F533">
        <f>IF($A533="","",IF(Sync!$AE533="",0,Sync!$AE533))</f>
        <v/>
      </c>
      <c r="G533">
        <f>IF($A533="","",IF(Sync!$AF533="",0,Sync!$AF533))</f>
        <v/>
      </c>
      <c r="H533">
        <f>IF(OR($A533="",ROUND($F533+$G533,2)=0),"",$F533+$G533)</f>
        <v/>
      </c>
      <c r="I533">
        <f>IF($H533="","",IF(ROUND($F533,2)&gt;0,$A533,IF($D533="شخصی قاسم","شخصی قاسم",IF($D533="هزینه","هزینه: "&amp;IF($E533="","متفرقه",$E533),IF($C533="پاس چک","چک پرداختی",IF(OR($B533="",COUNTIF(AcctCodesA,$B533)=0),"متفرقه",$B533))))))</f>
        <v/>
      </c>
      <c r="J533">
        <f>IF($H533="","",IF(ROUND($F533,2)&gt;0,IF($D533="شخصی قاسم","شخصی قاسم",IF($D533="هزینه","هزینه: "&amp;IF($E533="","متفرقه",$E533),IF(OR($B533="",COUNTIF(AcctCodesA,$B533)=0),"متفرقه",$B533))),$A533))</f>
        <v/>
      </c>
      <c r="K533">
        <f>IF($A533="","",IF(AND($B533&lt;&gt;"",COUNTIF(AcctCodesA,$B533)=0),"کد طرف در INFO تعریف نشده",IF(AND($D533="هزینه",$E533=""),"هزینه بدون زیرگروه",IF(AND($C533="پاس چک",OR(Sync!$AJ533="",COUNTIF(IssueNosA,Sync!$AJ533)=0)),"شماره چک پاس‌شده معتبر نیست",""))))</f>
        <v/>
      </c>
      <c r="V533">
        <f>IF($K533="","",IF(ISNUMBER(Sync!$AK533),Sync!$AK533,LEFT(Sync!$AK533,4)&amp;MID(Sync!$AK533,6,2)&amp;RIGHT(Sync!$AK533,2))&amp;"|"&amp;"4"&amp;RIGHT("00000"&amp;528,5))</f>
        <v/>
      </c>
      <c r="W533">
        <f>IF($V533="",0,COUNTIFS($V$6:$V$2005,"&lt;"&amp;$V533)-COUNTIFS($V$6:$V$2005,"&lt;"&amp;$V533,$K$6:$K$2005,"")+1)</f>
        <v/>
      </c>
      <c r="X533">
        <f>IF(Sync!$AX533="","",IF(OR(N(Sync!$AY533)=0,N(Sync!$AZ533)=0),"",ROUND(N(Sync!$AY533)*N(Sync!$AZ533),0)))</f>
        <v/>
      </c>
      <c r="Y533">
        <f>IF($X533="","",IF(OR(Sync!$AX533="",COUNTIF(AcctCodesA,Sync!$AX533)=0),"متفرقه",Sync!$AX533))</f>
        <v/>
      </c>
      <c r="Z533">
        <f>IF($X533="","","سبد و ظروف")</f>
        <v/>
      </c>
      <c r="AA533">
        <f>IF($X533="","",$Y533)</f>
        <v/>
      </c>
    </row>
    <row r="534">
      <c r="A534">
        <f>IF(Sync!$Z534="","",LEFT(UPPER(TRIM(Sync!$Z534)),6))</f>
        <v/>
      </c>
      <c r="B534">
        <f>IF($A534="","",IF(Sync!$AA534="","",Sync!$AA534))</f>
        <v/>
      </c>
      <c r="C534">
        <f>IF($A534="","",IF(Sync!$AB534="","",Sync!$AB534))</f>
        <v/>
      </c>
      <c r="D534">
        <f>IF($A534="","",IF(Sync!$AC534="","",Sync!$AC534))</f>
        <v/>
      </c>
      <c r="E534">
        <f>IF($A534="","",IF(Sync!$AD534="","",Sync!$AD534))</f>
        <v/>
      </c>
      <c r="F534">
        <f>IF($A534="","",IF(Sync!$AE534="",0,Sync!$AE534))</f>
        <v/>
      </c>
      <c r="G534">
        <f>IF($A534="","",IF(Sync!$AF534="",0,Sync!$AF534))</f>
        <v/>
      </c>
      <c r="H534">
        <f>IF(OR($A534="",ROUND($F534+$G534,2)=0),"",$F534+$G534)</f>
        <v/>
      </c>
      <c r="I534">
        <f>IF($H534="","",IF(ROUND($F534,2)&gt;0,$A534,IF($D534="شخصی قاسم","شخصی قاسم",IF($D534="هزینه","هزینه: "&amp;IF($E534="","متفرقه",$E534),IF($C534="پاس چک","چک پرداختی",IF(OR($B534="",COUNTIF(AcctCodesA,$B534)=0),"متفرقه",$B534))))))</f>
        <v/>
      </c>
      <c r="J534">
        <f>IF($H534="","",IF(ROUND($F534,2)&gt;0,IF($D534="شخصی قاسم","شخصی قاسم",IF($D534="هزینه","هزینه: "&amp;IF($E534="","متفرقه",$E534),IF(OR($B534="",COUNTIF(AcctCodesA,$B534)=0),"متفرقه",$B534))),$A534))</f>
        <v/>
      </c>
      <c r="K534">
        <f>IF($A534="","",IF(AND($B534&lt;&gt;"",COUNTIF(AcctCodesA,$B534)=0),"کد طرف در INFO تعریف نشده",IF(AND($D534="هزینه",$E534=""),"هزینه بدون زیرگروه",IF(AND($C534="پاس چک",OR(Sync!$AJ534="",COUNTIF(IssueNosA,Sync!$AJ534)=0)),"شماره چک پاس‌شده معتبر نیست",""))))</f>
        <v/>
      </c>
      <c r="V534">
        <f>IF($K534="","",IF(ISNUMBER(Sync!$AK534),Sync!$AK534,LEFT(Sync!$AK534,4)&amp;MID(Sync!$AK534,6,2)&amp;RIGHT(Sync!$AK534,2))&amp;"|"&amp;"4"&amp;RIGHT("00000"&amp;529,5))</f>
        <v/>
      </c>
      <c r="W534">
        <f>IF($V534="",0,COUNTIFS($V$6:$V$2005,"&lt;"&amp;$V534)-COUNTIFS($V$6:$V$2005,"&lt;"&amp;$V534,$K$6:$K$2005,"")+1)</f>
        <v/>
      </c>
      <c r="X534">
        <f>IF(Sync!$AX534="","",IF(OR(N(Sync!$AY534)=0,N(Sync!$AZ534)=0),"",ROUND(N(Sync!$AY534)*N(Sync!$AZ534),0)))</f>
        <v/>
      </c>
      <c r="Y534">
        <f>IF($X534="","",IF(OR(Sync!$AX534="",COUNTIF(AcctCodesA,Sync!$AX534)=0),"متفرقه",Sync!$AX534))</f>
        <v/>
      </c>
      <c r="Z534">
        <f>IF($X534="","","سبد و ظروف")</f>
        <v/>
      </c>
      <c r="AA534">
        <f>IF($X534="","",$Y534)</f>
        <v/>
      </c>
    </row>
    <row r="535">
      <c r="A535">
        <f>IF(Sync!$Z535="","",LEFT(UPPER(TRIM(Sync!$Z535)),6))</f>
        <v/>
      </c>
      <c r="B535">
        <f>IF($A535="","",IF(Sync!$AA535="","",Sync!$AA535))</f>
        <v/>
      </c>
      <c r="C535">
        <f>IF($A535="","",IF(Sync!$AB535="","",Sync!$AB535))</f>
        <v/>
      </c>
      <c r="D535">
        <f>IF($A535="","",IF(Sync!$AC535="","",Sync!$AC535))</f>
        <v/>
      </c>
      <c r="E535">
        <f>IF($A535="","",IF(Sync!$AD535="","",Sync!$AD535))</f>
        <v/>
      </c>
      <c r="F535">
        <f>IF($A535="","",IF(Sync!$AE535="",0,Sync!$AE535))</f>
        <v/>
      </c>
      <c r="G535">
        <f>IF($A535="","",IF(Sync!$AF535="",0,Sync!$AF535))</f>
        <v/>
      </c>
      <c r="H535">
        <f>IF(OR($A535="",ROUND($F535+$G535,2)=0),"",$F535+$G535)</f>
        <v/>
      </c>
      <c r="I535">
        <f>IF($H535="","",IF(ROUND($F535,2)&gt;0,$A535,IF($D535="شخصی قاسم","شخصی قاسم",IF($D535="هزینه","هزینه: "&amp;IF($E535="","متفرقه",$E535),IF($C535="پاس چک","چک پرداختی",IF(OR($B535="",COUNTIF(AcctCodesA,$B535)=0),"متفرقه",$B535))))))</f>
        <v/>
      </c>
      <c r="J535">
        <f>IF($H535="","",IF(ROUND($F535,2)&gt;0,IF($D535="شخصی قاسم","شخصی قاسم",IF($D535="هزینه","هزینه: "&amp;IF($E535="","متفرقه",$E535),IF(OR($B535="",COUNTIF(AcctCodesA,$B535)=0),"متفرقه",$B535))),$A535))</f>
        <v/>
      </c>
      <c r="K535">
        <f>IF($A535="","",IF(AND($B535&lt;&gt;"",COUNTIF(AcctCodesA,$B535)=0),"کد طرف در INFO تعریف نشده",IF(AND($D535="هزینه",$E535=""),"هزینه بدون زیرگروه",IF(AND($C535="پاس چک",OR(Sync!$AJ535="",COUNTIF(IssueNosA,Sync!$AJ535)=0)),"شماره چک پاس‌شده معتبر نیست",""))))</f>
        <v/>
      </c>
      <c r="V535">
        <f>IF($K535="","",IF(ISNUMBER(Sync!$AK535),Sync!$AK535,LEFT(Sync!$AK535,4)&amp;MID(Sync!$AK535,6,2)&amp;RIGHT(Sync!$AK535,2))&amp;"|"&amp;"4"&amp;RIGHT("00000"&amp;530,5))</f>
        <v/>
      </c>
      <c r="W535">
        <f>IF($V535="",0,COUNTIFS($V$6:$V$2005,"&lt;"&amp;$V535)-COUNTIFS($V$6:$V$2005,"&lt;"&amp;$V535,$K$6:$K$2005,"")+1)</f>
        <v/>
      </c>
      <c r="X535">
        <f>IF(Sync!$AX535="","",IF(OR(N(Sync!$AY535)=0,N(Sync!$AZ535)=0),"",ROUND(N(Sync!$AY535)*N(Sync!$AZ535),0)))</f>
        <v/>
      </c>
      <c r="Y535">
        <f>IF($X535="","",IF(OR(Sync!$AX535="",COUNTIF(AcctCodesA,Sync!$AX535)=0),"متفرقه",Sync!$AX535))</f>
        <v/>
      </c>
      <c r="Z535">
        <f>IF($X535="","","سبد و ظروف")</f>
        <v/>
      </c>
      <c r="AA535">
        <f>IF($X535="","",$Y535)</f>
        <v/>
      </c>
    </row>
    <row r="536">
      <c r="A536">
        <f>IF(Sync!$Z536="","",LEFT(UPPER(TRIM(Sync!$Z536)),6))</f>
        <v/>
      </c>
      <c r="B536">
        <f>IF($A536="","",IF(Sync!$AA536="","",Sync!$AA536))</f>
        <v/>
      </c>
      <c r="C536">
        <f>IF($A536="","",IF(Sync!$AB536="","",Sync!$AB536))</f>
        <v/>
      </c>
      <c r="D536">
        <f>IF($A536="","",IF(Sync!$AC536="","",Sync!$AC536))</f>
        <v/>
      </c>
      <c r="E536">
        <f>IF($A536="","",IF(Sync!$AD536="","",Sync!$AD536))</f>
        <v/>
      </c>
      <c r="F536">
        <f>IF($A536="","",IF(Sync!$AE536="",0,Sync!$AE536))</f>
        <v/>
      </c>
      <c r="G536">
        <f>IF($A536="","",IF(Sync!$AF536="",0,Sync!$AF536))</f>
        <v/>
      </c>
      <c r="H536">
        <f>IF(OR($A536="",ROUND($F536+$G536,2)=0),"",$F536+$G536)</f>
        <v/>
      </c>
      <c r="I536">
        <f>IF($H536="","",IF(ROUND($F536,2)&gt;0,$A536,IF($D536="شخصی قاسم","شخصی قاسم",IF($D536="هزینه","هزینه: "&amp;IF($E536="","متفرقه",$E536),IF($C536="پاس چک","چک پرداختی",IF(OR($B536="",COUNTIF(AcctCodesA,$B536)=0),"متفرقه",$B536))))))</f>
        <v/>
      </c>
      <c r="J536">
        <f>IF($H536="","",IF(ROUND($F536,2)&gt;0,IF($D536="شخصی قاسم","شخصی قاسم",IF($D536="هزینه","هزینه: "&amp;IF($E536="","متفرقه",$E536),IF(OR($B536="",COUNTIF(AcctCodesA,$B536)=0),"متفرقه",$B536))),$A536))</f>
        <v/>
      </c>
      <c r="K536">
        <f>IF($A536="","",IF(AND($B536&lt;&gt;"",COUNTIF(AcctCodesA,$B536)=0),"کد طرف در INFO تعریف نشده",IF(AND($D536="هزینه",$E536=""),"هزینه بدون زیرگروه",IF(AND($C536="پاس چک",OR(Sync!$AJ536="",COUNTIF(IssueNosA,Sync!$AJ536)=0)),"شماره چک پاس‌شده معتبر نیست",""))))</f>
        <v/>
      </c>
      <c r="V536">
        <f>IF($K536="","",IF(ISNUMBER(Sync!$AK536),Sync!$AK536,LEFT(Sync!$AK536,4)&amp;MID(Sync!$AK536,6,2)&amp;RIGHT(Sync!$AK536,2))&amp;"|"&amp;"4"&amp;RIGHT("00000"&amp;531,5))</f>
        <v/>
      </c>
      <c r="W536">
        <f>IF($V536="",0,COUNTIFS($V$6:$V$2005,"&lt;"&amp;$V536)-COUNTIFS($V$6:$V$2005,"&lt;"&amp;$V536,$K$6:$K$2005,"")+1)</f>
        <v/>
      </c>
      <c r="X536">
        <f>IF(Sync!$AX536="","",IF(OR(N(Sync!$AY536)=0,N(Sync!$AZ536)=0),"",ROUND(N(Sync!$AY536)*N(Sync!$AZ536),0)))</f>
        <v/>
      </c>
      <c r="Y536">
        <f>IF($X536="","",IF(OR(Sync!$AX536="",COUNTIF(AcctCodesA,Sync!$AX536)=0),"متفرقه",Sync!$AX536))</f>
        <v/>
      </c>
      <c r="Z536">
        <f>IF($X536="","","سبد و ظروف")</f>
        <v/>
      </c>
      <c r="AA536">
        <f>IF($X536="","",$Y536)</f>
        <v/>
      </c>
    </row>
    <row r="537">
      <c r="A537">
        <f>IF(Sync!$Z537="","",LEFT(UPPER(TRIM(Sync!$Z537)),6))</f>
        <v/>
      </c>
      <c r="B537">
        <f>IF($A537="","",IF(Sync!$AA537="","",Sync!$AA537))</f>
        <v/>
      </c>
      <c r="C537">
        <f>IF($A537="","",IF(Sync!$AB537="","",Sync!$AB537))</f>
        <v/>
      </c>
      <c r="D537">
        <f>IF($A537="","",IF(Sync!$AC537="","",Sync!$AC537))</f>
        <v/>
      </c>
      <c r="E537">
        <f>IF($A537="","",IF(Sync!$AD537="","",Sync!$AD537))</f>
        <v/>
      </c>
      <c r="F537">
        <f>IF($A537="","",IF(Sync!$AE537="",0,Sync!$AE537))</f>
        <v/>
      </c>
      <c r="G537">
        <f>IF($A537="","",IF(Sync!$AF537="",0,Sync!$AF537))</f>
        <v/>
      </c>
      <c r="H537">
        <f>IF(OR($A537="",ROUND($F537+$G537,2)=0),"",$F537+$G537)</f>
        <v/>
      </c>
      <c r="I537">
        <f>IF($H537="","",IF(ROUND($F537,2)&gt;0,$A537,IF($D537="شخصی قاسم","شخصی قاسم",IF($D537="هزینه","هزینه: "&amp;IF($E537="","متفرقه",$E537),IF($C537="پاس چک","چک پرداختی",IF(OR($B537="",COUNTIF(AcctCodesA,$B537)=0),"متفرقه",$B537))))))</f>
        <v/>
      </c>
      <c r="J537">
        <f>IF($H537="","",IF(ROUND($F537,2)&gt;0,IF($D537="شخصی قاسم","شخصی قاسم",IF($D537="هزینه","هزینه: "&amp;IF($E537="","متفرقه",$E537),IF(OR($B537="",COUNTIF(AcctCodesA,$B537)=0),"متفرقه",$B537))),$A537))</f>
        <v/>
      </c>
      <c r="K537">
        <f>IF($A537="","",IF(AND($B537&lt;&gt;"",COUNTIF(AcctCodesA,$B537)=0),"کد طرف در INFO تعریف نشده",IF(AND($D537="هزینه",$E537=""),"هزینه بدون زیرگروه",IF(AND($C537="پاس چک",OR(Sync!$AJ537="",COUNTIF(IssueNosA,Sync!$AJ537)=0)),"شماره چک پاس‌شده معتبر نیست",""))))</f>
        <v/>
      </c>
      <c r="V537">
        <f>IF($K537="","",IF(ISNUMBER(Sync!$AK537),Sync!$AK537,LEFT(Sync!$AK537,4)&amp;MID(Sync!$AK537,6,2)&amp;RIGHT(Sync!$AK537,2))&amp;"|"&amp;"4"&amp;RIGHT("00000"&amp;532,5))</f>
        <v/>
      </c>
      <c r="W537">
        <f>IF($V537="",0,COUNTIFS($V$6:$V$2005,"&lt;"&amp;$V537)-COUNTIFS($V$6:$V$2005,"&lt;"&amp;$V537,$K$6:$K$2005,"")+1)</f>
        <v/>
      </c>
      <c r="X537">
        <f>IF(Sync!$AX537="","",IF(OR(N(Sync!$AY537)=0,N(Sync!$AZ537)=0),"",ROUND(N(Sync!$AY537)*N(Sync!$AZ537),0)))</f>
        <v/>
      </c>
      <c r="Y537">
        <f>IF($X537="","",IF(OR(Sync!$AX537="",COUNTIF(AcctCodesA,Sync!$AX537)=0),"متفرقه",Sync!$AX537))</f>
        <v/>
      </c>
      <c r="Z537">
        <f>IF($X537="","","سبد و ظروف")</f>
        <v/>
      </c>
      <c r="AA537">
        <f>IF($X537="","",$Y537)</f>
        <v/>
      </c>
    </row>
    <row r="538">
      <c r="A538">
        <f>IF(Sync!$Z538="","",LEFT(UPPER(TRIM(Sync!$Z538)),6))</f>
        <v/>
      </c>
      <c r="B538">
        <f>IF($A538="","",IF(Sync!$AA538="","",Sync!$AA538))</f>
        <v/>
      </c>
      <c r="C538">
        <f>IF($A538="","",IF(Sync!$AB538="","",Sync!$AB538))</f>
        <v/>
      </c>
      <c r="D538">
        <f>IF($A538="","",IF(Sync!$AC538="","",Sync!$AC538))</f>
        <v/>
      </c>
      <c r="E538">
        <f>IF($A538="","",IF(Sync!$AD538="","",Sync!$AD538))</f>
        <v/>
      </c>
      <c r="F538">
        <f>IF($A538="","",IF(Sync!$AE538="",0,Sync!$AE538))</f>
        <v/>
      </c>
      <c r="G538">
        <f>IF($A538="","",IF(Sync!$AF538="",0,Sync!$AF538))</f>
        <v/>
      </c>
      <c r="H538">
        <f>IF(OR($A538="",ROUND($F538+$G538,2)=0),"",$F538+$G538)</f>
        <v/>
      </c>
      <c r="I538">
        <f>IF($H538="","",IF(ROUND($F538,2)&gt;0,$A538,IF($D538="شخصی قاسم","شخصی قاسم",IF($D538="هزینه","هزینه: "&amp;IF($E538="","متفرقه",$E538),IF($C538="پاس چک","چک پرداختی",IF(OR($B538="",COUNTIF(AcctCodesA,$B538)=0),"متفرقه",$B538))))))</f>
        <v/>
      </c>
      <c r="J538">
        <f>IF($H538="","",IF(ROUND($F538,2)&gt;0,IF($D538="شخصی قاسم","شخصی قاسم",IF($D538="هزینه","هزینه: "&amp;IF($E538="","متفرقه",$E538),IF(OR($B538="",COUNTIF(AcctCodesA,$B538)=0),"متفرقه",$B538))),$A538))</f>
        <v/>
      </c>
      <c r="K538">
        <f>IF($A538="","",IF(AND($B538&lt;&gt;"",COUNTIF(AcctCodesA,$B538)=0),"کد طرف در INFO تعریف نشده",IF(AND($D538="هزینه",$E538=""),"هزینه بدون زیرگروه",IF(AND($C538="پاس چک",OR(Sync!$AJ538="",COUNTIF(IssueNosA,Sync!$AJ538)=0)),"شماره چک پاس‌شده معتبر نیست",""))))</f>
        <v/>
      </c>
      <c r="V538">
        <f>IF($K538="","",IF(ISNUMBER(Sync!$AK538),Sync!$AK538,LEFT(Sync!$AK538,4)&amp;MID(Sync!$AK538,6,2)&amp;RIGHT(Sync!$AK538,2))&amp;"|"&amp;"4"&amp;RIGHT("00000"&amp;533,5))</f>
        <v/>
      </c>
      <c r="W538">
        <f>IF($V538="",0,COUNTIFS($V$6:$V$2005,"&lt;"&amp;$V538)-COUNTIFS($V$6:$V$2005,"&lt;"&amp;$V538,$K$6:$K$2005,"")+1)</f>
        <v/>
      </c>
      <c r="X538">
        <f>IF(Sync!$AX538="","",IF(OR(N(Sync!$AY538)=0,N(Sync!$AZ538)=0),"",ROUND(N(Sync!$AY538)*N(Sync!$AZ538),0)))</f>
        <v/>
      </c>
      <c r="Y538">
        <f>IF($X538="","",IF(OR(Sync!$AX538="",COUNTIF(AcctCodesA,Sync!$AX538)=0),"متفرقه",Sync!$AX538))</f>
        <v/>
      </c>
      <c r="Z538">
        <f>IF($X538="","","سبد و ظروف")</f>
        <v/>
      </c>
      <c r="AA538">
        <f>IF($X538="","",$Y538)</f>
        <v/>
      </c>
    </row>
    <row r="539">
      <c r="A539">
        <f>IF(Sync!$Z539="","",LEFT(UPPER(TRIM(Sync!$Z539)),6))</f>
        <v/>
      </c>
      <c r="B539">
        <f>IF($A539="","",IF(Sync!$AA539="","",Sync!$AA539))</f>
        <v/>
      </c>
      <c r="C539">
        <f>IF($A539="","",IF(Sync!$AB539="","",Sync!$AB539))</f>
        <v/>
      </c>
      <c r="D539">
        <f>IF($A539="","",IF(Sync!$AC539="","",Sync!$AC539))</f>
        <v/>
      </c>
      <c r="E539">
        <f>IF($A539="","",IF(Sync!$AD539="","",Sync!$AD539))</f>
        <v/>
      </c>
      <c r="F539">
        <f>IF($A539="","",IF(Sync!$AE539="",0,Sync!$AE539))</f>
        <v/>
      </c>
      <c r="G539">
        <f>IF($A539="","",IF(Sync!$AF539="",0,Sync!$AF539))</f>
        <v/>
      </c>
      <c r="H539">
        <f>IF(OR($A539="",ROUND($F539+$G539,2)=0),"",$F539+$G539)</f>
        <v/>
      </c>
      <c r="I539">
        <f>IF($H539="","",IF(ROUND($F539,2)&gt;0,$A539,IF($D539="شخصی قاسم","شخصی قاسم",IF($D539="هزینه","هزینه: "&amp;IF($E539="","متفرقه",$E539),IF($C539="پاس چک","چک پرداختی",IF(OR($B539="",COUNTIF(AcctCodesA,$B539)=0),"متفرقه",$B539))))))</f>
        <v/>
      </c>
      <c r="J539">
        <f>IF($H539="","",IF(ROUND($F539,2)&gt;0,IF($D539="شخصی قاسم","شخصی قاسم",IF($D539="هزینه","هزینه: "&amp;IF($E539="","متفرقه",$E539),IF(OR($B539="",COUNTIF(AcctCodesA,$B539)=0),"متفرقه",$B539))),$A539))</f>
        <v/>
      </c>
      <c r="K539">
        <f>IF($A539="","",IF(AND($B539&lt;&gt;"",COUNTIF(AcctCodesA,$B539)=0),"کد طرف در INFO تعریف نشده",IF(AND($D539="هزینه",$E539=""),"هزینه بدون زیرگروه",IF(AND($C539="پاس چک",OR(Sync!$AJ539="",COUNTIF(IssueNosA,Sync!$AJ539)=0)),"شماره چک پاس‌شده معتبر نیست",""))))</f>
        <v/>
      </c>
      <c r="V539">
        <f>IF($K539="","",IF(ISNUMBER(Sync!$AK539),Sync!$AK539,LEFT(Sync!$AK539,4)&amp;MID(Sync!$AK539,6,2)&amp;RIGHT(Sync!$AK539,2))&amp;"|"&amp;"4"&amp;RIGHT("00000"&amp;534,5))</f>
        <v/>
      </c>
      <c r="W539">
        <f>IF($V539="",0,COUNTIFS($V$6:$V$2005,"&lt;"&amp;$V539)-COUNTIFS($V$6:$V$2005,"&lt;"&amp;$V539,$K$6:$K$2005,"")+1)</f>
        <v/>
      </c>
      <c r="X539">
        <f>IF(Sync!$AX539="","",IF(OR(N(Sync!$AY539)=0,N(Sync!$AZ539)=0),"",ROUND(N(Sync!$AY539)*N(Sync!$AZ539),0)))</f>
        <v/>
      </c>
      <c r="Y539">
        <f>IF($X539="","",IF(OR(Sync!$AX539="",COUNTIF(AcctCodesA,Sync!$AX539)=0),"متفرقه",Sync!$AX539))</f>
        <v/>
      </c>
      <c r="Z539">
        <f>IF($X539="","","سبد و ظروف")</f>
        <v/>
      </c>
      <c r="AA539">
        <f>IF($X539="","",$Y539)</f>
        <v/>
      </c>
    </row>
    <row r="540">
      <c r="A540">
        <f>IF(Sync!$Z540="","",LEFT(UPPER(TRIM(Sync!$Z540)),6))</f>
        <v/>
      </c>
      <c r="B540">
        <f>IF($A540="","",IF(Sync!$AA540="","",Sync!$AA540))</f>
        <v/>
      </c>
      <c r="C540">
        <f>IF($A540="","",IF(Sync!$AB540="","",Sync!$AB540))</f>
        <v/>
      </c>
      <c r="D540">
        <f>IF($A540="","",IF(Sync!$AC540="","",Sync!$AC540))</f>
        <v/>
      </c>
      <c r="E540">
        <f>IF($A540="","",IF(Sync!$AD540="","",Sync!$AD540))</f>
        <v/>
      </c>
      <c r="F540">
        <f>IF($A540="","",IF(Sync!$AE540="",0,Sync!$AE540))</f>
        <v/>
      </c>
      <c r="G540">
        <f>IF($A540="","",IF(Sync!$AF540="",0,Sync!$AF540))</f>
        <v/>
      </c>
      <c r="H540">
        <f>IF(OR($A540="",ROUND($F540+$G540,2)=0),"",$F540+$G540)</f>
        <v/>
      </c>
      <c r="I540">
        <f>IF($H540="","",IF(ROUND($F540,2)&gt;0,$A540,IF($D540="شخصی قاسم","شخصی قاسم",IF($D540="هزینه","هزینه: "&amp;IF($E540="","متفرقه",$E540),IF($C540="پاس چک","چک پرداختی",IF(OR($B540="",COUNTIF(AcctCodesA,$B540)=0),"متفرقه",$B540))))))</f>
        <v/>
      </c>
      <c r="J540">
        <f>IF($H540="","",IF(ROUND($F540,2)&gt;0,IF($D540="شخصی قاسم","شخصی قاسم",IF($D540="هزینه","هزینه: "&amp;IF($E540="","متفرقه",$E540),IF(OR($B540="",COUNTIF(AcctCodesA,$B540)=0),"متفرقه",$B540))),$A540))</f>
        <v/>
      </c>
      <c r="K540">
        <f>IF($A540="","",IF(AND($B540&lt;&gt;"",COUNTIF(AcctCodesA,$B540)=0),"کد طرف در INFO تعریف نشده",IF(AND($D540="هزینه",$E540=""),"هزینه بدون زیرگروه",IF(AND($C540="پاس چک",OR(Sync!$AJ540="",COUNTIF(IssueNosA,Sync!$AJ540)=0)),"شماره چک پاس‌شده معتبر نیست",""))))</f>
        <v/>
      </c>
      <c r="V540">
        <f>IF($K540="","",IF(ISNUMBER(Sync!$AK540),Sync!$AK540,LEFT(Sync!$AK540,4)&amp;MID(Sync!$AK540,6,2)&amp;RIGHT(Sync!$AK540,2))&amp;"|"&amp;"4"&amp;RIGHT("00000"&amp;535,5))</f>
        <v/>
      </c>
      <c r="W540">
        <f>IF($V540="",0,COUNTIFS($V$6:$V$2005,"&lt;"&amp;$V540)-COUNTIFS($V$6:$V$2005,"&lt;"&amp;$V540,$K$6:$K$2005,"")+1)</f>
        <v/>
      </c>
      <c r="X540">
        <f>IF(Sync!$AX540="","",IF(OR(N(Sync!$AY540)=0,N(Sync!$AZ540)=0),"",ROUND(N(Sync!$AY540)*N(Sync!$AZ540),0)))</f>
        <v/>
      </c>
      <c r="Y540">
        <f>IF($X540="","",IF(OR(Sync!$AX540="",COUNTIF(AcctCodesA,Sync!$AX540)=0),"متفرقه",Sync!$AX540))</f>
        <v/>
      </c>
      <c r="Z540">
        <f>IF($X540="","","سبد و ظروف")</f>
        <v/>
      </c>
      <c r="AA540">
        <f>IF($X540="","",$Y540)</f>
        <v/>
      </c>
    </row>
    <row r="541">
      <c r="A541">
        <f>IF(Sync!$Z541="","",LEFT(UPPER(TRIM(Sync!$Z541)),6))</f>
        <v/>
      </c>
      <c r="B541">
        <f>IF($A541="","",IF(Sync!$AA541="","",Sync!$AA541))</f>
        <v/>
      </c>
      <c r="C541">
        <f>IF($A541="","",IF(Sync!$AB541="","",Sync!$AB541))</f>
        <v/>
      </c>
      <c r="D541">
        <f>IF($A541="","",IF(Sync!$AC541="","",Sync!$AC541))</f>
        <v/>
      </c>
      <c r="E541">
        <f>IF($A541="","",IF(Sync!$AD541="","",Sync!$AD541))</f>
        <v/>
      </c>
      <c r="F541">
        <f>IF($A541="","",IF(Sync!$AE541="",0,Sync!$AE541))</f>
        <v/>
      </c>
      <c r="G541">
        <f>IF($A541="","",IF(Sync!$AF541="",0,Sync!$AF541))</f>
        <v/>
      </c>
      <c r="H541">
        <f>IF(OR($A541="",ROUND($F541+$G541,2)=0),"",$F541+$G541)</f>
        <v/>
      </c>
      <c r="I541">
        <f>IF($H541="","",IF(ROUND($F541,2)&gt;0,$A541,IF($D541="شخصی قاسم","شخصی قاسم",IF($D541="هزینه","هزینه: "&amp;IF($E541="","متفرقه",$E541),IF($C541="پاس چک","چک پرداختی",IF(OR($B541="",COUNTIF(AcctCodesA,$B541)=0),"متفرقه",$B541))))))</f>
        <v/>
      </c>
      <c r="J541">
        <f>IF($H541="","",IF(ROUND($F541,2)&gt;0,IF($D541="شخصی قاسم","شخصی قاسم",IF($D541="هزینه","هزینه: "&amp;IF($E541="","متفرقه",$E541),IF(OR($B541="",COUNTIF(AcctCodesA,$B541)=0),"متفرقه",$B541))),$A541))</f>
        <v/>
      </c>
      <c r="K541">
        <f>IF($A541="","",IF(AND($B541&lt;&gt;"",COUNTIF(AcctCodesA,$B541)=0),"کد طرف در INFO تعریف نشده",IF(AND($D541="هزینه",$E541=""),"هزینه بدون زیرگروه",IF(AND($C541="پاس چک",OR(Sync!$AJ541="",COUNTIF(IssueNosA,Sync!$AJ541)=0)),"شماره چک پاس‌شده معتبر نیست",""))))</f>
        <v/>
      </c>
      <c r="V541">
        <f>IF($K541="","",IF(ISNUMBER(Sync!$AK541),Sync!$AK541,LEFT(Sync!$AK541,4)&amp;MID(Sync!$AK541,6,2)&amp;RIGHT(Sync!$AK541,2))&amp;"|"&amp;"4"&amp;RIGHT("00000"&amp;536,5))</f>
        <v/>
      </c>
      <c r="W541">
        <f>IF($V541="",0,COUNTIFS($V$6:$V$2005,"&lt;"&amp;$V541)-COUNTIFS($V$6:$V$2005,"&lt;"&amp;$V541,$K$6:$K$2005,"")+1)</f>
        <v/>
      </c>
      <c r="X541">
        <f>IF(Sync!$AX541="","",IF(OR(N(Sync!$AY541)=0,N(Sync!$AZ541)=0),"",ROUND(N(Sync!$AY541)*N(Sync!$AZ541),0)))</f>
        <v/>
      </c>
      <c r="Y541">
        <f>IF($X541="","",IF(OR(Sync!$AX541="",COUNTIF(AcctCodesA,Sync!$AX541)=0),"متفرقه",Sync!$AX541))</f>
        <v/>
      </c>
      <c r="Z541">
        <f>IF($X541="","","سبد و ظروف")</f>
        <v/>
      </c>
      <c r="AA541">
        <f>IF($X541="","",$Y541)</f>
        <v/>
      </c>
    </row>
    <row r="542">
      <c r="A542">
        <f>IF(Sync!$Z542="","",LEFT(UPPER(TRIM(Sync!$Z542)),6))</f>
        <v/>
      </c>
      <c r="B542">
        <f>IF($A542="","",IF(Sync!$AA542="","",Sync!$AA542))</f>
        <v/>
      </c>
      <c r="C542">
        <f>IF($A542="","",IF(Sync!$AB542="","",Sync!$AB542))</f>
        <v/>
      </c>
      <c r="D542">
        <f>IF($A542="","",IF(Sync!$AC542="","",Sync!$AC542))</f>
        <v/>
      </c>
      <c r="E542">
        <f>IF($A542="","",IF(Sync!$AD542="","",Sync!$AD542))</f>
        <v/>
      </c>
      <c r="F542">
        <f>IF($A542="","",IF(Sync!$AE542="",0,Sync!$AE542))</f>
        <v/>
      </c>
      <c r="G542">
        <f>IF($A542="","",IF(Sync!$AF542="",0,Sync!$AF542))</f>
        <v/>
      </c>
      <c r="H542">
        <f>IF(OR($A542="",ROUND($F542+$G542,2)=0),"",$F542+$G542)</f>
        <v/>
      </c>
      <c r="I542">
        <f>IF($H542="","",IF(ROUND($F542,2)&gt;0,$A542,IF($D542="شخصی قاسم","شخصی قاسم",IF($D542="هزینه","هزینه: "&amp;IF($E542="","متفرقه",$E542),IF($C542="پاس چک","چک پرداختی",IF(OR($B542="",COUNTIF(AcctCodesA,$B542)=0),"متفرقه",$B542))))))</f>
        <v/>
      </c>
      <c r="J542">
        <f>IF($H542="","",IF(ROUND($F542,2)&gt;0,IF($D542="شخصی قاسم","شخصی قاسم",IF($D542="هزینه","هزینه: "&amp;IF($E542="","متفرقه",$E542),IF(OR($B542="",COUNTIF(AcctCodesA,$B542)=0),"متفرقه",$B542))),$A542))</f>
        <v/>
      </c>
      <c r="K542">
        <f>IF($A542="","",IF(AND($B542&lt;&gt;"",COUNTIF(AcctCodesA,$B542)=0),"کد طرف در INFO تعریف نشده",IF(AND($D542="هزینه",$E542=""),"هزینه بدون زیرگروه",IF(AND($C542="پاس چک",OR(Sync!$AJ542="",COUNTIF(IssueNosA,Sync!$AJ542)=0)),"شماره چک پاس‌شده معتبر نیست",""))))</f>
        <v/>
      </c>
      <c r="V542">
        <f>IF($K542="","",IF(ISNUMBER(Sync!$AK542),Sync!$AK542,LEFT(Sync!$AK542,4)&amp;MID(Sync!$AK542,6,2)&amp;RIGHT(Sync!$AK542,2))&amp;"|"&amp;"4"&amp;RIGHT("00000"&amp;537,5))</f>
        <v/>
      </c>
      <c r="W542">
        <f>IF($V542="",0,COUNTIFS($V$6:$V$2005,"&lt;"&amp;$V542)-COUNTIFS($V$6:$V$2005,"&lt;"&amp;$V542,$K$6:$K$2005,"")+1)</f>
        <v/>
      </c>
      <c r="X542">
        <f>IF(Sync!$AX542="","",IF(OR(N(Sync!$AY542)=0,N(Sync!$AZ542)=0),"",ROUND(N(Sync!$AY542)*N(Sync!$AZ542),0)))</f>
        <v/>
      </c>
      <c r="Y542">
        <f>IF($X542="","",IF(OR(Sync!$AX542="",COUNTIF(AcctCodesA,Sync!$AX542)=0),"متفرقه",Sync!$AX542))</f>
        <v/>
      </c>
      <c r="Z542">
        <f>IF($X542="","","سبد و ظروف")</f>
        <v/>
      </c>
      <c r="AA542">
        <f>IF($X542="","",$Y542)</f>
        <v/>
      </c>
    </row>
    <row r="543">
      <c r="A543">
        <f>IF(Sync!$Z543="","",LEFT(UPPER(TRIM(Sync!$Z543)),6))</f>
        <v/>
      </c>
      <c r="B543">
        <f>IF($A543="","",IF(Sync!$AA543="","",Sync!$AA543))</f>
        <v/>
      </c>
      <c r="C543">
        <f>IF($A543="","",IF(Sync!$AB543="","",Sync!$AB543))</f>
        <v/>
      </c>
      <c r="D543">
        <f>IF($A543="","",IF(Sync!$AC543="","",Sync!$AC543))</f>
        <v/>
      </c>
      <c r="E543">
        <f>IF($A543="","",IF(Sync!$AD543="","",Sync!$AD543))</f>
        <v/>
      </c>
      <c r="F543">
        <f>IF($A543="","",IF(Sync!$AE543="",0,Sync!$AE543))</f>
        <v/>
      </c>
      <c r="G543">
        <f>IF($A543="","",IF(Sync!$AF543="",0,Sync!$AF543))</f>
        <v/>
      </c>
      <c r="H543">
        <f>IF(OR($A543="",ROUND($F543+$G543,2)=0),"",$F543+$G543)</f>
        <v/>
      </c>
      <c r="I543">
        <f>IF($H543="","",IF(ROUND($F543,2)&gt;0,$A543,IF($D543="شخصی قاسم","شخصی قاسم",IF($D543="هزینه","هزینه: "&amp;IF($E543="","متفرقه",$E543),IF($C543="پاس چک","چک پرداختی",IF(OR($B543="",COUNTIF(AcctCodesA,$B543)=0),"متفرقه",$B543))))))</f>
        <v/>
      </c>
      <c r="J543">
        <f>IF($H543="","",IF(ROUND($F543,2)&gt;0,IF($D543="شخصی قاسم","شخصی قاسم",IF($D543="هزینه","هزینه: "&amp;IF($E543="","متفرقه",$E543),IF(OR($B543="",COUNTIF(AcctCodesA,$B543)=0),"متفرقه",$B543))),$A543))</f>
        <v/>
      </c>
      <c r="K543">
        <f>IF($A543="","",IF(AND($B543&lt;&gt;"",COUNTIF(AcctCodesA,$B543)=0),"کد طرف در INFO تعریف نشده",IF(AND($D543="هزینه",$E543=""),"هزینه بدون زیرگروه",IF(AND($C543="پاس چک",OR(Sync!$AJ543="",COUNTIF(IssueNosA,Sync!$AJ543)=0)),"شماره چک پاس‌شده معتبر نیست",""))))</f>
        <v/>
      </c>
      <c r="V543">
        <f>IF($K543="","",IF(ISNUMBER(Sync!$AK543),Sync!$AK543,LEFT(Sync!$AK543,4)&amp;MID(Sync!$AK543,6,2)&amp;RIGHT(Sync!$AK543,2))&amp;"|"&amp;"4"&amp;RIGHT("00000"&amp;538,5))</f>
        <v/>
      </c>
      <c r="W543">
        <f>IF($V543="",0,COUNTIFS($V$6:$V$2005,"&lt;"&amp;$V543)-COUNTIFS($V$6:$V$2005,"&lt;"&amp;$V543,$K$6:$K$2005,"")+1)</f>
        <v/>
      </c>
      <c r="X543">
        <f>IF(Sync!$AX543="","",IF(OR(N(Sync!$AY543)=0,N(Sync!$AZ543)=0),"",ROUND(N(Sync!$AY543)*N(Sync!$AZ543),0)))</f>
        <v/>
      </c>
      <c r="Y543">
        <f>IF($X543="","",IF(OR(Sync!$AX543="",COUNTIF(AcctCodesA,Sync!$AX543)=0),"متفرقه",Sync!$AX543))</f>
        <v/>
      </c>
      <c r="Z543">
        <f>IF($X543="","","سبد و ظروف")</f>
        <v/>
      </c>
      <c r="AA543">
        <f>IF($X543="","",$Y543)</f>
        <v/>
      </c>
    </row>
    <row r="544">
      <c r="A544">
        <f>IF(Sync!$Z544="","",LEFT(UPPER(TRIM(Sync!$Z544)),6))</f>
        <v/>
      </c>
      <c r="B544">
        <f>IF($A544="","",IF(Sync!$AA544="","",Sync!$AA544))</f>
        <v/>
      </c>
      <c r="C544">
        <f>IF($A544="","",IF(Sync!$AB544="","",Sync!$AB544))</f>
        <v/>
      </c>
      <c r="D544">
        <f>IF($A544="","",IF(Sync!$AC544="","",Sync!$AC544))</f>
        <v/>
      </c>
      <c r="E544">
        <f>IF($A544="","",IF(Sync!$AD544="","",Sync!$AD544))</f>
        <v/>
      </c>
      <c r="F544">
        <f>IF($A544="","",IF(Sync!$AE544="",0,Sync!$AE544))</f>
        <v/>
      </c>
      <c r="G544">
        <f>IF($A544="","",IF(Sync!$AF544="",0,Sync!$AF544))</f>
        <v/>
      </c>
      <c r="H544">
        <f>IF(OR($A544="",ROUND($F544+$G544,2)=0),"",$F544+$G544)</f>
        <v/>
      </c>
      <c r="I544">
        <f>IF($H544="","",IF(ROUND($F544,2)&gt;0,$A544,IF($D544="شخصی قاسم","شخصی قاسم",IF($D544="هزینه","هزینه: "&amp;IF($E544="","متفرقه",$E544),IF($C544="پاس چک","چک پرداختی",IF(OR($B544="",COUNTIF(AcctCodesA,$B544)=0),"متفرقه",$B544))))))</f>
        <v/>
      </c>
      <c r="J544">
        <f>IF($H544="","",IF(ROUND($F544,2)&gt;0,IF($D544="شخصی قاسم","شخصی قاسم",IF($D544="هزینه","هزینه: "&amp;IF($E544="","متفرقه",$E544),IF(OR($B544="",COUNTIF(AcctCodesA,$B544)=0),"متفرقه",$B544))),$A544))</f>
        <v/>
      </c>
      <c r="K544">
        <f>IF($A544="","",IF(AND($B544&lt;&gt;"",COUNTIF(AcctCodesA,$B544)=0),"کد طرف در INFO تعریف نشده",IF(AND($D544="هزینه",$E544=""),"هزینه بدون زیرگروه",IF(AND($C544="پاس چک",OR(Sync!$AJ544="",COUNTIF(IssueNosA,Sync!$AJ544)=0)),"شماره چک پاس‌شده معتبر نیست",""))))</f>
        <v/>
      </c>
      <c r="V544">
        <f>IF($K544="","",IF(ISNUMBER(Sync!$AK544),Sync!$AK544,LEFT(Sync!$AK544,4)&amp;MID(Sync!$AK544,6,2)&amp;RIGHT(Sync!$AK544,2))&amp;"|"&amp;"4"&amp;RIGHT("00000"&amp;539,5))</f>
        <v/>
      </c>
      <c r="W544">
        <f>IF($V544="",0,COUNTIFS($V$6:$V$2005,"&lt;"&amp;$V544)-COUNTIFS($V$6:$V$2005,"&lt;"&amp;$V544,$K$6:$K$2005,"")+1)</f>
        <v/>
      </c>
      <c r="X544">
        <f>IF(Sync!$AX544="","",IF(OR(N(Sync!$AY544)=0,N(Sync!$AZ544)=0),"",ROUND(N(Sync!$AY544)*N(Sync!$AZ544),0)))</f>
        <v/>
      </c>
      <c r="Y544">
        <f>IF($X544="","",IF(OR(Sync!$AX544="",COUNTIF(AcctCodesA,Sync!$AX544)=0),"متفرقه",Sync!$AX544))</f>
        <v/>
      </c>
      <c r="Z544">
        <f>IF($X544="","","سبد و ظروف")</f>
        <v/>
      </c>
      <c r="AA544">
        <f>IF($X544="","",$Y544)</f>
        <v/>
      </c>
    </row>
    <row r="545">
      <c r="A545">
        <f>IF(Sync!$Z545="","",LEFT(UPPER(TRIM(Sync!$Z545)),6))</f>
        <v/>
      </c>
      <c r="B545">
        <f>IF($A545="","",IF(Sync!$AA545="","",Sync!$AA545))</f>
        <v/>
      </c>
      <c r="C545">
        <f>IF($A545="","",IF(Sync!$AB545="","",Sync!$AB545))</f>
        <v/>
      </c>
      <c r="D545">
        <f>IF($A545="","",IF(Sync!$AC545="","",Sync!$AC545))</f>
        <v/>
      </c>
      <c r="E545">
        <f>IF($A545="","",IF(Sync!$AD545="","",Sync!$AD545))</f>
        <v/>
      </c>
      <c r="F545">
        <f>IF($A545="","",IF(Sync!$AE545="",0,Sync!$AE545))</f>
        <v/>
      </c>
      <c r="G545">
        <f>IF($A545="","",IF(Sync!$AF545="",0,Sync!$AF545))</f>
        <v/>
      </c>
      <c r="H545">
        <f>IF(OR($A545="",ROUND($F545+$G545,2)=0),"",$F545+$G545)</f>
        <v/>
      </c>
      <c r="I545">
        <f>IF($H545="","",IF(ROUND($F545,2)&gt;0,$A545,IF($D545="شخصی قاسم","شخصی قاسم",IF($D545="هزینه","هزینه: "&amp;IF($E545="","متفرقه",$E545),IF($C545="پاس چک","چک پرداختی",IF(OR($B545="",COUNTIF(AcctCodesA,$B545)=0),"متفرقه",$B545))))))</f>
        <v/>
      </c>
      <c r="J545">
        <f>IF($H545="","",IF(ROUND($F545,2)&gt;0,IF($D545="شخصی قاسم","شخصی قاسم",IF($D545="هزینه","هزینه: "&amp;IF($E545="","متفرقه",$E545),IF(OR($B545="",COUNTIF(AcctCodesA,$B545)=0),"متفرقه",$B545))),$A545))</f>
        <v/>
      </c>
      <c r="K545">
        <f>IF($A545="","",IF(AND($B545&lt;&gt;"",COUNTIF(AcctCodesA,$B545)=0),"کد طرف در INFO تعریف نشده",IF(AND($D545="هزینه",$E545=""),"هزینه بدون زیرگروه",IF(AND($C545="پاس چک",OR(Sync!$AJ545="",COUNTIF(IssueNosA,Sync!$AJ545)=0)),"شماره چک پاس‌شده معتبر نیست",""))))</f>
        <v/>
      </c>
      <c r="V545">
        <f>IF($K545="","",IF(ISNUMBER(Sync!$AK545),Sync!$AK545,LEFT(Sync!$AK545,4)&amp;MID(Sync!$AK545,6,2)&amp;RIGHT(Sync!$AK545,2))&amp;"|"&amp;"4"&amp;RIGHT("00000"&amp;540,5))</f>
        <v/>
      </c>
      <c r="W545">
        <f>IF($V545="",0,COUNTIFS($V$6:$V$2005,"&lt;"&amp;$V545)-COUNTIFS($V$6:$V$2005,"&lt;"&amp;$V545,$K$6:$K$2005,"")+1)</f>
        <v/>
      </c>
      <c r="X545">
        <f>IF(Sync!$AX545="","",IF(OR(N(Sync!$AY545)=0,N(Sync!$AZ545)=0),"",ROUND(N(Sync!$AY545)*N(Sync!$AZ545),0)))</f>
        <v/>
      </c>
      <c r="Y545">
        <f>IF($X545="","",IF(OR(Sync!$AX545="",COUNTIF(AcctCodesA,Sync!$AX545)=0),"متفرقه",Sync!$AX545))</f>
        <v/>
      </c>
      <c r="Z545">
        <f>IF($X545="","","سبد و ظروف")</f>
        <v/>
      </c>
      <c r="AA545">
        <f>IF($X545="","",$Y545)</f>
        <v/>
      </c>
    </row>
    <row r="546">
      <c r="A546">
        <f>IF(Sync!$Z546="","",LEFT(UPPER(TRIM(Sync!$Z546)),6))</f>
        <v/>
      </c>
      <c r="B546">
        <f>IF($A546="","",IF(Sync!$AA546="","",Sync!$AA546))</f>
        <v/>
      </c>
      <c r="C546">
        <f>IF($A546="","",IF(Sync!$AB546="","",Sync!$AB546))</f>
        <v/>
      </c>
      <c r="D546">
        <f>IF($A546="","",IF(Sync!$AC546="","",Sync!$AC546))</f>
        <v/>
      </c>
      <c r="E546">
        <f>IF($A546="","",IF(Sync!$AD546="","",Sync!$AD546))</f>
        <v/>
      </c>
      <c r="F546">
        <f>IF($A546="","",IF(Sync!$AE546="",0,Sync!$AE546))</f>
        <v/>
      </c>
      <c r="G546">
        <f>IF($A546="","",IF(Sync!$AF546="",0,Sync!$AF546))</f>
        <v/>
      </c>
      <c r="H546">
        <f>IF(OR($A546="",ROUND($F546+$G546,2)=0),"",$F546+$G546)</f>
        <v/>
      </c>
      <c r="I546">
        <f>IF($H546="","",IF(ROUND($F546,2)&gt;0,$A546,IF($D546="شخصی قاسم","شخصی قاسم",IF($D546="هزینه","هزینه: "&amp;IF($E546="","متفرقه",$E546),IF($C546="پاس چک","چک پرداختی",IF(OR($B546="",COUNTIF(AcctCodesA,$B546)=0),"متفرقه",$B546))))))</f>
        <v/>
      </c>
      <c r="J546">
        <f>IF($H546="","",IF(ROUND($F546,2)&gt;0,IF($D546="شخصی قاسم","شخصی قاسم",IF($D546="هزینه","هزینه: "&amp;IF($E546="","متفرقه",$E546),IF(OR($B546="",COUNTIF(AcctCodesA,$B546)=0),"متفرقه",$B546))),$A546))</f>
        <v/>
      </c>
      <c r="K546">
        <f>IF($A546="","",IF(AND($B546&lt;&gt;"",COUNTIF(AcctCodesA,$B546)=0),"کد طرف در INFO تعریف نشده",IF(AND($D546="هزینه",$E546=""),"هزینه بدون زیرگروه",IF(AND($C546="پاس چک",OR(Sync!$AJ546="",COUNTIF(IssueNosA,Sync!$AJ546)=0)),"شماره چک پاس‌شده معتبر نیست",""))))</f>
        <v/>
      </c>
      <c r="V546">
        <f>IF($K546="","",IF(ISNUMBER(Sync!$AK546),Sync!$AK546,LEFT(Sync!$AK546,4)&amp;MID(Sync!$AK546,6,2)&amp;RIGHT(Sync!$AK546,2))&amp;"|"&amp;"4"&amp;RIGHT("00000"&amp;541,5))</f>
        <v/>
      </c>
      <c r="W546">
        <f>IF($V546="",0,COUNTIFS($V$6:$V$2005,"&lt;"&amp;$V546)-COUNTIFS($V$6:$V$2005,"&lt;"&amp;$V546,$K$6:$K$2005,"")+1)</f>
        <v/>
      </c>
      <c r="X546">
        <f>IF(Sync!$AX546="","",IF(OR(N(Sync!$AY546)=0,N(Sync!$AZ546)=0),"",ROUND(N(Sync!$AY546)*N(Sync!$AZ546),0)))</f>
        <v/>
      </c>
      <c r="Y546">
        <f>IF($X546="","",IF(OR(Sync!$AX546="",COUNTIF(AcctCodesA,Sync!$AX546)=0),"متفرقه",Sync!$AX546))</f>
        <v/>
      </c>
      <c r="Z546">
        <f>IF($X546="","","سبد و ظروف")</f>
        <v/>
      </c>
      <c r="AA546">
        <f>IF($X546="","",$Y546)</f>
        <v/>
      </c>
    </row>
    <row r="547">
      <c r="A547">
        <f>IF(Sync!$Z547="","",LEFT(UPPER(TRIM(Sync!$Z547)),6))</f>
        <v/>
      </c>
      <c r="B547">
        <f>IF($A547="","",IF(Sync!$AA547="","",Sync!$AA547))</f>
        <v/>
      </c>
      <c r="C547">
        <f>IF($A547="","",IF(Sync!$AB547="","",Sync!$AB547))</f>
        <v/>
      </c>
      <c r="D547">
        <f>IF($A547="","",IF(Sync!$AC547="","",Sync!$AC547))</f>
        <v/>
      </c>
      <c r="E547">
        <f>IF($A547="","",IF(Sync!$AD547="","",Sync!$AD547))</f>
        <v/>
      </c>
      <c r="F547">
        <f>IF($A547="","",IF(Sync!$AE547="",0,Sync!$AE547))</f>
        <v/>
      </c>
      <c r="G547">
        <f>IF($A547="","",IF(Sync!$AF547="",0,Sync!$AF547))</f>
        <v/>
      </c>
      <c r="H547">
        <f>IF(OR($A547="",ROUND($F547+$G547,2)=0),"",$F547+$G547)</f>
        <v/>
      </c>
      <c r="I547">
        <f>IF($H547="","",IF(ROUND($F547,2)&gt;0,$A547,IF($D547="شخصی قاسم","شخصی قاسم",IF($D547="هزینه","هزینه: "&amp;IF($E547="","متفرقه",$E547),IF($C547="پاس چک","چک پرداختی",IF(OR($B547="",COUNTIF(AcctCodesA,$B547)=0),"متفرقه",$B547))))))</f>
        <v/>
      </c>
      <c r="J547">
        <f>IF($H547="","",IF(ROUND($F547,2)&gt;0,IF($D547="شخصی قاسم","شخصی قاسم",IF($D547="هزینه","هزینه: "&amp;IF($E547="","متفرقه",$E547),IF(OR($B547="",COUNTIF(AcctCodesA,$B547)=0),"متفرقه",$B547))),$A547))</f>
        <v/>
      </c>
      <c r="K547">
        <f>IF($A547="","",IF(AND($B547&lt;&gt;"",COUNTIF(AcctCodesA,$B547)=0),"کد طرف در INFO تعریف نشده",IF(AND($D547="هزینه",$E547=""),"هزینه بدون زیرگروه",IF(AND($C547="پاس چک",OR(Sync!$AJ547="",COUNTIF(IssueNosA,Sync!$AJ547)=0)),"شماره چک پاس‌شده معتبر نیست",""))))</f>
        <v/>
      </c>
      <c r="V547">
        <f>IF($K547="","",IF(ISNUMBER(Sync!$AK547),Sync!$AK547,LEFT(Sync!$AK547,4)&amp;MID(Sync!$AK547,6,2)&amp;RIGHT(Sync!$AK547,2))&amp;"|"&amp;"4"&amp;RIGHT("00000"&amp;542,5))</f>
        <v/>
      </c>
      <c r="W547">
        <f>IF($V547="",0,COUNTIFS($V$6:$V$2005,"&lt;"&amp;$V547)-COUNTIFS($V$6:$V$2005,"&lt;"&amp;$V547,$K$6:$K$2005,"")+1)</f>
        <v/>
      </c>
      <c r="X547">
        <f>IF(Sync!$AX547="","",IF(OR(N(Sync!$AY547)=0,N(Sync!$AZ547)=0),"",ROUND(N(Sync!$AY547)*N(Sync!$AZ547),0)))</f>
        <v/>
      </c>
      <c r="Y547">
        <f>IF($X547="","",IF(OR(Sync!$AX547="",COUNTIF(AcctCodesA,Sync!$AX547)=0),"متفرقه",Sync!$AX547))</f>
        <v/>
      </c>
      <c r="Z547">
        <f>IF($X547="","","سبد و ظروف")</f>
        <v/>
      </c>
      <c r="AA547">
        <f>IF($X547="","",$Y547)</f>
        <v/>
      </c>
    </row>
    <row r="548">
      <c r="A548">
        <f>IF(Sync!$Z548="","",LEFT(UPPER(TRIM(Sync!$Z548)),6))</f>
        <v/>
      </c>
      <c r="B548">
        <f>IF($A548="","",IF(Sync!$AA548="","",Sync!$AA548))</f>
        <v/>
      </c>
      <c r="C548">
        <f>IF($A548="","",IF(Sync!$AB548="","",Sync!$AB548))</f>
        <v/>
      </c>
      <c r="D548">
        <f>IF($A548="","",IF(Sync!$AC548="","",Sync!$AC548))</f>
        <v/>
      </c>
      <c r="E548">
        <f>IF($A548="","",IF(Sync!$AD548="","",Sync!$AD548))</f>
        <v/>
      </c>
      <c r="F548">
        <f>IF($A548="","",IF(Sync!$AE548="",0,Sync!$AE548))</f>
        <v/>
      </c>
      <c r="G548">
        <f>IF($A548="","",IF(Sync!$AF548="",0,Sync!$AF548))</f>
        <v/>
      </c>
      <c r="H548">
        <f>IF(OR($A548="",ROUND($F548+$G548,2)=0),"",$F548+$G548)</f>
        <v/>
      </c>
      <c r="I548">
        <f>IF($H548="","",IF(ROUND($F548,2)&gt;0,$A548,IF($D548="شخصی قاسم","شخصی قاسم",IF($D548="هزینه","هزینه: "&amp;IF($E548="","متفرقه",$E548),IF($C548="پاس چک","چک پرداختی",IF(OR($B548="",COUNTIF(AcctCodesA,$B548)=0),"متفرقه",$B548))))))</f>
        <v/>
      </c>
      <c r="J548">
        <f>IF($H548="","",IF(ROUND($F548,2)&gt;0,IF($D548="شخصی قاسم","شخصی قاسم",IF($D548="هزینه","هزینه: "&amp;IF($E548="","متفرقه",$E548),IF(OR($B548="",COUNTIF(AcctCodesA,$B548)=0),"متفرقه",$B548))),$A548))</f>
        <v/>
      </c>
      <c r="K548">
        <f>IF($A548="","",IF(AND($B548&lt;&gt;"",COUNTIF(AcctCodesA,$B548)=0),"کد طرف در INFO تعریف نشده",IF(AND($D548="هزینه",$E548=""),"هزینه بدون زیرگروه",IF(AND($C548="پاس چک",OR(Sync!$AJ548="",COUNTIF(IssueNosA,Sync!$AJ548)=0)),"شماره چک پاس‌شده معتبر نیست",""))))</f>
        <v/>
      </c>
      <c r="V548">
        <f>IF($K548="","",IF(ISNUMBER(Sync!$AK548),Sync!$AK548,LEFT(Sync!$AK548,4)&amp;MID(Sync!$AK548,6,2)&amp;RIGHT(Sync!$AK548,2))&amp;"|"&amp;"4"&amp;RIGHT("00000"&amp;543,5))</f>
        <v/>
      </c>
      <c r="W548">
        <f>IF($V548="",0,COUNTIFS($V$6:$V$2005,"&lt;"&amp;$V548)-COUNTIFS($V$6:$V$2005,"&lt;"&amp;$V548,$K$6:$K$2005,"")+1)</f>
        <v/>
      </c>
      <c r="X548">
        <f>IF(Sync!$AX548="","",IF(OR(N(Sync!$AY548)=0,N(Sync!$AZ548)=0),"",ROUND(N(Sync!$AY548)*N(Sync!$AZ548),0)))</f>
        <v/>
      </c>
      <c r="Y548">
        <f>IF($X548="","",IF(OR(Sync!$AX548="",COUNTIF(AcctCodesA,Sync!$AX548)=0),"متفرقه",Sync!$AX548))</f>
        <v/>
      </c>
      <c r="Z548">
        <f>IF($X548="","","سبد و ظروف")</f>
        <v/>
      </c>
      <c r="AA548">
        <f>IF($X548="","",$Y548)</f>
        <v/>
      </c>
    </row>
    <row r="549">
      <c r="A549">
        <f>IF(Sync!$Z549="","",LEFT(UPPER(TRIM(Sync!$Z549)),6))</f>
        <v/>
      </c>
      <c r="B549">
        <f>IF($A549="","",IF(Sync!$AA549="","",Sync!$AA549))</f>
        <v/>
      </c>
      <c r="C549">
        <f>IF($A549="","",IF(Sync!$AB549="","",Sync!$AB549))</f>
        <v/>
      </c>
      <c r="D549">
        <f>IF($A549="","",IF(Sync!$AC549="","",Sync!$AC549))</f>
        <v/>
      </c>
      <c r="E549">
        <f>IF($A549="","",IF(Sync!$AD549="","",Sync!$AD549))</f>
        <v/>
      </c>
      <c r="F549">
        <f>IF($A549="","",IF(Sync!$AE549="",0,Sync!$AE549))</f>
        <v/>
      </c>
      <c r="G549">
        <f>IF($A549="","",IF(Sync!$AF549="",0,Sync!$AF549))</f>
        <v/>
      </c>
      <c r="H549">
        <f>IF(OR($A549="",ROUND($F549+$G549,2)=0),"",$F549+$G549)</f>
        <v/>
      </c>
      <c r="I549">
        <f>IF($H549="","",IF(ROUND($F549,2)&gt;0,$A549,IF($D549="شخصی قاسم","شخصی قاسم",IF($D549="هزینه","هزینه: "&amp;IF($E549="","متفرقه",$E549),IF($C549="پاس چک","چک پرداختی",IF(OR($B549="",COUNTIF(AcctCodesA,$B549)=0),"متفرقه",$B549))))))</f>
        <v/>
      </c>
      <c r="J549">
        <f>IF($H549="","",IF(ROUND($F549,2)&gt;0,IF($D549="شخصی قاسم","شخصی قاسم",IF($D549="هزینه","هزینه: "&amp;IF($E549="","متفرقه",$E549),IF(OR($B549="",COUNTIF(AcctCodesA,$B549)=0),"متفرقه",$B549))),$A549))</f>
        <v/>
      </c>
      <c r="K549">
        <f>IF($A549="","",IF(AND($B549&lt;&gt;"",COUNTIF(AcctCodesA,$B549)=0),"کد طرف در INFO تعریف نشده",IF(AND($D549="هزینه",$E549=""),"هزینه بدون زیرگروه",IF(AND($C549="پاس چک",OR(Sync!$AJ549="",COUNTIF(IssueNosA,Sync!$AJ549)=0)),"شماره چک پاس‌شده معتبر نیست",""))))</f>
        <v/>
      </c>
      <c r="V549">
        <f>IF($K549="","",IF(ISNUMBER(Sync!$AK549),Sync!$AK549,LEFT(Sync!$AK549,4)&amp;MID(Sync!$AK549,6,2)&amp;RIGHT(Sync!$AK549,2))&amp;"|"&amp;"4"&amp;RIGHT("00000"&amp;544,5))</f>
        <v/>
      </c>
      <c r="W549">
        <f>IF($V549="",0,COUNTIFS($V$6:$V$2005,"&lt;"&amp;$V549)-COUNTIFS($V$6:$V$2005,"&lt;"&amp;$V549,$K$6:$K$2005,"")+1)</f>
        <v/>
      </c>
      <c r="X549">
        <f>IF(Sync!$AX549="","",IF(OR(N(Sync!$AY549)=0,N(Sync!$AZ549)=0),"",ROUND(N(Sync!$AY549)*N(Sync!$AZ549),0)))</f>
        <v/>
      </c>
      <c r="Y549">
        <f>IF($X549="","",IF(OR(Sync!$AX549="",COUNTIF(AcctCodesA,Sync!$AX549)=0),"متفرقه",Sync!$AX549))</f>
        <v/>
      </c>
      <c r="Z549">
        <f>IF($X549="","","سبد و ظروف")</f>
        <v/>
      </c>
      <c r="AA549">
        <f>IF($X549="","",$Y549)</f>
        <v/>
      </c>
    </row>
    <row r="550">
      <c r="A550">
        <f>IF(Sync!$Z550="","",LEFT(UPPER(TRIM(Sync!$Z550)),6))</f>
        <v/>
      </c>
      <c r="B550">
        <f>IF($A550="","",IF(Sync!$AA550="","",Sync!$AA550))</f>
        <v/>
      </c>
      <c r="C550">
        <f>IF($A550="","",IF(Sync!$AB550="","",Sync!$AB550))</f>
        <v/>
      </c>
      <c r="D550">
        <f>IF($A550="","",IF(Sync!$AC550="","",Sync!$AC550))</f>
        <v/>
      </c>
      <c r="E550">
        <f>IF($A550="","",IF(Sync!$AD550="","",Sync!$AD550))</f>
        <v/>
      </c>
      <c r="F550">
        <f>IF($A550="","",IF(Sync!$AE550="",0,Sync!$AE550))</f>
        <v/>
      </c>
      <c r="G550">
        <f>IF($A550="","",IF(Sync!$AF550="",0,Sync!$AF550))</f>
        <v/>
      </c>
      <c r="H550">
        <f>IF(OR($A550="",ROUND($F550+$G550,2)=0),"",$F550+$G550)</f>
        <v/>
      </c>
      <c r="I550">
        <f>IF($H550="","",IF(ROUND($F550,2)&gt;0,$A550,IF($D550="شخصی قاسم","شخصی قاسم",IF($D550="هزینه","هزینه: "&amp;IF($E550="","متفرقه",$E550),IF($C550="پاس چک","چک پرداختی",IF(OR($B550="",COUNTIF(AcctCodesA,$B550)=0),"متفرقه",$B550))))))</f>
        <v/>
      </c>
      <c r="J550">
        <f>IF($H550="","",IF(ROUND($F550,2)&gt;0,IF($D550="شخصی قاسم","شخصی قاسم",IF($D550="هزینه","هزینه: "&amp;IF($E550="","متفرقه",$E550),IF(OR($B550="",COUNTIF(AcctCodesA,$B550)=0),"متفرقه",$B550))),$A550))</f>
        <v/>
      </c>
      <c r="K550">
        <f>IF($A550="","",IF(AND($B550&lt;&gt;"",COUNTIF(AcctCodesA,$B550)=0),"کد طرف در INFO تعریف نشده",IF(AND($D550="هزینه",$E550=""),"هزینه بدون زیرگروه",IF(AND($C550="پاس چک",OR(Sync!$AJ550="",COUNTIF(IssueNosA,Sync!$AJ550)=0)),"شماره چک پاس‌شده معتبر نیست",""))))</f>
        <v/>
      </c>
      <c r="V550">
        <f>IF($K550="","",IF(ISNUMBER(Sync!$AK550),Sync!$AK550,LEFT(Sync!$AK550,4)&amp;MID(Sync!$AK550,6,2)&amp;RIGHT(Sync!$AK550,2))&amp;"|"&amp;"4"&amp;RIGHT("00000"&amp;545,5))</f>
        <v/>
      </c>
      <c r="W550">
        <f>IF($V550="",0,COUNTIFS($V$6:$V$2005,"&lt;"&amp;$V550)-COUNTIFS($V$6:$V$2005,"&lt;"&amp;$V550,$K$6:$K$2005,"")+1)</f>
        <v/>
      </c>
      <c r="X550">
        <f>IF(Sync!$AX550="","",IF(OR(N(Sync!$AY550)=0,N(Sync!$AZ550)=0),"",ROUND(N(Sync!$AY550)*N(Sync!$AZ550),0)))</f>
        <v/>
      </c>
      <c r="Y550">
        <f>IF($X550="","",IF(OR(Sync!$AX550="",COUNTIF(AcctCodesA,Sync!$AX550)=0),"متفرقه",Sync!$AX550))</f>
        <v/>
      </c>
      <c r="Z550">
        <f>IF($X550="","","سبد و ظروف")</f>
        <v/>
      </c>
      <c r="AA550">
        <f>IF($X550="","",$Y550)</f>
        <v/>
      </c>
    </row>
    <row r="551">
      <c r="A551">
        <f>IF(Sync!$Z551="","",LEFT(UPPER(TRIM(Sync!$Z551)),6))</f>
        <v/>
      </c>
      <c r="B551">
        <f>IF($A551="","",IF(Sync!$AA551="","",Sync!$AA551))</f>
        <v/>
      </c>
      <c r="C551">
        <f>IF($A551="","",IF(Sync!$AB551="","",Sync!$AB551))</f>
        <v/>
      </c>
      <c r="D551">
        <f>IF($A551="","",IF(Sync!$AC551="","",Sync!$AC551))</f>
        <v/>
      </c>
      <c r="E551">
        <f>IF($A551="","",IF(Sync!$AD551="","",Sync!$AD551))</f>
        <v/>
      </c>
      <c r="F551">
        <f>IF($A551="","",IF(Sync!$AE551="",0,Sync!$AE551))</f>
        <v/>
      </c>
      <c r="G551">
        <f>IF($A551="","",IF(Sync!$AF551="",0,Sync!$AF551))</f>
        <v/>
      </c>
      <c r="H551">
        <f>IF(OR($A551="",ROUND($F551+$G551,2)=0),"",$F551+$G551)</f>
        <v/>
      </c>
      <c r="I551">
        <f>IF($H551="","",IF(ROUND($F551,2)&gt;0,$A551,IF($D551="شخصی قاسم","شخصی قاسم",IF($D551="هزینه","هزینه: "&amp;IF($E551="","متفرقه",$E551),IF($C551="پاس چک","چک پرداختی",IF(OR($B551="",COUNTIF(AcctCodesA,$B551)=0),"متفرقه",$B551))))))</f>
        <v/>
      </c>
      <c r="J551">
        <f>IF($H551="","",IF(ROUND($F551,2)&gt;0,IF($D551="شخصی قاسم","شخصی قاسم",IF($D551="هزینه","هزینه: "&amp;IF($E551="","متفرقه",$E551),IF(OR($B551="",COUNTIF(AcctCodesA,$B551)=0),"متفرقه",$B551))),$A551))</f>
        <v/>
      </c>
      <c r="K551">
        <f>IF($A551="","",IF(AND($B551&lt;&gt;"",COUNTIF(AcctCodesA,$B551)=0),"کد طرف در INFO تعریف نشده",IF(AND($D551="هزینه",$E551=""),"هزینه بدون زیرگروه",IF(AND($C551="پاس چک",OR(Sync!$AJ551="",COUNTIF(IssueNosA,Sync!$AJ551)=0)),"شماره چک پاس‌شده معتبر نیست",""))))</f>
        <v/>
      </c>
      <c r="V551">
        <f>IF($K551="","",IF(ISNUMBER(Sync!$AK551),Sync!$AK551,LEFT(Sync!$AK551,4)&amp;MID(Sync!$AK551,6,2)&amp;RIGHT(Sync!$AK551,2))&amp;"|"&amp;"4"&amp;RIGHT("00000"&amp;546,5))</f>
        <v/>
      </c>
      <c r="W551">
        <f>IF($V551="",0,COUNTIFS($V$6:$V$2005,"&lt;"&amp;$V551)-COUNTIFS($V$6:$V$2005,"&lt;"&amp;$V551,$K$6:$K$2005,"")+1)</f>
        <v/>
      </c>
      <c r="X551">
        <f>IF(Sync!$AX551="","",IF(OR(N(Sync!$AY551)=0,N(Sync!$AZ551)=0),"",ROUND(N(Sync!$AY551)*N(Sync!$AZ551),0)))</f>
        <v/>
      </c>
      <c r="Y551">
        <f>IF($X551="","",IF(OR(Sync!$AX551="",COUNTIF(AcctCodesA,Sync!$AX551)=0),"متفرقه",Sync!$AX551))</f>
        <v/>
      </c>
      <c r="Z551">
        <f>IF($X551="","","سبد و ظروف")</f>
        <v/>
      </c>
      <c r="AA551">
        <f>IF($X551="","",$Y551)</f>
        <v/>
      </c>
    </row>
    <row r="552">
      <c r="A552">
        <f>IF(Sync!$Z552="","",LEFT(UPPER(TRIM(Sync!$Z552)),6))</f>
        <v/>
      </c>
      <c r="B552">
        <f>IF($A552="","",IF(Sync!$AA552="","",Sync!$AA552))</f>
        <v/>
      </c>
      <c r="C552">
        <f>IF($A552="","",IF(Sync!$AB552="","",Sync!$AB552))</f>
        <v/>
      </c>
      <c r="D552">
        <f>IF($A552="","",IF(Sync!$AC552="","",Sync!$AC552))</f>
        <v/>
      </c>
      <c r="E552">
        <f>IF($A552="","",IF(Sync!$AD552="","",Sync!$AD552))</f>
        <v/>
      </c>
      <c r="F552">
        <f>IF($A552="","",IF(Sync!$AE552="",0,Sync!$AE552))</f>
        <v/>
      </c>
      <c r="G552">
        <f>IF($A552="","",IF(Sync!$AF552="",0,Sync!$AF552))</f>
        <v/>
      </c>
      <c r="H552">
        <f>IF(OR($A552="",ROUND($F552+$G552,2)=0),"",$F552+$G552)</f>
        <v/>
      </c>
      <c r="I552">
        <f>IF($H552="","",IF(ROUND($F552,2)&gt;0,$A552,IF($D552="شخصی قاسم","شخصی قاسم",IF($D552="هزینه","هزینه: "&amp;IF($E552="","متفرقه",$E552),IF($C552="پاس چک","چک پرداختی",IF(OR($B552="",COUNTIF(AcctCodesA,$B552)=0),"متفرقه",$B552))))))</f>
        <v/>
      </c>
      <c r="J552">
        <f>IF($H552="","",IF(ROUND($F552,2)&gt;0,IF($D552="شخصی قاسم","شخصی قاسم",IF($D552="هزینه","هزینه: "&amp;IF($E552="","متفرقه",$E552),IF(OR($B552="",COUNTIF(AcctCodesA,$B552)=0),"متفرقه",$B552))),$A552))</f>
        <v/>
      </c>
      <c r="K552">
        <f>IF($A552="","",IF(AND($B552&lt;&gt;"",COUNTIF(AcctCodesA,$B552)=0),"کد طرف در INFO تعریف نشده",IF(AND($D552="هزینه",$E552=""),"هزینه بدون زیرگروه",IF(AND($C552="پاس چک",OR(Sync!$AJ552="",COUNTIF(IssueNosA,Sync!$AJ552)=0)),"شماره چک پاس‌شده معتبر نیست",""))))</f>
        <v/>
      </c>
      <c r="V552">
        <f>IF($K552="","",IF(ISNUMBER(Sync!$AK552),Sync!$AK552,LEFT(Sync!$AK552,4)&amp;MID(Sync!$AK552,6,2)&amp;RIGHT(Sync!$AK552,2))&amp;"|"&amp;"4"&amp;RIGHT("00000"&amp;547,5))</f>
        <v/>
      </c>
      <c r="W552">
        <f>IF($V552="",0,COUNTIFS($V$6:$V$2005,"&lt;"&amp;$V552)-COUNTIFS($V$6:$V$2005,"&lt;"&amp;$V552,$K$6:$K$2005,"")+1)</f>
        <v/>
      </c>
      <c r="X552">
        <f>IF(Sync!$AX552="","",IF(OR(N(Sync!$AY552)=0,N(Sync!$AZ552)=0),"",ROUND(N(Sync!$AY552)*N(Sync!$AZ552),0)))</f>
        <v/>
      </c>
      <c r="Y552">
        <f>IF($X552="","",IF(OR(Sync!$AX552="",COUNTIF(AcctCodesA,Sync!$AX552)=0),"متفرقه",Sync!$AX552))</f>
        <v/>
      </c>
      <c r="Z552">
        <f>IF($X552="","","سبد و ظروف")</f>
        <v/>
      </c>
      <c r="AA552">
        <f>IF($X552="","",$Y552)</f>
        <v/>
      </c>
    </row>
    <row r="553">
      <c r="A553">
        <f>IF(Sync!$Z553="","",LEFT(UPPER(TRIM(Sync!$Z553)),6))</f>
        <v/>
      </c>
      <c r="B553">
        <f>IF($A553="","",IF(Sync!$AA553="","",Sync!$AA553))</f>
        <v/>
      </c>
      <c r="C553">
        <f>IF($A553="","",IF(Sync!$AB553="","",Sync!$AB553))</f>
        <v/>
      </c>
      <c r="D553">
        <f>IF($A553="","",IF(Sync!$AC553="","",Sync!$AC553))</f>
        <v/>
      </c>
      <c r="E553">
        <f>IF($A553="","",IF(Sync!$AD553="","",Sync!$AD553))</f>
        <v/>
      </c>
      <c r="F553">
        <f>IF($A553="","",IF(Sync!$AE553="",0,Sync!$AE553))</f>
        <v/>
      </c>
      <c r="G553">
        <f>IF($A553="","",IF(Sync!$AF553="",0,Sync!$AF553))</f>
        <v/>
      </c>
      <c r="H553">
        <f>IF(OR($A553="",ROUND($F553+$G553,2)=0),"",$F553+$G553)</f>
        <v/>
      </c>
      <c r="I553">
        <f>IF($H553="","",IF(ROUND($F553,2)&gt;0,$A553,IF($D553="شخصی قاسم","شخصی قاسم",IF($D553="هزینه","هزینه: "&amp;IF($E553="","متفرقه",$E553),IF($C553="پاس چک","چک پرداختی",IF(OR($B553="",COUNTIF(AcctCodesA,$B553)=0),"متفرقه",$B553))))))</f>
        <v/>
      </c>
      <c r="J553">
        <f>IF($H553="","",IF(ROUND($F553,2)&gt;0,IF($D553="شخصی قاسم","شخصی قاسم",IF($D553="هزینه","هزینه: "&amp;IF($E553="","متفرقه",$E553),IF(OR($B553="",COUNTIF(AcctCodesA,$B553)=0),"متفرقه",$B553))),$A553))</f>
        <v/>
      </c>
      <c r="K553">
        <f>IF($A553="","",IF(AND($B553&lt;&gt;"",COUNTIF(AcctCodesA,$B553)=0),"کد طرف در INFO تعریف نشده",IF(AND($D553="هزینه",$E553=""),"هزینه بدون زیرگروه",IF(AND($C553="پاس چک",OR(Sync!$AJ553="",COUNTIF(IssueNosA,Sync!$AJ553)=0)),"شماره چک پاس‌شده معتبر نیست",""))))</f>
        <v/>
      </c>
      <c r="V553">
        <f>IF($K553="","",IF(ISNUMBER(Sync!$AK553),Sync!$AK553,LEFT(Sync!$AK553,4)&amp;MID(Sync!$AK553,6,2)&amp;RIGHT(Sync!$AK553,2))&amp;"|"&amp;"4"&amp;RIGHT("00000"&amp;548,5))</f>
        <v/>
      </c>
      <c r="W553">
        <f>IF($V553="",0,COUNTIFS($V$6:$V$2005,"&lt;"&amp;$V553)-COUNTIFS($V$6:$V$2005,"&lt;"&amp;$V553,$K$6:$K$2005,"")+1)</f>
        <v/>
      </c>
      <c r="X553">
        <f>IF(Sync!$AX553="","",IF(OR(N(Sync!$AY553)=0,N(Sync!$AZ553)=0),"",ROUND(N(Sync!$AY553)*N(Sync!$AZ553),0)))</f>
        <v/>
      </c>
      <c r="Y553">
        <f>IF($X553="","",IF(OR(Sync!$AX553="",COUNTIF(AcctCodesA,Sync!$AX553)=0),"متفرقه",Sync!$AX553))</f>
        <v/>
      </c>
      <c r="Z553">
        <f>IF($X553="","","سبد و ظروف")</f>
        <v/>
      </c>
      <c r="AA553">
        <f>IF($X553="","",$Y553)</f>
        <v/>
      </c>
    </row>
    <row r="554">
      <c r="A554">
        <f>IF(Sync!$Z554="","",LEFT(UPPER(TRIM(Sync!$Z554)),6))</f>
        <v/>
      </c>
      <c r="B554">
        <f>IF($A554="","",IF(Sync!$AA554="","",Sync!$AA554))</f>
        <v/>
      </c>
      <c r="C554">
        <f>IF($A554="","",IF(Sync!$AB554="","",Sync!$AB554))</f>
        <v/>
      </c>
      <c r="D554">
        <f>IF($A554="","",IF(Sync!$AC554="","",Sync!$AC554))</f>
        <v/>
      </c>
      <c r="E554">
        <f>IF($A554="","",IF(Sync!$AD554="","",Sync!$AD554))</f>
        <v/>
      </c>
      <c r="F554">
        <f>IF($A554="","",IF(Sync!$AE554="",0,Sync!$AE554))</f>
        <v/>
      </c>
      <c r="G554">
        <f>IF($A554="","",IF(Sync!$AF554="",0,Sync!$AF554))</f>
        <v/>
      </c>
      <c r="H554">
        <f>IF(OR($A554="",ROUND($F554+$G554,2)=0),"",$F554+$G554)</f>
        <v/>
      </c>
      <c r="I554">
        <f>IF($H554="","",IF(ROUND($F554,2)&gt;0,$A554,IF($D554="شخصی قاسم","شخصی قاسم",IF($D554="هزینه","هزینه: "&amp;IF($E554="","متفرقه",$E554),IF($C554="پاس چک","چک پرداختی",IF(OR($B554="",COUNTIF(AcctCodesA,$B554)=0),"متفرقه",$B554))))))</f>
        <v/>
      </c>
      <c r="J554">
        <f>IF($H554="","",IF(ROUND($F554,2)&gt;0,IF($D554="شخصی قاسم","شخصی قاسم",IF($D554="هزینه","هزینه: "&amp;IF($E554="","متفرقه",$E554),IF(OR($B554="",COUNTIF(AcctCodesA,$B554)=0),"متفرقه",$B554))),$A554))</f>
        <v/>
      </c>
      <c r="K554">
        <f>IF($A554="","",IF(AND($B554&lt;&gt;"",COUNTIF(AcctCodesA,$B554)=0),"کد طرف در INFO تعریف نشده",IF(AND($D554="هزینه",$E554=""),"هزینه بدون زیرگروه",IF(AND($C554="پاس چک",OR(Sync!$AJ554="",COUNTIF(IssueNosA,Sync!$AJ554)=0)),"شماره چک پاس‌شده معتبر نیست",""))))</f>
        <v/>
      </c>
      <c r="V554">
        <f>IF($K554="","",IF(ISNUMBER(Sync!$AK554),Sync!$AK554,LEFT(Sync!$AK554,4)&amp;MID(Sync!$AK554,6,2)&amp;RIGHT(Sync!$AK554,2))&amp;"|"&amp;"4"&amp;RIGHT("00000"&amp;549,5))</f>
        <v/>
      </c>
      <c r="W554">
        <f>IF($V554="",0,COUNTIFS($V$6:$V$2005,"&lt;"&amp;$V554)-COUNTIFS($V$6:$V$2005,"&lt;"&amp;$V554,$K$6:$K$2005,"")+1)</f>
        <v/>
      </c>
      <c r="X554">
        <f>IF(Sync!$AX554="","",IF(OR(N(Sync!$AY554)=0,N(Sync!$AZ554)=0),"",ROUND(N(Sync!$AY554)*N(Sync!$AZ554),0)))</f>
        <v/>
      </c>
      <c r="Y554">
        <f>IF($X554="","",IF(OR(Sync!$AX554="",COUNTIF(AcctCodesA,Sync!$AX554)=0),"متفرقه",Sync!$AX554))</f>
        <v/>
      </c>
      <c r="Z554">
        <f>IF($X554="","","سبد و ظروف")</f>
        <v/>
      </c>
      <c r="AA554">
        <f>IF($X554="","",$Y554)</f>
        <v/>
      </c>
    </row>
    <row r="555">
      <c r="A555">
        <f>IF(Sync!$Z555="","",LEFT(UPPER(TRIM(Sync!$Z555)),6))</f>
        <v/>
      </c>
      <c r="B555">
        <f>IF($A555="","",IF(Sync!$AA555="","",Sync!$AA555))</f>
        <v/>
      </c>
      <c r="C555">
        <f>IF($A555="","",IF(Sync!$AB555="","",Sync!$AB555))</f>
        <v/>
      </c>
      <c r="D555">
        <f>IF($A555="","",IF(Sync!$AC555="","",Sync!$AC555))</f>
        <v/>
      </c>
      <c r="E555">
        <f>IF($A555="","",IF(Sync!$AD555="","",Sync!$AD555))</f>
        <v/>
      </c>
      <c r="F555">
        <f>IF($A555="","",IF(Sync!$AE555="",0,Sync!$AE555))</f>
        <v/>
      </c>
      <c r="G555">
        <f>IF($A555="","",IF(Sync!$AF555="",0,Sync!$AF555))</f>
        <v/>
      </c>
      <c r="H555">
        <f>IF(OR($A555="",ROUND($F555+$G555,2)=0),"",$F555+$G555)</f>
        <v/>
      </c>
      <c r="I555">
        <f>IF($H555="","",IF(ROUND($F555,2)&gt;0,$A555,IF($D555="شخصی قاسم","شخصی قاسم",IF($D555="هزینه","هزینه: "&amp;IF($E555="","متفرقه",$E555),IF($C555="پاس چک","چک پرداختی",IF(OR($B555="",COUNTIF(AcctCodesA,$B555)=0),"متفرقه",$B555))))))</f>
        <v/>
      </c>
      <c r="J555">
        <f>IF($H555="","",IF(ROUND($F555,2)&gt;0,IF($D555="شخصی قاسم","شخصی قاسم",IF($D555="هزینه","هزینه: "&amp;IF($E555="","متفرقه",$E555),IF(OR($B555="",COUNTIF(AcctCodesA,$B555)=0),"متفرقه",$B555))),$A555))</f>
        <v/>
      </c>
      <c r="K555">
        <f>IF($A555="","",IF(AND($B555&lt;&gt;"",COUNTIF(AcctCodesA,$B555)=0),"کد طرف در INFO تعریف نشده",IF(AND($D555="هزینه",$E555=""),"هزینه بدون زیرگروه",IF(AND($C555="پاس چک",OR(Sync!$AJ555="",COUNTIF(IssueNosA,Sync!$AJ555)=0)),"شماره چک پاس‌شده معتبر نیست",""))))</f>
        <v/>
      </c>
      <c r="V555">
        <f>IF($K555="","",IF(ISNUMBER(Sync!$AK555),Sync!$AK555,LEFT(Sync!$AK555,4)&amp;MID(Sync!$AK555,6,2)&amp;RIGHT(Sync!$AK555,2))&amp;"|"&amp;"4"&amp;RIGHT("00000"&amp;550,5))</f>
        <v/>
      </c>
      <c r="W555">
        <f>IF($V555="",0,COUNTIFS($V$6:$V$2005,"&lt;"&amp;$V555)-COUNTIFS($V$6:$V$2005,"&lt;"&amp;$V555,$K$6:$K$2005,"")+1)</f>
        <v/>
      </c>
      <c r="X555">
        <f>IF(Sync!$AX555="","",IF(OR(N(Sync!$AY555)=0,N(Sync!$AZ555)=0),"",ROUND(N(Sync!$AY555)*N(Sync!$AZ555),0)))</f>
        <v/>
      </c>
      <c r="Y555">
        <f>IF($X555="","",IF(OR(Sync!$AX555="",COUNTIF(AcctCodesA,Sync!$AX555)=0),"متفرقه",Sync!$AX555))</f>
        <v/>
      </c>
      <c r="Z555">
        <f>IF($X555="","","سبد و ظروف")</f>
        <v/>
      </c>
      <c r="AA555">
        <f>IF($X555="","",$Y555)</f>
        <v/>
      </c>
    </row>
    <row r="556">
      <c r="A556">
        <f>IF(Sync!$Z556="","",LEFT(UPPER(TRIM(Sync!$Z556)),6))</f>
        <v/>
      </c>
      <c r="B556">
        <f>IF($A556="","",IF(Sync!$AA556="","",Sync!$AA556))</f>
        <v/>
      </c>
      <c r="C556">
        <f>IF($A556="","",IF(Sync!$AB556="","",Sync!$AB556))</f>
        <v/>
      </c>
      <c r="D556">
        <f>IF($A556="","",IF(Sync!$AC556="","",Sync!$AC556))</f>
        <v/>
      </c>
      <c r="E556">
        <f>IF($A556="","",IF(Sync!$AD556="","",Sync!$AD556))</f>
        <v/>
      </c>
      <c r="F556">
        <f>IF($A556="","",IF(Sync!$AE556="",0,Sync!$AE556))</f>
        <v/>
      </c>
      <c r="G556">
        <f>IF($A556="","",IF(Sync!$AF556="",0,Sync!$AF556))</f>
        <v/>
      </c>
      <c r="H556">
        <f>IF(OR($A556="",ROUND($F556+$G556,2)=0),"",$F556+$G556)</f>
        <v/>
      </c>
      <c r="I556">
        <f>IF($H556="","",IF(ROUND($F556,2)&gt;0,$A556,IF($D556="شخصی قاسم","شخصی قاسم",IF($D556="هزینه","هزینه: "&amp;IF($E556="","متفرقه",$E556),IF($C556="پاس چک","چک پرداختی",IF(OR($B556="",COUNTIF(AcctCodesA,$B556)=0),"متفرقه",$B556))))))</f>
        <v/>
      </c>
      <c r="J556">
        <f>IF($H556="","",IF(ROUND($F556,2)&gt;0,IF($D556="شخصی قاسم","شخصی قاسم",IF($D556="هزینه","هزینه: "&amp;IF($E556="","متفرقه",$E556),IF(OR($B556="",COUNTIF(AcctCodesA,$B556)=0),"متفرقه",$B556))),$A556))</f>
        <v/>
      </c>
      <c r="K556">
        <f>IF($A556="","",IF(AND($B556&lt;&gt;"",COUNTIF(AcctCodesA,$B556)=0),"کد طرف در INFO تعریف نشده",IF(AND($D556="هزینه",$E556=""),"هزینه بدون زیرگروه",IF(AND($C556="پاس چک",OR(Sync!$AJ556="",COUNTIF(IssueNosA,Sync!$AJ556)=0)),"شماره چک پاس‌شده معتبر نیست",""))))</f>
        <v/>
      </c>
      <c r="V556">
        <f>IF($K556="","",IF(ISNUMBER(Sync!$AK556),Sync!$AK556,LEFT(Sync!$AK556,4)&amp;MID(Sync!$AK556,6,2)&amp;RIGHT(Sync!$AK556,2))&amp;"|"&amp;"4"&amp;RIGHT("00000"&amp;551,5))</f>
        <v/>
      </c>
      <c r="W556">
        <f>IF($V556="",0,COUNTIFS($V$6:$V$2005,"&lt;"&amp;$V556)-COUNTIFS($V$6:$V$2005,"&lt;"&amp;$V556,$K$6:$K$2005,"")+1)</f>
        <v/>
      </c>
      <c r="X556">
        <f>IF(Sync!$AX556="","",IF(OR(N(Sync!$AY556)=0,N(Sync!$AZ556)=0),"",ROUND(N(Sync!$AY556)*N(Sync!$AZ556),0)))</f>
        <v/>
      </c>
      <c r="Y556">
        <f>IF($X556="","",IF(OR(Sync!$AX556="",COUNTIF(AcctCodesA,Sync!$AX556)=0),"متفرقه",Sync!$AX556))</f>
        <v/>
      </c>
      <c r="Z556">
        <f>IF($X556="","","سبد و ظروف")</f>
        <v/>
      </c>
      <c r="AA556">
        <f>IF($X556="","",$Y556)</f>
        <v/>
      </c>
    </row>
    <row r="557">
      <c r="A557">
        <f>IF(Sync!$Z557="","",LEFT(UPPER(TRIM(Sync!$Z557)),6))</f>
        <v/>
      </c>
      <c r="B557">
        <f>IF($A557="","",IF(Sync!$AA557="","",Sync!$AA557))</f>
        <v/>
      </c>
      <c r="C557">
        <f>IF($A557="","",IF(Sync!$AB557="","",Sync!$AB557))</f>
        <v/>
      </c>
      <c r="D557">
        <f>IF($A557="","",IF(Sync!$AC557="","",Sync!$AC557))</f>
        <v/>
      </c>
      <c r="E557">
        <f>IF($A557="","",IF(Sync!$AD557="","",Sync!$AD557))</f>
        <v/>
      </c>
      <c r="F557">
        <f>IF($A557="","",IF(Sync!$AE557="",0,Sync!$AE557))</f>
        <v/>
      </c>
      <c r="G557">
        <f>IF($A557="","",IF(Sync!$AF557="",0,Sync!$AF557))</f>
        <v/>
      </c>
      <c r="H557">
        <f>IF(OR($A557="",ROUND($F557+$G557,2)=0),"",$F557+$G557)</f>
        <v/>
      </c>
      <c r="I557">
        <f>IF($H557="","",IF(ROUND($F557,2)&gt;0,$A557,IF($D557="شخصی قاسم","شخصی قاسم",IF($D557="هزینه","هزینه: "&amp;IF($E557="","متفرقه",$E557),IF($C557="پاس چک","چک پرداختی",IF(OR($B557="",COUNTIF(AcctCodesA,$B557)=0),"متفرقه",$B557))))))</f>
        <v/>
      </c>
      <c r="J557">
        <f>IF($H557="","",IF(ROUND($F557,2)&gt;0,IF($D557="شخصی قاسم","شخصی قاسم",IF($D557="هزینه","هزینه: "&amp;IF($E557="","متفرقه",$E557),IF(OR($B557="",COUNTIF(AcctCodesA,$B557)=0),"متفرقه",$B557))),$A557))</f>
        <v/>
      </c>
      <c r="K557">
        <f>IF($A557="","",IF(AND($B557&lt;&gt;"",COUNTIF(AcctCodesA,$B557)=0),"کد طرف در INFO تعریف نشده",IF(AND($D557="هزینه",$E557=""),"هزینه بدون زیرگروه",IF(AND($C557="پاس چک",OR(Sync!$AJ557="",COUNTIF(IssueNosA,Sync!$AJ557)=0)),"شماره چک پاس‌شده معتبر نیست",""))))</f>
        <v/>
      </c>
      <c r="V557">
        <f>IF($K557="","",IF(ISNUMBER(Sync!$AK557),Sync!$AK557,LEFT(Sync!$AK557,4)&amp;MID(Sync!$AK557,6,2)&amp;RIGHT(Sync!$AK557,2))&amp;"|"&amp;"4"&amp;RIGHT("00000"&amp;552,5))</f>
        <v/>
      </c>
      <c r="W557">
        <f>IF($V557="",0,COUNTIFS($V$6:$V$2005,"&lt;"&amp;$V557)-COUNTIFS($V$6:$V$2005,"&lt;"&amp;$V557,$K$6:$K$2005,"")+1)</f>
        <v/>
      </c>
      <c r="X557">
        <f>IF(Sync!$AX557="","",IF(OR(N(Sync!$AY557)=0,N(Sync!$AZ557)=0),"",ROUND(N(Sync!$AY557)*N(Sync!$AZ557),0)))</f>
        <v/>
      </c>
      <c r="Y557">
        <f>IF($X557="","",IF(OR(Sync!$AX557="",COUNTIF(AcctCodesA,Sync!$AX557)=0),"متفرقه",Sync!$AX557))</f>
        <v/>
      </c>
      <c r="Z557">
        <f>IF($X557="","","سبد و ظروف")</f>
        <v/>
      </c>
      <c r="AA557">
        <f>IF($X557="","",$Y557)</f>
        <v/>
      </c>
    </row>
    <row r="558">
      <c r="A558">
        <f>IF(Sync!$Z558="","",LEFT(UPPER(TRIM(Sync!$Z558)),6))</f>
        <v/>
      </c>
      <c r="B558">
        <f>IF($A558="","",IF(Sync!$AA558="","",Sync!$AA558))</f>
        <v/>
      </c>
      <c r="C558">
        <f>IF($A558="","",IF(Sync!$AB558="","",Sync!$AB558))</f>
        <v/>
      </c>
      <c r="D558">
        <f>IF($A558="","",IF(Sync!$AC558="","",Sync!$AC558))</f>
        <v/>
      </c>
      <c r="E558">
        <f>IF($A558="","",IF(Sync!$AD558="","",Sync!$AD558))</f>
        <v/>
      </c>
      <c r="F558">
        <f>IF($A558="","",IF(Sync!$AE558="",0,Sync!$AE558))</f>
        <v/>
      </c>
      <c r="G558">
        <f>IF($A558="","",IF(Sync!$AF558="",0,Sync!$AF558))</f>
        <v/>
      </c>
      <c r="H558">
        <f>IF(OR($A558="",ROUND($F558+$G558,2)=0),"",$F558+$G558)</f>
        <v/>
      </c>
      <c r="I558">
        <f>IF($H558="","",IF(ROUND($F558,2)&gt;0,$A558,IF($D558="شخصی قاسم","شخصی قاسم",IF($D558="هزینه","هزینه: "&amp;IF($E558="","متفرقه",$E558),IF($C558="پاس چک","چک پرداختی",IF(OR($B558="",COUNTIF(AcctCodesA,$B558)=0),"متفرقه",$B558))))))</f>
        <v/>
      </c>
      <c r="J558">
        <f>IF($H558="","",IF(ROUND($F558,2)&gt;0,IF($D558="شخصی قاسم","شخصی قاسم",IF($D558="هزینه","هزینه: "&amp;IF($E558="","متفرقه",$E558),IF(OR($B558="",COUNTIF(AcctCodesA,$B558)=0),"متفرقه",$B558))),$A558))</f>
        <v/>
      </c>
      <c r="K558">
        <f>IF($A558="","",IF(AND($B558&lt;&gt;"",COUNTIF(AcctCodesA,$B558)=0),"کد طرف در INFO تعریف نشده",IF(AND($D558="هزینه",$E558=""),"هزینه بدون زیرگروه",IF(AND($C558="پاس چک",OR(Sync!$AJ558="",COUNTIF(IssueNosA,Sync!$AJ558)=0)),"شماره چک پاس‌شده معتبر نیست",""))))</f>
        <v/>
      </c>
      <c r="V558">
        <f>IF($K558="","",IF(ISNUMBER(Sync!$AK558),Sync!$AK558,LEFT(Sync!$AK558,4)&amp;MID(Sync!$AK558,6,2)&amp;RIGHT(Sync!$AK558,2))&amp;"|"&amp;"4"&amp;RIGHT("00000"&amp;553,5))</f>
        <v/>
      </c>
      <c r="W558">
        <f>IF($V558="",0,COUNTIFS($V$6:$V$2005,"&lt;"&amp;$V558)-COUNTIFS($V$6:$V$2005,"&lt;"&amp;$V558,$K$6:$K$2005,"")+1)</f>
        <v/>
      </c>
      <c r="X558">
        <f>IF(Sync!$AX558="","",IF(OR(N(Sync!$AY558)=0,N(Sync!$AZ558)=0),"",ROUND(N(Sync!$AY558)*N(Sync!$AZ558),0)))</f>
        <v/>
      </c>
      <c r="Y558">
        <f>IF($X558="","",IF(OR(Sync!$AX558="",COUNTIF(AcctCodesA,Sync!$AX558)=0),"متفرقه",Sync!$AX558))</f>
        <v/>
      </c>
      <c r="Z558">
        <f>IF($X558="","","سبد و ظروف")</f>
        <v/>
      </c>
      <c r="AA558">
        <f>IF($X558="","",$Y558)</f>
        <v/>
      </c>
    </row>
    <row r="559">
      <c r="A559">
        <f>IF(Sync!$Z559="","",LEFT(UPPER(TRIM(Sync!$Z559)),6))</f>
        <v/>
      </c>
      <c r="B559">
        <f>IF($A559="","",IF(Sync!$AA559="","",Sync!$AA559))</f>
        <v/>
      </c>
      <c r="C559">
        <f>IF($A559="","",IF(Sync!$AB559="","",Sync!$AB559))</f>
        <v/>
      </c>
      <c r="D559">
        <f>IF($A559="","",IF(Sync!$AC559="","",Sync!$AC559))</f>
        <v/>
      </c>
      <c r="E559">
        <f>IF($A559="","",IF(Sync!$AD559="","",Sync!$AD559))</f>
        <v/>
      </c>
      <c r="F559">
        <f>IF($A559="","",IF(Sync!$AE559="",0,Sync!$AE559))</f>
        <v/>
      </c>
      <c r="G559">
        <f>IF($A559="","",IF(Sync!$AF559="",0,Sync!$AF559))</f>
        <v/>
      </c>
      <c r="H559">
        <f>IF(OR($A559="",ROUND($F559+$G559,2)=0),"",$F559+$G559)</f>
        <v/>
      </c>
      <c r="I559">
        <f>IF($H559="","",IF(ROUND($F559,2)&gt;0,$A559,IF($D559="شخصی قاسم","شخصی قاسم",IF($D559="هزینه","هزینه: "&amp;IF($E559="","متفرقه",$E559),IF($C559="پاس چک","چک پرداختی",IF(OR($B559="",COUNTIF(AcctCodesA,$B559)=0),"متفرقه",$B559))))))</f>
        <v/>
      </c>
      <c r="J559">
        <f>IF($H559="","",IF(ROUND($F559,2)&gt;0,IF($D559="شخصی قاسم","شخصی قاسم",IF($D559="هزینه","هزینه: "&amp;IF($E559="","متفرقه",$E559),IF(OR($B559="",COUNTIF(AcctCodesA,$B559)=0),"متفرقه",$B559))),$A559))</f>
        <v/>
      </c>
      <c r="K559">
        <f>IF($A559="","",IF(AND($B559&lt;&gt;"",COUNTIF(AcctCodesA,$B559)=0),"کد طرف در INFO تعریف نشده",IF(AND($D559="هزینه",$E559=""),"هزینه بدون زیرگروه",IF(AND($C559="پاس چک",OR(Sync!$AJ559="",COUNTIF(IssueNosA,Sync!$AJ559)=0)),"شماره چک پاس‌شده معتبر نیست",""))))</f>
        <v/>
      </c>
      <c r="V559">
        <f>IF($K559="","",IF(ISNUMBER(Sync!$AK559),Sync!$AK559,LEFT(Sync!$AK559,4)&amp;MID(Sync!$AK559,6,2)&amp;RIGHT(Sync!$AK559,2))&amp;"|"&amp;"4"&amp;RIGHT("00000"&amp;554,5))</f>
        <v/>
      </c>
      <c r="W559">
        <f>IF($V559="",0,COUNTIFS($V$6:$V$2005,"&lt;"&amp;$V559)-COUNTIFS($V$6:$V$2005,"&lt;"&amp;$V559,$K$6:$K$2005,"")+1)</f>
        <v/>
      </c>
      <c r="X559">
        <f>IF(Sync!$AX559="","",IF(OR(N(Sync!$AY559)=0,N(Sync!$AZ559)=0),"",ROUND(N(Sync!$AY559)*N(Sync!$AZ559),0)))</f>
        <v/>
      </c>
      <c r="Y559">
        <f>IF($X559="","",IF(OR(Sync!$AX559="",COUNTIF(AcctCodesA,Sync!$AX559)=0),"متفرقه",Sync!$AX559))</f>
        <v/>
      </c>
      <c r="Z559">
        <f>IF($X559="","","سبد و ظروف")</f>
        <v/>
      </c>
      <c r="AA559">
        <f>IF($X559="","",$Y559)</f>
        <v/>
      </c>
    </row>
    <row r="560">
      <c r="A560">
        <f>IF(Sync!$Z560="","",LEFT(UPPER(TRIM(Sync!$Z560)),6))</f>
        <v/>
      </c>
      <c r="B560">
        <f>IF($A560="","",IF(Sync!$AA560="","",Sync!$AA560))</f>
        <v/>
      </c>
      <c r="C560">
        <f>IF($A560="","",IF(Sync!$AB560="","",Sync!$AB560))</f>
        <v/>
      </c>
      <c r="D560">
        <f>IF($A560="","",IF(Sync!$AC560="","",Sync!$AC560))</f>
        <v/>
      </c>
      <c r="E560">
        <f>IF($A560="","",IF(Sync!$AD560="","",Sync!$AD560))</f>
        <v/>
      </c>
      <c r="F560">
        <f>IF($A560="","",IF(Sync!$AE560="",0,Sync!$AE560))</f>
        <v/>
      </c>
      <c r="G560">
        <f>IF($A560="","",IF(Sync!$AF560="",0,Sync!$AF560))</f>
        <v/>
      </c>
      <c r="H560">
        <f>IF(OR($A560="",ROUND($F560+$G560,2)=0),"",$F560+$G560)</f>
        <v/>
      </c>
      <c r="I560">
        <f>IF($H560="","",IF(ROUND($F560,2)&gt;0,$A560,IF($D560="شخصی قاسم","شخصی قاسم",IF($D560="هزینه","هزینه: "&amp;IF($E560="","متفرقه",$E560),IF($C560="پاس چک","چک پرداختی",IF(OR($B560="",COUNTIF(AcctCodesA,$B560)=0),"متفرقه",$B560))))))</f>
        <v/>
      </c>
      <c r="J560">
        <f>IF($H560="","",IF(ROUND($F560,2)&gt;0,IF($D560="شخصی قاسم","شخصی قاسم",IF($D560="هزینه","هزینه: "&amp;IF($E560="","متفرقه",$E560),IF(OR($B560="",COUNTIF(AcctCodesA,$B560)=0),"متفرقه",$B560))),$A560))</f>
        <v/>
      </c>
      <c r="K560">
        <f>IF($A560="","",IF(AND($B560&lt;&gt;"",COUNTIF(AcctCodesA,$B560)=0),"کد طرف در INFO تعریف نشده",IF(AND($D560="هزینه",$E560=""),"هزینه بدون زیرگروه",IF(AND($C560="پاس چک",OR(Sync!$AJ560="",COUNTIF(IssueNosA,Sync!$AJ560)=0)),"شماره چک پاس‌شده معتبر نیست",""))))</f>
        <v/>
      </c>
      <c r="V560">
        <f>IF($K560="","",IF(ISNUMBER(Sync!$AK560),Sync!$AK560,LEFT(Sync!$AK560,4)&amp;MID(Sync!$AK560,6,2)&amp;RIGHT(Sync!$AK560,2))&amp;"|"&amp;"4"&amp;RIGHT("00000"&amp;555,5))</f>
        <v/>
      </c>
      <c r="W560">
        <f>IF($V560="",0,COUNTIFS($V$6:$V$2005,"&lt;"&amp;$V560)-COUNTIFS($V$6:$V$2005,"&lt;"&amp;$V560,$K$6:$K$2005,"")+1)</f>
        <v/>
      </c>
      <c r="X560">
        <f>IF(Sync!$AX560="","",IF(OR(N(Sync!$AY560)=0,N(Sync!$AZ560)=0),"",ROUND(N(Sync!$AY560)*N(Sync!$AZ560),0)))</f>
        <v/>
      </c>
      <c r="Y560">
        <f>IF($X560="","",IF(OR(Sync!$AX560="",COUNTIF(AcctCodesA,Sync!$AX560)=0),"متفرقه",Sync!$AX560))</f>
        <v/>
      </c>
      <c r="Z560">
        <f>IF($X560="","","سبد و ظروف")</f>
        <v/>
      </c>
      <c r="AA560">
        <f>IF($X560="","",$Y560)</f>
        <v/>
      </c>
    </row>
    <row r="561">
      <c r="A561">
        <f>IF(Sync!$Z561="","",LEFT(UPPER(TRIM(Sync!$Z561)),6))</f>
        <v/>
      </c>
      <c r="B561">
        <f>IF($A561="","",IF(Sync!$AA561="","",Sync!$AA561))</f>
        <v/>
      </c>
      <c r="C561">
        <f>IF($A561="","",IF(Sync!$AB561="","",Sync!$AB561))</f>
        <v/>
      </c>
      <c r="D561">
        <f>IF($A561="","",IF(Sync!$AC561="","",Sync!$AC561))</f>
        <v/>
      </c>
      <c r="E561">
        <f>IF($A561="","",IF(Sync!$AD561="","",Sync!$AD561))</f>
        <v/>
      </c>
      <c r="F561">
        <f>IF($A561="","",IF(Sync!$AE561="",0,Sync!$AE561))</f>
        <v/>
      </c>
      <c r="G561">
        <f>IF($A561="","",IF(Sync!$AF561="",0,Sync!$AF561))</f>
        <v/>
      </c>
      <c r="H561">
        <f>IF(OR($A561="",ROUND($F561+$G561,2)=0),"",$F561+$G561)</f>
        <v/>
      </c>
      <c r="I561">
        <f>IF($H561="","",IF(ROUND($F561,2)&gt;0,$A561,IF($D561="شخصی قاسم","شخصی قاسم",IF($D561="هزینه","هزینه: "&amp;IF($E561="","متفرقه",$E561),IF($C561="پاس چک","چک پرداختی",IF(OR($B561="",COUNTIF(AcctCodesA,$B561)=0),"متفرقه",$B561))))))</f>
        <v/>
      </c>
      <c r="J561">
        <f>IF($H561="","",IF(ROUND($F561,2)&gt;0,IF($D561="شخصی قاسم","شخصی قاسم",IF($D561="هزینه","هزینه: "&amp;IF($E561="","متفرقه",$E561),IF(OR($B561="",COUNTIF(AcctCodesA,$B561)=0),"متفرقه",$B561))),$A561))</f>
        <v/>
      </c>
      <c r="K561">
        <f>IF($A561="","",IF(AND($B561&lt;&gt;"",COUNTIF(AcctCodesA,$B561)=0),"کد طرف در INFO تعریف نشده",IF(AND($D561="هزینه",$E561=""),"هزینه بدون زیرگروه",IF(AND($C561="پاس چک",OR(Sync!$AJ561="",COUNTIF(IssueNosA,Sync!$AJ561)=0)),"شماره چک پاس‌شده معتبر نیست",""))))</f>
        <v/>
      </c>
      <c r="V561">
        <f>IF($K561="","",IF(ISNUMBER(Sync!$AK561),Sync!$AK561,LEFT(Sync!$AK561,4)&amp;MID(Sync!$AK561,6,2)&amp;RIGHT(Sync!$AK561,2))&amp;"|"&amp;"4"&amp;RIGHT("00000"&amp;556,5))</f>
        <v/>
      </c>
      <c r="W561">
        <f>IF($V561="",0,COUNTIFS($V$6:$V$2005,"&lt;"&amp;$V561)-COUNTIFS($V$6:$V$2005,"&lt;"&amp;$V561,$K$6:$K$2005,"")+1)</f>
        <v/>
      </c>
      <c r="X561">
        <f>IF(Sync!$AX561="","",IF(OR(N(Sync!$AY561)=0,N(Sync!$AZ561)=0),"",ROUND(N(Sync!$AY561)*N(Sync!$AZ561),0)))</f>
        <v/>
      </c>
      <c r="Y561">
        <f>IF($X561="","",IF(OR(Sync!$AX561="",COUNTIF(AcctCodesA,Sync!$AX561)=0),"متفرقه",Sync!$AX561))</f>
        <v/>
      </c>
      <c r="Z561">
        <f>IF($X561="","","سبد و ظروف")</f>
        <v/>
      </c>
      <c r="AA561">
        <f>IF($X561="","",$Y561)</f>
        <v/>
      </c>
    </row>
    <row r="562">
      <c r="A562">
        <f>IF(Sync!$Z562="","",LEFT(UPPER(TRIM(Sync!$Z562)),6))</f>
        <v/>
      </c>
      <c r="B562">
        <f>IF($A562="","",IF(Sync!$AA562="","",Sync!$AA562))</f>
        <v/>
      </c>
      <c r="C562">
        <f>IF($A562="","",IF(Sync!$AB562="","",Sync!$AB562))</f>
        <v/>
      </c>
      <c r="D562">
        <f>IF($A562="","",IF(Sync!$AC562="","",Sync!$AC562))</f>
        <v/>
      </c>
      <c r="E562">
        <f>IF($A562="","",IF(Sync!$AD562="","",Sync!$AD562))</f>
        <v/>
      </c>
      <c r="F562">
        <f>IF($A562="","",IF(Sync!$AE562="",0,Sync!$AE562))</f>
        <v/>
      </c>
      <c r="G562">
        <f>IF($A562="","",IF(Sync!$AF562="",0,Sync!$AF562))</f>
        <v/>
      </c>
      <c r="H562">
        <f>IF(OR($A562="",ROUND($F562+$G562,2)=0),"",$F562+$G562)</f>
        <v/>
      </c>
      <c r="I562">
        <f>IF($H562="","",IF(ROUND($F562,2)&gt;0,$A562,IF($D562="شخصی قاسم","شخصی قاسم",IF($D562="هزینه","هزینه: "&amp;IF($E562="","متفرقه",$E562),IF($C562="پاس چک","چک پرداختی",IF(OR($B562="",COUNTIF(AcctCodesA,$B562)=0),"متفرقه",$B562))))))</f>
        <v/>
      </c>
      <c r="J562">
        <f>IF($H562="","",IF(ROUND($F562,2)&gt;0,IF($D562="شخصی قاسم","شخصی قاسم",IF($D562="هزینه","هزینه: "&amp;IF($E562="","متفرقه",$E562),IF(OR($B562="",COUNTIF(AcctCodesA,$B562)=0),"متفرقه",$B562))),$A562))</f>
        <v/>
      </c>
      <c r="K562">
        <f>IF($A562="","",IF(AND($B562&lt;&gt;"",COUNTIF(AcctCodesA,$B562)=0),"کد طرف در INFO تعریف نشده",IF(AND($D562="هزینه",$E562=""),"هزینه بدون زیرگروه",IF(AND($C562="پاس چک",OR(Sync!$AJ562="",COUNTIF(IssueNosA,Sync!$AJ562)=0)),"شماره چک پاس‌شده معتبر نیست",""))))</f>
        <v/>
      </c>
      <c r="V562">
        <f>IF($K562="","",IF(ISNUMBER(Sync!$AK562),Sync!$AK562,LEFT(Sync!$AK562,4)&amp;MID(Sync!$AK562,6,2)&amp;RIGHT(Sync!$AK562,2))&amp;"|"&amp;"4"&amp;RIGHT("00000"&amp;557,5))</f>
        <v/>
      </c>
      <c r="W562">
        <f>IF($V562="",0,COUNTIFS($V$6:$V$2005,"&lt;"&amp;$V562)-COUNTIFS($V$6:$V$2005,"&lt;"&amp;$V562,$K$6:$K$2005,"")+1)</f>
        <v/>
      </c>
      <c r="X562">
        <f>IF(Sync!$AX562="","",IF(OR(N(Sync!$AY562)=0,N(Sync!$AZ562)=0),"",ROUND(N(Sync!$AY562)*N(Sync!$AZ562),0)))</f>
        <v/>
      </c>
      <c r="Y562">
        <f>IF($X562="","",IF(OR(Sync!$AX562="",COUNTIF(AcctCodesA,Sync!$AX562)=0),"متفرقه",Sync!$AX562))</f>
        <v/>
      </c>
      <c r="Z562">
        <f>IF($X562="","","سبد و ظروف")</f>
        <v/>
      </c>
      <c r="AA562">
        <f>IF($X562="","",$Y562)</f>
        <v/>
      </c>
    </row>
    <row r="563">
      <c r="A563">
        <f>IF(Sync!$Z563="","",LEFT(UPPER(TRIM(Sync!$Z563)),6))</f>
        <v/>
      </c>
      <c r="B563">
        <f>IF($A563="","",IF(Sync!$AA563="","",Sync!$AA563))</f>
        <v/>
      </c>
      <c r="C563">
        <f>IF($A563="","",IF(Sync!$AB563="","",Sync!$AB563))</f>
        <v/>
      </c>
      <c r="D563">
        <f>IF($A563="","",IF(Sync!$AC563="","",Sync!$AC563))</f>
        <v/>
      </c>
      <c r="E563">
        <f>IF($A563="","",IF(Sync!$AD563="","",Sync!$AD563))</f>
        <v/>
      </c>
      <c r="F563">
        <f>IF($A563="","",IF(Sync!$AE563="",0,Sync!$AE563))</f>
        <v/>
      </c>
      <c r="G563">
        <f>IF($A563="","",IF(Sync!$AF563="",0,Sync!$AF563))</f>
        <v/>
      </c>
      <c r="H563">
        <f>IF(OR($A563="",ROUND($F563+$G563,2)=0),"",$F563+$G563)</f>
        <v/>
      </c>
      <c r="I563">
        <f>IF($H563="","",IF(ROUND($F563,2)&gt;0,$A563,IF($D563="شخصی قاسم","شخصی قاسم",IF($D563="هزینه","هزینه: "&amp;IF($E563="","متفرقه",$E563),IF($C563="پاس چک","چک پرداختی",IF(OR($B563="",COUNTIF(AcctCodesA,$B563)=0),"متفرقه",$B563))))))</f>
        <v/>
      </c>
      <c r="J563">
        <f>IF($H563="","",IF(ROUND($F563,2)&gt;0,IF($D563="شخصی قاسم","شخصی قاسم",IF($D563="هزینه","هزینه: "&amp;IF($E563="","متفرقه",$E563),IF(OR($B563="",COUNTIF(AcctCodesA,$B563)=0),"متفرقه",$B563))),$A563))</f>
        <v/>
      </c>
      <c r="K563">
        <f>IF($A563="","",IF(AND($B563&lt;&gt;"",COUNTIF(AcctCodesA,$B563)=0),"کد طرف در INFO تعریف نشده",IF(AND($D563="هزینه",$E563=""),"هزینه بدون زیرگروه",IF(AND($C563="پاس چک",OR(Sync!$AJ563="",COUNTIF(IssueNosA,Sync!$AJ563)=0)),"شماره چک پاس‌شده معتبر نیست",""))))</f>
        <v/>
      </c>
      <c r="V563">
        <f>IF($K563="","",IF(ISNUMBER(Sync!$AK563),Sync!$AK563,LEFT(Sync!$AK563,4)&amp;MID(Sync!$AK563,6,2)&amp;RIGHT(Sync!$AK563,2))&amp;"|"&amp;"4"&amp;RIGHT("00000"&amp;558,5))</f>
        <v/>
      </c>
      <c r="W563">
        <f>IF($V563="",0,COUNTIFS($V$6:$V$2005,"&lt;"&amp;$V563)-COUNTIFS($V$6:$V$2005,"&lt;"&amp;$V563,$K$6:$K$2005,"")+1)</f>
        <v/>
      </c>
      <c r="X563">
        <f>IF(Sync!$AX563="","",IF(OR(N(Sync!$AY563)=0,N(Sync!$AZ563)=0),"",ROUND(N(Sync!$AY563)*N(Sync!$AZ563),0)))</f>
        <v/>
      </c>
      <c r="Y563">
        <f>IF($X563="","",IF(OR(Sync!$AX563="",COUNTIF(AcctCodesA,Sync!$AX563)=0),"متفرقه",Sync!$AX563))</f>
        <v/>
      </c>
      <c r="Z563">
        <f>IF($X563="","","سبد و ظروف")</f>
        <v/>
      </c>
      <c r="AA563">
        <f>IF($X563="","",$Y563)</f>
        <v/>
      </c>
    </row>
    <row r="564">
      <c r="A564">
        <f>IF(Sync!$Z564="","",LEFT(UPPER(TRIM(Sync!$Z564)),6))</f>
        <v/>
      </c>
      <c r="B564">
        <f>IF($A564="","",IF(Sync!$AA564="","",Sync!$AA564))</f>
        <v/>
      </c>
      <c r="C564">
        <f>IF($A564="","",IF(Sync!$AB564="","",Sync!$AB564))</f>
        <v/>
      </c>
      <c r="D564">
        <f>IF($A564="","",IF(Sync!$AC564="","",Sync!$AC564))</f>
        <v/>
      </c>
      <c r="E564">
        <f>IF($A564="","",IF(Sync!$AD564="","",Sync!$AD564))</f>
        <v/>
      </c>
      <c r="F564">
        <f>IF($A564="","",IF(Sync!$AE564="",0,Sync!$AE564))</f>
        <v/>
      </c>
      <c r="G564">
        <f>IF($A564="","",IF(Sync!$AF564="",0,Sync!$AF564))</f>
        <v/>
      </c>
      <c r="H564">
        <f>IF(OR($A564="",ROUND($F564+$G564,2)=0),"",$F564+$G564)</f>
        <v/>
      </c>
      <c r="I564">
        <f>IF($H564="","",IF(ROUND($F564,2)&gt;0,$A564,IF($D564="شخصی قاسم","شخصی قاسم",IF($D564="هزینه","هزینه: "&amp;IF($E564="","متفرقه",$E564),IF($C564="پاس چک","چک پرداختی",IF(OR($B564="",COUNTIF(AcctCodesA,$B564)=0),"متفرقه",$B564))))))</f>
        <v/>
      </c>
      <c r="J564">
        <f>IF($H564="","",IF(ROUND($F564,2)&gt;0,IF($D564="شخصی قاسم","شخصی قاسم",IF($D564="هزینه","هزینه: "&amp;IF($E564="","متفرقه",$E564),IF(OR($B564="",COUNTIF(AcctCodesA,$B564)=0),"متفرقه",$B564))),$A564))</f>
        <v/>
      </c>
      <c r="K564">
        <f>IF($A564="","",IF(AND($B564&lt;&gt;"",COUNTIF(AcctCodesA,$B564)=0),"کد طرف در INFO تعریف نشده",IF(AND($D564="هزینه",$E564=""),"هزینه بدون زیرگروه",IF(AND($C564="پاس چک",OR(Sync!$AJ564="",COUNTIF(IssueNosA,Sync!$AJ564)=0)),"شماره چک پاس‌شده معتبر نیست",""))))</f>
        <v/>
      </c>
      <c r="V564">
        <f>IF($K564="","",IF(ISNUMBER(Sync!$AK564),Sync!$AK564,LEFT(Sync!$AK564,4)&amp;MID(Sync!$AK564,6,2)&amp;RIGHT(Sync!$AK564,2))&amp;"|"&amp;"4"&amp;RIGHT("00000"&amp;559,5))</f>
        <v/>
      </c>
      <c r="W564">
        <f>IF($V564="",0,COUNTIFS($V$6:$V$2005,"&lt;"&amp;$V564)-COUNTIFS($V$6:$V$2005,"&lt;"&amp;$V564,$K$6:$K$2005,"")+1)</f>
        <v/>
      </c>
      <c r="X564">
        <f>IF(Sync!$AX564="","",IF(OR(N(Sync!$AY564)=0,N(Sync!$AZ564)=0),"",ROUND(N(Sync!$AY564)*N(Sync!$AZ564),0)))</f>
        <v/>
      </c>
      <c r="Y564">
        <f>IF($X564="","",IF(OR(Sync!$AX564="",COUNTIF(AcctCodesA,Sync!$AX564)=0),"متفرقه",Sync!$AX564))</f>
        <v/>
      </c>
      <c r="Z564">
        <f>IF($X564="","","سبد و ظروف")</f>
        <v/>
      </c>
      <c r="AA564">
        <f>IF($X564="","",$Y564)</f>
        <v/>
      </c>
    </row>
    <row r="565">
      <c r="A565">
        <f>IF(Sync!$Z565="","",LEFT(UPPER(TRIM(Sync!$Z565)),6))</f>
        <v/>
      </c>
      <c r="B565">
        <f>IF($A565="","",IF(Sync!$AA565="","",Sync!$AA565))</f>
        <v/>
      </c>
      <c r="C565">
        <f>IF($A565="","",IF(Sync!$AB565="","",Sync!$AB565))</f>
        <v/>
      </c>
      <c r="D565">
        <f>IF($A565="","",IF(Sync!$AC565="","",Sync!$AC565))</f>
        <v/>
      </c>
      <c r="E565">
        <f>IF($A565="","",IF(Sync!$AD565="","",Sync!$AD565))</f>
        <v/>
      </c>
      <c r="F565">
        <f>IF($A565="","",IF(Sync!$AE565="",0,Sync!$AE565))</f>
        <v/>
      </c>
      <c r="G565">
        <f>IF($A565="","",IF(Sync!$AF565="",0,Sync!$AF565))</f>
        <v/>
      </c>
      <c r="H565">
        <f>IF(OR($A565="",ROUND($F565+$G565,2)=0),"",$F565+$G565)</f>
        <v/>
      </c>
      <c r="I565">
        <f>IF($H565="","",IF(ROUND($F565,2)&gt;0,$A565,IF($D565="شخصی قاسم","شخصی قاسم",IF($D565="هزینه","هزینه: "&amp;IF($E565="","متفرقه",$E565),IF($C565="پاس چک","چک پرداختی",IF(OR($B565="",COUNTIF(AcctCodesA,$B565)=0),"متفرقه",$B565))))))</f>
        <v/>
      </c>
      <c r="J565">
        <f>IF($H565="","",IF(ROUND($F565,2)&gt;0,IF($D565="شخصی قاسم","شخصی قاسم",IF($D565="هزینه","هزینه: "&amp;IF($E565="","متفرقه",$E565),IF(OR($B565="",COUNTIF(AcctCodesA,$B565)=0),"متفرقه",$B565))),$A565))</f>
        <v/>
      </c>
      <c r="K565">
        <f>IF($A565="","",IF(AND($B565&lt;&gt;"",COUNTIF(AcctCodesA,$B565)=0),"کد طرف در INFO تعریف نشده",IF(AND($D565="هزینه",$E565=""),"هزینه بدون زیرگروه",IF(AND($C565="پاس چک",OR(Sync!$AJ565="",COUNTIF(IssueNosA,Sync!$AJ565)=0)),"شماره چک پاس‌شده معتبر نیست",""))))</f>
        <v/>
      </c>
      <c r="V565">
        <f>IF($K565="","",IF(ISNUMBER(Sync!$AK565),Sync!$AK565,LEFT(Sync!$AK565,4)&amp;MID(Sync!$AK565,6,2)&amp;RIGHT(Sync!$AK565,2))&amp;"|"&amp;"4"&amp;RIGHT("00000"&amp;560,5))</f>
        <v/>
      </c>
      <c r="W565">
        <f>IF($V565="",0,COUNTIFS($V$6:$V$2005,"&lt;"&amp;$V565)-COUNTIFS($V$6:$V$2005,"&lt;"&amp;$V565,$K$6:$K$2005,"")+1)</f>
        <v/>
      </c>
      <c r="X565">
        <f>IF(Sync!$AX565="","",IF(OR(N(Sync!$AY565)=0,N(Sync!$AZ565)=0),"",ROUND(N(Sync!$AY565)*N(Sync!$AZ565),0)))</f>
        <v/>
      </c>
      <c r="Y565">
        <f>IF($X565="","",IF(OR(Sync!$AX565="",COUNTIF(AcctCodesA,Sync!$AX565)=0),"متفرقه",Sync!$AX565))</f>
        <v/>
      </c>
      <c r="Z565">
        <f>IF($X565="","","سبد و ظروف")</f>
        <v/>
      </c>
      <c r="AA565">
        <f>IF($X565="","",$Y565)</f>
        <v/>
      </c>
    </row>
    <row r="566">
      <c r="A566">
        <f>IF(Sync!$Z566="","",LEFT(UPPER(TRIM(Sync!$Z566)),6))</f>
        <v/>
      </c>
      <c r="B566">
        <f>IF($A566="","",IF(Sync!$AA566="","",Sync!$AA566))</f>
        <v/>
      </c>
      <c r="C566">
        <f>IF($A566="","",IF(Sync!$AB566="","",Sync!$AB566))</f>
        <v/>
      </c>
      <c r="D566">
        <f>IF($A566="","",IF(Sync!$AC566="","",Sync!$AC566))</f>
        <v/>
      </c>
      <c r="E566">
        <f>IF($A566="","",IF(Sync!$AD566="","",Sync!$AD566))</f>
        <v/>
      </c>
      <c r="F566">
        <f>IF($A566="","",IF(Sync!$AE566="",0,Sync!$AE566))</f>
        <v/>
      </c>
      <c r="G566">
        <f>IF($A566="","",IF(Sync!$AF566="",0,Sync!$AF566))</f>
        <v/>
      </c>
      <c r="H566">
        <f>IF(OR($A566="",ROUND($F566+$G566,2)=0),"",$F566+$G566)</f>
        <v/>
      </c>
      <c r="I566">
        <f>IF($H566="","",IF(ROUND($F566,2)&gt;0,$A566,IF($D566="شخصی قاسم","شخصی قاسم",IF($D566="هزینه","هزینه: "&amp;IF($E566="","متفرقه",$E566),IF($C566="پاس چک","چک پرداختی",IF(OR($B566="",COUNTIF(AcctCodesA,$B566)=0),"متفرقه",$B566))))))</f>
        <v/>
      </c>
      <c r="J566">
        <f>IF($H566="","",IF(ROUND($F566,2)&gt;0,IF($D566="شخصی قاسم","شخصی قاسم",IF($D566="هزینه","هزینه: "&amp;IF($E566="","متفرقه",$E566),IF(OR($B566="",COUNTIF(AcctCodesA,$B566)=0),"متفرقه",$B566))),$A566))</f>
        <v/>
      </c>
      <c r="K566">
        <f>IF($A566="","",IF(AND($B566&lt;&gt;"",COUNTIF(AcctCodesA,$B566)=0),"کد طرف در INFO تعریف نشده",IF(AND($D566="هزینه",$E566=""),"هزینه بدون زیرگروه",IF(AND($C566="پاس چک",OR(Sync!$AJ566="",COUNTIF(IssueNosA,Sync!$AJ566)=0)),"شماره چک پاس‌شده معتبر نیست",""))))</f>
        <v/>
      </c>
      <c r="V566">
        <f>IF($K566="","",IF(ISNUMBER(Sync!$AK566),Sync!$AK566,LEFT(Sync!$AK566,4)&amp;MID(Sync!$AK566,6,2)&amp;RIGHT(Sync!$AK566,2))&amp;"|"&amp;"4"&amp;RIGHT("00000"&amp;561,5))</f>
        <v/>
      </c>
      <c r="W566">
        <f>IF($V566="",0,COUNTIFS($V$6:$V$2005,"&lt;"&amp;$V566)-COUNTIFS($V$6:$V$2005,"&lt;"&amp;$V566,$K$6:$K$2005,"")+1)</f>
        <v/>
      </c>
      <c r="X566">
        <f>IF(Sync!$AX566="","",IF(OR(N(Sync!$AY566)=0,N(Sync!$AZ566)=0),"",ROUND(N(Sync!$AY566)*N(Sync!$AZ566),0)))</f>
        <v/>
      </c>
      <c r="Y566">
        <f>IF($X566="","",IF(OR(Sync!$AX566="",COUNTIF(AcctCodesA,Sync!$AX566)=0),"متفرقه",Sync!$AX566))</f>
        <v/>
      </c>
      <c r="Z566">
        <f>IF($X566="","","سبد و ظروف")</f>
        <v/>
      </c>
      <c r="AA566">
        <f>IF($X566="","",$Y566)</f>
        <v/>
      </c>
    </row>
    <row r="567">
      <c r="A567">
        <f>IF(Sync!$Z567="","",LEFT(UPPER(TRIM(Sync!$Z567)),6))</f>
        <v/>
      </c>
      <c r="B567">
        <f>IF($A567="","",IF(Sync!$AA567="","",Sync!$AA567))</f>
        <v/>
      </c>
      <c r="C567">
        <f>IF($A567="","",IF(Sync!$AB567="","",Sync!$AB567))</f>
        <v/>
      </c>
      <c r="D567">
        <f>IF($A567="","",IF(Sync!$AC567="","",Sync!$AC567))</f>
        <v/>
      </c>
      <c r="E567">
        <f>IF($A567="","",IF(Sync!$AD567="","",Sync!$AD567))</f>
        <v/>
      </c>
      <c r="F567">
        <f>IF($A567="","",IF(Sync!$AE567="",0,Sync!$AE567))</f>
        <v/>
      </c>
      <c r="G567">
        <f>IF($A567="","",IF(Sync!$AF567="",0,Sync!$AF567))</f>
        <v/>
      </c>
      <c r="H567">
        <f>IF(OR($A567="",ROUND($F567+$G567,2)=0),"",$F567+$G567)</f>
        <v/>
      </c>
      <c r="I567">
        <f>IF($H567="","",IF(ROUND($F567,2)&gt;0,$A567,IF($D567="شخصی قاسم","شخصی قاسم",IF($D567="هزینه","هزینه: "&amp;IF($E567="","متفرقه",$E567),IF($C567="پاس چک","چک پرداختی",IF(OR($B567="",COUNTIF(AcctCodesA,$B567)=0),"متفرقه",$B567))))))</f>
        <v/>
      </c>
      <c r="J567">
        <f>IF($H567="","",IF(ROUND($F567,2)&gt;0,IF($D567="شخصی قاسم","شخصی قاسم",IF($D567="هزینه","هزینه: "&amp;IF($E567="","متفرقه",$E567),IF(OR($B567="",COUNTIF(AcctCodesA,$B567)=0),"متفرقه",$B567))),$A567))</f>
        <v/>
      </c>
      <c r="K567">
        <f>IF($A567="","",IF(AND($B567&lt;&gt;"",COUNTIF(AcctCodesA,$B567)=0),"کد طرف در INFO تعریف نشده",IF(AND($D567="هزینه",$E567=""),"هزینه بدون زیرگروه",IF(AND($C567="پاس چک",OR(Sync!$AJ567="",COUNTIF(IssueNosA,Sync!$AJ567)=0)),"شماره چک پاس‌شده معتبر نیست",""))))</f>
        <v/>
      </c>
      <c r="V567">
        <f>IF($K567="","",IF(ISNUMBER(Sync!$AK567),Sync!$AK567,LEFT(Sync!$AK567,4)&amp;MID(Sync!$AK567,6,2)&amp;RIGHT(Sync!$AK567,2))&amp;"|"&amp;"4"&amp;RIGHT("00000"&amp;562,5))</f>
        <v/>
      </c>
      <c r="W567">
        <f>IF($V567="",0,COUNTIFS($V$6:$V$2005,"&lt;"&amp;$V567)-COUNTIFS($V$6:$V$2005,"&lt;"&amp;$V567,$K$6:$K$2005,"")+1)</f>
        <v/>
      </c>
      <c r="X567">
        <f>IF(Sync!$AX567="","",IF(OR(N(Sync!$AY567)=0,N(Sync!$AZ567)=0),"",ROUND(N(Sync!$AY567)*N(Sync!$AZ567),0)))</f>
        <v/>
      </c>
      <c r="Y567">
        <f>IF($X567="","",IF(OR(Sync!$AX567="",COUNTIF(AcctCodesA,Sync!$AX567)=0),"متفرقه",Sync!$AX567))</f>
        <v/>
      </c>
      <c r="Z567">
        <f>IF($X567="","","سبد و ظروف")</f>
        <v/>
      </c>
      <c r="AA567">
        <f>IF($X567="","",$Y567)</f>
        <v/>
      </c>
    </row>
    <row r="568">
      <c r="A568">
        <f>IF(Sync!$Z568="","",LEFT(UPPER(TRIM(Sync!$Z568)),6))</f>
        <v/>
      </c>
      <c r="B568">
        <f>IF($A568="","",IF(Sync!$AA568="","",Sync!$AA568))</f>
        <v/>
      </c>
      <c r="C568">
        <f>IF($A568="","",IF(Sync!$AB568="","",Sync!$AB568))</f>
        <v/>
      </c>
      <c r="D568">
        <f>IF($A568="","",IF(Sync!$AC568="","",Sync!$AC568))</f>
        <v/>
      </c>
      <c r="E568">
        <f>IF($A568="","",IF(Sync!$AD568="","",Sync!$AD568))</f>
        <v/>
      </c>
      <c r="F568">
        <f>IF($A568="","",IF(Sync!$AE568="",0,Sync!$AE568))</f>
        <v/>
      </c>
      <c r="G568">
        <f>IF($A568="","",IF(Sync!$AF568="",0,Sync!$AF568))</f>
        <v/>
      </c>
      <c r="H568">
        <f>IF(OR($A568="",ROUND($F568+$G568,2)=0),"",$F568+$G568)</f>
        <v/>
      </c>
      <c r="I568">
        <f>IF($H568="","",IF(ROUND($F568,2)&gt;0,$A568,IF($D568="شخصی قاسم","شخصی قاسم",IF($D568="هزینه","هزینه: "&amp;IF($E568="","متفرقه",$E568),IF($C568="پاس چک","چک پرداختی",IF(OR($B568="",COUNTIF(AcctCodesA,$B568)=0),"متفرقه",$B568))))))</f>
        <v/>
      </c>
      <c r="J568">
        <f>IF($H568="","",IF(ROUND($F568,2)&gt;0,IF($D568="شخصی قاسم","شخصی قاسم",IF($D568="هزینه","هزینه: "&amp;IF($E568="","متفرقه",$E568),IF(OR($B568="",COUNTIF(AcctCodesA,$B568)=0),"متفرقه",$B568))),$A568))</f>
        <v/>
      </c>
      <c r="K568">
        <f>IF($A568="","",IF(AND($B568&lt;&gt;"",COUNTIF(AcctCodesA,$B568)=0),"کد طرف در INFO تعریف نشده",IF(AND($D568="هزینه",$E568=""),"هزینه بدون زیرگروه",IF(AND($C568="پاس چک",OR(Sync!$AJ568="",COUNTIF(IssueNosA,Sync!$AJ568)=0)),"شماره چک پاس‌شده معتبر نیست",""))))</f>
        <v/>
      </c>
      <c r="V568">
        <f>IF($K568="","",IF(ISNUMBER(Sync!$AK568),Sync!$AK568,LEFT(Sync!$AK568,4)&amp;MID(Sync!$AK568,6,2)&amp;RIGHT(Sync!$AK568,2))&amp;"|"&amp;"4"&amp;RIGHT("00000"&amp;563,5))</f>
        <v/>
      </c>
      <c r="W568">
        <f>IF($V568="",0,COUNTIFS($V$6:$V$2005,"&lt;"&amp;$V568)-COUNTIFS($V$6:$V$2005,"&lt;"&amp;$V568,$K$6:$K$2005,"")+1)</f>
        <v/>
      </c>
      <c r="X568">
        <f>IF(Sync!$AX568="","",IF(OR(N(Sync!$AY568)=0,N(Sync!$AZ568)=0),"",ROUND(N(Sync!$AY568)*N(Sync!$AZ568),0)))</f>
        <v/>
      </c>
      <c r="Y568">
        <f>IF($X568="","",IF(OR(Sync!$AX568="",COUNTIF(AcctCodesA,Sync!$AX568)=0),"متفرقه",Sync!$AX568))</f>
        <v/>
      </c>
      <c r="Z568">
        <f>IF($X568="","","سبد و ظروف")</f>
        <v/>
      </c>
      <c r="AA568">
        <f>IF($X568="","",$Y568)</f>
        <v/>
      </c>
    </row>
    <row r="569">
      <c r="A569">
        <f>IF(Sync!$Z569="","",LEFT(UPPER(TRIM(Sync!$Z569)),6))</f>
        <v/>
      </c>
      <c r="B569">
        <f>IF($A569="","",IF(Sync!$AA569="","",Sync!$AA569))</f>
        <v/>
      </c>
      <c r="C569">
        <f>IF($A569="","",IF(Sync!$AB569="","",Sync!$AB569))</f>
        <v/>
      </c>
      <c r="D569">
        <f>IF($A569="","",IF(Sync!$AC569="","",Sync!$AC569))</f>
        <v/>
      </c>
      <c r="E569">
        <f>IF($A569="","",IF(Sync!$AD569="","",Sync!$AD569))</f>
        <v/>
      </c>
      <c r="F569">
        <f>IF($A569="","",IF(Sync!$AE569="",0,Sync!$AE569))</f>
        <v/>
      </c>
      <c r="G569">
        <f>IF($A569="","",IF(Sync!$AF569="",0,Sync!$AF569))</f>
        <v/>
      </c>
      <c r="H569">
        <f>IF(OR($A569="",ROUND($F569+$G569,2)=0),"",$F569+$G569)</f>
        <v/>
      </c>
      <c r="I569">
        <f>IF($H569="","",IF(ROUND($F569,2)&gt;0,$A569,IF($D569="شخصی قاسم","شخصی قاسم",IF($D569="هزینه","هزینه: "&amp;IF($E569="","متفرقه",$E569),IF($C569="پاس چک","چک پرداختی",IF(OR($B569="",COUNTIF(AcctCodesA,$B569)=0),"متفرقه",$B569))))))</f>
        <v/>
      </c>
      <c r="J569">
        <f>IF($H569="","",IF(ROUND($F569,2)&gt;0,IF($D569="شخصی قاسم","شخصی قاسم",IF($D569="هزینه","هزینه: "&amp;IF($E569="","متفرقه",$E569),IF(OR($B569="",COUNTIF(AcctCodesA,$B569)=0),"متفرقه",$B569))),$A569))</f>
        <v/>
      </c>
      <c r="K569">
        <f>IF($A569="","",IF(AND($B569&lt;&gt;"",COUNTIF(AcctCodesA,$B569)=0),"کد طرف در INFO تعریف نشده",IF(AND($D569="هزینه",$E569=""),"هزینه بدون زیرگروه",IF(AND($C569="پاس چک",OR(Sync!$AJ569="",COUNTIF(IssueNosA,Sync!$AJ569)=0)),"شماره چک پاس‌شده معتبر نیست",""))))</f>
        <v/>
      </c>
      <c r="V569">
        <f>IF($K569="","",IF(ISNUMBER(Sync!$AK569),Sync!$AK569,LEFT(Sync!$AK569,4)&amp;MID(Sync!$AK569,6,2)&amp;RIGHT(Sync!$AK569,2))&amp;"|"&amp;"4"&amp;RIGHT("00000"&amp;564,5))</f>
        <v/>
      </c>
      <c r="W569">
        <f>IF($V569="",0,COUNTIFS($V$6:$V$2005,"&lt;"&amp;$V569)-COUNTIFS($V$6:$V$2005,"&lt;"&amp;$V569,$K$6:$K$2005,"")+1)</f>
        <v/>
      </c>
      <c r="X569">
        <f>IF(Sync!$AX569="","",IF(OR(N(Sync!$AY569)=0,N(Sync!$AZ569)=0),"",ROUND(N(Sync!$AY569)*N(Sync!$AZ569),0)))</f>
        <v/>
      </c>
      <c r="Y569">
        <f>IF($X569="","",IF(OR(Sync!$AX569="",COUNTIF(AcctCodesA,Sync!$AX569)=0),"متفرقه",Sync!$AX569))</f>
        <v/>
      </c>
      <c r="Z569">
        <f>IF($X569="","","سبد و ظروف")</f>
        <v/>
      </c>
      <c r="AA569">
        <f>IF($X569="","",$Y569)</f>
        <v/>
      </c>
    </row>
    <row r="570">
      <c r="A570">
        <f>IF(Sync!$Z570="","",LEFT(UPPER(TRIM(Sync!$Z570)),6))</f>
        <v/>
      </c>
      <c r="B570">
        <f>IF($A570="","",IF(Sync!$AA570="","",Sync!$AA570))</f>
        <v/>
      </c>
      <c r="C570">
        <f>IF($A570="","",IF(Sync!$AB570="","",Sync!$AB570))</f>
        <v/>
      </c>
      <c r="D570">
        <f>IF($A570="","",IF(Sync!$AC570="","",Sync!$AC570))</f>
        <v/>
      </c>
      <c r="E570">
        <f>IF($A570="","",IF(Sync!$AD570="","",Sync!$AD570))</f>
        <v/>
      </c>
      <c r="F570">
        <f>IF($A570="","",IF(Sync!$AE570="",0,Sync!$AE570))</f>
        <v/>
      </c>
      <c r="G570">
        <f>IF($A570="","",IF(Sync!$AF570="",0,Sync!$AF570))</f>
        <v/>
      </c>
      <c r="H570">
        <f>IF(OR($A570="",ROUND($F570+$G570,2)=0),"",$F570+$G570)</f>
        <v/>
      </c>
      <c r="I570">
        <f>IF($H570="","",IF(ROUND($F570,2)&gt;0,$A570,IF($D570="شخصی قاسم","شخصی قاسم",IF($D570="هزینه","هزینه: "&amp;IF($E570="","متفرقه",$E570),IF($C570="پاس چک","چک پرداختی",IF(OR($B570="",COUNTIF(AcctCodesA,$B570)=0),"متفرقه",$B570))))))</f>
        <v/>
      </c>
      <c r="J570">
        <f>IF($H570="","",IF(ROUND($F570,2)&gt;0,IF($D570="شخصی قاسم","شخصی قاسم",IF($D570="هزینه","هزینه: "&amp;IF($E570="","متفرقه",$E570),IF(OR($B570="",COUNTIF(AcctCodesA,$B570)=0),"متفرقه",$B570))),$A570))</f>
        <v/>
      </c>
      <c r="K570">
        <f>IF($A570="","",IF(AND($B570&lt;&gt;"",COUNTIF(AcctCodesA,$B570)=0),"کد طرف در INFO تعریف نشده",IF(AND($D570="هزینه",$E570=""),"هزینه بدون زیرگروه",IF(AND($C570="پاس چک",OR(Sync!$AJ570="",COUNTIF(IssueNosA,Sync!$AJ570)=0)),"شماره چک پاس‌شده معتبر نیست",""))))</f>
        <v/>
      </c>
      <c r="V570">
        <f>IF($K570="","",IF(ISNUMBER(Sync!$AK570),Sync!$AK570,LEFT(Sync!$AK570,4)&amp;MID(Sync!$AK570,6,2)&amp;RIGHT(Sync!$AK570,2))&amp;"|"&amp;"4"&amp;RIGHT("00000"&amp;565,5))</f>
        <v/>
      </c>
      <c r="W570">
        <f>IF($V570="",0,COUNTIFS($V$6:$V$2005,"&lt;"&amp;$V570)-COUNTIFS($V$6:$V$2005,"&lt;"&amp;$V570,$K$6:$K$2005,"")+1)</f>
        <v/>
      </c>
      <c r="X570">
        <f>IF(Sync!$AX570="","",IF(OR(N(Sync!$AY570)=0,N(Sync!$AZ570)=0),"",ROUND(N(Sync!$AY570)*N(Sync!$AZ570),0)))</f>
        <v/>
      </c>
      <c r="Y570">
        <f>IF($X570="","",IF(OR(Sync!$AX570="",COUNTIF(AcctCodesA,Sync!$AX570)=0),"متفرقه",Sync!$AX570))</f>
        <v/>
      </c>
      <c r="Z570">
        <f>IF($X570="","","سبد و ظروف")</f>
        <v/>
      </c>
      <c r="AA570">
        <f>IF($X570="","",$Y570)</f>
        <v/>
      </c>
    </row>
    <row r="571">
      <c r="A571">
        <f>IF(Sync!$Z571="","",LEFT(UPPER(TRIM(Sync!$Z571)),6))</f>
        <v/>
      </c>
      <c r="B571">
        <f>IF($A571="","",IF(Sync!$AA571="","",Sync!$AA571))</f>
        <v/>
      </c>
      <c r="C571">
        <f>IF($A571="","",IF(Sync!$AB571="","",Sync!$AB571))</f>
        <v/>
      </c>
      <c r="D571">
        <f>IF($A571="","",IF(Sync!$AC571="","",Sync!$AC571))</f>
        <v/>
      </c>
      <c r="E571">
        <f>IF($A571="","",IF(Sync!$AD571="","",Sync!$AD571))</f>
        <v/>
      </c>
      <c r="F571">
        <f>IF($A571="","",IF(Sync!$AE571="",0,Sync!$AE571))</f>
        <v/>
      </c>
      <c r="G571">
        <f>IF($A571="","",IF(Sync!$AF571="",0,Sync!$AF571))</f>
        <v/>
      </c>
      <c r="H571">
        <f>IF(OR($A571="",ROUND($F571+$G571,2)=0),"",$F571+$G571)</f>
        <v/>
      </c>
      <c r="I571">
        <f>IF($H571="","",IF(ROUND($F571,2)&gt;0,$A571,IF($D571="شخصی قاسم","شخصی قاسم",IF($D571="هزینه","هزینه: "&amp;IF($E571="","متفرقه",$E571),IF($C571="پاس چک","چک پرداختی",IF(OR($B571="",COUNTIF(AcctCodesA,$B571)=0),"متفرقه",$B571))))))</f>
        <v/>
      </c>
      <c r="J571">
        <f>IF($H571="","",IF(ROUND($F571,2)&gt;0,IF($D571="شخصی قاسم","شخصی قاسم",IF($D571="هزینه","هزینه: "&amp;IF($E571="","متفرقه",$E571),IF(OR($B571="",COUNTIF(AcctCodesA,$B571)=0),"متفرقه",$B571))),$A571))</f>
        <v/>
      </c>
      <c r="K571">
        <f>IF($A571="","",IF(AND($B571&lt;&gt;"",COUNTIF(AcctCodesA,$B571)=0),"کد طرف در INFO تعریف نشده",IF(AND($D571="هزینه",$E571=""),"هزینه بدون زیرگروه",IF(AND($C571="پاس چک",OR(Sync!$AJ571="",COUNTIF(IssueNosA,Sync!$AJ571)=0)),"شماره چک پاس‌شده معتبر نیست",""))))</f>
        <v/>
      </c>
      <c r="V571">
        <f>IF($K571="","",IF(ISNUMBER(Sync!$AK571),Sync!$AK571,LEFT(Sync!$AK571,4)&amp;MID(Sync!$AK571,6,2)&amp;RIGHT(Sync!$AK571,2))&amp;"|"&amp;"4"&amp;RIGHT("00000"&amp;566,5))</f>
        <v/>
      </c>
      <c r="W571">
        <f>IF($V571="",0,COUNTIFS($V$6:$V$2005,"&lt;"&amp;$V571)-COUNTIFS($V$6:$V$2005,"&lt;"&amp;$V571,$K$6:$K$2005,"")+1)</f>
        <v/>
      </c>
      <c r="X571">
        <f>IF(Sync!$AX571="","",IF(OR(N(Sync!$AY571)=0,N(Sync!$AZ571)=0),"",ROUND(N(Sync!$AY571)*N(Sync!$AZ571),0)))</f>
        <v/>
      </c>
      <c r="Y571">
        <f>IF($X571="","",IF(OR(Sync!$AX571="",COUNTIF(AcctCodesA,Sync!$AX571)=0),"متفرقه",Sync!$AX571))</f>
        <v/>
      </c>
      <c r="Z571">
        <f>IF($X571="","","سبد و ظروف")</f>
        <v/>
      </c>
      <c r="AA571">
        <f>IF($X571="","",$Y571)</f>
        <v/>
      </c>
    </row>
    <row r="572">
      <c r="A572">
        <f>IF(Sync!$Z572="","",LEFT(UPPER(TRIM(Sync!$Z572)),6))</f>
        <v/>
      </c>
      <c r="B572">
        <f>IF($A572="","",IF(Sync!$AA572="","",Sync!$AA572))</f>
        <v/>
      </c>
      <c r="C572">
        <f>IF($A572="","",IF(Sync!$AB572="","",Sync!$AB572))</f>
        <v/>
      </c>
      <c r="D572">
        <f>IF($A572="","",IF(Sync!$AC572="","",Sync!$AC572))</f>
        <v/>
      </c>
      <c r="E572">
        <f>IF($A572="","",IF(Sync!$AD572="","",Sync!$AD572))</f>
        <v/>
      </c>
      <c r="F572">
        <f>IF($A572="","",IF(Sync!$AE572="",0,Sync!$AE572))</f>
        <v/>
      </c>
      <c r="G572">
        <f>IF($A572="","",IF(Sync!$AF572="",0,Sync!$AF572))</f>
        <v/>
      </c>
      <c r="H572">
        <f>IF(OR($A572="",ROUND($F572+$G572,2)=0),"",$F572+$G572)</f>
        <v/>
      </c>
      <c r="I572">
        <f>IF($H572="","",IF(ROUND($F572,2)&gt;0,$A572,IF($D572="شخصی قاسم","شخصی قاسم",IF($D572="هزینه","هزینه: "&amp;IF($E572="","متفرقه",$E572),IF($C572="پاس چک","چک پرداختی",IF(OR($B572="",COUNTIF(AcctCodesA,$B572)=0),"متفرقه",$B572))))))</f>
        <v/>
      </c>
      <c r="J572">
        <f>IF($H572="","",IF(ROUND($F572,2)&gt;0,IF($D572="شخصی قاسم","شخصی قاسم",IF($D572="هزینه","هزینه: "&amp;IF($E572="","متفرقه",$E572),IF(OR($B572="",COUNTIF(AcctCodesA,$B572)=0),"متفرقه",$B572))),$A572))</f>
        <v/>
      </c>
      <c r="K572">
        <f>IF($A572="","",IF(AND($B572&lt;&gt;"",COUNTIF(AcctCodesA,$B572)=0),"کد طرف در INFO تعریف نشده",IF(AND($D572="هزینه",$E572=""),"هزینه بدون زیرگروه",IF(AND($C572="پاس چک",OR(Sync!$AJ572="",COUNTIF(IssueNosA,Sync!$AJ572)=0)),"شماره چک پاس‌شده معتبر نیست",""))))</f>
        <v/>
      </c>
      <c r="V572">
        <f>IF($K572="","",IF(ISNUMBER(Sync!$AK572),Sync!$AK572,LEFT(Sync!$AK572,4)&amp;MID(Sync!$AK572,6,2)&amp;RIGHT(Sync!$AK572,2))&amp;"|"&amp;"4"&amp;RIGHT("00000"&amp;567,5))</f>
        <v/>
      </c>
      <c r="W572">
        <f>IF($V572="",0,COUNTIFS($V$6:$V$2005,"&lt;"&amp;$V572)-COUNTIFS($V$6:$V$2005,"&lt;"&amp;$V572,$K$6:$K$2005,"")+1)</f>
        <v/>
      </c>
      <c r="X572">
        <f>IF(Sync!$AX572="","",IF(OR(N(Sync!$AY572)=0,N(Sync!$AZ572)=0),"",ROUND(N(Sync!$AY572)*N(Sync!$AZ572),0)))</f>
        <v/>
      </c>
      <c r="Y572">
        <f>IF($X572="","",IF(OR(Sync!$AX572="",COUNTIF(AcctCodesA,Sync!$AX572)=0),"متفرقه",Sync!$AX572))</f>
        <v/>
      </c>
      <c r="Z572">
        <f>IF($X572="","","سبد و ظروف")</f>
        <v/>
      </c>
      <c r="AA572">
        <f>IF($X572="","",$Y572)</f>
        <v/>
      </c>
    </row>
    <row r="573">
      <c r="A573">
        <f>IF(Sync!$Z573="","",LEFT(UPPER(TRIM(Sync!$Z573)),6))</f>
        <v/>
      </c>
      <c r="B573">
        <f>IF($A573="","",IF(Sync!$AA573="","",Sync!$AA573))</f>
        <v/>
      </c>
      <c r="C573">
        <f>IF($A573="","",IF(Sync!$AB573="","",Sync!$AB573))</f>
        <v/>
      </c>
      <c r="D573">
        <f>IF($A573="","",IF(Sync!$AC573="","",Sync!$AC573))</f>
        <v/>
      </c>
      <c r="E573">
        <f>IF($A573="","",IF(Sync!$AD573="","",Sync!$AD573))</f>
        <v/>
      </c>
      <c r="F573">
        <f>IF($A573="","",IF(Sync!$AE573="",0,Sync!$AE573))</f>
        <v/>
      </c>
      <c r="G573">
        <f>IF($A573="","",IF(Sync!$AF573="",0,Sync!$AF573))</f>
        <v/>
      </c>
      <c r="H573">
        <f>IF(OR($A573="",ROUND($F573+$G573,2)=0),"",$F573+$G573)</f>
        <v/>
      </c>
      <c r="I573">
        <f>IF($H573="","",IF(ROUND($F573,2)&gt;0,$A573,IF($D573="شخصی قاسم","شخصی قاسم",IF($D573="هزینه","هزینه: "&amp;IF($E573="","متفرقه",$E573),IF($C573="پاس چک","چک پرداختی",IF(OR($B573="",COUNTIF(AcctCodesA,$B573)=0),"متفرقه",$B573))))))</f>
        <v/>
      </c>
      <c r="J573">
        <f>IF($H573="","",IF(ROUND($F573,2)&gt;0,IF($D573="شخصی قاسم","شخصی قاسم",IF($D573="هزینه","هزینه: "&amp;IF($E573="","متفرقه",$E573),IF(OR($B573="",COUNTIF(AcctCodesA,$B573)=0),"متفرقه",$B573))),$A573))</f>
        <v/>
      </c>
      <c r="K573">
        <f>IF($A573="","",IF(AND($B573&lt;&gt;"",COUNTIF(AcctCodesA,$B573)=0),"کد طرف در INFO تعریف نشده",IF(AND($D573="هزینه",$E573=""),"هزینه بدون زیرگروه",IF(AND($C573="پاس چک",OR(Sync!$AJ573="",COUNTIF(IssueNosA,Sync!$AJ573)=0)),"شماره چک پاس‌شده معتبر نیست",""))))</f>
        <v/>
      </c>
      <c r="V573">
        <f>IF($K573="","",IF(ISNUMBER(Sync!$AK573),Sync!$AK573,LEFT(Sync!$AK573,4)&amp;MID(Sync!$AK573,6,2)&amp;RIGHT(Sync!$AK573,2))&amp;"|"&amp;"4"&amp;RIGHT("00000"&amp;568,5))</f>
        <v/>
      </c>
      <c r="W573">
        <f>IF($V573="",0,COUNTIFS($V$6:$V$2005,"&lt;"&amp;$V573)-COUNTIFS($V$6:$V$2005,"&lt;"&amp;$V573,$K$6:$K$2005,"")+1)</f>
        <v/>
      </c>
      <c r="X573">
        <f>IF(Sync!$AX573="","",IF(OR(N(Sync!$AY573)=0,N(Sync!$AZ573)=0),"",ROUND(N(Sync!$AY573)*N(Sync!$AZ573),0)))</f>
        <v/>
      </c>
      <c r="Y573">
        <f>IF($X573="","",IF(OR(Sync!$AX573="",COUNTIF(AcctCodesA,Sync!$AX573)=0),"متفرقه",Sync!$AX573))</f>
        <v/>
      </c>
      <c r="Z573">
        <f>IF($X573="","","سبد و ظروف")</f>
        <v/>
      </c>
      <c r="AA573">
        <f>IF($X573="","",$Y573)</f>
        <v/>
      </c>
    </row>
    <row r="574">
      <c r="A574">
        <f>IF(Sync!$Z574="","",LEFT(UPPER(TRIM(Sync!$Z574)),6))</f>
        <v/>
      </c>
      <c r="B574">
        <f>IF($A574="","",IF(Sync!$AA574="","",Sync!$AA574))</f>
        <v/>
      </c>
      <c r="C574">
        <f>IF($A574="","",IF(Sync!$AB574="","",Sync!$AB574))</f>
        <v/>
      </c>
      <c r="D574">
        <f>IF($A574="","",IF(Sync!$AC574="","",Sync!$AC574))</f>
        <v/>
      </c>
      <c r="E574">
        <f>IF($A574="","",IF(Sync!$AD574="","",Sync!$AD574))</f>
        <v/>
      </c>
      <c r="F574">
        <f>IF($A574="","",IF(Sync!$AE574="",0,Sync!$AE574))</f>
        <v/>
      </c>
      <c r="G574">
        <f>IF($A574="","",IF(Sync!$AF574="",0,Sync!$AF574))</f>
        <v/>
      </c>
      <c r="H574">
        <f>IF(OR($A574="",ROUND($F574+$G574,2)=0),"",$F574+$G574)</f>
        <v/>
      </c>
      <c r="I574">
        <f>IF($H574="","",IF(ROUND($F574,2)&gt;0,$A574,IF($D574="شخصی قاسم","شخصی قاسم",IF($D574="هزینه","هزینه: "&amp;IF($E574="","متفرقه",$E574),IF($C574="پاس چک","چک پرداختی",IF(OR($B574="",COUNTIF(AcctCodesA,$B574)=0),"متفرقه",$B574))))))</f>
        <v/>
      </c>
      <c r="J574">
        <f>IF($H574="","",IF(ROUND($F574,2)&gt;0,IF($D574="شخصی قاسم","شخصی قاسم",IF($D574="هزینه","هزینه: "&amp;IF($E574="","متفرقه",$E574),IF(OR($B574="",COUNTIF(AcctCodesA,$B574)=0),"متفرقه",$B574))),$A574))</f>
        <v/>
      </c>
      <c r="K574">
        <f>IF($A574="","",IF(AND($B574&lt;&gt;"",COUNTIF(AcctCodesA,$B574)=0),"کد طرف در INFO تعریف نشده",IF(AND($D574="هزینه",$E574=""),"هزینه بدون زیرگروه",IF(AND($C574="پاس چک",OR(Sync!$AJ574="",COUNTIF(IssueNosA,Sync!$AJ574)=0)),"شماره چک پاس‌شده معتبر نیست",""))))</f>
        <v/>
      </c>
      <c r="V574">
        <f>IF($K574="","",IF(ISNUMBER(Sync!$AK574),Sync!$AK574,LEFT(Sync!$AK574,4)&amp;MID(Sync!$AK574,6,2)&amp;RIGHT(Sync!$AK574,2))&amp;"|"&amp;"4"&amp;RIGHT("00000"&amp;569,5))</f>
        <v/>
      </c>
      <c r="W574">
        <f>IF($V574="",0,COUNTIFS($V$6:$V$2005,"&lt;"&amp;$V574)-COUNTIFS($V$6:$V$2005,"&lt;"&amp;$V574,$K$6:$K$2005,"")+1)</f>
        <v/>
      </c>
      <c r="X574">
        <f>IF(Sync!$AX574="","",IF(OR(N(Sync!$AY574)=0,N(Sync!$AZ574)=0),"",ROUND(N(Sync!$AY574)*N(Sync!$AZ574),0)))</f>
        <v/>
      </c>
      <c r="Y574">
        <f>IF($X574="","",IF(OR(Sync!$AX574="",COUNTIF(AcctCodesA,Sync!$AX574)=0),"متفرقه",Sync!$AX574))</f>
        <v/>
      </c>
      <c r="Z574">
        <f>IF($X574="","","سبد و ظروف")</f>
        <v/>
      </c>
      <c r="AA574">
        <f>IF($X574="","",$Y574)</f>
        <v/>
      </c>
    </row>
    <row r="575">
      <c r="A575">
        <f>IF(Sync!$Z575="","",LEFT(UPPER(TRIM(Sync!$Z575)),6))</f>
        <v/>
      </c>
      <c r="B575">
        <f>IF($A575="","",IF(Sync!$AA575="","",Sync!$AA575))</f>
        <v/>
      </c>
      <c r="C575">
        <f>IF($A575="","",IF(Sync!$AB575="","",Sync!$AB575))</f>
        <v/>
      </c>
      <c r="D575">
        <f>IF($A575="","",IF(Sync!$AC575="","",Sync!$AC575))</f>
        <v/>
      </c>
      <c r="E575">
        <f>IF($A575="","",IF(Sync!$AD575="","",Sync!$AD575))</f>
        <v/>
      </c>
      <c r="F575">
        <f>IF($A575="","",IF(Sync!$AE575="",0,Sync!$AE575))</f>
        <v/>
      </c>
      <c r="G575">
        <f>IF($A575="","",IF(Sync!$AF575="",0,Sync!$AF575))</f>
        <v/>
      </c>
      <c r="H575">
        <f>IF(OR($A575="",ROUND($F575+$G575,2)=0),"",$F575+$G575)</f>
        <v/>
      </c>
      <c r="I575">
        <f>IF($H575="","",IF(ROUND($F575,2)&gt;0,$A575,IF($D575="شخصی قاسم","شخصی قاسم",IF($D575="هزینه","هزینه: "&amp;IF($E575="","متفرقه",$E575),IF($C575="پاس چک","چک پرداختی",IF(OR($B575="",COUNTIF(AcctCodesA,$B575)=0),"متفرقه",$B575))))))</f>
        <v/>
      </c>
      <c r="J575">
        <f>IF($H575="","",IF(ROUND($F575,2)&gt;0,IF($D575="شخصی قاسم","شخصی قاسم",IF($D575="هزینه","هزینه: "&amp;IF($E575="","متفرقه",$E575),IF(OR($B575="",COUNTIF(AcctCodesA,$B575)=0),"متفرقه",$B575))),$A575))</f>
        <v/>
      </c>
      <c r="K575">
        <f>IF($A575="","",IF(AND($B575&lt;&gt;"",COUNTIF(AcctCodesA,$B575)=0),"کد طرف در INFO تعریف نشده",IF(AND($D575="هزینه",$E575=""),"هزینه بدون زیرگروه",IF(AND($C575="پاس چک",OR(Sync!$AJ575="",COUNTIF(IssueNosA,Sync!$AJ575)=0)),"شماره چک پاس‌شده معتبر نیست",""))))</f>
        <v/>
      </c>
      <c r="V575">
        <f>IF($K575="","",IF(ISNUMBER(Sync!$AK575),Sync!$AK575,LEFT(Sync!$AK575,4)&amp;MID(Sync!$AK575,6,2)&amp;RIGHT(Sync!$AK575,2))&amp;"|"&amp;"4"&amp;RIGHT("00000"&amp;570,5))</f>
        <v/>
      </c>
      <c r="W575">
        <f>IF($V575="",0,COUNTIFS($V$6:$V$2005,"&lt;"&amp;$V575)-COUNTIFS($V$6:$V$2005,"&lt;"&amp;$V575,$K$6:$K$2005,"")+1)</f>
        <v/>
      </c>
      <c r="X575">
        <f>IF(Sync!$AX575="","",IF(OR(N(Sync!$AY575)=0,N(Sync!$AZ575)=0),"",ROUND(N(Sync!$AY575)*N(Sync!$AZ575),0)))</f>
        <v/>
      </c>
      <c r="Y575">
        <f>IF($X575="","",IF(OR(Sync!$AX575="",COUNTIF(AcctCodesA,Sync!$AX575)=0),"متفرقه",Sync!$AX575))</f>
        <v/>
      </c>
      <c r="Z575">
        <f>IF($X575="","","سبد و ظروف")</f>
        <v/>
      </c>
      <c r="AA575">
        <f>IF($X575="","",$Y575)</f>
        <v/>
      </c>
    </row>
    <row r="576">
      <c r="A576">
        <f>IF(Sync!$Z576="","",LEFT(UPPER(TRIM(Sync!$Z576)),6))</f>
        <v/>
      </c>
      <c r="B576">
        <f>IF($A576="","",IF(Sync!$AA576="","",Sync!$AA576))</f>
        <v/>
      </c>
      <c r="C576">
        <f>IF($A576="","",IF(Sync!$AB576="","",Sync!$AB576))</f>
        <v/>
      </c>
      <c r="D576">
        <f>IF($A576="","",IF(Sync!$AC576="","",Sync!$AC576))</f>
        <v/>
      </c>
      <c r="E576">
        <f>IF($A576="","",IF(Sync!$AD576="","",Sync!$AD576))</f>
        <v/>
      </c>
      <c r="F576">
        <f>IF($A576="","",IF(Sync!$AE576="",0,Sync!$AE576))</f>
        <v/>
      </c>
      <c r="G576">
        <f>IF($A576="","",IF(Sync!$AF576="",0,Sync!$AF576))</f>
        <v/>
      </c>
      <c r="H576">
        <f>IF(OR($A576="",ROUND($F576+$G576,2)=0),"",$F576+$G576)</f>
        <v/>
      </c>
      <c r="I576">
        <f>IF($H576="","",IF(ROUND($F576,2)&gt;0,$A576,IF($D576="شخصی قاسم","شخصی قاسم",IF($D576="هزینه","هزینه: "&amp;IF($E576="","متفرقه",$E576),IF($C576="پاس چک","چک پرداختی",IF(OR($B576="",COUNTIF(AcctCodesA,$B576)=0),"متفرقه",$B576))))))</f>
        <v/>
      </c>
      <c r="J576">
        <f>IF($H576="","",IF(ROUND($F576,2)&gt;0,IF($D576="شخصی قاسم","شخصی قاسم",IF($D576="هزینه","هزینه: "&amp;IF($E576="","متفرقه",$E576),IF(OR($B576="",COUNTIF(AcctCodesA,$B576)=0),"متفرقه",$B576))),$A576))</f>
        <v/>
      </c>
      <c r="K576">
        <f>IF($A576="","",IF(AND($B576&lt;&gt;"",COUNTIF(AcctCodesA,$B576)=0),"کد طرف در INFO تعریف نشده",IF(AND($D576="هزینه",$E576=""),"هزینه بدون زیرگروه",IF(AND($C576="پاس چک",OR(Sync!$AJ576="",COUNTIF(IssueNosA,Sync!$AJ576)=0)),"شماره چک پاس‌شده معتبر نیست",""))))</f>
        <v/>
      </c>
      <c r="V576">
        <f>IF($K576="","",IF(ISNUMBER(Sync!$AK576),Sync!$AK576,LEFT(Sync!$AK576,4)&amp;MID(Sync!$AK576,6,2)&amp;RIGHT(Sync!$AK576,2))&amp;"|"&amp;"4"&amp;RIGHT("00000"&amp;571,5))</f>
        <v/>
      </c>
      <c r="W576">
        <f>IF($V576="",0,COUNTIFS($V$6:$V$2005,"&lt;"&amp;$V576)-COUNTIFS($V$6:$V$2005,"&lt;"&amp;$V576,$K$6:$K$2005,"")+1)</f>
        <v/>
      </c>
      <c r="X576">
        <f>IF(Sync!$AX576="","",IF(OR(N(Sync!$AY576)=0,N(Sync!$AZ576)=0),"",ROUND(N(Sync!$AY576)*N(Sync!$AZ576),0)))</f>
        <v/>
      </c>
      <c r="Y576">
        <f>IF($X576="","",IF(OR(Sync!$AX576="",COUNTIF(AcctCodesA,Sync!$AX576)=0),"متفرقه",Sync!$AX576))</f>
        <v/>
      </c>
      <c r="Z576">
        <f>IF($X576="","","سبد و ظروف")</f>
        <v/>
      </c>
      <c r="AA576">
        <f>IF($X576="","",$Y576)</f>
        <v/>
      </c>
    </row>
    <row r="577">
      <c r="A577">
        <f>IF(Sync!$Z577="","",LEFT(UPPER(TRIM(Sync!$Z577)),6))</f>
        <v/>
      </c>
      <c r="B577">
        <f>IF($A577="","",IF(Sync!$AA577="","",Sync!$AA577))</f>
        <v/>
      </c>
      <c r="C577">
        <f>IF($A577="","",IF(Sync!$AB577="","",Sync!$AB577))</f>
        <v/>
      </c>
      <c r="D577">
        <f>IF($A577="","",IF(Sync!$AC577="","",Sync!$AC577))</f>
        <v/>
      </c>
      <c r="E577">
        <f>IF($A577="","",IF(Sync!$AD577="","",Sync!$AD577))</f>
        <v/>
      </c>
      <c r="F577">
        <f>IF($A577="","",IF(Sync!$AE577="",0,Sync!$AE577))</f>
        <v/>
      </c>
      <c r="G577">
        <f>IF($A577="","",IF(Sync!$AF577="",0,Sync!$AF577))</f>
        <v/>
      </c>
      <c r="H577">
        <f>IF(OR($A577="",ROUND($F577+$G577,2)=0),"",$F577+$G577)</f>
        <v/>
      </c>
      <c r="I577">
        <f>IF($H577="","",IF(ROUND($F577,2)&gt;0,$A577,IF($D577="شخصی قاسم","شخصی قاسم",IF($D577="هزینه","هزینه: "&amp;IF($E577="","متفرقه",$E577),IF($C577="پاس چک","چک پرداختی",IF(OR($B577="",COUNTIF(AcctCodesA,$B577)=0),"متفرقه",$B577))))))</f>
        <v/>
      </c>
      <c r="J577">
        <f>IF($H577="","",IF(ROUND($F577,2)&gt;0,IF($D577="شخصی قاسم","شخصی قاسم",IF($D577="هزینه","هزینه: "&amp;IF($E577="","متفرقه",$E577),IF(OR($B577="",COUNTIF(AcctCodesA,$B577)=0),"متفرقه",$B577))),$A577))</f>
        <v/>
      </c>
      <c r="K577">
        <f>IF($A577="","",IF(AND($B577&lt;&gt;"",COUNTIF(AcctCodesA,$B577)=0),"کد طرف در INFO تعریف نشده",IF(AND($D577="هزینه",$E577=""),"هزینه بدون زیرگروه",IF(AND($C577="پاس چک",OR(Sync!$AJ577="",COUNTIF(IssueNosA,Sync!$AJ577)=0)),"شماره چک پاس‌شده معتبر نیست",""))))</f>
        <v/>
      </c>
      <c r="V577">
        <f>IF($K577="","",IF(ISNUMBER(Sync!$AK577),Sync!$AK577,LEFT(Sync!$AK577,4)&amp;MID(Sync!$AK577,6,2)&amp;RIGHT(Sync!$AK577,2))&amp;"|"&amp;"4"&amp;RIGHT("00000"&amp;572,5))</f>
        <v/>
      </c>
      <c r="W577">
        <f>IF($V577="",0,COUNTIFS($V$6:$V$2005,"&lt;"&amp;$V577)-COUNTIFS($V$6:$V$2005,"&lt;"&amp;$V577,$K$6:$K$2005,"")+1)</f>
        <v/>
      </c>
      <c r="X577">
        <f>IF(Sync!$AX577="","",IF(OR(N(Sync!$AY577)=0,N(Sync!$AZ577)=0),"",ROUND(N(Sync!$AY577)*N(Sync!$AZ577),0)))</f>
        <v/>
      </c>
      <c r="Y577">
        <f>IF($X577="","",IF(OR(Sync!$AX577="",COUNTIF(AcctCodesA,Sync!$AX577)=0),"متفرقه",Sync!$AX577))</f>
        <v/>
      </c>
      <c r="Z577">
        <f>IF($X577="","","سبد و ظروف")</f>
        <v/>
      </c>
      <c r="AA577">
        <f>IF($X577="","",$Y577)</f>
        <v/>
      </c>
    </row>
    <row r="578">
      <c r="A578">
        <f>IF(Sync!$Z578="","",LEFT(UPPER(TRIM(Sync!$Z578)),6))</f>
        <v/>
      </c>
      <c r="B578">
        <f>IF($A578="","",IF(Sync!$AA578="","",Sync!$AA578))</f>
        <v/>
      </c>
      <c r="C578">
        <f>IF($A578="","",IF(Sync!$AB578="","",Sync!$AB578))</f>
        <v/>
      </c>
      <c r="D578">
        <f>IF($A578="","",IF(Sync!$AC578="","",Sync!$AC578))</f>
        <v/>
      </c>
      <c r="E578">
        <f>IF($A578="","",IF(Sync!$AD578="","",Sync!$AD578))</f>
        <v/>
      </c>
      <c r="F578">
        <f>IF($A578="","",IF(Sync!$AE578="",0,Sync!$AE578))</f>
        <v/>
      </c>
      <c r="G578">
        <f>IF($A578="","",IF(Sync!$AF578="",0,Sync!$AF578))</f>
        <v/>
      </c>
      <c r="H578">
        <f>IF(OR($A578="",ROUND($F578+$G578,2)=0),"",$F578+$G578)</f>
        <v/>
      </c>
      <c r="I578">
        <f>IF($H578="","",IF(ROUND($F578,2)&gt;0,$A578,IF($D578="شخصی قاسم","شخصی قاسم",IF($D578="هزینه","هزینه: "&amp;IF($E578="","متفرقه",$E578),IF($C578="پاس چک","چک پرداختی",IF(OR($B578="",COUNTIF(AcctCodesA,$B578)=0),"متفرقه",$B578))))))</f>
        <v/>
      </c>
      <c r="J578">
        <f>IF($H578="","",IF(ROUND($F578,2)&gt;0,IF($D578="شخصی قاسم","شخصی قاسم",IF($D578="هزینه","هزینه: "&amp;IF($E578="","متفرقه",$E578),IF(OR($B578="",COUNTIF(AcctCodesA,$B578)=0),"متفرقه",$B578))),$A578))</f>
        <v/>
      </c>
      <c r="K578">
        <f>IF($A578="","",IF(AND($B578&lt;&gt;"",COUNTIF(AcctCodesA,$B578)=0),"کد طرف در INFO تعریف نشده",IF(AND($D578="هزینه",$E578=""),"هزینه بدون زیرگروه",IF(AND($C578="پاس چک",OR(Sync!$AJ578="",COUNTIF(IssueNosA,Sync!$AJ578)=0)),"شماره چک پاس‌شده معتبر نیست",""))))</f>
        <v/>
      </c>
      <c r="V578">
        <f>IF($K578="","",IF(ISNUMBER(Sync!$AK578),Sync!$AK578,LEFT(Sync!$AK578,4)&amp;MID(Sync!$AK578,6,2)&amp;RIGHT(Sync!$AK578,2))&amp;"|"&amp;"4"&amp;RIGHT("00000"&amp;573,5))</f>
        <v/>
      </c>
      <c r="W578">
        <f>IF($V578="",0,COUNTIFS($V$6:$V$2005,"&lt;"&amp;$V578)-COUNTIFS($V$6:$V$2005,"&lt;"&amp;$V578,$K$6:$K$2005,"")+1)</f>
        <v/>
      </c>
      <c r="X578">
        <f>IF(Sync!$AX578="","",IF(OR(N(Sync!$AY578)=0,N(Sync!$AZ578)=0),"",ROUND(N(Sync!$AY578)*N(Sync!$AZ578),0)))</f>
        <v/>
      </c>
      <c r="Y578">
        <f>IF($X578="","",IF(OR(Sync!$AX578="",COUNTIF(AcctCodesA,Sync!$AX578)=0),"متفرقه",Sync!$AX578))</f>
        <v/>
      </c>
      <c r="Z578">
        <f>IF($X578="","","سبد و ظروف")</f>
        <v/>
      </c>
      <c r="AA578">
        <f>IF($X578="","",$Y578)</f>
        <v/>
      </c>
    </row>
    <row r="579">
      <c r="A579">
        <f>IF(Sync!$Z579="","",LEFT(UPPER(TRIM(Sync!$Z579)),6))</f>
        <v/>
      </c>
      <c r="B579">
        <f>IF($A579="","",IF(Sync!$AA579="","",Sync!$AA579))</f>
        <v/>
      </c>
      <c r="C579">
        <f>IF($A579="","",IF(Sync!$AB579="","",Sync!$AB579))</f>
        <v/>
      </c>
      <c r="D579">
        <f>IF($A579="","",IF(Sync!$AC579="","",Sync!$AC579))</f>
        <v/>
      </c>
      <c r="E579">
        <f>IF($A579="","",IF(Sync!$AD579="","",Sync!$AD579))</f>
        <v/>
      </c>
      <c r="F579">
        <f>IF($A579="","",IF(Sync!$AE579="",0,Sync!$AE579))</f>
        <v/>
      </c>
      <c r="G579">
        <f>IF($A579="","",IF(Sync!$AF579="",0,Sync!$AF579))</f>
        <v/>
      </c>
      <c r="H579">
        <f>IF(OR($A579="",ROUND($F579+$G579,2)=0),"",$F579+$G579)</f>
        <v/>
      </c>
      <c r="I579">
        <f>IF($H579="","",IF(ROUND($F579,2)&gt;0,$A579,IF($D579="شخصی قاسم","شخصی قاسم",IF($D579="هزینه","هزینه: "&amp;IF($E579="","متفرقه",$E579),IF($C579="پاس چک","چک پرداختی",IF(OR($B579="",COUNTIF(AcctCodesA,$B579)=0),"متفرقه",$B579))))))</f>
        <v/>
      </c>
      <c r="J579">
        <f>IF($H579="","",IF(ROUND($F579,2)&gt;0,IF($D579="شخصی قاسم","شخصی قاسم",IF($D579="هزینه","هزینه: "&amp;IF($E579="","متفرقه",$E579),IF(OR($B579="",COUNTIF(AcctCodesA,$B579)=0),"متفرقه",$B579))),$A579))</f>
        <v/>
      </c>
      <c r="K579">
        <f>IF($A579="","",IF(AND($B579&lt;&gt;"",COUNTIF(AcctCodesA,$B579)=0),"کد طرف در INFO تعریف نشده",IF(AND($D579="هزینه",$E579=""),"هزینه بدون زیرگروه",IF(AND($C579="پاس چک",OR(Sync!$AJ579="",COUNTIF(IssueNosA,Sync!$AJ579)=0)),"شماره چک پاس‌شده معتبر نیست",""))))</f>
        <v/>
      </c>
      <c r="V579">
        <f>IF($K579="","",IF(ISNUMBER(Sync!$AK579),Sync!$AK579,LEFT(Sync!$AK579,4)&amp;MID(Sync!$AK579,6,2)&amp;RIGHT(Sync!$AK579,2))&amp;"|"&amp;"4"&amp;RIGHT("00000"&amp;574,5))</f>
        <v/>
      </c>
      <c r="W579">
        <f>IF($V579="",0,COUNTIFS($V$6:$V$2005,"&lt;"&amp;$V579)-COUNTIFS($V$6:$V$2005,"&lt;"&amp;$V579,$K$6:$K$2005,"")+1)</f>
        <v/>
      </c>
      <c r="X579">
        <f>IF(Sync!$AX579="","",IF(OR(N(Sync!$AY579)=0,N(Sync!$AZ579)=0),"",ROUND(N(Sync!$AY579)*N(Sync!$AZ579),0)))</f>
        <v/>
      </c>
      <c r="Y579">
        <f>IF($X579="","",IF(OR(Sync!$AX579="",COUNTIF(AcctCodesA,Sync!$AX579)=0),"متفرقه",Sync!$AX579))</f>
        <v/>
      </c>
      <c r="Z579">
        <f>IF($X579="","","سبد و ظروف")</f>
        <v/>
      </c>
      <c r="AA579">
        <f>IF($X579="","",$Y579)</f>
        <v/>
      </c>
    </row>
    <row r="580">
      <c r="A580">
        <f>IF(Sync!$Z580="","",LEFT(UPPER(TRIM(Sync!$Z580)),6))</f>
        <v/>
      </c>
      <c r="B580">
        <f>IF($A580="","",IF(Sync!$AA580="","",Sync!$AA580))</f>
        <v/>
      </c>
      <c r="C580">
        <f>IF($A580="","",IF(Sync!$AB580="","",Sync!$AB580))</f>
        <v/>
      </c>
      <c r="D580">
        <f>IF($A580="","",IF(Sync!$AC580="","",Sync!$AC580))</f>
        <v/>
      </c>
      <c r="E580">
        <f>IF($A580="","",IF(Sync!$AD580="","",Sync!$AD580))</f>
        <v/>
      </c>
      <c r="F580">
        <f>IF($A580="","",IF(Sync!$AE580="",0,Sync!$AE580))</f>
        <v/>
      </c>
      <c r="G580">
        <f>IF($A580="","",IF(Sync!$AF580="",0,Sync!$AF580))</f>
        <v/>
      </c>
      <c r="H580">
        <f>IF(OR($A580="",ROUND($F580+$G580,2)=0),"",$F580+$G580)</f>
        <v/>
      </c>
      <c r="I580">
        <f>IF($H580="","",IF(ROUND($F580,2)&gt;0,$A580,IF($D580="شخصی قاسم","شخصی قاسم",IF($D580="هزینه","هزینه: "&amp;IF($E580="","متفرقه",$E580),IF($C580="پاس چک","چک پرداختی",IF(OR($B580="",COUNTIF(AcctCodesA,$B580)=0),"متفرقه",$B580))))))</f>
        <v/>
      </c>
      <c r="J580">
        <f>IF($H580="","",IF(ROUND($F580,2)&gt;0,IF($D580="شخصی قاسم","شخصی قاسم",IF($D580="هزینه","هزینه: "&amp;IF($E580="","متفرقه",$E580),IF(OR($B580="",COUNTIF(AcctCodesA,$B580)=0),"متفرقه",$B580))),$A580))</f>
        <v/>
      </c>
      <c r="K580">
        <f>IF($A580="","",IF(AND($B580&lt;&gt;"",COUNTIF(AcctCodesA,$B580)=0),"کد طرف در INFO تعریف نشده",IF(AND($D580="هزینه",$E580=""),"هزینه بدون زیرگروه",IF(AND($C580="پاس چک",OR(Sync!$AJ580="",COUNTIF(IssueNosA,Sync!$AJ580)=0)),"شماره چک پاس‌شده معتبر نیست",""))))</f>
        <v/>
      </c>
      <c r="V580">
        <f>IF($K580="","",IF(ISNUMBER(Sync!$AK580),Sync!$AK580,LEFT(Sync!$AK580,4)&amp;MID(Sync!$AK580,6,2)&amp;RIGHT(Sync!$AK580,2))&amp;"|"&amp;"4"&amp;RIGHT("00000"&amp;575,5))</f>
        <v/>
      </c>
      <c r="W580">
        <f>IF($V580="",0,COUNTIFS($V$6:$V$2005,"&lt;"&amp;$V580)-COUNTIFS($V$6:$V$2005,"&lt;"&amp;$V580,$K$6:$K$2005,"")+1)</f>
        <v/>
      </c>
      <c r="X580">
        <f>IF(Sync!$AX580="","",IF(OR(N(Sync!$AY580)=0,N(Sync!$AZ580)=0),"",ROUND(N(Sync!$AY580)*N(Sync!$AZ580),0)))</f>
        <v/>
      </c>
      <c r="Y580">
        <f>IF($X580="","",IF(OR(Sync!$AX580="",COUNTIF(AcctCodesA,Sync!$AX580)=0),"متفرقه",Sync!$AX580))</f>
        <v/>
      </c>
      <c r="Z580">
        <f>IF($X580="","","سبد و ظروف")</f>
        <v/>
      </c>
      <c r="AA580">
        <f>IF($X580="","",$Y580)</f>
        <v/>
      </c>
    </row>
    <row r="581">
      <c r="A581">
        <f>IF(Sync!$Z581="","",LEFT(UPPER(TRIM(Sync!$Z581)),6))</f>
        <v/>
      </c>
      <c r="B581">
        <f>IF($A581="","",IF(Sync!$AA581="","",Sync!$AA581))</f>
        <v/>
      </c>
      <c r="C581">
        <f>IF($A581="","",IF(Sync!$AB581="","",Sync!$AB581))</f>
        <v/>
      </c>
      <c r="D581">
        <f>IF($A581="","",IF(Sync!$AC581="","",Sync!$AC581))</f>
        <v/>
      </c>
      <c r="E581">
        <f>IF($A581="","",IF(Sync!$AD581="","",Sync!$AD581))</f>
        <v/>
      </c>
      <c r="F581">
        <f>IF($A581="","",IF(Sync!$AE581="",0,Sync!$AE581))</f>
        <v/>
      </c>
      <c r="G581">
        <f>IF($A581="","",IF(Sync!$AF581="",0,Sync!$AF581))</f>
        <v/>
      </c>
      <c r="H581">
        <f>IF(OR($A581="",ROUND($F581+$G581,2)=0),"",$F581+$G581)</f>
        <v/>
      </c>
      <c r="I581">
        <f>IF($H581="","",IF(ROUND($F581,2)&gt;0,$A581,IF($D581="شخصی قاسم","شخصی قاسم",IF($D581="هزینه","هزینه: "&amp;IF($E581="","متفرقه",$E581),IF($C581="پاس چک","چک پرداختی",IF(OR($B581="",COUNTIF(AcctCodesA,$B581)=0),"متفرقه",$B581))))))</f>
        <v/>
      </c>
      <c r="J581">
        <f>IF($H581="","",IF(ROUND($F581,2)&gt;0,IF($D581="شخصی قاسم","شخصی قاسم",IF($D581="هزینه","هزینه: "&amp;IF($E581="","متفرقه",$E581),IF(OR($B581="",COUNTIF(AcctCodesA,$B581)=0),"متفرقه",$B581))),$A581))</f>
        <v/>
      </c>
      <c r="K581">
        <f>IF($A581="","",IF(AND($B581&lt;&gt;"",COUNTIF(AcctCodesA,$B581)=0),"کد طرف در INFO تعریف نشده",IF(AND($D581="هزینه",$E581=""),"هزینه بدون زیرگروه",IF(AND($C581="پاس چک",OR(Sync!$AJ581="",COUNTIF(IssueNosA,Sync!$AJ581)=0)),"شماره چک پاس‌شده معتبر نیست",""))))</f>
        <v/>
      </c>
      <c r="V581">
        <f>IF($K581="","",IF(ISNUMBER(Sync!$AK581),Sync!$AK581,LEFT(Sync!$AK581,4)&amp;MID(Sync!$AK581,6,2)&amp;RIGHT(Sync!$AK581,2))&amp;"|"&amp;"4"&amp;RIGHT("00000"&amp;576,5))</f>
        <v/>
      </c>
      <c r="W581">
        <f>IF($V581="",0,COUNTIFS($V$6:$V$2005,"&lt;"&amp;$V581)-COUNTIFS($V$6:$V$2005,"&lt;"&amp;$V581,$K$6:$K$2005,"")+1)</f>
        <v/>
      </c>
      <c r="X581">
        <f>IF(Sync!$AX581="","",IF(OR(N(Sync!$AY581)=0,N(Sync!$AZ581)=0),"",ROUND(N(Sync!$AY581)*N(Sync!$AZ581),0)))</f>
        <v/>
      </c>
      <c r="Y581">
        <f>IF($X581="","",IF(OR(Sync!$AX581="",COUNTIF(AcctCodesA,Sync!$AX581)=0),"متفرقه",Sync!$AX581))</f>
        <v/>
      </c>
      <c r="Z581">
        <f>IF($X581="","","سبد و ظروف")</f>
        <v/>
      </c>
      <c r="AA581">
        <f>IF($X581="","",$Y581)</f>
        <v/>
      </c>
    </row>
    <row r="582">
      <c r="A582">
        <f>IF(Sync!$Z582="","",LEFT(UPPER(TRIM(Sync!$Z582)),6))</f>
        <v/>
      </c>
      <c r="B582">
        <f>IF($A582="","",IF(Sync!$AA582="","",Sync!$AA582))</f>
        <v/>
      </c>
      <c r="C582">
        <f>IF($A582="","",IF(Sync!$AB582="","",Sync!$AB582))</f>
        <v/>
      </c>
      <c r="D582">
        <f>IF($A582="","",IF(Sync!$AC582="","",Sync!$AC582))</f>
        <v/>
      </c>
      <c r="E582">
        <f>IF($A582="","",IF(Sync!$AD582="","",Sync!$AD582))</f>
        <v/>
      </c>
      <c r="F582">
        <f>IF($A582="","",IF(Sync!$AE582="",0,Sync!$AE582))</f>
        <v/>
      </c>
      <c r="G582">
        <f>IF($A582="","",IF(Sync!$AF582="",0,Sync!$AF582))</f>
        <v/>
      </c>
      <c r="H582">
        <f>IF(OR($A582="",ROUND($F582+$G582,2)=0),"",$F582+$G582)</f>
        <v/>
      </c>
      <c r="I582">
        <f>IF($H582="","",IF(ROUND($F582,2)&gt;0,$A582,IF($D582="شخصی قاسم","شخصی قاسم",IF($D582="هزینه","هزینه: "&amp;IF($E582="","متفرقه",$E582),IF($C582="پاس چک","چک پرداختی",IF(OR($B582="",COUNTIF(AcctCodesA,$B582)=0),"متفرقه",$B582))))))</f>
        <v/>
      </c>
      <c r="J582">
        <f>IF($H582="","",IF(ROUND($F582,2)&gt;0,IF($D582="شخصی قاسم","شخصی قاسم",IF($D582="هزینه","هزینه: "&amp;IF($E582="","متفرقه",$E582),IF(OR($B582="",COUNTIF(AcctCodesA,$B582)=0),"متفرقه",$B582))),$A582))</f>
        <v/>
      </c>
      <c r="K582">
        <f>IF($A582="","",IF(AND($B582&lt;&gt;"",COUNTIF(AcctCodesA,$B582)=0),"کد طرف در INFO تعریف نشده",IF(AND($D582="هزینه",$E582=""),"هزینه بدون زیرگروه",IF(AND($C582="پاس چک",OR(Sync!$AJ582="",COUNTIF(IssueNosA,Sync!$AJ582)=0)),"شماره چک پاس‌شده معتبر نیست",""))))</f>
        <v/>
      </c>
      <c r="V582">
        <f>IF($K582="","",IF(ISNUMBER(Sync!$AK582),Sync!$AK582,LEFT(Sync!$AK582,4)&amp;MID(Sync!$AK582,6,2)&amp;RIGHT(Sync!$AK582,2))&amp;"|"&amp;"4"&amp;RIGHT("00000"&amp;577,5))</f>
        <v/>
      </c>
      <c r="W582">
        <f>IF($V582="",0,COUNTIFS($V$6:$V$2005,"&lt;"&amp;$V582)-COUNTIFS($V$6:$V$2005,"&lt;"&amp;$V582,$K$6:$K$2005,"")+1)</f>
        <v/>
      </c>
      <c r="X582">
        <f>IF(Sync!$AX582="","",IF(OR(N(Sync!$AY582)=0,N(Sync!$AZ582)=0),"",ROUND(N(Sync!$AY582)*N(Sync!$AZ582),0)))</f>
        <v/>
      </c>
      <c r="Y582">
        <f>IF($X582="","",IF(OR(Sync!$AX582="",COUNTIF(AcctCodesA,Sync!$AX582)=0),"متفرقه",Sync!$AX582))</f>
        <v/>
      </c>
      <c r="Z582">
        <f>IF($X582="","","سبد و ظروف")</f>
        <v/>
      </c>
      <c r="AA582">
        <f>IF($X582="","",$Y582)</f>
        <v/>
      </c>
    </row>
    <row r="583">
      <c r="A583">
        <f>IF(Sync!$Z583="","",LEFT(UPPER(TRIM(Sync!$Z583)),6))</f>
        <v/>
      </c>
      <c r="B583">
        <f>IF($A583="","",IF(Sync!$AA583="","",Sync!$AA583))</f>
        <v/>
      </c>
      <c r="C583">
        <f>IF($A583="","",IF(Sync!$AB583="","",Sync!$AB583))</f>
        <v/>
      </c>
      <c r="D583">
        <f>IF($A583="","",IF(Sync!$AC583="","",Sync!$AC583))</f>
        <v/>
      </c>
      <c r="E583">
        <f>IF($A583="","",IF(Sync!$AD583="","",Sync!$AD583))</f>
        <v/>
      </c>
      <c r="F583">
        <f>IF($A583="","",IF(Sync!$AE583="",0,Sync!$AE583))</f>
        <v/>
      </c>
      <c r="G583">
        <f>IF($A583="","",IF(Sync!$AF583="",0,Sync!$AF583))</f>
        <v/>
      </c>
      <c r="H583">
        <f>IF(OR($A583="",ROUND($F583+$G583,2)=0),"",$F583+$G583)</f>
        <v/>
      </c>
      <c r="I583">
        <f>IF($H583="","",IF(ROUND($F583,2)&gt;0,$A583,IF($D583="شخصی قاسم","شخصی قاسم",IF($D583="هزینه","هزینه: "&amp;IF($E583="","متفرقه",$E583),IF($C583="پاس چک","چک پرداختی",IF(OR($B583="",COUNTIF(AcctCodesA,$B583)=0),"متفرقه",$B583))))))</f>
        <v/>
      </c>
      <c r="J583">
        <f>IF($H583="","",IF(ROUND($F583,2)&gt;0,IF($D583="شخصی قاسم","شخصی قاسم",IF($D583="هزینه","هزینه: "&amp;IF($E583="","متفرقه",$E583),IF(OR($B583="",COUNTIF(AcctCodesA,$B583)=0),"متفرقه",$B583))),$A583))</f>
        <v/>
      </c>
      <c r="K583">
        <f>IF($A583="","",IF(AND($B583&lt;&gt;"",COUNTIF(AcctCodesA,$B583)=0),"کد طرف در INFO تعریف نشده",IF(AND($D583="هزینه",$E583=""),"هزینه بدون زیرگروه",IF(AND($C583="پاس چک",OR(Sync!$AJ583="",COUNTIF(IssueNosA,Sync!$AJ583)=0)),"شماره چک پاس‌شده معتبر نیست",""))))</f>
        <v/>
      </c>
      <c r="V583">
        <f>IF($K583="","",IF(ISNUMBER(Sync!$AK583),Sync!$AK583,LEFT(Sync!$AK583,4)&amp;MID(Sync!$AK583,6,2)&amp;RIGHT(Sync!$AK583,2))&amp;"|"&amp;"4"&amp;RIGHT("00000"&amp;578,5))</f>
        <v/>
      </c>
      <c r="W583">
        <f>IF($V583="",0,COUNTIFS($V$6:$V$2005,"&lt;"&amp;$V583)-COUNTIFS($V$6:$V$2005,"&lt;"&amp;$V583,$K$6:$K$2005,"")+1)</f>
        <v/>
      </c>
      <c r="X583">
        <f>IF(Sync!$AX583="","",IF(OR(N(Sync!$AY583)=0,N(Sync!$AZ583)=0),"",ROUND(N(Sync!$AY583)*N(Sync!$AZ583),0)))</f>
        <v/>
      </c>
      <c r="Y583">
        <f>IF($X583="","",IF(OR(Sync!$AX583="",COUNTIF(AcctCodesA,Sync!$AX583)=0),"متفرقه",Sync!$AX583))</f>
        <v/>
      </c>
      <c r="Z583">
        <f>IF($X583="","","سبد و ظروف")</f>
        <v/>
      </c>
      <c r="AA583">
        <f>IF($X583="","",$Y583)</f>
        <v/>
      </c>
    </row>
    <row r="584">
      <c r="A584">
        <f>IF(Sync!$Z584="","",LEFT(UPPER(TRIM(Sync!$Z584)),6))</f>
        <v/>
      </c>
      <c r="B584">
        <f>IF($A584="","",IF(Sync!$AA584="","",Sync!$AA584))</f>
        <v/>
      </c>
      <c r="C584">
        <f>IF($A584="","",IF(Sync!$AB584="","",Sync!$AB584))</f>
        <v/>
      </c>
      <c r="D584">
        <f>IF($A584="","",IF(Sync!$AC584="","",Sync!$AC584))</f>
        <v/>
      </c>
      <c r="E584">
        <f>IF($A584="","",IF(Sync!$AD584="","",Sync!$AD584))</f>
        <v/>
      </c>
      <c r="F584">
        <f>IF($A584="","",IF(Sync!$AE584="",0,Sync!$AE584))</f>
        <v/>
      </c>
      <c r="G584">
        <f>IF($A584="","",IF(Sync!$AF584="",0,Sync!$AF584))</f>
        <v/>
      </c>
      <c r="H584">
        <f>IF(OR($A584="",ROUND($F584+$G584,2)=0),"",$F584+$G584)</f>
        <v/>
      </c>
      <c r="I584">
        <f>IF($H584="","",IF(ROUND($F584,2)&gt;0,$A584,IF($D584="شخصی قاسم","شخصی قاسم",IF($D584="هزینه","هزینه: "&amp;IF($E584="","متفرقه",$E584),IF($C584="پاس چک","چک پرداختی",IF(OR($B584="",COUNTIF(AcctCodesA,$B584)=0),"متفرقه",$B584))))))</f>
        <v/>
      </c>
      <c r="J584">
        <f>IF($H584="","",IF(ROUND($F584,2)&gt;0,IF($D584="شخصی قاسم","شخصی قاسم",IF($D584="هزینه","هزینه: "&amp;IF($E584="","متفرقه",$E584),IF(OR($B584="",COUNTIF(AcctCodesA,$B584)=0),"متفرقه",$B584))),$A584))</f>
        <v/>
      </c>
      <c r="K584">
        <f>IF($A584="","",IF(AND($B584&lt;&gt;"",COUNTIF(AcctCodesA,$B584)=0),"کد طرف در INFO تعریف نشده",IF(AND($D584="هزینه",$E584=""),"هزینه بدون زیرگروه",IF(AND($C584="پاس چک",OR(Sync!$AJ584="",COUNTIF(IssueNosA,Sync!$AJ584)=0)),"شماره چک پاس‌شده معتبر نیست",""))))</f>
        <v/>
      </c>
      <c r="V584">
        <f>IF($K584="","",IF(ISNUMBER(Sync!$AK584),Sync!$AK584,LEFT(Sync!$AK584,4)&amp;MID(Sync!$AK584,6,2)&amp;RIGHT(Sync!$AK584,2))&amp;"|"&amp;"4"&amp;RIGHT("00000"&amp;579,5))</f>
        <v/>
      </c>
      <c r="W584">
        <f>IF($V584="",0,COUNTIFS($V$6:$V$2005,"&lt;"&amp;$V584)-COUNTIFS($V$6:$V$2005,"&lt;"&amp;$V584,$K$6:$K$2005,"")+1)</f>
        <v/>
      </c>
      <c r="X584">
        <f>IF(Sync!$AX584="","",IF(OR(N(Sync!$AY584)=0,N(Sync!$AZ584)=0),"",ROUND(N(Sync!$AY584)*N(Sync!$AZ584),0)))</f>
        <v/>
      </c>
      <c r="Y584">
        <f>IF($X584="","",IF(OR(Sync!$AX584="",COUNTIF(AcctCodesA,Sync!$AX584)=0),"متفرقه",Sync!$AX584))</f>
        <v/>
      </c>
      <c r="Z584">
        <f>IF($X584="","","سبد و ظروف")</f>
        <v/>
      </c>
      <c r="AA584">
        <f>IF($X584="","",$Y584)</f>
        <v/>
      </c>
    </row>
    <row r="585">
      <c r="A585">
        <f>IF(Sync!$Z585="","",LEFT(UPPER(TRIM(Sync!$Z585)),6))</f>
        <v/>
      </c>
      <c r="B585">
        <f>IF($A585="","",IF(Sync!$AA585="","",Sync!$AA585))</f>
        <v/>
      </c>
      <c r="C585">
        <f>IF($A585="","",IF(Sync!$AB585="","",Sync!$AB585))</f>
        <v/>
      </c>
      <c r="D585">
        <f>IF($A585="","",IF(Sync!$AC585="","",Sync!$AC585))</f>
        <v/>
      </c>
      <c r="E585">
        <f>IF($A585="","",IF(Sync!$AD585="","",Sync!$AD585))</f>
        <v/>
      </c>
      <c r="F585">
        <f>IF($A585="","",IF(Sync!$AE585="",0,Sync!$AE585))</f>
        <v/>
      </c>
      <c r="G585">
        <f>IF($A585="","",IF(Sync!$AF585="",0,Sync!$AF585))</f>
        <v/>
      </c>
      <c r="H585">
        <f>IF(OR($A585="",ROUND($F585+$G585,2)=0),"",$F585+$G585)</f>
        <v/>
      </c>
      <c r="I585">
        <f>IF($H585="","",IF(ROUND($F585,2)&gt;0,$A585,IF($D585="شخصی قاسم","شخصی قاسم",IF($D585="هزینه","هزینه: "&amp;IF($E585="","متفرقه",$E585),IF($C585="پاس چک","چک پرداختی",IF(OR($B585="",COUNTIF(AcctCodesA,$B585)=0),"متفرقه",$B585))))))</f>
        <v/>
      </c>
      <c r="J585">
        <f>IF($H585="","",IF(ROUND($F585,2)&gt;0,IF($D585="شخصی قاسم","شخصی قاسم",IF($D585="هزینه","هزینه: "&amp;IF($E585="","متفرقه",$E585),IF(OR($B585="",COUNTIF(AcctCodesA,$B585)=0),"متفرقه",$B585))),$A585))</f>
        <v/>
      </c>
      <c r="K585">
        <f>IF($A585="","",IF(AND($B585&lt;&gt;"",COUNTIF(AcctCodesA,$B585)=0),"کد طرف در INFO تعریف نشده",IF(AND($D585="هزینه",$E585=""),"هزینه بدون زیرگروه",IF(AND($C585="پاس چک",OR(Sync!$AJ585="",COUNTIF(IssueNosA,Sync!$AJ585)=0)),"شماره چک پاس‌شده معتبر نیست",""))))</f>
        <v/>
      </c>
      <c r="V585">
        <f>IF($K585="","",IF(ISNUMBER(Sync!$AK585),Sync!$AK585,LEFT(Sync!$AK585,4)&amp;MID(Sync!$AK585,6,2)&amp;RIGHT(Sync!$AK585,2))&amp;"|"&amp;"4"&amp;RIGHT("00000"&amp;580,5))</f>
        <v/>
      </c>
      <c r="W585">
        <f>IF($V585="",0,COUNTIFS($V$6:$V$2005,"&lt;"&amp;$V585)-COUNTIFS($V$6:$V$2005,"&lt;"&amp;$V585,$K$6:$K$2005,"")+1)</f>
        <v/>
      </c>
      <c r="X585">
        <f>IF(Sync!$AX585="","",IF(OR(N(Sync!$AY585)=0,N(Sync!$AZ585)=0),"",ROUND(N(Sync!$AY585)*N(Sync!$AZ585),0)))</f>
        <v/>
      </c>
      <c r="Y585">
        <f>IF($X585="","",IF(OR(Sync!$AX585="",COUNTIF(AcctCodesA,Sync!$AX585)=0),"متفرقه",Sync!$AX585))</f>
        <v/>
      </c>
      <c r="Z585">
        <f>IF($X585="","","سبد و ظروف")</f>
        <v/>
      </c>
      <c r="AA585">
        <f>IF($X585="","",$Y585)</f>
        <v/>
      </c>
    </row>
    <row r="586">
      <c r="A586">
        <f>IF(Sync!$Z586="","",LEFT(UPPER(TRIM(Sync!$Z586)),6))</f>
        <v/>
      </c>
      <c r="B586">
        <f>IF($A586="","",IF(Sync!$AA586="","",Sync!$AA586))</f>
        <v/>
      </c>
      <c r="C586">
        <f>IF($A586="","",IF(Sync!$AB586="","",Sync!$AB586))</f>
        <v/>
      </c>
      <c r="D586">
        <f>IF($A586="","",IF(Sync!$AC586="","",Sync!$AC586))</f>
        <v/>
      </c>
      <c r="E586">
        <f>IF($A586="","",IF(Sync!$AD586="","",Sync!$AD586))</f>
        <v/>
      </c>
      <c r="F586">
        <f>IF($A586="","",IF(Sync!$AE586="",0,Sync!$AE586))</f>
        <v/>
      </c>
      <c r="G586">
        <f>IF($A586="","",IF(Sync!$AF586="",0,Sync!$AF586))</f>
        <v/>
      </c>
      <c r="H586">
        <f>IF(OR($A586="",ROUND($F586+$G586,2)=0),"",$F586+$G586)</f>
        <v/>
      </c>
      <c r="I586">
        <f>IF($H586="","",IF(ROUND($F586,2)&gt;0,$A586,IF($D586="شخصی قاسم","شخصی قاسم",IF($D586="هزینه","هزینه: "&amp;IF($E586="","متفرقه",$E586),IF($C586="پاس چک","چک پرداختی",IF(OR($B586="",COUNTIF(AcctCodesA,$B586)=0),"متفرقه",$B586))))))</f>
        <v/>
      </c>
      <c r="J586">
        <f>IF($H586="","",IF(ROUND($F586,2)&gt;0,IF($D586="شخصی قاسم","شخصی قاسم",IF($D586="هزینه","هزینه: "&amp;IF($E586="","متفرقه",$E586),IF(OR($B586="",COUNTIF(AcctCodesA,$B586)=0),"متفرقه",$B586))),$A586))</f>
        <v/>
      </c>
      <c r="K586">
        <f>IF($A586="","",IF(AND($B586&lt;&gt;"",COUNTIF(AcctCodesA,$B586)=0),"کد طرف در INFO تعریف نشده",IF(AND($D586="هزینه",$E586=""),"هزینه بدون زیرگروه",IF(AND($C586="پاس چک",OR(Sync!$AJ586="",COUNTIF(IssueNosA,Sync!$AJ586)=0)),"شماره چک پاس‌شده معتبر نیست",""))))</f>
        <v/>
      </c>
      <c r="V586">
        <f>IF($K586="","",IF(ISNUMBER(Sync!$AK586),Sync!$AK586,LEFT(Sync!$AK586,4)&amp;MID(Sync!$AK586,6,2)&amp;RIGHT(Sync!$AK586,2))&amp;"|"&amp;"4"&amp;RIGHT("00000"&amp;581,5))</f>
        <v/>
      </c>
      <c r="W586">
        <f>IF($V586="",0,COUNTIFS($V$6:$V$2005,"&lt;"&amp;$V586)-COUNTIFS($V$6:$V$2005,"&lt;"&amp;$V586,$K$6:$K$2005,"")+1)</f>
        <v/>
      </c>
      <c r="X586">
        <f>IF(Sync!$AX586="","",IF(OR(N(Sync!$AY586)=0,N(Sync!$AZ586)=0),"",ROUND(N(Sync!$AY586)*N(Sync!$AZ586),0)))</f>
        <v/>
      </c>
      <c r="Y586">
        <f>IF($X586="","",IF(OR(Sync!$AX586="",COUNTIF(AcctCodesA,Sync!$AX586)=0),"متفرقه",Sync!$AX586))</f>
        <v/>
      </c>
      <c r="Z586">
        <f>IF($X586="","","سبد و ظروف")</f>
        <v/>
      </c>
      <c r="AA586">
        <f>IF($X586="","",$Y586)</f>
        <v/>
      </c>
    </row>
    <row r="587">
      <c r="A587">
        <f>IF(Sync!$Z587="","",LEFT(UPPER(TRIM(Sync!$Z587)),6))</f>
        <v/>
      </c>
      <c r="B587">
        <f>IF($A587="","",IF(Sync!$AA587="","",Sync!$AA587))</f>
        <v/>
      </c>
      <c r="C587">
        <f>IF($A587="","",IF(Sync!$AB587="","",Sync!$AB587))</f>
        <v/>
      </c>
      <c r="D587">
        <f>IF($A587="","",IF(Sync!$AC587="","",Sync!$AC587))</f>
        <v/>
      </c>
      <c r="E587">
        <f>IF($A587="","",IF(Sync!$AD587="","",Sync!$AD587))</f>
        <v/>
      </c>
      <c r="F587">
        <f>IF($A587="","",IF(Sync!$AE587="",0,Sync!$AE587))</f>
        <v/>
      </c>
      <c r="G587">
        <f>IF($A587="","",IF(Sync!$AF587="",0,Sync!$AF587))</f>
        <v/>
      </c>
      <c r="H587">
        <f>IF(OR($A587="",ROUND($F587+$G587,2)=0),"",$F587+$G587)</f>
        <v/>
      </c>
      <c r="I587">
        <f>IF($H587="","",IF(ROUND($F587,2)&gt;0,$A587,IF($D587="شخصی قاسم","شخصی قاسم",IF($D587="هزینه","هزینه: "&amp;IF($E587="","متفرقه",$E587),IF($C587="پاس چک","چک پرداختی",IF(OR($B587="",COUNTIF(AcctCodesA,$B587)=0),"متفرقه",$B587))))))</f>
        <v/>
      </c>
      <c r="J587">
        <f>IF($H587="","",IF(ROUND($F587,2)&gt;0,IF($D587="شخصی قاسم","شخصی قاسم",IF($D587="هزینه","هزینه: "&amp;IF($E587="","متفرقه",$E587),IF(OR($B587="",COUNTIF(AcctCodesA,$B587)=0),"متفرقه",$B587))),$A587))</f>
        <v/>
      </c>
      <c r="K587">
        <f>IF($A587="","",IF(AND($B587&lt;&gt;"",COUNTIF(AcctCodesA,$B587)=0),"کد طرف در INFO تعریف نشده",IF(AND($D587="هزینه",$E587=""),"هزینه بدون زیرگروه",IF(AND($C587="پاس چک",OR(Sync!$AJ587="",COUNTIF(IssueNosA,Sync!$AJ587)=0)),"شماره چک پاس‌شده معتبر نیست",""))))</f>
        <v/>
      </c>
      <c r="V587">
        <f>IF($K587="","",IF(ISNUMBER(Sync!$AK587),Sync!$AK587,LEFT(Sync!$AK587,4)&amp;MID(Sync!$AK587,6,2)&amp;RIGHT(Sync!$AK587,2))&amp;"|"&amp;"4"&amp;RIGHT("00000"&amp;582,5))</f>
        <v/>
      </c>
      <c r="W587">
        <f>IF($V587="",0,COUNTIFS($V$6:$V$2005,"&lt;"&amp;$V587)-COUNTIFS($V$6:$V$2005,"&lt;"&amp;$V587,$K$6:$K$2005,"")+1)</f>
        <v/>
      </c>
      <c r="X587">
        <f>IF(Sync!$AX587="","",IF(OR(N(Sync!$AY587)=0,N(Sync!$AZ587)=0),"",ROUND(N(Sync!$AY587)*N(Sync!$AZ587),0)))</f>
        <v/>
      </c>
      <c r="Y587">
        <f>IF($X587="","",IF(OR(Sync!$AX587="",COUNTIF(AcctCodesA,Sync!$AX587)=0),"متفرقه",Sync!$AX587))</f>
        <v/>
      </c>
      <c r="Z587">
        <f>IF($X587="","","سبد و ظروف")</f>
        <v/>
      </c>
      <c r="AA587">
        <f>IF($X587="","",$Y587)</f>
        <v/>
      </c>
    </row>
    <row r="588">
      <c r="A588">
        <f>IF(Sync!$Z588="","",LEFT(UPPER(TRIM(Sync!$Z588)),6))</f>
        <v/>
      </c>
      <c r="B588">
        <f>IF($A588="","",IF(Sync!$AA588="","",Sync!$AA588))</f>
        <v/>
      </c>
      <c r="C588">
        <f>IF($A588="","",IF(Sync!$AB588="","",Sync!$AB588))</f>
        <v/>
      </c>
      <c r="D588">
        <f>IF($A588="","",IF(Sync!$AC588="","",Sync!$AC588))</f>
        <v/>
      </c>
      <c r="E588">
        <f>IF($A588="","",IF(Sync!$AD588="","",Sync!$AD588))</f>
        <v/>
      </c>
      <c r="F588">
        <f>IF($A588="","",IF(Sync!$AE588="",0,Sync!$AE588))</f>
        <v/>
      </c>
      <c r="G588">
        <f>IF($A588="","",IF(Sync!$AF588="",0,Sync!$AF588))</f>
        <v/>
      </c>
      <c r="H588">
        <f>IF(OR($A588="",ROUND($F588+$G588,2)=0),"",$F588+$G588)</f>
        <v/>
      </c>
      <c r="I588">
        <f>IF($H588="","",IF(ROUND($F588,2)&gt;0,$A588,IF($D588="شخصی قاسم","شخصی قاسم",IF($D588="هزینه","هزینه: "&amp;IF($E588="","متفرقه",$E588),IF($C588="پاس چک","چک پرداختی",IF(OR($B588="",COUNTIF(AcctCodesA,$B588)=0),"متفرقه",$B588))))))</f>
        <v/>
      </c>
      <c r="J588">
        <f>IF($H588="","",IF(ROUND($F588,2)&gt;0,IF($D588="شخصی قاسم","شخصی قاسم",IF($D588="هزینه","هزینه: "&amp;IF($E588="","متفرقه",$E588),IF(OR($B588="",COUNTIF(AcctCodesA,$B588)=0),"متفرقه",$B588))),$A588))</f>
        <v/>
      </c>
      <c r="K588">
        <f>IF($A588="","",IF(AND($B588&lt;&gt;"",COUNTIF(AcctCodesA,$B588)=0),"کد طرف در INFO تعریف نشده",IF(AND($D588="هزینه",$E588=""),"هزینه بدون زیرگروه",IF(AND($C588="پاس چک",OR(Sync!$AJ588="",COUNTIF(IssueNosA,Sync!$AJ588)=0)),"شماره چک پاس‌شده معتبر نیست",""))))</f>
        <v/>
      </c>
      <c r="V588">
        <f>IF($K588="","",IF(ISNUMBER(Sync!$AK588),Sync!$AK588,LEFT(Sync!$AK588,4)&amp;MID(Sync!$AK588,6,2)&amp;RIGHT(Sync!$AK588,2))&amp;"|"&amp;"4"&amp;RIGHT("00000"&amp;583,5))</f>
        <v/>
      </c>
      <c r="W588">
        <f>IF($V588="",0,COUNTIFS($V$6:$V$2005,"&lt;"&amp;$V588)-COUNTIFS($V$6:$V$2005,"&lt;"&amp;$V588,$K$6:$K$2005,"")+1)</f>
        <v/>
      </c>
      <c r="X588">
        <f>IF(Sync!$AX588="","",IF(OR(N(Sync!$AY588)=0,N(Sync!$AZ588)=0),"",ROUND(N(Sync!$AY588)*N(Sync!$AZ588),0)))</f>
        <v/>
      </c>
      <c r="Y588">
        <f>IF($X588="","",IF(OR(Sync!$AX588="",COUNTIF(AcctCodesA,Sync!$AX588)=0),"متفرقه",Sync!$AX588))</f>
        <v/>
      </c>
      <c r="Z588">
        <f>IF($X588="","","سبد و ظروف")</f>
        <v/>
      </c>
      <c r="AA588">
        <f>IF($X588="","",$Y588)</f>
        <v/>
      </c>
    </row>
    <row r="589">
      <c r="A589">
        <f>IF(Sync!$Z589="","",LEFT(UPPER(TRIM(Sync!$Z589)),6))</f>
        <v/>
      </c>
      <c r="B589">
        <f>IF($A589="","",IF(Sync!$AA589="","",Sync!$AA589))</f>
        <v/>
      </c>
      <c r="C589">
        <f>IF($A589="","",IF(Sync!$AB589="","",Sync!$AB589))</f>
        <v/>
      </c>
      <c r="D589">
        <f>IF($A589="","",IF(Sync!$AC589="","",Sync!$AC589))</f>
        <v/>
      </c>
      <c r="E589">
        <f>IF($A589="","",IF(Sync!$AD589="","",Sync!$AD589))</f>
        <v/>
      </c>
      <c r="F589">
        <f>IF($A589="","",IF(Sync!$AE589="",0,Sync!$AE589))</f>
        <v/>
      </c>
      <c r="G589">
        <f>IF($A589="","",IF(Sync!$AF589="",0,Sync!$AF589))</f>
        <v/>
      </c>
      <c r="H589">
        <f>IF(OR($A589="",ROUND($F589+$G589,2)=0),"",$F589+$G589)</f>
        <v/>
      </c>
      <c r="I589">
        <f>IF($H589="","",IF(ROUND($F589,2)&gt;0,$A589,IF($D589="شخصی قاسم","شخصی قاسم",IF($D589="هزینه","هزینه: "&amp;IF($E589="","متفرقه",$E589),IF($C589="پاس چک","چک پرداختی",IF(OR($B589="",COUNTIF(AcctCodesA,$B589)=0),"متفرقه",$B589))))))</f>
        <v/>
      </c>
      <c r="J589">
        <f>IF($H589="","",IF(ROUND($F589,2)&gt;0,IF($D589="شخصی قاسم","شخصی قاسم",IF($D589="هزینه","هزینه: "&amp;IF($E589="","متفرقه",$E589),IF(OR($B589="",COUNTIF(AcctCodesA,$B589)=0),"متفرقه",$B589))),$A589))</f>
        <v/>
      </c>
      <c r="K589">
        <f>IF($A589="","",IF(AND($B589&lt;&gt;"",COUNTIF(AcctCodesA,$B589)=0),"کد طرف در INFO تعریف نشده",IF(AND($D589="هزینه",$E589=""),"هزینه بدون زیرگروه",IF(AND($C589="پاس چک",OR(Sync!$AJ589="",COUNTIF(IssueNosA,Sync!$AJ589)=0)),"شماره چک پاس‌شده معتبر نیست",""))))</f>
        <v/>
      </c>
      <c r="V589">
        <f>IF($K589="","",IF(ISNUMBER(Sync!$AK589),Sync!$AK589,LEFT(Sync!$AK589,4)&amp;MID(Sync!$AK589,6,2)&amp;RIGHT(Sync!$AK589,2))&amp;"|"&amp;"4"&amp;RIGHT("00000"&amp;584,5))</f>
        <v/>
      </c>
      <c r="W589">
        <f>IF($V589="",0,COUNTIFS($V$6:$V$2005,"&lt;"&amp;$V589)-COUNTIFS($V$6:$V$2005,"&lt;"&amp;$V589,$K$6:$K$2005,"")+1)</f>
        <v/>
      </c>
      <c r="X589">
        <f>IF(Sync!$AX589="","",IF(OR(N(Sync!$AY589)=0,N(Sync!$AZ589)=0),"",ROUND(N(Sync!$AY589)*N(Sync!$AZ589),0)))</f>
        <v/>
      </c>
      <c r="Y589">
        <f>IF($X589="","",IF(OR(Sync!$AX589="",COUNTIF(AcctCodesA,Sync!$AX589)=0),"متفرقه",Sync!$AX589))</f>
        <v/>
      </c>
      <c r="Z589">
        <f>IF($X589="","","سبد و ظروف")</f>
        <v/>
      </c>
      <c r="AA589">
        <f>IF($X589="","",$Y589)</f>
        <v/>
      </c>
    </row>
    <row r="590">
      <c r="A590">
        <f>IF(Sync!$Z590="","",LEFT(UPPER(TRIM(Sync!$Z590)),6))</f>
        <v/>
      </c>
      <c r="B590">
        <f>IF($A590="","",IF(Sync!$AA590="","",Sync!$AA590))</f>
        <v/>
      </c>
      <c r="C590">
        <f>IF($A590="","",IF(Sync!$AB590="","",Sync!$AB590))</f>
        <v/>
      </c>
      <c r="D590">
        <f>IF($A590="","",IF(Sync!$AC590="","",Sync!$AC590))</f>
        <v/>
      </c>
      <c r="E590">
        <f>IF($A590="","",IF(Sync!$AD590="","",Sync!$AD590))</f>
        <v/>
      </c>
      <c r="F590">
        <f>IF($A590="","",IF(Sync!$AE590="",0,Sync!$AE590))</f>
        <v/>
      </c>
      <c r="G590">
        <f>IF($A590="","",IF(Sync!$AF590="",0,Sync!$AF590))</f>
        <v/>
      </c>
      <c r="H590">
        <f>IF(OR($A590="",ROUND($F590+$G590,2)=0),"",$F590+$G590)</f>
        <v/>
      </c>
      <c r="I590">
        <f>IF($H590="","",IF(ROUND($F590,2)&gt;0,$A590,IF($D590="شخصی قاسم","شخصی قاسم",IF($D590="هزینه","هزینه: "&amp;IF($E590="","متفرقه",$E590),IF($C590="پاس چک","چک پرداختی",IF(OR($B590="",COUNTIF(AcctCodesA,$B590)=0),"متفرقه",$B590))))))</f>
        <v/>
      </c>
      <c r="J590">
        <f>IF($H590="","",IF(ROUND($F590,2)&gt;0,IF($D590="شخصی قاسم","شخصی قاسم",IF($D590="هزینه","هزینه: "&amp;IF($E590="","متفرقه",$E590),IF(OR($B590="",COUNTIF(AcctCodesA,$B590)=0),"متفرقه",$B590))),$A590))</f>
        <v/>
      </c>
      <c r="K590">
        <f>IF($A590="","",IF(AND($B590&lt;&gt;"",COUNTIF(AcctCodesA,$B590)=0),"کد طرف در INFO تعریف نشده",IF(AND($D590="هزینه",$E590=""),"هزینه بدون زیرگروه",IF(AND($C590="پاس چک",OR(Sync!$AJ590="",COUNTIF(IssueNosA,Sync!$AJ590)=0)),"شماره چک پاس‌شده معتبر نیست",""))))</f>
        <v/>
      </c>
      <c r="V590">
        <f>IF($K590="","",IF(ISNUMBER(Sync!$AK590),Sync!$AK590,LEFT(Sync!$AK590,4)&amp;MID(Sync!$AK590,6,2)&amp;RIGHT(Sync!$AK590,2))&amp;"|"&amp;"4"&amp;RIGHT("00000"&amp;585,5))</f>
        <v/>
      </c>
      <c r="W590">
        <f>IF($V590="",0,COUNTIFS($V$6:$V$2005,"&lt;"&amp;$V590)-COUNTIFS($V$6:$V$2005,"&lt;"&amp;$V590,$K$6:$K$2005,"")+1)</f>
        <v/>
      </c>
      <c r="X590">
        <f>IF(Sync!$AX590="","",IF(OR(N(Sync!$AY590)=0,N(Sync!$AZ590)=0),"",ROUND(N(Sync!$AY590)*N(Sync!$AZ590),0)))</f>
        <v/>
      </c>
      <c r="Y590">
        <f>IF($X590="","",IF(OR(Sync!$AX590="",COUNTIF(AcctCodesA,Sync!$AX590)=0),"متفرقه",Sync!$AX590))</f>
        <v/>
      </c>
      <c r="Z590">
        <f>IF($X590="","","سبد و ظروف")</f>
        <v/>
      </c>
      <c r="AA590">
        <f>IF($X590="","",$Y590)</f>
        <v/>
      </c>
    </row>
    <row r="591">
      <c r="A591">
        <f>IF(Sync!$Z591="","",LEFT(UPPER(TRIM(Sync!$Z591)),6))</f>
        <v/>
      </c>
      <c r="B591">
        <f>IF($A591="","",IF(Sync!$AA591="","",Sync!$AA591))</f>
        <v/>
      </c>
      <c r="C591">
        <f>IF($A591="","",IF(Sync!$AB591="","",Sync!$AB591))</f>
        <v/>
      </c>
      <c r="D591">
        <f>IF($A591="","",IF(Sync!$AC591="","",Sync!$AC591))</f>
        <v/>
      </c>
      <c r="E591">
        <f>IF($A591="","",IF(Sync!$AD591="","",Sync!$AD591))</f>
        <v/>
      </c>
      <c r="F591">
        <f>IF($A591="","",IF(Sync!$AE591="",0,Sync!$AE591))</f>
        <v/>
      </c>
      <c r="G591">
        <f>IF($A591="","",IF(Sync!$AF591="",0,Sync!$AF591))</f>
        <v/>
      </c>
      <c r="H591">
        <f>IF(OR($A591="",ROUND($F591+$G591,2)=0),"",$F591+$G591)</f>
        <v/>
      </c>
      <c r="I591">
        <f>IF($H591="","",IF(ROUND($F591,2)&gt;0,$A591,IF($D591="شخصی قاسم","شخصی قاسم",IF($D591="هزینه","هزینه: "&amp;IF($E591="","متفرقه",$E591),IF($C591="پاس چک","چک پرداختی",IF(OR($B591="",COUNTIF(AcctCodesA,$B591)=0),"متفرقه",$B591))))))</f>
        <v/>
      </c>
      <c r="J591">
        <f>IF($H591="","",IF(ROUND($F591,2)&gt;0,IF($D591="شخصی قاسم","شخصی قاسم",IF($D591="هزینه","هزینه: "&amp;IF($E591="","متفرقه",$E591),IF(OR($B591="",COUNTIF(AcctCodesA,$B591)=0),"متفرقه",$B591))),$A591))</f>
        <v/>
      </c>
      <c r="K591">
        <f>IF($A591="","",IF(AND($B591&lt;&gt;"",COUNTIF(AcctCodesA,$B591)=0),"کد طرف در INFO تعریف نشده",IF(AND($D591="هزینه",$E591=""),"هزینه بدون زیرگروه",IF(AND($C591="پاس چک",OR(Sync!$AJ591="",COUNTIF(IssueNosA,Sync!$AJ591)=0)),"شماره چک پاس‌شده معتبر نیست",""))))</f>
        <v/>
      </c>
      <c r="V591">
        <f>IF($K591="","",IF(ISNUMBER(Sync!$AK591),Sync!$AK591,LEFT(Sync!$AK591,4)&amp;MID(Sync!$AK591,6,2)&amp;RIGHT(Sync!$AK591,2))&amp;"|"&amp;"4"&amp;RIGHT("00000"&amp;586,5))</f>
        <v/>
      </c>
      <c r="W591">
        <f>IF($V591="",0,COUNTIFS($V$6:$V$2005,"&lt;"&amp;$V591)-COUNTIFS($V$6:$V$2005,"&lt;"&amp;$V591,$K$6:$K$2005,"")+1)</f>
        <v/>
      </c>
      <c r="X591">
        <f>IF(Sync!$AX591="","",IF(OR(N(Sync!$AY591)=0,N(Sync!$AZ591)=0),"",ROUND(N(Sync!$AY591)*N(Sync!$AZ591),0)))</f>
        <v/>
      </c>
      <c r="Y591">
        <f>IF($X591="","",IF(OR(Sync!$AX591="",COUNTIF(AcctCodesA,Sync!$AX591)=0),"متفرقه",Sync!$AX591))</f>
        <v/>
      </c>
      <c r="Z591">
        <f>IF($X591="","","سبد و ظروف")</f>
        <v/>
      </c>
      <c r="AA591">
        <f>IF($X591="","",$Y591)</f>
        <v/>
      </c>
    </row>
    <row r="592">
      <c r="A592">
        <f>IF(Sync!$Z592="","",LEFT(UPPER(TRIM(Sync!$Z592)),6))</f>
        <v/>
      </c>
      <c r="B592">
        <f>IF($A592="","",IF(Sync!$AA592="","",Sync!$AA592))</f>
        <v/>
      </c>
      <c r="C592">
        <f>IF($A592="","",IF(Sync!$AB592="","",Sync!$AB592))</f>
        <v/>
      </c>
      <c r="D592">
        <f>IF($A592="","",IF(Sync!$AC592="","",Sync!$AC592))</f>
        <v/>
      </c>
      <c r="E592">
        <f>IF($A592="","",IF(Sync!$AD592="","",Sync!$AD592))</f>
        <v/>
      </c>
      <c r="F592">
        <f>IF($A592="","",IF(Sync!$AE592="",0,Sync!$AE592))</f>
        <v/>
      </c>
      <c r="G592">
        <f>IF($A592="","",IF(Sync!$AF592="",0,Sync!$AF592))</f>
        <v/>
      </c>
      <c r="H592">
        <f>IF(OR($A592="",ROUND($F592+$G592,2)=0),"",$F592+$G592)</f>
        <v/>
      </c>
      <c r="I592">
        <f>IF($H592="","",IF(ROUND($F592,2)&gt;0,$A592,IF($D592="شخصی قاسم","شخصی قاسم",IF($D592="هزینه","هزینه: "&amp;IF($E592="","متفرقه",$E592),IF($C592="پاس چک","چک پرداختی",IF(OR($B592="",COUNTIF(AcctCodesA,$B592)=0),"متفرقه",$B592))))))</f>
        <v/>
      </c>
      <c r="J592">
        <f>IF($H592="","",IF(ROUND($F592,2)&gt;0,IF($D592="شخصی قاسم","شخصی قاسم",IF($D592="هزینه","هزینه: "&amp;IF($E592="","متفرقه",$E592),IF(OR($B592="",COUNTIF(AcctCodesA,$B592)=0),"متفرقه",$B592))),$A592))</f>
        <v/>
      </c>
      <c r="K592">
        <f>IF($A592="","",IF(AND($B592&lt;&gt;"",COUNTIF(AcctCodesA,$B592)=0),"کد طرف در INFO تعریف نشده",IF(AND($D592="هزینه",$E592=""),"هزینه بدون زیرگروه",IF(AND($C592="پاس چک",OR(Sync!$AJ592="",COUNTIF(IssueNosA,Sync!$AJ592)=0)),"شماره چک پاس‌شده معتبر نیست",""))))</f>
        <v/>
      </c>
      <c r="V592">
        <f>IF($K592="","",IF(ISNUMBER(Sync!$AK592),Sync!$AK592,LEFT(Sync!$AK592,4)&amp;MID(Sync!$AK592,6,2)&amp;RIGHT(Sync!$AK592,2))&amp;"|"&amp;"4"&amp;RIGHT("00000"&amp;587,5))</f>
        <v/>
      </c>
      <c r="W592">
        <f>IF($V592="",0,COUNTIFS($V$6:$V$2005,"&lt;"&amp;$V592)-COUNTIFS($V$6:$V$2005,"&lt;"&amp;$V592,$K$6:$K$2005,"")+1)</f>
        <v/>
      </c>
      <c r="X592">
        <f>IF(Sync!$AX592="","",IF(OR(N(Sync!$AY592)=0,N(Sync!$AZ592)=0),"",ROUND(N(Sync!$AY592)*N(Sync!$AZ592),0)))</f>
        <v/>
      </c>
      <c r="Y592">
        <f>IF($X592="","",IF(OR(Sync!$AX592="",COUNTIF(AcctCodesA,Sync!$AX592)=0),"متفرقه",Sync!$AX592))</f>
        <v/>
      </c>
      <c r="Z592">
        <f>IF($X592="","","سبد و ظروف")</f>
        <v/>
      </c>
      <c r="AA592">
        <f>IF($X592="","",$Y592)</f>
        <v/>
      </c>
    </row>
    <row r="593">
      <c r="A593">
        <f>IF(Sync!$Z593="","",LEFT(UPPER(TRIM(Sync!$Z593)),6))</f>
        <v/>
      </c>
      <c r="B593">
        <f>IF($A593="","",IF(Sync!$AA593="","",Sync!$AA593))</f>
        <v/>
      </c>
      <c r="C593">
        <f>IF($A593="","",IF(Sync!$AB593="","",Sync!$AB593))</f>
        <v/>
      </c>
      <c r="D593">
        <f>IF($A593="","",IF(Sync!$AC593="","",Sync!$AC593))</f>
        <v/>
      </c>
      <c r="E593">
        <f>IF($A593="","",IF(Sync!$AD593="","",Sync!$AD593))</f>
        <v/>
      </c>
      <c r="F593">
        <f>IF($A593="","",IF(Sync!$AE593="",0,Sync!$AE593))</f>
        <v/>
      </c>
      <c r="G593">
        <f>IF($A593="","",IF(Sync!$AF593="",0,Sync!$AF593))</f>
        <v/>
      </c>
      <c r="H593">
        <f>IF(OR($A593="",ROUND($F593+$G593,2)=0),"",$F593+$G593)</f>
        <v/>
      </c>
      <c r="I593">
        <f>IF($H593="","",IF(ROUND($F593,2)&gt;0,$A593,IF($D593="شخصی قاسم","شخصی قاسم",IF($D593="هزینه","هزینه: "&amp;IF($E593="","متفرقه",$E593),IF($C593="پاس چک","چک پرداختی",IF(OR($B593="",COUNTIF(AcctCodesA,$B593)=0),"متفرقه",$B593))))))</f>
        <v/>
      </c>
      <c r="J593">
        <f>IF($H593="","",IF(ROUND($F593,2)&gt;0,IF($D593="شخصی قاسم","شخصی قاسم",IF($D593="هزینه","هزینه: "&amp;IF($E593="","متفرقه",$E593),IF(OR($B593="",COUNTIF(AcctCodesA,$B593)=0),"متفرقه",$B593))),$A593))</f>
        <v/>
      </c>
      <c r="K593">
        <f>IF($A593="","",IF(AND($B593&lt;&gt;"",COUNTIF(AcctCodesA,$B593)=0),"کد طرف در INFO تعریف نشده",IF(AND($D593="هزینه",$E593=""),"هزینه بدون زیرگروه",IF(AND($C593="پاس چک",OR(Sync!$AJ593="",COUNTIF(IssueNosA,Sync!$AJ593)=0)),"شماره چک پاس‌شده معتبر نیست",""))))</f>
        <v/>
      </c>
      <c r="V593">
        <f>IF($K593="","",IF(ISNUMBER(Sync!$AK593),Sync!$AK593,LEFT(Sync!$AK593,4)&amp;MID(Sync!$AK593,6,2)&amp;RIGHT(Sync!$AK593,2))&amp;"|"&amp;"4"&amp;RIGHT("00000"&amp;588,5))</f>
        <v/>
      </c>
      <c r="W593">
        <f>IF($V593="",0,COUNTIFS($V$6:$V$2005,"&lt;"&amp;$V593)-COUNTIFS($V$6:$V$2005,"&lt;"&amp;$V593,$K$6:$K$2005,"")+1)</f>
        <v/>
      </c>
      <c r="X593">
        <f>IF(Sync!$AX593="","",IF(OR(N(Sync!$AY593)=0,N(Sync!$AZ593)=0),"",ROUND(N(Sync!$AY593)*N(Sync!$AZ593),0)))</f>
        <v/>
      </c>
      <c r="Y593">
        <f>IF($X593="","",IF(OR(Sync!$AX593="",COUNTIF(AcctCodesA,Sync!$AX593)=0),"متفرقه",Sync!$AX593))</f>
        <v/>
      </c>
      <c r="Z593">
        <f>IF($X593="","","سبد و ظروف")</f>
        <v/>
      </c>
      <c r="AA593">
        <f>IF($X593="","",$Y593)</f>
        <v/>
      </c>
    </row>
    <row r="594">
      <c r="A594">
        <f>IF(Sync!$Z594="","",LEFT(UPPER(TRIM(Sync!$Z594)),6))</f>
        <v/>
      </c>
      <c r="B594">
        <f>IF($A594="","",IF(Sync!$AA594="","",Sync!$AA594))</f>
        <v/>
      </c>
      <c r="C594">
        <f>IF($A594="","",IF(Sync!$AB594="","",Sync!$AB594))</f>
        <v/>
      </c>
      <c r="D594">
        <f>IF($A594="","",IF(Sync!$AC594="","",Sync!$AC594))</f>
        <v/>
      </c>
      <c r="E594">
        <f>IF($A594="","",IF(Sync!$AD594="","",Sync!$AD594))</f>
        <v/>
      </c>
      <c r="F594">
        <f>IF($A594="","",IF(Sync!$AE594="",0,Sync!$AE594))</f>
        <v/>
      </c>
      <c r="G594">
        <f>IF($A594="","",IF(Sync!$AF594="",0,Sync!$AF594))</f>
        <v/>
      </c>
      <c r="H594">
        <f>IF(OR($A594="",ROUND($F594+$G594,2)=0),"",$F594+$G594)</f>
        <v/>
      </c>
      <c r="I594">
        <f>IF($H594="","",IF(ROUND($F594,2)&gt;0,$A594,IF($D594="شخصی قاسم","شخصی قاسم",IF($D594="هزینه","هزینه: "&amp;IF($E594="","متفرقه",$E594),IF($C594="پاس چک","چک پرداختی",IF(OR($B594="",COUNTIF(AcctCodesA,$B594)=0),"متفرقه",$B594))))))</f>
        <v/>
      </c>
      <c r="J594">
        <f>IF($H594="","",IF(ROUND($F594,2)&gt;0,IF($D594="شخصی قاسم","شخصی قاسم",IF($D594="هزینه","هزینه: "&amp;IF($E594="","متفرقه",$E594),IF(OR($B594="",COUNTIF(AcctCodesA,$B594)=0),"متفرقه",$B594))),$A594))</f>
        <v/>
      </c>
      <c r="K594">
        <f>IF($A594="","",IF(AND($B594&lt;&gt;"",COUNTIF(AcctCodesA,$B594)=0),"کد طرف در INFO تعریف نشده",IF(AND($D594="هزینه",$E594=""),"هزینه بدون زیرگروه",IF(AND($C594="پاس چک",OR(Sync!$AJ594="",COUNTIF(IssueNosA,Sync!$AJ594)=0)),"شماره چک پاس‌شده معتبر نیست",""))))</f>
        <v/>
      </c>
      <c r="V594">
        <f>IF($K594="","",IF(ISNUMBER(Sync!$AK594),Sync!$AK594,LEFT(Sync!$AK594,4)&amp;MID(Sync!$AK594,6,2)&amp;RIGHT(Sync!$AK594,2))&amp;"|"&amp;"4"&amp;RIGHT("00000"&amp;589,5))</f>
        <v/>
      </c>
      <c r="W594">
        <f>IF($V594="",0,COUNTIFS($V$6:$V$2005,"&lt;"&amp;$V594)-COUNTIFS($V$6:$V$2005,"&lt;"&amp;$V594,$K$6:$K$2005,"")+1)</f>
        <v/>
      </c>
      <c r="X594">
        <f>IF(Sync!$AX594="","",IF(OR(N(Sync!$AY594)=0,N(Sync!$AZ594)=0),"",ROUND(N(Sync!$AY594)*N(Sync!$AZ594),0)))</f>
        <v/>
      </c>
      <c r="Y594">
        <f>IF($X594="","",IF(OR(Sync!$AX594="",COUNTIF(AcctCodesA,Sync!$AX594)=0),"متفرقه",Sync!$AX594))</f>
        <v/>
      </c>
      <c r="Z594">
        <f>IF($X594="","","سبد و ظروف")</f>
        <v/>
      </c>
      <c r="AA594">
        <f>IF($X594="","",$Y594)</f>
        <v/>
      </c>
    </row>
    <row r="595">
      <c r="A595">
        <f>IF(Sync!$Z595="","",LEFT(UPPER(TRIM(Sync!$Z595)),6))</f>
        <v/>
      </c>
      <c r="B595">
        <f>IF($A595="","",IF(Sync!$AA595="","",Sync!$AA595))</f>
        <v/>
      </c>
      <c r="C595">
        <f>IF($A595="","",IF(Sync!$AB595="","",Sync!$AB595))</f>
        <v/>
      </c>
      <c r="D595">
        <f>IF($A595="","",IF(Sync!$AC595="","",Sync!$AC595))</f>
        <v/>
      </c>
      <c r="E595">
        <f>IF($A595="","",IF(Sync!$AD595="","",Sync!$AD595))</f>
        <v/>
      </c>
      <c r="F595">
        <f>IF($A595="","",IF(Sync!$AE595="",0,Sync!$AE595))</f>
        <v/>
      </c>
      <c r="G595">
        <f>IF($A595="","",IF(Sync!$AF595="",0,Sync!$AF595))</f>
        <v/>
      </c>
      <c r="H595">
        <f>IF(OR($A595="",ROUND($F595+$G595,2)=0),"",$F595+$G595)</f>
        <v/>
      </c>
      <c r="I595">
        <f>IF($H595="","",IF(ROUND($F595,2)&gt;0,$A595,IF($D595="شخصی قاسم","شخصی قاسم",IF($D595="هزینه","هزینه: "&amp;IF($E595="","متفرقه",$E595),IF($C595="پاس چک","چک پرداختی",IF(OR($B595="",COUNTIF(AcctCodesA,$B595)=0),"متفرقه",$B595))))))</f>
        <v/>
      </c>
      <c r="J595">
        <f>IF($H595="","",IF(ROUND($F595,2)&gt;0,IF($D595="شخصی قاسم","شخصی قاسم",IF($D595="هزینه","هزینه: "&amp;IF($E595="","متفرقه",$E595),IF(OR($B595="",COUNTIF(AcctCodesA,$B595)=0),"متفرقه",$B595))),$A595))</f>
        <v/>
      </c>
      <c r="K595">
        <f>IF($A595="","",IF(AND($B595&lt;&gt;"",COUNTIF(AcctCodesA,$B595)=0),"کد طرف در INFO تعریف نشده",IF(AND($D595="هزینه",$E595=""),"هزینه بدون زیرگروه",IF(AND($C595="پاس چک",OR(Sync!$AJ595="",COUNTIF(IssueNosA,Sync!$AJ595)=0)),"شماره چک پاس‌شده معتبر نیست",""))))</f>
        <v/>
      </c>
      <c r="V595">
        <f>IF($K595="","",IF(ISNUMBER(Sync!$AK595),Sync!$AK595,LEFT(Sync!$AK595,4)&amp;MID(Sync!$AK595,6,2)&amp;RIGHT(Sync!$AK595,2))&amp;"|"&amp;"4"&amp;RIGHT("00000"&amp;590,5))</f>
        <v/>
      </c>
      <c r="W595">
        <f>IF($V595="",0,COUNTIFS($V$6:$V$2005,"&lt;"&amp;$V595)-COUNTIFS($V$6:$V$2005,"&lt;"&amp;$V595,$K$6:$K$2005,"")+1)</f>
        <v/>
      </c>
      <c r="X595">
        <f>IF(Sync!$AX595="","",IF(OR(N(Sync!$AY595)=0,N(Sync!$AZ595)=0),"",ROUND(N(Sync!$AY595)*N(Sync!$AZ595),0)))</f>
        <v/>
      </c>
      <c r="Y595">
        <f>IF($X595="","",IF(OR(Sync!$AX595="",COUNTIF(AcctCodesA,Sync!$AX595)=0),"متفرقه",Sync!$AX595))</f>
        <v/>
      </c>
      <c r="Z595">
        <f>IF($X595="","","سبد و ظروف")</f>
        <v/>
      </c>
      <c r="AA595">
        <f>IF($X595="","",$Y595)</f>
        <v/>
      </c>
    </row>
    <row r="596">
      <c r="A596">
        <f>IF(Sync!$Z596="","",LEFT(UPPER(TRIM(Sync!$Z596)),6))</f>
        <v/>
      </c>
      <c r="B596">
        <f>IF($A596="","",IF(Sync!$AA596="","",Sync!$AA596))</f>
        <v/>
      </c>
      <c r="C596">
        <f>IF($A596="","",IF(Sync!$AB596="","",Sync!$AB596))</f>
        <v/>
      </c>
      <c r="D596">
        <f>IF($A596="","",IF(Sync!$AC596="","",Sync!$AC596))</f>
        <v/>
      </c>
      <c r="E596">
        <f>IF($A596="","",IF(Sync!$AD596="","",Sync!$AD596))</f>
        <v/>
      </c>
      <c r="F596">
        <f>IF($A596="","",IF(Sync!$AE596="",0,Sync!$AE596))</f>
        <v/>
      </c>
      <c r="G596">
        <f>IF($A596="","",IF(Sync!$AF596="",0,Sync!$AF596))</f>
        <v/>
      </c>
      <c r="H596">
        <f>IF(OR($A596="",ROUND($F596+$G596,2)=0),"",$F596+$G596)</f>
        <v/>
      </c>
      <c r="I596">
        <f>IF($H596="","",IF(ROUND($F596,2)&gt;0,$A596,IF($D596="شخصی قاسم","شخصی قاسم",IF($D596="هزینه","هزینه: "&amp;IF($E596="","متفرقه",$E596),IF($C596="پاس چک","چک پرداختی",IF(OR($B596="",COUNTIF(AcctCodesA,$B596)=0),"متفرقه",$B596))))))</f>
        <v/>
      </c>
      <c r="J596">
        <f>IF($H596="","",IF(ROUND($F596,2)&gt;0,IF($D596="شخصی قاسم","شخصی قاسم",IF($D596="هزینه","هزینه: "&amp;IF($E596="","متفرقه",$E596),IF(OR($B596="",COUNTIF(AcctCodesA,$B596)=0),"متفرقه",$B596))),$A596))</f>
        <v/>
      </c>
      <c r="K596">
        <f>IF($A596="","",IF(AND($B596&lt;&gt;"",COUNTIF(AcctCodesA,$B596)=0),"کد طرف در INFO تعریف نشده",IF(AND($D596="هزینه",$E596=""),"هزینه بدون زیرگروه",IF(AND($C596="پاس چک",OR(Sync!$AJ596="",COUNTIF(IssueNosA,Sync!$AJ596)=0)),"شماره چک پاس‌شده معتبر نیست",""))))</f>
        <v/>
      </c>
      <c r="V596">
        <f>IF($K596="","",IF(ISNUMBER(Sync!$AK596),Sync!$AK596,LEFT(Sync!$AK596,4)&amp;MID(Sync!$AK596,6,2)&amp;RIGHT(Sync!$AK596,2))&amp;"|"&amp;"4"&amp;RIGHT("00000"&amp;591,5))</f>
        <v/>
      </c>
      <c r="W596">
        <f>IF($V596="",0,COUNTIFS($V$6:$V$2005,"&lt;"&amp;$V596)-COUNTIFS($V$6:$V$2005,"&lt;"&amp;$V596,$K$6:$K$2005,"")+1)</f>
        <v/>
      </c>
      <c r="X596">
        <f>IF(Sync!$AX596="","",IF(OR(N(Sync!$AY596)=0,N(Sync!$AZ596)=0),"",ROUND(N(Sync!$AY596)*N(Sync!$AZ596),0)))</f>
        <v/>
      </c>
      <c r="Y596">
        <f>IF($X596="","",IF(OR(Sync!$AX596="",COUNTIF(AcctCodesA,Sync!$AX596)=0),"متفرقه",Sync!$AX596))</f>
        <v/>
      </c>
      <c r="Z596">
        <f>IF($X596="","","سبد و ظروف")</f>
        <v/>
      </c>
      <c r="AA596">
        <f>IF($X596="","",$Y596)</f>
        <v/>
      </c>
    </row>
    <row r="597">
      <c r="A597">
        <f>IF(Sync!$Z597="","",LEFT(UPPER(TRIM(Sync!$Z597)),6))</f>
        <v/>
      </c>
      <c r="B597">
        <f>IF($A597="","",IF(Sync!$AA597="","",Sync!$AA597))</f>
        <v/>
      </c>
      <c r="C597">
        <f>IF($A597="","",IF(Sync!$AB597="","",Sync!$AB597))</f>
        <v/>
      </c>
      <c r="D597">
        <f>IF($A597="","",IF(Sync!$AC597="","",Sync!$AC597))</f>
        <v/>
      </c>
      <c r="E597">
        <f>IF($A597="","",IF(Sync!$AD597="","",Sync!$AD597))</f>
        <v/>
      </c>
      <c r="F597">
        <f>IF($A597="","",IF(Sync!$AE597="",0,Sync!$AE597))</f>
        <v/>
      </c>
      <c r="G597">
        <f>IF($A597="","",IF(Sync!$AF597="",0,Sync!$AF597))</f>
        <v/>
      </c>
      <c r="H597">
        <f>IF(OR($A597="",ROUND($F597+$G597,2)=0),"",$F597+$G597)</f>
        <v/>
      </c>
      <c r="I597">
        <f>IF($H597="","",IF(ROUND($F597,2)&gt;0,$A597,IF($D597="شخصی قاسم","شخصی قاسم",IF($D597="هزینه","هزینه: "&amp;IF($E597="","متفرقه",$E597),IF($C597="پاس چک","چک پرداختی",IF(OR($B597="",COUNTIF(AcctCodesA,$B597)=0),"متفرقه",$B597))))))</f>
        <v/>
      </c>
      <c r="J597">
        <f>IF($H597="","",IF(ROUND($F597,2)&gt;0,IF($D597="شخصی قاسم","شخصی قاسم",IF($D597="هزینه","هزینه: "&amp;IF($E597="","متفرقه",$E597),IF(OR($B597="",COUNTIF(AcctCodesA,$B597)=0),"متفرقه",$B597))),$A597))</f>
        <v/>
      </c>
      <c r="K597">
        <f>IF($A597="","",IF(AND($B597&lt;&gt;"",COUNTIF(AcctCodesA,$B597)=0),"کد طرف در INFO تعریف نشده",IF(AND($D597="هزینه",$E597=""),"هزینه بدون زیرگروه",IF(AND($C597="پاس چک",OR(Sync!$AJ597="",COUNTIF(IssueNosA,Sync!$AJ597)=0)),"شماره چک پاس‌شده معتبر نیست",""))))</f>
        <v/>
      </c>
      <c r="V597">
        <f>IF($K597="","",IF(ISNUMBER(Sync!$AK597),Sync!$AK597,LEFT(Sync!$AK597,4)&amp;MID(Sync!$AK597,6,2)&amp;RIGHT(Sync!$AK597,2))&amp;"|"&amp;"4"&amp;RIGHT("00000"&amp;592,5))</f>
        <v/>
      </c>
      <c r="W597">
        <f>IF($V597="",0,COUNTIFS($V$6:$V$2005,"&lt;"&amp;$V597)-COUNTIFS($V$6:$V$2005,"&lt;"&amp;$V597,$K$6:$K$2005,"")+1)</f>
        <v/>
      </c>
      <c r="X597">
        <f>IF(Sync!$AX597="","",IF(OR(N(Sync!$AY597)=0,N(Sync!$AZ597)=0),"",ROUND(N(Sync!$AY597)*N(Sync!$AZ597),0)))</f>
        <v/>
      </c>
      <c r="Y597">
        <f>IF($X597="","",IF(OR(Sync!$AX597="",COUNTIF(AcctCodesA,Sync!$AX597)=0),"متفرقه",Sync!$AX597))</f>
        <v/>
      </c>
      <c r="Z597">
        <f>IF($X597="","","سبد و ظروف")</f>
        <v/>
      </c>
      <c r="AA597">
        <f>IF($X597="","",$Y597)</f>
        <v/>
      </c>
    </row>
    <row r="598">
      <c r="A598">
        <f>IF(Sync!$Z598="","",LEFT(UPPER(TRIM(Sync!$Z598)),6))</f>
        <v/>
      </c>
      <c r="B598">
        <f>IF($A598="","",IF(Sync!$AA598="","",Sync!$AA598))</f>
        <v/>
      </c>
      <c r="C598">
        <f>IF($A598="","",IF(Sync!$AB598="","",Sync!$AB598))</f>
        <v/>
      </c>
      <c r="D598">
        <f>IF($A598="","",IF(Sync!$AC598="","",Sync!$AC598))</f>
        <v/>
      </c>
      <c r="E598">
        <f>IF($A598="","",IF(Sync!$AD598="","",Sync!$AD598))</f>
        <v/>
      </c>
      <c r="F598">
        <f>IF($A598="","",IF(Sync!$AE598="",0,Sync!$AE598))</f>
        <v/>
      </c>
      <c r="G598">
        <f>IF($A598="","",IF(Sync!$AF598="",0,Sync!$AF598))</f>
        <v/>
      </c>
      <c r="H598">
        <f>IF(OR($A598="",ROUND($F598+$G598,2)=0),"",$F598+$G598)</f>
        <v/>
      </c>
      <c r="I598">
        <f>IF($H598="","",IF(ROUND($F598,2)&gt;0,$A598,IF($D598="شخصی قاسم","شخصی قاسم",IF($D598="هزینه","هزینه: "&amp;IF($E598="","متفرقه",$E598),IF($C598="پاس چک","چک پرداختی",IF(OR($B598="",COUNTIF(AcctCodesA,$B598)=0),"متفرقه",$B598))))))</f>
        <v/>
      </c>
      <c r="J598">
        <f>IF($H598="","",IF(ROUND($F598,2)&gt;0,IF($D598="شخصی قاسم","شخصی قاسم",IF($D598="هزینه","هزینه: "&amp;IF($E598="","متفرقه",$E598),IF(OR($B598="",COUNTIF(AcctCodesA,$B598)=0),"متفرقه",$B598))),$A598))</f>
        <v/>
      </c>
      <c r="K598">
        <f>IF($A598="","",IF(AND($B598&lt;&gt;"",COUNTIF(AcctCodesA,$B598)=0),"کد طرف در INFO تعریف نشده",IF(AND($D598="هزینه",$E598=""),"هزینه بدون زیرگروه",IF(AND($C598="پاس چک",OR(Sync!$AJ598="",COUNTIF(IssueNosA,Sync!$AJ598)=0)),"شماره چک پاس‌شده معتبر نیست",""))))</f>
        <v/>
      </c>
      <c r="V598">
        <f>IF($K598="","",IF(ISNUMBER(Sync!$AK598),Sync!$AK598,LEFT(Sync!$AK598,4)&amp;MID(Sync!$AK598,6,2)&amp;RIGHT(Sync!$AK598,2))&amp;"|"&amp;"4"&amp;RIGHT("00000"&amp;593,5))</f>
        <v/>
      </c>
      <c r="W598">
        <f>IF($V598="",0,COUNTIFS($V$6:$V$2005,"&lt;"&amp;$V598)-COUNTIFS($V$6:$V$2005,"&lt;"&amp;$V598,$K$6:$K$2005,"")+1)</f>
        <v/>
      </c>
      <c r="X598">
        <f>IF(Sync!$AX598="","",IF(OR(N(Sync!$AY598)=0,N(Sync!$AZ598)=0),"",ROUND(N(Sync!$AY598)*N(Sync!$AZ598),0)))</f>
        <v/>
      </c>
      <c r="Y598">
        <f>IF($X598="","",IF(OR(Sync!$AX598="",COUNTIF(AcctCodesA,Sync!$AX598)=0),"متفرقه",Sync!$AX598))</f>
        <v/>
      </c>
      <c r="Z598">
        <f>IF($X598="","","سبد و ظروف")</f>
        <v/>
      </c>
      <c r="AA598">
        <f>IF($X598="","",$Y598)</f>
        <v/>
      </c>
    </row>
    <row r="599">
      <c r="A599">
        <f>IF(Sync!$Z599="","",LEFT(UPPER(TRIM(Sync!$Z599)),6))</f>
        <v/>
      </c>
      <c r="B599">
        <f>IF($A599="","",IF(Sync!$AA599="","",Sync!$AA599))</f>
        <v/>
      </c>
      <c r="C599">
        <f>IF($A599="","",IF(Sync!$AB599="","",Sync!$AB599))</f>
        <v/>
      </c>
      <c r="D599">
        <f>IF($A599="","",IF(Sync!$AC599="","",Sync!$AC599))</f>
        <v/>
      </c>
      <c r="E599">
        <f>IF($A599="","",IF(Sync!$AD599="","",Sync!$AD599))</f>
        <v/>
      </c>
      <c r="F599">
        <f>IF($A599="","",IF(Sync!$AE599="",0,Sync!$AE599))</f>
        <v/>
      </c>
      <c r="G599">
        <f>IF($A599="","",IF(Sync!$AF599="",0,Sync!$AF599))</f>
        <v/>
      </c>
      <c r="H599">
        <f>IF(OR($A599="",ROUND($F599+$G599,2)=0),"",$F599+$G599)</f>
        <v/>
      </c>
      <c r="I599">
        <f>IF($H599="","",IF(ROUND($F599,2)&gt;0,$A599,IF($D599="شخصی قاسم","شخصی قاسم",IF($D599="هزینه","هزینه: "&amp;IF($E599="","متفرقه",$E599),IF($C599="پاس چک","چک پرداختی",IF(OR($B599="",COUNTIF(AcctCodesA,$B599)=0),"متفرقه",$B599))))))</f>
        <v/>
      </c>
      <c r="J599">
        <f>IF($H599="","",IF(ROUND($F599,2)&gt;0,IF($D599="شخصی قاسم","شخصی قاسم",IF($D599="هزینه","هزینه: "&amp;IF($E599="","متفرقه",$E599),IF(OR($B599="",COUNTIF(AcctCodesA,$B599)=0),"متفرقه",$B599))),$A599))</f>
        <v/>
      </c>
      <c r="K599">
        <f>IF($A599="","",IF(AND($B599&lt;&gt;"",COUNTIF(AcctCodesA,$B599)=0),"کد طرف در INFO تعریف نشده",IF(AND($D599="هزینه",$E599=""),"هزینه بدون زیرگروه",IF(AND($C599="پاس چک",OR(Sync!$AJ599="",COUNTIF(IssueNosA,Sync!$AJ599)=0)),"شماره چک پاس‌شده معتبر نیست",""))))</f>
        <v/>
      </c>
      <c r="V599">
        <f>IF($K599="","",IF(ISNUMBER(Sync!$AK599),Sync!$AK599,LEFT(Sync!$AK599,4)&amp;MID(Sync!$AK599,6,2)&amp;RIGHT(Sync!$AK599,2))&amp;"|"&amp;"4"&amp;RIGHT("00000"&amp;594,5))</f>
        <v/>
      </c>
      <c r="W599">
        <f>IF($V599="",0,COUNTIFS($V$6:$V$2005,"&lt;"&amp;$V599)-COUNTIFS($V$6:$V$2005,"&lt;"&amp;$V599,$K$6:$K$2005,"")+1)</f>
        <v/>
      </c>
      <c r="X599">
        <f>IF(Sync!$AX599="","",IF(OR(N(Sync!$AY599)=0,N(Sync!$AZ599)=0),"",ROUND(N(Sync!$AY599)*N(Sync!$AZ599),0)))</f>
        <v/>
      </c>
      <c r="Y599">
        <f>IF($X599="","",IF(OR(Sync!$AX599="",COUNTIF(AcctCodesA,Sync!$AX599)=0),"متفرقه",Sync!$AX599))</f>
        <v/>
      </c>
      <c r="Z599">
        <f>IF($X599="","","سبد و ظروف")</f>
        <v/>
      </c>
      <c r="AA599">
        <f>IF($X599="","",$Y599)</f>
        <v/>
      </c>
    </row>
    <row r="600">
      <c r="A600">
        <f>IF(Sync!$Z600="","",LEFT(UPPER(TRIM(Sync!$Z600)),6))</f>
        <v/>
      </c>
      <c r="B600">
        <f>IF($A600="","",IF(Sync!$AA600="","",Sync!$AA600))</f>
        <v/>
      </c>
      <c r="C600">
        <f>IF($A600="","",IF(Sync!$AB600="","",Sync!$AB600))</f>
        <v/>
      </c>
      <c r="D600">
        <f>IF($A600="","",IF(Sync!$AC600="","",Sync!$AC600))</f>
        <v/>
      </c>
      <c r="E600">
        <f>IF($A600="","",IF(Sync!$AD600="","",Sync!$AD600))</f>
        <v/>
      </c>
      <c r="F600">
        <f>IF($A600="","",IF(Sync!$AE600="",0,Sync!$AE600))</f>
        <v/>
      </c>
      <c r="G600">
        <f>IF($A600="","",IF(Sync!$AF600="",0,Sync!$AF600))</f>
        <v/>
      </c>
      <c r="H600">
        <f>IF(OR($A600="",ROUND($F600+$G600,2)=0),"",$F600+$G600)</f>
        <v/>
      </c>
      <c r="I600">
        <f>IF($H600="","",IF(ROUND($F600,2)&gt;0,$A600,IF($D600="شخصی قاسم","شخصی قاسم",IF($D600="هزینه","هزینه: "&amp;IF($E600="","متفرقه",$E600),IF($C600="پاس چک","چک پرداختی",IF(OR($B600="",COUNTIF(AcctCodesA,$B600)=0),"متفرقه",$B600))))))</f>
        <v/>
      </c>
      <c r="J600">
        <f>IF($H600="","",IF(ROUND($F600,2)&gt;0,IF($D600="شخصی قاسم","شخصی قاسم",IF($D600="هزینه","هزینه: "&amp;IF($E600="","متفرقه",$E600),IF(OR($B600="",COUNTIF(AcctCodesA,$B600)=0),"متفرقه",$B600))),$A600))</f>
        <v/>
      </c>
      <c r="K600">
        <f>IF($A600="","",IF(AND($B600&lt;&gt;"",COUNTIF(AcctCodesA,$B600)=0),"کد طرف در INFO تعریف نشده",IF(AND($D600="هزینه",$E600=""),"هزینه بدون زیرگروه",IF(AND($C600="پاس چک",OR(Sync!$AJ600="",COUNTIF(IssueNosA,Sync!$AJ600)=0)),"شماره چک پاس‌شده معتبر نیست",""))))</f>
        <v/>
      </c>
      <c r="V600">
        <f>IF($K600="","",IF(ISNUMBER(Sync!$AK600),Sync!$AK600,LEFT(Sync!$AK600,4)&amp;MID(Sync!$AK600,6,2)&amp;RIGHT(Sync!$AK600,2))&amp;"|"&amp;"4"&amp;RIGHT("00000"&amp;595,5))</f>
        <v/>
      </c>
      <c r="W600">
        <f>IF($V600="",0,COUNTIFS($V$6:$V$2005,"&lt;"&amp;$V600)-COUNTIFS($V$6:$V$2005,"&lt;"&amp;$V600,$K$6:$K$2005,"")+1)</f>
        <v/>
      </c>
      <c r="X600">
        <f>IF(Sync!$AX600="","",IF(OR(N(Sync!$AY600)=0,N(Sync!$AZ600)=0),"",ROUND(N(Sync!$AY600)*N(Sync!$AZ600),0)))</f>
        <v/>
      </c>
      <c r="Y600">
        <f>IF($X600="","",IF(OR(Sync!$AX600="",COUNTIF(AcctCodesA,Sync!$AX600)=0),"متفرقه",Sync!$AX600))</f>
        <v/>
      </c>
      <c r="Z600">
        <f>IF($X600="","","سبد و ظروف")</f>
        <v/>
      </c>
      <c r="AA600">
        <f>IF($X600="","",$Y600)</f>
        <v/>
      </c>
    </row>
    <row r="601">
      <c r="A601">
        <f>IF(Sync!$Z601="","",LEFT(UPPER(TRIM(Sync!$Z601)),6))</f>
        <v/>
      </c>
      <c r="B601">
        <f>IF($A601="","",IF(Sync!$AA601="","",Sync!$AA601))</f>
        <v/>
      </c>
      <c r="C601">
        <f>IF($A601="","",IF(Sync!$AB601="","",Sync!$AB601))</f>
        <v/>
      </c>
      <c r="D601">
        <f>IF($A601="","",IF(Sync!$AC601="","",Sync!$AC601))</f>
        <v/>
      </c>
      <c r="E601">
        <f>IF($A601="","",IF(Sync!$AD601="","",Sync!$AD601))</f>
        <v/>
      </c>
      <c r="F601">
        <f>IF($A601="","",IF(Sync!$AE601="",0,Sync!$AE601))</f>
        <v/>
      </c>
      <c r="G601">
        <f>IF($A601="","",IF(Sync!$AF601="",0,Sync!$AF601))</f>
        <v/>
      </c>
      <c r="H601">
        <f>IF(OR($A601="",ROUND($F601+$G601,2)=0),"",$F601+$G601)</f>
        <v/>
      </c>
      <c r="I601">
        <f>IF($H601="","",IF(ROUND($F601,2)&gt;0,$A601,IF($D601="شخصی قاسم","شخصی قاسم",IF($D601="هزینه","هزینه: "&amp;IF($E601="","متفرقه",$E601),IF($C601="پاس چک","چک پرداختی",IF(OR($B601="",COUNTIF(AcctCodesA,$B601)=0),"متفرقه",$B601))))))</f>
        <v/>
      </c>
      <c r="J601">
        <f>IF($H601="","",IF(ROUND($F601,2)&gt;0,IF($D601="شخصی قاسم","شخصی قاسم",IF($D601="هزینه","هزینه: "&amp;IF($E601="","متفرقه",$E601),IF(OR($B601="",COUNTIF(AcctCodesA,$B601)=0),"متفرقه",$B601))),$A601))</f>
        <v/>
      </c>
      <c r="K601">
        <f>IF($A601="","",IF(AND($B601&lt;&gt;"",COUNTIF(AcctCodesA,$B601)=0),"کد طرف در INFO تعریف نشده",IF(AND($D601="هزینه",$E601=""),"هزینه بدون زیرگروه",IF(AND($C601="پاس چک",OR(Sync!$AJ601="",COUNTIF(IssueNosA,Sync!$AJ601)=0)),"شماره چک پاس‌شده معتبر نیست",""))))</f>
        <v/>
      </c>
      <c r="V601">
        <f>IF($K601="","",IF(ISNUMBER(Sync!$AK601),Sync!$AK601,LEFT(Sync!$AK601,4)&amp;MID(Sync!$AK601,6,2)&amp;RIGHT(Sync!$AK601,2))&amp;"|"&amp;"4"&amp;RIGHT("00000"&amp;596,5))</f>
        <v/>
      </c>
      <c r="W601">
        <f>IF($V601="",0,COUNTIFS($V$6:$V$2005,"&lt;"&amp;$V601)-COUNTIFS($V$6:$V$2005,"&lt;"&amp;$V601,$K$6:$K$2005,"")+1)</f>
        <v/>
      </c>
      <c r="X601">
        <f>IF(Sync!$AX601="","",IF(OR(N(Sync!$AY601)=0,N(Sync!$AZ601)=0),"",ROUND(N(Sync!$AY601)*N(Sync!$AZ601),0)))</f>
        <v/>
      </c>
      <c r="Y601">
        <f>IF($X601="","",IF(OR(Sync!$AX601="",COUNTIF(AcctCodesA,Sync!$AX601)=0),"متفرقه",Sync!$AX601))</f>
        <v/>
      </c>
      <c r="Z601">
        <f>IF($X601="","","سبد و ظروف")</f>
        <v/>
      </c>
      <c r="AA601">
        <f>IF($X601="","",$Y601)</f>
        <v/>
      </c>
    </row>
    <row r="602">
      <c r="A602">
        <f>IF(Sync!$Z602="","",LEFT(UPPER(TRIM(Sync!$Z602)),6))</f>
        <v/>
      </c>
      <c r="B602">
        <f>IF($A602="","",IF(Sync!$AA602="","",Sync!$AA602))</f>
        <v/>
      </c>
      <c r="C602">
        <f>IF($A602="","",IF(Sync!$AB602="","",Sync!$AB602))</f>
        <v/>
      </c>
      <c r="D602">
        <f>IF($A602="","",IF(Sync!$AC602="","",Sync!$AC602))</f>
        <v/>
      </c>
      <c r="E602">
        <f>IF($A602="","",IF(Sync!$AD602="","",Sync!$AD602))</f>
        <v/>
      </c>
      <c r="F602">
        <f>IF($A602="","",IF(Sync!$AE602="",0,Sync!$AE602))</f>
        <v/>
      </c>
      <c r="G602">
        <f>IF($A602="","",IF(Sync!$AF602="",0,Sync!$AF602))</f>
        <v/>
      </c>
      <c r="H602">
        <f>IF(OR($A602="",ROUND($F602+$G602,2)=0),"",$F602+$G602)</f>
        <v/>
      </c>
      <c r="I602">
        <f>IF($H602="","",IF(ROUND($F602,2)&gt;0,$A602,IF($D602="شخصی قاسم","شخصی قاسم",IF($D602="هزینه","هزینه: "&amp;IF($E602="","متفرقه",$E602),IF($C602="پاس چک","چک پرداختی",IF(OR($B602="",COUNTIF(AcctCodesA,$B602)=0),"متفرقه",$B602))))))</f>
        <v/>
      </c>
      <c r="J602">
        <f>IF($H602="","",IF(ROUND($F602,2)&gt;0,IF($D602="شخصی قاسم","شخصی قاسم",IF($D602="هزینه","هزینه: "&amp;IF($E602="","متفرقه",$E602),IF(OR($B602="",COUNTIF(AcctCodesA,$B602)=0),"متفرقه",$B602))),$A602))</f>
        <v/>
      </c>
      <c r="K602">
        <f>IF($A602="","",IF(AND($B602&lt;&gt;"",COUNTIF(AcctCodesA,$B602)=0),"کد طرف در INFO تعریف نشده",IF(AND($D602="هزینه",$E602=""),"هزینه بدون زیرگروه",IF(AND($C602="پاس چک",OR(Sync!$AJ602="",COUNTIF(IssueNosA,Sync!$AJ602)=0)),"شماره چک پاس‌شده معتبر نیست",""))))</f>
        <v/>
      </c>
      <c r="V602">
        <f>IF($K602="","",IF(ISNUMBER(Sync!$AK602),Sync!$AK602,LEFT(Sync!$AK602,4)&amp;MID(Sync!$AK602,6,2)&amp;RIGHT(Sync!$AK602,2))&amp;"|"&amp;"4"&amp;RIGHT("00000"&amp;597,5))</f>
        <v/>
      </c>
      <c r="W602">
        <f>IF($V602="",0,COUNTIFS($V$6:$V$2005,"&lt;"&amp;$V602)-COUNTIFS($V$6:$V$2005,"&lt;"&amp;$V602,$K$6:$K$2005,"")+1)</f>
        <v/>
      </c>
      <c r="X602">
        <f>IF(Sync!$AX602="","",IF(OR(N(Sync!$AY602)=0,N(Sync!$AZ602)=0),"",ROUND(N(Sync!$AY602)*N(Sync!$AZ602),0)))</f>
        <v/>
      </c>
      <c r="Y602">
        <f>IF($X602="","",IF(OR(Sync!$AX602="",COUNTIF(AcctCodesA,Sync!$AX602)=0),"متفرقه",Sync!$AX602))</f>
        <v/>
      </c>
      <c r="Z602">
        <f>IF($X602="","","سبد و ظروف")</f>
        <v/>
      </c>
      <c r="AA602">
        <f>IF($X602="","",$Y602)</f>
        <v/>
      </c>
    </row>
    <row r="603">
      <c r="A603">
        <f>IF(Sync!$Z603="","",LEFT(UPPER(TRIM(Sync!$Z603)),6))</f>
        <v/>
      </c>
      <c r="B603">
        <f>IF($A603="","",IF(Sync!$AA603="","",Sync!$AA603))</f>
        <v/>
      </c>
      <c r="C603">
        <f>IF($A603="","",IF(Sync!$AB603="","",Sync!$AB603))</f>
        <v/>
      </c>
      <c r="D603">
        <f>IF($A603="","",IF(Sync!$AC603="","",Sync!$AC603))</f>
        <v/>
      </c>
      <c r="E603">
        <f>IF($A603="","",IF(Sync!$AD603="","",Sync!$AD603))</f>
        <v/>
      </c>
      <c r="F603">
        <f>IF($A603="","",IF(Sync!$AE603="",0,Sync!$AE603))</f>
        <v/>
      </c>
      <c r="G603">
        <f>IF($A603="","",IF(Sync!$AF603="",0,Sync!$AF603))</f>
        <v/>
      </c>
      <c r="H603">
        <f>IF(OR($A603="",ROUND($F603+$G603,2)=0),"",$F603+$G603)</f>
        <v/>
      </c>
      <c r="I603">
        <f>IF($H603="","",IF(ROUND($F603,2)&gt;0,$A603,IF($D603="شخصی قاسم","شخصی قاسم",IF($D603="هزینه","هزینه: "&amp;IF($E603="","متفرقه",$E603),IF($C603="پاس چک","چک پرداختی",IF(OR($B603="",COUNTIF(AcctCodesA,$B603)=0),"متفرقه",$B603))))))</f>
        <v/>
      </c>
      <c r="J603">
        <f>IF($H603="","",IF(ROUND($F603,2)&gt;0,IF($D603="شخصی قاسم","شخصی قاسم",IF($D603="هزینه","هزینه: "&amp;IF($E603="","متفرقه",$E603),IF(OR($B603="",COUNTIF(AcctCodesA,$B603)=0),"متفرقه",$B603))),$A603))</f>
        <v/>
      </c>
      <c r="K603">
        <f>IF($A603="","",IF(AND($B603&lt;&gt;"",COUNTIF(AcctCodesA,$B603)=0),"کد طرف در INFO تعریف نشده",IF(AND($D603="هزینه",$E603=""),"هزینه بدون زیرگروه",IF(AND($C603="پاس چک",OR(Sync!$AJ603="",COUNTIF(IssueNosA,Sync!$AJ603)=0)),"شماره چک پاس‌شده معتبر نیست",""))))</f>
        <v/>
      </c>
      <c r="V603">
        <f>IF($K603="","",IF(ISNUMBER(Sync!$AK603),Sync!$AK603,LEFT(Sync!$AK603,4)&amp;MID(Sync!$AK603,6,2)&amp;RIGHT(Sync!$AK603,2))&amp;"|"&amp;"4"&amp;RIGHT("00000"&amp;598,5))</f>
        <v/>
      </c>
      <c r="W603">
        <f>IF($V603="",0,COUNTIFS($V$6:$V$2005,"&lt;"&amp;$V603)-COUNTIFS($V$6:$V$2005,"&lt;"&amp;$V603,$K$6:$K$2005,"")+1)</f>
        <v/>
      </c>
      <c r="X603">
        <f>IF(Sync!$AX603="","",IF(OR(N(Sync!$AY603)=0,N(Sync!$AZ603)=0),"",ROUND(N(Sync!$AY603)*N(Sync!$AZ603),0)))</f>
        <v/>
      </c>
      <c r="Y603">
        <f>IF($X603="","",IF(OR(Sync!$AX603="",COUNTIF(AcctCodesA,Sync!$AX603)=0),"متفرقه",Sync!$AX603))</f>
        <v/>
      </c>
      <c r="Z603">
        <f>IF($X603="","","سبد و ظروف")</f>
        <v/>
      </c>
      <c r="AA603">
        <f>IF($X603="","",$Y603)</f>
        <v/>
      </c>
    </row>
    <row r="604">
      <c r="A604">
        <f>IF(Sync!$Z604="","",LEFT(UPPER(TRIM(Sync!$Z604)),6))</f>
        <v/>
      </c>
      <c r="B604">
        <f>IF($A604="","",IF(Sync!$AA604="","",Sync!$AA604))</f>
        <v/>
      </c>
      <c r="C604">
        <f>IF($A604="","",IF(Sync!$AB604="","",Sync!$AB604))</f>
        <v/>
      </c>
      <c r="D604">
        <f>IF($A604="","",IF(Sync!$AC604="","",Sync!$AC604))</f>
        <v/>
      </c>
      <c r="E604">
        <f>IF($A604="","",IF(Sync!$AD604="","",Sync!$AD604))</f>
        <v/>
      </c>
      <c r="F604">
        <f>IF($A604="","",IF(Sync!$AE604="",0,Sync!$AE604))</f>
        <v/>
      </c>
      <c r="G604">
        <f>IF($A604="","",IF(Sync!$AF604="",0,Sync!$AF604))</f>
        <v/>
      </c>
      <c r="H604">
        <f>IF(OR($A604="",ROUND($F604+$G604,2)=0),"",$F604+$G604)</f>
        <v/>
      </c>
      <c r="I604">
        <f>IF($H604="","",IF(ROUND($F604,2)&gt;0,$A604,IF($D604="شخصی قاسم","شخصی قاسم",IF($D604="هزینه","هزینه: "&amp;IF($E604="","متفرقه",$E604),IF($C604="پاس چک","چک پرداختی",IF(OR($B604="",COUNTIF(AcctCodesA,$B604)=0),"متفرقه",$B604))))))</f>
        <v/>
      </c>
      <c r="J604">
        <f>IF($H604="","",IF(ROUND($F604,2)&gt;0,IF($D604="شخصی قاسم","شخصی قاسم",IF($D604="هزینه","هزینه: "&amp;IF($E604="","متفرقه",$E604),IF(OR($B604="",COUNTIF(AcctCodesA,$B604)=0),"متفرقه",$B604))),$A604))</f>
        <v/>
      </c>
      <c r="K604">
        <f>IF($A604="","",IF(AND($B604&lt;&gt;"",COUNTIF(AcctCodesA,$B604)=0),"کد طرف در INFO تعریف نشده",IF(AND($D604="هزینه",$E604=""),"هزینه بدون زیرگروه",IF(AND($C604="پاس چک",OR(Sync!$AJ604="",COUNTIF(IssueNosA,Sync!$AJ604)=0)),"شماره چک پاس‌شده معتبر نیست",""))))</f>
        <v/>
      </c>
      <c r="V604">
        <f>IF($K604="","",IF(ISNUMBER(Sync!$AK604),Sync!$AK604,LEFT(Sync!$AK604,4)&amp;MID(Sync!$AK604,6,2)&amp;RIGHT(Sync!$AK604,2))&amp;"|"&amp;"4"&amp;RIGHT("00000"&amp;599,5))</f>
        <v/>
      </c>
      <c r="W604">
        <f>IF($V604="",0,COUNTIFS($V$6:$V$2005,"&lt;"&amp;$V604)-COUNTIFS($V$6:$V$2005,"&lt;"&amp;$V604,$K$6:$K$2005,"")+1)</f>
        <v/>
      </c>
      <c r="X604">
        <f>IF(Sync!$AX604="","",IF(OR(N(Sync!$AY604)=0,N(Sync!$AZ604)=0),"",ROUND(N(Sync!$AY604)*N(Sync!$AZ604),0)))</f>
        <v/>
      </c>
      <c r="Y604">
        <f>IF($X604="","",IF(OR(Sync!$AX604="",COUNTIF(AcctCodesA,Sync!$AX604)=0),"متفرقه",Sync!$AX604))</f>
        <v/>
      </c>
      <c r="Z604">
        <f>IF($X604="","","سبد و ظروف")</f>
        <v/>
      </c>
      <c r="AA604">
        <f>IF($X604="","",$Y604)</f>
        <v/>
      </c>
    </row>
    <row r="605">
      <c r="A605">
        <f>IF(Sync!$Z605="","",LEFT(UPPER(TRIM(Sync!$Z605)),6))</f>
        <v/>
      </c>
      <c r="B605">
        <f>IF($A605="","",IF(Sync!$AA605="","",Sync!$AA605))</f>
        <v/>
      </c>
      <c r="C605">
        <f>IF($A605="","",IF(Sync!$AB605="","",Sync!$AB605))</f>
        <v/>
      </c>
      <c r="D605">
        <f>IF($A605="","",IF(Sync!$AC605="","",Sync!$AC605))</f>
        <v/>
      </c>
      <c r="E605">
        <f>IF($A605="","",IF(Sync!$AD605="","",Sync!$AD605))</f>
        <v/>
      </c>
      <c r="F605">
        <f>IF($A605="","",IF(Sync!$AE605="",0,Sync!$AE605))</f>
        <v/>
      </c>
      <c r="G605">
        <f>IF($A605="","",IF(Sync!$AF605="",0,Sync!$AF605))</f>
        <v/>
      </c>
      <c r="H605">
        <f>IF(OR($A605="",ROUND($F605+$G605,2)=0),"",$F605+$G605)</f>
        <v/>
      </c>
      <c r="I605">
        <f>IF($H605="","",IF(ROUND($F605,2)&gt;0,$A605,IF($D605="شخصی قاسم","شخصی قاسم",IF($D605="هزینه","هزینه: "&amp;IF($E605="","متفرقه",$E605),IF($C605="پاس چک","چک پرداختی",IF(OR($B605="",COUNTIF(AcctCodesA,$B605)=0),"متفرقه",$B605))))))</f>
        <v/>
      </c>
      <c r="J605">
        <f>IF($H605="","",IF(ROUND($F605,2)&gt;0,IF($D605="شخصی قاسم","شخصی قاسم",IF($D605="هزینه","هزینه: "&amp;IF($E605="","متفرقه",$E605),IF(OR($B605="",COUNTIF(AcctCodesA,$B605)=0),"متفرقه",$B605))),$A605))</f>
        <v/>
      </c>
      <c r="K605">
        <f>IF($A605="","",IF(AND($B605&lt;&gt;"",COUNTIF(AcctCodesA,$B605)=0),"کد طرف در INFO تعریف نشده",IF(AND($D605="هزینه",$E605=""),"هزینه بدون زیرگروه",IF(AND($C605="پاس چک",OR(Sync!$AJ605="",COUNTIF(IssueNosA,Sync!$AJ605)=0)),"شماره چک پاس‌شده معتبر نیست",""))))</f>
        <v/>
      </c>
      <c r="V605">
        <f>IF($K605="","",IF(ISNUMBER(Sync!$AK605),Sync!$AK605,LEFT(Sync!$AK605,4)&amp;MID(Sync!$AK605,6,2)&amp;RIGHT(Sync!$AK605,2))&amp;"|"&amp;"4"&amp;RIGHT("00000"&amp;600,5))</f>
        <v/>
      </c>
      <c r="W605">
        <f>IF($V605="",0,COUNTIFS($V$6:$V$2005,"&lt;"&amp;$V605)-COUNTIFS($V$6:$V$2005,"&lt;"&amp;$V605,$K$6:$K$2005,"")+1)</f>
        <v/>
      </c>
      <c r="X605">
        <f>IF(Sync!$AX605="","",IF(OR(N(Sync!$AY605)=0,N(Sync!$AZ605)=0),"",ROUND(N(Sync!$AY605)*N(Sync!$AZ605),0)))</f>
        <v/>
      </c>
      <c r="Y605">
        <f>IF($X605="","",IF(OR(Sync!$AX605="",COUNTIF(AcctCodesA,Sync!$AX605)=0),"متفرقه",Sync!$AX605))</f>
        <v/>
      </c>
      <c r="Z605">
        <f>IF($X605="","","سبد و ظروف")</f>
        <v/>
      </c>
      <c r="AA605">
        <f>IF($X605="","",$Y605)</f>
        <v/>
      </c>
    </row>
    <row r="606">
      <c r="A606">
        <f>IF(Sync!$Z606="","",LEFT(UPPER(TRIM(Sync!$Z606)),6))</f>
        <v/>
      </c>
      <c r="B606">
        <f>IF($A606="","",IF(Sync!$AA606="","",Sync!$AA606))</f>
        <v/>
      </c>
      <c r="C606">
        <f>IF($A606="","",IF(Sync!$AB606="","",Sync!$AB606))</f>
        <v/>
      </c>
      <c r="D606">
        <f>IF($A606="","",IF(Sync!$AC606="","",Sync!$AC606))</f>
        <v/>
      </c>
      <c r="E606">
        <f>IF($A606="","",IF(Sync!$AD606="","",Sync!$AD606))</f>
        <v/>
      </c>
      <c r="F606">
        <f>IF($A606="","",IF(Sync!$AE606="",0,Sync!$AE606))</f>
        <v/>
      </c>
      <c r="G606">
        <f>IF($A606="","",IF(Sync!$AF606="",0,Sync!$AF606))</f>
        <v/>
      </c>
      <c r="H606">
        <f>IF(OR($A606="",ROUND($F606+$G606,2)=0),"",$F606+$G606)</f>
        <v/>
      </c>
      <c r="I606">
        <f>IF($H606="","",IF(ROUND($F606,2)&gt;0,$A606,IF($D606="شخصی قاسم","شخصی قاسم",IF($D606="هزینه","هزینه: "&amp;IF($E606="","متفرقه",$E606),IF($C606="پاس چک","چک پرداختی",IF(OR($B606="",COUNTIF(AcctCodesA,$B606)=0),"متفرقه",$B606))))))</f>
        <v/>
      </c>
      <c r="J606">
        <f>IF($H606="","",IF(ROUND($F606,2)&gt;0,IF($D606="شخصی قاسم","شخصی قاسم",IF($D606="هزینه","هزینه: "&amp;IF($E606="","متفرقه",$E606),IF(OR($B606="",COUNTIF(AcctCodesA,$B606)=0),"متفرقه",$B606))),$A606))</f>
        <v/>
      </c>
      <c r="K606">
        <f>IF($A606="","",IF(AND($B606&lt;&gt;"",COUNTIF(AcctCodesA,$B606)=0),"کد طرف در INFO تعریف نشده",IF(AND($D606="هزینه",$E606=""),"هزینه بدون زیرگروه",IF(AND($C606="پاس چک",OR(Sync!$AJ606="",COUNTIF(IssueNosA,Sync!$AJ606)=0)),"شماره چک پاس‌شده معتبر نیست",""))))</f>
        <v/>
      </c>
      <c r="V606">
        <f>IF($K606="","",IF(ISNUMBER(Sync!$AK606),Sync!$AK606,LEFT(Sync!$AK606,4)&amp;MID(Sync!$AK606,6,2)&amp;RIGHT(Sync!$AK606,2))&amp;"|"&amp;"4"&amp;RIGHT("00000"&amp;601,5))</f>
        <v/>
      </c>
      <c r="W606">
        <f>IF($V606="",0,COUNTIFS($V$6:$V$2005,"&lt;"&amp;$V606)-COUNTIFS($V$6:$V$2005,"&lt;"&amp;$V606,$K$6:$K$2005,"")+1)</f>
        <v/>
      </c>
      <c r="X606">
        <f>IF(Sync!$AX606="","",IF(OR(N(Sync!$AY606)=0,N(Sync!$AZ606)=0),"",ROUND(N(Sync!$AY606)*N(Sync!$AZ606),0)))</f>
        <v/>
      </c>
      <c r="Y606">
        <f>IF($X606="","",IF(OR(Sync!$AX606="",COUNTIF(AcctCodesA,Sync!$AX606)=0),"متفرقه",Sync!$AX606))</f>
        <v/>
      </c>
      <c r="Z606">
        <f>IF($X606="","","سبد و ظروف")</f>
        <v/>
      </c>
      <c r="AA606">
        <f>IF($X606="","",$Y606)</f>
        <v/>
      </c>
    </row>
    <row r="607">
      <c r="A607">
        <f>IF(Sync!$Z607="","",LEFT(UPPER(TRIM(Sync!$Z607)),6))</f>
        <v/>
      </c>
      <c r="B607">
        <f>IF($A607="","",IF(Sync!$AA607="","",Sync!$AA607))</f>
        <v/>
      </c>
      <c r="C607">
        <f>IF($A607="","",IF(Sync!$AB607="","",Sync!$AB607))</f>
        <v/>
      </c>
      <c r="D607">
        <f>IF($A607="","",IF(Sync!$AC607="","",Sync!$AC607))</f>
        <v/>
      </c>
      <c r="E607">
        <f>IF($A607="","",IF(Sync!$AD607="","",Sync!$AD607))</f>
        <v/>
      </c>
      <c r="F607">
        <f>IF($A607="","",IF(Sync!$AE607="",0,Sync!$AE607))</f>
        <v/>
      </c>
      <c r="G607">
        <f>IF($A607="","",IF(Sync!$AF607="",0,Sync!$AF607))</f>
        <v/>
      </c>
      <c r="H607">
        <f>IF(OR($A607="",ROUND($F607+$G607,2)=0),"",$F607+$G607)</f>
        <v/>
      </c>
      <c r="I607">
        <f>IF($H607="","",IF(ROUND($F607,2)&gt;0,$A607,IF($D607="شخصی قاسم","شخصی قاسم",IF($D607="هزینه","هزینه: "&amp;IF($E607="","متفرقه",$E607),IF($C607="پاس چک","چک پرداختی",IF(OR($B607="",COUNTIF(AcctCodesA,$B607)=0),"متفرقه",$B607))))))</f>
        <v/>
      </c>
      <c r="J607">
        <f>IF($H607="","",IF(ROUND($F607,2)&gt;0,IF($D607="شخصی قاسم","شخصی قاسم",IF($D607="هزینه","هزینه: "&amp;IF($E607="","متفرقه",$E607),IF(OR($B607="",COUNTIF(AcctCodesA,$B607)=0),"متفرقه",$B607))),$A607))</f>
        <v/>
      </c>
      <c r="K607">
        <f>IF($A607="","",IF(AND($B607&lt;&gt;"",COUNTIF(AcctCodesA,$B607)=0),"کد طرف در INFO تعریف نشده",IF(AND($D607="هزینه",$E607=""),"هزینه بدون زیرگروه",IF(AND($C607="پاس چک",OR(Sync!$AJ607="",COUNTIF(IssueNosA,Sync!$AJ607)=0)),"شماره چک پاس‌شده معتبر نیست",""))))</f>
        <v/>
      </c>
      <c r="V607">
        <f>IF($K607="","",IF(ISNUMBER(Sync!$AK607),Sync!$AK607,LEFT(Sync!$AK607,4)&amp;MID(Sync!$AK607,6,2)&amp;RIGHT(Sync!$AK607,2))&amp;"|"&amp;"4"&amp;RIGHT("00000"&amp;602,5))</f>
        <v/>
      </c>
      <c r="W607">
        <f>IF($V607="",0,COUNTIFS($V$6:$V$2005,"&lt;"&amp;$V607)-COUNTIFS($V$6:$V$2005,"&lt;"&amp;$V607,$K$6:$K$2005,"")+1)</f>
        <v/>
      </c>
      <c r="X607">
        <f>IF(Sync!$AX607="","",IF(OR(N(Sync!$AY607)=0,N(Sync!$AZ607)=0),"",ROUND(N(Sync!$AY607)*N(Sync!$AZ607),0)))</f>
        <v/>
      </c>
      <c r="Y607">
        <f>IF($X607="","",IF(OR(Sync!$AX607="",COUNTIF(AcctCodesA,Sync!$AX607)=0),"متفرقه",Sync!$AX607))</f>
        <v/>
      </c>
      <c r="Z607">
        <f>IF($X607="","","سبد و ظروف")</f>
        <v/>
      </c>
      <c r="AA607">
        <f>IF($X607="","",$Y607)</f>
        <v/>
      </c>
    </row>
    <row r="608">
      <c r="A608">
        <f>IF(Sync!$Z608="","",LEFT(UPPER(TRIM(Sync!$Z608)),6))</f>
        <v/>
      </c>
      <c r="B608">
        <f>IF($A608="","",IF(Sync!$AA608="","",Sync!$AA608))</f>
        <v/>
      </c>
      <c r="C608">
        <f>IF($A608="","",IF(Sync!$AB608="","",Sync!$AB608))</f>
        <v/>
      </c>
      <c r="D608">
        <f>IF($A608="","",IF(Sync!$AC608="","",Sync!$AC608))</f>
        <v/>
      </c>
      <c r="E608">
        <f>IF($A608="","",IF(Sync!$AD608="","",Sync!$AD608))</f>
        <v/>
      </c>
      <c r="F608">
        <f>IF($A608="","",IF(Sync!$AE608="",0,Sync!$AE608))</f>
        <v/>
      </c>
      <c r="G608">
        <f>IF($A608="","",IF(Sync!$AF608="",0,Sync!$AF608))</f>
        <v/>
      </c>
      <c r="H608">
        <f>IF(OR($A608="",ROUND($F608+$G608,2)=0),"",$F608+$G608)</f>
        <v/>
      </c>
      <c r="I608">
        <f>IF($H608="","",IF(ROUND($F608,2)&gt;0,$A608,IF($D608="شخصی قاسم","شخصی قاسم",IF($D608="هزینه","هزینه: "&amp;IF($E608="","متفرقه",$E608),IF($C608="پاس چک","چک پرداختی",IF(OR($B608="",COUNTIF(AcctCodesA,$B608)=0),"متفرقه",$B608))))))</f>
        <v/>
      </c>
      <c r="J608">
        <f>IF($H608="","",IF(ROUND($F608,2)&gt;0,IF($D608="شخصی قاسم","شخصی قاسم",IF($D608="هزینه","هزینه: "&amp;IF($E608="","متفرقه",$E608),IF(OR($B608="",COUNTIF(AcctCodesA,$B608)=0),"متفرقه",$B608))),$A608))</f>
        <v/>
      </c>
      <c r="K608">
        <f>IF($A608="","",IF(AND($B608&lt;&gt;"",COUNTIF(AcctCodesA,$B608)=0),"کد طرف در INFO تعریف نشده",IF(AND($D608="هزینه",$E608=""),"هزینه بدون زیرگروه",IF(AND($C608="پاس چک",OR(Sync!$AJ608="",COUNTIF(IssueNosA,Sync!$AJ608)=0)),"شماره چک پاس‌شده معتبر نیست",""))))</f>
        <v/>
      </c>
      <c r="V608">
        <f>IF($K608="","",IF(ISNUMBER(Sync!$AK608),Sync!$AK608,LEFT(Sync!$AK608,4)&amp;MID(Sync!$AK608,6,2)&amp;RIGHT(Sync!$AK608,2))&amp;"|"&amp;"4"&amp;RIGHT("00000"&amp;603,5))</f>
        <v/>
      </c>
      <c r="W608">
        <f>IF($V608="",0,COUNTIFS($V$6:$V$2005,"&lt;"&amp;$V608)-COUNTIFS($V$6:$V$2005,"&lt;"&amp;$V608,$K$6:$K$2005,"")+1)</f>
        <v/>
      </c>
      <c r="X608">
        <f>IF(Sync!$AX608="","",IF(OR(N(Sync!$AY608)=0,N(Sync!$AZ608)=0),"",ROUND(N(Sync!$AY608)*N(Sync!$AZ608),0)))</f>
        <v/>
      </c>
      <c r="Y608">
        <f>IF($X608="","",IF(OR(Sync!$AX608="",COUNTIF(AcctCodesA,Sync!$AX608)=0),"متفرقه",Sync!$AX608))</f>
        <v/>
      </c>
      <c r="Z608">
        <f>IF($X608="","","سبد و ظروف")</f>
        <v/>
      </c>
      <c r="AA608">
        <f>IF($X608="","",$Y608)</f>
        <v/>
      </c>
    </row>
    <row r="609">
      <c r="A609">
        <f>IF(Sync!$Z609="","",LEFT(UPPER(TRIM(Sync!$Z609)),6))</f>
        <v/>
      </c>
      <c r="B609">
        <f>IF($A609="","",IF(Sync!$AA609="","",Sync!$AA609))</f>
        <v/>
      </c>
      <c r="C609">
        <f>IF($A609="","",IF(Sync!$AB609="","",Sync!$AB609))</f>
        <v/>
      </c>
      <c r="D609">
        <f>IF($A609="","",IF(Sync!$AC609="","",Sync!$AC609))</f>
        <v/>
      </c>
      <c r="E609">
        <f>IF($A609="","",IF(Sync!$AD609="","",Sync!$AD609))</f>
        <v/>
      </c>
      <c r="F609">
        <f>IF($A609="","",IF(Sync!$AE609="",0,Sync!$AE609))</f>
        <v/>
      </c>
      <c r="G609">
        <f>IF($A609="","",IF(Sync!$AF609="",0,Sync!$AF609))</f>
        <v/>
      </c>
      <c r="H609">
        <f>IF(OR($A609="",ROUND($F609+$G609,2)=0),"",$F609+$G609)</f>
        <v/>
      </c>
      <c r="I609">
        <f>IF($H609="","",IF(ROUND($F609,2)&gt;0,$A609,IF($D609="شخصی قاسم","شخصی قاسم",IF($D609="هزینه","هزینه: "&amp;IF($E609="","متفرقه",$E609),IF($C609="پاس چک","چک پرداختی",IF(OR($B609="",COUNTIF(AcctCodesA,$B609)=0),"متفرقه",$B609))))))</f>
        <v/>
      </c>
      <c r="J609">
        <f>IF($H609="","",IF(ROUND($F609,2)&gt;0,IF($D609="شخصی قاسم","شخصی قاسم",IF($D609="هزینه","هزینه: "&amp;IF($E609="","متفرقه",$E609),IF(OR($B609="",COUNTIF(AcctCodesA,$B609)=0),"متفرقه",$B609))),$A609))</f>
        <v/>
      </c>
      <c r="K609">
        <f>IF($A609="","",IF(AND($B609&lt;&gt;"",COUNTIF(AcctCodesA,$B609)=0),"کد طرف در INFO تعریف نشده",IF(AND($D609="هزینه",$E609=""),"هزینه بدون زیرگروه",IF(AND($C609="پاس چک",OR(Sync!$AJ609="",COUNTIF(IssueNosA,Sync!$AJ609)=0)),"شماره چک پاس‌شده معتبر نیست",""))))</f>
        <v/>
      </c>
      <c r="V609">
        <f>IF($K609="","",IF(ISNUMBER(Sync!$AK609),Sync!$AK609,LEFT(Sync!$AK609,4)&amp;MID(Sync!$AK609,6,2)&amp;RIGHT(Sync!$AK609,2))&amp;"|"&amp;"4"&amp;RIGHT("00000"&amp;604,5))</f>
        <v/>
      </c>
      <c r="W609">
        <f>IF($V609="",0,COUNTIFS($V$6:$V$2005,"&lt;"&amp;$V609)-COUNTIFS($V$6:$V$2005,"&lt;"&amp;$V609,$K$6:$K$2005,"")+1)</f>
        <v/>
      </c>
      <c r="X609">
        <f>IF(Sync!$AX609="","",IF(OR(N(Sync!$AY609)=0,N(Sync!$AZ609)=0),"",ROUND(N(Sync!$AY609)*N(Sync!$AZ609),0)))</f>
        <v/>
      </c>
      <c r="Y609">
        <f>IF($X609="","",IF(OR(Sync!$AX609="",COUNTIF(AcctCodesA,Sync!$AX609)=0),"متفرقه",Sync!$AX609))</f>
        <v/>
      </c>
      <c r="Z609">
        <f>IF($X609="","","سبد و ظروف")</f>
        <v/>
      </c>
      <c r="AA609">
        <f>IF($X609="","",$Y609)</f>
        <v/>
      </c>
    </row>
    <row r="610">
      <c r="A610">
        <f>IF(Sync!$Z610="","",LEFT(UPPER(TRIM(Sync!$Z610)),6))</f>
        <v/>
      </c>
      <c r="B610">
        <f>IF($A610="","",IF(Sync!$AA610="","",Sync!$AA610))</f>
        <v/>
      </c>
      <c r="C610">
        <f>IF($A610="","",IF(Sync!$AB610="","",Sync!$AB610))</f>
        <v/>
      </c>
      <c r="D610">
        <f>IF($A610="","",IF(Sync!$AC610="","",Sync!$AC610))</f>
        <v/>
      </c>
      <c r="E610">
        <f>IF($A610="","",IF(Sync!$AD610="","",Sync!$AD610))</f>
        <v/>
      </c>
      <c r="F610">
        <f>IF($A610="","",IF(Sync!$AE610="",0,Sync!$AE610))</f>
        <v/>
      </c>
      <c r="G610">
        <f>IF($A610="","",IF(Sync!$AF610="",0,Sync!$AF610))</f>
        <v/>
      </c>
      <c r="H610">
        <f>IF(OR($A610="",ROUND($F610+$G610,2)=0),"",$F610+$G610)</f>
        <v/>
      </c>
      <c r="I610">
        <f>IF($H610="","",IF(ROUND($F610,2)&gt;0,$A610,IF($D610="شخصی قاسم","شخصی قاسم",IF($D610="هزینه","هزینه: "&amp;IF($E610="","متفرقه",$E610),IF($C610="پاس چک","چک پرداختی",IF(OR($B610="",COUNTIF(AcctCodesA,$B610)=0),"متفرقه",$B610))))))</f>
        <v/>
      </c>
      <c r="J610">
        <f>IF($H610="","",IF(ROUND($F610,2)&gt;0,IF($D610="شخصی قاسم","شخصی قاسم",IF($D610="هزینه","هزینه: "&amp;IF($E610="","متفرقه",$E610),IF(OR($B610="",COUNTIF(AcctCodesA,$B610)=0),"متفرقه",$B610))),$A610))</f>
        <v/>
      </c>
      <c r="K610">
        <f>IF($A610="","",IF(AND($B610&lt;&gt;"",COUNTIF(AcctCodesA,$B610)=0),"کد طرف در INFO تعریف نشده",IF(AND($D610="هزینه",$E610=""),"هزینه بدون زیرگروه",IF(AND($C610="پاس چک",OR(Sync!$AJ610="",COUNTIF(IssueNosA,Sync!$AJ610)=0)),"شماره چک پاس‌شده معتبر نیست",""))))</f>
        <v/>
      </c>
      <c r="V610">
        <f>IF($K610="","",IF(ISNUMBER(Sync!$AK610),Sync!$AK610,LEFT(Sync!$AK610,4)&amp;MID(Sync!$AK610,6,2)&amp;RIGHT(Sync!$AK610,2))&amp;"|"&amp;"4"&amp;RIGHT("00000"&amp;605,5))</f>
        <v/>
      </c>
      <c r="W610">
        <f>IF($V610="",0,COUNTIFS($V$6:$V$2005,"&lt;"&amp;$V610)-COUNTIFS($V$6:$V$2005,"&lt;"&amp;$V610,$K$6:$K$2005,"")+1)</f>
        <v/>
      </c>
      <c r="X610">
        <f>IF(Sync!$AX610="","",IF(OR(N(Sync!$AY610)=0,N(Sync!$AZ610)=0),"",ROUND(N(Sync!$AY610)*N(Sync!$AZ610),0)))</f>
        <v/>
      </c>
      <c r="Y610">
        <f>IF($X610="","",IF(OR(Sync!$AX610="",COUNTIF(AcctCodesA,Sync!$AX610)=0),"متفرقه",Sync!$AX610))</f>
        <v/>
      </c>
      <c r="Z610">
        <f>IF($X610="","","سبد و ظروف")</f>
        <v/>
      </c>
      <c r="AA610">
        <f>IF($X610="","",$Y610)</f>
        <v/>
      </c>
    </row>
    <row r="611">
      <c r="A611">
        <f>IF(Sync!$Z611="","",LEFT(UPPER(TRIM(Sync!$Z611)),6))</f>
        <v/>
      </c>
      <c r="B611">
        <f>IF($A611="","",IF(Sync!$AA611="","",Sync!$AA611))</f>
        <v/>
      </c>
      <c r="C611">
        <f>IF($A611="","",IF(Sync!$AB611="","",Sync!$AB611))</f>
        <v/>
      </c>
      <c r="D611">
        <f>IF($A611="","",IF(Sync!$AC611="","",Sync!$AC611))</f>
        <v/>
      </c>
      <c r="E611">
        <f>IF($A611="","",IF(Sync!$AD611="","",Sync!$AD611))</f>
        <v/>
      </c>
      <c r="F611">
        <f>IF($A611="","",IF(Sync!$AE611="",0,Sync!$AE611))</f>
        <v/>
      </c>
      <c r="G611">
        <f>IF($A611="","",IF(Sync!$AF611="",0,Sync!$AF611))</f>
        <v/>
      </c>
      <c r="H611">
        <f>IF(OR($A611="",ROUND($F611+$G611,2)=0),"",$F611+$G611)</f>
        <v/>
      </c>
      <c r="I611">
        <f>IF($H611="","",IF(ROUND($F611,2)&gt;0,$A611,IF($D611="شخصی قاسم","شخصی قاسم",IF($D611="هزینه","هزینه: "&amp;IF($E611="","متفرقه",$E611),IF($C611="پاس چک","چک پرداختی",IF(OR($B611="",COUNTIF(AcctCodesA,$B611)=0),"متفرقه",$B611))))))</f>
        <v/>
      </c>
      <c r="J611">
        <f>IF($H611="","",IF(ROUND($F611,2)&gt;0,IF($D611="شخصی قاسم","شخصی قاسم",IF($D611="هزینه","هزینه: "&amp;IF($E611="","متفرقه",$E611),IF(OR($B611="",COUNTIF(AcctCodesA,$B611)=0),"متفرقه",$B611))),$A611))</f>
        <v/>
      </c>
      <c r="K611">
        <f>IF($A611="","",IF(AND($B611&lt;&gt;"",COUNTIF(AcctCodesA,$B611)=0),"کد طرف در INFO تعریف نشده",IF(AND($D611="هزینه",$E611=""),"هزینه بدون زیرگروه",IF(AND($C611="پاس چک",OR(Sync!$AJ611="",COUNTIF(IssueNosA,Sync!$AJ611)=0)),"شماره چک پاس‌شده معتبر نیست",""))))</f>
        <v/>
      </c>
      <c r="V611">
        <f>IF($K611="","",IF(ISNUMBER(Sync!$AK611),Sync!$AK611,LEFT(Sync!$AK611,4)&amp;MID(Sync!$AK611,6,2)&amp;RIGHT(Sync!$AK611,2))&amp;"|"&amp;"4"&amp;RIGHT("00000"&amp;606,5))</f>
        <v/>
      </c>
      <c r="W611">
        <f>IF($V611="",0,COUNTIFS($V$6:$V$2005,"&lt;"&amp;$V611)-COUNTIFS($V$6:$V$2005,"&lt;"&amp;$V611,$K$6:$K$2005,"")+1)</f>
        <v/>
      </c>
      <c r="X611">
        <f>IF(Sync!$AX611="","",IF(OR(N(Sync!$AY611)=0,N(Sync!$AZ611)=0),"",ROUND(N(Sync!$AY611)*N(Sync!$AZ611),0)))</f>
        <v/>
      </c>
      <c r="Y611">
        <f>IF($X611="","",IF(OR(Sync!$AX611="",COUNTIF(AcctCodesA,Sync!$AX611)=0),"متفرقه",Sync!$AX611))</f>
        <v/>
      </c>
      <c r="Z611">
        <f>IF($X611="","","سبد و ظروف")</f>
        <v/>
      </c>
      <c r="AA611">
        <f>IF($X611="","",$Y611)</f>
        <v/>
      </c>
    </row>
    <row r="612">
      <c r="A612">
        <f>IF(Sync!$Z612="","",LEFT(UPPER(TRIM(Sync!$Z612)),6))</f>
        <v/>
      </c>
      <c r="B612">
        <f>IF($A612="","",IF(Sync!$AA612="","",Sync!$AA612))</f>
        <v/>
      </c>
      <c r="C612">
        <f>IF($A612="","",IF(Sync!$AB612="","",Sync!$AB612))</f>
        <v/>
      </c>
      <c r="D612">
        <f>IF($A612="","",IF(Sync!$AC612="","",Sync!$AC612))</f>
        <v/>
      </c>
      <c r="E612">
        <f>IF($A612="","",IF(Sync!$AD612="","",Sync!$AD612))</f>
        <v/>
      </c>
      <c r="F612">
        <f>IF($A612="","",IF(Sync!$AE612="",0,Sync!$AE612))</f>
        <v/>
      </c>
      <c r="G612">
        <f>IF($A612="","",IF(Sync!$AF612="",0,Sync!$AF612))</f>
        <v/>
      </c>
      <c r="H612">
        <f>IF(OR($A612="",ROUND($F612+$G612,2)=0),"",$F612+$G612)</f>
        <v/>
      </c>
      <c r="I612">
        <f>IF($H612="","",IF(ROUND($F612,2)&gt;0,$A612,IF($D612="شخصی قاسم","شخصی قاسم",IF($D612="هزینه","هزینه: "&amp;IF($E612="","متفرقه",$E612),IF($C612="پاس چک","چک پرداختی",IF(OR($B612="",COUNTIF(AcctCodesA,$B612)=0),"متفرقه",$B612))))))</f>
        <v/>
      </c>
      <c r="J612">
        <f>IF($H612="","",IF(ROUND($F612,2)&gt;0,IF($D612="شخصی قاسم","شخصی قاسم",IF($D612="هزینه","هزینه: "&amp;IF($E612="","متفرقه",$E612),IF(OR($B612="",COUNTIF(AcctCodesA,$B612)=0),"متفرقه",$B612))),$A612))</f>
        <v/>
      </c>
      <c r="K612">
        <f>IF($A612="","",IF(AND($B612&lt;&gt;"",COUNTIF(AcctCodesA,$B612)=0),"کد طرف در INFO تعریف نشده",IF(AND($D612="هزینه",$E612=""),"هزینه بدون زیرگروه",IF(AND($C612="پاس چک",OR(Sync!$AJ612="",COUNTIF(IssueNosA,Sync!$AJ612)=0)),"شماره چک پاس‌شده معتبر نیست",""))))</f>
        <v/>
      </c>
      <c r="V612">
        <f>IF($K612="","",IF(ISNUMBER(Sync!$AK612),Sync!$AK612,LEFT(Sync!$AK612,4)&amp;MID(Sync!$AK612,6,2)&amp;RIGHT(Sync!$AK612,2))&amp;"|"&amp;"4"&amp;RIGHT("00000"&amp;607,5))</f>
        <v/>
      </c>
      <c r="W612">
        <f>IF($V612="",0,COUNTIFS($V$6:$V$2005,"&lt;"&amp;$V612)-COUNTIFS($V$6:$V$2005,"&lt;"&amp;$V612,$K$6:$K$2005,"")+1)</f>
        <v/>
      </c>
      <c r="X612">
        <f>IF(Sync!$AX612="","",IF(OR(N(Sync!$AY612)=0,N(Sync!$AZ612)=0),"",ROUND(N(Sync!$AY612)*N(Sync!$AZ612),0)))</f>
        <v/>
      </c>
      <c r="Y612">
        <f>IF($X612="","",IF(OR(Sync!$AX612="",COUNTIF(AcctCodesA,Sync!$AX612)=0),"متفرقه",Sync!$AX612))</f>
        <v/>
      </c>
      <c r="Z612">
        <f>IF($X612="","","سبد و ظروف")</f>
        <v/>
      </c>
      <c r="AA612">
        <f>IF($X612="","",$Y612)</f>
        <v/>
      </c>
    </row>
    <row r="613">
      <c r="A613">
        <f>IF(Sync!$Z613="","",LEFT(UPPER(TRIM(Sync!$Z613)),6))</f>
        <v/>
      </c>
      <c r="B613">
        <f>IF($A613="","",IF(Sync!$AA613="","",Sync!$AA613))</f>
        <v/>
      </c>
      <c r="C613">
        <f>IF($A613="","",IF(Sync!$AB613="","",Sync!$AB613))</f>
        <v/>
      </c>
      <c r="D613">
        <f>IF($A613="","",IF(Sync!$AC613="","",Sync!$AC613))</f>
        <v/>
      </c>
      <c r="E613">
        <f>IF($A613="","",IF(Sync!$AD613="","",Sync!$AD613))</f>
        <v/>
      </c>
      <c r="F613">
        <f>IF($A613="","",IF(Sync!$AE613="",0,Sync!$AE613))</f>
        <v/>
      </c>
      <c r="G613">
        <f>IF($A613="","",IF(Sync!$AF613="",0,Sync!$AF613))</f>
        <v/>
      </c>
      <c r="H613">
        <f>IF(OR($A613="",ROUND($F613+$G613,2)=0),"",$F613+$G613)</f>
        <v/>
      </c>
      <c r="I613">
        <f>IF($H613="","",IF(ROUND($F613,2)&gt;0,$A613,IF($D613="شخصی قاسم","شخصی قاسم",IF($D613="هزینه","هزینه: "&amp;IF($E613="","متفرقه",$E613),IF($C613="پاس چک","چک پرداختی",IF(OR($B613="",COUNTIF(AcctCodesA,$B613)=0),"متفرقه",$B613))))))</f>
        <v/>
      </c>
      <c r="J613">
        <f>IF($H613="","",IF(ROUND($F613,2)&gt;0,IF($D613="شخصی قاسم","شخصی قاسم",IF($D613="هزینه","هزینه: "&amp;IF($E613="","متفرقه",$E613),IF(OR($B613="",COUNTIF(AcctCodesA,$B613)=0),"متفرقه",$B613))),$A613))</f>
        <v/>
      </c>
      <c r="K613">
        <f>IF($A613="","",IF(AND($B613&lt;&gt;"",COUNTIF(AcctCodesA,$B613)=0),"کد طرف در INFO تعریف نشده",IF(AND($D613="هزینه",$E613=""),"هزینه بدون زیرگروه",IF(AND($C613="پاس چک",OR(Sync!$AJ613="",COUNTIF(IssueNosA,Sync!$AJ613)=0)),"شماره چک پاس‌شده معتبر نیست",""))))</f>
        <v/>
      </c>
      <c r="V613">
        <f>IF($K613="","",IF(ISNUMBER(Sync!$AK613),Sync!$AK613,LEFT(Sync!$AK613,4)&amp;MID(Sync!$AK613,6,2)&amp;RIGHT(Sync!$AK613,2))&amp;"|"&amp;"4"&amp;RIGHT("00000"&amp;608,5))</f>
        <v/>
      </c>
      <c r="W613">
        <f>IF($V613="",0,COUNTIFS($V$6:$V$2005,"&lt;"&amp;$V613)-COUNTIFS($V$6:$V$2005,"&lt;"&amp;$V613,$K$6:$K$2005,"")+1)</f>
        <v/>
      </c>
      <c r="X613">
        <f>IF(Sync!$AX613="","",IF(OR(N(Sync!$AY613)=0,N(Sync!$AZ613)=0),"",ROUND(N(Sync!$AY613)*N(Sync!$AZ613),0)))</f>
        <v/>
      </c>
      <c r="Y613">
        <f>IF($X613="","",IF(OR(Sync!$AX613="",COUNTIF(AcctCodesA,Sync!$AX613)=0),"متفرقه",Sync!$AX613))</f>
        <v/>
      </c>
      <c r="Z613">
        <f>IF($X613="","","سبد و ظروف")</f>
        <v/>
      </c>
      <c r="AA613">
        <f>IF($X613="","",$Y613)</f>
        <v/>
      </c>
    </row>
    <row r="614">
      <c r="A614">
        <f>IF(Sync!$Z614="","",LEFT(UPPER(TRIM(Sync!$Z614)),6))</f>
        <v/>
      </c>
      <c r="B614">
        <f>IF($A614="","",IF(Sync!$AA614="","",Sync!$AA614))</f>
        <v/>
      </c>
      <c r="C614">
        <f>IF($A614="","",IF(Sync!$AB614="","",Sync!$AB614))</f>
        <v/>
      </c>
      <c r="D614">
        <f>IF($A614="","",IF(Sync!$AC614="","",Sync!$AC614))</f>
        <v/>
      </c>
      <c r="E614">
        <f>IF($A614="","",IF(Sync!$AD614="","",Sync!$AD614))</f>
        <v/>
      </c>
      <c r="F614">
        <f>IF($A614="","",IF(Sync!$AE614="",0,Sync!$AE614))</f>
        <v/>
      </c>
      <c r="G614">
        <f>IF($A614="","",IF(Sync!$AF614="",0,Sync!$AF614))</f>
        <v/>
      </c>
      <c r="H614">
        <f>IF(OR($A614="",ROUND($F614+$G614,2)=0),"",$F614+$G614)</f>
        <v/>
      </c>
      <c r="I614">
        <f>IF($H614="","",IF(ROUND($F614,2)&gt;0,$A614,IF($D614="شخصی قاسم","شخصی قاسم",IF($D614="هزینه","هزینه: "&amp;IF($E614="","متفرقه",$E614),IF($C614="پاس چک","چک پرداختی",IF(OR($B614="",COUNTIF(AcctCodesA,$B614)=0),"متفرقه",$B614))))))</f>
        <v/>
      </c>
      <c r="J614">
        <f>IF($H614="","",IF(ROUND($F614,2)&gt;0,IF($D614="شخصی قاسم","شخصی قاسم",IF($D614="هزینه","هزینه: "&amp;IF($E614="","متفرقه",$E614),IF(OR($B614="",COUNTIF(AcctCodesA,$B614)=0),"متفرقه",$B614))),$A614))</f>
        <v/>
      </c>
      <c r="K614">
        <f>IF($A614="","",IF(AND($B614&lt;&gt;"",COUNTIF(AcctCodesA,$B614)=0),"کد طرف در INFO تعریف نشده",IF(AND($D614="هزینه",$E614=""),"هزینه بدون زیرگروه",IF(AND($C614="پاس چک",OR(Sync!$AJ614="",COUNTIF(IssueNosA,Sync!$AJ614)=0)),"شماره چک پاس‌شده معتبر نیست",""))))</f>
        <v/>
      </c>
      <c r="V614">
        <f>IF($K614="","",IF(ISNUMBER(Sync!$AK614),Sync!$AK614,LEFT(Sync!$AK614,4)&amp;MID(Sync!$AK614,6,2)&amp;RIGHT(Sync!$AK614,2))&amp;"|"&amp;"4"&amp;RIGHT("00000"&amp;609,5))</f>
        <v/>
      </c>
      <c r="W614">
        <f>IF($V614="",0,COUNTIFS($V$6:$V$2005,"&lt;"&amp;$V614)-COUNTIFS($V$6:$V$2005,"&lt;"&amp;$V614,$K$6:$K$2005,"")+1)</f>
        <v/>
      </c>
      <c r="X614">
        <f>IF(Sync!$AX614="","",IF(OR(N(Sync!$AY614)=0,N(Sync!$AZ614)=0),"",ROUND(N(Sync!$AY614)*N(Sync!$AZ614),0)))</f>
        <v/>
      </c>
      <c r="Y614">
        <f>IF($X614="","",IF(OR(Sync!$AX614="",COUNTIF(AcctCodesA,Sync!$AX614)=0),"متفرقه",Sync!$AX614))</f>
        <v/>
      </c>
      <c r="Z614">
        <f>IF($X614="","","سبد و ظروف")</f>
        <v/>
      </c>
      <c r="AA614">
        <f>IF($X614="","",$Y614)</f>
        <v/>
      </c>
    </row>
    <row r="615">
      <c r="A615">
        <f>IF(Sync!$Z615="","",LEFT(UPPER(TRIM(Sync!$Z615)),6))</f>
        <v/>
      </c>
      <c r="B615">
        <f>IF($A615="","",IF(Sync!$AA615="","",Sync!$AA615))</f>
        <v/>
      </c>
      <c r="C615">
        <f>IF($A615="","",IF(Sync!$AB615="","",Sync!$AB615))</f>
        <v/>
      </c>
      <c r="D615">
        <f>IF($A615="","",IF(Sync!$AC615="","",Sync!$AC615))</f>
        <v/>
      </c>
      <c r="E615">
        <f>IF($A615="","",IF(Sync!$AD615="","",Sync!$AD615))</f>
        <v/>
      </c>
      <c r="F615">
        <f>IF($A615="","",IF(Sync!$AE615="",0,Sync!$AE615))</f>
        <v/>
      </c>
      <c r="G615">
        <f>IF($A615="","",IF(Sync!$AF615="",0,Sync!$AF615))</f>
        <v/>
      </c>
      <c r="H615">
        <f>IF(OR($A615="",ROUND($F615+$G615,2)=0),"",$F615+$G615)</f>
        <v/>
      </c>
      <c r="I615">
        <f>IF($H615="","",IF(ROUND($F615,2)&gt;0,$A615,IF($D615="شخصی قاسم","شخصی قاسم",IF($D615="هزینه","هزینه: "&amp;IF($E615="","متفرقه",$E615),IF($C615="پاس چک","چک پرداختی",IF(OR($B615="",COUNTIF(AcctCodesA,$B615)=0),"متفرقه",$B615))))))</f>
        <v/>
      </c>
      <c r="J615">
        <f>IF($H615="","",IF(ROUND($F615,2)&gt;0,IF($D615="شخصی قاسم","شخصی قاسم",IF($D615="هزینه","هزینه: "&amp;IF($E615="","متفرقه",$E615),IF(OR($B615="",COUNTIF(AcctCodesA,$B615)=0),"متفرقه",$B615))),$A615))</f>
        <v/>
      </c>
      <c r="K615">
        <f>IF($A615="","",IF(AND($B615&lt;&gt;"",COUNTIF(AcctCodesA,$B615)=0),"کد طرف در INFO تعریف نشده",IF(AND($D615="هزینه",$E615=""),"هزینه بدون زیرگروه",IF(AND($C615="پاس چک",OR(Sync!$AJ615="",COUNTIF(IssueNosA,Sync!$AJ615)=0)),"شماره چک پاس‌شده معتبر نیست",""))))</f>
        <v/>
      </c>
      <c r="V615">
        <f>IF($K615="","",IF(ISNUMBER(Sync!$AK615),Sync!$AK615,LEFT(Sync!$AK615,4)&amp;MID(Sync!$AK615,6,2)&amp;RIGHT(Sync!$AK615,2))&amp;"|"&amp;"4"&amp;RIGHT("00000"&amp;610,5))</f>
        <v/>
      </c>
      <c r="W615">
        <f>IF($V615="",0,COUNTIFS($V$6:$V$2005,"&lt;"&amp;$V615)-COUNTIFS($V$6:$V$2005,"&lt;"&amp;$V615,$K$6:$K$2005,"")+1)</f>
        <v/>
      </c>
      <c r="X615">
        <f>IF(Sync!$AX615="","",IF(OR(N(Sync!$AY615)=0,N(Sync!$AZ615)=0),"",ROUND(N(Sync!$AY615)*N(Sync!$AZ615),0)))</f>
        <v/>
      </c>
      <c r="Y615">
        <f>IF($X615="","",IF(OR(Sync!$AX615="",COUNTIF(AcctCodesA,Sync!$AX615)=0),"متفرقه",Sync!$AX615))</f>
        <v/>
      </c>
      <c r="Z615">
        <f>IF($X615="","","سبد و ظروف")</f>
        <v/>
      </c>
      <c r="AA615">
        <f>IF($X615="","",$Y615)</f>
        <v/>
      </c>
    </row>
    <row r="616">
      <c r="A616">
        <f>IF(Sync!$Z616="","",LEFT(UPPER(TRIM(Sync!$Z616)),6))</f>
        <v/>
      </c>
      <c r="B616">
        <f>IF($A616="","",IF(Sync!$AA616="","",Sync!$AA616))</f>
        <v/>
      </c>
      <c r="C616">
        <f>IF($A616="","",IF(Sync!$AB616="","",Sync!$AB616))</f>
        <v/>
      </c>
      <c r="D616">
        <f>IF($A616="","",IF(Sync!$AC616="","",Sync!$AC616))</f>
        <v/>
      </c>
      <c r="E616">
        <f>IF($A616="","",IF(Sync!$AD616="","",Sync!$AD616))</f>
        <v/>
      </c>
      <c r="F616">
        <f>IF($A616="","",IF(Sync!$AE616="",0,Sync!$AE616))</f>
        <v/>
      </c>
      <c r="G616">
        <f>IF($A616="","",IF(Sync!$AF616="",0,Sync!$AF616))</f>
        <v/>
      </c>
      <c r="H616">
        <f>IF(OR($A616="",ROUND($F616+$G616,2)=0),"",$F616+$G616)</f>
        <v/>
      </c>
      <c r="I616">
        <f>IF($H616="","",IF(ROUND($F616,2)&gt;0,$A616,IF($D616="شخصی قاسم","شخصی قاسم",IF($D616="هزینه","هزینه: "&amp;IF($E616="","متفرقه",$E616),IF($C616="پاس چک","چک پرداختی",IF(OR($B616="",COUNTIF(AcctCodesA,$B616)=0),"متفرقه",$B616))))))</f>
        <v/>
      </c>
      <c r="J616">
        <f>IF($H616="","",IF(ROUND($F616,2)&gt;0,IF($D616="شخصی قاسم","شخصی قاسم",IF($D616="هزینه","هزینه: "&amp;IF($E616="","متفرقه",$E616),IF(OR($B616="",COUNTIF(AcctCodesA,$B616)=0),"متفرقه",$B616))),$A616))</f>
        <v/>
      </c>
      <c r="K616">
        <f>IF($A616="","",IF(AND($B616&lt;&gt;"",COUNTIF(AcctCodesA,$B616)=0),"کد طرف در INFO تعریف نشده",IF(AND($D616="هزینه",$E616=""),"هزینه بدون زیرگروه",IF(AND($C616="پاس چک",OR(Sync!$AJ616="",COUNTIF(IssueNosA,Sync!$AJ616)=0)),"شماره چک پاس‌شده معتبر نیست",""))))</f>
        <v/>
      </c>
      <c r="V616">
        <f>IF($K616="","",IF(ISNUMBER(Sync!$AK616),Sync!$AK616,LEFT(Sync!$AK616,4)&amp;MID(Sync!$AK616,6,2)&amp;RIGHT(Sync!$AK616,2))&amp;"|"&amp;"4"&amp;RIGHT("00000"&amp;611,5))</f>
        <v/>
      </c>
      <c r="W616">
        <f>IF($V616="",0,COUNTIFS($V$6:$V$2005,"&lt;"&amp;$V616)-COUNTIFS($V$6:$V$2005,"&lt;"&amp;$V616,$K$6:$K$2005,"")+1)</f>
        <v/>
      </c>
      <c r="X616">
        <f>IF(Sync!$AX616="","",IF(OR(N(Sync!$AY616)=0,N(Sync!$AZ616)=0),"",ROUND(N(Sync!$AY616)*N(Sync!$AZ616),0)))</f>
        <v/>
      </c>
      <c r="Y616">
        <f>IF($X616="","",IF(OR(Sync!$AX616="",COUNTIF(AcctCodesA,Sync!$AX616)=0),"متفرقه",Sync!$AX616))</f>
        <v/>
      </c>
      <c r="Z616">
        <f>IF($X616="","","سبد و ظروف")</f>
        <v/>
      </c>
      <c r="AA616">
        <f>IF($X616="","",$Y616)</f>
        <v/>
      </c>
    </row>
    <row r="617">
      <c r="A617">
        <f>IF(Sync!$Z617="","",LEFT(UPPER(TRIM(Sync!$Z617)),6))</f>
        <v/>
      </c>
      <c r="B617">
        <f>IF($A617="","",IF(Sync!$AA617="","",Sync!$AA617))</f>
        <v/>
      </c>
      <c r="C617">
        <f>IF($A617="","",IF(Sync!$AB617="","",Sync!$AB617))</f>
        <v/>
      </c>
      <c r="D617">
        <f>IF($A617="","",IF(Sync!$AC617="","",Sync!$AC617))</f>
        <v/>
      </c>
      <c r="E617">
        <f>IF($A617="","",IF(Sync!$AD617="","",Sync!$AD617))</f>
        <v/>
      </c>
      <c r="F617">
        <f>IF($A617="","",IF(Sync!$AE617="",0,Sync!$AE617))</f>
        <v/>
      </c>
      <c r="G617">
        <f>IF($A617="","",IF(Sync!$AF617="",0,Sync!$AF617))</f>
        <v/>
      </c>
      <c r="H617">
        <f>IF(OR($A617="",ROUND($F617+$G617,2)=0),"",$F617+$G617)</f>
        <v/>
      </c>
      <c r="I617">
        <f>IF($H617="","",IF(ROUND($F617,2)&gt;0,$A617,IF($D617="شخصی قاسم","شخصی قاسم",IF($D617="هزینه","هزینه: "&amp;IF($E617="","متفرقه",$E617),IF($C617="پاس چک","چک پرداختی",IF(OR($B617="",COUNTIF(AcctCodesA,$B617)=0),"متفرقه",$B617))))))</f>
        <v/>
      </c>
      <c r="J617">
        <f>IF($H617="","",IF(ROUND($F617,2)&gt;0,IF($D617="شخصی قاسم","شخصی قاسم",IF($D617="هزینه","هزینه: "&amp;IF($E617="","متفرقه",$E617),IF(OR($B617="",COUNTIF(AcctCodesA,$B617)=0),"متفرقه",$B617))),$A617))</f>
        <v/>
      </c>
      <c r="K617">
        <f>IF($A617="","",IF(AND($B617&lt;&gt;"",COUNTIF(AcctCodesA,$B617)=0),"کد طرف در INFO تعریف نشده",IF(AND($D617="هزینه",$E617=""),"هزینه بدون زیرگروه",IF(AND($C617="پاس چک",OR(Sync!$AJ617="",COUNTIF(IssueNosA,Sync!$AJ617)=0)),"شماره چک پاس‌شده معتبر نیست",""))))</f>
        <v/>
      </c>
      <c r="V617">
        <f>IF($K617="","",IF(ISNUMBER(Sync!$AK617),Sync!$AK617,LEFT(Sync!$AK617,4)&amp;MID(Sync!$AK617,6,2)&amp;RIGHT(Sync!$AK617,2))&amp;"|"&amp;"4"&amp;RIGHT("00000"&amp;612,5))</f>
        <v/>
      </c>
      <c r="W617">
        <f>IF($V617="",0,COUNTIFS($V$6:$V$2005,"&lt;"&amp;$V617)-COUNTIFS($V$6:$V$2005,"&lt;"&amp;$V617,$K$6:$K$2005,"")+1)</f>
        <v/>
      </c>
      <c r="X617">
        <f>IF(Sync!$AX617="","",IF(OR(N(Sync!$AY617)=0,N(Sync!$AZ617)=0),"",ROUND(N(Sync!$AY617)*N(Sync!$AZ617),0)))</f>
        <v/>
      </c>
      <c r="Y617">
        <f>IF($X617="","",IF(OR(Sync!$AX617="",COUNTIF(AcctCodesA,Sync!$AX617)=0),"متفرقه",Sync!$AX617))</f>
        <v/>
      </c>
      <c r="Z617">
        <f>IF($X617="","","سبد و ظروف")</f>
        <v/>
      </c>
      <c r="AA617">
        <f>IF($X617="","",$Y617)</f>
        <v/>
      </c>
    </row>
    <row r="618">
      <c r="A618">
        <f>IF(Sync!$Z618="","",LEFT(UPPER(TRIM(Sync!$Z618)),6))</f>
        <v/>
      </c>
      <c r="B618">
        <f>IF($A618="","",IF(Sync!$AA618="","",Sync!$AA618))</f>
        <v/>
      </c>
      <c r="C618">
        <f>IF($A618="","",IF(Sync!$AB618="","",Sync!$AB618))</f>
        <v/>
      </c>
      <c r="D618">
        <f>IF($A618="","",IF(Sync!$AC618="","",Sync!$AC618))</f>
        <v/>
      </c>
      <c r="E618">
        <f>IF($A618="","",IF(Sync!$AD618="","",Sync!$AD618))</f>
        <v/>
      </c>
      <c r="F618">
        <f>IF($A618="","",IF(Sync!$AE618="",0,Sync!$AE618))</f>
        <v/>
      </c>
      <c r="G618">
        <f>IF($A618="","",IF(Sync!$AF618="",0,Sync!$AF618))</f>
        <v/>
      </c>
      <c r="H618">
        <f>IF(OR($A618="",ROUND($F618+$G618,2)=0),"",$F618+$G618)</f>
        <v/>
      </c>
      <c r="I618">
        <f>IF($H618="","",IF(ROUND($F618,2)&gt;0,$A618,IF($D618="شخصی قاسم","شخصی قاسم",IF($D618="هزینه","هزینه: "&amp;IF($E618="","متفرقه",$E618),IF($C618="پاس چک","چک پرداختی",IF(OR($B618="",COUNTIF(AcctCodesA,$B618)=0),"متفرقه",$B618))))))</f>
        <v/>
      </c>
      <c r="J618">
        <f>IF($H618="","",IF(ROUND($F618,2)&gt;0,IF($D618="شخصی قاسم","شخصی قاسم",IF($D618="هزینه","هزینه: "&amp;IF($E618="","متفرقه",$E618),IF(OR($B618="",COUNTIF(AcctCodesA,$B618)=0),"متفرقه",$B618))),$A618))</f>
        <v/>
      </c>
      <c r="K618">
        <f>IF($A618="","",IF(AND($B618&lt;&gt;"",COUNTIF(AcctCodesA,$B618)=0),"کد طرف در INFO تعریف نشده",IF(AND($D618="هزینه",$E618=""),"هزینه بدون زیرگروه",IF(AND($C618="پاس چک",OR(Sync!$AJ618="",COUNTIF(IssueNosA,Sync!$AJ618)=0)),"شماره چک پاس‌شده معتبر نیست",""))))</f>
        <v/>
      </c>
      <c r="V618">
        <f>IF($K618="","",IF(ISNUMBER(Sync!$AK618),Sync!$AK618,LEFT(Sync!$AK618,4)&amp;MID(Sync!$AK618,6,2)&amp;RIGHT(Sync!$AK618,2))&amp;"|"&amp;"4"&amp;RIGHT("00000"&amp;613,5))</f>
        <v/>
      </c>
      <c r="W618">
        <f>IF($V618="",0,COUNTIFS($V$6:$V$2005,"&lt;"&amp;$V618)-COUNTIFS($V$6:$V$2005,"&lt;"&amp;$V618,$K$6:$K$2005,"")+1)</f>
        <v/>
      </c>
      <c r="X618">
        <f>IF(Sync!$AX618="","",IF(OR(N(Sync!$AY618)=0,N(Sync!$AZ618)=0),"",ROUND(N(Sync!$AY618)*N(Sync!$AZ618),0)))</f>
        <v/>
      </c>
      <c r="Y618">
        <f>IF($X618="","",IF(OR(Sync!$AX618="",COUNTIF(AcctCodesA,Sync!$AX618)=0),"متفرقه",Sync!$AX618))</f>
        <v/>
      </c>
      <c r="Z618">
        <f>IF($X618="","","سبد و ظروف")</f>
        <v/>
      </c>
      <c r="AA618">
        <f>IF($X618="","",$Y618)</f>
        <v/>
      </c>
    </row>
    <row r="619">
      <c r="A619">
        <f>IF(Sync!$Z619="","",LEFT(UPPER(TRIM(Sync!$Z619)),6))</f>
        <v/>
      </c>
      <c r="B619">
        <f>IF($A619="","",IF(Sync!$AA619="","",Sync!$AA619))</f>
        <v/>
      </c>
      <c r="C619">
        <f>IF($A619="","",IF(Sync!$AB619="","",Sync!$AB619))</f>
        <v/>
      </c>
      <c r="D619">
        <f>IF($A619="","",IF(Sync!$AC619="","",Sync!$AC619))</f>
        <v/>
      </c>
      <c r="E619">
        <f>IF($A619="","",IF(Sync!$AD619="","",Sync!$AD619))</f>
        <v/>
      </c>
      <c r="F619">
        <f>IF($A619="","",IF(Sync!$AE619="",0,Sync!$AE619))</f>
        <v/>
      </c>
      <c r="G619">
        <f>IF($A619="","",IF(Sync!$AF619="",0,Sync!$AF619))</f>
        <v/>
      </c>
      <c r="H619">
        <f>IF(OR($A619="",ROUND($F619+$G619,2)=0),"",$F619+$G619)</f>
        <v/>
      </c>
      <c r="I619">
        <f>IF($H619="","",IF(ROUND($F619,2)&gt;0,$A619,IF($D619="شخصی قاسم","شخصی قاسم",IF($D619="هزینه","هزینه: "&amp;IF($E619="","متفرقه",$E619),IF($C619="پاس چک","چک پرداختی",IF(OR($B619="",COUNTIF(AcctCodesA,$B619)=0),"متفرقه",$B619))))))</f>
        <v/>
      </c>
      <c r="J619">
        <f>IF($H619="","",IF(ROUND($F619,2)&gt;0,IF($D619="شخصی قاسم","شخصی قاسم",IF($D619="هزینه","هزینه: "&amp;IF($E619="","متفرقه",$E619),IF(OR($B619="",COUNTIF(AcctCodesA,$B619)=0),"متفرقه",$B619))),$A619))</f>
        <v/>
      </c>
      <c r="K619">
        <f>IF($A619="","",IF(AND($B619&lt;&gt;"",COUNTIF(AcctCodesA,$B619)=0),"کد طرف در INFO تعریف نشده",IF(AND($D619="هزینه",$E619=""),"هزینه بدون زیرگروه",IF(AND($C619="پاس چک",OR(Sync!$AJ619="",COUNTIF(IssueNosA,Sync!$AJ619)=0)),"شماره چک پاس‌شده معتبر نیست",""))))</f>
        <v/>
      </c>
      <c r="V619">
        <f>IF($K619="","",IF(ISNUMBER(Sync!$AK619),Sync!$AK619,LEFT(Sync!$AK619,4)&amp;MID(Sync!$AK619,6,2)&amp;RIGHT(Sync!$AK619,2))&amp;"|"&amp;"4"&amp;RIGHT("00000"&amp;614,5))</f>
        <v/>
      </c>
      <c r="W619">
        <f>IF($V619="",0,COUNTIFS($V$6:$V$2005,"&lt;"&amp;$V619)-COUNTIFS($V$6:$V$2005,"&lt;"&amp;$V619,$K$6:$K$2005,"")+1)</f>
        <v/>
      </c>
      <c r="X619">
        <f>IF(Sync!$AX619="","",IF(OR(N(Sync!$AY619)=0,N(Sync!$AZ619)=0),"",ROUND(N(Sync!$AY619)*N(Sync!$AZ619),0)))</f>
        <v/>
      </c>
      <c r="Y619">
        <f>IF($X619="","",IF(OR(Sync!$AX619="",COUNTIF(AcctCodesA,Sync!$AX619)=0),"متفرقه",Sync!$AX619))</f>
        <v/>
      </c>
      <c r="Z619">
        <f>IF($X619="","","سبد و ظروف")</f>
        <v/>
      </c>
      <c r="AA619">
        <f>IF($X619="","",$Y619)</f>
        <v/>
      </c>
    </row>
    <row r="620">
      <c r="A620">
        <f>IF(Sync!$Z620="","",LEFT(UPPER(TRIM(Sync!$Z620)),6))</f>
        <v/>
      </c>
      <c r="B620">
        <f>IF($A620="","",IF(Sync!$AA620="","",Sync!$AA620))</f>
        <v/>
      </c>
      <c r="C620">
        <f>IF($A620="","",IF(Sync!$AB620="","",Sync!$AB620))</f>
        <v/>
      </c>
      <c r="D620">
        <f>IF($A620="","",IF(Sync!$AC620="","",Sync!$AC620))</f>
        <v/>
      </c>
      <c r="E620">
        <f>IF($A620="","",IF(Sync!$AD620="","",Sync!$AD620))</f>
        <v/>
      </c>
      <c r="F620">
        <f>IF($A620="","",IF(Sync!$AE620="",0,Sync!$AE620))</f>
        <v/>
      </c>
      <c r="G620">
        <f>IF($A620="","",IF(Sync!$AF620="",0,Sync!$AF620))</f>
        <v/>
      </c>
      <c r="H620">
        <f>IF(OR($A620="",ROUND($F620+$G620,2)=0),"",$F620+$G620)</f>
        <v/>
      </c>
      <c r="I620">
        <f>IF($H620="","",IF(ROUND($F620,2)&gt;0,$A620,IF($D620="شخصی قاسم","شخصی قاسم",IF($D620="هزینه","هزینه: "&amp;IF($E620="","متفرقه",$E620),IF($C620="پاس چک","چک پرداختی",IF(OR($B620="",COUNTIF(AcctCodesA,$B620)=0),"متفرقه",$B620))))))</f>
        <v/>
      </c>
      <c r="J620">
        <f>IF($H620="","",IF(ROUND($F620,2)&gt;0,IF($D620="شخصی قاسم","شخصی قاسم",IF($D620="هزینه","هزینه: "&amp;IF($E620="","متفرقه",$E620),IF(OR($B620="",COUNTIF(AcctCodesA,$B620)=0),"متفرقه",$B620))),$A620))</f>
        <v/>
      </c>
      <c r="K620">
        <f>IF($A620="","",IF(AND($B620&lt;&gt;"",COUNTIF(AcctCodesA,$B620)=0),"کد طرف در INFO تعریف نشده",IF(AND($D620="هزینه",$E620=""),"هزینه بدون زیرگروه",IF(AND($C620="پاس چک",OR(Sync!$AJ620="",COUNTIF(IssueNosA,Sync!$AJ620)=0)),"شماره چک پاس‌شده معتبر نیست",""))))</f>
        <v/>
      </c>
      <c r="V620">
        <f>IF($K620="","",IF(ISNUMBER(Sync!$AK620),Sync!$AK620,LEFT(Sync!$AK620,4)&amp;MID(Sync!$AK620,6,2)&amp;RIGHT(Sync!$AK620,2))&amp;"|"&amp;"4"&amp;RIGHT("00000"&amp;615,5))</f>
        <v/>
      </c>
      <c r="W620">
        <f>IF($V620="",0,COUNTIFS($V$6:$V$2005,"&lt;"&amp;$V620)-COUNTIFS($V$6:$V$2005,"&lt;"&amp;$V620,$K$6:$K$2005,"")+1)</f>
        <v/>
      </c>
      <c r="X620">
        <f>IF(Sync!$AX620="","",IF(OR(N(Sync!$AY620)=0,N(Sync!$AZ620)=0),"",ROUND(N(Sync!$AY620)*N(Sync!$AZ620),0)))</f>
        <v/>
      </c>
      <c r="Y620">
        <f>IF($X620="","",IF(OR(Sync!$AX620="",COUNTIF(AcctCodesA,Sync!$AX620)=0),"متفرقه",Sync!$AX620))</f>
        <v/>
      </c>
      <c r="Z620">
        <f>IF($X620="","","سبد و ظروف")</f>
        <v/>
      </c>
      <c r="AA620">
        <f>IF($X620="","",$Y620)</f>
        <v/>
      </c>
    </row>
    <row r="621">
      <c r="A621">
        <f>IF(Sync!$Z621="","",LEFT(UPPER(TRIM(Sync!$Z621)),6))</f>
        <v/>
      </c>
      <c r="B621">
        <f>IF($A621="","",IF(Sync!$AA621="","",Sync!$AA621))</f>
        <v/>
      </c>
      <c r="C621">
        <f>IF($A621="","",IF(Sync!$AB621="","",Sync!$AB621))</f>
        <v/>
      </c>
      <c r="D621">
        <f>IF($A621="","",IF(Sync!$AC621="","",Sync!$AC621))</f>
        <v/>
      </c>
      <c r="E621">
        <f>IF($A621="","",IF(Sync!$AD621="","",Sync!$AD621))</f>
        <v/>
      </c>
      <c r="F621">
        <f>IF($A621="","",IF(Sync!$AE621="",0,Sync!$AE621))</f>
        <v/>
      </c>
      <c r="G621">
        <f>IF($A621="","",IF(Sync!$AF621="",0,Sync!$AF621))</f>
        <v/>
      </c>
      <c r="H621">
        <f>IF(OR($A621="",ROUND($F621+$G621,2)=0),"",$F621+$G621)</f>
        <v/>
      </c>
      <c r="I621">
        <f>IF($H621="","",IF(ROUND($F621,2)&gt;0,$A621,IF($D621="شخصی قاسم","شخصی قاسم",IF($D621="هزینه","هزینه: "&amp;IF($E621="","متفرقه",$E621),IF($C621="پاس چک","چک پرداختی",IF(OR($B621="",COUNTIF(AcctCodesA,$B621)=0),"متفرقه",$B621))))))</f>
        <v/>
      </c>
      <c r="J621">
        <f>IF($H621="","",IF(ROUND($F621,2)&gt;0,IF($D621="شخصی قاسم","شخصی قاسم",IF($D621="هزینه","هزینه: "&amp;IF($E621="","متفرقه",$E621),IF(OR($B621="",COUNTIF(AcctCodesA,$B621)=0),"متفرقه",$B621))),$A621))</f>
        <v/>
      </c>
      <c r="K621">
        <f>IF($A621="","",IF(AND($B621&lt;&gt;"",COUNTIF(AcctCodesA,$B621)=0),"کد طرف در INFO تعریف نشده",IF(AND($D621="هزینه",$E621=""),"هزینه بدون زیرگروه",IF(AND($C621="پاس چک",OR(Sync!$AJ621="",COUNTIF(IssueNosA,Sync!$AJ621)=0)),"شماره چک پاس‌شده معتبر نیست",""))))</f>
        <v/>
      </c>
      <c r="V621">
        <f>IF($K621="","",IF(ISNUMBER(Sync!$AK621),Sync!$AK621,LEFT(Sync!$AK621,4)&amp;MID(Sync!$AK621,6,2)&amp;RIGHT(Sync!$AK621,2))&amp;"|"&amp;"4"&amp;RIGHT("00000"&amp;616,5))</f>
        <v/>
      </c>
      <c r="W621">
        <f>IF($V621="",0,COUNTIFS($V$6:$V$2005,"&lt;"&amp;$V621)-COUNTIFS($V$6:$V$2005,"&lt;"&amp;$V621,$K$6:$K$2005,"")+1)</f>
        <v/>
      </c>
      <c r="X621">
        <f>IF(Sync!$AX621="","",IF(OR(N(Sync!$AY621)=0,N(Sync!$AZ621)=0),"",ROUND(N(Sync!$AY621)*N(Sync!$AZ621),0)))</f>
        <v/>
      </c>
      <c r="Y621">
        <f>IF($X621="","",IF(OR(Sync!$AX621="",COUNTIF(AcctCodesA,Sync!$AX621)=0),"متفرقه",Sync!$AX621))</f>
        <v/>
      </c>
      <c r="Z621">
        <f>IF($X621="","","سبد و ظروف")</f>
        <v/>
      </c>
      <c r="AA621">
        <f>IF($X621="","",$Y621)</f>
        <v/>
      </c>
    </row>
    <row r="622">
      <c r="A622">
        <f>IF(Sync!$Z622="","",LEFT(UPPER(TRIM(Sync!$Z622)),6))</f>
        <v/>
      </c>
      <c r="B622">
        <f>IF($A622="","",IF(Sync!$AA622="","",Sync!$AA622))</f>
        <v/>
      </c>
      <c r="C622">
        <f>IF($A622="","",IF(Sync!$AB622="","",Sync!$AB622))</f>
        <v/>
      </c>
      <c r="D622">
        <f>IF($A622="","",IF(Sync!$AC622="","",Sync!$AC622))</f>
        <v/>
      </c>
      <c r="E622">
        <f>IF($A622="","",IF(Sync!$AD622="","",Sync!$AD622))</f>
        <v/>
      </c>
      <c r="F622">
        <f>IF($A622="","",IF(Sync!$AE622="",0,Sync!$AE622))</f>
        <v/>
      </c>
      <c r="G622">
        <f>IF($A622="","",IF(Sync!$AF622="",0,Sync!$AF622))</f>
        <v/>
      </c>
      <c r="H622">
        <f>IF(OR($A622="",ROUND($F622+$G622,2)=0),"",$F622+$G622)</f>
        <v/>
      </c>
      <c r="I622">
        <f>IF($H622="","",IF(ROUND($F622,2)&gt;0,$A622,IF($D622="شخصی قاسم","شخصی قاسم",IF($D622="هزینه","هزینه: "&amp;IF($E622="","متفرقه",$E622),IF($C622="پاس چک","چک پرداختی",IF(OR($B622="",COUNTIF(AcctCodesA,$B622)=0),"متفرقه",$B622))))))</f>
        <v/>
      </c>
      <c r="J622">
        <f>IF($H622="","",IF(ROUND($F622,2)&gt;0,IF($D622="شخصی قاسم","شخصی قاسم",IF($D622="هزینه","هزینه: "&amp;IF($E622="","متفرقه",$E622),IF(OR($B622="",COUNTIF(AcctCodesA,$B622)=0),"متفرقه",$B622))),$A622))</f>
        <v/>
      </c>
      <c r="K622">
        <f>IF($A622="","",IF(AND($B622&lt;&gt;"",COUNTIF(AcctCodesA,$B622)=0),"کد طرف در INFO تعریف نشده",IF(AND($D622="هزینه",$E622=""),"هزینه بدون زیرگروه",IF(AND($C622="پاس چک",OR(Sync!$AJ622="",COUNTIF(IssueNosA,Sync!$AJ622)=0)),"شماره چک پاس‌شده معتبر نیست",""))))</f>
        <v/>
      </c>
      <c r="V622">
        <f>IF($K622="","",IF(ISNUMBER(Sync!$AK622),Sync!$AK622,LEFT(Sync!$AK622,4)&amp;MID(Sync!$AK622,6,2)&amp;RIGHT(Sync!$AK622,2))&amp;"|"&amp;"4"&amp;RIGHT("00000"&amp;617,5))</f>
        <v/>
      </c>
      <c r="W622">
        <f>IF($V622="",0,COUNTIFS($V$6:$V$2005,"&lt;"&amp;$V622)-COUNTIFS($V$6:$V$2005,"&lt;"&amp;$V622,$K$6:$K$2005,"")+1)</f>
        <v/>
      </c>
      <c r="X622">
        <f>IF(Sync!$AX622="","",IF(OR(N(Sync!$AY622)=0,N(Sync!$AZ622)=0),"",ROUND(N(Sync!$AY622)*N(Sync!$AZ622),0)))</f>
        <v/>
      </c>
      <c r="Y622">
        <f>IF($X622="","",IF(OR(Sync!$AX622="",COUNTIF(AcctCodesA,Sync!$AX622)=0),"متفرقه",Sync!$AX622))</f>
        <v/>
      </c>
      <c r="Z622">
        <f>IF($X622="","","سبد و ظروف")</f>
        <v/>
      </c>
      <c r="AA622">
        <f>IF($X622="","",$Y622)</f>
        <v/>
      </c>
    </row>
    <row r="623">
      <c r="A623">
        <f>IF(Sync!$Z623="","",LEFT(UPPER(TRIM(Sync!$Z623)),6))</f>
        <v/>
      </c>
      <c r="B623">
        <f>IF($A623="","",IF(Sync!$AA623="","",Sync!$AA623))</f>
        <v/>
      </c>
      <c r="C623">
        <f>IF($A623="","",IF(Sync!$AB623="","",Sync!$AB623))</f>
        <v/>
      </c>
      <c r="D623">
        <f>IF($A623="","",IF(Sync!$AC623="","",Sync!$AC623))</f>
        <v/>
      </c>
      <c r="E623">
        <f>IF($A623="","",IF(Sync!$AD623="","",Sync!$AD623))</f>
        <v/>
      </c>
      <c r="F623">
        <f>IF($A623="","",IF(Sync!$AE623="",0,Sync!$AE623))</f>
        <v/>
      </c>
      <c r="G623">
        <f>IF($A623="","",IF(Sync!$AF623="",0,Sync!$AF623))</f>
        <v/>
      </c>
      <c r="H623">
        <f>IF(OR($A623="",ROUND($F623+$G623,2)=0),"",$F623+$G623)</f>
        <v/>
      </c>
      <c r="I623">
        <f>IF($H623="","",IF(ROUND($F623,2)&gt;0,$A623,IF($D623="شخصی قاسم","شخصی قاسم",IF($D623="هزینه","هزینه: "&amp;IF($E623="","متفرقه",$E623),IF($C623="پاس چک","چک پرداختی",IF(OR($B623="",COUNTIF(AcctCodesA,$B623)=0),"متفرقه",$B623))))))</f>
        <v/>
      </c>
      <c r="J623">
        <f>IF($H623="","",IF(ROUND($F623,2)&gt;0,IF($D623="شخصی قاسم","شخصی قاسم",IF($D623="هزینه","هزینه: "&amp;IF($E623="","متفرقه",$E623),IF(OR($B623="",COUNTIF(AcctCodesA,$B623)=0),"متفرقه",$B623))),$A623))</f>
        <v/>
      </c>
      <c r="K623">
        <f>IF($A623="","",IF(AND($B623&lt;&gt;"",COUNTIF(AcctCodesA,$B623)=0),"کد طرف در INFO تعریف نشده",IF(AND($D623="هزینه",$E623=""),"هزینه بدون زیرگروه",IF(AND($C623="پاس چک",OR(Sync!$AJ623="",COUNTIF(IssueNosA,Sync!$AJ623)=0)),"شماره چک پاس‌شده معتبر نیست",""))))</f>
        <v/>
      </c>
      <c r="V623">
        <f>IF($K623="","",IF(ISNUMBER(Sync!$AK623),Sync!$AK623,LEFT(Sync!$AK623,4)&amp;MID(Sync!$AK623,6,2)&amp;RIGHT(Sync!$AK623,2))&amp;"|"&amp;"4"&amp;RIGHT("00000"&amp;618,5))</f>
        <v/>
      </c>
      <c r="W623">
        <f>IF($V623="",0,COUNTIFS($V$6:$V$2005,"&lt;"&amp;$V623)-COUNTIFS($V$6:$V$2005,"&lt;"&amp;$V623,$K$6:$K$2005,"")+1)</f>
        <v/>
      </c>
      <c r="X623">
        <f>IF(Sync!$AX623="","",IF(OR(N(Sync!$AY623)=0,N(Sync!$AZ623)=0),"",ROUND(N(Sync!$AY623)*N(Sync!$AZ623),0)))</f>
        <v/>
      </c>
      <c r="Y623">
        <f>IF($X623="","",IF(OR(Sync!$AX623="",COUNTIF(AcctCodesA,Sync!$AX623)=0),"متفرقه",Sync!$AX623))</f>
        <v/>
      </c>
      <c r="Z623">
        <f>IF($X623="","","سبد و ظروف")</f>
        <v/>
      </c>
      <c r="AA623">
        <f>IF($X623="","",$Y623)</f>
        <v/>
      </c>
    </row>
    <row r="624">
      <c r="A624">
        <f>IF(Sync!$Z624="","",LEFT(UPPER(TRIM(Sync!$Z624)),6))</f>
        <v/>
      </c>
      <c r="B624">
        <f>IF($A624="","",IF(Sync!$AA624="","",Sync!$AA624))</f>
        <v/>
      </c>
      <c r="C624">
        <f>IF($A624="","",IF(Sync!$AB624="","",Sync!$AB624))</f>
        <v/>
      </c>
      <c r="D624">
        <f>IF($A624="","",IF(Sync!$AC624="","",Sync!$AC624))</f>
        <v/>
      </c>
      <c r="E624">
        <f>IF($A624="","",IF(Sync!$AD624="","",Sync!$AD624))</f>
        <v/>
      </c>
      <c r="F624">
        <f>IF($A624="","",IF(Sync!$AE624="",0,Sync!$AE624))</f>
        <v/>
      </c>
      <c r="G624">
        <f>IF($A624="","",IF(Sync!$AF624="",0,Sync!$AF624))</f>
        <v/>
      </c>
      <c r="H624">
        <f>IF(OR($A624="",ROUND($F624+$G624,2)=0),"",$F624+$G624)</f>
        <v/>
      </c>
      <c r="I624">
        <f>IF($H624="","",IF(ROUND($F624,2)&gt;0,$A624,IF($D624="شخصی قاسم","شخصی قاسم",IF($D624="هزینه","هزینه: "&amp;IF($E624="","متفرقه",$E624),IF($C624="پاس چک","چک پرداختی",IF(OR($B624="",COUNTIF(AcctCodesA,$B624)=0),"متفرقه",$B624))))))</f>
        <v/>
      </c>
      <c r="J624">
        <f>IF($H624="","",IF(ROUND($F624,2)&gt;0,IF($D624="شخصی قاسم","شخصی قاسم",IF($D624="هزینه","هزینه: "&amp;IF($E624="","متفرقه",$E624),IF(OR($B624="",COUNTIF(AcctCodesA,$B624)=0),"متفرقه",$B624))),$A624))</f>
        <v/>
      </c>
      <c r="K624">
        <f>IF($A624="","",IF(AND($B624&lt;&gt;"",COUNTIF(AcctCodesA,$B624)=0),"کد طرف در INFO تعریف نشده",IF(AND($D624="هزینه",$E624=""),"هزینه بدون زیرگروه",IF(AND($C624="پاس چک",OR(Sync!$AJ624="",COUNTIF(IssueNosA,Sync!$AJ624)=0)),"شماره چک پاس‌شده معتبر نیست",""))))</f>
        <v/>
      </c>
      <c r="V624">
        <f>IF($K624="","",IF(ISNUMBER(Sync!$AK624),Sync!$AK624,LEFT(Sync!$AK624,4)&amp;MID(Sync!$AK624,6,2)&amp;RIGHT(Sync!$AK624,2))&amp;"|"&amp;"4"&amp;RIGHT("00000"&amp;619,5))</f>
        <v/>
      </c>
      <c r="W624">
        <f>IF($V624="",0,COUNTIFS($V$6:$V$2005,"&lt;"&amp;$V624)-COUNTIFS($V$6:$V$2005,"&lt;"&amp;$V624,$K$6:$K$2005,"")+1)</f>
        <v/>
      </c>
      <c r="X624">
        <f>IF(Sync!$AX624="","",IF(OR(N(Sync!$AY624)=0,N(Sync!$AZ624)=0),"",ROUND(N(Sync!$AY624)*N(Sync!$AZ624),0)))</f>
        <v/>
      </c>
      <c r="Y624">
        <f>IF($X624="","",IF(OR(Sync!$AX624="",COUNTIF(AcctCodesA,Sync!$AX624)=0),"متفرقه",Sync!$AX624))</f>
        <v/>
      </c>
      <c r="Z624">
        <f>IF($X624="","","سبد و ظروف")</f>
        <v/>
      </c>
      <c r="AA624">
        <f>IF($X624="","",$Y624)</f>
        <v/>
      </c>
    </row>
    <row r="625">
      <c r="A625">
        <f>IF(Sync!$Z625="","",LEFT(UPPER(TRIM(Sync!$Z625)),6))</f>
        <v/>
      </c>
      <c r="B625">
        <f>IF($A625="","",IF(Sync!$AA625="","",Sync!$AA625))</f>
        <v/>
      </c>
      <c r="C625">
        <f>IF($A625="","",IF(Sync!$AB625="","",Sync!$AB625))</f>
        <v/>
      </c>
      <c r="D625">
        <f>IF($A625="","",IF(Sync!$AC625="","",Sync!$AC625))</f>
        <v/>
      </c>
      <c r="E625">
        <f>IF($A625="","",IF(Sync!$AD625="","",Sync!$AD625))</f>
        <v/>
      </c>
      <c r="F625">
        <f>IF($A625="","",IF(Sync!$AE625="",0,Sync!$AE625))</f>
        <v/>
      </c>
      <c r="G625">
        <f>IF($A625="","",IF(Sync!$AF625="",0,Sync!$AF625))</f>
        <v/>
      </c>
      <c r="H625">
        <f>IF(OR($A625="",ROUND($F625+$G625,2)=0),"",$F625+$G625)</f>
        <v/>
      </c>
      <c r="I625">
        <f>IF($H625="","",IF(ROUND($F625,2)&gt;0,$A625,IF($D625="شخصی قاسم","شخصی قاسم",IF($D625="هزینه","هزینه: "&amp;IF($E625="","متفرقه",$E625),IF($C625="پاس چک","چک پرداختی",IF(OR($B625="",COUNTIF(AcctCodesA,$B625)=0),"متفرقه",$B625))))))</f>
        <v/>
      </c>
      <c r="J625">
        <f>IF($H625="","",IF(ROUND($F625,2)&gt;0,IF($D625="شخصی قاسم","شخصی قاسم",IF($D625="هزینه","هزینه: "&amp;IF($E625="","متفرقه",$E625),IF(OR($B625="",COUNTIF(AcctCodesA,$B625)=0),"متفرقه",$B625))),$A625))</f>
        <v/>
      </c>
      <c r="K625">
        <f>IF($A625="","",IF(AND($B625&lt;&gt;"",COUNTIF(AcctCodesA,$B625)=0),"کد طرف در INFO تعریف نشده",IF(AND($D625="هزینه",$E625=""),"هزینه بدون زیرگروه",IF(AND($C625="پاس چک",OR(Sync!$AJ625="",COUNTIF(IssueNosA,Sync!$AJ625)=0)),"شماره چک پاس‌شده معتبر نیست",""))))</f>
        <v/>
      </c>
      <c r="V625">
        <f>IF($K625="","",IF(ISNUMBER(Sync!$AK625),Sync!$AK625,LEFT(Sync!$AK625,4)&amp;MID(Sync!$AK625,6,2)&amp;RIGHT(Sync!$AK625,2))&amp;"|"&amp;"4"&amp;RIGHT("00000"&amp;620,5))</f>
        <v/>
      </c>
      <c r="W625">
        <f>IF($V625="",0,COUNTIFS($V$6:$V$2005,"&lt;"&amp;$V625)-COUNTIFS($V$6:$V$2005,"&lt;"&amp;$V625,$K$6:$K$2005,"")+1)</f>
        <v/>
      </c>
      <c r="X625">
        <f>IF(Sync!$AX625="","",IF(OR(N(Sync!$AY625)=0,N(Sync!$AZ625)=0),"",ROUND(N(Sync!$AY625)*N(Sync!$AZ625),0)))</f>
        <v/>
      </c>
      <c r="Y625">
        <f>IF($X625="","",IF(OR(Sync!$AX625="",COUNTIF(AcctCodesA,Sync!$AX625)=0),"متفرقه",Sync!$AX625))</f>
        <v/>
      </c>
      <c r="Z625">
        <f>IF($X625="","","سبد و ظروف")</f>
        <v/>
      </c>
      <c r="AA625">
        <f>IF($X625="","",$Y625)</f>
        <v/>
      </c>
    </row>
    <row r="626">
      <c r="A626">
        <f>IF(Sync!$Z626="","",LEFT(UPPER(TRIM(Sync!$Z626)),6))</f>
        <v/>
      </c>
      <c r="B626">
        <f>IF($A626="","",IF(Sync!$AA626="","",Sync!$AA626))</f>
        <v/>
      </c>
      <c r="C626">
        <f>IF($A626="","",IF(Sync!$AB626="","",Sync!$AB626))</f>
        <v/>
      </c>
      <c r="D626">
        <f>IF($A626="","",IF(Sync!$AC626="","",Sync!$AC626))</f>
        <v/>
      </c>
      <c r="E626">
        <f>IF($A626="","",IF(Sync!$AD626="","",Sync!$AD626))</f>
        <v/>
      </c>
      <c r="F626">
        <f>IF($A626="","",IF(Sync!$AE626="",0,Sync!$AE626))</f>
        <v/>
      </c>
      <c r="G626">
        <f>IF($A626="","",IF(Sync!$AF626="",0,Sync!$AF626))</f>
        <v/>
      </c>
      <c r="H626">
        <f>IF(OR($A626="",ROUND($F626+$G626,2)=0),"",$F626+$G626)</f>
        <v/>
      </c>
      <c r="I626">
        <f>IF($H626="","",IF(ROUND($F626,2)&gt;0,$A626,IF($D626="شخصی قاسم","شخصی قاسم",IF($D626="هزینه","هزینه: "&amp;IF($E626="","متفرقه",$E626),IF($C626="پاس چک","چک پرداختی",IF(OR($B626="",COUNTIF(AcctCodesA,$B626)=0),"متفرقه",$B626))))))</f>
        <v/>
      </c>
      <c r="J626">
        <f>IF($H626="","",IF(ROUND($F626,2)&gt;0,IF($D626="شخصی قاسم","شخصی قاسم",IF($D626="هزینه","هزینه: "&amp;IF($E626="","متفرقه",$E626),IF(OR($B626="",COUNTIF(AcctCodesA,$B626)=0),"متفرقه",$B626))),$A626))</f>
        <v/>
      </c>
      <c r="K626">
        <f>IF($A626="","",IF(AND($B626&lt;&gt;"",COUNTIF(AcctCodesA,$B626)=0),"کد طرف در INFO تعریف نشده",IF(AND($D626="هزینه",$E626=""),"هزینه بدون زیرگروه",IF(AND($C626="پاس چک",OR(Sync!$AJ626="",COUNTIF(IssueNosA,Sync!$AJ626)=0)),"شماره چک پاس‌شده معتبر نیست",""))))</f>
        <v/>
      </c>
      <c r="V626">
        <f>IF($K626="","",IF(ISNUMBER(Sync!$AK626),Sync!$AK626,LEFT(Sync!$AK626,4)&amp;MID(Sync!$AK626,6,2)&amp;RIGHT(Sync!$AK626,2))&amp;"|"&amp;"4"&amp;RIGHT("00000"&amp;621,5))</f>
        <v/>
      </c>
      <c r="W626">
        <f>IF($V626="",0,COUNTIFS($V$6:$V$2005,"&lt;"&amp;$V626)-COUNTIFS($V$6:$V$2005,"&lt;"&amp;$V626,$K$6:$K$2005,"")+1)</f>
        <v/>
      </c>
      <c r="X626">
        <f>IF(Sync!$AX626="","",IF(OR(N(Sync!$AY626)=0,N(Sync!$AZ626)=0),"",ROUND(N(Sync!$AY626)*N(Sync!$AZ626),0)))</f>
        <v/>
      </c>
      <c r="Y626">
        <f>IF($X626="","",IF(OR(Sync!$AX626="",COUNTIF(AcctCodesA,Sync!$AX626)=0),"متفرقه",Sync!$AX626))</f>
        <v/>
      </c>
      <c r="Z626">
        <f>IF($X626="","","سبد و ظروف")</f>
        <v/>
      </c>
      <c r="AA626">
        <f>IF($X626="","",$Y626)</f>
        <v/>
      </c>
    </row>
    <row r="627">
      <c r="A627">
        <f>IF(Sync!$Z627="","",LEFT(UPPER(TRIM(Sync!$Z627)),6))</f>
        <v/>
      </c>
      <c r="B627">
        <f>IF($A627="","",IF(Sync!$AA627="","",Sync!$AA627))</f>
        <v/>
      </c>
      <c r="C627">
        <f>IF($A627="","",IF(Sync!$AB627="","",Sync!$AB627))</f>
        <v/>
      </c>
      <c r="D627">
        <f>IF($A627="","",IF(Sync!$AC627="","",Sync!$AC627))</f>
        <v/>
      </c>
      <c r="E627">
        <f>IF($A627="","",IF(Sync!$AD627="","",Sync!$AD627))</f>
        <v/>
      </c>
      <c r="F627">
        <f>IF($A627="","",IF(Sync!$AE627="",0,Sync!$AE627))</f>
        <v/>
      </c>
      <c r="G627">
        <f>IF($A627="","",IF(Sync!$AF627="",0,Sync!$AF627))</f>
        <v/>
      </c>
      <c r="H627">
        <f>IF(OR($A627="",ROUND($F627+$G627,2)=0),"",$F627+$G627)</f>
        <v/>
      </c>
      <c r="I627">
        <f>IF($H627="","",IF(ROUND($F627,2)&gt;0,$A627,IF($D627="شخصی قاسم","شخصی قاسم",IF($D627="هزینه","هزینه: "&amp;IF($E627="","متفرقه",$E627),IF($C627="پاس چک","چک پرداختی",IF(OR($B627="",COUNTIF(AcctCodesA,$B627)=0),"متفرقه",$B627))))))</f>
        <v/>
      </c>
      <c r="J627">
        <f>IF($H627="","",IF(ROUND($F627,2)&gt;0,IF($D627="شخصی قاسم","شخصی قاسم",IF($D627="هزینه","هزینه: "&amp;IF($E627="","متفرقه",$E627),IF(OR($B627="",COUNTIF(AcctCodesA,$B627)=0),"متفرقه",$B627))),$A627))</f>
        <v/>
      </c>
      <c r="K627">
        <f>IF($A627="","",IF(AND($B627&lt;&gt;"",COUNTIF(AcctCodesA,$B627)=0),"کد طرف در INFO تعریف نشده",IF(AND($D627="هزینه",$E627=""),"هزینه بدون زیرگروه",IF(AND($C627="پاس چک",OR(Sync!$AJ627="",COUNTIF(IssueNosA,Sync!$AJ627)=0)),"شماره چک پاس‌شده معتبر نیست",""))))</f>
        <v/>
      </c>
      <c r="V627">
        <f>IF($K627="","",IF(ISNUMBER(Sync!$AK627),Sync!$AK627,LEFT(Sync!$AK627,4)&amp;MID(Sync!$AK627,6,2)&amp;RIGHT(Sync!$AK627,2))&amp;"|"&amp;"4"&amp;RIGHT("00000"&amp;622,5))</f>
        <v/>
      </c>
      <c r="W627">
        <f>IF($V627="",0,COUNTIFS($V$6:$V$2005,"&lt;"&amp;$V627)-COUNTIFS($V$6:$V$2005,"&lt;"&amp;$V627,$K$6:$K$2005,"")+1)</f>
        <v/>
      </c>
      <c r="X627">
        <f>IF(Sync!$AX627="","",IF(OR(N(Sync!$AY627)=0,N(Sync!$AZ627)=0),"",ROUND(N(Sync!$AY627)*N(Sync!$AZ627),0)))</f>
        <v/>
      </c>
      <c r="Y627">
        <f>IF($X627="","",IF(OR(Sync!$AX627="",COUNTIF(AcctCodesA,Sync!$AX627)=0),"متفرقه",Sync!$AX627))</f>
        <v/>
      </c>
      <c r="Z627">
        <f>IF($X627="","","سبد و ظروف")</f>
        <v/>
      </c>
      <c r="AA627">
        <f>IF($X627="","",$Y627)</f>
        <v/>
      </c>
    </row>
    <row r="628">
      <c r="A628">
        <f>IF(Sync!$Z628="","",LEFT(UPPER(TRIM(Sync!$Z628)),6))</f>
        <v/>
      </c>
      <c r="B628">
        <f>IF($A628="","",IF(Sync!$AA628="","",Sync!$AA628))</f>
        <v/>
      </c>
      <c r="C628">
        <f>IF($A628="","",IF(Sync!$AB628="","",Sync!$AB628))</f>
        <v/>
      </c>
      <c r="D628">
        <f>IF($A628="","",IF(Sync!$AC628="","",Sync!$AC628))</f>
        <v/>
      </c>
      <c r="E628">
        <f>IF($A628="","",IF(Sync!$AD628="","",Sync!$AD628))</f>
        <v/>
      </c>
      <c r="F628">
        <f>IF($A628="","",IF(Sync!$AE628="",0,Sync!$AE628))</f>
        <v/>
      </c>
      <c r="G628">
        <f>IF($A628="","",IF(Sync!$AF628="",0,Sync!$AF628))</f>
        <v/>
      </c>
      <c r="H628">
        <f>IF(OR($A628="",ROUND($F628+$G628,2)=0),"",$F628+$G628)</f>
        <v/>
      </c>
      <c r="I628">
        <f>IF($H628="","",IF(ROUND($F628,2)&gt;0,$A628,IF($D628="شخصی قاسم","شخصی قاسم",IF($D628="هزینه","هزینه: "&amp;IF($E628="","متفرقه",$E628),IF($C628="پاس چک","چک پرداختی",IF(OR($B628="",COUNTIF(AcctCodesA,$B628)=0),"متفرقه",$B628))))))</f>
        <v/>
      </c>
      <c r="J628">
        <f>IF($H628="","",IF(ROUND($F628,2)&gt;0,IF($D628="شخصی قاسم","شخصی قاسم",IF($D628="هزینه","هزینه: "&amp;IF($E628="","متفرقه",$E628),IF(OR($B628="",COUNTIF(AcctCodesA,$B628)=0),"متفرقه",$B628))),$A628))</f>
        <v/>
      </c>
      <c r="K628">
        <f>IF($A628="","",IF(AND($B628&lt;&gt;"",COUNTIF(AcctCodesA,$B628)=0),"کد طرف در INFO تعریف نشده",IF(AND($D628="هزینه",$E628=""),"هزینه بدون زیرگروه",IF(AND($C628="پاس چک",OR(Sync!$AJ628="",COUNTIF(IssueNosA,Sync!$AJ628)=0)),"شماره چک پاس‌شده معتبر نیست",""))))</f>
        <v/>
      </c>
      <c r="V628">
        <f>IF($K628="","",IF(ISNUMBER(Sync!$AK628),Sync!$AK628,LEFT(Sync!$AK628,4)&amp;MID(Sync!$AK628,6,2)&amp;RIGHT(Sync!$AK628,2))&amp;"|"&amp;"4"&amp;RIGHT("00000"&amp;623,5))</f>
        <v/>
      </c>
      <c r="W628">
        <f>IF($V628="",0,COUNTIFS($V$6:$V$2005,"&lt;"&amp;$V628)-COUNTIFS($V$6:$V$2005,"&lt;"&amp;$V628,$K$6:$K$2005,"")+1)</f>
        <v/>
      </c>
      <c r="X628">
        <f>IF(Sync!$AX628="","",IF(OR(N(Sync!$AY628)=0,N(Sync!$AZ628)=0),"",ROUND(N(Sync!$AY628)*N(Sync!$AZ628),0)))</f>
        <v/>
      </c>
      <c r="Y628">
        <f>IF($X628="","",IF(OR(Sync!$AX628="",COUNTIF(AcctCodesA,Sync!$AX628)=0),"متفرقه",Sync!$AX628))</f>
        <v/>
      </c>
      <c r="Z628">
        <f>IF($X628="","","سبد و ظروف")</f>
        <v/>
      </c>
      <c r="AA628">
        <f>IF($X628="","",$Y628)</f>
        <v/>
      </c>
    </row>
    <row r="629">
      <c r="A629">
        <f>IF(Sync!$Z629="","",LEFT(UPPER(TRIM(Sync!$Z629)),6))</f>
        <v/>
      </c>
      <c r="B629">
        <f>IF($A629="","",IF(Sync!$AA629="","",Sync!$AA629))</f>
        <v/>
      </c>
      <c r="C629">
        <f>IF($A629="","",IF(Sync!$AB629="","",Sync!$AB629))</f>
        <v/>
      </c>
      <c r="D629">
        <f>IF($A629="","",IF(Sync!$AC629="","",Sync!$AC629))</f>
        <v/>
      </c>
      <c r="E629">
        <f>IF($A629="","",IF(Sync!$AD629="","",Sync!$AD629))</f>
        <v/>
      </c>
      <c r="F629">
        <f>IF($A629="","",IF(Sync!$AE629="",0,Sync!$AE629))</f>
        <v/>
      </c>
      <c r="G629">
        <f>IF($A629="","",IF(Sync!$AF629="",0,Sync!$AF629))</f>
        <v/>
      </c>
      <c r="H629">
        <f>IF(OR($A629="",ROUND($F629+$G629,2)=0),"",$F629+$G629)</f>
        <v/>
      </c>
      <c r="I629">
        <f>IF($H629="","",IF(ROUND($F629,2)&gt;0,$A629,IF($D629="شخصی قاسم","شخصی قاسم",IF($D629="هزینه","هزینه: "&amp;IF($E629="","متفرقه",$E629),IF($C629="پاس چک","چک پرداختی",IF(OR($B629="",COUNTIF(AcctCodesA,$B629)=0),"متفرقه",$B629))))))</f>
        <v/>
      </c>
      <c r="J629">
        <f>IF($H629="","",IF(ROUND($F629,2)&gt;0,IF($D629="شخصی قاسم","شخصی قاسم",IF($D629="هزینه","هزینه: "&amp;IF($E629="","متفرقه",$E629),IF(OR($B629="",COUNTIF(AcctCodesA,$B629)=0),"متفرقه",$B629))),$A629))</f>
        <v/>
      </c>
      <c r="K629">
        <f>IF($A629="","",IF(AND($B629&lt;&gt;"",COUNTIF(AcctCodesA,$B629)=0),"کد طرف در INFO تعریف نشده",IF(AND($D629="هزینه",$E629=""),"هزینه بدون زیرگروه",IF(AND($C629="پاس چک",OR(Sync!$AJ629="",COUNTIF(IssueNosA,Sync!$AJ629)=0)),"شماره چک پاس‌شده معتبر نیست",""))))</f>
        <v/>
      </c>
      <c r="V629">
        <f>IF($K629="","",IF(ISNUMBER(Sync!$AK629),Sync!$AK629,LEFT(Sync!$AK629,4)&amp;MID(Sync!$AK629,6,2)&amp;RIGHT(Sync!$AK629,2))&amp;"|"&amp;"4"&amp;RIGHT("00000"&amp;624,5))</f>
        <v/>
      </c>
      <c r="W629">
        <f>IF($V629="",0,COUNTIFS($V$6:$V$2005,"&lt;"&amp;$V629)-COUNTIFS($V$6:$V$2005,"&lt;"&amp;$V629,$K$6:$K$2005,"")+1)</f>
        <v/>
      </c>
      <c r="X629">
        <f>IF(Sync!$AX629="","",IF(OR(N(Sync!$AY629)=0,N(Sync!$AZ629)=0),"",ROUND(N(Sync!$AY629)*N(Sync!$AZ629),0)))</f>
        <v/>
      </c>
      <c r="Y629">
        <f>IF($X629="","",IF(OR(Sync!$AX629="",COUNTIF(AcctCodesA,Sync!$AX629)=0),"متفرقه",Sync!$AX629))</f>
        <v/>
      </c>
      <c r="Z629">
        <f>IF($X629="","","سبد و ظروف")</f>
        <v/>
      </c>
      <c r="AA629">
        <f>IF($X629="","",$Y629)</f>
        <v/>
      </c>
    </row>
    <row r="630">
      <c r="A630">
        <f>IF(Sync!$Z630="","",LEFT(UPPER(TRIM(Sync!$Z630)),6))</f>
        <v/>
      </c>
      <c r="B630">
        <f>IF($A630="","",IF(Sync!$AA630="","",Sync!$AA630))</f>
        <v/>
      </c>
      <c r="C630">
        <f>IF($A630="","",IF(Sync!$AB630="","",Sync!$AB630))</f>
        <v/>
      </c>
      <c r="D630">
        <f>IF($A630="","",IF(Sync!$AC630="","",Sync!$AC630))</f>
        <v/>
      </c>
      <c r="E630">
        <f>IF($A630="","",IF(Sync!$AD630="","",Sync!$AD630))</f>
        <v/>
      </c>
      <c r="F630">
        <f>IF($A630="","",IF(Sync!$AE630="",0,Sync!$AE630))</f>
        <v/>
      </c>
      <c r="G630">
        <f>IF($A630="","",IF(Sync!$AF630="",0,Sync!$AF630))</f>
        <v/>
      </c>
      <c r="H630">
        <f>IF(OR($A630="",ROUND($F630+$G630,2)=0),"",$F630+$G630)</f>
        <v/>
      </c>
      <c r="I630">
        <f>IF($H630="","",IF(ROUND($F630,2)&gt;0,$A630,IF($D630="شخصی قاسم","شخصی قاسم",IF($D630="هزینه","هزینه: "&amp;IF($E630="","متفرقه",$E630),IF($C630="پاس چک","چک پرداختی",IF(OR($B630="",COUNTIF(AcctCodesA,$B630)=0),"متفرقه",$B630))))))</f>
        <v/>
      </c>
      <c r="J630">
        <f>IF($H630="","",IF(ROUND($F630,2)&gt;0,IF($D630="شخصی قاسم","شخصی قاسم",IF($D630="هزینه","هزینه: "&amp;IF($E630="","متفرقه",$E630),IF(OR($B630="",COUNTIF(AcctCodesA,$B630)=0),"متفرقه",$B630))),$A630))</f>
        <v/>
      </c>
      <c r="K630">
        <f>IF($A630="","",IF(AND($B630&lt;&gt;"",COUNTIF(AcctCodesA,$B630)=0),"کد طرف در INFO تعریف نشده",IF(AND($D630="هزینه",$E630=""),"هزینه بدون زیرگروه",IF(AND($C630="پاس چک",OR(Sync!$AJ630="",COUNTIF(IssueNosA,Sync!$AJ630)=0)),"شماره چک پاس‌شده معتبر نیست",""))))</f>
        <v/>
      </c>
      <c r="V630">
        <f>IF($K630="","",IF(ISNUMBER(Sync!$AK630),Sync!$AK630,LEFT(Sync!$AK630,4)&amp;MID(Sync!$AK630,6,2)&amp;RIGHT(Sync!$AK630,2))&amp;"|"&amp;"4"&amp;RIGHT("00000"&amp;625,5))</f>
        <v/>
      </c>
      <c r="W630">
        <f>IF($V630="",0,COUNTIFS($V$6:$V$2005,"&lt;"&amp;$V630)-COUNTIFS($V$6:$V$2005,"&lt;"&amp;$V630,$K$6:$K$2005,"")+1)</f>
        <v/>
      </c>
      <c r="X630">
        <f>IF(Sync!$AX630="","",IF(OR(N(Sync!$AY630)=0,N(Sync!$AZ630)=0),"",ROUND(N(Sync!$AY630)*N(Sync!$AZ630),0)))</f>
        <v/>
      </c>
      <c r="Y630">
        <f>IF($X630="","",IF(OR(Sync!$AX630="",COUNTIF(AcctCodesA,Sync!$AX630)=0),"متفرقه",Sync!$AX630))</f>
        <v/>
      </c>
      <c r="Z630">
        <f>IF($X630="","","سبد و ظروف")</f>
        <v/>
      </c>
      <c r="AA630">
        <f>IF($X630="","",$Y630)</f>
        <v/>
      </c>
    </row>
    <row r="631">
      <c r="A631">
        <f>IF(Sync!$Z631="","",LEFT(UPPER(TRIM(Sync!$Z631)),6))</f>
        <v/>
      </c>
      <c r="B631">
        <f>IF($A631="","",IF(Sync!$AA631="","",Sync!$AA631))</f>
        <v/>
      </c>
      <c r="C631">
        <f>IF($A631="","",IF(Sync!$AB631="","",Sync!$AB631))</f>
        <v/>
      </c>
      <c r="D631">
        <f>IF($A631="","",IF(Sync!$AC631="","",Sync!$AC631))</f>
        <v/>
      </c>
      <c r="E631">
        <f>IF($A631="","",IF(Sync!$AD631="","",Sync!$AD631))</f>
        <v/>
      </c>
      <c r="F631">
        <f>IF($A631="","",IF(Sync!$AE631="",0,Sync!$AE631))</f>
        <v/>
      </c>
      <c r="G631">
        <f>IF($A631="","",IF(Sync!$AF631="",0,Sync!$AF631))</f>
        <v/>
      </c>
      <c r="H631">
        <f>IF(OR($A631="",ROUND($F631+$G631,2)=0),"",$F631+$G631)</f>
        <v/>
      </c>
      <c r="I631">
        <f>IF($H631="","",IF(ROUND($F631,2)&gt;0,$A631,IF($D631="شخصی قاسم","شخصی قاسم",IF($D631="هزینه","هزینه: "&amp;IF($E631="","متفرقه",$E631),IF($C631="پاس چک","چک پرداختی",IF(OR($B631="",COUNTIF(AcctCodesA,$B631)=0),"متفرقه",$B631))))))</f>
        <v/>
      </c>
      <c r="J631">
        <f>IF($H631="","",IF(ROUND($F631,2)&gt;0,IF($D631="شخصی قاسم","شخصی قاسم",IF($D631="هزینه","هزینه: "&amp;IF($E631="","متفرقه",$E631),IF(OR($B631="",COUNTIF(AcctCodesA,$B631)=0),"متفرقه",$B631))),$A631))</f>
        <v/>
      </c>
      <c r="K631">
        <f>IF($A631="","",IF(AND($B631&lt;&gt;"",COUNTIF(AcctCodesA,$B631)=0),"کد طرف در INFO تعریف نشده",IF(AND($D631="هزینه",$E631=""),"هزینه بدون زیرگروه",IF(AND($C631="پاس چک",OR(Sync!$AJ631="",COUNTIF(IssueNosA,Sync!$AJ631)=0)),"شماره چک پاس‌شده معتبر نیست",""))))</f>
        <v/>
      </c>
      <c r="V631">
        <f>IF($K631="","",IF(ISNUMBER(Sync!$AK631),Sync!$AK631,LEFT(Sync!$AK631,4)&amp;MID(Sync!$AK631,6,2)&amp;RIGHT(Sync!$AK631,2))&amp;"|"&amp;"4"&amp;RIGHT("00000"&amp;626,5))</f>
        <v/>
      </c>
      <c r="W631">
        <f>IF($V631="",0,COUNTIFS($V$6:$V$2005,"&lt;"&amp;$V631)-COUNTIFS($V$6:$V$2005,"&lt;"&amp;$V631,$K$6:$K$2005,"")+1)</f>
        <v/>
      </c>
      <c r="X631">
        <f>IF(Sync!$AX631="","",IF(OR(N(Sync!$AY631)=0,N(Sync!$AZ631)=0),"",ROUND(N(Sync!$AY631)*N(Sync!$AZ631),0)))</f>
        <v/>
      </c>
      <c r="Y631">
        <f>IF($X631="","",IF(OR(Sync!$AX631="",COUNTIF(AcctCodesA,Sync!$AX631)=0),"متفرقه",Sync!$AX631))</f>
        <v/>
      </c>
      <c r="Z631">
        <f>IF($X631="","","سبد و ظروف")</f>
        <v/>
      </c>
      <c r="AA631">
        <f>IF($X631="","",$Y631)</f>
        <v/>
      </c>
    </row>
    <row r="632">
      <c r="A632">
        <f>IF(Sync!$Z632="","",LEFT(UPPER(TRIM(Sync!$Z632)),6))</f>
        <v/>
      </c>
      <c r="B632">
        <f>IF($A632="","",IF(Sync!$AA632="","",Sync!$AA632))</f>
        <v/>
      </c>
      <c r="C632">
        <f>IF($A632="","",IF(Sync!$AB632="","",Sync!$AB632))</f>
        <v/>
      </c>
      <c r="D632">
        <f>IF($A632="","",IF(Sync!$AC632="","",Sync!$AC632))</f>
        <v/>
      </c>
      <c r="E632">
        <f>IF($A632="","",IF(Sync!$AD632="","",Sync!$AD632))</f>
        <v/>
      </c>
      <c r="F632">
        <f>IF($A632="","",IF(Sync!$AE632="",0,Sync!$AE632))</f>
        <v/>
      </c>
      <c r="G632">
        <f>IF($A632="","",IF(Sync!$AF632="",0,Sync!$AF632))</f>
        <v/>
      </c>
      <c r="H632">
        <f>IF(OR($A632="",ROUND($F632+$G632,2)=0),"",$F632+$G632)</f>
        <v/>
      </c>
      <c r="I632">
        <f>IF($H632="","",IF(ROUND($F632,2)&gt;0,$A632,IF($D632="شخصی قاسم","شخصی قاسم",IF($D632="هزینه","هزینه: "&amp;IF($E632="","متفرقه",$E632),IF($C632="پاس چک","چک پرداختی",IF(OR($B632="",COUNTIF(AcctCodesA,$B632)=0),"متفرقه",$B632))))))</f>
        <v/>
      </c>
      <c r="J632">
        <f>IF($H632="","",IF(ROUND($F632,2)&gt;0,IF($D632="شخصی قاسم","شخصی قاسم",IF($D632="هزینه","هزینه: "&amp;IF($E632="","متفرقه",$E632),IF(OR($B632="",COUNTIF(AcctCodesA,$B632)=0),"متفرقه",$B632))),$A632))</f>
        <v/>
      </c>
      <c r="K632">
        <f>IF($A632="","",IF(AND($B632&lt;&gt;"",COUNTIF(AcctCodesA,$B632)=0),"کد طرف در INFO تعریف نشده",IF(AND($D632="هزینه",$E632=""),"هزینه بدون زیرگروه",IF(AND($C632="پاس چک",OR(Sync!$AJ632="",COUNTIF(IssueNosA,Sync!$AJ632)=0)),"شماره چک پاس‌شده معتبر نیست",""))))</f>
        <v/>
      </c>
      <c r="V632">
        <f>IF($K632="","",IF(ISNUMBER(Sync!$AK632),Sync!$AK632,LEFT(Sync!$AK632,4)&amp;MID(Sync!$AK632,6,2)&amp;RIGHT(Sync!$AK632,2))&amp;"|"&amp;"4"&amp;RIGHT("00000"&amp;627,5))</f>
        <v/>
      </c>
      <c r="W632">
        <f>IF($V632="",0,COUNTIFS($V$6:$V$2005,"&lt;"&amp;$V632)-COUNTIFS($V$6:$V$2005,"&lt;"&amp;$V632,$K$6:$K$2005,"")+1)</f>
        <v/>
      </c>
      <c r="X632">
        <f>IF(Sync!$AX632="","",IF(OR(N(Sync!$AY632)=0,N(Sync!$AZ632)=0),"",ROUND(N(Sync!$AY632)*N(Sync!$AZ632),0)))</f>
        <v/>
      </c>
      <c r="Y632">
        <f>IF($X632="","",IF(OR(Sync!$AX632="",COUNTIF(AcctCodesA,Sync!$AX632)=0),"متفرقه",Sync!$AX632))</f>
        <v/>
      </c>
      <c r="Z632">
        <f>IF($X632="","","سبد و ظروف")</f>
        <v/>
      </c>
      <c r="AA632">
        <f>IF($X632="","",$Y632)</f>
        <v/>
      </c>
    </row>
    <row r="633">
      <c r="A633">
        <f>IF(Sync!$Z633="","",LEFT(UPPER(TRIM(Sync!$Z633)),6))</f>
        <v/>
      </c>
      <c r="B633">
        <f>IF($A633="","",IF(Sync!$AA633="","",Sync!$AA633))</f>
        <v/>
      </c>
      <c r="C633">
        <f>IF($A633="","",IF(Sync!$AB633="","",Sync!$AB633))</f>
        <v/>
      </c>
      <c r="D633">
        <f>IF($A633="","",IF(Sync!$AC633="","",Sync!$AC633))</f>
        <v/>
      </c>
      <c r="E633">
        <f>IF($A633="","",IF(Sync!$AD633="","",Sync!$AD633))</f>
        <v/>
      </c>
      <c r="F633">
        <f>IF($A633="","",IF(Sync!$AE633="",0,Sync!$AE633))</f>
        <v/>
      </c>
      <c r="G633">
        <f>IF($A633="","",IF(Sync!$AF633="",0,Sync!$AF633))</f>
        <v/>
      </c>
      <c r="H633">
        <f>IF(OR($A633="",ROUND($F633+$G633,2)=0),"",$F633+$G633)</f>
        <v/>
      </c>
      <c r="I633">
        <f>IF($H633="","",IF(ROUND($F633,2)&gt;0,$A633,IF($D633="شخصی قاسم","شخصی قاسم",IF($D633="هزینه","هزینه: "&amp;IF($E633="","متفرقه",$E633),IF($C633="پاس چک","چک پرداختی",IF(OR($B633="",COUNTIF(AcctCodesA,$B633)=0),"متفرقه",$B633))))))</f>
        <v/>
      </c>
      <c r="J633">
        <f>IF($H633="","",IF(ROUND($F633,2)&gt;0,IF($D633="شخصی قاسم","شخصی قاسم",IF($D633="هزینه","هزینه: "&amp;IF($E633="","متفرقه",$E633),IF(OR($B633="",COUNTIF(AcctCodesA,$B633)=0),"متفرقه",$B633))),$A633))</f>
        <v/>
      </c>
      <c r="K633">
        <f>IF($A633="","",IF(AND($B633&lt;&gt;"",COUNTIF(AcctCodesA,$B633)=0),"کد طرف در INFO تعریف نشده",IF(AND($D633="هزینه",$E633=""),"هزینه بدون زیرگروه",IF(AND($C633="پاس چک",OR(Sync!$AJ633="",COUNTIF(IssueNosA,Sync!$AJ633)=0)),"شماره چک پاس‌شده معتبر نیست",""))))</f>
        <v/>
      </c>
      <c r="V633">
        <f>IF($K633="","",IF(ISNUMBER(Sync!$AK633),Sync!$AK633,LEFT(Sync!$AK633,4)&amp;MID(Sync!$AK633,6,2)&amp;RIGHT(Sync!$AK633,2))&amp;"|"&amp;"4"&amp;RIGHT("00000"&amp;628,5))</f>
        <v/>
      </c>
      <c r="W633">
        <f>IF($V633="",0,COUNTIFS($V$6:$V$2005,"&lt;"&amp;$V633)-COUNTIFS($V$6:$V$2005,"&lt;"&amp;$V633,$K$6:$K$2005,"")+1)</f>
        <v/>
      </c>
      <c r="X633">
        <f>IF(Sync!$AX633="","",IF(OR(N(Sync!$AY633)=0,N(Sync!$AZ633)=0),"",ROUND(N(Sync!$AY633)*N(Sync!$AZ633),0)))</f>
        <v/>
      </c>
      <c r="Y633">
        <f>IF($X633="","",IF(OR(Sync!$AX633="",COUNTIF(AcctCodesA,Sync!$AX633)=0),"متفرقه",Sync!$AX633))</f>
        <v/>
      </c>
      <c r="Z633">
        <f>IF($X633="","","سبد و ظروف")</f>
        <v/>
      </c>
      <c r="AA633">
        <f>IF($X633="","",$Y633)</f>
        <v/>
      </c>
    </row>
    <row r="634">
      <c r="A634">
        <f>IF(Sync!$Z634="","",LEFT(UPPER(TRIM(Sync!$Z634)),6))</f>
        <v/>
      </c>
      <c r="B634">
        <f>IF($A634="","",IF(Sync!$AA634="","",Sync!$AA634))</f>
        <v/>
      </c>
      <c r="C634">
        <f>IF($A634="","",IF(Sync!$AB634="","",Sync!$AB634))</f>
        <v/>
      </c>
      <c r="D634">
        <f>IF($A634="","",IF(Sync!$AC634="","",Sync!$AC634))</f>
        <v/>
      </c>
      <c r="E634">
        <f>IF($A634="","",IF(Sync!$AD634="","",Sync!$AD634))</f>
        <v/>
      </c>
      <c r="F634">
        <f>IF($A634="","",IF(Sync!$AE634="",0,Sync!$AE634))</f>
        <v/>
      </c>
      <c r="G634">
        <f>IF($A634="","",IF(Sync!$AF634="",0,Sync!$AF634))</f>
        <v/>
      </c>
      <c r="H634">
        <f>IF(OR($A634="",ROUND($F634+$G634,2)=0),"",$F634+$G634)</f>
        <v/>
      </c>
      <c r="I634">
        <f>IF($H634="","",IF(ROUND($F634,2)&gt;0,$A634,IF($D634="شخصی قاسم","شخصی قاسم",IF($D634="هزینه","هزینه: "&amp;IF($E634="","متفرقه",$E634),IF($C634="پاس چک","چک پرداختی",IF(OR($B634="",COUNTIF(AcctCodesA,$B634)=0),"متفرقه",$B634))))))</f>
        <v/>
      </c>
      <c r="J634">
        <f>IF($H634="","",IF(ROUND($F634,2)&gt;0,IF($D634="شخصی قاسم","شخصی قاسم",IF($D634="هزینه","هزینه: "&amp;IF($E634="","متفرقه",$E634),IF(OR($B634="",COUNTIF(AcctCodesA,$B634)=0),"متفرقه",$B634))),$A634))</f>
        <v/>
      </c>
      <c r="K634">
        <f>IF($A634="","",IF(AND($B634&lt;&gt;"",COUNTIF(AcctCodesA,$B634)=0),"کد طرف در INFO تعریف نشده",IF(AND($D634="هزینه",$E634=""),"هزینه بدون زیرگروه",IF(AND($C634="پاس چک",OR(Sync!$AJ634="",COUNTIF(IssueNosA,Sync!$AJ634)=0)),"شماره چک پاس‌شده معتبر نیست",""))))</f>
        <v/>
      </c>
      <c r="V634">
        <f>IF($K634="","",IF(ISNUMBER(Sync!$AK634),Sync!$AK634,LEFT(Sync!$AK634,4)&amp;MID(Sync!$AK634,6,2)&amp;RIGHT(Sync!$AK634,2))&amp;"|"&amp;"4"&amp;RIGHT("00000"&amp;629,5))</f>
        <v/>
      </c>
      <c r="W634">
        <f>IF($V634="",0,COUNTIFS($V$6:$V$2005,"&lt;"&amp;$V634)-COUNTIFS($V$6:$V$2005,"&lt;"&amp;$V634,$K$6:$K$2005,"")+1)</f>
        <v/>
      </c>
      <c r="X634">
        <f>IF(Sync!$AX634="","",IF(OR(N(Sync!$AY634)=0,N(Sync!$AZ634)=0),"",ROUND(N(Sync!$AY634)*N(Sync!$AZ634),0)))</f>
        <v/>
      </c>
      <c r="Y634">
        <f>IF($X634="","",IF(OR(Sync!$AX634="",COUNTIF(AcctCodesA,Sync!$AX634)=0),"متفرقه",Sync!$AX634))</f>
        <v/>
      </c>
      <c r="Z634">
        <f>IF($X634="","","سبد و ظروف")</f>
        <v/>
      </c>
      <c r="AA634">
        <f>IF($X634="","",$Y634)</f>
        <v/>
      </c>
    </row>
    <row r="635">
      <c r="A635">
        <f>IF(Sync!$Z635="","",LEFT(UPPER(TRIM(Sync!$Z635)),6))</f>
        <v/>
      </c>
      <c r="B635">
        <f>IF($A635="","",IF(Sync!$AA635="","",Sync!$AA635))</f>
        <v/>
      </c>
      <c r="C635">
        <f>IF($A635="","",IF(Sync!$AB635="","",Sync!$AB635))</f>
        <v/>
      </c>
      <c r="D635">
        <f>IF($A635="","",IF(Sync!$AC635="","",Sync!$AC635))</f>
        <v/>
      </c>
      <c r="E635">
        <f>IF($A635="","",IF(Sync!$AD635="","",Sync!$AD635))</f>
        <v/>
      </c>
      <c r="F635">
        <f>IF($A635="","",IF(Sync!$AE635="",0,Sync!$AE635))</f>
        <v/>
      </c>
      <c r="G635">
        <f>IF($A635="","",IF(Sync!$AF635="",0,Sync!$AF635))</f>
        <v/>
      </c>
      <c r="H635">
        <f>IF(OR($A635="",ROUND($F635+$G635,2)=0),"",$F635+$G635)</f>
        <v/>
      </c>
      <c r="I635">
        <f>IF($H635="","",IF(ROUND($F635,2)&gt;0,$A635,IF($D635="شخصی قاسم","شخصی قاسم",IF($D635="هزینه","هزینه: "&amp;IF($E635="","متفرقه",$E635),IF($C635="پاس چک","چک پرداختی",IF(OR($B635="",COUNTIF(AcctCodesA,$B635)=0),"متفرقه",$B635))))))</f>
        <v/>
      </c>
      <c r="J635">
        <f>IF($H635="","",IF(ROUND($F635,2)&gt;0,IF($D635="شخصی قاسم","شخصی قاسم",IF($D635="هزینه","هزینه: "&amp;IF($E635="","متفرقه",$E635),IF(OR($B635="",COUNTIF(AcctCodesA,$B635)=0),"متفرقه",$B635))),$A635))</f>
        <v/>
      </c>
      <c r="K635">
        <f>IF($A635="","",IF(AND($B635&lt;&gt;"",COUNTIF(AcctCodesA,$B635)=0),"کد طرف در INFO تعریف نشده",IF(AND($D635="هزینه",$E635=""),"هزینه بدون زیرگروه",IF(AND($C635="پاس چک",OR(Sync!$AJ635="",COUNTIF(IssueNosA,Sync!$AJ635)=0)),"شماره چک پاس‌شده معتبر نیست",""))))</f>
        <v/>
      </c>
      <c r="V635">
        <f>IF($K635="","",IF(ISNUMBER(Sync!$AK635),Sync!$AK635,LEFT(Sync!$AK635,4)&amp;MID(Sync!$AK635,6,2)&amp;RIGHT(Sync!$AK635,2))&amp;"|"&amp;"4"&amp;RIGHT("00000"&amp;630,5))</f>
        <v/>
      </c>
      <c r="W635">
        <f>IF($V635="",0,COUNTIFS($V$6:$V$2005,"&lt;"&amp;$V635)-COUNTIFS($V$6:$V$2005,"&lt;"&amp;$V635,$K$6:$K$2005,"")+1)</f>
        <v/>
      </c>
      <c r="X635">
        <f>IF(Sync!$AX635="","",IF(OR(N(Sync!$AY635)=0,N(Sync!$AZ635)=0),"",ROUND(N(Sync!$AY635)*N(Sync!$AZ635),0)))</f>
        <v/>
      </c>
      <c r="Y635">
        <f>IF($X635="","",IF(OR(Sync!$AX635="",COUNTIF(AcctCodesA,Sync!$AX635)=0),"متفرقه",Sync!$AX635))</f>
        <v/>
      </c>
      <c r="Z635">
        <f>IF($X635="","","سبد و ظروف")</f>
        <v/>
      </c>
      <c r="AA635">
        <f>IF($X635="","",$Y635)</f>
        <v/>
      </c>
    </row>
    <row r="636">
      <c r="A636">
        <f>IF(Sync!$Z636="","",LEFT(UPPER(TRIM(Sync!$Z636)),6))</f>
        <v/>
      </c>
      <c r="B636">
        <f>IF($A636="","",IF(Sync!$AA636="","",Sync!$AA636))</f>
        <v/>
      </c>
      <c r="C636">
        <f>IF($A636="","",IF(Sync!$AB636="","",Sync!$AB636))</f>
        <v/>
      </c>
      <c r="D636">
        <f>IF($A636="","",IF(Sync!$AC636="","",Sync!$AC636))</f>
        <v/>
      </c>
      <c r="E636">
        <f>IF($A636="","",IF(Sync!$AD636="","",Sync!$AD636))</f>
        <v/>
      </c>
      <c r="F636">
        <f>IF($A636="","",IF(Sync!$AE636="",0,Sync!$AE636))</f>
        <v/>
      </c>
      <c r="G636">
        <f>IF($A636="","",IF(Sync!$AF636="",0,Sync!$AF636))</f>
        <v/>
      </c>
      <c r="H636">
        <f>IF(OR($A636="",ROUND($F636+$G636,2)=0),"",$F636+$G636)</f>
        <v/>
      </c>
      <c r="I636">
        <f>IF($H636="","",IF(ROUND($F636,2)&gt;0,$A636,IF($D636="شخصی قاسم","شخصی قاسم",IF($D636="هزینه","هزینه: "&amp;IF($E636="","متفرقه",$E636),IF($C636="پاس چک","چک پرداختی",IF(OR($B636="",COUNTIF(AcctCodesA,$B636)=0),"متفرقه",$B636))))))</f>
        <v/>
      </c>
      <c r="J636">
        <f>IF($H636="","",IF(ROUND($F636,2)&gt;0,IF($D636="شخصی قاسم","شخصی قاسم",IF($D636="هزینه","هزینه: "&amp;IF($E636="","متفرقه",$E636),IF(OR($B636="",COUNTIF(AcctCodesA,$B636)=0),"متفرقه",$B636))),$A636))</f>
        <v/>
      </c>
      <c r="K636">
        <f>IF($A636="","",IF(AND($B636&lt;&gt;"",COUNTIF(AcctCodesA,$B636)=0),"کد طرف در INFO تعریف نشده",IF(AND($D636="هزینه",$E636=""),"هزینه بدون زیرگروه",IF(AND($C636="پاس چک",OR(Sync!$AJ636="",COUNTIF(IssueNosA,Sync!$AJ636)=0)),"شماره چک پاس‌شده معتبر نیست",""))))</f>
        <v/>
      </c>
      <c r="V636">
        <f>IF($K636="","",IF(ISNUMBER(Sync!$AK636),Sync!$AK636,LEFT(Sync!$AK636,4)&amp;MID(Sync!$AK636,6,2)&amp;RIGHT(Sync!$AK636,2))&amp;"|"&amp;"4"&amp;RIGHT("00000"&amp;631,5))</f>
        <v/>
      </c>
      <c r="W636">
        <f>IF($V636="",0,COUNTIFS($V$6:$V$2005,"&lt;"&amp;$V636)-COUNTIFS($V$6:$V$2005,"&lt;"&amp;$V636,$K$6:$K$2005,"")+1)</f>
        <v/>
      </c>
      <c r="X636">
        <f>IF(Sync!$AX636="","",IF(OR(N(Sync!$AY636)=0,N(Sync!$AZ636)=0),"",ROUND(N(Sync!$AY636)*N(Sync!$AZ636),0)))</f>
        <v/>
      </c>
      <c r="Y636">
        <f>IF($X636="","",IF(OR(Sync!$AX636="",COUNTIF(AcctCodesA,Sync!$AX636)=0),"متفرقه",Sync!$AX636))</f>
        <v/>
      </c>
      <c r="Z636">
        <f>IF($X636="","","سبد و ظروف")</f>
        <v/>
      </c>
      <c r="AA636">
        <f>IF($X636="","",$Y636)</f>
        <v/>
      </c>
    </row>
    <row r="637">
      <c r="A637">
        <f>IF(Sync!$Z637="","",LEFT(UPPER(TRIM(Sync!$Z637)),6))</f>
        <v/>
      </c>
      <c r="B637">
        <f>IF($A637="","",IF(Sync!$AA637="","",Sync!$AA637))</f>
        <v/>
      </c>
      <c r="C637">
        <f>IF($A637="","",IF(Sync!$AB637="","",Sync!$AB637))</f>
        <v/>
      </c>
      <c r="D637">
        <f>IF($A637="","",IF(Sync!$AC637="","",Sync!$AC637))</f>
        <v/>
      </c>
      <c r="E637">
        <f>IF($A637="","",IF(Sync!$AD637="","",Sync!$AD637))</f>
        <v/>
      </c>
      <c r="F637">
        <f>IF($A637="","",IF(Sync!$AE637="",0,Sync!$AE637))</f>
        <v/>
      </c>
      <c r="G637">
        <f>IF($A637="","",IF(Sync!$AF637="",0,Sync!$AF637))</f>
        <v/>
      </c>
      <c r="H637">
        <f>IF(OR($A637="",ROUND($F637+$G637,2)=0),"",$F637+$G637)</f>
        <v/>
      </c>
      <c r="I637">
        <f>IF($H637="","",IF(ROUND($F637,2)&gt;0,$A637,IF($D637="شخصی قاسم","شخصی قاسم",IF($D637="هزینه","هزینه: "&amp;IF($E637="","متفرقه",$E637),IF($C637="پاس چک","چک پرداختی",IF(OR($B637="",COUNTIF(AcctCodesA,$B637)=0),"متفرقه",$B637))))))</f>
        <v/>
      </c>
      <c r="J637">
        <f>IF($H637="","",IF(ROUND($F637,2)&gt;0,IF($D637="شخصی قاسم","شخصی قاسم",IF($D637="هزینه","هزینه: "&amp;IF($E637="","متفرقه",$E637),IF(OR($B637="",COUNTIF(AcctCodesA,$B637)=0),"متفرقه",$B637))),$A637))</f>
        <v/>
      </c>
      <c r="K637">
        <f>IF($A637="","",IF(AND($B637&lt;&gt;"",COUNTIF(AcctCodesA,$B637)=0),"کد طرف در INFO تعریف نشده",IF(AND($D637="هزینه",$E637=""),"هزینه بدون زیرگروه",IF(AND($C637="پاس چک",OR(Sync!$AJ637="",COUNTIF(IssueNosA,Sync!$AJ637)=0)),"شماره چک پاس‌شده معتبر نیست",""))))</f>
        <v/>
      </c>
      <c r="V637">
        <f>IF($K637="","",IF(ISNUMBER(Sync!$AK637),Sync!$AK637,LEFT(Sync!$AK637,4)&amp;MID(Sync!$AK637,6,2)&amp;RIGHT(Sync!$AK637,2))&amp;"|"&amp;"4"&amp;RIGHT("00000"&amp;632,5))</f>
        <v/>
      </c>
      <c r="W637">
        <f>IF($V637="",0,COUNTIFS($V$6:$V$2005,"&lt;"&amp;$V637)-COUNTIFS($V$6:$V$2005,"&lt;"&amp;$V637,$K$6:$K$2005,"")+1)</f>
        <v/>
      </c>
      <c r="X637">
        <f>IF(Sync!$AX637="","",IF(OR(N(Sync!$AY637)=0,N(Sync!$AZ637)=0),"",ROUND(N(Sync!$AY637)*N(Sync!$AZ637),0)))</f>
        <v/>
      </c>
      <c r="Y637">
        <f>IF($X637="","",IF(OR(Sync!$AX637="",COUNTIF(AcctCodesA,Sync!$AX637)=0),"متفرقه",Sync!$AX637))</f>
        <v/>
      </c>
      <c r="Z637">
        <f>IF($X637="","","سبد و ظروف")</f>
        <v/>
      </c>
      <c r="AA637">
        <f>IF($X637="","",$Y637)</f>
        <v/>
      </c>
    </row>
    <row r="638">
      <c r="A638">
        <f>IF(Sync!$Z638="","",LEFT(UPPER(TRIM(Sync!$Z638)),6))</f>
        <v/>
      </c>
      <c r="B638">
        <f>IF($A638="","",IF(Sync!$AA638="","",Sync!$AA638))</f>
        <v/>
      </c>
      <c r="C638">
        <f>IF($A638="","",IF(Sync!$AB638="","",Sync!$AB638))</f>
        <v/>
      </c>
      <c r="D638">
        <f>IF($A638="","",IF(Sync!$AC638="","",Sync!$AC638))</f>
        <v/>
      </c>
      <c r="E638">
        <f>IF($A638="","",IF(Sync!$AD638="","",Sync!$AD638))</f>
        <v/>
      </c>
      <c r="F638">
        <f>IF($A638="","",IF(Sync!$AE638="",0,Sync!$AE638))</f>
        <v/>
      </c>
      <c r="G638">
        <f>IF($A638="","",IF(Sync!$AF638="",0,Sync!$AF638))</f>
        <v/>
      </c>
      <c r="H638">
        <f>IF(OR($A638="",ROUND($F638+$G638,2)=0),"",$F638+$G638)</f>
        <v/>
      </c>
      <c r="I638">
        <f>IF($H638="","",IF(ROUND($F638,2)&gt;0,$A638,IF($D638="شخصی قاسم","شخصی قاسم",IF($D638="هزینه","هزینه: "&amp;IF($E638="","متفرقه",$E638),IF($C638="پاس چک","چک پرداختی",IF(OR($B638="",COUNTIF(AcctCodesA,$B638)=0),"متفرقه",$B638))))))</f>
        <v/>
      </c>
      <c r="J638">
        <f>IF($H638="","",IF(ROUND($F638,2)&gt;0,IF($D638="شخصی قاسم","شخصی قاسم",IF($D638="هزینه","هزینه: "&amp;IF($E638="","متفرقه",$E638),IF(OR($B638="",COUNTIF(AcctCodesA,$B638)=0),"متفرقه",$B638))),$A638))</f>
        <v/>
      </c>
      <c r="K638">
        <f>IF($A638="","",IF(AND($B638&lt;&gt;"",COUNTIF(AcctCodesA,$B638)=0),"کد طرف در INFO تعریف نشده",IF(AND($D638="هزینه",$E638=""),"هزینه بدون زیرگروه",IF(AND($C638="پاس چک",OR(Sync!$AJ638="",COUNTIF(IssueNosA,Sync!$AJ638)=0)),"شماره چک پاس‌شده معتبر نیست",""))))</f>
        <v/>
      </c>
      <c r="V638">
        <f>IF($K638="","",IF(ISNUMBER(Sync!$AK638),Sync!$AK638,LEFT(Sync!$AK638,4)&amp;MID(Sync!$AK638,6,2)&amp;RIGHT(Sync!$AK638,2))&amp;"|"&amp;"4"&amp;RIGHT("00000"&amp;633,5))</f>
        <v/>
      </c>
      <c r="W638">
        <f>IF($V638="",0,COUNTIFS($V$6:$V$2005,"&lt;"&amp;$V638)-COUNTIFS($V$6:$V$2005,"&lt;"&amp;$V638,$K$6:$K$2005,"")+1)</f>
        <v/>
      </c>
      <c r="X638">
        <f>IF(Sync!$AX638="","",IF(OR(N(Sync!$AY638)=0,N(Sync!$AZ638)=0),"",ROUND(N(Sync!$AY638)*N(Sync!$AZ638),0)))</f>
        <v/>
      </c>
      <c r="Y638">
        <f>IF($X638="","",IF(OR(Sync!$AX638="",COUNTIF(AcctCodesA,Sync!$AX638)=0),"متفرقه",Sync!$AX638))</f>
        <v/>
      </c>
      <c r="Z638">
        <f>IF($X638="","","سبد و ظروف")</f>
        <v/>
      </c>
      <c r="AA638">
        <f>IF($X638="","",$Y638)</f>
        <v/>
      </c>
    </row>
    <row r="639">
      <c r="A639">
        <f>IF(Sync!$Z639="","",LEFT(UPPER(TRIM(Sync!$Z639)),6))</f>
        <v/>
      </c>
      <c r="B639">
        <f>IF($A639="","",IF(Sync!$AA639="","",Sync!$AA639))</f>
        <v/>
      </c>
      <c r="C639">
        <f>IF($A639="","",IF(Sync!$AB639="","",Sync!$AB639))</f>
        <v/>
      </c>
      <c r="D639">
        <f>IF($A639="","",IF(Sync!$AC639="","",Sync!$AC639))</f>
        <v/>
      </c>
      <c r="E639">
        <f>IF($A639="","",IF(Sync!$AD639="","",Sync!$AD639))</f>
        <v/>
      </c>
      <c r="F639">
        <f>IF($A639="","",IF(Sync!$AE639="",0,Sync!$AE639))</f>
        <v/>
      </c>
      <c r="G639">
        <f>IF($A639="","",IF(Sync!$AF639="",0,Sync!$AF639))</f>
        <v/>
      </c>
      <c r="H639">
        <f>IF(OR($A639="",ROUND($F639+$G639,2)=0),"",$F639+$G639)</f>
        <v/>
      </c>
      <c r="I639">
        <f>IF($H639="","",IF(ROUND($F639,2)&gt;0,$A639,IF($D639="شخصی قاسم","شخصی قاسم",IF($D639="هزینه","هزینه: "&amp;IF($E639="","متفرقه",$E639),IF($C639="پاس چک","چک پرداختی",IF(OR($B639="",COUNTIF(AcctCodesA,$B639)=0),"متفرقه",$B639))))))</f>
        <v/>
      </c>
      <c r="J639">
        <f>IF($H639="","",IF(ROUND($F639,2)&gt;0,IF($D639="شخصی قاسم","شخصی قاسم",IF($D639="هزینه","هزینه: "&amp;IF($E639="","متفرقه",$E639),IF(OR($B639="",COUNTIF(AcctCodesA,$B639)=0),"متفرقه",$B639))),$A639))</f>
        <v/>
      </c>
      <c r="K639">
        <f>IF($A639="","",IF(AND($B639&lt;&gt;"",COUNTIF(AcctCodesA,$B639)=0),"کد طرف در INFO تعریف نشده",IF(AND($D639="هزینه",$E639=""),"هزینه بدون زیرگروه",IF(AND($C639="پاس چک",OR(Sync!$AJ639="",COUNTIF(IssueNosA,Sync!$AJ639)=0)),"شماره چک پاس‌شده معتبر نیست",""))))</f>
        <v/>
      </c>
      <c r="V639">
        <f>IF($K639="","",IF(ISNUMBER(Sync!$AK639),Sync!$AK639,LEFT(Sync!$AK639,4)&amp;MID(Sync!$AK639,6,2)&amp;RIGHT(Sync!$AK639,2))&amp;"|"&amp;"4"&amp;RIGHT("00000"&amp;634,5))</f>
        <v/>
      </c>
      <c r="W639">
        <f>IF($V639="",0,COUNTIFS($V$6:$V$2005,"&lt;"&amp;$V639)-COUNTIFS($V$6:$V$2005,"&lt;"&amp;$V639,$K$6:$K$2005,"")+1)</f>
        <v/>
      </c>
      <c r="X639">
        <f>IF(Sync!$AX639="","",IF(OR(N(Sync!$AY639)=0,N(Sync!$AZ639)=0),"",ROUND(N(Sync!$AY639)*N(Sync!$AZ639),0)))</f>
        <v/>
      </c>
      <c r="Y639">
        <f>IF($X639="","",IF(OR(Sync!$AX639="",COUNTIF(AcctCodesA,Sync!$AX639)=0),"متفرقه",Sync!$AX639))</f>
        <v/>
      </c>
      <c r="Z639">
        <f>IF($X639="","","سبد و ظروف")</f>
        <v/>
      </c>
      <c r="AA639">
        <f>IF($X639="","",$Y639)</f>
        <v/>
      </c>
    </row>
    <row r="640">
      <c r="A640">
        <f>IF(Sync!$Z640="","",LEFT(UPPER(TRIM(Sync!$Z640)),6))</f>
        <v/>
      </c>
      <c r="B640">
        <f>IF($A640="","",IF(Sync!$AA640="","",Sync!$AA640))</f>
        <v/>
      </c>
      <c r="C640">
        <f>IF($A640="","",IF(Sync!$AB640="","",Sync!$AB640))</f>
        <v/>
      </c>
      <c r="D640">
        <f>IF($A640="","",IF(Sync!$AC640="","",Sync!$AC640))</f>
        <v/>
      </c>
      <c r="E640">
        <f>IF($A640="","",IF(Sync!$AD640="","",Sync!$AD640))</f>
        <v/>
      </c>
      <c r="F640">
        <f>IF($A640="","",IF(Sync!$AE640="",0,Sync!$AE640))</f>
        <v/>
      </c>
      <c r="G640">
        <f>IF($A640="","",IF(Sync!$AF640="",0,Sync!$AF640))</f>
        <v/>
      </c>
      <c r="H640">
        <f>IF(OR($A640="",ROUND($F640+$G640,2)=0),"",$F640+$G640)</f>
        <v/>
      </c>
      <c r="I640">
        <f>IF($H640="","",IF(ROUND($F640,2)&gt;0,$A640,IF($D640="شخصی قاسم","شخصی قاسم",IF($D640="هزینه","هزینه: "&amp;IF($E640="","متفرقه",$E640),IF($C640="پاس چک","چک پرداختی",IF(OR($B640="",COUNTIF(AcctCodesA,$B640)=0),"متفرقه",$B640))))))</f>
        <v/>
      </c>
      <c r="J640">
        <f>IF($H640="","",IF(ROUND($F640,2)&gt;0,IF($D640="شخصی قاسم","شخصی قاسم",IF($D640="هزینه","هزینه: "&amp;IF($E640="","متفرقه",$E640),IF(OR($B640="",COUNTIF(AcctCodesA,$B640)=0),"متفرقه",$B640))),$A640))</f>
        <v/>
      </c>
      <c r="K640">
        <f>IF($A640="","",IF(AND($B640&lt;&gt;"",COUNTIF(AcctCodesA,$B640)=0),"کد طرف در INFO تعریف نشده",IF(AND($D640="هزینه",$E640=""),"هزینه بدون زیرگروه",IF(AND($C640="پاس چک",OR(Sync!$AJ640="",COUNTIF(IssueNosA,Sync!$AJ640)=0)),"شماره چک پاس‌شده معتبر نیست",""))))</f>
        <v/>
      </c>
      <c r="V640">
        <f>IF($K640="","",IF(ISNUMBER(Sync!$AK640),Sync!$AK640,LEFT(Sync!$AK640,4)&amp;MID(Sync!$AK640,6,2)&amp;RIGHT(Sync!$AK640,2))&amp;"|"&amp;"4"&amp;RIGHT("00000"&amp;635,5))</f>
        <v/>
      </c>
      <c r="W640">
        <f>IF($V640="",0,COUNTIFS($V$6:$V$2005,"&lt;"&amp;$V640)-COUNTIFS($V$6:$V$2005,"&lt;"&amp;$V640,$K$6:$K$2005,"")+1)</f>
        <v/>
      </c>
      <c r="X640">
        <f>IF(Sync!$AX640="","",IF(OR(N(Sync!$AY640)=0,N(Sync!$AZ640)=0),"",ROUND(N(Sync!$AY640)*N(Sync!$AZ640),0)))</f>
        <v/>
      </c>
      <c r="Y640">
        <f>IF($X640="","",IF(OR(Sync!$AX640="",COUNTIF(AcctCodesA,Sync!$AX640)=0),"متفرقه",Sync!$AX640))</f>
        <v/>
      </c>
      <c r="Z640">
        <f>IF($X640="","","سبد و ظروف")</f>
        <v/>
      </c>
      <c r="AA640">
        <f>IF($X640="","",$Y640)</f>
        <v/>
      </c>
    </row>
    <row r="641">
      <c r="A641">
        <f>IF(Sync!$Z641="","",LEFT(UPPER(TRIM(Sync!$Z641)),6))</f>
        <v/>
      </c>
      <c r="B641">
        <f>IF($A641="","",IF(Sync!$AA641="","",Sync!$AA641))</f>
        <v/>
      </c>
      <c r="C641">
        <f>IF($A641="","",IF(Sync!$AB641="","",Sync!$AB641))</f>
        <v/>
      </c>
      <c r="D641">
        <f>IF($A641="","",IF(Sync!$AC641="","",Sync!$AC641))</f>
        <v/>
      </c>
      <c r="E641">
        <f>IF($A641="","",IF(Sync!$AD641="","",Sync!$AD641))</f>
        <v/>
      </c>
      <c r="F641">
        <f>IF($A641="","",IF(Sync!$AE641="",0,Sync!$AE641))</f>
        <v/>
      </c>
      <c r="G641">
        <f>IF($A641="","",IF(Sync!$AF641="",0,Sync!$AF641))</f>
        <v/>
      </c>
      <c r="H641">
        <f>IF(OR($A641="",ROUND($F641+$G641,2)=0),"",$F641+$G641)</f>
        <v/>
      </c>
      <c r="I641">
        <f>IF($H641="","",IF(ROUND($F641,2)&gt;0,$A641,IF($D641="شخصی قاسم","شخصی قاسم",IF($D641="هزینه","هزینه: "&amp;IF($E641="","متفرقه",$E641),IF($C641="پاس چک","چک پرداختی",IF(OR($B641="",COUNTIF(AcctCodesA,$B641)=0),"متفرقه",$B641))))))</f>
        <v/>
      </c>
      <c r="J641">
        <f>IF($H641="","",IF(ROUND($F641,2)&gt;0,IF($D641="شخصی قاسم","شخصی قاسم",IF($D641="هزینه","هزینه: "&amp;IF($E641="","متفرقه",$E641),IF(OR($B641="",COUNTIF(AcctCodesA,$B641)=0),"متفرقه",$B641))),$A641))</f>
        <v/>
      </c>
      <c r="K641">
        <f>IF($A641="","",IF(AND($B641&lt;&gt;"",COUNTIF(AcctCodesA,$B641)=0),"کد طرف در INFO تعریف نشده",IF(AND($D641="هزینه",$E641=""),"هزینه بدون زیرگروه",IF(AND($C641="پاس چک",OR(Sync!$AJ641="",COUNTIF(IssueNosA,Sync!$AJ641)=0)),"شماره چک پاس‌شده معتبر نیست",""))))</f>
        <v/>
      </c>
      <c r="V641">
        <f>IF($K641="","",IF(ISNUMBER(Sync!$AK641),Sync!$AK641,LEFT(Sync!$AK641,4)&amp;MID(Sync!$AK641,6,2)&amp;RIGHT(Sync!$AK641,2))&amp;"|"&amp;"4"&amp;RIGHT("00000"&amp;636,5))</f>
        <v/>
      </c>
      <c r="W641">
        <f>IF($V641="",0,COUNTIFS($V$6:$V$2005,"&lt;"&amp;$V641)-COUNTIFS($V$6:$V$2005,"&lt;"&amp;$V641,$K$6:$K$2005,"")+1)</f>
        <v/>
      </c>
      <c r="X641">
        <f>IF(Sync!$AX641="","",IF(OR(N(Sync!$AY641)=0,N(Sync!$AZ641)=0),"",ROUND(N(Sync!$AY641)*N(Sync!$AZ641),0)))</f>
        <v/>
      </c>
      <c r="Y641">
        <f>IF($X641="","",IF(OR(Sync!$AX641="",COUNTIF(AcctCodesA,Sync!$AX641)=0),"متفرقه",Sync!$AX641))</f>
        <v/>
      </c>
      <c r="Z641">
        <f>IF($X641="","","سبد و ظروف")</f>
        <v/>
      </c>
      <c r="AA641">
        <f>IF($X641="","",$Y641)</f>
        <v/>
      </c>
    </row>
    <row r="642">
      <c r="A642">
        <f>IF(Sync!$Z642="","",LEFT(UPPER(TRIM(Sync!$Z642)),6))</f>
        <v/>
      </c>
      <c r="B642">
        <f>IF($A642="","",IF(Sync!$AA642="","",Sync!$AA642))</f>
        <v/>
      </c>
      <c r="C642">
        <f>IF($A642="","",IF(Sync!$AB642="","",Sync!$AB642))</f>
        <v/>
      </c>
      <c r="D642">
        <f>IF($A642="","",IF(Sync!$AC642="","",Sync!$AC642))</f>
        <v/>
      </c>
      <c r="E642">
        <f>IF($A642="","",IF(Sync!$AD642="","",Sync!$AD642))</f>
        <v/>
      </c>
      <c r="F642">
        <f>IF($A642="","",IF(Sync!$AE642="",0,Sync!$AE642))</f>
        <v/>
      </c>
      <c r="G642">
        <f>IF($A642="","",IF(Sync!$AF642="",0,Sync!$AF642))</f>
        <v/>
      </c>
      <c r="H642">
        <f>IF(OR($A642="",ROUND($F642+$G642,2)=0),"",$F642+$G642)</f>
        <v/>
      </c>
      <c r="I642">
        <f>IF($H642="","",IF(ROUND($F642,2)&gt;0,$A642,IF($D642="شخصی قاسم","شخصی قاسم",IF($D642="هزینه","هزینه: "&amp;IF($E642="","متفرقه",$E642),IF($C642="پاس چک","چک پرداختی",IF(OR($B642="",COUNTIF(AcctCodesA,$B642)=0),"متفرقه",$B642))))))</f>
        <v/>
      </c>
      <c r="J642">
        <f>IF($H642="","",IF(ROUND($F642,2)&gt;0,IF($D642="شخصی قاسم","شخصی قاسم",IF($D642="هزینه","هزینه: "&amp;IF($E642="","متفرقه",$E642),IF(OR($B642="",COUNTIF(AcctCodesA,$B642)=0),"متفرقه",$B642))),$A642))</f>
        <v/>
      </c>
      <c r="K642">
        <f>IF($A642="","",IF(AND($B642&lt;&gt;"",COUNTIF(AcctCodesA,$B642)=0),"کد طرف در INFO تعریف نشده",IF(AND($D642="هزینه",$E642=""),"هزینه بدون زیرگروه",IF(AND($C642="پاس چک",OR(Sync!$AJ642="",COUNTIF(IssueNosA,Sync!$AJ642)=0)),"شماره چک پاس‌شده معتبر نیست",""))))</f>
        <v/>
      </c>
      <c r="V642">
        <f>IF($K642="","",IF(ISNUMBER(Sync!$AK642),Sync!$AK642,LEFT(Sync!$AK642,4)&amp;MID(Sync!$AK642,6,2)&amp;RIGHT(Sync!$AK642,2))&amp;"|"&amp;"4"&amp;RIGHT("00000"&amp;637,5))</f>
        <v/>
      </c>
      <c r="W642">
        <f>IF($V642="",0,COUNTIFS($V$6:$V$2005,"&lt;"&amp;$V642)-COUNTIFS($V$6:$V$2005,"&lt;"&amp;$V642,$K$6:$K$2005,"")+1)</f>
        <v/>
      </c>
      <c r="X642">
        <f>IF(Sync!$AX642="","",IF(OR(N(Sync!$AY642)=0,N(Sync!$AZ642)=0),"",ROUND(N(Sync!$AY642)*N(Sync!$AZ642),0)))</f>
        <v/>
      </c>
      <c r="Y642">
        <f>IF($X642="","",IF(OR(Sync!$AX642="",COUNTIF(AcctCodesA,Sync!$AX642)=0),"متفرقه",Sync!$AX642))</f>
        <v/>
      </c>
      <c r="Z642">
        <f>IF($X642="","","سبد و ظروف")</f>
        <v/>
      </c>
      <c r="AA642">
        <f>IF($X642="","",$Y642)</f>
        <v/>
      </c>
    </row>
    <row r="643">
      <c r="A643">
        <f>IF(Sync!$Z643="","",LEFT(UPPER(TRIM(Sync!$Z643)),6))</f>
        <v/>
      </c>
      <c r="B643">
        <f>IF($A643="","",IF(Sync!$AA643="","",Sync!$AA643))</f>
        <v/>
      </c>
      <c r="C643">
        <f>IF($A643="","",IF(Sync!$AB643="","",Sync!$AB643))</f>
        <v/>
      </c>
      <c r="D643">
        <f>IF($A643="","",IF(Sync!$AC643="","",Sync!$AC643))</f>
        <v/>
      </c>
      <c r="E643">
        <f>IF($A643="","",IF(Sync!$AD643="","",Sync!$AD643))</f>
        <v/>
      </c>
      <c r="F643">
        <f>IF($A643="","",IF(Sync!$AE643="",0,Sync!$AE643))</f>
        <v/>
      </c>
      <c r="G643">
        <f>IF($A643="","",IF(Sync!$AF643="",0,Sync!$AF643))</f>
        <v/>
      </c>
      <c r="H643">
        <f>IF(OR($A643="",ROUND($F643+$G643,2)=0),"",$F643+$G643)</f>
        <v/>
      </c>
      <c r="I643">
        <f>IF($H643="","",IF(ROUND($F643,2)&gt;0,$A643,IF($D643="شخصی قاسم","شخصی قاسم",IF($D643="هزینه","هزینه: "&amp;IF($E643="","متفرقه",$E643),IF($C643="پاس چک","چک پرداختی",IF(OR($B643="",COUNTIF(AcctCodesA,$B643)=0),"متفرقه",$B643))))))</f>
        <v/>
      </c>
      <c r="J643">
        <f>IF($H643="","",IF(ROUND($F643,2)&gt;0,IF($D643="شخصی قاسم","شخصی قاسم",IF($D643="هزینه","هزینه: "&amp;IF($E643="","متفرقه",$E643),IF(OR($B643="",COUNTIF(AcctCodesA,$B643)=0),"متفرقه",$B643))),$A643))</f>
        <v/>
      </c>
      <c r="K643">
        <f>IF($A643="","",IF(AND($B643&lt;&gt;"",COUNTIF(AcctCodesA,$B643)=0),"کد طرف در INFO تعریف نشده",IF(AND($D643="هزینه",$E643=""),"هزینه بدون زیرگروه",IF(AND($C643="پاس چک",OR(Sync!$AJ643="",COUNTIF(IssueNosA,Sync!$AJ643)=0)),"شماره چک پاس‌شده معتبر نیست",""))))</f>
        <v/>
      </c>
      <c r="V643">
        <f>IF($K643="","",IF(ISNUMBER(Sync!$AK643),Sync!$AK643,LEFT(Sync!$AK643,4)&amp;MID(Sync!$AK643,6,2)&amp;RIGHT(Sync!$AK643,2))&amp;"|"&amp;"4"&amp;RIGHT("00000"&amp;638,5))</f>
        <v/>
      </c>
      <c r="W643">
        <f>IF($V643="",0,COUNTIFS($V$6:$V$2005,"&lt;"&amp;$V643)-COUNTIFS($V$6:$V$2005,"&lt;"&amp;$V643,$K$6:$K$2005,"")+1)</f>
        <v/>
      </c>
      <c r="X643">
        <f>IF(Sync!$AX643="","",IF(OR(N(Sync!$AY643)=0,N(Sync!$AZ643)=0),"",ROUND(N(Sync!$AY643)*N(Sync!$AZ643),0)))</f>
        <v/>
      </c>
      <c r="Y643">
        <f>IF($X643="","",IF(OR(Sync!$AX643="",COUNTIF(AcctCodesA,Sync!$AX643)=0),"متفرقه",Sync!$AX643))</f>
        <v/>
      </c>
      <c r="Z643">
        <f>IF($X643="","","سبد و ظروف")</f>
        <v/>
      </c>
      <c r="AA643">
        <f>IF($X643="","",$Y643)</f>
        <v/>
      </c>
    </row>
    <row r="644">
      <c r="A644">
        <f>IF(Sync!$Z644="","",LEFT(UPPER(TRIM(Sync!$Z644)),6))</f>
        <v/>
      </c>
      <c r="B644">
        <f>IF($A644="","",IF(Sync!$AA644="","",Sync!$AA644))</f>
        <v/>
      </c>
      <c r="C644">
        <f>IF($A644="","",IF(Sync!$AB644="","",Sync!$AB644))</f>
        <v/>
      </c>
      <c r="D644">
        <f>IF($A644="","",IF(Sync!$AC644="","",Sync!$AC644))</f>
        <v/>
      </c>
      <c r="E644">
        <f>IF($A644="","",IF(Sync!$AD644="","",Sync!$AD644))</f>
        <v/>
      </c>
      <c r="F644">
        <f>IF($A644="","",IF(Sync!$AE644="",0,Sync!$AE644))</f>
        <v/>
      </c>
      <c r="G644">
        <f>IF($A644="","",IF(Sync!$AF644="",0,Sync!$AF644))</f>
        <v/>
      </c>
      <c r="H644">
        <f>IF(OR($A644="",ROUND($F644+$G644,2)=0),"",$F644+$G644)</f>
        <v/>
      </c>
      <c r="I644">
        <f>IF($H644="","",IF(ROUND($F644,2)&gt;0,$A644,IF($D644="شخصی قاسم","شخصی قاسم",IF($D644="هزینه","هزینه: "&amp;IF($E644="","متفرقه",$E644),IF($C644="پاس چک","چک پرداختی",IF(OR($B644="",COUNTIF(AcctCodesA,$B644)=0),"متفرقه",$B644))))))</f>
        <v/>
      </c>
      <c r="J644">
        <f>IF($H644="","",IF(ROUND($F644,2)&gt;0,IF($D644="شخصی قاسم","شخصی قاسم",IF($D644="هزینه","هزینه: "&amp;IF($E644="","متفرقه",$E644),IF(OR($B644="",COUNTIF(AcctCodesA,$B644)=0),"متفرقه",$B644))),$A644))</f>
        <v/>
      </c>
      <c r="K644">
        <f>IF($A644="","",IF(AND($B644&lt;&gt;"",COUNTIF(AcctCodesA,$B644)=0),"کد طرف در INFO تعریف نشده",IF(AND($D644="هزینه",$E644=""),"هزینه بدون زیرگروه",IF(AND($C644="پاس چک",OR(Sync!$AJ644="",COUNTIF(IssueNosA,Sync!$AJ644)=0)),"شماره چک پاس‌شده معتبر نیست",""))))</f>
        <v/>
      </c>
      <c r="V644">
        <f>IF($K644="","",IF(ISNUMBER(Sync!$AK644),Sync!$AK644,LEFT(Sync!$AK644,4)&amp;MID(Sync!$AK644,6,2)&amp;RIGHT(Sync!$AK644,2))&amp;"|"&amp;"4"&amp;RIGHT("00000"&amp;639,5))</f>
        <v/>
      </c>
      <c r="W644">
        <f>IF($V644="",0,COUNTIFS($V$6:$V$2005,"&lt;"&amp;$V644)-COUNTIFS($V$6:$V$2005,"&lt;"&amp;$V644,$K$6:$K$2005,"")+1)</f>
        <v/>
      </c>
      <c r="X644">
        <f>IF(Sync!$AX644="","",IF(OR(N(Sync!$AY644)=0,N(Sync!$AZ644)=0),"",ROUND(N(Sync!$AY644)*N(Sync!$AZ644),0)))</f>
        <v/>
      </c>
      <c r="Y644">
        <f>IF($X644="","",IF(OR(Sync!$AX644="",COUNTIF(AcctCodesA,Sync!$AX644)=0),"متفرقه",Sync!$AX644))</f>
        <v/>
      </c>
      <c r="Z644">
        <f>IF($X644="","","سبد و ظروف")</f>
        <v/>
      </c>
      <c r="AA644">
        <f>IF($X644="","",$Y644)</f>
        <v/>
      </c>
    </row>
    <row r="645">
      <c r="A645">
        <f>IF(Sync!$Z645="","",LEFT(UPPER(TRIM(Sync!$Z645)),6))</f>
        <v/>
      </c>
      <c r="B645">
        <f>IF($A645="","",IF(Sync!$AA645="","",Sync!$AA645))</f>
        <v/>
      </c>
      <c r="C645">
        <f>IF($A645="","",IF(Sync!$AB645="","",Sync!$AB645))</f>
        <v/>
      </c>
      <c r="D645">
        <f>IF($A645="","",IF(Sync!$AC645="","",Sync!$AC645))</f>
        <v/>
      </c>
      <c r="E645">
        <f>IF($A645="","",IF(Sync!$AD645="","",Sync!$AD645))</f>
        <v/>
      </c>
      <c r="F645">
        <f>IF($A645="","",IF(Sync!$AE645="",0,Sync!$AE645))</f>
        <v/>
      </c>
      <c r="G645">
        <f>IF($A645="","",IF(Sync!$AF645="",0,Sync!$AF645))</f>
        <v/>
      </c>
      <c r="H645">
        <f>IF(OR($A645="",ROUND($F645+$G645,2)=0),"",$F645+$G645)</f>
        <v/>
      </c>
      <c r="I645">
        <f>IF($H645="","",IF(ROUND($F645,2)&gt;0,$A645,IF($D645="شخصی قاسم","شخصی قاسم",IF($D645="هزینه","هزینه: "&amp;IF($E645="","متفرقه",$E645),IF($C645="پاس چک","چک پرداختی",IF(OR($B645="",COUNTIF(AcctCodesA,$B645)=0),"متفرقه",$B645))))))</f>
        <v/>
      </c>
      <c r="J645">
        <f>IF($H645="","",IF(ROUND($F645,2)&gt;0,IF($D645="شخصی قاسم","شخصی قاسم",IF($D645="هزینه","هزینه: "&amp;IF($E645="","متفرقه",$E645),IF(OR($B645="",COUNTIF(AcctCodesA,$B645)=0),"متفرقه",$B645))),$A645))</f>
        <v/>
      </c>
      <c r="K645">
        <f>IF($A645="","",IF(AND($B645&lt;&gt;"",COUNTIF(AcctCodesA,$B645)=0),"کد طرف در INFO تعریف نشده",IF(AND($D645="هزینه",$E645=""),"هزینه بدون زیرگروه",IF(AND($C645="پاس چک",OR(Sync!$AJ645="",COUNTIF(IssueNosA,Sync!$AJ645)=0)),"شماره چک پاس‌شده معتبر نیست",""))))</f>
        <v/>
      </c>
      <c r="V645">
        <f>IF($K645="","",IF(ISNUMBER(Sync!$AK645),Sync!$AK645,LEFT(Sync!$AK645,4)&amp;MID(Sync!$AK645,6,2)&amp;RIGHT(Sync!$AK645,2))&amp;"|"&amp;"4"&amp;RIGHT("00000"&amp;640,5))</f>
        <v/>
      </c>
      <c r="W645">
        <f>IF($V645="",0,COUNTIFS($V$6:$V$2005,"&lt;"&amp;$V645)-COUNTIFS($V$6:$V$2005,"&lt;"&amp;$V645,$K$6:$K$2005,"")+1)</f>
        <v/>
      </c>
      <c r="X645">
        <f>IF(Sync!$AX645="","",IF(OR(N(Sync!$AY645)=0,N(Sync!$AZ645)=0),"",ROUND(N(Sync!$AY645)*N(Sync!$AZ645),0)))</f>
        <v/>
      </c>
      <c r="Y645">
        <f>IF($X645="","",IF(OR(Sync!$AX645="",COUNTIF(AcctCodesA,Sync!$AX645)=0),"متفرقه",Sync!$AX645))</f>
        <v/>
      </c>
      <c r="Z645">
        <f>IF($X645="","","سبد و ظروف")</f>
        <v/>
      </c>
      <c r="AA645">
        <f>IF($X645="","",$Y645)</f>
        <v/>
      </c>
    </row>
    <row r="646">
      <c r="A646">
        <f>IF(Sync!$Z646="","",LEFT(UPPER(TRIM(Sync!$Z646)),6))</f>
        <v/>
      </c>
      <c r="B646">
        <f>IF($A646="","",IF(Sync!$AA646="","",Sync!$AA646))</f>
        <v/>
      </c>
      <c r="C646">
        <f>IF($A646="","",IF(Sync!$AB646="","",Sync!$AB646))</f>
        <v/>
      </c>
      <c r="D646">
        <f>IF($A646="","",IF(Sync!$AC646="","",Sync!$AC646))</f>
        <v/>
      </c>
      <c r="E646">
        <f>IF($A646="","",IF(Sync!$AD646="","",Sync!$AD646))</f>
        <v/>
      </c>
      <c r="F646">
        <f>IF($A646="","",IF(Sync!$AE646="",0,Sync!$AE646))</f>
        <v/>
      </c>
      <c r="G646">
        <f>IF($A646="","",IF(Sync!$AF646="",0,Sync!$AF646))</f>
        <v/>
      </c>
      <c r="H646">
        <f>IF(OR($A646="",ROUND($F646+$G646,2)=0),"",$F646+$G646)</f>
        <v/>
      </c>
      <c r="I646">
        <f>IF($H646="","",IF(ROUND($F646,2)&gt;0,$A646,IF($D646="شخصی قاسم","شخصی قاسم",IF($D646="هزینه","هزینه: "&amp;IF($E646="","متفرقه",$E646),IF($C646="پاس چک","چک پرداختی",IF(OR($B646="",COUNTIF(AcctCodesA,$B646)=0),"متفرقه",$B646))))))</f>
        <v/>
      </c>
      <c r="J646">
        <f>IF($H646="","",IF(ROUND($F646,2)&gt;0,IF($D646="شخصی قاسم","شخصی قاسم",IF($D646="هزینه","هزینه: "&amp;IF($E646="","متفرقه",$E646),IF(OR($B646="",COUNTIF(AcctCodesA,$B646)=0),"متفرقه",$B646))),$A646))</f>
        <v/>
      </c>
      <c r="K646">
        <f>IF($A646="","",IF(AND($B646&lt;&gt;"",COUNTIF(AcctCodesA,$B646)=0),"کد طرف در INFO تعریف نشده",IF(AND($D646="هزینه",$E646=""),"هزینه بدون زیرگروه",IF(AND($C646="پاس چک",OR(Sync!$AJ646="",COUNTIF(IssueNosA,Sync!$AJ646)=0)),"شماره چک پاس‌شده معتبر نیست",""))))</f>
        <v/>
      </c>
      <c r="V646">
        <f>IF($K646="","",IF(ISNUMBER(Sync!$AK646),Sync!$AK646,LEFT(Sync!$AK646,4)&amp;MID(Sync!$AK646,6,2)&amp;RIGHT(Sync!$AK646,2))&amp;"|"&amp;"4"&amp;RIGHT("00000"&amp;641,5))</f>
        <v/>
      </c>
      <c r="W646">
        <f>IF($V646="",0,COUNTIFS($V$6:$V$2005,"&lt;"&amp;$V646)-COUNTIFS($V$6:$V$2005,"&lt;"&amp;$V646,$K$6:$K$2005,"")+1)</f>
        <v/>
      </c>
      <c r="X646">
        <f>IF(Sync!$AX646="","",IF(OR(N(Sync!$AY646)=0,N(Sync!$AZ646)=0),"",ROUND(N(Sync!$AY646)*N(Sync!$AZ646),0)))</f>
        <v/>
      </c>
      <c r="Y646">
        <f>IF($X646="","",IF(OR(Sync!$AX646="",COUNTIF(AcctCodesA,Sync!$AX646)=0),"متفرقه",Sync!$AX646))</f>
        <v/>
      </c>
      <c r="Z646">
        <f>IF($X646="","","سبد و ظروف")</f>
        <v/>
      </c>
      <c r="AA646">
        <f>IF($X646="","",$Y646)</f>
        <v/>
      </c>
    </row>
    <row r="647">
      <c r="A647">
        <f>IF(Sync!$Z647="","",LEFT(UPPER(TRIM(Sync!$Z647)),6))</f>
        <v/>
      </c>
      <c r="B647">
        <f>IF($A647="","",IF(Sync!$AA647="","",Sync!$AA647))</f>
        <v/>
      </c>
      <c r="C647">
        <f>IF($A647="","",IF(Sync!$AB647="","",Sync!$AB647))</f>
        <v/>
      </c>
      <c r="D647">
        <f>IF($A647="","",IF(Sync!$AC647="","",Sync!$AC647))</f>
        <v/>
      </c>
      <c r="E647">
        <f>IF($A647="","",IF(Sync!$AD647="","",Sync!$AD647))</f>
        <v/>
      </c>
      <c r="F647">
        <f>IF($A647="","",IF(Sync!$AE647="",0,Sync!$AE647))</f>
        <v/>
      </c>
      <c r="G647">
        <f>IF($A647="","",IF(Sync!$AF647="",0,Sync!$AF647))</f>
        <v/>
      </c>
      <c r="H647">
        <f>IF(OR($A647="",ROUND($F647+$G647,2)=0),"",$F647+$G647)</f>
        <v/>
      </c>
      <c r="I647">
        <f>IF($H647="","",IF(ROUND($F647,2)&gt;0,$A647,IF($D647="شخصی قاسم","شخصی قاسم",IF($D647="هزینه","هزینه: "&amp;IF($E647="","متفرقه",$E647),IF($C647="پاس چک","چک پرداختی",IF(OR($B647="",COUNTIF(AcctCodesA,$B647)=0),"متفرقه",$B647))))))</f>
        <v/>
      </c>
      <c r="J647">
        <f>IF($H647="","",IF(ROUND($F647,2)&gt;0,IF($D647="شخصی قاسم","شخصی قاسم",IF($D647="هزینه","هزینه: "&amp;IF($E647="","متفرقه",$E647),IF(OR($B647="",COUNTIF(AcctCodesA,$B647)=0),"متفرقه",$B647))),$A647))</f>
        <v/>
      </c>
      <c r="K647">
        <f>IF($A647="","",IF(AND($B647&lt;&gt;"",COUNTIF(AcctCodesA,$B647)=0),"کد طرف در INFO تعریف نشده",IF(AND($D647="هزینه",$E647=""),"هزینه بدون زیرگروه",IF(AND($C647="پاس چک",OR(Sync!$AJ647="",COUNTIF(IssueNosA,Sync!$AJ647)=0)),"شماره چک پاس‌شده معتبر نیست",""))))</f>
        <v/>
      </c>
      <c r="V647">
        <f>IF($K647="","",IF(ISNUMBER(Sync!$AK647),Sync!$AK647,LEFT(Sync!$AK647,4)&amp;MID(Sync!$AK647,6,2)&amp;RIGHT(Sync!$AK647,2))&amp;"|"&amp;"4"&amp;RIGHT("00000"&amp;642,5))</f>
        <v/>
      </c>
      <c r="W647">
        <f>IF($V647="",0,COUNTIFS($V$6:$V$2005,"&lt;"&amp;$V647)-COUNTIFS($V$6:$V$2005,"&lt;"&amp;$V647,$K$6:$K$2005,"")+1)</f>
        <v/>
      </c>
      <c r="X647">
        <f>IF(Sync!$AX647="","",IF(OR(N(Sync!$AY647)=0,N(Sync!$AZ647)=0),"",ROUND(N(Sync!$AY647)*N(Sync!$AZ647),0)))</f>
        <v/>
      </c>
      <c r="Y647">
        <f>IF($X647="","",IF(OR(Sync!$AX647="",COUNTIF(AcctCodesA,Sync!$AX647)=0),"متفرقه",Sync!$AX647))</f>
        <v/>
      </c>
      <c r="Z647">
        <f>IF($X647="","","سبد و ظروف")</f>
        <v/>
      </c>
      <c r="AA647">
        <f>IF($X647="","",$Y647)</f>
        <v/>
      </c>
    </row>
    <row r="648">
      <c r="A648">
        <f>IF(Sync!$Z648="","",LEFT(UPPER(TRIM(Sync!$Z648)),6))</f>
        <v/>
      </c>
      <c r="B648">
        <f>IF($A648="","",IF(Sync!$AA648="","",Sync!$AA648))</f>
        <v/>
      </c>
      <c r="C648">
        <f>IF($A648="","",IF(Sync!$AB648="","",Sync!$AB648))</f>
        <v/>
      </c>
      <c r="D648">
        <f>IF($A648="","",IF(Sync!$AC648="","",Sync!$AC648))</f>
        <v/>
      </c>
      <c r="E648">
        <f>IF($A648="","",IF(Sync!$AD648="","",Sync!$AD648))</f>
        <v/>
      </c>
      <c r="F648">
        <f>IF($A648="","",IF(Sync!$AE648="",0,Sync!$AE648))</f>
        <v/>
      </c>
      <c r="G648">
        <f>IF($A648="","",IF(Sync!$AF648="",0,Sync!$AF648))</f>
        <v/>
      </c>
      <c r="H648">
        <f>IF(OR($A648="",ROUND($F648+$G648,2)=0),"",$F648+$G648)</f>
        <v/>
      </c>
      <c r="I648">
        <f>IF($H648="","",IF(ROUND($F648,2)&gt;0,$A648,IF($D648="شخصی قاسم","شخصی قاسم",IF($D648="هزینه","هزینه: "&amp;IF($E648="","متفرقه",$E648),IF($C648="پاس چک","چک پرداختی",IF(OR($B648="",COUNTIF(AcctCodesA,$B648)=0),"متفرقه",$B648))))))</f>
        <v/>
      </c>
      <c r="J648">
        <f>IF($H648="","",IF(ROUND($F648,2)&gt;0,IF($D648="شخصی قاسم","شخصی قاسم",IF($D648="هزینه","هزینه: "&amp;IF($E648="","متفرقه",$E648),IF(OR($B648="",COUNTIF(AcctCodesA,$B648)=0),"متفرقه",$B648))),$A648))</f>
        <v/>
      </c>
      <c r="K648">
        <f>IF($A648="","",IF(AND($B648&lt;&gt;"",COUNTIF(AcctCodesA,$B648)=0),"کد طرف در INFO تعریف نشده",IF(AND($D648="هزینه",$E648=""),"هزینه بدون زیرگروه",IF(AND($C648="پاس چک",OR(Sync!$AJ648="",COUNTIF(IssueNosA,Sync!$AJ648)=0)),"شماره چک پاس‌شده معتبر نیست",""))))</f>
        <v/>
      </c>
      <c r="V648">
        <f>IF($K648="","",IF(ISNUMBER(Sync!$AK648),Sync!$AK648,LEFT(Sync!$AK648,4)&amp;MID(Sync!$AK648,6,2)&amp;RIGHT(Sync!$AK648,2))&amp;"|"&amp;"4"&amp;RIGHT("00000"&amp;643,5))</f>
        <v/>
      </c>
      <c r="W648">
        <f>IF($V648="",0,COUNTIFS($V$6:$V$2005,"&lt;"&amp;$V648)-COUNTIFS($V$6:$V$2005,"&lt;"&amp;$V648,$K$6:$K$2005,"")+1)</f>
        <v/>
      </c>
      <c r="X648">
        <f>IF(Sync!$AX648="","",IF(OR(N(Sync!$AY648)=0,N(Sync!$AZ648)=0),"",ROUND(N(Sync!$AY648)*N(Sync!$AZ648),0)))</f>
        <v/>
      </c>
      <c r="Y648">
        <f>IF($X648="","",IF(OR(Sync!$AX648="",COUNTIF(AcctCodesA,Sync!$AX648)=0),"متفرقه",Sync!$AX648))</f>
        <v/>
      </c>
      <c r="Z648">
        <f>IF($X648="","","سبد و ظروف")</f>
        <v/>
      </c>
      <c r="AA648">
        <f>IF($X648="","",$Y648)</f>
        <v/>
      </c>
    </row>
    <row r="649">
      <c r="A649">
        <f>IF(Sync!$Z649="","",LEFT(UPPER(TRIM(Sync!$Z649)),6))</f>
        <v/>
      </c>
      <c r="B649">
        <f>IF($A649="","",IF(Sync!$AA649="","",Sync!$AA649))</f>
        <v/>
      </c>
      <c r="C649">
        <f>IF($A649="","",IF(Sync!$AB649="","",Sync!$AB649))</f>
        <v/>
      </c>
      <c r="D649">
        <f>IF($A649="","",IF(Sync!$AC649="","",Sync!$AC649))</f>
        <v/>
      </c>
      <c r="E649">
        <f>IF($A649="","",IF(Sync!$AD649="","",Sync!$AD649))</f>
        <v/>
      </c>
      <c r="F649">
        <f>IF($A649="","",IF(Sync!$AE649="",0,Sync!$AE649))</f>
        <v/>
      </c>
      <c r="G649">
        <f>IF($A649="","",IF(Sync!$AF649="",0,Sync!$AF649))</f>
        <v/>
      </c>
      <c r="H649">
        <f>IF(OR($A649="",ROUND($F649+$G649,2)=0),"",$F649+$G649)</f>
        <v/>
      </c>
      <c r="I649">
        <f>IF($H649="","",IF(ROUND($F649,2)&gt;0,$A649,IF($D649="شخصی قاسم","شخصی قاسم",IF($D649="هزینه","هزینه: "&amp;IF($E649="","متفرقه",$E649),IF($C649="پاس چک","چک پرداختی",IF(OR($B649="",COUNTIF(AcctCodesA,$B649)=0),"متفرقه",$B649))))))</f>
        <v/>
      </c>
      <c r="J649">
        <f>IF($H649="","",IF(ROUND($F649,2)&gt;0,IF($D649="شخصی قاسم","شخصی قاسم",IF($D649="هزینه","هزینه: "&amp;IF($E649="","متفرقه",$E649),IF(OR($B649="",COUNTIF(AcctCodesA,$B649)=0),"متفرقه",$B649))),$A649))</f>
        <v/>
      </c>
      <c r="K649">
        <f>IF($A649="","",IF(AND($B649&lt;&gt;"",COUNTIF(AcctCodesA,$B649)=0),"کد طرف در INFO تعریف نشده",IF(AND($D649="هزینه",$E649=""),"هزینه بدون زیرگروه",IF(AND($C649="پاس چک",OR(Sync!$AJ649="",COUNTIF(IssueNosA,Sync!$AJ649)=0)),"شماره چک پاس‌شده معتبر نیست",""))))</f>
        <v/>
      </c>
      <c r="V649">
        <f>IF($K649="","",IF(ISNUMBER(Sync!$AK649),Sync!$AK649,LEFT(Sync!$AK649,4)&amp;MID(Sync!$AK649,6,2)&amp;RIGHT(Sync!$AK649,2))&amp;"|"&amp;"4"&amp;RIGHT("00000"&amp;644,5))</f>
        <v/>
      </c>
      <c r="W649">
        <f>IF($V649="",0,COUNTIFS($V$6:$V$2005,"&lt;"&amp;$V649)-COUNTIFS($V$6:$V$2005,"&lt;"&amp;$V649,$K$6:$K$2005,"")+1)</f>
        <v/>
      </c>
      <c r="X649">
        <f>IF(Sync!$AX649="","",IF(OR(N(Sync!$AY649)=0,N(Sync!$AZ649)=0),"",ROUND(N(Sync!$AY649)*N(Sync!$AZ649),0)))</f>
        <v/>
      </c>
      <c r="Y649">
        <f>IF($X649="","",IF(OR(Sync!$AX649="",COUNTIF(AcctCodesA,Sync!$AX649)=0),"متفرقه",Sync!$AX649))</f>
        <v/>
      </c>
      <c r="Z649">
        <f>IF($X649="","","سبد و ظروف")</f>
        <v/>
      </c>
      <c r="AA649">
        <f>IF($X649="","",$Y649)</f>
        <v/>
      </c>
    </row>
    <row r="650">
      <c r="A650">
        <f>IF(Sync!$Z650="","",LEFT(UPPER(TRIM(Sync!$Z650)),6))</f>
        <v/>
      </c>
      <c r="B650">
        <f>IF($A650="","",IF(Sync!$AA650="","",Sync!$AA650))</f>
        <v/>
      </c>
      <c r="C650">
        <f>IF($A650="","",IF(Sync!$AB650="","",Sync!$AB650))</f>
        <v/>
      </c>
      <c r="D650">
        <f>IF($A650="","",IF(Sync!$AC650="","",Sync!$AC650))</f>
        <v/>
      </c>
      <c r="E650">
        <f>IF($A650="","",IF(Sync!$AD650="","",Sync!$AD650))</f>
        <v/>
      </c>
      <c r="F650">
        <f>IF($A650="","",IF(Sync!$AE650="",0,Sync!$AE650))</f>
        <v/>
      </c>
      <c r="G650">
        <f>IF($A650="","",IF(Sync!$AF650="",0,Sync!$AF650))</f>
        <v/>
      </c>
      <c r="H650">
        <f>IF(OR($A650="",ROUND($F650+$G650,2)=0),"",$F650+$G650)</f>
        <v/>
      </c>
      <c r="I650">
        <f>IF($H650="","",IF(ROUND($F650,2)&gt;0,$A650,IF($D650="شخصی قاسم","شخصی قاسم",IF($D650="هزینه","هزینه: "&amp;IF($E650="","متفرقه",$E650),IF($C650="پاس چک","چک پرداختی",IF(OR($B650="",COUNTIF(AcctCodesA,$B650)=0),"متفرقه",$B650))))))</f>
        <v/>
      </c>
      <c r="J650">
        <f>IF($H650="","",IF(ROUND($F650,2)&gt;0,IF($D650="شخصی قاسم","شخصی قاسم",IF($D650="هزینه","هزینه: "&amp;IF($E650="","متفرقه",$E650),IF(OR($B650="",COUNTIF(AcctCodesA,$B650)=0),"متفرقه",$B650))),$A650))</f>
        <v/>
      </c>
      <c r="K650">
        <f>IF($A650="","",IF(AND($B650&lt;&gt;"",COUNTIF(AcctCodesA,$B650)=0),"کد طرف در INFO تعریف نشده",IF(AND($D650="هزینه",$E650=""),"هزینه بدون زیرگروه",IF(AND($C650="پاس چک",OR(Sync!$AJ650="",COUNTIF(IssueNosA,Sync!$AJ650)=0)),"شماره چک پاس‌شده معتبر نیست",""))))</f>
        <v/>
      </c>
      <c r="V650">
        <f>IF($K650="","",IF(ISNUMBER(Sync!$AK650),Sync!$AK650,LEFT(Sync!$AK650,4)&amp;MID(Sync!$AK650,6,2)&amp;RIGHT(Sync!$AK650,2))&amp;"|"&amp;"4"&amp;RIGHT("00000"&amp;645,5))</f>
        <v/>
      </c>
      <c r="W650">
        <f>IF($V650="",0,COUNTIFS($V$6:$V$2005,"&lt;"&amp;$V650)-COUNTIFS($V$6:$V$2005,"&lt;"&amp;$V650,$K$6:$K$2005,"")+1)</f>
        <v/>
      </c>
      <c r="X650">
        <f>IF(Sync!$AX650="","",IF(OR(N(Sync!$AY650)=0,N(Sync!$AZ650)=0),"",ROUND(N(Sync!$AY650)*N(Sync!$AZ650),0)))</f>
        <v/>
      </c>
      <c r="Y650">
        <f>IF($X650="","",IF(OR(Sync!$AX650="",COUNTIF(AcctCodesA,Sync!$AX650)=0),"متفرقه",Sync!$AX650))</f>
        <v/>
      </c>
      <c r="Z650">
        <f>IF($X650="","","سبد و ظروف")</f>
        <v/>
      </c>
      <c r="AA650">
        <f>IF($X650="","",$Y650)</f>
        <v/>
      </c>
    </row>
    <row r="651">
      <c r="A651">
        <f>IF(Sync!$Z651="","",LEFT(UPPER(TRIM(Sync!$Z651)),6))</f>
        <v/>
      </c>
      <c r="B651">
        <f>IF($A651="","",IF(Sync!$AA651="","",Sync!$AA651))</f>
        <v/>
      </c>
      <c r="C651">
        <f>IF($A651="","",IF(Sync!$AB651="","",Sync!$AB651))</f>
        <v/>
      </c>
      <c r="D651">
        <f>IF($A651="","",IF(Sync!$AC651="","",Sync!$AC651))</f>
        <v/>
      </c>
      <c r="E651">
        <f>IF($A651="","",IF(Sync!$AD651="","",Sync!$AD651))</f>
        <v/>
      </c>
      <c r="F651">
        <f>IF($A651="","",IF(Sync!$AE651="",0,Sync!$AE651))</f>
        <v/>
      </c>
      <c r="G651">
        <f>IF($A651="","",IF(Sync!$AF651="",0,Sync!$AF651))</f>
        <v/>
      </c>
      <c r="H651">
        <f>IF(OR($A651="",ROUND($F651+$G651,2)=0),"",$F651+$G651)</f>
        <v/>
      </c>
      <c r="I651">
        <f>IF($H651="","",IF(ROUND($F651,2)&gt;0,$A651,IF($D651="شخصی قاسم","شخصی قاسم",IF($D651="هزینه","هزینه: "&amp;IF($E651="","متفرقه",$E651),IF($C651="پاس چک","چک پرداختی",IF(OR($B651="",COUNTIF(AcctCodesA,$B651)=0),"متفرقه",$B651))))))</f>
        <v/>
      </c>
      <c r="J651">
        <f>IF($H651="","",IF(ROUND($F651,2)&gt;0,IF($D651="شخصی قاسم","شخصی قاسم",IF($D651="هزینه","هزینه: "&amp;IF($E651="","متفرقه",$E651),IF(OR($B651="",COUNTIF(AcctCodesA,$B651)=0),"متفرقه",$B651))),$A651))</f>
        <v/>
      </c>
      <c r="K651">
        <f>IF($A651="","",IF(AND($B651&lt;&gt;"",COUNTIF(AcctCodesA,$B651)=0),"کد طرف در INFO تعریف نشده",IF(AND($D651="هزینه",$E651=""),"هزینه بدون زیرگروه",IF(AND($C651="پاس چک",OR(Sync!$AJ651="",COUNTIF(IssueNosA,Sync!$AJ651)=0)),"شماره چک پاس‌شده معتبر نیست",""))))</f>
        <v/>
      </c>
      <c r="V651">
        <f>IF($K651="","",IF(ISNUMBER(Sync!$AK651),Sync!$AK651,LEFT(Sync!$AK651,4)&amp;MID(Sync!$AK651,6,2)&amp;RIGHT(Sync!$AK651,2))&amp;"|"&amp;"4"&amp;RIGHT("00000"&amp;646,5))</f>
        <v/>
      </c>
      <c r="W651">
        <f>IF($V651="",0,COUNTIFS($V$6:$V$2005,"&lt;"&amp;$V651)-COUNTIFS($V$6:$V$2005,"&lt;"&amp;$V651,$K$6:$K$2005,"")+1)</f>
        <v/>
      </c>
      <c r="X651">
        <f>IF(Sync!$AX651="","",IF(OR(N(Sync!$AY651)=0,N(Sync!$AZ651)=0),"",ROUND(N(Sync!$AY651)*N(Sync!$AZ651),0)))</f>
        <v/>
      </c>
      <c r="Y651">
        <f>IF($X651="","",IF(OR(Sync!$AX651="",COUNTIF(AcctCodesA,Sync!$AX651)=0),"متفرقه",Sync!$AX651))</f>
        <v/>
      </c>
      <c r="Z651">
        <f>IF($X651="","","سبد و ظروف")</f>
        <v/>
      </c>
      <c r="AA651">
        <f>IF($X651="","",$Y651)</f>
        <v/>
      </c>
    </row>
    <row r="652">
      <c r="A652">
        <f>IF(Sync!$Z652="","",LEFT(UPPER(TRIM(Sync!$Z652)),6))</f>
        <v/>
      </c>
      <c r="B652">
        <f>IF($A652="","",IF(Sync!$AA652="","",Sync!$AA652))</f>
        <v/>
      </c>
      <c r="C652">
        <f>IF($A652="","",IF(Sync!$AB652="","",Sync!$AB652))</f>
        <v/>
      </c>
      <c r="D652">
        <f>IF($A652="","",IF(Sync!$AC652="","",Sync!$AC652))</f>
        <v/>
      </c>
      <c r="E652">
        <f>IF($A652="","",IF(Sync!$AD652="","",Sync!$AD652))</f>
        <v/>
      </c>
      <c r="F652">
        <f>IF($A652="","",IF(Sync!$AE652="",0,Sync!$AE652))</f>
        <v/>
      </c>
      <c r="G652">
        <f>IF($A652="","",IF(Sync!$AF652="",0,Sync!$AF652))</f>
        <v/>
      </c>
      <c r="H652">
        <f>IF(OR($A652="",ROUND($F652+$G652,2)=0),"",$F652+$G652)</f>
        <v/>
      </c>
      <c r="I652">
        <f>IF($H652="","",IF(ROUND($F652,2)&gt;0,$A652,IF($D652="شخصی قاسم","شخصی قاسم",IF($D652="هزینه","هزینه: "&amp;IF($E652="","متفرقه",$E652),IF($C652="پاس چک","چک پرداختی",IF(OR($B652="",COUNTIF(AcctCodesA,$B652)=0),"متفرقه",$B652))))))</f>
        <v/>
      </c>
      <c r="J652">
        <f>IF($H652="","",IF(ROUND($F652,2)&gt;0,IF($D652="شخصی قاسم","شخصی قاسم",IF($D652="هزینه","هزینه: "&amp;IF($E652="","متفرقه",$E652),IF(OR($B652="",COUNTIF(AcctCodesA,$B652)=0),"متفرقه",$B652))),$A652))</f>
        <v/>
      </c>
      <c r="K652">
        <f>IF($A652="","",IF(AND($B652&lt;&gt;"",COUNTIF(AcctCodesA,$B652)=0),"کد طرف در INFO تعریف نشده",IF(AND($D652="هزینه",$E652=""),"هزینه بدون زیرگروه",IF(AND($C652="پاس چک",OR(Sync!$AJ652="",COUNTIF(IssueNosA,Sync!$AJ652)=0)),"شماره چک پاس‌شده معتبر نیست",""))))</f>
        <v/>
      </c>
      <c r="V652">
        <f>IF($K652="","",IF(ISNUMBER(Sync!$AK652),Sync!$AK652,LEFT(Sync!$AK652,4)&amp;MID(Sync!$AK652,6,2)&amp;RIGHT(Sync!$AK652,2))&amp;"|"&amp;"4"&amp;RIGHT("00000"&amp;647,5))</f>
        <v/>
      </c>
      <c r="W652">
        <f>IF($V652="",0,COUNTIFS($V$6:$V$2005,"&lt;"&amp;$V652)-COUNTIFS($V$6:$V$2005,"&lt;"&amp;$V652,$K$6:$K$2005,"")+1)</f>
        <v/>
      </c>
      <c r="X652">
        <f>IF(Sync!$AX652="","",IF(OR(N(Sync!$AY652)=0,N(Sync!$AZ652)=0),"",ROUND(N(Sync!$AY652)*N(Sync!$AZ652),0)))</f>
        <v/>
      </c>
      <c r="Y652">
        <f>IF($X652="","",IF(OR(Sync!$AX652="",COUNTIF(AcctCodesA,Sync!$AX652)=0),"متفرقه",Sync!$AX652))</f>
        <v/>
      </c>
      <c r="Z652">
        <f>IF($X652="","","سبد و ظروف")</f>
        <v/>
      </c>
      <c r="AA652">
        <f>IF($X652="","",$Y652)</f>
        <v/>
      </c>
    </row>
    <row r="653">
      <c r="A653">
        <f>IF(Sync!$Z653="","",LEFT(UPPER(TRIM(Sync!$Z653)),6))</f>
        <v/>
      </c>
      <c r="B653">
        <f>IF($A653="","",IF(Sync!$AA653="","",Sync!$AA653))</f>
        <v/>
      </c>
      <c r="C653">
        <f>IF($A653="","",IF(Sync!$AB653="","",Sync!$AB653))</f>
        <v/>
      </c>
      <c r="D653">
        <f>IF($A653="","",IF(Sync!$AC653="","",Sync!$AC653))</f>
        <v/>
      </c>
      <c r="E653">
        <f>IF($A653="","",IF(Sync!$AD653="","",Sync!$AD653))</f>
        <v/>
      </c>
      <c r="F653">
        <f>IF($A653="","",IF(Sync!$AE653="",0,Sync!$AE653))</f>
        <v/>
      </c>
      <c r="G653">
        <f>IF($A653="","",IF(Sync!$AF653="",0,Sync!$AF653))</f>
        <v/>
      </c>
      <c r="H653">
        <f>IF(OR($A653="",ROUND($F653+$G653,2)=0),"",$F653+$G653)</f>
        <v/>
      </c>
      <c r="I653">
        <f>IF($H653="","",IF(ROUND($F653,2)&gt;0,$A653,IF($D653="شخصی قاسم","شخصی قاسم",IF($D653="هزینه","هزینه: "&amp;IF($E653="","متفرقه",$E653),IF($C653="پاس چک","چک پرداختی",IF(OR($B653="",COUNTIF(AcctCodesA,$B653)=0),"متفرقه",$B653))))))</f>
        <v/>
      </c>
      <c r="J653">
        <f>IF($H653="","",IF(ROUND($F653,2)&gt;0,IF($D653="شخصی قاسم","شخصی قاسم",IF($D653="هزینه","هزینه: "&amp;IF($E653="","متفرقه",$E653),IF(OR($B653="",COUNTIF(AcctCodesA,$B653)=0),"متفرقه",$B653))),$A653))</f>
        <v/>
      </c>
      <c r="K653">
        <f>IF($A653="","",IF(AND($B653&lt;&gt;"",COUNTIF(AcctCodesA,$B653)=0),"کد طرف در INFO تعریف نشده",IF(AND($D653="هزینه",$E653=""),"هزینه بدون زیرگروه",IF(AND($C653="پاس چک",OR(Sync!$AJ653="",COUNTIF(IssueNosA,Sync!$AJ653)=0)),"شماره چک پاس‌شده معتبر نیست",""))))</f>
        <v/>
      </c>
      <c r="V653">
        <f>IF($K653="","",IF(ISNUMBER(Sync!$AK653),Sync!$AK653,LEFT(Sync!$AK653,4)&amp;MID(Sync!$AK653,6,2)&amp;RIGHT(Sync!$AK653,2))&amp;"|"&amp;"4"&amp;RIGHT("00000"&amp;648,5))</f>
        <v/>
      </c>
      <c r="W653">
        <f>IF($V653="",0,COUNTIFS($V$6:$V$2005,"&lt;"&amp;$V653)-COUNTIFS($V$6:$V$2005,"&lt;"&amp;$V653,$K$6:$K$2005,"")+1)</f>
        <v/>
      </c>
      <c r="X653">
        <f>IF(Sync!$AX653="","",IF(OR(N(Sync!$AY653)=0,N(Sync!$AZ653)=0),"",ROUND(N(Sync!$AY653)*N(Sync!$AZ653),0)))</f>
        <v/>
      </c>
      <c r="Y653">
        <f>IF($X653="","",IF(OR(Sync!$AX653="",COUNTIF(AcctCodesA,Sync!$AX653)=0),"متفرقه",Sync!$AX653))</f>
        <v/>
      </c>
      <c r="Z653">
        <f>IF($X653="","","سبد و ظروف")</f>
        <v/>
      </c>
      <c r="AA653">
        <f>IF($X653="","",$Y653)</f>
        <v/>
      </c>
    </row>
    <row r="654">
      <c r="A654">
        <f>IF(Sync!$Z654="","",LEFT(UPPER(TRIM(Sync!$Z654)),6))</f>
        <v/>
      </c>
      <c r="B654">
        <f>IF($A654="","",IF(Sync!$AA654="","",Sync!$AA654))</f>
        <v/>
      </c>
      <c r="C654">
        <f>IF($A654="","",IF(Sync!$AB654="","",Sync!$AB654))</f>
        <v/>
      </c>
      <c r="D654">
        <f>IF($A654="","",IF(Sync!$AC654="","",Sync!$AC654))</f>
        <v/>
      </c>
      <c r="E654">
        <f>IF($A654="","",IF(Sync!$AD654="","",Sync!$AD654))</f>
        <v/>
      </c>
      <c r="F654">
        <f>IF($A654="","",IF(Sync!$AE654="",0,Sync!$AE654))</f>
        <v/>
      </c>
      <c r="G654">
        <f>IF($A654="","",IF(Sync!$AF654="",0,Sync!$AF654))</f>
        <v/>
      </c>
      <c r="H654">
        <f>IF(OR($A654="",ROUND($F654+$G654,2)=0),"",$F654+$G654)</f>
        <v/>
      </c>
      <c r="I654">
        <f>IF($H654="","",IF(ROUND($F654,2)&gt;0,$A654,IF($D654="شخصی قاسم","شخصی قاسم",IF($D654="هزینه","هزینه: "&amp;IF($E654="","متفرقه",$E654),IF($C654="پاس چک","چک پرداختی",IF(OR($B654="",COUNTIF(AcctCodesA,$B654)=0),"متفرقه",$B654))))))</f>
        <v/>
      </c>
      <c r="J654">
        <f>IF($H654="","",IF(ROUND($F654,2)&gt;0,IF($D654="شخصی قاسم","شخصی قاسم",IF($D654="هزینه","هزینه: "&amp;IF($E654="","متفرقه",$E654),IF(OR($B654="",COUNTIF(AcctCodesA,$B654)=0),"متفرقه",$B654))),$A654))</f>
        <v/>
      </c>
      <c r="K654">
        <f>IF($A654="","",IF(AND($B654&lt;&gt;"",COUNTIF(AcctCodesA,$B654)=0),"کد طرف در INFO تعریف نشده",IF(AND($D654="هزینه",$E654=""),"هزینه بدون زیرگروه",IF(AND($C654="پاس چک",OR(Sync!$AJ654="",COUNTIF(IssueNosA,Sync!$AJ654)=0)),"شماره چک پاس‌شده معتبر نیست",""))))</f>
        <v/>
      </c>
      <c r="V654">
        <f>IF($K654="","",IF(ISNUMBER(Sync!$AK654),Sync!$AK654,LEFT(Sync!$AK654,4)&amp;MID(Sync!$AK654,6,2)&amp;RIGHT(Sync!$AK654,2))&amp;"|"&amp;"4"&amp;RIGHT("00000"&amp;649,5))</f>
        <v/>
      </c>
      <c r="W654">
        <f>IF($V654="",0,COUNTIFS($V$6:$V$2005,"&lt;"&amp;$V654)-COUNTIFS($V$6:$V$2005,"&lt;"&amp;$V654,$K$6:$K$2005,"")+1)</f>
        <v/>
      </c>
      <c r="X654">
        <f>IF(Sync!$AX654="","",IF(OR(N(Sync!$AY654)=0,N(Sync!$AZ654)=0),"",ROUND(N(Sync!$AY654)*N(Sync!$AZ654),0)))</f>
        <v/>
      </c>
      <c r="Y654">
        <f>IF($X654="","",IF(OR(Sync!$AX654="",COUNTIF(AcctCodesA,Sync!$AX654)=0),"متفرقه",Sync!$AX654))</f>
        <v/>
      </c>
      <c r="Z654">
        <f>IF($X654="","","سبد و ظروف")</f>
        <v/>
      </c>
      <c r="AA654">
        <f>IF($X654="","",$Y654)</f>
        <v/>
      </c>
    </row>
    <row r="655">
      <c r="A655">
        <f>IF(Sync!$Z655="","",LEFT(UPPER(TRIM(Sync!$Z655)),6))</f>
        <v/>
      </c>
      <c r="B655">
        <f>IF($A655="","",IF(Sync!$AA655="","",Sync!$AA655))</f>
        <v/>
      </c>
      <c r="C655">
        <f>IF($A655="","",IF(Sync!$AB655="","",Sync!$AB655))</f>
        <v/>
      </c>
      <c r="D655">
        <f>IF($A655="","",IF(Sync!$AC655="","",Sync!$AC655))</f>
        <v/>
      </c>
      <c r="E655">
        <f>IF($A655="","",IF(Sync!$AD655="","",Sync!$AD655))</f>
        <v/>
      </c>
      <c r="F655">
        <f>IF($A655="","",IF(Sync!$AE655="",0,Sync!$AE655))</f>
        <v/>
      </c>
      <c r="G655">
        <f>IF($A655="","",IF(Sync!$AF655="",0,Sync!$AF655))</f>
        <v/>
      </c>
      <c r="H655">
        <f>IF(OR($A655="",ROUND($F655+$G655,2)=0),"",$F655+$G655)</f>
        <v/>
      </c>
      <c r="I655">
        <f>IF($H655="","",IF(ROUND($F655,2)&gt;0,$A655,IF($D655="شخصی قاسم","شخصی قاسم",IF($D655="هزینه","هزینه: "&amp;IF($E655="","متفرقه",$E655),IF($C655="پاس چک","چک پرداختی",IF(OR($B655="",COUNTIF(AcctCodesA,$B655)=0),"متفرقه",$B655))))))</f>
        <v/>
      </c>
      <c r="J655">
        <f>IF($H655="","",IF(ROUND($F655,2)&gt;0,IF($D655="شخصی قاسم","شخصی قاسم",IF($D655="هزینه","هزینه: "&amp;IF($E655="","متفرقه",$E655),IF(OR($B655="",COUNTIF(AcctCodesA,$B655)=0),"متفرقه",$B655))),$A655))</f>
        <v/>
      </c>
      <c r="K655">
        <f>IF($A655="","",IF(AND($B655&lt;&gt;"",COUNTIF(AcctCodesA,$B655)=0),"کد طرف در INFO تعریف نشده",IF(AND($D655="هزینه",$E655=""),"هزینه بدون زیرگروه",IF(AND($C655="پاس چک",OR(Sync!$AJ655="",COUNTIF(IssueNosA,Sync!$AJ655)=0)),"شماره چک پاس‌شده معتبر نیست",""))))</f>
        <v/>
      </c>
      <c r="V655">
        <f>IF($K655="","",IF(ISNUMBER(Sync!$AK655),Sync!$AK655,LEFT(Sync!$AK655,4)&amp;MID(Sync!$AK655,6,2)&amp;RIGHT(Sync!$AK655,2))&amp;"|"&amp;"4"&amp;RIGHT("00000"&amp;650,5))</f>
        <v/>
      </c>
      <c r="W655">
        <f>IF($V655="",0,COUNTIFS($V$6:$V$2005,"&lt;"&amp;$V655)-COUNTIFS($V$6:$V$2005,"&lt;"&amp;$V655,$K$6:$K$2005,"")+1)</f>
        <v/>
      </c>
      <c r="X655">
        <f>IF(Sync!$AX655="","",IF(OR(N(Sync!$AY655)=0,N(Sync!$AZ655)=0),"",ROUND(N(Sync!$AY655)*N(Sync!$AZ655),0)))</f>
        <v/>
      </c>
      <c r="Y655">
        <f>IF($X655="","",IF(OR(Sync!$AX655="",COUNTIF(AcctCodesA,Sync!$AX655)=0),"متفرقه",Sync!$AX655))</f>
        <v/>
      </c>
      <c r="Z655">
        <f>IF($X655="","","سبد و ظروف")</f>
        <v/>
      </c>
      <c r="AA655">
        <f>IF($X655="","",$Y655)</f>
        <v/>
      </c>
    </row>
    <row r="656">
      <c r="A656">
        <f>IF(Sync!$Z656="","",LEFT(UPPER(TRIM(Sync!$Z656)),6))</f>
        <v/>
      </c>
      <c r="B656">
        <f>IF($A656="","",IF(Sync!$AA656="","",Sync!$AA656))</f>
        <v/>
      </c>
      <c r="C656">
        <f>IF($A656="","",IF(Sync!$AB656="","",Sync!$AB656))</f>
        <v/>
      </c>
      <c r="D656">
        <f>IF($A656="","",IF(Sync!$AC656="","",Sync!$AC656))</f>
        <v/>
      </c>
      <c r="E656">
        <f>IF($A656="","",IF(Sync!$AD656="","",Sync!$AD656))</f>
        <v/>
      </c>
      <c r="F656">
        <f>IF($A656="","",IF(Sync!$AE656="",0,Sync!$AE656))</f>
        <v/>
      </c>
      <c r="G656">
        <f>IF($A656="","",IF(Sync!$AF656="",0,Sync!$AF656))</f>
        <v/>
      </c>
      <c r="H656">
        <f>IF(OR($A656="",ROUND($F656+$G656,2)=0),"",$F656+$G656)</f>
        <v/>
      </c>
      <c r="I656">
        <f>IF($H656="","",IF(ROUND($F656,2)&gt;0,$A656,IF($D656="شخصی قاسم","شخصی قاسم",IF($D656="هزینه","هزینه: "&amp;IF($E656="","متفرقه",$E656),IF($C656="پاس چک","چک پرداختی",IF(OR($B656="",COUNTIF(AcctCodesA,$B656)=0),"متفرقه",$B656))))))</f>
        <v/>
      </c>
      <c r="J656">
        <f>IF($H656="","",IF(ROUND($F656,2)&gt;0,IF($D656="شخصی قاسم","شخصی قاسم",IF($D656="هزینه","هزینه: "&amp;IF($E656="","متفرقه",$E656),IF(OR($B656="",COUNTIF(AcctCodesA,$B656)=0),"متفرقه",$B656))),$A656))</f>
        <v/>
      </c>
      <c r="K656">
        <f>IF($A656="","",IF(AND($B656&lt;&gt;"",COUNTIF(AcctCodesA,$B656)=0),"کد طرف در INFO تعریف نشده",IF(AND($D656="هزینه",$E656=""),"هزینه بدون زیرگروه",IF(AND($C656="پاس چک",OR(Sync!$AJ656="",COUNTIF(IssueNosA,Sync!$AJ656)=0)),"شماره چک پاس‌شده معتبر نیست",""))))</f>
        <v/>
      </c>
      <c r="V656">
        <f>IF($K656="","",IF(ISNUMBER(Sync!$AK656),Sync!$AK656,LEFT(Sync!$AK656,4)&amp;MID(Sync!$AK656,6,2)&amp;RIGHT(Sync!$AK656,2))&amp;"|"&amp;"4"&amp;RIGHT("00000"&amp;651,5))</f>
        <v/>
      </c>
      <c r="W656">
        <f>IF($V656="",0,COUNTIFS($V$6:$V$2005,"&lt;"&amp;$V656)-COUNTIFS($V$6:$V$2005,"&lt;"&amp;$V656,$K$6:$K$2005,"")+1)</f>
        <v/>
      </c>
      <c r="X656">
        <f>IF(Sync!$AX656="","",IF(OR(N(Sync!$AY656)=0,N(Sync!$AZ656)=0),"",ROUND(N(Sync!$AY656)*N(Sync!$AZ656),0)))</f>
        <v/>
      </c>
      <c r="Y656">
        <f>IF($X656="","",IF(OR(Sync!$AX656="",COUNTIF(AcctCodesA,Sync!$AX656)=0),"متفرقه",Sync!$AX656))</f>
        <v/>
      </c>
      <c r="Z656">
        <f>IF($X656="","","سبد و ظروف")</f>
        <v/>
      </c>
      <c r="AA656">
        <f>IF($X656="","",$Y656)</f>
        <v/>
      </c>
    </row>
    <row r="657">
      <c r="A657">
        <f>IF(Sync!$Z657="","",LEFT(UPPER(TRIM(Sync!$Z657)),6))</f>
        <v/>
      </c>
      <c r="B657">
        <f>IF($A657="","",IF(Sync!$AA657="","",Sync!$AA657))</f>
        <v/>
      </c>
      <c r="C657">
        <f>IF($A657="","",IF(Sync!$AB657="","",Sync!$AB657))</f>
        <v/>
      </c>
      <c r="D657">
        <f>IF($A657="","",IF(Sync!$AC657="","",Sync!$AC657))</f>
        <v/>
      </c>
      <c r="E657">
        <f>IF($A657="","",IF(Sync!$AD657="","",Sync!$AD657))</f>
        <v/>
      </c>
      <c r="F657">
        <f>IF($A657="","",IF(Sync!$AE657="",0,Sync!$AE657))</f>
        <v/>
      </c>
      <c r="G657">
        <f>IF($A657="","",IF(Sync!$AF657="",0,Sync!$AF657))</f>
        <v/>
      </c>
      <c r="H657">
        <f>IF(OR($A657="",ROUND($F657+$G657,2)=0),"",$F657+$G657)</f>
        <v/>
      </c>
      <c r="I657">
        <f>IF($H657="","",IF(ROUND($F657,2)&gt;0,$A657,IF($D657="شخصی قاسم","شخصی قاسم",IF($D657="هزینه","هزینه: "&amp;IF($E657="","متفرقه",$E657),IF($C657="پاس چک","چک پرداختی",IF(OR($B657="",COUNTIF(AcctCodesA,$B657)=0),"متفرقه",$B657))))))</f>
        <v/>
      </c>
      <c r="J657">
        <f>IF($H657="","",IF(ROUND($F657,2)&gt;0,IF($D657="شخصی قاسم","شخصی قاسم",IF($D657="هزینه","هزینه: "&amp;IF($E657="","متفرقه",$E657),IF(OR($B657="",COUNTIF(AcctCodesA,$B657)=0),"متفرقه",$B657))),$A657))</f>
        <v/>
      </c>
      <c r="K657">
        <f>IF($A657="","",IF(AND($B657&lt;&gt;"",COUNTIF(AcctCodesA,$B657)=0),"کد طرف در INFO تعریف نشده",IF(AND($D657="هزینه",$E657=""),"هزینه بدون زیرگروه",IF(AND($C657="پاس چک",OR(Sync!$AJ657="",COUNTIF(IssueNosA,Sync!$AJ657)=0)),"شماره چک پاس‌شده معتبر نیست",""))))</f>
        <v/>
      </c>
      <c r="V657">
        <f>IF($K657="","",IF(ISNUMBER(Sync!$AK657),Sync!$AK657,LEFT(Sync!$AK657,4)&amp;MID(Sync!$AK657,6,2)&amp;RIGHT(Sync!$AK657,2))&amp;"|"&amp;"4"&amp;RIGHT("00000"&amp;652,5))</f>
        <v/>
      </c>
      <c r="W657">
        <f>IF($V657="",0,COUNTIFS($V$6:$V$2005,"&lt;"&amp;$V657)-COUNTIFS($V$6:$V$2005,"&lt;"&amp;$V657,$K$6:$K$2005,"")+1)</f>
        <v/>
      </c>
      <c r="X657">
        <f>IF(Sync!$AX657="","",IF(OR(N(Sync!$AY657)=0,N(Sync!$AZ657)=0),"",ROUND(N(Sync!$AY657)*N(Sync!$AZ657),0)))</f>
        <v/>
      </c>
      <c r="Y657">
        <f>IF($X657="","",IF(OR(Sync!$AX657="",COUNTIF(AcctCodesA,Sync!$AX657)=0),"متفرقه",Sync!$AX657))</f>
        <v/>
      </c>
      <c r="Z657">
        <f>IF($X657="","","سبد و ظروف")</f>
        <v/>
      </c>
      <c r="AA657">
        <f>IF($X657="","",$Y657)</f>
        <v/>
      </c>
    </row>
    <row r="658">
      <c r="A658">
        <f>IF(Sync!$Z658="","",LEFT(UPPER(TRIM(Sync!$Z658)),6))</f>
        <v/>
      </c>
      <c r="B658">
        <f>IF($A658="","",IF(Sync!$AA658="","",Sync!$AA658))</f>
        <v/>
      </c>
      <c r="C658">
        <f>IF($A658="","",IF(Sync!$AB658="","",Sync!$AB658))</f>
        <v/>
      </c>
      <c r="D658">
        <f>IF($A658="","",IF(Sync!$AC658="","",Sync!$AC658))</f>
        <v/>
      </c>
      <c r="E658">
        <f>IF($A658="","",IF(Sync!$AD658="","",Sync!$AD658))</f>
        <v/>
      </c>
      <c r="F658">
        <f>IF($A658="","",IF(Sync!$AE658="",0,Sync!$AE658))</f>
        <v/>
      </c>
      <c r="G658">
        <f>IF($A658="","",IF(Sync!$AF658="",0,Sync!$AF658))</f>
        <v/>
      </c>
      <c r="H658">
        <f>IF(OR($A658="",ROUND($F658+$G658,2)=0),"",$F658+$G658)</f>
        <v/>
      </c>
      <c r="I658">
        <f>IF($H658="","",IF(ROUND($F658,2)&gt;0,$A658,IF($D658="شخصی قاسم","شخصی قاسم",IF($D658="هزینه","هزینه: "&amp;IF($E658="","متفرقه",$E658),IF($C658="پاس چک","چک پرداختی",IF(OR($B658="",COUNTIF(AcctCodesA,$B658)=0),"متفرقه",$B658))))))</f>
        <v/>
      </c>
      <c r="J658">
        <f>IF($H658="","",IF(ROUND($F658,2)&gt;0,IF($D658="شخصی قاسم","شخصی قاسم",IF($D658="هزینه","هزینه: "&amp;IF($E658="","متفرقه",$E658),IF(OR($B658="",COUNTIF(AcctCodesA,$B658)=0),"متفرقه",$B658))),$A658))</f>
        <v/>
      </c>
      <c r="K658">
        <f>IF($A658="","",IF(AND($B658&lt;&gt;"",COUNTIF(AcctCodesA,$B658)=0),"کد طرف در INFO تعریف نشده",IF(AND($D658="هزینه",$E658=""),"هزینه بدون زیرگروه",IF(AND($C658="پاس چک",OR(Sync!$AJ658="",COUNTIF(IssueNosA,Sync!$AJ658)=0)),"شماره چک پاس‌شده معتبر نیست",""))))</f>
        <v/>
      </c>
      <c r="V658">
        <f>IF($K658="","",IF(ISNUMBER(Sync!$AK658),Sync!$AK658,LEFT(Sync!$AK658,4)&amp;MID(Sync!$AK658,6,2)&amp;RIGHT(Sync!$AK658,2))&amp;"|"&amp;"4"&amp;RIGHT("00000"&amp;653,5))</f>
        <v/>
      </c>
      <c r="W658">
        <f>IF($V658="",0,COUNTIFS($V$6:$V$2005,"&lt;"&amp;$V658)-COUNTIFS($V$6:$V$2005,"&lt;"&amp;$V658,$K$6:$K$2005,"")+1)</f>
        <v/>
      </c>
      <c r="X658">
        <f>IF(Sync!$AX658="","",IF(OR(N(Sync!$AY658)=0,N(Sync!$AZ658)=0),"",ROUND(N(Sync!$AY658)*N(Sync!$AZ658),0)))</f>
        <v/>
      </c>
      <c r="Y658">
        <f>IF($X658="","",IF(OR(Sync!$AX658="",COUNTIF(AcctCodesA,Sync!$AX658)=0),"متفرقه",Sync!$AX658))</f>
        <v/>
      </c>
      <c r="Z658">
        <f>IF($X658="","","سبد و ظروف")</f>
        <v/>
      </c>
      <c r="AA658">
        <f>IF($X658="","",$Y658)</f>
        <v/>
      </c>
    </row>
    <row r="659">
      <c r="A659">
        <f>IF(Sync!$Z659="","",LEFT(UPPER(TRIM(Sync!$Z659)),6))</f>
        <v/>
      </c>
      <c r="B659">
        <f>IF($A659="","",IF(Sync!$AA659="","",Sync!$AA659))</f>
        <v/>
      </c>
      <c r="C659">
        <f>IF($A659="","",IF(Sync!$AB659="","",Sync!$AB659))</f>
        <v/>
      </c>
      <c r="D659">
        <f>IF($A659="","",IF(Sync!$AC659="","",Sync!$AC659))</f>
        <v/>
      </c>
      <c r="E659">
        <f>IF($A659="","",IF(Sync!$AD659="","",Sync!$AD659))</f>
        <v/>
      </c>
      <c r="F659">
        <f>IF($A659="","",IF(Sync!$AE659="",0,Sync!$AE659))</f>
        <v/>
      </c>
      <c r="G659">
        <f>IF($A659="","",IF(Sync!$AF659="",0,Sync!$AF659))</f>
        <v/>
      </c>
      <c r="H659">
        <f>IF(OR($A659="",ROUND($F659+$G659,2)=0),"",$F659+$G659)</f>
        <v/>
      </c>
      <c r="I659">
        <f>IF($H659="","",IF(ROUND($F659,2)&gt;0,$A659,IF($D659="شخصی قاسم","شخصی قاسم",IF($D659="هزینه","هزینه: "&amp;IF($E659="","متفرقه",$E659),IF($C659="پاس چک","چک پرداختی",IF(OR($B659="",COUNTIF(AcctCodesA,$B659)=0),"متفرقه",$B659))))))</f>
        <v/>
      </c>
      <c r="J659">
        <f>IF($H659="","",IF(ROUND($F659,2)&gt;0,IF($D659="شخصی قاسم","شخصی قاسم",IF($D659="هزینه","هزینه: "&amp;IF($E659="","متفرقه",$E659),IF(OR($B659="",COUNTIF(AcctCodesA,$B659)=0),"متفرقه",$B659))),$A659))</f>
        <v/>
      </c>
      <c r="K659">
        <f>IF($A659="","",IF(AND($B659&lt;&gt;"",COUNTIF(AcctCodesA,$B659)=0),"کد طرف در INFO تعریف نشده",IF(AND($D659="هزینه",$E659=""),"هزینه بدون زیرگروه",IF(AND($C659="پاس چک",OR(Sync!$AJ659="",COUNTIF(IssueNosA,Sync!$AJ659)=0)),"شماره چک پاس‌شده معتبر نیست",""))))</f>
        <v/>
      </c>
      <c r="V659">
        <f>IF($K659="","",IF(ISNUMBER(Sync!$AK659),Sync!$AK659,LEFT(Sync!$AK659,4)&amp;MID(Sync!$AK659,6,2)&amp;RIGHT(Sync!$AK659,2))&amp;"|"&amp;"4"&amp;RIGHT("00000"&amp;654,5))</f>
        <v/>
      </c>
      <c r="W659">
        <f>IF($V659="",0,COUNTIFS($V$6:$V$2005,"&lt;"&amp;$V659)-COUNTIFS($V$6:$V$2005,"&lt;"&amp;$V659,$K$6:$K$2005,"")+1)</f>
        <v/>
      </c>
      <c r="X659">
        <f>IF(Sync!$AX659="","",IF(OR(N(Sync!$AY659)=0,N(Sync!$AZ659)=0),"",ROUND(N(Sync!$AY659)*N(Sync!$AZ659),0)))</f>
        <v/>
      </c>
      <c r="Y659">
        <f>IF($X659="","",IF(OR(Sync!$AX659="",COUNTIF(AcctCodesA,Sync!$AX659)=0),"متفرقه",Sync!$AX659))</f>
        <v/>
      </c>
      <c r="Z659">
        <f>IF($X659="","","سبد و ظروف")</f>
        <v/>
      </c>
      <c r="AA659">
        <f>IF($X659="","",$Y659)</f>
        <v/>
      </c>
    </row>
    <row r="660">
      <c r="A660">
        <f>IF(Sync!$Z660="","",LEFT(UPPER(TRIM(Sync!$Z660)),6))</f>
        <v/>
      </c>
      <c r="B660">
        <f>IF($A660="","",IF(Sync!$AA660="","",Sync!$AA660))</f>
        <v/>
      </c>
      <c r="C660">
        <f>IF($A660="","",IF(Sync!$AB660="","",Sync!$AB660))</f>
        <v/>
      </c>
      <c r="D660">
        <f>IF($A660="","",IF(Sync!$AC660="","",Sync!$AC660))</f>
        <v/>
      </c>
      <c r="E660">
        <f>IF($A660="","",IF(Sync!$AD660="","",Sync!$AD660))</f>
        <v/>
      </c>
      <c r="F660">
        <f>IF($A660="","",IF(Sync!$AE660="",0,Sync!$AE660))</f>
        <v/>
      </c>
      <c r="G660">
        <f>IF($A660="","",IF(Sync!$AF660="",0,Sync!$AF660))</f>
        <v/>
      </c>
      <c r="H660">
        <f>IF(OR($A660="",ROUND($F660+$G660,2)=0),"",$F660+$G660)</f>
        <v/>
      </c>
      <c r="I660">
        <f>IF($H660="","",IF(ROUND($F660,2)&gt;0,$A660,IF($D660="شخصی قاسم","شخصی قاسم",IF($D660="هزینه","هزینه: "&amp;IF($E660="","متفرقه",$E660),IF($C660="پاس چک","چک پرداختی",IF(OR($B660="",COUNTIF(AcctCodesA,$B660)=0),"متفرقه",$B660))))))</f>
        <v/>
      </c>
      <c r="J660">
        <f>IF($H660="","",IF(ROUND($F660,2)&gt;0,IF($D660="شخصی قاسم","شخصی قاسم",IF($D660="هزینه","هزینه: "&amp;IF($E660="","متفرقه",$E660),IF(OR($B660="",COUNTIF(AcctCodesA,$B660)=0),"متفرقه",$B660))),$A660))</f>
        <v/>
      </c>
      <c r="K660">
        <f>IF($A660="","",IF(AND($B660&lt;&gt;"",COUNTIF(AcctCodesA,$B660)=0),"کد طرف در INFO تعریف نشده",IF(AND($D660="هزینه",$E660=""),"هزینه بدون زیرگروه",IF(AND($C660="پاس چک",OR(Sync!$AJ660="",COUNTIF(IssueNosA,Sync!$AJ660)=0)),"شماره چک پاس‌شده معتبر نیست",""))))</f>
        <v/>
      </c>
      <c r="V660">
        <f>IF($K660="","",IF(ISNUMBER(Sync!$AK660),Sync!$AK660,LEFT(Sync!$AK660,4)&amp;MID(Sync!$AK660,6,2)&amp;RIGHT(Sync!$AK660,2))&amp;"|"&amp;"4"&amp;RIGHT("00000"&amp;655,5))</f>
        <v/>
      </c>
      <c r="W660">
        <f>IF($V660="",0,COUNTIFS($V$6:$V$2005,"&lt;"&amp;$V660)-COUNTIFS($V$6:$V$2005,"&lt;"&amp;$V660,$K$6:$K$2005,"")+1)</f>
        <v/>
      </c>
      <c r="X660">
        <f>IF(Sync!$AX660="","",IF(OR(N(Sync!$AY660)=0,N(Sync!$AZ660)=0),"",ROUND(N(Sync!$AY660)*N(Sync!$AZ660),0)))</f>
        <v/>
      </c>
      <c r="Y660">
        <f>IF($X660="","",IF(OR(Sync!$AX660="",COUNTIF(AcctCodesA,Sync!$AX660)=0),"متفرقه",Sync!$AX660))</f>
        <v/>
      </c>
      <c r="Z660">
        <f>IF($X660="","","سبد و ظروف")</f>
        <v/>
      </c>
      <c r="AA660">
        <f>IF($X660="","",$Y660)</f>
        <v/>
      </c>
    </row>
    <row r="661">
      <c r="A661">
        <f>IF(Sync!$Z661="","",LEFT(UPPER(TRIM(Sync!$Z661)),6))</f>
        <v/>
      </c>
      <c r="B661">
        <f>IF($A661="","",IF(Sync!$AA661="","",Sync!$AA661))</f>
        <v/>
      </c>
      <c r="C661">
        <f>IF($A661="","",IF(Sync!$AB661="","",Sync!$AB661))</f>
        <v/>
      </c>
      <c r="D661">
        <f>IF($A661="","",IF(Sync!$AC661="","",Sync!$AC661))</f>
        <v/>
      </c>
      <c r="E661">
        <f>IF($A661="","",IF(Sync!$AD661="","",Sync!$AD661))</f>
        <v/>
      </c>
      <c r="F661">
        <f>IF($A661="","",IF(Sync!$AE661="",0,Sync!$AE661))</f>
        <v/>
      </c>
      <c r="G661">
        <f>IF($A661="","",IF(Sync!$AF661="",0,Sync!$AF661))</f>
        <v/>
      </c>
      <c r="H661">
        <f>IF(OR($A661="",ROUND($F661+$G661,2)=0),"",$F661+$G661)</f>
        <v/>
      </c>
      <c r="I661">
        <f>IF($H661="","",IF(ROUND($F661,2)&gt;0,$A661,IF($D661="شخصی قاسم","شخصی قاسم",IF($D661="هزینه","هزینه: "&amp;IF($E661="","متفرقه",$E661),IF($C661="پاس چک","چک پرداختی",IF(OR($B661="",COUNTIF(AcctCodesA,$B661)=0),"متفرقه",$B661))))))</f>
        <v/>
      </c>
      <c r="J661">
        <f>IF($H661="","",IF(ROUND($F661,2)&gt;0,IF($D661="شخصی قاسم","شخصی قاسم",IF($D661="هزینه","هزینه: "&amp;IF($E661="","متفرقه",$E661),IF(OR($B661="",COUNTIF(AcctCodesA,$B661)=0),"متفرقه",$B661))),$A661))</f>
        <v/>
      </c>
      <c r="K661">
        <f>IF($A661="","",IF(AND($B661&lt;&gt;"",COUNTIF(AcctCodesA,$B661)=0),"کد طرف در INFO تعریف نشده",IF(AND($D661="هزینه",$E661=""),"هزینه بدون زیرگروه",IF(AND($C661="پاس چک",OR(Sync!$AJ661="",COUNTIF(IssueNosA,Sync!$AJ661)=0)),"شماره چک پاس‌شده معتبر نیست",""))))</f>
        <v/>
      </c>
      <c r="V661">
        <f>IF($K661="","",IF(ISNUMBER(Sync!$AK661),Sync!$AK661,LEFT(Sync!$AK661,4)&amp;MID(Sync!$AK661,6,2)&amp;RIGHT(Sync!$AK661,2))&amp;"|"&amp;"4"&amp;RIGHT("00000"&amp;656,5))</f>
        <v/>
      </c>
      <c r="W661">
        <f>IF($V661="",0,COUNTIFS($V$6:$V$2005,"&lt;"&amp;$V661)-COUNTIFS($V$6:$V$2005,"&lt;"&amp;$V661,$K$6:$K$2005,"")+1)</f>
        <v/>
      </c>
      <c r="X661">
        <f>IF(Sync!$AX661="","",IF(OR(N(Sync!$AY661)=0,N(Sync!$AZ661)=0),"",ROUND(N(Sync!$AY661)*N(Sync!$AZ661),0)))</f>
        <v/>
      </c>
      <c r="Y661">
        <f>IF($X661="","",IF(OR(Sync!$AX661="",COUNTIF(AcctCodesA,Sync!$AX661)=0),"متفرقه",Sync!$AX661))</f>
        <v/>
      </c>
      <c r="Z661">
        <f>IF($X661="","","سبد و ظروف")</f>
        <v/>
      </c>
      <c r="AA661">
        <f>IF($X661="","",$Y661)</f>
        <v/>
      </c>
    </row>
    <row r="662">
      <c r="A662">
        <f>IF(Sync!$Z662="","",LEFT(UPPER(TRIM(Sync!$Z662)),6))</f>
        <v/>
      </c>
      <c r="B662">
        <f>IF($A662="","",IF(Sync!$AA662="","",Sync!$AA662))</f>
        <v/>
      </c>
      <c r="C662">
        <f>IF($A662="","",IF(Sync!$AB662="","",Sync!$AB662))</f>
        <v/>
      </c>
      <c r="D662">
        <f>IF($A662="","",IF(Sync!$AC662="","",Sync!$AC662))</f>
        <v/>
      </c>
      <c r="E662">
        <f>IF($A662="","",IF(Sync!$AD662="","",Sync!$AD662))</f>
        <v/>
      </c>
      <c r="F662">
        <f>IF($A662="","",IF(Sync!$AE662="",0,Sync!$AE662))</f>
        <v/>
      </c>
      <c r="G662">
        <f>IF($A662="","",IF(Sync!$AF662="",0,Sync!$AF662))</f>
        <v/>
      </c>
      <c r="H662">
        <f>IF(OR($A662="",ROUND($F662+$G662,2)=0),"",$F662+$G662)</f>
        <v/>
      </c>
      <c r="I662">
        <f>IF($H662="","",IF(ROUND($F662,2)&gt;0,$A662,IF($D662="شخصی قاسم","شخصی قاسم",IF($D662="هزینه","هزینه: "&amp;IF($E662="","متفرقه",$E662),IF($C662="پاس چک","چک پرداختی",IF(OR($B662="",COUNTIF(AcctCodesA,$B662)=0),"متفرقه",$B662))))))</f>
        <v/>
      </c>
      <c r="J662">
        <f>IF($H662="","",IF(ROUND($F662,2)&gt;0,IF($D662="شخصی قاسم","شخصی قاسم",IF($D662="هزینه","هزینه: "&amp;IF($E662="","متفرقه",$E662),IF(OR($B662="",COUNTIF(AcctCodesA,$B662)=0),"متفرقه",$B662))),$A662))</f>
        <v/>
      </c>
      <c r="K662">
        <f>IF($A662="","",IF(AND($B662&lt;&gt;"",COUNTIF(AcctCodesA,$B662)=0),"کد طرف در INFO تعریف نشده",IF(AND($D662="هزینه",$E662=""),"هزینه بدون زیرگروه",IF(AND($C662="پاس چک",OR(Sync!$AJ662="",COUNTIF(IssueNosA,Sync!$AJ662)=0)),"شماره چک پاس‌شده معتبر نیست",""))))</f>
        <v/>
      </c>
      <c r="V662">
        <f>IF($K662="","",IF(ISNUMBER(Sync!$AK662),Sync!$AK662,LEFT(Sync!$AK662,4)&amp;MID(Sync!$AK662,6,2)&amp;RIGHT(Sync!$AK662,2))&amp;"|"&amp;"4"&amp;RIGHT("00000"&amp;657,5))</f>
        <v/>
      </c>
      <c r="W662">
        <f>IF($V662="",0,COUNTIFS($V$6:$V$2005,"&lt;"&amp;$V662)-COUNTIFS($V$6:$V$2005,"&lt;"&amp;$V662,$K$6:$K$2005,"")+1)</f>
        <v/>
      </c>
      <c r="X662">
        <f>IF(Sync!$AX662="","",IF(OR(N(Sync!$AY662)=0,N(Sync!$AZ662)=0),"",ROUND(N(Sync!$AY662)*N(Sync!$AZ662),0)))</f>
        <v/>
      </c>
      <c r="Y662">
        <f>IF($X662="","",IF(OR(Sync!$AX662="",COUNTIF(AcctCodesA,Sync!$AX662)=0),"متفرقه",Sync!$AX662))</f>
        <v/>
      </c>
      <c r="Z662">
        <f>IF($X662="","","سبد و ظروف")</f>
        <v/>
      </c>
      <c r="AA662">
        <f>IF($X662="","",$Y662)</f>
        <v/>
      </c>
    </row>
    <row r="663">
      <c r="A663">
        <f>IF(Sync!$Z663="","",LEFT(UPPER(TRIM(Sync!$Z663)),6))</f>
        <v/>
      </c>
      <c r="B663">
        <f>IF($A663="","",IF(Sync!$AA663="","",Sync!$AA663))</f>
        <v/>
      </c>
      <c r="C663">
        <f>IF($A663="","",IF(Sync!$AB663="","",Sync!$AB663))</f>
        <v/>
      </c>
      <c r="D663">
        <f>IF($A663="","",IF(Sync!$AC663="","",Sync!$AC663))</f>
        <v/>
      </c>
      <c r="E663">
        <f>IF($A663="","",IF(Sync!$AD663="","",Sync!$AD663))</f>
        <v/>
      </c>
      <c r="F663">
        <f>IF($A663="","",IF(Sync!$AE663="",0,Sync!$AE663))</f>
        <v/>
      </c>
      <c r="G663">
        <f>IF($A663="","",IF(Sync!$AF663="",0,Sync!$AF663))</f>
        <v/>
      </c>
      <c r="H663">
        <f>IF(OR($A663="",ROUND($F663+$G663,2)=0),"",$F663+$G663)</f>
        <v/>
      </c>
      <c r="I663">
        <f>IF($H663="","",IF(ROUND($F663,2)&gt;0,$A663,IF($D663="شخصی قاسم","شخصی قاسم",IF($D663="هزینه","هزینه: "&amp;IF($E663="","متفرقه",$E663),IF($C663="پاس چک","چک پرداختی",IF(OR($B663="",COUNTIF(AcctCodesA,$B663)=0),"متفرقه",$B663))))))</f>
        <v/>
      </c>
      <c r="J663">
        <f>IF($H663="","",IF(ROUND($F663,2)&gt;0,IF($D663="شخصی قاسم","شخصی قاسم",IF($D663="هزینه","هزینه: "&amp;IF($E663="","متفرقه",$E663),IF(OR($B663="",COUNTIF(AcctCodesA,$B663)=0),"متفرقه",$B663))),$A663))</f>
        <v/>
      </c>
      <c r="K663">
        <f>IF($A663="","",IF(AND($B663&lt;&gt;"",COUNTIF(AcctCodesA,$B663)=0),"کد طرف در INFO تعریف نشده",IF(AND($D663="هزینه",$E663=""),"هزینه بدون زیرگروه",IF(AND($C663="پاس چک",OR(Sync!$AJ663="",COUNTIF(IssueNosA,Sync!$AJ663)=0)),"شماره چک پاس‌شده معتبر نیست",""))))</f>
        <v/>
      </c>
      <c r="V663">
        <f>IF($K663="","",IF(ISNUMBER(Sync!$AK663),Sync!$AK663,LEFT(Sync!$AK663,4)&amp;MID(Sync!$AK663,6,2)&amp;RIGHT(Sync!$AK663,2))&amp;"|"&amp;"4"&amp;RIGHT("00000"&amp;658,5))</f>
        <v/>
      </c>
      <c r="W663">
        <f>IF($V663="",0,COUNTIFS($V$6:$V$2005,"&lt;"&amp;$V663)-COUNTIFS($V$6:$V$2005,"&lt;"&amp;$V663,$K$6:$K$2005,"")+1)</f>
        <v/>
      </c>
      <c r="X663">
        <f>IF(Sync!$AX663="","",IF(OR(N(Sync!$AY663)=0,N(Sync!$AZ663)=0),"",ROUND(N(Sync!$AY663)*N(Sync!$AZ663),0)))</f>
        <v/>
      </c>
      <c r="Y663">
        <f>IF($X663="","",IF(OR(Sync!$AX663="",COUNTIF(AcctCodesA,Sync!$AX663)=0),"متفرقه",Sync!$AX663))</f>
        <v/>
      </c>
      <c r="Z663">
        <f>IF($X663="","","سبد و ظروف")</f>
        <v/>
      </c>
      <c r="AA663">
        <f>IF($X663="","",$Y663)</f>
        <v/>
      </c>
    </row>
    <row r="664">
      <c r="A664">
        <f>IF(Sync!$Z664="","",LEFT(UPPER(TRIM(Sync!$Z664)),6))</f>
        <v/>
      </c>
      <c r="B664">
        <f>IF($A664="","",IF(Sync!$AA664="","",Sync!$AA664))</f>
        <v/>
      </c>
      <c r="C664">
        <f>IF($A664="","",IF(Sync!$AB664="","",Sync!$AB664))</f>
        <v/>
      </c>
      <c r="D664">
        <f>IF($A664="","",IF(Sync!$AC664="","",Sync!$AC664))</f>
        <v/>
      </c>
      <c r="E664">
        <f>IF($A664="","",IF(Sync!$AD664="","",Sync!$AD664))</f>
        <v/>
      </c>
      <c r="F664">
        <f>IF($A664="","",IF(Sync!$AE664="",0,Sync!$AE664))</f>
        <v/>
      </c>
      <c r="G664">
        <f>IF($A664="","",IF(Sync!$AF664="",0,Sync!$AF664))</f>
        <v/>
      </c>
      <c r="H664">
        <f>IF(OR($A664="",ROUND($F664+$G664,2)=0),"",$F664+$G664)</f>
        <v/>
      </c>
      <c r="I664">
        <f>IF($H664="","",IF(ROUND($F664,2)&gt;0,$A664,IF($D664="شخصی قاسم","شخصی قاسم",IF($D664="هزینه","هزینه: "&amp;IF($E664="","متفرقه",$E664),IF($C664="پاس چک","چک پرداختی",IF(OR($B664="",COUNTIF(AcctCodesA,$B664)=0),"متفرقه",$B664))))))</f>
        <v/>
      </c>
      <c r="J664">
        <f>IF($H664="","",IF(ROUND($F664,2)&gt;0,IF($D664="شخصی قاسم","شخصی قاسم",IF($D664="هزینه","هزینه: "&amp;IF($E664="","متفرقه",$E664),IF(OR($B664="",COUNTIF(AcctCodesA,$B664)=0),"متفرقه",$B664))),$A664))</f>
        <v/>
      </c>
      <c r="K664">
        <f>IF($A664="","",IF(AND($B664&lt;&gt;"",COUNTIF(AcctCodesA,$B664)=0),"کد طرف در INFO تعریف نشده",IF(AND($D664="هزینه",$E664=""),"هزینه بدون زیرگروه",IF(AND($C664="پاس چک",OR(Sync!$AJ664="",COUNTIF(IssueNosA,Sync!$AJ664)=0)),"شماره چک پاس‌شده معتبر نیست",""))))</f>
        <v/>
      </c>
      <c r="V664">
        <f>IF($K664="","",IF(ISNUMBER(Sync!$AK664),Sync!$AK664,LEFT(Sync!$AK664,4)&amp;MID(Sync!$AK664,6,2)&amp;RIGHT(Sync!$AK664,2))&amp;"|"&amp;"4"&amp;RIGHT("00000"&amp;659,5))</f>
        <v/>
      </c>
      <c r="W664">
        <f>IF($V664="",0,COUNTIFS($V$6:$V$2005,"&lt;"&amp;$V664)-COUNTIFS($V$6:$V$2005,"&lt;"&amp;$V664,$K$6:$K$2005,"")+1)</f>
        <v/>
      </c>
      <c r="X664">
        <f>IF(Sync!$AX664="","",IF(OR(N(Sync!$AY664)=0,N(Sync!$AZ664)=0),"",ROUND(N(Sync!$AY664)*N(Sync!$AZ664),0)))</f>
        <v/>
      </c>
      <c r="Y664">
        <f>IF($X664="","",IF(OR(Sync!$AX664="",COUNTIF(AcctCodesA,Sync!$AX664)=0),"متفرقه",Sync!$AX664))</f>
        <v/>
      </c>
      <c r="Z664">
        <f>IF($X664="","","سبد و ظروف")</f>
        <v/>
      </c>
      <c r="AA664">
        <f>IF($X664="","",$Y664)</f>
        <v/>
      </c>
    </row>
    <row r="665">
      <c r="A665">
        <f>IF(Sync!$Z665="","",LEFT(UPPER(TRIM(Sync!$Z665)),6))</f>
        <v/>
      </c>
      <c r="B665">
        <f>IF($A665="","",IF(Sync!$AA665="","",Sync!$AA665))</f>
        <v/>
      </c>
      <c r="C665">
        <f>IF($A665="","",IF(Sync!$AB665="","",Sync!$AB665))</f>
        <v/>
      </c>
      <c r="D665">
        <f>IF($A665="","",IF(Sync!$AC665="","",Sync!$AC665))</f>
        <v/>
      </c>
      <c r="E665">
        <f>IF($A665="","",IF(Sync!$AD665="","",Sync!$AD665))</f>
        <v/>
      </c>
      <c r="F665">
        <f>IF($A665="","",IF(Sync!$AE665="",0,Sync!$AE665))</f>
        <v/>
      </c>
      <c r="G665">
        <f>IF($A665="","",IF(Sync!$AF665="",0,Sync!$AF665))</f>
        <v/>
      </c>
      <c r="H665">
        <f>IF(OR($A665="",ROUND($F665+$G665,2)=0),"",$F665+$G665)</f>
        <v/>
      </c>
      <c r="I665">
        <f>IF($H665="","",IF(ROUND($F665,2)&gt;0,$A665,IF($D665="شخصی قاسم","شخصی قاسم",IF($D665="هزینه","هزینه: "&amp;IF($E665="","متفرقه",$E665),IF($C665="پاس چک","چک پرداختی",IF(OR($B665="",COUNTIF(AcctCodesA,$B665)=0),"متفرقه",$B665))))))</f>
        <v/>
      </c>
      <c r="J665">
        <f>IF($H665="","",IF(ROUND($F665,2)&gt;0,IF($D665="شخصی قاسم","شخصی قاسم",IF($D665="هزینه","هزینه: "&amp;IF($E665="","متفرقه",$E665),IF(OR($B665="",COUNTIF(AcctCodesA,$B665)=0),"متفرقه",$B665))),$A665))</f>
        <v/>
      </c>
      <c r="K665">
        <f>IF($A665="","",IF(AND($B665&lt;&gt;"",COUNTIF(AcctCodesA,$B665)=0),"کد طرف در INFO تعریف نشده",IF(AND($D665="هزینه",$E665=""),"هزینه بدون زیرگروه",IF(AND($C665="پاس چک",OR(Sync!$AJ665="",COUNTIF(IssueNosA,Sync!$AJ665)=0)),"شماره چک پاس‌شده معتبر نیست",""))))</f>
        <v/>
      </c>
      <c r="V665">
        <f>IF($K665="","",IF(ISNUMBER(Sync!$AK665),Sync!$AK665,LEFT(Sync!$AK665,4)&amp;MID(Sync!$AK665,6,2)&amp;RIGHT(Sync!$AK665,2))&amp;"|"&amp;"4"&amp;RIGHT("00000"&amp;660,5))</f>
        <v/>
      </c>
      <c r="W665">
        <f>IF($V665="",0,COUNTIFS($V$6:$V$2005,"&lt;"&amp;$V665)-COUNTIFS($V$6:$V$2005,"&lt;"&amp;$V665,$K$6:$K$2005,"")+1)</f>
        <v/>
      </c>
      <c r="X665">
        <f>IF(Sync!$AX665="","",IF(OR(N(Sync!$AY665)=0,N(Sync!$AZ665)=0),"",ROUND(N(Sync!$AY665)*N(Sync!$AZ665),0)))</f>
        <v/>
      </c>
      <c r="Y665">
        <f>IF($X665="","",IF(OR(Sync!$AX665="",COUNTIF(AcctCodesA,Sync!$AX665)=0),"متفرقه",Sync!$AX665))</f>
        <v/>
      </c>
      <c r="Z665">
        <f>IF($X665="","","سبد و ظروف")</f>
        <v/>
      </c>
      <c r="AA665">
        <f>IF($X665="","",$Y665)</f>
        <v/>
      </c>
    </row>
    <row r="666">
      <c r="A666">
        <f>IF(Sync!$Z666="","",LEFT(UPPER(TRIM(Sync!$Z666)),6))</f>
        <v/>
      </c>
      <c r="B666">
        <f>IF($A666="","",IF(Sync!$AA666="","",Sync!$AA666))</f>
        <v/>
      </c>
      <c r="C666">
        <f>IF($A666="","",IF(Sync!$AB666="","",Sync!$AB666))</f>
        <v/>
      </c>
      <c r="D666">
        <f>IF($A666="","",IF(Sync!$AC666="","",Sync!$AC666))</f>
        <v/>
      </c>
      <c r="E666">
        <f>IF($A666="","",IF(Sync!$AD666="","",Sync!$AD666))</f>
        <v/>
      </c>
      <c r="F666">
        <f>IF($A666="","",IF(Sync!$AE666="",0,Sync!$AE666))</f>
        <v/>
      </c>
      <c r="G666">
        <f>IF($A666="","",IF(Sync!$AF666="",0,Sync!$AF666))</f>
        <v/>
      </c>
      <c r="H666">
        <f>IF(OR($A666="",ROUND($F666+$G666,2)=0),"",$F666+$G666)</f>
        <v/>
      </c>
      <c r="I666">
        <f>IF($H666="","",IF(ROUND($F666,2)&gt;0,$A666,IF($D666="شخصی قاسم","شخصی قاسم",IF($D666="هزینه","هزینه: "&amp;IF($E666="","متفرقه",$E666),IF($C666="پاس چک","چک پرداختی",IF(OR($B666="",COUNTIF(AcctCodesA,$B666)=0),"متفرقه",$B666))))))</f>
        <v/>
      </c>
      <c r="J666">
        <f>IF($H666="","",IF(ROUND($F666,2)&gt;0,IF($D666="شخصی قاسم","شخصی قاسم",IF($D666="هزینه","هزینه: "&amp;IF($E666="","متفرقه",$E666),IF(OR($B666="",COUNTIF(AcctCodesA,$B666)=0),"متفرقه",$B666))),$A666))</f>
        <v/>
      </c>
      <c r="K666">
        <f>IF($A666="","",IF(AND($B666&lt;&gt;"",COUNTIF(AcctCodesA,$B666)=0),"کد طرف در INFO تعریف نشده",IF(AND($D666="هزینه",$E666=""),"هزینه بدون زیرگروه",IF(AND($C666="پاس چک",OR(Sync!$AJ666="",COUNTIF(IssueNosA,Sync!$AJ666)=0)),"شماره چک پاس‌شده معتبر نیست",""))))</f>
        <v/>
      </c>
      <c r="V666">
        <f>IF($K666="","",IF(ISNUMBER(Sync!$AK666),Sync!$AK666,LEFT(Sync!$AK666,4)&amp;MID(Sync!$AK666,6,2)&amp;RIGHT(Sync!$AK666,2))&amp;"|"&amp;"4"&amp;RIGHT("00000"&amp;661,5))</f>
        <v/>
      </c>
      <c r="W666">
        <f>IF($V666="",0,COUNTIFS($V$6:$V$2005,"&lt;"&amp;$V666)-COUNTIFS($V$6:$V$2005,"&lt;"&amp;$V666,$K$6:$K$2005,"")+1)</f>
        <v/>
      </c>
      <c r="X666">
        <f>IF(Sync!$AX666="","",IF(OR(N(Sync!$AY666)=0,N(Sync!$AZ666)=0),"",ROUND(N(Sync!$AY666)*N(Sync!$AZ666),0)))</f>
        <v/>
      </c>
      <c r="Y666">
        <f>IF($X666="","",IF(OR(Sync!$AX666="",COUNTIF(AcctCodesA,Sync!$AX666)=0),"متفرقه",Sync!$AX666))</f>
        <v/>
      </c>
      <c r="Z666">
        <f>IF($X666="","","سبد و ظروف")</f>
        <v/>
      </c>
      <c r="AA666">
        <f>IF($X666="","",$Y666)</f>
        <v/>
      </c>
    </row>
    <row r="667">
      <c r="A667">
        <f>IF(Sync!$Z667="","",LEFT(UPPER(TRIM(Sync!$Z667)),6))</f>
        <v/>
      </c>
      <c r="B667">
        <f>IF($A667="","",IF(Sync!$AA667="","",Sync!$AA667))</f>
        <v/>
      </c>
      <c r="C667">
        <f>IF($A667="","",IF(Sync!$AB667="","",Sync!$AB667))</f>
        <v/>
      </c>
      <c r="D667">
        <f>IF($A667="","",IF(Sync!$AC667="","",Sync!$AC667))</f>
        <v/>
      </c>
      <c r="E667">
        <f>IF($A667="","",IF(Sync!$AD667="","",Sync!$AD667))</f>
        <v/>
      </c>
      <c r="F667">
        <f>IF($A667="","",IF(Sync!$AE667="",0,Sync!$AE667))</f>
        <v/>
      </c>
      <c r="G667">
        <f>IF($A667="","",IF(Sync!$AF667="",0,Sync!$AF667))</f>
        <v/>
      </c>
      <c r="H667">
        <f>IF(OR($A667="",ROUND($F667+$G667,2)=0),"",$F667+$G667)</f>
        <v/>
      </c>
      <c r="I667">
        <f>IF($H667="","",IF(ROUND($F667,2)&gt;0,$A667,IF($D667="شخصی قاسم","شخصی قاسم",IF($D667="هزینه","هزینه: "&amp;IF($E667="","متفرقه",$E667),IF($C667="پاس چک","چک پرداختی",IF(OR($B667="",COUNTIF(AcctCodesA,$B667)=0),"متفرقه",$B667))))))</f>
        <v/>
      </c>
      <c r="J667">
        <f>IF($H667="","",IF(ROUND($F667,2)&gt;0,IF($D667="شخصی قاسم","شخصی قاسم",IF($D667="هزینه","هزینه: "&amp;IF($E667="","متفرقه",$E667),IF(OR($B667="",COUNTIF(AcctCodesA,$B667)=0),"متفرقه",$B667))),$A667))</f>
        <v/>
      </c>
      <c r="K667">
        <f>IF($A667="","",IF(AND($B667&lt;&gt;"",COUNTIF(AcctCodesA,$B667)=0),"کد طرف در INFO تعریف نشده",IF(AND($D667="هزینه",$E667=""),"هزینه بدون زیرگروه",IF(AND($C667="پاس چک",OR(Sync!$AJ667="",COUNTIF(IssueNosA,Sync!$AJ667)=0)),"شماره چک پاس‌شده معتبر نیست",""))))</f>
        <v/>
      </c>
      <c r="V667">
        <f>IF($K667="","",IF(ISNUMBER(Sync!$AK667),Sync!$AK667,LEFT(Sync!$AK667,4)&amp;MID(Sync!$AK667,6,2)&amp;RIGHT(Sync!$AK667,2))&amp;"|"&amp;"4"&amp;RIGHT("00000"&amp;662,5))</f>
        <v/>
      </c>
      <c r="W667">
        <f>IF($V667="",0,COUNTIFS($V$6:$V$2005,"&lt;"&amp;$V667)-COUNTIFS($V$6:$V$2005,"&lt;"&amp;$V667,$K$6:$K$2005,"")+1)</f>
        <v/>
      </c>
      <c r="X667">
        <f>IF(Sync!$AX667="","",IF(OR(N(Sync!$AY667)=0,N(Sync!$AZ667)=0),"",ROUND(N(Sync!$AY667)*N(Sync!$AZ667),0)))</f>
        <v/>
      </c>
      <c r="Y667">
        <f>IF($X667="","",IF(OR(Sync!$AX667="",COUNTIF(AcctCodesA,Sync!$AX667)=0),"متفرقه",Sync!$AX667))</f>
        <v/>
      </c>
      <c r="Z667">
        <f>IF($X667="","","سبد و ظروف")</f>
        <v/>
      </c>
      <c r="AA667">
        <f>IF($X667="","",$Y667)</f>
        <v/>
      </c>
    </row>
    <row r="668">
      <c r="A668">
        <f>IF(Sync!$Z668="","",LEFT(UPPER(TRIM(Sync!$Z668)),6))</f>
        <v/>
      </c>
      <c r="B668">
        <f>IF($A668="","",IF(Sync!$AA668="","",Sync!$AA668))</f>
        <v/>
      </c>
      <c r="C668">
        <f>IF($A668="","",IF(Sync!$AB668="","",Sync!$AB668))</f>
        <v/>
      </c>
      <c r="D668">
        <f>IF($A668="","",IF(Sync!$AC668="","",Sync!$AC668))</f>
        <v/>
      </c>
      <c r="E668">
        <f>IF($A668="","",IF(Sync!$AD668="","",Sync!$AD668))</f>
        <v/>
      </c>
      <c r="F668">
        <f>IF($A668="","",IF(Sync!$AE668="",0,Sync!$AE668))</f>
        <v/>
      </c>
      <c r="G668">
        <f>IF($A668="","",IF(Sync!$AF668="",0,Sync!$AF668))</f>
        <v/>
      </c>
      <c r="H668">
        <f>IF(OR($A668="",ROUND($F668+$G668,2)=0),"",$F668+$G668)</f>
        <v/>
      </c>
      <c r="I668">
        <f>IF($H668="","",IF(ROUND($F668,2)&gt;0,$A668,IF($D668="شخصی قاسم","شخصی قاسم",IF($D668="هزینه","هزینه: "&amp;IF($E668="","متفرقه",$E668),IF($C668="پاس چک","چک پرداختی",IF(OR($B668="",COUNTIF(AcctCodesA,$B668)=0),"متفرقه",$B668))))))</f>
        <v/>
      </c>
      <c r="J668">
        <f>IF($H668="","",IF(ROUND($F668,2)&gt;0,IF($D668="شخصی قاسم","شخصی قاسم",IF($D668="هزینه","هزینه: "&amp;IF($E668="","متفرقه",$E668),IF(OR($B668="",COUNTIF(AcctCodesA,$B668)=0),"متفرقه",$B668))),$A668))</f>
        <v/>
      </c>
      <c r="K668">
        <f>IF($A668="","",IF(AND($B668&lt;&gt;"",COUNTIF(AcctCodesA,$B668)=0),"کد طرف در INFO تعریف نشده",IF(AND($D668="هزینه",$E668=""),"هزینه بدون زیرگروه",IF(AND($C668="پاس چک",OR(Sync!$AJ668="",COUNTIF(IssueNosA,Sync!$AJ668)=0)),"شماره چک پاس‌شده معتبر نیست",""))))</f>
        <v/>
      </c>
      <c r="V668">
        <f>IF($K668="","",IF(ISNUMBER(Sync!$AK668),Sync!$AK668,LEFT(Sync!$AK668,4)&amp;MID(Sync!$AK668,6,2)&amp;RIGHT(Sync!$AK668,2))&amp;"|"&amp;"4"&amp;RIGHT("00000"&amp;663,5))</f>
        <v/>
      </c>
      <c r="W668">
        <f>IF($V668="",0,COUNTIFS($V$6:$V$2005,"&lt;"&amp;$V668)-COUNTIFS($V$6:$V$2005,"&lt;"&amp;$V668,$K$6:$K$2005,"")+1)</f>
        <v/>
      </c>
      <c r="X668">
        <f>IF(Sync!$AX668="","",IF(OR(N(Sync!$AY668)=0,N(Sync!$AZ668)=0),"",ROUND(N(Sync!$AY668)*N(Sync!$AZ668),0)))</f>
        <v/>
      </c>
      <c r="Y668">
        <f>IF($X668="","",IF(OR(Sync!$AX668="",COUNTIF(AcctCodesA,Sync!$AX668)=0),"متفرقه",Sync!$AX668))</f>
        <v/>
      </c>
      <c r="Z668">
        <f>IF($X668="","","سبد و ظروف")</f>
        <v/>
      </c>
      <c r="AA668">
        <f>IF($X668="","",$Y668)</f>
        <v/>
      </c>
    </row>
    <row r="669">
      <c r="A669">
        <f>IF(Sync!$Z669="","",LEFT(UPPER(TRIM(Sync!$Z669)),6))</f>
        <v/>
      </c>
      <c r="B669">
        <f>IF($A669="","",IF(Sync!$AA669="","",Sync!$AA669))</f>
        <v/>
      </c>
      <c r="C669">
        <f>IF($A669="","",IF(Sync!$AB669="","",Sync!$AB669))</f>
        <v/>
      </c>
      <c r="D669">
        <f>IF($A669="","",IF(Sync!$AC669="","",Sync!$AC669))</f>
        <v/>
      </c>
      <c r="E669">
        <f>IF($A669="","",IF(Sync!$AD669="","",Sync!$AD669))</f>
        <v/>
      </c>
      <c r="F669">
        <f>IF($A669="","",IF(Sync!$AE669="",0,Sync!$AE669))</f>
        <v/>
      </c>
      <c r="G669">
        <f>IF($A669="","",IF(Sync!$AF669="",0,Sync!$AF669))</f>
        <v/>
      </c>
      <c r="H669">
        <f>IF(OR($A669="",ROUND($F669+$G669,2)=0),"",$F669+$G669)</f>
        <v/>
      </c>
      <c r="I669">
        <f>IF($H669="","",IF(ROUND($F669,2)&gt;0,$A669,IF($D669="شخصی قاسم","شخصی قاسم",IF($D669="هزینه","هزینه: "&amp;IF($E669="","متفرقه",$E669),IF($C669="پاس چک","چک پرداختی",IF(OR($B669="",COUNTIF(AcctCodesA,$B669)=0),"متفرقه",$B669))))))</f>
        <v/>
      </c>
      <c r="J669">
        <f>IF($H669="","",IF(ROUND($F669,2)&gt;0,IF($D669="شخصی قاسم","شخصی قاسم",IF($D669="هزینه","هزینه: "&amp;IF($E669="","متفرقه",$E669),IF(OR($B669="",COUNTIF(AcctCodesA,$B669)=0),"متفرقه",$B669))),$A669))</f>
        <v/>
      </c>
      <c r="K669">
        <f>IF($A669="","",IF(AND($B669&lt;&gt;"",COUNTIF(AcctCodesA,$B669)=0),"کد طرف در INFO تعریف نشده",IF(AND($D669="هزینه",$E669=""),"هزینه بدون زیرگروه",IF(AND($C669="پاس چک",OR(Sync!$AJ669="",COUNTIF(IssueNosA,Sync!$AJ669)=0)),"شماره چک پاس‌شده معتبر نیست",""))))</f>
        <v/>
      </c>
      <c r="V669">
        <f>IF($K669="","",IF(ISNUMBER(Sync!$AK669),Sync!$AK669,LEFT(Sync!$AK669,4)&amp;MID(Sync!$AK669,6,2)&amp;RIGHT(Sync!$AK669,2))&amp;"|"&amp;"4"&amp;RIGHT("00000"&amp;664,5))</f>
        <v/>
      </c>
      <c r="W669">
        <f>IF($V669="",0,COUNTIFS($V$6:$V$2005,"&lt;"&amp;$V669)-COUNTIFS($V$6:$V$2005,"&lt;"&amp;$V669,$K$6:$K$2005,"")+1)</f>
        <v/>
      </c>
      <c r="X669">
        <f>IF(Sync!$AX669="","",IF(OR(N(Sync!$AY669)=0,N(Sync!$AZ669)=0),"",ROUND(N(Sync!$AY669)*N(Sync!$AZ669),0)))</f>
        <v/>
      </c>
      <c r="Y669">
        <f>IF($X669="","",IF(OR(Sync!$AX669="",COUNTIF(AcctCodesA,Sync!$AX669)=0),"متفرقه",Sync!$AX669))</f>
        <v/>
      </c>
      <c r="Z669">
        <f>IF($X669="","","سبد و ظروف")</f>
        <v/>
      </c>
      <c r="AA669">
        <f>IF($X669="","",$Y669)</f>
        <v/>
      </c>
    </row>
    <row r="670">
      <c r="A670">
        <f>IF(Sync!$Z670="","",LEFT(UPPER(TRIM(Sync!$Z670)),6))</f>
        <v/>
      </c>
      <c r="B670">
        <f>IF($A670="","",IF(Sync!$AA670="","",Sync!$AA670))</f>
        <v/>
      </c>
      <c r="C670">
        <f>IF($A670="","",IF(Sync!$AB670="","",Sync!$AB670))</f>
        <v/>
      </c>
      <c r="D670">
        <f>IF($A670="","",IF(Sync!$AC670="","",Sync!$AC670))</f>
        <v/>
      </c>
      <c r="E670">
        <f>IF($A670="","",IF(Sync!$AD670="","",Sync!$AD670))</f>
        <v/>
      </c>
      <c r="F670">
        <f>IF($A670="","",IF(Sync!$AE670="",0,Sync!$AE670))</f>
        <v/>
      </c>
      <c r="G670">
        <f>IF($A670="","",IF(Sync!$AF670="",0,Sync!$AF670))</f>
        <v/>
      </c>
      <c r="H670">
        <f>IF(OR($A670="",ROUND($F670+$G670,2)=0),"",$F670+$G670)</f>
        <v/>
      </c>
      <c r="I670">
        <f>IF($H670="","",IF(ROUND($F670,2)&gt;0,$A670,IF($D670="شخصی قاسم","شخصی قاسم",IF($D670="هزینه","هزینه: "&amp;IF($E670="","متفرقه",$E670),IF($C670="پاس چک","چک پرداختی",IF(OR($B670="",COUNTIF(AcctCodesA,$B670)=0),"متفرقه",$B670))))))</f>
        <v/>
      </c>
      <c r="J670">
        <f>IF($H670="","",IF(ROUND($F670,2)&gt;0,IF($D670="شخصی قاسم","شخصی قاسم",IF($D670="هزینه","هزینه: "&amp;IF($E670="","متفرقه",$E670),IF(OR($B670="",COUNTIF(AcctCodesA,$B670)=0),"متفرقه",$B670))),$A670))</f>
        <v/>
      </c>
      <c r="K670">
        <f>IF($A670="","",IF(AND($B670&lt;&gt;"",COUNTIF(AcctCodesA,$B670)=0),"کد طرف در INFO تعریف نشده",IF(AND($D670="هزینه",$E670=""),"هزینه بدون زیرگروه",IF(AND($C670="پاس چک",OR(Sync!$AJ670="",COUNTIF(IssueNosA,Sync!$AJ670)=0)),"شماره چک پاس‌شده معتبر نیست",""))))</f>
        <v/>
      </c>
      <c r="V670">
        <f>IF($K670="","",IF(ISNUMBER(Sync!$AK670),Sync!$AK670,LEFT(Sync!$AK670,4)&amp;MID(Sync!$AK670,6,2)&amp;RIGHT(Sync!$AK670,2))&amp;"|"&amp;"4"&amp;RIGHT("00000"&amp;665,5))</f>
        <v/>
      </c>
      <c r="W670">
        <f>IF($V670="",0,COUNTIFS($V$6:$V$2005,"&lt;"&amp;$V670)-COUNTIFS($V$6:$V$2005,"&lt;"&amp;$V670,$K$6:$K$2005,"")+1)</f>
        <v/>
      </c>
      <c r="X670">
        <f>IF(Sync!$AX670="","",IF(OR(N(Sync!$AY670)=0,N(Sync!$AZ670)=0),"",ROUND(N(Sync!$AY670)*N(Sync!$AZ670),0)))</f>
        <v/>
      </c>
      <c r="Y670">
        <f>IF($X670="","",IF(OR(Sync!$AX670="",COUNTIF(AcctCodesA,Sync!$AX670)=0),"متفرقه",Sync!$AX670))</f>
        <v/>
      </c>
      <c r="Z670">
        <f>IF($X670="","","سبد و ظروف")</f>
        <v/>
      </c>
      <c r="AA670">
        <f>IF($X670="","",$Y670)</f>
        <v/>
      </c>
    </row>
    <row r="671">
      <c r="A671">
        <f>IF(Sync!$Z671="","",LEFT(UPPER(TRIM(Sync!$Z671)),6))</f>
        <v/>
      </c>
      <c r="B671">
        <f>IF($A671="","",IF(Sync!$AA671="","",Sync!$AA671))</f>
        <v/>
      </c>
      <c r="C671">
        <f>IF($A671="","",IF(Sync!$AB671="","",Sync!$AB671))</f>
        <v/>
      </c>
      <c r="D671">
        <f>IF($A671="","",IF(Sync!$AC671="","",Sync!$AC671))</f>
        <v/>
      </c>
      <c r="E671">
        <f>IF($A671="","",IF(Sync!$AD671="","",Sync!$AD671))</f>
        <v/>
      </c>
      <c r="F671">
        <f>IF($A671="","",IF(Sync!$AE671="",0,Sync!$AE671))</f>
        <v/>
      </c>
      <c r="G671">
        <f>IF($A671="","",IF(Sync!$AF671="",0,Sync!$AF671))</f>
        <v/>
      </c>
      <c r="H671">
        <f>IF(OR($A671="",ROUND($F671+$G671,2)=0),"",$F671+$G671)</f>
        <v/>
      </c>
      <c r="I671">
        <f>IF($H671="","",IF(ROUND($F671,2)&gt;0,$A671,IF($D671="شخصی قاسم","شخصی قاسم",IF($D671="هزینه","هزینه: "&amp;IF($E671="","متفرقه",$E671),IF($C671="پاس چک","چک پرداختی",IF(OR($B671="",COUNTIF(AcctCodesA,$B671)=0),"متفرقه",$B671))))))</f>
        <v/>
      </c>
      <c r="J671">
        <f>IF($H671="","",IF(ROUND($F671,2)&gt;0,IF($D671="شخصی قاسم","شخصی قاسم",IF($D671="هزینه","هزینه: "&amp;IF($E671="","متفرقه",$E671),IF(OR($B671="",COUNTIF(AcctCodesA,$B671)=0),"متفرقه",$B671))),$A671))</f>
        <v/>
      </c>
      <c r="K671">
        <f>IF($A671="","",IF(AND($B671&lt;&gt;"",COUNTIF(AcctCodesA,$B671)=0),"کد طرف در INFO تعریف نشده",IF(AND($D671="هزینه",$E671=""),"هزینه بدون زیرگروه",IF(AND($C671="پاس چک",OR(Sync!$AJ671="",COUNTIF(IssueNosA,Sync!$AJ671)=0)),"شماره چک پاس‌شده معتبر نیست",""))))</f>
        <v/>
      </c>
      <c r="V671">
        <f>IF($K671="","",IF(ISNUMBER(Sync!$AK671),Sync!$AK671,LEFT(Sync!$AK671,4)&amp;MID(Sync!$AK671,6,2)&amp;RIGHT(Sync!$AK671,2))&amp;"|"&amp;"4"&amp;RIGHT("00000"&amp;666,5))</f>
        <v/>
      </c>
      <c r="W671">
        <f>IF($V671="",0,COUNTIFS($V$6:$V$2005,"&lt;"&amp;$V671)-COUNTIFS($V$6:$V$2005,"&lt;"&amp;$V671,$K$6:$K$2005,"")+1)</f>
        <v/>
      </c>
      <c r="X671">
        <f>IF(Sync!$AX671="","",IF(OR(N(Sync!$AY671)=0,N(Sync!$AZ671)=0),"",ROUND(N(Sync!$AY671)*N(Sync!$AZ671),0)))</f>
        <v/>
      </c>
      <c r="Y671">
        <f>IF($X671="","",IF(OR(Sync!$AX671="",COUNTIF(AcctCodesA,Sync!$AX671)=0),"متفرقه",Sync!$AX671))</f>
        <v/>
      </c>
      <c r="Z671">
        <f>IF($X671="","","سبد و ظروف")</f>
        <v/>
      </c>
      <c r="AA671">
        <f>IF($X671="","",$Y671)</f>
        <v/>
      </c>
    </row>
    <row r="672">
      <c r="A672">
        <f>IF(Sync!$Z672="","",LEFT(UPPER(TRIM(Sync!$Z672)),6))</f>
        <v/>
      </c>
      <c r="B672">
        <f>IF($A672="","",IF(Sync!$AA672="","",Sync!$AA672))</f>
        <v/>
      </c>
      <c r="C672">
        <f>IF($A672="","",IF(Sync!$AB672="","",Sync!$AB672))</f>
        <v/>
      </c>
      <c r="D672">
        <f>IF($A672="","",IF(Sync!$AC672="","",Sync!$AC672))</f>
        <v/>
      </c>
      <c r="E672">
        <f>IF($A672="","",IF(Sync!$AD672="","",Sync!$AD672))</f>
        <v/>
      </c>
      <c r="F672">
        <f>IF($A672="","",IF(Sync!$AE672="",0,Sync!$AE672))</f>
        <v/>
      </c>
      <c r="G672">
        <f>IF($A672="","",IF(Sync!$AF672="",0,Sync!$AF672))</f>
        <v/>
      </c>
      <c r="H672">
        <f>IF(OR($A672="",ROUND($F672+$G672,2)=0),"",$F672+$G672)</f>
        <v/>
      </c>
      <c r="I672">
        <f>IF($H672="","",IF(ROUND($F672,2)&gt;0,$A672,IF($D672="شخصی قاسم","شخصی قاسم",IF($D672="هزینه","هزینه: "&amp;IF($E672="","متفرقه",$E672),IF($C672="پاس چک","چک پرداختی",IF(OR($B672="",COUNTIF(AcctCodesA,$B672)=0),"متفرقه",$B672))))))</f>
        <v/>
      </c>
      <c r="J672">
        <f>IF($H672="","",IF(ROUND($F672,2)&gt;0,IF($D672="شخصی قاسم","شخصی قاسم",IF($D672="هزینه","هزینه: "&amp;IF($E672="","متفرقه",$E672),IF(OR($B672="",COUNTIF(AcctCodesA,$B672)=0),"متفرقه",$B672))),$A672))</f>
        <v/>
      </c>
      <c r="K672">
        <f>IF($A672="","",IF(AND($B672&lt;&gt;"",COUNTIF(AcctCodesA,$B672)=0),"کد طرف در INFO تعریف نشده",IF(AND($D672="هزینه",$E672=""),"هزینه بدون زیرگروه",IF(AND($C672="پاس چک",OR(Sync!$AJ672="",COUNTIF(IssueNosA,Sync!$AJ672)=0)),"شماره چک پاس‌شده معتبر نیست",""))))</f>
        <v/>
      </c>
      <c r="V672">
        <f>IF($K672="","",IF(ISNUMBER(Sync!$AK672),Sync!$AK672,LEFT(Sync!$AK672,4)&amp;MID(Sync!$AK672,6,2)&amp;RIGHT(Sync!$AK672,2))&amp;"|"&amp;"4"&amp;RIGHT("00000"&amp;667,5))</f>
        <v/>
      </c>
      <c r="W672">
        <f>IF($V672="",0,COUNTIFS($V$6:$V$2005,"&lt;"&amp;$V672)-COUNTIFS($V$6:$V$2005,"&lt;"&amp;$V672,$K$6:$K$2005,"")+1)</f>
        <v/>
      </c>
      <c r="X672">
        <f>IF(Sync!$AX672="","",IF(OR(N(Sync!$AY672)=0,N(Sync!$AZ672)=0),"",ROUND(N(Sync!$AY672)*N(Sync!$AZ672),0)))</f>
        <v/>
      </c>
      <c r="Y672">
        <f>IF($X672="","",IF(OR(Sync!$AX672="",COUNTIF(AcctCodesA,Sync!$AX672)=0),"متفرقه",Sync!$AX672))</f>
        <v/>
      </c>
      <c r="Z672">
        <f>IF($X672="","","سبد و ظروف")</f>
        <v/>
      </c>
      <c r="AA672">
        <f>IF($X672="","",$Y672)</f>
        <v/>
      </c>
    </row>
    <row r="673">
      <c r="A673">
        <f>IF(Sync!$Z673="","",LEFT(UPPER(TRIM(Sync!$Z673)),6))</f>
        <v/>
      </c>
      <c r="B673">
        <f>IF($A673="","",IF(Sync!$AA673="","",Sync!$AA673))</f>
        <v/>
      </c>
      <c r="C673">
        <f>IF($A673="","",IF(Sync!$AB673="","",Sync!$AB673))</f>
        <v/>
      </c>
      <c r="D673">
        <f>IF($A673="","",IF(Sync!$AC673="","",Sync!$AC673))</f>
        <v/>
      </c>
      <c r="E673">
        <f>IF($A673="","",IF(Sync!$AD673="","",Sync!$AD673))</f>
        <v/>
      </c>
      <c r="F673">
        <f>IF($A673="","",IF(Sync!$AE673="",0,Sync!$AE673))</f>
        <v/>
      </c>
      <c r="G673">
        <f>IF($A673="","",IF(Sync!$AF673="",0,Sync!$AF673))</f>
        <v/>
      </c>
      <c r="H673">
        <f>IF(OR($A673="",ROUND($F673+$G673,2)=0),"",$F673+$G673)</f>
        <v/>
      </c>
      <c r="I673">
        <f>IF($H673="","",IF(ROUND($F673,2)&gt;0,$A673,IF($D673="شخصی قاسم","شخصی قاسم",IF($D673="هزینه","هزینه: "&amp;IF($E673="","متفرقه",$E673),IF($C673="پاس چک","چک پرداختی",IF(OR($B673="",COUNTIF(AcctCodesA,$B673)=0),"متفرقه",$B673))))))</f>
        <v/>
      </c>
      <c r="J673">
        <f>IF($H673="","",IF(ROUND($F673,2)&gt;0,IF($D673="شخصی قاسم","شخصی قاسم",IF($D673="هزینه","هزینه: "&amp;IF($E673="","متفرقه",$E673),IF(OR($B673="",COUNTIF(AcctCodesA,$B673)=0),"متفرقه",$B673))),$A673))</f>
        <v/>
      </c>
      <c r="K673">
        <f>IF($A673="","",IF(AND($B673&lt;&gt;"",COUNTIF(AcctCodesA,$B673)=0),"کد طرف در INFO تعریف نشده",IF(AND($D673="هزینه",$E673=""),"هزینه بدون زیرگروه",IF(AND($C673="پاس چک",OR(Sync!$AJ673="",COUNTIF(IssueNosA,Sync!$AJ673)=0)),"شماره چک پاس‌شده معتبر نیست",""))))</f>
        <v/>
      </c>
      <c r="V673">
        <f>IF($K673="","",IF(ISNUMBER(Sync!$AK673),Sync!$AK673,LEFT(Sync!$AK673,4)&amp;MID(Sync!$AK673,6,2)&amp;RIGHT(Sync!$AK673,2))&amp;"|"&amp;"4"&amp;RIGHT("00000"&amp;668,5))</f>
        <v/>
      </c>
      <c r="W673">
        <f>IF($V673="",0,COUNTIFS($V$6:$V$2005,"&lt;"&amp;$V673)-COUNTIFS($V$6:$V$2005,"&lt;"&amp;$V673,$K$6:$K$2005,"")+1)</f>
        <v/>
      </c>
      <c r="X673">
        <f>IF(Sync!$AX673="","",IF(OR(N(Sync!$AY673)=0,N(Sync!$AZ673)=0),"",ROUND(N(Sync!$AY673)*N(Sync!$AZ673),0)))</f>
        <v/>
      </c>
      <c r="Y673">
        <f>IF($X673="","",IF(OR(Sync!$AX673="",COUNTIF(AcctCodesA,Sync!$AX673)=0),"متفرقه",Sync!$AX673))</f>
        <v/>
      </c>
      <c r="Z673">
        <f>IF($X673="","","سبد و ظروف")</f>
        <v/>
      </c>
      <c r="AA673">
        <f>IF($X673="","",$Y673)</f>
        <v/>
      </c>
    </row>
    <row r="674">
      <c r="A674">
        <f>IF(Sync!$Z674="","",LEFT(UPPER(TRIM(Sync!$Z674)),6))</f>
        <v/>
      </c>
      <c r="B674">
        <f>IF($A674="","",IF(Sync!$AA674="","",Sync!$AA674))</f>
        <v/>
      </c>
      <c r="C674">
        <f>IF($A674="","",IF(Sync!$AB674="","",Sync!$AB674))</f>
        <v/>
      </c>
      <c r="D674">
        <f>IF($A674="","",IF(Sync!$AC674="","",Sync!$AC674))</f>
        <v/>
      </c>
      <c r="E674">
        <f>IF($A674="","",IF(Sync!$AD674="","",Sync!$AD674))</f>
        <v/>
      </c>
      <c r="F674">
        <f>IF($A674="","",IF(Sync!$AE674="",0,Sync!$AE674))</f>
        <v/>
      </c>
      <c r="G674">
        <f>IF($A674="","",IF(Sync!$AF674="",0,Sync!$AF674))</f>
        <v/>
      </c>
      <c r="H674">
        <f>IF(OR($A674="",ROUND($F674+$G674,2)=0),"",$F674+$G674)</f>
        <v/>
      </c>
      <c r="I674">
        <f>IF($H674="","",IF(ROUND($F674,2)&gt;0,$A674,IF($D674="شخصی قاسم","شخصی قاسم",IF($D674="هزینه","هزینه: "&amp;IF($E674="","متفرقه",$E674),IF($C674="پاس چک","چک پرداختی",IF(OR($B674="",COUNTIF(AcctCodesA,$B674)=0),"متفرقه",$B674))))))</f>
        <v/>
      </c>
      <c r="J674">
        <f>IF($H674="","",IF(ROUND($F674,2)&gt;0,IF($D674="شخصی قاسم","شخصی قاسم",IF($D674="هزینه","هزینه: "&amp;IF($E674="","متفرقه",$E674),IF(OR($B674="",COUNTIF(AcctCodesA,$B674)=0),"متفرقه",$B674))),$A674))</f>
        <v/>
      </c>
      <c r="K674">
        <f>IF($A674="","",IF(AND($B674&lt;&gt;"",COUNTIF(AcctCodesA,$B674)=0),"کد طرف در INFO تعریف نشده",IF(AND($D674="هزینه",$E674=""),"هزینه بدون زیرگروه",IF(AND($C674="پاس چک",OR(Sync!$AJ674="",COUNTIF(IssueNosA,Sync!$AJ674)=0)),"شماره چک پاس‌شده معتبر نیست",""))))</f>
        <v/>
      </c>
      <c r="V674">
        <f>IF($K674="","",IF(ISNUMBER(Sync!$AK674),Sync!$AK674,LEFT(Sync!$AK674,4)&amp;MID(Sync!$AK674,6,2)&amp;RIGHT(Sync!$AK674,2))&amp;"|"&amp;"4"&amp;RIGHT("00000"&amp;669,5))</f>
        <v/>
      </c>
      <c r="W674">
        <f>IF($V674="",0,COUNTIFS($V$6:$V$2005,"&lt;"&amp;$V674)-COUNTIFS($V$6:$V$2005,"&lt;"&amp;$V674,$K$6:$K$2005,"")+1)</f>
        <v/>
      </c>
      <c r="X674">
        <f>IF(Sync!$AX674="","",IF(OR(N(Sync!$AY674)=0,N(Sync!$AZ674)=0),"",ROUND(N(Sync!$AY674)*N(Sync!$AZ674),0)))</f>
        <v/>
      </c>
      <c r="Y674">
        <f>IF($X674="","",IF(OR(Sync!$AX674="",COUNTIF(AcctCodesA,Sync!$AX674)=0),"متفرقه",Sync!$AX674))</f>
        <v/>
      </c>
      <c r="Z674">
        <f>IF($X674="","","سبد و ظروف")</f>
        <v/>
      </c>
      <c r="AA674">
        <f>IF($X674="","",$Y674)</f>
        <v/>
      </c>
    </row>
    <row r="675">
      <c r="A675">
        <f>IF(Sync!$Z675="","",LEFT(UPPER(TRIM(Sync!$Z675)),6))</f>
        <v/>
      </c>
      <c r="B675">
        <f>IF($A675="","",IF(Sync!$AA675="","",Sync!$AA675))</f>
        <v/>
      </c>
      <c r="C675">
        <f>IF($A675="","",IF(Sync!$AB675="","",Sync!$AB675))</f>
        <v/>
      </c>
      <c r="D675">
        <f>IF($A675="","",IF(Sync!$AC675="","",Sync!$AC675))</f>
        <v/>
      </c>
      <c r="E675">
        <f>IF($A675="","",IF(Sync!$AD675="","",Sync!$AD675))</f>
        <v/>
      </c>
      <c r="F675">
        <f>IF($A675="","",IF(Sync!$AE675="",0,Sync!$AE675))</f>
        <v/>
      </c>
      <c r="G675">
        <f>IF($A675="","",IF(Sync!$AF675="",0,Sync!$AF675))</f>
        <v/>
      </c>
      <c r="H675">
        <f>IF(OR($A675="",ROUND($F675+$G675,2)=0),"",$F675+$G675)</f>
        <v/>
      </c>
      <c r="I675">
        <f>IF($H675="","",IF(ROUND($F675,2)&gt;0,$A675,IF($D675="شخصی قاسم","شخصی قاسم",IF($D675="هزینه","هزینه: "&amp;IF($E675="","متفرقه",$E675),IF($C675="پاس چک","چک پرداختی",IF(OR($B675="",COUNTIF(AcctCodesA,$B675)=0),"متفرقه",$B675))))))</f>
        <v/>
      </c>
      <c r="J675">
        <f>IF($H675="","",IF(ROUND($F675,2)&gt;0,IF($D675="شخصی قاسم","شخصی قاسم",IF($D675="هزینه","هزینه: "&amp;IF($E675="","متفرقه",$E675),IF(OR($B675="",COUNTIF(AcctCodesA,$B675)=0),"متفرقه",$B675))),$A675))</f>
        <v/>
      </c>
      <c r="K675">
        <f>IF($A675="","",IF(AND($B675&lt;&gt;"",COUNTIF(AcctCodesA,$B675)=0),"کد طرف در INFO تعریف نشده",IF(AND($D675="هزینه",$E675=""),"هزینه بدون زیرگروه",IF(AND($C675="پاس چک",OR(Sync!$AJ675="",COUNTIF(IssueNosA,Sync!$AJ675)=0)),"شماره چک پاس‌شده معتبر نیست",""))))</f>
        <v/>
      </c>
      <c r="V675">
        <f>IF($K675="","",IF(ISNUMBER(Sync!$AK675),Sync!$AK675,LEFT(Sync!$AK675,4)&amp;MID(Sync!$AK675,6,2)&amp;RIGHT(Sync!$AK675,2))&amp;"|"&amp;"4"&amp;RIGHT("00000"&amp;670,5))</f>
        <v/>
      </c>
      <c r="W675">
        <f>IF($V675="",0,COUNTIFS($V$6:$V$2005,"&lt;"&amp;$V675)-COUNTIFS($V$6:$V$2005,"&lt;"&amp;$V675,$K$6:$K$2005,"")+1)</f>
        <v/>
      </c>
      <c r="X675">
        <f>IF(Sync!$AX675="","",IF(OR(N(Sync!$AY675)=0,N(Sync!$AZ675)=0),"",ROUND(N(Sync!$AY675)*N(Sync!$AZ675),0)))</f>
        <v/>
      </c>
      <c r="Y675">
        <f>IF($X675="","",IF(OR(Sync!$AX675="",COUNTIF(AcctCodesA,Sync!$AX675)=0),"متفرقه",Sync!$AX675))</f>
        <v/>
      </c>
      <c r="Z675">
        <f>IF($X675="","","سبد و ظروف")</f>
        <v/>
      </c>
      <c r="AA675">
        <f>IF($X675="","",$Y675)</f>
        <v/>
      </c>
    </row>
    <row r="676">
      <c r="A676">
        <f>IF(Sync!$Z676="","",LEFT(UPPER(TRIM(Sync!$Z676)),6))</f>
        <v/>
      </c>
      <c r="B676">
        <f>IF($A676="","",IF(Sync!$AA676="","",Sync!$AA676))</f>
        <v/>
      </c>
      <c r="C676">
        <f>IF($A676="","",IF(Sync!$AB676="","",Sync!$AB676))</f>
        <v/>
      </c>
      <c r="D676">
        <f>IF($A676="","",IF(Sync!$AC676="","",Sync!$AC676))</f>
        <v/>
      </c>
      <c r="E676">
        <f>IF($A676="","",IF(Sync!$AD676="","",Sync!$AD676))</f>
        <v/>
      </c>
      <c r="F676">
        <f>IF($A676="","",IF(Sync!$AE676="",0,Sync!$AE676))</f>
        <v/>
      </c>
      <c r="G676">
        <f>IF($A676="","",IF(Sync!$AF676="",0,Sync!$AF676))</f>
        <v/>
      </c>
      <c r="H676">
        <f>IF(OR($A676="",ROUND($F676+$G676,2)=0),"",$F676+$G676)</f>
        <v/>
      </c>
      <c r="I676">
        <f>IF($H676="","",IF(ROUND($F676,2)&gt;0,$A676,IF($D676="شخصی قاسم","شخصی قاسم",IF($D676="هزینه","هزینه: "&amp;IF($E676="","متفرقه",$E676),IF($C676="پاس چک","چک پرداختی",IF(OR($B676="",COUNTIF(AcctCodesA,$B676)=0),"متفرقه",$B676))))))</f>
        <v/>
      </c>
      <c r="J676">
        <f>IF($H676="","",IF(ROUND($F676,2)&gt;0,IF($D676="شخصی قاسم","شخصی قاسم",IF($D676="هزینه","هزینه: "&amp;IF($E676="","متفرقه",$E676),IF(OR($B676="",COUNTIF(AcctCodesA,$B676)=0),"متفرقه",$B676))),$A676))</f>
        <v/>
      </c>
      <c r="K676">
        <f>IF($A676="","",IF(AND($B676&lt;&gt;"",COUNTIF(AcctCodesA,$B676)=0),"کد طرف در INFO تعریف نشده",IF(AND($D676="هزینه",$E676=""),"هزینه بدون زیرگروه",IF(AND($C676="پاس چک",OR(Sync!$AJ676="",COUNTIF(IssueNosA,Sync!$AJ676)=0)),"شماره چک پاس‌شده معتبر نیست",""))))</f>
        <v/>
      </c>
      <c r="V676">
        <f>IF($K676="","",IF(ISNUMBER(Sync!$AK676),Sync!$AK676,LEFT(Sync!$AK676,4)&amp;MID(Sync!$AK676,6,2)&amp;RIGHT(Sync!$AK676,2))&amp;"|"&amp;"4"&amp;RIGHT("00000"&amp;671,5))</f>
        <v/>
      </c>
      <c r="W676">
        <f>IF($V676="",0,COUNTIFS($V$6:$V$2005,"&lt;"&amp;$V676)-COUNTIFS($V$6:$V$2005,"&lt;"&amp;$V676,$K$6:$K$2005,"")+1)</f>
        <v/>
      </c>
      <c r="X676">
        <f>IF(Sync!$AX676="","",IF(OR(N(Sync!$AY676)=0,N(Sync!$AZ676)=0),"",ROUND(N(Sync!$AY676)*N(Sync!$AZ676),0)))</f>
        <v/>
      </c>
      <c r="Y676">
        <f>IF($X676="","",IF(OR(Sync!$AX676="",COUNTIF(AcctCodesA,Sync!$AX676)=0),"متفرقه",Sync!$AX676))</f>
        <v/>
      </c>
      <c r="Z676">
        <f>IF($X676="","","سبد و ظروف")</f>
        <v/>
      </c>
      <c r="AA676">
        <f>IF($X676="","",$Y676)</f>
        <v/>
      </c>
    </row>
    <row r="677">
      <c r="A677">
        <f>IF(Sync!$Z677="","",LEFT(UPPER(TRIM(Sync!$Z677)),6))</f>
        <v/>
      </c>
      <c r="B677">
        <f>IF($A677="","",IF(Sync!$AA677="","",Sync!$AA677))</f>
        <v/>
      </c>
      <c r="C677">
        <f>IF($A677="","",IF(Sync!$AB677="","",Sync!$AB677))</f>
        <v/>
      </c>
      <c r="D677">
        <f>IF($A677="","",IF(Sync!$AC677="","",Sync!$AC677))</f>
        <v/>
      </c>
      <c r="E677">
        <f>IF($A677="","",IF(Sync!$AD677="","",Sync!$AD677))</f>
        <v/>
      </c>
      <c r="F677">
        <f>IF($A677="","",IF(Sync!$AE677="",0,Sync!$AE677))</f>
        <v/>
      </c>
      <c r="G677">
        <f>IF($A677="","",IF(Sync!$AF677="",0,Sync!$AF677))</f>
        <v/>
      </c>
      <c r="H677">
        <f>IF(OR($A677="",ROUND($F677+$G677,2)=0),"",$F677+$G677)</f>
        <v/>
      </c>
      <c r="I677">
        <f>IF($H677="","",IF(ROUND($F677,2)&gt;0,$A677,IF($D677="شخصی قاسم","شخصی قاسم",IF($D677="هزینه","هزینه: "&amp;IF($E677="","متفرقه",$E677),IF($C677="پاس چک","چک پرداختی",IF(OR($B677="",COUNTIF(AcctCodesA,$B677)=0),"متفرقه",$B677))))))</f>
        <v/>
      </c>
      <c r="J677">
        <f>IF($H677="","",IF(ROUND($F677,2)&gt;0,IF($D677="شخصی قاسم","شخصی قاسم",IF($D677="هزینه","هزینه: "&amp;IF($E677="","متفرقه",$E677),IF(OR($B677="",COUNTIF(AcctCodesA,$B677)=0),"متفرقه",$B677))),$A677))</f>
        <v/>
      </c>
      <c r="K677">
        <f>IF($A677="","",IF(AND($B677&lt;&gt;"",COUNTIF(AcctCodesA,$B677)=0),"کد طرف در INFO تعریف نشده",IF(AND($D677="هزینه",$E677=""),"هزینه بدون زیرگروه",IF(AND($C677="پاس چک",OR(Sync!$AJ677="",COUNTIF(IssueNosA,Sync!$AJ677)=0)),"شماره چک پاس‌شده معتبر نیست",""))))</f>
        <v/>
      </c>
      <c r="V677">
        <f>IF($K677="","",IF(ISNUMBER(Sync!$AK677),Sync!$AK677,LEFT(Sync!$AK677,4)&amp;MID(Sync!$AK677,6,2)&amp;RIGHT(Sync!$AK677,2))&amp;"|"&amp;"4"&amp;RIGHT("00000"&amp;672,5))</f>
        <v/>
      </c>
      <c r="W677">
        <f>IF($V677="",0,COUNTIFS($V$6:$V$2005,"&lt;"&amp;$V677)-COUNTIFS($V$6:$V$2005,"&lt;"&amp;$V677,$K$6:$K$2005,"")+1)</f>
        <v/>
      </c>
      <c r="X677">
        <f>IF(Sync!$AX677="","",IF(OR(N(Sync!$AY677)=0,N(Sync!$AZ677)=0),"",ROUND(N(Sync!$AY677)*N(Sync!$AZ677),0)))</f>
        <v/>
      </c>
      <c r="Y677">
        <f>IF($X677="","",IF(OR(Sync!$AX677="",COUNTIF(AcctCodesA,Sync!$AX677)=0),"متفرقه",Sync!$AX677))</f>
        <v/>
      </c>
      <c r="Z677">
        <f>IF($X677="","","سبد و ظروف")</f>
        <v/>
      </c>
      <c r="AA677">
        <f>IF($X677="","",$Y677)</f>
        <v/>
      </c>
    </row>
    <row r="678">
      <c r="A678">
        <f>IF(Sync!$Z678="","",LEFT(UPPER(TRIM(Sync!$Z678)),6))</f>
        <v/>
      </c>
      <c r="B678">
        <f>IF($A678="","",IF(Sync!$AA678="","",Sync!$AA678))</f>
        <v/>
      </c>
      <c r="C678">
        <f>IF($A678="","",IF(Sync!$AB678="","",Sync!$AB678))</f>
        <v/>
      </c>
      <c r="D678">
        <f>IF($A678="","",IF(Sync!$AC678="","",Sync!$AC678))</f>
        <v/>
      </c>
      <c r="E678">
        <f>IF($A678="","",IF(Sync!$AD678="","",Sync!$AD678))</f>
        <v/>
      </c>
      <c r="F678">
        <f>IF($A678="","",IF(Sync!$AE678="",0,Sync!$AE678))</f>
        <v/>
      </c>
      <c r="G678">
        <f>IF($A678="","",IF(Sync!$AF678="",0,Sync!$AF678))</f>
        <v/>
      </c>
      <c r="H678">
        <f>IF(OR($A678="",ROUND($F678+$G678,2)=0),"",$F678+$G678)</f>
        <v/>
      </c>
      <c r="I678">
        <f>IF($H678="","",IF(ROUND($F678,2)&gt;0,$A678,IF($D678="شخصی قاسم","شخصی قاسم",IF($D678="هزینه","هزینه: "&amp;IF($E678="","متفرقه",$E678),IF($C678="پاس چک","چک پرداختی",IF(OR($B678="",COUNTIF(AcctCodesA,$B678)=0),"متفرقه",$B678))))))</f>
        <v/>
      </c>
      <c r="J678">
        <f>IF($H678="","",IF(ROUND($F678,2)&gt;0,IF($D678="شخصی قاسم","شخصی قاسم",IF($D678="هزینه","هزینه: "&amp;IF($E678="","متفرقه",$E678),IF(OR($B678="",COUNTIF(AcctCodesA,$B678)=0),"متفرقه",$B678))),$A678))</f>
        <v/>
      </c>
      <c r="K678">
        <f>IF($A678="","",IF(AND($B678&lt;&gt;"",COUNTIF(AcctCodesA,$B678)=0),"کد طرف در INFO تعریف نشده",IF(AND($D678="هزینه",$E678=""),"هزینه بدون زیرگروه",IF(AND($C678="پاس چک",OR(Sync!$AJ678="",COUNTIF(IssueNosA,Sync!$AJ678)=0)),"شماره چک پاس‌شده معتبر نیست",""))))</f>
        <v/>
      </c>
      <c r="V678">
        <f>IF($K678="","",IF(ISNUMBER(Sync!$AK678),Sync!$AK678,LEFT(Sync!$AK678,4)&amp;MID(Sync!$AK678,6,2)&amp;RIGHT(Sync!$AK678,2))&amp;"|"&amp;"4"&amp;RIGHT("00000"&amp;673,5))</f>
        <v/>
      </c>
      <c r="W678">
        <f>IF($V678="",0,COUNTIFS($V$6:$V$2005,"&lt;"&amp;$V678)-COUNTIFS($V$6:$V$2005,"&lt;"&amp;$V678,$K$6:$K$2005,"")+1)</f>
        <v/>
      </c>
      <c r="X678">
        <f>IF(Sync!$AX678="","",IF(OR(N(Sync!$AY678)=0,N(Sync!$AZ678)=0),"",ROUND(N(Sync!$AY678)*N(Sync!$AZ678),0)))</f>
        <v/>
      </c>
      <c r="Y678">
        <f>IF($X678="","",IF(OR(Sync!$AX678="",COUNTIF(AcctCodesA,Sync!$AX678)=0),"متفرقه",Sync!$AX678))</f>
        <v/>
      </c>
      <c r="Z678">
        <f>IF($X678="","","سبد و ظروف")</f>
        <v/>
      </c>
      <c r="AA678">
        <f>IF($X678="","",$Y678)</f>
        <v/>
      </c>
    </row>
    <row r="679">
      <c r="A679">
        <f>IF(Sync!$Z679="","",LEFT(UPPER(TRIM(Sync!$Z679)),6))</f>
        <v/>
      </c>
      <c r="B679">
        <f>IF($A679="","",IF(Sync!$AA679="","",Sync!$AA679))</f>
        <v/>
      </c>
      <c r="C679">
        <f>IF($A679="","",IF(Sync!$AB679="","",Sync!$AB679))</f>
        <v/>
      </c>
      <c r="D679">
        <f>IF($A679="","",IF(Sync!$AC679="","",Sync!$AC679))</f>
        <v/>
      </c>
      <c r="E679">
        <f>IF($A679="","",IF(Sync!$AD679="","",Sync!$AD679))</f>
        <v/>
      </c>
      <c r="F679">
        <f>IF($A679="","",IF(Sync!$AE679="",0,Sync!$AE679))</f>
        <v/>
      </c>
      <c r="G679">
        <f>IF($A679="","",IF(Sync!$AF679="",0,Sync!$AF679))</f>
        <v/>
      </c>
      <c r="H679">
        <f>IF(OR($A679="",ROUND($F679+$G679,2)=0),"",$F679+$G679)</f>
        <v/>
      </c>
      <c r="I679">
        <f>IF($H679="","",IF(ROUND($F679,2)&gt;0,$A679,IF($D679="شخصی قاسم","شخصی قاسم",IF($D679="هزینه","هزینه: "&amp;IF($E679="","متفرقه",$E679),IF($C679="پاس چک","چک پرداختی",IF(OR($B679="",COUNTIF(AcctCodesA,$B679)=0),"متفرقه",$B679))))))</f>
        <v/>
      </c>
      <c r="J679">
        <f>IF($H679="","",IF(ROUND($F679,2)&gt;0,IF($D679="شخصی قاسم","شخصی قاسم",IF($D679="هزینه","هزینه: "&amp;IF($E679="","متفرقه",$E679),IF(OR($B679="",COUNTIF(AcctCodesA,$B679)=0),"متفرقه",$B679))),$A679))</f>
        <v/>
      </c>
      <c r="K679">
        <f>IF($A679="","",IF(AND($B679&lt;&gt;"",COUNTIF(AcctCodesA,$B679)=0),"کد طرف در INFO تعریف نشده",IF(AND($D679="هزینه",$E679=""),"هزینه بدون زیرگروه",IF(AND($C679="پاس چک",OR(Sync!$AJ679="",COUNTIF(IssueNosA,Sync!$AJ679)=0)),"شماره چک پاس‌شده معتبر نیست",""))))</f>
        <v/>
      </c>
      <c r="V679">
        <f>IF($K679="","",IF(ISNUMBER(Sync!$AK679),Sync!$AK679,LEFT(Sync!$AK679,4)&amp;MID(Sync!$AK679,6,2)&amp;RIGHT(Sync!$AK679,2))&amp;"|"&amp;"4"&amp;RIGHT("00000"&amp;674,5))</f>
        <v/>
      </c>
      <c r="W679">
        <f>IF($V679="",0,COUNTIFS($V$6:$V$2005,"&lt;"&amp;$V679)-COUNTIFS($V$6:$V$2005,"&lt;"&amp;$V679,$K$6:$K$2005,"")+1)</f>
        <v/>
      </c>
      <c r="X679">
        <f>IF(Sync!$AX679="","",IF(OR(N(Sync!$AY679)=0,N(Sync!$AZ679)=0),"",ROUND(N(Sync!$AY679)*N(Sync!$AZ679),0)))</f>
        <v/>
      </c>
      <c r="Y679">
        <f>IF($X679="","",IF(OR(Sync!$AX679="",COUNTIF(AcctCodesA,Sync!$AX679)=0),"متفرقه",Sync!$AX679))</f>
        <v/>
      </c>
      <c r="Z679">
        <f>IF($X679="","","سبد و ظروف")</f>
        <v/>
      </c>
      <c r="AA679">
        <f>IF($X679="","",$Y679)</f>
        <v/>
      </c>
    </row>
    <row r="680">
      <c r="A680">
        <f>IF(Sync!$Z680="","",LEFT(UPPER(TRIM(Sync!$Z680)),6))</f>
        <v/>
      </c>
      <c r="B680">
        <f>IF($A680="","",IF(Sync!$AA680="","",Sync!$AA680))</f>
        <v/>
      </c>
      <c r="C680">
        <f>IF($A680="","",IF(Sync!$AB680="","",Sync!$AB680))</f>
        <v/>
      </c>
      <c r="D680">
        <f>IF($A680="","",IF(Sync!$AC680="","",Sync!$AC680))</f>
        <v/>
      </c>
      <c r="E680">
        <f>IF($A680="","",IF(Sync!$AD680="","",Sync!$AD680))</f>
        <v/>
      </c>
      <c r="F680">
        <f>IF($A680="","",IF(Sync!$AE680="",0,Sync!$AE680))</f>
        <v/>
      </c>
      <c r="G680">
        <f>IF($A680="","",IF(Sync!$AF680="",0,Sync!$AF680))</f>
        <v/>
      </c>
      <c r="H680">
        <f>IF(OR($A680="",ROUND($F680+$G680,2)=0),"",$F680+$G680)</f>
        <v/>
      </c>
      <c r="I680">
        <f>IF($H680="","",IF(ROUND($F680,2)&gt;0,$A680,IF($D680="شخصی قاسم","شخصی قاسم",IF($D680="هزینه","هزینه: "&amp;IF($E680="","متفرقه",$E680),IF($C680="پاس چک","چک پرداختی",IF(OR($B680="",COUNTIF(AcctCodesA,$B680)=0),"متفرقه",$B680))))))</f>
        <v/>
      </c>
      <c r="J680">
        <f>IF($H680="","",IF(ROUND($F680,2)&gt;0,IF($D680="شخصی قاسم","شخصی قاسم",IF($D680="هزینه","هزینه: "&amp;IF($E680="","متفرقه",$E680),IF(OR($B680="",COUNTIF(AcctCodesA,$B680)=0),"متفرقه",$B680))),$A680))</f>
        <v/>
      </c>
      <c r="K680">
        <f>IF($A680="","",IF(AND($B680&lt;&gt;"",COUNTIF(AcctCodesA,$B680)=0),"کد طرف در INFO تعریف نشده",IF(AND($D680="هزینه",$E680=""),"هزینه بدون زیرگروه",IF(AND($C680="پاس چک",OR(Sync!$AJ680="",COUNTIF(IssueNosA,Sync!$AJ680)=0)),"شماره چک پاس‌شده معتبر نیست",""))))</f>
        <v/>
      </c>
      <c r="V680">
        <f>IF($K680="","",IF(ISNUMBER(Sync!$AK680),Sync!$AK680,LEFT(Sync!$AK680,4)&amp;MID(Sync!$AK680,6,2)&amp;RIGHT(Sync!$AK680,2))&amp;"|"&amp;"4"&amp;RIGHT("00000"&amp;675,5))</f>
        <v/>
      </c>
      <c r="W680">
        <f>IF($V680="",0,COUNTIFS($V$6:$V$2005,"&lt;"&amp;$V680)-COUNTIFS($V$6:$V$2005,"&lt;"&amp;$V680,$K$6:$K$2005,"")+1)</f>
        <v/>
      </c>
      <c r="X680">
        <f>IF(Sync!$AX680="","",IF(OR(N(Sync!$AY680)=0,N(Sync!$AZ680)=0),"",ROUND(N(Sync!$AY680)*N(Sync!$AZ680),0)))</f>
        <v/>
      </c>
      <c r="Y680">
        <f>IF($X680="","",IF(OR(Sync!$AX680="",COUNTIF(AcctCodesA,Sync!$AX680)=0),"متفرقه",Sync!$AX680))</f>
        <v/>
      </c>
      <c r="Z680">
        <f>IF($X680="","","سبد و ظروف")</f>
        <v/>
      </c>
      <c r="AA680">
        <f>IF($X680="","",$Y680)</f>
        <v/>
      </c>
    </row>
    <row r="681">
      <c r="A681">
        <f>IF(Sync!$Z681="","",LEFT(UPPER(TRIM(Sync!$Z681)),6))</f>
        <v/>
      </c>
      <c r="B681">
        <f>IF($A681="","",IF(Sync!$AA681="","",Sync!$AA681))</f>
        <v/>
      </c>
      <c r="C681">
        <f>IF($A681="","",IF(Sync!$AB681="","",Sync!$AB681))</f>
        <v/>
      </c>
      <c r="D681">
        <f>IF($A681="","",IF(Sync!$AC681="","",Sync!$AC681))</f>
        <v/>
      </c>
      <c r="E681">
        <f>IF($A681="","",IF(Sync!$AD681="","",Sync!$AD681))</f>
        <v/>
      </c>
      <c r="F681">
        <f>IF($A681="","",IF(Sync!$AE681="",0,Sync!$AE681))</f>
        <v/>
      </c>
      <c r="G681">
        <f>IF($A681="","",IF(Sync!$AF681="",0,Sync!$AF681))</f>
        <v/>
      </c>
      <c r="H681">
        <f>IF(OR($A681="",ROUND($F681+$G681,2)=0),"",$F681+$G681)</f>
        <v/>
      </c>
      <c r="I681">
        <f>IF($H681="","",IF(ROUND($F681,2)&gt;0,$A681,IF($D681="شخصی قاسم","شخصی قاسم",IF($D681="هزینه","هزینه: "&amp;IF($E681="","متفرقه",$E681),IF($C681="پاس چک","چک پرداختی",IF(OR($B681="",COUNTIF(AcctCodesA,$B681)=0),"متفرقه",$B681))))))</f>
        <v/>
      </c>
      <c r="J681">
        <f>IF($H681="","",IF(ROUND($F681,2)&gt;0,IF($D681="شخصی قاسم","شخصی قاسم",IF($D681="هزینه","هزینه: "&amp;IF($E681="","متفرقه",$E681),IF(OR($B681="",COUNTIF(AcctCodesA,$B681)=0),"متفرقه",$B681))),$A681))</f>
        <v/>
      </c>
      <c r="K681">
        <f>IF($A681="","",IF(AND($B681&lt;&gt;"",COUNTIF(AcctCodesA,$B681)=0),"کد طرف در INFO تعریف نشده",IF(AND($D681="هزینه",$E681=""),"هزینه بدون زیرگروه",IF(AND($C681="پاس چک",OR(Sync!$AJ681="",COUNTIF(IssueNosA,Sync!$AJ681)=0)),"شماره چک پاس‌شده معتبر نیست",""))))</f>
        <v/>
      </c>
      <c r="V681">
        <f>IF($K681="","",IF(ISNUMBER(Sync!$AK681),Sync!$AK681,LEFT(Sync!$AK681,4)&amp;MID(Sync!$AK681,6,2)&amp;RIGHT(Sync!$AK681,2))&amp;"|"&amp;"4"&amp;RIGHT("00000"&amp;676,5))</f>
        <v/>
      </c>
      <c r="W681">
        <f>IF($V681="",0,COUNTIFS($V$6:$V$2005,"&lt;"&amp;$V681)-COUNTIFS($V$6:$V$2005,"&lt;"&amp;$V681,$K$6:$K$2005,"")+1)</f>
        <v/>
      </c>
      <c r="X681">
        <f>IF(Sync!$AX681="","",IF(OR(N(Sync!$AY681)=0,N(Sync!$AZ681)=0),"",ROUND(N(Sync!$AY681)*N(Sync!$AZ681),0)))</f>
        <v/>
      </c>
      <c r="Y681">
        <f>IF($X681="","",IF(OR(Sync!$AX681="",COUNTIF(AcctCodesA,Sync!$AX681)=0),"متفرقه",Sync!$AX681))</f>
        <v/>
      </c>
      <c r="Z681">
        <f>IF($X681="","","سبد و ظروف")</f>
        <v/>
      </c>
      <c r="AA681">
        <f>IF($X681="","",$Y681)</f>
        <v/>
      </c>
    </row>
    <row r="682">
      <c r="A682">
        <f>IF(Sync!$Z682="","",LEFT(UPPER(TRIM(Sync!$Z682)),6))</f>
        <v/>
      </c>
      <c r="B682">
        <f>IF($A682="","",IF(Sync!$AA682="","",Sync!$AA682))</f>
        <v/>
      </c>
      <c r="C682">
        <f>IF($A682="","",IF(Sync!$AB682="","",Sync!$AB682))</f>
        <v/>
      </c>
      <c r="D682">
        <f>IF($A682="","",IF(Sync!$AC682="","",Sync!$AC682))</f>
        <v/>
      </c>
      <c r="E682">
        <f>IF($A682="","",IF(Sync!$AD682="","",Sync!$AD682))</f>
        <v/>
      </c>
      <c r="F682">
        <f>IF($A682="","",IF(Sync!$AE682="",0,Sync!$AE682))</f>
        <v/>
      </c>
      <c r="G682">
        <f>IF($A682="","",IF(Sync!$AF682="",0,Sync!$AF682))</f>
        <v/>
      </c>
      <c r="H682">
        <f>IF(OR($A682="",ROUND($F682+$G682,2)=0),"",$F682+$G682)</f>
        <v/>
      </c>
      <c r="I682">
        <f>IF($H682="","",IF(ROUND($F682,2)&gt;0,$A682,IF($D682="شخصی قاسم","شخصی قاسم",IF($D682="هزینه","هزینه: "&amp;IF($E682="","متفرقه",$E682),IF($C682="پاس چک","چک پرداختی",IF(OR($B682="",COUNTIF(AcctCodesA,$B682)=0),"متفرقه",$B682))))))</f>
        <v/>
      </c>
      <c r="J682">
        <f>IF($H682="","",IF(ROUND($F682,2)&gt;0,IF($D682="شخصی قاسم","شخصی قاسم",IF($D682="هزینه","هزینه: "&amp;IF($E682="","متفرقه",$E682),IF(OR($B682="",COUNTIF(AcctCodesA,$B682)=0),"متفرقه",$B682))),$A682))</f>
        <v/>
      </c>
      <c r="K682">
        <f>IF($A682="","",IF(AND($B682&lt;&gt;"",COUNTIF(AcctCodesA,$B682)=0),"کد طرف در INFO تعریف نشده",IF(AND($D682="هزینه",$E682=""),"هزینه بدون زیرگروه",IF(AND($C682="پاس چک",OR(Sync!$AJ682="",COUNTIF(IssueNosA,Sync!$AJ682)=0)),"شماره چک پاس‌شده معتبر نیست",""))))</f>
        <v/>
      </c>
      <c r="V682">
        <f>IF($K682="","",IF(ISNUMBER(Sync!$AK682),Sync!$AK682,LEFT(Sync!$AK682,4)&amp;MID(Sync!$AK682,6,2)&amp;RIGHT(Sync!$AK682,2))&amp;"|"&amp;"4"&amp;RIGHT("00000"&amp;677,5))</f>
        <v/>
      </c>
      <c r="W682">
        <f>IF($V682="",0,COUNTIFS($V$6:$V$2005,"&lt;"&amp;$V682)-COUNTIFS($V$6:$V$2005,"&lt;"&amp;$V682,$K$6:$K$2005,"")+1)</f>
        <v/>
      </c>
      <c r="X682">
        <f>IF(Sync!$AX682="","",IF(OR(N(Sync!$AY682)=0,N(Sync!$AZ682)=0),"",ROUND(N(Sync!$AY682)*N(Sync!$AZ682),0)))</f>
        <v/>
      </c>
      <c r="Y682">
        <f>IF($X682="","",IF(OR(Sync!$AX682="",COUNTIF(AcctCodesA,Sync!$AX682)=0),"متفرقه",Sync!$AX682))</f>
        <v/>
      </c>
      <c r="Z682">
        <f>IF($X682="","","سبد و ظروف")</f>
        <v/>
      </c>
      <c r="AA682">
        <f>IF($X682="","",$Y682)</f>
        <v/>
      </c>
    </row>
    <row r="683">
      <c r="A683">
        <f>IF(Sync!$Z683="","",LEFT(UPPER(TRIM(Sync!$Z683)),6))</f>
        <v/>
      </c>
      <c r="B683">
        <f>IF($A683="","",IF(Sync!$AA683="","",Sync!$AA683))</f>
        <v/>
      </c>
      <c r="C683">
        <f>IF($A683="","",IF(Sync!$AB683="","",Sync!$AB683))</f>
        <v/>
      </c>
      <c r="D683">
        <f>IF($A683="","",IF(Sync!$AC683="","",Sync!$AC683))</f>
        <v/>
      </c>
      <c r="E683">
        <f>IF($A683="","",IF(Sync!$AD683="","",Sync!$AD683))</f>
        <v/>
      </c>
      <c r="F683">
        <f>IF($A683="","",IF(Sync!$AE683="",0,Sync!$AE683))</f>
        <v/>
      </c>
      <c r="G683">
        <f>IF($A683="","",IF(Sync!$AF683="",0,Sync!$AF683))</f>
        <v/>
      </c>
      <c r="H683">
        <f>IF(OR($A683="",ROUND($F683+$G683,2)=0),"",$F683+$G683)</f>
        <v/>
      </c>
      <c r="I683">
        <f>IF($H683="","",IF(ROUND($F683,2)&gt;0,$A683,IF($D683="شخصی قاسم","شخصی قاسم",IF($D683="هزینه","هزینه: "&amp;IF($E683="","متفرقه",$E683),IF($C683="پاس چک","چک پرداختی",IF(OR($B683="",COUNTIF(AcctCodesA,$B683)=0),"متفرقه",$B683))))))</f>
        <v/>
      </c>
      <c r="J683">
        <f>IF($H683="","",IF(ROUND($F683,2)&gt;0,IF($D683="شخصی قاسم","شخصی قاسم",IF($D683="هزینه","هزینه: "&amp;IF($E683="","متفرقه",$E683),IF(OR($B683="",COUNTIF(AcctCodesA,$B683)=0),"متفرقه",$B683))),$A683))</f>
        <v/>
      </c>
      <c r="K683">
        <f>IF($A683="","",IF(AND($B683&lt;&gt;"",COUNTIF(AcctCodesA,$B683)=0),"کد طرف در INFO تعریف نشده",IF(AND($D683="هزینه",$E683=""),"هزینه بدون زیرگروه",IF(AND($C683="پاس چک",OR(Sync!$AJ683="",COUNTIF(IssueNosA,Sync!$AJ683)=0)),"شماره چک پاس‌شده معتبر نیست",""))))</f>
        <v/>
      </c>
      <c r="V683">
        <f>IF($K683="","",IF(ISNUMBER(Sync!$AK683),Sync!$AK683,LEFT(Sync!$AK683,4)&amp;MID(Sync!$AK683,6,2)&amp;RIGHT(Sync!$AK683,2))&amp;"|"&amp;"4"&amp;RIGHT("00000"&amp;678,5))</f>
        <v/>
      </c>
      <c r="W683">
        <f>IF($V683="",0,COUNTIFS($V$6:$V$2005,"&lt;"&amp;$V683)-COUNTIFS($V$6:$V$2005,"&lt;"&amp;$V683,$K$6:$K$2005,"")+1)</f>
        <v/>
      </c>
      <c r="X683">
        <f>IF(Sync!$AX683="","",IF(OR(N(Sync!$AY683)=0,N(Sync!$AZ683)=0),"",ROUND(N(Sync!$AY683)*N(Sync!$AZ683),0)))</f>
        <v/>
      </c>
      <c r="Y683">
        <f>IF($X683="","",IF(OR(Sync!$AX683="",COUNTIF(AcctCodesA,Sync!$AX683)=0),"متفرقه",Sync!$AX683))</f>
        <v/>
      </c>
      <c r="Z683">
        <f>IF($X683="","","سبد و ظروف")</f>
        <v/>
      </c>
      <c r="AA683">
        <f>IF($X683="","",$Y683)</f>
        <v/>
      </c>
    </row>
    <row r="684">
      <c r="A684">
        <f>IF(Sync!$Z684="","",LEFT(UPPER(TRIM(Sync!$Z684)),6))</f>
        <v/>
      </c>
      <c r="B684">
        <f>IF($A684="","",IF(Sync!$AA684="","",Sync!$AA684))</f>
        <v/>
      </c>
      <c r="C684">
        <f>IF($A684="","",IF(Sync!$AB684="","",Sync!$AB684))</f>
        <v/>
      </c>
      <c r="D684">
        <f>IF($A684="","",IF(Sync!$AC684="","",Sync!$AC684))</f>
        <v/>
      </c>
      <c r="E684">
        <f>IF($A684="","",IF(Sync!$AD684="","",Sync!$AD684))</f>
        <v/>
      </c>
      <c r="F684">
        <f>IF($A684="","",IF(Sync!$AE684="",0,Sync!$AE684))</f>
        <v/>
      </c>
      <c r="G684">
        <f>IF($A684="","",IF(Sync!$AF684="",0,Sync!$AF684))</f>
        <v/>
      </c>
      <c r="H684">
        <f>IF(OR($A684="",ROUND($F684+$G684,2)=0),"",$F684+$G684)</f>
        <v/>
      </c>
      <c r="I684">
        <f>IF($H684="","",IF(ROUND($F684,2)&gt;0,$A684,IF($D684="شخصی قاسم","شخصی قاسم",IF($D684="هزینه","هزینه: "&amp;IF($E684="","متفرقه",$E684),IF($C684="پاس چک","چک پرداختی",IF(OR($B684="",COUNTIF(AcctCodesA,$B684)=0),"متفرقه",$B684))))))</f>
        <v/>
      </c>
      <c r="J684">
        <f>IF($H684="","",IF(ROUND($F684,2)&gt;0,IF($D684="شخصی قاسم","شخصی قاسم",IF($D684="هزینه","هزینه: "&amp;IF($E684="","متفرقه",$E684),IF(OR($B684="",COUNTIF(AcctCodesA,$B684)=0),"متفرقه",$B684))),$A684))</f>
        <v/>
      </c>
      <c r="K684">
        <f>IF($A684="","",IF(AND($B684&lt;&gt;"",COUNTIF(AcctCodesA,$B684)=0),"کد طرف در INFO تعریف نشده",IF(AND($D684="هزینه",$E684=""),"هزینه بدون زیرگروه",IF(AND($C684="پاس چک",OR(Sync!$AJ684="",COUNTIF(IssueNosA,Sync!$AJ684)=0)),"شماره چک پاس‌شده معتبر نیست",""))))</f>
        <v/>
      </c>
      <c r="V684">
        <f>IF($K684="","",IF(ISNUMBER(Sync!$AK684),Sync!$AK684,LEFT(Sync!$AK684,4)&amp;MID(Sync!$AK684,6,2)&amp;RIGHT(Sync!$AK684,2))&amp;"|"&amp;"4"&amp;RIGHT("00000"&amp;679,5))</f>
        <v/>
      </c>
      <c r="W684">
        <f>IF($V684="",0,COUNTIFS($V$6:$V$2005,"&lt;"&amp;$V684)-COUNTIFS($V$6:$V$2005,"&lt;"&amp;$V684,$K$6:$K$2005,"")+1)</f>
        <v/>
      </c>
      <c r="X684">
        <f>IF(Sync!$AX684="","",IF(OR(N(Sync!$AY684)=0,N(Sync!$AZ684)=0),"",ROUND(N(Sync!$AY684)*N(Sync!$AZ684),0)))</f>
        <v/>
      </c>
      <c r="Y684">
        <f>IF($X684="","",IF(OR(Sync!$AX684="",COUNTIF(AcctCodesA,Sync!$AX684)=0),"متفرقه",Sync!$AX684))</f>
        <v/>
      </c>
      <c r="Z684">
        <f>IF($X684="","","سبد و ظروف")</f>
        <v/>
      </c>
      <c r="AA684">
        <f>IF($X684="","",$Y684)</f>
        <v/>
      </c>
    </row>
    <row r="685">
      <c r="A685">
        <f>IF(Sync!$Z685="","",LEFT(UPPER(TRIM(Sync!$Z685)),6))</f>
        <v/>
      </c>
      <c r="B685">
        <f>IF($A685="","",IF(Sync!$AA685="","",Sync!$AA685))</f>
        <v/>
      </c>
      <c r="C685">
        <f>IF($A685="","",IF(Sync!$AB685="","",Sync!$AB685))</f>
        <v/>
      </c>
      <c r="D685">
        <f>IF($A685="","",IF(Sync!$AC685="","",Sync!$AC685))</f>
        <v/>
      </c>
      <c r="E685">
        <f>IF($A685="","",IF(Sync!$AD685="","",Sync!$AD685))</f>
        <v/>
      </c>
      <c r="F685">
        <f>IF($A685="","",IF(Sync!$AE685="",0,Sync!$AE685))</f>
        <v/>
      </c>
      <c r="G685">
        <f>IF($A685="","",IF(Sync!$AF685="",0,Sync!$AF685))</f>
        <v/>
      </c>
      <c r="H685">
        <f>IF(OR($A685="",ROUND($F685+$G685,2)=0),"",$F685+$G685)</f>
        <v/>
      </c>
      <c r="I685">
        <f>IF($H685="","",IF(ROUND($F685,2)&gt;0,$A685,IF($D685="شخصی قاسم","شخصی قاسم",IF($D685="هزینه","هزینه: "&amp;IF($E685="","متفرقه",$E685),IF($C685="پاس چک","چک پرداختی",IF(OR($B685="",COUNTIF(AcctCodesA,$B685)=0),"متفرقه",$B685))))))</f>
        <v/>
      </c>
      <c r="J685">
        <f>IF($H685="","",IF(ROUND($F685,2)&gt;0,IF($D685="شخصی قاسم","شخصی قاسم",IF($D685="هزینه","هزینه: "&amp;IF($E685="","متفرقه",$E685),IF(OR($B685="",COUNTIF(AcctCodesA,$B685)=0),"متفرقه",$B685))),$A685))</f>
        <v/>
      </c>
      <c r="K685">
        <f>IF($A685="","",IF(AND($B685&lt;&gt;"",COUNTIF(AcctCodesA,$B685)=0),"کد طرف در INFO تعریف نشده",IF(AND($D685="هزینه",$E685=""),"هزینه بدون زیرگروه",IF(AND($C685="پاس چک",OR(Sync!$AJ685="",COUNTIF(IssueNosA,Sync!$AJ685)=0)),"شماره چک پاس‌شده معتبر نیست",""))))</f>
        <v/>
      </c>
      <c r="V685">
        <f>IF($K685="","",IF(ISNUMBER(Sync!$AK685),Sync!$AK685,LEFT(Sync!$AK685,4)&amp;MID(Sync!$AK685,6,2)&amp;RIGHT(Sync!$AK685,2))&amp;"|"&amp;"4"&amp;RIGHT("00000"&amp;680,5))</f>
        <v/>
      </c>
      <c r="W685">
        <f>IF($V685="",0,COUNTIFS($V$6:$V$2005,"&lt;"&amp;$V685)-COUNTIFS($V$6:$V$2005,"&lt;"&amp;$V685,$K$6:$K$2005,"")+1)</f>
        <v/>
      </c>
      <c r="X685">
        <f>IF(Sync!$AX685="","",IF(OR(N(Sync!$AY685)=0,N(Sync!$AZ685)=0),"",ROUND(N(Sync!$AY685)*N(Sync!$AZ685),0)))</f>
        <v/>
      </c>
      <c r="Y685">
        <f>IF($X685="","",IF(OR(Sync!$AX685="",COUNTIF(AcctCodesA,Sync!$AX685)=0),"متفرقه",Sync!$AX685))</f>
        <v/>
      </c>
      <c r="Z685">
        <f>IF($X685="","","سبد و ظروف")</f>
        <v/>
      </c>
      <c r="AA685">
        <f>IF($X685="","",$Y685)</f>
        <v/>
      </c>
    </row>
    <row r="686">
      <c r="A686">
        <f>IF(Sync!$Z686="","",LEFT(UPPER(TRIM(Sync!$Z686)),6))</f>
        <v/>
      </c>
      <c r="B686">
        <f>IF($A686="","",IF(Sync!$AA686="","",Sync!$AA686))</f>
        <v/>
      </c>
      <c r="C686">
        <f>IF($A686="","",IF(Sync!$AB686="","",Sync!$AB686))</f>
        <v/>
      </c>
      <c r="D686">
        <f>IF($A686="","",IF(Sync!$AC686="","",Sync!$AC686))</f>
        <v/>
      </c>
      <c r="E686">
        <f>IF($A686="","",IF(Sync!$AD686="","",Sync!$AD686))</f>
        <v/>
      </c>
      <c r="F686">
        <f>IF($A686="","",IF(Sync!$AE686="",0,Sync!$AE686))</f>
        <v/>
      </c>
      <c r="G686">
        <f>IF($A686="","",IF(Sync!$AF686="",0,Sync!$AF686))</f>
        <v/>
      </c>
      <c r="H686">
        <f>IF(OR($A686="",ROUND($F686+$G686,2)=0),"",$F686+$G686)</f>
        <v/>
      </c>
      <c r="I686">
        <f>IF($H686="","",IF(ROUND($F686,2)&gt;0,$A686,IF($D686="شخصی قاسم","شخصی قاسم",IF($D686="هزینه","هزینه: "&amp;IF($E686="","متفرقه",$E686),IF($C686="پاس چک","چک پرداختی",IF(OR($B686="",COUNTIF(AcctCodesA,$B686)=0),"متفرقه",$B686))))))</f>
        <v/>
      </c>
      <c r="J686">
        <f>IF($H686="","",IF(ROUND($F686,2)&gt;0,IF($D686="شخصی قاسم","شخصی قاسم",IF($D686="هزینه","هزینه: "&amp;IF($E686="","متفرقه",$E686),IF(OR($B686="",COUNTIF(AcctCodesA,$B686)=0),"متفرقه",$B686))),$A686))</f>
        <v/>
      </c>
      <c r="K686">
        <f>IF($A686="","",IF(AND($B686&lt;&gt;"",COUNTIF(AcctCodesA,$B686)=0),"کد طرف در INFO تعریف نشده",IF(AND($D686="هزینه",$E686=""),"هزینه بدون زیرگروه",IF(AND($C686="پاس چک",OR(Sync!$AJ686="",COUNTIF(IssueNosA,Sync!$AJ686)=0)),"شماره چک پاس‌شده معتبر نیست",""))))</f>
        <v/>
      </c>
      <c r="V686">
        <f>IF($K686="","",IF(ISNUMBER(Sync!$AK686),Sync!$AK686,LEFT(Sync!$AK686,4)&amp;MID(Sync!$AK686,6,2)&amp;RIGHT(Sync!$AK686,2))&amp;"|"&amp;"4"&amp;RIGHT("00000"&amp;681,5))</f>
        <v/>
      </c>
      <c r="W686">
        <f>IF($V686="",0,COUNTIFS($V$6:$V$2005,"&lt;"&amp;$V686)-COUNTIFS($V$6:$V$2005,"&lt;"&amp;$V686,$K$6:$K$2005,"")+1)</f>
        <v/>
      </c>
      <c r="X686">
        <f>IF(Sync!$AX686="","",IF(OR(N(Sync!$AY686)=0,N(Sync!$AZ686)=0),"",ROUND(N(Sync!$AY686)*N(Sync!$AZ686),0)))</f>
        <v/>
      </c>
      <c r="Y686">
        <f>IF($X686="","",IF(OR(Sync!$AX686="",COUNTIF(AcctCodesA,Sync!$AX686)=0),"متفرقه",Sync!$AX686))</f>
        <v/>
      </c>
      <c r="Z686">
        <f>IF($X686="","","سبد و ظروف")</f>
        <v/>
      </c>
      <c r="AA686">
        <f>IF($X686="","",$Y686)</f>
        <v/>
      </c>
    </row>
    <row r="687">
      <c r="A687">
        <f>IF(Sync!$Z687="","",LEFT(UPPER(TRIM(Sync!$Z687)),6))</f>
        <v/>
      </c>
      <c r="B687">
        <f>IF($A687="","",IF(Sync!$AA687="","",Sync!$AA687))</f>
        <v/>
      </c>
      <c r="C687">
        <f>IF($A687="","",IF(Sync!$AB687="","",Sync!$AB687))</f>
        <v/>
      </c>
      <c r="D687">
        <f>IF($A687="","",IF(Sync!$AC687="","",Sync!$AC687))</f>
        <v/>
      </c>
      <c r="E687">
        <f>IF($A687="","",IF(Sync!$AD687="","",Sync!$AD687))</f>
        <v/>
      </c>
      <c r="F687">
        <f>IF($A687="","",IF(Sync!$AE687="",0,Sync!$AE687))</f>
        <v/>
      </c>
      <c r="G687">
        <f>IF($A687="","",IF(Sync!$AF687="",0,Sync!$AF687))</f>
        <v/>
      </c>
      <c r="H687">
        <f>IF(OR($A687="",ROUND($F687+$G687,2)=0),"",$F687+$G687)</f>
        <v/>
      </c>
      <c r="I687">
        <f>IF($H687="","",IF(ROUND($F687,2)&gt;0,$A687,IF($D687="شخصی قاسم","شخصی قاسم",IF($D687="هزینه","هزینه: "&amp;IF($E687="","متفرقه",$E687),IF($C687="پاس چک","چک پرداختی",IF(OR($B687="",COUNTIF(AcctCodesA,$B687)=0),"متفرقه",$B687))))))</f>
        <v/>
      </c>
      <c r="J687">
        <f>IF($H687="","",IF(ROUND($F687,2)&gt;0,IF($D687="شخصی قاسم","شخصی قاسم",IF($D687="هزینه","هزینه: "&amp;IF($E687="","متفرقه",$E687),IF(OR($B687="",COUNTIF(AcctCodesA,$B687)=0),"متفرقه",$B687))),$A687))</f>
        <v/>
      </c>
      <c r="K687">
        <f>IF($A687="","",IF(AND($B687&lt;&gt;"",COUNTIF(AcctCodesA,$B687)=0),"کد طرف در INFO تعریف نشده",IF(AND($D687="هزینه",$E687=""),"هزینه بدون زیرگروه",IF(AND($C687="پاس چک",OR(Sync!$AJ687="",COUNTIF(IssueNosA,Sync!$AJ687)=0)),"شماره چک پاس‌شده معتبر نیست",""))))</f>
        <v/>
      </c>
      <c r="V687">
        <f>IF($K687="","",IF(ISNUMBER(Sync!$AK687),Sync!$AK687,LEFT(Sync!$AK687,4)&amp;MID(Sync!$AK687,6,2)&amp;RIGHT(Sync!$AK687,2))&amp;"|"&amp;"4"&amp;RIGHT("00000"&amp;682,5))</f>
        <v/>
      </c>
      <c r="W687">
        <f>IF($V687="",0,COUNTIFS($V$6:$V$2005,"&lt;"&amp;$V687)-COUNTIFS($V$6:$V$2005,"&lt;"&amp;$V687,$K$6:$K$2005,"")+1)</f>
        <v/>
      </c>
      <c r="X687">
        <f>IF(Sync!$AX687="","",IF(OR(N(Sync!$AY687)=0,N(Sync!$AZ687)=0),"",ROUND(N(Sync!$AY687)*N(Sync!$AZ687),0)))</f>
        <v/>
      </c>
      <c r="Y687">
        <f>IF($X687="","",IF(OR(Sync!$AX687="",COUNTIF(AcctCodesA,Sync!$AX687)=0),"متفرقه",Sync!$AX687))</f>
        <v/>
      </c>
      <c r="Z687">
        <f>IF($X687="","","سبد و ظروف")</f>
        <v/>
      </c>
      <c r="AA687">
        <f>IF($X687="","",$Y687)</f>
        <v/>
      </c>
    </row>
    <row r="688">
      <c r="A688">
        <f>IF(Sync!$Z688="","",LEFT(UPPER(TRIM(Sync!$Z688)),6))</f>
        <v/>
      </c>
      <c r="B688">
        <f>IF($A688="","",IF(Sync!$AA688="","",Sync!$AA688))</f>
        <v/>
      </c>
      <c r="C688">
        <f>IF($A688="","",IF(Sync!$AB688="","",Sync!$AB688))</f>
        <v/>
      </c>
      <c r="D688">
        <f>IF($A688="","",IF(Sync!$AC688="","",Sync!$AC688))</f>
        <v/>
      </c>
      <c r="E688">
        <f>IF($A688="","",IF(Sync!$AD688="","",Sync!$AD688))</f>
        <v/>
      </c>
      <c r="F688">
        <f>IF($A688="","",IF(Sync!$AE688="",0,Sync!$AE688))</f>
        <v/>
      </c>
      <c r="G688">
        <f>IF($A688="","",IF(Sync!$AF688="",0,Sync!$AF688))</f>
        <v/>
      </c>
      <c r="H688">
        <f>IF(OR($A688="",ROUND($F688+$G688,2)=0),"",$F688+$G688)</f>
        <v/>
      </c>
      <c r="I688">
        <f>IF($H688="","",IF(ROUND($F688,2)&gt;0,$A688,IF($D688="شخصی قاسم","شخصی قاسم",IF($D688="هزینه","هزینه: "&amp;IF($E688="","متفرقه",$E688),IF($C688="پاس چک","چک پرداختی",IF(OR($B688="",COUNTIF(AcctCodesA,$B688)=0),"متفرقه",$B688))))))</f>
        <v/>
      </c>
      <c r="J688">
        <f>IF($H688="","",IF(ROUND($F688,2)&gt;0,IF($D688="شخصی قاسم","شخصی قاسم",IF($D688="هزینه","هزینه: "&amp;IF($E688="","متفرقه",$E688),IF(OR($B688="",COUNTIF(AcctCodesA,$B688)=0),"متفرقه",$B688))),$A688))</f>
        <v/>
      </c>
      <c r="K688">
        <f>IF($A688="","",IF(AND($B688&lt;&gt;"",COUNTIF(AcctCodesA,$B688)=0),"کد طرف در INFO تعریف نشده",IF(AND($D688="هزینه",$E688=""),"هزینه بدون زیرگروه",IF(AND($C688="پاس چک",OR(Sync!$AJ688="",COUNTIF(IssueNosA,Sync!$AJ688)=0)),"شماره چک پاس‌شده معتبر نیست",""))))</f>
        <v/>
      </c>
      <c r="V688">
        <f>IF($K688="","",IF(ISNUMBER(Sync!$AK688),Sync!$AK688,LEFT(Sync!$AK688,4)&amp;MID(Sync!$AK688,6,2)&amp;RIGHT(Sync!$AK688,2))&amp;"|"&amp;"4"&amp;RIGHT("00000"&amp;683,5))</f>
        <v/>
      </c>
      <c r="W688">
        <f>IF($V688="",0,COUNTIFS($V$6:$V$2005,"&lt;"&amp;$V688)-COUNTIFS($V$6:$V$2005,"&lt;"&amp;$V688,$K$6:$K$2005,"")+1)</f>
        <v/>
      </c>
      <c r="X688">
        <f>IF(Sync!$AX688="","",IF(OR(N(Sync!$AY688)=0,N(Sync!$AZ688)=0),"",ROUND(N(Sync!$AY688)*N(Sync!$AZ688),0)))</f>
        <v/>
      </c>
      <c r="Y688">
        <f>IF($X688="","",IF(OR(Sync!$AX688="",COUNTIF(AcctCodesA,Sync!$AX688)=0),"متفرقه",Sync!$AX688))</f>
        <v/>
      </c>
      <c r="Z688">
        <f>IF($X688="","","سبد و ظروف")</f>
        <v/>
      </c>
      <c r="AA688">
        <f>IF($X688="","",$Y688)</f>
        <v/>
      </c>
    </row>
    <row r="689">
      <c r="A689">
        <f>IF(Sync!$Z689="","",LEFT(UPPER(TRIM(Sync!$Z689)),6))</f>
        <v/>
      </c>
      <c r="B689">
        <f>IF($A689="","",IF(Sync!$AA689="","",Sync!$AA689))</f>
        <v/>
      </c>
      <c r="C689">
        <f>IF($A689="","",IF(Sync!$AB689="","",Sync!$AB689))</f>
        <v/>
      </c>
      <c r="D689">
        <f>IF($A689="","",IF(Sync!$AC689="","",Sync!$AC689))</f>
        <v/>
      </c>
      <c r="E689">
        <f>IF($A689="","",IF(Sync!$AD689="","",Sync!$AD689))</f>
        <v/>
      </c>
      <c r="F689">
        <f>IF($A689="","",IF(Sync!$AE689="",0,Sync!$AE689))</f>
        <v/>
      </c>
      <c r="G689">
        <f>IF($A689="","",IF(Sync!$AF689="",0,Sync!$AF689))</f>
        <v/>
      </c>
      <c r="H689">
        <f>IF(OR($A689="",ROUND($F689+$G689,2)=0),"",$F689+$G689)</f>
        <v/>
      </c>
      <c r="I689">
        <f>IF($H689="","",IF(ROUND($F689,2)&gt;0,$A689,IF($D689="شخصی قاسم","شخصی قاسم",IF($D689="هزینه","هزینه: "&amp;IF($E689="","متفرقه",$E689),IF($C689="پاس چک","چک پرداختی",IF(OR($B689="",COUNTIF(AcctCodesA,$B689)=0),"متفرقه",$B689))))))</f>
        <v/>
      </c>
      <c r="J689">
        <f>IF($H689="","",IF(ROUND($F689,2)&gt;0,IF($D689="شخصی قاسم","شخصی قاسم",IF($D689="هزینه","هزینه: "&amp;IF($E689="","متفرقه",$E689),IF(OR($B689="",COUNTIF(AcctCodesA,$B689)=0),"متفرقه",$B689))),$A689))</f>
        <v/>
      </c>
      <c r="K689">
        <f>IF($A689="","",IF(AND($B689&lt;&gt;"",COUNTIF(AcctCodesA,$B689)=0),"کد طرف در INFO تعریف نشده",IF(AND($D689="هزینه",$E689=""),"هزینه بدون زیرگروه",IF(AND($C689="پاس چک",OR(Sync!$AJ689="",COUNTIF(IssueNosA,Sync!$AJ689)=0)),"شماره چک پاس‌شده معتبر نیست",""))))</f>
        <v/>
      </c>
      <c r="V689">
        <f>IF($K689="","",IF(ISNUMBER(Sync!$AK689),Sync!$AK689,LEFT(Sync!$AK689,4)&amp;MID(Sync!$AK689,6,2)&amp;RIGHT(Sync!$AK689,2))&amp;"|"&amp;"4"&amp;RIGHT("00000"&amp;684,5))</f>
        <v/>
      </c>
      <c r="W689">
        <f>IF($V689="",0,COUNTIFS($V$6:$V$2005,"&lt;"&amp;$V689)-COUNTIFS($V$6:$V$2005,"&lt;"&amp;$V689,$K$6:$K$2005,"")+1)</f>
        <v/>
      </c>
      <c r="X689">
        <f>IF(Sync!$AX689="","",IF(OR(N(Sync!$AY689)=0,N(Sync!$AZ689)=0),"",ROUND(N(Sync!$AY689)*N(Sync!$AZ689),0)))</f>
        <v/>
      </c>
      <c r="Y689">
        <f>IF($X689="","",IF(OR(Sync!$AX689="",COUNTIF(AcctCodesA,Sync!$AX689)=0),"متفرقه",Sync!$AX689))</f>
        <v/>
      </c>
      <c r="Z689">
        <f>IF($X689="","","سبد و ظروف")</f>
        <v/>
      </c>
      <c r="AA689">
        <f>IF($X689="","",$Y689)</f>
        <v/>
      </c>
    </row>
    <row r="690">
      <c r="A690">
        <f>IF(Sync!$Z690="","",LEFT(UPPER(TRIM(Sync!$Z690)),6))</f>
        <v/>
      </c>
      <c r="B690">
        <f>IF($A690="","",IF(Sync!$AA690="","",Sync!$AA690))</f>
        <v/>
      </c>
      <c r="C690">
        <f>IF($A690="","",IF(Sync!$AB690="","",Sync!$AB690))</f>
        <v/>
      </c>
      <c r="D690">
        <f>IF($A690="","",IF(Sync!$AC690="","",Sync!$AC690))</f>
        <v/>
      </c>
      <c r="E690">
        <f>IF($A690="","",IF(Sync!$AD690="","",Sync!$AD690))</f>
        <v/>
      </c>
      <c r="F690">
        <f>IF($A690="","",IF(Sync!$AE690="",0,Sync!$AE690))</f>
        <v/>
      </c>
      <c r="G690">
        <f>IF($A690="","",IF(Sync!$AF690="",0,Sync!$AF690))</f>
        <v/>
      </c>
      <c r="H690">
        <f>IF(OR($A690="",ROUND($F690+$G690,2)=0),"",$F690+$G690)</f>
        <v/>
      </c>
      <c r="I690">
        <f>IF($H690="","",IF(ROUND($F690,2)&gt;0,$A690,IF($D690="شخصی قاسم","شخصی قاسم",IF($D690="هزینه","هزینه: "&amp;IF($E690="","متفرقه",$E690),IF($C690="پاس چک","چک پرداختی",IF(OR($B690="",COUNTIF(AcctCodesA,$B690)=0),"متفرقه",$B690))))))</f>
        <v/>
      </c>
      <c r="J690">
        <f>IF($H690="","",IF(ROUND($F690,2)&gt;0,IF($D690="شخصی قاسم","شخصی قاسم",IF($D690="هزینه","هزینه: "&amp;IF($E690="","متفرقه",$E690),IF(OR($B690="",COUNTIF(AcctCodesA,$B690)=0),"متفرقه",$B690))),$A690))</f>
        <v/>
      </c>
      <c r="K690">
        <f>IF($A690="","",IF(AND($B690&lt;&gt;"",COUNTIF(AcctCodesA,$B690)=0),"کد طرف در INFO تعریف نشده",IF(AND($D690="هزینه",$E690=""),"هزینه بدون زیرگروه",IF(AND($C690="پاس چک",OR(Sync!$AJ690="",COUNTIF(IssueNosA,Sync!$AJ690)=0)),"شماره چک پاس‌شده معتبر نیست",""))))</f>
        <v/>
      </c>
      <c r="V690">
        <f>IF($K690="","",IF(ISNUMBER(Sync!$AK690),Sync!$AK690,LEFT(Sync!$AK690,4)&amp;MID(Sync!$AK690,6,2)&amp;RIGHT(Sync!$AK690,2))&amp;"|"&amp;"4"&amp;RIGHT("00000"&amp;685,5))</f>
        <v/>
      </c>
      <c r="W690">
        <f>IF($V690="",0,COUNTIFS($V$6:$V$2005,"&lt;"&amp;$V690)-COUNTIFS($V$6:$V$2005,"&lt;"&amp;$V690,$K$6:$K$2005,"")+1)</f>
        <v/>
      </c>
      <c r="X690">
        <f>IF(Sync!$AX690="","",IF(OR(N(Sync!$AY690)=0,N(Sync!$AZ690)=0),"",ROUND(N(Sync!$AY690)*N(Sync!$AZ690),0)))</f>
        <v/>
      </c>
      <c r="Y690">
        <f>IF($X690="","",IF(OR(Sync!$AX690="",COUNTIF(AcctCodesA,Sync!$AX690)=0),"متفرقه",Sync!$AX690))</f>
        <v/>
      </c>
      <c r="Z690">
        <f>IF($X690="","","سبد و ظروف")</f>
        <v/>
      </c>
      <c r="AA690">
        <f>IF($X690="","",$Y690)</f>
        <v/>
      </c>
    </row>
    <row r="691">
      <c r="A691">
        <f>IF(Sync!$Z691="","",LEFT(UPPER(TRIM(Sync!$Z691)),6))</f>
        <v/>
      </c>
      <c r="B691">
        <f>IF($A691="","",IF(Sync!$AA691="","",Sync!$AA691))</f>
        <v/>
      </c>
      <c r="C691">
        <f>IF($A691="","",IF(Sync!$AB691="","",Sync!$AB691))</f>
        <v/>
      </c>
      <c r="D691">
        <f>IF($A691="","",IF(Sync!$AC691="","",Sync!$AC691))</f>
        <v/>
      </c>
      <c r="E691">
        <f>IF($A691="","",IF(Sync!$AD691="","",Sync!$AD691))</f>
        <v/>
      </c>
      <c r="F691">
        <f>IF($A691="","",IF(Sync!$AE691="",0,Sync!$AE691))</f>
        <v/>
      </c>
      <c r="G691">
        <f>IF($A691="","",IF(Sync!$AF691="",0,Sync!$AF691))</f>
        <v/>
      </c>
      <c r="H691">
        <f>IF(OR($A691="",ROUND($F691+$G691,2)=0),"",$F691+$G691)</f>
        <v/>
      </c>
      <c r="I691">
        <f>IF($H691="","",IF(ROUND($F691,2)&gt;0,$A691,IF($D691="شخصی قاسم","شخصی قاسم",IF($D691="هزینه","هزینه: "&amp;IF($E691="","متفرقه",$E691),IF($C691="پاس چک","چک پرداختی",IF(OR($B691="",COUNTIF(AcctCodesA,$B691)=0),"متفرقه",$B691))))))</f>
        <v/>
      </c>
      <c r="J691">
        <f>IF($H691="","",IF(ROUND($F691,2)&gt;0,IF($D691="شخصی قاسم","شخصی قاسم",IF($D691="هزینه","هزینه: "&amp;IF($E691="","متفرقه",$E691),IF(OR($B691="",COUNTIF(AcctCodesA,$B691)=0),"متفرقه",$B691))),$A691))</f>
        <v/>
      </c>
      <c r="K691">
        <f>IF($A691="","",IF(AND($B691&lt;&gt;"",COUNTIF(AcctCodesA,$B691)=0),"کد طرف در INFO تعریف نشده",IF(AND($D691="هزینه",$E691=""),"هزینه بدون زیرگروه",IF(AND($C691="پاس چک",OR(Sync!$AJ691="",COUNTIF(IssueNosA,Sync!$AJ691)=0)),"شماره چک پاس‌شده معتبر نیست",""))))</f>
        <v/>
      </c>
      <c r="V691">
        <f>IF($K691="","",IF(ISNUMBER(Sync!$AK691),Sync!$AK691,LEFT(Sync!$AK691,4)&amp;MID(Sync!$AK691,6,2)&amp;RIGHT(Sync!$AK691,2))&amp;"|"&amp;"4"&amp;RIGHT("00000"&amp;686,5))</f>
        <v/>
      </c>
      <c r="W691">
        <f>IF($V691="",0,COUNTIFS($V$6:$V$2005,"&lt;"&amp;$V691)-COUNTIFS($V$6:$V$2005,"&lt;"&amp;$V691,$K$6:$K$2005,"")+1)</f>
        <v/>
      </c>
      <c r="X691">
        <f>IF(Sync!$AX691="","",IF(OR(N(Sync!$AY691)=0,N(Sync!$AZ691)=0),"",ROUND(N(Sync!$AY691)*N(Sync!$AZ691),0)))</f>
        <v/>
      </c>
      <c r="Y691">
        <f>IF($X691="","",IF(OR(Sync!$AX691="",COUNTIF(AcctCodesA,Sync!$AX691)=0),"متفرقه",Sync!$AX691))</f>
        <v/>
      </c>
      <c r="Z691">
        <f>IF($X691="","","سبد و ظروف")</f>
        <v/>
      </c>
      <c r="AA691">
        <f>IF($X691="","",$Y691)</f>
        <v/>
      </c>
    </row>
    <row r="692">
      <c r="A692">
        <f>IF(Sync!$Z692="","",LEFT(UPPER(TRIM(Sync!$Z692)),6))</f>
        <v/>
      </c>
      <c r="B692">
        <f>IF($A692="","",IF(Sync!$AA692="","",Sync!$AA692))</f>
        <v/>
      </c>
      <c r="C692">
        <f>IF($A692="","",IF(Sync!$AB692="","",Sync!$AB692))</f>
        <v/>
      </c>
      <c r="D692">
        <f>IF($A692="","",IF(Sync!$AC692="","",Sync!$AC692))</f>
        <v/>
      </c>
      <c r="E692">
        <f>IF($A692="","",IF(Sync!$AD692="","",Sync!$AD692))</f>
        <v/>
      </c>
      <c r="F692">
        <f>IF($A692="","",IF(Sync!$AE692="",0,Sync!$AE692))</f>
        <v/>
      </c>
      <c r="G692">
        <f>IF($A692="","",IF(Sync!$AF692="",0,Sync!$AF692))</f>
        <v/>
      </c>
      <c r="H692">
        <f>IF(OR($A692="",ROUND($F692+$G692,2)=0),"",$F692+$G692)</f>
        <v/>
      </c>
      <c r="I692">
        <f>IF($H692="","",IF(ROUND($F692,2)&gt;0,$A692,IF($D692="شخصی قاسم","شخصی قاسم",IF($D692="هزینه","هزینه: "&amp;IF($E692="","متفرقه",$E692),IF($C692="پاس چک","چک پرداختی",IF(OR($B692="",COUNTIF(AcctCodesA,$B692)=0),"متفرقه",$B692))))))</f>
        <v/>
      </c>
      <c r="J692">
        <f>IF($H692="","",IF(ROUND($F692,2)&gt;0,IF($D692="شخصی قاسم","شخصی قاسم",IF($D692="هزینه","هزینه: "&amp;IF($E692="","متفرقه",$E692),IF(OR($B692="",COUNTIF(AcctCodesA,$B692)=0),"متفرقه",$B692))),$A692))</f>
        <v/>
      </c>
      <c r="K692">
        <f>IF($A692="","",IF(AND($B692&lt;&gt;"",COUNTIF(AcctCodesA,$B692)=0),"کد طرف در INFO تعریف نشده",IF(AND($D692="هزینه",$E692=""),"هزینه بدون زیرگروه",IF(AND($C692="پاس چک",OR(Sync!$AJ692="",COUNTIF(IssueNosA,Sync!$AJ692)=0)),"شماره چک پاس‌شده معتبر نیست",""))))</f>
        <v/>
      </c>
      <c r="V692">
        <f>IF($K692="","",IF(ISNUMBER(Sync!$AK692),Sync!$AK692,LEFT(Sync!$AK692,4)&amp;MID(Sync!$AK692,6,2)&amp;RIGHT(Sync!$AK692,2))&amp;"|"&amp;"4"&amp;RIGHT("00000"&amp;687,5))</f>
        <v/>
      </c>
      <c r="W692">
        <f>IF($V692="",0,COUNTIFS($V$6:$V$2005,"&lt;"&amp;$V692)-COUNTIFS($V$6:$V$2005,"&lt;"&amp;$V692,$K$6:$K$2005,"")+1)</f>
        <v/>
      </c>
      <c r="X692">
        <f>IF(Sync!$AX692="","",IF(OR(N(Sync!$AY692)=0,N(Sync!$AZ692)=0),"",ROUND(N(Sync!$AY692)*N(Sync!$AZ692),0)))</f>
        <v/>
      </c>
      <c r="Y692">
        <f>IF($X692="","",IF(OR(Sync!$AX692="",COUNTIF(AcctCodesA,Sync!$AX692)=0),"متفرقه",Sync!$AX692))</f>
        <v/>
      </c>
      <c r="Z692">
        <f>IF($X692="","","سبد و ظروف")</f>
        <v/>
      </c>
      <c r="AA692">
        <f>IF($X692="","",$Y692)</f>
        <v/>
      </c>
    </row>
    <row r="693">
      <c r="A693">
        <f>IF(Sync!$Z693="","",LEFT(UPPER(TRIM(Sync!$Z693)),6))</f>
        <v/>
      </c>
      <c r="B693">
        <f>IF($A693="","",IF(Sync!$AA693="","",Sync!$AA693))</f>
        <v/>
      </c>
      <c r="C693">
        <f>IF($A693="","",IF(Sync!$AB693="","",Sync!$AB693))</f>
        <v/>
      </c>
      <c r="D693">
        <f>IF($A693="","",IF(Sync!$AC693="","",Sync!$AC693))</f>
        <v/>
      </c>
      <c r="E693">
        <f>IF($A693="","",IF(Sync!$AD693="","",Sync!$AD693))</f>
        <v/>
      </c>
      <c r="F693">
        <f>IF($A693="","",IF(Sync!$AE693="",0,Sync!$AE693))</f>
        <v/>
      </c>
      <c r="G693">
        <f>IF($A693="","",IF(Sync!$AF693="",0,Sync!$AF693))</f>
        <v/>
      </c>
      <c r="H693">
        <f>IF(OR($A693="",ROUND($F693+$G693,2)=0),"",$F693+$G693)</f>
        <v/>
      </c>
      <c r="I693">
        <f>IF($H693="","",IF(ROUND($F693,2)&gt;0,$A693,IF($D693="شخصی قاسم","شخصی قاسم",IF($D693="هزینه","هزینه: "&amp;IF($E693="","متفرقه",$E693),IF($C693="پاس چک","چک پرداختی",IF(OR($B693="",COUNTIF(AcctCodesA,$B693)=0),"متفرقه",$B693))))))</f>
        <v/>
      </c>
      <c r="J693">
        <f>IF($H693="","",IF(ROUND($F693,2)&gt;0,IF($D693="شخصی قاسم","شخصی قاسم",IF($D693="هزینه","هزینه: "&amp;IF($E693="","متفرقه",$E693),IF(OR($B693="",COUNTIF(AcctCodesA,$B693)=0),"متفرقه",$B693))),$A693))</f>
        <v/>
      </c>
      <c r="K693">
        <f>IF($A693="","",IF(AND($B693&lt;&gt;"",COUNTIF(AcctCodesA,$B693)=0),"کد طرف در INFO تعریف نشده",IF(AND($D693="هزینه",$E693=""),"هزینه بدون زیرگروه",IF(AND($C693="پاس چک",OR(Sync!$AJ693="",COUNTIF(IssueNosA,Sync!$AJ693)=0)),"شماره چک پاس‌شده معتبر نیست",""))))</f>
        <v/>
      </c>
      <c r="V693">
        <f>IF($K693="","",IF(ISNUMBER(Sync!$AK693),Sync!$AK693,LEFT(Sync!$AK693,4)&amp;MID(Sync!$AK693,6,2)&amp;RIGHT(Sync!$AK693,2))&amp;"|"&amp;"4"&amp;RIGHT("00000"&amp;688,5))</f>
        <v/>
      </c>
      <c r="W693">
        <f>IF($V693="",0,COUNTIFS($V$6:$V$2005,"&lt;"&amp;$V693)-COUNTIFS($V$6:$V$2005,"&lt;"&amp;$V693,$K$6:$K$2005,"")+1)</f>
        <v/>
      </c>
      <c r="X693">
        <f>IF(Sync!$AX693="","",IF(OR(N(Sync!$AY693)=0,N(Sync!$AZ693)=0),"",ROUND(N(Sync!$AY693)*N(Sync!$AZ693),0)))</f>
        <v/>
      </c>
      <c r="Y693">
        <f>IF($X693="","",IF(OR(Sync!$AX693="",COUNTIF(AcctCodesA,Sync!$AX693)=0),"متفرقه",Sync!$AX693))</f>
        <v/>
      </c>
      <c r="Z693">
        <f>IF($X693="","","سبد و ظروف")</f>
        <v/>
      </c>
      <c r="AA693">
        <f>IF($X693="","",$Y693)</f>
        <v/>
      </c>
    </row>
    <row r="694">
      <c r="A694">
        <f>IF(Sync!$Z694="","",LEFT(UPPER(TRIM(Sync!$Z694)),6))</f>
        <v/>
      </c>
      <c r="B694">
        <f>IF($A694="","",IF(Sync!$AA694="","",Sync!$AA694))</f>
        <v/>
      </c>
      <c r="C694">
        <f>IF($A694="","",IF(Sync!$AB694="","",Sync!$AB694))</f>
        <v/>
      </c>
      <c r="D694">
        <f>IF($A694="","",IF(Sync!$AC694="","",Sync!$AC694))</f>
        <v/>
      </c>
      <c r="E694">
        <f>IF($A694="","",IF(Sync!$AD694="","",Sync!$AD694))</f>
        <v/>
      </c>
      <c r="F694">
        <f>IF($A694="","",IF(Sync!$AE694="",0,Sync!$AE694))</f>
        <v/>
      </c>
      <c r="G694">
        <f>IF($A694="","",IF(Sync!$AF694="",0,Sync!$AF694))</f>
        <v/>
      </c>
      <c r="H694">
        <f>IF(OR($A694="",ROUND($F694+$G694,2)=0),"",$F694+$G694)</f>
        <v/>
      </c>
      <c r="I694">
        <f>IF($H694="","",IF(ROUND($F694,2)&gt;0,$A694,IF($D694="شخصی قاسم","شخصی قاسم",IF($D694="هزینه","هزینه: "&amp;IF($E694="","متفرقه",$E694),IF($C694="پاس چک","چک پرداختی",IF(OR($B694="",COUNTIF(AcctCodesA,$B694)=0),"متفرقه",$B694))))))</f>
        <v/>
      </c>
      <c r="J694">
        <f>IF($H694="","",IF(ROUND($F694,2)&gt;0,IF($D694="شخصی قاسم","شخصی قاسم",IF($D694="هزینه","هزینه: "&amp;IF($E694="","متفرقه",$E694),IF(OR($B694="",COUNTIF(AcctCodesA,$B694)=0),"متفرقه",$B694))),$A694))</f>
        <v/>
      </c>
      <c r="K694">
        <f>IF($A694="","",IF(AND($B694&lt;&gt;"",COUNTIF(AcctCodesA,$B694)=0),"کد طرف در INFO تعریف نشده",IF(AND($D694="هزینه",$E694=""),"هزینه بدون زیرگروه",IF(AND($C694="پاس چک",OR(Sync!$AJ694="",COUNTIF(IssueNosA,Sync!$AJ694)=0)),"شماره چک پاس‌شده معتبر نیست",""))))</f>
        <v/>
      </c>
      <c r="V694">
        <f>IF($K694="","",IF(ISNUMBER(Sync!$AK694),Sync!$AK694,LEFT(Sync!$AK694,4)&amp;MID(Sync!$AK694,6,2)&amp;RIGHT(Sync!$AK694,2))&amp;"|"&amp;"4"&amp;RIGHT("00000"&amp;689,5))</f>
        <v/>
      </c>
      <c r="W694">
        <f>IF($V694="",0,COUNTIFS($V$6:$V$2005,"&lt;"&amp;$V694)-COUNTIFS($V$6:$V$2005,"&lt;"&amp;$V694,$K$6:$K$2005,"")+1)</f>
        <v/>
      </c>
      <c r="X694">
        <f>IF(Sync!$AX694="","",IF(OR(N(Sync!$AY694)=0,N(Sync!$AZ694)=0),"",ROUND(N(Sync!$AY694)*N(Sync!$AZ694),0)))</f>
        <v/>
      </c>
      <c r="Y694">
        <f>IF($X694="","",IF(OR(Sync!$AX694="",COUNTIF(AcctCodesA,Sync!$AX694)=0),"متفرقه",Sync!$AX694))</f>
        <v/>
      </c>
      <c r="Z694">
        <f>IF($X694="","","سبد و ظروف")</f>
        <v/>
      </c>
      <c r="AA694">
        <f>IF($X694="","",$Y694)</f>
        <v/>
      </c>
    </row>
    <row r="695">
      <c r="A695">
        <f>IF(Sync!$Z695="","",LEFT(UPPER(TRIM(Sync!$Z695)),6))</f>
        <v/>
      </c>
      <c r="B695">
        <f>IF($A695="","",IF(Sync!$AA695="","",Sync!$AA695))</f>
        <v/>
      </c>
      <c r="C695">
        <f>IF($A695="","",IF(Sync!$AB695="","",Sync!$AB695))</f>
        <v/>
      </c>
      <c r="D695">
        <f>IF($A695="","",IF(Sync!$AC695="","",Sync!$AC695))</f>
        <v/>
      </c>
      <c r="E695">
        <f>IF($A695="","",IF(Sync!$AD695="","",Sync!$AD695))</f>
        <v/>
      </c>
      <c r="F695">
        <f>IF($A695="","",IF(Sync!$AE695="",0,Sync!$AE695))</f>
        <v/>
      </c>
      <c r="G695">
        <f>IF($A695="","",IF(Sync!$AF695="",0,Sync!$AF695))</f>
        <v/>
      </c>
      <c r="H695">
        <f>IF(OR($A695="",ROUND($F695+$G695,2)=0),"",$F695+$G695)</f>
        <v/>
      </c>
      <c r="I695">
        <f>IF($H695="","",IF(ROUND($F695,2)&gt;0,$A695,IF($D695="شخصی قاسم","شخصی قاسم",IF($D695="هزینه","هزینه: "&amp;IF($E695="","متفرقه",$E695),IF($C695="پاس چک","چک پرداختی",IF(OR($B695="",COUNTIF(AcctCodesA,$B695)=0),"متفرقه",$B695))))))</f>
        <v/>
      </c>
      <c r="J695">
        <f>IF($H695="","",IF(ROUND($F695,2)&gt;0,IF($D695="شخصی قاسم","شخصی قاسم",IF($D695="هزینه","هزینه: "&amp;IF($E695="","متفرقه",$E695),IF(OR($B695="",COUNTIF(AcctCodesA,$B695)=0),"متفرقه",$B695))),$A695))</f>
        <v/>
      </c>
      <c r="K695">
        <f>IF($A695="","",IF(AND($B695&lt;&gt;"",COUNTIF(AcctCodesA,$B695)=0),"کد طرف در INFO تعریف نشده",IF(AND($D695="هزینه",$E695=""),"هزینه بدون زیرگروه",IF(AND($C695="پاس چک",OR(Sync!$AJ695="",COUNTIF(IssueNosA,Sync!$AJ695)=0)),"شماره چک پاس‌شده معتبر نیست",""))))</f>
        <v/>
      </c>
      <c r="V695">
        <f>IF($K695="","",IF(ISNUMBER(Sync!$AK695),Sync!$AK695,LEFT(Sync!$AK695,4)&amp;MID(Sync!$AK695,6,2)&amp;RIGHT(Sync!$AK695,2))&amp;"|"&amp;"4"&amp;RIGHT("00000"&amp;690,5))</f>
        <v/>
      </c>
      <c r="W695">
        <f>IF($V695="",0,COUNTIFS($V$6:$V$2005,"&lt;"&amp;$V695)-COUNTIFS($V$6:$V$2005,"&lt;"&amp;$V695,$K$6:$K$2005,"")+1)</f>
        <v/>
      </c>
      <c r="X695">
        <f>IF(Sync!$AX695="","",IF(OR(N(Sync!$AY695)=0,N(Sync!$AZ695)=0),"",ROUND(N(Sync!$AY695)*N(Sync!$AZ695),0)))</f>
        <v/>
      </c>
      <c r="Y695">
        <f>IF($X695="","",IF(OR(Sync!$AX695="",COUNTIF(AcctCodesA,Sync!$AX695)=0),"متفرقه",Sync!$AX695))</f>
        <v/>
      </c>
      <c r="Z695">
        <f>IF($X695="","","سبد و ظروف")</f>
        <v/>
      </c>
      <c r="AA695">
        <f>IF($X695="","",$Y695)</f>
        <v/>
      </c>
    </row>
    <row r="696">
      <c r="A696">
        <f>IF(Sync!$Z696="","",LEFT(UPPER(TRIM(Sync!$Z696)),6))</f>
        <v/>
      </c>
      <c r="B696">
        <f>IF($A696="","",IF(Sync!$AA696="","",Sync!$AA696))</f>
        <v/>
      </c>
      <c r="C696">
        <f>IF($A696="","",IF(Sync!$AB696="","",Sync!$AB696))</f>
        <v/>
      </c>
      <c r="D696">
        <f>IF($A696="","",IF(Sync!$AC696="","",Sync!$AC696))</f>
        <v/>
      </c>
      <c r="E696">
        <f>IF($A696="","",IF(Sync!$AD696="","",Sync!$AD696))</f>
        <v/>
      </c>
      <c r="F696">
        <f>IF($A696="","",IF(Sync!$AE696="",0,Sync!$AE696))</f>
        <v/>
      </c>
      <c r="G696">
        <f>IF($A696="","",IF(Sync!$AF696="",0,Sync!$AF696))</f>
        <v/>
      </c>
      <c r="H696">
        <f>IF(OR($A696="",ROUND($F696+$G696,2)=0),"",$F696+$G696)</f>
        <v/>
      </c>
      <c r="I696">
        <f>IF($H696="","",IF(ROUND($F696,2)&gt;0,$A696,IF($D696="شخصی قاسم","شخصی قاسم",IF($D696="هزینه","هزینه: "&amp;IF($E696="","متفرقه",$E696),IF($C696="پاس چک","چک پرداختی",IF(OR($B696="",COUNTIF(AcctCodesA,$B696)=0),"متفرقه",$B696))))))</f>
        <v/>
      </c>
      <c r="J696">
        <f>IF($H696="","",IF(ROUND($F696,2)&gt;0,IF($D696="شخصی قاسم","شخصی قاسم",IF($D696="هزینه","هزینه: "&amp;IF($E696="","متفرقه",$E696),IF(OR($B696="",COUNTIF(AcctCodesA,$B696)=0),"متفرقه",$B696))),$A696))</f>
        <v/>
      </c>
      <c r="K696">
        <f>IF($A696="","",IF(AND($B696&lt;&gt;"",COUNTIF(AcctCodesA,$B696)=0),"کد طرف در INFO تعریف نشده",IF(AND($D696="هزینه",$E696=""),"هزینه بدون زیرگروه",IF(AND($C696="پاس چک",OR(Sync!$AJ696="",COUNTIF(IssueNosA,Sync!$AJ696)=0)),"شماره چک پاس‌شده معتبر نیست",""))))</f>
        <v/>
      </c>
      <c r="V696">
        <f>IF($K696="","",IF(ISNUMBER(Sync!$AK696),Sync!$AK696,LEFT(Sync!$AK696,4)&amp;MID(Sync!$AK696,6,2)&amp;RIGHT(Sync!$AK696,2))&amp;"|"&amp;"4"&amp;RIGHT("00000"&amp;691,5))</f>
        <v/>
      </c>
      <c r="W696">
        <f>IF($V696="",0,COUNTIFS($V$6:$V$2005,"&lt;"&amp;$V696)-COUNTIFS($V$6:$V$2005,"&lt;"&amp;$V696,$K$6:$K$2005,"")+1)</f>
        <v/>
      </c>
      <c r="X696">
        <f>IF(Sync!$AX696="","",IF(OR(N(Sync!$AY696)=0,N(Sync!$AZ696)=0),"",ROUND(N(Sync!$AY696)*N(Sync!$AZ696),0)))</f>
        <v/>
      </c>
      <c r="Y696">
        <f>IF($X696="","",IF(OR(Sync!$AX696="",COUNTIF(AcctCodesA,Sync!$AX696)=0),"متفرقه",Sync!$AX696))</f>
        <v/>
      </c>
      <c r="Z696">
        <f>IF($X696="","","سبد و ظروف")</f>
        <v/>
      </c>
      <c r="AA696">
        <f>IF($X696="","",$Y696)</f>
        <v/>
      </c>
    </row>
    <row r="697">
      <c r="A697">
        <f>IF(Sync!$Z697="","",LEFT(UPPER(TRIM(Sync!$Z697)),6))</f>
        <v/>
      </c>
      <c r="B697">
        <f>IF($A697="","",IF(Sync!$AA697="","",Sync!$AA697))</f>
        <v/>
      </c>
      <c r="C697">
        <f>IF($A697="","",IF(Sync!$AB697="","",Sync!$AB697))</f>
        <v/>
      </c>
      <c r="D697">
        <f>IF($A697="","",IF(Sync!$AC697="","",Sync!$AC697))</f>
        <v/>
      </c>
      <c r="E697">
        <f>IF($A697="","",IF(Sync!$AD697="","",Sync!$AD697))</f>
        <v/>
      </c>
      <c r="F697">
        <f>IF($A697="","",IF(Sync!$AE697="",0,Sync!$AE697))</f>
        <v/>
      </c>
      <c r="G697">
        <f>IF($A697="","",IF(Sync!$AF697="",0,Sync!$AF697))</f>
        <v/>
      </c>
      <c r="H697">
        <f>IF(OR($A697="",ROUND($F697+$G697,2)=0),"",$F697+$G697)</f>
        <v/>
      </c>
      <c r="I697">
        <f>IF($H697="","",IF(ROUND($F697,2)&gt;0,$A697,IF($D697="شخصی قاسم","شخصی قاسم",IF($D697="هزینه","هزینه: "&amp;IF($E697="","متفرقه",$E697),IF($C697="پاس چک","چک پرداختی",IF(OR($B697="",COUNTIF(AcctCodesA,$B697)=0),"متفرقه",$B697))))))</f>
        <v/>
      </c>
      <c r="J697">
        <f>IF($H697="","",IF(ROUND($F697,2)&gt;0,IF($D697="شخصی قاسم","شخصی قاسم",IF($D697="هزینه","هزینه: "&amp;IF($E697="","متفرقه",$E697),IF(OR($B697="",COUNTIF(AcctCodesA,$B697)=0),"متفرقه",$B697))),$A697))</f>
        <v/>
      </c>
      <c r="K697">
        <f>IF($A697="","",IF(AND($B697&lt;&gt;"",COUNTIF(AcctCodesA,$B697)=0),"کد طرف در INFO تعریف نشده",IF(AND($D697="هزینه",$E697=""),"هزینه بدون زیرگروه",IF(AND($C697="پاس چک",OR(Sync!$AJ697="",COUNTIF(IssueNosA,Sync!$AJ697)=0)),"شماره چک پاس‌شده معتبر نیست",""))))</f>
        <v/>
      </c>
      <c r="V697">
        <f>IF($K697="","",IF(ISNUMBER(Sync!$AK697),Sync!$AK697,LEFT(Sync!$AK697,4)&amp;MID(Sync!$AK697,6,2)&amp;RIGHT(Sync!$AK697,2))&amp;"|"&amp;"4"&amp;RIGHT("00000"&amp;692,5))</f>
        <v/>
      </c>
      <c r="W697">
        <f>IF($V697="",0,COUNTIFS($V$6:$V$2005,"&lt;"&amp;$V697)-COUNTIFS($V$6:$V$2005,"&lt;"&amp;$V697,$K$6:$K$2005,"")+1)</f>
        <v/>
      </c>
      <c r="X697">
        <f>IF(Sync!$AX697="","",IF(OR(N(Sync!$AY697)=0,N(Sync!$AZ697)=0),"",ROUND(N(Sync!$AY697)*N(Sync!$AZ697),0)))</f>
        <v/>
      </c>
      <c r="Y697">
        <f>IF($X697="","",IF(OR(Sync!$AX697="",COUNTIF(AcctCodesA,Sync!$AX697)=0),"متفرقه",Sync!$AX697))</f>
        <v/>
      </c>
      <c r="Z697">
        <f>IF($X697="","","سبد و ظروف")</f>
        <v/>
      </c>
      <c r="AA697">
        <f>IF($X697="","",$Y697)</f>
        <v/>
      </c>
    </row>
    <row r="698">
      <c r="A698">
        <f>IF(Sync!$Z698="","",LEFT(UPPER(TRIM(Sync!$Z698)),6))</f>
        <v/>
      </c>
      <c r="B698">
        <f>IF($A698="","",IF(Sync!$AA698="","",Sync!$AA698))</f>
        <v/>
      </c>
      <c r="C698">
        <f>IF($A698="","",IF(Sync!$AB698="","",Sync!$AB698))</f>
        <v/>
      </c>
      <c r="D698">
        <f>IF($A698="","",IF(Sync!$AC698="","",Sync!$AC698))</f>
        <v/>
      </c>
      <c r="E698">
        <f>IF($A698="","",IF(Sync!$AD698="","",Sync!$AD698))</f>
        <v/>
      </c>
      <c r="F698">
        <f>IF($A698="","",IF(Sync!$AE698="",0,Sync!$AE698))</f>
        <v/>
      </c>
      <c r="G698">
        <f>IF($A698="","",IF(Sync!$AF698="",0,Sync!$AF698))</f>
        <v/>
      </c>
      <c r="H698">
        <f>IF(OR($A698="",ROUND($F698+$G698,2)=0),"",$F698+$G698)</f>
        <v/>
      </c>
      <c r="I698">
        <f>IF($H698="","",IF(ROUND($F698,2)&gt;0,$A698,IF($D698="شخصی قاسم","شخصی قاسم",IF($D698="هزینه","هزینه: "&amp;IF($E698="","متفرقه",$E698),IF($C698="پاس چک","چک پرداختی",IF(OR($B698="",COUNTIF(AcctCodesA,$B698)=0),"متفرقه",$B698))))))</f>
        <v/>
      </c>
      <c r="J698">
        <f>IF($H698="","",IF(ROUND($F698,2)&gt;0,IF($D698="شخصی قاسم","شخصی قاسم",IF($D698="هزینه","هزینه: "&amp;IF($E698="","متفرقه",$E698),IF(OR($B698="",COUNTIF(AcctCodesA,$B698)=0),"متفرقه",$B698))),$A698))</f>
        <v/>
      </c>
      <c r="K698">
        <f>IF($A698="","",IF(AND($B698&lt;&gt;"",COUNTIF(AcctCodesA,$B698)=0),"کد طرف در INFO تعریف نشده",IF(AND($D698="هزینه",$E698=""),"هزینه بدون زیرگروه",IF(AND($C698="پاس چک",OR(Sync!$AJ698="",COUNTIF(IssueNosA,Sync!$AJ698)=0)),"شماره چک پاس‌شده معتبر نیست",""))))</f>
        <v/>
      </c>
      <c r="V698">
        <f>IF($K698="","",IF(ISNUMBER(Sync!$AK698),Sync!$AK698,LEFT(Sync!$AK698,4)&amp;MID(Sync!$AK698,6,2)&amp;RIGHT(Sync!$AK698,2))&amp;"|"&amp;"4"&amp;RIGHT("00000"&amp;693,5))</f>
        <v/>
      </c>
      <c r="W698">
        <f>IF($V698="",0,COUNTIFS($V$6:$V$2005,"&lt;"&amp;$V698)-COUNTIFS($V$6:$V$2005,"&lt;"&amp;$V698,$K$6:$K$2005,"")+1)</f>
        <v/>
      </c>
      <c r="X698">
        <f>IF(Sync!$AX698="","",IF(OR(N(Sync!$AY698)=0,N(Sync!$AZ698)=0),"",ROUND(N(Sync!$AY698)*N(Sync!$AZ698),0)))</f>
        <v/>
      </c>
      <c r="Y698">
        <f>IF($X698="","",IF(OR(Sync!$AX698="",COUNTIF(AcctCodesA,Sync!$AX698)=0),"متفرقه",Sync!$AX698))</f>
        <v/>
      </c>
      <c r="Z698">
        <f>IF($X698="","","سبد و ظروف")</f>
        <v/>
      </c>
      <c r="AA698">
        <f>IF($X698="","",$Y698)</f>
        <v/>
      </c>
    </row>
    <row r="699">
      <c r="A699">
        <f>IF(Sync!$Z699="","",LEFT(UPPER(TRIM(Sync!$Z699)),6))</f>
        <v/>
      </c>
      <c r="B699">
        <f>IF($A699="","",IF(Sync!$AA699="","",Sync!$AA699))</f>
        <v/>
      </c>
      <c r="C699">
        <f>IF($A699="","",IF(Sync!$AB699="","",Sync!$AB699))</f>
        <v/>
      </c>
      <c r="D699">
        <f>IF($A699="","",IF(Sync!$AC699="","",Sync!$AC699))</f>
        <v/>
      </c>
      <c r="E699">
        <f>IF($A699="","",IF(Sync!$AD699="","",Sync!$AD699))</f>
        <v/>
      </c>
      <c r="F699">
        <f>IF($A699="","",IF(Sync!$AE699="",0,Sync!$AE699))</f>
        <v/>
      </c>
      <c r="G699">
        <f>IF($A699="","",IF(Sync!$AF699="",0,Sync!$AF699))</f>
        <v/>
      </c>
      <c r="H699">
        <f>IF(OR($A699="",ROUND($F699+$G699,2)=0),"",$F699+$G699)</f>
        <v/>
      </c>
      <c r="I699">
        <f>IF($H699="","",IF(ROUND($F699,2)&gt;0,$A699,IF($D699="شخصی قاسم","شخصی قاسم",IF($D699="هزینه","هزینه: "&amp;IF($E699="","متفرقه",$E699),IF($C699="پاس چک","چک پرداختی",IF(OR($B699="",COUNTIF(AcctCodesA,$B699)=0),"متفرقه",$B699))))))</f>
        <v/>
      </c>
      <c r="J699">
        <f>IF($H699="","",IF(ROUND($F699,2)&gt;0,IF($D699="شخصی قاسم","شخصی قاسم",IF($D699="هزینه","هزینه: "&amp;IF($E699="","متفرقه",$E699),IF(OR($B699="",COUNTIF(AcctCodesA,$B699)=0),"متفرقه",$B699))),$A699))</f>
        <v/>
      </c>
      <c r="K699">
        <f>IF($A699="","",IF(AND($B699&lt;&gt;"",COUNTIF(AcctCodesA,$B699)=0),"کد طرف در INFO تعریف نشده",IF(AND($D699="هزینه",$E699=""),"هزینه بدون زیرگروه",IF(AND($C699="پاس چک",OR(Sync!$AJ699="",COUNTIF(IssueNosA,Sync!$AJ699)=0)),"شماره چک پاس‌شده معتبر نیست",""))))</f>
        <v/>
      </c>
      <c r="V699">
        <f>IF($K699="","",IF(ISNUMBER(Sync!$AK699),Sync!$AK699,LEFT(Sync!$AK699,4)&amp;MID(Sync!$AK699,6,2)&amp;RIGHT(Sync!$AK699,2))&amp;"|"&amp;"4"&amp;RIGHT("00000"&amp;694,5))</f>
        <v/>
      </c>
      <c r="W699">
        <f>IF($V699="",0,COUNTIFS($V$6:$V$2005,"&lt;"&amp;$V699)-COUNTIFS($V$6:$V$2005,"&lt;"&amp;$V699,$K$6:$K$2005,"")+1)</f>
        <v/>
      </c>
      <c r="X699">
        <f>IF(Sync!$AX699="","",IF(OR(N(Sync!$AY699)=0,N(Sync!$AZ699)=0),"",ROUND(N(Sync!$AY699)*N(Sync!$AZ699),0)))</f>
        <v/>
      </c>
      <c r="Y699">
        <f>IF($X699="","",IF(OR(Sync!$AX699="",COUNTIF(AcctCodesA,Sync!$AX699)=0),"متفرقه",Sync!$AX699))</f>
        <v/>
      </c>
      <c r="Z699">
        <f>IF($X699="","","سبد و ظروف")</f>
        <v/>
      </c>
      <c r="AA699">
        <f>IF($X699="","",$Y699)</f>
        <v/>
      </c>
    </row>
    <row r="700">
      <c r="A700">
        <f>IF(Sync!$Z700="","",LEFT(UPPER(TRIM(Sync!$Z700)),6))</f>
        <v/>
      </c>
      <c r="B700">
        <f>IF($A700="","",IF(Sync!$AA700="","",Sync!$AA700))</f>
        <v/>
      </c>
      <c r="C700">
        <f>IF($A700="","",IF(Sync!$AB700="","",Sync!$AB700))</f>
        <v/>
      </c>
      <c r="D700">
        <f>IF($A700="","",IF(Sync!$AC700="","",Sync!$AC700))</f>
        <v/>
      </c>
      <c r="E700">
        <f>IF($A700="","",IF(Sync!$AD700="","",Sync!$AD700))</f>
        <v/>
      </c>
      <c r="F700">
        <f>IF($A700="","",IF(Sync!$AE700="",0,Sync!$AE700))</f>
        <v/>
      </c>
      <c r="G700">
        <f>IF($A700="","",IF(Sync!$AF700="",0,Sync!$AF700))</f>
        <v/>
      </c>
      <c r="H700">
        <f>IF(OR($A700="",ROUND($F700+$G700,2)=0),"",$F700+$G700)</f>
        <v/>
      </c>
      <c r="I700">
        <f>IF($H700="","",IF(ROUND($F700,2)&gt;0,$A700,IF($D700="شخصی قاسم","شخصی قاسم",IF($D700="هزینه","هزینه: "&amp;IF($E700="","متفرقه",$E700),IF($C700="پاس چک","چک پرداختی",IF(OR($B700="",COUNTIF(AcctCodesA,$B700)=0),"متفرقه",$B700))))))</f>
        <v/>
      </c>
      <c r="J700">
        <f>IF($H700="","",IF(ROUND($F700,2)&gt;0,IF($D700="شخصی قاسم","شخصی قاسم",IF($D700="هزینه","هزینه: "&amp;IF($E700="","متفرقه",$E700),IF(OR($B700="",COUNTIF(AcctCodesA,$B700)=0),"متفرقه",$B700))),$A700))</f>
        <v/>
      </c>
      <c r="K700">
        <f>IF($A700="","",IF(AND($B700&lt;&gt;"",COUNTIF(AcctCodesA,$B700)=0),"کد طرف در INFO تعریف نشده",IF(AND($D700="هزینه",$E700=""),"هزینه بدون زیرگروه",IF(AND($C700="پاس چک",OR(Sync!$AJ700="",COUNTIF(IssueNosA,Sync!$AJ700)=0)),"شماره چک پاس‌شده معتبر نیست",""))))</f>
        <v/>
      </c>
      <c r="V700">
        <f>IF($K700="","",IF(ISNUMBER(Sync!$AK700),Sync!$AK700,LEFT(Sync!$AK700,4)&amp;MID(Sync!$AK700,6,2)&amp;RIGHT(Sync!$AK700,2))&amp;"|"&amp;"4"&amp;RIGHT("00000"&amp;695,5))</f>
        <v/>
      </c>
      <c r="W700">
        <f>IF($V700="",0,COUNTIFS($V$6:$V$2005,"&lt;"&amp;$V700)-COUNTIFS($V$6:$V$2005,"&lt;"&amp;$V700,$K$6:$K$2005,"")+1)</f>
        <v/>
      </c>
      <c r="X700">
        <f>IF(Sync!$AX700="","",IF(OR(N(Sync!$AY700)=0,N(Sync!$AZ700)=0),"",ROUND(N(Sync!$AY700)*N(Sync!$AZ700),0)))</f>
        <v/>
      </c>
      <c r="Y700">
        <f>IF($X700="","",IF(OR(Sync!$AX700="",COUNTIF(AcctCodesA,Sync!$AX700)=0),"متفرقه",Sync!$AX700))</f>
        <v/>
      </c>
      <c r="Z700">
        <f>IF($X700="","","سبد و ظروف")</f>
        <v/>
      </c>
      <c r="AA700">
        <f>IF($X700="","",$Y700)</f>
        <v/>
      </c>
    </row>
    <row r="701">
      <c r="A701">
        <f>IF(Sync!$Z701="","",LEFT(UPPER(TRIM(Sync!$Z701)),6))</f>
        <v/>
      </c>
      <c r="B701">
        <f>IF($A701="","",IF(Sync!$AA701="","",Sync!$AA701))</f>
        <v/>
      </c>
      <c r="C701">
        <f>IF($A701="","",IF(Sync!$AB701="","",Sync!$AB701))</f>
        <v/>
      </c>
      <c r="D701">
        <f>IF($A701="","",IF(Sync!$AC701="","",Sync!$AC701))</f>
        <v/>
      </c>
      <c r="E701">
        <f>IF($A701="","",IF(Sync!$AD701="","",Sync!$AD701))</f>
        <v/>
      </c>
      <c r="F701">
        <f>IF($A701="","",IF(Sync!$AE701="",0,Sync!$AE701))</f>
        <v/>
      </c>
      <c r="G701">
        <f>IF($A701="","",IF(Sync!$AF701="",0,Sync!$AF701))</f>
        <v/>
      </c>
      <c r="H701">
        <f>IF(OR($A701="",ROUND($F701+$G701,2)=0),"",$F701+$G701)</f>
        <v/>
      </c>
      <c r="I701">
        <f>IF($H701="","",IF(ROUND($F701,2)&gt;0,$A701,IF($D701="شخصی قاسم","شخصی قاسم",IF($D701="هزینه","هزینه: "&amp;IF($E701="","متفرقه",$E701),IF($C701="پاس چک","چک پرداختی",IF(OR($B701="",COUNTIF(AcctCodesA,$B701)=0),"متفرقه",$B701))))))</f>
        <v/>
      </c>
      <c r="J701">
        <f>IF($H701="","",IF(ROUND($F701,2)&gt;0,IF($D701="شخصی قاسم","شخصی قاسم",IF($D701="هزینه","هزینه: "&amp;IF($E701="","متفرقه",$E701),IF(OR($B701="",COUNTIF(AcctCodesA,$B701)=0),"متفرقه",$B701))),$A701))</f>
        <v/>
      </c>
      <c r="K701">
        <f>IF($A701="","",IF(AND($B701&lt;&gt;"",COUNTIF(AcctCodesA,$B701)=0),"کد طرف در INFO تعریف نشده",IF(AND($D701="هزینه",$E701=""),"هزینه بدون زیرگروه",IF(AND($C701="پاس چک",OR(Sync!$AJ701="",COUNTIF(IssueNosA,Sync!$AJ701)=0)),"شماره چک پاس‌شده معتبر نیست",""))))</f>
        <v/>
      </c>
      <c r="V701">
        <f>IF($K701="","",IF(ISNUMBER(Sync!$AK701),Sync!$AK701,LEFT(Sync!$AK701,4)&amp;MID(Sync!$AK701,6,2)&amp;RIGHT(Sync!$AK701,2))&amp;"|"&amp;"4"&amp;RIGHT("00000"&amp;696,5))</f>
        <v/>
      </c>
      <c r="W701">
        <f>IF($V701="",0,COUNTIFS($V$6:$V$2005,"&lt;"&amp;$V701)-COUNTIFS($V$6:$V$2005,"&lt;"&amp;$V701,$K$6:$K$2005,"")+1)</f>
        <v/>
      </c>
      <c r="X701">
        <f>IF(Sync!$AX701="","",IF(OR(N(Sync!$AY701)=0,N(Sync!$AZ701)=0),"",ROUND(N(Sync!$AY701)*N(Sync!$AZ701),0)))</f>
        <v/>
      </c>
      <c r="Y701">
        <f>IF($X701="","",IF(OR(Sync!$AX701="",COUNTIF(AcctCodesA,Sync!$AX701)=0),"متفرقه",Sync!$AX701))</f>
        <v/>
      </c>
      <c r="Z701">
        <f>IF($X701="","","سبد و ظروف")</f>
        <v/>
      </c>
      <c r="AA701">
        <f>IF($X701="","",$Y701)</f>
        <v/>
      </c>
    </row>
    <row r="702">
      <c r="A702">
        <f>IF(Sync!$Z702="","",LEFT(UPPER(TRIM(Sync!$Z702)),6))</f>
        <v/>
      </c>
      <c r="B702">
        <f>IF($A702="","",IF(Sync!$AA702="","",Sync!$AA702))</f>
        <v/>
      </c>
      <c r="C702">
        <f>IF($A702="","",IF(Sync!$AB702="","",Sync!$AB702))</f>
        <v/>
      </c>
      <c r="D702">
        <f>IF($A702="","",IF(Sync!$AC702="","",Sync!$AC702))</f>
        <v/>
      </c>
      <c r="E702">
        <f>IF($A702="","",IF(Sync!$AD702="","",Sync!$AD702))</f>
        <v/>
      </c>
      <c r="F702">
        <f>IF($A702="","",IF(Sync!$AE702="",0,Sync!$AE702))</f>
        <v/>
      </c>
      <c r="G702">
        <f>IF($A702="","",IF(Sync!$AF702="",0,Sync!$AF702))</f>
        <v/>
      </c>
      <c r="H702">
        <f>IF(OR($A702="",ROUND($F702+$G702,2)=0),"",$F702+$G702)</f>
        <v/>
      </c>
      <c r="I702">
        <f>IF($H702="","",IF(ROUND($F702,2)&gt;0,$A702,IF($D702="شخصی قاسم","شخصی قاسم",IF($D702="هزینه","هزینه: "&amp;IF($E702="","متفرقه",$E702),IF($C702="پاس چک","چک پرداختی",IF(OR($B702="",COUNTIF(AcctCodesA,$B702)=0),"متفرقه",$B702))))))</f>
        <v/>
      </c>
      <c r="J702">
        <f>IF($H702="","",IF(ROUND($F702,2)&gt;0,IF($D702="شخصی قاسم","شخصی قاسم",IF($D702="هزینه","هزینه: "&amp;IF($E702="","متفرقه",$E702),IF(OR($B702="",COUNTIF(AcctCodesA,$B702)=0),"متفرقه",$B702))),$A702))</f>
        <v/>
      </c>
      <c r="K702">
        <f>IF($A702="","",IF(AND($B702&lt;&gt;"",COUNTIF(AcctCodesA,$B702)=0),"کد طرف در INFO تعریف نشده",IF(AND($D702="هزینه",$E702=""),"هزینه بدون زیرگروه",IF(AND($C702="پاس چک",OR(Sync!$AJ702="",COUNTIF(IssueNosA,Sync!$AJ702)=0)),"شماره چک پاس‌شده معتبر نیست",""))))</f>
        <v/>
      </c>
      <c r="V702">
        <f>IF($K702="","",IF(ISNUMBER(Sync!$AK702),Sync!$AK702,LEFT(Sync!$AK702,4)&amp;MID(Sync!$AK702,6,2)&amp;RIGHT(Sync!$AK702,2))&amp;"|"&amp;"4"&amp;RIGHT("00000"&amp;697,5))</f>
        <v/>
      </c>
      <c r="W702">
        <f>IF($V702="",0,COUNTIFS($V$6:$V$2005,"&lt;"&amp;$V702)-COUNTIFS($V$6:$V$2005,"&lt;"&amp;$V702,$K$6:$K$2005,"")+1)</f>
        <v/>
      </c>
      <c r="X702">
        <f>IF(Sync!$AX702="","",IF(OR(N(Sync!$AY702)=0,N(Sync!$AZ702)=0),"",ROUND(N(Sync!$AY702)*N(Sync!$AZ702),0)))</f>
        <v/>
      </c>
      <c r="Y702">
        <f>IF($X702="","",IF(OR(Sync!$AX702="",COUNTIF(AcctCodesA,Sync!$AX702)=0),"متفرقه",Sync!$AX702))</f>
        <v/>
      </c>
      <c r="Z702">
        <f>IF($X702="","","سبد و ظروف")</f>
        <v/>
      </c>
      <c r="AA702">
        <f>IF($X702="","",$Y702)</f>
        <v/>
      </c>
    </row>
    <row r="703">
      <c r="A703">
        <f>IF(Sync!$Z703="","",LEFT(UPPER(TRIM(Sync!$Z703)),6))</f>
        <v/>
      </c>
      <c r="B703">
        <f>IF($A703="","",IF(Sync!$AA703="","",Sync!$AA703))</f>
        <v/>
      </c>
      <c r="C703">
        <f>IF($A703="","",IF(Sync!$AB703="","",Sync!$AB703))</f>
        <v/>
      </c>
      <c r="D703">
        <f>IF($A703="","",IF(Sync!$AC703="","",Sync!$AC703))</f>
        <v/>
      </c>
      <c r="E703">
        <f>IF($A703="","",IF(Sync!$AD703="","",Sync!$AD703))</f>
        <v/>
      </c>
      <c r="F703">
        <f>IF($A703="","",IF(Sync!$AE703="",0,Sync!$AE703))</f>
        <v/>
      </c>
      <c r="G703">
        <f>IF($A703="","",IF(Sync!$AF703="",0,Sync!$AF703))</f>
        <v/>
      </c>
      <c r="H703">
        <f>IF(OR($A703="",ROUND($F703+$G703,2)=0),"",$F703+$G703)</f>
        <v/>
      </c>
      <c r="I703">
        <f>IF($H703="","",IF(ROUND($F703,2)&gt;0,$A703,IF($D703="شخصی قاسم","شخصی قاسم",IF($D703="هزینه","هزینه: "&amp;IF($E703="","متفرقه",$E703),IF($C703="پاس چک","چک پرداختی",IF(OR($B703="",COUNTIF(AcctCodesA,$B703)=0),"متفرقه",$B703))))))</f>
        <v/>
      </c>
      <c r="J703">
        <f>IF($H703="","",IF(ROUND($F703,2)&gt;0,IF($D703="شخصی قاسم","شخصی قاسم",IF($D703="هزینه","هزینه: "&amp;IF($E703="","متفرقه",$E703),IF(OR($B703="",COUNTIF(AcctCodesA,$B703)=0),"متفرقه",$B703))),$A703))</f>
        <v/>
      </c>
      <c r="K703">
        <f>IF($A703="","",IF(AND($B703&lt;&gt;"",COUNTIF(AcctCodesA,$B703)=0),"کد طرف در INFO تعریف نشده",IF(AND($D703="هزینه",$E703=""),"هزینه بدون زیرگروه",IF(AND($C703="پاس چک",OR(Sync!$AJ703="",COUNTIF(IssueNosA,Sync!$AJ703)=0)),"شماره چک پاس‌شده معتبر نیست",""))))</f>
        <v/>
      </c>
      <c r="V703">
        <f>IF($K703="","",IF(ISNUMBER(Sync!$AK703),Sync!$AK703,LEFT(Sync!$AK703,4)&amp;MID(Sync!$AK703,6,2)&amp;RIGHT(Sync!$AK703,2))&amp;"|"&amp;"4"&amp;RIGHT("00000"&amp;698,5))</f>
        <v/>
      </c>
      <c r="W703">
        <f>IF($V703="",0,COUNTIFS($V$6:$V$2005,"&lt;"&amp;$V703)-COUNTIFS($V$6:$V$2005,"&lt;"&amp;$V703,$K$6:$K$2005,"")+1)</f>
        <v/>
      </c>
      <c r="X703">
        <f>IF(Sync!$AX703="","",IF(OR(N(Sync!$AY703)=0,N(Sync!$AZ703)=0),"",ROUND(N(Sync!$AY703)*N(Sync!$AZ703),0)))</f>
        <v/>
      </c>
      <c r="Y703">
        <f>IF($X703="","",IF(OR(Sync!$AX703="",COUNTIF(AcctCodesA,Sync!$AX703)=0),"متفرقه",Sync!$AX703))</f>
        <v/>
      </c>
      <c r="Z703">
        <f>IF($X703="","","سبد و ظروف")</f>
        <v/>
      </c>
      <c r="AA703">
        <f>IF($X703="","",$Y703)</f>
        <v/>
      </c>
    </row>
    <row r="704">
      <c r="A704">
        <f>IF(Sync!$Z704="","",LEFT(UPPER(TRIM(Sync!$Z704)),6))</f>
        <v/>
      </c>
      <c r="B704">
        <f>IF($A704="","",IF(Sync!$AA704="","",Sync!$AA704))</f>
        <v/>
      </c>
      <c r="C704">
        <f>IF($A704="","",IF(Sync!$AB704="","",Sync!$AB704))</f>
        <v/>
      </c>
      <c r="D704">
        <f>IF($A704="","",IF(Sync!$AC704="","",Sync!$AC704))</f>
        <v/>
      </c>
      <c r="E704">
        <f>IF($A704="","",IF(Sync!$AD704="","",Sync!$AD704))</f>
        <v/>
      </c>
      <c r="F704">
        <f>IF($A704="","",IF(Sync!$AE704="",0,Sync!$AE704))</f>
        <v/>
      </c>
      <c r="G704">
        <f>IF($A704="","",IF(Sync!$AF704="",0,Sync!$AF704))</f>
        <v/>
      </c>
      <c r="H704">
        <f>IF(OR($A704="",ROUND($F704+$G704,2)=0),"",$F704+$G704)</f>
        <v/>
      </c>
      <c r="I704">
        <f>IF($H704="","",IF(ROUND($F704,2)&gt;0,$A704,IF($D704="شخصی قاسم","شخصی قاسم",IF($D704="هزینه","هزینه: "&amp;IF($E704="","متفرقه",$E704),IF($C704="پاس چک","چک پرداختی",IF(OR($B704="",COUNTIF(AcctCodesA,$B704)=0),"متفرقه",$B704))))))</f>
        <v/>
      </c>
      <c r="J704">
        <f>IF($H704="","",IF(ROUND($F704,2)&gt;0,IF($D704="شخصی قاسم","شخصی قاسم",IF($D704="هزینه","هزینه: "&amp;IF($E704="","متفرقه",$E704),IF(OR($B704="",COUNTIF(AcctCodesA,$B704)=0),"متفرقه",$B704))),$A704))</f>
        <v/>
      </c>
      <c r="K704">
        <f>IF($A704="","",IF(AND($B704&lt;&gt;"",COUNTIF(AcctCodesA,$B704)=0),"کد طرف در INFO تعریف نشده",IF(AND($D704="هزینه",$E704=""),"هزینه بدون زیرگروه",IF(AND($C704="پاس چک",OR(Sync!$AJ704="",COUNTIF(IssueNosA,Sync!$AJ704)=0)),"شماره چک پاس‌شده معتبر نیست",""))))</f>
        <v/>
      </c>
      <c r="V704">
        <f>IF($K704="","",IF(ISNUMBER(Sync!$AK704),Sync!$AK704,LEFT(Sync!$AK704,4)&amp;MID(Sync!$AK704,6,2)&amp;RIGHT(Sync!$AK704,2))&amp;"|"&amp;"4"&amp;RIGHT("00000"&amp;699,5))</f>
        <v/>
      </c>
      <c r="W704">
        <f>IF($V704="",0,COUNTIFS($V$6:$V$2005,"&lt;"&amp;$V704)-COUNTIFS($V$6:$V$2005,"&lt;"&amp;$V704,$K$6:$K$2005,"")+1)</f>
        <v/>
      </c>
      <c r="X704">
        <f>IF(Sync!$AX704="","",IF(OR(N(Sync!$AY704)=0,N(Sync!$AZ704)=0),"",ROUND(N(Sync!$AY704)*N(Sync!$AZ704),0)))</f>
        <v/>
      </c>
      <c r="Y704">
        <f>IF($X704="","",IF(OR(Sync!$AX704="",COUNTIF(AcctCodesA,Sync!$AX704)=0),"متفرقه",Sync!$AX704))</f>
        <v/>
      </c>
      <c r="Z704">
        <f>IF($X704="","","سبد و ظروف")</f>
        <v/>
      </c>
      <c r="AA704">
        <f>IF($X704="","",$Y704)</f>
        <v/>
      </c>
    </row>
    <row r="705">
      <c r="A705">
        <f>IF(Sync!$Z705="","",LEFT(UPPER(TRIM(Sync!$Z705)),6))</f>
        <v/>
      </c>
      <c r="B705">
        <f>IF($A705="","",IF(Sync!$AA705="","",Sync!$AA705))</f>
        <v/>
      </c>
      <c r="C705">
        <f>IF($A705="","",IF(Sync!$AB705="","",Sync!$AB705))</f>
        <v/>
      </c>
      <c r="D705">
        <f>IF($A705="","",IF(Sync!$AC705="","",Sync!$AC705))</f>
        <v/>
      </c>
      <c r="E705">
        <f>IF($A705="","",IF(Sync!$AD705="","",Sync!$AD705))</f>
        <v/>
      </c>
      <c r="F705">
        <f>IF($A705="","",IF(Sync!$AE705="",0,Sync!$AE705))</f>
        <v/>
      </c>
      <c r="G705">
        <f>IF($A705="","",IF(Sync!$AF705="",0,Sync!$AF705))</f>
        <v/>
      </c>
      <c r="H705">
        <f>IF(OR($A705="",ROUND($F705+$G705,2)=0),"",$F705+$G705)</f>
        <v/>
      </c>
      <c r="I705">
        <f>IF($H705="","",IF(ROUND($F705,2)&gt;0,$A705,IF($D705="شخصی قاسم","شخصی قاسم",IF($D705="هزینه","هزینه: "&amp;IF($E705="","متفرقه",$E705),IF($C705="پاس چک","چک پرداختی",IF(OR($B705="",COUNTIF(AcctCodesA,$B705)=0),"متفرقه",$B705))))))</f>
        <v/>
      </c>
      <c r="J705">
        <f>IF($H705="","",IF(ROUND($F705,2)&gt;0,IF($D705="شخصی قاسم","شخصی قاسم",IF($D705="هزینه","هزینه: "&amp;IF($E705="","متفرقه",$E705),IF(OR($B705="",COUNTIF(AcctCodesA,$B705)=0),"متفرقه",$B705))),$A705))</f>
        <v/>
      </c>
      <c r="K705">
        <f>IF($A705="","",IF(AND($B705&lt;&gt;"",COUNTIF(AcctCodesA,$B705)=0),"کد طرف در INFO تعریف نشده",IF(AND($D705="هزینه",$E705=""),"هزینه بدون زیرگروه",IF(AND($C705="پاس چک",OR(Sync!$AJ705="",COUNTIF(IssueNosA,Sync!$AJ705)=0)),"شماره چک پاس‌شده معتبر نیست",""))))</f>
        <v/>
      </c>
      <c r="V705">
        <f>IF($K705="","",IF(ISNUMBER(Sync!$AK705),Sync!$AK705,LEFT(Sync!$AK705,4)&amp;MID(Sync!$AK705,6,2)&amp;RIGHT(Sync!$AK705,2))&amp;"|"&amp;"4"&amp;RIGHT("00000"&amp;700,5))</f>
        <v/>
      </c>
      <c r="W705">
        <f>IF($V705="",0,COUNTIFS($V$6:$V$2005,"&lt;"&amp;$V705)-COUNTIFS($V$6:$V$2005,"&lt;"&amp;$V705,$K$6:$K$2005,"")+1)</f>
        <v/>
      </c>
      <c r="X705">
        <f>IF(Sync!$AX705="","",IF(OR(N(Sync!$AY705)=0,N(Sync!$AZ705)=0),"",ROUND(N(Sync!$AY705)*N(Sync!$AZ705),0)))</f>
        <v/>
      </c>
      <c r="Y705">
        <f>IF($X705="","",IF(OR(Sync!$AX705="",COUNTIF(AcctCodesA,Sync!$AX705)=0),"متفرقه",Sync!$AX705))</f>
        <v/>
      </c>
      <c r="Z705">
        <f>IF($X705="","","سبد و ظروف")</f>
        <v/>
      </c>
      <c r="AA705">
        <f>IF($X705="","",$Y705)</f>
        <v/>
      </c>
    </row>
    <row r="706">
      <c r="A706">
        <f>IF(Sync!$Z706="","",LEFT(UPPER(TRIM(Sync!$Z706)),6))</f>
        <v/>
      </c>
      <c r="B706">
        <f>IF($A706="","",IF(Sync!$AA706="","",Sync!$AA706))</f>
        <v/>
      </c>
      <c r="C706">
        <f>IF($A706="","",IF(Sync!$AB706="","",Sync!$AB706))</f>
        <v/>
      </c>
      <c r="D706">
        <f>IF($A706="","",IF(Sync!$AC706="","",Sync!$AC706))</f>
        <v/>
      </c>
      <c r="E706">
        <f>IF($A706="","",IF(Sync!$AD706="","",Sync!$AD706))</f>
        <v/>
      </c>
      <c r="F706">
        <f>IF($A706="","",IF(Sync!$AE706="",0,Sync!$AE706))</f>
        <v/>
      </c>
      <c r="G706">
        <f>IF($A706="","",IF(Sync!$AF706="",0,Sync!$AF706))</f>
        <v/>
      </c>
      <c r="H706">
        <f>IF(OR($A706="",ROUND($F706+$G706,2)=0),"",$F706+$G706)</f>
        <v/>
      </c>
      <c r="I706">
        <f>IF($H706="","",IF(ROUND($F706,2)&gt;0,$A706,IF($D706="شخصی قاسم","شخصی قاسم",IF($D706="هزینه","هزینه: "&amp;IF($E706="","متفرقه",$E706),IF($C706="پاس چک","چک پرداختی",IF(OR($B706="",COUNTIF(AcctCodesA,$B706)=0),"متفرقه",$B706))))))</f>
        <v/>
      </c>
      <c r="J706">
        <f>IF($H706="","",IF(ROUND($F706,2)&gt;0,IF($D706="شخصی قاسم","شخصی قاسم",IF($D706="هزینه","هزینه: "&amp;IF($E706="","متفرقه",$E706),IF(OR($B706="",COUNTIF(AcctCodesA,$B706)=0),"متفرقه",$B706))),$A706))</f>
        <v/>
      </c>
      <c r="K706">
        <f>IF($A706="","",IF(AND($B706&lt;&gt;"",COUNTIF(AcctCodesA,$B706)=0),"کد طرف در INFO تعریف نشده",IF(AND($D706="هزینه",$E706=""),"هزینه بدون زیرگروه",IF(AND($C706="پاس چک",OR(Sync!$AJ706="",COUNTIF(IssueNosA,Sync!$AJ706)=0)),"شماره چک پاس‌شده معتبر نیست",""))))</f>
        <v/>
      </c>
      <c r="V706">
        <f>IF($K706="","",IF(ISNUMBER(Sync!$AK706),Sync!$AK706,LEFT(Sync!$AK706,4)&amp;MID(Sync!$AK706,6,2)&amp;RIGHT(Sync!$AK706,2))&amp;"|"&amp;"4"&amp;RIGHT("00000"&amp;701,5))</f>
        <v/>
      </c>
      <c r="W706">
        <f>IF($V706="",0,COUNTIFS($V$6:$V$2005,"&lt;"&amp;$V706)-COUNTIFS($V$6:$V$2005,"&lt;"&amp;$V706,$K$6:$K$2005,"")+1)</f>
        <v/>
      </c>
      <c r="X706">
        <f>IF(Sync!$AX706="","",IF(OR(N(Sync!$AY706)=0,N(Sync!$AZ706)=0),"",ROUND(N(Sync!$AY706)*N(Sync!$AZ706),0)))</f>
        <v/>
      </c>
      <c r="Y706">
        <f>IF($X706="","",IF(OR(Sync!$AX706="",COUNTIF(AcctCodesA,Sync!$AX706)=0),"متفرقه",Sync!$AX706))</f>
        <v/>
      </c>
      <c r="Z706">
        <f>IF($X706="","","سبد و ظروف")</f>
        <v/>
      </c>
      <c r="AA706">
        <f>IF($X706="","",$Y706)</f>
        <v/>
      </c>
    </row>
    <row r="707">
      <c r="A707">
        <f>IF(Sync!$Z707="","",LEFT(UPPER(TRIM(Sync!$Z707)),6))</f>
        <v/>
      </c>
      <c r="B707">
        <f>IF($A707="","",IF(Sync!$AA707="","",Sync!$AA707))</f>
        <v/>
      </c>
      <c r="C707">
        <f>IF($A707="","",IF(Sync!$AB707="","",Sync!$AB707))</f>
        <v/>
      </c>
      <c r="D707">
        <f>IF($A707="","",IF(Sync!$AC707="","",Sync!$AC707))</f>
        <v/>
      </c>
      <c r="E707">
        <f>IF($A707="","",IF(Sync!$AD707="","",Sync!$AD707))</f>
        <v/>
      </c>
      <c r="F707">
        <f>IF($A707="","",IF(Sync!$AE707="",0,Sync!$AE707))</f>
        <v/>
      </c>
      <c r="G707">
        <f>IF($A707="","",IF(Sync!$AF707="",0,Sync!$AF707))</f>
        <v/>
      </c>
      <c r="H707">
        <f>IF(OR($A707="",ROUND($F707+$G707,2)=0),"",$F707+$G707)</f>
        <v/>
      </c>
      <c r="I707">
        <f>IF($H707="","",IF(ROUND($F707,2)&gt;0,$A707,IF($D707="شخصی قاسم","شخصی قاسم",IF($D707="هزینه","هزینه: "&amp;IF($E707="","متفرقه",$E707),IF($C707="پاس چک","چک پرداختی",IF(OR($B707="",COUNTIF(AcctCodesA,$B707)=0),"متفرقه",$B707))))))</f>
        <v/>
      </c>
      <c r="J707">
        <f>IF($H707="","",IF(ROUND($F707,2)&gt;0,IF($D707="شخصی قاسم","شخصی قاسم",IF($D707="هزینه","هزینه: "&amp;IF($E707="","متفرقه",$E707),IF(OR($B707="",COUNTIF(AcctCodesA,$B707)=0),"متفرقه",$B707))),$A707))</f>
        <v/>
      </c>
      <c r="K707">
        <f>IF($A707="","",IF(AND($B707&lt;&gt;"",COUNTIF(AcctCodesA,$B707)=0),"کد طرف در INFO تعریف نشده",IF(AND($D707="هزینه",$E707=""),"هزینه بدون زیرگروه",IF(AND($C707="پاس چک",OR(Sync!$AJ707="",COUNTIF(IssueNosA,Sync!$AJ707)=0)),"شماره چک پاس‌شده معتبر نیست",""))))</f>
        <v/>
      </c>
      <c r="V707">
        <f>IF($K707="","",IF(ISNUMBER(Sync!$AK707),Sync!$AK707,LEFT(Sync!$AK707,4)&amp;MID(Sync!$AK707,6,2)&amp;RIGHT(Sync!$AK707,2))&amp;"|"&amp;"4"&amp;RIGHT("00000"&amp;702,5))</f>
        <v/>
      </c>
      <c r="W707">
        <f>IF($V707="",0,COUNTIFS($V$6:$V$2005,"&lt;"&amp;$V707)-COUNTIFS($V$6:$V$2005,"&lt;"&amp;$V707,$K$6:$K$2005,"")+1)</f>
        <v/>
      </c>
      <c r="X707">
        <f>IF(Sync!$AX707="","",IF(OR(N(Sync!$AY707)=0,N(Sync!$AZ707)=0),"",ROUND(N(Sync!$AY707)*N(Sync!$AZ707),0)))</f>
        <v/>
      </c>
      <c r="Y707">
        <f>IF($X707="","",IF(OR(Sync!$AX707="",COUNTIF(AcctCodesA,Sync!$AX707)=0),"متفرقه",Sync!$AX707))</f>
        <v/>
      </c>
      <c r="Z707">
        <f>IF($X707="","","سبد و ظروف")</f>
        <v/>
      </c>
      <c r="AA707">
        <f>IF($X707="","",$Y707)</f>
        <v/>
      </c>
    </row>
    <row r="708">
      <c r="A708">
        <f>IF(Sync!$Z708="","",LEFT(UPPER(TRIM(Sync!$Z708)),6))</f>
        <v/>
      </c>
      <c r="B708">
        <f>IF($A708="","",IF(Sync!$AA708="","",Sync!$AA708))</f>
        <v/>
      </c>
      <c r="C708">
        <f>IF($A708="","",IF(Sync!$AB708="","",Sync!$AB708))</f>
        <v/>
      </c>
      <c r="D708">
        <f>IF($A708="","",IF(Sync!$AC708="","",Sync!$AC708))</f>
        <v/>
      </c>
      <c r="E708">
        <f>IF($A708="","",IF(Sync!$AD708="","",Sync!$AD708))</f>
        <v/>
      </c>
      <c r="F708">
        <f>IF($A708="","",IF(Sync!$AE708="",0,Sync!$AE708))</f>
        <v/>
      </c>
      <c r="G708">
        <f>IF($A708="","",IF(Sync!$AF708="",0,Sync!$AF708))</f>
        <v/>
      </c>
      <c r="H708">
        <f>IF(OR($A708="",ROUND($F708+$G708,2)=0),"",$F708+$G708)</f>
        <v/>
      </c>
      <c r="I708">
        <f>IF($H708="","",IF(ROUND($F708,2)&gt;0,$A708,IF($D708="شخصی قاسم","شخصی قاسم",IF($D708="هزینه","هزینه: "&amp;IF($E708="","متفرقه",$E708),IF($C708="پاس چک","چک پرداختی",IF(OR($B708="",COUNTIF(AcctCodesA,$B708)=0),"متفرقه",$B708))))))</f>
        <v/>
      </c>
      <c r="J708">
        <f>IF($H708="","",IF(ROUND($F708,2)&gt;0,IF($D708="شخصی قاسم","شخصی قاسم",IF($D708="هزینه","هزینه: "&amp;IF($E708="","متفرقه",$E708),IF(OR($B708="",COUNTIF(AcctCodesA,$B708)=0),"متفرقه",$B708))),$A708))</f>
        <v/>
      </c>
      <c r="K708">
        <f>IF($A708="","",IF(AND($B708&lt;&gt;"",COUNTIF(AcctCodesA,$B708)=0),"کد طرف در INFO تعریف نشده",IF(AND($D708="هزینه",$E708=""),"هزینه بدون زیرگروه",IF(AND($C708="پاس چک",OR(Sync!$AJ708="",COUNTIF(IssueNosA,Sync!$AJ708)=0)),"شماره چک پاس‌شده معتبر نیست",""))))</f>
        <v/>
      </c>
      <c r="V708">
        <f>IF($K708="","",IF(ISNUMBER(Sync!$AK708),Sync!$AK708,LEFT(Sync!$AK708,4)&amp;MID(Sync!$AK708,6,2)&amp;RIGHT(Sync!$AK708,2))&amp;"|"&amp;"4"&amp;RIGHT("00000"&amp;703,5))</f>
        <v/>
      </c>
      <c r="W708">
        <f>IF($V708="",0,COUNTIFS($V$6:$V$2005,"&lt;"&amp;$V708)-COUNTIFS($V$6:$V$2005,"&lt;"&amp;$V708,$K$6:$K$2005,"")+1)</f>
        <v/>
      </c>
      <c r="X708">
        <f>IF(Sync!$AX708="","",IF(OR(N(Sync!$AY708)=0,N(Sync!$AZ708)=0),"",ROUND(N(Sync!$AY708)*N(Sync!$AZ708),0)))</f>
        <v/>
      </c>
      <c r="Y708">
        <f>IF($X708="","",IF(OR(Sync!$AX708="",COUNTIF(AcctCodesA,Sync!$AX708)=0),"متفرقه",Sync!$AX708))</f>
        <v/>
      </c>
      <c r="Z708">
        <f>IF($X708="","","سبد و ظروف")</f>
        <v/>
      </c>
      <c r="AA708">
        <f>IF($X708="","",$Y708)</f>
        <v/>
      </c>
    </row>
    <row r="709">
      <c r="A709">
        <f>IF(Sync!$Z709="","",LEFT(UPPER(TRIM(Sync!$Z709)),6))</f>
        <v/>
      </c>
      <c r="B709">
        <f>IF($A709="","",IF(Sync!$AA709="","",Sync!$AA709))</f>
        <v/>
      </c>
      <c r="C709">
        <f>IF($A709="","",IF(Sync!$AB709="","",Sync!$AB709))</f>
        <v/>
      </c>
      <c r="D709">
        <f>IF($A709="","",IF(Sync!$AC709="","",Sync!$AC709))</f>
        <v/>
      </c>
      <c r="E709">
        <f>IF($A709="","",IF(Sync!$AD709="","",Sync!$AD709))</f>
        <v/>
      </c>
      <c r="F709">
        <f>IF($A709="","",IF(Sync!$AE709="",0,Sync!$AE709))</f>
        <v/>
      </c>
      <c r="G709">
        <f>IF($A709="","",IF(Sync!$AF709="",0,Sync!$AF709))</f>
        <v/>
      </c>
      <c r="H709">
        <f>IF(OR($A709="",ROUND($F709+$G709,2)=0),"",$F709+$G709)</f>
        <v/>
      </c>
      <c r="I709">
        <f>IF($H709="","",IF(ROUND($F709,2)&gt;0,$A709,IF($D709="شخصی قاسم","شخصی قاسم",IF($D709="هزینه","هزینه: "&amp;IF($E709="","متفرقه",$E709),IF($C709="پاس چک","چک پرداختی",IF(OR($B709="",COUNTIF(AcctCodesA,$B709)=0),"متفرقه",$B709))))))</f>
        <v/>
      </c>
      <c r="J709">
        <f>IF($H709="","",IF(ROUND($F709,2)&gt;0,IF($D709="شخصی قاسم","شخصی قاسم",IF($D709="هزینه","هزینه: "&amp;IF($E709="","متفرقه",$E709),IF(OR($B709="",COUNTIF(AcctCodesA,$B709)=0),"متفرقه",$B709))),$A709))</f>
        <v/>
      </c>
      <c r="K709">
        <f>IF($A709="","",IF(AND($B709&lt;&gt;"",COUNTIF(AcctCodesA,$B709)=0),"کد طرف در INFO تعریف نشده",IF(AND($D709="هزینه",$E709=""),"هزینه بدون زیرگروه",IF(AND($C709="پاس چک",OR(Sync!$AJ709="",COUNTIF(IssueNosA,Sync!$AJ709)=0)),"شماره چک پاس‌شده معتبر نیست",""))))</f>
        <v/>
      </c>
      <c r="V709">
        <f>IF($K709="","",IF(ISNUMBER(Sync!$AK709),Sync!$AK709,LEFT(Sync!$AK709,4)&amp;MID(Sync!$AK709,6,2)&amp;RIGHT(Sync!$AK709,2))&amp;"|"&amp;"4"&amp;RIGHT("00000"&amp;704,5))</f>
        <v/>
      </c>
      <c r="W709">
        <f>IF($V709="",0,COUNTIFS($V$6:$V$2005,"&lt;"&amp;$V709)-COUNTIFS($V$6:$V$2005,"&lt;"&amp;$V709,$K$6:$K$2005,"")+1)</f>
        <v/>
      </c>
      <c r="X709">
        <f>IF(Sync!$AX709="","",IF(OR(N(Sync!$AY709)=0,N(Sync!$AZ709)=0),"",ROUND(N(Sync!$AY709)*N(Sync!$AZ709),0)))</f>
        <v/>
      </c>
      <c r="Y709">
        <f>IF($X709="","",IF(OR(Sync!$AX709="",COUNTIF(AcctCodesA,Sync!$AX709)=0),"متفرقه",Sync!$AX709))</f>
        <v/>
      </c>
      <c r="Z709">
        <f>IF($X709="","","سبد و ظروف")</f>
        <v/>
      </c>
      <c r="AA709">
        <f>IF($X709="","",$Y709)</f>
        <v/>
      </c>
    </row>
    <row r="710">
      <c r="A710">
        <f>IF(Sync!$Z710="","",LEFT(UPPER(TRIM(Sync!$Z710)),6))</f>
        <v/>
      </c>
      <c r="B710">
        <f>IF($A710="","",IF(Sync!$AA710="","",Sync!$AA710))</f>
        <v/>
      </c>
      <c r="C710">
        <f>IF($A710="","",IF(Sync!$AB710="","",Sync!$AB710))</f>
        <v/>
      </c>
      <c r="D710">
        <f>IF($A710="","",IF(Sync!$AC710="","",Sync!$AC710))</f>
        <v/>
      </c>
      <c r="E710">
        <f>IF($A710="","",IF(Sync!$AD710="","",Sync!$AD710))</f>
        <v/>
      </c>
      <c r="F710">
        <f>IF($A710="","",IF(Sync!$AE710="",0,Sync!$AE710))</f>
        <v/>
      </c>
      <c r="G710">
        <f>IF($A710="","",IF(Sync!$AF710="",0,Sync!$AF710))</f>
        <v/>
      </c>
      <c r="H710">
        <f>IF(OR($A710="",ROUND($F710+$G710,2)=0),"",$F710+$G710)</f>
        <v/>
      </c>
      <c r="I710">
        <f>IF($H710="","",IF(ROUND($F710,2)&gt;0,$A710,IF($D710="شخصی قاسم","شخصی قاسم",IF($D710="هزینه","هزینه: "&amp;IF($E710="","متفرقه",$E710),IF($C710="پاس چک","چک پرداختی",IF(OR($B710="",COUNTIF(AcctCodesA,$B710)=0),"متفرقه",$B710))))))</f>
        <v/>
      </c>
      <c r="J710">
        <f>IF($H710="","",IF(ROUND($F710,2)&gt;0,IF($D710="شخصی قاسم","شخصی قاسم",IF($D710="هزینه","هزینه: "&amp;IF($E710="","متفرقه",$E710),IF(OR($B710="",COUNTIF(AcctCodesA,$B710)=0),"متفرقه",$B710))),$A710))</f>
        <v/>
      </c>
      <c r="K710">
        <f>IF($A710="","",IF(AND($B710&lt;&gt;"",COUNTIF(AcctCodesA,$B710)=0),"کد طرف در INFO تعریف نشده",IF(AND($D710="هزینه",$E710=""),"هزینه بدون زیرگروه",IF(AND($C710="پاس چک",OR(Sync!$AJ710="",COUNTIF(IssueNosA,Sync!$AJ710)=0)),"شماره چک پاس‌شده معتبر نیست",""))))</f>
        <v/>
      </c>
      <c r="V710">
        <f>IF($K710="","",IF(ISNUMBER(Sync!$AK710),Sync!$AK710,LEFT(Sync!$AK710,4)&amp;MID(Sync!$AK710,6,2)&amp;RIGHT(Sync!$AK710,2))&amp;"|"&amp;"4"&amp;RIGHT("00000"&amp;705,5))</f>
        <v/>
      </c>
      <c r="W710">
        <f>IF($V710="",0,COUNTIFS($V$6:$V$2005,"&lt;"&amp;$V710)-COUNTIFS($V$6:$V$2005,"&lt;"&amp;$V710,$K$6:$K$2005,"")+1)</f>
        <v/>
      </c>
      <c r="X710">
        <f>IF(Sync!$AX710="","",IF(OR(N(Sync!$AY710)=0,N(Sync!$AZ710)=0),"",ROUND(N(Sync!$AY710)*N(Sync!$AZ710),0)))</f>
        <v/>
      </c>
      <c r="Y710">
        <f>IF($X710="","",IF(OR(Sync!$AX710="",COUNTIF(AcctCodesA,Sync!$AX710)=0),"متفرقه",Sync!$AX710))</f>
        <v/>
      </c>
      <c r="Z710">
        <f>IF($X710="","","سبد و ظروف")</f>
        <v/>
      </c>
      <c r="AA710">
        <f>IF($X710="","",$Y710)</f>
        <v/>
      </c>
    </row>
    <row r="711">
      <c r="A711">
        <f>IF(Sync!$Z711="","",LEFT(UPPER(TRIM(Sync!$Z711)),6))</f>
        <v/>
      </c>
      <c r="B711">
        <f>IF($A711="","",IF(Sync!$AA711="","",Sync!$AA711))</f>
        <v/>
      </c>
      <c r="C711">
        <f>IF($A711="","",IF(Sync!$AB711="","",Sync!$AB711))</f>
        <v/>
      </c>
      <c r="D711">
        <f>IF($A711="","",IF(Sync!$AC711="","",Sync!$AC711))</f>
        <v/>
      </c>
      <c r="E711">
        <f>IF($A711="","",IF(Sync!$AD711="","",Sync!$AD711))</f>
        <v/>
      </c>
      <c r="F711">
        <f>IF($A711="","",IF(Sync!$AE711="",0,Sync!$AE711))</f>
        <v/>
      </c>
      <c r="G711">
        <f>IF($A711="","",IF(Sync!$AF711="",0,Sync!$AF711))</f>
        <v/>
      </c>
      <c r="H711">
        <f>IF(OR($A711="",ROUND($F711+$G711,2)=0),"",$F711+$G711)</f>
        <v/>
      </c>
      <c r="I711">
        <f>IF($H711="","",IF(ROUND($F711,2)&gt;0,$A711,IF($D711="شخصی قاسم","شخصی قاسم",IF($D711="هزینه","هزینه: "&amp;IF($E711="","متفرقه",$E711),IF($C711="پاس چک","چک پرداختی",IF(OR($B711="",COUNTIF(AcctCodesA,$B711)=0),"متفرقه",$B711))))))</f>
        <v/>
      </c>
      <c r="J711">
        <f>IF($H711="","",IF(ROUND($F711,2)&gt;0,IF($D711="شخصی قاسم","شخصی قاسم",IF($D711="هزینه","هزینه: "&amp;IF($E711="","متفرقه",$E711),IF(OR($B711="",COUNTIF(AcctCodesA,$B711)=0),"متفرقه",$B711))),$A711))</f>
        <v/>
      </c>
      <c r="K711">
        <f>IF($A711="","",IF(AND($B711&lt;&gt;"",COUNTIF(AcctCodesA,$B711)=0),"کد طرف در INFO تعریف نشده",IF(AND($D711="هزینه",$E711=""),"هزینه بدون زیرگروه",IF(AND($C711="پاس چک",OR(Sync!$AJ711="",COUNTIF(IssueNosA,Sync!$AJ711)=0)),"شماره چک پاس‌شده معتبر نیست",""))))</f>
        <v/>
      </c>
      <c r="V711">
        <f>IF($K711="","",IF(ISNUMBER(Sync!$AK711),Sync!$AK711,LEFT(Sync!$AK711,4)&amp;MID(Sync!$AK711,6,2)&amp;RIGHT(Sync!$AK711,2))&amp;"|"&amp;"4"&amp;RIGHT("00000"&amp;706,5))</f>
        <v/>
      </c>
      <c r="W711">
        <f>IF($V711="",0,COUNTIFS($V$6:$V$2005,"&lt;"&amp;$V711)-COUNTIFS($V$6:$V$2005,"&lt;"&amp;$V711,$K$6:$K$2005,"")+1)</f>
        <v/>
      </c>
      <c r="X711">
        <f>IF(Sync!$AX711="","",IF(OR(N(Sync!$AY711)=0,N(Sync!$AZ711)=0),"",ROUND(N(Sync!$AY711)*N(Sync!$AZ711),0)))</f>
        <v/>
      </c>
      <c r="Y711">
        <f>IF($X711="","",IF(OR(Sync!$AX711="",COUNTIF(AcctCodesA,Sync!$AX711)=0),"متفرقه",Sync!$AX711))</f>
        <v/>
      </c>
      <c r="Z711">
        <f>IF($X711="","","سبد و ظروف")</f>
        <v/>
      </c>
      <c r="AA711">
        <f>IF($X711="","",$Y711)</f>
        <v/>
      </c>
    </row>
    <row r="712">
      <c r="A712">
        <f>IF(Sync!$Z712="","",LEFT(UPPER(TRIM(Sync!$Z712)),6))</f>
        <v/>
      </c>
      <c r="B712">
        <f>IF($A712="","",IF(Sync!$AA712="","",Sync!$AA712))</f>
        <v/>
      </c>
      <c r="C712">
        <f>IF($A712="","",IF(Sync!$AB712="","",Sync!$AB712))</f>
        <v/>
      </c>
      <c r="D712">
        <f>IF($A712="","",IF(Sync!$AC712="","",Sync!$AC712))</f>
        <v/>
      </c>
      <c r="E712">
        <f>IF($A712="","",IF(Sync!$AD712="","",Sync!$AD712))</f>
        <v/>
      </c>
      <c r="F712">
        <f>IF($A712="","",IF(Sync!$AE712="",0,Sync!$AE712))</f>
        <v/>
      </c>
      <c r="G712">
        <f>IF($A712="","",IF(Sync!$AF712="",0,Sync!$AF712))</f>
        <v/>
      </c>
      <c r="H712">
        <f>IF(OR($A712="",ROUND($F712+$G712,2)=0),"",$F712+$G712)</f>
        <v/>
      </c>
      <c r="I712">
        <f>IF($H712="","",IF(ROUND($F712,2)&gt;0,$A712,IF($D712="شخصی قاسم","شخصی قاسم",IF($D712="هزینه","هزینه: "&amp;IF($E712="","متفرقه",$E712),IF($C712="پاس چک","چک پرداختی",IF(OR($B712="",COUNTIF(AcctCodesA,$B712)=0),"متفرقه",$B712))))))</f>
        <v/>
      </c>
      <c r="J712">
        <f>IF($H712="","",IF(ROUND($F712,2)&gt;0,IF($D712="شخصی قاسم","شخصی قاسم",IF($D712="هزینه","هزینه: "&amp;IF($E712="","متفرقه",$E712),IF(OR($B712="",COUNTIF(AcctCodesA,$B712)=0),"متفرقه",$B712))),$A712))</f>
        <v/>
      </c>
      <c r="K712">
        <f>IF($A712="","",IF(AND($B712&lt;&gt;"",COUNTIF(AcctCodesA,$B712)=0),"کد طرف در INFO تعریف نشده",IF(AND($D712="هزینه",$E712=""),"هزینه بدون زیرگروه",IF(AND($C712="پاس چک",OR(Sync!$AJ712="",COUNTIF(IssueNosA,Sync!$AJ712)=0)),"شماره چک پاس‌شده معتبر نیست",""))))</f>
        <v/>
      </c>
      <c r="V712">
        <f>IF($K712="","",IF(ISNUMBER(Sync!$AK712),Sync!$AK712,LEFT(Sync!$AK712,4)&amp;MID(Sync!$AK712,6,2)&amp;RIGHT(Sync!$AK712,2))&amp;"|"&amp;"4"&amp;RIGHT("00000"&amp;707,5))</f>
        <v/>
      </c>
      <c r="W712">
        <f>IF($V712="",0,COUNTIFS($V$6:$V$2005,"&lt;"&amp;$V712)-COUNTIFS($V$6:$V$2005,"&lt;"&amp;$V712,$K$6:$K$2005,"")+1)</f>
        <v/>
      </c>
      <c r="X712">
        <f>IF(Sync!$AX712="","",IF(OR(N(Sync!$AY712)=0,N(Sync!$AZ712)=0),"",ROUND(N(Sync!$AY712)*N(Sync!$AZ712),0)))</f>
        <v/>
      </c>
      <c r="Y712">
        <f>IF($X712="","",IF(OR(Sync!$AX712="",COUNTIF(AcctCodesA,Sync!$AX712)=0),"متفرقه",Sync!$AX712))</f>
        <v/>
      </c>
      <c r="Z712">
        <f>IF($X712="","","سبد و ظروف")</f>
        <v/>
      </c>
      <c r="AA712">
        <f>IF($X712="","",$Y712)</f>
        <v/>
      </c>
    </row>
    <row r="713">
      <c r="A713">
        <f>IF(Sync!$Z713="","",LEFT(UPPER(TRIM(Sync!$Z713)),6))</f>
        <v/>
      </c>
      <c r="B713">
        <f>IF($A713="","",IF(Sync!$AA713="","",Sync!$AA713))</f>
        <v/>
      </c>
      <c r="C713">
        <f>IF($A713="","",IF(Sync!$AB713="","",Sync!$AB713))</f>
        <v/>
      </c>
      <c r="D713">
        <f>IF($A713="","",IF(Sync!$AC713="","",Sync!$AC713))</f>
        <v/>
      </c>
      <c r="E713">
        <f>IF($A713="","",IF(Sync!$AD713="","",Sync!$AD713))</f>
        <v/>
      </c>
      <c r="F713">
        <f>IF($A713="","",IF(Sync!$AE713="",0,Sync!$AE713))</f>
        <v/>
      </c>
      <c r="G713">
        <f>IF($A713="","",IF(Sync!$AF713="",0,Sync!$AF713))</f>
        <v/>
      </c>
      <c r="H713">
        <f>IF(OR($A713="",ROUND($F713+$G713,2)=0),"",$F713+$G713)</f>
        <v/>
      </c>
      <c r="I713">
        <f>IF($H713="","",IF(ROUND($F713,2)&gt;0,$A713,IF($D713="شخصی قاسم","شخصی قاسم",IF($D713="هزینه","هزینه: "&amp;IF($E713="","متفرقه",$E713),IF($C713="پاس چک","چک پرداختی",IF(OR($B713="",COUNTIF(AcctCodesA,$B713)=0),"متفرقه",$B713))))))</f>
        <v/>
      </c>
      <c r="J713">
        <f>IF($H713="","",IF(ROUND($F713,2)&gt;0,IF($D713="شخصی قاسم","شخصی قاسم",IF($D713="هزینه","هزینه: "&amp;IF($E713="","متفرقه",$E713),IF(OR($B713="",COUNTIF(AcctCodesA,$B713)=0),"متفرقه",$B713))),$A713))</f>
        <v/>
      </c>
      <c r="K713">
        <f>IF($A713="","",IF(AND($B713&lt;&gt;"",COUNTIF(AcctCodesA,$B713)=0),"کد طرف در INFO تعریف نشده",IF(AND($D713="هزینه",$E713=""),"هزینه بدون زیرگروه",IF(AND($C713="پاس چک",OR(Sync!$AJ713="",COUNTIF(IssueNosA,Sync!$AJ713)=0)),"شماره چک پاس‌شده معتبر نیست",""))))</f>
        <v/>
      </c>
      <c r="V713">
        <f>IF($K713="","",IF(ISNUMBER(Sync!$AK713),Sync!$AK713,LEFT(Sync!$AK713,4)&amp;MID(Sync!$AK713,6,2)&amp;RIGHT(Sync!$AK713,2))&amp;"|"&amp;"4"&amp;RIGHT("00000"&amp;708,5))</f>
        <v/>
      </c>
      <c r="W713">
        <f>IF($V713="",0,COUNTIFS($V$6:$V$2005,"&lt;"&amp;$V713)-COUNTIFS($V$6:$V$2005,"&lt;"&amp;$V713,$K$6:$K$2005,"")+1)</f>
        <v/>
      </c>
      <c r="X713">
        <f>IF(Sync!$AX713="","",IF(OR(N(Sync!$AY713)=0,N(Sync!$AZ713)=0),"",ROUND(N(Sync!$AY713)*N(Sync!$AZ713),0)))</f>
        <v/>
      </c>
      <c r="Y713">
        <f>IF($X713="","",IF(OR(Sync!$AX713="",COUNTIF(AcctCodesA,Sync!$AX713)=0),"متفرقه",Sync!$AX713))</f>
        <v/>
      </c>
      <c r="Z713">
        <f>IF($X713="","","سبد و ظروف")</f>
        <v/>
      </c>
      <c r="AA713">
        <f>IF($X713="","",$Y713)</f>
        <v/>
      </c>
    </row>
    <row r="714">
      <c r="A714">
        <f>IF(Sync!$Z714="","",LEFT(UPPER(TRIM(Sync!$Z714)),6))</f>
        <v/>
      </c>
      <c r="B714">
        <f>IF($A714="","",IF(Sync!$AA714="","",Sync!$AA714))</f>
        <v/>
      </c>
      <c r="C714">
        <f>IF($A714="","",IF(Sync!$AB714="","",Sync!$AB714))</f>
        <v/>
      </c>
      <c r="D714">
        <f>IF($A714="","",IF(Sync!$AC714="","",Sync!$AC714))</f>
        <v/>
      </c>
      <c r="E714">
        <f>IF($A714="","",IF(Sync!$AD714="","",Sync!$AD714))</f>
        <v/>
      </c>
      <c r="F714">
        <f>IF($A714="","",IF(Sync!$AE714="",0,Sync!$AE714))</f>
        <v/>
      </c>
      <c r="G714">
        <f>IF($A714="","",IF(Sync!$AF714="",0,Sync!$AF714))</f>
        <v/>
      </c>
      <c r="H714">
        <f>IF(OR($A714="",ROUND($F714+$G714,2)=0),"",$F714+$G714)</f>
        <v/>
      </c>
      <c r="I714">
        <f>IF($H714="","",IF(ROUND($F714,2)&gt;0,$A714,IF($D714="شخصی قاسم","شخصی قاسم",IF($D714="هزینه","هزینه: "&amp;IF($E714="","متفرقه",$E714),IF($C714="پاس چک","چک پرداختی",IF(OR($B714="",COUNTIF(AcctCodesA,$B714)=0),"متفرقه",$B714))))))</f>
        <v/>
      </c>
      <c r="J714">
        <f>IF($H714="","",IF(ROUND($F714,2)&gt;0,IF($D714="شخصی قاسم","شخصی قاسم",IF($D714="هزینه","هزینه: "&amp;IF($E714="","متفرقه",$E714),IF(OR($B714="",COUNTIF(AcctCodesA,$B714)=0),"متفرقه",$B714))),$A714))</f>
        <v/>
      </c>
      <c r="K714">
        <f>IF($A714="","",IF(AND($B714&lt;&gt;"",COUNTIF(AcctCodesA,$B714)=0),"کد طرف در INFO تعریف نشده",IF(AND($D714="هزینه",$E714=""),"هزینه بدون زیرگروه",IF(AND($C714="پاس چک",OR(Sync!$AJ714="",COUNTIF(IssueNosA,Sync!$AJ714)=0)),"شماره چک پاس‌شده معتبر نیست",""))))</f>
        <v/>
      </c>
      <c r="V714">
        <f>IF($K714="","",IF(ISNUMBER(Sync!$AK714),Sync!$AK714,LEFT(Sync!$AK714,4)&amp;MID(Sync!$AK714,6,2)&amp;RIGHT(Sync!$AK714,2))&amp;"|"&amp;"4"&amp;RIGHT("00000"&amp;709,5))</f>
        <v/>
      </c>
      <c r="W714">
        <f>IF($V714="",0,COUNTIFS($V$6:$V$2005,"&lt;"&amp;$V714)-COUNTIFS($V$6:$V$2005,"&lt;"&amp;$V714,$K$6:$K$2005,"")+1)</f>
        <v/>
      </c>
      <c r="X714">
        <f>IF(Sync!$AX714="","",IF(OR(N(Sync!$AY714)=0,N(Sync!$AZ714)=0),"",ROUND(N(Sync!$AY714)*N(Sync!$AZ714),0)))</f>
        <v/>
      </c>
      <c r="Y714">
        <f>IF($X714="","",IF(OR(Sync!$AX714="",COUNTIF(AcctCodesA,Sync!$AX714)=0),"متفرقه",Sync!$AX714))</f>
        <v/>
      </c>
      <c r="Z714">
        <f>IF($X714="","","سبد و ظروف")</f>
        <v/>
      </c>
      <c r="AA714">
        <f>IF($X714="","",$Y714)</f>
        <v/>
      </c>
    </row>
    <row r="715">
      <c r="A715">
        <f>IF(Sync!$Z715="","",LEFT(UPPER(TRIM(Sync!$Z715)),6))</f>
        <v/>
      </c>
      <c r="B715">
        <f>IF($A715="","",IF(Sync!$AA715="","",Sync!$AA715))</f>
        <v/>
      </c>
      <c r="C715">
        <f>IF($A715="","",IF(Sync!$AB715="","",Sync!$AB715))</f>
        <v/>
      </c>
      <c r="D715">
        <f>IF($A715="","",IF(Sync!$AC715="","",Sync!$AC715))</f>
        <v/>
      </c>
      <c r="E715">
        <f>IF($A715="","",IF(Sync!$AD715="","",Sync!$AD715))</f>
        <v/>
      </c>
      <c r="F715">
        <f>IF($A715="","",IF(Sync!$AE715="",0,Sync!$AE715))</f>
        <v/>
      </c>
      <c r="G715">
        <f>IF($A715="","",IF(Sync!$AF715="",0,Sync!$AF715))</f>
        <v/>
      </c>
      <c r="H715">
        <f>IF(OR($A715="",ROUND($F715+$G715,2)=0),"",$F715+$G715)</f>
        <v/>
      </c>
      <c r="I715">
        <f>IF($H715="","",IF(ROUND($F715,2)&gt;0,$A715,IF($D715="شخصی قاسم","شخصی قاسم",IF($D715="هزینه","هزینه: "&amp;IF($E715="","متفرقه",$E715),IF($C715="پاس چک","چک پرداختی",IF(OR($B715="",COUNTIF(AcctCodesA,$B715)=0),"متفرقه",$B715))))))</f>
        <v/>
      </c>
      <c r="J715">
        <f>IF($H715="","",IF(ROUND($F715,2)&gt;0,IF($D715="شخصی قاسم","شخصی قاسم",IF($D715="هزینه","هزینه: "&amp;IF($E715="","متفرقه",$E715),IF(OR($B715="",COUNTIF(AcctCodesA,$B715)=0),"متفرقه",$B715))),$A715))</f>
        <v/>
      </c>
      <c r="K715">
        <f>IF($A715="","",IF(AND($B715&lt;&gt;"",COUNTIF(AcctCodesA,$B715)=0),"کد طرف در INFO تعریف نشده",IF(AND($D715="هزینه",$E715=""),"هزینه بدون زیرگروه",IF(AND($C715="پاس چک",OR(Sync!$AJ715="",COUNTIF(IssueNosA,Sync!$AJ715)=0)),"شماره چک پاس‌شده معتبر نیست",""))))</f>
        <v/>
      </c>
      <c r="V715">
        <f>IF($K715="","",IF(ISNUMBER(Sync!$AK715),Sync!$AK715,LEFT(Sync!$AK715,4)&amp;MID(Sync!$AK715,6,2)&amp;RIGHT(Sync!$AK715,2))&amp;"|"&amp;"4"&amp;RIGHT("00000"&amp;710,5))</f>
        <v/>
      </c>
      <c r="W715">
        <f>IF($V715="",0,COUNTIFS($V$6:$V$2005,"&lt;"&amp;$V715)-COUNTIFS($V$6:$V$2005,"&lt;"&amp;$V715,$K$6:$K$2005,"")+1)</f>
        <v/>
      </c>
      <c r="X715">
        <f>IF(Sync!$AX715="","",IF(OR(N(Sync!$AY715)=0,N(Sync!$AZ715)=0),"",ROUND(N(Sync!$AY715)*N(Sync!$AZ715),0)))</f>
        <v/>
      </c>
      <c r="Y715">
        <f>IF($X715="","",IF(OR(Sync!$AX715="",COUNTIF(AcctCodesA,Sync!$AX715)=0),"متفرقه",Sync!$AX715))</f>
        <v/>
      </c>
      <c r="Z715">
        <f>IF($X715="","","سبد و ظروف")</f>
        <v/>
      </c>
      <c r="AA715">
        <f>IF($X715="","",$Y715)</f>
        <v/>
      </c>
    </row>
    <row r="716">
      <c r="A716">
        <f>IF(Sync!$Z716="","",LEFT(UPPER(TRIM(Sync!$Z716)),6))</f>
        <v/>
      </c>
      <c r="B716">
        <f>IF($A716="","",IF(Sync!$AA716="","",Sync!$AA716))</f>
        <v/>
      </c>
      <c r="C716">
        <f>IF($A716="","",IF(Sync!$AB716="","",Sync!$AB716))</f>
        <v/>
      </c>
      <c r="D716">
        <f>IF($A716="","",IF(Sync!$AC716="","",Sync!$AC716))</f>
        <v/>
      </c>
      <c r="E716">
        <f>IF($A716="","",IF(Sync!$AD716="","",Sync!$AD716))</f>
        <v/>
      </c>
      <c r="F716">
        <f>IF($A716="","",IF(Sync!$AE716="",0,Sync!$AE716))</f>
        <v/>
      </c>
      <c r="G716">
        <f>IF($A716="","",IF(Sync!$AF716="",0,Sync!$AF716))</f>
        <v/>
      </c>
      <c r="H716">
        <f>IF(OR($A716="",ROUND($F716+$G716,2)=0),"",$F716+$G716)</f>
        <v/>
      </c>
      <c r="I716">
        <f>IF($H716="","",IF(ROUND($F716,2)&gt;0,$A716,IF($D716="شخصی قاسم","شخصی قاسم",IF($D716="هزینه","هزینه: "&amp;IF($E716="","متفرقه",$E716),IF($C716="پاس چک","چک پرداختی",IF(OR($B716="",COUNTIF(AcctCodesA,$B716)=0),"متفرقه",$B716))))))</f>
        <v/>
      </c>
      <c r="J716">
        <f>IF($H716="","",IF(ROUND($F716,2)&gt;0,IF($D716="شخصی قاسم","شخصی قاسم",IF($D716="هزینه","هزینه: "&amp;IF($E716="","متفرقه",$E716),IF(OR($B716="",COUNTIF(AcctCodesA,$B716)=0),"متفرقه",$B716))),$A716))</f>
        <v/>
      </c>
      <c r="K716">
        <f>IF($A716="","",IF(AND($B716&lt;&gt;"",COUNTIF(AcctCodesA,$B716)=0),"کد طرف در INFO تعریف نشده",IF(AND($D716="هزینه",$E716=""),"هزینه بدون زیرگروه",IF(AND($C716="پاس چک",OR(Sync!$AJ716="",COUNTIF(IssueNosA,Sync!$AJ716)=0)),"شماره چک پاس‌شده معتبر نیست",""))))</f>
        <v/>
      </c>
      <c r="V716">
        <f>IF($K716="","",IF(ISNUMBER(Sync!$AK716),Sync!$AK716,LEFT(Sync!$AK716,4)&amp;MID(Sync!$AK716,6,2)&amp;RIGHT(Sync!$AK716,2))&amp;"|"&amp;"4"&amp;RIGHT("00000"&amp;711,5))</f>
        <v/>
      </c>
      <c r="W716">
        <f>IF($V716="",0,COUNTIFS($V$6:$V$2005,"&lt;"&amp;$V716)-COUNTIFS($V$6:$V$2005,"&lt;"&amp;$V716,$K$6:$K$2005,"")+1)</f>
        <v/>
      </c>
      <c r="X716">
        <f>IF(Sync!$AX716="","",IF(OR(N(Sync!$AY716)=0,N(Sync!$AZ716)=0),"",ROUND(N(Sync!$AY716)*N(Sync!$AZ716),0)))</f>
        <v/>
      </c>
      <c r="Y716">
        <f>IF($X716="","",IF(OR(Sync!$AX716="",COUNTIF(AcctCodesA,Sync!$AX716)=0),"متفرقه",Sync!$AX716))</f>
        <v/>
      </c>
      <c r="Z716">
        <f>IF($X716="","","سبد و ظروف")</f>
        <v/>
      </c>
      <c r="AA716">
        <f>IF($X716="","",$Y716)</f>
        <v/>
      </c>
    </row>
    <row r="717">
      <c r="A717">
        <f>IF(Sync!$Z717="","",LEFT(UPPER(TRIM(Sync!$Z717)),6))</f>
        <v/>
      </c>
      <c r="B717">
        <f>IF($A717="","",IF(Sync!$AA717="","",Sync!$AA717))</f>
        <v/>
      </c>
      <c r="C717">
        <f>IF($A717="","",IF(Sync!$AB717="","",Sync!$AB717))</f>
        <v/>
      </c>
      <c r="D717">
        <f>IF($A717="","",IF(Sync!$AC717="","",Sync!$AC717))</f>
        <v/>
      </c>
      <c r="E717">
        <f>IF($A717="","",IF(Sync!$AD717="","",Sync!$AD717))</f>
        <v/>
      </c>
      <c r="F717">
        <f>IF($A717="","",IF(Sync!$AE717="",0,Sync!$AE717))</f>
        <v/>
      </c>
      <c r="G717">
        <f>IF($A717="","",IF(Sync!$AF717="",0,Sync!$AF717))</f>
        <v/>
      </c>
      <c r="H717">
        <f>IF(OR($A717="",ROUND($F717+$G717,2)=0),"",$F717+$G717)</f>
        <v/>
      </c>
      <c r="I717">
        <f>IF($H717="","",IF(ROUND($F717,2)&gt;0,$A717,IF($D717="شخصی قاسم","شخصی قاسم",IF($D717="هزینه","هزینه: "&amp;IF($E717="","متفرقه",$E717),IF($C717="پاس چک","چک پرداختی",IF(OR($B717="",COUNTIF(AcctCodesA,$B717)=0),"متفرقه",$B717))))))</f>
        <v/>
      </c>
      <c r="J717">
        <f>IF($H717="","",IF(ROUND($F717,2)&gt;0,IF($D717="شخصی قاسم","شخصی قاسم",IF($D717="هزینه","هزینه: "&amp;IF($E717="","متفرقه",$E717),IF(OR($B717="",COUNTIF(AcctCodesA,$B717)=0),"متفرقه",$B717))),$A717))</f>
        <v/>
      </c>
      <c r="K717">
        <f>IF($A717="","",IF(AND($B717&lt;&gt;"",COUNTIF(AcctCodesA,$B717)=0),"کد طرف در INFO تعریف نشده",IF(AND($D717="هزینه",$E717=""),"هزینه بدون زیرگروه",IF(AND($C717="پاس چک",OR(Sync!$AJ717="",COUNTIF(IssueNosA,Sync!$AJ717)=0)),"شماره چک پاس‌شده معتبر نیست",""))))</f>
        <v/>
      </c>
      <c r="V717">
        <f>IF($K717="","",IF(ISNUMBER(Sync!$AK717),Sync!$AK717,LEFT(Sync!$AK717,4)&amp;MID(Sync!$AK717,6,2)&amp;RIGHT(Sync!$AK717,2))&amp;"|"&amp;"4"&amp;RIGHT("00000"&amp;712,5))</f>
        <v/>
      </c>
      <c r="W717">
        <f>IF($V717="",0,COUNTIFS($V$6:$V$2005,"&lt;"&amp;$V717)-COUNTIFS($V$6:$V$2005,"&lt;"&amp;$V717,$K$6:$K$2005,"")+1)</f>
        <v/>
      </c>
      <c r="X717">
        <f>IF(Sync!$AX717="","",IF(OR(N(Sync!$AY717)=0,N(Sync!$AZ717)=0),"",ROUND(N(Sync!$AY717)*N(Sync!$AZ717),0)))</f>
        <v/>
      </c>
      <c r="Y717">
        <f>IF($X717="","",IF(OR(Sync!$AX717="",COUNTIF(AcctCodesA,Sync!$AX717)=0),"متفرقه",Sync!$AX717))</f>
        <v/>
      </c>
      <c r="Z717">
        <f>IF($X717="","","سبد و ظروف")</f>
        <v/>
      </c>
      <c r="AA717">
        <f>IF($X717="","",$Y717)</f>
        <v/>
      </c>
    </row>
    <row r="718">
      <c r="A718">
        <f>IF(Sync!$Z718="","",LEFT(UPPER(TRIM(Sync!$Z718)),6))</f>
        <v/>
      </c>
      <c r="B718">
        <f>IF($A718="","",IF(Sync!$AA718="","",Sync!$AA718))</f>
        <v/>
      </c>
      <c r="C718">
        <f>IF($A718="","",IF(Sync!$AB718="","",Sync!$AB718))</f>
        <v/>
      </c>
      <c r="D718">
        <f>IF($A718="","",IF(Sync!$AC718="","",Sync!$AC718))</f>
        <v/>
      </c>
      <c r="E718">
        <f>IF($A718="","",IF(Sync!$AD718="","",Sync!$AD718))</f>
        <v/>
      </c>
      <c r="F718">
        <f>IF($A718="","",IF(Sync!$AE718="",0,Sync!$AE718))</f>
        <v/>
      </c>
      <c r="G718">
        <f>IF($A718="","",IF(Sync!$AF718="",0,Sync!$AF718))</f>
        <v/>
      </c>
      <c r="H718">
        <f>IF(OR($A718="",ROUND($F718+$G718,2)=0),"",$F718+$G718)</f>
        <v/>
      </c>
      <c r="I718">
        <f>IF($H718="","",IF(ROUND($F718,2)&gt;0,$A718,IF($D718="شخصی قاسم","شخصی قاسم",IF($D718="هزینه","هزینه: "&amp;IF($E718="","متفرقه",$E718),IF($C718="پاس چک","چک پرداختی",IF(OR($B718="",COUNTIF(AcctCodesA,$B718)=0),"متفرقه",$B718))))))</f>
        <v/>
      </c>
      <c r="J718">
        <f>IF($H718="","",IF(ROUND($F718,2)&gt;0,IF($D718="شخصی قاسم","شخصی قاسم",IF($D718="هزینه","هزینه: "&amp;IF($E718="","متفرقه",$E718),IF(OR($B718="",COUNTIF(AcctCodesA,$B718)=0),"متفرقه",$B718))),$A718))</f>
        <v/>
      </c>
      <c r="K718">
        <f>IF($A718="","",IF(AND($B718&lt;&gt;"",COUNTIF(AcctCodesA,$B718)=0),"کد طرف در INFO تعریف نشده",IF(AND($D718="هزینه",$E718=""),"هزینه بدون زیرگروه",IF(AND($C718="پاس چک",OR(Sync!$AJ718="",COUNTIF(IssueNosA,Sync!$AJ718)=0)),"شماره چک پاس‌شده معتبر نیست",""))))</f>
        <v/>
      </c>
      <c r="V718">
        <f>IF($K718="","",IF(ISNUMBER(Sync!$AK718),Sync!$AK718,LEFT(Sync!$AK718,4)&amp;MID(Sync!$AK718,6,2)&amp;RIGHT(Sync!$AK718,2))&amp;"|"&amp;"4"&amp;RIGHT("00000"&amp;713,5))</f>
        <v/>
      </c>
      <c r="W718">
        <f>IF($V718="",0,COUNTIFS($V$6:$V$2005,"&lt;"&amp;$V718)-COUNTIFS($V$6:$V$2005,"&lt;"&amp;$V718,$K$6:$K$2005,"")+1)</f>
        <v/>
      </c>
      <c r="X718">
        <f>IF(Sync!$AX718="","",IF(OR(N(Sync!$AY718)=0,N(Sync!$AZ718)=0),"",ROUND(N(Sync!$AY718)*N(Sync!$AZ718),0)))</f>
        <v/>
      </c>
      <c r="Y718">
        <f>IF($X718="","",IF(OR(Sync!$AX718="",COUNTIF(AcctCodesA,Sync!$AX718)=0),"متفرقه",Sync!$AX718))</f>
        <v/>
      </c>
      <c r="Z718">
        <f>IF($X718="","","سبد و ظروف")</f>
        <v/>
      </c>
      <c r="AA718">
        <f>IF($X718="","",$Y718)</f>
        <v/>
      </c>
    </row>
    <row r="719">
      <c r="A719">
        <f>IF(Sync!$Z719="","",LEFT(UPPER(TRIM(Sync!$Z719)),6))</f>
        <v/>
      </c>
      <c r="B719">
        <f>IF($A719="","",IF(Sync!$AA719="","",Sync!$AA719))</f>
        <v/>
      </c>
      <c r="C719">
        <f>IF($A719="","",IF(Sync!$AB719="","",Sync!$AB719))</f>
        <v/>
      </c>
      <c r="D719">
        <f>IF($A719="","",IF(Sync!$AC719="","",Sync!$AC719))</f>
        <v/>
      </c>
      <c r="E719">
        <f>IF($A719="","",IF(Sync!$AD719="","",Sync!$AD719))</f>
        <v/>
      </c>
      <c r="F719">
        <f>IF($A719="","",IF(Sync!$AE719="",0,Sync!$AE719))</f>
        <v/>
      </c>
      <c r="G719">
        <f>IF($A719="","",IF(Sync!$AF719="",0,Sync!$AF719))</f>
        <v/>
      </c>
      <c r="H719">
        <f>IF(OR($A719="",ROUND($F719+$G719,2)=0),"",$F719+$G719)</f>
        <v/>
      </c>
      <c r="I719">
        <f>IF($H719="","",IF(ROUND($F719,2)&gt;0,$A719,IF($D719="شخصی قاسم","شخصی قاسم",IF($D719="هزینه","هزینه: "&amp;IF($E719="","متفرقه",$E719),IF($C719="پاس چک","چک پرداختی",IF(OR($B719="",COUNTIF(AcctCodesA,$B719)=0),"متفرقه",$B719))))))</f>
        <v/>
      </c>
      <c r="J719">
        <f>IF($H719="","",IF(ROUND($F719,2)&gt;0,IF($D719="شخصی قاسم","شخصی قاسم",IF($D719="هزینه","هزینه: "&amp;IF($E719="","متفرقه",$E719),IF(OR($B719="",COUNTIF(AcctCodesA,$B719)=0),"متفرقه",$B719))),$A719))</f>
        <v/>
      </c>
      <c r="K719">
        <f>IF($A719="","",IF(AND($B719&lt;&gt;"",COUNTIF(AcctCodesA,$B719)=0),"کد طرف در INFO تعریف نشده",IF(AND($D719="هزینه",$E719=""),"هزینه بدون زیرگروه",IF(AND($C719="پاس چک",OR(Sync!$AJ719="",COUNTIF(IssueNosA,Sync!$AJ719)=0)),"شماره چک پاس‌شده معتبر نیست",""))))</f>
        <v/>
      </c>
      <c r="V719">
        <f>IF($K719="","",IF(ISNUMBER(Sync!$AK719),Sync!$AK719,LEFT(Sync!$AK719,4)&amp;MID(Sync!$AK719,6,2)&amp;RIGHT(Sync!$AK719,2))&amp;"|"&amp;"4"&amp;RIGHT("00000"&amp;714,5))</f>
        <v/>
      </c>
      <c r="W719">
        <f>IF($V719="",0,COUNTIFS($V$6:$V$2005,"&lt;"&amp;$V719)-COUNTIFS($V$6:$V$2005,"&lt;"&amp;$V719,$K$6:$K$2005,"")+1)</f>
        <v/>
      </c>
      <c r="X719">
        <f>IF(Sync!$AX719="","",IF(OR(N(Sync!$AY719)=0,N(Sync!$AZ719)=0),"",ROUND(N(Sync!$AY719)*N(Sync!$AZ719),0)))</f>
        <v/>
      </c>
      <c r="Y719">
        <f>IF($X719="","",IF(OR(Sync!$AX719="",COUNTIF(AcctCodesA,Sync!$AX719)=0),"متفرقه",Sync!$AX719))</f>
        <v/>
      </c>
      <c r="Z719">
        <f>IF($X719="","","سبد و ظروف")</f>
        <v/>
      </c>
      <c r="AA719">
        <f>IF($X719="","",$Y719)</f>
        <v/>
      </c>
    </row>
    <row r="720">
      <c r="A720">
        <f>IF(Sync!$Z720="","",LEFT(UPPER(TRIM(Sync!$Z720)),6))</f>
        <v/>
      </c>
      <c r="B720">
        <f>IF($A720="","",IF(Sync!$AA720="","",Sync!$AA720))</f>
        <v/>
      </c>
      <c r="C720">
        <f>IF($A720="","",IF(Sync!$AB720="","",Sync!$AB720))</f>
        <v/>
      </c>
      <c r="D720">
        <f>IF($A720="","",IF(Sync!$AC720="","",Sync!$AC720))</f>
        <v/>
      </c>
      <c r="E720">
        <f>IF($A720="","",IF(Sync!$AD720="","",Sync!$AD720))</f>
        <v/>
      </c>
      <c r="F720">
        <f>IF($A720="","",IF(Sync!$AE720="",0,Sync!$AE720))</f>
        <v/>
      </c>
      <c r="G720">
        <f>IF($A720="","",IF(Sync!$AF720="",0,Sync!$AF720))</f>
        <v/>
      </c>
      <c r="H720">
        <f>IF(OR($A720="",ROUND($F720+$G720,2)=0),"",$F720+$G720)</f>
        <v/>
      </c>
      <c r="I720">
        <f>IF($H720="","",IF(ROUND($F720,2)&gt;0,$A720,IF($D720="شخصی قاسم","شخصی قاسم",IF($D720="هزینه","هزینه: "&amp;IF($E720="","متفرقه",$E720),IF($C720="پاس چک","چک پرداختی",IF(OR($B720="",COUNTIF(AcctCodesA,$B720)=0),"متفرقه",$B720))))))</f>
        <v/>
      </c>
      <c r="J720">
        <f>IF($H720="","",IF(ROUND($F720,2)&gt;0,IF($D720="شخصی قاسم","شخصی قاسم",IF($D720="هزینه","هزینه: "&amp;IF($E720="","متفرقه",$E720),IF(OR($B720="",COUNTIF(AcctCodesA,$B720)=0),"متفرقه",$B720))),$A720))</f>
        <v/>
      </c>
      <c r="K720">
        <f>IF($A720="","",IF(AND($B720&lt;&gt;"",COUNTIF(AcctCodesA,$B720)=0),"کد طرف در INFO تعریف نشده",IF(AND($D720="هزینه",$E720=""),"هزینه بدون زیرگروه",IF(AND($C720="پاس چک",OR(Sync!$AJ720="",COUNTIF(IssueNosA,Sync!$AJ720)=0)),"شماره چک پاس‌شده معتبر نیست",""))))</f>
        <v/>
      </c>
      <c r="V720">
        <f>IF($K720="","",IF(ISNUMBER(Sync!$AK720),Sync!$AK720,LEFT(Sync!$AK720,4)&amp;MID(Sync!$AK720,6,2)&amp;RIGHT(Sync!$AK720,2))&amp;"|"&amp;"4"&amp;RIGHT("00000"&amp;715,5))</f>
        <v/>
      </c>
      <c r="W720">
        <f>IF($V720="",0,COUNTIFS($V$6:$V$2005,"&lt;"&amp;$V720)-COUNTIFS($V$6:$V$2005,"&lt;"&amp;$V720,$K$6:$K$2005,"")+1)</f>
        <v/>
      </c>
      <c r="X720">
        <f>IF(Sync!$AX720="","",IF(OR(N(Sync!$AY720)=0,N(Sync!$AZ720)=0),"",ROUND(N(Sync!$AY720)*N(Sync!$AZ720),0)))</f>
        <v/>
      </c>
      <c r="Y720">
        <f>IF($X720="","",IF(OR(Sync!$AX720="",COUNTIF(AcctCodesA,Sync!$AX720)=0),"متفرقه",Sync!$AX720))</f>
        <v/>
      </c>
      <c r="Z720">
        <f>IF($X720="","","سبد و ظروف")</f>
        <v/>
      </c>
      <c r="AA720">
        <f>IF($X720="","",$Y720)</f>
        <v/>
      </c>
    </row>
    <row r="721">
      <c r="A721">
        <f>IF(Sync!$Z721="","",LEFT(UPPER(TRIM(Sync!$Z721)),6))</f>
        <v/>
      </c>
      <c r="B721">
        <f>IF($A721="","",IF(Sync!$AA721="","",Sync!$AA721))</f>
        <v/>
      </c>
      <c r="C721">
        <f>IF($A721="","",IF(Sync!$AB721="","",Sync!$AB721))</f>
        <v/>
      </c>
      <c r="D721">
        <f>IF($A721="","",IF(Sync!$AC721="","",Sync!$AC721))</f>
        <v/>
      </c>
      <c r="E721">
        <f>IF($A721="","",IF(Sync!$AD721="","",Sync!$AD721))</f>
        <v/>
      </c>
      <c r="F721">
        <f>IF($A721="","",IF(Sync!$AE721="",0,Sync!$AE721))</f>
        <v/>
      </c>
      <c r="G721">
        <f>IF($A721="","",IF(Sync!$AF721="",0,Sync!$AF721))</f>
        <v/>
      </c>
      <c r="H721">
        <f>IF(OR($A721="",ROUND($F721+$G721,2)=0),"",$F721+$G721)</f>
        <v/>
      </c>
      <c r="I721">
        <f>IF($H721="","",IF(ROUND($F721,2)&gt;0,$A721,IF($D721="شخصی قاسم","شخصی قاسم",IF($D721="هزینه","هزینه: "&amp;IF($E721="","متفرقه",$E721),IF($C721="پاس چک","چک پرداختی",IF(OR($B721="",COUNTIF(AcctCodesA,$B721)=0),"متفرقه",$B721))))))</f>
        <v/>
      </c>
      <c r="J721">
        <f>IF($H721="","",IF(ROUND($F721,2)&gt;0,IF($D721="شخصی قاسم","شخصی قاسم",IF($D721="هزینه","هزینه: "&amp;IF($E721="","متفرقه",$E721),IF(OR($B721="",COUNTIF(AcctCodesA,$B721)=0),"متفرقه",$B721))),$A721))</f>
        <v/>
      </c>
      <c r="K721">
        <f>IF($A721="","",IF(AND($B721&lt;&gt;"",COUNTIF(AcctCodesA,$B721)=0),"کد طرف در INFO تعریف نشده",IF(AND($D721="هزینه",$E721=""),"هزینه بدون زیرگروه",IF(AND($C721="پاس چک",OR(Sync!$AJ721="",COUNTIF(IssueNosA,Sync!$AJ721)=0)),"شماره چک پاس‌شده معتبر نیست",""))))</f>
        <v/>
      </c>
      <c r="V721">
        <f>IF($K721="","",IF(ISNUMBER(Sync!$AK721),Sync!$AK721,LEFT(Sync!$AK721,4)&amp;MID(Sync!$AK721,6,2)&amp;RIGHT(Sync!$AK721,2))&amp;"|"&amp;"4"&amp;RIGHT("00000"&amp;716,5))</f>
        <v/>
      </c>
      <c r="W721">
        <f>IF($V721="",0,COUNTIFS($V$6:$V$2005,"&lt;"&amp;$V721)-COUNTIFS($V$6:$V$2005,"&lt;"&amp;$V721,$K$6:$K$2005,"")+1)</f>
        <v/>
      </c>
      <c r="X721">
        <f>IF(Sync!$AX721="","",IF(OR(N(Sync!$AY721)=0,N(Sync!$AZ721)=0),"",ROUND(N(Sync!$AY721)*N(Sync!$AZ721),0)))</f>
        <v/>
      </c>
      <c r="Y721">
        <f>IF($X721="","",IF(OR(Sync!$AX721="",COUNTIF(AcctCodesA,Sync!$AX721)=0),"متفرقه",Sync!$AX721))</f>
        <v/>
      </c>
      <c r="Z721">
        <f>IF($X721="","","سبد و ظروف")</f>
        <v/>
      </c>
      <c r="AA721">
        <f>IF($X721="","",$Y721)</f>
        <v/>
      </c>
    </row>
    <row r="722">
      <c r="A722">
        <f>IF(Sync!$Z722="","",LEFT(UPPER(TRIM(Sync!$Z722)),6))</f>
        <v/>
      </c>
      <c r="B722">
        <f>IF($A722="","",IF(Sync!$AA722="","",Sync!$AA722))</f>
        <v/>
      </c>
      <c r="C722">
        <f>IF($A722="","",IF(Sync!$AB722="","",Sync!$AB722))</f>
        <v/>
      </c>
      <c r="D722">
        <f>IF($A722="","",IF(Sync!$AC722="","",Sync!$AC722))</f>
        <v/>
      </c>
      <c r="E722">
        <f>IF($A722="","",IF(Sync!$AD722="","",Sync!$AD722))</f>
        <v/>
      </c>
      <c r="F722">
        <f>IF($A722="","",IF(Sync!$AE722="",0,Sync!$AE722))</f>
        <v/>
      </c>
      <c r="G722">
        <f>IF($A722="","",IF(Sync!$AF722="",0,Sync!$AF722))</f>
        <v/>
      </c>
      <c r="H722">
        <f>IF(OR($A722="",ROUND($F722+$G722,2)=0),"",$F722+$G722)</f>
        <v/>
      </c>
      <c r="I722">
        <f>IF($H722="","",IF(ROUND($F722,2)&gt;0,$A722,IF($D722="شخصی قاسم","شخصی قاسم",IF($D722="هزینه","هزینه: "&amp;IF($E722="","متفرقه",$E722),IF($C722="پاس چک","چک پرداختی",IF(OR($B722="",COUNTIF(AcctCodesA,$B722)=0),"متفرقه",$B722))))))</f>
        <v/>
      </c>
      <c r="J722">
        <f>IF($H722="","",IF(ROUND($F722,2)&gt;0,IF($D722="شخصی قاسم","شخصی قاسم",IF($D722="هزینه","هزینه: "&amp;IF($E722="","متفرقه",$E722),IF(OR($B722="",COUNTIF(AcctCodesA,$B722)=0),"متفرقه",$B722))),$A722))</f>
        <v/>
      </c>
      <c r="K722">
        <f>IF($A722="","",IF(AND($B722&lt;&gt;"",COUNTIF(AcctCodesA,$B722)=0),"کد طرف در INFO تعریف نشده",IF(AND($D722="هزینه",$E722=""),"هزینه بدون زیرگروه",IF(AND($C722="پاس چک",OR(Sync!$AJ722="",COUNTIF(IssueNosA,Sync!$AJ722)=0)),"شماره چک پاس‌شده معتبر نیست",""))))</f>
        <v/>
      </c>
      <c r="V722">
        <f>IF($K722="","",IF(ISNUMBER(Sync!$AK722),Sync!$AK722,LEFT(Sync!$AK722,4)&amp;MID(Sync!$AK722,6,2)&amp;RIGHT(Sync!$AK722,2))&amp;"|"&amp;"4"&amp;RIGHT("00000"&amp;717,5))</f>
        <v/>
      </c>
      <c r="W722">
        <f>IF($V722="",0,COUNTIFS($V$6:$V$2005,"&lt;"&amp;$V722)-COUNTIFS($V$6:$V$2005,"&lt;"&amp;$V722,$K$6:$K$2005,"")+1)</f>
        <v/>
      </c>
      <c r="X722">
        <f>IF(Sync!$AX722="","",IF(OR(N(Sync!$AY722)=0,N(Sync!$AZ722)=0),"",ROUND(N(Sync!$AY722)*N(Sync!$AZ722),0)))</f>
        <v/>
      </c>
      <c r="Y722">
        <f>IF($X722="","",IF(OR(Sync!$AX722="",COUNTIF(AcctCodesA,Sync!$AX722)=0),"متفرقه",Sync!$AX722))</f>
        <v/>
      </c>
      <c r="Z722">
        <f>IF($X722="","","سبد و ظروف")</f>
        <v/>
      </c>
      <c r="AA722">
        <f>IF($X722="","",$Y722)</f>
        <v/>
      </c>
    </row>
    <row r="723">
      <c r="A723">
        <f>IF(Sync!$Z723="","",LEFT(UPPER(TRIM(Sync!$Z723)),6))</f>
        <v/>
      </c>
      <c r="B723">
        <f>IF($A723="","",IF(Sync!$AA723="","",Sync!$AA723))</f>
        <v/>
      </c>
      <c r="C723">
        <f>IF($A723="","",IF(Sync!$AB723="","",Sync!$AB723))</f>
        <v/>
      </c>
      <c r="D723">
        <f>IF($A723="","",IF(Sync!$AC723="","",Sync!$AC723))</f>
        <v/>
      </c>
      <c r="E723">
        <f>IF($A723="","",IF(Sync!$AD723="","",Sync!$AD723))</f>
        <v/>
      </c>
      <c r="F723">
        <f>IF($A723="","",IF(Sync!$AE723="",0,Sync!$AE723))</f>
        <v/>
      </c>
      <c r="G723">
        <f>IF($A723="","",IF(Sync!$AF723="",0,Sync!$AF723))</f>
        <v/>
      </c>
      <c r="H723">
        <f>IF(OR($A723="",ROUND($F723+$G723,2)=0),"",$F723+$G723)</f>
        <v/>
      </c>
      <c r="I723">
        <f>IF($H723="","",IF(ROUND($F723,2)&gt;0,$A723,IF($D723="شخصی قاسم","شخصی قاسم",IF($D723="هزینه","هزینه: "&amp;IF($E723="","متفرقه",$E723),IF($C723="پاس چک","چک پرداختی",IF(OR($B723="",COUNTIF(AcctCodesA,$B723)=0),"متفرقه",$B723))))))</f>
        <v/>
      </c>
      <c r="J723">
        <f>IF($H723="","",IF(ROUND($F723,2)&gt;0,IF($D723="شخصی قاسم","شخصی قاسم",IF($D723="هزینه","هزینه: "&amp;IF($E723="","متفرقه",$E723),IF(OR($B723="",COUNTIF(AcctCodesA,$B723)=0),"متفرقه",$B723))),$A723))</f>
        <v/>
      </c>
      <c r="K723">
        <f>IF($A723="","",IF(AND($B723&lt;&gt;"",COUNTIF(AcctCodesA,$B723)=0),"کد طرف در INFO تعریف نشده",IF(AND($D723="هزینه",$E723=""),"هزینه بدون زیرگروه",IF(AND($C723="پاس چک",OR(Sync!$AJ723="",COUNTIF(IssueNosA,Sync!$AJ723)=0)),"شماره چک پاس‌شده معتبر نیست",""))))</f>
        <v/>
      </c>
      <c r="V723">
        <f>IF($K723="","",IF(ISNUMBER(Sync!$AK723),Sync!$AK723,LEFT(Sync!$AK723,4)&amp;MID(Sync!$AK723,6,2)&amp;RIGHT(Sync!$AK723,2))&amp;"|"&amp;"4"&amp;RIGHT("00000"&amp;718,5))</f>
        <v/>
      </c>
      <c r="W723">
        <f>IF($V723="",0,COUNTIFS($V$6:$V$2005,"&lt;"&amp;$V723)-COUNTIFS($V$6:$V$2005,"&lt;"&amp;$V723,$K$6:$K$2005,"")+1)</f>
        <v/>
      </c>
      <c r="X723">
        <f>IF(Sync!$AX723="","",IF(OR(N(Sync!$AY723)=0,N(Sync!$AZ723)=0),"",ROUND(N(Sync!$AY723)*N(Sync!$AZ723),0)))</f>
        <v/>
      </c>
      <c r="Y723">
        <f>IF($X723="","",IF(OR(Sync!$AX723="",COUNTIF(AcctCodesA,Sync!$AX723)=0),"متفرقه",Sync!$AX723))</f>
        <v/>
      </c>
      <c r="Z723">
        <f>IF($X723="","","سبد و ظروف")</f>
        <v/>
      </c>
      <c r="AA723">
        <f>IF($X723="","",$Y723)</f>
        <v/>
      </c>
    </row>
    <row r="724">
      <c r="A724">
        <f>IF(Sync!$Z724="","",LEFT(UPPER(TRIM(Sync!$Z724)),6))</f>
        <v/>
      </c>
      <c r="B724">
        <f>IF($A724="","",IF(Sync!$AA724="","",Sync!$AA724))</f>
        <v/>
      </c>
      <c r="C724">
        <f>IF($A724="","",IF(Sync!$AB724="","",Sync!$AB724))</f>
        <v/>
      </c>
      <c r="D724">
        <f>IF($A724="","",IF(Sync!$AC724="","",Sync!$AC724))</f>
        <v/>
      </c>
      <c r="E724">
        <f>IF($A724="","",IF(Sync!$AD724="","",Sync!$AD724))</f>
        <v/>
      </c>
      <c r="F724">
        <f>IF($A724="","",IF(Sync!$AE724="",0,Sync!$AE724))</f>
        <v/>
      </c>
      <c r="G724">
        <f>IF($A724="","",IF(Sync!$AF724="",0,Sync!$AF724))</f>
        <v/>
      </c>
      <c r="H724">
        <f>IF(OR($A724="",ROUND($F724+$G724,2)=0),"",$F724+$G724)</f>
        <v/>
      </c>
      <c r="I724">
        <f>IF($H724="","",IF(ROUND($F724,2)&gt;0,$A724,IF($D724="شخصی قاسم","شخصی قاسم",IF($D724="هزینه","هزینه: "&amp;IF($E724="","متفرقه",$E724),IF($C724="پاس چک","چک پرداختی",IF(OR($B724="",COUNTIF(AcctCodesA,$B724)=0),"متفرقه",$B724))))))</f>
        <v/>
      </c>
      <c r="J724">
        <f>IF($H724="","",IF(ROUND($F724,2)&gt;0,IF($D724="شخصی قاسم","شخصی قاسم",IF($D724="هزینه","هزینه: "&amp;IF($E724="","متفرقه",$E724),IF(OR($B724="",COUNTIF(AcctCodesA,$B724)=0),"متفرقه",$B724))),$A724))</f>
        <v/>
      </c>
      <c r="K724">
        <f>IF($A724="","",IF(AND($B724&lt;&gt;"",COUNTIF(AcctCodesA,$B724)=0),"کد طرف در INFO تعریف نشده",IF(AND($D724="هزینه",$E724=""),"هزینه بدون زیرگروه",IF(AND($C724="پاس چک",OR(Sync!$AJ724="",COUNTIF(IssueNosA,Sync!$AJ724)=0)),"شماره چک پاس‌شده معتبر نیست",""))))</f>
        <v/>
      </c>
      <c r="V724">
        <f>IF($K724="","",IF(ISNUMBER(Sync!$AK724),Sync!$AK724,LEFT(Sync!$AK724,4)&amp;MID(Sync!$AK724,6,2)&amp;RIGHT(Sync!$AK724,2))&amp;"|"&amp;"4"&amp;RIGHT("00000"&amp;719,5))</f>
        <v/>
      </c>
      <c r="W724">
        <f>IF($V724="",0,COUNTIFS($V$6:$V$2005,"&lt;"&amp;$V724)-COUNTIFS($V$6:$V$2005,"&lt;"&amp;$V724,$K$6:$K$2005,"")+1)</f>
        <v/>
      </c>
      <c r="X724">
        <f>IF(Sync!$AX724="","",IF(OR(N(Sync!$AY724)=0,N(Sync!$AZ724)=0),"",ROUND(N(Sync!$AY724)*N(Sync!$AZ724),0)))</f>
        <v/>
      </c>
      <c r="Y724">
        <f>IF($X724="","",IF(OR(Sync!$AX724="",COUNTIF(AcctCodesA,Sync!$AX724)=0),"متفرقه",Sync!$AX724))</f>
        <v/>
      </c>
      <c r="Z724">
        <f>IF($X724="","","سبد و ظروف")</f>
        <v/>
      </c>
      <c r="AA724">
        <f>IF($X724="","",$Y724)</f>
        <v/>
      </c>
    </row>
    <row r="725">
      <c r="A725">
        <f>IF(Sync!$Z725="","",LEFT(UPPER(TRIM(Sync!$Z725)),6))</f>
        <v/>
      </c>
      <c r="B725">
        <f>IF($A725="","",IF(Sync!$AA725="","",Sync!$AA725))</f>
        <v/>
      </c>
      <c r="C725">
        <f>IF($A725="","",IF(Sync!$AB725="","",Sync!$AB725))</f>
        <v/>
      </c>
      <c r="D725">
        <f>IF($A725="","",IF(Sync!$AC725="","",Sync!$AC725))</f>
        <v/>
      </c>
      <c r="E725">
        <f>IF($A725="","",IF(Sync!$AD725="","",Sync!$AD725))</f>
        <v/>
      </c>
      <c r="F725">
        <f>IF($A725="","",IF(Sync!$AE725="",0,Sync!$AE725))</f>
        <v/>
      </c>
      <c r="G725">
        <f>IF($A725="","",IF(Sync!$AF725="",0,Sync!$AF725))</f>
        <v/>
      </c>
      <c r="H725">
        <f>IF(OR($A725="",ROUND($F725+$G725,2)=0),"",$F725+$G725)</f>
        <v/>
      </c>
      <c r="I725">
        <f>IF($H725="","",IF(ROUND($F725,2)&gt;0,$A725,IF($D725="شخصی قاسم","شخصی قاسم",IF($D725="هزینه","هزینه: "&amp;IF($E725="","متفرقه",$E725),IF($C725="پاس چک","چک پرداختی",IF(OR($B725="",COUNTIF(AcctCodesA,$B725)=0),"متفرقه",$B725))))))</f>
        <v/>
      </c>
      <c r="J725">
        <f>IF($H725="","",IF(ROUND($F725,2)&gt;0,IF($D725="شخصی قاسم","شخصی قاسم",IF($D725="هزینه","هزینه: "&amp;IF($E725="","متفرقه",$E725),IF(OR($B725="",COUNTIF(AcctCodesA,$B725)=0),"متفرقه",$B725))),$A725))</f>
        <v/>
      </c>
      <c r="K725">
        <f>IF($A725="","",IF(AND($B725&lt;&gt;"",COUNTIF(AcctCodesA,$B725)=0),"کد طرف در INFO تعریف نشده",IF(AND($D725="هزینه",$E725=""),"هزینه بدون زیرگروه",IF(AND($C725="پاس چک",OR(Sync!$AJ725="",COUNTIF(IssueNosA,Sync!$AJ725)=0)),"شماره چک پاس‌شده معتبر نیست",""))))</f>
        <v/>
      </c>
      <c r="V725">
        <f>IF($K725="","",IF(ISNUMBER(Sync!$AK725),Sync!$AK725,LEFT(Sync!$AK725,4)&amp;MID(Sync!$AK725,6,2)&amp;RIGHT(Sync!$AK725,2))&amp;"|"&amp;"4"&amp;RIGHT("00000"&amp;720,5))</f>
        <v/>
      </c>
      <c r="W725">
        <f>IF($V725="",0,COUNTIFS($V$6:$V$2005,"&lt;"&amp;$V725)-COUNTIFS($V$6:$V$2005,"&lt;"&amp;$V725,$K$6:$K$2005,"")+1)</f>
        <v/>
      </c>
      <c r="X725">
        <f>IF(Sync!$AX725="","",IF(OR(N(Sync!$AY725)=0,N(Sync!$AZ725)=0),"",ROUND(N(Sync!$AY725)*N(Sync!$AZ725),0)))</f>
        <v/>
      </c>
      <c r="Y725">
        <f>IF($X725="","",IF(OR(Sync!$AX725="",COUNTIF(AcctCodesA,Sync!$AX725)=0),"متفرقه",Sync!$AX725))</f>
        <v/>
      </c>
      <c r="Z725">
        <f>IF($X725="","","سبد و ظروف")</f>
        <v/>
      </c>
      <c r="AA725">
        <f>IF($X725="","",$Y725)</f>
        <v/>
      </c>
    </row>
    <row r="726">
      <c r="A726">
        <f>IF(Sync!$Z726="","",LEFT(UPPER(TRIM(Sync!$Z726)),6))</f>
        <v/>
      </c>
      <c r="B726">
        <f>IF($A726="","",IF(Sync!$AA726="","",Sync!$AA726))</f>
        <v/>
      </c>
      <c r="C726">
        <f>IF($A726="","",IF(Sync!$AB726="","",Sync!$AB726))</f>
        <v/>
      </c>
      <c r="D726">
        <f>IF($A726="","",IF(Sync!$AC726="","",Sync!$AC726))</f>
        <v/>
      </c>
      <c r="E726">
        <f>IF($A726="","",IF(Sync!$AD726="","",Sync!$AD726))</f>
        <v/>
      </c>
      <c r="F726">
        <f>IF($A726="","",IF(Sync!$AE726="",0,Sync!$AE726))</f>
        <v/>
      </c>
      <c r="G726">
        <f>IF($A726="","",IF(Sync!$AF726="",0,Sync!$AF726))</f>
        <v/>
      </c>
      <c r="H726">
        <f>IF(OR($A726="",ROUND($F726+$G726,2)=0),"",$F726+$G726)</f>
        <v/>
      </c>
      <c r="I726">
        <f>IF($H726="","",IF(ROUND($F726,2)&gt;0,$A726,IF($D726="شخصی قاسم","شخصی قاسم",IF($D726="هزینه","هزینه: "&amp;IF($E726="","متفرقه",$E726),IF($C726="پاس چک","چک پرداختی",IF(OR($B726="",COUNTIF(AcctCodesA,$B726)=0),"متفرقه",$B726))))))</f>
        <v/>
      </c>
      <c r="J726">
        <f>IF($H726="","",IF(ROUND($F726,2)&gt;0,IF($D726="شخصی قاسم","شخصی قاسم",IF($D726="هزینه","هزینه: "&amp;IF($E726="","متفرقه",$E726),IF(OR($B726="",COUNTIF(AcctCodesA,$B726)=0),"متفرقه",$B726))),$A726))</f>
        <v/>
      </c>
      <c r="K726">
        <f>IF($A726="","",IF(AND($B726&lt;&gt;"",COUNTIF(AcctCodesA,$B726)=0),"کد طرف در INFO تعریف نشده",IF(AND($D726="هزینه",$E726=""),"هزینه بدون زیرگروه",IF(AND($C726="پاس چک",OR(Sync!$AJ726="",COUNTIF(IssueNosA,Sync!$AJ726)=0)),"شماره چک پاس‌شده معتبر نیست",""))))</f>
        <v/>
      </c>
      <c r="V726">
        <f>IF($K726="","",IF(ISNUMBER(Sync!$AK726),Sync!$AK726,LEFT(Sync!$AK726,4)&amp;MID(Sync!$AK726,6,2)&amp;RIGHT(Sync!$AK726,2))&amp;"|"&amp;"4"&amp;RIGHT("00000"&amp;721,5))</f>
        <v/>
      </c>
      <c r="W726">
        <f>IF($V726="",0,COUNTIFS($V$6:$V$2005,"&lt;"&amp;$V726)-COUNTIFS($V$6:$V$2005,"&lt;"&amp;$V726,$K$6:$K$2005,"")+1)</f>
        <v/>
      </c>
      <c r="X726">
        <f>IF(Sync!$AX726="","",IF(OR(N(Sync!$AY726)=0,N(Sync!$AZ726)=0),"",ROUND(N(Sync!$AY726)*N(Sync!$AZ726),0)))</f>
        <v/>
      </c>
      <c r="Y726">
        <f>IF($X726="","",IF(OR(Sync!$AX726="",COUNTIF(AcctCodesA,Sync!$AX726)=0),"متفرقه",Sync!$AX726))</f>
        <v/>
      </c>
      <c r="Z726">
        <f>IF($X726="","","سبد و ظروف")</f>
        <v/>
      </c>
      <c r="AA726">
        <f>IF($X726="","",$Y726)</f>
        <v/>
      </c>
    </row>
    <row r="727">
      <c r="A727">
        <f>IF(Sync!$Z727="","",LEFT(UPPER(TRIM(Sync!$Z727)),6))</f>
        <v/>
      </c>
      <c r="B727">
        <f>IF($A727="","",IF(Sync!$AA727="","",Sync!$AA727))</f>
        <v/>
      </c>
      <c r="C727">
        <f>IF($A727="","",IF(Sync!$AB727="","",Sync!$AB727))</f>
        <v/>
      </c>
      <c r="D727">
        <f>IF($A727="","",IF(Sync!$AC727="","",Sync!$AC727))</f>
        <v/>
      </c>
      <c r="E727">
        <f>IF($A727="","",IF(Sync!$AD727="","",Sync!$AD727))</f>
        <v/>
      </c>
      <c r="F727">
        <f>IF($A727="","",IF(Sync!$AE727="",0,Sync!$AE727))</f>
        <v/>
      </c>
      <c r="G727">
        <f>IF($A727="","",IF(Sync!$AF727="",0,Sync!$AF727))</f>
        <v/>
      </c>
      <c r="H727">
        <f>IF(OR($A727="",ROUND($F727+$G727,2)=0),"",$F727+$G727)</f>
        <v/>
      </c>
      <c r="I727">
        <f>IF($H727="","",IF(ROUND($F727,2)&gt;0,$A727,IF($D727="شخصی قاسم","شخصی قاسم",IF($D727="هزینه","هزینه: "&amp;IF($E727="","متفرقه",$E727),IF($C727="پاس چک","چک پرداختی",IF(OR($B727="",COUNTIF(AcctCodesA,$B727)=0),"متفرقه",$B727))))))</f>
        <v/>
      </c>
      <c r="J727">
        <f>IF($H727="","",IF(ROUND($F727,2)&gt;0,IF($D727="شخصی قاسم","شخصی قاسم",IF($D727="هزینه","هزینه: "&amp;IF($E727="","متفرقه",$E727),IF(OR($B727="",COUNTIF(AcctCodesA,$B727)=0),"متفرقه",$B727))),$A727))</f>
        <v/>
      </c>
      <c r="K727">
        <f>IF($A727="","",IF(AND($B727&lt;&gt;"",COUNTIF(AcctCodesA,$B727)=0),"کد طرف در INFO تعریف نشده",IF(AND($D727="هزینه",$E727=""),"هزینه بدون زیرگروه",IF(AND($C727="پاس چک",OR(Sync!$AJ727="",COUNTIF(IssueNosA,Sync!$AJ727)=0)),"شماره چک پاس‌شده معتبر نیست",""))))</f>
        <v/>
      </c>
      <c r="V727">
        <f>IF($K727="","",IF(ISNUMBER(Sync!$AK727),Sync!$AK727,LEFT(Sync!$AK727,4)&amp;MID(Sync!$AK727,6,2)&amp;RIGHT(Sync!$AK727,2))&amp;"|"&amp;"4"&amp;RIGHT("00000"&amp;722,5))</f>
        <v/>
      </c>
      <c r="W727">
        <f>IF($V727="",0,COUNTIFS($V$6:$V$2005,"&lt;"&amp;$V727)-COUNTIFS($V$6:$V$2005,"&lt;"&amp;$V727,$K$6:$K$2005,"")+1)</f>
        <v/>
      </c>
      <c r="X727">
        <f>IF(Sync!$AX727="","",IF(OR(N(Sync!$AY727)=0,N(Sync!$AZ727)=0),"",ROUND(N(Sync!$AY727)*N(Sync!$AZ727),0)))</f>
        <v/>
      </c>
      <c r="Y727">
        <f>IF($X727="","",IF(OR(Sync!$AX727="",COUNTIF(AcctCodesA,Sync!$AX727)=0),"متفرقه",Sync!$AX727))</f>
        <v/>
      </c>
      <c r="Z727">
        <f>IF($X727="","","سبد و ظروف")</f>
        <v/>
      </c>
      <c r="AA727">
        <f>IF($X727="","",$Y727)</f>
        <v/>
      </c>
    </row>
    <row r="728">
      <c r="A728">
        <f>IF(Sync!$Z728="","",LEFT(UPPER(TRIM(Sync!$Z728)),6))</f>
        <v/>
      </c>
      <c r="B728">
        <f>IF($A728="","",IF(Sync!$AA728="","",Sync!$AA728))</f>
        <v/>
      </c>
      <c r="C728">
        <f>IF($A728="","",IF(Sync!$AB728="","",Sync!$AB728))</f>
        <v/>
      </c>
      <c r="D728">
        <f>IF($A728="","",IF(Sync!$AC728="","",Sync!$AC728))</f>
        <v/>
      </c>
      <c r="E728">
        <f>IF($A728="","",IF(Sync!$AD728="","",Sync!$AD728))</f>
        <v/>
      </c>
      <c r="F728">
        <f>IF($A728="","",IF(Sync!$AE728="",0,Sync!$AE728))</f>
        <v/>
      </c>
      <c r="G728">
        <f>IF($A728="","",IF(Sync!$AF728="",0,Sync!$AF728))</f>
        <v/>
      </c>
      <c r="H728">
        <f>IF(OR($A728="",ROUND($F728+$G728,2)=0),"",$F728+$G728)</f>
        <v/>
      </c>
      <c r="I728">
        <f>IF($H728="","",IF(ROUND($F728,2)&gt;0,$A728,IF($D728="شخصی قاسم","شخصی قاسم",IF($D728="هزینه","هزینه: "&amp;IF($E728="","متفرقه",$E728),IF($C728="پاس چک","چک پرداختی",IF(OR($B728="",COUNTIF(AcctCodesA,$B728)=0),"متفرقه",$B728))))))</f>
        <v/>
      </c>
      <c r="J728">
        <f>IF($H728="","",IF(ROUND($F728,2)&gt;0,IF($D728="شخصی قاسم","شخصی قاسم",IF($D728="هزینه","هزینه: "&amp;IF($E728="","متفرقه",$E728),IF(OR($B728="",COUNTIF(AcctCodesA,$B728)=0),"متفرقه",$B728))),$A728))</f>
        <v/>
      </c>
      <c r="K728">
        <f>IF($A728="","",IF(AND($B728&lt;&gt;"",COUNTIF(AcctCodesA,$B728)=0),"کد طرف در INFO تعریف نشده",IF(AND($D728="هزینه",$E728=""),"هزینه بدون زیرگروه",IF(AND($C728="پاس چک",OR(Sync!$AJ728="",COUNTIF(IssueNosA,Sync!$AJ728)=0)),"شماره چک پاس‌شده معتبر نیست",""))))</f>
        <v/>
      </c>
      <c r="V728">
        <f>IF($K728="","",IF(ISNUMBER(Sync!$AK728),Sync!$AK728,LEFT(Sync!$AK728,4)&amp;MID(Sync!$AK728,6,2)&amp;RIGHT(Sync!$AK728,2))&amp;"|"&amp;"4"&amp;RIGHT("00000"&amp;723,5))</f>
        <v/>
      </c>
      <c r="W728">
        <f>IF($V728="",0,COUNTIFS($V$6:$V$2005,"&lt;"&amp;$V728)-COUNTIFS($V$6:$V$2005,"&lt;"&amp;$V728,$K$6:$K$2005,"")+1)</f>
        <v/>
      </c>
      <c r="X728">
        <f>IF(Sync!$AX728="","",IF(OR(N(Sync!$AY728)=0,N(Sync!$AZ728)=0),"",ROUND(N(Sync!$AY728)*N(Sync!$AZ728),0)))</f>
        <v/>
      </c>
      <c r="Y728">
        <f>IF($X728="","",IF(OR(Sync!$AX728="",COUNTIF(AcctCodesA,Sync!$AX728)=0),"متفرقه",Sync!$AX728))</f>
        <v/>
      </c>
      <c r="Z728">
        <f>IF($X728="","","سبد و ظروف")</f>
        <v/>
      </c>
      <c r="AA728">
        <f>IF($X728="","",$Y728)</f>
        <v/>
      </c>
    </row>
    <row r="729">
      <c r="A729">
        <f>IF(Sync!$Z729="","",LEFT(UPPER(TRIM(Sync!$Z729)),6))</f>
        <v/>
      </c>
      <c r="B729">
        <f>IF($A729="","",IF(Sync!$AA729="","",Sync!$AA729))</f>
        <v/>
      </c>
      <c r="C729">
        <f>IF($A729="","",IF(Sync!$AB729="","",Sync!$AB729))</f>
        <v/>
      </c>
      <c r="D729">
        <f>IF($A729="","",IF(Sync!$AC729="","",Sync!$AC729))</f>
        <v/>
      </c>
      <c r="E729">
        <f>IF($A729="","",IF(Sync!$AD729="","",Sync!$AD729))</f>
        <v/>
      </c>
      <c r="F729">
        <f>IF($A729="","",IF(Sync!$AE729="",0,Sync!$AE729))</f>
        <v/>
      </c>
      <c r="G729">
        <f>IF($A729="","",IF(Sync!$AF729="",0,Sync!$AF729))</f>
        <v/>
      </c>
      <c r="H729">
        <f>IF(OR($A729="",ROUND($F729+$G729,2)=0),"",$F729+$G729)</f>
        <v/>
      </c>
      <c r="I729">
        <f>IF($H729="","",IF(ROUND($F729,2)&gt;0,$A729,IF($D729="شخصی قاسم","شخصی قاسم",IF($D729="هزینه","هزینه: "&amp;IF($E729="","متفرقه",$E729),IF($C729="پاس چک","چک پرداختی",IF(OR($B729="",COUNTIF(AcctCodesA,$B729)=0),"متفرقه",$B729))))))</f>
        <v/>
      </c>
      <c r="J729">
        <f>IF($H729="","",IF(ROUND($F729,2)&gt;0,IF($D729="شخصی قاسم","شخصی قاسم",IF($D729="هزینه","هزینه: "&amp;IF($E729="","متفرقه",$E729),IF(OR($B729="",COUNTIF(AcctCodesA,$B729)=0),"متفرقه",$B729))),$A729))</f>
        <v/>
      </c>
      <c r="K729">
        <f>IF($A729="","",IF(AND($B729&lt;&gt;"",COUNTIF(AcctCodesA,$B729)=0),"کد طرف در INFO تعریف نشده",IF(AND($D729="هزینه",$E729=""),"هزینه بدون زیرگروه",IF(AND($C729="پاس چک",OR(Sync!$AJ729="",COUNTIF(IssueNosA,Sync!$AJ729)=0)),"شماره چک پاس‌شده معتبر نیست",""))))</f>
        <v/>
      </c>
      <c r="V729">
        <f>IF($K729="","",IF(ISNUMBER(Sync!$AK729),Sync!$AK729,LEFT(Sync!$AK729,4)&amp;MID(Sync!$AK729,6,2)&amp;RIGHT(Sync!$AK729,2))&amp;"|"&amp;"4"&amp;RIGHT("00000"&amp;724,5))</f>
        <v/>
      </c>
      <c r="W729">
        <f>IF($V729="",0,COUNTIFS($V$6:$V$2005,"&lt;"&amp;$V729)-COUNTIFS($V$6:$V$2005,"&lt;"&amp;$V729,$K$6:$K$2005,"")+1)</f>
        <v/>
      </c>
      <c r="X729">
        <f>IF(Sync!$AX729="","",IF(OR(N(Sync!$AY729)=0,N(Sync!$AZ729)=0),"",ROUND(N(Sync!$AY729)*N(Sync!$AZ729),0)))</f>
        <v/>
      </c>
      <c r="Y729">
        <f>IF($X729="","",IF(OR(Sync!$AX729="",COUNTIF(AcctCodesA,Sync!$AX729)=0),"متفرقه",Sync!$AX729))</f>
        <v/>
      </c>
      <c r="Z729">
        <f>IF($X729="","","سبد و ظروف")</f>
        <v/>
      </c>
      <c r="AA729">
        <f>IF($X729="","",$Y729)</f>
        <v/>
      </c>
    </row>
    <row r="730">
      <c r="A730">
        <f>IF(Sync!$Z730="","",LEFT(UPPER(TRIM(Sync!$Z730)),6))</f>
        <v/>
      </c>
      <c r="B730">
        <f>IF($A730="","",IF(Sync!$AA730="","",Sync!$AA730))</f>
        <v/>
      </c>
      <c r="C730">
        <f>IF($A730="","",IF(Sync!$AB730="","",Sync!$AB730))</f>
        <v/>
      </c>
      <c r="D730">
        <f>IF($A730="","",IF(Sync!$AC730="","",Sync!$AC730))</f>
        <v/>
      </c>
      <c r="E730">
        <f>IF($A730="","",IF(Sync!$AD730="","",Sync!$AD730))</f>
        <v/>
      </c>
      <c r="F730">
        <f>IF($A730="","",IF(Sync!$AE730="",0,Sync!$AE730))</f>
        <v/>
      </c>
      <c r="G730">
        <f>IF($A730="","",IF(Sync!$AF730="",0,Sync!$AF730))</f>
        <v/>
      </c>
      <c r="H730">
        <f>IF(OR($A730="",ROUND($F730+$G730,2)=0),"",$F730+$G730)</f>
        <v/>
      </c>
      <c r="I730">
        <f>IF($H730="","",IF(ROUND($F730,2)&gt;0,$A730,IF($D730="شخصی قاسم","شخصی قاسم",IF($D730="هزینه","هزینه: "&amp;IF($E730="","متفرقه",$E730),IF($C730="پاس چک","چک پرداختی",IF(OR($B730="",COUNTIF(AcctCodesA,$B730)=0),"متفرقه",$B730))))))</f>
        <v/>
      </c>
      <c r="J730">
        <f>IF($H730="","",IF(ROUND($F730,2)&gt;0,IF($D730="شخصی قاسم","شخصی قاسم",IF($D730="هزینه","هزینه: "&amp;IF($E730="","متفرقه",$E730),IF(OR($B730="",COUNTIF(AcctCodesA,$B730)=0),"متفرقه",$B730))),$A730))</f>
        <v/>
      </c>
      <c r="K730">
        <f>IF($A730="","",IF(AND($B730&lt;&gt;"",COUNTIF(AcctCodesA,$B730)=0),"کد طرف در INFO تعریف نشده",IF(AND($D730="هزینه",$E730=""),"هزینه بدون زیرگروه",IF(AND($C730="پاس چک",OR(Sync!$AJ730="",COUNTIF(IssueNosA,Sync!$AJ730)=0)),"شماره چک پاس‌شده معتبر نیست",""))))</f>
        <v/>
      </c>
      <c r="V730">
        <f>IF($K730="","",IF(ISNUMBER(Sync!$AK730),Sync!$AK730,LEFT(Sync!$AK730,4)&amp;MID(Sync!$AK730,6,2)&amp;RIGHT(Sync!$AK730,2))&amp;"|"&amp;"4"&amp;RIGHT("00000"&amp;725,5))</f>
        <v/>
      </c>
      <c r="W730">
        <f>IF($V730="",0,COUNTIFS($V$6:$V$2005,"&lt;"&amp;$V730)-COUNTIFS($V$6:$V$2005,"&lt;"&amp;$V730,$K$6:$K$2005,"")+1)</f>
        <v/>
      </c>
      <c r="X730">
        <f>IF(Sync!$AX730="","",IF(OR(N(Sync!$AY730)=0,N(Sync!$AZ730)=0),"",ROUND(N(Sync!$AY730)*N(Sync!$AZ730),0)))</f>
        <v/>
      </c>
      <c r="Y730">
        <f>IF($X730="","",IF(OR(Sync!$AX730="",COUNTIF(AcctCodesA,Sync!$AX730)=0),"متفرقه",Sync!$AX730))</f>
        <v/>
      </c>
      <c r="Z730">
        <f>IF($X730="","","سبد و ظروف")</f>
        <v/>
      </c>
      <c r="AA730">
        <f>IF($X730="","",$Y730)</f>
        <v/>
      </c>
    </row>
    <row r="731">
      <c r="A731">
        <f>IF(Sync!$Z731="","",LEFT(UPPER(TRIM(Sync!$Z731)),6))</f>
        <v/>
      </c>
      <c r="B731">
        <f>IF($A731="","",IF(Sync!$AA731="","",Sync!$AA731))</f>
        <v/>
      </c>
      <c r="C731">
        <f>IF($A731="","",IF(Sync!$AB731="","",Sync!$AB731))</f>
        <v/>
      </c>
      <c r="D731">
        <f>IF($A731="","",IF(Sync!$AC731="","",Sync!$AC731))</f>
        <v/>
      </c>
      <c r="E731">
        <f>IF($A731="","",IF(Sync!$AD731="","",Sync!$AD731))</f>
        <v/>
      </c>
      <c r="F731">
        <f>IF($A731="","",IF(Sync!$AE731="",0,Sync!$AE731))</f>
        <v/>
      </c>
      <c r="G731">
        <f>IF($A731="","",IF(Sync!$AF731="",0,Sync!$AF731))</f>
        <v/>
      </c>
      <c r="H731">
        <f>IF(OR($A731="",ROUND($F731+$G731,2)=0),"",$F731+$G731)</f>
        <v/>
      </c>
      <c r="I731">
        <f>IF($H731="","",IF(ROUND($F731,2)&gt;0,$A731,IF($D731="شخصی قاسم","شخصی قاسم",IF($D731="هزینه","هزینه: "&amp;IF($E731="","متفرقه",$E731),IF($C731="پاس چک","چک پرداختی",IF(OR($B731="",COUNTIF(AcctCodesA,$B731)=0),"متفرقه",$B731))))))</f>
        <v/>
      </c>
      <c r="J731">
        <f>IF($H731="","",IF(ROUND($F731,2)&gt;0,IF($D731="شخصی قاسم","شخصی قاسم",IF($D731="هزینه","هزینه: "&amp;IF($E731="","متفرقه",$E731),IF(OR($B731="",COUNTIF(AcctCodesA,$B731)=0),"متفرقه",$B731))),$A731))</f>
        <v/>
      </c>
      <c r="K731">
        <f>IF($A731="","",IF(AND($B731&lt;&gt;"",COUNTIF(AcctCodesA,$B731)=0),"کد طرف در INFO تعریف نشده",IF(AND($D731="هزینه",$E731=""),"هزینه بدون زیرگروه",IF(AND($C731="پاس چک",OR(Sync!$AJ731="",COUNTIF(IssueNosA,Sync!$AJ731)=0)),"شماره چک پاس‌شده معتبر نیست",""))))</f>
        <v/>
      </c>
      <c r="V731">
        <f>IF($K731="","",IF(ISNUMBER(Sync!$AK731),Sync!$AK731,LEFT(Sync!$AK731,4)&amp;MID(Sync!$AK731,6,2)&amp;RIGHT(Sync!$AK731,2))&amp;"|"&amp;"4"&amp;RIGHT("00000"&amp;726,5))</f>
        <v/>
      </c>
      <c r="W731">
        <f>IF($V731="",0,COUNTIFS($V$6:$V$2005,"&lt;"&amp;$V731)-COUNTIFS($V$6:$V$2005,"&lt;"&amp;$V731,$K$6:$K$2005,"")+1)</f>
        <v/>
      </c>
      <c r="X731">
        <f>IF(Sync!$AX731="","",IF(OR(N(Sync!$AY731)=0,N(Sync!$AZ731)=0),"",ROUND(N(Sync!$AY731)*N(Sync!$AZ731),0)))</f>
        <v/>
      </c>
      <c r="Y731">
        <f>IF($X731="","",IF(OR(Sync!$AX731="",COUNTIF(AcctCodesA,Sync!$AX731)=0),"متفرقه",Sync!$AX731))</f>
        <v/>
      </c>
      <c r="Z731">
        <f>IF($X731="","","سبد و ظروف")</f>
        <v/>
      </c>
      <c r="AA731">
        <f>IF($X731="","",$Y731)</f>
        <v/>
      </c>
    </row>
    <row r="732">
      <c r="A732">
        <f>IF(Sync!$Z732="","",LEFT(UPPER(TRIM(Sync!$Z732)),6))</f>
        <v/>
      </c>
      <c r="B732">
        <f>IF($A732="","",IF(Sync!$AA732="","",Sync!$AA732))</f>
        <v/>
      </c>
      <c r="C732">
        <f>IF($A732="","",IF(Sync!$AB732="","",Sync!$AB732))</f>
        <v/>
      </c>
      <c r="D732">
        <f>IF($A732="","",IF(Sync!$AC732="","",Sync!$AC732))</f>
        <v/>
      </c>
      <c r="E732">
        <f>IF($A732="","",IF(Sync!$AD732="","",Sync!$AD732))</f>
        <v/>
      </c>
      <c r="F732">
        <f>IF($A732="","",IF(Sync!$AE732="",0,Sync!$AE732))</f>
        <v/>
      </c>
      <c r="G732">
        <f>IF($A732="","",IF(Sync!$AF732="",0,Sync!$AF732))</f>
        <v/>
      </c>
      <c r="H732">
        <f>IF(OR($A732="",ROUND($F732+$G732,2)=0),"",$F732+$G732)</f>
        <v/>
      </c>
      <c r="I732">
        <f>IF($H732="","",IF(ROUND($F732,2)&gt;0,$A732,IF($D732="شخصی قاسم","شخصی قاسم",IF($D732="هزینه","هزینه: "&amp;IF($E732="","متفرقه",$E732),IF($C732="پاس چک","چک پرداختی",IF(OR($B732="",COUNTIF(AcctCodesA,$B732)=0),"متفرقه",$B732))))))</f>
        <v/>
      </c>
      <c r="J732">
        <f>IF($H732="","",IF(ROUND($F732,2)&gt;0,IF($D732="شخصی قاسم","شخصی قاسم",IF($D732="هزینه","هزینه: "&amp;IF($E732="","متفرقه",$E732),IF(OR($B732="",COUNTIF(AcctCodesA,$B732)=0),"متفرقه",$B732))),$A732))</f>
        <v/>
      </c>
      <c r="K732">
        <f>IF($A732="","",IF(AND($B732&lt;&gt;"",COUNTIF(AcctCodesA,$B732)=0),"کد طرف در INFO تعریف نشده",IF(AND($D732="هزینه",$E732=""),"هزینه بدون زیرگروه",IF(AND($C732="پاس چک",OR(Sync!$AJ732="",COUNTIF(IssueNosA,Sync!$AJ732)=0)),"شماره چک پاس‌شده معتبر نیست",""))))</f>
        <v/>
      </c>
      <c r="V732">
        <f>IF($K732="","",IF(ISNUMBER(Sync!$AK732),Sync!$AK732,LEFT(Sync!$AK732,4)&amp;MID(Sync!$AK732,6,2)&amp;RIGHT(Sync!$AK732,2))&amp;"|"&amp;"4"&amp;RIGHT("00000"&amp;727,5))</f>
        <v/>
      </c>
      <c r="W732">
        <f>IF($V732="",0,COUNTIFS($V$6:$V$2005,"&lt;"&amp;$V732)-COUNTIFS($V$6:$V$2005,"&lt;"&amp;$V732,$K$6:$K$2005,"")+1)</f>
        <v/>
      </c>
      <c r="X732">
        <f>IF(Sync!$AX732="","",IF(OR(N(Sync!$AY732)=0,N(Sync!$AZ732)=0),"",ROUND(N(Sync!$AY732)*N(Sync!$AZ732),0)))</f>
        <v/>
      </c>
      <c r="Y732">
        <f>IF($X732="","",IF(OR(Sync!$AX732="",COUNTIF(AcctCodesA,Sync!$AX732)=0),"متفرقه",Sync!$AX732))</f>
        <v/>
      </c>
      <c r="Z732">
        <f>IF($X732="","","سبد و ظروف")</f>
        <v/>
      </c>
      <c r="AA732">
        <f>IF($X732="","",$Y732)</f>
        <v/>
      </c>
    </row>
    <row r="733">
      <c r="A733">
        <f>IF(Sync!$Z733="","",LEFT(UPPER(TRIM(Sync!$Z733)),6))</f>
        <v/>
      </c>
      <c r="B733">
        <f>IF($A733="","",IF(Sync!$AA733="","",Sync!$AA733))</f>
        <v/>
      </c>
      <c r="C733">
        <f>IF($A733="","",IF(Sync!$AB733="","",Sync!$AB733))</f>
        <v/>
      </c>
      <c r="D733">
        <f>IF($A733="","",IF(Sync!$AC733="","",Sync!$AC733))</f>
        <v/>
      </c>
      <c r="E733">
        <f>IF($A733="","",IF(Sync!$AD733="","",Sync!$AD733))</f>
        <v/>
      </c>
      <c r="F733">
        <f>IF($A733="","",IF(Sync!$AE733="",0,Sync!$AE733))</f>
        <v/>
      </c>
      <c r="G733">
        <f>IF($A733="","",IF(Sync!$AF733="",0,Sync!$AF733))</f>
        <v/>
      </c>
      <c r="H733">
        <f>IF(OR($A733="",ROUND($F733+$G733,2)=0),"",$F733+$G733)</f>
        <v/>
      </c>
      <c r="I733">
        <f>IF($H733="","",IF(ROUND($F733,2)&gt;0,$A733,IF($D733="شخصی قاسم","شخصی قاسم",IF($D733="هزینه","هزینه: "&amp;IF($E733="","متفرقه",$E733),IF($C733="پاس چک","چک پرداختی",IF(OR($B733="",COUNTIF(AcctCodesA,$B733)=0),"متفرقه",$B733))))))</f>
        <v/>
      </c>
      <c r="J733">
        <f>IF($H733="","",IF(ROUND($F733,2)&gt;0,IF($D733="شخصی قاسم","شخصی قاسم",IF($D733="هزینه","هزینه: "&amp;IF($E733="","متفرقه",$E733),IF(OR($B733="",COUNTIF(AcctCodesA,$B733)=0),"متفرقه",$B733))),$A733))</f>
        <v/>
      </c>
      <c r="K733">
        <f>IF($A733="","",IF(AND($B733&lt;&gt;"",COUNTIF(AcctCodesA,$B733)=0),"کد طرف در INFO تعریف نشده",IF(AND($D733="هزینه",$E733=""),"هزینه بدون زیرگروه",IF(AND($C733="پاس چک",OR(Sync!$AJ733="",COUNTIF(IssueNosA,Sync!$AJ733)=0)),"شماره چک پاس‌شده معتبر نیست",""))))</f>
        <v/>
      </c>
      <c r="V733">
        <f>IF($K733="","",IF(ISNUMBER(Sync!$AK733),Sync!$AK733,LEFT(Sync!$AK733,4)&amp;MID(Sync!$AK733,6,2)&amp;RIGHT(Sync!$AK733,2))&amp;"|"&amp;"4"&amp;RIGHT("00000"&amp;728,5))</f>
        <v/>
      </c>
      <c r="W733">
        <f>IF($V733="",0,COUNTIFS($V$6:$V$2005,"&lt;"&amp;$V733)-COUNTIFS($V$6:$V$2005,"&lt;"&amp;$V733,$K$6:$K$2005,"")+1)</f>
        <v/>
      </c>
      <c r="X733">
        <f>IF(Sync!$AX733="","",IF(OR(N(Sync!$AY733)=0,N(Sync!$AZ733)=0),"",ROUND(N(Sync!$AY733)*N(Sync!$AZ733),0)))</f>
        <v/>
      </c>
      <c r="Y733">
        <f>IF($X733="","",IF(OR(Sync!$AX733="",COUNTIF(AcctCodesA,Sync!$AX733)=0),"متفرقه",Sync!$AX733))</f>
        <v/>
      </c>
      <c r="Z733">
        <f>IF($X733="","","سبد و ظروف")</f>
        <v/>
      </c>
      <c r="AA733">
        <f>IF($X733="","",$Y733)</f>
        <v/>
      </c>
    </row>
    <row r="734">
      <c r="A734">
        <f>IF(Sync!$Z734="","",LEFT(UPPER(TRIM(Sync!$Z734)),6))</f>
        <v/>
      </c>
      <c r="B734">
        <f>IF($A734="","",IF(Sync!$AA734="","",Sync!$AA734))</f>
        <v/>
      </c>
      <c r="C734">
        <f>IF($A734="","",IF(Sync!$AB734="","",Sync!$AB734))</f>
        <v/>
      </c>
      <c r="D734">
        <f>IF($A734="","",IF(Sync!$AC734="","",Sync!$AC734))</f>
        <v/>
      </c>
      <c r="E734">
        <f>IF($A734="","",IF(Sync!$AD734="","",Sync!$AD734))</f>
        <v/>
      </c>
      <c r="F734">
        <f>IF($A734="","",IF(Sync!$AE734="",0,Sync!$AE734))</f>
        <v/>
      </c>
      <c r="G734">
        <f>IF($A734="","",IF(Sync!$AF734="",0,Sync!$AF734))</f>
        <v/>
      </c>
      <c r="H734">
        <f>IF(OR($A734="",ROUND($F734+$G734,2)=0),"",$F734+$G734)</f>
        <v/>
      </c>
      <c r="I734">
        <f>IF($H734="","",IF(ROUND($F734,2)&gt;0,$A734,IF($D734="شخصی قاسم","شخصی قاسم",IF($D734="هزینه","هزینه: "&amp;IF($E734="","متفرقه",$E734),IF($C734="پاس چک","چک پرداختی",IF(OR($B734="",COUNTIF(AcctCodesA,$B734)=0),"متفرقه",$B734))))))</f>
        <v/>
      </c>
      <c r="J734">
        <f>IF($H734="","",IF(ROUND($F734,2)&gt;0,IF($D734="شخصی قاسم","شخصی قاسم",IF($D734="هزینه","هزینه: "&amp;IF($E734="","متفرقه",$E734),IF(OR($B734="",COUNTIF(AcctCodesA,$B734)=0),"متفرقه",$B734))),$A734))</f>
        <v/>
      </c>
      <c r="K734">
        <f>IF($A734="","",IF(AND($B734&lt;&gt;"",COUNTIF(AcctCodesA,$B734)=0),"کد طرف در INFO تعریف نشده",IF(AND($D734="هزینه",$E734=""),"هزینه بدون زیرگروه",IF(AND($C734="پاس چک",OR(Sync!$AJ734="",COUNTIF(IssueNosA,Sync!$AJ734)=0)),"شماره چک پاس‌شده معتبر نیست",""))))</f>
        <v/>
      </c>
      <c r="V734">
        <f>IF($K734="","",IF(ISNUMBER(Sync!$AK734),Sync!$AK734,LEFT(Sync!$AK734,4)&amp;MID(Sync!$AK734,6,2)&amp;RIGHT(Sync!$AK734,2))&amp;"|"&amp;"4"&amp;RIGHT("00000"&amp;729,5))</f>
        <v/>
      </c>
      <c r="W734">
        <f>IF($V734="",0,COUNTIFS($V$6:$V$2005,"&lt;"&amp;$V734)-COUNTIFS($V$6:$V$2005,"&lt;"&amp;$V734,$K$6:$K$2005,"")+1)</f>
        <v/>
      </c>
      <c r="X734">
        <f>IF(Sync!$AX734="","",IF(OR(N(Sync!$AY734)=0,N(Sync!$AZ734)=0),"",ROUND(N(Sync!$AY734)*N(Sync!$AZ734),0)))</f>
        <v/>
      </c>
      <c r="Y734">
        <f>IF($X734="","",IF(OR(Sync!$AX734="",COUNTIF(AcctCodesA,Sync!$AX734)=0),"متفرقه",Sync!$AX734))</f>
        <v/>
      </c>
      <c r="Z734">
        <f>IF($X734="","","سبد و ظروف")</f>
        <v/>
      </c>
      <c r="AA734">
        <f>IF($X734="","",$Y734)</f>
        <v/>
      </c>
    </row>
    <row r="735">
      <c r="A735">
        <f>IF(Sync!$Z735="","",LEFT(UPPER(TRIM(Sync!$Z735)),6))</f>
        <v/>
      </c>
      <c r="B735">
        <f>IF($A735="","",IF(Sync!$AA735="","",Sync!$AA735))</f>
        <v/>
      </c>
      <c r="C735">
        <f>IF($A735="","",IF(Sync!$AB735="","",Sync!$AB735))</f>
        <v/>
      </c>
      <c r="D735">
        <f>IF($A735="","",IF(Sync!$AC735="","",Sync!$AC735))</f>
        <v/>
      </c>
      <c r="E735">
        <f>IF($A735="","",IF(Sync!$AD735="","",Sync!$AD735))</f>
        <v/>
      </c>
      <c r="F735">
        <f>IF($A735="","",IF(Sync!$AE735="",0,Sync!$AE735))</f>
        <v/>
      </c>
      <c r="G735">
        <f>IF($A735="","",IF(Sync!$AF735="",0,Sync!$AF735))</f>
        <v/>
      </c>
      <c r="H735">
        <f>IF(OR($A735="",ROUND($F735+$G735,2)=0),"",$F735+$G735)</f>
        <v/>
      </c>
      <c r="I735">
        <f>IF($H735="","",IF(ROUND($F735,2)&gt;0,$A735,IF($D735="شخصی قاسم","شخصی قاسم",IF($D735="هزینه","هزینه: "&amp;IF($E735="","متفرقه",$E735),IF($C735="پاس چک","چک پرداختی",IF(OR($B735="",COUNTIF(AcctCodesA,$B735)=0),"متفرقه",$B735))))))</f>
        <v/>
      </c>
      <c r="J735">
        <f>IF($H735="","",IF(ROUND($F735,2)&gt;0,IF($D735="شخصی قاسم","شخصی قاسم",IF($D735="هزینه","هزینه: "&amp;IF($E735="","متفرقه",$E735),IF(OR($B735="",COUNTIF(AcctCodesA,$B735)=0),"متفرقه",$B735))),$A735))</f>
        <v/>
      </c>
      <c r="K735">
        <f>IF($A735="","",IF(AND($B735&lt;&gt;"",COUNTIF(AcctCodesA,$B735)=0),"کد طرف در INFO تعریف نشده",IF(AND($D735="هزینه",$E735=""),"هزینه بدون زیرگروه",IF(AND($C735="پاس چک",OR(Sync!$AJ735="",COUNTIF(IssueNosA,Sync!$AJ735)=0)),"شماره چک پاس‌شده معتبر نیست",""))))</f>
        <v/>
      </c>
      <c r="V735">
        <f>IF($K735="","",IF(ISNUMBER(Sync!$AK735),Sync!$AK735,LEFT(Sync!$AK735,4)&amp;MID(Sync!$AK735,6,2)&amp;RIGHT(Sync!$AK735,2))&amp;"|"&amp;"4"&amp;RIGHT("00000"&amp;730,5))</f>
        <v/>
      </c>
      <c r="W735">
        <f>IF($V735="",0,COUNTIFS($V$6:$V$2005,"&lt;"&amp;$V735)-COUNTIFS($V$6:$V$2005,"&lt;"&amp;$V735,$K$6:$K$2005,"")+1)</f>
        <v/>
      </c>
      <c r="X735">
        <f>IF(Sync!$AX735="","",IF(OR(N(Sync!$AY735)=0,N(Sync!$AZ735)=0),"",ROUND(N(Sync!$AY735)*N(Sync!$AZ735),0)))</f>
        <v/>
      </c>
      <c r="Y735">
        <f>IF($X735="","",IF(OR(Sync!$AX735="",COUNTIF(AcctCodesA,Sync!$AX735)=0),"متفرقه",Sync!$AX735))</f>
        <v/>
      </c>
      <c r="Z735">
        <f>IF($X735="","","سبد و ظروف")</f>
        <v/>
      </c>
      <c r="AA735">
        <f>IF($X735="","",$Y735)</f>
        <v/>
      </c>
    </row>
    <row r="736">
      <c r="A736">
        <f>IF(Sync!$Z736="","",LEFT(UPPER(TRIM(Sync!$Z736)),6))</f>
        <v/>
      </c>
      <c r="B736">
        <f>IF($A736="","",IF(Sync!$AA736="","",Sync!$AA736))</f>
        <v/>
      </c>
      <c r="C736">
        <f>IF($A736="","",IF(Sync!$AB736="","",Sync!$AB736))</f>
        <v/>
      </c>
      <c r="D736">
        <f>IF($A736="","",IF(Sync!$AC736="","",Sync!$AC736))</f>
        <v/>
      </c>
      <c r="E736">
        <f>IF($A736="","",IF(Sync!$AD736="","",Sync!$AD736))</f>
        <v/>
      </c>
      <c r="F736">
        <f>IF($A736="","",IF(Sync!$AE736="",0,Sync!$AE736))</f>
        <v/>
      </c>
      <c r="G736">
        <f>IF($A736="","",IF(Sync!$AF736="",0,Sync!$AF736))</f>
        <v/>
      </c>
      <c r="H736">
        <f>IF(OR($A736="",ROUND($F736+$G736,2)=0),"",$F736+$G736)</f>
        <v/>
      </c>
      <c r="I736">
        <f>IF($H736="","",IF(ROUND($F736,2)&gt;0,$A736,IF($D736="شخصی قاسم","شخصی قاسم",IF($D736="هزینه","هزینه: "&amp;IF($E736="","متفرقه",$E736),IF($C736="پاس چک","چک پرداختی",IF(OR($B736="",COUNTIF(AcctCodesA,$B736)=0),"متفرقه",$B736))))))</f>
        <v/>
      </c>
      <c r="J736">
        <f>IF($H736="","",IF(ROUND($F736,2)&gt;0,IF($D736="شخصی قاسم","شخصی قاسم",IF($D736="هزینه","هزینه: "&amp;IF($E736="","متفرقه",$E736),IF(OR($B736="",COUNTIF(AcctCodesA,$B736)=0),"متفرقه",$B736))),$A736))</f>
        <v/>
      </c>
      <c r="K736">
        <f>IF($A736="","",IF(AND($B736&lt;&gt;"",COUNTIF(AcctCodesA,$B736)=0),"کد طرف در INFO تعریف نشده",IF(AND($D736="هزینه",$E736=""),"هزینه بدون زیرگروه",IF(AND($C736="پاس چک",OR(Sync!$AJ736="",COUNTIF(IssueNosA,Sync!$AJ736)=0)),"شماره چک پاس‌شده معتبر نیست",""))))</f>
        <v/>
      </c>
      <c r="V736">
        <f>IF($K736="","",IF(ISNUMBER(Sync!$AK736),Sync!$AK736,LEFT(Sync!$AK736,4)&amp;MID(Sync!$AK736,6,2)&amp;RIGHT(Sync!$AK736,2))&amp;"|"&amp;"4"&amp;RIGHT("00000"&amp;731,5))</f>
        <v/>
      </c>
      <c r="W736">
        <f>IF($V736="",0,COUNTIFS($V$6:$V$2005,"&lt;"&amp;$V736)-COUNTIFS($V$6:$V$2005,"&lt;"&amp;$V736,$K$6:$K$2005,"")+1)</f>
        <v/>
      </c>
      <c r="X736">
        <f>IF(Sync!$AX736="","",IF(OR(N(Sync!$AY736)=0,N(Sync!$AZ736)=0),"",ROUND(N(Sync!$AY736)*N(Sync!$AZ736),0)))</f>
        <v/>
      </c>
      <c r="Y736">
        <f>IF($X736="","",IF(OR(Sync!$AX736="",COUNTIF(AcctCodesA,Sync!$AX736)=0),"متفرقه",Sync!$AX736))</f>
        <v/>
      </c>
      <c r="Z736">
        <f>IF($X736="","","سبد و ظروف")</f>
        <v/>
      </c>
      <c r="AA736">
        <f>IF($X736="","",$Y736)</f>
        <v/>
      </c>
    </row>
    <row r="737">
      <c r="A737">
        <f>IF(Sync!$Z737="","",LEFT(UPPER(TRIM(Sync!$Z737)),6))</f>
        <v/>
      </c>
      <c r="B737">
        <f>IF($A737="","",IF(Sync!$AA737="","",Sync!$AA737))</f>
        <v/>
      </c>
      <c r="C737">
        <f>IF($A737="","",IF(Sync!$AB737="","",Sync!$AB737))</f>
        <v/>
      </c>
      <c r="D737">
        <f>IF($A737="","",IF(Sync!$AC737="","",Sync!$AC737))</f>
        <v/>
      </c>
      <c r="E737">
        <f>IF($A737="","",IF(Sync!$AD737="","",Sync!$AD737))</f>
        <v/>
      </c>
      <c r="F737">
        <f>IF($A737="","",IF(Sync!$AE737="",0,Sync!$AE737))</f>
        <v/>
      </c>
      <c r="G737">
        <f>IF($A737="","",IF(Sync!$AF737="",0,Sync!$AF737))</f>
        <v/>
      </c>
      <c r="H737">
        <f>IF(OR($A737="",ROUND($F737+$G737,2)=0),"",$F737+$G737)</f>
        <v/>
      </c>
      <c r="I737">
        <f>IF($H737="","",IF(ROUND($F737,2)&gt;0,$A737,IF($D737="شخصی قاسم","شخصی قاسم",IF($D737="هزینه","هزینه: "&amp;IF($E737="","متفرقه",$E737),IF($C737="پاس چک","چک پرداختی",IF(OR($B737="",COUNTIF(AcctCodesA,$B737)=0),"متفرقه",$B737))))))</f>
        <v/>
      </c>
      <c r="J737">
        <f>IF($H737="","",IF(ROUND($F737,2)&gt;0,IF($D737="شخصی قاسم","شخصی قاسم",IF($D737="هزینه","هزینه: "&amp;IF($E737="","متفرقه",$E737),IF(OR($B737="",COUNTIF(AcctCodesA,$B737)=0),"متفرقه",$B737))),$A737))</f>
        <v/>
      </c>
      <c r="K737">
        <f>IF($A737="","",IF(AND($B737&lt;&gt;"",COUNTIF(AcctCodesA,$B737)=0),"کد طرف در INFO تعریف نشده",IF(AND($D737="هزینه",$E737=""),"هزینه بدون زیرگروه",IF(AND($C737="پاس چک",OR(Sync!$AJ737="",COUNTIF(IssueNosA,Sync!$AJ737)=0)),"شماره چک پاس‌شده معتبر نیست",""))))</f>
        <v/>
      </c>
      <c r="V737">
        <f>IF($K737="","",IF(ISNUMBER(Sync!$AK737),Sync!$AK737,LEFT(Sync!$AK737,4)&amp;MID(Sync!$AK737,6,2)&amp;RIGHT(Sync!$AK737,2))&amp;"|"&amp;"4"&amp;RIGHT("00000"&amp;732,5))</f>
        <v/>
      </c>
      <c r="W737">
        <f>IF($V737="",0,COUNTIFS($V$6:$V$2005,"&lt;"&amp;$V737)-COUNTIFS($V$6:$V$2005,"&lt;"&amp;$V737,$K$6:$K$2005,"")+1)</f>
        <v/>
      </c>
      <c r="X737">
        <f>IF(Sync!$AX737="","",IF(OR(N(Sync!$AY737)=0,N(Sync!$AZ737)=0),"",ROUND(N(Sync!$AY737)*N(Sync!$AZ737),0)))</f>
        <v/>
      </c>
      <c r="Y737">
        <f>IF($X737="","",IF(OR(Sync!$AX737="",COUNTIF(AcctCodesA,Sync!$AX737)=0),"متفرقه",Sync!$AX737))</f>
        <v/>
      </c>
      <c r="Z737">
        <f>IF($X737="","","سبد و ظروف")</f>
        <v/>
      </c>
      <c r="AA737">
        <f>IF($X737="","",$Y737)</f>
        <v/>
      </c>
    </row>
    <row r="738">
      <c r="A738">
        <f>IF(Sync!$Z738="","",LEFT(UPPER(TRIM(Sync!$Z738)),6))</f>
        <v/>
      </c>
      <c r="B738">
        <f>IF($A738="","",IF(Sync!$AA738="","",Sync!$AA738))</f>
        <v/>
      </c>
      <c r="C738">
        <f>IF($A738="","",IF(Sync!$AB738="","",Sync!$AB738))</f>
        <v/>
      </c>
      <c r="D738">
        <f>IF($A738="","",IF(Sync!$AC738="","",Sync!$AC738))</f>
        <v/>
      </c>
      <c r="E738">
        <f>IF($A738="","",IF(Sync!$AD738="","",Sync!$AD738))</f>
        <v/>
      </c>
      <c r="F738">
        <f>IF($A738="","",IF(Sync!$AE738="",0,Sync!$AE738))</f>
        <v/>
      </c>
      <c r="G738">
        <f>IF($A738="","",IF(Sync!$AF738="",0,Sync!$AF738))</f>
        <v/>
      </c>
      <c r="H738">
        <f>IF(OR($A738="",ROUND($F738+$G738,2)=0),"",$F738+$G738)</f>
        <v/>
      </c>
      <c r="I738">
        <f>IF($H738="","",IF(ROUND($F738,2)&gt;0,$A738,IF($D738="شخصی قاسم","شخصی قاسم",IF($D738="هزینه","هزینه: "&amp;IF($E738="","متفرقه",$E738),IF($C738="پاس چک","چک پرداختی",IF(OR($B738="",COUNTIF(AcctCodesA,$B738)=0),"متفرقه",$B738))))))</f>
        <v/>
      </c>
      <c r="J738">
        <f>IF($H738="","",IF(ROUND($F738,2)&gt;0,IF($D738="شخصی قاسم","شخصی قاسم",IF($D738="هزینه","هزینه: "&amp;IF($E738="","متفرقه",$E738),IF(OR($B738="",COUNTIF(AcctCodesA,$B738)=0),"متفرقه",$B738))),$A738))</f>
        <v/>
      </c>
      <c r="K738">
        <f>IF($A738="","",IF(AND($B738&lt;&gt;"",COUNTIF(AcctCodesA,$B738)=0),"کد طرف در INFO تعریف نشده",IF(AND($D738="هزینه",$E738=""),"هزینه بدون زیرگروه",IF(AND($C738="پاس چک",OR(Sync!$AJ738="",COUNTIF(IssueNosA,Sync!$AJ738)=0)),"شماره چک پاس‌شده معتبر نیست",""))))</f>
        <v/>
      </c>
      <c r="V738">
        <f>IF($K738="","",IF(ISNUMBER(Sync!$AK738),Sync!$AK738,LEFT(Sync!$AK738,4)&amp;MID(Sync!$AK738,6,2)&amp;RIGHT(Sync!$AK738,2))&amp;"|"&amp;"4"&amp;RIGHT("00000"&amp;733,5))</f>
        <v/>
      </c>
      <c r="W738">
        <f>IF($V738="",0,COUNTIFS($V$6:$V$2005,"&lt;"&amp;$V738)-COUNTIFS($V$6:$V$2005,"&lt;"&amp;$V738,$K$6:$K$2005,"")+1)</f>
        <v/>
      </c>
      <c r="X738">
        <f>IF(Sync!$AX738="","",IF(OR(N(Sync!$AY738)=0,N(Sync!$AZ738)=0),"",ROUND(N(Sync!$AY738)*N(Sync!$AZ738),0)))</f>
        <v/>
      </c>
      <c r="Y738">
        <f>IF($X738="","",IF(OR(Sync!$AX738="",COUNTIF(AcctCodesA,Sync!$AX738)=0),"متفرقه",Sync!$AX738))</f>
        <v/>
      </c>
      <c r="Z738">
        <f>IF($X738="","","سبد و ظروف")</f>
        <v/>
      </c>
      <c r="AA738">
        <f>IF($X738="","",$Y738)</f>
        <v/>
      </c>
    </row>
    <row r="739">
      <c r="A739">
        <f>IF(Sync!$Z739="","",LEFT(UPPER(TRIM(Sync!$Z739)),6))</f>
        <v/>
      </c>
      <c r="B739">
        <f>IF($A739="","",IF(Sync!$AA739="","",Sync!$AA739))</f>
        <v/>
      </c>
      <c r="C739">
        <f>IF($A739="","",IF(Sync!$AB739="","",Sync!$AB739))</f>
        <v/>
      </c>
      <c r="D739">
        <f>IF($A739="","",IF(Sync!$AC739="","",Sync!$AC739))</f>
        <v/>
      </c>
      <c r="E739">
        <f>IF($A739="","",IF(Sync!$AD739="","",Sync!$AD739))</f>
        <v/>
      </c>
      <c r="F739">
        <f>IF($A739="","",IF(Sync!$AE739="",0,Sync!$AE739))</f>
        <v/>
      </c>
      <c r="G739">
        <f>IF($A739="","",IF(Sync!$AF739="",0,Sync!$AF739))</f>
        <v/>
      </c>
      <c r="H739">
        <f>IF(OR($A739="",ROUND($F739+$G739,2)=0),"",$F739+$G739)</f>
        <v/>
      </c>
      <c r="I739">
        <f>IF($H739="","",IF(ROUND($F739,2)&gt;0,$A739,IF($D739="شخصی قاسم","شخصی قاسم",IF($D739="هزینه","هزینه: "&amp;IF($E739="","متفرقه",$E739),IF($C739="پاس چک","چک پرداختی",IF(OR($B739="",COUNTIF(AcctCodesA,$B739)=0),"متفرقه",$B739))))))</f>
        <v/>
      </c>
      <c r="J739">
        <f>IF($H739="","",IF(ROUND($F739,2)&gt;0,IF($D739="شخصی قاسم","شخصی قاسم",IF($D739="هزینه","هزینه: "&amp;IF($E739="","متفرقه",$E739),IF(OR($B739="",COUNTIF(AcctCodesA,$B739)=0),"متفرقه",$B739))),$A739))</f>
        <v/>
      </c>
      <c r="K739">
        <f>IF($A739="","",IF(AND($B739&lt;&gt;"",COUNTIF(AcctCodesA,$B739)=0),"کد طرف در INFO تعریف نشده",IF(AND($D739="هزینه",$E739=""),"هزینه بدون زیرگروه",IF(AND($C739="پاس چک",OR(Sync!$AJ739="",COUNTIF(IssueNosA,Sync!$AJ739)=0)),"شماره چک پاس‌شده معتبر نیست",""))))</f>
        <v/>
      </c>
      <c r="V739">
        <f>IF($K739="","",IF(ISNUMBER(Sync!$AK739),Sync!$AK739,LEFT(Sync!$AK739,4)&amp;MID(Sync!$AK739,6,2)&amp;RIGHT(Sync!$AK739,2))&amp;"|"&amp;"4"&amp;RIGHT("00000"&amp;734,5))</f>
        <v/>
      </c>
      <c r="W739">
        <f>IF($V739="",0,COUNTIFS($V$6:$V$2005,"&lt;"&amp;$V739)-COUNTIFS($V$6:$V$2005,"&lt;"&amp;$V739,$K$6:$K$2005,"")+1)</f>
        <v/>
      </c>
      <c r="X739">
        <f>IF(Sync!$AX739="","",IF(OR(N(Sync!$AY739)=0,N(Sync!$AZ739)=0),"",ROUND(N(Sync!$AY739)*N(Sync!$AZ739),0)))</f>
        <v/>
      </c>
      <c r="Y739">
        <f>IF($X739="","",IF(OR(Sync!$AX739="",COUNTIF(AcctCodesA,Sync!$AX739)=0),"متفرقه",Sync!$AX739))</f>
        <v/>
      </c>
      <c r="Z739">
        <f>IF($X739="","","سبد و ظروف")</f>
        <v/>
      </c>
      <c r="AA739">
        <f>IF($X739="","",$Y739)</f>
        <v/>
      </c>
    </row>
    <row r="740">
      <c r="A740">
        <f>IF(Sync!$Z740="","",LEFT(UPPER(TRIM(Sync!$Z740)),6))</f>
        <v/>
      </c>
      <c r="B740">
        <f>IF($A740="","",IF(Sync!$AA740="","",Sync!$AA740))</f>
        <v/>
      </c>
      <c r="C740">
        <f>IF($A740="","",IF(Sync!$AB740="","",Sync!$AB740))</f>
        <v/>
      </c>
      <c r="D740">
        <f>IF($A740="","",IF(Sync!$AC740="","",Sync!$AC740))</f>
        <v/>
      </c>
      <c r="E740">
        <f>IF($A740="","",IF(Sync!$AD740="","",Sync!$AD740))</f>
        <v/>
      </c>
      <c r="F740">
        <f>IF($A740="","",IF(Sync!$AE740="",0,Sync!$AE740))</f>
        <v/>
      </c>
      <c r="G740">
        <f>IF($A740="","",IF(Sync!$AF740="",0,Sync!$AF740))</f>
        <v/>
      </c>
      <c r="H740">
        <f>IF(OR($A740="",ROUND($F740+$G740,2)=0),"",$F740+$G740)</f>
        <v/>
      </c>
      <c r="I740">
        <f>IF($H740="","",IF(ROUND($F740,2)&gt;0,$A740,IF($D740="شخصی قاسم","شخصی قاسم",IF($D740="هزینه","هزینه: "&amp;IF($E740="","متفرقه",$E740),IF($C740="پاس چک","چک پرداختی",IF(OR($B740="",COUNTIF(AcctCodesA,$B740)=0),"متفرقه",$B740))))))</f>
        <v/>
      </c>
      <c r="J740">
        <f>IF($H740="","",IF(ROUND($F740,2)&gt;0,IF($D740="شخصی قاسم","شخصی قاسم",IF($D740="هزینه","هزینه: "&amp;IF($E740="","متفرقه",$E740),IF(OR($B740="",COUNTIF(AcctCodesA,$B740)=0),"متفرقه",$B740))),$A740))</f>
        <v/>
      </c>
      <c r="K740">
        <f>IF($A740="","",IF(AND($B740&lt;&gt;"",COUNTIF(AcctCodesA,$B740)=0),"کد طرف در INFO تعریف نشده",IF(AND($D740="هزینه",$E740=""),"هزینه بدون زیرگروه",IF(AND($C740="پاس چک",OR(Sync!$AJ740="",COUNTIF(IssueNosA,Sync!$AJ740)=0)),"شماره چک پاس‌شده معتبر نیست",""))))</f>
        <v/>
      </c>
      <c r="V740">
        <f>IF($K740="","",IF(ISNUMBER(Sync!$AK740),Sync!$AK740,LEFT(Sync!$AK740,4)&amp;MID(Sync!$AK740,6,2)&amp;RIGHT(Sync!$AK740,2))&amp;"|"&amp;"4"&amp;RIGHT("00000"&amp;735,5))</f>
        <v/>
      </c>
      <c r="W740">
        <f>IF($V740="",0,COUNTIFS($V$6:$V$2005,"&lt;"&amp;$V740)-COUNTIFS($V$6:$V$2005,"&lt;"&amp;$V740,$K$6:$K$2005,"")+1)</f>
        <v/>
      </c>
      <c r="X740">
        <f>IF(Sync!$AX740="","",IF(OR(N(Sync!$AY740)=0,N(Sync!$AZ740)=0),"",ROUND(N(Sync!$AY740)*N(Sync!$AZ740),0)))</f>
        <v/>
      </c>
      <c r="Y740">
        <f>IF($X740="","",IF(OR(Sync!$AX740="",COUNTIF(AcctCodesA,Sync!$AX740)=0),"متفرقه",Sync!$AX740))</f>
        <v/>
      </c>
      <c r="Z740">
        <f>IF($X740="","","سبد و ظروف")</f>
        <v/>
      </c>
      <c r="AA740">
        <f>IF($X740="","",$Y740)</f>
        <v/>
      </c>
    </row>
    <row r="741">
      <c r="A741">
        <f>IF(Sync!$Z741="","",LEFT(UPPER(TRIM(Sync!$Z741)),6))</f>
        <v/>
      </c>
      <c r="B741">
        <f>IF($A741="","",IF(Sync!$AA741="","",Sync!$AA741))</f>
        <v/>
      </c>
      <c r="C741">
        <f>IF($A741="","",IF(Sync!$AB741="","",Sync!$AB741))</f>
        <v/>
      </c>
      <c r="D741">
        <f>IF($A741="","",IF(Sync!$AC741="","",Sync!$AC741))</f>
        <v/>
      </c>
      <c r="E741">
        <f>IF($A741="","",IF(Sync!$AD741="","",Sync!$AD741))</f>
        <v/>
      </c>
      <c r="F741">
        <f>IF($A741="","",IF(Sync!$AE741="",0,Sync!$AE741))</f>
        <v/>
      </c>
      <c r="G741">
        <f>IF($A741="","",IF(Sync!$AF741="",0,Sync!$AF741))</f>
        <v/>
      </c>
      <c r="H741">
        <f>IF(OR($A741="",ROUND($F741+$G741,2)=0),"",$F741+$G741)</f>
        <v/>
      </c>
      <c r="I741">
        <f>IF($H741="","",IF(ROUND($F741,2)&gt;0,$A741,IF($D741="شخصی قاسم","شخصی قاسم",IF($D741="هزینه","هزینه: "&amp;IF($E741="","متفرقه",$E741),IF($C741="پاس چک","چک پرداختی",IF(OR($B741="",COUNTIF(AcctCodesA,$B741)=0),"متفرقه",$B741))))))</f>
        <v/>
      </c>
      <c r="J741">
        <f>IF($H741="","",IF(ROUND($F741,2)&gt;0,IF($D741="شخصی قاسم","شخصی قاسم",IF($D741="هزینه","هزینه: "&amp;IF($E741="","متفرقه",$E741),IF(OR($B741="",COUNTIF(AcctCodesA,$B741)=0),"متفرقه",$B741))),$A741))</f>
        <v/>
      </c>
      <c r="K741">
        <f>IF($A741="","",IF(AND($B741&lt;&gt;"",COUNTIF(AcctCodesA,$B741)=0),"کد طرف در INFO تعریف نشده",IF(AND($D741="هزینه",$E741=""),"هزینه بدون زیرگروه",IF(AND($C741="پاس چک",OR(Sync!$AJ741="",COUNTIF(IssueNosA,Sync!$AJ741)=0)),"شماره چک پاس‌شده معتبر نیست",""))))</f>
        <v/>
      </c>
      <c r="V741">
        <f>IF($K741="","",IF(ISNUMBER(Sync!$AK741),Sync!$AK741,LEFT(Sync!$AK741,4)&amp;MID(Sync!$AK741,6,2)&amp;RIGHT(Sync!$AK741,2))&amp;"|"&amp;"4"&amp;RIGHT("00000"&amp;736,5))</f>
        <v/>
      </c>
      <c r="W741">
        <f>IF($V741="",0,COUNTIFS($V$6:$V$2005,"&lt;"&amp;$V741)-COUNTIFS($V$6:$V$2005,"&lt;"&amp;$V741,$K$6:$K$2005,"")+1)</f>
        <v/>
      </c>
      <c r="X741">
        <f>IF(Sync!$AX741="","",IF(OR(N(Sync!$AY741)=0,N(Sync!$AZ741)=0),"",ROUND(N(Sync!$AY741)*N(Sync!$AZ741),0)))</f>
        <v/>
      </c>
      <c r="Y741">
        <f>IF($X741="","",IF(OR(Sync!$AX741="",COUNTIF(AcctCodesA,Sync!$AX741)=0),"متفرقه",Sync!$AX741))</f>
        <v/>
      </c>
      <c r="Z741">
        <f>IF($X741="","","سبد و ظروف")</f>
        <v/>
      </c>
      <c r="AA741">
        <f>IF($X741="","",$Y741)</f>
        <v/>
      </c>
    </row>
    <row r="742">
      <c r="A742">
        <f>IF(Sync!$Z742="","",LEFT(UPPER(TRIM(Sync!$Z742)),6))</f>
        <v/>
      </c>
      <c r="B742">
        <f>IF($A742="","",IF(Sync!$AA742="","",Sync!$AA742))</f>
        <v/>
      </c>
      <c r="C742">
        <f>IF($A742="","",IF(Sync!$AB742="","",Sync!$AB742))</f>
        <v/>
      </c>
      <c r="D742">
        <f>IF($A742="","",IF(Sync!$AC742="","",Sync!$AC742))</f>
        <v/>
      </c>
      <c r="E742">
        <f>IF($A742="","",IF(Sync!$AD742="","",Sync!$AD742))</f>
        <v/>
      </c>
      <c r="F742">
        <f>IF($A742="","",IF(Sync!$AE742="",0,Sync!$AE742))</f>
        <v/>
      </c>
      <c r="G742">
        <f>IF($A742="","",IF(Sync!$AF742="",0,Sync!$AF742))</f>
        <v/>
      </c>
      <c r="H742">
        <f>IF(OR($A742="",ROUND($F742+$G742,2)=0),"",$F742+$G742)</f>
        <v/>
      </c>
      <c r="I742">
        <f>IF($H742="","",IF(ROUND($F742,2)&gt;0,$A742,IF($D742="شخصی قاسم","شخصی قاسم",IF($D742="هزینه","هزینه: "&amp;IF($E742="","متفرقه",$E742),IF($C742="پاس چک","چک پرداختی",IF(OR($B742="",COUNTIF(AcctCodesA,$B742)=0),"متفرقه",$B742))))))</f>
        <v/>
      </c>
      <c r="J742">
        <f>IF($H742="","",IF(ROUND($F742,2)&gt;0,IF($D742="شخصی قاسم","شخصی قاسم",IF($D742="هزینه","هزینه: "&amp;IF($E742="","متفرقه",$E742),IF(OR($B742="",COUNTIF(AcctCodesA,$B742)=0),"متفرقه",$B742))),$A742))</f>
        <v/>
      </c>
      <c r="K742">
        <f>IF($A742="","",IF(AND($B742&lt;&gt;"",COUNTIF(AcctCodesA,$B742)=0),"کد طرف در INFO تعریف نشده",IF(AND($D742="هزینه",$E742=""),"هزینه بدون زیرگروه",IF(AND($C742="پاس چک",OR(Sync!$AJ742="",COUNTIF(IssueNosA,Sync!$AJ742)=0)),"شماره چک پاس‌شده معتبر نیست",""))))</f>
        <v/>
      </c>
      <c r="V742">
        <f>IF($K742="","",IF(ISNUMBER(Sync!$AK742),Sync!$AK742,LEFT(Sync!$AK742,4)&amp;MID(Sync!$AK742,6,2)&amp;RIGHT(Sync!$AK742,2))&amp;"|"&amp;"4"&amp;RIGHT("00000"&amp;737,5))</f>
        <v/>
      </c>
      <c r="W742">
        <f>IF($V742="",0,COUNTIFS($V$6:$V$2005,"&lt;"&amp;$V742)-COUNTIFS($V$6:$V$2005,"&lt;"&amp;$V742,$K$6:$K$2005,"")+1)</f>
        <v/>
      </c>
      <c r="X742">
        <f>IF(Sync!$AX742="","",IF(OR(N(Sync!$AY742)=0,N(Sync!$AZ742)=0),"",ROUND(N(Sync!$AY742)*N(Sync!$AZ742),0)))</f>
        <v/>
      </c>
      <c r="Y742">
        <f>IF($X742="","",IF(OR(Sync!$AX742="",COUNTIF(AcctCodesA,Sync!$AX742)=0),"متفرقه",Sync!$AX742))</f>
        <v/>
      </c>
      <c r="Z742">
        <f>IF($X742="","","سبد و ظروف")</f>
        <v/>
      </c>
      <c r="AA742">
        <f>IF($X742="","",$Y742)</f>
        <v/>
      </c>
    </row>
    <row r="743">
      <c r="A743">
        <f>IF(Sync!$Z743="","",LEFT(UPPER(TRIM(Sync!$Z743)),6))</f>
        <v/>
      </c>
      <c r="B743">
        <f>IF($A743="","",IF(Sync!$AA743="","",Sync!$AA743))</f>
        <v/>
      </c>
      <c r="C743">
        <f>IF($A743="","",IF(Sync!$AB743="","",Sync!$AB743))</f>
        <v/>
      </c>
      <c r="D743">
        <f>IF($A743="","",IF(Sync!$AC743="","",Sync!$AC743))</f>
        <v/>
      </c>
      <c r="E743">
        <f>IF($A743="","",IF(Sync!$AD743="","",Sync!$AD743))</f>
        <v/>
      </c>
      <c r="F743">
        <f>IF($A743="","",IF(Sync!$AE743="",0,Sync!$AE743))</f>
        <v/>
      </c>
      <c r="G743">
        <f>IF($A743="","",IF(Sync!$AF743="",0,Sync!$AF743))</f>
        <v/>
      </c>
      <c r="H743">
        <f>IF(OR($A743="",ROUND($F743+$G743,2)=0),"",$F743+$G743)</f>
        <v/>
      </c>
      <c r="I743">
        <f>IF($H743="","",IF(ROUND($F743,2)&gt;0,$A743,IF($D743="شخصی قاسم","شخصی قاسم",IF($D743="هزینه","هزینه: "&amp;IF($E743="","متفرقه",$E743),IF($C743="پاس چک","چک پرداختی",IF(OR($B743="",COUNTIF(AcctCodesA,$B743)=0),"متفرقه",$B743))))))</f>
        <v/>
      </c>
      <c r="J743">
        <f>IF($H743="","",IF(ROUND($F743,2)&gt;0,IF($D743="شخصی قاسم","شخصی قاسم",IF($D743="هزینه","هزینه: "&amp;IF($E743="","متفرقه",$E743),IF(OR($B743="",COUNTIF(AcctCodesA,$B743)=0),"متفرقه",$B743))),$A743))</f>
        <v/>
      </c>
      <c r="K743">
        <f>IF($A743="","",IF(AND($B743&lt;&gt;"",COUNTIF(AcctCodesA,$B743)=0),"کد طرف در INFO تعریف نشده",IF(AND($D743="هزینه",$E743=""),"هزینه بدون زیرگروه",IF(AND($C743="پاس چک",OR(Sync!$AJ743="",COUNTIF(IssueNosA,Sync!$AJ743)=0)),"شماره چک پاس‌شده معتبر نیست",""))))</f>
        <v/>
      </c>
      <c r="V743">
        <f>IF($K743="","",IF(ISNUMBER(Sync!$AK743),Sync!$AK743,LEFT(Sync!$AK743,4)&amp;MID(Sync!$AK743,6,2)&amp;RIGHT(Sync!$AK743,2))&amp;"|"&amp;"4"&amp;RIGHT("00000"&amp;738,5))</f>
        <v/>
      </c>
      <c r="W743">
        <f>IF($V743="",0,COUNTIFS($V$6:$V$2005,"&lt;"&amp;$V743)-COUNTIFS($V$6:$V$2005,"&lt;"&amp;$V743,$K$6:$K$2005,"")+1)</f>
        <v/>
      </c>
      <c r="X743">
        <f>IF(Sync!$AX743="","",IF(OR(N(Sync!$AY743)=0,N(Sync!$AZ743)=0),"",ROUND(N(Sync!$AY743)*N(Sync!$AZ743),0)))</f>
        <v/>
      </c>
      <c r="Y743">
        <f>IF($X743="","",IF(OR(Sync!$AX743="",COUNTIF(AcctCodesA,Sync!$AX743)=0),"متفرقه",Sync!$AX743))</f>
        <v/>
      </c>
      <c r="Z743">
        <f>IF($X743="","","سبد و ظروف")</f>
        <v/>
      </c>
      <c r="AA743">
        <f>IF($X743="","",$Y743)</f>
        <v/>
      </c>
    </row>
    <row r="744">
      <c r="A744">
        <f>IF(Sync!$Z744="","",LEFT(UPPER(TRIM(Sync!$Z744)),6))</f>
        <v/>
      </c>
      <c r="B744">
        <f>IF($A744="","",IF(Sync!$AA744="","",Sync!$AA744))</f>
        <v/>
      </c>
      <c r="C744">
        <f>IF($A744="","",IF(Sync!$AB744="","",Sync!$AB744))</f>
        <v/>
      </c>
      <c r="D744">
        <f>IF($A744="","",IF(Sync!$AC744="","",Sync!$AC744))</f>
        <v/>
      </c>
      <c r="E744">
        <f>IF($A744="","",IF(Sync!$AD744="","",Sync!$AD744))</f>
        <v/>
      </c>
      <c r="F744">
        <f>IF($A744="","",IF(Sync!$AE744="",0,Sync!$AE744))</f>
        <v/>
      </c>
      <c r="G744">
        <f>IF($A744="","",IF(Sync!$AF744="",0,Sync!$AF744))</f>
        <v/>
      </c>
      <c r="H744">
        <f>IF(OR($A744="",ROUND($F744+$G744,2)=0),"",$F744+$G744)</f>
        <v/>
      </c>
      <c r="I744">
        <f>IF($H744="","",IF(ROUND($F744,2)&gt;0,$A744,IF($D744="شخصی قاسم","شخصی قاسم",IF($D744="هزینه","هزینه: "&amp;IF($E744="","متفرقه",$E744),IF($C744="پاس چک","چک پرداختی",IF(OR($B744="",COUNTIF(AcctCodesA,$B744)=0),"متفرقه",$B744))))))</f>
        <v/>
      </c>
      <c r="J744">
        <f>IF($H744="","",IF(ROUND($F744,2)&gt;0,IF($D744="شخصی قاسم","شخصی قاسم",IF($D744="هزینه","هزینه: "&amp;IF($E744="","متفرقه",$E744),IF(OR($B744="",COUNTIF(AcctCodesA,$B744)=0),"متفرقه",$B744))),$A744))</f>
        <v/>
      </c>
      <c r="K744">
        <f>IF($A744="","",IF(AND($B744&lt;&gt;"",COUNTIF(AcctCodesA,$B744)=0),"کد طرف در INFO تعریف نشده",IF(AND($D744="هزینه",$E744=""),"هزینه بدون زیرگروه",IF(AND($C744="پاس چک",OR(Sync!$AJ744="",COUNTIF(IssueNosA,Sync!$AJ744)=0)),"شماره چک پاس‌شده معتبر نیست",""))))</f>
        <v/>
      </c>
      <c r="V744">
        <f>IF($K744="","",IF(ISNUMBER(Sync!$AK744),Sync!$AK744,LEFT(Sync!$AK744,4)&amp;MID(Sync!$AK744,6,2)&amp;RIGHT(Sync!$AK744,2))&amp;"|"&amp;"4"&amp;RIGHT("00000"&amp;739,5))</f>
        <v/>
      </c>
      <c r="W744">
        <f>IF($V744="",0,COUNTIFS($V$6:$V$2005,"&lt;"&amp;$V744)-COUNTIFS($V$6:$V$2005,"&lt;"&amp;$V744,$K$6:$K$2005,"")+1)</f>
        <v/>
      </c>
      <c r="X744">
        <f>IF(Sync!$AX744="","",IF(OR(N(Sync!$AY744)=0,N(Sync!$AZ744)=0),"",ROUND(N(Sync!$AY744)*N(Sync!$AZ744),0)))</f>
        <v/>
      </c>
      <c r="Y744">
        <f>IF($X744="","",IF(OR(Sync!$AX744="",COUNTIF(AcctCodesA,Sync!$AX744)=0),"متفرقه",Sync!$AX744))</f>
        <v/>
      </c>
      <c r="Z744">
        <f>IF($X744="","","سبد و ظروف")</f>
        <v/>
      </c>
      <c r="AA744">
        <f>IF($X744="","",$Y744)</f>
        <v/>
      </c>
    </row>
    <row r="745">
      <c r="A745">
        <f>IF(Sync!$Z745="","",LEFT(UPPER(TRIM(Sync!$Z745)),6))</f>
        <v/>
      </c>
      <c r="B745">
        <f>IF($A745="","",IF(Sync!$AA745="","",Sync!$AA745))</f>
        <v/>
      </c>
      <c r="C745">
        <f>IF($A745="","",IF(Sync!$AB745="","",Sync!$AB745))</f>
        <v/>
      </c>
      <c r="D745">
        <f>IF($A745="","",IF(Sync!$AC745="","",Sync!$AC745))</f>
        <v/>
      </c>
      <c r="E745">
        <f>IF($A745="","",IF(Sync!$AD745="","",Sync!$AD745))</f>
        <v/>
      </c>
      <c r="F745">
        <f>IF($A745="","",IF(Sync!$AE745="",0,Sync!$AE745))</f>
        <v/>
      </c>
      <c r="G745">
        <f>IF($A745="","",IF(Sync!$AF745="",0,Sync!$AF745))</f>
        <v/>
      </c>
      <c r="H745">
        <f>IF(OR($A745="",ROUND($F745+$G745,2)=0),"",$F745+$G745)</f>
        <v/>
      </c>
      <c r="I745">
        <f>IF($H745="","",IF(ROUND($F745,2)&gt;0,$A745,IF($D745="شخصی قاسم","شخصی قاسم",IF($D745="هزینه","هزینه: "&amp;IF($E745="","متفرقه",$E745),IF($C745="پاس چک","چک پرداختی",IF(OR($B745="",COUNTIF(AcctCodesA,$B745)=0),"متفرقه",$B745))))))</f>
        <v/>
      </c>
      <c r="J745">
        <f>IF($H745="","",IF(ROUND($F745,2)&gt;0,IF($D745="شخصی قاسم","شخصی قاسم",IF($D745="هزینه","هزینه: "&amp;IF($E745="","متفرقه",$E745),IF(OR($B745="",COUNTIF(AcctCodesA,$B745)=0),"متفرقه",$B745))),$A745))</f>
        <v/>
      </c>
      <c r="K745">
        <f>IF($A745="","",IF(AND($B745&lt;&gt;"",COUNTIF(AcctCodesA,$B745)=0),"کد طرف در INFO تعریف نشده",IF(AND($D745="هزینه",$E745=""),"هزینه بدون زیرگروه",IF(AND($C745="پاس چک",OR(Sync!$AJ745="",COUNTIF(IssueNosA,Sync!$AJ745)=0)),"شماره چک پاس‌شده معتبر نیست",""))))</f>
        <v/>
      </c>
      <c r="V745">
        <f>IF($K745="","",IF(ISNUMBER(Sync!$AK745),Sync!$AK745,LEFT(Sync!$AK745,4)&amp;MID(Sync!$AK745,6,2)&amp;RIGHT(Sync!$AK745,2))&amp;"|"&amp;"4"&amp;RIGHT("00000"&amp;740,5))</f>
        <v/>
      </c>
      <c r="W745">
        <f>IF($V745="",0,COUNTIFS($V$6:$V$2005,"&lt;"&amp;$V745)-COUNTIFS($V$6:$V$2005,"&lt;"&amp;$V745,$K$6:$K$2005,"")+1)</f>
        <v/>
      </c>
      <c r="X745">
        <f>IF(Sync!$AX745="","",IF(OR(N(Sync!$AY745)=0,N(Sync!$AZ745)=0),"",ROUND(N(Sync!$AY745)*N(Sync!$AZ745),0)))</f>
        <v/>
      </c>
      <c r="Y745">
        <f>IF($X745="","",IF(OR(Sync!$AX745="",COUNTIF(AcctCodesA,Sync!$AX745)=0),"متفرقه",Sync!$AX745))</f>
        <v/>
      </c>
      <c r="Z745">
        <f>IF($X745="","","سبد و ظروف")</f>
        <v/>
      </c>
      <c r="AA745">
        <f>IF($X745="","",$Y745)</f>
        <v/>
      </c>
    </row>
    <row r="746">
      <c r="A746">
        <f>IF(Sync!$Z746="","",LEFT(UPPER(TRIM(Sync!$Z746)),6))</f>
        <v/>
      </c>
      <c r="B746">
        <f>IF($A746="","",IF(Sync!$AA746="","",Sync!$AA746))</f>
        <v/>
      </c>
      <c r="C746">
        <f>IF($A746="","",IF(Sync!$AB746="","",Sync!$AB746))</f>
        <v/>
      </c>
      <c r="D746">
        <f>IF($A746="","",IF(Sync!$AC746="","",Sync!$AC746))</f>
        <v/>
      </c>
      <c r="E746">
        <f>IF($A746="","",IF(Sync!$AD746="","",Sync!$AD746))</f>
        <v/>
      </c>
      <c r="F746">
        <f>IF($A746="","",IF(Sync!$AE746="",0,Sync!$AE746))</f>
        <v/>
      </c>
      <c r="G746">
        <f>IF($A746="","",IF(Sync!$AF746="",0,Sync!$AF746))</f>
        <v/>
      </c>
      <c r="H746">
        <f>IF(OR($A746="",ROUND($F746+$G746,2)=0),"",$F746+$G746)</f>
        <v/>
      </c>
      <c r="I746">
        <f>IF($H746="","",IF(ROUND($F746,2)&gt;0,$A746,IF($D746="شخصی قاسم","شخصی قاسم",IF($D746="هزینه","هزینه: "&amp;IF($E746="","متفرقه",$E746),IF($C746="پاس چک","چک پرداختی",IF(OR($B746="",COUNTIF(AcctCodesA,$B746)=0),"متفرقه",$B746))))))</f>
        <v/>
      </c>
      <c r="J746">
        <f>IF($H746="","",IF(ROUND($F746,2)&gt;0,IF($D746="شخصی قاسم","شخصی قاسم",IF($D746="هزینه","هزینه: "&amp;IF($E746="","متفرقه",$E746),IF(OR($B746="",COUNTIF(AcctCodesA,$B746)=0),"متفرقه",$B746))),$A746))</f>
        <v/>
      </c>
      <c r="K746">
        <f>IF($A746="","",IF(AND($B746&lt;&gt;"",COUNTIF(AcctCodesA,$B746)=0),"کد طرف در INFO تعریف نشده",IF(AND($D746="هزینه",$E746=""),"هزینه بدون زیرگروه",IF(AND($C746="پاس چک",OR(Sync!$AJ746="",COUNTIF(IssueNosA,Sync!$AJ746)=0)),"شماره چک پاس‌شده معتبر نیست",""))))</f>
        <v/>
      </c>
      <c r="V746">
        <f>IF($K746="","",IF(ISNUMBER(Sync!$AK746),Sync!$AK746,LEFT(Sync!$AK746,4)&amp;MID(Sync!$AK746,6,2)&amp;RIGHT(Sync!$AK746,2))&amp;"|"&amp;"4"&amp;RIGHT("00000"&amp;741,5))</f>
        <v/>
      </c>
      <c r="W746">
        <f>IF($V746="",0,COUNTIFS($V$6:$V$2005,"&lt;"&amp;$V746)-COUNTIFS($V$6:$V$2005,"&lt;"&amp;$V746,$K$6:$K$2005,"")+1)</f>
        <v/>
      </c>
      <c r="X746">
        <f>IF(Sync!$AX746="","",IF(OR(N(Sync!$AY746)=0,N(Sync!$AZ746)=0),"",ROUND(N(Sync!$AY746)*N(Sync!$AZ746),0)))</f>
        <v/>
      </c>
      <c r="Y746">
        <f>IF($X746="","",IF(OR(Sync!$AX746="",COUNTIF(AcctCodesA,Sync!$AX746)=0),"متفرقه",Sync!$AX746))</f>
        <v/>
      </c>
      <c r="Z746">
        <f>IF($X746="","","سبد و ظروف")</f>
        <v/>
      </c>
      <c r="AA746">
        <f>IF($X746="","",$Y746)</f>
        <v/>
      </c>
    </row>
    <row r="747">
      <c r="A747">
        <f>IF(Sync!$Z747="","",LEFT(UPPER(TRIM(Sync!$Z747)),6))</f>
        <v/>
      </c>
      <c r="B747">
        <f>IF($A747="","",IF(Sync!$AA747="","",Sync!$AA747))</f>
        <v/>
      </c>
      <c r="C747">
        <f>IF($A747="","",IF(Sync!$AB747="","",Sync!$AB747))</f>
        <v/>
      </c>
      <c r="D747">
        <f>IF($A747="","",IF(Sync!$AC747="","",Sync!$AC747))</f>
        <v/>
      </c>
      <c r="E747">
        <f>IF($A747="","",IF(Sync!$AD747="","",Sync!$AD747))</f>
        <v/>
      </c>
      <c r="F747">
        <f>IF($A747="","",IF(Sync!$AE747="",0,Sync!$AE747))</f>
        <v/>
      </c>
      <c r="G747">
        <f>IF($A747="","",IF(Sync!$AF747="",0,Sync!$AF747))</f>
        <v/>
      </c>
      <c r="H747">
        <f>IF(OR($A747="",ROUND($F747+$G747,2)=0),"",$F747+$G747)</f>
        <v/>
      </c>
      <c r="I747">
        <f>IF($H747="","",IF(ROUND($F747,2)&gt;0,$A747,IF($D747="شخصی قاسم","شخصی قاسم",IF($D747="هزینه","هزینه: "&amp;IF($E747="","متفرقه",$E747),IF($C747="پاس چک","چک پرداختی",IF(OR($B747="",COUNTIF(AcctCodesA,$B747)=0),"متفرقه",$B747))))))</f>
        <v/>
      </c>
      <c r="J747">
        <f>IF($H747="","",IF(ROUND($F747,2)&gt;0,IF($D747="شخصی قاسم","شخصی قاسم",IF($D747="هزینه","هزینه: "&amp;IF($E747="","متفرقه",$E747),IF(OR($B747="",COUNTIF(AcctCodesA,$B747)=0),"متفرقه",$B747))),$A747))</f>
        <v/>
      </c>
      <c r="K747">
        <f>IF($A747="","",IF(AND($B747&lt;&gt;"",COUNTIF(AcctCodesA,$B747)=0),"کد طرف در INFO تعریف نشده",IF(AND($D747="هزینه",$E747=""),"هزینه بدون زیرگروه",IF(AND($C747="پاس چک",OR(Sync!$AJ747="",COUNTIF(IssueNosA,Sync!$AJ747)=0)),"شماره چک پاس‌شده معتبر نیست",""))))</f>
        <v/>
      </c>
      <c r="V747">
        <f>IF($K747="","",IF(ISNUMBER(Sync!$AK747),Sync!$AK747,LEFT(Sync!$AK747,4)&amp;MID(Sync!$AK747,6,2)&amp;RIGHT(Sync!$AK747,2))&amp;"|"&amp;"4"&amp;RIGHT("00000"&amp;742,5))</f>
        <v/>
      </c>
      <c r="W747">
        <f>IF($V747="",0,COUNTIFS($V$6:$V$2005,"&lt;"&amp;$V747)-COUNTIFS($V$6:$V$2005,"&lt;"&amp;$V747,$K$6:$K$2005,"")+1)</f>
        <v/>
      </c>
      <c r="X747">
        <f>IF(Sync!$AX747="","",IF(OR(N(Sync!$AY747)=0,N(Sync!$AZ747)=0),"",ROUND(N(Sync!$AY747)*N(Sync!$AZ747),0)))</f>
        <v/>
      </c>
      <c r="Y747">
        <f>IF($X747="","",IF(OR(Sync!$AX747="",COUNTIF(AcctCodesA,Sync!$AX747)=0),"متفرقه",Sync!$AX747))</f>
        <v/>
      </c>
      <c r="Z747">
        <f>IF($X747="","","سبد و ظروف")</f>
        <v/>
      </c>
      <c r="AA747">
        <f>IF($X747="","",$Y747)</f>
        <v/>
      </c>
    </row>
    <row r="748">
      <c r="A748">
        <f>IF(Sync!$Z748="","",LEFT(UPPER(TRIM(Sync!$Z748)),6))</f>
        <v/>
      </c>
      <c r="B748">
        <f>IF($A748="","",IF(Sync!$AA748="","",Sync!$AA748))</f>
        <v/>
      </c>
      <c r="C748">
        <f>IF($A748="","",IF(Sync!$AB748="","",Sync!$AB748))</f>
        <v/>
      </c>
      <c r="D748">
        <f>IF($A748="","",IF(Sync!$AC748="","",Sync!$AC748))</f>
        <v/>
      </c>
      <c r="E748">
        <f>IF($A748="","",IF(Sync!$AD748="","",Sync!$AD748))</f>
        <v/>
      </c>
      <c r="F748">
        <f>IF($A748="","",IF(Sync!$AE748="",0,Sync!$AE748))</f>
        <v/>
      </c>
      <c r="G748">
        <f>IF($A748="","",IF(Sync!$AF748="",0,Sync!$AF748))</f>
        <v/>
      </c>
      <c r="H748">
        <f>IF(OR($A748="",ROUND($F748+$G748,2)=0),"",$F748+$G748)</f>
        <v/>
      </c>
      <c r="I748">
        <f>IF($H748="","",IF(ROUND($F748,2)&gt;0,$A748,IF($D748="شخصی قاسم","شخصی قاسم",IF($D748="هزینه","هزینه: "&amp;IF($E748="","متفرقه",$E748),IF($C748="پاس چک","چک پرداختی",IF(OR($B748="",COUNTIF(AcctCodesA,$B748)=0),"متفرقه",$B748))))))</f>
        <v/>
      </c>
      <c r="J748">
        <f>IF($H748="","",IF(ROUND($F748,2)&gt;0,IF($D748="شخصی قاسم","شخصی قاسم",IF($D748="هزینه","هزینه: "&amp;IF($E748="","متفرقه",$E748),IF(OR($B748="",COUNTIF(AcctCodesA,$B748)=0),"متفرقه",$B748))),$A748))</f>
        <v/>
      </c>
      <c r="K748">
        <f>IF($A748="","",IF(AND($B748&lt;&gt;"",COUNTIF(AcctCodesA,$B748)=0),"کد طرف در INFO تعریف نشده",IF(AND($D748="هزینه",$E748=""),"هزینه بدون زیرگروه",IF(AND($C748="پاس چک",OR(Sync!$AJ748="",COUNTIF(IssueNosA,Sync!$AJ748)=0)),"شماره چک پاس‌شده معتبر نیست",""))))</f>
        <v/>
      </c>
      <c r="V748">
        <f>IF($K748="","",IF(ISNUMBER(Sync!$AK748),Sync!$AK748,LEFT(Sync!$AK748,4)&amp;MID(Sync!$AK748,6,2)&amp;RIGHT(Sync!$AK748,2))&amp;"|"&amp;"4"&amp;RIGHT("00000"&amp;743,5))</f>
        <v/>
      </c>
      <c r="W748">
        <f>IF($V748="",0,COUNTIFS($V$6:$V$2005,"&lt;"&amp;$V748)-COUNTIFS($V$6:$V$2005,"&lt;"&amp;$V748,$K$6:$K$2005,"")+1)</f>
        <v/>
      </c>
      <c r="X748">
        <f>IF(Sync!$AX748="","",IF(OR(N(Sync!$AY748)=0,N(Sync!$AZ748)=0),"",ROUND(N(Sync!$AY748)*N(Sync!$AZ748),0)))</f>
        <v/>
      </c>
      <c r="Y748">
        <f>IF($X748="","",IF(OR(Sync!$AX748="",COUNTIF(AcctCodesA,Sync!$AX748)=0),"متفرقه",Sync!$AX748))</f>
        <v/>
      </c>
      <c r="Z748">
        <f>IF($X748="","","سبد و ظروف")</f>
        <v/>
      </c>
      <c r="AA748">
        <f>IF($X748="","",$Y748)</f>
        <v/>
      </c>
    </row>
    <row r="749">
      <c r="A749">
        <f>IF(Sync!$Z749="","",LEFT(UPPER(TRIM(Sync!$Z749)),6))</f>
        <v/>
      </c>
      <c r="B749">
        <f>IF($A749="","",IF(Sync!$AA749="","",Sync!$AA749))</f>
        <v/>
      </c>
      <c r="C749">
        <f>IF($A749="","",IF(Sync!$AB749="","",Sync!$AB749))</f>
        <v/>
      </c>
      <c r="D749">
        <f>IF($A749="","",IF(Sync!$AC749="","",Sync!$AC749))</f>
        <v/>
      </c>
      <c r="E749">
        <f>IF($A749="","",IF(Sync!$AD749="","",Sync!$AD749))</f>
        <v/>
      </c>
      <c r="F749">
        <f>IF($A749="","",IF(Sync!$AE749="",0,Sync!$AE749))</f>
        <v/>
      </c>
      <c r="G749">
        <f>IF($A749="","",IF(Sync!$AF749="",0,Sync!$AF749))</f>
        <v/>
      </c>
      <c r="H749">
        <f>IF(OR($A749="",ROUND($F749+$G749,2)=0),"",$F749+$G749)</f>
        <v/>
      </c>
      <c r="I749">
        <f>IF($H749="","",IF(ROUND($F749,2)&gt;0,$A749,IF($D749="شخصی قاسم","شخصی قاسم",IF($D749="هزینه","هزینه: "&amp;IF($E749="","متفرقه",$E749),IF($C749="پاس چک","چک پرداختی",IF(OR($B749="",COUNTIF(AcctCodesA,$B749)=0),"متفرقه",$B749))))))</f>
        <v/>
      </c>
      <c r="J749">
        <f>IF($H749="","",IF(ROUND($F749,2)&gt;0,IF($D749="شخصی قاسم","شخصی قاسم",IF($D749="هزینه","هزینه: "&amp;IF($E749="","متفرقه",$E749),IF(OR($B749="",COUNTIF(AcctCodesA,$B749)=0),"متفرقه",$B749))),$A749))</f>
        <v/>
      </c>
      <c r="K749">
        <f>IF($A749="","",IF(AND($B749&lt;&gt;"",COUNTIF(AcctCodesA,$B749)=0),"کد طرف در INFO تعریف نشده",IF(AND($D749="هزینه",$E749=""),"هزینه بدون زیرگروه",IF(AND($C749="پاس چک",OR(Sync!$AJ749="",COUNTIF(IssueNosA,Sync!$AJ749)=0)),"شماره چک پاس‌شده معتبر نیست",""))))</f>
        <v/>
      </c>
      <c r="V749">
        <f>IF($K749="","",IF(ISNUMBER(Sync!$AK749),Sync!$AK749,LEFT(Sync!$AK749,4)&amp;MID(Sync!$AK749,6,2)&amp;RIGHT(Sync!$AK749,2))&amp;"|"&amp;"4"&amp;RIGHT("00000"&amp;744,5))</f>
        <v/>
      </c>
      <c r="W749">
        <f>IF($V749="",0,COUNTIFS($V$6:$V$2005,"&lt;"&amp;$V749)-COUNTIFS($V$6:$V$2005,"&lt;"&amp;$V749,$K$6:$K$2005,"")+1)</f>
        <v/>
      </c>
      <c r="X749">
        <f>IF(Sync!$AX749="","",IF(OR(N(Sync!$AY749)=0,N(Sync!$AZ749)=0),"",ROUND(N(Sync!$AY749)*N(Sync!$AZ749),0)))</f>
        <v/>
      </c>
      <c r="Y749">
        <f>IF($X749="","",IF(OR(Sync!$AX749="",COUNTIF(AcctCodesA,Sync!$AX749)=0),"متفرقه",Sync!$AX749))</f>
        <v/>
      </c>
      <c r="Z749">
        <f>IF($X749="","","سبد و ظروف")</f>
        <v/>
      </c>
      <c r="AA749">
        <f>IF($X749="","",$Y749)</f>
        <v/>
      </c>
    </row>
    <row r="750">
      <c r="A750">
        <f>IF(Sync!$Z750="","",LEFT(UPPER(TRIM(Sync!$Z750)),6))</f>
        <v/>
      </c>
      <c r="B750">
        <f>IF($A750="","",IF(Sync!$AA750="","",Sync!$AA750))</f>
        <v/>
      </c>
      <c r="C750">
        <f>IF($A750="","",IF(Sync!$AB750="","",Sync!$AB750))</f>
        <v/>
      </c>
      <c r="D750">
        <f>IF($A750="","",IF(Sync!$AC750="","",Sync!$AC750))</f>
        <v/>
      </c>
      <c r="E750">
        <f>IF($A750="","",IF(Sync!$AD750="","",Sync!$AD750))</f>
        <v/>
      </c>
      <c r="F750">
        <f>IF($A750="","",IF(Sync!$AE750="",0,Sync!$AE750))</f>
        <v/>
      </c>
      <c r="G750">
        <f>IF($A750="","",IF(Sync!$AF750="",0,Sync!$AF750))</f>
        <v/>
      </c>
      <c r="H750">
        <f>IF(OR($A750="",ROUND($F750+$G750,2)=0),"",$F750+$G750)</f>
        <v/>
      </c>
      <c r="I750">
        <f>IF($H750="","",IF(ROUND($F750,2)&gt;0,$A750,IF($D750="شخصی قاسم","شخصی قاسم",IF($D750="هزینه","هزینه: "&amp;IF($E750="","متفرقه",$E750),IF($C750="پاس چک","چک پرداختی",IF(OR($B750="",COUNTIF(AcctCodesA,$B750)=0),"متفرقه",$B750))))))</f>
        <v/>
      </c>
      <c r="J750">
        <f>IF($H750="","",IF(ROUND($F750,2)&gt;0,IF($D750="شخصی قاسم","شخصی قاسم",IF($D750="هزینه","هزینه: "&amp;IF($E750="","متفرقه",$E750),IF(OR($B750="",COUNTIF(AcctCodesA,$B750)=0),"متفرقه",$B750))),$A750))</f>
        <v/>
      </c>
      <c r="K750">
        <f>IF($A750="","",IF(AND($B750&lt;&gt;"",COUNTIF(AcctCodesA,$B750)=0),"کد طرف در INFO تعریف نشده",IF(AND($D750="هزینه",$E750=""),"هزینه بدون زیرگروه",IF(AND($C750="پاس چک",OR(Sync!$AJ750="",COUNTIF(IssueNosA,Sync!$AJ750)=0)),"شماره چک پاس‌شده معتبر نیست",""))))</f>
        <v/>
      </c>
      <c r="V750">
        <f>IF($K750="","",IF(ISNUMBER(Sync!$AK750),Sync!$AK750,LEFT(Sync!$AK750,4)&amp;MID(Sync!$AK750,6,2)&amp;RIGHT(Sync!$AK750,2))&amp;"|"&amp;"4"&amp;RIGHT("00000"&amp;745,5))</f>
        <v/>
      </c>
      <c r="W750">
        <f>IF($V750="",0,COUNTIFS($V$6:$V$2005,"&lt;"&amp;$V750)-COUNTIFS($V$6:$V$2005,"&lt;"&amp;$V750,$K$6:$K$2005,"")+1)</f>
        <v/>
      </c>
      <c r="X750">
        <f>IF(Sync!$AX750="","",IF(OR(N(Sync!$AY750)=0,N(Sync!$AZ750)=0),"",ROUND(N(Sync!$AY750)*N(Sync!$AZ750),0)))</f>
        <v/>
      </c>
      <c r="Y750">
        <f>IF($X750="","",IF(OR(Sync!$AX750="",COUNTIF(AcctCodesA,Sync!$AX750)=0),"متفرقه",Sync!$AX750))</f>
        <v/>
      </c>
      <c r="Z750">
        <f>IF($X750="","","سبد و ظروف")</f>
        <v/>
      </c>
      <c r="AA750">
        <f>IF($X750="","",$Y750)</f>
        <v/>
      </c>
    </row>
    <row r="751">
      <c r="A751">
        <f>IF(Sync!$Z751="","",LEFT(UPPER(TRIM(Sync!$Z751)),6))</f>
        <v/>
      </c>
      <c r="B751">
        <f>IF($A751="","",IF(Sync!$AA751="","",Sync!$AA751))</f>
        <v/>
      </c>
      <c r="C751">
        <f>IF($A751="","",IF(Sync!$AB751="","",Sync!$AB751))</f>
        <v/>
      </c>
      <c r="D751">
        <f>IF($A751="","",IF(Sync!$AC751="","",Sync!$AC751))</f>
        <v/>
      </c>
      <c r="E751">
        <f>IF($A751="","",IF(Sync!$AD751="","",Sync!$AD751))</f>
        <v/>
      </c>
      <c r="F751">
        <f>IF($A751="","",IF(Sync!$AE751="",0,Sync!$AE751))</f>
        <v/>
      </c>
      <c r="G751">
        <f>IF($A751="","",IF(Sync!$AF751="",0,Sync!$AF751))</f>
        <v/>
      </c>
      <c r="H751">
        <f>IF(OR($A751="",ROUND($F751+$G751,2)=0),"",$F751+$G751)</f>
        <v/>
      </c>
      <c r="I751">
        <f>IF($H751="","",IF(ROUND($F751,2)&gt;0,$A751,IF($D751="شخصی قاسم","شخصی قاسم",IF($D751="هزینه","هزینه: "&amp;IF($E751="","متفرقه",$E751),IF($C751="پاس چک","چک پرداختی",IF(OR($B751="",COUNTIF(AcctCodesA,$B751)=0),"متفرقه",$B751))))))</f>
        <v/>
      </c>
      <c r="J751">
        <f>IF($H751="","",IF(ROUND($F751,2)&gt;0,IF($D751="شخصی قاسم","شخصی قاسم",IF($D751="هزینه","هزینه: "&amp;IF($E751="","متفرقه",$E751),IF(OR($B751="",COUNTIF(AcctCodesA,$B751)=0),"متفرقه",$B751))),$A751))</f>
        <v/>
      </c>
      <c r="K751">
        <f>IF($A751="","",IF(AND($B751&lt;&gt;"",COUNTIF(AcctCodesA,$B751)=0),"کد طرف در INFO تعریف نشده",IF(AND($D751="هزینه",$E751=""),"هزینه بدون زیرگروه",IF(AND($C751="پاس چک",OR(Sync!$AJ751="",COUNTIF(IssueNosA,Sync!$AJ751)=0)),"شماره چک پاس‌شده معتبر نیست",""))))</f>
        <v/>
      </c>
      <c r="V751">
        <f>IF($K751="","",IF(ISNUMBER(Sync!$AK751),Sync!$AK751,LEFT(Sync!$AK751,4)&amp;MID(Sync!$AK751,6,2)&amp;RIGHT(Sync!$AK751,2))&amp;"|"&amp;"4"&amp;RIGHT("00000"&amp;746,5))</f>
        <v/>
      </c>
      <c r="W751">
        <f>IF($V751="",0,COUNTIFS($V$6:$V$2005,"&lt;"&amp;$V751)-COUNTIFS($V$6:$V$2005,"&lt;"&amp;$V751,$K$6:$K$2005,"")+1)</f>
        <v/>
      </c>
      <c r="X751">
        <f>IF(Sync!$AX751="","",IF(OR(N(Sync!$AY751)=0,N(Sync!$AZ751)=0),"",ROUND(N(Sync!$AY751)*N(Sync!$AZ751),0)))</f>
        <v/>
      </c>
      <c r="Y751">
        <f>IF($X751="","",IF(OR(Sync!$AX751="",COUNTIF(AcctCodesA,Sync!$AX751)=0),"متفرقه",Sync!$AX751))</f>
        <v/>
      </c>
      <c r="Z751">
        <f>IF($X751="","","سبد و ظروف")</f>
        <v/>
      </c>
      <c r="AA751">
        <f>IF($X751="","",$Y751)</f>
        <v/>
      </c>
    </row>
    <row r="752">
      <c r="A752">
        <f>IF(Sync!$Z752="","",LEFT(UPPER(TRIM(Sync!$Z752)),6))</f>
        <v/>
      </c>
      <c r="B752">
        <f>IF($A752="","",IF(Sync!$AA752="","",Sync!$AA752))</f>
        <v/>
      </c>
      <c r="C752">
        <f>IF($A752="","",IF(Sync!$AB752="","",Sync!$AB752))</f>
        <v/>
      </c>
      <c r="D752">
        <f>IF($A752="","",IF(Sync!$AC752="","",Sync!$AC752))</f>
        <v/>
      </c>
      <c r="E752">
        <f>IF($A752="","",IF(Sync!$AD752="","",Sync!$AD752))</f>
        <v/>
      </c>
      <c r="F752">
        <f>IF($A752="","",IF(Sync!$AE752="",0,Sync!$AE752))</f>
        <v/>
      </c>
      <c r="G752">
        <f>IF($A752="","",IF(Sync!$AF752="",0,Sync!$AF752))</f>
        <v/>
      </c>
      <c r="H752">
        <f>IF(OR($A752="",ROUND($F752+$G752,2)=0),"",$F752+$G752)</f>
        <v/>
      </c>
      <c r="I752">
        <f>IF($H752="","",IF(ROUND($F752,2)&gt;0,$A752,IF($D752="شخصی قاسم","شخصی قاسم",IF($D752="هزینه","هزینه: "&amp;IF($E752="","متفرقه",$E752),IF($C752="پاس چک","چک پرداختی",IF(OR($B752="",COUNTIF(AcctCodesA,$B752)=0),"متفرقه",$B752))))))</f>
        <v/>
      </c>
      <c r="J752">
        <f>IF($H752="","",IF(ROUND($F752,2)&gt;0,IF($D752="شخصی قاسم","شخصی قاسم",IF($D752="هزینه","هزینه: "&amp;IF($E752="","متفرقه",$E752),IF(OR($B752="",COUNTIF(AcctCodesA,$B752)=0),"متفرقه",$B752))),$A752))</f>
        <v/>
      </c>
      <c r="K752">
        <f>IF($A752="","",IF(AND($B752&lt;&gt;"",COUNTIF(AcctCodesA,$B752)=0),"کد طرف در INFO تعریف نشده",IF(AND($D752="هزینه",$E752=""),"هزینه بدون زیرگروه",IF(AND($C752="پاس چک",OR(Sync!$AJ752="",COUNTIF(IssueNosA,Sync!$AJ752)=0)),"شماره چک پاس‌شده معتبر نیست",""))))</f>
        <v/>
      </c>
      <c r="V752">
        <f>IF($K752="","",IF(ISNUMBER(Sync!$AK752),Sync!$AK752,LEFT(Sync!$AK752,4)&amp;MID(Sync!$AK752,6,2)&amp;RIGHT(Sync!$AK752,2))&amp;"|"&amp;"4"&amp;RIGHT("00000"&amp;747,5))</f>
        <v/>
      </c>
      <c r="W752">
        <f>IF($V752="",0,COUNTIFS($V$6:$V$2005,"&lt;"&amp;$V752)-COUNTIFS($V$6:$V$2005,"&lt;"&amp;$V752,$K$6:$K$2005,"")+1)</f>
        <v/>
      </c>
      <c r="X752">
        <f>IF(Sync!$AX752="","",IF(OR(N(Sync!$AY752)=0,N(Sync!$AZ752)=0),"",ROUND(N(Sync!$AY752)*N(Sync!$AZ752),0)))</f>
        <v/>
      </c>
      <c r="Y752">
        <f>IF($X752="","",IF(OR(Sync!$AX752="",COUNTIF(AcctCodesA,Sync!$AX752)=0),"متفرقه",Sync!$AX752))</f>
        <v/>
      </c>
      <c r="Z752">
        <f>IF($X752="","","سبد و ظروف")</f>
        <v/>
      </c>
      <c r="AA752">
        <f>IF($X752="","",$Y752)</f>
        <v/>
      </c>
    </row>
    <row r="753">
      <c r="A753">
        <f>IF(Sync!$Z753="","",LEFT(UPPER(TRIM(Sync!$Z753)),6))</f>
        <v/>
      </c>
      <c r="B753">
        <f>IF($A753="","",IF(Sync!$AA753="","",Sync!$AA753))</f>
        <v/>
      </c>
      <c r="C753">
        <f>IF($A753="","",IF(Sync!$AB753="","",Sync!$AB753))</f>
        <v/>
      </c>
      <c r="D753">
        <f>IF($A753="","",IF(Sync!$AC753="","",Sync!$AC753))</f>
        <v/>
      </c>
      <c r="E753">
        <f>IF($A753="","",IF(Sync!$AD753="","",Sync!$AD753))</f>
        <v/>
      </c>
      <c r="F753">
        <f>IF($A753="","",IF(Sync!$AE753="",0,Sync!$AE753))</f>
        <v/>
      </c>
      <c r="G753">
        <f>IF($A753="","",IF(Sync!$AF753="",0,Sync!$AF753))</f>
        <v/>
      </c>
      <c r="H753">
        <f>IF(OR($A753="",ROUND($F753+$G753,2)=0),"",$F753+$G753)</f>
        <v/>
      </c>
      <c r="I753">
        <f>IF($H753="","",IF(ROUND($F753,2)&gt;0,$A753,IF($D753="شخصی قاسم","شخصی قاسم",IF($D753="هزینه","هزینه: "&amp;IF($E753="","متفرقه",$E753),IF($C753="پاس چک","چک پرداختی",IF(OR($B753="",COUNTIF(AcctCodesA,$B753)=0),"متفرقه",$B753))))))</f>
        <v/>
      </c>
      <c r="J753">
        <f>IF($H753="","",IF(ROUND($F753,2)&gt;0,IF($D753="شخصی قاسم","شخصی قاسم",IF($D753="هزینه","هزینه: "&amp;IF($E753="","متفرقه",$E753),IF(OR($B753="",COUNTIF(AcctCodesA,$B753)=0),"متفرقه",$B753))),$A753))</f>
        <v/>
      </c>
      <c r="K753">
        <f>IF($A753="","",IF(AND($B753&lt;&gt;"",COUNTIF(AcctCodesA,$B753)=0),"کد طرف در INFO تعریف نشده",IF(AND($D753="هزینه",$E753=""),"هزینه بدون زیرگروه",IF(AND($C753="پاس چک",OR(Sync!$AJ753="",COUNTIF(IssueNosA,Sync!$AJ753)=0)),"شماره چک پاس‌شده معتبر نیست",""))))</f>
        <v/>
      </c>
      <c r="V753">
        <f>IF($K753="","",IF(ISNUMBER(Sync!$AK753),Sync!$AK753,LEFT(Sync!$AK753,4)&amp;MID(Sync!$AK753,6,2)&amp;RIGHT(Sync!$AK753,2))&amp;"|"&amp;"4"&amp;RIGHT("00000"&amp;748,5))</f>
        <v/>
      </c>
      <c r="W753">
        <f>IF($V753="",0,COUNTIFS($V$6:$V$2005,"&lt;"&amp;$V753)-COUNTIFS($V$6:$V$2005,"&lt;"&amp;$V753,$K$6:$K$2005,"")+1)</f>
        <v/>
      </c>
      <c r="X753">
        <f>IF(Sync!$AX753="","",IF(OR(N(Sync!$AY753)=0,N(Sync!$AZ753)=0),"",ROUND(N(Sync!$AY753)*N(Sync!$AZ753),0)))</f>
        <v/>
      </c>
      <c r="Y753">
        <f>IF($X753="","",IF(OR(Sync!$AX753="",COUNTIF(AcctCodesA,Sync!$AX753)=0),"متفرقه",Sync!$AX753))</f>
        <v/>
      </c>
      <c r="Z753">
        <f>IF($X753="","","سبد و ظروف")</f>
        <v/>
      </c>
      <c r="AA753">
        <f>IF($X753="","",$Y753)</f>
        <v/>
      </c>
    </row>
    <row r="754">
      <c r="A754">
        <f>IF(Sync!$Z754="","",LEFT(UPPER(TRIM(Sync!$Z754)),6))</f>
        <v/>
      </c>
      <c r="B754">
        <f>IF($A754="","",IF(Sync!$AA754="","",Sync!$AA754))</f>
        <v/>
      </c>
      <c r="C754">
        <f>IF($A754="","",IF(Sync!$AB754="","",Sync!$AB754))</f>
        <v/>
      </c>
      <c r="D754">
        <f>IF($A754="","",IF(Sync!$AC754="","",Sync!$AC754))</f>
        <v/>
      </c>
      <c r="E754">
        <f>IF($A754="","",IF(Sync!$AD754="","",Sync!$AD754))</f>
        <v/>
      </c>
      <c r="F754">
        <f>IF($A754="","",IF(Sync!$AE754="",0,Sync!$AE754))</f>
        <v/>
      </c>
      <c r="G754">
        <f>IF($A754="","",IF(Sync!$AF754="",0,Sync!$AF754))</f>
        <v/>
      </c>
      <c r="H754">
        <f>IF(OR($A754="",ROUND($F754+$G754,2)=0),"",$F754+$G754)</f>
        <v/>
      </c>
      <c r="I754">
        <f>IF($H754="","",IF(ROUND($F754,2)&gt;0,$A754,IF($D754="شخصی قاسم","شخصی قاسم",IF($D754="هزینه","هزینه: "&amp;IF($E754="","متفرقه",$E754),IF($C754="پاس چک","چک پرداختی",IF(OR($B754="",COUNTIF(AcctCodesA,$B754)=0),"متفرقه",$B754))))))</f>
        <v/>
      </c>
      <c r="J754">
        <f>IF($H754="","",IF(ROUND($F754,2)&gt;0,IF($D754="شخصی قاسم","شخصی قاسم",IF($D754="هزینه","هزینه: "&amp;IF($E754="","متفرقه",$E754),IF(OR($B754="",COUNTIF(AcctCodesA,$B754)=0),"متفرقه",$B754))),$A754))</f>
        <v/>
      </c>
      <c r="K754">
        <f>IF($A754="","",IF(AND($B754&lt;&gt;"",COUNTIF(AcctCodesA,$B754)=0),"کد طرف در INFO تعریف نشده",IF(AND($D754="هزینه",$E754=""),"هزینه بدون زیرگروه",IF(AND($C754="پاس چک",OR(Sync!$AJ754="",COUNTIF(IssueNosA,Sync!$AJ754)=0)),"شماره چک پاس‌شده معتبر نیست",""))))</f>
        <v/>
      </c>
      <c r="V754">
        <f>IF($K754="","",IF(ISNUMBER(Sync!$AK754),Sync!$AK754,LEFT(Sync!$AK754,4)&amp;MID(Sync!$AK754,6,2)&amp;RIGHT(Sync!$AK754,2))&amp;"|"&amp;"4"&amp;RIGHT("00000"&amp;749,5))</f>
        <v/>
      </c>
      <c r="W754">
        <f>IF($V754="",0,COUNTIFS($V$6:$V$2005,"&lt;"&amp;$V754)-COUNTIFS($V$6:$V$2005,"&lt;"&amp;$V754,$K$6:$K$2005,"")+1)</f>
        <v/>
      </c>
      <c r="X754">
        <f>IF(Sync!$AX754="","",IF(OR(N(Sync!$AY754)=0,N(Sync!$AZ754)=0),"",ROUND(N(Sync!$AY754)*N(Sync!$AZ754),0)))</f>
        <v/>
      </c>
      <c r="Y754">
        <f>IF($X754="","",IF(OR(Sync!$AX754="",COUNTIF(AcctCodesA,Sync!$AX754)=0),"متفرقه",Sync!$AX754))</f>
        <v/>
      </c>
      <c r="Z754">
        <f>IF($X754="","","سبد و ظروف")</f>
        <v/>
      </c>
      <c r="AA754">
        <f>IF($X754="","",$Y754)</f>
        <v/>
      </c>
    </row>
    <row r="755">
      <c r="A755">
        <f>IF(Sync!$Z755="","",LEFT(UPPER(TRIM(Sync!$Z755)),6))</f>
        <v/>
      </c>
      <c r="B755">
        <f>IF($A755="","",IF(Sync!$AA755="","",Sync!$AA755))</f>
        <v/>
      </c>
      <c r="C755">
        <f>IF($A755="","",IF(Sync!$AB755="","",Sync!$AB755))</f>
        <v/>
      </c>
      <c r="D755">
        <f>IF($A755="","",IF(Sync!$AC755="","",Sync!$AC755))</f>
        <v/>
      </c>
      <c r="E755">
        <f>IF($A755="","",IF(Sync!$AD755="","",Sync!$AD755))</f>
        <v/>
      </c>
      <c r="F755">
        <f>IF($A755="","",IF(Sync!$AE755="",0,Sync!$AE755))</f>
        <v/>
      </c>
      <c r="G755">
        <f>IF($A755="","",IF(Sync!$AF755="",0,Sync!$AF755))</f>
        <v/>
      </c>
      <c r="H755">
        <f>IF(OR($A755="",ROUND($F755+$G755,2)=0),"",$F755+$G755)</f>
        <v/>
      </c>
      <c r="I755">
        <f>IF($H755="","",IF(ROUND($F755,2)&gt;0,$A755,IF($D755="شخصی قاسم","شخصی قاسم",IF($D755="هزینه","هزینه: "&amp;IF($E755="","متفرقه",$E755),IF($C755="پاس چک","چک پرداختی",IF(OR($B755="",COUNTIF(AcctCodesA,$B755)=0),"متفرقه",$B755))))))</f>
        <v/>
      </c>
      <c r="J755">
        <f>IF($H755="","",IF(ROUND($F755,2)&gt;0,IF($D755="شخصی قاسم","شخصی قاسم",IF($D755="هزینه","هزینه: "&amp;IF($E755="","متفرقه",$E755),IF(OR($B755="",COUNTIF(AcctCodesA,$B755)=0),"متفرقه",$B755))),$A755))</f>
        <v/>
      </c>
      <c r="K755">
        <f>IF($A755="","",IF(AND($B755&lt;&gt;"",COUNTIF(AcctCodesA,$B755)=0),"کد طرف در INFO تعریف نشده",IF(AND($D755="هزینه",$E755=""),"هزینه بدون زیرگروه",IF(AND($C755="پاس چک",OR(Sync!$AJ755="",COUNTIF(IssueNosA,Sync!$AJ755)=0)),"شماره چک پاس‌شده معتبر نیست",""))))</f>
        <v/>
      </c>
      <c r="V755">
        <f>IF($K755="","",IF(ISNUMBER(Sync!$AK755),Sync!$AK755,LEFT(Sync!$AK755,4)&amp;MID(Sync!$AK755,6,2)&amp;RIGHT(Sync!$AK755,2))&amp;"|"&amp;"4"&amp;RIGHT("00000"&amp;750,5))</f>
        <v/>
      </c>
      <c r="W755">
        <f>IF($V755="",0,COUNTIFS($V$6:$V$2005,"&lt;"&amp;$V755)-COUNTIFS($V$6:$V$2005,"&lt;"&amp;$V755,$K$6:$K$2005,"")+1)</f>
        <v/>
      </c>
      <c r="X755">
        <f>IF(Sync!$AX755="","",IF(OR(N(Sync!$AY755)=0,N(Sync!$AZ755)=0),"",ROUND(N(Sync!$AY755)*N(Sync!$AZ755),0)))</f>
        <v/>
      </c>
      <c r="Y755">
        <f>IF($X755="","",IF(OR(Sync!$AX755="",COUNTIF(AcctCodesA,Sync!$AX755)=0),"متفرقه",Sync!$AX755))</f>
        <v/>
      </c>
      <c r="Z755">
        <f>IF($X755="","","سبد و ظروف")</f>
        <v/>
      </c>
      <c r="AA755">
        <f>IF($X755="","",$Y755)</f>
        <v/>
      </c>
    </row>
    <row r="756">
      <c r="A756">
        <f>IF(Sync!$Z756="","",LEFT(UPPER(TRIM(Sync!$Z756)),6))</f>
        <v/>
      </c>
      <c r="B756">
        <f>IF($A756="","",IF(Sync!$AA756="","",Sync!$AA756))</f>
        <v/>
      </c>
      <c r="C756">
        <f>IF($A756="","",IF(Sync!$AB756="","",Sync!$AB756))</f>
        <v/>
      </c>
      <c r="D756">
        <f>IF($A756="","",IF(Sync!$AC756="","",Sync!$AC756))</f>
        <v/>
      </c>
      <c r="E756">
        <f>IF($A756="","",IF(Sync!$AD756="","",Sync!$AD756))</f>
        <v/>
      </c>
      <c r="F756">
        <f>IF($A756="","",IF(Sync!$AE756="",0,Sync!$AE756))</f>
        <v/>
      </c>
      <c r="G756">
        <f>IF($A756="","",IF(Sync!$AF756="",0,Sync!$AF756))</f>
        <v/>
      </c>
      <c r="H756">
        <f>IF(OR($A756="",ROUND($F756+$G756,2)=0),"",$F756+$G756)</f>
        <v/>
      </c>
      <c r="I756">
        <f>IF($H756="","",IF(ROUND($F756,2)&gt;0,$A756,IF($D756="شخصی قاسم","شخصی قاسم",IF($D756="هزینه","هزینه: "&amp;IF($E756="","متفرقه",$E756),IF($C756="پاس چک","چک پرداختی",IF(OR($B756="",COUNTIF(AcctCodesA,$B756)=0),"متفرقه",$B756))))))</f>
        <v/>
      </c>
      <c r="J756">
        <f>IF($H756="","",IF(ROUND($F756,2)&gt;0,IF($D756="شخصی قاسم","شخصی قاسم",IF($D756="هزینه","هزینه: "&amp;IF($E756="","متفرقه",$E756),IF(OR($B756="",COUNTIF(AcctCodesA,$B756)=0),"متفرقه",$B756))),$A756))</f>
        <v/>
      </c>
      <c r="K756">
        <f>IF($A756="","",IF(AND($B756&lt;&gt;"",COUNTIF(AcctCodesA,$B756)=0),"کد طرف در INFO تعریف نشده",IF(AND($D756="هزینه",$E756=""),"هزینه بدون زیرگروه",IF(AND($C756="پاس چک",OR(Sync!$AJ756="",COUNTIF(IssueNosA,Sync!$AJ756)=0)),"شماره چک پاس‌شده معتبر نیست",""))))</f>
        <v/>
      </c>
      <c r="V756">
        <f>IF($K756="","",IF(ISNUMBER(Sync!$AK756),Sync!$AK756,LEFT(Sync!$AK756,4)&amp;MID(Sync!$AK756,6,2)&amp;RIGHT(Sync!$AK756,2))&amp;"|"&amp;"4"&amp;RIGHT("00000"&amp;751,5))</f>
        <v/>
      </c>
      <c r="W756">
        <f>IF($V756="",0,COUNTIFS($V$6:$V$2005,"&lt;"&amp;$V756)-COUNTIFS($V$6:$V$2005,"&lt;"&amp;$V756,$K$6:$K$2005,"")+1)</f>
        <v/>
      </c>
      <c r="X756">
        <f>IF(Sync!$AX756="","",IF(OR(N(Sync!$AY756)=0,N(Sync!$AZ756)=0),"",ROUND(N(Sync!$AY756)*N(Sync!$AZ756),0)))</f>
        <v/>
      </c>
      <c r="Y756">
        <f>IF($X756="","",IF(OR(Sync!$AX756="",COUNTIF(AcctCodesA,Sync!$AX756)=0),"متفرقه",Sync!$AX756))</f>
        <v/>
      </c>
      <c r="Z756">
        <f>IF($X756="","","سبد و ظروف")</f>
        <v/>
      </c>
      <c r="AA756">
        <f>IF($X756="","",$Y756)</f>
        <v/>
      </c>
    </row>
    <row r="757">
      <c r="A757">
        <f>IF(Sync!$Z757="","",LEFT(UPPER(TRIM(Sync!$Z757)),6))</f>
        <v/>
      </c>
      <c r="B757">
        <f>IF($A757="","",IF(Sync!$AA757="","",Sync!$AA757))</f>
        <v/>
      </c>
      <c r="C757">
        <f>IF($A757="","",IF(Sync!$AB757="","",Sync!$AB757))</f>
        <v/>
      </c>
      <c r="D757">
        <f>IF($A757="","",IF(Sync!$AC757="","",Sync!$AC757))</f>
        <v/>
      </c>
      <c r="E757">
        <f>IF($A757="","",IF(Sync!$AD757="","",Sync!$AD757))</f>
        <v/>
      </c>
      <c r="F757">
        <f>IF($A757="","",IF(Sync!$AE757="",0,Sync!$AE757))</f>
        <v/>
      </c>
      <c r="G757">
        <f>IF($A757="","",IF(Sync!$AF757="",0,Sync!$AF757))</f>
        <v/>
      </c>
      <c r="H757">
        <f>IF(OR($A757="",ROUND($F757+$G757,2)=0),"",$F757+$G757)</f>
        <v/>
      </c>
      <c r="I757">
        <f>IF($H757="","",IF(ROUND($F757,2)&gt;0,$A757,IF($D757="شخصی قاسم","شخصی قاسم",IF($D757="هزینه","هزینه: "&amp;IF($E757="","متفرقه",$E757),IF($C757="پاس چک","چک پرداختی",IF(OR($B757="",COUNTIF(AcctCodesA,$B757)=0),"متفرقه",$B757))))))</f>
        <v/>
      </c>
      <c r="J757">
        <f>IF($H757="","",IF(ROUND($F757,2)&gt;0,IF($D757="شخصی قاسم","شخصی قاسم",IF($D757="هزینه","هزینه: "&amp;IF($E757="","متفرقه",$E757),IF(OR($B757="",COUNTIF(AcctCodesA,$B757)=0),"متفرقه",$B757))),$A757))</f>
        <v/>
      </c>
      <c r="K757">
        <f>IF($A757="","",IF(AND($B757&lt;&gt;"",COUNTIF(AcctCodesA,$B757)=0),"کد طرف در INFO تعریف نشده",IF(AND($D757="هزینه",$E757=""),"هزینه بدون زیرگروه",IF(AND($C757="پاس چک",OR(Sync!$AJ757="",COUNTIF(IssueNosA,Sync!$AJ757)=0)),"شماره چک پاس‌شده معتبر نیست",""))))</f>
        <v/>
      </c>
      <c r="V757">
        <f>IF($K757="","",IF(ISNUMBER(Sync!$AK757),Sync!$AK757,LEFT(Sync!$AK757,4)&amp;MID(Sync!$AK757,6,2)&amp;RIGHT(Sync!$AK757,2))&amp;"|"&amp;"4"&amp;RIGHT("00000"&amp;752,5))</f>
        <v/>
      </c>
      <c r="W757">
        <f>IF($V757="",0,COUNTIFS($V$6:$V$2005,"&lt;"&amp;$V757)-COUNTIFS($V$6:$V$2005,"&lt;"&amp;$V757,$K$6:$K$2005,"")+1)</f>
        <v/>
      </c>
      <c r="X757">
        <f>IF(Sync!$AX757="","",IF(OR(N(Sync!$AY757)=0,N(Sync!$AZ757)=0),"",ROUND(N(Sync!$AY757)*N(Sync!$AZ757),0)))</f>
        <v/>
      </c>
      <c r="Y757">
        <f>IF($X757="","",IF(OR(Sync!$AX757="",COUNTIF(AcctCodesA,Sync!$AX757)=0),"متفرقه",Sync!$AX757))</f>
        <v/>
      </c>
      <c r="Z757">
        <f>IF($X757="","","سبد و ظروف")</f>
        <v/>
      </c>
      <c r="AA757">
        <f>IF($X757="","",$Y757)</f>
        <v/>
      </c>
    </row>
    <row r="758">
      <c r="A758">
        <f>IF(Sync!$Z758="","",LEFT(UPPER(TRIM(Sync!$Z758)),6))</f>
        <v/>
      </c>
      <c r="B758">
        <f>IF($A758="","",IF(Sync!$AA758="","",Sync!$AA758))</f>
        <v/>
      </c>
      <c r="C758">
        <f>IF($A758="","",IF(Sync!$AB758="","",Sync!$AB758))</f>
        <v/>
      </c>
      <c r="D758">
        <f>IF($A758="","",IF(Sync!$AC758="","",Sync!$AC758))</f>
        <v/>
      </c>
      <c r="E758">
        <f>IF($A758="","",IF(Sync!$AD758="","",Sync!$AD758))</f>
        <v/>
      </c>
      <c r="F758">
        <f>IF($A758="","",IF(Sync!$AE758="",0,Sync!$AE758))</f>
        <v/>
      </c>
      <c r="G758">
        <f>IF($A758="","",IF(Sync!$AF758="",0,Sync!$AF758))</f>
        <v/>
      </c>
      <c r="H758">
        <f>IF(OR($A758="",ROUND($F758+$G758,2)=0),"",$F758+$G758)</f>
        <v/>
      </c>
      <c r="I758">
        <f>IF($H758="","",IF(ROUND($F758,2)&gt;0,$A758,IF($D758="شخصی قاسم","شخصی قاسم",IF($D758="هزینه","هزینه: "&amp;IF($E758="","متفرقه",$E758),IF($C758="پاس چک","چک پرداختی",IF(OR($B758="",COUNTIF(AcctCodesA,$B758)=0),"متفرقه",$B758))))))</f>
        <v/>
      </c>
      <c r="J758">
        <f>IF($H758="","",IF(ROUND($F758,2)&gt;0,IF($D758="شخصی قاسم","شخصی قاسم",IF($D758="هزینه","هزینه: "&amp;IF($E758="","متفرقه",$E758),IF(OR($B758="",COUNTIF(AcctCodesA,$B758)=0),"متفرقه",$B758))),$A758))</f>
        <v/>
      </c>
      <c r="K758">
        <f>IF($A758="","",IF(AND($B758&lt;&gt;"",COUNTIF(AcctCodesA,$B758)=0),"کد طرف در INFO تعریف نشده",IF(AND($D758="هزینه",$E758=""),"هزینه بدون زیرگروه",IF(AND($C758="پاس چک",OR(Sync!$AJ758="",COUNTIF(IssueNosA,Sync!$AJ758)=0)),"شماره چک پاس‌شده معتبر نیست",""))))</f>
        <v/>
      </c>
      <c r="V758">
        <f>IF($K758="","",IF(ISNUMBER(Sync!$AK758),Sync!$AK758,LEFT(Sync!$AK758,4)&amp;MID(Sync!$AK758,6,2)&amp;RIGHT(Sync!$AK758,2))&amp;"|"&amp;"4"&amp;RIGHT("00000"&amp;753,5))</f>
        <v/>
      </c>
      <c r="W758">
        <f>IF($V758="",0,COUNTIFS($V$6:$V$2005,"&lt;"&amp;$V758)-COUNTIFS($V$6:$V$2005,"&lt;"&amp;$V758,$K$6:$K$2005,"")+1)</f>
        <v/>
      </c>
      <c r="X758">
        <f>IF(Sync!$AX758="","",IF(OR(N(Sync!$AY758)=0,N(Sync!$AZ758)=0),"",ROUND(N(Sync!$AY758)*N(Sync!$AZ758),0)))</f>
        <v/>
      </c>
      <c r="Y758">
        <f>IF($X758="","",IF(OR(Sync!$AX758="",COUNTIF(AcctCodesA,Sync!$AX758)=0),"متفرقه",Sync!$AX758))</f>
        <v/>
      </c>
      <c r="Z758">
        <f>IF($X758="","","سبد و ظروف")</f>
        <v/>
      </c>
      <c r="AA758">
        <f>IF($X758="","",$Y758)</f>
        <v/>
      </c>
    </row>
    <row r="759">
      <c r="A759">
        <f>IF(Sync!$Z759="","",LEFT(UPPER(TRIM(Sync!$Z759)),6))</f>
        <v/>
      </c>
      <c r="B759">
        <f>IF($A759="","",IF(Sync!$AA759="","",Sync!$AA759))</f>
        <v/>
      </c>
      <c r="C759">
        <f>IF($A759="","",IF(Sync!$AB759="","",Sync!$AB759))</f>
        <v/>
      </c>
      <c r="D759">
        <f>IF($A759="","",IF(Sync!$AC759="","",Sync!$AC759))</f>
        <v/>
      </c>
      <c r="E759">
        <f>IF($A759="","",IF(Sync!$AD759="","",Sync!$AD759))</f>
        <v/>
      </c>
      <c r="F759">
        <f>IF($A759="","",IF(Sync!$AE759="",0,Sync!$AE759))</f>
        <v/>
      </c>
      <c r="G759">
        <f>IF($A759="","",IF(Sync!$AF759="",0,Sync!$AF759))</f>
        <v/>
      </c>
      <c r="H759">
        <f>IF(OR($A759="",ROUND($F759+$G759,2)=0),"",$F759+$G759)</f>
        <v/>
      </c>
      <c r="I759">
        <f>IF($H759="","",IF(ROUND($F759,2)&gt;0,$A759,IF($D759="شخصی قاسم","شخصی قاسم",IF($D759="هزینه","هزینه: "&amp;IF($E759="","متفرقه",$E759),IF($C759="پاس چک","چک پرداختی",IF(OR($B759="",COUNTIF(AcctCodesA,$B759)=0),"متفرقه",$B759))))))</f>
        <v/>
      </c>
      <c r="J759">
        <f>IF($H759="","",IF(ROUND($F759,2)&gt;0,IF($D759="شخصی قاسم","شخصی قاسم",IF($D759="هزینه","هزینه: "&amp;IF($E759="","متفرقه",$E759),IF(OR($B759="",COUNTIF(AcctCodesA,$B759)=0),"متفرقه",$B759))),$A759))</f>
        <v/>
      </c>
      <c r="K759">
        <f>IF($A759="","",IF(AND($B759&lt;&gt;"",COUNTIF(AcctCodesA,$B759)=0),"کد طرف در INFO تعریف نشده",IF(AND($D759="هزینه",$E759=""),"هزینه بدون زیرگروه",IF(AND($C759="پاس چک",OR(Sync!$AJ759="",COUNTIF(IssueNosA,Sync!$AJ759)=0)),"شماره چک پاس‌شده معتبر نیست",""))))</f>
        <v/>
      </c>
      <c r="V759">
        <f>IF($K759="","",IF(ISNUMBER(Sync!$AK759),Sync!$AK759,LEFT(Sync!$AK759,4)&amp;MID(Sync!$AK759,6,2)&amp;RIGHT(Sync!$AK759,2))&amp;"|"&amp;"4"&amp;RIGHT("00000"&amp;754,5))</f>
        <v/>
      </c>
      <c r="W759">
        <f>IF($V759="",0,COUNTIFS($V$6:$V$2005,"&lt;"&amp;$V759)-COUNTIFS($V$6:$V$2005,"&lt;"&amp;$V759,$K$6:$K$2005,"")+1)</f>
        <v/>
      </c>
      <c r="X759">
        <f>IF(Sync!$AX759="","",IF(OR(N(Sync!$AY759)=0,N(Sync!$AZ759)=0),"",ROUND(N(Sync!$AY759)*N(Sync!$AZ759),0)))</f>
        <v/>
      </c>
      <c r="Y759">
        <f>IF($X759="","",IF(OR(Sync!$AX759="",COUNTIF(AcctCodesA,Sync!$AX759)=0),"متفرقه",Sync!$AX759))</f>
        <v/>
      </c>
      <c r="Z759">
        <f>IF($X759="","","سبد و ظروف")</f>
        <v/>
      </c>
      <c r="AA759">
        <f>IF($X759="","",$Y759)</f>
        <v/>
      </c>
    </row>
    <row r="760">
      <c r="A760">
        <f>IF(Sync!$Z760="","",LEFT(UPPER(TRIM(Sync!$Z760)),6))</f>
        <v/>
      </c>
      <c r="B760">
        <f>IF($A760="","",IF(Sync!$AA760="","",Sync!$AA760))</f>
        <v/>
      </c>
      <c r="C760">
        <f>IF($A760="","",IF(Sync!$AB760="","",Sync!$AB760))</f>
        <v/>
      </c>
      <c r="D760">
        <f>IF($A760="","",IF(Sync!$AC760="","",Sync!$AC760))</f>
        <v/>
      </c>
      <c r="E760">
        <f>IF($A760="","",IF(Sync!$AD760="","",Sync!$AD760))</f>
        <v/>
      </c>
      <c r="F760">
        <f>IF($A760="","",IF(Sync!$AE760="",0,Sync!$AE760))</f>
        <v/>
      </c>
      <c r="G760">
        <f>IF($A760="","",IF(Sync!$AF760="",0,Sync!$AF760))</f>
        <v/>
      </c>
      <c r="H760">
        <f>IF(OR($A760="",ROUND($F760+$G760,2)=0),"",$F760+$G760)</f>
        <v/>
      </c>
      <c r="I760">
        <f>IF($H760="","",IF(ROUND($F760,2)&gt;0,$A760,IF($D760="شخصی قاسم","شخصی قاسم",IF($D760="هزینه","هزینه: "&amp;IF($E760="","متفرقه",$E760),IF($C760="پاس چک","چک پرداختی",IF(OR($B760="",COUNTIF(AcctCodesA,$B760)=0),"متفرقه",$B760))))))</f>
        <v/>
      </c>
      <c r="J760">
        <f>IF($H760="","",IF(ROUND($F760,2)&gt;0,IF($D760="شخصی قاسم","شخصی قاسم",IF($D760="هزینه","هزینه: "&amp;IF($E760="","متفرقه",$E760),IF(OR($B760="",COUNTIF(AcctCodesA,$B760)=0),"متفرقه",$B760))),$A760))</f>
        <v/>
      </c>
      <c r="K760">
        <f>IF($A760="","",IF(AND($B760&lt;&gt;"",COUNTIF(AcctCodesA,$B760)=0),"کد طرف در INFO تعریف نشده",IF(AND($D760="هزینه",$E760=""),"هزینه بدون زیرگروه",IF(AND($C760="پاس چک",OR(Sync!$AJ760="",COUNTIF(IssueNosA,Sync!$AJ760)=0)),"شماره چک پاس‌شده معتبر نیست",""))))</f>
        <v/>
      </c>
      <c r="V760">
        <f>IF($K760="","",IF(ISNUMBER(Sync!$AK760),Sync!$AK760,LEFT(Sync!$AK760,4)&amp;MID(Sync!$AK760,6,2)&amp;RIGHT(Sync!$AK760,2))&amp;"|"&amp;"4"&amp;RIGHT("00000"&amp;755,5))</f>
        <v/>
      </c>
      <c r="W760">
        <f>IF($V760="",0,COUNTIFS($V$6:$V$2005,"&lt;"&amp;$V760)-COUNTIFS($V$6:$V$2005,"&lt;"&amp;$V760,$K$6:$K$2005,"")+1)</f>
        <v/>
      </c>
      <c r="X760">
        <f>IF(Sync!$AX760="","",IF(OR(N(Sync!$AY760)=0,N(Sync!$AZ760)=0),"",ROUND(N(Sync!$AY760)*N(Sync!$AZ760),0)))</f>
        <v/>
      </c>
      <c r="Y760">
        <f>IF($X760="","",IF(OR(Sync!$AX760="",COUNTIF(AcctCodesA,Sync!$AX760)=0),"متفرقه",Sync!$AX760))</f>
        <v/>
      </c>
      <c r="Z760">
        <f>IF($X760="","","سبد و ظروف")</f>
        <v/>
      </c>
      <c r="AA760">
        <f>IF($X760="","",$Y760)</f>
        <v/>
      </c>
    </row>
    <row r="761">
      <c r="A761">
        <f>IF(Sync!$Z761="","",LEFT(UPPER(TRIM(Sync!$Z761)),6))</f>
        <v/>
      </c>
      <c r="B761">
        <f>IF($A761="","",IF(Sync!$AA761="","",Sync!$AA761))</f>
        <v/>
      </c>
      <c r="C761">
        <f>IF($A761="","",IF(Sync!$AB761="","",Sync!$AB761))</f>
        <v/>
      </c>
      <c r="D761">
        <f>IF($A761="","",IF(Sync!$AC761="","",Sync!$AC761))</f>
        <v/>
      </c>
      <c r="E761">
        <f>IF($A761="","",IF(Sync!$AD761="","",Sync!$AD761))</f>
        <v/>
      </c>
      <c r="F761">
        <f>IF($A761="","",IF(Sync!$AE761="",0,Sync!$AE761))</f>
        <v/>
      </c>
      <c r="G761">
        <f>IF($A761="","",IF(Sync!$AF761="",0,Sync!$AF761))</f>
        <v/>
      </c>
      <c r="H761">
        <f>IF(OR($A761="",ROUND($F761+$G761,2)=0),"",$F761+$G761)</f>
        <v/>
      </c>
      <c r="I761">
        <f>IF($H761="","",IF(ROUND($F761,2)&gt;0,$A761,IF($D761="شخصی قاسم","شخصی قاسم",IF($D761="هزینه","هزینه: "&amp;IF($E761="","متفرقه",$E761),IF($C761="پاس چک","چک پرداختی",IF(OR($B761="",COUNTIF(AcctCodesA,$B761)=0),"متفرقه",$B761))))))</f>
        <v/>
      </c>
      <c r="J761">
        <f>IF($H761="","",IF(ROUND($F761,2)&gt;0,IF($D761="شخصی قاسم","شخصی قاسم",IF($D761="هزینه","هزینه: "&amp;IF($E761="","متفرقه",$E761),IF(OR($B761="",COUNTIF(AcctCodesA,$B761)=0),"متفرقه",$B761))),$A761))</f>
        <v/>
      </c>
      <c r="K761">
        <f>IF($A761="","",IF(AND($B761&lt;&gt;"",COUNTIF(AcctCodesA,$B761)=0),"کد طرف در INFO تعریف نشده",IF(AND($D761="هزینه",$E761=""),"هزینه بدون زیرگروه",IF(AND($C761="پاس چک",OR(Sync!$AJ761="",COUNTIF(IssueNosA,Sync!$AJ761)=0)),"شماره چک پاس‌شده معتبر نیست",""))))</f>
        <v/>
      </c>
      <c r="V761">
        <f>IF($K761="","",IF(ISNUMBER(Sync!$AK761),Sync!$AK761,LEFT(Sync!$AK761,4)&amp;MID(Sync!$AK761,6,2)&amp;RIGHT(Sync!$AK761,2))&amp;"|"&amp;"4"&amp;RIGHT("00000"&amp;756,5))</f>
        <v/>
      </c>
      <c r="W761">
        <f>IF($V761="",0,COUNTIFS($V$6:$V$2005,"&lt;"&amp;$V761)-COUNTIFS($V$6:$V$2005,"&lt;"&amp;$V761,$K$6:$K$2005,"")+1)</f>
        <v/>
      </c>
      <c r="X761">
        <f>IF(Sync!$AX761="","",IF(OR(N(Sync!$AY761)=0,N(Sync!$AZ761)=0),"",ROUND(N(Sync!$AY761)*N(Sync!$AZ761),0)))</f>
        <v/>
      </c>
      <c r="Y761">
        <f>IF($X761="","",IF(OR(Sync!$AX761="",COUNTIF(AcctCodesA,Sync!$AX761)=0),"متفرقه",Sync!$AX761))</f>
        <v/>
      </c>
      <c r="Z761">
        <f>IF($X761="","","سبد و ظروف")</f>
        <v/>
      </c>
      <c r="AA761">
        <f>IF($X761="","",$Y761)</f>
        <v/>
      </c>
    </row>
    <row r="762">
      <c r="A762">
        <f>IF(Sync!$Z762="","",LEFT(UPPER(TRIM(Sync!$Z762)),6))</f>
        <v/>
      </c>
      <c r="B762">
        <f>IF($A762="","",IF(Sync!$AA762="","",Sync!$AA762))</f>
        <v/>
      </c>
      <c r="C762">
        <f>IF($A762="","",IF(Sync!$AB762="","",Sync!$AB762))</f>
        <v/>
      </c>
      <c r="D762">
        <f>IF($A762="","",IF(Sync!$AC762="","",Sync!$AC762))</f>
        <v/>
      </c>
      <c r="E762">
        <f>IF($A762="","",IF(Sync!$AD762="","",Sync!$AD762))</f>
        <v/>
      </c>
      <c r="F762">
        <f>IF($A762="","",IF(Sync!$AE762="",0,Sync!$AE762))</f>
        <v/>
      </c>
      <c r="G762">
        <f>IF($A762="","",IF(Sync!$AF762="",0,Sync!$AF762))</f>
        <v/>
      </c>
      <c r="H762">
        <f>IF(OR($A762="",ROUND($F762+$G762,2)=0),"",$F762+$G762)</f>
        <v/>
      </c>
      <c r="I762">
        <f>IF($H762="","",IF(ROUND($F762,2)&gt;0,$A762,IF($D762="شخصی قاسم","شخصی قاسم",IF($D762="هزینه","هزینه: "&amp;IF($E762="","متفرقه",$E762),IF($C762="پاس چک","چک پرداختی",IF(OR($B762="",COUNTIF(AcctCodesA,$B762)=0),"متفرقه",$B762))))))</f>
        <v/>
      </c>
      <c r="J762">
        <f>IF($H762="","",IF(ROUND($F762,2)&gt;0,IF($D762="شخصی قاسم","شخصی قاسم",IF($D762="هزینه","هزینه: "&amp;IF($E762="","متفرقه",$E762),IF(OR($B762="",COUNTIF(AcctCodesA,$B762)=0),"متفرقه",$B762))),$A762))</f>
        <v/>
      </c>
      <c r="K762">
        <f>IF($A762="","",IF(AND($B762&lt;&gt;"",COUNTIF(AcctCodesA,$B762)=0),"کد طرف در INFO تعریف نشده",IF(AND($D762="هزینه",$E762=""),"هزینه بدون زیرگروه",IF(AND($C762="پاس چک",OR(Sync!$AJ762="",COUNTIF(IssueNosA,Sync!$AJ762)=0)),"شماره چک پاس‌شده معتبر نیست",""))))</f>
        <v/>
      </c>
      <c r="V762">
        <f>IF($K762="","",IF(ISNUMBER(Sync!$AK762),Sync!$AK762,LEFT(Sync!$AK762,4)&amp;MID(Sync!$AK762,6,2)&amp;RIGHT(Sync!$AK762,2))&amp;"|"&amp;"4"&amp;RIGHT("00000"&amp;757,5))</f>
        <v/>
      </c>
      <c r="W762">
        <f>IF($V762="",0,COUNTIFS($V$6:$V$2005,"&lt;"&amp;$V762)-COUNTIFS($V$6:$V$2005,"&lt;"&amp;$V762,$K$6:$K$2005,"")+1)</f>
        <v/>
      </c>
      <c r="X762">
        <f>IF(Sync!$AX762="","",IF(OR(N(Sync!$AY762)=0,N(Sync!$AZ762)=0),"",ROUND(N(Sync!$AY762)*N(Sync!$AZ762),0)))</f>
        <v/>
      </c>
      <c r="Y762">
        <f>IF($X762="","",IF(OR(Sync!$AX762="",COUNTIF(AcctCodesA,Sync!$AX762)=0),"متفرقه",Sync!$AX762))</f>
        <v/>
      </c>
      <c r="Z762">
        <f>IF($X762="","","سبد و ظروف")</f>
        <v/>
      </c>
      <c r="AA762">
        <f>IF($X762="","",$Y762)</f>
        <v/>
      </c>
    </row>
    <row r="763">
      <c r="A763">
        <f>IF(Sync!$Z763="","",LEFT(UPPER(TRIM(Sync!$Z763)),6))</f>
        <v/>
      </c>
      <c r="B763">
        <f>IF($A763="","",IF(Sync!$AA763="","",Sync!$AA763))</f>
        <v/>
      </c>
      <c r="C763">
        <f>IF($A763="","",IF(Sync!$AB763="","",Sync!$AB763))</f>
        <v/>
      </c>
      <c r="D763">
        <f>IF($A763="","",IF(Sync!$AC763="","",Sync!$AC763))</f>
        <v/>
      </c>
      <c r="E763">
        <f>IF($A763="","",IF(Sync!$AD763="","",Sync!$AD763))</f>
        <v/>
      </c>
      <c r="F763">
        <f>IF($A763="","",IF(Sync!$AE763="",0,Sync!$AE763))</f>
        <v/>
      </c>
      <c r="G763">
        <f>IF($A763="","",IF(Sync!$AF763="",0,Sync!$AF763))</f>
        <v/>
      </c>
      <c r="H763">
        <f>IF(OR($A763="",ROUND($F763+$G763,2)=0),"",$F763+$G763)</f>
        <v/>
      </c>
      <c r="I763">
        <f>IF($H763="","",IF(ROUND($F763,2)&gt;0,$A763,IF($D763="شخصی قاسم","شخصی قاسم",IF($D763="هزینه","هزینه: "&amp;IF($E763="","متفرقه",$E763),IF($C763="پاس چک","چک پرداختی",IF(OR($B763="",COUNTIF(AcctCodesA,$B763)=0),"متفرقه",$B763))))))</f>
        <v/>
      </c>
      <c r="J763">
        <f>IF($H763="","",IF(ROUND($F763,2)&gt;0,IF($D763="شخصی قاسم","شخصی قاسم",IF($D763="هزینه","هزینه: "&amp;IF($E763="","متفرقه",$E763),IF(OR($B763="",COUNTIF(AcctCodesA,$B763)=0),"متفرقه",$B763))),$A763))</f>
        <v/>
      </c>
      <c r="K763">
        <f>IF($A763="","",IF(AND($B763&lt;&gt;"",COUNTIF(AcctCodesA,$B763)=0),"کد طرف در INFO تعریف نشده",IF(AND($D763="هزینه",$E763=""),"هزینه بدون زیرگروه",IF(AND($C763="پاس چک",OR(Sync!$AJ763="",COUNTIF(IssueNosA,Sync!$AJ763)=0)),"شماره چک پاس‌شده معتبر نیست",""))))</f>
        <v/>
      </c>
      <c r="V763">
        <f>IF($K763="","",IF(ISNUMBER(Sync!$AK763),Sync!$AK763,LEFT(Sync!$AK763,4)&amp;MID(Sync!$AK763,6,2)&amp;RIGHT(Sync!$AK763,2))&amp;"|"&amp;"4"&amp;RIGHT("00000"&amp;758,5))</f>
        <v/>
      </c>
      <c r="W763">
        <f>IF($V763="",0,COUNTIFS($V$6:$V$2005,"&lt;"&amp;$V763)-COUNTIFS($V$6:$V$2005,"&lt;"&amp;$V763,$K$6:$K$2005,"")+1)</f>
        <v/>
      </c>
      <c r="X763">
        <f>IF(Sync!$AX763="","",IF(OR(N(Sync!$AY763)=0,N(Sync!$AZ763)=0),"",ROUND(N(Sync!$AY763)*N(Sync!$AZ763),0)))</f>
        <v/>
      </c>
      <c r="Y763">
        <f>IF($X763="","",IF(OR(Sync!$AX763="",COUNTIF(AcctCodesA,Sync!$AX763)=0),"متفرقه",Sync!$AX763))</f>
        <v/>
      </c>
      <c r="Z763">
        <f>IF($X763="","","سبد و ظروف")</f>
        <v/>
      </c>
      <c r="AA763">
        <f>IF($X763="","",$Y763)</f>
        <v/>
      </c>
    </row>
    <row r="764">
      <c r="A764">
        <f>IF(Sync!$Z764="","",LEFT(UPPER(TRIM(Sync!$Z764)),6))</f>
        <v/>
      </c>
      <c r="B764">
        <f>IF($A764="","",IF(Sync!$AA764="","",Sync!$AA764))</f>
        <v/>
      </c>
      <c r="C764">
        <f>IF($A764="","",IF(Sync!$AB764="","",Sync!$AB764))</f>
        <v/>
      </c>
      <c r="D764">
        <f>IF($A764="","",IF(Sync!$AC764="","",Sync!$AC764))</f>
        <v/>
      </c>
      <c r="E764">
        <f>IF($A764="","",IF(Sync!$AD764="","",Sync!$AD764))</f>
        <v/>
      </c>
      <c r="F764">
        <f>IF($A764="","",IF(Sync!$AE764="",0,Sync!$AE764))</f>
        <v/>
      </c>
      <c r="G764">
        <f>IF($A764="","",IF(Sync!$AF764="",0,Sync!$AF764))</f>
        <v/>
      </c>
      <c r="H764">
        <f>IF(OR($A764="",ROUND($F764+$G764,2)=0),"",$F764+$G764)</f>
        <v/>
      </c>
      <c r="I764">
        <f>IF($H764="","",IF(ROUND($F764,2)&gt;0,$A764,IF($D764="شخصی قاسم","شخصی قاسم",IF($D764="هزینه","هزینه: "&amp;IF($E764="","متفرقه",$E764),IF($C764="پاس چک","چک پرداختی",IF(OR($B764="",COUNTIF(AcctCodesA,$B764)=0),"متفرقه",$B764))))))</f>
        <v/>
      </c>
      <c r="J764">
        <f>IF($H764="","",IF(ROUND($F764,2)&gt;0,IF($D764="شخصی قاسم","شخصی قاسم",IF($D764="هزینه","هزینه: "&amp;IF($E764="","متفرقه",$E764),IF(OR($B764="",COUNTIF(AcctCodesA,$B764)=0),"متفرقه",$B764))),$A764))</f>
        <v/>
      </c>
      <c r="K764">
        <f>IF($A764="","",IF(AND($B764&lt;&gt;"",COUNTIF(AcctCodesA,$B764)=0),"کد طرف در INFO تعریف نشده",IF(AND($D764="هزینه",$E764=""),"هزینه بدون زیرگروه",IF(AND($C764="پاس چک",OR(Sync!$AJ764="",COUNTIF(IssueNosA,Sync!$AJ764)=0)),"شماره چک پاس‌شده معتبر نیست",""))))</f>
        <v/>
      </c>
      <c r="V764">
        <f>IF($K764="","",IF(ISNUMBER(Sync!$AK764),Sync!$AK764,LEFT(Sync!$AK764,4)&amp;MID(Sync!$AK764,6,2)&amp;RIGHT(Sync!$AK764,2))&amp;"|"&amp;"4"&amp;RIGHT("00000"&amp;759,5))</f>
        <v/>
      </c>
      <c r="W764">
        <f>IF($V764="",0,COUNTIFS($V$6:$V$2005,"&lt;"&amp;$V764)-COUNTIFS($V$6:$V$2005,"&lt;"&amp;$V764,$K$6:$K$2005,"")+1)</f>
        <v/>
      </c>
      <c r="X764">
        <f>IF(Sync!$AX764="","",IF(OR(N(Sync!$AY764)=0,N(Sync!$AZ764)=0),"",ROUND(N(Sync!$AY764)*N(Sync!$AZ764),0)))</f>
        <v/>
      </c>
      <c r="Y764">
        <f>IF($X764="","",IF(OR(Sync!$AX764="",COUNTIF(AcctCodesA,Sync!$AX764)=0),"متفرقه",Sync!$AX764))</f>
        <v/>
      </c>
      <c r="Z764">
        <f>IF($X764="","","سبد و ظروف")</f>
        <v/>
      </c>
      <c r="AA764">
        <f>IF($X764="","",$Y764)</f>
        <v/>
      </c>
    </row>
    <row r="765">
      <c r="A765">
        <f>IF(Sync!$Z765="","",LEFT(UPPER(TRIM(Sync!$Z765)),6))</f>
        <v/>
      </c>
      <c r="B765">
        <f>IF($A765="","",IF(Sync!$AA765="","",Sync!$AA765))</f>
        <v/>
      </c>
      <c r="C765">
        <f>IF($A765="","",IF(Sync!$AB765="","",Sync!$AB765))</f>
        <v/>
      </c>
      <c r="D765">
        <f>IF($A765="","",IF(Sync!$AC765="","",Sync!$AC765))</f>
        <v/>
      </c>
      <c r="E765">
        <f>IF($A765="","",IF(Sync!$AD765="","",Sync!$AD765))</f>
        <v/>
      </c>
      <c r="F765">
        <f>IF($A765="","",IF(Sync!$AE765="",0,Sync!$AE765))</f>
        <v/>
      </c>
      <c r="G765">
        <f>IF($A765="","",IF(Sync!$AF765="",0,Sync!$AF765))</f>
        <v/>
      </c>
      <c r="H765">
        <f>IF(OR($A765="",ROUND($F765+$G765,2)=0),"",$F765+$G765)</f>
        <v/>
      </c>
      <c r="I765">
        <f>IF($H765="","",IF(ROUND($F765,2)&gt;0,$A765,IF($D765="شخصی قاسم","شخصی قاسم",IF($D765="هزینه","هزینه: "&amp;IF($E765="","متفرقه",$E765),IF($C765="پاس چک","چک پرداختی",IF(OR($B765="",COUNTIF(AcctCodesA,$B765)=0),"متفرقه",$B765))))))</f>
        <v/>
      </c>
      <c r="J765">
        <f>IF($H765="","",IF(ROUND($F765,2)&gt;0,IF($D765="شخصی قاسم","شخصی قاسم",IF($D765="هزینه","هزینه: "&amp;IF($E765="","متفرقه",$E765),IF(OR($B765="",COUNTIF(AcctCodesA,$B765)=0),"متفرقه",$B765))),$A765))</f>
        <v/>
      </c>
      <c r="K765">
        <f>IF($A765="","",IF(AND($B765&lt;&gt;"",COUNTIF(AcctCodesA,$B765)=0),"کد طرف در INFO تعریف نشده",IF(AND($D765="هزینه",$E765=""),"هزینه بدون زیرگروه",IF(AND($C765="پاس چک",OR(Sync!$AJ765="",COUNTIF(IssueNosA,Sync!$AJ765)=0)),"شماره چک پاس‌شده معتبر نیست",""))))</f>
        <v/>
      </c>
      <c r="V765">
        <f>IF($K765="","",IF(ISNUMBER(Sync!$AK765),Sync!$AK765,LEFT(Sync!$AK765,4)&amp;MID(Sync!$AK765,6,2)&amp;RIGHT(Sync!$AK765,2))&amp;"|"&amp;"4"&amp;RIGHT("00000"&amp;760,5))</f>
        <v/>
      </c>
      <c r="W765">
        <f>IF($V765="",0,COUNTIFS($V$6:$V$2005,"&lt;"&amp;$V765)-COUNTIFS($V$6:$V$2005,"&lt;"&amp;$V765,$K$6:$K$2005,"")+1)</f>
        <v/>
      </c>
      <c r="X765">
        <f>IF(Sync!$AX765="","",IF(OR(N(Sync!$AY765)=0,N(Sync!$AZ765)=0),"",ROUND(N(Sync!$AY765)*N(Sync!$AZ765),0)))</f>
        <v/>
      </c>
      <c r="Y765">
        <f>IF($X765="","",IF(OR(Sync!$AX765="",COUNTIF(AcctCodesA,Sync!$AX765)=0),"متفرقه",Sync!$AX765))</f>
        <v/>
      </c>
      <c r="Z765">
        <f>IF($X765="","","سبد و ظروف")</f>
        <v/>
      </c>
      <c r="AA765">
        <f>IF($X765="","",$Y765)</f>
        <v/>
      </c>
    </row>
    <row r="766">
      <c r="A766">
        <f>IF(Sync!$Z766="","",LEFT(UPPER(TRIM(Sync!$Z766)),6))</f>
        <v/>
      </c>
      <c r="B766">
        <f>IF($A766="","",IF(Sync!$AA766="","",Sync!$AA766))</f>
        <v/>
      </c>
      <c r="C766">
        <f>IF($A766="","",IF(Sync!$AB766="","",Sync!$AB766))</f>
        <v/>
      </c>
      <c r="D766">
        <f>IF($A766="","",IF(Sync!$AC766="","",Sync!$AC766))</f>
        <v/>
      </c>
      <c r="E766">
        <f>IF($A766="","",IF(Sync!$AD766="","",Sync!$AD766))</f>
        <v/>
      </c>
      <c r="F766">
        <f>IF($A766="","",IF(Sync!$AE766="",0,Sync!$AE766))</f>
        <v/>
      </c>
      <c r="G766">
        <f>IF($A766="","",IF(Sync!$AF766="",0,Sync!$AF766))</f>
        <v/>
      </c>
      <c r="H766">
        <f>IF(OR($A766="",ROUND($F766+$G766,2)=0),"",$F766+$G766)</f>
        <v/>
      </c>
      <c r="I766">
        <f>IF($H766="","",IF(ROUND($F766,2)&gt;0,$A766,IF($D766="شخصی قاسم","شخصی قاسم",IF($D766="هزینه","هزینه: "&amp;IF($E766="","متفرقه",$E766),IF($C766="پاس چک","چک پرداختی",IF(OR($B766="",COUNTIF(AcctCodesA,$B766)=0),"متفرقه",$B766))))))</f>
        <v/>
      </c>
      <c r="J766">
        <f>IF($H766="","",IF(ROUND($F766,2)&gt;0,IF($D766="شخصی قاسم","شخصی قاسم",IF($D766="هزینه","هزینه: "&amp;IF($E766="","متفرقه",$E766),IF(OR($B766="",COUNTIF(AcctCodesA,$B766)=0),"متفرقه",$B766))),$A766))</f>
        <v/>
      </c>
      <c r="K766">
        <f>IF($A766="","",IF(AND($B766&lt;&gt;"",COUNTIF(AcctCodesA,$B766)=0),"کد طرف در INFO تعریف نشده",IF(AND($D766="هزینه",$E766=""),"هزینه بدون زیرگروه",IF(AND($C766="پاس چک",OR(Sync!$AJ766="",COUNTIF(IssueNosA,Sync!$AJ766)=0)),"شماره چک پاس‌شده معتبر نیست",""))))</f>
        <v/>
      </c>
      <c r="V766">
        <f>IF($K766="","",IF(ISNUMBER(Sync!$AK766),Sync!$AK766,LEFT(Sync!$AK766,4)&amp;MID(Sync!$AK766,6,2)&amp;RIGHT(Sync!$AK766,2))&amp;"|"&amp;"4"&amp;RIGHT("00000"&amp;761,5))</f>
        <v/>
      </c>
      <c r="W766">
        <f>IF($V766="",0,COUNTIFS($V$6:$V$2005,"&lt;"&amp;$V766)-COUNTIFS($V$6:$V$2005,"&lt;"&amp;$V766,$K$6:$K$2005,"")+1)</f>
        <v/>
      </c>
      <c r="X766">
        <f>IF(Sync!$AX766="","",IF(OR(N(Sync!$AY766)=0,N(Sync!$AZ766)=0),"",ROUND(N(Sync!$AY766)*N(Sync!$AZ766),0)))</f>
        <v/>
      </c>
      <c r="Y766">
        <f>IF($X766="","",IF(OR(Sync!$AX766="",COUNTIF(AcctCodesA,Sync!$AX766)=0),"متفرقه",Sync!$AX766))</f>
        <v/>
      </c>
      <c r="Z766">
        <f>IF($X766="","","سبد و ظروف")</f>
        <v/>
      </c>
      <c r="AA766">
        <f>IF($X766="","",$Y766)</f>
        <v/>
      </c>
    </row>
    <row r="767">
      <c r="A767">
        <f>IF(Sync!$Z767="","",LEFT(UPPER(TRIM(Sync!$Z767)),6))</f>
        <v/>
      </c>
      <c r="B767">
        <f>IF($A767="","",IF(Sync!$AA767="","",Sync!$AA767))</f>
        <v/>
      </c>
      <c r="C767">
        <f>IF($A767="","",IF(Sync!$AB767="","",Sync!$AB767))</f>
        <v/>
      </c>
      <c r="D767">
        <f>IF($A767="","",IF(Sync!$AC767="","",Sync!$AC767))</f>
        <v/>
      </c>
      <c r="E767">
        <f>IF($A767="","",IF(Sync!$AD767="","",Sync!$AD767))</f>
        <v/>
      </c>
      <c r="F767">
        <f>IF($A767="","",IF(Sync!$AE767="",0,Sync!$AE767))</f>
        <v/>
      </c>
      <c r="G767">
        <f>IF($A767="","",IF(Sync!$AF767="",0,Sync!$AF767))</f>
        <v/>
      </c>
      <c r="H767">
        <f>IF(OR($A767="",ROUND($F767+$G767,2)=0),"",$F767+$G767)</f>
        <v/>
      </c>
      <c r="I767">
        <f>IF($H767="","",IF(ROUND($F767,2)&gt;0,$A767,IF($D767="شخصی قاسم","شخصی قاسم",IF($D767="هزینه","هزینه: "&amp;IF($E767="","متفرقه",$E767),IF($C767="پاس چک","چک پرداختی",IF(OR($B767="",COUNTIF(AcctCodesA,$B767)=0),"متفرقه",$B767))))))</f>
        <v/>
      </c>
      <c r="J767">
        <f>IF($H767="","",IF(ROUND($F767,2)&gt;0,IF($D767="شخصی قاسم","شخصی قاسم",IF($D767="هزینه","هزینه: "&amp;IF($E767="","متفرقه",$E767),IF(OR($B767="",COUNTIF(AcctCodesA,$B767)=0),"متفرقه",$B767))),$A767))</f>
        <v/>
      </c>
      <c r="K767">
        <f>IF($A767="","",IF(AND($B767&lt;&gt;"",COUNTIF(AcctCodesA,$B767)=0),"کد طرف در INFO تعریف نشده",IF(AND($D767="هزینه",$E767=""),"هزینه بدون زیرگروه",IF(AND($C767="پاس چک",OR(Sync!$AJ767="",COUNTIF(IssueNosA,Sync!$AJ767)=0)),"شماره چک پاس‌شده معتبر نیست",""))))</f>
        <v/>
      </c>
      <c r="V767">
        <f>IF($K767="","",IF(ISNUMBER(Sync!$AK767),Sync!$AK767,LEFT(Sync!$AK767,4)&amp;MID(Sync!$AK767,6,2)&amp;RIGHT(Sync!$AK767,2))&amp;"|"&amp;"4"&amp;RIGHT("00000"&amp;762,5))</f>
        <v/>
      </c>
      <c r="W767">
        <f>IF($V767="",0,COUNTIFS($V$6:$V$2005,"&lt;"&amp;$V767)-COUNTIFS($V$6:$V$2005,"&lt;"&amp;$V767,$K$6:$K$2005,"")+1)</f>
        <v/>
      </c>
      <c r="X767">
        <f>IF(Sync!$AX767="","",IF(OR(N(Sync!$AY767)=0,N(Sync!$AZ767)=0),"",ROUND(N(Sync!$AY767)*N(Sync!$AZ767),0)))</f>
        <v/>
      </c>
      <c r="Y767">
        <f>IF($X767="","",IF(OR(Sync!$AX767="",COUNTIF(AcctCodesA,Sync!$AX767)=0),"متفرقه",Sync!$AX767))</f>
        <v/>
      </c>
      <c r="Z767">
        <f>IF($X767="","","سبد و ظروف")</f>
        <v/>
      </c>
      <c r="AA767">
        <f>IF($X767="","",$Y767)</f>
        <v/>
      </c>
    </row>
    <row r="768">
      <c r="A768">
        <f>IF(Sync!$Z768="","",LEFT(UPPER(TRIM(Sync!$Z768)),6))</f>
        <v/>
      </c>
      <c r="B768">
        <f>IF($A768="","",IF(Sync!$AA768="","",Sync!$AA768))</f>
        <v/>
      </c>
      <c r="C768">
        <f>IF($A768="","",IF(Sync!$AB768="","",Sync!$AB768))</f>
        <v/>
      </c>
      <c r="D768">
        <f>IF($A768="","",IF(Sync!$AC768="","",Sync!$AC768))</f>
        <v/>
      </c>
      <c r="E768">
        <f>IF($A768="","",IF(Sync!$AD768="","",Sync!$AD768))</f>
        <v/>
      </c>
      <c r="F768">
        <f>IF($A768="","",IF(Sync!$AE768="",0,Sync!$AE768))</f>
        <v/>
      </c>
      <c r="G768">
        <f>IF($A768="","",IF(Sync!$AF768="",0,Sync!$AF768))</f>
        <v/>
      </c>
      <c r="H768">
        <f>IF(OR($A768="",ROUND($F768+$G768,2)=0),"",$F768+$G768)</f>
        <v/>
      </c>
      <c r="I768">
        <f>IF($H768="","",IF(ROUND($F768,2)&gt;0,$A768,IF($D768="شخصی قاسم","شخصی قاسم",IF($D768="هزینه","هزینه: "&amp;IF($E768="","متفرقه",$E768),IF($C768="پاس چک","چک پرداختی",IF(OR($B768="",COUNTIF(AcctCodesA,$B768)=0),"متفرقه",$B768))))))</f>
        <v/>
      </c>
      <c r="J768">
        <f>IF($H768="","",IF(ROUND($F768,2)&gt;0,IF($D768="شخصی قاسم","شخصی قاسم",IF($D768="هزینه","هزینه: "&amp;IF($E768="","متفرقه",$E768),IF(OR($B768="",COUNTIF(AcctCodesA,$B768)=0),"متفرقه",$B768))),$A768))</f>
        <v/>
      </c>
      <c r="K768">
        <f>IF($A768="","",IF(AND($B768&lt;&gt;"",COUNTIF(AcctCodesA,$B768)=0),"کد طرف در INFO تعریف نشده",IF(AND($D768="هزینه",$E768=""),"هزینه بدون زیرگروه",IF(AND($C768="پاس چک",OR(Sync!$AJ768="",COUNTIF(IssueNosA,Sync!$AJ768)=0)),"شماره چک پاس‌شده معتبر نیست",""))))</f>
        <v/>
      </c>
      <c r="V768">
        <f>IF($K768="","",IF(ISNUMBER(Sync!$AK768),Sync!$AK768,LEFT(Sync!$AK768,4)&amp;MID(Sync!$AK768,6,2)&amp;RIGHT(Sync!$AK768,2))&amp;"|"&amp;"4"&amp;RIGHT("00000"&amp;763,5))</f>
        <v/>
      </c>
      <c r="W768">
        <f>IF($V768="",0,COUNTIFS($V$6:$V$2005,"&lt;"&amp;$V768)-COUNTIFS($V$6:$V$2005,"&lt;"&amp;$V768,$K$6:$K$2005,"")+1)</f>
        <v/>
      </c>
      <c r="X768">
        <f>IF(Sync!$AX768="","",IF(OR(N(Sync!$AY768)=0,N(Sync!$AZ768)=0),"",ROUND(N(Sync!$AY768)*N(Sync!$AZ768),0)))</f>
        <v/>
      </c>
      <c r="Y768">
        <f>IF($X768="","",IF(OR(Sync!$AX768="",COUNTIF(AcctCodesA,Sync!$AX768)=0),"متفرقه",Sync!$AX768))</f>
        <v/>
      </c>
      <c r="Z768">
        <f>IF($X768="","","سبد و ظروف")</f>
        <v/>
      </c>
      <c r="AA768">
        <f>IF($X768="","",$Y768)</f>
        <v/>
      </c>
    </row>
    <row r="769">
      <c r="A769">
        <f>IF(Sync!$Z769="","",LEFT(UPPER(TRIM(Sync!$Z769)),6))</f>
        <v/>
      </c>
      <c r="B769">
        <f>IF($A769="","",IF(Sync!$AA769="","",Sync!$AA769))</f>
        <v/>
      </c>
      <c r="C769">
        <f>IF($A769="","",IF(Sync!$AB769="","",Sync!$AB769))</f>
        <v/>
      </c>
      <c r="D769">
        <f>IF($A769="","",IF(Sync!$AC769="","",Sync!$AC769))</f>
        <v/>
      </c>
      <c r="E769">
        <f>IF($A769="","",IF(Sync!$AD769="","",Sync!$AD769))</f>
        <v/>
      </c>
      <c r="F769">
        <f>IF($A769="","",IF(Sync!$AE769="",0,Sync!$AE769))</f>
        <v/>
      </c>
      <c r="G769">
        <f>IF($A769="","",IF(Sync!$AF769="",0,Sync!$AF769))</f>
        <v/>
      </c>
      <c r="H769">
        <f>IF(OR($A769="",ROUND($F769+$G769,2)=0),"",$F769+$G769)</f>
        <v/>
      </c>
      <c r="I769">
        <f>IF($H769="","",IF(ROUND($F769,2)&gt;0,$A769,IF($D769="شخصی قاسم","شخصی قاسم",IF($D769="هزینه","هزینه: "&amp;IF($E769="","متفرقه",$E769),IF($C769="پاس چک","چک پرداختی",IF(OR($B769="",COUNTIF(AcctCodesA,$B769)=0),"متفرقه",$B769))))))</f>
        <v/>
      </c>
      <c r="J769">
        <f>IF($H769="","",IF(ROUND($F769,2)&gt;0,IF($D769="شخصی قاسم","شخصی قاسم",IF($D769="هزینه","هزینه: "&amp;IF($E769="","متفرقه",$E769),IF(OR($B769="",COUNTIF(AcctCodesA,$B769)=0),"متفرقه",$B769))),$A769))</f>
        <v/>
      </c>
      <c r="K769">
        <f>IF($A769="","",IF(AND($B769&lt;&gt;"",COUNTIF(AcctCodesA,$B769)=0),"کد طرف در INFO تعریف نشده",IF(AND($D769="هزینه",$E769=""),"هزینه بدون زیرگروه",IF(AND($C769="پاس چک",OR(Sync!$AJ769="",COUNTIF(IssueNosA,Sync!$AJ769)=0)),"شماره چک پاس‌شده معتبر نیست",""))))</f>
        <v/>
      </c>
      <c r="V769">
        <f>IF($K769="","",IF(ISNUMBER(Sync!$AK769),Sync!$AK769,LEFT(Sync!$AK769,4)&amp;MID(Sync!$AK769,6,2)&amp;RIGHT(Sync!$AK769,2))&amp;"|"&amp;"4"&amp;RIGHT("00000"&amp;764,5))</f>
        <v/>
      </c>
      <c r="W769">
        <f>IF($V769="",0,COUNTIFS($V$6:$V$2005,"&lt;"&amp;$V769)-COUNTIFS($V$6:$V$2005,"&lt;"&amp;$V769,$K$6:$K$2005,"")+1)</f>
        <v/>
      </c>
      <c r="X769">
        <f>IF(Sync!$AX769="","",IF(OR(N(Sync!$AY769)=0,N(Sync!$AZ769)=0),"",ROUND(N(Sync!$AY769)*N(Sync!$AZ769),0)))</f>
        <v/>
      </c>
      <c r="Y769">
        <f>IF($X769="","",IF(OR(Sync!$AX769="",COUNTIF(AcctCodesA,Sync!$AX769)=0),"متفرقه",Sync!$AX769))</f>
        <v/>
      </c>
      <c r="Z769">
        <f>IF($X769="","","سبد و ظروف")</f>
        <v/>
      </c>
      <c r="AA769">
        <f>IF($X769="","",$Y769)</f>
        <v/>
      </c>
    </row>
    <row r="770">
      <c r="A770">
        <f>IF(Sync!$Z770="","",LEFT(UPPER(TRIM(Sync!$Z770)),6))</f>
        <v/>
      </c>
      <c r="B770">
        <f>IF($A770="","",IF(Sync!$AA770="","",Sync!$AA770))</f>
        <v/>
      </c>
      <c r="C770">
        <f>IF($A770="","",IF(Sync!$AB770="","",Sync!$AB770))</f>
        <v/>
      </c>
      <c r="D770">
        <f>IF($A770="","",IF(Sync!$AC770="","",Sync!$AC770))</f>
        <v/>
      </c>
      <c r="E770">
        <f>IF($A770="","",IF(Sync!$AD770="","",Sync!$AD770))</f>
        <v/>
      </c>
      <c r="F770">
        <f>IF($A770="","",IF(Sync!$AE770="",0,Sync!$AE770))</f>
        <v/>
      </c>
      <c r="G770">
        <f>IF($A770="","",IF(Sync!$AF770="",0,Sync!$AF770))</f>
        <v/>
      </c>
      <c r="H770">
        <f>IF(OR($A770="",ROUND($F770+$G770,2)=0),"",$F770+$G770)</f>
        <v/>
      </c>
      <c r="I770">
        <f>IF($H770="","",IF(ROUND($F770,2)&gt;0,$A770,IF($D770="شخصی قاسم","شخصی قاسم",IF($D770="هزینه","هزینه: "&amp;IF($E770="","متفرقه",$E770),IF($C770="پاس چک","چک پرداختی",IF(OR($B770="",COUNTIF(AcctCodesA,$B770)=0),"متفرقه",$B770))))))</f>
        <v/>
      </c>
      <c r="J770">
        <f>IF($H770="","",IF(ROUND($F770,2)&gt;0,IF($D770="شخصی قاسم","شخصی قاسم",IF($D770="هزینه","هزینه: "&amp;IF($E770="","متفرقه",$E770),IF(OR($B770="",COUNTIF(AcctCodesA,$B770)=0),"متفرقه",$B770))),$A770))</f>
        <v/>
      </c>
      <c r="K770">
        <f>IF($A770="","",IF(AND($B770&lt;&gt;"",COUNTIF(AcctCodesA,$B770)=0),"کد طرف در INFO تعریف نشده",IF(AND($D770="هزینه",$E770=""),"هزینه بدون زیرگروه",IF(AND($C770="پاس چک",OR(Sync!$AJ770="",COUNTIF(IssueNosA,Sync!$AJ770)=0)),"شماره چک پاس‌شده معتبر نیست",""))))</f>
        <v/>
      </c>
      <c r="V770">
        <f>IF($K770="","",IF(ISNUMBER(Sync!$AK770),Sync!$AK770,LEFT(Sync!$AK770,4)&amp;MID(Sync!$AK770,6,2)&amp;RIGHT(Sync!$AK770,2))&amp;"|"&amp;"4"&amp;RIGHT("00000"&amp;765,5))</f>
        <v/>
      </c>
      <c r="W770">
        <f>IF($V770="",0,COUNTIFS($V$6:$V$2005,"&lt;"&amp;$V770)-COUNTIFS($V$6:$V$2005,"&lt;"&amp;$V770,$K$6:$K$2005,"")+1)</f>
        <v/>
      </c>
      <c r="X770">
        <f>IF(Sync!$AX770="","",IF(OR(N(Sync!$AY770)=0,N(Sync!$AZ770)=0),"",ROUND(N(Sync!$AY770)*N(Sync!$AZ770),0)))</f>
        <v/>
      </c>
      <c r="Y770">
        <f>IF($X770="","",IF(OR(Sync!$AX770="",COUNTIF(AcctCodesA,Sync!$AX770)=0),"متفرقه",Sync!$AX770))</f>
        <v/>
      </c>
      <c r="Z770">
        <f>IF($X770="","","سبد و ظروف")</f>
        <v/>
      </c>
      <c r="AA770">
        <f>IF($X770="","",$Y770)</f>
        <v/>
      </c>
    </row>
    <row r="771">
      <c r="A771">
        <f>IF(Sync!$Z771="","",LEFT(UPPER(TRIM(Sync!$Z771)),6))</f>
        <v/>
      </c>
      <c r="B771">
        <f>IF($A771="","",IF(Sync!$AA771="","",Sync!$AA771))</f>
        <v/>
      </c>
      <c r="C771">
        <f>IF($A771="","",IF(Sync!$AB771="","",Sync!$AB771))</f>
        <v/>
      </c>
      <c r="D771">
        <f>IF($A771="","",IF(Sync!$AC771="","",Sync!$AC771))</f>
        <v/>
      </c>
      <c r="E771">
        <f>IF($A771="","",IF(Sync!$AD771="","",Sync!$AD771))</f>
        <v/>
      </c>
      <c r="F771">
        <f>IF($A771="","",IF(Sync!$AE771="",0,Sync!$AE771))</f>
        <v/>
      </c>
      <c r="G771">
        <f>IF($A771="","",IF(Sync!$AF771="",0,Sync!$AF771))</f>
        <v/>
      </c>
      <c r="H771">
        <f>IF(OR($A771="",ROUND($F771+$G771,2)=0),"",$F771+$G771)</f>
        <v/>
      </c>
      <c r="I771">
        <f>IF($H771="","",IF(ROUND($F771,2)&gt;0,$A771,IF($D771="شخصی قاسم","شخصی قاسم",IF($D771="هزینه","هزینه: "&amp;IF($E771="","متفرقه",$E771),IF($C771="پاس چک","چک پرداختی",IF(OR($B771="",COUNTIF(AcctCodesA,$B771)=0),"متفرقه",$B771))))))</f>
        <v/>
      </c>
      <c r="J771">
        <f>IF($H771="","",IF(ROUND($F771,2)&gt;0,IF($D771="شخصی قاسم","شخصی قاسم",IF($D771="هزینه","هزینه: "&amp;IF($E771="","متفرقه",$E771),IF(OR($B771="",COUNTIF(AcctCodesA,$B771)=0),"متفرقه",$B771))),$A771))</f>
        <v/>
      </c>
      <c r="K771">
        <f>IF($A771="","",IF(AND($B771&lt;&gt;"",COUNTIF(AcctCodesA,$B771)=0),"کد طرف در INFO تعریف نشده",IF(AND($D771="هزینه",$E771=""),"هزینه بدون زیرگروه",IF(AND($C771="پاس چک",OR(Sync!$AJ771="",COUNTIF(IssueNosA,Sync!$AJ771)=0)),"شماره چک پاس‌شده معتبر نیست",""))))</f>
        <v/>
      </c>
      <c r="V771">
        <f>IF($K771="","",IF(ISNUMBER(Sync!$AK771),Sync!$AK771,LEFT(Sync!$AK771,4)&amp;MID(Sync!$AK771,6,2)&amp;RIGHT(Sync!$AK771,2))&amp;"|"&amp;"4"&amp;RIGHT("00000"&amp;766,5))</f>
        <v/>
      </c>
      <c r="W771">
        <f>IF($V771="",0,COUNTIFS($V$6:$V$2005,"&lt;"&amp;$V771)-COUNTIFS($V$6:$V$2005,"&lt;"&amp;$V771,$K$6:$K$2005,"")+1)</f>
        <v/>
      </c>
      <c r="X771">
        <f>IF(Sync!$AX771="","",IF(OR(N(Sync!$AY771)=0,N(Sync!$AZ771)=0),"",ROUND(N(Sync!$AY771)*N(Sync!$AZ771),0)))</f>
        <v/>
      </c>
      <c r="Y771">
        <f>IF($X771="","",IF(OR(Sync!$AX771="",COUNTIF(AcctCodesA,Sync!$AX771)=0),"متفرقه",Sync!$AX771))</f>
        <v/>
      </c>
      <c r="Z771">
        <f>IF($X771="","","سبد و ظروف")</f>
        <v/>
      </c>
      <c r="AA771">
        <f>IF($X771="","",$Y771)</f>
        <v/>
      </c>
    </row>
    <row r="772">
      <c r="A772">
        <f>IF(Sync!$Z772="","",LEFT(UPPER(TRIM(Sync!$Z772)),6))</f>
        <v/>
      </c>
      <c r="B772">
        <f>IF($A772="","",IF(Sync!$AA772="","",Sync!$AA772))</f>
        <v/>
      </c>
      <c r="C772">
        <f>IF($A772="","",IF(Sync!$AB772="","",Sync!$AB772))</f>
        <v/>
      </c>
      <c r="D772">
        <f>IF($A772="","",IF(Sync!$AC772="","",Sync!$AC772))</f>
        <v/>
      </c>
      <c r="E772">
        <f>IF($A772="","",IF(Sync!$AD772="","",Sync!$AD772))</f>
        <v/>
      </c>
      <c r="F772">
        <f>IF($A772="","",IF(Sync!$AE772="",0,Sync!$AE772))</f>
        <v/>
      </c>
      <c r="G772">
        <f>IF($A772="","",IF(Sync!$AF772="",0,Sync!$AF772))</f>
        <v/>
      </c>
      <c r="H772">
        <f>IF(OR($A772="",ROUND($F772+$G772,2)=0),"",$F772+$G772)</f>
        <v/>
      </c>
      <c r="I772">
        <f>IF($H772="","",IF(ROUND($F772,2)&gt;0,$A772,IF($D772="شخصی قاسم","شخصی قاسم",IF($D772="هزینه","هزینه: "&amp;IF($E772="","متفرقه",$E772),IF($C772="پاس چک","چک پرداختی",IF(OR($B772="",COUNTIF(AcctCodesA,$B772)=0),"متفرقه",$B772))))))</f>
        <v/>
      </c>
      <c r="J772">
        <f>IF($H772="","",IF(ROUND($F772,2)&gt;0,IF($D772="شخصی قاسم","شخصی قاسم",IF($D772="هزینه","هزینه: "&amp;IF($E772="","متفرقه",$E772),IF(OR($B772="",COUNTIF(AcctCodesA,$B772)=0),"متفرقه",$B772))),$A772))</f>
        <v/>
      </c>
      <c r="K772">
        <f>IF($A772="","",IF(AND($B772&lt;&gt;"",COUNTIF(AcctCodesA,$B772)=0),"کد طرف در INFO تعریف نشده",IF(AND($D772="هزینه",$E772=""),"هزینه بدون زیرگروه",IF(AND($C772="پاس چک",OR(Sync!$AJ772="",COUNTIF(IssueNosA,Sync!$AJ772)=0)),"شماره چک پاس‌شده معتبر نیست",""))))</f>
        <v/>
      </c>
      <c r="V772">
        <f>IF($K772="","",IF(ISNUMBER(Sync!$AK772),Sync!$AK772,LEFT(Sync!$AK772,4)&amp;MID(Sync!$AK772,6,2)&amp;RIGHT(Sync!$AK772,2))&amp;"|"&amp;"4"&amp;RIGHT("00000"&amp;767,5))</f>
        <v/>
      </c>
      <c r="W772">
        <f>IF($V772="",0,COUNTIFS($V$6:$V$2005,"&lt;"&amp;$V772)-COUNTIFS($V$6:$V$2005,"&lt;"&amp;$V772,$K$6:$K$2005,"")+1)</f>
        <v/>
      </c>
      <c r="X772">
        <f>IF(Sync!$AX772="","",IF(OR(N(Sync!$AY772)=0,N(Sync!$AZ772)=0),"",ROUND(N(Sync!$AY772)*N(Sync!$AZ772),0)))</f>
        <v/>
      </c>
      <c r="Y772">
        <f>IF($X772="","",IF(OR(Sync!$AX772="",COUNTIF(AcctCodesA,Sync!$AX772)=0),"متفرقه",Sync!$AX772))</f>
        <v/>
      </c>
      <c r="Z772">
        <f>IF($X772="","","سبد و ظروف")</f>
        <v/>
      </c>
      <c r="AA772">
        <f>IF($X772="","",$Y772)</f>
        <v/>
      </c>
    </row>
    <row r="773">
      <c r="A773">
        <f>IF(Sync!$Z773="","",LEFT(UPPER(TRIM(Sync!$Z773)),6))</f>
        <v/>
      </c>
      <c r="B773">
        <f>IF($A773="","",IF(Sync!$AA773="","",Sync!$AA773))</f>
        <v/>
      </c>
      <c r="C773">
        <f>IF($A773="","",IF(Sync!$AB773="","",Sync!$AB773))</f>
        <v/>
      </c>
      <c r="D773">
        <f>IF($A773="","",IF(Sync!$AC773="","",Sync!$AC773))</f>
        <v/>
      </c>
      <c r="E773">
        <f>IF($A773="","",IF(Sync!$AD773="","",Sync!$AD773))</f>
        <v/>
      </c>
      <c r="F773">
        <f>IF($A773="","",IF(Sync!$AE773="",0,Sync!$AE773))</f>
        <v/>
      </c>
      <c r="G773">
        <f>IF($A773="","",IF(Sync!$AF773="",0,Sync!$AF773))</f>
        <v/>
      </c>
      <c r="H773">
        <f>IF(OR($A773="",ROUND($F773+$G773,2)=0),"",$F773+$G773)</f>
        <v/>
      </c>
      <c r="I773">
        <f>IF($H773="","",IF(ROUND($F773,2)&gt;0,$A773,IF($D773="شخصی قاسم","شخصی قاسم",IF($D773="هزینه","هزینه: "&amp;IF($E773="","متفرقه",$E773),IF($C773="پاس چک","چک پرداختی",IF(OR($B773="",COUNTIF(AcctCodesA,$B773)=0),"متفرقه",$B773))))))</f>
        <v/>
      </c>
      <c r="J773">
        <f>IF($H773="","",IF(ROUND($F773,2)&gt;0,IF($D773="شخصی قاسم","شخصی قاسم",IF($D773="هزینه","هزینه: "&amp;IF($E773="","متفرقه",$E773),IF(OR($B773="",COUNTIF(AcctCodesA,$B773)=0),"متفرقه",$B773))),$A773))</f>
        <v/>
      </c>
      <c r="K773">
        <f>IF($A773="","",IF(AND($B773&lt;&gt;"",COUNTIF(AcctCodesA,$B773)=0),"کد طرف در INFO تعریف نشده",IF(AND($D773="هزینه",$E773=""),"هزینه بدون زیرگروه",IF(AND($C773="پاس چک",OR(Sync!$AJ773="",COUNTIF(IssueNosA,Sync!$AJ773)=0)),"شماره چک پاس‌شده معتبر نیست",""))))</f>
        <v/>
      </c>
      <c r="V773">
        <f>IF($K773="","",IF(ISNUMBER(Sync!$AK773),Sync!$AK773,LEFT(Sync!$AK773,4)&amp;MID(Sync!$AK773,6,2)&amp;RIGHT(Sync!$AK773,2))&amp;"|"&amp;"4"&amp;RIGHT("00000"&amp;768,5))</f>
        <v/>
      </c>
      <c r="W773">
        <f>IF($V773="",0,COUNTIFS($V$6:$V$2005,"&lt;"&amp;$V773)-COUNTIFS($V$6:$V$2005,"&lt;"&amp;$V773,$K$6:$K$2005,"")+1)</f>
        <v/>
      </c>
      <c r="X773">
        <f>IF(Sync!$AX773="","",IF(OR(N(Sync!$AY773)=0,N(Sync!$AZ773)=0),"",ROUND(N(Sync!$AY773)*N(Sync!$AZ773),0)))</f>
        <v/>
      </c>
      <c r="Y773">
        <f>IF($X773="","",IF(OR(Sync!$AX773="",COUNTIF(AcctCodesA,Sync!$AX773)=0),"متفرقه",Sync!$AX773))</f>
        <v/>
      </c>
      <c r="Z773">
        <f>IF($X773="","","سبد و ظروف")</f>
        <v/>
      </c>
      <c r="AA773">
        <f>IF($X773="","",$Y773)</f>
        <v/>
      </c>
    </row>
    <row r="774">
      <c r="A774">
        <f>IF(Sync!$Z774="","",LEFT(UPPER(TRIM(Sync!$Z774)),6))</f>
        <v/>
      </c>
      <c r="B774">
        <f>IF($A774="","",IF(Sync!$AA774="","",Sync!$AA774))</f>
        <v/>
      </c>
      <c r="C774">
        <f>IF($A774="","",IF(Sync!$AB774="","",Sync!$AB774))</f>
        <v/>
      </c>
      <c r="D774">
        <f>IF($A774="","",IF(Sync!$AC774="","",Sync!$AC774))</f>
        <v/>
      </c>
      <c r="E774">
        <f>IF($A774="","",IF(Sync!$AD774="","",Sync!$AD774))</f>
        <v/>
      </c>
      <c r="F774">
        <f>IF($A774="","",IF(Sync!$AE774="",0,Sync!$AE774))</f>
        <v/>
      </c>
      <c r="G774">
        <f>IF($A774="","",IF(Sync!$AF774="",0,Sync!$AF774))</f>
        <v/>
      </c>
      <c r="H774">
        <f>IF(OR($A774="",ROUND($F774+$G774,2)=0),"",$F774+$G774)</f>
        <v/>
      </c>
      <c r="I774">
        <f>IF($H774="","",IF(ROUND($F774,2)&gt;0,$A774,IF($D774="شخصی قاسم","شخصی قاسم",IF($D774="هزینه","هزینه: "&amp;IF($E774="","متفرقه",$E774),IF($C774="پاس چک","چک پرداختی",IF(OR($B774="",COUNTIF(AcctCodesA,$B774)=0),"متفرقه",$B774))))))</f>
        <v/>
      </c>
      <c r="J774">
        <f>IF($H774="","",IF(ROUND($F774,2)&gt;0,IF($D774="شخصی قاسم","شخصی قاسم",IF($D774="هزینه","هزینه: "&amp;IF($E774="","متفرقه",$E774),IF(OR($B774="",COUNTIF(AcctCodesA,$B774)=0),"متفرقه",$B774))),$A774))</f>
        <v/>
      </c>
      <c r="K774">
        <f>IF($A774="","",IF(AND($B774&lt;&gt;"",COUNTIF(AcctCodesA,$B774)=0),"کد طرف در INFO تعریف نشده",IF(AND($D774="هزینه",$E774=""),"هزینه بدون زیرگروه",IF(AND($C774="پاس چک",OR(Sync!$AJ774="",COUNTIF(IssueNosA,Sync!$AJ774)=0)),"شماره چک پاس‌شده معتبر نیست",""))))</f>
        <v/>
      </c>
      <c r="V774">
        <f>IF($K774="","",IF(ISNUMBER(Sync!$AK774),Sync!$AK774,LEFT(Sync!$AK774,4)&amp;MID(Sync!$AK774,6,2)&amp;RIGHT(Sync!$AK774,2))&amp;"|"&amp;"4"&amp;RIGHT("00000"&amp;769,5))</f>
        <v/>
      </c>
      <c r="W774">
        <f>IF($V774="",0,COUNTIFS($V$6:$V$2005,"&lt;"&amp;$V774)-COUNTIFS($V$6:$V$2005,"&lt;"&amp;$V774,$K$6:$K$2005,"")+1)</f>
        <v/>
      </c>
      <c r="X774">
        <f>IF(Sync!$AX774="","",IF(OR(N(Sync!$AY774)=0,N(Sync!$AZ774)=0),"",ROUND(N(Sync!$AY774)*N(Sync!$AZ774),0)))</f>
        <v/>
      </c>
      <c r="Y774">
        <f>IF($X774="","",IF(OR(Sync!$AX774="",COUNTIF(AcctCodesA,Sync!$AX774)=0),"متفرقه",Sync!$AX774))</f>
        <v/>
      </c>
      <c r="Z774">
        <f>IF($X774="","","سبد و ظروف")</f>
        <v/>
      </c>
      <c r="AA774">
        <f>IF($X774="","",$Y774)</f>
        <v/>
      </c>
    </row>
    <row r="775">
      <c r="A775">
        <f>IF(Sync!$Z775="","",LEFT(UPPER(TRIM(Sync!$Z775)),6))</f>
        <v/>
      </c>
      <c r="B775">
        <f>IF($A775="","",IF(Sync!$AA775="","",Sync!$AA775))</f>
        <v/>
      </c>
      <c r="C775">
        <f>IF($A775="","",IF(Sync!$AB775="","",Sync!$AB775))</f>
        <v/>
      </c>
      <c r="D775">
        <f>IF($A775="","",IF(Sync!$AC775="","",Sync!$AC775))</f>
        <v/>
      </c>
      <c r="E775">
        <f>IF($A775="","",IF(Sync!$AD775="","",Sync!$AD775))</f>
        <v/>
      </c>
      <c r="F775">
        <f>IF($A775="","",IF(Sync!$AE775="",0,Sync!$AE775))</f>
        <v/>
      </c>
      <c r="G775">
        <f>IF($A775="","",IF(Sync!$AF775="",0,Sync!$AF775))</f>
        <v/>
      </c>
      <c r="H775">
        <f>IF(OR($A775="",ROUND($F775+$G775,2)=0),"",$F775+$G775)</f>
        <v/>
      </c>
      <c r="I775">
        <f>IF($H775="","",IF(ROUND($F775,2)&gt;0,$A775,IF($D775="شخصی قاسم","شخصی قاسم",IF($D775="هزینه","هزینه: "&amp;IF($E775="","متفرقه",$E775),IF($C775="پاس چک","چک پرداختی",IF(OR($B775="",COUNTIF(AcctCodesA,$B775)=0),"متفرقه",$B775))))))</f>
        <v/>
      </c>
      <c r="J775">
        <f>IF($H775="","",IF(ROUND($F775,2)&gt;0,IF($D775="شخصی قاسم","شخصی قاسم",IF($D775="هزینه","هزینه: "&amp;IF($E775="","متفرقه",$E775),IF(OR($B775="",COUNTIF(AcctCodesA,$B775)=0),"متفرقه",$B775))),$A775))</f>
        <v/>
      </c>
      <c r="K775">
        <f>IF($A775="","",IF(AND($B775&lt;&gt;"",COUNTIF(AcctCodesA,$B775)=0),"کد طرف در INFO تعریف نشده",IF(AND($D775="هزینه",$E775=""),"هزینه بدون زیرگروه",IF(AND($C775="پاس چک",OR(Sync!$AJ775="",COUNTIF(IssueNosA,Sync!$AJ775)=0)),"شماره چک پاس‌شده معتبر نیست",""))))</f>
        <v/>
      </c>
      <c r="V775">
        <f>IF($K775="","",IF(ISNUMBER(Sync!$AK775),Sync!$AK775,LEFT(Sync!$AK775,4)&amp;MID(Sync!$AK775,6,2)&amp;RIGHT(Sync!$AK775,2))&amp;"|"&amp;"4"&amp;RIGHT("00000"&amp;770,5))</f>
        <v/>
      </c>
      <c r="W775">
        <f>IF($V775="",0,COUNTIFS($V$6:$V$2005,"&lt;"&amp;$V775)-COUNTIFS($V$6:$V$2005,"&lt;"&amp;$V775,$K$6:$K$2005,"")+1)</f>
        <v/>
      </c>
      <c r="X775">
        <f>IF(Sync!$AX775="","",IF(OR(N(Sync!$AY775)=0,N(Sync!$AZ775)=0),"",ROUND(N(Sync!$AY775)*N(Sync!$AZ775),0)))</f>
        <v/>
      </c>
      <c r="Y775">
        <f>IF($X775="","",IF(OR(Sync!$AX775="",COUNTIF(AcctCodesA,Sync!$AX775)=0),"متفرقه",Sync!$AX775))</f>
        <v/>
      </c>
      <c r="Z775">
        <f>IF($X775="","","سبد و ظروف")</f>
        <v/>
      </c>
      <c r="AA775">
        <f>IF($X775="","",$Y775)</f>
        <v/>
      </c>
    </row>
    <row r="776">
      <c r="A776">
        <f>IF(Sync!$Z776="","",LEFT(UPPER(TRIM(Sync!$Z776)),6))</f>
        <v/>
      </c>
      <c r="B776">
        <f>IF($A776="","",IF(Sync!$AA776="","",Sync!$AA776))</f>
        <v/>
      </c>
      <c r="C776">
        <f>IF($A776="","",IF(Sync!$AB776="","",Sync!$AB776))</f>
        <v/>
      </c>
      <c r="D776">
        <f>IF($A776="","",IF(Sync!$AC776="","",Sync!$AC776))</f>
        <v/>
      </c>
      <c r="E776">
        <f>IF($A776="","",IF(Sync!$AD776="","",Sync!$AD776))</f>
        <v/>
      </c>
      <c r="F776">
        <f>IF($A776="","",IF(Sync!$AE776="",0,Sync!$AE776))</f>
        <v/>
      </c>
      <c r="G776">
        <f>IF($A776="","",IF(Sync!$AF776="",0,Sync!$AF776))</f>
        <v/>
      </c>
      <c r="H776">
        <f>IF(OR($A776="",ROUND($F776+$G776,2)=0),"",$F776+$G776)</f>
        <v/>
      </c>
      <c r="I776">
        <f>IF($H776="","",IF(ROUND($F776,2)&gt;0,$A776,IF($D776="شخصی قاسم","شخصی قاسم",IF($D776="هزینه","هزینه: "&amp;IF($E776="","متفرقه",$E776),IF($C776="پاس چک","چک پرداختی",IF(OR($B776="",COUNTIF(AcctCodesA,$B776)=0),"متفرقه",$B776))))))</f>
        <v/>
      </c>
      <c r="J776">
        <f>IF($H776="","",IF(ROUND($F776,2)&gt;0,IF($D776="شخصی قاسم","شخصی قاسم",IF($D776="هزینه","هزینه: "&amp;IF($E776="","متفرقه",$E776),IF(OR($B776="",COUNTIF(AcctCodesA,$B776)=0),"متفرقه",$B776))),$A776))</f>
        <v/>
      </c>
      <c r="K776">
        <f>IF($A776="","",IF(AND($B776&lt;&gt;"",COUNTIF(AcctCodesA,$B776)=0),"کد طرف در INFO تعریف نشده",IF(AND($D776="هزینه",$E776=""),"هزینه بدون زیرگروه",IF(AND($C776="پاس چک",OR(Sync!$AJ776="",COUNTIF(IssueNosA,Sync!$AJ776)=0)),"شماره چک پاس‌شده معتبر نیست",""))))</f>
        <v/>
      </c>
      <c r="V776">
        <f>IF($K776="","",IF(ISNUMBER(Sync!$AK776),Sync!$AK776,LEFT(Sync!$AK776,4)&amp;MID(Sync!$AK776,6,2)&amp;RIGHT(Sync!$AK776,2))&amp;"|"&amp;"4"&amp;RIGHT("00000"&amp;771,5))</f>
        <v/>
      </c>
      <c r="W776">
        <f>IF($V776="",0,COUNTIFS($V$6:$V$2005,"&lt;"&amp;$V776)-COUNTIFS($V$6:$V$2005,"&lt;"&amp;$V776,$K$6:$K$2005,"")+1)</f>
        <v/>
      </c>
      <c r="X776">
        <f>IF(Sync!$AX776="","",IF(OR(N(Sync!$AY776)=0,N(Sync!$AZ776)=0),"",ROUND(N(Sync!$AY776)*N(Sync!$AZ776),0)))</f>
        <v/>
      </c>
      <c r="Y776">
        <f>IF($X776="","",IF(OR(Sync!$AX776="",COUNTIF(AcctCodesA,Sync!$AX776)=0),"متفرقه",Sync!$AX776))</f>
        <v/>
      </c>
      <c r="Z776">
        <f>IF($X776="","","سبد و ظروف")</f>
        <v/>
      </c>
      <c r="AA776">
        <f>IF($X776="","",$Y776)</f>
        <v/>
      </c>
    </row>
    <row r="777">
      <c r="A777">
        <f>IF(Sync!$Z777="","",LEFT(UPPER(TRIM(Sync!$Z777)),6))</f>
        <v/>
      </c>
      <c r="B777">
        <f>IF($A777="","",IF(Sync!$AA777="","",Sync!$AA777))</f>
        <v/>
      </c>
      <c r="C777">
        <f>IF($A777="","",IF(Sync!$AB777="","",Sync!$AB777))</f>
        <v/>
      </c>
      <c r="D777">
        <f>IF($A777="","",IF(Sync!$AC777="","",Sync!$AC777))</f>
        <v/>
      </c>
      <c r="E777">
        <f>IF($A777="","",IF(Sync!$AD777="","",Sync!$AD777))</f>
        <v/>
      </c>
      <c r="F777">
        <f>IF($A777="","",IF(Sync!$AE777="",0,Sync!$AE777))</f>
        <v/>
      </c>
      <c r="G777">
        <f>IF($A777="","",IF(Sync!$AF777="",0,Sync!$AF777))</f>
        <v/>
      </c>
      <c r="H777">
        <f>IF(OR($A777="",ROUND($F777+$G777,2)=0),"",$F777+$G777)</f>
        <v/>
      </c>
      <c r="I777">
        <f>IF($H777="","",IF(ROUND($F777,2)&gt;0,$A777,IF($D777="شخصی قاسم","شخصی قاسم",IF($D777="هزینه","هزینه: "&amp;IF($E777="","متفرقه",$E777),IF($C777="پاس چک","چک پرداختی",IF(OR($B777="",COUNTIF(AcctCodesA,$B777)=0),"متفرقه",$B777))))))</f>
        <v/>
      </c>
      <c r="J777">
        <f>IF($H777="","",IF(ROUND($F777,2)&gt;0,IF($D777="شخصی قاسم","شخصی قاسم",IF($D777="هزینه","هزینه: "&amp;IF($E777="","متفرقه",$E777),IF(OR($B777="",COUNTIF(AcctCodesA,$B777)=0),"متفرقه",$B777))),$A777))</f>
        <v/>
      </c>
      <c r="K777">
        <f>IF($A777="","",IF(AND($B777&lt;&gt;"",COUNTIF(AcctCodesA,$B777)=0),"کد طرف در INFO تعریف نشده",IF(AND($D777="هزینه",$E777=""),"هزینه بدون زیرگروه",IF(AND($C777="پاس چک",OR(Sync!$AJ777="",COUNTIF(IssueNosA,Sync!$AJ777)=0)),"شماره چک پاس‌شده معتبر نیست",""))))</f>
        <v/>
      </c>
      <c r="V777">
        <f>IF($K777="","",IF(ISNUMBER(Sync!$AK777),Sync!$AK777,LEFT(Sync!$AK777,4)&amp;MID(Sync!$AK777,6,2)&amp;RIGHT(Sync!$AK777,2))&amp;"|"&amp;"4"&amp;RIGHT("00000"&amp;772,5))</f>
        <v/>
      </c>
      <c r="W777">
        <f>IF($V777="",0,COUNTIFS($V$6:$V$2005,"&lt;"&amp;$V777)-COUNTIFS($V$6:$V$2005,"&lt;"&amp;$V777,$K$6:$K$2005,"")+1)</f>
        <v/>
      </c>
      <c r="X777">
        <f>IF(Sync!$AX777="","",IF(OR(N(Sync!$AY777)=0,N(Sync!$AZ777)=0),"",ROUND(N(Sync!$AY777)*N(Sync!$AZ777),0)))</f>
        <v/>
      </c>
      <c r="Y777">
        <f>IF($X777="","",IF(OR(Sync!$AX777="",COUNTIF(AcctCodesA,Sync!$AX777)=0),"متفرقه",Sync!$AX777))</f>
        <v/>
      </c>
      <c r="Z777">
        <f>IF($X777="","","سبد و ظروف")</f>
        <v/>
      </c>
      <c r="AA777">
        <f>IF($X777="","",$Y777)</f>
        <v/>
      </c>
    </row>
    <row r="778">
      <c r="A778">
        <f>IF(Sync!$Z778="","",LEFT(UPPER(TRIM(Sync!$Z778)),6))</f>
        <v/>
      </c>
      <c r="B778">
        <f>IF($A778="","",IF(Sync!$AA778="","",Sync!$AA778))</f>
        <v/>
      </c>
      <c r="C778">
        <f>IF($A778="","",IF(Sync!$AB778="","",Sync!$AB778))</f>
        <v/>
      </c>
      <c r="D778">
        <f>IF($A778="","",IF(Sync!$AC778="","",Sync!$AC778))</f>
        <v/>
      </c>
      <c r="E778">
        <f>IF($A778="","",IF(Sync!$AD778="","",Sync!$AD778))</f>
        <v/>
      </c>
      <c r="F778">
        <f>IF($A778="","",IF(Sync!$AE778="",0,Sync!$AE778))</f>
        <v/>
      </c>
      <c r="G778">
        <f>IF($A778="","",IF(Sync!$AF778="",0,Sync!$AF778))</f>
        <v/>
      </c>
      <c r="H778">
        <f>IF(OR($A778="",ROUND($F778+$G778,2)=0),"",$F778+$G778)</f>
        <v/>
      </c>
      <c r="I778">
        <f>IF($H778="","",IF(ROUND($F778,2)&gt;0,$A778,IF($D778="شخصی قاسم","شخصی قاسم",IF($D778="هزینه","هزینه: "&amp;IF($E778="","متفرقه",$E778),IF($C778="پاس چک","چک پرداختی",IF(OR($B778="",COUNTIF(AcctCodesA,$B778)=0),"متفرقه",$B778))))))</f>
        <v/>
      </c>
      <c r="J778">
        <f>IF($H778="","",IF(ROUND($F778,2)&gt;0,IF($D778="شخصی قاسم","شخصی قاسم",IF($D778="هزینه","هزینه: "&amp;IF($E778="","متفرقه",$E778),IF(OR($B778="",COUNTIF(AcctCodesA,$B778)=0),"متفرقه",$B778))),$A778))</f>
        <v/>
      </c>
      <c r="K778">
        <f>IF($A778="","",IF(AND($B778&lt;&gt;"",COUNTIF(AcctCodesA,$B778)=0),"کد طرف در INFO تعریف نشده",IF(AND($D778="هزینه",$E778=""),"هزینه بدون زیرگروه",IF(AND($C778="پاس چک",OR(Sync!$AJ778="",COUNTIF(IssueNosA,Sync!$AJ778)=0)),"شماره چک پاس‌شده معتبر نیست",""))))</f>
        <v/>
      </c>
      <c r="V778">
        <f>IF($K778="","",IF(ISNUMBER(Sync!$AK778),Sync!$AK778,LEFT(Sync!$AK778,4)&amp;MID(Sync!$AK778,6,2)&amp;RIGHT(Sync!$AK778,2))&amp;"|"&amp;"4"&amp;RIGHT("00000"&amp;773,5))</f>
        <v/>
      </c>
      <c r="W778">
        <f>IF($V778="",0,COUNTIFS($V$6:$V$2005,"&lt;"&amp;$V778)-COUNTIFS($V$6:$V$2005,"&lt;"&amp;$V778,$K$6:$K$2005,"")+1)</f>
        <v/>
      </c>
      <c r="X778">
        <f>IF(Sync!$AX778="","",IF(OR(N(Sync!$AY778)=0,N(Sync!$AZ778)=0),"",ROUND(N(Sync!$AY778)*N(Sync!$AZ778),0)))</f>
        <v/>
      </c>
      <c r="Y778">
        <f>IF($X778="","",IF(OR(Sync!$AX778="",COUNTIF(AcctCodesA,Sync!$AX778)=0),"متفرقه",Sync!$AX778))</f>
        <v/>
      </c>
      <c r="Z778">
        <f>IF($X778="","","سبد و ظروف")</f>
        <v/>
      </c>
      <c r="AA778">
        <f>IF($X778="","",$Y778)</f>
        <v/>
      </c>
    </row>
    <row r="779">
      <c r="A779">
        <f>IF(Sync!$Z779="","",LEFT(UPPER(TRIM(Sync!$Z779)),6))</f>
        <v/>
      </c>
      <c r="B779">
        <f>IF($A779="","",IF(Sync!$AA779="","",Sync!$AA779))</f>
        <v/>
      </c>
      <c r="C779">
        <f>IF($A779="","",IF(Sync!$AB779="","",Sync!$AB779))</f>
        <v/>
      </c>
      <c r="D779">
        <f>IF($A779="","",IF(Sync!$AC779="","",Sync!$AC779))</f>
        <v/>
      </c>
      <c r="E779">
        <f>IF($A779="","",IF(Sync!$AD779="","",Sync!$AD779))</f>
        <v/>
      </c>
      <c r="F779">
        <f>IF($A779="","",IF(Sync!$AE779="",0,Sync!$AE779))</f>
        <v/>
      </c>
      <c r="G779">
        <f>IF($A779="","",IF(Sync!$AF779="",0,Sync!$AF779))</f>
        <v/>
      </c>
      <c r="H779">
        <f>IF(OR($A779="",ROUND($F779+$G779,2)=0),"",$F779+$G779)</f>
        <v/>
      </c>
      <c r="I779">
        <f>IF($H779="","",IF(ROUND($F779,2)&gt;0,$A779,IF($D779="شخصی قاسم","شخصی قاسم",IF($D779="هزینه","هزینه: "&amp;IF($E779="","متفرقه",$E779),IF($C779="پاس چک","چک پرداختی",IF(OR($B779="",COUNTIF(AcctCodesA,$B779)=0),"متفرقه",$B779))))))</f>
        <v/>
      </c>
      <c r="J779">
        <f>IF($H779="","",IF(ROUND($F779,2)&gt;0,IF($D779="شخصی قاسم","شخصی قاسم",IF($D779="هزینه","هزینه: "&amp;IF($E779="","متفرقه",$E779),IF(OR($B779="",COUNTIF(AcctCodesA,$B779)=0),"متفرقه",$B779))),$A779))</f>
        <v/>
      </c>
      <c r="K779">
        <f>IF($A779="","",IF(AND($B779&lt;&gt;"",COUNTIF(AcctCodesA,$B779)=0),"کد طرف در INFO تعریف نشده",IF(AND($D779="هزینه",$E779=""),"هزینه بدون زیرگروه",IF(AND($C779="پاس چک",OR(Sync!$AJ779="",COUNTIF(IssueNosA,Sync!$AJ779)=0)),"شماره چک پاس‌شده معتبر نیست",""))))</f>
        <v/>
      </c>
      <c r="V779">
        <f>IF($K779="","",IF(ISNUMBER(Sync!$AK779),Sync!$AK779,LEFT(Sync!$AK779,4)&amp;MID(Sync!$AK779,6,2)&amp;RIGHT(Sync!$AK779,2))&amp;"|"&amp;"4"&amp;RIGHT("00000"&amp;774,5))</f>
        <v/>
      </c>
      <c r="W779">
        <f>IF($V779="",0,COUNTIFS($V$6:$V$2005,"&lt;"&amp;$V779)-COUNTIFS($V$6:$V$2005,"&lt;"&amp;$V779,$K$6:$K$2005,"")+1)</f>
        <v/>
      </c>
      <c r="X779">
        <f>IF(Sync!$AX779="","",IF(OR(N(Sync!$AY779)=0,N(Sync!$AZ779)=0),"",ROUND(N(Sync!$AY779)*N(Sync!$AZ779),0)))</f>
        <v/>
      </c>
      <c r="Y779">
        <f>IF($X779="","",IF(OR(Sync!$AX779="",COUNTIF(AcctCodesA,Sync!$AX779)=0),"متفرقه",Sync!$AX779))</f>
        <v/>
      </c>
      <c r="Z779">
        <f>IF($X779="","","سبد و ظروف")</f>
        <v/>
      </c>
      <c r="AA779">
        <f>IF($X779="","",$Y779)</f>
        <v/>
      </c>
    </row>
    <row r="780">
      <c r="A780">
        <f>IF(Sync!$Z780="","",LEFT(UPPER(TRIM(Sync!$Z780)),6))</f>
        <v/>
      </c>
      <c r="B780">
        <f>IF($A780="","",IF(Sync!$AA780="","",Sync!$AA780))</f>
        <v/>
      </c>
      <c r="C780">
        <f>IF($A780="","",IF(Sync!$AB780="","",Sync!$AB780))</f>
        <v/>
      </c>
      <c r="D780">
        <f>IF($A780="","",IF(Sync!$AC780="","",Sync!$AC780))</f>
        <v/>
      </c>
      <c r="E780">
        <f>IF($A780="","",IF(Sync!$AD780="","",Sync!$AD780))</f>
        <v/>
      </c>
      <c r="F780">
        <f>IF($A780="","",IF(Sync!$AE780="",0,Sync!$AE780))</f>
        <v/>
      </c>
      <c r="G780">
        <f>IF($A780="","",IF(Sync!$AF780="",0,Sync!$AF780))</f>
        <v/>
      </c>
      <c r="H780">
        <f>IF(OR($A780="",ROUND($F780+$G780,2)=0),"",$F780+$G780)</f>
        <v/>
      </c>
      <c r="I780">
        <f>IF($H780="","",IF(ROUND($F780,2)&gt;0,$A780,IF($D780="شخصی قاسم","شخصی قاسم",IF($D780="هزینه","هزینه: "&amp;IF($E780="","متفرقه",$E780),IF($C780="پاس چک","چک پرداختی",IF(OR($B780="",COUNTIF(AcctCodesA,$B780)=0),"متفرقه",$B780))))))</f>
        <v/>
      </c>
      <c r="J780">
        <f>IF($H780="","",IF(ROUND($F780,2)&gt;0,IF($D780="شخصی قاسم","شخصی قاسم",IF($D780="هزینه","هزینه: "&amp;IF($E780="","متفرقه",$E780),IF(OR($B780="",COUNTIF(AcctCodesA,$B780)=0),"متفرقه",$B780))),$A780))</f>
        <v/>
      </c>
      <c r="K780">
        <f>IF($A780="","",IF(AND($B780&lt;&gt;"",COUNTIF(AcctCodesA,$B780)=0),"کد طرف در INFO تعریف نشده",IF(AND($D780="هزینه",$E780=""),"هزینه بدون زیرگروه",IF(AND($C780="پاس چک",OR(Sync!$AJ780="",COUNTIF(IssueNosA,Sync!$AJ780)=0)),"شماره چک پاس‌شده معتبر نیست",""))))</f>
        <v/>
      </c>
      <c r="V780">
        <f>IF($K780="","",IF(ISNUMBER(Sync!$AK780),Sync!$AK780,LEFT(Sync!$AK780,4)&amp;MID(Sync!$AK780,6,2)&amp;RIGHT(Sync!$AK780,2))&amp;"|"&amp;"4"&amp;RIGHT("00000"&amp;775,5))</f>
        <v/>
      </c>
      <c r="W780">
        <f>IF($V780="",0,COUNTIFS($V$6:$V$2005,"&lt;"&amp;$V780)-COUNTIFS($V$6:$V$2005,"&lt;"&amp;$V780,$K$6:$K$2005,"")+1)</f>
        <v/>
      </c>
      <c r="X780">
        <f>IF(Sync!$AX780="","",IF(OR(N(Sync!$AY780)=0,N(Sync!$AZ780)=0),"",ROUND(N(Sync!$AY780)*N(Sync!$AZ780),0)))</f>
        <v/>
      </c>
      <c r="Y780">
        <f>IF($X780="","",IF(OR(Sync!$AX780="",COUNTIF(AcctCodesA,Sync!$AX780)=0),"متفرقه",Sync!$AX780))</f>
        <v/>
      </c>
      <c r="Z780">
        <f>IF($X780="","","سبد و ظروف")</f>
        <v/>
      </c>
      <c r="AA780">
        <f>IF($X780="","",$Y780)</f>
        <v/>
      </c>
    </row>
    <row r="781">
      <c r="A781">
        <f>IF(Sync!$Z781="","",LEFT(UPPER(TRIM(Sync!$Z781)),6))</f>
        <v/>
      </c>
      <c r="B781">
        <f>IF($A781="","",IF(Sync!$AA781="","",Sync!$AA781))</f>
        <v/>
      </c>
      <c r="C781">
        <f>IF($A781="","",IF(Sync!$AB781="","",Sync!$AB781))</f>
        <v/>
      </c>
      <c r="D781">
        <f>IF($A781="","",IF(Sync!$AC781="","",Sync!$AC781))</f>
        <v/>
      </c>
      <c r="E781">
        <f>IF($A781="","",IF(Sync!$AD781="","",Sync!$AD781))</f>
        <v/>
      </c>
      <c r="F781">
        <f>IF($A781="","",IF(Sync!$AE781="",0,Sync!$AE781))</f>
        <v/>
      </c>
      <c r="G781">
        <f>IF($A781="","",IF(Sync!$AF781="",0,Sync!$AF781))</f>
        <v/>
      </c>
      <c r="H781">
        <f>IF(OR($A781="",ROUND($F781+$G781,2)=0),"",$F781+$G781)</f>
        <v/>
      </c>
      <c r="I781">
        <f>IF($H781="","",IF(ROUND($F781,2)&gt;0,$A781,IF($D781="شخصی قاسم","شخصی قاسم",IF($D781="هزینه","هزینه: "&amp;IF($E781="","متفرقه",$E781),IF($C781="پاس چک","چک پرداختی",IF(OR($B781="",COUNTIF(AcctCodesA,$B781)=0),"متفرقه",$B781))))))</f>
        <v/>
      </c>
      <c r="J781">
        <f>IF($H781="","",IF(ROUND($F781,2)&gt;0,IF($D781="شخصی قاسم","شخصی قاسم",IF($D781="هزینه","هزینه: "&amp;IF($E781="","متفرقه",$E781),IF(OR($B781="",COUNTIF(AcctCodesA,$B781)=0),"متفرقه",$B781))),$A781))</f>
        <v/>
      </c>
      <c r="K781">
        <f>IF($A781="","",IF(AND($B781&lt;&gt;"",COUNTIF(AcctCodesA,$B781)=0),"کد طرف در INFO تعریف نشده",IF(AND($D781="هزینه",$E781=""),"هزینه بدون زیرگروه",IF(AND($C781="پاس چک",OR(Sync!$AJ781="",COUNTIF(IssueNosA,Sync!$AJ781)=0)),"شماره چک پاس‌شده معتبر نیست",""))))</f>
        <v/>
      </c>
      <c r="V781">
        <f>IF($K781="","",IF(ISNUMBER(Sync!$AK781),Sync!$AK781,LEFT(Sync!$AK781,4)&amp;MID(Sync!$AK781,6,2)&amp;RIGHT(Sync!$AK781,2))&amp;"|"&amp;"4"&amp;RIGHT("00000"&amp;776,5))</f>
        <v/>
      </c>
      <c r="W781">
        <f>IF($V781="",0,COUNTIFS($V$6:$V$2005,"&lt;"&amp;$V781)-COUNTIFS($V$6:$V$2005,"&lt;"&amp;$V781,$K$6:$K$2005,"")+1)</f>
        <v/>
      </c>
      <c r="X781">
        <f>IF(Sync!$AX781="","",IF(OR(N(Sync!$AY781)=0,N(Sync!$AZ781)=0),"",ROUND(N(Sync!$AY781)*N(Sync!$AZ781),0)))</f>
        <v/>
      </c>
      <c r="Y781">
        <f>IF($X781="","",IF(OR(Sync!$AX781="",COUNTIF(AcctCodesA,Sync!$AX781)=0),"متفرقه",Sync!$AX781))</f>
        <v/>
      </c>
      <c r="Z781">
        <f>IF($X781="","","سبد و ظروف")</f>
        <v/>
      </c>
      <c r="AA781">
        <f>IF($X781="","",$Y781)</f>
        <v/>
      </c>
    </row>
    <row r="782">
      <c r="A782">
        <f>IF(Sync!$Z782="","",LEFT(UPPER(TRIM(Sync!$Z782)),6))</f>
        <v/>
      </c>
      <c r="B782">
        <f>IF($A782="","",IF(Sync!$AA782="","",Sync!$AA782))</f>
        <v/>
      </c>
      <c r="C782">
        <f>IF($A782="","",IF(Sync!$AB782="","",Sync!$AB782))</f>
        <v/>
      </c>
      <c r="D782">
        <f>IF($A782="","",IF(Sync!$AC782="","",Sync!$AC782))</f>
        <v/>
      </c>
      <c r="E782">
        <f>IF($A782="","",IF(Sync!$AD782="","",Sync!$AD782))</f>
        <v/>
      </c>
      <c r="F782">
        <f>IF($A782="","",IF(Sync!$AE782="",0,Sync!$AE782))</f>
        <v/>
      </c>
      <c r="G782">
        <f>IF($A782="","",IF(Sync!$AF782="",0,Sync!$AF782))</f>
        <v/>
      </c>
      <c r="H782">
        <f>IF(OR($A782="",ROUND($F782+$G782,2)=0),"",$F782+$G782)</f>
        <v/>
      </c>
      <c r="I782">
        <f>IF($H782="","",IF(ROUND($F782,2)&gt;0,$A782,IF($D782="شخصی قاسم","شخصی قاسم",IF($D782="هزینه","هزینه: "&amp;IF($E782="","متفرقه",$E782),IF($C782="پاس چک","چک پرداختی",IF(OR($B782="",COUNTIF(AcctCodesA,$B782)=0),"متفرقه",$B782))))))</f>
        <v/>
      </c>
      <c r="J782">
        <f>IF($H782="","",IF(ROUND($F782,2)&gt;0,IF($D782="شخصی قاسم","شخصی قاسم",IF($D782="هزینه","هزینه: "&amp;IF($E782="","متفرقه",$E782),IF(OR($B782="",COUNTIF(AcctCodesA,$B782)=0),"متفرقه",$B782))),$A782))</f>
        <v/>
      </c>
      <c r="K782">
        <f>IF($A782="","",IF(AND($B782&lt;&gt;"",COUNTIF(AcctCodesA,$B782)=0),"کد طرف در INFO تعریف نشده",IF(AND($D782="هزینه",$E782=""),"هزینه بدون زیرگروه",IF(AND($C782="پاس چک",OR(Sync!$AJ782="",COUNTIF(IssueNosA,Sync!$AJ782)=0)),"شماره چک پاس‌شده معتبر نیست",""))))</f>
        <v/>
      </c>
      <c r="V782">
        <f>IF($K782="","",IF(ISNUMBER(Sync!$AK782),Sync!$AK782,LEFT(Sync!$AK782,4)&amp;MID(Sync!$AK782,6,2)&amp;RIGHT(Sync!$AK782,2))&amp;"|"&amp;"4"&amp;RIGHT("00000"&amp;777,5))</f>
        <v/>
      </c>
      <c r="W782">
        <f>IF($V782="",0,COUNTIFS($V$6:$V$2005,"&lt;"&amp;$V782)-COUNTIFS($V$6:$V$2005,"&lt;"&amp;$V782,$K$6:$K$2005,"")+1)</f>
        <v/>
      </c>
      <c r="X782">
        <f>IF(Sync!$AX782="","",IF(OR(N(Sync!$AY782)=0,N(Sync!$AZ782)=0),"",ROUND(N(Sync!$AY782)*N(Sync!$AZ782),0)))</f>
        <v/>
      </c>
      <c r="Y782">
        <f>IF($X782="","",IF(OR(Sync!$AX782="",COUNTIF(AcctCodesA,Sync!$AX782)=0),"متفرقه",Sync!$AX782))</f>
        <v/>
      </c>
      <c r="Z782">
        <f>IF($X782="","","سبد و ظروف")</f>
        <v/>
      </c>
      <c r="AA782">
        <f>IF($X782="","",$Y782)</f>
        <v/>
      </c>
    </row>
    <row r="783">
      <c r="A783">
        <f>IF(Sync!$Z783="","",LEFT(UPPER(TRIM(Sync!$Z783)),6))</f>
        <v/>
      </c>
      <c r="B783">
        <f>IF($A783="","",IF(Sync!$AA783="","",Sync!$AA783))</f>
        <v/>
      </c>
      <c r="C783">
        <f>IF($A783="","",IF(Sync!$AB783="","",Sync!$AB783))</f>
        <v/>
      </c>
      <c r="D783">
        <f>IF($A783="","",IF(Sync!$AC783="","",Sync!$AC783))</f>
        <v/>
      </c>
      <c r="E783">
        <f>IF($A783="","",IF(Sync!$AD783="","",Sync!$AD783))</f>
        <v/>
      </c>
      <c r="F783">
        <f>IF($A783="","",IF(Sync!$AE783="",0,Sync!$AE783))</f>
        <v/>
      </c>
      <c r="G783">
        <f>IF($A783="","",IF(Sync!$AF783="",0,Sync!$AF783))</f>
        <v/>
      </c>
      <c r="H783">
        <f>IF(OR($A783="",ROUND($F783+$G783,2)=0),"",$F783+$G783)</f>
        <v/>
      </c>
      <c r="I783">
        <f>IF($H783="","",IF(ROUND($F783,2)&gt;0,$A783,IF($D783="شخصی قاسم","شخصی قاسم",IF($D783="هزینه","هزینه: "&amp;IF($E783="","متفرقه",$E783),IF($C783="پاس چک","چک پرداختی",IF(OR($B783="",COUNTIF(AcctCodesA,$B783)=0),"متفرقه",$B783))))))</f>
        <v/>
      </c>
      <c r="J783">
        <f>IF($H783="","",IF(ROUND($F783,2)&gt;0,IF($D783="شخصی قاسم","شخصی قاسم",IF($D783="هزینه","هزینه: "&amp;IF($E783="","متفرقه",$E783),IF(OR($B783="",COUNTIF(AcctCodesA,$B783)=0),"متفرقه",$B783))),$A783))</f>
        <v/>
      </c>
      <c r="K783">
        <f>IF($A783="","",IF(AND($B783&lt;&gt;"",COUNTIF(AcctCodesA,$B783)=0),"کد طرف در INFO تعریف نشده",IF(AND($D783="هزینه",$E783=""),"هزینه بدون زیرگروه",IF(AND($C783="پاس چک",OR(Sync!$AJ783="",COUNTIF(IssueNosA,Sync!$AJ783)=0)),"شماره چک پاس‌شده معتبر نیست",""))))</f>
        <v/>
      </c>
      <c r="V783">
        <f>IF($K783="","",IF(ISNUMBER(Sync!$AK783),Sync!$AK783,LEFT(Sync!$AK783,4)&amp;MID(Sync!$AK783,6,2)&amp;RIGHT(Sync!$AK783,2))&amp;"|"&amp;"4"&amp;RIGHT("00000"&amp;778,5))</f>
        <v/>
      </c>
      <c r="W783">
        <f>IF($V783="",0,COUNTIFS($V$6:$V$2005,"&lt;"&amp;$V783)-COUNTIFS($V$6:$V$2005,"&lt;"&amp;$V783,$K$6:$K$2005,"")+1)</f>
        <v/>
      </c>
      <c r="X783">
        <f>IF(Sync!$AX783="","",IF(OR(N(Sync!$AY783)=0,N(Sync!$AZ783)=0),"",ROUND(N(Sync!$AY783)*N(Sync!$AZ783),0)))</f>
        <v/>
      </c>
      <c r="Y783">
        <f>IF($X783="","",IF(OR(Sync!$AX783="",COUNTIF(AcctCodesA,Sync!$AX783)=0),"متفرقه",Sync!$AX783))</f>
        <v/>
      </c>
      <c r="Z783">
        <f>IF($X783="","","سبد و ظروف")</f>
        <v/>
      </c>
      <c r="AA783">
        <f>IF($X783="","",$Y783)</f>
        <v/>
      </c>
    </row>
    <row r="784">
      <c r="A784">
        <f>IF(Sync!$Z784="","",LEFT(UPPER(TRIM(Sync!$Z784)),6))</f>
        <v/>
      </c>
      <c r="B784">
        <f>IF($A784="","",IF(Sync!$AA784="","",Sync!$AA784))</f>
        <v/>
      </c>
      <c r="C784">
        <f>IF($A784="","",IF(Sync!$AB784="","",Sync!$AB784))</f>
        <v/>
      </c>
      <c r="D784">
        <f>IF($A784="","",IF(Sync!$AC784="","",Sync!$AC784))</f>
        <v/>
      </c>
      <c r="E784">
        <f>IF($A784="","",IF(Sync!$AD784="","",Sync!$AD784))</f>
        <v/>
      </c>
      <c r="F784">
        <f>IF($A784="","",IF(Sync!$AE784="",0,Sync!$AE784))</f>
        <v/>
      </c>
      <c r="G784">
        <f>IF($A784="","",IF(Sync!$AF784="",0,Sync!$AF784))</f>
        <v/>
      </c>
      <c r="H784">
        <f>IF(OR($A784="",ROUND($F784+$G784,2)=0),"",$F784+$G784)</f>
        <v/>
      </c>
      <c r="I784">
        <f>IF($H784="","",IF(ROUND($F784,2)&gt;0,$A784,IF($D784="شخصی قاسم","شخصی قاسم",IF($D784="هزینه","هزینه: "&amp;IF($E784="","متفرقه",$E784),IF($C784="پاس چک","چک پرداختی",IF(OR($B784="",COUNTIF(AcctCodesA,$B784)=0),"متفرقه",$B784))))))</f>
        <v/>
      </c>
      <c r="J784">
        <f>IF($H784="","",IF(ROUND($F784,2)&gt;0,IF($D784="شخصی قاسم","شخصی قاسم",IF($D784="هزینه","هزینه: "&amp;IF($E784="","متفرقه",$E784),IF(OR($B784="",COUNTIF(AcctCodesA,$B784)=0),"متفرقه",$B784))),$A784))</f>
        <v/>
      </c>
      <c r="K784">
        <f>IF($A784="","",IF(AND($B784&lt;&gt;"",COUNTIF(AcctCodesA,$B784)=0),"کد طرف در INFO تعریف نشده",IF(AND($D784="هزینه",$E784=""),"هزینه بدون زیرگروه",IF(AND($C784="پاس چک",OR(Sync!$AJ784="",COUNTIF(IssueNosA,Sync!$AJ784)=0)),"شماره چک پاس‌شده معتبر نیست",""))))</f>
        <v/>
      </c>
      <c r="V784">
        <f>IF($K784="","",IF(ISNUMBER(Sync!$AK784),Sync!$AK784,LEFT(Sync!$AK784,4)&amp;MID(Sync!$AK784,6,2)&amp;RIGHT(Sync!$AK784,2))&amp;"|"&amp;"4"&amp;RIGHT("00000"&amp;779,5))</f>
        <v/>
      </c>
      <c r="W784">
        <f>IF($V784="",0,COUNTIFS($V$6:$V$2005,"&lt;"&amp;$V784)-COUNTIFS($V$6:$V$2005,"&lt;"&amp;$V784,$K$6:$K$2005,"")+1)</f>
        <v/>
      </c>
      <c r="X784">
        <f>IF(Sync!$AX784="","",IF(OR(N(Sync!$AY784)=0,N(Sync!$AZ784)=0),"",ROUND(N(Sync!$AY784)*N(Sync!$AZ784),0)))</f>
        <v/>
      </c>
      <c r="Y784">
        <f>IF($X784="","",IF(OR(Sync!$AX784="",COUNTIF(AcctCodesA,Sync!$AX784)=0),"متفرقه",Sync!$AX784))</f>
        <v/>
      </c>
      <c r="Z784">
        <f>IF($X784="","","سبد و ظروف")</f>
        <v/>
      </c>
      <c r="AA784">
        <f>IF($X784="","",$Y784)</f>
        <v/>
      </c>
    </row>
    <row r="785">
      <c r="A785">
        <f>IF(Sync!$Z785="","",LEFT(UPPER(TRIM(Sync!$Z785)),6))</f>
        <v/>
      </c>
      <c r="B785">
        <f>IF($A785="","",IF(Sync!$AA785="","",Sync!$AA785))</f>
        <v/>
      </c>
      <c r="C785">
        <f>IF($A785="","",IF(Sync!$AB785="","",Sync!$AB785))</f>
        <v/>
      </c>
      <c r="D785">
        <f>IF($A785="","",IF(Sync!$AC785="","",Sync!$AC785))</f>
        <v/>
      </c>
      <c r="E785">
        <f>IF($A785="","",IF(Sync!$AD785="","",Sync!$AD785))</f>
        <v/>
      </c>
      <c r="F785">
        <f>IF($A785="","",IF(Sync!$AE785="",0,Sync!$AE785))</f>
        <v/>
      </c>
      <c r="G785">
        <f>IF($A785="","",IF(Sync!$AF785="",0,Sync!$AF785))</f>
        <v/>
      </c>
      <c r="H785">
        <f>IF(OR($A785="",ROUND($F785+$G785,2)=0),"",$F785+$G785)</f>
        <v/>
      </c>
      <c r="I785">
        <f>IF($H785="","",IF(ROUND($F785,2)&gt;0,$A785,IF($D785="شخصی قاسم","شخصی قاسم",IF($D785="هزینه","هزینه: "&amp;IF($E785="","متفرقه",$E785),IF($C785="پاس چک","چک پرداختی",IF(OR($B785="",COUNTIF(AcctCodesA,$B785)=0),"متفرقه",$B785))))))</f>
        <v/>
      </c>
      <c r="J785">
        <f>IF($H785="","",IF(ROUND($F785,2)&gt;0,IF($D785="شخصی قاسم","شخصی قاسم",IF($D785="هزینه","هزینه: "&amp;IF($E785="","متفرقه",$E785),IF(OR($B785="",COUNTIF(AcctCodesA,$B785)=0),"متفرقه",$B785))),$A785))</f>
        <v/>
      </c>
      <c r="K785">
        <f>IF($A785="","",IF(AND($B785&lt;&gt;"",COUNTIF(AcctCodesA,$B785)=0),"کد طرف در INFO تعریف نشده",IF(AND($D785="هزینه",$E785=""),"هزینه بدون زیرگروه",IF(AND($C785="پاس چک",OR(Sync!$AJ785="",COUNTIF(IssueNosA,Sync!$AJ785)=0)),"شماره چک پاس‌شده معتبر نیست",""))))</f>
        <v/>
      </c>
      <c r="V785">
        <f>IF($K785="","",IF(ISNUMBER(Sync!$AK785),Sync!$AK785,LEFT(Sync!$AK785,4)&amp;MID(Sync!$AK785,6,2)&amp;RIGHT(Sync!$AK785,2))&amp;"|"&amp;"4"&amp;RIGHT("00000"&amp;780,5))</f>
        <v/>
      </c>
      <c r="W785">
        <f>IF($V785="",0,COUNTIFS($V$6:$V$2005,"&lt;"&amp;$V785)-COUNTIFS($V$6:$V$2005,"&lt;"&amp;$V785,$K$6:$K$2005,"")+1)</f>
        <v/>
      </c>
      <c r="X785">
        <f>IF(Sync!$AX785="","",IF(OR(N(Sync!$AY785)=0,N(Sync!$AZ785)=0),"",ROUND(N(Sync!$AY785)*N(Sync!$AZ785),0)))</f>
        <v/>
      </c>
      <c r="Y785">
        <f>IF($X785="","",IF(OR(Sync!$AX785="",COUNTIF(AcctCodesA,Sync!$AX785)=0),"متفرقه",Sync!$AX785))</f>
        <v/>
      </c>
      <c r="Z785">
        <f>IF($X785="","","سبد و ظروف")</f>
        <v/>
      </c>
      <c r="AA785">
        <f>IF($X785="","",$Y785)</f>
        <v/>
      </c>
    </row>
    <row r="786">
      <c r="A786">
        <f>IF(Sync!$Z786="","",LEFT(UPPER(TRIM(Sync!$Z786)),6))</f>
        <v/>
      </c>
      <c r="B786">
        <f>IF($A786="","",IF(Sync!$AA786="","",Sync!$AA786))</f>
        <v/>
      </c>
      <c r="C786">
        <f>IF($A786="","",IF(Sync!$AB786="","",Sync!$AB786))</f>
        <v/>
      </c>
      <c r="D786">
        <f>IF($A786="","",IF(Sync!$AC786="","",Sync!$AC786))</f>
        <v/>
      </c>
      <c r="E786">
        <f>IF($A786="","",IF(Sync!$AD786="","",Sync!$AD786))</f>
        <v/>
      </c>
      <c r="F786">
        <f>IF($A786="","",IF(Sync!$AE786="",0,Sync!$AE786))</f>
        <v/>
      </c>
      <c r="G786">
        <f>IF($A786="","",IF(Sync!$AF786="",0,Sync!$AF786))</f>
        <v/>
      </c>
      <c r="H786">
        <f>IF(OR($A786="",ROUND($F786+$G786,2)=0),"",$F786+$G786)</f>
        <v/>
      </c>
      <c r="I786">
        <f>IF($H786="","",IF(ROUND($F786,2)&gt;0,$A786,IF($D786="شخصی قاسم","شخصی قاسم",IF($D786="هزینه","هزینه: "&amp;IF($E786="","متفرقه",$E786),IF($C786="پاس چک","چک پرداختی",IF(OR($B786="",COUNTIF(AcctCodesA,$B786)=0),"متفرقه",$B786))))))</f>
        <v/>
      </c>
      <c r="J786">
        <f>IF($H786="","",IF(ROUND($F786,2)&gt;0,IF($D786="شخصی قاسم","شخصی قاسم",IF($D786="هزینه","هزینه: "&amp;IF($E786="","متفرقه",$E786),IF(OR($B786="",COUNTIF(AcctCodesA,$B786)=0),"متفرقه",$B786))),$A786))</f>
        <v/>
      </c>
      <c r="K786">
        <f>IF($A786="","",IF(AND($B786&lt;&gt;"",COUNTIF(AcctCodesA,$B786)=0),"کد طرف در INFO تعریف نشده",IF(AND($D786="هزینه",$E786=""),"هزینه بدون زیرگروه",IF(AND($C786="پاس چک",OR(Sync!$AJ786="",COUNTIF(IssueNosA,Sync!$AJ786)=0)),"شماره چک پاس‌شده معتبر نیست",""))))</f>
        <v/>
      </c>
      <c r="V786">
        <f>IF($K786="","",IF(ISNUMBER(Sync!$AK786),Sync!$AK786,LEFT(Sync!$AK786,4)&amp;MID(Sync!$AK786,6,2)&amp;RIGHT(Sync!$AK786,2))&amp;"|"&amp;"4"&amp;RIGHT("00000"&amp;781,5))</f>
        <v/>
      </c>
      <c r="W786">
        <f>IF($V786="",0,COUNTIFS($V$6:$V$2005,"&lt;"&amp;$V786)-COUNTIFS($V$6:$V$2005,"&lt;"&amp;$V786,$K$6:$K$2005,"")+1)</f>
        <v/>
      </c>
      <c r="X786">
        <f>IF(Sync!$AX786="","",IF(OR(N(Sync!$AY786)=0,N(Sync!$AZ786)=0),"",ROUND(N(Sync!$AY786)*N(Sync!$AZ786),0)))</f>
        <v/>
      </c>
      <c r="Y786">
        <f>IF($X786="","",IF(OR(Sync!$AX786="",COUNTIF(AcctCodesA,Sync!$AX786)=0),"متفرقه",Sync!$AX786))</f>
        <v/>
      </c>
      <c r="Z786">
        <f>IF($X786="","","سبد و ظروف")</f>
        <v/>
      </c>
      <c r="AA786">
        <f>IF($X786="","",$Y786)</f>
        <v/>
      </c>
    </row>
    <row r="787">
      <c r="A787">
        <f>IF(Sync!$Z787="","",LEFT(UPPER(TRIM(Sync!$Z787)),6))</f>
        <v/>
      </c>
      <c r="B787">
        <f>IF($A787="","",IF(Sync!$AA787="","",Sync!$AA787))</f>
        <v/>
      </c>
      <c r="C787">
        <f>IF($A787="","",IF(Sync!$AB787="","",Sync!$AB787))</f>
        <v/>
      </c>
      <c r="D787">
        <f>IF($A787="","",IF(Sync!$AC787="","",Sync!$AC787))</f>
        <v/>
      </c>
      <c r="E787">
        <f>IF($A787="","",IF(Sync!$AD787="","",Sync!$AD787))</f>
        <v/>
      </c>
      <c r="F787">
        <f>IF($A787="","",IF(Sync!$AE787="",0,Sync!$AE787))</f>
        <v/>
      </c>
      <c r="G787">
        <f>IF($A787="","",IF(Sync!$AF787="",0,Sync!$AF787))</f>
        <v/>
      </c>
      <c r="H787">
        <f>IF(OR($A787="",ROUND($F787+$G787,2)=0),"",$F787+$G787)</f>
        <v/>
      </c>
      <c r="I787">
        <f>IF($H787="","",IF(ROUND($F787,2)&gt;0,$A787,IF($D787="شخصی قاسم","شخصی قاسم",IF($D787="هزینه","هزینه: "&amp;IF($E787="","متفرقه",$E787),IF($C787="پاس چک","چک پرداختی",IF(OR($B787="",COUNTIF(AcctCodesA,$B787)=0),"متفرقه",$B787))))))</f>
        <v/>
      </c>
      <c r="J787">
        <f>IF($H787="","",IF(ROUND($F787,2)&gt;0,IF($D787="شخصی قاسم","شخصی قاسم",IF($D787="هزینه","هزینه: "&amp;IF($E787="","متفرقه",$E787),IF(OR($B787="",COUNTIF(AcctCodesA,$B787)=0),"متفرقه",$B787))),$A787))</f>
        <v/>
      </c>
      <c r="K787">
        <f>IF($A787="","",IF(AND($B787&lt;&gt;"",COUNTIF(AcctCodesA,$B787)=0),"کد طرف در INFO تعریف نشده",IF(AND($D787="هزینه",$E787=""),"هزینه بدون زیرگروه",IF(AND($C787="پاس چک",OR(Sync!$AJ787="",COUNTIF(IssueNosA,Sync!$AJ787)=0)),"شماره چک پاس‌شده معتبر نیست",""))))</f>
        <v/>
      </c>
      <c r="V787">
        <f>IF($K787="","",IF(ISNUMBER(Sync!$AK787),Sync!$AK787,LEFT(Sync!$AK787,4)&amp;MID(Sync!$AK787,6,2)&amp;RIGHT(Sync!$AK787,2))&amp;"|"&amp;"4"&amp;RIGHT("00000"&amp;782,5))</f>
        <v/>
      </c>
      <c r="W787">
        <f>IF($V787="",0,COUNTIFS($V$6:$V$2005,"&lt;"&amp;$V787)-COUNTIFS($V$6:$V$2005,"&lt;"&amp;$V787,$K$6:$K$2005,"")+1)</f>
        <v/>
      </c>
      <c r="X787">
        <f>IF(Sync!$AX787="","",IF(OR(N(Sync!$AY787)=0,N(Sync!$AZ787)=0),"",ROUND(N(Sync!$AY787)*N(Sync!$AZ787),0)))</f>
        <v/>
      </c>
      <c r="Y787">
        <f>IF($X787="","",IF(OR(Sync!$AX787="",COUNTIF(AcctCodesA,Sync!$AX787)=0),"متفرقه",Sync!$AX787))</f>
        <v/>
      </c>
      <c r="Z787">
        <f>IF($X787="","","سبد و ظروف")</f>
        <v/>
      </c>
      <c r="AA787">
        <f>IF($X787="","",$Y787)</f>
        <v/>
      </c>
    </row>
    <row r="788">
      <c r="A788">
        <f>IF(Sync!$Z788="","",LEFT(UPPER(TRIM(Sync!$Z788)),6))</f>
        <v/>
      </c>
      <c r="B788">
        <f>IF($A788="","",IF(Sync!$AA788="","",Sync!$AA788))</f>
        <v/>
      </c>
      <c r="C788">
        <f>IF($A788="","",IF(Sync!$AB788="","",Sync!$AB788))</f>
        <v/>
      </c>
      <c r="D788">
        <f>IF($A788="","",IF(Sync!$AC788="","",Sync!$AC788))</f>
        <v/>
      </c>
      <c r="E788">
        <f>IF($A788="","",IF(Sync!$AD788="","",Sync!$AD788))</f>
        <v/>
      </c>
      <c r="F788">
        <f>IF($A788="","",IF(Sync!$AE788="",0,Sync!$AE788))</f>
        <v/>
      </c>
      <c r="G788">
        <f>IF($A788="","",IF(Sync!$AF788="",0,Sync!$AF788))</f>
        <v/>
      </c>
      <c r="H788">
        <f>IF(OR($A788="",ROUND($F788+$G788,2)=0),"",$F788+$G788)</f>
        <v/>
      </c>
      <c r="I788">
        <f>IF($H788="","",IF(ROUND($F788,2)&gt;0,$A788,IF($D788="شخصی قاسم","شخصی قاسم",IF($D788="هزینه","هزینه: "&amp;IF($E788="","متفرقه",$E788),IF($C788="پاس چک","چک پرداختی",IF(OR($B788="",COUNTIF(AcctCodesA,$B788)=0),"متفرقه",$B788))))))</f>
        <v/>
      </c>
      <c r="J788">
        <f>IF($H788="","",IF(ROUND($F788,2)&gt;0,IF($D788="شخصی قاسم","شخصی قاسم",IF($D788="هزینه","هزینه: "&amp;IF($E788="","متفرقه",$E788),IF(OR($B788="",COUNTIF(AcctCodesA,$B788)=0),"متفرقه",$B788))),$A788))</f>
        <v/>
      </c>
      <c r="K788">
        <f>IF($A788="","",IF(AND($B788&lt;&gt;"",COUNTIF(AcctCodesA,$B788)=0),"کد طرف در INFO تعریف نشده",IF(AND($D788="هزینه",$E788=""),"هزینه بدون زیرگروه",IF(AND($C788="پاس چک",OR(Sync!$AJ788="",COUNTIF(IssueNosA,Sync!$AJ788)=0)),"شماره چک پاس‌شده معتبر نیست",""))))</f>
        <v/>
      </c>
      <c r="V788">
        <f>IF($K788="","",IF(ISNUMBER(Sync!$AK788),Sync!$AK788,LEFT(Sync!$AK788,4)&amp;MID(Sync!$AK788,6,2)&amp;RIGHT(Sync!$AK788,2))&amp;"|"&amp;"4"&amp;RIGHT("00000"&amp;783,5))</f>
        <v/>
      </c>
      <c r="W788">
        <f>IF($V788="",0,COUNTIFS($V$6:$V$2005,"&lt;"&amp;$V788)-COUNTIFS($V$6:$V$2005,"&lt;"&amp;$V788,$K$6:$K$2005,"")+1)</f>
        <v/>
      </c>
      <c r="X788">
        <f>IF(Sync!$AX788="","",IF(OR(N(Sync!$AY788)=0,N(Sync!$AZ788)=0),"",ROUND(N(Sync!$AY788)*N(Sync!$AZ788),0)))</f>
        <v/>
      </c>
      <c r="Y788">
        <f>IF($X788="","",IF(OR(Sync!$AX788="",COUNTIF(AcctCodesA,Sync!$AX788)=0),"متفرقه",Sync!$AX788))</f>
        <v/>
      </c>
      <c r="Z788">
        <f>IF($X788="","","سبد و ظروف")</f>
        <v/>
      </c>
      <c r="AA788">
        <f>IF($X788="","",$Y788)</f>
        <v/>
      </c>
    </row>
    <row r="789">
      <c r="A789">
        <f>IF(Sync!$Z789="","",LEFT(UPPER(TRIM(Sync!$Z789)),6))</f>
        <v/>
      </c>
      <c r="B789">
        <f>IF($A789="","",IF(Sync!$AA789="","",Sync!$AA789))</f>
        <v/>
      </c>
      <c r="C789">
        <f>IF($A789="","",IF(Sync!$AB789="","",Sync!$AB789))</f>
        <v/>
      </c>
      <c r="D789">
        <f>IF($A789="","",IF(Sync!$AC789="","",Sync!$AC789))</f>
        <v/>
      </c>
      <c r="E789">
        <f>IF($A789="","",IF(Sync!$AD789="","",Sync!$AD789))</f>
        <v/>
      </c>
      <c r="F789">
        <f>IF($A789="","",IF(Sync!$AE789="",0,Sync!$AE789))</f>
        <v/>
      </c>
      <c r="G789">
        <f>IF($A789="","",IF(Sync!$AF789="",0,Sync!$AF789))</f>
        <v/>
      </c>
      <c r="H789">
        <f>IF(OR($A789="",ROUND($F789+$G789,2)=0),"",$F789+$G789)</f>
        <v/>
      </c>
      <c r="I789">
        <f>IF($H789="","",IF(ROUND($F789,2)&gt;0,$A789,IF($D789="شخصی قاسم","شخصی قاسم",IF($D789="هزینه","هزینه: "&amp;IF($E789="","متفرقه",$E789),IF($C789="پاس چک","چک پرداختی",IF(OR($B789="",COUNTIF(AcctCodesA,$B789)=0),"متفرقه",$B789))))))</f>
        <v/>
      </c>
      <c r="J789">
        <f>IF($H789="","",IF(ROUND($F789,2)&gt;0,IF($D789="شخصی قاسم","شخصی قاسم",IF($D789="هزینه","هزینه: "&amp;IF($E789="","متفرقه",$E789),IF(OR($B789="",COUNTIF(AcctCodesA,$B789)=0),"متفرقه",$B789))),$A789))</f>
        <v/>
      </c>
      <c r="K789">
        <f>IF($A789="","",IF(AND($B789&lt;&gt;"",COUNTIF(AcctCodesA,$B789)=0),"کد طرف در INFO تعریف نشده",IF(AND($D789="هزینه",$E789=""),"هزینه بدون زیرگروه",IF(AND($C789="پاس چک",OR(Sync!$AJ789="",COUNTIF(IssueNosA,Sync!$AJ789)=0)),"شماره چک پاس‌شده معتبر نیست",""))))</f>
        <v/>
      </c>
      <c r="V789">
        <f>IF($K789="","",IF(ISNUMBER(Sync!$AK789),Sync!$AK789,LEFT(Sync!$AK789,4)&amp;MID(Sync!$AK789,6,2)&amp;RIGHT(Sync!$AK789,2))&amp;"|"&amp;"4"&amp;RIGHT("00000"&amp;784,5))</f>
        <v/>
      </c>
      <c r="W789">
        <f>IF($V789="",0,COUNTIFS($V$6:$V$2005,"&lt;"&amp;$V789)-COUNTIFS($V$6:$V$2005,"&lt;"&amp;$V789,$K$6:$K$2005,"")+1)</f>
        <v/>
      </c>
      <c r="X789">
        <f>IF(Sync!$AX789="","",IF(OR(N(Sync!$AY789)=0,N(Sync!$AZ789)=0),"",ROUND(N(Sync!$AY789)*N(Sync!$AZ789),0)))</f>
        <v/>
      </c>
      <c r="Y789">
        <f>IF($X789="","",IF(OR(Sync!$AX789="",COUNTIF(AcctCodesA,Sync!$AX789)=0),"متفرقه",Sync!$AX789))</f>
        <v/>
      </c>
      <c r="Z789">
        <f>IF($X789="","","سبد و ظروف")</f>
        <v/>
      </c>
      <c r="AA789">
        <f>IF($X789="","",$Y789)</f>
        <v/>
      </c>
    </row>
    <row r="790">
      <c r="A790">
        <f>IF(Sync!$Z790="","",LEFT(UPPER(TRIM(Sync!$Z790)),6))</f>
        <v/>
      </c>
      <c r="B790">
        <f>IF($A790="","",IF(Sync!$AA790="","",Sync!$AA790))</f>
        <v/>
      </c>
      <c r="C790">
        <f>IF($A790="","",IF(Sync!$AB790="","",Sync!$AB790))</f>
        <v/>
      </c>
      <c r="D790">
        <f>IF($A790="","",IF(Sync!$AC790="","",Sync!$AC790))</f>
        <v/>
      </c>
      <c r="E790">
        <f>IF($A790="","",IF(Sync!$AD790="","",Sync!$AD790))</f>
        <v/>
      </c>
      <c r="F790">
        <f>IF($A790="","",IF(Sync!$AE790="",0,Sync!$AE790))</f>
        <v/>
      </c>
      <c r="G790">
        <f>IF($A790="","",IF(Sync!$AF790="",0,Sync!$AF790))</f>
        <v/>
      </c>
      <c r="H790">
        <f>IF(OR($A790="",ROUND($F790+$G790,2)=0),"",$F790+$G790)</f>
        <v/>
      </c>
      <c r="I790">
        <f>IF($H790="","",IF(ROUND($F790,2)&gt;0,$A790,IF($D790="شخصی قاسم","شخصی قاسم",IF($D790="هزینه","هزینه: "&amp;IF($E790="","متفرقه",$E790),IF($C790="پاس چک","چک پرداختی",IF(OR($B790="",COUNTIF(AcctCodesA,$B790)=0),"متفرقه",$B790))))))</f>
        <v/>
      </c>
      <c r="J790">
        <f>IF($H790="","",IF(ROUND($F790,2)&gt;0,IF($D790="شخصی قاسم","شخصی قاسم",IF($D790="هزینه","هزینه: "&amp;IF($E790="","متفرقه",$E790),IF(OR($B790="",COUNTIF(AcctCodesA,$B790)=0),"متفرقه",$B790))),$A790))</f>
        <v/>
      </c>
      <c r="K790">
        <f>IF($A790="","",IF(AND($B790&lt;&gt;"",COUNTIF(AcctCodesA,$B790)=0),"کد طرف در INFO تعریف نشده",IF(AND($D790="هزینه",$E790=""),"هزینه بدون زیرگروه",IF(AND($C790="پاس چک",OR(Sync!$AJ790="",COUNTIF(IssueNosA,Sync!$AJ790)=0)),"شماره چک پاس‌شده معتبر نیست",""))))</f>
        <v/>
      </c>
      <c r="V790">
        <f>IF($K790="","",IF(ISNUMBER(Sync!$AK790),Sync!$AK790,LEFT(Sync!$AK790,4)&amp;MID(Sync!$AK790,6,2)&amp;RIGHT(Sync!$AK790,2))&amp;"|"&amp;"4"&amp;RIGHT("00000"&amp;785,5))</f>
        <v/>
      </c>
      <c r="W790">
        <f>IF($V790="",0,COUNTIFS($V$6:$V$2005,"&lt;"&amp;$V790)-COUNTIFS($V$6:$V$2005,"&lt;"&amp;$V790,$K$6:$K$2005,"")+1)</f>
        <v/>
      </c>
      <c r="X790">
        <f>IF(Sync!$AX790="","",IF(OR(N(Sync!$AY790)=0,N(Sync!$AZ790)=0),"",ROUND(N(Sync!$AY790)*N(Sync!$AZ790),0)))</f>
        <v/>
      </c>
      <c r="Y790">
        <f>IF($X790="","",IF(OR(Sync!$AX790="",COUNTIF(AcctCodesA,Sync!$AX790)=0),"متفرقه",Sync!$AX790))</f>
        <v/>
      </c>
      <c r="Z790">
        <f>IF($X790="","","سبد و ظروف")</f>
        <v/>
      </c>
      <c r="AA790">
        <f>IF($X790="","",$Y790)</f>
        <v/>
      </c>
    </row>
    <row r="791">
      <c r="A791">
        <f>IF(Sync!$Z791="","",LEFT(UPPER(TRIM(Sync!$Z791)),6))</f>
        <v/>
      </c>
      <c r="B791">
        <f>IF($A791="","",IF(Sync!$AA791="","",Sync!$AA791))</f>
        <v/>
      </c>
      <c r="C791">
        <f>IF($A791="","",IF(Sync!$AB791="","",Sync!$AB791))</f>
        <v/>
      </c>
      <c r="D791">
        <f>IF($A791="","",IF(Sync!$AC791="","",Sync!$AC791))</f>
        <v/>
      </c>
      <c r="E791">
        <f>IF($A791="","",IF(Sync!$AD791="","",Sync!$AD791))</f>
        <v/>
      </c>
      <c r="F791">
        <f>IF($A791="","",IF(Sync!$AE791="",0,Sync!$AE791))</f>
        <v/>
      </c>
      <c r="G791">
        <f>IF($A791="","",IF(Sync!$AF791="",0,Sync!$AF791))</f>
        <v/>
      </c>
      <c r="H791">
        <f>IF(OR($A791="",ROUND($F791+$G791,2)=0),"",$F791+$G791)</f>
        <v/>
      </c>
      <c r="I791">
        <f>IF($H791="","",IF(ROUND($F791,2)&gt;0,$A791,IF($D791="شخصی قاسم","شخصی قاسم",IF($D791="هزینه","هزینه: "&amp;IF($E791="","متفرقه",$E791),IF($C791="پاس چک","چک پرداختی",IF(OR($B791="",COUNTIF(AcctCodesA,$B791)=0),"متفرقه",$B791))))))</f>
        <v/>
      </c>
      <c r="J791">
        <f>IF($H791="","",IF(ROUND($F791,2)&gt;0,IF($D791="شخصی قاسم","شخصی قاسم",IF($D791="هزینه","هزینه: "&amp;IF($E791="","متفرقه",$E791),IF(OR($B791="",COUNTIF(AcctCodesA,$B791)=0),"متفرقه",$B791))),$A791))</f>
        <v/>
      </c>
      <c r="K791">
        <f>IF($A791="","",IF(AND($B791&lt;&gt;"",COUNTIF(AcctCodesA,$B791)=0),"کد طرف در INFO تعریف نشده",IF(AND($D791="هزینه",$E791=""),"هزینه بدون زیرگروه",IF(AND($C791="پاس چک",OR(Sync!$AJ791="",COUNTIF(IssueNosA,Sync!$AJ791)=0)),"شماره چک پاس‌شده معتبر نیست",""))))</f>
        <v/>
      </c>
      <c r="V791">
        <f>IF($K791="","",IF(ISNUMBER(Sync!$AK791),Sync!$AK791,LEFT(Sync!$AK791,4)&amp;MID(Sync!$AK791,6,2)&amp;RIGHT(Sync!$AK791,2))&amp;"|"&amp;"4"&amp;RIGHT("00000"&amp;786,5))</f>
        <v/>
      </c>
      <c r="W791">
        <f>IF($V791="",0,COUNTIFS($V$6:$V$2005,"&lt;"&amp;$V791)-COUNTIFS($V$6:$V$2005,"&lt;"&amp;$V791,$K$6:$K$2005,"")+1)</f>
        <v/>
      </c>
      <c r="X791">
        <f>IF(Sync!$AX791="","",IF(OR(N(Sync!$AY791)=0,N(Sync!$AZ791)=0),"",ROUND(N(Sync!$AY791)*N(Sync!$AZ791),0)))</f>
        <v/>
      </c>
      <c r="Y791">
        <f>IF($X791="","",IF(OR(Sync!$AX791="",COUNTIF(AcctCodesA,Sync!$AX791)=0),"متفرقه",Sync!$AX791))</f>
        <v/>
      </c>
      <c r="Z791">
        <f>IF($X791="","","سبد و ظروف")</f>
        <v/>
      </c>
      <c r="AA791">
        <f>IF($X791="","",$Y791)</f>
        <v/>
      </c>
    </row>
    <row r="792">
      <c r="A792">
        <f>IF(Sync!$Z792="","",LEFT(UPPER(TRIM(Sync!$Z792)),6))</f>
        <v/>
      </c>
      <c r="B792">
        <f>IF($A792="","",IF(Sync!$AA792="","",Sync!$AA792))</f>
        <v/>
      </c>
      <c r="C792">
        <f>IF($A792="","",IF(Sync!$AB792="","",Sync!$AB792))</f>
        <v/>
      </c>
      <c r="D792">
        <f>IF($A792="","",IF(Sync!$AC792="","",Sync!$AC792))</f>
        <v/>
      </c>
      <c r="E792">
        <f>IF($A792="","",IF(Sync!$AD792="","",Sync!$AD792))</f>
        <v/>
      </c>
      <c r="F792">
        <f>IF($A792="","",IF(Sync!$AE792="",0,Sync!$AE792))</f>
        <v/>
      </c>
      <c r="G792">
        <f>IF($A792="","",IF(Sync!$AF792="",0,Sync!$AF792))</f>
        <v/>
      </c>
      <c r="H792">
        <f>IF(OR($A792="",ROUND($F792+$G792,2)=0),"",$F792+$G792)</f>
        <v/>
      </c>
      <c r="I792">
        <f>IF($H792="","",IF(ROUND($F792,2)&gt;0,$A792,IF($D792="شخصی قاسم","شخصی قاسم",IF($D792="هزینه","هزینه: "&amp;IF($E792="","متفرقه",$E792),IF($C792="پاس چک","چک پرداختی",IF(OR($B792="",COUNTIF(AcctCodesA,$B792)=0),"متفرقه",$B792))))))</f>
        <v/>
      </c>
      <c r="J792">
        <f>IF($H792="","",IF(ROUND($F792,2)&gt;0,IF($D792="شخصی قاسم","شخصی قاسم",IF($D792="هزینه","هزینه: "&amp;IF($E792="","متفرقه",$E792),IF(OR($B792="",COUNTIF(AcctCodesA,$B792)=0),"متفرقه",$B792))),$A792))</f>
        <v/>
      </c>
      <c r="K792">
        <f>IF($A792="","",IF(AND($B792&lt;&gt;"",COUNTIF(AcctCodesA,$B792)=0),"کد طرف در INFO تعریف نشده",IF(AND($D792="هزینه",$E792=""),"هزینه بدون زیرگروه",IF(AND($C792="پاس چک",OR(Sync!$AJ792="",COUNTIF(IssueNosA,Sync!$AJ792)=0)),"شماره چک پاس‌شده معتبر نیست",""))))</f>
        <v/>
      </c>
      <c r="V792">
        <f>IF($K792="","",IF(ISNUMBER(Sync!$AK792),Sync!$AK792,LEFT(Sync!$AK792,4)&amp;MID(Sync!$AK792,6,2)&amp;RIGHT(Sync!$AK792,2))&amp;"|"&amp;"4"&amp;RIGHT("00000"&amp;787,5))</f>
        <v/>
      </c>
      <c r="W792">
        <f>IF($V792="",0,COUNTIFS($V$6:$V$2005,"&lt;"&amp;$V792)-COUNTIFS($V$6:$V$2005,"&lt;"&amp;$V792,$K$6:$K$2005,"")+1)</f>
        <v/>
      </c>
      <c r="X792">
        <f>IF(Sync!$AX792="","",IF(OR(N(Sync!$AY792)=0,N(Sync!$AZ792)=0),"",ROUND(N(Sync!$AY792)*N(Sync!$AZ792),0)))</f>
        <v/>
      </c>
      <c r="Y792">
        <f>IF($X792="","",IF(OR(Sync!$AX792="",COUNTIF(AcctCodesA,Sync!$AX792)=0),"متفرقه",Sync!$AX792))</f>
        <v/>
      </c>
      <c r="Z792">
        <f>IF($X792="","","سبد و ظروف")</f>
        <v/>
      </c>
      <c r="AA792">
        <f>IF($X792="","",$Y792)</f>
        <v/>
      </c>
    </row>
    <row r="793">
      <c r="A793">
        <f>IF(Sync!$Z793="","",LEFT(UPPER(TRIM(Sync!$Z793)),6))</f>
        <v/>
      </c>
      <c r="B793">
        <f>IF($A793="","",IF(Sync!$AA793="","",Sync!$AA793))</f>
        <v/>
      </c>
      <c r="C793">
        <f>IF($A793="","",IF(Sync!$AB793="","",Sync!$AB793))</f>
        <v/>
      </c>
      <c r="D793">
        <f>IF($A793="","",IF(Sync!$AC793="","",Sync!$AC793))</f>
        <v/>
      </c>
      <c r="E793">
        <f>IF($A793="","",IF(Sync!$AD793="","",Sync!$AD793))</f>
        <v/>
      </c>
      <c r="F793">
        <f>IF($A793="","",IF(Sync!$AE793="",0,Sync!$AE793))</f>
        <v/>
      </c>
      <c r="G793">
        <f>IF($A793="","",IF(Sync!$AF793="",0,Sync!$AF793))</f>
        <v/>
      </c>
      <c r="H793">
        <f>IF(OR($A793="",ROUND($F793+$G793,2)=0),"",$F793+$G793)</f>
        <v/>
      </c>
      <c r="I793">
        <f>IF($H793="","",IF(ROUND($F793,2)&gt;0,$A793,IF($D793="شخصی قاسم","شخصی قاسم",IF($D793="هزینه","هزینه: "&amp;IF($E793="","متفرقه",$E793),IF($C793="پاس چک","چک پرداختی",IF(OR($B793="",COUNTIF(AcctCodesA,$B793)=0),"متفرقه",$B793))))))</f>
        <v/>
      </c>
      <c r="J793">
        <f>IF($H793="","",IF(ROUND($F793,2)&gt;0,IF($D793="شخصی قاسم","شخصی قاسم",IF($D793="هزینه","هزینه: "&amp;IF($E793="","متفرقه",$E793),IF(OR($B793="",COUNTIF(AcctCodesA,$B793)=0),"متفرقه",$B793))),$A793))</f>
        <v/>
      </c>
      <c r="K793">
        <f>IF($A793="","",IF(AND($B793&lt;&gt;"",COUNTIF(AcctCodesA,$B793)=0),"کد طرف در INFO تعریف نشده",IF(AND($D793="هزینه",$E793=""),"هزینه بدون زیرگروه",IF(AND($C793="پاس چک",OR(Sync!$AJ793="",COUNTIF(IssueNosA,Sync!$AJ793)=0)),"شماره چک پاس‌شده معتبر نیست",""))))</f>
        <v/>
      </c>
      <c r="V793">
        <f>IF($K793="","",IF(ISNUMBER(Sync!$AK793),Sync!$AK793,LEFT(Sync!$AK793,4)&amp;MID(Sync!$AK793,6,2)&amp;RIGHT(Sync!$AK793,2))&amp;"|"&amp;"4"&amp;RIGHT("00000"&amp;788,5))</f>
        <v/>
      </c>
      <c r="W793">
        <f>IF($V793="",0,COUNTIFS($V$6:$V$2005,"&lt;"&amp;$V793)-COUNTIFS($V$6:$V$2005,"&lt;"&amp;$V793,$K$6:$K$2005,"")+1)</f>
        <v/>
      </c>
      <c r="X793">
        <f>IF(Sync!$AX793="","",IF(OR(N(Sync!$AY793)=0,N(Sync!$AZ793)=0),"",ROUND(N(Sync!$AY793)*N(Sync!$AZ793),0)))</f>
        <v/>
      </c>
      <c r="Y793">
        <f>IF($X793="","",IF(OR(Sync!$AX793="",COUNTIF(AcctCodesA,Sync!$AX793)=0),"متفرقه",Sync!$AX793))</f>
        <v/>
      </c>
      <c r="Z793">
        <f>IF($X793="","","سبد و ظروف")</f>
        <v/>
      </c>
      <c r="AA793">
        <f>IF($X793="","",$Y793)</f>
        <v/>
      </c>
    </row>
    <row r="794">
      <c r="A794">
        <f>IF(Sync!$Z794="","",LEFT(UPPER(TRIM(Sync!$Z794)),6))</f>
        <v/>
      </c>
      <c r="B794">
        <f>IF($A794="","",IF(Sync!$AA794="","",Sync!$AA794))</f>
        <v/>
      </c>
      <c r="C794">
        <f>IF($A794="","",IF(Sync!$AB794="","",Sync!$AB794))</f>
        <v/>
      </c>
      <c r="D794">
        <f>IF($A794="","",IF(Sync!$AC794="","",Sync!$AC794))</f>
        <v/>
      </c>
      <c r="E794">
        <f>IF($A794="","",IF(Sync!$AD794="","",Sync!$AD794))</f>
        <v/>
      </c>
      <c r="F794">
        <f>IF($A794="","",IF(Sync!$AE794="",0,Sync!$AE794))</f>
        <v/>
      </c>
      <c r="G794">
        <f>IF($A794="","",IF(Sync!$AF794="",0,Sync!$AF794))</f>
        <v/>
      </c>
      <c r="H794">
        <f>IF(OR($A794="",ROUND($F794+$G794,2)=0),"",$F794+$G794)</f>
        <v/>
      </c>
      <c r="I794">
        <f>IF($H794="","",IF(ROUND($F794,2)&gt;0,$A794,IF($D794="شخصی قاسم","شخصی قاسم",IF($D794="هزینه","هزینه: "&amp;IF($E794="","متفرقه",$E794),IF($C794="پاس چک","چک پرداختی",IF(OR($B794="",COUNTIF(AcctCodesA,$B794)=0),"متفرقه",$B794))))))</f>
        <v/>
      </c>
      <c r="J794">
        <f>IF($H794="","",IF(ROUND($F794,2)&gt;0,IF($D794="شخصی قاسم","شخصی قاسم",IF($D794="هزینه","هزینه: "&amp;IF($E794="","متفرقه",$E794),IF(OR($B794="",COUNTIF(AcctCodesA,$B794)=0),"متفرقه",$B794))),$A794))</f>
        <v/>
      </c>
      <c r="K794">
        <f>IF($A794="","",IF(AND($B794&lt;&gt;"",COUNTIF(AcctCodesA,$B794)=0),"کد طرف در INFO تعریف نشده",IF(AND($D794="هزینه",$E794=""),"هزینه بدون زیرگروه",IF(AND($C794="پاس چک",OR(Sync!$AJ794="",COUNTIF(IssueNosA,Sync!$AJ794)=0)),"شماره چک پاس‌شده معتبر نیست",""))))</f>
        <v/>
      </c>
      <c r="V794">
        <f>IF($K794="","",IF(ISNUMBER(Sync!$AK794),Sync!$AK794,LEFT(Sync!$AK794,4)&amp;MID(Sync!$AK794,6,2)&amp;RIGHT(Sync!$AK794,2))&amp;"|"&amp;"4"&amp;RIGHT("00000"&amp;789,5))</f>
        <v/>
      </c>
      <c r="W794">
        <f>IF($V794="",0,COUNTIFS($V$6:$V$2005,"&lt;"&amp;$V794)-COUNTIFS($V$6:$V$2005,"&lt;"&amp;$V794,$K$6:$K$2005,"")+1)</f>
        <v/>
      </c>
      <c r="X794">
        <f>IF(Sync!$AX794="","",IF(OR(N(Sync!$AY794)=0,N(Sync!$AZ794)=0),"",ROUND(N(Sync!$AY794)*N(Sync!$AZ794),0)))</f>
        <v/>
      </c>
      <c r="Y794">
        <f>IF($X794="","",IF(OR(Sync!$AX794="",COUNTIF(AcctCodesA,Sync!$AX794)=0),"متفرقه",Sync!$AX794))</f>
        <v/>
      </c>
      <c r="Z794">
        <f>IF($X794="","","سبد و ظروف")</f>
        <v/>
      </c>
      <c r="AA794">
        <f>IF($X794="","",$Y794)</f>
        <v/>
      </c>
    </row>
    <row r="795">
      <c r="A795">
        <f>IF(Sync!$Z795="","",LEFT(UPPER(TRIM(Sync!$Z795)),6))</f>
        <v/>
      </c>
      <c r="B795">
        <f>IF($A795="","",IF(Sync!$AA795="","",Sync!$AA795))</f>
        <v/>
      </c>
      <c r="C795">
        <f>IF($A795="","",IF(Sync!$AB795="","",Sync!$AB795))</f>
        <v/>
      </c>
      <c r="D795">
        <f>IF($A795="","",IF(Sync!$AC795="","",Sync!$AC795))</f>
        <v/>
      </c>
      <c r="E795">
        <f>IF($A795="","",IF(Sync!$AD795="","",Sync!$AD795))</f>
        <v/>
      </c>
      <c r="F795">
        <f>IF($A795="","",IF(Sync!$AE795="",0,Sync!$AE795))</f>
        <v/>
      </c>
      <c r="G795">
        <f>IF($A795="","",IF(Sync!$AF795="",0,Sync!$AF795))</f>
        <v/>
      </c>
      <c r="H795">
        <f>IF(OR($A795="",ROUND($F795+$G795,2)=0),"",$F795+$G795)</f>
        <v/>
      </c>
      <c r="I795">
        <f>IF($H795="","",IF(ROUND($F795,2)&gt;0,$A795,IF($D795="شخصی قاسم","شخصی قاسم",IF($D795="هزینه","هزینه: "&amp;IF($E795="","متفرقه",$E795),IF($C795="پاس چک","چک پرداختی",IF(OR($B795="",COUNTIF(AcctCodesA,$B795)=0),"متفرقه",$B795))))))</f>
        <v/>
      </c>
      <c r="J795">
        <f>IF($H795="","",IF(ROUND($F795,2)&gt;0,IF($D795="شخصی قاسم","شخصی قاسم",IF($D795="هزینه","هزینه: "&amp;IF($E795="","متفرقه",$E795),IF(OR($B795="",COUNTIF(AcctCodesA,$B795)=0),"متفرقه",$B795))),$A795))</f>
        <v/>
      </c>
      <c r="K795">
        <f>IF($A795="","",IF(AND($B795&lt;&gt;"",COUNTIF(AcctCodesA,$B795)=0),"کد طرف در INFO تعریف نشده",IF(AND($D795="هزینه",$E795=""),"هزینه بدون زیرگروه",IF(AND($C795="پاس چک",OR(Sync!$AJ795="",COUNTIF(IssueNosA,Sync!$AJ795)=0)),"شماره چک پاس‌شده معتبر نیست",""))))</f>
        <v/>
      </c>
      <c r="V795">
        <f>IF($K795="","",IF(ISNUMBER(Sync!$AK795),Sync!$AK795,LEFT(Sync!$AK795,4)&amp;MID(Sync!$AK795,6,2)&amp;RIGHT(Sync!$AK795,2))&amp;"|"&amp;"4"&amp;RIGHT("00000"&amp;790,5))</f>
        <v/>
      </c>
      <c r="W795">
        <f>IF($V795="",0,COUNTIFS($V$6:$V$2005,"&lt;"&amp;$V795)-COUNTIFS($V$6:$V$2005,"&lt;"&amp;$V795,$K$6:$K$2005,"")+1)</f>
        <v/>
      </c>
      <c r="X795">
        <f>IF(Sync!$AX795="","",IF(OR(N(Sync!$AY795)=0,N(Sync!$AZ795)=0),"",ROUND(N(Sync!$AY795)*N(Sync!$AZ795),0)))</f>
        <v/>
      </c>
      <c r="Y795">
        <f>IF($X795="","",IF(OR(Sync!$AX795="",COUNTIF(AcctCodesA,Sync!$AX795)=0),"متفرقه",Sync!$AX795))</f>
        <v/>
      </c>
      <c r="Z795">
        <f>IF($X795="","","سبد و ظروف")</f>
        <v/>
      </c>
      <c r="AA795">
        <f>IF($X795="","",$Y795)</f>
        <v/>
      </c>
    </row>
    <row r="796">
      <c r="A796">
        <f>IF(Sync!$Z796="","",LEFT(UPPER(TRIM(Sync!$Z796)),6))</f>
        <v/>
      </c>
      <c r="B796">
        <f>IF($A796="","",IF(Sync!$AA796="","",Sync!$AA796))</f>
        <v/>
      </c>
      <c r="C796">
        <f>IF($A796="","",IF(Sync!$AB796="","",Sync!$AB796))</f>
        <v/>
      </c>
      <c r="D796">
        <f>IF($A796="","",IF(Sync!$AC796="","",Sync!$AC796))</f>
        <v/>
      </c>
      <c r="E796">
        <f>IF($A796="","",IF(Sync!$AD796="","",Sync!$AD796))</f>
        <v/>
      </c>
      <c r="F796">
        <f>IF($A796="","",IF(Sync!$AE796="",0,Sync!$AE796))</f>
        <v/>
      </c>
      <c r="G796">
        <f>IF($A796="","",IF(Sync!$AF796="",0,Sync!$AF796))</f>
        <v/>
      </c>
      <c r="H796">
        <f>IF(OR($A796="",ROUND($F796+$G796,2)=0),"",$F796+$G796)</f>
        <v/>
      </c>
      <c r="I796">
        <f>IF($H796="","",IF(ROUND($F796,2)&gt;0,$A796,IF($D796="شخصی قاسم","شخصی قاسم",IF($D796="هزینه","هزینه: "&amp;IF($E796="","متفرقه",$E796),IF($C796="پاس چک","چک پرداختی",IF(OR($B796="",COUNTIF(AcctCodesA,$B796)=0),"متفرقه",$B796))))))</f>
        <v/>
      </c>
      <c r="J796">
        <f>IF($H796="","",IF(ROUND($F796,2)&gt;0,IF($D796="شخصی قاسم","شخصی قاسم",IF($D796="هزینه","هزینه: "&amp;IF($E796="","متفرقه",$E796),IF(OR($B796="",COUNTIF(AcctCodesA,$B796)=0),"متفرقه",$B796))),$A796))</f>
        <v/>
      </c>
      <c r="K796">
        <f>IF($A796="","",IF(AND($B796&lt;&gt;"",COUNTIF(AcctCodesA,$B796)=0),"کد طرف در INFO تعریف نشده",IF(AND($D796="هزینه",$E796=""),"هزینه بدون زیرگروه",IF(AND($C796="پاس چک",OR(Sync!$AJ796="",COUNTIF(IssueNosA,Sync!$AJ796)=0)),"شماره چک پاس‌شده معتبر نیست",""))))</f>
        <v/>
      </c>
      <c r="V796">
        <f>IF($K796="","",IF(ISNUMBER(Sync!$AK796),Sync!$AK796,LEFT(Sync!$AK796,4)&amp;MID(Sync!$AK796,6,2)&amp;RIGHT(Sync!$AK796,2))&amp;"|"&amp;"4"&amp;RIGHT("00000"&amp;791,5))</f>
        <v/>
      </c>
      <c r="W796">
        <f>IF($V796="",0,COUNTIFS($V$6:$V$2005,"&lt;"&amp;$V796)-COUNTIFS($V$6:$V$2005,"&lt;"&amp;$V796,$K$6:$K$2005,"")+1)</f>
        <v/>
      </c>
      <c r="X796">
        <f>IF(Sync!$AX796="","",IF(OR(N(Sync!$AY796)=0,N(Sync!$AZ796)=0),"",ROUND(N(Sync!$AY796)*N(Sync!$AZ796),0)))</f>
        <v/>
      </c>
      <c r="Y796">
        <f>IF($X796="","",IF(OR(Sync!$AX796="",COUNTIF(AcctCodesA,Sync!$AX796)=0),"متفرقه",Sync!$AX796))</f>
        <v/>
      </c>
      <c r="Z796">
        <f>IF($X796="","","سبد و ظروف")</f>
        <v/>
      </c>
      <c r="AA796">
        <f>IF($X796="","",$Y796)</f>
        <v/>
      </c>
    </row>
    <row r="797">
      <c r="A797">
        <f>IF(Sync!$Z797="","",LEFT(UPPER(TRIM(Sync!$Z797)),6))</f>
        <v/>
      </c>
      <c r="B797">
        <f>IF($A797="","",IF(Sync!$AA797="","",Sync!$AA797))</f>
        <v/>
      </c>
      <c r="C797">
        <f>IF($A797="","",IF(Sync!$AB797="","",Sync!$AB797))</f>
        <v/>
      </c>
      <c r="D797">
        <f>IF($A797="","",IF(Sync!$AC797="","",Sync!$AC797))</f>
        <v/>
      </c>
      <c r="E797">
        <f>IF($A797="","",IF(Sync!$AD797="","",Sync!$AD797))</f>
        <v/>
      </c>
      <c r="F797">
        <f>IF($A797="","",IF(Sync!$AE797="",0,Sync!$AE797))</f>
        <v/>
      </c>
      <c r="G797">
        <f>IF($A797="","",IF(Sync!$AF797="",0,Sync!$AF797))</f>
        <v/>
      </c>
      <c r="H797">
        <f>IF(OR($A797="",ROUND($F797+$G797,2)=0),"",$F797+$G797)</f>
        <v/>
      </c>
      <c r="I797">
        <f>IF($H797="","",IF(ROUND($F797,2)&gt;0,$A797,IF($D797="شخصی قاسم","شخصی قاسم",IF($D797="هزینه","هزینه: "&amp;IF($E797="","متفرقه",$E797),IF($C797="پاس چک","چک پرداختی",IF(OR($B797="",COUNTIF(AcctCodesA,$B797)=0),"متفرقه",$B797))))))</f>
        <v/>
      </c>
      <c r="J797">
        <f>IF($H797="","",IF(ROUND($F797,2)&gt;0,IF($D797="شخصی قاسم","شخصی قاسم",IF($D797="هزینه","هزینه: "&amp;IF($E797="","متفرقه",$E797),IF(OR($B797="",COUNTIF(AcctCodesA,$B797)=0),"متفرقه",$B797))),$A797))</f>
        <v/>
      </c>
      <c r="K797">
        <f>IF($A797="","",IF(AND($B797&lt;&gt;"",COUNTIF(AcctCodesA,$B797)=0),"کد طرف در INFO تعریف نشده",IF(AND($D797="هزینه",$E797=""),"هزینه بدون زیرگروه",IF(AND($C797="پاس چک",OR(Sync!$AJ797="",COUNTIF(IssueNosA,Sync!$AJ797)=0)),"شماره چک پاس‌شده معتبر نیست",""))))</f>
        <v/>
      </c>
      <c r="V797">
        <f>IF($K797="","",IF(ISNUMBER(Sync!$AK797),Sync!$AK797,LEFT(Sync!$AK797,4)&amp;MID(Sync!$AK797,6,2)&amp;RIGHT(Sync!$AK797,2))&amp;"|"&amp;"4"&amp;RIGHT("00000"&amp;792,5))</f>
        <v/>
      </c>
      <c r="W797">
        <f>IF($V797="",0,COUNTIFS($V$6:$V$2005,"&lt;"&amp;$V797)-COUNTIFS($V$6:$V$2005,"&lt;"&amp;$V797,$K$6:$K$2005,"")+1)</f>
        <v/>
      </c>
      <c r="X797">
        <f>IF(Sync!$AX797="","",IF(OR(N(Sync!$AY797)=0,N(Sync!$AZ797)=0),"",ROUND(N(Sync!$AY797)*N(Sync!$AZ797),0)))</f>
        <v/>
      </c>
      <c r="Y797">
        <f>IF($X797="","",IF(OR(Sync!$AX797="",COUNTIF(AcctCodesA,Sync!$AX797)=0),"متفرقه",Sync!$AX797))</f>
        <v/>
      </c>
      <c r="Z797">
        <f>IF($X797="","","سبد و ظروف")</f>
        <v/>
      </c>
      <c r="AA797">
        <f>IF($X797="","",$Y797)</f>
        <v/>
      </c>
    </row>
    <row r="798">
      <c r="A798">
        <f>IF(Sync!$Z798="","",LEFT(UPPER(TRIM(Sync!$Z798)),6))</f>
        <v/>
      </c>
      <c r="B798">
        <f>IF($A798="","",IF(Sync!$AA798="","",Sync!$AA798))</f>
        <v/>
      </c>
      <c r="C798">
        <f>IF($A798="","",IF(Sync!$AB798="","",Sync!$AB798))</f>
        <v/>
      </c>
      <c r="D798">
        <f>IF($A798="","",IF(Sync!$AC798="","",Sync!$AC798))</f>
        <v/>
      </c>
      <c r="E798">
        <f>IF($A798="","",IF(Sync!$AD798="","",Sync!$AD798))</f>
        <v/>
      </c>
      <c r="F798">
        <f>IF($A798="","",IF(Sync!$AE798="",0,Sync!$AE798))</f>
        <v/>
      </c>
      <c r="G798">
        <f>IF($A798="","",IF(Sync!$AF798="",0,Sync!$AF798))</f>
        <v/>
      </c>
      <c r="H798">
        <f>IF(OR($A798="",ROUND($F798+$G798,2)=0),"",$F798+$G798)</f>
        <v/>
      </c>
      <c r="I798">
        <f>IF($H798="","",IF(ROUND($F798,2)&gt;0,$A798,IF($D798="شخصی قاسم","شخصی قاسم",IF($D798="هزینه","هزینه: "&amp;IF($E798="","متفرقه",$E798),IF($C798="پاس چک","چک پرداختی",IF(OR($B798="",COUNTIF(AcctCodesA,$B798)=0),"متفرقه",$B798))))))</f>
        <v/>
      </c>
      <c r="J798">
        <f>IF($H798="","",IF(ROUND($F798,2)&gt;0,IF($D798="شخصی قاسم","شخصی قاسم",IF($D798="هزینه","هزینه: "&amp;IF($E798="","متفرقه",$E798),IF(OR($B798="",COUNTIF(AcctCodesA,$B798)=0),"متفرقه",$B798))),$A798))</f>
        <v/>
      </c>
      <c r="K798">
        <f>IF($A798="","",IF(AND($B798&lt;&gt;"",COUNTIF(AcctCodesA,$B798)=0),"کد طرف در INFO تعریف نشده",IF(AND($D798="هزینه",$E798=""),"هزینه بدون زیرگروه",IF(AND($C798="پاس چک",OR(Sync!$AJ798="",COUNTIF(IssueNosA,Sync!$AJ798)=0)),"شماره چک پاس‌شده معتبر نیست",""))))</f>
        <v/>
      </c>
      <c r="V798">
        <f>IF($K798="","",IF(ISNUMBER(Sync!$AK798),Sync!$AK798,LEFT(Sync!$AK798,4)&amp;MID(Sync!$AK798,6,2)&amp;RIGHT(Sync!$AK798,2))&amp;"|"&amp;"4"&amp;RIGHT("00000"&amp;793,5))</f>
        <v/>
      </c>
      <c r="W798">
        <f>IF($V798="",0,COUNTIFS($V$6:$V$2005,"&lt;"&amp;$V798)-COUNTIFS($V$6:$V$2005,"&lt;"&amp;$V798,$K$6:$K$2005,"")+1)</f>
        <v/>
      </c>
      <c r="X798">
        <f>IF(Sync!$AX798="","",IF(OR(N(Sync!$AY798)=0,N(Sync!$AZ798)=0),"",ROUND(N(Sync!$AY798)*N(Sync!$AZ798),0)))</f>
        <v/>
      </c>
      <c r="Y798">
        <f>IF($X798="","",IF(OR(Sync!$AX798="",COUNTIF(AcctCodesA,Sync!$AX798)=0),"متفرقه",Sync!$AX798))</f>
        <v/>
      </c>
      <c r="Z798">
        <f>IF($X798="","","سبد و ظروف")</f>
        <v/>
      </c>
      <c r="AA798">
        <f>IF($X798="","",$Y798)</f>
        <v/>
      </c>
    </row>
    <row r="799">
      <c r="A799">
        <f>IF(Sync!$Z799="","",LEFT(UPPER(TRIM(Sync!$Z799)),6))</f>
        <v/>
      </c>
      <c r="B799">
        <f>IF($A799="","",IF(Sync!$AA799="","",Sync!$AA799))</f>
        <v/>
      </c>
      <c r="C799">
        <f>IF($A799="","",IF(Sync!$AB799="","",Sync!$AB799))</f>
        <v/>
      </c>
      <c r="D799">
        <f>IF($A799="","",IF(Sync!$AC799="","",Sync!$AC799))</f>
        <v/>
      </c>
      <c r="E799">
        <f>IF($A799="","",IF(Sync!$AD799="","",Sync!$AD799))</f>
        <v/>
      </c>
      <c r="F799">
        <f>IF($A799="","",IF(Sync!$AE799="",0,Sync!$AE799))</f>
        <v/>
      </c>
      <c r="G799">
        <f>IF($A799="","",IF(Sync!$AF799="",0,Sync!$AF799))</f>
        <v/>
      </c>
      <c r="H799">
        <f>IF(OR($A799="",ROUND($F799+$G799,2)=0),"",$F799+$G799)</f>
        <v/>
      </c>
      <c r="I799">
        <f>IF($H799="","",IF(ROUND($F799,2)&gt;0,$A799,IF($D799="شخصی قاسم","شخصی قاسم",IF($D799="هزینه","هزینه: "&amp;IF($E799="","متفرقه",$E799),IF($C799="پاس چک","چک پرداختی",IF(OR($B799="",COUNTIF(AcctCodesA,$B799)=0),"متفرقه",$B799))))))</f>
        <v/>
      </c>
      <c r="J799">
        <f>IF($H799="","",IF(ROUND($F799,2)&gt;0,IF($D799="شخصی قاسم","شخصی قاسم",IF($D799="هزینه","هزینه: "&amp;IF($E799="","متفرقه",$E799),IF(OR($B799="",COUNTIF(AcctCodesA,$B799)=0),"متفرقه",$B799))),$A799))</f>
        <v/>
      </c>
      <c r="K799">
        <f>IF($A799="","",IF(AND($B799&lt;&gt;"",COUNTIF(AcctCodesA,$B799)=0),"کد طرف در INFO تعریف نشده",IF(AND($D799="هزینه",$E799=""),"هزینه بدون زیرگروه",IF(AND($C799="پاس چک",OR(Sync!$AJ799="",COUNTIF(IssueNosA,Sync!$AJ799)=0)),"شماره چک پاس‌شده معتبر نیست",""))))</f>
        <v/>
      </c>
      <c r="V799">
        <f>IF($K799="","",IF(ISNUMBER(Sync!$AK799),Sync!$AK799,LEFT(Sync!$AK799,4)&amp;MID(Sync!$AK799,6,2)&amp;RIGHT(Sync!$AK799,2))&amp;"|"&amp;"4"&amp;RIGHT("00000"&amp;794,5))</f>
        <v/>
      </c>
      <c r="W799">
        <f>IF($V799="",0,COUNTIFS($V$6:$V$2005,"&lt;"&amp;$V799)-COUNTIFS($V$6:$V$2005,"&lt;"&amp;$V799,$K$6:$K$2005,"")+1)</f>
        <v/>
      </c>
      <c r="X799">
        <f>IF(Sync!$AX799="","",IF(OR(N(Sync!$AY799)=0,N(Sync!$AZ799)=0),"",ROUND(N(Sync!$AY799)*N(Sync!$AZ799),0)))</f>
        <v/>
      </c>
      <c r="Y799">
        <f>IF($X799="","",IF(OR(Sync!$AX799="",COUNTIF(AcctCodesA,Sync!$AX799)=0),"متفرقه",Sync!$AX799))</f>
        <v/>
      </c>
      <c r="Z799">
        <f>IF($X799="","","سبد و ظروف")</f>
        <v/>
      </c>
      <c r="AA799">
        <f>IF($X799="","",$Y799)</f>
        <v/>
      </c>
    </row>
    <row r="800">
      <c r="A800">
        <f>IF(Sync!$Z800="","",LEFT(UPPER(TRIM(Sync!$Z800)),6))</f>
        <v/>
      </c>
      <c r="B800">
        <f>IF($A800="","",IF(Sync!$AA800="","",Sync!$AA800))</f>
        <v/>
      </c>
      <c r="C800">
        <f>IF($A800="","",IF(Sync!$AB800="","",Sync!$AB800))</f>
        <v/>
      </c>
      <c r="D800">
        <f>IF($A800="","",IF(Sync!$AC800="","",Sync!$AC800))</f>
        <v/>
      </c>
      <c r="E800">
        <f>IF($A800="","",IF(Sync!$AD800="","",Sync!$AD800))</f>
        <v/>
      </c>
      <c r="F800">
        <f>IF($A800="","",IF(Sync!$AE800="",0,Sync!$AE800))</f>
        <v/>
      </c>
      <c r="G800">
        <f>IF($A800="","",IF(Sync!$AF800="",0,Sync!$AF800))</f>
        <v/>
      </c>
      <c r="H800">
        <f>IF(OR($A800="",ROUND($F800+$G800,2)=0),"",$F800+$G800)</f>
        <v/>
      </c>
      <c r="I800">
        <f>IF($H800="","",IF(ROUND($F800,2)&gt;0,$A800,IF($D800="شخصی قاسم","شخصی قاسم",IF($D800="هزینه","هزینه: "&amp;IF($E800="","متفرقه",$E800),IF($C800="پاس چک","چک پرداختی",IF(OR($B800="",COUNTIF(AcctCodesA,$B800)=0),"متفرقه",$B800))))))</f>
        <v/>
      </c>
      <c r="J800">
        <f>IF($H800="","",IF(ROUND($F800,2)&gt;0,IF($D800="شخصی قاسم","شخصی قاسم",IF($D800="هزینه","هزینه: "&amp;IF($E800="","متفرقه",$E800),IF(OR($B800="",COUNTIF(AcctCodesA,$B800)=0),"متفرقه",$B800))),$A800))</f>
        <v/>
      </c>
      <c r="K800">
        <f>IF($A800="","",IF(AND($B800&lt;&gt;"",COUNTIF(AcctCodesA,$B800)=0),"کد طرف در INFO تعریف نشده",IF(AND($D800="هزینه",$E800=""),"هزینه بدون زیرگروه",IF(AND($C800="پاس چک",OR(Sync!$AJ800="",COUNTIF(IssueNosA,Sync!$AJ800)=0)),"شماره چک پاس‌شده معتبر نیست",""))))</f>
        <v/>
      </c>
      <c r="V800">
        <f>IF($K800="","",IF(ISNUMBER(Sync!$AK800),Sync!$AK800,LEFT(Sync!$AK800,4)&amp;MID(Sync!$AK800,6,2)&amp;RIGHT(Sync!$AK800,2))&amp;"|"&amp;"4"&amp;RIGHT("00000"&amp;795,5))</f>
        <v/>
      </c>
      <c r="W800">
        <f>IF($V800="",0,COUNTIFS($V$6:$V$2005,"&lt;"&amp;$V800)-COUNTIFS($V$6:$V$2005,"&lt;"&amp;$V800,$K$6:$K$2005,"")+1)</f>
        <v/>
      </c>
      <c r="X800">
        <f>IF(Sync!$AX800="","",IF(OR(N(Sync!$AY800)=0,N(Sync!$AZ800)=0),"",ROUND(N(Sync!$AY800)*N(Sync!$AZ800),0)))</f>
        <v/>
      </c>
      <c r="Y800">
        <f>IF($X800="","",IF(OR(Sync!$AX800="",COUNTIF(AcctCodesA,Sync!$AX800)=0),"متفرقه",Sync!$AX800))</f>
        <v/>
      </c>
      <c r="Z800">
        <f>IF($X800="","","سبد و ظروف")</f>
        <v/>
      </c>
      <c r="AA800">
        <f>IF($X800="","",$Y800)</f>
        <v/>
      </c>
    </row>
    <row r="801">
      <c r="A801">
        <f>IF(Sync!$Z801="","",LEFT(UPPER(TRIM(Sync!$Z801)),6))</f>
        <v/>
      </c>
      <c r="B801">
        <f>IF($A801="","",IF(Sync!$AA801="","",Sync!$AA801))</f>
        <v/>
      </c>
      <c r="C801">
        <f>IF($A801="","",IF(Sync!$AB801="","",Sync!$AB801))</f>
        <v/>
      </c>
      <c r="D801">
        <f>IF($A801="","",IF(Sync!$AC801="","",Sync!$AC801))</f>
        <v/>
      </c>
      <c r="E801">
        <f>IF($A801="","",IF(Sync!$AD801="","",Sync!$AD801))</f>
        <v/>
      </c>
      <c r="F801">
        <f>IF($A801="","",IF(Sync!$AE801="",0,Sync!$AE801))</f>
        <v/>
      </c>
      <c r="G801">
        <f>IF($A801="","",IF(Sync!$AF801="",0,Sync!$AF801))</f>
        <v/>
      </c>
      <c r="H801">
        <f>IF(OR($A801="",ROUND($F801+$G801,2)=0),"",$F801+$G801)</f>
        <v/>
      </c>
      <c r="I801">
        <f>IF($H801="","",IF(ROUND($F801,2)&gt;0,$A801,IF($D801="شخصی قاسم","شخصی قاسم",IF($D801="هزینه","هزینه: "&amp;IF($E801="","متفرقه",$E801),IF($C801="پاس چک","چک پرداختی",IF(OR($B801="",COUNTIF(AcctCodesA,$B801)=0),"متفرقه",$B801))))))</f>
        <v/>
      </c>
      <c r="J801">
        <f>IF($H801="","",IF(ROUND($F801,2)&gt;0,IF($D801="شخصی قاسم","شخصی قاسم",IF($D801="هزینه","هزینه: "&amp;IF($E801="","متفرقه",$E801),IF(OR($B801="",COUNTIF(AcctCodesA,$B801)=0),"متفرقه",$B801))),$A801))</f>
        <v/>
      </c>
      <c r="K801">
        <f>IF($A801="","",IF(AND($B801&lt;&gt;"",COUNTIF(AcctCodesA,$B801)=0),"کد طرف در INFO تعریف نشده",IF(AND($D801="هزینه",$E801=""),"هزینه بدون زیرگروه",IF(AND($C801="پاس چک",OR(Sync!$AJ801="",COUNTIF(IssueNosA,Sync!$AJ801)=0)),"شماره چک پاس‌شده معتبر نیست",""))))</f>
        <v/>
      </c>
      <c r="V801">
        <f>IF($K801="","",IF(ISNUMBER(Sync!$AK801),Sync!$AK801,LEFT(Sync!$AK801,4)&amp;MID(Sync!$AK801,6,2)&amp;RIGHT(Sync!$AK801,2))&amp;"|"&amp;"4"&amp;RIGHT("00000"&amp;796,5))</f>
        <v/>
      </c>
      <c r="W801">
        <f>IF($V801="",0,COUNTIFS($V$6:$V$2005,"&lt;"&amp;$V801)-COUNTIFS($V$6:$V$2005,"&lt;"&amp;$V801,$K$6:$K$2005,"")+1)</f>
        <v/>
      </c>
      <c r="X801">
        <f>IF(Sync!$AX801="","",IF(OR(N(Sync!$AY801)=0,N(Sync!$AZ801)=0),"",ROUND(N(Sync!$AY801)*N(Sync!$AZ801),0)))</f>
        <v/>
      </c>
      <c r="Y801">
        <f>IF($X801="","",IF(OR(Sync!$AX801="",COUNTIF(AcctCodesA,Sync!$AX801)=0),"متفرقه",Sync!$AX801))</f>
        <v/>
      </c>
      <c r="Z801">
        <f>IF($X801="","","سبد و ظروف")</f>
        <v/>
      </c>
      <c r="AA801">
        <f>IF($X801="","",$Y801)</f>
        <v/>
      </c>
    </row>
    <row r="802">
      <c r="A802">
        <f>IF(Sync!$Z802="","",LEFT(UPPER(TRIM(Sync!$Z802)),6))</f>
        <v/>
      </c>
      <c r="B802">
        <f>IF($A802="","",IF(Sync!$AA802="","",Sync!$AA802))</f>
        <v/>
      </c>
      <c r="C802">
        <f>IF($A802="","",IF(Sync!$AB802="","",Sync!$AB802))</f>
        <v/>
      </c>
      <c r="D802">
        <f>IF($A802="","",IF(Sync!$AC802="","",Sync!$AC802))</f>
        <v/>
      </c>
      <c r="E802">
        <f>IF($A802="","",IF(Sync!$AD802="","",Sync!$AD802))</f>
        <v/>
      </c>
      <c r="F802">
        <f>IF($A802="","",IF(Sync!$AE802="",0,Sync!$AE802))</f>
        <v/>
      </c>
      <c r="G802">
        <f>IF($A802="","",IF(Sync!$AF802="",0,Sync!$AF802))</f>
        <v/>
      </c>
      <c r="H802">
        <f>IF(OR($A802="",ROUND($F802+$G802,2)=0),"",$F802+$G802)</f>
        <v/>
      </c>
      <c r="I802">
        <f>IF($H802="","",IF(ROUND($F802,2)&gt;0,$A802,IF($D802="شخصی قاسم","شخصی قاسم",IF($D802="هزینه","هزینه: "&amp;IF($E802="","متفرقه",$E802),IF($C802="پاس چک","چک پرداختی",IF(OR($B802="",COUNTIF(AcctCodesA,$B802)=0),"متفرقه",$B802))))))</f>
        <v/>
      </c>
      <c r="J802">
        <f>IF($H802="","",IF(ROUND($F802,2)&gt;0,IF($D802="شخصی قاسم","شخصی قاسم",IF($D802="هزینه","هزینه: "&amp;IF($E802="","متفرقه",$E802),IF(OR($B802="",COUNTIF(AcctCodesA,$B802)=0),"متفرقه",$B802))),$A802))</f>
        <v/>
      </c>
      <c r="K802">
        <f>IF($A802="","",IF(AND($B802&lt;&gt;"",COUNTIF(AcctCodesA,$B802)=0),"کد طرف در INFO تعریف نشده",IF(AND($D802="هزینه",$E802=""),"هزینه بدون زیرگروه",IF(AND($C802="پاس چک",OR(Sync!$AJ802="",COUNTIF(IssueNosA,Sync!$AJ802)=0)),"شماره چک پاس‌شده معتبر نیست",""))))</f>
        <v/>
      </c>
      <c r="V802">
        <f>IF($K802="","",IF(ISNUMBER(Sync!$AK802),Sync!$AK802,LEFT(Sync!$AK802,4)&amp;MID(Sync!$AK802,6,2)&amp;RIGHT(Sync!$AK802,2))&amp;"|"&amp;"4"&amp;RIGHT("00000"&amp;797,5))</f>
        <v/>
      </c>
      <c r="W802">
        <f>IF($V802="",0,COUNTIFS($V$6:$V$2005,"&lt;"&amp;$V802)-COUNTIFS($V$6:$V$2005,"&lt;"&amp;$V802,$K$6:$K$2005,"")+1)</f>
        <v/>
      </c>
      <c r="X802">
        <f>IF(Sync!$AX802="","",IF(OR(N(Sync!$AY802)=0,N(Sync!$AZ802)=0),"",ROUND(N(Sync!$AY802)*N(Sync!$AZ802),0)))</f>
        <v/>
      </c>
      <c r="Y802">
        <f>IF($X802="","",IF(OR(Sync!$AX802="",COUNTIF(AcctCodesA,Sync!$AX802)=0),"متفرقه",Sync!$AX802))</f>
        <v/>
      </c>
      <c r="Z802">
        <f>IF($X802="","","سبد و ظروف")</f>
        <v/>
      </c>
      <c r="AA802">
        <f>IF($X802="","",$Y802)</f>
        <v/>
      </c>
    </row>
    <row r="803">
      <c r="A803">
        <f>IF(Sync!$Z803="","",LEFT(UPPER(TRIM(Sync!$Z803)),6))</f>
        <v/>
      </c>
      <c r="B803">
        <f>IF($A803="","",IF(Sync!$AA803="","",Sync!$AA803))</f>
        <v/>
      </c>
      <c r="C803">
        <f>IF($A803="","",IF(Sync!$AB803="","",Sync!$AB803))</f>
        <v/>
      </c>
      <c r="D803">
        <f>IF($A803="","",IF(Sync!$AC803="","",Sync!$AC803))</f>
        <v/>
      </c>
      <c r="E803">
        <f>IF($A803="","",IF(Sync!$AD803="","",Sync!$AD803))</f>
        <v/>
      </c>
      <c r="F803">
        <f>IF($A803="","",IF(Sync!$AE803="",0,Sync!$AE803))</f>
        <v/>
      </c>
      <c r="G803">
        <f>IF($A803="","",IF(Sync!$AF803="",0,Sync!$AF803))</f>
        <v/>
      </c>
      <c r="H803">
        <f>IF(OR($A803="",ROUND($F803+$G803,2)=0),"",$F803+$G803)</f>
        <v/>
      </c>
      <c r="I803">
        <f>IF($H803="","",IF(ROUND($F803,2)&gt;0,$A803,IF($D803="شخصی قاسم","شخصی قاسم",IF($D803="هزینه","هزینه: "&amp;IF($E803="","متفرقه",$E803),IF($C803="پاس چک","چک پرداختی",IF(OR($B803="",COUNTIF(AcctCodesA,$B803)=0),"متفرقه",$B803))))))</f>
        <v/>
      </c>
      <c r="J803">
        <f>IF($H803="","",IF(ROUND($F803,2)&gt;0,IF($D803="شخصی قاسم","شخصی قاسم",IF($D803="هزینه","هزینه: "&amp;IF($E803="","متفرقه",$E803),IF(OR($B803="",COUNTIF(AcctCodesA,$B803)=0),"متفرقه",$B803))),$A803))</f>
        <v/>
      </c>
      <c r="K803">
        <f>IF($A803="","",IF(AND($B803&lt;&gt;"",COUNTIF(AcctCodesA,$B803)=0),"کد طرف در INFO تعریف نشده",IF(AND($D803="هزینه",$E803=""),"هزینه بدون زیرگروه",IF(AND($C803="پاس چک",OR(Sync!$AJ803="",COUNTIF(IssueNosA,Sync!$AJ803)=0)),"شماره چک پاس‌شده معتبر نیست",""))))</f>
        <v/>
      </c>
      <c r="V803">
        <f>IF($K803="","",IF(ISNUMBER(Sync!$AK803),Sync!$AK803,LEFT(Sync!$AK803,4)&amp;MID(Sync!$AK803,6,2)&amp;RIGHT(Sync!$AK803,2))&amp;"|"&amp;"4"&amp;RIGHT("00000"&amp;798,5))</f>
        <v/>
      </c>
      <c r="W803">
        <f>IF($V803="",0,COUNTIFS($V$6:$V$2005,"&lt;"&amp;$V803)-COUNTIFS($V$6:$V$2005,"&lt;"&amp;$V803,$K$6:$K$2005,"")+1)</f>
        <v/>
      </c>
      <c r="X803">
        <f>IF(Sync!$AX803="","",IF(OR(N(Sync!$AY803)=0,N(Sync!$AZ803)=0),"",ROUND(N(Sync!$AY803)*N(Sync!$AZ803),0)))</f>
        <v/>
      </c>
      <c r="Y803">
        <f>IF($X803="","",IF(OR(Sync!$AX803="",COUNTIF(AcctCodesA,Sync!$AX803)=0),"متفرقه",Sync!$AX803))</f>
        <v/>
      </c>
      <c r="Z803">
        <f>IF($X803="","","سبد و ظروف")</f>
        <v/>
      </c>
      <c r="AA803">
        <f>IF($X803="","",$Y803)</f>
        <v/>
      </c>
    </row>
    <row r="804">
      <c r="A804">
        <f>IF(Sync!$Z804="","",LEFT(UPPER(TRIM(Sync!$Z804)),6))</f>
        <v/>
      </c>
      <c r="B804">
        <f>IF($A804="","",IF(Sync!$AA804="","",Sync!$AA804))</f>
        <v/>
      </c>
      <c r="C804">
        <f>IF($A804="","",IF(Sync!$AB804="","",Sync!$AB804))</f>
        <v/>
      </c>
      <c r="D804">
        <f>IF($A804="","",IF(Sync!$AC804="","",Sync!$AC804))</f>
        <v/>
      </c>
      <c r="E804">
        <f>IF($A804="","",IF(Sync!$AD804="","",Sync!$AD804))</f>
        <v/>
      </c>
      <c r="F804">
        <f>IF($A804="","",IF(Sync!$AE804="",0,Sync!$AE804))</f>
        <v/>
      </c>
      <c r="G804">
        <f>IF($A804="","",IF(Sync!$AF804="",0,Sync!$AF804))</f>
        <v/>
      </c>
      <c r="H804">
        <f>IF(OR($A804="",ROUND($F804+$G804,2)=0),"",$F804+$G804)</f>
        <v/>
      </c>
      <c r="I804">
        <f>IF($H804="","",IF(ROUND($F804,2)&gt;0,$A804,IF($D804="شخصی قاسم","شخصی قاسم",IF($D804="هزینه","هزینه: "&amp;IF($E804="","متفرقه",$E804),IF($C804="پاس چک","چک پرداختی",IF(OR($B804="",COUNTIF(AcctCodesA,$B804)=0),"متفرقه",$B804))))))</f>
        <v/>
      </c>
      <c r="J804">
        <f>IF($H804="","",IF(ROUND($F804,2)&gt;0,IF($D804="شخصی قاسم","شخصی قاسم",IF($D804="هزینه","هزینه: "&amp;IF($E804="","متفرقه",$E804),IF(OR($B804="",COUNTIF(AcctCodesA,$B804)=0),"متفرقه",$B804))),$A804))</f>
        <v/>
      </c>
      <c r="K804">
        <f>IF($A804="","",IF(AND($B804&lt;&gt;"",COUNTIF(AcctCodesA,$B804)=0),"کد طرف در INFO تعریف نشده",IF(AND($D804="هزینه",$E804=""),"هزینه بدون زیرگروه",IF(AND($C804="پاس چک",OR(Sync!$AJ804="",COUNTIF(IssueNosA,Sync!$AJ804)=0)),"شماره چک پاس‌شده معتبر نیست",""))))</f>
        <v/>
      </c>
      <c r="V804">
        <f>IF($K804="","",IF(ISNUMBER(Sync!$AK804),Sync!$AK804,LEFT(Sync!$AK804,4)&amp;MID(Sync!$AK804,6,2)&amp;RIGHT(Sync!$AK804,2))&amp;"|"&amp;"4"&amp;RIGHT("00000"&amp;799,5))</f>
        <v/>
      </c>
      <c r="W804">
        <f>IF($V804="",0,COUNTIFS($V$6:$V$2005,"&lt;"&amp;$V804)-COUNTIFS($V$6:$V$2005,"&lt;"&amp;$V804,$K$6:$K$2005,"")+1)</f>
        <v/>
      </c>
      <c r="X804">
        <f>IF(Sync!$AX804="","",IF(OR(N(Sync!$AY804)=0,N(Sync!$AZ804)=0),"",ROUND(N(Sync!$AY804)*N(Sync!$AZ804),0)))</f>
        <v/>
      </c>
      <c r="Y804">
        <f>IF($X804="","",IF(OR(Sync!$AX804="",COUNTIF(AcctCodesA,Sync!$AX804)=0),"متفرقه",Sync!$AX804))</f>
        <v/>
      </c>
      <c r="Z804">
        <f>IF($X804="","","سبد و ظروف")</f>
        <v/>
      </c>
      <c r="AA804">
        <f>IF($X804="","",$Y804)</f>
        <v/>
      </c>
    </row>
    <row r="805">
      <c r="A805">
        <f>IF(Sync!$Z805="","",LEFT(UPPER(TRIM(Sync!$Z805)),6))</f>
        <v/>
      </c>
      <c r="B805">
        <f>IF($A805="","",IF(Sync!$AA805="","",Sync!$AA805))</f>
        <v/>
      </c>
      <c r="C805">
        <f>IF($A805="","",IF(Sync!$AB805="","",Sync!$AB805))</f>
        <v/>
      </c>
      <c r="D805">
        <f>IF($A805="","",IF(Sync!$AC805="","",Sync!$AC805))</f>
        <v/>
      </c>
      <c r="E805">
        <f>IF($A805="","",IF(Sync!$AD805="","",Sync!$AD805))</f>
        <v/>
      </c>
      <c r="F805">
        <f>IF($A805="","",IF(Sync!$AE805="",0,Sync!$AE805))</f>
        <v/>
      </c>
      <c r="G805">
        <f>IF($A805="","",IF(Sync!$AF805="",0,Sync!$AF805))</f>
        <v/>
      </c>
      <c r="H805">
        <f>IF(OR($A805="",ROUND($F805+$G805,2)=0),"",$F805+$G805)</f>
        <v/>
      </c>
      <c r="I805">
        <f>IF($H805="","",IF(ROUND($F805,2)&gt;0,$A805,IF($D805="شخصی قاسم","شخصی قاسم",IF($D805="هزینه","هزینه: "&amp;IF($E805="","متفرقه",$E805),IF($C805="پاس چک","چک پرداختی",IF(OR($B805="",COUNTIF(AcctCodesA,$B805)=0),"متفرقه",$B805))))))</f>
        <v/>
      </c>
      <c r="J805">
        <f>IF($H805="","",IF(ROUND($F805,2)&gt;0,IF($D805="شخصی قاسم","شخصی قاسم",IF($D805="هزینه","هزینه: "&amp;IF($E805="","متفرقه",$E805),IF(OR($B805="",COUNTIF(AcctCodesA,$B805)=0),"متفرقه",$B805))),$A805))</f>
        <v/>
      </c>
      <c r="K805">
        <f>IF($A805="","",IF(AND($B805&lt;&gt;"",COUNTIF(AcctCodesA,$B805)=0),"کد طرف در INFO تعریف نشده",IF(AND($D805="هزینه",$E805=""),"هزینه بدون زیرگروه",IF(AND($C805="پاس چک",OR(Sync!$AJ805="",COUNTIF(IssueNosA,Sync!$AJ805)=0)),"شماره چک پاس‌شده معتبر نیست",""))))</f>
        <v/>
      </c>
      <c r="V805">
        <f>IF($K805="","",IF(ISNUMBER(Sync!$AK805),Sync!$AK805,LEFT(Sync!$AK805,4)&amp;MID(Sync!$AK805,6,2)&amp;RIGHT(Sync!$AK805,2))&amp;"|"&amp;"4"&amp;RIGHT("00000"&amp;800,5))</f>
        <v/>
      </c>
      <c r="W805">
        <f>IF($V805="",0,COUNTIFS($V$6:$V$2005,"&lt;"&amp;$V805)-COUNTIFS($V$6:$V$2005,"&lt;"&amp;$V805,$K$6:$K$2005,"")+1)</f>
        <v/>
      </c>
      <c r="X805">
        <f>IF(Sync!$AX805="","",IF(OR(N(Sync!$AY805)=0,N(Sync!$AZ805)=0),"",ROUND(N(Sync!$AY805)*N(Sync!$AZ805),0)))</f>
        <v/>
      </c>
      <c r="Y805">
        <f>IF($X805="","",IF(OR(Sync!$AX805="",COUNTIF(AcctCodesA,Sync!$AX805)=0),"متفرقه",Sync!$AX805))</f>
        <v/>
      </c>
      <c r="Z805">
        <f>IF($X805="","","سبد و ظروف")</f>
        <v/>
      </c>
      <c r="AA805">
        <f>IF($X805="","",$Y805)</f>
        <v/>
      </c>
    </row>
    <row r="806">
      <c r="A806">
        <f>IF(Sync!$Z806="","",LEFT(UPPER(TRIM(Sync!$Z806)),6))</f>
        <v/>
      </c>
      <c r="B806">
        <f>IF($A806="","",IF(Sync!$AA806="","",Sync!$AA806))</f>
        <v/>
      </c>
      <c r="C806">
        <f>IF($A806="","",IF(Sync!$AB806="","",Sync!$AB806))</f>
        <v/>
      </c>
      <c r="D806">
        <f>IF($A806="","",IF(Sync!$AC806="","",Sync!$AC806))</f>
        <v/>
      </c>
      <c r="E806">
        <f>IF($A806="","",IF(Sync!$AD806="","",Sync!$AD806))</f>
        <v/>
      </c>
      <c r="F806">
        <f>IF($A806="","",IF(Sync!$AE806="",0,Sync!$AE806))</f>
        <v/>
      </c>
      <c r="G806">
        <f>IF($A806="","",IF(Sync!$AF806="",0,Sync!$AF806))</f>
        <v/>
      </c>
      <c r="H806">
        <f>IF(OR($A806="",ROUND($F806+$G806,2)=0),"",$F806+$G806)</f>
        <v/>
      </c>
      <c r="I806">
        <f>IF($H806="","",IF(ROUND($F806,2)&gt;0,$A806,IF($D806="شخصی قاسم","شخصی قاسم",IF($D806="هزینه","هزینه: "&amp;IF($E806="","متفرقه",$E806),IF($C806="پاس چک","چک پرداختی",IF(OR($B806="",COUNTIF(AcctCodesA,$B806)=0),"متفرقه",$B806))))))</f>
        <v/>
      </c>
      <c r="J806">
        <f>IF($H806="","",IF(ROUND($F806,2)&gt;0,IF($D806="شخصی قاسم","شخصی قاسم",IF($D806="هزینه","هزینه: "&amp;IF($E806="","متفرقه",$E806),IF(OR($B806="",COUNTIF(AcctCodesA,$B806)=0),"متفرقه",$B806))),$A806))</f>
        <v/>
      </c>
      <c r="K806">
        <f>IF($A806="","",IF(AND($B806&lt;&gt;"",COUNTIF(AcctCodesA,$B806)=0),"کد طرف در INFO تعریف نشده",IF(AND($D806="هزینه",$E806=""),"هزینه بدون زیرگروه",IF(AND($C806="پاس چک",OR(Sync!$AJ806="",COUNTIF(IssueNosA,Sync!$AJ806)=0)),"شماره چک پاس‌شده معتبر نیست",""))))</f>
        <v/>
      </c>
      <c r="V806">
        <f>IF($K806="","",IF(ISNUMBER(Sync!$AK806),Sync!$AK806,LEFT(Sync!$AK806,4)&amp;MID(Sync!$AK806,6,2)&amp;RIGHT(Sync!$AK806,2))&amp;"|"&amp;"4"&amp;RIGHT("00000"&amp;801,5))</f>
        <v/>
      </c>
      <c r="W806">
        <f>IF($V806="",0,COUNTIFS($V$6:$V$2005,"&lt;"&amp;$V806)-COUNTIFS($V$6:$V$2005,"&lt;"&amp;$V806,$K$6:$K$2005,"")+1)</f>
        <v/>
      </c>
      <c r="X806">
        <f>IF(Sync!$AX806="","",IF(OR(N(Sync!$AY806)=0,N(Sync!$AZ806)=0),"",ROUND(N(Sync!$AY806)*N(Sync!$AZ806),0)))</f>
        <v/>
      </c>
      <c r="Y806">
        <f>IF($X806="","",IF(OR(Sync!$AX806="",COUNTIF(AcctCodesA,Sync!$AX806)=0),"متفرقه",Sync!$AX806))</f>
        <v/>
      </c>
      <c r="Z806">
        <f>IF($X806="","","سبد و ظروف")</f>
        <v/>
      </c>
      <c r="AA806">
        <f>IF($X806="","",$Y806)</f>
        <v/>
      </c>
    </row>
    <row r="807">
      <c r="A807">
        <f>IF(Sync!$Z807="","",LEFT(UPPER(TRIM(Sync!$Z807)),6))</f>
        <v/>
      </c>
      <c r="B807">
        <f>IF($A807="","",IF(Sync!$AA807="","",Sync!$AA807))</f>
        <v/>
      </c>
      <c r="C807">
        <f>IF($A807="","",IF(Sync!$AB807="","",Sync!$AB807))</f>
        <v/>
      </c>
      <c r="D807">
        <f>IF($A807="","",IF(Sync!$AC807="","",Sync!$AC807))</f>
        <v/>
      </c>
      <c r="E807">
        <f>IF($A807="","",IF(Sync!$AD807="","",Sync!$AD807))</f>
        <v/>
      </c>
      <c r="F807">
        <f>IF($A807="","",IF(Sync!$AE807="",0,Sync!$AE807))</f>
        <v/>
      </c>
      <c r="G807">
        <f>IF($A807="","",IF(Sync!$AF807="",0,Sync!$AF807))</f>
        <v/>
      </c>
      <c r="H807">
        <f>IF(OR($A807="",ROUND($F807+$G807,2)=0),"",$F807+$G807)</f>
        <v/>
      </c>
      <c r="I807">
        <f>IF($H807="","",IF(ROUND($F807,2)&gt;0,$A807,IF($D807="شخصی قاسم","شخصی قاسم",IF($D807="هزینه","هزینه: "&amp;IF($E807="","متفرقه",$E807),IF($C807="پاس چک","چک پرداختی",IF(OR($B807="",COUNTIF(AcctCodesA,$B807)=0),"متفرقه",$B807))))))</f>
        <v/>
      </c>
      <c r="J807">
        <f>IF($H807="","",IF(ROUND($F807,2)&gt;0,IF($D807="شخصی قاسم","شخصی قاسم",IF($D807="هزینه","هزینه: "&amp;IF($E807="","متفرقه",$E807),IF(OR($B807="",COUNTIF(AcctCodesA,$B807)=0),"متفرقه",$B807))),$A807))</f>
        <v/>
      </c>
      <c r="K807">
        <f>IF($A807="","",IF(AND($B807&lt;&gt;"",COUNTIF(AcctCodesA,$B807)=0),"کد طرف در INFO تعریف نشده",IF(AND($D807="هزینه",$E807=""),"هزینه بدون زیرگروه",IF(AND($C807="پاس چک",OR(Sync!$AJ807="",COUNTIF(IssueNosA,Sync!$AJ807)=0)),"شماره چک پاس‌شده معتبر نیست",""))))</f>
        <v/>
      </c>
      <c r="V807">
        <f>IF($K807="","",IF(ISNUMBER(Sync!$AK807),Sync!$AK807,LEFT(Sync!$AK807,4)&amp;MID(Sync!$AK807,6,2)&amp;RIGHT(Sync!$AK807,2))&amp;"|"&amp;"4"&amp;RIGHT("00000"&amp;802,5))</f>
        <v/>
      </c>
      <c r="W807">
        <f>IF($V807="",0,COUNTIFS($V$6:$V$2005,"&lt;"&amp;$V807)-COUNTIFS($V$6:$V$2005,"&lt;"&amp;$V807,$K$6:$K$2005,"")+1)</f>
        <v/>
      </c>
      <c r="X807">
        <f>IF(Sync!$AX807="","",IF(OR(N(Sync!$AY807)=0,N(Sync!$AZ807)=0),"",ROUND(N(Sync!$AY807)*N(Sync!$AZ807),0)))</f>
        <v/>
      </c>
      <c r="Y807">
        <f>IF($X807="","",IF(OR(Sync!$AX807="",COUNTIF(AcctCodesA,Sync!$AX807)=0),"متفرقه",Sync!$AX807))</f>
        <v/>
      </c>
      <c r="Z807">
        <f>IF($X807="","","سبد و ظروف")</f>
        <v/>
      </c>
      <c r="AA807">
        <f>IF($X807="","",$Y807)</f>
        <v/>
      </c>
    </row>
    <row r="808">
      <c r="A808">
        <f>IF(Sync!$Z808="","",LEFT(UPPER(TRIM(Sync!$Z808)),6))</f>
        <v/>
      </c>
      <c r="B808">
        <f>IF($A808="","",IF(Sync!$AA808="","",Sync!$AA808))</f>
        <v/>
      </c>
      <c r="C808">
        <f>IF($A808="","",IF(Sync!$AB808="","",Sync!$AB808))</f>
        <v/>
      </c>
      <c r="D808">
        <f>IF($A808="","",IF(Sync!$AC808="","",Sync!$AC808))</f>
        <v/>
      </c>
      <c r="E808">
        <f>IF($A808="","",IF(Sync!$AD808="","",Sync!$AD808))</f>
        <v/>
      </c>
      <c r="F808">
        <f>IF($A808="","",IF(Sync!$AE808="",0,Sync!$AE808))</f>
        <v/>
      </c>
      <c r="G808">
        <f>IF($A808="","",IF(Sync!$AF808="",0,Sync!$AF808))</f>
        <v/>
      </c>
      <c r="H808">
        <f>IF(OR($A808="",ROUND($F808+$G808,2)=0),"",$F808+$G808)</f>
        <v/>
      </c>
      <c r="I808">
        <f>IF($H808="","",IF(ROUND($F808,2)&gt;0,$A808,IF($D808="شخصی قاسم","شخصی قاسم",IF($D808="هزینه","هزینه: "&amp;IF($E808="","متفرقه",$E808),IF($C808="پاس چک","چک پرداختی",IF(OR($B808="",COUNTIF(AcctCodesA,$B808)=0),"متفرقه",$B808))))))</f>
        <v/>
      </c>
      <c r="J808">
        <f>IF($H808="","",IF(ROUND($F808,2)&gt;0,IF($D808="شخصی قاسم","شخصی قاسم",IF($D808="هزینه","هزینه: "&amp;IF($E808="","متفرقه",$E808),IF(OR($B808="",COUNTIF(AcctCodesA,$B808)=0),"متفرقه",$B808))),$A808))</f>
        <v/>
      </c>
      <c r="K808">
        <f>IF($A808="","",IF(AND($B808&lt;&gt;"",COUNTIF(AcctCodesA,$B808)=0),"کد طرف در INFO تعریف نشده",IF(AND($D808="هزینه",$E808=""),"هزینه بدون زیرگروه",IF(AND($C808="پاس چک",OR(Sync!$AJ808="",COUNTIF(IssueNosA,Sync!$AJ808)=0)),"شماره چک پاس‌شده معتبر نیست",""))))</f>
        <v/>
      </c>
      <c r="V808">
        <f>IF($K808="","",IF(ISNUMBER(Sync!$AK808),Sync!$AK808,LEFT(Sync!$AK808,4)&amp;MID(Sync!$AK808,6,2)&amp;RIGHT(Sync!$AK808,2))&amp;"|"&amp;"4"&amp;RIGHT("00000"&amp;803,5))</f>
        <v/>
      </c>
      <c r="W808">
        <f>IF($V808="",0,COUNTIFS($V$6:$V$2005,"&lt;"&amp;$V808)-COUNTIFS($V$6:$V$2005,"&lt;"&amp;$V808,$K$6:$K$2005,"")+1)</f>
        <v/>
      </c>
      <c r="X808">
        <f>IF(Sync!$AX808="","",IF(OR(N(Sync!$AY808)=0,N(Sync!$AZ808)=0),"",ROUND(N(Sync!$AY808)*N(Sync!$AZ808),0)))</f>
        <v/>
      </c>
      <c r="Y808">
        <f>IF($X808="","",IF(OR(Sync!$AX808="",COUNTIF(AcctCodesA,Sync!$AX808)=0),"متفرقه",Sync!$AX808))</f>
        <v/>
      </c>
      <c r="Z808">
        <f>IF($X808="","","سبد و ظروف")</f>
        <v/>
      </c>
      <c r="AA808">
        <f>IF($X808="","",$Y808)</f>
        <v/>
      </c>
    </row>
    <row r="809">
      <c r="A809">
        <f>IF(Sync!$Z809="","",LEFT(UPPER(TRIM(Sync!$Z809)),6))</f>
        <v/>
      </c>
      <c r="B809">
        <f>IF($A809="","",IF(Sync!$AA809="","",Sync!$AA809))</f>
        <v/>
      </c>
      <c r="C809">
        <f>IF($A809="","",IF(Sync!$AB809="","",Sync!$AB809))</f>
        <v/>
      </c>
      <c r="D809">
        <f>IF($A809="","",IF(Sync!$AC809="","",Sync!$AC809))</f>
        <v/>
      </c>
      <c r="E809">
        <f>IF($A809="","",IF(Sync!$AD809="","",Sync!$AD809))</f>
        <v/>
      </c>
      <c r="F809">
        <f>IF($A809="","",IF(Sync!$AE809="",0,Sync!$AE809))</f>
        <v/>
      </c>
      <c r="G809">
        <f>IF($A809="","",IF(Sync!$AF809="",0,Sync!$AF809))</f>
        <v/>
      </c>
      <c r="H809">
        <f>IF(OR($A809="",ROUND($F809+$G809,2)=0),"",$F809+$G809)</f>
        <v/>
      </c>
      <c r="I809">
        <f>IF($H809="","",IF(ROUND($F809,2)&gt;0,$A809,IF($D809="شخصی قاسم","شخصی قاسم",IF($D809="هزینه","هزینه: "&amp;IF($E809="","متفرقه",$E809),IF($C809="پاس چک","چک پرداختی",IF(OR($B809="",COUNTIF(AcctCodesA,$B809)=0),"متفرقه",$B809))))))</f>
        <v/>
      </c>
      <c r="J809">
        <f>IF($H809="","",IF(ROUND($F809,2)&gt;0,IF($D809="شخصی قاسم","شخصی قاسم",IF($D809="هزینه","هزینه: "&amp;IF($E809="","متفرقه",$E809),IF(OR($B809="",COUNTIF(AcctCodesA,$B809)=0),"متفرقه",$B809))),$A809))</f>
        <v/>
      </c>
      <c r="K809">
        <f>IF($A809="","",IF(AND($B809&lt;&gt;"",COUNTIF(AcctCodesA,$B809)=0),"کد طرف در INFO تعریف نشده",IF(AND($D809="هزینه",$E809=""),"هزینه بدون زیرگروه",IF(AND($C809="پاس چک",OR(Sync!$AJ809="",COUNTIF(IssueNosA,Sync!$AJ809)=0)),"شماره چک پاس‌شده معتبر نیست",""))))</f>
        <v/>
      </c>
      <c r="V809">
        <f>IF($K809="","",IF(ISNUMBER(Sync!$AK809),Sync!$AK809,LEFT(Sync!$AK809,4)&amp;MID(Sync!$AK809,6,2)&amp;RIGHT(Sync!$AK809,2))&amp;"|"&amp;"4"&amp;RIGHT("00000"&amp;804,5))</f>
        <v/>
      </c>
      <c r="W809">
        <f>IF($V809="",0,COUNTIFS($V$6:$V$2005,"&lt;"&amp;$V809)-COUNTIFS($V$6:$V$2005,"&lt;"&amp;$V809,$K$6:$K$2005,"")+1)</f>
        <v/>
      </c>
      <c r="X809">
        <f>IF(Sync!$AX809="","",IF(OR(N(Sync!$AY809)=0,N(Sync!$AZ809)=0),"",ROUND(N(Sync!$AY809)*N(Sync!$AZ809),0)))</f>
        <v/>
      </c>
      <c r="Y809">
        <f>IF($X809="","",IF(OR(Sync!$AX809="",COUNTIF(AcctCodesA,Sync!$AX809)=0),"متفرقه",Sync!$AX809))</f>
        <v/>
      </c>
      <c r="Z809">
        <f>IF($X809="","","سبد و ظروف")</f>
        <v/>
      </c>
      <c r="AA809">
        <f>IF($X809="","",$Y809)</f>
        <v/>
      </c>
    </row>
    <row r="810">
      <c r="A810">
        <f>IF(Sync!$Z810="","",LEFT(UPPER(TRIM(Sync!$Z810)),6))</f>
        <v/>
      </c>
      <c r="B810">
        <f>IF($A810="","",IF(Sync!$AA810="","",Sync!$AA810))</f>
        <v/>
      </c>
      <c r="C810">
        <f>IF($A810="","",IF(Sync!$AB810="","",Sync!$AB810))</f>
        <v/>
      </c>
      <c r="D810">
        <f>IF($A810="","",IF(Sync!$AC810="","",Sync!$AC810))</f>
        <v/>
      </c>
      <c r="E810">
        <f>IF($A810="","",IF(Sync!$AD810="","",Sync!$AD810))</f>
        <v/>
      </c>
      <c r="F810">
        <f>IF($A810="","",IF(Sync!$AE810="",0,Sync!$AE810))</f>
        <v/>
      </c>
      <c r="G810">
        <f>IF($A810="","",IF(Sync!$AF810="",0,Sync!$AF810))</f>
        <v/>
      </c>
      <c r="H810">
        <f>IF(OR($A810="",ROUND($F810+$G810,2)=0),"",$F810+$G810)</f>
        <v/>
      </c>
      <c r="I810">
        <f>IF($H810="","",IF(ROUND($F810,2)&gt;0,$A810,IF($D810="شخصی قاسم","شخصی قاسم",IF($D810="هزینه","هزینه: "&amp;IF($E810="","متفرقه",$E810),IF($C810="پاس چک","چک پرداختی",IF(OR($B810="",COUNTIF(AcctCodesA,$B810)=0),"متفرقه",$B810))))))</f>
        <v/>
      </c>
      <c r="J810">
        <f>IF($H810="","",IF(ROUND($F810,2)&gt;0,IF($D810="شخصی قاسم","شخصی قاسم",IF($D810="هزینه","هزینه: "&amp;IF($E810="","متفرقه",$E810),IF(OR($B810="",COUNTIF(AcctCodesA,$B810)=0),"متفرقه",$B810))),$A810))</f>
        <v/>
      </c>
      <c r="K810">
        <f>IF($A810="","",IF(AND($B810&lt;&gt;"",COUNTIF(AcctCodesA,$B810)=0),"کد طرف در INFO تعریف نشده",IF(AND($D810="هزینه",$E810=""),"هزینه بدون زیرگروه",IF(AND($C810="پاس چک",OR(Sync!$AJ810="",COUNTIF(IssueNosA,Sync!$AJ810)=0)),"شماره چک پاس‌شده معتبر نیست",""))))</f>
        <v/>
      </c>
      <c r="V810">
        <f>IF($K810="","",IF(ISNUMBER(Sync!$AK810),Sync!$AK810,LEFT(Sync!$AK810,4)&amp;MID(Sync!$AK810,6,2)&amp;RIGHT(Sync!$AK810,2))&amp;"|"&amp;"4"&amp;RIGHT("00000"&amp;805,5))</f>
        <v/>
      </c>
      <c r="W810">
        <f>IF($V810="",0,COUNTIFS($V$6:$V$2005,"&lt;"&amp;$V810)-COUNTIFS($V$6:$V$2005,"&lt;"&amp;$V810,$K$6:$K$2005,"")+1)</f>
        <v/>
      </c>
      <c r="X810">
        <f>IF(Sync!$AX810="","",IF(OR(N(Sync!$AY810)=0,N(Sync!$AZ810)=0),"",ROUND(N(Sync!$AY810)*N(Sync!$AZ810),0)))</f>
        <v/>
      </c>
      <c r="Y810">
        <f>IF($X810="","",IF(OR(Sync!$AX810="",COUNTIF(AcctCodesA,Sync!$AX810)=0),"متفرقه",Sync!$AX810))</f>
        <v/>
      </c>
      <c r="Z810">
        <f>IF($X810="","","سبد و ظروف")</f>
        <v/>
      </c>
      <c r="AA810">
        <f>IF($X810="","",$Y810)</f>
        <v/>
      </c>
    </row>
    <row r="811">
      <c r="A811">
        <f>IF(Sync!$Z811="","",LEFT(UPPER(TRIM(Sync!$Z811)),6))</f>
        <v/>
      </c>
      <c r="B811">
        <f>IF($A811="","",IF(Sync!$AA811="","",Sync!$AA811))</f>
        <v/>
      </c>
      <c r="C811">
        <f>IF($A811="","",IF(Sync!$AB811="","",Sync!$AB811))</f>
        <v/>
      </c>
      <c r="D811">
        <f>IF($A811="","",IF(Sync!$AC811="","",Sync!$AC811))</f>
        <v/>
      </c>
      <c r="E811">
        <f>IF($A811="","",IF(Sync!$AD811="","",Sync!$AD811))</f>
        <v/>
      </c>
      <c r="F811">
        <f>IF($A811="","",IF(Sync!$AE811="",0,Sync!$AE811))</f>
        <v/>
      </c>
      <c r="G811">
        <f>IF($A811="","",IF(Sync!$AF811="",0,Sync!$AF811))</f>
        <v/>
      </c>
      <c r="H811">
        <f>IF(OR($A811="",ROUND($F811+$G811,2)=0),"",$F811+$G811)</f>
        <v/>
      </c>
      <c r="I811">
        <f>IF($H811="","",IF(ROUND($F811,2)&gt;0,$A811,IF($D811="شخصی قاسم","شخصی قاسم",IF($D811="هزینه","هزینه: "&amp;IF($E811="","متفرقه",$E811),IF($C811="پاس چک","چک پرداختی",IF(OR($B811="",COUNTIF(AcctCodesA,$B811)=0),"متفرقه",$B811))))))</f>
        <v/>
      </c>
      <c r="J811">
        <f>IF($H811="","",IF(ROUND($F811,2)&gt;0,IF($D811="شخصی قاسم","شخصی قاسم",IF($D811="هزینه","هزینه: "&amp;IF($E811="","متفرقه",$E811),IF(OR($B811="",COUNTIF(AcctCodesA,$B811)=0),"متفرقه",$B811))),$A811))</f>
        <v/>
      </c>
      <c r="K811">
        <f>IF($A811="","",IF(AND($B811&lt;&gt;"",COUNTIF(AcctCodesA,$B811)=0),"کد طرف در INFO تعریف نشده",IF(AND($D811="هزینه",$E811=""),"هزینه بدون زیرگروه",IF(AND($C811="پاس چک",OR(Sync!$AJ811="",COUNTIF(IssueNosA,Sync!$AJ811)=0)),"شماره چک پاس‌شده معتبر نیست",""))))</f>
        <v/>
      </c>
      <c r="V811">
        <f>IF($K811="","",IF(ISNUMBER(Sync!$AK811),Sync!$AK811,LEFT(Sync!$AK811,4)&amp;MID(Sync!$AK811,6,2)&amp;RIGHT(Sync!$AK811,2))&amp;"|"&amp;"4"&amp;RIGHT("00000"&amp;806,5))</f>
        <v/>
      </c>
      <c r="W811">
        <f>IF($V811="",0,COUNTIFS($V$6:$V$2005,"&lt;"&amp;$V811)-COUNTIFS($V$6:$V$2005,"&lt;"&amp;$V811,$K$6:$K$2005,"")+1)</f>
        <v/>
      </c>
      <c r="X811">
        <f>IF(Sync!$AX811="","",IF(OR(N(Sync!$AY811)=0,N(Sync!$AZ811)=0),"",ROUND(N(Sync!$AY811)*N(Sync!$AZ811),0)))</f>
        <v/>
      </c>
      <c r="Y811">
        <f>IF($X811="","",IF(OR(Sync!$AX811="",COUNTIF(AcctCodesA,Sync!$AX811)=0),"متفرقه",Sync!$AX811))</f>
        <v/>
      </c>
      <c r="Z811">
        <f>IF($X811="","","سبد و ظروف")</f>
        <v/>
      </c>
      <c r="AA811">
        <f>IF($X811="","",$Y811)</f>
        <v/>
      </c>
    </row>
    <row r="812">
      <c r="A812">
        <f>IF(Sync!$Z812="","",LEFT(UPPER(TRIM(Sync!$Z812)),6))</f>
        <v/>
      </c>
      <c r="B812">
        <f>IF($A812="","",IF(Sync!$AA812="","",Sync!$AA812))</f>
        <v/>
      </c>
      <c r="C812">
        <f>IF($A812="","",IF(Sync!$AB812="","",Sync!$AB812))</f>
        <v/>
      </c>
      <c r="D812">
        <f>IF($A812="","",IF(Sync!$AC812="","",Sync!$AC812))</f>
        <v/>
      </c>
      <c r="E812">
        <f>IF($A812="","",IF(Sync!$AD812="","",Sync!$AD812))</f>
        <v/>
      </c>
      <c r="F812">
        <f>IF($A812="","",IF(Sync!$AE812="",0,Sync!$AE812))</f>
        <v/>
      </c>
      <c r="G812">
        <f>IF($A812="","",IF(Sync!$AF812="",0,Sync!$AF812))</f>
        <v/>
      </c>
      <c r="H812">
        <f>IF(OR($A812="",ROUND($F812+$G812,2)=0),"",$F812+$G812)</f>
        <v/>
      </c>
      <c r="I812">
        <f>IF($H812="","",IF(ROUND($F812,2)&gt;0,$A812,IF($D812="شخصی قاسم","شخصی قاسم",IF($D812="هزینه","هزینه: "&amp;IF($E812="","متفرقه",$E812),IF($C812="پاس چک","چک پرداختی",IF(OR($B812="",COUNTIF(AcctCodesA,$B812)=0),"متفرقه",$B812))))))</f>
        <v/>
      </c>
      <c r="J812">
        <f>IF($H812="","",IF(ROUND($F812,2)&gt;0,IF($D812="شخصی قاسم","شخصی قاسم",IF($D812="هزینه","هزینه: "&amp;IF($E812="","متفرقه",$E812),IF(OR($B812="",COUNTIF(AcctCodesA,$B812)=0),"متفرقه",$B812))),$A812))</f>
        <v/>
      </c>
      <c r="K812">
        <f>IF($A812="","",IF(AND($B812&lt;&gt;"",COUNTIF(AcctCodesA,$B812)=0),"کد طرف در INFO تعریف نشده",IF(AND($D812="هزینه",$E812=""),"هزینه بدون زیرگروه",IF(AND($C812="پاس چک",OR(Sync!$AJ812="",COUNTIF(IssueNosA,Sync!$AJ812)=0)),"شماره چک پاس‌شده معتبر نیست",""))))</f>
        <v/>
      </c>
      <c r="V812">
        <f>IF($K812="","",IF(ISNUMBER(Sync!$AK812),Sync!$AK812,LEFT(Sync!$AK812,4)&amp;MID(Sync!$AK812,6,2)&amp;RIGHT(Sync!$AK812,2))&amp;"|"&amp;"4"&amp;RIGHT("00000"&amp;807,5))</f>
        <v/>
      </c>
      <c r="W812">
        <f>IF($V812="",0,COUNTIFS($V$6:$V$2005,"&lt;"&amp;$V812)-COUNTIFS($V$6:$V$2005,"&lt;"&amp;$V812,$K$6:$K$2005,"")+1)</f>
        <v/>
      </c>
      <c r="X812">
        <f>IF(Sync!$AX812="","",IF(OR(N(Sync!$AY812)=0,N(Sync!$AZ812)=0),"",ROUND(N(Sync!$AY812)*N(Sync!$AZ812),0)))</f>
        <v/>
      </c>
      <c r="Y812">
        <f>IF($X812="","",IF(OR(Sync!$AX812="",COUNTIF(AcctCodesA,Sync!$AX812)=0),"متفرقه",Sync!$AX812))</f>
        <v/>
      </c>
      <c r="Z812">
        <f>IF($X812="","","سبد و ظروف")</f>
        <v/>
      </c>
      <c r="AA812">
        <f>IF($X812="","",$Y812)</f>
        <v/>
      </c>
    </row>
    <row r="813">
      <c r="A813">
        <f>IF(Sync!$Z813="","",LEFT(UPPER(TRIM(Sync!$Z813)),6))</f>
        <v/>
      </c>
      <c r="B813">
        <f>IF($A813="","",IF(Sync!$AA813="","",Sync!$AA813))</f>
        <v/>
      </c>
      <c r="C813">
        <f>IF($A813="","",IF(Sync!$AB813="","",Sync!$AB813))</f>
        <v/>
      </c>
      <c r="D813">
        <f>IF($A813="","",IF(Sync!$AC813="","",Sync!$AC813))</f>
        <v/>
      </c>
      <c r="E813">
        <f>IF($A813="","",IF(Sync!$AD813="","",Sync!$AD813))</f>
        <v/>
      </c>
      <c r="F813">
        <f>IF($A813="","",IF(Sync!$AE813="",0,Sync!$AE813))</f>
        <v/>
      </c>
      <c r="G813">
        <f>IF($A813="","",IF(Sync!$AF813="",0,Sync!$AF813))</f>
        <v/>
      </c>
      <c r="H813">
        <f>IF(OR($A813="",ROUND($F813+$G813,2)=0),"",$F813+$G813)</f>
        <v/>
      </c>
      <c r="I813">
        <f>IF($H813="","",IF(ROUND($F813,2)&gt;0,$A813,IF($D813="شخصی قاسم","شخصی قاسم",IF($D813="هزینه","هزینه: "&amp;IF($E813="","متفرقه",$E813),IF($C813="پاس چک","چک پرداختی",IF(OR($B813="",COUNTIF(AcctCodesA,$B813)=0),"متفرقه",$B813))))))</f>
        <v/>
      </c>
      <c r="J813">
        <f>IF($H813="","",IF(ROUND($F813,2)&gt;0,IF($D813="شخصی قاسم","شخصی قاسم",IF($D813="هزینه","هزینه: "&amp;IF($E813="","متفرقه",$E813),IF(OR($B813="",COUNTIF(AcctCodesA,$B813)=0),"متفرقه",$B813))),$A813))</f>
        <v/>
      </c>
      <c r="K813">
        <f>IF($A813="","",IF(AND($B813&lt;&gt;"",COUNTIF(AcctCodesA,$B813)=0),"کد طرف در INFO تعریف نشده",IF(AND($D813="هزینه",$E813=""),"هزینه بدون زیرگروه",IF(AND($C813="پاس چک",OR(Sync!$AJ813="",COUNTIF(IssueNosA,Sync!$AJ813)=0)),"شماره چک پاس‌شده معتبر نیست",""))))</f>
        <v/>
      </c>
      <c r="V813">
        <f>IF($K813="","",IF(ISNUMBER(Sync!$AK813),Sync!$AK813,LEFT(Sync!$AK813,4)&amp;MID(Sync!$AK813,6,2)&amp;RIGHT(Sync!$AK813,2))&amp;"|"&amp;"4"&amp;RIGHT("00000"&amp;808,5))</f>
        <v/>
      </c>
      <c r="W813">
        <f>IF($V813="",0,COUNTIFS($V$6:$V$2005,"&lt;"&amp;$V813)-COUNTIFS($V$6:$V$2005,"&lt;"&amp;$V813,$K$6:$K$2005,"")+1)</f>
        <v/>
      </c>
      <c r="X813">
        <f>IF(Sync!$AX813="","",IF(OR(N(Sync!$AY813)=0,N(Sync!$AZ813)=0),"",ROUND(N(Sync!$AY813)*N(Sync!$AZ813),0)))</f>
        <v/>
      </c>
      <c r="Y813">
        <f>IF($X813="","",IF(OR(Sync!$AX813="",COUNTIF(AcctCodesA,Sync!$AX813)=0),"متفرقه",Sync!$AX813))</f>
        <v/>
      </c>
      <c r="Z813">
        <f>IF($X813="","","سبد و ظروف")</f>
        <v/>
      </c>
      <c r="AA813">
        <f>IF($X813="","",$Y813)</f>
        <v/>
      </c>
    </row>
    <row r="814">
      <c r="A814">
        <f>IF(Sync!$Z814="","",LEFT(UPPER(TRIM(Sync!$Z814)),6))</f>
        <v/>
      </c>
      <c r="B814">
        <f>IF($A814="","",IF(Sync!$AA814="","",Sync!$AA814))</f>
        <v/>
      </c>
      <c r="C814">
        <f>IF($A814="","",IF(Sync!$AB814="","",Sync!$AB814))</f>
        <v/>
      </c>
      <c r="D814">
        <f>IF($A814="","",IF(Sync!$AC814="","",Sync!$AC814))</f>
        <v/>
      </c>
      <c r="E814">
        <f>IF($A814="","",IF(Sync!$AD814="","",Sync!$AD814))</f>
        <v/>
      </c>
      <c r="F814">
        <f>IF($A814="","",IF(Sync!$AE814="",0,Sync!$AE814))</f>
        <v/>
      </c>
      <c r="G814">
        <f>IF($A814="","",IF(Sync!$AF814="",0,Sync!$AF814))</f>
        <v/>
      </c>
      <c r="H814">
        <f>IF(OR($A814="",ROUND($F814+$G814,2)=0),"",$F814+$G814)</f>
        <v/>
      </c>
      <c r="I814">
        <f>IF($H814="","",IF(ROUND($F814,2)&gt;0,$A814,IF($D814="شخصی قاسم","شخصی قاسم",IF($D814="هزینه","هزینه: "&amp;IF($E814="","متفرقه",$E814),IF($C814="پاس چک","چک پرداختی",IF(OR($B814="",COUNTIF(AcctCodesA,$B814)=0),"متفرقه",$B814))))))</f>
        <v/>
      </c>
      <c r="J814">
        <f>IF($H814="","",IF(ROUND($F814,2)&gt;0,IF($D814="شخصی قاسم","شخصی قاسم",IF($D814="هزینه","هزینه: "&amp;IF($E814="","متفرقه",$E814),IF(OR($B814="",COUNTIF(AcctCodesA,$B814)=0),"متفرقه",$B814))),$A814))</f>
        <v/>
      </c>
      <c r="K814">
        <f>IF($A814="","",IF(AND($B814&lt;&gt;"",COUNTIF(AcctCodesA,$B814)=0),"کد طرف در INFO تعریف نشده",IF(AND($D814="هزینه",$E814=""),"هزینه بدون زیرگروه",IF(AND($C814="پاس چک",OR(Sync!$AJ814="",COUNTIF(IssueNosA,Sync!$AJ814)=0)),"شماره چک پاس‌شده معتبر نیست",""))))</f>
        <v/>
      </c>
      <c r="V814">
        <f>IF($K814="","",IF(ISNUMBER(Sync!$AK814),Sync!$AK814,LEFT(Sync!$AK814,4)&amp;MID(Sync!$AK814,6,2)&amp;RIGHT(Sync!$AK814,2))&amp;"|"&amp;"4"&amp;RIGHT("00000"&amp;809,5))</f>
        <v/>
      </c>
      <c r="W814">
        <f>IF($V814="",0,COUNTIFS($V$6:$V$2005,"&lt;"&amp;$V814)-COUNTIFS($V$6:$V$2005,"&lt;"&amp;$V814,$K$6:$K$2005,"")+1)</f>
        <v/>
      </c>
      <c r="X814">
        <f>IF(Sync!$AX814="","",IF(OR(N(Sync!$AY814)=0,N(Sync!$AZ814)=0),"",ROUND(N(Sync!$AY814)*N(Sync!$AZ814),0)))</f>
        <v/>
      </c>
      <c r="Y814">
        <f>IF($X814="","",IF(OR(Sync!$AX814="",COUNTIF(AcctCodesA,Sync!$AX814)=0),"متفرقه",Sync!$AX814))</f>
        <v/>
      </c>
      <c r="Z814">
        <f>IF($X814="","","سبد و ظروف")</f>
        <v/>
      </c>
      <c r="AA814">
        <f>IF($X814="","",$Y814)</f>
        <v/>
      </c>
    </row>
    <row r="815">
      <c r="A815">
        <f>IF(Sync!$Z815="","",LEFT(UPPER(TRIM(Sync!$Z815)),6))</f>
        <v/>
      </c>
      <c r="B815">
        <f>IF($A815="","",IF(Sync!$AA815="","",Sync!$AA815))</f>
        <v/>
      </c>
      <c r="C815">
        <f>IF($A815="","",IF(Sync!$AB815="","",Sync!$AB815))</f>
        <v/>
      </c>
      <c r="D815">
        <f>IF($A815="","",IF(Sync!$AC815="","",Sync!$AC815))</f>
        <v/>
      </c>
      <c r="E815">
        <f>IF($A815="","",IF(Sync!$AD815="","",Sync!$AD815))</f>
        <v/>
      </c>
      <c r="F815">
        <f>IF($A815="","",IF(Sync!$AE815="",0,Sync!$AE815))</f>
        <v/>
      </c>
      <c r="G815">
        <f>IF($A815="","",IF(Sync!$AF815="",0,Sync!$AF815))</f>
        <v/>
      </c>
      <c r="H815">
        <f>IF(OR($A815="",ROUND($F815+$G815,2)=0),"",$F815+$G815)</f>
        <v/>
      </c>
      <c r="I815">
        <f>IF($H815="","",IF(ROUND($F815,2)&gt;0,$A815,IF($D815="شخصی قاسم","شخصی قاسم",IF($D815="هزینه","هزینه: "&amp;IF($E815="","متفرقه",$E815),IF($C815="پاس چک","چک پرداختی",IF(OR($B815="",COUNTIF(AcctCodesA,$B815)=0),"متفرقه",$B815))))))</f>
        <v/>
      </c>
      <c r="J815">
        <f>IF($H815="","",IF(ROUND($F815,2)&gt;0,IF($D815="شخصی قاسم","شخصی قاسم",IF($D815="هزینه","هزینه: "&amp;IF($E815="","متفرقه",$E815),IF(OR($B815="",COUNTIF(AcctCodesA,$B815)=0),"متفرقه",$B815))),$A815))</f>
        <v/>
      </c>
      <c r="K815">
        <f>IF($A815="","",IF(AND($B815&lt;&gt;"",COUNTIF(AcctCodesA,$B815)=0),"کد طرف در INFO تعریف نشده",IF(AND($D815="هزینه",$E815=""),"هزینه بدون زیرگروه",IF(AND($C815="پاس چک",OR(Sync!$AJ815="",COUNTIF(IssueNosA,Sync!$AJ815)=0)),"شماره چک پاس‌شده معتبر نیست",""))))</f>
        <v/>
      </c>
      <c r="V815">
        <f>IF($K815="","",IF(ISNUMBER(Sync!$AK815),Sync!$AK815,LEFT(Sync!$AK815,4)&amp;MID(Sync!$AK815,6,2)&amp;RIGHT(Sync!$AK815,2))&amp;"|"&amp;"4"&amp;RIGHT("00000"&amp;810,5))</f>
        <v/>
      </c>
      <c r="W815">
        <f>IF($V815="",0,COUNTIFS($V$6:$V$2005,"&lt;"&amp;$V815)-COUNTIFS($V$6:$V$2005,"&lt;"&amp;$V815,$K$6:$K$2005,"")+1)</f>
        <v/>
      </c>
      <c r="X815">
        <f>IF(Sync!$AX815="","",IF(OR(N(Sync!$AY815)=0,N(Sync!$AZ815)=0),"",ROUND(N(Sync!$AY815)*N(Sync!$AZ815),0)))</f>
        <v/>
      </c>
      <c r="Y815">
        <f>IF($X815="","",IF(OR(Sync!$AX815="",COUNTIF(AcctCodesA,Sync!$AX815)=0),"متفرقه",Sync!$AX815))</f>
        <v/>
      </c>
      <c r="Z815">
        <f>IF($X815="","","سبد و ظروف")</f>
        <v/>
      </c>
      <c r="AA815">
        <f>IF($X815="","",$Y815)</f>
        <v/>
      </c>
    </row>
    <row r="816">
      <c r="A816">
        <f>IF(Sync!$Z816="","",LEFT(UPPER(TRIM(Sync!$Z816)),6))</f>
        <v/>
      </c>
      <c r="B816">
        <f>IF($A816="","",IF(Sync!$AA816="","",Sync!$AA816))</f>
        <v/>
      </c>
      <c r="C816">
        <f>IF($A816="","",IF(Sync!$AB816="","",Sync!$AB816))</f>
        <v/>
      </c>
      <c r="D816">
        <f>IF($A816="","",IF(Sync!$AC816="","",Sync!$AC816))</f>
        <v/>
      </c>
      <c r="E816">
        <f>IF($A816="","",IF(Sync!$AD816="","",Sync!$AD816))</f>
        <v/>
      </c>
      <c r="F816">
        <f>IF($A816="","",IF(Sync!$AE816="",0,Sync!$AE816))</f>
        <v/>
      </c>
      <c r="G816">
        <f>IF($A816="","",IF(Sync!$AF816="",0,Sync!$AF816))</f>
        <v/>
      </c>
      <c r="H816">
        <f>IF(OR($A816="",ROUND($F816+$G816,2)=0),"",$F816+$G816)</f>
        <v/>
      </c>
      <c r="I816">
        <f>IF($H816="","",IF(ROUND($F816,2)&gt;0,$A816,IF($D816="شخصی قاسم","شخصی قاسم",IF($D816="هزینه","هزینه: "&amp;IF($E816="","متفرقه",$E816),IF($C816="پاس چک","چک پرداختی",IF(OR($B816="",COUNTIF(AcctCodesA,$B816)=0),"متفرقه",$B816))))))</f>
        <v/>
      </c>
      <c r="J816">
        <f>IF($H816="","",IF(ROUND($F816,2)&gt;0,IF($D816="شخصی قاسم","شخصی قاسم",IF($D816="هزینه","هزینه: "&amp;IF($E816="","متفرقه",$E816),IF(OR($B816="",COUNTIF(AcctCodesA,$B816)=0),"متفرقه",$B816))),$A816))</f>
        <v/>
      </c>
      <c r="K816">
        <f>IF($A816="","",IF(AND($B816&lt;&gt;"",COUNTIF(AcctCodesA,$B816)=0),"کد طرف در INFO تعریف نشده",IF(AND($D816="هزینه",$E816=""),"هزینه بدون زیرگروه",IF(AND($C816="پاس چک",OR(Sync!$AJ816="",COUNTIF(IssueNosA,Sync!$AJ816)=0)),"شماره چک پاس‌شده معتبر نیست",""))))</f>
        <v/>
      </c>
      <c r="V816">
        <f>IF($K816="","",IF(ISNUMBER(Sync!$AK816),Sync!$AK816,LEFT(Sync!$AK816,4)&amp;MID(Sync!$AK816,6,2)&amp;RIGHT(Sync!$AK816,2))&amp;"|"&amp;"4"&amp;RIGHT("00000"&amp;811,5))</f>
        <v/>
      </c>
      <c r="W816">
        <f>IF($V816="",0,COUNTIFS($V$6:$V$2005,"&lt;"&amp;$V816)-COUNTIFS($V$6:$V$2005,"&lt;"&amp;$V816,$K$6:$K$2005,"")+1)</f>
        <v/>
      </c>
      <c r="X816">
        <f>IF(Sync!$AX816="","",IF(OR(N(Sync!$AY816)=0,N(Sync!$AZ816)=0),"",ROUND(N(Sync!$AY816)*N(Sync!$AZ816),0)))</f>
        <v/>
      </c>
      <c r="Y816">
        <f>IF($X816="","",IF(OR(Sync!$AX816="",COUNTIF(AcctCodesA,Sync!$AX816)=0),"متفرقه",Sync!$AX816))</f>
        <v/>
      </c>
      <c r="Z816">
        <f>IF($X816="","","سبد و ظروف")</f>
        <v/>
      </c>
      <c r="AA816">
        <f>IF($X816="","",$Y816)</f>
        <v/>
      </c>
    </row>
    <row r="817">
      <c r="A817">
        <f>IF(Sync!$Z817="","",LEFT(UPPER(TRIM(Sync!$Z817)),6))</f>
        <v/>
      </c>
      <c r="B817">
        <f>IF($A817="","",IF(Sync!$AA817="","",Sync!$AA817))</f>
        <v/>
      </c>
      <c r="C817">
        <f>IF($A817="","",IF(Sync!$AB817="","",Sync!$AB817))</f>
        <v/>
      </c>
      <c r="D817">
        <f>IF($A817="","",IF(Sync!$AC817="","",Sync!$AC817))</f>
        <v/>
      </c>
      <c r="E817">
        <f>IF($A817="","",IF(Sync!$AD817="","",Sync!$AD817))</f>
        <v/>
      </c>
      <c r="F817">
        <f>IF($A817="","",IF(Sync!$AE817="",0,Sync!$AE817))</f>
        <v/>
      </c>
      <c r="G817">
        <f>IF($A817="","",IF(Sync!$AF817="",0,Sync!$AF817))</f>
        <v/>
      </c>
      <c r="H817">
        <f>IF(OR($A817="",ROUND($F817+$G817,2)=0),"",$F817+$G817)</f>
        <v/>
      </c>
      <c r="I817">
        <f>IF($H817="","",IF(ROUND($F817,2)&gt;0,$A817,IF($D817="شخصی قاسم","شخصی قاسم",IF($D817="هزینه","هزینه: "&amp;IF($E817="","متفرقه",$E817),IF($C817="پاس چک","چک پرداختی",IF(OR($B817="",COUNTIF(AcctCodesA,$B817)=0),"متفرقه",$B817))))))</f>
        <v/>
      </c>
      <c r="J817">
        <f>IF($H817="","",IF(ROUND($F817,2)&gt;0,IF($D817="شخصی قاسم","شخصی قاسم",IF($D817="هزینه","هزینه: "&amp;IF($E817="","متفرقه",$E817),IF(OR($B817="",COUNTIF(AcctCodesA,$B817)=0),"متفرقه",$B817))),$A817))</f>
        <v/>
      </c>
      <c r="K817">
        <f>IF($A817="","",IF(AND($B817&lt;&gt;"",COUNTIF(AcctCodesA,$B817)=0),"کد طرف در INFO تعریف نشده",IF(AND($D817="هزینه",$E817=""),"هزینه بدون زیرگروه",IF(AND($C817="پاس چک",OR(Sync!$AJ817="",COUNTIF(IssueNosA,Sync!$AJ817)=0)),"شماره چک پاس‌شده معتبر نیست",""))))</f>
        <v/>
      </c>
      <c r="V817">
        <f>IF($K817="","",IF(ISNUMBER(Sync!$AK817),Sync!$AK817,LEFT(Sync!$AK817,4)&amp;MID(Sync!$AK817,6,2)&amp;RIGHT(Sync!$AK817,2))&amp;"|"&amp;"4"&amp;RIGHT("00000"&amp;812,5))</f>
        <v/>
      </c>
      <c r="W817">
        <f>IF($V817="",0,COUNTIFS($V$6:$V$2005,"&lt;"&amp;$V817)-COUNTIFS($V$6:$V$2005,"&lt;"&amp;$V817,$K$6:$K$2005,"")+1)</f>
        <v/>
      </c>
      <c r="X817">
        <f>IF(Sync!$AX817="","",IF(OR(N(Sync!$AY817)=0,N(Sync!$AZ817)=0),"",ROUND(N(Sync!$AY817)*N(Sync!$AZ817),0)))</f>
        <v/>
      </c>
      <c r="Y817">
        <f>IF($X817="","",IF(OR(Sync!$AX817="",COUNTIF(AcctCodesA,Sync!$AX817)=0),"متفرقه",Sync!$AX817))</f>
        <v/>
      </c>
      <c r="Z817">
        <f>IF($X817="","","سبد و ظروف")</f>
        <v/>
      </c>
      <c r="AA817">
        <f>IF($X817="","",$Y817)</f>
        <v/>
      </c>
    </row>
    <row r="818">
      <c r="A818">
        <f>IF(Sync!$Z818="","",LEFT(UPPER(TRIM(Sync!$Z818)),6))</f>
        <v/>
      </c>
      <c r="B818">
        <f>IF($A818="","",IF(Sync!$AA818="","",Sync!$AA818))</f>
        <v/>
      </c>
      <c r="C818">
        <f>IF($A818="","",IF(Sync!$AB818="","",Sync!$AB818))</f>
        <v/>
      </c>
      <c r="D818">
        <f>IF($A818="","",IF(Sync!$AC818="","",Sync!$AC818))</f>
        <v/>
      </c>
      <c r="E818">
        <f>IF($A818="","",IF(Sync!$AD818="","",Sync!$AD818))</f>
        <v/>
      </c>
      <c r="F818">
        <f>IF($A818="","",IF(Sync!$AE818="",0,Sync!$AE818))</f>
        <v/>
      </c>
      <c r="G818">
        <f>IF($A818="","",IF(Sync!$AF818="",0,Sync!$AF818))</f>
        <v/>
      </c>
      <c r="H818">
        <f>IF(OR($A818="",ROUND($F818+$G818,2)=0),"",$F818+$G818)</f>
        <v/>
      </c>
      <c r="I818">
        <f>IF($H818="","",IF(ROUND($F818,2)&gt;0,$A818,IF($D818="شخصی قاسم","شخصی قاسم",IF($D818="هزینه","هزینه: "&amp;IF($E818="","متفرقه",$E818),IF($C818="پاس چک","چک پرداختی",IF(OR($B818="",COUNTIF(AcctCodesA,$B818)=0),"متفرقه",$B818))))))</f>
        <v/>
      </c>
      <c r="J818">
        <f>IF($H818="","",IF(ROUND($F818,2)&gt;0,IF($D818="شخصی قاسم","شخصی قاسم",IF($D818="هزینه","هزینه: "&amp;IF($E818="","متفرقه",$E818),IF(OR($B818="",COUNTIF(AcctCodesA,$B818)=0),"متفرقه",$B818))),$A818))</f>
        <v/>
      </c>
      <c r="K818">
        <f>IF($A818="","",IF(AND($B818&lt;&gt;"",COUNTIF(AcctCodesA,$B818)=0),"کد طرف در INFO تعریف نشده",IF(AND($D818="هزینه",$E818=""),"هزینه بدون زیرگروه",IF(AND($C818="پاس چک",OR(Sync!$AJ818="",COUNTIF(IssueNosA,Sync!$AJ818)=0)),"شماره چک پاس‌شده معتبر نیست",""))))</f>
        <v/>
      </c>
      <c r="V818">
        <f>IF($K818="","",IF(ISNUMBER(Sync!$AK818),Sync!$AK818,LEFT(Sync!$AK818,4)&amp;MID(Sync!$AK818,6,2)&amp;RIGHT(Sync!$AK818,2))&amp;"|"&amp;"4"&amp;RIGHT("00000"&amp;813,5))</f>
        <v/>
      </c>
      <c r="W818">
        <f>IF($V818="",0,COUNTIFS($V$6:$V$2005,"&lt;"&amp;$V818)-COUNTIFS($V$6:$V$2005,"&lt;"&amp;$V818,$K$6:$K$2005,"")+1)</f>
        <v/>
      </c>
      <c r="X818">
        <f>IF(Sync!$AX818="","",IF(OR(N(Sync!$AY818)=0,N(Sync!$AZ818)=0),"",ROUND(N(Sync!$AY818)*N(Sync!$AZ818),0)))</f>
        <v/>
      </c>
      <c r="Y818">
        <f>IF($X818="","",IF(OR(Sync!$AX818="",COUNTIF(AcctCodesA,Sync!$AX818)=0),"متفرقه",Sync!$AX818))</f>
        <v/>
      </c>
      <c r="Z818">
        <f>IF($X818="","","سبد و ظروف")</f>
        <v/>
      </c>
      <c r="AA818">
        <f>IF($X818="","",$Y818)</f>
        <v/>
      </c>
    </row>
    <row r="819">
      <c r="A819">
        <f>IF(Sync!$Z819="","",LEFT(UPPER(TRIM(Sync!$Z819)),6))</f>
        <v/>
      </c>
      <c r="B819">
        <f>IF($A819="","",IF(Sync!$AA819="","",Sync!$AA819))</f>
        <v/>
      </c>
      <c r="C819">
        <f>IF($A819="","",IF(Sync!$AB819="","",Sync!$AB819))</f>
        <v/>
      </c>
      <c r="D819">
        <f>IF($A819="","",IF(Sync!$AC819="","",Sync!$AC819))</f>
        <v/>
      </c>
      <c r="E819">
        <f>IF($A819="","",IF(Sync!$AD819="","",Sync!$AD819))</f>
        <v/>
      </c>
      <c r="F819">
        <f>IF($A819="","",IF(Sync!$AE819="",0,Sync!$AE819))</f>
        <v/>
      </c>
      <c r="G819">
        <f>IF($A819="","",IF(Sync!$AF819="",0,Sync!$AF819))</f>
        <v/>
      </c>
      <c r="H819">
        <f>IF(OR($A819="",ROUND($F819+$G819,2)=0),"",$F819+$G819)</f>
        <v/>
      </c>
      <c r="I819">
        <f>IF($H819="","",IF(ROUND($F819,2)&gt;0,$A819,IF($D819="شخصی قاسم","شخصی قاسم",IF($D819="هزینه","هزینه: "&amp;IF($E819="","متفرقه",$E819),IF($C819="پاس چک","چک پرداختی",IF(OR($B819="",COUNTIF(AcctCodesA,$B819)=0),"متفرقه",$B819))))))</f>
        <v/>
      </c>
      <c r="J819">
        <f>IF($H819="","",IF(ROUND($F819,2)&gt;0,IF($D819="شخصی قاسم","شخصی قاسم",IF($D819="هزینه","هزینه: "&amp;IF($E819="","متفرقه",$E819),IF(OR($B819="",COUNTIF(AcctCodesA,$B819)=0),"متفرقه",$B819))),$A819))</f>
        <v/>
      </c>
      <c r="K819">
        <f>IF($A819="","",IF(AND($B819&lt;&gt;"",COUNTIF(AcctCodesA,$B819)=0),"کد طرف در INFO تعریف نشده",IF(AND($D819="هزینه",$E819=""),"هزینه بدون زیرگروه",IF(AND($C819="پاس چک",OR(Sync!$AJ819="",COUNTIF(IssueNosA,Sync!$AJ819)=0)),"شماره چک پاس‌شده معتبر نیست",""))))</f>
        <v/>
      </c>
      <c r="V819">
        <f>IF($K819="","",IF(ISNUMBER(Sync!$AK819),Sync!$AK819,LEFT(Sync!$AK819,4)&amp;MID(Sync!$AK819,6,2)&amp;RIGHT(Sync!$AK819,2))&amp;"|"&amp;"4"&amp;RIGHT("00000"&amp;814,5))</f>
        <v/>
      </c>
      <c r="W819">
        <f>IF($V819="",0,COUNTIFS($V$6:$V$2005,"&lt;"&amp;$V819)-COUNTIFS($V$6:$V$2005,"&lt;"&amp;$V819,$K$6:$K$2005,"")+1)</f>
        <v/>
      </c>
      <c r="X819">
        <f>IF(Sync!$AX819="","",IF(OR(N(Sync!$AY819)=0,N(Sync!$AZ819)=0),"",ROUND(N(Sync!$AY819)*N(Sync!$AZ819),0)))</f>
        <v/>
      </c>
      <c r="Y819">
        <f>IF($X819="","",IF(OR(Sync!$AX819="",COUNTIF(AcctCodesA,Sync!$AX819)=0),"متفرقه",Sync!$AX819))</f>
        <v/>
      </c>
      <c r="Z819">
        <f>IF($X819="","","سبد و ظروف")</f>
        <v/>
      </c>
      <c r="AA819">
        <f>IF($X819="","",$Y819)</f>
        <v/>
      </c>
    </row>
    <row r="820">
      <c r="A820">
        <f>IF(Sync!$Z820="","",LEFT(UPPER(TRIM(Sync!$Z820)),6))</f>
        <v/>
      </c>
      <c r="B820">
        <f>IF($A820="","",IF(Sync!$AA820="","",Sync!$AA820))</f>
        <v/>
      </c>
      <c r="C820">
        <f>IF($A820="","",IF(Sync!$AB820="","",Sync!$AB820))</f>
        <v/>
      </c>
      <c r="D820">
        <f>IF($A820="","",IF(Sync!$AC820="","",Sync!$AC820))</f>
        <v/>
      </c>
      <c r="E820">
        <f>IF($A820="","",IF(Sync!$AD820="","",Sync!$AD820))</f>
        <v/>
      </c>
      <c r="F820">
        <f>IF($A820="","",IF(Sync!$AE820="",0,Sync!$AE820))</f>
        <v/>
      </c>
      <c r="G820">
        <f>IF($A820="","",IF(Sync!$AF820="",0,Sync!$AF820))</f>
        <v/>
      </c>
      <c r="H820">
        <f>IF(OR($A820="",ROUND($F820+$G820,2)=0),"",$F820+$G820)</f>
        <v/>
      </c>
      <c r="I820">
        <f>IF($H820="","",IF(ROUND($F820,2)&gt;0,$A820,IF($D820="شخصی قاسم","شخصی قاسم",IF($D820="هزینه","هزینه: "&amp;IF($E820="","متفرقه",$E820),IF($C820="پاس چک","چک پرداختی",IF(OR($B820="",COUNTIF(AcctCodesA,$B820)=0),"متفرقه",$B820))))))</f>
        <v/>
      </c>
      <c r="J820">
        <f>IF($H820="","",IF(ROUND($F820,2)&gt;0,IF($D820="شخصی قاسم","شخصی قاسم",IF($D820="هزینه","هزینه: "&amp;IF($E820="","متفرقه",$E820),IF(OR($B820="",COUNTIF(AcctCodesA,$B820)=0),"متفرقه",$B820))),$A820))</f>
        <v/>
      </c>
      <c r="K820">
        <f>IF($A820="","",IF(AND($B820&lt;&gt;"",COUNTIF(AcctCodesA,$B820)=0),"کد طرف در INFO تعریف نشده",IF(AND($D820="هزینه",$E820=""),"هزینه بدون زیرگروه",IF(AND($C820="پاس چک",OR(Sync!$AJ820="",COUNTIF(IssueNosA,Sync!$AJ820)=0)),"شماره چک پاس‌شده معتبر نیست",""))))</f>
        <v/>
      </c>
      <c r="V820">
        <f>IF($K820="","",IF(ISNUMBER(Sync!$AK820),Sync!$AK820,LEFT(Sync!$AK820,4)&amp;MID(Sync!$AK820,6,2)&amp;RIGHT(Sync!$AK820,2))&amp;"|"&amp;"4"&amp;RIGHT("00000"&amp;815,5))</f>
        <v/>
      </c>
      <c r="W820">
        <f>IF($V820="",0,COUNTIFS($V$6:$V$2005,"&lt;"&amp;$V820)-COUNTIFS($V$6:$V$2005,"&lt;"&amp;$V820,$K$6:$K$2005,"")+1)</f>
        <v/>
      </c>
      <c r="X820">
        <f>IF(Sync!$AX820="","",IF(OR(N(Sync!$AY820)=0,N(Sync!$AZ820)=0),"",ROUND(N(Sync!$AY820)*N(Sync!$AZ820),0)))</f>
        <v/>
      </c>
      <c r="Y820">
        <f>IF($X820="","",IF(OR(Sync!$AX820="",COUNTIF(AcctCodesA,Sync!$AX820)=0),"متفرقه",Sync!$AX820))</f>
        <v/>
      </c>
      <c r="Z820">
        <f>IF($X820="","","سبد و ظروف")</f>
        <v/>
      </c>
      <c r="AA820">
        <f>IF($X820="","",$Y820)</f>
        <v/>
      </c>
    </row>
    <row r="821">
      <c r="A821">
        <f>IF(Sync!$Z821="","",LEFT(UPPER(TRIM(Sync!$Z821)),6))</f>
        <v/>
      </c>
      <c r="B821">
        <f>IF($A821="","",IF(Sync!$AA821="","",Sync!$AA821))</f>
        <v/>
      </c>
      <c r="C821">
        <f>IF($A821="","",IF(Sync!$AB821="","",Sync!$AB821))</f>
        <v/>
      </c>
      <c r="D821">
        <f>IF($A821="","",IF(Sync!$AC821="","",Sync!$AC821))</f>
        <v/>
      </c>
      <c r="E821">
        <f>IF($A821="","",IF(Sync!$AD821="","",Sync!$AD821))</f>
        <v/>
      </c>
      <c r="F821">
        <f>IF($A821="","",IF(Sync!$AE821="",0,Sync!$AE821))</f>
        <v/>
      </c>
      <c r="G821">
        <f>IF($A821="","",IF(Sync!$AF821="",0,Sync!$AF821))</f>
        <v/>
      </c>
      <c r="H821">
        <f>IF(OR($A821="",ROUND($F821+$G821,2)=0),"",$F821+$G821)</f>
        <v/>
      </c>
      <c r="I821">
        <f>IF($H821="","",IF(ROUND($F821,2)&gt;0,$A821,IF($D821="شخصی قاسم","شخصی قاسم",IF($D821="هزینه","هزینه: "&amp;IF($E821="","متفرقه",$E821),IF($C821="پاس چک","چک پرداختی",IF(OR($B821="",COUNTIF(AcctCodesA,$B821)=0),"متفرقه",$B821))))))</f>
        <v/>
      </c>
      <c r="J821">
        <f>IF($H821="","",IF(ROUND($F821,2)&gt;0,IF($D821="شخصی قاسم","شخصی قاسم",IF($D821="هزینه","هزینه: "&amp;IF($E821="","متفرقه",$E821),IF(OR($B821="",COUNTIF(AcctCodesA,$B821)=0),"متفرقه",$B821))),$A821))</f>
        <v/>
      </c>
      <c r="K821">
        <f>IF($A821="","",IF(AND($B821&lt;&gt;"",COUNTIF(AcctCodesA,$B821)=0),"کد طرف در INFO تعریف نشده",IF(AND($D821="هزینه",$E821=""),"هزینه بدون زیرگروه",IF(AND($C821="پاس چک",OR(Sync!$AJ821="",COUNTIF(IssueNosA,Sync!$AJ821)=0)),"شماره چک پاس‌شده معتبر نیست",""))))</f>
        <v/>
      </c>
      <c r="V821">
        <f>IF($K821="","",IF(ISNUMBER(Sync!$AK821),Sync!$AK821,LEFT(Sync!$AK821,4)&amp;MID(Sync!$AK821,6,2)&amp;RIGHT(Sync!$AK821,2))&amp;"|"&amp;"4"&amp;RIGHT("00000"&amp;816,5))</f>
        <v/>
      </c>
      <c r="W821">
        <f>IF($V821="",0,COUNTIFS($V$6:$V$2005,"&lt;"&amp;$V821)-COUNTIFS($V$6:$V$2005,"&lt;"&amp;$V821,$K$6:$K$2005,"")+1)</f>
        <v/>
      </c>
      <c r="X821">
        <f>IF(Sync!$AX821="","",IF(OR(N(Sync!$AY821)=0,N(Sync!$AZ821)=0),"",ROUND(N(Sync!$AY821)*N(Sync!$AZ821),0)))</f>
        <v/>
      </c>
      <c r="Y821">
        <f>IF($X821="","",IF(OR(Sync!$AX821="",COUNTIF(AcctCodesA,Sync!$AX821)=0),"متفرقه",Sync!$AX821))</f>
        <v/>
      </c>
      <c r="Z821">
        <f>IF($X821="","","سبد و ظروف")</f>
        <v/>
      </c>
      <c r="AA821">
        <f>IF($X821="","",$Y821)</f>
        <v/>
      </c>
    </row>
    <row r="822">
      <c r="A822">
        <f>IF(Sync!$Z822="","",LEFT(UPPER(TRIM(Sync!$Z822)),6))</f>
        <v/>
      </c>
      <c r="B822">
        <f>IF($A822="","",IF(Sync!$AA822="","",Sync!$AA822))</f>
        <v/>
      </c>
      <c r="C822">
        <f>IF($A822="","",IF(Sync!$AB822="","",Sync!$AB822))</f>
        <v/>
      </c>
      <c r="D822">
        <f>IF($A822="","",IF(Sync!$AC822="","",Sync!$AC822))</f>
        <v/>
      </c>
      <c r="E822">
        <f>IF($A822="","",IF(Sync!$AD822="","",Sync!$AD822))</f>
        <v/>
      </c>
      <c r="F822">
        <f>IF($A822="","",IF(Sync!$AE822="",0,Sync!$AE822))</f>
        <v/>
      </c>
      <c r="G822">
        <f>IF($A822="","",IF(Sync!$AF822="",0,Sync!$AF822))</f>
        <v/>
      </c>
      <c r="H822">
        <f>IF(OR($A822="",ROUND($F822+$G822,2)=0),"",$F822+$G822)</f>
        <v/>
      </c>
      <c r="I822">
        <f>IF($H822="","",IF(ROUND($F822,2)&gt;0,$A822,IF($D822="شخصی قاسم","شخصی قاسم",IF($D822="هزینه","هزینه: "&amp;IF($E822="","متفرقه",$E822),IF($C822="پاس چک","چک پرداختی",IF(OR($B822="",COUNTIF(AcctCodesA,$B822)=0),"متفرقه",$B822))))))</f>
        <v/>
      </c>
      <c r="J822">
        <f>IF($H822="","",IF(ROUND($F822,2)&gt;0,IF($D822="شخصی قاسم","شخصی قاسم",IF($D822="هزینه","هزینه: "&amp;IF($E822="","متفرقه",$E822),IF(OR($B822="",COUNTIF(AcctCodesA,$B822)=0),"متفرقه",$B822))),$A822))</f>
        <v/>
      </c>
      <c r="K822">
        <f>IF($A822="","",IF(AND($B822&lt;&gt;"",COUNTIF(AcctCodesA,$B822)=0),"کد طرف در INFO تعریف نشده",IF(AND($D822="هزینه",$E822=""),"هزینه بدون زیرگروه",IF(AND($C822="پاس چک",OR(Sync!$AJ822="",COUNTIF(IssueNosA,Sync!$AJ822)=0)),"شماره چک پاس‌شده معتبر نیست",""))))</f>
        <v/>
      </c>
      <c r="V822">
        <f>IF($K822="","",IF(ISNUMBER(Sync!$AK822),Sync!$AK822,LEFT(Sync!$AK822,4)&amp;MID(Sync!$AK822,6,2)&amp;RIGHT(Sync!$AK822,2))&amp;"|"&amp;"4"&amp;RIGHT("00000"&amp;817,5))</f>
        <v/>
      </c>
      <c r="W822">
        <f>IF($V822="",0,COUNTIFS($V$6:$V$2005,"&lt;"&amp;$V822)-COUNTIFS($V$6:$V$2005,"&lt;"&amp;$V822,$K$6:$K$2005,"")+1)</f>
        <v/>
      </c>
      <c r="X822">
        <f>IF(Sync!$AX822="","",IF(OR(N(Sync!$AY822)=0,N(Sync!$AZ822)=0),"",ROUND(N(Sync!$AY822)*N(Sync!$AZ822),0)))</f>
        <v/>
      </c>
      <c r="Y822">
        <f>IF($X822="","",IF(OR(Sync!$AX822="",COUNTIF(AcctCodesA,Sync!$AX822)=0),"متفرقه",Sync!$AX822))</f>
        <v/>
      </c>
      <c r="Z822">
        <f>IF($X822="","","سبد و ظروف")</f>
        <v/>
      </c>
      <c r="AA822">
        <f>IF($X822="","",$Y822)</f>
        <v/>
      </c>
    </row>
    <row r="823">
      <c r="A823">
        <f>IF(Sync!$Z823="","",LEFT(UPPER(TRIM(Sync!$Z823)),6))</f>
        <v/>
      </c>
      <c r="B823">
        <f>IF($A823="","",IF(Sync!$AA823="","",Sync!$AA823))</f>
        <v/>
      </c>
      <c r="C823">
        <f>IF($A823="","",IF(Sync!$AB823="","",Sync!$AB823))</f>
        <v/>
      </c>
      <c r="D823">
        <f>IF($A823="","",IF(Sync!$AC823="","",Sync!$AC823))</f>
        <v/>
      </c>
      <c r="E823">
        <f>IF($A823="","",IF(Sync!$AD823="","",Sync!$AD823))</f>
        <v/>
      </c>
      <c r="F823">
        <f>IF($A823="","",IF(Sync!$AE823="",0,Sync!$AE823))</f>
        <v/>
      </c>
      <c r="G823">
        <f>IF($A823="","",IF(Sync!$AF823="",0,Sync!$AF823))</f>
        <v/>
      </c>
      <c r="H823">
        <f>IF(OR($A823="",ROUND($F823+$G823,2)=0),"",$F823+$G823)</f>
        <v/>
      </c>
      <c r="I823">
        <f>IF($H823="","",IF(ROUND($F823,2)&gt;0,$A823,IF($D823="شخصی قاسم","شخصی قاسم",IF($D823="هزینه","هزینه: "&amp;IF($E823="","متفرقه",$E823),IF($C823="پاس چک","چک پرداختی",IF(OR($B823="",COUNTIF(AcctCodesA,$B823)=0),"متفرقه",$B823))))))</f>
        <v/>
      </c>
      <c r="J823">
        <f>IF($H823="","",IF(ROUND($F823,2)&gt;0,IF($D823="شخصی قاسم","شخصی قاسم",IF($D823="هزینه","هزینه: "&amp;IF($E823="","متفرقه",$E823),IF(OR($B823="",COUNTIF(AcctCodesA,$B823)=0),"متفرقه",$B823))),$A823))</f>
        <v/>
      </c>
      <c r="K823">
        <f>IF($A823="","",IF(AND($B823&lt;&gt;"",COUNTIF(AcctCodesA,$B823)=0),"کد طرف در INFO تعریف نشده",IF(AND($D823="هزینه",$E823=""),"هزینه بدون زیرگروه",IF(AND($C823="پاس چک",OR(Sync!$AJ823="",COUNTIF(IssueNosA,Sync!$AJ823)=0)),"شماره چک پاس‌شده معتبر نیست",""))))</f>
        <v/>
      </c>
      <c r="V823">
        <f>IF($K823="","",IF(ISNUMBER(Sync!$AK823),Sync!$AK823,LEFT(Sync!$AK823,4)&amp;MID(Sync!$AK823,6,2)&amp;RIGHT(Sync!$AK823,2))&amp;"|"&amp;"4"&amp;RIGHT("00000"&amp;818,5))</f>
        <v/>
      </c>
      <c r="W823">
        <f>IF($V823="",0,COUNTIFS($V$6:$V$2005,"&lt;"&amp;$V823)-COUNTIFS($V$6:$V$2005,"&lt;"&amp;$V823,$K$6:$K$2005,"")+1)</f>
        <v/>
      </c>
      <c r="X823">
        <f>IF(Sync!$AX823="","",IF(OR(N(Sync!$AY823)=0,N(Sync!$AZ823)=0),"",ROUND(N(Sync!$AY823)*N(Sync!$AZ823),0)))</f>
        <v/>
      </c>
      <c r="Y823">
        <f>IF($X823="","",IF(OR(Sync!$AX823="",COUNTIF(AcctCodesA,Sync!$AX823)=0),"متفرقه",Sync!$AX823))</f>
        <v/>
      </c>
      <c r="Z823">
        <f>IF($X823="","","سبد و ظروف")</f>
        <v/>
      </c>
      <c r="AA823">
        <f>IF($X823="","",$Y823)</f>
        <v/>
      </c>
    </row>
    <row r="824">
      <c r="A824">
        <f>IF(Sync!$Z824="","",LEFT(UPPER(TRIM(Sync!$Z824)),6))</f>
        <v/>
      </c>
      <c r="B824">
        <f>IF($A824="","",IF(Sync!$AA824="","",Sync!$AA824))</f>
        <v/>
      </c>
      <c r="C824">
        <f>IF($A824="","",IF(Sync!$AB824="","",Sync!$AB824))</f>
        <v/>
      </c>
      <c r="D824">
        <f>IF($A824="","",IF(Sync!$AC824="","",Sync!$AC824))</f>
        <v/>
      </c>
      <c r="E824">
        <f>IF($A824="","",IF(Sync!$AD824="","",Sync!$AD824))</f>
        <v/>
      </c>
      <c r="F824">
        <f>IF($A824="","",IF(Sync!$AE824="",0,Sync!$AE824))</f>
        <v/>
      </c>
      <c r="G824">
        <f>IF($A824="","",IF(Sync!$AF824="",0,Sync!$AF824))</f>
        <v/>
      </c>
      <c r="H824">
        <f>IF(OR($A824="",ROUND($F824+$G824,2)=0),"",$F824+$G824)</f>
        <v/>
      </c>
      <c r="I824">
        <f>IF($H824="","",IF(ROUND($F824,2)&gt;0,$A824,IF($D824="شخصی قاسم","شخصی قاسم",IF($D824="هزینه","هزینه: "&amp;IF($E824="","متفرقه",$E824),IF($C824="پاس چک","چک پرداختی",IF(OR($B824="",COUNTIF(AcctCodesA,$B824)=0),"متفرقه",$B824))))))</f>
        <v/>
      </c>
      <c r="J824">
        <f>IF($H824="","",IF(ROUND($F824,2)&gt;0,IF($D824="شخصی قاسم","شخصی قاسم",IF($D824="هزینه","هزینه: "&amp;IF($E824="","متفرقه",$E824),IF(OR($B824="",COUNTIF(AcctCodesA,$B824)=0),"متفرقه",$B824))),$A824))</f>
        <v/>
      </c>
      <c r="K824">
        <f>IF($A824="","",IF(AND($B824&lt;&gt;"",COUNTIF(AcctCodesA,$B824)=0),"کد طرف در INFO تعریف نشده",IF(AND($D824="هزینه",$E824=""),"هزینه بدون زیرگروه",IF(AND($C824="پاس چک",OR(Sync!$AJ824="",COUNTIF(IssueNosA,Sync!$AJ824)=0)),"شماره چک پاس‌شده معتبر نیست",""))))</f>
        <v/>
      </c>
      <c r="V824">
        <f>IF($K824="","",IF(ISNUMBER(Sync!$AK824),Sync!$AK824,LEFT(Sync!$AK824,4)&amp;MID(Sync!$AK824,6,2)&amp;RIGHT(Sync!$AK824,2))&amp;"|"&amp;"4"&amp;RIGHT("00000"&amp;819,5))</f>
        <v/>
      </c>
      <c r="W824">
        <f>IF($V824="",0,COUNTIFS($V$6:$V$2005,"&lt;"&amp;$V824)-COUNTIFS($V$6:$V$2005,"&lt;"&amp;$V824,$K$6:$K$2005,"")+1)</f>
        <v/>
      </c>
      <c r="X824">
        <f>IF(Sync!$AX824="","",IF(OR(N(Sync!$AY824)=0,N(Sync!$AZ824)=0),"",ROUND(N(Sync!$AY824)*N(Sync!$AZ824),0)))</f>
        <v/>
      </c>
      <c r="Y824">
        <f>IF($X824="","",IF(OR(Sync!$AX824="",COUNTIF(AcctCodesA,Sync!$AX824)=0),"متفرقه",Sync!$AX824))</f>
        <v/>
      </c>
      <c r="Z824">
        <f>IF($X824="","","سبد و ظروف")</f>
        <v/>
      </c>
      <c r="AA824">
        <f>IF($X824="","",$Y824)</f>
        <v/>
      </c>
    </row>
    <row r="825">
      <c r="A825">
        <f>IF(Sync!$Z825="","",LEFT(UPPER(TRIM(Sync!$Z825)),6))</f>
        <v/>
      </c>
      <c r="B825">
        <f>IF($A825="","",IF(Sync!$AA825="","",Sync!$AA825))</f>
        <v/>
      </c>
      <c r="C825">
        <f>IF($A825="","",IF(Sync!$AB825="","",Sync!$AB825))</f>
        <v/>
      </c>
      <c r="D825">
        <f>IF($A825="","",IF(Sync!$AC825="","",Sync!$AC825))</f>
        <v/>
      </c>
      <c r="E825">
        <f>IF($A825="","",IF(Sync!$AD825="","",Sync!$AD825))</f>
        <v/>
      </c>
      <c r="F825">
        <f>IF($A825="","",IF(Sync!$AE825="",0,Sync!$AE825))</f>
        <v/>
      </c>
      <c r="G825">
        <f>IF($A825="","",IF(Sync!$AF825="",0,Sync!$AF825))</f>
        <v/>
      </c>
      <c r="H825">
        <f>IF(OR($A825="",ROUND($F825+$G825,2)=0),"",$F825+$G825)</f>
        <v/>
      </c>
      <c r="I825">
        <f>IF($H825="","",IF(ROUND($F825,2)&gt;0,$A825,IF($D825="شخصی قاسم","شخصی قاسم",IF($D825="هزینه","هزینه: "&amp;IF($E825="","متفرقه",$E825),IF($C825="پاس چک","چک پرداختی",IF(OR($B825="",COUNTIF(AcctCodesA,$B825)=0),"متفرقه",$B825))))))</f>
        <v/>
      </c>
      <c r="J825">
        <f>IF($H825="","",IF(ROUND($F825,2)&gt;0,IF($D825="شخصی قاسم","شخصی قاسم",IF($D825="هزینه","هزینه: "&amp;IF($E825="","متفرقه",$E825),IF(OR($B825="",COUNTIF(AcctCodesA,$B825)=0),"متفرقه",$B825))),$A825))</f>
        <v/>
      </c>
      <c r="K825">
        <f>IF($A825="","",IF(AND($B825&lt;&gt;"",COUNTIF(AcctCodesA,$B825)=0),"کد طرف در INFO تعریف نشده",IF(AND($D825="هزینه",$E825=""),"هزینه بدون زیرگروه",IF(AND($C825="پاس چک",OR(Sync!$AJ825="",COUNTIF(IssueNosA,Sync!$AJ825)=0)),"شماره چک پاس‌شده معتبر نیست",""))))</f>
        <v/>
      </c>
      <c r="V825">
        <f>IF($K825="","",IF(ISNUMBER(Sync!$AK825),Sync!$AK825,LEFT(Sync!$AK825,4)&amp;MID(Sync!$AK825,6,2)&amp;RIGHT(Sync!$AK825,2))&amp;"|"&amp;"4"&amp;RIGHT("00000"&amp;820,5))</f>
        <v/>
      </c>
      <c r="W825">
        <f>IF($V825="",0,COUNTIFS($V$6:$V$2005,"&lt;"&amp;$V825)-COUNTIFS($V$6:$V$2005,"&lt;"&amp;$V825,$K$6:$K$2005,"")+1)</f>
        <v/>
      </c>
      <c r="X825">
        <f>IF(Sync!$AX825="","",IF(OR(N(Sync!$AY825)=0,N(Sync!$AZ825)=0),"",ROUND(N(Sync!$AY825)*N(Sync!$AZ825),0)))</f>
        <v/>
      </c>
      <c r="Y825">
        <f>IF($X825="","",IF(OR(Sync!$AX825="",COUNTIF(AcctCodesA,Sync!$AX825)=0),"متفرقه",Sync!$AX825))</f>
        <v/>
      </c>
      <c r="Z825">
        <f>IF($X825="","","سبد و ظروف")</f>
        <v/>
      </c>
      <c r="AA825">
        <f>IF($X825="","",$Y825)</f>
        <v/>
      </c>
    </row>
    <row r="826">
      <c r="A826">
        <f>IF(Sync!$Z826="","",LEFT(UPPER(TRIM(Sync!$Z826)),6))</f>
        <v/>
      </c>
      <c r="B826">
        <f>IF($A826="","",IF(Sync!$AA826="","",Sync!$AA826))</f>
        <v/>
      </c>
      <c r="C826">
        <f>IF($A826="","",IF(Sync!$AB826="","",Sync!$AB826))</f>
        <v/>
      </c>
      <c r="D826">
        <f>IF($A826="","",IF(Sync!$AC826="","",Sync!$AC826))</f>
        <v/>
      </c>
      <c r="E826">
        <f>IF($A826="","",IF(Sync!$AD826="","",Sync!$AD826))</f>
        <v/>
      </c>
      <c r="F826">
        <f>IF($A826="","",IF(Sync!$AE826="",0,Sync!$AE826))</f>
        <v/>
      </c>
      <c r="G826">
        <f>IF($A826="","",IF(Sync!$AF826="",0,Sync!$AF826))</f>
        <v/>
      </c>
      <c r="H826">
        <f>IF(OR($A826="",ROUND($F826+$G826,2)=0),"",$F826+$G826)</f>
        <v/>
      </c>
      <c r="I826">
        <f>IF($H826="","",IF(ROUND($F826,2)&gt;0,$A826,IF($D826="شخصی قاسم","شخصی قاسم",IF($D826="هزینه","هزینه: "&amp;IF($E826="","متفرقه",$E826),IF($C826="پاس چک","چک پرداختی",IF(OR($B826="",COUNTIF(AcctCodesA,$B826)=0),"متفرقه",$B826))))))</f>
        <v/>
      </c>
      <c r="J826">
        <f>IF($H826="","",IF(ROUND($F826,2)&gt;0,IF($D826="شخصی قاسم","شخصی قاسم",IF($D826="هزینه","هزینه: "&amp;IF($E826="","متفرقه",$E826),IF(OR($B826="",COUNTIF(AcctCodesA,$B826)=0),"متفرقه",$B826))),$A826))</f>
        <v/>
      </c>
      <c r="K826">
        <f>IF($A826="","",IF(AND($B826&lt;&gt;"",COUNTIF(AcctCodesA,$B826)=0),"کد طرف در INFO تعریف نشده",IF(AND($D826="هزینه",$E826=""),"هزینه بدون زیرگروه",IF(AND($C826="پاس چک",OR(Sync!$AJ826="",COUNTIF(IssueNosA,Sync!$AJ826)=0)),"شماره چک پاس‌شده معتبر نیست",""))))</f>
        <v/>
      </c>
      <c r="V826">
        <f>IF($K826="","",IF(ISNUMBER(Sync!$AK826),Sync!$AK826,LEFT(Sync!$AK826,4)&amp;MID(Sync!$AK826,6,2)&amp;RIGHT(Sync!$AK826,2))&amp;"|"&amp;"4"&amp;RIGHT("00000"&amp;821,5))</f>
        <v/>
      </c>
      <c r="W826">
        <f>IF($V826="",0,COUNTIFS($V$6:$V$2005,"&lt;"&amp;$V826)-COUNTIFS($V$6:$V$2005,"&lt;"&amp;$V826,$K$6:$K$2005,"")+1)</f>
        <v/>
      </c>
      <c r="X826">
        <f>IF(Sync!$AX826="","",IF(OR(N(Sync!$AY826)=0,N(Sync!$AZ826)=0),"",ROUND(N(Sync!$AY826)*N(Sync!$AZ826),0)))</f>
        <v/>
      </c>
      <c r="Y826">
        <f>IF($X826="","",IF(OR(Sync!$AX826="",COUNTIF(AcctCodesA,Sync!$AX826)=0),"متفرقه",Sync!$AX826))</f>
        <v/>
      </c>
      <c r="Z826">
        <f>IF($X826="","","سبد و ظروف")</f>
        <v/>
      </c>
      <c r="AA826">
        <f>IF($X826="","",$Y826)</f>
        <v/>
      </c>
    </row>
    <row r="827">
      <c r="A827">
        <f>IF(Sync!$Z827="","",LEFT(UPPER(TRIM(Sync!$Z827)),6))</f>
        <v/>
      </c>
      <c r="B827">
        <f>IF($A827="","",IF(Sync!$AA827="","",Sync!$AA827))</f>
        <v/>
      </c>
      <c r="C827">
        <f>IF($A827="","",IF(Sync!$AB827="","",Sync!$AB827))</f>
        <v/>
      </c>
      <c r="D827">
        <f>IF($A827="","",IF(Sync!$AC827="","",Sync!$AC827))</f>
        <v/>
      </c>
      <c r="E827">
        <f>IF($A827="","",IF(Sync!$AD827="","",Sync!$AD827))</f>
        <v/>
      </c>
      <c r="F827">
        <f>IF($A827="","",IF(Sync!$AE827="",0,Sync!$AE827))</f>
        <v/>
      </c>
      <c r="G827">
        <f>IF($A827="","",IF(Sync!$AF827="",0,Sync!$AF827))</f>
        <v/>
      </c>
      <c r="H827">
        <f>IF(OR($A827="",ROUND($F827+$G827,2)=0),"",$F827+$G827)</f>
        <v/>
      </c>
      <c r="I827">
        <f>IF($H827="","",IF(ROUND($F827,2)&gt;0,$A827,IF($D827="شخصی قاسم","شخصی قاسم",IF($D827="هزینه","هزینه: "&amp;IF($E827="","متفرقه",$E827),IF($C827="پاس چک","چک پرداختی",IF(OR($B827="",COUNTIF(AcctCodesA,$B827)=0),"متفرقه",$B827))))))</f>
        <v/>
      </c>
      <c r="J827">
        <f>IF($H827="","",IF(ROUND($F827,2)&gt;0,IF($D827="شخصی قاسم","شخصی قاسم",IF($D827="هزینه","هزینه: "&amp;IF($E827="","متفرقه",$E827),IF(OR($B827="",COUNTIF(AcctCodesA,$B827)=0),"متفرقه",$B827))),$A827))</f>
        <v/>
      </c>
      <c r="K827">
        <f>IF($A827="","",IF(AND($B827&lt;&gt;"",COUNTIF(AcctCodesA,$B827)=0),"کد طرف در INFO تعریف نشده",IF(AND($D827="هزینه",$E827=""),"هزینه بدون زیرگروه",IF(AND($C827="پاس چک",OR(Sync!$AJ827="",COUNTIF(IssueNosA,Sync!$AJ827)=0)),"شماره چک پاس‌شده معتبر نیست",""))))</f>
        <v/>
      </c>
      <c r="V827">
        <f>IF($K827="","",IF(ISNUMBER(Sync!$AK827),Sync!$AK827,LEFT(Sync!$AK827,4)&amp;MID(Sync!$AK827,6,2)&amp;RIGHT(Sync!$AK827,2))&amp;"|"&amp;"4"&amp;RIGHT("00000"&amp;822,5))</f>
        <v/>
      </c>
      <c r="W827">
        <f>IF($V827="",0,COUNTIFS($V$6:$V$2005,"&lt;"&amp;$V827)-COUNTIFS($V$6:$V$2005,"&lt;"&amp;$V827,$K$6:$K$2005,"")+1)</f>
        <v/>
      </c>
      <c r="X827">
        <f>IF(Sync!$AX827="","",IF(OR(N(Sync!$AY827)=0,N(Sync!$AZ827)=0),"",ROUND(N(Sync!$AY827)*N(Sync!$AZ827),0)))</f>
        <v/>
      </c>
      <c r="Y827">
        <f>IF($X827="","",IF(OR(Sync!$AX827="",COUNTIF(AcctCodesA,Sync!$AX827)=0),"متفرقه",Sync!$AX827))</f>
        <v/>
      </c>
      <c r="Z827">
        <f>IF($X827="","","سبد و ظروف")</f>
        <v/>
      </c>
      <c r="AA827">
        <f>IF($X827="","",$Y827)</f>
        <v/>
      </c>
    </row>
    <row r="828">
      <c r="A828">
        <f>IF(Sync!$Z828="","",LEFT(UPPER(TRIM(Sync!$Z828)),6))</f>
        <v/>
      </c>
      <c r="B828">
        <f>IF($A828="","",IF(Sync!$AA828="","",Sync!$AA828))</f>
        <v/>
      </c>
      <c r="C828">
        <f>IF($A828="","",IF(Sync!$AB828="","",Sync!$AB828))</f>
        <v/>
      </c>
      <c r="D828">
        <f>IF($A828="","",IF(Sync!$AC828="","",Sync!$AC828))</f>
        <v/>
      </c>
      <c r="E828">
        <f>IF($A828="","",IF(Sync!$AD828="","",Sync!$AD828))</f>
        <v/>
      </c>
      <c r="F828">
        <f>IF($A828="","",IF(Sync!$AE828="",0,Sync!$AE828))</f>
        <v/>
      </c>
      <c r="G828">
        <f>IF($A828="","",IF(Sync!$AF828="",0,Sync!$AF828))</f>
        <v/>
      </c>
      <c r="H828">
        <f>IF(OR($A828="",ROUND($F828+$G828,2)=0),"",$F828+$G828)</f>
        <v/>
      </c>
      <c r="I828">
        <f>IF($H828="","",IF(ROUND($F828,2)&gt;0,$A828,IF($D828="شخصی قاسم","شخصی قاسم",IF($D828="هزینه","هزینه: "&amp;IF($E828="","متفرقه",$E828),IF($C828="پاس چک","چک پرداختی",IF(OR($B828="",COUNTIF(AcctCodesA,$B828)=0),"متفرقه",$B828))))))</f>
        <v/>
      </c>
      <c r="J828">
        <f>IF($H828="","",IF(ROUND($F828,2)&gt;0,IF($D828="شخصی قاسم","شخصی قاسم",IF($D828="هزینه","هزینه: "&amp;IF($E828="","متفرقه",$E828),IF(OR($B828="",COUNTIF(AcctCodesA,$B828)=0),"متفرقه",$B828))),$A828))</f>
        <v/>
      </c>
      <c r="K828">
        <f>IF($A828="","",IF(AND($B828&lt;&gt;"",COUNTIF(AcctCodesA,$B828)=0),"کد طرف در INFO تعریف نشده",IF(AND($D828="هزینه",$E828=""),"هزینه بدون زیرگروه",IF(AND($C828="پاس چک",OR(Sync!$AJ828="",COUNTIF(IssueNosA,Sync!$AJ828)=0)),"شماره چک پاس‌شده معتبر نیست",""))))</f>
        <v/>
      </c>
      <c r="V828">
        <f>IF($K828="","",IF(ISNUMBER(Sync!$AK828),Sync!$AK828,LEFT(Sync!$AK828,4)&amp;MID(Sync!$AK828,6,2)&amp;RIGHT(Sync!$AK828,2))&amp;"|"&amp;"4"&amp;RIGHT("00000"&amp;823,5))</f>
        <v/>
      </c>
      <c r="W828">
        <f>IF($V828="",0,COUNTIFS($V$6:$V$2005,"&lt;"&amp;$V828)-COUNTIFS($V$6:$V$2005,"&lt;"&amp;$V828,$K$6:$K$2005,"")+1)</f>
        <v/>
      </c>
      <c r="X828">
        <f>IF(Sync!$AX828="","",IF(OR(N(Sync!$AY828)=0,N(Sync!$AZ828)=0),"",ROUND(N(Sync!$AY828)*N(Sync!$AZ828),0)))</f>
        <v/>
      </c>
      <c r="Y828">
        <f>IF($X828="","",IF(OR(Sync!$AX828="",COUNTIF(AcctCodesA,Sync!$AX828)=0),"متفرقه",Sync!$AX828))</f>
        <v/>
      </c>
      <c r="Z828">
        <f>IF($X828="","","سبد و ظروف")</f>
        <v/>
      </c>
      <c r="AA828">
        <f>IF($X828="","",$Y828)</f>
        <v/>
      </c>
    </row>
    <row r="829">
      <c r="A829">
        <f>IF(Sync!$Z829="","",LEFT(UPPER(TRIM(Sync!$Z829)),6))</f>
        <v/>
      </c>
      <c r="B829">
        <f>IF($A829="","",IF(Sync!$AA829="","",Sync!$AA829))</f>
        <v/>
      </c>
      <c r="C829">
        <f>IF($A829="","",IF(Sync!$AB829="","",Sync!$AB829))</f>
        <v/>
      </c>
      <c r="D829">
        <f>IF($A829="","",IF(Sync!$AC829="","",Sync!$AC829))</f>
        <v/>
      </c>
      <c r="E829">
        <f>IF($A829="","",IF(Sync!$AD829="","",Sync!$AD829))</f>
        <v/>
      </c>
      <c r="F829">
        <f>IF($A829="","",IF(Sync!$AE829="",0,Sync!$AE829))</f>
        <v/>
      </c>
      <c r="G829">
        <f>IF($A829="","",IF(Sync!$AF829="",0,Sync!$AF829))</f>
        <v/>
      </c>
      <c r="H829">
        <f>IF(OR($A829="",ROUND($F829+$G829,2)=0),"",$F829+$G829)</f>
        <v/>
      </c>
      <c r="I829">
        <f>IF($H829="","",IF(ROUND($F829,2)&gt;0,$A829,IF($D829="شخصی قاسم","شخصی قاسم",IF($D829="هزینه","هزینه: "&amp;IF($E829="","متفرقه",$E829),IF($C829="پاس چک","چک پرداختی",IF(OR($B829="",COUNTIF(AcctCodesA,$B829)=0),"متفرقه",$B829))))))</f>
        <v/>
      </c>
      <c r="J829">
        <f>IF($H829="","",IF(ROUND($F829,2)&gt;0,IF($D829="شخصی قاسم","شخصی قاسم",IF($D829="هزینه","هزینه: "&amp;IF($E829="","متفرقه",$E829),IF(OR($B829="",COUNTIF(AcctCodesA,$B829)=0),"متفرقه",$B829))),$A829))</f>
        <v/>
      </c>
      <c r="K829">
        <f>IF($A829="","",IF(AND($B829&lt;&gt;"",COUNTIF(AcctCodesA,$B829)=0),"کد طرف در INFO تعریف نشده",IF(AND($D829="هزینه",$E829=""),"هزینه بدون زیرگروه",IF(AND($C829="پاس چک",OR(Sync!$AJ829="",COUNTIF(IssueNosA,Sync!$AJ829)=0)),"شماره چک پاس‌شده معتبر نیست",""))))</f>
        <v/>
      </c>
      <c r="V829">
        <f>IF($K829="","",IF(ISNUMBER(Sync!$AK829),Sync!$AK829,LEFT(Sync!$AK829,4)&amp;MID(Sync!$AK829,6,2)&amp;RIGHT(Sync!$AK829,2))&amp;"|"&amp;"4"&amp;RIGHT("00000"&amp;824,5))</f>
        <v/>
      </c>
      <c r="W829">
        <f>IF($V829="",0,COUNTIFS($V$6:$V$2005,"&lt;"&amp;$V829)-COUNTIFS($V$6:$V$2005,"&lt;"&amp;$V829,$K$6:$K$2005,"")+1)</f>
        <v/>
      </c>
      <c r="X829">
        <f>IF(Sync!$AX829="","",IF(OR(N(Sync!$AY829)=0,N(Sync!$AZ829)=0),"",ROUND(N(Sync!$AY829)*N(Sync!$AZ829),0)))</f>
        <v/>
      </c>
      <c r="Y829">
        <f>IF($X829="","",IF(OR(Sync!$AX829="",COUNTIF(AcctCodesA,Sync!$AX829)=0),"متفرقه",Sync!$AX829))</f>
        <v/>
      </c>
      <c r="Z829">
        <f>IF($X829="","","سبد و ظروف")</f>
        <v/>
      </c>
      <c r="AA829">
        <f>IF($X829="","",$Y829)</f>
        <v/>
      </c>
    </row>
    <row r="830">
      <c r="A830">
        <f>IF(Sync!$Z830="","",LEFT(UPPER(TRIM(Sync!$Z830)),6))</f>
        <v/>
      </c>
      <c r="B830">
        <f>IF($A830="","",IF(Sync!$AA830="","",Sync!$AA830))</f>
        <v/>
      </c>
      <c r="C830">
        <f>IF($A830="","",IF(Sync!$AB830="","",Sync!$AB830))</f>
        <v/>
      </c>
      <c r="D830">
        <f>IF($A830="","",IF(Sync!$AC830="","",Sync!$AC830))</f>
        <v/>
      </c>
      <c r="E830">
        <f>IF($A830="","",IF(Sync!$AD830="","",Sync!$AD830))</f>
        <v/>
      </c>
      <c r="F830">
        <f>IF($A830="","",IF(Sync!$AE830="",0,Sync!$AE830))</f>
        <v/>
      </c>
      <c r="G830">
        <f>IF($A830="","",IF(Sync!$AF830="",0,Sync!$AF830))</f>
        <v/>
      </c>
      <c r="H830">
        <f>IF(OR($A830="",ROUND($F830+$G830,2)=0),"",$F830+$G830)</f>
        <v/>
      </c>
      <c r="I830">
        <f>IF($H830="","",IF(ROUND($F830,2)&gt;0,$A830,IF($D830="شخصی قاسم","شخصی قاسم",IF($D830="هزینه","هزینه: "&amp;IF($E830="","متفرقه",$E830),IF($C830="پاس چک","چک پرداختی",IF(OR($B830="",COUNTIF(AcctCodesA,$B830)=0),"متفرقه",$B830))))))</f>
        <v/>
      </c>
      <c r="J830">
        <f>IF($H830="","",IF(ROUND($F830,2)&gt;0,IF($D830="شخصی قاسم","شخصی قاسم",IF($D830="هزینه","هزینه: "&amp;IF($E830="","متفرقه",$E830),IF(OR($B830="",COUNTIF(AcctCodesA,$B830)=0),"متفرقه",$B830))),$A830))</f>
        <v/>
      </c>
      <c r="K830">
        <f>IF($A830="","",IF(AND($B830&lt;&gt;"",COUNTIF(AcctCodesA,$B830)=0),"کد طرف در INFO تعریف نشده",IF(AND($D830="هزینه",$E830=""),"هزینه بدون زیرگروه",IF(AND($C830="پاس چک",OR(Sync!$AJ830="",COUNTIF(IssueNosA,Sync!$AJ830)=0)),"شماره چک پاس‌شده معتبر نیست",""))))</f>
        <v/>
      </c>
      <c r="V830">
        <f>IF($K830="","",IF(ISNUMBER(Sync!$AK830),Sync!$AK830,LEFT(Sync!$AK830,4)&amp;MID(Sync!$AK830,6,2)&amp;RIGHT(Sync!$AK830,2))&amp;"|"&amp;"4"&amp;RIGHT("00000"&amp;825,5))</f>
        <v/>
      </c>
      <c r="W830">
        <f>IF($V830="",0,COUNTIFS($V$6:$V$2005,"&lt;"&amp;$V830)-COUNTIFS($V$6:$V$2005,"&lt;"&amp;$V830,$K$6:$K$2005,"")+1)</f>
        <v/>
      </c>
      <c r="X830">
        <f>IF(Sync!$AX830="","",IF(OR(N(Sync!$AY830)=0,N(Sync!$AZ830)=0),"",ROUND(N(Sync!$AY830)*N(Sync!$AZ830),0)))</f>
        <v/>
      </c>
      <c r="Y830">
        <f>IF($X830="","",IF(OR(Sync!$AX830="",COUNTIF(AcctCodesA,Sync!$AX830)=0),"متفرقه",Sync!$AX830))</f>
        <v/>
      </c>
      <c r="Z830">
        <f>IF($X830="","","سبد و ظروف")</f>
        <v/>
      </c>
      <c r="AA830">
        <f>IF($X830="","",$Y830)</f>
        <v/>
      </c>
    </row>
    <row r="831">
      <c r="A831">
        <f>IF(Sync!$Z831="","",LEFT(UPPER(TRIM(Sync!$Z831)),6))</f>
        <v/>
      </c>
      <c r="B831">
        <f>IF($A831="","",IF(Sync!$AA831="","",Sync!$AA831))</f>
        <v/>
      </c>
      <c r="C831">
        <f>IF($A831="","",IF(Sync!$AB831="","",Sync!$AB831))</f>
        <v/>
      </c>
      <c r="D831">
        <f>IF($A831="","",IF(Sync!$AC831="","",Sync!$AC831))</f>
        <v/>
      </c>
      <c r="E831">
        <f>IF($A831="","",IF(Sync!$AD831="","",Sync!$AD831))</f>
        <v/>
      </c>
      <c r="F831">
        <f>IF($A831="","",IF(Sync!$AE831="",0,Sync!$AE831))</f>
        <v/>
      </c>
      <c r="G831">
        <f>IF($A831="","",IF(Sync!$AF831="",0,Sync!$AF831))</f>
        <v/>
      </c>
      <c r="H831">
        <f>IF(OR($A831="",ROUND($F831+$G831,2)=0),"",$F831+$G831)</f>
        <v/>
      </c>
      <c r="I831">
        <f>IF($H831="","",IF(ROUND($F831,2)&gt;0,$A831,IF($D831="شخصی قاسم","شخصی قاسم",IF($D831="هزینه","هزینه: "&amp;IF($E831="","متفرقه",$E831),IF($C831="پاس چک","چک پرداختی",IF(OR($B831="",COUNTIF(AcctCodesA,$B831)=0),"متفرقه",$B831))))))</f>
        <v/>
      </c>
      <c r="J831">
        <f>IF($H831="","",IF(ROUND($F831,2)&gt;0,IF($D831="شخصی قاسم","شخصی قاسم",IF($D831="هزینه","هزینه: "&amp;IF($E831="","متفرقه",$E831),IF(OR($B831="",COUNTIF(AcctCodesA,$B831)=0),"متفرقه",$B831))),$A831))</f>
        <v/>
      </c>
      <c r="K831">
        <f>IF($A831="","",IF(AND($B831&lt;&gt;"",COUNTIF(AcctCodesA,$B831)=0),"کد طرف در INFO تعریف نشده",IF(AND($D831="هزینه",$E831=""),"هزینه بدون زیرگروه",IF(AND($C831="پاس چک",OR(Sync!$AJ831="",COUNTIF(IssueNosA,Sync!$AJ831)=0)),"شماره چک پاس‌شده معتبر نیست",""))))</f>
        <v/>
      </c>
      <c r="V831">
        <f>IF($K831="","",IF(ISNUMBER(Sync!$AK831),Sync!$AK831,LEFT(Sync!$AK831,4)&amp;MID(Sync!$AK831,6,2)&amp;RIGHT(Sync!$AK831,2))&amp;"|"&amp;"4"&amp;RIGHT("00000"&amp;826,5))</f>
        <v/>
      </c>
      <c r="W831">
        <f>IF($V831="",0,COUNTIFS($V$6:$V$2005,"&lt;"&amp;$V831)-COUNTIFS($V$6:$V$2005,"&lt;"&amp;$V831,$K$6:$K$2005,"")+1)</f>
        <v/>
      </c>
      <c r="X831">
        <f>IF(Sync!$AX831="","",IF(OR(N(Sync!$AY831)=0,N(Sync!$AZ831)=0),"",ROUND(N(Sync!$AY831)*N(Sync!$AZ831),0)))</f>
        <v/>
      </c>
      <c r="Y831">
        <f>IF($X831="","",IF(OR(Sync!$AX831="",COUNTIF(AcctCodesA,Sync!$AX831)=0),"متفرقه",Sync!$AX831))</f>
        <v/>
      </c>
      <c r="Z831">
        <f>IF($X831="","","سبد و ظروف")</f>
        <v/>
      </c>
      <c r="AA831">
        <f>IF($X831="","",$Y831)</f>
        <v/>
      </c>
    </row>
    <row r="832">
      <c r="A832">
        <f>IF(Sync!$Z832="","",LEFT(UPPER(TRIM(Sync!$Z832)),6))</f>
        <v/>
      </c>
      <c r="B832">
        <f>IF($A832="","",IF(Sync!$AA832="","",Sync!$AA832))</f>
        <v/>
      </c>
      <c r="C832">
        <f>IF($A832="","",IF(Sync!$AB832="","",Sync!$AB832))</f>
        <v/>
      </c>
      <c r="D832">
        <f>IF($A832="","",IF(Sync!$AC832="","",Sync!$AC832))</f>
        <v/>
      </c>
      <c r="E832">
        <f>IF($A832="","",IF(Sync!$AD832="","",Sync!$AD832))</f>
        <v/>
      </c>
      <c r="F832">
        <f>IF($A832="","",IF(Sync!$AE832="",0,Sync!$AE832))</f>
        <v/>
      </c>
      <c r="G832">
        <f>IF($A832="","",IF(Sync!$AF832="",0,Sync!$AF832))</f>
        <v/>
      </c>
      <c r="H832">
        <f>IF(OR($A832="",ROUND($F832+$G832,2)=0),"",$F832+$G832)</f>
        <v/>
      </c>
      <c r="I832">
        <f>IF($H832="","",IF(ROUND($F832,2)&gt;0,$A832,IF($D832="شخصی قاسم","شخصی قاسم",IF($D832="هزینه","هزینه: "&amp;IF($E832="","متفرقه",$E832),IF($C832="پاس چک","چک پرداختی",IF(OR($B832="",COUNTIF(AcctCodesA,$B832)=0),"متفرقه",$B832))))))</f>
        <v/>
      </c>
      <c r="J832">
        <f>IF($H832="","",IF(ROUND($F832,2)&gt;0,IF($D832="شخصی قاسم","شخصی قاسم",IF($D832="هزینه","هزینه: "&amp;IF($E832="","متفرقه",$E832),IF(OR($B832="",COUNTIF(AcctCodesA,$B832)=0),"متفرقه",$B832))),$A832))</f>
        <v/>
      </c>
      <c r="K832">
        <f>IF($A832="","",IF(AND($B832&lt;&gt;"",COUNTIF(AcctCodesA,$B832)=0),"کد طرف در INFO تعریف نشده",IF(AND($D832="هزینه",$E832=""),"هزینه بدون زیرگروه",IF(AND($C832="پاس چک",OR(Sync!$AJ832="",COUNTIF(IssueNosA,Sync!$AJ832)=0)),"شماره چک پاس‌شده معتبر نیست",""))))</f>
        <v/>
      </c>
      <c r="V832">
        <f>IF($K832="","",IF(ISNUMBER(Sync!$AK832),Sync!$AK832,LEFT(Sync!$AK832,4)&amp;MID(Sync!$AK832,6,2)&amp;RIGHT(Sync!$AK832,2))&amp;"|"&amp;"4"&amp;RIGHT("00000"&amp;827,5))</f>
        <v/>
      </c>
      <c r="W832">
        <f>IF($V832="",0,COUNTIFS($V$6:$V$2005,"&lt;"&amp;$V832)-COUNTIFS($V$6:$V$2005,"&lt;"&amp;$V832,$K$6:$K$2005,"")+1)</f>
        <v/>
      </c>
      <c r="X832">
        <f>IF(Sync!$AX832="","",IF(OR(N(Sync!$AY832)=0,N(Sync!$AZ832)=0),"",ROUND(N(Sync!$AY832)*N(Sync!$AZ832),0)))</f>
        <v/>
      </c>
      <c r="Y832">
        <f>IF($X832="","",IF(OR(Sync!$AX832="",COUNTIF(AcctCodesA,Sync!$AX832)=0),"متفرقه",Sync!$AX832))</f>
        <v/>
      </c>
      <c r="Z832">
        <f>IF($X832="","","سبد و ظروف")</f>
        <v/>
      </c>
      <c r="AA832">
        <f>IF($X832="","",$Y832)</f>
        <v/>
      </c>
    </row>
    <row r="833">
      <c r="A833">
        <f>IF(Sync!$Z833="","",LEFT(UPPER(TRIM(Sync!$Z833)),6))</f>
        <v/>
      </c>
      <c r="B833">
        <f>IF($A833="","",IF(Sync!$AA833="","",Sync!$AA833))</f>
        <v/>
      </c>
      <c r="C833">
        <f>IF($A833="","",IF(Sync!$AB833="","",Sync!$AB833))</f>
        <v/>
      </c>
      <c r="D833">
        <f>IF($A833="","",IF(Sync!$AC833="","",Sync!$AC833))</f>
        <v/>
      </c>
      <c r="E833">
        <f>IF($A833="","",IF(Sync!$AD833="","",Sync!$AD833))</f>
        <v/>
      </c>
      <c r="F833">
        <f>IF($A833="","",IF(Sync!$AE833="",0,Sync!$AE833))</f>
        <v/>
      </c>
      <c r="G833">
        <f>IF($A833="","",IF(Sync!$AF833="",0,Sync!$AF833))</f>
        <v/>
      </c>
      <c r="H833">
        <f>IF(OR($A833="",ROUND($F833+$G833,2)=0),"",$F833+$G833)</f>
        <v/>
      </c>
      <c r="I833">
        <f>IF($H833="","",IF(ROUND($F833,2)&gt;0,$A833,IF($D833="شخصی قاسم","شخصی قاسم",IF($D833="هزینه","هزینه: "&amp;IF($E833="","متفرقه",$E833),IF($C833="پاس چک","چک پرداختی",IF(OR($B833="",COUNTIF(AcctCodesA,$B833)=0),"متفرقه",$B833))))))</f>
        <v/>
      </c>
      <c r="J833">
        <f>IF($H833="","",IF(ROUND($F833,2)&gt;0,IF($D833="شخصی قاسم","شخصی قاسم",IF($D833="هزینه","هزینه: "&amp;IF($E833="","متفرقه",$E833),IF(OR($B833="",COUNTIF(AcctCodesA,$B833)=0),"متفرقه",$B833))),$A833))</f>
        <v/>
      </c>
      <c r="K833">
        <f>IF($A833="","",IF(AND($B833&lt;&gt;"",COUNTIF(AcctCodesA,$B833)=0),"کد طرف در INFO تعریف نشده",IF(AND($D833="هزینه",$E833=""),"هزینه بدون زیرگروه",IF(AND($C833="پاس چک",OR(Sync!$AJ833="",COUNTIF(IssueNosA,Sync!$AJ833)=0)),"شماره چک پاس‌شده معتبر نیست",""))))</f>
        <v/>
      </c>
      <c r="V833">
        <f>IF($K833="","",IF(ISNUMBER(Sync!$AK833),Sync!$AK833,LEFT(Sync!$AK833,4)&amp;MID(Sync!$AK833,6,2)&amp;RIGHT(Sync!$AK833,2))&amp;"|"&amp;"4"&amp;RIGHT("00000"&amp;828,5))</f>
        <v/>
      </c>
      <c r="W833">
        <f>IF($V833="",0,COUNTIFS($V$6:$V$2005,"&lt;"&amp;$V833)-COUNTIFS($V$6:$V$2005,"&lt;"&amp;$V833,$K$6:$K$2005,"")+1)</f>
        <v/>
      </c>
      <c r="X833">
        <f>IF(Sync!$AX833="","",IF(OR(N(Sync!$AY833)=0,N(Sync!$AZ833)=0),"",ROUND(N(Sync!$AY833)*N(Sync!$AZ833),0)))</f>
        <v/>
      </c>
      <c r="Y833">
        <f>IF($X833="","",IF(OR(Sync!$AX833="",COUNTIF(AcctCodesA,Sync!$AX833)=0),"متفرقه",Sync!$AX833))</f>
        <v/>
      </c>
      <c r="Z833">
        <f>IF($X833="","","سبد و ظروف")</f>
        <v/>
      </c>
      <c r="AA833">
        <f>IF($X833="","",$Y833)</f>
        <v/>
      </c>
    </row>
    <row r="834">
      <c r="A834">
        <f>IF(Sync!$Z834="","",LEFT(UPPER(TRIM(Sync!$Z834)),6))</f>
        <v/>
      </c>
      <c r="B834">
        <f>IF($A834="","",IF(Sync!$AA834="","",Sync!$AA834))</f>
        <v/>
      </c>
      <c r="C834">
        <f>IF($A834="","",IF(Sync!$AB834="","",Sync!$AB834))</f>
        <v/>
      </c>
      <c r="D834">
        <f>IF($A834="","",IF(Sync!$AC834="","",Sync!$AC834))</f>
        <v/>
      </c>
      <c r="E834">
        <f>IF($A834="","",IF(Sync!$AD834="","",Sync!$AD834))</f>
        <v/>
      </c>
      <c r="F834">
        <f>IF($A834="","",IF(Sync!$AE834="",0,Sync!$AE834))</f>
        <v/>
      </c>
      <c r="G834">
        <f>IF($A834="","",IF(Sync!$AF834="",0,Sync!$AF834))</f>
        <v/>
      </c>
      <c r="H834">
        <f>IF(OR($A834="",ROUND($F834+$G834,2)=0),"",$F834+$G834)</f>
        <v/>
      </c>
      <c r="I834">
        <f>IF($H834="","",IF(ROUND($F834,2)&gt;0,$A834,IF($D834="شخصی قاسم","شخصی قاسم",IF($D834="هزینه","هزینه: "&amp;IF($E834="","متفرقه",$E834),IF($C834="پاس چک","چک پرداختی",IF(OR($B834="",COUNTIF(AcctCodesA,$B834)=0),"متفرقه",$B834))))))</f>
        <v/>
      </c>
      <c r="J834">
        <f>IF($H834="","",IF(ROUND($F834,2)&gt;0,IF($D834="شخصی قاسم","شخصی قاسم",IF($D834="هزینه","هزینه: "&amp;IF($E834="","متفرقه",$E834),IF(OR($B834="",COUNTIF(AcctCodesA,$B834)=0),"متفرقه",$B834))),$A834))</f>
        <v/>
      </c>
      <c r="K834">
        <f>IF($A834="","",IF(AND($B834&lt;&gt;"",COUNTIF(AcctCodesA,$B834)=0),"کد طرف در INFO تعریف نشده",IF(AND($D834="هزینه",$E834=""),"هزینه بدون زیرگروه",IF(AND($C834="پاس چک",OR(Sync!$AJ834="",COUNTIF(IssueNosA,Sync!$AJ834)=0)),"شماره چک پاس‌شده معتبر نیست",""))))</f>
        <v/>
      </c>
      <c r="V834">
        <f>IF($K834="","",IF(ISNUMBER(Sync!$AK834),Sync!$AK834,LEFT(Sync!$AK834,4)&amp;MID(Sync!$AK834,6,2)&amp;RIGHT(Sync!$AK834,2))&amp;"|"&amp;"4"&amp;RIGHT("00000"&amp;829,5))</f>
        <v/>
      </c>
      <c r="W834">
        <f>IF($V834="",0,COUNTIFS($V$6:$V$2005,"&lt;"&amp;$V834)-COUNTIFS($V$6:$V$2005,"&lt;"&amp;$V834,$K$6:$K$2005,"")+1)</f>
        <v/>
      </c>
      <c r="X834">
        <f>IF(Sync!$AX834="","",IF(OR(N(Sync!$AY834)=0,N(Sync!$AZ834)=0),"",ROUND(N(Sync!$AY834)*N(Sync!$AZ834),0)))</f>
        <v/>
      </c>
      <c r="Y834">
        <f>IF($X834="","",IF(OR(Sync!$AX834="",COUNTIF(AcctCodesA,Sync!$AX834)=0),"متفرقه",Sync!$AX834))</f>
        <v/>
      </c>
      <c r="Z834">
        <f>IF($X834="","","سبد و ظروف")</f>
        <v/>
      </c>
      <c r="AA834">
        <f>IF($X834="","",$Y834)</f>
        <v/>
      </c>
    </row>
    <row r="835">
      <c r="A835">
        <f>IF(Sync!$Z835="","",LEFT(UPPER(TRIM(Sync!$Z835)),6))</f>
        <v/>
      </c>
      <c r="B835">
        <f>IF($A835="","",IF(Sync!$AA835="","",Sync!$AA835))</f>
        <v/>
      </c>
      <c r="C835">
        <f>IF($A835="","",IF(Sync!$AB835="","",Sync!$AB835))</f>
        <v/>
      </c>
      <c r="D835">
        <f>IF($A835="","",IF(Sync!$AC835="","",Sync!$AC835))</f>
        <v/>
      </c>
      <c r="E835">
        <f>IF($A835="","",IF(Sync!$AD835="","",Sync!$AD835))</f>
        <v/>
      </c>
      <c r="F835">
        <f>IF($A835="","",IF(Sync!$AE835="",0,Sync!$AE835))</f>
        <v/>
      </c>
      <c r="G835">
        <f>IF($A835="","",IF(Sync!$AF835="",0,Sync!$AF835))</f>
        <v/>
      </c>
      <c r="H835">
        <f>IF(OR($A835="",ROUND($F835+$G835,2)=0),"",$F835+$G835)</f>
        <v/>
      </c>
      <c r="I835">
        <f>IF($H835="","",IF(ROUND($F835,2)&gt;0,$A835,IF($D835="شخصی قاسم","شخصی قاسم",IF($D835="هزینه","هزینه: "&amp;IF($E835="","متفرقه",$E835),IF($C835="پاس چک","چک پرداختی",IF(OR($B835="",COUNTIF(AcctCodesA,$B835)=0),"متفرقه",$B835))))))</f>
        <v/>
      </c>
      <c r="J835">
        <f>IF($H835="","",IF(ROUND($F835,2)&gt;0,IF($D835="شخصی قاسم","شخصی قاسم",IF($D835="هزینه","هزینه: "&amp;IF($E835="","متفرقه",$E835),IF(OR($B835="",COUNTIF(AcctCodesA,$B835)=0),"متفرقه",$B835))),$A835))</f>
        <v/>
      </c>
      <c r="K835">
        <f>IF($A835="","",IF(AND($B835&lt;&gt;"",COUNTIF(AcctCodesA,$B835)=0),"کد طرف در INFO تعریف نشده",IF(AND($D835="هزینه",$E835=""),"هزینه بدون زیرگروه",IF(AND($C835="پاس چک",OR(Sync!$AJ835="",COUNTIF(IssueNosA,Sync!$AJ835)=0)),"شماره چک پاس‌شده معتبر نیست",""))))</f>
        <v/>
      </c>
      <c r="V835">
        <f>IF($K835="","",IF(ISNUMBER(Sync!$AK835),Sync!$AK835,LEFT(Sync!$AK835,4)&amp;MID(Sync!$AK835,6,2)&amp;RIGHT(Sync!$AK835,2))&amp;"|"&amp;"4"&amp;RIGHT("00000"&amp;830,5))</f>
        <v/>
      </c>
      <c r="W835">
        <f>IF($V835="",0,COUNTIFS($V$6:$V$2005,"&lt;"&amp;$V835)-COUNTIFS($V$6:$V$2005,"&lt;"&amp;$V835,$K$6:$K$2005,"")+1)</f>
        <v/>
      </c>
      <c r="X835">
        <f>IF(Sync!$AX835="","",IF(OR(N(Sync!$AY835)=0,N(Sync!$AZ835)=0),"",ROUND(N(Sync!$AY835)*N(Sync!$AZ835),0)))</f>
        <v/>
      </c>
      <c r="Y835">
        <f>IF($X835="","",IF(OR(Sync!$AX835="",COUNTIF(AcctCodesA,Sync!$AX835)=0),"متفرقه",Sync!$AX835))</f>
        <v/>
      </c>
      <c r="Z835">
        <f>IF($X835="","","سبد و ظروف")</f>
        <v/>
      </c>
      <c r="AA835">
        <f>IF($X835="","",$Y835)</f>
        <v/>
      </c>
    </row>
    <row r="836">
      <c r="A836">
        <f>IF(Sync!$Z836="","",LEFT(UPPER(TRIM(Sync!$Z836)),6))</f>
        <v/>
      </c>
      <c r="B836">
        <f>IF($A836="","",IF(Sync!$AA836="","",Sync!$AA836))</f>
        <v/>
      </c>
      <c r="C836">
        <f>IF($A836="","",IF(Sync!$AB836="","",Sync!$AB836))</f>
        <v/>
      </c>
      <c r="D836">
        <f>IF($A836="","",IF(Sync!$AC836="","",Sync!$AC836))</f>
        <v/>
      </c>
      <c r="E836">
        <f>IF($A836="","",IF(Sync!$AD836="","",Sync!$AD836))</f>
        <v/>
      </c>
      <c r="F836">
        <f>IF($A836="","",IF(Sync!$AE836="",0,Sync!$AE836))</f>
        <v/>
      </c>
      <c r="G836">
        <f>IF($A836="","",IF(Sync!$AF836="",0,Sync!$AF836))</f>
        <v/>
      </c>
      <c r="H836">
        <f>IF(OR($A836="",ROUND($F836+$G836,2)=0),"",$F836+$G836)</f>
        <v/>
      </c>
      <c r="I836">
        <f>IF($H836="","",IF(ROUND($F836,2)&gt;0,$A836,IF($D836="شخصی قاسم","شخصی قاسم",IF($D836="هزینه","هزینه: "&amp;IF($E836="","متفرقه",$E836),IF($C836="پاس چک","چک پرداختی",IF(OR($B836="",COUNTIF(AcctCodesA,$B836)=0),"متفرقه",$B836))))))</f>
        <v/>
      </c>
      <c r="J836">
        <f>IF($H836="","",IF(ROUND($F836,2)&gt;0,IF($D836="شخصی قاسم","شخصی قاسم",IF($D836="هزینه","هزینه: "&amp;IF($E836="","متفرقه",$E836),IF(OR($B836="",COUNTIF(AcctCodesA,$B836)=0),"متفرقه",$B836))),$A836))</f>
        <v/>
      </c>
      <c r="K836">
        <f>IF($A836="","",IF(AND($B836&lt;&gt;"",COUNTIF(AcctCodesA,$B836)=0),"کد طرف در INFO تعریف نشده",IF(AND($D836="هزینه",$E836=""),"هزینه بدون زیرگروه",IF(AND($C836="پاس چک",OR(Sync!$AJ836="",COUNTIF(IssueNosA,Sync!$AJ836)=0)),"شماره چک پاس‌شده معتبر نیست",""))))</f>
        <v/>
      </c>
      <c r="V836">
        <f>IF($K836="","",IF(ISNUMBER(Sync!$AK836),Sync!$AK836,LEFT(Sync!$AK836,4)&amp;MID(Sync!$AK836,6,2)&amp;RIGHT(Sync!$AK836,2))&amp;"|"&amp;"4"&amp;RIGHT("00000"&amp;831,5))</f>
        <v/>
      </c>
      <c r="W836">
        <f>IF($V836="",0,COUNTIFS($V$6:$V$2005,"&lt;"&amp;$V836)-COUNTIFS($V$6:$V$2005,"&lt;"&amp;$V836,$K$6:$K$2005,"")+1)</f>
        <v/>
      </c>
      <c r="X836">
        <f>IF(Sync!$AX836="","",IF(OR(N(Sync!$AY836)=0,N(Sync!$AZ836)=0),"",ROUND(N(Sync!$AY836)*N(Sync!$AZ836),0)))</f>
        <v/>
      </c>
      <c r="Y836">
        <f>IF($X836="","",IF(OR(Sync!$AX836="",COUNTIF(AcctCodesA,Sync!$AX836)=0),"متفرقه",Sync!$AX836))</f>
        <v/>
      </c>
      <c r="Z836">
        <f>IF($X836="","","سبد و ظروف")</f>
        <v/>
      </c>
      <c r="AA836">
        <f>IF($X836="","",$Y836)</f>
        <v/>
      </c>
    </row>
    <row r="837">
      <c r="A837">
        <f>IF(Sync!$Z837="","",LEFT(UPPER(TRIM(Sync!$Z837)),6))</f>
        <v/>
      </c>
      <c r="B837">
        <f>IF($A837="","",IF(Sync!$AA837="","",Sync!$AA837))</f>
        <v/>
      </c>
      <c r="C837">
        <f>IF($A837="","",IF(Sync!$AB837="","",Sync!$AB837))</f>
        <v/>
      </c>
      <c r="D837">
        <f>IF($A837="","",IF(Sync!$AC837="","",Sync!$AC837))</f>
        <v/>
      </c>
      <c r="E837">
        <f>IF($A837="","",IF(Sync!$AD837="","",Sync!$AD837))</f>
        <v/>
      </c>
      <c r="F837">
        <f>IF($A837="","",IF(Sync!$AE837="",0,Sync!$AE837))</f>
        <v/>
      </c>
      <c r="G837">
        <f>IF($A837="","",IF(Sync!$AF837="",0,Sync!$AF837))</f>
        <v/>
      </c>
      <c r="H837">
        <f>IF(OR($A837="",ROUND($F837+$G837,2)=0),"",$F837+$G837)</f>
        <v/>
      </c>
      <c r="I837">
        <f>IF($H837="","",IF(ROUND($F837,2)&gt;0,$A837,IF($D837="شخصی قاسم","شخصی قاسم",IF($D837="هزینه","هزینه: "&amp;IF($E837="","متفرقه",$E837),IF($C837="پاس چک","چک پرداختی",IF(OR($B837="",COUNTIF(AcctCodesA,$B837)=0),"متفرقه",$B837))))))</f>
        <v/>
      </c>
      <c r="J837">
        <f>IF($H837="","",IF(ROUND($F837,2)&gt;0,IF($D837="شخصی قاسم","شخصی قاسم",IF($D837="هزینه","هزینه: "&amp;IF($E837="","متفرقه",$E837),IF(OR($B837="",COUNTIF(AcctCodesA,$B837)=0),"متفرقه",$B837))),$A837))</f>
        <v/>
      </c>
      <c r="K837">
        <f>IF($A837="","",IF(AND($B837&lt;&gt;"",COUNTIF(AcctCodesA,$B837)=0),"کد طرف در INFO تعریف نشده",IF(AND($D837="هزینه",$E837=""),"هزینه بدون زیرگروه",IF(AND($C837="پاس چک",OR(Sync!$AJ837="",COUNTIF(IssueNosA,Sync!$AJ837)=0)),"شماره چک پاس‌شده معتبر نیست",""))))</f>
        <v/>
      </c>
      <c r="V837">
        <f>IF($K837="","",IF(ISNUMBER(Sync!$AK837),Sync!$AK837,LEFT(Sync!$AK837,4)&amp;MID(Sync!$AK837,6,2)&amp;RIGHT(Sync!$AK837,2))&amp;"|"&amp;"4"&amp;RIGHT("00000"&amp;832,5))</f>
        <v/>
      </c>
      <c r="W837">
        <f>IF($V837="",0,COUNTIFS($V$6:$V$2005,"&lt;"&amp;$V837)-COUNTIFS($V$6:$V$2005,"&lt;"&amp;$V837,$K$6:$K$2005,"")+1)</f>
        <v/>
      </c>
      <c r="X837">
        <f>IF(Sync!$AX837="","",IF(OR(N(Sync!$AY837)=0,N(Sync!$AZ837)=0),"",ROUND(N(Sync!$AY837)*N(Sync!$AZ837),0)))</f>
        <v/>
      </c>
      <c r="Y837">
        <f>IF($X837="","",IF(OR(Sync!$AX837="",COUNTIF(AcctCodesA,Sync!$AX837)=0),"متفرقه",Sync!$AX837))</f>
        <v/>
      </c>
      <c r="Z837">
        <f>IF($X837="","","سبد و ظروف")</f>
        <v/>
      </c>
      <c r="AA837">
        <f>IF($X837="","",$Y837)</f>
        <v/>
      </c>
    </row>
    <row r="838">
      <c r="A838">
        <f>IF(Sync!$Z838="","",LEFT(UPPER(TRIM(Sync!$Z838)),6))</f>
        <v/>
      </c>
      <c r="B838">
        <f>IF($A838="","",IF(Sync!$AA838="","",Sync!$AA838))</f>
        <v/>
      </c>
      <c r="C838">
        <f>IF($A838="","",IF(Sync!$AB838="","",Sync!$AB838))</f>
        <v/>
      </c>
      <c r="D838">
        <f>IF($A838="","",IF(Sync!$AC838="","",Sync!$AC838))</f>
        <v/>
      </c>
      <c r="E838">
        <f>IF($A838="","",IF(Sync!$AD838="","",Sync!$AD838))</f>
        <v/>
      </c>
      <c r="F838">
        <f>IF($A838="","",IF(Sync!$AE838="",0,Sync!$AE838))</f>
        <v/>
      </c>
      <c r="G838">
        <f>IF($A838="","",IF(Sync!$AF838="",0,Sync!$AF838))</f>
        <v/>
      </c>
      <c r="H838">
        <f>IF(OR($A838="",ROUND($F838+$G838,2)=0),"",$F838+$G838)</f>
        <v/>
      </c>
      <c r="I838">
        <f>IF($H838="","",IF(ROUND($F838,2)&gt;0,$A838,IF($D838="شخصی قاسم","شخصی قاسم",IF($D838="هزینه","هزینه: "&amp;IF($E838="","متفرقه",$E838),IF($C838="پاس چک","چک پرداختی",IF(OR($B838="",COUNTIF(AcctCodesA,$B838)=0),"متفرقه",$B838))))))</f>
        <v/>
      </c>
      <c r="J838">
        <f>IF($H838="","",IF(ROUND($F838,2)&gt;0,IF($D838="شخصی قاسم","شخصی قاسم",IF($D838="هزینه","هزینه: "&amp;IF($E838="","متفرقه",$E838),IF(OR($B838="",COUNTIF(AcctCodesA,$B838)=0),"متفرقه",$B838))),$A838))</f>
        <v/>
      </c>
      <c r="K838">
        <f>IF($A838="","",IF(AND($B838&lt;&gt;"",COUNTIF(AcctCodesA,$B838)=0),"کد طرف در INFO تعریف نشده",IF(AND($D838="هزینه",$E838=""),"هزینه بدون زیرگروه",IF(AND($C838="پاس چک",OR(Sync!$AJ838="",COUNTIF(IssueNosA,Sync!$AJ838)=0)),"شماره چک پاس‌شده معتبر نیست",""))))</f>
        <v/>
      </c>
      <c r="V838">
        <f>IF($K838="","",IF(ISNUMBER(Sync!$AK838),Sync!$AK838,LEFT(Sync!$AK838,4)&amp;MID(Sync!$AK838,6,2)&amp;RIGHT(Sync!$AK838,2))&amp;"|"&amp;"4"&amp;RIGHT("00000"&amp;833,5))</f>
        <v/>
      </c>
      <c r="W838">
        <f>IF($V838="",0,COUNTIFS($V$6:$V$2005,"&lt;"&amp;$V838)-COUNTIFS($V$6:$V$2005,"&lt;"&amp;$V838,$K$6:$K$2005,"")+1)</f>
        <v/>
      </c>
      <c r="X838">
        <f>IF(Sync!$AX838="","",IF(OR(N(Sync!$AY838)=0,N(Sync!$AZ838)=0),"",ROUND(N(Sync!$AY838)*N(Sync!$AZ838),0)))</f>
        <v/>
      </c>
      <c r="Y838">
        <f>IF($X838="","",IF(OR(Sync!$AX838="",COUNTIF(AcctCodesA,Sync!$AX838)=0),"متفرقه",Sync!$AX838))</f>
        <v/>
      </c>
      <c r="Z838">
        <f>IF($X838="","","سبد و ظروف")</f>
        <v/>
      </c>
      <c r="AA838">
        <f>IF($X838="","",$Y838)</f>
        <v/>
      </c>
    </row>
    <row r="839">
      <c r="A839">
        <f>IF(Sync!$Z839="","",LEFT(UPPER(TRIM(Sync!$Z839)),6))</f>
        <v/>
      </c>
      <c r="B839">
        <f>IF($A839="","",IF(Sync!$AA839="","",Sync!$AA839))</f>
        <v/>
      </c>
      <c r="C839">
        <f>IF($A839="","",IF(Sync!$AB839="","",Sync!$AB839))</f>
        <v/>
      </c>
      <c r="D839">
        <f>IF($A839="","",IF(Sync!$AC839="","",Sync!$AC839))</f>
        <v/>
      </c>
      <c r="E839">
        <f>IF($A839="","",IF(Sync!$AD839="","",Sync!$AD839))</f>
        <v/>
      </c>
      <c r="F839">
        <f>IF($A839="","",IF(Sync!$AE839="",0,Sync!$AE839))</f>
        <v/>
      </c>
      <c r="G839">
        <f>IF($A839="","",IF(Sync!$AF839="",0,Sync!$AF839))</f>
        <v/>
      </c>
      <c r="H839">
        <f>IF(OR($A839="",ROUND($F839+$G839,2)=0),"",$F839+$G839)</f>
        <v/>
      </c>
      <c r="I839">
        <f>IF($H839="","",IF(ROUND($F839,2)&gt;0,$A839,IF($D839="شخصی قاسم","شخصی قاسم",IF($D839="هزینه","هزینه: "&amp;IF($E839="","متفرقه",$E839),IF($C839="پاس چک","چک پرداختی",IF(OR($B839="",COUNTIF(AcctCodesA,$B839)=0),"متفرقه",$B839))))))</f>
        <v/>
      </c>
      <c r="J839">
        <f>IF($H839="","",IF(ROUND($F839,2)&gt;0,IF($D839="شخصی قاسم","شخصی قاسم",IF($D839="هزینه","هزینه: "&amp;IF($E839="","متفرقه",$E839),IF(OR($B839="",COUNTIF(AcctCodesA,$B839)=0),"متفرقه",$B839))),$A839))</f>
        <v/>
      </c>
      <c r="K839">
        <f>IF($A839="","",IF(AND($B839&lt;&gt;"",COUNTIF(AcctCodesA,$B839)=0),"کد طرف در INFO تعریف نشده",IF(AND($D839="هزینه",$E839=""),"هزینه بدون زیرگروه",IF(AND($C839="پاس چک",OR(Sync!$AJ839="",COUNTIF(IssueNosA,Sync!$AJ839)=0)),"شماره چک پاس‌شده معتبر نیست",""))))</f>
        <v/>
      </c>
      <c r="V839">
        <f>IF($K839="","",IF(ISNUMBER(Sync!$AK839),Sync!$AK839,LEFT(Sync!$AK839,4)&amp;MID(Sync!$AK839,6,2)&amp;RIGHT(Sync!$AK839,2))&amp;"|"&amp;"4"&amp;RIGHT("00000"&amp;834,5))</f>
        <v/>
      </c>
      <c r="W839">
        <f>IF($V839="",0,COUNTIFS($V$6:$V$2005,"&lt;"&amp;$V839)-COUNTIFS($V$6:$V$2005,"&lt;"&amp;$V839,$K$6:$K$2005,"")+1)</f>
        <v/>
      </c>
      <c r="X839">
        <f>IF(Sync!$AX839="","",IF(OR(N(Sync!$AY839)=0,N(Sync!$AZ839)=0),"",ROUND(N(Sync!$AY839)*N(Sync!$AZ839),0)))</f>
        <v/>
      </c>
      <c r="Y839">
        <f>IF($X839="","",IF(OR(Sync!$AX839="",COUNTIF(AcctCodesA,Sync!$AX839)=0),"متفرقه",Sync!$AX839))</f>
        <v/>
      </c>
      <c r="Z839">
        <f>IF($X839="","","سبد و ظروف")</f>
        <v/>
      </c>
      <c r="AA839">
        <f>IF($X839="","",$Y839)</f>
        <v/>
      </c>
    </row>
    <row r="840">
      <c r="A840">
        <f>IF(Sync!$Z840="","",LEFT(UPPER(TRIM(Sync!$Z840)),6))</f>
        <v/>
      </c>
      <c r="B840">
        <f>IF($A840="","",IF(Sync!$AA840="","",Sync!$AA840))</f>
        <v/>
      </c>
      <c r="C840">
        <f>IF($A840="","",IF(Sync!$AB840="","",Sync!$AB840))</f>
        <v/>
      </c>
      <c r="D840">
        <f>IF($A840="","",IF(Sync!$AC840="","",Sync!$AC840))</f>
        <v/>
      </c>
      <c r="E840">
        <f>IF($A840="","",IF(Sync!$AD840="","",Sync!$AD840))</f>
        <v/>
      </c>
      <c r="F840">
        <f>IF($A840="","",IF(Sync!$AE840="",0,Sync!$AE840))</f>
        <v/>
      </c>
      <c r="G840">
        <f>IF($A840="","",IF(Sync!$AF840="",0,Sync!$AF840))</f>
        <v/>
      </c>
      <c r="H840">
        <f>IF(OR($A840="",ROUND($F840+$G840,2)=0),"",$F840+$G840)</f>
        <v/>
      </c>
      <c r="I840">
        <f>IF($H840="","",IF(ROUND($F840,2)&gt;0,$A840,IF($D840="شخصی قاسم","شخصی قاسم",IF($D840="هزینه","هزینه: "&amp;IF($E840="","متفرقه",$E840),IF($C840="پاس چک","چک پرداختی",IF(OR($B840="",COUNTIF(AcctCodesA,$B840)=0),"متفرقه",$B840))))))</f>
        <v/>
      </c>
      <c r="J840">
        <f>IF($H840="","",IF(ROUND($F840,2)&gt;0,IF($D840="شخصی قاسم","شخصی قاسم",IF($D840="هزینه","هزینه: "&amp;IF($E840="","متفرقه",$E840),IF(OR($B840="",COUNTIF(AcctCodesA,$B840)=0),"متفرقه",$B840))),$A840))</f>
        <v/>
      </c>
      <c r="K840">
        <f>IF($A840="","",IF(AND($B840&lt;&gt;"",COUNTIF(AcctCodesA,$B840)=0),"کد طرف در INFO تعریف نشده",IF(AND($D840="هزینه",$E840=""),"هزینه بدون زیرگروه",IF(AND($C840="پاس چک",OR(Sync!$AJ840="",COUNTIF(IssueNosA,Sync!$AJ840)=0)),"شماره چک پاس‌شده معتبر نیست",""))))</f>
        <v/>
      </c>
      <c r="V840">
        <f>IF($K840="","",IF(ISNUMBER(Sync!$AK840),Sync!$AK840,LEFT(Sync!$AK840,4)&amp;MID(Sync!$AK840,6,2)&amp;RIGHT(Sync!$AK840,2))&amp;"|"&amp;"4"&amp;RIGHT("00000"&amp;835,5))</f>
        <v/>
      </c>
      <c r="W840">
        <f>IF($V840="",0,COUNTIFS($V$6:$V$2005,"&lt;"&amp;$V840)-COUNTIFS($V$6:$V$2005,"&lt;"&amp;$V840,$K$6:$K$2005,"")+1)</f>
        <v/>
      </c>
      <c r="X840">
        <f>IF(Sync!$AX840="","",IF(OR(N(Sync!$AY840)=0,N(Sync!$AZ840)=0),"",ROUND(N(Sync!$AY840)*N(Sync!$AZ840),0)))</f>
        <v/>
      </c>
      <c r="Y840">
        <f>IF($X840="","",IF(OR(Sync!$AX840="",COUNTIF(AcctCodesA,Sync!$AX840)=0),"متفرقه",Sync!$AX840))</f>
        <v/>
      </c>
      <c r="Z840">
        <f>IF($X840="","","سبد و ظروف")</f>
        <v/>
      </c>
      <c r="AA840">
        <f>IF($X840="","",$Y840)</f>
        <v/>
      </c>
    </row>
    <row r="841">
      <c r="A841">
        <f>IF(Sync!$Z841="","",LEFT(UPPER(TRIM(Sync!$Z841)),6))</f>
        <v/>
      </c>
      <c r="B841">
        <f>IF($A841="","",IF(Sync!$AA841="","",Sync!$AA841))</f>
        <v/>
      </c>
      <c r="C841">
        <f>IF($A841="","",IF(Sync!$AB841="","",Sync!$AB841))</f>
        <v/>
      </c>
      <c r="D841">
        <f>IF($A841="","",IF(Sync!$AC841="","",Sync!$AC841))</f>
        <v/>
      </c>
      <c r="E841">
        <f>IF($A841="","",IF(Sync!$AD841="","",Sync!$AD841))</f>
        <v/>
      </c>
      <c r="F841">
        <f>IF($A841="","",IF(Sync!$AE841="",0,Sync!$AE841))</f>
        <v/>
      </c>
      <c r="G841">
        <f>IF($A841="","",IF(Sync!$AF841="",0,Sync!$AF841))</f>
        <v/>
      </c>
      <c r="H841">
        <f>IF(OR($A841="",ROUND($F841+$G841,2)=0),"",$F841+$G841)</f>
        <v/>
      </c>
      <c r="I841">
        <f>IF($H841="","",IF(ROUND($F841,2)&gt;0,$A841,IF($D841="شخصی قاسم","شخصی قاسم",IF($D841="هزینه","هزینه: "&amp;IF($E841="","متفرقه",$E841),IF($C841="پاس چک","چک پرداختی",IF(OR($B841="",COUNTIF(AcctCodesA,$B841)=0),"متفرقه",$B841))))))</f>
        <v/>
      </c>
      <c r="J841">
        <f>IF($H841="","",IF(ROUND($F841,2)&gt;0,IF($D841="شخصی قاسم","شخصی قاسم",IF($D841="هزینه","هزینه: "&amp;IF($E841="","متفرقه",$E841),IF(OR($B841="",COUNTIF(AcctCodesA,$B841)=0),"متفرقه",$B841))),$A841))</f>
        <v/>
      </c>
      <c r="K841">
        <f>IF($A841="","",IF(AND($B841&lt;&gt;"",COUNTIF(AcctCodesA,$B841)=0),"کد طرف در INFO تعریف نشده",IF(AND($D841="هزینه",$E841=""),"هزینه بدون زیرگروه",IF(AND($C841="پاس چک",OR(Sync!$AJ841="",COUNTIF(IssueNosA,Sync!$AJ841)=0)),"شماره چک پاس‌شده معتبر نیست",""))))</f>
        <v/>
      </c>
      <c r="V841">
        <f>IF($K841="","",IF(ISNUMBER(Sync!$AK841),Sync!$AK841,LEFT(Sync!$AK841,4)&amp;MID(Sync!$AK841,6,2)&amp;RIGHT(Sync!$AK841,2))&amp;"|"&amp;"4"&amp;RIGHT("00000"&amp;836,5))</f>
        <v/>
      </c>
      <c r="W841">
        <f>IF($V841="",0,COUNTIFS($V$6:$V$2005,"&lt;"&amp;$V841)-COUNTIFS($V$6:$V$2005,"&lt;"&amp;$V841,$K$6:$K$2005,"")+1)</f>
        <v/>
      </c>
      <c r="X841">
        <f>IF(Sync!$AX841="","",IF(OR(N(Sync!$AY841)=0,N(Sync!$AZ841)=0),"",ROUND(N(Sync!$AY841)*N(Sync!$AZ841),0)))</f>
        <v/>
      </c>
      <c r="Y841">
        <f>IF($X841="","",IF(OR(Sync!$AX841="",COUNTIF(AcctCodesA,Sync!$AX841)=0),"متفرقه",Sync!$AX841))</f>
        <v/>
      </c>
      <c r="Z841">
        <f>IF($X841="","","سبد و ظروف")</f>
        <v/>
      </c>
      <c r="AA841">
        <f>IF($X841="","",$Y841)</f>
        <v/>
      </c>
    </row>
    <row r="842">
      <c r="A842">
        <f>IF(Sync!$Z842="","",LEFT(UPPER(TRIM(Sync!$Z842)),6))</f>
        <v/>
      </c>
      <c r="B842">
        <f>IF($A842="","",IF(Sync!$AA842="","",Sync!$AA842))</f>
        <v/>
      </c>
      <c r="C842">
        <f>IF($A842="","",IF(Sync!$AB842="","",Sync!$AB842))</f>
        <v/>
      </c>
      <c r="D842">
        <f>IF($A842="","",IF(Sync!$AC842="","",Sync!$AC842))</f>
        <v/>
      </c>
      <c r="E842">
        <f>IF($A842="","",IF(Sync!$AD842="","",Sync!$AD842))</f>
        <v/>
      </c>
      <c r="F842">
        <f>IF($A842="","",IF(Sync!$AE842="",0,Sync!$AE842))</f>
        <v/>
      </c>
      <c r="G842">
        <f>IF($A842="","",IF(Sync!$AF842="",0,Sync!$AF842))</f>
        <v/>
      </c>
      <c r="H842">
        <f>IF(OR($A842="",ROUND($F842+$G842,2)=0),"",$F842+$G842)</f>
        <v/>
      </c>
      <c r="I842">
        <f>IF($H842="","",IF(ROUND($F842,2)&gt;0,$A842,IF($D842="شخصی قاسم","شخصی قاسم",IF($D842="هزینه","هزینه: "&amp;IF($E842="","متفرقه",$E842),IF($C842="پاس چک","چک پرداختی",IF(OR($B842="",COUNTIF(AcctCodesA,$B842)=0),"متفرقه",$B842))))))</f>
        <v/>
      </c>
      <c r="J842">
        <f>IF($H842="","",IF(ROUND($F842,2)&gt;0,IF($D842="شخصی قاسم","شخصی قاسم",IF($D842="هزینه","هزینه: "&amp;IF($E842="","متفرقه",$E842),IF(OR($B842="",COUNTIF(AcctCodesA,$B842)=0),"متفرقه",$B842))),$A842))</f>
        <v/>
      </c>
      <c r="K842">
        <f>IF($A842="","",IF(AND($B842&lt;&gt;"",COUNTIF(AcctCodesA,$B842)=0),"کد طرف در INFO تعریف نشده",IF(AND($D842="هزینه",$E842=""),"هزینه بدون زیرگروه",IF(AND($C842="پاس چک",OR(Sync!$AJ842="",COUNTIF(IssueNosA,Sync!$AJ842)=0)),"شماره چک پاس‌شده معتبر نیست",""))))</f>
        <v/>
      </c>
      <c r="V842">
        <f>IF($K842="","",IF(ISNUMBER(Sync!$AK842),Sync!$AK842,LEFT(Sync!$AK842,4)&amp;MID(Sync!$AK842,6,2)&amp;RIGHT(Sync!$AK842,2))&amp;"|"&amp;"4"&amp;RIGHT("00000"&amp;837,5))</f>
        <v/>
      </c>
      <c r="W842">
        <f>IF($V842="",0,COUNTIFS($V$6:$V$2005,"&lt;"&amp;$V842)-COUNTIFS($V$6:$V$2005,"&lt;"&amp;$V842,$K$6:$K$2005,"")+1)</f>
        <v/>
      </c>
      <c r="X842">
        <f>IF(Sync!$AX842="","",IF(OR(N(Sync!$AY842)=0,N(Sync!$AZ842)=0),"",ROUND(N(Sync!$AY842)*N(Sync!$AZ842),0)))</f>
        <v/>
      </c>
      <c r="Y842">
        <f>IF($X842="","",IF(OR(Sync!$AX842="",COUNTIF(AcctCodesA,Sync!$AX842)=0),"متفرقه",Sync!$AX842))</f>
        <v/>
      </c>
      <c r="Z842">
        <f>IF($X842="","","سبد و ظروف")</f>
        <v/>
      </c>
      <c r="AA842">
        <f>IF($X842="","",$Y842)</f>
        <v/>
      </c>
    </row>
    <row r="843">
      <c r="A843">
        <f>IF(Sync!$Z843="","",LEFT(UPPER(TRIM(Sync!$Z843)),6))</f>
        <v/>
      </c>
      <c r="B843">
        <f>IF($A843="","",IF(Sync!$AA843="","",Sync!$AA843))</f>
        <v/>
      </c>
      <c r="C843">
        <f>IF($A843="","",IF(Sync!$AB843="","",Sync!$AB843))</f>
        <v/>
      </c>
      <c r="D843">
        <f>IF($A843="","",IF(Sync!$AC843="","",Sync!$AC843))</f>
        <v/>
      </c>
      <c r="E843">
        <f>IF($A843="","",IF(Sync!$AD843="","",Sync!$AD843))</f>
        <v/>
      </c>
      <c r="F843">
        <f>IF($A843="","",IF(Sync!$AE843="",0,Sync!$AE843))</f>
        <v/>
      </c>
      <c r="G843">
        <f>IF($A843="","",IF(Sync!$AF843="",0,Sync!$AF843))</f>
        <v/>
      </c>
      <c r="H843">
        <f>IF(OR($A843="",ROUND($F843+$G843,2)=0),"",$F843+$G843)</f>
        <v/>
      </c>
      <c r="I843">
        <f>IF($H843="","",IF(ROUND($F843,2)&gt;0,$A843,IF($D843="شخصی قاسم","شخصی قاسم",IF($D843="هزینه","هزینه: "&amp;IF($E843="","متفرقه",$E843),IF($C843="پاس چک","چک پرداختی",IF(OR($B843="",COUNTIF(AcctCodesA,$B843)=0),"متفرقه",$B843))))))</f>
        <v/>
      </c>
      <c r="J843">
        <f>IF($H843="","",IF(ROUND($F843,2)&gt;0,IF($D843="شخصی قاسم","شخصی قاسم",IF($D843="هزینه","هزینه: "&amp;IF($E843="","متفرقه",$E843),IF(OR($B843="",COUNTIF(AcctCodesA,$B843)=0),"متفرقه",$B843))),$A843))</f>
        <v/>
      </c>
      <c r="K843">
        <f>IF($A843="","",IF(AND($B843&lt;&gt;"",COUNTIF(AcctCodesA,$B843)=0),"کد طرف در INFO تعریف نشده",IF(AND($D843="هزینه",$E843=""),"هزینه بدون زیرگروه",IF(AND($C843="پاس چک",OR(Sync!$AJ843="",COUNTIF(IssueNosA,Sync!$AJ843)=0)),"شماره چک پاس‌شده معتبر نیست",""))))</f>
        <v/>
      </c>
      <c r="V843">
        <f>IF($K843="","",IF(ISNUMBER(Sync!$AK843),Sync!$AK843,LEFT(Sync!$AK843,4)&amp;MID(Sync!$AK843,6,2)&amp;RIGHT(Sync!$AK843,2))&amp;"|"&amp;"4"&amp;RIGHT("00000"&amp;838,5))</f>
        <v/>
      </c>
      <c r="W843">
        <f>IF($V843="",0,COUNTIFS($V$6:$V$2005,"&lt;"&amp;$V843)-COUNTIFS($V$6:$V$2005,"&lt;"&amp;$V843,$K$6:$K$2005,"")+1)</f>
        <v/>
      </c>
      <c r="X843">
        <f>IF(Sync!$AX843="","",IF(OR(N(Sync!$AY843)=0,N(Sync!$AZ843)=0),"",ROUND(N(Sync!$AY843)*N(Sync!$AZ843),0)))</f>
        <v/>
      </c>
      <c r="Y843">
        <f>IF($X843="","",IF(OR(Sync!$AX843="",COUNTIF(AcctCodesA,Sync!$AX843)=0),"متفرقه",Sync!$AX843))</f>
        <v/>
      </c>
      <c r="Z843">
        <f>IF($X843="","","سبد و ظروف")</f>
        <v/>
      </c>
      <c r="AA843">
        <f>IF($X843="","",$Y843)</f>
        <v/>
      </c>
    </row>
    <row r="844">
      <c r="A844">
        <f>IF(Sync!$Z844="","",LEFT(UPPER(TRIM(Sync!$Z844)),6))</f>
        <v/>
      </c>
      <c r="B844">
        <f>IF($A844="","",IF(Sync!$AA844="","",Sync!$AA844))</f>
        <v/>
      </c>
      <c r="C844">
        <f>IF($A844="","",IF(Sync!$AB844="","",Sync!$AB844))</f>
        <v/>
      </c>
      <c r="D844">
        <f>IF($A844="","",IF(Sync!$AC844="","",Sync!$AC844))</f>
        <v/>
      </c>
      <c r="E844">
        <f>IF($A844="","",IF(Sync!$AD844="","",Sync!$AD844))</f>
        <v/>
      </c>
      <c r="F844">
        <f>IF($A844="","",IF(Sync!$AE844="",0,Sync!$AE844))</f>
        <v/>
      </c>
      <c r="G844">
        <f>IF($A844="","",IF(Sync!$AF844="",0,Sync!$AF844))</f>
        <v/>
      </c>
      <c r="H844">
        <f>IF(OR($A844="",ROUND($F844+$G844,2)=0),"",$F844+$G844)</f>
        <v/>
      </c>
      <c r="I844">
        <f>IF($H844="","",IF(ROUND($F844,2)&gt;0,$A844,IF($D844="شخصی قاسم","شخصی قاسم",IF($D844="هزینه","هزینه: "&amp;IF($E844="","متفرقه",$E844),IF($C844="پاس چک","چک پرداختی",IF(OR($B844="",COUNTIF(AcctCodesA,$B844)=0),"متفرقه",$B844))))))</f>
        <v/>
      </c>
      <c r="J844">
        <f>IF($H844="","",IF(ROUND($F844,2)&gt;0,IF($D844="شخصی قاسم","شخصی قاسم",IF($D844="هزینه","هزینه: "&amp;IF($E844="","متفرقه",$E844),IF(OR($B844="",COUNTIF(AcctCodesA,$B844)=0),"متفرقه",$B844))),$A844))</f>
        <v/>
      </c>
      <c r="K844">
        <f>IF($A844="","",IF(AND($B844&lt;&gt;"",COUNTIF(AcctCodesA,$B844)=0),"کد طرف در INFO تعریف نشده",IF(AND($D844="هزینه",$E844=""),"هزینه بدون زیرگروه",IF(AND($C844="پاس چک",OR(Sync!$AJ844="",COUNTIF(IssueNosA,Sync!$AJ844)=0)),"شماره چک پاس‌شده معتبر نیست",""))))</f>
        <v/>
      </c>
      <c r="V844">
        <f>IF($K844="","",IF(ISNUMBER(Sync!$AK844),Sync!$AK844,LEFT(Sync!$AK844,4)&amp;MID(Sync!$AK844,6,2)&amp;RIGHT(Sync!$AK844,2))&amp;"|"&amp;"4"&amp;RIGHT("00000"&amp;839,5))</f>
        <v/>
      </c>
      <c r="W844">
        <f>IF($V844="",0,COUNTIFS($V$6:$V$2005,"&lt;"&amp;$V844)-COUNTIFS($V$6:$V$2005,"&lt;"&amp;$V844,$K$6:$K$2005,"")+1)</f>
        <v/>
      </c>
      <c r="X844">
        <f>IF(Sync!$AX844="","",IF(OR(N(Sync!$AY844)=0,N(Sync!$AZ844)=0),"",ROUND(N(Sync!$AY844)*N(Sync!$AZ844),0)))</f>
        <v/>
      </c>
      <c r="Y844">
        <f>IF($X844="","",IF(OR(Sync!$AX844="",COUNTIF(AcctCodesA,Sync!$AX844)=0),"متفرقه",Sync!$AX844))</f>
        <v/>
      </c>
      <c r="Z844">
        <f>IF($X844="","","سبد و ظروف")</f>
        <v/>
      </c>
      <c r="AA844">
        <f>IF($X844="","",$Y844)</f>
        <v/>
      </c>
    </row>
    <row r="845">
      <c r="A845">
        <f>IF(Sync!$Z845="","",LEFT(UPPER(TRIM(Sync!$Z845)),6))</f>
        <v/>
      </c>
      <c r="B845">
        <f>IF($A845="","",IF(Sync!$AA845="","",Sync!$AA845))</f>
        <v/>
      </c>
      <c r="C845">
        <f>IF($A845="","",IF(Sync!$AB845="","",Sync!$AB845))</f>
        <v/>
      </c>
      <c r="D845">
        <f>IF($A845="","",IF(Sync!$AC845="","",Sync!$AC845))</f>
        <v/>
      </c>
      <c r="E845">
        <f>IF($A845="","",IF(Sync!$AD845="","",Sync!$AD845))</f>
        <v/>
      </c>
      <c r="F845">
        <f>IF($A845="","",IF(Sync!$AE845="",0,Sync!$AE845))</f>
        <v/>
      </c>
      <c r="G845">
        <f>IF($A845="","",IF(Sync!$AF845="",0,Sync!$AF845))</f>
        <v/>
      </c>
      <c r="H845">
        <f>IF(OR($A845="",ROUND($F845+$G845,2)=0),"",$F845+$G845)</f>
        <v/>
      </c>
      <c r="I845">
        <f>IF($H845="","",IF(ROUND($F845,2)&gt;0,$A845,IF($D845="شخصی قاسم","شخصی قاسم",IF($D845="هزینه","هزینه: "&amp;IF($E845="","متفرقه",$E845),IF($C845="پاس چک","چک پرداختی",IF(OR($B845="",COUNTIF(AcctCodesA,$B845)=0),"متفرقه",$B845))))))</f>
        <v/>
      </c>
      <c r="J845">
        <f>IF($H845="","",IF(ROUND($F845,2)&gt;0,IF($D845="شخصی قاسم","شخصی قاسم",IF($D845="هزینه","هزینه: "&amp;IF($E845="","متفرقه",$E845),IF(OR($B845="",COUNTIF(AcctCodesA,$B845)=0),"متفرقه",$B845))),$A845))</f>
        <v/>
      </c>
      <c r="K845">
        <f>IF($A845="","",IF(AND($B845&lt;&gt;"",COUNTIF(AcctCodesA,$B845)=0),"کد طرف در INFO تعریف نشده",IF(AND($D845="هزینه",$E845=""),"هزینه بدون زیرگروه",IF(AND($C845="پاس چک",OR(Sync!$AJ845="",COUNTIF(IssueNosA,Sync!$AJ845)=0)),"شماره چک پاس‌شده معتبر نیست",""))))</f>
        <v/>
      </c>
      <c r="V845">
        <f>IF($K845="","",IF(ISNUMBER(Sync!$AK845),Sync!$AK845,LEFT(Sync!$AK845,4)&amp;MID(Sync!$AK845,6,2)&amp;RIGHT(Sync!$AK845,2))&amp;"|"&amp;"4"&amp;RIGHT("00000"&amp;840,5))</f>
        <v/>
      </c>
      <c r="W845">
        <f>IF($V845="",0,COUNTIFS($V$6:$V$2005,"&lt;"&amp;$V845)-COUNTIFS($V$6:$V$2005,"&lt;"&amp;$V845,$K$6:$K$2005,"")+1)</f>
        <v/>
      </c>
      <c r="X845">
        <f>IF(Sync!$AX845="","",IF(OR(N(Sync!$AY845)=0,N(Sync!$AZ845)=0),"",ROUND(N(Sync!$AY845)*N(Sync!$AZ845),0)))</f>
        <v/>
      </c>
      <c r="Y845">
        <f>IF($X845="","",IF(OR(Sync!$AX845="",COUNTIF(AcctCodesA,Sync!$AX845)=0),"متفرقه",Sync!$AX845))</f>
        <v/>
      </c>
      <c r="Z845">
        <f>IF($X845="","","سبد و ظروف")</f>
        <v/>
      </c>
      <c r="AA845">
        <f>IF($X845="","",$Y845)</f>
        <v/>
      </c>
    </row>
    <row r="846">
      <c r="A846">
        <f>IF(Sync!$Z846="","",LEFT(UPPER(TRIM(Sync!$Z846)),6))</f>
        <v/>
      </c>
      <c r="B846">
        <f>IF($A846="","",IF(Sync!$AA846="","",Sync!$AA846))</f>
        <v/>
      </c>
      <c r="C846">
        <f>IF($A846="","",IF(Sync!$AB846="","",Sync!$AB846))</f>
        <v/>
      </c>
      <c r="D846">
        <f>IF($A846="","",IF(Sync!$AC846="","",Sync!$AC846))</f>
        <v/>
      </c>
      <c r="E846">
        <f>IF($A846="","",IF(Sync!$AD846="","",Sync!$AD846))</f>
        <v/>
      </c>
      <c r="F846">
        <f>IF($A846="","",IF(Sync!$AE846="",0,Sync!$AE846))</f>
        <v/>
      </c>
      <c r="G846">
        <f>IF($A846="","",IF(Sync!$AF846="",0,Sync!$AF846))</f>
        <v/>
      </c>
      <c r="H846">
        <f>IF(OR($A846="",ROUND($F846+$G846,2)=0),"",$F846+$G846)</f>
        <v/>
      </c>
      <c r="I846">
        <f>IF($H846="","",IF(ROUND($F846,2)&gt;0,$A846,IF($D846="شخصی قاسم","شخصی قاسم",IF($D846="هزینه","هزینه: "&amp;IF($E846="","متفرقه",$E846),IF($C846="پاس چک","چک پرداختی",IF(OR($B846="",COUNTIF(AcctCodesA,$B846)=0),"متفرقه",$B846))))))</f>
        <v/>
      </c>
      <c r="J846">
        <f>IF($H846="","",IF(ROUND($F846,2)&gt;0,IF($D846="شخصی قاسم","شخصی قاسم",IF($D846="هزینه","هزینه: "&amp;IF($E846="","متفرقه",$E846),IF(OR($B846="",COUNTIF(AcctCodesA,$B846)=0),"متفرقه",$B846))),$A846))</f>
        <v/>
      </c>
      <c r="K846">
        <f>IF($A846="","",IF(AND($B846&lt;&gt;"",COUNTIF(AcctCodesA,$B846)=0),"کد طرف در INFO تعریف نشده",IF(AND($D846="هزینه",$E846=""),"هزینه بدون زیرگروه",IF(AND($C846="پاس چک",OR(Sync!$AJ846="",COUNTIF(IssueNosA,Sync!$AJ846)=0)),"شماره چک پاس‌شده معتبر نیست",""))))</f>
        <v/>
      </c>
      <c r="V846">
        <f>IF($K846="","",IF(ISNUMBER(Sync!$AK846),Sync!$AK846,LEFT(Sync!$AK846,4)&amp;MID(Sync!$AK846,6,2)&amp;RIGHT(Sync!$AK846,2))&amp;"|"&amp;"4"&amp;RIGHT("00000"&amp;841,5))</f>
        <v/>
      </c>
      <c r="W846">
        <f>IF($V846="",0,COUNTIFS($V$6:$V$2005,"&lt;"&amp;$V846)-COUNTIFS($V$6:$V$2005,"&lt;"&amp;$V846,$K$6:$K$2005,"")+1)</f>
        <v/>
      </c>
      <c r="X846">
        <f>IF(Sync!$AX846="","",IF(OR(N(Sync!$AY846)=0,N(Sync!$AZ846)=0),"",ROUND(N(Sync!$AY846)*N(Sync!$AZ846),0)))</f>
        <v/>
      </c>
      <c r="Y846">
        <f>IF($X846="","",IF(OR(Sync!$AX846="",COUNTIF(AcctCodesA,Sync!$AX846)=0),"متفرقه",Sync!$AX846))</f>
        <v/>
      </c>
      <c r="Z846">
        <f>IF($X846="","","سبد و ظروف")</f>
        <v/>
      </c>
      <c r="AA846">
        <f>IF($X846="","",$Y846)</f>
        <v/>
      </c>
    </row>
    <row r="847">
      <c r="A847">
        <f>IF(Sync!$Z847="","",LEFT(UPPER(TRIM(Sync!$Z847)),6))</f>
        <v/>
      </c>
      <c r="B847">
        <f>IF($A847="","",IF(Sync!$AA847="","",Sync!$AA847))</f>
        <v/>
      </c>
      <c r="C847">
        <f>IF($A847="","",IF(Sync!$AB847="","",Sync!$AB847))</f>
        <v/>
      </c>
      <c r="D847">
        <f>IF($A847="","",IF(Sync!$AC847="","",Sync!$AC847))</f>
        <v/>
      </c>
      <c r="E847">
        <f>IF($A847="","",IF(Sync!$AD847="","",Sync!$AD847))</f>
        <v/>
      </c>
      <c r="F847">
        <f>IF($A847="","",IF(Sync!$AE847="",0,Sync!$AE847))</f>
        <v/>
      </c>
      <c r="G847">
        <f>IF($A847="","",IF(Sync!$AF847="",0,Sync!$AF847))</f>
        <v/>
      </c>
      <c r="H847">
        <f>IF(OR($A847="",ROUND($F847+$G847,2)=0),"",$F847+$G847)</f>
        <v/>
      </c>
      <c r="I847">
        <f>IF($H847="","",IF(ROUND($F847,2)&gt;0,$A847,IF($D847="شخصی قاسم","شخصی قاسم",IF($D847="هزینه","هزینه: "&amp;IF($E847="","متفرقه",$E847),IF($C847="پاس چک","چک پرداختی",IF(OR($B847="",COUNTIF(AcctCodesA,$B847)=0),"متفرقه",$B847))))))</f>
        <v/>
      </c>
      <c r="J847">
        <f>IF($H847="","",IF(ROUND($F847,2)&gt;0,IF($D847="شخصی قاسم","شخصی قاسم",IF($D847="هزینه","هزینه: "&amp;IF($E847="","متفرقه",$E847),IF(OR($B847="",COUNTIF(AcctCodesA,$B847)=0),"متفرقه",$B847))),$A847))</f>
        <v/>
      </c>
      <c r="K847">
        <f>IF($A847="","",IF(AND($B847&lt;&gt;"",COUNTIF(AcctCodesA,$B847)=0),"کد طرف در INFO تعریف نشده",IF(AND($D847="هزینه",$E847=""),"هزینه بدون زیرگروه",IF(AND($C847="پاس چک",OR(Sync!$AJ847="",COUNTIF(IssueNosA,Sync!$AJ847)=0)),"شماره چک پاس‌شده معتبر نیست",""))))</f>
        <v/>
      </c>
      <c r="V847">
        <f>IF($K847="","",IF(ISNUMBER(Sync!$AK847),Sync!$AK847,LEFT(Sync!$AK847,4)&amp;MID(Sync!$AK847,6,2)&amp;RIGHT(Sync!$AK847,2))&amp;"|"&amp;"4"&amp;RIGHT("00000"&amp;842,5))</f>
        <v/>
      </c>
      <c r="W847">
        <f>IF($V847="",0,COUNTIFS($V$6:$V$2005,"&lt;"&amp;$V847)-COUNTIFS($V$6:$V$2005,"&lt;"&amp;$V847,$K$6:$K$2005,"")+1)</f>
        <v/>
      </c>
      <c r="X847">
        <f>IF(Sync!$AX847="","",IF(OR(N(Sync!$AY847)=0,N(Sync!$AZ847)=0),"",ROUND(N(Sync!$AY847)*N(Sync!$AZ847),0)))</f>
        <v/>
      </c>
      <c r="Y847">
        <f>IF($X847="","",IF(OR(Sync!$AX847="",COUNTIF(AcctCodesA,Sync!$AX847)=0),"متفرقه",Sync!$AX847))</f>
        <v/>
      </c>
      <c r="Z847">
        <f>IF($X847="","","سبد و ظروف")</f>
        <v/>
      </c>
      <c r="AA847">
        <f>IF($X847="","",$Y847)</f>
        <v/>
      </c>
    </row>
    <row r="848">
      <c r="A848">
        <f>IF(Sync!$Z848="","",LEFT(UPPER(TRIM(Sync!$Z848)),6))</f>
        <v/>
      </c>
      <c r="B848">
        <f>IF($A848="","",IF(Sync!$AA848="","",Sync!$AA848))</f>
        <v/>
      </c>
      <c r="C848">
        <f>IF($A848="","",IF(Sync!$AB848="","",Sync!$AB848))</f>
        <v/>
      </c>
      <c r="D848">
        <f>IF($A848="","",IF(Sync!$AC848="","",Sync!$AC848))</f>
        <v/>
      </c>
      <c r="E848">
        <f>IF($A848="","",IF(Sync!$AD848="","",Sync!$AD848))</f>
        <v/>
      </c>
      <c r="F848">
        <f>IF($A848="","",IF(Sync!$AE848="",0,Sync!$AE848))</f>
        <v/>
      </c>
      <c r="G848">
        <f>IF($A848="","",IF(Sync!$AF848="",0,Sync!$AF848))</f>
        <v/>
      </c>
      <c r="H848">
        <f>IF(OR($A848="",ROUND($F848+$G848,2)=0),"",$F848+$G848)</f>
        <v/>
      </c>
      <c r="I848">
        <f>IF($H848="","",IF(ROUND($F848,2)&gt;0,$A848,IF($D848="شخصی قاسم","شخصی قاسم",IF($D848="هزینه","هزینه: "&amp;IF($E848="","متفرقه",$E848),IF($C848="پاس چک","چک پرداختی",IF(OR($B848="",COUNTIF(AcctCodesA,$B848)=0),"متفرقه",$B848))))))</f>
        <v/>
      </c>
      <c r="J848">
        <f>IF($H848="","",IF(ROUND($F848,2)&gt;0,IF($D848="شخصی قاسم","شخصی قاسم",IF($D848="هزینه","هزینه: "&amp;IF($E848="","متفرقه",$E848),IF(OR($B848="",COUNTIF(AcctCodesA,$B848)=0),"متفرقه",$B848))),$A848))</f>
        <v/>
      </c>
      <c r="K848">
        <f>IF($A848="","",IF(AND($B848&lt;&gt;"",COUNTIF(AcctCodesA,$B848)=0),"کد طرف در INFO تعریف نشده",IF(AND($D848="هزینه",$E848=""),"هزینه بدون زیرگروه",IF(AND($C848="پاس چک",OR(Sync!$AJ848="",COUNTIF(IssueNosA,Sync!$AJ848)=0)),"شماره چک پاس‌شده معتبر نیست",""))))</f>
        <v/>
      </c>
      <c r="V848">
        <f>IF($K848="","",IF(ISNUMBER(Sync!$AK848),Sync!$AK848,LEFT(Sync!$AK848,4)&amp;MID(Sync!$AK848,6,2)&amp;RIGHT(Sync!$AK848,2))&amp;"|"&amp;"4"&amp;RIGHT("00000"&amp;843,5))</f>
        <v/>
      </c>
      <c r="W848">
        <f>IF($V848="",0,COUNTIFS($V$6:$V$2005,"&lt;"&amp;$V848)-COUNTIFS($V$6:$V$2005,"&lt;"&amp;$V848,$K$6:$K$2005,"")+1)</f>
        <v/>
      </c>
      <c r="X848">
        <f>IF(Sync!$AX848="","",IF(OR(N(Sync!$AY848)=0,N(Sync!$AZ848)=0),"",ROUND(N(Sync!$AY848)*N(Sync!$AZ848),0)))</f>
        <v/>
      </c>
      <c r="Y848">
        <f>IF($X848="","",IF(OR(Sync!$AX848="",COUNTIF(AcctCodesA,Sync!$AX848)=0),"متفرقه",Sync!$AX848))</f>
        <v/>
      </c>
      <c r="Z848">
        <f>IF($X848="","","سبد و ظروف")</f>
        <v/>
      </c>
      <c r="AA848">
        <f>IF($X848="","",$Y848)</f>
        <v/>
      </c>
    </row>
    <row r="849">
      <c r="A849">
        <f>IF(Sync!$Z849="","",LEFT(UPPER(TRIM(Sync!$Z849)),6))</f>
        <v/>
      </c>
      <c r="B849">
        <f>IF($A849="","",IF(Sync!$AA849="","",Sync!$AA849))</f>
        <v/>
      </c>
      <c r="C849">
        <f>IF($A849="","",IF(Sync!$AB849="","",Sync!$AB849))</f>
        <v/>
      </c>
      <c r="D849">
        <f>IF($A849="","",IF(Sync!$AC849="","",Sync!$AC849))</f>
        <v/>
      </c>
      <c r="E849">
        <f>IF($A849="","",IF(Sync!$AD849="","",Sync!$AD849))</f>
        <v/>
      </c>
      <c r="F849">
        <f>IF($A849="","",IF(Sync!$AE849="",0,Sync!$AE849))</f>
        <v/>
      </c>
      <c r="G849">
        <f>IF($A849="","",IF(Sync!$AF849="",0,Sync!$AF849))</f>
        <v/>
      </c>
      <c r="H849">
        <f>IF(OR($A849="",ROUND($F849+$G849,2)=0),"",$F849+$G849)</f>
        <v/>
      </c>
      <c r="I849">
        <f>IF($H849="","",IF(ROUND($F849,2)&gt;0,$A849,IF($D849="شخصی قاسم","شخصی قاسم",IF($D849="هزینه","هزینه: "&amp;IF($E849="","متفرقه",$E849),IF($C849="پاس چک","چک پرداختی",IF(OR($B849="",COUNTIF(AcctCodesA,$B849)=0),"متفرقه",$B849))))))</f>
        <v/>
      </c>
      <c r="J849">
        <f>IF($H849="","",IF(ROUND($F849,2)&gt;0,IF($D849="شخصی قاسم","شخصی قاسم",IF($D849="هزینه","هزینه: "&amp;IF($E849="","متفرقه",$E849),IF(OR($B849="",COUNTIF(AcctCodesA,$B849)=0),"متفرقه",$B849))),$A849))</f>
        <v/>
      </c>
      <c r="K849">
        <f>IF($A849="","",IF(AND($B849&lt;&gt;"",COUNTIF(AcctCodesA,$B849)=0),"کد طرف در INFO تعریف نشده",IF(AND($D849="هزینه",$E849=""),"هزینه بدون زیرگروه",IF(AND($C849="پاس چک",OR(Sync!$AJ849="",COUNTIF(IssueNosA,Sync!$AJ849)=0)),"شماره چک پاس‌شده معتبر نیست",""))))</f>
        <v/>
      </c>
      <c r="V849">
        <f>IF($K849="","",IF(ISNUMBER(Sync!$AK849),Sync!$AK849,LEFT(Sync!$AK849,4)&amp;MID(Sync!$AK849,6,2)&amp;RIGHT(Sync!$AK849,2))&amp;"|"&amp;"4"&amp;RIGHT("00000"&amp;844,5))</f>
        <v/>
      </c>
      <c r="W849">
        <f>IF($V849="",0,COUNTIFS($V$6:$V$2005,"&lt;"&amp;$V849)-COUNTIFS($V$6:$V$2005,"&lt;"&amp;$V849,$K$6:$K$2005,"")+1)</f>
        <v/>
      </c>
      <c r="X849">
        <f>IF(Sync!$AX849="","",IF(OR(N(Sync!$AY849)=0,N(Sync!$AZ849)=0),"",ROUND(N(Sync!$AY849)*N(Sync!$AZ849),0)))</f>
        <v/>
      </c>
      <c r="Y849">
        <f>IF($X849="","",IF(OR(Sync!$AX849="",COUNTIF(AcctCodesA,Sync!$AX849)=0),"متفرقه",Sync!$AX849))</f>
        <v/>
      </c>
      <c r="Z849">
        <f>IF($X849="","","سبد و ظروف")</f>
        <v/>
      </c>
      <c r="AA849">
        <f>IF($X849="","",$Y849)</f>
        <v/>
      </c>
    </row>
    <row r="850">
      <c r="A850">
        <f>IF(Sync!$Z850="","",LEFT(UPPER(TRIM(Sync!$Z850)),6))</f>
        <v/>
      </c>
      <c r="B850">
        <f>IF($A850="","",IF(Sync!$AA850="","",Sync!$AA850))</f>
        <v/>
      </c>
      <c r="C850">
        <f>IF($A850="","",IF(Sync!$AB850="","",Sync!$AB850))</f>
        <v/>
      </c>
      <c r="D850">
        <f>IF($A850="","",IF(Sync!$AC850="","",Sync!$AC850))</f>
        <v/>
      </c>
      <c r="E850">
        <f>IF($A850="","",IF(Sync!$AD850="","",Sync!$AD850))</f>
        <v/>
      </c>
      <c r="F850">
        <f>IF($A850="","",IF(Sync!$AE850="",0,Sync!$AE850))</f>
        <v/>
      </c>
      <c r="G850">
        <f>IF($A850="","",IF(Sync!$AF850="",0,Sync!$AF850))</f>
        <v/>
      </c>
      <c r="H850">
        <f>IF(OR($A850="",ROUND($F850+$G850,2)=0),"",$F850+$G850)</f>
        <v/>
      </c>
      <c r="I850">
        <f>IF($H850="","",IF(ROUND($F850,2)&gt;0,$A850,IF($D850="شخصی قاسم","شخصی قاسم",IF($D850="هزینه","هزینه: "&amp;IF($E850="","متفرقه",$E850),IF($C850="پاس چک","چک پرداختی",IF(OR($B850="",COUNTIF(AcctCodesA,$B850)=0),"متفرقه",$B850))))))</f>
        <v/>
      </c>
      <c r="J850">
        <f>IF($H850="","",IF(ROUND($F850,2)&gt;0,IF($D850="شخصی قاسم","شخصی قاسم",IF($D850="هزینه","هزینه: "&amp;IF($E850="","متفرقه",$E850),IF(OR($B850="",COUNTIF(AcctCodesA,$B850)=0),"متفرقه",$B850))),$A850))</f>
        <v/>
      </c>
      <c r="K850">
        <f>IF($A850="","",IF(AND($B850&lt;&gt;"",COUNTIF(AcctCodesA,$B850)=0),"کد طرف در INFO تعریف نشده",IF(AND($D850="هزینه",$E850=""),"هزینه بدون زیرگروه",IF(AND($C850="پاس چک",OR(Sync!$AJ850="",COUNTIF(IssueNosA,Sync!$AJ850)=0)),"شماره چک پاس‌شده معتبر نیست",""))))</f>
        <v/>
      </c>
      <c r="V850">
        <f>IF($K850="","",IF(ISNUMBER(Sync!$AK850),Sync!$AK850,LEFT(Sync!$AK850,4)&amp;MID(Sync!$AK850,6,2)&amp;RIGHT(Sync!$AK850,2))&amp;"|"&amp;"4"&amp;RIGHT("00000"&amp;845,5))</f>
        <v/>
      </c>
      <c r="W850">
        <f>IF($V850="",0,COUNTIFS($V$6:$V$2005,"&lt;"&amp;$V850)-COUNTIFS($V$6:$V$2005,"&lt;"&amp;$V850,$K$6:$K$2005,"")+1)</f>
        <v/>
      </c>
      <c r="X850">
        <f>IF(Sync!$AX850="","",IF(OR(N(Sync!$AY850)=0,N(Sync!$AZ850)=0),"",ROUND(N(Sync!$AY850)*N(Sync!$AZ850),0)))</f>
        <v/>
      </c>
      <c r="Y850">
        <f>IF($X850="","",IF(OR(Sync!$AX850="",COUNTIF(AcctCodesA,Sync!$AX850)=0),"متفرقه",Sync!$AX850))</f>
        <v/>
      </c>
      <c r="Z850">
        <f>IF($X850="","","سبد و ظروف")</f>
        <v/>
      </c>
      <c r="AA850">
        <f>IF($X850="","",$Y850)</f>
        <v/>
      </c>
    </row>
    <row r="851">
      <c r="A851">
        <f>IF(Sync!$Z851="","",LEFT(UPPER(TRIM(Sync!$Z851)),6))</f>
        <v/>
      </c>
      <c r="B851">
        <f>IF($A851="","",IF(Sync!$AA851="","",Sync!$AA851))</f>
        <v/>
      </c>
      <c r="C851">
        <f>IF($A851="","",IF(Sync!$AB851="","",Sync!$AB851))</f>
        <v/>
      </c>
      <c r="D851">
        <f>IF($A851="","",IF(Sync!$AC851="","",Sync!$AC851))</f>
        <v/>
      </c>
      <c r="E851">
        <f>IF($A851="","",IF(Sync!$AD851="","",Sync!$AD851))</f>
        <v/>
      </c>
      <c r="F851">
        <f>IF($A851="","",IF(Sync!$AE851="",0,Sync!$AE851))</f>
        <v/>
      </c>
      <c r="G851">
        <f>IF($A851="","",IF(Sync!$AF851="",0,Sync!$AF851))</f>
        <v/>
      </c>
      <c r="H851">
        <f>IF(OR($A851="",ROUND($F851+$G851,2)=0),"",$F851+$G851)</f>
        <v/>
      </c>
      <c r="I851">
        <f>IF($H851="","",IF(ROUND($F851,2)&gt;0,$A851,IF($D851="شخصی قاسم","شخصی قاسم",IF($D851="هزینه","هزینه: "&amp;IF($E851="","متفرقه",$E851),IF($C851="پاس چک","چک پرداختی",IF(OR($B851="",COUNTIF(AcctCodesA,$B851)=0),"متفرقه",$B851))))))</f>
        <v/>
      </c>
      <c r="J851">
        <f>IF($H851="","",IF(ROUND($F851,2)&gt;0,IF($D851="شخصی قاسم","شخصی قاسم",IF($D851="هزینه","هزینه: "&amp;IF($E851="","متفرقه",$E851),IF(OR($B851="",COUNTIF(AcctCodesA,$B851)=0),"متفرقه",$B851))),$A851))</f>
        <v/>
      </c>
      <c r="K851">
        <f>IF($A851="","",IF(AND($B851&lt;&gt;"",COUNTIF(AcctCodesA,$B851)=0),"کد طرف در INFO تعریف نشده",IF(AND($D851="هزینه",$E851=""),"هزینه بدون زیرگروه",IF(AND($C851="پاس چک",OR(Sync!$AJ851="",COUNTIF(IssueNosA,Sync!$AJ851)=0)),"شماره چک پاس‌شده معتبر نیست",""))))</f>
        <v/>
      </c>
      <c r="V851">
        <f>IF($K851="","",IF(ISNUMBER(Sync!$AK851),Sync!$AK851,LEFT(Sync!$AK851,4)&amp;MID(Sync!$AK851,6,2)&amp;RIGHT(Sync!$AK851,2))&amp;"|"&amp;"4"&amp;RIGHT("00000"&amp;846,5))</f>
        <v/>
      </c>
      <c r="W851">
        <f>IF($V851="",0,COUNTIFS($V$6:$V$2005,"&lt;"&amp;$V851)-COUNTIFS($V$6:$V$2005,"&lt;"&amp;$V851,$K$6:$K$2005,"")+1)</f>
        <v/>
      </c>
      <c r="X851">
        <f>IF(Sync!$AX851="","",IF(OR(N(Sync!$AY851)=0,N(Sync!$AZ851)=0),"",ROUND(N(Sync!$AY851)*N(Sync!$AZ851),0)))</f>
        <v/>
      </c>
      <c r="Y851">
        <f>IF($X851="","",IF(OR(Sync!$AX851="",COUNTIF(AcctCodesA,Sync!$AX851)=0),"متفرقه",Sync!$AX851))</f>
        <v/>
      </c>
      <c r="Z851">
        <f>IF($X851="","","سبد و ظروف")</f>
        <v/>
      </c>
      <c r="AA851">
        <f>IF($X851="","",$Y851)</f>
        <v/>
      </c>
    </row>
    <row r="852">
      <c r="A852">
        <f>IF(Sync!$Z852="","",LEFT(UPPER(TRIM(Sync!$Z852)),6))</f>
        <v/>
      </c>
      <c r="B852">
        <f>IF($A852="","",IF(Sync!$AA852="","",Sync!$AA852))</f>
        <v/>
      </c>
      <c r="C852">
        <f>IF($A852="","",IF(Sync!$AB852="","",Sync!$AB852))</f>
        <v/>
      </c>
      <c r="D852">
        <f>IF($A852="","",IF(Sync!$AC852="","",Sync!$AC852))</f>
        <v/>
      </c>
      <c r="E852">
        <f>IF($A852="","",IF(Sync!$AD852="","",Sync!$AD852))</f>
        <v/>
      </c>
      <c r="F852">
        <f>IF($A852="","",IF(Sync!$AE852="",0,Sync!$AE852))</f>
        <v/>
      </c>
      <c r="G852">
        <f>IF($A852="","",IF(Sync!$AF852="",0,Sync!$AF852))</f>
        <v/>
      </c>
      <c r="H852">
        <f>IF(OR($A852="",ROUND($F852+$G852,2)=0),"",$F852+$G852)</f>
        <v/>
      </c>
      <c r="I852">
        <f>IF($H852="","",IF(ROUND($F852,2)&gt;0,$A852,IF($D852="شخصی قاسم","شخصی قاسم",IF($D852="هزینه","هزینه: "&amp;IF($E852="","متفرقه",$E852),IF($C852="پاس چک","چک پرداختی",IF(OR($B852="",COUNTIF(AcctCodesA,$B852)=0),"متفرقه",$B852))))))</f>
        <v/>
      </c>
      <c r="J852">
        <f>IF($H852="","",IF(ROUND($F852,2)&gt;0,IF($D852="شخصی قاسم","شخصی قاسم",IF($D852="هزینه","هزینه: "&amp;IF($E852="","متفرقه",$E852),IF(OR($B852="",COUNTIF(AcctCodesA,$B852)=0),"متفرقه",$B852))),$A852))</f>
        <v/>
      </c>
      <c r="K852">
        <f>IF($A852="","",IF(AND($B852&lt;&gt;"",COUNTIF(AcctCodesA,$B852)=0),"کد طرف در INFO تعریف نشده",IF(AND($D852="هزینه",$E852=""),"هزینه بدون زیرگروه",IF(AND($C852="پاس چک",OR(Sync!$AJ852="",COUNTIF(IssueNosA,Sync!$AJ852)=0)),"شماره چک پاس‌شده معتبر نیست",""))))</f>
        <v/>
      </c>
      <c r="V852">
        <f>IF($K852="","",IF(ISNUMBER(Sync!$AK852),Sync!$AK852,LEFT(Sync!$AK852,4)&amp;MID(Sync!$AK852,6,2)&amp;RIGHT(Sync!$AK852,2))&amp;"|"&amp;"4"&amp;RIGHT("00000"&amp;847,5))</f>
        <v/>
      </c>
      <c r="W852">
        <f>IF($V852="",0,COUNTIFS($V$6:$V$2005,"&lt;"&amp;$V852)-COUNTIFS($V$6:$V$2005,"&lt;"&amp;$V852,$K$6:$K$2005,"")+1)</f>
        <v/>
      </c>
      <c r="X852">
        <f>IF(Sync!$AX852="","",IF(OR(N(Sync!$AY852)=0,N(Sync!$AZ852)=0),"",ROUND(N(Sync!$AY852)*N(Sync!$AZ852),0)))</f>
        <v/>
      </c>
      <c r="Y852">
        <f>IF($X852="","",IF(OR(Sync!$AX852="",COUNTIF(AcctCodesA,Sync!$AX852)=0),"متفرقه",Sync!$AX852))</f>
        <v/>
      </c>
      <c r="Z852">
        <f>IF($X852="","","سبد و ظروف")</f>
        <v/>
      </c>
      <c r="AA852">
        <f>IF($X852="","",$Y852)</f>
        <v/>
      </c>
    </row>
    <row r="853">
      <c r="A853">
        <f>IF(Sync!$Z853="","",LEFT(UPPER(TRIM(Sync!$Z853)),6))</f>
        <v/>
      </c>
      <c r="B853">
        <f>IF($A853="","",IF(Sync!$AA853="","",Sync!$AA853))</f>
        <v/>
      </c>
      <c r="C853">
        <f>IF($A853="","",IF(Sync!$AB853="","",Sync!$AB853))</f>
        <v/>
      </c>
      <c r="D853">
        <f>IF($A853="","",IF(Sync!$AC853="","",Sync!$AC853))</f>
        <v/>
      </c>
      <c r="E853">
        <f>IF($A853="","",IF(Sync!$AD853="","",Sync!$AD853))</f>
        <v/>
      </c>
      <c r="F853">
        <f>IF($A853="","",IF(Sync!$AE853="",0,Sync!$AE853))</f>
        <v/>
      </c>
      <c r="G853">
        <f>IF($A853="","",IF(Sync!$AF853="",0,Sync!$AF853))</f>
        <v/>
      </c>
      <c r="H853">
        <f>IF(OR($A853="",ROUND($F853+$G853,2)=0),"",$F853+$G853)</f>
        <v/>
      </c>
      <c r="I853">
        <f>IF($H853="","",IF(ROUND($F853,2)&gt;0,$A853,IF($D853="شخصی قاسم","شخصی قاسم",IF($D853="هزینه","هزینه: "&amp;IF($E853="","متفرقه",$E853),IF($C853="پاس چک","چک پرداختی",IF(OR($B853="",COUNTIF(AcctCodesA,$B853)=0),"متفرقه",$B853))))))</f>
        <v/>
      </c>
      <c r="J853">
        <f>IF($H853="","",IF(ROUND($F853,2)&gt;0,IF($D853="شخصی قاسم","شخصی قاسم",IF($D853="هزینه","هزینه: "&amp;IF($E853="","متفرقه",$E853),IF(OR($B853="",COUNTIF(AcctCodesA,$B853)=0),"متفرقه",$B853))),$A853))</f>
        <v/>
      </c>
      <c r="K853">
        <f>IF($A853="","",IF(AND($B853&lt;&gt;"",COUNTIF(AcctCodesA,$B853)=0),"کد طرف در INFO تعریف نشده",IF(AND($D853="هزینه",$E853=""),"هزینه بدون زیرگروه",IF(AND($C853="پاس چک",OR(Sync!$AJ853="",COUNTIF(IssueNosA,Sync!$AJ853)=0)),"شماره چک پاس‌شده معتبر نیست",""))))</f>
        <v/>
      </c>
      <c r="V853">
        <f>IF($K853="","",IF(ISNUMBER(Sync!$AK853),Sync!$AK853,LEFT(Sync!$AK853,4)&amp;MID(Sync!$AK853,6,2)&amp;RIGHT(Sync!$AK853,2))&amp;"|"&amp;"4"&amp;RIGHT("00000"&amp;848,5))</f>
        <v/>
      </c>
      <c r="W853">
        <f>IF($V853="",0,COUNTIFS($V$6:$V$2005,"&lt;"&amp;$V853)-COUNTIFS($V$6:$V$2005,"&lt;"&amp;$V853,$K$6:$K$2005,"")+1)</f>
        <v/>
      </c>
      <c r="X853">
        <f>IF(Sync!$AX853="","",IF(OR(N(Sync!$AY853)=0,N(Sync!$AZ853)=0),"",ROUND(N(Sync!$AY853)*N(Sync!$AZ853),0)))</f>
        <v/>
      </c>
      <c r="Y853">
        <f>IF($X853="","",IF(OR(Sync!$AX853="",COUNTIF(AcctCodesA,Sync!$AX853)=0),"متفرقه",Sync!$AX853))</f>
        <v/>
      </c>
      <c r="Z853">
        <f>IF($X853="","","سبد و ظروف")</f>
        <v/>
      </c>
      <c r="AA853">
        <f>IF($X853="","",$Y853)</f>
        <v/>
      </c>
    </row>
    <row r="854">
      <c r="A854">
        <f>IF(Sync!$Z854="","",LEFT(UPPER(TRIM(Sync!$Z854)),6))</f>
        <v/>
      </c>
      <c r="B854">
        <f>IF($A854="","",IF(Sync!$AA854="","",Sync!$AA854))</f>
        <v/>
      </c>
      <c r="C854">
        <f>IF($A854="","",IF(Sync!$AB854="","",Sync!$AB854))</f>
        <v/>
      </c>
      <c r="D854">
        <f>IF($A854="","",IF(Sync!$AC854="","",Sync!$AC854))</f>
        <v/>
      </c>
      <c r="E854">
        <f>IF($A854="","",IF(Sync!$AD854="","",Sync!$AD854))</f>
        <v/>
      </c>
      <c r="F854">
        <f>IF($A854="","",IF(Sync!$AE854="",0,Sync!$AE854))</f>
        <v/>
      </c>
      <c r="G854">
        <f>IF($A854="","",IF(Sync!$AF854="",0,Sync!$AF854))</f>
        <v/>
      </c>
      <c r="H854">
        <f>IF(OR($A854="",ROUND($F854+$G854,2)=0),"",$F854+$G854)</f>
        <v/>
      </c>
      <c r="I854">
        <f>IF($H854="","",IF(ROUND($F854,2)&gt;0,$A854,IF($D854="شخصی قاسم","شخصی قاسم",IF($D854="هزینه","هزینه: "&amp;IF($E854="","متفرقه",$E854),IF($C854="پاس چک","چک پرداختی",IF(OR($B854="",COUNTIF(AcctCodesA,$B854)=0),"متفرقه",$B854))))))</f>
        <v/>
      </c>
      <c r="J854">
        <f>IF($H854="","",IF(ROUND($F854,2)&gt;0,IF($D854="شخصی قاسم","شخصی قاسم",IF($D854="هزینه","هزینه: "&amp;IF($E854="","متفرقه",$E854),IF(OR($B854="",COUNTIF(AcctCodesA,$B854)=0),"متفرقه",$B854))),$A854))</f>
        <v/>
      </c>
      <c r="K854">
        <f>IF($A854="","",IF(AND($B854&lt;&gt;"",COUNTIF(AcctCodesA,$B854)=0),"کد طرف در INFO تعریف نشده",IF(AND($D854="هزینه",$E854=""),"هزینه بدون زیرگروه",IF(AND($C854="پاس چک",OR(Sync!$AJ854="",COUNTIF(IssueNosA,Sync!$AJ854)=0)),"شماره چک پاس‌شده معتبر نیست",""))))</f>
        <v/>
      </c>
      <c r="V854">
        <f>IF($K854="","",IF(ISNUMBER(Sync!$AK854),Sync!$AK854,LEFT(Sync!$AK854,4)&amp;MID(Sync!$AK854,6,2)&amp;RIGHT(Sync!$AK854,2))&amp;"|"&amp;"4"&amp;RIGHT("00000"&amp;849,5))</f>
        <v/>
      </c>
      <c r="W854">
        <f>IF($V854="",0,COUNTIFS($V$6:$V$2005,"&lt;"&amp;$V854)-COUNTIFS($V$6:$V$2005,"&lt;"&amp;$V854,$K$6:$K$2005,"")+1)</f>
        <v/>
      </c>
      <c r="X854">
        <f>IF(Sync!$AX854="","",IF(OR(N(Sync!$AY854)=0,N(Sync!$AZ854)=0),"",ROUND(N(Sync!$AY854)*N(Sync!$AZ854),0)))</f>
        <v/>
      </c>
      <c r="Y854">
        <f>IF($X854="","",IF(OR(Sync!$AX854="",COUNTIF(AcctCodesA,Sync!$AX854)=0),"متفرقه",Sync!$AX854))</f>
        <v/>
      </c>
      <c r="Z854">
        <f>IF($X854="","","سبد و ظروف")</f>
        <v/>
      </c>
      <c r="AA854">
        <f>IF($X854="","",$Y854)</f>
        <v/>
      </c>
    </row>
    <row r="855">
      <c r="A855">
        <f>IF(Sync!$Z855="","",LEFT(UPPER(TRIM(Sync!$Z855)),6))</f>
        <v/>
      </c>
      <c r="B855">
        <f>IF($A855="","",IF(Sync!$AA855="","",Sync!$AA855))</f>
        <v/>
      </c>
      <c r="C855">
        <f>IF($A855="","",IF(Sync!$AB855="","",Sync!$AB855))</f>
        <v/>
      </c>
      <c r="D855">
        <f>IF($A855="","",IF(Sync!$AC855="","",Sync!$AC855))</f>
        <v/>
      </c>
      <c r="E855">
        <f>IF($A855="","",IF(Sync!$AD855="","",Sync!$AD855))</f>
        <v/>
      </c>
      <c r="F855">
        <f>IF($A855="","",IF(Sync!$AE855="",0,Sync!$AE855))</f>
        <v/>
      </c>
      <c r="G855">
        <f>IF($A855="","",IF(Sync!$AF855="",0,Sync!$AF855))</f>
        <v/>
      </c>
      <c r="H855">
        <f>IF(OR($A855="",ROUND($F855+$G855,2)=0),"",$F855+$G855)</f>
        <v/>
      </c>
      <c r="I855">
        <f>IF($H855="","",IF(ROUND($F855,2)&gt;0,$A855,IF($D855="شخصی قاسم","شخصی قاسم",IF($D855="هزینه","هزینه: "&amp;IF($E855="","متفرقه",$E855),IF($C855="پاس چک","چک پرداختی",IF(OR($B855="",COUNTIF(AcctCodesA,$B855)=0),"متفرقه",$B855))))))</f>
        <v/>
      </c>
      <c r="J855">
        <f>IF($H855="","",IF(ROUND($F855,2)&gt;0,IF($D855="شخصی قاسم","شخصی قاسم",IF($D855="هزینه","هزینه: "&amp;IF($E855="","متفرقه",$E855),IF(OR($B855="",COUNTIF(AcctCodesA,$B855)=0),"متفرقه",$B855))),$A855))</f>
        <v/>
      </c>
      <c r="K855">
        <f>IF($A855="","",IF(AND($B855&lt;&gt;"",COUNTIF(AcctCodesA,$B855)=0),"کد طرف در INFO تعریف نشده",IF(AND($D855="هزینه",$E855=""),"هزینه بدون زیرگروه",IF(AND($C855="پاس چک",OR(Sync!$AJ855="",COUNTIF(IssueNosA,Sync!$AJ855)=0)),"شماره چک پاس‌شده معتبر نیست",""))))</f>
        <v/>
      </c>
      <c r="V855">
        <f>IF($K855="","",IF(ISNUMBER(Sync!$AK855),Sync!$AK855,LEFT(Sync!$AK855,4)&amp;MID(Sync!$AK855,6,2)&amp;RIGHT(Sync!$AK855,2))&amp;"|"&amp;"4"&amp;RIGHT("00000"&amp;850,5))</f>
        <v/>
      </c>
      <c r="W855">
        <f>IF($V855="",0,COUNTIFS($V$6:$V$2005,"&lt;"&amp;$V855)-COUNTIFS($V$6:$V$2005,"&lt;"&amp;$V855,$K$6:$K$2005,"")+1)</f>
        <v/>
      </c>
      <c r="X855">
        <f>IF(Sync!$AX855="","",IF(OR(N(Sync!$AY855)=0,N(Sync!$AZ855)=0),"",ROUND(N(Sync!$AY855)*N(Sync!$AZ855),0)))</f>
        <v/>
      </c>
      <c r="Y855">
        <f>IF($X855="","",IF(OR(Sync!$AX855="",COUNTIF(AcctCodesA,Sync!$AX855)=0),"متفرقه",Sync!$AX855))</f>
        <v/>
      </c>
      <c r="Z855">
        <f>IF($X855="","","سبد و ظروف")</f>
        <v/>
      </c>
      <c r="AA855">
        <f>IF($X855="","",$Y855)</f>
        <v/>
      </c>
    </row>
    <row r="856">
      <c r="A856">
        <f>IF(Sync!$Z856="","",LEFT(UPPER(TRIM(Sync!$Z856)),6))</f>
        <v/>
      </c>
      <c r="B856">
        <f>IF($A856="","",IF(Sync!$AA856="","",Sync!$AA856))</f>
        <v/>
      </c>
      <c r="C856">
        <f>IF($A856="","",IF(Sync!$AB856="","",Sync!$AB856))</f>
        <v/>
      </c>
      <c r="D856">
        <f>IF($A856="","",IF(Sync!$AC856="","",Sync!$AC856))</f>
        <v/>
      </c>
      <c r="E856">
        <f>IF($A856="","",IF(Sync!$AD856="","",Sync!$AD856))</f>
        <v/>
      </c>
      <c r="F856">
        <f>IF($A856="","",IF(Sync!$AE856="",0,Sync!$AE856))</f>
        <v/>
      </c>
      <c r="G856">
        <f>IF($A856="","",IF(Sync!$AF856="",0,Sync!$AF856))</f>
        <v/>
      </c>
      <c r="H856">
        <f>IF(OR($A856="",ROUND($F856+$G856,2)=0),"",$F856+$G856)</f>
        <v/>
      </c>
      <c r="I856">
        <f>IF($H856="","",IF(ROUND($F856,2)&gt;0,$A856,IF($D856="شخصی قاسم","شخصی قاسم",IF($D856="هزینه","هزینه: "&amp;IF($E856="","متفرقه",$E856),IF($C856="پاس چک","چک پرداختی",IF(OR($B856="",COUNTIF(AcctCodesA,$B856)=0),"متفرقه",$B856))))))</f>
        <v/>
      </c>
      <c r="J856">
        <f>IF($H856="","",IF(ROUND($F856,2)&gt;0,IF($D856="شخصی قاسم","شخصی قاسم",IF($D856="هزینه","هزینه: "&amp;IF($E856="","متفرقه",$E856),IF(OR($B856="",COUNTIF(AcctCodesA,$B856)=0),"متفرقه",$B856))),$A856))</f>
        <v/>
      </c>
      <c r="K856">
        <f>IF($A856="","",IF(AND($B856&lt;&gt;"",COUNTIF(AcctCodesA,$B856)=0),"کد طرف در INFO تعریف نشده",IF(AND($D856="هزینه",$E856=""),"هزینه بدون زیرگروه",IF(AND($C856="پاس چک",OR(Sync!$AJ856="",COUNTIF(IssueNosA,Sync!$AJ856)=0)),"شماره چک پاس‌شده معتبر نیست",""))))</f>
        <v/>
      </c>
      <c r="V856">
        <f>IF($K856="","",IF(ISNUMBER(Sync!$AK856),Sync!$AK856,LEFT(Sync!$AK856,4)&amp;MID(Sync!$AK856,6,2)&amp;RIGHT(Sync!$AK856,2))&amp;"|"&amp;"4"&amp;RIGHT("00000"&amp;851,5))</f>
        <v/>
      </c>
      <c r="W856">
        <f>IF($V856="",0,COUNTIFS($V$6:$V$2005,"&lt;"&amp;$V856)-COUNTIFS($V$6:$V$2005,"&lt;"&amp;$V856,$K$6:$K$2005,"")+1)</f>
        <v/>
      </c>
      <c r="X856">
        <f>IF(Sync!$AX856="","",IF(OR(N(Sync!$AY856)=0,N(Sync!$AZ856)=0),"",ROUND(N(Sync!$AY856)*N(Sync!$AZ856),0)))</f>
        <v/>
      </c>
      <c r="Y856">
        <f>IF($X856="","",IF(OR(Sync!$AX856="",COUNTIF(AcctCodesA,Sync!$AX856)=0),"متفرقه",Sync!$AX856))</f>
        <v/>
      </c>
      <c r="Z856">
        <f>IF($X856="","","سبد و ظروف")</f>
        <v/>
      </c>
      <c r="AA856">
        <f>IF($X856="","",$Y856)</f>
        <v/>
      </c>
    </row>
    <row r="857">
      <c r="A857">
        <f>IF(Sync!$Z857="","",LEFT(UPPER(TRIM(Sync!$Z857)),6))</f>
        <v/>
      </c>
      <c r="B857">
        <f>IF($A857="","",IF(Sync!$AA857="","",Sync!$AA857))</f>
        <v/>
      </c>
      <c r="C857">
        <f>IF($A857="","",IF(Sync!$AB857="","",Sync!$AB857))</f>
        <v/>
      </c>
      <c r="D857">
        <f>IF($A857="","",IF(Sync!$AC857="","",Sync!$AC857))</f>
        <v/>
      </c>
      <c r="E857">
        <f>IF($A857="","",IF(Sync!$AD857="","",Sync!$AD857))</f>
        <v/>
      </c>
      <c r="F857">
        <f>IF($A857="","",IF(Sync!$AE857="",0,Sync!$AE857))</f>
        <v/>
      </c>
      <c r="G857">
        <f>IF($A857="","",IF(Sync!$AF857="",0,Sync!$AF857))</f>
        <v/>
      </c>
      <c r="H857">
        <f>IF(OR($A857="",ROUND($F857+$G857,2)=0),"",$F857+$G857)</f>
        <v/>
      </c>
      <c r="I857">
        <f>IF($H857="","",IF(ROUND($F857,2)&gt;0,$A857,IF($D857="شخصی قاسم","شخصی قاسم",IF($D857="هزینه","هزینه: "&amp;IF($E857="","متفرقه",$E857),IF($C857="پاس چک","چک پرداختی",IF(OR($B857="",COUNTIF(AcctCodesA,$B857)=0),"متفرقه",$B857))))))</f>
        <v/>
      </c>
      <c r="J857">
        <f>IF($H857="","",IF(ROUND($F857,2)&gt;0,IF($D857="شخصی قاسم","شخصی قاسم",IF($D857="هزینه","هزینه: "&amp;IF($E857="","متفرقه",$E857),IF(OR($B857="",COUNTIF(AcctCodesA,$B857)=0),"متفرقه",$B857))),$A857))</f>
        <v/>
      </c>
      <c r="K857">
        <f>IF($A857="","",IF(AND($B857&lt;&gt;"",COUNTIF(AcctCodesA,$B857)=0),"کد طرف در INFO تعریف نشده",IF(AND($D857="هزینه",$E857=""),"هزینه بدون زیرگروه",IF(AND($C857="پاس چک",OR(Sync!$AJ857="",COUNTIF(IssueNosA,Sync!$AJ857)=0)),"شماره چک پاس‌شده معتبر نیست",""))))</f>
        <v/>
      </c>
      <c r="V857">
        <f>IF($K857="","",IF(ISNUMBER(Sync!$AK857),Sync!$AK857,LEFT(Sync!$AK857,4)&amp;MID(Sync!$AK857,6,2)&amp;RIGHT(Sync!$AK857,2))&amp;"|"&amp;"4"&amp;RIGHT("00000"&amp;852,5))</f>
        <v/>
      </c>
      <c r="W857">
        <f>IF($V857="",0,COUNTIFS($V$6:$V$2005,"&lt;"&amp;$V857)-COUNTIFS($V$6:$V$2005,"&lt;"&amp;$V857,$K$6:$K$2005,"")+1)</f>
        <v/>
      </c>
      <c r="X857">
        <f>IF(Sync!$AX857="","",IF(OR(N(Sync!$AY857)=0,N(Sync!$AZ857)=0),"",ROUND(N(Sync!$AY857)*N(Sync!$AZ857),0)))</f>
        <v/>
      </c>
      <c r="Y857">
        <f>IF($X857="","",IF(OR(Sync!$AX857="",COUNTIF(AcctCodesA,Sync!$AX857)=0),"متفرقه",Sync!$AX857))</f>
        <v/>
      </c>
      <c r="Z857">
        <f>IF($X857="","","سبد و ظروف")</f>
        <v/>
      </c>
      <c r="AA857">
        <f>IF($X857="","",$Y857)</f>
        <v/>
      </c>
    </row>
    <row r="858">
      <c r="A858">
        <f>IF(Sync!$Z858="","",LEFT(UPPER(TRIM(Sync!$Z858)),6))</f>
        <v/>
      </c>
      <c r="B858">
        <f>IF($A858="","",IF(Sync!$AA858="","",Sync!$AA858))</f>
        <v/>
      </c>
      <c r="C858">
        <f>IF($A858="","",IF(Sync!$AB858="","",Sync!$AB858))</f>
        <v/>
      </c>
      <c r="D858">
        <f>IF($A858="","",IF(Sync!$AC858="","",Sync!$AC858))</f>
        <v/>
      </c>
      <c r="E858">
        <f>IF($A858="","",IF(Sync!$AD858="","",Sync!$AD858))</f>
        <v/>
      </c>
      <c r="F858">
        <f>IF($A858="","",IF(Sync!$AE858="",0,Sync!$AE858))</f>
        <v/>
      </c>
      <c r="G858">
        <f>IF($A858="","",IF(Sync!$AF858="",0,Sync!$AF858))</f>
        <v/>
      </c>
      <c r="H858">
        <f>IF(OR($A858="",ROUND($F858+$G858,2)=0),"",$F858+$G858)</f>
        <v/>
      </c>
      <c r="I858">
        <f>IF($H858="","",IF(ROUND($F858,2)&gt;0,$A858,IF($D858="شخصی قاسم","شخصی قاسم",IF($D858="هزینه","هزینه: "&amp;IF($E858="","متفرقه",$E858),IF($C858="پاس چک","چک پرداختی",IF(OR($B858="",COUNTIF(AcctCodesA,$B858)=0),"متفرقه",$B858))))))</f>
        <v/>
      </c>
      <c r="J858">
        <f>IF($H858="","",IF(ROUND($F858,2)&gt;0,IF($D858="شخصی قاسم","شخصی قاسم",IF($D858="هزینه","هزینه: "&amp;IF($E858="","متفرقه",$E858),IF(OR($B858="",COUNTIF(AcctCodesA,$B858)=0),"متفرقه",$B858))),$A858))</f>
        <v/>
      </c>
      <c r="K858">
        <f>IF($A858="","",IF(AND($B858&lt;&gt;"",COUNTIF(AcctCodesA,$B858)=0),"کد طرف در INFO تعریف نشده",IF(AND($D858="هزینه",$E858=""),"هزینه بدون زیرگروه",IF(AND($C858="پاس چک",OR(Sync!$AJ858="",COUNTIF(IssueNosA,Sync!$AJ858)=0)),"شماره چک پاس‌شده معتبر نیست",""))))</f>
        <v/>
      </c>
      <c r="V858">
        <f>IF($K858="","",IF(ISNUMBER(Sync!$AK858),Sync!$AK858,LEFT(Sync!$AK858,4)&amp;MID(Sync!$AK858,6,2)&amp;RIGHT(Sync!$AK858,2))&amp;"|"&amp;"4"&amp;RIGHT("00000"&amp;853,5))</f>
        <v/>
      </c>
      <c r="W858">
        <f>IF($V858="",0,COUNTIFS($V$6:$V$2005,"&lt;"&amp;$V858)-COUNTIFS($V$6:$V$2005,"&lt;"&amp;$V858,$K$6:$K$2005,"")+1)</f>
        <v/>
      </c>
      <c r="X858">
        <f>IF(Sync!$AX858="","",IF(OR(N(Sync!$AY858)=0,N(Sync!$AZ858)=0),"",ROUND(N(Sync!$AY858)*N(Sync!$AZ858),0)))</f>
        <v/>
      </c>
      <c r="Y858">
        <f>IF($X858="","",IF(OR(Sync!$AX858="",COUNTIF(AcctCodesA,Sync!$AX858)=0),"متفرقه",Sync!$AX858))</f>
        <v/>
      </c>
      <c r="Z858">
        <f>IF($X858="","","سبد و ظروف")</f>
        <v/>
      </c>
      <c r="AA858">
        <f>IF($X858="","",$Y858)</f>
        <v/>
      </c>
    </row>
    <row r="859">
      <c r="A859">
        <f>IF(Sync!$Z859="","",LEFT(UPPER(TRIM(Sync!$Z859)),6))</f>
        <v/>
      </c>
      <c r="B859">
        <f>IF($A859="","",IF(Sync!$AA859="","",Sync!$AA859))</f>
        <v/>
      </c>
      <c r="C859">
        <f>IF($A859="","",IF(Sync!$AB859="","",Sync!$AB859))</f>
        <v/>
      </c>
      <c r="D859">
        <f>IF($A859="","",IF(Sync!$AC859="","",Sync!$AC859))</f>
        <v/>
      </c>
      <c r="E859">
        <f>IF($A859="","",IF(Sync!$AD859="","",Sync!$AD859))</f>
        <v/>
      </c>
      <c r="F859">
        <f>IF($A859="","",IF(Sync!$AE859="",0,Sync!$AE859))</f>
        <v/>
      </c>
      <c r="G859">
        <f>IF($A859="","",IF(Sync!$AF859="",0,Sync!$AF859))</f>
        <v/>
      </c>
      <c r="H859">
        <f>IF(OR($A859="",ROUND($F859+$G859,2)=0),"",$F859+$G859)</f>
        <v/>
      </c>
      <c r="I859">
        <f>IF($H859="","",IF(ROUND($F859,2)&gt;0,$A859,IF($D859="شخصی قاسم","شخصی قاسم",IF($D859="هزینه","هزینه: "&amp;IF($E859="","متفرقه",$E859),IF($C859="پاس چک","چک پرداختی",IF(OR($B859="",COUNTIF(AcctCodesA,$B859)=0),"متفرقه",$B859))))))</f>
        <v/>
      </c>
      <c r="J859">
        <f>IF($H859="","",IF(ROUND($F859,2)&gt;0,IF($D859="شخصی قاسم","شخصی قاسم",IF($D859="هزینه","هزینه: "&amp;IF($E859="","متفرقه",$E859),IF(OR($B859="",COUNTIF(AcctCodesA,$B859)=0),"متفرقه",$B859))),$A859))</f>
        <v/>
      </c>
      <c r="K859">
        <f>IF($A859="","",IF(AND($B859&lt;&gt;"",COUNTIF(AcctCodesA,$B859)=0),"کد طرف در INFO تعریف نشده",IF(AND($D859="هزینه",$E859=""),"هزینه بدون زیرگروه",IF(AND($C859="پاس چک",OR(Sync!$AJ859="",COUNTIF(IssueNosA,Sync!$AJ859)=0)),"شماره چک پاس‌شده معتبر نیست",""))))</f>
        <v/>
      </c>
      <c r="V859">
        <f>IF($K859="","",IF(ISNUMBER(Sync!$AK859),Sync!$AK859,LEFT(Sync!$AK859,4)&amp;MID(Sync!$AK859,6,2)&amp;RIGHT(Sync!$AK859,2))&amp;"|"&amp;"4"&amp;RIGHT("00000"&amp;854,5))</f>
        <v/>
      </c>
      <c r="W859">
        <f>IF($V859="",0,COUNTIFS($V$6:$V$2005,"&lt;"&amp;$V859)-COUNTIFS($V$6:$V$2005,"&lt;"&amp;$V859,$K$6:$K$2005,"")+1)</f>
        <v/>
      </c>
      <c r="X859">
        <f>IF(Sync!$AX859="","",IF(OR(N(Sync!$AY859)=0,N(Sync!$AZ859)=0),"",ROUND(N(Sync!$AY859)*N(Sync!$AZ859),0)))</f>
        <v/>
      </c>
      <c r="Y859">
        <f>IF($X859="","",IF(OR(Sync!$AX859="",COUNTIF(AcctCodesA,Sync!$AX859)=0),"متفرقه",Sync!$AX859))</f>
        <v/>
      </c>
      <c r="Z859">
        <f>IF($X859="","","سبد و ظروف")</f>
        <v/>
      </c>
      <c r="AA859">
        <f>IF($X859="","",$Y859)</f>
        <v/>
      </c>
    </row>
    <row r="860">
      <c r="A860">
        <f>IF(Sync!$Z860="","",LEFT(UPPER(TRIM(Sync!$Z860)),6))</f>
        <v/>
      </c>
      <c r="B860">
        <f>IF($A860="","",IF(Sync!$AA860="","",Sync!$AA860))</f>
        <v/>
      </c>
      <c r="C860">
        <f>IF($A860="","",IF(Sync!$AB860="","",Sync!$AB860))</f>
        <v/>
      </c>
      <c r="D860">
        <f>IF($A860="","",IF(Sync!$AC860="","",Sync!$AC860))</f>
        <v/>
      </c>
      <c r="E860">
        <f>IF($A860="","",IF(Sync!$AD860="","",Sync!$AD860))</f>
        <v/>
      </c>
      <c r="F860">
        <f>IF($A860="","",IF(Sync!$AE860="",0,Sync!$AE860))</f>
        <v/>
      </c>
      <c r="G860">
        <f>IF($A860="","",IF(Sync!$AF860="",0,Sync!$AF860))</f>
        <v/>
      </c>
      <c r="H860">
        <f>IF(OR($A860="",ROUND($F860+$G860,2)=0),"",$F860+$G860)</f>
        <v/>
      </c>
      <c r="I860">
        <f>IF($H860="","",IF(ROUND($F860,2)&gt;0,$A860,IF($D860="شخصی قاسم","شخصی قاسم",IF($D860="هزینه","هزینه: "&amp;IF($E860="","متفرقه",$E860),IF($C860="پاس چک","چک پرداختی",IF(OR($B860="",COUNTIF(AcctCodesA,$B860)=0),"متفرقه",$B860))))))</f>
        <v/>
      </c>
      <c r="J860">
        <f>IF($H860="","",IF(ROUND($F860,2)&gt;0,IF($D860="شخصی قاسم","شخصی قاسم",IF($D860="هزینه","هزینه: "&amp;IF($E860="","متفرقه",$E860),IF(OR($B860="",COUNTIF(AcctCodesA,$B860)=0),"متفرقه",$B860))),$A860))</f>
        <v/>
      </c>
      <c r="K860">
        <f>IF($A860="","",IF(AND($B860&lt;&gt;"",COUNTIF(AcctCodesA,$B860)=0),"کد طرف در INFO تعریف نشده",IF(AND($D860="هزینه",$E860=""),"هزینه بدون زیرگروه",IF(AND($C860="پاس چک",OR(Sync!$AJ860="",COUNTIF(IssueNosA,Sync!$AJ860)=0)),"شماره چک پاس‌شده معتبر نیست",""))))</f>
        <v/>
      </c>
      <c r="V860">
        <f>IF($K860="","",IF(ISNUMBER(Sync!$AK860),Sync!$AK860,LEFT(Sync!$AK860,4)&amp;MID(Sync!$AK860,6,2)&amp;RIGHT(Sync!$AK860,2))&amp;"|"&amp;"4"&amp;RIGHT("00000"&amp;855,5))</f>
        <v/>
      </c>
      <c r="W860">
        <f>IF($V860="",0,COUNTIFS($V$6:$V$2005,"&lt;"&amp;$V860)-COUNTIFS($V$6:$V$2005,"&lt;"&amp;$V860,$K$6:$K$2005,"")+1)</f>
        <v/>
      </c>
      <c r="X860">
        <f>IF(Sync!$AX860="","",IF(OR(N(Sync!$AY860)=0,N(Sync!$AZ860)=0),"",ROUND(N(Sync!$AY860)*N(Sync!$AZ860),0)))</f>
        <v/>
      </c>
      <c r="Y860">
        <f>IF($X860="","",IF(OR(Sync!$AX860="",COUNTIF(AcctCodesA,Sync!$AX860)=0),"متفرقه",Sync!$AX860))</f>
        <v/>
      </c>
      <c r="Z860">
        <f>IF($X860="","","سبد و ظروف")</f>
        <v/>
      </c>
      <c r="AA860">
        <f>IF($X860="","",$Y860)</f>
        <v/>
      </c>
    </row>
    <row r="861">
      <c r="A861">
        <f>IF(Sync!$Z861="","",LEFT(UPPER(TRIM(Sync!$Z861)),6))</f>
        <v/>
      </c>
      <c r="B861">
        <f>IF($A861="","",IF(Sync!$AA861="","",Sync!$AA861))</f>
        <v/>
      </c>
      <c r="C861">
        <f>IF($A861="","",IF(Sync!$AB861="","",Sync!$AB861))</f>
        <v/>
      </c>
      <c r="D861">
        <f>IF($A861="","",IF(Sync!$AC861="","",Sync!$AC861))</f>
        <v/>
      </c>
      <c r="E861">
        <f>IF($A861="","",IF(Sync!$AD861="","",Sync!$AD861))</f>
        <v/>
      </c>
      <c r="F861">
        <f>IF($A861="","",IF(Sync!$AE861="",0,Sync!$AE861))</f>
        <v/>
      </c>
      <c r="G861">
        <f>IF($A861="","",IF(Sync!$AF861="",0,Sync!$AF861))</f>
        <v/>
      </c>
      <c r="H861">
        <f>IF(OR($A861="",ROUND($F861+$G861,2)=0),"",$F861+$G861)</f>
        <v/>
      </c>
      <c r="I861">
        <f>IF($H861="","",IF(ROUND($F861,2)&gt;0,$A861,IF($D861="شخصی قاسم","شخصی قاسم",IF($D861="هزینه","هزینه: "&amp;IF($E861="","متفرقه",$E861),IF($C861="پاس چک","چک پرداختی",IF(OR($B861="",COUNTIF(AcctCodesA,$B861)=0),"متفرقه",$B861))))))</f>
        <v/>
      </c>
      <c r="J861">
        <f>IF($H861="","",IF(ROUND($F861,2)&gt;0,IF($D861="شخصی قاسم","شخصی قاسم",IF($D861="هزینه","هزینه: "&amp;IF($E861="","متفرقه",$E861),IF(OR($B861="",COUNTIF(AcctCodesA,$B861)=0),"متفرقه",$B861))),$A861))</f>
        <v/>
      </c>
      <c r="K861">
        <f>IF($A861="","",IF(AND($B861&lt;&gt;"",COUNTIF(AcctCodesA,$B861)=0),"کد طرف در INFO تعریف نشده",IF(AND($D861="هزینه",$E861=""),"هزینه بدون زیرگروه",IF(AND($C861="پاس چک",OR(Sync!$AJ861="",COUNTIF(IssueNosA,Sync!$AJ861)=0)),"شماره چک پاس‌شده معتبر نیست",""))))</f>
        <v/>
      </c>
      <c r="V861">
        <f>IF($K861="","",IF(ISNUMBER(Sync!$AK861),Sync!$AK861,LEFT(Sync!$AK861,4)&amp;MID(Sync!$AK861,6,2)&amp;RIGHT(Sync!$AK861,2))&amp;"|"&amp;"4"&amp;RIGHT("00000"&amp;856,5))</f>
        <v/>
      </c>
      <c r="W861">
        <f>IF($V861="",0,COUNTIFS($V$6:$V$2005,"&lt;"&amp;$V861)-COUNTIFS($V$6:$V$2005,"&lt;"&amp;$V861,$K$6:$K$2005,"")+1)</f>
        <v/>
      </c>
      <c r="X861">
        <f>IF(Sync!$AX861="","",IF(OR(N(Sync!$AY861)=0,N(Sync!$AZ861)=0),"",ROUND(N(Sync!$AY861)*N(Sync!$AZ861),0)))</f>
        <v/>
      </c>
      <c r="Y861">
        <f>IF($X861="","",IF(OR(Sync!$AX861="",COUNTIF(AcctCodesA,Sync!$AX861)=0),"متفرقه",Sync!$AX861))</f>
        <v/>
      </c>
      <c r="Z861">
        <f>IF($X861="","","سبد و ظروف")</f>
        <v/>
      </c>
      <c r="AA861">
        <f>IF($X861="","",$Y861)</f>
        <v/>
      </c>
    </row>
    <row r="862">
      <c r="A862">
        <f>IF(Sync!$Z862="","",LEFT(UPPER(TRIM(Sync!$Z862)),6))</f>
        <v/>
      </c>
      <c r="B862">
        <f>IF($A862="","",IF(Sync!$AA862="","",Sync!$AA862))</f>
        <v/>
      </c>
      <c r="C862">
        <f>IF($A862="","",IF(Sync!$AB862="","",Sync!$AB862))</f>
        <v/>
      </c>
      <c r="D862">
        <f>IF($A862="","",IF(Sync!$AC862="","",Sync!$AC862))</f>
        <v/>
      </c>
      <c r="E862">
        <f>IF($A862="","",IF(Sync!$AD862="","",Sync!$AD862))</f>
        <v/>
      </c>
      <c r="F862">
        <f>IF($A862="","",IF(Sync!$AE862="",0,Sync!$AE862))</f>
        <v/>
      </c>
      <c r="G862">
        <f>IF($A862="","",IF(Sync!$AF862="",0,Sync!$AF862))</f>
        <v/>
      </c>
      <c r="H862">
        <f>IF(OR($A862="",ROUND($F862+$G862,2)=0),"",$F862+$G862)</f>
        <v/>
      </c>
      <c r="I862">
        <f>IF($H862="","",IF(ROUND($F862,2)&gt;0,$A862,IF($D862="شخصی قاسم","شخصی قاسم",IF($D862="هزینه","هزینه: "&amp;IF($E862="","متفرقه",$E862),IF($C862="پاس چک","چک پرداختی",IF(OR($B862="",COUNTIF(AcctCodesA,$B862)=0),"متفرقه",$B862))))))</f>
        <v/>
      </c>
      <c r="J862">
        <f>IF($H862="","",IF(ROUND($F862,2)&gt;0,IF($D862="شخصی قاسم","شخصی قاسم",IF($D862="هزینه","هزینه: "&amp;IF($E862="","متفرقه",$E862),IF(OR($B862="",COUNTIF(AcctCodesA,$B862)=0),"متفرقه",$B862))),$A862))</f>
        <v/>
      </c>
      <c r="K862">
        <f>IF($A862="","",IF(AND($B862&lt;&gt;"",COUNTIF(AcctCodesA,$B862)=0),"کد طرف در INFO تعریف نشده",IF(AND($D862="هزینه",$E862=""),"هزینه بدون زیرگروه",IF(AND($C862="پاس چک",OR(Sync!$AJ862="",COUNTIF(IssueNosA,Sync!$AJ862)=0)),"شماره چک پاس‌شده معتبر نیست",""))))</f>
        <v/>
      </c>
      <c r="V862">
        <f>IF($K862="","",IF(ISNUMBER(Sync!$AK862),Sync!$AK862,LEFT(Sync!$AK862,4)&amp;MID(Sync!$AK862,6,2)&amp;RIGHT(Sync!$AK862,2))&amp;"|"&amp;"4"&amp;RIGHT("00000"&amp;857,5))</f>
        <v/>
      </c>
      <c r="W862">
        <f>IF($V862="",0,COUNTIFS($V$6:$V$2005,"&lt;"&amp;$V862)-COUNTIFS($V$6:$V$2005,"&lt;"&amp;$V862,$K$6:$K$2005,"")+1)</f>
        <v/>
      </c>
      <c r="X862">
        <f>IF(Sync!$AX862="","",IF(OR(N(Sync!$AY862)=0,N(Sync!$AZ862)=0),"",ROUND(N(Sync!$AY862)*N(Sync!$AZ862),0)))</f>
        <v/>
      </c>
      <c r="Y862">
        <f>IF($X862="","",IF(OR(Sync!$AX862="",COUNTIF(AcctCodesA,Sync!$AX862)=0),"متفرقه",Sync!$AX862))</f>
        <v/>
      </c>
      <c r="Z862">
        <f>IF($X862="","","سبد و ظروف")</f>
        <v/>
      </c>
      <c r="AA862">
        <f>IF($X862="","",$Y862)</f>
        <v/>
      </c>
    </row>
    <row r="863">
      <c r="A863">
        <f>IF(Sync!$Z863="","",LEFT(UPPER(TRIM(Sync!$Z863)),6))</f>
        <v/>
      </c>
      <c r="B863">
        <f>IF($A863="","",IF(Sync!$AA863="","",Sync!$AA863))</f>
        <v/>
      </c>
      <c r="C863">
        <f>IF($A863="","",IF(Sync!$AB863="","",Sync!$AB863))</f>
        <v/>
      </c>
      <c r="D863">
        <f>IF($A863="","",IF(Sync!$AC863="","",Sync!$AC863))</f>
        <v/>
      </c>
      <c r="E863">
        <f>IF($A863="","",IF(Sync!$AD863="","",Sync!$AD863))</f>
        <v/>
      </c>
      <c r="F863">
        <f>IF($A863="","",IF(Sync!$AE863="",0,Sync!$AE863))</f>
        <v/>
      </c>
      <c r="G863">
        <f>IF($A863="","",IF(Sync!$AF863="",0,Sync!$AF863))</f>
        <v/>
      </c>
      <c r="H863">
        <f>IF(OR($A863="",ROUND($F863+$G863,2)=0),"",$F863+$G863)</f>
        <v/>
      </c>
      <c r="I863">
        <f>IF($H863="","",IF(ROUND($F863,2)&gt;0,$A863,IF($D863="شخصی قاسم","شخصی قاسم",IF($D863="هزینه","هزینه: "&amp;IF($E863="","متفرقه",$E863),IF($C863="پاس چک","چک پرداختی",IF(OR($B863="",COUNTIF(AcctCodesA,$B863)=0),"متفرقه",$B863))))))</f>
        <v/>
      </c>
      <c r="J863">
        <f>IF($H863="","",IF(ROUND($F863,2)&gt;0,IF($D863="شخصی قاسم","شخصی قاسم",IF($D863="هزینه","هزینه: "&amp;IF($E863="","متفرقه",$E863),IF(OR($B863="",COUNTIF(AcctCodesA,$B863)=0),"متفرقه",$B863))),$A863))</f>
        <v/>
      </c>
      <c r="K863">
        <f>IF($A863="","",IF(AND($B863&lt;&gt;"",COUNTIF(AcctCodesA,$B863)=0),"کد طرف در INFO تعریف نشده",IF(AND($D863="هزینه",$E863=""),"هزینه بدون زیرگروه",IF(AND($C863="پاس چک",OR(Sync!$AJ863="",COUNTIF(IssueNosA,Sync!$AJ863)=0)),"شماره چک پاس‌شده معتبر نیست",""))))</f>
        <v/>
      </c>
      <c r="V863">
        <f>IF($K863="","",IF(ISNUMBER(Sync!$AK863),Sync!$AK863,LEFT(Sync!$AK863,4)&amp;MID(Sync!$AK863,6,2)&amp;RIGHT(Sync!$AK863,2))&amp;"|"&amp;"4"&amp;RIGHT("00000"&amp;858,5))</f>
        <v/>
      </c>
      <c r="W863">
        <f>IF($V863="",0,COUNTIFS($V$6:$V$2005,"&lt;"&amp;$V863)-COUNTIFS($V$6:$V$2005,"&lt;"&amp;$V863,$K$6:$K$2005,"")+1)</f>
        <v/>
      </c>
      <c r="X863">
        <f>IF(Sync!$AX863="","",IF(OR(N(Sync!$AY863)=0,N(Sync!$AZ863)=0),"",ROUND(N(Sync!$AY863)*N(Sync!$AZ863),0)))</f>
        <v/>
      </c>
      <c r="Y863">
        <f>IF($X863="","",IF(OR(Sync!$AX863="",COUNTIF(AcctCodesA,Sync!$AX863)=0),"متفرقه",Sync!$AX863))</f>
        <v/>
      </c>
      <c r="Z863">
        <f>IF($X863="","","سبد و ظروف")</f>
        <v/>
      </c>
      <c r="AA863">
        <f>IF($X863="","",$Y863)</f>
        <v/>
      </c>
    </row>
    <row r="864">
      <c r="A864">
        <f>IF(Sync!$Z864="","",LEFT(UPPER(TRIM(Sync!$Z864)),6))</f>
        <v/>
      </c>
      <c r="B864">
        <f>IF($A864="","",IF(Sync!$AA864="","",Sync!$AA864))</f>
        <v/>
      </c>
      <c r="C864">
        <f>IF($A864="","",IF(Sync!$AB864="","",Sync!$AB864))</f>
        <v/>
      </c>
      <c r="D864">
        <f>IF($A864="","",IF(Sync!$AC864="","",Sync!$AC864))</f>
        <v/>
      </c>
      <c r="E864">
        <f>IF($A864="","",IF(Sync!$AD864="","",Sync!$AD864))</f>
        <v/>
      </c>
      <c r="F864">
        <f>IF($A864="","",IF(Sync!$AE864="",0,Sync!$AE864))</f>
        <v/>
      </c>
      <c r="G864">
        <f>IF($A864="","",IF(Sync!$AF864="",0,Sync!$AF864))</f>
        <v/>
      </c>
      <c r="H864">
        <f>IF(OR($A864="",ROUND($F864+$G864,2)=0),"",$F864+$G864)</f>
        <v/>
      </c>
      <c r="I864">
        <f>IF($H864="","",IF(ROUND($F864,2)&gt;0,$A864,IF($D864="شخصی قاسم","شخصی قاسم",IF($D864="هزینه","هزینه: "&amp;IF($E864="","متفرقه",$E864),IF($C864="پاس چک","چک پرداختی",IF(OR($B864="",COUNTIF(AcctCodesA,$B864)=0),"متفرقه",$B864))))))</f>
        <v/>
      </c>
      <c r="J864">
        <f>IF($H864="","",IF(ROUND($F864,2)&gt;0,IF($D864="شخصی قاسم","شخصی قاسم",IF($D864="هزینه","هزینه: "&amp;IF($E864="","متفرقه",$E864),IF(OR($B864="",COUNTIF(AcctCodesA,$B864)=0),"متفرقه",$B864))),$A864))</f>
        <v/>
      </c>
      <c r="K864">
        <f>IF($A864="","",IF(AND($B864&lt;&gt;"",COUNTIF(AcctCodesA,$B864)=0),"کد طرف در INFO تعریف نشده",IF(AND($D864="هزینه",$E864=""),"هزینه بدون زیرگروه",IF(AND($C864="پاس چک",OR(Sync!$AJ864="",COUNTIF(IssueNosA,Sync!$AJ864)=0)),"شماره چک پاس‌شده معتبر نیست",""))))</f>
        <v/>
      </c>
      <c r="V864">
        <f>IF($K864="","",IF(ISNUMBER(Sync!$AK864),Sync!$AK864,LEFT(Sync!$AK864,4)&amp;MID(Sync!$AK864,6,2)&amp;RIGHT(Sync!$AK864,2))&amp;"|"&amp;"4"&amp;RIGHT("00000"&amp;859,5))</f>
        <v/>
      </c>
      <c r="W864">
        <f>IF($V864="",0,COUNTIFS($V$6:$V$2005,"&lt;"&amp;$V864)-COUNTIFS($V$6:$V$2005,"&lt;"&amp;$V864,$K$6:$K$2005,"")+1)</f>
        <v/>
      </c>
      <c r="X864">
        <f>IF(Sync!$AX864="","",IF(OR(N(Sync!$AY864)=0,N(Sync!$AZ864)=0),"",ROUND(N(Sync!$AY864)*N(Sync!$AZ864),0)))</f>
        <v/>
      </c>
      <c r="Y864">
        <f>IF($X864="","",IF(OR(Sync!$AX864="",COUNTIF(AcctCodesA,Sync!$AX864)=0),"متفرقه",Sync!$AX864))</f>
        <v/>
      </c>
      <c r="Z864">
        <f>IF($X864="","","سبد و ظروف")</f>
        <v/>
      </c>
      <c r="AA864">
        <f>IF($X864="","",$Y864)</f>
        <v/>
      </c>
    </row>
    <row r="865">
      <c r="A865">
        <f>IF(Sync!$Z865="","",LEFT(UPPER(TRIM(Sync!$Z865)),6))</f>
        <v/>
      </c>
      <c r="B865">
        <f>IF($A865="","",IF(Sync!$AA865="","",Sync!$AA865))</f>
        <v/>
      </c>
      <c r="C865">
        <f>IF($A865="","",IF(Sync!$AB865="","",Sync!$AB865))</f>
        <v/>
      </c>
      <c r="D865">
        <f>IF($A865="","",IF(Sync!$AC865="","",Sync!$AC865))</f>
        <v/>
      </c>
      <c r="E865">
        <f>IF($A865="","",IF(Sync!$AD865="","",Sync!$AD865))</f>
        <v/>
      </c>
      <c r="F865">
        <f>IF($A865="","",IF(Sync!$AE865="",0,Sync!$AE865))</f>
        <v/>
      </c>
      <c r="G865">
        <f>IF($A865="","",IF(Sync!$AF865="",0,Sync!$AF865))</f>
        <v/>
      </c>
      <c r="H865">
        <f>IF(OR($A865="",ROUND($F865+$G865,2)=0),"",$F865+$G865)</f>
        <v/>
      </c>
      <c r="I865">
        <f>IF($H865="","",IF(ROUND($F865,2)&gt;0,$A865,IF($D865="شخصی قاسم","شخصی قاسم",IF($D865="هزینه","هزینه: "&amp;IF($E865="","متفرقه",$E865),IF($C865="پاس چک","چک پرداختی",IF(OR($B865="",COUNTIF(AcctCodesA,$B865)=0),"متفرقه",$B865))))))</f>
        <v/>
      </c>
      <c r="J865">
        <f>IF($H865="","",IF(ROUND($F865,2)&gt;0,IF($D865="شخصی قاسم","شخصی قاسم",IF($D865="هزینه","هزینه: "&amp;IF($E865="","متفرقه",$E865),IF(OR($B865="",COUNTIF(AcctCodesA,$B865)=0),"متفرقه",$B865))),$A865))</f>
        <v/>
      </c>
      <c r="K865">
        <f>IF($A865="","",IF(AND($B865&lt;&gt;"",COUNTIF(AcctCodesA,$B865)=0),"کد طرف در INFO تعریف نشده",IF(AND($D865="هزینه",$E865=""),"هزینه بدون زیرگروه",IF(AND($C865="پاس چک",OR(Sync!$AJ865="",COUNTIF(IssueNosA,Sync!$AJ865)=0)),"شماره چک پاس‌شده معتبر نیست",""))))</f>
        <v/>
      </c>
      <c r="V865">
        <f>IF($K865="","",IF(ISNUMBER(Sync!$AK865),Sync!$AK865,LEFT(Sync!$AK865,4)&amp;MID(Sync!$AK865,6,2)&amp;RIGHT(Sync!$AK865,2))&amp;"|"&amp;"4"&amp;RIGHT("00000"&amp;860,5))</f>
        <v/>
      </c>
      <c r="W865">
        <f>IF($V865="",0,COUNTIFS($V$6:$V$2005,"&lt;"&amp;$V865)-COUNTIFS($V$6:$V$2005,"&lt;"&amp;$V865,$K$6:$K$2005,"")+1)</f>
        <v/>
      </c>
      <c r="X865">
        <f>IF(Sync!$AX865="","",IF(OR(N(Sync!$AY865)=0,N(Sync!$AZ865)=0),"",ROUND(N(Sync!$AY865)*N(Sync!$AZ865),0)))</f>
        <v/>
      </c>
      <c r="Y865">
        <f>IF($X865="","",IF(OR(Sync!$AX865="",COUNTIF(AcctCodesA,Sync!$AX865)=0),"متفرقه",Sync!$AX865))</f>
        <v/>
      </c>
      <c r="Z865">
        <f>IF($X865="","","سبد و ظروف")</f>
        <v/>
      </c>
      <c r="AA865">
        <f>IF($X865="","",$Y865)</f>
        <v/>
      </c>
    </row>
    <row r="866">
      <c r="A866">
        <f>IF(Sync!$Z866="","",LEFT(UPPER(TRIM(Sync!$Z866)),6))</f>
        <v/>
      </c>
      <c r="B866">
        <f>IF($A866="","",IF(Sync!$AA866="","",Sync!$AA866))</f>
        <v/>
      </c>
      <c r="C866">
        <f>IF($A866="","",IF(Sync!$AB866="","",Sync!$AB866))</f>
        <v/>
      </c>
      <c r="D866">
        <f>IF($A866="","",IF(Sync!$AC866="","",Sync!$AC866))</f>
        <v/>
      </c>
      <c r="E866">
        <f>IF($A866="","",IF(Sync!$AD866="","",Sync!$AD866))</f>
        <v/>
      </c>
      <c r="F866">
        <f>IF($A866="","",IF(Sync!$AE866="",0,Sync!$AE866))</f>
        <v/>
      </c>
      <c r="G866">
        <f>IF($A866="","",IF(Sync!$AF866="",0,Sync!$AF866))</f>
        <v/>
      </c>
      <c r="H866">
        <f>IF(OR($A866="",ROUND($F866+$G866,2)=0),"",$F866+$G866)</f>
        <v/>
      </c>
      <c r="I866">
        <f>IF($H866="","",IF(ROUND($F866,2)&gt;0,$A866,IF($D866="شخصی قاسم","شخصی قاسم",IF($D866="هزینه","هزینه: "&amp;IF($E866="","متفرقه",$E866),IF($C866="پاس چک","چک پرداختی",IF(OR($B866="",COUNTIF(AcctCodesA,$B866)=0),"متفرقه",$B866))))))</f>
        <v/>
      </c>
      <c r="J866">
        <f>IF($H866="","",IF(ROUND($F866,2)&gt;0,IF($D866="شخصی قاسم","شخصی قاسم",IF($D866="هزینه","هزینه: "&amp;IF($E866="","متفرقه",$E866),IF(OR($B866="",COUNTIF(AcctCodesA,$B866)=0),"متفرقه",$B866))),$A866))</f>
        <v/>
      </c>
      <c r="K866">
        <f>IF($A866="","",IF(AND($B866&lt;&gt;"",COUNTIF(AcctCodesA,$B866)=0),"کد طرف در INFO تعریف نشده",IF(AND($D866="هزینه",$E866=""),"هزینه بدون زیرگروه",IF(AND($C866="پاس چک",OR(Sync!$AJ866="",COUNTIF(IssueNosA,Sync!$AJ866)=0)),"شماره چک پاس‌شده معتبر نیست",""))))</f>
        <v/>
      </c>
      <c r="V866">
        <f>IF($K866="","",IF(ISNUMBER(Sync!$AK866),Sync!$AK866,LEFT(Sync!$AK866,4)&amp;MID(Sync!$AK866,6,2)&amp;RIGHT(Sync!$AK866,2))&amp;"|"&amp;"4"&amp;RIGHT("00000"&amp;861,5))</f>
        <v/>
      </c>
      <c r="W866">
        <f>IF($V866="",0,COUNTIFS($V$6:$V$2005,"&lt;"&amp;$V866)-COUNTIFS($V$6:$V$2005,"&lt;"&amp;$V866,$K$6:$K$2005,"")+1)</f>
        <v/>
      </c>
      <c r="X866">
        <f>IF(Sync!$AX866="","",IF(OR(N(Sync!$AY866)=0,N(Sync!$AZ866)=0),"",ROUND(N(Sync!$AY866)*N(Sync!$AZ866),0)))</f>
        <v/>
      </c>
      <c r="Y866">
        <f>IF($X866="","",IF(OR(Sync!$AX866="",COUNTIF(AcctCodesA,Sync!$AX866)=0),"متفرقه",Sync!$AX866))</f>
        <v/>
      </c>
      <c r="Z866">
        <f>IF($X866="","","سبد و ظروف")</f>
        <v/>
      </c>
      <c r="AA866">
        <f>IF($X866="","",$Y866)</f>
        <v/>
      </c>
    </row>
    <row r="867">
      <c r="A867">
        <f>IF(Sync!$Z867="","",LEFT(UPPER(TRIM(Sync!$Z867)),6))</f>
        <v/>
      </c>
      <c r="B867">
        <f>IF($A867="","",IF(Sync!$AA867="","",Sync!$AA867))</f>
        <v/>
      </c>
      <c r="C867">
        <f>IF($A867="","",IF(Sync!$AB867="","",Sync!$AB867))</f>
        <v/>
      </c>
      <c r="D867">
        <f>IF($A867="","",IF(Sync!$AC867="","",Sync!$AC867))</f>
        <v/>
      </c>
      <c r="E867">
        <f>IF($A867="","",IF(Sync!$AD867="","",Sync!$AD867))</f>
        <v/>
      </c>
      <c r="F867">
        <f>IF($A867="","",IF(Sync!$AE867="",0,Sync!$AE867))</f>
        <v/>
      </c>
      <c r="G867">
        <f>IF($A867="","",IF(Sync!$AF867="",0,Sync!$AF867))</f>
        <v/>
      </c>
      <c r="H867">
        <f>IF(OR($A867="",ROUND($F867+$G867,2)=0),"",$F867+$G867)</f>
        <v/>
      </c>
      <c r="I867">
        <f>IF($H867="","",IF(ROUND($F867,2)&gt;0,$A867,IF($D867="شخصی قاسم","شخصی قاسم",IF($D867="هزینه","هزینه: "&amp;IF($E867="","متفرقه",$E867),IF($C867="پاس چک","چک پرداختی",IF(OR($B867="",COUNTIF(AcctCodesA,$B867)=0),"متفرقه",$B867))))))</f>
        <v/>
      </c>
      <c r="J867">
        <f>IF($H867="","",IF(ROUND($F867,2)&gt;0,IF($D867="شخصی قاسم","شخصی قاسم",IF($D867="هزینه","هزینه: "&amp;IF($E867="","متفرقه",$E867),IF(OR($B867="",COUNTIF(AcctCodesA,$B867)=0),"متفرقه",$B867))),$A867))</f>
        <v/>
      </c>
      <c r="K867">
        <f>IF($A867="","",IF(AND($B867&lt;&gt;"",COUNTIF(AcctCodesA,$B867)=0),"کد طرف در INFO تعریف نشده",IF(AND($D867="هزینه",$E867=""),"هزینه بدون زیرگروه",IF(AND($C867="پاس چک",OR(Sync!$AJ867="",COUNTIF(IssueNosA,Sync!$AJ867)=0)),"شماره چک پاس‌شده معتبر نیست",""))))</f>
        <v/>
      </c>
      <c r="V867">
        <f>IF($K867="","",IF(ISNUMBER(Sync!$AK867),Sync!$AK867,LEFT(Sync!$AK867,4)&amp;MID(Sync!$AK867,6,2)&amp;RIGHT(Sync!$AK867,2))&amp;"|"&amp;"4"&amp;RIGHT("00000"&amp;862,5))</f>
        <v/>
      </c>
      <c r="W867">
        <f>IF($V867="",0,COUNTIFS($V$6:$V$2005,"&lt;"&amp;$V867)-COUNTIFS($V$6:$V$2005,"&lt;"&amp;$V867,$K$6:$K$2005,"")+1)</f>
        <v/>
      </c>
      <c r="X867">
        <f>IF(Sync!$AX867="","",IF(OR(N(Sync!$AY867)=0,N(Sync!$AZ867)=0),"",ROUND(N(Sync!$AY867)*N(Sync!$AZ867),0)))</f>
        <v/>
      </c>
      <c r="Y867">
        <f>IF($X867="","",IF(OR(Sync!$AX867="",COUNTIF(AcctCodesA,Sync!$AX867)=0),"متفرقه",Sync!$AX867))</f>
        <v/>
      </c>
      <c r="Z867">
        <f>IF($X867="","","سبد و ظروف")</f>
        <v/>
      </c>
      <c r="AA867">
        <f>IF($X867="","",$Y867)</f>
        <v/>
      </c>
    </row>
    <row r="868">
      <c r="A868">
        <f>IF(Sync!$Z868="","",LEFT(UPPER(TRIM(Sync!$Z868)),6))</f>
        <v/>
      </c>
      <c r="B868">
        <f>IF($A868="","",IF(Sync!$AA868="","",Sync!$AA868))</f>
        <v/>
      </c>
      <c r="C868">
        <f>IF($A868="","",IF(Sync!$AB868="","",Sync!$AB868))</f>
        <v/>
      </c>
      <c r="D868">
        <f>IF($A868="","",IF(Sync!$AC868="","",Sync!$AC868))</f>
        <v/>
      </c>
      <c r="E868">
        <f>IF($A868="","",IF(Sync!$AD868="","",Sync!$AD868))</f>
        <v/>
      </c>
      <c r="F868">
        <f>IF($A868="","",IF(Sync!$AE868="",0,Sync!$AE868))</f>
        <v/>
      </c>
      <c r="G868">
        <f>IF($A868="","",IF(Sync!$AF868="",0,Sync!$AF868))</f>
        <v/>
      </c>
      <c r="H868">
        <f>IF(OR($A868="",ROUND($F868+$G868,2)=0),"",$F868+$G868)</f>
        <v/>
      </c>
      <c r="I868">
        <f>IF($H868="","",IF(ROUND($F868,2)&gt;0,$A868,IF($D868="شخصی قاسم","شخصی قاسم",IF($D868="هزینه","هزینه: "&amp;IF($E868="","متفرقه",$E868),IF($C868="پاس چک","چک پرداختی",IF(OR($B868="",COUNTIF(AcctCodesA,$B868)=0),"متفرقه",$B868))))))</f>
        <v/>
      </c>
      <c r="J868">
        <f>IF($H868="","",IF(ROUND($F868,2)&gt;0,IF($D868="شخصی قاسم","شخصی قاسم",IF($D868="هزینه","هزینه: "&amp;IF($E868="","متفرقه",$E868),IF(OR($B868="",COUNTIF(AcctCodesA,$B868)=0),"متفرقه",$B868))),$A868))</f>
        <v/>
      </c>
      <c r="K868">
        <f>IF($A868="","",IF(AND($B868&lt;&gt;"",COUNTIF(AcctCodesA,$B868)=0),"کد طرف در INFO تعریف نشده",IF(AND($D868="هزینه",$E868=""),"هزینه بدون زیرگروه",IF(AND($C868="پاس چک",OR(Sync!$AJ868="",COUNTIF(IssueNosA,Sync!$AJ868)=0)),"شماره چک پاس‌شده معتبر نیست",""))))</f>
        <v/>
      </c>
      <c r="V868">
        <f>IF($K868="","",IF(ISNUMBER(Sync!$AK868),Sync!$AK868,LEFT(Sync!$AK868,4)&amp;MID(Sync!$AK868,6,2)&amp;RIGHT(Sync!$AK868,2))&amp;"|"&amp;"4"&amp;RIGHT("00000"&amp;863,5))</f>
        <v/>
      </c>
      <c r="W868">
        <f>IF($V868="",0,COUNTIFS($V$6:$V$2005,"&lt;"&amp;$V868)-COUNTIFS($V$6:$V$2005,"&lt;"&amp;$V868,$K$6:$K$2005,"")+1)</f>
        <v/>
      </c>
      <c r="X868">
        <f>IF(Sync!$AX868="","",IF(OR(N(Sync!$AY868)=0,N(Sync!$AZ868)=0),"",ROUND(N(Sync!$AY868)*N(Sync!$AZ868),0)))</f>
        <v/>
      </c>
      <c r="Y868">
        <f>IF($X868="","",IF(OR(Sync!$AX868="",COUNTIF(AcctCodesA,Sync!$AX868)=0),"متفرقه",Sync!$AX868))</f>
        <v/>
      </c>
      <c r="Z868">
        <f>IF($X868="","","سبد و ظروف")</f>
        <v/>
      </c>
      <c r="AA868">
        <f>IF($X868="","",$Y868)</f>
        <v/>
      </c>
    </row>
    <row r="869">
      <c r="A869">
        <f>IF(Sync!$Z869="","",LEFT(UPPER(TRIM(Sync!$Z869)),6))</f>
        <v/>
      </c>
      <c r="B869">
        <f>IF($A869="","",IF(Sync!$AA869="","",Sync!$AA869))</f>
        <v/>
      </c>
      <c r="C869">
        <f>IF($A869="","",IF(Sync!$AB869="","",Sync!$AB869))</f>
        <v/>
      </c>
      <c r="D869">
        <f>IF($A869="","",IF(Sync!$AC869="","",Sync!$AC869))</f>
        <v/>
      </c>
      <c r="E869">
        <f>IF($A869="","",IF(Sync!$AD869="","",Sync!$AD869))</f>
        <v/>
      </c>
      <c r="F869">
        <f>IF($A869="","",IF(Sync!$AE869="",0,Sync!$AE869))</f>
        <v/>
      </c>
      <c r="G869">
        <f>IF($A869="","",IF(Sync!$AF869="",0,Sync!$AF869))</f>
        <v/>
      </c>
      <c r="H869">
        <f>IF(OR($A869="",ROUND($F869+$G869,2)=0),"",$F869+$G869)</f>
        <v/>
      </c>
      <c r="I869">
        <f>IF($H869="","",IF(ROUND($F869,2)&gt;0,$A869,IF($D869="شخصی قاسم","شخصی قاسم",IF($D869="هزینه","هزینه: "&amp;IF($E869="","متفرقه",$E869),IF($C869="پاس چک","چک پرداختی",IF(OR($B869="",COUNTIF(AcctCodesA,$B869)=0),"متفرقه",$B869))))))</f>
        <v/>
      </c>
      <c r="J869">
        <f>IF($H869="","",IF(ROUND($F869,2)&gt;0,IF($D869="شخصی قاسم","شخصی قاسم",IF($D869="هزینه","هزینه: "&amp;IF($E869="","متفرقه",$E869),IF(OR($B869="",COUNTIF(AcctCodesA,$B869)=0),"متفرقه",$B869))),$A869))</f>
        <v/>
      </c>
      <c r="K869">
        <f>IF($A869="","",IF(AND($B869&lt;&gt;"",COUNTIF(AcctCodesA,$B869)=0),"کد طرف در INFO تعریف نشده",IF(AND($D869="هزینه",$E869=""),"هزینه بدون زیرگروه",IF(AND($C869="پاس چک",OR(Sync!$AJ869="",COUNTIF(IssueNosA,Sync!$AJ869)=0)),"شماره چک پاس‌شده معتبر نیست",""))))</f>
        <v/>
      </c>
      <c r="V869">
        <f>IF($K869="","",IF(ISNUMBER(Sync!$AK869),Sync!$AK869,LEFT(Sync!$AK869,4)&amp;MID(Sync!$AK869,6,2)&amp;RIGHT(Sync!$AK869,2))&amp;"|"&amp;"4"&amp;RIGHT("00000"&amp;864,5))</f>
        <v/>
      </c>
      <c r="W869">
        <f>IF($V869="",0,COUNTIFS($V$6:$V$2005,"&lt;"&amp;$V869)-COUNTIFS($V$6:$V$2005,"&lt;"&amp;$V869,$K$6:$K$2005,"")+1)</f>
        <v/>
      </c>
      <c r="X869">
        <f>IF(Sync!$AX869="","",IF(OR(N(Sync!$AY869)=0,N(Sync!$AZ869)=0),"",ROUND(N(Sync!$AY869)*N(Sync!$AZ869),0)))</f>
        <v/>
      </c>
      <c r="Y869">
        <f>IF($X869="","",IF(OR(Sync!$AX869="",COUNTIF(AcctCodesA,Sync!$AX869)=0),"متفرقه",Sync!$AX869))</f>
        <v/>
      </c>
      <c r="Z869">
        <f>IF($X869="","","سبد و ظروف")</f>
        <v/>
      </c>
      <c r="AA869">
        <f>IF($X869="","",$Y869)</f>
        <v/>
      </c>
    </row>
    <row r="870">
      <c r="A870">
        <f>IF(Sync!$Z870="","",LEFT(UPPER(TRIM(Sync!$Z870)),6))</f>
        <v/>
      </c>
      <c r="B870">
        <f>IF($A870="","",IF(Sync!$AA870="","",Sync!$AA870))</f>
        <v/>
      </c>
      <c r="C870">
        <f>IF($A870="","",IF(Sync!$AB870="","",Sync!$AB870))</f>
        <v/>
      </c>
      <c r="D870">
        <f>IF($A870="","",IF(Sync!$AC870="","",Sync!$AC870))</f>
        <v/>
      </c>
      <c r="E870">
        <f>IF($A870="","",IF(Sync!$AD870="","",Sync!$AD870))</f>
        <v/>
      </c>
      <c r="F870">
        <f>IF($A870="","",IF(Sync!$AE870="",0,Sync!$AE870))</f>
        <v/>
      </c>
      <c r="G870">
        <f>IF($A870="","",IF(Sync!$AF870="",0,Sync!$AF870))</f>
        <v/>
      </c>
      <c r="H870">
        <f>IF(OR($A870="",ROUND($F870+$G870,2)=0),"",$F870+$G870)</f>
        <v/>
      </c>
      <c r="I870">
        <f>IF($H870="","",IF(ROUND($F870,2)&gt;0,$A870,IF($D870="شخصی قاسم","شخصی قاسم",IF($D870="هزینه","هزینه: "&amp;IF($E870="","متفرقه",$E870),IF($C870="پاس چک","چک پرداختی",IF(OR($B870="",COUNTIF(AcctCodesA,$B870)=0),"متفرقه",$B870))))))</f>
        <v/>
      </c>
      <c r="J870">
        <f>IF($H870="","",IF(ROUND($F870,2)&gt;0,IF($D870="شخصی قاسم","شخصی قاسم",IF($D870="هزینه","هزینه: "&amp;IF($E870="","متفرقه",$E870),IF(OR($B870="",COUNTIF(AcctCodesA,$B870)=0),"متفرقه",$B870))),$A870))</f>
        <v/>
      </c>
      <c r="K870">
        <f>IF($A870="","",IF(AND($B870&lt;&gt;"",COUNTIF(AcctCodesA,$B870)=0),"کد طرف در INFO تعریف نشده",IF(AND($D870="هزینه",$E870=""),"هزینه بدون زیرگروه",IF(AND($C870="پاس چک",OR(Sync!$AJ870="",COUNTIF(IssueNosA,Sync!$AJ870)=0)),"شماره چک پاس‌شده معتبر نیست",""))))</f>
        <v/>
      </c>
      <c r="V870">
        <f>IF($K870="","",IF(ISNUMBER(Sync!$AK870),Sync!$AK870,LEFT(Sync!$AK870,4)&amp;MID(Sync!$AK870,6,2)&amp;RIGHT(Sync!$AK870,2))&amp;"|"&amp;"4"&amp;RIGHT("00000"&amp;865,5))</f>
        <v/>
      </c>
      <c r="W870">
        <f>IF($V870="",0,COUNTIFS($V$6:$V$2005,"&lt;"&amp;$V870)-COUNTIFS($V$6:$V$2005,"&lt;"&amp;$V870,$K$6:$K$2005,"")+1)</f>
        <v/>
      </c>
      <c r="X870">
        <f>IF(Sync!$AX870="","",IF(OR(N(Sync!$AY870)=0,N(Sync!$AZ870)=0),"",ROUND(N(Sync!$AY870)*N(Sync!$AZ870),0)))</f>
        <v/>
      </c>
      <c r="Y870">
        <f>IF($X870="","",IF(OR(Sync!$AX870="",COUNTIF(AcctCodesA,Sync!$AX870)=0),"متفرقه",Sync!$AX870))</f>
        <v/>
      </c>
      <c r="Z870">
        <f>IF($X870="","","سبد و ظروف")</f>
        <v/>
      </c>
      <c r="AA870">
        <f>IF($X870="","",$Y870)</f>
        <v/>
      </c>
    </row>
    <row r="871">
      <c r="A871">
        <f>IF(Sync!$Z871="","",LEFT(UPPER(TRIM(Sync!$Z871)),6))</f>
        <v/>
      </c>
      <c r="B871">
        <f>IF($A871="","",IF(Sync!$AA871="","",Sync!$AA871))</f>
        <v/>
      </c>
      <c r="C871">
        <f>IF($A871="","",IF(Sync!$AB871="","",Sync!$AB871))</f>
        <v/>
      </c>
      <c r="D871">
        <f>IF($A871="","",IF(Sync!$AC871="","",Sync!$AC871))</f>
        <v/>
      </c>
      <c r="E871">
        <f>IF($A871="","",IF(Sync!$AD871="","",Sync!$AD871))</f>
        <v/>
      </c>
      <c r="F871">
        <f>IF($A871="","",IF(Sync!$AE871="",0,Sync!$AE871))</f>
        <v/>
      </c>
      <c r="G871">
        <f>IF($A871="","",IF(Sync!$AF871="",0,Sync!$AF871))</f>
        <v/>
      </c>
      <c r="H871">
        <f>IF(OR($A871="",ROUND($F871+$G871,2)=0),"",$F871+$G871)</f>
        <v/>
      </c>
      <c r="I871">
        <f>IF($H871="","",IF(ROUND($F871,2)&gt;0,$A871,IF($D871="شخصی قاسم","شخصی قاسم",IF($D871="هزینه","هزینه: "&amp;IF($E871="","متفرقه",$E871),IF($C871="پاس چک","چک پرداختی",IF(OR($B871="",COUNTIF(AcctCodesA,$B871)=0),"متفرقه",$B871))))))</f>
        <v/>
      </c>
      <c r="J871">
        <f>IF($H871="","",IF(ROUND($F871,2)&gt;0,IF($D871="شخصی قاسم","شخصی قاسم",IF($D871="هزینه","هزینه: "&amp;IF($E871="","متفرقه",$E871),IF(OR($B871="",COUNTIF(AcctCodesA,$B871)=0),"متفرقه",$B871))),$A871))</f>
        <v/>
      </c>
      <c r="K871">
        <f>IF($A871="","",IF(AND($B871&lt;&gt;"",COUNTIF(AcctCodesA,$B871)=0),"کد طرف در INFO تعریف نشده",IF(AND($D871="هزینه",$E871=""),"هزینه بدون زیرگروه",IF(AND($C871="پاس چک",OR(Sync!$AJ871="",COUNTIF(IssueNosA,Sync!$AJ871)=0)),"شماره چک پاس‌شده معتبر نیست",""))))</f>
        <v/>
      </c>
      <c r="V871">
        <f>IF($K871="","",IF(ISNUMBER(Sync!$AK871),Sync!$AK871,LEFT(Sync!$AK871,4)&amp;MID(Sync!$AK871,6,2)&amp;RIGHT(Sync!$AK871,2))&amp;"|"&amp;"4"&amp;RIGHT("00000"&amp;866,5))</f>
        <v/>
      </c>
      <c r="W871">
        <f>IF($V871="",0,COUNTIFS($V$6:$V$2005,"&lt;"&amp;$V871)-COUNTIFS($V$6:$V$2005,"&lt;"&amp;$V871,$K$6:$K$2005,"")+1)</f>
        <v/>
      </c>
      <c r="X871">
        <f>IF(Sync!$AX871="","",IF(OR(N(Sync!$AY871)=0,N(Sync!$AZ871)=0),"",ROUND(N(Sync!$AY871)*N(Sync!$AZ871),0)))</f>
        <v/>
      </c>
      <c r="Y871">
        <f>IF($X871="","",IF(OR(Sync!$AX871="",COUNTIF(AcctCodesA,Sync!$AX871)=0),"متفرقه",Sync!$AX871))</f>
        <v/>
      </c>
      <c r="Z871">
        <f>IF($X871="","","سبد و ظروف")</f>
        <v/>
      </c>
      <c r="AA871">
        <f>IF($X871="","",$Y871)</f>
        <v/>
      </c>
    </row>
    <row r="872">
      <c r="A872">
        <f>IF(Sync!$Z872="","",LEFT(UPPER(TRIM(Sync!$Z872)),6))</f>
        <v/>
      </c>
      <c r="B872">
        <f>IF($A872="","",IF(Sync!$AA872="","",Sync!$AA872))</f>
        <v/>
      </c>
      <c r="C872">
        <f>IF($A872="","",IF(Sync!$AB872="","",Sync!$AB872))</f>
        <v/>
      </c>
      <c r="D872">
        <f>IF($A872="","",IF(Sync!$AC872="","",Sync!$AC872))</f>
        <v/>
      </c>
      <c r="E872">
        <f>IF($A872="","",IF(Sync!$AD872="","",Sync!$AD872))</f>
        <v/>
      </c>
      <c r="F872">
        <f>IF($A872="","",IF(Sync!$AE872="",0,Sync!$AE872))</f>
        <v/>
      </c>
      <c r="G872">
        <f>IF($A872="","",IF(Sync!$AF872="",0,Sync!$AF872))</f>
        <v/>
      </c>
      <c r="H872">
        <f>IF(OR($A872="",ROUND($F872+$G872,2)=0),"",$F872+$G872)</f>
        <v/>
      </c>
      <c r="I872">
        <f>IF($H872="","",IF(ROUND($F872,2)&gt;0,$A872,IF($D872="شخصی قاسم","شخصی قاسم",IF($D872="هزینه","هزینه: "&amp;IF($E872="","متفرقه",$E872),IF($C872="پاس چک","چک پرداختی",IF(OR($B872="",COUNTIF(AcctCodesA,$B872)=0),"متفرقه",$B872))))))</f>
        <v/>
      </c>
      <c r="J872">
        <f>IF($H872="","",IF(ROUND($F872,2)&gt;0,IF($D872="شخصی قاسم","شخصی قاسم",IF($D872="هزینه","هزینه: "&amp;IF($E872="","متفرقه",$E872),IF(OR($B872="",COUNTIF(AcctCodesA,$B872)=0),"متفرقه",$B872))),$A872))</f>
        <v/>
      </c>
      <c r="K872">
        <f>IF($A872="","",IF(AND($B872&lt;&gt;"",COUNTIF(AcctCodesA,$B872)=0),"کد طرف در INFO تعریف نشده",IF(AND($D872="هزینه",$E872=""),"هزینه بدون زیرگروه",IF(AND($C872="پاس چک",OR(Sync!$AJ872="",COUNTIF(IssueNosA,Sync!$AJ872)=0)),"شماره چک پاس‌شده معتبر نیست",""))))</f>
        <v/>
      </c>
      <c r="V872">
        <f>IF($K872="","",IF(ISNUMBER(Sync!$AK872),Sync!$AK872,LEFT(Sync!$AK872,4)&amp;MID(Sync!$AK872,6,2)&amp;RIGHT(Sync!$AK872,2))&amp;"|"&amp;"4"&amp;RIGHT("00000"&amp;867,5))</f>
        <v/>
      </c>
      <c r="W872">
        <f>IF($V872="",0,COUNTIFS($V$6:$V$2005,"&lt;"&amp;$V872)-COUNTIFS($V$6:$V$2005,"&lt;"&amp;$V872,$K$6:$K$2005,"")+1)</f>
        <v/>
      </c>
      <c r="X872">
        <f>IF(Sync!$AX872="","",IF(OR(N(Sync!$AY872)=0,N(Sync!$AZ872)=0),"",ROUND(N(Sync!$AY872)*N(Sync!$AZ872),0)))</f>
        <v/>
      </c>
      <c r="Y872">
        <f>IF($X872="","",IF(OR(Sync!$AX872="",COUNTIF(AcctCodesA,Sync!$AX872)=0),"متفرقه",Sync!$AX872))</f>
        <v/>
      </c>
      <c r="Z872">
        <f>IF($X872="","","سبد و ظروف")</f>
        <v/>
      </c>
      <c r="AA872">
        <f>IF($X872="","",$Y872)</f>
        <v/>
      </c>
    </row>
    <row r="873">
      <c r="A873">
        <f>IF(Sync!$Z873="","",LEFT(UPPER(TRIM(Sync!$Z873)),6))</f>
        <v/>
      </c>
      <c r="B873">
        <f>IF($A873="","",IF(Sync!$AA873="","",Sync!$AA873))</f>
        <v/>
      </c>
      <c r="C873">
        <f>IF($A873="","",IF(Sync!$AB873="","",Sync!$AB873))</f>
        <v/>
      </c>
      <c r="D873">
        <f>IF($A873="","",IF(Sync!$AC873="","",Sync!$AC873))</f>
        <v/>
      </c>
      <c r="E873">
        <f>IF($A873="","",IF(Sync!$AD873="","",Sync!$AD873))</f>
        <v/>
      </c>
      <c r="F873">
        <f>IF($A873="","",IF(Sync!$AE873="",0,Sync!$AE873))</f>
        <v/>
      </c>
      <c r="G873">
        <f>IF($A873="","",IF(Sync!$AF873="",0,Sync!$AF873))</f>
        <v/>
      </c>
      <c r="H873">
        <f>IF(OR($A873="",ROUND($F873+$G873,2)=0),"",$F873+$G873)</f>
        <v/>
      </c>
      <c r="I873">
        <f>IF($H873="","",IF(ROUND($F873,2)&gt;0,$A873,IF($D873="شخصی قاسم","شخصی قاسم",IF($D873="هزینه","هزینه: "&amp;IF($E873="","متفرقه",$E873),IF($C873="پاس چک","چک پرداختی",IF(OR($B873="",COUNTIF(AcctCodesA,$B873)=0),"متفرقه",$B873))))))</f>
        <v/>
      </c>
      <c r="J873">
        <f>IF($H873="","",IF(ROUND($F873,2)&gt;0,IF($D873="شخصی قاسم","شخصی قاسم",IF($D873="هزینه","هزینه: "&amp;IF($E873="","متفرقه",$E873),IF(OR($B873="",COUNTIF(AcctCodesA,$B873)=0),"متفرقه",$B873))),$A873))</f>
        <v/>
      </c>
      <c r="K873">
        <f>IF($A873="","",IF(AND($B873&lt;&gt;"",COUNTIF(AcctCodesA,$B873)=0),"کد طرف در INFO تعریف نشده",IF(AND($D873="هزینه",$E873=""),"هزینه بدون زیرگروه",IF(AND($C873="پاس چک",OR(Sync!$AJ873="",COUNTIF(IssueNosA,Sync!$AJ873)=0)),"شماره چک پاس‌شده معتبر نیست",""))))</f>
        <v/>
      </c>
      <c r="V873">
        <f>IF($K873="","",IF(ISNUMBER(Sync!$AK873),Sync!$AK873,LEFT(Sync!$AK873,4)&amp;MID(Sync!$AK873,6,2)&amp;RIGHT(Sync!$AK873,2))&amp;"|"&amp;"4"&amp;RIGHT("00000"&amp;868,5))</f>
        <v/>
      </c>
      <c r="W873">
        <f>IF($V873="",0,COUNTIFS($V$6:$V$2005,"&lt;"&amp;$V873)-COUNTIFS($V$6:$V$2005,"&lt;"&amp;$V873,$K$6:$K$2005,"")+1)</f>
        <v/>
      </c>
      <c r="X873">
        <f>IF(Sync!$AX873="","",IF(OR(N(Sync!$AY873)=0,N(Sync!$AZ873)=0),"",ROUND(N(Sync!$AY873)*N(Sync!$AZ873),0)))</f>
        <v/>
      </c>
      <c r="Y873">
        <f>IF($X873="","",IF(OR(Sync!$AX873="",COUNTIF(AcctCodesA,Sync!$AX873)=0),"متفرقه",Sync!$AX873))</f>
        <v/>
      </c>
      <c r="Z873">
        <f>IF($X873="","","سبد و ظروف")</f>
        <v/>
      </c>
      <c r="AA873">
        <f>IF($X873="","",$Y873)</f>
        <v/>
      </c>
    </row>
    <row r="874">
      <c r="A874">
        <f>IF(Sync!$Z874="","",LEFT(UPPER(TRIM(Sync!$Z874)),6))</f>
        <v/>
      </c>
      <c r="B874">
        <f>IF($A874="","",IF(Sync!$AA874="","",Sync!$AA874))</f>
        <v/>
      </c>
      <c r="C874">
        <f>IF($A874="","",IF(Sync!$AB874="","",Sync!$AB874))</f>
        <v/>
      </c>
      <c r="D874">
        <f>IF($A874="","",IF(Sync!$AC874="","",Sync!$AC874))</f>
        <v/>
      </c>
      <c r="E874">
        <f>IF($A874="","",IF(Sync!$AD874="","",Sync!$AD874))</f>
        <v/>
      </c>
      <c r="F874">
        <f>IF($A874="","",IF(Sync!$AE874="",0,Sync!$AE874))</f>
        <v/>
      </c>
      <c r="G874">
        <f>IF($A874="","",IF(Sync!$AF874="",0,Sync!$AF874))</f>
        <v/>
      </c>
      <c r="H874">
        <f>IF(OR($A874="",ROUND($F874+$G874,2)=0),"",$F874+$G874)</f>
        <v/>
      </c>
      <c r="I874">
        <f>IF($H874="","",IF(ROUND($F874,2)&gt;0,$A874,IF($D874="شخصی قاسم","شخصی قاسم",IF($D874="هزینه","هزینه: "&amp;IF($E874="","متفرقه",$E874),IF($C874="پاس چک","چک پرداختی",IF(OR($B874="",COUNTIF(AcctCodesA,$B874)=0),"متفرقه",$B874))))))</f>
        <v/>
      </c>
      <c r="J874">
        <f>IF($H874="","",IF(ROUND($F874,2)&gt;0,IF($D874="شخصی قاسم","شخصی قاسم",IF($D874="هزینه","هزینه: "&amp;IF($E874="","متفرقه",$E874),IF(OR($B874="",COUNTIF(AcctCodesA,$B874)=0),"متفرقه",$B874))),$A874))</f>
        <v/>
      </c>
      <c r="K874">
        <f>IF($A874="","",IF(AND($B874&lt;&gt;"",COUNTIF(AcctCodesA,$B874)=0),"کد طرف در INFO تعریف نشده",IF(AND($D874="هزینه",$E874=""),"هزینه بدون زیرگروه",IF(AND($C874="پاس چک",OR(Sync!$AJ874="",COUNTIF(IssueNosA,Sync!$AJ874)=0)),"شماره چک پاس‌شده معتبر نیست",""))))</f>
        <v/>
      </c>
      <c r="V874">
        <f>IF($K874="","",IF(ISNUMBER(Sync!$AK874),Sync!$AK874,LEFT(Sync!$AK874,4)&amp;MID(Sync!$AK874,6,2)&amp;RIGHT(Sync!$AK874,2))&amp;"|"&amp;"4"&amp;RIGHT("00000"&amp;869,5))</f>
        <v/>
      </c>
      <c r="W874">
        <f>IF($V874="",0,COUNTIFS($V$6:$V$2005,"&lt;"&amp;$V874)-COUNTIFS($V$6:$V$2005,"&lt;"&amp;$V874,$K$6:$K$2005,"")+1)</f>
        <v/>
      </c>
      <c r="X874">
        <f>IF(Sync!$AX874="","",IF(OR(N(Sync!$AY874)=0,N(Sync!$AZ874)=0),"",ROUND(N(Sync!$AY874)*N(Sync!$AZ874),0)))</f>
        <v/>
      </c>
      <c r="Y874">
        <f>IF($X874="","",IF(OR(Sync!$AX874="",COUNTIF(AcctCodesA,Sync!$AX874)=0),"متفرقه",Sync!$AX874))</f>
        <v/>
      </c>
      <c r="Z874">
        <f>IF($X874="","","سبد و ظروف")</f>
        <v/>
      </c>
      <c r="AA874">
        <f>IF($X874="","",$Y874)</f>
        <v/>
      </c>
    </row>
    <row r="875">
      <c r="A875">
        <f>IF(Sync!$Z875="","",LEFT(UPPER(TRIM(Sync!$Z875)),6))</f>
        <v/>
      </c>
      <c r="B875">
        <f>IF($A875="","",IF(Sync!$AA875="","",Sync!$AA875))</f>
        <v/>
      </c>
      <c r="C875">
        <f>IF($A875="","",IF(Sync!$AB875="","",Sync!$AB875))</f>
        <v/>
      </c>
      <c r="D875">
        <f>IF($A875="","",IF(Sync!$AC875="","",Sync!$AC875))</f>
        <v/>
      </c>
      <c r="E875">
        <f>IF($A875="","",IF(Sync!$AD875="","",Sync!$AD875))</f>
        <v/>
      </c>
      <c r="F875">
        <f>IF($A875="","",IF(Sync!$AE875="",0,Sync!$AE875))</f>
        <v/>
      </c>
      <c r="G875">
        <f>IF($A875="","",IF(Sync!$AF875="",0,Sync!$AF875))</f>
        <v/>
      </c>
      <c r="H875">
        <f>IF(OR($A875="",ROUND($F875+$G875,2)=0),"",$F875+$G875)</f>
        <v/>
      </c>
      <c r="I875">
        <f>IF($H875="","",IF(ROUND($F875,2)&gt;0,$A875,IF($D875="شخصی قاسم","شخصی قاسم",IF($D875="هزینه","هزینه: "&amp;IF($E875="","متفرقه",$E875),IF($C875="پاس چک","چک پرداختی",IF(OR($B875="",COUNTIF(AcctCodesA,$B875)=0),"متفرقه",$B875))))))</f>
        <v/>
      </c>
      <c r="J875">
        <f>IF($H875="","",IF(ROUND($F875,2)&gt;0,IF($D875="شخصی قاسم","شخصی قاسم",IF($D875="هزینه","هزینه: "&amp;IF($E875="","متفرقه",$E875),IF(OR($B875="",COUNTIF(AcctCodesA,$B875)=0),"متفرقه",$B875))),$A875))</f>
        <v/>
      </c>
      <c r="K875">
        <f>IF($A875="","",IF(AND($B875&lt;&gt;"",COUNTIF(AcctCodesA,$B875)=0),"کد طرف در INFO تعریف نشده",IF(AND($D875="هزینه",$E875=""),"هزینه بدون زیرگروه",IF(AND($C875="پاس چک",OR(Sync!$AJ875="",COUNTIF(IssueNosA,Sync!$AJ875)=0)),"شماره چک پاس‌شده معتبر نیست",""))))</f>
        <v/>
      </c>
      <c r="V875">
        <f>IF($K875="","",IF(ISNUMBER(Sync!$AK875),Sync!$AK875,LEFT(Sync!$AK875,4)&amp;MID(Sync!$AK875,6,2)&amp;RIGHT(Sync!$AK875,2))&amp;"|"&amp;"4"&amp;RIGHT("00000"&amp;870,5))</f>
        <v/>
      </c>
      <c r="W875">
        <f>IF($V875="",0,COUNTIFS($V$6:$V$2005,"&lt;"&amp;$V875)-COUNTIFS($V$6:$V$2005,"&lt;"&amp;$V875,$K$6:$K$2005,"")+1)</f>
        <v/>
      </c>
      <c r="X875">
        <f>IF(Sync!$AX875="","",IF(OR(N(Sync!$AY875)=0,N(Sync!$AZ875)=0),"",ROUND(N(Sync!$AY875)*N(Sync!$AZ875),0)))</f>
        <v/>
      </c>
      <c r="Y875">
        <f>IF($X875="","",IF(OR(Sync!$AX875="",COUNTIF(AcctCodesA,Sync!$AX875)=0),"متفرقه",Sync!$AX875))</f>
        <v/>
      </c>
      <c r="Z875">
        <f>IF($X875="","","سبد و ظروف")</f>
        <v/>
      </c>
      <c r="AA875">
        <f>IF($X875="","",$Y875)</f>
        <v/>
      </c>
    </row>
    <row r="876">
      <c r="A876">
        <f>IF(Sync!$Z876="","",LEFT(UPPER(TRIM(Sync!$Z876)),6))</f>
        <v/>
      </c>
      <c r="B876">
        <f>IF($A876="","",IF(Sync!$AA876="","",Sync!$AA876))</f>
        <v/>
      </c>
      <c r="C876">
        <f>IF($A876="","",IF(Sync!$AB876="","",Sync!$AB876))</f>
        <v/>
      </c>
      <c r="D876">
        <f>IF($A876="","",IF(Sync!$AC876="","",Sync!$AC876))</f>
        <v/>
      </c>
      <c r="E876">
        <f>IF($A876="","",IF(Sync!$AD876="","",Sync!$AD876))</f>
        <v/>
      </c>
      <c r="F876">
        <f>IF($A876="","",IF(Sync!$AE876="",0,Sync!$AE876))</f>
        <v/>
      </c>
      <c r="G876">
        <f>IF($A876="","",IF(Sync!$AF876="",0,Sync!$AF876))</f>
        <v/>
      </c>
      <c r="H876">
        <f>IF(OR($A876="",ROUND($F876+$G876,2)=0),"",$F876+$G876)</f>
        <v/>
      </c>
      <c r="I876">
        <f>IF($H876="","",IF(ROUND($F876,2)&gt;0,$A876,IF($D876="شخصی قاسم","شخصی قاسم",IF($D876="هزینه","هزینه: "&amp;IF($E876="","متفرقه",$E876),IF($C876="پاس چک","چک پرداختی",IF(OR($B876="",COUNTIF(AcctCodesA,$B876)=0),"متفرقه",$B876))))))</f>
        <v/>
      </c>
      <c r="J876">
        <f>IF($H876="","",IF(ROUND($F876,2)&gt;0,IF($D876="شخصی قاسم","شخصی قاسم",IF($D876="هزینه","هزینه: "&amp;IF($E876="","متفرقه",$E876),IF(OR($B876="",COUNTIF(AcctCodesA,$B876)=0),"متفرقه",$B876))),$A876))</f>
        <v/>
      </c>
      <c r="K876">
        <f>IF($A876="","",IF(AND($B876&lt;&gt;"",COUNTIF(AcctCodesA,$B876)=0),"کد طرف در INFO تعریف نشده",IF(AND($D876="هزینه",$E876=""),"هزینه بدون زیرگروه",IF(AND($C876="پاس چک",OR(Sync!$AJ876="",COUNTIF(IssueNosA,Sync!$AJ876)=0)),"شماره چک پاس‌شده معتبر نیست",""))))</f>
        <v/>
      </c>
      <c r="V876">
        <f>IF($K876="","",IF(ISNUMBER(Sync!$AK876),Sync!$AK876,LEFT(Sync!$AK876,4)&amp;MID(Sync!$AK876,6,2)&amp;RIGHT(Sync!$AK876,2))&amp;"|"&amp;"4"&amp;RIGHT("00000"&amp;871,5))</f>
        <v/>
      </c>
      <c r="W876">
        <f>IF($V876="",0,COUNTIFS($V$6:$V$2005,"&lt;"&amp;$V876)-COUNTIFS($V$6:$V$2005,"&lt;"&amp;$V876,$K$6:$K$2005,"")+1)</f>
        <v/>
      </c>
      <c r="X876">
        <f>IF(Sync!$AX876="","",IF(OR(N(Sync!$AY876)=0,N(Sync!$AZ876)=0),"",ROUND(N(Sync!$AY876)*N(Sync!$AZ876),0)))</f>
        <v/>
      </c>
      <c r="Y876">
        <f>IF($X876="","",IF(OR(Sync!$AX876="",COUNTIF(AcctCodesA,Sync!$AX876)=0),"متفرقه",Sync!$AX876))</f>
        <v/>
      </c>
      <c r="Z876">
        <f>IF($X876="","","سبد و ظروف")</f>
        <v/>
      </c>
      <c r="AA876">
        <f>IF($X876="","",$Y876)</f>
        <v/>
      </c>
    </row>
    <row r="877">
      <c r="A877">
        <f>IF(Sync!$Z877="","",LEFT(UPPER(TRIM(Sync!$Z877)),6))</f>
        <v/>
      </c>
      <c r="B877">
        <f>IF($A877="","",IF(Sync!$AA877="","",Sync!$AA877))</f>
        <v/>
      </c>
      <c r="C877">
        <f>IF($A877="","",IF(Sync!$AB877="","",Sync!$AB877))</f>
        <v/>
      </c>
      <c r="D877">
        <f>IF($A877="","",IF(Sync!$AC877="","",Sync!$AC877))</f>
        <v/>
      </c>
      <c r="E877">
        <f>IF($A877="","",IF(Sync!$AD877="","",Sync!$AD877))</f>
        <v/>
      </c>
      <c r="F877">
        <f>IF($A877="","",IF(Sync!$AE877="",0,Sync!$AE877))</f>
        <v/>
      </c>
      <c r="G877">
        <f>IF($A877="","",IF(Sync!$AF877="",0,Sync!$AF877))</f>
        <v/>
      </c>
      <c r="H877">
        <f>IF(OR($A877="",ROUND($F877+$G877,2)=0),"",$F877+$G877)</f>
        <v/>
      </c>
      <c r="I877">
        <f>IF($H877="","",IF(ROUND($F877,2)&gt;0,$A877,IF($D877="شخصی قاسم","شخصی قاسم",IF($D877="هزینه","هزینه: "&amp;IF($E877="","متفرقه",$E877),IF($C877="پاس چک","چک پرداختی",IF(OR($B877="",COUNTIF(AcctCodesA,$B877)=0),"متفرقه",$B877))))))</f>
        <v/>
      </c>
      <c r="J877">
        <f>IF($H877="","",IF(ROUND($F877,2)&gt;0,IF($D877="شخصی قاسم","شخصی قاسم",IF($D877="هزینه","هزینه: "&amp;IF($E877="","متفرقه",$E877),IF(OR($B877="",COUNTIF(AcctCodesA,$B877)=0),"متفرقه",$B877))),$A877))</f>
        <v/>
      </c>
      <c r="K877">
        <f>IF($A877="","",IF(AND($B877&lt;&gt;"",COUNTIF(AcctCodesA,$B877)=0),"کد طرف در INFO تعریف نشده",IF(AND($D877="هزینه",$E877=""),"هزینه بدون زیرگروه",IF(AND($C877="پاس چک",OR(Sync!$AJ877="",COUNTIF(IssueNosA,Sync!$AJ877)=0)),"شماره چک پاس‌شده معتبر نیست",""))))</f>
        <v/>
      </c>
      <c r="V877">
        <f>IF($K877="","",IF(ISNUMBER(Sync!$AK877),Sync!$AK877,LEFT(Sync!$AK877,4)&amp;MID(Sync!$AK877,6,2)&amp;RIGHT(Sync!$AK877,2))&amp;"|"&amp;"4"&amp;RIGHT("00000"&amp;872,5))</f>
        <v/>
      </c>
      <c r="W877">
        <f>IF($V877="",0,COUNTIFS($V$6:$V$2005,"&lt;"&amp;$V877)-COUNTIFS($V$6:$V$2005,"&lt;"&amp;$V877,$K$6:$K$2005,"")+1)</f>
        <v/>
      </c>
      <c r="X877">
        <f>IF(Sync!$AX877="","",IF(OR(N(Sync!$AY877)=0,N(Sync!$AZ877)=0),"",ROUND(N(Sync!$AY877)*N(Sync!$AZ877),0)))</f>
        <v/>
      </c>
      <c r="Y877">
        <f>IF($X877="","",IF(OR(Sync!$AX877="",COUNTIF(AcctCodesA,Sync!$AX877)=0),"متفرقه",Sync!$AX877))</f>
        <v/>
      </c>
      <c r="Z877">
        <f>IF($X877="","","سبد و ظروف")</f>
        <v/>
      </c>
      <c r="AA877">
        <f>IF($X877="","",$Y877)</f>
        <v/>
      </c>
    </row>
    <row r="878">
      <c r="A878">
        <f>IF(Sync!$Z878="","",LEFT(UPPER(TRIM(Sync!$Z878)),6))</f>
        <v/>
      </c>
      <c r="B878">
        <f>IF($A878="","",IF(Sync!$AA878="","",Sync!$AA878))</f>
        <v/>
      </c>
      <c r="C878">
        <f>IF($A878="","",IF(Sync!$AB878="","",Sync!$AB878))</f>
        <v/>
      </c>
      <c r="D878">
        <f>IF($A878="","",IF(Sync!$AC878="","",Sync!$AC878))</f>
        <v/>
      </c>
      <c r="E878">
        <f>IF($A878="","",IF(Sync!$AD878="","",Sync!$AD878))</f>
        <v/>
      </c>
      <c r="F878">
        <f>IF($A878="","",IF(Sync!$AE878="",0,Sync!$AE878))</f>
        <v/>
      </c>
      <c r="G878">
        <f>IF($A878="","",IF(Sync!$AF878="",0,Sync!$AF878))</f>
        <v/>
      </c>
      <c r="H878">
        <f>IF(OR($A878="",ROUND($F878+$G878,2)=0),"",$F878+$G878)</f>
        <v/>
      </c>
      <c r="I878">
        <f>IF($H878="","",IF(ROUND($F878,2)&gt;0,$A878,IF($D878="شخصی قاسم","شخصی قاسم",IF($D878="هزینه","هزینه: "&amp;IF($E878="","متفرقه",$E878),IF($C878="پاس چک","چک پرداختی",IF(OR($B878="",COUNTIF(AcctCodesA,$B878)=0),"متفرقه",$B878))))))</f>
        <v/>
      </c>
      <c r="J878">
        <f>IF($H878="","",IF(ROUND($F878,2)&gt;0,IF($D878="شخصی قاسم","شخصی قاسم",IF($D878="هزینه","هزینه: "&amp;IF($E878="","متفرقه",$E878),IF(OR($B878="",COUNTIF(AcctCodesA,$B878)=0),"متفرقه",$B878))),$A878))</f>
        <v/>
      </c>
      <c r="K878">
        <f>IF($A878="","",IF(AND($B878&lt;&gt;"",COUNTIF(AcctCodesA,$B878)=0),"کد طرف در INFO تعریف نشده",IF(AND($D878="هزینه",$E878=""),"هزینه بدون زیرگروه",IF(AND($C878="پاس چک",OR(Sync!$AJ878="",COUNTIF(IssueNosA,Sync!$AJ878)=0)),"شماره چک پاس‌شده معتبر نیست",""))))</f>
        <v/>
      </c>
      <c r="V878">
        <f>IF($K878="","",IF(ISNUMBER(Sync!$AK878),Sync!$AK878,LEFT(Sync!$AK878,4)&amp;MID(Sync!$AK878,6,2)&amp;RIGHT(Sync!$AK878,2))&amp;"|"&amp;"4"&amp;RIGHT("00000"&amp;873,5))</f>
        <v/>
      </c>
      <c r="W878">
        <f>IF($V878="",0,COUNTIFS($V$6:$V$2005,"&lt;"&amp;$V878)-COUNTIFS($V$6:$V$2005,"&lt;"&amp;$V878,$K$6:$K$2005,"")+1)</f>
        <v/>
      </c>
      <c r="X878">
        <f>IF(Sync!$AX878="","",IF(OR(N(Sync!$AY878)=0,N(Sync!$AZ878)=0),"",ROUND(N(Sync!$AY878)*N(Sync!$AZ878),0)))</f>
        <v/>
      </c>
      <c r="Y878">
        <f>IF($X878="","",IF(OR(Sync!$AX878="",COUNTIF(AcctCodesA,Sync!$AX878)=0),"متفرقه",Sync!$AX878))</f>
        <v/>
      </c>
      <c r="Z878">
        <f>IF($X878="","","سبد و ظروف")</f>
        <v/>
      </c>
      <c r="AA878">
        <f>IF($X878="","",$Y878)</f>
        <v/>
      </c>
    </row>
    <row r="879">
      <c r="A879">
        <f>IF(Sync!$Z879="","",LEFT(UPPER(TRIM(Sync!$Z879)),6))</f>
        <v/>
      </c>
      <c r="B879">
        <f>IF($A879="","",IF(Sync!$AA879="","",Sync!$AA879))</f>
        <v/>
      </c>
      <c r="C879">
        <f>IF($A879="","",IF(Sync!$AB879="","",Sync!$AB879))</f>
        <v/>
      </c>
      <c r="D879">
        <f>IF($A879="","",IF(Sync!$AC879="","",Sync!$AC879))</f>
        <v/>
      </c>
      <c r="E879">
        <f>IF($A879="","",IF(Sync!$AD879="","",Sync!$AD879))</f>
        <v/>
      </c>
      <c r="F879">
        <f>IF($A879="","",IF(Sync!$AE879="",0,Sync!$AE879))</f>
        <v/>
      </c>
      <c r="G879">
        <f>IF($A879="","",IF(Sync!$AF879="",0,Sync!$AF879))</f>
        <v/>
      </c>
      <c r="H879">
        <f>IF(OR($A879="",ROUND($F879+$G879,2)=0),"",$F879+$G879)</f>
        <v/>
      </c>
      <c r="I879">
        <f>IF($H879="","",IF(ROUND($F879,2)&gt;0,$A879,IF($D879="شخصی قاسم","شخصی قاسم",IF($D879="هزینه","هزینه: "&amp;IF($E879="","متفرقه",$E879),IF($C879="پاس چک","چک پرداختی",IF(OR($B879="",COUNTIF(AcctCodesA,$B879)=0),"متفرقه",$B879))))))</f>
        <v/>
      </c>
      <c r="J879">
        <f>IF($H879="","",IF(ROUND($F879,2)&gt;0,IF($D879="شخصی قاسم","شخصی قاسم",IF($D879="هزینه","هزینه: "&amp;IF($E879="","متفرقه",$E879),IF(OR($B879="",COUNTIF(AcctCodesA,$B879)=0),"متفرقه",$B879))),$A879))</f>
        <v/>
      </c>
      <c r="K879">
        <f>IF($A879="","",IF(AND($B879&lt;&gt;"",COUNTIF(AcctCodesA,$B879)=0),"کد طرف در INFO تعریف نشده",IF(AND($D879="هزینه",$E879=""),"هزینه بدون زیرگروه",IF(AND($C879="پاس چک",OR(Sync!$AJ879="",COUNTIF(IssueNosA,Sync!$AJ879)=0)),"شماره چک پاس‌شده معتبر نیست",""))))</f>
        <v/>
      </c>
      <c r="V879">
        <f>IF($K879="","",IF(ISNUMBER(Sync!$AK879),Sync!$AK879,LEFT(Sync!$AK879,4)&amp;MID(Sync!$AK879,6,2)&amp;RIGHT(Sync!$AK879,2))&amp;"|"&amp;"4"&amp;RIGHT("00000"&amp;874,5))</f>
        <v/>
      </c>
      <c r="W879">
        <f>IF($V879="",0,COUNTIFS($V$6:$V$2005,"&lt;"&amp;$V879)-COUNTIFS($V$6:$V$2005,"&lt;"&amp;$V879,$K$6:$K$2005,"")+1)</f>
        <v/>
      </c>
      <c r="X879">
        <f>IF(Sync!$AX879="","",IF(OR(N(Sync!$AY879)=0,N(Sync!$AZ879)=0),"",ROUND(N(Sync!$AY879)*N(Sync!$AZ879),0)))</f>
        <v/>
      </c>
      <c r="Y879">
        <f>IF($X879="","",IF(OR(Sync!$AX879="",COUNTIF(AcctCodesA,Sync!$AX879)=0),"متفرقه",Sync!$AX879))</f>
        <v/>
      </c>
      <c r="Z879">
        <f>IF($X879="","","سبد و ظروف")</f>
        <v/>
      </c>
      <c r="AA879">
        <f>IF($X879="","",$Y879)</f>
        <v/>
      </c>
    </row>
    <row r="880">
      <c r="A880">
        <f>IF(Sync!$Z880="","",LEFT(UPPER(TRIM(Sync!$Z880)),6))</f>
        <v/>
      </c>
      <c r="B880">
        <f>IF($A880="","",IF(Sync!$AA880="","",Sync!$AA880))</f>
        <v/>
      </c>
      <c r="C880">
        <f>IF($A880="","",IF(Sync!$AB880="","",Sync!$AB880))</f>
        <v/>
      </c>
      <c r="D880">
        <f>IF($A880="","",IF(Sync!$AC880="","",Sync!$AC880))</f>
        <v/>
      </c>
      <c r="E880">
        <f>IF($A880="","",IF(Sync!$AD880="","",Sync!$AD880))</f>
        <v/>
      </c>
      <c r="F880">
        <f>IF($A880="","",IF(Sync!$AE880="",0,Sync!$AE880))</f>
        <v/>
      </c>
      <c r="G880">
        <f>IF($A880="","",IF(Sync!$AF880="",0,Sync!$AF880))</f>
        <v/>
      </c>
      <c r="H880">
        <f>IF(OR($A880="",ROUND($F880+$G880,2)=0),"",$F880+$G880)</f>
        <v/>
      </c>
      <c r="I880">
        <f>IF($H880="","",IF(ROUND($F880,2)&gt;0,$A880,IF($D880="شخصی قاسم","شخصی قاسم",IF($D880="هزینه","هزینه: "&amp;IF($E880="","متفرقه",$E880),IF($C880="پاس چک","چک پرداختی",IF(OR($B880="",COUNTIF(AcctCodesA,$B880)=0),"متفرقه",$B880))))))</f>
        <v/>
      </c>
      <c r="J880">
        <f>IF($H880="","",IF(ROUND($F880,2)&gt;0,IF($D880="شخصی قاسم","شخصی قاسم",IF($D880="هزینه","هزینه: "&amp;IF($E880="","متفرقه",$E880),IF(OR($B880="",COUNTIF(AcctCodesA,$B880)=0),"متفرقه",$B880))),$A880))</f>
        <v/>
      </c>
      <c r="K880">
        <f>IF($A880="","",IF(AND($B880&lt;&gt;"",COUNTIF(AcctCodesA,$B880)=0),"کد طرف در INFO تعریف نشده",IF(AND($D880="هزینه",$E880=""),"هزینه بدون زیرگروه",IF(AND($C880="پاس چک",OR(Sync!$AJ880="",COUNTIF(IssueNosA,Sync!$AJ880)=0)),"شماره چک پاس‌شده معتبر نیست",""))))</f>
        <v/>
      </c>
      <c r="V880">
        <f>IF($K880="","",IF(ISNUMBER(Sync!$AK880),Sync!$AK880,LEFT(Sync!$AK880,4)&amp;MID(Sync!$AK880,6,2)&amp;RIGHT(Sync!$AK880,2))&amp;"|"&amp;"4"&amp;RIGHT("00000"&amp;875,5))</f>
        <v/>
      </c>
      <c r="W880">
        <f>IF($V880="",0,COUNTIFS($V$6:$V$2005,"&lt;"&amp;$V880)-COUNTIFS($V$6:$V$2005,"&lt;"&amp;$V880,$K$6:$K$2005,"")+1)</f>
        <v/>
      </c>
      <c r="X880">
        <f>IF(Sync!$AX880="","",IF(OR(N(Sync!$AY880)=0,N(Sync!$AZ880)=0),"",ROUND(N(Sync!$AY880)*N(Sync!$AZ880),0)))</f>
        <v/>
      </c>
      <c r="Y880">
        <f>IF($X880="","",IF(OR(Sync!$AX880="",COUNTIF(AcctCodesA,Sync!$AX880)=0),"متفرقه",Sync!$AX880))</f>
        <v/>
      </c>
      <c r="Z880">
        <f>IF($X880="","","سبد و ظروف")</f>
        <v/>
      </c>
      <c r="AA880">
        <f>IF($X880="","",$Y880)</f>
        <v/>
      </c>
    </row>
    <row r="881">
      <c r="A881">
        <f>IF(Sync!$Z881="","",LEFT(UPPER(TRIM(Sync!$Z881)),6))</f>
        <v/>
      </c>
      <c r="B881">
        <f>IF($A881="","",IF(Sync!$AA881="","",Sync!$AA881))</f>
        <v/>
      </c>
      <c r="C881">
        <f>IF($A881="","",IF(Sync!$AB881="","",Sync!$AB881))</f>
        <v/>
      </c>
      <c r="D881">
        <f>IF($A881="","",IF(Sync!$AC881="","",Sync!$AC881))</f>
        <v/>
      </c>
      <c r="E881">
        <f>IF($A881="","",IF(Sync!$AD881="","",Sync!$AD881))</f>
        <v/>
      </c>
      <c r="F881">
        <f>IF($A881="","",IF(Sync!$AE881="",0,Sync!$AE881))</f>
        <v/>
      </c>
      <c r="G881">
        <f>IF($A881="","",IF(Sync!$AF881="",0,Sync!$AF881))</f>
        <v/>
      </c>
      <c r="H881">
        <f>IF(OR($A881="",ROUND($F881+$G881,2)=0),"",$F881+$G881)</f>
        <v/>
      </c>
      <c r="I881">
        <f>IF($H881="","",IF(ROUND($F881,2)&gt;0,$A881,IF($D881="شخصی قاسم","شخصی قاسم",IF($D881="هزینه","هزینه: "&amp;IF($E881="","متفرقه",$E881),IF($C881="پاس چک","چک پرداختی",IF(OR($B881="",COUNTIF(AcctCodesA,$B881)=0),"متفرقه",$B881))))))</f>
        <v/>
      </c>
      <c r="J881">
        <f>IF($H881="","",IF(ROUND($F881,2)&gt;0,IF($D881="شخصی قاسم","شخصی قاسم",IF($D881="هزینه","هزینه: "&amp;IF($E881="","متفرقه",$E881),IF(OR($B881="",COUNTIF(AcctCodesA,$B881)=0),"متفرقه",$B881))),$A881))</f>
        <v/>
      </c>
      <c r="K881">
        <f>IF($A881="","",IF(AND($B881&lt;&gt;"",COUNTIF(AcctCodesA,$B881)=0),"کد طرف در INFO تعریف نشده",IF(AND($D881="هزینه",$E881=""),"هزینه بدون زیرگروه",IF(AND($C881="پاس چک",OR(Sync!$AJ881="",COUNTIF(IssueNosA,Sync!$AJ881)=0)),"شماره چک پاس‌شده معتبر نیست",""))))</f>
        <v/>
      </c>
      <c r="V881">
        <f>IF($K881="","",IF(ISNUMBER(Sync!$AK881),Sync!$AK881,LEFT(Sync!$AK881,4)&amp;MID(Sync!$AK881,6,2)&amp;RIGHT(Sync!$AK881,2))&amp;"|"&amp;"4"&amp;RIGHT("00000"&amp;876,5))</f>
        <v/>
      </c>
      <c r="W881">
        <f>IF($V881="",0,COUNTIFS($V$6:$V$2005,"&lt;"&amp;$V881)-COUNTIFS($V$6:$V$2005,"&lt;"&amp;$V881,$K$6:$K$2005,"")+1)</f>
        <v/>
      </c>
      <c r="X881">
        <f>IF(Sync!$AX881="","",IF(OR(N(Sync!$AY881)=0,N(Sync!$AZ881)=0),"",ROUND(N(Sync!$AY881)*N(Sync!$AZ881),0)))</f>
        <v/>
      </c>
      <c r="Y881">
        <f>IF($X881="","",IF(OR(Sync!$AX881="",COUNTIF(AcctCodesA,Sync!$AX881)=0),"متفرقه",Sync!$AX881))</f>
        <v/>
      </c>
      <c r="Z881">
        <f>IF($X881="","","سبد و ظروف")</f>
        <v/>
      </c>
      <c r="AA881">
        <f>IF($X881="","",$Y881)</f>
        <v/>
      </c>
    </row>
    <row r="882">
      <c r="A882">
        <f>IF(Sync!$Z882="","",LEFT(UPPER(TRIM(Sync!$Z882)),6))</f>
        <v/>
      </c>
      <c r="B882">
        <f>IF($A882="","",IF(Sync!$AA882="","",Sync!$AA882))</f>
        <v/>
      </c>
      <c r="C882">
        <f>IF($A882="","",IF(Sync!$AB882="","",Sync!$AB882))</f>
        <v/>
      </c>
      <c r="D882">
        <f>IF($A882="","",IF(Sync!$AC882="","",Sync!$AC882))</f>
        <v/>
      </c>
      <c r="E882">
        <f>IF($A882="","",IF(Sync!$AD882="","",Sync!$AD882))</f>
        <v/>
      </c>
      <c r="F882">
        <f>IF($A882="","",IF(Sync!$AE882="",0,Sync!$AE882))</f>
        <v/>
      </c>
      <c r="G882">
        <f>IF($A882="","",IF(Sync!$AF882="",0,Sync!$AF882))</f>
        <v/>
      </c>
      <c r="H882">
        <f>IF(OR($A882="",ROUND($F882+$G882,2)=0),"",$F882+$G882)</f>
        <v/>
      </c>
      <c r="I882">
        <f>IF($H882="","",IF(ROUND($F882,2)&gt;0,$A882,IF($D882="شخصی قاسم","شخصی قاسم",IF($D882="هزینه","هزینه: "&amp;IF($E882="","متفرقه",$E882),IF($C882="پاس چک","چک پرداختی",IF(OR($B882="",COUNTIF(AcctCodesA,$B882)=0),"متفرقه",$B882))))))</f>
        <v/>
      </c>
      <c r="J882">
        <f>IF($H882="","",IF(ROUND($F882,2)&gt;0,IF($D882="شخصی قاسم","شخصی قاسم",IF($D882="هزینه","هزینه: "&amp;IF($E882="","متفرقه",$E882),IF(OR($B882="",COUNTIF(AcctCodesA,$B882)=0),"متفرقه",$B882))),$A882))</f>
        <v/>
      </c>
      <c r="K882">
        <f>IF($A882="","",IF(AND($B882&lt;&gt;"",COUNTIF(AcctCodesA,$B882)=0),"کد طرف در INFO تعریف نشده",IF(AND($D882="هزینه",$E882=""),"هزینه بدون زیرگروه",IF(AND($C882="پاس چک",OR(Sync!$AJ882="",COUNTIF(IssueNosA,Sync!$AJ882)=0)),"شماره چک پاس‌شده معتبر نیست",""))))</f>
        <v/>
      </c>
      <c r="V882">
        <f>IF($K882="","",IF(ISNUMBER(Sync!$AK882),Sync!$AK882,LEFT(Sync!$AK882,4)&amp;MID(Sync!$AK882,6,2)&amp;RIGHT(Sync!$AK882,2))&amp;"|"&amp;"4"&amp;RIGHT("00000"&amp;877,5))</f>
        <v/>
      </c>
      <c r="W882">
        <f>IF($V882="",0,COUNTIFS($V$6:$V$2005,"&lt;"&amp;$V882)-COUNTIFS($V$6:$V$2005,"&lt;"&amp;$V882,$K$6:$K$2005,"")+1)</f>
        <v/>
      </c>
      <c r="X882">
        <f>IF(Sync!$AX882="","",IF(OR(N(Sync!$AY882)=0,N(Sync!$AZ882)=0),"",ROUND(N(Sync!$AY882)*N(Sync!$AZ882),0)))</f>
        <v/>
      </c>
      <c r="Y882">
        <f>IF($X882="","",IF(OR(Sync!$AX882="",COUNTIF(AcctCodesA,Sync!$AX882)=0),"متفرقه",Sync!$AX882))</f>
        <v/>
      </c>
      <c r="Z882">
        <f>IF($X882="","","سبد و ظروف")</f>
        <v/>
      </c>
      <c r="AA882">
        <f>IF($X882="","",$Y882)</f>
        <v/>
      </c>
    </row>
    <row r="883">
      <c r="A883">
        <f>IF(Sync!$Z883="","",LEFT(UPPER(TRIM(Sync!$Z883)),6))</f>
        <v/>
      </c>
      <c r="B883">
        <f>IF($A883="","",IF(Sync!$AA883="","",Sync!$AA883))</f>
        <v/>
      </c>
      <c r="C883">
        <f>IF($A883="","",IF(Sync!$AB883="","",Sync!$AB883))</f>
        <v/>
      </c>
      <c r="D883">
        <f>IF($A883="","",IF(Sync!$AC883="","",Sync!$AC883))</f>
        <v/>
      </c>
      <c r="E883">
        <f>IF($A883="","",IF(Sync!$AD883="","",Sync!$AD883))</f>
        <v/>
      </c>
      <c r="F883">
        <f>IF($A883="","",IF(Sync!$AE883="",0,Sync!$AE883))</f>
        <v/>
      </c>
      <c r="G883">
        <f>IF($A883="","",IF(Sync!$AF883="",0,Sync!$AF883))</f>
        <v/>
      </c>
      <c r="H883">
        <f>IF(OR($A883="",ROUND($F883+$G883,2)=0),"",$F883+$G883)</f>
        <v/>
      </c>
      <c r="I883">
        <f>IF($H883="","",IF(ROUND($F883,2)&gt;0,$A883,IF($D883="شخصی قاسم","شخصی قاسم",IF($D883="هزینه","هزینه: "&amp;IF($E883="","متفرقه",$E883),IF($C883="پاس چک","چک پرداختی",IF(OR($B883="",COUNTIF(AcctCodesA,$B883)=0),"متفرقه",$B883))))))</f>
        <v/>
      </c>
      <c r="J883">
        <f>IF($H883="","",IF(ROUND($F883,2)&gt;0,IF($D883="شخصی قاسم","شخصی قاسم",IF($D883="هزینه","هزینه: "&amp;IF($E883="","متفرقه",$E883),IF(OR($B883="",COUNTIF(AcctCodesA,$B883)=0),"متفرقه",$B883))),$A883))</f>
        <v/>
      </c>
      <c r="K883">
        <f>IF($A883="","",IF(AND($B883&lt;&gt;"",COUNTIF(AcctCodesA,$B883)=0),"کد طرف در INFO تعریف نشده",IF(AND($D883="هزینه",$E883=""),"هزینه بدون زیرگروه",IF(AND($C883="پاس چک",OR(Sync!$AJ883="",COUNTIF(IssueNosA,Sync!$AJ883)=0)),"شماره چک پاس‌شده معتبر نیست",""))))</f>
        <v/>
      </c>
      <c r="V883">
        <f>IF($K883="","",IF(ISNUMBER(Sync!$AK883),Sync!$AK883,LEFT(Sync!$AK883,4)&amp;MID(Sync!$AK883,6,2)&amp;RIGHT(Sync!$AK883,2))&amp;"|"&amp;"4"&amp;RIGHT("00000"&amp;878,5))</f>
        <v/>
      </c>
      <c r="W883">
        <f>IF($V883="",0,COUNTIFS($V$6:$V$2005,"&lt;"&amp;$V883)-COUNTIFS($V$6:$V$2005,"&lt;"&amp;$V883,$K$6:$K$2005,"")+1)</f>
        <v/>
      </c>
      <c r="X883">
        <f>IF(Sync!$AX883="","",IF(OR(N(Sync!$AY883)=0,N(Sync!$AZ883)=0),"",ROUND(N(Sync!$AY883)*N(Sync!$AZ883),0)))</f>
        <v/>
      </c>
      <c r="Y883">
        <f>IF($X883="","",IF(OR(Sync!$AX883="",COUNTIF(AcctCodesA,Sync!$AX883)=0),"متفرقه",Sync!$AX883))</f>
        <v/>
      </c>
      <c r="Z883">
        <f>IF($X883="","","سبد و ظروف")</f>
        <v/>
      </c>
      <c r="AA883">
        <f>IF($X883="","",$Y883)</f>
        <v/>
      </c>
    </row>
    <row r="884">
      <c r="A884">
        <f>IF(Sync!$Z884="","",LEFT(UPPER(TRIM(Sync!$Z884)),6))</f>
        <v/>
      </c>
      <c r="B884">
        <f>IF($A884="","",IF(Sync!$AA884="","",Sync!$AA884))</f>
        <v/>
      </c>
      <c r="C884">
        <f>IF($A884="","",IF(Sync!$AB884="","",Sync!$AB884))</f>
        <v/>
      </c>
      <c r="D884">
        <f>IF($A884="","",IF(Sync!$AC884="","",Sync!$AC884))</f>
        <v/>
      </c>
      <c r="E884">
        <f>IF($A884="","",IF(Sync!$AD884="","",Sync!$AD884))</f>
        <v/>
      </c>
      <c r="F884">
        <f>IF($A884="","",IF(Sync!$AE884="",0,Sync!$AE884))</f>
        <v/>
      </c>
      <c r="G884">
        <f>IF($A884="","",IF(Sync!$AF884="",0,Sync!$AF884))</f>
        <v/>
      </c>
      <c r="H884">
        <f>IF(OR($A884="",ROUND($F884+$G884,2)=0),"",$F884+$G884)</f>
        <v/>
      </c>
      <c r="I884">
        <f>IF($H884="","",IF(ROUND($F884,2)&gt;0,$A884,IF($D884="شخصی قاسم","شخصی قاسم",IF($D884="هزینه","هزینه: "&amp;IF($E884="","متفرقه",$E884),IF($C884="پاس چک","چک پرداختی",IF(OR($B884="",COUNTIF(AcctCodesA,$B884)=0),"متفرقه",$B884))))))</f>
        <v/>
      </c>
      <c r="J884">
        <f>IF($H884="","",IF(ROUND($F884,2)&gt;0,IF($D884="شخصی قاسم","شخصی قاسم",IF($D884="هزینه","هزینه: "&amp;IF($E884="","متفرقه",$E884),IF(OR($B884="",COUNTIF(AcctCodesA,$B884)=0),"متفرقه",$B884))),$A884))</f>
        <v/>
      </c>
      <c r="K884">
        <f>IF($A884="","",IF(AND($B884&lt;&gt;"",COUNTIF(AcctCodesA,$B884)=0),"کد طرف در INFO تعریف نشده",IF(AND($D884="هزینه",$E884=""),"هزینه بدون زیرگروه",IF(AND($C884="پاس چک",OR(Sync!$AJ884="",COUNTIF(IssueNosA,Sync!$AJ884)=0)),"شماره چک پاس‌شده معتبر نیست",""))))</f>
        <v/>
      </c>
      <c r="V884">
        <f>IF($K884="","",IF(ISNUMBER(Sync!$AK884),Sync!$AK884,LEFT(Sync!$AK884,4)&amp;MID(Sync!$AK884,6,2)&amp;RIGHT(Sync!$AK884,2))&amp;"|"&amp;"4"&amp;RIGHT("00000"&amp;879,5))</f>
        <v/>
      </c>
      <c r="W884">
        <f>IF($V884="",0,COUNTIFS($V$6:$V$2005,"&lt;"&amp;$V884)-COUNTIFS($V$6:$V$2005,"&lt;"&amp;$V884,$K$6:$K$2005,"")+1)</f>
        <v/>
      </c>
      <c r="X884">
        <f>IF(Sync!$AX884="","",IF(OR(N(Sync!$AY884)=0,N(Sync!$AZ884)=0),"",ROUND(N(Sync!$AY884)*N(Sync!$AZ884),0)))</f>
        <v/>
      </c>
      <c r="Y884">
        <f>IF($X884="","",IF(OR(Sync!$AX884="",COUNTIF(AcctCodesA,Sync!$AX884)=0),"متفرقه",Sync!$AX884))</f>
        <v/>
      </c>
      <c r="Z884">
        <f>IF($X884="","","سبد و ظروف")</f>
        <v/>
      </c>
      <c r="AA884">
        <f>IF($X884="","",$Y884)</f>
        <v/>
      </c>
    </row>
    <row r="885">
      <c r="A885">
        <f>IF(Sync!$Z885="","",LEFT(UPPER(TRIM(Sync!$Z885)),6))</f>
        <v/>
      </c>
      <c r="B885">
        <f>IF($A885="","",IF(Sync!$AA885="","",Sync!$AA885))</f>
        <v/>
      </c>
      <c r="C885">
        <f>IF($A885="","",IF(Sync!$AB885="","",Sync!$AB885))</f>
        <v/>
      </c>
      <c r="D885">
        <f>IF($A885="","",IF(Sync!$AC885="","",Sync!$AC885))</f>
        <v/>
      </c>
      <c r="E885">
        <f>IF($A885="","",IF(Sync!$AD885="","",Sync!$AD885))</f>
        <v/>
      </c>
      <c r="F885">
        <f>IF($A885="","",IF(Sync!$AE885="",0,Sync!$AE885))</f>
        <v/>
      </c>
      <c r="G885">
        <f>IF($A885="","",IF(Sync!$AF885="",0,Sync!$AF885))</f>
        <v/>
      </c>
      <c r="H885">
        <f>IF(OR($A885="",ROUND($F885+$G885,2)=0),"",$F885+$G885)</f>
        <v/>
      </c>
      <c r="I885">
        <f>IF($H885="","",IF(ROUND($F885,2)&gt;0,$A885,IF($D885="شخصی قاسم","شخصی قاسم",IF($D885="هزینه","هزینه: "&amp;IF($E885="","متفرقه",$E885),IF($C885="پاس چک","چک پرداختی",IF(OR($B885="",COUNTIF(AcctCodesA,$B885)=0),"متفرقه",$B885))))))</f>
        <v/>
      </c>
      <c r="J885">
        <f>IF($H885="","",IF(ROUND($F885,2)&gt;0,IF($D885="شخصی قاسم","شخصی قاسم",IF($D885="هزینه","هزینه: "&amp;IF($E885="","متفرقه",$E885),IF(OR($B885="",COUNTIF(AcctCodesA,$B885)=0),"متفرقه",$B885))),$A885))</f>
        <v/>
      </c>
      <c r="K885">
        <f>IF($A885="","",IF(AND($B885&lt;&gt;"",COUNTIF(AcctCodesA,$B885)=0),"کد طرف در INFO تعریف نشده",IF(AND($D885="هزینه",$E885=""),"هزینه بدون زیرگروه",IF(AND($C885="پاس چک",OR(Sync!$AJ885="",COUNTIF(IssueNosA,Sync!$AJ885)=0)),"شماره چک پاس‌شده معتبر نیست",""))))</f>
        <v/>
      </c>
      <c r="V885">
        <f>IF($K885="","",IF(ISNUMBER(Sync!$AK885),Sync!$AK885,LEFT(Sync!$AK885,4)&amp;MID(Sync!$AK885,6,2)&amp;RIGHT(Sync!$AK885,2))&amp;"|"&amp;"4"&amp;RIGHT("00000"&amp;880,5))</f>
        <v/>
      </c>
      <c r="W885">
        <f>IF($V885="",0,COUNTIFS($V$6:$V$2005,"&lt;"&amp;$V885)-COUNTIFS($V$6:$V$2005,"&lt;"&amp;$V885,$K$6:$K$2005,"")+1)</f>
        <v/>
      </c>
      <c r="X885">
        <f>IF(Sync!$AX885="","",IF(OR(N(Sync!$AY885)=0,N(Sync!$AZ885)=0),"",ROUND(N(Sync!$AY885)*N(Sync!$AZ885),0)))</f>
        <v/>
      </c>
      <c r="Y885">
        <f>IF($X885="","",IF(OR(Sync!$AX885="",COUNTIF(AcctCodesA,Sync!$AX885)=0),"متفرقه",Sync!$AX885))</f>
        <v/>
      </c>
      <c r="Z885">
        <f>IF($X885="","","سبد و ظروف")</f>
        <v/>
      </c>
      <c r="AA885">
        <f>IF($X885="","",$Y885)</f>
        <v/>
      </c>
    </row>
    <row r="886">
      <c r="A886">
        <f>IF(Sync!$Z886="","",LEFT(UPPER(TRIM(Sync!$Z886)),6))</f>
        <v/>
      </c>
      <c r="B886">
        <f>IF($A886="","",IF(Sync!$AA886="","",Sync!$AA886))</f>
        <v/>
      </c>
      <c r="C886">
        <f>IF($A886="","",IF(Sync!$AB886="","",Sync!$AB886))</f>
        <v/>
      </c>
      <c r="D886">
        <f>IF($A886="","",IF(Sync!$AC886="","",Sync!$AC886))</f>
        <v/>
      </c>
      <c r="E886">
        <f>IF($A886="","",IF(Sync!$AD886="","",Sync!$AD886))</f>
        <v/>
      </c>
      <c r="F886">
        <f>IF($A886="","",IF(Sync!$AE886="",0,Sync!$AE886))</f>
        <v/>
      </c>
      <c r="G886">
        <f>IF($A886="","",IF(Sync!$AF886="",0,Sync!$AF886))</f>
        <v/>
      </c>
      <c r="H886">
        <f>IF(OR($A886="",ROUND($F886+$G886,2)=0),"",$F886+$G886)</f>
        <v/>
      </c>
      <c r="I886">
        <f>IF($H886="","",IF(ROUND($F886,2)&gt;0,$A886,IF($D886="شخصی قاسم","شخصی قاسم",IF($D886="هزینه","هزینه: "&amp;IF($E886="","متفرقه",$E886),IF($C886="پاس چک","چک پرداختی",IF(OR($B886="",COUNTIF(AcctCodesA,$B886)=0),"متفرقه",$B886))))))</f>
        <v/>
      </c>
      <c r="J886">
        <f>IF($H886="","",IF(ROUND($F886,2)&gt;0,IF($D886="شخصی قاسم","شخصی قاسم",IF($D886="هزینه","هزینه: "&amp;IF($E886="","متفرقه",$E886),IF(OR($B886="",COUNTIF(AcctCodesA,$B886)=0),"متفرقه",$B886))),$A886))</f>
        <v/>
      </c>
      <c r="K886">
        <f>IF($A886="","",IF(AND($B886&lt;&gt;"",COUNTIF(AcctCodesA,$B886)=0),"کد طرف در INFO تعریف نشده",IF(AND($D886="هزینه",$E886=""),"هزینه بدون زیرگروه",IF(AND($C886="پاس چک",OR(Sync!$AJ886="",COUNTIF(IssueNosA,Sync!$AJ886)=0)),"شماره چک پاس‌شده معتبر نیست",""))))</f>
        <v/>
      </c>
      <c r="V886">
        <f>IF($K886="","",IF(ISNUMBER(Sync!$AK886),Sync!$AK886,LEFT(Sync!$AK886,4)&amp;MID(Sync!$AK886,6,2)&amp;RIGHT(Sync!$AK886,2))&amp;"|"&amp;"4"&amp;RIGHT("00000"&amp;881,5))</f>
        <v/>
      </c>
      <c r="W886">
        <f>IF($V886="",0,COUNTIFS($V$6:$V$2005,"&lt;"&amp;$V886)-COUNTIFS($V$6:$V$2005,"&lt;"&amp;$V886,$K$6:$K$2005,"")+1)</f>
        <v/>
      </c>
      <c r="X886">
        <f>IF(Sync!$AX886="","",IF(OR(N(Sync!$AY886)=0,N(Sync!$AZ886)=0),"",ROUND(N(Sync!$AY886)*N(Sync!$AZ886),0)))</f>
        <v/>
      </c>
      <c r="Y886">
        <f>IF($X886="","",IF(OR(Sync!$AX886="",COUNTIF(AcctCodesA,Sync!$AX886)=0),"متفرقه",Sync!$AX886))</f>
        <v/>
      </c>
      <c r="Z886">
        <f>IF($X886="","","سبد و ظروف")</f>
        <v/>
      </c>
      <c r="AA886">
        <f>IF($X886="","",$Y886)</f>
        <v/>
      </c>
    </row>
    <row r="887">
      <c r="A887">
        <f>IF(Sync!$Z887="","",LEFT(UPPER(TRIM(Sync!$Z887)),6))</f>
        <v/>
      </c>
      <c r="B887">
        <f>IF($A887="","",IF(Sync!$AA887="","",Sync!$AA887))</f>
        <v/>
      </c>
      <c r="C887">
        <f>IF($A887="","",IF(Sync!$AB887="","",Sync!$AB887))</f>
        <v/>
      </c>
      <c r="D887">
        <f>IF($A887="","",IF(Sync!$AC887="","",Sync!$AC887))</f>
        <v/>
      </c>
      <c r="E887">
        <f>IF($A887="","",IF(Sync!$AD887="","",Sync!$AD887))</f>
        <v/>
      </c>
      <c r="F887">
        <f>IF($A887="","",IF(Sync!$AE887="",0,Sync!$AE887))</f>
        <v/>
      </c>
      <c r="G887">
        <f>IF($A887="","",IF(Sync!$AF887="",0,Sync!$AF887))</f>
        <v/>
      </c>
      <c r="H887">
        <f>IF(OR($A887="",ROUND($F887+$G887,2)=0),"",$F887+$G887)</f>
        <v/>
      </c>
      <c r="I887">
        <f>IF($H887="","",IF(ROUND($F887,2)&gt;0,$A887,IF($D887="شخصی قاسم","شخصی قاسم",IF($D887="هزینه","هزینه: "&amp;IF($E887="","متفرقه",$E887),IF($C887="پاس چک","چک پرداختی",IF(OR($B887="",COUNTIF(AcctCodesA,$B887)=0),"متفرقه",$B887))))))</f>
        <v/>
      </c>
      <c r="J887">
        <f>IF($H887="","",IF(ROUND($F887,2)&gt;0,IF($D887="شخصی قاسم","شخصی قاسم",IF($D887="هزینه","هزینه: "&amp;IF($E887="","متفرقه",$E887),IF(OR($B887="",COUNTIF(AcctCodesA,$B887)=0),"متفرقه",$B887))),$A887))</f>
        <v/>
      </c>
      <c r="K887">
        <f>IF($A887="","",IF(AND($B887&lt;&gt;"",COUNTIF(AcctCodesA,$B887)=0),"کد طرف در INFO تعریف نشده",IF(AND($D887="هزینه",$E887=""),"هزینه بدون زیرگروه",IF(AND($C887="پاس چک",OR(Sync!$AJ887="",COUNTIF(IssueNosA,Sync!$AJ887)=0)),"شماره چک پاس‌شده معتبر نیست",""))))</f>
        <v/>
      </c>
      <c r="V887">
        <f>IF($K887="","",IF(ISNUMBER(Sync!$AK887),Sync!$AK887,LEFT(Sync!$AK887,4)&amp;MID(Sync!$AK887,6,2)&amp;RIGHT(Sync!$AK887,2))&amp;"|"&amp;"4"&amp;RIGHT("00000"&amp;882,5))</f>
        <v/>
      </c>
      <c r="W887">
        <f>IF($V887="",0,COUNTIFS($V$6:$V$2005,"&lt;"&amp;$V887)-COUNTIFS($V$6:$V$2005,"&lt;"&amp;$V887,$K$6:$K$2005,"")+1)</f>
        <v/>
      </c>
      <c r="X887">
        <f>IF(Sync!$AX887="","",IF(OR(N(Sync!$AY887)=0,N(Sync!$AZ887)=0),"",ROUND(N(Sync!$AY887)*N(Sync!$AZ887),0)))</f>
        <v/>
      </c>
      <c r="Y887">
        <f>IF($X887="","",IF(OR(Sync!$AX887="",COUNTIF(AcctCodesA,Sync!$AX887)=0),"متفرقه",Sync!$AX887))</f>
        <v/>
      </c>
      <c r="Z887">
        <f>IF($X887="","","سبد و ظروف")</f>
        <v/>
      </c>
      <c r="AA887">
        <f>IF($X887="","",$Y887)</f>
        <v/>
      </c>
    </row>
    <row r="888">
      <c r="A888">
        <f>IF(Sync!$Z888="","",LEFT(UPPER(TRIM(Sync!$Z888)),6))</f>
        <v/>
      </c>
      <c r="B888">
        <f>IF($A888="","",IF(Sync!$AA888="","",Sync!$AA888))</f>
        <v/>
      </c>
      <c r="C888">
        <f>IF($A888="","",IF(Sync!$AB888="","",Sync!$AB888))</f>
        <v/>
      </c>
      <c r="D888">
        <f>IF($A888="","",IF(Sync!$AC888="","",Sync!$AC888))</f>
        <v/>
      </c>
      <c r="E888">
        <f>IF($A888="","",IF(Sync!$AD888="","",Sync!$AD888))</f>
        <v/>
      </c>
      <c r="F888">
        <f>IF($A888="","",IF(Sync!$AE888="",0,Sync!$AE888))</f>
        <v/>
      </c>
      <c r="G888">
        <f>IF($A888="","",IF(Sync!$AF888="",0,Sync!$AF888))</f>
        <v/>
      </c>
      <c r="H888">
        <f>IF(OR($A888="",ROUND($F888+$G888,2)=0),"",$F888+$G888)</f>
        <v/>
      </c>
      <c r="I888">
        <f>IF($H888="","",IF(ROUND($F888,2)&gt;0,$A888,IF($D888="شخصی قاسم","شخصی قاسم",IF($D888="هزینه","هزینه: "&amp;IF($E888="","متفرقه",$E888),IF($C888="پاس چک","چک پرداختی",IF(OR($B888="",COUNTIF(AcctCodesA,$B888)=0),"متفرقه",$B888))))))</f>
        <v/>
      </c>
      <c r="J888">
        <f>IF($H888="","",IF(ROUND($F888,2)&gt;0,IF($D888="شخصی قاسم","شخصی قاسم",IF($D888="هزینه","هزینه: "&amp;IF($E888="","متفرقه",$E888),IF(OR($B888="",COUNTIF(AcctCodesA,$B888)=0),"متفرقه",$B888))),$A888))</f>
        <v/>
      </c>
      <c r="K888">
        <f>IF($A888="","",IF(AND($B888&lt;&gt;"",COUNTIF(AcctCodesA,$B888)=0),"کد طرف در INFO تعریف نشده",IF(AND($D888="هزینه",$E888=""),"هزینه بدون زیرگروه",IF(AND($C888="پاس چک",OR(Sync!$AJ888="",COUNTIF(IssueNosA,Sync!$AJ888)=0)),"شماره چک پاس‌شده معتبر نیست",""))))</f>
        <v/>
      </c>
      <c r="V888">
        <f>IF($K888="","",IF(ISNUMBER(Sync!$AK888),Sync!$AK888,LEFT(Sync!$AK888,4)&amp;MID(Sync!$AK888,6,2)&amp;RIGHT(Sync!$AK888,2))&amp;"|"&amp;"4"&amp;RIGHT("00000"&amp;883,5))</f>
        <v/>
      </c>
      <c r="W888">
        <f>IF($V888="",0,COUNTIFS($V$6:$V$2005,"&lt;"&amp;$V888)-COUNTIFS($V$6:$V$2005,"&lt;"&amp;$V888,$K$6:$K$2005,"")+1)</f>
        <v/>
      </c>
      <c r="X888">
        <f>IF(Sync!$AX888="","",IF(OR(N(Sync!$AY888)=0,N(Sync!$AZ888)=0),"",ROUND(N(Sync!$AY888)*N(Sync!$AZ888),0)))</f>
        <v/>
      </c>
      <c r="Y888">
        <f>IF($X888="","",IF(OR(Sync!$AX888="",COUNTIF(AcctCodesA,Sync!$AX888)=0),"متفرقه",Sync!$AX888))</f>
        <v/>
      </c>
      <c r="Z888">
        <f>IF($X888="","","سبد و ظروف")</f>
        <v/>
      </c>
      <c r="AA888">
        <f>IF($X888="","",$Y888)</f>
        <v/>
      </c>
    </row>
    <row r="889">
      <c r="A889">
        <f>IF(Sync!$Z889="","",LEFT(UPPER(TRIM(Sync!$Z889)),6))</f>
        <v/>
      </c>
      <c r="B889">
        <f>IF($A889="","",IF(Sync!$AA889="","",Sync!$AA889))</f>
        <v/>
      </c>
      <c r="C889">
        <f>IF($A889="","",IF(Sync!$AB889="","",Sync!$AB889))</f>
        <v/>
      </c>
      <c r="D889">
        <f>IF($A889="","",IF(Sync!$AC889="","",Sync!$AC889))</f>
        <v/>
      </c>
      <c r="E889">
        <f>IF($A889="","",IF(Sync!$AD889="","",Sync!$AD889))</f>
        <v/>
      </c>
      <c r="F889">
        <f>IF($A889="","",IF(Sync!$AE889="",0,Sync!$AE889))</f>
        <v/>
      </c>
      <c r="G889">
        <f>IF($A889="","",IF(Sync!$AF889="",0,Sync!$AF889))</f>
        <v/>
      </c>
      <c r="H889">
        <f>IF(OR($A889="",ROUND($F889+$G889,2)=0),"",$F889+$G889)</f>
        <v/>
      </c>
      <c r="I889">
        <f>IF($H889="","",IF(ROUND($F889,2)&gt;0,$A889,IF($D889="شخصی قاسم","شخصی قاسم",IF($D889="هزینه","هزینه: "&amp;IF($E889="","متفرقه",$E889),IF($C889="پاس چک","چک پرداختی",IF(OR($B889="",COUNTIF(AcctCodesA,$B889)=0),"متفرقه",$B889))))))</f>
        <v/>
      </c>
      <c r="J889">
        <f>IF($H889="","",IF(ROUND($F889,2)&gt;0,IF($D889="شخصی قاسم","شخصی قاسم",IF($D889="هزینه","هزینه: "&amp;IF($E889="","متفرقه",$E889),IF(OR($B889="",COUNTIF(AcctCodesA,$B889)=0),"متفرقه",$B889))),$A889))</f>
        <v/>
      </c>
      <c r="K889">
        <f>IF($A889="","",IF(AND($B889&lt;&gt;"",COUNTIF(AcctCodesA,$B889)=0),"کد طرف در INFO تعریف نشده",IF(AND($D889="هزینه",$E889=""),"هزینه بدون زیرگروه",IF(AND($C889="پاس چک",OR(Sync!$AJ889="",COUNTIF(IssueNosA,Sync!$AJ889)=0)),"شماره چک پاس‌شده معتبر نیست",""))))</f>
        <v/>
      </c>
      <c r="V889">
        <f>IF($K889="","",IF(ISNUMBER(Sync!$AK889),Sync!$AK889,LEFT(Sync!$AK889,4)&amp;MID(Sync!$AK889,6,2)&amp;RIGHT(Sync!$AK889,2))&amp;"|"&amp;"4"&amp;RIGHT("00000"&amp;884,5))</f>
        <v/>
      </c>
      <c r="W889">
        <f>IF($V889="",0,COUNTIFS($V$6:$V$2005,"&lt;"&amp;$V889)-COUNTIFS($V$6:$V$2005,"&lt;"&amp;$V889,$K$6:$K$2005,"")+1)</f>
        <v/>
      </c>
      <c r="X889">
        <f>IF(Sync!$AX889="","",IF(OR(N(Sync!$AY889)=0,N(Sync!$AZ889)=0),"",ROUND(N(Sync!$AY889)*N(Sync!$AZ889),0)))</f>
        <v/>
      </c>
      <c r="Y889">
        <f>IF($X889="","",IF(OR(Sync!$AX889="",COUNTIF(AcctCodesA,Sync!$AX889)=0),"متفرقه",Sync!$AX889))</f>
        <v/>
      </c>
      <c r="Z889">
        <f>IF($X889="","","سبد و ظروف")</f>
        <v/>
      </c>
      <c r="AA889">
        <f>IF($X889="","",$Y889)</f>
        <v/>
      </c>
    </row>
    <row r="890">
      <c r="A890">
        <f>IF(Sync!$Z890="","",LEFT(UPPER(TRIM(Sync!$Z890)),6))</f>
        <v/>
      </c>
      <c r="B890">
        <f>IF($A890="","",IF(Sync!$AA890="","",Sync!$AA890))</f>
        <v/>
      </c>
      <c r="C890">
        <f>IF($A890="","",IF(Sync!$AB890="","",Sync!$AB890))</f>
        <v/>
      </c>
      <c r="D890">
        <f>IF($A890="","",IF(Sync!$AC890="","",Sync!$AC890))</f>
        <v/>
      </c>
      <c r="E890">
        <f>IF($A890="","",IF(Sync!$AD890="","",Sync!$AD890))</f>
        <v/>
      </c>
      <c r="F890">
        <f>IF($A890="","",IF(Sync!$AE890="",0,Sync!$AE890))</f>
        <v/>
      </c>
      <c r="G890">
        <f>IF($A890="","",IF(Sync!$AF890="",0,Sync!$AF890))</f>
        <v/>
      </c>
      <c r="H890">
        <f>IF(OR($A890="",ROUND($F890+$G890,2)=0),"",$F890+$G890)</f>
        <v/>
      </c>
      <c r="I890">
        <f>IF($H890="","",IF(ROUND($F890,2)&gt;0,$A890,IF($D890="شخصی قاسم","شخصی قاسم",IF($D890="هزینه","هزینه: "&amp;IF($E890="","متفرقه",$E890),IF($C890="پاس چک","چک پرداختی",IF(OR($B890="",COUNTIF(AcctCodesA,$B890)=0),"متفرقه",$B890))))))</f>
        <v/>
      </c>
      <c r="J890">
        <f>IF($H890="","",IF(ROUND($F890,2)&gt;0,IF($D890="شخصی قاسم","شخصی قاسم",IF($D890="هزینه","هزینه: "&amp;IF($E890="","متفرقه",$E890),IF(OR($B890="",COUNTIF(AcctCodesA,$B890)=0),"متفرقه",$B890))),$A890))</f>
        <v/>
      </c>
      <c r="K890">
        <f>IF($A890="","",IF(AND($B890&lt;&gt;"",COUNTIF(AcctCodesA,$B890)=0),"کد طرف در INFO تعریف نشده",IF(AND($D890="هزینه",$E890=""),"هزینه بدون زیرگروه",IF(AND($C890="پاس چک",OR(Sync!$AJ890="",COUNTIF(IssueNosA,Sync!$AJ890)=0)),"شماره چک پاس‌شده معتبر نیست",""))))</f>
        <v/>
      </c>
      <c r="V890">
        <f>IF($K890="","",IF(ISNUMBER(Sync!$AK890),Sync!$AK890,LEFT(Sync!$AK890,4)&amp;MID(Sync!$AK890,6,2)&amp;RIGHT(Sync!$AK890,2))&amp;"|"&amp;"4"&amp;RIGHT("00000"&amp;885,5))</f>
        <v/>
      </c>
      <c r="W890">
        <f>IF($V890="",0,COUNTIFS($V$6:$V$2005,"&lt;"&amp;$V890)-COUNTIFS($V$6:$V$2005,"&lt;"&amp;$V890,$K$6:$K$2005,"")+1)</f>
        <v/>
      </c>
      <c r="X890">
        <f>IF(Sync!$AX890="","",IF(OR(N(Sync!$AY890)=0,N(Sync!$AZ890)=0),"",ROUND(N(Sync!$AY890)*N(Sync!$AZ890),0)))</f>
        <v/>
      </c>
      <c r="Y890">
        <f>IF($X890="","",IF(OR(Sync!$AX890="",COUNTIF(AcctCodesA,Sync!$AX890)=0),"متفرقه",Sync!$AX890))</f>
        <v/>
      </c>
      <c r="Z890">
        <f>IF($X890="","","سبد و ظروف")</f>
        <v/>
      </c>
      <c r="AA890">
        <f>IF($X890="","",$Y890)</f>
        <v/>
      </c>
    </row>
    <row r="891">
      <c r="A891">
        <f>IF(Sync!$Z891="","",LEFT(UPPER(TRIM(Sync!$Z891)),6))</f>
        <v/>
      </c>
      <c r="B891">
        <f>IF($A891="","",IF(Sync!$AA891="","",Sync!$AA891))</f>
        <v/>
      </c>
      <c r="C891">
        <f>IF($A891="","",IF(Sync!$AB891="","",Sync!$AB891))</f>
        <v/>
      </c>
      <c r="D891">
        <f>IF($A891="","",IF(Sync!$AC891="","",Sync!$AC891))</f>
        <v/>
      </c>
      <c r="E891">
        <f>IF($A891="","",IF(Sync!$AD891="","",Sync!$AD891))</f>
        <v/>
      </c>
      <c r="F891">
        <f>IF($A891="","",IF(Sync!$AE891="",0,Sync!$AE891))</f>
        <v/>
      </c>
      <c r="G891">
        <f>IF($A891="","",IF(Sync!$AF891="",0,Sync!$AF891))</f>
        <v/>
      </c>
      <c r="H891">
        <f>IF(OR($A891="",ROUND($F891+$G891,2)=0),"",$F891+$G891)</f>
        <v/>
      </c>
      <c r="I891">
        <f>IF($H891="","",IF(ROUND($F891,2)&gt;0,$A891,IF($D891="شخصی قاسم","شخصی قاسم",IF($D891="هزینه","هزینه: "&amp;IF($E891="","متفرقه",$E891),IF($C891="پاس چک","چک پرداختی",IF(OR($B891="",COUNTIF(AcctCodesA,$B891)=0),"متفرقه",$B891))))))</f>
        <v/>
      </c>
      <c r="J891">
        <f>IF($H891="","",IF(ROUND($F891,2)&gt;0,IF($D891="شخصی قاسم","شخصی قاسم",IF($D891="هزینه","هزینه: "&amp;IF($E891="","متفرقه",$E891),IF(OR($B891="",COUNTIF(AcctCodesA,$B891)=0),"متفرقه",$B891))),$A891))</f>
        <v/>
      </c>
      <c r="K891">
        <f>IF($A891="","",IF(AND($B891&lt;&gt;"",COUNTIF(AcctCodesA,$B891)=0),"کد طرف در INFO تعریف نشده",IF(AND($D891="هزینه",$E891=""),"هزینه بدون زیرگروه",IF(AND($C891="پاس چک",OR(Sync!$AJ891="",COUNTIF(IssueNosA,Sync!$AJ891)=0)),"شماره چک پاس‌شده معتبر نیست",""))))</f>
        <v/>
      </c>
      <c r="V891">
        <f>IF($K891="","",IF(ISNUMBER(Sync!$AK891),Sync!$AK891,LEFT(Sync!$AK891,4)&amp;MID(Sync!$AK891,6,2)&amp;RIGHT(Sync!$AK891,2))&amp;"|"&amp;"4"&amp;RIGHT("00000"&amp;886,5))</f>
        <v/>
      </c>
      <c r="W891">
        <f>IF($V891="",0,COUNTIFS($V$6:$V$2005,"&lt;"&amp;$V891)-COUNTIFS($V$6:$V$2005,"&lt;"&amp;$V891,$K$6:$K$2005,"")+1)</f>
        <v/>
      </c>
      <c r="X891">
        <f>IF(Sync!$AX891="","",IF(OR(N(Sync!$AY891)=0,N(Sync!$AZ891)=0),"",ROUND(N(Sync!$AY891)*N(Sync!$AZ891),0)))</f>
        <v/>
      </c>
      <c r="Y891">
        <f>IF($X891="","",IF(OR(Sync!$AX891="",COUNTIF(AcctCodesA,Sync!$AX891)=0),"متفرقه",Sync!$AX891))</f>
        <v/>
      </c>
      <c r="Z891">
        <f>IF($X891="","","سبد و ظروف")</f>
        <v/>
      </c>
      <c r="AA891">
        <f>IF($X891="","",$Y891)</f>
        <v/>
      </c>
    </row>
    <row r="892">
      <c r="A892">
        <f>IF(Sync!$Z892="","",LEFT(UPPER(TRIM(Sync!$Z892)),6))</f>
        <v/>
      </c>
      <c r="B892">
        <f>IF($A892="","",IF(Sync!$AA892="","",Sync!$AA892))</f>
        <v/>
      </c>
      <c r="C892">
        <f>IF($A892="","",IF(Sync!$AB892="","",Sync!$AB892))</f>
        <v/>
      </c>
      <c r="D892">
        <f>IF($A892="","",IF(Sync!$AC892="","",Sync!$AC892))</f>
        <v/>
      </c>
      <c r="E892">
        <f>IF($A892="","",IF(Sync!$AD892="","",Sync!$AD892))</f>
        <v/>
      </c>
      <c r="F892">
        <f>IF($A892="","",IF(Sync!$AE892="",0,Sync!$AE892))</f>
        <v/>
      </c>
      <c r="G892">
        <f>IF($A892="","",IF(Sync!$AF892="",0,Sync!$AF892))</f>
        <v/>
      </c>
      <c r="H892">
        <f>IF(OR($A892="",ROUND($F892+$G892,2)=0),"",$F892+$G892)</f>
        <v/>
      </c>
      <c r="I892">
        <f>IF($H892="","",IF(ROUND($F892,2)&gt;0,$A892,IF($D892="شخصی قاسم","شخصی قاسم",IF($D892="هزینه","هزینه: "&amp;IF($E892="","متفرقه",$E892),IF($C892="پاس چک","چک پرداختی",IF(OR($B892="",COUNTIF(AcctCodesA,$B892)=0),"متفرقه",$B892))))))</f>
        <v/>
      </c>
      <c r="J892">
        <f>IF($H892="","",IF(ROUND($F892,2)&gt;0,IF($D892="شخصی قاسم","شخصی قاسم",IF($D892="هزینه","هزینه: "&amp;IF($E892="","متفرقه",$E892),IF(OR($B892="",COUNTIF(AcctCodesA,$B892)=0),"متفرقه",$B892))),$A892))</f>
        <v/>
      </c>
      <c r="K892">
        <f>IF($A892="","",IF(AND($B892&lt;&gt;"",COUNTIF(AcctCodesA,$B892)=0),"کد طرف در INFO تعریف نشده",IF(AND($D892="هزینه",$E892=""),"هزینه بدون زیرگروه",IF(AND($C892="پاس چک",OR(Sync!$AJ892="",COUNTIF(IssueNosA,Sync!$AJ892)=0)),"شماره چک پاس‌شده معتبر نیست",""))))</f>
        <v/>
      </c>
      <c r="V892">
        <f>IF($K892="","",IF(ISNUMBER(Sync!$AK892),Sync!$AK892,LEFT(Sync!$AK892,4)&amp;MID(Sync!$AK892,6,2)&amp;RIGHT(Sync!$AK892,2))&amp;"|"&amp;"4"&amp;RIGHT("00000"&amp;887,5))</f>
        <v/>
      </c>
      <c r="W892">
        <f>IF($V892="",0,COUNTIFS($V$6:$V$2005,"&lt;"&amp;$V892)-COUNTIFS($V$6:$V$2005,"&lt;"&amp;$V892,$K$6:$K$2005,"")+1)</f>
        <v/>
      </c>
      <c r="X892">
        <f>IF(Sync!$AX892="","",IF(OR(N(Sync!$AY892)=0,N(Sync!$AZ892)=0),"",ROUND(N(Sync!$AY892)*N(Sync!$AZ892),0)))</f>
        <v/>
      </c>
      <c r="Y892">
        <f>IF($X892="","",IF(OR(Sync!$AX892="",COUNTIF(AcctCodesA,Sync!$AX892)=0),"متفرقه",Sync!$AX892))</f>
        <v/>
      </c>
      <c r="Z892">
        <f>IF($X892="","","سبد و ظروف")</f>
        <v/>
      </c>
      <c r="AA892">
        <f>IF($X892="","",$Y892)</f>
        <v/>
      </c>
    </row>
    <row r="893">
      <c r="A893">
        <f>IF(Sync!$Z893="","",LEFT(UPPER(TRIM(Sync!$Z893)),6))</f>
        <v/>
      </c>
      <c r="B893">
        <f>IF($A893="","",IF(Sync!$AA893="","",Sync!$AA893))</f>
        <v/>
      </c>
      <c r="C893">
        <f>IF($A893="","",IF(Sync!$AB893="","",Sync!$AB893))</f>
        <v/>
      </c>
      <c r="D893">
        <f>IF($A893="","",IF(Sync!$AC893="","",Sync!$AC893))</f>
        <v/>
      </c>
      <c r="E893">
        <f>IF($A893="","",IF(Sync!$AD893="","",Sync!$AD893))</f>
        <v/>
      </c>
      <c r="F893">
        <f>IF($A893="","",IF(Sync!$AE893="",0,Sync!$AE893))</f>
        <v/>
      </c>
      <c r="G893">
        <f>IF($A893="","",IF(Sync!$AF893="",0,Sync!$AF893))</f>
        <v/>
      </c>
      <c r="H893">
        <f>IF(OR($A893="",ROUND($F893+$G893,2)=0),"",$F893+$G893)</f>
        <v/>
      </c>
      <c r="I893">
        <f>IF($H893="","",IF(ROUND($F893,2)&gt;0,$A893,IF($D893="شخصی قاسم","شخصی قاسم",IF($D893="هزینه","هزینه: "&amp;IF($E893="","متفرقه",$E893),IF($C893="پاس چک","چک پرداختی",IF(OR($B893="",COUNTIF(AcctCodesA,$B893)=0),"متفرقه",$B893))))))</f>
        <v/>
      </c>
      <c r="J893">
        <f>IF($H893="","",IF(ROUND($F893,2)&gt;0,IF($D893="شخصی قاسم","شخصی قاسم",IF($D893="هزینه","هزینه: "&amp;IF($E893="","متفرقه",$E893),IF(OR($B893="",COUNTIF(AcctCodesA,$B893)=0),"متفرقه",$B893))),$A893))</f>
        <v/>
      </c>
      <c r="K893">
        <f>IF($A893="","",IF(AND($B893&lt;&gt;"",COUNTIF(AcctCodesA,$B893)=0),"کد طرف در INFO تعریف نشده",IF(AND($D893="هزینه",$E893=""),"هزینه بدون زیرگروه",IF(AND($C893="پاس چک",OR(Sync!$AJ893="",COUNTIF(IssueNosA,Sync!$AJ893)=0)),"شماره چک پاس‌شده معتبر نیست",""))))</f>
        <v/>
      </c>
      <c r="V893">
        <f>IF($K893="","",IF(ISNUMBER(Sync!$AK893),Sync!$AK893,LEFT(Sync!$AK893,4)&amp;MID(Sync!$AK893,6,2)&amp;RIGHT(Sync!$AK893,2))&amp;"|"&amp;"4"&amp;RIGHT("00000"&amp;888,5))</f>
        <v/>
      </c>
      <c r="W893">
        <f>IF($V893="",0,COUNTIFS($V$6:$V$2005,"&lt;"&amp;$V893)-COUNTIFS($V$6:$V$2005,"&lt;"&amp;$V893,$K$6:$K$2005,"")+1)</f>
        <v/>
      </c>
      <c r="X893">
        <f>IF(Sync!$AX893="","",IF(OR(N(Sync!$AY893)=0,N(Sync!$AZ893)=0),"",ROUND(N(Sync!$AY893)*N(Sync!$AZ893),0)))</f>
        <v/>
      </c>
      <c r="Y893">
        <f>IF($X893="","",IF(OR(Sync!$AX893="",COUNTIF(AcctCodesA,Sync!$AX893)=0),"متفرقه",Sync!$AX893))</f>
        <v/>
      </c>
      <c r="Z893">
        <f>IF($X893="","","سبد و ظروف")</f>
        <v/>
      </c>
      <c r="AA893">
        <f>IF($X893="","",$Y893)</f>
        <v/>
      </c>
    </row>
    <row r="894">
      <c r="A894">
        <f>IF(Sync!$Z894="","",LEFT(UPPER(TRIM(Sync!$Z894)),6))</f>
        <v/>
      </c>
      <c r="B894">
        <f>IF($A894="","",IF(Sync!$AA894="","",Sync!$AA894))</f>
        <v/>
      </c>
      <c r="C894">
        <f>IF($A894="","",IF(Sync!$AB894="","",Sync!$AB894))</f>
        <v/>
      </c>
      <c r="D894">
        <f>IF($A894="","",IF(Sync!$AC894="","",Sync!$AC894))</f>
        <v/>
      </c>
      <c r="E894">
        <f>IF($A894="","",IF(Sync!$AD894="","",Sync!$AD894))</f>
        <v/>
      </c>
      <c r="F894">
        <f>IF($A894="","",IF(Sync!$AE894="",0,Sync!$AE894))</f>
        <v/>
      </c>
      <c r="G894">
        <f>IF($A894="","",IF(Sync!$AF894="",0,Sync!$AF894))</f>
        <v/>
      </c>
      <c r="H894">
        <f>IF(OR($A894="",ROUND($F894+$G894,2)=0),"",$F894+$G894)</f>
        <v/>
      </c>
      <c r="I894">
        <f>IF($H894="","",IF(ROUND($F894,2)&gt;0,$A894,IF($D894="شخصی قاسم","شخصی قاسم",IF($D894="هزینه","هزینه: "&amp;IF($E894="","متفرقه",$E894),IF($C894="پاس چک","چک پرداختی",IF(OR($B894="",COUNTIF(AcctCodesA,$B894)=0),"متفرقه",$B894))))))</f>
        <v/>
      </c>
      <c r="J894">
        <f>IF($H894="","",IF(ROUND($F894,2)&gt;0,IF($D894="شخصی قاسم","شخصی قاسم",IF($D894="هزینه","هزینه: "&amp;IF($E894="","متفرقه",$E894),IF(OR($B894="",COUNTIF(AcctCodesA,$B894)=0),"متفرقه",$B894))),$A894))</f>
        <v/>
      </c>
      <c r="K894">
        <f>IF($A894="","",IF(AND($B894&lt;&gt;"",COUNTIF(AcctCodesA,$B894)=0),"کد طرف در INFO تعریف نشده",IF(AND($D894="هزینه",$E894=""),"هزینه بدون زیرگروه",IF(AND($C894="پاس چک",OR(Sync!$AJ894="",COUNTIF(IssueNosA,Sync!$AJ894)=0)),"شماره چک پاس‌شده معتبر نیست",""))))</f>
        <v/>
      </c>
      <c r="V894">
        <f>IF($K894="","",IF(ISNUMBER(Sync!$AK894),Sync!$AK894,LEFT(Sync!$AK894,4)&amp;MID(Sync!$AK894,6,2)&amp;RIGHT(Sync!$AK894,2))&amp;"|"&amp;"4"&amp;RIGHT("00000"&amp;889,5))</f>
        <v/>
      </c>
      <c r="W894">
        <f>IF($V894="",0,COUNTIFS($V$6:$V$2005,"&lt;"&amp;$V894)-COUNTIFS($V$6:$V$2005,"&lt;"&amp;$V894,$K$6:$K$2005,"")+1)</f>
        <v/>
      </c>
      <c r="X894">
        <f>IF(Sync!$AX894="","",IF(OR(N(Sync!$AY894)=0,N(Sync!$AZ894)=0),"",ROUND(N(Sync!$AY894)*N(Sync!$AZ894),0)))</f>
        <v/>
      </c>
      <c r="Y894">
        <f>IF($X894="","",IF(OR(Sync!$AX894="",COUNTIF(AcctCodesA,Sync!$AX894)=0),"متفرقه",Sync!$AX894))</f>
        <v/>
      </c>
      <c r="Z894">
        <f>IF($X894="","","سبد و ظروف")</f>
        <v/>
      </c>
      <c r="AA894">
        <f>IF($X894="","",$Y894)</f>
        <v/>
      </c>
    </row>
    <row r="895">
      <c r="A895">
        <f>IF(Sync!$Z895="","",LEFT(UPPER(TRIM(Sync!$Z895)),6))</f>
        <v/>
      </c>
      <c r="B895">
        <f>IF($A895="","",IF(Sync!$AA895="","",Sync!$AA895))</f>
        <v/>
      </c>
      <c r="C895">
        <f>IF($A895="","",IF(Sync!$AB895="","",Sync!$AB895))</f>
        <v/>
      </c>
      <c r="D895">
        <f>IF($A895="","",IF(Sync!$AC895="","",Sync!$AC895))</f>
        <v/>
      </c>
      <c r="E895">
        <f>IF($A895="","",IF(Sync!$AD895="","",Sync!$AD895))</f>
        <v/>
      </c>
      <c r="F895">
        <f>IF($A895="","",IF(Sync!$AE895="",0,Sync!$AE895))</f>
        <v/>
      </c>
      <c r="G895">
        <f>IF($A895="","",IF(Sync!$AF895="",0,Sync!$AF895))</f>
        <v/>
      </c>
      <c r="H895">
        <f>IF(OR($A895="",ROUND($F895+$G895,2)=0),"",$F895+$G895)</f>
        <v/>
      </c>
      <c r="I895">
        <f>IF($H895="","",IF(ROUND($F895,2)&gt;0,$A895,IF($D895="شخصی قاسم","شخصی قاسم",IF($D895="هزینه","هزینه: "&amp;IF($E895="","متفرقه",$E895),IF($C895="پاس چک","چک پرداختی",IF(OR($B895="",COUNTIF(AcctCodesA,$B895)=0),"متفرقه",$B895))))))</f>
        <v/>
      </c>
      <c r="J895">
        <f>IF($H895="","",IF(ROUND($F895,2)&gt;0,IF($D895="شخصی قاسم","شخصی قاسم",IF($D895="هزینه","هزینه: "&amp;IF($E895="","متفرقه",$E895),IF(OR($B895="",COUNTIF(AcctCodesA,$B895)=0),"متفرقه",$B895))),$A895))</f>
        <v/>
      </c>
      <c r="K895">
        <f>IF($A895="","",IF(AND($B895&lt;&gt;"",COUNTIF(AcctCodesA,$B895)=0),"کد طرف در INFO تعریف نشده",IF(AND($D895="هزینه",$E895=""),"هزینه بدون زیرگروه",IF(AND($C895="پاس چک",OR(Sync!$AJ895="",COUNTIF(IssueNosA,Sync!$AJ895)=0)),"شماره چک پاس‌شده معتبر نیست",""))))</f>
        <v/>
      </c>
      <c r="V895">
        <f>IF($K895="","",IF(ISNUMBER(Sync!$AK895),Sync!$AK895,LEFT(Sync!$AK895,4)&amp;MID(Sync!$AK895,6,2)&amp;RIGHT(Sync!$AK895,2))&amp;"|"&amp;"4"&amp;RIGHT("00000"&amp;890,5))</f>
        <v/>
      </c>
      <c r="W895">
        <f>IF($V895="",0,COUNTIFS($V$6:$V$2005,"&lt;"&amp;$V895)-COUNTIFS($V$6:$V$2005,"&lt;"&amp;$V895,$K$6:$K$2005,"")+1)</f>
        <v/>
      </c>
      <c r="X895">
        <f>IF(Sync!$AX895="","",IF(OR(N(Sync!$AY895)=0,N(Sync!$AZ895)=0),"",ROUND(N(Sync!$AY895)*N(Sync!$AZ895),0)))</f>
        <v/>
      </c>
      <c r="Y895">
        <f>IF($X895="","",IF(OR(Sync!$AX895="",COUNTIF(AcctCodesA,Sync!$AX895)=0),"متفرقه",Sync!$AX895))</f>
        <v/>
      </c>
      <c r="Z895">
        <f>IF($X895="","","سبد و ظروف")</f>
        <v/>
      </c>
      <c r="AA895">
        <f>IF($X895="","",$Y895)</f>
        <v/>
      </c>
    </row>
    <row r="896">
      <c r="A896">
        <f>IF(Sync!$Z896="","",LEFT(UPPER(TRIM(Sync!$Z896)),6))</f>
        <v/>
      </c>
      <c r="B896">
        <f>IF($A896="","",IF(Sync!$AA896="","",Sync!$AA896))</f>
        <v/>
      </c>
      <c r="C896">
        <f>IF($A896="","",IF(Sync!$AB896="","",Sync!$AB896))</f>
        <v/>
      </c>
      <c r="D896">
        <f>IF($A896="","",IF(Sync!$AC896="","",Sync!$AC896))</f>
        <v/>
      </c>
      <c r="E896">
        <f>IF($A896="","",IF(Sync!$AD896="","",Sync!$AD896))</f>
        <v/>
      </c>
      <c r="F896">
        <f>IF($A896="","",IF(Sync!$AE896="",0,Sync!$AE896))</f>
        <v/>
      </c>
      <c r="G896">
        <f>IF($A896="","",IF(Sync!$AF896="",0,Sync!$AF896))</f>
        <v/>
      </c>
      <c r="H896">
        <f>IF(OR($A896="",ROUND($F896+$G896,2)=0),"",$F896+$G896)</f>
        <v/>
      </c>
      <c r="I896">
        <f>IF($H896="","",IF(ROUND($F896,2)&gt;0,$A896,IF($D896="شخصی قاسم","شخصی قاسم",IF($D896="هزینه","هزینه: "&amp;IF($E896="","متفرقه",$E896),IF($C896="پاس چک","چک پرداختی",IF(OR($B896="",COUNTIF(AcctCodesA,$B896)=0),"متفرقه",$B896))))))</f>
        <v/>
      </c>
      <c r="J896">
        <f>IF($H896="","",IF(ROUND($F896,2)&gt;0,IF($D896="شخصی قاسم","شخصی قاسم",IF($D896="هزینه","هزینه: "&amp;IF($E896="","متفرقه",$E896),IF(OR($B896="",COUNTIF(AcctCodesA,$B896)=0),"متفرقه",$B896))),$A896))</f>
        <v/>
      </c>
      <c r="K896">
        <f>IF($A896="","",IF(AND($B896&lt;&gt;"",COUNTIF(AcctCodesA,$B896)=0),"کد طرف در INFO تعریف نشده",IF(AND($D896="هزینه",$E896=""),"هزینه بدون زیرگروه",IF(AND($C896="پاس چک",OR(Sync!$AJ896="",COUNTIF(IssueNosA,Sync!$AJ896)=0)),"شماره چک پاس‌شده معتبر نیست",""))))</f>
        <v/>
      </c>
      <c r="V896">
        <f>IF($K896="","",IF(ISNUMBER(Sync!$AK896),Sync!$AK896,LEFT(Sync!$AK896,4)&amp;MID(Sync!$AK896,6,2)&amp;RIGHT(Sync!$AK896,2))&amp;"|"&amp;"4"&amp;RIGHT("00000"&amp;891,5))</f>
        <v/>
      </c>
      <c r="W896">
        <f>IF($V896="",0,COUNTIFS($V$6:$V$2005,"&lt;"&amp;$V896)-COUNTIFS($V$6:$V$2005,"&lt;"&amp;$V896,$K$6:$K$2005,"")+1)</f>
        <v/>
      </c>
      <c r="X896">
        <f>IF(Sync!$AX896="","",IF(OR(N(Sync!$AY896)=0,N(Sync!$AZ896)=0),"",ROUND(N(Sync!$AY896)*N(Sync!$AZ896),0)))</f>
        <v/>
      </c>
      <c r="Y896">
        <f>IF($X896="","",IF(OR(Sync!$AX896="",COUNTIF(AcctCodesA,Sync!$AX896)=0),"متفرقه",Sync!$AX896))</f>
        <v/>
      </c>
      <c r="Z896">
        <f>IF($X896="","","سبد و ظروف")</f>
        <v/>
      </c>
      <c r="AA896">
        <f>IF($X896="","",$Y896)</f>
        <v/>
      </c>
    </row>
    <row r="897">
      <c r="A897">
        <f>IF(Sync!$Z897="","",LEFT(UPPER(TRIM(Sync!$Z897)),6))</f>
        <v/>
      </c>
      <c r="B897">
        <f>IF($A897="","",IF(Sync!$AA897="","",Sync!$AA897))</f>
        <v/>
      </c>
      <c r="C897">
        <f>IF($A897="","",IF(Sync!$AB897="","",Sync!$AB897))</f>
        <v/>
      </c>
      <c r="D897">
        <f>IF($A897="","",IF(Sync!$AC897="","",Sync!$AC897))</f>
        <v/>
      </c>
      <c r="E897">
        <f>IF($A897="","",IF(Sync!$AD897="","",Sync!$AD897))</f>
        <v/>
      </c>
      <c r="F897">
        <f>IF($A897="","",IF(Sync!$AE897="",0,Sync!$AE897))</f>
        <v/>
      </c>
      <c r="G897">
        <f>IF($A897="","",IF(Sync!$AF897="",0,Sync!$AF897))</f>
        <v/>
      </c>
      <c r="H897">
        <f>IF(OR($A897="",ROUND($F897+$G897,2)=0),"",$F897+$G897)</f>
        <v/>
      </c>
      <c r="I897">
        <f>IF($H897="","",IF(ROUND($F897,2)&gt;0,$A897,IF($D897="شخصی قاسم","شخصی قاسم",IF($D897="هزینه","هزینه: "&amp;IF($E897="","متفرقه",$E897),IF($C897="پاس چک","چک پرداختی",IF(OR($B897="",COUNTIF(AcctCodesA,$B897)=0),"متفرقه",$B897))))))</f>
        <v/>
      </c>
      <c r="J897">
        <f>IF($H897="","",IF(ROUND($F897,2)&gt;0,IF($D897="شخصی قاسم","شخصی قاسم",IF($D897="هزینه","هزینه: "&amp;IF($E897="","متفرقه",$E897),IF(OR($B897="",COUNTIF(AcctCodesA,$B897)=0),"متفرقه",$B897))),$A897))</f>
        <v/>
      </c>
      <c r="K897">
        <f>IF($A897="","",IF(AND($B897&lt;&gt;"",COUNTIF(AcctCodesA,$B897)=0),"کد طرف در INFO تعریف نشده",IF(AND($D897="هزینه",$E897=""),"هزینه بدون زیرگروه",IF(AND($C897="پاس چک",OR(Sync!$AJ897="",COUNTIF(IssueNosA,Sync!$AJ897)=0)),"شماره چک پاس‌شده معتبر نیست",""))))</f>
        <v/>
      </c>
      <c r="V897">
        <f>IF($K897="","",IF(ISNUMBER(Sync!$AK897),Sync!$AK897,LEFT(Sync!$AK897,4)&amp;MID(Sync!$AK897,6,2)&amp;RIGHT(Sync!$AK897,2))&amp;"|"&amp;"4"&amp;RIGHT("00000"&amp;892,5))</f>
        <v/>
      </c>
      <c r="W897">
        <f>IF($V897="",0,COUNTIFS($V$6:$V$2005,"&lt;"&amp;$V897)-COUNTIFS($V$6:$V$2005,"&lt;"&amp;$V897,$K$6:$K$2005,"")+1)</f>
        <v/>
      </c>
      <c r="X897">
        <f>IF(Sync!$AX897="","",IF(OR(N(Sync!$AY897)=0,N(Sync!$AZ897)=0),"",ROUND(N(Sync!$AY897)*N(Sync!$AZ897),0)))</f>
        <v/>
      </c>
      <c r="Y897">
        <f>IF($X897="","",IF(OR(Sync!$AX897="",COUNTIF(AcctCodesA,Sync!$AX897)=0),"متفرقه",Sync!$AX897))</f>
        <v/>
      </c>
      <c r="Z897">
        <f>IF($X897="","","سبد و ظروف")</f>
        <v/>
      </c>
      <c r="AA897">
        <f>IF($X897="","",$Y897)</f>
        <v/>
      </c>
    </row>
    <row r="898">
      <c r="A898">
        <f>IF(Sync!$Z898="","",LEFT(UPPER(TRIM(Sync!$Z898)),6))</f>
        <v/>
      </c>
      <c r="B898">
        <f>IF($A898="","",IF(Sync!$AA898="","",Sync!$AA898))</f>
        <v/>
      </c>
      <c r="C898">
        <f>IF($A898="","",IF(Sync!$AB898="","",Sync!$AB898))</f>
        <v/>
      </c>
      <c r="D898">
        <f>IF($A898="","",IF(Sync!$AC898="","",Sync!$AC898))</f>
        <v/>
      </c>
      <c r="E898">
        <f>IF($A898="","",IF(Sync!$AD898="","",Sync!$AD898))</f>
        <v/>
      </c>
      <c r="F898">
        <f>IF($A898="","",IF(Sync!$AE898="",0,Sync!$AE898))</f>
        <v/>
      </c>
      <c r="G898">
        <f>IF($A898="","",IF(Sync!$AF898="",0,Sync!$AF898))</f>
        <v/>
      </c>
      <c r="H898">
        <f>IF(OR($A898="",ROUND($F898+$G898,2)=0),"",$F898+$G898)</f>
        <v/>
      </c>
      <c r="I898">
        <f>IF($H898="","",IF(ROUND($F898,2)&gt;0,$A898,IF($D898="شخصی قاسم","شخصی قاسم",IF($D898="هزینه","هزینه: "&amp;IF($E898="","متفرقه",$E898),IF($C898="پاس چک","چک پرداختی",IF(OR($B898="",COUNTIF(AcctCodesA,$B898)=0),"متفرقه",$B898))))))</f>
        <v/>
      </c>
      <c r="J898">
        <f>IF($H898="","",IF(ROUND($F898,2)&gt;0,IF($D898="شخصی قاسم","شخصی قاسم",IF($D898="هزینه","هزینه: "&amp;IF($E898="","متفرقه",$E898),IF(OR($B898="",COUNTIF(AcctCodesA,$B898)=0),"متفرقه",$B898))),$A898))</f>
        <v/>
      </c>
      <c r="K898">
        <f>IF($A898="","",IF(AND($B898&lt;&gt;"",COUNTIF(AcctCodesA,$B898)=0),"کد طرف در INFO تعریف نشده",IF(AND($D898="هزینه",$E898=""),"هزینه بدون زیرگروه",IF(AND($C898="پاس چک",OR(Sync!$AJ898="",COUNTIF(IssueNosA,Sync!$AJ898)=0)),"شماره چک پاس‌شده معتبر نیست",""))))</f>
        <v/>
      </c>
      <c r="V898">
        <f>IF($K898="","",IF(ISNUMBER(Sync!$AK898),Sync!$AK898,LEFT(Sync!$AK898,4)&amp;MID(Sync!$AK898,6,2)&amp;RIGHT(Sync!$AK898,2))&amp;"|"&amp;"4"&amp;RIGHT("00000"&amp;893,5))</f>
        <v/>
      </c>
      <c r="W898">
        <f>IF($V898="",0,COUNTIFS($V$6:$V$2005,"&lt;"&amp;$V898)-COUNTIFS($V$6:$V$2005,"&lt;"&amp;$V898,$K$6:$K$2005,"")+1)</f>
        <v/>
      </c>
      <c r="X898">
        <f>IF(Sync!$AX898="","",IF(OR(N(Sync!$AY898)=0,N(Sync!$AZ898)=0),"",ROUND(N(Sync!$AY898)*N(Sync!$AZ898),0)))</f>
        <v/>
      </c>
      <c r="Y898">
        <f>IF($X898="","",IF(OR(Sync!$AX898="",COUNTIF(AcctCodesA,Sync!$AX898)=0),"متفرقه",Sync!$AX898))</f>
        <v/>
      </c>
      <c r="Z898">
        <f>IF($X898="","","سبد و ظروف")</f>
        <v/>
      </c>
      <c r="AA898">
        <f>IF($X898="","",$Y898)</f>
        <v/>
      </c>
    </row>
    <row r="899">
      <c r="A899">
        <f>IF(Sync!$Z899="","",LEFT(UPPER(TRIM(Sync!$Z899)),6))</f>
        <v/>
      </c>
      <c r="B899">
        <f>IF($A899="","",IF(Sync!$AA899="","",Sync!$AA899))</f>
        <v/>
      </c>
      <c r="C899">
        <f>IF($A899="","",IF(Sync!$AB899="","",Sync!$AB899))</f>
        <v/>
      </c>
      <c r="D899">
        <f>IF($A899="","",IF(Sync!$AC899="","",Sync!$AC899))</f>
        <v/>
      </c>
      <c r="E899">
        <f>IF($A899="","",IF(Sync!$AD899="","",Sync!$AD899))</f>
        <v/>
      </c>
      <c r="F899">
        <f>IF($A899="","",IF(Sync!$AE899="",0,Sync!$AE899))</f>
        <v/>
      </c>
      <c r="G899">
        <f>IF($A899="","",IF(Sync!$AF899="",0,Sync!$AF899))</f>
        <v/>
      </c>
      <c r="H899">
        <f>IF(OR($A899="",ROUND($F899+$G899,2)=0),"",$F899+$G899)</f>
        <v/>
      </c>
      <c r="I899">
        <f>IF($H899="","",IF(ROUND($F899,2)&gt;0,$A899,IF($D899="شخصی قاسم","شخصی قاسم",IF($D899="هزینه","هزینه: "&amp;IF($E899="","متفرقه",$E899),IF($C899="پاس چک","چک پرداختی",IF(OR($B899="",COUNTIF(AcctCodesA,$B899)=0),"متفرقه",$B899))))))</f>
        <v/>
      </c>
      <c r="J899">
        <f>IF($H899="","",IF(ROUND($F899,2)&gt;0,IF($D899="شخصی قاسم","شخصی قاسم",IF($D899="هزینه","هزینه: "&amp;IF($E899="","متفرقه",$E899),IF(OR($B899="",COUNTIF(AcctCodesA,$B899)=0),"متفرقه",$B899))),$A899))</f>
        <v/>
      </c>
      <c r="K899">
        <f>IF($A899="","",IF(AND($B899&lt;&gt;"",COUNTIF(AcctCodesA,$B899)=0),"کد طرف در INFO تعریف نشده",IF(AND($D899="هزینه",$E899=""),"هزینه بدون زیرگروه",IF(AND($C899="پاس چک",OR(Sync!$AJ899="",COUNTIF(IssueNosA,Sync!$AJ899)=0)),"شماره چک پاس‌شده معتبر نیست",""))))</f>
        <v/>
      </c>
      <c r="V899">
        <f>IF($K899="","",IF(ISNUMBER(Sync!$AK899),Sync!$AK899,LEFT(Sync!$AK899,4)&amp;MID(Sync!$AK899,6,2)&amp;RIGHT(Sync!$AK899,2))&amp;"|"&amp;"4"&amp;RIGHT("00000"&amp;894,5))</f>
        <v/>
      </c>
      <c r="W899">
        <f>IF($V899="",0,COUNTIFS($V$6:$V$2005,"&lt;"&amp;$V899)-COUNTIFS($V$6:$V$2005,"&lt;"&amp;$V899,$K$6:$K$2005,"")+1)</f>
        <v/>
      </c>
      <c r="X899">
        <f>IF(Sync!$AX899="","",IF(OR(N(Sync!$AY899)=0,N(Sync!$AZ899)=0),"",ROUND(N(Sync!$AY899)*N(Sync!$AZ899),0)))</f>
        <v/>
      </c>
      <c r="Y899">
        <f>IF($X899="","",IF(OR(Sync!$AX899="",COUNTIF(AcctCodesA,Sync!$AX899)=0),"متفرقه",Sync!$AX899))</f>
        <v/>
      </c>
      <c r="Z899">
        <f>IF($X899="","","سبد و ظروف")</f>
        <v/>
      </c>
      <c r="AA899">
        <f>IF($X899="","",$Y899)</f>
        <v/>
      </c>
    </row>
    <row r="900">
      <c r="A900">
        <f>IF(Sync!$Z900="","",LEFT(UPPER(TRIM(Sync!$Z900)),6))</f>
        <v/>
      </c>
      <c r="B900">
        <f>IF($A900="","",IF(Sync!$AA900="","",Sync!$AA900))</f>
        <v/>
      </c>
      <c r="C900">
        <f>IF($A900="","",IF(Sync!$AB900="","",Sync!$AB900))</f>
        <v/>
      </c>
      <c r="D900">
        <f>IF($A900="","",IF(Sync!$AC900="","",Sync!$AC900))</f>
        <v/>
      </c>
      <c r="E900">
        <f>IF($A900="","",IF(Sync!$AD900="","",Sync!$AD900))</f>
        <v/>
      </c>
      <c r="F900">
        <f>IF($A900="","",IF(Sync!$AE900="",0,Sync!$AE900))</f>
        <v/>
      </c>
      <c r="G900">
        <f>IF($A900="","",IF(Sync!$AF900="",0,Sync!$AF900))</f>
        <v/>
      </c>
      <c r="H900">
        <f>IF(OR($A900="",ROUND($F900+$G900,2)=0),"",$F900+$G900)</f>
        <v/>
      </c>
      <c r="I900">
        <f>IF($H900="","",IF(ROUND($F900,2)&gt;0,$A900,IF($D900="شخصی قاسم","شخصی قاسم",IF($D900="هزینه","هزینه: "&amp;IF($E900="","متفرقه",$E900),IF($C900="پاس چک","چک پرداختی",IF(OR($B900="",COUNTIF(AcctCodesA,$B900)=0),"متفرقه",$B900))))))</f>
        <v/>
      </c>
      <c r="J900">
        <f>IF($H900="","",IF(ROUND($F900,2)&gt;0,IF($D900="شخصی قاسم","شخصی قاسم",IF($D900="هزینه","هزینه: "&amp;IF($E900="","متفرقه",$E900),IF(OR($B900="",COUNTIF(AcctCodesA,$B900)=0),"متفرقه",$B900))),$A900))</f>
        <v/>
      </c>
      <c r="K900">
        <f>IF($A900="","",IF(AND($B900&lt;&gt;"",COUNTIF(AcctCodesA,$B900)=0),"کد طرف در INFO تعریف نشده",IF(AND($D900="هزینه",$E900=""),"هزینه بدون زیرگروه",IF(AND($C900="پاس چک",OR(Sync!$AJ900="",COUNTIF(IssueNosA,Sync!$AJ900)=0)),"شماره چک پاس‌شده معتبر نیست",""))))</f>
        <v/>
      </c>
      <c r="V900">
        <f>IF($K900="","",IF(ISNUMBER(Sync!$AK900),Sync!$AK900,LEFT(Sync!$AK900,4)&amp;MID(Sync!$AK900,6,2)&amp;RIGHT(Sync!$AK900,2))&amp;"|"&amp;"4"&amp;RIGHT("00000"&amp;895,5))</f>
        <v/>
      </c>
      <c r="W900">
        <f>IF($V900="",0,COUNTIFS($V$6:$V$2005,"&lt;"&amp;$V900)-COUNTIFS($V$6:$V$2005,"&lt;"&amp;$V900,$K$6:$K$2005,"")+1)</f>
        <v/>
      </c>
      <c r="X900">
        <f>IF(Sync!$AX900="","",IF(OR(N(Sync!$AY900)=0,N(Sync!$AZ900)=0),"",ROUND(N(Sync!$AY900)*N(Sync!$AZ900),0)))</f>
        <v/>
      </c>
      <c r="Y900">
        <f>IF($X900="","",IF(OR(Sync!$AX900="",COUNTIF(AcctCodesA,Sync!$AX900)=0),"متفرقه",Sync!$AX900))</f>
        <v/>
      </c>
      <c r="Z900">
        <f>IF($X900="","","سبد و ظروف")</f>
        <v/>
      </c>
      <c r="AA900">
        <f>IF($X900="","",$Y900)</f>
        <v/>
      </c>
    </row>
    <row r="901">
      <c r="A901">
        <f>IF(Sync!$Z901="","",LEFT(UPPER(TRIM(Sync!$Z901)),6))</f>
        <v/>
      </c>
      <c r="B901">
        <f>IF($A901="","",IF(Sync!$AA901="","",Sync!$AA901))</f>
        <v/>
      </c>
      <c r="C901">
        <f>IF($A901="","",IF(Sync!$AB901="","",Sync!$AB901))</f>
        <v/>
      </c>
      <c r="D901">
        <f>IF($A901="","",IF(Sync!$AC901="","",Sync!$AC901))</f>
        <v/>
      </c>
      <c r="E901">
        <f>IF($A901="","",IF(Sync!$AD901="","",Sync!$AD901))</f>
        <v/>
      </c>
      <c r="F901">
        <f>IF($A901="","",IF(Sync!$AE901="",0,Sync!$AE901))</f>
        <v/>
      </c>
      <c r="G901">
        <f>IF($A901="","",IF(Sync!$AF901="",0,Sync!$AF901))</f>
        <v/>
      </c>
      <c r="H901">
        <f>IF(OR($A901="",ROUND($F901+$G901,2)=0),"",$F901+$G901)</f>
        <v/>
      </c>
      <c r="I901">
        <f>IF($H901="","",IF(ROUND($F901,2)&gt;0,$A901,IF($D901="شخصی قاسم","شخصی قاسم",IF($D901="هزینه","هزینه: "&amp;IF($E901="","متفرقه",$E901),IF($C901="پاس چک","چک پرداختی",IF(OR($B901="",COUNTIF(AcctCodesA,$B901)=0),"متفرقه",$B901))))))</f>
        <v/>
      </c>
      <c r="J901">
        <f>IF($H901="","",IF(ROUND($F901,2)&gt;0,IF($D901="شخصی قاسم","شخصی قاسم",IF($D901="هزینه","هزینه: "&amp;IF($E901="","متفرقه",$E901),IF(OR($B901="",COUNTIF(AcctCodesA,$B901)=0),"متفرقه",$B901))),$A901))</f>
        <v/>
      </c>
      <c r="K901">
        <f>IF($A901="","",IF(AND($B901&lt;&gt;"",COUNTIF(AcctCodesA,$B901)=0),"کد طرف در INFO تعریف نشده",IF(AND($D901="هزینه",$E901=""),"هزینه بدون زیرگروه",IF(AND($C901="پاس چک",OR(Sync!$AJ901="",COUNTIF(IssueNosA,Sync!$AJ901)=0)),"شماره چک پاس‌شده معتبر نیست",""))))</f>
        <v/>
      </c>
      <c r="V901">
        <f>IF($K901="","",IF(ISNUMBER(Sync!$AK901),Sync!$AK901,LEFT(Sync!$AK901,4)&amp;MID(Sync!$AK901,6,2)&amp;RIGHT(Sync!$AK901,2))&amp;"|"&amp;"4"&amp;RIGHT("00000"&amp;896,5))</f>
        <v/>
      </c>
      <c r="W901">
        <f>IF($V901="",0,COUNTIFS($V$6:$V$2005,"&lt;"&amp;$V901)-COUNTIFS($V$6:$V$2005,"&lt;"&amp;$V901,$K$6:$K$2005,"")+1)</f>
        <v/>
      </c>
      <c r="X901">
        <f>IF(Sync!$AX901="","",IF(OR(N(Sync!$AY901)=0,N(Sync!$AZ901)=0),"",ROUND(N(Sync!$AY901)*N(Sync!$AZ901),0)))</f>
        <v/>
      </c>
      <c r="Y901">
        <f>IF($X901="","",IF(OR(Sync!$AX901="",COUNTIF(AcctCodesA,Sync!$AX901)=0),"متفرقه",Sync!$AX901))</f>
        <v/>
      </c>
      <c r="Z901">
        <f>IF($X901="","","سبد و ظروف")</f>
        <v/>
      </c>
      <c r="AA901">
        <f>IF($X901="","",$Y901)</f>
        <v/>
      </c>
    </row>
    <row r="902">
      <c r="A902">
        <f>IF(Sync!$Z902="","",LEFT(UPPER(TRIM(Sync!$Z902)),6))</f>
        <v/>
      </c>
      <c r="B902">
        <f>IF($A902="","",IF(Sync!$AA902="","",Sync!$AA902))</f>
        <v/>
      </c>
      <c r="C902">
        <f>IF($A902="","",IF(Sync!$AB902="","",Sync!$AB902))</f>
        <v/>
      </c>
      <c r="D902">
        <f>IF($A902="","",IF(Sync!$AC902="","",Sync!$AC902))</f>
        <v/>
      </c>
      <c r="E902">
        <f>IF($A902="","",IF(Sync!$AD902="","",Sync!$AD902))</f>
        <v/>
      </c>
      <c r="F902">
        <f>IF($A902="","",IF(Sync!$AE902="",0,Sync!$AE902))</f>
        <v/>
      </c>
      <c r="G902">
        <f>IF($A902="","",IF(Sync!$AF902="",0,Sync!$AF902))</f>
        <v/>
      </c>
      <c r="H902">
        <f>IF(OR($A902="",ROUND($F902+$G902,2)=0),"",$F902+$G902)</f>
        <v/>
      </c>
      <c r="I902">
        <f>IF($H902="","",IF(ROUND($F902,2)&gt;0,$A902,IF($D902="شخصی قاسم","شخصی قاسم",IF($D902="هزینه","هزینه: "&amp;IF($E902="","متفرقه",$E902),IF($C902="پاس چک","چک پرداختی",IF(OR($B902="",COUNTIF(AcctCodesA,$B902)=0),"متفرقه",$B902))))))</f>
        <v/>
      </c>
      <c r="J902">
        <f>IF($H902="","",IF(ROUND($F902,2)&gt;0,IF($D902="شخصی قاسم","شخصی قاسم",IF($D902="هزینه","هزینه: "&amp;IF($E902="","متفرقه",$E902),IF(OR($B902="",COUNTIF(AcctCodesA,$B902)=0),"متفرقه",$B902))),$A902))</f>
        <v/>
      </c>
      <c r="K902">
        <f>IF($A902="","",IF(AND($B902&lt;&gt;"",COUNTIF(AcctCodesA,$B902)=0),"کد طرف در INFO تعریف نشده",IF(AND($D902="هزینه",$E902=""),"هزینه بدون زیرگروه",IF(AND($C902="پاس چک",OR(Sync!$AJ902="",COUNTIF(IssueNosA,Sync!$AJ902)=0)),"شماره چک پاس‌شده معتبر نیست",""))))</f>
        <v/>
      </c>
      <c r="V902">
        <f>IF($K902="","",IF(ISNUMBER(Sync!$AK902),Sync!$AK902,LEFT(Sync!$AK902,4)&amp;MID(Sync!$AK902,6,2)&amp;RIGHT(Sync!$AK902,2))&amp;"|"&amp;"4"&amp;RIGHT("00000"&amp;897,5))</f>
        <v/>
      </c>
      <c r="W902">
        <f>IF($V902="",0,COUNTIFS($V$6:$V$2005,"&lt;"&amp;$V902)-COUNTIFS($V$6:$V$2005,"&lt;"&amp;$V902,$K$6:$K$2005,"")+1)</f>
        <v/>
      </c>
      <c r="X902">
        <f>IF(Sync!$AX902="","",IF(OR(N(Sync!$AY902)=0,N(Sync!$AZ902)=0),"",ROUND(N(Sync!$AY902)*N(Sync!$AZ902),0)))</f>
        <v/>
      </c>
      <c r="Y902">
        <f>IF($X902="","",IF(OR(Sync!$AX902="",COUNTIF(AcctCodesA,Sync!$AX902)=0),"متفرقه",Sync!$AX902))</f>
        <v/>
      </c>
      <c r="Z902">
        <f>IF($X902="","","سبد و ظروف")</f>
        <v/>
      </c>
      <c r="AA902">
        <f>IF($X902="","",$Y902)</f>
        <v/>
      </c>
    </row>
    <row r="903">
      <c r="A903">
        <f>IF(Sync!$Z903="","",LEFT(UPPER(TRIM(Sync!$Z903)),6))</f>
        <v/>
      </c>
      <c r="B903">
        <f>IF($A903="","",IF(Sync!$AA903="","",Sync!$AA903))</f>
        <v/>
      </c>
      <c r="C903">
        <f>IF($A903="","",IF(Sync!$AB903="","",Sync!$AB903))</f>
        <v/>
      </c>
      <c r="D903">
        <f>IF($A903="","",IF(Sync!$AC903="","",Sync!$AC903))</f>
        <v/>
      </c>
      <c r="E903">
        <f>IF($A903="","",IF(Sync!$AD903="","",Sync!$AD903))</f>
        <v/>
      </c>
      <c r="F903">
        <f>IF($A903="","",IF(Sync!$AE903="",0,Sync!$AE903))</f>
        <v/>
      </c>
      <c r="G903">
        <f>IF($A903="","",IF(Sync!$AF903="",0,Sync!$AF903))</f>
        <v/>
      </c>
      <c r="H903">
        <f>IF(OR($A903="",ROUND($F903+$G903,2)=0),"",$F903+$G903)</f>
        <v/>
      </c>
      <c r="I903">
        <f>IF($H903="","",IF(ROUND($F903,2)&gt;0,$A903,IF($D903="شخصی قاسم","شخصی قاسم",IF($D903="هزینه","هزینه: "&amp;IF($E903="","متفرقه",$E903),IF($C903="پاس چک","چک پرداختی",IF(OR($B903="",COUNTIF(AcctCodesA,$B903)=0),"متفرقه",$B903))))))</f>
        <v/>
      </c>
      <c r="J903">
        <f>IF($H903="","",IF(ROUND($F903,2)&gt;0,IF($D903="شخصی قاسم","شخصی قاسم",IF($D903="هزینه","هزینه: "&amp;IF($E903="","متفرقه",$E903),IF(OR($B903="",COUNTIF(AcctCodesA,$B903)=0),"متفرقه",$B903))),$A903))</f>
        <v/>
      </c>
      <c r="K903">
        <f>IF($A903="","",IF(AND($B903&lt;&gt;"",COUNTIF(AcctCodesA,$B903)=0),"کد طرف در INFO تعریف نشده",IF(AND($D903="هزینه",$E903=""),"هزینه بدون زیرگروه",IF(AND($C903="پاس چک",OR(Sync!$AJ903="",COUNTIF(IssueNosA,Sync!$AJ903)=0)),"شماره چک پاس‌شده معتبر نیست",""))))</f>
        <v/>
      </c>
      <c r="V903">
        <f>IF($K903="","",IF(ISNUMBER(Sync!$AK903),Sync!$AK903,LEFT(Sync!$AK903,4)&amp;MID(Sync!$AK903,6,2)&amp;RIGHT(Sync!$AK903,2))&amp;"|"&amp;"4"&amp;RIGHT("00000"&amp;898,5))</f>
        <v/>
      </c>
      <c r="W903">
        <f>IF($V903="",0,COUNTIFS($V$6:$V$2005,"&lt;"&amp;$V903)-COUNTIFS($V$6:$V$2005,"&lt;"&amp;$V903,$K$6:$K$2005,"")+1)</f>
        <v/>
      </c>
      <c r="X903">
        <f>IF(Sync!$AX903="","",IF(OR(N(Sync!$AY903)=0,N(Sync!$AZ903)=0),"",ROUND(N(Sync!$AY903)*N(Sync!$AZ903),0)))</f>
        <v/>
      </c>
      <c r="Y903">
        <f>IF($X903="","",IF(OR(Sync!$AX903="",COUNTIF(AcctCodesA,Sync!$AX903)=0),"متفرقه",Sync!$AX903))</f>
        <v/>
      </c>
      <c r="Z903">
        <f>IF($X903="","","سبد و ظروف")</f>
        <v/>
      </c>
      <c r="AA903">
        <f>IF($X903="","",$Y903)</f>
        <v/>
      </c>
    </row>
    <row r="904">
      <c r="A904">
        <f>IF(Sync!$Z904="","",LEFT(UPPER(TRIM(Sync!$Z904)),6))</f>
        <v/>
      </c>
      <c r="B904">
        <f>IF($A904="","",IF(Sync!$AA904="","",Sync!$AA904))</f>
        <v/>
      </c>
      <c r="C904">
        <f>IF($A904="","",IF(Sync!$AB904="","",Sync!$AB904))</f>
        <v/>
      </c>
      <c r="D904">
        <f>IF($A904="","",IF(Sync!$AC904="","",Sync!$AC904))</f>
        <v/>
      </c>
      <c r="E904">
        <f>IF($A904="","",IF(Sync!$AD904="","",Sync!$AD904))</f>
        <v/>
      </c>
      <c r="F904">
        <f>IF($A904="","",IF(Sync!$AE904="",0,Sync!$AE904))</f>
        <v/>
      </c>
      <c r="G904">
        <f>IF($A904="","",IF(Sync!$AF904="",0,Sync!$AF904))</f>
        <v/>
      </c>
      <c r="H904">
        <f>IF(OR($A904="",ROUND($F904+$G904,2)=0),"",$F904+$G904)</f>
        <v/>
      </c>
      <c r="I904">
        <f>IF($H904="","",IF(ROUND($F904,2)&gt;0,$A904,IF($D904="شخصی قاسم","شخصی قاسم",IF($D904="هزینه","هزینه: "&amp;IF($E904="","متفرقه",$E904),IF($C904="پاس چک","چک پرداختی",IF(OR($B904="",COUNTIF(AcctCodesA,$B904)=0),"متفرقه",$B904))))))</f>
        <v/>
      </c>
      <c r="J904">
        <f>IF($H904="","",IF(ROUND($F904,2)&gt;0,IF($D904="شخصی قاسم","شخصی قاسم",IF($D904="هزینه","هزینه: "&amp;IF($E904="","متفرقه",$E904),IF(OR($B904="",COUNTIF(AcctCodesA,$B904)=0),"متفرقه",$B904))),$A904))</f>
        <v/>
      </c>
      <c r="K904">
        <f>IF($A904="","",IF(AND($B904&lt;&gt;"",COUNTIF(AcctCodesA,$B904)=0),"کد طرف در INFO تعریف نشده",IF(AND($D904="هزینه",$E904=""),"هزینه بدون زیرگروه",IF(AND($C904="پاس چک",OR(Sync!$AJ904="",COUNTIF(IssueNosA,Sync!$AJ904)=0)),"شماره چک پاس‌شده معتبر نیست",""))))</f>
        <v/>
      </c>
      <c r="V904">
        <f>IF($K904="","",IF(ISNUMBER(Sync!$AK904),Sync!$AK904,LEFT(Sync!$AK904,4)&amp;MID(Sync!$AK904,6,2)&amp;RIGHT(Sync!$AK904,2))&amp;"|"&amp;"4"&amp;RIGHT("00000"&amp;899,5))</f>
        <v/>
      </c>
      <c r="W904">
        <f>IF($V904="",0,COUNTIFS($V$6:$V$2005,"&lt;"&amp;$V904)-COUNTIFS($V$6:$V$2005,"&lt;"&amp;$V904,$K$6:$K$2005,"")+1)</f>
        <v/>
      </c>
      <c r="X904">
        <f>IF(Sync!$AX904="","",IF(OR(N(Sync!$AY904)=0,N(Sync!$AZ904)=0),"",ROUND(N(Sync!$AY904)*N(Sync!$AZ904),0)))</f>
        <v/>
      </c>
      <c r="Y904">
        <f>IF($X904="","",IF(OR(Sync!$AX904="",COUNTIF(AcctCodesA,Sync!$AX904)=0),"متفرقه",Sync!$AX904))</f>
        <v/>
      </c>
      <c r="Z904">
        <f>IF($X904="","","سبد و ظروف")</f>
        <v/>
      </c>
      <c r="AA904">
        <f>IF($X904="","",$Y904)</f>
        <v/>
      </c>
    </row>
    <row r="905">
      <c r="A905">
        <f>IF(Sync!$Z905="","",LEFT(UPPER(TRIM(Sync!$Z905)),6))</f>
        <v/>
      </c>
      <c r="B905">
        <f>IF($A905="","",IF(Sync!$AA905="","",Sync!$AA905))</f>
        <v/>
      </c>
      <c r="C905">
        <f>IF($A905="","",IF(Sync!$AB905="","",Sync!$AB905))</f>
        <v/>
      </c>
      <c r="D905">
        <f>IF($A905="","",IF(Sync!$AC905="","",Sync!$AC905))</f>
        <v/>
      </c>
      <c r="E905">
        <f>IF($A905="","",IF(Sync!$AD905="","",Sync!$AD905))</f>
        <v/>
      </c>
      <c r="F905">
        <f>IF($A905="","",IF(Sync!$AE905="",0,Sync!$AE905))</f>
        <v/>
      </c>
      <c r="G905">
        <f>IF($A905="","",IF(Sync!$AF905="",0,Sync!$AF905))</f>
        <v/>
      </c>
      <c r="H905">
        <f>IF(OR($A905="",ROUND($F905+$G905,2)=0),"",$F905+$G905)</f>
        <v/>
      </c>
      <c r="I905">
        <f>IF($H905="","",IF(ROUND($F905,2)&gt;0,$A905,IF($D905="شخصی قاسم","شخصی قاسم",IF($D905="هزینه","هزینه: "&amp;IF($E905="","متفرقه",$E905),IF($C905="پاس چک","چک پرداختی",IF(OR($B905="",COUNTIF(AcctCodesA,$B905)=0),"متفرقه",$B905))))))</f>
        <v/>
      </c>
      <c r="J905">
        <f>IF($H905="","",IF(ROUND($F905,2)&gt;0,IF($D905="شخصی قاسم","شخصی قاسم",IF($D905="هزینه","هزینه: "&amp;IF($E905="","متفرقه",$E905),IF(OR($B905="",COUNTIF(AcctCodesA,$B905)=0),"متفرقه",$B905))),$A905))</f>
        <v/>
      </c>
      <c r="K905">
        <f>IF($A905="","",IF(AND($B905&lt;&gt;"",COUNTIF(AcctCodesA,$B905)=0),"کد طرف در INFO تعریف نشده",IF(AND($D905="هزینه",$E905=""),"هزینه بدون زیرگروه",IF(AND($C905="پاس چک",OR(Sync!$AJ905="",COUNTIF(IssueNosA,Sync!$AJ905)=0)),"شماره چک پاس‌شده معتبر نیست",""))))</f>
        <v/>
      </c>
      <c r="V905">
        <f>IF($K905="","",IF(ISNUMBER(Sync!$AK905),Sync!$AK905,LEFT(Sync!$AK905,4)&amp;MID(Sync!$AK905,6,2)&amp;RIGHT(Sync!$AK905,2))&amp;"|"&amp;"4"&amp;RIGHT("00000"&amp;900,5))</f>
        <v/>
      </c>
      <c r="W905">
        <f>IF($V905="",0,COUNTIFS($V$6:$V$2005,"&lt;"&amp;$V905)-COUNTIFS($V$6:$V$2005,"&lt;"&amp;$V905,$K$6:$K$2005,"")+1)</f>
        <v/>
      </c>
      <c r="X905">
        <f>IF(Sync!$AX905="","",IF(OR(N(Sync!$AY905)=0,N(Sync!$AZ905)=0),"",ROUND(N(Sync!$AY905)*N(Sync!$AZ905),0)))</f>
        <v/>
      </c>
      <c r="Y905">
        <f>IF($X905="","",IF(OR(Sync!$AX905="",COUNTIF(AcctCodesA,Sync!$AX905)=0),"متفرقه",Sync!$AX905))</f>
        <v/>
      </c>
      <c r="Z905">
        <f>IF($X905="","","سبد و ظروف")</f>
        <v/>
      </c>
      <c r="AA905">
        <f>IF($X905="","",$Y905)</f>
        <v/>
      </c>
    </row>
    <row r="906">
      <c r="A906">
        <f>IF(Sync!$Z906="","",LEFT(UPPER(TRIM(Sync!$Z906)),6))</f>
        <v/>
      </c>
      <c r="B906">
        <f>IF($A906="","",IF(Sync!$AA906="","",Sync!$AA906))</f>
        <v/>
      </c>
      <c r="C906">
        <f>IF($A906="","",IF(Sync!$AB906="","",Sync!$AB906))</f>
        <v/>
      </c>
      <c r="D906">
        <f>IF($A906="","",IF(Sync!$AC906="","",Sync!$AC906))</f>
        <v/>
      </c>
      <c r="E906">
        <f>IF($A906="","",IF(Sync!$AD906="","",Sync!$AD906))</f>
        <v/>
      </c>
      <c r="F906">
        <f>IF($A906="","",IF(Sync!$AE906="",0,Sync!$AE906))</f>
        <v/>
      </c>
      <c r="G906">
        <f>IF($A906="","",IF(Sync!$AF906="",0,Sync!$AF906))</f>
        <v/>
      </c>
      <c r="H906">
        <f>IF(OR($A906="",ROUND($F906+$G906,2)=0),"",$F906+$G906)</f>
        <v/>
      </c>
      <c r="I906">
        <f>IF($H906="","",IF(ROUND($F906,2)&gt;0,$A906,IF($D906="شخصی قاسم","شخصی قاسم",IF($D906="هزینه","هزینه: "&amp;IF($E906="","متفرقه",$E906),IF($C906="پاس چک","چک پرداختی",IF(OR($B906="",COUNTIF(AcctCodesA,$B906)=0),"متفرقه",$B906))))))</f>
        <v/>
      </c>
      <c r="J906">
        <f>IF($H906="","",IF(ROUND($F906,2)&gt;0,IF($D906="شخصی قاسم","شخصی قاسم",IF($D906="هزینه","هزینه: "&amp;IF($E906="","متفرقه",$E906),IF(OR($B906="",COUNTIF(AcctCodesA,$B906)=0),"متفرقه",$B906))),$A906))</f>
        <v/>
      </c>
      <c r="K906">
        <f>IF($A906="","",IF(AND($B906&lt;&gt;"",COUNTIF(AcctCodesA,$B906)=0),"کد طرف در INFO تعریف نشده",IF(AND($D906="هزینه",$E906=""),"هزینه بدون زیرگروه",IF(AND($C906="پاس چک",OR(Sync!$AJ906="",COUNTIF(IssueNosA,Sync!$AJ906)=0)),"شماره چک پاس‌شده معتبر نیست",""))))</f>
        <v/>
      </c>
      <c r="V906">
        <f>IF($K906="","",IF(ISNUMBER(Sync!$AK906),Sync!$AK906,LEFT(Sync!$AK906,4)&amp;MID(Sync!$AK906,6,2)&amp;RIGHT(Sync!$AK906,2))&amp;"|"&amp;"4"&amp;RIGHT("00000"&amp;901,5))</f>
        <v/>
      </c>
      <c r="W906">
        <f>IF($V906="",0,COUNTIFS($V$6:$V$2005,"&lt;"&amp;$V906)-COUNTIFS($V$6:$V$2005,"&lt;"&amp;$V906,$K$6:$K$2005,"")+1)</f>
        <v/>
      </c>
      <c r="X906">
        <f>IF(Sync!$AX906="","",IF(OR(N(Sync!$AY906)=0,N(Sync!$AZ906)=0),"",ROUND(N(Sync!$AY906)*N(Sync!$AZ906),0)))</f>
        <v/>
      </c>
      <c r="Y906">
        <f>IF($X906="","",IF(OR(Sync!$AX906="",COUNTIF(AcctCodesA,Sync!$AX906)=0),"متفرقه",Sync!$AX906))</f>
        <v/>
      </c>
      <c r="Z906">
        <f>IF($X906="","","سبد و ظروف")</f>
        <v/>
      </c>
      <c r="AA906">
        <f>IF($X906="","",$Y906)</f>
        <v/>
      </c>
    </row>
    <row r="907">
      <c r="A907">
        <f>IF(Sync!$Z907="","",LEFT(UPPER(TRIM(Sync!$Z907)),6))</f>
        <v/>
      </c>
      <c r="B907">
        <f>IF($A907="","",IF(Sync!$AA907="","",Sync!$AA907))</f>
        <v/>
      </c>
      <c r="C907">
        <f>IF($A907="","",IF(Sync!$AB907="","",Sync!$AB907))</f>
        <v/>
      </c>
      <c r="D907">
        <f>IF($A907="","",IF(Sync!$AC907="","",Sync!$AC907))</f>
        <v/>
      </c>
      <c r="E907">
        <f>IF($A907="","",IF(Sync!$AD907="","",Sync!$AD907))</f>
        <v/>
      </c>
      <c r="F907">
        <f>IF($A907="","",IF(Sync!$AE907="",0,Sync!$AE907))</f>
        <v/>
      </c>
      <c r="G907">
        <f>IF($A907="","",IF(Sync!$AF907="",0,Sync!$AF907))</f>
        <v/>
      </c>
      <c r="H907">
        <f>IF(OR($A907="",ROUND($F907+$G907,2)=0),"",$F907+$G907)</f>
        <v/>
      </c>
      <c r="I907">
        <f>IF($H907="","",IF(ROUND($F907,2)&gt;0,$A907,IF($D907="شخصی قاسم","شخصی قاسم",IF($D907="هزینه","هزینه: "&amp;IF($E907="","متفرقه",$E907),IF($C907="پاس چک","چک پرداختی",IF(OR($B907="",COUNTIF(AcctCodesA,$B907)=0),"متفرقه",$B907))))))</f>
        <v/>
      </c>
      <c r="J907">
        <f>IF($H907="","",IF(ROUND($F907,2)&gt;0,IF($D907="شخصی قاسم","شخصی قاسم",IF($D907="هزینه","هزینه: "&amp;IF($E907="","متفرقه",$E907),IF(OR($B907="",COUNTIF(AcctCodesA,$B907)=0),"متفرقه",$B907))),$A907))</f>
        <v/>
      </c>
      <c r="K907">
        <f>IF($A907="","",IF(AND($B907&lt;&gt;"",COUNTIF(AcctCodesA,$B907)=0),"کد طرف در INFO تعریف نشده",IF(AND($D907="هزینه",$E907=""),"هزینه بدون زیرگروه",IF(AND($C907="پاس چک",OR(Sync!$AJ907="",COUNTIF(IssueNosA,Sync!$AJ907)=0)),"شماره چک پاس‌شده معتبر نیست",""))))</f>
        <v/>
      </c>
      <c r="V907">
        <f>IF($K907="","",IF(ISNUMBER(Sync!$AK907),Sync!$AK907,LEFT(Sync!$AK907,4)&amp;MID(Sync!$AK907,6,2)&amp;RIGHT(Sync!$AK907,2))&amp;"|"&amp;"4"&amp;RIGHT("00000"&amp;902,5))</f>
        <v/>
      </c>
      <c r="W907">
        <f>IF($V907="",0,COUNTIFS($V$6:$V$2005,"&lt;"&amp;$V907)-COUNTIFS($V$6:$V$2005,"&lt;"&amp;$V907,$K$6:$K$2005,"")+1)</f>
        <v/>
      </c>
      <c r="X907">
        <f>IF(Sync!$AX907="","",IF(OR(N(Sync!$AY907)=0,N(Sync!$AZ907)=0),"",ROUND(N(Sync!$AY907)*N(Sync!$AZ907),0)))</f>
        <v/>
      </c>
      <c r="Y907">
        <f>IF($X907="","",IF(OR(Sync!$AX907="",COUNTIF(AcctCodesA,Sync!$AX907)=0),"متفرقه",Sync!$AX907))</f>
        <v/>
      </c>
      <c r="Z907">
        <f>IF($X907="","","سبد و ظروف")</f>
        <v/>
      </c>
      <c r="AA907">
        <f>IF($X907="","",$Y907)</f>
        <v/>
      </c>
    </row>
    <row r="908">
      <c r="A908">
        <f>IF(Sync!$Z908="","",LEFT(UPPER(TRIM(Sync!$Z908)),6))</f>
        <v/>
      </c>
      <c r="B908">
        <f>IF($A908="","",IF(Sync!$AA908="","",Sync!$AA908))</f>
        <v/>
      </c>
      <c r="C908">
        <f>IF($A908="","",IF(Sync!$AB908="","",Sync!$AB908))</f>
        <v/>
      </c>
      <c r="D908">
        <f>IF($A908="","",IF(Sync!$AC908="","",Sync!$AC908))</f>
        <v/>
      </c>
      <c r="E908">
        <f>IF($A908="","",IF(Sync!$AD908="","",Sync!$AD908))</f>
        <v/>
      </c>
      <c r="F908">
        <f>IF($A908="","",IF(Sync!$AE908="",0,Sync!$AE908))</f>
        <v/>
      </c>
      <c r="G908">
        <f>IF($A908="","",IF(Sync!$AF908="",0,Sync!$AF908))</f>
        <v/>
      </c>
      <c r="H908">
        <f>IF(OR($A908="",ROUND($F908+$G908,2)=0),"",$F908+$G908)</f>
        <v/>
      </c>
      <c r="I908">
        <f>IF($H908="","",IF(ROUND($F908,2)&gt;0,$A908,IF($D908="شخصی قاسم","شخصی قاسم",IF($D908="هزینه","هزینه: "&amp;IF($E908="","متفرقه",$E908),IF($C908="پاس چک","چک پرداختی",IF(OR($B908="",COUNTIF(AcctCodesA,$B908)=0),"متفرقه",$B908))))))</f>
        <v/>
      </c>
      <c r="J908">
        <f>IF($H908="","",IF(ROUND($F908,2)&gt;0,IF($D908="شخصی قاسم","شخصی قاسم",IF($D908="هزینه","هزینه: "&amp;IF($E908="","متفرقه",$E908),IF(OR($B908="",COUNTIF(AcctCodesA,$B908)=0),"متفرقه",$B908))),$A908))</f>
        <v/>
      </c>
      <c r="K908">
        <f>IF($A908="","",IF(AND($B908&lt;&gt;"",COUNTIF(AcctCodesA,$B908)=0),"کد طرف در INFO تعریف نشده",IF(AND($D908="هزینه",$E908=""),"هزینه بدون زیرگروه",IF(AND($C908="پاس چک",OR(Sync!$AJ908="",COUNTIF(IssueNosA,Sync!$AJ908)=0)),"شماره چک پاس‌شده معتبر نیست",""))))</f>
        <v/>
      </c>
      <c r="V908">
        <f>IF($K908="","",IF(ISNUMBER(Sync!$AK908),Sync!$AK908,LEFT(Sync!$AK908,4)&amp;MID(Sync!$AK908,6,2)&amp;RIGHT(Sync!$AK908,2))&amp;"|"&amp;"4"&amp;RIGHT("00000"&amp;903,5))</f>
        <v/>
      </c>
      <c r="W908">
        <f>IF($V908="",0,COUNTIFS($V$6:$V$2005,"&lt;"&amp;$V908)-COUNTIFS($V$6:$V$2005,"&lt;"&amp;$V908,$K$6:$K$2005,"")+1)</f>
        <v/>
      </c>
      <c r="X908">
        <f>IF(Sync!$AX908="","",IF(OR(N(Sync!$AY908)=0,N(Sync!$AZ908)=0),"",ROUND(N(Sync!$AY908)*N(Sync!$AZ908),0)))</f>
        <v/>
      </c>
      <c r="Y908">
        <f>IF($X908="","",IF(OR(Sync!$AX908="",COUNTIF(AcctCodesA,Sync!$AX908)=0),"متفرقه",Sync!$AX908))</f>
        <v/>
      </c>
      <c r="Z908">
        <f>IF($X908="","","سبد و ظروف")</f>
        <v/>
      </c>
      <c r="AA908">
        <f>IF($X908="","",$Y908)</f>
        <v/>
      </c>
    </row>
    <row r="909">
      <c r="A909">
        <f>IF(Sync!$Z909="","",LEFT(UPPER(TRIM(Sync!$Z909)),6))</f>
        <v/>
      </c>
      <c r="B909">
        <f>IF($A909="","",IF(Sync!$AA909="","",Sync!$AA909))</f>
        <v/>
      </c>
      <c r="C909">
        <f>IF($A909="","",IF(Sync!$AB909="","",Sync!$AB909))</f>
        <v/>
      </c>
      <c r="D909">
        <f>IF($A909="","",IF(Sync!$AC909="","",Sync!$AC909))</f>
        <v/>
      </c>
      <c r="E909">
        <f>IF($A909="","",IF(Sync!$AD909="","",Sync!$AD909))</f>
        <v/>
      </c>
      <c r="F909">
        <f>IF($A909="","",IF(Sync!$AE909="",0,Sync!$AE909))</f>
        <v/>
      </c>
      <c r="G909">
        <f>IF($A909="","",IF(Sync!$AF909="",0,Sync!$AF909))</f>
        <v/>
      </c>
      <c r="H909">
        <f>IF(OR($A909="",ROUND($F909+$G909,2)=0),"",$F909+$G909)</f>
        <v/>
      </c>
      <c r="I909">
        <f>IF($H909="","",IF(ROUND($F909,2)&gt;0,$A909,IF($D909="شخصی قاسم","شخصی قاسم",IF($D909="هزینه","هزینه: "&amp;IF($E909="","متفرقه",$E909),IF($C909="پاس چک","چک پرداختی",IF(OR($B909="",COUNTIF(AcctCodesA,$B909)=0),"متفرقه",$B909))))))</f>
        <v/>
      </c>
      <c r="J909">
        <f>IF($H909="","",IF(ROUND($F909,2)&gt;0,IF($D909="شخصی قاسم","شخصی قاسم",IF($D909="هزینه","هزینه: "&amp;IF($E909="","متفرقه",$E909),IF(OR($B909="",COUNTIF(AcctCodesA,$B909)=0),"متفرقه",$B909))),$A909))</f>
        <v/>
      </c>
      <c r="K909">
        <f>IF($A909="","",IF(AND($B909&lt;&gt;"",COUNTIF(AcctCodesA,$B909)=0),"کد طرف در INFO تعریف نشده",IF(AND($D909="هزینه",$E909=""),"هزینه بدون زیرگروه",IF(AND($C909="پاس چک",OR(Sync!$AJ909="",COUNTIF(IssueNosA,Sync!$AJ909)=0)),"شماره چک پاس‌شده معتبر نیست",""))))</f>
        <v/>
      </c>
      <c r="V909">
        <f>IF($K909="","",IF(ISNUMBER(Sync!$AK909),Sync!$AK909,LEFT(Sync!$AK909,4)&amp;MID(Sync!$AK909,6,2)&amp;RIGHT(Sync!$AK909,2))&amp;"|"&amp;"4"&amp;RIGHT("00000"&amp;904,5))</f>
        <v/>
      </c>
      <c r="W909">
        <f>IF($V909="",0,COUNTIFS($V$6:$V$2005,"&lt;"&amp;$V909)-COUNTIFS($V$6:$V$2005,"&lt;"&amp;$V909,$K$6:$K$2005,"")+1)</f>
        <v/>
      </c>
      <c r="X909">
        <f>IF(Sync!$AX909="","",IF(OR(N(Sync!$AY909)=0,N(Sync!$AZ909)=0),"",ROUND(N(Sync!$AY909)*N(Sync!$AZ909),0)))</f>
        <v/>
      </c>
      <c r="Y909">
        <f>IF($X909="","",IF(OR(Sync!$AX909="",COUNTIF(AcctCodesA,Sync!$AX909)=0),"متفرقه",Sync!$AX909))</f>
        <v/>
      </c>
      <c r="Z909">
        <f>IF($X909="","","سبد و ظروف")</f>
        <v/>
      </c>
      <c r="AA909">
        <f>IF($X909="","",$Y909)</f>
        <v/>
      </c>
    </row>
    <row r="910">
      <c r="A910">
        <f>IF(Sync!$Z910="","",LEFT(UPPER(TRIM(Sync!$Z910)),6))</f>
        <v/>
      </c>
      <c r="B910">
        <f>IF($A910="","",IF(Sync!$AA910="","",Sync!$AA910))</f>
        <v/>
      </c>
      <c r="C910">
        <f>IF($A910="","",IF(Sync!$AB910="","",Sync!$AB910))</f>
        <v/>
      </c>
      <c r="D910">
        <f>IF($A910="","",IF(Sync!$AC910="","",Sync!$AC910))</f>
        <v/>
      </c>
      <c r="E910">
        <f>IF($A910="","",IF(Sync!$AD910="","",Sync!$AD910))</f>
        <v/>
      </c>
      <c r="F910">
        <f>IF($A910="","",IF(Sync!$AE910="",0,Sync!$AE910))</f>
        <v/>
      </c>
      <c r="G910">
        <f>IF($A910="","",IF(Sync!$AF910="",0,Sync!$AF910))</f>
        <v/>
      </c>
      <c r="H910">
        <f>IF(OR($A910="",ROUND($F910+$G910,2)=0),"",$F910+$G910)</f>
        <v/>
      </c>
      <c r="I910">
        <f>IF($H910="","",IF(ROUND($F910,2)&gt;0,$A910,IF($D910="شخصی قاسم","شخصی قاسم",IF($D910="هزینه","هزینه: "&amp;IF($E910="","متفرقه",$E910),IF($C910="پاس چک","چک پرداختی",IF(OR($B910="",COUNTIF(AcctCodesA,$B910)=0),"متفرقه",$B910))))))</f>
        <v/>
      </c>
      <c r="J910">
        <f>IF($H910="","",IF(ROUND($F910,2)&gt;0,IF($D910="شخصی قاسم","شخصی قاسم",IF($D910="هزینه","هزینه: "&amp;IF($E910="","متفرقه",$E910),IF(OR($B910="",COUNTIF(AcctCodesA,$B910)=0),"متفرقه",$B910))),$A910))</f>
        <v/>
      </c>
      <c r="K910">
        <f>IF($A910="","",IF(AND($B910&lt;&gt;"",COUNTIF(AcctCodesA,$B910)=0),"کد طرف در INFO تعریف نشده",IF(AND($D910="هزینه",$E910=""),"هزینه بدون زیرگروه",IF(AND($C910="پاس چک",OR(Sync!$AJ910="",COUNTIF(IssueNosA,Sync!$AJ910)=0)),"شماره چک پاس‌شده معتبر نیست",""))))</f>
        <v/>
      </c>
      <c r="V910">
        <f>IF($K910="","",IF(ISNUMBER(Sync!$AK910),Sync!$AK910,LEFT(Sync!$AK910,4)&amp;MID(Sync!$AK910,6,2)&amp;RIGHT(Sync!$AK910,2))&amp;"|"&amp;"4"&amp;RIGHT("00000"&amp;905,5))</f>
        <v/>
      </c>
      <c r="W910">
        <f>IF($V910="",0,COUNTIFS($V$6:$V$2005,"&lt;"&amp;$V910)-COUNTIFS($V$6:$V$2005,"&lt;"&amp;$V910,$K$6:$K$2005,"")+1)</f>
        <v/>
      </c>
      <c r="X910">
        <f>IF(Sync!$AX910="","",IF(OR(N(Sync!$AY910)=0,N(Sync!$AZ910)=0),"",ROUND(N(Sync!$AY910)*N(Sync!$AZ910),0)))</f>
        <v/>
      </c>
      <c r="Y910">
        <f>IF($X910="","",IF(OR(Sync!$AX910="",COUNTIF(AcctCodesA,Sync!$AX910)=0),"متفرقه",Sync!$AX910))</f>
        <v/>
      </c>
      <c r="Z910">
        <f>IF($X910="","","سبد و ظروف")</f>
        <v/>
      </c>
      <c r="AA910">
        <f>IF($X910="","",$Y910)</f>
        <v/>
      </c>
    </row>
    <row r="911">
      <c r="A911">
        <f>IF(Sync!$Z911="","",LEFT(UPPER(TRIM(Sync!$Z911)),6))</f>
        <v/>
      </c>
      <c r="B911">
        <f>IF($A911="","",IF(Sync!$AA911="","",Sync!$AA911))</f>
        <v/>
      </c>
      <c r="C911">
        <f>IF($A911="","",IF(Sync!$AB911="","",Sync!$AB911))</f>
        <v/>
      </c>
      <c r="D911">
        <f>IF($A911="","",IF(Sync!$AC911="","",Sync!$AC911))</f>
        <v/>
      </c>
      <c r="E911">
        <f>IF($A911="","",IF(Sync!$AD911="","",Sync!$AD911))</f>
        <v/>
      </c>
      <c r="F911">
        <f>IF($A911="","",IF(Sync!$AE911="",0,Sync!$AE911))</f>
        <v/>
      </c>
      <c r="G911">
        <f>IF($A911="","",IF(Sync!$AF911="",0,Sync!$AF911))</f>
        <v/>
      </c>
      <c r="H911">
        <f>IF(OR($A911="",ROUND($F911+$G911,2)=0),"",$F911+$G911)</f>
        <v/>
      </c>
      <c r="I911">
        <f>IF($H911="","",IF(ROUND($F911,2)&gt;0,$A911,IF($D911="شخصی قاسم","شخصی قاسم",IF($D911="هزینه","هزینه: "&amp;IF($E911="","متفرقه",$E911),IF($C911="پاس چک","چک پرداختی",IF(OR($B911="",COUNTIF(AcctCodesA,$B911)=0),"متفرقه",$B911))))))</f>
        <v/>
      </c>
      <c r="J911">
        <f>IF($H911="","",IF(ROUND($F911,2)&gt;0,IF($D911="شخصی قاسم","شخصی قاسم",IF($D911="هزینه","هزینه: "&amp;IF($E911="","متفرقه",$E911),IF(OR($B911="",COUNTIF(AcctCodesA,$B911)=0),"متفرقه",$B911))),$A911))</f>
        <v/>
      </c>
      <c r="K911">
        <f>IF($A911="","",IF(AND($B911&lt;&gt;"",COUNTIF(AcctCodesA,$B911)=0),"کد طرف در INFO تعریف نشده",IF(AND($D911="هزینه",$E911=""),"هزینه بدون زیرگروه",IF(AND($C911="پاس چک",OR(Sync!$AJ911="",COUNTIF(IssueNosA,Sync!$AJ911)=0)),"شماره چک پاس‌شده معتبر نیست",""))))</f>
        <v/>
      </c>
      <c r="V911">
        <f>IF($K911="","",IF(ISNUMBER(Sync!$AK911),Sync!$AK911,LEFT(Sync!$AK911,4)&amp;MID(Sync!$AK911,6,2)&amp;RIGHT(Sync!$AK911,2))&amp;"|"&amp;"4"&amp;RIGHT("00000"&amp;906,5))</f>
        <v/>
      </c>
      <c r="W911">
        <f>IF($V911="",0,COUNTIFS($V$6:$V$2005,"&lt;"&amp;$V911)-COUNTIFS($V$6:$V$2005,"&lt;"&amp;$V911,$K$6:$K$2005,"")+1)</f>
        <v/>
      </c>
      <c r="X911">
        <f>IF(Sync!$AX911="","",IF(OR(N(Sync!$AY911)=0,N(Sync!$AZ911)=0),"",ROUND(N(Sync!$AY911)*N(Sync!$AZ911),0)))</f>
        <v/>
      </c>
      <c r="Y911">
        <f>IF($X911="","",IF(OR(Sync!$AX911="",COUNTIF(AcctCodesA,Sync!$AX911)=0),"متفرقه",Sync!$AX911))</f>
        <v/>
      </c>
      <c r="Z911">
        <f>IF($X911="","","سبد و ظروف")</f>
        <v/>
      </c>
      <c r="AA911">
        <f>IF($X911="","",$Y911)</f>
        <v/>
      </c>
    </row>
    <row r="912">
      <c r="A912">
        <f>IF(Sync!$Z912="","",LEFT(UPPER(TRIM(Sync!$Z912)),6))</f>
        <v/>
      </c>
      <c r="B912">
        <f>IF($A912="","",IF(Sync!$AA912="","",Sync!$AA912))</f>
        <v/>
      </c>
      <c r="C912">
        <f>IF($A912="","",IF(Sync!$AB912="","",Sync!$AB912))</f>
        <v/>
      </c>
      <c r="D912">
        <f>IF($A912="","",IF(Sync!$AC912="","",Sync!$AC912))</f>
        <v/>
      </c>
      <c r="E912">
        <f>IF($A912="","",IF(Sync!$AD912="","",Sync!$AD912))</f>
        <v/>
      </c>
      <c r="F912">
        <f>IF($A912="","",IF(Sync!$AE912="",0,Sync!$AE912))</f>
        <v/>
      </c>
      <c r="G912">
        <f>IF($A912="","",IF(Sync!$AF912="",0,Sync!$AF912))</f>
        <v/>
      </c>
      <c r="H912">
        <f>IF(OR($A912="",ROUND($F912+$G912,2)=0),"",$F912+$G912)</f>
        <v/>
      </c>
      <c r="I912">
        <f>IF($H912="","",IF(ROUND($F912,2)&gt;0,$A912,IF($D912="شخصی قاسم","شخصی قاسم",IF($D912="هزینه","هزینه: "&amp;IF($E912="","متفرقه",$E912),IF($C912="پاس چک","چک پرداختی",IF(OR($B912="",COUNTIF(AcctCodesA,$B912)=0),"متفرقه",$B912))))))</f>
        <v/>
      </c>
      <c r="J912">
        <f>IF($H912="","",IF(ROUND($F912,2)&gt;0,IF($D912="شخصی قاسم","شخصی قاسم",IF($D912="هزینه","هزینه: "&amp;IF($E912="","متفرقه",$E912),IF(OR($B912="",COUNTIF(AcctCodesA,$B912)=0),"متفرقه",$B912))),$A912))</f>
        <v/>
      </c>
      <c r="K912">
        <f>IF($A912="","",IF(AND($B912&lt;&gt;"",COUNTIF(AcctCodesA,$B912)=0),"کد طرف در INFO تعریف نشده",IF(AND($D912="هزینه",$E912=""),"هزینه بدون زیرگروه",IF(AND($C912="پاس چک",OR(Sync!$AJ912="",COUNTIF(IssueNosA,Sync!$AJ912)=0)),"شماره چک پاس‌شده معتبر نیست",""))))</f>
        <v/>
      </c>
      <c r="V912">
        <f>IF($K912="","",IF(ISNUMBER(Sync!$AK912),Sync!$AK912,LEFT(Sync!$AK912,4)&amp;MID(Sync!$AK912,6,2)&amp;RIGHT(Sync!$AK912,2))&amp;"|"&amp;"4"&amp;RIGHT("00000"&amp;907,5))</f>
        <v/>
      </c>
      <c r="W912">
        <f>IF($V912="",0,COUNTIFS($V$6:$V$2005,"&lt;"&amp;$V912)-COUNTIFS($V$6:$V$2005,"&lt;"&amp;$V912,$K$6:$K$2005,"")+1)</f>
        <v/>
      </c>
      <c r="X912">
        <f>IF(Sync!$AX912="","",IF(OR(N(Sync!$AY912)=0,N(Sync!$AZ912)=0),"",ROUND(N(Sync!$AY912)*N(Sync!$AZ912),0)))</f>
        <v/>
      </c>
      <c r="Y912">
        <f>IF($X912="","",IF(OR(Sync!$AX912="",COUNTIF(AcctCodesA,Sync!$AX912)=0),"متفرقه",Sync!$AX912))</f>
        <v/>
      </c>
      <c r="Z912">
        <f>IF($X912="","","سبد و ظروف")</f>
        <v/>
      </c>
      <c r="AA912">
        <f>IF($X912="","",$Y912)</f>
        <v/>
      </c>
    </row>
    <row r="913">
      <c r="A913">
        <f>IF(Sync!$Z913="","",LEFT(UPPER(TRIM(Sync!$Z913)),6))</f>
        <v/>
      </c>
      <c r="B913">
        <f>IF($A913="","",IF(Sync!$AA913="","",Sync!$AA913))</f>
        <v/>
      </c>
      <c r="C913">
        <f>IF($A913="","",IF(Sync!$AB913="","",Sync!$AB913))</f>
        <v/>
      </c>
      <c r="D913">
        <f>IF($A913="","",IF(Sync!$AC913="","",Sync!$AC913))</f>
        <v/>
      </c>
      <c r="E913">
        <f>IF($A913="","",IF(Sync!$AD913="","",Sync!$AD913))</f>
        <v/>
      </c>
      <c r="F913">
        <f>IF($A913="","",IF(Sync!$AE913="",0,Sync!$AE913))</f>
        <v/>
      </c>
      <c r="G913">
        <f>IF($A913="","",IF(Sync!$AF913="",0,Sync!$AF913))</f>
        <v/>
      </c>
      <c r="H913">
        <f>IF(OR($A913="",ROUND($F913+$G913,2)=0),"",$F913+$G913)</f>
        <v/>
      </c>
      <c r="I913">
        <f>IF($H913="","",IF(ROUND($F913,2)&gt;0,$A913,IF($D913="شخصی قاسم","شخصی قاسم",IF($D913="هزینه","هزینه: "&amp;IF($E913="","متفرقه",$E913),IF($C913="پاس چک","چک پرداختی",IF(OR($B913="",COUNTIF(AcctCodesA,$B913)=0),"متفرقه",$B913))))))</f>
        <v/>
      </c>
      <c r="J913">
        <f>IF($H913="","",IF(ROUND($F913,2)&gt;0,IF($D913="شخصی قاسم","شخصی قاسم",IF($D913="هزینه","هزینه: "&amp;IF($E913="","متفرقه",$E913),IF(OR($B913="",COUNTIF(AcctCodesA,$B913)=0),"متفرقه",$B913))),$A913))</f>
        <v/>
      </c>
      <c r="K913">
        <f>IF($A913="","",IF(AND($B913&lt;&gt;"",COUNTIF(AcctCodesA,$B913)=0),"کد طرف در INFO تعریف نشده",IF(AND($D913="هزینه",$E913=""),"هزینه بدون زیرگروه",IF(AND($C913="پاس چک",OR(Sync!$AJ913="",COUNTIF(IssueNosA,Sync!$AJ913)=0)),"شماره چک پاس‌شده معتبر نیست",""))))</f>
        <v/>
      </c>
      <c r="V913">
        <f>IF($K913="","",IF(ISNUMBER(Sync!$AK913),Sync!$AK913,LEFT(Sync!$AK913,4)&amp;MID(Sync!$AK913,6,2)&amp;RIGHT(Sync!$AK913,2))&amp;"|"&amp;"4"&amp;RIGHT("00000"&amp;908,5))</f>
        <v/>
      </c>
      <c r="W913">
        <f>IF($V913="",0,COUNTIFS($V$6:$V$2005,"&lt;"&amp;$V913)-COUNTIFS($V$6:$V$2005,"&lt;"&amp;$V913,$K$6:$K$2005,"")+1)</f>
        <v/>
      </c>
      <c r="X913">
        <f>IF(Sync!$AX913="","",IF(OR(N(Sync!$AY913)=0,N(Sync!$AZ913)=0),"",ROUND(N(Sync!$AY913)*N(Sync!$AZ913),0)))</f>
        <v/>
      </c>
      <c r="Y913">
        <f>IF($X913="","",IF(OR(Sync!$AX913="",COUNTIF(AcctCodesA,Sync!$AX913)=0),"متفرقه",Sync!$AX913))</f>
        <v/>
      </c>
      <c r="Z913">
        <f>IF($X913="","","سبد و ظروف")</f>
        <v/>
      </c>
      <c r="AA913">
        <f>IF($X913="","",$Y913)</f>
        <v/>
      </c>
    </row>
    <row r="914">
      <c r="A914">
        <f>IF(Sync!$Z914="","",LEFT(UPPER(TRIM(Sync!$Z914)),6))</f>
        <v/>
      </c>
      <c r="B914">
        <f>IF($A914="","",IF(Sync!$AA914="","",Sync!$AA914))</f>
        <v/>
      </c>
      <c r="C914">
        <f>IF($A914="","",IF(Sync!$AB914="","",Sync!$AB914))</f>
        <v/>
      </c>
      <c r="D914">
        <f>IF($A914="","",IF(Sync!$AC914="","",Sync!$AC914))</f>
        <v/>
      </c>
      <c r="E914">
        <f>IF($A914="","",IF(Sync!$AD914="","",Sync!$AD914))</f>
        <v/>
      </c>
      <c r="F914">
        <f>IF($A914="","",IF(Sync!$AE914="",0,Sync!$AE914))</f>
        <v/>
      </c>
      <c r="G914">
        <f>IF($A914="","",IF(Sync!$AF914="",0,Sync!$AF914))</f>
        <v/>
      </c>
      <c r="H914">
        <f>IF(OR($A914="",ROUND($F914+$G914,2)=0),"",$F914+$G914)</f>
        <v/>
      </c>
      <c r="I914">
        <f>IF($H914="","",IF(ROUND($F914,2)&gt;0,$A914,IF($D914="شخصی قاسم","شخصی قاسم",IF($D914="هزینه","هزینه: "&amp;IF($E914="","متفرقه",$E914),IF($C914="پاس چک","چک پرداختی",IF(OR($B914="",COUNTIF(AcctCodesA,$B914)=0),"متفرقه",$B914))))))</f>
        <v/>
      </c>
      <c r="J914">
        <f>IF($H914="","",IF(ROUND($F914,2)&gt;0,IF($D914="شخصی قاسم","شخصی قاسم",IF($D914="هزینه","هزینه: "&amp;IF($E914="","متفرقه",$E914),IF(OR($B914="",COUNTIF(AcctCodesA,$B914)=0),"متفرقه",$B914))),$A914))</f>
        <v/>
      </c>
      <c r="K914">
        <f>IF($A914="","",IF(AND($B914&lt;&gt;"",COUNTIF(AcctCodesA,$B914)=0),"کد طرف در INFO تعریف نشده",IF(AND($D914="هزینه",$E914=""),"هزینه بدون زیرگروه",IF(AND($C914="پاس چک",OR(Sync!$AJ914="",COUNTIF(IssueNosA,Sync!$AJ914)=0)),"شماره چک پاس‌شده معتبر نیست",""))))</f>
        <v/>
      </c>
      <c r="V914">
        <f>IF($K914="","",IF(ISNUMBER(Sync!$AK914),Sync!$AK914,LEFT(Sync!$AK914,4)&amp;MID(Sync!$AK914,6,2)&amp;RIGHT(Sync!$AK914,2))&amp;"|"&amp;"4"&amp;RIGHT("00000"&amp;909,5))</f>
        <v/>
      </c>
      <c r="W914">
        <f>IF($V914="",0,COUNTIFS($V$6:$V$2005,"&lt;"&amp;$V914)-COUNTIFS($V$6:$V$2005,"&lt;"&amp;$V914,$K$6:$K$2005,"")+1)</f>
        <v/>
      </c>
      <c r="X914">
        <f>IF(Sync!$AX914="","",IF(OR(N(Sync!$AY914)=0,N(Sync!$AZ914)=0),"",ROUND(N(Sync!$AY914)*N(Sync!$AZ914),0)))</f>
        <v/>
      </c>
      <c r="Y914">
        <f>IF($X914="","",IF(OR(Sync!$AX914="",COUNTIF(AcctCodesA,Sync!$AX914)=0),"متفرقه",Sync!$AX914))</f>
        <v/>
      </c>
      <c r="Z914">
        <f>IF($X914="","","سبد و ظروف")</f>
        <v/>
      </c>
      <c r="AA914">
        <f>IF($X914="","",$Y914)</f>
        <v/>
      </c>
    </row>
    <row r="915">
      <c r="A915">
        <f>IF(Sync!$Z915="","",LEFT(UPPER(TRIM(Sync!$Z915)),6))</f>
        <v/>
      </c>
      <c r="B915">
        <f>IF($A915="","",IF(Sync!$AA915="","",Sync!$AA915))</f>
        <v/>
      </c>
      <c r="C915">
        <f>IF($A915="","",IF(Sync!$AB915="","",Sync!$AB915))</f>
        <v/>
      </c>
      <c r="D915">
        <f>IF($A915="","",IF(Sync!$AC915="","",Sync!$AC915))</f>
        <v/>
      </c>
      <c r="E915">
        <f>IF($A915="","",IF(Sync!$AD915="","",Sync!$AD915))</f>
        <v/>
      </c>
      <c r="F915">
        <f>IF($A915="","",IF(Sync!$AE915="",0,Sync!$AE915))</f>
        <v/>
      </c>
      <c r="G915">
        <f>IF($A915="","",IF(Sync!$AF915="",0,Sync!$AF915))</f>
        <v/>
      </c>
      <c r="H915">
        <f>IF(OR($A915="",ROUND($F915+$G915,2)=0),"",$F915+$G915)</f>
        <v/>
      </c>
      <c r="I915">
        <f>IF($H915="","",IF(ROUND($F915,2)&gt;0,$A915,IF($D915="شخصی قاسم","شخصی قاسم",IF($D915="هزینه","هزینه: "&amp;IF($E915="","متفرقه",$E915),IF($C915="پاس چک","چک پرداختی",IF(OR($B915="",COUNTIF(AcctCodesA,$B915)=0),"متفرقه",$B915))))))</f>
        <v/>
      </c>
      <c r="J915">
        <f>IF($H915="","",IF(ROUND($F915,2)&gt;0,IF($D915="شخصی قاسم","شخصی قاسم",IF($D915="هزینه","هزینه: "&amp;IF($E915="","متفرقه",$E915),IF(OR($B915="",COUNTIF(AcctCodesA,$B915)=0),"متفرقه",$B915))),$A915))</f>
        <v/>
      </c>
      <c r="K915">
        <f>IF($A915="","",IF(AND($B915&lt;&gt;"",COUNTIF(AcctCodesA,$B915)=0),"کد طرف در INFO تعریف نشده",IF(AND($D915="هزینه",$E915=""),"هزینه بدون زیرگروه",IF(AND($C915="پاس چک",OR(Sync!$AJ915="",COUNTIF(IssueNosA,Sync!$AJ915)=0)),"شماره چک پاس‌شده معتبر نیست",""))))</f>
        <v/>
      </c>
      <c r="V915">
        <f>IF($K915="","",IF(ISNUMBER(Sync!$AK915),Sync!$AK915,LEFT(Sync!$AK915,4)&amp;MID(Sync!$AK915,6,2)&amp;RIGHT(Sync!$AK915,2))&amp;"|"&amp;"4"&amp;RIGHT("00000"&amp;910,5))</f>
        <v/>
      </c>
      <c r="W915">
        <f>IF($V915="",0,COUNTIFS($V$6:$V$2005,"&lt;"&amp;$V915)-COUNTIFS($V$6:$V$2005,"&lt;"&amp;$V915,$K$6:$K$2005,"")+1)</f>
        <v/>
      </c>
      <c r="X915">
        <f>IF(Sync!$AX915="","",IF(OR(N(Sync!$AY915)=0,N(Sync!$AZ915)=0),"",ROUND(N(Sync!$AY915)*N(Sync!$AZ915),0)))</f>
        <v/>
      </c>
      <c r="Y915">
        <f>IF($X915="","",IF(OR(Sync!$AX915="",COUNTIF(AcctCodesA,Sync!$AX915)=0),"متفرقه",Sync!$AX915))</f>
        <v/>
      </c>
      <c r="Z915">
        <f>IF($X915="","","سبد و ظروف")</f>
        <v/>
      </c>
      <c r="AA915">
        <f>IF($X915="","",$Y915)</f>
        <v/>
      </c>
    </row>
    <row r="916">
      <c r="A916">
        <f>IF(Sync!$Z916="","",LEFT(UPPER(TRIM(Sync!$Z916)),6))</f>
        <v/>
      </c>
      <c r="B916">
        <f>IF($A916="","",IF(Sync!$AA916="","",Sync!$AA916))</f>
        <v/>
      </c>
      <c r="C916">
        <f>IF($A916="","",IF(Sync!$AB916="","",Sync!$AB916))</f>
        <v/>
      </c>
      <c r="D916">
        <f>IF($A916="","",IF(Sync!$AC916="","",Sync!$AC916))</f>
        <v/>
      </c>
      <c r="E916">
        <f>IF($A916="","",IF(Sync!$AD916="","",Sync!$AD916))</f>
        <v/>
      </c>
      <c r="F916">
        <f>IF($A916="","",IF(Sync!$AE916="",0,Sync!$AE916))</f>
        <v/>
      </c>
      <c r="G916">
        <f>IF($A916="","",IF(Sync!$AF916="",0,Sync!$AF916))</f>
        <v/>
      </c>
      <c r="H916">
        <f>IF(OR($A916="",ROUND($F916+$G916,2)=0),"",$F916+$G916)</f>
        <v/>
      </c>
      <c r="I916">
        <f>IF($H916="","",IF(ROUND($F916,2)&gt;0,$A916,IF($D916="شخصی قاسم","شخصی قاسم",IF($D916="هزینه","هزینه: "&amp;IF($E916="","متفرقه",$E916),IF($C916="پاس چک","چک پرداختی",IF(OR($B916="",COUNTIF(AcctCodesA,$B916)=0),"متفرقه",$B916))))))</f>
        <v/>
      </c>
      <c r="J916">
        <f>IF($H916="","",IF(ROUND($F916,2)&gt;0,IF($D916="شخصی قاسم","شخصی قاسم",IF($D916="هزینه","هزینه: "&amp;IF($E916="","متفرقه",$E916),IF(OR($B916="",COUNTIF(AcctCodesA,$B916)=0),"متفرقه",$B916))),$A916))</f>
        <v/>
      </c>
      <c r="K916">
        <f>IF($A916="","",IF(AND($B916&lt;&gt;"",COUNTIF(AcctCodesA,$B916)=0),"کد طرف در INFO تعریف نشده",IF(AND($D916="هزینه",$E916=""),"هزینه بدون زیرگروه",IF(AND($C916="پاس چک",OR(Sync!$AJ916="",COUNTIF(IssueNosA,Sync!$AJ916)=0)),"شماره چک پاس‌شده معتبر نیست",""))))</f>
        <v/>
      </c>
      <c r="V916">
        <f>IF($K916="","",IF(ISNUMBER(Sync!$AK916),Sync!$AK916,LEFT(Sync!$AK916,4)&amp;MID(Sync!$AK916,6,2)&amp;RIGHT(Sync!$AK916,2))&amp;"|"&amp;"4"&amp;RIGHT("00000"&amp;911,5))</f>
        <v/>
      </c>
      <c r="W916">
        <f>IF($V916="",0,COUNTIFS($V$6:$V$2005,"&lt;"&amp;$V916)-COUNTIFS($V$6:$V$2005,"&lt;"&amp;$V916,$K$6:$K$2005,"")+1)</f>
        <v/>
      </c>
      <c r="X916">
        <f>IF(Sync!$AX916="","",IF(OR(N(Sync!$AY916)=0,N(Sync!$AZ916)=0),"",ROUND(N(Sync!$AY916)*N(Sync!$AZ916),0)))</f>
        <v/>
      </c>
      <c r="Y916">
        <f>IF($X916="","",IF(OR(Sync!$AX916="",COUNTIF(AcctCodesA,Sync!$AX916)=0),"متفرقه",Sync!$AX916))</f>
        <v/>
      </c>
      <c r="Z916">
        <f>IF($X916="","","سبد و ظروف")</f>
        <v/>
      </c>
      <c r="AA916">
        <f>IF($X916="","",$Y916)</f>
        <v/>
      </c>
    </row>
    <row r="917">
      <c r="A917">
        <f>IF(Sync!$Z917="","",LEFT(UPPER(TRIM(Sync!$Z917)),6))</f>
        <v/>
      </c>
      <c r="B917">
        <f>IF($A917="","",IF(Sync!$AA917="","",Sync!$AA917))</f>
        <v/>
      </c>
      <c r="C917">
        <f>IF($A917="","",IF(Sync!$AB917="","",Sync!$AB917))</f>
        <v/>
      </c>
      <c r="D917">
        <f>IF($A917="","",IF(Sync!$AC917="","",Sync!$AC917))</f>
        <v/>
      </c>
      <c r="E917">
        <f>IF($A917="","",IF(Sync!$AD917="","",Sync!$AD917))</f>
        <v/>
      </c>
      <c r="F917">
        <f>IF($A917="","",IF(Sync!$AE917="",0,Sync!$AE917))</f>
        <v/>
      </c>
      <c r="G917">
        <f>IF($A917="","",IF(Sync!$AF917="",0,Sync!$AF917))</f>
        <v/>
      </c>
      <c r="H917">
        <f>IF(OR($A917="",ROUND($F917+$G917,2)=0),"",$F917+$G917)</f>
        <v/>
      </c>
      <c r="I917">
        <f>IF($H917="","",IF(ROUND($F917,2)&gt;0,$A917,IF($D917="شخصی قاسم","شخصی قاسم",IF($D917="هزینه","هزینه: "&amp;IF($E917="","متفرقه",$E917),IF($C917="پاس چک","چک پرداختی",IF(OR($B917="",COUNTIF(AcctCodesA,$B917)=0),"متفرقه",$B917))))))</f>
        <v/>
      </c>
      <c r="J917">
        <f>IF($H917="","",IF(ROUND($F917,2)&gt;0,IF($D917="شخصی قاسم","شخصی قاسم",IF($D917="هزینه","هزینه: "&amp;IF($E917="","متفرقه",$E917),IF(OR($B917="",COUNTIF(AcctCodesA,$B917)=0),"متفرقه",$B917))),$A917))</f>
        <v/>
      </c>
      <c r="K917">
        <f>IF($A917="","",IF(AND($B917&lt;&gt;"",COUNTIF(AcctCodesA,$B917)=0),"کد طرف در INFO تعریف نشده",IF(AND($D917="هزینه",$E917=""),"هزینه بدون زیرگروه",IF(AND($C917="پاس چک",OR(Sync!$AJ917="",COUNTIF(IssueNosA,Sync!$AJ917)=0)),"شماره چک پاس‌شده معتبر نیست",""))))</f>
        <v/>
      </c>
      <c r="V917">
        <f>IF($K917="","",IF(ISNUMBER(Sync!$AK917),Sync!$AK917,LEFT(Sync!$AK917,4)&amp;MID(Sync!$AK917,6,2)&amp;RIGHT(Sync!$AK917,2))&amp;"|"&amp;"4"&amp;RIGHT("00000"&amp;912,5))</f>
        <v/>
      </c>
      <c r="W917">
        <f>IF($V917="",0,COUNTIFS($V$6:$V$2005,"&lt;"&amp;$V917)-COUNTIFS($V$6:$V$2005,"&lt;"&amp;$V917,$K$6:$K$2005,"")+1)</f>
        <v/>
      </c>
      <c r="X917">
        <f>IF(Sync!$AX917="","",IF(OR(N(Sync!$AY917)=0,N(Sync!$AZ917)=0),"",ROUND(N(Sync!$AY917)*N(Sync!$AZ917),0)))</f>
        <v/>
      </c>
      <c r="Y917">
        <f>IF($X917="","",IF(OR(Sync!$AX917="",COUNTIF(AcctCodesA,Sync!$AX917)=0),"متفرقه",Sync!$AX917))</f>
        <v/>
      </c>
      <c r="Z917">
        <f>IF($X917="","","سبد و ظروف")</f>
        <v/>
      </c>
      <c r="AA917">
        <f>IF($X917="","",$Y917)</f>
        <v/>
      </c>
    </row>
    <row r="918">
      <c r="A918">
        <f>IF(Sync!$Z918="","",LEFT(UPPER(TRIM(Sync!$Z918)),6))</f>
        <v/>
      </c>
      <c r="B918">
        <f>IF($A918="","",IF(Sync!$AA918="","",Sync!$AA918))</f>
        <v/>
      </c>
      <c r="C918">
        <f>IF($A918="","",IF(Sync!$AB918="","",Sync!$AB918))</f>
        <v/>
      </c>
      <c r="D918">
        <f>IF($A918="","",IF(Sync!$AC918="","",Sync!$AC918))</f>
        <v/>
      </c>
      <c r="E918">
        <f>IF($A918="","",IF(Sync!$AD918="","",Sync!$AD918))</f>
        <v/>
      </c>
      <c r="F918">
        <f>IF($A918="","",IF(Sync!$AE918="",0,Sync!$AE918))</f>
        <v/>
      </c>
      <c r="G918">
        <f>IF($A918="","",IF(Sync!$AF918="",0,Sync!$AF918))</f>
        <v/>
      </c>
      <c r="H918">
        <f>IF(OR($A918="",ROUND($F918+$G918,2)=0),"",$F918+$G918)</f>
        <v/>
      </c>
      <c r="I918">
        <f>IF($H918="","",IF(ROUND($F918,2)&gt;0,$A918,IF($D918="شخصی قاسم","شخصی قاسم",IF($D918="هزینه","هزینه: "&amp;IF($E918="","متفرقه",$E918),IF($C918="پاس چک","چک پرداختی",IF(OR($B918="",COUNTIF(AcctCodesA,$B918)=0),"متفرقه",$B918))))))</f>
        <v/>
      </c>
      <c r="J918">
        <f>IF($H918="","",IF(ROUND($F918,2)&gt;0,IF($D918="شخصی قاسم","شخصی قاسم",IF($D918="هزینه","هزینه: "&amp;IF($E918="","متفرقه",$E918),IF(OR($B918="",COUNTIF(AcctCodesA,$B918)=0),"متفرقه",$B918))),$A918))</f>
        <v/>
      </c>
      <c r="K918">
        <f>IF($A918="","",IF(AND($B918&lt;&gt;"",COUNTIF(AcctCodesA,$B918)=0),"کد طرف در INFO تعریف نشده",IF(AND($D918="هزینه",$E918=""),"هزینه بدون زیرگروه",IF(AND($C918="پاس چک",OR(Sync!$AJ918="",COUNTIF(IssueNosA,Sync!$AJ918)=0)),"شماره چک پاس‌شده معتبر نیست",""))))</f>
        <v/>
      </c>
      <c r="V918">
        <f>IF($K918="","",IF(ISNUMBER(Sync!$AK918),Sync!$AK918,LEFT(Sync!$AK918,4)&amp;MID(Sync!$AK918,6,2)&amp;RIGHT(Sync!$AK918,2))&amp;"|"&amp;"4"&amp;RIGHT("00000"&amp;913,5))</f>
        <v/>
      </c>
      <c r="W918">
        <f>IF($V918="",0,COUNTIFS($V$6:$V$2005,"&lt;"&amp;$V918)-COUNTIFS($V$6:$V$2005,"&lt;"&amp;$V918,$K$6:$K$2005,"")+1)</f>
        <v/>
      </c>
      <c r="X918">
        <f>IF(Sync!$AX918="","",IF(OR(N(Sync!$AY918)=0,N(Sync!$AZ918)=0),"",ROUND(N(Sync!$AY918)*N(Sync!$AZ918),0)))</f>
        <v/>
      </c>
      <c r="Y918">
        <f>IF($X918="","",IF(OR(Sync!$AX918="",COUNTIF(AcctCodesA,Sync!$AX918)=0),"متفرقه",Sync!$AX918))</f>
        <v/>
      </c>
      <c r="Z918">
        <f>IF($X918="","","سبد و ظروف")</f>
        <v/>
      </c>
      <c r="AA918">
        <f>IF($X918="","",$Y918)</f>
        <v/>
      </c>
    </row>
    <row r="919">
      <c r="A919">
        <f>IF(Sync!$Z919="","",LEFT(UPPER(TRIM(Sync!$Z919)),6))</f>
        <v/>
      </c>
      <c r="B919">
        <f>IF($A919="","",IF(Sync!$AA919="","",Sync!$AA919))</f>
        <v/>
      </c>
      <c r="C919">
        <f>IF($A919="","",IF(Sync!$AB919="","",Sync!$AB919))</f>
        <v/>
      </c>
      <c r="D919">
        <f>IF($A919="","",IF(Sync!$AC919="","",Sync!$AC919))</f>
        <v/>
      </c>
      <c r="E919">
        <f>IF($A919="","",IF(Sync!$AD919="","",Sync!$AD919))</f>
        <v/>
      </c>
      <c r="F919">
        <f>IF($A919="","",IF(Sync!$AE919="",0,Sync!$AE919))</f>
        <v/>
      </c>
      <c r="G919">
        <f>IF($A919="","",IF(Sync!$AF919="",0,Sync!$AF919))</f>
        <v/>
      </c>
      <c r="H919">
        <f>IF(OR($A919="",ROUND($F919+$G919,2)=0),"",$F919+$G919)</f>
        <v/>
      </c>
      <c r="I919">
        <f>IF($H919="","",IF(ROUND($F919,2)&gt;0,$A919,IF($D919="شخصی قاسم","شخصی قاسم",IF($D919="هزینه","هزینه: "&amp;IF($E919="","متفرقه",$E919),IF($C919="پاس چک","چک پرداختی",IF(OR($B919="",COUNTIF(AcctCodesA,$B919)=0),"متفرقه",$B919))))))</f>
        <v/>
      </c>
      <c r="J919">
        <f>IF($H919="","",IF(ROUND($F919,2)&gt;0,IF($D919="شخصی قاسم","شخصی قاسم",IF($D919="هزینه","هزینه: "&amp;IF($E919="","متفرقه",$E919),IF(OR($B919="",COUNTIF(AcctCodesA,$B919)=0),"متفرقه",$B919))),$A919))</f>
        <v/>
      </c>
      <c r="K919">
        <f>IF($A919="","",IF(AND($B919&lt;&gt;"",COUNTIF(AcctCodesA,$B919)=0),"کد طرف در INFO تعریف نشده",IF(AND($D919="هزینه",$E919=""),"هزینه بدون زیرگروه",IF(AND($C919="پاس چک",OR(Sync!$AJ919="",COUNTIF(IssueNosA,Sync!$AJ919)=0)),"شماره چک پاس‌شده معتبر نیست",""))))</f>
        <v/>
      </c>
      <c r="V919">
        <f>IF($K919="","",IF(ISNUMBER(Sync!$AK919),Sync!$AK919,LEFT(Sync!$AK919,4)&amp;MID(Sync!$AK919,6,2)&amp;RIGHT(Sync!$AK919,2))&amp;"|"&amp;"4"&amp;RIGHT("00000"&amp;914,5))</f>
        <v/>
      </c>
      <c r="W919">
        <f>IF($V919="",0,COUNTIFS($V$6:$V$2005,"&lt;"&amp;$V919)-COUNTIFS($V$6:$V$2005,"&lt;"&amp;$V919,$K$6:$K$2005,"")+1)</f>
        <v/>
      </c>
      <c r="X919">
        <f>IF(Sync!$AX919="","",IF(OR(N(Sync!$AY919)=0,N(Sync!$AZ919)=0),"",ROUND(N(Sync!$AY919)*N(Sync!$AZ919),0)))</f>
        <v/>
      </c>
      <c r="Y919">
        <f>IF($X919="","",IF(OR(Sync!$AX919="",COUNTIF(AcctCodesA,Sync!$AX919)=0),"متفرقه",Sync!$AX919))</f>
        <v/>
      </c>
      <c r="Z919">
        <f>IF($X919="","","سبد و ظروف")</f>
        <v/>
      </c>
      <c r="AA919">
        <f>IF($X919="","",$Y919)</f>
        <v/>
      </c>
    </row>
    <row r="920">
      <c r="A920">
        <f>IF(Sync!$Z920="","",LEFT(UPPER(TRIM(Sync!$Z920)),6))</f>
        <v/>
      </c>
      <c r="B920">
        <f>IF($A920="","",IF(Sync!$AA920="","",Sync!$AA920))</f>
        <v/>
      </c>
      <c r="C920">
        <f>IF($A920="","",IF(Sync!$AB920="","",Sync!$AB920))</f>
        <v/>
      </c>
      <c r="D920">
        <f>IF($A920="","",IF(Sync!$AC920="","",Sync!$AC920))</f>
        <v/>
      </c>
      <c r="E920">
        <f>IF($A920="","",IF(Sync!$AD920="","",Sync!$AD920))</f>
        <v/>
      </c>
      <c r="F920">
        <f>IF($A920="","",IF(Sync!$AE920="",0,Sync!$AE920))</f>
        <v/>
      </c>
      <c r="G920">
        <f>IF($A920="","",IF(Sync!$AF920="",0,Sync!$AF920))</f>
        <v/>
      </c>
      <c r="H920">
        <f>IF(OR($A920="",ROUND($F920+$G920,2)=0),"",$F920+$G920)</f>
        <v/>
      </c>
      <c r="I920">
        <f>IF($H920="","",IF(ROUND($F920,2)&gt;0,$A920,IF($D920="شخصی قاسم","شخصی قاسم",IF($D920="هزینه","هزینه: "&amp;IF($E920="","متفرقه",$E920),IF($C920="پاس چک","چک پرداختی",IF(OR($B920="",COUNTIF(AcctCodesA,$B920)=0),"متفرقه",$B920))))))</f>
        <v/>
      </c>
      <c r="J920">
        <f>IF($H920="","",IF(ROUND($F920,2)&gt;0,IF($D920="شخصی قاسم","شخصی قاسم",IF($D920="هزینه","هزینه: "&amp;IF($E920="","متفرقه",$E920),IF(OR($B920="",COUNTIF(AcctCodesA,$B920)=0),"متفرقه",$B920))),$A920))</f>
        <v/>
      </c>
      <c r="K920">
        <f>IF($A920="","",IF(AND($B920&lt;&gt;"",COUNTIF(AcctCodesA,$B920)=0),"کد طرف در INFO تعریف نشده",IF(AND($D920="هزینه",$E920=""),"هزینه بدون زیرگروه",IF(AND($C920="پاس چک",OR(Sync!$AJ920="",COUNTIF(IssueNosA,Sync!$AJ920)=0)),"شماره چک پاس‌شده معتبر نیست",""))))</f>
        <v/>
      </c>
      <c r="V920">
        <f>IF($K920="","",IF(ISNUMBER(Sync!$AK920),Sync!$AK920,LEFT(Sync!$AK920,4)&amp;MID(Sync!$AK920,6,2)&amp;RIGHT(Sync!$AK920,2))&amp;"|"&amp;"4"&amp;RIGHT("00000"&amp;915,5))</f>
        <v/>
      </c>
      <c r="W920">
        <f>IF($V920="",0,COUNTIFS($V$6:$V$2005,"&lt;"&amp;$V920)-COUNTIFS($V$6:$V$2005,"&lt;"&amp;$V920,$K$6:$K$2005,"")+1)</f>
        <v/>
      </c>
      <c r="X920">
        <f>IF(Sync!$AX920="","",IF(OR(N(Sync!$AY920)=0,N(Sync!$AZ920)=0),"",ROUND(N(Sync!$AY920)*N(Sync!$AZ920),0)))</f>
        <v/>
      </c>
      <c r="Y920">
        <f>IF($X920="","",IF(OR(Sync!$AX920="",COUNTIF(AcctCodesA,Sync!$AX920)=0),"متفرقه",Sync!$AX920))</f>
        <v/>
      </c>
      <c r="Z920">
        <f>IF($X920="","","سبد و ظروف")</f>
        <v/>
      </c>
      <c r="AA920">
        <f>IF($X920="","",$Y920)</f>
        <v/>
      </c>
    </row>
    <row r="921">
      <c r="A921">
        <f>IF(Sync!$Z921="","",LEFT(UPPER(TRIM(Sync!$Z921)),6))</f>
        <v/>
      </c>
      <c r="B921">
        <f>IF($A921="","",IF(Sync!$AA921="","",Sync!$AA921))</f>
        <v/>
      </c>
      <c r="C921">
        <f>IF($A921="","",IF(Sync!$AB921="","",Sync!$AB921))</f>
        <v/>
      </c>
      <c r="D921">
        <f>IF($A921="","",IF(Sync!$AC921="","",Sync!$AC921))</f>
        <v/>
      </c>
      <c r="E921">
        <f>IF($A921="","",IF(Sync!$AD921="","",Sync!$AD921))</f>
        <v/>
      </c>
      <c r="F921">
        <f>IF($A921="","",IF(Sync!$AE921="",0,Sync!$AE921))</f>
        <v/>
      </c>
      <c r="G921">
        <f>IF($A921="","",IF(Sync!$AF921="",0,Sync!$AF921))</f>
        <v/>
      </c>
      <c r="H921">
        <f>IF(OR($A921="",ROUND($F921+$G921,2)=0),"",$F921+$G921)</f>
        <v/>
      </c>
      <c r="I921">
        <f>IF($H921="","",IF(ROUND($F921,2)&gt;0,$A921,IF($D921="شخصی قاسم","شخصی قاسم",IF($D921="هزینه","هزینه: "&amp;IF($E921="","متفرقه",$E921),IF($C921="پاس چک","چک پرداختی",IF(OR($B921="",COUNTIF(AcctCodesA,$B921)=0),"متفرقه",$B921))))))</f>
        <v/>
      </c>
      <c r="J921">
        <f>IF($H921="","",IF(ROUND($F921,2)&gt;0,IF($D921="شخصی قاسم","شخصی قاسم",IF($D921="هزینه","هزینه: "&amp;IF($E921="","متفرقه",$E921),IF(OR($B921="",COUNTIF(AcctCodesA,$B921)=0),"متفرقه",$B921))),$A921))</f>
        <v/>
      </c>
      <c r="K921">
        <f>IF($A921="","",IF(AND($B921&lt;&gt;"",COUNTIF(AcctCodesA,$B921)=0),"کد طرف در INFO تعریف نشده",IF(AND($D921="هزینه",$E921=""),"هزینه بدون زیرگروه",IF(AND($C921="پاس چک",OR(Sync!$AJ921="",COUNTIF(IssueNosA,Sync!$AJ921)=0)),"شماره چک پاس‌شده معتبر نیست",""))))</f>
        <v/>
      </c>
      <c r="V921">
        <f>IF($K921="","",IF(ISNUMBER(Sync!$AK921),Sync!$AK921,LEFT(Sync!$AK921,4)&amp;MID(Sync!$AK921,6,2)&amp;RIGHT(Sync!$AK921,2))&amp;"|"&amp;"4"&amp;RIGHT("00000"&amp;916,5))</f>
        <v/>
      </c>
      <c r="W921">
        <f>IF($V921="",0,COUNTIFS($V$6:$V$2005,"&lt;"&amp;$V921)-COUNTIFS($V$6:$V$2005,"&lt;"&amp;$V921,$K$6:$K$2005,"")+1)</f>
        <v/>
      </c>
      <c r="X921">
        <f>IF(Sync!$AX921="","",IF(OR(N(Sync!$AY921)=0,N(Sync!$AZ921)=0),"",ROUND(N(Sync!$AY921)*N(Sync!$AZ921),0)))</f>
        <v/>
      </c>
      <c r="Y921">
        <f>IF($X921="","",IF(OR(Sync!$AX921="",COUNTIF(AcctCodesA,Sync!$AX921)=0),"متفرقه",Sync!$AX921))</f>
        <v/>
      </c>
      <c r="Z921">
        <f>IF($X921="","","سبد و ظروف")</f>
        <v/>
      </c>
      <c r="AA921">
        <f>IF($X921="","",$Y921)</f>
        <v/>
      </c>
    </row>
    <row r="922">
      <c r="A922">
        <f>IF(Sync!$Z922="","",LEFT(UPPER(TRIM(Sync!$Z922)),6))</f>
        <v/>
      </c>
      <c r="B922">
        <f>IF($A922="","",IF(Sync!$AA922="","",Sync!$AA922))</f>
        <v/>
      </c>
      <c r="C922">
        <f>IF($A922="","",IF(Sync!$AB922="","",Sync!$AB922))</f>
        <v/>
      </c>
      <c r="D922">
        <f>IF($A922="","",IF(Sync!$AC922="","",Sync!$AC922))</f>
        <v/>
      </c>
      <c r="E922">
        <f>IF($A922="","",IF(Sync!$AD922="","",Sync!$AD922))</f>
        <v/>
      </c>
      <c r="F922">
        <f>IF($A922="","",IF(Sync!$AE922="",0,Sync!$AE922))</f>
        <v/>
      </c>
      <c r="G922">
        <f>IF($A922="","",IF(Sync!$AF922="",0,Sync!$AF922))</f>
        <v/>
      </c>
      <c r="H922">
        <f>IF(OR($A922="",ROUND($F922+$G922,2)=0),"",$F922+$G922)</f>
        <v/>
      </c>
      <c r="I922">
        <f>IF($H922="","",IF(ROUND($F922,2)&gt;0,$A922,IF($D922="شخصی قاسم","شخصی قاسم",IF($D922="هزینه","هزینه: "&amp;IF($E922="","متفرقه",$E922),IF($C922="پاس چک","چک پرداختی",IF(OR($B922="",COUNTIF(AcctCodesA,$B922)=0),"متفرقه",$B922))))))</f>
        <v/>
      </c>
      <c r="J922">
        <f>IF($H922="","",IF(ROUND($F922,2)&gt;0,IF($D922="شخصی قاسم","شخصی قاسم",IF($D922="هزینه","هزینه: "&amp;IF($E922="","متفرقه",$E922),IF(OR($B922="",COUNTIF(AcctCodesA,$B922)=0),"متفرقه",$B922))),$A922))</f>
        <v/>
      </c>
      <c r="K922">
        <f>IF($A922="","",IF(AND($B922&lt;&gt;"",COUNTIF(AcctCodesA,$B922)=0),"کد طرف در INFO تعریف نشده",IF(AND($D922="هزینه",$E922=""),"هزینه بدون زیرگروه",IF(AND($C922="پاس چک",OR(Sync!$AJ922="",COUNTIF(IssueNosA,Sync!$AJ922)=0)),"شماره چک پاس‌شده معتبر نیست",""))))</f>
        <v/>
      </c>
      <c r="V922">
        <f>IF($K922="","",IF(ISNUMBER(Sync!$AK922),Sync!$AK922,LEFT(Sync!$AK922,4)&amp;MID(Sync!$AK922,6,2)&amp;RIGHT(Sync!$AK922,2))&amp;"|"&amp;"4"&amp;RIGHT("00000"&amp;917,5))</f>
        <v/>
      </c>
      <c r="W922">
        <f>IF($V922="",0,COUNTIFS($V$6:$V$2005,"&lt;"&amp;$V922)-COUNTIFS($V$6:$V$2005,"&lt;"&amp;$V922,$K$6:$K$2005,"")+1)</f>
        <v/>
      </c>
      <c r="X922">
        <f>IF(Sync!$AX922="","",IF(OR(N(Sync!$AY922)=0,N(Sync!$AZ922)=0),"",ROUND(N(Sync!$AY922)*N(Sync!$AZ922),0)))</f>
        <v/>
      </c>
      <c r="Y922">
        <f>IF($X922="","",IF(OR(Sync!$AX922="",COUNTIF(AcctCodesA,Sync!$AX922)=0),"متفرقه",Sync!$AX922))</f>
        <v/>
      </c>
      <c r="Z922">
        <f>IF($X922="","","سبد و ظروف")</f>
        <v/>
      </c>
      <c r="AA922">
        <f>IF($X922="","",$Y922)</f>
        <v/>
      </c>
    </row>
    <row r="923">
      <c r="A923">
        <f>IF(Sync!$Z923="","",LEFT(UPPER(TRIM(Sync!$Z923)),6))</f>
        <v/>
      </c>
      <c r="B923">
        <f>IF($A923="","",IF(Sync!$AA923="","",Sync!$AA923))</f>
        <v/>
      </c>
      <c r="C923">
        <f>IF($A923="","",IF(Sync!$AB923="","",Sync!$AB923))</f>
        <v/>
      </c>
      <c r="D923">
        <f>IF($A923="","",IF(Sync!$AC923="","",Sync!$AC923))</f>
        <v/>
      </c>
      <c r="E923">
        <f>IF($A923="","",IF(Sync!$AD923="","",Sync!$AD923))</f>
        <v/>
      </c>
      <c r="F923">
        <f>IF($A923="","",IF(Sync!$AE923="",0,Sync!$AE923))</f>
        <v/>
      </c>
      <c r="G923">
        <f>IF($A923="","",IF(Sync!$AF923="",0,Sync!$AF923))</f>
        <v/>
      </c>
      <c r="H923">
        <f>IF(OR($A923="",ROUND($F923+$G923,2)=0),"",$F923+$G923)</f>
        <v/>
      </c>
      <c r="I923">
        <f>IF($H923="","",IF(ROUND($F923,2)&gt;0,$A923,IF($D923="شخصی قاسم","شخصی قاسم",IF($D923="هزینه","هزینه: "&amp;IF($E923="","متفرقه",$E923),IF($C923="پاس چک","چک پرداختی",IF(OR($B923="",COUNTIF(AcctCodesA,$B923)=0),"متفرقه",$B923))))))</f>
        <v/>
      </c>
      <c r="J923">
        <f>IF($H923="","",IF(ROUND($F923,2)&gt;0,IF($D923="شخصی قاسم","شخصی قاسم",IF($D923="هزینه","هزینه: "&amp;IF($E923="","متفرقه",$E923),IF(OR($B923="",COUNTIF(AcctCodesA,$B923)=0),"متفرقه",$B923))),$A923))</f>
        <v/>
      </c>
      <c r="K923">
        <f>IF($A923="","",IF(AND($B923&lt;&gt;"",COUNTIF(AcctCodesA,$B923)=0),"کد طرف در INFO تعریف نشده",IF(AND($D923="هزینه",$E923=""),"هزینه بدون زیرگروه",IF(AND($C923="پاس چک",OR(Sync!$AJ923="",COUNTIF(IssueNosA,Sync!$AJ923)=0)),"شماره چک پاس‌شده معتبر نیست",""))))</f>
        <v/>
      </c>
      <c r="V923">
        <f>IF($K923="","",IF(ISNUMBER(Sync!$AK923),Sync!$AK923,LEFT(Sync!$AK923,4)&amp;MID(Sync!$AK923,6,2)&amp;RIGHT(Sync!$AK923,2))&amp;"|"&amp;"4"&amp;RIGHT("00000"&amp;918,5))</f>
        <v/>
      </c>
      <c r="W923">
        <f>IF($V923="",0,COUNTIFS($V$6:$V$2005,"&lt;"&amp;$V923)-COUNTIFS($V$6:$V$2005,"&lt;"&amp;$V923,$K$6:$K$2005,"")+1)</f>
        <v/>
      </c>
      <c r="X923">
        <f>IF(Sync!$AX923="","",IF(OR(N(Sync!$AY923)=0,N(Sync!$AZ923)=0),"",ROUND(N(Sync!$AY923)*N(Sync!$AZ923),0)))</f>
        <v/>
      </c>
      <c r="Y923">
        <f>IF($X923="","",IF(OR(Sync!$AX923="",COUNTIF(AcctCodesA,Sync!$AX923)=0),"متفرقه",Sync!$AX923))</f>
        <v/>
      </c>
      <c r="Z923">
        <f>IF($X923="","","سبد و ظروف")</f>
        <v/>
      </c>
      <c r="AA923">
        <f>IF($X923="","",$Y923)</f>
        <v/>
      </c>
    </row>
    <row r="924">
      <c r="A924">
        <f>IF(Sync!$Z924="","",LEFT(UPPER(TRIM(Sync!$Z924)),6))</f>
        <v/>
      </c>
      <c r="B924">
        <f>IF($A924="","",IF(Sync!$AA924="","",Sync!$AA924))</f>
        <v/>
      </c>
      <c r="C924">
        <f>IF($A924="","",IF(Sync!$AB924="","",Sync!$AB924))</f>
        <v/>
      </c>
      <c r="D924">
        <f>IF($A924="","",IF(Sync!$AC924="","",Sync!$AC924))</f>
        <v/>
      </c>
      <c r="E924">
        <f>IF($A924="","",IF(Sync!$AD924="","",Sync!$AD924))</f>
        <v/>
      </c>
      <c r="F924">
        <f>IF($A924="","",IF(Sync!$AE924="",0,Sync!$AE924))</f>
        <v/>
      </c>
      <c r="G924">
        <f>IF($A924="","",IF(Sync!$AF924="",0,Sync!$AF924))</f>
        <v/>
      </c>
      <c r="H924">
        <f>IF(OR($A924="",ROUND($F924+$G924,2)=0),"",$F924+$G924)</f>
        <v/>
      </c>
      <c r="I924">
        <f>IF($H924="","",IF(ROUND($F924,2)&gt;0,$A924,IF($D924="شخصی قاسم","شخصی قاسم",IF($D924="هزینه","هزینه: "&amp;IF($E924="","متفرقه",$E924),IF($C924="پاس چک","چک پرداختی",IF(OR($B924="",COUNTIF(AcctCodesA,$B924)=0),"متفرقه",$B924))))))</f>
        <v/>
      </c>
      <c r="J924">
        <f>IF($H924="","",IF(ROUND($F924,2)&gt;0,IF($D924="شخصی قاسم","شخصی قاسم",IF($D924="هزینه","هزینه: "&amp;IF($E924="","متفرقه",$E924),IF(OR($B924="",COUNTIF(AcctCodesA,$B924)=0),"متفرقه",$B924))),$A924))</f>
        <v/>
      </c>
      <c r="K924">
        <f>IF($A924="","",IF(AND($B924&lt;&gt;"",COUNTIF(AcctCodesA,$B924)=0),"کد طرف در INFO تعریف نشده",IF(AND($D924="هزینه",$E924=""),"هزینه بدون زیرگروه",IF(AND($C924="پاس چک",OR(Sync!$AJ924="",COUNTIF(IssueNosA,Sync!$AJ924)=0)),"شماره چک پاس‌شده معتبر نیست",""))))</f>
        <v/>
      </c>
      <c r="V924">
        <f>IF($K924="","",IF(ISNUMBER(Sync!$AK924),Sync!$AK924,LEFT(Sync!$AK924,4)&amp;MID(Sync!$AK924,6,2)&amp;RIGHT(Sync!$AK924,2))&amp;"|"&amp;"4"&amp;RIGHT("00000"&amp;919,5))</f>
        <v/>
      </c>
      <c r="W924">
        <f>IF($V924="",0,COUNTIFS($V$6:$V$2005,"&lt;"&amp;$V924)-COUNTIFS($V$6:$V$2005,"&lt;"&amp;$V924,$K$6:$K$2005,"")+1)</f>
        <v/>
      </c>
      <c r="X924">
        <f>IF(Sync!$AX924="","",IF(OR(N(Sync!$AY924)=0,N(Sync!$AZ924)=0),"",ROUND(N(Sync!$AY924)*N(Sync!$AZ924),0)))</f>
        <v/>
      </c>
      <c r="Y924">
        <f>IF($X924="","",IF(OR(Sync!$AX924="",COUNTIF(AcctCodesA,Sync!$AX924)=0),"متفرقه",Sync!$AX924))</f>
        <v/>
      </c>
      <c r="Z924">
        <f>IF($X924="","","سبد و ظروف")</f>
        <v/>
      </c>
      <c r="AA924">
        <f>IF($X924="","",$Y924)</f>
        <v/>
      </c>
    </row>
    <row r="925">
      <c r="A925">
        <f>IF(Sync!$Z925="","",LEFT(UPPER(TRIM(Sync!$Z925)),6))</f>
        <v/>
      </c>
      <c r="B925">
        <f>IF($A925="","",IF(Sync!$AA925="","",Sync!$AA925))</f>
        <v/>
      </c>
      <c r="C925">
        <f>IF($A925="","",IF(Sync!$AB925="","",Sync!$AB925))</f>
        <v/>
      </c>
      <c r="D925">
        <f>IF($A925="","",IF(Sync!$AC925="","",Sync!$AC925))</f>
        <v/>
      </c>
      <c r="E925">
        <f>IF($A925="","",IF(Sync!$AD925="","",Sync!$AD925))</f>
        <v/>
      </c>
      <c r="F925">
        <f>IF($A925="","",IF(Sync!$AE925="",0,Sync!$AE925))</f>
        <v/>
      </c>
      <c r="G925">
        <f>IF($A925="","",IF(Sync!$AF925="",0,Sync!$AF925))</f>
        <v/>
      </c>
      <c r="H925">
        <f>IF(OR($A925="",ROUND($F925+$G925,2)=0),"",$F925+$G925)</f>
        <v/>
      </c>
      <c r="I925">
        <f>IF($H925="","",IF(ROUND($F925,2)&gt;0,$A925,IF($D925="شخصی قاسم","شخصی قاسم",IF($D925="هزینه","هزینه: "&amp;IF($E925="","متفرقه",$E925),IF($C925="پاس چک","چک پرداختی",IF(OR($B925="",COUNTIF(AcctCodesA,$B925)=0),"متفرقه",$B925))))))</f>
        <v/>
      </c>
      <c r="J925">
        <f>IF($H925="","",IF(ROUND($F925,2)&gt;0,IF($D925="شخصی قاسم","شخصی قاسم",IF($D925="هزینه","هزینه: "&amp;IF($E925="","متفرقه",$E925),IF(OR($B925="",COUNTIF(AcctCodesA,$B925)=0),"متفرقه",$B925))),$A925))</f>
        <v/>
      </c>
      <c r="K925">
        <f>IF($A925="","",IF(AND($B925&lt;&gt;"",COUNTIF(AcctCodesA,$B925)=0),"کد طرف در INFO تعریف نشده",IF(AND($D925="هزینه",$E925=""),"هزینه بدون زیرگروه",IF(AND($C925="پاس چک",OR(Sync!$AJ925="",COUNTIF(IssueNosA,Sync!$AJ925)=0)),"شماره چک پاس‌شده معتبر نیست",""))))</f>
        <v/>
      </c>
      <c r="V925">
        <f>IF($K925="","",IF(ISNUMBER(Sync!$AK925),Sync!$AK925,LEFT(Sync!$AK925,4)&amp;MID(Sync!$AK925,6,2)&amp;RIGHT(Sync!$AK925,2))&amp;"|"&amp;"4"&amp;RIGHT("00000"&amp;920,5))</f>
        <v/>
      </c>
      <c r="W925">
        <f>IF($V925="",0,COUNTIFS($V$6:$V$2005,"&lt;"&amp;$V925)-COUNTIFS($V$6:$V$2005,"&lt;"&amp;$V925,$K$6:$K$2005,"")+1)</f>
        <v/>
      </c>
      <c r="X925">
        <f>IF(Sync!$AX925="","",IF(OR(N(Sync!$AY925)=0,N(Sync!$AZ925)=0),"",ROUND(N(Sync!$AY925)*N(Sync!$AZ925),0)))</f>
        <v/>
      </c>
      <c r="Y925">
        <f>IF($X925="","",IF(OR(Sync!$AX925="",COUNTIF(AcctCodesA,Sync!$AX925)=0),"متفرقه",Sync!$AX925))</f>
        <v/>
      </c>
      <c r="Z925">
        <f>IF($X925="","","سبد و ظروف")</f>
        <v/>
      </c>
      <c r="AA925">
        <f>IF($X925="","",$Y925)</f>
        <v/>
      </c>
    </row>
    <row r="926">
      <c r="A926">
        <f>IF(Sync!$Z926="","",LEFT(UPPER(TRIM(Sync!$Z926)),6))</f>
        <v/>
      </c>
      <c r="B926">
        <f>IF($A926="","",IF(Sync!$AA926="","",Sync!$AA926))</f>
        <v/>
      </c>
      <c r="C926">
        <f>IF($A926="","",IF(Sync!$AB926="","",Sync!$AB926))</f>
        <v/>
      </c>
      <c r="D926">
        <f>IF($A926="","",IF(Sync!$AC926="","",Sync!$AC926))</f>
        <v/>
      </c>
      <c r="E926">
        <f>IF($A926="","",IF(Sync!$AD926="","",Sync!$AD926))</f>
        <v/>
      </c>
      <c r="F926">
        <f>IF($A926="","",IF(Sync!$AE926="",0,Sync!$AE926))</f>
        <v/>
      </c>
      <c r="G926">
        <f>IF($A926="","",IF(Sync!$AF926="",0,Sync!$AF926))</f>
        <v/>
      </c>
      <c r="H926">
        <f>IF(OR($A926="",ROUND($F926+$G926,2)=0),"",$F926+$G926)</f>
        <v/>
      </c>
      <c r="I926">
        <f>IF($H926="","",IF(ROUND($F926,2)&gt;0,$A926,IF($D926="شخصی قاسم","شخصی قاسم",IF($D926="هزینه","هزینه: "&amp;IF($E926="","متفرقه",$E926),IF($C926="پاس چک","چک پرداختی",IF(OR($B926="",COUNTIF(AcctCodesA,$B926)=0),"متفرقه",$B926))))))</f>
        <v/>
      </c>
      <c r="J926">
        <f>IF($H926="","",IF(ROUND($F926,2)&gt;0,IF($D926="شخصی قاسم","شخصی قاسم",IF($D926="هزینه","هزینه: "&amp;IF($E926="","متفرقه",$E926),IF(OR($B926="",COUNTIF(AcctCodesA,$B926)=0),"متفرقه",$B926))),$A926))</f>
        <v/>
      </c>
      <c r="K926">
        <f>IF($A926="","",IF(AND($B926&lt;&gt;"",COUNTIF(AcctCodesA,$B926)=0),"کد طرف در INFO تعریف نشده",IF(AND($D926="هزینه",$E926=""),"هزینه بدون زیرگروه",IF(AND($C926="پاس چک",OR(Sync!$AJ926="",COUNTIF(IssueNosA,Sync!$AJ926)=0)),"شماره چک پاس‌شده معتبر نیست",""))))</f>
        <v/>
      </c>
      <c r="V926">
        <f>IF($K926="","",IF(ISNUMBER(Sync!$AK926),Sync!$AK926,LEFT(Sync!$AK926,4)&amp;MID(Sync!$AK926,6,2)&amp;RIGHT(Sync!$AK926,2))&amp;"|"&amp;"4"&amp;RIGHT("00000"&amp;921,5))</f>
        <v/>
      </c>
      <c r="W926">
        <f>IF($V926="",0,COUNTIFS($V$6:$V$2005,"&lt;"&amp;$V926)-COUNTIFS($V$6:$V$2005,"&lt;"&amp;$V926,$K$6:$K$2005,"")+1)</f>
        <v/>
      </c>
      <c r="X926">
        <f>IF(Sync!$AX926="","",IF(OR(N(Sync!$AY926)=0,N(Sync!$AZ926)=0),"",ROUND(N(Sync!$AY926)*N(Sync!$AZ926),0)))</f>
        <v/>
      </c>
      <c r="Y926">
        <f>IF($X926="","",IF(OR(Sync!$AX926="",COUNTIF(AcctCodesA,Sync!$AX926)=0),"متفرقه",Sync!$AX926))</f>
        <v/>
      </c>
      <c r="Z926">
        <f>IF($X926="","","سبد و ظروف")</f>
        <v/>
      </c>
      <c r="AA926">
        <f>IF($X926="","",$Y926)</f>
        <v/>
      </c>
    </row>
    <row r="927">
      <c r="A927">
        <f>IF(Sync!$Z927="","",LEFT(UPPER(TRIM(Sync!$Z927)),6))</f>
        <v/>
      </c>
      <c r="B927">
        <f>IF($A927="","",IF(Sync!$AA927="","",Sync!$AA927))</f>
        <v/>
      </c>
      <c r="C927">
        <f>IF($A927="","",IF(Sync!$AB927="","",Sync!$AB927))</f>
        <v/>
      </c>
      <c r="D927">
        <f>IF($A927="","",IF(Sync!$AC927="","",Sync!$AC927))</f>
        <v/>
      </c>
      <c r="E927">
        <f>IF($A927="","",IF(Sync!$AD927="","",Sync!$AD927))</f>
        <v/>
      </c>
      <c r="F927">
        <f>IF($A927="","",IF(Sync!$AE927="",0,Sync!$AE927))</f>
        <v/>
      </c>
      <c r="G927">
        <f>IF($A927="","",IF(Sync!$AF927="",0,Sync!$AF927))</f>
        <v/>
      </c>
      <c r="H927">
        <f>IF(OR($A927="",ROUND($F927+$G927,2)=0),"",$F927+$G927)</f>
        <v/>
      </c>
      <c r="I927">
        <f>IF($H927="","",IF(ROUND($F927,2)&gt;0,$A927,IF($D927="شخصی قاسم","شخصی قاسم",IF($D927="هزینه","هزینه: "&amp;IF($E927="","متفرقه",$E927),IF($C927="پاس چک","چک پرداختی",IF(OR($B927="",COUNTIF(AcctCodesA,$B927)=0),"متفرقه",$B927))))))</f>
        <v/>
      </c>
      <c r="J927">
        <f>IF($H927="","",IF(ROUND($F927,2)&gt;0,IF($D927="شخصی قاسم","شخصی قاسم",IF($D927="هزینه","هزینه: "&amp;IF($E927="","متفرقه",$E927),IF(OR($B927="",COUNTIF(AcctCodesA,$B927)=0),"متفرقه",$B927))),$A927))</f>
        <v/>
      </c>
      <c r="K927">
        <f>IF($A927="","",IF(AND($B927&lt;&gt;"",COUNTIF(AcctCodesA,$B927)=0),"کد طرف در INFO تعریف نشده",IF(AND($D927="هزینه",$E927=""),"هزینه بدون زیرگروه",IF(AND($C927="پاس چک",OR(Sync!$AJ927="",COUNTIF(IssueNosA,Sync!$AJ927)=0)),"شماره چک پاس‌شده معتبر نیست",""))))</f>
        <v/>
      </c>
      <c r="V927">
        <f>IF($K927="","",IF(ISNUMBER(Sync!$AK927),Sync!$AK927,LEFT(Sync!$AK927,4)&amp;MID(Sync!$AK927,6,2)&amp;RIGHT(Sync!$AK927,2))&amp;"|"&amp;"4"&amp;RIGHT("00000"&amp;922,5))</f>
        <v/>
      </c>
      <c r="W927">
        <f>IF($V927="",0,COUNTIFS($V$6:$V$2005,"&lt;"&amp;$V927)-COUNTIFS($V$6:$V$2005,"&lt;"&amp;$V927,$K$6:$K$2005,"")+1)</f>
        <v/>
      </c>
      <c r="X927">
        <f>IF(Sync!$AX927="","",IF(OR(N(Sync!$AY927)=0,N(Sync!$AZ927)=0),"",ROUND(N(Sync!$AY927)*N(Sync!$AZ927),0)))</f>
        <v/>
      </c>
      <c r="Y927">
        <f>IF($X927="","",IF(OR(Sync!$AX927="",COUNTIF(AcctCodesA,Sync!$AX927)=0),"متفرقه",Sync!$AX927))</f>
        <v/>
      </c>
      <c r="Z927">
        <f>IF($X927="","","سبد و ظروف")</f>
        <v/>
      </c>
      <c r="AA927">
        <f>IF($X927="","",$Y927)</f>
        <v/>
      </c>
    </row>
    <row r="928">
      <c r="A928">
        <f>IF(Sync!$Z928="","",LEFT(UPPER(TRIM(Sync!$Z928)),6))</f>
        <v/>
      </c>
      <c r="B928">
        <f>IF($A928="","",IF(Sync!$AA928="","",Sync!$AA928))</f>
        <v/>
      </c>
      <c r="C928">
        <f>IF($A928="","",IF(Sync!$AB928="","",Sync!$AB928))</f>
        <v/>
      </c>
      <c r="D928">
        <f>IF($A928="","",IF(Sync!$AC928="","",Sync!$AC928))</f>
        <v/>
      </c>
      <c r="E928">
        <f>IF($A928="","",IF(Sync!$AD928="","",Sync!$AD928))</f>
        <v/>
      </c>
      <c r="F928">
        <f>IF($A928="","",IF(Sync!$AE928="",0,Sync!$AE928))</f>
        <v/>
      </c>
      <c r="G928">
        <f>IF($A928="","",IF(Sync!$AF928="",0,Sync!$AF928))</f>
        <v/>
      </c>
      <c r="H928">
        <f>IF(OR($A928="",ROUND($F928+$G928,2)=0),"",$F928+$G928)</f>
        <v/>
      </c>
      <c r="I928">
        <f>IF($H928="","",IF(ROUND($F928,2)&gt;0,$A928,IF($D928="شخصی قاسم","شخصی قاسم",IF($D928="هزینه","هزینه: "&amp;IF($E928="","متفرقه",$E928),IF($C928="پاس چک","چک پرداختی",IF(OR($B928="",COUNTIF(AcctCodesA,$B928)=0),"متفرقه",$B928))))))</f>
        <v/>
      </c>
      <c r="J928">
        <f>IF($H928="","",IF(ROUND($F928,2)&gt;0,IF($D928="شخصی قاسم","شخصی قاسم",IF($D928="هزینه","هزینه: "&amp;IF($E928="","متفرقه",$E928),IF(OR($B928="",COUNTIF(AcctCodesA,$B928)=0),"متفرقه",$B928))),$A928))</f>
        <v/>
      </c>
      <c r="K928">
        <f>IF($A928="","",IF(AND($B928&lt;&gt;"",COUNTIF(AcctCodesA,$B928)=0),"کد طرف در INFO تعریف نشده",IF(AND($D928="هزینه",$E928=""),"هزینه بدون زیرگروه",IF(AND($C928="پاس چک",OR(Sync!$AJ928="",COUNTIF(IssueNosA,Sync!$AJ928)=0)),"شماره چک پاس‌شده معتبر نیست",""))))</f>
        <v/>
      </c>
      <c r="V928">
        <f>IF($K928="","",IF(ISNUMBER(Sync!$AK928),Sync!$AK928,LEFT(Sync!$AK928,4)&amp;MID(Sync!$AK928,6,2)&amp;RIGHT(Sync!$AK928,2))&amp;"|"&amp;"4"&amp;RIGHT("00000"&amp;923,5))</f>
        <v/>
      </c>
      <c r="W928">
        <f>IF($V928="",0,COUNTIFS($V$6:$V$2005,"&lt;"&amp;$V928)-COUNTIFS($V$6:$V$2005,"&lt;"&amp;$V928,$K$6:$K$2005,"")+1)</f>
        <v/>
      </c>
      <c r="X928">
        <f>IF(Sync!$AX928="","",IF(OR(N(Sync!$AY928)=0,N(Sync!$AZ928)=0),"",ROUND(N(Sync!$AY928)*N(Sync!$AZ928),0)))</f>
        <v/>
      </c>
      <c r="Y928">
        <f>IF($X928="","",IF(OR(Sync!$AX928="",COUNTIF(AcctCodesA,Sync!$AX928)=0),"متفرقه",Sync!$AX928))</f>
        <v/>
      </c>
      <c r="Z928">
        <f>IF($X928="","","سبد و ظروف")</f>
        <v/>
      </c>
      <c r="AA928">
        <f>IF($X928="","",$Y928)</f>
        <v/>
      </c>
    </row>
    <row r="929">
      <c r="A929">
        <f>IF(Sync!$Z929="","",LEFT(UPPER(TRIM(Sync!$Z929)),6))</f>
        <v/>
      </c>
      <c r="B929">
        <f>IF($A929="","",IF(Sync!$AA929="","",Sync!$AA929))</f>
        <v/>
      </c>
      <c r="C929">
        <f>IF($A929="","",IF(Sync!$AB929="","",Sync!$AB929))</f>
        <v/>
      </c>
      <c r="D929">
        <f>IF($A929="","",IF(Sync!$AC929="","",Sync!$AC929))</f>
        <v/>
      </c>
      <c r="E929">
        <f>IF($A929="","",IF(Sync!$AD929="","",Sync!$AD929))</f>
        <v/>
      </c>
      <c r="F929">
        <f>IF($A929="","",IF(Sync!$AE929="",0,Sync!$AE929))</f>
        <v/>
      </c>
      <c r="G929">
        <f>IF($A929="","",IF(Sync!$AF929="",0,Sync!$AF929))</f>
        <v/>
      </c>
      <c r="H929">
        <f>IF(OR($A929="",ROUND($F929+$G929,2)=0),"",$F929+$G929)</f>
        <v/>
      </c>
      <c r="I929">
        <f>IF($H929="","",IF(ROUND($F929,2)&gt;0,$A929,IF($D929="شخصی قاسم","شخصی قاسم",IF($D929="هزینه","هزینه: "&amp;IF($E929="","متفرقه",$E929),IF($C929="پاس چک","چک پرداختی",IF(OR($B929="",COUNTIF(AcctCodesA,$B929)=0),"متفرقه",$B929))))))</f>
        <v/>
      </c>
      <c r="J929">
        <f>IF($H929="","",IF(ROUND($F929,2)&gt;0,IF($D929="شخصی قاسم","شخصی قاسم",IF($D929="هزینه","هزینه: "&amp;IF($E929="","متفرقه",$E929),IF(OR($B929="",COUNTIF(AcctCodesA,$B929)=0),"متفرقه",$B929))),$A929))</f>
        <v/>
      </c>
      <c r="K929">
        <f>IF($A929="","",IF(AND($B929&lt;&gt;"",COUNTIF(AcctCodesA,$B929)=0),"کد طرف در INFO تعریف نشده",IF(AND($D929="هزینه",$E929=""),"هزینه بدون زیرگروه",IF(AND($C929="پاس چک",OR(Sync!$AJ929="",COUNTIF(IssueNosA,Sync!$AJ929)=0)),"شماره چک پاس‌شده معتبر نیست",""))))</f>
        <v/>
      </c>
      <c r="V929">
        <f>IF($K929="","",IF(ISNUMBER(Sync!$AK929),Sync!$AK929,LEFT(Sync!$AK929,4)&amp;MID(Sync!$AK929,6,2)&amp;RIGHT(Sync!$AK929,2))&amp;"|"&amp;"4"&amp;RIGHT("00000"&amp;924,5))</f>
        <v/>
      </c>
      <c r="W929">
        <f>IF($V929="",0,COUNTIFS($V$6:$V$2005,"&lt;"&amp;$V929)-COUNTIFS($V$6:$V$2005,"&lt;"&amp;$V929,$K$6:$K$2005,"")+1)</f>
        <v/>
      </c>
      <c r="X929">
        <f>IF(Sync!$AX929="","",IF(OR(N(Sync!$AY929)=0,N(Sync!$AZ929)=0),"",ROUND(N(Sync!$AY929)*N(Sync!$AZ929),0)))</f>
        <v/>
      </c>
      <c r="Y929">
        <f>IF($X929="","",IF(OR(Sync!$AX929="",COUNTIF(AcctCodesA,Sync!$AX929)=0),"متفرقه",Sync!$AX929))</f>
        <v/>
      </c>
      <c r="Z929">
        <f>IF($X929="","","سبد و ظروف")</f>
        <v/>
      </c>
      <c r="AA929">
        <f>IF($X929="","",$Y929)</f>
        <v/>
      </c>
    </row>
    <row r="930">
      <c r="A930">
        <f>IF(Sync!$Z930="","",LEFT(UPPER(TRIM(Sync!$Z930)),6))</f>
        <v/>
      </c>
      <c r="B930">
        <f>IF($A930="","",IF(Sync!$AA930="","",Sync!$AA930))</f>
        <v/>
      </c>
      <c r="C930">
        <f>IF($A930="","",IF(Sync!$AB930="","",Sync!$AB930))</f>
        <v/>
      </c>
      <c r="D930">
        <f>IF($A930="","",IF(Sync!$AC930="","",Sync!$AC930))</f>
        <v/>
      </c>
      <c r="E930">
        <f>IF($A930="","",IF(Sync!$AD930="","",Sync!$AD930))</f>
        <v/>
      </c>
      <c r="F930">
        <f>IF($A930="","",IF(Sync!$AE930="",0,Sync!$AE930))</f>
        <v/>
      </c>
      <c r="G930">
        <f>IF($A930="","",IF(Sync!$AF930="",0,Sync!$AF930))</f>
        <v/>
      </c>
      <c r="H930">
        <f>IF(OR($A930="",ROUND($F930+$G930,2)=0),"",$F930+$G930)</f>
        <v/>
      </c>
      <c r="I930">
        <f>IF($H930="","",IF(ROUND($F930,2)&gt;0,$A930,IF($D930="شخصی قاسم","شخصی قاسم",IF($D930="هزینه","هزینه: "&amp;IF($E930="","متفرقه",$E930),IF($C930="پاس چک","چک پرداختی",IF(OR($B930="",COUNTIF(AcctCodesA,$B930)=0),"متفرقه",$B930))))))</f>
        <v/>
      </c>
      <c r="J930">
        <f>IF($H930="","",IF(ROUND($F930,2)&gt;0,IF($D930="شخصی قاسم","شخصی قاسم",IF($D930="هزینه","هزینه: "&amp;IF($E930="","متفرقه",$E930),IF(OR($B930="",COUNTIF(AcctCodesA,$B930)=0),"متفرقه",$B930))),$A930))</f>
        <v/>
      </c>
      <c r="K930">
        <f>IF($A930="","",IF(AND($B930&lt;&gt;"",COUNTIF(AcctCodesA,$B930)=0),"کد طرف در INFO تعریف نشده",IF(AND($D930="هزینه",$E930=""),"هزینه بدون زیرگروه",IF(AND($C930="پاس چک",OR(Sync!$AJ930="",COUNTIF(IssueNosA,Sync!$AJ930)=0)),"شماره چک پاس‌شده معتبر نیست",""))))</f>
        <v/>
      </c>
      <c r="V930">
        <f>IF($K930="","",IF(ISNUMBER(Sync!$AK930),Sync!$AK930,LEFT(Sync!$AK930,4)&amp;MID(Sync!$AK930,6,2)&amp;RIGHT(Sync!$AK930,2))&amp;"|"&amp;"4"&amp;RIGHT("00000"&amp;925,5))</f>
        <v/>
      </c>
      <c r="W930">
        <f>IF($V930="",0,COUNTIFS($V$6:$V$2005,"&lt;"&amp;$V930)-COUNTIFS($V$6:$V$2005,"&lt;"&amp;$V930,$K$6:$K$2005,"")+1)</f>
        <v/>
      </c>
      <c r="X930">
        <f>IF(Sync!$AX930="","",IF(OR(N(Sync!$AY930)=0,N(Sync!$AZ930)=0),"",ROUND(N(Sync!$AY930)*N(Sync!$AZ930),0)))</f>
        <v/>
      </c>
      <c r="Y930">
        <f>IF($X930="","",IF(OR(Sync!$AX930="",COUNTIF(AcctCodesA,Sync!$AX930)=0),"متفرقه",Sync!$AX930))</f>
        <v/>
      </c>
      <c r="Z930">
        <f>IF($X930="","","سبد و ظروف")</f>
        <v/>
      </c>
      <c r="AA930">
        <f>IF($X930="","",$Y930)</f>
        <v/>
      </c>
    </row>
    <row r="931">
      <c r="A931">
        <f>IF(Sync!$Z931="","",LEFT(UPPER(TRIM(Sync!$Z931)),6))</f>
        <v/>
      </c>
      <c r="B931">
        <f>IF($A931="","",IF(Sync!$AA931="","",Sync!$AA931))</f>
        <v/>
      </c>
      <c r="C931">
        <f>IF($A931="","",IF(Sync!$AB931="","",Sync!$AB931))</f>
        <v/>
      </c>
      <c r="D931">
        <f>IF($A931="","",IF(Sync!$AC931="","",Sync!$AC931))</f>
        <v/>
      </c>
      <c r="E931">
        <f>IF($A931="","",IF(Sync!$AD931="","",Sync!$AD931))</f>
        <v/>
      </c>
      <c r="F931">
        <f>IF($A931="","",IF(Sync!$AE931="",0,Sync!$AE931))</f>
        <v/>
      </c>
      <c r="G931">
        <f>IF($A931="","",IF(Sync!$AF931="",0,Sync!$AF931))</f>
        <v/>
      </c>
      <c r="H931">
        <f>IF(OR($A931="",ROUND($F931+$G931,2)=0),"",$F931+$G931)</f>
        <v/>
      </c>
      <c r="I931">
        <f>IF($H931="","",IF(ROUND($F931,2)&gt;0,$A931,IF($D931="شخصی قاسم","شخصی قاسم",IF($D931="هزینه","هزینه: "&amp;IF($E931="","متفرقه",$E931),IF($C931="پاس چک","چک پرداختی",IF(OR($B931="",COUNTIF(AcctCodesA,$B931)=0),"متفرقه",$B931))))))</f>
        <v/>
      </c>
      <c r="J931">
        <f>IF($H931="","",IF(ROUND($F931,2)&gt;0,IF($D931="شخصی قاسم","شخصی قاسم",IF($D931="هزینه","هزینه: "&amp;IF($E931="","متفرقه",$E931),IF(OR($B931="",COUNTIF(AcctCodesA,$B931)=0),"متفرقه",$B931))),$A931))</f>
        <v/>
      </c>
      <c r="K931">
        <f>IF($A931="","",IF(AND($B931&lt;&gt;"",COUNTIF(AcctCodesA,$B931)=0),"کد طرف در INFO تعریف نشده",IF(AND($D931="هزینه",$E931=""),"هزینه بدون زیرگروه",IF(AND($C931="پاس چک",OR(Sync!$AJ931="",COUNTIF(IssueNosA,Sync!$AJ931)=0)),"شماره چک پاس‌شده معتبر نیست",""))))</f>
        <v/>
      </c>
      <c r="V931">
        <f>IF($K931="","",IF(ISNUMBER(Sync!$AK931),Sync!$AK931,LEFT(Sync!$AK931,4)&amp;MID(Sync!$AK931,6,2)&amp;RIGHT(Sync!$AK931,2))&amp;"|"&amp;"4"&amp;RIGHT("00000"&amp;926,5))</f>
        <v/>
      </c>
      <c r="W931">
        <f>IF($V931="",0,COUNTIFS($V$6:$V$2005,"&lt;"&amp;$V931)-COUNTIFS($V$6:$V$2005,"&lt;"&amp;$V931,$K$6:$K$2005,"")+1)</f>
        <v/>
      </c>
      <c r="X931">
        <f>IF(Sync!$AX931="","",IF(OR(N(Sync!$AY931)=0,N(Sync!$AZ931)=0),"",ROUND(N(Sync!$AY931)*N(Sync!$AZ931),0)))</f>
        <v/>
      </c>
      <c r="Y931">
        <f>IF($X931="","",IF(OR(Sync!$AX931="",COUNTIF(AcctCodesA,Sync!$AX931)=0),"متفرقه",Sync!$AX931))</f>
        <v/>
      </c>
      <c r="Z931">
        <f>IF($X931="","","سبد و ظروف")</f>
        <v/>
      </c>
      <c r="AA931">
        <f>IF($X931="","",$Y931)</f>
        <v/>
      </c>
    </row>
    <row r="932">
      <c r="A932">
        <f>IF(Sync!$Z932="","",LEFT(UPPER(TRIM(Sync!$Z932)),6))</f>
        <v/>
      </c>
      <c r="B932">
        <f>IF($A932="","",IF(Sync!$AA932="","",Sync!$AA932))</f>
        <v/>
      </c>
      <c r="C932">
        <f>IF($A932="","",IF(Sync!$AB932="","",Sync!$AB932))</f>
        <v/>
      </c>
      <c r="D932">
        <f>IF($A932="","",IF(Sync!$AC932="","",Sync!$AC932))</f>
        <v/>
      </c>
      <c r="E932">
        <f>IF($A932="","",IF(Sync!$AD932="","",Sync!$AD932))</f>
        <v/>
      </c>
      <c r="F932">
        <f>IF($A932="","",IF(Sync!$AE932="",0,Sync!$AE932))</f>
        <v/>
      </c>
      <c r="G932">
        <f>IF($A932="","",IF(Sync!$AF932="",0,Sync!$AF932))</f>
        <v/>
      </c>
      <c r="H932">
        <f>IF(OR($A932="",ROUND($F932+$G932,2)=0),"",$F932+$G932)</f>
        <v/>
      </c>
      <c r="I932">
        <f>IF($H932="","",IF(ROUND($F932,2)&gt;0,$A932,IF($D932="شخصی قاسم","شخصی قاسم",IF($D932="هزینه","هزینه: "&amp;IF($E932="","متفرقه",$E932),IF($C932="پاس چک","چک پرداختی",IF(OR($B932="",COUNTIF(AcctCodesA,$B932)=0),"متفرقه",$B932))))))</f>
        <v/>
      </c>
      <c r="J932">
        <f>IF($H932="","",IF(ROUND($F932,2)&gt;0,IF($D932="شخصی قاسم","شخصی قاسم",IF($D932="هزینه","هزینه: "&amp;IF($E932="","متفرقه",$E932),IF(OR($B932="",COUNTIF(AcctCodesA,$B932)=0),"متفرقه",$B932))),$A932))</f>
        <v/>
      </c>
      <c r="K932">
        <f>IF($A932="","",IF(AND($B932&lt;&gt;"",COUNTIF(AcctCodesA,$B932)=0),"کد طرف در INFO تعریف نشده",IF(AND($D932="هزینه",$E932=""),"هزینه بدون زیرگروه",IF(AND($C932="پاس چک",OR(Sync!$AJ932="",COUNTIF(IssueNosA,Sync!$AJ932)=0)),"شماره چک پاس‌شده معتبر نیست",""))))</f>
        <v/>
      </c>
      <c r="V932">
        <f>IF($K932="","",IF(ISNUMBER(Sync!$AK932),Sync!$AK932,LEFT(Sync!$AK932,4)&amp;MID(Sync!$AK932,6,2)&amp;RIGHT(Sync!$AK932,2))&amp;"|"&amp;"4"&amp;RIGHT("00000"&amp;927,5))</f>
        <v/>
      </c>
      <c r="W932">
        <f>IF($V932="",0,COUNTIFS($V$6:$V$2005,"&lt;"&amp;$V932)-COUNTIFS($V$6:$V$2005,"&lt;"&amp;$V932,$K$6:$K$2005,"")+1)</f>
        <v/>
      </c>
      <c r="X932">
        <f>IF(Sync!$AX932="","",IF(OR(N(Sync!$AY932)=0,N(Sync!$AZ932)=0),"",ROUND(N(Sync!$AY932)*N(Sync!$AZ932),0)))</f>
        <v/>
      </c>
      <c r="Y932">
        <f>IF($X932="","",IF(OR(Sync!$AX932="",COUNTIF(AcctCodesA,Sync!$AX932)=0),"متفرقه",Sync!$AX932))</f>
        <v/>
      </c>
      <c r="Z932">
        <f>IF($X932="","","سبد و ظروف")</f>
        <v/>
      </c>
      <c r="AA932">
        <f>IF($X932="","",$Y932)</f>
        <v/>
      </c>
    </row>
    <row r="933">
      <c r="A933">
        <f>IF(Sync!$Z933="","",LEFT(UPPER(TRIM(Sync!$Z933)),6))</f>
        <v/>
      </c>
      <c r="B933">
        <f>IF($A933="","",IF(Sync!$AA933="","",Sync!$AA933))</f>
        <v/>
      </c>
      <c r="C933">
        <f>IF($A933="","",IF(Sync!$AB933="","",Sync!$AB933))</f>
        <v/>
      </c>
      <c r="D933">
        <f>IF($A933="","",IF(Sync!$AC933="","",Sync!$AC933))</f>
        <v/>
      </c>
      <c r="E933">
        <f>IF($A933="","",IF(Sync!$AD933="","",Sync!$AD933))</f>
        <v/>
      </c>
      <c r="F933">
        <f>IF($A933="","",IF(Sync!$AE933="",0,Sync!$AE933))</f>
        <v/>
      </c>
      <c r="G933">
        <f>IF($A933="","",IF(Sync!$AF933="",0,Sync!$AF933))</f>
        <v/>
      </c>
      <c r="H933">
        <f>IF(OR($A933="",ROUND($F933+$G933,2)=0),"",$F933+$G933)</f>
        <v/>
      </c>
      <c r="I933">
        <f>IF($H933="","",IF(ROUND($F933,2)&gt;0,$A933,IF($D933="شخصی قاسم","شخصی قاسم",IF($D933="هزینه","هزینه: "&amp;IF($E933="","متفرقه",$E933),IF($C933="پاس چک","چک پرداختی",IF(OR($B933="",COUNTIF(AcctCodesA,$B933)=0),"متفرقه",$B933))))))</f>
        <v/>
      </c>
      <c r="J933">
        <f>IF($H933="","",IF(ROUND($F933,2)&gt;0,IF($D933="شخصی قاسم","شخصی قاسم",IF($D933="هزینه","هزینه: "&amp;IF($E933="","متفرقه",$E933),IF(OR($B933="",COUNTIF(AcctCodesA,$B933)=0),"متفرقه",$B933))),$A933))</f>
        <v/>
      </c>
      <c r="K933">
        <f>IF($A933="","",IF(AND($B933&lt;&gt;"",COUNTIF(AcctCodesA,$B933)=0),"کد طرف در INFO تعریف نشده",IF(AND($D933="هزینه",$E933=""),"هزینه بدون زیرگروه",IF(AND($C933="پاس چک",OR(Sync!$AJ933="",COUNTIF(IssueNosA,Sync!$AJ933)=0)),"شماره چک پاس‌شده معتبر نیست",""))))</f>
        <v/>
      </c>
      <c r="V933">
        <f>IF($K933="","",IF(ISNUMBER(Sync!$AK933),Sync!$AK933,LEFT(Sync!$AK933,4)&amp;MID(Sync!$AK933,6,2)&amp;RIGHT(Sync!$AK933,2))&amp;"|"&amp;"4"&amp;RIGHT("00000"&amp;928,5))</f>
        <v/>
      </c>
      <c r="W933">
        <f>IF($V933="",0,COUNTIFS($V$6:$V$2005,"&lt;"&amp;$V933)-COUNTIFS($V$6:$V$2005,"&lt;"&amp;$V933,$K$6:$K$2005,"")+1)</f>
        <v/>
      </c>
      <c r="X933">
        <f>IF(Sync!$AX933="","",IF(OR(N(Sync!$AY933)=0,N(Sync!$AZ933)=0),"",ROUND(N(Sync!$AY933)*N(Sync!$AZ933),0)))</f>
        <v/>
      </c>
      <c r="Y933">
        <f>IF($X933="","",IF(OR(Sync!$AX933="",COUNTIF(AcctCodesA,Sync!$AX933)=0),"متفرقه",Sync!$AX933))</f>
        <v/>
      </c>
      <c r="Z933">
        <f>IF($X933="","","سبد و ظروف")</f>
        <v/>
      </c>
      <c r="AA933">
        <f>IF($X933="","",$Y933)</f>
        <v/>
      </c>
    </row>
    <row r="934">
      <c r="A934">
        <f>IF(Sync!$Z934="","",LEFT(UPPER(TRIM(Sync!$Z934)),6))</f>
        <v/>
      </c>
      <c r="B934">
        <f>IF($A934="","",IF(Sync!$AA934="","",Sync!$AA934))</f>
        <v/>
      </c>
      <c r="C934">
        <f>IF($A934="","",IF(Sync!$AB934="","",Sync!$AB934))</f>
        <v/>
      </c>
      <c r="D934">
        <f>IF($A934="","",IF(Sync!$AC934="","",Sync!$AC934))</f>
        <v/>
      </c>
      <c r="E934">
        <f>IF($A934="","",IF(Sync!$AD934="","",Sync!$AD934))</f>
        <v/>
      </c>
      <c r="F934">
        <f>IF($A934="","",IF(Sync!$AE934="",0,Sync!$AE934))</f>
        <v/>
      </c>
      <c r="G934">
        <f>IF($A934="","",IF(Sync!$AF934="",0,Sync!$AF934))</f>
        <v/>
      </c>
      <c r="H934">
        <f>IF(OR($A934="",ROUND($F934+$G934,2)=0),"",$F934+$G934)</f>
        <v/>
      </c>
      <c r="I934">
        <f>IF($H934="","",IF(ROUND($F934,2)&gt;0,$A934,IF($D934="شخصی قاسم","شخصی قاسم",IF($D934="هزینه","هزینه: "&amp;IF($E934="","متفرقه",$E934),IF($C934="پاس چک","چک پرداختی",IF(OR($B934="",COUNTIF(AcctCodesA,$B934)=0),"متفرقه",$B934))))))</f>
        <v/>
      </c>
      <c r="J934">
        <f>IF($H934="","",IF(ROUND($F934,2)&gt;0,IF($D934="شخصی قاسم","شخصی قاسم",IF($D934="هزینه","هزینه: "&amp;IF($E934="","متفرقه",$E934),IF(OR($B934="",COUNTIF(AcctCodesA,$B934)=0),"متفرقه",$B934))),$A934))</f>
        <v/>
      </c>
      <c r="K934">
        <f>IF($A934="","",IF(AND($B934&lt;&gt;"",COUNTIF(AcctCodesA,$B934)=0),"کد طرف در INFO تعریف نشده",IF(AND($D934="هزینه",$E934=""),"هزینه بدون زیرگروه",IF(AND($C934="پاس چک",OR(Sync!$AJ934="",COUNTIF(IssueNosA,Sync!$AJ934)=0)),"شماره چک پاس‌شده معتبر نیست",""))))</f>
        <v/>
      </c>
      <c r="V934">
        <f>IF($K934="","",IF(ISNUMBER(Sync!$AK934),Sync!$AK934,LEFT(Sync!$AK934,4)&amp;MID(Sync!$AK934,6,2)&amp;RIGHT(Sync!$AK934,2))&amp;"|"&amp;"4"&amp;RIGHT("00000"&amp;929,5))</f>
        <v/>
      </c>
      <c r="W934">
        <f>IF($V934="",0,COUNTIFS($V$6:$V$2005,"&lt;"&amp;$V934)-COUNTIFS($V$6:$V$2005,"&lt;"&amp;$V934,$K$6:$K$2005,"")+1)</f>
        <v/>
      </c>
      <c r="X934">
        <f>IF(Sync!$AX934="","",IF(OR(N(Sync!$AY934)=0,N(Sync!$AZ934)=0),"",ROUND(N(Sync!$AY934)*N(Sync!$AZ934),0)))</f>
        <v/>
      </c>
      <c r="Y934">
        <f>IF($X934="","",IF(OR(Sync!$AX934="",COUNTIF(AcctCodesA,Sync!$AX934)=0),"متفرقه",Sync!$AX934))</f>
        <v/>
      </c>
      <c r="Z934">
        <f>IF($X934="","","سبد و ظروف")</f>
        <v/>
      </c>
      <c r="AA934">
        <f>IF($X934="","",$Y934)</f>
        <v/>
      </c>
    </row>
    <row r="935">
      <c r="A935">
        <f>IF(Sync!$Z935="","",LEFT(UPPER(TRIM(Sync!$Z935)),6))</f>
        <v/>
      </c>
      <c r="B935">
        <f>IF($A935="","",IF(Sync!$AA935="","",Sync!$AA935))</f>
        <v/>
      </c>
      <c r="C935">
        <f>IF($A935="","",IF(Sync!$AB935="","",Sync!$AB935))</f>
        <v/>
      </c>
      <c r="D935">
        <f>IF($A935="","",IF(Sync!$AC935="","",Sync!$AC935))</f>
        <v/>
      </c>
      <c r="E935">
        <f>IF($A935="","",IF(Sync!$AD935="","",Sync!$AD935))</f>
        <v/>
      </c>
      <c r="F935">
        <f>IF($A935="","",IF(Sync!$AE935="",0,Sync!$AE935))</f>
        <v/>
      </c>
      <c r="G935">
        <f>IF($A935="","",IF(Sync!$AF935="",0,Sync!$AF935))</f>
        <v/>
      </c>
      <c r="H935">
        <f>IF(OR($A935="",ROUND($F935+$G935,2)=0),"",$F935+$G935)</f>
        <v/>
      </c>
      <c r="I935">
        <f>IF($H935="","",IF(ROUND($F935,2)&gt;0,$A935,IF($D935="شخصی قاسم","شخصی قاسم",IF($D935="هزینه","هزینه: "&amp;IF($E935="","متفرقه",$E935),IF($C935="پاس چک","چک پرداختی",IF(OR($B935="",COUNTIF(AcctCodesA,$B935)=0),"متفرقه",$B935))))))</f>
        <v/>
      </c>
      <c r="J935">
        <f>IF($H935="","",IF(ROUND($F935,2)&gt;0,IF($D935="شخصی قاسم","شخصی قاسم",IF($D935="هزینه","هزینه: "&amp;IF($E935="","متفرقه",$E935),IF(OR($B935="",COUNTIF(AcctCodesA,$B935)=0),"متفرقه",$B935))),$A935))</f>
        <v/>
      </c>
      <c r="K935">
        <f>IF($A935="","",IF(AND($B935&lt;&gt;"",COUNTIF(AcctCodesA,$B935)=0),"کد طرف در INFO تعریف نشده",IF(AND($D935="هزینه",$E935=""),"هزینه بدون زیرگروه",IF(AND($C935="پاس چک",OR(Sync!$AJ935="",COUNTIF(IssueNosA,Sync!$AJ935)=0)),"شماره چک پاس‌شده معتبر نیست",""))))</f>
        <v/>
      </c>
      <c r="V935">
        <f>IF($K935="","",IF(ISNUMBER(Sync!$AK935),Sync!$AK935,LEFT(Sync!$AK935,4)&amp;MID(Sync!$AK935,6,2)&amp;RIGHT(Sync!$AK935,2))&amp;"|"&amp;"4"&amp;RIGHT("00000"&amp;930,5))</f>
        <v/>
      </c>
      <c r="W935">
        <f>IF($V935="",0,COUNTIFS($V$6:$V$2005,"&lt;"&amp;$V935)-COUNTIFS($V$6:$V$2005,"&lt;"&amp;$V935,$K$6:$K$2005,"")+1)</f>
        <v/>
      </c>
      <c r="X935">
        <f>IF(Sync!$AX935="","",IF(OR(N(Sync!$AY935)=0,N(Sync!$AZ935)=0),"",ROUND(N(Sync!$AY935)*N(Sync!$AZ935),0)))</f>
        <v/>
      </c>
      <c r="Y935">
        <f>IF($X935="","",IF(OR(Sync!$AX935="",COUNTIF(AcctCodesA,Sync!$AX935)=0),"متفرقه",Sync!$AX935))</f>
        <v/>
      </c>
      <c r="Z935">
        <f>IF($X935="","","سبد و ظروف")</f>
        <v/>
      </c>
      <c r="AA935">
        <f>IF($X935="","",$Y935)</f>
        <v/>
      </c>
    </row>
    <row r="936">
      <c r="A936">
        <f>IF(Sync!$Z936="","",LEFT(UPPER(TRIM(Sync!$Z936)),6))</f>
        <v/>
      </c>
      <c r="B936">
        <f>IF($A936="","",IF(Sync!$AA936="","",Sync!$AA936))</f>
        <v/>
      </c>
      <c r="C936">
        <f>IF($A936="","",IF(Sync!$AB936="","",Sync!$AB936))</f>
        <v/>
      </c>
      <c r="D936">
        <f>IF($A936="","",IF(Sync!$AC936="","",Sync!$AC936))</f>
        <v/>
      </c>
      <c r="E936">
        <f>IF($A936="","",IF(Sync!$AD936="","",Sync!$AD936))</f>
        <v/>
      </c>
      <c r="F936">
        <f>IF($A936="","",IF(Sync!$AE936="",0,Sync!$AE936))</f>
        <v/>
      </c>
      <c r="G936">
        <f>IF($A936="","",IF(Sync!$AF936="",0,Sync!$AF936))</f>
        <v/>
      </c>
      <c r="H936">
        <f>IF(OR($A936="",ROUND($F936+$G936,2)=0),"",$F936+$G936)</f>
        <v/>
      </c>
      <c r="I936">
        <f>IF($H936="","",IF(ROUND($F936,2)&gt;0,$A936,IF($D936="شخصی قاسم","شخصی قاسم",IF($D936="هزینه","هزینه: "&amp;IF($E936="","متفرقه",$E936),IF($C936="پاس چک","چک پرداختی",IF(OR($B936="",COUNTIF(AcctCodesA,$B936)=0),"متفرقه",$B936))))))</f>
        <v/>
      </c>
      <c r="J936">
        <f>IF($H936="","",IF(ROUND($F936,2)&gt;0,IF($D936="شخصی قاسم","شخصی قاسم",IF($D936="هزینه","هزینه: "&amp;IF($E936="","متفرقه",$E936),IF(OR($B936="",COUNTIF(AcctCodesA,$B936)=0),"متفرقه",$B936))),$A936))</f>
        <v/>
      </c>
      <c r="K936">
        <f>IF($A936="","",IF(AND($B936&lt;&gt;"",COUNTIF(AcctCodesA,$B936)=0),"کد طرف در INFO تعریف نشده",IF(AND($D936="هزینه",$E936=""),"هزینه بدون زیرگروه",IF(AND($C936="پاس چک",OR(Sync!$AJ936="",COUNTIF(IssueNosA,Sync!$AJ936)=0)),"شماره چک پاس‌شده معتبر نیست",""))))</f>
        <v/>
      </c>
      <c r="V936">
        <f>IF($K936="","",IF(ISNUMBER(Sync!$AK936),Sync!$AK936,LEFT(Sync!$AK936,4)&amp;MID(Sync!$AK936,6,2)&amp;RIGHT(Sync!$AK936,2))&amp;"|"&amp;"4"&amp;RIGHT("00000"&amp;931,5))</f>
        <v/>
      </c>
      <c r="W936">
        <f>IF($V936="",0,COUNTIFS($V$6:$V$2005,"&lt;"&amp;$V936)-COUNTIFS($V$6:$V$2005,"&lt;"&amp;$V936,$K$6:$K$2005,"")+1)</f>
        <v/>
      </c>
      <c r="X936">
        <f>IF(Sync!$AX936="","",IF(OR(N(Sync!$AY936)=0,N(Sync!$AZ936)=0),"",ROUND(N(Sync!$AY936)*N(Sync!$AZ936),0)))</f>
        <v/>
      </c>
      <c r="Y936">
        <f>IF($X936="","",IF(OR(Sync!$AX936="",COUNTIF(AcctCodesA,Sync!$AX936)=0),"متفرقه",Sync!$AX936))</f>
        <v/>
      </c>
      <c r="Z936">
        <f>IF($X936="","","سبد و ظروف")</f>
        <v/>
      </c>
      <c r="AA936">
        <f>IF($X936="","",$Y936)</f>
        <v/>
      </c>
    </row>
    <row r="937">
      <c r="A937">
        <f>IF(Sync!$Z937="","",LEFT(UPPER(TRIM(Sync!$Z937)),6))</f>
        <v/>
      </c>
      <c r="B937">
        <f>IF($A937="","",IF(Sync!$AA937="","",Sync!$AA937))</f>
        <v/>
      </c>
      <c r="C937">
        <f>IF($A937="","",IF(Sync!$AB937="","",Sync!$AB937))</f>
        <v/>
      </c>
      <c r="D937">
        <f>IF($A937="","",IF(Sync!$AC937="","",Sync!$AC937))</f>
        <v/>
      </c>
      <c r="E937">
        <f>IF($A937="","",IF(Sync!$AD937="","",Sync!$AD937))</f>
        <v/>
      </c>
      <c r="F937">
        <f>IF($A937="","",IF(Sync!$AE937="",0,Sync!$AE937))</f>
        <v/>
      </c>
      <c r="G937">
        <f>IF($A937="","",IF(Sync!$AF937="",0,Sync!$AF937))</f>
        <v/>
      </c>
      <c r="H937">
        <f>IF(OR($A937="",ROUND($F937+$G937,2)=0),"",$F937+$G937)</f>
        <v/>
      </c>
      <c r="I937">
        <f>IF($H937="","",IF(ROUND($F937,2)&gt;0,$A937,IF($D937="شخصی قاسم","شخصی قاسم",IF($D937="هزینه","هزینه: "&amp;IF($E937="","متفرقه",$E937),IF($C937="پاس چک","چک پرداختی",IF(OR($B937="",COUNTIF(AcctCodesA,$B937)=0),"متفرقه",$B937))))))</f>
        <v/>
      </c>
      <c r="J937">
        <f>IF($H937="","",IF(ROUND($F937,2)&gt;0,IF($D937="شخصی قاسم","شخصی قاسم",IF($D937="هزینه","هزینه: "&amp;IF($E937="","متفرقه",$E937),IF(OR($B937="",COUNTIF(AcctCodesA,$B937)=0),"متفرقه",$B937))),$A937))</f>
        <v/>
      </c>
      <c r="K937">
        <f>IF($A937="","",IF(AND($B937&lt;&gt;"",COUNTIF(AcctCodesA,$B937)=0),"کد طرف در INFO تعریف نشده",IF(AND($D937="هزینه",$E937=""),"هزینه بدون زیرگروه",IF(AND($C937="پاس چک",OR(Sync!$AJ937="",COUNTIF(IssueNosA,Sync!$AJ937)=0)),"شماره چک پاس‌شده معتبر نیست",""))))</f>
        <v/>
      </c>
      <c r="V937">
        <f>IF($K937="","",IF(ISNUMBER(Sync!$AK937),Sync!$AK937,LEFT(Sync!$AK937,4)&amp;MID(Sync!$AK937,6,2)&amp;RIGHT(Sync!$AK937,2))&amp;"|"&amp;"4"&amp;RIGHT("00000"&amp;932,5))</f>
        <v/>
      </c>
      <c r="W937">
        <f>IF($V937="",0,COUNTIFS($V$6:$V$2005,"&lt;"&amp;$V937)-COUNTIFS($V$6:$V$2005,"&lt;"&amp;$V937,$K$6:$K$2005,"")+1)</f>
        <v/>
      </c>
      <c r="X937">
        <f>IF(Sync!$AX937="","",IF(OR(N(Sync!$AY937)=0,N(Sync!$AZ937)=0),"",ROUND(N(Sync!$AY937)*N(Sync!$AZ937),0)))</f>
        <v/>
      </c>
      <c r="Y937">
        <f>IF($X937="","",IF(OR(Sync!$AX937="",COUNTIF(AcctCodesA,Sync!$AX937)=0),"متفرقه",Sync!$AX937))</f>
        <v/>
      </c>
      <c r="Z937">
        <f>IF($X937="","","سبد و ظروف")</f>
        <v/>
      </c>
      <c r="AA937">
        <f>IF($X937="","",$Y937)</f>
        <v/>
      </c>
    </row>
    <row r="938">
      <c r="A938">
        <f>IF(Sync!$Z938="","",LEFT(UPPER(TRIM(Sync!$Z938)),6))</f>
        <v/>
      </c>
      <c r="B938">
        <f>IF($A938="","",IF(Sync!$AA938="","",Sync!$AA938))</f>
        <v/>
      </c>
      <c r="C938">
        <f>IF($A938="","",IF(Sync!$AB938="","",Sync!$AB938))</f>
        <v/>
      </c>
      <c r="D938">
        <f>IF($A938="","",IF(Sync!$AC938="","",Sync!$AC938))</f>
        <v/>
      </c>
      <c r="E938">
        <f>IF($A938="","",IF(Sync!$AD938="","",Sync!$AD938))</f>
        <v/>
      </c>
      <c r="F938">
        <f>IF($A938="","",IF(Sync!$AE938="",0,Sync!$AE938))</f>
        <v/>
      </c>
      <c r="G938">
        <f>IF($A938="","",IF(Sync!$AF938="",0,Sync!$AF938))</f>
        <v/>
      </c>
      <c r="H938">
        <f>IF(OR($A938="",ROUND($F938+$G938,2)=0),"",$F938+$G938)</f>
        <v/>
      </c>
      <c r="I938">
        <f>IF($H938="","",IF(ROUND($F938,2)&gt;0,$A938,IF($D938="شخصی قاسم","شخصی قاسم",IF($D938="هزینه","هزینه: "&amp;IF($E938="","متفرقه",$E938),IF($C938="پاس چک","چک پرداختی",IF(OR($B938="",COUNTIF(AcctCodesA,$B938)=0),"متفرقه",$B938))))))</f>
        <v/>
      </c>
      <c r="J938">
        <f>IF($H938="","",IF(ROUND($F938,2)&gt;0,IF($D938="شخصی قاسم","شخصی قاسم",IF($D938="هزینه","هزینه: "&amp;IF($E938="","متفرقه",$E938),IF(OR($B938="",COUNTIF(AcctCodesA,$B938)=0),"متفرقه",$B938))),$A938))</f>
        <v/>
      </c>
      <c r="K938">
        <f>IF($A938="","",IF(AND($B938&lt;&gt;"",COUNTIF(AcctCodesA,$B938)=0),"کد طرف در INFO تعریف نشده",IF(AND($D938="هزینه",$E938=""),"هزینه بدون زیرگروه",IF(AND($C938="پاس چک",OR(Sync!$AJ938="",COUNTIF(IssueNosA,Sync!$AJ938)=0)),"شماره چک پاس‌شده معتبر نیست",""))))</f>
        <v/>
      </c>
      <c r="V938">
        <f>IF($K938="","",IF(ISNUMBER(Sync!$AK938),Sync!$AK938,LEFT(Sync!$AK938,4)&amp;MID(Sync!$AK938,6,2)&amp;RIGHT(Sync!$AK938,2))&amp;"|"&amp;"4"&amp;RIGHT("00000"&amp;933,5))</f>
        <v/>
      </c>
      <c r="W938">
        <f>IF($V938="",0,COUNTIFS($V$6:$V$2005,"&lt;"&amp;$V938)-COUNTIFS($V$6:$V$2005,"&lt;"&amp;$V938,$K$6:$K$2005,"")+1)</f>
        <v/>
      </c>
      <c r="X938">
        <f>IF(Sync!$AX938="","",IF(OR(N(Sync!$AY938)=0,N(Sync!$AZ938)=0),"",ROUND(N(Sync!$AY938)*N(Sync!$AZ938),0)))</f>
        <v/>
      </c>
      <c r="Y938">
        <f>IF($X938="","",IF(OR(Sync!$AX938="",COUNTIF(AcctCodesA,Sync!$AX938)=0),"متفرقه",Sync!$AX938))</f>
        <v/>
      </c>
      <c r="Z938">
        <f>IF($X938="","","سبد و ظروف")</f>
        <v/>
      </c>
      <c r="AA938">
        <f>IF($X938="","",$Y938)</f>
        <v/>
      </c>
    </row>
    <row r="939">
      <c r="A939">
        <f>IF(Sync!$Z939="","",LEFT(UPPER(TRIM(Sync!$Z939)),6))</f>
        <v/>
      </c>
      <c r="B939">
        <f>IF($A939="","",IF(Sync!$AA939="","",Sync!$AA939))</f>
        <v/>
      </c>
      <c r="C939">
        <f>IF($A939="","",IF(Sync!$AB939="","",Sync!$AB939))</f>
        <v/>
      </c>
      <c r="D939">
        <f>IF($A939="","",IF(Sync!$AC939="","",Sync!$AC939))</f>
        <v/>
      </c>
      <c r="E939">
        <f>IF($A939="","",IF(Sync!$AD939="","",Sync!$AD939))</f>
        <v/>
      </c>
      <c r="F939">
        <f>IF($A939="","",IF(Sync!$AE939="",0,Sync!$AE939))</f>
        <v/>
      </c>
      <c r="G939">
        <f>IF($A939="","",IF(Sync!$AF939="",0,Sync!$AF939))</f>
        <v/>
      </c>
      <c r="H939">
        <f>IF(OR($A939="",ROUND($F939+$G939,2)=0),"",$F939+$G939)</f>
        <v/>
      </c>
      <c r="I939">
        <f>IF($H939="","",IF(ROUND($F939,2)&gt;0,$A939,IF($D939="شخصی قاسم","شخصی قاسم",IF($D939="هزینه","هزینه: "&amp;IF($E939="","متفرقه",$E939),IF($C939="پاس چک","چک پرداختی",IF(OR($B939="",COUNTIF(AcctCodesA,$B939)=0),"متفرقه",$B939))))))</f>
        <v/>
      </c>
      <c r="J939">
        <f>IF($H939="","",IF(ROUND($F939,2)&gt;0,IF($D939="شخصی قاسم","شخصی قاسم",IF($D939="هزینه","هزینه: "&amp;IF($E939="","متفرقه",$E939),IF(OR($B939="",COUNTIF(AcctCodesA,$B939)=0),"متفرقه",$B939))),$A939))</f>
        <v/>
      </c>
      <c r="K939">
        <f>IF($A939="","",IF(AND($B939&lt;&gt;"",COUNTIF(AcctCodesA,$B939)=0),"کد طرف در INFO تعریف نشده",IF(AND($D939="هزینه",$E939=""),"هزینه بدون زیرگروه",IF(AND($C939="پاس چک",OR(Sync!$AJ939="",COUNTIF(IssueNosA,Sync!$AJ939)=0)),"شماره چک پاس‌شده معتبر نیست",""))))</f>
        <v/>
      </c>
      <c r="V939">
        <f>IF($K939="","",IF(ISNUMBER(Sync!$AK939),Sync!$AK939,LEFT(Sync!$AK939,4)&amp;MID(Sync!$AK939,6,2)&amp;RIGHT(Sync!$AK939,2))&amp;"|"&amp;"4"&amp;RIGHT("00000"&amp;934,5))</f>
        <v/>
      </c>
      <c r="W939">
        <f>IF($V939="",0,COUNTIFS($V$6:$V$2005,"&lt;"&amp;$V939)-COUNTIFS($V$6:$V$2005,"&lt;"&amp;$V939,$K$6:$K$2005,"")+1)</f>
        <v/>
      </c>
      <c r="X939">
        <f>IF(Sync!$AX939="","",IF(OR(N(Sync!$AY939)=0,N(Sync!$AZ939)=0),"",ROUND(N(Sync!$AY939)*N(Sync!$AZ939),0)))</f>
        <v/>
      </c>
      <c r="Y939">
        <f>IF($X939="","",IF(OR(Sync!$AX939="",COUNTIF(AcctCodesA,Sync!$AX939)=0),"متفرقه",Sync!$AX939))</f>
        <v/>
      </c>
      <c r="Z939">
        <f>IF($X939="","","سبد و ظروف")</f>
        <v/>
      </c>
      <c r="AA939">
        <f>IF($X939="","",$Y939)</f>
        <v/>
      </c>
    </row>
    <row r="940">
      <c r="A940">
        <f>IF(Sync!$Z940="","",LEFT(UPPER(TRIM(Sync!$Z940)),6))</f>
        <v/>
      </c>
      <c r="B940">
        <f>IF($A940="","",IF(Sync!$AA940="","",Sync!$AA940))</f>
        <v/>
      </c>
      <c r="C940">
        <f>IF($A940="","",IF(Sync!$AB940="","",Sync!$AB940))</f>
        <v/>
      </c>
      <c r="D940">
        <f>IF($A940="","",IF(Sync!$AC940="","",Sync!$AC940))</f>
        <v/>
      </c>
      <c r="E940">
        <f>IF($A940="","",IF(Sync!$AD940="","",Sync!$AD940))</f>
        <v/>
      </c>
      <c r="F940">
        <f>IF($A940="","",IF(Sync!$AE940="",0,Sync!$AE940))</f>
        <v/>
      </c>
      <c r="G940">
        <f>IF($A940="","",IF(Sync!$AF940="",0,Sync!$AF940))</f>
        <v/>
      </c>
      <c r="H940">
        <f>IF(OR($A940="",ROUND($F940+$G940,2)=0),"",$F940+$G940)</f>
        <v/>
      </c>
      <c r="I940">
        <f>IF($H940="","",IF(ROUND($F940,2)&gt;0,$A940,IF($D940="شخصی قاسم","شخصی قاسم",IF($D940="هزینه","هزینه: "&amp;IF($E940="","متفرقه",$E940),IF($C940="پاس چک","چک پرداختی",IF(OR($B940="",COUNTIF(AcctCodesA,$B940)=0),"متفرقه",$B940))))))</f>
        <v/>
      </c>
      <c r="J940">
        <f>IF($H940="","",IF(ROUND($F940,2)&gt;0,IF($D940="شخصی قاسم","شخصی قاسم",IF($D940="هزینه","هزینه: "&amp;IF($E940="","متفرقه",$E940),IF(OR($B940="",COUNTIF(AcctCodesA,$B940)=0),"متفرقه",$B940))),$A940))</f>
        <v/>
      </c>
      <c r="K940">
        <f>IF($A940="","",IF(AND($B940&lt;&gt;"",COUNTIF(AcctCodesA,$B940)=0),"کد طرف در INFO تعریف نشده",IF(AND($D940="هزینه",$E940=""),"هزینه بدون زیرگروه",IF(AND($C940="پاس چک",OR(Sync!$AJ940="",COUNTIF(IssueNosA,Sync!$AJ940)=0)),"شماره چک پاس‌شده معتبر نیست",""))))</f>
        <v/>
      </c>
      <c r="V940">
        <f>IF($K940="","",IF(ISNUMBER(Sync!$AK940),Sync!$AK940,LEFT(Sync!$AK940,4)&amp;MID(Sync!$AK940,6,2)&amp;RIGHT(Sync!$AK940,2))&amp;"|"&amp;"4"&amp;RIGHT("00000"&amp;935,5))</f>
        <v/>
      </c>
      <c r="W940">
        <f>IF($V940="",0,COUNTIFS($V$6:$V$2005,"&lt;"&amp;$V940)-COUNTIFS($V$6:$V$2005,"&lt;"&amp;$V940,$K$6:$K$2005,"")+1)</f>
        <v/>
      </c>
      <c r="X940">
        <f>IF(Sync!$AX940="","",IF(OR(N(Sync!$AY940)=0,N(Sync!$AZ940)=0),"",ROUND(N(Sync!$AY940)*N(Sync!$AZ940),0)))</f>
        <v/>
      </c>
      <c r="Y940">
        <f>IF($X940="","",IF(OR(Sync!$AX940="",COUNTIF(AcctCodesA,Sync!$AX940)=0),"متفرقه",Sync!$AX940))</f>
        <v/>
      </c>
      <c r="Z940">
        <f>IF($X940="","","سبد و ظروف")</f>
        <v/>
      </c>
      <c r="AA940">
        <f>IF($X940="","",$Y940)</f>
        <v/>
      </c>
    </row>
    <row r="941">
      <c r="A941">
        <f>IF(Sync!$Z941="","",LEFT(UPPER(TRIM(Sync!$Z941)),6))</f>
        <v/>
      </c>
      <c r="B941">
        <f>IF($A941="","",IF(Sync!$AA941="","",Sync!$AA941))</f>
        <v/>
      </c>
      <c r="C941">
        <f>IF($A941="","",IF(Sync!$AB941="","",Sync!$AB941))</f>
        <v/>
      </c>
      <c r="D941">
        <f>IF($A941="","",IF(Sync!$AC941="","",Sync!$AC941))</f>
        <v/>
      </c>
      <c r="E941">
        <f>IF($A941="","",IF(Sync!$AD941="","",Sync!$AD941))</f>
        <v/>
      </c>
      <c r="F941">
        <f>IF($A941="","",IF(Sync!$AE941="",0,Sync!$AE941))</f>
        <v/>
      </c>
      <c r="G941">
        <f>IF($A941="","",IF(Sync!$AF941="",0,Sync!$AF941))</f>
        <v/>
      </c>
      <c r="H941">
        <f>IF(OR($A941="",ROUND($F941+$G941,2)=0),"",$F941+$G941)</f>
        <v/>
      </c>
      <c r="I941">
        <f>IF($H941="","",IF(ROUND($F941,2)&gt;0,$A941,IF($D941="شخصی قاسم","شخصی قاسم",IF($D941="هزینه","هزینه: "&amp;IF($E941="","متفرقه",$E941),IF($C941="پاس چک","چک پرداختی",IF(OR($B941="",COUNTIF(AcctCodesA,$B941)=0),"متفرقه",$B941))))))</f>
        <v/>
      </c>
      <c r="J941">
        <f>IF($H941="","",IF(ROUND($F941,2)&gt;0,IF($D941="شخصی قاسم","شخصی قاسم",IF($D941="هزینه","هزینه: "&amp;IF($E941="","متفرقه",$E941),IF(OR($B941="",COUNTIF(AcctCodesA,$B941)=0),"متفرقه",$B941))),$A941))</f>
        <v/>
      </c>
      <c r="K941">
        <f>IF($A941="","",IF(AND($B941&lt;&gt;"",COUNTIF(AcctCodesA,$B941)=0),"کد طرف در INFO تعریف نشده",IF(AND($D941="هزینه",$E941=""),"هزینه بدون زیرگروه",IF(AND($C941="پاس چک",OR(Sync!$AJ941="",COUNTIF(IssueNosA,Sync!$AJ941)=0)),"شماره چک پاس‌شده معتبر نیست",""))))</f>
        <v/>
      </c>
      <c r="V941">
        <f>IF($K941="","",IF(ISNUMBER(Sync!$AK941),Sync!$AK941,LEFT(Sync!$AK941,4)&amp;MID(Sync!$AK941,6,2)&amp;RIGHT(Sync!$AK941,2))&amp;"|"&amp;"4"&amp;RIGHT("00000"&amp;936,5))</f>
        <v/>
      </c>
      <c r="W941">
        <f>IF($V941="",0,COUNTIFS($V$6:$V$2005,"&lt;"&amp;$V941)-COUNTIFS($V$6:$V$2005,"&lt;"&amp;$V941,$K$6:$K$2005,"")+1)</f>
        <v/>
      </c>
      <c r="X941">
        <f>IF(Sync!$AX941="","",IF(OR(N(Sync!$AY941)=0,N(Sync!$AZ941)=0),"",ROUND(N(Sync!$AY941)*N(Sync!$AZ941),0)))</f>
        <v/>
      </c>
      <c r="Y941">
        <f>IF($X941="","",IF(OR(Sync!$AX941="",COUNTIF(AcctCodesA,Sync!$AX941)=0),"متفرقه",Sync!$AX941))</f>
        <v/>
      </c>
      <c r="Z941">
        <f>IF($X941="","","سبد و ظروف")</f>
        <v/>
      </c>
      <c r="AA941">
        <f>IF($X941="","",$Y941)</f>
        <v/>
      </c>
    </row>
    <row r="942">
      <c r="A942">
        <f>IF(Sync!$Z942="","",LEFT(UPPER(TRIM(Sync!$Z942)),6))</f>
        <v/>
      </c>
      <c r="B942">
        <f>IF($A942="","",IF(Sync!$AA942="","",Sync!$AA942))</f>
        <v/>
      </c>
      <c r="C942">
        <f>IF($A942="","",IF(Sync!$AB942="","",Sync!$AB942))</f>
        <v/>
      </c>
      <c r="D942">
        <f>IF($A942="","",IF(Sync!$AC942="","",Sync!$AC942))</f>
        <v/>
      </c>
      <c r="E942">
        <f>IF($A942="","",IF(Sync!$AD942="","",Sync!$AD942))</f>
        <v/>
      </c>
      <c r="F942">
        <f>IF($A942="","",IF(Sync!$AE942="",0,Sync!$AE942))</f>
        <v/>
      </c>
      <c r="G942">
        <f>IF($A942="","",IF(Sync!$AF942="",0,Sync!$AF942))</f>
        <v/>
      </c>
      <c r="H942">
        <f>IF(OR($A942="",ROUND($F942+$G942,2)=0),"",$F942+$G942)</f>
        <v/>
      </c>
      <c r="I942">
        <f>IF($H942="","",IF(ROUND($F942,2)&gt;0,$A942,IF($D942="شخصی قاسم","شخصی قاسم",IF($D942="هزینه","هزینه: "&amp;IF($E942="","متفرقه",$E942),IF($C942="پاس چک","چک پرداختی",IF(OR($B942="",COUNTIF(AcctCodesA,$B942)=0),"متفرقه",$B942))))))</f>
        <v/>
      </c>
      <c r="J942">
        <f>IF($H942="","",IF(ROUND($F942,2)&gt;0,IF($D942="شخصی قاسم","شخصی قاسم",IF($D942="هزینه","هزینه: "&amp;IF($E942="","متفرقه",$E942),IF(OR($B942="",COUNTIF(AcctCodesA,$B942)=0),"متفرقه",$B942))),$A942))</f>
        <v/>
      </c>
      <c r="K942">
        <f>IF($A942="","",IF(AND($B942&lt;&gt;"",COUNTIF(AcctCodesA,$B942)=0),"کد طرف در INFO تعریف نشده",IF(AND($D942="هزینه",$E942=""),"هزینه بدون زیرگروه",IF(AND($C942="پاس چک",OR(Sync!$AJ942="",COUNTIF(IssueNosA,Sync!$AJ942)=0)),"شماره چک پاس‌شده معتبر نیست",""))))</f>
        <v/>
      </c>
      <c r="V942">
        <f>IF($K942="","",IF(ISNUMBER(Sync!$AK942),Sync!$AK942,LEFT(Sync!$AK942,4)&amp;MID(Sync!$AK942,6,2)&amp;RIGHT(Sync!$AK942,2))&amp;"|"&amp;"4"&amp;RIGHT("00000"&amp;937,5))</f>
        <v/>
      </c>
      <c r="W942">
        <f>IF($V942="",0,COUNTIFS($V$6:$V$2005,"&lt;"&amp;$V942)-COUNTIFS($V$6:$V$2005,"&lt;"&amp;$V942,$K$6:$K$2005,"")+1)</f>
        <v/>
      </c>
      <c r="X942">
        <f>IF(Sync!$AX942="","",IF(OR(N(Sync!$AY942)=0,N(Sync!$AZ942)=0),"",ROUND(N(Sync!$AY942)*N(Sync!$AZ942),0)))</f>
        <v/>
      </c>
      <c r="Y942">
        <f>IF($X942="","",IF(OR(Sync!$AX942="",COUNTIF(AcctCodesA,Sync!$AX942)=0),"متفرقه",Sync!$AX942))</f>
        <v/>
      </c>
      <c r="Z942">
        <f>IF($X942="","","سبد و ظروف")</f>
        <v/>
      </c>
      <c r="AA942">
        <f>IF($X942="","",$Y942)</f>
        <v/>
      </c>
    </row>
    <row r="943">
      <c r="A943">
        <f>IF(Sync!$Z943="","",LEFT(UPPER(TRIM(Sync!$Z943)),6))</f>
        <v/>
      </c>
      <c r="B943">
        <f>IF($A943="","",IF(Sync!$AA943="","",Sync!$AA943))</f>
        <v/>
      </c>
      <c r="C943">
        <f>IF($A943="","",IF(Sync!$AB943="","",Sync!$AB943))</f>
        <v/>
      </c>
      <c r="D943">
        <f>IF($A943="","",IF(Sync!$AC943="","",Sync!$AC943))</f>
        <v/>
      </c>
      <c r="E943">
        <f>IF($A943="","",IF(Sync!$AD943="","",Sync!$AD943))</f>
        <v/>
      </c>
      <c r="F943">
        <f>IF($A943="","",IF(Sync!$AE943="",0,Sync!$AE943))</f>
        <v/>
      </c>
      <c r="G943">
        <f>IF($A943="","",IF(Sync!$AF943="",0,Sync!$AF943))</f>
        <v/>
      </c>
      <c r="H943">
        <f>IF(OR($A943="",ROUND($F943+$G943,2)=0),"",$F943+$G943)</f>
        <v/>
      </c>
      <c r="I943">
        <f>IF($H943="","",IF(ROUND($F943,2)&gt;0,$A943,IF($D943="شخصی قاسم","شخصی قاسم",IF($D943="هزینه","هزینه: "&amp;IF($E943="","متفرقه",$E943),IF($C943="پاس چک","چک پرداختی",IF(OR($B943="",COUNTIF(AcctCodesA,$B943)=0),"متفرقه",$B943))))))</f>
        <v/>
      </c>
      <c r="J943">
        <f>IF($H943="","",IF(ROUND($F943,2)&gt;0,IF($D943="شخصی قاسم","شخصی قاسم",IF($D943="هزینه","هزینه: "&amp;IF($E943="","متفرقه",$E943),IF(OR($B943="",COUNTIF(AcctCodesA,$B943)=0),"متفرقه",$B943))),$A943))</f>
        <v/>
      </c>
      <c r="K943">
        <f>IF($A943="","",IF(AND($B943&lt;&gt;"",COUNTIF(AcctCodesA,$B943)=0),"کد طرف در INFO تعریف نشده",IF(AND($D943="هزینه",$E943=""),"هزینه بدون زیرگروه",IF(AND($C943="پاس چک",OR(Sync!$AJ943="",COUNTIF(IssueNosA,Sync!$AJ943)=0)),"شماره چک پاس‌شده معتبر نیست",""))))</f>
        <v/>
      </c>
      <c r="V943">
        <f>IF($K943="","",IF(ISNUMBER(Sync!$AK943),Sync!$AK943,LEFT(Sync!$AK943,4)&amp;MID(Sync!$AK943,6,2)&amp;RIGHT(Sync!$AK943,2))&amp;"|"&amp;"4"&amp;RIGHT("00000"&amp;938,5))</f>
        <v/>
      </c>
      <c r="W943">
        <f>IF($V943="",0,COUNTIFS($V$6:$V$2005,"&lt;"&amp;$V943)-COUNTIFS($V$6:$V$2005,"&lt;"&amp;$V943,$K$6:$K$2005,"")+1)</f>
        <v/>
      </c>
      <c r="X943">
        <f>IF(Sync!$AX943="","",IF(OR(N(Sync!$AY943)=0,N(Sync!$AZ943)=0),"",ROUND(N(Sync!$AY943)*N(Sync!$AZ943),0)))</f>
        <v/>
      </c>
      <c r="Y943">
        <f>IF($X943="","",IF(OR(Sync!$AX943="",COUNTIF(AcctCodesA,Sync!$AX943)=0),"متفرقه",Sync!$AX943))</f>
        <v/>
      </c>
      <c r="Z943">
        <f>IF($X943="","","سبد و ظروف")</f>
        <v/>
      </c>
      <c r="AA943">
        <f>IF($X943="","",$Y943)</f>
        <v/>
      </c>
    </row>
    <row r="944">
      <c r="A944">
        <f>IF(Sync!$Z944="","",LEFT(UPPER(TRIM(Sync!$Z944)),6))</f>
        <v/>
      </c>
      <c r="B944">
        <f>IF($A944="","",IF(Sync!$AA944="","",Sync!$AA944))</f>
        <v/>
      </c>
      <c r="C944">
        <f>IF($A944="","",IF(Sync!$AB944="","",Sync!$AB944))</f>
        <v/>
      </c>
      <c r="D944">
        <f>IF($A944="","",IF(Sync!$AC944="","",Sync!$AC944))</f>
        <v/>
      </c>
      <c r="E944">
        <f>IF($A944="","",IF(Sync!$AD944="","",Sync!$AD944))</f>
        <v/>
      </c>
      <c r="F944">
        <f>IF($A944="","",IF(Sync!$AE944="",0,Sync!$AE944))</f>
        <v/>
      </c>
      <c r="G944">
        <f>IF($A944="","",IF(Sync!$AF944="",0,Sync!$AF944))</f>
        <v/>
      </c>
      <c r="H944">
        <f>IF(OR($A944="",ROUND($F944+$G944,2)=0),"",$F944+$G944)</f>
        <v/>
      </c>
      <c r="I944">
        <f>IF($H944="","",IF(ROUND($F944,2)&gt;0,$A944,IF($D944="شخصی قاسم","شخصی قاسم",IF($D944="هزینه","هزینه: "&amp;IF($E944="","متفرقه",$E944),IF($C944="پاس چک","چک پرداختی",IF(OR($B944="",COUNTIF(AcctCodesA,$B944)=0),"متفرقه",$B944))))))</f>
        <v/>
      </c>
      <c r="J944">
        <f>IF($H944="","",IF(ROUND($F944,2)&gt;0,IF($D944="شخصی قاسم","شخصی قاسم",IF($D944="هزینه","هزینه: "&amp;IF($E944="","متفرقه",$E944),IF(OR($B944="",COUNTIF(AcctCodesA,$B944)=0),"متفرقه",$B944))),$A944))</f>
        <v/>
      </c>
      <c r="K944">
        <f>IF($A944="","",IF(AND($B944&lt;&gt;"",COUNTIF(AcctCodesA,$B944)=0),"کد طرف در INFO تعریف نشده",IF(AND($D944="هزینه",$E944=""),"هزینه بدون زیرگروه",IF(AND($C944="پاس چک",OR(Sync!$AJ944="",COUNTIF(IssueNosA,Sync!$AJ944)=0)),"شماره چک پاس‌شده معتبر نیست",""))))</f>
        <v/>
      </c>
      <c r="V944">
        <f>IF($K944="","",IF(ISNUMBER(Sync!$AK944),Sync!$AK944,LEFT(Sync!$AK944,4)&amp;MID(Sync!$AK944,6,2)&amp;RIGHT(Sync!$AK944,2))&amp;"|"&amp;"4"&amp;RIGHT("00000"&amp;939,5))</f>
        <v/>
      </c>
      <c r="W944">
        <f>IF($V944="",0,COUNTIFS($V$6:$V$2005,"&lt;"&amp;$V944)-COUNTIFS($V$6:$V$2005,"&lt;"&amp;$V944,$K$6:$K$2005,"")+1)</f>
        <v/>
      </c>
      <c r="X944">
        <f>IF(Sync!$AX944="","",IF(OR(N(Sync!$AY944)=0,N(Sync!$AZ944)=0),"",ROUND(N(Sync!$AY944)*N(Sync!$AZ944),0)))</f>
        <v/>
      </c>
      <c r="Y944">
        <f>IF($X944="","",IF(OR(Sync!$AX944="",COUNTIF(AcctCodesA,Sync!$AX944)=0),"متفرقه",Sync!$AX944))</f>
        <v/>
      </c>
      <c r="Z944">
        <f>IF($X944="","","سبد و ظروف")</f>
        <v/>
      </c>
      <c r="AA944">
        <f>IF($X944="","",$Y944)</f>
        <v/>
      </c>
    </row>
    <row r="945">
      <c r="A945">
        <f>IF(Sync!$Z945="","",LEFT(UPPER(TRIM(Sync!$Z945)),6))</f>
        <v/>
      </c>
      <c r="B945">
        <f>IF($A945="","",IF(Sync!$AA945="","",Sync!$AA945))</f>
        <v/>
      </c>
      <c r="C945">
        <f>IF($A945="","",IF(Sync!$AB945="","",Sync!$AB945))</f>
        <v/>
      </c>
      <c r="D945">
        <f>IF($A945="","",IF(Sync!$AC945="","",Sync!$AC945))</f>
        <v/>
      </c>
      <c r="E945">
        <f>IF($A945="","",IF(Sync!$AD945="","",Sync!$AD945))</f>
        <v/>
      </c>
      <c r="F945">
        <f>IF($A945="","",IF(Sync!$AE945="",0,Sync!$AE945))</f>
        <v/>
      </c>
      <c r="G945">
        <f>IF($A945="","",IF(Sync!$AF945="",0,Sync!$AF945))</f>
        <v/>
      </c>
      <c r="H945">
        <f>IF(OR($A945="",ROUND($F945+$G945,2)=0),"",$F945+$G945)</f>
        <v/>
      </c>
      <c r="I945">
        <f>IF($H945="","",IF(ROUND($F945,2)&gt;0,$A945,IF($D945="شخصی قاسم","شخصی قاسم",IF($D945="هزینه","هزینه: "&amp;IF($E945="","متفرقه",$E945),IF($C945="پاس چک","چک پرداختی",IF(OR($B945="",COUNTIF(AcctCodesA,$B945)=0),"متفرقه",$B945))))))</f>
        <v/>
      </c>
      <c r="J945">
        <f>IF($H945="","",IF(ROUND($F945,2)&gt;0,IF($D945="شخصی قاسم","شخصی قاسم",IF($D945="هزینه","هزینه: "&amp;IF($E945="","متفرقه",$E945),IF(OR($B945="",COUNTIF(AcctCodesA,$B945)=0),"متفرقه",$B945))),$A945))</f>
        <v/>
      </c>
      <c r="K945">
        <f>IF($A945="","",IF(AND($B945&lt;&gt;"",COUNTIF(AcctCodesA,$B945)=0),"کد طرف در INFO تعریف نشده",IF(AND($D945="هزینه",$E945=""),"هزینه بدون زیرگروه",IF(AND($C945="پاس چک",OR(Sync!$AJ945="",COUNTIF(IssueNosA,Sync!$AJ945)=0)),"شماره چک پاس‌شده معتبر نیست",""))))</f>
        <v/>
      </c>
      <c r="V945">
        <f>IF($K945="","",IF(ISNUMBER(Sync!$AK945),Sync!$AK945,LEFT(Sync!$AK945,4)&amp;MID(Sync!$AK945,6,2)&amp;RIGHT(Sync!$AK945,2))&amp;"|"&amp;"4"&amp;RIGHT("00000"&amp;940,5))</f>
        <v/>
      </c>
      <c r="W945">
        <f>IF($V945="",0,COUNTIFS($V$6:$V$2005,"&lt;"&amp;$V945)-COUNTIFS($V$6:$V$2005,"&lt;"&amp;$V945,$K$6:$K$2005,"")+1)</f>
        <v/>
      </c>
      <c r="X945">
        <f>IF(Sync!$AX945="","",IF(OR(N(Sync!$AY945)=0,N(Sync!$AZ945)=0),"",ROUND(N(Sync!$AY945)*N(Sync!$AZ945),0)))</f>
        <v/>
      </c>
      <c r="Y945">
        <f>IF($X945="","",IF(OR(Sync!$AX945="",COUNTIF(AcctCodesA,Sync!$AX945)=0),"متفرقه",Sync!$AX945))</f>
        <v/>
      </c>
      <c r="Z945">
        <f>IF($X945="","","سبد و ظروف")</f>
        <v/>
      </c>
      <c r="AA945">
        <f>IF($X945="","",$Y945)</f>
        <v/>
      </c>
    </row>
    <row r="946">
      <c r="A946">
        <f>IF(Sync!$Z946="","",LEFT(UPPER(TRIM(Sync!$Z946)),6))</f>
        <v/>
      </c>
      <c r="B946">
        <f>IF($A946="","",IF(Sync!$AA946="","",Sync!$AA946))</f>
        <v/>
      </c>
      <c r="C946">
        <f>IF($A946="","",IF(Sync!$AB946="","",Sync!$AB946))</f>
        <v/>
      </c>
      <c r="D946">
        <f>IF($A946="","",IF(Sync!$AC946="","",Sync!$AC946))</f>
        <v/>
      </c>
      <c r="E946">
        <f>IF($A946="","",IF(Sync!$AD946="","",Sync!$AD946))</f>
        <v/>
      </c>
      <c r="F946">
        <f>IF($A946="","",IF(Sync!$AE946="",0,Sync!$AE946))</f>
        <v/>
      </c>
      <c r="G946">
        <f>IF($A946="","",IF(Sync!$AF946="",0,Sync!$AF946))</f>
        <v/>
      </c>
      <c r="H946">
        <f>IF(OR($A946="",ROUND($F946+$G946,2)=0),"",$F946+$G946)</f>
        <v/>
      </c>
      <c r="I946">
        <f>IF($H946="","",IF(ROUND($F946,2)&gt;0,$A946,IF($D946="شخصی قاسم","شخصی قاسم",IF($D946="هزینه","هزینه: "&amp;IF($E946="","متفرقه",$E946),IF($C946="پاس چک","چک پرداختی",IF(OR($B946="",COUNTIF(AcctCodesA,$B946)=0),"متفرقه",$B946))))))</f>
        <v/>
      </c>
      <c r="J946">
        <f>IF($H946="","",IF(ROUND($F946,2)&gt;0,IF($D946="شخصی قاسم","شخصی قاسم",IF($D946="هزینه","هزینه: "&amp;IF($E946="","متفرقه",$E946),IF(OR($B946="",COUNTIF(AcctCodesA,$B946)=0),"متفرقه",$B946))),$A946))</f>
        <v/>
      </c>
      <c r="K946">
        <f>IF($A946="","",IF(AND($B946&lt;&gt;"",COUNTIF(AcctCodesA,$B946)=0),"کد طرف در INFO تعریف نشده",IF(AND($D946="هزینه",$E946=""),"هزینه بدون زیرگروه",IF(AND($C946="پاس چک",OR(Sync!$AJ946="",COUNTIF(IssueNosA,Sync!$AJ946)=0)),"شماره چک پاس‌شده معتبر نیست",""))))</f>
        <v/>
      </c>
      <c r="V946">
        <f>IF($K946="","",IF(ISNUMBER(Sync!$AK946),Sync!$AK946,LEFT(Sync!$AK946,4)&amp;MID(Sync!$AK946,6,2)&amp;RIGHT(Sync!$AK946,2))&amp;"|"&amp;"4"&amp;RIGHT("00000"&amp;941,5))</f>
        <v/>
      </c>
      <c r="W946">
        <f>IF($V946="",0,COUNTIFS($V$6:$V$2005,"&lt;"&amp;$V946)-COUNTIFS($V$6:$V$2005,"&lt;"&amp;$V946,$K$6:$K$2005,"")+1)</f>
        <v/>
      </c>
      <c r="X946">
        <f>IF(Sync!$AX946="","",IF(OR(N(Sync!$AY946)=0,N(Sync!$AZ946)=0),"",ROUND(N(Sync!$AY946)*N(Sync!$AZ946),0)))</f>
        <v/>
      </c>
      <c r="Y946">
        <f>IF($X946="","",IF(OR(Sync!$AX946="",COUNTIF(AcctCodesA,Sync!$AX946)=0),"متفرقه",Sync!$AX946))</f>
        <v/>
      </c>
      <c r="Z946">
        <f>IF($X946="","","سبد و ظروف")</f>
        <v/>
      </c>
      <c r="AA946">
        <f>IF($X946="","",$Y946)</f>
        <v/>
      </c>
    </row>
    <row r="947">
      <c r="A947">
        <f>IF(Sync!$Z947="","",LEFT(UPPER(TRIM(Sync!$Z947)),6))</f>
        <v/>
      </c>
      <c r="B947">
        <f>IF($A947="","",IF(Sync!$AA947="","",Sync!$AA947))</f>
        <v/>
      </c>
      <c r="C947">
        <f>IF($A947="","",IF(Sync!$AB947="","",Sync!$AB947))</f>
        <v/>
      </c>
      <c r="D947">
        <f>IF($A947="","",IF(Sync!$AC947="","",Sync!$AC947))</f>
        <v/>
      </c>
      <c r="E947">
        <f>IF($A947="","",IF(Sync!$AD947="","",Sync!$AD947))</f>
        <v/>
      </c>
      <c r="F947">
        <f>IF($A947="","",IF(Sync!$AE947="",0,Sync!$AE947))</f>
        <v/>
      </c>
      <c r="G947">
        <f>IF($A947="","",IF(Sync!$AF947="",0,Sync!$AF947))</f>
        <v/>
      </c>
      <c r="H947">
        <f>IF(OR($A947="",ROUND($F947+$G947,2)=0),"",$F947+$G947)</f>
        <v/>
      </c>
      <c r="I947">
        <f>IF($H947="","",IF(ROUND($F947,2)&gt;0,$A947,IF($D947="شخصی قاسم","شخصی قاسم",IF($D947="هزینه","هزینه: "&amp;IF($E947="","متفرقه",$E947),IF($C947="پاس چک","چک پرداختی",IF(OR($B947="",COUNTIF(AcctCodesA,$B947)=0),"متفرقه",$B947))))))</f>
        <v/>
      </c>
      <c r="J947">
        <f>IF($H947="","",IF(ROUND($F947,2)&gt;0,IF($D947="شخصی قاسم","شخصی قاسم",IF($D947="هزینه","هزینه: "&amp;IF($E947="","متفرقه",$E947),IF(OR($B947="",COUNTIF(AcctCodesA,$B947)=0),"متفرقه",$B947))),$A947))</f>
        <v/>
      </c>
      <c r="K947">
        <f>IF($A947="","",IF(AND($B947&lt;&gt;"",COUNTIF(AcctCodesA,$B947)=0),"کد طرف در INFO تعریف نشده",IF(AND($D947="هزینه",$E947=""),"هزینه بدون زیرگروه",IF(AND($C947="پاس چک",OR(Sync!$AJ947="",COUNTIF(IssueNosA,Sync!$AJ947)=0)),"شماره چک پاس‌شده معتبر نیست",""))))</f>
        <v/>
      </c>
      <c r="V947">
        <f>IF($K947="","",IF(ISNUMBER(Sync!$AK947),Sync!$AK947,LEFT(Sync!$AK947,4)&amp;MID(Sync!$AK947,6,2)&amp;RIGHT(Sync!$AK947,2))&amp;"|"&amp;"4"&amp;RIGHT("00000"&amp;942,5))</f>
        <v/>
      </c>
      <c r="W947">
        <f>IF($V947="",0,COUNTIFS($V$6:$V$2005,"&lt;"&amp;$V947)-COUNTIFS($V$6:$V$2005,"&lt;"&amp;$V947,$K$6:$K$2005,"")+1)</f>
        <v/>
      </c>
      <c r="X947">
        <f>IF(Sync!$AX947="","",IF(OR(N(Sync!$AY947)=0,N(Sync!$AZ947)=0),"",ROUND(N(Sync!$AY947)*N(Sync!$AZ947),0)))</f>
        <v/>
      </c>
      <c r="Y947">
        <f>IF($X947="","",IF(OR(Sync!$AX947="",COUNTIF(AcctCodesA,Sync!$AX947)=0),"متفرقه",Sync!$AX947))</f>
        <v/>
      </c>
      <c r="Z947">
        <f>IF($X947="","","سبد و ظروف")</f>
        <v/>
      </c>
      <c r="AA947">
        <f>IF($X947="","",$Y947)</f>
        <v/>
      </c>
    </row>
    <row r="948">
      <c r="A948">
        <f>IF(Sync!$Z948="","",LEFT(UPPER(TRIM(Sync!$Z948)),6))</f>
        <v/>
      </c>
      <c r="B948">
        <f>IF($A948="","",IF(Sync!$AA948="","",Sync!$AA948))</f>
        <v/>
      </c>
      <c r="C948">
        <f>IF($A948="","",IF(Sync!$AB948="","",Sync!$AB948))</f>
        <v/>
      </c>
      <c r="D948">
        <f>IF($A948="","",IF(Sync!$AC948="","",Sync!$AC948))</f>
        <v/>
      </c>
      <c r="E948">
        <f>IF($A948="","",IF(Sync!$AD948="","",Sync!$AD948))</f>
        <v/>
      </c>
      <c r="F948">
        <f>IF($A948="","",IF(Sync!$AE948="",0,Sync!$AE948))</f>
        <v/>
      </c>
      <c r="G948">
        <f>IF($A948="","",IF(Sync!$AF948="",0,Sync!$AF948))</f>
        <v/>
      </c>
      <c r="H948">
        <f>IF(OR($A948="",ROUND($F948+$G948,2)=0),"",$F948+$G948)</f>
        <v/>
      </c>
      <c r="I948">
        <f>IF($H948="","",IF(ROUND($F948,2)&gt;0,$A948,IF($D948="شخصی قاسم","شخصی قاسم",IF($D948="هزینه","هزینه: "&amp;IF($E948="","متفرقه",$E948),IF($C948="پاس چک","چک پرداختی",IF(OR($B948="",COUNTIF(AcctCodesA,$B948)=0),"متفرقه",$B948))))))</f>
        <v/>
      </c>
      <c r="J948">
        <f>IF($H948="","",IF(ROUND($F948,2)&gt;0,IF($D948="شخصی قاسم","شخصی قاسم",IF($D948="هزینه","هزینه: "&amp;IF($E948="","متفرقه",$E948),IF(OR($B948="",COUNTIF(AcctCodesA,$B948)=0),"متفرقه",$B948))),$A948))</f>
        <v/>
      </c>
      <c r="K948">
        <f>IF($A948="","",IF(AND($B948&lt;&gt;"",COUNTIF(AcctCodesA,$B948)=0),"کد طرف در INFO تعریف نشده",IF(AND($D948="هزینه",$E948=""),"هزینه بدون زیرگروه",IF(AND($C948="پاس چک",OR(Sync!$AJ948="",COUNTIF(IssueNosA,Sync!$AJ948)=0)),"شماره چک پاس‌شده معتبر نیست",""))))</f>
        <v/>
      </c>
      <c r="V948">
        <f>IF($K948="","",IF(ISNUMBER(Sync!$AK948),Sync!$AK948,LEFT(Sync!$AK948,4)&amp;MID(Sync!$AK948,6,2)&amp;RIGHT(Sync!$AK948,2))&amp;"|"&amp;"4"&amp;RIGHT("00000"&amp;943,5))</f>
        <v/>
      </c>
      <c r="W948">
        <f>IF($V948="",0,COUNTIFS($V$6:$V$2005,"&lt;"&amp;$V948)-COUNTIFS($V$6:$V$2005,"&lt;"&amp;$V948,$K$6:$K$2005,"")+1)</f>
        <v/>
      </c>
      <c r="X948">
        <f>IF(Sync!$AX948="","",IF(OR(N(Sync!$AY948)=0,N(Sync!$AZ948)=0),"",ROUND(N(Sync!$AY948)*N(Sync!$AZ948),0)))</f>
        <v/>
      </c>
      <c r="Y948">
        <f>IF($X948="","",IF(OR(Sync!$AX948="",COUNTIF(AcctCodesA,Sync!$AX948)=0),"متفرقه",Sync!$AX948))</f>
        <v/>
      </c>
      <c r="Z948">
        <f>IF($X948="","","سبد و ظروف")</f>
        <v/>
      </c>
      <c r="AA948">
        <f>IF($X948="","",$Y948)</f>
        <v/>
      </c>
    </row>
    <row r="949">
      <c r="A949">
        <f>IF(Sync!$Z949="","",LEFT(UPPER(TRIM(Sync!$Z949)),6))</f>
        <v/>
      </c>
      <c r="B949">
        <f>IF($A949="","",IF(Sync!$AA949="","",Sync!$AA949))</f>
        <v/>
      </c>
      <c r="C949">
        <f>IF($A949="","",IF(Sync!$AB949="","",Sync!$AB949))</f>
        <v/>
      </c>
      <c r="D949">
        <f>IF($A949="","",IF(Sync!$AC949="","",Sync!$AC949))</f>
        <v/>
      </c>
      <c r="E949">
        <f>IF($A949="","",IF(Sync!$AD949="","",Sync!$AD949))</f>
        <v/>
      </c>
      <c r="F949">
        <f>IF($A949="","",IF(Sync!$AE949="",0,Sync!$AE949))</f>
        <v/>
      </c>
      <c r="G949">
        <f>IF($A949="","",IF(Sync!$AF949="",0,Sync!$AF949))</f>
        <v/>
      </c>
      <c r="H949">
        <f>IF(OR($A949="",ROUND($F949+$G949,2)=0),"",$F949+$G949)</f>
        <v/>
      </c>
      <c r="I949">
        <f>IF($H949="","",IF(ROUND($F949,2)&gt;0,$A949,IF($D949="شخصی قاسم","شخصی قاسم",IF($D949="هزینه","هزینه: "&amp;IF($E949="","متفرقه",$E949),IF($C949="پاس چک","چک پرداختی",IF(OR($B949="",COUNTIF(AcctCodesA,$B949)=0),"متفرقه",$B949))))))</f>
        <v/>
      </c>
      <c r="J949">
        <f>IF($H949="","",IF(ROUND($F949,2)&gt;0,IF($D949="شخصی قاسم","شخصی قاسم",IF($D949="هزینه","هزینه: "&amp;IF($E949="","متفرقه",$E949),IF(OR($B949="",COUNTIF(AcctCodesA,$B949)=0),"متفرقه",$B949))),$A949))</f>
        <v/>
      </c>
      <c r="K949">
        <f>IF($A949="","",IF(AND($B949&lt;&gt;"",COUNTIF(AcctCodesA,$B949)=0),"کد طرف در INFO تعریف نشده",IF(AND($D949="هزینه",$E949=""),"هزینه بدون زیرگروه",IF(AND($C949="پاس چک",OR(Sync!$AJ949="",COUNTIF(IssueNosA,Sync!$AJ949)=0)),"شماره چک پاس‌شده معتبر نیست",""))))</f>
        <v/>
      </c>
      <c r="V949">
        <f>IF($K949="","",IF(ISNUMBER(Sync!$AK949),Sync!$AK949,LEFT(Sync!$AK949,4)&amp;MID(Sync!$AK949,6,2)&amp;RIGHT(Sync!$AK949,2))&amp;"|"&amp;"4"&amp;RIGHT("00000"&amp;944,5))</f>
        <v/>
      </c>
      <c r="W949">
        <f>IF($V949="",0,COUNTIFS($V$6:$V$2005,"&lt;"&amp;$V949)-COUNTIFS($V$6:$V$2005,"&lt;"&amp;$V949,$K$6:$K$2005,"")+1)</f>
        <v/>
      </c>
      <c r="X949">
        <f>IF(Sync!$AX949="","",IF(OR(N(Sync!$AY949)=0,N(Sync!$AZ949)=0),"",ROUND(N(Sync!$AY949)*N(Sync!$AZ949),0)))</f>
        <v/>
      </c>
      <c r="Y949">
        <f>IF($X949="","",IF(OR(Sync!$AX949="",COUNTIF(AcctCodesA,Sync!$AX949)=0),"متفرقه",Sync!$AX949))</f>
        <v/>
      </c>
      <c r="Z949">
        <f>IF($X949="","","سبد و ظروف")</f>
        <v/>
      </c>
      <c r="AA949">
        <f>IF($X949="","",$Y949)</f>
        <v/>
      </c>
    </row>
    <row r="950">
      <c r="A950">
        <f>IF(Sync!$Z950="","",LEFT(UPPER(TRIM(Sync!$Z950)),6))</f>
        <v/>
      </c>
      <c r="B950">
        <f>IF($A950="","",IF(Sync!$AA950="","",Sync!$AA950))</f>
        <v/>
      </c>
      <c r="C950">
        <f>IF($A950="","",IF(Sync!$AB950="","",Sync!$AB950))</f>
        <v/>
      </c>
      <c r="D950">
        <f>IF($A950="","",IF(Sync!$AC950="","",Sync!$AC950))</f>
        <v/>
      </c>
      <c r="E950">
        <f>IF($A950="","",IF(Sync!$AD950="","",Sync!$AD950))</f>
        <v/>
      </c>
      <c r="F950">
        <f>IF($A950="","",IF(Sync!$AE950="",0,Sync!$AE950))</f>
        <v/>
      </c>
      <c r="G950">
        <f>IF($A950="","",IF(Sync!$AF950="",0,Sync!$AF950))</f>
        <v/>
      </c>
      <c r="H950">
        <f>IF(OR($A950="",ROUND($F950+$G950,2)=0),"",$F950+$G950)</f>
        <v/>
      </c>
      <c r="I950">
        <f>IF($H950="","",IF(ROUND($F950,2)&gt;0,$A950,IF($D950="شخصی قاسم","شخصی قاسم",IF($D950="هزینه","هزینه: "&amp;IF($E950="","متفرقه",$E950),IF($C950="پاس چک","چک پرداختی",IF(OR($B950="",COUNTIF(AcctCodesA,$B950)=0),"متفرقه",$B950))))))</f>
        <v/>
      </c>
      <c r="J950">
        <f>IF($H950="","",IF(ROUND($F950,2)&gt;0,IF($D950="شخصی قاسم","شخصی قاسم",IF($D950="هزینه","هزینه: "&amp;IF($E950="","متفرقه",$E950),IF(OR($B950="",COUNTIF(AcctCodesA,$B950)=0),"متفرقه",$B950))),$A950))</f>
        <v/>
      </c>
      <c r="K950">
        <f>IF($A950="","",IF(AND($B950&lt;&gt;"",COUNTIF(AcctCodesA,$B950)=0),"کد طرف در INFO تعریف نشده",IF(AND($D950="هزینه",$E950=""),"هزینه بدون زیرگروه",IF(AND($C950="پاس چک",OR(Sync!$AJ950="",COUNTIF(IssueNosA,Sync!$AJ950)=0)),"شماره چک پاس‌شده معتبر نیست",""))))</f>
        <v/>
      </c>
      <c r="V950">
        <f>IF($K950="","",IF(ISNUMBER(Sync!$AK950),Sync!$AK950,LEFT(Sync!$AK950,4)&amp;MID(Sync!$AK950,6,2)&amp;RIGHT(Sync!$AK950,2))&amp;"|"&amp;"4"&amp;RIGHT("00000"&amp;945,5))</f>
        <v/>
      </c>
      <c r="W950">
        <f>IF($V950="",0,COUNTIFS($V$6:$V$2005,"&lt;"&amp;$V950)-COUNTIFS($V$6:$V$2005,"&lt;"&amp;$V950,$K$6:$K$2005,"")+1)</f>
        <v/>
      </c>
      <c r="X950">
        <f>IF(Sync!$AX950="","",IF(OR(N(Sync!$AY950)=0,N(Sync!$AZ950)=0),"",ROUND(N(Sync!$AY950)*N(Sync!$AZ950),0)))</f>
        <v/>
      </c>
      <c r="Y950">
        <f>IF($X950="","",IF(OR(Sync!$AX950="",COUNTIF(AcctCodesA,Sync!$AX950)=0),"متفرقه",Sync!$AX950))</f>
        <v/>
      </c>
      <c r="Z950">
        <f>IF($X950="","","سبد و ظروف")</f>
        <v/>
      </c>
      <c r="AA950">
        <f>IF($X950="","",$Y950)</f>
        <v/>
      </c>
    </row>
    <row r="951">
      <c r="A951">
        <f>IF(Sync!$Z951="","",LEFT(UPPER(TRIM(Sync!$Z951)),6))</f>
        <v/>
      </c>
      <c r="B951">
        <f>IF($A951="","",IF(Sync!$AA951="","",Sync!$AA951))</f>
        <v/>
      </c>
      <c r="C951">
        <f>IF($A951="","",IF(Sync!$AB951="","",Sync!$AB951))</f>
        <v/>
      </c>
      <c r="D951">
        <f>IF($A951="","",IF(Sync!$AC951="","",Sync!$AC951))</f>
        <v/>
      </c>
      <c r="E951">
        <f>IF($A951="","",IF(Sync!$AD951="","",Sync!$AD951))</f>
        <v/>
      </c>
      <c r="F951">
        <f>IF($A951="","",IF(Sync!$AE951="",0,Sync!$AE951))</f>
        <v/>
      </c>
      <c r="G951">
        <f>IF($A951="","",IF(Sync!$AF951="",0,Sync!$AF951))</f>
        <v/>
      </c>
      <c r="H951">
        <f>IF(OR($A951="",ROUND($F951+$G951,2)=0),"",$F951+$G951)</f>
        <v/>
      </c>
      <c r="I951">
        <f>IF($H951="","",IF(ROUND($F951,2)&gt;0,$A951,IF($D951="شخصی قاسم","شخصی قاسم",IF($D951="هزینه","هزینه: "&amp;IF($E951="","متفرقه",$E951),IF($C951="پاس چک","چک پرداختی",IF(OR($B951="",COUNTIF(AcctCodesA,$B951)=0),"متفرقه",$B951))))))</f>
        <v/>
      </c>
      <c r="J951">
        <f>IF($H951="","",IF(ROUND($F951,2)&gt;0,IF($D951="شخصی قاسم","شخصی قاسم",IF($D951="هزینه","هزینه: "&amp;IF($E951="","متفرقه",$E951),IF(OR($B951="",COUNTIF(AcctCodesA,$B951)=0),"متفرقه",$B951))),$A951))</f>
        <v/>
      </c>
      <c r="K951">
        <f>IF($A951="","",IF(AND($B951&lt;&gt;"",COUNTIF(AcctCodesA,$B951)=0),"کد طرف در INFO تعریف نشده",IF(AND($D951="هزینه",$E951=""),"هزینه بدون زیرگروه",IF(AND($C951="پاس چک",OR(Sync!$AJ951="",COUNTIF(IssueNosA,Sync!$AJ951)=0)),"شماره چک پاس‌شده معتبر نیست",""))))</f>
        <v/>
      </c>
      <c r="V951">
        <f>IF($K951="","",IF(ISNUMBER(Sync!$AK951),Sync!$AK951,LEFT(Sync!$AK951,4)&amp;MID(Sync!$AK951,6,2)&amp;RIGHT(Sync!$AK951,2))&amp;"|"&amp;"4"&amp;RIGHT("00000"&amp;946,5))</f>
        <v/>
      </c>
      <c r="W951">
        <f>IF($V951="",0,COUNTIFS($V$6:$V$2005,"&lt;"&amp;$V951)-COUNTIFS($V$6:$V$2005,"&lt;"&amp;$V951,$K$6:$K$2005,"")+1)</f>
        <v/>
      </c>
      <c r="X951">
        <f>IF(Sync!$AX951="","",IF(OR(N(Sync!$AY951)=0,N(Sync!$AZ951)=0),"",ROUND(N(Sync!$AY951)*N(Sync!$AZ951),0)))</f>
        <v/>
      </c>
      <c r="Y951">
        <f>IF($X951="","",IF(OR(Sync!$AX951="",COUNTIF(AcctCodesA,Sync!$AX951)=0),"متفرقه",Sync!$AX951))</f>
        <v/>
      </c>
      <c r="Z951">
        <f>IF($X951="","","سبد و ظروف")</f>
        <v/>
      </c>
      <c r="AA951">
        <f>IF($X951="","",$Y951)</f>
        <v/>
      </c>
    </row>
    <row r="952">
      <c r="A952">
        <f>IF(Sync!$Z952="","",LEFT(UPPER(TRIM(Sync!$Z952)),6))</f>
        <v/>
      </c>
      <c r="B952">
        <f>IF($A952="","",IF(Sync!$AA952="","",Sync!$AA952))</f>
        <v/>
      </c>
      <c r="C952">
        <f>IF($A952="","",IF(Sync!$AB952="","",Sync!$AB952))</f>
        <v/>
      </c>
      <c r="D952">
        <f>IF($A952="","",IF(Sync!$AC952="","",Sync!$AC952))</f>
        <v/>
      </c>
      <c r="E952">
        <f>IF($A952="","",IF(Sync!$AD952="","",Sync!$AD952))</f>
        <v/>
      </c>
      <c r="F952">
        <f>IF($A952="","",IF(Sync!$AE952="",0,Sync!$AE952))</f>
        <v/>
      </c>
      <c r="G952">
        <f>IF($A952="","",IF(Sync!$AF952="",0,Sync!$AF952))</f>
        <v/>
      </c>
      <c r="H952">
        <f>IF(OR($A952="",ROUND($F952+$G952,2)=0),"",$F952+$G952)</f>
        <v/>
      </c>
      <c r="I952">
        <f>IF($H952="","",IF(ROUND($F952,2)&gt;0,$A952,IF($D952="شخصی قاسم","شخصی قاسم",IF($D952="هزینه","هزینه: "&amp;IF($E952="","متفرقه",$E952),IF($C952="پاس چک","چک پرداختی",IF(OR($B952="",COUNTIF(AcctCodesA,$B952)=0),"متفرقه",$B952))))))</f>
        <v/>
      </c>
      <c r="J952">
        <f>IF($H952="","",IF(ROUND($F952,2)&gt;0,IF($D952="شخصی قاسم","شخصی قاسم",IF($D952="هزینه","هزینه: "&amp;IF($E952="","متفرقه",$E952),IF(OR($B952="",COUNTIF(AcctCodesA,$B952)=0),"متفرقه",$B952))),$A952))</f>
        <v/>
      </c>
      <c r="K952">
        <f>IF($A952="","",IF(AND($B952&lt;&gt;"",COUNTIF(AcctCodesA,$B952)=0),"کد طرف در INFO تعریف نشده",IF(AND($D952="هزینه",$E952=""),"هزینه بدون زیرگروه",IF(AND($C952="پاس چک",OR(Sync!$AJ952="",COUNTIF(IssueNosA,Sync!$AJ952)=0)),"شماره چک پاس‌شده معتبر نیست",""))))</f>
        <v/>
      </c>
      <c r="V952">
        <f>IF($K952="","",IF(ISNUMBER(Sync!$AK952),Sync!$AK952,LEFT(Sync!$AK952,4)&amp;MID(Sync!$AK952,6,2)&amp;RIGHT(Sync!$AK952,2))&amp;"|"&amp;"4"&amp;RIGHT("00000"&amp;947,5))</f>
        <v/>
      </c>
      <c r="W952">
        <f>IF($V952="",0,COUNTIFS($V$6:$V$2005,"&lt;"&amp;$V952)-COUNTIFS($V$6:$V$2005,"&lt;"&amp;$V952,$K$6:$K$2005,"")+1)</f>
        <v/>
      </c>
      <c r="X952">
        <f>IF(Sync!$AX952="","",IF(OR(N(Sync!$AY952)=0,N(Sync!$AZ952)=0),"",ROUND(N(Sync!$AY952)*N(Sync!$AZ952),0)))</f>
        <v/>
      </c>
      <c r="Y952">
        <f>IF($X952="","",IF(OR(Sync!$AX952="",COUNTIF(AcctCodesA,Sync!$AX952)=0),"متفرقه",Sync!$AX952))</f>
        <v/>
      </c>
      <c r="Z952">
        <f>IF($X952="","","سبد و ظروف")</f>
        <v/>
      </c>
      <c r="AA952">
        <f>IF($X952="","",$Y952)</f>
        <v/>
      </c>
    </row>
    <row r="953">
      <c r="A953">
        <f>IF(Sync!$Z953="","",LEFT(UPPER(TRIM(Sync!$Z953)),6))</f>
        <v/>
      </c>
      <c r="B953">
        <f>IF($A953="","",IF(Sync!$AA953="","",Sync!$AA953))</f>
        <v/>
      </c>
      <c r="C953">
        <f>IF($A953="","",IF(Sync!$AB953="","",Sync!$AB953))</f>
        <v/>
      </c>
      <c r="D953">
        <f>IF($A953="","",IF(Sync!$AC953="","",Sync!$AC953))</f>
        <v/>
      </c>
      <c r="E953">
        <f>IF($A953="","",IF(Sync!$AD953="","",Sync!$AD953))</f>
        <v/>
      </c>
      <c r="F953">
        <f>IF($A953="","",IF(Sync!$AE953="",0,Sync!$AE953))</f>
        <v/>
      </c>
      <c r="G953">
        <f>IF($A953="","",IF(Sync!$AF953="",0,Sync!$AF953))</f>
        <v/>
      </c>
      <c r="H953">
        <f>IF(OR($A953="",ROUND($F953+$G953,2)=0),"",$F953+$G953)</f>
        <v/>
      </c>
      <c r="I953">
        <f>IF($H953="","",IF(ROUND($F953,2)&gt;0,$A953,IF($D953="شخصی قاسم","شخصی قاسم",IF($D953="هزینه","هزینه: "&amp;IF($E953="","متفرقه",$E953),IF($C953="پاس چک","چک پرداختی",IF(OR($B953="",COUNTIF(AcctCodesA,$B953)=0),"متفرقه",$B953))))))</f>
        <v/>
      </c>
      <c r="J953">
        <f>IF($H953="","",IF(ROUND($F953,2)&gt;0,IF($D953="شخصی قاسم","شخصی قاسم",IF($D953="هزینه","هزینه: "&amp;IF($E953="","متفرقه",$E953),IF(OR($B953="",COUNTIF(AcctCodesA,$B953)=0),"متفرقه",$B953))),$A953))</f>
        <v/>
      </c>
      <c r="K953">
        <f>IF($A953="","",IF(AND($B953&lt;&gt;"",COUNTIF(AcctCodesA,$B953)=0),"کد طرف در INFO تعریف نشده",IF(AND($D953="هزینه",$E953=""),"هزینه بدون زیرگروه",IF(AND($C953="پاس چک",OR(Sync!$AJ953="",COUNTIF(IssueNosA,Sync!$AJ953)=0)),"شماره چک پاس‌شده معتبر نیست",""))))</f>
        <v/>
      </c>
      <c r="V953">
        <f>IF($K953="","",IF(ISNUMBER(Sync!$AK953),Sync!$AK953,LEFT(Sync!$AK953,4)&amp;MID(Sync!$AK953,6,2)&amp;RIGHT(Sync!$AK953,2))&amp;"|"&amp;"4"&amp;RIGHT("00000"&amp;948,5))</f>
        <v/>
      </c>
      <c r="W953">
        <f>IF($V953="",0,COUNTIFS($V$6:$V$2005,"&lt;"&amp;$V953)-COUNTIFS($V$6:$V$2005,"&lt;"&amp;$V953,$K$6:$K$2005,"")+1)</f>
        <v/>
      </c>
      <c r="X953">
        <f>IF(Sync!$AX953="","",IF(OR(N(Sync!$AY953)=0,N(Sync!$AZ953)=0),"",ROUND(N(Sync!$AY953)*N(Sync!$AZ953),0)))</f>
        <v/>
      </c>
      <c r="Y953">
        <f>IF($X953="","",IF(OR(Sync!$AX953="",COUNTIF(AcctCodesA,Sync!$AX953)=0),"متفرقه",Sync!$AX953))</f>
        <v/>
      </c>
      <c r="Z953">
        <f>IF($X953="","","سبد و ظروف")</f>
        <v/>
      </c>
      <c r="AA953">
        <f>IF($X953="","",$Y953)</f>
        <v/>
      </c>
    </row>
    <row r="954">
      <c r="A954">
        <f>IF(Sync!$Z954="","",LEFT(UPPER(TRIM(Sync!$Z954)),6))</f>
        <v/>
      </c>
      <c r="B954">
        <f>IF($A954="","",IF(Sync!$AA954="","",Sync!$AA954))</f>
        <v/>
      </c>
      <c r="C954">
        <f>IF($A954="","",IF(Sync!$AB954="","",Sync!$AB954))</f>
        <v/>
      </c>
      <c r="D954">
        <f>IF($A954="","",IF(Sync!$AC954="","",Sync!$AC954))</f>
        <v/>
      </c>
      <c r="E954">
        <f>IF($A954="","",IF(Sync!$AD954="","",Sync!$AD954))</f>
        <v/>
      </c>
      <c r="F954">
        <f>IF($A954="","",IF(Sync!$AE954="",0,Sync!$AE954))</f>
        <v/>
      </c>
      <c r="G954">
        <f>IF($A954="","",IF(Sync!$AF954="",0,Sync!$AF954))</f>
        <v/>
      </c>
      <c r="H954">
        <f>IF(OR($A954="",ROUND($F954+$G954,2)=0),"",$F954+$G954)</f>
        <v/>
      </c>
      <c r="I954">
        <f>IF($H954="","",IF(ROUND($F954,2)&gt;0,$A954,IF($D954="شخصی قاسم","شخصی قاسم",IF($D954="هزینه","هزینه: "&amp;IF($E954="","متفرقه",$E954),IF($C954="پاس چک","چک پرداختی",IF(OR($B954="",COUNTIF(AcctCodesA,$B954)=0),"متفرقه",$B954))))))</f>
        <v/>
      </c>
      <c r="J954">
        <f>IF($H954="","",IF(ROUND($F954,2)&gt;0,IF($D954="شخصی قاسم","شخصی قاسم",IF($D954="هزینه","هزینه: "&amp;IF($E954="","متفرقه",$E954),IF(OR($B954="",COUNTIF(AcctCodesA,$B954)=0),"متفرقه",$B954))),$A954))</f>
        <v/>
      </c>
      <c r="K954">
        <f>IF($A954="","",IF(AND($B954&lt;&gt;"",COUNTIF(AcctCodesA,$B954)=0),"کد طرف در INFO تعریف نشده",IF(AND($D954="هزینه",$E954=""),"هزینه بدون زیرگروه",IF(AND($C954="پاس چک",OR(Sync!$AJ954="",COUNTIF(IssueNosA,Sync!$AJ954)=0)),"شماره چک پاس‌شده معتبر نیست",""))))</f>
        <v/>
      </c>
      <c r="V954">
        <f>IF($K954="","",IF(ISNUMBER(Sync!$AK954),Sync!$AK954,LEFT(Sync!$AK954,4)&amp;MID(Sync!$AK954,6,2)&amp;RIGHT(Sync!$AK954,2))&amp;"|"&amp;"4"&amp;RIGHT("00000"&amp;949,5))</f>
        <v/>
      </c>
      <c r="W954">
        <f>IF($V954="",0,COUNTIFS($V$6:$V$2005,"&lt;"&amp;$V954)-COUNTIFS($V$6:$V$2005,"&lt;"&amp;$V954,$K$6:$K$2005,"")+1)</f>
        <v/>
      </c>
      <c r="X954">
        <f>IF(Sync!$AX954="","",IF(OR(N(Sync!$AY954)=0,N(Sync!$AZ954)=0),"",ROUND(N(Sync!$AY954)*N(Sync!$AZ954),0)))</f>
        <v/>
      </c>
      <c r="Y954">
        <f>IF($X954="","",IF(OR(Sync!$AX954="",COUNTIF(AcctCodesA,Sync!$AX954)=0),"متفرقه",Sync!$AX954))</f>
        <v/>
      </c>
      <c r="Z954">
        <f>IF($X954="","","سبد و ظروف")</f>
        <v/>
      </c>
      <c r="AA954">
        <f>IF($X954="","",$Y954)</f>
        <v/>
      </c>
    </row>
    <row r="955">
      <c r="A955">
        <f>IF(Sync!$Z955="","",LEFT(UPPER(TRIM(Sync!$Z955)),6))</f>
        <v/>
      </c>
      <c r="B955">
        <f>IF($A955="","",IF(Sync!$AA955="","",Sync!$AA955))</f>
        <v/>
      </c>
      <c r="C955">
        <f>IF($A955="","",IF(Sync!$AB955="","",Sync!$AB955))</f>
        <v/>
      </c>
      <c r="D955">
        <f>IF($A955="","",IF(Sync!$AC955="","",Sync!$AC955))</f>
        <v/>
      </c>
      <c r="E955">
        <f>IF($A955="","",IF(Sync!$AD955="","",Sync!$AD955))</f>
        <v/>
      </c>
      <c r="F955">
        <f>IF($A955="","",IF(Sync!$AE955="",0,Sync!$AE955))</f>
        <v/>
      </c>
      <c r="G955">
        <f>IF($A955="","",IF(Sync!$AF955="",0,Sync!$AF955))</f>
        <v/>
      </c>
      <c r="H955">
        <f>IF(OR($A955="",ROUND($F955+$G955,2)=0),"",$F955+$G955)</f>
        <v/>
      </c>
      <c r="I955">
        <f>IF($H955="","",IF(ROUND($F955,2)&gt;0,$A955,IF($D955="شخصی قاسم","شخصی قاسم",IF($D955="هزینه","هزینه: "&amp;IF($E955="","متفرقه",$E955),IF($C955="پاس چک","چک پرداختی",IF(OR($B955="",COUNTIF(AcctCodesA,$B955)=0),"متفرقه",$B955))))))</f>
        <v/>
      </c>
      <c r="J955">
        <f>IF($H955="","",IF(ROUND($F955,2)&gt;0,IF($D955="شخصی قاسم","شخصی قاسم",IF($D955="هزینه","هزینه: "&amp;IF($E955="","متفرقه",$E955),IF(OR($B955="",COUNTIF(AcctCodesA,$B955)=0),"متفرقه",$B955))),$A955))</f>
        <v/>
      </c>
      <c r="K955">
        <f>IF($A955="","",IF(AND($B955&lt;&gt;"",COUNTIF(AcctCodesA,$B955)=0),"کد طرف در INFO تعریف نشده",IF(AND($D955="هزینه",$E955=""),"هزینه بدون زیرگروه",IF(AND($C955="پاس چک",OR(Sync!$AJ955="",COUNTIF(IssueNosA,Sync!$AJ955)=0)),"شماره چک پاس‌شده معتبر نیست",""))))</f>
        <v/>
      </c>
      <c r="V955">
        <f>IF($K955="","",IF(ISNUMBER(Sync!$AK955),Sync!$AK955,LEFT(Sync!$AK955,4)&amp;MID(Sync!$AK955,6,2)&amp;RIGHT(Sync!$AK955,2))&amp;"|"&amp;"4"&amp;RIGHT("00000"&amp;950,5))</f>
        <v/>
      </c>
      <c r="W955">
        <f>IF($V955="",0,COUNTIFS($V$6:$V$2005,"&lt;"&amp;$V955)-COUNTIFS($V$6:$V$2005,"&lt;"&amp;$V955,$K$6:$K$2005,"")+1)</f>
        <v/>
      </c>
      <c r="X955">
        <f>IF(Sync!$AX955="","",IF(OR(N(Sync!$AY955)=0,N(Sync!$AZ955)=0),"",ROUND(N(Sync!$AY955)*N(Sync!$AZ955),0)))</f>
        <v/>
      </c>
      <c r="Y955">
        <f>IF($X955="","",IF(OR(Sync!$AX955="",COUNTIF(AcctCodesA,Sync!$AX955)=0),"متفرقه",Sync!$AX955))</f>
        <v/>
      </c>
      <c r="Z955">
        <f>IF($X955="","","سبد و ظروف")</f>
        <v/>
      </c>
      <c r="AA955">
        <f>IF($X955="","",$Y955)</f>
        <v/>
      </c>
    </row>
    <row r="956">
      <c r="A956">
        <f>IF(Sync!$Z956="","",LEFT(UPPER(TRIM(Sync!$Z956)),6))</f>
        <v/>
      </c>
      <c r="B956">
        <f>IF($A956="","",IF(Sync!$AA956="","",Sync!$AA956))</f>
        <v/>
      </c>
      <c r="C956">
        <f>IF($A956="","",IF(Sync!$AB956="","",Sync!$AB956))</f>
        <v/>
      </c>
      <c r="D956">
        <f>IF($A956="","",IF(Sync!$AC956="","",Sync!$AC956))</f>
        <v/>
      </c>
      <c r="E956">
        <f>IF($A956="","",IF(Sync!$AD956="","",Sync!$AD956))</f>
        <v/>
      </c>
      <c r="F956">
        <f>IF($A956="","",IF(Sync!$AE956="",0,Sync!$AE956))</f>
        <v/>
      </c>
      <c r="G956">
        <f>IF($A956="","",IF(Sync!$AF956="",0,Sync!$AF956))</f>
        <v/>
      </c>
      <c r="H956">
        <f>IF(OR($A956="",ROUND($F956+$G956,2)=0),"",$F956+$G956)</f>
        <v/>
      </c>
      <c r="I956">
        <f>IF($H956="","",IF(ROUND($F956,2)&gt;0,$A956,IF($D956="شخصی قاسم","شخصی قاسم",IF($D956="هزینه","هزینه: "&amp;IF($E956="","متفرقه",$E956),IF($C956="پاس چک","چک پرداختی",IF(OR($B956="",COUNTIF(AcctCodesA,$B956)=0),"متفرقه",$B956))))))</f>
        <v/>
      </c>
      <c r="J956">
        <f>IF($H956="","",IF(ROUND($F956,2)&gt;0,IF($D956="شخصی قاسم","شخصی قاسم",IF($D956="هزینه","هزینه: "&amp;IF($E956="","متفرقه",$E956),IF(OR($B956="",COUNTIF(AcctCodesA,$B956)=0),"متفرقه",$B956))),$A956))</f>
        <v/>
      </c>
      <c r="K956">
        <f>IF($A956="","",IF(AND($B956&lt;&gt;"",COUNTIF(AcctCodesA,$B956)=0),"کد طرف در INFO تعریف نشده",IF(AND($D956="هزینه",$E956=""),"هزینه بدون زیرگروه",IF(AND($C956="پاس چک",OR(Sync!$AJ956="",COUNTIF(IssueNosA,Sync!$AJ956)=0)),"شماره چک پاس‌شده معتبر نیست",""))))</f>
        <v/>
      </c>
      <c r="V956">
        <f>IF($K956="","",IF(ISNUMBER(Sync!$AK956),Sync!$AK956,LEFT(Sync!$AK956,4)&amp;MID(Sync!$AK956,6,2)&amp;RIGHT(Sync!$AK956,2))&amp;"|"&amp;"4"&amp;RIGHT("00000"&amp;951,5))</f>
        <v/>
      </c>
      <c r="W956">
        <f>IF($V956="",0,COUNTIFS($V$6:$V$2005,"&lt;"&amp;$V956)-COUNTIFS($V$6:$V$2005,"&lt;"&amp;$V956,$K$6:$K$2005,"")+1)</f>
        <v/>
      </c>
      <c r="X956">
        <f>IF(Sync!$AX956="","",IF(OR(N(Sync!$AY956)=0,N(Sync!$AZ956)=0),"",ROUND(N(Sync!$AY956)*N(Sync!$AZ956),0)))</f>
        <v/>
      </c>
      <c r="Y956">
        <f>IF($X956="","",IF(OR(Sync!$AX956="",COUNTIF(AcctCodesA,Sync!$AX956)=0),"متفرقه",Sync!$AX956))</f>
        <v/>
      </c>
      <c r="Z956">
        <f>IF($X956="","","سبد و ظروف")</f>
        <v/>
      </c>
      <c r="AA956">
        <f>IF($X956="","",$Y956)</f>
        <v/>
      </c>
    </row>
    <row r="957">
      <c r="A957">
        <f>IF(Sync!$Z957="","",LEFT(UPPER(TRIM(Sync!$Z957)),6))</f>
        <v/>
      </c>
      <c r="B957">
        <f>IF($A957="","",IF(Sync!$AA957="","",Sync!$AA957))</f>
        <v/>
      </c>
      <c r="C957">
        <f>IF($A957="","",IF(Sync!$AB957="","",Sync!$AB957))</f>
        <v/>
      </c>
      <c r="D957">
        <f>IF($A957="","",IF(Sync!$AC957="","",Sync!$AC957))</f>
        <v/>
      </c>
      <c r="E957">
        <f>IF($A957="","",IF(Sync!$AD957="","",Sync!$AD957))</f>
        <v/>
      </c>
      <c r="F957">
        <f>IF($A957="","",IF(Sync!$AE957="",0,Sync!$AE957))</f>
        <v/>
      </c>
      <c r="G957">
        <f>IF($A957="","",IF(Sync!$AF957="",0,Sync!$AF957))</f>
        <v/>
      </c>
      <c r="H957">
        <f>IF(OR($A957="",ROUND($F957+$G957,2)=0),"",$F957+$G957)</f>
        <v/>
      </c>
      <c r="I957">
        <f>IF($H957="","",IF(ROUND($F957,2)&gt;0,$A957,IF($D957="شخصی قاسم","شخصی قاسم",IF($D957="هزینه","هزینه: "&amp;IF($E957="","متفرقه",$E957),IF($C957="پاس چک","چک پرداختی",IF(OR($B957="",COUNTIF(AcctCodesA,$B957)=0),"متفرقه",$B957))))))</f>
        <v/>
      </c>
      <c r="J957">
        <f>IF($H957="","",IF(ROUND($F957,2)&gt;0,IF($D957="شخصی قاسم","شخصی قاسم",IF($D957="هزینه","هزینه: "&amp;IF($E957="","متفرقه",$E957),IF(OR($B957="",COUNTIF(AcctCodesA,$B957)=0),"متفرقه",$B957))),$A957))</f>
        <v/>
      </c>
      <c r="K957">
        <f>IF($A957="","",IF(AND($B957&lt;&gt;"",COUNTIF(AcctCodesA,$B957)=0),"کد طرف در INFO تعریف نشده",IF(AND($D957="هزینه",$E957=""),"هزینه بدون زیرگروه",IF(AND($C957="پاس چک",OR(Sync!$AJ957="",COUNTIF(IssueNosA,Sync!$AJ957)=0)),"شماره چک پاس‌شده معتبر نیست",""))))</f>
        <v/>
      </c>
      <c r="V957">
        <f>IF($K957="","",IF(ISNUMBER(Sync!$AK957),Sync!$AK957,LEFT(Sync!$AK957,4)&amp;MID(Sync!$AK957,6,2)&amp;RIGHT(Sync!$AK957,2))&amp;"|"&amp;"4"&amp;RIGHT("00000"&amp;952,5))</f>
        <v/>
      </c>
      <c r="W957">
        <f>IF($V957="",0,COUNTIFS($V$6:$V$2005,"&lt;"&amp;$V957)-COUNTIFS($V$6:$V$2005,"&lt;"&amp;$V957,$K$6:$K$2005,"")+1)</f>
        <v/>
      </c>
      <c r="X957">
        <f>IF(Sync!$AX957="","",IF(OR(N(Sync!$AY957)=0,N(Sync!$AZ957)=0),"",ROUND(N(Sync!$AY957)*N(Sync!$AZ957),0)))</f>
        <v/>
      </c>
      <c r="Y957">
        <f>IF($X957="","",IF(OR(Sync!$AX957="",COUNTIF(AcctCodesA,Sync!$AX957)=0),"متفرقه",Sync!$AX957))</f>
        <v/>
      </c>
      <c r="Z957">
        <f>IF($X957="","","سبد و ظروف")</f>
        <v/>
      </c>
      <c r="AA957">
        <f>IF($X957="","",$Y957)</f>
        <v/>
      </c>
    </row>
    <row r="958">
      <c r="A958">
        <f>IF(Sync!$Z958="","",LEFT(UPPER(TRIM(Sync!$Z958)),6))</f>
        <v/>
      </c>
      <c r="B958">
        <f>IF($A958="","",IF(Sync!$AA958="","",Sync!$AA958))</f>
        <v/>
      </c>
      <c r="C958">
        <f>IF($A958="","",IF(Sync!$AB958="","",Sync!$AB958))</f>
        <v/>
      </c>
      <c r="D958">
        <f>IF($A958="","",IF(Sync!$AC958="","",Sync!$AC958))</f>
        <v/>
      </c>
      <c r="E958">
        <f>IF($A958="","",IF(Sync!$AD958="","",Sync!$AD958))</f>
        <v/>
      </c>
      <c r="F958">
        <f>IF($A958="","",IF(Sync!$AE958="",0,Sync!$AE958))</f>
        <v/>
      </c>
      <c r="G958">
        <f>IF($A958="","",IF(Sync!$AF958="",0,Sync!$AF958))</f>
        <v/>
      </c>
      <c r="H958">
        <f>IF(OR($A958="",ROUND($F958+$G958,2)=0),"",$F958+$G958)</f>
        <v/>
      </c>
      <c r="I958">
        <f>IF($H958="","",IF(ROUND($F958,2)&gt;0,$A958,IF($D958="شخصی قاسم","شخصی قاسم",IF($D958="هزینه","هزینه: "&amp;IF($E958="","متفرقه",$E958),IF($C958="پاس چک","چک پرداختی",IF(OR($B958="",COUNTIF(AcctCodesA,$B958)=0),"متفرقه",$B958))))))</f>
        <v/>
      </c>
      <c r="J958">
        <f>IF($H958="","",IF(ROUND($F958,2)&gt;0,IF($D958="شخصی قاسم","شخصی قاسم",IF($D958="هزینه","هزینه: "&amp;IF($E958="","متفرقه",$E958),IF(OR($B958="",COUNTIF(AcctCodesA,$B958)=0),"متفرقه",$B958))),$A958))</f>
        <v/>
      </c>
      <c r="K958">
        <f>IF($A958="","",IF(AND($B958&lt;&gt;"",COUNTIF(AcctCodesA,$B958)=0),"کد طرف در INFO تعریف نشده",IF(AND($D958="هزینه",$E958=""),"هزینه بدون زیرگروه",IF(AND($C958="پاس چک",OR(Sync!$AJ958="",COUNTIF(IssueNosA,Sync!$AJ958)=0)),"شماره چک پاس‌شده معتبر نیست",""))))</f>
        <v/>
      </c>
      <c r="V958">
        <f>IF($K958="","",IF(ISNUMBER(Sync!$AK958),Sync!$AK958,LEFT(Sync!$AK958,4)&amp;MID(Sync!$AK958,6,2)&amp;RIGHT(Sync!$AK958,2))&amp;"|"&amp;"4"&amp;RIGHT("00000"&amp;953,5))</f>
        <v/>
      </c>
      <c r="W958">
        <f>IF($V958="",0,COUNTIFS($V$6:$V$2005,"&lt;"&amp;$V958)-COUNTIFS($V$6:$V$2005,"&lt;"&amp;$V958,$K$6:$K$2005,"")+1)</f>
        <v/>
      </c>
      <c r="X958">
        <f>IF(Sync!$AX958="","",IF(OR(N(Sync!$AY958)=0,N(Sync!$AZ958)=0),"",ROUND(N(Sync!$AY958)*N(Sync!$AZ958),0)))</f>
        <v/>
      </c>
      <c r="Y958">
        <f>IF($X958="","",IF(OR(Sync!$AX958="",COUNTIF(AcctCodesA,Sync!$AX958)=0),"متفرقه",Sync!$AX958))</f>
        <v/>
      </c>
      <c r="Z958">
        <f>IF($X958="","","سبد و ظروف")</f>
        <v/>
      </c>
      <c r="AA958">
        <f>IF($X958="","",$Y958)</f>
        <v/>
      </c>
    </row>
    <row r="959">
      <c r="A959">
        <f>IF(Sync!$Z959="","",LEFT(UPPER(TRIM(Sync!$Z959)),6))</f>
        <v/>
      </c>
      <c r="B959">
        <f>IF($A959="","",IF(Sync!$AA959="","",Sync!$AA959))</f>
        <v/>
      </c>
      <c r="C959">
        <f>IF($A959="","",IF(Sync!$AB959="","",Sync!$AB959))</f>
        <v/>
      </c>
      <c r="D959">
        <f>IF($A959="","",IF(Sync!$AC959="","",Sync!$AC959))</f>
        <v/>
      </c>
      <c r="E959">
        <f>IF($A959="","",IF(Sync!$AD959="","",Sync!$AD959))</f>
        <v/>
      </c>
      <c r="F959">
        <f>IF($A959="","",IF(Sync!$AE959="",0,Sync!$AE959))</f>
        <v/>
      </c>
      <c r="G959">
        <f>IF($A959="","",IF(Sync!$AF959="",0,Sync!$AF959))</f>
        <v/>
      </c>
      <c r="H959">
        <f>IF(OR($A959="",ROUND($F959+$G959,2)=0),"",$F959+$G959)</f>
        <v/>
      </c>
      <c r="I959">
        <f>IF($H959="","",IF(ROUND($F959,2)&gt;0,$A959,IF($D959="شخصی قاسم","شخصی قاسم",IF($D959="هزینه","هزینه: "&amp;IF($E959="","متفرقه",$E959),IF($C959="پاس چک","چک پرداختی",IF(OR($B959="",COUNTIF(AcctCodesA,$B959)=0),"متفرقه",$B959))))))</f>
        <v/>
      </c>
      <c r="J959">
        <f>IF($H959="","",IF(ROUND($F959,2)&gt;0,IF($D959="شخصی قاسم","شخصی قاسم",IF($D959="هزینه","هزینه: "&amp;IF($E959="","متفرقه",$E959),IF(OR($B959="",COUNTIF(AcctCodesA,$B959)=0),"متفرقه",$B959))),$A959))</f>
        <v/>
      </c>
      <c r="K959">
        <f>IF($A959="","",IF(AND($B959&lt;&gt;"",COUNTIF(AcctCodesA,$B959)=0),"کد طرف در INFO تعریف نشده",IF(AND($D959="هزینه",$E959=""),"هزینه بدون زیرگروه",IF(AND($C959="پاس چک",OR(Sync!$AJ959="",COUNTIF(IssueNosA,Sync!$AJ959)=0)),"شماره چک پاس‌شده معتبر نیست",""))))</f>
        <v/>
      </c>
      <c r="V959">
        <f>IF($K959="","",IF(ISNUMBER(Sync!$AK959),Sync!$AK959,LEFT(Sync!$AK959,4)&amp;MID(Sync!$AK959,6,2)&amp;RIGHT(Sync!$AK959,2))&amp;"|"&amp;"4"&amp;RIGHT("00000"&amp;954,5))</f>
        <v/>
      </c>
      <c r="W959">
        <f>IF($V959="",0,COUNTIFS($V$6:$V$2005,"&lt;"&amp;$V959)-COUNTIFS($V$6:$V$2005,"&lt;"&amp;$V959,$K$6:$K$2005,"")+1)</f>
        <v/>
      </c>
      <c r="X959">
        <f>IF(Sync!$AX959="","",IF(OR(N(Sync!$AY959)=0,N(Sync!$AZ959)=0),"",ROUND(N(Sync!$AY959)*N(Sync!$AZ959),0)))</f>
        <v/>
      </c>
      <c r="Y959">
        <f>IF($X959="","",IF(OR(Sync!$AX959="",COUNTIF(AcctCodesA,Sync!$AX959)=0),"متفرقه",Sync!$AX959))</f>
        <v/>
      </c>
      <c r="Z959">
        <f>IF($X959="","","سبد و ظروف")</f>
        <v/>
      </c>
      <c r="AA959">
        <f>IF($X959="","",$Y959)</f>
        <v/>
      </c>
    </row>
    <row r="960">
      <c r="A960">
        <f>IF(Sync!$Z960="","",LEFT(UPPER(TRIM(Sync!$Z960)),6))</f>
        <v/>
      </c>
      <c r="B960">
        <f>IF($A960="","",IF(Sync!$AA960="","",Sync!$AA960))</f>
        <v/>
      </c>
      <c r="C960">
        <f>IF($A960="","",IF(Sync!$AB960="","",Sync!$AB960))</f>
        <v/>
      </c>
      <c r="D960">
        <f>IF($A960="","",IF(Sync!$AC960="","",Sync!$AC960))</f>
        <v/>
      </c>
      <c r="E960">
        <f>IF($A960="","",IF(Sync!$AD960="","",Sync!$AD960))</f>
        <v/>
      </c>
      <c r="F960">
        <f>IF($A960="","",IF(Sync!$AE960="",0,Sync!$AE960))</f>
        <v/>
      </c>
      <c r="G960">
        <f>IF($A960="","",IF(Sync!$AF960="",0,Sync!$AF960))</f>
        <v/>
      </c>
      <c r="H960">
        <f>IF(OR($A960="",ROUND($F960+$G960,2)=0),"",$F960+$G960)</f>
        <v/>
      </c>
      <c r="I960">
        <f>IF($H960="","",IF(ROUND($F960,2)&gt;0,$A960,IF($D960="شخصی قاسم","شخصی قاسم",IF($D960="هزینه","هزینه: "&amp;IF($E960="","متفرقه",$E960),IF($C960="پاس چک","چک پرداختی",IF(OR($B960="",COUNTIF(AcctCodesA,$B960)=0),"متفرقه",$B960))))))</f>
        <v/>
      </c>
      <c r="J960">
        <f>IF($H960="","",IF(ROUND($F960,2)&gt;0,IF($D960="شخصی قاسم","شخصی قاسم",IF($D960="هزینه","هزینه: "&amp;IF($E960="","متفرقه",$E960),IF(OR($B960="",COUNTIF(AcctCodesA,$B960)=0),"متفرقه",$B960))),$A960))</f>
        <v/>
      </c>
      <c r="K960">
        <f>IF($A960="","",IF(AND($B960&lt;&gt;"",COUNTIF(AcctCodesA,$B960)=0),"کد طرف در INFO تعریف نشده",IF(AND($D960="هزینه",$E960=""),"هزینه بدون زیرگروه",IF(AND($C960="پاس چک",OR(Sync!$AJ960="",COUNTIF(IssueNosA,Sync!$AJ960)=0)),"شماره چک پاس‌شده معتبر نیست",""))))</f>
        <v/>
      </c>
      <c r="V960">
        <f>IF($K960="","",IF(ISNUMBER(Sync!$AK960),Sync!$AK960,LEFT(Sync!$AK960,4)&amp;MID(Sync!$AK960,6,2)&amp;RIGHT(Sync!$AK960,2))&amp;"|"&amp;"4"&amp;RIGHT("00000"&amp;955,5))</f>
        <v/>
      </c>
      <c r="W960">
        <f>IF($V960="",0,COUNTIFS($V$6:$V$2005,"&lt;"&amp;$V960)-COUNTIFS($V$6:$V$2005,"&lt;"&amp;$V960,$K$6:$K$2005,"")+1)</f>
        <v/>
      </c>
      <c r="X960">
        <f>IF(Sync!$AX960="","",IF(OR(N(Sync!$AY960)=0,N(Sync!$AZ960)=0),"",ROUND(N(Sync!$AY960)*N(Sync!$AZ960),0)))</f>
        <v/>
      </c>
      <c r="Y960">
        <f>IF($X960="","",IF(OR(Sync!$AX960="",COUNTIF(AcctCodesA,Sync!$AX960)=0),"متفرقه",Sync!$AX960))</f>
        <v/>
      </c>
      <c r="Z960">
        <f>IF($X960="","","سبد و ظروف")</f>
        <v/>
      </c>
      <c r="AA960">
        <f>IF($X960="","",$Y960)</f>
        <v/>
      </c>
    </row>
    <row r="961">
      <c r="A961">
        <f>IF(Sync!$Z961="","",LEFT(UPPER(TRIM(Sync!$Z961)),6))</f>
        <v/>
      </c>
      <c r="B961">
        <f>IF($A961="","",IF(Sync!$AA961="","",Sync!$AA961))</f>
        <v/>
      </c>
      <c r="C961">
        <f>IF($A961="","",IF(Sync!$AB961="","",Sync!$AB961))</f>
        <v/>
      </c>
      <c r="D961">
        <f>IF($A961="","",IF(Sync!$AC961="","",Sync!$AC961))</f>
        <v/>
      </c>
      <c r="E961">
        <f>IF($A961="","",IF(Sync!$AD961="","",Sync!$AD961))</f>
        <v/>
      </c>
      <c r="F961">
        <f>IF($A961="","",IF(Sync!$AE961="",0,Sync!$AE961))</f>
        <v/>
      </c>
      <c r="G961">
        <f>IF($A961="","",IF(Sync!$AF961="",0,Sync!$AF961))</f>
        <v/>
      </c>
      <c r="H961">
        <f>IF(OR($A961="",ROUND($F961+$G961,2)=0),"",$F961+$G961)</f>
        <v/>
      </c>
      <c r="I961">
        <f>IF($H961="","",IF(ROUND($F961,2)&gt;0,$A961,IF($D961="شخصی قاسم","شخصی قاسم",IF($D961="هزینه","هزینه: "&amp;IF($E961="","متفرقه",$E961),IF($C961="پاس چک","چک پرداختی",IF(OR($B961="",COUNTIF(AcctCodesA,$B961)=0),"متفرقه",$B961))))))</f>
        <v/>
      </c>
      <c r="J961">
        <f>IF($H961="","",IF(ROUND($F961,2)&gt;0,IF($D961="شخصی قاسم","شخصی قاسم",IF($D961="هزینه","هزینه: "&amp;IF($E961="","متفرقه",$E961),IF(OR($B961="",COUNTIF(AcctCodesA,$B961)=0),"متفرقه",$B961))),$A961))</f>
        <v/>
      </c>
      <c r="K961">
        <f>IF($A961="","",IF(AND($B961&lt;&gt;"",COUNTIF(AcctCodesA,$B961)=0),"کد طرف در INFO تعریف نشده",IF(AND($D961="هزینه",$E961=""),"هزینه بدون زیرگروه",IF(AND($C961="پاس چک",OR(Sync!$AJ961="",COUNTIF(IssueNosA,Sync!$AJ961)=0)),"شماره چک پاس‌شده معتبر نیست",""))))</f>
        <v/>
      </c>
      <c r="V961">
        <f>IF($K961="","",IF(ISNUMBER(Sync!$AK961),Sync!$AK961,LEFT(Sync!$AK961,4)&amp;MID(Sync!$AK961,6,2)&amp;RIGHT(Sync!$AK961,2))&amp;"|"&amp;"4"&amp;RIGHT("00000"&amp;956,5))</f>
        <v/>
      </c>
      <c r="W961">
        <f>IF($V961="",0,COUNTIFS($V$6:$V$2005,"&lt;"&amp;$V961)-COUNTIFS($V$6:$V$2005,"&lt;"&amp;$V961,$K$6:$K$2005,"")+1)</f>
        <v/>
      </c>
      <c r="X961">
        <f>IF(Sync!$AX961="","",IF(OR(N(Sync!$AY961)=0,N(Sync!$AZ961)=0),"",ROUND(N(Sync!$AY961)*N(Sync!$AZ961),0)))</f>
        <v/>
      </c>
      <c r="Y961">
        <f>IF($X961="","",IF(OR(Sync!$AX961="",COUNTIF(AcctCodesA,Sync!$AX961)=0),"متفرقه",Sync!$AX961))</f>
        <v/>
      </c>
      <c r="Z961">
        <f>IF($X961="","","سبد و ظروف")</f>
        <v/>
      </c>
      <c r="AA961">
        <f>IF($X961="","",$Y961)</f>
        <v/>
      </c>
    </row>
    <row r="962">
      <c r="A962">
        <f>IF(Sync!$Z962="","",LEFT(UPPER(TRIM(Sync!$Z962)),6))</f>
        <v/>
      </c>
      <c r="B962">
        <f>IF($A962="","",IF(Sync!$AA962="","",Sync!$AA962))</f>
        <v/>
      </c>
      <c r="C962">
        <f>IF($A962="","",IF(Sync!$AB962="","",Sync!$AB962))</f>
        <v/>
      </c>
      <c r="D962">
        <f>IF($A962="","",IF(Sync!$AC962="","",Sync!$AC962))</f>
        <v/>
      </c>
      <c r="E962">
        <f>IF($A962="","",IF(Sync!$AD962="","",Sync!$AD962))</f>
        <v/>
      </c>
      <c r="F962">
        <f>IF($A962="","",IF(Sync!$AE962="",0,Sync!$AE962))</f>
        <v/>
      </c>
      <c r="G962">
        <f>IF($A962="","",IF(Sync!$AF962="",0,Sync!$AF962))</f>
        <v/>
      </c>
      <c r="H962">
        <f>IF(OR($A962="",ROUND($F962+$G962,2)=0),"",$F962+$G962)</f>
        <v/>
      </c>
      <c r="I962">
        <f>IF($H962="","",IF(ROUND($F962,2)&gt;0,$A962,IF($D962="شخصی قاسم","شخصی قاسم",IF($D962="هزینه","هزینه: "&amp;IF($E962="","متفرقه",$E962),IF($C962="پاس چک","چک پرداختی",IF(OR($B962="",COUNTIF(AcctCodesA,$B962)=0),"متفرقه",$B962))))))</f>
        <v/>
      </c>
      <c r="J962">
        <f>IF($H962="","",IF(ROUND($F962,2)&gt;0,IF($D962="شخصی قاسم","شخصی قاسم",IF($D962="هزینه","هزینه: "&amp;IF($E962="","متفرقه",$E962),IF(OR($B962="",COUNTIF(AcctCodesA,$B962)=0),"متفرقه",$B962))),$A962))</f>
        <v/>
      </c>
      <c r="K962">
        <f>IF($A962="","",IF(AND($B962&lt;&gt;"",COUNTIF(AcctCodesA,$B962)=0),"کد طرف در INFO تعریف نشده",IF(AND($D962="هزینه",$E962=""),"هزینه بدون زیرگروه",IF(AND($C962="پاس چک",OR(Sync!$AJ962="",COUNTIF(IssueNosA,Sync!$AJ962)=0)),"شماره چک پاس‌شده معتبر نیست",""))))</f>
        <v/>
      </c>
      <c r="V962">
        <f>IF($K962="","",IF(ISNUMBER(Sync!$AK962),Sync!$AK962,LEFT(Sync!$AK962,4)&amp;MID(Sync!$AK962,6,2)&amp;RIGHT(Sync!$AK962,2))&amp;"|"&amp;"4"&amp;RIGHT("00000"&amp;957,5))</f>
        <v/>
      </c>
      <c r="W962">
        <f>IF($V962="",0,COUNTIFS($V$6:$V$2005,"&lt;"&amp;$V962)-COUNTIFS($V$6:$V$2005,"&lt;"&amp;$V962,$K$6:$K$2005,"")+1)</f>
        <v/>
      </c>
      <c r="X962">
        <f>IF(Sync!$AX962="","",IF(OR(N(Sync!$AY962)=0,N(Sync!$AZ962)=0),"",ROUND(N(Sync!$AY962)*N(Sync!$AZ962),0)))</f>
        <v/>
      </c>
      <c r="Y962">
        <f>IF($X962="","",IF(OR(Sync!$AX962="",COUNTIF(AcctCodesA,Sync!$AX962)=0),"متفرقه",Sync!$AX962))</f>
        <v/>
      </c>
      <c r="Z962">
        <f>IF($X962="","","سبد و ظروف")</f>
        <v/>
      </c>
      <c r="AA962">
        <f>IF($X962="","",$Y962)</f>
        <v/>
      </c>
    </row>
    <row r="963">
      <c r="A963">
        <f>IF(Sync!$Z963="","",LEFT(UPPER(TRIM(Sync!$Z963)),6))</f>
        <v/>
      </c>
      <c r="B963">
        <f>IF($A963="","",IF(Sync!$AA963="","",Sync!$AA963))</f>
        <v/>
      </c>
      <c r="C963">
        <f>IF($A963="","",IF(Sync!$AB963="","",Sync!$AB963))</f>
        <v/>
      </c>
      <c r="D963">
        <f>IF($A963="","",IF(Sync!$AC963="","",Sync!$AC963))</f>
        <v/>
      </c>
      <c r="E963">
        <f>IF($A963="","",IF(Sync!$AD963="","",Sync!$AD963))</f>
        <v/>
      </c>
      <c r="F963">
        <f>IF($A963="","",IF(Sync!$AE963="",0,Sync!$AE963))</f>
        <v/>
      </c>
      <c r="G963">
        <f>IF($A963="","",IF(Sync!$AF963="",0,Sync!$AF963))</f>
        <v/>
      </c>
      <c r="H963">
        <f>IF(OR($A963="",ROUND($F963+$G963,2)=0),"",$F963+$G963)</f>
        <v/>
      </c>
      <c r="I963">
        <f>IF($H963="","",IF(ROUND($F963,2)&gt;0,$A963,IF($D963="شخصی قاسم","شخصی قاسم",IF($D963="هزینه","هزینه: "&amp;IF($E963="","متفرقه",$E963),IF($C963="پاس چک","چک پرداختی",IF(OR($B963="",COUNTIF(AcctCodesA,$B963)=0),"متفرقه",$B963))))))</f>
        <v/>
      </c>
      <c r="J963">
        <f>IF($H963="","",IF(ROUND($F963,2)&gt;0,IF($D963="شخصی قاسم","شخصی قاسم",IF($D963="هزینه","هزینه: "&amp;IF($E963="","متفرقه",$E963),IF(OR($B963="",COUNTIF(AcctCodesA,$B963)=0),"متفرقه",$B963))),$A963))</f>
        <v/>
      </c>
      <c r="K963">
        <f>IF($A963="","",IF(AND($B963&lt;&gt;"",COUNTIF(AcctCodesA,$B963)=0),"کد طرف در INFO تعریف نشده",IF(AND($D963="هزینه",$E963=""),"هزینه بدون زیرگروه",IF(AND($C963="پاس چک",OR(Sync!$AJ963="",COUNTIF(IssueNosA,Sync!$AJ963)=0)),"شماره چک پاس‌شده معتبر نیست",""))))</f>
        <v/>
      </c>
      <c r="V963">
        <f>IF($K963="","",IF(ISNUMBER(Sync!$AK963),Sync!$AK963,LEFT(Sync!$AK963,4)&amp;MID(Sync!$AK963,6,2)&amp;RIGHT(Sync!$AK963,2))&amp;"|"&amp;"4"&amp;RIGHT("00000"&amp;958,5))</f>
        <v/>
      </c>
      <c r="W963">
        <f>IF($V963="",0,COUNTIFS($V$6:$V$2005,"&lt;"&amp;$V963)-COUNTIFS($V$6:$V$2005,"&lt;"&amp;$V963,$K$6:$K$2005,"")+1)</f>
        <v/>
      </c>
      <c r="X963">
        <f>IF(Sync!$AX963="","",IF(OR(N(Sync!$AY963)=0,N(Sync!$AZ963)=0),"",ROUND(N(Sync!$AY963)*N(Sync!$AZ963),0)))</f>
        <v/>
      </c>
      <c r="Y963">
        <f>IF($X963="","",IF(OR(Sync!$AX963="",COUNTIF(AcctCodesA,Sync!$AX963)=0),"متفرقه",Sync!$AX963))</f>
        <v/>
      </c>
      <c r="Z963">
        <f>IF($X963="","","سبد و ظروف")</f>
        <v/>
      </c>
      <c r="AA963">
        <f>IF($X963="","",$Y963)</f>
        <v/>
      </c>
    </row>
    <row r="964">
      <c r="A964">
        <f>IF(Sync!$Z964="","",LEFT(UPPER(TRIM(Sync!$Z964)),6))</f>
        <v/>
      </c>
      <c r="B964">
        <f>IF($A964="","",IF(Sync!$AA964="","",Sync!$AA964))</f>
        <v/>
      </c>
      <c r="C964">
        <f>IF($A964="","",IF(Sync!$AB964="","",Sync!$AB964))</f>
        <v/>
      </c>
      <c r="D964">
        <f>IF($A964="","",IF(Sync!$AC964="","",Sync!$AC964))</f>
        <v/>
      </c>
      <c r="E964">
        <f>IF($A964="","",IF(Sync!$AD964="","",Sync!$AD964))</f>
        <v/>
      </c>
      <c r="F964">
        <f>IF($A964="","",IF(Sync!$AE964="",0,Sync!$AE964))</f>
        <v/>
      </c>
      <c r="G964">
        <f>IF($A964="","",IF(Sync!$AF964="",0,Sync!$AF964))</f>
        <v/>
      </c>
      <c r="H964">
        <f>IF(OR($A964="",ROUND($F964+$G964,2)=0),"",$F964+$G964)</f>
        <v/>
      </c>
      <c r="I964">
        <f>IF($H964="","",IF(ROUND($F964,2)&gt;0,$A964,IF($D964="شخصی قاسم","شخصی قاسم",IF($D964="هزینه","هزینه: "&amp;IF($E964="","متفرقه",$E964),IF($C964="پاس چک","چک پرداختی",IF(OR($B964="",COUNTIF(AcctCodesA,$B964)=0),"متفرقه",$B964))))))</f>
        <v/>
      </c>
      <c r="J964">
        <f>IF($H964="","",IF(ROUND($F964,2)&gt;0,IF($D964="شخصی قاسم","شخصی قاسم",IF($D964="هزینه","هزینه: "&amp;IF($E964="","متفرقه",$E964),IF(OR($B964="",COUNTIF(AcctCodesA,$B964)=0),"متفرقه",$B964))),$A964))</f>
        <v/>
      </c>
      <c r="K964">
        <f>IF($A964="","",IF(AND($B964&lt;&gt;"",COUNTIF(AcctCodesA,$B964)=0),"کد طرف در INFO تعریف نشده",IF(AND($D964="هزینه",$E964=""),"هزینه بدون زیرگروه",IF(AND($C964="پاس چک",OR(Sync!$AJ964="",COUNTIF(IssueNosA,Sync!$AJ964)=0)),"شماره چک پاس‌شده معتبر نیست",""))))</f>
        <v/>
      </c>
      <c r="V964">
        <f>IF($K964="","",IF(ISNUMBER(Sync!$AK964),Sync!$AK964,LEFT(Sync!$AK964,4)&amp;MID(Sync!$AK964,6,2)&amp;RIGHT(Sync!$AK964,2))&amp;"|"&amp;"4"&amp;RIGHT("00000"&amp;959,5))</f>
        <v/>
      </c>
      <c r="W964">
        <f>IF($V964="",0,COUNTIFS($V$6:$V$2005,"&lt;"&amp;$V964)-COUNTIFS($V$6:$V$2005,"&lt;"&amp;$V964,$K$6:$K$2005,"")+1)</f>
        <v/>
      </c>
      <c r="X964">
        <f>IF(Sync!$AX964="","",IF(OR(N(Sync!$AY964)=0,N(Sync!$AZ964)=0),"",ROUND(N(Sync!$AY964)*N(Sync!$AZ964),0)))</f>
        <v/>
      </c>
      <c r="Y964">
        <f>IF($X964="","",IF(OR(Sync!$AX964="",COUNTIF(AcctCodesA,Sync!$AX964)=0),"متفرقه",Sync!$AX964))</f>
        <v/>
      </c>
      <c r="Z964">
        <f>IF($X964="","","سبد و ظروف")</f>
        <v/>
      </c>
      <c r="AA964">
        <f>IF($X964="","",$Y964)</f>
        <v/>
      </c>
    </row>
    <row r="965">
      <c r="A965">
        <f>IF(Sync!$Z965="","",LEFT(UPPER(TRIM(Sync!$Z965)),6))</f>
        <v/>
      </c>
      <c r="B965">
        <f>IF($A965="","",IF(Sync!$AA965="","",Sync!$AA965))</f>
        <v/>
      </c>
      <c r="C965">
        <f>IF($A965="","",IF(Sync!$AB965="","",Sync!$AB965))</f>
        <v/>
      </c>
      <c r="D965">
        <f>IF($A965="","",IF(Sync!$AC965="","",Sync!$AC965))</f>
        <v/>
      </c>
      <c r="E965">
        <f>IF($A965="","",IF(Sync!$AD965="","",Sync!$AD965))</f>
        <v/>
      </c>
      <c r="F965">
        <f>IF($A965="","",IF(Sync!$AE965="",0,Sync!$AE965))</f>
        <v/>
      </c>
      <c r="G965">
        <f>IF($A965="","",IF(Sync!$AF965="",0,Sync!$AF965))</f>
        <v/>
      </c>
      <c r="H965">
        <f>IF(OR($A965="",ROUND($F965+$G965,2)=0),"",$F965+$G965)</f>
        <v/>
      </c>
      <c r="I965">
        <f>IF($H965="","",IF(ROUND($F965,2)&gt;0,$A965,IF($D965="شخصی قاسم","شخصی قاسم",IF($D965="هزینه","هزینه: "&amp;IF($E965="","متفرقه",$E965),IF($C965="پاس چک","چک پرداختی",IF(OR($B965="",COUNTIF(AcctCodesA,$B965)=0),"متفرقه",$B965))))))</f>
        <v/>
      </c>
      <c r="J965">
        <f>IF($H965="","",IF(ROUND($F965,2)&gt;0,IF($D965="شخصی قاسم","شخصی قاسم",IF($D965="هزینه","هزینه: "&amp;IF($E965="","متفرقه",$E965),IF(OR($B965="",COUNTIF(AcctCodesA,$B965)=0),"متفرقه",$B965))),$A965))</f>
        <v/>
      </c>
      <c r="K965">
        <f>IF($A965="","",IF(AND($B965&lt;&gt;"",COUNTIF(AcctCodesA,$B965)=0),"کد طرف در INFO تعریف نشده",IF(AND($D965="هزینه",$E965=""),"هزینه بدون زیرگروه",IF(AND($C965="پاس چک",OR(Sync!$AJ965="",COUNTIF(IssueNosA,Sync!$AJ965)=0)),"شماره چک پاس‌شده معتبر نیست",""))))</f>
        <v/>
      </c>
      <c r="V965">
        <f>IF($K965="","",IF(ISNUMBER(Sync!$AK965),Sync!$AK965,LEFT(Sync!$AK965,4)&amp;MID(Sync!$AK965,6,2)&amp;RIGHT(Sync!$AK965,2))&amp;"|"&amp;"4"&amp;RIGHT("00000"&amp;960,5))</f>
        <v/>
      </c>
      <c r="W965">
        <f>IF($V965="",0,COUNTIFS($V$6:$V$2005,"&lt;"&amp;$V965)-COUNTIFS($V$6:$V$2005,"&lt;"&amp;$V965,$K$6:$K$2005,"")+1)</f>
        <v/>
      </c>
      <c r="X965">
        <f>IF(Sync!$AX965="","",IF(OR(N(Sync!$AY965)=0,N(Sync!$AZ965)=0),"",ROUND(N(Sync!$AY965)*N(Sync!$AZ965),0)))</f>
        <v/>
      </c>
      <c r="Y965">
        <f>IF($X965="","",IF(OR(Sync!$AX965="",COUNTIF(AcctCodesA,Sync!$AX965)=0),"متفرقه",Sync!$AX965))</f>
        <v/>
      </c>
      <c r="Z965">
        <f>IF($X965="","","سبد و ظروف")</f>
        <v/>
      </c>
      <c r="AA965">
        <f>IF($X965="","",$Y965)</f>
        <v/>
      </c>
    </row>
    <row r="966">
      <c r="A966">
        <f>IF(Sync!$Z966="","",LEFT(UPPER(TRIM(Sync!$Z966)),6))</f>
        <v/>
      </c>
      <c r="B966">
        <f>IF($A966="","",IF(Sync!$AA966="","",Sync!$AA966))</f>
        <v/>
      </c>
      <c r="C966">
        <f>IF($A966="","",IF(Sync!$AB966="","",Sync!$AB966))</f>
        <v/>
      </c>
      <c r="D966">
        <f>IF($A966="","",IF(Sync!$AC966="","",Sync!$AC966))</f>
        <v/>
      </c>
      <c r="E966">
        <f>IF($A966="","",IF(Sync!$AD966="","",Sync!$AD966))</f>
        <v/>
      </c>
      <c r="F966">
        <f>IF($A966="","",IF(Sync!$AE966="",0,Sync!$AE966))</f>
        <v/>
      </c>
      <c r="G966">
        <f>IF($A966="","",IF(Sync!$AF966="",0,Sync!$AF966))</f>
        <v/>
      </c>
      <c r="H966">
        <f>IF(OR($A966="",ROUND($F966+$G966,2)=0),"",$F966+$G966)</f>
        <v/>
      </c>
      <c r="I966">
        <f>IF($H966="","",IF(ROUND($F966,2)&gt;0,$A966,IF($D966="شخصی قاسم","شخصی قاسم",IF($D966="هزینه","هزینه: "&amp;IF($E966="","متفرقه",$E966),IF($C966="پاس چک","چک پرداختی",IF(OR($B966="",COUNTIF(AcctCodesA,$B966)=0),"متفرقه",$B966))))))</f>
        <v/>
      </c>
      <c r="J966">
        <f>IF($H966="","",IF(ROUND($F966,2)&gt;0,IF($D966="شخصی قاسم","شخصی قاسم",IF($D966="هزینه","هزینه: "&amp;IF($E966="","متفرقه",$E966),IF(OR($B966="",COUNTIF(AcctCodesA,$B966)=0),"متفرقه",$B966))),$A966))</f>
        <v/>
      </c>
      <c r="K966">
        <f>IF($A966="","",IF(AND($B966&lt;&gt;"",COUNTIF(AcctCodesA,$B966)=0),"کد طرف در INFO تعریف نشده",IF(AND($D966="هزینه",$E966=""),"هزینه بدون زیرگروه",IF(AND($C966="پاس چک",OR(Sync!$AJ966="",COUNTIF(IssueNosA,Sync!$AJ966)=0)),"شماره چک پاس‌شده معتبر نیست",""))))</f>
        <v/>
      </c>
      <c r="V966">
        <f>IF($K966="","",IF(ISNUMBER(Sync!$AK966),Sync!$AK966,LEFT(Sync!$AK966,4)&amp;MID(Sync!$AK966,6,2)&amp;RIGHT(Sync!$AK966,2))&amp;"|"&amp;"4"&amp;RIGHT("00000"&amp;961,5))</f>
        <v/>
      </c>
      <c r="W966">
        <f>IF($V966="",0,COUNTIFS($V$6:$V$2005,"&lt;"&amp;$V966)-COUNTIFS($V$6:$V$2005,"&lt;"&amp;$V966,$K$6:$K$2005,"")+1)</f>
        <v/>
      </c>
      <c r="X966">
        <f>IF(Sync!$AX966="","",IF(OR(N(Sync!$AY966)=0,N(Sync!$AZ966)=0),"",ROUND(N(Sync!$AY966)*N(Sync!$AZ966),0)))</f>
        <v/>
      </c>
      <c r="Y966">
        <f>IF($X966="","",IF(OR(Sync!$AX966="",COUNTIF(AcctCodesA,Sync!$AX966)=0),"متفرقه",Sync!$AX966))</f>
        <v/>
      </c>
      <c r="Z966">
        <f>IF($X966="","","سبد و ظروف")</f>
        <v/>
      </c>
      <c r="AA966">
        <f>IF($X966="","",$Y966)</f>
        <v/>
      </c>
    </row>
    <row r="967">
      <c r="A967">
        <f>IF(Sync!$Z967="","",LEFT(UPPER(TRIM(Sync!$Z967)),6))</f>
        <v/>
      </c>
      <c r="B967">
        <f>IF($A967="","",IF(Sync!$AA967="","",Sync!$AA967))</f>
        <v/>
      </c>
      <c r="C967">
        <f>IF($A967="","",IF(Sync!$AB967="","",Sync!$AB967))</f>
        <v/>
      </c>
      <c r="D967">
        <f>IF($A967="","",IF(Sync!$AC967="","",Sync!$AC967))</f>
        <v/>
      </c>
      <c r="E967">
        <f>IF($A967="","",IF(Sync!$AD967="","",Sync!$AD967))</f>
        <v/>
      </c>
      <c r="F967">
        <f>IF($A967="","",IF(Sync!$AE967="",0,Sync!$AE967))</f>
        <v/>
      </c>
      <c r="G967">
        <f>IF($A967="","",IF(Sync!$AF967="",0,Sync!$AF967))</f>
        <v/>
      </c>
      <c r="H967">
        <f>IF(OR($A967="",ROUND($F967+$G967,2)=0),"",$F967+$G967)</f>
        <v/>
      </c>
      <c r="I967">
        <f>IF($H967="","",IF(ROUND($F967,2)&gt;0,$A967,IF($D967="شخصی قاسم","شخصی قاسم",IF($D967="هزینه","هزینه: "&amp;IF($E967="","متفرقه",$E967),IF($C967="پاس چک","چک پرداختی",IF(OR($B967="",COUNTIF(AcctCodesA,$B967)=0),"متفرقه",$B967))))))</f>
        <v/>
      </c>
      <c r="J967">
        <f>IF($H967="","",IF(ROUND($F967,2)&gt;0,IF($D967="شخصی قاسم","شخصی قاسم",IF($D967="هزینه","هزینه: "&amp;IF($E967="","متفرقه",$E967),IF(OR($B967="",COUNTIF(AcctCodesA,$B967)=0),"متفرقه",$B967))),$A967))</f>
        <v/>
      </c>
      <c r="K967">
        <f>IF($A967="","",IF(AND($B967&lt;&gt;"",COUNTIF(AcctCodesA,$B967)=0),"کد طرف در INFO تعریف نشده",IF(AND($D967="هزینه",$E967=""),"هزینه بدون زیرگروه",IF(AND($C967="پاس چک",OR(Sync!$AJ967="",COUNTIF(IssueNosA,Sync!$AJ967)=0)),"شماره چک پاس‌شده معتبر نیست",""))))</f>
        <v/>
      </c>
      <c r="V967">
        <f>IF($K967="","",IF(ISNUMBER(Sync!$AK967),Sync!$AK967,LEFT(Sync!$AK967,4)&amp;MID(Sync!$AK967,6,2)&amp;RIGHT(Sync!$AK967,2))&amp;"|"&amp;"4"&amp;RIGHT("00000"&amp;962,5))</f>
        <v/>
      </c>
      <c r="W967">
        <f>IF($V967="",0,COUNTIFS($V$6:$V$2005,"&lt;"&amp;$V967)-COUNTIFS($V$6:$V$2005,"&lt;"&amp;$V967,$K$6:$K$2005,"")+1)</f>
        <v/>
      </c>
      <c r="X967">
        <f>IF(Sync!$AX967="","",IF(OR(N(Sync!$AY967)=0,N(Sync!$AZ967)=0),"",ROUND(N(Sync!$AY967)*N(Sync!$AZ967),0)))</f>
        <v/>
      </c>
      <c r="Y967">
        <f>IF($X967="","",IF(OR(Sync!$AX967="",COUNTIF(AcctCodesA,Sync!$AX967)=0),"متفرقه",Sync!$AX967))</f>
        <v/>
      </c>
      <c r="Z967">
        <f>IF($X967="","","سبد و ظروف")</f>
        <v/>
      </c>
      <c r="AA967">
        <f>IF($X967="","",$Y967)</f>
        <v/>
      </c>
    </row>
    <row r="968">
      <c r="A968">
        <f>IF(Sync!$Z968="","",LEFT(UPPER(TRIM(Sync!$Z968)),6))</f>
        <v/>
      </c>
      <c r="B968">
        <f>IF($A968="","",IF(Sync!$AA968="","",Sync!$AA968))</f>
        <v/>
      </c>
      <c r="C968">
        <f>IF($A968="","",IF(Sync!$AB968="","",Sync!$AB968))</f>
        <v/>
      </c>
      <c r="D968">
        <f>IF($A968="","",IF(Sync!$AC968="","",Sync!$AC968))</f>
        <v/>
      </c>
      <c r="E968">
        <f>IF($A968="","",IF(Sync!$AD968="","",Sync!$AD968))</f>
        <v/>
      </c>
      <c r="F968">
        <f>IF($A968="","",IF(Sync!$AE968="",0,Sync!$AE968))</f>
        <v/>
      </c>
      <c r="G968">
        <f>IF($A968="","",IF(Sync!$AF968="",0,Sync!$AF968))</f>
        <v/>
      </c>
      <c r="H968">
        <f>IF(OR($A968="",ROUND($F968+$G968,2)=0),"",$F968+$G968)</f>
        <v/>
      </c>
      <c r="I968">
        <f>IF($H968="","",IF(ROUND($F968,2)&gt;0,$A968,IF($D968="شخصی قاسم","شخصی قاسم",IF($D968="هزینه","هزینه: "&amp;IF($E968="","متفرقه",$E968),IF($C968="پاس چک","چک پرداختی",IF(OR($B968="",COUNTIF(AcctCodesA,$B968)=0),"متفرقه",$B968))))))</f>
        <v/>
      </c>
      <c r="J968">
        <f>IF($H968="","",IF(ROUND($F968,2)&gt;0,IF($D968="شخصی قاسم","شخصی قاسم",IF($D968="هزینه","هزینه: "&amp;IF($E968="","متفرقه",$E968),IF(OR($B968="",COUNTIF(AcctCodesA,$B968)=0),"متفرقه",$B968))),$A968))</f>
        <v/>
      </c>
      <c r="K968">
        <f>IF($A968="","",IF(AND($B968&lt;&gt;"",COUNTIF(AcctCodesA,$B968)=0),"کد طرف در INFO تعریف نشده",IF(AND($D968="هزینه",$E968=""),"هزینه بدون زیرگروه",IF(AND($C968="پاس چک",OR(Sync!$AJ968="",COUNTIF(IssueNosA,Sync!$AJ968)=0)),"شماره چک پاس‌شده معتبر نیست",""))))</f>
        <v/>
      </c>
      <c r="V968">
        <f>IF($K968="","",IF(ISNUMBER(Sync!$AK968),Sync!$AK968,LEFT(Sync!$AK968,4)&amp;MID(Sync!$AK968,6,2)&amp;RIGHT(Sync!$AK968,2))&amp;"|"&amp;"4"&amp;RIGHT("00000"&amp;963,5))</f>
        <v/>
      </c>
      <c r="W968">
        <f>IF($V968="",0,COUNTIFS($V$6:$V$2005,"&lt;"&amp;$V968)-COUNTIFS($V$6:$V$2005,"&lt;"&amp;$V968,$K$6:$K$2005,"")+1)</f>
        <v/>
      </c>
      <c r="X968">
        <f>IF(Sync!$AX968="","",IF(OR(N(Sync!$AY968)=0,N(Sync!$AZ968)=0),"",ROUND(N(Sync!$AY968)*N(Sync!$AZ968),0)))</f>
        <v/>
      </c>
      <c r="Y968">
        <f>IF($X968="","",IF(OR(Sync!$AX968="",COUNTIF(AcctCodesA,Sync!$AX968)=0),"متفرقه",Sync!$AX968))</f>
        <v/>
      </c>
      <c r="Z968">
        <f>IF($X968="","","سبد و ظروف")</f>
        <v/>
      </c>
      <c r="AA968">
        <f>IF($X968="","",$Y968)</f>
        <v/>
      </c>
    </row>
    <row r="969">
      <c r="A969">
        <f>IF(Sync!$Z969="","",LEFT(UPPER(TRIM(Sync!$Z969)),6))</f>
        <v/>
      </c>
      <c r="B969">
        <f>IF($A969="","",IF(Sync!$AA969="","",Sync!$AA969))</f>
        <v/>
      </c>
      <c r="C969">
        <f>IF($A969="","",IF(Sync!$AB969="","",Sync!$AB969))</f>
        <v/>
      </c>
      <c r="D969">
        <f>IF($A969="","",IF(Sync!$AC969="","",Sync!$AC969))</f>
        <v/>
      </c>
      <c r="E969">
        <f>IF($A969="","",IF(Sync!$AD969="","",Sync!$AD969))</f>
        <v/>
      </c>
      <c r="F969">
        <f>IF($A969="","",IF(Sync!$AE969="",0,Sync!$AE969))</f>
        <v/>
      </c>
      <c r="G969">
        <f>IF($A969="","",IF(Sync!$AF969="",0,Sync!$AF969))</f>
        <v/>
      </c>
      <c r="H969">
        <f>IF(OR($A969="",ROUND($F969+$G969,2)=0),"",$F969+$G969)</f>
        <v/>
      </c>
      <c r="I969">
        <f>IF($H969="","",IF(ROUND($F969,2)&gt;0,$A969,IF($D969="شخصی قاسم","شخصی قاسم",IF($D969="هزینه","هزینه: "&amp;IF($E969="","متفرقه",$E969),IF($C969="پاس چک","چک پرداختی",IF(OR($B969="",COUNTIF(AcctCodesA,$B969)=0),"متفرقه",$B969))))))</f>
        <v/>
      </c>
      <c r="J969">
        <f>IF($H969="","",IF(ROUND($F969,2)&gt;0,IF($D969="شخصی قاسم","شخصی قاسم",IF($D969="هزینه","هزینه: "&amp;IF($E969="","متفرقه",$E969),IF(OR($B969="",COUNTIF(AcctCodesA,$B969)=0),"متفرقه",$B969))),$A969))</f>
        <v/>
      </c>
      <c r="K969">
        <f>IF($A969="","",IF(AND($B969&lt;&gt;"",COUNTIF(AcctCodesA,$B969)=0),"کد طرف در INFO تعریف نشده",IF(AND($D969="هزینه",$E969=""),"هزینه بدون زیرگروه",IF(AND($C969="پاس چک",OR(Sync!$AJ969="",COUNTIF(IssueNosA,Sync!$AJ969)=0)),"شماره چک پاس‌شده معتبر نیست",""))))</f>
        <v/>
      </c>
      <c r="V969">
        <f>IF($K969="","",IF(ISNUMBER(Sync!$AK969),Sync!$AK969,LEFT(Sync!$AK969,4)&amp;MID(Sync!$AK969,6,2)&amp;RIGHT(Sync!$AK969,2))&amp;"|"&amp;"4"&amp;RIGHT("00000"&amp;964,5))</f>
        <v/>
      </c>
      <c r="W969">
        <f>IF($V969="",0,COUNTIFS($V$6:$V$2005,"&lt;"&amp;$V969)-COUNTIFS($V$6:$V$2005,"&lt;"&amp;$V969,$K$6:$K$2005,"")+1)</f>
        <v/>
      </c>
      <c r="X969">
        <f>IF(Sync!$AX969="","",IF(OR(N(Sync!$AY969)=0,N(Sync!$AZ969)=0),"",ROUND(N(Sync!$AY969)*N(Sync!$AZ969),0)))</f>
        <v/>
      </c>
      <c r="Y969">
        <f>IF($X969="","",IF(OR(Sync!$AX969="",COUNTIF(AcctCodesA,Sync!$AX969)=0),"متفرقه",Sync!$AX969))</f>
        <v/>
      </c>
      <c r="Z969">
        <f>IF($X969="","","سبد و ظروف")</f>
        <v/>
      </c>
      <c r="AA969">
        <f>IF($X969="","",$Y969)</f>
        <v/>
      </c>
    </row>
    <row r="970">
      <c r="A970">
        <f>IF(Sync!$Z970="","",LEFT(UPPER(TRIM(Sync!$Z970)),6))</f>
        <v/>
      </c>
      <c r="B970">
        <f>IF($A970="","",IF(Sync!$AA970="","",Sync!$AA970))</f>
        <v/>
      </c>
      <c r="C970">
        <f>IF($A970="","",IF(Sync!$AB970="","",Sync!$AB970))</f>
        <v/>
      </c>
      <c r="D970">
        <f>IF($A970="","",IF(Sync!$AC970="","",Sync!$AC970))</f>
        <v/>
      </c>
      <c r="E970">
        <f>IF($A970="","",IF(Sync!$AD970="","",Sync!$AD970))</f>
        <v/>
      </c>
      <c r="F970">
        <f>IF($A970="","",IF(Sync!$AE970="",0,Sync!$AE970))</f>
        <v/>
      </c>
      <c r="G970">
        <f>IF($A970="","",IF(Sync!$AF970="",0,Sync!$AF970))</f>
        <v/>
      </c>
      <c r="H970">
        <f>IF(OR($A970="",ROUND($F970+$G970,2)=0),"",$F970+$G970)</f>
        <v/>
      </c>
      <c r="I970">
        <f>IF($H970="","",IF(ROUND($F970,2)&gt;0,$A970,IF($D970="شخصی قاسم","شخصی قاسم",IF($D970="هزینه","هزینه: "&amp;IF($E970="","متفرقه",$E970),IF($C970="پاس چک","چک پرداختی",IF(OR($B970="",COUNTIF(AcctCodesA,$B970)=0),"متفرقه",$B970))))))</f>
        <v/>
      </c>
      <c r="J970">
        <f>IF($H970="","",IF(ROUND($F970,2)&gt;0,IF($D970="شخصی قاسم","شخصی قاسم",IF($D970="هزینه","هزینه: "&amp;IF($E970="","متفرقه",$E970),IF(OR($B970="",COUNTIF(AcctCodesA,$B970)=0),"متفرقه",$B970))),$A970))</f>
        <v/>
      </c>
      <c r="K970">
        <f>IF($A970="","",IF(AND($B970&lt;&gt;"",COUNTIF(AcctCodesA,$B970)=0),"کد طرف در INFO تعریف نشده",IF(AND($D970="هزینه",$E970=""),"هزینه بدون زیرگروه",IF(AND($C970="پاس چک",OR(Sync!$AJ970="",COUNTIF(IssueNosA,Sync!$AJ970)=0)),"شماره چک پاس‌شده معتبر نیست",""))))</f>
        <v/>
      </c>
      <c r="V970">
        <f>IF($K970="","",IF(ISNUMBER(Sync!$AK970),Sync!$AK970,LEFT(Sync!$AK970,4)&amp;MID(Sync!$AK970,6,2)&amp;RIGHT(Sync!$AK970,2))&amp;"|"&amp;"4"&amp;RIGHT("00000"&amp;965,5))</f>
        <v/>
      </c>
      <c r="W970">
        <f>IF($V970="",0,COUNTIFS($V$6:$V$2005,"&lt;"&amp;$V970)-COUNTIFS($V$6:$V$2005,"&lt;"&amp;$V970,$K$6:$K$2005,"")+1)</f>
        <v/>
      </c>
      <c r="X970">
        <f>IF(Sync!$AX970="","",IF(OR(N(Sync!$AY970)=0,N(Sync!$AZ970)=0),"",ROUND(N(Sync!$AY970)*N(Sync!$AZ970),0)))</f>
        <v/>
      </c>
      <c r="Y970">
        <f>IF($X970="","",IF(OR(Sync!$AX970="",COUNTIF(AcctCodesA,Sync!$AX970)=0),"متفرقه",Sync!$AX970))</f>
        <v/>
      </c>
      <c r="Z970">
        <f>IF($X970="","","سبد و ظروف")</f>
        <v/>
      </c>
      <c r="AA970">
        <f>IF($X970="","",$Y970)</f>
        <v/>
      </c>
    </row>
    <row r="971">
      <c r="A971">
        <f>IF(Sync!$Z971="","",LEFT(UPPER(TRIM(Sync!$Z971)),6))</f>
        <v/>
      </c>
      <c r="B971">
        <f>IF($A971="","",IF(Sync!$AA971="","",Sync!$AA971))</f>
        <v/>
      </c>
      <c r="C971">
        <f>IF($A971="","",IF(Sync!$AB971="","",Sync!$AB971))</f>
        <v/>
      </c>
      <c r="D971">
        <f>IF($A971="","",IF(Sync!$AC971="","",Sync!$AC971))</f>
        <v/>
      </c>
      <c r="E971">
        <f>IF($A971="","",IF(Sync!$AD971="","",Sync!$AD971))</f>
        <v/>
      </c>
      <c r="F971">
        <f>IF($A971="","",IF(Sync!$AE971="",0,Sync!$AE971))</f>
        <v/>
      </c>
      <c r="G971">
        <f>IF($A971="","",IF(Sync!$AF971="",0,Sync!$AF971))</f>
        <v/>
      </c>
      <c r="H971">
        <f>IF(OR($A971="",ROUND($F971+$G971,2)=0),"",$F971+$G971)</f>
        <v/>
      </c>
      <c r="I971">
        <f>IF($H971="","",IF(ROUND($F971,2)&gt;0,$A971,IF($D971="شخصی قاسم","شخصی قاسم",IF($D971="هزینه","هزینه: "&amp;IF($E971="","متفرقه",$E971),IF($C971="پاس چک","چک پرداختی",IF(OR($B971="",COUNTIF(AcctCodesA,$B971)=0),"متفرقه",$B971))))))</f>
        <v/>
      </c>
      <c r="J971">
        <f>IF($H971="","",IF(ROUND($F971,2)&gt;0,IF($D971="شخصی قاسم","شخصی قاسم",IF($D971="هزینه","هزینه: "&amp;IF($E971="","متفرقه",$E971),IF(OR($B971="",COUNTIF(AcctCodesA,$B971)=0),"متفرقه",$B971))),$A971))</f>
        <v/>
      </c>
      <c r="K971">
        <f>IF($A971="","",IF(AND($B971&lt;&gt;"",COUNTIF(AcctCodesA,$B971)=0),"کد طرف در INFO تعریف نشده",IF(AND($D971="هزینه",$E971=""),"هزینه بدون زیرگروه",IF(AND($C971="پاس چک",OR(Sync!$AJ971="",COUNTIF(IssueNosA,Sync!$AJ971)=0)),"شماره چک پاس‌شده معتبر نیست",""))))</f>
        <v/>
      </c>
      <c r="V971">
        <f>IF($K971="","",IF(ISNUMBER(Sync!$AK971),Sync!$AK971,LEFT(Sync!$AK971,4)&amp;MID(Sync!$AK971,6,2)&amp;RIGHT(Sync!$AK971,2))&amp;"|"&amp;"4"&amp;RIGHT("00000"&amp;966,5))</f>
        <v/>
      </c>
      <c r="W971">
        <f>IF($V971="",0,COUNTIFS($V$6:$V$2005,"&lt;"&amp;$V971)-COUNTIFS($V$6:$V$2005,"&lt;"&amp;$V971,$K$6:$K$2005,"")+1)</f>
        <v/>
      </c>
      <c r="X971">
        <f>IF(Sync!$AX971="","",IF(OR(N(Sync!$AY971)=0,N(Sync!$AZ971)=0),"",ROUND(N(Sync!$AY971)*N(Sync!$AZ971),0)))</f>
        <v/>
      </c>
      <c r="Y971">
        <f>IF($X971="","",IF(OR(Sync!$AX971="",COUNTIF(AcctCodesA,Sync!$AX971)=0),"متفرقه",Sync!$AX971))</f>
        <v/>
      </c>
      <c r="Z971">
        <f>IF($X971="","","سبد و ظروف")</f>
        <v/>
      </c>
      <c r="AA971">
        <f>IF($X971="","",$Y971)</f>
        <v/>
      </c>
    </row>
    <row r="972">
      <c r="A972">
        <f>IF(Sync!$Z972="","",LEFT(UPPER(TRIM(Sync!$Z972)),6))</f>
        <v/>
      </c>
      <c r="B972">
        <f>IF($A972="","",IF(Sync!$AA972="","",Sync!$AA972))</f>
        <v/>
      </c>
      <c r="C972">
        <f>IF($A972="","",IF(Sync!$AB972="","",Sync!$AB972))</f>
        <v/>
      </c>
      <c r="D972">
        <f>IF($A972="","",IF(Sync!$AC972="","",Sync!$AC972))</f>
        <v/>
      </c>
      <c r="E972">
        <f>IF($A972="","",IF(Sync!$AD972="","",Sync!$AD972))</f>
        <v/>
      </c>
      <c r="F972">
        <f>IF($A972="","",IF(Sync!$AE972="",0,Sync!$AE972))</f>
        <v/>
      </c>
      <c r="G972">
        <f>IF($A972="","",IF(Sync!$AF972="",0,Sync!$AF972))</f>
        <v/>
      </c>
      <c r="H972">
        <f>IF(OR($A972="",ROUND($F972+$G972,2)=0),"",$F972+$G972)</f>
        <v/>
      </c>
      <c r="I972">
        <f>IF($H972="","",IF(ROUND($F972,2)&gt;0,$A972,IF($D972="شخصی قاسم","شخصی قاسم",IF($D972="هزینه","هزینه: "&amp;IF($E972="","متفرقه",$E972),IF($C972="پاس چک","چک پرداختی",IF(OR($B972="",COUNTIF(AcctCodesA,$B972)=0),"متفرقه",$B972))))))</f>
        <v/>
      </c>
      <c r="J972">
        <f>IF($H972="","",IF(ROUND($F972,2)&gt;0,IF($D972="شخصی قاسم","شخصی قاسم",IF($D972="هزینه","هزینه: "&amp;IF($E972="","متفرقه",$E972),IF(OR($B972="",COUNTIF(AcctCodesA,$B972)=0),"متفرقه",$B972))),$A972))</f>
        <v/>
      </c>
      <c r="K972">
        <f>IF($A972="","",IF(AND($B972&lt;&gt;"",COUNTIF(AcctCodesA,$B972)=0),"کد طرف در INFO تعریف نشده",IF(AND($D972="هزینه",$E972=""),"هزینه بدون زیرگروه",IF(AND($C972="پاس چک",OR(Sync!$AJ972="",COUNTIF(IssueNosA,Sync!$AJ972)=0)),"شماره چک پاس‌شده معتبر نیست",""))))</f>
        <v/>
      </c>
      <c r="V972">
        <f>IF($K972="","",IF(ISNUMBER(Sync!$AK972),Sync!$AK972,LEFT(Sync!$AK972,4)&amp;MID(Sync!$AK972,6,2)&amp;RIGHT(Sync!$AK972,2))&amp;"|"&amp;"4"&amp;RIGHT("00000"&amp;967,5))</f>
        <v/>
      </c>
      <c r="W972">
        <f>IF($V972="",0,COUNTIFS($V$6:$V$2005,"&lt;"&amp;$V972)-COUNTIFS($V$6:$V$2005,"&lt;"&amp;$V972,$K$6:$K$2005,"")+1)</f>
        <v/>
      </c>
      <c r="X972">
        <f>IF(Sync!$AX972="","",IF(OR(N(Sync!$AY972)=0,N(Sync!$AZ972)=0),"",ROUND(N(Sync!$AY972)*N(Sync!$AZ972),0)))</f>
        <v/>
      </c>
      <c r="Y972">
        <f>IF($X972="","",IF(OR(Sync!$AX972="",COUNTIF(AcctCodesA,Sync!$AX972)=0),"متفرقه",Sync!$AX972))</f>
        <v/>
      </c>
      <c r="Z972">
        <f>IF($X972="","","سبد و ظروف")</f>
        <v/>
      </c>
      <c r="AA972">
        <f>IF($X972="","",$Y972)</f>
        <v/>
      </c>
    </row>
    <row r="973">
      <c r="A973">
        <f>IF(Sync!$Z973="","",LEFT(UPPER(TRIM(Sync!$Z973)),6))</f>
        <v/>
      </c>
      <c r="B973">
        <f>IF($A973="","",IF(Sync!$AA973="","",Sync!$AA973))</f>
        <v/>
      </c>
      <c r="C973">
        <f>IF($A973="","",IF(Sync!$AB973="","",Sync!$AB973))</f>
        <v/>
      </c>
      <c r="D973">
        <f>IF($A973="","",IF(Sync!$AC973="","",Sync!$AC973))</f>
        <v/>
      </c>
      <c r="E973">
        <f>IF($A973="","",IF(Sync!$AD973="","",Sync!$AD973))</f>
        <v/>
      </c>
      <c r="F973">
        <f>IF($A973="","",IF(Sync!$AE973="",0,Sync!$AE973))</f>
        <v/>
      </c>
      <c r="G973">
        <f>IF($A973="","",IF(Sync!$AF973="",0,Sync!$AF973))</f>
        <v/>
      </c>
      <c r="H973">
        <f>IF(OR($A973="",ROUND($F973+$G973,2)=0),"",$F973+$G973)</f>
        <v/>
      </c>
      <c r="I973">
        <f>IF($H973="","",IF(ROUND($F973,2)&gt;0,$A973,IF($D973="شخصی قاسم","شخصی قاسم",IF($D973="هزینه","هزینه: "&amp;IF($E973="","متفرقه",$E973),IF($C973="پاس چک","چک پرداختی",IF(OR($B973="",COUNTIF(AcctCodesA,$B973)=0),"متفرقه",$B973))))))</f>
        <v/>
      </c>
      <c r="J973">
        <f>IF($H973="","",IF(ROUND($F973,2)&gt;0,IF($D973="شخصی قاسم","شخصی قاسم",IF($D973="هزینه","هزینه: "&amp;IF($E973="","متفرقه",$E973),IF(OR($B973="",COUNTIF(AcctCodesA,$B973)=0),"متفرقه",$B973))),$A973))</f>
        <v/>
      </c>
      <c r="K973">
        <f>IF($A973="","",IF(AND($B973&lt;&gt;"",COUNTIF(AcctCodesA,$B973)=0),"کد طرف در INFO تعریف نشده",IF(AND($D973="هزینه",$E973=""),"هزینه بدون زیرگروه",IF(AND($C973="پاس چک",OR(Sync!$AJ973="",COUNTIF(IssueNosA,Sync!$AJ973)=0)),"شماره چک پاس‌شده معتبر نیست",""))))</f>
        <v/>
      </c>
      <c r="V973">
        <f>IF($K973="","",IF(ISNUMBER(Sync!$AK973),Sync!$AK973,LEFT(Sync!$AK973,4)&amp;MID(Sync!$AK973,6,2)&amp;RIGHT(Sync!$AK973,2))&amp;"|"&amp;"4"&amp;RIGHT("00000"&amp;968,5))</f>
        <v/>
      </c>
      <c r="W973">
        <f>IF($V973="",0,COUNTIFS($V$6:$V$2005,"&lt;"&amp;$V973)-COUNTIFS($V$6:$V$2005,"&lt;"&amp;$V973,$K$6:$K$2005,"")+1)</f>
        <v/>
      </c>
      <c r="X973">
        <f>IF(Sync!$AX973="","",IF(OR(N(Sync!$AY973)=0,N(Sync!$AZ973)=0),"",ROUND(N(Sync!$AY973)*N(Sync!$AZ973),0)))</f>
        <v/>
      </c>
      <c r="Y973">
        <f>IF($X973="","",IF(OR(Sync!$AX973="",COUNTIF(AcctCodesA,Sync!$AX973)=0),"متفرقه",Sync!$AX973))</f>
        <v/>
      </c>
      <c r="Z973">
        <f>IF($X973="","","سبد و ظروف")</f>
        <v/>
      </c>
      <c r="AA973">
        <f>IF($X973="","",$Y973)</f>
        <v/>
      </c>
    </row>
    <row r="974">
      <c r="A974">
        <f>IF(Sync!$Z974="","",LEFT(UPPER(TRIM(Sync!$Z974)),6))</f>
        <v/>
      </c>
      <c r="B974">
        <f>IF($A974="","",IF(Sync!$AA974="","",Sync!$AA974))</f>
        <v/>
      </c>
      <c r="C974">
        <f>IF($A974="","",IF(Sync!$AB974="","",Sync!$AB974))</f>
        <v/>
      </c>
      <c r="D974">
        <f>IF($A974="","",IF(Sync!$AC974="","",Sync!$AC974))</f>
        <v/>
      </c>
      <c r="E974">
        <f>IF($A974="","",IF(Sync!$AD974="","",Sync!$AD974))</f>
        <v/>
      </c>
      <c r="F974">
        <f>IF($A974="","",IF(Sync!$AE974="",0,Sync!$AE974))</f>
        <v/>
      </c>
      <c r="G974">
        <f>IF($A974="","",IF(Sync!$AF974="",0,Sync!$AF974))</f>
        <v/>
      </c>
      <c r="H974">
        <f>IF(OR($A974="",ROUND($F974+$G974,2)=0),"",$F974+$G974)</f>
        <v/>
      </c>
      <c r="I974">
        <f>IF($H974="","",IF(ROUND($F974,2)&gt;0,$A974,IF($D974="شخصی قاسم","شخصی قاسم",IF($D974="هزینه","هزینه: "&amp;IF($E974="","متفرقه",$E974),IF($C974="پاس چک","چک پرداختی",IF(OR($B974="",COUNTIF(AcctCodesA,$B974)=0),"متفرقه",$B974))))))</f>
        <v/>
      </c>
      <c r="J974">
        <f>IF($H974="","",IF(ROUND($F974,2)&gt;0,IF($D974="شخصی قاسم","شخصی قاسم",IF($D974="هزینه","هزینه: "&amp;IF($E974="","متفرقه",$E974),IF(OR($B974="",COUNTIF(AcctCodesA,$B974)=0),"متفرقه",$B974))),$A974))</f>
        <v/>
      </c>
      <c r="K974">
        <f>IF($A974="","",IF(AND($B974&lt;&gt;"",COUNTIF(AcctCodesA,$B974)=0),"کد طرف در INFO تعریف نشده",IF(AND($D974="هزینه",$E974=""),"هزینه بدون زیرگروه",IF(AND($C974="پاس چک",OR(Sync!$AJ974="",COUNTIF(IssueNosA,Sync!$AJ974)=0)),"شماره چک پاس‌شده معتبر نیست",""))))</f>
        <v/>
      </c>
      <c r="V974">
        <f>IF($K974="","",IF(ISNUMBER(Sync!$AK974),Sync!$AK974,LEFT(Sync!$AK974,4)&amp;MID(Sync!$AK974,6,2)&amp;RIGHT(Sync!$AK974,2))&amp;"|"&amp;"4"&amp;RIGHT("00000"&amp;969,5))</f>
        <v/>
      </c>
      <c r="W974">
        <f>IF($V974="",0,COUNTIFS($V$6:$V$2005,"&lt;"&amp;$V974)-COUNTIFS($V$6:$V$2005,"&lt;"&amp;$V974,$K$6:$K$2005,"")+1)</f>
        <v/>
      </c>
      <c r="X974">
        <f>IF(Sync!$AX974="","",IF(OR(N(Sync!$AY974)=0,N(Sync!$AZ974)=0),"",ROUND(N(Sync!$AY974)*N(Sync!$AZ974),0)))</f>
        <v/>
      </c>
      <c r="Y974">
        <f>IF($X974="","",IF(OR(Sync!$AX974="",COUNTIF(AcctCodesA,Sync!$AX974)=0),"متفرقه",Sync!$AX974))</f>
        <v/>
      </c>
      <c r="Z974">
        <f>IF($X974="","","سبد و ظروف")</f>
        <v/>
      </c>
      <c r="AA974">
        <f>IF($X974="","",$Y974)</f>
        <v/>
      </c>
    </row>
    <row r="975">
      <c r="A975">
        <f>IF(Sync!$Z975="","",LEFT(UPPER(TRIM(Sync!$Z975)),6))</f>
        <v/>
      </c>
      <c r="B975">
        <f>IF($A975="","",IF(Sync!$AA975="","",Sync!$AA975))</f>
        <v/>
      </c>
      <c r="C975">
        <f>IF($A975="","",IF(Sync!$AB975="","",Sync!$AB975))</f>
        <v/>
      </c>
      <c r="D975">
        <f>IF($A975="","",IF(Sync!$AC975="","",Sync!$AC975))</f>
        <v/>
      </c>
      <c r="E975">
        <f>IF($A975="","",IF(Sync!$AD975="","",Sync!$AD975))</f>
        <v/>
      </c>
      <c r="F975">
        <f>IF($A975="","",IF(Sync!$AE975="",0,Sync!$AE975))</f>
        <v/>
      </c>
      <c r="G975">
        <f>IF($A975="","",IF(Sync!$AF975="",0,Sync!$AF975))</f>
        <v/>
      </c>
      <c r="H975">
        <f>IF(OR($A975="",ROUND($F975+$G975,2)=0),"",$F975+$G975)</f>
        <v/>
      </c>
      <c r="I975">
        <f>IF($H975="","",IF(ROUND($F975,2)&gt;0,$A975,IF($D975="شخصی قاسم","شخصی قاسم",IF($D975="هزینه","هزینه: "&amp;IF($E975="","متفرقه",$E975),IF($C975="پاس چک","چک پرداختی",IF(OR($B975="",COUNTIF(AcctCodesA,$B975)=0),"متفرقه",$B975))))))</f>
        <v/>
      </c>
      <c r="J975">
        <f>IF($H975="","",IF(ROUND($F975,2)&gt;0,IF($D975="شخصی قاسم","شخصی قاسم",IF($D975="هزینه","هزینه: "&amp;IF($E975="","متفرقه",$E975),IF(OR($B975="",COUNTIF(AcctCodesA,$B975)=0),"متفرقه",$B975))),$A975))</f>
        <v/>
      </c>
      <c r="K975">
        <f>IF($A975="","",IF(AND($B975&lt;&gt;"",COUNTIF(AcctCodesA,$B975)=0),"کد طرف در INFO تعریف نشده",IF(AND($D975="هزینه",$E975=""),"هزینه بدون زیرگروه",IF(AND($C975="پاس چک",OR(Sync!$AJ975="",COUNTIF(IssueNosA,Sync!$AJ975)=0)),"شماره چک پاس‌شده معتبر نیست",""))))</f>
        <v/>
      </c>
      <c r="V975">
        <f>IF($K975="","",IF(ISNUMBER(Sync!$AK975),Sync!$AK975,LEFT(Sync!$AK975,4)&amp;MID(Sync!$AK975,6,2)&amp;RIGHT(Sync!$AK975,2))&amp;"|"&amp;"4"&amp;RIGHT("00000"&amp;970,5))</f>
        <v/>
      </c>
      <c r="W975">
        <f>IF($V975="",0,COUNTIFS($V$6:$V$2005,"&lt;"&amp;$V975)-COUNTIFS($V$6:$V$2005,"&lt;"&amp;$V975,$K$6:$K$2005,"")+1)</f>
        <v/>
      </c>
      <c r="X975">
        <f>IF(Sync!$AX975="","",IF(OR(N(Sync!$AY975)=0,N(Sync!$AZ975)=0),"",ROUND(N(Sync!$AY975)*N(Sync!$AZ975),0)))</f>
        <v/>
      </c>
      <c r="Y975">
        <f>IF($X975="","",IF(OR(Sync!$AX975="",COUNTIF(AcctCodesA,Sync!$AX975)=0),"متفرقه",Sync!$AX975))</f>
        <v/>
      </c>
      <c r="Z975">
        <f>IF($X975="","","سبد و ظروف")</f>
        <v/>
      </c>
      <c r="AA975">
        <f>IF($X975="","",$Y975)</f>
        <v/>
      </c>
    </row>
    <row r="976">
      <c r="A976">
        <f>IF(Sync!$Z976="","",LEFT(UPPER(TRIM(Sync!$Z976)),6))</f>
        <v/>
      </c>
      <c r="B976">
        <f>IF($A976="","",IF(Sync!$AA976="","",Sync!$AA976))</f>
        <v/>
      </c>
      <c r="C976">
        <f>IF($A976="","",IF(Sync!$AB976="","",Sync!$AB976))</f>
        <v/>
      </c>
      <c r="D976">
        <f>IF($A976="","",IF(Sync!$AC976="","",Sync!$AC976))</f>
        <v/>
      </c>
      <c r="E976">
        <f>IF($A976="","",IF(Sync!$AD976="","",Sync!$AD976))</f>
        <v/>
      </c>
      <c r="F976">
        <f>IF($A976="","",IF(Sync!$AE976="",0,Sync!$AE976))</f>
        <v/>
      </c>
      <c r="G976">
        <f>IF($A976="","",IF(Sync!$AF976="",0,Sync!$AF976))</f>
        <v/>
      </c>
      <c r="H976">
        <f>IF(OR($A976="",ROUND($F976+$G976,2)=0),"",$F976+$G976)</f>
        <v/>
      </c>
      <c r="I976">
        <f>IF($H976="","",IF(ROUND($F976,2)&gt;0,$A976,IF($D976="شخصی قاسم","شخصی قاسم",IF($D976="هزینه","هزینه: "&amp;IF($E976="","متفرقه",$E976),IF($C976="پاس چک","چک پرداختی",IF(OR($B976="",COUNTIF(AcctCodesA,$B976)=0),"متفرقه",$B976))))))</f>
        <v/>
      </c>
      <c r="J976">
        <f>IF($H976="","",IF(ROUND($F976,2)&gt;0,IF($D976="شخصی قاسم","شخصی قاسم",IF($D976="هزینه","هزینه: "&amp;IF($E976="","متفرقه",$E976),IF(OR($B976="",COUNTIF(AcctCodesA,$B976)=0),"متفرقه",$B976))),$A976))</f>
        <v/>
      </c>
      <c r="K976">
        <f>IF($A976="","",IF(AND($B976&lt;&gt;"",COUNTIF(AcctCodesA,$B976)=0),"کد طرف در INFO تعریف نشده",IF(AND($D976="هزینه",$E976=""),"هزینه بدون زیرگروه",IF(AND($C976="پاس چک",OR(Sync!$AJ976="",COUNTIF(IssueNosA,Sync!$AJ976)=0)),"شماره چک پاس‌شده معتبر نیست",""))))</f>
        <v/>
      </c>
      <c r="V976">
        <f>IF($K976="","",IF(ISNUMBER(Sync!$AK976),Sync!$AK976,LEFT(Sync!$AK976,4)&amp;MID(Sync!$AK976,6,2)&amp;RIGHT(Sync!$AK976,2))&amp;"|"&amp;"4"&amp;RIGHT("00000"&amp;971,5))</f>
        <v/>
      </c>
      <c r="W976">
        <f>IF($V976="",0,COUNTIFS($V$6:$V$2005,"&lt;"&amp;$V976)-COUNTIFS($V$6:$V$2005,"&lt;"&amp;$V976,$K$6:$K$2005,"")+1)</f>
        <v/>
      </c>
      <c r="X976">
        <f>IF(Sync!$AX976="","",IF(OR(N(Sync!$AY976)=0,N(Sync!$AZ976)=0),"",ROUND(N(Sync!$AY976)*N(Sync!$AZ976),0)))</f>
        <v/>
      </c>
      <c r="Y976">
        <f>IF($X976="","",IF(OR(Sync!$AX976="",COUNTIF(AcctCodesA,Sync!$AX976)=0),"متفرقه",Sync!$AX976))</f>
        <v/>
      </c>
      <c r="Z976">
        <f>IF($X976="","","سبد و ظروف")</f>
        <v/>
      </c>
      <c r="AA976">
        <f>IF($X976="","",$Y976)</f>
        <v/>
      </c>
    </row>
    <row r="977">
      <c r="A977">
        <f>IF(Sync!$Z977="","",LEFT(UPPER(TRIM(Sync!$Z977)),6))</f>
        <v/>
      </c>
      <c r="B977">
        <f>IF($A977="","",IF(Sync!$AA977="","",Sync!$AA977))</f>
        <v/>
      </c>
      <c r="C977">
        <f>IF($A977="","",IF(Sync!$AB977="","",Sync!$AB977))</f>
        <v/>
      </c>
      <c r="D977">
        <f>IF($A977="","",IF(Sync!$AC977="","",Sync!$AC977))</f>
        <v/>
      </c>
      <c r="E977">
        <f>IF($A977="","",IF(Sync!$AD977="","",Sync!$AD977))</f>
        <v/>
      </c>
      <c r="F977">
        <f>IF($A977="","",IF(Sync!$AE977="",0,Sync!$AE977))</f>
        <v/>
      </c>
      <c r="G977">
        <f>IF($A977="","",IF(Sync!$AF977="",0,Sync!$AF977))</f>
        <v/>
      </c>
      <c r="H977">
        <f>IF(OR($A977="",ROUND($F977+$G977,2)=0),"",$F977+$G977)</f>
        <v/>
      </c>
      <c r="I977">
        <f>IF($H977="","",IF(ROUND($F977,2)&gt;0,$A977,IF($D977="شخصی قاسم","شخصی قاسم",IF($D977="هزینه","هزینه: "&amp;IF($E977="","متفرقه",$E977),IF($C977="پاس چک","چک پرداختی",IF(OR($B977="",COUNTIF(AcctCodesA,$B977)=0),"متفرقه",$B977))))))</f>
        <v/>
      </c>
      <c r="J977">
        <f>IF($H977="","",IF(ROUND($F977,2)&gt;0,IF($D977="شخصی قاسم","شخصی قاسم",IF($D977="هزینه","هزینه: "&amp;IF($E977="","متفرقه",$E977),IF(OR($B977="",COUNTIF(AcctCodesA,$B977)=0),"متفرقه",$B977))),$A977))</f>
        <v/>
      </c>
      <c r="K977">
        <f>IF($A977="","",IF(AND($B977&lt;&gt;"",COUNTIF(AcctCodesA,$B977)=0),"کد طرف در INFO تعریف نشده",IF(AND($D977="هزینه",$E977=""),"هزینه بدون زیرگروه",IF(AND($C977="پاس چک",OR(Sync!$AJ977="",COUNTIF(IssueNosA,Sync!$AJ977)=0)),"شماره چک پاس‌شده معتبر نیست",""))))</f>
        <v/>
      </c>
      <c r="V977">
        <f>IF($K977="","",IF(ISNUMBER(Sync!$AK977),Sync!$AK977,LEFT(Sync!$AK977,4)&amp;MID(Sync!$AK977,6,2)&amp;RIGHT(Sync!$AK977,2))&amp;"|"&amp;"4"&amp;RIGHT("00000"&amp;972,5))</f>
        <v/>
      </c>
      <c r="W977">
        <f>IF($V977="",0,COUNTIFS($V$6:$V$2005,"&lt;"&amp;$V977)-COUNTIFS($V$6:$V$2005,"&lt;"&amp;$V977,$K$6:$K$2005,"")+1)</f>
        <v/>
      </c>
      <c r="X977">
        <f>IF(Sync!$AX977="","",IF(OR(N(Sync!$AY977)=0,N(Sync!$AZ977)=0),"",ROUND(N(Sync!$AY977)*N(Sync!$AZ977),0)))</f>
        <v/>
      </c>
      <c r="Y977">
        <f>IF($X977="","",IF(OR(Sync!$AX977="",COUNTIF(AcctCodesA,Sync!$AX977)=0),"متفرقه",Sync!$AX977))</f>
        <v/>
      </c>
      <c r="Z977">
        <f>IF($X977="","","سبد و ظروف")</f>
        <v/>
      </c>
      <c r="AA977">
        <f>IF($X977="","",$Y977)</f>
        <v/>
      </c>
    </row>
    <row r="978">
      <c r="A978">
        <f>IF(Sync!$Z978="","",LEFT(UPPER(TRIM(Sync!$Z978)),6))</f>
        <v/>
      </c>
      <c r="B978">
        <f>IF($A978="","",IF(Sync!$AA978="","",Sync!$AA978))</f>
        <v/>
      </c>
      <c r="C978">
        <f>IF($A978="","",IF(Sync!$AB978="","",Sync!$AB978))</f>
        <v/>
      </c>
      <c r="D978">
        <f>IF($A978="","",IF(Sync!$AC978="","",Sync!$AC978))</f>
        <v/>
      </c>
      <c r="E978">
        <f>IF($A978="","",IF(Sync!$AD978="","",Sync!$AD978))</f>
        <v/>
      </c>
      <c r="F978">
        <f>IF($A978="","",IF(Sync!$AE978="",0,Sync!$AE978))</f>
        <v/>
      </c>
      <c r="G978">
        <f>IF($A978="","",IF(Sync!$AF978="",0,Sync!$AF978))</f>
        <v/>
      </c>
      <c r="H978">
        <f>IF(OR($A978="",ROUND($F978+$G978,2)=0),"",$F978+$G978)</f>
        <v/>
      </c>
      <c r="I978">
        <f>IF($H978="","",IF(ROUND($F978,2)&gt;0,$A978,IF($D978="شخصی قاسم","شخصی قاسم",IF($D978="هزینه","هزینه: "&amp;IF($E978="","متفرقه",$E978),IF($C978="پاس چک","چک پرداختی",IF(OR($B978="",COUNTIF(AcctCodesA,$B978)=0),"متفرقه",$B978))))))</f>
        <v/>
      </c>
      <c r="J978">
        <f>IF($H978="","",IF(ROUND($F978,2)&gt;0,IF($D978="شخصی قاسم","شخصی قاسم",IF($D978="هزینه","هزینه: "&amp;IF($E978="","متفرقه",$E978),IF(OR($B978="",COUNTIF(AcctCodesA,$B978)=0),"متفرقه",$B978))),$A978))</f>
        <v/>
      </c>
      <c r="K978">
        <f>IF($A978="","",IF(AND($B978&lt;&gt;"",COUNTIF(AcctCodesA,$B978)=0),"کد طرف در INFO تعریف نشده",IF(AND($D978="هزینه",$E978=""),"هزینه بدون زیرگروه",IF(AND($C978="پاس چک",OR(Sync!$AJ978="",COUNTIF(IssueNosA,Sync!$AJ978)=0)),"شماره چک پاس‌شده معتبر نیست",""))))</f>
        <v/>
      </c>
      <c r="V978">
        <f>IF($K978="","",IF(ISNUMBER(Sync!$AK978),Sync!$AK978,LEFT(Sync!$AK978,4)&amp;MID(Sync!$AK978,6,2)&amp;RIGHT(Sync!$AK978,2))&amp;"|"&amp;"4"&amp;RIGHT("00000"&amp;973,5))</f>
        <v/>
      </c>
      <c r="W978">
        <f>IF($V978="",0,COUNTIFS($V$6:$V$2005,"&lt;"&amp;$V978)-COUNTIFS($V$6:$V$2005,"&lt;"&amp;$V978,$K$6:$K$2005,"")+1)</f>
        <v/>
      </c>
      <c r="X978">
        <f>IF(Sync!$AX978="","",IF(OR(N(Sync!$AY978)=0,N(Sync!$AZ978)=0),"",ROUND(N(Sync!$AY978)*N(Sync!$AZ978),0)))</f>
        <v/>
      </c>
      <c r="Y978">
        <f>IF($X978="","",IF(OR(Sync!$AX978="",COUNTIF(AcctCodesA,Sync!$AX978)=0),"متفرقه",Sync!$AX978))</f>
        <v/>
      </c>
      <c r="Z978">
        <f>IF($X978="","","سبد و ظروف")</f>
        <v/>
      </c>
      <c r="AA978">
        <f>IF($X978="","",$Y978)</f>
        <v/>
      </c>
    </row>
    <row r="979">
      <c r="A979">
        <f>IF(Sync!$Z979="","",LEFT(UPPER(TRIM(Sync!$Z979)),6))</f>
        <v/>
      </c>
      <c r="B979">
        <f>IF($A979="","",IF(Sync!$AA979="","",Sync!$AA979))</f>
        <v/>
      </c>
      <c r="C979">
        <f>IF($A979="","",IF(Sync!$AB979="","",Sync!$AB979))</f>
        <v/>
      </c>
      <c r="D979">
        <f>IF($A979="","",IF(Sync!$AC979="","",Sync!$AC979))</f>
        <v/>
      </c>
      <c r="E979">
        <f>IF($A979="","",IF(Sync!$AD979="","",Sync!$AD979))</f>
        <v/>
      </c>
      <c r="F979">
        <f>IF($A979="","",IF(Sync!$AE979="",0,Sync!$AE979))</f>
        <v/>
      </c>
      <c r="G979">
        <f>IF($A979="","",IF(Sync!$AF979="",0,Sync!$AF979))</f>
        <v/>
      </c>
      <c r="H979">
        <f>IF(OR($A979="",ROUND($F979+$G979,2)=0),"",$F979+$G979)</f>
        <v/>
      </c>
      <c r="I979">
        <f>IF($H979="","",IF(ROUND($F979,2)&gt;0,$A979,IF($D979="شخصی قاسم","شخصی قاسم",IF($D979="هزینه","هزینه: "&amp;IF($E979="","متفرقه",$E979),IF($C979="پاس چک","چک پرداختی",IF(OR($B979="",COUNTIF(AcctCodesA,$B979)=0),"متفرقه",$B979))))))</f>
        <v/>
      </c>
      <c r="J979">
        <f>IF($H979="","",IF(ROUND($F979,2)&gt;0,IF($D979="شخصی قاسم","شخصی قاسم",IF($D979="هزینه","هزینه: "&amp;IF($E979="","متفرقه",$E979),IF(OR($B979="",COUNTIF(AcctCodesA,$B979)=0),"متفرقه",$B979))),$A979))</f>
        <v/>
      </c>
      <c r="K979">
        <f>IF($A979="","",IF(AND($B979&lt;&gt;"",COUNTIF(AcctCodesA,$B979)=0),"کد طرف در INFO تعریف نشده",IF(AND($D979="هزینه",$E979=""),"هزینه بدون زیرگروه",IF(AND($C979="پاس چک",OR(Sync!$AJ979="",COUNTIF(IssueNosA,Sync!$AJ979)=0)),"شماره چک پاس‌شده معتبر نیست",""))))</f>
        <v/>
      </c>
      <c r="V979">
        <f>IF($K979="","",IF(ISNUMBER(Sync!$AK979),Sync!$AK979,LEFT(Sync!$AK979,4)&amp;MID(Sync!$AK979,6,2)&amp;RIGHT(Sync!$AK979,2))&amp;"|"&amp;"4"&amp;RIGHT("00000"&amp;974,5))</f>
        <v/>
      </c>
      <c r="W979">
        <f>IF($V979="",0,COUNTIFS($V$6:$V$2005,"&lt;"&amp;$V979)-COUNTIFS($V$6:$V$2005,"&lt;"&amp;$V979,$K$6:$K$2005,"")+1)</f>
        <v/>
      </c>
      <c r="X979">
        <f>IF(Sync!$AX979="","",IF(OR(N(Sync!$AY979)=0,N(Sync!$AZ979)=0),"",ROUND(N(Sync!$AY979)*N(Sync!$AZ979),0)))</f>
        <v/>
      </c>
      <c r="Y979">
        <f>IF($X979="","",IF(OR(Sync!$AX979="",COUNTIF(AcctCodesA,Sync!$AX979)=0),"متفرقه",Sync!$AX979))</f>
        <v/>
      </c>
      <c r="Z979">
        <f>IF($X979="","","سبد و ظروف")</f>
        <v/>
      </c>
      <c r="AA979">
        <f>IF($X979="","",$Y979)</f>
        <v/>
      </c>
    </row>
    <row r="980">
      <c r="A980">
        <f>IF(Sync!$Z980="","",LEFT(UPPER(TRIM(Sync!$Z980)),6))</f>
        <v/>
      </c>
      <c r="B980">
        <f>IF($A980="","",IF(Sync!$AA980="","",Sync!$AA980))</f>
        <v/>
      </c>
      <c r="C980">
        <f>IF($A980="","",IF(Sync!$AB980="","",Sync!$AB980))</f>
        <v/>
      </c>
      <c r="D980">
        <f>IF($A980="","",IF(Sync!$AC980="","",Sync!$AC980))</f>
        <v/>
      </c>
      <c r="E980">
        <f>IF($A980="","",IF(Sync!$AD980="","",Sync!$AD980))</f>
        <v/>
      </c>
      <c r="F980">
        <f>IF($A980="","",IF(Sync!$AE980="",0,Sync!$AE980))</f>
        <v/>
      </c>
      <c r="G980">
        <f>IF($A980="","",IF(Sync!$AF980="",0,Sync!$AF980))</f>
        <v/>
      </c>
      <c r="H980">
        <f>IF(OR($A980="",ROUND($F980+$G980,2)=0),"",$F980+$G980)</f>
        <v/>
      </c>
      <c r="I980">
        <f>IF($H980="","",IF(ROUND($F980,2)&gt;0,$A980,IF($D980="شخصی قاسم","شخصی قاسم",IF($D980="هزینه","هزینه: "&amp;IF($E980="","متفرقه",$E980),IF($C980="پاس چک","چک پرداختی",IF(OR($B980="",COUNTIF(AcctCodesA,$B980)=0),"متفرقه",$B980))))))</f>
        <v/>
      </c>
      <c r="J980">
        <f>IF($H980="","",IF(ROUND($F980,2)&gt;0,IF($D980="شخصی قاسم","شخصی قاسم",IF($D980="هزینه","هزینه: "&amp;IF($E980="","متفرقه",$E980),IF(OR($B980="",COUNTIF(AcctCodesA,$B980)=0),"متفرقه",$B980))),$A980))</f>
        <v/>
      </c>
      <c r="K980">
        <f>IF($A980="","",IF(AND($B980&lt;&gt;"",COUNTIF(AcctCodesA,$B980)=0),"کد طرف در INFO تعریف نشده",IF(AND($D980="هزینه",$E980=""),"هزینه بدون زیرگروه",IF(AND($C980="پاس چک",OR(Sync!$AJ980="",COUNTIF(IssueNosA,Sync!$AJ980)=0)),"شماره چک پاس‌شده معتبر نیست",""))))</f>
        <v/>
      </c>
      <c r="V980">
        <f>IF($K980="","",IF(ISNUMBER(Sync!$AK980),Sync!$AK980,LEFT(Sync!$AK980,4)&amp;MID(Sync!$AK980,6,2)&amp;RIGHT(Sync!$AK980,2))&amp;"|"&amp;"4"&amp;RIGHT("00000"&amp;975,5))</f>
        <v/>
      </c>
      <c r="W980">
        <f>IF($V980="",0,COUNTIFS($V$6:$V$2005,"&lt;"&amp;$V980)-COUNTIFS($V$6:$V$2005,"&lt;"&amp;$V980,$K$6:$K$2005,"")+1)</f>
        <v/>
      </c>
      <c r="X980">
        <f>IF(Sync!$AX980="","",IF(OR(N(Sync!$AY980)=0,N(Sync!$AZ980)=0),"",ROUND(N(Sync!$AY980)*N(Sync!$AZ980),0)))</f>
        <v/>
      </c>
      <c r="Y980">
        <f>IF($X980="","",IF(OR(Sync!$AX980="",COUNTIF(AcctCodesA,Sync!$AX980)=0),"متفرقه",Sync!$AX980))</f>
        <v/>
      </c>
      <c r="Z980">
        <f>IF($X980="","","سبد و ظروف")</f>
        <v/>
      </c>
      <c r="AA980">
        <f>IF($X980="","",$Y980)</f>
        <v/>
      </c>
    </row>
    <row r="981">
      <c r="A981">
        <f>IF(Sync!$Z981="","",LEFT(UPPER(TRIM(Sync!$Z981)),6))</f>
        <v/>
      </c>
      <c r="B981">
        <f>IF($A981="","",IF(Sync!$AA981="","",Sync!$AA981))</f>
        <v/>
      </c>
      <c r="C981">
        <f>IF($A981="","",IF(Sync!$AB981="","",Sync!$AB981))</f>
        <v/>
      </c>
      <c r="D981">
        <f>IF($A981="","",IF(Sync!$AC981="","",Sync!$AC981))</f>
        <v/>
      </c>
      <c r="E981">
        <f>IF($A981="","",IF(Sync!$AD981="","",Sync!$AD981))</f>
        <v/>
      </c>
      <c r="F981">
        <f>IF($A981="","",IF(Sync!$AE981="",0,Sync!$AE981))</f>
        <v/>
      </c>
      <c r="G981">
        <f>IF($A981="","",IF(Sync!$AF981="",0,Sync!$AF981))</f>
        <v/>
      </c>
      <c r="H981">
        <f>IF(OR($A981="",ROUND($F981+$G981,2)=0),"",$F981+$G981)</f>
        <v/>
      </c>
      <c r="I981">
        <f>IF($H981="","",IF(ROUND($F981,2)&gt;0,$A981,IF($D981="شخصی قاسم","شخصی قاسم",IF($D981="هزینه","هزینه: "&amp;IF($E981="","متفرقه",$E981),IF($C981="پاس چک","چک پرداختی",IF(OR($B981="",COUNTIF(AcctCodesA,$B981)=0),"متفرقه",$B981))))))</f>
        <v/>
      </c>
      <c r="J981">
        <f>IF($H981="","",IF(ROUND($F981,2)&gt;0,IF($D981="شخصی قاسم","شخصی قاسم",IF($D981="هزینه","هزینه: "&amp;IF($E981="","متفرقه",$E981),IF(OR($B981="",COUNTIF(AcctCodesA,$B981)=0),"متفرقه",$B981))),$A981))</f>
        <v/>
      </c>
      <c r="K981">
        <f>IF($A981="","",IF(AND($B981&lt;&gt;"",COUNTIF(AcctCodesA,$B981)=0),"کد طرف در INFO تعریف نشده",IF(AND($D981="هزینه",$E981=""),"هزینه بدون زیرگروه",IF(AND($C981="پاس چک",OR(Sync!$AJ981="",COUNTIF(IssueNosA,Sync!$AJ981)=0)),"شماره چک پاس‌شده معتبر نیست",""))))</f>
        <v/>
      </c>
      <c r="V981">
        <f>IF($K981="","",IF(ISNUMBER(Sync!$AK981),Sync!$AK981,LEFT(Sync!$AK981,4)&amp;MID(Sync!$AK981,6,2)&amp;RIGHT(Sync!$AK981,2))&amp;"|"&amp;"4"&amp;RIGHT("00000"&amp;976,5))</f>
        <v/>
      </c>
      <c r="W981">
        <f>IF($V981="",0,COUNTIFS($V$6:$V$2005,"&lt;"&amp;$V981)-COUNTIFS($V$6:$V$2005,"&lt;"&amp;$V981,$K$6:$K$2005,"")+1)</f>
        <v/>
      </c>
      <c r="X981">
        <f>IF(Sync!$AX981="","",IF(OR(N(Sync!$AY981)=0,N(Sync!$AZ981)=0),"",ROUND(N(Sync!$AY981)*N(Sync!$AZ981),0)))</f>
        <v/>
      </c>
      <c r="Y981">
        <f>IF($X981="","",IF(OR(Sync!$AX981="",COUNTIF(AcctCodesA,Sync!$AX981)=0),"متفرقه",Sync!$AX981))</f>
        <v/>
      </c>
      <c r="Z981">
        <f>IF($X981="","","سبد و ظروف")</f>
        <v/>
      </c>
      <c r="AA981">
        <f>IF($X981="","",$Y981)</f>
        <v/>
      </c>
    </row>
    <row r="982">
      <c r="A982">
        <f>IF(Sync!$Z982="","",LEFT(UPPER(TRIM(Sync!$Z982)),6))</f>
        <v/>
      </c>
      <c r="B982">
        <f>IF($A982="","",IF(Sync!$AA982="","",Sync!$AA982))</f>
        <v/>
      </c>
      <c r="C982">
        <f>IF($A982="","",IF(Sync!$AB982="","",Sync!$AB982))</f>
        <v/>
      </c>
      <c r="D982">
        <f>IF($A982="","",IF(Sync!$AC982="","",Sync!$AC982))</f>
        <v/>
      </c>
      <c r="E982">
        <f>IF($A982="","",IF(Sync!$AD982="","",Sync!$AD982))</f>
        <v/>
      </c>
      <c r="F982">
        <f>IF($A982="","",IF(Sync!$AE982="",0,Sync!$AE982))</f>
        <v/>
      </c>
      <c r="G982">
        <f>IF($A982="","",IF(Sync!$AF982="",0,Sync!$AF982))</f>
        <v/>
      </c>
      <c r="H982">
        <f>IF(OR($A982="",ROUND($F982+$G982,2)=0),"",$F982+$G982)</f>
        <v/>
      </c>
      <c r="I982">
        <f>IF($H982="","",IF(ROUND($F982,2)&gt;0,$A982,IF($D982="شخصی قاسم","شخصی قاسم",IF($D982="هزینه","هزینه: "&amp;IF($E982="","متفرقه",$E982),IF($C982="پاس چک","چک پرداختی",IF(OR($B982="",COUNTIF(AcctCodesA,$B982)=0),"متفرقه",$B982))))))</f>
        <v/>
      </c>
      <c r="J982">
        <f>IF($H982="","",IF(ROUND($F982,2)&gt;0,IF($D982="شخصی قاسم","شخصی قاسم",IF($D982="هزینه","هزینه: "&amp;IF($E982="","متفرقه",$E982),IF(OR($B982="",COUNTIF(AcctCodesA,$B982)=0),"متفرقه",$B982))),$A982))</f>
        <v/>
      </c>
      <c r="K982">
        <f>IF($A982="","",IF(AND($B982&lt;&gt;"",COUNTIF(AcctCodesA,$B982)=0),"کد طرف در INFO تعریف نشده",IF(AND($D982="هزینه",$E982=""),"هزینه بدون زیرگروه",IF(AND($C982="پاس چک",OR(Sync!$AJ982="",COUNTIF(IssueNosA,Sync!$AJ982)=0)),"شماره چک پاس‌شده معتبر نیست",""))))</f>
        <v/>
      </c>
      <c r="V982">
        <f>IF($K982="","",IF(ISNUMBER(Sync!$AK982),Sync!$AK982,LEFT(Sync!$AK982,4)&amp;MID(Sync!$AK982,6,2)&amp;RIGHT(Sync!$AK982,2))&amp;"|"&amp;"4"&amp;RIGHT("00000"&amp;977,5))</f>
        <v/>
      </c>
      <c r="W982">
        <f>IF($V982="",0,COUNTIFS($V$6:$V$2005,"&lt;"&amp;$V982)-COUNTIFS($V$6:$V$2005,"&lt;"&amp;$V982,$K$6:$K$2005,"")+1)</f>
        <v/>
      </c>
      <c r="X982">
        <f>IF(Sync!$AX982="","",IF(OR(N(Sync!$AY982)=0,N(Sync!$AZ982)=0),"",ROUND(N(Sync!$AY982)*N(Sync!$AZ982),0)))</f>
        <v/>
      </c>
      <c r="Y982">
        <f>IF($X982="","",IF(OR(Sync!$AX982="",COUNTIF(AcctCodesA,Sync!$AX982)=0),"متفرقه",Sync!$AX982))</f>
        <v/>
      </c>
      <c r="Z982">
        <f>IF($X982="","","سبد و ظروف")</f>
        <v/>
      </c>
      <c r="AA982">
        <f>IF($X982="","",$Y982)</f>
        <v/>
      </c>
    </row>
    <row r="983">
      <c r="A983">
        <f>IF(Sync!$Z983="","",LEFT(UPPER(TRIM(Sync!$Z983)),6))</f>
        <v/>
      </c>
      <c r="B983">
        <f>IF($A983="","",IF(Sync!$AA983="","",Sync!$AA983))</f>
        <v/>
      </c>
      <c r="C983">
        <f>IF($A983="","",IF(Sync!$AB983="","",Sync!$AB983))</f>
        <v/>
      </c>
      <c r="D983">
        <f>IF($A983="","",IF(Sync!$AC983="","",Sync!$AC983))</f>
        <v/>
      </c>
      <c r="E983">
        <f>IF($A983="","",IF(Sync!$AD983="","",Sync!$AD983))</f>
        <v/>
      </c>
      <c r="F983">
        <f>IF($A983="","",IF(Sync!$AE983="",0,Sync!$AE983))</f>
        <v/>
      </c>
      <c r="G983">
        <f>IF($A983="","",IF(Sync!$AF983="",0,Sync!$AF983))</f>
        <v/>
      </c>
      <c r="H983">
        <f>IF(OR($A983="",ROUND($F983+$G983,2)=0),"",$F983+$G983)</f>
        <v/>
      </c>
      <c r="I983">
        <f>IF($H983="","",IF(ROUND($F983,2)&gt;0,$A983,IF($D983="شخصی قاسم","شخصی قاسم",IF($D983="هزینه","هزینه: "&amp;IF($E983="","متفرقه",$E983),IF($C983="پاس چک","چک پرداختی",IF(OR($B983="",COUNTIF(AcctCodesA,$B983)=0),"متفرقه",$B983))))))</f>
        <v/>
      </c>
      <c r="J983">
        <f>IF($H983="","",IF(ROUND($F983,2)&gt;0,IF($D983="شخصی قاسم","شخصی قاسم",IF($D983="هزینه","هزینه: "&amp;IF($E983="","متفرقه",$E983),IF(OR($B983="",COUNTIF(AcctCodesA,$B983)=0),"متفرقه",$B983))),$A983))</f>
        <v/>
      </c>
      <c r="K983">
        <f>IF($A983="","",IF(AND($B983&lt;&gt;"",COUNTIF(AcctCodesA,$B983)=0),"کد طرف در INFO تعریف نشده",IF(AND($D983="هزینه",$E983=""),"هزینه بدون زیرگروه",IF(AND($C983="پاس چک",OR(Sync!$AJ983="",COUNTIF(IssueNosA,Sync!$AJ983)=0)),"شماره چک پاس‌شده معتبر نیست",""))))</f>
        <v/>
      </c>
      <c r="V983">
        <f>IF($K983="","",IF(ISNUMBER(Sync!$AK983),Sync!$AK983,LEFT(Sync!$AK983,4)&amp;MID(Sync!$AK983,6,2)&amp;RIGHT(Sync!$AK983,2))&amp;"|"&amp;"4"&amp;RIGHT("00000"&amp;978,5))</f>
        <v/>
      </c>
      <c r="W983">
        <f>IF($V983="",0,COUNTIFS($V$6:$V$2005,"&lt;"&amp;$V983)-COUNTIFS($V$6:$V$2005,"&lt;"&amp;$V983,$K$6:$K$2005,"")+1)</f>
        <v/>
      </c>
      <c r="X983">
        <f>IF(Sync!$AX983="","",IF(OR(N(Sync!$AY983)=0,N(Sync!$AZ983)=0),"",ROUND(N(Sync!$AY983)*N(Sync!$AZ983),0)))</f>
        <v/>
      </c>
      <c r="Y983">
        <f>IF($X983="","",IF(OR(Sync!$AX983="",COUNTIF(AcctCodesA,Sync!$AX983)=0),"متفرقه",Sync!$AX983))</f>
        <v/>
      </c>
      <c r="Z983">
        <f>IF($X983="","","سبد و ظروف")</f>
        <v/>
      </c>
      <c r="AA983">
        <f>IF($X983="","",$Y983)</f>
        <v/>
      </c>
    </row>
    <row r="984">
      <c r="A984">
        <f>IF(Sync!$Z984="","",LEFT(UPPER(TRIM(Sync!$Z984)),6))</f>
        <v/>
      </c>
      <c r="B984">
        <f>IF($A984="","",IF(Sync!$AA984="","",Sync!$AA984))</f>
        <v/>
      </c>
      <c r="C984">
        <f>IF($A984="","",IF(Sync!$AB984="","",Sync!$AB984))</f>
        <v/>
      </c>
      <c r="D984">
        <f>IF($A984="","",IF(Sync!$AC984="","",Sync!$AC984))</f>
        <v/>
      </c>
      <c r="E984">
        <f>IF($A984="","",IF(Sync!$AD984="","",Sync!$AD984))</f>
        <v/>
      </c>
      <c r="F984">
        <f>IF($A984="","",IF(Sync!$AE984="",0,Sync!$AE984))</f>
        <v/>
      </c>
      <c r="G984">
        <f>IF($A984="","",IF(Sync!$AF984="",0,Sync!$AF984))</f>
        <v/>
      </c>
      <c r="H984">
        <f>IF(OR($A984="",ROUND($F984+$G984,2)=0),"",$F984+$G984)</f>
        <v/>
      </c>
      <c r="I984">
        <f>IF($H984="","",IF(ROUND($F984,2)&gt;0,$A984,IF($D984="شخصی قاسم","شخصی قاسم",IF($D984="هزینه","هزینه: "&amp;IF($E984="","متفرقه",$E984),IF($C984="پاس چک","چک پرداختی",IF(OR($B984="",COUNTIF(AcctCodesA,$B984)=0),"متفرقه",$B984))))))</f>
        <v/>
      </c>
      <c r="J984">
        <f>IF($H984="","",IF(ROUND($F984,2)&gt;0,IF($D984="شخصی قاسم","شخصی قاسم",IF($D984="هزینه","هزینه: "&amp;IF($E984="","متفرقه",$E984),IF(OR($B984="",COUNTIF(AcctCodesA,$B984)=0),"متفرقه",$B984))),$A984))</f>
        <v/>
      </c>
      <c r="K984">
        <f>IF($A984="","",IF(AND($B984&lt;&gt;"",COUNTIF(AcctCodesA,$B984)=0),"کد طرف در INFO تعریف نشده",IF(AND($D984="هزینه",$E984=""),"هزینه بدون زیرگروه",IF(AND($C984="پاس چک",OR(Sync!$AJ984="",COUNTIF(IssueNosA,Sync!$AJ984)=0)),"شماره چک پاس‌شده معتبر نیست",""))))</f>
        <v/>
      </c>
      <c r="V984">
        <f>IF($K984="","",IF(ISNUMBER(Sync!$AK984),Sync!$AK984,LEFT(Sync!$AK984,4)&amp;MID(Sync!$AK984,6,2)&amp;RIGHT(Sync!$AK984,2))&amp;"|"&amp;"4"&amp;RIGHT("00000"&amp;979,5))</f>
        <v/>
      </c>
      <c r="W984">
        <f>IF($V984="",0,COUNTIFS($V$6:$V$2005,"&lt;"&amp;$V984)-COUNTIFS($V$6:$V$2005,"&lt;"&amp;$V984,$K$6:$K$2005,"")+1)</f>
        <v/>
      </c>
      <c r="X984">
        <f>IF(Sync!$AX984="","",IF(OR(N(Sync!$AY984)=0,N(Sync!$AZ984)=0),"",ROUND(N(Sync!$AY984)*N(Sync!$AZ984),0)))</f>
        <v/>
      </c>
      <c r="Y984">
        <f>IF($X984="","",IF(OR(Sync!$AX984="",COUNTIF(AcctCodesA,Sync!$AX984)=0),"متفرقه",Sync!$AX984))</f>
        <v/>
      </c>
      <c r="Z984">
        <f>IF($X984="","","سبد و ظروف")</f>
        <v/>
      </c>
      <c r="AA984">
        <f>IF($X984="","",$Y984)</f>
        <v/>
      </c>
    </row>
    <row r="985">
      <c r="A985">
        <f>IF(Sync!$Z985="","",LEFT(UPPER(TRIM(Sync!$Z985)),6))</f>
        <v/>
      </c>
      <c r="B985">
        <f>IF($A985="","",IF(Sync!$AA985="","",Sync!$AA985))</f>
        <v/>
      </c>
      <c r="C985">
        <f>IF($A985="","",IF(Sync!$AB985="","",Sync!$AB985))</f>
        <v/>
      </c>
      <c r="D985">
        <f>IF($A985="","",IF(Sync!$AC985="","",Sync!$AC985))</f>
        <v/>
      </c>
      <c r="E985">
        <f>IF($A985="","",IF(Sync!$AD985="","",Sync!$AD985))</f>
        <v/>
      </c>
      <c r="F985">
        <f>IF($A985="","",IF(Sync!$AE985="",0,Sync!$AE985))</f>
        <v/>
      </c>
      <c r="G985">
        <f>IF($A985="","",IF(Sync!$AF985="",0,Sync!$AF985))</f>
        <v/>
      </c>
      <c r="H985">
        <f>IF(OR($A985="",ROUND($F985+$G985,2)=0),"",$F985+$G985)</f>
        <v/>
      </c>
      <c r="I985">
        <f>IF($H985="","",IF(ROUND($F985,2)&gt;0,$A985,IF($D985="شخصی قاسم","شخصی قاسم",IF($D985="هزینه","هزینه: "&amp;IF($E985="","متفرقه",$E985),IF($C985="پاس چک","چک پرداختی",IF(OR($B985="",COUNTIF(AcctCodesA,$B985)=0),"متفرقه",$B985))))))</f>
        <v/>
      </c>
      <c r="J985">
        <f>IF($H985="","",IF(ROUND($F985,2)&gt;0,IF($D985="شخصی قاسم","شخصی قاسم",IF($D985="هزینه","هزینه: "&amp;IF($E985="","متفرقه",$E985),IF(OR($B985="",COUNTIF(AcctCodesA,$B985)=0),"متفرقه",$B985))),$A985))</f>
        <v/>
      </c>
      <c r="K985">
        <f>IF($A985="","",IF(AND($B985&lt;&gt;"",COUNTIF(AcctCodesA,$B985)=0),"کد طرف در INFO تعریف نشده",IF(AND($D985="هزینه",$E985=""),"هزینه بدون زیرگروه",IF(AND($C985="پاس چک",OR(Sync!$AJ985="",COUNTIF(IssueNosA,Sync!$AJ985)=0)),"شماره چک پاس‌شده معتبر نیست",""))))</f>
        <v/>
      </c>
      <c r="V985">
        <f>IF($K985="","",IF(ISNUMBER(Sync!$AK985),Sync!$AK985,LEFT(Sync!$AK985,4)&amp;MID(Sync!$AK985,6,2)&amp;RIGHT(Sync!$AK985,2))&amp;"|"&amp;"4"&amp;RIGHT("00000"&amp;980,5))</f>
        <v/>
      </c>
      <c r="W985">
        <f>IF($V985="",0,COUNTIFS($V$6:$V$2005,"&lt;"&amp;$V985)-COUNTIFS($V$6:$V$2005,"&lt;"&amp;$V985,$K$6:$K$2005,"")+1)</f>
        <v/>
      </c>
      <c r="X985">
        <f>IF(Sync!$AX985="","",IF(OR(N(Sync!$AY985)=0,N(Sync!$AZ985)=0),"",ROUND(N(Sync!$AY985)*N(Sync!$AZ985),0)))</f>
        <v/>
      </c>
      <c r="Y985">
        <f>IF($X985="","",IF(OR(Sync!$AX985="",COUNTIF(AcctCodesA,Sync!$AX985)=0),"متفرقه",Sync!$AX985))</f>
        <v/>
      </c>
      <c r="Z985">
        <f>IF($X985="","","سبد و ظروف")</f>
        <v/>
      </c>
      <c r="AA985">
        <f>IF($X985="","",$Y985)</f>
        <v/>
      </c>
    </row>
    <row r="986">
      <c r="A986">
        <f>IF(Sync!$Z986="","",LEFT(UPPER(TRIM(Sync!$Z986)),6))</f>
        <v/>
      </c>
      <c r="B986">
        <f>IF($A986="","",IF(Sync!$AA986="","",Sync!$AA986))</f>
        <v/>
      </c>
      <c r="C986">
        <f>IF($A986="","",IF(Sync!$AB986="","",Sync!$AB986))</f>
        <v/>
      </c>
      <c r="D986">
        <f>IF($A986="","",IF(Sync!$AC986="","",Sync!$AC986))</f>
        <v/>
      </c>
      <c r="E986">
        <f>IF($A986="","",IF(Sync!$AD986="","",Sync!$AD986))</f>
        <v/>
      </c>
      <c r="F986">
        <f>IF($A986="","",IF(Sync!$AE986="",0,Sync!$AE986))</f>
        <v/>
      </c>
      <c r="G986">
        <f>IF($A986="","",IF(Sync!$AF986="",0,Sync!$AF986))</f>
        <v/>
      </c>
      <c r="H986">
        <f>IF(OR($A986="",ROUND($F986+$G986,2)=0),"",$F986+$G986)</f>
        <v/>
      </c>
      <c r="I986">
        <f>IF($H986="","",IF(ROUND($F986,2)&gt;0,$A986,IF($D986="شخصی قاسم","شخصی قاسم",IF($D986="هزینه","هزینه: "&amp;IF($E986="","متفرقه",$E986),IF($C986="پاس چک","چک پرداختی",IF(OR($B986="",COUNTIF(AcctCodesA,$B986)=0),"متفرقه",$B986))))))</f>
        <v/>
      </c>
      <c r="J986">
        <f>IF($H986="","",IF(ROUND($F986,2)&gt;0,IF($D986="شخصی قاسم","شخصی قاسم",IF($D986="هزینه","هزینه: "&amp;IF($E986="","متفرقه",$E986),IF(OR($B986="",COUNTIF(AcctCodesA,$B986)=0),"متفرقه",$B986))),$A986))</f>
        <v/>
      </c>
      <c r="K986">
        <f>IF($A986="","",IF(AND($B986&lt;&gt;"",COUNTIF(AcctCodesA,$B986)=0),"کد طرف در INFO تعریف نشده",IF(AND($D986="هزینه",$E986=""),"هزینه بدون زیرگروه",IF(AND($C986="پاس چک",OR(Sync!$AJ986="",COUNTIF(IssueNosA,Sync!$AJ986)=0)),"شماره چک پاس‌شده معتبر نیست",""))))</f>
        <v/>
      </c>
      <c r="V986">
        <f>IF($K986="","",IF(ISNUMBER(Sync!$AK986),Sync!$AK986,LEFT(Sync!$AK986,4)&amp;MID(Sync!$AK986,6,2)&amp;RIGHT(Sync!$AK986,2))&amp;"|"&amp;"4"&amp;RIGHT("00000"&amp;981,5))</f>
        <v/>
      </c>
      <c r="W986">
        <f>IF($V986="",0,COUNTIFS($V$6:$V$2005,"&lt;"&amp;$V986)-COUNTIFS($V$6:$V$2005,"&lt;"&amp;$V986,$K$6:$K$2005,"")+1)</f>
        <v/>
      </c>
      <c r="X986">
        <f>IF(Sync!$AX986="","",IF(OR(N(Sync!$AY986)=0,N(Sync!$AZ986)=0),"",ROUND(N(Sync!$AY986)*N(Sync!$AZ986),0)))</f>
        <v/>
      </c>
      <c r="Y986">
        <f>IF($X986="","",IF(OR(Sync!$AX986="",COUNTIF(AcctCodesA,Sync!$AX986)=0),"متفرقه",Sync!$AX986))</f>
        <v/>
      </c>
      <c r="Z986">
        <f>IF($X986="","","سبد و ظروف")</f>
        <v/>
      </c>
      <c r="AA986">
        <f>IF($X986="","",$Y986)</f>
        <v/>
      </c>
    </row>
    <row r="987">
      <c r="A987">
        <f>IF(Sync!$Z987="","",LEFT(UPPER(TRIM(Sync!$Z987)),6))</f>
        <v/>
      </c>
      <c r="B987">
        <f>IF($A987="","",IF(Sync!$AA987="","",Sync!$AA987))</f>
        <v/>
      </c>
      <c r="C987">
        <f>IF($A987="","",IF(Sync!$AB987="","",Sync!$AB987))</f>
        <v/>
      </c>
      <c r="D987">
        <f>IF($A987="","",IF(Sync!$AC987="","",Sync!$AC987))</f>
        <v/>
      </c>
      <c r="E987">
        <f>IF($A987="","",IF(Sync!$AD987="","",Sync!$AD987))</f>
        <v/>
      </c>
      <c r="F987">
        <f>IF($A987="","",IF(Sync!$AE987="",0,Sync!$AE987))</f>
        <v/>
      </c>
      <c r="G987">
        <f>IF($A987="","",IF(Sync!$AF987="",0,Sync!$AF987))</f>
        <v/>
      </c>
      <c r="H987">
        <f>IF(OR($A987="",ROUND($F987+$G987,2)=0),"",$F987+$G987)</f>
        <v/>
      </c>
      <c r="I987">
        <f>IF($H987="","",IF(ROUND($F987,2)&gt;0,$A987,IF($D987="شخصی قاسم","شخصی قاسم",IF($D987="هزینه","هزینه: "&amp;IF($E987="","متفرقه",$E987),IF($C987="پاس چک","چک پرداختی",IF(OR($B987="",COUNTIF(AcctCodesA,$B987)=0),"متفرقه",$B987))))))</f>
        <v/>
      </c>
      <c r="J987">
        <f>IF($H987="","",IF(ROUND($F987,2)&gt;0,IF($D987="شخصی قاسم","شخصی قاسم",IF($D987="هزینه","هزینه: "&amp;IF($E987="","متفرقه",$E987),IF(OR($B987="",COUNTIF(AcctCodesA,$B987)=0),"متفرقه",$B987))),$A987))</f>
        <v/>
      </c>
      <c r="K987">
        <f>IF($A987="","",IF(AND($B987&lt;&gt;"",COUNTIF(AcctCodesA,$B987)=0),"کد طرف در INFO تعریف نشده",IF(AND($D987="هزینه",$E987=""),"هزینه بدون زیرگروه",IF(AND($C987="پاس چک",OR(Sync!$AJ987="",COUNTIF(IssueNosA,Sync!$AJ987)=0)),"شماره چک پاس‌شده معتبر نیست",""))))</f>
        <v/>
      </c>
      <c r="V987">
        <f>IF($K987="","",IF(ISNUMBER(Sync!$AK987),Sync!$AK987,LEFT(Sync!$AK987,4)&amp;MID(Sync!$AK987,6,2)&amp;RIGHT(Sync!$AK987,2))&amp;"|"&amp;"4"&amp;RIGHT("00000"&amp;982,5))</f>
        <v/>
      </c>
      <c r="W987">
        <f>IF($V987="",0,COUNTIFS($V$6:$V$2005,"&lt;"&amp;$V987)-COUNTIFS($V$6:$V$2005,"&lt;"&amp;$V987,$K$6:$K$2005,"")+1)</f>
        <v/>
      </c>
      <c r="X987">
        <f>IF(Sync!$AX987="","",IF(OR(N(Sync!$AY987)=0,N(Sync!$AZ987)=0),"",ROUND(N(Sync!$AY987)*N(Sync!$AZ987),0)))</f>
        <v/>
      </c>
      <c r="Y987">
        <f>IF($X987="","",IF(OR(Sync!$AX987="",COUNTIF(AcctCodesA,Sync!$AX987)=0),"متفرقه",Sync!$AX987))</f>
        <v/>
      </c>
      <c r="Z987">
        <f>IF($X987="","","سبد و ظروف")</f>
        <v/>
      </c>
      <c r="AA987">
        <f>IF($X987="","",$Y987)</f>
        <v/>
      </c>
    </row>
    <row r="988">
      <c r="A988">
        <f>IF(Sync!$Z988="","",LEFT(UPPER(TRIM(Sync!$Z988)),6))</f>
        <v/>
      </c>
      <c r="B988">
        <f>IF($A988="","",IF(Sync!$AA988="","",Sync!$AA988))</f>
        <v/>
      </c>
      <c r="C988">
        <f>IF($A988="","",IF(Sync!$AB988="","",Sync!$AB988))</f>
        <v/>
      </c>
      <c r="D988">
        <f>IF($A988="","",IF(Sync!$AC988="","",Sync!$AC988))</f>
        <v/>
      </c>
      <c r="E988">
        <f>IF($A988="","",IF(Sync!$AD988="","",Sync!$AD988))</f>
        <v/>
      </c>
      <c r="F988">
        <f>IF($A988="","",IF(Sync!$AE988="",0,Sync!$AE988))</f>
        <v/>
      </c>
      <c r="G988">
        <f>IF($A988="","",IF(Sync!$AF988="",0,Sync!$AF988))</f>
        <v/>
      </c>
      <c r="H988">
        <f>IF(OR($A988="",ROUND($F988+$G988,2)=0),"",$F988+$G988)</f>
        <v/>
      </c>
      <c r="I988">
        <f>IF($H988="","",IF(ROUND($F988,2)&gt;0,$A988,IF($D988="شخصی قاسم","شخصی قاسم",IF($D988="هزینه","هزینه: "&amp;IF($E988="","متفرقه",$E988),IF($C988="پاس چک","چک پرداختی",IF(OR($B988="",COUNTIF(AcctCodesA,$B988)=0),"متفرقه",$B988))))))</f>
        <v/>
      </c>
      <c r="J988">
        <f>IF($H988="","",IF(ROUND($F988,2)&gt;0,IF($D988="شخصی قاسم","شخصی قاسم",IF($D988="هزینه","هزینه: "&amp;IF($E988="","متفرقه",$E988),IF(OR($B988="",COUNTIF(AcctCodesA,$B988)=0),"متفرقه",$B988))),$A988))</f>
        <v/>
      </c>
      <c r="K988">
        <f>IF($A988="","",IF(AND($B988&lt;&gt;"",COUNTIF(AcctCodesA,$B988)=0),"کد طرف در INFO تعریف نشده",IF(AND($D988="هزینه",$E988=""),"هزینه بدون زیرگروه",IF(AND($C988="پاس چک",OR(Sync!$AJ988="",COUNTIF(IssueNosA,Sync!$AJ988)=0)),"شماره چک پاس‌شده معتبر نیست",""))))</f>
        <v/>
      </c>
      <c r="V988">
        <f>IF($K988="","",IF(ISNUMBER(Sync!$AK988),Sync!$AK988,LEFT(Sync!$AK988,4)&amp;MID(Sync!$AK988,6,2)&amp;RIGHT(Sync!$AK988,2))&amp;"|"&amp;"4"&amp;RIGHT("00000"&amp;983,5))</f>
        <v/>
      </c>
      <c r="W988">
        <f>IF($V988="",0,COUNTIFS($V$6:$V$2005,"&lt;"&amp;$V988)-COUNTIFS($V$6:$V$2005,"&lt;"&amp;$V988,$K$6:$K$2005,"")+1)</f>
        <v/>
      </c>
      <c r="X988">
        <f>IF(Sync!$AX988="","",IF(OR(N(Sync!$AY988)=0,N(Sync!$AZ988)=0),"",ROUND(N(Sync!$AY988)*N(Sync!$AZ988),0)))</f>
        <v/>
      </c>
      <c r="Y988">
        <f>IF($X988="","",IF(OR(Sync!$AX988="",COUNTIF(AcctCodesA,Sync!$AX988)=0),"متفرقه",Sync!$AX988))</f>
        <v/>
      </c>
      <c r="Z988">
        <f>IF($X988="","","سبد و ظروف")</f>
        <v/>
      </c>
      <c r="AA988">
        <f>IF($X988="","",$Y988)</f>
        <v/>
      </c>
    </row>
    <row r="989">
      <c r="A989">
        <f>IF(Sync!$Z989="","",LEFT(UPPER(TRIM(Sync!$Z989)),6))</f>
        <v/>
      </c>
      <c r="B989">
        <f>IF($A989="","",IF(Sync!$AA989="","",Sync!$AA989))</f>
        <v/>
      </c>
      <c r="C989">
        <f>IF($A989="","",IF(Sync!$AB989="","",Sync!$AB989))</f>
        <v/>
      </c>
      <c r="D989">
        <f>IF($A989="","",IF(Sync!$AC989="","",Sync!$AC989))</f>
        <v/>
      </c>
      <c r="E989">
        <f>IF($A989="","",IF(Sync!$AD989="","",Sync!$AD989))</f>
        <v/>
      </c>
      <c r="F989">
        <f>IF($A989="","",IF(Sync!$AE989="",0,Sync!$AE989))</f>
        <v/>
      </c>
      <c r="G989">
        <f>IF($A989="","",IF(Sync!$AF989="",0,Sync!$AF989))</f>
        <v/>
      </c>
      <c r="H989">
        <f>IF(OR($A989="",ROUND($F989+$G989,2)=0),"",$F989+$G989)</f>
        <v/>
      </c>
      <c r="I989">
        <f>IF($H989="","",IF(ROUND($F989,2)&gt;0,$A989,IF($D989="شخصی قاسم","شخصی قاسم",IF($D989="هزینه","هزینه: "&amp;IF($E989="","متفرقه",$E989),IF($C989="پاس چک","چک پرداختی",IF(OR($B989="",COUNTIF(AcctCodesA,$B989)=0),"متفرقه",$B989))))))</f>
        <v/>
      </c>
      <c r="J989">
        <f>IF($H989="","",IF(ROUND($F989,2)&gt;0,IF($D989="شخصی قاسم","شخصی قاسم",IF($D989="هزینه","هزینه: "&amp;IF($E989="","متفرقه",$E989),IF(OR($B989="",COUNTIF(AcctCodesA,$B989)=0),"متفرقه",$B989))),$A989))</f>
        <v/>
      </c>
      <c r="K989">
        <f>IF($A989="","",IF(AND($B989&lt;&gt;"",COUNTIF(AcctCodesA,$B989)=0),"کد طرف در INFO تعریف نشده",IF(AND($D989="هزینه",$E989=""),"هزینه بدون زیرگروه",IF(AND($C989="پاس چک",OR(Sync!$AJ989="",COUNTIF(IssueNosA,Sync!$AJ989)=0)),"شماره چک پاس‌شده معتبر نیست",""))))</f>
        <v/>
      </c>
      <c r="V989">
        <f>IF($K989="","",IF(ISNUMBER(Sync!$AK989),Sync!$AK989,LEFT(Sync!$AK989,4)&amp;MID(Sync!$AK989,6,2)&amp;RIGHT(Sync!$AK989,2))&amp;"|"&amp;"4"&amp;RIGHT("00000"&amp;984,5))</f>
        <v/>
      </c>
      <c r="W989">
        <f>IF($V989="",0,COUNTIFS($V$6:$V$2005,"&lt;"&amp;$V989)-COUNTIFS($V$6:$V$2005,"&lt;"&amp;$V989,$K$6:$K$2005,"")+1)</f>
        <v/>
      </c>
      <c r="X989">
        <f>IF(Sync!$AX989="","",IF(OR(N(Sync!$AY989)=0,N(Sync!$AZ989)=0),"",ROUND(N(Sync!$AY989)*N(Sync!$AZ989),0)))</f>
        <v/>
      </c>
      <c r="Y989">
        <f>IF($X989="","",IF(OR(Sync!$AX989="",COUNTIF(AcctCodesA,Sync!$AX989)=0),"متفرقه",Sync!$AX989))</f>
        <v/>
      </c>
      <c r="Z989">
        <f>IF($X989="","","سبد و ظروف")</f>
        <v/>
      </c>
      <c r="AA989">
        <f>IF($X989="","",$Y989)</f>
        <v/>
      </c>
    </row>
    <row r="990">
      <c r="A990">
        <f>IF(Sync!$Z990="","",LEFT(UPPER(TRIM(Sync!$Z990)),6))</f>
        <v/>
      </c>
      <c r="B990">
        <f>IF($A990="","",IF(Sync!$AA990="","",Sync!$AA990))</f>
        <v/>
      </c>
      <c r="C990">
        <f>IF($A990="","",IF(Sync!$AB990="","",Sync!$AB990))</f>
        <v/>
      </c>
      <c r="D990">
        <f>IF($A990="","",IF(Sync!$AC990="","",Sync!$AC990))</f>
        <v/>
      </c>
      <c r="E990">
        <f>IF($A990="","",IF(Sync!$AD990="","",Sync!$AD990))</f>
        <v/>
      </c>
      <c r="F990">
        <f>IF($A990="","",IF(Sync!$AE990="",0,Sync!$AE990))</f>
        <v/>
      </c>
      <c r="G990">
        <f>IF($A990="","",IF(Sync!$AF990="",0,Sync!$AF990))</f>
        <v/>
      </c>
      <c r="H990">
        <f>IF(OR($A990="",ROUND($F990+$G990,2)=0),"",$F990+$G990)</f>
        <v/>
      </c>
      <c r="I990">
        <f>IF($H990="","",IF(ROUND($F990,2)&gt;0,$A990,IF($D990="شخصی قاسم","شخصی قاسم",IF($D990="هزینه","هزینه: "&amp;IF($E990="","متفرقه",$E990),IF($C990="پاس چک","چک پرداختی",IF(OR($B990="",COUNTIF(AcctCodesA,$B990)=0),"متفرقه",$B990))))))</f>
        <v/>
      </c>
      <c r="J990">
        <f>IF($H990="","",IF(ROUND($F990,2)&gt;0,IF($D990="شخصی قاسم","شخصی قاسم",IF($D990="هزینه","هزینه: "&amp;IF($E990="","متفرقه",$E990),IF(OR($B990="",COUNTIF(AcctCodesA,$B990)=0),"متفرقه",$B990))),$A990))</f>
        <v/>
      </c>
      <c r="K990">
        <f>IF($A990="","",IF(AND($B990&lt;&gt;"",COUNTIF(AcctCodesA,$B990)=0),"کد طرف در INFO تعریف نشده",IF(AND($D990="هزینه",$E990=""),"هزینه بدون زیرگروه",IF(AND($C990="پاس چک",OR(Sync!$AJ990="",COUNTIF(IssueNosA,Sync!$AJ990)=0)),"شماره چک پاس‌شده معتبر نیست",""))))</f>
        <v/>
      </c>
      <c r="V990">
        <f>IF($K990="","",IF(ISNUMBER(Sync!$AK990),Sync!$AK990,LEFT(Sync!$AK990,4)&amp;MID(Sync!$AK990,6,2)&amp;RIGHT(Sync!$AK990,2))&amp;"|"&amp;"4"&amp;RIGHT("00000"&amp;985,5))</f>
        <v/>
      </c>
      <c r="W990">
        <f>IF($V990="",0,COUNTIFS($V$6:$V$2005,"&lt;"&amp;$V990)-COUNTIFS($V$6:$V$2005,"&lt;"&amp;$V990,$K$6:$K$2005,"")+1)</f>
        <v/>
      </c>
      <c r="X990">
        <f>IF(Sync!$AX990="","",IF(OR(N(Sync!$AY990)=0,N(Sync!$AZ990)=0),"",ROUND(N(Sync!$AY990)*N(Sync!$AZ990),0)))</f>
        <v/>
      </c>
      <c r="Y990">
        <f>IF($X990="","",IF(OR(Sync!$AX990="",COUNTIF(AcctCodesA,Sync!$AX990)=0),"متفرقه",Sync!$AX990))</f>
        <v/>
      </c>
      <c r="Z990">
        <f>IF($X990="","","سبد و ظروف")</f>
        <v/>
      </c>
      <c r="AA990">
        <f>IF($X990="","",$Y990)</f>
        <v/>
      </c>
    </row>
    <row r="991">
      <c r="A991">
        <f>IF(Sync!$Z991="","",LEFT(UPPER(TRIM(Sync!$Z991)),6))</f>
        <v/>
      </c>
      <c r="B991">
        <f>IF($A991="","",IF(Sync!$AA991="","",Sync!$AA991))</f>
        <v/>
      </c>
      <c r="C991">
        <f>IF($A991="","",IF(Sync!$AB991="","",Sync!$AB991))</f>
        <v/>
      </c>
      <c r="D991">
        <f>IF($A991="","",IF(Sync!$AC991="","",Sync!$AC991))</f>
        <v/>
      </c>
      <c r="E991">
        <f>IF($A991="","",IF(Sync!$AD991="","",Sync!$AD991))</f>
        <v/>
      </c>
      <c r="F991">
        <f>IF($A991="","",IF(Sync!$AE991="",0,Sync!$AE991))</f>
        <v/>
      </c>
      <c r="G991">
        <f>IF($A991="","",IF(Sync!$AF991="",0,Sync!$AF991))</f>
        <v/>
      </c>
      <c r="H991">
        <f>IF(OR($A991="",ROUND($F991+$G991,2)=0),"",$F991+$G991)</f>
        <v/>
      </c>
      <c r="I991">
        <f>IF($H991="","",IF(ROUND($F991,2)&gt;0,$A991,IF($D991="شخصی قاسم","شخصی قاسم",IF($D991="هزینه","هزینه: "&amp;IF($E991="","متفرقه",$E991),IF($C991="پاس چک","چک پرداختی",IF(OR($B991="",COUNTIF(AcctCodesA,$B991)=0),"متفرقه",$B991))))))</f>
        <v/>
      </c>
      <c r="J991">
        <f>IF($H991="","",IF(ROUND($F991,2)&gt;0,IF($D991="شخصی قاسم","شخصی قاسم",IF($D991="هزینه","هزینه: "&amp;IF($E991="","متفرقه",$E991),IF(OR($B991="",COUNTIF(AcctCodesA,$B991)=0),"متفرقه",$B991))),$A991))</f>
        <v/>
      </c>
      <c r="K991">
        <f>IF($A991="","",IF(AND($B991&lt;&gt;"",COUNTIF(AcctCodesA,$B991)=0),"کد طرف در INFO تعریف نشده",IF(AND($D991="هزینه",$E991=""),"هزینه بدون زیرگروه",IF(AND($C991="پاس چک",OR(Sync!$AJ991="",COUNTIF(IssueNosA,Sync!$AJ991)=0)),"شماره چک پاس‌شده معتبر نیست",""))))</f>
        <v/>
      </c>
      <c r="V991">
        <f>IF($K991="","",IF(ISNUMBER(Sync!$AK991),Sync!$AK991,LEFT(Sync!$AK991,4)&amp;MID(Sync!$AK991,6,2)&amp;RIGHT(Sync!$AK991,2))&amp;"|"&amp;"4"&amp;RIGHT("00000"&amp;986,5))</f>
        <v/>
      </c>
      <c r="W991">
        <f>IF($V991="",0,COUNTIFS($V$6:$V$2005,"&lt;"&amp;$V991)-COUNTIFS($V$6:$V$2005,"&lt;"&amp;$V991,$K$6:$K$2005,"")+1)</f>
        <v/>
      </c>
      <c r="X991">
        <f>IF(Sync!$AX991="","",IF(OR(N(Sync!$AY991)=0,N(Sync!$AZ991)=0),"",ROUND(N(Sync!$AY991)*N(Sync!$AZ991),0)))</f>
        <v/>
      </c>
      <c r="Y991">
        <f>IF($X991="","",IF(OR(Sync!$AX991="",COUNTIF(AcctCodesA,Sync!$AX991)=0),"متفرقه",Sync!$AX991))</f>
        <v/>
      </c>
      <c r="Z991">
        <f>IF($X991="","","سبد و ظروف")</f>
        <v/>
      </c>
      <c r="AA991">
        <f>IF($X991="","",$Y991)</f>
        <v/>
      </c>
    </row>
    <row r="992">
      <c r="A992">
        <f>IF(Sync!$Z992="","",LEFT(UPPER(TRIM(Sync!$Z992)),6))</f>
        <v/>
      </c>
      <c r="B992">
        <f>IF($A992="","",IF(Sync!$AA992="","",Sync!$AA992))</f>
        <v/>
      </c>
      <c r="C992">
        <f>IF($A992="","",IF(Sync!$AB992="","",Sync!$AB992))</f>
        <v/>
      </c>
      <c r="D992">
        <f>IF($A992="","",IF(Sync!$AC992="","",Sync!$AC992))</f>
        <v/>
      </c>
      <c r="E992">
        <f>IF($A992="","",IF(Sync!$AD992="","",Sync!$AD992))</f>
        <v/>
      </c>
      <c r="F992">
        <f>IF($A992="","",IF(Sync!$AE992="",0,Sync!$AE992))</f>
        <v/>
      </c>
      <c r="G992">
        <f>IF($A992="","",IF(Sync!$AF992="",0,Sync!$AF992))</f>
        <v/>
      </c>
      <c r="H992">
        <f>IF(OR($A992="",ROUND($F992+$G992,2)=0),"",$F992+$G992)</f>
        <v/>
      </c>
      <c r="I992">
        <f>IF($H992="","",IF(ROUND($F992,2)&gt;0,$A992,IF($D992="شخصی قاسم","شخصی قاسم",IF($D992="هزینه","هزینه: "&amp;IF($E992="","متفرقه",$E992),IF($C992="پاس چک","چک پرداختی",IF(OR($B992="",COUNTIF(AcctCodesA,$B992)=0),"متفرقه",$B992))))))</f>
        <v/>
      </c>
      <c r="J992">
        <f>IF($H992="","",IF(ROUND($F992,2)&gt;0,IF($D992="شخصی قاسم","شخصی قاسم",IF($D992="هزینه","هزینه: "&amp;IF($E992="","متفرقه",$E992),IF(OR($B992="",COUNTIF(AcctCodesA,$B992)=0),"متفرقه",$B992))),$A992))</f>
        <v/>
      </c>
      <c r="K992">
        <f>IF($A992="","",IF(AND($B992&lt;&gt;"",COUNTIF(AcctCodesA,$B992)=0),"کد طرف در INFO تعریف نشده",IF(AND($D992="هزینه",$E992=""),"هزینه بدون زیرگروه",IF(AND($C992="پاس چک",OR(Sync!$AJ992="",COUNTIF(IssueNosA,Sync!$AJ992)=0)),"شماره چک پاس‌شده معتبر نیست",""))))</f>
        <v/>
      </c>
      <c r="V992">
        <f>IF($K992="","",IF(ISNUMBER(Sync!$AK992),Sync!$AK992,LEFT(Sync!$AK992,4)&amp;MID(Sync!$AK992,6,2)&amp;RIGHT(Sync!$AK992,2))&amp;"|"&amp;"4"&amp;RIGHT("00000"&amp;987,5))</f>
        <v/>
      </c>
      <c r="W992">
        <f>IF($V992="",0,COUNTIFS($V$6:$V$2005,"&lt;"&amp;$V992)-COUNTIFS($V$6:$V$2005,"&lt;"&amp;$V992,$K$6:$K$2005,"")+1)</f>
        <v/>
      </c>
      <c r="X992">
        <f>IF(Sync!$AX992="","",IF(OR(N(Sync!$AY992)=0,N(Sync!$AZ992)=0),"",ROUND(N(Sync!$AY992)*N(Sync!$AZ992),0)))</f>
        <v/>
      </c>
      <c r="Y992">
        <f>IF($X992="","",IF(OR(Sync!$AX992="",COUNTIF(AcctCodesA,Sync!$AX992)=0),"متفرقه",Sync!$AX992))</f>
        <v/>
      </c>
      <c r="Z992">
        <f>IF($X992="","","سبد و ظروف")</f>
        <v/>
      </c>
      <c r="AA992">
        <f>IF($X992="","",$Y992)</f>
        <v/>
      </c>
    </row>
    <row r="993">
      <c r="A993">
        <f>IF(Sync!$Z993="","",LEFT(UPPER(TRIM(Sync!$Z993)),6))</f>
        <v/>
      </c>
      <c r="B993">
        <f>IF($A993="","",IF(Sync!$AA993="","",Sync!$AA993))</f>
        <v/>
      </c>
      <c r="C993">
        <f>IF($A993="","",IF(Sync!$AB993="","",Sync!$AB993))</f>
        <v/>
      </c>
      <c r="D993">
        <f>IF($A993="","",IF(Sync!$AC993="","",Sync!$AC993))</f>
        <v/>
      </c>
      <c r="E993">
        <f>IF($A993="","",IF(Sync!$AD993="","",Sync!$AD993))</f>
        <v/>
      </c>
      <c r="F993">
        <f>IF($A993="","",IF(Sync!$AE993="",0,Sync!$AE993))</f>
        <v/>
      </c>
      <c r="G993">
        <f>IF($A993="","",IF(Sync!$AF993="",0,Sync!$AF993))</f>
        <v/>
      </c>
      <c r="H993">
        <f>IF(OR($A993="",ROUND($F993+$G993,2)=0),"",$F993+$G993)</f>
        <v/>
      </c>
      <c r="I993">
        <f>IF($H993="","",IF(ROUND($F993,2)&gt;0,$A993,IF($D993="شخصی قاسم","شخصی قاسم",IF($D993="هزینه","هزینه: "&amp;IF($E993="","متفرقه",$E993),IF($C993="پاس چک","چک پرداختی",IF(OR($B993="",COUNTIF(AcctCodesA,$B993)=0),"متفرقه",$B993))))))</f>
        <v/>
      </c>
      <c r="J993">
        <f>IF($H993="","",IF(ROUND($F993,2)&gt;0,IF($D993="شخصی قاسم","شخصی قاسم",IF($D993="هزینه","هزینه: "&amp;IF($E993="","متفرقه",$E993),IF(OR($B993="",COUNTIF(AcctCodesA,$B993)=0),"متفرقه",$B993))),$A993))</f>
        <v/>
      </c>
      <c r="K993">
        <f>IF($A993="","",IF(AND($B993&lt;&gt;"",COUNTIF(AcctCodesA,$B993)=0),"کد طرف در INFO تعریف نشده",IF(AND($D993="هزینه",$E993=""),"هزینه بدون زیرگروه",IF(AND($C993="پاس چک",OR(Sync!$AJ993="",COUNTIF(IssueNosA,Sync!$AJ993)=0)),"شماره چک پاس‌شده معتبر نیست",""))))</f>
        <v/>
      </c>
      <c r="V993">
        <f>IF($K993="","",IF(ISNUMBER(Sync!$AK993),Sync!$AK993,LEFT(Sync!$AK993,4)&amp;MID(Sync!$AK993,6,2)&amp;RIGHT(Sync!$AK993,2))&amp;"|"&amp;"4"&amp;RIGHT("00000"&amp;988,5))</f>
        <v/>
      </c>
      <c r="W993">
        <f>IF($V993="",0,COUNTIFS($V$6:$V$2005,"&lt;"&amp;$V993)-COUNTIFS($V$6:$V$2005,"&lt;"&amp;$V993,$K$6:$K$2005,"")+1)</f>
        <v/>
      </c>
      <c r="X993">
        <f>IF(Sync!$AX993="","",IF(OR(N(Sync!$AY993)=0,N(Sync!$AZ993)=0),"",ROUND(N(Sync!$AY993)*N(Sync!$AZ993),0)))</f>
        <v/>
      </c>
      <c r="Y993">
        <f>IF($X993="","",IF(OR(Sync!$AX993="",COUNTIF(AcctCodesA,Sync!$AX993)=0),"متفرقه",Sync!$AX993))</f>
        <v/>
      </c>
      <c r="Z993">
        <f>IF($X993="","","سبد و ظروف")</f>
        <v/>
      </c>
      <c r="AA993">
        <f>IF($X993="","",$Y993)</f>
        <v/>
      </c>
    </row>
    <row r="994">
      <c r="A994">
        <f>IF(Sync!$Z994="","",LEFT(UPPER(TRIM(Sync!$Z994)),6))</f>
        <v/>
      </c>
      <c r="B994">
        <f>IF($A994="","",IF(Sync!$AA994="","",Sync!$AA994))</f>
        <v/>
      </c>
      <c r="C994">
        <f>IF($A994="","",IF(Sync!$AB994="","",Sync!$AB994))</f>
        <v/>
      </c>
      <c r="D994">
        <f>IF($A994="","",IF(Sync!$AC994="","",Sync!$AC994))</f>
        <v/>
      </c>
      <c r="E994">
        <f>IF($A994="","",IF(Sync!$AD994="","",Sync!$AD994))</f>
        <v/>
      </c>
      <c r="F994">
        <f>IF($A994="","",IF(Sync!$AE994="",0,Sync!$AE994))</f>
        <v/>
      </c>
      <c r="G994">
        <f>IF($A994="","",IF(Sync!$AF994="",0,Sync!$AF994))</f>
        <v/>
      </c>
      <c r="H994">
        <f>IF(OR($A994="",ROUND($F994+$G994,2)=0),"",$F994+$G994)</f>
        <v/>
      </c>
      <c r="I994">
        <f>IF($H994="","",IF(ROUND($F994,2)&gt;0,$A994,IF($D994="شخصی قاسم","شخصی قاسم",IF($D994="هزینه","هزینه: "&amp;IF($E994="","متفرقه",$E994),IF($C994="پاس چک","چک پرداختی",IF(OR($B994="",COUNTIF(AcctCodesA,$B994)=0),"متفرقه",$B994))))))</f>
        <v/>
      </c>
      <c r="J994">
        <f>IF($H994="","",IF(ROUND($F994,2)&gt;0,IF($D994="شخصی قاسم","شخصی قاسم",IF($D994="هزینه","هزینه: "&amp;IF($E994="","متفرقه",$E994),IF(OR($B994="",COUNTIF(AcctCodesA,$B994)=0),"متفرقه",$B994))),$A994))</f>
        <v/>
      </c>
      <c r="K994">
        <f>IF($A994="","",IF(AND($B994&lt;&gt;"",COUNTIF(AcctCodesA,$B994)=0),"کد طرف در INFO تعریف نشده",IF(AND($D994="هزینه",$E994=""),"هزینه بدون زیرگروه",IF(AND($C994="پاس چک",OR(Sync!$AJ994="",COUNTIF(IssueNosA,Sync!$AJ994)=0)),"شماره چک پاس‌شده معتبر نیست",""))))</f>
        <v/>
      </c>
      <c r="V994">
        <f>IF($K994="","",IF(ISNUMBER(Sync!$AK994),Sync!$AK994,LEFT(Sync!$AK994,4)&amp;MID(Sync!$AK994,6,2)&amp;RIGHT(Sync!$AK994,2))&amp;"|"&amp;"4"&amp;RIGHT("00000"&amp;989,5))</f>
        <v/>
      </c>
      <c r="W994">
        <f>IF($V994="",0,COUNTIFS($V$6:$V$2005,"&lt;"&amp;$V994)-COUNTIFS($V$6:$V$2005,"&lt;"&amp;$V994,$K$6:$K$2005,"")+1)</f>
        <v/>
      </c>
      <c r="X994">
        <f>IF(Sync!$AX994="","",IF(OR(N(Sync!$AY994)=0,N(Sync!$AZ994)=0),"",ROUND(N(Sync!$AY994)*N(Sync!$AZ994),0)))</f>
        <v/>
      </c>
      <c r="Y994">
        <f>IF($X994="","",IF(OR(Sync!$AX994="",COUNTIF(AcctCodesA,Sync!$AX994)=0),"متفرقه",Sync!$AX994))</f>
        <v/>
      </c>
      <c r="Z994">
        <f>IF($X994="","","سبد و ظروف")</f>
        <v/>
      </c>
      <c r="AA994">
        <f>IF($X994="","",$Y994)</f>
        <v/>
      </c>
    </row>
    <row r="995">
      <c r="A995">
        <f>IF(Sync!$Z995="","",LEFT(UPPER(TRIM(Sync!$Z995)),6))</f>
        <v/>
      </c>
      <c r="B995">
        <f>IF($A995="","",IF(Sync!$AA995="","",Sync!$AA995))</f>
        <v/>
      </c>
      <c r="C995">
        <f>IF($A995="","",IF(Sync!$AB995="","",Sync!$AB995))</f>
        <v/>
      </c>
      <c r="D995">
        <f>IF($A995="","",IF(Sync!$AC995="","",Sync!$AC995))</f>
        <v/>
      </c>
      <c r="E995">
        <f>IF($A995="","",IF(Sync!$AD995="","",Sync!$AD995))</f>
        <v/>
      </c>
      <c r="F995">
        <f>IF($A995="","",IF(Sync!$AE995="",0,Sync!$AE995))</f>
        <v/>
      </c>
      <c r="G995">
        <f>IF($A995="","",IF(Sync!$AF995="",0,Sync!$AF995))</f>
        <v/>
      </c>
      <c r="H995">
        <f>IF(OR($A995="",ROUND($F995+$G995,2)=0),"",$F995+$G995)</f>
        <v/>
      </c>
      <c r="I995">
        <f>IF($H995="","",IF(ROUND($F995,2)&gt;0,$A995,IF($D995="شخصی قاسم","شخصی قاسم",IF($D995="هزینه","هزینه: "&amp;IF($E995="","متفرقه",$E995),IF($C995="پاس چک","چک پرداختی",IF(OR($B995="",COUNTIF(AcctCodesA,$B995)=0),"متفرقه",$B995))))))</f>
        <v/>
      </c>
      <c r="J995">
        <f>IF($H995="","",IF(ROUND($F995,2)&gt;0,IF($D995="شخصی قاسم","شخصی قاسم",IF($D995="هزینه","هزینه: "&amp;IF($E995="","متفرقه",$E995),IF(OR($B995="",COUNTIF(AcctCodesA,$B995)=0),"متفرقه",$B995))),$A995))</f>
        <v/>
      </c>
      <c r="K995">
        <f>IF($A995="","",IF(AND($B995&lt;&gt;"",COUNTIF(AcctCodesA,$B995)=0),"کد طرف در INFO تعریف نشده",IF(AND($D995="هزینه",$E995=""),"هزینه بدون زیرگروه",IF(AND($C995="پاس چک",OR(Sync!$AJ995="",COUNTIF(IssueNosA,Sync!$AJ995)=0)),"شماره چک پاس‌شده معتبر نیست",""))))</f>
        <v/>
      </c>
      <c r="V995">
        <f>IF($K995="","",IF(ISNUMBER(Sync!$AK995),Sync!$AK995,LEFT(Sync!$AK995,4)&amp;MID(Sync!$AK995,6,2)&amp;RIGHT(Sync!$AK995,2))&amp;"|"&amp;"4"&amp;RIGHT("00000"&amp;990,5))</f>
        <v/>
      </c>
      <c r="W995">
        <f>IF($V995="",0,COUNTIFS($V$6:$V$2005,"&lt;"&amp;$V995)-COUNTIFS($V$6:$V$2005,"&lt;"&amp;$V995,$K$6:$K$2005,"")+1)</f>
        <v/>
      </c>
      <c r="X995">
        <f>IF(Sync!$AX995="","",IF(OR(N(Sync!$AY995)=0,N(Sync!$AZ995)=0),"",ROUND(N(Sync!$AY995)*N(Sync!$AZ995),0)))</f>
        <v/>
      </c>
      <c r="Y995">
        <f>IF($X995="","",IF(OR(Sync!$AX995="",COUNTIF(AcctCodesA,Sync!$AX995)=0),"متفرقه",Sync!$AX995))</f>
        <v/>
      </c>
      <c r="Z995">
        <f>IF($X995="","","سبد و ظروف")</f>
        <v/>
      </c>
      <c r="AA995">
        <f>IF($X995="","",$Y995)</f>
        <v/>
      </c>
    </row>
    <row r="996">
      <c r="A996">
        <f>IF(Sync!$Z996="","",LEFT(UPPER(TRIM(Sync!$Z996)),6))</f>
        <v/>
      </c>
      <c r="B996">
        <f>IF($A996="","",IF(Sync!$AA996="","",Sync!$AA996))</f>
        <v/>
      </c>
      <c r="C996">
        <f>IF($A996="","",IF(Sync!$AB996="","",Sync!$AB996))</f>
        <v/>
      </c>
      <c r="D996">
        <f>IF($A996="","",IF(Sync!$AC996="","",Sync!$AC996))</f>
        <v/>
      </c>
      <c r="E996">
        <f>IF($A996="","",IF(Sync!$AD996="","",Sync!$AD996))</f>
        <v/>
      </c>
      <c r="F996">
        <f>IF($A996="","",IF(Sync!$AE996="",0,Sync!$AE996))</f>
        <v/>
      </c>
      <c r="G996">
        <f>IF($A996="","",IF(Sync!$AF996="",0,Sync!$AF996))</f>
        <v/>
      </c>
      <c r="H996">
        <f>IF(OR($A996="",ROUND($F996+$G996,2)=0),"",$F996+$G996)</f>
        <v/>
      </c>
      <c r="I996">
        <f>IF($H996="","",IF(ROUND($F996,2)&gt;0,$A996,IF($D996="شخصی قاسم","شخصی قاسم",IF($D996="هزینه","هزینه: "&amp;IF($E996="","متفرقه",$E996),IF($C996="پاس چک","چک پرداختی",IF(OR($B996="",COUNTIF(AcctCodesA,$B996)=0),"متفرقه",$B996))))))</f>
        <v/>
      </c>
      <c r="J996">
        <f>IF($H996="","",IF(ROUND($F996,2)&gt;0,IF($D996="شخصی قاسم","شخصی قاسم",IF($D996="هزینه","هزینه: "&amp;IF($E996="","متفرقه",$E996),IF(OR($B996="",COUNTIF(AcctCodesA,$B996)=0),"متفرقه",$B996))),$A996))</f>
        <v/>
      </c>
      <c r="K996">
        <f>IF($A996="","",IF(AND($B996&lt;&gt;"",COUNTIF(AcctCodesA,$B996)=0),"کد طرف در INFO تعریف نشده",IF(AND($D996="هزینه",$E996=""),"هزینه بدون زیرگروه",IF(AND($C996="پاس چک",OR(Sync!$AJ996="",COUNTIF(IssueNosA,Sync!$AJ996)=0)),"شماره چک پاس‌شده معتبر نیست",""))))</f>
        <v/>
      </c>
      <c r="V996">
        <f>IF($K996="","",IF(ISNUMBER(Sync!$AK996),Sync!$AK996,LEFT(Sync!$AK996,4)&amp;MID(Sync!$AK996,6,2)&amp;RIGHT(Sync!$AK996,2))&amp;"|"&amp;"4"&amp;RIGHT("00000"&amp;991,5))</f>
        <v/>
      </c>
      <c r="W996">
        <f>IF($V996="",0,COUNTIFS($V$6:$V$2005,"&lt;"&amp;$V996)-COUNTIFS($V$6:$V$2005,"&lt;"&amp;$V996,$K$6:$K$2005,"")+1)</f>
        <v/>
      </c>
      <c r="X996">
        <f>IF(Sync!$AX996="","",IF(OR(N(Sync!$AY996)=0,N(Sync!$AZ996)=0),"",ROUND(N(Sync!$AY996)*N(Sync!$AZ996),0)))</f>
        <v/>
      </c>
      <c r="Y996">
        <f>IF($X996="","",IF(OR(Sync!$AX996="",COUNTIF(AcctCodesA,Sync!$AX996)=0),"متفرقه",Sync!$AX996))</f>
        <v/>
      </c>
      <c r="Z996">
        <f>IF($X996="","","سبد و ظروف")</f>
        <v/>
      </c>
      <c r="AA996">
        <f>IF($X996="","",$Y996)</f>
        <v/>
      </c>
    </row>
    <row r="997">
      <c r="A997">
        <f>IF(Sync!$Z997="","",LEFT(UPPER(TRIM(Sync!$Z997)),6))</f>
        <v/>
      </c>
      <c r="B997">
        <f>IF($A997="","",IF(Sync!$AA997="","",Sync!$AA997))</f>
        <v/>
      </c>
      <c r="C997">
        <f>IF($A997="","",IF(Sync!$AB997="","",Sync!$AB997))</f>
        <v/>
      </c>
      <c r="D997">
        <f>IF($A997="","",IF(Sync!$AC997="","",Sync!$AC997))</f>
        <v/>
      </c>
      <c r="E997">
        <f>IF($A997="","",IF(Sync!$AD997="","",Sync!$AD997))</f>
        <v/>
      </c>
      <c r="F997">
        <f>IF($A997="","",IF(Sync!$AE997="",0,Sync!$AE997))</f>
        <v/>
      </c>
      <c r="G997">
        <f>IF($A997="","",IF(Sync!$AF997="",0,Sync!$AF997))</f>
        <v/>
      </c>
      <c r="H997">
        <f>IF(OR($A997="",ROUND($F997+$G997,2)=0),"",$F997+$G997)</f>
        <v/>
      </c>
      <c r="I997">
        <f>IF($H997="","",IF(ROUND($F997,2)&gt;0,$A997,IF($D997="شخصی قاسم","شخصی قاسم",IF($D997="هزینه","هزینه: "&amp;IF($E997="","متفرقه",$E997),IF($C997="پاس چک","چک پرداختی",IF(OR($B997="",COUNTIF(AcctCodesA,$B997)=0),"متفرقه",$B997))))))</f>
        <v/>
      </c>
      <c r="J997">
        <f>IF($H997="","",IF(ROUND($F997,2)&gt;0,IF($D997="شخصی قاسم","شخصی قاسم",IF($D997="هزینه","هزینه: "&amp;IF($E997="","متفرقه",$E997),IF(OR($B997="",COUNTIF(AcctCodesA,$B997)=0),"متفرقه",$B997))),$A997))</f>
        <v/>
      </c>
      <c r="K997">
        <f>IF($A997="","",IF(AND($B997&lt;&gt;"",COUNTIF(AcctCodesA,$B997)=0),"کد طرف در INFO تعریف نشده",IF(AND($D997="هزینه",$E997=""),"هزینه بدون زیرگروه",IF(AND($C997="پاس چک",OR(Sync!$AJ997="",COUNTIF(IssueNosA,Sync!$AJ997)=0)),"شماره چک پاس‌شده معتبر نیست",""))))</f>
        <v/>
      </c>
      <c r="V997">
        <f>IF($K997="","",IF(ISNUMBER(Sync!$AK997),Sync!$AK997,LEFT(Sync!$AK997,4)&amp;MID(Sync!$AK997,6,2)&amp;RIGHT(Sync!$AK997,2))&amp;"|"&amp;"4"&amp;RIGHT("00000"&amp;992,5))</f>
        <v/>
      </c>
      <c r="W997">
        <f>IF($V997="",0,COUNTIFS($V$6:$V$2005,"&lt;"&amp;$V997)-COUNTIFS($V$6:$V$2005,"&lt;"&amp;$V997,$K$6:$K$2005,"")+1)</f>
        <v/>
      </c>
      <c r="X997">
        <f>IF(Sync!$AX997="","",IF(OR(N(Sync!$AY997)=0,N(Sync!$AZ997)=0),"",ROUND(N(Sync!$AY997)*N(Sync!$AZ997),0)))</f>
        <v/>
      </c>
      <c r="Y997">
        <f>IF($X997="","",IF(OR(Sync!$AX997="",COUNTIF(AcctCodesA,Sync!$AX997)=0),"متفرقه",Sync!$AX997))</f>
        <v/>
      </c>
      <c r="Z997">
        <f>IF($X997="","","سبد و ظروف")</f>
        <v/>
      </c>
      <c r="AA997">
        <f>IF($X997="","",$Y997)</f>
        <v/>
      </c>
    </row>
    <row r="998">
      <c r="A998">
        <f>IF(Sync!$Z998="","",LEFT(UPPER(TRIM(Sync!$Z998)),6))</f>
        <v/>
      </c>
      <c r="B998">
        <f>IF($A998="","",IF(Sync!$AA998="","",Sync!$AA998))</f>
        <v/>
      </c>
      <c r="C998">
        <f>IF($A998="","",IF(Sync!$AB998="","",Sync!$AB998))</f>
        <v/>
      </c>
      <c r="D998">
        <f>IF($A998="","",IF(Sync!$AC998="","",Sync!$AC998))</f>
        <v/>
      </c>
      <c r="E998">
        <f>IF($A998="","",IF(Sync!$AD998="","",Sync!$AD998))</f>
        <v/>
      </c>
      <c r="F998">
        <f>IF($A998="","",IF(Sync!$AE998="",0,Sync!$AE998))</f>
        <v/>
      </c>
      <c r="G998">
        <f>IF($A998="","",IF(Sync!$AF998="",0,Sync!$AF998))</f>
        <v/>
      </c>
      <c r="H998">
        <f>IF(OR($A998="",ROUND($F998+$G998,2)=0),"",$F998+$G998)</f>
        <v/>
      </c>
      <c r="I998">
        <f>IF($H998="","",IF(ROUND($F998,2)&gt;0,$A998,IF($D998="شخصی قاسم","شخصی قاسم",IF($D998="هزینه","هزینه: "&amp;IF($E998="","متفرقه",$E998),IF($C998="پاس چک","چک پرداختی",IF(OR($B998="",COUNTIF(AcctCodesA,$B998)=0),"متفرقه",$B998))))))</f>
        <v/>
      </c>
      <c r="J998">
        <f>IF($H998="","",IF(ROUND($F998,2)&gt;0,IF($D998="شخصی قاسم","شخصی قاسم",IF($D998="هزینه","هزینه: "&amp;IF($E998="","متفرقه",$E998),IF(OR($B998="",COUNTIF(AcctCodesA,$B998)=0),"متفرقه",$B998))),$A998))</f>
        <v/>
      </c>
      <c r="K998">
        <f>IF($A998="","",IF(AND($B998&lt;&gt;"",COUNTIF(AcctCodesA,$B998)=0),"کد طرف در INFO تعریف نشده",IF(AND($D998="هزینه",$E998=""),"هزینه بدون زیرگروه",IF(AND($C998="پاس چک",OR(Sync!$AJ998="",COUNTIF(IssueNosA,Sync!$AJ998)=0)),"شماره چک پاس‌شده معتبر نیست",""))))</f>
        <v/>
      </c>
      <c r="V998">
        <f>IF($K998="","",IF(ISNUMBER(Sync!$AK998),Sync!$AK998,LEFT(Sync!$AK998,4)&amp;MID(Sync!$AK998,6,2)&amp;RIGHT(Sync!$AK998,2))&amp;"|"&amp;"4"&amp;RIGHT("00000"&amp;993,5))</f>
        <v/>
      </c>
      <c r="W998">
        <f>IF($V998="",0,COUNTIFS($V$6:$V$2005,"&lt;"&amp;$V998)-COUNTIFS($V$6:$V$2005,"&lt;"&amp;$V998,$K$6:$K$2005,"")+1)</f>
        <v/>
      </c>
      <c r="X998">
        <f>IF(Sync!$AX998="","",IF(OR(N(Sync!$AY998)=0,N(Sync!$AZ998)=0),"",ROUND(N(Sync!$AY998)*N(Sync!$AZ998),0)))</f>
        <v/>
      </c>
      <c r="Y998">
        <f>IF($X998="","",IF(OR(Sync!$AX998="",COUNTIF(AcctCodesA,Sync!$AX998)=0),"متفرقه",Sync!$AX998))</f>
        <v/>
      </c>
      <c r="Z998">
        <f>IF($X998="","","سبد و ظروف")</f>
        <v/>
      </c>
      <c r="AA998">
        <f>IF($X998="","",$Y998)</f>
        <v/>
      </c>
    </row>
    <row r="999">
      <c r="A999">
        <f>IF(Sync!$Z999="","",LEFT(UPPER(TRIM(Sync!$Z999)),6))</f>
        <v/>
      </c>
      <c r="B999">
        <f>IF($A999="","",IF(Sync!$AA999="","",Sync!$AA999))</f>
        <v/>
      </c>
      <c r="C999">
        <f>IF($A999="","",IF(Sync!$AB999="","",Sync!$AB999))</f>
        <v/>
      </c>
      <c r="D999">
        <f>IF($A999="","",IF(Sync!$AC999="","",Sync!$AC999))</f>
        <v/>
      </c>
      <c r="E999">
        <f>IF($A999="","",IF(Sync!$AD999="","",Sync!$AD999))</f>
        <v/>
      </c>
      <c r="F999">
        <f>IF($A999="","",IF(Sync!$AE999="",0,Sync!$AE999))</f>
        <v/>
      </c>
      <c r="G999">
        <f>IF($A999="","",IF(Sync!$AF999="",0,Sync!$AF999))</f>
        <v/>
      </c>
      <c r="H999">
        <f>IF(OR($A999="",ROUND($F999+$G999,2)=0),"",$F999+$G999)</f>
        <v/>
      </c>
      <c r="I999">
        <f>IF($H999="","",IF(ROUND($F999,2)&gt;0,$A999,IF($D999="شخصی قاسم","شخصی قاسم",IF($D999="هزینه","هزینه: "&amp;IF($E999="","متفرقه",$E999),IF($C999="پاس چک","چک پرداختی",IF(OR($B999="",COUNTIF(AcctCodesA,$B999)=0),"متفرقه",$B999))))))</f>
        <v/>
      </c>
      <c r="J999">
        <f>IF($H999="","",IF(ROUND($F999,2)&gt;0,IF($D999="شخصی قاسم","شخصی قاسم",IF($D999="هزینه","هزینه: "&amp;IF($E999="","متفرقه",$E999),IF(OR($B999="",COUNTIF(AcctCodesA,$B999)=0),"متفرقه",$B999))),$A999))</f>
        <v/>
      </c>
      <c r="K999">
        <f>IF($A999="","",IF(AND($B999&lt;&gt;"",COUNTIF(AcctCodesA,$B999)=0),"کد طرف در INFO تعریف نشده",IF(AND($D999="هزینه",$E999=""),"هزینه بدون زیرگروه",IF(AND($C999="پاس چک",OR(Sync!$AJ999="",COUNTIF(IssueNosA,Sync!$AJ999)=0)),"شماره چک پاس‌شده معتبر نیست",""))))</f>
        <v/>
      </c>
      <c r="V999">
        <f>IF($K999="","",IF(ISNUMBER(Sync!$AK999),Sync!$AK999,LEFT(Sync!$AK999,4)&amp;MID(Sync!$AK999,6,2)&amp;RIGHT(Sync!$AK999,2))&amp;"|"&amp;"4"&amp;RIGHT("00000"&amp;994,5))</f>
        <v/>
      </c>
      <c r="W999">
        <f>IF($V999="",0,COUNTIFS($V$6:$V$2005,"&lt;"&amp;$V999)-COUNTIFS($V$6:$V$2005,"&lt;"&amp;$V999,$K$6:$K$2005,"")+1)</f>
        <v/>
      </c>
      <c r="X999">
        <f>IF(Sync!$AX999="","",IF(OR(N(Sync!$AY999)=0,N(Sync!$AZ999)=0),"",ROUND(N(Sync!$AY999)*N(Sync!$AZ999),0)))</f>
        <v/>
      </c>
      <c r="Y999">
        <f>IF($X999="","",IF(OR(Sync!$AX999="",COUNTIF(AcctCodesA,Sync!$AX999)=0),"متفرقه",Sync!$AX999))</f>
        <v/>
      </c>
      <c r="Z999">
        <f>IF($X999="","","سبد و ظروف")</f>
        <v/>
      </c>
      <c r="AA999">
        <f>IF($X999="","",$Y999)</f>
        <v/>
      </c>
    </row>
    <row r="1000">
      <c r="A1000">
        <f>IF(Sync!$Z1000="","",LEFT(UPPER(TRIM(Sync!$Z1000)),6))</f>
        <v/>
      </c>
      <c r="B1000">
        <f>IF($A1000="","",IF(Sync!$AA1000="","",Sync!$AA1000))</f>
        <v/>
      </c>
      <c r="C1000">
        <f>IF($A1000="","",IF(Sync!$AB1000="","",Sync!$AB1000))</f>
        <v/>
      </c>
      <c r="D1000">
        <f>IF($A1000="","",IF(Sync!$AC1000="","",Sync!$AC1000))</f>
        <v/>
      </c>
      <c r="E1000">
        <f>IF($A1000="","",IF(Sync!$AD1000="","",Sync!$AD1000))</f>
        <v/>
      </c>
      <c r="F1000">
        <f>IF($A1000="","",IF(Sync!$AE1000="",0,Sync!$AE1000))</f>
        <v/>
      </c>
      <c r="G1000">
        <f>IF($A1000="","",IF(Sync!$AF1000="",0,Sync!$AF1000))</f>
        <v/>
      </c>
      <c r="H1000">
        <f>IF(OR($A1000="",ROUND($F1000+$G1000,2)=0),"",$F1000+$G1000)</f>
        <v/>
      </c>
      <c r="I1000">
        <f>IF($H1000="","",IF(ROUND($F1000,2)&gt;0,$A1000,IF($D1000="شخصی قاسم","شخصی قاسم",IF($D1000="هزینه","هزینه: "&amp;IF($E1000="","متفرقه",$E1000),IF($C1000="پاس چک","چک پرداختی",IF(OR($B1000="",COUNTIF(AcctCodesA,$B1000)=0),"متفرقه",$B1000))))))</f>
        <v/>
      </c>
      <c r="J1000">
        <f>IF($H1000="","",IF(ROUND($F1000,2)&gt;0,IF($D1000="شخصی قاسم","شخصی قاسم",IF($D1000="هزینه","هزینه: "&amp;IF($E1000="","متفرقه",$E1000),IF(OR($B1000="",COUNTIF(AcctCodesA,$B1000)=0),"متفرقه",$B1000))),$A1000))</f>
        <v/>
      </c>
      <c r="K1000">
        <f>IF($A1000="","",IF(AND($B1000&lt;&gt;"",COUNTIF(AcctCodesA,$B1000)=0),"کد طرف در INFO تعریف نشده",IF(AND($D1000="هزینه",$E1000=""),"هزینه بدون زیرگروه",IF(AND($C1000="پاس چک",OR(Sync!$AJ1000="",COUNTIF(IssueNosA,Sync!$AJ1000)=0)),"شماره چک پاس‌شده معتبر نیست",""))))</f>
        <v/>
      </c>
      <c r="V1000">
        <f>IF($K1000="","",IF(ISNUMBER(Sync!$AK1000),Sync!$AK1000,LEFT(Sync!$AK1000,4)&amp;MID(Sync!$AK1000,6,2)&amp;RIGHT(Sync!$AK1000,2))&amp;"|"&amp;"4"&amp;RIGHT("00000"&amp;995,5))</f>
        <v/>
      </c>
      <c r="W1000">
        <f>IF($V1000="",0,COUNTIFS($V$6:$V$2005,"&lt;"&amp;$V1000)-COUNTIFS($V$6:$V$2005,"&lt;"&amp;$V1000,$K$6:$K$2005,"")+1)</f>
        <v/>
      </c>
      <c r="X1000">
        <f>IF(Sync!$AX1000="","",IF(OR(N(Sync!$AY1000)=0,N(Sync!$AZ1000)=0),"",ROUND(N(Sync!$AY1000)*N(Sync!$AZ1000),0)))</f>
        <v/>
      </c>
      <c r="Y1000">
        <f>IF($X1000="","",IF(OR(Sync!$AX1000="",COUNTIF(AcctCodesA,Sync!$AX1000)=0),"متفرقه",Sync!$AX1000))</f>
        <v/>
      </c>
      <c r="Z1000">
        <f>IF($X1000="","","سبد و ظروف")</f>
        <v/>
      </c>
      <c r="AA1000">
        <f>IF($X1000="","",$Y1000)</f>
        <v/>
      </c>
    </row>
    <row r="1001">
      <c r="A1001">
        <f>IF(Sync!$Z1001="","",LEFT(UPPER(TRIM(Sync!$Z1001)),6))</f>
        <v/>
      </c>
      <c r="B1001">
        <f>IF($A1001="","",IF(Sync!$AA1001="","",Sync!$AA1001))</f>
        <v/>
      </c>
      <c r="C1001">
        <f>IF($A1001="","",IF(Sync!$AB1001="","",Sync!$AB1001))</f>
        <v/>
      </c>
      <c r="D1001">
        <f>IF($A1001="","",IF(Sync!$AC1001="","",Sync!$AC1001))</f>
        <v/>
      </c>
      <c r="E1001">
        <f>IF($A1001="","",IF(Sync!$AD1001="","",Sync!$AD1001))</f>
        <v/>
      </c>
      <c r="F1001">
        <f>IF($A1001="","",IF(Sync!$AE1001="",0,Sync!$AE1001))</f>
        <v/>
      </c>
      <c r="G1001">
        <f>IF($A1001="","",IF(Sync!$AF1001="",0,Sync!$AF1001))</f>
        <v/>
      </c>
      <c r="H1001">
        <f>IF(OR($A1001="",ROUND($F1001+$G1001,2)=0),"",$F1001+$G1001)</f>
        <v/>
      </c>
      <c r="I1001">
        <f>IF($H1001="","",IF(ROUND($F1001,2)&gt;0,$A1001,IF($D1001="شخصی قاسم","شخصی قاسم",IF($D1001="هزینه","هزینه: "&amp;IF($E1001="","متفرقه",$E1001),IF($C1001="پاس چک","چک پرداختی",IF(OR($B1001="",COUNTIF(AcctCodesA,$B1001)=0),"متفرقه",$B1001))))))</f>
        <v/>
      </c>
      <c r="J1001">
        <f>IF($H1001="","",IF(ROUND($F1001,2)&gt;0,IF($D1001="شخصی قاسم","شخصی قاسم",IF($D1001="هزینه","هزینه: "&amp;IF($E1001="","متفرقه",$E1001),IF(OR($B1001="",COUNTIF(AcctCodesA,$B1001)=0),"متفرقه",$B1001))),$A1001))</f>
        <v/>
      </c>
      <c r="K1001">
        <f>IF($A1001="","",IF(AND($B1001&lt;&gt;"",COUNTIF(AcctCodesA,$B1001)=0),"کد طرف در INFO تعریف نشده",IF(AND($D1001="هزینه",$E1001=""),"هزینه بدون زیرگروه",IF(AND($C1001="پاس چک",OR(Sync!$AJ1001="",COUNTIF(IssueNosA,Sync!$AJ1001)=0)),"شماره چک پاس‌شده معتبر نیست",""))))</f>
        <v/>
      </c>
      <c r="V1001">
        <f>IF($K1001="","",IF(ISNUMBER(Sync!$AK1001),Sync!$AK1001,LEFT(Sync!$AK1001,4)&amp;MID(Sync!$AK1001,6,2)&amp;RIGHT(Sync!$AK1001,2))&amp;"|"&amp;"4"&amp;RIGHT("00000"&amp;996,5))</f>
        <v/>
      </c>
      <c r="W1001">
        <f>IF($V1001="",0,COUNTIFS($V$6:$V$2005,"&lt;"&amp;$V1001)-COUNTIFS($V$6:$V$2005,"&lt;"&amp;$V1001,$K$6:$K$2005,"")+1)</f>
        <v/>
      </c>
      <c r="X1001">
        <f>IF(Sync!$AX1001="","",IF(OR(N(Sync!$AY1001)=0,N(Sync!$AZ1001)=0),"",ROUND(N(Sync!$AY1001)*N(Sync!$AZ1001),0)))</f>
        <v/>
      </c>
      <c r="Y1001">
        <f>IF($X1001="","",IF(OR(Sync!$AX1001="",COUNTIF(AcctCodesA,Sync!$AX1001)=0),"متفرقه",Sync!$AX1001))</f>
        <v/>
      </c>
      <c r="Z1001">
        <f>IF($X1001="","","سبد و ظروف")</f>
        <v/>
      </c>
      <c r="AA1001">
        <f>IF($X1001="","",$Y1001)</f>
        <v/>
      </c>
    </row>
    <row r="1002">
      <c r="A1002">
        <f>IF(Sync!$Z1002="","",LEFT(UPPER(TRIM(Sync!$Z1002)),6))</f>
        <v/>
      </c>
      <c r="B1002">
        <f>IF($A1002="","",IF(Sync!$AA1002="","",Sync!$AA1002))</f>
        <v/>
      </c>
      <c r="C1002">
        <f>IF($A1002="","",IF(Sync!$AB1002="","",Sync!$AB1002))</f>
        <v/>
      </c>
      <c r="D1002">
        <f>IF($A1002="","",IF(Sync!$AC1002="","",Sync!$AC1002))</f>
        <v/>
      </c>
      <c r="E1002">
        <f>IF($A1002="","",IF(Sync!$AD1002="","",Sync!$AD1002))</f>
        <v/>
      </c>
      <c r="F1002">
        <f>IF($A1002="","",IF(Sync!$AE1002="",0,Sync!$AE1002))</f>
        <v/>
      </c>
      <c r="G1002">
        <f>IF($A1002="","",IF(Sync!$AF1002="",0,Sync!$AF1002))</f>
        <v/>
      </c>
      <c r="H1002">
        <f>IF(OR($A1002="",ROUND($F1002+$G1002,2)=0),"",$F1002+$G1002)</f>
        <v/>
      </c>
      <c r="I1002">
        <f>IF($H1002="","",IF(ROUND($F1002,2)&gt;0,$A1002,IF($D1002="شخصی قاسم","شخصی قاسم",IF($D1002="هزینه","هزینه: "&amp;IF($E1002="","متفرقه",$E1002),IF($C1002="پاس چک","چک پرداختی",IF(OR($B1002="",COUNTIF(AcctCodesA,$B1002)=0),"متفرقه",$B1002))))))</f>
        <v/>
      </c>
      <c r="J1002">
        <f>IF($H1002="","",IF(ROUND($F1002,2)&gt;0,IF($D1002="شخصی قاسم","شخصی قاسم",IF($D1002="هزینه","هزینه: "&amp;IF($E1002="","متفرقه",$E1002),IF(OR($B1002="",COUNTIF(AcctCodesA,$B1002)=0),"متفرقه",$B1002))),$A1002))</f>
        <v/>
      </c>
      <c r="K1002">
        <f>IF($A1002="","",IF(AND($B1002&lt;&gt;"",COUNTIF(AcctCodesA,$B1002)=0),"کد طرف در INFO تعریف نشده",IF(AND($D1002="هزینه",$E1002=""),"هزینه بدون زیرگروه",IF(AND($C1002="پاس چک",OR(Sync!$AJ1002="",COUNTIF(IssueNosA,Sync!$AJ1002)=0)),"شماره چک پاس‌شده معتبر نیست",""))))</f>
        <v/>
      </c>
      <c r="V1002">
        <f>IF($K1002="","",IF(ISNUMBER(Sync!$AK1002),Sync!$AK1002,LEFT(Sync!$AK1002,4)&amp;MID(Sync!$AK1002,6,2)&amp;RIGHT(Sync!$AK1002,2))&amp;"|"&amp;"4"&amp;RIGHT("00000"&amp;997,5))</f>
        <v/>
      </c>
      <c r="W1002">
        <f>IF($V1002="",0,COUNTIFS($V$6:$V$2005,"&lt;"&amp;$V1002)-COUNTIFS($V$6:$V$2005,"&lt;"&amp;$V1002,$K$6:$K$2005,"")+1)</f>
        <v/>
      </c>
      <c r="X1002">
        <f>IF(Sync!$AX1002="","",IF(OR(N(Sync!$AY1002)=0,N(Sync!$AZ1002)=0),"",ROUND(N(Sync!$AY1002)*N(Sync!$AZ1002),0)))</f>
        <v/>
      </c>
      <c r="Y1002">
        <f>IF($X1002="","",IF(OR(Sync!$AX1002="",COUNTIF(AcctCodesA,Sync!$AX1002)=0),"متفرقه",Sync!$AX1002))</f>
        <v/>
      </c>
      <c r="Z1002">
        <f>IF($X1002="","","سبد و ظروف")</f>
        <v/>
      </c>
      <c r="AA1002">
        <f>IF($X1002="","",$Y1002)</f>
        <v/>
      </c>
    </row>
    <row r="1003">
      <c r="A1003">
        <f>IF(Sync!$Z1003="","",LEFT(UPPER(TRIM(Sync!$Z1003)),6))</f>
        <v/>
      </c>
      <c r="B1003">
        <f>IF($A1003="","",IF(Sync!$AA1003="","",Sync!$AA1003))</f>
        <v/>
      </c>
      <c r="C1003">
        <f>IF($A1003="","",IF(Sync!$AB1003="","",Sync!$AB1003))</f>
        <v/>
      </c>
      <c r="D1003">
        <f>IF($A1003="","",IF(Sync!$AC1003="","",Sync!$AC1003))</f>
        <v/>
      </c>
      <c r="E1003">
        <f>IF($A1003="","",IF(Sync!$AD1003="","",Sync!$AD1003))</f>
        <v/>
      </c>
      <c r="F1003">
        <f>IF($A1003="","",IF(Sync!$AE1003="",0,Sync!$AE1003))</f>
        <v/>
      </c>
      <c r="G1003">
        <f>IF($A1003="","",IF(Sync!$AF1003="",0,Sync!$AF1003))</f>
        <v/>
      </c>
      <c r="H1003">
        <f>IF(OR($A1003="",ROUND($F1003+$G1003,2)=0),"",$F1003+$G1003)</f>
        <v/>
      </c>
      <c r="I1003">
        <f>IF($H1003="","",IF(ROUND($F1003,2)&gt;0,$A1003,IF($D1003="شخصی قاسم","شخصی قاسم",IF($D1003="هزینه","هزینه: "&amp;IF($E1003="","متفرقه",$E1003),IF($C1003="پاس چک","چک پرداختی",IF(OR($B1003="",COUNTIF(AcctCodesA,$B1003)=0),"متفرقه",$B1003))))))</f>
        <v/>
      </c>
      <c r="J1003">
        <f>IF($H1003="","",IF(ROUND($F1003,2)&gt;0,IF($D1003="شخصی قاسم","شخصی قاسم",IF($D1003="هزینه","هزینه: "&amp;IF($E1003="","متفرقه",$E1003),IF(OR($B1003="",COUNTIF(AcctCodesA,$B1003)=0),"متفرقه",$B1003))),$A1003))</f>
        <v/>
      </c>
      <c r="K1003">
        <f>IF($A1003="","",IF(AND($B1003&lt;&gt;"",COUNTIF(AcctCodesA,$B1003)=0),"کد طرف در INFO تعریف نشده",IF(AND($D1003="هزینه",$E1003=""),"هزینه بدون زیرگروه",IF(AND($C1003="پاس چک",OR(Sync!$AJ1003="",COUNTIF(IssueNosA,Sync!$AJ1003)=0)),"شماره چک پاس‌شده معتبر نیست",""))))</f>
        <v/>
      </c>
      <c r="V1003">
        <f>IF($K1003="","",IF(ISNUMBER(Sync!$AK1003),Sync!$AK1003,LEFT(Sync!$AK1003,4)&amp;MID(Sync!$AK1003,6,2)&amp;RIGHT(Sync!$AK1003,2))&amp;"|"&amp;"4"&amp;RIGHT("00000"&amp;998,5))</f>
        <v/>
      </c>
      <c r="W1003">
        <f>IF($V1003="",0,COUNTIFS($V$6:$V$2005,"&lt;"&amp;$V1003)-COUNTIFS($V$6:$V$2005,"&lt;"&amp;$V1003,$K$6:$K$2005,"")+1)</f>
        <v/>
      </c>
      <c r="X1003">
        <f>IF(Sync!$AX1003="","",IF(OR(N(Sync!$AY1003)=0,N(Sync!$AZ1003)=0),"",ROUND(N(Sync!$AY1003)*N(Sync!$AZ1003),0)))</f>
        <v/>
      </c>
      <c r="Y1003">
        <f>IF($X1003="","",IF(OR(Sync!$AX1003="",COUNTIF(AcctCodesA,Sync!$AX1003)=0),"متفرقه",Sync!$AX1003))</f>
        <v/>
      </c>
      <c r="Z1003">
        <f>IF($X1003="","","سبد و ظروف")</f>
        <v/>
      </c>
      <c r="AA1003">
        <f>IF($X1003="","",$Y1003)</f>
        <v/>
      </c>
    </row>
    <row r="1004">
      <c r="A1004">
        <f>IF(Sync!$Z1004="","",LEFT(UPPER(TRIM(Sync!$Z1004)),6))</f>
        <v/>
      </c>
      <c r="B1004">
        <f>IF($A1004="","",IF(Sync!$AA1004="","",Sync!$AA1004))</f>
        <v/>
      </c>
      <c r="C1004">
        <f>IF($A1004="","",IF(Sync!$AB1004="","",Sync!$AB1004))</f>
        <v/>
      </c>
      <c r="D1004">
        <f>IF($A1004="","",IF(Sync!$AC1004="","",Sync!$AC1004))</f>
        <v/>
      </c>
      <c r="E1004">
        <f>IF($A1004="","",IF(Sync!$AD1004="","",Sync!$AD1004))</f>
        <v/>
      </c>
      <c r="F1004">
        <f>IF($A1004="","",IF(Sync!$AE1004="",0,Sync!$AE1004))</f>
        <v/>
      </c>
      <c r="G1004">
        <f>IF($A1004="","",IF(Sync!$AF1004="",0,Sync!$AF1004))</f>
        <v/>
      </c>
      <c r="H1004">
        <f>IF(OR($A1004="",ROUND($F1004+$G1004,2)=0),"",$F1004+$G1004)</f>
        <v/>
      </c>
      <c r="I1004">
        <f>IF($H1004="","",IF(ROUND($F1004,2)&gt;0,$A1004,IF($D1004="شخصی قاسم","شخصی قاسم",IF($D1004="هزینه","هزینه: "&amp;IF($E1004="","متفرقه",$E1004),IF($C1004="پاس چک","چک پرداختی",IF(OR($B1004="",COUNTIF(AcctCodesA,$B1004)=0),"متفرقه",$B1004))))))</f>
        <v/>
      </c>
      <c r="J1004">
        <f>IF($H1004="","",IF(ROUND($F1004,2)&gt;0,IF($D1004="شخصی قاسم","شخصی قاسم",IF($D1004="هزینه","هزینه: "&amp;IF($E1004="","متفرقه",$E1004),IF(OR($B1004="",COUNTIF(AcctCodesA,$B1004)=0),"متفرقه",$B1004))),$A1004))</f>
        <v/>
      </c>
      <c r="K1004">
        <f>IF($A1004="","",IF(AND($B1004&lt;&gt;"",COUNTIF(AcctCodesA,$B1004)=0),"کد طرف در INFO تعریف نشده",IF(AND($D1004="هزینه",$E1004=""),"هزینه بدون زیرگروه",IF(AND($C1004="پاس چک",OR(Sync!$AJ1004="",COUNTIF(IssueNosA,Sync!$AJ1004)=0)),"شماره چک پاس‌شده معتبر نیست",""))))</f>
        <v/>
      </c>
      <c r="V1004">
        <f>IF($K1004="","",IF(ISNUMBER(Sync!$AK1004),Sync!$AK1004,LEFT(Sync!$AK1004,4)&amp;MID(Sync!$AK1004,6,2)&amp;RIGHT(Sync!$AK1004,2))&amp;"|"&amp;"4"&amp;RIGHT("00000"&amp;999,5))</f>
        <v/>
      </c>
      <c r="W1004">
        <f>IF($V1004="",0,COUNTIFS($V$6:$V$2005,"&lt;"&amp;$V1004)-COUNTIFS($V$6:$V$2005,"&lt;"&amp;$V1004,$K$6:$K$2005,"")+1)</f>
        <v/>
      </c>
      <c r="X1004">
        <f>IF(Sync!$AX1004="","",IF(OR(N(Sync!$AY1004)=0,N(Sync!$AZ1004)=0),"",ROUND(N(Sync!$AY1004)*N(Sync!$AZ1004),0)))</f>
        <v/>
      </c>
      <c r="Y1004">
        <f>IF($X1004="","",IF(OR(Sync!$AX1004="",COUNTIF(AcctCodesA,Sync!$AX1004)=0),"متفرقه",Sync!$AX1004))</f>
        <v/>
      </c>
      <c r="Z1004">
        <f>IF($X1004="","","سبد و ظروف")</f>
        <v/>
      </c>
      <c r="AA1004">
        <f>IF($X1004="","",$Y1004)</f>
        <v/>
      </c>
    </row>
    <row r="1005">
      <c r="A1005">
        <f>IF(Sync!$Z1005="","",LEFT(UPPER(TRIM(Sync!$Z1005)),6))</f>
        <v/>
      </c>
      <c r="B1005">
        <f>IF($A1005="","",IF(Sync!$AA1005="","",Sync!$AA1005))</f>
        <v/>
      </c>
      <c r="C1005">
        <f>IF($A1005="","",IF(Sync!$AB1005="","",Sync!$AB1005))</f>
        <v/>
      </c>
      <c r="D1005">
        <f>IF($A1005="","",IF(Sync!$AC1005="","",Sync!$AC1005))</f>
        <v/>
      </c>
      <c r="E1005">
        <f>IF($A1005="","",IF(Sync!$AD1005="","",Sync!$AD1005))</f>
        <v/>
      </c>
      <c r="F1005">
        <f>IF($A1005="","",IF(Sync!$AE1005="",0,Sync!$AE1005))</f>
        <v/>
      </c>
      <c r="G1005">
        <f>IF($A1005="","",IF(Sync!$AF1005="",0,Sync!$AF1005))</f>
        <v/>
      </c>
      <c r="H1005">
        <f>IF(OR($A1005="",ROUND($F1005+$G1005,2)=0),"",$F1005+$G1005)</f>
        <v/>
      </c>
      <c r="I1005">
        <f>IF($H1005="","",IF(ROUND($F1005,2)&gt;0,$A1005,IF($D1005="شخصی قاسم","شخصی قاسم",IF($D1005="هزینه","هزینه: "&amp;IF($E1005="","متفرقه",$E1005),IF($C1005="پاس چک","چک پرداختی",IF(OR($B1005="",COUNTIF(AcctCodesA,$B1005)=0),"متفرقه",$B1005))))))</f>
        <v/>
      </c>
      <c r="J1005">
        <f>IF($H1005="","",IF(ROUND($F1005,2)&gt;0,IF($D1005="شخصی قاسم","شخصی قاسم",IF($D1005="هزینه","هزینه: "&amp;IF($E1005="","متفرقه",$E1005),IF(OR($B1005="",COUNTIF(AcctCodesA,$B1005)=0),"متفرقه",$B1005))),$A1005))</f>
        <v/>
      </c>
      <c r="K1005">
        <f>IF($A1005="","",IF(AND($B1005&lt;&gt;"",COUNTIF(AcctCodesA,$B1005)=0),"کد طرف در INFO تعریف نشده",IF(AND($D1005="هزینه",$E1005=""),"هزینه بدون زیرگروه",IF(AND($C1005="پاس چک",OR(Sync!$AJ1005="",COUNTIF(IssueNosA,Sync!$AJ1005)=0)),"شماره چک پاس‌شده معتبر نیست",""))))</f>
        <v/>
      </c>
      <c r="V1005">
        <f>IF($K1005="","",IF(ISNUMBER(Sync!$AK1005),Sync!$AK1005,LEFT(Sync!$AK1005,4)&amp;MID(Sync!$AK1005,6,2)&amp;RIGHT(Sync!$AK1005,2))&amp;"|"&amp;"4"&amp;RIGHT("00000"&amp;1000,5))</f>
        <v/>
      </c>
      <c r="W1005">
        <f>IF($V1005="",0,COUNTIFS($V$6:$V$2005,"&lt;"&amp;$V1005)-COUNTIFS($V$6:$V$2005,"&lt;"&amp;$V1005,$K$6:$K$2005,"")+1)</f>
        <v/>
      </c>
      <c r="X1005">
        <f>IF(Sync!$AX1005="","",IF(OR(N(Sync!$AY1005)=0,N(Sync!$AZ1005)=0),"",ROUND(N(Sync!$AY1005)*N(Sync!$AZ1005),0)))</f>
        <v/>
      </c>
      <c r="Y1005">
        <f>IF($X1005="","",IF(OR(Sync!$AX1005="",COUNTIF(AcctCodesA,Sync!$AX1005)=0),"متفرقه",Sync!$AX1005))</f>
        <v/>
      </c>
      <c r="Z1005">
        <f>IF($X1005="","","سبد و ظروف")</f>
        <v/>
      </c>
      <c r="AA1005">
        <f>IF($X1005="","",$Y1005)</f>
        <v/>
      </c>
    </row>
    <row r="1006">
      <c r="A1006">
        <f>IF(Sync!$Z1006="","",LEFT(UPPER(TRIM(Sync!$Z1006)),6))</f>
        <v/>
      </c>
      <c r="B1006">
        <f>IF($A1006="","",IF(Sync!$AA1006="","",Sync!$AA1006))</f>
        <v/>
      </c>
      <c r="C1006">
        <f>IF($A1006="","",IF(Sync!$AB1006="","",Sync!$AB1006))</f>
        <v/>
      </c>
      <c r="D1006">
        <f>IF($A1006="","",IF(Sync!$AC1006="","",Sync!$AC1006))</f>
        <v/>
      </c>
      <c r="E1006">
        <f>IF($A1006="","",IF(Sync!$AD1006="","",Sync!$AD1006))</f>
        <v/>
      </c>
      <c r="F1006">
        <f>IF($A1006="","",IF(Sync!$AE1006="",0,Sync!$AE1006))</f>
        <v/>
      </c>
      <c r="G1006">
        <f>IF($A1006="","",IF(Sync!$AF1006="",0,Sync!$AF1006))</f>
        <v/>
      </c>
      <c r="H1006">
        <f>IF(OR($A1006="",ROUND($F1006+$G1006,2)=0),"",$F1006+$G1006)</f>
        <v/>
      </c>
      <c r="I1006">
        <f>IF($H1006="","",IF(ROUND($F1006,2)&gt;0,$A1006,IF($D1006="شخصی قاسم","شخصی قاسم",IF($D1006="هزینه","هزینه: "&amp;IF($E1006="","متفرقه",$E1006),IF($C1006="پاس چک","چک پرداختی",IF(OR($B1006="",COUNTIF(AcctCodesA,$B1006)=0),"متفرقه",$B1006))))))</f>
        <v/>
      </c>
      <c r="J1006">
        <f>IF($H1006="","",IF(ROUND($F1006,2)&gt;0,IF($D1006="شخصی قاسم","شخصی قاسم",IF($D1006="هزینه","هزینه: "&amp;IF($E1006="","متفرقه",$E1006),IF(OR($B1006="",COUNTIF(AcctCodesA,$B1006)=0),"متفرقه",$B1006))),$A1006))</f>
        <v/>
      </c>
      <c r="K1006">
        <f>IF($A1006="","",IF(AND($B1006&lt;&gt;"",COUNTIF(AcctCodesA,$B1006)=0),"کد طرف در INFO تعریف نشده",IF(AND($D1006="هزینه",$E1006=""),"هزینه بدون زیرگروه",IF(AND($C1006="پاس چک",OR(Sync!$AJ1006="",COUNTIF(IssueNosA,Sync!$AJ1006)=0)),"شماره چک پاس‌شده معتبر نیست",""))))</f>
        <v/>
      </c>
      <c r="V1006">
        <f>IF($K1006="","",IF(ISNUMBER(Sync!$AK1006),Sync!$AK1006,LEFT(Sync!$AK1006,4)&amp;MID(Sync!$AK1006,6,2)&amp;RIGHT(Sync!$AK1006,2))&amp;"|"&amp;"4"&amp;RIGHT("00000"&amp;1001,5))</f>
        <v/>
      </c>
      <c r="W1006">
        <f>IF($V1006="",0,COUNTIFS($V$6:$V$2005,"&lt;"&amp;$V1006)-COUNTIFS($V$6:$V$2005,"&lt;"&amp;$V1006,$K$6:$K$2005,"")+1)</f>
        <v/>
      </c>
    </row>
    <row r="1007">
      <c r="A1007">
        <f>IF(Sync!$Z1007="","",LEFT(UPPER(TRIM(Sync!$Z1007)),6))</f>
        <v/>
      </c>
      <c r="B1007">
        <f>IF($A1007="","",IF(Sync!$AA1007="","",Sync!$AA1007))</f>
        <v/>
      </c>
      <c r="C1007">
        <f>IF($A1007="","",IF(Sync!$AB1007="","",Sync!$AB1007))</f>
        <v/>
      </c>
      <c r="D1007">
        <f>IF($A1007="","",IF(Sync!$AC1007="","",Sync!$AC1007))</f>
        <v/>
      </c>
      <c r="E1007">
        <f>IF($A1007="","",IF(Sync!$AD1007="","",Sync!$AD1007))</f>
        <v/>
      </c>
      <c r="F1007">
        <f>IF($A1007="","",IF(Sync!$AE1007="",0,Sync!$AE1007))</f>
        <v/>
      </c>
      <c r="G1007">
        <f>IF($A1007="","",IF(Sync!$AF1007="",0,Sync!$AF1007))</f>
        <v/>
      </c>
      <c r="H1007">
        <f>IF(OR($A1007="",ROUND($F1007+$G1007,2)=0),"",$F1007+$G1007)</f>
        <v/>
      </c>
      <c r="I1007">
        <f>IF($H1007="","",IF(ROUND($F1007,2)&gt;0,$A1007,IF($D1007="شخصی قاسم","شخصی قاسم",IF($D1007="هزینه","هزینه: "&amp;IF($E1007="","متفرقه",$E1007),IF($C1007="پاس چک","چک پرداختی",IF(OR($B1007="",COUNTIF(AcctCodesA,$B1007)=0),"متفرقه",$B1007))))))</f>
        <v/>
      </c>
      <c r="J1007">
        <f>IF($H1007="","",IF(ROUND($F1007,2)&gt;0,IF($D1007="شخصی قاسم","شخصی قاسم",IF($D1007="هزینه","هزینه: "&amp;IF($E1007="","متفرقه",$E1007),IF(OR($B1007="",COUNTIF(AcctCodesA,$B1007)=0),"متفرقه",$B1007))),$A1007))</f>
        <v/>
      </c>
      <c r="K1007">
        <f>IF($A1007="","",IF(AND($B1007&lt;&gt;"",COUNTIF(AcctCodesA,$B1007)=0),"کد طرف در INFO تعریف نشده",IF(AND($D1007="هزینه",$E1007=""),"هزینه بدون زیرگروه",IF(AND($C1007="پاس چک",OR(Sync!$AJ1007="",COUNTIF(IssueNosA,Sync!$AJ1007)=0)),"شماره چک پاس‌شده معتبر نیست",""))))</f>
        <v/>
      </c>
      <c r="V1007">
        <f>IF($K1007="","",IF(ISNUMBER(Sync!$AK1007),Sync!$AK1007,LEFT(Sync!$AK1007,4)&amp;MID(Sync!$AK1007,6,2)&amp;RIGHT(Sync!$AK1007,2))&amp;"|"&amp;"4"&amp;RIGHT("00000"&amp;1002,5))</f>
        <v/>
      </c>
      <c r="W1007">
        <f>IF($V1007="",0,COUNTIFS($V$6:$V$2005,"&lt;"&amp;$V1007)-COUNTIFS($V$6:$V$2005,"&lt;"&amp;$V1007,$K$6:$K$2005,"")+1)</f>
        <v/>
      </c>
    </row>
    <row r="1008">
      <c r="A1008">
        <f>IF(Sync!$Z1008="","",LEFT(UPPER(TRIM(Sync!$Z1008)),6))</f>
        <v/>
      </c>
      <c r="B1008">
        <f>IF($A1008="","",IF(Sync!$AA1008="","",Sync!$AA1008))</f>
        <v/>
      </c>
      <c r="C1008">
        <f>IF($A1008="","",IF(Sync!$AB1008="","",Sync!$AB1008))</f>
        <v/>
      </c>
      <c r="D1008">
        <f>IF($A1008="","",IF(Sync!$AC1008="","",Sync!$AC1008))</f>
        <v/>
      </c>
      <c r="E1008">
        <f>IF($A1008="","",IF(Sync!$AD1008="","",Sync!$AD1008))</f>
        <v/>
      </c>
      <c r="F1008">
        <f>IF($A1008="","",IF(Sync!$AE1008="",0,Sync!$AE1008))</f>
        <v/>
      </c>
      <c r="G1008">
        <f>IF($A1008="","",IF(Sync!$AF1008="",0,Sync!$AF1008))</f>
        <v/>
      </c>
      <c r="H1008">
        <f>IF(OR($A1008="",ROUND($F1008+$G1008,2)=0),"",$F1008+$G1008)</f>
        <v/>
      </c>
      <c r="I1008">
        <f>IF($H1008="","",IF(ROUND($F1008,2)&gt;0,$A1008,IF($D1008="شخصی قاسم","شخصی قاسم",IF($D1008="هزینه","هزینه: "&amp;IF($E1008="","متفرقه",$E1008),IF($C1008="پاس چک","چک پرداختی",IF(OR($B1008="",COUNTIF(AcctCodesA,$B1008)=0),"متفرقه",$B1008))))))</f>
        <v/>
      </c>
      <c r="J1008">
        <f>IF($H1008="","",IF(ROUND($F1008,2)&gt;0,IF($D1008="شخصی قاسم","شخصی قاسم",IF($D1008="هزینه","هزینه: "&amp;IF($E1008="","متفرقه",$E1008),IF(OR($B1008="",COUNTIF(AcctCodesA,$B1008)=0),"متفرقه",$B1008))),$A1008))</f>
        <v/>
      </c>
      <c r="K1008">
        <f>IF($A1008="","",IF(AND($B1008&lt;&gt;"",COUNTIF(AcctCodesA,$B1008)=0),"کد طرف در INFO تعریف نشده",IF(AND($D1008="هزینه",$E1008=""),"هزینه بدون زیرگروه",IF(AND($C1008="پاس چک",OR(Sync!$AJ1008="",COUNTIF(IssueNosA,Sync!$AJ1008)=0)),"شماره چک پاس‌شده معتبر نیست",""))))</f>
        <v/>
      </c>
      <c r="V1008">
        <f>IF($K1008="","",IF(ISNUMBER(Sync!$AK1008),Sync!$AK1008,LEFT(Sync!$AK1008,4)&amp;MID(Sync!$AK1008,6,2)&amp;RIGHT(Sync!$AK1008,2))&amp;"|"&amp;"4"&amp;RIGHT("00000"&amp;1003,5))</f>
        <v/>
      </c>
      <c r="W1008">
        <f>IF($V1008="",0,COUNTIFS($V$6:$V$2005,"&lt;"&amp;$V1008)-COUNTIFS($V$6:$V$2005,"&lt;"&amp;$V1008,$K$6:$K$2005,"")+1)</f>
        <v/>
      </c>
    </row>
    <row r="1009">
      <c r="A1009">
        <f>IF(Sync!$Z1009="","",LEFT(UPPER(TRIM(Sync!$Z1009)),6))</f>
        <v/>
      </c>
      <c r="B1009">
        <f>IF($A1009="","",IF(Sync!$AA1009="","",Sync!$AA1009))</f>
        <v/>
      </c>
      <c r="C1009">
        <f>IF($A1009="","",IF(Sync!$AB1009="","",Sync!$AB1009))</f>
        <v/>
      </c>
      <c r="D1009">
        <f>IF($A1009="","",IF(Sync!$AC1009="","",Sync!$AC1009))</f>
        <v/>
      </c>
      <c r="E1009">
        <f>IF($A1009="","",IF(Sync!$AD1009="","",Sync!$AD1009))</f>
        <v/>
      </c>
      <c r="F1009">
        <f>IF($A1009="","",IF(Sync!$AE1009="",0,Sync!$AE1009))</f>
        <v/>
      </c>
      <c r="G1009">
        <f>IF($A1009="","",IF(Sync!$AF1009="",0,Sync!$AF1009))</f>
        <v/>
      </c>
      <c r="H1009">
        <f>IF(OR($A1009="",ROUND($F1009+$G1009,2)=0),"",$F1009+$G1009)</f>
        <v/>
      </c>
      <c r="I1009">
        <f>IF($H1009="","",IF(ROUND($F1009,2)&gt;0,$A1009,IF($D1009="شخصی قاسم","شخصی قاسم",IF($D1009="هزینه","هزینه: "&amp;IF($E1009="","متفرقه",$E1009),IF($C1009="پاس چک","چک پرداختی",IF(OR($B1009="",COUNTIF(AcctCodesA,$B1009)=0),"متفرقه",$B1009))))))</f>
        <v/>
      </c>
      <c r="J1009">
        <f>IF($H1009="","",IF(ROUND($F1009,2)&gt;0,IF($D1009="شخصی قاسم","شخصی قاسم",IF($D1009="هزینه","هزینه: "&amp;IF($E1009="","متفرقه",$E1009),IF(OR($B1009="",COUNTIF(AcctCodesA,$B1009)=0),"متفرقه",$B1009))),$A1009))</f>
        <v/>
      </c>
      <c r="K1009">
        <f>IF($A1009="","",IF(AND($B1009&lt;&gt;"",COUNTIF(AcctCodesA,$B1009)=0),"کد طرف در INFO تعریف نشده",IF(AND($D1009="هزینه",$E1009=""),"هزینه بدون زیرگروه",IF(AND($C1009="پاس چک",OR(Sync!$AJ1009="",COUNTIF(IssueNosA,Sync!$AJ1009)=0)),"شماره چک پاس‌شده معتبر نیست",""))))</f>
        <v/>
      </c>
      <c r="V1009">
        <f>IF($K1009="","",IF(ISNUMBER(Sync!$AK1009),Sync!$AK1009,LEFT(Sync!$AK1009,4)&amp;MID(Sync!$AK1009,6,2)&amp;RIGHT(Sync!$AK1009,2))&amp;"|"&amp;"4"&amp;RIGHT("00000"&amp;1004,5))</f>
        <v/>
      </c>
      <c r="W1009">
        <f>IF($V1009="",0,COUNTIFS($V$6:$V$2005,"&lt;"&amp;$V1009)-COUNTIFS($V$6:$V$2005,"&lt;"&amp;$V1009,$K$6:$K$2005,"")+1)</f>
        <v/>
      </c>
    </row>
    <row r="1010">
      <c r="A1010">
        <f>IF(Sync!$Z1010="","",LEFT(UPPER(TRIM(Sync!$Z1010)),6))</f>
        <v/>
      </c>
      <c r="B1010">
        <f>IF($A1010="","",IF(Sync!$AA1010="","",Sync!$AA1010))</f>
        <v/>
      </c>
      <c r="C1010">
        <f>IF($A1010="","",IF(Sync!$AB1010="","",Sync!$AB1010))</f>
        <v/>
      </c>
      <c r="D1010">
        <f>IF($A1010="","",IF(Sync!$AC1010="","",Sync!$AC1010))</f>
        <v/>
      </c>
      <c r="E1010">
        <f>IF($A1010="","",IF(Sync!$AD1010="","",Sync!$AD1010))</f>
        <v/>
      </c>
      <c r="F1010">
        <f>IF($A1010="","",IF(Sync!$AE1010="",0,Sync!$AE1010))</f>
        <v/>
      </c>
      <c r="G1010">
        <f>IF($A1010="","",IF(Sync!$AF1010="",0,Sync!$AF1010))</f>
        <v/>
      </c>
      <c r="H1010">
        <f>IF(OR($A1010="",ROUND($F1010+$G1010,2)=0),"",$F1010+$G1010)</f>
        <v/>
      </c>
      <c r="I1010">
        <f>IF($H1010="","",IF(ROUND($F1010,2)&gt;0,$A1010,IF($D1010="شخصی قاسم","شخصی قاسم",IF($D1010="هزینه","هزینه: "&amp;IF($E1010="","متفرقه",$E1010),IF($C1010="پاس چک","چک پرداختی",IF(OR($B1010="",COUNTIF(AcctCodesA,$B1010)=0),"متفرقه",$B1010))))))</f>
        <v/>
      </c>
      <c r="J1010">
        <f>IF($H1010="","",IF(ROUND($F1010,2)&gt;0,IF($D1010="شخصی قاسم","شخصی قاسم",IF($D1010="هزینه","هزینه: "&amp;IF($E1010="","متفرقه",$E1010),IF(OR($B1010="",COUNTIF(AcctCodesA,$B1010)=0),"متفرقه",$B1010))),$A1010))</f>
        <v/>
      </c>
      <c r="K1010">
        <f>IF($A1010="","",IF(AND($B1010&lt;&gt;"",COUNTIF(AcctCodesA,$B1010)=0),"کد طرف در INFO تعریف نشده",IF(AND($D1010="هزینه",$E1010=""),"هزینه بدون زیرگروه",IF(AND($C1010="پاس چک",OR(Sync!$AJ1010="",COUNTIF(IssueNosA,Sync!$AJ1010)=0)),"شماره چک پاس‌شده معتبر نیست",""))))</f>
        <v/>
      </c>
      <c r="V1010">
        <f>IF($K1010="","",IF(ISNUMBER(Sync!$AK1010),Sync!$AK1010,LEFT(Sync!$AK1010,4)&amp;MID(Sync!$AK1010,6,2)&amp;RIGHT(Sync!$AK1010,2))&amp;"|"&amp;"4"&amp;RIGHT("00000"&amp;1005,5))</f>
        <v/>
      </c>
      <c r="W1010">
        <f>IF($V1010="",0,COUNTIFS($V$6:$V$2005,"&lt;"&amp;$V1010)-COUNTIFS($V$6:$V$2005,"&lt;"&amp;$V1010,$K$6:$K$2005,"")+1)</f>
        <v/>
      </c>
    </row>
    <row r="1011">
      <c r="A1011">
        <f>IF(Sync!$Z1011="","",LEFT(UPPER(TRIM(Sync!$Z1011)),6))</f>
        <v/>
      </c>
      <c r="B1011">
        <f>IF($A1011="","",IF(Sync!$AA1011="","",Sync!$AA1011))</f>
        <v/>
      </c>
      <c r="C1011">
        <f>IF($A1011="","",IF(Sync!$AB1011="","",Sync!$AB1011))</f>
        <v/>
      </c>
      <c r="D1011">
        <f>IF($A1011="","",IF(Sync!$AC1011="","",Sync!$AC1011))</f>
        <v/>
      </c>
      <c r="E1011">
        <f>IF($A1011="","",IF(Sync!$AD1011="","",Sync!$AD1011))</f>
        <v/>
      </c>
      <c r="F1011">
        <f>IF($A1011="","",IF(Sync!$AE1011="",0,Sync!$AE1011))</f>
        <v/>
      </c>
      <c r="G1011">
        <f>IF($A1011="","",IF(Sync!$AF1011="",0,Sync!$AF1011))</f>
        <v/>
      </c>
      <c r="H1011">
        <f>IF(OR($A1011="",ROUND($F1011+$G1011,2)=0),"",$F1011+$G1011)</f>
        <v/>
      </c>
      <c r="I1011">
        <f>IF($H1011="","",IF(ROUND($F1011,2)&gt;0,$A1011,IF($D1011="شخصی قاسم","شخصی قاسم",IF($D1011="هزینه","هزینه: "&amp;IF($E1011="","متفرقه",$E1011),IF($C1011="پاس چک","چک پرداختی",IF(OR($B1011="",COUNTIF(AcctCodesA,$B1011)=0),"متفرقه",$B1011))))))</f>
        <v/>
      </c>
      <c r="J1011">
        <f>IF($H1011="","",IF(ROUND($F1011,2)&gt;0,IF($D1011="شخصی قاسم","شخصی قاسم",IF($D1011="هزینه","هزینه: "&amp;IF($E1011="","متفرقه",$E1011),IF(OR($B1011="",COUNTIF(AcctCodesA,$B1011)=0),"متفرقه",$B1011))),$A1011))</f>
        <v/>
      </c>
      <c r="K1011">
        <f>IF($A1011="","",IF(AND($B1011&lt;&gt;"",COUNTIF(AcctCodesA,$B1011)=0),"کد طرف در INFO تعریف نشده",IF(AND($D1011="هزینه",$E1011=""),"هزینه بدون زیرگروه",IF(AND($C1011="پاس چک",OR(Sync!$AJ1011="",COUNTIF(IssueNosA,Sync!$AJ1011)=0)),"شماره چک پاس‌شده معتبر نیست",""))))</f>
        <v/>
      </c>
      <c r="V1011">
        <f>IF($K1011="","",IF(ISNUMBER(Sync!$AK1011),Sync!$AK1011,LEFT(Sync!$AK1011,4)&amp;MID(Sync!$AK1011,6,2)&amp;RIGHT(Sync!$AK1011,2))&amp;"|"&amp;"4"&amp;RIGHT("00000"&amp;1006,5))</f>
        <v/>
      </c>
      <c r="W1011">
        <f>IF($V1011="",0,COUNTIFS($V$6:$V$2005,"&lt;"&amp;$V1011)-COUNTIFS($V$6:$V$2005,"&lt;"&amp;$V1011,$K$6:$K$2005,"")+1)</f>
        <v/>
      </c>
    </row>
    <row r="1012">
      <c r="A1012">
        <f>IF(Sync!$Z1012="","",LEFT(UPPER(TRIM(Sync!$Z1012)),6))</f>
        <v/>
      </c>
      <c r="B1012">
        <f>IF($A1012="","",IF(Sync!$AA1012="","",Sync!$AA1012))</f>
        <v/>
      </c>
      <c r="C1012">
        <f>IF($A1012="","",IF(Sync!$AB1012="","",Sync!$AB1012))</f>
        <v/>
      </c>
      <c r="D1012">
        <f>IF($A1012="","",IF(Sync!$AC1012="","",Sync!$AC1012))</f>
        <v/>
      </c>
      <c r="E1012">
        <f>IF($A1012="","",IF(Sync!$AD1012="","",Sync!$AD1012))</f>
        <v/>
      </c>
      <c r="F1012">
        <f>IF($A1012="","",IF(Sync!$AE1012="",0,Sync!$AE1012))</f>
        <v/>
      </c>
      <c r="G1012">
        <f>IF($A1012="","",IF(Sync!$AF1012="",0,Sync!$AF1012))</f>
        <v/>
      </c>
      <c r="H1012">
        <f>IF(OR($A1012="",ROUND($F1012+$G1012,2)=0),"",$F1012+$G1012)</f>
        <v/>
      </c>
      <c r="I1012">
        <f>IF($H1012="","",IF(ROUND($F1012,2)&gt;0,$A1012,IF($D1012="شخصی قاسم","شخصی قاسم",IF($D1012="هزینه","هزینه: "&amp;IF($E1012="","متفرقه",$E1012),IF($C1012="پاس چک","چک پرداختی",IF(OR($B1012="",COUNTIF(AcctCodesA,$B1012)=0),"متفرقه",$B1012))))))</f>
        <v/>
      </c>
      <c r="J1012">
        <f>IF($H1012="","",IF(ROUND($F1012,2)&gt;0,IF($D1012="شخصی قاسم","شخصی قاسم",IF($D1012="هزینه","هزینه: "&amp;IF($E1012="","متفرقه",$E1012),IF(OR($B1012="",COUNTIF(AcctCodesA,$B1012)=0),"متفرقه",$B1012))),$A1012))</f>
        <v/>
      </c>
      <c r="K1012">
        <f>IF($A1012="","",IF(AND($B1012&lt;&gt;"",COUNTIF(AcctCodesA,$B1012)=0),"کد طرف در INFO تعریف نشده",IF(AND($D1012="هزینه",$E1012=""),"هزینه بدون زیرگروه",IF(AND($C1012="پاس چک",OR(Sync!$AJ1012="",COUNTIF(IssueNosA,Sync!$AJ1012)=0)),"شماره چک پاس‌شده معتبر نیست",""))))</f>
        <v/>
      </c>
      <c r="V1012">
        <f>IF($K1012="","",IF(ISNUMBER(Sync!$AK1012),Sync!$AK1012,LEFT(Sync!$AK1012,4)&amp;MID(Sync!$AK1012,6,2)&amp;RIGHT(Sync!$AK1012,2))&amp;"|"&amp;"4"&amp;RIGHT("00000"&amp;1007,5))</f>
        <v/>
      </c>
      <c r="W1012">
        <f>IF($V1012="",0,COUNTIFS($V$6:$V$2005,"&lt;"&amp;$V1012)-COUNTIFS($V$6:$V$2005,"&lt;"&amp;$V1012,$K$6:$K$2005,"")+1)</f>
        <v/>
      </c>
    </row>
    <row r="1013">
      <c r="A1013">
        <f>IF(Sync!$Z1013="","",LEFT(UPPER(TRIM(Sync!$Z1013)),6))</f>
        <v/>
      </c>
      <c r="B1013">
        <f>IF($A1013="","",IF(Sync!$AA1013="","",Sync!$AA1013))</f>
        <v/>
      </c>
      <c r="C1013">
        <f>IF($A1013="","",IF(Sync!$AB1013="","",Sync!$AB1013))</f>
        <v/>
      </c>
      <c r="D1013">
        <f>IF($A1013="","",IF(Sync!$AC1013="","",Sync!$AC1013))</f>
        <v/>
      </c>
      <c r="E1013">
        <f>IF($A1013="","",IF(Sync!$AD1013="","",Sync!$AD1013))</f>
        <v/>
      </c>
      <c r="F1013">
        <f>IF($A1013="","",IF(Sync!$AE1013="",0,Sync!$AE1013))</f>
        <v/>
      </c>
      <c r="G1013">
        <f>IF($A1013="","",IF(Sync!$AF1013="",0,Sync!$AF1013))</f>
        <v/>
      </c>
      <c r="H1013">
        <f>IF(OR($A1013="",ROUND($F1013+$G1013,2)=0),"",$F1013+$G1013)</f>
        <v/>
      </c>
      <c r="I1013">
        <f>IF($H1013="","",IF(ROUND($F1013,2)&gt;0,$A1013,IF($D1013="شخصی قاسم","شخصی قاسم",IF($D1013="هزینه","هزینه: "&amp;IF($E1013="","متفرقه",$E1013),IF($C1013="پاس چک","چک پرداختی",IF(OR($B1013="",COUNTIF(AcctCodesA,$B1013)=0),"متفرقه",$B1013))))))</f>
        <v/>
      </c>
      <c r="J1013">
        <f>IF($H1013="","",IF(ROUND($F1013,2)&gt;0,IF($D1013="شخصی قاسم","شخصی قاسم",IF($D1013="هزینه","هزینه: "&amp;IF($E1013="","متفرقه",$E1013),IF(OR($B1013="",COUNTIF(AcctCodesA,$B1013)=0),"متفرقه",$B1013))),$A1013))</f>
        <v/>
      </c>
      <c r="K1013">
        <f>IF($A1013="","",IF(AND($B1013&lt;&gt;"",COUNTIF(AcctCodesA,$B1013)=0),"کد طرف در INFO تعریف نشده",IF(AND($D1013="هزینه",$E1013=""),"هزینه بدون زیرگروه",IF(AND($C1013="پاس چک",OR(Sync!$AJ1013="",COUNTIF(IssueNosA,Sync!$AJ1013)=0)),"شماره چک پاس‌شده معتبر نیست",""))))</f>
        <v/>
      </c>
      <c r="V1013">
        <f>IF($K1013="","",IF(ISNUMBER(Sync!$AK1013),Sync!$AK1013,LEFT(Sync!$AK1013,4)&amp;MID(Sync!$AK1013,6,2)&amp;RIGHT(Sync!$AK1013,2))&amp;"|"&amp;"4"&amp;RIGHT("00000"&amp;1008,5))</f>
        <v/>
      </c>
      <c r="W1013">
        <f>IF($V1013="",0,COUNTIFS($V$6:$V$2005,"&lt;"&amp;$V1013)-COUNTIFS($V$6:$V$2005,"&lt;"&amp;$V1013,$K$6:$K$2005,"")+1)</f>
        <v/>
      </c>
    </row>
    <row r="1014">
      <c r="A1014">
        <f>IF(Sync!$Z1014="","",LEFT(UPPER(TRIM(Sync!$Z1014)),6))</f>
        <v/>
      </c>
      <c r="B1014">
        <f>IF($A1014="","",IF(Sync!$AA1014="","",Sync!$AA1014))</f>
        <v/>
      </c>
      <c r="C1014">
        <f>IF($A1014="","",IF(Sync!$AB1014="","",Sync!$AB1014))</f>
        <v/>
      </c>
      <c r="D1014">
        <f>IF($A1014="","",IF(Sync!$AC1014="","",Sync!$AC1014))</f>
        <v/>
      </c>
      <c r="E1014">
        <f>IF($A1014="","",IF(Sync!$AD1014="","",Sync!$AD1014))</f>
        <v/>
      </c>
      <c r="F1014">
        <f>IF($A1014="","",IF(Sync!$AE1014="",0,Sync!$AE1014))</f>
        <v/>
      </c>
      <c r="G1014">
        <f>IF($A1014="","",IF(Sync!$AF1014="",0,Sync!$AF1014))</f>
        <v/>
      </c>
      <c r="H1014">
        <f>IF(OR($A1014="",ROUND($F1014+$G1014,2)=0),"",$F1014+$G1014)</f>
        <v/>
      </c>
      <c r="I1014">
        <f>IF($H1014="","",IF(ROUND($F1014,2)&gt;0,$A1014,IF($D1014="شخصی قاسم","شخصی قاسم",IF($D1014="هزینه","هزینه: "&amp;IF($E1014="","متفرقه",$E1014),IF($C1014="پاس چک","چک پرداختی",IF(OR($B1014="",COUNTIF(AcctCodesA,$B1014)=0),"متفرقه",$B1014))))))</f>
        <v/>
      </c>
      <c r="J1014">
        <f>IF($H1014="","",IF(ROUND($F1014,2)&gt;0,IF($D1014="شخصی قاسم","شخصی قاسم",IF($D1014="هزینه","هزینه: "&amp;IF($E1014="","متفرقه",$E1014),IF(OR($B1014="",COUNTIF(AcctCodesA,$B1014)=0),"متفرقه",$B1014))),$A1014))</f>
        <v/>
      </c>
      <c r="K1014">
        <f>IF($A1014="","",IF(AND($B1014&lt;&gt;"",COUNTIF(AcctCodesA,$B1014)=0),"کد طرف در INFO تعریف نشده",IF(AND($D1014="هزینه",$E1014=""),"هزینه بدون زیرگروه",IF(AND($C1014="پاس چک",OR(Sync!$AJ1014="",COUNTIF(IssueNosA,Sync!$AJ1014)=0)),"شماره چک پاس‌شده معتبر نیست",""))))</f>
        <v/>
      </c>
      <c r="V1014">
        <f>IF($K1014="","",IF(ISNUMBER(Sync!$AK1014),Sync!$AK1014,LEFT(Sync!$AK1014,4)&amp;MID(Sync!$AK1014,6,2)&amp;RIGHT(Sync!$AK1014,2))&amp;"|"&amp;"4"&amp;RIGHT("00000"&amp;1009,5))</f>
        <v/>
      </c>
      <c r="W1014">
        <f>IF($V1014="",0,COUNTIFS($V$6:$V$2005,"&lt;"&amp;$V1014)-COUNTIFS($V$6:$V$2005,"&lt;"&amp;$V1014,$K$6:$K$2005,"")+1)</f>
        <v/>
      </c>
    </row>
    <row r="1015">
      <c r="A1015">
        <f>IF(Sync!$Z1015="","",LEFT(UPPER(TRIM(Sync!$Z1015)),6))</f>
        <v/>
      </c>
      <c r="B1015">
        <f>IF($A1015="","",IF(Sync!$AA1015="","",Sync!$AA1015))</f>
        <v/>
      </c>
      <c r="C1015">
        <f>IF($A1015="","",IF(Sync!$AB1015="","",Sync!$AB1015))</f>
        <v/>
      </c>
      <c r="D1015">
        <f>IF($A1015="","",IF(Sync!$AC1015="","",Sync!$AC1015))</f>
        <v/>
      </c>
      <c r="E1015">
        <f>IF($A1015="","",IF(Sync!$AD1015="","",Sync!$AD1015))</f>
        <v/>
      </c>
      <c r="F1015">
        <f>IF($A1015="","",IF(Sync!$AE1015="",0,Sync!$AE1015))</f>
        <v/>
      </c>
      <c r="G1015">
        <f>IF($A1015="","",IF(Sync!$AF1015="",0,Sync!$AF1015))</f>
        <v/>
      </c>
      <c r="H1015">
        <f>IF(OR($A1015="",ROUND($F1015+$G1015,2)=0),"",$F1015+$G1015)</f>
        <v/>
      </c>
      <c r="I1015">
        <f>IF($H1015="","",IF(ROUND($F1015,2)&gt;0,$A1015,IF($D1015="شخصی قاسم","شخصی قاسم",IF($D1015="هزینه","هزینه: "&amp;IF($E1015="","متفرقه",$E1015),IF($C1015="پاس چک","چک پرداختی",IF(OR($B1015="",COUNTIF(AcctCodesA,$B1015)=0),"متفرقه",$B1015))))))</f>
        <v/>
      </c>
      <c r="J1015">
        <f>IF($H1015="","",IF(ROUND($F1015,2)&gt;0,IF($D1015="شخصی قاسم","شخصی قاسم",IF($D1015="هزینه","هزینه: "&amp;IF($E1015="","متفرقه",$E1015),IF(OR($B1015="",COUNTIF(AcctCodesA,$B1015)=0),"متفرقه",$B1015))),$A1015))</f>
        <v/>
      </c>
      <c r="K1015">
        <f>IF($A1015="","",IF(AND($B1015&lt;&gt;"",COUNTIF(AcctCodesA,$B1015)=0),"کد طرف در INFO تعریف نشده",IF(AND($D1015="هزینه",$E1015=""),"هزینه بدون زیرگروه",IF(AND($C1015="پاس چک",OR(Sync!$AJ1015="",COUNTIF(IssueNosA,Sync!$AJ1015)=0)),"شماره چک پاس‌شده معتبر نیست",""))))</f>
        <v/>
      </c>
      <c r="V1015">
        <f>IF($K1015="","",IF(ISNUMBER(Sync!$AK1015),Sync!$AK1015,LEFT(Sync!$AK1015,4)&amp;MID(Sync!$AK1015,6,2)&amp;RIGHT(Sync!$AK1015,2))&amp;"|"&amp;"4"&amp;RIGHT("00000"&amp;1010,5))</f>
        <v/>
      </c>
      <c r="W1015">
        <f>IF($V1015="",0,COUNTIFS($V$6:$V$2005,"&lt;"&amp;$V1015)-COUNTIFS($V$6:$V$2005,"&lt;"&amp;$V1015,$K$6:$K$2005,"")+1)</f>
        <v/>
      </c>
    </row>
    <row r="1016">
      <c r="A1016">
        <f>IF(Sync!$Z1016="","",LEFT(UPPER(TRIM(Sync!$Z1016)),6))</f>
        <v/>
      </c>
      <c r="B1016">
        <f>IF($A1016="","",IF(Sync!$AA1016="","",Sync!$AA1016))</f>
        <v/>
      </c>
      <c r="C1016">
        <f>IF($A1016="","",IF(Sync!$AB1016="","",Sync!$AB1016))</f>
        <v/>
      </c>
      <c r="D1016">
        <f>IF($A1016="","",IF(Sync!$AC1016="","",Sync!$AC1016))</f>
        <v/>
      </c>
      <c r="E1016">
        <f>IF($A1016="","",IF(Sync!$AD1016="","",Sync!$AD1016))</f>
        <v/>
      </c>
      <c r="F1016">
        <f>IF($A1016="","",IF(Sync!$AE1016="",0,Sync!$AE1016))</f>
        <v/>
      </c>
      <c r="G1016">
        <f>IF($A1016="","",IF(Sync!$AF1016="",0,Sync!$AF1016))</f>
        <v/>
      </c>
      <c r="H1016">
        <f>IF(OR($A1016="",ROUND($F1016+$G1016,2)=0),"",$F1016+$G1016)</f>
        <v/>
      </c>
      <c r="I1016">
        <f>IF($H1016="","",IF(ROUND($F1016,2)&gt;0,$A1016,IF($D1016="شخصی قاسم","شخصی قاسم",IF($D1016="هزینه","هزینه: "&amp;IF($E1016="","متفرقه",$E1016),IF($C1016="پاس چک","چک پرداختی",IF(OR($B1016="",COUNTIF(AcctCodesA,$B1016)=0),"متفرقه",$B1016))))))</f>
        <v/>
      </c>
      <c r="J1016">
        <f>IF($H1016="","",IF(ROUND($F1016,2)&gt;0,IF($D1016="شخصی قاسم","شخصی قاسم",IF($D1016="هزینه","هزینه: "&amp;IF($E1016="","متفرقه",$E1016),IF(OR($B1016="",COUNTIF(AcctCodesA,$B1016)=0),"متفرقه",$B1016))),$A1016))</f>
        <v/>
      </c>
      <c r="K1016">
        <f>IF($A1016="","",IF(AND($B1016&lt;&gt;"",COUNTIF(AcctCodesA,$B1016)=0),"کد طرف در INFO تعریف نشده",IF(AND($D1016="هزینه",$E1016=""),"هزینه بدون زیرگروه",IF(AND($C1016="پاس چک",OR(Sync!$AJ1016="",COUNTIF(IssueNosA,Sync!$AJ1016)=0)),"شماره چک پاس‌شده معتبر نیست",""))))</f>
        <v/>
      </c>
      <c r="V1016">
        <f>IF($K1016="","",IF(ISNUMBER(Sync!$AK1016),Sync!$AK1016,LEFT(Sync!$AK1016,4)&amp;MID(Sync!$AK1016,6,2)&amp;RIGHT(Sync!$AK1016,2))&amp;"|"&amp;"4"&amp;RIGHT("00000"&amp;1011,5))</f>
        <v/>
      </c>
      <c r="W1016">
        <f>IF($V1016="",0,COUNTIFS($V$6:$V$2005,"&lt;"&amp;$V1016)-COUNTIFS($V$6:$V$2005,"&lt;"&amp;$V1016,$K$6:$K$2005,"")+1)</f>
        <v/>
      </c>
    </row>
    <row r="1017">
      <c r="A1017">
        <f>IF(Sync!$Z1017="","",LEFT(UPPER(TRIM(Sync!$Z1017)),6))</f>
        <v/>
      </c>
      <c r="B1017">
        <f>IF($A1017="","",IF(Sync!$AA1017="","",Sync!$AA1017))</f>
        <v/>
      </c>
      <c r="C1017">
        <f>IF($A1017="","",IF(Sync!$AB1017="","",Sync!$AB1017))</f>
        <v/>
      </c>
      <c r="D1017">
        <f>IF($A1017="","",IF(Sync!$AC1017="","",Sync!$AC1017))</f>
        <v/>
      </c>
      <c r="E1017">
        <f>IF($A1017="","",IF(Sync!$AD1017="","",Sync!$AD1017))</f>
        <v/>
      </c>
      <c r="F1017">
        <f>IF($A1017="","",IF(Sync!$AE1017="",0,Sync!$AE1017))</f>
        <v/>
      </c>
      <c r="G1017">
        <f>IF($A1017="","",IF(Sync!$AF1017="",0,Sync!$AF1017))</f>
        <v/>
      </c>
      <c r="H1017">
        <f>IF(OR($A1017="",ROUND($F1017+$G1017,2)=0),"",$F1017+$G1017)</f>
        <v/>
      </c>
      <c r="I1017">
        <f>IF($H1017="","",IF(ROUND($F1017,2)&gt;0,$A1017,IF($D1017="شخصی قاسم","شخصی قاسم",IF($D1017="هزینه","هزینه: "&amp;IF($E1017="","متفرقه",$E1017),IF($C1017="پاس چک","چک پرداختی",IF(OR($B1017="",COUNTIF(AcctCodesA,$B1017)=0),"متفرقه",$B1017))))))</f>
        <v/>
      </c>
      <c r="J1017">
        <f>IF($H1017="","",IF(ROUND($F1017,2)&gt;0,IF($D1017="شخصی قاسم","شخصی قاسم",IF($D1017="هزینه","هزینه: "&amp;IF($E1017="","متفرقه",$E1017),IF(OR($B1017="",COUNTIF(AcctCodesA,$B1017)=0),"متفرقه",$B1017))),$A1017))</f>
        <v/>
      </c>
      <c r="K1017">
        <f>IF($A1017="","",IF(AND($B1017&lt;&gt;"",COUNTIF(AcctCodesA,$B1017)=0),"کد طرف در INFO تعریف نشده",IF(AND($D1017="هزینه",$E1017=""),"هزینه بدون زیرگروه",IF(AND($C1017="پاس چک",OR(Sync!$AJ1017="",COUNTIF(IssueNosA,Sync!$AJ1017)=0)),"شماره چک پاس‌شده معتبر نیست",""))))</f>
        <v/>
      </c>
      <c r="V1017">
        <f>IF($K1017="","",IF(ISNUMBER(Sync!$AK1017),Sync!$AK1017,LEFT(Sync!$AK1017,4)&amp;MID(Sync!$AK1017,6,2)&amp;RIGHT(Sync!$AK1017,2))&amp;"|"&amp;"4"&amp;RIGHT("00000"&amp;1012,5))</f>
        <v/>
      </c>
      <c r="W1017">
        <f>IF($V1017="",0,COUNTIFS($V$6:$V$2005,"&lt;"&amp;$V1017)-COUNTIFS($V$6:$V$2005,"&lt;"&amp;$V1017,$K$6:$K$2005,"")+1)</f>
        <v/>
      </c>
    </row>
    <row r="1018">
      <c r="A1018">
        <f>IF(Sync!$Z1018="","",LEFT(UPPER(TRIM(Sync!$Z1018)),6))</f>
        <v/>
      </c>
      <c r="B1018">
        <f>IF($A1018="","",IF(Sync!$AA1018="","",Sync!$AA1018))</f>
        <v/>
      </c>
      <c r="C1018">
        <f>IF($A1018="","",IF(Sync!$AB1018="","",Sync!$AB1018))</f>
        <v/>
      </c>
      <c r="D1018">
        <f>IF($A1018="","",IF(Sync!$AC1018="","",Sync!$AC1018))</f>
        <v/>
      </c>
      <c r="E1018">
        <f>IF($A1018="","",IF(Sync!$AD1018="","",Sync!$AD1018))</f>
        <v/>
      </c>
      <c r="F1018">
        <f>IF($A1018="","",IF(Sync!$AE1018="",0,Sync!$AE1018))</f>
        <v/>
      </c>
      <c r="G1018">
        <f>IF($A1018="","",IF(Sync!$AF1018="",0,Sync!$AF1018))</f>
        <v/>
      </c>
      <c r="H1018">
        <f>IF(OR($A1018="",ROUND($F1018+$G1018,2)=0),"",$F1018+$G1018)</f>
        <v/>
      </c>
      <c r="I1018">
        <f>IF($H1018="","",IF(ROUND($F1018,2)&gt;0,$A1018,IF($D1018="شخصی قاسم","شخصی قاسم",IF($D1018="هزینه","هزینه: "&amp;IF($E1018="","متفرقه",$E1018),IF($C1018="پاس چک","چک پرداختی",IF(OR($B1018="",COUNTIF(AcctCodesA,$B1018)=0),"متفرقه",$B1018))))))</f>
        <v/>
      </c>
      <c r="J1018">
        <f>IF($H1018="","",IF(ROUND($F1018,2)&gt;0,IF($D1018="شخصی قاسم","شخصی قاسم",IF($D1018="هزینه","هزینه: "&amp;IF($E1018="","متفرقه",$E1018),IF(OR($B1018="",COUNTIF(AcctCodesA,$B1018)=0),"متفرقه",$B1018))),$A1018))</f>
        <v/>
      </c>
      <c r="K1018">
        <f>IF($A1018="","",IF(AND($B1018&lt;&gt;"",COUNTIF(AcctCodesA,$B1018)=0),"کد طرف در INFO تعریف نشده",IF(AND($D1018="هزینه",$E1018=""),"هزینه بدون زیرگروه",IF(AND($C1018="پاس چک",OR(Sync!$AJ1018="",COUNTIF(IssueNosA,Sync!$AJ1018)=0)),"شماره چک پاس‌شده معتبر نیست",""))))</f>
        <v/>
      </c>
      <c r="V1018">
        <f>IF($K1018="","",IF(ISNUMBER(Sync!$AK1018),Sync!$AK1018,LEFT(Sync!$AK1018,4)&amp;MID(Sync!$AK1018,6,2)&amp;RIGHT(Sync!$AK1018,2))&amp;"|"&amp;"4"&amp;RIGHT("00000"&amp;1013,5))</f>
        <v/>
      </c>
      <c r="W1018">
        <f>IF($V1018="",0,COUNTIFS($V$6:$V$2005,"&lt;"&amp;$V1018)-COUNTIFS($V$6:$V$2005,"&lt;"&amp;$V1018,$K$6:$K$2005,"")+1)</f>
        <v/>
      </c>
    </row>
    <row r="1019">
      <c r="A1019">
        <f>IF(Sync!$Z1019="","",LEFT(UPPER(TRIM(Sync!$Z1019)),6))</f>
        <v/>
      </c>
      <c r="B1019">
        <f>IF($A1019="","",IF(Sync!$AA1019="","",Sync!$AA1019))</f>
        <v/>
      </c>
      <c r="C1019">
        <f>IF($A1019="","",IF(Sync!$AB1019="","",Sync!$AB1019))</f>
        <v/>
      </c>
      <c r="D1019">
        <f>IF($A1019="","",IF(Sync!$AC1019="","",Sync!$AC1019))</f>
        <v/>
      </c>
      <c r="E1019">
        <f>IF($A1019="","",IF(Sync!$AD1019="","",Sync!$AD1019))</f>
        <v/>
      </c>
      <c r="F1019">
        <f>IF($A1019="","",IF(Sync!$AE1019="",0,Sync!$AE1019))</f>
        <v/>
      </c>
      <c r="G1019">
        <f>IF($A1019="","",IF(Sync!$AF1019="",0,Sync!$AF1019))</f>
        <v/>
      </c>
      <c r="H1019">
        <f>IF(OR($A1019="",ROUND($F1019+$G1019,2)=0),"",$F1019+$G1019)</f>
        <v/>
      </c>
      <c r="I1019">
        <f>IF($H1019="","",IF(ROUND($F1019,2)&gt;0,$A1019,IF($D1019="شخصی قاسم","شخصی قاسم",IF($D1019="هزینه","هزینه: "&amp;IF($E1019="","متفرقه",$E1019),IF($C1019="پاس چک","چک پرداختی",IF(OR($B1019="",COUNTIF(AcctCodesA,$B1019)=0),"متفرقه",$B1019))))))</f>
        <v/>
      </c>
      <c r="J1019">
        <f>IF($H1019="","",IF(ROUND($F1019,2)&gt;0,IF($D1019="شخصی قاسم","شخصی قاسم",IF($D1019="هزینه","هزینه: "&amp;IF($E1019="","متفرقه",$E1019),IF(OR($B1019="",COUNTIF(AcctCodesA,$B1019)=0),"متفرقه",$B1019))),$A1019))</f>
        <v/>
      </c>
      <c r="K1019">
        <f>IF($A1019="","",IF(AND($B1019&lt;&gt;"",COUNTIF(AcctCodesA,$B1019)=0),"کد طرف در INFO تعریف نشده",IF(AND($D1019="هزینه",$E1019=""),"هزینه بدون زیرگروه",IF(AND($C1019="پاس چک",OR(Sync!$AJ1019="",COUNTIF(IssueNosA,Sync!$AJ1019)=0)),"شماره چک پاس‌شده معتبر نیست",""))))</f>
        <v/>
      </c>
      <c r="V1019">
        <f>IF($K1019="","",IF(ISNUMBER(Sync!$AK1019),Sync!$AK1019,LEFT(Sync!$AK1019,4)&amp;MID(Sync!$AK1019,6,2)&amp;RIGHT(Sync!$AK1019,2))&amp;"|"&amp;"4"&amp;RIGHT("00000"&amp;1014,5))</f>
        <v/>
      </c>
      <c r="W1019">
        <f>IF($V1019="",0,COUNTIFS($V$6:$V$2005,"&lt;"&amp;$V1019)-COUNTIFS($V$6:$V$2005,"&lt;"&amp;$V1019,$K$6:$K$2005,"")+1)</f>
        <v/>
      </c>
    </row>
    <row r="1020">
      <c r="A1020">
        <f>IF(Sync!$Z1020="","",LEFT(UPPER(TRIM(Sync!$Z1020)),6))</f>
        <v/>
      </c>
      <c r="B1020">
        <f>IF($A1020="","",IF(Sync!$AA1020="","",Sync!$AA1020))</f>
        <v/>
      </c>
      <c r="C1020">
        <f>IF($A1020="","",IF(Sync!$AB1020="","",Sync!$AB1020))</f>
        <v/>
      </c>
      <c r="D1020">
        <f>IF($A1020="","",IF(Sync!$AC1020="","",Sync!$AC1020))</f>
        <v/>
      </c>
      <c r="E1020">
        <f>IF($A1020="","",IF(Sync!$AD1020="","",Sync!$AD1020))</f>
        <v/>
      </c>
      <c r="F1020">
        <f>IF($A1020="","",IF(Sync!$AE1020="",0,Sync!$AE1020))</f>
        <v/>
      </c>
      <c r="G1020">
        <f>IF($A1020="","",IF(Sync!$AF1020="",0,Sync!$AF1020))</f>
        <v/>
      </c>
      <c r="H1020">
        <f>IF(OR($A1020="",ROUND($F1020+$G1020,2)=0),"",$F1020+$G1020)</f>
        <v/>
      </c>
      <c r="I1020">
        <f>IF($H1020="","",IF(ROUND($F1020,2)&gt;0,$A1020,IF($D1020="شخصی قاسم","شخصی قاسم",IF($D1020="هزینه","هزینه: "&amp;IF($E1020="","متفرقه",$E1020),IF($C1020="پاس چک","چک پرداختی",IF(OR($B1020="",COUNTIF(AcctCodesA,$B1020)=0),"متفرقه",$B1020))))))</f>
        <v/>
      </c>
      <c r="J1020">
        <f>IF($H1020="","",IF(ROUND($F1020,2)&gt;0,IF($D1020="شخصی قاسم","شخصی قاسم",IF($D1020="هزینه","هزینه: "&amp;IF($E1020="","متفرقه",$E1020),IF(OR($B1020="",COUNTIF(AcctCodesA,$B1020)=0),"متفرقه",$B1020))),$A1020))</f>
        <v/>
      </c>
      <c r="K1020">
        <f>IF($A1020="","",IF(AND($B1020&lt;&gt;"",COUNTIF(AcctCodesA,$B1020)=0),"کد طرف در INFO تعریف نشده",IF(AND($D1020="هزینه",$E1020=""),"هزینه بدون زیرگروه",IF(AND($C1020="پاس چک",OR(Sync!$AJ1020="",COUNTIF(IssueNosA,Sync!$AJ1020)=0)),"شماره چک پاس‌شده معتبر نیست",""))))</f>
        <v/>
      </c>
      <c r="V1020">
        <f>IF($K1020="","",IF(ISNUMBER(Sync!$AK1020),Sync!$AK1020,LEFT(Sync!$AK1020,4)&amp;MID(Sync!$AK1020,6,2)&amp;RIGHT(Sync!$AK1020,2))&amp;"|"&amp;"4"&amp;RIGHT("00000"&amp;1015,5))</f>
        <v/>
      </c>
      <c r="W1020">
        <f>IF($V1020="",0,COUNTIFS($V$6:$V$2005,"&lt;"&amp;$V1020)-COUNTIFS($V$6:$V$2005,"&lt;"&amp;$V1020,$K$6:$K$2005,"")+1)</f>
        <v/>
      </c>
    </row>
    <row r="1021">
      <c r="A1021">
        <f>IF(Sync!$Z1021="","",LEFT(UPPER(TRIM(Sync!$Z1021)),6))</f>
        <v/>
      </c>
      <c r="B1021">
        <f>IF($A1021="","",IF(Sync!$AA1021="","",Sync!$AA1021))</f>
        <v/>
      </c>
      <c r="C1021">
        <f>IF($A1021="","",IF(Sync!$AB1021="","",Sync!$AB1021))</f>
        <v/>
      </c>
      <c r="D1021">
        <f>IF($A1021="","",IF(Sync!$AC1021="","",Sync!$AC1021))</f>
        <v/>
      </c>
      <c r="E1021">
        <f>IF($A1021="","",IF(Sync!$AD1021="","",Sync!$AD1021))</f>
        <v/>
      </c>
      <c r="F1021">
        <f>IF($A1021="","",IF(Sync!$AE1021="",0,Sync!$AE1021))</f>
        <v/>
      </c>
      <c r="G1021">
        <f>IF($A1021="","",IF(Sync!$AF1021="",0,Sync!$AF1021))</f>
        <v/>
      </c>
      <c r="H1021">
        <f>IF(OR($A1021="",ROUND($F1021+$G1021,2)=0),"",$F1021+$G1021)</f>
        <v/>
      </c>
      <c r="I1021">
        <f>IF($H1021="","",IF(ROUND($F1021,2)&gt;0,$A1021,IF($D1021="شخصی قاسم","شخصی قاسم",IF($D1021="هزینه","هزینه: "&amp;IF($E1021="","متفرقه",$E1021),IF($C1021="پاس چک","چک پرداختی",IF(OR($B1021="",COUNTIF(AcctCodesA,$B1021)=0),"متفرقه",$B1021))))))</f>
        <v/>
      </c>
      <c r="J1021">
        <f>IF($H1021="","",IF(ROUND($F1021,2)&gt;0,IF($D1021="شخصی قاسم","شخصی قاسم",IF($D1021="هزینه","هزینه: "&amp;IF($E1021="","متفرقه",$E1021),IF(OR($B1021="",COUNTIF(AcctCodesA,$B1021)=0),"متفرقه",$B1021))),$A1021))</f>
        <v/>
      </c>
      <c r="K1021">
        <f>IF($A1021="","",IF(AND($B1021&lt;&gt;"",COUNTIF(AcctCodesA,$B1021)=0),"کد طرف در INFO تعریف نشده",IF(AND($D1021="هزینه",$E1021=""),"هزینه بدون زیرگروه",IF(AND($C1021="پاس چک",OR(Sync!$AJ1021="",COUNTIF(IssueNosA,Sync!$AJ1021)=0)),"شماره چک پاس‌شده معتبر نیست",""))))</f>
        <v/>
      </c>
      <c r="V1021">
        <f>IF($K1021="","",IF(ISNUMBER(Sync!$AK1021),Sync!$AK1021,LEFT(Sync!$AK1021,4)&amp;MID(Sync!$AK1021,6,2)&amp;RIGHT(Sync!$AK1021,2))&amp;"|"&amp;"4"&amp;RIGHT("00000"&amp;1016,5))</f>
        <v/>
      </c>
      <c r="W1021">
        <f>IF($V1021="",0,COUNTIFS($V$6:$V$2005,"&lt;"&amp;$V1021)-COUNTIFS($V$6:$V$2005,"&lt;"&amp;$V1021,$K$6:$K$2005,"")+1)</f>
        <v/>
      </c>
    </row>
    <row r="1022">
      <c r="A1022">
        <f>IF(Sync!$Z1022="","",LEFT(UPPER(TRIM(Sync!$Z1022)),6))</f>
        <v/>
      </c>
      <c r="B1022">
        <f>IF($A1022="","",IF(Sync!$AA1022="","",Sync!$AA1022))</f>
        <v/>
      </c>
      <c r="C1022">
        <f>IF($A1022="","",IF(Sync!$AB1022="","",Sync!$AB1022))</f>
        <v/>
      </c>
      <c r="D1022">
        <f>IF($A1022="","",IF(Sync!$AC1022="","",Sync!$AC1022))</f>
        <v/>
      </c>
      <c r="E1022">
        <f>IF($A1022="","",IF(Sync!$AD1022="","",Sync!$AD1022))</f>
        <v/>
      </c>
      <c r="F1022">
        <f>IF($A1022="","",IF(Sync!$AE1022="",0,Sync!$AE1022))</f>
        <v/>
      </c>
      <c r="G1022">
        <f>IF($A1022="","",IF(Sync!$AF1022="",0,Sync!$AF1022))</f>
        <v/>
      </c>
      <c r="H1022">
        <f>IF(OR($A1022="",ROUND($F1022+$G1022,2)=0),"",$F1022+$G1022)</f>
        <v/>
      </c>
      <c r="I1022">
        <f>IF($H1022="","",IF(ROUND($F1022,2)&gt;0,$A1022,IF($D1022="شخصی قاسم","شخصی قاسم",IF($D1022="هزینه","هزینه: "&amp;IF($E1022="","متفرقه",$E1022),IF($C1022="پاس چک","چک پرداختی",IF(OR($B1022="",COUNTIF(AcctCodesA,$B1022)=0),"متفرقه",$B1022))))))</f>
        <v/>
      </c>
      <c r="J1022">
        <f>IF($H1022="","",IF(ROUND($F1022,2)&gt;0,IF($D1022="شخصی قاسم","شخصی قاسم",IF($D1022="هزینه","هزینه: "&amp;IF($E1022="","متفرقه",$E1022),IF(OR($B1022="",COUNTIF(AcctCodesA,$B1022)=0),"متفرقه",$B1022))),$A1022))</f>
        <v/>
      </c>
      <c r="K1022">
        <f>IF($A1022="","",IF(AND($B1022&lt;&gt;"",COUNTIF(AcctCodesA,$B1022)=0),"کد طرف در INFO تعریف نشده",IF(AND($D1022="هزینه",$E1022=""),"هزینه بدون زیرگروه",IF(AND($C1022="پاس چک",OR(Sync!$AJ1022="",COUNTIF(IssueNosA,Sync!$AJ1022)=0)),"شماره چک پاس‌شده معتبر نیست",""))))</f>
        <v/>
      </c>
      <c r="V1022">
        <f>IF($K1022="","",IF(ISNUMBER(Sync!$AK1022),Sync!$AK1022,LEFT(Sync!$AK1022,4)&amp;MID(Sync!$AK1022,6,2)&amp;RIGHT(Sync!$AK1022,2))&amp;"|"&amp;"4"&amp;RIGHT("00000"&amp;1017,5))</f>
        <v/>
      </c>
      <c r="W1022">
        <f>IF($V1022="",0,COUNTIFS($V$6:$V$2005,"&lt;"&amp;$V1022)-COUNTIFS($V$6:$V$2005,"&lt;"&amp;$V1022,$K$6:$K$2005,"")+1)</f>
        <v/>
      </c>
    </row>
    <row r="1023">
      <c r="A1023">
        <f>IF(Sync!$Z1023="","",LEFT(UPPER(TRIM(Sync!$Z1023)),6))</f>
        <v/>
      </c>
      <c r="B1023">
        <f>IF($A1023="","",IF(Sync!$AA1023="","",Sync!$AA1023))</f>
        <v/>
      </c>
      <c r="C1023">
        <f>IF($A1023="","",IF(Sync!$AB1023="","",Sync!$AB1023))</f>
        <v/>
      </c>
      <c r="D1023">
        <f>IF($A1023="","",IF(Sync!$AC1023="","",Sync!$AC1023))</f>
        <v/>
      </c>
      <c r="E1023">
        <f>IF($A1023="","",IF(Sync!$AD1023="","",Sync!$AD1023))</f>
        <v/>
      </c>
      <c r="F1023">
        <f>IF($A1023="","",IF(Sync!$AE1023="",0,Sync!$AE1023))</f>
        <v/>
      </c>
      <c r="G1023">
        <f>IF($A1023="","",IF(Sync!$AF1023="",0,Sync!$AF1023))</f>
        <v/>
      </c>
      <c r="H1023">
        <f>IF(OR($A1023="",ROUND($F1023+$G1023,2)=0),"",$F1023+$G1023)</f>
        <v/>
      </c>
      <c r="I1023">
        <f>IF($H1023="","",IF(ROUND($F1023,2)&gt;0,$A1023,IF($D1023="شخصی قاسم","شخصی قاسم",IF($D1023="هزینه","هزینه: "&amp;IF($E1023="","متفرقه",$E1023),IF($C1023="پاس چک","چک پرداختی",IF(OR($B1023="",COUNTIF(AcctCodesA,$B1023)=0),"متفرقه",$B1023))))))</f>
        <v/>
      </c>
      <c r="J1023">
        <f>IF($H1023="","",IF(ROUND($F1023,2)&gt;0,IF($D1023="شخصی قاسم","شخصی قاسم",IF($D1023="هزینه","هزینه: "&amp;IF($E1023="","متفرقه",$E1023),IF(OR($B1023="",COUNTIF(AcctCodesA,$B1023)=0),"متفرقه",$B1023))),$A1023))</f>
        <v/>
      </c>
      <c r="K1023">
        <f>IF($A1023="","",IF(AND($B1023&lt;&gt;"",COUNTIF(AcctCodesA,$B1023)=0),"کد طرف در INFO تعریف نشده",IF(AND($D1023="هزینه",$E1023=""),"هزینه بدون زیرگروه",IF(AND($C1023="پاس چک",OR(Sync!$AJ1023="",COUNTIF(IssueNosA,Sync!$AJ1023)=0)),"شماره چک پاس‌شده معتبر نیست",""))))</f>
        <v/>
      </c>
      <c r="V1023">
        <f>IF($K1023="","",IF(ISNUMBER(Sync!$AK1023),Sync!$AK1023,LEFT(Sync!$AK1023,4)&amp;MID(Sync!$AK1023,6,2)&amp;RIGHT(Sync!$AK1023,2))&amp;"|"&amp;"4"&amp;RIGHT("00000"&amp;1018,5))</f>
        <v/>
      </c>
      <c r="W1023">
        <f>IF($V1023="",0,COUNTIFS($V$6:$V$2005,"&lt;"&amp;$V1023)-COUNTIFS($V$6:$V$2005,"&lt;"&amp;$V1023,$K$6:$K$2005,"")+1)</f>
        <v/>
      </c>
    </row>
    <row r="1024">
      <c r="A1024">
        <f>IF(Sync!$Z1024="","",LEFT(UPPER(TRIM(Sync!$Z1024)),6))</f>
        <v/>
      </c>
      <c r="B1024">
        <f>IF($A1024="","",IF(Sync!$AA1024="","",Sync!$AA1024))</f>
        <v/>
      </c>
      <c r="C1024">
        <f>IF($A1024="","",IF(Sync!$AB1024="","",Sync!$AB1024))</f>
        <v/>
      </c>
      <c r="D1024">
        <f>IF($A1024="","",IF(Sync!$AC1024="","",Sync!$AC1024))</f>
        <v/>
      </c>
      <c r="E1024">
        <f>IF($A1024="","",IF(Sync!$AD1024="","",Sync!$AD1024))</f>
        <v/>
      </c>
      <c r="F1024">
        <f>IF($A1024="","",IF(Sync!$AE1024="",0,Sync!$AE1024))</f>
        <v/>
      </c>
      <c r="G1024">
        <f>IF($A1024="","",IF(Sync!$AF1024="",0,Sync!$AF1024))</f>
        <v/>
      </c>
      <c r="H1024">
        <f>IF(OR($A1024="",ROUND($F1024+$G1024,2)=0),"",$F1024+$G1024)</f>
        <v/>
      </c>
      <c r="I1024">
        <f>IF($H1024="","",IF(ROUND($F1024,2)&gt;0,$A1024,IF($D1024="شخصی قاسم","شخصی قاسم",IF($D1024="هزینه","هزینه: "&amp;IF($E1024="","متفرقه",$E1024),IF($C1024="پاس چک","چک پرداختی",IF(OR($B1024="",COUNTIF(AcctCodesA,$B1024)=0),"متفرقه",$B1024))))))</f>
        <v/>
      </c>
      <c r="J1024">
        <f>IF($H1024="","",IF(ROUND($F1024,2)&gt;0,IF($D1024="شخصی قاسم","شخصی قاسم",IF($D1024="هزینه","هزینه: "&amp;IF($E1024="","متفرقه",$E1024),IF(OR($B1024="",COUNTIF(AcctCodesA,$B1024)=0),"متفرقه",$B1024))),$A1024))</f>
        <v/>
      </c>
      <c r="K1024">
        <f>IF($A1024="","",IF(AND($B1024&lt;&gt;"",COUNTIF(AcctCodesA,$B1024)=0),"کد طرف در INFO تعریف نشده",IF(AND($D1024="هزینه",$E1024=""),"هزینه بدون زیرگروه",IF(AND($C1024="پاس چک",OR(Sync!$AJ1024="",COUNTIF(IssueNosA,Sync!$AJ1024)=0)),"شماره چک پاس‌شده معتبر نیست",""))))</f>
        <v/>
      </c>
      <c r="V1024">
        <f>IF($K1024="","",IF(ISNUMBER(Sync!$AK1024),Sync!$AK1024,LEFT(Sync!$AK1024,4)&amp;MID(Sync!$AK1024,6,2)&amp;RIGHT(Sync!$AK1024,2))&amp;"|"&amp;"4"&amp;RIGHT("00000"&amp;1019,5))</f>
        <v/>
      </c>
      <c r="W1024">
        <f>IF($V1024="",0,COUNTIFS($V$6:$V$2005,"&lt;"&amp;$V1024)-COUNTIFS($V$6:$V$2005,"&lt;"&amp;$V1024,$K$6:$K$2005,"")+1)</f>
        <v/>
      </c>
    </row>
    <row r="1025">
      <c r="A1025">
        <f>IF(Sync!$Z1025="","",LEFT(UPPER(TRIM(Sync!$Z1025)),6))</f>
        <v/>
      </c>
      <c r="B1025">
        <f>IF($A1025="","",IF(Sync!$AA1025="","",Sync!$AA1025))</f>
        <v/>
      </c>
      <c r="C1025">
        <f>IF($A1025="","",IF(Sync!$AB1025="","",Sync!$AB1025))</f>
        <v/>
      </c>
      <c r="D1025">
        <f>IF($A1025="","",IF(Sync!$AC1025="","",Sync!$AC1025))</f>
        <v/>
      </c>
      <c r="E1025">
        <f>IF($A1025="","",IF(Sync!$AD1025="","",Sync!$AD1025))</f>
        <v/>
      </c>
      <c r="F1025">
        <f>IF($A1025="","",IF(Sync!$AE1025="",0,Sync!$AE1025))</f>
        <v/>
      </c>
      <c r="G1025">
        <f>IF($A1025="","",IF(Sync!$AF1025="",0,Sync!$AF1025))</f>
        <v/>
      </c>
      <c r="H1025">
        <f>IF(OR($A1025="",ROUND($F1025+$G1025,2)=0),"",$F1025+$G1025)</f>
        <v/>
      </c>
      <c r="I1025">
        <f>IF($H1025="","",IF(ROUND($F1025,2)&gt;0,$A1025,IF($D1025="شخصی قاسم","شخصی قاسم",IF($D1025="هزینه","هزینه: "&amp;IF($E1025="","متفرقه",$E1025),IF($C1025="پاس چک","چک پرداختی",IF(OR($B1025="",COUNTIF(AcctCodesA,$B1025)=0),"متفرقه",$B1025))))))</f>
        <v/>
      </c>
      <c r="J1025">
        <f>IF($H1025="","",IF(ROUND($F1025,2)&gt;0,IF($D1025="شخصی قاسم","شخصی قاسم",IF($D1025="هزینه","هزینه: "&amp;IF($E1025="","متفرقه",$E1025),IF(OR($B1025="",COUNTIF(AcctCodesA,$B1025)=0),"متفرقه",$B1025))),$A1025))</f>
        <v/>
      </c>
      <c r="K1025">
        <f>IF($A1025="","",IF(AND($B1025&lt;&gt;"",COUNTIF(AcctCodesA,$B1025)=0),"کد طرف در INFO تعریف نشده",IF(AND($D1025="هزینه",$E1025=""),"هزینه بدون زیرگروه",IF(AND($C1025="پاس چک",OR(Sync!$AJ1025="",COUNTIF(IssueNosA,Sync!$AJ1025)=0)),"شماره چک پاس‌شده معتبر نیست",""))))</f>
        <v/>
      </c>
      <c r="V1025">
        <f>IF($K1025="","",IF(ISNUMBER(Sync!$AK1025),Sync!$AK1025,LEFT(Sync!$AK1025,4)&amp;MID(Sync!$AK1025,6,2)&amp;RIGHT(Sync!$AK1025,2))&amp;"|"&amp;"4"&amp;RIGHT("00000"&amp;1020,5))</f>
        <v/>
      </c>
      <c r="W1025">
        <f>IF($V1025="",0,COUNTIFS($V$6:$V$2005,"&lt;"&amp;$V1025)-COUNTIFS($V$6:$V$2005,"&lt;"&amp;$V1025,$K$6:$K$2005,"")+1)</f>
        <v/>
      </c>
    </row>
    <row r="1026">
      <c r="A1026">
        <f>IF(Sync!$Z1026="","",LEFT(UPPER(TRIM(Sync!$Z1026)),6))</f>
        <v/>
      </c>
      <c r="B1026">
        <f>IF($A1026="","",IF(Sync!$AA1026="","",Sync!$AA1026))</f>
        <v/>
      </c>
      <c r="C1026">
        <f>IF($A1026="","",IF(Sync!$AB1026="","",Sync!$AB1026))</f>
        <v/>
      </c>
      <c r="D1026">
        <f>IF($A1026="","",IF(Sync!$AC1026="","",Sync!$AC1026))</f>
        <v/>
      </c>
      <c r="E1026">
        <f>IF($A1026="","",IF(Sync!$AD1026="","",Sync!$AD1026))</f>
        <v/>
      </c>
      <c r="F1026">
        <f>IF($A1026="","",IF(Sync!$AE1026="",0,Sync!$AE1026))</f>
        <v/>
      </c>
      <c r="G1026">
        <f>IF($A1026="","",IF(Sync!$AF1026="",0,Sync!$AF1026))</f>
        <v/>
      </c>
      <c r="H1026">
        <f>IF(OR($A1026="",ROUND($F1026+$G1026,2)=0),"",$F1026+$G1026)</f>
        <v/>
      </c>
      <c r="I1026">
        <f>IF($H1026="","",IF(ROUND($F1026,2)&gt;0,$A1026,IF($D1026="شخصی قاسم","شخصی قاسم",IF($D1026="هزینه","هزینه: "&amp;IF($E1026="","متفرقه",$E1026),IF($C1026="پاس چک","چک پرداختی",IF(OR($B1026="",COUNTIF(AcctCodesA,$B1026)=0),"متفرقه",$B1026))))))</f>
        <v/>
      </c>
      <c r="J1026">
        <f>IF($H1026="","",IF(ROUND($F1026,2)&gt;0,IF($D1026="شخصی قاسم","شخصی قاسم",IF($D1026="هزینه","هزینه: "&amp;IF($E1026="","متفرقه",$E1026),IF(OR($B1026="",COUNTIF(AcctCodesA,$B1026)=0),"متفرقه",$B1026))),$A1026))</f>
        <v/>
      </c>
      <c r="K1026">
        <f>IF($A1026="","",IF(AND($B1026&lt;&gt;"",COUNTIF(AcctCodesA,$B1026)=0),"کد طرف در INFO تعریف نشده",IF(AND($D1026="هزینه",$E1026=""),"هزینه بدون زیرگروه",IF(AND($C1026="پاس چک",OR(Sync!$AJ1026="",COUNTIF(IssueNosA,Sync!$AJ1026)=0)),"شماره چک پاس‌شده معتبر نیست",""))))</f>
        <v/>
      </c>
      <c r="V1026">
        <f>IF($K1026="","",IF(ISNUMBER(Sync!$AK1026),Sync!$AK1026,LEFT(Sync!$AK1026,4)&amp;MID(Sync!$AK1026,6,2)&amp;RIGHT(Sync!$AK1026,2))&amp;"|"&amp;"4"&amp;RIGHT("00000"&amp;1021,5))</f>
        <v/>
      </c>
      <c r="W1026">
        <f>IF($V1026="",0,COUNTIFS($V$6:$V$2005,"&lt;"&amp;$V1026)-COUNTIFS($V$6:$V$2005,"&lt;"&amp;$V1026,$K$6:$K$2005,"")+1)</f>
        <v/>
      </c>
    </row>
    <row r="1027">
      <c r="A1027">
        <f>IF(Sync!$Z1027="","",LEFT(UPPER(TRIM(Sync!$Z1027)),6))</f>
        <v/>
      </c>
      <c r="B1027">
        <f>IF($A1027="","",IF(Sync!$AA1027="","",Sync!$AA1027))</f>
        <v/>
      </c>
      <c r="C1027">
        <f>IF($A1027="","",IF(Sync!$AB1027="","",Sync!$AB1027))</f>
        <v/>
      </c>
      <c r="D1027">
        <f>IF($A1027="","",IF(Sync!$AC1027="","",Sync!$AC1027))</f>
        <v/>
      </c>
      <c r="E1027">
        <f>IF($A1027="","",IF(Sync!$AD1027="","",Sync!$AD1027))</f>
        <v/>
      </c>
      <c r="F1027">
        <f>IF($A1027="","",IF(Sync!$AE1027="",0,Sync!$AE1027))</f>
        <v/>
      </c>
      <c r="G1027">
        <f>IF($A1027="","",IF(Sync!$AF1027="",0,Sync!$AF1027))</f>
        <v/>
      </c>
      <c r="H1027">
        <f>IF(OR($A1027="",ROUND($F1027+$G1027,2)=0),"",$F1027+$G1027)</f>
        <v/>
      </c>
      <c r="I1027">
        <f>IF($H1027="","",IF(ROUND($F1027,2)&gt;0,$A1027,IF($D1027="شخصی قاسم","شخصی قاسم",IF($D1027="هزینه","هزینه: "&amp;IF($E1027="","متفرقه",$E1027),IF($C1027="پاس چک","چک پرداختی",IF(OR($B1027="",COUNTIF(AcctCodesA,$B1027)=0),"متفرقه",$B1027))))))</f>
        <v/>
      </c>
      <c r="J1027">
        <f>IF($H1027="","",IF(ROUND($F1027,2)&gt;0,IF($D1027="شخصی قاسم","شخصی قاسم",IF($D1027="هزینه","هزینه: "&amp;IF($E1027="","متفرقه",$E1027),IF(OR($B1027="",COUNTIF(AcctCodesA,$B1027)=0),"متفرقه",$B1027))),$A1027))</f>
        <v/>
      </c>
      <c r="K1027">
        <f>IF($A1027="","",IF(AND($B1027&lt;&gt;"",COUNTIF(AcctCodesA,$B1027)=0),"کد طرف در INFO تعریف نشده",IF(AND($D1027="هزینه",$E1027=""),"هزینه بدون زیرگروه",IF(AND($C1027="پاس چک",OR(Sync!$AJ1027="",COUNTIF(IssueNosA,Sync!$AJ1027)=0)),"شماره چک پاس‌شده معتبر نیست",""))))</f>
        <v/>
      </c>
      <c r="V1027">
        <f>IF($K1027="","",IF(ISNUMBER(Sync!$AK1027),Sync!$AK1027,LEFT(Sync!$AK1027,4)&amp;MID(Sync!$AK1027,6,2)&amp;RIGHT(Sync!$AK1027,2))&amp;"|"&amp;"4"&amp;RIGHT("00000"&amp;1022,5))</f>
        <v/>
      </c>
      <c r="W1027">
        <f>IF($V1027="",0,COUNTIFS($V$6:$V$2005,"&lt;"&amp;$V1027)-COUNTIFS($V$6:$V$2005,"&lt;"&amp;$V1027,$K$6:$K$2005,"")+1)</f>
        <v/>
      </c>
    </row>
    <row r="1028">
      <c r="A1028">
        <f>IF(Sync!$Z1028="","",LEFT(UPPER(TRIM(Sync!$Z1028)),6))</f>
        <v/>
      </c>
      <c r="B1028">
        <f>IF($A1028="","",IF(Sync!$AA1028="","",Sync!$AA1028))</f>
        <v/>
      </c>
      <c r="C1028">
        <f>IF($A1028="","",IF(Sync!$AB1028="","",Sync!$AB1028))</f>
        <v/>
      </c>
      <c r="D1028">
        <f>IF($A1028="","",IF(Sync!$AC1028="","",Sync!$AC1028))</f>
        <v/>
      </c>
      <c r="E1028">
        <f>IF($A1028="","",IF(Sync!$AD1028="","",Sync!$AD1028))</f>
        <v/>
      </c>
      <c r="F1028">
        <f>IF($A1028="","",IF(Sync!$AE1028="",0,Sync!$AE1028))</f>
        <v/>
      </c>
      <c r="G1028">
        <f>IF($A1028="","",IF(Sync!$AF1028="",0,Sync!$AF1028))</f>
        <v/>
      </c>
      <c r="H1028">
        <f>IF(OR($A1028="",ROUND($F1028+$G1028,2)=0),"",$F1028+$G1028)</f>
        <v/>
      </c>
      <c r="I1028">
        <f>IF($H1028="","",IF(ROUND($F1028,2)&gt;0,$A1028,IF($D1028="شخصی قاسم","شخصی قاسم",IF($D1028="هزینه","هزینه: "&amp;IF($E1028="","متفرقه",$E1028),IF($C1028="پاس چک","چک پرداختی",IF(OR($B1028="",COUNTIF(AcctCodesA,$B1028)=0),"متفرقه",$B1028))))))</f>
        <v/>
      </c>
      <c r="J1028">
        <f>IF($H1028="","",IF(ROUND($F1028,2)&gt;0,IF($D1028="شخصی قاسم","شخصی قاسم",IF($D1028="هزینه","هزینه: "&amp;IF($E1028="","متفرقه",$E1028),IF(OR($B1028="",COUNTIF(AcctCodesA,$B1028)=0),"متفرقه",$B1028))),$A1028))</f>
        <v/>
      </c>
      <c r="K1028">
        <f>IF($A1028="","",IF(AND($B1028&lt;&gt;"",COUNTIF(AcctCodesA,$B1028)=0),"کد طرف در INFO تعریف نشده",IF(AND($D1028="هزینه",$E1028=""),"هزینه بدون زیرگروه",IF(AND($C1028="پاس چک",OR(Sync!$AJ1028="",COUNTIF(IssueNosA,Sync!$AJ1028)=0)),"شماره چک پاس‌شده معتبر نیست",""))))</f>
        <v/>
      </c>
      <c r="V1028">
        <f>IF($K1028="","",IF(ISNUMBER(Sync!$AK1028),Sync!$AK1028,LEFT(Sync!$AK1028,4)&amp;MID(Sync!$AK1028,6,2)&amp;RIGHT(Sync!$AK1028,2))&amp;"|"&amp;"4"&amp;RIGHT("00000"&amp;1023,5))</f>
        <v/>
      </c>
      <c r="W1028">
        <f>IF($V1028="",0,COUNTIFS($V$6:$V$2005,"&lt;"&amp;$V1028)-COUNTIFS($V$6:$V$2005,"&lt;"&amp;$V1028,$K$6:$K$2005,"")+1)</f>
        <v/>
      </c>
    </row>
    <row r="1029">
      <c r="A1029">
        <f>IF(Sync!$Z1029="","",LEFT(UPPER(TRIM(Sync!$Z1029)),6))</f>
        <v/>
      </c>
      <c r="B1029">
        <f>IF($A1029="","",IF(Sync!$AA1029="","",Sync!$AA1029))</f>
        <v/>
      </c>
      <c r="C1029">
        <f>IF($A1029="","",IF(Sync!$AB1029="","",Sync!$AB1029))</f>
        <v/>
      </c>
      <c r="D1029">
        <f>IF($A1029="","",IF(Sync!$AC1029="","",Sync!$AC1029))</f>
        <v/>
      </c>
      <c r="E1029">
        <f>IF($A1029="","",IF(Sync!$AD1029="","",Sync!$AD1029))</f>
        <v/>
      </c>
      <c r="F1029">
        <f>IF($A1029="","",IF(Sync!$AE1029="",0,Sync!$AE1029))</f>
        <v/>
      </c>
      <c r="G1029">
        <f>IF($A1029="","",IF(Sync!$AF1029="",0,Sync!$AF1029))</f>
        <v/>
      </c>
      <c r="H1029">
        <f>IF(OR($A1029="",ROUND($F1029+$G1029,2)=0),"",$F1029+$G1029)</f>
        <v/>
      </c>
      <c r="I1029">
        <f>IF($H1029="","",IF(ROUND($F1029,2)&gt;0,$A1029,IF($D1029="شخصی قاسم","شخصی قاسم",IF($D1029="هزینه","هزینه: "&amp;IF($E1029="","متفرقه",$E1029),IF($C1029="پاس چک","چک پرداختی",IF(OR($B1029="",COUNTIF(AcctCodesA,$B1029)=0),"متفرقه",$B1029))))))</f>
        <v/>
      </c>
      <c r="J1029">
        <f>IF($H1029="","",IF(ROUND($F1029,2)&gt;0,IF($D1029="شخصی قاسم","شخصی قاسم",IF($D1029="هزینه","هزینه: "&amp;IF($E1029="","متفرقه",$E1029),IF(OR($B1029="",COUNTIF(AcctCodesA,$B1029)=0),"متفرقه",$B1029))),$A1029))</f>
        <v/>
      </c>
      <c r="K1029">
        <f>IF($A1029="","",IF(AND($B1029&lt;&gt;"",COUNTIF(AcctCodesA,$B1029)=0),"کد طرف در INFO تعریف نشده",IF(AND($D1029="هزینه",$E1029=""),"هزینه بدون زیرگروه",IF(AND($C1029="پاس چک",OR(Sync!$AJ1029="",COUNTIF(IssueNosA,Sync!$AJ1029)=0)),"شماره چک پاس‌شده معتبر نیست",""))))</f>
        <v/>
      </c>
      <c r="V1029">
        <f>IF($K1029="","",IF(ISNUMBER(Sync!$AK1029),Sync!$AK1029,LEFT(Sync!$AK1029,4)&amp;MID(Sync!$AK1029,6,2)&amp;RIGHT(Sync!$AK1029,2))&amp;"|"&amp;"4"&amp;RIGHT("00000"&amp;1024,5))</f>
        <v/>
      </c>
      <c r="W1029">
        <f>IF($V1029="",0,COUNTIFS($V$6:$V$2005,"&lt;"&amp;$V1029)-COUNTIFS($V$6:$V$2005,"&lt;"&amp;$V1029,$K$6:$K$2005,"")+1)</f>
        <v/>
      </c>
    </row>
    <row r="1030">
      <c r="A1030">
        <f>IF(Sync!$Z1030="","",LEFT(UPPER(TRIM(Sync!$Z1030)),6))</f>
        <v/>
      </c>
      <c r="B1030">
        <f>IF($A1030="","",IF(Sync!$AA1030="","",Sync!$AA1030))</f>
        <v/>
      </c>
      <c r="C1030">
        <f>IF($A1030="","",IF(Sync!$AB1030="","",Sync!$AB1030))</f>
        <v/>
      </c>
      <c r="D1030">
        <f>IF($A1030="","",IF(Sync!$AC1030="","",Sync!$AC1030))</f>
        <v/>
      </c>
      <c r="E1030">
        <f>IF($A1030="","",IF(Sync!$AD1030="","",Sync!$AD1030))</f>
        <v/>
      </c>
      <c r="F1030">
        <f>IF($A1030="","",IF(Sync!$AE1030="",0,Sync!$AE1030))</f>
        <v/>
      </c>
      <c r="G1030">
        <f>IF($A1030="","",IF(Sync!$AF1030="",0,Sync!$AF1030))</f>
        <v/>
      </c>
      <c r="H1030">
        <f>IF(OR($A1030="",ROUND($F1030+$G1030,2)=0),"",$F1030+$G1030)</f>
        <v/>
      </c>
      <c r="I1030">
        <f>IF($H1030="","",IF(ROUND($F1030,2)&gt;0,$A1030,IF($D1030="شخصی قاسم","شخصی قاسم",IF($D1030="هزینه","هزینه: "&amp;IF($E1030="","متفرقه",$E1030),IF($C1030="پاس چک","چک پرداختی",IF(OR($B1030="",COUNTIF(AcctCodesA,$B1030)=0),"متفرقه",$B1030))))))</f>
        <v/>
      </c>
      <c r="J1030">
        <f>IF($H1030="","",IF(ROUND($F1030,2)&gt;0,IF($D1030="شخصی قاسم","شخصی قاسم",IF($D1030="هزینه","هزینه: "&amp;IF($E1030="","متفرقه",$E1030),IF(OR($B1030="",COUNTIF(AcctCodesA,$B1030)=0),"متفرقه",$B1030))),$A1030))</f>
        <v/>
      </c>
      <c r="K1030">
        <f>IF($A1030="","",IF(AND($B1030&lt;&gt;"",COUNTIF(AcctCodesA,$B1030)=0),"کد طرف در INFO تعریف نشده",IF(AND($D1030="هزینه",$E1030=""),"هزینه بدون زیرگروه",IF(AND($C1030="پاس چک",OR(Sync!$AJ1030="",COUNTIF(IssueNosA,Sync!$AJ1030)=0)),"شماره چک پاس‌شده معتبر نیست",""))))</f>
        <v/>
      </c>
      <c r="V1030">
        <f>IF($K1030="","",IF(ISNUMBER(Sync!$AK1030),Sync!$AK1030,LEFT(Sync!$AK1030,4)&amp;MID(Sync!$AK1030,6,2)&amp;RIGHT(Sync!$AK1030,2))&amp;"|"&amp;"4"&amp;RIGHT("00000"&amp;1025,5))</f>
        <v/>
      </c>
      <c r="W1030">
        <f>IF($V1030="",0,COUNTIFS($V$6:$V$2005,"&lt;"&amp;$V1030)-COUNTIFS($V$6:$V$2005,"&lt;"&amp;$V1030,$K$6:$K$2005,"")+1)</f>
        <v/>
      </c>
    </row>
    <row r="1031">
      <c r="A1031">
        <f>IF(Sync!$Z1031="","",LEFT(UPPER(TRIM(Sync!$Z1031)),6))</f>
        <v/>
      </c>
      <c r="B1031">
        <f>IF($A1031="","",IF(Sync!$AA1031="","",Sync!$AA1031))</f>
        <v/>
      </c>
      <c r="C1031">
        <f>IF($A1031="","",IF(Sync!$AB1031="","",Sync!$AB1031))</f>
        <v/>
      </c>
      <c r="D1031">
        <f>IF($A1031="","",IF(Sync!$AC1031="","",Sync!$AC1031))</f>
        <v/>
      </c>
      <c r="E1031">
        <f>IF($A1031="","",IF(Sync!$AD1031="","",Sync!$AD1031))</f>
        <v/>
      </c>
      <c r="F1031">
        <f>IF($A1031="","",IF(Sync!$AE1031="",0,Sync!$AE1031))</f>
        <v/>
      </c>
      <c r="G1031">
        <f>IF($A1031="","",IF(Sync!$AF1031="",0,Sync!$AF1031))</f>
        <v/>
      </c>
      <c r="H1031">
        <f>IF(OR($A1031="",ROUND($F1031+$G1031,2)=0),"",$F1031+$G1031)</f>
        <v/>
      </c>
      <c r="I1031">
        <f>IF($H1031="","",IF(ROUND($F1031,2)&gt;0,$A1031,IF($D1031="شخصی قاسم","شخصی قاسم",IF($D1031="هزینه","هزینه: "&amp;IF($E1031="","متفرقه",$E1031),IF($C1031="پاس چک","چک پرداختی",IF(OR($B1031="",COUNTIF(AcctCodesA,$B1031)=0),"متفرقه",$B1031))))))</f>
        <v/>
      </c>
      <c r="J1031">
        <f>IF($H1031="","",IF(ROUND($F1031,2)&gt;0,IF($D1031="شخصی قاسم","شخصی قاسم",IF($D1031="هزینه","هزینه: "&amp;IF($E1031="","متفرقه",$E1031),IF(OR($B1031="",COUNTIF(AcctCodesA,$B1031)=0),"متفرقه",$B1031))),$A1031))</f>
        <v/>
      </c>
      <c r="K1031">
        <f>IF($A1031="","",IF(AND($B1031&lt;&gt;"",COUNTIF(AcctCodesA,$B1031)=0),"کد طرف در INFO تعریف نشده",IF(AND($D1031="هزینه",$E1031=""),"هزینه بدون زیرگروه",IF(AND($C1031="پاس چک",OR(Sync!$AJ1031="",COUNTIF(IssueNosA,Sync!$AJ1031)=0)),"شماره چک پاس‌شده معتبر نیست",""))))</f>
        <v/>
      </c>
      <c r="V1031">
        <f>IF($K1031="","",IF(ISNUMBER(Sync!$AK1031),Sync!$AK1031,LEFT(Sync!$AK1031,4)&amp;MID(Sync!$AK1031,6,2)&amp;RIGHT(Sync!$AK1031,2))&amp;"|"&amp;"4"&amp;RIGHT("00000"&amp;1026,5))</f>
        <v/>
      </c>
      <c r="W1031">
        <f>IF($V1031="",0,COUNTIFS($V$6:$V$2005,"&lt;"&amp;$V1031)-COUNTIFS($V$6:$V$2005,"&lt;"&amp;$V1031,$K$6:$K$2005,"")+1)</f>
        <v/>
      </c>
    </row>
    <row r="1032">
      <c r="A1032">
        <f>IF(Sync!$Z1032="","",LEFT(UPPER(TRIM(Sync!$Z1032)),6))</f>
        <v/>
      </c>
      <c r="B1032">
        <f>IF($A1032="","",IF(Sync!$AA1032="","",Sync!$AA1032))</f>
        <v/>
      </c>
      <c r="C1032">
        <f>IF($A1032="","",IF(Sync!$AB1032="","",Sync!$AB1032))</f>
        <v/>
      </c>
      <c r="D1032">
        <f>IF($A1032="","",IF(Sync!$AC1032="","",Sync!$AC1032))</f>
        <v/>
      </c>
      <c r="E1032">
        <f>IF($A1032="","",IF(Sync!$AD1032="","",Sync!$AD1032))</f>
        <v/>
      </c>
      <c r="F1032">
        <f>IF($A1032="","",IF(Sync!$AE1032="",0,Sync!$AE1032))</f>
        <v/>
      </c>
      <c r="G1032">
        <f>IF($A1032="","",IF(Sync!$AF1032="",0,Sync!$AF1032))</f>
        <v/>
      </c>
      <c r="H1032">
        <f>IF(OR($A1032="",ROUND($F1032+$G1032,2)=0),"",$F1032+$G1032)</f>
        <v/>
      </c>
      <c r="I1032">
        <f>IF($H1032="","",IF(ROUND($F1032,2)&gt;0,$A1032,IF($D1032="شخصی قاسم","شخصی قاسم",IF($D1032="هزینه","هزینه: "&amp;IF($E1032="","متفرقه",$E1032),IF($C1032="پاس چک","چک پرداختی",IF(OR($B1032="",COUNTIF(AcctCodesA,$B1032)=0),"متفرقه",$B1032))))))</f>
        <v/>
      </c>
      <c r="J1032">
        <f>IF($H1032="","",IF(ROUND($F1032,2)&gt;0,IF($D1032="شخصی قاسم","شخصی قاسم",IF($D1032="هزینه","هزینه: "&amp;IF($E1032="","متفرقه",$E1032),IF(OR($B1032="",COUNTIF(AcctCodesA,$B1032)=0),"متفرقه",$B1032))),$A1032))</f>
        <v/>
      </c>
      <c r="K1032">
        <f>IF($A1032="","",IF(AND($B1032&lt;&gt;"",COUNTIF(AcctCodesA,$B1032)=0),"کد طرف در INFO تعریف نشده",IF(AND($D1032="هزینه",$E1032=""),"هزینه بدون زیرگروه",IF(AND($C1032="پاس چک",OR(Sync!$AJ1032="",COUNTIF(IssueNosA,Sync!$AJ1032)=0)),"شماره چک پاس‌شده معتبر نیست",""))))</f>
        <v/>
      </c>
      <c r="V1032">
        <f>IF($K1032="","",IF(ISNUMBER(Sync!$AK1032),Sync!$AK1032,LEFT(Sync!$AK1032,4)&amp;MID(Sync!$AK1032,6,2)&amp;RIGHT(Sync!$AK1032,2))&amp;"|"&amp;"4"&amp;RIGHT("00000"&amp;1027,5))</f>
        <v/>
      </c>
      <c r="W1032">
        <f>IF($V1032="",0,COUNTIFS($V$6:$V$2005,"&lt;"&amp;$V1032)-COUNTIFS($V$6:$V$2005,"&lt;"&amp;$V1032,$K$6:$K$2005,"")+1)</f>
        <v/>
      </c>
    </row>
    <row r="1033">
      <c r="A1033">
        <f>IF(Sync!$Z1033="","",LEFT(UPPER(TRIM(Sync!$Z1033)),6))</f>
        <v/>
      </c>
      <c r="B1033">
        <f>IF($A1033="","",IF(Sync!$AA1033="","",Sync!$AA1033))</f>
        <v/>
      </c>
      <c r="C1033">
        <f>IF($A1033="","",IF(Sync!$AB1033="","",Sync!$AB1033))</f>
        <v/>
      </c>
      <c r="D1033">
        <f>IF($A1033="","",IF(Sync!$AC1033="","",Sync!$AC1033))</f>
        <v/>
      </c>
      <c r="E1033">
        <f>IF($A1033="","",IF(Sync!$AD1033="","",Sync!$AD1033))</f>
        <v/>
      </c>
      <c r="F1033">
        <f>IF($A1033="","",IF(Sync!$AE1033="",0,Sync!$AE1033))</f>
        <v/>
      </c>
      <c r="G1033">
        <f>IF($A1033="","",IF(Sync!$AF1033="",0,Sync!$AF1033))</f>
        <v/>
      </c>
      <c r="H1033">
        <f>IF(OR($A1033="",ROUND($F1033+$G1033,2)=0),"",$F1033+$G1033)</f>
        <v/>
      </c>
      <c r="I1033">
        <f>IF($H1033="","",IF(ROUND($F1033,2)&gt;0,$A1033,IF($D1033="شخصی قاسم","شخصی قاسم",IF($D1033="هزینه","هزینه: "&amp;IF($E1033="","متفرقه",$E1033),IF($C1033="پاس چک","چک پرداختی",IF(OR($B1033="",COUNTIF(AcctCodesA,$B1033)=0),"متفرقه",$B1033))))))</f>
        <v/>
      </c>
      <c r="J1033">
        <f>IF($H1033="","",IF(ROUND($F1033,2)&gt;0,IF($D1033="شخصی قاسم","شخصی قاسم",IF($D1033="هزینه","هزینه: "&amp;IF($E1033="","متفرقه",$E1033),IF(OR($B1033="",COUNTIF(AcctCodesA,$B1033)=0),"متفرقه",$B1033))),$A1033))</f>
        <v/>
      </c>
      <c r="K1033">
        <f>IF($A1033="","",IF(AND($B1033&lt;&gt;"",COUNTIF(AcctCodesA,$B1033)=0),"کد طرف در INFO تعریف نشده",IF(AND($D1033="هزینه",$E1033=""),"هزینه بدون زیرگروه",IF(AND($C1033="پاس چک",OR(Sync!$AJ1033="",COUNTIF(IssueNosA,Sync!$AJ1033)=0)),"شماره چک پاس‌شده معتبر نیست",""))))</f>
        <v/>
      </c>
      <c r="V1033">
        <f>IF($K1033="","",IF(ISNUMBER(Sync!$AK1033),Sync!$AK1033,LEFT(Sync!$AK1033,4)&amp;MID(Sync!$AK1033,6,2)&amp;RIGHT(Sync!$AK1033,2))&amp;"|"&amp;"4"&amp;RIGHT("00000"&amp;1028,5))</f>
        <v/>
      </c>
      <c r="W1033">
        <f>IF($V1033="",0,COUNTIFS($V$6:$V$2005,"&lt;"&amp;$V1033)-COUNTIFS($V$6:$V$2005,"&lt;"&amp;$V1033,$K$6:$K$2005,"")+1)</f>
        <v/>
      </c>
    </row>
    <row r="1034">
      <c r="A1034">
        <f>IF(Sync!$Z1034="","",LEFT(UPPER(TRIM(Sync!$Z1034)),6))</f>
        <v/>
      </c>
      <c r="B1034">
        <f>IF($A1034="","",IF(Sync!$AA1034="","",Sync!$AA1034))</f>
        <v/>
      </c>
      <c r="C1034">
        <f>IF($A1034="","",IF(Sync!$AB1034="","",Sync!$AB1034))</f>
        <v/>
      </c>
      <c r="D1034">
        <f>IF($A1034="","",IF(Sync!$AC1034="","",Sync!$AC1034))</f>
        <v/>
      </c>
      <c r="E1034">
        <f>IF($A1034="","",IF(Sync!$AD1034="","",Sync!$AD1034))</f>
        <v/>
      </c>
      <c r="F1034">
        <f>IF($A1034="","",IF(Sync!$AE1034="",0,Sync!$AE1034))</f>
        <v/>
      </c>
      <c r="G1034">
        <f>IF($A1034="","",IF(Sync!$AF1034="",0,Sync!$AF1034))</f>
        <v/>
      </c>
      <c r="H1034">
        <f>IF(OR($A1034="",ROUND($F1034+$G1034,2)=0),"",$F1034+$G1034)</f>
        <v/>
      </c>
      <c r="I1034">
        <f>IF($H1034="","",IF(ROUND($F1034,2)&gt;0,$A1034,IF($D1034="شخصی قاسم","شخصی قاسم",IF($D1034="هزینه","هزینه: "&amp;IF($E1034="","متفرقه",$E1034),IF($C1034="پاس چک","چک پرداختی",IF(OR($B1034="",COUNTIF(AcctCodesA,$B1034)=0),"متفرقه",$B1034))))))</f>
        <v/>
      </c>
      <c r="J1034">
        <f>IF($H1034="","",IF(ROUND($F1034,2)&gt;0,IF($D1034="شخصی قاسم","شخصی قاسم",IF($D1034="هزینه","هزینه: "&amp;IF($E1034="","متفرقه",$E1034),IF(OR($B1034="",COUNTIF(AcctCodesA,$B1034)=0),"متفرقه",$B1034))),$A1034))</f>
        <v/>
      </c>
      <c r="K1034">
        <f>IF($A1034="","",IF(AND($B1034&lt;&gt;"",COUNTIF(AcctCodesA,$B1034)=0),"کد طرف در INFO تعریف نشده",IF(AND($D1034="هزینه",$E1034=""),"هزینه بدون زیرگروه",IF(AND($C1034="پاس چک",OR(Sync!$AJ1034="",COUNTIF(IssueNosA,Sync!$AJ1034)=0)),"شماره چک پاس‌شده معتبر نیست",""))))</f>
        <v/>
      </c>
      <c r="V1034">
        <f>IF($K1034="","",IF(ISNUMBER(Sync!$AK1034),Sync!$AK1034,LEFT(Sync!$AK1034,4)&amp;MID(Sync!$AK1034,6,2)&amp;RIGHT(Sync!$AK1034,2))&amp;"|"&amp;"4"&amp;RIGHT("00000"&amp;1029,5))</f>
        <v/>
      </c>
      <c r="W1034">
        <f>IF($V1034="",0,COUNTIFS($V$6:$V$2005,"&lt;"&amp;$V1034)-COUNTIFS($V$6:$V$2005,"&lt;"&amp;$V1034,$K$6:$K$2005,"")+1)</f>
        <v/>
      </c>
    </row>
    <row r="1035">
      <c r="A1035">
        <f>IF(Sync!$Z1035="","",LEFT(UPPER(TRIM(Sync!$Z1035)),6))</f>
        <v/>
      </c>
      <c r="B1035">
        <f>IF($A1035="","",IF(Sync!$AA1035="","",Sync!$AA1035))</f>
        <v/>
      </c>
      <c r="C1035">
        <f>IF($A1035="","",IF(Sync!$AB1035="","",Sync!$AB1035))</f>
        <v/>
      </c>
      <c r="D1035">
        <f>IF($A1035="","",IF(Sync!$AC1035="","",Sync!$AC1035))</f>
        <v/>
      </c>
      <c r="E1035">
        <f>IF($A1035="","",IF(Sync!$AD1035="","",Sync!$AD1035))</f>
        <v/>
      </c>
      <c r="F1035">
        <f>IF($A1035="","",IF(Sync!$AE1035="",0,Sync!$AE1035))</f>
        <v/>
      </c>
      <c r="G1035">
        <f>IF($A1035="","",IF(Sync!$AF1035="",0,Sync!$AF1035))</f>
        <v/>
      </c>
      <c r="H1035">
        <f>IF(OR($A1035="",ROUND($F1035+$G1035,2)=0),"",$F1035+$G1035)</f>
        <v/>
      </c>
      <c r="I1035">
        <f>IF($H1035="","",IF(ROUND($F1035,2)&gt;0,$A1035,IF($D1035="شخصی قاسم","شخصی قاسم",IF($D1035="هزینه","هزینه: "&amp;IF($E1035="","متفرقه",$E1035),IF($C1035="پاس چک","چک پرداختی",IF(OR($B1035="",COUNTIF(AcctCodesA,$B1035)=0),"متفرقه",$B1035))))))</f>
        <v/>
      </c>
      <c r="J1035">
        <f>IF($H1035="","",IF(ROUND($F1035,2)&gt;0,IF($D1035="شخصی قاسم","شخصی قاسم",IF($D1035="هزینه","هزینه: "&amp;IF($E1035="","متفرقه",$E1035),IF(OR($B1035="",COUNTIF(AcctCodesA,$B1035)=0),"متفرقه",$B1035))),$A1035))</f>
        <v/>
      </c>
      <c r="K1035">
        <f>IF($A1035="","",IF(AND($B1035&lt;&gt;"",COUNTIF(AcctCodesA,$B1035)=0),"کد طرف در INFO تعریف نشده",IF(AND($D1035="هزینه",$E1035=""),"هزینه بدون زیرگروه",IF(AND($C1035="پاس چک",OR(Sync!$AJ1035="",COUNTIF(IssueNosA,Sync!$AJ1035)=0)),"شماره چک پاس‌شده معتبر نیست",""))))</f>
        <v/>
      </c>
      <c r="V1035">
        <f>IF($K1035="","",IF(ISNUMBER(Sync!$AK1035),Sync!$AK1035,LEFT(Sync!$AK1035,4)&amp;MID(Sync!$AK1035,6,2)&amp;RIGHT(Sync!$AK1035,2))&amp;"|"&amp;"4"&amp;RIGHT("00000"&amp;1030,5))</f>
        <v/>
      </c>
      <c r="W1035">
        <f>IF($V1035="",0,COUNTIFS($V$6:$V$2005,"&lt;"&amp;$V1035)-COUNTIFS($V$6:$V$2005,"&lt;"&amp;$V1035,$K$6:$K$2005,"")+1)</f>
        <v/>
      </c>
    </row>
    <row r="1036">
      <c r="A1036">
        <f>IF(Sync!$Z1036="","",LEFT(UPPER(TRIM(Sync!$Z1036)),6))</f>
        <v/>
      </c>
      <c r="B1036">
        <f>IF($A1036="","",IF(Sync!$AA1036="","",Sync!$AA1036))</f>
        <v/>
      </c>
      <c r="C1036">
        <f>IF($A1036="","",IF(Sync!$AB1036="","",Sync!$AB1036))</f>
        <v/>
      </c>
      <c r="D1036">
        <f>IF($A1036="","",IF(Sync!$AC1036="","",Sync!$AC1036))</f>
        <v/>
      </c>
      <c r="E1036">
        <f>IF($A1036="","",IF(Sync!$AD1036="","",Sync!$AD1036))</f>
        <v/>
      </c>
      <c r="F1036">
        <f>IF($A1036="","",IF(Sync!$AE1036="",0,Sync!$AE1036))</f>
        <v/>
      </c>
      <c r="G1036">
        <f>IF($A1036="","",IF(Sync!$AF1036="",0,Sync!$AF1036))</f>
        <v/>
      </c>
      <c r="H1036">
        <f>IF(OR($A1036="",ROUND($F1036+$G1036,2)=0),"",$F1036+$G1036)</f>
        <v/>
      </c>
      <c r="I1036">
        <f>IF($H1036="","",IF(ROUND($F1036,2)&gt;0,$A1036,IF($D1036="شخصی قاسم","شخصی قاسم",IF($D1036="هزینه","هزینه: "&amp;IF($E1036="","متفرقه",$E1036),IF($C1036="پاس چک","چک پرداختی",IF(OR($B1036="",COUNTIF(AcctCodesA,$B1036)=0),"متفرقه",$B1036))))))</f>
        <v/>
      </c>
      <c r="J1036">
        <f>IF($H1036="","",IF(ROUND($F1036,2)&gt;0,IF($D1036="شخصی قاسم","شخصی قاسم",IF($D1036="هزینه","هزینه: "&amp;IF($E1036="","متفرقه",$E1036),IF(OR($B1036="",COUNTIF(AcctCodesA,$B1036)=0),"متفرقه",$B1036))),$A1036))</f>
        <v/>
      </c>
      <c r="K1036">
        <f>IF($A1036="","",IF(AND($B1036&lt;&gt;"",COUNTIF(AcctCodesA,$B1036)=0),"کد طرف در INFO تعریف نشده",IF(AND($D1036="هزینه",$E1036=""),"هزینه بدون زیرگروه",IF(AND($C1036="پاس چک",OR(Sync!$AJ1036="",COUNTIF(IssueNosA,Sync!$AJ1036)=0)),"شماره چک پاس‌شده معتبر نیست",""))))</f>
        <v/>
      </c>
      <c r="V1036">
        <f>IF($K1036="","",IF(ISNUMBER(Sync!$AK1036),Sync!$AK1036,LEFT(Sync!$AK1036,4)&amp;MID(Sync!$AK1036,6,2)&amp;RIGHT(Sync!$AK1036,2))&amp;"|"&amp;"4"&amp;RIGHT("00000"&amp;1031,5))</f>
        <v/>
      </c>
      <c r="W1036">
        <f>IF($V1036="",0,COUNTIFS($V$6:$V$2005,"&lt;"&amp;$V1036)-COUNTIFS($V$6:$V$2005,"&lt;"&amp;$V1036,$K$6:$K$2005,"")+1)</f>
        <v/>
      </c>
    </row>
    <row r="1037">
      <c r="A1037">
        <f>IF(Sync!$Z1037="","",LEFT(UPPER(TRIM(Sync!$Z1037)),6))</f>
        <v/>
      </c>
      <c r="B1037">
        <f>IF($A1037="","",IF(Sync!$AA1037="","",Sync!$AA1037))</f>
        <v/>
      </c>
      <c r="C1037">
        <f>IF($A1037="","",IF(Sync!$AB1037="","",Sync!$AB1037))</f>
        <v/>
      </c>
      <c r="D1037">
        <f>IF($A1037="","",IF(Sync!$AC1037="","",Sync!$AC1037))</f>
        <v/>
      </c>
      <c r="E1037">
        <f>IF($A1037="","",IF(Sync!$AD1037="","",Sync!$AD1037))</f>
        <v/>
      </c>
      <c r="F1037">
        <f>IF($A1037="","",IF(Sync!$AE1037="",0,Sync!$AE1037))</f>
        <v/>
      </c>
      <c r="G1037">
        <f>IF($A1037="","",IF(Sync!$AF1037="",0,Sync!$AF1037))</f>
        <v/>
      </c>
      <c r="H1037">
        <f>IF(OR($A1037="",ROUND($F1037+$G1037,2)=0),"",$F1037+$G1037)</f>
        <v/>
      </c>
      <c r="I1037">
        <f>IF($H1037="","",IF(ROUND($F1037,2)&gt;0,$A1037,IF($D1037="شخصی قاسم","شخصی قاسم",IF($D1037="هزینه","هزینه: "&amp;IF($E1037="","متفرقه",$E1037),IF($C1037="پاس چک","چک پرداختی",IF(OR($B1037="",COUNTIF(AcctCodesA,$B1037)=0),"متفرقه",$B1037))))))</f>
        <v/>
      </c>
      <c r="J1037">
        <f>IF($H1037="","",IF(ROUND($F1037,2)&gt;0,IF($D1037="شخصی قاسم","شخصی قاسم",IF($D1037="هزینه","هزینه: "&amp;IF($E1037="","متفرقه",$E1037),IF(OR($B1037="",COUNTIF(AcctCodesA,$B1037)=0),"متفرقه",$B1037))),$A1037))</f>
        <v/>
      </c>
      <c r="K1037">
        <f>IF($A1037="","",IF(AND($B1037&lt;&gt;"",COUNTIF(AcctCodesA,$B1037)=0),"کد طرف در INFO تعریف نشده",IF(AND($D1037="هزینه",$E1037=""),"هزینه بدون زیرگروه",IF(AND($C1037="پاس چک",OR(Sync!$AJ1037="",COUNTIF(IssueNosA,Sync!$AJ1037)=0)),"شماره چک پاس‌شده معتبر نیست",""))))</f>
        <v/>
      </c>
      <c r="V1037">
        <f>IF($K1037="","",IF(ISNUMBER(Sync!$AK1037),Sync!$AK1037,LEFT(Sync!$AK1037,4)&amp;MID(Sync!$AK1037,6,2)&amp;RIGHT(Sync!$AK1037,2))&amp;"|"&amp;"4"&amp;RIGHT("00000"&amp;1032,5))</f>
        <v/>
      </c>
      <c r="W1037">
        <f>IF($V1037="",0,COUNTIFS($V$6:$V$2005,"&lt;"&amp;$V1037)-COUNTIFS($V$6:$V$2005,"&lt;"&amp;$V1037,$K$6:$K$2005,"")+1)</f>
        <v/>
      </c>
    </row>
    <row r="1038">
      <c r="A1038">
        <f>IF(Sync!$Z1038="","",LEFT(UPPER(TRIM(Sync!$Z1038)),6))</f>
        <v/>
      </c>
      <c r="B1038">
        <f>IF($A1038="","",IF(Sync!$AA1038="","",Sync!$AA1038))</f>
        <v/>
      </c>
      <c r="C1038">
        <f>IF($A1038="","",IF(Sync!$AB1038="","",Sync!$AB1038))</f>
        <v/>
      </c>
      <c r="D1038">
        <f>IF($A1038="","",IF(Sync!$AC1038="","",Sync!$AC1038))</f>
        <v/>
      </c>
      <c r="E1038">
        <f>IF($A1038="","",IF(Sync!$AD1038="","",Sync!$AD1038))</f>
        <v/>
      </c>
      <c r="F1038">
        <f>IF($A1038="","",IF(Sync!$AE1038="",0,Sync!$AE1038))</f>
        <v/>
      </c>
      <c r="G1038">
        <f>IF($A1038="","",IF(Sync!$AF1038="",0,Sync!$AF1038))</f>
        <v/>
      </c>
      <c r="H1038">
        <f>IF(OR($A1038="",ROUND($F1038+$G1038,2)=0),"",$F1038+$G1038)</f>
        <v/>
      </c>
      <c r="I1038">
        <f>IF($H1038="","",IF(ROUND($F1038,2)&gt;0,$A1038,IF($D1038="شخصی قاسم","شخصی قاسم",IF($D1038="هزینه","هزینه: "&amp;IF($E1038="","متفرقه",$E1038),IF($C1038="پاس چک","چک پرداختی",IF(OR($B1038="",COUNTIF(AcctCodesA,$B1038)=0),"متفرقه",$B1038))))))</f>
        <v/>
      </c>
      <c r="J1038">
        <f>IF($H1038="","",IF(ROUND($F1038,2)&gt;0,IF($D1038="شخصی قاسم","شخصی قاسم",IF($D1038="هزینه","هزینه: "&amp;IF($E1038="","متفرقه",$E1038),IF(OR($B1038="",COUNTIF(AcctCodesA,$B1038)=0),"متفرقه",$B1038))),$A1038))</f>
        <v/>
      </c>
      <c r="K1038">
        <f>IF($A1038="","",IF(AND($B1038&lt;&gt;"",COUNTIF(AcctCodesA,$B1038)=0),"کد طرف در INFO تعریف نشده",IF(AND($D1038="هزینه",$E1038=""),"هزینه بدون زیرگروه",IF(AND($C1038="پاس چک",OR(Sync!$AJ1038="",COUNTIF(IssueNosA,Sync!$AJ1038)=0)),"شماره چک پاس‌شده معتبر نیست",""))))</f>
        <v/>
      </c>
      <c r="V1038">
        <f>IF($K1038="","",IF(ISNUMBER(Sync!$AK1038),Sync!$AK1038,LEFT(Sync!$AK1038,4)&amp;MID(Sync!$AK1038,6,2)&amp;RIGHT(Sync!$AK1038,2))&amp;"|"&amp;"4"&amp;RIGHT("00000"&amp;1033,5))</f>
        <v/>
      </c>
      <c r="W1038">
        <f>IF($V1038="",0,COUNTIFS($V$6:$V$2005,"&lt;"&amp;$V1038)-COUNTIFS($V$6:$V$2005,"&lt;"&amp;$V1038,$K$6:$K$2005,"")+1)</f>
        <v/>
      </c>
    </row>
    <row r="1039">
      <c r="A1039">
        <f>IF(Sync!$Z1039="","",LEFT(UPPER(TRIM(Sync!$Z1039)),6))</f>
        <v/>
      </c>
      <c r="B1039">
        <f>IF($A1039="","",IF(Sync!$AA1039="","",Sync!$AA1039))</f>
        <v/>
      </c>
      <c r="C1039">
        <f>IF($A1039="","",IF(Sync!$AB1039="","",Sync!$AB1039))</f>
        <v/>
      </c>
      <c r="D1039">
        <f>IF($A1039="","",IF(Sync!$AC1039="","",Sync!$AC1039))</f>
        <v/>
      </c>
      <c r="E1039">
        <f>IF($A1039="","",IF(Sync!$AD1039="","",Sync!$AD1039))</f>
        <v/>
      </c>
      <c r="F1039">
        <f>IF($A1039="","",IF(Sync!$AE1039="",0,Sync!$AE1039))</f>
        <v/>
      </c>
      <c r="G1039">
        <f>IF($A1039="","",IF(Sync!$AF1039="",0,Sync!$AF1039))</f>
        <v/>
      </c>
      <c r="H1039">
        <f>IF(OR($A1039="",ROUND($F1039+$G1039,2)=0),"",$F1039+$G1039)</f>
        <v/>
      </c>
      <c r="I1039">
        <f>IF($H1039="","",IF(ROUND($F1039,2)&gt;0,$A1039,IF($D1039="شخصی قاسم","شخصی قاسم",IF($D1039="هزینه","هزینه: "&amp;IF($E1039="","متفرقه",$E1039),IF($C1039="پاس چک","چک پرداختی",IF(OR($B1039="",COUNTIF(AcctCodesA,$B1039)=0),"متفرقه",$B1039))))))</f>
        <v/>
      </c>
      <c r="J1039">
        <f>IF($H1039="","",IF(ROUND($F1039,2)&gt;0,IF($D1039="شخصی قاسم","شخصی قاسم",IF($D1039="هزینه","هزینه: "&amp;IF($E1039="","متفرقه",$E1039),IF(OR($B1039="",COUNTIF(AcctCodesA,$B1039)=0),"متفرقه",$B1039))),$A1039))</f>
        <v/>
      </c>
      <c r="K1039">
        <f>IF($A1039="","",IF(AND($B1039&lt;&gt;"",COUNTIF(AcctCodesA,$B1039)=0),"کد طرف در INFO تعریف نشده",IF(AND($D1039="هزینه",$E1039=""),"هزینه بدون زیرگروه",IF(AND($C1039="پاس چک",OR(Sync!$AJ1039="",COUNTIF(IssueNosA,Sync!$AJ1039)=0)),"شماره چک پاس‌شده معتبر نیست",""))))</f>
        <v/>
      </c>
      <c r="V1039">
        <f>IF($K1039="","",IF(ISNUMBER(Sync!$AK1039),Sync!$AK1039,LEFT(Sync!$AK1039,4)&amp;MID(Sync!$AK1039,6,2)&amp;RIGHT(Sync!$AK1039,2))&amp;"|"&amp;"4"&amp;RIGHT("00000"&amp;1034,5))</f>
        <v/>
      </c>
      <c r="W1039">
        <f>IF($V1039="",0,COUNTIFS($V$6:$V$2005,"&lt;"&amp;$V1039)-COUNTIFS($V$6:$V$2005,"&lt;"&amp;$V1039,$K$6:$K$2005,"")+1)</f>
        <v/>
      </c>
    </row>
    <row r="1040">
      <c r="A1040">
        <f>IF(Sync!$Z1040="","",LEFT(UPPER(TRIM(Sync!$Z1040)),6))</f>
        <v/>
      </c>
      <c r="B1040">
        <f>IF($A1040="","",IF(Sync!$AA1040="","",Sync!$AA1040))</f>
        <v/>
      </c>
      <c r="C1040">
        <f>IF($A1040="","",IF(Sync!$AB1040="","",Sync!$AB1040))</f>
        <v/>
      </c>
      <c r="D1040">
        <f>IF($A1040="","",IF(Sync!$AC1040="","",Sync!$AC1040))</f>
        <v/>
      </c>
      <c r="E1040">
        <f>IF($A1040="","",IF(Sync!$AD1040="","",Sync!$AD1040))</f>
        <v/>
      </c>
      <c r="F1040">
        <f>IF($A1040="","",IF(Sync!$AE1040="",0,Sync!$AE1040))</f>
        <v/>
      </c>
      <c r="G1040">
        <f>IF($A1040="","",IF(Sync!$AF1040="",0,Sync!$AF1040))</f>
        <v/>
      </c>
      <c r="H1040">
        <f>IF(OR($A1040="",ROUND($F1040+$G1040,2)=0),"",$F1040+$G1040)</f>
        <v/>
      </c>
      <c r="I1040">
        <f>IF($H1040="","",IF(ROUND($F1040,2)&gt;0,$A1040,IF($D1040="شخصی قاسم","شخصی قاسم",IF($D1040="هزینه","هزینه: "&amp;IF($E1040="","متفرقه",$E1040),IF($C1040="پاس چک","چک پرداختی",IF(OR($B1040="",COUNTIF(AcctCodesA,$B1040)=0),"متفرقه",$B1040))))))</f>
        <v/>
      </c>
      <c r="J1040">
        <f>IF($H1040="","",IF(ROUND($F1040,2)&gt;0,IF($D1040="شخصی قاسم","شخصی قاسم",IF($D1040="هزینه","هزینه: "&amp;IF($E1040="","متفرقه",$E1040),IF(OR($B1040="",COUNTIF(AcctCodesA,$B1040)=0),"متفرقه",$B1040))),$A1040))</f>
        <v/>
      </c>
      <c r="K1040">
        <f>IF($A1040="","",IF(AND($B1040&lt;&gt;"",COUNTIF(AcctCodesA,$B1040)=0),"کد طرف در INFO تعریف نشده",IF(AND($D1040="هزینه",$E1040=""),"هزینه بدون زیرگروه",IF(AND($C1040="پاس چک",OR(Sync!$AJ1040="",COUNTIF(IssueNosA,Sync!$AJ1040)=0)),"شماره چک پاس‌شده معتبر نیست",""))))</f>
        <v/>
      </c>
      <c r="V1040">
        <f>IF($K1040="","",IF(ISNUMBER(Sync!$AK1040),Sync!$AK1040,LEFT(Sync!$AK1040,4)&amp;MID(Sync!$AK1040,6,2)&amp;RIGHT(Sync!$AK1040,2))&amp;"|"&amp;"4"&amp;RIGHT("00000"&amp;1035,5))</f>
        <v/>
      </c>
      <c r="W1040">
        <f>IF($V1040="",0,COUNTIFS($V$6:$V$2005,"&lt;"&amp;$V1040)-COUNTIFS($V$6:$V$2005,"&lt;"&amp;$V1040,$K$6:$K$2005,"")+1)</f>
        <v/>
      </c>
    </row>
    <row r="1041">
      <c r="A1041">
        <f>IF(Sync!$Z1041="","",LEFT(UPPER(TRIM(Sync!$Z1041)),6))</f>
        <v/>
      </c>
      <c r="B1041">
        <f>IF($A1041="","",IF(Sync!$AA1041="","",Sync!$AA1041))</f>
        <v/>
      </c>
      <c r="C1041">
        <f>IF($A1041="","",IF(Sync!$AB1041="","",Sync!$AB1041))</f>
        <v/>
      </c>
      <c r="D1041">
        <f>IF($A1041="","",IF(Sync!$AC1041="","",Sync!$AC1041))</f>
        <v/>
      </c>
      <c r="E1041">
        <f>IF($A1041="","",IF(Sync!$AD1041="","",Sync!$AD1041))</f>
        <v/>
      </c>
      <c r="F1041">
        <f>IF($A1041="","",IF(Sync!$AE1041="",0,Sync!$AE1041))</f>
        <v/>
      </c>
      <c r="G1041">
        <f>IF($A1041="","",IF(Sync!$AF1041="",0,Sync!$AF1041))</f>
        <v/>
      </c>
      <c r="H1041">
        <f>IF(OR($A1041="",ROUND($F1041+$G1041,2)=0),"",$F1041+$G1041)</f>
        <v/>
      </c>
      <c r="I1041">
        <f>IF($H1041="","",IF(ROUND($F1041,2)&gt;0,$A1041,IF($D1041="شخصی قاسم","شخصی قاسم",IF($D1041="هزینه","هزینه: "&amp;IF($E1041="","متفرقه",$E1041),IF($C1041="پاس چک","چک پرداختی",IF(OR($B1041="",COUNTIF(AcctCodesA,$B1041)=0),"متفرقه",$B1041))))))</f>
        <v/>
      </c>
      <c r="J1041">
        <f>IF($H1041="","",IF(ROUND($F1041,2)&gt;0,IF($D1041="شخصی قاسم","شخصی قاسم",IF($D1041="هزینه","هزینه: "&amp;IF($E1041="","متفرقه",$E1041),IF(OR($B1041="",COUNTIF(AcctCodesA,$B1041)=0),"متفرقه",$B1041))),$A1041))</f>
        <v/>
      </c>
      <c r="K1041">
        <f>IF($A1041="","",IF(AND($B1041&lt;&gt;"",COUNTIF(AcctCodesA,$B1041)=0),"کد طرف در INFO تعریف نشده",IF(AND($D1041="هزینه",$E1041=""),"هزینه بدون زیرگروه",IF(AND($C1041="پاس چک",OR(Sync!$AJ1041="",COUNTIF(IssueNosA,Sync!$AJ1041)=0)),"شماره چک پاس‌شده معتبر نیست",""))))</f>
        <v/>
      </c>
      <c r="V1041">
        <f>IF($K1041="","",IF(ISNUMBER(Sync!$AK1041),Sync!$AK1041,LEFT(Sync!$AK1041,4)&amp;MID(Sync!$AK1041,6,2)&amp;RIGHT(Sync!$AK1041,2))&amp;"|"&amp;"4"&amp;RIGHT("00000"&amp;1036,5))</f>
        <v/>
      </c>
      <c r="W1041">
        <f>IF($V1041="",0,COUNTIFS($V$6:$V$2005,"&lt;"&amp;$V1041)-COUNTIFS($V$6:$V$2005,"&lt;"&amp;$V1041,$K$6:$K$2005,"")+1)</f>
        <v/>
      </c>
    </row>
    <row r="1042">
      <c r="A1042">
        <f>IF(Sync!$Z1042="","",LEFT(UPPER(TRIM(Sync!$Z1042)),6))</f>
        <v/>
      </c>
      <c r="B1042">
        <f>IF($A1042="","",IF(Sync!$AA1042="","",Sync!$AA1042))</f>
        <v/>
      </c>
      <c r="C1042">
        <f>IF($A1042="","",IF(Sync!$AB1042="","",Sync!$AB1042))</f>
        <v/>
      </c>
      <c r="D1042">
        <f>IF($A1042="","",IF(Sync!$AC1042="","",Sync!$AC1042))</f>
        <v/>
      </c>
      <c r="E1042">
        <f>IF($A1042="","",IF(Sync!$AD1042="","",Sync!$AD1042))</f>
        <v/>
      </c>
      <c r="F1042">
        <f>IF($A1042="","",IF(Sync!$AE1042="",0,Sync!$AE1042))</f>
        <v/>
      </c>
      <c r="G1042">
        <f>IF($A1042="","",IF(Sync!$AF1042="",0,Sync!$AF1042))</f>
        <v/>
      </c>
      <c r="H1042">
        <f>IF(OR($A1042="",ROUND($F1042+$G1042,2)=0),"",$F1042+$G1042)</f>
        <v/>
      </c>
      <c r="I1042">
        <f>IF($H1042="","",IF(ROUND($F1042,2)&gt;0,$A1042,IF($D1042="شخصی قاسم","شخصی قاسم",IF($D1042="هزینه","هزینه: "&amp;IF($E1042="","متفرقه",$E1042),IF($C1042="پاس چک","چک پرداختی",IF(OR($B1042="",COUNTIF(AcctCodesA,$B1042)=0),"متفرقه",$B1042))))))</f>
        <v/>
      </c>
      <c r="J1042">
        <f>IF($H1042="","",IF(ROUND($F1042,2)&gt;0,IF($D1042="شخصی قاسم","شخصی قاسم",IF($D1042="هزینه","هزینه: "&amp;IF($E1042="","متفرقه",$E1042),IF(OR($B1042="",COUNTIF(AcctCodesA,$B1042)=0),"متفرقه",$B1042))),$A1042))</f>
        <v/>
      </c>
      <c r="K1042">
        <f>IF($A1042="","",IF(AND($B1042&lt;&gt;"",COUNTIF(AcctCodesA,$B1042)=0),"کد طرف در INFO تعریف نشده",IF(AND($D1042="هزینه",$E1042=""),"هزینه بدون زیرگروه",IF(AND($C1042="پاس چک",OR(Sync!$AJ1042="",COUNTIF(IssueNosA,Sync!$AJ1042)=0)),"شماره چک پاس‌شده معتبر نیست",""))))</f>
        <v/>
      </c>
      <c r="V1042">
        <f>IF($K1042="","",IF(ISNUMBER(Sync!$AK1042),Sync!$AK1042,LEFT(Sync!$AK1042,4)&amp;MID(Sync!$AK1042,6,2)&amp;RIGHT(Sync!$AK1042,2))&amp;"|"&amp;"4"&amp;RIGHT("00000"&amp;1037,5))</f>
        <v/>
      </c>
      <c r="W1042">
        <f>IF($V1042="",0,COUNTIFS($V$6:$V$2005,"&lt;"&amp;$V1042)-COUNTIFS($V$6:$V$2005,"&lt;"&amp;$V1042,$K$6:$K$2005,"")+1)</f>
        <v/>
      </c>
    </row>
    <row r="1043">
      <c r="A1043">
        <f>IF(Sync!$Z1043="","",LEFT(UPPER(TRIM(Sync!$Z1043)),6))</f>
        <v/>
      </c>
      <c r="B1043">
        <f>IF($A1043="","",IF(Sync!$AA1043="","",Sync!$AA1043))</f>
        <v/>
      </c>
      <c r="C1043">
        <f>IF($A1043="","",IF(Sync!$AB1043="","",Sync!$AB1043))</f>
        <v/>
      </c>
      <c r="D1043">
        <f>IF($A1043="","",IF(Sync!$AC1043="","",Sync!$AC1043))</f>
        <v/>
      </c>
      <c r="E1043">
        <f>IF($A1043="","",IF(Sync!$AD1043="","",Sync!$AD1043))</f>
        <v/>
      </c>
      <c r="F1043">
        <f>IF($A1043="","",IF(Sync!$AE1043="",0,Sync!$AE1043))</f>
        <v/>
      </c>
      <c r="G1043">
        <f>IF($A1043="","",IF(Sync!$AF1043="",0,Sync!$AF1043))</f>
        <v/>
      </c>
      <c r="H1043">
        <f>IF(OR($A1043="",ROUND($F1043+$G1043,2)=0),"",$F1043+$G1043)</f>
        <v/>
      </c>
      <c r="I1043">
        <f>IF($H1043="","",IF(ROUND($F1043,2)&gt;0,$A1043,IF($D1043="شخصی قاسم","شخصی قاسم",IF($D1043="هزینه","هزینه: "&amp;IF($E1043="","متفرقه",$E1043),IF($C1043="پاس چک","چک پرداختی",IF(OR($B1043="",COUNTIF(AcctCodesA,$B1043)=0),"متفرقه",$B1043))))))</f>
        <v/>
      </c>
      <c r="J1043">
        <f>IF($H1043="","",IF(ROUND($F1043,2)&gt;0,IF($D1043="شخصی قاسم","شخصی قاسم",IF($D1043="هزینه","هزینه: "&amp;IF($E1043="","متفرقه",$E1043),IF(OR($B1043="",COUNTIF(AcctCodesA,$B1043)=0),"متفرقه",$B1043))),$A1043))</f>
        <v/>
      </c>
      <c r="K1043">
        <f>IF($A1043="","",IF(AND($B1043&lt;&gt;"",COUNTIF(AcctCodesA,$B1043)=0),"کد طرف در INFO تعریف نشده",IF(AND($D1043="هزینه",$E1043=""),"هزینه بدون زیرگروه",IF(AND($C1043="پاس چک",OR(Sync!$AJ1043="",COUNTIF(IssueNosA,Sync!$AJ1043)=0)),"شماره چک پاس‌شده معتبر نیست",""))))</f>
        <v/>
      </c>
      <c r="V1043">
        <f>IF($K1043="","",IF(ISNUMBER(Sync!$AK1043),Sync!$AK1043,LEFT(Sync!$AK1043,4)&amp;MID(Sync!$AK1043,6,2)&amp;RIGHT(Sync!$AK1043,2))&amp;"|"&amp;"4"&amp;RIGHT("00000"&amp;1038,5))</f>
        <v/>
      </c>
      <c r="W1043">
        <f>IF($V1043="",0,COUNTIFS($V$6:$V$2005,"&lt;"&amp;$V1043)-COUNTIFS($V$6:$V$2005,"&lt;"&amp;$V1043,$K$6:$K$2005,"")+1)</f>
        <v/>
      </c>
    </row>
    <row r="1044">
      <c r="A1044">
        <f>IF(Sync!$Z1044="","",LEFT(UPPER(TRIM(Sync!$Z1044)),6))</f>
        <v/>
      </c>
      <c r="B1044">
        <f>IF($A1044="","",IF(Sync!$AA1044="","",Sync!$AA1044))</f>
        <v/>
      </c>
      <c r="C1044">
        <f>IF($A1044="","",IF(Sync!$AB1044="","",Sync!$AB1044))</f>
        <v/>
      </c>
      <c r="D1044">
        <f>IF($A1044="","",IF(Sync!$AC1044="","",Sync!$AC1044))</f>
        <v/>
      </c>
      <c r="E1044">
        <f>IF($A1044="","",IF(Sync!$AD1044="","",Sync!$AD1044))</f>
        <v/>
      </c>
      <c r="F1044">
        <f>IF($A1044="","",IF(Sync!$AE1044="",0,Sync!$AE1044))</f>
        <v/>
      </c>
      <c r="G1044">
        <f>IF($A1044="","",IF(Sync!$AF1044="",0,Sync!$AF1044))</f>
        <v/>
      </c>
      <c r="H1044">
        <f>IF(OR($A1044="",ROUND($F1044+$G1044,2)=0),"",$F1044+$G1044)</f>
        <v/>
      </c>
      <c r="I1044">
        <f>IF($H1044="","",IF(ROUND($F1044,2)&gt;0,$A1044,IF($D1044="شخصی قاسم","شخصی قاسم",IF($D1044="هزینه","هزینه: "&amp;IF($E1044="","متفرقه",$E1044),IF($C1044="پاس چک","چک پرداختی",IF(OR($B1044="",COUNTIF(AcctCodesA,$B1044)=0),"متفرقه",$B1044))))))</f>
        <v/>
      </c>
      <c r="J1044">
        <f>IF($H1044="","",IF(ROUND($F1044,2)&gt;0,IF($D1044="شخصی قاسم","شخصی قاسم",IF($D1044="هزینه","هزینه: "&amp;IF($E1044="","متفرقه",$E1044),IF(OR($B1044="",COUNTIF(AcctCodesA,$B1044)=0),"متفرقه",$B1044))),$A1044))</f>
        <v/>
      </c>
      <c r="K1044">
        <f>IF($A1044="","",IF(AND($B1044&lt;&gt;"",COUNTIF(AcctCodesA,$B1044)=0),"کد طرف در INFO تعریف نشده",IF(AND($D1044="هزینه",$E1044=""),"هزینه بدون زیرگروه",IF(AND($C1044="پاس چک",OR(Sync!$AJ1044="",COUNTIF(IssueNosA,Sync!$AJ1044)=0)),"شماره چک پاس‌شده معتبر نیست",""))))</f>
        <v/>
      </c>
      <c r="V1044">
        <f>IF($K1044="","",IF(ISNUMBER(Sync!$AK1044),Sync!$AK1044,LEFT(Sync!$AK1044,4)&amp;MID(Sync!$AK1044,6,2)&amp;RIGHT(Sync!$AK1044,2))&amp;"|"&amp;"4"&amp;RIGHT("00000"&amp;1039,5))</f>
        <v/>
      </c>
      <c r="W1044">
        <f>IF($V1044="",0,COUNTIFS($V$6:$V$2005,"&lt;"&amp;$V1044)-COUNTIFS($V$6:$V$2005,"&lt;"&amp;$V1044,$K$6:$K$2005,"")+1)</f>
        <v/>
      </c>
    </row>
    <row r="1045">
      <c r="A1045">
        <f>IF(Sync!$Z1045="","",LEFT(UPPER(TRIM(Sync!$Z1045)),6))</f>
        <v/>
      </c>
      <c r="B1045">
        <f>IF($A1045="","",IF(Sync!$AA1045="","",Sync!$AA1045))</f>
        <v/>
      </c>
      <c r="C1045">
        <f>IF($A1045="","",IF(Sync!$AB1045="","",Sync!$AB1045))</f>
        <v/>
      </c>
      <c r="D1045">
        <f>IF($A1045="","",IF(Sync!$AC1045="","",Sync!$AC1045))</f>
        <v/>
      </c>
      <c r="E1045">
        <f>IF($A1045="","",IF(Sync!$AD1045="","",Sync!$AD1045))</f>
        <v/>
      </c>
      <c r="F1045">
        <f>IF($A1045="","",IF(Sync!$AE1045="",0,Sync!$AE1045))</f>
        <v/>
      </c>
      <c r="G1045">
        <f>IF($A1045="","",IF(Sync!$AF1045="",0,Sync!$AF1045))</f>
        <v/>
      </c>
      <c r="H1045">
        <f>IF(OR($A1045="",ROUND($F1045+$G1045,2)=0),"",$F1045+$G1045)</f>
        <v/>
      </c>
      <c r="I1045">
        <f>IF($H1045="","",IF(ROUND($F1045,2)&gt;0,$A1045,IF($D1045="شخصی قاسم","شخصی قاسم",IF($D1045="هزینه","هزینه: "&amp;IF($E1045="","متفرقه",$E1045),IF($C1045="پاس چک","چک پرداختی",IF(OR($B1045="",COUNTIF(AcctCodesA,$B1045)=0),"متفرقه",$B1045))))))</f>
        <v/>
      </c>
      <c r="J1045">
        <f>IF($H1045="","",IF(ROUND($F1045,2)&gt;0,IF($D1045="شخصی قاسم","شخصی قاسم",IF($D1045="هزینه","هزینه: "&amp;IF($E1045="","متفرقه",$E1045),IF(OR($B1045="",COUNTIF(AcctCodesA,$B1045)=0),"متفرقه",$B1045))),$A1045))</f>
        <v/>
      </c>
      <c r="K1045">
        <f>IF($A1045="","",IF(AND($B1045&lt;&gt;"",COUNTIF(AcctCodesA,$B1045)=0),"کد طرف در INFO تعریف نشده",IF(AND($D1045="هزینه",$E1045=""),"هزینه بدون زیرگروه",IF(AND($C1045="پاس چک",OR(Sync!$AJ1045="",COUNTIF(IssueNosA,Sync!$AJ1045)=0)),"شماره چک پاس‌شده معتبر نیست",""))))</f>
        <v/>
      </c>
      <c r="V1045">
        <f>IF($K1045="","",IF(ISNUMBER(Sync!$AK1045),Sync!$AK1045,LEFT(Sync!$AK1045,4)&amp;MID(Sync!$AK1045,6,2)&amp;RIGHT(Sync!$AK1045,2))&amp;"|"&amp;"4"&amp;RIGHT("00000"&amp;1040,5))</f>
        <v/>
      </c>
      <c r="W1045">
        <f>IF($V1045="",0,COUNTIFS($V$6:$V$2005,"&lt;"&amp;$V1045)-COUNTIFS($V$6:$V$2005,"&lt;"&amp;$V1045,$K$6:$K$2005,"")+1)</f>
        <v/>
      </c>
    </row>
    <row r="1046">
      <c r="A1046">
        <f>IF(Sync!$Z1046="","",LEFT(UPPER(TRIM(Sync!$Z1046)),6))</f>
        <v/>
      </c>
      <c r="B1046">
        <f>IF($A1046="","",IF(Sync!$AA1046="","",Sync!$AA1046))</f>
        <v/>
      </c>
      <c r="C1046">
        <f>IF($A1046="","",IF(Sync!$AB1046="","",Sync!$AB1046))</f>
        <v/>
      </c>
      <c r="D1046">
        <f>IF($A1046="","",IF(Sync!$AC1046="","",Sync!$AC1046))</f>
        <v/>
      </c>
      <c r="E1046">
        <f>IF($A1046="","",IF(Sync!$AD1046="","",Sync!$AD1046))</f>
        <v/>
      </c>
      <c r="F1046">
        <f>IF($A1046="","",IF(Sync!$AE1046="",0,Sync!$AE1046))</f>
        <v/>
      </c>
      <c r="G1046">
        <f>IF($A1046="","",IF(Sync!$AF1046="",0,Sync!$AF1046))</f>
        <v/>
      </c>
      <c r="H1046">
        <f>IF(OR($A1046="",ROUND($F1046+$G1046,2)=0),"",$F1046+$G1046)</f>
        <v/>
      </c>
      <c r="I1046">
        <f>IF($H1046="","",IF(ROUND($F1046,2)&gt;0,$A1046,IF($D1046="شخصی قاسم","شخصی قاسم",IF($D1046="هزینه","هزینه: "&amp;IF($E1046="","متفرقه",$E1046),IF($C1046="پاس چک","چک پرداختی",IF(OR($B1046="",COUNTIF(AcctCodesA,$B1046)=0),"متفرقه",$B1046))))))</f>
        <v/>
      </c>
      <c r="J1046">
        <f>IF($H1046="","",IF(ROUND($F1046,2)&gt;0,IF($D1046="شخصی قاسم","شخصی قاسم",IF($D1046="هزینه","هزینه: "&amp;IF($E1046="","متفرقه",$E1046),IF(OR($B1046="",COUNTIF(AcctCodesA,$B1046)=0),"متفرقه",$B1046))),$A1046))</f>
        <v/>
      </c>
      <c r="K1046">
        <f>IF($A1046="","",IF(AND($B1046&lt;&gt;"",COUNTIF(AcctCodesA,$B1046)=0),"کد طرف در INFO تعریف نشده",IF(AND($D1046="هزینه",$E1046=""),"هزینه بدون زیرگروه",IF(AND($C1046="پاس چک",OR(Sync!$AJ1046="",COUNTIF(IssueNosA,Sync!$AJ1046)=0)),"شماره چک پاس‌شده معتبر نیست",""))))</f>
        <v/>
      </c>
      <c r="V1046">
        <f>IF($K1046="","",IF(ISNUMBER(Sync!$AK1046),Sync!$AK1046,LEFT(Sync!$AK1046,4)&amp;MID(Sync!$AK1046,6,2)&amp;RIGHT(Sync!$AK1046,2))&amp;"|"&amp;"4"&amp;RIGHT("00000"&amp;1041,5))</f>
        <v/>
      </c>
      <c r="W1046">
        <f>IF($V1046="",0,COUNTIFS($V$6:$V$2005,"&lt;"&amp;$V1046)-COUNTIFS($V$6:$V$2005,"&lt;"&amp;$V1046,$K$6:$K$2005,"")+1)</f>
        <v/>
      </c>
    </row>
    <row r="1047">
      <c r="A1047">
        <f>IF(Sync!$Z1047="","",LEFT(UPPER(TRIM(Sync!$Z1047)),6))</f>
        <v/>
      </c>
      <c r="B1047">
        <f>IF($A1047="","",IF(Sync!$AA1047="","",Sync!$AA1047))</f>
        <v/>
      </c>
      <c r="C1047">
        <f>IF($A1047="","",IF(Sync!$AB1047="","",Sync!$AB1047))</f>
        <v/>
      </c>
      <c r="D1047">
        <f>IF($A1047="","",IF(Sync!$AC1047="","",Sync!$AC1047))</f>
        <v/>
      </c>
      <c r="E1047">
        <f>IF($A1047="","",IF(Sync!$AD1047="","",Sync!$AD1047))</f>
        <v/>
      </c>
      <c r="F1047">
        <f>IF($A1047="","",IF(Sync!$AE1047="",0,Sync!$AE1047))</f>
        <v/>
      </c>
      <c r="G1047">
        <f>IF($A1047="","",IF(Sync!$AF1047="",0,Sync!$AF1047))</f>
        <v/>
      </c>
      <c r="H1047">
        <f>IF(OR($A1047="",ROUND($F1047+$G1047,2)=0),"",$F1047+$G1047)</f>
        <v/>
      </c>
      <c r="I1047">
        <f>IF($H1047="","",IF(ROUND($F1047,2)&gt;0,$A1047,IF($D1047="شخصی قاسم","شخصی قاسم",IF($D1047="هزینه","هزینه: "&amp;IF($E1047="","متفرقه",$E1047),IF($C1047="پاس چک","چک پرداختی",IF(OR($B1047="",COUNTIF(AcctCodesA,$B1047)=0),"متفرقه",$B1047))))))</f>
        <v/>
      </c>
      <c r="J1047">
        <f>IF($H1047="","",IF(ROUND($F1047,2)&gt;0,IF($D1047="شخصی قاسم","شخصی قاسم",IF($D1047="هزینه","هزینه: "&amp;IF($E1047="","متفرقه",$E1047),IF(OR($B1047="",COUNTIF(AcctCodesA,$B1047)=0),"متفرقه",$B1047))),$A1047))</f>
        <v/>
      </c>
      <c r="K1047">
        <f>IF($A1047="","",IF(AND($B1047&lt;&gt;"",COUNTIF(AcctCodesA,$B1047)=0),"کد طرف در INFO تعریف نشده",IF(AND($D1047="هزینه",$E1047=""),"هزینه بدون زیرگروه",IF(AND($C1047="پاس چک",OR(Sync!$AJ1047="",COUNTIF(IssueNosA,Sync!$AJ1047)=0)),"شماره چک پاس‌شده معتبر نیست",""))))</f>
        <v/>
      </c>
      <c r="V1047">
        <f>IF($K1047="","",IF(ISNUMBER(Sync!$AK1047),Sync!$AK1047,LEFT(Sync!$AK1047,4)&amp;MID(Sync!$AK1047,6,2)&amp;RIGHT(Sync!$AK1047,2))&amp;"|"&amp;"4"&amp;RIGHT("00000"&amp;1042,5))</f>
        <v/>
      </c>
      <c r="W1047">
        <f>IF($V1047="",0,COUNTIFS($V$6:$V$2005,"&lt;"&amp;$V1047)-COUNTIFS($V$6:$V$2005,"&lt;"&amp;$V1047,$K$6:$K$2005,"")+1)</f>
        <v/>
      </c>
    </row>
    <row r="1048">
      <c r="A1048">
        <f>IF(Sync!$Z1048="","",LEFT(UPPER(TRIM(Sync!$Z1048)),6))</f>
        <v/>
      </c>
      <c r="B1048">
        <f>IF($A1048="","",IF(Sync!$AA1048="","",Sync!$AA1048))</f>
        <v/>
      </c>
      <c r="C1048">
        <f>IF($A1048="","",IF(Sync!$AB1048="","",Sync!$AB1048))</f>
        <v/>
      </c>
      <c r="D1048">
        <f>IF($A1048="","",IF(Sync!$AC1048="","",Sync!$AC1048))</f>
        <v/>
      </c>
      <c r="E1048">
        <f>IF($A1048="","",IF(Sync!$AD1048="","",Sync!$AD1048))</f>
        <v/>
      </c>
      <c r="F1048">
        <f>IF($A1048="","",IF(Sync!$AE1048="",0,Sync!$AE1048))</f>
        <v/>
      </c>
      <c r="G1048">
        <f>IF($A1048="","",IF(Sync!$AF1048="",0,Sync!$AF1048))</f>
        <v/>
      </c>
      <c r="H1048">
        <f>IF(OR($A1048="",ROUND($F1048+$G1048,2)=0),"",$F1048+$G1048)</f>
        <v/>
      </c>
      <c r="I1048">
        <f>IF($H1048="","",IF(ROUND($F1048,2)&gt;0,$A1048,IF($D1048="شخصی قاسم","شخصی قاسم",IF($D1048="هزینه","هزینه: "&amp;IF($E1048="","متفرقه",$E1048),IF($C1048="پاس چک","چک پرداختی",IF(OR($B1048="",COUNTIF(AcctCodesA,$B1048)=0),"متفرقه",$B1048))))))</f>
        <v/>
      </c>
      <c r="J1048">
        <f>IF($H1048="","",IF(ROUND($F1048,2)&gt;0,IF($D1048="شخصی قاسم","شخصی قاسم",IF($D1048="هزینه","هزینه: "&amp;IF($E1048="","متفرقه",$E1048),IF(OR($B1048="",COUNTIF(AcctCodesA,$B1048)=0),"متفرقه",$B1048))),$A1048))</f>
        <v/>
      </c>
      <c r="K1048">
        <f>IF($A1048="","",IF(AND($B1048&lt;&gt;"",COUNTIF(AcctCodesA,$B1048)=0),"کد طرف در INFO تعریف نشده",IF(AND($D1048="هزینه",$E1048=""),"هزینه بدون زیرگروه",IF(AND($C1048="پاس چک",OR(Sync!$AJ1048="",COUNTIF(IssueNosA,Sync!$AJ1048)=0)),"شماره چک پاس‌شده معتبر نیست",""))))</f>
        <v/>
      </c>
      <c r="V1048">
        <f>IF($K1048="","",IF(ISNUMBER(Sync!$AK1048),Sync!$AK1048,LEFT(Sync!$AK1048,4)&amp;MID(Sync!$AK1048,6,2)&amp;RIGHT(Sync!$AK1048,2))&amp;"|"&amp;"4"&amp;RIGHT("00000"&amp;1043,5))</f>
        <v/>
      </c>
      <c r="W1048">
        <f>IF($V1048="",0,COUNTIFS($V$6:$V$2005,"&lt;"&amp;$V1048)-COUNTIFS($V$6:$V$2005,"&lt;"&amp;$V1048,$K$6:$K$2005,"")+1)</f>
        <v/>
      </c>
    </row>
    <row r="1049">
      <c r="A1049">
        <f>IF(Sync!$Z1049="","",LEFT(UPPER(TRIM(Sync!$Z1049)),6))</f>
        <v/>
      </c>
      <c r="B1049">
        <f>IF($A1049="","",IF(Sync!$AA1049="","",Sync!$AA1049))</f>
        <v/>
      </c>
      <c r="C1049">
        <f>IF($A1049="","",IF(Sync!$AB1049="","",Sync!$AB1049))</f>
        <v/>
      </c>
      <c r="D1049">
        <f>IF($A1049="","",IF(Sync!$AC1049="","",Sync!$AC1049))</f>
        <v/>
      </c>
      <c r="E1049">
        <f>IF($A1049="","",IF(Sync!$AD1049="","",Sync!$AD1049))</f>
        <v/>
      </c>
      <c r="F1049">
        <f>IF($A1049="","",IF(Sync!$AE1049="",0,Sync!$AE1049))</f>
        <v/>
      </c>
      <c r="G1049">
        <f>IF($A1049="","",IF(Sync!$AF1049="",0,Sync!$AF1049))</f>
        <v/>
      </c>
      <c r="H1049">
        <f>IF(OR($A1049="",ROUND($F1049+$G1049,2)=0),"",$F1049+$G1049)</f>
        <v/>
      </c>
      <c r="I1049">
        <f>IF($H1049="","",IF(ROUND($F1049,2)&gt;0,$A1049,IF($D1049="شخصی قاسم","شخصی قاسم",IF($D1049="هزینه","هزینه: "&amp;IF($E1049="","متفرقه",$E1049),IF($C1049="پاس چک","چک پرداختی",IF(OR($B1049="",COUNTIF(AcctCodesA,$B1049)=0),"متفرقه",$B1049))))))</f>
        <v/>
      </c>
      <c r="J1049">
        <f>IF($H1049="","",IF(ROUND($F1049,2)&gt;0,IF($D1049="شخصی قاسم","شخصی قاسم",IF($D1049="هزینه","هزینه: "&amp;IF($E1049="","متفرقه",$E1049),IF(OR($B1049="",COUNTIF(AcctCodesA,$B1049)=0),"متفرقه",$B1049))),$A1049))</f>
        <v/>
      </c>
      <c r="K1049">
        <f>IF($A1049="","",IF(AND($B1049&lt;&gt;"",COUNTIF(AcctCodesA,$B1049)=0),"کد طرف در INFO تعریف نشده",IF(AND($D1049="هزینه",$E1049=""),"هزینه بدون زیرگروه",IF(AND($C1049="پاس چک",OR(Sync!$AJ1049="",COUNTIF(IssueNosA,Sync!$AJ1049)=0)),"شماره چک پاس‌شده معتبر نیست",""))))</f>
        <v/>
      </c>
      <c r="V1049">
        <f>IF($K1049="","",IF(ISNUMBER(Sync!$AK1049),Sync!$AK1049,LEFT(Sync!$AK1049,4)&amp;MID(Sync!$AK1049,6,2)&amp;RIGHT(Sync!$AK1049,2))&amp;"|"&amp;"4"&amp;RIGHT("00000"&amp;1044,5))</f>
        <v/>
      </c>
      <c r="W1049">
        <f>IF($V1049="",0,COUNTIFS($V$6:$V$2005,"&lt;"&amp;$V1049)-COUNTIFS($V$6:$V$2005,"&lt;"&amp;$V1049,$K$6:$K$2005,"")+1)</f>
        <v/>
      </c>
    </row>
    <row r="1050">
      <c r="A1050">
        <f>IF(Sync!$Z1050="","",LEFT(UPPER(TRIM(Sync!$Z1050)),6))</f>
        <v/>
      </c>
      <c r="B1050">
        <f>IF($A1050="","",IF(Sync!$AA1050="","",Sync!$AA1050))</f>
        <v/>
      </c>
      <c r="C1050">
        <f>IF($A1050="","",IF(Sync!$AB1050="","",Sync!$AB1050))</f>
        <v/>
      </c>
      <c r="D1050">
        <f>IF($A1050="","",IF(Sync!$AC1050="","",Sync!$AC1050))</f>
        <v/>
      </c>
      <c r="E1050">
        <f>IF($A1050="","",IF(Sync!$AD1050="","",Sync!$AD1050))</f>
        <v/>
      </c>
      <c r="F1050">
        <f>IF($A1050="","",IF(Sync!$AE1050="",0,Sync!$AE1050))</f>
        <v/>
      </c>
      <c r="G1050">
        <f>IF($A1050="","",IF(Sync!$AF1050="",0,Sync!$AF1050))</f>
        <v/>
      </c>
      <c r="H1050">
        <f>IF(OR($A1050="",ROUND($F1050+$G1050,2)=0),"",$F1050+$G1050)</f>
        <v/>
      </c>
      <c r="I1050">
        <f>IF($H1050="","",IF(ROUND($F1050,2)&gt;0,$A1050,IF($D1050="شخصی قاسم","شخصی قاسم",IF($D1050="هزینه","هزینه: "&amp;IF($E1050="","متفرقه",$E1050),IF($C1050="پاس چک","چک پرداختی",IF(OR($B1050="",COUNTIF(AcctCodesA,$B1050)=0),"متفرقه",$B1050))))))</f>
        <v/>
      </c>
      <c r="J1050">
        <f>IF($H1050="","",IF(ROUND($F1050,2)&gt;0,IF($D1050="شخصی قاسم","شخصی قاسم",IF($D1050="هزینه","هزینه: "&amp;IF($E1050="","متفرقه",$E1050),IF(OR($B1050="",COUNTIF(AcctCodesA,$B1050)=0),"متفرقه",$B1050))),$A1050))</f>
        <v/>
      </c>
      <c r="K1050">
        <f>IF($A1050="","",IF(AND($B1050&lt;&gt;"",COUNTIF(AcctCodesA,$B1050)=0),"کد طرف در INFO تعریف نشده",IF(AND($D1050="هزینه",$E1050=""),"هزینه بدون زیرگروه",IF(AND($C1050="پاس چک",OR(Sync!$AJ1050="",COUNTIF(IssueNosA,Sync!$AJ1050)=0)),"شماره چک پاس‌شده معتبر نیست",""))))</f>
        <v/>
      </c>
      <c r="V1050">
        <f>IF($K1050="","",IF(ISNUMBER(Sync!$AK1050),Sync!$AK1050,LEFT(Sync!$AK1050,4)&amp;MID(Sync!$AK1050,6,2)&amp;RIGHT(Sync!$AK1050,2))&amp;"|"&amp;"4"&amp;RIGHT("00000"&amp;1045,5))</f>
        <v/>
      </c>
      <c r="W1050">
        <f>IF($V1050="",0,COUNTIFS($V$6:$V$2005,"&lt;"&amp;$V1050)-COUNTIFS($V$6:$V$2005,"&lt;"&amp;$V1050,$K$6:$K$2005,"")+1)</f>
        <v/>
      </c>
    </row>
    <row r="1051">
      <c r="A1051">
        <f>IF(Sync!$Z1051="","",LEFT(UPPER(TRIM(Sync!$Z1051)),6))</f>
        <v/>
      </c>
      <c r="B1051">
        <f>IF($A1051="","",IF(Sync!$AA1051="","",Sync!$AA1051))</f>
        <v/>
      </c>
      <c r="C1051">
        <f>IF($A1051="","",IF(Sync!$AB1051="","",Sync!$AB1051))</f>
        <v/>
      </c>
      <c r="D1051">
        <f>IF($A1051="","",IF(Sync!$AC1051="","",Sync!$AC1051))</f>
        <v/>
      </c>
      <c r="E1051">
        <f>IF($A1051="","",IF(Sync!$AD1051="","",Sync!$AD1051))</f>
        <v/>
      </c>
      <c r="F1051">
        <f>IF($A1051="","",IF(Sync!$AE1051="",0,Sync!$AE1051))</f>
        <v/>
      </c>
      <c r="G1051">
        <f>IF($A1051="","",IF(Sync!$AF1051="",0,Sync!$AF1051))</f>
        <v/>
      </c>
      <c r="H1051">
        <f>IF(OR($A1051="",ROUND($F1051+$G1051,2)=0),"",$F1051+$G1051)</f>
        <v/>
      </c>
      <c r="I1051">
        <f>IF($H1051="","",IF(ROUND($F1051,2)&gt;0,$A1051,IF($D1051="شخصی قاسم","شخصی قاسم",IF($D1051="هزینه","هزینه: "&amp;IF($E1051="","متفرقه",$E1051),IF($C1051="پاس چک","چک پرداختی",IF(OR($B1051="",COUNTIF(AcctCodesA,$B1051)=0),"متفرقه",$B1051))))))</f>
        <v/>
      </c>
      <c r="J1051">
        <f>IF($H1051="","",IF(ROUND($F1051,2)&gt;0,IF($D1051="شخصی قاسم","شخصی قاسم",IF($D1051="هزینه","هزینه: "&amp;IF($E1051="","متفرقه",$E1051),IF(OR($B1051="",COUNTIF(AcctCodesA,$B1051)=0),"متفرقه",$B1051))),$A1051))</f>
        <v/>
      </c>
      <c r="K1051">
        <f>IF($A1051="","",IF(AND($B1051&lt;&gt;"",COUNTIF(AcctCodesA,$B1051)=0),"کد طرف در INFO تعریف نشده",IF(AND($D1051="هزینه",$E1051=""),"هزینه بدون زیرگروه",IF(AND($C1051="پاس چک",OR(Sync!$AJ1051="",COUNTIF(IssueNosA,Sync!$AJ1051)=0)),"شماره چک پاس‌شده معتبر نیست",""))))</f>
        <v/>
      </c>
      <c r="V1051">
        <f>IF($K1051="","",IF(ISNUMBER(Sync!$AK1051),Sync!$AK1051,LEFT(Sync!$AK1051,4)&amp;MID(Sync!$AK1051,6,2)&amp;RIGHT(Sync!$AK1051,2))&amp;"|"&amp;"4"&amp;RIGHT("00000"&amp;1046,5))</f>
        <v/>
      </c>
      <c r="W1051">
        <f>IF($V1051="",0,COUNTIFS($V$6:$V$2005,"&lt;"&amp;$V1051)-COUNTIFS($V$6:$V$2005,"&lt;"&amp;$V1051,$K$6:$K$2005,"")+1)</f>
        <v/>
      </c>
    </row>
    <row r="1052">
      <c r="A1052">
        <f>IF(Sync!$Z1052="","",LEFT(UPPER(TRIM(Sync!$Z1052)),6))</f>
        <v/>
      </c>
      <c r="B1052">
        <f>IF($A1052="","",IF(Sync!$AA1052="","",Sync!$AA1052))</f>
        <v/>
      </c>
      <c r="C1052">
        <f>IF($A1052="","",IF(Sync!$AB1052="","",Sync!$AB1052))</f>
        <v/>
      </c>
      <c r="D1052">
        <f>IF($A1052="","",IF(Sync!$AC1052="","",Sync!$AC1052))</f>
        <v/>
      </c>
      <c r="E1052">
        <f>IF($A1052="","",IF(Sync!$AD1052="","",Sync!$AD1052))</f>
        <v/>
      </c>
      <c r="F1052">
        <f>IF($A1052="","",IF(Sync!$AE1052="",0,Sync!$AE1052))</f>
        <v/>
      </c>
      <c r="G1052">
        <f>IF($A1052="","",IF(Sync!$AF1052="",0,Sync!$AF1052))</f>
        <v/>
      </c>
      <c r="H1052">
        <f>IF(OR($A1052="",ROUND($F1052+$G1052,2)=0),"",$F1052+$G1052)</f>
        <v/>
      </c>
      <c r="I1052">
        <f>IF($H1052="","",IF(ROUND($F1052,2)&gt;0,$A1052,IF($D1052="شخصی قاسم","شخصی قاسم",IF($D1052="هزینه","هزینه: "&amp;IF($E1052="","متفرقه",$E1052),IF($C1052="پاس چک","چک پرداختی",IF(OR($B1052="",COUNTIF(AcctCodesA,$B1052)=0),"متفرقه",$B1052))))))</f>
        <v/>
      </c>
      <c r="J1052">
        <f>IF($H1052="","",IF(ROUND($F1052,2)&gt;0,IF($D1052="شخصی قاسم","شخصی قاسم",IF($D1052="هزینه","هزینه: "&amp;IF($E1052="","متفرقه",$E1052),IF(OR($B1052="",COUNTIF(AcctCodesA,$B1052)=0),"متفرقه",$B1052))),$A1052))</f>
        <v/>
      </c>
      <c r="K1052">
        <f>IF($A1052="","",IF(AND($B1052&lt;&gt;"",COUNTIF(AcctCodesA,$B1052)=0),"کد طرف در INFO تعریف نشده",IF(AND($D1052="هزینه",$E1052=""),"هزینه بدون زیرگروه",IF(AND($C1052="پاس چک",OR(Sync!$AJ1052="",COUNTIF(IssueNosA,Sync!$AJ1052)=0)),"شماره چک پاس‌شده معتبر نیست",""))))</f>
        <v/>
      </c>
      <c r="V1052">
        <f>IF($K1052="","",IF(ISNUMBER(Sync!$AK1052),Sync!$AK1052,LEFT(Sync!$AK1052,4)&amp;MID(Sync!$AK1052,6,2)&amp;RIGHT(Sync!$AK1052,2))&amp;"|"&amp;"4"&amp;RIGHT("00000"&amp;1047,5))</f>
        <v/>
      </c>
      <c r="W1052">
        <f>IF($V1052="",0,COUNTIFS($V$6:$V$2005,"&lt;"&amp;$V1052)-COUNTIFS($V$6:$V$2005,"&lt;"&amp;$V1052,$K$6:$K$2005,"")+1)</f>
        <v/>
      </c>
    </row>
    <row r="1053">
      <c r="A1053">
        <f>IF(Sync!$Z1053="","",LEFT(UPPER(TRIM(Sync!$Z1053)),6))</f>
        <v/>
      </c>
      <c r="B1053">
        <f>IF($A1053="","",IF(Sync!$AA1053="","",Sync!$AA1053))</f>
        <v/>
      </c>
      <c r="C1053">
        <f>IF($A1053="","",IF(Sync!$AB1053="","",Sync!$AB1053))</f>
        <v/>
      </c>
      <c r="D1053">
        <f>IF($A1053="","",IF(Sync!$AC1053="","",Sync!$AC1053))</f>
        <v/>
      </c>
      <c r="E1053">
        <f>IF($A1053="","",IF(Sync!$AD1053="","",Sync!$AD1053))</f>
        <v/>
      </c>
      <c r="F1053">
        <f>IF($A1053="","",IF(Sync!$AE1053="",0,Sync!$AE1053))</f>
        <v/>
      </c>
      <c r="G1053">
        <f>IF($A1053="","",IF(Sync!$AF1053="",0,Sync!$AF1053))</f>
        <v/>
      </c>
      <c r="H1053">
        <f>IF(OR($A1053="",ROUND($F1053+$G1053,2)=0),"",$F1053+$G1053)</f>
        <v/>
      </c>
      <c r="I1053">
        <f>IF($H1053="","",IF(ROUND($F1053,2)&gt;0,$A1053,IF($D1053="شخصی قاسم","شخصی قاسم",IF($D1053="هزینه","هزینه: "&amp;IF($E1053="","متفرقه",$E1053),IF($C1053="پاس چک","چک پرداختی",IF(OR($B1053="",COUNTIF(AcctCodesA,$B1053)=0),"متفرقه",$B1053))))))</f>
        <v/>
      </c>
      <c r="J1053">
        <f>IF($H1053="","",IF(ROUND($F1053,2)&gt;0,IF($D1053="شخصی قاسم","شخصی قاسم",IF($D1053="هزینه","هزینه: "&amp;IF($E1053="","متفرقه",$E1053),IF(OR($B1053="",COUNTIF(AcctCodesA,$B1053)=0),"متفرقه",$B1053))),$A1053))</f>
        <v/>
      </c>
      <c r="K1053">
        <f>IF($A1053="","",IF(AND($B1053&lt;&gt;"",COUNTIF(AcctCodesA,$B1053)=0),"کد طرف در INFO تعریف نشده",IF(AND($D1053="هزینه",$E1053=""),"هزینه بدون زیرگروه",IF(AND($C1053="پاس چک",OR(Sync!$AJ1053="",COUNTIF(IssueNosA,Sync!$AJ1053)=0)),"شماره چک پاس‌شده معتبر نیست",""))))</f>
        <v/>
      </c>
      <c r="V1053">
        <f>IF($K1053="","",IF(ISNUMBER(Sync!$AK1053),Sync!$AK1053,LEFT(Sync!$AK1053,4)&amp;MID(Sync!$AK1053,6,2)&amp;RIGHT(Sync!$AK1053,2))&amp;"|"&amp;"4"&amp;RIGHT("00000"&amp;1048,5))</f>
        <v/>
      </c>
      <c r="W1053">
        <f>IF($V1053="",0,COUNTIFS($V$6:$V$2005,"&lt;"&amp;$V1053)-COUNTIFS($V$6:$V$2005,"&lt;"&amp;$V1053,$K$6:$K$2005,"")+1)</f>
        <v/>
      </c>
    </row>
    <row r="1054">
      <c r="A1054">
        <f>IF(Sync!$Z1054="","",LEFT(UPPER(TRIM(Sync!$Z1054)),6))</f>
        <v/>
      </c>
      <c r="B1054">
        <f>IF($A1054="","",IF(Sync!$AA1054="","",Sync!$AA1054))</f>
        <v/>
      </c>
      <c r="C1054">
        <f>IF($A1054="","",IF(Sync!$AB1054="","",Sync!$AB1054))</f>
        <v/>
      </c>
      <c r="D1054">
        <f>IF($A1054="","",IF(Sync!$AC1054="","",Sync!$AC1054))</f>
        <v/>
      </c>
      <c r="E1054">
        <f>IF($A1054="","",IF(Sync!$AD1054="","",Sync!$AD1054))</f>
        <v/>
      </c>
      <c r="F1054">
        <f>IF($A1054="","",IF(Sync!$AE1054="",0,Sync!$AE1054))</f>
        <v/>
      </c>
      <c r="G1054">
        <f>IF($A1054="","",IF(Sync!$AF1054="",0,Sync!$AF1054))</f>
        <v/>
      </c>
      <c r="H1054">
        <f>IF(OR($A1054="",ROUND($F1054+$G1054,2)=0),"",$F1054+$G1054)</f>
        <v/>
      </c>
      <c r="I1054">
        <f>IF($H1054="","",IF(ROUND($F1054,2)&gt;0,$A1054,IF($D1054="شخصی قاسم","شخصی قاسم",IF($D1054="هزینه","هزینه: "&amp;IF($E1054="","متفرقه",$E1054),IF($C1054="پاس چک","چک پرداختی",IF(OR($B1054="",COUNTIF(AcctCodesA,$B1054)=0),"متفرقه",$B1054))))))</f>
        <v/>
      </c>
      <c r="J1054">
        <f>IF($H1054="","",IF(ROUND($F1054,2)&gt;0,IF($D1054="شخصی قاسم","شخصی قاسم",IF($D1054="هزینه","هزینه: "&amp;IF($E1054="","متفرقه",$E1054),IF(OR($B1054="",COUNTIF(AcctCodesA,$B1054)=0),"متفرقه",$B1054))),$A1054))</f>
        <v/>
      </c>
      <c r="K1054">
        <f>IF($A1054="","",IF(AND($B1054&lt;&gt;"",COUNTIF(AcctCodesA,$B1054)=0),"کد طرف در INFO تعریف نشده",IF(AND($D1054="هزینه",$E1054=""),"هزینه بدون زیرگروه",IF(AND($C1054="پاس چک",OR(Sync!$AJ1054="",COUNTIF(IssueNosA,Sync!$AJ1054)=0)),"شماره چک پاس‌شده معتبر نیست",""))))</f>
        <v/>
      </c>
      <c r="V1054">
        <f>IF($K1054="","",IF(ISNUMBER(Sync!$AK1054),Sync!$AK1054,LEFT(Sync!$AK1054,4)&amp;MID(Sync!$AK1054,6,2)&amp;RIGHT(Sync!$AK1054,2))&amp;"|"&amp;"4"&amp;RIGHT("00000"&amp;1049,5))</f>
        <v/>
      </c>
      <c r="W1054">
        <f>IF($V1054="",0,COUNTIFS($V$6:$V$2005,"&lt;"&amp;$V1054)-COUNTIFS($V$6:$V$2005,"&lt;"&amp;$V1054,$K$6:$K$2005,"")+1)</f>
        <v/>
      </c>
    </row>
    <row r="1055">
      <c r="A1055">
        <f>IF(Sync!$Z1055="","",LEFT(UPPER(TRIM(Sync!$Z1055)),6))</f>
        <v/>
      </c>
      <c r="B1055">
        <f>IF($A1055="","",IF(Sync!$AA1055="","",Sync!$AA1055))</f>
        <v/>
      </c>
      <c r="C1055">
        <f>IF($A1055="","",IF(Sync!$AB1055="","",Sync!$AB1055))</f>
        <v/>
      </c>
      <c r="D1055">
        <f>IF($A1055="","",IF(Sync!$AC1055="","",Sync!$AC1055))</f>
        <v/>
      </c>
      <c r="E1055">
        <f>IF($A1055="","",IF(Sync!$AD1055="","",Sync!$AD1055))</f>
        <v/>
      </c>
      <c r="F1055">
        <f>IF($A1055="","",IF(Sync!$AE1055="",0,Sync!$AE1055))</f>
        <v/>
      </c>
      <c r="G1055">
        <f>IF($A1055="","",IF(Sync!$AF1055="",0,Sync!$AF1055))</f>
        <v/>
      </c>
      <c r="H1055">
        <f>IF(OR($A1055="",ROUND($F1055+$G1055,2)=0),"",$F1055+$G1055)</f>
        <v/>
      </c>
      <c r="I1055">
        <f>IF($H1055="","",IF(ROUND($F1055,2)&gt;0,$A1055,IF($D1055="شخصی قاسم","شخصی قاسم",IF($D1055="هزینه","هزینه: "&amp;IF($E1055="","متفرقه",$E1055),IF($C1055="پاس چک","چک پرداختی",IF(OR($B1055="",COUNTIF(AcctCodesA,$B1055)=0),"متفرقه",$B1055))))))</f>
        <v/>
      </c>
      <c r="J1055">
        <f>IF($H1055="","",IF(ROUND($F1055,2)&gt;0,IF($D1055="شخصی قاسم","شخصی قاسم",IF($D1055="هزینه","هزینه: "&amp;IF($E1055="","متفرقه",$E1055),IF(OR($B1055="",COUNTIF(AcctCodesA,$B1055)=0),"متفرقه",$B1055))),$A1055))</f>
        <v/>
      </c>
      <c r="K1055">
        <f>IF($A1055="","",IF(AND($B1055&lt;&gt;"",COUNTIF(AcctCodesA,$B1055)=0),"کد طرف در INFO تعریف نشده",IF(AND($D1055="هزینه",$E1055=""),"هزینه بدون زیرگروه",IF(AND($C1055="پاس چک",OR(Sync!$AJ1055="",COUNTIF(IssueNosA,Sync!$AJ1055)=0)),"شماره چک پاس‌شده معتبر نیست",""))))</f>
        <v/>
      </c>
      <c r="V1055">
        <f>IF($K1055="","",IF(ISNUMBER(Sync!$AK1055),Sync!$AK1055,LEFT(Sync!$AK1055,4)&amp;MID(Sync!$AK1055,6,2)&amp;RIGHT(Sync!$AK1055,2))&amp;"|"&amp;"4"&amp;RIGHT("00000"&amp;1050,5))</f>
        <v/>
      </c>
      <c r="W1055">
        <f>IF($V1055="",0,COUNTIFS($V$6:$V$2005,"&lt;"&amp;$V1055)-COUNTIFS($V$6:$V$2005,"&lt;"&amp;$V1055,$K$6:$K$2005,"")+1)</f>
        <v/>
      </c>
    </row>
    <row r="1056">
      <c r="A1056">
        <f>IF(Sync!$Z1056="","",LEFT(UPPER(TRIM(Sync!$Z1056)),6))</f>
        <v/>
      </c>
      <c r="B1056">
        <f>IF($A1056="","",IF(Sync!$AA1056="","",Sync!$AA1056))</f>
        <v/>
      </c>
      <c r="C1056">
        <f>IF($A1056="","",IF(Sync!$AB1056="","",Sync!$AB1056))</f>
        <v/>
      </c>
      <c r="D1056">
        <f>IF($A1056="","",IF(Sync!$AC1056="","",Sync!$AC1056))</f>
        <v/>
      </c>
      <c r="E1056">
        <f>IF($A1056="","",IF(Sync!$AD1056="","",Sync!$AD1056))</f>
        <v/>
      </c>
      <c r="F1056">
        <f>IF($A1056="","",IF(Sync!$AE1056="",0,Sync!$AE1056))</f>
        <v/>
      </c>
      <c r="G1056">
        <f>IF($A1056="","",IF(Sync!$AF1056="",0,Sync!$AF1056))</f>
        <v/>
      </c>
      <c r="H1056">
        <f>IF(OR($A1056="",ROUND($F1056+$G1056,2)=0),"",$F1056+$G1056)</f>
        <v/>
      </c>
      <c r="I1056">
        <f>IF($H1056="","",IF(ROUND($F1056,2)&gt;0,$A1056,IF($D1056="شخصی قاسم","شخصی قاسم",IF($D1056="هزینه","هزینه: "&amp;IF($E1056="","متفرقه",$E1056),IF($C1056="پاس چک","چک پرداختی",IF(OR($B1056="",COUNTIF(AcctCodesA,$B1056)=0),"متفرقه",$B1056))))))</f>
        <v/>
      </c>
      <c r="J1056">
        <f>IF($H1056="","",IF(ROUND($F1056,2)&gt;0,IF($D1056="شخصی قاسم","شخصی قاسم",IF($D1056="هزینه","هزینه: "&amp;IF($E1056="","متفرقه",$E1056),IF(OR($B1056="",COUNTIF(AcctCodesA,$B1056)=0),"متفرقه",$B1056))),$A1056))</f>
        <v/>
      </c>
      <c r="K1056">
        <f>IF($A1056="","",IF(AND($B1056&lt;&gt;"",COUNTIF(AcctCodesA,$B1056)=0),"کد طرف در INFO تعریف نشده",IF(AND($D1056="هزینه",$E1056=""),"هزینه بدون زیرگروه",IF(AND($C1056="پاس چک",OR(Sync!$AJ1056="",COUNTIF(IssueNosA,Sync!$AJ1056)=0)),"شماره چک پاس‌شده معتبر نیست",""))))</f>
        <v/>
      </c>
      <c r="V1056">
        <f>IF($K1056="","",IF(ISNUMBER(Sync!$AK1056),Sync!$AK1056,LEFT(Sync!$AK1056,4)&amp;MID(Sync!$AK1056,6,2)&amp;RIGHT(Sync!$AK1056,2))&amp;"|"&amp;"4"&amp;RIGHT("00000"&amp;1051,5))</f>
        <v/>
      </c>
      <c r="W1056">
        <f>IF($V1056="",0,COUNTIFS($V$6:$V$2005,"&lt;"&amp;$V1056)-COUNTIFS($V$6:$V$2005,"&lt;"&amp;$V1056,$K$6:$K$2005,"")+1)</f>
        <v/>
      </c>
    </row>
    <row r="1057">
      <c r="A1057">
        <f>IF(Sync!$Z1057="","",LEFT(UPPER(TRIM(Sync!$Z1057)),6))</f>
        <v/>
      </c>
      <c r="B1057">
        <f>IF($A1057="","",IF(Sync!$AA1057="","",Sync!$AA1057))</f>
        <v/>
      </c>
      <c r="C1057">
        <f>IF($A1057="","",IF(Sync!$AB1057="","",Sync!$AB1057))</f>
        <v/>
      </c>
      <c r="D1057">
        <f>IF($A1057="","",IF(Sync!$AC1057="","",Sync!$AC1057))</f>
        <v/>
      </c>
      <c r="E1057">
        <f>IF($A1057="","",IF(Sync!$AD1057="","",Sync!$AD1057))</f>
        <v/>
      </c>
      <c r="F1057">
        <f>IF($A1057="","",IF(Sync!$AE1057="",0,Sync!$AE1057))</f>
        <v/>
      </c>
      <c r="G1057">
        <f>IF($A1057="","",IF(Sync!$AF1057="",0,Sync!$AF1057))</f>
        <v/>
      </c>
      <c r="H1057">
        <f>IF(OR($A1057="",ROUND($F1057+$G1057,2)=0),"",$F1057+$G1057)</f>
        <v/>
      </c>
      <c r="I1057">
        <f>IF($H1057="","",IF(ROUND($F1057,2)&gt;0,$A1057,IF($D1057="شخصی قاسم","شخصی قاسم",IF($D1057="هزینه","هزینه: "&amp;IF($E1057="","متفرقه",$E1057),IF($C1057="پاس چک","چک پرداختی",IF(OR($B1057="",COUNTIF(AcctCodesA,$B1057)=0),"متفرقه",$B1057))))))</f>
        <v/>
      </c>
      <c r="J1057">
        <f>IF($H1057="","",IF(ROUND($F1057,2)&gt;0,IF($D1057="شخصی قاسم","شخصی قاسم",IF($D1057="هزینه","هزینه: "&amp;IF($E1057="","متفرقه",$E1057),IF(OR($B1057="",COUNTIF(AcctCodesA,$B1057)=0),"متفرقه",$B1057))),$A1057))</f>
        <v/>
      </c>
      <c r="K1057">
        <f>IF($A1057="","",IF(AND($B1057&lt;&gt;"",COUNTIF(AcctCodesA,$B1057)=0),"کد طرف در INFO تعریف نشده",IF(AND($D1057="هزینه",$E1057=""),"هزینه بدون زیرگروه",IF(AND($C1057="پاس چک",OR(Sync!$AJ1057="",COUNTIF(IssueNosA,Sync!$AJ1057)=0)),"شماره چک پاس‌شده معتبر نیست",""))))</f>
        <v/>
      </c>
      <c r="V1057">
        <f>IF($K1057="","",IF(ISNUMBER(Sync!$AK1057),Sync!$AK1057,LEFT(Sync!$AK1057,4)&amp;MID(Sync!$AK1057,6,2)&amp;RIGHT(Sync!$AK1057,2))&amp;"|"&amp;"4"&amp;RIGHT("00000"&amp;1052,5))</f>
        <v/>
      </c>
      <c r="W1057">
        <f>IF($V1057="",0,COUNTIFS($V$6:$V$2005,"&lt;"&amp;$V1057)-COUNTIFS($V$6:$V$2005,"&lt;"&amp;$V1057,$K$6:$K$2005,"")+1)</f>
        <v/>
      </c>
    </row>
    <row r="1058">
      <c r="A1058">
        <f>IF(Sync!$Z1058="","",LEFT(UPPER(TRIM(Sync!$Z1058)),6))</f>
        <v/>
      </c>
      <c r="B1058">
        <f>IF($A1058="","",IF(Sync!$AA1058="","",Sync!$AA1058))</f>
        <v/>
      </c>
      <c r="C1058">
        <f>IF($A1058="","",IF(Sync!$AB1058="","",Sync!$AB1058))</f>
        <v/>
      </c>
      <c r="D1058">
        <f>IF($A1058="","",IF(Sync!$AC1058="","",Sync!$AC1058))</f>
        <v/>
      </c>
      <c r="E1058">
        <f>IF($A1058="","",IF(Sync!$AD1058="","",Sync!$AD1058))</f>
        <v/>
      </c>
      <c r="F1058">
        <f>IF($A1058="","",IF(Sync!$AE1058="",0,Sync!$AE1058))</f>
        <v/>
      </c>
      <c r="G1058">
        <f>IF($A1058="","",IF(Sync!$AF1058="",0,Sync!$AF1058))</f>
        <v/>
      </c>
      <c r="H1058">
        <f>IF(OR($A1058="",ROUND($F1058+$G1058,2)=0),"",$F1058+$G1058)</f>
        <v/>
      </c>
      <c r="I1058">
        <f>IF($H1058="","",IF(ROUND($F1058,2)&gt;0,$A1058,IF($D1058="شخصی قاسم","شخصی قاسم",IF($D1058="هزینه","هزینه: "&amp;IF($E1058="","متفرقه",$E1058),IF($C1058="پاس چک","چک پرداختی",IF(OR($B1058="",COUNTIF(AcctCodesA,$B1058)=0),"متفرقه",$B1058))))))</f>
        <v/>
      </c>
      <c r="J1058">
        <f>IF($H1058="","",IF(ROUND($F1058,2)&gt;0,IF($D1058="شخصی قاسم","شخصی قاسم",IF($D1058="هزینه","هزینه: "&amp;IF($E1058="","متفرقه",$E1058),IF(OR($B1058="",COUNTIF(AcctCodesA,$B1058)=0),"متفرقه",$B1058))),$A1058))</f>
        <v/>
      </c>
      <c r="K1058">
        <f>IF($A1058="","",IF(AND($B1058&lt;&gt;"",COUNTIF(AcctCodesA,$B1058)=0),"کد طرف در INFO تعریف نشده",IF(AND($D1058="هزینه",$E1058=""),"هزینه بدون زیرگروه",IF(AND($C1058="پاس چک",OR(Sync!$AJ1058="",COUNTIF(IssueNosA,Sync!$AJ1058)=0)),"شماره چک پاس‌شده معتبر نیست",""))))</f>
        <v/>
      </c>
      <c r="V1058">
        <f>IF($K1058="","",IF(ISNUMBER(Sync!$AK1058),Sync!$AK1058,LEFT(Sync!$AK1058,4)&amp;MID(Sync!$AK1058,6,2)&amp;RIGHT(Sync!$AK1058,2))&amp;"|"&amp;"4"&amp;RIGHT("00000"&amp;1053,5))</f>
        <v/>
      </c>
      <c r="W1058">
        <f>IF($V1058="",0,COUNTIFS($V$6:$V$2005,"&lt;"&amp;$V1058)-COUNTIFS($V$6:$V$2005,"&lt;"&amp;$V1058,$K$6:$K$2005,"")+1)</f>
        <v/>
      </c>
    </row>
    <row r="1059">
      <c r="A1059">
        <f>IF(Sync!$Z1059="","",LEFT(UPPER(TRIM(Sync!$Z1059)),6))</f>
        <v/>
      </c>
      <c r="B1059">
        <f>IF($A1059="","",IF(Sync!$AA1059="","",Sync!$AA1059))</f>
        <v/>
      </c>
      <c r="C1059">
        <f>IF($A1059="","",IF(Sync!$AB1059="","",Sync!$AB1059))</f>
        <v/>
      </c>
      <c r="D1059">
        <f>IF($A1059="","",IF(Sync!$AC1059="","",Sync!$AC1059))</f>
        <v/>
      </c>
      <c r="E1059">
        <f>IF($A1059="","",IF(Sync!$AD1059="","",Sync!$AD1059))</f>
        <v/>
      </c>
      <c r="F1059">
        <f>IF($A1059="","",IF(Sync!$AE1059="",0,Sync!$AE1059))</f>
        <v/>
      </c>
      <c r="G1059">
        <f>IF($A1059="","",IF(Sync!$AF1059="",0,Sync!$AF1059))</f>
        <v/>
      </c>
      <c r="H1059">
        <f>IF(OR($A1059="",ROUND($F1059+$G1059,2)=0),"",$F1059+$G1059)</f>
        <v/>
      </c>
      <c r="I1059">
        <f>IF($H1059="","",IF(ROUND($F1059,2)&gt;0,$A1059,IF($D1059="شخصی قاسم","شخصی قاسم",IF($D1059="هزینه","هزینه: "&amp;IF($E1059="","متفرقه",$E1059),IF($C1059="پاس چک","چک پرداختی",IF(OR($B1059="",COUNTIF(AcctCodesA,$B1059)=0),"متفرقه",$B1059))))))</f>
        <v/>
      </c>
      <c r="J1059">
        <f>IF($H1059="","",IF(ROUND($F1059,2)&gt;0,IF($D1059="شخصی قاسم","شخصی قاسم",IF($D1059="هزینه","هزینه: "&amp;IF($E1059="","متفرقه",$E1059),IF(OR($B1059="",COUNTIF(AcctCodesA,$B1059)=0),"متفرقه",$B1059))),$A1059))</f>
        <v/>
      </c>
      <c r="K1059">
        <f>IF($A1059="","",IF(AND($B1059&lt;&gt;"",COUNTIF(AcctCodesA,$B1059)=0),"کد طرف در INFO تعریف نشده",IF(AND($D1059="هزینه",$E1059=""),"هزینه بدون زیرگروه",IF(AND($C1059="پاس چک",OR(Sync!$AJ1059="",COUNTIF(IssueNosA,Sync!$AJ1059)=0)),"شماره چک پاس‌شده معتبر نیست",""))))</f>
        <v/>
      </c>
      <c r="V1059">
        <f>IF($K1059="","",IF(ISNUMBER(Sync!$AK1059),Sync!$AK1059,LEFT(Sync!$AK1059,4)&amp;MID(Sync!$AK1059,6,2)&amp;RIGHT(Sync!$AK1059,2))&amp;"|"&amp;"4"&amp;RIGHT("00000"&amp;1054,5))</f>
        <v/>
      </c>
      <c r="W1059">
        <f>IF($V1059="",0,COUNTIFS($V$6:$V$2005,"&lt;"&amp;$V1059)-COUNTIFS($V$6:$V$2005,"&lt;"&amp;$V1059,$K$6:$K$2005,"")+1)</f>
        <v/>
      </c>
    </row>
    <row r="1060">
      <c r="A1060">
        <f>IF(Sync!$Z1060="","",LEFT(UPPER(TRIM(Sync!$Z1060)),6))</f>
        <v/>
      </c>
      <c r="B1060">
        <f>IF($A1060="","",IF(Sync!$AA1060="","",Sync!$AA1060))</f>
        <v/>
      </c>
      <c r="C1060">
        <f>IF($A1060="","",IF(Sync!$AB1060="","",Sync!$AB1060))</f>
        <v/>
      </c>
      <c r="D1060">
        <f>IF($A1060="","",IF(Sync!$AC1060="","",Sync!$AC1060))</f>
        <v/>
      </c>
      <c r="E1060">
        <f>IF($A1060="","",IF(Sync!$AD1060="","",Sync!$AD1060))</f>
        <v/>
      </c>
      <c r="F1060">
        <f>IF($A1060="","",IF(Sync!$AE1060="",0,Sync!$AE1060))</f>
        <v/>
      </c>
      <c r="G1060">
        <f>IF($A1060="","",IF(Sync!$AF1060="",0,Sync!$AF1060))</f>
        <v/>
      </c>
      <c r="H1060">
        <f>IF(OR($A1060="",ROUND($F1060+$G1060,2)=0),"",$F1060+$G1060)</f>
        <v/>
      </c>
      <c r="I1060">
        <f>IF($H1060="","",IF(ROUND($F1060,2)&gt;0,$A1060,IF($D1060="شخصی قاسم","شخصی قاسم",IF($D1060="هزینه","هزینه: "&amp;IF($E1060="","متفرقه",$E1060),IF($C1060="پاس چک","چک پرداختی",IF(OR($B1060="",COUNTIF(AcctCodesA,$B1060)=0),"متفرقه",$B1060))))))</f>
        <v/>
      </c>
      <c r="J1060">
        <f>IF($H1060="","",IF(ROUND($F1060,2)&gt;0,IF($D1060="شخصی قاسم","شخصی قاسم",IF($D1060="هزینه","هزینه: "&amp;IF($E1060="","متفرقه",$E1060),IF(OR($B1060="",COUNTIF(AcctCodesA,$B1060)=0),"متفرقه",$B1060))),$A1060))</f>
        <v/>
      </c>
      <c r="K1060">
        <f>IF($A1060="","",IF(AND($B1060&lt;&gt;"",COUNTIF(AcctCodesA,$B1060)=0),"کد طرف در INFO تعریف نشده",IF(AND($D1060="هزینه",$E1060=""),"هزینه بدون زیرگروه",IF(AND($C1060="پاس چک",OR(Sync!$AJ1060="",COUNTIF(IssueNosA,Sync!$AJ1060)=0)),"شماره چک پاس‌شده معتبر نیست",""))))</f>
        <v/>
      </c>
      <c r="V1060">
        <f>IF($K1060="","",IF(ISNUMBER(Sync!$AK1060),Sync!$AK1060,LEFT(Sync!$AK1060,4)&amp;MID(Sync!$AK1060,6,2)&amp;RIGHT(Sync!$AK1060,2))&amp;"|"&amp;"4"&amp;RIGHT("00000"&amp;1055,5))</f>
        <v/>
      </c>
      <c r="W1060">
        <f>IF($V1060="",0,COUNTIFS($V$6:$V$2005,"&lt;"&amp;$V1060)-COUNTIFS($V$6:$V$2005,"&lt;"&amp;$V1060,$K$6:$K$2005,"")+1)</f>
        <v/>
      </c>
    </row>
    <row r="1061">
      <c r="A1061">
        <f>IF(Sync!$Z1061="","",LEFT(UPPER(TRIM(Sync!$Z1061)),6))</f>
        <v/>
      </c>
      <c r="B1061">
        <f>IF($A1061="","",IF(Sync!$AA1061="","",Sync!$AA1061))</f>
        <v/>
      </c>
      <c r="C1061">
        <f>IF($A1061="","",IF(Sync!$AB1061="","",Sync!$AB1061))</f>
        <v/>
      </c>
      <c r="D1061">
        <f>IF($A1061="","",IF(Sync!$AC1061="","",Sync!$AC1061))</f>
        <v/>
      </c>
      <c r="E1061">
        <f>IF($A1061="","",IF(Sync!$AD1061="","",Sync!$AD1061))</f>
        <v/>
      </c>
      <c r="F1061">
        <f>IF($A1061="","",IF(Sync!$AE1061="",0,Sync!$AE1061))</f>
        <v/>
      </c>
      <c r="G1061">
        <f>IF($A1061="","",IF(Sync!$AF1061="",0,Sync!$AF1061))</f>
        <v/>
      </c>
      <c r="H1061">
        <f>IF(OR($A1061="",ROUND($F1061+$G1061,2)=0),"",$F1061+$G1061)</f>
        <v/>
      </c>
      <c r="I1061">
        <f>IF($H1061="","",IF(ROUND($F1061,2)&gt;0,$A1061,IF($D1061="شخصی قاسم","شخصی قاسم",IF($D1061="هزینه","هزینه: "&amp;IF($E1061="","متفرقه",$E1061),IF($C1061="پاس چک","چک پرداختی",IF(OR($B1061="",COUNTIF(AcctCodesA,$B1061)=0),"متفرقه",$B1061))))))</f>
        <v/>
      </c>
      <c r="J1061">
        <f>IF($H1061="","",IF(ROUND($F1061,2)&gt;0,IF($D1061="شخصی قاسم","شخصی قاسم",IF($D1061="هزینه","هزینه: "&amp;IF($E1061="","متفرقه",$E1061),IF(OR($B1061="",COUNTIF(AcctCodesA,$B1061)=0),"متفرقه",$B1061))),$A1061))</f>
        <v/>
      </c>
      <c r="K1061">
        <f>IF($A1061="","",IF(AND($B1061&lt;&gt;"",COUNTIF(AcctCodesA,$B1061)=0),"کد طرف در INFO تعریف نشده",IF(AND($D1061="هزینه",$E1061=""),"هزینه بدون زیرگروه",IF(AND($C1061="پاس چک",OR(Sync!$AJ1061="",COUNTIF(IssueNosA,Sync!$AJ1061)=0)),"شماره چک پاس‌شده معتبر نیست",""))))</f>
        <v/>
      </c>
      <c r="V1061">
        <f>IF($K1061="","",IF(ISNUMBER(Sync!$AK1061),Sync!$AK1061,LEFT(Sync!$AK1061,4)&amp;MID(Sync!$AK1061,6,2)&amp;RIGHT(Sync!$AK1061,2))&amp;"|"&amp;"4"&amp;RIGHT("00000"&amp;1056,5))</f>
        <v/>
      </c>
      <c r="W1061">
        <f>IF($V1061="",0,COUNTIFS($V$6:$V$2005,"&lt;"&amp;$V1061)-COUNTIFS($V$6:$V$2005,"&lt;"&amp;$V1061,$K$6:$K$2005,"")+1)</f>
        <v/>
      </c>
    </row>
    <row r="1062">
      <c r="A1062">
        <f>IF(Sync!$Z1062="","",LEFT(UPPER(TRIM(Sync!$Z1062)),6))</f>
        <v/>
      </c>
      <c r="B1062">
        <f>IF($A1062="","",IF(Sync!$AA1062="","",Sync!$AA1062))</f>
        <v/>
      </c>
      <c r="C1062">
        <f>IF($A1062="","",IF(Sync!$AB1062="","",Sync!$AB1062))</f>
        <v/>
      </c>
      <c r="D1062">
        <f>IF($A1062="","",IF(Sync!$AC1062="","",Sync!$AC1062))</f>
        <v/>
      </c>
      <c r="E1062">
        <f>IF($A1062="","",IF(Sync!$AD1062="","",Sync!$AD1062))</f>
        <v/>
      </c>
      <c r="F1062">
        <f>IF($A1062="","",IF(Sync!$AE1062="",0,Sync!$AE1062))</f>
        <v/>
      </c>
      <c r="G1062">
        <f>IF($A1062="","",IF(Sync!$AF1062="",0,Sync!$AF1062))</f>
        <v/>
      </c>
      <c r="H1062">
        <f>IF(OR($A1062="",ROUND($F1062+$G1062,2)=0),"",$F1062+$G1062)</f>
        <v/>
      </c>
      <c r="I1062">
        <f>IF($H1062="","",IF(ROUND($F1062,2)&gt;0,$A1062,IF($D1062="شخصی قاسم","شخصی قاسم",IF($D1062="هزینه","هزینه: "&amp;IF($E1062="","متفرقه",$E1062),IF($C1062="پاس چک","چک پرداختی",IF(OR($B1062="",COUNTIF(AcctCodesA,$B1062)=0),"متفرقه",$B1062))))))</f>
        <v/>
      </c>
      <c r="J1062">
        <f>IF($H1062="","",IF(ROUND($F1062,2)&gt;0,IF($D1062="شخصی قاسم","شخصی قاسم",IF($D1062="هزینه","هزینه: "&amp;IF($E1062="","متفرقه",$E1062),IF(OR($B1062="",COUNTIF(AcctCodesA,$B1062)=0),"متفرقه",$B1062))),$A1062))</f>
        <v/>
      </c>
      <c r="K1062">
        <f>IF($A1062="","",IF(AND($B1062&lt;&gt;"",COUNTIF(AcctCodesA,$B1062)=0),"کد طرف در INFO تعریف نشده",IF(AND($D1062="هزینه",$E1062=""),"هزینه بدون زیرگروه",IF(AND($C1062="پاس چک",OR(Sync!$AJ1062="",COUNTIF(IssueNosA,Sync!$AJ1062)=0)),"شماره چک پاس‌شده معتبر نیست",""))))</f>
        <v/>
      </c>
      <c r="V1062">
        <f>IF($K1062="","",IF(ISNUMBER(Sync!$AK1062),Sync!$AK1062,LEFT(Sync!$AK1062,4)&amp;MID(Sync!$AK1062,6,2)&amp;RIGHT(Sync!$AK1062,2))&amp;"|"&amp;"4"&amp;RIGHT("00000"&amp;1057,5))</f>
        <v/>
      </c>
      <c r="W1062">
        <f>IF($V1062="",0,COUNTIFS($V$6:$V$2005,"&lt;"&amp;$V1062)-COUNTIFS($V$6:$V$2005,"&lt;"&amp;$V1062,$K$6:$K$2005,"")+1)</f>
        <v/>
      </c>
    </row>
    <row r="1063">
      <c r="A1063">
        <f>IF(Sync!$Z1063="","",LEFT(UPPER(TRIM(Sync!$Z1063)),6))</f>
        <v/>
      </c>
      <c r="B1063">
        <f>IF($A1063="","",IF(Sync!$AA1063="","",Sync!$AA1063))</f>
        <v/>
      </c>
      <c r="C1063">
        <f>IF($A1063="","",IF(Sync!$AB1063="","",Sync!$AB1063))</f>
        <v/>
      </c>
      <c r="D1063">
        <f>IF($A1063="","",IF(Sync!$AC1063="","",Sync!$AC1063))</f>
        <v/>
      </c>
      <c r="E1063">
        <f>IF($A1063="","",IF(Sync!$AD1063="","",Sync!$AD1063))</f>
        <v/>
      </c>
      <c r="F1063">
        <f>IF($A1063="","",IF(Sync!$AE1063="",0,Sync!$AE1063))</f>
        <v/>
      </c>
      <c r="G1063">
        <f>IF($A1063="","",IF(Sync!$AF1063="",0,Sync!$AF1063))</f>
        <v/>
      </c>
      <c r="H1063">
        <f>IF(OR($A1063="",ROUND($F1063+$G1063,2)=0),"",$F1063+$G1063)</f>
        <v/>
      </c>
      <c r="I1063">
        <f>IF($H1063="","",IF(ROUND($F1063,2)&gt;0,$A1063,IF($D1063="شخصی قاسم","شخصی قاسم",IF($D1063="هزینه","هزینه: "&amp;IF($E1063="","متفرقه",$E1063),IF($C1063="پاس چک","چک پرداختی",IF(OR($B1063="",COUNTIF(AcctCodesA,$B1063)=0),"متفرقه",$B1063))))))</f>
        <v/>
      </c>
      <c r="J1063">
        <f>IF($H1063="","",IF(ROUND($F1063,2)&gt;0,IF($D1063="شخصی قاسم","شخصی قاسم",IF($D1063="هزینه","هزینه: "&amp;IF($E1063="","متفرقه",$E1063),IF(OR($B1063="",COUNTIF(AcctCodesA,$B1063)=0),"متفرقه",$B1063))),$A1063))</f>
        <v/>
      </c>
      <c r="K1063">
        <f>IF($A1063="","",IF(AND($B1063&lt;&gt;"",COUNTIF(AcctCodesA,$B1063)=0),"کد طرف در INFO تعریف نشده",IF(AND($D1063="هزینه",$E1063=""),"هزینه بدون زیرگروه",IF(AND($C1063="پاس چک",OR(Sync!$AJ1063="",COUNTIF(IssueNosA,Sync!$AJ1063)=0)),"شماره چک پاس‌شده معتبر نیست",""))))</f>
        <v/>
      </c>
      <c r="V1063">
        <f>IF($K1063="","",IF(ISNUMBER(Sync!$AK1063),Sync!$AK1063,LEFT(Sync!$AK1063,4)&amp;MID(Sync!$AK1063,6,2)&amp;RIGHT(Sync!$AK1063,2))&amp;"|"&amp;"4"&amp;RIGHT("00000"&amp;1058,5))</f>
        <v/>
      </c>
      <c r="W1063">
        <f>IF($V1063="",0,COUNTIFS($V$6:$V$2005,"&lt;"&amp;$V1063)-COUNTIFS($V$6:$V$2005,"&lt;"&amp;$V1063,$K$6:$K$2005,"")+1)</f>
        <v/>
      </c>
    </row>
    <row r="1064">
      <c r="A1064">
        <f>IF(Sync!$Z1064="","",LEFT(UPPER(TRIM(Sync!$Z1064)),6))</f>
        <v/>
      </c>
      <c r="B1064">
        <f>IF($A1064="","",IF(Sync!$AA1064="","",Sync!$AA1064))</f>
        <v/>
      </c>
      <c r="C1064">
        <f>IF($A1064="","",IF(Sync!$AB1064="","",Sync!$AB1064))</f>
        <v/>
      </c>
      <c r="D1064">
        <f>IF($A1064="","",IF(Sync!$AC1064="","",Sync!$AC1064))</f>
        <v/>
      </c>
      <c r="E1064">
        <f>IF($A1064="","",IF(Sync!$AD1064="","",Sync!$AD1064))</f>
        <v/>
      </c>
      <c r="F1064">
        <f>IF($A1064="","",IF(Sync!$AE1064="",0,Sync!$AE1064))</f>
        <v/>
      </c>
      <c r="G1064">
        <f>IF($A1064="","",IF(Sync!$AF1064="",0,Sync!$AF1064))</f>
        <v/>
      </c>
      <c r="H1064">
        <f>IF(OR($A1064="",ROUND($F1064+$G1064,2)=0),"",$F1064+$G1064)</f>
        <v/>
      </c>
      <c r="I1064">
        <f>IF($H1064="","",IF(ROUND($F1064,2)&gt;0,$A1064,IF($D1064="شخصی قاسم","شخصی قاسم",IF($D1064="هزینه","هزینه: "&amp;IF($E1064="","متفرقه",$E1064),IF($C1064="پاس چک","چک پرداختی",IF(OR($B1064="",COUNTIF(AcctCodesA,$B1064)=0),"متفرقه",$B1064))))))</f>
        <v/>
      </c>
      <c r="J1064">
        <f>IF($H1064="","",IF(ROUND($F1064,2)&gt;0,IF($D1064="شخصی قاسم","شخصی قاسم",IF($D1064="هزینه","هزینه: "&amp;IF($E1064="","متفرقه",$E1064),IF(OR($B1064="",COUNTIF(AcctCodesA,$B1064)=0),"متفرقه",$B1064))),$A1064))</f>
        <v/>
      </c>
      <c r="K1064">
        <f>IF($A1064="","",IF(AND($B1064&lt;&gt;"",COUNTIF(AcctCodesA,$B1064)=0),"کد طرف در INFO تعریف نشده",IF(AND($D1064="هزینه",$E1064=""),"هزینه بدون زیرگروه",IF(AND($C1064="پاس چک",OR(Sync!$AJ1064="",COUNTIF(IssueNosA,Sync!$AJ1064)=0)),"شماره چک پاس‌شده معتبر نیست",""))))</f>
        <v/>
      </c>
      <c r="V1064">
        <f>IF($K1064="","",IF(ISNUMBER(Sync!$AK1064),Sync!$AK1064,LEFT(Sync!$AK1064,4)&amp;MID(Sync!$AK1064,6,2)&amp;RIGHT(Sync!$AK1064,2))&amp;"|"&amp;"4"&amp;RIGHT("00000"&amp;1059,5))</f>
        <v/>
      </c>
      <c r="W1064">
        <f>IF($V1064="",0,COUNTIFS($V$6:$V$2005,"&lt;"&amp;$V1064)-COUNTIFS($V$6:$V$2005,"&lt;"&amp;$V1064,$K$6:$K$2005,"")+1)</f>
        <v/>
      </c>
    </row>
    <row r="1065">
      <c r="A1065">
        <f>IF(Sync!$Z1065="","",LEFT(UPPER(TRIM(Sync!$Z1065)),6))</f>
        <v/>
      </c>
      <c r="B1065">
        <f>IF($A1065="","",IF(Sync!$AA1065="","",Sync!$AA1065))</f>
        <v/>
      </c>
      <c r="C1065">
        <f>IF($A1065="","",IF(Sync!$AB1065="","",Sync!$AB1065))</f>
        <v/>
      </c>
      <c r="D1065">
        <f>IF($A1065="","",IF(Sync!$AC1065="","",Sync!$AC1065))</f>
        <v/>
      </c>
      <c r="E1065">
        <f>IF($A1065="","",IF(Sync!$AD1065="","",Sync!$AD1065))</f>
        <v/>
      </c>
      <c r="F1065">
        <f>IF($A1065="","",IF(Sync!$AE1065="",0,Sync!$AE1065))</f>
        <v/>
      </c>
      <c r="G1065">
        <f>IF($A1065="","",IF(Sync!$AF1065="",0,Sync!$AF1065))</f>
        <v/>
      </c>
      <c r="H1065">
        <f>IF(OR($A1065="",ROUND($F1065+$G1065,2)=0),"",$F1065+$G1065)</f>
        <v/>
      </c>
      <c r="I1065">
        <f>IF($H1065="","",IF(ROUND($F1065,2)&gt;0,$A1065,IF($D1065="شخصی قاسم","شخصی قاسم",IF($D1065="هزینه","هزینه: "&amp;IF($E1065="","متفرقه",$E1065),IF($C1065="پاس چک","چک پرداختی",IF(OR($B1065="",COUNTIF(AcctCodesA,$B1065)=0),"متفرقه",$B1065))))))</f>
        <v/>
      </c>
      <c r="J1065">
        <f>IF($H1065="","",IF(ROUND($F1065,2)&gt;0,IF($D1065="شخصی قاسم","شخصی قاسم",IF($D1065="هزینه","هزینه: "&amp;IF($E1065="","متفرقه",$E1065),IF(OR($B1065="",COUNTIF(AcctCodesA,$B1065)=0),"متفرقه",$B1065))),$A1065))</f>
        <v/>
      </c>
      <c r="K1065">
        <f>IF($A1065="","",IF(AND($B1065&lt;&gt;"",COUNTIF(AcctCodesA,$B1065)=0),"کد طرف در INFO تعریف نشده",IF(AND($D1065="هزینه",$E1065=""),"هزینه بدون زیرگروه",IF(AND($C1065="پاس چک",OR(Sync!$AJ1065="",COUNTIF(IssueNosA,Sync!$AJ1065)=0)),"شماره چک پاس‌شده معتبر نیست",""))))</f>
        <v/>
      </c>
      <c r="V1065">
        <f>IF($K1065="","",IF(ISNUMBER(Sync!$AK1065),Sync!$AK1065,LEFT(Sync!$AK1065,4)&amp;MID(Sync!$AK1065,6,2)&amp;RIGHT(Sync!$AK1065,2))&amp;"|"&amp;"4"&amp;RIGHT("00000"&amp;1060,5))</f>
        <v/>
      </c>
      <c r="W1065">
        <f>IF($V1065="",0,COUNTIFS($V$6:$V$2005,"&lt;"&amp;$V1065)-COUNTIFS($V$6:$V$2005,"&lt;"&amp;$V1065,$K$6:$K$2005,"")+1)</f>
        <v/>
      </c>
    </row>
    <row r="1066">
      <c r="A1066">
        <f>IF(Sync!$Z1066="","",LEFT(UPPER(TRIM(Sync!$Z1066)),6))</f>
        <v/>
      </c>
      <c r="B1066">
        <f>IF($A1066="","",IF(Sync!$AA1066="","",Sync!$AA1066))</f>
        <v/>
      </c>
      <c r="C1066">
        <f>IF($A1066="","",IF(Sync!$AB1066="","",Sync!$AB1066))</f>
        <v/>
      </c>
      <c r="D1066">
        <f>IF($A1066="","",IF(Sync!$AC1066="","",Sync!$AC1066))</f>
        <v/>
      </c>
      <c r="E1066">
        <f>IF($A1066="","",IF(Sync!$AD1066="","",Sync!$AD1066))</f>
        <v/>
      </c>
      <c r="F1066">
        <f>IF($A1066="","",IF(Sync!$AE1066="",0,Sync!$AE1066))</f>
        <v/>
      </c>
      <c r="G1066">
        <f>IF($A1066="","",IF(Sync!$AF1066="",0,Sync!$AF1066))</f>
        <v/>
      </c>
      <c r="H1066">
        <f>IF(OR($A1066="",ROUND($F1066+$G1066,2)=0),"",$F1066+$G1066)</f>
        <v/>
      </c>
      <c r="I1066">
        <f>IF($H1066="","",IF(ROUND($F1066,2)&gt;0,$A1066,IF($D1066="شخصی قاسم","شخصی قاسم",IF($D1066="هزینه","هزینه: "&amp;IF($E1066="","متفرقه",$E1066),IF($C1066="پاس چک","چک پرداختی",IF(OR($B1066="",COUNTIF(AcctCodesA,$B1066)=0),"متفرقه",$B1066))))))</f>
        <v/>
      </c>
      <c r="J1066">
        <f>IF($H1066="","",IF(ROUND($F1066,2)&gt;0,IF($D1066="شخصی قاسم","شخصی قاسم",IF($D1066="هزینه","هزینه: "&amp;IF($E1066="","متفرقه",$E1066),IF(OR($B1066="",COUNTIF(AcctCodesA,$B1066)=0),"متفرقه",$B1066))),$A1066))</f>
        <v/>
      </c>
      <c r="K1066">
        <f>IF($A1066="","",IF(AND($B1066&lt;&gt;"",COUNTIF(AcctCodesA,$B1066)=0),"کد طرف در INFO تعریف نشده",IF(AND($D1066="هزینه",$E1066=""),"هزینه بدون زیرگروه",IF(AND($C1066="پاس چک",OR(Sync!$AJ1066="",COUNTIF(IssueNosA,Sync!$AJ1066)=0)),"شماره چک پاس‌شده معتبر نیست",""))))</f>
        <v/>
      </c>
      <c r="V1066">
        <f>IF($K1066="","",IF(ISNUMBER(Sync!$AK1066),Sync!$AK1066,LEFT(Sync!$AK1066,4)&amp;MID(Sync!$AK1066,6,2)&amp;RIGHT(Sync!$AK1066,2))&amp;"|"&amp;"4"&amp;RIGHT("00000"&amp;1061,5))</f>
        <v/>
      </c>
      <c r="W1066">
        <f>IF($V1066="",0,COUNTIFS($V$6:$V$2005,"&lt;"&amp;$V1066)-COUNTIFS($V$6:$V$2005,"&lt;"&amp;$V1066,$K$6:$K$2005,"")+1)</f>
        <v/>
      </c>
    </row>
    <row r="1067">
      <c r="A1067">
        <f>IF(Sync!$Z1067="","",LEFT(UPPER(TRIM(Sync!$Z1067)),6))</f>
        <v/>
      </c>
      <c r="B1067">
        <f>IF($A1067="","",IF(Sync!$AA1067="","",Sync!$AA1067))</f>
        <v/>
      </c>
      <c r="C1067">
        <f>IF($A1067="","",IF(Sync!$AB1067="","",Sync!$AB1067))</f>
        <v/>
      </c>
      <c r="D1067">
        <f>IF($A1067="","",IF(Sync!$AC1067="","",Sync!$AC1067))</f>
        <v/>
      </c>
      <c r="E1067">
        <f>IF($A1067="","",IF(Sync!$AD1067="","",Sync!$AD1067))</f>
        <v/>
      </c>
      <c r="F1067">
        <f>IF($A1067="","",IF(Sync!$AE1067="",0,Sync!$AE1067))</f>
        <v/>
      </c>
      <c r="G1067">
        <f>IF($A1067="","",IF(Sync!$AF1067="",0,Sync!$AF1067))</f>
        <v/>
      </c>
      <c r="H1067">
        <f>IF(OR($A1067="",ROUND($F1067+$G1067,2)=0),"",$F1067+$G1067)</f>
        <v/>
      </c>
      <c r="I1067">
        <f>IF($H1067="","",IF(ROUND($F1067,2)&gt;0,$A1067,IF($D1067="شخصی قاسم","شخصی قاسم",IF($D1067="هزینه","هزینه: "&amp;IF($E1067="","متفرقه",$E1067),IF($C1067="پاس چک","چک پرداختی",IF(OR($B1067="",COUNTIF(AcctCodesA,$B1067)=0),"متفرقه",$B1067))))))</f>
        <v/>
      </c>
      <c r="J1067">
        <f>IF($H1067="","",IF(ROUND($F1067,2)&gt;0,IF($D1067="شخصی قاسم","شخصی قاسم",IF($D1067="هزینه","هزینه: "&amp;IF($E1067="","متفرقه",$E1067),IF(OR($B1067="",COUNTIF(AcctCodesA,$B1067)=0),"متفرقه",$B1067))),$A1067))</f>
        <v/>
      </c>
      <c r="K1067">
        <f>IF($A1067="","",IF(AND($B1067&lt;&gt;"",COUNTIF(AcctCodesA,$B1067)=0),"کد طرف در INFO تعریف نشده",IF(AND($D1067="هزینه",$E1067=""),"هزینه بدون زیرگروه",IF(AND($C1067="پاس چک",OR(Sync!$AJ1067="",COUNTIF(IssueNosA,Sync!$AJ1067)=0)),"شماره چک پاس‌شده معتبر نیست",""))))</f>
        <v/>
      </c>
      <c r="V1067">
        <f>IF($K1067="","",IF(ISNUMBER(Sync!$AK1067),Sync!$AK1067,LEFT(Sync!$AK1067,4)&amp;MID(Sync!$AK1067,6,2)&amp;RIGHT(Sync!$AK1067,2))&amp;"|"&amp;"4"&amp;RIGHT("00000"&amp;1062,5))</f>
        <v/>
      </c>
      <c r="W1067">
        <f>IF($V1067="",0,COUNTIFS($V$6:$V$2005,"&lt;"&amp;$V1067)-COUNTIFS($V$6:$V$2005,"&lt;"&amp;$V1067,$K$6:$K$2005,"")+1)</f>
        <v/>
      </c>
    </row>
    <row r="1068">
      <c r="A1068">
        <f>IF(Sync!$Z1068="","",LEFT(UPPER(TRIM(Sync!$Z1068)),6))</f>
        <v/>
      </c>
      <c r="B1068">
        <f>IF($A1068="","",IF(Sync!$AA1068="","",Sync!$AA1068))</f>
        <v/>
      </c>
      <c r="C1068">
        <f>IF($A1068="","",IF(Sync!$AB1068="","",Sync!$AB1068))</f>
        <v/>
      </c>
      <c r="D1068">
        <f>IF($A1068="","",IF(Sync!$AC1068="","",Sync!$AC1068))</f>
        <v/>
      </c>
      <c r="E1068">
        <f>IF($A1068="","",IF(Sync!$AD1068="","",Sync!$AD1068))</f>
        <v/>
      </c>
      <c r="F1068">
        <f>IF($A1068="","",IF(Sync!$AE1068="",0,Sync!$AE1068))</f>
        <v/>
      </c>
      <c r="G1068">
        <f>IF($A1068="","",IF(Sync!$AF1068="",0,Sync!$AF1068))</f>
        <v/>
      </c>
      <c r="H1068">
        <f>IF(OR($A1068="",ROUND($F1068+$G1068,2)=0),"",$F1068+$G1068)</f>
        <v/>
      </c>
      <c r="I1068">
        <f>IF($H1068="","",IF(ROUND($F1068,2)&gt;0,$A1068,IF($D1068="شخصی قاسم","شخصی قاسم",IF($D1068="هزینه","هزینه: "&amp;IF($E1068="","متفرقه",$E1068),IF($C1068="پاس چک","چک پرداختی",IF(OR($B1068="",COUNTIF(AcctCodesA,$B1068)=0),"متفرقه",$B1068))))))</f>
        <v/>
      </c>
      <c r="J1068">
        <f>IF($H1068="","",IF(ROUND($F1068,2)&gt;0,IF($D1068="شخصی قاسم","شخصی قاسم",IF($D1068="هزینه","هزینه: "&amp;IF($E1068="","متفرقه",$E1068),IF(OR($B1068="",COUNTIF(AcctCodesA,$B1068)=0),"متفرقه",$B1068))),$A1068))</f>
        <v/>
      </c>
      <c r="K1068">
        <f>IF($A1068="","",IF(AND($B1068&lt;&gt;"",COUNTIF(AcctCodesA,$B1068)=0),"کد طرف در INFO تعریف نشده",IF(AND($D1068="هزینه",$E1068=""),"هزینه بدون زیرگروه",IF(AND($C1068="پاس چک",OR(Sync!$AJ1068="",COUNTIF(IssueNosA,Sync!$AJ1068)=0)),"شماره چک پاس‌شده معتبر نیست",""))))</f>
        <v/>
      </c>
      <c r="V1068">
        <f>IF($K1068="","",IF(ISNUMBER(Sync!$AK1068),Sync!$AK1068,LEFT(Sync!$AK1068,4)&amp;MID(Sync!$AK1068,6,2)&amp;RIGHT(Sync!$AK1068,2))&amp;"|"&amp;"4"&amp;RIGHT("00000"&amp;1063,5))</f>
        <v/>
      </c>
      <c r="W1068">
        <f>IF($V1068="",0,COUNTIFS($V$6:$V$2005,"&lt;"&amp;$V1068)-COUNTIFS($V$6:$V$2005,"&lt;"&amp;$V1068,$K$6:$K$2005,"")+1)</f>
        <v/>
      </c>
    </row>
    <row r="1069">
      <c r="A1069">
        <f>IF(Sync!$Z1069="","",LEFT(UPPER(TRIM(Sync!$Z1069)),6))</f>
        <v/>
      </c>
      <c r="B1069">
        <f>IF($A1069="","",IF(Sync!$AA1069="","",Sync!$AA1069))</f>
        <v/>
      </c>
      <c r="C1069">
        <f>IF($A1069="","",IF(Sync!$AB1069="","",Sync!$AB1069))</f>
        <v/>
      </c>
      <c r="D1069">
        <f>IF($A1069="","",IF(Sync!$AC1069="","",Sync!$AC1069))</f>
        <v/>
      </c>
      <c r="E1069">
        <f>IF($A1069="","",IF(Sync!$AD1069="","",Sync!$AD1069))</f>
        <v/>
      </c>
      <c r="F1069">
        <f>IF($A1069="","",IF(Sync!$AE1069="",0,Sync!$AE1069))</f>
        <v/>
      </c>
      <c r="G1069">
        <f>IF($A1069="","",IF(Sync!$AF1069="",0,Sync!$AF1069))</f>
        <v/>
      </c>
      <c r="H1069">
        <f>IF(OR($A1069="",ROUND($F1069+$G1069,2)=0),"",$F1069+$G1069)</f>
        <v/>
      </c>
      <c r="I1069">
        <f>IF($H1069="","",IF(ROUND($F1069,2)&gt;0,$A1069,IF($D1069="شخصی قاسم","شخصی قاسم",IF($D1069="هزینه","هزینه: "&amp;IF($E1069="","متفرقه",$E1069),IF($C1069="پاس چک","چک پرداختی",IF(OR($B1069="",COUNTIF(AcctCodesA,$B1069)=0),"متفرقه",$B1069))))))</f>
        <v/>
      </c>
      <c r="J1069">
        <f>IF($H1069="","",IF(ROUND($F1069,2)&gt;0,IF($D1069="شخصی قاسم","شخصی قاسم",IF($D1069="هزینه","هزینه: "&amp;IF($E1069="","متفرقه",$E1069),IF(OR($B1069="",COUNTIF(AcctCodesA,$B1069)=0),"متفرقه",$B1069))),$A1069))</f>
        <v/>
      </c>
      <c r="K1069">
        <f>IF($A1069="","",IF(AND($B1069&lt;&gt;"",COUNTIF(AcctCodesA,$B1069)=0),"کد طرف در INFO تعریف نشده",IF(AND($D1069="هزینه",$E1069=""),"هزینه بدون زیرگروه",IF(AND($C1069="پاس چک",OR(Sync!$AJ1069="",COUNTIF(IssueNosA,Sync!$AJ1069)=0)),"شماره چک پاس‌شده معتبر نیست",""))))</f>
        <v/>
      </c>
      <c r="V1069">
        <f>IF($K1069="","",IF(ISNUMBER(Sync!$AK1069),Sync!$AK1069,LEFT(Sync!$AK1069,4)&amp;MID(Sync!$AK1069,6,2)&amp;RIGHT(Sync!$AK1069,2))&amp;"|"&amp;"4"&amp;RIGHT("00000"&amp;1064,5))</f>
        <v/>
      </c>
      <c r="W1069">
        <f>IF($V1069="",0,COUNTIFS($V$6:$V$2005,"&lt;"&amp;$V1069)-COUNTIFS($V$6:$V$2005,"&lt;"&amp;$V1069,$K$6:$K$2005,"")+1)</f>
        <v/>
      </c>
    </row>
    <row r="1070">
      <c r="A1070">
        <f>IF(Sync!$Z1070="","",LEFT(UPPER(TRIM(Sync!$Z1070)),6))</f>
        <v/>
      </c>
      <c r="B1070">
        <f>IF($A1070="","",IF(Sync!$AA1070="","",Sync!$AA1070))</f>
        <v/>
      </c>
      <c r="C1070">
        <f>IF($A1070="","",IF(Sync!$AB1070="","",Sync!$AB1070))</f>
        <v/>
      </c>
      <c r="D1070">
        <f>IF($A1070="","",IF(Sync!$AC1070="","",Sync!$AC1070))</f>
        <v/>
      </c>
      <c r="E1070">
        <f>IF($A1070="","",IF(Sync!$AD1070="","",Sync!$AD1070))</f>
        <v/>
      </c>
      <c r="F1070">
        <f>IF($A1070="","",IF(Sync!$AE1070="",0,Sync!$AE1070))</f>
        <v/>
      </c>
      <c r="G1070">
        <f>IF($A1070="","",IF(Sync!$AF1070="",0,Sync!$AF1070))</f>
        <v/>
      </c>
      <c r="H1070">
        <f>IF(OR($A1070="",ROUND($F1070+$G1070,2)=0),"",$F1070+$G1070)</f>
        <v/>
      </c>
      <c r="I1070">
        <f>IF($H1070="","",IF(ROUND($F1070,2)&gt;0,$A1070,IF($D1070="شخصی قاسم","شخصی قاسم",IF($D1070="هزینه","هزینه: "&amp;IF($E1070="","متفرقه",$E1070),IF($C1070="پاس چک","چک پرداختی",IF(OR($B1070="",COUNTIF(AcctCodesA,$B1070)=0),"متفرقه",$B1070))))))</f>
        <v/>
      </c>
      <c r="J1070">
        <f>IF($H1070="","",IF(ROUND($F1070,2)&gt;0,IF($D1070="شخصی قاسم","شخصی قاسم",IF($D1070="هزینه","هزینه: "&amp;IF($E1070="","متفرقه",$E1070),IF(OR($B1070="",COUNTIF(AcctCodesA,$B1070)=0),"متفرقه",$B1070))),$A1070))</f>
        <v/>
      </c>
      <c r="K1070">
        <f>IF($A1070="","",IF(AND($B1070&lt;&gt;"",COUNTIF(AcctCodesA,$B1070)=0),"کد طرف در INFO تعریف نشده",IF(AND($D1070="هزینه",$E1070=""),"هزینه بدون زیرگروه",IF(AND($C1070="پاس چک",OR(Sync!$AJ1070="",COUNTIF(IssueNosA,Sync!$AJ1070)=0)),"شماره چک پاس‌شده معتبر نیست",""))))</f>
        <v/>
      </c>
      <c r="V1070">
        <f>IF($K1070="","",IF(ISNUMBER(Sync!$AK1070),Sync!$AK1070,LEFT(Sync!$AK1070,4)&amp;MID(Sync!$AK1070,6,2)&amp;RIGHT(Sync!$AK1070,2))&amp;"|"&amp;"4"&amp;RIGHT("00000"&amp;1065,5))</f>
        <v/>
      </c>
      <c r="W1070">
        <f>IF($V1070="",0,COUNTIFS($V$6:$V$2005,"&lt;"&amp;$V1070)-COUNTIFS($V$6:$V$2005,"&lt;"&amp;$V1070,$K$6:$K$2005,"")+1)</f>
        <v/>
      </c>
    </row>
    <row r="1071">
      <c r="A1071">
        <f>IF(Sync!$Z1071="","",LEFT(UPPER(TRIM(Sync!$Z1071)),6))</f>
        <v/>
      </c>
      <c r="B1071">
        <f>IF($A1071="","",IF(Sync!$AA1071="","",Sync!$AA1071))</f>
        <v/>
      </c>
      <c r="C1071">
        <f>IF($A1071="","",IF(Sync!$AB1071="","",Sync!$AB1071))</f>
        <v/>
      </c>
      <c r="D1071">
        <f>IF($A1071="","",IF(Sync!$AC1071="","",Sync!$AC1071))</f>
        <v/>
      </c>
      <c r="E1071">
        <f>IF($A1071="","",IF(Sync!$AD1071="","",Sync!$AD1071))</f>
        <v/>
      </c>
      <c r="F1071">
        <f>IF($A1071="","",IF(Sync!$AE1071="",0,Sync!$AE1071))</f>
        <v/>
      </c>
      <c r="G1071">
        <f>IF($A1071="","",IF(Sync!$AF1071="",0,Sync!$AF1071))</f>
        <v/>
      </c>
      <c r="H1071">
        <f>IF(OR($A1071="",ROUND($F1071+$G1071,2)=0),"",$F1071+$G1071)</f>
        <v/>
      </c>
      <c r="I1071">
        <f>IF($H1071="","",IF(ROUND($F1071,2)&gt;0,$A1071,IF($D1071="شخصی قاسم","شخصی قاسم",IF($D1071="هزینه","هزینه: "&amp;IF($E1071="","متفرقه",$E1071),IF($C1071="پاس چک","چک پرداختی",IF(OR($B1071="",COUNTIF(AcctCodesA,$B1071)=0),"متفرقه",$B1071))))))</f>
        <v/>
      </c>
      <c r="J1071">
        <f>IF($H1071="","",IF(ROUND($F1071,2)&gt;0,IF($D1071="شخصی قاسم","شخصی قاسم",IF($D1071="هزینه","هزینه: "&amp;IF($E1071="","متفرقه",$E1071),IF(OR($B1071="",COUNTIF(AcctCodesA,$B1071)=0),"متفرقه",$B1071))),$A1071))</f>
        <v/>
      </c>
      <c r="K1071">
        <f>IF($A1071="","",IF(AND($B1071&lt;&gt;"",COUNTIF(AcctCodesA,$B1071)=0),"کد طرف در INFO تعریف نشده",IF(AND($D1071="هزینه",$E1071=""),"هزینه بدون زیرگروه",IF(AND($C1071="پاس چک",OR(Sync!$AJ1071="",COUNTIF(IssueNosA,Sync!$AJ1071)=0)),"شماره چک پاس‌شده معتبر نیست",""))))</f>
        <v/>
      </c>
      <c r="V1071">
        <f>IF($K1071="","",IF(ISNUMBER(Sync!$AK1071),Sync!$AK1071,LEFT(Sync!$AK1071,4)&amp;MID(Sync!$AK1071,6,2)&amp;RIGHT(Sync!$AK1071,2))&amp;"|"&amp;"4"&amp;RIGHT("00000"&amp;1066,5))</f>
        <v/>
      </c>
      <c r="W1071">
        <f>IF($V1071="",0,COUNTIFS($V$6:$V$2005,"&lt;"&amp;$V1071)-COUNTIFS($V$6:$V$2005,"&lt;"&amp;$V1071,$K$6:$K$2005,"")+1)</f>
        <v/>
      </c>
    </row>
    <row r="1072">
      <c r="A1072">
        <f>IF(Sync!$Z1072="","",LEFT(UPPER(TRIM(Sync!$Z1072)),6))</f>
        <v/>
      </c>
      <c r="B1072">
        <f>IF($A1072="","",IF(Sync!$AA1072="","",Sync!$AA1072))</f>
        <v/>
      </c>
      <c r="C1072">
        <f>IF($A1072="","",IF(Sync!$AB1072="","",Sync!$AB1072))</f>
        <v/>
      </c>
      <c r="D1072">
        <f>IF($A1072="","",IF(Sync!$AC1072="","",Sync!$AC1072))</f>
        <v/>
      </c>
      <c r="E1072">
        <f>IF($A1072="","",IF(Sync!$AD1072="","",Sync!$AD1072))</f>
        <v/>
      </c>
      <c r="F1072">
        <f>IF($A1072="","",IF(Sync!$AE1072="",0,Sync!$AE1072))</f>
        <v/>
      </c>
      <c r="G1072">
        <f>IF($A1072="","",IF(Sync!$AF1072="",0,Sync!$AF1072))</f>
        <v/>
      </c>
      <c r="H1072">
        <f>IF(OR($A1072="",ROUND($F1072+$G1072,2)=0),"",$F1072+$G1072)</f>
        <v/>
      </c>
      <c r="I1072">
        <f>IF($H1072="","",IF(ROUND($F1072,2)&gt;0,$A1072,IF($D1072="شخصی قاسم","شخصی قاسم",IF($D1072="هزینه","هزینه: "&amp;IF($E1072="","متفرقه",$E1072),IF($C1072="پاس چک","چک پرداختی",IF(OR($B1072="",COUNTIF(AcctCodesA,$B1072)=0),"متفرقه",$B1072))))))</f>
        <v/>
      </c>
      <c r="J1072">
        <f>IF($H1072="","",IF(ROUND($F1072,2)&gt;0,IF($D1072="شخصی قاسم","شخصی قاسم",IF($D1072="هزینه","هزینه: "&amp;IF($E1072="","متفرقه",$E1072),IF(OR($B1072="",COUNTIF(AcctCodesA,$B1072)=0),"متفرقه",$B1072))),$A1072))</f>
        <v/>
      </c>
      <c r="K1072">
        <f>IF($A1072="","",IF(AND($B1072&lt;&gt;"",COUNTIF(AcctCodesA,$B1072)=0),"کد طرف در INFO تعریف نشده",IF(AND($D1072="هزینه",$E1072=""),"هزینه بدون زیرگروه",IF(AND($C1072="پاس چک",OR(Sync!$AJ1072="",COUNTIF(IssueNosA,Sync!$AJ1072)=0)),"شماره چک پاس‌شده معتبر نیست",""))))</f>
        <v/>
      </c>
      <c r="V1072">
        <f>IF($K1072="","",IF(ISNUMBER(Sync!$AK1072),Sync!$AK1072,LEFT(Sync!$AK1072,4)&amp;MID(Sync!$AK1072,6,2)&amp;RIGHT(Sync!$AK1072,2))&amp;"|"&amp;"4"&amp;RIGHT("00000"&amp;1067,5))</f>
        <v/>
      </c>
      <c r="W1072">
        <f>IF($V1072="",0,COUNTIFS($V$6:$V$2005,"&lt;"&amp;$V1072)-COUNTIFS($V$6:$V$2005,"&lt;"&amp;$V1072,$K$6:$K$2005,"")+1)</f>
        <v/>
      </c>
    </row>
    <row r="1073">
      <c r="A1073">
        <f>IF(Sync!$Z1073="","",LEFT(UPPER(TRIM(Sync!$Z1073)),6))</f>
        <v/>
      </c>
      <c r="B1073">
        <f>IF($A1073="","",IF(Sync!$AA1073="","",Sync!$AA1073))</f>
        <v/>
      </c>
      <c r="C1073">
        <f>IF($A1073="","",IF(Sync!$AB1073="","",Sync!$AB1073))</f>
        <v/>
      </c>
      <c r="D1073">
        <f>IF($A1073="","",IF(Sync!$AC1073="","",Sync!$AC1073))</f>
        <v/>
      </c>
      <c r="E1073">
        <f>IF($A1073="","",IF(Sync!$AD1073="","",Sync!$AD1073))</f>
        <v/>
      </c>
      <c r="F1073">
        <f>IF($A1073="","",IF(Sync!$AE1073="",0,Sync!$AE1073))</f>
        <v/>
      </c>
      <c r="G1073">
        <f>IF($A1073="","",IF(Sync!$AF1073="",0,Sync!$AF1073))</f>
        <v/>
      </c>
      <c r="H1073">
        <f>IF(OR($A1073="",ROUND($F1073+$G1073,2)=0),"",$F1073+$G1073)</f>
        <v/>
      </c>
      <c r="I1073">
        <f>IF($H1073="","",IF(ROUND($F1073,2)&gt;0,$A1073,IF($D1073="شخصی قاسم","شخصی قاسم",IF($D1073="هزینه","هزینه: "&amp;IF($E1073="","متفرقه",$E1073),IF($C1073="پاس چک","چک پرداختی",IF(OR($B1073="",COUNTIF(AcctCodesA,$B1073)=0),"متفرقه",$B1073))))))</f>
        <v/>
      </c>
      <c r="J1073">
        <f>IF($H1073="","",IF(ROUND($F1073,2)&gt;0,IF($D1073="شخصی قاسم","شخصی قاسم",IF($D1073="هزینه","هزینه: "&amp;IF($E1073="","متفرقه",$E1073),IF(OR($B1073="",COUNTIF(AcctCodesA,$B1073)=0),"متفرقه",$B1073))),$A1073))</f>
        <v/>
      </c>
      <c r="K1073">
        <f>IF($A1073="","",IF(AND($B1073&lt;&gt;"",COUNTIF(AcctCodesA,$B1073)=0),"کد طرف در INFO تعریف نشده",IF(AND($D1073="هزینه",$E1073=""),"هزینه بدون زیرگروه",IF(AND($C1073="پاس چک",OR(Sync!$AJ1073="",COUNTIF(IssueNosA,Sync!$AJ1073)=0)),"شماره چک پاس‌شده معتبر نیست",""))))</f>
        <v/>
      </c>
      <c r="V1073">
        <f>IF($K1073="","",IF(ISNUMBER(Sync!$AK1073),Sync!$AK1073,LEFT(Sync!$AK1073,4)&amp;MID(Sync!$AK1073,6,2)&amp;RIGHT(Sync!$AK1073,2))&amp;"|"&amp;"4"&amp;RIGHT("00000"&amp;1068,5))</f>
        <v/>
      </c>
      <c r="W1073">
        <f>IF($V1073="",0,COUNTIFS($V$6:$V$2005,"&lt;"&amp;$V1073)-COUNTIFS($V$6:$V$2005,"&lt;"&amp;$V1073,$K$6:$K$2005,"")+1)</f>
        <v/>
      </c>
    </row>
    <row r="1074">
      <c r="A1074">
        <f>IF(Sync!$Z1074="","",LEFT(UPPER(TRIM(Sync!$Z1074)),6))</f>
        <v/>
      </c>
      <c r="B1074">
        <f>IF($A1074="","",IF(Sync!$AA1074="","",Sync!$AA1074))</f>
        <v/>
      </c>
      <c r="C1074">
        <f>IF($A1074="","",IF(Sync!$AB1074="","",Sync!$AB1074))</f>
        <v/>
      </c>
      <c r="D1074">
        <f>IF($A1074="","",IF(Sync!$AC1074="","",Sync!$AC1074))</f>
        <v/>
      </c>
      <c r="E1074">
        <f>IF($A1074="","",IF(Sync!$AD1074="","",Sync!$AD1074))</f>
        <v/>
      </c>
      <c r="F1074">
        <f>IF($A1074="","",IF(Sync!$AE1074="",0,Sync!$AE1074))</f>
        <v/>
      </c>
      <c r="G1074">
        <f>IF($A1074="","",IF(Sync!$AF1074="",0,Sync!$AF1074))</f>
        <v/>
      </c>
      <c r="H1074">
        <f>IF(OR($A1074="",ROUND($F1074+$G1074,2)=0),"",$F1074+$G1074)</f>
        <v/>
      </c>
      <c r="I1074">
        <f>IF($H1074="","",IF(ROUND($F1074,2)&gt;0,$A1074,IF($D1074="شخصی قاسم","شخصی قاسم",IF($D1074="هزینه","هزینه: "&amp;IF($E1074="","متفرقه",$E1074),IF($C1074="پاس چک","چک پرداختی",IF(OR($B1074="",COUNTIF(AcctCodesA,$B1074)=0),"متفرقه",$B1074))))))</f>
        <v/>
      </c>
      <c r="J1074">
        <f>IF($H1074="","",IF(ROUND($F1074,2)&gt;0,IF($D1074="شخصی قاسم","شخصی قاسم",IF($D1074="هزینه","هزینه: "&amp;IF($E1074="","متفرقه",$E1074),IF(OR($B1074="",COUNTIF(AcctCodesA,$B1074)=0),"متفرقه",$B1074))),$A1074))</f>
        <v/>
      </c>
      <c r="K1074">
        <f>IF($A1074="","",IF(AND($B1074&lt;&gt;"",COUNTIF(AcctCodesA,$B1074)=0),"کد طرف در INFO تعریف نشده",IF(AND($D1074="هزینه",$E1074=""),"هزینه بدون زیرگروه",IF(AND($C1074="پاس چک",OR(Sync!$AJ1074="",COUNTIF(IssueNosA,Sync!$AJ1074)=0)),"شماره چک پاس‌شده معتبر نیست",""))))</f>
        <v/>
      </c>
      <c r="V1074">
        <f>IF($K1074="","",IF(ISNUMBER(Sync!$AK1074),Sync!$AK1074,LEFT(Sync!$AK1074,4)&amp;MID(Sync!$AK1074,6,2)&amp;RIGHT(Sync!$AK1074,2))&amp;"|"&amp;"4"&amp;RIGHT("00000"&amp;1069,5))</f>
        <v/>
      </c>
      <c r="W1074">
        <f>IF($V1074="",0,COUNTIFS($V$6:$V$2005,"&lt;"&amp;$V1074)-COUNTIFS($V$6:$V$2005,"&lt;"&amp;$V1074,$K$6:$K$2005,"")+1)</f>
        <v/>
      </c>
    </row>
    <row r="1075">
      <c r="A1075">
        <f>IF(Sync!$Z1075="","",LEFT(UPPER(TRIM(Sync!$Z1075)),6))</f>
        <v/>
      </c>
      <c r="B1075">
        <f>IF($A1075="","",IF(Sync!$AA1075="","",Sync!$AA1075))</f>
        <v/>
      </c>
      <c r="C1075">
        <f>IF($A1075="","",IF(Sync!$AB1075="","",Sync!$AB1075))</f>
        <v/>
      </c>
      <c r="D1075">
        <f>IF($A1075="","",IF(Sync!$AC1075="","",Sync!$AC1075))</f>
        <v/>
      </c>
      <c r="E1075">
        <f>IF($A1075="","",IF(Sync!$AD1075="","",Sync!$AD1075))</f>
        <v/>
      </c>
      <c r="F1075">
        <f>IF($A1075="","",IF(Sync!$AE1075="",0,Sync!$AE1075))</f>
        <v/>
      </c>
      <c r="G1075">
        <f>IF($A1075="","",IF(Sync!$AF1075="",0,Sync!$AF1075))</f>
        <v/>
      </c>
      <c r="H1075">
        <f>IF(OR($A1075="",ROUND($F1075+$G1075,2)=0),"",$F1075+$G1075)</f>
        <v/>
      </c>
      <c r="I1075">
        <f>IF($H1075="","",IF(ROUND($F1075,2)&gt;0,$A1075,IF($D1075="شخصی قاسم","شخصی قاسم",IF($D1075="هزینه","هزینه: "&amp;IF($E1075="","متفرقه",$E1075),IF($C1075="پاس چک","چک پرداختی",IF(OR($B1075="",COUNTIF(AcctCodesA,$B1075)=0),"متفرقه",$B1075))))))</f>
        <v/>
      </c>
      <c r="J1075">
        <f>IF($H1075="","",IF(ROUND($F1075,2)&gt;0,IF($D1075="شخصی قاسم","شخصی قاسم",IF($D1075="هزینه","هزینه: "&amp;IF($E1075="","متفرقه",$E1075),IF(OR($B1075="",COUNTIF(AcctCodesA,$B1075)=0),"متفرقه",$B1075))),$A1075))</f>
        <v/>
      </c>
      <c r="K1075">
        <f>IF($A1075="","",IF(AND($B1075&lt;&gt;"",COUNTIF(AcctCodesA,$B1075)=0),"کد طرف در INFO تعریف نشده",IF(AND($D1075="هزینه",$E1075=""),"هزینه بدون زیرگروه",IF(AND($C1075="پاس چک",OR(Sync!$AJ1075="",COUNTIF(IssueNosA,Sync!$AJ1075)=0)),"شماره چک پاس‌شده معتبر نیست",""))))</f>
        <v/>
      </c>
      <c r="V1075">
        <f>IF($K1075="","",IF(ISNUMBER(Sync!$AK1075),Sync!$AK1075,LEFT(Sync!$AK1075,4)&amp;MID(Sync!$AK1075,6,2)&amp;RIGHT(Sync!$AK1075,2))&amp;"|"&amp;"4"&amp;RIGHT("00000"&amp;1070,5))</f>
        <v/>
      </c>
      <c r="W1075">
        <f>IF($V1075="",0,COUNTIFS($V$6:$V$2005,"&lt;"&amp;$V1075)-COUNTIFS($V$6:$V$2005,"&lt;"&amp;$V1075,$K$6:$K$2005,"")+1)</f>
        <v/>
      </c>
    </row>
    <row r="1076">
      <c r="A1076">
        <f>IF(Sync!$Z1076="","",LEFT(UPPER(TRIM(Sync!$Z1076)),6))</f>
        <v/>
      </c>
      <c r="B1076">
        <f>IF($A1076="","",IF(Sync!$AA1076="","",Sync!$AA1076))</f>
        <v/>
      </c>
      <c r="C1076">
        <f>IF($A1076="","",IF(Sync!$AB1076="","",Sync!$AB1076))</f>
        <v/>
      </c>
      <c r="D1076">
        <f>IF($A1076="","",IF(Sync!$AC1076="","",Sync!$AC1076))</f>
        <v/>
      </c>
      <c r="E1076">
        <f>IF($A1076="","",IF(Sync!$AD1076="","",Sync!$AD1076))</f>
        <v/>
      </c>
      <c r="F1076">
        <f>IF($A1076="","",IF(Sync!$AE1076="",0,Sync!$AE1076))</f>
        <v/>
      </c>
      <c r="G1076">
        <f>IF($A1076="","",IF(Sync!$AF1076="",0,Sync!$AF1076))</f>
        <v/>
      </c>
      <c r="H1076">
        <f>IF(OR($A1076="",ROUND($F1076+$G1076,2)=0),"",$F1076+$G1076)</f>
        <v/>
      </c>
      <c r="I1076">
        <f>IF($H1076="","",IF(ROUND($F1076,2)&gt;0,$A1076,IF($D1076="شخصی قاسم","شخصی قاسم",IF($D1076="هزینه","هزینه: "&amp;IF($E1076="","متفرقه",$E1076),IF($C1076="پاس چک","چک پرداختی",IF(OR($B1076="",COUNTIF(AcctCodesA,$B1076)=0),"متفرقه",$B1076))))))</f>
        <v/>
      </c>
      <c r="J1076">
        <f>IF($H1076="","",IF(ROUND($F1076,2)&gt;0,IF($D1076="شخصی قاسم","شخصی قاسم",IF($D1076="هزینه","هزینه: "&amp;IF($E1076="","متفرقه",$E1076),IF(OR($B1076="",COUNTIF(AcctCodesA,$B1076)=0),"متفرقه",$B1076))),$A1076))</f>
        <v/>
      </c>
      <c r="K1076">
        <f>IF($A1076="","",IF(AND($B1076&lt;&gt;"",COUNTIF(AcctCodesA,$B1076)=0),"کد طرف در INFO تعریف نشده",IF(AND($D1076="هزینه",$E1076=""),"هزینه بدون زیرگروه",IF(AND($C1076="پاس چک",OR(Sync!$AJ1076="",COUNTIF(IssueNosA,Sync!$AJ1076)=0)),"شماره چک پاس‌شده معتبر نیست",""))))</f>
        <v/>
      </c>
      <c r="V1076">
        <f>IF($K1076="","",IF(ISNUMBER(Sync!$AK1076),Sync!$AK1076,LEFT(Sync!$AK1076,4)&amp;MID(Sync!$AK1076,6,2)&amp;RIGHT(Sync!$AK1076,2))&amp;"|"&amp;"4"&amp;RIGHT("00000"&amp;1071,5))</f>
        <v/>
      </c>
      <c r="W1076">
        <f>IF($V1076="",0,COUNTIFS($V$6:$V$2005,"&lt;"&amp;$V1076)-COUNTIFS($V$6:$V$2005,"&lt;"&amp;$V1076,$K$6:$K$2005,"")+1)</f>
        <v/>
      </c>
    </row>
    <row r="1077">
      <c r="A1077">
        <f>IF(Sync!$Z1077="","",LEFT(UPPER(TRIM(Sync!$Z1077)),6))</f>
        <v/>
      </c>
      <c r="B1077">
        <f>IF($A1077="","",IF(Sync!$AA1077="","",Sync!$AA1077))</f>
        <v/>
      </c>
      <c r="C1077">
        <f>IF($A1077="","",IF(Sync!$AB1077="","",Sync!$AB1077))</f>
        <v/>
      </c>
      <c r="D1077">
        <f>IF($A1077="","",IF(Sync!$AC1077="","",Sync!$AC1077))</f>
        <v/>
      </c>
      <c r="E1077">
        <f>IF($A1077="","",IF(Sync!$AD1077="","",Sync!$AD1077))</f>
        <v/>
      </c>
      <c r="F1077">
        <f>IF($A1077="","",IF(Sync!$AE1077="",0,Sync!$AE1077))</f>
        <v/>
      </c>
      <c r="G1077">
        <f>IF($A1077="","",IF(Sync!$AF1077="",0,Sync!$AF1077))</f>
        <v/>
      </c>
      <c r="H1077">
        <f>IF(OR($A1077="",ROUND($F1077+$G1077,2)=0),"",$F1077+$G1077)</f>
        <v/>
      </c>
      <c r="I1077">
        <f>IF($H1077="","",IF(ROUND($F1077,2)&gt;0,$A1077,IF($D1077="شخصی قاسم","شخصی قاسم",IF($D1077="هزینه","هزینه: "&amp;IF($E1077="","متفرقه",$E1077),IF($C1077="پاس چک","چک پرداختی",IF(OR($B1077="",COUNTIF(AcctCodesA,$B1077)=0),"متفرقه",$B1077))))))</f>
        <v/>
      </c>
      <c r="J1077">
        <f>IF($H1077="","",IF(ROUND($F1077,2)&gt;0,IF($D1077="شخصی قاسم","شخصی قاسم",IF($D1077="هزینه","هزینه: "&amp;IF($E1077="","متفرقه",$E1077),IF(OR($B1077="",COUNTIF(AcctCodesA,$B1077)=0),"متفرقه",$B1077))),$A1077))</f>
        <v/>
      </c>
      <c r="K1077">
        <f>IF($A1077="","",IF(AND($B1077&lt;&gt;"",COUNTIF(AcctCodesA,$B1077)=0),"کد طرف در INFO تعریف نشده",IF(AND($D1077="هزینه",$E1077=""),"هزینه بدون زیرگروه",IF(AND($C1077="پاس چک",OR(Sync!$AJ1077="",COUNTIF(IssueNosA,Sync!$AJ1077)=0)),"شماره چک پاس‌شده معتبر نیست",""))))</f>
        <v/>
      </c>
      <c r="V1077">
        <f>IF($K1077="","",IF(ISNUMBER(Sync!$AK1077),Sync!$AK1077,LEFT(Sync!$AK1077,4)&amp;MID(Sync!$AK1077,6,2)&amp;RIGHT(Sync!$AK1077,2))&amp;"|"&amp;"4"&amp;RIGHT("00000"&amp;1072,5))</f>
        <v/>
      </c>
      <c r="W1077">
        <f>IF($V1077="",0,COUNTIFS($V$6:$V$2005,"&lt;"&amp;$V1077)-COUNTIFS($V$6:$V$2005,"&lt;"&amp;$V1077,$K$6:$K$2005,"")+1)</f>
        <v/>
      </c>
    </row>
    <row r="1078">
      <c r="A1078">
        <f>IF(Sync!$Z1078="","",LEFT(UPPER(TRIM(Sync!$Z1078)),6))</f>
        <v/>
      </c>
      <c r="B1078">
        <f>IF($A1078="","",IF(Sync!$AA1078="","",Sync!$AA1078))</f>
        <v/>
      </c>
      <c r="C1078">
        <f>IF($A1078="","",IF(Sync!$AB1078="","",Sync!$AB1078))</f>
        <v/>
      </c>
      <c r="D1078">
        <f>IF($A1078="","",IF(Sync!$AC1078="","",Sync!$AC1078))</f>
        <v/>
      </c>
      <c r="E1078">
        <f>IF($A1078="","",IF(Sync!$AD1078="","",Sync!$AD1078))</f>
        <v/>
      </c>
      <c r="F1078">
        <f>IF($A1078="","",IF(Sync!$AE1078="",0,Sync!$AE1078))</f>
        <v/>
      </c>
      <c r="G1078">
        <f>IF($A1078="","",IF(Sync!$AF1078="",0,Sync!$AF1078))</f>
        <v/>
      </c>
      <c r="H1078">
        <f>IF(OR($A1078="",ROUND($F1078+$G1078,2)=0),"",$F1078+$G1078)</f>
        <v/>
      </c>
      <c r="I1078">
        <f>IF($H1078="","",IF(ROUND($F1078,2)&gt;0,$A1078,IF($D1078="شخصی قاسم","شخصی قاسم",IF($D1078="هزینه","هزینه: "&amp;IF($E1078="","متفرقه",$E1078),IF($C1078="پاس چک","چک پرداختی",IF(OR($B1078="",COUNTIF(AcctCodesA,$B1078)=0),"متفرقه",$B1078))))))</f>
        <v/>
      </c>
      <c r="J1078">
        <f>IF($H1078="","",IF(ROUND($F1078,2)&gt;0,IF($D1078="شخصی قاسم","شخصی قاسم",IF($D1078="هزینه","هزینه: "&amp;IF($E1078="","متفرقه",$E1078),IF(OR($B1078="",COUNTIF(AcctCodesA,$B1078)=0),"متفرقه",$B1078))),$A1078))</f>
        <v/>
      </c>
      <c r="K1078">
        <f>IF($A1078="","",IF(AND($B1078&lt;&gt;"",COUNTIF(AcctCodesA,$B1078)=0),"کد طرف در INFO تعریف نشده",IF(AND($D1078="هزینه",$E1078=""),"هزینه بدون زیرگروه",IF(AND($C1078="پاس چک",OR(Sync!$AJ1078="",COUNTIF(IssueNosA,Sync!$AJ1078)=0)),"شماره چک پاس‌شده معتبر نیست",""))))</f>
        <v/>
      </c>
      <c r="V1078">
        <f>IF($K1078="","",IF(ISNUMBER(Sync!$AK1078),Sync!$AK1078,LEFT(Sync!$AK1078,4)&amp;MID(Sync!$AK1078,6,2)&amp;RIGHT(Sync!$AK1078,2))&amp;"|"&amp;"4"&amp;RIGHT("00000"&amp;1073,5))</f>
        <v/>
      </c>
      <c r="W1078">
        <f>IF($V1078="",0,COUNTIFS($V$6:$V$2005,"&lt;"&amp;$V1078)-COUNTIFS($V$6:$V$2005,"&lt;"&amp;$V1078,$K$6:$K$2005,"")+1)</f>
        <v/>
      </c>
    </row>
    <row r="1079">
      <c r="A1079">
        <f>IF(Sync!$Z1079="","",LEFT(UPPER(TRIM(Sync!$Z1079)),6))</f>
        <v/>
      </c>
      <c r="B1079">
        <f>IF($A1079="","",IF(Sync!$AA1079="","",Sync!$AA1079))</f>
        <v/>
      </c>
      <c r="C1079">
        <f>IF($A1079="","",IF(Sync!$AB1079="","",Sync!$AB1079))</f>
        <v/>
      </c>
      <c r="D1079">
        <f>IF($A1079="","",IF(Sync!$AC1079="","",Sync!$AC1079))</f>
        <v/>
      </c>
      <c r="E1079">
        <f>IF($A1079="","",IF(Sync!$AD1079="","",Sync!$AD1079))</f>
        <v/>
      </c>
      <c r="F1079">
        <f>IF($A1079="","",IF(Sync!$AE1079="",0,Sync!$AE1079))</f>
        <v/>
      </c>
      <c r="G1079">
        <f>IF($A1079="","",IF(Sync!$AF1079="",0,Sync!$AF1079))</f>
        <v/>
      </c>
      <c r="H1079">
        <f>IF(OR($A1079="",ROUND($F1079+$G1079,2)=0),"",$F1079+$G1079)</f>
        <v/>
      </c>
      <c r="I1079">
        <f>IF($H1079="","",IF(ROUND($F1079,2)&gt;0,$A1079,IF($D1079="شخصی قاسم","شخصی قاسم",IF($D1079="هزینه","هزینه: "&amp;IF($E1079="","متفرقه",$E1079),IF($C1079="پاس چک","چک پرداختی",IF(OR($B1079="",COUNTIF(AcctCodesA,$B1079)=0),"متفرقه",$B1079))))))</f>
        <v/>
      </c>
      <c r="J1079">
        <f>IF($H1079="","",IF(ROUND($F1079,2)&gt;0,IF($D1079="شخصی قاسم","شخصی قاسم",IF($D1079="هزینه","هزینه: "&amp;IF($E1079="","متفرقه",$E1079),IF(OR($B1079="",COUNTIF(AcctCodesA,$B1079)=0),"متفرقه",$B1079))),$A1079))</f>
        <v/>
      </c>
      <c r="K1079">
        <f>IF($A1079="","",IF(AND($B1079&lt;&gt;"",COUNTIF(AcctCodesA,$B1079)=0),"کد طرف در INFO تعریف نشده",IF(AND($D1079="هزینه",$E1079=""),"هزینه بدون زیرگروه",IF(AND($C1079="پاس چک",OR(Sync!$AJ1079="",COUNTIF(IssueNosA,Sync!$AJ1079)=0)),"شماره چک پاس‌شده معتبر نیست",""))))</f>
        <v/>
      </c>
      <c r="V1079">
        <f>IF($K1079="","",IF(ISNUMBER(Sync!$AK1079),Sync!$AK1079,LEFT(Sync!$AK1079,4)&amp;MID(Sync!$AK1079,6,2)&amp;RIGHT(Sync!$AK1079,2))&amp;"|"&amp;"4"&amp;RIGHT("00000"&amp;1074,5))</f>
        <v/>
      </c>
      <c r="W1079">
        <f>IF($V1079="",0,COUNTIFS($V$6:$V$2005,"&lt;"&amp;$V1079)-COUNTIFS($V$6:$V$2005,"&lt;"&amp;$V1079,$K$6:$K$2005,"")+1)</f>
        <v/>
      </c>
    </row>
    <row r="1080">
      <c r="A1080">
        <f>IF(Sync!$Z1080="","",LEFT(UPPER(TRIM(Sync!$Z1080)),6))</f>
        <v/>
      </c>
      <c r="B1080">
        <f>IF($A1080="","",IF(Sync!$AA1080="","",Sync!$AA1080))</f>
        <v/>
      </c>
      <c r="C1080">
        <f>IF($A1080="","",IF(Sync!$AB1080="","",Sync!$AB1080))</f>
        <v/>
      </c>
      <c r="D1080">
        <f>IF($A1080="","",IF(Sync!$AC1080="","",Sync!$AC1080))</f>
        <v/>
      </c>
      <c r="E1080">
        <f>IF($A1080="","",IF(Sync!$AD1080="","",Sync!$AD1080))</f>
        <v/>
      </c>
      <c r="F1080">
        <f>IF($A1080="","",IF(Sync!$AE1080="",0,Sync!$AE1080))</f>
        <v/>
      </c>
      <c r="G1080">
        <f>IF($A1080="","",IF(Sync!$AF1080="",0,Sync!$AF1080))</f>
        <v/>
      </c>
      <c r="H1080">
        <f>IF(OR($A1080="",ROUND($F1080+$G1080,2)=0),"",$F1080+$G1080)</f>
        <v/>
      </c>
      <c r="I1080">
        <f>IF($H1080="","",IF(ROUND($F1080,2)&gt;0,$A1080,IF($D1080="شخصی قاسم","شخصی قاسم",IF($D1080="هزینه","هزینه: "&amp;IF($E1080="","متفرقه",$E1080),IF($C1080="پاس چک","چک پرداختی",IF(OR($B1080="",COUNTIF(AcctCodesA,$B1080)=0),"متفرقه",$B1080))))))</f>
        <v/>
      </c>
      <c r="J1080">
        <f>IF($H1080="","",IF(ROUND($F1080,2)&gt;0,IF($D1080="شخصی قاسم","شخصی قاسم",IF($D1080="هزینه","هزینه: "&amp;IF($E1080="","متفرقه",$E1080),IF(OR($B1080="",COUNTIF(AcctCodesA,$B1080)=0),"متفرقه",$B1080))),$A1080))</f>
        <v/>
      </c>
      <c r="K1080">
        <f>IF($A1080="","",IF(AND($B1080&lt;&gt;"",COUNTIF(AcctCodesA,$B1080)=0),"کد طرف در INFO تعریف نشده",IF(AND($D1080="هزینه",$E1080=""),"هزینه بدون زیرگروه",IF(AND($C1080="پاس چک",OR(Sync!$AJ1080="",COUNTIF(IssueNosA,Sync!$AJ1080)=0)),"شماره چک پاس‌شده معتبر نیست",""))))</f>
        <v/>
      </c>
      <c r="V1080">
        <f>IF($K1080="","",IF(ISNUMBER(Sync!$AK1080),Sync!$AK1080,LEFT(Sync!$AK1080,4)&amp;MID(Sync!$AK1080,6,2)&amp;RIGHT(Sync!$AK1080,2))&amp;"|"&amp;"4"&amp;RIGHT("00000"&amp;1075,5))</f>
        <v/>
      </c>
      <c r="W1080">
        <f>IF($V1080="",0,COUNTIFS($V$6:$V$2005,"&lt;"&amp;$V1080)-COUNTIFS($V$6:$V$2005,"&lt;"&amp;$V1080,$K$6:$K$2005,"")+1)</f>
        <v/>
      </c>
    </row>
    <row r="1081">
      <c r="A1081">
        <f>IF(Sync!$Z1081="","",LEFT(UPPER(TRIM(Sync!$Z1081)),6))</f>
        <v/>
      </c>
      <c r="B1081">
        <f>IF($A1081="","",IF(Sync!$AA1081="","",Sync!$AA1081))</f>
        <v/>
      </c>
      <c r="C1081">
        <f>IF($A1081="","",IF(Sync!$AB1081="","",Sync!$AB1081))</f>
        <v/>
      </c>
      <c r="D1081">
        <f>IF($A1081="","",IF(Sync!$AC1081="","",Sync!$AC1081))</f>
        <v/>
      </c>
      <c r="E1081">
        <f>IF($A1081="","",IF(Sync!$AD1081="","",Sync!$AD1081))</f>
        <v/>
      </c>
      <c r="F1081">
        <f>IF($A1081="","",IF(Sync!$AE1081="",0,Sync!$AE1081))</f>
        <v/>
      </c>
      <c r="G1081">
        <f>IF($A1081="","",IF(Sync!$AF1081="",0,Sync!$AF1081))</f>
        <v/>
      </c>
      <c r="H1081">
        <f>IF(OR($A1081="",ROUND($F1081+$G1081,2)=0),"",$F1081+$G1081)</f>
        <v/>
      </c>
      <c r="I1081">
        <f>IF($H1081="","",IF(ROUND($F1081,2)&gt;0,$A1081,IF($D1081="شخصی قاسم","شخصی قاسم",IF($D1081="هزینه","هزینه: "&amp;IF($E1081="","متفرقه",$E1081),IF($C1081="پاس چک","چک پرداختی",IF(OR($B1081="",COUNTIF(AcctCodesA,$B1081)=0),"متفرقه",$B1081))))))</f>
        <v/>
      </c>
      <c r="J1081">
        <f>IF($H1081="","",IF(ROUND($F1081,2)&gt;0,IF($D1081="شخصی قاسم","شخصی قاسم",IF($D1081="هزینه","هزینه: "&amp;IF($E1081="","متفرقه",$E1081),IF(OR($B1081="",COUNTIF(AcctCodesA,$B1081)=0),"متفرقه",$B1081))),$A1081))</f>
        <v/>
      </c>
      <c r="K1081">
        <f>IF($A1081="","",IF(AND($B1081&lt;&gt;"",COUNTIF(AcctCodesA,$B1081)=0),"کد طرف در INFO تعریف نشده",IF(AND($D1081="هزینه",$E1081=""),"هزینه بدون زیرگروه",IF(AND($C1081="پاس چک",OR(Sync!$AJ1081="",COUNTIF(IssueNosA,Sync!$AJ1081)=0)),"شماره چک پاس‌شده معتبر نیست",""))))</f>
        <v/>
      </c>
      <c r="V1081">
        <f>IF($K1081="","",IF(ISNUMBER(Sync!$AK1081),Sync!$AK1081,LEFT(Sync!$AK1081,4)&amp;MID(Sync!$AK1081,6,2)&amp;RIGHT(Sync!$AK1081,2))&amp;"|"&amp;"4"&amp;RIGHT("00000"&amp;1076,5))</f>
        <v/>
      </c>
      <c r="W1081">
        <f>IF($V1081="",0,COUNTIFS($V$6:$V$2005,"&lt;"&amp;$V1081)-COUNTIFS($V$6:$V$2005,"&lt;"&amp;$V1081,$K$6:$K$2005,"")+1)</f>
        <v/>
      </c>
    </row>
    <row r="1082">
      <c r="A1082">
        <f>IF(Sync!$Z1082="","",LEFT(UPPER(TRIM(Sync!$Z1082)),6))</f>
        <v/>
      </c>
      <c r="B1082">
        <f>IF($A1082="","",IF(Sync!$AA1082="","",Sync!$AA1082))</f>
        <v/>
      </c>
      <c r="C1082">
        <f>IF($A1082="","",IF(Sync!$AB1082="","",Sync!$AB1082))</f>
        <v/>
      </c>
      <c r="D1082">
        <f>IF($A1082="","",IF(Sync!$AC1082="","",Sync!$AC1082))</f>
        <v/>
      </c>
      <c r="E1082">
        <f>IF($A1082="","",IF(Sync!$AD1082="","",Sync!$AD1082))</f>
        <v/>
      </c>
      <c r="F1082">
        <f>IF($A1082="","",IF(Sync!$AE1082="",0,Sync!$AE1082))</f>
        <v/>
      </c>
      <c r="G1082">
        <f>IF($A1082="","",IF(Sync!$AF1082="",0,Sync!$AF1082))</f>
        <v/>
      </c>
      <c r="H1082">
        <f>IF(OR($A1082="",ROUND($F1082+$G1082,2)=0),"",$F1082+$G1082)</f>
        <v/>
      </c>
      <c r="I1082">
        <f>IF($H1082="","",IF(ROUND($F1082,2)&gt;0,$A1082,IF($D1082="شخصی قاسم","شخصی قاسم",IF($D1082="هزینه","هزینه: "&amp;IF($E1082="","متفرقه",$E1082),IF($C1082="پاس چک","چک پرداختی",IF(OR($B1082="",COUNTIF(AcctCodesA,$B1082)=0),"متفرقه",$B1082))))))</f>
        <v/>
      </c>
      <c r="J1082">
        <f>IF($H1082="","",IF(ROUND($F1082,2)&gt;0,IF($D1082="شخصی قاسم","شخصی قاسم",IF($D1082="هزینه","هزینه: "&amp;IF($E1082="","متفرقه",$E1082),IF(OR($B1082="",COUNTIF(AcctCodesA,$B1082)=0),"متفرقه",$B1082))),$A1082))</f>
        <v/>
      </c>
      <c r="K1082">
        <f>IF($A1082="","",IF(AND($B1082&lt;&gt;"",COUNTIF(AcctCodesA,$B1082)=0),"کد طرف در INFO تعریف نشده",IF(AND($D1082="هزینه",$E1082=""),"هزینه بدون زیرگروه",IF(AND($C1082="پاس چک",OR(Sync!$AJ1082="",COUNTIF(IssueNosA,Sync!$AJ1082)=0)),"شماره چک پاس‌شده معتبر نیست",""))))</f>
        <v/>
      </c>
      <c r="V1082">
        <f>IF($K1082="","",IF(ISNUMBER(Sync!$AK1082),Sync!$AK1082,LEFT(Sync!$AK1082,4)&amp;MID(Sync!$AK1082,6,2)&amp;RIGHT(Sync!$AK1082,2))&amp;"|"&amp;"4"&amp;RIGHT("00000"&amp;1077,5))</f>
        <v/>
      </c>
      <c r="W1082">
        <f>IF($V1082="",0,COUNTIFS($V$6:$V$2005,"&lt;"&amp;$V1082)-COUNTIFS($V$6:$V$2005,"&lt;"&amp;$V1082,$K$6:$K$2005,"")+1)</f>
        <v/>
      </c>
    </row>
    <row r="1083">
      <c r="A1083">
        <f>IF(Sync!$Z1083="","",LEFT(UPPER(TRIM(Sync!$Z1083)),6))</f>
        <v/>
      </c>
      <c r="B1083">
        <f>IF($A1083="","",IF(Sync!$AA1083="","",Sync!$AA1083))</f>
        <v/>
      </c>
      <c r="C1083">
        <f>IF($A1083="","",IF(Sync!$AB1083="","",Sync!$AB1083))</f>
        <v/>
      </c>
      <c r="D1083">
        <f>IF($A1083="","",IF(Sync!$AC1083="","",Sync!$AC1083))</f>
        <v/>
      </c>
      <c r="E1083">
        <f>IF($A1083="","",IF(Sync!$AD1083="","",Sync!$AD1083))</f>
        <v/>
      </c>
      <c r="F1083">
        <f>IF($A1083="","",IF(Sync!$AE1083="",0,Sync!$AE1083))</f>
        <v/>
      </c>
      <c r="G1083">
        <f>IF($A1083="","",IF(Sync!$AF1083="",0,Sync!$AF1083))</f>
        <v/>
      </c>
      <c r="H1083">
        <f>IF(OR($A1083="",ROUND($F1083+$G1083,2)=0),"",$F1083+$G1083)</f>
        <v/>
      </c>
      <c r="I1083">
        <f>IF($H1083="","",IF(ROUND($F1083,2)&gt;0,$A1083,IF($D1083="شخصی قاسم","شخصی قاسم",IF($D1083="هزینه","هزینه: "&amp;IF($E1083="","متفرقه",$E1083),IF($C1083="پاس چک","چک پرداختی",IF(OR($B1083="",COUNTIF(AcctCodesA,$B1083)=0),"متفرقه",$B1083))))))</f>
        <v/>
      </c>
      <c r="J1083">
        <f>IF($H1083="","",IF(ROUND($F1083,2)&gt;0,IF($D1083="شخصی قاسم","شخصی قاسم",IF($D1083="هزینه","هزینه: "&amp;IF($E1083="","متفرقه",$E1083),IF(OR($B1083="",COUNTIF(AcctCodesA,$B1083)=0),"متفرقه",$B1083))),$A1083))</f>
        <v/>
      </c>
      <c r="K1083">
        <f>IF($A1083="","",IF(AND($B1083&lt;&gt;"",COUNTIF(AcctCodesA,$B1083)=0),"کد طرف در INFO تعریف نشده",IF(AND($D1083="هزینه",$E1083=""),"هزینه بدون زیرگروه",IF(AND($C1083="پاس چک",OR(Sync!$AJ1083="",COUNTIF(IssueNosA,Sync!$AJ1083)=0)),"شماره چک پاس‌شده معتبر نیست",""))))</f>
        <v/>
      </c>
      <c r="V1083">
        <f>IF($K1083="","",IF(ISNUMBER(Sync!$AK1083),Sync!$AK1083,LEFT(Sync!$AK1083,4)&amp;MID(Sync!$AK1083,6,2)&amp;RIGHT(Sync!$AK1083,2))&amp;"|"&amp;"4"&amp;RIGHT("00000"&amp;1078,5))</f>
        <v/>
      </c>
      <c r="W1083">
        <f>IF($V1083="",0,COUNTIFS($V$6:$V$2005,"&lt;"&amp;$V1083)-COUNTIFS($V$6:$V$2005,"&lt;"&amp;$V1083,$K$6:$K$2005,"")+1)</f>
        <v/>
      </c>
    </row>
    <row r="1084">
      <c r="A1084">
        <f>IF(Sync!$Z1084="","",LEFT(UPPER(TRIM(Sync!$Z1084)),6))</f>
        <v/>
      </c>
      <c r="B1084">
        <f>IF($A1084="","",IF(Sync!$AA1084="","",Sync!$AA1084))</f>
        <v/>
      </c>
      <c r="C1084">
        <f>IF($A1084="","",IF(Sync!$AB1084="","",Sync!$AB1084))</f>
        <v/>
      </c>
      <c r="D1084">
        <f>IF($A1084="","",IF(Sync!$AC1084="","",Sync!$AC1084))</f>
        <v/>
      </c>
      <c r="E1084">
        <f>IF($A1084="","",IF(Sync!$AD1084="","",Sync!$AD1084))</f>
        <v/>
      </c>
      <c r="F1084">
        <f>IF($A1084="","",IF(Sync!$AE1084="",0,Sync!$AE1084))</f>
        <v/>
      </c>
      <c r="G1084">
        <f>IF($A1084="","",IF(Sync!$AF1084="",0,Sync!$AF1084))</f>
        <v/>
      </c>
      <c r="H1084">
        <f>IF(OR($A1084="",ROUND($F1084+$G1084,2)=0),"",$F1084+$G1084)</f>
        <v/>
      </c>
      <c r="I1084">
        <f>IF($H1084="","",IF(ROUND($F1084,2)&gt;0,$A1084,IF($D1084="شخصی قاسم","شخصی قاسم",IF($D1084="هزینه","هزینه: "&amp;IF($E1084="","متفرقه",$E1084),IF($C1084="پاس چک","چک پرداختی",IF(OR($B1084="",COUNTIF(AcctCodesA,$B1084)=0),"متفرقه",$B1084))))))</f>
        <v/>
      </c>
      <c r="J1084">
        <f>IF($H1084="","",IF(ROUND($F1084,2)&gt;0,IF($D1084="شخصی قاسم","شخصی قاسم",IF($D1084="هزینه","هزینه: "&amp;IF($E1084="","متفرقه",$E1084),IF(OR($B1084="",COUNTIF(AcctCodesA,$B1084)=0),"متفرقه",$B1084))),$A1084))</f>
        <v/>
      </c>
      <c r="K1084">
        <f>IF($A1084="","",IF(AND($B1084&lt;&gt;"",COUNTIF(AcctCodesA,$B1084)=0),"کد طرف در INFO تعریف نشده",IF(AND($D1084="هزینه",$E1084=""),"هزینه بدون زیرگروه",IF(AND($C1084="پاس چک",OR(Sync!$AJ1084="",COUNTIF(IssueNosA,Sync!$AJ1084)=0)),"شماره چک پاس‌شده معتبر نیست",""))))</f>
        <v/>
      </c>
      <c r="V1084">
        <f>IF($K1084="","",IF(ISNUMBER(Sync!$AK1084),Sync!$AK1084,LEFT(Sync!$AK1084,4)&amp;MID(Sync!$AK1084,6,2)&amp;RIGHT(Sync!$AK1084,2))&amp;"|"&amp;"4"&amp;RIGHT("00000"&amp;1079,5))</f>
        <v/>
      </c>
      <c r="W1084">
        <f>IF($V1084="",0,COUNTIFS($V$6:$V$2005,"&lt;"&amp;$V1084)-COUNTIFS($V$6:$V$2005,"&lt;"&amp;$V1084,$K$6:$K$2005,"")+1)</f>
        <v/>
      </c>
    </row>
    <row r="1085">
      <c r="A1085">
        <f>IF(Sync!$Z1085="","",LEFT(UPPER(TRIM(Sync!$Z1085)),6))</f>
        <v/>
      </c>
      <c r="B1085">
        <f>IF($A1085="","",IF(Sync!$AA1085="","",Sync!$AA1085))</f>
        <v/>
      </c>
      <c r="C1085">
        <f>IF($A1085="","",IF(Sync!$AB1085="","",Sync!$AB1085))</f>
        <v/>
      </c>
      <c r="D1085">
        <f>IF($A1085="","",IF(Sync!$AC1085="","",Sync!$AC1085))</f>
        <v/>
      </c>
      <c r="E1085">
        <f>IF($A1085="","",IF(Sync!$AD1085="","",Sync!$AD1085))</f>
        <v/>
      </c>
      <c r="F1085">
        <f>IF($A1085="","",IF(Sync!$AE1085="",0,Sync!$AE1085))</f>
        <v/>
      </c>
      <c r="G1085">
        <f>IF($A1085="","",IF(Sync!$AF1085="",0,Sync!$AF1085))</f>
        <v/>
      </c>
      <c r="H1085">
        <f>IF(OR($A1085="",ROUND($F1085+$G1085,2)=0),"",$F1085+$G1085)</f>
        <v/>
      </c>
      <c r="I1085">
        <f>IF($H1085="","",IF(ROUND($F1085,2)&gt;0,$A1085,IF($D1085="شخصی قاسم","شخصی قاسم",IF($D1085="هزینه","هزینه: "&amp;IF($E1085="","متفرقه",$E1085),IF($C1085="پاس چک","چک پرداختی",IF(OR($B1085="",COUNTIF(AcctCodesA,$B1085)=0),"متفرقه",$B1085))))))</f>
        <v/>
      </c>
      <c r="J1085">
        <f>IF($H1085="","",IF(ROUND($F1085,2)&gt;0,IF($D1085="شخصی قاسم","شخصی قاسم",IF($D1085="هزینه","هزینه: "&amp;IF($E1085="","متفرقه",$E1085),IF(OR($B1085="",COUNTIF(AcctCodesA,$B1085)=0),"متفرقه",$B1085))),$A1085))</f>
        <v/>
      </c>
      <c r="K1085">
        <f>IF($A1085="","",IF(AND($B1085&lt;&gt;"",COUNTIF(AcctCodesA,$B1085)=0),"کد طرف در INFO تعریف نشده",IF(AND($D1085="هزینه",$E1085=""),"هزینه بدون زیرگروه",IF(AND($C1085="پاس چک",OR(Sync!$AJ1085="",COUNTIF(IssueNosA,Sync!$AJ1085)=0)),"شماره چک پاس‌شده معتبر نیست",""))))</f>
        <v/>
      </c>
      <c r="V1085">
        <f>IF($K1085="","",IF(ISNUMBER(Sync!$AK1085),Sync!$AK1085,LEFT(Sync!$AK1085,4)&amp;MID(Sync!$AK1085,6,2)&amp;RIGHT(Sync!$AK1085,2))&amp;"|"&amp;"4"&amp;RIGHT("00000"&amp;1080,5))</f>
        <v/>
      </c>
      <c r="W1085">
        <f>IF($V1085="",0,COUNTIFS($V$6:$V$2005,"&lt;"&amp;$V1085)-COUNTIFS($V$6:$V$2005,"&lt;"&amp;$V1085,$K$6:$K$2005,"")+1)</f>
        <v/>
      </c>
    </row>
    <row r="1086">
      <c r="A1086">
        <f>IF(Sync!$Z1086="","",LEFT(UPPER(TRIM(Sync!$Z1086)),6))</f>
        <v/>
      </c>
      <c r="B1086">
        <f>IF($A1086="","",IF(Sync!$AA1086="","",Sync!$AA1086))</f>
        <v/>
      </c>
      <c r="C1086">
        <f>IF($A1086="","",IF(Sync!$AB1086="","",Sync!$AB1086))</f>
        <v/>
      </c>
      <c r="D1086">
        <f>IF($A1086="","",IF(Sync!$AC1086="","",Sync!$AC1086))</f>
        <v/>
      </c>
      <c r="E1086">
        <f>IF($A1086="","",IF(Sync!$AD1086="","",Sync!$AD1086))</f>
        <v/>
      </c>
      <c r="F1086">
        <f>IF($A1086="","",IF(Sync!$AE1086="",0,Sync!$AE1086))</f>
        <v/>
      </c>
      <c r="G1086">
        <f>IF($A1086="","",IF(Sync!$AF1086="",0,Sync!$AF1086))</f>
        <v/>
      </c>
      <c r="H1086">
        <f>IF(OR($A1086="",ROUND($F1086+$G1086,2)=0),"",$F1086+$G1086)</f>
        <v/>
      </c>
      <c r="I1086">
        <f>IF($H1086="","",IF(ROUND($F1086,2)&gt;0,$A1086,IF($D1086="شخصی قاسم","شخصی قاسم",IF($D1086="هزینه","هزینه: "&amp;IF($E1086="","متفرقه",$E1086),IF($C1086="پاس چک","چک پرداختی",IF(OR($B1086="",COUNTIF(AcctCodesA,$B1086)=0),"متفرقه",$B1086))))))</f>
        <v/>
      </c>
      <c r="J1086">
        <f>IF($H1086="","",IF(ROUND($F1086,2)&gt;0,IF($D1086="شخصی قاسم","شخصی قاسم",IF($D1086="هزینه","هزینه: "&amp;IF($E1086="","متفرقه",$E1086),IF(OR($B1086="",COUNTIF(AcctCodesA,$B1086)=0),"متفرقه",$B1086))),$A1086))</f>
        <v/>
      </c>
      <c r="K1086">
        <f>IF($A1086="","",IF(AND($B1086&lt;&gt;"",COUNTIF(AcctCodesA,$B1086)=0),"کد طرف در INFO تعریف نشده",IF(AND($D1086="هزینه",$E1086=""),"هزینه بدون زیرگروه",IF(AND($C1086="پاس چک",OR(Sync!$AJ1086="",COUNTIF(IssueNosA,Sync!$AJ1086)=0)),"شماره چک پاس‌شده معتبر نیست",""))))</f>
        <v/>
      </c>
      <c r="V1086">
        <f>IF($K1086="","",IF(ISNUMBER(Sync!$AK1086),Sync!$AK1086,LEFT(Sync!$AK1086,4)&amp;MID(Sync!$AK1086,6,2)&amp;RIGHT(Sync!$AK1086,2))&amp;"|"&amp;"4"&amp;RIGHT("00000"&amp;1081,5))</f>
        <v/>
      </c>
      <c r="W1086">
        <f>IF($V1086="",0,COUNTIFS($V$6:$V$2005,"&lt;"&amp;$V1086)-COUNTIFS($V$6:$V$2005,"&lt;"&amp;$V1086,$K$6:$K$2005,"")+1)</f>
        <v/>
      </c>
    </row>
    <row r="1087">
      <c r="A1087">
        <f>IF(Sync!$Z1087="","",LEFT(UPPER(TRIM(Sync!$Z1087)),6))</f>
        <v/>
      </c>
      <c r="B1087">
        <f>IF($A1087="","",IF(Sync!$AA1087="","",Sync!$AA1087))</f>
        <v/>
      </c>
      <c r="C1087">
        <f>IF($A1087="","",IF(Sync!$AB1087="","",Sync!$AB1087))</f>
        <v/>
      </c>
      <c r="D1087">
        <f>IF($A1087="","",IF(Sync!$AC1087="","",Sync!$AC1087))</f>
        <v/>
      </c>
      <c r="E1087">
        <f>IF($A1087="","",IF(Sync!$AD1087="","",Sync!$AD1087))</f>
        <v/>
      </c>
      <c r="F1087">
        <f>IF($A1087="","",IF(Sync!$AE1087="",0,Sync!$AE1087))</f>
        <v/>
      </c>
      <c r="G1087">
        <f>IF($A1087="","",IF(Sync!$AF1087="",0,Sync!$AF1087))</f>
        <v/>
      </c>
      <c r="H1087">
        <f>IF(OR($A1087="",ROUND($F1087+$G1087,2)=0),"",$F1087+$G1087)</f>
        <v/>
      </c>
      <c r="I1087">
        <f>IF($H1087="","",IF(ROUND($F1087,2)&gt;0,$A1087,IF($D1087="شخصی قاسم","شخصی قاسم",IF($D1087="هزینه","هزینه: "&amp;IF($E1087="","متفرقه",$E1087),IF($C1087="پاس چک","چک پرداختی",IF(OR($B1087="",COUNTIF(AcctCodesA,$B1087)=0),"متفرقه",$B1087))))))</f>
        <v/>
      </c>
      <c r="J1087">
        <f>IF($H1087="","",IF(ROUND($F1087,2)&gt;0,IF($D1087="شخصی قاسم","شخصی قاسم",IF($D1087="هزینه","هزینه: "&amp;IF($E1087="","متفرقه",$E1087),IF(OR($B1087="",COUNTIF(AcctCodesA,$B1087)=0),"متفرقه",$B1087))),$A1087))</f>
        <v/>
      </c>
      <c r="K1087">
        <f>IF($A1087="","",IF(AND($B1087&lt;&gt;"",COUNTIF(AcctCodesA,$B1087)=0),"کد طرف در INFO تعریف نشده",IF(AND($D1087="هزینه",$E1087=""),"هزینه بدون زیرگروه",IF(AND($C1087="پاس چک",OR(Sync!$AJ1087="",COUNTIF(IssueNosA,Sync!$AJ1087)=0)),"شماره چک پاس‌شده معتبر نیست",""))))</f>
        <v/>
      </c>
      <c r="V1087">
        <f>IF($K1087="","",IF(ISNUMBER(Sync!$AK1087),Sync!$AK1087,LEFT(Sync!$AK1087,4)&amp;MID(Sync!$AK1087,6,2)&amp;RIGHT(Sync!$AK1087,2))&amp;"|"&amp;"4"&amp;RIGHT("00000"&amp;1082,5))</f>
        <v/>
      </c>
      <c r="W1087">
        <f>IF($V1087="",0,COUNTIFS($V$6:$V$2005,"&lt;"&amp;$V1087)-COUNTIFS($V$6:$V$2005,"&lt;"&amp;$V1087,$K$6:$K$2005,"")+1)</f>
        <v/>
      </c>
    </row>
    <row r="1088">
      <c r="A1088">
        <f>IF(Sync!$Z1088="","",LEFT(UPPER(TRIM(Sync!$Z1088)),6))</f>
        <v/>
      </c>
      <c r="B1088">
        <f>IF($A1088="","",IF(Sync!$AA1088="","",Sync!$AA1088))</f>
        <v/>
      </c>
      <c r="C1088">
        <f>IF($A1088="","",IF(Sync!$AB1088="","",Sync!$AB1088))</f>
        <v/>
      </c>
      <c r="D1088">
        <f>IF($A1088="","",IF(Sync!$AC1088="","",Sync!$AC1088))</f>
        <v/>
      </c>
      <c r="E1088">
        <f>IF($A1088="","",IF(Sync!$AD1088="","",Sync!$AD1088))</f>
        <v/>
      </c>
      <c r="F1088">
        <f>IF($A1088="","",IF(Sync!$AE1088="",0,Sync!$AE1088))</f>
        <v/>
      </c>
      <c r="G1088">
        <f>IF($A1088="","",IF(Sync!$AF1088="",0,Sync!$AF1088))</f>
        <v/>
      </c>
      <c r="H1088">
        <f>IF(OR($A1088="",ROUND($F1088+$G1088,2)=0),"",$F1088+$G1088)</f>
        <v/>
      </c>
      <c r="I1088">
        <f>IF($H1088="","",IF(ROUND($F1088,2)&gt;0,$A1088,IF($D1088="شخصی قاسم","شخصی قاسم",IF($D1088="هزینه","هزینه: "&amp;IF($E1088="","متفرقه",$E1088),IF($C1088="پاس چک","چک پرداختی",IF(OR($B1088="",COUNTIF(AcctCodesA,$B1088)=0),"متفرقه",$B1088))))))</f>
        <v/>
      </c>
      <c r="J1088">
        <f>IF($H1088="","",IF(ROUND($F1088,2)&gt;0,IF($D1088="شخصی قاسم","شخصی قاسم",IF($D1088="هزینه","هزینه: "&amp;IF($E1088="","متفرقه",$E1088),IF(OR($B1088="",COUNTIF(AcctCodesA,$B1088)=0),"متفرقه",$B1088))),$A1088))</f>
        <v/>
      </c>
      <c r="K1088">
        <f>IF($A1088="","",IF(AND($B1088&lt;&gt;"",COUNTIF(AcctCodesA,$B1088)=0),"کد طرف در INFO تعریف نشده",IF(AND($D1088="هزینه",$E1088=""),"هزینه بدون زیرگروه",IF(AND($C1088="پاس چک",OR(Sync!$AJ1088="",COUNTIF(IssueNosA,Sync!$AJ1088)=0)),"شماره چک پاس‌شده معتبر نیست",""))))</f>
        <v/>
      </c>
      <c r="V1088">
        <f>IF($K1088="","",IF(ISNUMBER(Sync!$AK1088),Sync!$AK1088,LEFT(Sync!$AK1088,4)&amp;MID(Sync!$AK1088,6,2)&amp;RIGHT(Sync!$AK1088,2))&amp;"|"&amp;"4"&amp;RIGHT("00000"&amp;1083,5))</f>
        <v/>
      </c>
      <c r="W1088">
        <f>IF($V1088="",0,COUNTIFS($V$6:$V$2005,"&lt;"&amp;$V1088)-COUNTIFS($V$6:$V$2005,"&lt;"&amp;$V1088,$K$6:$K$2005,"")+1)</f>
        <v/>
      </c>
    </row>
    <row r="1089">
      <c r="A1089">
        <f>IF(Sync!$Z1089="","",LEFT(UPPER(TRIM(Sync!$Z1089)),6))</f>
        <v/>
      </c>
      <c r="B1089">
        <f>IF($A1089="","",IF(Sync!$AA1089="","",Sync!$AA1089))</f>
        <v/>
      </c>
      <c r="C1089">
        <f>IF($A1089="","",IF(Sync!$AB1089="","",Sync!$AB1089))</f>
        <v/>
      </c>
      <c r="D1089">
        <f>IF($A1089="","",IF(Sync!$AC1089="","",Sync!$AC1089))</f>
        <v/>
      </c>
      <c r="E1089">
        <f>IF($A1089="","",IF(Sync!$AD1089="","",Sync!$AD1089))</f>
        <v/>
      </c>
      <c r="F1089">
        <f>IF($A1089="","",IF(Sync!$AE1089="",0,Sync!$AE1089))</f>
        <v/>
      </c>
      <c r="G1089">
        <f>IF($A1089="","",IF(Sync!$AF1089="",0,Sync!$AF1089))</f>
        <v/>
      </c>
      <c r="H1089">
        <f>IF(OR($A1089="",ROUND($F1089+$G1089,2)=0),"",$F1089+$G1089)</f>
        <v/>
      </c>
      <c r="I1089">
        <f>IF($H1089="","",IF(ROUND($F1089,2)&gt;0,$A1089,IF($D1089="شخصی قاسم","شخصی قاسم",IF($D1089="هزینه","هزینه: "&amp;IF($E1089="","متفرقه",$E1089),IF($C1089="پاس چک","چک پرداختی",IF(OR($B1089="",COUNTIF(AcctCodesA,$B1089)=0),"متفرقه",$B1089))))))</f>
        <v/>
      </c>
      <c r="J1089">
        <f>IF($H1089="","",IF(ROUND($F1089,2)&gt;0,IF($D1089="شخصی قاسم","شخصی قاسم",IF($D1089="هزینه","هزینه: "&amp;IF($E1089="","متفرقه",$E1089),IF(OR($B1089="",COUNTIF(AcctCodesA,$B1089)=0),"متفرقه",$B1089))),$A1089))</f>
        <v/>
      </c>
      <c r="K1089">
        <f>IF($A1089="","",IF(AND($B1089&lt;&gt;"",COUNTIF(AcctCodesA,$B1089)=0),"کد طرف در INFO تعریف نشده",IF(AND($D1089="هزینه",$E1089=""),"هزینه بدون زیرگروه",IF(AND($C1089="پاس چک",OR(Sync!$AJ1089="",COUNTIF(IssueNosA,Sync!$AJ1089)=0)),"شماره چک پاس‌شده معتبر نیست",""))))</f>
        <v/>
      </c>
      <c r="V1089">
        <f>IF($K1089="","",IF(ISNUMBER(Sync!$AK1089),Sync!$AK1089,LEFT(Sync!$AK1089,4)&amp;MID(Sync!$AK1089,6,2)&amp;RIGHT(Sync!$AK1089,2))&amp;"|"&amp;"4"&amp;RIGHT("00000"&amp;1084,5))</f>
        <v/>
      </c>
      <c r="W1089">
        <f>IF($V1089="",0,COUNTIFS($V$6:$V$2005,"&lt;"&amp;$V1089)-COUNTIFS($V$6:$V$2005,"&lt;"&amp;$V1089,$K$6:$K$2005,"")+1)</f>
        <v/>
      </c>
    </row>
    <row r="1090">
      <c r="A1090">
        <f>IF(Sync!$Z1090="","",LEFT(UPPER(TRIM(Sync!$Z1090)),6))</f>
        <v/>
      </c>
      <c r="B1090">
        <f>IF($A1090="","",IF(Sync!$AA1090="","",Sync!$AA1090))</f>
        <v/>
      </c>
      <c r="C1090">
        <f>IF($A1090="","",IF(Sync!$AB1090="","",Sync!$AB1090))</f>
        <v/>
      </c>
      <c r="D1090">
        <f>IF($A1090="","",IF(Sync!$AC1090="","",Sync!$AC1090))</f>
        <v/>
      </c>
      <c r="E1090">
        <f>IF($A1090="","",IF(Sync!$AD1090="","",Sync!$AD1090))</f>
        <v/>
      </c>
      <c r="F1090">
        <f>IF($A1090="","",IF(Sync!$AE1090="",0,Sync!$AE1090))</f>
        <v/>
      </c>
      <c r="G1090">
        <f>IF($A1090="","",IF(Sync!$AF1090="",0,Sync!$AF1090))</f>
        <v/>
      </c>
      <c r="H1090">
        <f>IF(OR($A1090="",ROUND($F1090+$G1090,2)=0),"",$F1090+$G1090)</f>
        <v/>
      </c>
      <c r="I1090">
        <f>IF($H1090="","",IF(ROUND($F1090,2)&gt;0,$A1090,IF($D1090="شخصی قاسم","شخصی قاسم",IF($D1090="هزینه","هزینه: "&amp;IF($E1090="","متفرقه",$E1090),IF($C1090="پاس چک","چک پرداختی",IF(OR($B1090="",COUNTIF(AcctCodesA,$B1090)=0),"متفرقه",$B1090))))))</f>
        <v/>
      </c>
      <c r="J1090">
        <f>IF($H1090="","",IF(ROUND($F1090,2)&gt;0,IF($D1090="شخصی قاسم","شخصی قاسم",IF($D1090="هزینه","هزینه: "&amp;IF($E1090="","متفرقه",$E1090),IF(OR($B1090="",COUNTIF(AcctCodesA,$B1090)=0),"متفرقه",$B1090))),$A1090))</f>
        <v/>
      </c>
      <c r="K1090">
        <f>IF($A1090="","",IF(AND($B1090&lt;&gt;"",COUNTIF(AcctCodesA,$B1090)=0),"کد طرف در INFO تعریف نشده",IF(AND($D1090="هزینه",$E1090=""),"هزینه بدون زیرگروه",IF(AND($C1090="پاس چک",OR(Sync!$AJ1090="",COUNTIF(IssueNosA,Sync!$AJ1090)=0)),"شماره چک پاس‌شده معتبر نیست",""))))</f>
        <v/>
      </c>
      <c r="V1090">
        <f>IF($K1090="","",IF(ISNUMBER(Sync!$AK1090),Sync!$AK1090,LEFT(Sync!$AK1090,4)&amp;MID(Sync!$AK1090,6,2)&amp;RIGHT(Sync!$AK1090,2))&amp;"|"&amp;"4"&amp;RIGHT("00000"&amp;1085,5))</f>
        <v/>
      </c>
      <c r="W1090">
        <f>IF($V1090="",0,COUNTIFS($V$6:$V$2005,"&lt;"&amp;$V1090)-COUNTIFS($V$6:$V$2005,"&lt;"&amp;$V1090,$K$6:$K$2005,"")+1)</f>
        <v/>
      </c>
    </row>
    <row r="1091">
      <c r="A1091">
        <f>IF(Sync!$Z1091="","",LEFT(UPPER(TRIM(Sync!$Z1091)),6))</f>
        <v/>
      </c>
      <c r="B1091">
        <f>IF($A1091="","",IF(Sync!$AA1091="","",Sync!$AA1091))</f>
        <v/>
      </c>
      <c r="C1091">
        <f>IF($A1091="","",IF(Sync!$AB1091="","",Sync!$AB1091))</f>
        <v/>
      </c>
      <c r="D1091">
        <f>IF($A1091="","",IF(Sync!$AC1091="","",Sync!$AC1091))</f>
        <v/>
      </c>
      <c r="E1091">
        <f>IF($A1091="","",IF(Sync!$AD1091="","",Sync!$AD1091))</f>
        <v/>
      </c>
      <c r="F1091">
        <f>IF($A1091="","",IF(Sync!$AE1091="",0,Sync!$AE1091))</f>
        <v/>
      </c>
      <c r="G1091">
        <f>IF($A1091="","",IF(Sync!$AF1091="",0,Sync!$AF1091))</f>
        <v/>
      </c>
      <c r="H1091">
        <f>IF(OR($A1091="",ROUND($F1091+$G1091,2)=0),"",$F1091+$G1091)</f>
        <v/>
      </c>
      <c r="I1091">
        <f>IF($H1091="","",IF(ROUND($F1091,2)&gt;0,$A1091,IF($D1091="شخصی قاسم","شخصی قاسم",IF($D1091="هزینه","هزینه: "&amp;IF($E1091="","متفرقه",$E1091),IF($C1091="پاس چک","چک پرداختی",IF(OR($B1091="",COUNTIF(AcctCodesA,$B1091)=0),"متفرقه",$B1091))))))</f>
        <v/>
      </c>
      <c r="J1091">
        <f>IF($H1091="","",IF(ROUND($F1091,2)&gt;0,IF($D1091="شخصی قاسم","شخصی قاسم",IF($D1091="هزینه","هزینه: "&amp;IF($E1091="","متفرقه",$E1091),IF(OR($B1091="",COUNTIF(AcctCodesA,$B1091)=0),"متفرقه",$B1091))),$A1091))</f>
        <v/>
      </c>
      <c r="K1091">
        <f>IF($A1091="","",IF(AND($B1091&lt;&gt;"",COUNTIF(AcctCodesA,$B1091)=0),"کد طرف در INFO تعریف نشده",IF(AND($D1091="هزینه",$E1091=""),"هزینه بدون زیرگروه",IF(AND($C1091="پاس چک",OR(Sync!$AJ1091="",COUNTIF(IssueNosA,Sync!$AJ1091)=0)),"شماره چک پاس‌شده معتبر نیست",""))))</f>
        <v/>
      </c>
      <c r="V1091">
        <f>IF($K1091="","",IF(ISNUMBER(Sync!$AK1091),Sync!$AK1091,LEFT(Sync!$AK1091,4)&amp;MID(Sync!$AK1091,6,2)&amp;RIGHT(Sync!$AK1091,2))&amp;"|"&amp;"4"&amp;RIGHT("00000"&amp;1086,5))</f>
        <v/>
      </c>
      <c r="W1091">
        <f>IF($V1091="",0,COUNTIFS($V$6:$V$2005,"&lt;"&amp;$V1091)-COUNTIFS($V$6:$V$2005,"&lt;"&amp;$V1091,$K$6:$K$2005,"")+1)</f>
        <v/>
      </c>
    </row>
    <row r="1092">
      <c r="A1092">
        <f>IF(Sync!$Z1092="","",LEFT(UPPER(TRIM(Sync!$Z1092)),6))</f>
        <v/>
      </c>
      <c r="B1092">
        <f>IF($A1092="","",IF(Sync!$AA1092="","",Sync!$AA1092))</f>
        <v/>
      </c>
      <c r="C1092">
        <f>IF($A1092="","",IF(Sync!$AB1092="","",Sync!$AB1092))</f>
        <v/>
      </c>
      <c r="D1092">
        <f>IF($A1092="","",IF(Sync!$AC1092="","",Sync!$AC1092))</f>
        <v/>
      </c>
      <c r="E1092">
        <f>IF($A1092="","",IF(Sync!$AD1092="","",Sync!$AD1092))</f>
        <v/>
      </c>
      <c r="F1092">
        <f>IF($A1092="","",IF(Sync!$AE1092="",0,Sync!$AE1092))</f>
        <v/>
      </c>
      <c r="G1092">
        <f>IF($A1092="","",IF(Sync!$AF1092="",0,Sync!$AF1092))</f>
        <v/>
      </c>
      <c r="H1092">
        <f>IF(OR($A1092="",ROUND($F1092+$G1092,2)=0),"",$F1092+$G1092)</f>
        <v/>
      </c>
      <c r="I1092">
        <f>IF($H1092="","",IF(ROUND($F1092,2)&gt;0,$A1092,IF($D1092="شخصی قاسم","شخصی قاسم",IF($D1092="هزینه","هزینه: "&amp;IF($E1092="","متفرقه",$E1092),IF($C1092="پاس چک","چک پرداختی",IF(OR($B1092="",COUNTIF(AcctCodesA,$B1092)=0),"متفرقه",$B1092))))))</f>
        <v/>
      </c>
      <c r="J1092">
        <f>IF($H1092="","",IF(ROUND($F1092,2)&gt;0,IF($D1092="شخصی قاسم","شخصی قاسم",IF($D1092="هزینه","هزینه: "&amp;IF($E1092="","متفرقه",$E1092),IF(OR($B1092="",COUNTIF(AcctCodesA,$B1092)=0),"متفرقه",$B1092))),$A1092))</f>
        <v/>
      </c>
      <c r="K1092">
        <f>IF($A1092="","",IF(AND($B1092&lt;&gt;"",COUNTIF(AcctCodesA,$B1092)=0),"کد طرف در INFO تعریف نشده",IF(AND($D1092="هزینه",$E1092=""),"هزینه بدون زیرگروه",IF(AND($C1092="پاس چک",OR(Sync!$AJ1092="",COUNTIF(IssueNosA,Sync!$AJ1092)=0)),"شماره چک پاس‌شده معتبر نیست",""))))</f>
        <v/>
      </c>
      <c r="V1092">
        <f>IF($K1092="","",IF(ISNUMBER(Sync!$AK1092),Sync!$AK1092,LEFT(Sync!$AK1092,4)&amp;MID(Sync!$AK1092,6,2)&amp;RIGHT(Sync!$AK1092,2))&amp;"|"&amp;"4"&amp;RIGHT("00000"&amp;1087,5))</f>
        <v/>
      </c>
      <c r="W1092">
        <f>IF($V1092="",0,COUNTIFS($V$6:$V$2005,"&lt;"&amp;$V1092)-COUNTIFS($V$6:$V$2005,"&lt;"&amp;$V1092,$K$6:$K$2005,"")+1)</f>
        <v/>
      </c>
    </row>
    <row r="1093">
      <c r="A1093">
        <f>IF(Sync!$Z1093="","",LEFT(UPPER(TRIM(Sync!$Z1093)),6))</f>
        <v/>
      </c>
      <c r="B1093">
        <f>IF($A1093="","",IF(Sync!$AA1093="","",Sync!$AA1093))</f>
        <v/>
      </c>
      <c r="C1093">
        <f>IF($A1093="","",IF(Sync!$AB1093="","",Sync!$AB1093))</f>
        <v/>
      </c>
      <c r="D1093">
        <f>IF($A1093="","",IF(Sync!$AC1093="","",Sync!$AC1093))</f>
        <v/>
      </c>
      <c r="E1093">
        <f>IF($A1093="","",IF(Sync!$AD1093="","",Sync!$AD1093))</f>
        <v/>
      </c>
      <c r="F1093">
        <f>IF($A1093="","",IF(Sync!$AE1093="",0,Sync!$AE1093))</f>
        <v/>
      </c>
      <c r="G1093">
        <f>IF($A1093="","",IF(Sync!$AF1093="",0,Sync!$AF1093))</f>
        <v/>
      </c>
      <c r="H1093">
        <f>IF(OR($A1093="",ROUND($F1093+$G1093,2)=0),"",$F1093+$G1093)</f>
        <v/>
      </c>
      <c r="I1093">
        <f>IF($H1093="","",IF(ROUND($F1093,2)&gt;0,$A1093,IF($D1093="شخصی قاسم","شخصی قاسم",IF($D1093="هزینه","هزینه: "&amp;IF($E1093="","متفرقه",$E1093),IF($C1093="پاس چک","چک پرداختی",IF(OR($B1093="",COUNTIF(AcctCodesA,$B1093)=0),"متفرقه",$B1093))))))</f>
        <v/>
      </c>
      <c r="J1093">
        <f>IF($H1093="","",IF(ROUND($F1093,2)&gt;0,IF($D1093="شخصی قاسم","شخصی قاسم",IF($D1093="هزینه","هزینه: "&amp;IF($E1093="","متفرقه",$E1093),IF(OR($B1093="",COUNTIF(AcctCodesA,$B1093)=0),"متفرقه",$B1093))),$A1093))</f>
        <v/>
      </c>
      <c r="K1093">
        <f>IF($A1093="","",IF(AND($B1093&lt;&gt;"",COUNTIF(AcctCodesA,$B1093)=0),"کد طرف در INFO تعریف نشده",IF(AND($D1093="هزینه",$E1093=""),"هزینه بدون زیرگروه",IF(AND($C1093="پاس چک",OR(Sync!$AJ1093="",COUNTIF(IssueNosA,Sync!$AJ1093)=0)),"شماره چک پاس‌شده معتبر نیست",""))))</f>
        <v/>
      </c>
      <c r="V1093">
        <f>IF($K1093="","",IF(ISNUMBER(Sync!$AK1093),Sync!$AK1093,LEFT(Sync!$AK1093,4)&amp;MID(Sync!$AK1093,6,2)&amp;RIGHT(Sync!$AK1093,2))&amp;"|"&amp;"4"&amp;RIGHT("00000"&amp;1088,5))</f>
        <v/>
      </c>
      <c r="W1093">
        <f>IF($V1093="",0,COUNTIFS($V$6:$V$2005,"&lt;"&amp;$V1093)-COUNTIFS($V$6:$V$2005,"&lt;"&amp;$V1093,$K$6:$K$2005,"")+1)</f>
        <v/>
      </c>
    </row>
    <row r="1094">
      <c r="A1094">
        <f>IF(Sync!$Z1094="","",LEFT(UPPER(TRIM(Sync!$Z1094)),6))</f>
        <v/>
      </c>
      <c r="B1094">
        <f>IF($A1094="","",IF(Sync!$AA1094="","",Sync!$AA1094))</f>
        <v/>
      </c>
      <c r="C1094">
        <f>IF($A1094="","",IF(Sync!$AB1094="","",Sync!$AB1094))</f>
        <v/>
      </c>
      <c r="D1094">
        <f>IF($A1094="","",IF(Sync!$AC1094="","",Sync!$AC1094))</f>
        <v/>
      </c>
      <c r="E1094">
        <f>IF($A1094="","",IF(Sync!$AD1094="","",Sync!$AD1094))</f>
        <v/>
      </c>
      <c r="F1094">
        <f>IF($A1094="","",IF(Sync!$AE1094="",0,Sync!$AE1094))</f>
        <v/>
      </c>
      <c r="G1094">
        <f>IF($A1094="","",IF(Sync!$AF1094="",0,Sync!$AF1094))</f>
        <v/>
      </c>
      <c r="H1094">
        <f>IF(OR($A1094="",ROUND($F1094+$G1094,2)=0),"",$F1094+$G1094)</f>
        <v/>
      </c>
      <c r="I1094">
        <f>IF($H1094="","",IF(ROUND($F1094,2)&gt;0,$A1094,IF($D1094="شخصی قاسم","شخصی قاسم",IF($D1094="هزینه","هزینه: "&amp;IF($E1094="","متفرقه",$E1094),IF($C1094="پاس چک","چک پرداختی",IF(OR($B1094="",COUNTIF(AcctCodesA,$B1094)=0),"متفرقه",$B1094))))))</f>
        <v/>
      </c>
      <c r="J1094">
        <f>IF($H1094="","",IF(ROUND($F1094,2)&gt;0,IF($D1094="شخصی قاسم","شخصی قاسم",IF($D1094="هزینه","هزینه: "&amp;IF($E1094="","متفرقه",$E1094),IF(OR($B1094="",COUNTIF(AcctCodesA,$B1094)=0),"متفرقه",$B1094))),$A1094))</f>
        <v/>
      </c>
      <c r="K1094">
        <f>IF($A1094="","",IF(AND($B1094&lt;&gt;"",COUNTIF(AcctCodesA,$B1094)=0),"کد طرف در INFO تعریف نشده",IF(AND($D1094="هزینه",$E1094=""),"هزینه بدون زیرگروه",IF(AND($C1094="پاس چک",OR(Sync!$AJ1094="",COUNTIF(IssueNosA,Sync!$AJ1094)=0)),"شماره چک پاس‌شده معتبر نیست",""))))</f>
        <v/>
      </c>
      <c r="V1094">
        <f>IF($K1094="","",IF(ISNUMBER(Sync!$AK1094),Sync!$AK1094,LEFT(Sync!$AK1094,4)&amp;MID(Sync!$AK1094,6,2)&amp;RIGHT(Sync!$AK1094,2))&amp;"|"&amp;"4"&amp;RIGHT("00000"&amp;1089,5))</f>
        <v/>
      </c>
      <c r="W1094">
        <f>IF($V1094="",0,COUNTIFS($V$6:$V$2005,"&lt;"&amp;$V1094)-COUNTIFS($V$6:$V$2005,"&lt;"&amp;$V1094,$K$6:$K$2005,"")+1)</f>
        <v/>
      </c>
    </row>
    <row r="1095">
      <c r="A1095">
        <f>IF(Sync!$Z1095="","",LEFT(UPPER(TRIM(Sync!$Z1095)),6))</f>
        <v/>
      </c>
      <c r="B1095">
        <f>IF($A1095="","",IF(Sync!$AA1095="","",Sync!$AA1095))</f>
        <v/>
      </c>
      <c r="C1095">
        <f>IF($A1095="","",IF(Sync!$AB1095="","",Sync!$AB1095))</f>
        <v/>
      </c>
      <c r="D1095">
        <f>IF($A1095="","",IF(Sync!$AC1095="","",Sync!$AC1095))</f>
        <v/>
      </c>
      <c r="E1095">
        <f>IF($A1095="","",IF(Sync!$AD1095="","",Sync!$AD1095))</f>
        <v/>
      </c>
      <c r="F1095">
        <f>IF($A1095="","",IF(Sync!$AE1095="",0,Sync!$AE1095))</f>
        <v/>
      </c>
      <c r="G1095">
        <f>IF($A1095="","",IF(Sync!$AF1095="",0,Sync!$AF1095))</f>
        <v/>
      </c>
      <c r="H1095">
        <f>IF(OR($A1095="",ROUND($F1095+$G1095,2)=0),"",$F1095+$G1095)</f>
        <v/>
      </c>
      <c r="I1095">
        <f>IF($H1095="","",IF(ROUND($F1095,2)&gt;0,$A1095,IF($D1095="شخصی قاسم","شخصی قاسم",IF($D1095="هزینه","هزینه: "&amp;IF($E1095="","متفرقه",$E1095),IF($C1095="پاس چک","چک پرداختی",IF(OR($B1095="",COUNTIF(AcctCodesA,$B1095)=0),"متفرقه",$B1095))))))</f>
        <v/>
      </c>
      <c r="J1095">
        <f>IF($H1095="","",IF(ROUND($F1095,2)&gt;0,IF($D1095="شخصی قاسم","شخصی قاسم",IF($D1095="هزینه","هزینه: "&amp;IF($E1095="","متفرقه",$E1095),IF(OR($B1095="",COUNTIF(AcctCodesA,$B1095)=0),"متفرقه",$B1095))),$A1095))</f>
        <v/>
      </c>
      <c r="K1095">
        <f>IF($A1095="","",IF(AND($B1095&lt;&gt;"",COUNTIF(AcctCodesA,$B1095)=0),"کد طرف در INFO تعریف نشده",IF(AND($D1095="هزینه",$E1095=""),"هزینه بدون زیرگروه",IF(AND($C1095="پاس چک",OR(Sync!$AJ1095="",COUNTIF(IssueNosA,Sync!$AJ1095)=0)),"شماره چک پاس‌شده معتبر نیست",""))))</f>
        <v/>
      </c>
      <c r="V1095">
        <f>IF($K1095="","",IF(ISNUMBER(Sync!$AK1095),Sync!$AK1095,LEFT(Sync!$AK1095,4)&amp;MID(Sync!$AK1095,6,2)&amp;RIGHT(Sync!$AK1095,2))&amp;"|"&amp;"4"&amp;RIGHT("00000"&amp;1090,5))</f>
        <v/>
      </c>
      <c r="W1095">
        <f>IF($V1095="",0,COUNTIFS($V$6:$V$2005,"&lt;"&amp;$V1095)-COUNTIFS($V$6:$V$2005,"&lt;"&amp;$V1095,$K$6:$K$2005,"")+1)</f>
        <v/>
      </c>
    </row>
    <row r="1096">
      <c r="A1096">
        <f>IF(Sync!$Z1096="","",LEFT(UPPER(TRIM(Sync!$Z1096)),6))</f>
        <v/>
      </c>
      <c r="B1096">
        <f>IF($A1096="","",IF(Sync!$AA1096="","",Sync!$AA1096))</f>
        <v/>
      </c>
      <c r="C1096">
        <f>IF($A1096="","",IF(Sync!$AB1096="","",Sync!$AB1096))</f>
        <v/>
      </c>
      <c r="D1096">
        <f>IF($A1096="","",IF(Sync!$AC1096="","",Sync!$AC1096))</f>
        <v/>
      </c>
      <c r="E1096">
        <f>IF($A1096="","",IF(Sync!$AD1096="","",Sync!$AD1096))</f>
        <v/>
      </c>
      <c r="F1096">
        <f>IF($A1096="","",IF(Sync!$AE1096="",0,Sync!$AE1096))</f>
        <v/>
      </c>
      <c r="G1096">
        <f>IF($A1096="","",IF(Sync!$AF1096="",0,Sync!$AF1096))</f>
        <v/>
      </c>
      <c r="H1096">
        <f>IF(OR($A1096="",ROUND($F1096+$G1096,2)=0),"",$F1096+$G1096)</f>
        <v/>
      </c>
      <c r="I1096">
        <f>IF($H1096="","",IF(ROUND($F1096,2)&gt;0,$A1096,IF($D1096="شخصی قاسم","شخصی قاسم",IF($D1096="هزینه","هزینه: "&amp;IF($E1096="","متفرقه",$E1096),IF($C1096="پاس چک","چک پرداختی",IF(OR($B1096="",COUNTIF(AcctCodesA,$B1096)=0),"متفرقه",$B1096))))))</f>
        <v/>
      </c>
      <c r="J1096">
        <f>IF($H1096="","",IF(ROUND($F1096,2)&gt;0,IF($D1096="شخصی قاسم","شخصی قاسم",IF($D1096="هزینه","هزینه: "&amp;IF($E1096="","متفرقه",$E1096),IF(OR($B1096="",COUNTIF(AcctCodesA,$B1096)=0),"متفرقه",$B1096))),$A1096))</f>
        <v/>
      </c>
      <c r="K1096">
        <f>IF($A1096="","",IF(AND($B1096&lt;&gt;"",COUNTIF(AcctCodesA,$B1096)=0),"کد طرف در INFO تعریف نشده",IF(AND($D1096="هزینه",$E1096=""),"هزینه بدون زیرگروه",IF(AND($C1096="پاس چک",OR(Sync!$AJ1096="",COUNTIF(IssueNosA,Sync!$AJ1096)=0)),"شماره چک پاس‌شده معتبر نیست",""))))</f>
        <v/>
      </c>
      <c r="V1096">
        <f>IF($K1096="","",IF(ISNUMBER(Sync!$AK1096),Sync!$AK1096,LEFT(Sync!$AK1096,4)&amp;MID(Sync!$AK1096,6,2)&amp;RIGHT(Sync!$AK1096,2))&amp;"|"&amp;"4"&amp;RIGHT("00000"&amp;1091,5))</f>
        <v/>
      </c>
      <c r="W1096">
        <f>IF($V1096="",0,COUNTIFS($V$6:$V$2005,"&lt;"&amp;$V1096)-COUNTIFS($V$6:$V$2005,"&lt;"&amp;$V1096,$K$6:$K$2005,"")+1)</f>
        <v/>
      </c>
    </row>
    <row r="1097">
      <c r="A1097">
        <f>IF(Sync!$Z1097="","",LEFT(UPPER(TRIM(Sync!$Z1097)),6))</f>
        <v/>
      </c>
      <c r="B1097">
        <f>IF($A1097="","",IF(Sync!$AA1097="","",Sync!$AA1097))</f>
        <v/>
      </c>
      <c r="C1097">
        <f>IF($A1097="","",IF(Sync!$AB1097="","",Sync!$AB1097))</f>
        <v/>
      </c>
      <c r="D1097">
        <f>IF($A1097="","",IF(Sync!$AC1097="","",Sync!$AC1097))</f>
        <v/>
      </c>
      <c r="E1097">
        <f>IF($A1097="","",IF(Sync!$AD1097="","",Sync!$AD1097))</f>
        <v/>
      </c>
      <c r="F1097">
        <f>IF($A1097="","",IF(Sync!$AE1097="",0,Sync!$AE1097))</f>
        <v/>
      </c>
      <c r="G1097">
        <f>IF($A1097="","",IF(Sync!$AF1097="",0,Sync!$AF1097))</f>
        <v/>
      </c>
      <c r="H1097">
        <f>IF(OR($A1097="",ROUND($F1097+$G1097,2)=0),"",$F1097+$G1097)</f>
        <v/>
      </c>
      <c r="I1097">
        <f>IF($H1097="","",IF(ROUND($F1097,2)&gt;0,$A1097,IF($D1097="شخصی قاسم","شخصی قاسم",IF($D1097="هزینه","هزینه: "&amp;IF($E1097="","متفرقه",$E1097),IF($C1097="پاس چک","چک پرداختی",IF(OR($B1097="",COUNTIF(AcctCodesA,$B1097)=0),"متفرقه",$B1097))))))</f>
        <v/>
      </c>
      <c r="J1097">
        <f>IF($H1097="","",IF(ROUND($F1097,2)&gt;0,IF($D1097="شخصی قاسم","شخصی قاسم",IF($D1097="هزینه","هزینه: "&amp;IF($E1097="","متفرقه",$E1097),IF(OR($B1097="",COUNTIF(AcctCodesA,$B1097)=0),"متفرقه",$B1097))),$A1097))</f>
        <v/>
      </c>
      <c r="K1097">
        <f>IF($A1097="","",IF(AND($B1097&lt;&gt;"",COUNTIF(AcctCodesA,$B1097)=0),"کد طرف در INFO تعریف نشده",IF(AND($D1097="هزینه",$E1097=""),"هزینه بدون زیرگروه",IF(AND($C1097="پاس چک",OR(Sync!$AJ1097="",COUNTIF(IssueNosA,Sync!$AJ1097)=0)),"شماره چک پاس‌شده معتبر نیست",""))))</f>
        <v/>
      </c>
      <c r="V1097">
        <f>IF($K1097="","",IF(ISNUMBER(Sync!$AK1097),Sync!$AK1097,LEFT(Sync!$AK1097,4)&amp;MID(Sync!$AK1097,6,2)&amp;RIGHT(Sync!$AK1097,2))&amp;"|"&amp;"4"&amp;RIGHT("00000"&amp;1092,5))</f>
        <v/>
      </c>
      <c r="W1097">
        <f>IF($V1097="",0,COUNTIFS($V$6:$V$2005,"&lt;"&amp;$V1097)-COUNTIFS($V$6:$V$2005,"&lt;"&amp;$V1097,$K$6:$K$2005,"")+1)</f>
        <v/>
      </c>
    </row>
    <row r="1098">
      <c r="A1098">
        <f>IF(Sync!$Z1098="","",LEFT(UPPER(TRIM(Sync!$Z1098)),6))</f>
        <v/>
      </c>
      <c r="B1098">
        <f>IF($A1098="","",IF(Sync!$AA1098="","",Sync!$AA1098))</f>
        <v/>
      </c>
      <c r="C1098">
        <f>IF($A1098="","",IF(Sync!$AB1098="","",Sync!$AB1098))</f>
        <v/>
      </c>
      <c r="D1098">
        <f>IF($A1098="","",IF(Sync!$AC1098="","",Sync!$AC1098))</f>
        <v/>
      </c>
      <c r="E1098">
        <f>IF($A1098="","",IF(Sync!$AD1098="","",Sync!$AD1098))</f>
        <v/>
      </c>
      <c r="F1098">
        <f>IF($A1098="","",IF(Sync!$AE1098="",0,Sync!$AE1098))</f>
        <v/>
      </c>
      <c r="G1098">
        <f>IF($A1098="","",IF(Sync!$AF1098="",0,Sync!$AF1098))</f>
        <v/>
      </c>
      <c r="H1098">
        <f>IF(OR($A1098="",ROUND($F1098+$G1098,2)=0),"",$F1098+$G1098)</f>
        <v/>
      </c>
      <c r="I1098">
        <f>IF($H1098="","",IF(ROUND($F1098,2)&gt;0,$A1098,IF($D1098="شخصی قاسم","شخصی قاسم",IF($D1098="هزینه","هزینه: "&amp;IF($E1098="","متفرقه",$E1098),IF($C1098="پاس چک","چک پرداختی",IF(OR($B1098="",COUNTIF(AcctCodesA,$B1098)=0),"متفرقه",$B1098))))))</f>
        <v/>
      </c>
      <c r="J1098">
        <f>IF($H1098="","",IF(ROUND($F1098,2)&gt;0,IF($D1098="شخصی قاسم","شخصی قاسم",IF($D1098="هزینه","هزینه: "&amp;IF($E1098="","متفرقه",$E1098),IF(OR($B1098="",COUNTIF(AcctCodesA,$B1098)=0),"متفرقه",$B1098))),$A1098))</f>
        <v/>
      </c>
      <c r="K1098">
        <f>IF($A1098="","",IF(AND($B1098&lt;&gt;"",COUNTIF(AcctCodesA,$B1098)=0),"کد طرف در INFO تعریف نشده",IF(AND($D1098="هزینه",$E1098=""),"هزینه بدون زیرگروه",IF(AND($C1098="پاس چک",OR(Sync!$AJ1098="",COUNTIF(IssueNosA,Sync!$AJ1098)=0)),"شماره چک پاس‌شده معتبر نیست",""))))</f>
        <v/>
      </c>
      <c r="V1098">
        <f>IF($K1098="","",IF(ISNUMBER(Sync!$AK1098),Sync!$AK1098,LEFT(Sync!$AK1098,4)&amp;MID(Sync!$AK1098,6,2)&amp;RIGHT(Sync!$AK1098,2))&amp;"|"&amp;"4"&amp;RIGHT("00000"&amp;1093,5))</f>
        <v/>
      </c>
      <c r="W1098">
        <f>IF($V1098="",0,COUNTIFS($V$6:$V$2005,"&lt;"&amp;$V1098)-COUNTIFS($V$6:$V$2005,"&lt;"&amp;$V1098,$K$6:$K$2005,"")+1)</f>
        <v/>
      </c>
    </row>
    <row r="1099">
      <c r="A1099">
        <f>IF(Sync!$Z1099="","",LEFT(UPPER(TRIM(Sync!$Z1099)),6))</f>
        <v/>
      </c>
      <c r="B1099">
        <f>IF($A1099="","",IF(Sync!$AA1099="","",Sync!$AA1099))</f>
        <v/>
      </c>
      <c r="C1099">
        <f>IF($A1099="","",IF(Sync!$AB1099="","",Sync!$AB1099))</f>
        <v/>
      </c>
      <c r="D1099">
        <f>IF($A1099="","",IF(Sync!$AC1099="","",Sync!$AC1099))</f>
        <v/>
      </c>
      <c r="E1099">
        <f>IF($A1099="","",IF(Sync!$AD1099="","",Sync!$AD1099))</f>
        <v/>
      </c>
      <c r="F1099">
        <f>IF($A1099="","",IF(Sync!$AE1099="",0,Sync!$AE1099))</f>
        <v/>
      </c>
      <c r="G1099">
        <f>IF($A1099="","",IF(Sync!$AF1099="",0,Sync!$AF1099))</f>
        <v/>
      </c>
      <c r="H1099">
        <f>IF(OR($A1099="",ROUND($F1099+$G1099,2)=0),"",$F1099+$G1099)</f>
        <v/>
      </c>
      <c r="I1099">
        <f>IF($H1099="","",IF(ROUND($F1099,2)&gt;0,$A1099,IF($D1099="شخصی قاسم","شخصی قاسم",IF($D1099="هزینه","هزینه: "&amp;IF($E1099="","متفرقه",$E1099),IF($C1099="پاس چک","چک پرداختی",IF(OR($B1099="",COUNTIF(AcctCodesA,$B1099)=0),"متفرقه",$B1099))))))</f>
        <v/>
      </c>
      <c r="J1099">
        <f>IF($H1099="","",IF(ROUND($F1099,2)&gt;0,IF($D1099="شخصی قاسم","شخصی قاسم",IF($D1099="هزینه","هزینه: "&amp;IF($E1099="","متفرقه",$E1099),IF(OR($B1099="",COUNTIF(AcctCodesA,$B1099)=0),"متفرقه",$B1099))),$A1099))</f>
        <v/>
      </c>
      <c r="K1099">
        <f>IF($A1099="","",IF(AND($B1099&lt;&gt;"",COUNTIF(AcctCodesA,$B1099)=0),"کد طرف در INFO تعریف نشده",IF(AND($D1099="هزینه",$E1099=""),"هزینه بدون زیرگروه",IF(AND($C1099="پاس چک",OR(Sync!$AJ1099="",COUNTIF(IssueNosA,Sync!$AJ1099)=0)),"شماره چک پاس‌شده معتبر نیست",""))))</f>
        <v/>
      </c>
      <c r="V1099">
        <f>IF($K1099="","",IF(ISNUMBER(Sync!$AK1099),Sync!$AK1099,LEFT(Sync!$AK1099,4)&amp;MID(Sync!$AK1099,6,2)&amp;RIGHT(Sync!$AK1099,2))&amp;"|"&amp;"4"&amp;RIGHT("00000"&amp;1094,5))</f>
        <v/>
      </c>
      <c r="W1099">
        <f>IF($V1099="",0,COUNTIFS($V$6:$V$2005,"&lt;"&amp;$V1099)-COUNTIFS($V$6:$V$2005,"&lt;"&amp;$V1099,$K$6:$K$2005,"")+1)</f>
        <v/>
      </c>
    </row>
    <row r="1100">
      <c r="A1100">
        <f>IF(Sync!$Z1100="","",LEFT(UPPER(TRIM(Sync!$Z1100)),6))</f>
        <v/>
      </c>
      <c r="B1100">
        <f>IF($A1100="","",IF(Sync!$AA1100="","",Sync!$AA1100))</f>
        <v/>
      </c>
      <c r="C1100">
        <f>IF($A1100="","",IF(Sync!$AB1100="","",Sync!$AB1100))</f>
        <v/>
      </c>
      <c r="D1100">
        <f>IF($A1100="","",IF(Sync!$AC1100="","",Sync!$AC1100))</f>
        <v/>
      </c>
      <c r="E1100">
        <f>IF($A1100="","",IF(Sync!$AD1100="","",Sync!$AD1100))</f>
        <v/>
      </c>
      <c r="F1100">
        <f>IF($A1100="","",IF(Sync!$AE1100="",0,Sync!$AE1100))</f>
        <v/>
      </c>
      <c r="G1100">
        <f>IF($A1100="","",IF(Sync!$AF1100="",0,Sync!$AF1100))</f>
        <v/>
      </c>
      <c r="H1100">
        <f>IF(OR($A1100="",ROUND($F1100+$G1100,2)=0),"",$F1100+$G1100)</f>
        <v/>
      </c>
      <c r="I1100">
        <f>IF($H1100="","",IF(ROUND($F1100,2)&gt;0,$A1100,IF($D1100="شخصی قاسم","شخصی قاسم",IF($D1100="هزینه","هزینه: "&amp;IF($E1100="","متفرقه",$E1100),IF($C1100="پاس چک","چک پرداختی",IF(OR($B1100="",COUNTIF(AcctCodesA,$B1100)=0),"متفرقه",$B1100))))))</f>
        <v/>
      </c>
      <c r="J1100">
        <f>IF($H1100="","",IF(ROUND($F1100,2)&gt;0,IF($D1100="شخصی قاسم","شخصی قاسم",IF($D1100="هزینه","هزینه: "&amp;IF($E1100="","متفرقه",$E1100),IF(OR($B1100="",COUNTIF(AcctCodesA,$B1100)=0),"متفرقه",$B1100))),$A1100))</f>
        <v/>
      </c>
      <c r="K1100">
        <f>IF($A1100="","",IF(AND($B1100&lt;&gt;"",COUNTIF(AcctCodesA,$B1100)=0),"کد طرف در INFO تعریف نشده",IF(AND($D1100="هزینه",$E1100=""),"هزینه بدون زیرگروه",IF(AND($C1100="پاس چک",OR(Sync!$AJ1100="",COUNTIF(IssueNosA,Sync!$AJ1100)=0)),"شماره چک پاس‌شده معتبر نیست",""))))</f>
        <v/>
      </c>
      <c r="V1100">
        <f>IF($K1100="","",IF(ISNUMBER(Sync!$AK1100),Sync!$AK1100,LEFT(Sync!$AK1100,4)&amp;MID(Sync!$AK1100,6,2)&amp;RIGHT(Sync!$AK1100,2))&amp;"|"&amp;"4"&amp;RIGHT("00000"&amp;1095,5))</f>
        <v/>
      </c>
      <c r="W1100">
        <f>IF($V1100="",0,COUNTIFS($V$6:$V$2005,"&lt;"&amp;$V1100)-COUNTIFS($V$6:$V$2005,"&lt;"&amp;$V1100,$K$6:$K$2005,"")+1)</f>
        <v/>
      </c>
    </row>
    <row r="1101">
      <c r="A1101">
        <f>IF(Sync!$Z1101="","",LEFT(UPPER(TRIM(Sync!$Z1101)),6))</f>
        <v/>
      </c>
      <c r="B1101">
        <f>IF($A1101="","",IF(Sync!$AA1101="","",Sync!$AA1101))</f>
        <v/>
      </c>
      <c r="C1101">
        <f>IF($A1101="","",IF(Sync!$AB1101="","",Sync!$AB1101))</f>
        <v/>
      </c>
      <c r="D1101">
        <f>IF($A1101="","",IF(Sync!$AC1101="","",Sync!$AC1101))</f>
        <v/>
      </c>
      <c r="E1101">
        <f>IF($A1101="","",IF(Sync!$AD1101="","",Sync!$AD1101))</f>
        <v/>
      </c>
      <c r="F1101">
        <f>IF($A1101="","",IF(Sync!$AE1101="",0,Sync!$AE1101))</f>
        <v/>
      </c>
      <c r="G1101">
        <f>IF($A1101="","",IF(Sync!$AF1101="",0,Sync!$AF1101))</f>
        <v/>
      </c>
      <c r="H1101">
        <f>IF(OR($A1101="",ROUND($F1101+$G1101,2)=0),"",$F1101+$G1101)</f>
        <v/>
      </c>
      <c r="I1101">
        <f>IF($H1101="","",IF(ROUND($F1101,2)&gt;0,$A1101,IF($D1101="شخصی قاسم","شخصی قاسم",IF($D1101="هزینه","هزینه: "&amp;IF($E1101="","متفرقه",$E1101),IF($C1101="پاس چک","چک پرداختی",IF(OR($B1101="",COUNTIF(AcctCodesA,$B1101)=0),"متفرقه",$B1101))))))</f>
        <v/>
      </c>
      <c r="J1101">
        <f>IF($H1101="","",IF(ROUND($F1101,2)&gt;0,IF($D1101="شخصی قاسم","شخصی قاسم",IF($D1101="هزینه","هزینه: "&amp;IF($E1101="","متفرقه",$E1101),IF(OR($B1101="",COUNTIF(AcctCodesA,$B1101)=0),"متفرقه",$B1101))),$A1101))</f>
        <v/>
      </c>
      <c r="K1101">
        <f>IF($A1101="","",IF(AND($B1101&lt;&gt;"",COUNTIF(AcctCodesA,$B1101)=0),"کد طرف در INFO تعریف نشده",IF(AND($D1101="هزینه",$E1101=""),"هزینه بدون زیرگروه",IF(AND($C1101="پاس چک",OR(Sync!$AJ1101="",COUNTIF(IssueNosA,Sync!$AJ1101)=0)),"شماره چک پاس‌شده معتبر نیست",""))))</f>
        <v/>
      </c>
      <c r="V1101">
        <f>IF($K1101="","",IF(ISNUMBER(Sync!$AK1101),Sync!$AK1101,LEFT(Sync!$AK1101,4)&amp;MID(Sync!$AK1101,6,2)&amp;RIGHT(Sync!$AK1101,2))&amp;"|"&amp;"4"&amp;RIGHT("00000"&amp;1096,5))</f>
        <v/>
      </c>
      <c r="W1101">
        <f>IF($V1101="",0,COUNTIFS($V$6:$V$2005,"&lt;"&amp;$V1101)-COUNTIFS($V$6:$V$2005,"&lt;"&amp;$V1101,$K$6:$K$2005,"")+1)</f>
        <v/>
      </c>
    </row>
    <row r="1102">
      <c r="A1102">
        <f>IF(Sync!$Z1102="","",LEFT(UPPER(TRIM(Sync!$Z1102)),6))</f>
        <v/>
      </c>
      <c r="B1102">
        <f>IF($A1102="","",IF(Sync!$AA1102="","",Sync!$AA1102))</f>
        <v/>
      </c>
      <c r="C1102">
        <f>IF($A1102="","",IF(Sync!$AB1102="","",Sync!$AB1102))</f>
        <v/>
      </c>
      <c r="D1102">
        <f>IF($A1102="","",IF(Sync!$AC1102="","",Sync!$AC1102))</f>
        <v/>
      </c>
      <c r="E1102">
        <f>IF($A1102="","",IF(Sync!$AD1102="","",Sync!$AD1102))</f>
        <v/>
      </c>
      <c r="F1102">
        <f>IF($A1102="","",IF(Sync!$AE1102="",0,Sync!$AE1102))</f>
        <v/>
      </c>
      <c r="G1102">
        <f>IF($A1102="","",IF(Sync!$AF1102="",0,Sync!$AF1102))</f>
        <v/>
      </c>
      <c r="H1102">
        <f>IF(OR($A1102="",ROUND($F1102+$G1102,2)=0),"",$F1102+$G1102)</f>
        <v/>
      </c>
      <c r="I1102">
        <f>IF($H1102="","",IF(ROUND($F1102,2)&gt;0,$A1102,IF($D1102="شخصی قاسم","شخصی قاسم",IF($D1102="هزینه","هزینه: "&amp;IF($E1102="","متفرقه",$E1102),IF($C1102="پاس چک","چک پرداختی",IF(OR($B1102="",COUNTIF(AcctCodesA,$B1102)=0),"متفرقه",$B1102))))))</f>
        <v/>
      </c>
      <c r="J1102">
        <f>IF($H1102="","",IF(ROUND($F1102,2)&gt;0,IF($D1102="شخصی قاسم","شخصی قاسم",IF($D1102="هزینه","هزینه: "&amp;IF($E1102="","متفرقه",$E1102),IF(OR($B1102="",COUNTIF(AcctCodesA,$B1102)=0),"متفرقه",$B1102))),$A1102))</f>
        <v/>
      </c>
      <c r="K1102">
        <f>IF($A1102="","",IF(AND($B1102&lt;&gt;"",COUNTIF(AcctCodesA,$B1102)=0),"کد طرف در INFO تعریف نشده",IF(AND($D1102="هزینه",$E1102=""),"هزینه بدون زیرگروه",IF(AND($C1102="پاس چک",OR(Sync!$AJ1102="",COUNTIF(IssueNosA,Sync!$AJ1102)=0)),"شماره چک پاس‌شده معتبر نیست",""))))</f>
        <v/>
      </c>
      <c r="V1102">
        <f>IF($K1102="","",IF(ISNUMBER(Sync!$AK1102),Sync!$AK1102,LEFT(Sync!$AK1102,4)&amp;MID(Sync!$AK1102,6,2)&amp;RIGHT(Sync!$AK1102,2))&amp;"|"&amp;"4"&amp;RIGHT("00000"&amp;1097,5))</f>
        <v/>
      </c>
      <c r="W1102">
        <f>IF($V1102="",0,COUNTIFS($V$6:$V$2005,"&lt;"&amp;$V1102)-COUNTIFS($V$6:$V$2005,"&lt;"&amp;$V1102,$K$6:$K$2005,"")+1)</f>
        <v/>
      </c>
    </row>
    <row r="1103">
      <c r="A1103">
        <f>IF(Sync!$Z1103="","",LEFT(UPPER(TRIM(Sync!$Z1103)),6))</f>
        <v/>
      </c>
      <c r="B1103">
        <f>IF($A1103="","",IF(Sync!$AA1103="","",Sync!$AA1103))</f>
        <v/>
      </c>
      <c r="C1103">
        <f>IF($A1103="","",IF(Sync!$AB1103="","",Sync!$AB1103))</f>
        <v/>
      </c>
      <c r="D1103">
        <f>IF($A1103="","",IF(Sync!$AC1103="","",Sync!$AC1103))</f>
        <v/>
      </c>
      <c r="E1103">
        <f>IF($A1103="","",IF(Sync!$AD1103="","",Sync!$AD1103))</f>
        <v/>
      </c>
      <c r="F1103">
        <f>IF($A1103="","",IF(Sync!$AE1103="",0,Sync!$AE1103))</f>
        <v/>
      </c>
      <c r="G1103">
        <f>IF($A1103="","",IF(Sync!$AF1103="",0,Sync!$AF1103))</f>
        <v/>
      </c>
      <c r="H1103">
        <f>IF(OR($A1103="",ROUND($F1103+$G1103,2)=0),"",$F1103+$G1103)</f>
        <v/>
      </c>
      <c r="I1103">
        <f>IF($H1103="","",IF(ROUND($F1103,2)&gt;0,$A1103,IF($D1103="شخصی قاسم","شخصی قاسم",IF($D1103="هزینه","هزینه: "&amp;IF($E1103="","متفرقه",$E1103),IF($C1103="پاس چک","چک پرداختی",IF(OR($B1103="",COUNTIF(AcctCodesA,$B1103)=0),"متفرقه",$B1103))))))</f>
        <v/>
      </c>
      <c r="J1103">
        <f>IF($H1103="","",IF(ROUND($F1103,2)&gt;0,IF($D1103="شخصی قاسم","شخصی قاسم",IF($D1103="هزینه","هزینه: "&amp;IF($E1103="","متفرقه",$E1103),IF(OR($B1103="",COUNTIF(AcctCodesA,$B1103)=0),"متفرقه",$B1103))),$A1103))</f>
        <v/>
      </c>
      <c r="K1103">
        <f>IF($A1103="","",IF(AND($B1103&lt;&gt;"",COUNTIF(AcctCodesA,$B1103)=0),"کد طرف در INFO تعریف نشده",IF(AND($D1103="هزینه",$E1103=""),"هزینه بدون زیرگروه",IF(AND($C1103="پاس چک",OR(Sync!$AJ1103="",COUNTIF(IssueNosA,Sync!$AJ1103)=0)),"شماره چک پاس‌شده معتبر نیست",""))))</f>
        <v/>
      </c>
      <c r="V1103">
        <f>IF($K1103="","",IF(ISNUMBER(Sync!$AK1103),Sync!$AK1103,LEFT(Sync!$AK1103,4)&amp;MID(Sync!$AK1103,6,2)&amp;RIGHT(Sync!$AK1103,2))&amp;"|"&amp;"4"&amp;RIGHT("00000"&amp;1098,5))</f>
        <v/>
      </c>
      <c r="W1103">
        <f>IF($V1103="",0,COUNTIFS($V$6:$V$2005,"&lt;"&amp;$V1103)-COUNTIFS($V$6:$V$2005,"&lt;"&amp;$V1103,$K$6:$K$2005,"")+1)</f>
        <v/>
      </c>
    </row>
    <row r="1104">
      <c r="A1104">
        <f>IF(Sync!$Z1104="","",LEFT(UPPER(TRIM(Sync!$Z1104)),6))</f>
        <v/>
      </c>
      <c r="B1104">
        <f>IF($A1104="","",IF(Sync!$AA1104="","",Sync!$AA1104))</f>
        <v/>
      </c>
      <c r="C1104">
        <f>IF($A1104="","",IF(Sync!$AB1104="","",Sync!$AB1104))</f>
        <v/>
      </c>
      <c r="D1104">
        <f>IF($A1104="","",IF(Sync!$AC1104="","",Sync!$AC1104))</f>
        <v/>
      </c>
      <c r="E1104">
        <f>IF($A1104="","",IF(Sync!$AD1104="","",Sync!$AD1104))</f>
        <v/>
      </c>
      <c r="F1104">
        <f>IF($A1104="","",IF(Sync!$AE1104="",0,Sync!$AE1104))</f>
        <v/>
      </c>
      <c r="G1104">
        <f>IF($A1104="","",IF(Sync!$AF1104="",0,Sync!$AF1104))</f>
        <v/>
      </c>
      <c r="H1104">
        <f>IF(OR($A1104="",ROUND($F1104+$G1104,2)=0),"",$F1104+$G1104)</f>
        <v/>
      </c>
      <c r="I1104">
        <f>IF($H1104="","",IF(ROUND($F1104,2)&gt;0,$A1104,IF($D1104="شخصی قاسم","شخصی قاسم",IF($D1104="هزینه","هزینه: "&amp;IF($E1104="","متفرقه",$E1104),IF($C1104="پاس چک","چک پرداختی",IF(OR($B1104="",COUNTIF(AcctCodesA,$B1104)=0),"متفرقه",$B1104))))))</f>
        <v/>
      </c>
      <c r="J1104">
        <f>IF($H1104="","",IF(ROUND($F1104,2)&gt;0,IF($D1104="شخصی قاسم","شخصی قاسم",IF($D1104="هزینه","هزینه: "&amp;IF($E1104="","متفرقه",$E1104),IF(OR($B1104="",COUNTIF(AcctCodesA,$B1104)=0),"متفرقه",$B1104))),$A1104))</f>
        <v/>
      </c>
      <c r="K1104">
        <f>IF($A1104="","",IF(AND($B1104&lt;&gt;"",COUNTIF(AcctCodesA,$B1104)=0),"کد طرف در INFO تعریف نشده",IF(AND($D1104="هزینه",$E1104=""),"هزینه بدون زیرگروه",IF(AND($C1104="پاس چک",OR(Sync!$AJ1104="",COUNTIF(IssueNosA,Sync!$AJ1104)=0)),"شماره چک پاس‌شده معتبر نیست",""))))</f>
        <v/>
      </c>
      <c r="V1104">
        <f>IF($K1104="","",IF(ISNUMBER(Sync!$AK1104),Sync!$AK1104,LEFT(Sync!$AK1104,4)&amp;MID(Sync!$AK1104,6,2)&amp;RIGHT(Sync!$AK1104,2))&amp;"|"&amp;"4"&amp;RIGHT("00000"&amp;1099,5))</f>
        <v/>
      </c>
      <c r="W1104">
        <f>IF($V1104="",0,COUNTIFS($V$6:$V$2005,"&lt;"&amp;$V1104)-COUNTIFS($V$6:$V$2005,"&lt;"&amp;$V1104,$K$6:$K$2005,"")+1)</f>
        <v/>
      </c>
    </row>
    <row r="1105">
      <c r="A1105">
        <f>IF(Sync!$Z1105="","",LEFT(UPPER(TRIM(Sync!$Z1105)),6))</f>
        <v/>
      </c>
      <c r="B1105">
        <f>IF($A1105="","",IF(Sync!$AA1105="","",Sync!$AA1105))</f>
        <v/>
      </c>
      <c r="C1105">
        <f>IF($A1105="","",IF(Sync!$AB1105="","",Sync!$AB1105))</f>
        <v/>
      </c>
      <c r="D1105">
        <f>IF($A1105="","",IF(Sync!$AC1105="","",Sync!$AC1105))</f>
        <v/>
      </c>
      <c r="E1105">
        <f>IF($A1105="","",IF(Sync!$AD1105="","",Sync!$AD1105))</f>
        <v/>
      </c>
      <c r="F1105">
        <f>IF($A1105="","",IF(Sync!$AE1105="",0,Sync!$AE1105))</f>
        <v/>
      </c>
      <c r="G1105">
        <f>IF($A1105="","",IF(Sync!$AF1105="",0,Sync!$AF1105))</f>
        <v/>
      </c>
      <c r="H1105">
        <f>IF(OR($A1105="",ROUND($F1105+$G1105,2)=0),"",$F1105+$G1105)</f>
        <v/>
      </c>
      <c r="I1105">
        <f>IF($H1105="","",IF(ROUND($F1105,2)&gt;0,$A1105,IF($D1105="شخصی قاسم","شخصی قاسم",IF($D1105="هزینه","هزینه: "&amp;IF($E1105="","متفرقه",$E1105),IF($C1105="پاس چک","چک پرداختی",IF(OR($B1105="",COUNTIF(AcctCodesA,$B1105)=0),"متفرقه",$B1105))))))</f>
        <v/>
      </c>
      <c r="J1105">
        <f>IF($H1105="","",IF(ROUND($F1105,2)&gt;0,IF($D1105="شخصی قاسم","شخصی قاسم",IF($D1105="هزینه","هزینه: "&amp;IF($E1105="","متفرقه",$E1105),IF(OR($B1105="",COUNTIF(AcctCodesA,$B1105)=0),"متفرقه",$B1105))),$A1105))</f>
        <v/>
      </c>
      <c r="K1105">
        <f>IF($A1105="","",IF(AND($B1105&lt;&gt;"",COUNTIF(AcctCodesA,$B1105)=0),"کد طرف در INFO تعریف نشده",IF(AND($D1105="هزینه",$E1105=""),"هزینه بدون زیرگروه",IF(AND($C1105="پاس چک",OR(Sync!$AJ1105="",COUNTIF(IssueNosA,Sync!$AJ1105)=0)),"شماره چک پاس‌شده معتبر نیست",""))))</f>
        <v/>
      </c>
      <c r="V1105">
        <f>IF($K1105="","",IF(ISNUMBER(Sync!$AK1105),Sync!$AK1105,LEFT(Sync!$AK1105,4)&amp;MID(Sync!$AK1105,6,2)&amp;RIGHT(Sync!$AK1105,2))&amp;"|"&amp;"4"&amp;RIGHT("00000"&amp;1100,5))</f>
        <v/>
      </c>
      <c r="W1105">
        <f>IF($V1105="",0,COUNTIFS($V$6:$V$2005,"&lt;"&amp;$V1105)-COUNTIFS($V$6:$V$2005,"&lt;"&amp;$V1105,$K$6:$K$2005,"")+1)</f>
        <v/>
      </c>
    </row>
    <row r="1106">
      <c r="A1106">
        <f>IF(Sync!$Z1106="","",LEFT(UPPER(TRIM(Sync!$Z1106)),6))</f>
        <v/>
      </c>
      <c r="B1106">
        <f>IF($A1106="","",IF(Sync!$AA1106="","",Sync!$AA1106))</f>
        <v/>
      </c>
      <c r="C1106">
        <f>IF($A1106="","",IF(Sync!$AB1106="","",Sync!$AB1106))</f>
        <v/>
      </c>
      <c r="D1106">
        <f>IF($A1106="","",IF(Sync!$AC1106="","",Sync!$AC1106))</f>
        <v/>
      </c>
      <c r="E1106">
        <f>IF($A1106="","",IF(Sync!$AD1106="","",Sync!$AD1106))</f>
        <v/>
      </c>
      <c r="F1106">
        <f>IF($A1106="","",IF(Sync!$AE1106="",0,Sync!$AE1106))</f>
        <v/>
      </c>
      <c r="G1106">
        <f>IF($A1106="","",IF(Sync!$AF1106="",0,Sync!$AF1106))</f>
        <v/>
      </c>
      <c r="H1106">
        <f>IF(OR($A1106="",ROUND($F1106+$G1106,2)=0),"",$F1106+$G1106)</f>
        <v/>
      </c>
      <c r="I1106">
        <f>IF($H1106="","",IF(ROUND($F1106,2)&gt;0,$A1106,IF($D1106="شخصی قاسم","شخصی قاسم",IF($D1106="هزینه","هزینه: "&amp;IF($E1106="","متفرقه",$E1106),IF($C1106="پاس چک","چک پرداختی",IF(OR($B1106="",COUNTIF(AcctCodesA,$B1106)=0),"متفرقه",$B1106))))))</f>
        <v/>
      </c>
      <c r="J1106">
        <f>IF($H1106="","",IF(ROUND($F1106,2)&gt;0,IF($D1106="شخصی قاسم","شخصی قاسم",IF($D1106="هزینه","هزینه: "&amp;IF($E1106="","متفرقه",$E1106),IF(OR($B1106="",COUNTIF(AcctCodesA,$B1106)=0),"متفرقه",$B1106))),$A1106))</f>
        <v/>
      </c>
      <c r="K1106">
        <f>IF($A1106="","",IF(AND($B1106&lt;&gt;"",COUNTIF(AcctCodesA,$B1106)=0),"کد طرف در INFO تعریف نشده",IF(AND($D1106="هزینه",$E1106=""),"هزینه بدون زیرگروه",IF(AND($C1106="پاس چک",OR(Sync!$AJ1106="",COUNTIF(IssueNosA,Sync!$AJ1106)=0)),"شماره چک پاس‌شده معتبر نیست",""))))</f>
        <v/>
      </c>
      <c r="V1106">
        <f>IF($K1106="","",IF(ISNUMBER(Sync!$AK1106),Sync!$AK1106,LEFT(Sync!$AK1106,4)&amp;MID(Sync!$AK1106,6,2)&amp;RIGHT(Sync!$AK1106,2))&amp;"|"&amp;"4"&amp;RIGHT("00000"&amp;1101,5))</f>
        <v/>
      </c>
      <c r="W1106">
        <f>IF($V1106="",0,COUNTIFS($V$6:$V$2005,"&lt;"&amp;$V1106)-COUNTIFS($V$6:$V$2005,"&lt;"&amp;$V1106,$K$6:$K$2005,"")+1)</f>
        <v/>
      </c>
    </row>
    <row r="1107">
      <c r="A1107">
        <f>IF(Sync!$Z1107="","",LEFT(UPPER(TRIM(Sync!$Z1107)),6))</f>
        <v/>
      </c>
      <c r="B1107">
        <f>IF($A1107="","",IF(Sync!$AA1107="","",Sync!$AA1107))</f>
        <v/>
      </c>
      <c r="C1107">
        <f>IF($A1107="","",IF(Sync!$AB1107="","",Sync!$AB1107))</f>
        <v/>
      </c>
      <c r="D1107">
        <f>IF($A1107="","",IF(Sync!$AC1107="","",Sync!$AC1107))</f>
        <v/>
      </c>
      <c r="E1107">
        <f>IF($A1107="","",IF(Sync!$AD1107="","",Sync!$AD1107))</f>
        <v/>
      </c>
      <c r="F1107">
        <f>IF($A1107="","",IF(Sync!$AE1107="",0,Sync!$AE1107))</f>
        <v/>
      </c>
      <c r="G1107">
        <f>IF($A1107="","",IF(Sync!$AF1107="",0,Sync!$AF1107))</f>
        <v/>
      </c>
      <c r="H1107">
        <f>IF(OR($A1107="",ROUND($F1107+$G1107,2)=0),"",$F1107+$G1107)</f>
        <v/>
      </c>
      <c r="I1107">
        <f>IF($H1107="","",IF(ROUND($F1107,2)&gt;0,$A1107,IF($D1107="شخصی قاسم","شخصی قاسم",IF($D1107="هزینه","هزینه: "&amp;IF($E1107="","متفرقه",$E1107),IF($C1107="پاس چک","چک پرداختی",IF(OR($B1107="",COUNTIF(AcctCodesA,$B1107)=0),"متفرقه",$B1107))))))</f>
        <v/>
      </c>
      <c r="J1107">
        <f>IF($H1107="","",IF(ROUND($F1107,2)&gt;0,IF($D1107="شخصی قاسم","شخصی قاسم",IF($D1107="هزینه","هزینه: "&amp;IF($E1107="","متفرقه",$E1107),IF(OR($B1107="",COUNTIF(AcctCodesA,$B1107)=0),"متفرقه",$B1107))),$A1107))</f>
        <v/>
      </c>
      <c r="K1107">
        <f>IF($A1107="","",IF(AND($B1107&lt;&gt;"",COUNTIF(AcctCodesA,$B1107)=0),"کد طرف در INFO تعریف نشده",IF(AND($D1107="هزینه",$E1107=""),"هزینه بدون زیرگروه",IF(AND($C1107="پاس چک",OR(Sync!$AJ1107="",COUNTIF(IssueNosA,Sync!$AJ1107)=0)),"شماره چک پاس‌شده معتبر نیست",""))))</f>
        <v/>
      </c>
      <c r="V1107">
        <f>IF($K1107="","",IF(ISNUMBER(Sync!$AK1107),Sync!$AK1107,LEFT(Sync!$AK1107,4)&amp;MID(Sync!$AK1107,6,2)&amp;RIGHT(Sync!$AK1107,2))&amp;"|"&amp;"4"&amp;RIGHT("00000"&amp;1102,5))</f>
        <v/>
      </c>
      <c r="W1107">
        <f>IF($V1107="",0,COUNTIFS($V$6:$V$2005,"&lt;"&amp;$V1107)-COUNTIFS($V$6:$V$2005,"&lt;"&amp;$V1107,$K$6:$K$2005,"")+1)</f>
        <v/>
      </c>
    </row>
    <row r="1108">
      <c r="A1108">
        <f>IF(Sync!$Z1108="","",LEFT(UPPER(TRIM(Sync!$Z1108)),6))</f>
        <v/>
      </c>
      <c r="B1108">
        <f>IF($A1108="","",IF(Sync!$AA1108="","",Sync!$AA1108))</f>
        <v/>
      </c>
      <c r="C1108">
        <f>IF($A1108="","",IF(Sync!$AB1108="","",Sync!$AB1108))</f>
        <v/>
      </c>
      <c r="D1108">
        <f>IF($A1108="","",IF(Sync!$AC1108="","",Sync!$AC1108))</f>
        <v/>
      </c>
      <c r="E1108">
        <f>IF($A1108="","",IF(Sync!$AD1108="","",Sync!$AD1108))</f>
        <v/>
      </c>
      <c r="F1108">
        <f>IF($A1108="","",IF(Sync!$AE1108="",0,Sync!$AE1108))</f>
        <v/>
      </c>
      <c r="G1108">
        <f>IF($A1108="","",IF(Sync!$AF1108="",0,Sync!$AF1108))</f>
        <v/>
      </c>
      <c r="H1108">
        <f>IF(OR($A1108="",ROUND($F1108+$G1108,2)=0),"",$F1108+$G1108)</f>
        <v/>
      </c>
      <c r="I1108">
        <f>IF($H1108="","",IF(ROUND($F1108,2)&gt;0,$A1108,IF($D1108="شخصی قاسم","شخصی قاسم",IF($D1108="هزینه","هزینه: "&amp;IF($E1108="","متفرقه",$E1108),IF($C1108="پاس چک","چک پرداختی",IF(OR($B1108="",COUNTIF(AcctCodesA,$B1108)=0),"متفرقه",$B1108))))))</f>
        <v/>
      </c>
      <c r="J1108">
        <f>IF($H1108="","",IF(ROUND($F1108,2)&gt;0,IF($D1108="شخصی قاسم","شخصی قاسم",IF($D1108="هزینه","هزینه: "&amp;IF($E1108="","متفرقه",$E1108),IF(OR($B1108="",COUNTIF(AcctCodesA,$B1108)=0),"متفرقه",$B1108))),$A1108))</f>
        <v/>
      </c>
      <c r="K1108">
        <f>IF($A1108="","",IF(AND($B1108&lt;&gt;"",COUNTIF(AcctCodesA,$B1108)=0),"کد طرف در INFO تعریف نشده",IF(AND($D1108="هزینه",$E1108=""),"هزینه بدون زیرگروه",IF(AND($C1108="پاس چک",OR(Sync!$AJ1108="",COUNTIF(IssueNosA,Sync!$AJ1108)=0)),"شماره چک پاس‌شده معتبر نیست",""))))</f>
        <v/>
      </c>
      <c r="V1108">
        <f>IF($K1108="","",IF(ISNUMBER(Sync!$AK1108),Sync!$AK1108,LEFT(Sync!$AK1108,4)&amp;MID(Sync!$AK1108,6,2)&amp;RIGHT(Sync!$AK1108,2))&amp;"|"&amp;"4"&amp;RIGHT("00000"&amp;1103,5))</f>
        <v/>
      </c>
      <c r="W1108">
        <f>IF($V1108="",0,COUNTIFS($V$6:$V$2005,"&lt;"&amp;$V1108)-COUNTIFS($V$6:$V$2005,"&lt;"&amp;$V1108,$K$6:$K$2005,"")+1)</f>
        <v/>
      </c>
    </row>
    <row r="1109">
      <c r="A1109">
        <f>IF(Sync!$Z1109="","",LEFT(UPPER(TRIM(Sync!$Z1109)),6))</f>
        <v/>
      </c>
      <c r="B1109">
        <f>IF($A1109="","",IF(Sync!$AA1109="","",Sync!$AA1109))</f>
        <v/>
      </c>
      <c r="C1109">
        <f>IF($A1109="","",IF(Sync!$AB1109="","",Sync!$AB1109))</f>
        <v/>
      </c>
      <c r="D1109">
        <f>IF($A1109="","",IF(Sync!$AC1109="","",Sync!$AC1109))</f>
        <v/>
      </c>
      <c r="E1109">
        <f>IF($A1109="","",IF(Sync!$AD1109="","",Sync!$AD1109))</f>
        <v/>
      </c>
      <c r="F1109">
        <f>IF($A1109="","",IF(Sync!$AE1109="",0,Sync!$AE1109))</f>
        <v/>
      </c>
      <c r="G1109">
        <f>IF($A1109="","",IF(Sync!$AF1109="",0,Sync!$AF1109))</f>
        <v/>
      </c>
      <c r="H1109">
        <f>IF(OR($A1109="",ROUND($F1109+$G1109,2)=0),"",$F1109+$G1109)</f>
        <v/>
      </c>
      <c r="I1109">
        <f>IF($H1109="","",IF(ROUND($F1109,2)&gt;0,$A1109,IF($D1109="شخصی قاسم","شخصی قاسم",IF($D1109="هزینه","هزینه: "&amp;IF($E1109="","متفرقه",$E1109),IF($C1109="پاس چک","چک پرداختی",IF(OR($B1109="",COUNTIF(AcctCodesA,$B1109)=0),"متفرقه",$B1109))))))</f>
        <v/>
      </c>
      <c r="J1109">
        <f>IF($H1109="","",IF(ROUND($F1109,2)&gt;0,IF($D1109="شخصی قاسم","شخصی قاسم",IF($D1109="هزینه","هزینه: "&amp;IF($E1109="","متفرقه",$E1109),IF(OR($B1109="",COUNTIF(AcctCodesA,$B1109)=0),"متفرقه",$B1109))),$A1109))</f>
        <v/>
      </c>
      <c r="K1109">
        <f>IF($A1109="","",IF(AND($B1109&lt;&gt;"",COUNTIF(AcctCodesA,$B1109)=0),"کد طرف در INFO تعریف نشده",IF(AND($D1109="هزینه",$E1109=""),"هزینه بدون زیرگروه",IF(AND($C1109="پاس چک",OR(Sync!$AJ1109="",COUNTIF(IssueNosA,Sync!$AJ1109)=0)),"شماره چک پاس‌شده معتبر نیست",""))))</f>
        <v/>
      </c>
      <c r="V1109">
        <f>IF($K1109="","",IF(ISNUMBER(Sync!$AK1109),Sync!$AK1109,LEFT(Sync!$AK1109,4)&amp;MID(Sync!$AK1109,6,2)&amp;RIGHT(Sync!$AK1109,2))&amp;"|"&amp;"4"&amp;RIGHT("00000"&amp;1104,5))</f>
        <v/>
      </c>
      <c r="W1109">
        <f>IF($V1109="",0,COUNTIFS($V$6:$V$2005,"&lt;"&amp;$V1109)-COUNTIFS($V$6:$V$2005,"&lt;"&amp;$V1109,$K$6:$K$2005,"")+1)</f>
        <v/>
      </c>
    </row>
    <row r="1110">
      <c r="A1110">
        <f>IF(Sync!$Z1110="","",LEFT(UPPER(TRIM(Sync!$Z1110)),6))</f>
        <v/>
      </c>
      <c r="B1110">
        <f>IF($A1110="","",IF(Sync!$AA1110="","",Sync!$AA1110))</f>
        <v/>
      </c>
      <c r="C1110">
        <f>IF($A1110="","",IF(Sync!$AB1110="","",Sync!$AB1110))</f>
        <v/>
      </c>
      <c r="D1110">
        <f>IF($A1110="","",IF(Sync!$AC1110="","",Sync!$AC1110))</f>
        <v/>
      </c>
      <c r="E1110">
        <f>IF($A1110="","",IF(Sync!$AD1110="","",Sync!$AD1110))</f>
        <v/>
      </c>
      <c r="F1110">
        <f>IF($A1110="","",IF(Sync!$AE1110="",0,Sync!$AE1110))</f>
        <v/>
      </c>
      <c r="G1110">
        <f>IF($A1110="","",IF(Sync!$AF1110="",0,Sync!$AF1110))</f>
        <v/>
      </c>
      <c r="H1110">
        <f>IF(OR($A1110="",ROUND($F1110+$G1110,2)=0),"",$F1110+$G1110)</f>
        <v/>
      </c>
      <c r="I1110">
        <f>IF($H1110="","",IF(ROUND($F1110,2)&gt;0,$A1110,IF($D1110="شخصی قاسم","شخصی قاسم",IF($D1110="هزینه","هزینه: "&amp;IF($E1110="","متفرقه",$E1110),IF($C1110="پاس چک","چک پرداختی",IF(OR($B1110="",COUNTIF(AcctCodesA,$B1110)=0),"متفرقه",$B1110))))))</f>
        <v/>
      </c>
      <c r="J1110">
        <f>IF($H1110="","",IF(ROUND($F1110,2)&gt;0,IF($D1110="شخصی قاسم","شخصی قاسم",IF($D1110="هزینه","هزینه: "&amp;IF($E1110="","متفرقه",$E1110),IF(OR($B1110="",COUNTIF(AcctCodesA,$B1110)=0),"متفرقه",$B1110))),$A1110))</f>
        <v/>
      </c>
      <c r="K1110">
        <f>IF($A1110="","",IF(AND($B1110&lt;&gt;"",COUNTIF(AcctCodesA,$B1110)=0),"کد طرف در INFO تعریف نشده",IF(AND($D1110="هزینه",$E1110=""),"هزینه بدون زیرگروه",IF(AND($C1110="پاس چک",OR(Sync!$AJ1110="",COUNTIF(IssueNosA,Sync!$AJ1110)=0)),"شماره چک پاس‌شده معتبر نیست",""))))</f>
        <v/>
      </c>
      <c r="V1110">
        <f>IF($K1110="","",IF(ISNUMBER(Sync!$AK1110),Sync!$AK1110,LEFT(Sync!$AK1110,4)&amp;MID(Sync!$AK1110,6,2)&amp;RIGHT(Sync!$AK1110,2))&amp;"|"&amp;"4"&amp;RIGHT("00000"&amp;1105,5))</f>
        <v/>
      </c>
      <c r="W1110">
        <f>IF($V1110="",0,COUNTIFS($V$6:$V$2005,"&lt;"&amp;$V1110)-COUNTIFS($V$6:$V$2005,"&lt;"&amp;$V1110,$K$6:$K$2005,"")+1)</f>
        <v/>
      </c>
    </row>
    <row r="1111">
      <c r="A1111">
        <f>IF(Sync!$Z1111="","",LEFT(UPPER(TRIM(Sync!$Z1111)),6))</f>
        <v/>
      </c>
      <c r="B1111">
        <f>IF($A1111="","",IF(Sync!$AA1111="","",Sync!$AA1111))</f>
        <v/>
      </c>
      <c r="C1111">
        <f>IF($A1111="","",IF(Sync!$AB1111="","",Sync!$AB1111))</f>
        <v/>
      </c>
      <c r="D1111">
        <f>IF($A1111="","",IF(Sync!$AC1111="","",Sync!$AC1111))</f>
        <v/>
      </c>
      <c r="E1111">
        <f>IF($A1111="","",IF(Sync!$AD1111="","",Sync!$AD1111))</f>
        <v/>
      </c>
      <c r="F1111">
        <f>IF($A1111="","",IF(Sync!$AE1111="",0,Sync!$AE1111))</f>
        <v/>
      </c>
      <c r="G1111">
        <f>IF($A1111="","",IF(Sync!$AF1111="",0,Sync!$AF1111))</f>
        <v/>
      </c>
      <c r="H1111">
        <f>IF(OR($A1111="",ROUND($F1111+$G1111,2)=0),"",$F1111+$G1111)</f>
        <v/>
      </c>
      <c r="I1111">
        <f>IF($H1111="","",IF(ROUND($F1111,2)&gt;0,$A1111,IF($D1111="شخصی قاسم","شخصی قاسم",IF($D1111="هزینه","هزینه: "&amp;IF($E1111="","متفرقه",$E1111),IF($C1111="پاس چک","چک پرداختی",IF(OR($B1111="",COUNTIF(AcctCodesA,$B1111)=0),"متفرقه",$B1111))))))</f>
        <v/>
      </c>
      <c r="J1111">
        <f>IF($H1111="","",IF(ROUND($F1111,2)&gt;0,IF($D1111="شخصی قاسم","شخصی قاسم",IF($D1111="هزینه","هزینه: "&amp;IF($E1111="","متفرقه",$E1111),IF(OR($B1111="",COUNTIF(AcctCodesA,$B1111)=0),"متفرقه",$B1111))),$A1111))</f>
        <v/>
      </c>
      <c r="K1111">
        <f>IF($A1111="","",IF(AND($B1111&lt;&gt;"",COUNTIF(AcctCodesA,$B1111)=0),"کد طرف در INFO تعریف نشده",IF(AND($D1111="هزینه",$E1111=""),"هزینه بدون زیرگروه",IF(AND($C1111="پاس چک",OR(Sync!$AJ1111="",COUNTIF(IssueNosA,Sync!$AJ1111)=0)),"شماره چک پاس‌شده معتبر نیست",""))))</f>
        <v/>
      </c>
      <c r="V1111">
        <f>IF($K1111="","",IF(ISNUMBER(Sync!$AK1111),Sync!$AK1111,LEFT(Sync!$AK1111,4)&amp;MID(Sync!$AK1111,6,2)&amp;RIGHT(Sync!$AK1111,2))&amp;"|"&amp;"4"&amp;RIGHT("00000"&amp;1106,5))</f>
        <v/>
      </c>
      <c r="W1111">
        <f>IF($V1111="",0,COUNTIFS($V$6:$V$2005,"&lt;"&amp;$V1111)-COUNTIFS($V$6:$V$2005,"&lt;"&amp;$V1111,$K$6:$K$2005,"")+1)</f>
        <v/>
      </c>
    </row>
    <row r="1112">
      <c r="A1112">
        <f>IF(Sync!$Z1112="","",LEFT(UPPER(TRIM(Sync!$Z1112)),6))</f>
        <v/>
      </c>
      <c r="B1112">
        <f>IF($A1112="","",IF(Sync!$AA1112="","",Sync!$AA1112))</f>
        <v/>
      </c>
      <c r="C1112">
        <f>IF($A1112="","",IF(Sync!$AB1112="","",Sync!$AB1112))</f>
        <v/>
      </c>
      <c r="D1112">
        <f>IF($A1112="","",IF(Sync!$AC1112="","",Sync!$AC1112))</f>
        <v/>
      </c>
      <c r="E1112">
        <f>IF($A1112="","",IF(Sync!$AD1112="","",Sync!$AD1112))</f>
        <v/>
      </c>
      <c r="F1112">
        <f>IF($A1112="","",IF(Sync!$AE1112="",0,Sync!$AE1112))</f>
        <v/>
      </c>
      <c r="G1112">
        <f>IF($A1112="","",IF(Sync!$AF1112="",0,Sync!$AF1112))</f>
        <v/>
      </c>
      <c r="H1112">
        <f>IF(OR($A1112="",ROUND($F1112+$G1112,2)=0),"",$F1112+$G1112)</f>
        <v/>
      </c>
      <c r="I1112">
        <f>IF($H1112="","",IF(ROUND($F1112,2)&gt;0,$A1112,IF($D1112="شخصی قاسم","شخصی قاسم",IF($D1112="هزینه","هزینه: "&amp;IF($E1112="","متفرقه",$E1112),IF($C1112="پاس چک","چک پرداختی",IF(OR($B1112="",COUNTIF(AcctCodesA,$B1112)=0),"متفرقه",$B1112))))))</f>
        <v/>
      </c>
      <c r="J1112">
        <f>IF($H1112="","",IF(ROUND($F1112,2)&gt;0,IF($D1112="شخصی قاسم","شخصی قاسم",IF($D1112="هزینه","هزینه: "&amp;IF($E1112="","متفرقه",$E1112),IF(OR($B1112="",COUNTIF(AcctCodesA,$B1112)=0),"متفرقه",$B1112))),$A1112))</f>
        <v/>
      </c>
      <c r="K1112">
        <f>IF($A1112="","",IF(AND($B1112&lt;&gt;"",COUNTIF(AcctCodesA,$B1112)=0),"کد طرف در INFO تعریف نشده",IF(AND($D1112="هزینه",$E1112=""),"هزینه بدون زیرگروه",IF(AND($C1112="پاس چک",OR(Sync!$AJ1112="",COUNTIF(IssueNosA,Sync!$AJ1112)=0)),"شماره چک پاس‌شده معتبر نیست",""))))</f>
        <v/>
      </c>
      <c r="V1112">
        <f>IF($K1112="","",IF(ISNUMBER(Sync!$AK1112),Sync!$AK1112,LEFT(Sync!$AK1112,4)&amp;MID(Sync!$AK1112,6,2)&amp;RIGHT(Sync!$AK1112,2))&amp;"|"&amp;"4"&amp;RIGHT("00000"&amp;1107,5))</f>
        <v/>
      </c>
      <c r="W1112">
        <f>IF($V1112="",0,COUNTIFS($V$6:$V$2005,"&lt;"&amp;$V1112)-COUNTIFS($V$6:$V$2005,"&lt;"&amp;$V1112,$K$6:$K$2005,"")+1)</f>
        <v/>
      </c>
    </row>
    <row r="1113">
      <c r="A1113">
        <f>IF(Sync!$Z1113="","",LEFT(UPPER(TRIM(Sync!$Z1113)),6))</f>
        <v/>
      </c>
      <c r="B1113">
        <f>IF($A1113="","",IF(Sync!$AA1113="","",Sync!$AA1113))</f>
        <v/>
      </c>
      <c r="C1113">
        <f>IF($A1113="","",IF(Sync!$AB1113="","",Sync!$AB1113))</f>
        <v/>
      </c>
      <c r="D1113">
        <f>IF($A1113="","",IF(Sync!$AC1113="","",Sync!$AC1113))</f>
        <v/>
      </c>
      <c r="E1113">
        <f>IF($A1113="","",IF(Sync!$AD1113="","",Sync!$AD1113))</f>
        <v/>
      </c>
      <c r="F1113">
        <f>IF($A1113="","",IF(Sync!$AE1113="",0,Sync!$AE1113))</f>
        <v/>
      </c>
      <c r="G1113">
        <f>IF($A1113="","",IF(Sync!$AF1113="",0,Sync!$AF1113))</f>
        <v/>
      </c>
      <c r="H1113">
        <f>IF(OR($A1113="",ROUND($F1113+$G1113,2)=0),"",$F1113+$G1113)</f>
        <v/>
      </c>
      <c r="I1113">
        <f>IF($H1113="","",IF(ROUND($F1113,2)&gt;0,$A1113,IF($D1113="شخصی قاسم","شخصی قاسم",IF($D1113="هزینه","هزینه: "&amp;IF($E1113="","متفرقه",$E1113),IF($C1113="پاس چک","چک پرداختی",IF(OR($B1113="",COUNTIF(AcctCodesA,$B1113)=0),"متفرقه",$B1113))))))</f>
        <v/>
      </c>
      <c r="J1113">
        <f>IF($H1113="","",IF(ROUND($F1113,2)&gt;0,IF($D1113="شخصی قاسم","شخصی قاسم",IF($D1113="هزینه","هزینه: "&amp;IF($E1113="","متفرقه",$E1113),IF(OR($B1113="",COUNTIF(AcctCodesA,$B1113)=0),"متفرقه",$B1113))),$A1113))</f>
        <v/>
      </c>
      <c r="K1113">
        <f>IF($A1113="","",IF(AND($B1113&lt;&gt;"",COUNTIF(AcctCodesA,$B1113)=0),"کد طرف در INFO تعریف نشده",IF(AND($D1113="هزینه",$E1113=""),"هزینه بدون زیرگروه",IF(AND($C1113="پاس چک",OR(Sync!$AJ1113="",COUNTIF(IssueNosA,Sync!$AJ1113)=0)),"شماره چک پاس‌شده معتبر نیست",""))))</f>
        <v/>
      </c>
      <c r="V1113">
        <f>IF($K1113="","",IF(ISNUMBER(Sync!$AK1113),Sync!$AK1113,LEFT(Sync!$AK1113,4)&amp;MID(Sync!$AK1113,6,2)&amp;RIGHT(Sync!$AK1113,2))&amp;"|"&amp;"4"&amp;RIGHT("00000"&amp;1108,5))</f>
        <v/>
      </c>
      <c r="W1113">
        <f>IF($V1113="",0,COUNTIFS($V$6:$V$2005,"&lt;"&amp;$V1113)-COUNTIFS($V$6:$V$2005,"&lt;"&amp;$V1113,$K$6:$K$2005,"")+1)</f>
        <v/>
      </c>
    </row>
    <row r="1114">
      <c r="A1114">
        <f>IF(Sync!$Z1114="","",LEFT(UPPER(TRIM(Sync!$Z1114)),6))</f>
        <v/>
      </c>
      <c r="B1114">
        <f>IF($A1114="","",IF(Sync!$AA1114="","",Sync!$AA1114))</f>
        <v/>
      </c>
      <c r="C1114">
        <f>IF($A1114="","",IF(Sync!$AB1114="","",Sync!$AB1114))</f>
        <v/>
      </c>
      <c r="D1114">
        <f>IF($A1114="","",IF(Sync!$AC1114="","",Sync!$AC1114))</f>
        <v/>
      </c>
      <c r="E1114">
        <f>IF($A1114="","",IF(Sync!$AD1114="","",Sync!$AD1114))</f>
        <v/>
      </c>
      <c r="F1114">
        <f>IF($A1114="","",IF(Sync!$AE1114="",0,Sync!$AE1114))</f>
        <v/>
      </c>
      <c r="G1114">
        <f>IF($A1114="","",IF(Sync!$AF1114="",0,Sync!$AF1114))</f>
        <v/>
      </c>
      <c r="H1114">
        <f>IF(OR($A1114="",ROUND($F1114+$G1114,2)=0),"",$F1114+$G1114)</f>
        <v/>
      </c>
      <c r="I1114">
        <f>IF($H1114="","",IF(ROUND($F1114,2)&gt;0,$A1114,IF($D1114="شخصی قاسم","شخصی قاسم",IF($D1114="هزینه","هزینه: "&amp;IF($E1114="","متفرقه",$E1114),IF($C1114="پاس چک","چک پرداختی",IF(OR($B1114="",COUNTIF(AcctCodesA,$B1114)=0),"متفرقه",$B1114))))))</f>
        <v/>
      </c>
      <c r="J1114">
        <f>IF($H1114="","",IF(ROUND($F1114,2)&gt;0,IF($D1114="شخصی قاسم","شخصی قاسم",IF($D1114="هزینه","هزینه: "&amp;IF($E1114="","متفرقه",$E1114),IF(OR($B1114="",COUNTIF(AcctCodesA,$B1114)=0),"متفرقه",$B1114))),$A1114))</f>
        <v/>
      </c>
      <c r="K1114">
        <f>IF($A1114="","",IF(AND($B1114&lt;&gt;"",COUNTIF(AcctCodesA,$B1114)=0),"کد طرف در INFO تعریف نشده",IF(AND($D1114="هزینه",$E1114=""),"هزینه بدون زیرگروه",IF(AND($C1114="پاس چک",OR(Sync!$AJ1114="",COUNTIF(IssueNosA,Sync!$AJ1114)=0)),"شماره چک پاس‌شده معتبر نیست",""))))</f>
        <v/>
      </c>
      <c r="V1114">
        <f>IF($K1114="","",IF(ISNUMBER(Sync!$AK1114),Sync!$AK1114,LEFT(Sync!$AK1114,4)&amp;MID(Sync!$AK1114,6,2)&amp;RIGHT(Sync!$AK1114,2))&amp;"|"&amp;"4"&amp;RIGHT("00000"&amp;1109,5))</f>
        <v/>
      </c>
      <c r="W1114">
        <f>IF($V1114="",0,COUNTIFS($V$6:$V$2005,"&lt;"&amp;$V1114)-COUNTIFS($V$6:$V$2005,"&lt;"&amp;$V1114,$K$6:$K$2005,"")+1)</f>
        <v/>
      </c>
    </row>
    <row r="1115">
      <c r="A1115">
        <f>IF(Sync!$Z1115="","",LEFT(UPPER(TRIM(Sync!$Z1115)),6))</f>
        <v/>
      </c>
      <c r="B1115">
        <f>IF($A1115="","",IF(Sync!$AA1115="","",Sync!$AA1115))</f>
        <v/>
      </c>
      <c r="C1115">
        <f>IF($A1115="","",IF(Sync!$AB1115="","",Sync!$AB1115))</f>
        <v/>
      </c>
      <c r="D1115">
        <f>IF($A1115="","",IF(Sync!$AC1115="","",Sync!$AC1115))</f>
        <v/>
      </c>
      <c r="E1115">
        <f>IF($A1115="","",IF(Sync!$AD1115="","",Sync!$AD1115))</f>
        <v/>
      </c>
      <c r="F1115">
        <f>IF($A1115="","",IF(Sync!$AE1115="",0,Sync!$AE1115))</f>
        <v/>
      </c>
      <c r="G1115">
        <f>IF($A1115="","",IF(Sync!$AF1115="",0,Sync!$AF1115))</f>
        <v/>
      </c>
      <c r="H1115">
        <f>IF(OR($A1115="",ROUND($F1115+$G1115,2)=0),"",$F1115+$G1115)</f>
        <v/>
      </c>
      <c r="I1115">
        <f>IF($H1115="","",IF(ROUND($F1115,2)&gt;0,$A1115,IF($D1115="شخصی قاسم","شخصی قاسم",IF($D1115="هزینه","هزینه: "&amp;IF($E1115="","متفرقه",$E1115),IF($C1115="پاس چک","چک پرداختی",IF(OR($B1115="",COUNTIF(AcctCodesA,$B1115)=0),"متفرقه",$B1115))))))</f>
        <v/>
      </c>
      <c r="J1115">
        <f>IF($H1115="","",IF(ROUND($F1115,2)&gt;0,IF($D1115="شخصی قاسم","شخصی قاسم",IF($D1115="هزینه","هزینه: "&amp;IF($E1115="","متفرقه",$E1115),IF(OR($B1115="",COUNTIF(AcctCodesA,$B1115)=0),"متفرقه",$B1115))),$A1115))</f>
        <v/>
      </c>
      <c r="K1115">
        <f>IF($A1115="","",IF(AND($B1115&lt;&gt;"",COUNTIF(AcctCodesA,$B1115)=0),"کد طرف در INFO تعریف نشده",IF(AND($D1115="هزینه",$E1115=""),"هزینه بدون زیرگروه",IF(AND($C1115="پاس چک",OR(Sync!$AJ1115="",COUNTIF(IssueNosA,Sync!$AJ1115)=0)),"شماره چک پاس‌شده معتبر نیست",""))))</f>
        <v/>
      </c>
      <c r="V1115">
        <f>IF($K1115="","",IF(ISNUMBER(Sync!$AK1115),Sync!$AK1115,LEFT(Sync!$AK1115,4)&amp;MID(Sync!$AK1115,6,2)&amp;RIGHT(Sync!$AK1115,2))&amp;"|"&amp;"4"&amp;RIGHT("00000"&amp;1110,5))</f>
        <v/>
      </c>
      <c r="W1115">
        <f>IF($V1115="",0,COUNTIFS($V$6:$V$2005,"&lt;"&amp;$V1115)-COUNTIFS($V$6:$V$2005,"&lt;"&amp;$V1115,$K$6:$K$2005,"")+1)</f>
        <v/>
      </c>
    </row>
    <row r="1116">
      <c r="A1116">
        <f>IF(Sync!$Z1116="","",LEFT(UPPER(TRIM(Sync!$Z1116)),6))</f>
        <v/>
      </c>
      <c r="B1116">
        <f>IF($A1116="","",IF(Sync!$AA1116="","",Sync!$AA1116))</f>
        <v/>
      </c>
      <c r="C1116">
        <f>IF($A1116="","",IF(Sync!$AB1116="","",Sync!$AB1116))</f>
        <v/>
      </c>
      <c r="D1116">
        <f>IF($A1116="","",IF(Sync!$AC1116="","",Sync!$AC1116))</f>
        <v/>
      </c>
      <c r="E1116">
        <f>IF($A1116="","",IF(Sync!$AD1116="","",Sync!$AD1116))</f>
        <v/>
      </c>
      <c r="F1116">
        <f>IF($A1116="","",IF(Sync!$AE1116="",0,Sync!$AE1116))</f>
        <v/>
      </c>
      <c r="G1116">
        <f>IF($A1116="","",IF(Sync!$AF1116="",0,Sync!$AF1116))</f>
        <v/>
      </c>
      <c r="H1116">
        <f>IF(OR($A1116="",ROUND($F1116+$G1116,2)=0),"",$F1116+$G1116)</f>
        <v/>
      </c>
      <c r="I1116">
        <f>IF($H1116="","",IF(ROUND($F1116,2)&gt;0,$A1116,IF($D1116="شخصی قاسم","شخصی قاسم",IF($D1116="هزینه","هزینه: "&amp;IF($E1116="","متفرقه",$E1116),IF($C1116="پاس چک","چک پرداختی",IF(OR($B1116="",COUNTIF(AcctCodesA,$B1116)=0),"متفرقه",$B1116))))))</f>
        <v/>
      </c>
      <c r="J1116">
        <f>IF($H1116="","",IF(ROUND($F1116,2)&gt;0,IF($D1116="شخصی قاسم","شخصی قاسم",IF($D1116="هزینه","هزینه: "&amp;IF($E1116="","متفرقه",$E1116),IF(OR($B1116="",COUNTIF(AcctCodesA,$B1116)=0),"متفرقه",$B1116))),$A1116))</f>
        <v/>
      </c>
      <c r="K1116">
        <f>IF($A1116="","",IF(AND($B1116&lt;&gt;"",COUNTIF(AcctCodesA,$B1116)=0),"کد طرف در INFO تعریف نشده",IF(AND($D1116="هزینه",$E1116=""),"هزینه بدون زیرگروه",IF(AND($C1116="پاس چک",OR(Sync!$AJ1116="",COUNTIF(IssueNosA,Sync!$AJ1116)=0)),"شماره چک پاس‌شده معتبر نیست",""))))</f>
        <v/>
      </c>
      <c r="V1116">
        <f>IF($K1116="","",IF(ISNUMBER(Sync!$AK1116),Sync!$AK1116,LEFT(Sync!$AK1116,4)&amp;MID(Sync!$AK1116,6,2)&amp;RIGHT(Sync!$AK1116,2))&amp;"|"&amp;"4"&amp;RIGHT("00000"&amp;1111,5))</f>
        <v/>
      </c>
      <c r="W1116">
        <f>IF($V1116="",0,COUNTIFS($V$6:$V$2005,"&lt;"&amp;$V1116)-COUNTIFS($V$6:$V$2005,"&lt;"&amp;$V1116,$K$6:$K$2005,"")+1)</f>
        <v/>
      </c>
    </row>
    <row r="1117">
      <c r="A1117">
        <f>IF(Sync!$Z1117="","",LEFT(UPPER(TRIM(Sync!$Z1117)),6))</f>
        <v/>
      </c>
      <c r="B1117">
        <f>IF($A1117="","",IF(Sync!$AA1117="","",Sync!$AA1117))</f>
        <v/>
      </c>
      <c r="C1117">
        <f>IF($A1117="","",IF(Sync!$AB1117="","",Sync!$AB1117))</f>
        <v/>
      </c>
      <c r="D1117">
        <f>IF($A1117="","",IF(Sync!$AC1117="","",Sync!$AC1117))</f>
        <v/>
      </c>
      <c r="E1117">
        <f>IF($A1117="","",IF(Sync!$AD1117="","",Sync!$AD1117))</f>
        <v/>
      </c>
      <c r="F1117">
        <f>IF($A1117="","",IF(Sync!$AE1117="",0,Sync!$AE1117))</f>
        <v/>
      </c>
      <c r="G1117">
        <f>IF($A1117="","",IF(Sync!$AF1117="",0,Sync!$AF1117))</f>
        <v/>
      </c>
      <c r="H1117">
        <f>IF(OR($A1117="",ROUND($F1117+$G1117,2)=0),"",$F1117+$G1117)</f>
        <v/>
      </c>
      <c r="I1117">
        <f>IF($H1117="","",IF(ROUND($F1117,2)&gt;0,$A1117,IF($D1117="شخصی قاسم","شخصی قاسم",IF($D1117="هزینه","هزینه: "&amp;IF($E1117="","متفرقه",$E1117),IF($C1117="پاس چک","چک پرداختی",IF(OR($B1117="",COUNTIF(AcctCodesA,$B1117)=0),"متفرقه",$B1117))))))</f>
        <v/>
      </c>
      <c r="J1117">
        <f>IF($H1117="","",IF(ROUND($F1117,2)&gt;0,IF($D1117="شخصی قاسم","شخصی قاسم",IF($D1117="هزینه","هزینه: "&amp;IF($E1117="","متفرقه",$E1117),IF(OR($B1117="",COUNTIF(AcctCodesA,$B1117)=0),"متفرقه",$B1117))),$A1117))</f>
        <v/>
      </c>
      <c r="K1117">
        <f>IF($A1117="","",IF(AND($B1117&lt;&gt;"",COUNTIF(AcctCodesA,$B1117)=0),"کد طرف در INFO تعریف نشده",IF(AND($D1117="هزینه",$E1117=""),"هزینه بدون زیرگروه",IF(AND($C1117="پاس چک",OR(Sync!$AJ1117="",COUNTIF(IssueNosA,Sync!$AJ1117)=0)),"شماره چک پاس‌شده معتبر نیست",""))))</f>
        <v/>
      </c>
      <c r="V1117">
        <f>IF($K1117="","",IF(ISNUMBER(Sync!$AK1117),Sync!$AK1117,LEFT(Sync!$AK1117,4)&amp;MID(Sync!$AK1117,6,2)&amp;RIGHT(Sync!$AK1117,2))&amp;"|"&amp;"4"&amp;RIGHT("00000"&amp;1112,5))</f>
        <v/>
      </c>
      <c r="W1117">
        <f>IF($V1117="",0,COUNTIFS($V$6:$V$2005,"&lt;"&amp;$V1117)-COUNTIFS($V$6:$V$2005,"&lt;"&amp;$V1117,$K$6:$K$2005,"")+1)</f>
        <v/>
      </c>
    </row>
    <row r="1118">
      <c r="A1118">
        <f>IF(Sync!$Z1118="","",LEFT(UPPER(TRIM(Sync!$Z1118)),6))</f>
        <v/>
      </c>
      <c r="B1118">
        <f>IF($A1118="","",IF(Sync!$AA1118="","",Sync!$AA1118))</f>
        <v/>
      </c>
      <c r="C1118">
        <f>IF($A1118="","",IF(Sync!$AB1118="","",Sync!$AB1118))</f>
        <v/>
      </c>
      <c r="D1118">
        <f>IF($A1118="","",IF(Sync!$AC1118="","",Sync!$AC1118))</f>
        <v/>
      </c>
      <c r="E1118">
        <f>IF($A1118="","",IF(Sync!$AD1118="","",Sync!$AD1118))</f>
        <v/>
      </c>
      <c r="F1118">
        <f>IF($A1118="","",IF(Sync!$AE1118="",0,Sync!$AE1118))</f>
        <v/>
      </c>
      <c r="G1118">
        <f>IF($A1118="","",IF(Sync!$AF1118="",0,Sync!$AF1118))</f>
        <v/>
      </c>
      <c r="H1118">
        <f>IF(OR($A1118="",ROUND($F1118+$G1118,2)=0),"",$F1118+$G1118)</f>
        <v/>
      </c>
      <c r="I1118">
        <f>IF($H1118="","",IF(ROUND($F1118,2)&gt;0,$A1118,IF($D1118="شخصی قاسم","شخصی قاسم",IF($D1118="هزینه","هزینه: "&amp;IF($E1118="","متفرقه",$E1118),IF($C1118="پاس چک","چک پرداختی",IF(OR($B1118="",COUNTIF(AcctCodesA,$B1118)=0),"متفرقه",$B1118))))))</f>
        <v/>
      </c>
      <c r="J1118">
        <f>IF($H1118="","",IF(ROUND($F1118,2)&gt;0,IF($D1118="شخصی قاسم","شخصی قاسم",IF($D1118="هزینه","هزینه: "&amp;IF($E1118="","متفرقه",$E1118),IF(OR($B1118="",COUNTIF(AcctCodesA,$B1118)=0),"متفرقه",$B1118))),$A1118))</f>
        <v/>
      </c>
      <c r="K1118">
        <f>IF($A1118="","",IF(AND($B1118&lt;&gt;"",COUNTIF(AcctCodesA,$B1118)=0),"کد طرف در INFO تعریف نشده",IF(AND($D1118="هزینه",$E1118=""),"هزینه بدون زیرگروه",IF(AND($C1118="پاس چک",OR(Sync!$AJ1118="",COUNTIF(IssueNosA,Sync!$AJ1118)=0)),"شماره چک پاس‌شده معتبر نیست",""))))</f>
        <v/>
      </c>
      <c r="V1118">
        <f>IF($K1118="","",IF(ISNUMBER(Sync!$AK1118),Sync!$AK1118,LEFT(Sync!$AK1118,4)&amp;MID(Sync!$AK1118,6,2)&amp;RIGHT(Sync!$AK1118,2))&amp;"|"&amp;"4"&amp;RIGHT("00000"&amp;1113,5))</f>
        <v/>
      </c>
      <c r="W1118">
        <f>IF($V1118="",0,COUNTIFS($V$6:$V$2005,"&lt;"&amp;$V1118)-COUNTIFS($V$6:$V$2005,"&lt;"&amp;$V1118,$K$6:$K$2005,"")+1)</f>
        <v/>
      </c>
    </row>
    <row r="1119">
      <c r="A1119">
        <f>IF(Sync!$Z1119="","",LEFT(UPPER(TRIM(Sync!$Z1119)),6))</f>
        <v/>
      </c>
      <c r="B1119">
        <f>IF($A1119="","",IF(Sync!$AA1119="","",Sync!$AA1119))</f>
        <v/>
      </c>
      <c r="C1119">
        <f>IF($A1119="","",IF(Sync!$AB1119="","",Sync!$AB1119))</f>
        <v/>
      </c>
      <c r="D1119">
        <f>IF($A1119="","",IF(Sync!$AC1119="","",Sync!$AC1119))</f>
        <v/>
      </c>
      <c r="E1119">
        <f>IF($A1119="","",IF(Sync!$AD1119="","",Sync!$AD1119))</f>
        <v/>
      </c>
      <c r="F1119">
        <f>IF($A1119="","",IF(Sync!$AE1119="",0,Sync!$AE1119))</f>
        <v/>
      </c>
      <c r="G1119">
        <f>IF($A1119="","",IF(Sync!$AF1119="",0,Sync!$AF1119))</f>
        <v/>
      </c>
      <c r="H1119">
        <f>IF(OR($A1119="",ROUND($F1119+$G1119,2)=0),"",$F1119+$G1119)</f>
        <v/>
      </c>
      <c r="I1119">
        <f>IF($H1119="","",IF(ROUND($F1119,2)&gt;0,$A1119,IF($D1119="شخصی قاسم","شخصی قاسم",IF($D1119="هزینه","هزینه: "&amp;IF($E1119="","متفرقه",$E1119),IF($C1119="پاس چک","چک پرداختی",IF(OR($B1119="",COUNTIF(AcctCodesA,$B1119)=0),"متفرقه",$B1119))))))</f>
        <v/>
      </c>
      <c r="J1119">
        <f>IF($H1119="","",IF(ROUND($F1119,2)&gt;0,IF($D1119="شخصی قاسم","شخصی قاسم",IF($D1119="هزینه","هزینه: "&amp;IF($E1119="","متفرقه",$E1119),IF(OR($B1119="",COUNTIF(AcctCodesA,$B1119)=0),"متفرقه",$B1119))),$A1119))</f>
        <v/>
      </c>
      <c r="K1119">
        <f>IF($A1119="","",IF(AND($B1119&lt;&gt;"",COUNTIF(AcctCodesA,$B1119)=0),"کد طرف در INFO تعریف نشده",IF(AND($D1119="هزینه",$E1119=""),"هزینه بدون زیرگروه",IF(AND($C1119="پاس چک",OR(Sync!$AJ1119="",COUNTIF(IssueNosA,Sync!$AJ1119)=0)),"شماره چک پاس‌شده معتبر نیست",""))))</f>
        <v/>
      </c>
      <c r="V1119">
        <f>IF($K1119="","",IF(ISNUMBER(Sync!$AK1119),Sync!$AK1119,LEFT(Sync!$AK1119,4)&amp;MID(Sync!$AK1119,6,2)&amp;RIGHT(Sync!$AK1119,2))&amp;"|"&amp;"4"&amp;RIGHT("00000"&amp;1114,5))</f>
        <v/>
      </c>
      <c r="W1119">
        <f>IF($V1119="",0,COUNTIFS($V$6:$V$2005,"&lt;"&amp;$V1119)-COUNTIFS($V$6:$V$2005,"&lt;"&amp;$V1119,$K$6:$K$2005,"")+1)</f>
        <v/>
      </c>
    </row>
    <row r="1120">
      <c r="A1120">
        <f>IF(Sync!$Z1120="","",LEFT(UPPER(TRIM(Sync!$Z1120)),6))</f>
        <v/>
      </c>
      <c r="B1120">
        <f>IF($A1120="","",IF(Sync!$AA1120="","",Sync!$AA1120))</f>
        <v/>
      </c>
      <c r="C1120">
        <f>IF($A1120="","",IF(Sync!$AB1120="","",Sync!$AB1120))</f>
        <v/>
      </c>
      <c r="D1120">
        <f>IF($A1120="","",IF(Sync!$AC1120="","",Sync!$AC1120))</f>
        <v/>
      </c>
      <c r="E1120">
        <f>IF($A1120="","",IF(Sync!$AD1120="","",Sync!$AD1120))</f>
        <v/>
      </c>
      <c r="F1120">
        <f>IF($A1120="","",IF(Sync!$AE1120="",0,Sync!$AE1120))</f>
        <v/>
      </c>
      <c r="G1120">
        <f>IF($A1120="","",IF(Sync!$AF1120="",0,Sync!$AF1120))</f>
        <v/>
      </c>
      <c r="H1120">
        <f>IF(OR($A1120="",ROUND($F1120+$G1120,2)=0),"",$F1120+$G1120)</f>
        <v/>
      </c>
      <c r="I1120">
        <f>IF($H1120="","",IF(ROUND($F1120,2)&gt;0,$A1120,IF($D1120="شخصی قاسم","شخصی قاسم",IF($D1120="هزینه","هزینه: "&amp;IF($E1120="","متفرقه",$E1120),IF($C1120="پاس چک","چک پرداختی",IF(OR($B1120="",COUNTIF(AcctCodesA,$B1120)=0),"متفرقه",$B1120))))))</f>
        <v/>
      </c>
      <c r="J1120">
        <f>IF($H1120="","",IF(ROUND($F1120,2)&gt;0,IF($D1120="شخصی قاسم","شخصی قاسم",IF($D1120="هزینه","هزینه: "&amp;IF($E1120="","متفرقه",$E1120),IF(OR($B1120="",COUNTIF(AcctCodesA,$B1120)=0),"متفرقه",$B1120))),$A1120))</f>
        <v/>
      </c>
      <c r="K1120">
        <f>IF($A1120="","",IF(AND($B1120&lt;&gt;"",COUNTIF(AcctCodesA,$B1120)=0),"کد طرف در INFO تعریف نشده",IF(AND($D1120="هزینه",$E1120=""),"هزینه بدون زیرگروه",IF(AND($C1120="پاس چک",OR(Sync!$AJ1120="",COUNTIF(IssueNosA,Sync!$AJ1120)=0)),"شماره چک پاس‌شده معتبر نیست",""))))</f>
        <v/>
      </c>
      <c r="V1120">
        <f>IF($K1120="","",IF(ISNUMBER(Sync!$AK1120),Sync!$AK1120,LEFT(Sync!$AK1120,4)&amp;MID(Sync!$AK1120,6,2)&amp;RIGHT(Sync!$AK1120,2))&amp;"|"&amp;"4"&amp;RIGHT("00000"&amp;1115,5))</f>
        <v/>
      </c>
      <c r="W1120">
        <f>IF($V1120="",0,COUNTIFS($V$6:$V$2005,"&lt;"&amp;$V1120)-COUNTIFS($V$6:$V$2005,"&lt;"&amp;$V1120,$K$6:$K$2005,"")+1)</f>
        <v/>
      </c>
    </row>
    <row r="1121">
      <c r="A1121">
        <f>IF(Sync!$Z1121="","",LEFT(UPPER(TRIM(Sync!$Z1121)),6))</f>
        <v/>
      </c>
      <c r="B1121">
        <f>IF($A1121="","",IF(Sync!$AA1121="","",Sync!$AA1121))</f>
        <v/>
      </c>
      <c r="C1121">
        <f>IF($A1121="","",IF(Sync!$AB1121="","",Sync!$AB1121))</f>
        <v/>
      </c>
      <c r="D1121">
        <f>IF($A1121="","",IF(Sync!$AC1121="","",Sync!$AC1121))</f>
        <v/>
      </c>
      <c r="E1121">
        <f>IF($A1121="","",IF(Sync!$AD1121="","",Sync!$AD1121))</f>
        <v/>
      </c>
      <c r="F1121">
        <f>IF($A1121="","",IF(Sync!$AE1121="",0,Sync!$AE1121))</f>
        <v/>
      </c>
      <c r="G1121">
        <f>IF($A1121="","",IF(Sync!$AF1121="",0,Sync!$AF1121))</f>
        <v/>
      </c>
      <c r="H1121">
        <f>IF(OR($A1121="",ROUND($F1121+$G1121,2)=0),"",$F1121+$G1121)</f>
        <v/>
      </c>
      <c r="I1121">
        <f>IF($H1121="","",IF(ROUND($F1121,2)&gt;0,$A1121,IF($D1121="شخصی قاسم","شخصی قاسم",IF($D1121="هزینه","هزینه: "&amp;IF($E1121="","متفرقه",$E1121),IF($C1121="پاس چک","چک پرداختی",IF(OR($B1121="",COUNTIF(AcctCodesA,$B1121)=0),"متفرقه",$B1121))))))</f>
        <v/>
      </c>
      <c r="J1121">
        <f>IF($H1121="","",IF(ROUND($F1121,2)&gt;0,IF($D1121="شخصی قاسم","شخصی قاسم",IF($D1121="هزینه","هزینه: "&amp;IF($E1121="","متفرقه",$E1121),IF(OR($B1121="",COUNTIF(AcctCodesA,$B1121)=0),"متفرقه",$B1121))),$A1121))</f>
        <v/>
      </c>
      <c r="K1121">
        <f>IF($A1121="","",IF(AND($B1121&lt;&gt;"",COUNTIF(AcctCodesA,$B1121)=0),"کد طرف در INFO تعریف نشده",IF(AND($D1121="هزینه",$E1121=""),"هزینه بدون زیرگروه",IF(AND($C1121="پاس چک",OR(Sync!$AJ1121="",COUNTIF(IssueNosA,Sync!$AJ1121)=0)),"شماره چک پاس‌شده معتبر نیست",""))))</f>
        <v/>
      </c>
      <c r="V1121">
        <f>IF($K1121="","",IF(ISNUMBER(Sync!$AK1121),Sync!$AK1121,LEFT(Sync!$AK1121,4)&amp;MID(Sync!$AK1121,6,2)&amp;RIGHT(Sync!$AK1121,2))&amp;"|"&amp;"4"&amp;RIGHT("00000"&amp;1116,5))</f>
        <v/>
      </c>
      <c r="W1121">
        <f>IF($V1121="",0,COUNTIFS($V$6:$V$2005,"&lt;"&amp;$V1121)-COUNTIFS($V$6:$V$2005,"&lt;"&amp;$V1121,$K$6:$K$2005,"")+1)</f>
        <v/>
      </c>
    </row>
    <row r="1122">
      <c r="A1122">
        <f>IF(Sync!$Z1122="","",LEFT(UPPER(TRIM(Sync!$Z1122)),6))</f>
        <v/>
      </c>
      <c r="B1122">
        <f>IF($A1122="","",IF(Sync!$AA1122="","",Sync!$AA1122))</f>
        <v/>
      </c>
      <c r="C1122">
        <f>IF($A1122="","",IF(Sync!$AB1122="","",Sync!$AB1122))</f>
        <v/>
      </c>
      <c r="D1122">
        <f>IF($A1122="","",IF(Sync!$AC1122="","",Sync!$AC1122))</f>
        <v/>
      </c>
      <c r="E1122">
        <f>IF($A1122="","",IF(Sync!$AD1122="","",Sync!$AD1122))</f>
        <v/>
      </c>
      <c r="F1122">
        <f>IF($A1122="","",IF(Sync!$AE1122="",0,Sync!$AE1122))</f>
        <v/>
      </c>
      <c r="G1122">
        <f>IF($A1122="","",IF(Sync!$AF1122="",0,Sync!$AF1122))</f>
        <v/>
      </c>
      <c r="H1122">
        <f>IF(OR($A1122="",ROUND($F1122+$G1122,2)=0),"",$F1122+$G1122)</f>
        <v/>
      </c>
      <c r="I1122">
        <f>IF($H1122="","",IF(ROUND($F1122,2)&gt;0,$A1122,IF($D1122="شخصی قاسم","شخصی قاسم",IF($D1122="هزینه","هزینه: "&amp;IF($E1122="","متفرقه",$E1122),IF($C1122="پاس چک","چک پرداختی",IF(OR($B1122="",COUNTIF(AcctCodesA,$B1122)=0),"متفرقه",$B1122))))))</f>
        <v/>
      </c>
      <c r="J1122">
        <f>IF($H1122="","",IF(ROUND($F1122,2)&gt;0,IF($D1122="شخصی قاسم","شخصی قاسم",IF($D1122="هزینه","هزینه: "&amp;IF($E1122="","متفرقه",$E1122),IF(OR($B1122="",COUNTIF(AcctCodesA,$B1122)=0),"متفرقه",$B1122))),$A1122))</f>
        <v/>
      </c>
      <c r="K1122">
        <f>IF($A1122="","",IF(AND($B1122&lt;&gt;"",COUNTIF(AcctCodesA,$B1122)=0),"کد طرف در INFO تعریف نشده",IF(AND($D1122="هزینه",$E1122=""),"هزینه بدون زیرگروه",IF(AND($C1122="پاس چک",OR(Sync!$AJ1122="",COUNTIF(IssueNosA,Sync!$AJ1122)=0)),"شماره چک پاس‌شده معتبر نیست",""))))</f>
        <v/>
      </c>
      <c r="V1122">
        <f>IF($K1122="","",IF(ISNUMBER(Sync!$AK1122),Sync!$AK1122,LEFT(Sync!$AK1122,4)&amp;MID(Sync!$AK1122,6,2)&amp;RIGHT(Sync!$AK1122,2))&amp;"|"&amp;"4"&amp;RIGHT("00000"&amp;1117,5))</f>
        <v/>
      </c>
      <c r="W1122">
        <f>IF($V1122="",0,COUNTIFS($V$6:$V$2005,"&lt;"&amp;$V1122)-COUNTIFS($V$6:$V$2005,"&lt;"&amp;$V1122,$K$6:$K$2005,"")+1)</f>
        <v/>
      </c>
    </row>
    <row r="1123">
      <c r="A1123">
        <f>IF(Sync!$Z1123="","",LEFT(UPPER(TRIM(Sync!$Z1123)),6))</f>
        <v/>
      </c>
      <c r="B1123">
        <f>IF($A1123="","",IF(Sync!$AA1123="","",Sync!$AA1123))</f>
        <v/>
      </c>
      <c r="C1123">
        <f>IF($A1123="","",IF(Sync!$AB1123="","",Sync!$AB1123))</f>
        <v/>
      </c>
      <c r="D1123">
        <f>IF($A1123="","",IF(Sync!$AC1123="","",Sync!$AC1123))</f>
        <v/>
      </c>
      <c r="E1123">
        <f>IF($A1123="","",IF(Sync!$AD1123="","",Sync!$AD1123))</f>
        <v/>
      </c>
      <c r="F1123">
        <f>IF($A1123="","",IF(Sync!$AE1123="",0,Sync!$AE1123))</f>
        <v/>
      </c>
      <c r="G1123">
        <f>IF($A1123="","",IF(Sync!$AF1123="",0,Sync!$AF1123))</f>
        <v/>
      </c>
      <c r="H1123">
        <f>IF(OR($A1123="",ROUND($F1123+$G1123,2)=0),"",$F1123+$G1123)</f>
        <v/>
      </c>
      <c r="I1123">
        <f>IF($H1123="","",IF(ROUND($F1123,2)&gt;0,$A1123,IF($D1123="شخصی قاسم","شخصی قاسم",IF($D1123="هزینه","هزینه: "&amp;IF($E1123="","متفرقه",$E1123),IF($C1123="پاس چک","چک پرداختی",IF(OR($B1123="",COUNTIF(AcctCodesA,$B1123)=0),"متفرقه",$B1123))))))</f>
        <v/>
      </c>
      <c r="J1123">
        <f>IF($H1123="","",IF(ROUND($F1123,2)&gt;0,IF($D1123="شخصی قاسم","شخصی قاسم",IF($D1123="هزینه","هزینه: "&amp;IF($E1123="","متفرقه",$E1123),IF(OR($B1123="",COUNTIF(AcctCodesA,$B1123)=0),"متفرقه",$B1123))),$A1123))</f>
        <v/>
      </c>
      <c r="K1123">
        <f>IF($A1123="","",IF(AND($B1123&lt;&gt;"",COUNTIF(AcctCodesA,$B1123)=0),"کد طرف در INFO تعریف نشده",IF(AND($D1123="هزینه",$E1123=""),"هزینه بدون زیرگروه",IF(AND($C1123="پاس چک",OR(Sync!$AJ1123="",COUNTIF(IssueNosA,Sync!$AJ1123)=0)),"شماره چک پاس‌شده معتبر نیست",""))))</f>
        <v/>
      </c>
      <c r="V1123">
        <f>IF($K1123="","",IF(ISNUMBER(Sync!$AK1123),Sync!$AK1123,LEFT(Sync!$AK1123,4)&amp;MID(Sync!$AK1123,6,2)&amp;RIGHT(Sync!$AK1123,2))&amp;"|"&amp;"4"&amp;RIGHT("00000"&amp;1118,5))</f>
        <v/>
      </c>
      <c r="W1123">
        <f>IF($V1123="",0,COUNTIFS($V$6:$V$2005,"&lt;"&amp;$V1123)-COUNTIFS($V$6:$V$2005,"&lt;"&amp;$V1123,$K$6:$K$2005,"")+1)</f>
        <v/>
      </c>
    </row>
    <row r="1124">
      <c r="A1124">
        <f>IF(Sync!$Z1124="","",LEFT(UPPER(TRIM(Sync!$Z1124)),6))</f>
        <v/>
      </c>
      <c r="B1124">
        <f>IF($A1124="","",IF(Sync!$AA1124="","",Sync!$AA1124))</f>
        <v/>
      </c>
      <c r="C1124">
        <f>IF($A1124="","",IF(Sync!$AB1124="","",Sync!$AB1124))</f>
        <v/>
      </c>
      <c r="D1124">
        <f>IF($A1124="","",IF(Sync!$AC1124="","",Sync!$AC1124))</f>
        <v/>
      </c>
      <c r="E1124">
        <f>IF($A1124="","",IF(Sync!$AD1124="","",Sync!$AD1124))</f>
        <v/>
      </c>
      <c r="F1124">
        <f>IF($A1124="","",IF(Sync!$AE1124="",0,Sync!$AE1124))</f>
        <v/>
      </c>
      <c r="G1124">
        <f>IF($A1124="","",IF(Sync!$AF1124="",0,Sync!$AF1124))</f>
        <v/>
      </c>
      <c r="H1124">
        <f>IF(OR($A1124="",ROUND($F1124+$G1124,2)=0),"",$F1124+$G1124)</f>
        <v/>
      </c>
      <c r="I1124">
        <f>IF($H1124="","",IF(ROUND($F1124,2)&gt;0,$A1124,IF($D1124="شخصی قاسم","شخصی قاسم",IF($D1124="هزینه","هزینه: "&amp;IF($E1124="","متفرقه",$E1124),IF($C1124="پاس چک","چک پرداختی",IF(OR($B1124="",COUNTIF(AcctCodesA,$B1124)=0),"متفرقه",$B1124))))))</f>
        <v/>
      </c>
      <c r="J1124">
        <f>IF($H1124="","",IF(ROUND($F1124,2)&gt;0,IF($D1124="شخصی قاسم","شخصی قاسم",IF($D1124="هزینه","هزینه: "&amp;IF($E1124="","متفرقه",$E1124),IF(OR($B1124="",COUNTIF(AcctCodesA,$B1124)=0),"متفرقه",$B1124))),$A1124))</f>
        <v/>
      </c>
      <c r="K1124">
        <f>IF($A1124="","",IF(AND($B1124&lt;&gt;"",COUNTIF(AcctCodesA,$B1124)=0),"کد طرف در INFO تعریف نشده",IF(AND($D1124="هزینه",$E1124=""),"هزینه بدون زیرگروه",IF(AND($C1124="پاس چک",OR(Sync!$AJ1124="",COUNTIF(IssueNosA,Sync!$AJ1124)=0)),"شماره چک پاس‌شده معتبر نیست",""))))</f>
        <v/>
      </c>
      <c r="V1124">
        <f>IF($K1124="","",IF(ISNUMBER(Sync!$AK1124),Sync!$AK1124,LEFT(Sync!$AK1124,4)&amp;MID(Sync!$AK1124,6,2)&amp;RIGHT(Sync!$AK1124,2))&amp;"|"&amp;"4"&amp;RIGHT("00000"&amp;1119,5))</f>
        <v/>
      </c>
      <c r="W1124">
        <f>IF($V1124="",0,COUNTIFS($V$6:$V$2005,"&lt;"&amp;$V1124)-COUNTIFS($V$6:$V$2005,"&lt;"&amp;$V1124,$K$6:$K$2005,"")+1)</f>
        <v/>
      </c>
    </row>
    <row r="1125">
      <c r="A1125">
        <f>IF(Sync!$Z1125="","",LEFT(UPPER(TRIM(Sync!$Z1125)),6))</f>
        <v/>
      </c>
      <c r="B1125">
        <f>IF($A1125="","",IF(Sync!$AA1125="","",Sync!$AA1125))</f>
        <v/>
      </c>
      <c r="C1125">
        <f>IF($A1125="","",IF(Sync!$AB1125="","",Sync!$AB1125))</f>
        <v/>
      </c>
      <c r="D1125">
        <f>IF($A1125="","",IF(Sync!$AC1125="","",Sync!$AC1125))</f>
        <v/>
      </c>
      <c r="E1125">
        <f>IF($A1125="","",IF(Sync!$AD1125="","",Sync!$AD1125))</f>
        <v/>
      </c>
      <c r="F1125">
        <f>IF($A1125="","",IF(Sync!$AE1125="",0,Sync!$AE1125))</f>
        <v/>
      </c>
      <c r="G1125">
        <f>IF($A1125="","",IF(Sync!$AF1125="",0,Sync!$AF1125))</f>
        <v/>
      </c>
      <c r="H1125">
        <f>IF(OR($A1125="",ROUND($F1125+$G1125,2)=0),"",$F1125+$G1125)</f>
        <v/>
      </c>
      <c r="I1125">
        <f>IF($H1125="","",IF(ROUND($F1125,2)&gt;0,$A1125,IF($D1125="شخصی قاسم","شخصی قاسم",IF($D1125="هزینه","هزینه: "&amp;IF($E1125="","متفرقه",$E1125),IF($C1125="پاس چک","چک پرداختی",IF(OR($B1125="",COUNTIF(AcctCodesA,$B1125)=0),"متفرقه",$B1125))))))</f>
        <v/>
      </c>
      <c r="J1125">
        <f>IF($H1125="","",IF(ROUND($F1125,2)&gt;0,IF($D1125="شخصی قاسم","شخصی قاسم",IF($D1125="هزینه","هزینه: "&amp;IF($E1125="","متفرقه",$E1125),IF(OR($B1125="",COUNTIF(AcctCodesA,$B1125)=0),"متفرقه",$B1125))),$A1125))</f>
        <v/>
      </c>
      <c r="K1125">
        <f>IF($A1125="","",IF(AND($B1125&lt;&gt;"",COUNTIF(AcctCodesA,$B1125)=0),"کد طرف در INFO تعریف نشده",IF(AND($D1125="هزینه",$E1125=""),"هزینه بدون زیرگروه",IF(AND($C1125="پاس چک",OR(Sync!$AJ1125="",COUNTIF(IssueNosA,Sync!$AJ1125)=0)),"شماره چک پاس‌شده معتبر نیست",""))))</f>
        <v/>
      </c>
      <c r="V1125">
        <f>IF($K1125="","",IF(ISNUMBER(Sync!$AK1125),Sync!$AK1125,LEFT(Sync!$AK1125,4)&amp;MID(Sync!$AK1125,6,2)&amp;RIGHT(Sync!$AK1125,2))&amp;"|"&amp;"4"&amp;RIGHT("00000"&amp;1120,5))</f>
        <v/>
      </c>
      <c r="W1125">
        <f>IF($V1125="",0,COUNTIFS($V$6:$V$2005,"&lt;"&amp;$V1125)-COUNTIFS($V$6:$V$2005,"&lt;"&amp;$V1125,$K$6:$K$2005,"")+1)</f>
        <v/>
      </c>
    </row>
    <row r="1126">
      <c r="A1126">
        <f>IF(Sync!$Z1126="","",LEFT(UPPER(TRIM(Sync!$Z1126)),6))</f>
        <v/>
      </c>
      <c r="B1126">
        <f>IF($A1126="","",IF(Sync!$AA1126="","",Sync!$AA1126))</f>
        <v/>
      </c>
      <c r="C1126">
        <f>IF($A1126="","",IF(Sync!$AB1126="","",Sync!$AB1126))</f>
        <v/>
      </c>
      <c r="D1126">
        <f>IF($A1126="","",IF(Sync!$AC1126="","",Sync!$AC1126))</f>
        <v/>
      </c>
      <c r="E1126">
        <f>IF($A1126="","",IF(Sync!$AD1126="","",Sync!$AD1126))</f>
        <v/>
      </c>
      <c r="F1126">
        <f>IF($A1126="","",IF(Sync!$AE1126="",0,Sync!$AE1126))</f>
        <v/>
      </c>
      <c r="G1126">
        <f>IF($A1126="","",IF(Sync!$AF1126="",0,Sync!$AF1126))</f>
        <v/>
      </c>
      <c r="H1126">
        <f>IF(OR($A1126="",ROUND($F1126+$G1126,2)=0),"",$F1126+$G1126)</f>
        <v/>
      </c>
      <c r="I1126">
        <f>IF($H1126="","",IF(ROUND($F1126,2)&gt;0,$A1126,IF($D1126="شخصی قاسم","شخصی قاسم",IF($D1126="هزینه","هزینه: "&amp;IF($E1126="","متفرقه",$E1126),IF($C1126="پاس چک","چک پرداختی",IF(OR($B1126="",COUNTIF(AcctCodesA,$B1126)=0),"متفرقه",$B1126))))))</f>
        <v/>
      </c>
      <c r="J1126">
        <f>IF($H1126="","",IF(ROUND($F1126,2)&gt;0,IF($D1126="شخصی قاسم","شخصی قاسم",IF($D1126="هزینه","هزینه: "&amp;IF($E1126="","متفرقه",$E1126),IF(OR($B1126="",COUNTIF(AcctCodesA,$B1126)=0),"متفرقه",$B1126))),$A1126))</f>
        <v/>
      </c>
      <c r="K1126">
        <f>IF($A1126="","",IF(AND($B1126&lt;&gt;"",COUNTIF(AcctCodesA,$B1126)=0),"کد طرف در INFO تعریف نشده",IF(AND($D1126="هزینه",$E1126=""),"هزینه بدون زیرگروه",IF(AND($C1126="پاس چک",OR(Sync!$AJ1126="",COUNTIF(IssueNosA,Sync!$AJ1126)=0)),"شماره چک پاس‌شده معتبر نیست",""))))</f>
        <v/>
      </c>
      <c r="V1126">
        <f>IF($K1126="","",IF(ISNUMBER(Sync!$AK1126),Sync!$AK1126,LEFT(Sync!$AK1126,4)&amp;MID(Sync!$AK1126,6,2)&amp;RIGHT(Sync!$AK1126,2))&amp;"|"&amp;"4"&amp;RIGHT("00000"&amp;1121,5))</f>
        <v/>
      </c>
      <c r="W1126">
        <f>IF($V1126="",0,COUNTIFS($V$6:$V$2005,"&lt;"&amp;$V1126)-COUNTIFS($V$6:$V$2005,"&lt;"&amp;$V1126,$K$6:$K$2005,"")+1)</f>
        <v/>
      </c>
    </row>
    <row r="1127">
      <c r="A1127">
        <f>IF(Sync!$Z1127="","",LEFT(UPPER(TRIM(Sync!$Z1127)),6))</f>
        <v/>
      </c>
      <c r="B1127">
        <f>IF($A1127="","",IF(Sync!$AA1127="","",Sync!$AA1127))</f>
        <v/>
      </c>
      <c r="C1127">
        <f>IF($A1127="","",IF(Sync!$AB1127="","",Sync!$AB1127))</f>
        <v/>
      </c>
      <c r="D1127">
        <f>IF($A1127="","",IF(Sync!$AC1127="","",Sync!$AC1127))</f>
        <v/>
      </c>
      <c r="E1127">
        <f>IF($A1127="","",IF(Sync!$AD1127="","",Sync!$AD1127))</f>
        <v/>
      </c>
      <c r="F1127">
        <f>IF($A1127="","",IF(Sync!$AE1127="",0,Sync!$AE1127))</f>
        <v/>
      </c>
      <c r="G1127">
        <f>IF($A1127="","",IF(Sync!$AF1127="",0,Sync!$AF1127))</f>
        <v/>
      </c>
      <c r="H1127">
        <f>IF(OR($A1127="",ROUND($F1127+$G1127,2)=0),"",$F1127+$G1127)</f>
        <v/>
      </c>
      <c r="I1127">
        <f>IF($H1127="","",IF(ROUND($F1127,2)&gt;0,$A1127,IF($D1127="شخصی قاسم","شخصی قاسم",IF($D1127="هزینه","هزینه: "&amp;IF($E1127="","متفرقه",$E1127),IF($C1127="پاس چک","چک پرداختی",IF(OR($B1127="",COUNTIF(AcctCodesA,$B1127)=0),"متفرقه",$B1127))))))</f>
        <v/>
      </c>
      <c r="J1127">
        <f>IF($H1127="","",IF(ROUND($F1127,2)&gt;0,IF($D1127="شخصی قاسم","شخصی قاسم",IF($D1127="هزینه","هزینه: "&amp;IF($E1127="","متفرقه",$E1127),IF(OR($B1127="",COUNTIF(AcctCodesA,$B1127)=0),"متفرقه",$B1127))),$A1127))</f>
        <v/>
      </c>
      <c r="K1127">
        <f>IF($A1127="","",IF(AND($B1127&lt;&gt;"",COUNTIF(AcctCodesA,$B1127)=0),"کد طرف در INFO تعریف نشده",IF(AND($D1127="هزینه",$E1127=""),"هزینه بدون زیرگروه",IF(AND($C1127="پاس چک",OR(Sync!$AJ1127="",COUNTIF(IssueNosA,Sync!$AJ1127)=0)),"شماره چک پاس‌شده معتبر نیست",""))))</f>
        <v/>
      </c>
      <c r="V1127">
        <f>IF($K1127="","",IF(ISNUMBER(Sync!$AK1127),Sync!$AK1127,LEFT(Sync!$AK1127,4)&amp;MID(Sync!$AK1127,6,2)&amp;RIGHT(Sync!$AK1127,2))&amp;"|"&amp;"4"&amp;RIGHT("00000"&amp;1122,5))</f>
        <v/>
      </c>
      <c r="W1127">
        <f>IF($V1127="",0,COUNTIFS($V$6:$V$2005,"&lt;"&amp;$V1127)-COUNTIFS($V$6:$V$2005,"&lt;"&amp;$V1127,$K$6:$K$2005,"")+1)</f>
        <v/>
      </c>
    </row>
    <row r="1128">
      <c r="A1128">
        <f>IF(Sync!$Z1128="","",LEFT(UPPER(TRIM(Sync!$Z1128)),6))</f>
        <v/>
      </c>
      <c r="B1128">
        <f>IF($A1128="","",IF(Sync!$AA1128="","",Sync!$AA1128))</f>
        <v/>
      </c>
      <c r="C1128">
        <f>IF($A1128="","",IF(Sync!$AB1128="","",Sync!$AB1128))</f>
        <v/>
      </c>
      <c r="D1128">
        <f>IF($A1128="","",IF(Sync!$AC1128="","",Sync!$AC1128))</f>
        <v/>
      </c>
      <c r="E1128">
        <f>IF($A1128="","",IF(Sync!$AD1128="","",Sync!$AD1128))</f>
        <v/>
      </c>
      <c r="F1128">
        <f>IF($A1128="","",IF(Sync!$AE1128="",0,Sync!$AE1128))</f>
        <v/>
      </c>
      <c r="G1128">
        <f>IF($A1128="","",IF(Sync!$AF1128="",0,Sync!$AF1128))</f>
        <v/>
      </c>
      <c r="H1128">
        <f>IF(OR($A1128="",ROUND($F1128+$G1128,2)=0),"",$F1128+$G1128)</f>
        <v/>
      </c>
      <c r="I1128">
        <f>IF($H1128="","",IF(ROUND($F1128,2)&gt;0,$A1128,IF($D1128="شخصی قاسم","شخصی قاسم",IF($D1128="هزینه","هزینه: "&amp;IF($E1128="","متفرقه",$E1128),IF($C1128="پاس چک","چک پرداختی",IF(OR($B1128="",COUNTIF(AcctCodesA,$B1128)=0),"متفرقه",$B1128))))))</f>
        <v/>
      </c>
      <c r="J1128">
        <f>IF($H1128="","",IF(ROUND($F1128,2)&gt;0,IF($D1128="شخصی قاسم","شخصی قاسم",IF($D1128="هزینه","هزینه: "&amp;IF($E1128="","متفرقه",$E1128),IF(OR($B1128="",COUNTIF(AcctCodesA,$B1128)=0),"متفرقه",$B1128))),$A1128))</f>
        <v/>
      </c>
      <c r="K1128">
        <f>IF($A1128="","",IF(AND($B1128&lt;&gt;"",COUNTIF(AcctCodesA,$B1128)=0),"کد طرف در INFO تعریف نشده",IF(AND($D1128="هزینه",$E1128=""),"هزینه بدون زیرگروه",IF(AND($C1128="پاس چک",OR(Sync!$AJ1128="",COUNTIF(IssueNosA,Sync!$AJ1128)=0)),"شماره چک پاس‌شده معتبر نیست",""))))</f>
        <v/>
      </c>
      <c r="V1128">
        <f>IF($K1128="","",IF(ISNUMBER(Sync!$AK1128),Sync!$AK1128,LEFT(Sync!$AK1128,4)&amp;MID(Sync!$AK1128,6,2)&amp;RIGHT(Sync!$AK1128,2))&amp;"|"&amp;"4"&amp;RIGHT("00000"&amp;1123,5))</f>
        <v/>
      </c>
      <c r="W1128">
        <f>IF($V1128="",0,COUNTIFS($V$6:$V$2005,"&lt;"&amp;$V1128)-COUNTIFS($V$6:$V$2005,"&lt;"&amp;$V1128,$K$6:$K$2005,"")+1)</f>
        <v/>
      </c>
    </row>
    <row r="1129">
      <c r="A1129">
        <f>IF(Sync!$Z1129="","",LEFT(UPPER(TRIM(Sync!$Z1129)),6))</f>
        <v/>
      </c>
      <c r="B1129">
        <f>IF($A1129="","",IF(Sync!$AA1129="","",Sync!$AA1129))</f>
        <v/>
      </c>
      <c r="C1129">
        <f>IF($A1129="","",IF(Sync!$AB1129="","",Sync!$AB1129))</f>
        <v/>
      </c>
      <c r="D1129">
        <f>IF($A1129="","",IF(Sync!$AC1129="","",Sync!$AC1129))</f>
        <v/>
      </c>
      <c r="E1129">
        <f>IF($A1129="","",IF(Sync!$AD1129="","",Sync!$AD1129))</f>
        <v/>
      </c>
      <c r="F1129">
        <f>IF($A1129="","",IF(Sync!$AE1129="",0,Sync!$AE1129))</f>
        <v/>
      </c>
      <c r="G1129">
        <f>IF($A1129="","",IF(Sync!$AF1129="",0,Sync!$AF1129))</f>
        <v/>
      </c>
      <c r="H1129">
        <f>IF(OR($A1129="",ROUND($F1129+$G1129,2)=0),"",$F1129+$G1129)</f>
        <v/>
      </c>
      <c r="I1129">
        <f>IF($H1129="","",IF(ROUND($F1129,2)&gt;0,$A1129,IF($D1129="شخصی قاسم","شخصی قاسم",IF($D1129="هزینه","هزینه: "&amp;IF($E1129="","متفرقه",$E1129),IF($C1129="پاس چک","چک پرداختی",IF(OR($B1129="",COUNTIF(AcctCodesA,$B1129)=0),"متفرقه",$B1129))))))</f>
        <v/>
      </c>
      <c r="J1129">
        <f>IF($H1129="","",IF(ROUND($F1129,2)&gt;0,IF($D1129="شخصی قاسم","شخصی قاسم",IF($D1129="هزینه","هزینه: "&amp;IF($E1129="","متفرقه",$E1129),IF(OR($B1129="",COUNTIF(AcctCodesA,$B1129)=0),"متفرقه",$B1129))),$A1129))</f>
        <v/>
      </c>
      <c r="K1129">
        <f>IF($A1129="","",IF(AND($B1129&lt;&gt;"",COUNTIF(AcctCodesA,$B1129)=0),"کد طرف در INFO تعریف نشده",IF(AND($D1129="هزینه",$E1129=""),"هزینه بدون زیرگروه",IF(AND($C1129="پاس چک",OR(Sync!$AJ1129="",COUNTIF(IssueNosA,Sync!$AJ1129)=0)),"شماره چک پاس‌شده معتبر نیست",""))))</f>
        <v/>
      </c>
      <c r="V1129">
        <f>IF($K1129="","",IF(ISNUMBER(Sync!$AK1129),Sync!$AK1129,LEFT(Sync!$AK1129,4)&amp;MID(Sync!$AK1129,6,2)&amp;RIGHT(Sync!$AK1129,2))&amp;"|"&amp;"4"&amp;RIGHT("00000"&amp;1124,5))</f>
        <v/>
      </c>
      <c r="W1129">
        <f>IF($V1129="",0,COUNTIFS($V$6:$V$2005,"&lt;"&amp;$V1129)-COUNTIFS($V$6:$V$2005,"&lt;"&amp;$V1129,$K$6:$K$2005,"")+1)</f>
        <v/>
      </c>
    </row>
    <row r="1130">
      <c r="A1130">
        <f>IF(Sync!$Z1130="","",LEFT(UPPER(TRIM(Sync!$Z1130)),6))</f>
        <v/>
      </c>
      <c r="B1130">
        <f>IF($A1130="","",IF(Sync!$AA1130="","",Sync!$AA1130))</f>
        <v/>
      </c>
      <c r="C1130">
        <f>IF($A1130="","",IF(Sync!$AB1130="","",Sync!$AB1130))</f>
        <v/>
      </c>
      <c r="D1130">
        <f>IF($A1130="","",IF(Sync!$AC1130="","",Sync!$AC1130))</f>
        <v/>
      </c>
      <c r="E1130">
        <f>IF($A1130="","",IF(Sync!$AD1130="","",Sync!$AD1130))</f>
        <v/>
      </c>
      <c r="F1130">
        <f>IF($A1130="","",IF(Sync!$AE1130="",0,Sync!$AE1130))</f>
        <v/>
      </c>
      <c r="G1130">
        <f>IF($A1130="","",IF(Sync!$AF1130="",0,Sync!$AF1130))</f>
        <v/>
      </c>
      <c r="H1130">
        <f>IF(OR($A1130="",ROUND($F1130+$G1130,2)=0),"",$F1130+$G1130)</f>
        <v/>
      </c>
      <c r="I1130">
        <f>IF($H1130="","",IF(ROUND($F1130,2)&gt;0,$A1130,IF($D1130="شخصی قاسم","شخصی قاسم",IF($D1130="هزینه","هزینه: "&amp;IF($E1130="","متفرقه",$E1130),IF($C1130="پاس چک","چک پرداختی",IF(OR($B1130="",COUNTIF(AcctCodesA,$B1130)=0),"متفرقه",$B1130))))))</f>
        <v/>
      </c>
      <c r="J1130">
        <f>IF($H1130="","",IF(ROUND($F1130,2)&gt;0,IF($D1130="شخصی قاسم","شخصی قاسم",IF($D1130="هزینه","هزینه: "&amp;IF($E1130="","متفرقه",$E1130),IF(OR($B1130="",COUNTIF(AcctCodesA,$B1130)=0),"متفرقه",$B1130))),$A1130))</f>
        <v/>
      </c>
      <c r="K1130">
        <f>IF($A1130="","",IF(AND($B1130&lt;&gt;"",COUNTIF(AcctCodesA,$B1130)=0),"کد طرف در INFO تعریف نشده",IF(AND($D1130="هزینه",$E1130=""),"هزینه بدون زیرگروه",IF(AND($C1130="پاس چک",OR(Sync!$AJ1130="",COUNTIF(IssueNosA,Sync!$AJ1130)=0)),"شماره چک پاس‌شده معتبر نیست",""))))</f>
        <v/>
      </c>
      <c r="V1130">
        <f>IF($K1130="","",IF(ISNUMBER(Sync!$AK1130),Sync!$AK1130,LEFT(Sync!$AK1130,4)&amp;MID(Sync!$AK1130,6,2)&amp;RIGHT(Sync!$AK1130,2))&amp;"|"&amp;"4"&amp;RIGHT("00000"&amp;1125,5))</f>
        <v/>
      </c>
      <c r="W1130">
        <f>IF($V1130="",0,COUNTIFS($V$6:$V$2005,"&lt;"&amp;$V1130)-COUNTIFS($V$6:$V$2005,"&lt;"&amp;$V1130,$K$6:$K$2005,"")+1)</f>
        <v/>
      </c>
    </row>
    <row r="1131">
      <c r="A1131">
        <f>IF(Sync!$Z1131="","",LEFT(UPPER(TRIM(Sync!$Z1131)),6))</f>
        <v/>
      </c>
      <c r="B1131">
        <f>IF($A1131="","",IF(Sync!$AA1131="","",Sync!$AA1131))</f>
        <v/>
      </c>
      <c r="C1131">
        <f>IF($A1131="","",IF(Sync!$AB1131="","",Sync!$AB1131))</f>
        <v/>
      </c>
      <c r="D1131">
        <f>IF($A1131="","",IF(Sync!$AC1131="","",Sync!$AC1131))</f>
        <v/>
      </c>
      <c r="E1131">
        <f>IF($A1131="","",IF(Sync!$AD1131="","",Sync!$AD1131))</f>
        <v/>
      </c>
      <c r="F1131">
        <f>IF($A1131="","",IF(Sync!$AE1131="",0,Sync!$AE1131))</f>
        <v/>
      </c>
      <c r="G1131">
        <f>IF($A1131="","",IF(Sync!$AF1131="",0,Sync!$AF1131))</f>
        <v/>
      </c>
      <c r="H1131">
        <f>IF(OR($A1131="",ROUND($F1131+$G1131,2)=0),"",$F1131+$G1131)</f>
        <v/>
      </c>
      <c r="I1131">
        <f>IF($H1131="","",IF(ROUND($F1131,2)&gt;0,$A1131,IF($D1131="شخصی قاسم","شخصی قاسم",IF($D1131="هزینه","هزینه: "&amp;IF($E1131="","متفرقه",$E1131),IF($C1131="پاس چک","چک پرداختی",IF(OR($B1131="",COUNTIF(AcctCodesA,$B1131)=0),"متفرقه",$B1131))))))</f>
        <v/>
      </c>
      <c r="J1131">
        <f>IF($H1131="","",IF(ROUND($F1131,2)&gt;0,IF($D1131="شخصی قاسم","شخصی قاسم",IF($D1131="هزینه","هزینه: "&amp;IF($E1131="","متفرقه",$E1131),IF(OR($B1131="",COUNTIF(AcctCodesA,$B1131)=0),"متفرقه",$B1131))),$A1131))</f>
        <v/>
      </c>
      <c r="K1131">
        <f>IF($A1131="","",IF(AND($B1131&lt;&gt;"",COUNTIF(AcctCodesA,$B1131)=0),"کد طرف در INFO تعریف نشده",IF(AND($D1131="هزینه",$E1131=""),"هزینه بدون زیرگروه",IF(AND($C1131="پاس چک",OR(Sync!$AJ1131="",COUNTIF(IssueNosA,Sync!$AJ1131)=0)),"شماره چک پاس‌شده معتبر نیست",""))))</f>
        <v/>
      </c>
      <c r="V1131">
        <f>IF($K1131="","",IF(ISNUMBER(Sync!$AK1131),Sync!$AK1131,LEFT(Sync!$AK1131,4)&amp;MID(Sync!$AK1131,6,2)&amp;RIGHT(Sync!$AK1131,2))&amp;"|"&amp;"4"&amp;RIGHT("00000"&amp;1126,5))</f>
        <v/>
      </c>
      <c r="W1131">
        <f>IF($V1131="",0,COUNTIFS($V$6:$V$2005,"&lt;"&amp;$V1131)-COUNTIFS($V$6:$V$2005,"&lt;"&amp;$V1131,$K$6:$K$2005,"")+1)</f>
        <v/>
      </c>
    </row>
    <row r="1132">
      <c r="A1132">
        <f>IF(Sync!$Z1132="","",LEFT(UPPER(TRIM(Sync!$Z1132)),6))</f>
        <v/>
      </c>
      <c r="B1132">
        <f>IF($A1132="","",IF(Sync!$AA1132="","",Sync!$AA1132))</f>
        <v/>
      </c>
      <c r="C1132">
        <f>IF($A1132="","",IF(Sync!$AB1132="","",Sync!$AB1132))</f>
        <v/>
      </c>
      <c r="D1132">
        <f>IF($A1132="","",IF(Sync!$AC1132="","",Sync!$AC1132))</f>
        <v/>
      </c>
      <c r="E1132">
        <f>IF($A1132="","",IF(Sync!$AD1132="","",Sync!$AD1132))</f>
        <v/>
      </c>
      <c r="F1132">
        <f>IF($A1132="","",IF(Sync!$AE1132="",0,Sync!$AE1132))</f>
        <v/>
      </c>
      <c r="G1132">
        <f>IF($A1132="","",IF(Sync!$AF1132="",0,Sync!$AF1132))</f>
        <v/>
      </c>
      <c r="H1132">
        <f>IF(OR($A1132="",ROUND($F1132+$G1132,2)=0),"",$F1132+$G1132)</f>
        <v/>
      </c>
      <c r="I1132">
        <f>IF($H1132="","",IF(ROUND($F1132,2)&gt;0,$A1132,IF($D1132="شخصی قاسم","شخصی قاسم",IF($D1132="هزینه","هزینه: "&amp;IF($E1132="","متفرقه",$E1132),IF($C1132="پاس چک","چک پرداختی",IF(OR($B1132="",COUNTIF(AcctCodesA,$B1132)=0),"متفرقه",$B1132))))))</f>
        <v/>
      </c>
      <c r="J1132">
        <f>IF($H1132="","",IF(ROUND($F1132,2)&gt;0,IF($D1132="شخصی قاسم","شخصی قاسم",IF($D1132="هزینه","هزینه: "&amp;IF($E1132="","متفرقه",$E1132),IF(OR($B1132="",COUNTIF(AcctCodesA,$B1132)=0),"متفرقه",$B1132))),$A1132))</f>
        <v/>
      </c>
      <c r="K1132">
        <f>IF($A1132="","",IF(AND($B1132&lt;&gt;"",COUNTIF(AcctCodesA,$B1132)=0),"کد طرف در INFO تعریف نشده",IF(AND($D1132="هزینه",$E1132=""),"هزینه بدون زیرگروه",IF(AND($C1132="پاس چک",OR(Sync!$AJ1132="",COUNTIF(IssueNosA,Sync!$AJ1132)=0)),"شماره چک پاس‌شده معتبر نیست",""))))</f>
        <v/>
      </c>
      <c r="V1132">
        <f>IF($K1132="","",IF(ISNUMBER(Sync!$AK1132),Sync!$AK1132,LEFT(Sync!$AK1132,4)&amp;MID(Sync!$AK1132,6,2)&amp;RIGHT(Sync!$AK1132,2))&amp;"|"&amp;"4"&amp;RIGHT("00000"&amp;1127,5))</f>
        <v/>
      </c>
      <c r="W1132">
        <f>IF($V1132="",0,COUNTIFS($V$6:$V$2005,"&lt;"&amp;$V1132)-COUNTIFS($V$6:$V$2005,"&lt;"&amp;$V1132,$K$6:$K$2005,"")+1)</f>
        <v/>
      </c>
    </row>
    <row r="1133">
      <c r="A1133">
        <f>IF(Sync!$Z1133="","",LEFT(UPPER(TRIM(Sync!$Z1133)),6))</f>
        <v/>
      </c>
      <c r="B1133">
        <f>IF($A1133="","",IF(Sync!$AA1133="","",Sync!$AA1133))</f>
        <v/>
      </c>
      <c r="C1133">
        <f>IF($A1133="","",IF(Sync!$AB1133="","",Sync!$AB1133))</f>
        <v/>
      </c>
      <c r="D1133">
        <f>IF($A1133="","",IF(Sync!$AC1133="","",Sync!$AC1133))</f>
        <v/>
      </c>
      <c r="E1133">
        <f>IF($A1133="","",IF(Sync!$AD1133="","",Sync!$AD1133))</f>
        <v/>
      </c>
      <c r="F1133">
        <f>IF($A1133="","",IF(Sync!$AE1133="",0,Sync!$AE1133))</f>
        <v/>
      </c>
      <c r="G1133">
        <f>IF($A1133="","",IF(Sync!$AF1133="",0,Sync!$AF1133))</f>
        <v/>
      </c>
      <c r="H1133">
        <f>IF(OR($A1133="",ROUND($F1133+$G1133,2)=0),"",$F1133+$G1133)</f>
        <v/>
      </c>
      <c r="I1133">
        <f>IF($H1133="","",IF(ROUND($F1133,2)&gt;0,$A1133,IF($D1133="شخصی قاسم","شخصی قاسم",IF($D1133="هزینه","هزینه: "&amp;IF($E1133="","متفرقه",$E1133),IF($C1133="پاس چک","چک پرداختی",IF(OR($B1133="",COUNTIF(AcctCodesA,$B1133)=0),"متفرقه",$B1133))))))</f>
        <v/>
      </c>
      <c r="J1133">
        <f>IF($H1133="","",IF(ROUND($F1133,2)&gt;0,IF($D1133="شخصی قاسم","شخصی قاسم",IF($D1133="هزینه","هزینه: "&amp;IF($E1133="","متفرقه",$E1133),IF(OR($B1133="",COUNTIF(AcctCodesA,$B1133)=0),"متفرقه",$B1133))),$A1133))</f>
        <v/>
      </c>
      <c r="K1133">
        <f>IF($A1133="","",IF(AND($B1133&lt;&gt;"",COUNTIF(AcctCodesA,$B1133)=0),"کد طرف در INFO تعریف نشده",IF(AND($D1133="هزینه",$E1133=""),"هزینه بدون زیرگروه",IF(AND($C1133="پاس چک",OR(Sync!$AJ1133="",COUNTIF(IssueNosA,Sync!$AJ1133)=0)),"شماره چک پاس‌شده معتبر نیست",""))))</f>
        <v/>
      </c>
      <c r="V1133">
        <f>IF($K1133="","",IF(ISNUMBER(Sync!$AK1133),Sync!$AK1133,LEFT(Sync!$AK1133,4)&amp;MID(Sync!$AK1133,6,2)&amp;RIGHT(Sync!$AK1133,2))&amp;"|"&amp;"4"&amp;RIGHT("00000"&amp;1128,5))</f>
        <v/>
      </c>
      <c r="W1133">
        <f>IF($V1133="",0,COUNTIFS($V$6:$V$2005,"&lt;"&amp;$V1133)-COUNTIFS($V$6:$V$2005,"&lt;"&amp;$V1133,$K$6:$K$2005,"")+1)</f>
        <v/>
      </c>
    </row>
    <row r="1134">
      <c r="A1134">
        <f>IF(Sync!$Z1134="","",LEFT(UPPER(TRIM(Sync!$Z1134)),6))</f>
        <v/>
      </c>
      <c r="B1134">
        <f>IF($A1134="","",IF(Sync!$AA1134="","",Sync!$AA1134))</f>
        <v/>
      </c>
      <c r="C1134">
        <f>IF($A1134="","",IF(Sync!$AB1134="","",Sync!$AB1134))</f>
        <v/>
      </c>
      <c r="D1134">
        <f>IF($A1134="","",IF(Sync!$AC1134="","",Sync!$AC1134))</f>
        <v/>
      </c>
      <c r="E1134">
        <f>IF($A1134="","",IF(Sync!$AD1134="","",Sync!$AD1134))</f>
        <v/>
      </c>
      <c r="F1134">
        <f>IF($A1134="","",IF(Sync!$AE1134="",0,Sync!$AE1134))</f>
        <v/>
      </c>
      <c r="G1134">
        <f>IF($A1134="","",IF(Sync!$AF1134="",0,Sync!$AF1134))</f>
        <v/>
      </c>
      <c r="H1134">
        <f>IF(OR($A1134="",ROUND($F1134+$G1134,2)=0),"",$F1134+$G1134)</f>
        <v/>
      </c>
      <c r="I1134">
        <f>IF($H1134="","",IF(ROUND($F1134,2)&gt;0,$A1134,IF($D1134="شخصی قاسم","شخصی قاسم",IF($D1134="هزینه","هزینه: "&amp;IF($E1134="","متفرقه",$E1134),IF($C1134="پاس چک","چک پرداختی",IF(OR($B1134="",COUNTIF(AcctCodesA,$B1134)=0),"متفرقه",$B1134))))))</f>
        <v/>
      </c>
      <c r="J1134">
        <f>IF($H1134="","",IF(ROUND($F1134,2)&gt;0,IF($D1134="شخصی قاسم","شخصی قاسم",IF($D1134="هزینه","هزینه: "&amp;IF($E1134="","متفرقه",$E1134),IF(OR($B1134="",COUNTIF(AcctCodesA,$B1134)=0),"متفرقه",$B1134))),$A1134))</f>
        <v/>
      </c>
      <c r="K1134">
        <f>IF($A1134="","",IF(AND($B1134&lt;&gt;"",COUNTIF(AcctCodesA,$B1134)=0),"کد طرف در INFO تعریف نشده",IF(AND($D1134="هزینه",$E1134=""),"هزینه بدون زیرگروه",IF(AND($C1134="پاس چک",OR(Sync!$AJ1134="",COUNTIF(IssueNosA,Sync!$AJ1134)=0)),"شماره چک پاس‌شده معتبر نیست",""))))</f>
        <v/>
      </c>
      <c r="V1134">
        <f>IF($K1134="","",IF(ISNUMBER(Sync!$AK1134),Sync!$AK1134,LEFT(Sync!$AK1134,4)&amp;MID(Sync!$AK1134,6,2)&amp;RIGHT(Sync!$AK1134,2))&amp;"|"&amp;"4"&amp;RIGHT("00000"&amp;1129,5))</f>
        <v/>
      </c>
      <c r="W1134">
        <f>IF($V1134="",0,COUNTIFS($V$6:$V$2005,"&lt;"&amp;$V1134)-COUNTIFS($V$6:$V$2005,"&lt;"&amp;$V1134,$K$6:$K$2005,"")+1)</f>
        <v/>
      </c>
    </row>
    <row r="1135">
      <c r="A1135">
        <f>IF(Sync!$Z1135="","",LEFT(UPPER(TRIM(Sync!$Z1135)),6))</f>
        <v/>
      </c>
      <c r="B1135">
        <f>IF($A1135="","",IF(Sync!$AA1135="","",Sync!$AA1135))</f>
        <v/>
      </c>
      <c r="C1135">
        <f>IF($A1135="","",IF(Sync!$AB1135="","",Sync!$AB1135))</f>
        <v/>
      </c>
      <c r="D1135">
        <f>IF($A1135="","",IF(Sync!$AC1135="","",Sync!$AC1135))</f>
        <v/>
      </c>
      <c r="E1135">
        <f>IF($A1135="","",IF(Sync!$AD1135="","",Sync!$AD1135))</f>
        <v/>
      </c>
      <c r="F1135">
        <f>IF($A1135="","",IF(Sync!$AE1135="",0,Sync!$AE1135))</f>
        <v/>
      </c>
      <c r="G1135">
        <f>IF($A1135="","",IF(Sync!$AF1135="",0,Sync!$AF1135))</f>
        <v/>
      </c>
      <c r="H1135">
        <f>IF(OR($A1135="",ROUND($F1135+$G1135,2)=0),"",$F1135+$G1135)</f>
        <v/>
      </c>
      <c r="I1135">
        <f>IF($H1135="","",IF(ROUND($F1135,2)&gt;0,$A1135,IF($D1135="شخصی قاسم","شخصی قاسم",IF($D1135="هزینه","هزینه: "&amp;IF($E1135="","متفرقه",$E1135),IF($C1135="پاس چک","چک پرداختی",IF(OR($B1135="",COUNTIF(AcctCodesA,$B1135)=0),"متفرقه",$B1135))))))</f>
        <v/>
      </c>
      <c r="J1135">
        <f>IF($H1135="","",IF(ROUND($F1135,2)&gt;0,IF($D1135="شخصی قاسم","شخصی قاسم",IF($D1135="هزینه","هزینه: "&amp;IF($E1135="","متفرقه",$E1135),IF(OR($B1135="",COUNTIF(AcctCodesA,$B1135)=0),"متفرقه",$B1135))),$A1135))</f>
        <v/>
      </c>
      <c r="K1135">
        <f>IF($A1135="","",IF(AND($B1135&lt;&gt;"",COUNTIF(AcctCodesA,$B1135)=0),"کد طرف در INFO تعریف نشده",IF(AND($D1135="هزینه",$E1135=""),"هزینه بدون زیرگروه",IF(AND($C1135="پاس چک",OR(Sync!$AJ1135="",COUNTIF(IssueNosA,Sync!$AJ1135)=0)),"شماره چک پاس‌شده معتبر نیست",""))))</f>
        <v/>
      </c>
      <c r="V1135">
        <f>IF($K1135="","",IF(ISNUMBER(Sync!$AK1135),Sync!$AK1135,LEFT(Sync!$AK1135,4)&amp;MID(Sync!$AK1135,6,2)&amp;RIGHT(Sync!$AK1135,2))&amp;"|"&amp;"4"&amp;RIGHT("00000"&amp;1130,5))</f>
        <v/>
      </c>
      <c r="W1135">
        <f>IF($V1135="",0,COUNTIFS($V$6:$V$2005,"&lt;"&amp;$V1135)-COUNTIFS($V$6:$V$2005,"&lt;"&amp;$V1135,$K$6:$K$2005,"")+1)</f>
        <v/>
      </c>
    </row>
    <row r="1136">
      <c r="A1136">
        <f>IF(Sync!$Z1136="","",LEFT(UPPER(TRIM(Sync!$Z1136)),6))</f>
        <v/>
      </c>
      <c r="B1136">
        <f>IF($A1136="","",IF(Sync!$AA1136="","",Sync!$AA1136))</f>
        <v/>
      </c>
      <c r="C1136">
        <f>IF($A1136="","",IF(Sync!$AB1136="","",Sync!$AB1136))</f>
        <v/>
      </c>
      <c r="D1136">
        <f>IF($A1136="","",IF(Sync!$AC1136="","",Sync!$AC1136))</f>
        <v/>
      </c>
      <c r="E1136">
        <f>IF($A1136="","",IF(Sync!$AD1136="","",Sync!$AD1136))</f>
        <v/>
      </c>
      <c r="F1136">
        <f>IF($A1136="","",IF(Sync!$AE1136="",0,Sync!$AE1136))</f>
        <v/>
      </c>
      <c r="G1136">
        <f>IF($A1136="","",IF(Sync!$AF1136="",0,Sync!$AF1136))</f>
        <v/>
      </c>
      <c r="H1136">
        <f>IF(OR($A1136="",ROUND($F1136+$G1136,2)=0),"",$F1136+$G1136)</f>
        <v/>
      </c>
      <c r="I1136">
        <f>IF($H1136="","",IF(ROUND($F1136,2)&gt;0,$A1136,IF($D1136="شخصی قاسم","شخصی قاسم",IF($D1136="هزینه","هزینه: "&amp;IF($E1136="","متفرقه",$E1136),IF($C1136="پاس چک","چک پرداختی",IF(OR($B1136="",COUNTIF(AcctCodesA,$B1136)=0),"متفرقه",$B1136))))))</f>
        <v/>
      </c>
      <c r="J1136">
        <f>IF($H1136="","",IF(ROUND($F1136,2)&gt;0,IF($D1136="شخصی قاسم","شخصی قاسم",IF($D1136="هزینه","هزینه: "&amp;IF($E1136="","متفرقه",$E1136),IF(OR($B1136="",COUNTIF(AcctCodesA,$B1136)=0),"متفرقه",$B1136))),$A1136))</f>
        <v/>
      </c>
      <c r="K1136">
        <f>IF($A1136="","",IF(AND($B1136&lt;&gt;"",COUNTIF(AcctCodesA,$B1136)=0),"کد طرف در INFO تعریف نشده",IF(AND($D1136="هزینه",$E1136=""),"هزینه بدون زیرگروه",IF(AND($C1136="پاس چک",OR(Sync!$AJ1136="",COUNTIF(IssueNosA,Sync!$AJ1136)=0)),"شماره چک پاس‌شده معتبر نیست",""))))</f>
        <v/>
      </c>
      <c r="V1136">
        <f>IF($K1136="","",IF(ISNUMBER(Sync!$AK1136),Sync!$AK1136,LEFT(Sync!$AK1136,4)&amp;MID(Sync!$AK1136,6,2)&amp;RIGHT(Sync!$AK1136,2))&amp;"|"&amp;"4"&amp;RIGHT("00000"&amp;1131,5))</f>
        <v/>
      </c>
      <c r="W1136">
        <f>IF($V1136="",0,COUNTIFS($V$6:$V$2005,"&lt;"&amp;$V1136)-COUNTIFS($V$6:$V$2005,"&lt;"&amp;$V1136,$K$6:$K$2005,"")+1)</f>
        <v/>
      </c>
    </row>
    <row r="1137">
      <c r="A1137">
        <f>IF(Sync!$Z1137="","",LEFT(UPPER(TRIM(Sync!$Z1137)),6))</f>
        <v/>
      </c>
      <c r="B1137">
        <f>IF($A1137="","",IF(Sync!$AA1137="","",Sync!$AA1137))</f>
        <v/>
      </c>
      <c r="C1137">
        <f>IF($A1137="","",IF(Sync!$AB1137="","",Sync!$AB1137))</f>
        <v/>
      </c>
      <c r="D1137">
        <f>IF($A1137="","",IF(Sync!$AC1137="","",Sync!$AC1137))</f>
        <v/>
      </c>
      <c r="E1137">
        <f>IF($A1137="","",IF(Sync!$AD1137="","",Sync!$AD1137))</f>
        <v/>
      </c>
      <c r="F1137">
        <f>IF($A1137="","",IF(Sync!$AE1137="",0,Sync!$AE1137))</f>
        <v/>
      </c>
      <c r="G1137">
        <f>IF($A1137="","",IF(Sync!$AF1137="",0,Sync!$AF1137))</f>
        <v/>
      </c>
      <c r="H1137">
        <f>IF(OR($A1137="",ROUND($F1137+$G1137,2)=0),"",$F1137+$G1137)</f>
        <v/>
      </c>
      <c r="I1137">
        <f>IF($H1137="","",IF(ROUND($F1137,2)&gt;0,$A1137,IF($D1137="شخصی قاسم","شخصی قاسم",IF($D1137="هزینه","هزینه: "&amp;IF($E1137="","متفرقه",$E1137),IF($C1137="پاس چک","چک پرداختی",IF(OR($B1137="",COUNTIF(AcctCodesA,$B1137)=0),"متفرقه",$B1137))))))</f>
        <v/>
      </c>
      <c r="J1137">
        <f>IF($H1137="","",IF(ROUND($F1137,2)&gt;0,IF($D1137="شخصی قاسم","شخصی قاسم",IF($D1137="هزینه","هزینه: "&amp;IF($E1137="","متفرقه",$E1137),IF(OR($B1137="",COUNTIF(AcctCodesA,$B1137)=0),"متفرقه",$B1137))),$A1137))</f>
        <v/>
      </c>
      <c r="K1137">
        <f>IF($A1137="","",IF(AND($B1137&lt;&gt;"",COUNTIF(AcctCodesA,$B1137)=0),"کد طرف در INFO تعریف نشده",IF(AND($D1137="هزینه",$E1137=""),"هزینه بدون زیرگروه",IF(AND($C1137="پاس چک",OR(Sync!$AJ1137="",COUNTIF(IssueNosA,Sync!$AJ1137)=0)),"شماره چک پاس‌شده معتبر نیست",""))))</f>
        <v/>
      </c>
      <c r="V1137">
        <f>IF($K1137="","",IF(ISNUMBER(Sync!$AK1137),Sync!$AK1137,LEFT(Sync!$AK1137,4)&amp;MID(Sync!$AK1137,6,2)&amp;RIGHT(Sync!$AK1137,2))&amp;"|"&amp;"4"&amp;RIGHT("00000"&amp;1132,5))</f>
        <v/>
      </c>
      <c r="W1137">
        <f>IF($V1137="",0,COUNTIFS($V$6:$V$2005,"&lt;"&amp;$V1137)-COUNTIFS($V$6:$V$2005,"&lt;"&amp;$V1137,$K$6:$K$2005,"")+1)</f>
        <v/>
      </c>
    </row>
    <row r="1138">
      <c r="A1138">
        <f>IF(Sync!$Z1138="","",LEFT(UPPER(TRIM(Sync!$Z1138)),6))</f>
        <v/>
      </c>
      <c r="B1138">
        <f>IF($A1138="","",IF(Sync!$AA1138="","",Sync!$AA1138))</f>
        <v/>
      </c>
      <c r="C1138">
        <f>IF($A1138="","",IF(Sync!$AB1138="","",Sync!$AB1138))</f>
        <v/>
      </c>
      <c r="D1138">
        <f>IF($A1138="","",IF(Sync!$AC1138="","",Sync!$AC1138))</f>
        <v/>
      </c>
      <c r="E1138">
        <f>IF($A1138="","",IF(Sync!$AD1138="","",Sync!$AD1138))</f>
        <v/>
      </c>
      <c r="F1138">
        <f>IF($A1138="","",IF(Sync!$AE1138="",0,Sync!$AE1138))</f>
        <v/>
      </c>
      <c r="G1138">
        <f>IF($A1138="","",IF(Sync!$AF1138="",0,Sync!$AF1138))</f>
        <v/>
      </c>
      <c r="H1138">
        <f>IF(OR($A1138="",ROUND($F1138+$G1138,2)=0),"",$F1138+$G1138)</f>
        <v/>
      </c>
      <c r="I1138">
        <f>IF($H1138="","",IF(ROUND($F1138,2)&gt;0,$A1138,IF($D1138="شخصی قاسم","شخصی قاسم",IF($D1138="هزینه","هزینه: "&amp;IF($E1138="","متفرقه",$E1138),IF($C1138="پاس چک","چک پرداختی",IF(OR($B1138="",COUNTIF(AcctCodesA,$B1138)=0),"متفرقه",$B1138))))))</f>
        <v/>
      </c>
      <c r="J1138">
        <f>IF($H1138="","",IF(ROUND($F1138,2)&gt;0,IF($D1138="شخصی قاسم","شخصی قاسم",IF($D1138="هزینه","هزینه: "&amp;IF($E1138="","متفرقه",$E1138),IF(OR($B1138="",COUNTIF(AcctCodesA,$B1138)=0),"متفرقه",$B1138))),$A1138))</f>
        <v/>
      </c>
      <c r="K1138">
        <f>IF($A1138="","",IF(AND($B1138&lt;&gt;"",COUNTIF(AcctCodesA,$B1138)=0),"کد طرف در INFO تعریف نشده",IF(AND($D1138="هزینه",$E1138=""),"هزینه بدون زیرگروه",IF(AND($C1138="پاس چک",OR(Sync!$AJ1138="",COUNTIF(IssueNosA,Sync!$AJ1138)=0)),"شماره چک پاس‌شده معتبر نیست",""))))</f>
        <v/>
      </c>
      <c r="V1138">
        <f>IF($K1138="","",IF(ISNUMBER(Sync!$AK1138),Sync!$AK1138,LEFT(Sync!$AK1138,4)&amp;MID(Sync!$AK1138,6,2)&amp;RIGHT(Sync!$AK1138,2))&amp;"|"&amp;"4"&amp;RIGHT("00000"&amp;1133,5))</f>
        <v/>
      </c>
      <c r="W1138">
        <f>IF($V1138="",0,COUNTIFS($V$6:$V$2005,"&lt;"&amp;$V1138)-COUNTIFS($V$6:$V$2005,"&lt;"&amp;$V1138,$K$6:$K$2005,"")+1)</f>
        <v/>
      </c>
    </row>
    <row r="1139">
      <c r="A1139">
        <f>IF(Sync!$Z1139="","",LEFT(UPPER(TRIM(Sync!$Z1139)),6))</f>
        <v/>
      </c>
      <c r="B1139">
        <f>IF($A1139="","",IF(Sync!$AA1139="","",Sync!$AA1139))</f>
        <v/>
      </c>
      <c r="C1139">
        <f>IF($A1139="","",IF(Sync!$AB1139="","",Sync!$AB1139))</f>
        <v/>
      </c>
      <c r="D1139">
        <f>IF($A1139="","",IF(Sync!$AC1139="","",Sync!$AC1139))</f>
        <v/>
      </c>
      <c r="E1139">
        <f>IF($A1139="","",IF(Sync!$AD1139="","",Sync!$AD1139))</f>
        <v/>
      </c>
      <c r="F1139">
        <f>IF($A1139="","",IF(Sync!$AE1139="",0,Sync!$AE1139))</f>
        <v/>
      </c>
      <c r="G1139">
        <f>IF($A1139="","",IF(Sync!$AF1139="",0,Sync!$AF1139))</f>
        <v/>
      </c>
      <c r="H1139">
        <f>IF(OR($A1139="",ROUND($F1139+$G1139,2)=0),"",$F1139+$G1139)</f>
        <v/>
      </c>
      <c r="I1139">
        <f>IF($H1139="","",IF(ROUND($F1139,2)&gt;0,$A1139,IF($D1139="شخصی قاسم","شخصی قاسم",IF($D1139="هزینه","هزینه: "&amp;IF($E1139="","متفرقه",$E1139),IF($C1139="پاس چک","چک پرداختی",IF(OR($B1139="",COUNTIF(AcctCodesA,$B1139)=0),"متفرقه",$B1139))))))</f>
        <v/>
      </c>
      <c r="J1139">
        <f>IF($H1139="","",IF(ROUND($F1139,2)&gt;0,IF($D1139="شخصی قاسم","شخصی قاسم",IF($D1139="هزینه","هزینه: "&amp;IF($E1139="","متفرقه",$E1139),IF(OR($B1139="",COUNTIF(AcctCodesA,$B1139)=0),"متفرقه",$B1139))),$A1139))</f>
        <v/>
      </c>
      <c r="K1139">
        <f>IF($A1139="","",IF(AND($B1139&lt;&gt;"",COUNTIF(AcctCodesA,$B1139)=0),"کد طرف در INFO تعریف نشده",IF(AND($D1139="هزینه",$E1139=""),"هزینه بدون زیرگروه",IF(AND($C1139="پاس چک",OR(Sync!$AJ1139="",COUNTIF(IssueNosA,Sync!$AJ1139)=0)),"شماره چک پاس‌شده معتبر نیست",""))))</f>
        <v/>
      </c>
      <c r="V1139">
        <f>IF($K1139="","",IF(ISNUMBER(Sync!$AK1139),Sync!$AK1139,LEFT(Sync!$AK1139,4)&amp;MID(Sync!$AK1139,6,2)&amp;RIGHT(Sync!$AK1139,2))&amp;"|"&amp;"4"&amp;RIGHT("00000"&amp;1134,5))</f>
        <v/>
      </c>
      <c r="W1139">
        <f>IF($V1139="",0,COUNTIFS($V$6:$V$2005,"&lt;"&amp;$V1139)-COUNTIFS($V$6:$V$2005,"&lt;"&amp;$V1139,$K$6:$K$2005,"")+1)</f>
        <v/>
      </c>
    </row>
    <row r="1140">
      <c r="A1140">
        <f>IF(Sync!$Z1140="","",LEFT(UPPER(TRIM(Sync!$Z1140)),6))</f>
        <v/>
      </c>
      <c r="B1140">
        <f>IF($A1140="","",IF(Sync!$AA1140="","",Sync!$AA1140))</f>
        <v/>
      </c>
      <c r="C1140">
        <f>IF($A1140="","",IF(Sync!$AB1140="","",Sync!$AB1140))</f>
        <v/>
      </c>
      <c r="D1140">
        <f>IF($A1140="","",IF(Sync!$AC1140="","",Sync!$AC1140))</f>
        <v/>
      </c>
      <c r="E1140">
        <f>IF($A1140="","",IF(Sync!$AD1140="","",Sync!$AD1140))</f>
        <v/>
      </c>
      <c r="F1140">
        <f>IF($A1140="","",IF(Sync!$AE1140="",0,Sync!$AE1140))</f>
        <v/>
      </c>
      <c r="G1140">
        <f>IF($A1140="","",IF(Sync!$AF1140="",0,Sync!$AF1140))</f>
        <v/>
      </c>
      <c r="H1140">
        <f>IF(OR($A1140="",ROUND($F1140+$G1140,2)=0),"",$F1140+$G1140)</f>
        <v/>
      </c>
      <c r="I1140">
        <f>IF($H1140="","",IF(ROUND($F1140,2)&gt;0,$A1140,IF($D1140="شخصی قاسم","شخصی قاسم",IF($D1140="هزینه","هزینه: "&amp;IF($E1140="","متفرقه",$E1140),IF($C1140="پاس چک","چک پرداختی",IF(OR($B1140="",COUNTIF(AcctCodesA,$B1140)=0),"متفرقه",$B1140))))))</f>
        <v/>
      </c>
      <c r="J1140">
        <f>IF($H1140="","",IF(ROUND($F1140,2)&gt;0,IF($D1140="شخصی قاسم","شخصی قاسم",IF($D1140="هزینه","هزینه: "&amp;IF($E1140="","متفرقه",$E1140),IF(OR($B1140="",COUNTIF(AcctCodesA,$B1140)=0),"متفرقه",$B1140))),$A1140))</f>
        <v/>
      </c>
      <c r="K1140">
        <f>IF($A1140="","",IF(AND($B1140&lt;&gt;"",COUNTIF(AcctCodesA,$B1140)=0),"کد طرف در INFO تعریف نشده",IF(AND($D1140="هزینه",$E1140=""),"هزینه بدون زیرگروه",IF(AND($C1140="پاس چک",OR(Sync!$AJ1140="",COUNTIF(IssueNosA,Sync!$AJ1140)=0)),"شماره چک پاس‌شده معتبر نیست",""))))</f>
        <v/>
      </c>
      <c r="V1140">
        <f>IF($K1140="","",IF(ISNUMBER(Sync!$AK1140),Sync!$AK1140,LEFT(Sync!$AK1140,4)&amp;MID(Sync!$AK1140,6,2)&amp;RIGHT(Sync!$AK1140,2))&amp;"|"&amp;"4"&amp;RIGHT("00000"&amp;1135,5))</f>
        <v/>
      </c>
      <c r="W1140">
        <f>IF($V1140="",0,COUNTIFS($V$6:$V$2005,"&lt;"&amp;$V1140)-COUNTIFS($V$6:$V$2005,"&lt;"&amp;$V1140,$K$6:$K$2005,"")+1)</f>
        <v/>
      </c>
    </row>
    <row r="1141">
      <c r="A1141">
        <f>IF(Sync!$Z1141="","",LEFT(UPPER(TRIM(Sync!$Z1141)),6))</f>
        <v/>
      </c>
      <c r="B1141">
        <f>IF($A1141="","",IF(Sync!$AA1141="","",Sync!$AA1141))</f>
        <v/>
      </c>
      <c r="C1141">
        <f>IF($A1141="","",IF(Sync!$AB1141="","",Sync!$AB1141))</f>
        <v/>
      </c>
      <c r="D1141">
        <f>IF($A1141="","",IF(Sync!$AC1141="","",Sync!$AC1141))</f>
        <v/>
      </c>
      <c r="E1141">
        <f>IF($A1141="","",IF(Sync!$AD1141="","",Sync!$AD1141))</f>
        <v/>
      </c>
      <c r="F1141">
        <f>IF($A1141="","",IF(Sync!$AE1141="",0,Sync!$AE1141))</f>
        <v/>
      </c>
      <c r="G1141">
        <f>IF($A1141="","",IF(Sync!$AF1141="",0,Sync!$AF1141))</f>
        <v/>
      </c>
      <c r="H1141">
        <f>IF(OR($A1141="",ROUND($F1141+$G1141,2)=0),"",$F1141+$G1141)</f>
        <v/>
      </c>
      <c r="I1141">
        <f>IF($H1141="","",IF(ROUND($F1141,2)&gt;0,$A1141,IF($D1141="شخصی قاسم","شخصی قاسم",IF($D1141="هزینه","هزینه: "&amp;IF($E1141="","متفرقه",$E1141),IF($C1141="پاس چک","چک پرداختی",IF(OR($B1141="",COUNTIF(AcctCodesA,$B1141)=0),"متفرقه",$B1141))))))</f>
        <v/>
      </c>
      <c r="J1141">
        <f>IF($H1141="","",IF(ROUND($F1141,2)&gt;0,IF($D1141="شخصی قاسم","شخصی قاسم",IF($D1141="هزینه","هزینه: "&amp;IF($E1141="","متفرقه",$E1141),IF(OR($B1141="",COUNTIF(AcctCodesA,$B1141)=0),"متفرقه",$B1141))),$A1141))</f>
        <v/>
      </c>
      <c r="K1141">
        <f>IF($A1141="","",IF(AND($B1141&lt;&gt;"",COUNTIF(AcctCodesA,$B1141)=0),"کد طرف در INFO تعریف نشده",IF(AND($D1141="هزینه",$E1141=""),"هزینه بدون زیرگروه",IF(AND($C1141="پاس چک",OR(Sync!$AJ1141="",COUNTIF(IssueNosA,Sync!$AJ1141)=0)),"شماره چک پاس‌شده معتبر نیست",""))))</f>
        <v/>
      </c>
      <c r="V1141">
        <f>IF($K1141="","",IF(ISNUMBER(Sync!$AK1141),Sync!$AK1141,LEFT(Sync!$AK1141,4)&amp;MID(Sync!$AK1141,6,2)&amp;RIGHT(Sync!$AK1141,2))&amp;"|"&amp;"4"&amp;RIGHT("00000"&amp;1136,5))</f>
        <v/>
      </c>
      <c r="W1141">
        <f>IF($V1141="",0,COUNTIFS($V$6:$V$2005,"&lt;"&amp;$V1141)-COUNTIFS($V$6:$V$2005,"&lt;"&amp;$V1141,$K$6:$K$2005,"")+1)</f>
        <v/>
      </c>
    </row>
    <row r="1142">
      <c r="A1142">
        <f>IF(Sync!$Z1142="","",LEFT(UPPER(TRIM(Sync!$Z1142)),6))</f>
        <v/>
      </c>
      <c r="B1142">
        <f>IF($A1142="","",IF(Sync!$AA1142="","",Sync!$AA1142))</f>
        <v/>
      </c>
      <c r="C1142">
        <f>IF($A1142="","",IF(Sync!$AB1142="","",Sync!$AB1142))</f>
        <v/>
      </c>
      <c r="D1142">
        <f>IF($A1142="","",IF(Sync!$AC1142="","",Sync!$AC1142))</f>
        <v/>
      </c>
      <c r="E1142">
        <f>IF($A1142="","",IF(Sync!$AD1142="","",Sync!$AD1142))</f>
        <v/>
      </c>
      <c r="F1142">
        <f>IF($A1142="","",IF(Sync!$AE1142="",0,Sync!$AE1142))</f>
        <v/>
      </c>
      <c r="G1142">
        <f>IF($A1142="","",IF(Sync!$AF1142="",0,Sync!$AF1142))</f>
        <v/>
      </c>
      <c r="H1142">
        <f>IF(OR($A1142="",ROUND($F1142+$G1142,2)=0),"",$F1142+$G1142)</f>
        <v/>
      </c>
      <c r="I1142">
        <f>IF($H1142="","",IF(ROUND($F1142,2)&gt;0,$A1142,IF($D1142="شخصی قاسم","شخصی قاسم",IF($D1142="هزینه","هزینه: "&amp;IF($E1142="","متفرقه",$E1142),IF($C1142="پاس چک","چک پرداختی",IF(OR($B1142="",COUNTIF(AcctCodesA,$B1142)=0),"متفرقه",$B1142))))))</f>
        <v/>
      </c>
      <c r="J1142">
        <f>IF($H1142="","",IF(ROUND($F1142,2)&gt;0,IF($D1142="شخصی قاسم","شخصی قاسم",IF($D1142="هزینه","هزینه: "&amp;IF($E1142="","متفرقه",$E1142),IF(OR($B1142="",COUNTIF(AcctCodesA,$B1142)=0),"متفرقه",$B1142))),$A1142))</f>
        <v/>
      </c>
      <c r="K1142">
        <f>IF($A1142="","",IF(AND($B1142&lt;&gt;"",COUNTIF(AcctCodesA,$B1142)=0),"کد طرف در INFO تعریف نشده",IF(AND($D1142="هزینه",$E1142=""),"هزینه بدون زیرگروه",IF(AND($C1142="پاس چک",OR(Sync!$AJ1142="",COUNTIF(IssueNosA,Sync!$AJ1142)=0)),"شماره چک پاس‌شده معتبر نیست",""))))</f>
        <v/>
      </c>
      <c r="V1142">
        <f>IF($K1142="","",IF(ISNUMBER(Sync!$AK1142),Sync!$AK1142,LEFT(Sync!$AK1142,4)&amp;MID(Sync!$AK1142,6,2)&amp;RIGHT(Sync!$AK1142,2))&amp;"|"&amp;"4"&amp;RIGHT("00000"&amp;1137,5))</f>
        <v/>
      </c>
      <c r="W1142">
        <f>IF($V1142="",0,COUNTIFS($V$6:$V$2005,"&lt;"&amp;$V1142)-COUNTIFS($V$6:$V$2005,"&lt;"&amp;$V1142,$K$6:$K$2005,"")+1)</f>
        <v/>
      </c>
    </row>
    <row r="1143">
      <c r="A1143">
        <f>IF(Sync!$Z1143="","",LEFT(UPPER(TRIM(Sync!$Z1143)),6))</f>
        <v/>
      </c>
      <c r="B1143">
        <f>IF($A1143="","",IF(Sync!$AA1143="","",Sync!$AA1143))</f>
        <v/>
      </c>
      <c r="C1143">
        <f>IF($A1143="","",IF(Sync!$AB1143="","",Sync!$AB1143))</f>
        <v/>
      </c>
      <c r="D1143">
        <f>IF($A1143="","",IF(Sync!$AC1143="","",Sync!$AC1143))</f>
        <v/>
      </c>
      <c r="E1143">
        <f>IF($A1143="","",IF(Sync!$AD1143="","",Sync!$AD1143))</f>
        <v/>
      </c>
      <c r="F1143">
        <f>IF($A1143="","",IF(Sync!$AE1143="",0,Sync!$AE1143))</f>
        <v/>
      </c>
      <c r="G1143">
        <f>IF($A1143="","",IF(Sync!$AF1143="",0,Sync!$AF1143))</f>
        <v/>
      </c>
      <c r="H1143">
        <f>IF(OR($A1143="",ROUND($F1143+$G1143,2)=0),"",$F1143+$G1143)</f>
        <v/>
      </c>
      <c r="I1143">
        <f>IF($H1143="","",IF(ROUND($F1143,2)&gt;0,$A1143,IF($D1143="شخصی قاسم","شخصی قاسم",IF($D1143="هزینه","هزینه: "&amp;IF($E1143="","متفرقه",$E1143),IF($C1143="پاس چک","چک پرداختی",IF(OR($B1143="",COUNTIF(AcctCodesA,$B1143)=0),"متفرقه",$B1143))))))</f>
        <v/>
      </c>
      <c r="J1143">
        <f>IF($H1143="","",IF(ROUND($F1143,2)&gt;0,IF($D1143="شخصی قاسم","شخصی قاسم",IF($D1143="هزینه","هزینه: "&amp;IF($E1143="","متفرقه",$E1143),IF(OR($B1143="",COUNTIF(AcctCodesA,$B1143)=0),"متفرقه",$B1143))),$A1143))</f>
        <v/>
      </c>
      <c r="K1143">
        <f>IF($A1143="","",IF(AND($B1143&lt;&gt;"",COUNTIF(AcctCodesA,$B1143)=0),"کد طرف در INFO تعریف نشده",IF(AND($D1143="هزینه",$E1143=""),"هزینه بدون زیرگروه",IF(AND($C1143="پاس چک",OR(Sync!$AJ1143="",COUNTIF(IssueNosA,Sync!$AJ1143)=0)),"شماره چک پاس‌شده معتبر نیست",""))))</f>
        <v/>
      </c>
      <c r="V1143">
        <f>IF($K1143="","",IF(ISNUMBER(Sync!$AK1143),Sync!$AK1143,LEFT(Sync!$AK1143,4)&amp;MID(Sync!$AK1143,6,2)&amp;RIGHT(Sync!$AK1143,2))&amp;"|"&amp;"4"&amp;RIGHT("00000"&amp;1138,5))</f>
        <v/>
      </c>
      <c r="W1143">
        <f>IF($V1143="",0,COUNTIFS($V$6:$V$2005,"&lt;"&amp;$V1143)-COUNTIFS($V$6:$V$2005,"&lt;"&amp;$V1143,$K$6:$K$2005,"")+1)</f>
        <v/>
      </c>
    </row>
    <row r="1144">
      <c r="A1144">
        <f>IF(Sync!$Z1144="","",LEFT(UPPER(TRIM(Sync!$Z1144)),6))</f>
        <v/>
      </c>
      <c r="B1144">
        <f>IF($A1144="","",IF(Sync!$AA1144="","",Sync!$AA1144))</f>
        <v/>
      </c>
      <c r="C1144">
        <f>IF($A1144="","",IF(Sync!$AB1144="","",Sync!$AB1144))</f>
        <v/>
      </c>
      <c r="D1144">
        <f>IF($A1144="","",IF(Sync!$AC1144="","",Sync!$AC1144))</f>
        <v/>
      </c>
      <c r="E1144">
        <f>IF($A1144="","",IF(Sync!$AD1144="","",Sync!$AD1144))</f>
        <v/>
      </c>
      <c r="F1144">
        <f>IF($A1144="","",IF(Sync!$AE1144="",0,Sync!$AE1144))</f>
        <v/>
      </c>
      <c r="G1144">
        <f>IF($A1144="","",IF(Sync!$AF1144="",0,Sync!$AF1144))</f>
        <v/>
      </c>
      <c r="H1144">
        <f>IF(OR($A1144="",ROUND($F1144+$G1144,2)=0),"",$F1144+$G1144)</f>
        <v/>
      </c>
      <c r="I1144">
        <f>IF($H1144="","",IF(ROUND($F1144,2)&gt;0,$A1144,IF($D1144="شخصی قاسم","شخصی قاسم",IF($D1144="هزینه","هزینه: "&amp;IF($E1144="","متفرقه",$E1144),IF($C1144="پاس چک","چک پرداختی",IF(OR($B1144="",COUNTIF(AcctCodesA,$B1144)=0),"متفرقه",$B1144))))))</f>
        <v/>
      </c>
      <c r="J1144">
        <f>IF($H1144="","",IF(ROUND($F1144,2)&gt;0,IF($D1144="شخصی قاسم","شخصی قاسم",IF($D1144="هزینه","هزینه: "&amp;IF($E1144="","متفرقه",$E1144),IF(OR($B1144="",COUNTIF(AcctCodesA,$B1144)=0),"متفرقه",$B1144))),$A1144))</f>
        <v/>
      </c>
      <c r="K1144">
        <f>IF($A1144="","",IF(AND($B1144&lt;&gt;"",COUNTIF(AcctCodesA,$B1144)=0),"کد طرف در INFO تعریف نشده",IF(AND($D1144="هزینه",$E1144=""),"هزینه بدون زیرگروه",IF(AND($C1144="پاس چک",OR(Sync!$AJ1144="",COUNTIF(IssueNosA,Sync!$AJ1144)=0)),"شماره چک پاس‌شده معتبر نیست",""))))</f>
        <v/>
      </c>
      <c r="V1144">
        <f>IF($K1144="","",IF(ISNUMBER(Sync!$AK1144),Sync!$AK1144,LEFT(Sync!$AK1144,4)&amp;MID(Sync!$AK1144,6,2)&amp;RIGHT(Sync!$AK1144,2))&amp;"|"&amp;"4"&amp;RIGHT("00000"&amp;1139,5))</f>
        <v/>
      </c>
      <c r="W1144">
        <f>IF($V1144="",0,COUNTIFS($V$6:$V$2005,"&lt;"&amp;$V1144)-COUNTIFS($V$6:$V$2005,"&lt;"&amp;$V1144,$K$6:$K$2005,"")+1)</f>
        <v/>
      </c>
    </row>
    <row r="1145">
      <c r="A1145">
        <f>IF(Sync!$Z1145="","",LEFT(UPPER(TRIM(Sync!$Z1145)),6))</f>
        <v/>
      </c>
      <c r="B1145">
        <f>IF($A1145="","",IF(Sync!$AA1145="","",Sync!$AA1145))</f>
        <v/>
      </c>
      <c r="C1145">
        <f>IF($A1145="","",IF(Sync!$AB1145="","",Sync!$AB1145))</f>
        <v/>
      </c>
      <c r="D1145">
        <f>IF($A1145="","",IF(Sync!$AC1145="","",Sync!$AC1145))</f>
        <v/>
      </c>
      <c r="E1145">
        <f>IF($A1145="","",IF(Sync!$AD1145="","",Sync!$AD1145))</f>
        <v/>
      </c>
      <c r="F1145">
        <f>IF($A1145="","",IF(Sync!$AE1145="",0,Sync!$AE1145))</f>
        <v/>
      </c>
      <c r="G1145">
        <f>IF($A1145="","",IF(Sync!$AF1145="",0,Sync!$AF1145))</f>
        <v/>
      </c>
      <c r="H1145">
        <f>IF(OR($A1145="",ROUND($F1145+$G1145,2)=0),"",$F1145+$G1145)</f>
        <v/>
      </c>
      <c r="I1145">
        <f>IF($H1145="","",IF(ROUND($F1145,2)&gt;0,$A1145,IF($D1145="شخصی قاسم","شخصی قاسم",IF($D1145="هزینه","هزینه: "&amp;IF($E1145="","متفرقه",$E1145),IF($C1145="پاس چک","چک پرداختی",IF(OR($B1145="",COUNTIF(AcctCodesA,$B1145)=0),"متفرقه",$B1145))))))</f>
        <v/>
      </c>
      <c r="J1145">
        <f>IF($H1145="","",IF(ROUND($F1145,2)&gt;0,IF($D1145="شخصی قاسم","شخصی قاسم",IF($D1145="هزینه","هزینه: "&amp;IF($E1145="","متفرقه",$E1145),IF(OR($B1145="",COUNTIF(AcctCodesA,$B1145)=0),"متفرقه",$B1145))),$A1145))</f>
        <v/>
      </c>
      <c r="K1145">
        <f>IF($A1145="","",IF(AND($B1145&lt;&gt;"",COUNTIF(AcctCodesA,$B1145)=0),"کد طرف در INFO تعریف نشده",IF(AND($D1145="هزینه",$E1145=""),"هزینه بدون زیرگروه",IF(AND($C1145="پاس چک",OR(Sync!$AJ1145="",COUNTIF(IssueNosA,Sync!$AJ1145)=0)),"شماره چک پاس‌شده معتبر نیست",""))))</f>
        <v/>
      </c>
      <c r="V1145">
        <f>IF($K1145="","",IF(ISNUMBER(Sync!$AK1145),Sync!$AK1145,LEFT(Sync!$AK1145,4)&amp;MID(Sync!$AK1145,6,2)&amp;RIGHT(Sync!$AK1145,2))&amp;"|"&amp;"4"&amp;RIGHT("00000"&amp;1140,5))</f>
        <v/>
      </c>
      <c r="W1145">
        <f>IF($V1145="",0,COUNTIFS($V$6:$V$2005,"&lt;"&amp;$V1145)-COUNTIFS($V$6:$V$2005,"&lt;"&amp;$V1145,$K$6:$K$2005,"")+1)</f>
        <v/>
      </c>
    </row>
    <row r="1146">
      <c r="A1146">
        <f>IF(Sync!$Z1146="","",LEFT(UPPER(TRIM(Sync!$Z1146)),6))</f>
        <v/>
      </c>
      <c r="B1146">
        <f>IF($A1146="","",IF(Sync!$AA1146="","",Sync!$AA1146))</f>
        <v/>
      </c>
      <c r="C1146">
        <f>IF($A1146="","",IF(Sync!$AB1146="","",Sync!$AB1146))</f>
        <v/>
      </c>
      <c r="D1146">
        <f>IF($A1146="","",IF(Sync!$AC1146="","",Sync!$AC1146))</f>
        <v/>
      </c>
      <c r="E1146">
        <f>IF($A1146="","",IF(Sync!$AD1146="","",Sync!$AD1146))</f>
        <v/>
      </c>
      <c r="F1146">
        <f>IF($A1146="","",IF(Sync!$AE1146="",0,Sync!$AE1146))</f>
        <v/>
      </c>
      <c r="G1146">
        <f>IF($A1146="","",IF(Sync!$AF1146="",0,Sync!$AF1146))</f>
        <v/>
      </c>
      <c r="H1146">
        <f>IF(OR($A1146="",ROUND($F1146+$G1146,2)=0),"",$F1146+$G1146)</f>
        <v/>
      </c>
      <c r="I1146">
        <f>IF($H1146="","",IF(ROUND($F1146,2)&gt;0,$A1146,IF($D1146="شخصی قاسم","شخصی قاسم",IF($D1146="هزینه","هزینه: "&amp;IF($E1146="","متفرقه",$E1146),IF($C1146="پاس چک","چک پرداختی",IF(OR($B1146="",COUNTIF(AcctCodesA,$B1146)=0),"متفرقه",$B1146))))))</f>
        <v/>
      </c>
      <c r="J1146">
        <f>IF($H1146="","",IF(ROUND($F1146,2)&gt;0,IF($D1146="شخصی قاسم","شخصی قاسم",IF($D1146="هزینه","هزینه: "&amp;IF($E1146="","متفرقه",$E1146),IF(OR($B1146="",COUNTIF(AcctCodesA,$B1146)=0),"متفرقه",$B1146))),$A1146))</f>
        <v/>
      </c>
      <c r="K1146">
        <f>IF($A1146="","",IF(AND($B1146&lt;&gt;"",COUNTIF(AcctCodesA,$B1146)=0),"کد طرف در INFO تعریف نشده",IF(AND($D1146="هزینه",$E1146=""),"هزینه بدون زیرگروه",IF(AND($C1146="پاس چک",OR(Sync!$AJ1146="",COUNTIF(IssueNosA,Sync!$AJ1146)=0)),"شماره چک پاس‌شده معتبر نیست",""))))</f>
        <v/>
      </c>
      <c r="V1146">
        <f>IF($K1146="","",IF(ISNUMBER(Sync!$AK1146),Sync!$AK1146,LEFT(Sync!$AK1146,4)&amp;MID(Sync!$AK1146,6,2)&amp;RIGHT(Sync!$AK1146,2))&amp;"|"&amp;"4"&amp;RIGHT("00000"&amp;1141,5))</f>
        <v/>
      </c>
      <c r="W1146">
        <f>IF($V1146="",0,COUNTIFS($V$6:$V$2005,"&lt;"&amp;$V1146)-COUNTIFS($V$6:$V$2005,"&lt;"&amp;$V1146,$K$6:$K$2005,"")+1)</f>
        <v/>
      </c>
    </row>
    <row r="1147">
      <c r="A1147">
        <f>IF(Sync!$Z1147="","",LEFT(UPPER(TRIM(Sync!$Z1147)),6))</f>
        <v/>
      </c>
      <c r="B1147">
        <f>IF($A1147="","",IF(Sync!$AA1147="","",Sync!$AA1147))</f>
        <v/>
      </c>
      <c r="C1147">
        <f>IF($A1147="","",IF(Sync!$AB1147="","",Sync!$AB1147))</f>
        <v/>
      </c>
      <c r="D1147">
        <f>IF($A1147="","",IF(Sync!$AC1147="","",Sync!$AC1147))</f>
        <v/>
      </c>
      <c r="E1147">
        <f>IF($A1147="","",IF(Sync!$AD1147="","",Sync!$AD1147))</f>
        <v/>
      </c>
      <c r="F1147">
        <f>IF($A1147="","",IF(Sync!$AE1147="",0,Sync!$AE1147))</f>
        <v/>
      </c>
      <c r="G1147">
        <f>IF($A1147="","",IF(Sync!$AF1147="",0,Sync!$AF1147))</f>
        <v/>
      </c>
      <c r="H1147">
        <f>IF(OR($A1147="",ROUND($F1147+$G1147,2)=0),"",$F1147+$G1147)</f>
        <v/>
      </c>
      <c r="I1147">
        <f>IF($H1147="","",IF(ROUND($F1147,2)&gt;0,$A1147,IF($D1147="شخصی قاسم","شخصی قاسم",IF($D1147="هزینه","هزینه: "&amp;IF($E1147="","متفرقه",$E1147),IF($C1147="پاس چک","چک پرداختی",IF(OR($B1147="",COUNTIF(AcctCodesA,$B1147)=0),"متفرقه",$B1147))))))</f>
        <v/>
      </c>
      <c r="J1147">
        <f>IF($H1147="","",IF(ROUND($F1147,2)&gt;0,IF($D1147="شخصی قاسم","شخصی قاسم",IF($D1147="هزینه","هزینه: "&amp;IF($E1147="","متفرقه",$E1147),IF(OR($B1147="",COUNTIF(AcctCodesA,$B1147)=0),"متفرقه",$B1147))),$A1147))</f>
        <v/>
      </c>
      <c r="K1147">
        <f>IF($A1147="","",IF(AND($B1147&lt;&gt;"",COUNTIF(AcctCodesA,$B1147)=0),"کد طرف در INFO تعریف نشده",IF(AND($D1147="هزینه",$E1147=""),"هزینه بدون زیرگروه",IF(AND($C1147="پاس چک",OR(Sync!$AJ1147="",COUNTIF(IssueNosA,Sync!$AJ1147)=0)),"شماره چک پاس‌شده معتبر نیست",""))))</f>
        <v/>
      </c>
      <c r="V1147">
        <f>IF($K1147="","",IF(ISNUMBER(Sync!$AK1147),Sync!$AK1147,LEFT(Sync!$AK1147,4)&amp;MID(Sync!$AK1147,6,2)&amp;RIGHT(Sync!$AK1147,2))&amp;"|"&amp;"4"&amp;RIGHT("00000"&amp;1142,5))</f>
        <v/>
      </c>
      <c r="W1147">
        <f>IF($V1147="",0,COUNTIFS($V$6:$V$2005,"&lt;"&amp;$V1147)-COUNTIFS($V$6:$V$2005,"&lt;"&amp;$V1147,$K$6:$K$2005,"")+1)</f>
        <v/>
      </c>
    </row>
    <row r="1148">
      <c r="A1148">
        <f>IF(Sync!$Z1148="","",LEFT(UPPER(TRIM(Sync!$Z1148)),6))</f>
        <v/>
      </c>
      <c r="B1148">
        <f>IF($A1148="","",IF(Sync!$AA1148="","",Sync!$AA1148))</f>
        <v/>
      </c>
      <c r="C1148">
        <f>IF($A1148="","",IF(Sync!$AB1148="","",Sync!$AB1148))</f>
        <v/>
      </c>
      <c r="D1148">
        <f>IF($A1148="","",IF(Sync!$AC1148="","",Sync!$AC1148))</f>
        <v/>
      </c>
      <c r="E1148">
        <f>IF($A1148="","",IF(Sync!$AD1148="","",Sync!$AD1148))</f>
        <v/>
      </c>
      <c r="F1148">
        <f>IF($A1148="","",IF(Sync!$AE1148="",0,Sync!$AE1148))</f>
        <v/>
      </c>
      <c r="G1148">
        <f>IF($A1148="","",IF(Sync!$AF1148="",0,Sync!$AF1148))</f>
        <v/>
      </c>
      <c r="H1148">
        <f>IF(OR($A1148="",ROUND($F1148+$G1148,2)=0),"",$F1148+$G1148)</f>
        <v/>
      </c>
      <c r="I1148">
        <f>IF($H1148="","",IF(ROUND($F1148,2)&gt;0,$A1148,IF($D1148="شخصی قاسم","شخصی قاسم",IF($D1148="هزینه","هزینه: "&amp;IF($E1148="","متفرقه",$E1148),IF($C1148="پاس چک","چک پرداختی",IF(OR($B1148="",COUNTIF(AcctCodesA,$B1148)=0),"متفرقه",$B1148))))))</f>
        <v/>
      </c>
      <c r="J1148">
        <f>IF($H1148="","",IF(ROUND($F1148,2)&gt;0,IF($D1148="شخصی قاسم","شخصی قاسم",IF($D1148="هزینه","هزینه: "&amp;IF($E1148="","متفرقه",$E1148),IF(OR($B1148="",COUNTIF(AcctCodesA,$B1148)=0),"متفرقه",$B1148))),$A1148))</f>
        <v/>
      </c>
      <c r="K1148">
        <f>IF($A1148="","",IF(AND($B1148&lt;&gt;"",COUNTIF(AcctCodesA,$B1148)=0),"کد طرف در INFO تعریف نشده",IF(AND($D1148="هزینه",$E1148=""),"هزینه بدون زیرگروه",IF(AND($C1148="پاس چک",OR(Sync!$AJ1148="",COUNTIF(IssueNosA,Sync!$AJ1148)=0)),"شماره چک پاس‌شده معتبر نیست",""))))</f>
        <v/>
      </c>
      <c r="V1148">
        <f>IF($K1148="","",IF(ISNUMBER(Sync!$AK1148),Sync!$AK1148,LEFT(Sync!$AK1148,4)&amp;MID(Sync!$AK1148,6,2)&amp;RIGHT(Sync!$AK1148,2))&amp;"|"&amp;"4"&amp;RIGHT("00000"&amp;1143,5))</f>
        <v/>
      </c>
      <c r="W1148">
        <f>IF($V1148="",0,COUNTIFS($V$6:$V$2005,"&lt;"&amp;$V1148)-COUNTIFS($V$6:$V$2005,"&lt;"&amp;$V1148,$K$6:$K$2005,"")+1)</f>
        <v/>
      </c>
    </row>
    <row r="1149">
      <c r="A1149">
        <f>IF(Sync!$Z1149="","",LEFT(UPPER(TRIM(Sync!$Z1149)),6))</f>
        <v/>
      </c>
      <c r="B1149">
        <f>IF($A1149="","",IF(Sync!$AA1149="","",Sync!$AA1149))</f>
        <v/>
      </c>
      <c r="C1149">
        <f>IF($A1149="","",IF(Sync!$AB1149="","",Sync!$AB1149))</f>
        <v/>
      </c>
      <c r="D1149">
        <f>IF($A1149="","",IF(Sync!$AC1149="","",Sync!$AC1149))</f>
        <v/>
      </c>
      <c r="E1149">
        <f>IF($A1149="","",IF(Sync!$AD1149="","",Sync!$AD1149))</f>
        <v/>
      </c>
      <c r="F1149">
        <f>IF($A1149="","",IF(Sync!$AE1149="",0,Sync!$AE1149))</f>
        <v/>
      </c>
      <c r="G1149">
        <f>IF($A1149="","",IF(Sync!$AF1149="",0,Sync!$AF1149))</f>
        <v/>
      </c>
      <c r="H1149">
        <f>IF(OR($A1149="",ROUND($F1149+$G1149,2)=0),"",$F1149+$G1149)</f>
        <v/>
      </c>
      <c r="I1149">
        <f>IF($H1149="","",IF(ROUND($F1149,2)&gt;0,$A1149,IF($D1149="شخصی قاسم","شخصی قاسم",IF($D1149="هزینه","هزینه: "&amp;IF($E1149="","متفرقه",$E1149),IF($C1149="پاس چک","چک پرداختی",IF(OR($B1149="",COUNTIF(AcctCodesA,$B1149)=0),"متفرقه",$B1149))))))</f>
        <v/>
      </c>
      <c r="J1149">
        <f>IF($H1149="","",IF(ROUND($F1149,2)&gt;0,IF($D1149="شخصی قاسم","شخصی قاسم",IF($D1149="هزینه","هزینه: "&amp;IF($E1149="","متفرقه",$E1149),IF(OR($B1149="",COUNTIF(AcctCodesA,$B1149)=0),"متفرقه",$B1149))),$A1149))</f>
        <v/>
      </c>
      <c r="K1149">
        <f>IF($A1149="","",IF(AND($B1149&lt;&gt;"",COUNTIF(AcctCodesA,$B1149)=0),"کد طرف در INFO تعریف نشده",IF(AND($D1149="هزینه",$E1149=""),"هزینه بدون زیرگروه",IF(AND($C1149="پاس چک",OR(Sync!$AJ1149="",COUNTIF(IssueNosA,Sync!$AJ1149)=0)),"شماره چک پاس‌شده معتبر نیست",""))))</f>
        <v/>
      </c>
      <c r="V1149">
        <f>IF($K1149="","",IF(ISNUMBER(Sync!$AK1149),Sync!$AK1149,LEFT(Sync!$AK1149,4)&amp;MID(Sync!$AK1149,6,2)&amp;RIGHT(Sync!$AK1149,2))&amp;"|"&amp;"4"&amp;RIGHT("00000"&amp;1144,5))</f>
        <v/>
      </c>
      <c r="W1149">
        <f>IF($V1149="",0,COUNTIFS($V$6:$V$2005,"&lt;"&amp;$V1149)-COUNTIFS($V$6:$V$2005,"&lt;"&amp;$V1149,$K$6:$K$2005,"")+1)</f>
        <v/>
      </c>
    </row>
    <row r="1150">
      <c r="A1150">
        <f>IF(Sync!$Z1150="","",LEFT(UPPER(TRIM(Sync!$Z1150)),6))</f>
        <v/>
      </c>
      <c r="B1150">
        <f>IF($A1150="","",IF(Sync!$AA1150="","",Sync!$AA1150))</f>
        <v/>
      </c>
      <c r="C1150">
        <f>IF($A1150="","",IF(Sync!$AB1150="","",Sync!$AB1150))</f>
        <v/>
      </c>
      <c r="D1150">
        <f>IF($A1150="","",IF(Sync!$AC1150="","",Sync!$AC1150))</f>
        <v/>
      </c>
      <c r="E1150">
        <f>IF($A1150="","",IF(Sync!$AD1150="","",Sync!$AD1150))</f>
        <v/>
      </c>
      <c r="F1150">
        <f>IF($A1150="","",IF(Sync!$AE1150="",0,Sync!$AE1150))</f>
        <v/>
      </c>
      <c r="G1150">
        <f>IF($A1150="","",IF(Sync!$AF1150="",0,Sync!$AF1150))</f>
        <v/>
      </c>
      <c r="H1150">
        <f>IF(OR($A1150="",ROUND($F1150+$G1150,2)=0),"",$F1150+$G1150)</f>
        <v/>
      </c>
      <c r="I1150">
        <f>IF($H1150="","",IF(ROUND($F1150,2)&gt;0,$A1150,IF($D1150="شخصی قاسم","شخصی قاسم",IF($D1150="هزینه","هزینه: "&amp;IF($E1150="","متفرقه",$E1150),IF($C1150="پاس چک","چک پرداختی",IF(OR($B1150="",COUNTIF(AcctCodesA,$B1150)=0),"متفرقه",$B1150))))))</f>
        <v/>
      </c>
      <c r="J1150">
        <f>IF($H1150="","",IF(ROUND($F1150,2)&gt;0,IF($D1150="شخصی قاسم","شخصی قاسم",IF($D1150="هزینه","هزینه: "&amp;IF($E1150="","متفرقه",$E1150),IF(OR($B1150="",COUNTIF(AcctCodesA,$B1150)=0),"متفرقه",$B1150))),$A1150))</f>
        <v/>
      </c>
      <c r="K1150">
        <f>IF($A1150="","",IF(AND($B1150&lt;&gt;"",COUNTIF(AcctCodesA,$B1150)=0),"کد طرف در INFO تعریف نشده",IF(AND($D1150="هزینه",$E1150=""),"هزینه بدون زیرگروه",IF(AND($C1150="پاس چک",OR(Sync!$AJ1150="",COUNTIF(IssueNosA,Sync!$AJ1150)=0)),"شماره چک پاس‌شده معتبر نیست",""))))</f>
        <v/>
      </c>
      <c r="V1150">
        <f>IF($K1150="","",IF(ISNUMBER(Sync!$AK1150),Sync!$AK1150,LEFT(Sync!$AK1150,4)&amp;MID(Sync!$AK1150,6,2)&amp;RIGHT(Sync!$AK1150,2))&amp;"|"&amp;"4"&amp;RIGHT("00000"&amp;1145,5))</f>
        <v/>
      </c>
      <c r="W1150">
        <f>IF($V1150="",0,COUNTIFS($V$6:$V$2005,"&lt;"&amp;$V1150)-COUNTIFS($V$6:$V$2005,"&lt;"&amp;$V1150,$K$6:$K$2005,"")+1)</f>
        <v/>
      </c>
    </row>
    <row r="1151">
      <c r="A1151">
        <f>IF(Sync!$Z1151="","",LEFT(UPPER(TRIM(Sync!$Z1151)),6))</f>
        <v/>
      </c>
      <c r="B1151">
        <f>IF($A1151="","",IF(Sync!$AA1151="","",Sync!$AA1151))</f>
        <v/>
      </c>
      <c r="C1151">
        <f>IF($A1151="","",IF(Sync!$AB1151="","",Sync!$AB1151))</f>
        <v/>
      </c>
      <c r="D1151">
        <f>IF($A1151="","",IF(Sync!$AC1151="","",Sync!$AC1151))</f>
        <v/>
      </c>
      <c r="E1151">
        <f>IF($A1151="","",IF(Sync!$AD1151="","",Sync!$AD1151))</f>
        <v/>
      </c>
      <c r="F1151">
        <f>IF($A1151="","",IF(Sync!$AE1151="",0,Sync!$AE1151))</f>
        <v/>
      </c>
      <c r="G1151">
        <f>IF($A1151="","",IF(Sync!$AF1151="",0,Sync!$AF1151))</f>
        <v/>
      </c>
      <c r="H1151">
        <f>IF(OR($A1151="",ROUND($F1151+$G1151,2)=0),"",$F1151+$G1151)</f>
        <v/>
      </c>
      <c r="I1151">
        <f>IF($H1151="","",IF(ROUND($F1151,2)&gt;0,$A1151,IF($D1151="شخصی قاسم","شخصی قاسم",IF($D1151="هزینه","هزینه: "&amp;IF($E1151="","متفرقه",$E1151),IF($C1151="پاس چک","چک پرداختی",IF(OR($B1151="",COUNTIF(AcctCodesA,$B1151)=0),"متفرقه",$B1151))))))</f>
        <v/>
      </c>
      <c r="J1151">
        <f>IF($H1151="","",IF(ROUND($F1151,2)&gt;0,IF($D1151="شخصی قاسم","شخصی قاسم",IF($D1151="هزینه","هزینه: "&amp;IF($E1151="","متفرقه",$E1151),IF(OR($B1151="",COUNTIF(AcctCodesA,$B1151)=0),"متفرقه",$B1151))),$A1151))</f>
        <v/>
      </c>
      <c r="K1151">
        <f>IF($A1151="","",IF(AND($B1151&lt;&gt;"",COUNTIF(AcctCodesA,$B1151)=0),"کد طرف در INFO تعریف نشده",IF(AND($D1151="هزینه",$E1151=""),"هزینه بدون زیرگروه",IF(AND($C1151="پاس چک",OR(Sync!$AJ1151="",COUNTIF(IssueNosA,Sync!$AJ1151)=0)),"شماره چک پاس‌شده معتبر نیست",""))))</f>
        <v/>
      </c>
      <c r="V1151">
        <f>IF($K1151="","",IF(ISNUMBER(Sync!$AK1151),Sync!$AK1151,LEFT(Sync!$AK1151,4)&amp;MID(Sync!$AK1151,6,2)&amp;RIGHT(Sync!$AK1151,2))&amp;"|"&amp;"4"&amp;RIGHT("00000"&amp;1146,5))</f>
        <v/>
      </c>
      <c r="W1151">
        <f>IF($V1151="",0,COUNTIFS($V$6:$V$2005,"&lt;"&amp;$V1151)-COUNTIFS($V$6:$V$2005,"&lt;"&amp;$V1151,$K$6:$K$2005,"")+1)</f>
        <v/>
      </c>
    </row>
    <row r="1152">
      <c r="A1152">
        <f>IF(Sync!$Z1152="","",LEFT(UPPER(TRIM(Sync!$Z1152)),6))</f>
        <v/>
      </c>
      <c r="B1152">
        <f>IF($A1152="","",IF(Sync!$AA1152="","",Sync!$AA1152))</f>
        <v/>
      </c>
      <c r="C1152">
        <f>IF($A1152="","",IF(Sync!$AB1152="","",Sync!$AB1152))</f>
        <v/>
      </c>
      <c r="D1152">
        <f>IF($A1152="","",IF(Sync!$AC1152="","",Sync!$AC1152))</f>
        <v/>
      </c>
      <c r="E1152">
        <f>IF($A1152="","",IF(Sync!$AD1152="","",Sync!$AD1152))</f>
        <v/>
      </c>
      <c r="F1152">
        <f>IF($A1152="","",IF(Sync!$AE1152="",0,Sync!$AE1152))</f>
        <v/>
      </c>
      <c r="G1152">
        <f>IF($A1152="","",IF(Sync!$AF1152="",0,Sync!$AF1152))</f>
        <v/>
      </c>
      <c r="H1152">
        <f>IF(OR($A1152="",ROUND($F1152+$G1152,2)=0),"",$F1152+$G1152)</f>
        <v/>
      </c>
      <c r="I1152">
        <f>IF($H1152="","",IF(ROUND($F1152,2)&gt;0,$A1152,IF($D1152="شخصی قاسم","شخصی قاسم",IF($D1152="هزینه","هزینه: "&amp;IF($E1152="","متفرقه",$E1152),IF($C1152="پاس چک","چک پرداختی",IF(OR($B1152="",COUNTIF(AcctCodesA,$B1152)=0),"متفرقه",$B1152))))))</f>
        <v/>
      </c>
      <c r="J1152">
        <f>IF($H1152="","",IF(ROUND($F1152,2)&gt;0,IF($D1152="شخصی قاسم","شخصی قاسم",IF($D1152="هزینه","هزینه: "&amp;IF($E1152="","متفرقه",$E1152),IF(OR($B1152="",COUNTIF(AcctCodesA,$B1152)=0),"متفرقه",$B1152))),$A1152))</f>
        <v/>
      </c>
      <c r="K1152">
        <f>IF($A1152="","",IF(AND($B1152&lt;&gt;"",COUNTIF(AcctCodesA,$B1152)=0),"کد طرف در INFO تعریف نشده",IF(AND($D1152="هزینه",$E1152=""),"هزینه بدون زیرگروه",IF(AND($C1152="پاس چک",OR(Sync!$AJ1152="",COUNTIF(IssueNosA,Sync!$AJ1152)=0)),"شماره چک پاس‌شده معتبر نیست",""))))</f>
        <v/>
      </c>
      <c r="V1152">
        <f>IF($K1152="","",IF(ISNUMBER(Sync!$AK1152),Sync!$AK1152,LEFT(Sync!$AK1152,4)&amp;MID(Sync!$AK1152,6,2)&amp;RIGHT(Sync!$AK1152,2))&amp;"|"&amp;"4"&amp;RIGHT("00000"&amp;1147,5))</f>
        <v/>
      </c>
      <c r="W1152">
        <f>IF($V1152="",0,COUNTIFS($V$6:$V$2005,"&lt;"&amp;$V1152)-COUNTIFS($V$6:$V$2005,"&lt;"&amp;$V1152,$K$6:$K$2005,"")+1)</f>
        <v/>
      </c>
    </row>
    <row r="1153">
      <c r="A1153">
        <f>IF(Sync!$Z1153="","",LEFT(UPPER(TRIM(Sync!$Z1153)),6))</f>
        <v/>
      </c>
      <c r="B1153">
        <f>IF($A1153="","",IF(Sync!$AA1153="","",Sync!$AA1153))</f>
        <v/>
      </c>
      <c r="C1153">
        <f>IF($A1153="","",IF(Sync!$AB1153="","",Sync!$AB1153))</f>
        <v/>
      </c>
      <c r="D1153">
        <f>IF($A1153="","",IF(Sync!$AC1153="","",Sync!$AC1153))</f>
        <v/>
      </c>
      <c r="E1153">
        <f>IF($A1153="","",IF(Sync!$AD1153="","",Sync!$AD1153))</f>
        <v/>
      </c>
      <c r="F1153">
        <f>IF($A1153="","",IF(Sync!$AE1153="",0,Sync!$AE1153))</f>
        <v/>
      </c>
      <c r="G1153">
        <f>IF($A1153="","",IF(Sync!$AF1153="",0,Sync!$AF1153))</f>
        <v/>
      </c>
      <c r="H1153">
        <f>IF(OR($A1153="",ROUND($F1153+$G1153,2)=0),"",$F1153+$G1153)</f>
        <v/>
      </c>
      <c r="I1153">
        <f>IF($H1153="","",IF(ROUND($F1153,2)&gt;0,$A1153,IF($D1153="شخصی قاسم","شخصی قاسم",IF($D1153="هزینه","هزینه: "&amp;IF($E1153="","متفرقه",$E1153),IF($C1153="پاس چک","چک پرداختی",IF(OR($B1153="",COUNTIF(AcctCodesA,$B1153)=0),"متفرقه",$B1153))))))</f>
        <v/>
      </c>
      <c r="J1153">
        <f>IF($H1153="","",IF(ROUND($F1153,2)&gt;0,IF($D1153="شخصی قاسم","شخصی قاسم",IF($D1153="هزینه","هزینه: "&amp;IF($E1153="","متفرقه",$E1153),IF(OR($B1153="",COUNTIF(AcctCodesA,$B1153)=0),"متفرقه",$B1153))),$A1153))</f>
        <v/>
      </c>
      <c r="K1153">
        <f>IF($A1153="","",IF(AND($B1153&lt;&gt;"",COUNTIF(AcctCodesA,$B1153)=0),"کد طرف در INFO تعریف نشده",IF(AND($D1153="هزینه",$E1153=""),"هزینه بدون زیرگروه",IF(AND($C1153="پاس چک",OR(Sync!$AJ1153="",COUNTIF(IssueNosA,Sync!$AJ1153)=0)),"شماره چک پاس‌شده معتبر نیست",""))))</f>
        <v/>
      </c>
      <c r="V1153">
        <f>IF($K1153="","",IF(ISNUMBER(Sync!$AK1153),Sync!$AK1153,LEFT(Sync!$AK1153,4)&amp;MID(Sync!$AK1153,6,2)&amp;RIGHT(Sync!$AK1153,2))&amp;"|"&amp;"4"&amp;RIGHT("00000"&amp;1148,5))</f>
        <v/>
      </c>
      <c r="W1153">
        <f>IF($V1153="",0,COUNTIFS($V$6:$V$2005,"&lt;"&amp;$V1153)-COUNTIFS($V$6:$V$2005,"&lt;"&amp;$V1153,$K$6:$K$2005,"")+1)</f>
        <v/>
      </c>
    </row>
    <row r="1154">
      <c r="A1154">
        <f>IF(Sync!$Z1154="","",LEFT(UPPER(TRIM(Sync!$Z1154)),6))</f>
        <v/>
      </c>
      <c r="B1154">
        <f>IF($A1154="","",IF(Sync!$AA1154="","",Sync!$AA1154))</f>
        <v/>
      </c>
      <c r="C1154">
        <f>IF($A1154="","",IF(Sync!$AB1154="","",Sync!$AB1154))</f>
        <v/>
      </c>
      <c r="D1154">
        <f>IF($A1154="","",IF(Sync!$AC1154="","",Sync!$AC1154))</f>
        <v/>
      </c>
      <c r="E1154">
        <f>IF($A1154="","",IF(Sync!$AD1154="","",Sync!$AD1154))</f>
        <v/>
      </c>
      <c r="F1154">
        <f>IF($A1154="","",IF(Sync!$AE1154="",0,Sync!$AE1154))</f>
        <v/>
      </c>
      <c r="G1154">
        <f>IF($A1154="","",IF(Sync!$AF1154="",0,Sync!$AF1154))</f>
        <v/>
      </c>
      <c r="H1154">
        <f>IF(OR($A1154="",ROUND($F1154+$G1154,2)=0),"",$F1154+$G1154)</f>
        <v/>
      </c>
      <c r="I1154">
        <f>IF($H1154="","",IF(ROUND($F1154,2)&gt;0,$A1154,IF($D1154="شخصی قاسم","شخصی قاسم",IF($D1154="هزینه","هزینه: "&amp;IF($E1154="","متفرقه",$E1154),IF($C1154="پاس چک","چک پرداختی",IF(OR($B1154="",COUNTIF(AcctCodesA,$B1154)=0),"متفرقه",$B1154))))))</f>
        <v/>
      </c>
      <c r="J1154">
        <f>IF($H1154="","",IF(ROUND($F1154,2)&gt;0,IF($D1154="شخصی قاسم","شخصی قاسم",IF($D1154="هزینه","هزینه: "&amp;IF($E1154="","متفرقه",$E1154),IF(OR($B1154="",COUNTIF(AcctCodesA,$B1154)=0),"متفرقه",$B1154))),$A1154))</f>
        <v/>
      </c>
      <c r="K1154">
        <f>IF($A1154="","",IF(AND($B1154&lt;&gt;"",COUNTIF(AcctCodesA,$B1154)=0),"کد طرف در INFO تعریف نشده",IF(AND($D1154="هزینه",$E1154=""),"هزینه بدون زیرگروه",IF(AND($C1154="پاس چک",OR(Sync!$AJ1154="",COUNTIF(IssueNosA,Sync!$AJ1154)=0)),"شماره چک پاس‌شده معتبر نیست",""))))</f>
        <v/>
      </c>
      <c r="V1154">
        <f>IF($K1154="","",IF(ISNUMBER(Sync!$AK1154),Sync!$AK1154,LEFT(Sync!$AK1154,4)&amp;MID(Sync!$AK1154,6,2)&amp;RIGHT(Sync!$AK1154,2))&amp;"|"&amp;"4"&amp;RIGHT("00000"&amp;1149,5))</f>
        <v/>
      </c>
      <c r="W1154">
        <f>IF($V1154="",0,COUNTIFS($V$6:$V$2005,"&lt;"&amp;$V1154)-COUNTIFS($V$6:$V$2005,"&lt;"&amp;$V1154,$K$6:$K$2005,"")+1)</f>
        <v/>
      </c>
    </row>
    <row r="1155">
      <c r="A1155">
        <f>IF(Sync!$Z1155="","",LEFT(UPPER(TRIM(Sync!$Z1155)),6))</f>
        <v/>
      </c>
      <c r="B1155">
        <f>IF($A1155="","",IF(Sync!$AA1155="","",Sync!$AA1155))</f>
        <v/>
      </c>
      <c r="C1155">
        <f>IF($A1155="","",IF(Sync!$AB1155="","",Sync!$AB1155))</f>
        <v/>
      </c>
      <c r="D1155">
        <f>IF($A1155="","",IF(Sync!$AC1155="","",Sync!$AC1155))</f>
        <v/>
      </c>
      <c r="E1155">
        <f>IF($A1155="","",IF(Sync!$AD1155="","",Sync!$AD1155))</f>
        <v/>
      </c>
      <c r="F1155">
        <f>IF($A1155="","",IF(Sync!$AE1155="",0,Sync!$AE1155))</f>
        <v/>
      </c>
      <c r="G1155">
        <f>IF($A1155="","",IF(Sync!$AF1155="",0,Sync!$AF1155))</f>
        <v/>
      </c>
      <c r="H1155">
        <f>IF(OR($A1155="",ROUND($F1155+$G1155,2)=0),"",$F1155+$G1155)</f>
        <v/>
      </c>
      <c r="I1155">
        <f>IF($H1155="","",IF(ROUND($F1155,2)&gt;0,$A1155,IF($D1155="شخصی قاسم","شخصی قاسم",IF($D1155="هزینه","هزینه: "&amp;IF($E1155="","متفرقه",$E1155),IF($C1155="پاس چک","چک پرداختی",IF(OR($B1155="",COUNTIF(AcctCodesA,$B1155)=0),"متفرقه",$B1155))))))</f>
        <v/>
      </c>
      <c r="J1155">
        <f>IF($H1155="","",IF(ROUND($F1155,2)&gt;0,IF($D1155="شخصی قاسم","شخصی قاسم",IF($D1155="هزینه","هزینه: "&amp;IF($E1155="","متفرقه",$E1155),IF(OR($B1155="",COUNTIF(AcctCodesA,$B1155)=0),"متفرقه",$B1155))),$A1155))</f>
        <v/>
      </c>
      <c r="K1155">
        <f>IF($A1155="","",IF(AND($B1155&lt;&gt;"",COUNTIF(AcctCodesA,$B1155)=0),"کد طرف در INFO تعریف نشده",IF(AND($D1155="هزینه",$E1155=""),"هزینه بدون زیرگروه",IF(AND($C1155="پاس چک",OR(Sync!$AJ1155="",COUNTIF(IssueNosA,Sync!$AJ1155)=0)),"شماره چک پاس‌شده معتبر نیست",""))))</f>
        <v/>
      </c>
      <c r="V1155">
        <f>IF($K1155="","",IF(ISNUMBER(Sync!$AK1155),Sync!$AK1155,LEFT(Sync!$AK1155,4)&amp;MID(Sync!$AK1155,6,2)&amp;RIGHT(Sync!$AK1155,2))&amp;"|"&amp;"4"&amp;RIGHT("00000"&amp;1150,5))</f>
        <v/>
      </c>
      <c r="W1155">
        <f>IF($V1155="",0,COUNTIFS($V$6:$V$2005,"&lt;"&amp;$V1155)-COUNTIFS($V$6:$V$2005,"&lt;"&amp;$V1155,$K$6:$K$2005,"")+1)</f>
        <v/>
      </c>
    </row>
    <row r="1156">
      <c r="A1156">
        <f>IF(Sync!$Z1156="","",LEFT(UPPER(TRIM(Sync!$Z1156)),6))</f>
        <v/>
      </c>
      <c r="B1156">
        <f>IF($A1156="","",IF(Sync!$AA1156="","",Sync!$AA1156))</f>
        <v/>
      </c>
      <c r="C1156">
        <f>IF($A1156="","",IF(Sync!$AB1156="","",Sync!$AB1156))</f>
        <v/>
      </c>
      <c r="D1156">
        <f>IF($A1156="","",IF(Sync!$AC1156="","",Sync!$AC1156))</f>
        <v/>
      </c>
      <c r="E1156">
        <f>IF($A1156="","",IF(Sync!$AD1156="","",Sync!$AD1156))</f>
        <v/>
      </c>
      <c r="F1156">
        <f>IF($A1156="","",IF(Sync!$AE1156="",0,Sync!$AE1156))</f>
        <v/>
      </c>
      <c r="G1156">
        <f>IF($A1156="","",IF(Sync!$AF1156="",0,Sync!$AF1156))</f>
        <v/>
      </c>
      <c r="H1156">
        <f>IF(OR($A1156="",ROUND($F1156+$G1156,2)=0),"",$F1156+$G1156)</f>
        <v/>
      </c>
      <c r="I1156">
        <f>IF($H1156="","",IF(ROUND($F1156,2)&gt;0,$A1156,IF($D1156="شخصی قاسم","شخصی قاسم",IF($D1156="هزینه","هزینه: "&amp;IF($E1156="","متفرقه",$E1156),IF($C1156="پاس چک","چک پرداختی",IF(OR($B1156="",COUNTIF(AcctCodesA,$B1156)=0),"متفرقه",$B1156))))))</f>
        <v/>
      </c>
      <c r="J1156">
        <f>IF($H1156="","",IF(ROUND($F1156,2)&gt;0,IF($D1156="شخصی قاسم","شخصی قاسم",IF($D1156="هزینه","هزینه: "&amp;IF($E1156="","متفرقه",$E1156),IF(OR($B1156="",COUNTIF(AcctCodesA,$B1156)=0),"متفرقه",$B1156))),$A1156))</f>
        <v/>
      </c>
      <c r="K1156">
        <f>IF($A1156="","",IF(AND($B1156&lt;&gt;"",COUNTIF(AcctCodesA,$B1156)=0),"کد طرف در INFO تعریف نشده",IF(AND($D1156="هزینه",$E1156=""),"هزینه بدون زیرگروه",IF(AND($C1156="پاس چک",OR(Sync!$AJ1156="",COUNTIF(IssueNosA,Sync!$AJ1156)=0)),"شماره چک پاس‌شده معتبر نیست",""))))</f>
        <v/>
      </c>
      <c r="V1156">
        <f>IF($K1156="","",IF(ISNUMBER(Sync!$AK1156),Sync!$AK1156,LEFT(Sync!$AK1156,4)&amp;MID(Sync!$AK1156,6,2)&amp;RIGHT(Sync!$AK1156,2))&amp;"|"&amp;"4"&amp;RIGHT("00000"&amp;1151,5))</f>
        <v/>
      </c>
      <c r="W1156">
        <f>IF($V1156="",0,COUNTIFS($V$6:$V$2005,"&lt;"&amp;$V1156)-COUNTIFS($V$6:$V$2005,"&lt;"&amp;$V1156,$K$6:$K$2005,"")+1)</f>
        <v/>
      </c>
    </row>
    <row r="1157">
      <c r="A1157">
        <f>IF(Sync!$Z1157="","",LEFT(UPPER(TRIM(Sync!$Z1157)),6))</f>
        <v/>
      </c>
      <c r="B1157">
        <f>IF($A1157="","",IF(Sync!$AA1157="","",Sync!$AA1157))</f>
        <v/>
      </c>
      <c r="C1157">
        <f>IF($A1157="","",IF(Sync!$AB1157="","",Sync!$AB1157))</f>
        <v/>
      </c>
      <c r="D1157">
        <f>IF($A1157="","",IF(Sync!$AC1157="","",Sync!$AC1157))</f>
        <v/>
      </c>
      <c r="E1157">
        <f>IF($A1157="","",IF(Sync!$AD1157="","",Sync!$AD1157))</f>
        <v/>
      </c>
      <c r="F1157">
        <f>IF($A1157="","",IF(Sync!$AE1157="",0,Sync!$AE1157))</f>
        <v/>
      </c>
      <c r="G1157">
        <f>IF($A1157="","",IF(Sync!$AF1157="",0,Sync!$AF1157))</f>
        <v/>
      </c>
      <c r="H1157">
        <f>IF(OR($A1157="",ROUND($F1157+$G1157,2)=0),"",$F1157+$G1157)</f>
        <v/>
      </c>
      <c r="I1157">
        <f>IF($H1157="","",IF(ROUND($F1157,2)&gt;0,$A1157,IF($D1157="شخصی قاسم","شخصی قاسم",IF($D1157="هزینه","هزینه: "&amp;IF($E1157="","متفرقه",$E1157),IF($C1157="پاس چک","چک پرداختی",IF(OR($B1157="",COUNTIF(AcctCodesA,$B1157)=0),"متفرقه",$B1157))))))</f>
        <v/>
      </c>
      <c r="J1157">
        <f>IF($H1157="","",IF(ROUND($F1157,2)&gt;0,IF($D1157="شخصی قاسم","شخصی قاسم",IF($D1157="هزینه","هزینه: "&amp;IF($E1157="","متفرقه",$E1157),IF(OR($B1157="",COUNTIF(AcctCodesA,$B1157)=0),"متفرقه",$B1157))),$A1157))</f>
        <v/>
      </c>
      <c r="K1157">
        <f>IF($A1157="","",IF(AND($B1157&lt;&gt;"",COUNTIF(AcctCodesA,$B1157)=0),"کد طرف در INFO تعریف نشده",IF(AND($D1157="هزینه",$E1157=""),"هزینه بدون زیرگروه",IF(AND($C1157="پاس چک",OR(Sync!$AJ1157="",COUNTIF(IssueNosA,Sync!$AJ1157)=0)),"شماره چک پاس‌شده معتبر نیست",""))))</f>
        <v/>
      </c>
      <c r="V1157">
        <f>IF($K1157="","",IF(ISNUMBER(Sync!$AK1157),Sync!$AK1157,LEFT(Sync!$AK1157,4)&amp;MID(Sync!$AK1157,6,2)&amp;RIGHT(Sync!$AK1157,2))&amp;"|"&amp;"4"&amp;RIGHT("00000"&amp;1152,5))</f>
        <v/>
      </c>
      <c r="W1157">
        <f>IF($V1157="",0,COUNTIFS($V$6:$V$2005,"&lt;"&amp;$V1157)-COUNTIFS($V$6:$V$2005,"&lt;"&amp;$V1157,$K$6:$K$2005,"")+1)</f>
        <v/>
      </c>
    </row>
    <row r="1158">
      <c r="A1158">
        <f>IF(Sync!$Z1158="","",LEFT(UPPER(TRIM(Sync!$Z1158)),6))</f>
        <v/>
      </c>
      <c r="B1158">
        <f>IF($A1158="","",IF(Sync!$AA1158="","",Sync!$AA1158))</f>
        <v/>
      </c>
      <c r="C1158">
        <f>IF($A1158="","",IF(Sync!$AB1158="","",Sync!$AB1158))</f>
        <v/>
      </c>
      <c r="D1158">
        <f>IF($A1158="","",IF(Sync!$AC1158="","",Sync!$AC1158))</f>
        <v/>
      </c>
      <c r="E1158">
        <f>IF($A1158="","",IF(Sync!$AD1158="","",Sync!$AD1158))</f>
        <v/>
      </c>
      <c r="F1158">
        <f>IF($A1158="","",IF(Sync!$AE1158="",0,Sync!$AE1158))</f>
        <v/>
      </c>
      <c r="G1158">
        <f>IF($A1158="","",IF(Sync!$AF1158="",0,Sync!$AF1158))</f>
        <v/>
      </c>
      <c r="H1158">
        <f>IF(OR($A1158="",ROUND($F1158+$G1158,2)=0),"",$F1158+$G1158)</f>
        <v/>
      </c>
      <c r="I1158">
        <f>IF($H1158="","",IF(ROUND($F1158,2)&gt;0,$A1158,IF($D1158="شخصی قاسم","شخصی قاسم",IF($D1158="هزینه","هزینه: "&amp;IF($E1158="","متفرقه",$E1158),IF($C1158="پاس چک","چک پرداختی",IF(OR($B1158="",COUNTIF(AcctCodesA,$B1158)=0),"متفرقه",$B1158))))))</f>
        <v/>
      </c>
      <c r="J1158">
        <f>IF($H1158="","",IF(ROUND($F1158,2)&gt;0,IF($D1158="شخصی قاسم","شخصی قاسم",IF($D1158="هزینه","هزینه: "&amp;IF($E1158="","متفرقه",$E1158),IF(OR($B1158="",COUNTIF(AcctCodesA,$B1158)=0),"متفرقه",$B1158))),$A1158))</f>
        <v/>
      </c>
      <c r="K1158">
        <f>IF($A1158="","",IF(AND($B1158&lt;&gt;"",COUNTIF(AcctCodesA,$B1158)=0),"کد طرف در INFO تعریف نشده",IF(AND($D1158="هزینه",$E1158=""),"هزینه بدون زیرگروه",IF(AND($C1158="پاس چک",OR(Sync!$AJ1158="",COUNTIF(IssueNosA,Sync!$AJ1158)=0)),"شماره چک پاس‌شده معتبر نیست",""))))</f>
        <v/>
      </c>
      <c r="V1158">
        <f>IF($K1158="","",IF(ISNUMBER(Sync!$AK1158),Sync!$AK1158,LEFT(Sync!$AK1158,4)&amp;MID(Sync!$AK1158,6,2)&amp;RIGHT(Sync!$AK1158,2))&amp;"|"&amp;"4"&amp;RIGHT("00000"&amp;1153,5))</f>
        <v/>
      </c>
      <c r="W1158">
        <f>IF($V1158="",0,COUNTIFS($V$6:$V$2005,"&lt;"&amp;$V1158)-COUNTIFS($V$6:$V$2005,"&lt;"&amp;$V1158,$K$6:$K$2005,"")+1)</f>
        <v/>
      </c>
    </row>
    <row r="1159">
      <c r="A1159">
        <f>IF(Sync!$Z1159="","",LEFT(UPPER(TRIM(Sync!$Z1159)),6))</f>
        <v/>
      </c>
      <c r="B1159">
        <f>IF($A1159="","",IF(Sync!$AA1159="","",Sync!$AA1159))</f>
        <v/>
      </c>
      <c r="C1159">
        <f>IF($A1159="","",IF(Sync!$AB1159="","",Sync!$AB1159))</f>
        <v/>
      </c>
      <c r="D1159">
        <f>IF($A1159="","",IF(Sync!$AC1159="","",Sync!$AC1159))</f>
        <v/>
      </c>
      <c r="E1159">
        <f>IF($A1159="","",IF(Sync!$AD1159="","",Sync!$AD1159))</f>
        <v/>
      </c>
      <c r="F1159">
        <f>IF($A1159="","",IF(Sync!$AE1159="",0,Sync!$AE1159))</f>
        <v/>
      </c>
      <c r="G1159">
        <f>IF($A1159="","",IF(Sync!$AF1159="",0,Sync!$AF1159))</f>
        <v/>
      </c>
      <c r="H1159">
        <f>IF(OR($A1159="",ROUND($F1159+$G1159,2)=0),"",$F1159+$G1159)</f>
        <v/>
      </c>
      <c r="I1159">
        <f>IF($H1159="","",IF(ROUND($F1159,2)&gt;0,$A1159,IF($D1159="شخصی قاسم","شخصی قاسم",IF($D1159="هزینه","هزینه: "&amp;IF($E1159="","متفرقه",$E1159),IF($C1159="پاس چک","چک پرداختی",IF(OR($B1159="",COUNTIF(AcctCodesA,$B1159)=0),"متفرقه",$B1159))))))</f>
        <v/>
      </c>
      <c r="J1159">
        <f>IF($H1159="","",IF(ROUND($F1159,2)&gt;0,IF($D1159="شخصی قاسم","شخصی قاسم",IF($D1159="هزینه","هزینه: "&amp;IF($E1159="","متفرقه",$E1159),IF(OR($B1159="",COUNTIF(AcctCodesA,$B1159)=0),"متفرقه",$B1159))),$A1159))</f>
        <v/>
      </c>
      <c r="K1159">
        <f>IF($A1159="","",IF(AND($B1159&lt;&gt;"",COUNTIF(AcctCodesA,$B1159)=0),"کد طرف در INFO تعریف نشده",IF(AND($D1159="هزینه",$E1159=""),"هزینه بدون زیرگروه",IF(AND($C1159="پاس چک",OR(Sync!$AJ1159="",COUNTIF(IssueNosA,Sync!$AJ1159)=0)),"شماره چک پاس‌شده معتبر نیست",""))))</f>
        <v/>
      </c>
      <c r="V1159">
        <f>IF($K1159="","",IF(ISNUMBER(Sync!$AK1159),Sync!$AK1159,LEFT(Sync!$AK1159,4)&amp;MID(Sync!$AK1159,6,2)&amp;RIGHT(Sync!$AK1159,2))&amp;"|"&amp;"4"&amp;RIGHT("00000"&amp;1154,5))</f>
        <v/>
      </c>
      <c r="W1159">
        <f>IF($V1159="",0,COUNTIFS($V$6:$V$2005,"&lt;"&amp;$V1159)-COUNTIFS($V$6:$V$2005,"&lt;"&amp;$V1159,$K$6:$K$2005,"")+1)</f>
        <v/>
      </c>
    </row>
    <row r="1160">
      <c r="A1160">
        <f>IF(Sync!$Z1160="","",LEFT(UPPER(TRIM(Sync!$Z1160)),6))</f>
        <v/>
      </c>
      <c r="B1160">
        <f>IF($A1160="","",IF(Sync!$AA1160="","",Sync!$AA1160))</f>
        <v/>
      </c>
      <c r="C1160">
        <f>IF($A1160="","",IF(Sync!$AB1160="","",Sync!$AB1160))</f>
        <v/>
      </c>
      <c r="D1160">
        <f>IF($A1160="","",IF(Sync!$AC1160="","",Sync!$AC1160))</f>
        <v/>
      </c>
      <c r="E1160">
        <f>IF($A1160="","",IF(Sync!$AD1160="","",Sync!$AD1160))</f>
        <v/>
      </c>
      <c r="F1160">
        <f>IF($A1160="","",IF(Sync!$AE1160="",0,Sync!$AE1160))</f>
        <v/>
      </c>
      <c r="G1160">
        <f>IF($A1160="","",IF(Sync!$AF1160="",0,Sync!$AF1160))</f>
        <v/>
      </c>
      <c r="H1160">
        <f>IF(OR($A1160="",ROUND($F1160+$G1160,2)=0),"",$F1160+$G1160)</f>
        <v/>
      </c>
      <c r="I1160">
        <f>IF($H1160="","",IF(ROUND($F1160,2)&gt;0,$A1160,IF($D1160="شخصی قاسم","شخصی قاسم",IF($D1160="هزینه","هزینه: "&amp;IF($E1160="","متفرقه",$E1160),IF($C1160="پاس چک","چک پرداختی",IF(OR($B1160="",COUNTIF(AcctCodesA,$B1160)=0),"متفرقه",$B1160))))))</f>
        <v/>
      </c>
      <c r="J1160">
        <f>IF($H1160="","",IF(ROUND($F1160,2)&gt;0,IF($D1160="شخصی قاسم","شخصی قاسم",IF($D1160="هزینه","هزینه: "&amp;IF($E1160="","متفرقه",$E1160),IF(OR($B1160="",COUNTIF(AcctCodesA,$B1160)=0),"متفرقه",$B1160))),$A1160))</f>
        <v/>
      </c>
      <c r="K1160">
        <f>IF($A1160="","",IF(AND($B1160&lt;&gt;"",COUNTIF(AcctCodesA,$B1160)=0),"کد طرف در INFO تعریف نشده",IF(AND($D1160="هزینه",$E1160=""),"هزینه بدون زیرگروه",IF(AND($C1160="پاس چک",OR(Sync!$AJ1160="",COUNTIF(IssueNosA,Sync!$AJ1160)=0)),"شماره چک پاس‌شده معتبر نیست",""))))</f>
        <v/>
      </c>
      <c r="V1160">
        <f>IF($K1160="","",IF(ISNUMBER(Sync!$AK1160),Sync!$AK1160,LEFT(Sync!$AK1160,4)&amp;MID(Sync!$AK1160,6,2)&amp;RIGHT(Sync!$AK1160,2))&amp;"|"&amp;"4"&amp;RIGHT("00000"&amp;1155,5))</f>
        <v/>
      </c>
      <c r="W1160">
        <f>IF($V1160="",0,COUNTIFS($V$6:$V$2005,"&lt;"&amp;$V1160)-COUNTIFS($V$6:$V$2005,"&lt;"&amp;$V1160,$K$6:$K$2005,"")+1)</f>
        <v/>
      </c>
    </row>
    <row r="1161">
      <c r="A1161">
        <f>IF(Sync!$Z1161="","",LEFT(UPPER(TRIM(Sync!$Z1161)),6))</f>
        <v/>
      </c>
      <c r="B1161">
        <f>IF($A1161="","",IF(Sync!$AA1161="","",Sync!$AA1161))</f>
        <v/>
      </c>
      <c r="C1161">
        <f>IF($A1161="","",IF(Sync!$AB1161="","",Sync!$AB1161))</f>
        <v/>
      </c>
      <c r="D1161">
        <f>IF($A1161="","",IF(Sync!$AC1161="","",Sync!$AC1161))</f>
        <v/>
      </c>
      <c r="E1161">
        <f>IF($A1161="","",IF(Sync!$AD1161="","",Sync!$AD1161))</f>
        <v/>
      </c>
      <c r="F1161">
        <f>IF($A1161="","",IF(Sync!$AE1161="",0,Sync!$AE1161))</f>
        <v/>
      </c>
      <c r="G1161">
        <f>IF($A1161="","",IF(Sync!$AF1161="",0,Sync!$AF1161))</f>
        <v/>
      </c>
      <c r="H1161">
        <f>IF(OR($A1161="",ROUND($F1161+$G1161,2)=0),"",$F1161+$G1161)</f>
        <v/>
      </c>
      <c r="I1161">
        <f>IF($H1161="","",IF(ROUND($F1161,2)&gt;0,$A1161,IF($D1161="شخصی قاسم","شخصی قاسم",IF($D1161="هزینه","هزینه: "&amp;IF($E1161="","متفرقه",$E1161),IF($C1161="پاس چک","چک پرداختی",IF(OR($B1161="",COUNTIF(AcctCodesA,$B1161)=0),"متفرقه",$B1161))))))</f>
        <v/>
      </c>
      <c r="J1161">
        <f>IF($H1161="","",IF(ROUND($F1161,2)&gt;0,IF($D1161="شخصی قاسم","شخصی قاسم",IF($D1161="هزینه","هزینه: "&amp;IF($E1161="","متفرقه",$E1161),IF(OR($B1161="",COUNTIF(AcctCodesA,$B1161)=0),"متفرقه",$B1161))),$A1161))</f>
        <v/>
      </c>
      <c r="K1161">
        <f>IF($A1161="","",IF(AND($B1161&lt;&gt;"",COUNTIF(AcctCodesA,$B1161)=0),"کد طرف در INFO تعریف نشده",IF(AND($D1161="هزینه",$E1161=""),"هزینه بدون زیرگروه",IF(AND($C1161="پاس چک",OR(Sync!$AJ1161="",COUNTIF(IssueNosA,Sync!$AJ1161)=0)),"شماره چک پاس‌شده معتبر نیست",""))))</f>
        <v/>
      </c>
      <c r="V1161">
        <f>IF($K1161="","",IF(ISNUMBER(Sync!$AK1161),Sync!$AK1161,LEFT(Sync!$AK1161,4)&amp;MID(Sync!$AK1161,6,2)&amp;RIGHT(Sync!$AK1161,2))&amp;"|"&amp;"4"&amp;RIGHT("00000"&amp;1156,5))</f>
        <v/>
      </c>
      <c r="W1161">
        <f>IF($V1161="",0,COUNTIFS($V$6:$V$2005,"&lt;"&amp;$V1161)-COUNTIFS($V$6:$V$2005,"&lt;"&amp;$V1161,$K$6:$K$2005,"")+1)</f>
        <v/>
      </c>
    </row>
    <row r="1162">
      <c r="A1162">
        <f>IF(Sync!$Z1162="","",LEFT(UPPER(TRIM(Sync!$Z1162)),6))</f>
        <v/>
      </c>
      <c r="B1162">
        <f>IF($A1162="","",IF(Sync!$AA1162="","",Sync!$AA1162))</f>
        <v/>
      </c>
      <c r="C1162">
        <f>IF($A1162="","",IF(Sync!$AB1162="","",Sync!$AB1162))</f>
        <v/>
      </c>
      <c r="D1162">
        <f>IF($A1162="","",IF(Sync!$AC1162="","",Sync!$AC1162))</f>
        <v/>
      </c>
      <c r="E1162">
        <f>IF($A1162="","",IF(Sync!$AD1162="","",Sync!$AD1162))</f>
        <v/>
      </c>
      <c r="F1162">
        <f>IF($A1162="","",IF(Sync!$AE1162="",0,Sync!$AE1162))</f>
        <v/>
      </c>
      <c r="G1162">
        <f>IF($A1162="","",IF(Sync!$AF1162="",0,Sync!$AF1162))</f>
        <v/>
      </c>
      <c r="H1162">
        <f>IF(OR($A1162="",ROUND($F1162+$G1162,2)=0),"",$F1162+$G1162)</f>
        <v/>
      </c>
      <c r="I1162">
        <f>IF($H1162="","",IF(ROUND($F1162,2)&gt;0,$A1162,IF($D1162="شخصی قاسم","شخصی قاسم",IF($D1162="هزینه","هزینه: "&amp;IF($E1162="","متفرقه",$E1162),IF($C1162="پاس چک","چک پرداختی",IF(OR($B1162="",COUNTIF(AcctCodesA,$B1162)=0),"متفرقه",$B1162))))))</f>
        <v/>
      </c>
      <c r="J1162">
        <f>IF($H1162="","",IF(ROUND($F1162,2)&gt;0,IF($D1162="شخصی قاسم","شخصی قاسم",IF($D1162="هزینه","هزینه: "&amp;IF($E1162="","متفرقه",$E1162),IF(OR($B1162="",COUNTIF(AcctCodesA,$B1162)=0),"متفرقه",$B1162))),$A1162))</f>
        <v/>
      </c>
      <c r="K1162">
        <f>IF($A1162="","",IF(AND($B1162&lt;&gt;"",COUNTIF(AcctCodesA,$B1162)=0),"کد طرف در INFO تعریف نشده",IF(AND($D1162="هزینه",$E1162=""),"هزینه بدون زیرگروه",IF(AND($C1162="پاس چک",OR(Sync!$AJ1162="",COUNTIF(IssueNosA,Sync!$AJ1162)=0)),"شماره چک پاس‌شده معتبر نیست",""))))</f>
        <v/>
      </c>
      <c r="V1162">
        <f>IF($K1162="","",IF(ISNUMBER(Sync!$AK1162),Sync!$AK1162,LEFT(Sync!$AK1162,4)&amp;MID(Sync!$AK1162,6,2)&amp;RIGHT(Sync!$AK1162,2))&amp;"|"&amp;"4"&amp;RIGHT("00000"&amp;1157,5))</f>
        <v/>
      </c>
      <c r="W1162">
        <f>IF($V1162="",0,COUNTIFS($V$6:$V$2005,"&lt;"&amp;$V1162)-COUNTIFS($V$6:$V$2005,"&lt;"&amp;$V1162,$K$6:$K$2005,"")+1)</f>
        <v/>
      </c>
    </row>
    <row r="1163">
      <c r="A1163">
        <f>IF(Sync!$Z1163="","",LEFT(UPPER(TRIM(Sync!$Z1163)),6))</f>
        <v/>
      </c>
      <c r="B1163">
        <f>IF($A1163="","",IF(Sync!$AA1163="","",Sync!$AA1163))</f>
        <v/>
      </c>
      <c r="C1163">
        <f>IF($A1163="","",IF(Sync!$AB1163="","",Sync!$AB1163))</f>
        <v/>
      </c>
      <c r="D1163">
        <f>IF($A1163="","",IF(Sync!$AC1163="","",Sync!$AC1163))</f>
        <v/>
      </c>
      <c r="E1163">
        <f>IF($A1163="","",IF(Sync!$AD1163="","",Sync!$AD1163))</f>
        <v/>
      </c>
      <c r="F1163">
        <f>IF($A1163="","",IF(Sync!$AE1163="",0,Sync!$AE1163))</f>
        <v/>
      </c>
      <c r="G1163">
        <f>IF($A1163="","",IF(Sync!$AF1163="",0,Sync!$AF1163))</f>
        <v/>
      </c>
      <c r="H1163">
        <f>IF(OR($A1163="",ROUND($F1163+$G1163,2)=0),"",$F1163+$G1163)</f>
        <v/>
      </c>
      <c r="I1163">
        <f>IF($H1163="","",IF(ROUND($F1163,2)&gt;0,$A1163,IF($D1163="شخصی قاسم","شخصی قاسم",IF($D1163="هزینه","هزینه: "&amp;IF($E1163="","متفرقه",$E1163),IF($C1163="پاس چک","چک پرداختی",IF(OR($B1163="",COUNTIF(AcctCodesA,$B1163)=0),"متفرقه",$B1163))))))</f>
        <v/>
      </c>
      <c r="J1163">
        <f>IF($H1163="","",IF(ROUND($F1163,2)&gt;0,IF($D1163="شخصی قاسم","شخصی قاسم",IF($D1163="هزینه","هزینه: "&amp;IF($E1163="","متفرقه",$E1163),IF(OR($B1163="",COUNTIF(AcctCodesA,$B1163)=0),"متفرقه",$B1163))),$A1163))</f>
        <v/>
      </c>
      <c r="K1163">
        <f>IF($A1163="","",IF(AND($B1163&lt;&gt;"",COUNTIF(AcctCodesA,$B1163)=0),"کد طرف در INFO تعریف نشده",IF(AND($D1163="هزینه",$E1163=""),"هزینه بدون زیرگروه",IF(AND($C1163="پاس چک",OR(Sync!$AJ1163="",COUNTIF(IssueNosA,Sync!$AJ1163)=0)),"شماره چک پاس‌شده معتبر نیست",""))))</f>
        <v/>
      </c>
      <c r="V1163">
        <f>IF($K1163="","",IF(ISNUMBER(Sync!$AK1163),Sync!$AK1163,LEFT(Sync!$AK1163,4)&amp;MID(Sync!$AK1163,6,2)&amp;RIGHT(Sync!$AK1163,2))&amp;"|"&amp;"4"&amp;RIGHT("00000"&amp;1158,5))</f>
        <v/>
      </c>
      <c r="W1163">
        <f>IF($V1163="",0,COUNTIFS($V$6:$V$2005,"&lt;"&amp;$V1163)-COUNTIFS($V$6:$V$2005,"&lt;"&amp;$V1163,$K$6:$K$2005,"")+1)</f>
        <v/>
      </c>
    </row>
    <row r="1164">
      <c r="A1164">
        <f>IF(Sync!$Z1164="","",LEFT(UPPER(TRIM(Sync!$Z1164)),6))</f>
        <v/>
      </c>
      <c r="B1164">
        <f>IF($A1164="","",IF(Sync!$AA1164="","",Sync!$AA1164))</f>
        <v/>
      </c>
      <c r="C1164">
        <f>IF($A1164="","",IF(Sync!$AB1164="","",Sync!$AB1164))</f>
        <v/>
      </c>
      <c r="D1164">
        <f>IF($A1164="","",IF(Sync!$AC1164="","",Sync!$AC1164))</f>
        <v/>
      </c>
      <c r="E1164">
        <f>IF($A1164="","",IF(Sync!$AD1164="","",Sync!$AD1164))</f>
        <v/>
      </c>
      <c r="F1164">
        <f>IF($A1164="","",IF(Sync!$AE1164="",0,Sync!$AE1164))</f>
        <v/>
      </c>
      <c r="G1164">
        <f>IF($A1164="","",IF(Sync!$AF1164="",0,Sync!$AF1164))</f>
        <v/>
      </c>
      <c r="H1164">
        <f>IF(OR($A1164="",ROUND($F1164+$G1164,2)=0),"",$F1164+$G1164)</f>
        <v/>
      </c>
      <c r="I1164">
        <f>IF($H1164="","",IF(ROUND($F1164,2)&gt;0,$A1164,IF($D1164="شخصی قاسم","شخصی قاسم",IF($D1164="هزینه","هزینه: "&amp;IF($E1164="","متفرقه",$E1164),IF($C1164="پاس چک","چک پرداختی",IF(OR($B1164="",COUNTIF(AcctCodesA,$B1164)=0),"متفرقه",$B1164))))))</f>
        <v/>
      </c>
      <c r="J1164">
        <f>IF($H1164="","",IF(ROUND($F1164,2)&gt;0,IF($D1164="شخصی قاسم","شخصی قاسم",IF($D1164="هزینه","هزینه: "&amp;IF($E1164="","متفرقه",$E1164),IF(OR($B1164="",COUNTIF(AcctCodesA,$B1164)=0),"متفرقه",$B1164))),$A1164))</f>
        <v/>
      </c>
      <c r="K1164">
        <f>IF($A1164="","",IF(AND($B1164&lt;&gt;"",COUNTIF(AcctCodesA,$B1164)=0),"کد طرف در INFO تعریف نشده",IF(AND($D1164="هزینه",$E1164=""),"هزینه بدون زیرگروه",IF(AND($C1164="پاس چک",OR(Sync!$AJ1164="",COUNTIF(IssueNosA,Sync!$AJ1164)=0)),"شماره چک پاس‌شده معتبر نیست",""))))</f>
        <v/>
      </c>
      <c r="V1164">
        <f>IF($K1164="","",IF(ISNUMBER(Sync!$AK1164),Sync!$AK1164,LEFT(Sync!$AK1164,4)&amp;MID(Sync!$AK1164,6,2)&amp;RIGHT(Sync!$AK1164,2))&amp;"|"&amp;"4"&amp;RIGHT("00000"&amp;1159,5))</f>
        <v/>
      </c>
      <c r="W1164">
        <f>IF($V1164="",0,COUNTIFS($V$6:$V$2005,"&lt;"&amp;$V1164)-COUNTIFS($V$6:$V$2005,"&lt;"&amp;$V1164,$K$6:$K$2005,"")+1)</f>
        <v/>
      </c>
    </row>
    <row r="1165">
      <c r="A1165">
        <f>IF(Sync!$Z1165="","",LEFT(UPPER(TRIM(Sync!$Z1165)),6))</f>
        <v/>
      </c>
      <c r="B1165">
        <f>IF($A1165="","",IF(Sync!$AA1165="","",Sync!$AA1165))</f>
        <v/>
      </c>
      <c r="C1165">
        <f>IF($A1165="","",IF(Sync!$AB1165="","",Sync!$AB1165))</f>
        <v/>
      </c>
      <c r="D1165">
        <f>IF($A1165="","",IF(Sync!$AC1165="","",Sync!$AC1165))</f>
        <v/>
      </c>
      <c r="E1165">
        <f>IF($A1165="","",IF(Sync!$AD1165="","",Sync!$AD1165))</f>
        <v/>
      </c>
      <c r="F1165">
        <f>IF($A1165="","",IF(Sync!$AE1165="",0,Sync!$AE1165))</f>
        <v/>
      </c>
      <c r="G1165">
        <f>IF($A1165="","",IF(Sync!$AF1165="",0,Sync!$AF1165))</f>
        <v/>
      </c>
      <c r="H1165">
        <f>IF(OR($A1165="",ROUND($F1165+$G1165,2)=0),"",$F1165+$G1165)</f>
        <v/>
      </c>
      <c r="I1165">
        <f>IF($H1165="","",IF(ROUND($F1165,2)&gt;0,$A1165,IF($D1165="شخصی قاسم","شخصی قاسم",IF($D1165="هزینه","هزینه: "&amp;IF($E1165="","متفرقه",$E1165),IF($C1165="پاس چک","چک پرداختی",IF(OR($B1165="",COUNTIF(AcctCodesA,$B1165)=0),"متفرقه",$B1165))))))</f>
        <v/>
      </c>
      <c r="J1165">
        <f>IF($H1165="","",IF(ROUND($F1165,2)&gt;0,IF($D1165="شخصی قاسم","شخصی قاسم",IF($D1165="هزینه","هزینه: "&amp;IF($E1165="","متفرقه",$E1165),IF(OR($B1165="",COUNTIF(AcctCodesA,$B1165)=0),"متفرقه",$B1165))),$A1165))</f>
        <v/>
      </c>
      <c r="K1165">
        <f>IF($A1165="","",IF(AND($B1165&lt;&gt;"",COUNTIF(AcctCodesA,$B1165)=0),"کد طرف در INFO تعریف نشده",IF(AND($D1165="هزینه",$E1165=""),"هزینه بدون زیرگروه",IF(AND($C1165="پاس چک",OR(Sync!$AJ1165="",COUNTIF(IssueNosA,Sync!$AJ1165)=0)),"شماره چک پاس‌شده معتبر نیست",""))))</f>
        <v/>
      </c>
      <c r="V1165">
        <f>IF($K1165="","",IF(ISNUMBER(Sync!$AK1165),Sync!$AK1165,LEFT(Sync!$AK1165,4)&amp;MID(Sync!$AK1165,6,2)&amp;RIGHT(Sync!$AK1165,2))&amp;"|"&amp;"4"&amp;RIGHT("00000"&amp;1160,5))</f>
        <v/>
      </c>
      <c r="W1165">
        <f>IF($V1165="",0,COUNTIFS($V$6:$V$2005,"&lt;"&amp;$V1165)-COUNTIFS($V$6:$V$2005,"&lt;"&amp;$V1165,$K$6:$K$2005,"")+1)</f>
        <v/>
      </c>
    </row>
    <row r="1166">
      <c r="A1166">
        <f>IF(Sync!$Z1166="","",LEFT(UPPER(TRIM(Sync!$Z1166)),6))</f>
        <v/>
      </c>
      <c r="B1166">
        <f>IF($A1166="","",IF(Sync!$AA1166="","",Sync!$AA1166))</f>
        <v/>
      </c>
      <c r="C1166">
        <f>IF($A1166="","",IF(Sync!$AB1166="","",Sync!$AB1166))</f>
        <v/>
      </c>
      <c r="D1166">
        <f>IF($A1166="","",IF(Sync!$AC1166="","",Sync!$AC1166))</f>
        <v/>
      </c>
      <c r="E1166">
        <f>IF($A1166="","",IF(Sync!$AD1166="","",Sync!$AD1166))</f>
        <v/>
      </c>
      <c r="F1166">
        <f>IF($A1166="","",IF(Sync!$AE1166="",0,Sync!$AE1166))</f>
        <v/>
      </c>
      <c r="G1166">
        <f>IF($A1166="","",IF(Sync!$AF1166="",0,Sync!$AF1166))</f>
        <v/>
      </c>
      <c r="H1166">
        <f>IF(OR($A1166="",ROUND($F1166+$G1166,2)=0),"",$F1166+$G1166)</f>
        <v/>
      </c>
      <c r="I1166">
        <f>IF($H1166="","",IF(ROUND($F1166,2)&gt;0,$A1166,IF($D1166="شخصی قاسم","شخصی قاسم",IF($D1166="هزینه","هزینه: "&amp;IF($E1166="","متفرقه",$E1166),IF($C1166="پاس چک","چک پرداختی",IF(OR($B1166="",COUNTIF(AcctCodesA,$B1166)=0),"متفرقه",$B1166))))))</f>
        <v/>
      </c>
      <c r="J1166">
        <f>IF($H1166="","",IF(ROUND($F1166,2)&gt;0,IF($D1166="شخصی قاسم","شخصی قاسم",IF($D1166="هزینه","هزینه: "&amp;IF($E1166="","متفرقه",$E1166),IF(OR($B1166="",COUNTIF(AcctCodesA,$B1166)=0),"متفرقه",$B1166))),$A1166))</f>
        <v/>
      </c>
      <c r="K1166">
        <f>IF($A1166="","",IF(AND($B1166&lt;&gt;"",COUNTIF(AcctCodesA,$B1166)=0),"کد طرف در INFO تعریف نشده",IF(AND($D1166="هزینه",$E1166=""),"هزینه بدون زیرگروه",IF(AND($C1166="پاس چک",OR(Sync!$AJ1166="",COUNTIF(IssueNosA,Sync!$AJ1166)=0)),"شماره چک پاس‌شده معتبر نیست",""))))</f>
        <v/>
      </c>
      <c r="V1166">
        <f>IF($K1166="","",IF(ISNUMBER(Sync!$AK1166),Sync!$AK1166,LEFT(Sync!$AK1166,4)&amp;MID(Sync!$AK1166,6,2)&amp;RIGHT(Sync!$AK1166,2))&amp;"|"&amp;"4"&amp;RIGHT("00000"&amp;1161,5))</f>
        <v/>
      </c>
      <c r="W1166">
        <f>IF($V1166="",0,COUNTIFS($V$6:$V$2005,"&lt;"&amp;$V1166)-COUNTIFS($V$6:$V$2005,"&lt;"&amp;$V1166,$K$6:$K$2005,"")+1)</f>
        <v/>
      </c>
    </row>
    <row r="1167">
      <c r="A1167">
        <f>IF(Sync!$Z1167="","",LEFT(UPPER(TRIM(Sync!$Z1167)),6))</f>
        <v/>
      </c>
      <c r="B1167">
        <f>IF($A1167="","",IF(Sync!$AA1167="","",Sync!$AA1167))</f>
        <v/>
      </c>
      <c r="C1167">
        <f>IF($A1167="","",IF(Sync!$AB1167="","",Sync!$AB1167))</f>
        <v/>
      </c>
      <c r="D1167">
        <f>IF($A1167="","",IF(Sync!$AC1167="","",Sync!$AC1167))</f>
        <v/>
      </c>
      <c r="E1167">
        <f>IF($A1167="","",IF(Sync!$AD1167="","",Sync!$AD1167))</f>
        <v/>
      </c>
      <c r="F1167">
        <f>IF($A1167="","",IF(Sync!$AE1167="",0,Sync!$AE1167))</f>
        <v/>
      </c>
      <c r="G1167">
        <f>IF($A1167="","",IF(Sync!$AF1167="",0,Sync!$AF1167))</f>
        <v/>
      </c>
      <c r="H1167">
        <f>IF(OR($A1167="",ROUND($F1167+$G1167,2)=0),"",$F1167+$G1167)</f>
        <v/>
      </c>
      <c r="I1167">
        <f>IF($H1167="","",IF(ROUND($F1167,2)&gt;0,$A1167,IF($D1167="شخصی قاسم","شخصی قاسم",IF($D1167="هزینه","هزینه: "&amp;IF($E1167="","متفرقه",$E1167),IF($C1167="پاس چک","چک پرداختی",IF(OR($B1167="",COUNTIF(AcctCodesA,$B1167)=0),"متفرقه",$B1167))))))</f>
        <v/>
      </c>
      <c r="J1167">
        <f>IF($H1167="","",IF(ROUND($F1167,2)&gt;0,IF($D1167="شخصی قاسم","شخصی قاسم",IF($D1167="هزینه","هزینه: "&amp;IF($E1167="","متفرقه",$E1167),IF(OR($B1167="",COUNTIF(AcctCodesA,$B1167)=0),"متفرقه",$B1167))),$A1167))</f>
        <v/>
      </c>
      <c r="K1167">
        <f>IF($A1167="","",IF(AND($B1167&lt;&gt;"",COUNTIF(AcctCodesA,$B1167)=0),"کد طرف در INFO تعریف نشده",IF(AND($D1167="هزینه",$E1167=""),"هزینه بدون زیرگروه",IF(AND($C1167="پاس چک",OR(Sync!$AJ1167="",COUNTIF(IssueNosA,Sync!$AJ1167)=0)),"شماره چک پاس‌شده معتبر نیست",""))))</f>
        <v/>
      </c>
      <c r="V1167">
        <f>IF($K1167="","",IF(ISNUMBER(Sync!$AK1167),Sync!$AK1167,LEFT(Sync!$AK1167,4)&amp;MID(Sync!$AK1167,6,2)&amp;RIGHT(Sync!$AK1167,2))&amp;"|"&amp;"4"&amp;RIGHT("00000"&amp;1162,5))</f>
        <v/>
      </c>
      <c r="W1167">
        <f>IF($V1167="",0,COUNTIFS($V$6:$V$2005,"&lt;"&amp;$V1167)-COUNTIFS($V$6:$V$2005,"&lt;"&amp;$V1167,$K$6:$K$2005,"")+1)</f>
        <v/>
      </c>
    </row>
    <row r="1168">
      <c r="A1168">
        <f>IF(Sync!$Z1168="","",LEFT(UPPER(TRIM(Sync!$Z1168)),6))</f>
        <v/>
      </c>
      <c r="B1168">
        <f>IF($A1168="","",IF(Sync!$AA1168="","",Sync!$AA1168))</f>
        <v/>
      </c>
      <c r="C1168">
        <f>IF($A1168="","",IF(Sync!$AB1168="","",Sync!$AB1168))</f>
        <v/>
      </c>
      <c r="D1168">
        <f>IF($A1168="","",IF(Sync!$AC1168="","",Sync!$AC1168))</f>
        <v/>
      </c>
      <c r="E1168">
        <f>IF($A1168="","",IF(Sync!$AD1168="","",Sync!$AD1168))</f>
        <v/>
      </c>
      <c r="F1168">
        <f>IF($A1168="","",IF(Sync!$AE1168="",0,Sync!$AE1168))</f>
        <v/>
      </c>
      <c r="G1168">
        <f>IF($A1168="","",IF(Sync!$AF1168="",0,Sync!$AF1168))</f>
        <v/>
      </c>
      <c r="H1168">
        <f>IF(OR($A1168="",ROUND($F1168+$G1168,2)=0),"",$F1168+$G1168)</f>
        <v/>
      </c>
      <c r="I1168">
        <f>IF($H1168="","",IF(ROUND($F1168,2)&gt;0,$A1168,IF($D1168="شخصی قاسم","شخصی قاسم",IF($D1168="هزینه","هزینه: "&amp;IF($E1168="","متفرقه",$E1168),IF($C1168="پاس چک","چک پرداختی",IF(OR($B1168="",COUNTIF(AcctCodesA,$B1168)=0),"متفرقه",$B1168))))))</f>
        <v/>
      </c>
      <c r="J1168">
        <f>IF($H1168="","",IF(ROUND($F1168,2)&gt;0,IF($D1168="شخصی قاسم","شخصی قاسم",IF($D1168="هزینه","هزینه: "&amp;IF($E1168="","متفرقه",$E1168),IF(OR($B1168="",COUNTIF(AcctCodesA,$B1168)=0),"متفرقه",$B1168))),$A1168))</f>
        <v/>
      </c>
      <c r="K1168">
        <f>IF($A1168="","",IF(AND($B1168&lt;&gt;"",COUNTIF(AcctCodesA,$B1168)=0),"کد طرف در INFO تعریف نشده",IF(AND($D1168="هزینه",$E1168=""),"هزینه بدون زیرگروه",IF(AND($C1168="پاس چک",OR(Sync!$AJ1168="",COUNTIF(IssueNosA,Sync!$AJ1168)=0)),"شماره چک پاس‌شده معتبر نیست",""))))</f>
        <v/>
      </c>
      <c r="V1168">
        <f>IF($K1168="","",IF(ISNUMBER(Sync!$AK1168),Sync!$AK1168,LEFT(Sync!$AK1168,4)&amp;MID(Sync!$AK1168,6,2)&amp;RIGHT(Sync!$AK1168,2))&amp;"|"&amp;"4"&amp;RIGHT("00000"&amp;1163,5))</f>
        <v/>
      </c>
      <c r="W1168">
        <f>IF($V1168="",0,COUNTIFS($V$6:$V$2005,"&lt;"&amp;$V1168)-COUNTIFS($V$6:$V$2005,"&lt;"&amp;$V1168,$K$6:$K$2005,"")+1)</f>
        <v/>
      </c>
    </row>
    <row r="1169">
      <c r="A1169">
        <f>IF(Sync!$Z1169="","",LEFT(UPPER(TRIM(Sync!$Z1169)),6))</f>
        <v/>
      </c>
      <c r="B1169">
        <f>IF($A1169="","",IF(Sync!$AA1169="","",Sync!$AA1169))</f>
        <v/>
      </c>
      <c r="C1169">
        <f>IF($A1169="","",IF(Sync!$AB1169="","",Sync!$AB1169))</f>
        <v/>
      </c>
      <c r="D1169">
        <f>IF($A1169="","",IF(Sync!$AC1169="","",Sync!$AC1169))</f>
        <v/>
      </c>
      <c r="E1169">
        <f>IF($A1169="","",IF(Sync!$AD1169="","",Sync!$AD1169))</f>
        <v/>
      </c>
      <c r="F1169">
        <f>IF($A1169="","",IF(Sync!$AE1169="",0,Sync!$AE1169))</f>
        <v/>
      </c>
      <c r="G1169">
        <f>IF($A1169="","",IF(Sync!$AF1169="",0,Sync!$AF1169))</f>
        <v/>
      </c>
      <c r="H1169">
        <f>IF(OR($A1169="",ROUND($F1169+$G1169,2)=0),"",$F1169+$G1169)</f>
        <v/>
      </c>
      <c r="I1169">
        <f>IF($H1169="","",IF(ROUND($F1169,2)&gt;0,$A1169,IF($D1169="شخصی قاسم","شخصی قاسم",IF($D1169="هزینه","هزینه: "&amp;IF($E1169="","متفرقه",$E1169),IF($C1169="پاس چک","چک پرداختی",IF(OR($B1169="",COUNTIF(AcctCodesA,$B1169)=0),"متفرقه",$B1169))))))</f>
        <v/>
      </c>
      <c r="J1169">
        <f>IF($H1169="","",IF(ROUND($F1169,2)&gt;0,IF($D1169="شخصی قاسم","شخصی قاسم",IF($D1169="هزینه","هزینه: "&amp;IF($E1169="","متفرقه",$E1169),IF(OR($B1169="",COUNTIF(AcctCodesA,$B1169)=0),"متفرقه",$B1169))),$A1169))</f>
        <v/>
      </c>
      <c r="K1169">
        <f>IF($A1169="","",IF(AND($B1169&lt;&gt;"",COUNTIF(AcctCodesA,$B1169)=0),"کد طرف در INFO تعریف نشده",IF(AND($D1169="هزینه",$E1169=""),"هزینه بدون زیرگروه",IF(AND($C1169="پاس چک",OR(Sync!$AJ1169="",COUNTIF(IssueNosA,Sync!$AJ1169)=0)),"شماره چک پاس‌شده معتبر نیست",""))))</f>
        <v/>
      </c>
      <c r="V1169">
        <f>IF($K1169="","",IF(ISNUMBER(Sync!$AK1169),Sync!$AK1169,LEFT(Sync!$AK1169,4)&amp;MID(Sync!$AK1169,6,2)&amp;RIGHT(Sync!$AK1169,2))&amp;"|"&amp;"4"&amp;RIGHT("00000"&amp;1164,5))</f>
        <v/>
      </c>
      <c r="W1169">
        <f>IF($V1169="",0,COUNTIFS($V$6:$V$2005,"&lt;"&amp;$V1169)-COUNTIFS($V$6:$V$2005,"&lt;"&amp;$V1169,$K$6:$K$2005,"")+1)</f>
        <v/>
      </c>
    </row>
    <row r="1170">
      <c r="A1170">
        <f>IF(Sync!$Z1170="","",LEFT(UPPER(TRIM(Sync!$Z1170)),6))</f>
        <v/>
      </c>
      <c r="B1170">
        <f>IF($A1170="","",IF(Sync!$AA1170="","",Sync!$AA1170))</f>
        <v/>
      </c>
      <c r="C1170">
        <f>IF($A1170="","",IF(Sync!$AB1170="","",Sync!$AB1170))</f>
        <v/>
      </c>
      <c r="D1170">
        <f>IF($A1170="","",IF(Sync!$AC1170="","",Sync!$AC1170))</f>
        <v/>
      </c>
      <c r="E1170">
        <f>IF($A1170="","",IF(Sync!$AD1170="","",Sync!$AD1170))</f>
        <v/>
      </c>
      <c r="F1170">
        <f>IF($A1170="","",IF(Sync!$AE1170="",0,Sync!$AE1170))</f>
        <v/>
      </c>
      <c r="G1170">
        <f>IF($A1170="","",IF(Sync!$AF1170="",0,Sync!$AF1170))</f>
        <v/>
      </c>
      <c r="H1170">
        <f>IF(OR($A1170="",ROUND($F1170+$G1170,2)=0),"",$F1170+$G1170)</f>
        <v/>
      </c>
      <c r="I1170">
        <f>IF($H1170="","",IF(ROUND($F1170,2)&gt;0,$A1170,IF($D1170="شخصی قاسم","شخصی قاسم",IF($D1170="هزینه","هزینه: "&amp;IF($E1170="","متفرقه",$E1170),IF($C1170="پاس چک","چک پرداختی",IF(OR($B1170="",COUNTIF(AcctCodesA,$B1170)=0),"متفرقه",$B1170))))))</f>
        <v/>
      </c>
      <c r="J1170">
        <f>IF($H1170="","",IF(ROUND($F1170,2)&gt;0,IF($D1170="شخصی قاسم","شخصی قاسم",IF($D1170="هزینه","هزینه: "&amp;IF($E1170="","متفرقه",$E1170),IF(OR($B1170="",COUNTIF(AcctCodesA,$B1170)=0),"متفرقه",$B1170))),$A1170))</f>
        <v/>
      </c>
      <c r="K1170">
        <f>IF($A1170="","",IF(AND($B1170&lt;&gt;"",COUNTIF(AcctCodesA,$B1170)=0),"کد طرف در INFO تعریف نشده",IF(AND($D1170="هزینه",$E1170=""),"هزینه بدون زیرگروه",IF(AND($C1170="پاس چک",OR(Sync!$AJ1170="",COUNTIF(IssueNosA,Sync!$AJ1170)=0)),"شماره چک پاس‌شده معتبر نیست",""))))</f>
        <v/>
      </c>
      <c r="V1170">
        <f>IF($K1170="","",IF(ISNUMBER(Sync!$AK1170),Sync!$AK1170,LEFT(Sync!$AK1170,4)&amp;MID(Sync!$AK1170,6,2)&amp;RIGHT(Sync!$AK1170,2))&amp;"|"&amp;"4"&amp;RIGHT("00000"&amp;1165,5))</f>
        <v/>
      </c>
      <c r="W1170">
        <f>IF($V1170="",0,COUNTIFS($V$6:$V$2005,"&lt;"&amp;$V1170)-COUNTIFS($V$6:$V$2005,"&lt;"&amp;$V1170,$K$6:$K$2005,"")+1)</f>
        <v/>
      </c>
    </row>
    <row r="1171">
      <c r="A1171">
        <f>IF(Sync!$Z1171="","",LEFT(UPPER(TRIM(Sync!$Z1171)),6))</f>
        <v/>
      </c>
      <c r="B1171">
        <f>IF($A1171="","",IF(Sync!$AA1171="","",Sync!$AA1171))</f>
        <v/>
      </c>
      <c r="C1171">
        <f>IF($A1171="","",IF(Sync!$AB1171="","",Sync!$AB1171))</f>
        <v/>
      </c>
      <c r="D1171">
        <f>IF($A1171="","",IF(Sync!$AC1171="","",Sync!$AC1171))</f>
        <v/>
      </c>
      <c r="E1171">
        <f>IF($A1171="","",IF(Sync!$AD1171="","",Sync!$AD1171))</f>
        <v/>
      </c>
      <c r="F1171">
        <f>IF($A1171="","",IF(Sync!$AE1171="",0,Sync!$AE1171))</f>
        <v/>
      </c>
      <c r="G1171">
        <f>IF($A1171="","",IF(Sync!$AF1171="",0,Sync!$AF1171))</f>
        <v/>
      </c>
      <c r="H1171">
        <f>IF(OR($A1171="",ROUND($F1171+$G1171,2)=0),"",$F1171+$G1171)</f>
        <v/>
      </c>
      <c r="I1171">
        <f>IF($H1171="","",IF(ROUND($F1171,2)&gt;0,$A1171,IF($D1171="شخصی قاسم","شخصی قاسم",IF($D1171="هزینه","هزینه: "&amp;IF($E1171="","متفرقه",$E1171),IF($C1171="پاس چک","چک پرداختی",IF(OR($B1171="",COUNTIF(AcctCodesA,$B1171)=0),"متفرقه",$B1171))))))</f>
        <v/>
      </c>
      <c r="J1171">
        <f>IF($H1171="","",IF(ROUND($F1171,2)&gt;0,IF($D1171="شخصی قاسم","شخصی قاسم",IF($D1171="هزینه","هزینه: "&amp;IF($E1171="","متفرقه",$E1171),IF(OR($B1171="",COUNTIF(AcctCodesA,$B1171)=0),"متفرقه",$B1171))),$A1171))</f>
        <v/>
      </c>
      <c r="K1171">
        <f>IF($A1171="","",IF(AND($B1171&lt;&gt;"",COUNTIF(AcctCodesA,$B1171)=0),"کد طرف در INFO تعریف نشده",IF(AND($D1171="هزینه",$E1171=""),"هزینه بدون زیرگروه",IF(AND($C1171="پاس چک",OR(Sync!$AJ1171="",COUNTIF(IssueNosA,Sync!$AJ1171)=0)),"شماره چک پاس‌شده معتبر نیست",""))))</f>
        <v/>
      </c>
      <c r="V1171">
        <f>IF($K1171="","",IF(ISNUMBER(Sync!$AK1171),Sync!$AK1171,LEFT(Sync!$AK1171,4)&amp;MID(Sync!$AK1171,6,2)&amp;RIGHT(Sync!$AK1171,2))&amp;"|"&amp;"4"&amp;RIGHT("00000"&amp;1166,5))</f>
        <v/>
      </c>
      <c r="W1171">
        <f>IF($V1171="",0,COUNTIFS($V$6:$V$2005,"&lt;"&amp;$V1171)-COUNTIFS($V$6:$V$2005,"&lt;"&amp;$V1171,$K$6:$K$2005,"")+1)</f>
        <v/>
      </c>
    </row>
    <row r="1172">
      <c r="A1172">
        <f>IF(Sync!$Z1172="","",LEFT(UPPER(TRIM(Sync!$Z1172)),6))</f>
        <v/>
      </c>
      <c r="B1172">
        <f>IF($A1172="","",IF(Sync!$AA1172="","",Sync!$AA1172))</f>
        <v/>
      </c>
      <c r="C1172">
        <f>IF($A1172="","",IF(Sync!$AB1172="","",Sync!$AB1172))</f>
        <v/>
      </c>
      <c r="D1172">
        <f>IF($A1172="","",IF(Sync!$AC1172="","",Sync!$AC1172))</f>
        <v/>
      </c>
      <c r="E1172">
        <f>IF($A1172="","",IF(Sync!$AD1172="","",Sync!$AD1172))</f>
        <v/>
      </c>
      <c r="F1172">
        <f>IF($A1172="","",IF(Sync!$AE1172="",0,Sync!$AE1172))</f>
        <v/>
      </c>
      <c r="G1172">
        <f>IF($A1172="","",IF(Sync!$AF1172="",0,Sync!$AF1172))</f>
        <v/>
      </c>
      <c r="H1172">
        <f>IF(OR($A1172="",ROUND($F1172+$G1172,2)=0),"",$F1172+$G1172)</f>
        <v/>
      </c>
      <c r="I1172">
        <f>IF($H1172="","",IF(ROUND($F1172,2)&gt;0,$A1172,IF($D1172="شخصی قاسم","شخصی قاسم",IF($D1172="هزینه","هزینه: "&amp;IF($E1172="","متفرقه",$E1172),IF($C1172="پاس چک","چک پرداختی",IF(OR($B1172="",COUNTIF(AcctCodesA,$B1172)=0),"متفرقه",$B1172))))))</f>
        <v/>
      </c>
      <c r="J1172">
        <f>IF($H1172="","",IF(ROUND($F1172,2)&gt;0,IF($D1172="شخصی قاسم","شخصی قاسم",IF($D1172="هزینه","هزینه: "&amp;IF($E1172="","متفرقه",$E1172),IF(OR($B1172="",COUNTIF(AcctCodesA,$B1172)=0),"متفرقه",$B1172))),$A1172))</f>
        <v/>
      </c>
      <c r="K1172">
        <f>IF($A1172="","",IF(AND($B1172&lt;&gt;"",COUNTIF(AcctCodesA,$B1172)=0),"کد طرف در INFO تعریف نشده",IF(AND($D1172="هزینه",$E1172=""),"هزینه بدون زیرگروه",IF(AND($C1172="پاس چک",OR(Sync!$AJ1172="",COUNTIF(IssueNosA,Sync!$AJ1172)=0)),"شماره چک پاس‌شده معتبر نیست",""))))</f>
        <v/>
      </c>
      <c r="V1172">
        <f>IF($K1172="","",IF(ISNUMBER(Sync!$AK1172),Sync!$AK1172,LEFT(Sync!$AK1172,4)&amp;MID(Sync!$AK1172,6,2)&amp;RIGHT(Sync!$AK1172,2))&amp;"|"&amp;"4"&amp;RIGHT("00000"&amp;1167,5))</f>
        <v/>
      </c>
      <c r="W1172">
        <f>IF($V1172="",0,COUNTIFS($V$6:$V$2005,"&lt;"&amp;$V1172)-COUNTIFS($V$6:$V$2005,"&lt;"&amp;$V1172,$K$6:$K$2005,"")+1)</f>
        <v/>
      </c>
    </row>
    <row r="1173">
      <c r="A1173">
        <f>IF(Sync!$Z1173="","",LEFT(UPPER(TRIM(Sync!$Z1173)),6))</f>
        <v/>
      </c>
      <c r="B1173">
        <f>IF($A1173="","",IF(Sync!$AA1173="","",Sync!$AA1173))</f>
        <v/>
      </c>
      <c r="C1173">
        <f>IF($A1173="","",IF(Sync!$AB1173="","",Sync!$AB1173))</f>
        <v/>
      </c>
      <c r="D1173">
        <f>IF($A1173="","",IF(Sync!$AC1173="","",Sync!$AC1173))</f>
        <v/>
      </c>
      <c r="E1173">
        <f>IF($A1173="","",IF(Sync!$AD1173="","",Sync!$AD1173))</f>
        <v/>
      </c>
      <c r="F1173">
        <f>IF($A1173="","",IF(Sync!$AE1173="",0,Sync!$AE1173))</f>
        <v/>
      </c>
      <c r="G1173">
        <f>IF($A1173="","",IF(Sync!$AF1173="",0,Sync!$AF1173))</f>
        <v/>
      </c>
      <c r="H1173">
        <f>IF(OR($A1173="",ROUND($F1173+$G1173,2)=0),"",$F1173+$G1173)</f>
        <v/>
      </c>
      <c r="I1173">
        <f>IF($H1173="","",IF(ROUND($F1173,2)&gt;0,$A1173,IF($D1173="شخصی قاسم","شخصی قاسم",IF($D1173="هزینه","هزینه: "&amp;IF($E1173="","متفرقه",$E1173),IF($C1173="پاس چک","چک پرداختی",IF(OR($B1173="",COUNTIF(AcctCodesA,$B1173)=0),"متفرقه",$B1173))))))</f>
        <v/>
      </c>
      <c r="J1173">
        <f>IF($H1173="","",IF(ROUND($F1173,2)&gt;0,IF($D1173="شخصی قاسم","شخصی قاسم",IF($D1173="هزینه","هزینه: "&amp;IF($E1173="","متفرقه",$E1173),IF(OR($B1173="",COUNTIF(AcctCodesA,$B1173)=0),"متفرقه",$B1173))),$A1173))</f>
        <v/>
      </c>
      <c r="K1173">
        <f>IF($A1173="","",IF(AND($B1173&lt;&gt;"",COUNTIF(AcctCodesA,$B1173)=0),"کد طرف در INFO تعریف نشده",IF(AND($D1173="هزینه",$E1173=""),"هزینه بدون زیرگروه",IF(AND($C1173="پاس چک",OR(Sync!$AJ1173="",COUNTIF(IssueNosA,Sync!$AJ1173)=0)),"شماره چک پاس‌شده معتبر نیست",""))))</f>
        <v/>
      </c>
      <c r="V1173">
        <f>IF($K1173="","",IF(ISNUMBER(Sync!$AK1173),Sync!$AK1173,LEFT(Sync!$AK1173,4)&amp;MID(Sync!$AK1173,6,2)&amp;RIGHT(Sync!$AK1173,2))&amp;"|"&amp;"4"&amp;RIGHT("00000"&amp;1168,5))</f>
        <v/>
      </c>
      <c r="W1173">
        <f>IF($V1173="",0,COUNTIFS($V$6:$V$2005,"&lt;"&amp;$V1173)-COUNTIFS($V$6:$V$2005,"&lt;"&amp;$V1173,$K$6:$K$2005,"")+1)</f>
        <v/>
      </c>
    </row>
    <row r="1174">
      <c r="A1174">
        <f>IF(Sync!$Z1174="","",LEFT(UPPER(TRIM(Sync!$Z1174)),6))</f>
        <v/>
      </c>
      <c r="B1174">
        <f>IF($A1174="","",IF(Sync!$AA1174="","",Sync!$AA1174))</f>
        <v/>
      </c>
      <c r="C1174">
        <f>IF($A1174="","",IF(Sync!$AB1174="","",Sync!$AB1174))</f>
        <v/>
      </c>
      <c r="D1174">
        <f>IF($A1174="","",IF(Sync!$AC1174="","",Sync!$AC1174))</f>
        <v/>
      </c>
      <c r="E1174">
        <f>IF($A1174="","",IF(Sync!$AD1174="","",Sync!$AD1174))</f>
        <v/>
      </c>
      <c r="F1174">
        <f>IF($A1174="","",IF(Sync!$AE1174="",0,Sync!$AE1174))</f>
        <v/>
      </c>
      <c r="G1174">
        <f>IF($A1174="","",IF(Sync!$AF1174="",0,Sync!$AF1174))</f>
        <v/>
      </c>
      <c r="H1174">
        <f>IF(OR($A1174="",ROUND($F1174+$G1174,2)=0),"",$F1174+$G1174)</f>
        <v/>
      </c>
      <c r="I1174">
        <f>IF($H1174="","",IF(ROUND($F1174,2)&gt;0,$A1174,IF($D1174="شخصی قاسم","شخصی قاسم",IF($D1174="هزینه","هزینه: "&amp;IF($E1174="","متفرقه",$E1174),IF($C1174="پاس چک","چک پرداختی",IF(OR($B1174="",COUNTIF(AcctCodesA,$B1174)=0),"متفرقه",$B1174))))))</f>
        <v/>
      </c>
      <c r="J1174">
        <f>IF($H1174="","",IF(ROUND($F1174,2)&gt;0,IF($D1174="شخصی قاسم","شخصی قاسم",IF($D1174="هزینه","هزینه: "&amp;IF($E1174="","متفرقه",$E1174),IF(OR($B1174="",COUNTIF(AcctCodesA,$B1174)=0),"متفرقه",$B1174))),$A1174))</f>
        <v/>
      </c>
      <c r="K1174">
        <f>IF($A1174="","",IF(AND($B1174&lt;&gt;"",COUNTIF(AcctCodesA,$B1174)=0),"کد طرف در INFO تعریف نشده",IF(AND($D1174="هزینه",$E1174=""),"هزینه بدون زیرگروه",IF(AND($C1174="پاس چک",OR(Sync!$AJ1174="",COUNTIF(IssueNosA,Sync!$AJ1174)=0)),"شماره چک پاس‌شده معتبر نیست",""))))</f>
        <v/>
      </c>
      <c r="V1174">
        <f>IF($K1174="","",IF(ISNUMBER(Sync!$AK1174),Sync!$AK1174,LEFT(Sync!$AK1174,4)&amp;MID(Sync!$AK1174,6,2)&amp;RIGHT(Sync!$AK1174,2))&amp;"|"&amp;"4"&amp;RIGHT("00000"&amp;1169,5))</f>
        <v/>
      </c>
      <c r="W1174">
        <f>IF($V1174="",0,COUNTIFS($V$6:$V$2005,"&lt;"&amp;$V1174)-COUNTIFS($V$6:$V$2005,"&lt;"&amp;$V1174,$K$6:$K$2005,"")+1)</f>
        <v/>
      </c>
    </row>
    <row r="1175">
      <c r="A1175">
        <f>IF(Sync!$Z1175="","",LEFT(UPPER(TRIM(Sync!$Z1175)),6))</f>
        <v/>
      </c>
      <c r="B1175">
        <f>IF($A1175="","",IF(Sync!$AA1175="","",Sync!$AA1175))</f>
        <v/>
      </c>
      <c r="C1175">
        <f>IF($A1175="","",IF(Sync!$AB1175="","",Sync!$AB1175))</f>
        <v/>
      </c>
      <c r="D1175">
        <f>IF($A1175="","",IF(Sync!$AC1175="","",Sync!$AC1175))</f>
        <v/>
      </c>
      <c r="E1175">
        <f>IF($A1175="","",IF(Sync!$AD1175="","",Sync!$AD1175))</f>
        <v/>
      </c>
      <c r="F1175">
        <f>IF($A1175="","",IF(Sync!$AE1175="",0,Sync!$AE1175))</f>
        <v/>
      </c>
      <c r="G1175">
        <f>IF($A1175="","",IF(Sync!$AF1175="",0,Sync!$AF1175))</f>
        <v/>
      </c>
      <c r="H1175">
        <f>IF(OR($A1175="",ROUND($F1175+$G1175,2)=0),"",$F1175+$G1175)</f>
        <v/>
      </c>
      <c r="I1175">
        <f>IF($H1175="","",IF(ROUND($F1175,2)&gt;0,$A1175,IF($D1175="شخصی قاسم","شخصی قاسم",IF($D1175="هزینه","هزینه: "&amp;IF($E1175="","متفرقه",$E1175),IF($C1175="پاس چک","چک پرداختی",IF(OR($B1175="",COUNTIF(AcctCodesA,$B1175)=0),"متفرقه",$B1175))))))</f>
        <v/>
      </c>
      <c r="J1175">
        <f>IF($H1175="","",IF(ROUND($F1175,2)&gt;0,IF($D1175="شخصی قاسم","شخصی قاسم",IF($D1175="هزینه","هزینه: "&amp;IF($E1175="","متفرقه",$E1175),IF(OR($B1175="",COUNTIF(AcctCodesA,$B1175)=0),"متفرقه",$B1175))),$A1175))</f>
        <v/>
      </c>
      <c r="K1175">
        <f>IF($A1175="","",IF(AND($B1175&lt;&gt;"",COUNTIF(AcctCodesA,$B1175)=0),"کد طرف در INFO تعریف نشده",IF(AND($D1175="هزینه",$E1175=""),"هزینه بدون زیرگروه",IF(AND($C1175="پاس چک",OR(Sync!$AJ1175="",COUNTIF(IssueNosA,Sync!$AJ1175)=0)),"شماره چک پاس‌شده معتبر نیست",""))))</f>
        <v/>
      </c>
      <c r="V1175">
        <f>IF($K1175="","",IF(ISNUMBER(Sync!$AK1175),Sync!$AK1175,LEFT(Sync!$AK1175,4)&amp;MID(Sync!$AK1175,6,2)&amp;RIGHT(Sync!$AK1175,2))&amp;"|"&amp;"4"&amp;RIGHT("00000"&amp;1170,5))</f>
        <v/>
      </c>
      <c r="W1175">
        <f>IF($V1175="",0,COUNTIFS($V$6:$V$2005,"&lt;"&amp;$V1175)-COUNTIFS($V$6:$V$2005,"&lt;"&amp;$V1175,$K$6:$K$2005,"")+1)</f>
        <v/>
      </c>
    </row>
    <row r="1176">
      <c r="A1176">
        <f>IF(Sync!$Z1176="","",LEFT(UPPER(TRIM(Sync!$Z1176)),6))</f>
        <v/>
      </c>
      <c r="B1176">
        <f>IF($A1176="","",IF(Sync!$AA1176="","",Sync!$AA1176))</f>
        <v/>
      </c>
      <c r="C1176">
        <f>IF($A1176="","",IF(Sync!$AB1176="","",Sync!$AB1176))</f>
        <v/>
      </c>
      <c r="D1176">
        <f>IF($A1176="","",IF(Sync!$AC1176="","",Sync!$AC1176))</f>
        <v/>
      </c>
      <c r="E1176">
        <f>IF($A1176="","",IF(Sync!$AD1176="","",Sync!$AD1176))</f>
        <v/>
      </c>
      <c r="F1176">
        <f>IF($A1176="","",IF(Sync!$AE1176="",0,Sync!$AE1176))</f>
        <v/>
      </c>
      <c r="G1176">
        <f>IF($A1176="","",IF(Sync!$AF1176="",0,Sync!$AF1176))</f>
        <v/>
      </c>
      <c r="H1176">
        <f>IF(OR($A1176="",ROUND($F1176+$G1176,2)=0),"",$F1176+$G1176)</f>
        <v/>
      </c>
      <c r="I1176">
        <f>IF($H1176="","",IF(ROUND($F1176,2)&gt;0,$A1176,IF($D1176="شخصی قاسم","شخصی قاسم",IF($D1176="هزینه","هزینه: "&amp;IF($E1176="","متفرقه",$E1176),IF($C1176="پاس چک","چک پرداختی",IF(OR($B1176="",COUNTIF(AcctCodesA,$B1176)=0),"متفرقه",$B1176))))))</f>
        <v/>
      </c>
      <c r="J1176">
        <f>IF($H1176="","",IF(ROUND($F1176,2)&gt;0,IF($D1176="شخصی قاسم","شخصی قاسم",IF($D1176="هزینه","هزینه: "&amp;IF($E1176="","متفرقه",$E1176),IF(OR($B1176="",COUNTIF(AcctCodesA,$B1176)=0),"متفرقه",$B1176))),$A1176))</f>
        <v/>
      </c>
      <c r="K1176">
        <f>IF($A1176="","",IF(AND($B1176&lt;&gt;"",COUNTIF(AcctCodesA,$B1176)=0),"کد طرف در INFO تعریف نشده",IF(AND($D1176="هزینه",$E1176=""),"هزینه بدون زیرگروه",IF(AND($C1176="پاس چک",OR(Sync!$AJ1176="",COUNTIF(IssueNosA,Sync!$AJ1176)=0)),"شماره چک پاس‌شده معتبر نیست",""))))</f>
        <v/>
      </c>
      <c r="V1176">
        <f>IF($K1176="","",IF(ISNUMBER(Sync!$AK1176),Sync!$AK1176,LEFT(Sync!$AK1176,4)&amp;MID(Sync!$AK1176,6,2)&amp;RIGHT(Sync!$AK1176,2))&amp;"|"&amp;"4"&amp;RIGHT("00000"&amp;1171,5))</f>
        <v/>
      </c>
      <c r="W1176">
        <f>IF($V1176="",0,COUNTIFS($V$6:$V$2005,"&lt;"&amp;$V1176)-COUNTIFS($V$6:$V$2005,"&lt;"&amp;$V1176,$K$6:$K$2005,"")+1)</f>
        <v/>
      </c>
    </row>
    <row r="1177">
      <c r="A1177">
        <f>IF(Sync!$Z1177="","",LEFT(UPPER(TRIM(Sync!$Z1177)),6))</f>
        <v/>
      </c>
      <c r="B1177">
        <f>IF($A1177="","",IF(Sync!$AA1177="","",Sync!$AA1177))</f>
        <v/>
      </c>
      <c r="C1177">
        <f>IF($A1177="","",IF(Sync!$AB1177="","",Sync!$AB1177))</f>
        <v/>
      </c>
      <c r="D1177">
        <f>IF($A1177="","",IF(Sync!$AC1177="","",Sync!$AC1177))</f>
        <v/>
      </c>
      <c r="E1177">
        <f>IF($A1177="","",IF(Sync!$AD1177="","",Sync!$AD1177))</f>
        <v/>
      </c>
      <c r="F1177">
        <f>IF($A1177="","",IF(Sync!$AE1177="",0,Sync!$AE1177))</f>
        <v/>
      </c>
      <c r="G1177">
        <f>IF($A1177="","",IF(Sync!$AF1177="",0,Sync!$AF1177))</f>
        <v/>
      </c>
      <c r="H1177">
        <f>IF(OR($A1177="",ROUND($F1177+$G1177,2)=0),"",$F1177+$G1177)</f>
        <v/>
      </c>
      <c r="I1177">
        <f>IF($H1177="","",IF(ROUND($F1177,2)&gt;0,$A1177,IF($D1177="شخصی قاسم","شخصی قاسم",IF($D1177="هزینه","هزینه: "&amp;IF($E1177="","متفرقه",$E1177),IF($C1177="پاس چک","چک پرداختی",IF(OR($B1177="",COUNTIF(AcctCodesA,$B1177)=0),"متفرقه",$B1177))))))</f>
        <v/>
      </c>
      <c r="J1177">
        <f>IF($H1177="","",IF(ROUND($F1177,2)&gt;0,IF($D1177="شخصی قاسم","شخصی قاسم",IF($D1177="هزینه","هزینه: "&amp;IF($E1177="","متفرقه",$E1177),IF(OR($B1177="",COUNTIF(AcctCodesA,$B1177)=0),"متفرقه",$B1177))),$A1177))</f>
        <v/>
      </c>
      <c r="K1177">
        <f>IF($A1177="","",IF(AND($B1177&lt;&gt;"",COUNTIF(AcctCodesA,$B1177)=0),"کد طرف در INFO تعریف نشده",IF(AND($D1177="هزینه",$E1177=""),"هزینه بدون زیرگروه",IF(AND($C1177="پاس چک",OR(Sync!$AJ1177="",COUNTIF(IssueNosA,Sync!$AJ1177)=0)),"شماره چک پاس‌شده معتبر نیست",""))))</f>
        <v/>
      </c>
      <c r="V1177">
        <f>IF($K1177="","",IF(ISNUMBER(Sync!$AK1177),Sync!$AK1177,LEFT(Sync!$AK1177,4)&amp;MID(Sync!$AK1177,6,2)&amp;RIGHT(Sync!$AK1177,2))&amp;"|"&amp;"4"&amp;RIGHT("00000"&amp;1172,5))</f>
        <v/>
      </c>
      <c r="W1177">
        <f>IF($V1177="",0,COUNTIFS($V$6:$V$2005,"&lt;"&amp;$V1177)-COUNTIFS($V$6:$V$2005,"&lt;"&amp;$V1177,$K$6:$K$2005,"")+1)</f>
        <v/>
      </c>
    </row>
    <row r="1178">
      <c r="A1178">
        <f>IF(Sync!$Z1178="","",LEFT(UPPER(TRIM(Sync!$Z1178)),6))</f>
        <v/>
      </c>
      <c r="B1178">
        <f>IF($A1178="","",IF(Sync!$AA1178="","",Sync!$AA1178))</f>
        <v/>
      </c>
      <c r="C1178">
        <f>IF($A1178="","",IF(Sync!$AB1178="","",Sync!$AB1178))</f>
        <v/>
      </c>
      <c r="D1178">
        <f>IF($A1178="","",IF(Sync!$AC1178="","",Sync!$AC1178))</f>
        <v/>
      </c>
      <c r="E1178">
        <f>IF($A1178="","",IF(Sync!$AD1178="","",Sync!$AD1178))</f>
        <v/>
      </c>
      <c r="F1178">
        <f>IF($A1178="","",IF(Sync!$AE1178="",0,Sync!$AE1178))</f>
        <v/>
      </c>
      <c r="G1178">
        <f>IF($A1178="","",IF(Sync!$AF1178="",0,Sync!$AF1178))</f>
        <v/>
      </c>
      <c r="H1178">
        <f>IF(OR($A1178="",ROUND($F1178+$G1178,2)=0),"",$F1178+$G1178)</f>
        <v/>
      </c>
      <c r="I1178">
        <f>IF($H1178="","",IF(ROUND($F1178,2)&gt;0,$A1178,IF($D1178="شخصی قاسم","شخصی قاسم",IF($D1178="هزینه","هزینه: "&amp;IF($E1178="","متفرقه",$E1178),IF($C1178="پاس چک","چک پرداختی",IF(OR($B1178="",COUNTIF(AcctCodesA,$B1178)=0),"متفرقه",$B1178))))))</f>
        <v/>
      </c>
      <c r="J1178">
        <f>IF($H1178="","",IF(ROUND($F1178,2)&gt;0,IF($D1178="شخصی قاسم","شخصی قاسم",IF($D1178="هزینه","هزینه: "&amp;IF($E1178="","متفرقه",$E1178),IF(OR($B1178="",COUNTIF(AcctCodesA,$B1178)=0),"متفرقه",$B1178))),$A1178))</f>
        <v/>
      </c>
      <c r="K1178">
        <f>IF($A1178="","",IF(AND($B1178&lt;&gt;"",COUNTIF(AcctCodesA,$B1178)=0),"کد طرف در INFO تعریف نشده",IF(AND($D1178="هزینه",$E1178=""),"هزینه بدون زیرگروه",IF(AND($C1178="پاس چک",OR(Sync!$AJ1178="",COUNTIF(IssueNosA,Sync!$AJ1178)=0)),"شماره چک پاس‌شده معتبر نیست",""))))</f>
        <v/>
      </c>
      <c r="V1178">
        <f>IF($K1178="","",IF(ISNUMBER(Sync!$AK1178),Sync!$AK1178,LEFT(Sync!$AK1178,4)&amp;MID(Sync!$AK1178,6,2)&amp;RIGHT(Sync!$AK1178,2))&amp;"|"&amp;"4"&amp;RIGHT("00000"&amp;1173,5))</f>
        <v/>
      </c>
      <c r="W1178">
        <f>IF($V1178="",0,COUNTIFS($V$6:$V$2005,"&lt;"&amp;$V1178)-COUNTIFS($V$6:$V$2005,"&lt;"&amp;$V1178,$K$6:$K$2005,"")+1)</f>
        <v/>
      </c>
    </row>
    <row r="1179">
      <c r="A1179">
        <f>IF(Sync!$Z1179="","",LEFT(UPPER(TRIM(Sync!$Z1179)),6))</f>
        <v/>
      </c>
      <c r="B1179">
        <f>IF($A1179="","",IF(Sync!$AA1179="","",Sync!$AA1179))</f>
        <v/>
      </c>
      <c r="C1179">
        <f>IF($A1179="","",IF(Sync!$AB1179="","",Sync!$AB1179))</f>
        <v/>
      </c>
      <c r="D1179">
        <f>IF($A1179="","",IF(Sync!$AC1179="","",Sync!$AC1179))</f>
        <v/>
      </c>
      <c r="E1179">
        <f>IF($A1179="","",IF(Sync!$AD1179="","",Sync!$AD1179))</f>
        <v/>
      </c>
      <c r="F1179">
        <f>IF($A1179="","",IF(Sync!$AE1179="",0,Sync!$AE1179))</f>
        <v/>
      </c>
      <c r="G1179">
        <f>IF($A1179="","",IF(Sync!$AF1179="",0,Sync!$AF1179))</f>
        <v/>
      </c>
      <c r="H1179">
        <f>IF(OR($A1179="",ROUND($F1179+$G1179,2)=0),"",$F1179+$G1179)</f>
        <v/>
      </c>
      <c r="I1179">
        <f>IF($H1179="","",IF(ROUND($F1179,2)&gt;0,$A1179,IF($D1179="شخصی قاسم","شخصی قاسم",IF($D1179="هزینه","هزینه: "&amp;IF($E1179="","متفرقه",$E1179),IF($C1179="پاس چک","چک پرداختی",IF(OR($B1179="",COUNTIF(AcctCodesA,$B1179)=0),"متفرقه",$B1179))))))</f>
        <v/>
      </c>
      <c r="J1179">
        <f>IF($H1179="","",IF(ROUND($F1179,2)&gt;0,IF($D1179="شخصی قاسم","شخصی قاسم",IF($D1179="هزینه","هزینه: "&amp;IF($E1179="","متفرقه",$E1179),IF(OR($B1179="",COUNTIF(AcctCodesA,$B1179)=0),"متفرقه",$B1179))),$A1179))</f>
        <v/>
      </c>
      <c r="K1179">
        <f>IF($A1179="","",IF(AND($B1179&lt;&gt;"",COUNTIF(AcctCodesA,$B1179)=0),"کد طرف در INFO تعریف نشده",IF(AND($D1179="هزینه",$E1179=""),"هزینه بدون زیرگروه",IF(AND($C1179="پاس چک",OR(Sync!$AJ1179="",COUNTIF(IssueNosA,Sync!$AJ1179)=0)),"شماره چک پاس‌شده معتبر نیست",""))))</f>
        <v/>
      </c>
      <c r="V1179">
        <f>IF($K1179="","",IF(ISNUMBER(Sync!$AK1179),Sync!$AK1179,LEFT(Sync!$AK1179,4)&amp;MID(Sync!$AK1179,6,2)&amp;RIGHT(Sync!$AK1179,2))&amp;"|"&amp;"4"&amp;RIGHT("00000"&amp;1174,5))</f>
        <v/>
      </c>
      <c r="W1179">
        <f>IF($V1179="",0,COUNTIFS($V$6:$V$2005,"&lt;"&amp;$V1179)-COUNTIFS($V$6:$V$2005,"&lt;"&amp;$V1179,$K$6:$K$2005,"")+1)</f>
        <v/>
      </c>
    </row>
    <row r="1180">
      <c r="A1180">
        <f>IF(Sync!$Z1180="","",LEFT(UPPER(TRIM(Sync!$Z1180)),6))</f>
        <v/>
      </c>
      <c r="B1180">
        <f>IF($A1180="","",IF(Sync!$AA1180="","",Sync!$AA1180))</f>
        <v/>
      </c>
      <c r="C1180">
        <f>IF($A1180="","",IF(Sync!$AB1180="","",Sync!$AB1180))</f>
        <v/>
      </c>
      <c r="D1180">
        <f>IF($A1180="","",IF(Sync!$AC1180="","",Sync!$AC1180))</f>
        <v/>
      </c>
      <c r="E1180">
        <f>IF($A1180="","",IF(Sync!$AD1180="","",Sync!$AD1180))</f>
        <v/>
      </c>
      <c r="F1180">
        <f>IF($A1180="","",IF(Sync!$AE1180="",0,Sync!$AE1180))</f>
        <v/>
      </c>
      <c r="G1180">
        <f>IF($A1180="","",IF(Sync!$AF1180="",0,Sync!$AF1180))</f>
        <v/>
      </c>
      <c r="H1180">
        <f>IF(OR($A1180="",ROUND($F1180+$G1180,2)=0),"",$F1180+$G1180)</f>
        <v/>
      </c>
      <c r="I1180">
        <f>IF($H1180="","",IF(ROUND($F1180,2)&gt;0,$A1180,IF($D1180="شخصی قاسم","شخصی قاسم",IF($D1180="هزینه","هزینه: "&amp;IF($E1180="","متفرقه",$E1180),IF($C1180="پاس چک","چک پرداختی",IF(OR($B1180="",COUNTIF(AcctCodesA,$B1180)=0),"متفرقه",$B1180))))))</f>
        <v/>
      </c>
      <c r="J1180">
        <f>IF($H1180="","",IF(ROUND($F1180,2)&gt;0,IF($D1180="شخصی قاسم","شخصی قاسم",IF($D1180="هزینه","هزینه: "&amp;IF($E1180="","متفرقه",$E1180),IF(OR($B1180="",COUNTIF(AcctCodesA,$B1180)=0),"متفرقه",$B1180))),$A1180))</f>
        <v/>
      </c>
      <c r="K1180">
        <f>IF($A1180="","",IF(AND($B1180&lt;&gt;"",COUNTIF(AcctCodesA,$B1180)=0),"کد طرف در INFO تعریف نشده",IF(AND($D1180="هزینه",$E1180=""),"هزینه بدون زیرگروه",IF(AND($C1180="پاس چک",OR(Sync!$AJ1180="",COUNTIF(IssueNosA,Sync!$AJ1180)=0)),"شماره چک پاس‌شده معتبر نیست",""))))</f>
        <v/>
      </c>
      <c r="V1180">
        <f>IF($K1180="","",IF(ISNUMBER(Sync!$AK1180),Sync!$AK1180,LEFT(Sync!$AK1180,4)&amp;MID(Sync!$AK1180,6,2)&amp;RIGHT(Sync!$AK1180,2))&amp;"|"&amp;"4"&amp;RIGHT("00000"&amp;1175,5))</f>
        <v/>
      </c>
      <c r="W1180">
        <f>IF($V1180="",0,COUNTIFS($V$6:$V$2005,"&lt;"&amp;$V1180)-COUNTIFS($V$6:$V$2005,"&lt;"&amp;$V1180,$K$6:$K$2005,"")+1)</f>
        <v/>
      </c>
    </row>
    <row r="1181">
      <c r="A1181">
        <f>IF(Sync!$Z1181="","",LEFT(UPPER(TRIM(Sync!$Z1181)),6))</f>
        <v/>
      </c>
      <c r="B1181">
        <f>IF($A1181="","",IF(Sync!$AA1181="","",Sync!$AA1181))</f>
        <v/>
      </c>
      <c r="C1181">
        <f>IF($A1181="","",IF(Sync!$AB1181="","",Sync!$AB1181))</f>
        <v/>
      </c>
      <c r="D1181">
        <f>IF($A1181="","",IF(Sync!$AC1181="","",Sync!$AC1181))</f>
        <v/>
      </c>
      <c r="E1181">
        <f>IF($A1181="","",IF(Sync!$AD1181="","",Sync!$AD1181))</f>
        <v/>
      </c>
      <c r="F1181">
        <f>IF($A1181="","",IF(Sync!$AE1181="",0,Sync!$AE1181))</f>
        <v/>
      </c>
      <c r="G1181">
        <f>IF($A1181="","",IF(Sync!$AF1181="",0,Sync!$AF1181))</f>
        <v/>
      </c>
      <c r="H1181">
        <f>IF(OR($A1181="",ROUND($F1181+$G1181,2)=0),"",$F1181+$G1181)</f>
        <v/>
      </c>
      <c r="I1181">
        <f>IF($H1181="","",IF(ROUND($F1181,2)&gt;0,$A1181,IF($D1181="شخصی قاسم","شخصی قاسم",IF($D1181="هزینه","هزینه: "&amp;IF($E1181="","متفرقه",$E1181),IF($C1181="پاس چک","چک پرداختی",IF(OR($B1181="",COUNTIF(AcctCodesA,$B1181)=0),"متفرقه",$B1181))))))</f>
        <v/>
      </c>
      <c r="J1181">
        <f>IF($H1181="","",IF(ROUND($F1181,2)&gt;0,IF($D1181="شخصی قاسم","شخصی قاسم",IF($D1181="هزینه","هزینه: "&amp;IF($E1181="","متفرقه",$E1181),IF(OR($B1181="",COUNTIF(AcctCodesA,$B1181)=0),"متفرقه",$B1181))),$A1181))</f>
        <v/>
      </c>
      <c r="K1181">
        <f>IF($A1181="","",IF(AND($B1181&lt;&gt;"",COUNTIF(AcctCodesA,$B1181)=0),"کد طرف در INFO تعریف نشده",IF(AND($D1181="هزینه",$E1181=""),"هزینه بدون زیرگروه",IF(AND($C1181="پاس چک",OR(Sync!$AJ1181="",COUNTIF(IssueNosA,Sync!$AJ1181)=0)),"شماره چک پاس‌شده معتبر نیست",""))))</f>
        <v/>
      </c>
      <c r="V1181">
        <f>IF($K1181="","",IF(ISNUMBER(Sync!$AK1181),Sync!$AK1181,LEFT(Sync!$AK1181,4)&amp;MID(Sync!$AK1181,6,2)&amp;RIGHT(Sync!$AK1181,2))&amp;"|"&amp;"4"&amp;RIGHT("00000"&amp;1176,5))</f>
        <v/>
      </c>
      <c r="W1181">
        <f>IF($V1181="",0,COUNTIFS($V$6:$V$2005,"&lt;"&amp;$V1181)-COUNTIFS($V$6:$V$2005,"&lt;"&amp;$V1181,$K$6:$K$2005,"")+1)</f>
        <v/>
      </c>
    </row>
    <row r="1182">
      <c r="A1182">
        <f>IF(Sync!$Z1182="","",LEFT(UPPER(TRIM(Sync!$Z1182)),6))</f>
        <v/>
      </c>
      <c r="B1182">
        <f>IF($A1182="","",IF(Sync!$AA1182="","",Sync!$AA1182))</f>
        <v/>
      </c>
      <c r="C1182">
        <f>IF($A1182="","",IF(Sync!$AB1182="","",Sync!$AB1182))</f>
        <v/>
      </c>
      <c r="D1182">
        <f>IF($A1182="","",IF(Sync!$AC1182="","",Sync!$AC1182))</f>
        <v/>
      </c>
      <c r="E1182">
        <f>IF($A1182="","",IF(Sync!$AD1182="","",Sync!$AD1182))</f>
        <v/>
      </c>
      <c r="F1182">
        <f>IF($A1182="","",IF(Sync!$AE1182="",0,Sync!$AE1182))</f>
        <v/>
      </c>
      <c r="G1182">
        <f>IF($A1182="","",IF(Sync!$AF1182="",0,Sync!$AF1182))</f>
        <v/>
      </c>
      <c r="H1182">
        <f>IF(OR($A1182="",ROUND($F1182+$G1182,2)=0),"",$F1182+$G1182)</f>
        <v/>
      </c>
      <c r="I1182">
        <f>IF($H1182="","",IF(ROUND($F1182,2)&gt;0,$A1182,IF($D1182="شخصی قاسم","شخصی قاسم",IF($D1182="هزینه","هزینه: "&amp;IF($E1182="","متفرقه",$E1182),IF($C1182="پاس چک","چک پرداختی",IF(OR($B1182="",COUNTIF(AcctCodesA,$B1182)=0),"متفرقه",$B1182))))))</f>
        <v/>
      </c>
      <c r="J1182">
        <f>IF($H1182="","",IF(ROUND($F1182,2)&gt;0,IF($D1182="شخصی قاسم","شخصی قاسم",IF($D1182="هزینه","هزینه: "&amp;IF($E1182="","متفرقه",$E1182),IF(OR($B1182="",COUNTIF(AcctCodesA,$B1182)=0),"متفرقه",$B1182))),$A1182))</f>
        <v/>
      </c>
      <c r="K1182">
        <f>IF($A1182="","",IF(AND($B1182&lt;&gt;"",COUNTIF(AcctCodesA,$B1182)=0),"کد طرف در INFO تعریف نشده",IF(AND($D1182="هزینه",$E1182=""),"هزینه بدون زیرگروه",IF(AND($C1182="پاس چک",OR(Sync!$AJ1182="",COUNTIF(IssueNosA,Sync!$AJ1182)=0)),"شماره چک پاس‌شده معتبر نیست",""))))</f>
        <v/>
      </c>
      <c r="V1182">
        <f>IF($K1182="","",IF(ISNUMBER(Sync!$AK1182),Sync!$AK1182,LEFT(Sync!$AK1182,4)&amp;MID(Sync!$AK1182,6,2)&amp;RIGHT(Sync!$AK1182,2))&amp;"|"&amp;"4"&amp;RIGHT("00000"&amp;1177,5))</f>
        <v/>
      </c>
      <c r="W1182">
        <f>IF($V1182="",0,COUNTIFS($V$6:$V$2005,"&lt;"&amp;$V1182)-COUNTIFS($V$6:$V$2005,"&lt;"&amp;$V1182,$K$6:$K$2005,"")+1)</f>
        <v/>
      </c>
    </row>
    <row r="1183">
      <c r="A1183">
        <f>IF(Sync!$Z1183="","",LEFT(UPPER(TRIM(Sync!$Z1183)),6))</f>
        <v/>
      </c>
      <c r="B1183">
        <f>IF($A1183="","",IF(Sync!$AA1183="","",Sync!$AA1183))</f>
        <v/>
      </c>
      <c r="C1183">
        <f>IF($A1183="","",IF(Sync!$AB1183="","",Sync!$AB1183))</f>
        <v/>
      </c>
      <c r="D1183">
        <f>IF($A1183="","",IF(Sync!$AC1183="","",Sync!$AC1183))</f>
        <v/>
      </c>
      <c r="E1183">
        <f>IF($A1183="","",IF(Sync!$AD1183="","",Sync!$AD1183))</f>
        <v/>
      </c>
      <c r="F1183">
        <f>IF($A1183="","",IF(Sync!$AE1183="",0,Sync!$AE1183))</f>
        <v/>
      </c>
      <c r="G1183">
        <f>IF($A1183="","",IF(Sync!$AF1183="",0,Sync!$AF1183))</f>
        <v/>
      </c>
      <c r="H1183">
        <f>IF(OR($A1183="",ROUND($F1183+$G1183,2)=0),"",$F1183+$G1183)</f>
        <v/>
      </c>
      <c r="I1183">
        <f>IF($H1183="","",IF(ROUND($F1183,2)&gt;0,$A1183,IF($D1183="شخصی قاسم","شخصی قاسم",IF($D1183="هزینه","هزینه: "&amp;IF($E1183="","متفرقه",$E1183),IF($C1183="پاس چک","چک پرداختی",IF(OR($B1183="",COUNTIF(AcctCodesA,$B1183)=0),"متفرقه",$B1183))))))</f>
        <v/>
      </c>
      <c r="J1183">
        <f>IF($H1183="","",IF(ROUND($F1183,2)&gt;0,IF($D1183="شخصی قاسم","شخصی قاسم",IF($D1183="هزینه","هزینه: "&amp;IF($E1183="","متفرقه",$E1183),IF(OR($B1183="",COUNTIF(AcctCodesA,$B1183)=0),"متفرقه",$B1183))),$A1183))</f>
        <v/>
      </c>
      <c r="K1183">
        <f>IF($A1183="","",IF(AND($B1183&lt;&gt;"",COUNTIF(AcctCodesA,$B1183)=0),"کد طرف در INFO تعریف نشده",IF(AND($D1183="هزینه",$E1183=""),"هزینه بدون زیرگروه",IF(AND($C1183="پاس چک",OR(Sync!$AJ1183="",COUNTIF(IssueNosA,Sync!$AJ1183)=0)),"شماره چک پاس‌شده معتبر نیست",""))))</f>
        <v/>
      </c>
      <c r="V1183">
        <f>IF($K1183="","",IF(ISNUMBER(Sync!$AK1183),Sync!$AK1183,LEFT(Sync!$AK1183,4)&amp;MID(Sync!$AK1183,6,2)&amp;RIGHT(Sync!$AK1183,2))&amp;"|"&amp;"4"&amp;RIGHT("00000"&amp;1178,5))</f>
        <v/>
      </c>
      <c r="W1183">
        <f>IF($V1183="",0,COUNTIFS($V$6:$V$2005,"&lt;"&amp;$V1183)-COUNTIFS($V$6:$V$2005,"&lt;"&amp;$V1183,$K$6:$K$2005,"")+1)</f>
        <v/>
      </c>
    </row>
    <row r="1184">
      <c r="A1184">
        <f>IF(Sync!$Z1184="","",LEFT(UPPER(TRIM(Sync!$Z1184)),6))</f>
        <v/>
      </c>
      <c r="B1184">
        <f>IF($A1184="","",IF(Sync!$AA1184="","",Sync!$AA1184))</f>
        <v/>
      </c>
      <c r="C1184">
        <f>IF($A1184="","",IF(Sync!$AB1184="","",Sync!$AB1184))</f>
        <v/>
      </c>
      <c r="D1184">
        <f>IF($A1184="","",IF(Sync!$AC1184="","",Sync!$AC1184))</f>
        <v/>
      </c>
      <c r="E1184">
        <f>IF($A1184="","",IF(Sync!$AD1184="","",Sync!$AD1184))</f>
        <v/>
      </c>
      <c r="F1184">
        <f>IF($A1184="","",IF(Sync!$AE1184="",0,Sync!$AE1184))</f>
        <v/>
      </c>
      <c r="G1184">
        <f>IF($A1184="","",IF(Sync!$AF1184="",0,Sync!$AF1184))</f>
        <v/>
      </c>
      <c r="H1184">
        <f>IF(OR($A1184="",ROUND($F1184+$G1184,2)=0),"",$F1184+$G1184)</f>
        <v/>
      </c>
      <c r="I1184">
        <f>IF($H1184="","",IF(ROUND($F1184,2)&gt;0,$A1184,IF($D1184="شخصی قاسم","شخصی قاسم",IF($D1184="هزینه","هزینه: "&amp;IF($E1184="","متفرقه",$E1184),IF($C1184="پاس چک","چک پرداختی",IF(OR($B1184="",COUNTIF(AcctCodesA,$B1184)=0),"متفرقه",$B1184))))))</f>
        <v/>
      </c>
      <c r="J1184">
        <f>IF($H1184="","",IF(ROUND($F1184,2)&gt;0,IF($D1184="شخصی قاسم","شخصی قاسم",IF($D1184="هزینه","هزینه: "&amp;IF($E1184="","متفرقه",$E1184),IF(OR($B1184="",COUNTIF(AcctCodesA,$B1184)=0),"متفرقه",$B1184))),$A1184))</f>
        <v/>
      </c>
      <c r="K1184">
        <f>IF($A1184="","",IF(AND($B1184&lt;&gt;"",COUNTIF(AcctCodesA,$B1184)=0),"کد طرف در INFO تعریف نشده",IF(AND($D1184="هزینه",$E1184=""),"هزینه بدون زیرگروه",IF(AND($C1184="پاس چک",OR(Sync!$AJ1184="",COUNTIF(IssueNosA,Sync!$AJ1184)=0)),"شماره چک پاس‌شده معتبر نیست",""))))</f>
        <v/>
      </c>
      <c r="V1184">
        <f>IF($K1184="","",IF(ISNUMBER(Sync!$AK1184),Sync!$AK1184,LEFT(Sync!$AK1184,4)&amp;MID(Sync!$AK1184,6,2)&amp;RIGHT(Sync!$AK1184,2))&amp;"|"&amp;"4"&amp;RIGHT("00000"&amp;1179,5))</f>
        <v/>
      </c>
      <c r="W1184">
        <f>IF($V1184="",0,COUNTIFS($V$6:$V$2005,"&lt;"&amp;$V1184)-COUNTIFS($V$6:$V$2005,"&lt;"&amp;$V1184,$K$6:$K$2005,"")+1)</f>
        <v/>
      </c>
    </row>
    <row r="1185">
      <c r="A1185">
        <f>IF(Sync!$Z1185="","",LEFT(UPPER(TRIM(Sync!$Z1185)),6))</f>
        <v/>
      </c>
      <c r="B1185">
        <f>IF($A1185="","",IF(Sync!$AA1185="","",Sync!$AA1185))</f>
        <v/>
      </c>
      <c r="C1185">
        <f>IF($A1185="","",IF(Sync!$AB1185="","",Sync!$AB1185))</f>
        <v/>
      </c>
      <c r="D1185">
        <f>IF($A1185="","",IF(Sync!$AC1185="","",Sync!$AC1185))</f>
        <v/>
      </c>
      <c r="E1185">
        <f>IF($A1185="","",IF(Sync!$AD1185="","",Sync!$AD1185))</f>
        <v/>
      </c>
      <c r="F1185">
        <f>IF($A1185="","",IF(Sync!$AE1185="",0,Sync!$AE1185))</f>
        <v/>
      </c>
      <c r="G1185">
        <f>IF($A1185="","",IF(Sync!$AF1185="",0,Sync!$AF1185))</f>
        <v/>
      </c>
      <c r="H1185">
        <f>IF(OR($A1185="",ROUND($F1185+$G1185,2)=0),"",$F1185+$G1185)</f>
        <v/>
      </c>
      <c r="I1185">
        <f>IF($H1185="","",IF(ROUND($F1185,2)&gt;0,$A1185,IF($D1185="شخصی قاسم","شخصی قاسم",IF($D1185="هزینه","هزینه: "&amp;IF($E1185="","متفرقه",$E1185),IF($C1185="پاس چک","چک پرداختی",IF(OR($B1185="",COUNTIF(AcctCodesA,$B1185)=0),"متفرقه",$B1185))))))</f>
        <v/>
      </c>
      <c r="J1185">
        <f>IF($H1185="","",IF(ROUND($F1185,2)&gt;0,IF($D1185="شخصی قاسم","شخصی قاسم",IF($D1185="هزینه","هزینه: "&amp;IF($E1185="","متفرقه",$E1185),IF(OR($B1185="",COUNTIF(AcctCodesA,$B1185)=0),"متفرقه",$B1185))),$A1185))</f>
        <v/>
      </c>
      <c r="K1185">
        <f>IF($A1185="","",IF(AND($B1185&lt;&gt;"",COUNTIF(AcctCodesA,$B1185)=0),"کد طرف در INFO تعریف نشده",IF(AND($D1185="هزینه",$E1185=""),"هزینه بدون زیرگروه",IF(AND($C1185="پاس چک",OR(Sync!$AJ1185="",COUNTIF(IssueNosA,Sync!$AJ1185)=0)),"شماره چک پاس‌شده معتبر نیست",""))))</f>
        <v/>
      </c>
      <c r="V1185">
        <f>IF($K1185="","",IF(ISNUMBER(Sync!$AK1185),Sync!$AK1185,LEFT(Sync!$AK1185,4)&amp;MID(Sync!$AK1185,6,2)&amp;RIGHT(Sync!$AK1185,2))&amp;"|"&amp;"4"&amp;RIGHT("00000"&amp;1180,5))</f>
        <v/>
      </c>
      <c r="W1185">
        <f>IF($V1185="",0,COUNTIFS($V$6:$V$2005,"&lt;"&amp;$V1185)-COUNTIFS($V$6:$V$2005,"&lt;"&amp;$V1185,$K$6:$K$2005,"")+1)</f>
        <v/>
      </c>
    </row>
    <row r="1186">
      <c r="A1186">
        <f>IF(Sync!$Z1186="","",LEFT(UPPER(TRIM(Sync!$Z1186)),6))</f>
        <v/>
      </c>
      <c r="B1186">
        <f>IF($A1186="","",IF(Sync!$AA1186="","",Sync!$AA1186))</f>
        <v/>
      </c>
      <c r="C1186">
        <f>IF($A1186="","",IF(Sync!$AB1186="","",Sync!$AB1186))</f>
        <v/>
      </c>
      <c r="D1186">
        <f>IF($A1186="","",IF(Sync!$AC1186="","",Sync!$AC1186))</f>
        <v/>
      </c>
      <c r="E1186">
        <f>IF($A1186="","",IF(Sync!$AD1186="","",Sync!$AD1186))</f>
        <v/>
      </c>
      <c r="F1186">
        <f>IF($A1186="","",IF(Sync!$AE1186="",0,Sync!$AE1186))</f>
        <v/>
      </c>
      <c r="G1186">
        <f>IF($A1186="","",IF(Sync!$AF1186="",0,Sync!$AF1186))</f>
        <v/>
      </c>
      <c r="H1186">
        <f>IF(OR($A1186="",ROUND($F1186+$G1186,2)=0),"",$F1186+$G1186)</f>
        <v/>
      </c>
      <c r="I1186">
        <f>IF($H1186="","",IF(ROUND($F1186,2)&gt;0,$A1186,IF($D1186="شخصی قاسم","شخصی قاسم",IF($D1186="هزینه","هزینه: "&amp;IF($E1186="","متفرقه",$E1186),IF($C1186="پاس چک","چک پرداختی",IF(OR($B1186="",COUNTIF(AcctCodesA,$B1186)=0),"متفرقه",$B1186))))))</f>
        <v/>
      </c>
      <c r="J1186">
        <f>IF($H1186="","",IF(ROUND($F1186,2)&gt;0,IF($D1186="شخصی قاسم","شخصی قاسم",IF($D1186="هزینه","هزینه: "&amp;IF($E1186="","متفرقه",$E1186),IF(OR($B1186="",COUNTIF(AcctCodesA,$B1186)=0),"متفرقه",$B1186))),$A1186))</f>
        <v/>
      </c>
      <c r="K1186">
        <f>IF($A1186="","",IF(AND($B1186&lt;&gt;"",COUNTIF(AcctCodesA,$B1186)=0),"کد طرف در INFO تعریف نشده",IF(AND($D1186="هزینه",$E1186=""),"هزینه بدون زیرگروه",IF(AND($C1186="پاس چک",OR(Sync!$AJ1186="",COUNTIF(IssueNosA,Sync!$AJ1186)=0)),"شماره چک پاس‌شده معتبر نیست",""))))</f>
        <v/>
      </c>
      <c r="V1186">
        <f>IF($K1186="","",IF(ISNUMBER(Sync!$AK1186),Sync!$AK1186,LEFT(Sync!$AK1186,4)&amp;MID(Sync!$AK1186,6,2)&amp;RIGHT(Sync!$AK1186,2))&amp;"|"&amp;"4"&amp;RIGHT("00000"&amp;1181,5))</f>
        <v/>
      </c>
      <c r="W1186">
        <f>IF($V1186="",0,COUNTIFS($V$6:$V$2005,"&lt;"&amp;$V1186)-COUNTIFS($V$6:$V$2005,"&lt;"&amp;$V1186,$K$6:$K$2005,"")+1)</f>
        <v/>
      </c>
    </row>
    <row r="1187">
      <c r="A1187">
        <f>IF(Sync!$Z1187="","",LEFT(UPPER(TRIM(Sync!$Z1187)),6))</f>
        <v/>
      </c>
      <c r="B1187">
        <f>IF($A1187="","",IF(Sync!$AA1187="","",Sync!$AA1187))</f>
        <v/>
      </c>
      <c r="C1187">
        <f>IF($A1187="","",IF(Sync!$AB1187="","",Sync!$AB1187))</f>
        <v/>
      </c>
      <c r="D1187">
        <f>IF($A1187="","",IF(Sync!$AC1187="","",Sync!$AC1187))</f>
        <v/>
      </c>
      <c r="E1187">
        <f>IF($A1187="","",IF(Sync!$AD1187="","",Sync!$AD1187))</f>
        <v/>
      </c>
      <c r="F1187">
        <f>IF($A1187="","",IF(Sync!$AE1187="",0,Sync!$AE1187))</f>
        <v/>
      </c>
      <c r="G1187">
        <f>IF($A1187="","",IF(Sync!$AF1187="",0,Sync!$AF1187))</f>
        <v/>
      </c>
      <c r="H1187">
        <f>IF(OR($A1187="",ROUND($F1187+$G1187,2)=0),"",$F1187+$G1187)</f>
        <v/>
      </c>
      <c r="I1187">
        <f>IF($H1187="","",IF(ROUND($F1187,2)&gt;0,$A1187,IF($D1187="شخصی قاسم","شخصی قاسم",IF($D1187="هزینه","هزینه: "&amp;IF($E1187="","متفرقه",$E1187),IF($C1187="پاس چک","چک پرداختی",IF(OR($B1187="",COUNTIF(AcctCodesA,$B1187)=0),"متفرقه",$B1187))))))</f>
        <v/>
      </c>
      <c r="J1187">
        <f>IF($H1187="","",IF(ROUND($F1187,2)&gt;0,IF($D1187="شخصی قاسم","شخصی قاسم",IF($D1187="هزینه","هزینه: "&amp;IF($E1187="","متفرقه",$E1187),IF(OR($B1187="",COUNTIF(AcctCodesA,$B1187)=0),"متفرقه",$B1187))),$A1187))</f>
        <v/>
      </c>
      <c r="K1187">
        <f>IF($A1187="","",IF(AND($B1187&lt;&gt;"",COUNTIF(AcctCodesA,$B1187)=0),"کد طرف در INFO تعریف نشده",IF(AND($D1187="هزینه",$E1187=""),"هزینه بدون زیرگروه",IF(AND($C1187="پاس چک",OR(Sync!$AJ1187="",COUNTIF(IssueNosA,Sync!$AJ1187)=0)),"شماره چک پاس‌شده معتبر نیست",""))))</f>
        <v/>
      </c>
      <c r="V1187">
        <f>IF($K1187="","",IF(ISNUMBER(Sync!$AK1187),Sync!$AK1187,LEFT(Sync!$AK1187,4)&amp;MID(Sync!$AK1187,6,2)&amp;RIGHT(Sync!$AK1187,2))&amp;"|"&amp;"4"&amp;RIGHT("00000"&amp;1182,5))</f>
        <v/>
      </c>
      <c r="W1187">
        <f>IF($V1187="",0,COUNTIFS($V$6:$V$2005,"&lt;"&amp;$V1187)-COUNTIFS($V$6:$V$2005,"&lt;"&amp;$V1187,$K$6:$K$2005,"")+1)</f>
        <v/>
      </c>
    </row>
    <row r="1188">
      <c r="A1188">
        <f>IF(Sync!$Z1188="","",LEFT(UPPER(TRIM(Sync!$Z1188)),6))</f>
        <v/>
      </c>
      <c r="B1188">
        <f>IF($A1188="","",IF(Sync!$AA1188="","",Sync!$AA1188))</f>
        <v/>
      </c>
      <c r="C1188">
        <f>IF($A1188="","",IF(Sync!$AB1188="","",Sync!$AB1188))</f>
        <v/>
      </c>
      <c r="D1188">
        <f>IF($A1188="","",IF(Sync!$AC1188="","",Sync!$AC1188))</f>
        <v/>
      </c>
      <c r="E1188">
        <f>IF($A1188="","",IF(Sync!$AD1188="","",Sync!$AD1188))</f>
        <v/>
      </c>
      <c r="F1188">
        <f>IF($A1188="","",IF(Sync!$AE1188="",0,Sync!$AE1188))</f>
        <v/>
      </c>
      <c r="G1188">
        <f>IF($A1188="","",IF(Sync!$AF1188="",0,Sync!$AF1188))</f>
        <v/>
      </c>
      <c r="H1188">
        <f>IF(OR($A1188="",ROUND($F1188+$G1188,2)=0),"",$F1188+$G1188)</f>
        <v/>
      </c>
      <c r="I1188">
        <f>IF($H1188="","",IF(ROUND($F1188,2)&gt;0,$A1188,IF($D1188="شخصی قاسم","شخصی قاسم",IF($D1188="هزینه","هزینه: "&amp;IF($E1188="","متفرقه",$E1188),IF($C1188="پاس چک","چک پرداختی",IF(OR($B1188="",COUNTIF(AcctCodesA,$B1188)=0),"متفرقه",$B1188))))))</f>
        <v/>
      </c>
      <c r="J1188">
        <f>IF($H1188="","",IF(ROUND($F1188,2)&gt;0,IF($D1188="شخصی قاسم","شخصی قاسم",IF($D1188="هزینه","هزینه: "&amp;IF($E1188="","متفرقه",$E1188),IF(OR($B1188="",COUNTIF(AcctCodesA,$B1188)=0),"متفرقه",$B1188))),$A1188))</f>
        <v/>
      </c>
      <c r="K1188">
        <f>IF($A1188="","",IF(AND($B1188&lt;&gt;"",COUNTIF(AcctCodesA,$B1188)=0),"کد طرف در INFO تعریف نشده",IF(AND($D1188="هزینه",$E1188=""),"هزینه بدون زیرگروه",IF(AND($C1188="پاس چک",OR(Sync!$AJ1188="",COUNTIF(IssueNosA,Sync!$AJ1188)=0)),"شماره چک پاس‌شده معتبر نیست",""))))</f>
        <v/>
      </c>
      <c r="V1188">
        <f>IF($K1188="","",IF(ISNUMBER(Sync!$AK1188),Sync!$AK1188,LEFT(Sync!$AK1188,4)&amp;MID(Sync!$AK1188,6,2)&amp;RIGHT(Sync!$AK1188,2))&amp;"|"&amp;"4"&amp;RIGHT("00000"&amp;1183,5))</f>
        <v/>
      </c>
      <c r="W1188">
        <f>IF($V1188="",0,COUNTIFS($V$6:$V$2005,"&lt;"&amp;$V1188)-COUNTIFS($V$6:$V$2005,"&lt;"&amp;$V1188,$K$6:$K$2005,"")+1)</f>
        <v/>
      </c>
    </row>
    <row r="1189">
      <c r="A1189">
        <f>IF(Sync!$Z1189="","",LEFT(UPPER(TRIM(Sync!$Z1189)),6))</f>
        <v/>
      </c>
      <c r="B1189">
        <f>IF($A1189="","",IF(Sync!$AA1189="","",Sync!$AA1189))</f>
        <v/>
      </c>
      <c r="C1189">
        <f>IF($A1189="","",IF(Sync!$AB1189="","",Sync!$AB1189))</f>
        <v/>
      </c>
      <c r="D1189">
        <f>IF($A1189="","",IF(Sync!$AC1189="","",Sync!$AC1189))</f>
        <v/>
      </c>
      <c r="E1189">
        <f>IF($A1189="","",IF(Sync!$AD1189="","",Sync!$AD1189))</f>
        <v/>
      </c>
      <c r="F1189">
        <f>IF($A1189="","",IF(Sync!$AE1189="",0,Sync!$AE1189))</f>
        <v/>
      </c>
      <c r="G1189">
        <f>IF($A1189="","",IF(Sync!$AF1189="",0,Sync!$AF1189))</f>
        <v/>
      </c>
      <c r="H1189">
        <f>IF(OR($A1189="",ROUND($F1189+$G1189,2)=0),"",$F1189+$G1189)</f>
        <v/>
      </c>
      <c r="I1189">
        <f>IF($H1189="","",IF(ROUND($F1189,2)&gt;0,$A1189,IF($D1189="شخصی قاسم","شخصی قاسم",IF($D1189="هزینه","هزینه: "&amp;IF($E1189="","متفرقه",$E1189),IF($C1189="پاس چک","چک پرداختی",IF(OR($B1189="",COUNTIF(AcctCodesA,$B1189)=0),"متفرقه",$B1189))))))</f>
        <v/>
      </c>
      <c r="J1189">
        <f>IF($H1189="","",IF(ROUND($F1189,2)&gt;0,IF($D1189="شخصی قاسم","شخصی قاسم",IF($D1189="هزینه","هزینه: "&amp;IF($E1189="","متفرقه",$E1189),IF(OR($B1189="",COUNTIF(AcctCodesA,$B1189)=0),"متفرقه",$B1189))),$A1189))</f>
        <v/>
      </c>
      <c r="K1189">
        <f>IF($A1189="","",IF(AND($B1189&lt;&gt;"",COUNTIF(AcctCodesA,$B1189)=0),"کد طرف در INFO تعریف نشده",IF(AND($D1189="هزینه",$E1189=""),"هزینه بدون زیرگروه",IF(AND($C1189="پاس چک",OR(Sync!$AJ1189="",COUNTIF(IssueNosA,Sync!$AJ1189)=0)),"شماره چک پاس‌شده معتبر نیست",""))))</f>
        <v/>
      </c>
      <c r="V1189">
        <f>IF($K1189="","",IF(ISNUMBER(Sync!$AK1189),Sync!$AK1189,LEFT(Sync!$AK1189,4)&amp;MID(Sync!$AK1189,6,2)&amp;RIGHT(Sync!$AK1189,2))&amp;"|"&amp;"4"&amp;RIGHT("00000"&amp;1184,5))</f>
        <v/>
      </c>
      <c r="W1189">
        <f>IF($V1189="",0,COUNTIFS($V$6:$V$2005,"&lt;"&amp;$V1189)-COUNTIFS($V$6:$V$2005,"&lt;"&amp;$V1189,$K$6:$K$2005,"")+1)</f>
        <v/>
      </c>
    </row>
    <row r="1190">
      <c r="A1190">
        <f>IF(Sync!$Z1190="","",LEFT(UPPER(TRIM(Sync!$Z1190)),6))</f>
        <v/>
      </c>
      <c r="B1190">
        <f>IF($A1190="","",IF(Sync!$AA1190="","",Sync!$AA1190))</f>
        <v/>
      </c>
      <c r="C1190">
        <f>IF($A1190="","",IF(Sync!$AB1190="","",Sync!$AB1190))</f>
        <v/>
      </c>
      <c r="D1190">
        <f>IF($A1190="","",IF(Sync!$AC1190="","",Sync!$AC1190))</f>
        <v/>
      </c>
      <c r="E1190">
        <f>IF($A1190="","",IF(Sync!$AD1190="","",Sync!$AD1190))</f>
        <v/>
      </c>
      <c r="F1190">
        <f>IF($A1190="","",IF(Sync!$AE1190="",0,Sync!$AE1190))</f>
        <v/>
      </c>
      <c r="G1190">
        <f>IF($A1190="","",IF(Sync!$AF1190="",0,Sync!$AF1190))</f>
        <v/>
      </c>
      <c r="H1190">
        <f>IF(OR($A1190="",ROUND($F1190+$G1190,2)=0),"",$F1190+$G1190)</f>
        <v/>
      </c>
      <c r="I1190">
        <f>IF($H1190="","",IF(ROUND($F1190,2)&gt;0,$A1190,IF($D1190="شخصی قاسم","شخصی قاسم",IF($D1190="هزینه","هزینه: "&amp;IF($E1190="","متفرقه",$E1190),IF($C1190="پاس چک","چک پرداختی",IF(OR($B1190="",COUNTIF(AcctCodesA,$B1190)=0),"متفرقه",$B1190))))))</f>
        <v/>
      </c>
      <c r="J1190">
        <f>IF($H1190="","",IF(ROUND($F1190,2)&gt;0,IF($D1190="شخصی قاسم","شخصی قاسم",IF($D1190="هزینه","هزینه: "&amp;IF($E1190="","متفرقه",$E1190),IF(OR($B1190="",COUNTIF(AcctCodesA,$B1190)=0),"متفرقه",$B1190))),$A1190))</f>
        <v/>
      </c>
      <c r="K1190">
        <f>IF($A1190="","",IF(AND($B1190&lt;&gt;"",COUNTIF(AcctCodesA,$B1190)=0),"کد طرف در INFO تعریف نشده",IF(AND($D1190="هزینه",$E1190=""),"هزینه بدون زیرگروه",IF(AND($C1190="پاس چک",OR(Sync!$AJ1190="",COUNTIF(IssueNosA,Sync!$AJ1190)=0)),"شماره چک پاس‌شده معتبر نیست",""))))</f>
        <v/>
      </c>
      <c r="V1190">
        <f>IF($K1190="","",IF(ISNUMBER(Sync!$AK1190),Sync!$AK1190,LEFT(Sync!$AK1190,4)&amp;MID(Sync!$AK1190,6,2)&amp;RIGHT(Sync!$AK1190,2))&amp;"|"&amp;"4"&amp;RIGHT("00000"&amp;1185,5))</f>
        <v/>
      </c>
      <c r="W1190">
        <f>IF($V1190="",0,COUNTIFS($V$6:$V$2005,"&lt;"&amp;$V1190)-COUNTIFS($V$6:$V$2005,"&lt;"&amp;$V1190,$K$6:$K$2005,"")+1)</f>
        <v/>
      </c>
    </row>
    <row r="1191">
      <c r="A1191">
        <f>IF(Sync!$Z1191="","",LEFT(UPPER(TRIM(Sync!$Z1191)),6))</f>
        <v/>
      </c>
      <c r="B1191">
        <f>IF($A1191="","",IF(Sync!$AA1191="","",Sync!$AA1191))</f>
        <v/>
      </c>
      <c r="C1191">
        <f>IF($A1191="","",IF(Sync!$AB1191="","",Sync!$AB1191))</f>
        <v/>
      </c>
      <c r="D1191">
        <f>IF($A1191="","",IF(Sync!$AC1191="","",Sync!$AC1191))</f>
        <v/>
      </c>
      <c r="E1191">
        <f>IF($A1191="","",IF(Sync!$AD1191="","",Sync!$AD1191))</f>
        <v/>
      </c>
      <c r="F1191">
        <f>IF($A1191="","",IF(Sync!$AE1191="",0,Sync!$AE1191))</f>
        <v/>
      </c>
      <c r="G1191">
        <f>IF($A1191="","",IF(Sync!$AF1191="",0,Sync!$AF1191))</f>
        <v/>
      </c>
      <c r="H1191">
        <f>IF(OR($A1191="",ROUND($F1191+$G1191,2)=0),"",$F1191+$G1191)</f>
        <v/>
      </c>
      <c r="I1191">
        <f>IF($H1191="","",IF(ROUND($F1191,2)&gt;0,$A1191,IF($D1191="شخصی قاسم","شخصی قاسم",IF($D1191="هزینه","هزینه: "&amp;IF($E1191="","متفرقه",$E1191),IF($C1191="پاس چک","چک پرداختی",IF(OR($B1191="",COUNTIF(AcctCodesA,$B1191)=0),"متفرقه",$B1191))))))</f>
        <v/>
      </c>
      <c r="J1191">
        <f>IF($H1191="","",IF(ROUND($F1191,2)&gt;0,IF($D1191="شخصی قاسم","شخصی قاسم",IF($D1191="هزینه","هزینه: "&amp;IF($E1191="","متفرقه",$E1191),IF(OR($B1191="",COUNTIF(AcctCodesA,$B1191)=0),"متفرقه",$B1191))),$A1191))</f>
        <v/>
      </c>
      <c r="K1191">
        <f>IF($A1191="","",IF(AND($B1191&lt;&gt;"",COUNTIF(AcctCodesA,$B1191)=0),"کد طرف در INFO تعریف نشده",IF(AND($D1191="هزینه",$E1191=""),"هزینه بدون زیرگروه",IF(AND($C1191="پاس چک",OR(Sync!$AJ1191="",COUNTIF(IssueNosA,Sync!$AJ1191)=0)),"شماره چک پاس‌شده معتبر نیست",""))))</f>
        <v/>
      </c>
      <c r="V1191">
        <f>IF($K1191="","",IF(ISNUMBER(Sync!$AK1191),Sync!$AK1191,LEFT(Sync!$AK1191,4)&amp;MID(Sync!$AK1191,6,2)&amp;RIGHT(Sync!$AK1191,2))&amp;"|"&amp;"4"&amp;RIGHT("00000"&amp;1186,5))</f>
        <v/>
      </c>
      <c r="W1191">
        <f>IF($V1191="",0,COUNTIFS($V$6:$V$2005,"&lt;"&amp;$V1191)-COUNTIFS($V$6:$V$2005,"&lt;"&amp;$V1191,$K$6:$K$2005,"")+1)</f>
        <v/>
      </c>
    </row>
    <row r="1192">
      <c r="A1192">
        <f>IF(Sync!$Z1192="","",LEFT(UPPER(TRIM(Sync!$Z1192)),6))</f>
        <v/>
      </c>
      <c r="B1192">
        <f>IF($A1192="","",IF(Sync!$AA1192="","",Sync!$AA1192))</f>
        <v/>
      </c>
      <c r="C1192">
        <f>IF($A1192="","",IF(Sync!$AB1192="","",Sync!$AB1192))</f>
        <v/>
      </c>
      <c r="D1192">
        <f>IF($A1192="","",IF(Sync!$AC1192="","",Sync!$AC1192))</f>
        <v/>
      </c>
      <c r="E1192">
        <f>IF($A1192="","",IF(Sync!$AD1192="","",Sync!$AD1192))</f>
        <v/>
      </c>
      <c r="F1192">
        <f>IF($A1192="","",IF(Sync!$AE1192="",0,Sync!$AE1192))</f>
        <v/>
      </c>
      <c r="G1192">
        <f>IF($A1192="","",IF(Sync!$AF1192="",0,Sync!$AF1192))</f>
        <v/>
      </c>
      <c r="H1192">
        <f>IF(OR($A1192="",ROUND($F1192+$G1192,2)=0),"",$F1192+$G1192)</f>
        <v/>
      </c>
      <c r="I1192">
        <f>IF($H1192="","",IF(ROUND($F1192,2)&gt;0,$A1192,IF($D1192="شخصی قاسم","شخصی قاسم",IF($D1192="هزینه","هزینه: "&amp;IF($E1192="","متفرقه",$E1192),IF($C1192="پاس چک","چک پرداختی",IF(OR($B1192="",COUNTIF(AcctCodesA,$B1192)=0),"متفرقه",$B1192))))))</f>
        <v/>
      </c>
      <c r="J1192">
        <f>IF($H1192="","",IF(ROUND($F1192,2)&gt;0,IF($D1192="شخصی قاسم","شخصی قاسم",IF($D1192="هزینه","هزینه: "&amp;IF($E1192="","متفرقه",$E1192),IF(OR($B1192="",COUNTIF(AcctCodesA,$B1192)=0),"متفرقه",$B1192))),$A1192))</f>
        <v/>
      </c>
      <c r="K1192">
        <f>IF($A1192="","",IF(AND($B1192&lt;&gt;"",COUNTIF(AcctCodesA,$B1192)=0),"کد طرف در INFO تعریف نشده",IF(AND($D1192="هزینه",$E1192=""),"هزینه بدون زیرگروه",IF(AND($C1192="پاس چک",OR(Sync!$AJ1192="",COUNTIF(IssueNosA,Sync!$AJ1192)=0)),"شماره چک پاس‌شده معتبر نیست",""))))</f>
        <v/>
      </c>
      <c r="V1192">
        <f>IF($K1192="","",IF(ISNUMBER(Sync!$AK1192),Sync!$AK1192,LEFT(Sync!$AK1192,4)&amp;MID(Sync!$AK1192,6,2)&amp;RIGHT(Sync!$AK1192,2))&amp;"|"&amp;"4"&amp;RIGHT("00000"&amp;1187,5))</f>
        <v/>
      </c>
      <c r="W1192">
        <f>IF($V1192="",0,COUNTIFS($V$6:$V$2005,"&lt;"&amp;$V1192)-COUNTIFS($V$6:$V$2005,"&lt;"&amp;$V1192,$K$6:$K$2005,"")+1)</f>
        <v/>
      </c>
    </row>
    <row r="1193">
      <c r="A1193">
        <f>IF(Sync!$Z1193="","",LEFT(UPPER(TRIM(Sync!$Z1193)),6))</f>
        <v/>
      </c>
      <c r="B1193">
        <f>IF($A1193="","",IF(Sync!$AA1193="","",Sync!$AA1193))</f>
        <v/>
      </c>
      <c r="C1193">
        <f>IF($A1193="","",IF(Sync!$AB1193="","",Sync!$AB1193))</f>
        <v/>
      </c>
      <c r="D1193">
        <f>IF($A1193="","",IF(Sync!$AC1193="","",Sync!$AC1193))</f>
        <v/>
      </c>
      <c r="E1193">
        <f>IF($A1193="","",IF(Sync!$AD1193="","",Sync!$AD1193))</f>
        <v/>
      </c>
      <c r="F1193">
        <f>IF($A1193="","",IF(Sync!$AE1193="",0,Sync!$AE1193))</f>
        <v/>
      </c>
      <c r="G1193">
        <f>IF($A1193="","",IF(Sync!$AF1193="",0,Sync!$AF1193))</f>
        <v/>
      </c>
      <c r="H1193">
        <f>IF(OR($A1193="",ROUND($F1193+$G1193,2)=0),"",$F1193+$G1193)</f>
        <v/>
      </c>
      <c r="I1193">
        <f>IF($H1193="","",IF(ROUND($F1193,2)&gt;0,$A1193,IF($D1193="شخصی قاسم","شخصی قاسم",IF($D1193="هزینه","هزینه: "&amp;IF($E1193="","متفرقه",$E1193),IF($C1193="پاس چک","چک پرداختی",IF(OR($B1193="",COUNTIF(AcctCodesA,$B1193)=0),"متفرقه",$B1193))))))</f>
        <v/>
      </c>
      <c r="J1193">
        <f>IF($H1193="","",IF(ROUND($F1193,2)&gt;0,IF($D1193="شخصی قاسم","شخصی قاسم",IF($D1193="هزینه","هزینه: "&amp;IF($E1193="","متفرقه",$E1193),IF(OR($B1193="",COUNTIF(AcctCodesA,$B1193)=0),"متفرقه",$B1193))),$A1193))</f>
        <v/>
      </c>
      <c r="K1193">
        <f>IF($A1193="","",IF(AND($B1193&lt;&gt;"",COUNTIF(AcctCodesA,$B1193)=0),"کد طرف در INFO تعریف نشده",IF(AND($D1193="هزینه",$E1193=""),"هزینه بدون زیرگروه",IF(AND($C1193="پاس چک",OR(Sync!$AJ1193="",COUNTIF(IssueNosA,Sync!$AJ1193)=0)),"شماره چک پاس‌شده معتبر نیست",""))))</f>
        <v/>
      </c>
      <c r="V1193">
        <f>IF($K1193="","",IF(ISNUMBER(Sync!$AK1193),Sync!$AK1193,LEFT(Sync!$AK1193,4)&amp;MID(Sync!$AK1193,6,2)&amp;RIGHT(Sync!$AK1193,2))&amp;"|"&amp;"4"&amp;RIGHT("00000"&amp;1188,5))</f>
        <v/>
      </c>
      <c r="W1193">
        <f>IF($V1193="",0,COUNTIFS($V$6:$V$2005,"&lt;"&amp;$V1193)-COUNTIFS($V$6:$V$2005,"&lt;"&amp;$V1193,$K$6:$K$2005,"")+1)</f>
        <v/>
      </c>
    </row>
    <row r="1194">
      <c r="A1194">
        <f>IF(Sync!$Z1194="","",LEFT(UPPER(TRIM(Sync!$Z1194)),6))</f>
        <v/>
      </c>
      <c r="B1194">
        <f>IF($A1194="","",IF(Sync!$AA1194="","",Sync!$AA1194))</f>
        <v/>
      </c>
      <c r="C1194">
        <f>IF($A1194="","",IF(Sync!$AB1194="","",Sync!$AB1194))</f>
        <v/>
      </c>
      <c r="D1194">
        <f>IF($A1194="","",IF(Sync!$AC1194="","",Sync!$AC1194))</f>
        <v/>
      </c>
      <c r="E1194">
        <f>IF($A1194="","",IF(Sync!$AD1194="","",Sync!$AD1194))</f>
        <v/>
      </c>
      <c r="F1194">
        <f>IF($A1194="","",IF(Sync!$AE1194="",0,Sync!$AE1194))</f>
        <v/>
      </c>
      <c r="G1194">
        <f>IF($A1194="","",IF(Sync!$AF1194="",0,Sync!$AF1194))</f>
        <v/>
      </c>
      <c r="H1194">
        <f>IF(OR($A1194="",ROUND($F1194+$G1194,2)=0),"",$F1194+$G1194)</f>
        <v/>
      </c>
      <c r="I1194">
        <f>IF($H1194="","",IF(ROUND($F1194,2)&gt;0,$A1194,IF($D1194="شخصی قاسم","شخصی قاسم",IF($D1194="هزینه","هزینه: "&amp;IF($E1194="","متفرقه",$E1194),IF($C1194="پاس چک","چک پرداختی",IF(OR($B1194="",COUNTIF(AcctCodesA,$B1194)=0),"متفرقه",$B1194))))))</f>
        <v/>
      </c>
      <c r="J1194">
        <f>IF($H1194="","",IF(ROUND($F1194,2)&gt;0,IF($D1194="شخصی قاسم","شخصی قاسم",IF($D1194="هزینه","هزینه: "&amp;IF($E1194="","متفرقه",$E1194),IF(OR($B1194="",COUNTIF(AcctCodesA,$B1194)=0),"متفرقه",$B1194))),$A1194))</f>
        <v/>
      </c>
      <c r="K1194">
        <f>IF($A1194="","",IF(AND($B1194&lt;&gt;"",COUNTIF(AcctCodesA,$B1194)=0),"کد طرف در INFO تعریف نشده",IF(AND($D1194="هزینه",$E1194=""),"هزینه بدون زیرگروه",IF(AND($C1194="پاس چک",OR(Sync!$AJ1194="",COUNTIF(IssueNosA,Sync!$AJ1194)=0)),"شماره چک پاس‌شده معتبر نیست",""))))</f>
        <v/>
      </c>
      <c r="V1194">
        <f>IF($K1194="","",IF(ISNUMBER(Sync!$AK1194),Sync!$AK1194,LEFT(Sync!$AK1194,4)&amp;MID(Sync!$AK1194,6,2)&amp;RIGHT(Sync!$AK1194,2))&amp;"|"&amp;"4"&amp;RIGHT("00000"&amp;1189,5))</f>
        <v/>
      </c>
      <c r="W1194">
        <f>IF($V1194="",0,COUNTIFS($V$6:$V$2005,"&lt;"&amp;$V1194)-COUNTIFS($V$6:$V$2005,"&lt;"&amp;$V1194,$K$6:$K$2005,"")+1)</f>
        <v/>
      </c>
    </row>
    <row r="1195">
      <c r="A1195">
        <f>IF(Sync!$Z1195="","",LEFT(UPPER(TRIM(Sync!$Z1195)),6))</f>
        <v/>
      </c>
      <c r="B1195">
        <f>IF($A1195="","",IF(Sync!$AA1195="","",Sync!$AA1195))</f>
        <v/>
      </c>
      <c r="C1195">
        <f>IF($A1195="","",IF(Sync!$AB1195="","",Sync!$AB1195))</f>
        <v/>
      </c>
      <c r="D1195">
        <f>IF($A1195="","",IF(Sync!$AC1195="","",Sync!$AC1195))</f>
        <v/>
      </c>
      <c r="E1195">
        <f>IF($A1195="","",IF(Sync!$AD1195="","",Sync!$AD1195))</f>
        <v/>
      </c>
      <c r="F1195">
        <f>IF($A1195="","",IF(Sync!$AE1195="",0,Sync!$AE1195))</f>
        <v/>
      </c>
      <c r="G1195">
        <f>IF($A1195="","",IF(Sync!$AF1195="",0,Sync!$AF1195))</f>
        <v/>
      </c>
      <c r="H1195">
        <f>IF(OR($A1195="",ROUND($F1195+$G1195,2)=0),"",$F1195+$G1195)</f>
        <v/>
      </c>
      <c r="I1195">
        <f>IF($H1195="","",IF(ROUND($F1195,2)&gt;0,$A1195,IF($D1195="شخصی قاسم","شخصی قاسم",IF($D1195="هزینه","هزینه: "&amp;IF($E1195="","متفرقه",$E1195),IF($C1195="پاس چک","چک پرداختی",IF(OR($B1195="",COUNTIF(AcctCodesA,$B1195)=0),"متفرقه",$B1195))))))</f>
        <v/>
      </c>
      <c r="J1195">
        <f>IF($H1195="","",IF(ROUND($F1195,2)&gt;0,IF($D1195="شخصی قاسم","شخصی قاسم",IF($D1195="هزینه","هزینه: "&amp;IF($E1195="","متفرقه",$E1195),IF(OR($B1195="",COUNTIF(AcctCodesA,$B1195)=0),"متفرقه",$B1195))),$A1195))</f>
        <v/>
      </c>
      <c r="K1195">
        <f>IF($A1195="","",IF(AND($B1195&lt;&gt;"",COUNTIF(AcctCodesA,$B1195)=0),"کد طرف در INFO تعریف نشده",IF(AND($D1195="هزینه",$E1195=""),"هزینه بدون زیرگروه",IF(AND($C1195="پاس چک",OR(Sync!$AJ1195="",COUNTIF(IssueNosA,Sync!$AJ1195)=0)),"شماره چک پاس‌شده معتبر نیست",""))))</f>
        <v/>
      </c>
      <c r="V1195">
        <f>IF($K1195="","",IF(ISNUMBER(Sync!$AK1195),Sync!$AK1195,LEFT(Sync!$AK1195,4)&amp;MID(Sync!$AK1195,6,2)&amp;RIGHT(Sync!$AK1195,2))&amp;"|"&amp;"4"&amp;RIGHT("00000"&amp;1190,5))</f>
        <v/>
      </c>
      <c r="W1195">
        <f>IF($V1195="",0,COUNTIFS($V$6:$V$2005,"&lt;"&amp;$V1195)-COUNTIFS($V$6:$V$2005,"&lt;"&amp;$V1195,$K$6:$K$2005,"")+1)</f>
        <v/>
      </c>
    </row>
    <row r="1196">
      <c r="A1196">
        <f>IF(Sync!$Z1196="","",LEFT(UPPER(TRIM(Sync!$Z1196)),6))</f>
        <v/>
      </c>
      <c r="B1196">
        <f>IF($A1196="","",IF(Sync!$AA1196="","",Sync!$AA1196))</f>
        <v/>
      </c>
      <c r="C1196">
        <f>IF($A1196="","",IF(Sync!$AB1196="","",Sync!$AB1196))</f>
        <v/>
      </c>
      <c r="D1196">
        <f>IF($A1196="","",IF(Sync!$AC1196="","",Sync!$AC1196))</f>
        <v/>
      </c>
      <c r="E1196">
        <f>IF($A1196="","",IF(Sync!$AD1196="","",Sync!$AD1196))</f>
        <v/>
      </c>
      <c r="F1196">
        <f>IF($A1196="","",IF(Sync!$AE1196="",0,Sync!$AE1196))</f>
        <v/>
      </c>
      <c r="G1196">
        <f>IF($A1196="","",IF(Sync!$AF1196="",0,Sync!$AF1196))</f>
        <v/>
      </c>
      <c r="H1196">
        <f>IF(OR($A1196="",ROUND($F1196+$G1196,2)=0),"",$F1196+$G1196)</f>
        <v/>
      </c>
      <c r="I1196">
        <f>IF($H1196="","",IF(ROUND($F1196,2)&gt;0,$A1196,IF($D1196="شخصی قاسم","شخصی قاسم",IF($D1196="هزینه","هزینه: "&amp;IF($E1196="","متفرقه",$E1196),IF($C1196="پاس چک","چک پرداختی",IF(OR($B1196="",COUNTIF(AcctCodesA,$B1196)=0),"متفرقه",$B1196))))))</f>
        <v/>
      </c>
      <c r="J1196">
        <f>IF($H1196="","",IF(ROUND($F1196,2)&gt;0,IF($D1196="شخصی قاسم","شخصی قاسم",IF($D1196="هزینه","هزینه: "&amp;IF($E1196="","متفرقه",$E1196),IF(OR($B1196="",COUNTIF(AcctCodesA,$B1196)=0),"متفرقه",$B1196))),$A1196))</f>
        <v/>
      </c>
      <c r="K1196">
        <f>IF($A1196="","",IF(AND($B1196&lt;&gt;"",COUNTIF(AcctCodesA,$B1196)=0),"کد طرف در INFO تعریف نشده",IF(AND($D1196="هزینه",$E1196=""),"هزینه بدون زیرگروه",IF(AND($C1196="پاس چک",OR(Sync!$AJ1196="",COUNTIF(IssueNosA,Sync!$AJ1196)=0)),"شماره چک پاس‌شده معتبر نیست",""))))</f>
        <v/>
      </c>
      <c r="V1196">
        <f>IF($K1196="","",IF(ISNUMBER(Sync!$AK1196),Sync!$AK1196,LEFT(Sync!$AK1196,4)&amp;MID(Sync!$AK1196,6,2)&amp;RIGHT(Sync!$AK1196,2))&amp;"|"&amp;"4"&amp;RIGHT("00000"&amp;1191,5))</f>
        <v/>
      </c>
      <c r="W1196">
        <f>IF($V1196="",0,COUNTIFS($V$6:$V$2005,"&lt;"&amp;$V1196)-COUNTIFS($V$6:$V$2005,"&lt;"&amp;$V1196,$K$6:$K$2005,"")+1)</f>
        <v/>
      </c>
    </row>
    <row r="1197">
      <c r="A1197">
        <f>IF(Sync!$Z1197="","",LEFT(UPPER(TRIM(Sync!$Z1197)),6))</f>
        <v/>
      </c>
      <c r="B1197">
        <f>IF($A1197="","",IF(Sync!$AA1197="","",Sync!$AA1197))</f>
        <v/>
      </c>
      <c r="C1197">
        <f>IF($A1197="","",IF(Sync!$AB1197="","",Sync!$AB1197))</f>
        <v/>
      </c>
      <c r="D1197">
        <f>IF($A1197="","",IF(Sync!$AC1197="","",Sync!$AC1197))</f>
        <v/>
      </c>
      <c r="E1197">
        <f>IF($A1197="","",IF(Sync!$AD1197="","",Sync!$AD1197))</f>
        <v/>
      </c>
      <c r="F1197">
        <f>IF($A1197="","",IF(Sync!$AE1197="",0,Sync!$AE1197))</f>
        <v/>
      </c>
      <c r="G1197">
        <f>IF($A1197="","",IF(Sync!$AF1197="",0,Sync!$AF1197))</f>
        <v/>
      </c>
      <c r="H1197">
        <f>IF(OR($A1197="",ROUND($F1197+$G1197,2)=0),"",$F1197+$G1197)</f>
        <v/>
      </c>
      <c r="I1197">
        <f>IF($H1197="","",IF(ROUND($F1197,2)&gt;0,$A1197,IF($D1197="شخصی قاسم","شخصی قاسم",IF($D1197="هزینه","هزینه: "&amp;IF($E1197="","متفرقه",$E1197),IF($C1197="پاس چک","چک پرداختی",IF(OR($B1197="",COUNTIF(AcctCodesA,$B1197)=0),"متفرقه",$B1197))))))</f>
        <v/>
      </c>
      <c r="J1197">
        <f>IF($H1197="","",IF(ROUND($F1197,2)&gt;0,IF($D1197="شخصی قاسم","شخصی قاسم",IF($D1197="هزینه","هزینه: "&amp;IF($E1197="","متفرقه",$E1197),IF(OR($B1197="",COUNTIF(AcctCodesA,$B1197)=0),"متفرقه",$B1197))),$A1197))</f>
        <v/>
      </c>
      <c r="K1197">
        <f>IF($A1197="","",IF(AND($B1197&lt;&gt;"",COUNTIF(AcctCodesA,$B1197)=0),"کد طرف در INFO تعریف نشده",IF(AND($D1197="هزینه",$E1197=""),"هزینه بدون زیرگروه",IF(AND($C1197="پاس چک",OR(Sync!$AJ1197="",COUNTIF(IssueNosA,Sync!$AJ1197)=0)),"شماره چک پاس‌شده معتبر نیست",""))))</f>
        <v/>
      </c>
      <c r="V1197">
        <f>IF($K1197="","",IF(ISNUMBER(Sync!$AK1197),Sync!$AK1197,LEFT(Sync!$AK1197,4)&amp;MID(Sync!$AK1197,6,2)&amp;RIGHT(Sync!$AK1197,2))&amp;"|"&amp;"4"&amp;RIGHT("00000"&amp;1192,5))</f>
        <v/>
      </c>
      <c r="W1197">
        <f>IF($V1197="",0,COUNTIFS($V$6:$V$2005,"&lt;"&amp;$V1197)-COUNTIFS($V$6:$V$2005,"&lt;"&amp;$V1197,$K$6:$K$2005,"")+1)</f>
        <v/>
      </c>
    </row>
    <row r="1198">
      <c r="A1198">
        <f>IF(Sync!$Z1198="","",LEFT(UPPER(TRIM(Sync!$Z1198)),6))</f>
        <v/>
      </c>
      <c r="B1198">
        <f>IF($A1198="","",IF(Sync!$AA1198="","",Sync!$AA1198))</f>
        <v/>
      </c>
      <c r="C1198">
        <f>IF($A1198="","",IF(Sync!$AB1198="","",Sync!$AB1198))</f>
        <v/>
      </c>
      <c r="D1198">
        <f>IF($A1198="","",IF(Sync!$AC1198="","",Sync!$AC1198))</f>
        <v/>
      </c>
      <c r="E1198">
        <f>IF($A1198="","",IF(Sync!$AD1198="","",Sync!$AD1198))</f>
        <v/>
      </c>
      <c r="F1198">
        <f>IF($A1198="","",IF(Sync!$AE1198="",0,Sync!$AE1198))</f>
        <v/>
      </c>
      <c r="G1198">
        <f>IF($A1198="","",IF(Sync!$AF1198="",0,Sync!$AF1198))</f>
        <v/>
      </c>
      <c r="H1198">
        <f>IF(OR($A1198="",ROUND($F1198+$G1198,2)=0),"",$F1198+$G1198)</f>
        <v/>
      </c>
      <c r="I1198">
        <f>IF($H1198="","",IF(ROUND($F1198,2)&gt;0,$A1198,IF($D1198="شخصی قاسم","شخصی قاسم",IF($D1198="هزینه","هزینه: "&amp;IF($E1198="","متفرقه",$E1198),IF($C1198="پاس چک","چک پرداختی",IF(OR($B1198="",COUNTIF(AcctCodesA,$B1198)=0),"متفرقه",$B1198))))))</f>
        <v/>
      </c>
      <c r="J1198">
        <f>IF($H1198="","",IF(ROUND($F1198,2)&gt;0,IF($D1198="شخصی قاسم","شخصی قاسم",IF($D1198="هزینه","هزینه: "&amp;IF($E1198="","متفرقه",$E1198),IF(OR($B1198="",COUNTIF(AcctCodesA,$B1198)=0),"متفرقه",$B1198))),$A1198))</f>
        <v/>
      </c>
      <c r="K1198">
        <f>IF($A1198="","",IF(AND($B1198&lt;&gt;"",COUNTIF(AcctCodesA,$B1198)=0),"کد طرف در INFO تعریف نشده",IF(AND($D1198="هزینه",$E1198=""),"هزینه بدون زیرگروه",IF(AND($C1198="پاس چک",OR(Sync!$AJ1198="",COUNTIF(IssueNosA,Sync!$AJ1198)=0)),"شماره چک پاس‌شده معتبر نیست",""))))</f>
        <v/>
      </c>
      <c r="V1198">
        <f>IF($K1198="","",IF(ISNUMBER(Sync!$AK1198),Sync!$AK1198,LEFT(Sync!$AK1198,4)&amp;MID(Sync!$AK1198,6,2)&amp;RIGHT(Sync!$AK1198,2))&amp;"|"&amp;"4"&amp;RIGHT("00000"&amp;1193,5))</f>
        <v/>
      </c>
      <c r="W1198">
        <f>IF($V1198="",0,COUNTIFS($V$6:$V$2005,"&lt;"&amp;$V1198)-COUNTIFS($V$6:$V$2005,"&lt;"&amp;$V1198,$K$6:$K$2005,"")+1)</f>
        <v/>
      </c>
    </row>
    <row r="1199">
      <c r="A1199">
        <f>IF(Sync!$Z1199="","",LEFT(UPPER(TRIM(Sync!$Z1199)),6))</f>
        <v/>
      </c>
      <c r="B1199">
        <f>IF($A1199="","",IF(Sync!$AA1199="","",Sync!$AA1199))</f>
        <v/>
      </c>
      <c r="C1199">
        <f>IF($A1199="","",IF(Sync!$AB1199="","",Sync!$AB1199))</f>
        <v/>
      </c>
      <c r="D1199">
        <f>IF($A1199="","",IF(Sync!$AC1199="","",Sync!$AC1199))</f>
        <v/>
      </c>
      <c r="E1199">
        <f>IF($A1199="","",IF(Sync!$AD1199="","",Sync!$AD1199))</f>
        <v/>
      </c>
      <c r="F1199">
        <f>IF($A1199="","",IF(Sync!$AE1199="",0,Sync!$AE1199))</f>
        <v/>
      </c>
      <c r="G1199">
        <f>IF($A1199="","",IF(Sync!$AF1199="",0,Sync!$AF1199))</f>
        <v/>
      </c>
      <c r="H1199">
        <f>IF(OR($A1199="",ROUND($F1199+$G1199,2)=0),"",$F1199+$G1199)</f>
        <v/>
      </c>
      <c r="I1199">
        <f>IF($H1199="","",IF(ROUND($F1199,2)&gt;0,$A1199,IF($D1199="شخصی قاسم","شخصی قاسم",IF($D1199="هزینه","هزینه: "&amp;IF($E1199="","متفرقه",$E1199),IF($C1199="پاس چک","چک پرداختی",IF(OR($B1199="",COUNTIF(AcctCodesA,$B1199)=0),"متفرقه",$B1199))))))</f>
        <v/>
      </c>
      <c r="J1199">
        <f>IF($H1199="","",IF(ROUND($F1199,2)&gt;0,IF($D1199="شخصی قاسم","شخصی قاسم",IF($D1199="هزینه","هزینه: "&amp;IF($E1199="","متفرقه",$E1199),IF(OR($B1199="",COUNTIF(AcctCodesA,$B1199)=0),"متفرقه",$B1199))),$A1199))</f>
        <v/>
      </c>
      <c r="K1199">
        <f>IF($A1199="","",IF(AND($B1199&lt;&gt;"",COUNTIF(AcctCodesA,$B1199)=0),"کد طرف در INFO تعریف نشده",IF(AND($D1199="هزینه",$E1199=""),"هزینه بدون زیرگروه",IF(AND($C1199="پاس چک",OR(Sync!$AJ1199="",COUNTIF(IssueNosA,Sync!$AJ1199)=0)),"شماره چک پاس‌شده معتبر نیست",""))))</f>
        <v/>
      </c>
      <c r="V1199">
        <f>IF($K1199="","",IF(ISNUMBER(Sync!$AK1199),Sync!$AK1199,LEFT(Sync!$AK1199,4)&amp;MID(Sync!$AK1199,6,2)&amp;RIGHT(Sync!$AK1199,2))&amp;"|"&amp;"4"&amp;RIGHT("00000"&amp;1194,5))</f>
        <v/>
      </c>
      <c r="W1199">
        <f>IF($V1199="",0,COUNTIFS($V$6:$V$2005,"&lt;"&amp;$V1199)-COUNTIFS($V$6:$V$2005,"&lt;"&amp;$V1199,$K$6:$K$2005,"")+1)</f>
        <v/>
      </c>
    </row>
    <row r="1200">
      <c r="A1200">
        <f>IF(Sync!$Z1200="","",LEFT(UPPER(TRIM(Sync!$Z1200)),6))</f>
        <v/>
      </c>
      <c r="B1200">
        <f>IF($A1200="","",IF(Sync!$AA1200="","",Sync!$AA1200))</f>
        <v/>
      </c>
      <c r="C1200">
        <f>IF($A1200="","",IF(Sync!$AB1200="","",Sync!$AB1200))</f>
        <v/>
      </c>
      <c r="D1200">
        <f>IF($A1200="","",IF(Sync!$AC1200="","",Sync!$AC1200))</f>
        <v/>
      </c>
      <c r="E1200">
        <f>IF($A1200="","",IF(Sync!$AD1200="","",Sync!$AD1200))</f>
        <v/>
      </c>
      <c r="F1200">
        <f>IF($A1200="","",IF(Sync!$AE1200="",0,Sync!$AE1200))</f>
        <v/>
      </c>
      <c r="G1200">
        <f>IF($A1200="","",IF(Sync!$AF1200="",0,Sync!$AF1200))</f>
        <v/>
      </c>
      <c r="H1200">
        <f>IF(OR($A1200="",ROUND($F1200+$G1200,2)=0),"",$F1200+$G1200)</f>
        <v/>
      </c>
      <c r="I1200">
        <f>IF($H1200="","",IF(ROUND($F1200,2)&gt;0,$A1200,IF($D1200="شخصی قاسم","شخصی قاسم",IF($D1200="هزینه","هزینه: "&amp;IF($E1200="","متفرقه",$E1200),IF($C1200="پاس چک","چک پرداختی",IF(OR($B1200="",COUNTIF(AcctCodesA,$B1200)=0),"متفرقه",$B1200))))))</f>
        <v/>
      </c>
      <c r="J1200">
        <f>IF($H1200="","",IF(ROUND($F1200,2)&gt;0,IF($D1200="شخصی قاسم","شخصی قاسم",IF($D1200="هزینه","هزینه: "&amp;IF($E1200="","متفرقه",$E1200),IF(OR($B1200="",COUNTIF(AcctCodesA,$B1200)=0),"متفرقه",$B1200))),$A1200))</f>
        <v/>
      </c>
      <c r="K1200">
        <f>IF($A1200="","",IF(AND($B1200&lt;&gt;"",COUNTIF(AcctCodesA,$B1200)=0),"کد طرف در INFO تعریف نشده",IF(AND($D1200="هزینه",$E1200=""),"هزینه بدون زیرگروه",IF(AND($C1200="پاس چک",OR(Sync!$AJ1200="",COUNTIF(IssueNosA,Sync!$AJ1200)=0)),"شماره چک پاس‌شده معتبر نیست",""))))</f>
        <v/>
      </c>
      <c r="V1200">
        <f>IF($K1200="","",IF(ISNUMBER(Sync!$AK1200),Sync!$AK1200,LEFT(Sync!$AK1200,4)&amp;MID(Sync!$AK1200,6,2)&amp;RIGHT(Sync!$AK1200,2))&amp;"|"&amp;"4"&amp;RIGHT("00000"&amp;1195,5))</f>
        <v/>
      </c>
      <c r="W1200">
        <f>IF($V1200="",0,COUNTIFS($V$6:$V$2005,"&lt;"&amp;$V1200)-COUNTIFS($V$6:$V$2005,"&lt;"&amp;$V1200,$K$6:$K$2005,"")+1)</f>
        <v/>
      </c>
    </row>
    <row r="1201">
      <c r="A1201">
        <f>IF(Sync!$Z1201="","",LEFT(UPPER(TRIM(Sync!$Z1201)),6))</f>
        <v/>
      </c>
      <c r="B1201">
        <f>IF($A1201="","",IF(Sync!$AA1201="","",Sync!$AA1201))</f>
        <v/>
      </c>
      <c r="C1201">
        <f>IF($A1201="","",IF(Sync!$AB1201="","",Sync!$AB1201))</f>
        <v/>
      </c>
      <c r="D1201">
        <f>IF($A1201="","",IF(Sync!$AC1201="","",Sync!$AC1201))</f>
        <v/>
      </c>
      <c r="E1201">
        <f>IF($A1201="","",IF(Sync!$AD1201="","",Sync!$AD1201))</f>
        <v/>
      </c>
      <c r="F1201">
        <f>IF($A1201="","",IF(Sync!$AE1201="",0,Sync!$AE1201))</f>
        <v/>
      </c>
      <c r="G1201">
        <f>IF($A1201="","",IF(Sync!$AF1201="",0,Sync!$AF1201))</f>
        <v/>
      </c>
      <c r="H1201">
        <f>IF(OR($A1201="",ROUND($F1201+$G1201,2)=0),"",$F1201+$G1201)</f>
        <v/>
      </c>
      <c r="I1201">
        <f>IF($H1201="","",IF(ROUND($F1201,2)&gt;0,$A1201,IF($D1201="شخصی قاسم","شخصی قاسم",IF($D1201="هزینه","هزینه: "&amp;IF($E1201="","متفرقه",$E1201),IF($C1201="پاس چک","چک پرداختی",IF(OR($B1201="",COUNTIF(AcctCodesA,$B1201)=0),"متفرقه",$B1201))))))</f>
        <v/>
      </c>
      <c r="J1201">
        <f>IF($H1201="","",IF(ROUND($F1201,2)&gt;0,IF($D1201="شخصی قاسم","شخصی قاسم",IF($D1201="هزینه","هزینه: "&amp;IF($E1201="","متفرقه",$E1201),IF(OR($B1201="",COUNTIF(AcctCodesA,$B1201)=0),"متفرقه",$B1201))),$A1201))</f>
        <v/>
      </c>
      <c r="K1201">
        <f>IF($A1201="","",IF(AND($B1201&lt;&gt;"",COUNTIF(AcctCodesA,$B1201)=0),"کد طرف در INFO تعریف نشده",IF(AND($D1201="هزینه",$E1201=""),"هزینه بدون زیرگروه",IF(AND($C1201="پاس چک",OR(Sync!$AJ1201="",COUNTIF(IssueNosA,Sync!$AJ1201)=0)),"شماره چک پاس‌شده معتبر نیست",""))))</f>
        <v/>
      </c>
      <c r="V1201">
        <f>IF($K1201="","",IF(ISNUMBER(Sync!$AK1201),Sync!$AK1201,LEFT(Sync!$AK1201,4)&amp;MID(Sync!$AK1201,6,2)&amp;RIGHT(Sync!$AK1201,2))&amp;"|"&amp;"4"&amp;RIGHT("00000"&amp;1196,5))</f>
        <v/>
      </c>
      <c r="W1201">
        <f>IF($V1201="",0,COUNTIFS($V$6:$V$2005,"&lt;"&amp;$V1201)-COUNTIFS($V$6:$V$2005,"&lt;"&amp;$V1201,$K$6:$K$2005,"")+1)</f>
        <v/>
      </c>
    </row>
    <row r="1202">
      <c r="A1202">
        <f>IF(Sync!$Z1202="","",LEFT(UPPER(TRIM(Sync!$Z1202)),6))</f>
        <v/>
      </c>
      <c r="B1202">
        <f>IF($A1202="","",IF(Sync!$AA1202="","",Sync!$AA1202))</f>
        <v/>
      </c>
      <c r="C1202">
        <f>IF($A1202="","",IF(Sync!$AB1202="","",Sync!$AB1202))</f>
        <v/>
      </c>
      <c r="D1202">
        <f>IF($A1202="","",IF(Sync!$AC1202="","",Sync!$AC1202))</f>
        <v/>
      </c>
      <c r="E1202">
        <f>IF($A1202="","",IF(Sync!$AD1202="","",Sync!$AD1202))</f>
        <v/>
      </c>
      <c r="F1202">
        <f>IF($A1202="","",IF(Sync!$AE1202="",0,Sync!$AE1202))</f>
        <v/>
      </c>
      <c r="G1202">
        <f>IF($A1202="","",IF(Sync!$AF1202="",0,Sync!$AF1202))</f>
        <v/>
      </c>
      <c r="H1202">
        <f>IF(OR($A1202="",ROUND($F1202+$G1202,2)=0),"",$F1202+$G1202)</f>
        <v/>
      </c>
      <c r="I1202">
        <f>IF($H1202="","",IF(ROUND($F1202,2)&gt;0,$A1202,IF($D1202="شخصی قاسم","شخصی قاسم",IF($D1202="هزینه","هزینه: "&amp;IF($E1202="","متفرقه",$E1202),IF($C1202="پاس چک","چک پرداختی",IF(OR($B1202="",COUNTIF(AcctCodesA,$B1202)=0),"متفرقه",$B1202))))))</f>
        <v/>
      </c>
      <c r="J1202">
        <f>IF($H1202="","",IF(ROUND($F1202,2)&gt;0,IF($D1202="شخصی قاسم","شخصی قاسم",IF($D1202="هزینه","هزینه: "&amp;IF($E1202="","متفرقه",$E1202),IF(OR($B1202="",COUNTIF(AcctCodesA,$B1202)=0),"متفرقه",$B1202))),$A1202))</f>
        <v/>
      </c>
      <c r="K1202">
        <f>IF($A1202="","",IF(AND($B1202&lt;&gt;"",COUNTIF(AcctCodesA,$B1202)=0),"کد طرف در INFO تعریف نشده",IF(AND($D1202="هزینه",$E1202=""),"هزینه بدون زیرگروه",IF(AND($C1202="پاس چک",OR(Sync!$AJ1202="",COUNTIF(IssueNosA,Sync!$AJ1202)=0)),"شماره چک پاس‌شده معتبر نیست",""))))</f>
        <v/>
      </c>
      <c r="V1202">
        <f>IF($K1202="","",IF(ISNUMBER(Sync!$AK1202),Sync!$AK1202,LEFT(Sync!$AK1202,4)&amp;MID(Sync!$AK1202,6,2)&amp;RIGHT(Sync!$AK1202,2))&amp;"|"&amp;"4"&amp;RIGHT("00000"&amp;1197,5))</f>
        <v/>
      </c>
      <c r="W1202">
        <f>IF($V1202="",0,COUNTIFS($V$6:$V$2005,"&lt;"&amp;$V1202)-COUNTIFS($V$6:$V$2005,"&lt;"&amp;$V1202,$K$6:$K$2005,"")+1)</f>
        <v/>
      </c>
    </row>
    <row r="1203">
      <c r="A1203">
        <f>IF(Sync!$Z1203="","",LEFT(UPPER(TRIM(Sync!$Z1203)),6))</f>
        <v/>
      </c>
      <c r="B1203">
        <f>IF($A1203="","",IF(Sync!$AA1203="","",Sync!$AA1203))</f>
        <v/>
      </c>
      <c r="C1203">
        <f>IF($A1203="","",IF(Sync!$AB1203="","",Sync!$AB1203))</f>
        <v/>
      </c>
      <c r="D1203">
        <f>IF($A1203="","",IF(Sync!$AC1203="","",Sync!$AC1203))</f>
        <v/>
      </c>
      <c r="E1203">
        <f>IF($A1203="","",IF(Sync!$AD1203="","",Sync!$AD1203))</f>
        <v/>
      </c>
      <c r="F1203">
        <f>IF($A1203="","",IF(Sync!$AE1203="",0,Sync!$AE1203))</f>
        <v/>
      </c>
      <c r="G1203">
        <f>IF($A1203="","",IF(Sync!$AF1203="",0,Sync!$AF1203))</f>
        <v/>
      </c>
      <c r="H1203">
        <f>IF(OR($A1203="",ROUND($F1203+$G1203,2)=0),"",$F1203+$G1203)</f>
        <v/>
      </c>
      <c r="I1203">
        <f>IF($H1203="","",IF(ROUND($F1203,2)&gt;0,$A1203,IF($D1203="شخصی قاسم","شخصی قاسم",IF($D1203="هزینه","هزینه: "&amp;IF($E1203="","متفرقه",$E1203),IF($C1203="پاس چک","چک پرداختی",IF(OR($B1203="",COUNTIF(AcctCodesA,$B1203)=0),"متفرقه",$B1203))))))</f>
        <v/>
      </c>
      <c r="J1203">
        <f>IF($H1203="","",IF(ROUND($F1203,2)&gt;0,IF($D1203="شخصی قاسم","شخصی قاسم",IF($D1203="هزینه","هزینه: "&amp;IF($E1203="","متفرقه",$E1203),IF(OR($B1203="",COUNTIF(AcctCodesA,$B1203)=0),"متفرقه",$B1203))),$A1203))</f>
        <v/>
      </c>
      <c r="K1203">
        <f>IF($A1203="","",IF(AND($B1203&lt;&gt;"",COUNTIF(AcctCodesA,$B1203)=0),"کد طرف در INFO تعریف نشده",IF(AND($D1203="هزینه",$E1203=""),"هزینه بدون زیرگروه",IF(AND($C1203="پاس چک",OR(Sync!$AJ1203="",COUNTIF(IssueNosA,Sync!$AJ1203)=0)),"شماره چک پاس‌شده معتبر نیست",""))))</f>
        <v/>
      </c>
      <c r="V1203">
        <f>IF($K1203="","",IF(ISNUMBER(Sync!$AK1203),Sync!$AK1203,LEFT(Sync!$AK1203,4)&amp;MID(Sync!$AK1203,6,2)&amp;RIGHT(Sync!$AK1203,2))&amp;"|"&amp;"4"&amp;RIGHT("00000"&amp;1198,5))</f>
        <v/>
      </c>
      <c r="W1203">
        <f>IF($V1203="",0,COUNTIFS($V$6:$V$2005,"&lt;"&amp;$V1203)-COUNTIFS($V$6:$V$2005,"&lt;"&amp;$V1203,$K$6:$K$2005,"")+1)</f>
        <v/>
      </c>
    </row>
    <row r="1204">
      <c r="A1204">
        <f>IF(Sync!$Z1204="","",LEFT(UPPER(TRIM(Sync!$Z1204)),6))</f>
        <v/>
      </c>
      <c r="B1204">
        <f>IF($A1204="","",IF(Sync!$AA1204="","",Sync!$AA1204))</f>
        <v/>
      </c>
      <c r="C1204">
        <f>IF($A1204="","",IF(Sync!$AB1204="","",Sync!$AB1204))</f>
        <v/>
      </c>
      <c r="D1204">
        <f>IF($A1204="","",IF(Sync!$AC1204="","",Sync!$AC1204))</f>
        <v/>
      </c>
      <c r="E1204">
        <f>IF($A1204="","",IF(Sync!$AD1204="","",Sync!$AD1204))</f>
        <v/>
      </c>
      <c r="F1204">
        <f>IF($A1204="","",IF(Sync!$AE1204="",0,Sync!$AE1204))</f>
        <v/>
      </c>
      <c r="G1204">
        <f>IF($A1204="","",IF(Sync!$AF1204="",0,Sync!$AF1204))</f>
        <v/>
      </c>
      <c r="H1204">
        <f>IF(OR($A1204="",ROUND($F1204+$G1204,2)=0),"",$F1204+$G1204)</f>
        <v/>
      </c>
      <c r="I1204">
        <f>IF($H1204="","",IF(ROUND($F1204,2)&gt;0,$A1204,IF($D1204="شخصی قاسم","شخصی قاسم",IF($D1204="هزینه","هزینه: "&amp;IF($E1204="","متفرقه",$E1204),IF($C1204="پاس چک","چک پرداختی",IF(OR($B1204="",COUNTIF(AcctCodesA,$B1204)=0),"متفرقه",$B1204))))))</f>
        <v/>
      </c>
      <c r="J1204">
        <f>IF($H1204="","",IF(ROUND($F1204,2)&gt;0,IF($D1204="شخصی قاسم","شخصی قاسم",IF($D1204="هزینه","هزینه: "&amp;IF($E1204="","متفرقه",$E1204),IF(OR($B1204="",COUNTIF(AcctCodesA,$B1204)=0),"متفرقه",$B1204))),$A1204))</f>
        <v/>
      </c>
      <c r="K1204">
        <f>IF($A1204="","",IF(AND($B1204&lt;&gt;"",COUNTIF(AcctCodesA,$B1204)=0),"کد طرف در INFO تعریف نشده",IF(AND($D1204="هزینه",$E1204=""),"هزینه بدون زیرگروه",IF(AND($C1204="پاس چک",OR(Sync!$AJ1204="",COUNTIF(IssueNosA,Sync!$AJ1204)=0)),"شماره چک پاس‌شده معتبر نیست",""))))</f>
        <v/>
      </c>
      <c r="V1204">
        <f>IF($K1204="","",IF(ISNUMBER(Sync!$AK1204),Sync!$AK1204,LEFT(Sync!$AK1204,4)&amp;MID(Sync!$AK1204,6,2)&amp;RIGHT(Sync!$AK1204,2))&amp;"|"&amp;"4"&amp;RIGHT("00000"&amp;1199,5))</f>
        <v/>
      </c>
      <c r="W1204">
        <f>IF($V1204="",0,COUNTIFS($V$6:$V$2005,"&lt;"&amp;$V1204)-COUNTIFS($V$6:$V$2005,"&lt;"&amp;$V1204,$K$6:$K$2005,"")+1)</f>
        <v/>
      </c>
    </row>
    <row r="1205">
      <c r="A1205">
        <f>IF(Sync!$Z1205="","",LEFT(UPPER(TRIM(Sync!$Z1205)),6))</f>
        <v/>
      </c>
      <c r="B1205">
        <f>IF($A1205="","",IF(Sync!$AA1205="","",Sync!$AA1205))</f>
        <v/>
      </c>
      <c r="C1205">
        <f>IF($A1205="","",IF(Sync!$AB1205="","",Sync!$AB1205))</f>
        <v/>
      </c>
      <c r="D1205">
        <f>IF($A1205="","",IF(Sync!$AC1205="","",Sync!$AC1205))</f>
        <v/>
      </c>
      <c r="E1205">
        <f>IF($A1205="","",IF(Sync!$AD1205="","",Sync!$AD1205))</f>
        <v/>
      </c>
      <c r="F1205">
        <f>IF($A1205="","",IF(Sync!$AE1205="",0,Sync!$AE1205))</f>
        <v/>
      </c>
      <c r="G1205">
        <f>IF($A1205="","",IF(Sync!$AF1205="",0,Sync!$AF1205))</f>
        <v/>
      </c>
      <c r="H1205">
        <f>IF(OR($A1205="",ROUND($F1205+$G1205,2)=0),"",$F1205+$G1205)</f>
        <v/>
      </c>
      <c r="I1205">
        <f>IF($H1205="","",IF(ROUND($F1205,2)&gt;0,$A1205,IF($D1205="شخصی قاسم","شخصی قاسم",IF($D1205="هزینه","هزینه: "&amp;IF($E1205="","متفرقه",$E1205),IF($C1205="پاس چک","چک پرداختی",IF(OR($B1205="",COUNTIF(AcctCodesA,$B1205)=0),"متفرقه",$B1205))))))</f>
        <v/>
      </c>
      <c r="J1205">
        <f>IF($H1205="","",IF(ROUND($F1205,2)&gt;0,IF($D1205="شخصی قاسم","شخصی قاسم",IF($D1205="هزینه","هزینه: "&amp;IF($E1205="","متفرقه",$E1205),IF(OR($B1205="",COUNTIF(AcctCodesA,$B1205)=0),"متفرقه",$B1205))),$A1205))</f>
        <v/>
      </c>
      <c r="K1205">
        <f>IF($A1205="","",IF(AND($B1205&lt;&gt;"",COUNTIF(AcctCodesA,$B1205)=0),"کد طرف در INFO تعریف نشده",IF(AND($D1205="هزینه",$E1205=""),"هزینه بدون زیرگروه",IF(AND($C1205="پاس چک",OR(Sync!$AJ1205="",COUNTIF(IssueNosA,Sync!$AJ1205)=0)),"شماره چک پاس‌شده معتبر نیست",""))))</f>
        <v/>
      </c>
      <c r="V1205">
        <f>IF($K1205="","",IF(ISNUMBER(Sync!$AK1205),Sync!$AK1205,LEFT(Sync!$AK1205,4)&amp;MID(Sync!$AK1205,6,2)&amp;RIGHT(Sync!$AK1205,2))&amp;"|"&amp;"4"&amp;RIGHT("00000"&amp;1200,5))</f>
        <v/>
      </c>
      <c r="W1205">
        <f>IF($V1205="",0,COUNTIFS($V$6:$V$2005,"&lt;"&amp;$V1205)-COUNTIFS($V$6:$V$2005,"&lt;"&amp;$V1205,$K$6:$K$2005,"")+1)</f>
        <v/>
      </c>
    </row>
    <row r="1206">
      <c r="A1206">
        <f>IF(Sync!$Z1206="","",LEFT(UPPER(TRIM(Sync!$Z1206)),6))</f>
        <v/>
      </c>
      <c r="B1206">
        <f>IF($A1206="","",IF(Sync!$AA1206="","",Sync!$AA1206))</f>
        <v/>
      </c>
      <c r="C1206">
        <f>IF($A1206="","",IF(Sync!$AB1206="","",Sync!$AB1206))</f>
        <v/>
      </c>
      <c r="D1206">
        <f>IF($A1206="","",IF(Sync!$AC1206="","",Sync!$AC1206))</f>
        <v/>
      </c>
      <c r="E1206">
        <f>IF($A1206="","",IF(Sync!$AD1206="","",Sync!$AD1206))</f>
        <v/>
      </c>
      <c r="F1206">
        <f>IF($A1206="","",IF(Sync!$AE1206="",0,Sync!$AE1206))</f>
        <v/>
      </c>
      <c r="G1206">
        <f>IF($A1206="","",IF(Sync!$AF1206="",0,Sync!$AF1206))</f>
        <v/>
      </c>
      <c r="H1206">
        <f>IF(OR($A1206="",ROUND($F1206+$G1206,2)=0),"",$F1206+$G1206)</f>
        <v/>
      </c>
      <c r="I1206">
        <f>IF($H1206="","",IF(ROUND($F1206,2)&gt;0,$A1206,IF($D1206="شخصی قاسم","شخصی قاسم",IF($D1206="هزینه","هزینه: "&amp;IF($E1206="","متفرقه",$E1206),IF($C1206="پاس چک","چک پرداختی",IF(OR($B1206="",COUNTIF(AcctCodesA,$B1206)=0),"متفرقه",$B1206))))))</f>
        <v/>
      </c>
      <c r="J1206">
        <f>IF($H1206="","",IF(ROUND($F1206,2)&gt;0,IF($D1206="شخصی قاسم","شخصی قاسم",IF($D1206="هزینه","هزینه: "&amp;IF($E1206="","متفرقه",$E1206),IF(OR($B1206="",COUNTIF(AcctCodesA,$B1206)=0),"متفرقه",$B1206))),$A1206))</f>
        <v/>
      </c>
      <c r="K1206">
        <f>IF($A1206="","",IF(AND($B1206&lt;&gt;"",COUNTIF(AcctCodesA,$B1206)=0),"کد طرف در INFO تعریف نشده",IF(AND($D1206="هزینه",$E1206=""),"هزینه بدون زیرگروه",IF(AND($C1206="پاس چک",OR(Sync!$AJ1206="",COUNTIF(IssueNosA,Sync!$AJ1206)=0)),"شماره چک پاس‌شده معتبر نیست",""))))</f>
        <v/>
      </c>
      <c r="V1206">
        <f>IF($K1206="","",IF(ISNUMBER(Sync!$AK1206),Sync!$AK1206,LEFT(Sync!$AK1206,4)&amp;MID(Sync!$AK1206,6,2)&amp;RIGHT(Sync!$AK1206,2))&amp;"|"&amp;"4"&amp;RIGHT("00000"&amp;1201,5))</f>
        <v/>
      </c>
      <c r="W1206">
        <f>IF($V1206="",0,COUNTIFS($V$6:$V$2005,"&lt;"&amp;$V1206)-COUNTIFS($V$6:$V$2005,"&lt;"&amp;$V1206,$K$6:$K$2005,"")+1)</f>
        <v/>
      </c>
    </row>
    <row r="1207">
      <c r="A1207">
        <f>IF(Sync!$Z1207="","",LEFT(UPPER(TRIM(Sync!$Z1207)),6))</f>
        <v/>
      </c>
      <c r="B1207">
        <f>IF($A1207="","",IF(Sync!$AA1207="","",Sync!$AA1207))</f>
        <v/>
      </c>
      <c r="C1207">
        <f>IF($A1207="","",IF(Sync!$AB1207="","",Sync!$AB1207))</f>
        <v/>
      </c>
      <c r="D1207">
        <f>IF($A1207="","",IF(Sync!$AC1207="","",Sync!$AC1207))</f>
        <v/>
      </c>
      <c r="E1207">
        <f>IF($A1207="","",IF(Sync!$AD1207="","",Sync!$AD1207))</f>
        <v/>
      </c>
      <c r="F1207">
        <f>IF($A1207="","",IF(Sync!$AE1207="",0,Sync!$AE1207))</f>
        <v/>
      </c>
      <c r="G1207">
        <f>IF($A1207="","",IF(Sync!$AF1207="",0,Sync!$AF1207))</f>
        <v/>
      </c>
      <c r="H1207">
        <f>IF(OR($A1207="",ROUND($F1207+$G1207,2)=0),"",$F1207+$G1207)</f>
        <v/>
      </c>
      <c r="I1207">
        <f>IF($H1207="","",IF(ROUND($F1207,2)&gt;0,$A1207,IF($D1207="شخصی قاسم","شخصی قاسم",IF($D1207="هزینه","هزینه: "&amp;IF($E1207="","متفرقه",$E1207),IF($C1207="پاس چک","چک پرداختی",IF(OR($B1207="",COUNTIF(AcctCodesA,$B1207)=0),"متفرقه",$B1207))))))</f>
        <v/>
      </c>
      <c r="J1207">
        <f>IF($H1207="","",IF(ROUND($F1207,2)&gt;0,IF($D1207="شخصی قاسم","شخصی قاسم",IF($D1207="هزینه","هزینه: "&amp;IF($E1207="","متفرقه",$E1207),IF(OR($B1207="",COUNTIF(AcctCodesA,$B1207)=0),"متفرقه",$B1207))),$A1207))</f>
        <v/>
      </c>
      <c r="K1207">
        <f>IF($A1207="","",IF(AND($B1207&lt;&gt;"",COUNTIF(AcctCodesA,$B1207)=0),"کد طرف در INFO تعریف نشده",IF(AND($D1207="هزینه",$E1207=""),"هزینه بدون زیرگروه",IF(AND($C1207="پاس چک",OR(Sync!$AJ1207="",COUNTIF(IssueNosA,Sync!$AJ1207)=0)),"شماره چک پاس‌شده معتبر نیست",""))))</f>
        <v/>
      </c>
      <c r="V1207">
        <f>IF($K1207="","",IF(ISNUMBER(Sync!$AK1207),Sync!$AK1207,LEFT(Sync!$AK1207,4)&amp;MID(Sync!$AK1207,6,2)&amp;RIGHT(Sync!$AK1207,2))&amp;"|"&amp;"4"&amp;RIGHT("00000"&amp;1202,5))</f>
        <v/>
      </c>
      <c r="W1207">
        <f>IF($V1207="",0,COUNTIFS($V$6:$V$2005,"&lt;"&amp;$V1207)-COUNTIFS($V$6:$V$2005,"&lt;"&amp;$V1207,$K$6:$K$2005,"")+1)</f>
        <v/>
      </c>
    </row>
    <row r="1208">
      <c r="A1208">
        <f>IF(Sync!$Z1208="","",LEFT(UPPER(TRIM(Sync!$Z1208)),6))</f>
        <v/>
      </c>
      <c r="B1208">
        <f>IF($A1208="","",IF(Sync!$AA1208="","",Sync!$AA1208))</f>
        <v/>
      </c>
      <c r="C1208">
        <f>IF($A1208="","",IF(Sync!$AB1208="","",Sync!$AB1208))</f>
        <v/>
      </c>
      <c r="D1208">
        <f>IF($A1208="","",IF(Sync!$AC1208="","",Sync!$AC1208))</f>
        <v/>
      </c>
      <c r="E1208">
        <f>IF($A1208="","",IF(Sync!$AD1208="","",Sync!$AD1208))</f>
        <v/>
      </c>
      <c r="F1208">
        <f>IF($A1208="","",IF(Sync!$AE1208="",0,Sync!$AE1208))</f>
        <v/>
      </c>
      <c r="G1208">
        <f>IF($A1208="","",IF(Sync!$AF1208="",0,Sync!$AF1208))</f>
        <v/>
      </c>
      <c r="H1208">
        <f>IF(OR($A1208="",ROUND($F1208+$G1208,2)=0),"",$F1208+$G1208)</f>
        <v/>
      </c>
      <c r="I1208">
        <f>IF($H1208="","",IF(ROUND($F1208,2)&gt;0,$A1208,IF($D1208="شخصی قاسم","شخصی قاسم",IF($D1208="هزینه","هزینه: "&amp;IF($E1208="","متفرقه",$E1208),IF($C1208="پاس چک","چک پرداختی",IF(OR($B1208="",COUNTIF(AcctCodesA,$B1208)=0),"متفرقه",$B1208))))))</f>
        <v/>
      </c>
      <c r="J1208">
        <f>IF($H1208="","",IF(ROUND($F1208,2)&gt;0,IF($D1208="شخصی قاسم","شخصی قاسم",IF($D1208="هزینه","هزینه: "&amp;IF($E1208="","متفرقه",$E1208),IF(OR($B1208="",COUNTIF(AcctCodesA,$B1208)=0),"متفرقه",$B1208))),$A1208))</f>
        <v/>
      </c>
      <c r="K1208">
        <f>IF($A1208="","",IF(AND($B1208&lt;&gt;"",COUNTIF(AcctCodesA,$B1208)=0),"کد طرف در INFO تعریف نشده",IF(AND($D1208="هزینه",$E1208=""),"هزینه بدون زیرگروه",IF(AND($C1208="پاس چک",OR(Sync!$AJ1208="",COUNTIF(IssueNosA,Sync!$AJ1208)=0)),"شماره چک پاس‌شده معتبر نیست",""))))</f>
        <v/>
      </c>
      <c r="V1208">
        <f>IF($K1208="","",IF(ISNUMBER(Sync!$AK1208),Sync!$AK1208,LEFT(Sync!$AK1208,4)&amp;MID(Sync!$AK1208,6,2)&amp;RIGHT(Sync!$AK1208,2))&amp;"|"&amp;"4"&amp;RIGHT("00000"&amp;1203,5))</f>
        <v/>
      </c>
      <c r="W1208">
        <f>IF($V1208="",0,COUNTIFS($V$6:$V$2005,"&lt;"&amp;$V1208)-COUNTIFS($V$6:$V$2005,"&lt;"&amp;$V1208,$K$6:$K$2005,"")+1)</f>
        <v/>
      </c>
    </row>
    <row r="1209">
      <c r="A1209">
        <f>IF(Sync!$Z1209="","",LEFT(UPPER(TRIM(Sync!$Z1209)),6))</f>
        <v/>
      </c>
      <c r="B1209">
        <f>IF($A1209="","",IF(Sync!$AA1209="","",Sync!$AA1209))</f>
        <v/>
      </c>
      <c r="C1209">
        <f>IF($A1209="","",IF(Sync!$AB1209="","",Sync!$AB1209))</f>
        <v/>
      </c>
      <c r="D1209">
        <f>IF($A1209="","",IF(Sync!$AC1209="","",Sync!$AC1209))</f>
        <v/>
      </c>
      <c r="E1209">
        <f>IF($A1209="","",IF(Sync!$AD1209="","",Sync!$AD1209))</f>
        <v/>
      </c>
      <c r="F1209">
        <f>IF($A1209="","",IF(Sync!$AE1209="",0,Sync!$AE1209))</f>
        <v/>
      </c>
      <c r="G1209">
        <f>IF($A1209="","",IF(Sync!$AF1209="",0,Sync!$AF1209))</f>
        <v/>
      </c>
      <c r="H1209">
        <f>IF(OR($A1209="",ROUND($F1209+$G1209,2)=0),"",$F1209+$G1209)</f>
        <v/>
      </c>
      <c r="I1209">
        <f>IF($H1209="","",IF(ROUND($F1209,2)&gt;0,$A1209,IF($D1209="شخصی قاسم","شخصی قاسم",IF($D1209="هزینه","هزینه: "&amp;IF($E1209="","متفرقه",$E1209),IF($C1209="پاس چک","چک پرداختی",IF(OR($B1209="",COUNTIF(AcctCodesA,$B1209)=0),"متفرقه",$B1209))))))</f>
        <v/>
      </c>
      <c r="J1209">
        <f>IF($H1209="","",IF(ROUND($F1209,2)&gt;0,IF($D1209="شخصی قاسم","شخصی قاسم",IF($D1209="هزینه","هزینه: "&amp;IF($E1209="","متفرقه",$E1209),IF(OR($B1209="",COUNTIF(AcctCodesA,$B1209)=0),"متفرقه",$B1209))),$A1209))</f>
        <v/>
      </c>
      <c r="K1209">
        <f>IF($A1209="","",IF(AND($B1209&lt;&gt;"",COUNTIF(AcctCodesA,$B1209)=0),"کد طرف در INFO تعریف نشده",IF(AND($D1209="هزینه",$E1209=""),"هزینه بدون زیرگروه",IF(AND($C1209="پاس چک",OR(Sync!$AJ1209="",COUNTIF(IssueNosA,Sync!$AJ1209)=0)),"شماره چک پاس‌شده معتبر نیست",""))))</f>
        <v/>
      </c>
      <c r="V1209">
        <f>IF($K1209="","",IF(ISNUMBER(Sync!$AK1209),Sync!$AK1209,LEFT(Sync!$AK1209,4)&amp;MID(Sync!$AK1209,6,2)&amp;RIGHT(Sync!$AK1209,2))&amp;"|"&amp;"4"&amp;RIGHT("00000"&amp;1204,5))</f>
        <v/>
      </c>
      <c r="W1209">
        <f>IF($V1209="",0,COUNTIFS($V$6:$V$2005,"&lt;"&amp;$V1209)-COUNTIFS($V$6:$V$2005,"&lt;"&amp;$V1209,$K$6:$K$2005,"")+1)</f>
        <v/>
      </c>
    </row>
    <row r="1210">
      <c r="A1210">
        <f>IF(Sync!$Z1210="","",LEFT(UPPER(TRIM(Sync!$Z1210)),6))</f>
        <v/>
      </c>
      <c r="B1210">
        <f>IF($A1210="","",IF(Sync!$AA1210="","",Sync!$AA1210))</f>
        <v/>
      </c>
      <c r="C1210">
        <f>IF($A1210="","",IF(Sync!$AB1210="","",Sync!$AB1210))</f>
        <v/>
      </c>
      <c r="D1210">
        <f>IF($A1210="","",IF(Sync!$AC1210="","",Sync!$AC1210))</f>
        <v/>
      </c>
      <c r="E1210">
        <f>IF($A1210="","",IF(Sync!$AD1210="","",Sync!$AD1210))</f>
        <v/>
      </c>
      <c r="F1210">
        <f>IF($A1210="","",IF(Sync!$AE1210="",0,Sync!$AE1210))</f>
        <v/>
      </c>
      <c r="G1210">
        <f>IF($A1210="","",IF(Sync!$AF1210="",0,Sync!$AF1210))</f>
        <v/>
      </c>
      <c r="H1210">
        <f>IF(OR($A1210="",ROUND($F1210+$G1210,2)=0),"",$F1210+$G1210)</f>
        <v/>
      </c>
      <c r="I1210">
        <f>IF($H1210="","",IF(ROUND($F1210,2)&gt;0,$A1210,IF($D1210="شخصی قاسم","شخصی قاسم",IF($D1210="هزینه","هزینه: "&amp;IF($E1210="","متفرقه",$E1210),IF($C1210="پاس چک","چک پرداختی",IF(OR($B1210="",COUNTIF(AcctCodesA,$B1210)=0),"متفرقه",$B1210))))))</f>
        <v/>
      </c>
      <c r="J1210">
        <f>IF($H1210="","",IF(ROUND($F1210,2)&gt;0,IF($D1210="شخصی قاسم","شخصی قاسم",IF($D1210="هزینه","هزینه: "&amp;IF($E1210="","متفرقه",$E1210),IF(OR($B1210="",COUNTIF(AcctCodesA,$B1210)=0),"متفرقه",$B1210))),$A1210))</f>
        <v/>
      </c>
      <c r="K1210">
        <f>IF($A1210="","",IF(AND($B1210&lt;&gt;"",COUNTIF(AcctCodesA,$B1210)=0),"کد طرف در INFO تعریف نشده",IF(AND($D1210="هزینه",$E1210=""),"هزینه بدون زیرگروه",IF(AND($C1210="پاس چک",OR(Sync!$AJ1210="",COUNTIF(IssueNosA,Sync!$AJ1210)=0)),"شماره چک پاس‌شده معتبر نیست",""))))</f>
        <v/>
      </c>
      <c r="V1210">
        <f>IF($K1210="","",IF(ISNUMBER(Sync!$AK1210),Sync!$AK1210,LEFT(Sync!$AK1210,4)&amp;MID(Sync!$AK1210,6,2)&amp;RIGHT(Sync!$AK1210,2))&amp;"|"&amp;"4"&amp;RIGHT("00000"&amp;1205,5))</f>
        <v/>
      </c>
      <c r="W1210">
        <f>IF($V1210="",0,COUNTIFS($V$6:$V$2005,"&lt;"&amp;$V1210)-COUNTIFS($V$6:$V$2005,"&lt;"&amp;$V1210,$K$6:$K$2005,"")+1)</f>
        <v/>
      </c>
    </row>
    <row r="1211">
      <c r="A1211">
        <f>IF(Sync!$Z1211="","",LEFT(UPPER(TRIM(Sync!$Z1211)),6))</f>
        <v/>
      </c>
      <c r="B1211">
        <f>IF($A1211="","",IF(Sync!$AA1211="","",Sync!$AA1211))</f>
        <v/>
      </c>
      <c r="C1211">
        <f>IF($A1211="","",IF(Sync!$AB1211="","",Sync!$AB1211))</f>
        <v/>
      </c>
      <c r="D1211">
        <f>IF($A1211="","",IF(Sync!$AC1211="","",Sync!$AC1211))</f>
        <v/>
      </c>
      <c r="E1211">
        <f>IF($A1211="","",IF(Sync!$AD1211="","",Sync!$AD1211))</f>
        <v/>
      </c>
      <c r="F1211">
        <f>IF($A1211="","",IF(Sync!$AE1211="",0,Sync!$AE1211))</f>
        <v/>
      </c>
      <c r="G1211">
        <f>IF($A1211="","",IF(Sync!$AF1211="",0,Sync!$AF1211))</f>
        <v/>
      </c>
      <c r="H1211">
        <f>IF(OR($A1211="",ROUND($F1211+$G1211,2)=0),"",$F1211+$G1211)</f>
        <v/>
      </c>
      <c r="I1211">
        <f>IF($H1211="","",IF(ROUND($F1211,2)&gt;0,$A1211,IF($D1211="شخصی قاسم","شخصی قاسم",IF($D1211="هزینه","هزینه: "&amp;IF($E1211="","متفرقه",$E1211),IF($C1211="پاس چک","چک پرداختی",IF(OR($B1211="",COUNTIF(AcctCodesA,$B1211)=0),"متفرقه",$B1211))))))</f>
        <v/>
      </c>
      <c r="J1211">
        <f>IF($H1211="","",IF(ROUND($F1211,2)&gt;0,IF($D1211="شخصی قاسم","شخصی قاسم",IF($D1211="هزینه","هزینه: "&amp;IF($E1211="","متفرقه",$E1211),IF(OR($B1211="",COUNTIF(AcctCodesA,$B1211)=0),"متفرقه",$B1211))),$A1211))</f>
        <v/>
      </c>
      <c r="K1211">
        <f>IF($A1211="","",IF(AND($B1211&lt;&gt;"",COUNTIF(AcctCodesA,$B1211)=0),"کد طرف در INFO تعریف نشده",IF(AND($D1211="هزینه",$E1211=""),"هزینه بدون زیرگروه",IF(AND($C1211="پاس چک",OR(Sync!$AJ1211="",COUNTIF(IssueNosA,Sync!$AJ1211)=0)),"شماره چک پاس‌شده معتبر نیست",""))))</f>
        <v/>
      </c>
      <c r="V1211">
        <f>IF($K1211="","",IF(ISNUMBER(Sync!$AK1211),Sync!$AK1211,LEFT(Sync!$AK1211,4)&amp;MID(Sync!$AK1211,6,2)&amp;RIGHT(Sync!$AK1211,2))&amp;"|"&amp;"4"&amp;RIGHT("00000"&amp;1206,5))</f>
        <v/>
      </c>
      <c r="W1211">
        <f>IF($V1211="",0,COUNTIFS($V$6:$V$2005,"&lt;"&amp;$V1211)-COUNTIFS($V$6:$V$2005,"&lt;"&amp;$V1211,$K$6:$K$2005,"")+1)</f>
        <v/>
      </c>
    </row>
    <row r="1212">
      <c r="A1212">
        <f>IF(Sync!$Z1212="","",LEFT(UPPER(TRIM(Sync!$Z1212)),6))</f>
        <v/>
      </c>
      <c r="B1212">
        <f>IF($A1212="","",IF(Sync!$AA1212="","",Sync!$AA1212))</f>
        <v/>
      </c>
      <c r="C1212">
        <f>IF($A1212="","",IF(Sync!$AB1212="","",Sync!$AB1212))</f>
        <v/>
      </c>
      <c r="D1212">
        <f>IF($A1212="","",IF(Sync!$AC1212="","",Sync!$AC1212))</f>
        <v/>
      </c>
      <c r="E1212">
        <f>IF($A1212="","",IF(Sync!$AD1212="","",Sync!$AD1212))</f>
        <v/>
      </c>
      <c r="F1212">
        <f>IF($A1212="","",IF(Sync!$AE1212="",0,Sync!$AE1212))</f>
        <v/>
      </c>
      <c r="G1212">
        <f>IF($A1212="","",IF(Sync!$AF1212="",0,Sync!$AF1212))</f>
        <v/>
      </c>
      <c r="H1212">
        <f>IF(OR($A1212="",ROUND($F1212+$G1212,2)=0),"",$F1212+$G1212)</f>
        <v/>
      </c>
      <c r="I1212">
        <f>IF($H1212="","",IF(ROUND($F1212,2)&gt;0,$A1212,IF($D1212="شخصی قاسم","شخصی قاسم",IF($D1212="هزینه","هزینه: "&amp;IF($E1212="","متفرقه",$E1212),IF($C1212="پاس چک","چک پرداختی",IF(OR($B1212="",COUNTIF(AcctCodesA,$B1212)=0),"متفرقه",$B1212))))))</f>
        <v/>
      </c>
      <c r="J1212">
        <f>IF($H1212="","",IF(ROUND($F1212,2)&gt;0,IF($D1212="شخصی قاسم","شخصی قاسم",IF($D1212="هزینه","هزینه: "&amp;IF($E1212="","متفرقه",$E1212),IF(OR($B1212="",COUNTIF(AcctCodesA,$B1212)=0),"متفرقه",$B1212))),$A1212))</f>
        <v/>
      </c>
      <c r="K1212">
        <f>IF($A1212="","",IF(AND($B1212&lt;&gt;"",COUNTIF(AcctCodesA,$B1212)=0),"کد طرف در INFO تعریف نشده",IF(AND($D1212="هزینه",$E1212=""),"هزینه بدون زیرگروه",IF(AND($C1212="پاس چک",OR(Sync!$AJ1212="",COUNTIF(IssueNosA,Sync!$AJ1212)=0)),"شماره چک پاس‌شده معتبر نیست",""))))</f>
        <v/>
      </c>
      <c r="V1212">
        <f>IF($K1212="","",IF(ISNUMBER(Sync!$AK1212),Sync!$AK1212,LEFT(Sync!$AK1212,4)&amp;MID(Sync!$AK1212,6,2)&amp;RIGHT(Sync!$AK1212,2))&amp;"|"&amp;"4"&amp;RIGHT("00000"&amp;1207,5))</f>
        <v/>
      </c>
      <c r="W1212">
        <f>IF($V1212="",0,COUNTIFS($V$6:$V$2005,"&lt;"&amp;$V1212)-COUNTIFS($V$6:$V$2005,"&lt;"&amp;$V1212,$K$6:$K$2005,"")+1)</f>
        <v/>
      </c>
    </row>
    <row r="1213">
      <c r="A1213">
        <f>IF(Sync!$Z1213="","",LEFT(UPPER(TRIM(Sync!$Z1213)),6))</f>
        <v/>
      </c>
      <c r="B1213">
        <f>IF($A1213="","",IF(Sync!$AA1213="","",Sync!$AA1213))</f>
        <v/>
      </c>
      <c r="C1213">
        <f>IF($A1213="","",IF(Sync!$AB1213="","",Sync!$AB1213))</f>
        <v/>
      </c>
      <c r="D1213">
        <f>IF($A1213="","",IF(Sync!$AC1213="","",Sync!$AC1213))</f>
        <v/>
      </c>
      <c r="E1213">
        <f>IF($A1213="","",IF(Sync!$AD1213="","",Sync!$AD1213))</f>
        <v/>
      </c>
      <c r="F1213">
        <f>IF($A1213="","",IF(Sync!$AE1213="",0,Sync!$AE1213))</f>
        <v/>
      </c>
      <c r="G1213">
        <f>IF($A1213="","",IF(Sync!$AF1213="",0,Sync!$AF1213))</f>
        <v/>
      </c>
      <c r="H1213">
        <f>IF(OR($A1213="",ROUND($F1213+$G1213,2)=0),"",$F1213+$G1213)</f>
        <v/>
      </c>
      <c r="I1213">
        <f>IF($H1213="","",IF(ROUND($F1213,2)&gt;0,$A1213,IF($D1213="شخصی قاسم","شخصی قاسم",IF($D1213="هزینه","هزینه: "&amp;IF($E1213="","متفرقه",$E1213),IF($C1213="پاس چک","چک پرداختی",IF(OR($B1213="",COUNTIF(AcctCodesA,$B1213)=0),"متفرقه",$B1213))))))</f>
        <v/>
      </c>
      <c r="J1213">
        <f>IF($H1213="","",IF(ROUND($F1213,2)&gt;0,IF($D1213="شخصی قاسم","شخصی قاسم",IF($D1213="هزینه","هزینه: "&amp;IF($E1213="","متفرقه",$E1213),IF(OR($B1213="",COUNTIF(AcctCodesA,$B1213)=0),"متفرقه",$B1213))),$A1213))</f>
        <v/>
      </c>
      <c r="K1213">
        <f>IF($A1213="","",IF(AND($B1213&lt;&gt;"",COUNTIF(AcctCodesA,$B1213)=0),"کد طرف در INFO تعریف نشده",IF(AND($D1213="هزینه",$E1213=""),"هزینه بدون زیرگروه",IF(AND($C1213="پاس چک",OR(Sync!$AJ1213="",COUNTIF(IssueNosA,Sync!$AJ1213)=0)),"شماره چک پاس‌شده معتبر نیست",""))))</f>
        <v/>
      </c>
      <c r="V1213">
        <f>IF($K1213="","",IF(ISNUMBER(Sync!$AK1213),Sync!$AK1213,LEFT(Sync!$AK1213,4)&amp;MID(Sync!$AK1213,6,2)&amp;RIGHT(Sync!$AK1213,2))&amp;"|"&amp;"4"&amp;RIGHT("00000"&amp;1208,5))</f>
        <v/>
      </c>
      <c r="W1213">
        <f>IF($V1213="",0,COUNTIFS($V$6:$V$2005,"&lt;"&amp;$V1213)-COUNTIFS($V$6:$V$2005,"&lt;"&amp;$V1213,$K$6:$K$2005,"")+1)</f>
        <v/>
      </c>
    </row>
    <row r="1214">
      <c r="A1214">
        <f>IF(Sync!$Z1214="","",LEFT(UPPER(TRIM(Sync!$Z1214)),6))</f>
        <v/>
      </c>
      <c r="B1214">
        <f>IF($A1214="","",IF(Sync!$AA1214="","",Sync!$AA1214))</f>
        <v/>
      </c>
      <c r="C1214">
        <f>IF($A1214="","",IF(Sync!$AB1214="","",Sync!$AB1214))</f>
        <v/>
      </c>
      <c r="D1214">
        <f>IF($A1214="","",IF(Sync!$AC1214="","",Sync!$AC1214))</f>
        <v/>
      </c>
      <c r="E1214">
        <f>IF($A1214="","",IF(Sync!$AD1214="","",Sync!$AD1214))</f>
        <v/>
      </c>
      <c r="F1214">
        <f>IF($A1214="","",IF(Sync!$AE1214="",0,Sync!$AE1214))</f>
        <v/>
      </c>
      <c r="G1214">
        <f>IF($A1214="","",IF(Sync!$AF1214="",0,Sync!$AF1214))</f>
        <v/>
      </c>
      <c r="H1214">
        <f>IF(OR($A1214="",ROUND($F1214+$G1214,2)=0),"",$F1214+$G1214)</f>
        <v/>
      </c>
      <c r="I1214">
        <f>IF($H1214="","",IF(ROUND($F1214,2)&gt;0,$A1214,IF($D1214="شخصی قاسم","شخصی قاسم",IF($D1214="هزینه","هزینه: "&amp;IF($E1214="","متفرقه",$E1214),IF($C1214="پاس چک","چک پرداختی",IF(OR($B1214="",COUNTIF(AcctCodesA,$B1214)=0),"متفرقه",$B1214))))))</f>
        <v/>
      </c>
      <c r="J1214">
        <f>IF($H1214="","",IF(ROUND($F1214,2)&gt;0,IF($D1214="شخصی قاسم","شخصی قاسم",IF($D1214="هزینه","هزینه: "&amp;IF($E1214="","متفرقه",$E1214),IF(OR($B1214="",COUNTIF(AcctCodesA,$B1214)=0),"متفرقه",$B1214))),$A1214))</f>
        <v/>
      </c>
      <c r="K1214">
        <f>IF($A1214="","",IF(AND($B1214&lt;&gt;"",COUNTIF(AcctCodesA,$B1214)=0),"کد طرف در INFO تعریف نشده",IF(AND($D1214="هزینه",$E1214=""),"هزینه بدون زیرگروه",IF(AND($C1214="پاس چک",OR(Sync!$AJ1214="",COUNTIF(IssueNosA,Sync!$AJ1214)=0)),"شماره چک پاس‌شده معتبر نیست",""))))</f>
        <v/>
      </c>
      <c r="V1214">
        <f>IF($K1214="","",IF(ISNUMBER(Sync!$AK1214),Sync!$AK1214,LEFT(Sync!$AK1214,4)&amp;MID(Sync!$AK1214,6,2)&amp;RIGHT(Sync!$AK1214,2))&amp;"|"&amp;"4"&amp;RIGHT("00000"&amp;1209,5))</f>
        <v/>
      </c>
      <c r="W1214">
        <f>IF($V1214="",0,COUNTIFS($V$6:$V$2005,"&lt;"&amp;$V1214)-COUNTIFS($V$6:$V$2005,"&lt;"&amp;$V1214,$K$6:$K$2005,"")+1)</f>
        <v/>
      </c>
    </row>
    <row r="1215">
      <c r="A1215">
        <f>IF(Sync!$Z1215="","",LEFT(UPPER(TRIM(Sync!$Z1215)),6))</f>
        <v/>
      </c>
      <c r="B1215">
        <f>IF($A1215="","",IF(Sync!$AA1215="","",Sync!$AA1215))</f>
        <v/>
      </c>
      <c r="C1215">
        <f>IF($A1215="","",IF(Sync!$AB1215="","",Sync!$AB1215))</f>
        <v/>
      </c>
      <c r="D1215">
        <f>IF($A1215="","",IF(Sync!$AC1215="","",Sync!$AC1215))</f>
        <v/>
      </c>
      <c r="E1215">
        <f>IF($A1215="","",IF(Sync!$AD1215="","",Sync!$AD1215))</f>
        <v/>
      </c>
      <c r="F1215">
        <f>IF($A1215="","",IF(Sync!$AE1215="",0,Sync!$AE1215))</f>
        <v/>
      </c>
      <c r="G1215">
        <f>IF($A1215="","",IF(Sync!$AF1215="",0,Sync!$AF1215))</f>
        <v/>
      </c>
      <c r="H1215">
        <f>IF(OR($A1215="",ROUND($F1215+$G1215,2)=0),"",$F1215+$G1215)</f>
        <v/>
      </c>
      <c r="I1215">
        <f>IF($H1215="","",IF(ROUND($F1215,2)&gt;0,$A1215,IF($D1215="شخصی قاسم","شخصی قاسم",IF($D1215="هزینه","هزینه: "&amp;IF($E1215="","متفرقه",$E1215),IF($C1215="پاس چک","چک پرداختی",IF(OR($B1215="",COUNTIF(AcctCodesA,$B1215)=0),"متفرقه",$B1215))))))</f>
        <v/>
      </c>
      <c r="J1215">
        <f>IF($H1215="","",IF(ROUND($F1215,2)&gt;0,IF($D1215="شخصی قاسم","شخصی قاسم",IF($D1215="هزینه","هزینه: "&amp;IF($E1215="","متفرقه",$E1215),IF(OR($B1215="",COUNTIF(AcctCodesA,$B1215)=0),"متفرقه",$B1215))),$A1215))</f>
        <v/>
      </c>
      <c r="K1215">
        <f>IF($A1215="","",IF(AND($B1215&lt;&gt;"",COUNTIF(AcctCodesA,$B1215)=0),"کد طرف در INFO تعریف نشده",IF(AND($D1215="هزینه",$E1215=""),"هزینه بدون زیرگروه",IF(AND($C1215="پاس چک",OR(Sync!$AJ1215="",COUNTIF(IssueNosA,Sync!$AJ1215)=0)),"شماره چک پاس‌شده معتبر نیست",""))))</f>
        <v/>
      </c>
      <c r="V1215">
        <f>IF($K1215="","",IF(ISNUMBER(Sync!$AK1215),Sync!$AK1215,LEFT(Sync!$AK1215,4)&amp;MID(Sync!$AK1215,6,2)&amp;RIGHT(Sync!$AK1215,2))&amp;"|"&amp;"4"&amp;RIGHT("00000"&amp;1210,5))</f>
        <v/>
      </c>
      <c r="W1215">
        <f>IF($V1215="",0,COUNTIFS($V$6:$V$2005,"&lt;"&amp;$V1215)-COUNTIFS($V$6:$V$2005,"&lt;"&amp;$V1215,$K$6:$K$2005,"")+1)</f>
        <v/>
      </c>
    </row>
    <row r="1216">
      <c r="A1216">
        <f>IF(Sync!$Z1216="","",LEFT(UPPER(TRIM(Sync!$Z1216)),6))</f>
        <v/>
      </c>
      <c r="B1216">
        <f>IF($A1216="","",IF(Sync!$AA1216="","",Sync!$AA1216))</f>
        <v/>
      </c>
      <c r="C1216">
        <f>IF($A1216="","",IF(Sync!$AB1216="","",Sync!$AB1216))</f>
        <v/>
      </c>
      <c r="D1216">
        <f>IF($A1216="","",IF(Sync!$AC1216="","",Sync!$AC1216))</f>
        <v/>
      </c>
      <c r="E1216">
        <f>IF($A1216="","",IF(Sync!$AD1216="","",Sync!$AD1216))</f>
        <v/>
      </c>
      <c r="F1216">
        <f>IF($A1216="","",IF(Sync!$AE1216="",0,Sync!$AE1216))</f>
        <v/>
      </c>
      <c r="G1216">
        <f>IF($A1216="","",IF(Sync!$AF1216="",0,Sync!$AF1216))</f>
        <v/>
      </c>
      <c r="H1216">
        <f>IF(OR($A1216="",ROUND($F1216+$G1216,2)=0),"",$F1216+$G1216)</f>
        <v/>
      </c>
      <c r="I1216">
        <f>IF($H1216="","",IF(ROUND($F1216,2)&gt;0,$A1216,IF($D1216="شخصی قاسم","شخصی قاسم",IF($D1216="هزینه","هزینه: "&amp;IF($E1216="","متفرقه",$E1216),IF($C1216="پاس چک","چک پرداختی",IF(OR($B1216="",COUNTIF(AcctCodesA,$B1216)=0),"متفرقه",$B1216))))))</f>
        <v/>
      </c>
      <c r="J1216">
        <f>IF($H1216="","",IF(ROUND($F1216,2)&gt;0,IF($D1216="شخصی قاسم","شخصی قاسم",IF($D1216="هزینه","هزینه: "&amp;IF($E1216="","متفرقه",$E1216),IF(OR($B1216="",COUNTIF(AcctCodesA,$B1216)=0),"متفرقه",$B1216))),$A1216))</f>
        <v/>
      </c>
      <c r="K1216">
        <f>IF($A1216="","",IF(AND($B1216&lt;&gt;"",COUNTIF(AcctCodesA,$B1216)=0),"کد طرف در INFO تعریف نشده",IF(AND($D1216="هزینه",$E1216=""),"هزینه بدون زیرگروه",IF(AND($C1216="پاس چک",OR(Sync!$AJ1216="",COUNTIF(IssueNosA,Sync!$AJ1216)=0)),"شماره چک پاس‌شده معتبر نیست",""))))</f>
        <v/>
      </c>
      <c r="V1216">
        <f>IF($K1216="","",IF(ISNUMBER(Sync!$AK1216),Sync!$AK1216,LEFT(Sync!$AK1216,4)&amp;MID(Sync!$AK1216,6,2)&amp;RIGHT(Sync!$AK1216,2))&amp;"|"&amp;"4"&amp;RIGHT("00000"&amp;1211,5))</f>
        <v/>
      </c>
      <c r="W1216">
        <f>IF($V1216="",0,COUNTIFS($V$6:$V$2005,"&lt;"&amp;$V1216)-COUNTIFS($V$6:$V$2005,"&lt;"&amp;$V1216,$K$6:$K$2005,"")+1)</f>
        <v/>
      </c>
    </row>
    <row r="1217">
      <c r="A1217">
        <f>IF(Sync!$Z1217="","",LEFT(UPPER(TRIM(Sync!$Z1217)),6))</f>
        <v/>
      </c>
      <c r="B1217">
        <f>IF($A1217="","",IF(Sync!$AA1217="","",Sync!$AA1217))</f>
        <v/>
      </c>
      <c r="C1217">
        <f>IF($A1217="","",IF(Sync!$AB1217="","",Sync!$AB1217))</f>
        <v/>
      </c>
      <c r="D1217">
        <f>IF($A1217="","",IF(Sync!$AC1217="","",Sync!$AC1217))</f>
        <v/>
      </c>
      <c r="E1217">
        <f>IF($A1217="","",IF(Sync!$AD1217="","",Sync!$AD1217))</f>
        <v/>
      </c>
      <c r="F1217">
        <f>IF($A1217="","",IF(Sync!$AE1217="",0,Sync!$AE1217))</f>
        <v/>
      </c>
      <c r="G1217">
        <f>IF($A1217="","",IF(Sync!$AF1217="",0,Sync!$AF1217))</f>
        <v/>
      </c>
      <c r="H1217">
        <f>IF(OR($A1217="",ROUND($F1217+$G1217,2)=0),"",$F1217+$G1217)</f>
        <v/>
      </c>
      <c r="I1217">
        <f>IF($H1217="","",IF(ROUND($F1217,2)&gt;0,$A1217,IF($D1217="شخصی قاسم","شخصی قاسم",IF($D1217="هزینه","هزینه: "&amp;IF($E1217="","متفرقه",$E1217),IF($C1217="پاس چک","چک پرداختی",IF(OR($B1217="",COUNTIF(AcctCodesA,$B1217)=0),"متفرقه",$B1217))))))</f>
        <v/>
      </c>
      <c r="J1217">
        <f>IF($H1217="","",IF(ROUND($F1217,2)&gt;0,IF($D1217="شخصی قاسم","شخصی قاسم",IF($D1217="هزینه","هزینه: "&amp;IF($E1217="","متفرقه",$E1217),IF(OR($B1217="",COUNTIF(AcctCodesA,$B1217)=0),"متفرقه",$B1217))),$A1217))</f>
        <v/>
      </c>
      <c r="K1217">
        <f>IF($A1217="","",IF(AND($B1217&lt;&gt;"",COUNTIF(AcctCodesA,$B1217)=0),"کد طرف در INFO تعریف نشده",IF(AND($D1217="هزینه",$E1217=""),"هزینه بدون زیرگروه",IF(AND($C1217="پاس چک",OR(Sync!$AJ1217="",COUNTIF(IssueNosA,Sync!$AJ1217)=0)),"شماره چک پاس‌شده معتبر نیست",""))))</f>
        <v/>
      </c>
      <c r="V1217">
        <f>IF($K1217="","",IF(ISNUMBER(Sync!$AK1217),Sync!$AK1217,LEFT(Sync!$AK1217,4)&amp;MID(Sync!$AK1217,6,2)&amp;RIGHT(Sync!$AK1217,2))&amp;"|"&amp;"4"&amp;RIGHT("00000"&amp;1212,5))</f>
        <v/>
      </c>
      <c r="W1217">
        <f>IF($V1217="",0,COUNTIFS($V$6:$V$2005,"&lt;"&amp;$V1217)-COUNTIFS($V$6:$V$2005,"&lt;"&amp;$V1217,$K$6:$K$2005,"")+1)</f>
        <v/>
      </c>
    </row>
    <row r="1218">
      <c r="A1218">
        <f>IF(Sync!$Z1218="","",LEFT(UPPER(TRIM(Sync!$Z1218)),6))</f>
        <v/>
      </c>
      <c r="B1218">
        <f>IF($A1218="","",IF(Sync!$AA1218="","",Sync!$AA1218))</f>
        <v/>
      </c>
      <c r="C1218">
        <f>IF($A1218="","",IF(Sync!$AB1218="","",Sync!$AB1218))</f>
        <v/>
      </c>
      <c r="D1218">
        <f>IF($A1218="","",IF(Sync!$AC1218="","",Sync!$AC1218))</f>
        <v/>
      </c>
      <c r="E1218">
        <f>IF($A1218="","",IF(Sync!$AD1218="","",Sync!$AD1218))</f>
        <v/>
      </c>
      <c r="F1218">
        <f>IF($A1218="","",IF(Sync!$AE1218="",0,Sync!$AE1218))</f>
        <v/>
      </c>
      <c r="G1218">
        <f>IF($A1218="","",IF(Sync!$AF1218="",0,Sync!$AF1218))</f>
        <v/>
      </c>
      <c r="H1218">
        <f>IF(OR($A1218="",ROUND($F1218+$G1218,2)=0),"",$F1218+$G1218)</f>
        <v/>
      </c>
      <c r="I1218">
        <f>IF($H1218="","",IF(ROUND($F1218,2)&gt;0,$A1218,IF($D1218="شخصی قاسم","شخصی قاسم",IF($D1218="هزینه","هزینه: "&amp;IF($E1218="","متفرقه",$E1218),IF($C1218="پاس چک","چک پرداختی",IF(OR($B1218="",COUNTIF(AcctCodesA,$B1218)=0),"متفرقه",$B1218))))))</f>
        <v/>
      </c>
      <c r="J1218">
        <f>IF($H1218="","",IF(ROUND($F1218,2)&gt;0,IF($D1218="شخصی قاسم","شخصی قاسم",IF($D1218="هزینه","هزینه: "&amp;IF($E1218="","متفرقه",$E1218),IF(OR($B1218="",COUNTIF(AcctCodesA,$B1218)=0),"متفرقه",$B1218))),$A1218))</f>
        <v/>
      </c>
      <c r="K1218">
        <f>IF($A1218="","",IF(AND($B1218&lt;&gt;"",COUNTIF(AcctCodesA,$B1218)=0),"کد طرف در INFO تعریف نشده",IF(AND($D1218="هزینه",$E1218=""),"هزینه بدون زیرگروه",IF(AND($C1218="پاس چک",OR(Sync!$AJ1218="",COUNTIF(IssueNosA,Sync!$AJ1218)=0)),"شماره چک پاس‌شده معتبر نیست",""))))</f>
        <v/>
      </c>
      <c r="V1218">
        <f>IF($K1218="","",IF(ISNUMBER(Sync!$AK1218),Sync!$AK1218,LEFT(Sync!$AK1218,4)&amp;MID(Sync!$AK1218,6,2)&amp;RIGHT(Sync!$AK1218,2))&amp;"|"&amp;"4"&amp;RIGHT("00000"&amp;1213,5))</f>
        <v/>
      </c>
      <c r="W1218">
        <f>IF($V1218="",0,COUNTIFS($V$6:$V$2005,"&lt;"&amp;$V1218)-COUNTIFS($V$6:$V$2005,"&lt;"&amp;$V1218,$K$6:$K$2005,"")+1)</f>
        <v/>
      </c>
    </row>
    <row r="1219">
      <c r="A1219">
        <f>IF(Sync!$Z1219="","",LEFT(UPPER(TRIM(Sync!$Z1219)),6))</f>
        <v/>
      </c>
      <c r="B1219">
        <f>IF($A1219="","",IF(Sync!$AA1219="","",Sync!$AA1219))</f>
        <v/>
      </c>
      <c r="C1219">
        <f>IF($A1219="","",IF(Sync!$AB1219="","",Sync!$AB1219))</f>
        <v/>
      </c>
      <c r="D1219">
        <f>IF($A1219="","",IF(Sync!$AC1219="","",Sync!$AC1219))</f>
        <v/>
      </c>
      <c r="E1219">
        <f>IF($A1219="","",IF(Sync!$AD1219="","",Sync!$AD1219))</f>
        <v/>
      </c>
      <c r="F1219">
        <f>IF($A1219="","",IF(Sync!$AE1219="",0,Sync!$AE1219))</f>
        <v/>
      </c>
      <c r="G1219">
        <f>IF($A1219="","",IF(Sync!$AF1219="",0,Sync!$AF1219))</f>
        <v/>
      </c>
      <c r="H1219">
        <f>IF(OR($A1219="",ROUND($F1219+$G1219,2)=0),"",$F1219+$G1219)</f>
        <v/>
      </c>
      <c r="I1219">
        <f>IF($H1219="","",IF(ROUND($F1219,2)&gt;0,$A1219,IF($D1219="شخصی قاسم","شخصی قاسم",IF($D1219="هزینه","هزینه: "&amp;IF($E1219="","متفرقه",$E1219),IF($C1219="پاس چک","چک پرداختی",IF(OR($B1219="",COUNTIF(AcctCodesA,$B1219)=0),"متفرقه",$B1219))))))</f>
        <v/>
      </c>
      <c r="J1219">
        <f>IF($H1219="","",IF(ROUND($F1219,2)&gt;0,IF($D1219="شخصی قاسم","شخصی قاسم",IF($D1219="هزینه","هزینه: "&amp;IF($E1219="","متفرقه",$E1219),IF(OR($B1219="",COUNTIF(AcctCodesA,$B1219)=0),"متفرقه",$B1219))),$A1219))</f>
        <v/>
      </c>
      <c r="K1219">
        <f>IF($A1219="","",IF(AND($B1219&lt;&gt;"",COUNTIF(AcctCodesA,$B1219)=0),"کد طرف در INFO تعریف نشده",IF(AND($D1219="هزینه",$E1219=""),"هزینه بدون زیرگروه",IF(AND($C1219="پاس چک",OR(Sync!$AJ1219="",COUNTIF(IssueNosA,Sync!$AJ1219)=0)),"شماره چک پاس‌شده معتبر نیست",""))))</f>
        <v/>
      </c>
      <c r="V1219">
        <f>IF($K1219="","",IF(ISNUMBER(Sync!$AK1219),Sync!$AK1219,LEFT(Sync!$AK1219,4)&amp;MID(Sync!$AK1219,6,2)&amp;RIGHT(Sync!$AK1219,2))&amp;"|"&amp;"4"&amp;RIGHT("00000"&amp;1214,5))</f>
        <v/>
      </c>
      <c r="W1219">
        <f>IF($V1219="",0,COUNTIFS($V$6:$V$2005,"&lt;"&amp;$V1219)-COUNTIFS($V$6:$V$2005,"&lt;"&amp;$V1219,$K$6:$K$2005,"")+1)</f>
        <v/>
      </c>
    </row>
    <row r="1220">
      <c r="A1220">
        <f>IF(Sync!$Z1220="","",LEFT(UPPER(TRIM(Sync!$Z1220)),6))</f>
        <v/>
      </c>
      <c r="B1220">
        <f>IF($A1220="","",IF(Sync!$AA1220="","",Sync!$AA1220))</f>
        <v/>
      </c>
      <c r="C1220">
        <f>IF($A1220="","",IF(Sync!$AB1220="","",Sync!$AB1220))</f>
        <v/>
      </c>
      <c r="D1220">
        <f>IF($A1220="","",IF(Sync!$AC1220="","",Sync!$AC1220))</f>
        <v/>
      </c>
      <c r="E1220">
        <f>IF($A1220="","",IF(Sync!$AD1220="","",Sync!$AD1220))</f>
        <v/>
      </c>
      <c r="F1220">
        <f>IF($A1220="","",IF(Sync!$AE1220="",0,Sync!$AE1220))</f>
        <v/>
      </c>
      <c r="G1220">
        <f>IF($A1220="","",IF(Sync!$AF1220="",0,Sync!$AF1220))</f>
        <v/>
      </c>
      <c r="H1220">
        <f>IF(OR($A1220="",ROUND($F1220+$G1220,2)=0),"",$F1220+$G1220)</f>
        <v/>
      </c>
      <c r="I1220">
        <f>IF($H1220="","",IF(ROUND($F1220,2)&gt;0,$A1220,IF($D1220="شخصی قاسم","شخصی قاسم",IF($D1220="هزینه","هزینه: "&amp;IF($E1220="","متفرقه",$E1220),IF($C1220="پاس چک","چک پرداختی",IF(OR($B1220="",COUNTIF(AcctCodesA,$B1220)=0),"متفرقه",$B1220))))))</f>
        <v/>
      </c>
      <c r="J1220">
        <f>IF($H1220="","",IF(ROUND($F1220,2)&gt;0,IF($D1220="شخصی قاسم","شخصی قاسم",IF($D1220="هزینه","هزینه: "&amp;IF($E1220="","متفرقه",$E1220),IF(OR($B1220="",COUNTIF(AcctCodesA,$B1220)=0),"متفرقه",$B1220))),$A1220))</f>
        <v/>
      </c>
      <c r="K1220">
        <f>IF($A1220="","",IF(AND($B1220&lt;&gt;"",COUNTIF(AcctCodesA,$B1220)=0),"کد طرف در INFO تعریف نشده",IF(AND($D1220="هزینه",$E1220=""),"هزینه بدون زیرگروه",IF(AND($C1220="پاس چک",OR(Sync!$AJ1220="",COUNTIF(IssueNosA,Sync!$AJ1220)=0)),"شماره چک پاس‌شده معتبر نیست",""))))</f>
        <v/>
      </c>
      <c r="V1220">
        <f>IF($K1220="","",IF(ISNUMBER(Sync!$AK1220),Sync!$AK1220,LEFT(Sync!$AK1220,4)&amp;MID(Sync!$AK1220,6,2)&amp;RIGHT(Sync!$AK1220,2))&amp;"|"&amp;"4"&amp;RIGHT("00000"&amp;1215,5))</f>
        <v/>
      </c>
      <c r="W1220">
        <f>IF($V1220="",0,COUNTIFS($V$6:$V$2005,"&lt;"&amp;$V1220)-COUNTIFS($V$6:$V$2005,"&lt;"&amp;$V1220,$K$6:$K$2005,"")+1)</f>
        <v/>
      </c>
    </row>
    <row r="1221">
      <c r="A1221">
        <f>IF(Sync!$Z1221="","",LEFT(UPPER(TRIM(Sync!$Z1221)),6))</f>
        <v/>
      </c>
      <c r="B1221">
        <f>IF($A1221="","",IF(Sync!$AA1221="","",Sync!$AA1221))</f>
        <v/>
      </c>
      <c r="C1221">
        <f>IF($A1221="","",IF(Sync!$AB1221="","",Sync!$AB1221))</f>
        <v/>
      </c>
      <c r="D1221">
        <f>IF($A1221="","",IF(Sync!$AC1221="","",Sync!$AC1221))</f>
        <v/>
      </c>
      <c r="E1221">
        <f>IF($A1221="","",IF(Sync!$AD1221="","",Sync!$AD1221))</f>
        <v/>
      </c>
      <c r="F1221">
        <f>IF($A1221="","",IF(Sync!$AE1221="",0,Sync!$AE1221))</f>
        <v/>
      </c>
      <c r="G1221">
        <f>IF($A1221="","",IF(Sync!$AF1221="",0,Sync!$AF1221))</f>
        <v/>
      </c>
      <c r="H1221">
        <f>IF(OR($A1221="",ROUND($F1221+$G1221,2)=0),"",$F1221+$G1221)</f>
        <v/>
      </c>
      <c r="I1221">
        <f>IF($H1221="","",IF(ROUND($F1221,2)&gt;0,$A1221,IF($D1221="شخصی قاسم","شخصی قاسم",IF($D1221="هزینه","هزینه: "&amp;IF($E1221="","متفرقه",$E1221),IF($C1221="پاس چک","چک پرداختی",IF(OR($B1221="",COUNTIF(AcctCodesA,$B1221)=0),"متفرقه",$B1221))))))</f>
        <v/>
      </c>
      <c r="J1221">
        <f>IF($H1221="","",IF(ROUND($F1221,2)&gt;0,IF($D1221="شخصی قاسم","شخصی قاسم",IF($D1221="هزینه","هزینه: "&amp;IF($E1221="","متفرقه",$E1221),IF(OR($B1221="",COUNTIF(AcctCodesA,$B1221)=0),"متفرقه",$B1221))),$A1221))</f>
        <v/>
      </c>
      <c r="K1221">
        <f>IF($A1221="","",IF(AND($B1221&lt;&gt;"",COUNTIF(AcctCodesA,$B1221)=0),"کد طرف در INFO تعریف نشده",IF(AND($D1221="هزینه",$E1221=""),"هزینه بدون زیرگروه",IF(AND($C1221="پاس چک",OR(Sync!$AJ1221="",COUNTIF(IssueNosA,Sync!$AJ1221)=0)),"شماره چک پاس‌شده معتبر نیست",""))))</f>
        <v/>
      </c>
      <c r="V1221">
        <f>IF($K1221="","",IF(ISNUMBER(Sync!$AK1221),Sync!$AK1221,LEFT(Sync!$AK1221,4)&amp;MID(Sync!$AK1221,6,2)&amp;RIGHT(Sync!$AK1221,2))&amp;"|"&amp;"4"&amp;RIGHT("00000"&amp;1216,5))</f>
        <v/>
      </c>
      <c r="W1221">
        <f>IF($V1221="",0,COUNTIFS($V$6:$V$2005,"&lt;"&amp;$V1221)-COUNTIFS($V$6:$V$2005,"&lt;"&amp;$V1221,$K$6:$K$2005,"")+1)</f>
        <v/>
      </c>
    </row>
    <row r="1222">
      <c r="A1222">
        <f>IF(Sync!$Z1222="","",LEFT(UPPER(TRIM(Sync!$Z1222)),6))</f>
        <v/>
      </c>
      <c r="B1222">
        <f>IF($A1222="","",IF(Sync!$AA1222="","",Sync!$AA1222))</f>
        <v/>
      </c>
      <c r="C1222">
        <f>IF($A1222="","",IF(Sync!$AB1222="","",Sync!$AB1222))</f>
        <v/>
      </c>
      <c r="D1222">
        <f>IF($A1222="","",IF(Sync!$AC1222="","",Sync!$AC1222))</f>
        <v/>
      </c>
      <c r="E1222">
        <f>IF($A1222="","",IF(Sync!$AD1222="","",Sync!$AD1222))</f>
        <v/>
      </c>
      <c r="F1222">
        <f>IF($A1222="","",IF(Sync!$AE1222="",0,Sync!$AE1222))</f>
        <v/>
      </c>
      <c r="G1222">
        <f>IF($A1222="","",IF(Sync!$AF1222="",0,Sync!$AF1222))</f>
        <v/>
      </c>
      <c r="H1222">
        <f>IF(OR($A1222="",ROUND($F1222+$G1222,2)=0),"",$F1222+$G1222)</f>
        <v/>
      </c>
      <c r="I1222">
        <f>IF($H1222="","",IF(ROUND($F1222,2)&gt;0,$A1222,IF($D1222="شخصی قاسم","شخصی قاسم",IF($D1222="هزینه","هزینه: "&amp;IF($E1222="","متفرقه",$E1222),IF($C1222="پاس چک","چک پرداختی",IF(OR($B1222="",COUNTIF(AcctCodesA,$B1222)=0),"متفرقه",$B1222))))))</f>
        <v/>
      </c>
      <c r="J1222">
        <f>IF($H1222="","",IF(ROUND($F1222,2)&gt;0,IF($D1222="شخصی قاسم","شخصی قاسم",IF($D1222="هزینه","هزینه: "&amp;IF($E1222="","متفرقه",$E1222),IF(OR($B1222="",COUNTIF(AcctCodesA,$B1222)=0),"متفرقه",$B1222))),$A1222))</f>
        <v/>
      </c>
      <c r="K1222">
        <f>IF($A1222="","",IF(AND($B1222&lt;&gt;"",COUNTIF(AcctCodesA,$B1222)=0),"کد طرف در INFO تعریف نشده",IF(AND($D1222="هزینه",$E1222=""),"هزینه بدون زیرگروه",IF(AND($C1222="پاس چک",OR(Sync!$AJ1222="",COUNTIF(IssueNosA,Sync!$AJ1222)=0)),"شماره چک پاس‌شده معتبر نیست",""))))</f>
        <v/>
      </c>
      <c r="V1222">
        <f>IF($K1222="","",IF(ISNUMBER(Sync!$AK1222),Sync!$AK1222,LEFT(Sync!$AK1222,4)&amp;MID(Sync!$AK1222,6,2)&amp;RIGHT(Sync!$AK1222,2))&amp;"|"&amp;"4"&amp;RIGHT("00000"&amp;1217,5))</f>
        <v/>
      </c>
      <c r="W1222">
        <f>IF($V1222="",0,COUNTIFS($V$6:$V$2005,"&lt;"&amp;$V1222)-COUNTIFS($V$6:$V$2005,"&lt;"&amp;$V1222,$K$6:$K$2005,"")+1)</f>
        <v/>
      </c>
    </row>
    <row r="1223">
      <c r="A1223">
        <f>IF(Sync!$Z1223="","",LEFT(UPPER(TRIM(Sync!$Z1223)),6))</f>
        <v/>
      </c>
      <c r="B1223">
        <f>IF($A1223="","",IF(Sync!$AA1223="","",Sync!$AA1223))</f>
        <v/>
      </c>
      <c r="C1223">
        <f>IF($A1223="","",IF(Sync!$AB1223="","",Sync!$AB1223))</f>
        <v/>
      </c>
      <c r="D1223">
        <f>IF($A1223="","",IF(Sync!$AC1223="","",Sync!$AC1223))</f>
        <v/>
      </c>
      <c r="E1223">
        <f>IF($A1223="","",IF(Sync!$AD1223="","",Sync!$AD1223))</f>
        <v/>
      </c>
      <c r="F1223">
        <f>IF($A1223="","",IF(Sync!$AE1223="",0,Sync!$AE1223))</f>
        <v/>
      </c>
      <c r="G1223">
        <f>IF($A1223="","",IF(Sync!$AF1223="",0,Sync!$AF1223))</f>
        <v/>
      </c>
      <c r="H1223">
        <f>IF(OR($A1223="",ROUND($F1223+$G1223,2)=0),"",$F1223+$G1223)</f>
        <v/>
      </c>
      <c r="I1223">
        <f>IF($H1223="","",IF(ROUND($F1223,2)&gt;0,$A1223,IF($D1223="شخصی قاسم","شخصی قاسم",IF($D1223="هزینه","هزینه: "&amp;IF($E1223="","متفرقه",$E1223),IF($C1223="پاس چک","چک پرداختی",IF(OR($B1223="",COUNTIF(AcctCodesA,$B1223)=0),"متفرقه",$B1223))))))</f>
        <v/>
      </c>
      <c r="J1223">
        <f>IF($H1223="","",IF(ROUND($F1223,2)&gt;0,IF($D1223="شخصی قاسم","شخصی قاسم",IF($D1223="هزینه","هزینه: "&amp;IF($E1223="","متفرقه",$E1223),IF(OR($B1223="",COUNTIF(AcctCodesA,$B1223)=0),"متفرقه",$B1223))),$A1223))</f>
        <v/>
      </c>
      <c r="K1223">
        <f>IF($A1223="","",IF(AND($B1223&lt;&gt;"",COUNTIF(AcctCodesA,$B1223)=0),"کد طرف در INFO تعریف نشده",IF(AND($D1223="هزینه",$E1223=""),"هزینه بدون زیرگروه",IF(AND($C1223="پاس چک",OR(Sync!$AJ1223="",COUNTIF(IssueNosA,Sync!$AJ1223)=0)),"شماره چک پاس‌شده معتبر نیست",""))))</f>
        <v/>
      </c>
      <c r="V1223">
        <f>IF($K1223="","",IF(ISNUMBER(Sync!$AK1223),Sync!$AK1223,LEFT(Sync!$AK1223,4)&amp;MID(Sync!$AK1223,6,2)&amp;RIGHT(Sync!$AK1223,2))&amp;"|"&amp;"4"&amp;RIGHT("00000"&amp;1218,5))</f>
        <v/>
      </c>
      <c r="W1223">
        <f>IF($V1223="",0,COUNTIFS($V$6:$V$2005,"&lt;"&amp;$V1223)-COUNTIFS($V$6:$V$2005,"&lt;"&amp;$V1223,$K$6:$K$2005,"")+1)</f>
        <v/>
      </c>
    </row>
    <row r="1224">
      <c r="A1224">
        <f>IF(Sync!$Z1224="","",LEFT(UPPER(TRIM(Sync!$Z1224)),6))</f>
        <v/>
      </c>
      <c r="B1224">
        <f>IF($A1224="","",IF(Sync!$AA1224="","",Sync!$AA1224))</f>
        <v/>
      </c>
      <c r="C1224">
        <f>IF($A1224="","",IF(Sync!$AB1224="","",Sync!$AB1224))</f>
        <v/>
      </c>
      <c r="D1224">
        <f>IF($A1224="","",IF(Sync!$AC1224="","",Sync!$AC1224))</f>
        <v/>
      </c>
      <c r="E1224">
        <f>IF($A1224="","",IF(Sync!$AD1224="","",Sync!$AD1224))</f>
        <v/>
      </c>
      <c r="F1224">
        <f>IF($A1224="","",IF(Sync!$AE1224="",0,Sync!$AE1224))</f>
        <v/>
      </c>
      <c r="G1224">
        <f>IF($A1224="","",IF(Sync!$AF1224="",0,Sync!$AF1224))</f>
        <v/>
      </c>
      <c r="H1224">
        <f>IF(OR($A1224="",ROUND($F1224+$G1224,2)=0),"",$F1224+$G1224)</f>
        <v/>
      </c>
      <c r="I1224">
        <f>IF($H1224="","",IF(ROUND($F1224,2)&gt;0,$A1224,IF($D1224="شخصی قاسم","شخصی قاسم",IF($D1224="هزینه","هزینه: "&amp;IF($E1224="","متفرقه",$E1224),IF($C1224="پاس چک","چک پرداختی",IF(OR($B1224="",COUNTIF(AcctCodesA,$B1224)=0),"متفرقه",$B1224))))))</f>
        <v/>
      </c>
      <c r="J1224">
        <f>IF($H1224="","",IF(ROUND($F1224,2)&gt;0,IF($D1224="شخصی قاسم","شخصی قاسم",IF($D1224="هزینه","هزینه: "&amp;IF($E1224="","متفرقه",$E1224),IF(OR($B1224="",COUNTIF(AcctCodesA,$B1224)=0),"متفرقه",$B1224))),$A1224))</f>
        <v/>
      </c>
      <c r="K1224">
        <f>IF($A1224="","",IF(AND($B1224&lt;&gt;"",COUNTIF(AcctCodesA,$B1224)=0),"کد طرف در INFO تعریف نشده",IF(AND($D1224="هزینه",$E1224=""),"هزینه بدون زیرگروه",IF(AND($C1224="پاس چک",OR(Sync!$AJ1224="",COUNTIF(IssueNosA,Sync!$AJ1224)=0)),"شماره چک پاس‌شده معتبر نیست",""))))</f>
        <v/>
      </c>
      <c r="V1224">
        <f>IF($K1224="","",IF(ISNUMBER(Sync!$AK1224),Sync!$AK1224,LEFT(Sync!$AK1224,4)&amp;MID(Sync!$AK1224,6,2)&amp;RIGHT(Sync!$AK1224,2))&amp;"|"&amp;"4"&amp;RIGHT("00000"&amp;1219,5))</f>
        <v/>
      </c>
      <c r="W1224">
        <f>IF($V1224="",0,COUNTIFS($V$6:$V$2005,"&lt;"&amp;$V1224)-COUNTIFS($V$6:$V$2005,"&lt;"&amp;$V1224,$K$6:$K$2005,"")+1)</f>
        <v/>
      </c>
    </row>
    <row r="1225">
      <c r="A1225">
        <f>IF(Sync!$Z1225="","",LEFT(UPPER(TRIM(Sync!$Z1225)),6))</f>
        <v/>
      </c>
      <c r="B1225">
        <f>IF($A1225="","",IF(Sync!$AA1225="","",Sync!$AA1225))</f>
        <v/>
      </c>
      <c r="C1225">
        <f>IF($A1225="","",IF(Sync!$AB1225="","",Sync!$AB1225))</f>
        <v/>
      </c>
      <c r="D1225">
        <f>IF($A1225="","",IF(Sync!$AC1225="","",Sync!$AC1225))</f>
        <v/>
      </c>
      <c r="E1225">
        <f>IF($A1225="","",IF(Sync!$AD1225="","",Sync!$AD1225))</f>
        <v/>
      </c>
      <c r="F1225">
        <f>IF($A1225="","",IF(Sync!$AE1225="",0,Sync!$AE1225))</f>
        <v/>
      </c>
      <c r="G1225">
        <f>IF($A1225="","",IF(Sync!$AF1225="",0,Sync!$AF1225))</f>
        <v/>
      </c>
      <c r="H1225">
        <f>IF(OR($A1225="",ROUND($F1225+$G1225,2)=0),"",$F1225+$G1225)</f>
        <v/>
      </c>
      <c r="I1225">
        <f>IF($H1225="","",IF(ROUND($F1225,2)&gt;0,$A1225,IF($D1225="شخصی قاسم","شخصی قاسم",IF($D1225="هزینه","هزینه: "&amp;IF($E1225="","متفرقه",$E1225),IF($C1225="پاس چک","چک پرداختی",IF(OR($B1225="",COUNTIF(AcctCodesA,$B1225)=0),"متفرقه",$B1225))))))</f>
        <v/>
      </c>
      <c r="J1225">
        <f>IF($H1225="","",IF(ROUND($F1225,2)&gt;0,IF($D1225="شخصی قاسم","شخصی قاسم",IF($D1225="هزینه","هزینه: "&amp;IF($E1225="","متفرقه",$E1225),IF(OR($B1225="",COUNTIF(AcctCodesA,$B1225)=0),"متفرقه",$B1225))),$A1225))</f>
        <v/>
      </c>
      <c r="K1225">
        <f>IF($A1225="","",IF(AND($B1225&lt;&gt;"",COUNTIF(AcctCodesA,$B1225)=0),"کد طرف در INFO تعریف نشده",IF(AND($D1225="هزینه",$E1225=""),"هزینه بدون زیرگروه",IF(AND($C1225="پاس چک",OR(Sync!$AJ1225="",COUNTIF(IssueNosA,Sync!$AJ1225)=0)),"شماره چک پاس‌شده معتبر نیست",""))))</f>
        <v/>
      </c>
      <c r="V1225">
        <f>IF($K1225="","",IF(ISNUMBER(Sync!$AK1225),Sync!$AK1225,LEFT(Sync!$AK1225,4)&amp;MID(Sync!$AK1225,6,2)&amp;RIGHT(Sync!$AK1225,2))&amp;"|"&amp;"4"&amp;RIGHT("00000"&amp;1220,5))</f>
        <v/>
      </c>
      <c r="W1225">
        <f>IF($V1225="",0,COUNTIFS($V$6:$V$2005,"&lt;"&amp;$V1225)-COUNTIFS($V$6:$V$2005,"&lt;"&amp;$V1225,$K$6:$K$2005,"")+1)</f>
        <v/>
      </c>
    </row>
    <row r="1226">
      <c r="A1226">
        <f>IF(Sync!$Z1226="","",LEFT(UPPER(TRIM(Sync!$Z1226)),6))</f>
        <v/>
      </c>
      <c r="B1226">
        <f>IF($A1226="","",IF(Sync!$AA1226="","",Sync!$AA1226))</f>
        <v/>
      </c>
      <c r="C1226">
        <f>IF($A1226="","",IF(Sync!$AB1226="","",Sync!$AB1226))</f>
        <v/>
      </c>
      <c r="D1226">
        <f>IF($A1226="","",IF(Sync!$AC1226="","",Sync!$AC1226))</f>
        <v/>
      </c>
      <c r="E1226">
        <f>IF($A1226="","",IF(Sync!$AD1226="","",Sync!$AD1226))</f>
        <v/>
      </c>
      <c r="F1226">
        <f>IF($A1226="","",IF(Sync!$AE1226="",0,Sync!$AE1226))</f>
        <v/>
      </c>
      <c r="G1226">
        <f>IF($A1226="","",IF(Sync!$AF1226="",0,Sync!$AF1226))</f>
        <v/>
      </c>
      <c r="H1226">
        <f>IF(OR($A1226="",ROUND($F1226+$G1226,2)=0),"",$F1226+$G1226)</f>
        <v/>
      </c>
      <c r="I1226">
        <f>IF($H1226="","",IF(ROUND($F1226,2)&gt;0,$A1226,IF($D1226="شخصی قاسم","شخصی قاسم",IF($D1226="هزینه","هزینه: "&amp;IF($E1226="","متفرقه",$E1226),IF($C1226="پاس چک","چک پرداختی",IF(OR($B1226="",COUNTIF(AcctCodesA,$B1226)=0),"متفرقه",$B1226))))))</f>
        <v/>
      </c>
      <c r="J1226">
        <f>IF($H1226="","",IF(ROUND($F1226,2)&gt;0,IF($D1226="شخصی قاسم","شخصی قاسم",IF($D1226="هزینه","هزینه: "&amp;IF($E1226="","متفرقه",$E1226),IF(OR($B1226="",COUNTIF(AcctCodesA,$B1226)=0),"متفرقه",$B1226))),$A1226))</f>
        <v/>
      </c>
      <c r="K1226">
        <f>IF($A1226="","",IF(AND($B1226&lt;&gt;"",COUNTIF(AcctCodesA,$B1226)=0),"کد طرف در INFO تعریف نشده",IF(AND($D1226="هزینه",$E1226=""),"هزینه بدون زیرگروه",IF(AND($C1226="پاس چک",OR(Sync!$AJ1226="",COUNTIF(IssueNosA,Sync!$AJ1226)=0)),"شماره چک پاس‌شده معتبر نیست",""))))</f>
        <v/>
      </c>
      <c r="V1226">
        <f>IF($K1226="","",IF(ISNUMBER(Sync!$AK1226),Sync!$AK1226,LEFT(Sync!$AK1226,4)&amp;MID(Sync!$AK1226,6,2)&amp;RIGHT(Sync!$AK1226,2))&amp;"|"&amp;"4"&amp;RIGHT("00000"&amp;1221,5))</f>
        <v/>
      </c>
      <c r="W1226">
        <f>IF($V1226="",0,COUNTIFS($V$6:$V$2005,"&lt;"&amp;$V1226)-COUNTIFS($V$6:$V$2005,"&lt;"&amp;$V1226,$K$6:$K$2005,"")+1)</f>
        <v/>
      </c>
    </row>
    <row r="1227">
      <c r="A1227">
        <f>IF(Sync!$Z1227="","",LEFT(UPPER(TRIM(Sync!$Z1227)),6))</f>
        <v/>
      </c>
      <c r="B1227">
        <f>IF($A1227="","",IF(Sync!$AA1227="","",Sync!$AA1227))</f>
        <v/>
      </c>
      <c r="C1227">
        <f>IF($A1227="","",IF(Sync!$AB1227="","",Sync!$AB1227))</f>
        <v/>
      </c>
      <c r="D1227">
        <f>IF($A1227="","",IF(Sync!$AC1227="","",Sync!$AC1227))</f>
        <v/>
      </c>
      <c r="E1227">
        <f>IF($A1227="","",IF(Sync!$AD1227="","",Sync!$AD1227))</f>
        <v/>
      </c>
      <c r="F1227">
        <f>IF($A1227="","",IF(Sync!$AE1227="",0,Sync!$AE1227))</f>
        <v/>
      </c>
      <c r="G1227">
        <f>IF($A1227="","",IF(Sync!$AF1227="",0,Sync!$AF1227))</f>
        <v/>
      </c>
      <c r="H1227">
        <f>IF(OR($A1227="",ROUND($F1227+$G1227,2)=0),"",$F1227+$G1227)</f>
        <v/>
      </c>
      <c r="I1227">
        <f>IF($H1227="","",IF(ROUND($F1227,2)&gt;0,$A1227,IF($D1227="شخصی قاسم","شخصی قاسم",IF($D1227="هزینه","هزینه: "&amp;IF($E1227="","متفرقه",$E1227),IF($C1227="پاس چک","چک پرداختی",IF(OR($B1227="",COUNTIF(AcctCodesA,$B1227)=0),"متفرقه",$B1227))))))</f>
        <v/>
      </c>
      <c r="J1227">
        <f>IF($H1227="","",IF(ROUND($F1227,2)&gt;0,IF($D1227="شخصی قاسم","شخصی قاسم",IF($D1227="هزینه","هزینه: "&amp;IF($E1227="","متفرقه",$E1227),IF(OR($B1227="",COUNTIF(AcctCodesA,$B1227)=0),"متفرقه",$B1227))),$A1227))</f>
        <v/>
      </c>
      <c r="K1227">
        <f>IF($A1227="","",IF(AND($B1227&lt;&gt;"",COUNTIF(AcctCodesA,$B1227)=0),"کد طرف در INFO تعریف نشده",IF(AND($D1227="هزینه",$E1227=""),"هزینه بدون زیرگروه",IF(AND($C1227="پاس چک",OR(Sync!$AJ1227="",COUNTIF(IssueNosA,Sync!$AJ1227)=0)),"شماره چک پاس‌شده معتبر نیست",""))))</f>
        <v/>
      </c>
      <c r="V1227">
        <f>IF($K1227="","",IF(ISNUMBER(Sync!$AK1227),Sync!$AK1227,LEFT(Sync!$AK1227,4)&amp;MID(Sync!$AK1227,6,2)&amp;RIGHT(Sync!$AK1227,2))&amp;"|"&amp;"4"&amp;RIGHT("00000"&amp;1222,5))</f>
        <v/>
      </c>
      <c r="W1227">
        <f>IF($V1227="",0,COUNTIFS($V$6:$V$2005,"&lt;"&amp;$V1227)-COUNTIFS($V$6:$V$2005,"&lt;"&amp;$V1227,$K$6:$K$2005,"")+1)</f>
        <v/>
      </c>
    </row>
    <row r="1228">
      <c r="A1228">
        <f>IF(Sync!$Z1228="","",LEFT(UPPER(TRIM(Sync!$Z1228)),6))</f>
        <v/>
      </c>
      <c r="B1228">
        <f>IF($A1228="","",IF(Sync!$AA1228="","",Sync!$AA1228))</f>
        <v/>
      </c>
      <c r="C1228">
        <f>IF($A1228="","",IF(Sync!$AB1228="","",Sync!$AB1228))</f>
        <v/>
      </c>
      <c r="D1228">
        <f>IF($A1228="","",IF(Sync!$AC1228="","",Sync!$AC1228))</f>
        <v/>
      </c>
      <c r="E1228">
        <f>IF($A1228="","",IF(Sync!$AD1228="","",Sync!$AD1228))</f>
        <v/>
      </c>
      <c r="F1228">
        <f>IF($A1228="","",IF(Sync!$AE1228="",0,Sync!$AE1228))</f>
        <v/>
      </c>
      <c r="G1228">
        <f>IF($A1228="","",IF(Sync!$AF1228="",0,Sync!$AF1228))</f>
        <v/>
      </c>
      <c r="H1228">
        <f>IF(OR($A1228="",ROUND($F1228+$G1228,2)=0),"",$F1228+$G1228)</f>
        <v/>
      </c>
      <c r="I1228">
        <f>IF($H1228="","",IF(ROUND($F1228,2)&gt;0,$A1228,IF($D1228="شخصی قاسم","شخصی قاسم",IF($D1228="هزینه","هزینه: "&amp;IF($E1228="","متفرقه",$E1228),IF($C1228="پاس چک","چک پرداختی",IF(OR($B1228="",COUNTIF(AcctCodesA,$B1228)=0),"متفرقه",$B1228))))))</f>
        <v/>
      </c>
      <c r="J1228">
        <f>IF($H1228="","",IF(ROUND($F1228,2)&gt;0,IF($D1228="شخصی قاسم","شخصی قاسم",IF($D1228="هزینه","هزینه: "&amp;IF($E1228="","متفرقه",$E1228),IF(OR($B1228="",COUNTIF(AcctCodesA,$B1228)=0),"متفرقه",$B1228))),$A1228))</f>
        <v/>
      </c>
      <c r="K1228">
        <f>IF($A1228="","",IF(AND($B1228&lt;&gt;"",COUNTIF(AcctCodesA,$B1228)=0),"کد طرف در INFO تعریف نشده",IF(AND($D1228="هزینه",$E1228=""),"هزینه بدون زیرگروه",IF(AND($C1228="پاس چک",OR(Sync!$AJ1228="",COUNTIF(IssueNosA,Sync!$AJ1228)=0)),"شماره چک پاس‌شده معتبر نیست",""))))</f>
        <v/>
      </c>
      <c r="V1228">
        <f>IF($K1228="","",IF(ISNUMBER(Sync!$AK1228),Sync!$AK1228,LEFT(Sync!$AK1228,4)&amp;MID(Sync!$AK1228,6,2)&amp;RIGHT(Sync!$AK1228,2))&amp;"|"&amp;"4"&amp;RIGHT("00000"&amp;1223,5))</f>
        <v/>
      </c>
      <c r="W1228">
        <f>IF($V1228="",0,COUNTIFS($V$6:$V$2005,"&lt;"&amp;$V1228)-COUNTIFS($V$6:$V$2005,"&lt;"&amp;$V1228,$K$6:$K$2005,"")+1)</f>
        <v/>
      </c>
    </row>
    <row r="1229">
      <c r="A1229">
        <f>IF(Sync!$Z1229="","",LEFT(UPPER(TRIM(Sync!$Z1229)),6))</f>
        <v/>
      </c>
      <c r="B1229">
        <f>IF($A1229="","",IF(Sync!$AA1229="","",Sync!$AA1229))</f>
        <v/>
      </c>
      <c r="C1229">
        <f>IF($A1229="","",IF(Sync!$AB1229="","",Sync!$AB1229))</f>
        <v/>
      </c>
      <c r="D1229">
        <f>IF($A1229="","",IF(Sync!$AC1229="","",Sync!$AC1229))</f>
        <v/>
      </c>
      <c r="E1229">
        <f>IF($A1229="","",IF(Sync!$AD1229="","",Sync!$AD1229))</f>
        <v/>
      </c>
      <c r="F1229">
        <f>IF($A1229="","",IF(Sync!$AE1229="",0,Sync!$AE1229))</f>
        <v/>
      </c>
      <c r="G1229">
        <f>IF($A1229="","",IF(Sync!$AF1229="",0,Sync!$AF1229))</f>
        <v/>
      </c>
      <c r="H1229">
        <f>IF(OR($A1229="",ROUND($F1229+$G1229,2)=0),"",$F1229+$G1229)</f>
        <v/>
      </c>
      <c r="I1229">
        <f>IF($H1229="","",IF(ROUND($F1229,2)&gt;0,$A1229,IF($D1229="شخصی قاسم","شخصی قاسم",IF($D1229="هزینه","هزینه: "&amp;IF($E1229="","متفرقه",$E1229),IF($C1229="پاس چک","چک پرداختی",IF(OR($B1229="",COUNTIF(AcctCodesA,$B1229)=0),"متفرقه",$B1229))))))</f>
        <v/>
      </c>
      <c r="J1229">
        <f>IF($H1229="","",IF(ROUND($F1229,2)&gt;0,IF($D1229="شخصی قاسم","شخصی قاسم",IF($D1229="هزینه","هزینه: "&amp;IF($E1229="","متفرقه",$E1229),IF(OR($B1229="",COUNTIF(AcctCodesA,$B1229)=0),"متفرقه",$B1229))),$A1229))</f>
        <v/>
      </c>
      <c r="K1229">
        <f>IF($A1229="","",IF(AND($B1229&lt;&gt;"",COUNTIF(AcctCodesA,$B1229)=0),"کد طرف در INFO تعریف نشده",IF(AND($D1229="هزینه",$E1229=""),"هزینه بدون زیرگروه",IF(AND($C1229="پاس چک",OR(Sync!$AJ1229="",COUNTIF(IssueNosA,Sync!$AJ1229)=0)),"شماره چک پاس‌شده معتبر نیست",""))))</f>
        <v/>
      </c>
      <c r="V1229">
        <f>IF($K1229="","",IF(ISNUMBER(Sync!$AK1229),Sync!$AK1229,LEFT(Sync!$AK1229,4)&amp;MID(Sync!$AK1229,6,2)&amp;RIGHT(Sync!$AK1229,2))&amp;"|"&amp;"4"&amp;RIGHT("00000"&amp;1224,5))</f>
        <v/>
      </c>
      <c r="W1229">
        <f>IF($V1229="",0,COUNTIFS($V$6:$V$2005,"&lt;"&amp;$V1229)-COUNTIFS($V$6:$V$2005,"&lt;"&amp;$V1229,$K$6:$K$2005,"")+1)</f>
        <v/>
      </c>
    </row>
    <row r="1230">
      <c r="A1230">
        <f>IF(Sync!$Z1230="","",LEFT(UPPER(TRIM(Sync!$Z1230)),6))</f>
        <v/>
      </c>
      <c r="B1230">
        <f>IF($A1230="","",IF(Sync!$AA1230="","",Sync!$AA1230))</f>
        <v/>
      </c>
      <c r="C1230">
        <f>IF($A1230="","",IF(Sync!$AB1230="","",Sync!$AB1230))</f>
        <v/>
      </c>
      <c r="D1230">
        <f>IF($A1230="","",IF(Sync!$AC1230="","",Sync!$AC1230))</f>
        <v/>
      </c>
      <c r="E1230">
        <f>IF($A1230="","",IF(Sync!$AD1230="","",Sync!$AD1230))</f>
        <v/>
      </c>
      <c r="F1230">
        <f>IF($A1230="","",IF(Sync!$AE1230="",0,Sync!$AE1230))</f>
        <v/>
      </c>
      <c r="G1230">
        <f>IF($A1230="","",IF(Sync!$AF1230="",0,Sync!$AF1230))</f>
        <v/>
      </c>
      <c r="H1230">
        <f>IF(OR($A1230="",ROUND($F1230+$G1230,2)=0),"",$F1230+$G1230)</f>
        <v/>
      </c>
      <c r="I1230">
        <f>IF($H1230="","",IF(ROUND($F1230,2)&gt;0,$A1230,IF($D1230="شخصی قاسم","شخصی قاسم",IF($D1230="هزینه","هزینه: "&amp;IF($E1230="","متفرقه",$E1230),IF($C1230="پاس چک","چک پرداختی",IF(OR($B1230="",COUNTIF(AcctCodesA,$B1230)=0),"متفرقه",$B1230))))))</f>
        <v/>
      </c>
      <c r="J1230">
        <f>IF($H1230="","",IF(ROUND($F1230,2)&gt;0,IF($D1230="شخصی قاسم","شخصی قاسم",IF($D1230="هزینه","هزینه: "&amp;IF($E1230="","متفرقه",$E1230),IF(OR($B1230="",COUNTIF(AcctCodesA,$B1230)=0),"متفرقه",$B1230))),$A1230))</f>
        <v/>
      </c>
      <c r="K1230">
        <f>IF($A1230="","",IF(AND($B1230&lt;&gt;"",COUNTIF(AcctCodesA,$B1230)=0),"کد طرف در INFO تعریف نشده",IF(AND($D1230="هزینه",$E1230=""),"هزینه بدون زیرگروه",IF(AND($C1230="پاس چک",OR(Sync!$AJ1230="",COUNTIF(IssueNosA,Sync!$AJ1230)=0)),"شماره چک پاس‌شده معتبر نیست",""))))</f>
        <v/>
      </c>
      <c r="V1230">
        <f>IF($K1230="","",IF(ISNUMBER(Sync!$AK1230),Sync!$AK1230,LEFT(Sync!$AK1230,4)&amp;MID(Sync!$AK1230,6,2)&amp;RIGHT(Sync!$AK1230,2))&amp;"|"&amp;"4"&amp;RIGHT("00000"&amp;1225,5))</f>
        <v/>
      </c>
      <c r="W1230">
        <f>IF($V1230="",0,COUNTIFS($V$6:$V$2005,"&lt;"&amp;$V1230)-COUNTIFS($V$6:$V$2005,"&lt;"&amp;$V1230,$K$6:$K$2005,"")+1)</f>
        <v/>
      </c>
    </row>
    <row r="1231">
      <c r="A1231">
        <f>IF(Sync!$Z1231="","",LEFT(UPPER(TRIM(Sync!$Z1231)),6))</f>
        <v/>
      </c>
      <c r="B1231">
        <f>IF($A1231="","",IF(Sync!$AA1231="","",Sync!$AA1231))</f>
        <v/>
      </c>
      <c r="C1231">
        <f>IF($A1231="","",IF(Sync!$AB1231="","",Sync!$AB1231))</f>
        <v/>
      </c>
      <c r="D1231">
        <f>IF($A1231="","",IF(Sync!$AC1231="","",Sync!$AC1231))</f>
        <v/>
      </c>
      <c r="E1231">
        <f>IF($A1231="","",IF(Sync!$AD1231="","",Sync!$AD1231))</f>
        <v/>
      </c>
      <c r="F1231">
        <f>IF($A1231="","",IF(Sync!$AE1231="",0,Sync!$AE1231))</f>
        <v/>
      </c>
      <c r="G1231">
        <f>IF($A1231="","",IF(Sync!$AF1231="",0,Sync!$AF1231))</f>
        <v/>
      </c>
      <c r="H1231">
        <f>IF(OR($A1231="",ROUND($F1231+$G1231,2)=0),"",$F1231+$G1231)</f>
        <v/>
      </c>
      <c r="I1231">
        <f>IF($H1231="","",IF(ROUND($F1231,2)&gt;0,$A1231,IF($D1231="شخصی قاسم","شخصی قاسم",IF($D1231="هزینه","هزینه: "&amp;IF($E1231="","متفرقه",$E1231),IF($C1231="پاس چک","چک پرداختی",IF(OR($B1231="",COUNTIF(AcctCodesA,$B1231)=0),"متفرقه",$B1231))))))</f>
        <v/>
      </c>
      <c r="J1231">
        <f>IF($H1231="","",IF(ROUND($F1231,2)&gt;0,IF($D1231="شخصی قاسم","شخصی قاسم",IF($D1231="هزینه","هزینه: "&amp;IF($E1231="","متفرقه",$E1231),IF(OR($B1231="",COUNTIF(AcctCodesA,$B1231)=0),"متفرقه",$B1231))),$A1231))</f>
        <v/>
      </c>
      <c r="K1231">
        <f>IF($A1231="","",IF(AND($B1231&lt;&gt;"",COUNTIF(AcctCodesA,$B1231)=0),"کد طرف در INFO تعریف نشده",IF(AND($D1231="هزینه",$E1231=""),"هزینه بدون زیرگروه",IF(AND($C1231="پاس چک",OR(Sync!$AJ1231="",COUNTIF(IssueNosA,Sync!$AJ1231)=0)),"شماره چک پاس‌شده معتبر نیست",""))))</f>
        <v/>
      </c>
      <c r="V1231">
        <f>IF($K1231="","",IF(ISNUMBER(Sync!$AK1231),Sync!$AK1231,LEFT(Sync!$AK1231,4)&amp;MID(Sync!$AK1231,6,2)&amp;RIGHT(Sync!$AK1231,2))&amp;"|"&amp;"4"&amp;RIGHT("00000"&amp;1226,5))</f>
        <v/>
      </c>
      <c r="W1231">
        <f>IF($V1231="",0,COUNTIFS($V$6:$V$2005,"&lt;"&amp;$V1231)-COUNTIFS($V$6:$V$2005,"&lt;"&amp;$V1231,$K$6:$K$2005,"")+1)</f>
        <v/>
      </c>
    </row>
    <row r="1232">
      <c r="A1232">
        <f>IF(Sync!$Z1232="","",LEFT(UPPER(TRIM(Sync!$Z1232)),6))</f>
        <v/>
      </c>
      <c r="B1232">
        <f>IF($A1232="","",IF(Sync!$AA1232="","",Sync!$AA1232))</f>
        <v/>
      </c>
      <c r="C1232">
        <f>IF($A1232="","",IF(Sync!$AB1232="","",Sync!$AB1232))</f>
        <v/>
      </c>
      <c r="D1232">
        <f>IF($A1232="","",IF(Sync!$AC1232="","",Sync!$AC1232))</f>
        <v/>
      </c>
      <c r="E1232">
        <f>IF($A1232="","",IF(Sync!$AD1232="","",Sync!$AD1232))</f>
        <v/>
      </c>
      <c r="F1232">
        <f>IF($A1232="","",IF(Sync!$AE1232="",0,Sync!$AE1232))</f>
        <v/>
      </c>
      <c r="G1232">
        <f>IF($A1232="","",IF(Sync!$AF1232="",0,Sync!$AF1232))</f>
        <v/>
      </c>
      <c r="H1232">
        <f>IF(OR($A1232="",ROUND($F1232+$G1232,2)=0),"",$F1232+$G1232)</f>
        <v/>
      </c>
      <c r="I1232">
        <f>IF($H1232="","",IF(ROUND($F1232,2)&gt;0,$A1232,IF($D1232="شخصی قاسم","شخصی قاسم",IF($D1232="هزینه","هزینه: "&amp;IF($E1232="","متفرقه",$E1232),IF($C1232="پاس چک","چک پرداختی",IF(OR($B1232="",COUNTIF(AcctCodesA,$B1232)=0),"متفرقه",$B1232))))))</f>
        <v/>
      </c>
      <c r="J1232">
        <f>IF($H1232="","",IF(ROUND($F1232,2)&gt;0,IF($D1232="شخصی قاسم","شخصی قاسم",IF($D1232="هزینه","هزینه: "&amp;IF($E1232="","متفرقه",$E1232),IF(OR($B1232="",COUNTIF(AcctCodesA,$B1232)=0),"متفرقه",$B1232))),$A1232))</f>
        <v/>
      </c>
      <c r="K1232">
        <f>IF($A1232="","",IF(AND($B1232&lt;&gt;"",COUNTIF(AcctCodesA,$B1232)=0),"کد طرف در INFO تعریف نشده",IF(AND($D1232="هزینه",$E1232=""),"هزینه بدون زیرگروه",IF(AND($C1232="پاس چک",OR(Sync!$AJ1232="",COUNTIF(IssueNosA,Sync!$AJ1232)=0)),"شماره چک پاس‌شده معتبر نیست",""))))</f>
        <v/>
      </c>
      <c r="V1232">
        <f>IF($K1232="","",IF(ISNUMBER(Sync!$AK1232),Sync!$AK1232,LEFT(Sync!$AK1232,4)&amp;MID(Sync!$AK1232,6,2)&amp;RIGHT(Sync!$AK1232,2))&amp;"|"&amp;"4"&amp;RIGHT("00000"&amp;1227,5))</f>
        <v/>
      </c>
      <c r="W1232">
        <f>IF($V1232="",0,COUNTIFS($V$6:$V$2005,"&lt;"&amp;$V1232)-COUNTIFS($V$6:$V$2005,"&lt;"&amp;$V1232,$K$6:$K$2005,"")+1)</f>
        <v/>
      </c>
    </row>
    <row r="1233">
      <c r="A1233">
        <f>IF(Sync!$Z1233="","",LEFT(UPPER(TRIM(Sync!$Z1233)),6))</f>
        <v/>
      </c>
      <c r="B1233">
        <f>IF($A1233="","",IF(Sync!$AA1233="","",Sync!$AA1233))</f>
        <v/>
      </c>
      <c r="C1233">
        <f>IF($A1233="","",IF(Sync!$AB1233="","",Sync!$AB1233))</f>
        <v/>
      </c>
      <c r="D1233">
        <f>IF($A1233="","",IF(Sync!$AC1233="","",Sync!$AC1233))</f>
        <v/>
      </c>
      <c r="E1233">
        <f>IF($A1233="","",IF(Sync!$AD1233="","",Sync!$AD1233))</f>
        <v/>
      </c>
      <c r="F1233">
        <f>IF($A1233="","",IF(Sync!$AE1233="",0,Sync!$AE1233))</f>
        <v/>
      </c>
      <c r="G1233">
        <f>IF($A1233="","",IF(Sync!$AF1233="",0,Sync!$AF1233))</f>
        <v/>
      </c>
      <c r="H1233">
        <f>IF(OR($A1233="",ROUND($F1233+$G1233,2)=0),"",$F1233+$G1233)</f>
        <v/>
      </c>
      <c r="I1233">
        <f>IF($H1233="","",IF(ROUND($F1233,2)&gt;0,$A1233,IF($D1233="شخصی قاسم","شخصی قاسم",IF($D1233="هزینه","هزینه: "&amp;IF($E1233="","متفرقه",$E1233),IF($C1233="پاس چک","چک پرداختی",IF(OR($B1233="",COUNTIF(AcctCodesA,$B1233)=0),"متفرقه",$B1233))))))</f>
        <v/>
      </c>
      <c r="J1233">
        <f>IF($H1233="","",IF(ROUND($F1233,2)&gt;0,IF($D1233="شخصی قاسم","شخصی قاسم",IF($D1233="هزینه","هزینه: "&amp;IF($E1233="","متفرقه",$E1233),IF(OR($B1233="",COUNTIF(AcctCodesA,$B1233)=0),"متفرقه",$B1233))),$A1233))</f>
        <v/>
      </c>
      <c r="K1233">
        <f>IF($A1233="","",IF(AND($B1233&lt;&gt;"",COUNTIF(AcctCodesA,$B1233)=0),"کد طرف در INFO تعریف نشده",IF(AND($D1233="هزینه",$E1233=""),"هزینه بدون زیرگروه",IF(AND($C1233="پاس چک",OR(Sync!$AJ1233="",COUNTIF(IssueNosA,Sync!$AJ1233)=0)),"شماره چک پاس‌شده معتبر نیست",""))))</f>
        <v/>
      </c>
      <c r="V1233">
        <f>IF($K1233="","",IF(ISNUMBER(Sync!$AK1233),Sync!$AK1233,LEFT(Sync!$AK1233,4)&amp;MID(Sync!$AK1233,6,2)&amp;RIGHT(Sync!$AK1233,2))&amp;"|"&amp;"4"&amp;RIGHT("00000"&amp;1228,5))</f>
        <v/>
      </c>
      <c r="W1233">
        <f>IF($V1233="",0,COUNTIFS($V$6:$V$2005,"&lt;"&amp;$V1233)-COUNTIFS($V$6:$V$2005,"&lt;"&amp;$V1233,$K$6:$K$2005,"")+1)</f>
        <v/>
      </c>
    </row>
    <row r="1234">
      <c r="A1234">
        <f>IF(Sync!$Z1234="","",LEFT(UPPER(TRIM(Sync!$Z1234)),6))</f>
        <v/>
      </c>
      <c r="B1234">
        <f>IF($A1234="","",IF(Sync!$AA1234="","",Sync!$AA1234))</f>
        <v/>
      </c>
      <c r="C1234">
        <f>IF($A1234="","",IF(Sync!$AB1234="","",Sync!$AB1234))</f>
        <v/>
      </c>
      <c r="D1234">
        <f>IF($A1234="","",IF(Sync!$AC1234="","",Sync!$AC1234))</f>
        <v/>
      </c>
      <c r="E1234">
        <f>IF($A1234="","",IF(Sync!$AD1234="","",Sync!$AD1234))</f>
        <v/>
      </c>
      <c r="F1234">
        <f>IF($A1234="","",IF(Sync!$AE1234="",0,Sync!$AE1234))</f>
        <v/>
      </c>
      <c r="G1234">
        <f>IF($A1234="","",IF(Sync!$AF1234="",0,Sync!$AF1234))</f>
        <v/>
      </c>
      <c r="H1234">
        <f>IF(OR($A1234="",ROUND($F1234+$G1234,2)=0),"",$F1234+$G1234)</f>
        <v/>
      </c>
      <c r="I1234">
        <f>IF($H1234="","",IF(ROUND($F1234,2)&gt;0,$A1234,IF($D1234="شخصی قاسم","شخصی قاسم",IF($D1234="هزینه","هزینه: "&amp;IF($E1234="","متفرقه",$E1234),IF($C1234="پاس چک","چک پرداختی",IF(OR($B1234="",COUNTIF(AcctCodesA,$B1234)=0),"متفرقه",$B1234))))))</f>
        <v/>
      </c>
      <c r="J1234">
        <f>IF($H1234="","",IF(ROUND($F1234,2)&gt;0,IF($D1234="شخصی قاسم","شخصی قاسم",IF($D1234="هزینه","هزینه: "&amp;IF($E1234="","متفرقه",$E1234),IF(OR($B1234="",COUNTIF(AcctCodesA,$B1234)=0),"متفرقه",$B1234))),$A1234))</f>
        <v/>
      </c>
      <c r="K1234">
        <f>IF($A1234="","",IF(AND($B1234&lt;&gt;"",COUNTIF(AcctCodesA,$B1234)=0),"کد طرف در INFO تعریف نشده",IF(AND($D1234="هزینه",$E1234=""),"هزینه بدون زیرگروه",IF(AND($C1234="پاس چک",OR(Sync!$AJ1234="",COUNTIF(IssueNosA,Sync!$AJ1234)=0)),"شماره چک پاس‌شده معتبر نیست",""))))</f>
        <v/>
      </c>
      <c r="V1234">
        <f>IF($K1234="","",IF(ISNUMBER(Sync!$AK1234),Sync!$AK1234,LEFT(Sync!$AK1234,4)&amp;MID(Sync!$AK1234,6,2)&amp;RIGHT(Sync!$AK1234,2))&amp;"|"&amp;"4"&amp;RIGHT("00000"&amp;1229,5))</f>
        <v/>
      </c>
      <c r="W1234">
        <f>IF($V1234="",0,COUNTIFS($V$6:$V$2005,"&lt;"&amp;$V1234)-COUNTIFS($V$6:$V$2005,"&lt;"&amp;$V1234,$K$6:$K$2005,"")+1)</f>
        <v/>
      </c>
    </row>
    <row r="1235">
      <c r="A1235">
        <f>IF(Sync!$Z1235="","",LEFT(UPPER(TRIM(Sync!$Z1235)),6))</f>
        <v/>
      </c>
      <c r="B1235">
        <f>IF($A1235="","",IF(Sync!$AA1235="","",Sync!$AA1235))</f>
        <v/>
      </c>
      <c r="C1235">
        <f>IF($A1235="","",IF(Sync!$AB1235="","",Sync!$AB1235))</f>
        <v/>
      </c>
      <c r="D1235">
        <f>IF($A1235="","",IF(Sync!$AC1235="","",Sync!$AC1235))</f>
        <v/>
      </c>
      <c r="E1235">
        <f>IF($A1235="","",IF(Sync!$AD1235="","",Sync!$AD1235))</f>
        <v/>
      </c>
      <c r="F1235">
        <f>IF($A1235="","",IF(Sync!$AE1235="",0,Sync!$AE1235))</f>
        <v/>
      </c>
      <c r="G1235">
        <f>IF($A1235="","",IF(Sync!$AF1235="",0,Sync!$AF1235))</f>
        <v/>
      </c>
      <c r="H1235">
        <f>IF(OR($A1235="",ROUND($F1235+$G1235,2)=0),"",$F1235+$G1235)</f>
        <v/>
      </c>
      <c r="I1235">
        <f>IF($H1235="","",IF(ROUND($F1235,2)&gt;0,$A1235,IF($D1235="شخصی قاسم","شخصی قاسم",IF($D1235="هزینه","هزینه: "&amp;IF($E1235="","متفرقه",$E1235),IF($C1235="پاس چک","چک پرداختی",IF(OR($B1235="",COUNTIF(AcctCodesA,$B1235)=0),"متفرقه",$B1235))))))</f>
        <v/>
      </c>
      <c r="J1235">
        <f>IF($H1235="","",IF(ROUND($F1235,2)&gt;0,IF($D1235="شخصی قاسم","شخصی قاسم",IF($D1235="هزینه","هزینه: "&amp;IF($E1235="","متفرقه",$E1235),IF(OR($B1235="",COUNTIF(AcctCodesA,$B1235)=0),"متفرقه",$B1235))),$A1235))</f>
        <v/>
      </c>
      <c r="K1235">
        <f>IF($A1235="","",IF(AND($B1235&lt;&gt;"",COUNTIF(AcctCodesA,$B1235)=0),"کد طرف در INFO تعریف نشده",IF(AND($D1235="هزینه",$E1235=""),"هزینه بدون زیرگروه",IF(AND($C1235="پاس چک",OR(Sync!$AJ1235="",COUNTIF(IssueNosA,Sync!$AJ1235)=0)),"شماره چک پاس‌شده معتبر نیست",""))))</f>
        <v/>
      </c>
      <c r="V1235">
        <f>IF($K1235="","",IF(ISNUMBER(Sync!$AK1235),Sync!$AK1235,LEFT(Sync!$AK1235,4)&amp;MID(Sync!$AK1235,6,2)&amp;RIGHT(Sync!$AK1235,2))&amp;"|"&amp;"4"&amp;RIGHT("00000"&amp;1230,5))</f>
        <v/>
      </c>
      <c r="W1235">
        <f>IF($V1235="",0,COUNTIFS($V$6:$V$2005,"&lt;"&amp;$V1235)-COUNTIFS($V$6:$V$2005,"&lt;"&amp;$V1235,$K$6:$K$2005,"")+1)</f>
        <v/>
      </c>
    </row>
    <row r="1236">
      <c r="A1236">
        <f>IF(Sync!$Z1236="","",LEFT(UPPER(TRIM(Sync!$Z1236)),6))</f>
        <v/>
      </c>
      <c r="B1236">
        <f>IF($A1236="","",IF(Sync!$AA1236="","",Sync!$AA1236))</f>
        <v/>
      </c>
      <c r="C1236">
        <f>IF($A1236="","",IF(Sync!$AB1236="","",Sync!$AB1236))</f>
        <v/>
      </c>
      <c r="D1236">
        <f>IF($A1236="","",IF(Sync!$AC1236="","",Sync!$AC1236))</f>
        <v/>
      </c>
      <c r="E1236">
        <f>IF($A1236="","",IF(Sync!$AD1236="","",Sync!$AD1236))</f>
        <v/>
      </c>
      <c r="F1236">
        <f>IF($A1236="","",IF(Sync!$AE1236="",0,Sync!$AE1236))</f>
        <v/>
      </c>
      <c r="G1236">
        <f>IF($A1236="","",IF(Sync!$AF1236="",0,Sync!$AF1236))</f>
        <v/>
      </c>
      <c r="H1236">
        <f>IF(OR($A1236="",ROUND($F1236+$G1236,2)=0),"",$F1236+$G1236)</f>
        <v/>
      </c>
      <c r="I1236">
        <f>IF($H1236="","",IF(ROUND($F1236,2)&gt;0,$A1236,IF($D1236="شخصی قاسم","شخصی قاسم",IF($D1236="هزینه","هزینه: "&amp;IF($E1236="","متفرقه",$E1236),IF($C1236="پاس چک","چک پرداختی",IF(OR($B1236="",COUNTIF(AcctCodesA,$B1236)=0),"متفرقه",$B1236))))))</f>
        <v/>
      </c>
      <c r="J1236">
        <f>IF($H1236="","",IF(ROUND($F1236,2)&gt;0,IF($D1236="شخصی قاسم","شخصی قاسم",IF($D1236="هزینه","هزینه: "&amp;IF($E1236="","متفرقه",$E1236),IF(OR($B1236="",COUNTIF(AcctCodesA,$B1236)=0),"متفرقه",$B1236))),$A1236))</f>
        <v/>
      </c>
      <c r="K1236">
        <f>IF($A1236="","",IF(AND($B1236&lt;&gt;"",COUNTIF(AcctCodesA,$B1236)=0),"کد طرف در INFO تعریف نشده",IF(AND($D1236="هزینه",$E1236=""),"هزینه بدون زیرگروه",IF(AND($C1236="پاس چک",OR(Sync!$AJ1236="",COUNTIF(IssueNosA,Sync!$AJ1236)=0)),"شماره چک پاس‌شده معتبر نیست",""))))</f>
        <v/>
      </c>
      <c r="V1236">
        <f>IF($K1236="","",IF(ISNUMBER(Sync!$AK1236),Sync!$AK1236,LEFT(Sync!$AK1236,4)&amp;MID(Sync!$AK1236,6,2)&amp;RIGHT(Sync!$AK1236,2))&amp;"|"&amp;"4"&amp;RIGHT("00000"&amp;1231,5))</f>
        <v/>
      </c>
      <c r="W1236">
        <f>IF($V1236="",0,COUNTIFS($V$6:$V$2005,"&lt;"&amp;$V1236)-COUNTIFS($V$6:$V$2005,"&lt;"&amp;$V1236,$K$6:$K$2005,"")+1)</f>
        <v/>
      </c>
    </row>
    <row r="1237">
      <c r="A1237">
        <f>IF(Sync!$Z1237="","",LEFT(UPPER(TRIM(Sync!$Z1237)),6))</f>
        <v/>
      </c>
      <c r="B1237">
        <f>IF($A1237="","",IF(Sync!$AA1237="","",Sync!$AA1237))</f>
        <v/>
      </c>
      <c r="C1237">
        <f>IF($A1237="","",IF(Sync!$AB1237="","",Sync!$AB1237))</f>
        <v/>
      </c>
      <c r="D1237">
        <f>IF($A1237="","",IF(Sync!$AC1237="","",Sync!$AC1237))</f>
        <v/>
      </c>
      <c r="E1237">
        <f>IF($A1237="","",IF(Sync!$AD1237="","",Sync!$AD1237))</f>
        <v/>
      </c>
      <c r="F1237">
        <f>IF($A1237="","",IF(Sync!$AE1237="",0,Sync!$AE1237))</f>
        <v/>
      </c>
      <c r="G1237">
        <f>IF($A1237="","",IF(Sync!$AF1237="",0,Sync!$AF1237))</f>
        <v/>
      </c>
      <c r="H1237">
        <f>IF(OR($A1237="",ROUND($F1237+$G1237,2)=0),"",$F1237+$G1237)</f>
        <v/>
      </c>
      <c r="I1237">
        <f>IF($H1237="","",IF(ROUND($F1237,2)&gt;0,$A1237,IF($D1237="شخصی قاسم","شخصی قاسم",IF($D1237="هزینه","هزینه: "&amp;IF($E1237="","متفرقه",$E1237),IF($C1237="پاس چک","چک پرداختی",IF(OR($B1237="",COUNTIF(AcctCodesA,$B1237)=0),"متفرقه",$B1237))))))</f>
        <v/>
      </c>
      <c r="J1237">
        <f>IF($H1237="","",IF(ROUND($F1237,2)&gt;0,IF($D1237="شخصی قاسم","شخصی قاسم",IF($D1237="هزینه","هزینه: "&amp;IF($E1237="","متفرقه",$E1237),IF(OR($B1237="",COUNTIF(AcctCodesA,$B1237)=0),"متفرقه",$B1237))),$A1237))</f>
        <v/>
      </c>
      <c r="K1237">
        <f>IF($A1237="","",IF(AND($B1237&lt;&gt;"",COUNTIF(AcctCodesA,$B1237)=0),"کد طرف در INFO تعریف نشده",IF(AND($D1237="هزینه",$E1237=""),"هزینه بدون زیرگروه",IF(AND($C1237="پاس چک",OR(Sync!$AJ1237="",COUNTIF(IssueNosA,Sync!$AJ1237)=0)),"شماره چک پاس‌شده معتبر نیست",""))))</f>
        <v/>
      </c>
      <c r="V1237">
        <f>IF($K1237="","",IF(ISNUMBER(Sync!$AK1237),Sync!$AK1237,LEFT(Sync!$AK1237,4)&amp;MID(Sync!$AK1237,6,2)&amp;RIGHT(Sync!$AK1237,2))&amp;"|"&amp;"4"&amp;RIGHT("00000"&amp;1232,5))</f>
        <v/>
      </c>
      <c r="W1237">
        <f>IF($V1237="",0,COUNTIFS($V$6:$V$2005,"&lt;"&amp;$V1237)-COUNTIFS($V$6:$V$2005,"&lt;"&amp;$V1237,$K$6:$K$2005,"")+1)</f>
        <v/>
      </c>
    </row>
    <row r="1238">
      <c r="A1238">
        <f>IF(Sync!$Z1238="","",LEFT(UPPER(TRIM(Sync!$Z1238)),6))</f>
        <v/>
      </c>
      <c r="B1238">
        <f>IF($A1238="","",IF(Sync!$AA1238="","",Sync!$AA1238))</f>
        <v/>
      </c>
      <c r="C1238">
        <f>IF($A1238="","",IF(Sync!$AB1238="","",Sync!$AB1238))</f>
        <v/>
      </c>
      <c r="D1238">
        <f>IF($A1238="","",IF(Sync!$AC1238="","",Sync!$AC1238))</f>
        <v/>
      </c>
      <c r="E1238">
        <f>IF($A1238="","",IF(Sync!$AD1238="","",Sync!$AD1238))</f>
        <v/>
      </c>
      <c r="F1238">
        <f>IF($A1238="","",IF(Sync!$AE1238="",0,Sync!$AE1238))</f>
        <v/>
      </c>
      <c r="G1238">
        <f>IF($A1238="","",IF(Sync!$AF1238="",0,Sync!$AF1238))</f>
        <v/>
      </c>
      <c r="H1238">
        <f>IF(OR($A1238="",ROUND($F1238+$G1238,2)=0),"",$F1238+$G1238)</f>
        <v/>
      </c>
      <c r="I1238">
        <f>IF($H1238="","",IF(ROUND($F1238,2)&gt;0,$A1238,IF($D1238="شخصی قاسم","شخصی قاسم",IF($D1238="هزینه","هزینه: "&amp;IF($E1238="","متفرقه",$E1238),IF($C1238="پاس چک","چک پرداختی",IF(OR($B1238="",COUNTIF(AcctCodesA,$B1238)=0),"متفرقه",$B1238))))))</f>
        <v/>
      </c>
      <c r="J1238">
        <f>IF($H1238="","",IF(ROUND($F1238,2)&gt;0,IF($D1238="شخصی قاسم","شخصی قاسم",IF($D1238="هزینه","هزینه: "&amp;IF($E1238="","متفرقه",$E1238),IF(OR($B1238="",COUNTIF(AcctCodesA,$B1238)=0),"متفرقه",$B1238))),$A1238))</f>
        <v/>
      </c>
      <c r="K1238">
        <f>IF($A1238="","",IF(AND($B1238&lt;&gt;"",COUNTIF(AcctCodesA,$B1238)=0),"کد طرف در INFO تعریف نشده",IF(AND($D1238="هزینه",$E1238=""),"هزینه بدون زیرگروه",IF(AND($C1238="پاس چک",OR(Sync!$AJ1238="",COUNTIF(IssueNosA,Sync!$AJ1238)=0)),"شماره چک پاس‌شده معتبر نیست",""))))</f>
        <v/>
      </c>
      <c r="V1238">
        <f>IF($K1238="","",IF(ISNUMBER(Sync!$AK1238),Sync!$AK1238,LEFT(Sync!$AK1238,4)&amp;MID(Sync!$AK1238,6,2)&amp;RIGHT(Sync!$AK1238,2))&amp;"|"&amp;"4"&amp;RIGHT("00000"&amp;1233,5))</f>
        <v/>
      </c>
      <c r="W1238">
        <f>IF($V1238="",0,COUNTIFS($V$6:$V$2005,"&lt;"&amp;$V1238)-COUNTIFS($V$6:$V$2005,"&lt;"&amp;$V1238,$K$6:$K$2005,"")+1)</f>
        <v/>
      </c>
    </row>
    <row r="1239">
      <c r="A1239">
        <f>IF(Sync!$Z1239="","",LEFT(UPPER(TRIM(Sync!$Z1239)),6))</f>
        <v/>
      </c>
      <c r="B1239">
        <f>IF($A1239="","",IF(Sync!$AA1239="","",Sync!$AA1239))</f>
        <v/>
      </c>
      <c r="C1239">
        <f>IF($A1239="","",IF(Sync!$AB1239="","",Sync!$AB1239))</f>
        <v/>
      </c>
      <c r="D1239">
        <f>IF($A1239="","",IF(Sync!$AC1239="","",Sync!$AC1239))</f>
        <v/>
      </c>
      <c r="E1239">
        <f>IF($A1239="","",IF(Sync!$AD1239="","",Sync!$AD1239))</f>
        <v/>
      </c>
      <c r="F1239">
        <f>IF($A1239="","",IF(Sync!$AE1239="",0,Sync!$AE1239))</f>
        <v/>
      </c>
      <c r="G1239">
        <f>IF($A1239="","",IF(Sync!$AF1239="",0,Sync!$AF1239))</f>
        <v/>
      </c>
      <c r="H1239">
        <f>IF(OR($A1239="",ROUND($F1239+$G1239,2)=0),"",$F1239+$G1239)</f>
        <v/>
      </c>
      <c r="I1239">
        <f>IF($H1239="","",IF(ROUND($F1239,2)&gt;0,$A1239,IF($D1239="شخصی قاسم","شخصی قاسم",IF($D1239="هزینه","هزینه: "&amp;IF($E1239="","متفرقه",$E1239),IF($C1239="پاس چک","چک پرداختی",IF(OR($B1239="",COUNTIF(AcctCodesA,$B1239)=0),"متفرقه",$B1239))))))</f>
        <v/>
      </c>
      <c r="J1239">
        <f>IF($H1239="","",IF(ROUND($F1239,2)&gt;0,IF($D1239="شخصی قاسم","شخصی قاسم",IF($D1239="هزینه","هزینه: "&amp;IF($E1239="","متفرقه",$E1239),IF(OR($B1239="",COUNTIF(AcctCodesA,$B1239)=0),"متفرقه",$B1239))),$A1239))</f>
        <v/>
      </c>
      <c r="K1239">
        <f>IF($A1239="","",IF(AND($B1239&lt;&gt;"",COUNTIF(AcctCodesA,$B1239)=0),"کد طرف در INFO تعریف نشده",IF(AND($D1239="هزینه",$E1239=""),"هزینه بدون زیرگروه",IF(AND($C1239="پاس چک",OR(Sync!$AJ1239="",COUNTIF(IssueNosA,Sync!$AJ1239)=0)),"شماره چک پاس‌شده معتبر نیست",""))))</f>
        <v/>
      </c>
      <c r="V1239">
        <f>IF($K1239="","",IF(ISNUMBER(Sync!$AK1239),Sync!$AK1239,LEFT(Sync!$AK1239,4)&amp;MID(Sync!$AK1239,6,2)&amp;RIGHT(Sync!$AK1239,2))&amp;"|"&amp;"4"&amp;RIGHT("00000"&amp;1234,5))</f>
        <v/>
      </c>
      <c r="W1239">
        <f>IF($V1239="",0,COUNTIFS($V$6:$V$2005,"&lt;"&amp;$V1239)-COUNTIFS($V$6:$V$2005,"&lt;"&amp;$V1239,$K$6:$K$2005,"")+1)</f>
        <v/>
      </c>
    </row>
    <row r="1240">
      <c r="A1240">
        <f>IF(Sync!$Z1240="","",LEFT(UPPER(TRIM(Sync!$Z1240)),6))</f>
        <v/>
      </c>
      <c r="B1240">
        <f>IF($A1240="","",IF(Sync!$AA1240="","",Sync!$AA1240))</f>
        <v/>
      </c>
      <c r="C1240">
        <f>IF($A1240="","",IF(Sync!$AB1240="","",Sync!$AB1240))</f>
        <v/>
      </c>
      <c r="D1240">
        <f>IF($A1240="","",IF(Sync!$AC1240="","",Sync!$AC1240))</f>
        <v/>
      </c>
      <c r="E1240">
        <f>IF($A1240="","",IF(Sync!$AD1240="","",Sync!$AD1240))</f>
        <v/>
      </c>
      <c r="F1240">
        <f>IF($A1240="","",IF(Sync!$AE1240="",0,Sync!$AE1240))</f>
        <v/>
      </c>
      <c r="G1240">
        <f>IF($A1240="","",IF(Sync!$AF1240="",0,Sync!$AF1240))</f>
        <v/>
      </c>
      <c r="H1240">
        <f>IF(OR($A1240="",ROUND($F1240+$G1240,2)=0),"",$F1240+$G1240)</f>
        <v/>
      </c>
      <c r="I1240">
        <f>IF($H1240="","",IF(ROUND($F1240,2)&gt;0,$A1240,IF($D1240="شخصی قاسم","شخصی قاسم",IF($D1240="هزینه","هزینه: "&amp;IF($E1240="","متفرقه",$E1240),IF($C1240="پاس چک","چک پرداختی",IF(OR($B1240="",COUNTIF(AcctCodesA,$B1240)=0),"متفرقه",$B1240))))))</f>
        <v/>
      </c>
      <c r="J1240">
        <f>IF($H1240="","",IF(ROUND($F1240,2)&gt;0,IF($D1240="شخصی قاسم","شخصی قاسم",IF($D1240="هزینه","هزینه: "&amp;IF($E1240="","متفرقه",$E1240),IF(OR($B1240="",COUNTIF(AcctCodesA,$B1240)=0),"متفرقه",$B1240))),$A1240))</f>
        <v/>
      </c>
      <c r="K1240">
        <f>IF($A1240="","",IF(AND($B1240&lt;&gt;"",COUNTIF(AcctCodesA,$B1240)=0),"کد طرف در INFO تعریف نشده",IF(AND($D1240="هزینه",$E1240=""),"هزینه بدون زیرگروه",IF(AND($C1240="پاس چک",OR(Sync!$AJ1240="",COUNTIF(IssueNosA,Sync!$AJ1240)=0)),"شماره چک پاس‌شده معتبر نیست",""))))</f>
        <v/>
      </c>
      <c r="V1240">
        <f>IF($K1240="","",IF(ISNUMBER(Sync!$AK1240),Sync!$AK1240,LEFT(Sync!$AK1240,4)&amp;MID(Sync!$AK1240,6,2)&amp;RIGHT(Sync!$AK1240,2))&amp;"|"&amp;"4"&amp;RIGHT("00000"&amp;1235,5))</f>
        <v/>
      </c>
      <c r="W1240">
        <f>IF($V1240="",0,COUNTIFS($V$6:$V$2005,"&lt;"&amp;$V1240)-COUNTIFS($V$6:$V$2005,"&lt;"&amp;$V1240,$K$6:$K$2005,"")+1)</f>
        <v/>
      </c>
    </row>
    <row r="1241">
      <c r="A1241">
        <f>IF(Sync!$Z1241="","",LEFT(UPPER(TRIM(Sync!$Z1241)),6))</f>
        <v/>
      </c>
      <c r="B1241">
        <f>IF($A1241="","",IF(Sync!$AA1241="","",Sync!$AA1241))</f>
        <v/>
      </c>
      <c r="C1241">
        <f>IF($A1241="","",IF(Sync!$AB1241="","",Sync!$AB1241))</f>
        <v/>
      </c>
      <c r="D1241">
        <f>IF($A1241="","",IF(Sync!$AC1241="","",Sync!$AC1241))</f>
        <v/>
      </c>
      <c r="E1241">
        <f>IF($A1241="","",IF(Sync!$AD1241="","",Sync!$AD1241))</f>
        <v/>
      </c>
      <c r="F1241">
        <f>IF($A1241="","",IF(Sync!$AE1241="",0,Sync!$AE1241))</f>
        <v/>
      </c>
      <c r="G1241">
        <f>IF($A1241="","",IF(Sync!$AF1241="",0,Sync!$AF1241))</f>
        <v/>
      </c>
      <c r="H1241">
        <f>IF(OR($A1241="",ROUND($F1241+$G1241,2)=0),"",$F1241+$G1241)</f>
        <v/>
      </c>
      <c r="I1241">
        <f>IF($H1241="","",IF(ROUND($F1241,2)&gt;0,$A1241,IF($D1241="شخصی قاسم","شخصی قاسم",IF($D1241="هزینه","هزینه: "&amp;IF($E1241="","متفرقه",$E1241),IF($C1241="پاس چک","چک پرداختی",IF(OR($B1241="",COUNTIF(AcctCodesA,$B1241)=0),"متفرقه",$B1241))))))</f>
        <v/>
      </c>
      <c r="J1241">
        <f>IF($H1241="","",IF(ROUND($F1241,2)&gt;0,IF($D1241="شخصی قاسم","شخصی قاسم",IF($D1241="هزینه","هزینه: "&amp;IF($E1241="","متفرقه",$E1241),IF(OR($B1241="",COUNTIF(AcctCodesA,$B1241)=0),"متفرقه",$B1241))),$A1241))</f>
        <v/>
      </c>
      <c r="K1241">
        <f>IF($A1241="","",IF(AND($B1241&lt;&gt;"",COUNTIF(AcctCodesA,$B1241)=0),"کد طرف در INFO تعریف نشده",IF(AND($D1241="هزینه",$E1241=""),"هزینه بدون زیرگروه",IF(AND($C1241="پاس چک",OR(Sync!$AJ1241="",COUNTIF(IssueNosA,Sync!$AJ1241)=0)),"شماره چک پاس‌شده معتبر نیست",""))))</f>
        <v/>
      </c>
      <c r="V1241">
        <f>IF($K1241="","",IF(ISNUMBER(Sync!$AK1241),Sync!$AK1241,LEFT(Sync!$AK1241,4)&amp;MID(Sync!$AK1241,6,2)&amp;RIGHT(Sync!$AK1241,2))&amp;"|"&amp;"4"&amp;RIGHT("00000"&amp;1236,5))</f>
        <v/>
      </c>
      <c r="W1241">
        <f>IF($V1241="",0,COUNTIFS($V$6:$V$2005,"&lt;"&amp;$V1241)-COUNTIFS($V$6:$V$2005,"&lt;"&amp;$V1241,$K$6:$K$2005,"")+1)</f>
        <v/>
      </c>
    </row>
    <row r="1242">
      <c r="A1242">
        <f>IF(Sync!$Z1242="","",LEFT(UPPER(TRIM(Sync!$Z1242)),6))</f>
        <v/>
      </c>
      <c r="B1242">
        <f>IF($A1242="","",IF(Sync!$AA1242="","",Sync!$AA1242))</f>
        <v/>
      </c>
      <c r="C1242">
        <f>IF($A1242="","",IF(Sync!$AB1242="","",Sync!$AB1242))</f>
        <v/>
      </c>
      <c r="D1242">
        <f>IF($A1242="","",IF(Sync!$AC1242="","",Sync!$AC1242))</f>
        <v/>
      </c>
      <c r="E1242">
        <f>IF($A1242="","",IF(Sync!$AD1242="","",Sync!$AD1242))</f>
        <v/>
      </c>
      <c r="F1242">
        <f>IF($A1242="","",IF(Sync!$AE1242="",0,Sync!$AE1242))</f>
        <v/>
      </c>
      <c r="G1242">
        <f>IF($A1242="","",IF(Sync!$AF1242="",0,Sync!$AF1242))</f>
        <v/>
      </c>
      <c r="H1242">
        <f>IF(OR($A1242="",ROUND($F1242+$G1242,2)=0),"",$F1242+$G1242)</f>
        <v/>
      </c>
      <c r="I1242">
        <f>IF($H1242="","",IF(ROUND($F1242,2)&gt;0,$A1242,IF($D1242="شخصی قاسم","شخصی قاسم",IF($D1242="هزینه","هزینه: "&amp;IF($E1242="","متفرقه",$E1242),IF($C1242="پاس چک","چک پرداختی",IF(OR($B1242="",COUNTIF(AcctCodesA,$B1242)=0),"متفرقه",$B1242))))))</f>
        <v/>
      </c>
      <c r="J1242">
        <f>IF($H1242="","",IF(ROUND($F1242,2)&gt;0,IF($D1242="شخصی قاسم","شخصی قاسم",IF($D1242="هزینه","هزینه: "&amp;IF($E1242="","متفرقه",$E1242),IF(OR($B1242="",COUNTIF(AcctCodesA,$B1242)=0),"متفرقه",$B1242))),$A1242))</f>
        <v/>
      </c>
      <c r="K1242">
        <f>IF($A1242="","",IF(AND($B1242&lt;&gt;"",COUNTIF(AcctCodesA,$B1242)=0),"کد طرف در INFO تعریف نشده",IF(AND($D1242="هزینه",$E1242=""),"هزینه بدون زیرگروه",IF(AND($C1242="پاس چک",OR(Sync!$AJ1242="",COUNTIF(IssueNosA,Sync!$AJ1242)=0)),"شماره چک پاس‌شده معتبر نیست",""))))</f>
        <v/>
      </c>
      <c r="V1242">
        <f>IF($K1242="","",IF(ISNUMBER(Sync!$AK1242),Sync!$AK1242,LEFT(Sync!$AK1242,4)&amp;MID(Sync!$AK1242,6,2)&amp;RIGHT(Sync!$AK1242,2))&amp;"|"&amp;"4"&amp;RIGHT("00000"&amp;1237,5))</f>
        <v/>
      </c>
      <c r="W1242">
        <f>IF($V1242="",0,COUNTIFS($V$6:$V$2005,"&lt;"&amp;$V1242)-COUNTIFS($V$6:$V$2005,"&lt;"&amp;$V1242,$K$6:$K$2005,"")+1)</f>
        <v/>
      </c>
    </row>
    <row r="1243">
      <c r="A1243">
        <f>IF(Sync!$Z1243="","",LEFT(UPPER(TRIM(Sync!$Z1243)),6))</f>
        <v/>
      </c>
      <c r="B1243">
        <f>IF($A1243="","",IF(Sync!$AA1243="","",Sync!$AA1243))</f>
        <v/>
      </c>
      <c r="C1243">
        <f>IF($A1243="","",IF(Sync!$AB1243="","",Sync!$AB1243))</f>
        <v/>
      </c>
      <c r="D1243">
        <f>IF($A1243="","",IF(Sync!$AC1243="","",Sync!$AC1243))</f>
        <v/>
      </c>
      <c r="E1243">
        <f>IF($A1243="","",IF(Sync!$AD1243="","",Sync!$AD1243))</f>
        <v/>
      </c>
      <c r="F1243">
        <f>IF($A1243="","",IF(Sync!$AE1243="",0,Sync!$AE1243))</f>
        <v/>
      </c>
      <c r="G1243">
        <f>IF($A1243="","",IF(Sync!$AF1243="",0,Sync!$AF1243))</f>
        <v/>
      </c>
      <c r="H1243">
        <f>IF(OR($A1243="",ROUND($F1243+$G1243,2)=0),"",$F1243+$G1243)</f>
        <v/>
      </c>
      <c r="I1243">
        <f>IF($H1243="","",IF(ROUND($F1243,2)&gt;0,$A1243,IF($D1243="شخصی قاسم","شخصی قاسم",IF($D1243="هزینه","هزینه: "&amp;IF($E1243="","متفرقه",$E1243),IF($C1243="پاس چک","چک پرداختی",IF(OR($B1243="",COUNTIF(AcctCodesA,$B1243)=0),"متفرقه",$B1243))))))</f>
        <v/>
      </c>
      <c r="J1243">
        <f>IF($H1243="","",IF(ROUND($F1243,2)&gt;0,IF($D1243="شخصی قاسم","شخصی قاسم",IF($D1243="هزینه","هزینه: "&amp;IF($E1243="","متفرقه",$E1243),IF(OR($B1243="",COUNTIF(AcctCodesA,$B1243)=0),"متفرقه",$B1243))),$A1243))</f>
        <v/>
      </c>
      <c r="K1243">
        <f>IF($A1243="","",IF(AND($B1243&lt;&gt;"",COUNTIF(AcctCodesA,$B1243)=0),"کد طرف در INFO تعریف نشده",IF(AND($D1243="هزینه",$E1243=""),"هزینه بدون زیرگروه",IF(AND($C1243="پاس چک",OR(Sync!$AJ1243="",COUNTIF(IssueNosA,Sync!$AJ1243)=0)),"شماره چک پاس‌شده معتبر نیست",""))))</f>
        <v/>
      </c>
      <c r="V1243">
        <f>IF($K1243="","",IF(ISNUMBER(Sync!$AK1243),Sync!$AK1243,LEFT(Sync!$AK1243,4)&amp;MID(Sync!$AK1243,6,2)&amp;RIGHT(Sync!$AK1243,2))&amp;"|"&amp;"4"&amp;RIGHT("00000"&amp;1238,5))</f>
        <v/>
      </c>
      <c r="W1243">
        <f>IF($V1243="",0,COUNTIFS($V$6:$V$2005,"&lt;"&amp;$V1243)-COUNTIFS($V$6:$V$2005,"&lt;"&amp;$V1243,$K$6:$K$2005,"")+1)</f>
        <v/>
      </c>
    </row>
    <row r="1244">
      <c r="A1244">
        <f>IF(Sync!$Z1244="","",LEFT(UPPER(TRIM(Sync!$Z1244)),6))</f>
        <v/>
      </c>
      <c r="B1244">
        <f>IF($A1244="","",IF(Sync!$AA1244="","",Sync!$AA1244))</f>
        <v/>
      </c>
      <c r="C1244">
        <f>IF($A1244="","",IF(Sync!$AB1244="","",Sync!$AB1244))</f>
        <v/>
      </c>
      <c r="D1244">
        <f>IF($A1244="","",IF(Sync!$AC1244="","",Sync!$AC1244))</f>
        <v/>
      </c>
      <c r="E1244">
        <f>IF($A1244="","",IF(Sync!$AD1244="","",Sync!$AD1244))</f>
        <v/>
      </c>
      <c r="F1244">
        <f>IF($A1244="","",IF(Sync!$AE1244="",0,Sync!$AE1244))</f>
        <v/>
      </c>
      <c r="G1244">
        <f>IF($A1244="","",IF(Sync!$AF1244="",0,Sync!$AF1244))</f>
        <v/>
      </c>
      <c r="H1244">
        <f>IF(OR($A1244="",ROUND($F1244+$G1244,2)=0),"",$F1244+$G1244)</f>
        <v/>
      </c>
      <c r="I1244">
        <f>IF($H1244="","",IF(ROUND($F1244,2)&gt;0,$A1244,IF($D1244="شخصی قاسم","شخصی قاسم",IF($D1244="هزینه","هزینه: "&amp;IF($E1244="","متفرقه",$E1244),IF($C1244="پاس چک","چک پرداختی",IF(OR($B1244="",COUNTIF(AcctCodesA,$B1244)=0),"متفرقه",$B1244))))))</f>
        <v/>
      </c>
      <c r="J1244">
        <f>IF($H1244="","",IF(ROUND($F1244,2)&gt;0,IF($D1244="شخصی قاسم","شخصی قاسم",IF($D1244="هزینه","هزینه: "&amp;IF($E1244="","متفرقه",$E1244),IF(OR($B1244="",COUNTIF(AcctCodesA,$B1244)=0),"متفرقه",$B1244))),$A1244))</f>
        <v/>
      </c>
      <c r="K1244">
        <f>IF($A1244="","",IF(AND($B1244&lt;&gt;"",COUNTIF(AcctCodesA,$B1244)=0),"کد طرف در INFO تعریف نشده",IF(AND($D1244="هزینه",$E1244=""),"هزینه بدون زیرگروه",IF(AND($C1244="پاس چک",OR(Sync!$AJ1244="",COUNTIF(IssueNosA,Sync!$AJ1244)=0)),"شماره چک پاس‌شده معتبر نیست",""))))</f>
        <v/>
      </c>
      <c r="V1244">
        <f>IF($K1244="","",IF(ISNUMBER(Sync!$AK1244),Sync!$AK1244,LEFT(Sync!$AK1244,4)&amp;MID(Sync!$AK1244,6,2)&amp;RIGHT(Sync!$AK1244,2))&amp;"|"&amp;"4"&amp;RIGHT("00000"&amp;1239,5))</f>
        <v/>
      </c>
      <c r="W1244">
        <f>IF($V1244="",0,COUNTIFS($V$6:$V$2005,"&lt;"&amp;$V1244)-COUNTIFS($V$6:$V$2005,"&lt;"&amp;$V1244,$K$6:$K$2005,"")+1)</f>
        <v/>
      </c>
    </row>
    <row r="1245">
      <c r="A1245">
        <f>IF(Sync!$Z1245="","",LEFT(UPPER(TRIM(Sync!$Z1245)),6))</f>
        <v/>
      </c>
      <c r="B1245">
        <f>IF($A1245="","",IF(Sync!$AA1245="","",Sync!$AA1245))</f>
        <v/>
      </c>
      <c r="C1245">
        <f>IF($A1245="","",IF(Sync!$AB1245="","",Sync!$AB1245))</f>
        <v/>
      </c>
      <c r="D1245">
        <f>IF($A1245="","",IF(Sync!$AC1245="","",Sync!$AC1245))</f>
        <v/>
      </c>
      <c r="E1245">
        <f>IF($A1245="","",IF(Sync!$AD1245="","",Sync!$AD1245))</f>
        <v/>
      </c>
      <c r="F1245">
        <f>IF($A1245="","",IF(Sync!$AE1245="",0,Sync!$AE1245))</f>
        <v/>
      </c>
      <c r="G1245">
        <f>IF($A1245="","",IF(Sync!$AF1245="",0,Sync!$AF1245))</f>
        <v/>
      </c>
      <c r="H1245">
        <f>IF(OR($A1245="",ROUND($F1245+$G1245,2)=0),"",$F1245+$G1245)</f>
        <v/>
      </c>
      <c r="I1245">
        <f>IF($H1245="","",IF(ROUND($F1245,2)&gt;0,$A1245,IF($D1245="شخصی قاسم","شخصی قاسم",IF($D1245="هزینه","هزینه: "&amp;IF($E1245="","متفرقه",$E1245),IF($C1245="پاس چک","چک پرداختی",IF(OR($B1245="",COUNTIF(AcctCodesA,$B1245)=0),"متفرقه",$B1245))))))</f>
        <v/>
      </c>
      <c r="J1245">
        <f>IF($H1245="","",IF(ROUND($F1245,2)&gt;0,IF($D1245="شخصی قاسم","شخصی قاسم",IF($D1245="هزینه","هزینه: "&amp;IF($E1245="","متفرقه",$E1245),IF(OR($B1245="",COUNTIF(AcctCodesA,$B1245)=0),"متفرقه",$B1245))),$A1245))</f>
        <v/>
      </c>
      <c r="K1245">
        <f>IF($A1245="","",IF(AND($B1245&lt;&gt;"",COUNTIF(AcctCodesA,$B1245)=0),"کد طرف در INFO تعریف نشده",IF(AND($D1245="هزینه",$E1245=""),"هزینه بدون زیرگروه",IF(AND($C1245="پاس چک",OR(Sync!$AJ1245="",COUNTIF(IssueNosA,Sync!$AJ1245)=0)),"شماره چک پاس‌شده معتبر نیست",""))))</f>
        <v/>
      </c>
      <c r="V1245">
        <f>IF($K1245="","",IF(ISNUMBER(Sync!$AK1245),Sync!$AK1245,LEFT(Sync!$AK1245,4)&amp;MID(Sync!$AK1245,6,2)&amp;RIGHT(Sync!$AK1245,2))&amp;"|"&amp;"4"&amp;RIGHT("00000"&amp;1240,5))</f>
        <v/>
      </c>
      <c r="W1245">
        <f>IF($V1245="",0,COUNTIFS($V$6:$V$2005,"&lt;"&amp;$V1245)-COUNTIFS($V$6:$V$2005,"&lt;"&amp;$V1245,$K$6:$K$2005,"")+1)</f>
        <v/>
      </c>
    </row>
    <row r="1246">
      <c r="A1246">
        <f>IF(Sync!$Z1246="","",LEFT(UPPER(TRIM(Sync!$Z1246)),6))</f>
        <v/>
      </c>
      <c r="B1246">
        <f>IF($A1246="","",IF(Sync!$AA1246="","",Sync!$AA1246))</f>
        <v/>
      </c>
      <c r="C1246">
        <f>IF($A1246="","",IF(Sync!$AB1246="","",Sync!$AB1246))</f>
        <v/>
      </c>
      <c r="D1246">
        <f>IF($A1246="","",IF(Sync!$AC1246="","",Sync!$AC1246))</f>
        <v/>
      </c>
      <c r="E1246">
        <f>IF($A1246="","",IF(Sync!$AD1246="","",Sync!$AD1246))</f>
        <v/>
      </c>
      <c r="F1246">
        <f>IF($A1246="","",IF(Sync!$AE1246="",0,Sync!$AE1246))</f>
        <v/>
      </c>
      <c r="G1246">
        <f>IF($A1246="","",IF(Sync!$AF1246="",0,Sync!$AF1246))</f>
        <v/>
      </c>
      <c r="H1246">
        <f>IF(OR($A1246="",ROUND($F1246+$G1246,2)=0),"",$F1246+$G1246)</f>
        <v/>
      </c>
      <c r="I1246">
        <f>IF($H1246="","",IF(ROUND($F1246,2)&gt;0,$A1246,IF($D1246="شخصی قاسم","شخصی قاسم",IF($D1246="هزینه","هزینه: "&amp;IF($E1246="","متفرقه",$E1246),IF($C1246="پاس چک","چک پرداختی",IF(OR($B1246="",COUNTIF(AcctCodesA,$B1246)=0),"متفرقه",$B1246))))))</f>
        <v/>
      </c>
      <c r="J1246">
        <f>IF($H1246="","",IF(ROUND($F1246,2)&gt;0,IF($D1246="شخصی قاسم","شخصی قاسم",IF($D1246="هزینه","هزینه: "&amp;IF($E1246="","متفرقه",$E1246),IF(OR($B1246="",COUNTIF(AcctCodesA,$B1246)=0),"متفرقه",$B1246))),$A1246))</f>
        <v/>
      </c>
      <c r="K1246">
        <f>IF($A1246="","",IF(AND($B1246&lt;&gt;"",COUNTIF(AcctCodesA,$B1246)=0),"کد طرف در INFO تعریف نشده",IF(AND($D1246="هزینه",$E1246=""),"هزینه بدون زیرگروه",IF(AND($C1246="پاس چک",OR(Sync!$AJ1246="",COUNTIF(IssueNosA,Sync!$AJ1246)=0)),"شماره چک پاس‌شده معتبر نیست",""))))</f>
        <v/>
      </c>
      <c r="V1246">
        <f>IF($K1246="","",IF(ISNUMBER(Sync!$AK1246),Sync!$AK1246,LEFT(Sync!$AK1246,4)&amp;MID(Sync!$AK1246,6,2)&amp;RIGHT(Sync!$AK1246,2))&amp;"|"&amp;"4"&amp;RIGHT("00000"&amp;1241,5))</f>
        <v/>
      </c>
      <c r="W1246">
        <f>IF($V1246="",0,COUNTIFS($V$6:$V$2005,"&lt;"&amp;$V1246)-COUNTIFS($V$6:$V$2005,"&lt;"&amp;$V1246,$K$6:$K$2005,"")+1)</f>
        <v/>
      </c>
    </row>
    <row r="1247">
      <c r="A1247">
        <f>IF(Sync!$Z1247="","",LEFT(UPPER(TRIM(Sync!$Z1247)),6))</f>
        <v/>
      </c>
      <c r="B1247">
        <f>IF($A1247="","",IF(Sync!$AA1247="","",Sync!$AA1247))</f>
        <v/>
      </c>
      <c r="C1247">
        <f>IF($A1247="","",IF(Sync!$AB1247="","",Sync!$AB1247))</f>
        <v/>
      </c>
      <c r="D1247">
        <f>IF($A1247="","",IF(Sync!$AC1247="","",Sync!$AC1247))</f>
        <v/>
      </c>
      <c r="E1247">
        <f>IF($A1247="","",IF(Sync!$AD1247="","",Sync!$AD1247))</f>
        <v/>
      </c>
      <c r="F1247">
        <f>IF($A1247="","",IF(Sync!$AE1247="",0,Sync!$AE1247))</f>
        <v/>
      </c>
      <c r="G1247">
        <f>IF($A1247="","",IF(Sync!$AF1247="",0,Sync!$AF1247))</f>
        <v/>
      </c>
      <c r="H1247">
        <f>IF(OR($A1247="",ROUND($F1247+$G1247,2)=0),"",$F1247+$G1247)</f>
        <v/>
      </c>
      <c r="I1247">
        <f>IF($H1247="","",IF(ROUND($F1247,2)&gt;0,$A1247,IF($D1247="شخصی قاسم","شخصی قاسم",IF($D1247="هزینه","هزینه: "&amp;IF($E1247="","متفرقه",$E1247),IF($C1247="پاس چک","چک پرداختی",IF(OR($B1247="",COUNTIF(AcctCodesA,$B1247)=0),"متفرقه",$B1247))))))</f>
        <v/>
      </c>
      <c r="J1247">
        <f>IF($H1247="","",IF(ROUND($F1247,2)&gt;0,IF($D1247="شخصی قاسم","شخصی قاسم",IF($D1247="هزینه","هزینه: "&amp;IF($E1247="","متفرقه",$E1247),IF(OR($B1247="",COUNTIF(AcctCodesA,$B1247)=0),"متفرقه",$B1247))),$A1247))</f>
        <v/>
      </c>
      <c r="K1247">
        <f>IF($A1247="","",IF(AND($B1247&lt;&gt;"",COUNTIF(AcctCodesA,$B1247)=0),"کد طرف در INFO تعریف نشده",IF(AND($D1247="هزینه",$E1247=""),"هزینه بدون زیرگروه",IF(AND($C1247="پاس چک",OR(Sync!$AJ1247="",COUNTIF(IssueNosA,Sync!$AJ1247)=0)),"شماره چک پاس‌شده معتبر نیست",""))))</f>
        <v/>
      </c>
      <c r="V1247">
        <f>IF($K1247="","",IF(ISNUMBER(Sync!$AK1247),Sync!$AK1247,LEFT(Sync!$AK1247,4)&amp;MID(Sync!$AK1247,6,2)&amp;RIGHT(Sync!$AK1247,2))&amp;"|"&amp;"4"&amp;RIGHT("00000"&amp;1242,5))</f>
        <v/>
      </c>
      <c r="W1247">
        <f>IF($V1247="",0,COUNTIFS($V$6:$V$2005,"&lt;"&amp;$V1247)-COUNTIFS($V$6:$V$2005,"&lt;"&amp;$V1247,$K$6:$K$2005,"")+1)</f>
        <v/>
      </c>
    </row>
    <row r="1248">
      <c r="A1248">
        <f>IF(Sync!$Z1248="","",LEFT(UPPER(TRIM(Sync!$Z1248)),6))</f>
        <v/>
      </c>
      <c r="B1248">
        <f>IF($A1248="","",IF(Sync!$AA1248="","",Sync!$AA1248))</f>
        <v/>
      </c>
      <c r="C1248">
        <f>IF($A1248="","",IF(Sync!$AB1248="","",Sync!$AB1248))</f>
        <v/>
      </c>
      <c r="D1248">
        <f>IF($A1248="","",IF(Sync!$AC1248="","",Sync!$AC1248))</f>
        <v/>
      </c>
      <c r="E1248">
        <f>IF($A1248="","",IF(Sync!$AD1248="","",Sync!$AD1248))</f>
        <v/>
      </c>
      <c r="F1248">
        <f>IF($A1248="","",IF(Sync!$AE1248="",0,Sync!$AE1248))</f>
        <v/>
      </c>
      <c r="G1248">
        <f>IF($A1248="","",IF(Sync!$AF1248="",0,Sync!$AF1248))</f>
        <v/>
      </c>
      <c r="H1248">
        <f>IF(OR($A1248="",ROUND($F1248+$G1248,2)=0),"",$F1248+$G1248)</f>
        <v/>
      </c>
      <c r="I1248">
        <f>IF($H1248="","",IF(ROUND($F1248,2)&gt;0,$A1248,IF($D1248="شخصی قاسم","شخصی قاسم",IF($D1248="هزینه","هزینه: "&amp;IF($E1248="","متفرقه",$E1248),IF($C1248="پاس چک","چک پرداختی",IF(OR($B1248="",COUNTIF(AcctCodesA,$B1248)=0),"متفرقه",$B1248))))))</f>
        <v/>
      </c>
      <c r="J1248">
        <f>IF($H1248="","",IF(ROUND($F1248,2)&gt;0,IF($D1248="شخصی قاسم","شخصی قاسم",IF($D1248="هزینه","هزینه: "&amp;IF($E1248="","متفرقه",$E1248),IF(OR($B1248="",COUNTIF(AcctCodesA,$B1248)=0),"متفرقه",$B1248))),$A1248))</f>
        <v/>
      </c>
      <c r="K1248">
        <f>IF($A1248="","",IF(AND($B1248&lt;&gt;"",COUNTIF(AcctCodesA,$B1248)=0),"کد طرف در INFO تعریف نشده",IF(AND($D1248="هزینه",$E1248=""),"هزینه بدون زیرگروه",IF(AND($C1248="پاس چک",OR(Sync!$AJ1248="",COUNTIF(IssueNosA,Sync!$AJ1248)=0)),"شماره چک پاس‌شده معتبر نیست",""))))</f>
        <v/>
      </c>
      <c r="V1248">
        <f>IF($K1248="","",IF(ISNUMBER(Sync!$AK1248),Sync!$AK1248,LEFT(Sync!$AK1248,4)&amp;MID(Sync!$AK1248,6,2)&amp;RIGHT(Sync!$AK1248,2))&amp;"|"&amp;"4"&amp;RIGHT("00000"&amp;1243,5))</f>
        <v/>
      </c>
      <c r="W1248">
        <f>IF($V1248="",0,COUNTIFS($V$6:$V$2005,"&lt;"&amp;$V1248)-COUNTIFS($V$6:$V$2005,"&lt;"&amp;$V1248,$K$6:$K$2005,"")+1)</f>
        <v/>
      </c>
    </row>
    <row r="1249">
      <c r="A1249">
        <f>IF(Sync!$Z1249="","",LEFT(UPPER(TRIM(Sync!$Z1249)),6))</f>
        <v/>
      </c>
      <c r="B1249">
        <f>IF($A1249="","",IF(Sync!$AA1249="","",Sync!$AA1249))</f>
        <v/>
      </c>
      <c r="C1249">
        <f>IF($A1249="","",IF(Sync!$AB1249="","",Sync!$AB1249))</f>
        <v/>
      </c>
      <c r="D1249">
        <f>IF($A1249="","",IF(Sync!$AC1249="","",Sync!$AC1249))</f>
        <v/>
      </c>
      <c r="E1249">
        <f>IF($A1249="","",IF(Sync!$AD1249="","",Sync!$AD1249))</f>
        <v/>
      </c>
      <c r="F1249">
        <f>IF($A1249="","",IF(Sync!$AE1249="",0,Sync!$AE1249))</f>
        <v/>
      </c>
      <c r="G1249">
        <f>IF($A1249="","",IF(Sync!$AF1249="",0,Sync!$AF1249))</f>
        <v/>
      </c>
      <c r="H1249">
        <f>IF(OR($A1249="",ROUND($F1249+$G1249,2)=0),"",$F1249+$G1249)</f>
        <v/>
      </c>
      <c r="I1249">
        <f>IF($H1249="","",IF(ROUND($F1249,2)&gt;0,$A1249,IF($D1249="شخصی قاسم","شخصی قاسم",IF($D1249="هزینه","هزینه: "&amp;IF($E1249="","متفرقه",$E1249),IF($C1249="پاس چک","چک پرداختی",IF(OR($B1249="",COUNTIF(AcctCodesA,$B1249)=0),"متفرقه",$B1249))))))</f>
        <v/>
      </c>
      <c r="J1249">
        <f>IF($H1249="","",IF(ROUND($F1249,2)&gt;0,IF($D1249="شخصی قاسم","شخصی قاسم",IF($D1249="هزینه","هزینه: "&amp;IF($E1249="","متفرقه",$E1249),IF(OR($B1249="",COUNTIF(AcctCodesA,$B1249)=0),"متفرقه",$B1249))),$A1249))</f>
        <v/>
      </c>
      <c r="K1249">
        <f>IF($A1249="","",IF(AND($B1249&lt;&gt;"",COUNTIF(AcctCodesA,$B1249)=0),"کد طرف در INFO تعریف نشده",IF(AND($D1249="هزینه",$E1249=""),"هزینه بدون زیرگروه",IF(AND($C1249="پاس چک",OR(Sync!$AJ1249="",COUNTIF(IssueNosA,Sync!$AJ1249)=0)),"شماره چک پاس‌شده معتبر نیست",""))))</f>
        <v/>
      </c>
      <c r="V1249">
        <f>IF($K1249="","",IF(ISNUMBER(Sync!$AK1249),Sync!$AK1249,LEFT(Sync!$AK1249,4)&amp;MID(Sync!$AK1249,6,2)&amp;RIGHT(Sync!$AK1249,2))&amp;"|"&amp;"4"&amp;RIGHT("00000"&amp;1244,5))</f>
        <v/>
      </c>
      <c r="W1249">
        <f>IF($V1249="",0,COUNTIFS($V$6:$V$2005,"&lt;"&amp;$V1249)-COUNTIFS($V$6:$V$2005,"&lt;"&amp;$V1249,$K$6:$K$2005,"")+1)</f>
        <v/>
      </c>
    </row>
    <row r="1250">
      <c r="A1250">
        <f>IF(Sync!$Z1250="","",LEFT(UPPER(TRIM(Sync!$Z1250)),6))</f>
        <v/>
      </c>
      <c r="B1250">
        <f>IF($A1250="","",IF(Sync!$AA1250="","",Sync!$AA1250))</f>
        <v/>
      </c>
      <c r="C1250">
        <f>IF($A1250="","",IF(Sync!$AB1250="","",Sync!$AB1250))</f>
        <v/>
      </c>
      <c r="D1250">
        <f>IF($A1250="","",IF(Sync!$AC1250="","",Sync!$AC1250))</f>
        <v/>
      </c>
      <c r="E1250">
        <f>IF($A1250="","",IF(Sync!$AD1250="","",Sync!$AD1250))</f>
        <v/>
      </c>
      <c r="F1250">
        <f>IF($A1250="","",IF(Sync!$AE1250="",0,Sync!$AE1250))</f>
        <v/>
      </c>
      <c r="G1250">
        <f>IF($A1250="","",IF(Sync!$AF1250="",0,Sync!$AF1250))</f>
        <v/>
      </c>
      <c r="H1250">
        <f>IF(OR($A1250="",ROUND($F1250+$G1250,2)=0),"",$F1250+$G1250)</f>
        <v/>
      </c>
      <c r="I1250">
        <f>IF($H1250="","",IF(ROUND($F1250,2)&gt;0,$A1250,IF($D1250="شخصی قاسم","شخصی قاسم",IF($D1250="هزینه","هزینه: "&amp;IF($E1250="","متفرقه",$E1250),IF($C1250="پاس چک","چک پرداختی",IF(OR($B1250="",COUNTIF(AcctCodesA,$B1250)=0),"متفرقه",$B1250))))))</f>
        <v/>
      </c>
      <c r="J1250">
        <f>IF($H1250="","",IF(ROUND($F1250,2)&gt;0,IF($D1250="شخصی قاسم","شخصی قاسم",IF($D1250="هزینه","هزینه: "&amp;IF($E1250="","متفرقه",$E1250),IF(OR($B1250="",COUNTIF(AcctCodesA,$B1250)=0),"متفرقه",$B1250))),$A1250))</f>
        <v/>
      </c>
      <c r="K1250">
        <f>IF($A1250="","",IF(AND($B1250&lt;&gt;"",COUNTIF(AcctCodesA,$B1250)=0),"کد طرف در INFO تعریف نشده",IF(AND($D1250="هزینه",$E1250=""),"هزینه بدون زیرگروه",IF(AND($C1250="پاس چک",OR(Sync!$AJ1250="",COUNTIF(IssueNosA,Sync!$AJ1250)=0)),"شماره چک پاس‌شده معتبر نیست",""))))</f>
        <v/>
      </c>
      <c r="V1250">
        <f>IF($K1250="","",IF(ISNUMBER(Sync!$AK1250),Sync!$AK1250,LEFT(Sync!$AK1250,4)&amp;MID(Sync!$AK1250,6,2)&amp;RIGHT(Sync!$AK1250,2))&amp;"|"&amp;"4"&amp;RIGHT("00000"&amp;1245,5))</f>
        <v/>
      </c>
      <c r="W1250">
        <f>IF($V1250="",0,COUNTIFS($V$6:$V$2005,"&lt;"&amp;$V1250)-COUNTIFS($V$6:$V$2005,"&lt;"&amp;$V1250,$K$6:$K$2005,"")+1)</f>
        <v/>
      </c>
    </row>
    <row r="1251">
      <c r="A1251">
        <f>IF(Sync!$Z1251="","",LEFT(UPPER(TRIM(Sync!$Z1251)),6))</f>
        <v/>
      </c>
      <c r="B1251">
        <f>IF($A1251="","",IF(Sync!$AA1251="","",Sync!$AA1251))</f>
        <v/>
      </c>
      <c r="C1251">
        <f>IF($A1251="","",IF(Sync!$AB1251="","",Sync!$AB1251))</f>
        <v/>
      </c>
      <c r="D1251">
        <f>IF($A1251="","",IF(Sync!$AC1251="","",Sync!$AC1251))</f>
        <v/>
      </c>
      <c r="E1251">
        <f>IF($A1251="","",IF(Sync!$AD1251="","",Sync!$AD1251))</f>
        <v/>
      </c>
      <c r="F1251">
        <f>IF($A1251="","",IF(Sync!$AE1251="",0,Sync!$AE1251))</f>
        <v/>
      </c>
      <c r="G1251">
        <f>IF($A1251="","",IF(Sync!$AF1251="",0,Sync!$AF1251))</f>
        <v/>
      </c>
      <c r="H1251">
        <f>IF(OR($A1251="",ROUND($F1251+$G1251,2)=0),"",$F1251+$G1251)</f>
        <v/>
      </c>
      <c r="I1251">
        <f>IF($H1251="","",IF(ROUND($F1251,2)&gt;0,$A1251,IF($D1251="شخصی قاسم","شخصی قاسم",IF($D1251="هزینه","هزینه: "&amp;IF($E1251="","متفرقه",$E1251),IF($C1251="پاس چک","چک پرداختی",IF(OR($B1251="",COUNTIF(AcctCodesA,$B1251)=0),"متفرقه",$B1251))))))</f>
        <v/>
      </c>
      <c r="J1251">
        <f>IF($H1251="","",IF(ROUND($F1251,2)&gt;0,IF($D1251="شخصی قاسم","شخصی قاسم",IF($D1251="هزینه","هزینه: "&amp;IF($E1251="","متفرقه",$E1251),IF(OR($B1251="",COUNTIF(AcctCodesA,$B1251)=0),"متفرقه",$B1251))),$A1251))</f>
        <v/>
      </c>
      <c r="K1251">
        <f>IF($A1251="","",IF(AND($B1251&lt;&gt;"",COUNTIF(AcctCodesA,$B1251)=0),"کد طرف در INFO تعریف نشده",IF(AND($D1251="هزینه",$E1251=""),"هزینه بدون زیرگروه",IF(AND($C1251="پاس چک",OR(Sync!$AJ1251="",COUNTIF(IssueNosA,Sync!$AJ1251)=0)),"شماره چک پاس‌شده معتبر نیست",""))))</f>
        <v/>
      </c>
      <c r="V1251">
        <f>IF($K1251="","",IF(ISNUMBER(Sync!$AK1251),Sync!$AK1251,LEFT(Sync!$AK1251,4)&amp;MID(Sync!$AK1251,6,2)&amp;RIGHT(Sync!$AK1251,2))&amp;"|"&amp;"4"&amp;RIGHT("00000"&amp;1246,5))</f>
        <v/>
      </c>
      <c r="W1251">
        <f>IF($V1251="",0,COUNTIFS($V$6:$V$2005,"&lt;"&amp;$V1251)-COUNTIFS($V$6:$V$2005,"&lt;"&amp;$V1251,$K$6:$K$2005,"")+1)</f>
        <v/>
      </c>
    </row>
    <row r="1252">
      <c r="A1252">
        <f>IF(Sync!$Z1252="","",LEFT(UPPER(TRIM(Sync!$Z1252)),6))</f>
        <v/>
      </c>
      <c r="B1252">
        <f>IF($A1252="","",IF(Sync!$AA1252="","",Sync!$AA1252))</f>
        <v/>
      </c>
      <c r="C1252">
        <f>IF($A1252="","",IF(Sync!$AB1252="","",Sync!$AB1252))</f>
        <v/>
      </c>
      <c r="D1252">
        <f>IF($A1252="","",IF(Sync!$AC1252="","",Sync!$AC1252))</f>
        <v/>
      </c>
      <c r="E1252">
        <f>IF($A1252="","",IF(Sync!$AD1252="","",Sync!$AD1252))</f>
        <v/>
      </c>
      <c r="F1252">
        <f>IF($A1252="","",IF(Sync!$AE1252="",0,Sync!$AE1252))</f>
        <v/>
      </c>
      <c r="G1252">
        <f>IF($A1252="","",IF(Sync!$AF1252="",0,Sync!$AF1252))</f>
        <v/>
      </c>
      <c r="H1252">
        <f>IF(OR($A1252="",ROUND($F1252+$G1252,2)=0),"",$F1252+$G1252)</f>
        <v/>
      </c>
      <c r="I1252">
        <f>IF($H1252="","",IF(ROUND($F1252,2)&gt;0,$A1252,IF($D1252="شخصی قاسم","شخصی قاسم",IF($D1252="هزینه","هزینه: "&amp;IF($E1252="","متفرقه",$E1252),IF($C1252="پاس چک","چک پرداختی",IF(OR($B1252="",COUNTIF(AcctCodesA,$B1252)=0),"متفرقه",$B1252))))))</f>
        <v/>
      </c>
      <c r="J1252">
        <f>IF($H1252="","",IF(ROUND($F1252,2)&gt;0,IF($D1252="شخصی قاسم","شخصی قاسم",IF($D1252="هزینه","هزینه: "&amp;IF($E1252="","متفرقه",$E1252),IF(OR($B1252="",COUNTIF(AcctCodesA,$B1252)=0),"متفرقه",$B1252))),$A1252))</f>
        <v/>
      </c>
      <c r="K1252">
        <f>IF($A1252="","",IF(AND($B1252&lt;&gt;"",COUNTIF(AcctCodesA,$B1252)=0),"کد طرف در INFO تعریف نشده",IF(AND($D1252="هزینه",$E1252=""),"هزینه بدون زیرگروه",IF(AND($C1252="پاس چک",OR(Sync!$AJ1252="",COUNTIF(IssueNosA,Sync!$AJ1252)=0)),"شماره چک پاس‌شده معتبر نیست",""))))</f>
        <v/>
      </c>
      <c r="V1252">
        <f>IF($K1252="","",IF(ISNUMBER(Sync!$AK1252),Sync!$AK1252,LEFT(Sync!$AK1252,4)&amp;MID(Sync!$AK1252,6,2)&amp;RIGHT(Sync!$AK1252,2))&amp;"|"&amp;"4"&amp;RIGHT("00000"&amp;1247,5))</f>
        <v/>
      </c>
      <c r="W1252">
        <f>IF($V1252="",0,COUNTIFS($V$6:$V$2005,"&lt;"&amp;$V1252)-COUNTIFS($V$6:$V$2005,"&lt;"&amp;$V1252,$K$6:$K$2005,"")+1)</f>
        <v/>
      </c>
    </row>
    <row r="1253">
      <c r="A1253">
        <f>IF(Sync!$Z1253="","",LEFT(UPPER(TRIM(Sync!$Z1253)),6))</f>
        <v/>
      </c>
      <c r="B1253">
        <f>IF($A1253="","",IF(Sync!$AA1253="","",Sync!$AA1253))</f>
        <v/>
      </c>
      <c r="C1253">
        <f>IF($A1253="","",IF(Sync!$AB1253="","",Sync!$AB1253))</f>
        <v/>
      </c>
      <c r="D1253">
        <f>IF($A1253="","",IF(Sync!$AC1253="","",Sync!$AC1253))</f>
        <v/>
      </c>
      <c r="E1253">
        <f>IF($A1253="","",IF(Sync!$AD1253="","",Sync!$AD1253))</f>
        <v/>
      </c>
      <c r="F1253">
        <f>IF($A1253="","",IF(Sync!$AE1253="",0,Sync!$AE1253))</f>
        <v/>
      </c>
      <c r="G1253">
        <f>IF($A1253="","",IF(Sync!$AF1253="",0,Sync!$AF1253))</f>
        <v/>
      </c>
      <c r="H1253">
        <f>IF(OR($A1253="",ROUND($F1253+$G1253,2)=0),"",$F1253+$G1253)</f>
        <v/>
      </c>
      <c r="I1253">
        <f>IF($H1253="","",IF(ROUND($F1253,2)&gt;0,$A1253,IF($D1253="شخصی قاسم","شخصی قاسم",IF($D1253="هزینه","هزینه: "&amp;IF($E1253="","متفرقه",$E1253),IF($C1253="پاس چک","چک پرداختی",IF(OR($B1253="",COUNTIF(AcctCodesA,$B1253)=0),"متفرقه",$B1253))))))</f>
        <v/>
      </c>
      <c r="J1253">
        <f>IF($H1253="","",IF(ROUND($F1253,2)&gt;0,IF($D1253="شخصی قاسم","شخصی قاسم",IF($D1253="هزینه","هزینه: "&amp;IF($E1253="","متفرقه",$E1253),IF(OR($B1253="",COUNTIF(AcctCodesA,$B1253)=0),"متفرقه",$B1253))),$A1253))</f>
        <v/>
      </c>
      <c r="K1253">
        <f>IF($A1253="","",IF(AND($B1253&lt;&gt;"",COUNTIF(AcctCodesA,$B1253)=0),"کد طرف در INFO تعریف نشده",IF(AND($D1253="هزینه",$E1253=""),"هزینه بدون زیرگروه",IF(AND($C1253="پاس چک",OR(Sync!$AJ1253="",COUNTIF(IssueNosA,Sync!$AJ1253)=0)),"شماره چک پاس‌شده معتبر نیست",""))))</f>
        <v/>
      </c>
      <c r="V1253">
        <f>IF($K1253="","",IF(ISNUMBER(Sync!$AK1253),Sync!$AK1253,LEFT(Sync!$AK1253,4)&amp;MID(Sync!$AK1253,6,2)&amp;RIGHT(Sync!$AK1253,2))&amp;"|"&amp;"4"&amp;RIGHT("00000"&amp;1248,5))</f>
        <v/>
      </c>
      <c r="W1253">
        <f>IF($V1253="",0,COUNTIFS($V$6:$V$2005,"&lt;"&amp;$V1253)-COUNTIFS($V$6:$V$2005,"&lt;"&amp;$V1253,$K$6:$K$2005,"")+1)</f>
        <v/>
      </c>
    </row>
    <row r="1254">
      <c r="A1254">
        <f>IF(Sync!$Z1254="","",LEFT(UPPER(TRIM(Sync!$Z1254)),6))</f>
        <v/>
      </c>
      <c r="B1254">
        <f>IF($A1254="","",IF(Sync!$AA1254="","",Sync!$AA1254))</f>
        <v/>
      </c>
      <c r="C1254">
        <f>IF($A1254="","",IF(Sync!$AB1254="","",Sync!$AB1254))</f>
        <v/>
      </c>
      <c r="D1254">
        <f>IF($A1254="","",IF(Sync!$AC1254="","",Sync!$AC1254))</f>
        <v/>
      </c>
      <c r="E1254">
        <f>IF($A1254="","",IF(Sync!$AD1254="","",Sync!$AD1254))</f>
        <v/>
      </c>
      <c r="F1254">
        <f>IF($A1254="","",IF(Sync!$AE1254="",0,Sync!$AE1254))</f>
        <v/>
      </c>
      <c r="G1254">
        <f>IF($A1254="","",IF(Sync!$AF1254="",0,Sync!$AF1254))</f>
        <v/>
      </c>
      <c r="H1254">
        <f>IF(OR($A1254="",ROUND($F1254+$G1254,2)=0),"",$F1254+$G1254)</f>
        <v/>
      </c>
      <c r="I1254">
        <f>IF($H1254="","",IF(ROUND($F1254,2)&gt;0,$A1254,IF($D1254="شخصی قاسم","شخصی قاسم",IF($D1254="هزینه","هزینه: "&amp;IF($E1254="","متفرقه",$E1254),IF($C1254="پاس چک","چک پرداختی",IF(OR($B1254="",COUNTIF(AcctCodesA,$B1254)=0),"متفرقه",$B1254))))))</f>
        <v/>
      </c>
      <c r="J1254">
        <f>IF($H1254="","",IF(ROUND($F1254,2)&gt;0,IF($D1254="شخصی قاسم","شخصی قاسم",IF($D1254="هزینه","هزینه: "&amp;IF($E1254="","متفرقه",$E1254),IF(OR($B1254="",COUNTIF(AcctCodesA,$B1254)=0),"متفرقه",$B1254))),$A1254))</f>
        <v/>
      </c>
      <c r="K1254">
        <f>IF($A1254="","",IF(AND($B1254&lt;&gt;"",COUNTIF(AcctCodesA,$B1254)=0),"کد طرف در INFO تعریف نشده",IF(AND($D1254="هزینه",$E1254=""),"هزینه بدون زیرگروه",IF(AND($C1254="پاس چک",OR(Sync!$AJ1254="",COUNTIF(IssueNosA,Sync!$AJ1254)=0)),"شماره چک پاس‌شده معتبر نیست",""))))</f>
        <v/>
      </c>
      <c r="V1254">
        <f>IF($K1254="","",IF(ISNUMBER(Sync!$AK1254),Sync!$AK1254,LEFT(Sync!$AK1254,4)&amp;MID(Sync!$AK1254,6,2)&amp;RIGHT(Sync!$AK1254,2))&amp;"|"&amp;"4"&amp;RIGHT("00000"&amp;1249,5))</f>
        <v/>
      </c>
      <c r="W1254">
        <f>IF($V1254="",0,COUNTIFS($V$6:$V$2005,"&lt;"&amp;$V1254)-COUNTIFS($V$6:$V$2005,"&lt;"&amp;$V1254,$K$6:$K$2005,"")+1)</f>
        <v/>
      </c>
    </row>
    <row r="1255">
      <c r="A1255">
        <f>IF(Sync!$Z1255="","",LEFT(UPPER(TRIM(Sync!$Z1255)),6))</f>
        <v/>
      </c>
      <c r="B1255">
        <f>IF($A1255="","",IF(Sync!$AA1255="","",Sync!$AA1255))</f>
        <v/>
      </c>
      <c r="C1255">
        <f>IF($A1255="","",IF(Sync!$AB1255="","",Sync!$AB1255))</f>
        <v/>
      </c>
      <c r="D1255">
        <f>IF($A1255="","",IF(Sync!$AC1255="","",Sync!$AC1255))</f>
        <v/>
      </c>
      <c r="E1255">
        <f>IF($A1255="","",IF(Sync!$AD1255="","",Sync!$AD1255))</f>
        <v/>
      </c>
      <c r="F1255">
        <f>IF($A1255="","",IF(Sync!$AE1255="",0,Sync!$AE1255))</f>
        <v/>
      </c>
      <c r="G1255">
        <f>IF($A1255="","",IF(Sync!$AF1255="",0,Sync!$AF1255))</f>
        <v/>
      </c>
      <c r="H1255">
        <f>IF(OR($A1255="",ROUND($F1255+$G1255,2)=0),"",$F1255+$G1255)</f>
        <v/>
      </c>
      <c r="I1255">
        <f>IF($H1255="","",IF(ROUND($F1255,2)&gt;0,$A1255,IF($D1255="شخصی قاسم","شخصی قاسم",IF($D1255="هزینه","هزینه: "&amp;IF($E1255="","متفرقه",$E1255),IF($C1255="پاس چک","چک پرداختی",IF(OR($B1255="",COUNTIF(AcctCodesA,$B1255)=0),"متفرقه",$B1255))))))</f>
        <v/>
      </c>
      <c r="J1255">
        <f>IF($H1255="","",IF(ROUND($F1255,2)&gt;0,IF($D1255="شخصی قاسم","شخصی قاسم",IF($D1255="هزینه","هزینه: "&amp;IF($E1255="","متفرقه",$E1255),IF(OR($B1255="",COUNTIF(AcctCodesA,$B1255)=0),"متفرقه",$B1255))),$A1255))</f>
        <v/>
      </c>
      <c r="K1255">
        <f>IF($A1255="","",IF(AND($B1255&lt;&gt;"",COUNTIF(AcctCodesA,$B1255)=0),"کد طرف در INFO تعریف نشده",IF(AND($D1255="هزینه",$E1255=""),"هزینه بدون زیرگروه",IF(AND($C1255="پاس چک",OR(Sync!$AJ1255="",COUNTIF(IssueNosA,Sync!$AJ1255)=0)),"شماره چک پاس‌شده معتبر نیست",""))))</f>
        <v/>
      </c>
      <c r="V1255">
        <f>IF($K1255="","",IF(ISNUMBER(Sync!$AK1255),Sync!$AK1255,LEFT(Sync!$AK1255,4)&amp;MID(Sync!$AK1255,6,2)&amp;RIGHT(Sync!$AK1255,2))&amp;"|"&amp;"4"&amp;RIGHT("00000"&amp;1250,5))</f>
        <v/>
      </c>
      <c r="W1255">
        <f>IF($V1255="",0,COUNTIFS($V$6:$V$2005,"&lt;"&amp;$V1255)-COUNTIFS($V$6:$V$2005,"&lt;"&amp;$V1255,$K$6:$K$2005,"")+1)</f>
        <v/>
      </c>
    </row>
    <row r="1256">
      <c r="A1256">
        <f>IF(Sync!$Z1256="","",LEFT(UPPER(TRIM(Sync!$Z1256)),6))</f>
        <v/>
      </c>
      <c r="B1256">
        <f>IF($A1256="","",IF(Sync!$AA1256="","",Sync!$AA1256))</f>
        <v/>
      </c>
      <c r="C1256">
        <f>IF($A1256="","",IF(Sync!$AB1256="","",Sync!$AB1256))</f>
        <v/>
      </c>
      <c r="D1256">
        <f>IF($A1256="","",IF(Sync!$AC1256="","",Sync!$AC1256))</f>
        <v/>
      </c>
      <c r="E1256">
        <f>IF($A1256="","",IF(Sync!$AD1256="","",Sync!$AD1256))</f>
        <v/>
      </c>
      <c r="F1256">
        <f>IF($A1256="","",IF(Sync!$AE1256="",0,Sync!$AE1256))</f>
        <v/>
      </c>
      <c r="G1256">
        <f>IF($A1256="","",IF(Sync!$AF1256="",0,Sync!$AF1256))</f>
        <v/>
      </c>
      <c r="H1256">
        <f>IF(OR($A1256="",ROUND($F1256+$G1256,2)=0),"",$F1256+$G1256)</f>
        <v/>
      </c>
      <c r="I1256">
        <f>IF($H1256="","",IF(ROUND($F1256,2)&gt;0,$A1256,IF($D1256="شخصی قاسم","شخصی قاسم",IF($D1256="هزینه","هزینه: "&amp;IF($E1256="","متفرقه",$E1256),IF($C1256="پاس چک","چک پرداختی",IF(OR($B1256="",COUNTIF(AcctCodesA,$B1256)=0),"متفرقه",$B1256))))))</f>
        <v/>
      </c>
      <c r="J1256">
        <f>IF($H1256="","",IF(ROUND($F1256,2)&gt;0,IF($D1256="شخصی قاسم","شخصی قاسم",IF($D1256="هزینه","هزینه: "&amp;IF($E1256="","متفرقه",$E1256),IF(OR($B1256="",COUNTIF(AcctCodesA,$B1256)=0),"متفرقه",$B1256))),$A1256))</f>
        <v/>
      </c>
      <c r="K1256">
        <f>IF($A1256="","",IF(AND($B1256&lt;&gt;"",COUNTIF(AcctCodesA,$B1256)=0),"کد طرف در INFO تعریف نشده",IF(AND($D1256="هزینه",$E1256=""),"هزینه بدون زیرگروه",IF(AND($C1256="پاس چک",OR(Sync!$AJ1256="",COUNTIF(IssueNosA,Sync!$AJ1256)=0)),"شماره چک پاس‌شده معتبر نیست",""))))</f>
        <v/>
      </c>
      <c r="V1256">
        <f>IF($K1256="","",IF(ISNUMBER(Sync!$AK1256),Sync!$AK1256,LEFT(Sync!$AK1256,4)&amp;MID(Sync!$AK1256,6,2)&amp;RIGHT(Sync!$AK1256,2))&amp;"|"&amp;"4"&amp;RIGHT("00000"&amp;1251,5))</f>
        <v/>
      </c>
      <c r="W1256">
        <f>IF($V1256="",0,COUNTIFS($V$6:$V$2005,"&lt;"&amp;$V1256)-COUNTIFS($V$6:$V$2005,"&lt;"&amp;$V1256,$K$6:$K$2005,"")+1)</f>
        <v/>
      </c>
    </row>
    <row r="1257">
      <c r="A1257">
        <f>IF(Sync!$Z1257="","",LEFT(UPPER(TRIM(Sync!$Z1257)),6))</f>
        <v/>
      </c>
      <c r="B1257">
        <f>IF($A1257="","",IF(Sync!$AA1257="","",Sync!$AA1257))</f>
        <v/>
      </c>
      <c r="C1257">
        <f>IF($A1257="","",IF(Sync!$AB1257="","",Sync!$AB1257))</f>
        <v/>
      </c>
      <c r="D1257">
        <f>IF($A1257="","",IF(Sync!$AC1257="","",Sync!$AC1257))</f>
        <v/>
      </c>
      <c r="E1257">
        <f>IF($A1257="","",IF(Sync!$AD1257="","",Sync!$AD1257))</f>
        <v/>
      </c>
      <c r="F1257">
        <f>IF($A1257="","",IF(Sync!$AE1257="",0,Sync!$AE1257))</f>
        <v/>
      </c>
      <c r="G1257">
        <f>IF($A1257="","",IF(Sync!$AF1257="",0,Sync!$AF1257))</f>
        <v/>
      </c>
      <c r="H1257">
        <f>IF(OR($A1257="",ROUND($F1257+$G1257,2)=0),"",$F1257+$G1257)</f>
        <v/>
      </c>
      <c r="I1257">
        <f>IF($H1257="","",IF(ROUND($F1257,2)&gt;0,$A1257,IF($D1257="شخصی قاسم","شخصی قاسم",IF($D1257="هزینه","هزینه: "&amp;IF($E1257="","متفرقه",$E1257),IF($C1257="پاس چک","چک پرداختی",IF(OR($B1257="",COUNTIF(AcctCodesA,$B1257)=0),"متفرقه",$B1257))))))</f>
        <v/>
      </c>
      <c r="J1257">
        <f>IF($H1257="","",IF(ROUND($F1257,2)&gt;0,IF($D1257="شخصی قاسم","شخصی قاسم",IF($D1257="هزینه","هزینه: "&amp;IF($E1257="","متفرقه",$E1257),IF(OR($B1257="",COUNTIF(AcctCodesA,$B1257)=0),"متفرقه",$B1257))),$A1257))</f>
        <v/>
      </c>
      <c r="K1257">
        <f>IF($A1257="","",IF(AND($B1257&lt;&gt;"",COUNTIF(AcctCodesA,$B1257)=0),"کد طرف در INFO تعریف نشده",IF(AND($D1257="هزینه",$E1257=""),"هزینه بدون زیرگروه",IF(AND($C1257="پاس چک",OR(Sync!$AJ1257="",COUNTIF(IssueNosA,Sync!$AJ1257)=0)),"شماره چک پاس‌شده معتبر نیست",""))))</f>
        <v/>
      </c>
      <c r="V1257">
        <f>IF($K1257="","",IF(ISNUMBER(Sync!$AK1257),Sync!$AK1257,LEFT(Sync!$AK1257,4)&amp;MID(Sync!$AK1257,6,2)&amp;RIGHT(Sync!$AK1257,2))&amp;"|"&amp;"4"&amp;RIGHT("00000"&amp;1252,5))</f>
        <v/>
      </c>
      <c r="W1257">
        <f>IF($V1257="",0,COUNTIFS($V$6:$V$2005,"&lt;"&amp;$V1257)-COUNTIFS($V$6:$V$2005,"&lt;"&amp;$V1257,$K$6:$K$2005,"")+1)</f>
        <v/>
      </c>
    </row>
    <row r="1258">
      <c r="A1258">
        <f>IF(Sync!$Z1258="","",LEFT(UPPER(TRIM(Sync!$Z1258)),6))</f>
        <v/>
      </c>
      <c r="B1258">
        <f>IF($A1258="","",IF(Sync!$AA1258="","",Sync!$AA1258))</f>
        <v/>
      </c>
      <c r="C1258">
        <f>IF($A1258="","",IF(Sync!$AB1258="","",Sync!$AB1258))</f>
        <v/>
      </c>
      <c r="D1258">
        <f>IF($A1258="","",IF(Sync!$AC1258="","",Sync!$AC1258))</f>
        <v/>
      </c>
      <c r="E1258">
        <f>IF($A1258="","",IF(Sync!$AD1258="","",Sync!$AD1258))</f>
        <v/>
      </c>
      <c r="F1258">
        <f>IF($A1258="","",IF(Sync!$AE1258="",0,Sync!$AE1258))</f>
        <v/>
      </c>
      <c r="G1258">
        <f>IF($A1258="","",IF(Sync!$AF1258="",0,Sync!$AF1258))</f>
        <v/>
      </c>
      <c r="H1258">
        <f>IF(OR($A1258="",ROUND($F1258+$G1258,2)=0),"",$F1258+$G1258)</f>
        <v/>
      </c>
      <c r="I1258">
        <f>IF($H1258="","",IF(ROUND($F1258,2)&gt;0,$A1258,IF($D1258="شخصی قاسم","شخصی قاسم",IF($D1258="هزینه","هزینه: "&amp;IF($E1258="","متفرقه",$E1258),IF($C1258="پاس چک","چک پرداختی",IF(OR($B1258="",COUNTIF(AcctCodesA,$B1258)=0),"متفرقه",$B1258))))))</f>
        <v/>
      </c>
      <c r="J1258">
        <f>IF($H1258="","",IF(ROUND($F1258,2)&gt;0,IF($D1258="شخصی قاسم","شخصی قاسم",IF($D1258="هزینه","هزینه: "&amp;IF($E1258="","متفرقه",$E1258),IF(OR($B1258="",COUNTIF(AcctCodesA,$B1258)=0),"متفرقه",$B1258))),$A1258))</f>
        <v/>
      </c>
      <c r="K1258">
        <f>IF($A1258="","",IF(AND($B1258&lt;&gt;"",COUNTIF(AcctCodesA,$B1258)=0),"کد طرف در INFO تعریف نشده",IF(AND($D1258="هزینه",$E1258=""),"هزینه بدون زیرگروه",IF(AND($C1258="پاس چک",OR(Sync!$AJ1258="",COUNTIF(IssueNosA,Sync!$AJ1258)=0)),"شماره چک پاس‌شده معتبر نیست",""))))</f>
        <v/>
      </c>
      <c r="V1258">
        <f>IF($K1258="","",IF(ISNUMBER(Sync!$AK1258),Sync!$AK1258,LEFT(Sync!$AK1258,4)&amp;MID(Sync!$AK1258,6,2)&amp;RIGHT(Sync!$AK1258,2))&amp;"|"&amp;"4"&amp;RIGHT("00000"&amp;1253,5))</f>
        <v/>
      </c>
      <c r="W1258">
        <f>IF($V1258="",0,COUNTIFS($V$6:$V$2005,"&lt;"&amp;$V1258)-COUNTIFS($V$6:$V$2005,"&lt;"&amp;$V1258,$K$6:$K$2005,"")+1)</f>
        <v/>
      </c>
    </row>
    <row r="1259">
      <c r="A1259">
        <f>IF(Sync!$Z1259="","",LEFT(UPPER(TRIM(Sync!$Z1259)),6))</f>
        <v/>
      </c>
      <c r="B1259">
        <f>IF($A1259="","",IF(Sync!$AA1259="","",Sync!$AA1259))</f>
        <v/>
      </c>
      <c r="C1259">
        <f>IF($A1259="","",IF(Sync!$AB1259="","",Sync!$AB1259))</f>
        <v/>
      </c>
      <c r="D1259">
        <f>IF($A1259="","",IF(Sync!$AC1259="","",Sync!$AC1259))</f>
        <v/>
      </c>
      <c r="E1259">
        <f>IF($A1259="","",IF(Sync!$AD1259="","",Sync!$AD1259))</f>
        <v/>
      </c>
      <c r="F1259">
        <f>IF($A1259="","",IF(Sync!$AE1259="",0,Sync!$AE1259))</f>
        <v/>
      </c>
      <c r="G1259">
        <f>IF($A1259="","",IF(Sync!$AF1259="",0,Sync!$AF1259))</f>
        <v/>
      </c>
      <c r="H1259">
        <f>IF(OR($A1259="",ROUND($F1259+$G1259,2)=0),"",$F1259+$G1259)</f>
        <v/>
      </c>
      <c r="I1259">
        <f>IF($H1259="","",IF(ROUND($F1259,2)&gt;0,$A1259,IF($D1259="شخصی قاسم","شخصی قاسم",IF($D1259="هزینه","هزینه: "&amp;IF($E1259="","متفرقه",$E1259),IF($C1259="پاس چک","چک پرداختی",IF(OR($B1259="",COUNTIF(AcctCodesA,$B1259)=0),"متفرقه",$B1259))))))</f>
        <v/>
      </c>
      <c r="J1259">
        <f>IF($H1259="","",IF(ROUND($F1259,2)&gt;0,IF($D1259="شخصی قاسم","شخصی قاسم",IF($D1259="هزینه","هزینه: "&amp;IF($E1259="","متفرقه",$E1259),IF(OR($B1259="",COUNTIF(AcctCodesA,$B1259)=0),"متفرقه",$B1259))),$A1259))</f>
        <v/>
      </c>
      <c r="K1259">
        <f>IF($A1259="","",IF(AND($B1259&lt;&gt;"",COUNTIF(AcctCodesA,$B1259)=0),"کد طرف در INFO تعریف نشده",IF(AND($D1259="هزینه",$E1259=""),"هزینه بدون زیرگروه",IF(AND($C1259="پاس چک",OR(Sync!$AJ1259="",COUNTIF(IssueNosA,Sync!$AJ1259)=0)),"شماره چک پاس‌شده معتبر نیست",""))))</f>
        <v/>
      </c>
      <c r="V1259">
        <f>IF($K1259="","",IF(ISNUMBER(Sync!$AK1259),Sync!$AK1259,LEFT(Sync!$AK1259,4)&amp;MID(Sync!$AK1259,6,2)&amp;RIGHT(Sync!$AK1259,2))&amp;"|"&amp;"4"&amp;RIGHT("00000"&amp;1254,5))</f>
        <v/>
      </c>
      <c r="W1259">
        <f>IF($V1259="",0,COUNTIFS($V$6:$V$2005,"&lt;"&amp;$V1259)-COUNTIFS($V$6:$V$2005,"&lt;"&amp;$V1259,$K$6:$K$2005,"")+1)</f>
        <v/>
      </c>
    </row>
    <row r="1260">
      <c r="A1260">
        <f>IF(Sync!$Z1260="","",LEFT(UPPER(TRIM(Sync!$Z1260)),6))</f>
        <v/>
      </c>
      <c r="B1260">
        <f>IF($A1260="","",IF(Sync!$AA1260="","",Sync!$AA1260))</f>
        <v/>
      </c>
      <c r="C1260">
        <f>IF($A1260="","",IF(Sync!$AB1260="","",Sync!$AB1260))</f>
        <v/>
      </c>
      <c r="D1260">
        <f>IF($A1260="","",IF(Sync!$AC1260="","",Sync!$AC1260))</f>
        <v/>
      </c>
      <c r="E1260">
        <f>IF($A1260="","",IF(Sync!$AD1260="","",Sync!$AD1260))</f>
        <v/>
      </c>
      <c r="F1260">
        <f>IF($A1260="","",IF(Sync!$AE1260="",0,Sync!$AE1260))</f>
        <v/>
      </c>
      <c r="G1260">
        <f>IF($A1260="","",IF(Sync!$AF1260="",0,Sync!$AF1260))</f>
        <v/>
      </c>
      <c r="H1260">
        <f>IF(OR($A1260="",ROUND($F1260+$G1260,2)=0),"",$F1260+$G1260)</f>
        <v/>
      </c>
      <c r="I1260">
        <f>IF($H1260="","",IF(ROUND($F1260,2)&gt;0,$A1260,IF($D1260="شخصی قاسم","شخصی قاسم",IF($D1260="هزینه","هزینه: "&amp;IF($E1260="","متفرقه",$E1260),IF($C1260="پاس چک","چک پرداختی",IF(OR($B1260="",COUNTIF(AcctCodesA,$B1260)=0),"متفرقه",$B1260))))))</f>
        <v/>
      </c>
      <c r="J1260">
        <f>IF($H1260="","",IF(ROUND($F1260,2)&gt;0,IF($D1260="شخصی قاسم","شخصی قاسم",IF($D1260="هزینه","هزینه: "&amp;IF($E1260="","متفرقه",$E1260),IF(OR($B1260="",COUNTIF(AcctCodesA,$B1260)=0),"متفرقه",$B1260))),$A1260))</f>
        <v/>
      </c>
      <c r="K1260">
        <f>IF($A1260="","",IF(AND($B1260&lt;&gt;"",COUNTIF(AcctCodesA,$B1260)=0),"کد طرف در INFO تعریف نشده",IF(AND($D1260="هزینه",$E1260=""),"هزینه بدون زیرگروه",IF(AND($C1260="پاس چک",OR(Sync!$AJ1260="",COUNTIF(IssueNosA,Sync!$AJ1260)=0)),"شماره چک پاس‌شده معتبر نیست",""))))</f>
        <v/>
      </c>
      <c r="V1260">
        <f>IF($K1260="","",IF(ISNUMBER(Sync!$AK1260),Sync!$AK1260,LEFT(Sync!$AK1260,4)&amp;MID(Sync!$AK1260,6,2)&amp;RIGHT(Sync!$AK1260,2))&amp;"|"&amp;"4"&amp;RIGHT("00000"&amp;1255,5))</f>
        <v/>
      </c>
      <c r="W1260">
        <f>IF($V1260="",0,COUNTIFS($V$6:$V$2005,"&lt;"&amp;$V1260)-COUNTIFS($V$6:$V$2005,"&lt;"&amp;$V1260,$K$6:$K$2005,"")+1)</f>
        <v/>
      </c>
    </row>
    <row r="1261">
      <c r="A1261">
        <f>IF(Sync!$Z1261="","",LEFT(UPPER(TRIM(Sync!$Z1261)),6))</f>
        <v/>
      </c>
      <c r="B1261">
        <f>IF($A1261="","",IF(Sync!$AA1261="","",Sync!$AA1261))</f>
        <v/>
      </c>
      <c r="C1261">
        <f>IF($A1261="","",IF(Sync!$AB1261="","",Sync!$AB1261))</f>
        <v/>
      </c>
      <c r="D1261">
        <f>IF($A1261="","",IF(Sync!$AC1261="","",Sync!$AC1261))</f>
        <v/>
      </c>
      <c r="E1261">
        <f>IF($A1261="","",IF(Sync!$AD1261="","",Sync!$AD1261))</f>
        <v/>
      </c>
      <c r="F1261">
        <f>IF($A1261="","",IF(Sync!$AE1261="",0,Sync!$AE1261))</f>
        <v/>
      </c>
      <c r="G1261">
        <f>IF($A1261="","",IF(Sync!$AF1261="",0,Sync!$AF1261))</f>
        <v/>
      </c>
      <c r="H1261">
        <f>IF(OR($A1261="",ROUND($F1261+$G1261,2)=0),"",$F1261+$G1261)</f>
        <v/>
      </c>
      <c r="I1261">
        <f>IF($H1261="","",IF(ROUND($F1261,2)&gt;0,$A1261,IF($D1261="شخصی قاسم","شخصی قاسم",IF($D1261="هزینه","هزینه: "&amp;IF($E1261="","متفرقه",$E1261),IF($C1261="پاس چک","چک پرداختی",IF(OR($B1261="",COUNTIF(AcctCodesA,$B1261)=0),"متفرقه",$B1261))))))</f>
        <v/>
      </c>
      <c r="J1261">
        <f>IF($H1261="","",IF(ROUND($F1261,2)&gt;0,IF($D1261="شخصی قاسم","شخصی قاسم",IF($D1261="هزینه","هزینه: "&amp;IF($E1261="","متفرقه",$E1261),IF(OR($B1261="",COUNTIF(AcctCodesA,$B1261)=0),"متفرقه",$B1261))),$A1261))</f>
        <v/>
      </c>
      <c r="K1261">
        <f>IF($A1261="","",IF(AND($B1261&lt;&gt;"",COUNTIF(AcctCodesA,$B1261)=0),"کد طرف در INFO تعریف نشده",IF(AND($D1261="هزینه",$E1261=""),"هزینه بدون زیرگروه",IF(AND($C1261="پاس چک",OR(Sync!$AJ1261="",COUNTIF(IssueNosA,Sync!$AJ1261)=0)),"شماره چک پاس‌شده معتبر نیست",""))))</f>
        <v/>
      </c>
      <c r="V1261">
        <f>IF($K1261="","",IF(ISNUMBER(Sync!$AK1261),Sync!$AK1261,LEFT(Sync!$AK1261,4)&amp;MID(Sync!$AK1261,6,2)&amp;RIGHT(Sync!$AK1261,2))&amp;"|"&amp;"4"&amp;RIGHT("00000"&amp;1256,5))</f>
        <v/>
      </c>
      <c r="W1261">
        <f>IF($V1261="",0,COUNTIFS($V$6:$V$2005,"&lt;"&amp;$V1261)-COUNTIFS($V$6:$V$2005,"&lt;"&amp;$V1261,$K$6:$K$2005,"")+1)</f>
        <v/>
      </c>
    </row>
    <row r="1262">
      <c r="A1262">
        <f>IF(Sync!$Z1262="","",LEFT(UPPER(TRIM(Sync!$Z1262)),6))</f>
        <v/>
      </c>
      <c r="B1262">
        <f>IF($A1262="","",IF(Sync!$AA1262="","",Sync!$AA1262))</f>
        <v/>
      </c>
      <c r="C1262">
        <f>IF($A1262="","",IF(Sync!$AB1262="","",Sync!$AB1262))</f>
        <v/>
      </c>
      <c r="D1262">
        <f>IF($A1262="","",IF(Sync!$AC1262="","",Sync!$AC1262))</f>
        <v/>
      </c>
      <c r="E1262">
        <f>IF($A1262="","",IF(Sync!$AD1262="","",Sync!$AD1262))</f>
        <v/>
      </c>
      <c r="F1262">
        <f>IF($A1262="","",IF(Sync!$AE1262="",0,Sync!$AE1262))</f>
        <v/>
      </c>
      <c r="G1262">
        <f>IF($A1262="","",IF(Sync!$AF1262="",0,Sync!$AF1262))</f>
        <v/>
      </c>
      <c r="H1262">
        <f>IF(OR($A1262="",ROUND($F1262+$G1262,2)=0),"",$F1262+$G1262)</f>
        <v/>
      </c>
      <c r="I1262">
        <f>IF($H1262="","",IF(ROUND($F1262,2)&gt;0,$A1262,IF($D1262="شخصی قاسم","شخصی قاسم",IF($D1262="هزینه","هزینه: "&amp;IF($E1262="","متفرقه",$E1262),IF($C1262="پاس چک","چک پرداختی",IF(OR($B1262="",COUNTIF(AcctCodesA,$B1262)=0),"متفرقه",$B1262))))))</f>
        <v/>
      </c>
      <c r="J1262">
        <f>IF($H1262="","",IF(ROUND($F1262,2)&gt;0,IF($D1262="شخصی قاسم","شخصی قاسم",IF($D1262="هزینه","هزینه: "&amp;IF($E1262="","متفرقه",$E1262),IF(OR($B1262="",COUNTIF(AcctCodesA,$B1262)=0),"متفرقه",$B1262))),$A1262))</f>
        <v/>
      </c>
      <c r="K1262">
        <f>IF($A1262="","",IF(AND($B1262&lt;&gt;"",COUNTIF(AcctCodesA,$B1262)=0),"کد طرف در INFO تعریف نشده",IF(AND($D1262="هزینه",$E1262=""),"هزینه بدون زیرگروه",IF(AND($C1262="پاس چک",OR(Sync!$AJ1262="",COUNTIF(IssueNosA,Sync!$AJ1262)=0)),"شماره چک پاس‌شده معتبر نیست",""))))</f>
        <v/>
      </c>
      <c r="V1262">
        <f>IF($K1262="","",IF(ISNUMBER(Sync!$AK1262),Sync!$AK1262,LEFT(Sync!$AK1262,4)&amp;MID(Sync!$AK1262,6,2)&amp;RIGHT(Sync!$AK1262,2))&amp;"|"&amp;"4"&amp;RIGHT("00000"&amp;1257,5))</f>
        <v/>
      </c>
      <c r="W1262">
        <f>IF($V1262="",0,COUNTIFS($V$6:$V$2005,"&lt;"&amp;$V1262)-COUNTIFS($V$6:$V$2005,"&lt;"&amp;$V1262,$K$6:$K$2005,"")+1)</f>
        <v/>
      </c>
    </row>
    <row r="1263">
      <c r="A1263">
        <f>IF(Sync!$Z1263="","",LEFT(UPPER(TRIM(Sync!$Z1263)),6))</f>
        <v/>
      </c>
      <c r="B1263">
        <f>IF($A1263="","",IF(Sync!$AA1263="","",Sync!$AA1263))</f>
        <v/>
      </c>
      <c r="C1263">
        <f>IF($A1263="","",IF(Sync!$AB1263="","",Sync!$AB1263))</f>
        <v/>
      </c>
      <c r="D1263">
        <f>IF($A1263="","",IF(Sync!$AC1263="","",Sync!$AC1263))</f>
        <v/>
      </c>
      <c r="E1263">
        <f>IF($A1263="","",IF(Sync!$AD1263="","",Sync!$AD1263))</f>
        <v/>
      </c>
      <c r="F1263">
        <f>IF($A1263="","",IF(Sync!$AE1263="",0,Sync!$AE1263))</f>
        <v/>
      </c>
      <c r="G1263">
        <f>IF($A1263="","",IF(Sync!$AF1263="",0,Sync!$AF1263))</f>
        <v/>
      </c>
      <c r="H1263">
        <f>IF(OR($A1263="",ROUND($F1263+$G1263,2)=0),"",$F1263+$G1263)</f>
        <v/>
      </c>
      <c r="I1263">
        <f>IF($H1263="","",IF(ROUND($F1263,2)&gt;0,$A1263,IF($D1263="شخصی قاسم","شخصی قاسم",IF($D1263="هزینه","هزینه: "&amp;IF($E1263="","متفرقه",$E1263),IF($C1263="پاس چک","چک پرداختی",IF(OR($B1263="",COUNTIF(AcctCodesA,$B1263)=0),"متفرقه",$B1263))))))</f>
        <v/>
      </c>
      <c r="J1263">
        <f>IF($H1263="","",IF(ROUND($F1263,2)&gt;0,IF($D1263="شخصی قاسم","شخصی قاسم",IF($D1263="هزینه","هزینه: "&amp;IF($E1263="","متفرقه",$E1263),IF(OR($B1263="",COUNTIF(AcctCodesA,$B1263)=0),"متفرقه",$B1263))),$A1263))</f>
        <v/>
      </c>
      <c r="K1263">
        <f>IF($A1263="","",IF(AND($B1263&lt;&gt;"",COUNTIF(AcctCodesA,$B1263)=0),"کد طرف در INFO تعریف نشده",IF(AND($D1263="هزینه",$E1263=""),"هزینه بدون زیرگروه",IF(AND($C1263="پاس چک",OR(Sync!$AJ1263="",COUNTIF(IssueNosA,Sync!$AJ1263)=0)),"شماره چک پاس‌شده معتبر نیست",""))))</f>
        <v/>
      </c>
      <c r="V1263">
        <f>IF($K1263="","",IF(ISNUMBER(Sync!$AK1263),Sync!$AK1263,LEFT(Sync!$AK1263,4)&amp;MID(Sync!$AK1263,6,2)&amp;RIGHT(Sync!$AK1263,2))&amp;"|"&amp;"4"&amp;RIGHT("00000"&amp;1258,5))</f>
        <v/>
      </c>
      <c r="W1263">
        <f>IF($V1263="",0,COUNTIFS($V$6:$V$2005,"&lt;"&amp;$V1263)-COUNTIFS($V$6:$V$2005,"&lt;"&amp;$V1263,$K$6:$K$2005,"")+1)</f>
        <v/>
      </c>
    </row>
    <row r="1264">
      <c r="A1264">
        <f>IF(Sync!$Z1264="","",LEFT(UPPER(TRIM(Sync!$Z1264)),6))</f>
        <v/>
      </c>
      <c r="B1264">
        <f>IF($A1264="","",IF(Sync!$AA1264="","",Sync!$AA1264))</f>
        <v/>
      </c>
      <c r="C1264">
        <f>IF($A1264="","",IF(Sync!$AB1264="","",Sync!$AB1264))</f>
        <v/>
      </c>
      <c r="D1264">
        <f>IF($A1264="","",IF(Sync!$AC1264="","",Sync!$AC1264))</f>
        <v/>
      </c>
      <c r="E1264">
        <f>IF($A1264="","",IF(Sync!$AD1264="","",Sync!$AD1264))</f>
        <v/>
      </c>
      <c r="F1264">
        <f>IF($A1264="","",IF(Sync!$AE1264="",0,Sync!$AE1264))</f>
        <v/>
      </c>
      <c r="G1264">
        <f>IF($A1264="","",IF(Sync!$AF1264="",0,Sync!$AF1264))</f>
        <v/>
      </c>
      <c r="H1264">
        <f>IF(OR($A1264="",ROUND($F1264+$G1264,2)=0),"",$F1264+$G1264)</f>
        <v/>
      </c>
      <c r="I1264">
        <f>IF($H1264="","",IF(ROUND($F1264,2)&gt;0,$A1264,IF($D1264="شخصی قاسم","شخصی قاسم",IF($D1264="هزینه","هزینه: "&amp;IF($E1264="","متفرقه",$E1264),IF($C1264="پاس چک","چک پرداختی",IF(OR($B1264="",COUNTIF(AcctCodesA,$B1264)=0),"متفرقه",$B1264))))))</f>
        <v/>
      </c>
      <c r="J1264">
        <f>IF($H1264="","",IF(ROUND($F1264,2)&gt;0,IF($D1264="شخصی قاسم","شخصی قاسم",IF($D1264="هزینه","هزینه: "&amp;IF($E1264="","متفرقه",$E1264),IF(OR($B1264="",COUNTIF(AcctCodesA,$B1264)=0),"متفرقه",$B1264))),$A1264))</f>
        <v/>
      </c>
      <c r="K1264">
        <f>IF($A1264="","",IF(AND($B1264&lt;&gt;"",COUNTIF(AcctCodesA,$B1264)=0),"کد طرف در INFO تعریف نشده",IF(AND($D1264="هزینه",$E1264=""),"هزینه بدون زیرگروه",IF(AND($C1264="پاس چک",OR(Sync!$AJ1264="",COUNTIF(IssueNosA,Sync!$AJ1264)=0)),"شماره چک پاس‌شده معتبر نیست",""))))</f>
        <v/>
      </c>
      <c r="V1264">
        <f>IF($K1264="","",IF(ISNUMBER(Sync!$AK1264),Sync!$AK1264,LEFT(Sync!$AK1264,4)&amp;MID(Sync!$AK1264,6,2)&amp;RIGHT(Sync!$AK1264,2))&amp;"|"&amp;"4"&amp;RIGHT("00000"&amp;1259,5))</f>
        <v/>
      </c>
      <c r="W1264">
        <f>IF($V1264="",0,COUNTIFS($V$6:$V$2005,"&lt;"&amp;$V1264)-COUNTIFS($V$6:$V$2005,"&lt;"&amp;$V1264,$K$6:$K$2005,"")+1)</f>
        <v/>
      </c>
    </row>
    <row r="1265">
      <c r="A1265">
        <f>IF(Sync!$Z1265="","",LEFT(UPPER(TRIM(Sync!$Z1265)),6))</f>
        <v/>
      </c>
      <c r="B1265">
        <f>IF($A1265="","",IF(Sync!$AA1265="","",Sync!$AA1265))</f>
        <v/>
      </c>
      <c r="C1265">
        <f>IF($A1265="","",IF(Sync!$AB1265="","",Sync!$AB1265))</f>
        <v/>
      </c>
      <c r="D1265">
        <f>IF($A1265="","",IF(Sync!$AC1265="","",Sync!$AC1265))</f>
        <v/>
      </c>
      <c r="E1265">
        <f>IF($A1265="","",IF(Sync!$AD1265="","",Sync!$AD1265))</f>
        <v/>
      </c>
      <c r="F1265">
        <f>IF($A1265="","",IF(Sync!$AE1265="",0,Sync!$AE1265))</f>
        <v/>
      </c>
      <c r="G1265">
        <f>IF($A1265="","",IF(Sync!$AF1265="",0,Sync!$AF1265))</f>
        <v/>
      </c>
      <c r="H1265">
        <f>IF(OR($A1265="",ROUND($F1265+$G1265,2)=0),"",$F1265+$G1265)</f>
        <v/>
      </c>
      <c r="I1265">
        <f>IF($H1265="","",IF(ROUND($F1265,2)&gt;0,$A1265,IF($D1265="شخصی قاسم","شخصی قاسم",IF($D1265="هزینه","هزینه: "&amp;IF($E1265="","متفرقه",$E1265),IF($C1265="پاس چک","چک پرداختی",IF(OR($B1265="",COUNTIF(AcctCodesA,$B1265)=0),"متفرقه",$B1265))))))</f>
        <v/>
      </c>
      <c r="J1265">
        <f>IF($H1265="","",IF(ROUND($F1265,2)&gt;0,IF($D1265="شخصی قاسم","شخصی قاسم",IF($D1265="هزینه","هزینه: "&amp;IF($E1265="","متفرقه",$E1265),IF(OR($B1265="",COUNTIF(AcctCodesA,$B1265)=0),"متفرقه",$B1265))),$A1265))</f>
        <v/>
      </c>
      <c r="K1265">
        <f>IF($A1265="","",IF(AND($B1265&lt;&gt;"",COUNTIF(AcctCodesA,$B1265)=0),"کد طرف در INFO تعریف نشده",IF(AND($D1265="هزینه",$E1265=""),"هزینه بدون زیرگروه",IF(AND($C1265="پاس چک",OR(Sync!$AJ1265="",COUNTIF(IssueNosA,Sync!$AJ1265)=0)),"شماره چک پاس‌شده معتبر نیست",""))))</f>
        <v/>
      </c>
      <c r="V1265">
        <f>IF($K1265="","",IF(ISNUMBER(Sync!$AK1265),Sync!$AK1265,LEFT(Sync!$AK1265,4)&amp;MID(Sync!$AK1265,6,2)&amp;RIGHT(Sync!$AK1265,2))&amp;"|"&amp;"4"&amp;RIGHT("00000"&amp;1260,5))</f>
        <v/>
      </c>
      <c r="W1265">
        <f>IF($V1265="",0,COUNTIFS($V$6:$V$2005,"&lt;"&amp;$V1265)-COUNTIFS($V$6:$V$2005,"&lt;"&amp;$V1265,$K$6:$K$2005,"")+1)</f>
        <v/>
      </c>
    </row>
    <row r="1266">
      <c r="A1266">
        <f>IF(Sync!$Z1266="","",LEFT(UPPER(TRIM(Sync!$Z1266)),6))</f>
        <v/>
      </c>
      <c r="B1266">
        <f>IF($A1266="","",IF(Sync!$AA1266="","",Sync!$AA1266))</f>
        <v/>
      </c>
      <c r="C1266">
        <f>IF($A1266="","",IF(Sync!$AB1266="","",Sync!$AB1266))</f>
        <v/>
      </c>
      <c r="D1266">
        <f>IF($A1266="","",IF(Sync!$AC1266="","",Sync!$AC1266))</f>
        <v/>
      </c>
      <c r="E1266">
        <f>IF($A1266="","",IF(Sync!$AD1266="","",Sync!$AD1266))</f>
        <v/>
      </c>
      <c r="F1266">
        <f>IF($A1266="","",IF(Sync!$AE1266="",0,Sync!$AE1266))</f>
        <v/>
      </c>
      <c r="G1266">
        <f>IF($A1266="","",IF(Sync!$AF1266="",0,Sync!$AF1266))</f>
        <v/>
      </c>
      <c r="H1266">
        <f>IF(OR($A1266="",ROUND($F1266+$G1266,2)=0),"",$F1266+$G1266)</f>
        <v/>
      </c>
      <c r="I1266">
        <f>IF($H1266="","",IF(ROUND($F1266,2)&gt;0,$A1266,IF($D1266="شخصی قاسم","شخصی قاسم",IF($D1266="هزینه","هزینه: "&amp;IF($E1266="","متفرقه",$E1266),IF($C1266="پاس چک","چک پرداختی",IF(OR($B1266="",COUNTIF(AcctCodesA,$B1266)=0),"متفرقه",$B1266))))))</f>
        <v/>
      </c>
      <c r="J1266">
        <f>IF($H1266="","",IF(ROUND($F1266,2)&gt;0,IF($D1266="شخصی قاسم","شخصی قاسم",IF($D1266="هزینه","هزینه: "&amp;IF($E1266="","متفرقه",$E1266),IF(OR($B1266="",COUNTIF(AcctCodesA,$B1266)=0),"متفرقه",$B1266))),$A1266))</f>
        <v/>
      </c>
      <c r="K1266">
        <f>IF($A1266="","",IF(AND($B1266&lt;&gt;"",COUNTIF(AcctCodesA,$B1266)=0),"کد طرف در INFO تعریف نشده",IF(AND($D1266="هزینه",$E1266=""),"هزینه بدون زیرگروه",IF(AND($C1266="پاس چک",OR(Sync!$AJ1266="",COUNTIF(IssueNosA,Sync!$AJ1266)=0)),"شماره چک پاس‌شده معتبر نیست",""))))</f>
        <v/>
      </c>
      <c r="V1266">
        <f>IF($K1266="","",IF(ISNUMBER(Sync!$AK1266),Sync!$AK1266,LEFT(Sync!$AK1266,4)&amp;MID(Sync!$AK1266,6,2)&amp;RIGHT(Sync!$AK1266,2))&amp;"|"&amp;"4"&amp;RIGHT("00000"&amp;1261,5))</f>
        <v/>
      </c>
      <c r="W1266">
        <f>IF($V1266="",0,COUNTIFS($V$6:$V$2005,"&lt;"&amp;$V1266)-COUNTIFS($V$6:$V$2005,"&lt;"&amp;$V1266,$K$6:$K$2005,"")+1)</f>
        <v/>
      </c>
    </row>
    <row r="1267">
      <c r="A1267">
        <f>IF(Sync!$Z1267="","",LEFT(UPPER(TRIM(Sync!$Z1267)),6))</f>
        <v/>
      </c>
      <c r="B1267">
        <f>IF($A1267="","",IF(Sync!$AA1267="","",Sync!$AA1267))</f>
        <v/>
      </c>
      <c r="C1267">
        <f>IF($A1267="","",IF(Sync!$AB1267="","",Sync!$AB1267))</f>
        <v/>
      </c>
      <c r="D1267">
        <f>IF($A1267="","",IF(Sync!$AC1267="","",Sync!$AC1267))</f>
        <v/>
      </c>
      <c r="E1267">
        <f>IF($A1267="","",IF(Sync!$AD1267="","",Sync!$AD1267))</f>
        <v/>
      </c>
      <c r="F1267">
        <f>IF($A1267="","",IF(Sync!$AE1267="",0,Sync!$AE1267))</f>
        <v/>
      </c>
      <c r="G1267">
        <f>IF($A1267="","",IF(Sync!$AF1267="",0,Sync!$AF1267))</f>
        <v/>
      </c>
      <c r="H1267">
        <f>IF(OR($A1267="",ROUND($F1267+$G1267,2)=0),"",$F1267+$G1267)</f>
        <v/>
      </c>
      <c r="I1267">
        <f>IF($H1267="","",IF(ROUND($F1267,2)&gt;0,$A1267,IF($D1267="شخصی قاسم","شخصی قاسم",IF($D1267="هزینه","هزینه: "&amp;IF($E1267="","متفرقه",$E1267),IF($C1267="پاس چک","چک پرداختی",IF(OR($B1267="",COUNTIF(AcctCodesA,$B1267)=0),"متفرقه",$B1267))))))</f>
        <v/>
      </c>
      <c r="J1267">
        <f>IF($H1267="","",IF(ROUND($F1267,2)&gt;0,IF($D1267="شخصی قاسم","شخصی قاسم",IF($D1267="هزینه","هزینه: "&amp;IF($E1267="","متفرقه",$E1267),IF(OR($B1267="",COUNTIF(AcctCodesA,$B1267)=0),"متفرقه",$B1267))),$A1267))</f>
        <v/>
      </c>
      <c r="K1267">
        <f>IF($A1267="","",IF(AND($B1267&lt;&gt;"",COUNTIF(AcctCodesA,$B1267)=0),"کد طرف در INFO تعریف نشده",IF(AND($D1267="هزینه",$E1267=""),"هزینه بدون زیرگروه",IF(AND($C1267="پاس چک",OR(Sync!$AJ1267="",COUNTIF(IssueNosA,Sync!$AJ1267)=0)),"شماره چک پاس‌شده معتبر نیست",""))))</f>
        <v/>
      </c>
      <c r="V1267">
        <f>IF($K1267="","",IF(ISNUMBER(Sync!$AK1267),Sync!$AK1267,LEFT(Sync!$AK1267,4)&amp;MID(Sync!$AK1267,6,2)&amp;RIGHT(Sync!$AK1267,2))&amp;"|"&amp;"4"&amp;RIGHT("00000"&amp;1262,5))</f>
        <v/>
      </c>
      <c r="W1267">
        <f>IF($V1267="",0,COUNTIFS($V$6:$V$2005,"&lt;"&amp;$V1267)-COUNTIFS($V$6:$V$2005,"&lt;"&amp;$V1267,$K$6:$K$2005,"")+1)</f>
        <v/>
      </c>
    </row>
    <row r="1268">
      <c r="A1268">
        <f>IF(Sync!$Z1268="","",LEFT(UPPER(TRIM(Sync!$Z1268)),6))</f>
        <v/>
      </c>
      <c r="B1268">
        <f>IF($A1268="","",IF(Sync!$AA1268="","",Sync!$AA1268))</f>
        <v/>
      </c>
      <c r="C1268">
        <f>IF($A1268="","",IF(Sync!$AB1268="","",Sync!$AB1268))</f>
        <v/>
      </c>
      <c r="D1268">
        <f>IF($A1268="","",IF(Sync!$AC1268="","",Sync!$AC1268))</f>
        <v/>
      </c>
      <c r="E1268">
        <f>IF($A1268="","",IF(Sync!$AD1268="","",Sync!$AD1268))</f>
        <v/>
      </c>
      <c r="F1268">
        <f>IF($A1268="","",IF(Sync!$AE1268="",0,Sync!$AE1268))</f>
        <v/>
      </c>
      <c r="G1268">
        <f>IF($A1268="","",IF(Sync!$AF1268="",0,Sync!$AF1268))</f>
        <v/>
      </c>
      <c r="H1268">
        <f>IF(OR($A1268="",ROUND($F1268+$G1268,2)=0),"",$F1268+$G1268)</f>
        <v/>
      </c>
      <c r="I1268">
        <f>IF($H1268="","",IF(ROUND($F1268,2)&gt;0,$A1268,IF($D1268="شخصی قاسم","شخصی قاسم",IF($D1268="هزینه","هزینه: "&amp;IF($E1268="","متفرقه",$E1268),IF($C1268="پاس چک","چک پرداختی",IF(OR($B1268="",COUNTIF(AcctCodesA,$B1268)=0),"متفرقه",$B1268))))))</f>
        <v/>
      </c>
      <c r="J1268">
        <f>IF($H1268="","",IF(ROUND($F1268,2)&gt;0,IF($D1268="شخصی قاسم","شخصی قاسم",IF($D1268="هزینه","هزینه: "&amp;IF($E1268="","متفرقه",$E1268),IF(OR($B1268="",COUNTIF(AcctCodesA,$B1268)=0),"متفرقه",$B1268))),$A1268))</f>
        <v/>
      </c>
      <c r="K1268">
        <f>IF($A1268="","",IF(AND($B1268&lt;&gt;"",COUNTIF(AcctCodesA,$B1268)=0),"کد طرف در INFO تعریف نشده",IF(AND($D1268="هزینه",$E1268=""),"هزینه بدون زیرگروه",IF(AND($C1268="پاس چک",OR(Sync!$AJ1268="",COUNTIF(IssueNosA,Sync!$AJ1268)=0)),"شماره چک پاس‌شده معتبر نیست",""))))</f>
        <v/>
      </c>
      <c r="V1268">
        <f>IF($K1268="","",IF(ISNUMBER(Sync!$AK1268),Sync!$AK1268,LEFT(Sync!$AK1268,4)&amp;MID(Sync!$AK1268,6,2)&amp;RIGHT(Sync!$AK1268,2))&amp;"|"&amp;"4"&amp;RIGHT("00000"&amp;1263,5))</f>
        <v/>
      </c>
      <c r="W1268">
        <f>IF($V1268="",0,COUNTIFS($V$6:$V$2005,"&lt;"&amp;$V1268)-COUNTIFS($V$6:$V$2005,"&lt;"&amp;$V1268,$K$6:$K$2005,"")+1)</f>
        <v/>
      </c>
    </row>
    <row r="1269">
      <c r="A1269">
        <f>IF(Sync!$Z1269="","",LEFT(UPPER(TRIM(Sync!$Z1269)),6))</f>
        <v/>
      </c>
      <c r="B1269">
        <f>IF($A1269="","",IF(Sync!$AA1269="","",Sync!$AA1269))</f>
        <v/>
      </c>
      <c r="C1269">
        <f>IF($A1269="","",IF(Sync!$AB1269="","",Sync!$AB1269))</f>
        <v/>
      </c>
      <c r="D1269">
        <f>IF($A1269="","",IF(Sync!$AC1269="","",Sync!$AC1269))</f>
        <v/>
      </c>
      <c r="E1269">
        <f>IF($A1269="","",IF(Sync!$AD1269="","",Sync!$AD1269))</f>
        <v/>
      </c>
      <c r="F1269">
        <f>IF($A1269="","",IF(Sync!$AE1269="",0,Sync!$AE1269))</f>
        <v/>
      </c>
      <c r="G1269">
        <f>IF($A1269="","",IF(Sync!$AF1269="",0,Sync!$AF1269))</f>
        <v/>
      </c>
      <c r="H1269">
        <f>IF(OR($A1269="",ROUND($F1269+$G1269,2)=0),"",$F1269+$G1269)</f>
        <v/>
      </c>
      <c r="I1269">
        <f>IF($H1269="","",IF(ROUND($F1269,2)&gt;0,$A1269,IF($D1269="شخصی قاسم","شخصی قاسم",IF($D1269="هزینه","هزینه: "&amp;IF($E1269="","متفرقه",$E1269),IF($C1269="پاس چک","چک پرداختی",IF(OR($B1269="",COUNTIF(AcctCodesA,$B1269)=0),"متفرقه",$B1269))))))</f>
        <v/>
      </c>
      <c r="J1269">
        <f>IF($H1269="","",IF(ROUND($F1269,2)&gt;0,IF($D1269="شخصی قاسم","شخصی قاسم",IF($D1269="هزینه","هزینه: "&amp;IF($E1269="","متفرقه",$E1269),IF(OR($B1269="",COUNTIF(AcctCodesA,$B1269)=0),"متفرقه",$B1269))),$A1269))</f>
        <v/>
      </c>
      <c r="K1269">
        <f>IF($A1269="","",IF(AND($B1269&lt;&gt;"",COUNTIF(AcctCodesA,$B1269)=0),"کد طرف در INFO تعریف نشده",IF(AND($D1269="هزینه",$E1269=""),"هزینه بدون زیرگروه",IF(AND($C1269="پاس چک",OR(Sync!$AJ1269="",COUNTIF(IssueNosA,Sync!$AJ1269)=0)),"شماره چک پاس‌شده معتبر نیست",""))))</f>
        <v/>
      </c>
      <c r="V1269">
        <f>IF($K1269="","",IF(ISNUMBER(Sync!$AK1269),Sync!$AK1269,LEFT(Sync!$AK1269,4)&amp;MID(Sync!$AK1269,6,2)&amp;RIGHT(Sync!$AK1269,2))&amp;"|"&amp;"4"&amp;RIGHT("00000"&amp;1264,5))</f>
        <v/>
      </c>
      <c r="W1269">
        <f>IF($V1269="",0,COUNTIFS($V$6:$V$2005,"&lt;"&amp;$V1269)-COUNTIFS($V$6:$V$2005,"&lt;"&amp;$V1269,$K$6:$K$2005,"")+1)</f>
        <v/>
      </c>
    </row>
    <row r="1270">
      <c r="A1270">
        <f>IF(Sync!$Z1270="","",LEFT(UPPER(TRIM(Sync!$Z1270)),6))</f>
        <v/>
      </c>
      <c r="B1270">
        <f>IF($A1270="","",IF(Sync!$AA1270="","",Sync!$AA1270))</f>
        <v/>
      </c>
      <c r="C1270">
        <f>IF($A1270="","",IF(Sync!$AB1270="","",Sync!$AB1270))</f>
        <v/>
      </c>
      <c r="D1270">
        <f>IF($A1270="","",IF(Sync!$AC1270="","",Sync!$AC1270))</f>
        <v/>
      </c>
      <c r="E1270">
        <f>IF($A1270="","",IF(Sync!$AD1270="","",Sync!$AD1270))</f>
        <v/>
      </c>
      <c r="F1270">
        <f>IF($A1270="","",IF(Sync!$AE1270="",0,Sync!$AE1270))</f>
        <v/>
      </c>
      <c r="G1270">
        <f>IF($A1270="","",IF(Sync!$AF1270="",0,Sync!$AF1270))</f>
        <v/>
      </c>
      <c r="H1270">
        <f>IF(OR($A1270="",ROUND($F1270+$G1270,2)=0),"",$F1270+$G1270)</f>
        <v/>
      </c>
      <c r="I1270">
        <f>IF($H1270="","",IF(ROUND($F1270,2)&gt;0,$A1270,IF($D1270="شخصی قاسم","شخصی قاسم",IF($D1270="هزینه","هزینه: "&amp;IF($E1270="","متفرقه",$E1270),IF($C1270="پاس چک","چک پرداختی",IF(OR($B1270="",COUNTIF(AcctCodesA,$B1270)=0),"متفرقه",$B1270))))))</f>
        <v/>
      </c>
      <c r="J1270">
        <f>IF($H1270="","",IF(ROUND($F1270,2)&gt;0,IF($D1270="شخصی قاسم","شخصی قاسم",IF($D1270="هزینه","هزینه: "&amp;IF($E1270="","متفرقه",$E1270),IF(OR($B1270="",COUNTIF(AcctCodesA,$B1270)=0),"متفرقه",$B1270))),$A1270))</f>
        <v/>
      </c>
      <c r="K1270">
        <f>IF($A1270="","",IF(AND($B1270&lt;&gt;"",COUNTIF(AcctCodesA,$B1270)=0),"کد طرف در INFO تعریف نشده",IF(AND($D1270="هزینه",$E1270=""),"هزینه بدون زیرگروه",IF(AND($C1270="پاس چک",OR(Sync!$AJ1270="",COUNTIF(IssueNosA,Sync!$AJ1270)=0)),"شماره چک پاس‌شده معتبر نیست",""))))</f>
        <v/>
      </c>
      <c r="V1270">
        <f>IF($K1270="","",IF(ISNUMBER(Sync!$AK1270),Sync!$AK1270,LEFT(Sync!$AK1270,4)&amp;MID(Sync!$AK1270,6,2)&amp;RIGHT(Sync!$AK1270,2))&amp;"|"&amp;"4"&amp;RIGHT("00000"&amp;1265,5))</f>
        <v/>
      </c>
      <c r="W1270">
        <f>IF($V1270="",0,COUNTIFS($V$6:$V$2005,"&lt;"&amp;$V1270)-COUNTIFS($V$6:$V$2005,"&lt;"&amp;$V1270,$K$6:$K$2005,"")+1)</f>
        <v/>
      </c>
    </row>
    <row r="1271">
      <c r="A1271">
        <f>IF(Sync!$Z1271="","",LEFT(UPPER(TRIM(Sync!$Z1271)),6))</f>
        <v/>
      </c>
      <c r="B1271">
        <f>IF($A1271="","",IF(Sync!$AA1271="","",Sync!$AA1271))</f>
        <v/>
      </c>
      <c r="C1271">
        <f>IF($A1271="","",IF(Sync!$AB1271="","",Sync!$AB1271))</f>
        <v/>
      </c>
      <c r="D1271">
        <f>IF($A1271="","",IF(Sync!$AC1271="","",Sync!$AC1271))</f>
        <v/>
      </c>
      <c r="E1271">
        <f>IF($A1271="","",IF(Sync!$AD1271="","",Sync!$AD1271))</f>
        <v/>
      </c>
      <c r="F1271">
        <f>IF($A1271="","",IF(Sync!$AE1271="",0,Sync!$AE1271))</f>
        <v/>
      </c>
      <c r="G1271">
        <f>IF($A1271="","",IF(Sync!$AF1271="",0,Sync!$AF1271))</f>
        <v/>
      </c>
      <c r="H1271">
        <f>IF(OR($A1271="",ROUND($F1271+$G1271,2)=0),"",$F1271+$G1271)</f>
        <v/>
      </c>
      <c r="I1271">
        <f>IF($H1271="","",IF(ROUND($F1271,2)&gt;0,$A1271,IF($D1271="شخصی قاسم","شخصی قاسم",IF($D1271="هزینه","هزینه: "&amp;IF($E1271="","متفرقه",$E1271),IF($C1271="پاس چک","چک پرداختی",IF(OR($B1271="",COUNTIF(AcctCodesA,$B1271)=0),"متفرقه",$B1271))))))</f>
        <v/>
      </c>
      <c r="J1271">
        <f>IF($H1271="","",IF(ROUND($F1271,2)&gt;0,IF($D1271="شخصی قاسم","شخصی قاسم",IF($D1271="هزینه","هزینه: "&amp;IF($E1271="","متفرقه",$E1271),IF(OR($B1271="",COUNTIF(AcctCodesA,$B1271)=0),"متفرقه",$B1271))),$A1271))</f>
        <v/>
      </c>
      <c r="K1271">
        <f>IF($A1271="","",IF(AND($B1271&lt;&gt;"",COUNTIF(AcctCodesA,$B1271)=0),"کد طرف در INFO تعریف نشده",IF(AND($D1271="هزینه",$E1271=""),"هزینه بدون زیرگروه",IF(AND($C1271="پاس چک",OR(Sync!$AJ1271="",COUNTIF(IssueNosA,Sync!$AJ1271)=0)),"شماره چک پاس‌شده معتبر نیست",""))))</f>
        <v/>
      </c>
      <c r="V1271">
        <f>IF($K1271="","",IF(ISNUMBER(Sync!$AK1271),Sync!$AK1271,LEFT(Sync!$AK1271,4)&amp;MID(Sync!$AK1271,6,2)&amp;RIGHT(Sync!$AK1271,2))&amp;"|"&amp;"4"&amp;RIGHT("00000"&amp;1266,5))</f>
        <v/>
      </c>
      <c r="W1271">
        <f>IF($V1271="",0,COUNTIFS($V$6:$V$2005,"&lt;"&amp;$V1271)-COUNTIFS($V$6:$V$2005,"&lt;"&amp;$V1271,$K$6:$K$2005,"")+1)</f>
        <v/>
      </c>
    </row>
    <row r="1272">
      <c r="A1272">
        <f>IF(Sync!$Z1272="","",LEFT(UPPER(TRIM(Sync!$Z1272)),6))</f>
        <v/>
      </c>
      <c r="B1272">
        <f>IF($A1272="","",IF(Sync!$AA1272="","",Sync!$AA1272))</f>
        <v/>
      </c>
      <c r="C1272">
        <f>IF($A1272="","",IF(Sync!$AB1272="","",Sync!$AB1272))</f>
        <v/>
      </c>
      <c r="D1272">
        <f>IF($A1272="","",IF(Sync!$AC1272="","",Sync!$AC1272))</f>
        <v/>
      </c>
      <c r="E1272">
        <f>IF($A1272="","",IF(Sync!$AD1272="","",Sync!$AD1272))</f>
        <v/>
      </c>
      <c r="F1272">
        <f>IF($A1272="","",IF(Sync!$AE1272="",0,Sync!$AE1272))</f>
        <v/>
      </c>
      <c r="G1272">
        <f>IF($A1272="","",IF(Sync!$AF1272="",0,Sync!$AF1272))</f>
        <v/>
      </c>
      <c r="H1272">
        <f>IF(OR($A1272="",ROUND($F1272+$G1272,2)=0),"",$F1272+$G1272)</f>
        <v/>
      </c>
      <c r="I1272">
        <f>IF($H1272="","",IF(ROUND($F1272,2)&gt;0,$A1272,IF($D1272="شخصی قاسم","شخصی قاسم",IF($D1272="هزینه","هزینه: "&amp;IF($E1272="","متفرقه",$E1272),IF($C1272="پاس چک","چک پرداختی",IF(OR($B1272="",COUNTIF(AcctCodesA,$B1272)=0),"متفرقه",$B1272))))))</f>
        <v/>
      </c>
      <c r="J1272">
        <f>IF($H1272="","",IF(ROUND($F1272,2)&gt;0,IF($D1272="شخصی قاسم","شخصی قاسم",IF($D1272="هزینه","هزینه: "&amp;IF($E1272="","متفرقه",$E1272),IF(OR($B1272="",COUNTIF(AcctCodesA,$B1272)=0),"متفرقه",$B1272))),$A1272))</f>
        <v/>
      </c>
      <c r="K1272">
        <f>IF($A1272="","",IF(AND($B1272&lt;&gt;"",COUNTIF(AcctCodesA,$B1272)=0),"کد طرف در INFO تعریف نشده",IF(AND($D1272="هزینه",$E1272=""),"هزینه بدون زیرگروه",IF(AND($C1272="پاس چک",OR(Sync!$AJ1272="",COUNTIF(IssueNosA,Sync!$AJ1272)=0)),"شماره چک پاس‌شده معتبر نیست",""))))</f>
        <v/>
      </c>
      <c r="V1272">
        <f>IF($K1272="","",IF(ISNUMBER(Sync!$AK1272),Sync!$AK1272,LEFT(Sync!$AK1272,4)&amp;MID(Sync!$AK1272,6,2)&amp;RIGHT(Sync!$AK1272,2))&amp;"|"&amp;"4"&amp;RIGHT("00000"&amp;1267,5))</f>
        <v/>
      </c>
      <c r="W1272">
        <f>IF($V1272="",0,COUNTIFS($V$6:$V$2005,"&lt;"&amp;$V1272)-COUNTIFS($V$6:$V$2005,"&lt;"&amp;$V1272,$K$6:$K$2005,"")+1)</f>
        <v/>
      </c>
    </row>
    <row r="1273">
      <c r="A1273">
        <f>IF(Sync!$Z1273="","",LEFT(UPPER(TRIM(Sync!$Z1273)),6))</f>
        <v/>
      </c>
      <c r="B1273">
        <f>IF($A1273="","",IF(Sync!$AA1273="","",Sync!$AA1273))</f>
        <v/>
      </c>
      <c r="C1273">
        <f>IF($A1273="","",IF(Sync!$AB1273="","",Sync!$AB1273))</f>
        <v/>
      </c>
      <c r="D1273">
        <f>IF($A1273="","",IF(Sync!$AC1273="","",Sync!$AC1273))</f>
        <v/>
      </c>
      <c r="E1273">
        <f>IF($A1273="","",IF(Sync!$AD1273="","",Sync!$AD1273))</f>
        <v/>
      </c>
      <c r="F1273">
        <f>IF($A1273="","",IF(Sync!$AE1273="",0,Sync!$AE1273))</f>
        <v/>
      </c>
      <c r="G1273">
        <f>IF($A1273="","",IF(Sync!$AF1273="",0,Sync!$AF1273))</f>
        <v/>
      </c>
      <c r="H1273">
        <f>IF(OR($A1273="",ROUND($F1273+$G1273,2)=0),"",$F1273+$G1273)</f>
        <v/>
      </c>
      <c r="I1273">
        <f>IF($H1273="","",IF(ROUND($F1273,2)&gt;0,$A1273,IF($D1273="شخصی قاسم","شخصی قاسم",IF($D1273="هزینه","هزینه: "&amp;IF($E1273="","متفرقه",$E1273),IF($C1273="پاس چک","چک پرداختی",IF(OR($B1273="",COUNTIF(AcctCodesA,$B1273)=0),"متفرقه",$B1273))))))</f>
        <v/>
      </c>
      <c r="J1273">
        <f>IF($H1273="","",IF(ROUND($F1273,2)&gt;0,IF($D1273="شخصی قاسم","شخصی قاسم",IF($D1273="هزینه","هزینه: "&amp;IF($E1273="","متفرقه",$E1273),IF(OR($B1273="",COUNTIF(AcctCodesA,$B1273)=0),"متفرقه",$B1273))),$A1273))</f>
        <v/>
      </c>
      <c r="K1273">
        <f>IF($A1273="","",IF(AND($B1273&lt;&gt;"",COUNTIF(AcctCodesA,$B1273)=0),"کد طرف در INFO تعریف نشده",IF(AND($D1273="هزینه",$E1273=""),"هزینه بدون زیرگروه",IF(AND($C1273="پاس چک",OR(Sync!$AJ1273="",COUNTIF(IssueNosA,Sync!$AJ1273)=0)),"شماره چک پاس‌شده معتبر نیست",""))))</f>
        <v/>
      </c>
      <c r="V1273">
        <f>IF($K1273="","",IF(ISNUMBER(Sync!$AK1273),Sync!$AK1273,LEFT(Sync!$AK1273,4)&amp;MID(Sync!$AK1273,6,2)&amp;RIGHT(Sync!$AK1273,2))&amp;"|"&amp;"4"&amp;RIGHT("00000"&amp;1268,5))</f>
        <v/>
      </c>
      <c r="W1273">
        <f>IF($V1273="",0,COUNTIFS($V$6:$V$2005,"&lt;"&amp;$V1273)-COUNTIFS($V$6:$V$2005,"&lt;"&amp;$V1273,$K$6:$K$2005,"")+1)</f>
        <v/>
      </c>
    </row>
    <row r="1274">
      <c r="A1274">
        <f>IF(Sync!$Z1274="","",LEFT(UPPER(TRIM(Sync!$Z1274)),6))</f>
        <v/>
      </c>
      <c r="B1274">
        <f>IF($A1274="","",IF(Sync!$AA1274="","",Sync!$AA1274))</f>
        <v/>
      </c>
      <c r="C1274">
        <f>IF($A1274="","",IF(Sync!$AB1274="","",Sync!$AB1274))</f>
        <v/>
      </c>
      <c r="D1274">
        <f>IF($A1274="","",IF(Sync!$AC1274="","",Sync!$AC1274))</f>
        <v/>
      </c>
      <c r="E1274">
        <f>IF($A1274="","",IF(Sync!$AD1274="","",Sync!$AD1274))</f>
        <v/>
      </c>
      <c r="F1274">
        <f>IF($A1274="","",IF(Sync!$AE1274="",0,Sync!$AE1274))</f>
        <v/>
      </c>
      <c r="G1274">
        <f>IF($A1274="","",IF(Sync!$AF1274="",0,Sync!$AF1274))</f>
        <v/>
      </c>
      <c r="H1274">
        <f>IF(OR($A1274="",ROUND($F1274+$G1274,2)=0),"",$F1274+$G1274)</f>
        <v/>
      </c>
      <c r="I1274">
        <f>IF($H1274="","",IF(ROUND($F1274,2)&gt;0,$A1274,IF($D1274="شخصی قاسم","شخصی قاسم",IF($D1274="هزینه","هزینه: "&amp;IF($E1274="","متفرقه",$E1274),IF($C1274="پاس چک","چک پرداختی",IF(OR($B1274="",COUNTIF(AcctCodesA,$B1274)=0),"متفرقه",$B1274))))))</f>
        <v/>
      </c>
      <c r="J1274">
        <f>IF($H1274="","",IF(ROUND($F1274,2)&gt;0,IF($D1274="شخصی قاسم","شخصی قاسم",IF($D1274="هزینه","هزینه: "&amp;IF($E1274="","متفرقه",$E1274),IF(OR($B1274="",COUNTIF(AcctCodesA,$B1274)=0),"متفرقه",$B1274))),$A1274))</f>
        <v/>
      </c>
      <c r="K1274">
        <f>IF($A1274="","",IF(AND($B1274&lt;&gt;"",COUNTIF(AcctCodesA,$B1274)=0),"کد طرف در INFO تعریف نشده",IF(AND($D1274="هزینه",$E1274=""),"هزینه بدون زیرگروه",IF(AND($C1274="پاس چک",OR(Sync!$AJ1274="",COUNTIF(IssueNosA,Sync!$AJ1274)=0)),"شماره چک پاس‌شده معتبر نیست",""))))</f>
        <v/>
      </c>
      <c r="V1274">
        <f>IF($K1274="","",IF(ISNUMBER(Sync!$AK1274),Sync!$AK1274,LEFT(Sync!$AK1274,4)&amp;MID(Sync!$AK1274,6,2)&amp;RIGHT(Sync!$AK1274,2))&amp;"|"&amp;"4"&amp;RIGHT("00000"&amp;1269,5))</f>
        <v/>
      </c>
      <c r="W1274">
        <f>IF($V1274="",0,COUNTIFS($V$6:$V$2005,"&lt;"&amp;$V1274)-COUNTIFS($V$6:$V$2005,"&lt;"&amp;$V1274,$K$6:$K$2005,"")+1)</f>
        <v/>
      </c>
    </row>
    <row r="1275">
      <c r="A1275">
        <f>IF(Sync!$Z1275="","",LEFT(UPPER(TRIM(Sync!$Z1275)),6))</f>
        <v/>
      </c>
      <c r="B1275">
        <f>IF($A1275="","",IF(Sync!$AA1275="","",Sync!$AA1275))</f>
        <v/>
      </c>
      <c r="C1275">
        <f>IF($A1275="","",IF(Sync!$AB1275="","",Sync!$AB1275))</f>
        <v/>
      </c>
      <c r="D1275">
        <f>IF($A1275="","",IF(Sync!$AC1275="","",Sync!$AC1275))</f>
        <v/>
      </c>
      <c r="E1275">
        <f>IF($A1275="","",IF(Sync!$AD1275="","",Sync!$AD1275))</f>
        <v/>
      </c>
      <c r="F1275">
        <f>IF($A1275="","",IF(Sync!$AE1275="",0,Sync!$AE1275))</f>
        <v/>
      </c>
      <c r="G1275">
        <f>IF($A1275="","",IF(Sync!$AF1275="",0,Sync!$AF1275))</f>
        <v/>
      </c>
      <c r="H1275">
        <f>IF(OR($A1275="",ROUND($F1275+$G1275,2)=0),"",$F1275+$G1275)</f>
        <v/>
      </c>
      <c r="I1275">
        <f>IF($H1275="","",IF(ROUND($F1275,2)&gt;0,$A1275,IF($D1275="شخصی قاسم","شخصی قاسم",IF($D1275="هزینه","هزینه: "&amp;IF($E1275="","متفرقه",$E1275),IF($C1275="پاس چک","چک پرداختی",IF(OR($B1275="",COUNTIF(AcctCodesA,$B1275)=0),"متفرقه",$B1275))))))</f>
        <v/>
      </c>
      <c r="J1275">
        <f>IF($H1275="","",IF(ROUND($F1275,2)&gt;0,IF($D1275="شخصی قاسم","شخصی قاسم",IF($D1275="هزینه","هزینه: "&amp;IF($E1275="","متفرقه",$E1275),IF(OR($B1275="",COUNTIF(AcctCodesA,$B1275)=0),"متفرقه",$B1275))),$A1275))</f>
        <v/>
      </c>
      <c r="K1275">
        <f>IF($A1275="","",IF(AND($B1275&lt;&gt;"",COUNTIF(AcctCodesA,$B1275)=0),"کد طرف در INFO تعریف نشده",IF(AND($D1275="هزینه",$E1275=""),"هزینه بدون زیرگروه",IF(AND($C1275="پاس چک",OR(Sync!$AJ1275="",COUNTIF(IssueNosA,Sync!$AJ1275)=0)),"شماره چک پاس‌شده معتبر نیست",""))))</f>
        <v/>
      </c>
      <c r="V1275">
        <f>IF($K1275="","",IF(ISNUMBER(Sync!$AK1275),Sync!$AK1275,LEFT(Sync!$AK1275,4)&amp;MID(Sync!$AK1275,6,2)&amp;RIGHT(Sync!$AK1275,2))&amp;"|"&amp;"4"&amp;RIGHT("00000"&amp;1270,5))</f>
        <v/>
      </c>
      <c r="W1275">
        <f>IF($V1275="",0,COUNTIFS($V$6:$V$2005,"&lt;"&amp;$V1275)-COUNTIFS($V$6:$V$2005,"&lt;"&amp;$V1275,$K$6:$K$2005,"")+1)</f>
        <v/>
      </c>
    </row>
    <row r="1276">
      <c r="A1276">
        <f>IF(Sync!$Z1276="","",LEFT(UPPER(TRIM(Sync!$Z1276)),6))</f>
        <v/>
      </c>
      <c r="B1276">
        <f>IF($A1276="","",IF(Sync!$AA1276="","",Sync!$AA1276))</f>
        <v/>
      </c>
      <c r="C1276">
        <f>IF($A1276="","",IF(Sync!$AB1276="","",Sync!$AB1276))</f>
        <v/>
      </c>
      <c r="D1276">
        <f>IF($A1276="","",IF(Sync!$AC1276="","",Sync!$AC1276))</f>
        <v/>
      </c>
      <c r="E1276">
        <f>IF($A1276="","",IF(Sync!$AD1276="","",Sync!$AD1276))</f>
        <v/>
      </c>
      <c r="F1276">
        <f>IF($A1276="","",IF(Sync!$AE1276="",0,Sync!$AE1276))</f>
        <v/>
      </c>
      <c r="G1276">
        <f>IF($A1276="","",IF(Sync!$AF1276="",0,Sync!$AF1276))</f>
        <v/>
      </c>
      <c r="H1276">
        <f>IF(OR($A1276="",ROUND($F1276+$G1276,2)=0),"",$F1276+$G1276)</f>
        <v/>
      </c>
      <c r="I1276">
        <f>IF($H1276="","",IF(ROUND($F1276,2)&gt;0,$A1276,IF($D1276="شخصی قاسم","شخصی قاسم",IF($D1276="هزینه","هزینه: "&amp;IF($E1276="","متفرقه",$E1276),IF($C1276="پاس چک","چک پرداختی",IF(OR($B1276="",COUNTIF(AcctCodesA,$B1276)=0),"متفرقه",$B1276))))))</f>
        <v/>
      </c>
      <c r="J1276">
        <f>IF($H1276="","",IF(ROUND($F1276,2)&gt;0,IF($D1276="شخصی قاسم","شخصی قاسم",IF($D1276="هزینه","هزینه: "&amp;IF($E1276="","متفرقه",$E1276),IF(OR($B1276="",COUNTIF(AcctCodesA,$B1276)=0),"متفرقه",$B1276))),$A1276))</f>
        <v/>
      </c>
      <c r="K1276">
        <f>IF($A1276="","",IF(AND($B1276&lt;&gt;"",COUNTIF(AcctCodesA,$B1276)=0),"کد طرف در INFO تعریف نشده",IF(AND($D1276="هزینه",$E1276=""),"هزینه بدون زیرگروه",IF(AND($C1276="پاس چک",OR(Sync!$AJ1276="",COUNTIF(IssueNosA,Sync!$AJ1276)=0)),"شماره چک پاس‌شده معتبر نیست",""))))</f>
        <v/>
      </c>
      <c r="V1276">
        <f>IF($K1276="","",IF(ISNUMBER(Sync!$AK1276),Sync!$AK1276,LEFT(Sync!$AK1276,4)&amp;MID(Sync!$AK1276,6,2)&amp;RIGHT(Sync!$AK1276,2))&amp;"|"&amp;"4"&amp;RIGHT("00000"&amp;1271,5))</f>
        <v/>
      </c>
      <c r="W1276">
        <f>IF($V1276="",0,COUNTIFS($V$6:$V$2005,"&lt;"&amp;$V1276)-COUNTIFS($V$6:$V$2005,"&lt;"&amp;$V1276,$K$6:$K$2005,"")+1)</f>
        <v/>
      </c>
    </row>
    <row r="1277">
      <c r="A1277">
        <f>IF(Sync!$Z1277="","",LEFT(UPPER(TRIM(Sync!$Z1277)),6))</f>
        <v/>
      </c>
      <c r="B1277">
        <f>IF($A1277="","",IF(Sync!$AA1277="","",Sync!$AA1277))</f>
        <v/>
      </c>
      <c r="C1277">
        <f>IF($A1277="","",IF(Sync!$AB1277="","",Sync!$AB1277))</f>
        <v/>
      </c>
      <c r="D1277">
        <f>IF($A1277="","",IF(Sync!$AC1277="","",Sync!$AC1277))</f>
        <v/>
      </c>
      <c r="E1277">
        <f>IF($A1277="","",IF(Sync!$AD1277="","",Sync!$AD1277))</f>
        <v/>
      </c>
      <c r="F1277">
        <f>IF($A1277="","",IF(Sync!$AE1277="",0,Sync!$AE1277))</f>
        <v/>
      </c>
      <c r="G1277">
        <f>IF($A1277="","",IF(Sync!$AF1277="",0,Sync!$AF1277))</f>
        <v/>
      </c>
      <c r="H1277">
        <f>IF(OR($A1277="",ROUND($F1277+$G1277,2)=0),"",$F1277+$G1277)</f>
        <v/>
      </c>
      <c r="I1277">
        <f>IF($H1277="","",IF(ROUND($F1277,2)&gt;0,$A1277,IF($D1277="شخصی قاسم","شخصی قاسم",IF($D1277="هزینه","هزینه: "&amp;IF($E1277="","متفرقه",$E1277),IF($C1277="پاس چک","چک پرداختی",IF(OR($B1277="",COUNTIF(AcctCodesA,$B1277)=0),"متفرقه",$B1277))))))</f>
        <v/>
      </c>
      <c r="J1277">
        <f>IF($H1277="","",IF(ROUND($F1277,2)&gt;0,IF($D1277="شخصی قاسم","شخصی قاسم",IF($D1277="هزینه","هزینه: "&amp;IF($E1277="","متفرقه",$E1277),IF(OR($B1277="",COUNTIF(AcctCodesA,$B1277)=0),"متفرقه",$B1277))),$A1277))</f>
        <v/>
      </c>
      <c r="K1277">
        <f>IF($A1277="","",IF(AND($B1277&lt;&gt;"",COUNTIF(AcctCodesA,$B1277)=0),"کد طرف در INFO تعریف نشده",IF(AND($D1277="هزینه",$E1277=""),"هزینه بدون زیرگروه",IF(AND($C1277="پاس چک",OR(Sync!$AJ1277="",COUNTIF(IssueNosA,Sync!$AJ1277)=0)),"شماره چک پاس‌شده معتبر نیست",""))))</f>
        <v/>
      </c>
      <c r="V1277">
        <f>IF($K1277="","",IF(ISNUMBER(Sync!$AK1277),Sync!$AK1277,LEFT(Sync!$AK1277,4)&amp;MID(Sync!$AK1277,6,2)&amp;RIGHT(Sync!$AK1277,2))&amp;"|"&amp;"4"&amp;RIGHT("00000"&amp;1272,5))</f>
        <v/>
      </c>
      <c r="W1277">
        <f>IF($V1277="",0,COUNTIFS($V$6:$V$2005,"&lt;"&amp;$V1277)-COUNTIFS($V$6:$V$2005,"&lt;"&amp;$V1277,$K$6:$K$2005,"")+1)</f>
        <v/>
      </c>
    </row>
    <row r="1278">
      <c r="A1278">
        <f>IF(Sync!$Z1278="","",LEFT(UPPER(TRIM(Sync!$Z1278)),6))</f>
        <v/>
      </c>
      <c r="B1278">
        <f>IF($A1278="","",IF(Sync!$AA1278="","",Sync!$AA1278))</f>
        <v/>
      </c>
      <c r="C1278">
        <f>IF($A1278="","",IF(Sync!$AB1278="","",Sync!$AB1278))</f>
        <v/>
      </c>
      <c r="D1278">
        <f>IF($A1278="","",IF(Sync!$AC1278="","",Sync!$AC1278))</f>
        <v/>
      </c>
      <c r="E1278">
        <f>IF($A1278="","",IF(Sync!$AD1278="","",Sync!$AD1278))</f>
        <v/>
      </c>
      <c r="F1278">
        <f>IF($A1278="","",IF(Sync!$AE1278="",0,Sync!$AE1278))</f>
        <v/>
      </c>
      <c r="G1278">
        <f>IF($A1278="","",IF(Sync!$AF1278="",0,Sync!$AF1278))</f>
        <v/>
      </c>
      <c r="H1278">
        <f>IF(OR($A1278="",ROUND($F1278+$G1278,2)=0),"",$F1278+$G1278)</f>
        <v/>
      </c>
      <c r="I1278">
        <f>IF($H1278="","",IF(ROUND($F1278,2)&gt;0,$A1278,IF($D1278="شخصی قاسم","شخصی قاسم",IF($D1278="هزینه","هزینه: "&amp;IF($E1278="","متفرقه",$E1278),IF($C1278="پاس چک","چک پرداختی",IF(OR($B1278="",COUNTIF(AcctCodesA,$B1278)=0),"متفرقه",$B1278))))))</f>
        <v/>
      </c>
      <c r="J1278">
        <f>IF($H1278="","",IF(ROUND($F1278,2)&gt;0,IF($D1278="شخصی قاسم","شخصی قاسم",IF($D1278="هزینه","هزینه: "&amp;IF($E1278="","متفرقه",$E1278),IF(OR($B1278="",COUNTIF(AcctCodesA,$B1278)=0),"متفرقه",$B1278))),$A1278))</f>
        <v/>
      </c>
      <c r="K1278">
        <f>IF($A1278="","",IF(AND($B1278&lt;&gt;"",COUNTIF(AcctCodesA,$B1278)=0),"کد طرف در INFO تعریف نشده",IF(AND($D1278="هزینه",$E1278=""),"هزینه بدون زیرگروه",IF(AND($C1278="پاس چک",OR(Sync!$AJ1278="",COUNTIF(IssueNosA,Sync!$AJ1278)=0)),"شماره چک پاس‌شده معتبر نیست",""))))</f>
        <v/>
      </c>
      <c r="V1278">
        <f>IF($K1278="","",IF(ISNUMBER(Sync!$AK1278),Sync!$AK1278,LEFT(Sync!$AK1278,4)&amp;MID(Sync!$AK1278,6,2)&amp;RIGHT(Sync!$AK1278,2))&amp;"|"&amp;"4"&amp;RIGHT("00000"&amp;1273,5))</f>
        <v/>
      </c>
      <c r="W1278">
        <f>IF($V1278="",0,COUNTIFS($V$6:$V$2005,"&lt;"&amp;$V1278)-COUNTIFS($V$6:$V$2005,"&lt;"&amp;$V1278,$K$6:$K$2005,"")+1)</f>
        <v/>
      </c>
    </row>
    <row r="1279">
      <c r="A1279">
        <f>IF(Sync!$Z1279="","",LEFT(UPPER(TRIM(Sync!$Z1279)),6))</f>
        <v/>
      </c>
      <c r="B1279">
        <f>IF($A1279="","",IF(Sync!$AA1279="","",Sync!$AA1279))</f>
        <v/>
      </c>
      <c r="C1279">
        <f>IF($A1279="","",IF(Sync!$AB1279="","",Sync!$AB1279))</f>
        <v/>
      </c>
      <c r="D1279">
        <f>IF($A1279="","",IF(Sync!$AC1279="","",Sync!$AC1279))</f>
        <v/>
      </c>
      <c r="E1279">
        <f>IF($A1279="","",IF(Sync!$AD1279="","",Sync!$AD1279))</f>
        <v/>
      </c>
      <c r="F1279">
        <f>IF($A1279="","",IF(Sync!$AE1279="",0,Sync!$AE1279))</f>
        <v/>
      </c>
      <c r="G1279">
        <f>IF($A1279="","",IF(Sync!$AF1279="",0,Sync!$AF1279))</f>
        <v/>
      </c>
      <c r="H1279">
        <f>IF(OR($A1279="",ROUND($F1279+$G1279,2)=0),"",$F1279+$G1279)</f>
        <v/>
      </c>
      <c r="I1279">
        <f>IF($H1279="","",IF(ROUND($F1279,2)&gt;0,$A1279,IF($D1279="شخصی قاسم","شخصی قاسم",IF($D1279="هزینه","هزینه: "&amp;IF($E1279="","متفرقه",$E1279),IF($C1279="پاس چک","چک پرداختی",IF(OR($B1279="",COUNTIF(AcctCodesA,$B1279)=0),"متفرقه",$B1279))))))</f>
        <v/>
      </c>
      <c r="J1279">
        <f>IF($H1279="","",IF(ROUND($F1279,2)&gt;0,IF($D1279="شخصی قاسم","شخصی قاسم",IF($D1279="هزینه","هزینه: "&amp;IF($E1279="","متفرقه",$E1279),IF(OR($B1279="",COUNTIF(AcctCodesA,$B1279)=0),"متفرقه",$B1279))),$A1279))</f>
        <v/>
      </c>
      <c r="K1279">
        <f>IF($A1279="","",IF(AND($B1279&lt;&gt;"",COUNTIF(AcctCodesA,$B1279)=0),"کد طرف در INFO تعریف نشده",IF(AND($D1279="هزینه",$E1279=""),"هزینه بدون زیرگروه",IF(AND($C1279="پاس چک",OR(Sync!$AJ1279="",COUNTIF(IssueNosA,Sync!$AJ1279)=0)),"شماره چک پاس‌شده معتبر نیست",""))))</f>
        <v/>
      </c>
      <c r="V1279">
        <f>IF($K1279="","",IF(ISNUMBER(Sync!$AK1279),Sync!$AK1279,LEFT(Sync!$AK1279,4)&amp;MID(Sync!$AK1279,6,2)&amp;RIGHT(Sync!$AK1279,2))&amp;"|"&amp;"4"&amp;RIGHT("00000"&amp;1274,5))</f>
        <v/>
      </c>
      <c r="W1279">
        <f>IF($V1279="",0,COUNTIFS($V$6:$V$2005,"&lt;"&amp;$V1279)-COUNTIFS($V$6:$V$2005,"&lt;"&amp;$V1279,$K$6:$K$2005,"")+1)</f>
        <v/>
      </c>
    </row>
    <row r="1280">
      <c r="A1280">
        <f>IF(Sync!$Z1280="","",LEFT(UPPER(TRIM(Sync!$Z1280)),6))</f>
        <v/>
      </c>
      <c r="B1280">
        <f>IF($A1280="","",IF(Sync!$AA1280="","",Sync!$AA1280))</f>
        <v/>
      </c>
      <c r="C1280">
        <f>IF($A1280="","",IF(Sync!$AB1280="","",Sync!$AB1280))</f>
        <v/>
      </c>
      <c r="D1280">
        <f>IF($A1280="","",IF(Sync!$AC1280="","",Sync!$AC1280))</f>
        <v/>
      </c>
      <c r="E1280">
        <f>IF($A1280="","",IF(Sync!$AD1280="","",Sync!$AD1280))</f>
        <v/>
      </c>
      <c r="F1280">
        <f>IF($A1280="","",IF(Sync!$AE1280="",0,Sync!$AE1280))</f>
        <v/>
      </c>
      <c r="G1280">
        <f>IF($A1280="","",IF(Sync!$AF1280="",0,Sync!$AF1280))</f>
        <v/>
      </c>
      <c r="H1280">
        <f>IF(OR($A1280="",ROUND($F1280+$G1280,2)=0),"",$F1280+$G1280)</f>
        <v/>
      </c>
      <c r="I1280">
        <f>IF($H1280="","",IF(ROUND($F1280,2)&gt;0,$A1280,IF($D1280="شخصی قاسم","شخصی قاسم",IF($D1280="هزینه","هزینه: "&amp;IF($E1280="","متفرقه",$E1280),IF($C1280="پاس چک","چک پرداختی",IF(OR($B1280="",COUNTIF(AcctCodesA,$B1280)=0),"متفرقه",$B1280))))))</f>
        <v/>
      </c>
      <c r="J1280">
        <f>IF($H1280="","",IF(ROUND($F1280,2)&gt;0,IF($D1280="شخصی قاسم","شخصی قاسم",IF($D1280="هزینه","هزینه: "&amp;IF($E1280="","متفرقه",$E1280),IF(OR($B1280="",COUNTIF(AcctCodesA,$B1280)=0),"متفرقه",$B1280))),$A1280))</f>
        <v/>
      </c>
      <c r="K1280">
        <f>IF($A1280="","",IF(AND($B1280&lt;&gt;"",COUNTIF(AcctCodesA,$B1280)=0),"کد طرف در INFO تعریف نشده",IF(AND($D1280="هزینه",$E1280=""),"هزینه بدون زیرگروه",IF(AND($C1280="پاس چک",OR(Sync!$AJ1280="",COUNTIF(IssueNosA,Sync!$AJ1280)=0)),"شماره چک پاس‌شده معتبر نیست",""))))</f>
        <v/>
      </c>
      <c r="V1280">
        <f>IF($K1280="","",IF(ISNUMBER(Sync!$AK1280),Sync!$AK1280,LEFT(Sync!$AK1280,4)&amp;MID(Sync!$AK1280,6,2)&amp;RIGHT(Sync!$AK1280,2))&amp;"|"&amp;"4"&amp;RIGHT("00000"&amp;1275,5))</f>
        <v/>
      </c>
      <c r="W1280">
        <f>IF($V1280="",0,COUNTIFS($V$6:$V$2005,"&lt;"&amp;$V1280)-COUNTIFS($V$6:$V$2005,"&lt;"&amp;$V1280,$K$6:$K$2005,"")+1)</f>
        <v/>
      </c>
    </row>
    <row r="1281">
      <c r="A1281">
        <f>IF(Sync!$Z1281="","",LEFT(UPPER(TRIM(Sync!$Z1281)),6))</f>
        <v/>
      </c>
      <c r="B1281">
        <f>IF($A1281="","",IF(Sync!$AA1281="","",Sync!$AA1281))</f>
        <v/>
      </c>
      <c r="C1281">
        <f>IF($A1281="","",IF(Sync!$AB1281="","",Sync!$AB1281))</f>
        <v/>
      </c>
      <c r="D1281">
        <f>IF($A1281="","",IF(Sync!$AC1281="","",Sync!$AC1281))</f>
        <v/>
      </c>
      <c r="E1281">
        <f>IF($A1281="","",IF(Sync!$AD1281="","",Sync!$AD1281))</f>
        <v/>
      </c>
      <c r="F1281">
        <f>IF($A1281="","",IF(Sync!$AE1281="",0,Sync!$AE1281))</f>
        <v/>
      </c>
      <c r="G1281">
        <f>IF($A1281="","",IF(Sync!$AF1281="",0,Sync!$AF1281))</f>
        <v/>
      </c>
      <c r="H1281">
        <f>IF(OR($A1281="",ROUND($F1281+$G1281,2)=0),"",$F1281+$G1281)</f>
        <v/>
      </c>
      <c r="I1281">
        <f>IF($H1281="","",IF(ROUND($F1281,2)&gt;0,$A1281,IF($D1281="شخصی قاسم","شخصی قاسم",IF($D1281="هزینه","هزینه: "&amp;IF($E1281="","متفرقه",$E1281),IF($C1281="پاس چک","چک پرداختی",IF(OR($B1281="",COUNTIF(AcctCodesA,$B1281)=0),"متفرقه",$B1281))))))</f>
        <v/>
      </c>
      <c r="J1281">
        <f>IF($H1281="","",IF(ROUND($F1281,2)&gt;0,IF($D1281="شخصی قاسم","شخصی قاسم",IF($D1281="هزینه","هزینه: "&amp;IF($E1281="","متفرقه",$E1281),IF(OR($B1281="",COUNTIF(AcctCodesA,$B1281)=0),"متفرقه",$B1281))),$A1281))</f>
        <v/>
      </c>
      <c r="K1281">
        <f>IF($A1281="","",IF(AND($B1281&lt;&gt;"",COUNTIF(AcctCodesA,$B1281)=0),"کد طرف در INFO تعریف نشده",IF(AND($D1281="هزینه",$E1281=""),"هزینه بدون زیرگروه",IF(AND($C1281="پاس چک",OR(Sync!$AJ1281="",COUNTIF(IssueNosA,Sync!$AJ1281)=0)),"شماره چک پاس‌شده معتبر نیست",""))))</f>
        <v/>
      </c>
      <c r="V1281">
        <f>IF($K1281="","",IF(ISNUMBER(Sync!$AK1281),Sync!$AK1281,LEFT(Sync!$AK1281,4)&amp;MID(Sync!$AK1281,6,2)&amp;RIGHT(Sync!$AK1281,2))&amp;"|"&amp;"4"&amp;RIGHT("00000"&amp;1276,5))</f>
        <v/>
      </c>
      <c r="W1281">
        <f>IF($V1281="",0,COUNTIFS($V$6:$V$2005,"&lt;"&amp;$V1281)-COUNTIFS($V$6:$V$2005,"&lt;"&amp;$V1281,$K$6:$K$2005,"")+1)</f>
        <v/>
      </c>
    </row>
    <row r="1282">
      <c r="A1282">
        <f>IF(Sync!$Z1282="","",LEFT(UPPER(TRIM(Sync!$Z1282)),6))</f>
        <v/>
      </c>
      <c r="B1282">
        <f>IF($A1282="","",IF(Sync!$AA1282="","",Sync!$AA1282))</f>
        <v/>
      </c>
      <c r="C1282">
        <f>IF($A1282="","",IF(Sync!$AB1282="","",Sync!$AB1282))</f>
        <v/>
      </c>
      <c r="D1282">
        <f>IF($A1282="","",IF(Sync!$AC1282="","",Sync!$AC1282))</f>
        <v/>
      </c>
      <c r="E1282">
        <f>IF($A1282="","",IF(Sync!$AD1282="","",Sync!$AD1282))</f>
        <v/>
      </c>
      <c r="F1282">
        <f>IF($A1282="","",IF(Sync!$AE1282="",0,Sync!$AE1282))</f>
        <v/>
      </c>
      <c r="G1282">
        <f>IF($A1282="","",IF(Sync!$AF1282="",0,Sync!$AF1282))</f>
        <v/>
      </c>
      <c r="H1282">
        <f>IF(OR($A1282="",ROUND($F1282+$G1282,2)=0),"",$F1282+$G1282)</f>
        <v/>
      </c>
      <c r="I1282">
        <f>IF($H1282="","",IF(ROUND($F1282,2)&gt;0,$A1282,IF($D1282="شخصی قاسم","شخصی قاسم",IF($D1282="هزینه","هزینه: "&amp;IF($E1282="","متفرقه",$E1282),IF($C1282="پاس چک","چک پرداختی",IF(OR($B1282="",COUNTIF(AcctCodesA,$B1282)=0),"متفرقه",$B1282))))))</f>
        <v/>
      </c>
      <c r="J1282">
        <f>IF($H1282="","",IF(ROUND($F1282,2)&gt;0,IF($D1282="شخصی قاسم","شخصی قاسم",IF($D1282="هزینه","هزینه: "&amp;IF($E1282="","متفرقه",$E1282),IF(OR($B1282="",COUNTIF(AcctCodesA,$B1282)=0),"متفرقه",$B1282))),$A1282))</f>
        <v/>
      </c>
      <c r="K1282">
        <f>IF($A1282="","",IF(AND($B1282&lt;&gt;"",COUNTIF(AcctCodesA,$B1282)=0),"کد طرف در INFO تعریف نشده",IF(AND($D1282="هزینه",$E1282=""),"هزینه بدون زیرگروه",IF(AND($C1282="پاس چک",OR(Sync!$AJ1282="",COUNTIF(IssueNosA,Sync!$AJ1282)=0)),"شماره چک پاس‌شده معتبر نیست",""))))</f>
        <v/>
      </c>
      <c r="V1282">
        <f>IF($K1282="","",IF(ISNUMBER(Sync!$AK1282),Sync!$AK1282,LEFT(Sync!$AK1282,4)&amp;MID(Sync!$AK1282,6,2)&amp;RIGHT(Sync!$AK1282,2))&amp;"|"&amp;"4"&amp;RIGHT("00000"&amp;1277,5))</f>
        <v/>
      </c>
      <c r="W1282">
        <f>IF($V1282="",0,COUNTIFS($V$6:$V$2005,"&lt;"&amp;$V1282)-COUNTIFS($V$6:$V$2005,"&lt;"&amp;$V1282,$K$6:$K$2005,"")+1)</f>
        <v/>
      </c>
    </row>
    <row r="1283">
      <c r="A1283">
        <f>IF(Sync!$Z1283="","",LEFT(UPPER(TRIM(Sync!$Z1283)),6))</f>
        <v/>
      </c>
      <c r="B1283">
        <f>IF($A1283="","",IF(Sync!$AA1283="","",Sync!$AA1283))</f>
        <v/>
      </c>
      <c r="C1283">
        <f>IF($A1283="","",IF(Sync!$AB1283="","",Sync!$AB1283))</f>
        <v/>
      </c>
      <c r="D1283">
        <f>IF($A1283="","",IF(Sync!$AC1283="","",Sync!$AC1283))</f>
        <v/>
      </c>
      <c r="E1283">
        <f>IF($A1283="","",IF(Sync!$AD1283="","",Sync!$AD1283))</f>
        <v/>
      </c>
      <c r="F1283">
        <f>IF($A1283="","",IF(Sync!$AE1283="",0,Sync!$AE1283))</f>
        <v/>
      </c>
      <c r="G1283">
        <f>IF($A1283="","",IF(Sync!$AF1283="",0,Sync!$AF1283))</f>
        <v/>
      </c>
      <c r="H1283">
        <f>IF(OR($A1283="",ROUND($F1283+$G1283,2)=0),"",$F1283+$G1283)</f>
        <v/>
      </c>
      <c r="I1283">
        <f>IF($H1283="","",IF(ROUND($F1283,2)&gt;0,$A1283,IF($D1283="شخصی قاسم","شخصی قاسم",IF($D1283="هزینه","هزینه: "&amp;IF($E1283="","متفرقه",$E1283),IF($C1283="پاس چک","چک پرداختی",IF(OR($B1283="",COUNTIF(AcctCodesA,$B1283)=0),"متفرقه",$B1283))))))</f>
        <v/>
      </c>
      <c r="J1283">
        <f>IF($H1283="","",IF(ROUND($F1283,2)&gt;0,IF($D1283="شخصی قاسم","شخصی قاسم",IF($D1283="هزینه","هزینه: "&amp;IF($E1283="","متفرقه",$E1283),IF(OR($B1283="",COUNTIF(AcctCodesA,$B1283)=0),"متفرقه",$B1283))),$A1283))</f>
        <v/>
      </c>
      <c r="K1283">
        <f>IF($A1283="","",IF(AND($B1283&lt;&gt;"",COUNTIF(AcctCodesA,$B1283)=0),"کد طرف در INFO تعریف نشده",IF(AND($D1283="هزینه",$E1283=""),"هزینه بدون زیرگروه",IF(AND($C1283="پاس چک",OR(Sync!$AJ1283="",COUNTIF(IssueNosA,Sync!$AJ1283)=0)),"شماره چک پاس‌شده معتبر نیست",""))))</f>
        <v/>
      </c>
      <c r="V1283">
        <f>IF($K1283="","",IF(ISNUMBER(Sync!$AK1283),Sync!$AK1283,LEFT(Sync!$AK1283,4)&amp;MID(Sync!$AK1283,6,2)&amp;RIGHT(Sync!$AK1283,2))&amp;"|"&amp;"4"&amp;RIGHT("00000"&amp;1278,5))</f>
        <v/>
      </c>
      <c r="W1283">
        <f>IF($V1283="",0,COUNTIFS($V$6:$V$2005,"&lt;"&amp;$V1283)-COUNTIFS($V$6:$V$2005,"&lt;"&amp;$V1283,$K$6:$K$2005,"")+1)</f>
        <v/>
      </c>
    </row>
    <row r="1284">
      <c r="A1284">
        <f>IF(Sync!$Z1284="","",LEFT(UPPER(TRIM(Sync!$Z1284)),6))</f>
        <v/>
      </c>
      <c r="B1284">
        <f>IF($A1284="","",IF(Sync!$AA1284="","",Sync!$AA1284))</f>
        <v/>
      </c>
      <c r="C1284">
        <f>IF($A1284="","",IF(Sync!$AB1284="","",Sync!$AB1284))</f>
        <v/>
      </c>
      <c r="D1284">
        <f>IF($A1284="","",IF(Sync!$AC1284="","",Sync!$AC1284))</f>
        <v/>
      </c>
      <c r="E1284">
        <f>IF($A1284="","",IF(Sync!$AD1284="","",Sync!$AD1284))</f>
        <v/>
      </c>
      <c r="F1284">
        <f>IF($A1284="","",IF(Sync!$AE1284="",0,Sync!$AE1284))</f>
        <v/>
      </c>
      <c r="G1284">
        <f>IF($A1284="","",IF(Sync!$AF1284="",0,Sync!$AF1284))</f>
        <v/>
      </c>
      <c r="H1284">
        <f>IF(OR($A1284="",ROUND($F1284+$G1284,2)=0),"",$F1284+$G1284)</f>
        <v/>
      </c>
      <c r="I1284">
        <f>IF($H1284="","",IF(ROUND($F1284,2)&gt;0,$A1284,IF($D1284="شخصی قاسم","شخصی قاسم",IF($D1284="هزینه","هزینه: "&amp;IF($E1284="","متفرقه",$E1284),IF($C1284="پاس چک","چک پرداختی",IF(OR($B1284="",COUNTIF(AcctCodesA,$B1284)=0),"متفرقه",$B1284))))))</f>
        <v/>
      </c>
      <c r="J1284">
        <f>IF($H1284="","",IF(ROUND($F1284,2)&gt;0,IF($D1284="شخصی قاسم","شخصی قاسم",IF($D1284="هزینه","هزینه: "&amp;IF($E1284="","متفرقه",$E1284),IF(OR($B1284="",COUNTIF(AcctCodesA,$B1284)=0),"متفرقه",$B1284))),$A1284))</f>
        <v/>
      </c>
      <c r="K1284">
        <f>IF($A1284="","",IF(AND($B1284&lt;&gt;"",COUNTIF(AcctCodesA,$B1284)=0),"کد طرف در INFO تعریف نشده",IF(AND($D1284="هزینه",$E1284=""),"هزینه بدون زیرگروه",IF(AND($C1284="پاس چک",OR(Sync!$AJ1284="",COUNTIF(IssueNosA,Sync!$AJ1284)=0)),"شماره چک پاس‌شده معتبر نیست",""))))</f>
        <v/>
      </c>
      <c r="V1284">
        <f>IF($K1284="","",IF(ISNUMBER(Sync!$AK1284),Sync!$AK1284,LEFT(Sync!$AK1284,4)&amp;MID(Sync!$AK1284,6,2)&amp;RIGHT(Sync!$AK1284,2))&amp;"|"&amp;"4"&amp;RIGHT("00000"&amp;1279,5))</f>
        <v/>
      </c>
      <c r="W1284">
        <f>IF($V1284="",0,COUNTIFS($V$6:$V$2005,"&lt;"&amp;$V1284)-COUNTIFS($V$6:$V$2005,"&lt;"&amp;$V1284,$K$6:$K$2005,"")+1)</f>
        <v/>
      </c>
    </row>
    <row r="1285">
      <c r="A1285">
        <f>IF(Sync!$Z1285="","",LEFT(UPPER(TRIM(Sync!$Z1285)),6))</f>
        <v/>
      </c>
      <c r="B1285">
        <f>IF($A1285="","",IF(Sync!$AA1285="","",Sync!$AA1285))</f>
        <v/>
      </c>
      <c r="C1285">
        <f>IF($A1285="","",IF(Sync!$AB1285="","",Sync!$AB1285))</f>
        <v/>
      </c>
      <c r="D1285">
        <f>IF($A1285="","",IF(Sync!$AC1285="","",Sync!$AC1285))</f>
        <v/>
      </c>
      <c r="E1285">
        <f>IF($A1285="","",IF(Sync!$AD1285="","",Sync!$AD1285))</f>
        <v/>
      </c>
      <c r="F1285">
        <f>IF($A1285="","",IF(Sync!$AE1285="",0,Sync!$AE1285))</f>
        <v/>
      </c>
      <c r="G1285">
        <f>IF($A1285="","",IF(Sync!$AF1285="",0,Sync!$AF1285))</f>
        <v/>
      </c>
      <c r="H1285">
        <f>IF(OR($A1285="",ROUND($F1285+$G1285,2)=0),"",$F1285+$G1285)</f>
        <v/>
      </c>
      <c r="I1285">
        <f>IF($H1285="","",IF(ROUND($F1285,2)&gt;0,$A1285,IF($D1285="شخصی قاسم","شخصی قاسم",IF($D1285="هزینه","هزینه: "&amp;IF($E1285="","متفرقه",$E1285),IF($C1285="پاس چک","چک پرداختی",IF(OR($B1285="",COUNTIF(AcctCodesA,$B1285)=0),"متفرقه",$B1285))))))</f>
        <v/>
      </c>
      <c r="J1285">
        <f>IF($H1285="","",IF(ROUND($F1285,2)&gt;0,IF($D1285="شخصی قاسم","شخصی قاسم",IF($D1285="هزینه","هزینه: "&amp;IF($E1285="","متفرقه",$E1285),IF(OR($B1285="",COUNTIF(AcctCodesA,$B1285)=0),"متفرقه",$B1285))),$A1285))</f>
        <v/>
      </c>
      <c r="K1285">
        <f>IF($A1285="","",IF(AND($B1285&lt;&gt;"",COUNTIF(AcctCodesA,$B1285)=0),"کد طرف در INFO تعریف نشده",IF(AND($D1285="هزینه",$E1285=""),"هزینه بدون زیرگروه",IF(AND($C1285="پاس چک",OR(Sync!$AJ1285="",COUNTIF(IssueNosA,Sync!$AJ1285)=0)),"شماره چک پاس‌شده معتبر نیست",""))))</f>
        <v/>
      </c>
      <c r="V1285">
        <f>IF($K1285="","",IF(ISNUMBER(Sync!$AK1285),Sync!$AK1285,LEFT(Sync!$AK1285,4)&amp;MID(Sync!$AK1285,6,2)&amp;RIGHT(Sync!$AK1285,2))&amp;"|"&amp;"4"&amp;RIGHT("00000"&amp;1280,5))</f>
        <v/>
      </c>
      <c r="W1285">
        <f>IF($V1285="",0,COUNTIFS($V$6:$V$2005,"&lt;"&amp;$V1285)-COUNTIFS($V$6:$V$2005,"&lt;"&amp;$V1285,$K$6:$K$2005,"")+1)</f>
        <v/>
      </c>
    </row>
    <row r="1286">
      <c r="A1286">
        <f>IF(Sync!$Z1286="","",LEFT(UPPER(TRIM(Sync!$Z1286)),6))</f>
        <v/>
      </c>
      <c r="B1286">
        <f>IF($A1286="","",IF(Sync!$AA1286="","",Sync!$AA1286))</f>
        <v/>
      </c>
      <c r="C1286">
        <f>IF($A1286="","",IF(Sync!$AB1286="","",Sync!$AB1286))</f>
        <v/>
      </c>
      <c r="D1286">
        <f>IF($A1286="","",IF(Sync!$AC1286="","",Sync!$AC1286))</f>
        <v/>
      </c>
      <c r="E1286">
        <f>IF($A1286="","",IF(Sync!$AD1286="","",Sync!$AD1286))</f>
        <v/>
      </c>
      <c r="F1286">
        <f>IF($A1286="","",IF(Sync!$AE1286="",0,Sync!$AE1286))</f>
        <v/>
      </c>
      <c r="G1286">
        <f>IF($A1286="","",IF(Sync!$AF1286="",0,Sync!$AF1286))</f>
        <v/>
      </c>
      <c r="H1286">
        <f>IF(OR($A1286="",ROUND($F1286+$G1286,2)=0),"",$F1286+$G1286)</f>
        <v/>
      </c>
      <c r="I1286">
        <f>IF($H1286="","",IF(ROUND($F1286,2)&gt;0,$A1286,IF($D1286="شخصی قاسم","شخصی قاسم",IF($D1286="هزینه","هزینه: "&amp;IF($E1286="","متفرقه",$E1286),IF($C1286="پاس چک","چک پرداختی",IF(OR($B1286="",COUNTIF(AcctCodesA,$B1286)=0),"متفرقه",$B1286))))))</f>
        <v/>
      </c>
      <c r="J1286">
        <f>IF($H1286="","",IF(ROUND($F1286,2)&gt;0,IF($D1286="شخصی قاسم","شخصی قاسم",IF($D1286="هزینه","هزینه: "&amp;IF($E1286="","متفرقه",$E1286),IF(OR($B1286="",COUNTIF(AcctCodesA,$B1286)=0),"متفرقه",$B1286))),$A1286))</f>
        <v/>
      </c>
      <c r="K1286">
        <f>IF($A1286="","",IF(AND($B1286&lt;&gt;"",COUNTIF(AcctCodesA,$B1286)=0),"کد طرف در INFO تعریف نشده",IF(AND($D1286="هزینه",$E1286=""),"هزینه بدون زیرگروه",IF(AND($C1286="پاس چک",OR(Sync!$AJ1286="",COUNTIF(IssueNosA,Sync!$AJ1286)=0)),"شماره چک پاس‌شده معتبر نیست",""))))</f>
        <v/>
      </c>
      <c r="V1286">
        <f>IF($K1286="","",IF(ISNUMBER(Sync!$AK1286),Sync!$AK1286,LEFT(Sync!$AK1286,4)&amp;MID(Sync!$AK1286,6,2)&amp;RIGHT(Sync!$AK1286,2))&amp;"|"&amp;"4"&amp;RIGHT("00000"&amp;1281,5))</f>
        <v/>
      </c>
      <c r="W1286">
        <f>IF($V1286="",0,COUNTIFS($V$6:$V$2005,"&lt;"&amp;$V1286)-COUNTIFS($V$6:$V$2005,"&lt;"&amp;$V1286,$K$6:$K$2005,"")+1)</f>
        <v/>
      </c>
    </row>
    <row r="1287">
      <c r="A1287">
        <f>IF(Sync!$Z1287="","",LEFT(UPPER(TRIM(Sync!$Z1287)),6))</f>
        <v/>
      </c>
      <c r="B1287">
        <f>IF($A1287="","",IF(Sync!$AA1287="","",Sync!$AA1287))</f>
        <v/>
      </c>
      <c r="C1287">
        <f>IF($A1287="","",IF(Sync!$AB1287="","",Sync!$AB1287))</f>
        <v/>
      </c>
      <c r="D1287">
        <f>IF($A1287="","",IF(Sync!$AC1287="","",Sync!$AC1287))</f>
        <v/>
      </c>
      <c r="E1287">
        <f>IF($A1287="","",IF(Sync!$AD1287="","",Sync!$AD1287))</f>
        <v/>
      </c>
      <c r="F1287">
        <f>IF($A1287="","",IF(Sync!$AE1287="",0,Sync!$AE1287))</f>
        <v/>
      </c>
      <c r="G1287">
        <f>IF($A1287="","",IF(Sync!$AF1287="",0,Sync!$AF1287))</f>
        <v/>
      </c>
      <c r="H1287">
        <f>IF(OR($A1287="",ROUND($F1287+$G1287,2)=0),"",$F1287+$G1287)</f>
        <v/>
      </c>
      <c r="I1287">
        <f>IF($H1287="","",IF(ROUND($F1287,2)&gt;0,$A1287,IF($D1287="شخصی قاسم","شخصی قاسم",IF($D1287="هزینه","هزینه: "&amp;IF($E1287="","متفرقه",$E1287),IF($C1287="پاس چک","چک پرداختی",IF(OR($B1287="",COUNTIF(AcctCodesA,$B1287)=0),"متفرقه",$B1287))))))</f>
        <v/>
      </c>
      <c r="J1287">
        <f>IF($H1287="","",IF(ROUND($F1287,2)&gt;0,IF($D1287="شخصی قاسم","شخصی قاسم",IF($D1287="هزینه","هزینه: "&amp;IF($E1287="","متفرقه",$E1287),IF(OR($B1287="",COUNTIF(AcctCodesA,$B1287)=0),"متفرقه",$B1287))),$A1287))</f>
        <v/>
      </c>
      <c r="K1287">
        <f>IF($A1287="","",IF(AND($B1287&lt;&gt;"",COUNTIF(AcctCodesA,$B1287)=0),"کد طرف در INFO تعریف نشده",IF(AND($D1287="هزینه",$E1287=""),"هزینه بدون زیرگروه",IF(AND($C1287="پاس چک",OR(Sync!$AJ1287="",COUNTIF(IssueNosA,Sync!$AJ1287)=0)),"شماره چک پاس‌شده معتبر نیست",""))))</f>
        <v/>
      </c>
      <c r="V1287">
        <f>IF($K1287="","",IF(ISNUMBER(Sync!$AK1287),Sync!$AK1287,LEFT(Sync!$AK1287,4)&amp;MID(Sync!$AK1287,6,2)&amp;RIGHT(Sync!$AK1287,2))&amp;"|"&amp;"4"&amp;RIGHT("00000"&amp;1282,5))</f>
        <v/>
      </c>
      <c r="W1287">
        <f>IF($V1287="",0,COUNTIFS($V$6:$V$2005,"&lt;"&amp;$V1287)-COUNTIFS($V$6:$V$2005,"&lt;"&amp;$V1287,$K$6:$K$2005,"")+1)</f>
        <v/>
      </c>
    </row>
    <row r="1288">
      <c r="A1288">
        <f>IF(Sync!$Z1288="","",LEFT(UPPER(TRIM(Sync!$Z1288)),6))</f>
        <v/>
      </c>
      <c r="B1288">
        <f>IF($A1288="","",IF(Sync!$AA1288="","",Sync!$AA1288))</f>
        <v/>
      </c>
      <c r="C1288">
        <f>IF($A1288="","",IF(Sync!$AB1288="","",Sync!$AB1288))</f>
        <v/>
      </c>
      <c r="D1288">
        <f>IF($A1288="","",IF(Sync!$AC1288="","",Sync!$AC1288))</f>
        <v/>
      </c>
      <c r="E1288">
        <f>IF($A1288="","",IF(Sync!$AD1288="","",Sync!$AD1288))</f>
        <v/>
      </c>
      <c r="F1288">
        <f>IF($A1288="","",IF(Sync!$AE1288="",0,Sync!$AE1288))</f>
        <v/>
      </c>
      <c r="G1288">
        <f>IF($A1288="","",IF(Sync!$AF1288="",0,Sync!$AF1288))</f>
        <v/>
      </c>
      <c r="H1288">
        <f>IF(OR($A1288="",ROUND($F1288+$G1288,2)=0),"",$F1288+$G1288)</f>
        <v/>
      </c>
      <c r="I1288">
        <f>IF($H1288="","",IF(ROUND($F1288,2)&gt;0,$A1288,IF($D1288="شخصی قاسم","شخصی قاسم",IF($D1288="هزینه","هزینه: "&amp;IF($E1288="","متفرقه",$E1288),IF($C1288="پاس چک","چک پرداختی",IF(OR($B1288="",COUNTIF(AcctCodesA,$B1288)=0),"متفرقه",$B1288))))))</f>
        <v/>
      </c>
      <c r="J1288">
        <f>IF($H1288="","",IF(ROUND($F1288,2)&gt;0,IF($D1288="شخصی قاسم","شخصی قاسم",IF($D1288="هزینه","هزینه: "&amp;IF($E1288="","متفرقه",$E1288),IF(OR($B1288="",COUNTIF(AcctCodesA,$B1288)=0),"متفرقه",$B1288))),$A1288))</f>
        <v/>
      </c>
      <c r="K1288">
        <f>IF($A1288="","",IF(AND($B1288&lt;&gt;"",COUNTIF(AcctCodesA,$B1288)=0),"کد طرف در INFO تعریف نشده",IF(AND($D1288="هزینه",$E1288=""),"هزینه بدون زیرگروه",IF(AND($C1288="پاس چک",OR(Sync!$AJ1288="",COUNTIF(IssueNosA,Sync!$AJ1288)=0)),"شماره چک پاس‌شده معتبر نیست",""))))</f>
        <v/>
      </c>
      <c r="V1288">
        <f>IF($K1288="","",IF(ISNUMBER(Sync!$AK1288),Sync!$AK1288,LEFT(Sync!$AK1288,4)&amp;MID(Sync!$AK1288,6,2)&amp;RIGHT(Sync!$AK1288,2))&amp;"|"&amp;"4"&amp;RIGHT("00000"&amp;1283,5))</f>
        <v/>
      </c>
      <c r="W1288">
        <f>IF($V1288="",0,COUNTIFS($V$6:$V$2005,"&lt;"&amp;$V1288)-COUNTIFS($V$6:$V$2005,"&lt;"&amp;$V1288,$K$6:$K$2005,"")+1)</f>
        <v/>
      </c>
    </row>
    <row r="1289">
      <c r="A1289">
        <f>IF(Sync!$Z1289="","",LEFT(UPPER(TRIM(Sync!$Z1289)),6))</f>
        <v/>
      </c>
      <c r="B1289">
        <f>IF($A1289="","",IF(Sync!$AA1289="","",Sync!$AA1289))</f>
        <v/>
      </c>
      <c r="C1289">
        <f>IF($A1289="","",IF(Sync!$AB1289="","",Sync!$AB1289))</f>
        <v/>
      </c>
      <c r="D1289">
        <f>IF($A1289="","",IF(Sync!$AC1289="","",Sync!$AC1289))</f>
        <v/>
      </c>
      <c r="E1289">
        <f>IF($A1289="","",IF(Sync!$AD1289="","",Sync!$AD1289))</f>
        <v/>
      </c>
      <c r="F1289">
        <f>IF($A1289="","",IF(Sync!$AE1289="",0,Sync!$AE1289))</f>
        <v/>
      </c>
      <c r="G1289">
        <f>IF($A1289="","",IF(Sync!$AF1289="",0,Sync!$AF1289))</f>
        <v/>
      </c>
      <c r="H1289">
        <f>IF(OR($A1289="",ROUND($F1289+$G1289,2)=0),"",$F1289+$G1289)</f>
        <v/>
      </c>
      <c r="I1289">
        <f>IF($H1289="","",IF(ROUND($F1289,2)&gt;0,$A1289,IF($D1289="شخصی قاسم","شخصی قاسم",IF($D1289="هزینه","هزینه: "&amp;IF($E1289="","متفرقه",$E1289),IF($C1289="پاس چک","چک پرداختی",IF(OR($B1289="",COUNTIF(AcctCodesA,$B1289)=0),"متفرقه",$B1289))))))</f>
        <v/>
      </c>
      <c r="J1289">
        <f>IF($H1289="","",IF(ROUND($F1289,2)&gt;0,IF($D1289="شخصی قاسم","شخصی قاسم",IF($D1289="هزینه","هزینه: "&amp;IF($E1289="","متفرقه",$E1289),IF(OR($B1289="",COUNTIF(AcctCodesA,$B1289)=0),"متفرقه",$B1289))),$A1289))</f>
        <v/>
      </c>
      <c r="K1289">
        <f>IF($A1289="","",IF(AND($B1289&lt;&gt;"",COUNTIF(AcctCodesA,$B1289)=0),"کد طرف در INFO تعریف نشده",IF(AND($D1289="هزینه",$E1289=""),"هزینه بدون زیرگروه",IF(AND($C1289="پاس چک",OR(Sync!$AJ1289="",COUNTIF(IssueNosA,Sync!$AJ1289)=0)),"شماره چک پاس‌شده معتبر نیست",""))))</f>
        <v/>
      </c>
      <c r="V1289">
        <f>IF($K1289="","",IF(ISNUMBER(Sync!$AK1289),Sync!$AK1289,LEFT(Sync!$AK1289,4)&amp;MID(Sync!$AK1289,6,2)&amp;RIGHT(Sync!$AK1289,2))&amp;"|"&amp;"4"&amp;RIGHT("00000"&amp;1284,5))</f>
        <v/>
      </c>
      <c r="W1289">
        <f>IF($V1289="",0,COUNTIFS($V$6:$V$2005,"&lt;"&amp;$V1289)-COUNTIFS($V$6:$V$2005,"&lt;"&amp;$V1289,$K$6:$K$2005,"")+1)</f>
        <v/>
      </c>
    </row>
    <row r="1290">
      <c r="A1290">
        <f>IF(Sync!$Z1290="","",LEFT(UPPER(TRIM(Sync!$Z1290)),6))</f>
        <v/>
      </c>
      <c r="B1290">
        <f>IF($A1290="","",IF(Sync!$AA1290="","",Sync!$AA1290))</f>
        <v/>
      </c>
      <c r="C1290">
        <f>IF($A1290="","",IF(Sync!$AB1290="","",Sync!$AB1290))</f>
        <v/>
      </c>
      <c r="D1290">
        <f>IF($A1290="","",IF(Sync!$AC1290="","",Sync!$AC1290))</f>
        <v/>
      </c>
      <c r="E1290">
        <f>IF($A1290="","",IF(Sync!$AD1290="","",Sync!$AD1290))</f>
        <v/>
      </c>
      <c r="F1290">
        <f>IF($A1290="","",IF(Sync!$AE1290="",0,Sync!$AE1290))</f>
        <v/>
      </c>
      <c r="G1290">
        <f>IF($A1290="","",IF(Sync!$AF1290="",0,Sync!$AF1290))</f>
        <v/>
      </c>
      <c r="H1290">
        <f>IF(OR($A1290="",ROUND($F1290+$G1290,2)=0),"",$F1290+$G1290)</f>
        <v/>
      </c>
      <c r="I1290">
        <f>IF($H1290="","",IF(ROUND($F1290,2)&gt;0,$A1290,IF($D1290="شخصی قاسم","شخصی قاسم",IF($D1290="هزینه","هزینه: "&amp;IF($E1290="","متفرقه",$E1290),IF($C1290="پاس چک","چک پرداختی",IF(OR($B1290="",COUNTIF(AcctCodesA,$B1290)=0),"متفرقه",$B1290))))))</f>
        <v/>
      </c>
      <c r="J1290">
        <f>IF($H1290="","",IF(ROUND($F1290,2)&gt;0,IF($D1290="شخصی قاسم","شخصی قاسم",IF($D1290="هزینه","هزینه: "&amp;IF($E1290="","متفرقه",$E1290),IF(OR($B1290="",COUNTIF(AcctCodesA,$B1290)=0),"متفرقه",$B1290))),$A1290))</f>
        <v/>
      </c>
      <c r="K1290">
        <f>IF($A1290="","",IF(AND($B1290&lt;&gt;"",COUNTIF(AcctCodesA,$B1290)=0),"کد طرف در INFO تعریف نشده",IF(AND($D1290="هزینه",$E1290=""),"هزینه بدون زیرگروه",IF(AND($C1290="پاس چک",OR(Sync!$AJ1290="",COUNTIF(IssueNosA,Sync!$AJ1290)=0)),"شماره چک پاس‌شده معتبر نیست",""))))</f>
        <v/>
      </c>
      <c r="V1290">
        <f>IF($K1290="","",IF(ISNUMBER(Sync!$AK1290),Sync!$AK1290,LEFT(Sync!$AK1290,4)&amp;MID(Sync!$AK1290,6,2)&amp;RIGHT(Sync!$AK1290,2))&amp;"|"&amp;"4"&amp;RIGHT("00000"&amp;1285,5))</f>
        <v/>
      </c>
      <c r="W1290">
        <f>IF($V1290="",0,COUNTIFS($V$6:$V$2005,"&lt;"&amp;$V1290)-COUNTIFS($V$6:$V$2005,"&lt;"&amp;$V1290,$K$6:$K$2005,"")+1)</f>
        <v/>
      </c>
    </row>
    <row r="1291">
      <c r="A1291">
        <f>IF(Sync!$Z1291="","",LEFT(UPPER(TRIM(Sync!$Z1291)),6))</f>
        <v/>
      </c>
      <c r="B1291">
        <f>IF($A1291="","",IF(Sync!$AA1291="","",Sync!$AA1291))</f>
        <v/>
      </c>
      <c r="C1291">
        <f>IF($A1291="","",IF(Sync!$AB1291="","",Sync!$AB1291))</f>
        <v/>
      </c>
      <c r="D1291">
        <f>IF($A1291="","",IF(Sync!$AC1291="","",Sync!$AC1291))</f>
        <v/>
      </c>
      <c r="E1291">
        <f>IF($A1291="","",IF(Sync!$AD1291="","",Sync!$AD1291))</f>
        <v/>
      </c>
      <c r="F1291">
        <f>IF($A1291="","",IF(Sync!$AE1291="",0,Sync!$AE1291))</f>
        <v/>
      </c>
      <c r="G1291">
        <f>IF($A1291="","",IF(Sync!$AF1291="",0,Sync!$AF1291))</f>
        <v/>
      </c>
      <c r="H1291">
        <f>IF(OR($A1291="",ROUND($F1291+$G1291,2)=0),"",$F1291+$G1291)</f>
        <v/>
      </c>
      <c r="I1291">
        <f>IF($H1291="","",IF(ROUND($F1291,2)&gt;0,$A1291,IF($D1291="شخصی قاسم","شخصی قاسم",IF($D1291="هزینه","هزینه: "&amp;IF($E1291="","متفرقه",$E1291),IF($C1291="پاس چک","چک پرداختی",IF(OR($B1291="",COUNTIF(AcctCodesA,$B1291)=0),"متفرقه",$B1291))))))</f>
        <v/>
      </c>
      <c r="J1291">
        <f>IF($H1291="","",IF(ROUND($F1291,2)&gt;0,IF($D1291="شخصی قاسم","شخصی قاسم",IF($D1291="هزینه","هزینه: "&amp;IF($E1291="","متفرقه",$E1291),IF(OR($B1291="",COUNTIF(AcctCodesA,$B1291)=0),"متفرقه",$B1291))),$A1291))</f>
        <v/>
      </c>
      <c r="K1291">
        <f>IF($A1291="","",IF(AND($B1291&lt;&gt;"",COUNTIF(AcctCodesA,$B1291)=0),"کد طرف در INFO تعریف نشده",IF(AND($D1291="هزینه",$E1291=""),"هزینه بدون زیرگروه",IF(AND($C1291="پاس چک",OR(Sync!$AJ1291="",COUNTIF(IssueNosA,Sync!$AJ1291)=0)),"شماره چک پاس‌شده معتبر نیست",""))))</f>
        <v/>
      </c>
      <c r="V1291">
        <f>IF($K1291="","",IF(ISNUMBER(Sync!$AK1291),Sync!$AK1291,LEFT(Sync!$AK1291,4)&amp;MID(Sync!$AK1291,6,2)&amp;RIGHT(Sync!$AK1291,2))&amp;"|"&amp;"4"&amp;RIGHT("00000"&amp;1286,5))</f>
        <v/>
      </c>
      <c r="W1291">
        <f>IF($V1291="",0,COUNTIFS($V$6:$V$2005,"&lt;"&amp;$V1291)-COUNTIFS($V$6:$V$2005,"&lt;"&amp;$V1291,$K$6:$K$2005,"")+1)</f>
        <v/>
      </c>
    </row>
    <row r="1292">
      <c r="A1292">
        <f>IF(Sync!$Z1292="","",LEFT(UPPER(TRIM(Sync!$Z1292)),6))</f>
        <v/>
      </c>
      <c r="B1292">
        <f>IF($A1292="","",IF(Sync!$AA1292="","",Sync!$AA1292))</f>
        <v/>
      </c>
      <c r="C1292">
        <f>IF($A1292="","",IF(Sync!$AB1292="","",Sync!$AB1292))</f>
        <v/>
      </c>
      <c r="D1292">
        <f>IF($A1292="","",IF(Sync!$AC1292="","",Sync!$AC1292))</f>
        <v/>
      </c>
      <c r="E1292">
        <f>IF($A1292="","",IF(Sync!$AD1292="","",Sync!$AD1292))</f>
        <v/>
      </c>
      <c r="F1292">
        <f>IF($A1292="","",IF(Sync!$AE1292="",0,Sync!$AE1292))</f>
        <v/>
      </c>
      <c r="G1292">
        <f>IF($A1292="","",IF(Sync!$AF1292="",0,Sync!$AF1292))</f>
        <v/>
      </c>
      <c r="H1292">
        <f>IF(OR($A1292="",ROUND($F1292+$G1292,2)=0),"",$F1292+$G1292)</f>
        <v/>
      </c>
      <c r="I1292">
        <f>IF($H1292="","",IF(ROUND($F1292,2)&gt;0,$A1292,IF($D1292="شخصی قاسم","شخصی قاسم",IF($D1292="هزینه","هزینه: "&amp;IF($E1292="","متفرقه",$E1292),IF($C1292="پاس چک","چک پرداختی",IF(OR($B1292="",COUNTIF(AcctCodesA,$B1292)=0),"متفرقه",$B1292))))))</f>
        <v/>
      </c>
      <c r="J1292">
        <f>IF($H1292="","",IF(ROUND($F1292,2)&gt;0,IF($D1292="شخصی قاسم","شخصی قاسم",IF($D1292="هزینه","هزینه: "&amp;IF($E1292="","متفرقه",$E1292),IF(OR($B1292="",COUNTIF(AcctCodesA,$B1292)=0),"متفرقه",$B1292))),$A1292))</f>
        <v/>
      </c>
      <c r="K1292">
        <f>IF($A1292="","",IF(AND($B1292&lt;&gt;"",COUNTIF(AcctCodesA,$B1292)=0),"کد طرف در INFO تعریف نشده",IF(AND($D1292="هزینه",$E1292=""),"هزینه بدون زیرگروه",IF(AND($C1292="پاس چک",OR(Sync!$AJ1292="",COUNTIF(IssueNosA,Sync!$AJ1292)=0)),"شماره چک پاس‌شده معتبر نیست",""))))</f>
        <v/>
      </c>
      <c r="V1292">
        <f>IF($K1292="","",IF(ISNUMBER(Sync!$AK1292),Sync!$AK1292,LEFT(Sync!$AK1292,4)&amp;MID(Sync!$AK1292,6,2)&amp;RIGHT(Sync!$AK1292,2))&amp;"|"&amp;"4"&amp;RIGHT("00000"&amp;1287,5))</f>
        <v/>
      </c>
      <c r="W1292">
        <f>IF($V1292="",0,COUNTIFS($V$6:$V$2005,"&lt;"&amp;$V1292)-COUNTIFS($V$6:$V$2005,"&lt;"&amp;$V1292,$K$6:$K$2005,"")+1)</f>
        <v/>
      </c>
    </row>
    <row r="1293">
      <c r="A1293">
        <f>IF(Sync!$Z1293="","",LEFT(UPPER(TRIM(Sync!$Z1293)),6))</f>
        <v/>
      </c>
      <c r="B1293">
        <f>IF($A1293="","",IF(Sync!$AA1293="","",Sync!$AA1293))</f>
        <v/>
      </c>
      <c r="C1293">
        <f>IF($A1293="","",IF(Sync!$AB1293="","",Sync!$AB1293))</f>
        <v/>
      </c>
      <c r="D1293">
        <f>IF($A1293="","",IF(Sync!$AC1293="","",Sync!$AC1293))</f>
        <v/>
      </c>
      <c r="E1293">
        <f>IF($A1293="","",IF(Sync!$AD1293="","",Sync!$AD1293))</f>
        <v/>
      </c>
      <c r="F1293">
        <f>IF($A1293="","",IF(Sync!$AE1293="",0,Sync!$AE1293))</f>
        <v/>
      </c>
      <c r="G1293">
        <f>IF($A1293="","",IF(Sync!$AF1293="",0,Sync!$AF1293))</f>
        <v/>
      </c>
      <c r="H1293">
        <f>IF(OR($A1293="",ROUND($F1293+$G1293,2)=0),"",$F1293+$G1293)</f>
        <v/>
      </c>
      <c r="I1293">
        <f>IF($H1293="","",IF(ROUND($F1293,2)&gt;0,$A1293,IF($D1293="شخصی قاسم","شخصی قاسم",IF($D1293="هزینه","هزینه: "&amp;IF($E1293="","متفرقه",$E1293),IF($C1293="پاس چک","چک پرداختی",IF(OR($B1293="",COUNTIF(AcctCodesA,$B1293)=0),"متفرقه",$B1293))))))</f>
        <v/>
      </c>
      <c r="J1293">
        <f>IF($H1293="","",IF(ROUND($F1293,2)&gt;0,IF($D1293="شخصی قاسم","شخصی قاسم",IF($D1293="هزینه","هزینه: "&amp;IF($E1293="","متفرقه",$E1293),IF(OR($B1293="",COUNTIF(AcctCodesA,$B1293)=0),"متفرقه",$B1293))),$A1293))</f>
        <v/>
      </c>
      <c r="K1293">
        <f>IF($A1293="","",IF(AND($B1293&lt;&gt;"",COUNTIF(AcctCodesA,$B1293)=0),"کد طرف در INFO تعریف نشده",IF(AND($D1293="هزینه",$E1293=""),"هزینه بدون زیرگروه",IF(AND($C1293="پاس چک",OR(Sync!$AJ1293="",COUNTIF(IssueNosA,Sync!$AJ1293)=0)),"شماره چک پاس‌شده معتبر نیست",""))))</f>
        <v/>
      </c>
      <c r="V1293">
        <f>IF($K1293="","",IF(ISNUMBER(Sync!$AK1293),Sync!$AK1293,LEFT(Sync!$AK1293,4)&amp;MID(Sync!$AK1293,6,2)&amp;RIGHT(Sync!$AK1293,2))&amp;"|"&amp;"4"&amp;RIGHT("00000"&amp;1288,5))</f>
        <v/>
      </c>
      <c r="W1293">
        <f>IF($V1293="",0,COUNTIFS($V$6:$V$2005,"&lt;"&amp;$V1293)-COUNTIFS($V$6:$V$2005,"&lt;"&amp;$V1293,$K$6:$K$2005,"")+1)</f>
        <v/>
      </c>
    </row>
    <row r="1294">
      <c r="A1294">
        <f>IF(Sync!$Z1294="","",LEFT(UPPER(TRIM(Sync!$Z1294)),6))</f>
        <v/>
      </c>
      <c r="B1294">
        <f>IF($A1294="","",IF(Sync!$AA1294="","",Sync!$AA1294))</f>
        <v/>
      </c>
      <c r="C1294">
        <f>IF($A1294="","",IF(Sync!$AB1294="","",Sync!$AB1294))</f>
        <v/>
      </c>
      <c r="D1294">
        <f>IF($A1294="","",IF(Sync!$AC1294="","",Sync!$AC1294))</f>
        <v/>
      </c>
      <c r="E1294">
        <f>IF($A1294="","",IF(Sync!$AD1294="","",Sync!$AD1294))</f>
        <v/>
      </c>
      <c r="F1294">
        <f>IF($A1294="","",IF(Sync!$AE1294="",0,Sync!$AE1294))</f>
        <v/>
      </c>
      <c r="G1294">
        <f>IF($A1294="","",IF(Sync!$AF1294="",0,Sync!$AF1294))</f>
        <v/>
      </c>
      <c r="H1294">
        <f>IF(OR($A1294="",ROUND($F1294+$G1294,2)=0),"",$F1294+$G1294)</f>
        <v/>
      </c>
      <c r="I1294">
        <f>IF($H1294="","",IF(ROUND($F1294,2)&gt;0,$A1294,IF($D1294="شخصی قاسم","شخصی قاسم",IF($D1294="هزینه","هزینه: "&amp;IF($E1294="","متفرقه",$E1294),IF($C1294="پاس چک","چک پرداختی",IF(OR($B1294="",COUNTIF(AcctCodesA,$B1294)=0),"متفرقه",$B1294))))))</f>
        <v/>
      </c>
      <c r="J1294">
        <f>IF($H1294="","",IF(ROUND($F1294,2)&gt;0,IF($D1294="شخصی قاسم","شخصی قاسم",IF($D1294="هزینه","هزینه: "&amp;IF($E1294="","متفرقه",$E1294),IF(OR($B1294="",COUNTIF(AcctCodesA,$B1294)=0),"متفرقه",$B1294))),$A1294))</f>
        <v/>
      </c>
      <c r="K1294">
        <f>IF($A1294="","",IF(AND($B1294&lt;&gt;"",COUNTIF(AcctCodesA,$B1294)=0),"کد طرف در INFO تعریف نشده",IF(AND($D1294="هزینه",$E1294=""),"هزینه بدون زیرگروه",IF(AND($C1294="پاس چک",OR(Sync!$AJ1294="",COUNTIF(IssueNosA,Sync!$AJ1294)=0)),"شماره چک پاس‌شده معتبر نیست",""))))</f>
        <v/>
      </c>
      <c r="V1294">
        <f>IF($K1294="","",IF(ISNUMBER(Sync!$AK1294),Sync!$AK1294,LEFT(Sync!$AK1294,4)&amp;MID(Sync!$AK1294,6,2)&amp;RIGHT(Sync!$AK1294,2))&amp;"|"&amp;"4"&amp;RIGHT("00000"&amp;1289,5))</f>
        <v/>
      </c>
      <c r="W1294">
        <f>IF($V1294="",0,COUNTIFS($V$6:$V$2005,"&lt;"&amp;$V1294)-COUNTIFS($V$6:$V$2005,"&lt;"&amp;$V1294,$K$6:$K$2005,"")+1)</f>
        <v/>
      </c>
    </row>
    <row r="1295">
      <c r="A1295">
        <f>IF(Sync!$Z1295="","",LEFT(UPPER(TRIM(Sync!$Z1295)),6))</f>
        <v/>
      </c>
      <c r="B1295">
        <f>IF($A1295="","",IF(Sync!$AA1295="","",Sync!$AA1295))</f>
        <v/>
      </c>
      <c r="C1295">
        <f>IF($A1295="","",IF(Sync!$AB1295="","",Sync!$AB1295))</f>
        <v/>
      </c>
      <c r="D1295">
        <f>IF($A1295="","",IF(Sync!$AC1295="","",Sync!$AC1295))</f>
        <v/>
      </c>
      <c r="E1295">
        <f>IF($A1295="","",IF(Sync!$AD1295="","",Sync!$AD1295))</f>
        <v/>
      </c>
      <c r="F1295">
        <f>IF($A1295="","",IF(Sync!$AE1295="",0,Sync!$AE1295))</f>
        <v/>
      </c>
      <c r="G1295">
        <f>IF($A1295="","",IF(Sync!$AF1295="",0,Sync!$AF1295))</f>
        <v/>
      </c>
      <c r="H1295">
        <f>IF(OR($A1295="",ROUND($F1295+$G1295,2)=0),"",$F1295+$G1295)</f>
        <v/>
      </c>
      <c r="I1295">
        <f>IF($H1295="","",IF(ROUND($F1295,2)&gt;0,$A1295,IF($D1295="شخصی قاسم","شخصی قاسم",IF($D1295="هزینه","هزینه: "&amp;IF($E1295="","متفرقه",$E1295),IF($C1295="پاس چک","چک پرداختی",IF(OR($B1295="",COUNTIF(AcctCodesA,$B1295)=0),"متفرقه",$B1295))))))</f>
        <v/>
      </c>
      <c r="J1295">
        <f>IF($H1295="","",IF(ROUND($F1295,2)&gt;0,IF($D1295="شخصی قاسم","شخصی قاسم",IF($D1295="هزینه","هزینه: "&amp;IF($E1295="","متفرقه",$E1295),IF(OR($B1295="",COUNTIF(AcctCodesA,$B1295)=0),"متفرقه",$B1295))),$A1295))</f>
        <v/>
      </c>
      <c r="K1295">
        <f>IF($A1295="","",IF(AND($B1295&lt;&gt;"",COUNTIF(AcctCodesA,$B1295)=0),"کد طرف در INFO تعریف نشده",IF(AND($D1295="هزینه",$E1295=""),"هزینه بدون زیرگروه",IF(AND($C1295="پاس چک",OR(Sync!$AJ1295="",COUNTIF(IssueNosA,Sync!$AJ1295)=0)),"شماره چک پاس‌شده معتبر نیست",""))))</f>
        <v/>
      </c>
      <c r="V1295">
        <f>IF($K1295="","",IF(ISNUMBER(Sync!$AK1295),Sync!$AK1295,LEFT(Sync!$AK1295,4)&amp;MID(Sync!$AK1295,6,2)&amp;RIGHT(Sync!$AK1295,2))&amp;"|"&amp;"4"&amp;RIGHT("00000"&amp;1290,5))</f>
        <v/>
      </c>
      <c r="W1295">
        <f>IF($V1295="",0,COUNTIFS($V$6:$V$2005,"&lt;"&amp;$V1295)-COUNTIFS($V$6:$V$2005,"&lt;"&amp;$V1295,$K$6:$K$2005,"")+1)</f>
        <v/>
      </c>
    </row>
    <row r="1296">
      <c r="A1296">
        <f>IF(Sync!$Z1296="","",LEFT(UPPER(TRIM(Sync!$Z1296)),6))</f>
        <v/>
      </c>
      <c r="B1296">
        <f>IF($A1296="","",IF(Sync!$AA1296="","",Sync!$AA1296))</f>
        <v/>
      </c>
      <c r="C1296">
        <f>IF($A1296="","",IF(Sync!$AB1296="","",Sync!$AB1296))</f>
        <v/>
      </c>
      <c r="D1296">
        <f>IF($A1296="","",IF(Sync!$AC1296="","",Sync!$AC1296))</f>
        <v/>
      </c>
      <c r="E1296">
        <f>IF($A1296="","",IF(Sync!$AD1296="","",Sync!$AD1296))</f>
        <v/>
      </c>
      <c r="F1296">
        <f>IF($A1296="","",IF(Sync!$AE1296="",0,Sync!$AE1296))</f>
        <v/>
      </c>
      <c r="G1296">
        <f>IF($A1296="","",IF(Sync!$AF1296="",0,Sync!$AF1296))</f>
        <v/>
      </c>
      <c r="H1296">
        <f>IF(OR($A1296="",ROUND($F1296+$G1296,2)=0),"",$F1296+$G1296)</f>
        <v/>
      </c>
      <c r="I1296">
        <f>IF($H1296="","",IF(ROUND($F1296,2)&gt;0,$A1296,IF($D1296="شخصی قاسم","شخصی قاسم",IF($D1296="هزینه","هزینه: "&amp;IF($E1296="","متفرقه",$E1296),IF($C1296="پاس چک","چک پرداختی",IF(OR($B1296="",COUNTIF(AcctCodesA,$B1296)=0),"متفرقه",$B1296))))))</f>
        <v/>
      </c>
      <c r="J1296">
        <f>IF($H1296="","",IF(ROUND($F1296,2)&gt;0,IF($D1296="شخصی قاسم","شخصی قاسم",IF($D1296="هزینه","هزینه: "&amp;IF($E1296="","متفرقه",$E1296),IF(OR($B1296="",COUNTIF(AcctCodesA,$B1296)=0),"متفرقه",$B1296))),$A1296))</f>
        <v/>
      </c>
      <c r="K1296">
        <f>IF($A1296="","",IF(AND($B1296&lt;&gt;"",COUNTIF(AcctCodesA,$B1296)=0),"کد طرف در INFO تعریف نشده",IF(AND($D1296="هزینه",$E1296=""),"هزینه بدون زیرگروه",IF(AND($C1296="پاس چک",OR(Sync!$AJ1296="",COUNTIF(IssueNosA,Sync!$AJ1296)=0)),"شماره چک پاس‌شده معتبر نیست",""))))</f>
        <v/>
      </c>
      <c r="V1296">
        <f>IF($K1296="","",IF(ISNUMBER(Sync!$AK1296),Sync!$AK1296,LEFT(Sync!$AK1296,4)&amp;MID(Sync!$AK1296,6,2)&amp;RIGHT(Sync!$AK1296,2))&amp;"|"&amp;"4"&amp;RIGHT("00000"&amp;1291,5))</f>
        <v/>
      </c>
      <c r="W1296">
        <f>IF($V1296="",0,COUNTIFS($V$6:$V$2005,"&lt;"&amp;$V1296)-COUNTIFS($V$6:$V$2005,"&lt;"&amp;$V1296,$K$6:$K$2005,"")+1)</f>
        <v/>
      </c>
    </row>
    <row r="1297">
      <c r="A1297">
        <f>IF(Sync!$Z1297="","",LEFT(UPPER(TRIM(Sync!$Z1297)),6))</f>
        <v/>
      </c>
      <c r="B1297">
        <f>IF($A1297="","",IF(Sync!$AA1297="","",Sync!$AA1297))</f>
        <v/>
      </c>
      <c r="C1297">
        <f>IF($A1297="","",IF(Sync!$AB1297="","",Sync!$AB1297))</f>
        <v/>
      </c>
      <c r="D1297">
        <f>IF($A1297="","",IF(Sync!$AC1297="","",Sync!$AC1297))</f>
        <v/>
      </c>
      <c r="E1297">
        <f>IF($A1297="","",IF(Sync!$AD1297="","",Sync!$AD1297))</f>
        <v/>
      </c>
      <c r="F1297">
        <f>IF($A1297="","",IF(Sync!$AE1297="",0,Sync!$AE1297))</f>
        <v/>
      </c>
      <c r="G1297">
        <f>IF($A1297="","",IF(Sync!$AF1297="",0,Sync!$AF1297))</f>
        <v/>
      </c>
      <c r="H1297">
        <f>IF(OR($A1297="",ROUND($F1297+$G1297,2)=0),"",$F1297+$G1297)</f>
        <v/>
      </c>
      <c r="I1297">
        <f>IF($H1297="","",IF(ROUND($F1297,2)&gt;0,$A1297,IF($D1297="شخصی قاسم","شخصی قاسم",IF($D1297="هزینه","هزینه: "&amp;IF($E1297="","متفرقه",$E1297),IF($C1297="پاس چک","چک پرداختی",IF(OR($B1297="",COUNTIF(AcctCodesA,$B1297)=0),"متفرقه",$B1297))))))</f>
        <v/>
      </c>
      <c r="J1297">
        <f>IF($H1297="","",IF(ROUND($F1297,2)&gt;0,IF($D1297="شخصی قاسم","شخصی قاسم",IF($D1297="هزینه","هزینه: "&amp;IF($E1297="","متفرقه",$E1297),IF(OR($B1297="",COUNTIF(AcctCodesA,$B1297)=0),"متفرقه",$B1297))),$A1297))</f>
        <v/>
      </c>
      <c r="K1297">
        <f>IF($A1297="","",IF(AND($B1297&lt;&gt;"",COUNTIF(AcctCodesA,$B1297)=0),"کد طرف در INFO تعریف نشده",IF(AND($D1297="هزینه",$E1297=""),"هزینه بدون زیرگروه",IF(AND($C1297="پاس چک",OR(Sync!$AJ1297="",COUNTIF(IssueNosA,Sync!$AJ1297)=0)),"شماره چک پاس‌شده معتبر نیست",""))))</f>
        <v/>
      </c>
      <c r="V1297">
        <f>IF($K1297="","",IF(ISNUMBER(Sync!$AK1297),Sync!$AK1297,LEFT(Sync!$AK1297,4)&amp;MID(Sync!$AK1297,6,2)&amp;RIGHT(Sync!$AK1297,2))&amp;"|"&amp;"4"&amp;RIGHT("00000"&amp;1292,5))</f>
        <v/>
      </c>
      <c r="W1297">
        <f>IF($V1297="",0,COUNTIFS($V$6:$V$2005,"&lt;"&amp;$V1297)-COUNTIFS($V$6:$V$2005,"&lt;"&amp;$V1297,$K$6:$K$2005,"")+1)</f>
        <v/>
      </c>
    </row>
    <row r="1298">
      <c r="A1298">
        <f>IF(Sync!$Z1298="","",LEFT(UPPER(TRIM(Sync!$Z1298)),6))</f>
        <v/>
      </c>
      <c r="B1298">
        <f>IF($A1298="","",IF(Sync!$AA1298="","",Sync!$AA1298))</f>
        <v/>
      </c>
      <c r="C1298">
        <f>IF($A1298="","",IF(Sync!$AB1298="","",Sync!$AB1298))</f>
        <v/>
      </c>
      <c r="D1298">
        <f>IF($A1298="","",IF(Sync!$AC1298="","",Sync!$AC1298))</f>
        <v/>
      </c>
      <c r="E1298">
        <f>IF($A1298="","",IF(Sync!$AD1298="","",Sync!$AD1298))</f>
        <v/>
      </c>
      <c r="F1298">
        <f>IF($A1298="","",IF(Sync!$AE1298="",0,Sync!$AE1298))</f>
        <v/>
      </c>
      <c r="G1298">
        <f>IF($A1298="","",IF(Sync!$AF1298="",0,Sync!$AF1298))</f>
        <v/>
      </c>
      <c r="H1298">
        <f>IF(OR($A1298="",ROUND($F1298+$G1298,2)=0),"",$F1298+$G1298)</f>
        <v/>
      </c>
      <c r="I1298">
        <f>IF($H1298="","",IF(ROUND($F1298,2)&gt;0,$A1298,IF($D1298="شخصی قاسم","شخصی قاسم",IF($D1298="هزینه","هزینه: "&amp;IF($E1298="","متفرقه",$E1298),IF($C1298="پاس چک","چک پرداختی",IF(OR($B1298="",COUNTIF(AcctCodesA,$B1298)=0),"متفرقه",$B1298))))))</f>
        <v/>
      </c>
      <c r="J1298">
        <f>IF($H1298="","",IF(ROUND($F1298,2)&gt;0,IF($D1298="شخصی قاسم","شخصی قاسم",IF($D1298="هزینه","هزینه: "&amp;IF($E1298="","متفرقه",$E1298),IF(OR($B1298="",COUNTIF(AcctCodesA,$B1298)=0),"متفرقه",$B1298))),$A1298))</f>
        <v/>
      </c>
      <c r="K1298">
        <f>IF($A1298="","",IF(AND($B1298&lt;&gt;"",COUNTIF(AcctCodesA,$B1298)=0),"کد طرف در INFO تعریف نشده",IF(AND($D1298="هزینه",$E1298=""),"هزینه بدون زیرگروه",IF(AND($C1298="پاس چک",OR(Sync!$AJ1298="",COUNTIF(IssueNosA,Sync!$AJ1298)=0)),"شماره چک پاس‌شده معتبر نیست",""))))</f>
        <v/>
      </c>
      <c r="V1298">
        <f>IF($K1298="","",IF(ISNUMBER(Sync!$AK1298),Sync!$AK1298,LEFT(Sync!$AK1298,4)&amp;MID(Sync!$AK1298,6,2)&amp;RIGHT(Sync!$AK1298,2))&amp;"|"&amp;"4"&amp;RIGHT("00000"&amp;1293,5))</f>
        <v/>
      </c>
      <c r="W1298">
        <f>IF($V1298="",0,COUNTIFS($V$6:$V$2005,"&lt;"&amp;$V1298)-COUNTIFS($V$6:$V$2005,"&lt;"&amp;$V1298,$K$6:$K$2005,"")+1)</f>
        <v/>
      </c>
    </row>
    <row r="1299">
      <c r="A1299">
        <f>IF(Sync!$Z1299="","",LEFT(UPPER(TRIM(Sync!$Z1299)),6))</f>
        <v/>
      </c>
      <c r="B1299">
        <f>IF($A1299="","",IF(Sync!$AA1299="","",Sync!$AA1299))</f>
        <v/>
      </c>
      <c r="C1299">
        <f>IF($A1299="","",IF(Sync!$AB1299="","",Sync!$AB1299))</f>
        <v/>
      </c>
      <c r="D1299">
        <f>IF($A1299="","",IF(Sync!$AC1299="","",Sync!$AC1299))</f>
        <v/>
      </c>
      <c r="E1299">
        <f>IF($A1299="","",IF(Sync!$AD1299="","",Sync!$AD1299))</f>
        <v/>
      </c>
      <c r="F1299">
        <f>IF($A1299="","",IF(Sync!$AE1299="",0,Sync!$AE1299))</f>
        <v/>
      </c>
      <c r="G1299">
        <f>IF($A1299="","",IF(Sync!$AF1299="",0,Sync!$AF1299))</f>
        <v/>
      </c>
      <c r="H1299">
        <f>IF(OR($A1299="",ROUND($F1299+$G1299,2)=0),"",$F1299+$G1299)</f>
        <v/>
      </c>
      <c r="I1299">
        <f>IF($H1299="","",IF(ROUND($F1299,2)&gt;0,$A1299,IF($D1299="شخصی قاسم","شخصی قاسم",IF($D1299="هزینه","هزینه: "&amp;IF($E1299="","متفرقه",$E1299),IF($C1299="پاس چک","چک پرداختی",IF(OR($B1299="",COUNTIF(AcctCodesA,$B1299)=0),"متفرقه",$B1299))))))</f>
        <v/>
      </c>
      <c r="J1299">
        <f>IF($H1299="","",IF(ROUND($F1299,2)&gt;0,IF($D1299="شخصی قاسم","شخصی قاسم",IF($D1299="هزینه","هزینه: "&amp;IF($E1299="","متفرقه",$E1299),IF(OR($B1299="",COUNTIF(AcctCodesA,$B1299)=0),"متفرقه",$B1299))),$A1299))</f>
        <v/>
      </c>
      <c r="K1299">
        <f>IF($A1299="","",IF(AND($B1299&lt;&gt;"",COUNTIF(AcctCodesA,$B1299)=0),"کد طرف در INFO تعریف نشده",IF(AND($D1299="هزینه",$E1299=""),"هزینه بدون زیرگروه",IF(AND($C1299="پاس چک",OR(Sync!$AJ1299="",COUNTIF(IssueNosA,Sync!$AJ1299)=0)),"شماره چک پاس‌شده معتبر نیست",""))))</f>
        <v/>
      </c>
      <c r="V1299">
        <f>IF($K1299="","",IF(ISNUMBER(Sync!$AK1299),Sync!$AK1299,LEFT(Sync!$AK1299,4)&amp;MID(Sync!$AK1299,6,2)&amp;RIGHT(Sync!$AK1299,2))&amp;"|"&amp;"4"&amp;RIGHT("00000"&amp;1294,5))</f>
        <v/>
      </c>
      <c r="W1299">
        <f>IF($V1299="",0,COUNTIFS($V$6:$V$2005,"&lt;"&amp;$V1299)-COUNTIFS($V$6:$V$2005,"&lt;"&amp;$V1299,$K$6:$K$2005,"")+1)</f>
        <v/>
      </c>
    </row>
    <row r="1300">
      <c r="A1300">
        <f>IF(Sync!$Z1300="","",LEFT(UPPER(TRIM(Sync!$Z1300)),6))</f>
        <v/>
      </c>
      <c r="B1300">
        <f>IF($A1300="","",IF(Sync!$AA1300="","",Sync!$AA1300))</f>
        <v/>
      </c>
      <c r="C1300">
        <f>IF($A1300="","",IF(Sync!$AB1300="","",Sync!$AB1300))</f>
        <v/>
      </c>
      <c r="D1300">
        <f>IF($A1300="","",IF(Sync!$AC1300="","",Sync!$AC1300))</f>
        <v/>
      </c>
      <c r="E1300">
        <f>IF($A1300="","",IF(Sync!$AD1300="","",Sync!$AD1300))</f>
        <v/>
      </c>
      <c r="F1300">
        <f>IF($A1300="","",IF(Sync!$AE1300="",0,Sync!$AE1300))</f>
        <v/>
      </c>
      <c r="G1300">
        <f>IF($A1300="","",IF(Sync!$AF1300="",0,Sync!$AF1300))</f>
        <v/>
      </c>
      <c r="H1300">
        <f>IF(OR($A1300="",ROUND($F1300+$G1300,2)=0),"",$F1300+$G1300)</f>
        <v/>
      </c>
      <c r="I1300">
        <f>IF($H1300="","",IF(ROUND($F1300,2)&gt;0,$A1300,IF($D1300="شخصی قاسم","شخصی قاسم",IF($D1300="هزینه","هزینه: "&amp;IF($E1300="","متفرقه",$E1300),IF($C1300="پاس چک","چک پرداختی",IF(OR($B1300="",COUNTIF(AcctCodesA,$B1300)=0),"متفرقه",$B1300))))))</f>
        <v/>
      </c>
      <c r="J1300">
        <f>IF($H1300="","",IF(ROUND($F1300,2)&gt;0,IF($D1300="شخصی قاسم","شخصی قاسم",IF($D1300="هزینه","هزینه: "&amp;IF($E1300="","متفرقه",$E1300),IF(OR($B1300="",COUNTIF(AcctCodesA,$B1300)=0),"متفرقه",$B1300))),$A1300))</f>
        <v/>
      </c>
      <c r="K1300">
        <f>IF($A1300="","",IF(AND($B1300&lt;&gt;"",COUNTIF(AcctCodesA,$B1300)=0),"کد طرف در INFO تعریف نشده",IF(AND($D1300="هزینه",$E1300=""),"هزینه بدون زیرگروه",IF(AND($C1300="پاس چک",OR(Sync!$AJ1300="",COUNTIF(IssueNosA,Sync!$AJ1300)=0)),"شماره چک پاس‌شده معتبر نیست",""))))</f>
        <v/>
      </c>
      <c r="V1300">
        <f>IF($K1300="","",IF(ISNUMBER(Sync!$AK1300),Sync!$AK1300,LEFT(Sync!$AK1300,4)&amp;MID(Sync!$AK1300,6,2)&amp;RIGHT(Sync!$AK1300,2))&amp;"|"&amp;"4"&amp;RIGHT("00000"&amp;1295,5))</f>
        <v/>
      </c>
      <c r="W1300">
        <f>IF($V1300="",0,COUNTIFS($V$6:$V$2005,"&lt;"&amp;$V1300)-COUNTIFS($V$6:$V$2005,"&lt;"&amp;$V1300,$K$6:$K$2005,"")+1)</f>
        <v/>
      </c>
    </row>
    <row r="1301">
      <c r="A1301">
        <f>IF(Sync!$Z1301="","",LEFT(UPPER(TRIM(Sync!$Z1301)),6))</f>
        <v/>
      </c>
      <c r="B1301">
        <f>IF($A1301="","",IF(Sync!$AA1301="","",Sync!$AA1301))</f>
        <v/>
      </c>
      <c r="C1301">
        <f>IF($A1301="","",IF(Sync!$AB1301="","",Sync!$AB1301))</f>
        <v/>
      </c>
      <c r="D1301">
        <f>IF($A1301="","",IF(Sync!$AC1301="","",Sync!$AC1301))</f>
        <v/>
      </c>
      <c r="E1301">
        <f>IF($A1301="","",IF(Sync!$AD1301="","",Sync!$AD1301))</f>
        <v/>
      </c>
      <c r="F1301">
        <f>IF($A1301="","",IF(Sync!$AE1301="",0,Sync!$AE1301))</f>
        <v/>
      </c>
      <c r="G1301">
        <f>IF($A1301="","",IF(Sync!$AF1301="",0,Sync!$AF1301))</f>
        <v/>
      </c>
      <c r="H1301">
        <f>IF(OR($A1301="",ROUND($F1301+$G1301,2)=0),"",$F1301+$G1301)</f>
        <v/>
      </c>
      <c r="I1301">
        <f>IF($H1301="","",IF(ROUND($F1301,2)&gt;0,$A1301,IF($D1301="شخصی قاسم","شخصی قاسم",IF($D1301="هزینه","هزینه: "&amp;IF($E1301="","متفرقه",$E1301),IF($C1301="پاس چک","چک پرداختی",IF(OR($B1301="",COUNTIF(AcctCodesA,$B1301)=0),"متفرقه",$B1301))))))</f>
        <v/>
      </c>
      <c r="J1301">
        <f>IF($H1301="","",IF(ROUND($F1301,2)&gt;0,IF($D1301="شخصی قاسم","شخصی قاسم",IF($D1301="هزینه","هزینه: "&amp;IF($E1301="","متفرقه",$E1301),IF(OR($B1301="",COUNTIF(AcctCodesA,$B1301)=0),"متفرقه",$B1301))),$A1301))</f>
        <v/>
      </c>
      <c r="K1301">
        <f>IF($A1301="","",IF(AND($B1301&lt;&gt;"",COUNTIF(AcctCodesA,$B1301)=0),"کد طرف در INFO تعریف نشده",IF(AND($D1301="هزینه",$E1301=""),"هزینه بدون زیرگروه",IF(AND($C1301="پاس چک",OR(Sync!$AJ1301="",COUNTIF(IssueNosA,Sync!$AJ1301)=0)),"شماره چک پاس‌شده معتبر نیست",""))))</f>
        <v/>
      </c>
      <c r="V1301">
        <f>IF($K1301="","",IF(ISNUMBER(Sync!$AK1301),Sync!$AK1301,LEFT(Sync!$AK1301,4)&amp;MID(Sync!$AK1301,6,2)&amp;RIGHT(Sync!$AK1301,2))&amp;"|"&amp;"4"&amp;RIGHT("00000"&amp;1296,5))</f>
        <v/>
      </c>
      <c r="W1301">
        <f>IF($V1301="",0,COUNTIFS($V$6:$V$2005,"&lt;"&amp;$V1301)-COUNTIFS($V$6:$V$2005,"&lt;"&amp;$V1301,$K$6:$K$2005,"")+1)</f>
        <v/>
      </c>
    </row>
    <row r="1302">
      <c r="A1302">
        <f>IF(Sync!$Z1302="","",LEFT(UPPER(TRIM(Sync!$Z1302)),6))</f>
        <v/>
      </c>
      <c r="B1302">
        <f>IF($A1302="","",IF(Sync!$AA1302="","",Sync!$AA1302))</f>
        <v/>
      </c>
      <c r="C1302">
        <f>IF($A1302="","",IF(Sync!$AB1302="","",Sync!$AB1302))</f>
        <v/>
      </c>
      <c r="D1302">
        <f>IF($A1302="","",IF(Sync!$AC1302="","",Sync!$AC1302))</f>
        <v/>
      </c>
      <c r="E1302">
        <f>IF($A1302="","",IF(Sync!$AD1302="","",Sync!$AD1302))</f>
        <v/>
      </c>
      <c r="F1302">
        <f>IF($A1302="","",IF(Sync!$AE1302="",0,Sync!$AE1302))</f>
        <v/>
      </c>
      <c r="G1302">
        <f>IF($A1302="","",IF(Sync!$AF1302="",0,Sync!$AF1302))</f>
        <v/>
      </c>
      <c r="H1302">
        <f>IF(OR($A1302="",ROUND($F1302+$G1302,2)=0),"",$F1302+$G1302)</f>
        <v/>
      </c>
      <c r="I1302">
        <f>IF($H1302="","",IF(ROUND($F1302,2)&gt;0,$A1302,IF($D1302="شخصی قاسم","شخصی قاسم",IF($D1302="هزینه","هزینه: "&amp;IF($E1302="","متفرقه",$E1302),IF($C1302="پاس چک","چک پرداختی",IF(OR($B1302="",COUNTIF(AcctCodesA,$B1302)=0),"متفرقه",$B1302))))))</f>
        <v/>
      </c>
      <c r="J1302">
        <f>IF($H1302="","",IF(ROUND($F1302,2)&gt;0,IF($D1302="شخصی قاسم","شخصی قاسم",IF($D1302="هزینه","هزینه: "&amp;IF($E1302="","متفرقه",$E1302),IF(OR($B1302="",COUNTIF(AcctCodesA,$B1302)=0),"متفرقه",$B1302))),$A1302))</f>
        <v/>
      </c>
      <c r="K1302">
        <f>IF($A1302="","",IF(AND($B1302&lt;&gt;"",COUNTIF(AcctCodesA,$B1302)=0),"کد طرف در INFO تعریف نشده",IF(AND($D1302="هزینه",$E1302=""),"هزینه بدون زیرگروه",IF(AND($C1302="پاس چک",OR(Sync!$AJ1302="",COUNTIF(IssueNosA,Sync!$AJ1302)=0)),"شماره چک پاس‌شده معتبر نیست",""))))</f>
        <v/>
      </c>
      <c r="V1302">
        <f>IF($K1302="","",IF(ISNUMBER(Sync!$AK1302),Sync!$AK1302,LEFT(Sync!$AK1302,4)&amp;MID(Sync!$AK1302,6,2)&amp;RIGHT(Sync!$AK1302,2))&amp;"|"&amp;"4"&amp;RIGHT("00000"&amp;1297,5))</f>
        <v/>
      </c>
      <c r="W1302">
        <f>IF($V1302="",0,COUNTIFS($V$6:$V$2005,"&lt;"&amp;$V1302)-COUNTIFS($V$6:$V$2005,"&lt;"&amp;$V1302,$K$6:$K$2005,"")+1)</f>
        <v/>
      </c>
    </row>
    <row r="1303">
      <c r="A1303">
        <f>IF(Sync!$Z1303="","",LEFT(UPPER(TRIM(Sync!$Z1303)),6))</f>
        <v/>
      </c>
      <c r="B1303">
        <f>IF($A1303="","",IF(Sync!$AA1303="","",Sync!$AA1303))</f>
        <v/>
      </c>
      <c r="C1303">
        <f>IF($A1303="","",IF(Sync!$AB1303="","",Sync!$AB1303))</f>
        <v/>
      </c>
      <c r="D1303">
        <f>IF($A1303="","",IF(Sync!$AC1303="","",Sync!$AC1303))</f>
        <v/>
      </c>
      <c r="E1303">
        <f>IF($A1303="","",IF(Sync!$AD1303="","",Sync!$AD1303))</f>
        <v/>
      </c>
      <c r="F1303">
        <f>IF($A1303="","",IF(Sync!$AE1303="",0,Sync!$AE1303))</f>
        <v/>
      </c>
      <c r="G1303">
        <f>IF($A1303="","",IF(Sync!$AF1303="",0,Sync!$AF1303))</f>
        <v/>
      </c>
      <c r="H1303">
        <f>IF(OR($A1303="",ROUND($F1303+$G1303,2)=0),"",$F1303+$G1303)</f>
        <v/>
      </c>
      <c r="I1303">
        <f>IF($H1303="","",IF(ROUND($F1303,2)&gt;0,$A1303,IF($D1303="شخصی قاسم","شخصی قاسم",IF($D1303="هزینه","هزینه: "&amp;IF($E1303="","متفرقه",$E1303),IF($C1303="پاس چک","چک پرداختی",IF(OR($B1303="",COUNTIF(AcctCodesA,$B1303)=0),"متفرقه",$B1303))))))</f>
        <v/>
      </c>
      <c r="J1303">
        <f>IF($H1303="","",IF(ROUND($F1303,2)&gt;0,IF($D1303="شخصی قاسم","شخصی قاسم",IF($D1303="هزینه","هزینه: "&amp;IF($E1303="","متفرقه",$E1303),IF(OR($B1303="",COUNTIF(AcctCodesA,$B1303)=0),"متفرقه",$B1303))),$A1303))</f>
        <v/>
      </c>
      <c r="K1303">
        <f>IF($A1303="","",IF(AND($B1303&lt;&gt;"",COUNTIF(AcctCodesA,$B1303)=0),"کد طرف در INFO تعریف نشده",IF(AND($D1303="هزینه",$E1303=""),"هزینه بدون زیرگروه",IF(AND($C1303="پاس چک",OR(Sync!$AJ1303="",COUNTIF(IssueNosA,Sync!$AJ1303)=0)),"شماره چک پاس‌شده معتبر نیست",""))))</f>
        <v/>
      </c>
      <c r="V1303">
        <f>IF($K1303="","",IF(ISNUMBER(Sync!$AK1303),Sync!$AK1303,LEFT(Sync!$AK1303,4)&amp;MID(Sync!$AK1303,6,2)&amp;RIGHT(Sync!$AK1303,2))&amp;"|"&amp;"4"&amp;RIGHT("00000"&amp;1298,5))</f>
        <v/>
      </c>
      <c r="W1303">
        <f>IF($V1303="",0,COUNTIFS($V$6:$V$2005,"&lt;"&amp;$V1303)-COUNTIFS($V$6:$V$2005,"&lt;"&amp;$V1303,$K$6:$K$2005,"")+1)</f>
        <v/>
      </c>
    </row>
    <row r="1304">
      <c r="A1304">
        <f>IF(Sync!$Z1304="","",LEFT(UPPER(TRIM(Sync!$Z1304)),6))</f>
        <v/>
      </c>
      <c r="B1304">
        <f>IF($A1304="","",IF(Sync!$AA1304="","",Sync!$AA1304))</f>
        <v/>
      </c>
      <c r="C1304">
        <f>IF($A1304="","",IF(Sync!$AB1304="","",Sync!$AB1304))</f>
        <v/>
      </c>
      <c r="D1304">
        <f>IF($A1304="","",IF(Sync!$AC1304="","",Sync!$AC1304))</f>
        <v/>
      </c>
      <c r="E1304">
        <f>IF($A1304="","",IF(Sync!$AD1304="","",Sync!$AD1304))</f>
        <v/>
      </c>
      <c r="F1304">
        <f>IF($A1304="","",IF(Sync!$AE1304="",0,Sync!$AE1304))</f>
        <v/>
      </c>
      <c r="G1304">
        <f>IF($A1304="","",IF(Sync!$AF1304="",0,Sync!$AF1304))</f>
        <v/>
      </c>
      <c r="H1304">
        <f>IF(OR($A1304="",ROUND($F1304+$G1304,2)=0),"",$F1304+$G1304)</f>
        <v/>
      </c>
      <c r="I1304">
        <f>IF($H1304="","",IF(ROUND($F1304,2)&gt;0,$A1304,IF($D1304="شخصی قاسم","شخصی قاسم",IF($D1304="هزینه","هزینه: "&amp;IF($E1304="","متفرقه",$E1304),IF($C1304="پاس چک","چک پرداختی",IF(OR($B1304="",COUNTIF(AcctCodesA,$B1304)=0),"متفرقه",$B1304))))))</f>
        <v/>
      </c>
      <c r="J1304">
        <f>IF($H1304="","",IF(ROUND($F1304,2)&gt;0,IF($D1304="شخصی قاسم","شخصی قاسم",IF($D1304="هزینه","هزینه: "&amp;IF($E1304="","متفرقه",$E1304),IF(OR($B1304="",COUNTIF(AcctCodesA,$B1304)=0),"متفرقه",$B1304))),$A1304))</f>
        <v/>
      </c>
      <c r="K1304">
        <f>IF($A1304="","",IF(AND($B1304&lt;&gt;"",COUNTIF(AcctCodesA,$B1304)=0),"کد طرف در INFO تعریف نشده",IF(AND($D1304="هزینه",$E1304=""),"هزینه بدون زیرگروه",IF(AND($C1304="پاس چک",OR(Sync!$AJ1304="",COUNTIF(IssueNosA,Sync!$AJ1304)=0)),"شماره چک پاس‌شده معتبر نیست",""))))</f>
        <v/>
      </c>
      <c r="V1304">
        <f>IF($K1304="","",IF(ISNUMBER(Sync!$AK1304),Sync!$AK1304,LEFT(Sync!$AK1304,4)&amp;MID(Sync!$AK1304,6,2)&amp;RIGHT(Sync!$AK1304,2))&amp;"|"&amp;"4"&amp;RIGHT("00000"&amp;1299,5))</f>
        <v/>
      </c>
      <c r="W1304">
        <f>IF($V1304="",0,COUNTIFS($V$6:$V$2005,"&lt;"&amp;$V1304)-COUNTIFS($V$6:$V$2005,"&lt;"&amp;$V1304,$K$6:$K$2005,"")+1)</f>
        <v/>
      </c>
    </row>
    <row r="1305">
      <c r="A1305">
        <f>IF(Sync!$Z1305="","",LEFT(UPPER(TRIM(Sync!$Z1305)),6))</f>
        <v/>
      </c>
      <c r="B1305">
        <f>IF($A1305="","",IF(Sync!$AA1305="","",Sync!$AA1305))</f>
        <v/>
      </c>
      <c r="C1305">
        <f>IF($A1305="","",IF(Sync!$AB1305="","",Sync!$AB1305))</f>
        <v/>
      </c>
      <c r="D1305">
        <f>IF($A1305="","",IF(Sync!$AC1305="","",Sync!$AC1305))</f>
        <v/>
      </c>
      <c r="E1305">
        <f>IF($A1305="","",IF(Sync!$AD1305="","",Sync!$AD1305))</f>
        <v/>
      </c>
      <c r="F1305">
        <f>IF($A1305="","",IF(Sync!$AE1305="",0,Sync!$AE1305))</f>
        <v/>
      </c>
      <c r="G1305">
        <f>IF($A1305="","",IF(Sync!$AF1305="",0,Sync!$AF1305))</f>
        <v/>
      </c>
      <c r="H1305">
        <f>IF(OR($A1305="",ROUND($F1305+$G1305,2)=0),"",$F1305+$G1305)</f>
        <v/>
      </c>
      <c r="I1305">
        <f>IF($H1305="","",IF(ROUND($F1305,2)&gt;0,$A1305,IF($D1305="شخصی قاسم","شخصی قاسم",IF($D1305="هزینه","هزینه: "&amp;IF($E1305="","متفرقه",$E1305),IF($C1305="پاس چک","چک پرداختی",IF(OR($B1305="",COUNTIF(AcctCodesA,$B1305)=0),"متفرقه",$B1305))))))</f>
        <v/>
      </c>
      <c r="J1305">
        <f>IF($H1305="","",IF(ROUND($F1305,2)&gt;0,IF($D1305="شخصی قاسم","شخصی قاسم",IF($D1305="هزینه","هزینه: "&amp;IF($E1305="","متفرقه",$E1305),IF(OR($B1305="",COUNTIF(AcctCodesA,$B1305)=0),"متفرقه",$B1305))),$A1305))</f>
        <v/>
      </c>
      <c r="K1305">
        <f>IF($A1305="","",IF(AND($B1305&lt;&gt;"",COUNTIF(AcctCodesA,$B1305)=0),"کد طرف در INFO تعریف نشده",IF(AND($D1305="هزینه",$E1305=""),"هزینه بدون زیرگروه",IF(AND($C1305="پاس چک",OR(Sync!$AJ1305="",COUNTIF(IssueNosA,Sync!$AJ1305)=0)),"شماره چک پاس‌شده معتبر نیست",""))))</f>
        <v/>
      </c>
      <c r="V1305">
        <f>IF($K1305="","",IF(ISNUMBER(Sync!$AK1305),Sync!$AK1305,LEFT(Sync!$AK1305,4)&amp;MID(Sync!$AK1305,6,2)&amp;RIGHT(Sync!$AK1305,2))&amp;"|"&amp;"4"&amp;RIGHT("00000"&amp;1300,5))</f>
        <v/>
      </c>
      <c r="W1305">
        <f>IF($V1305="",0,COUNTIFS($V$6:$V$2005,"&lt;"&amp;$V1305)-COUNTIFS($V$6:$V$2005,"&lt;"&amp;$V1305,$K$6:$K$2005,"")+1)</f>
        <v/>
      </c>
    </row>
    <row r="1306">
      <c r="A1306">
        <f>IF(Sync!$Z1306="","",LEFT(UPPER(TRIM(Sync!$Z1306)),6))</f>
        <v/>
      </c>
      <c r="B1306">
        <f>IF($A1306="","",IF(Sync!$AA1306="","",Sync!$AA1306))</f>
        <v/>
      </c>
      <c r="C1306">
        <f>IF($A1306="","",IF(Sync!$AB1306="","",Sync!$AB1306))</f>
        <v/>
      </c>
      <c r="D1306">
        <f>IF($A1306="","",IF(Sync!$AC1306="","",Sync!$AC1306))</f>
        <v/>
      </c>
      <c r="E1306">
        <f>IF($A1306="","",IF(Sync!$AD1306="","",Sync!$AD1306))</f>
        <v/>
      </c>
      <c r="F1306">
        <f>IF($A1306="","",IF(Sync!$AE1306="",0,Sync!$AE1306))</f>
        <v/>
      </c>
      <c r="G1306">
        <f>IF($A1306="","",IF(Sync!$AF1306="",0,Sync!$AF1306))</f>
        <v/>
      </c>
      <c r="H1306">
        <f>IF(OR($A1306="",ROUND($F1306+$G1306,2)=0),"",$F1306+$G1306)</f>
        <v/>
      </c>
      <c r="I1306">
        <f>IF($H1306="","",IF(ROUND($F1306,2)&gt;0,$A1306,IF($D1306="شخصی قاسم","شخصی قاسم",IF($D1306="هزینه","هزینه: "&amp;IF($E1306="","متفرقه",$E1306),IF($C1306="پاس چک","چک پرداختی",IF(OR($B1306="",COUNTIF(AcctCodesA,$B1306)=0),"متفرقه",$B1306))))))</f>
        <v/>
      </c>
      <c r="J1306">
        <f>IF($H1306="","",IF(ROUND($F1306,2)&gt;0,IF($D1306="شخصی قاسم","شخصی قاسم",IF($D1306="هزینه","هزینه: "&amp;IF($E1306="","متفرقه",$E1306),IF(OR($B1306="",COUNTIF(AcctCodesA,$B1306)=0),"متفرقه",$B1306))),$A1306))</f>
        <v/>
      </c>
      <c r="K1306">
        <f>IF($A1306="","",IF(AND($B1306&lt;&gt;"",COUNTIF(AcctCodesA,$B1306)=0),"کد طرف در INFO تعریف نشده",IF(AND($D1306="هزینه",$E1306=""),"هزینه بدون زیرگروه",IF(AND($C1306="پاس چک",OR(Sync!$AJ1306="",COUNTIF(IssueNosA,Sync!$AJ1306)=0)),"شماره چک پاس‌شده معتبر نیست",""))))</f>
        <v/>
      </c>
      <c r="V1306">
        <f>IF($K1306="","",IF(ISNUMBER(Sync!$AK1306),Sync!$AK1306,LEFT(Sync!$AK1306,4)&amp;MID(Sync!$AK1306,6,2)&amp;RIGHT(Sync!$AK1306,2))&amp;"|"&amp;"4"&amp;RIGHT("00000"&amp;1301,5))</f>
        <v/>
      </c>
      <c r="W1306">
        <f>IF($V1306="",0,COUNTIFS($V$6:$V$2005,"&lt;"&amp;$V1306)-COUNTIFS($V$6:$V$2005,"&lt;"&amp;$V1306,$K$6:$K$2005,"")+1)</f>
        <v/>
      </c>
    </row>
    <row r="1307">
      <c r="A1307">
        <f>IF(Sync!$Z1307="","",LEFT(UPPER(TRIM(Sync!$Z1307)),6))</f>
        <v/>
      </c>
      <c r="B1307">
        <f>IF($A1307="","",IF(Sync!$AA1307="","",Sync!$AA1307))</f>
        <v/>
      </c>
      <c r="C1307">
        <f>IF($A1307="","",IF(Sync!$AB1307="","",Sync!$AB1307))</f>
        <v/>
      </c>
      <c r="D1307">
        <f>IF($A1307="","",IF(Sync!$AC1307="","",Sync!$AC1307))</f>
        <v/>
      </c>
      <c r="E1307">
        <f>IF($A1307="","",IF(Sync!$AD1307="","",Sync!$AD1307))</f>
        <v/>
      </c>
      <c r="F1307">
        <f>IF($A1307="","",IF(Sync!$AE1307="",0,Sync!$AE1307))</f>
        <v/>
      </c>
      <c r="G1307">
        <f>IF($A1307="","",IF(Sync!$AF1307="",0,Sync!$AF1307))</f>
        <v/>
      </c>
      <c r="H1307">
        <f>IF(OR($A1307="",ROUND($F1307+$G1307,2)=0),"",$F1307+$G1307)</f>
        <v/>
      </c>
      <c r="I1307">
        <f>IF($H1307="","",IF(ROUND($F1307,2)&gt;0,$A1307,IF($D1307="شخصی قاسم","شخصی قاسم",IF($D1307="هزینه","هزینه: "&amp;IF($E1307="","متفرقه",$E1307),IF($C1307="پاس چک","چک پرداختی",IF(OR($B1307="",COUNTIF(AcctCodesA,$B1307)=0),"متفرقه",$B1307))))))</f>
        <v/>
      </c>
      <c r="J1307">
        <f>IF($H1307="","",IF(ROUND($F1307,2)&gt;0,IF($D1307="شخصی قاسم","شخصی قاسم",IF($D1307="هزینه","هزینه: "&amp;IF($E1307="","متفرقه",$E1307),IF(OR($B1307="",COUNTIF(AcctCodesA,$B1307)=0),"متفرقه",$B1307))),$A1307))</f>
        <v/>
      </c>
      <c r="K1307">
        <f>IF($A1307="","",IF(AND($B1307&lt;&gt;"",COUNTIF(AcctCodesA,$B1307)=0),"کد طرف در INFO تعریف نشده",IF(AND($D1307="هزینه",$E1307=""),"هزینه بدون زیرگروه",IF(AND($C1307="پاس چک",OR(Sync!$AJ1307="",COUNTIF(IssueNosA,Sync!$AJ1307)=0)),"شماره چک پاس‌شده معتبر نیست",""))))</f>
        <v/>
      </c>
      <c r="V1307">
        <f>IF($K1307="","",IF(ISNUMBER(Sync!$AK1307),Sync!$AK1307,LEFT(Sync!$AK1307,4)&amp;MID(Sync!$AK1307,6,2)&amp;RIGHT(Sync!$AK1307,2))&amp;"|"&amp;"4"&amp;RIGHT("00000"&amp;1302,5))</f>
        <v/>
      </c>
      <c r="W1307">
        <f>IF($V1307="",0,COUNTIFS($V$6:$V$2005,"&lt;"&amp;$V1307)-COUNTIFS($V$6:$V$2005,"&lt;"&amp;$V1307,$K$6:$K$2005,"")+1)</f>
        <v/>
      </c>
    </row>
    <row r="1308">
      <c r="A1308">
        <f>IF(Sync!$Z1308="","",LEFT(UPPER(TRIM(Sync!$Z1308)),6))</f>
        <v/>
      </c>
      <c r="B1308">
        <f>IF($A1308="","",IF(Sync!$AA1308="","",Sync!$AA1308))</f>
        <v/>
      </c>
      <c r="C1308">
        <f>IF($A1308="","",IF(Sync!$AB1308="","",Sync!$AB1308))</f>
        <v/>
      </c>
      <c r="D1308">
        <f>IF($A1308="","",IF(Sync!$AC1308="","",Sync!$AC1308))</f>
        <v/>
      </c>
      <c r="E1308">
        <f>IF($A1308="","",IF(Sync!$AD1308="","",Sync!$AD1308))</f>
        <v/>
      </c>
      <c r="F1308">
        <f>IF($A1308="","",IF(Sync!$AE1308="",0,Sync!$AE1308))</f>
        <v/>
      </c>
      <c r="G1308">
        <f>IF($A1308="","",IF(Sync!$AF1308="",0,Sync!$AF1308))</f>
        <v/>
      </c>
      <c r="H1308">
        <f>IF(OR($A1308="",ROUND($F1308+$G1308,2)=0),"",$F1308+$G1308)</f>
        <v/>
      </c>
      <c r="I1308">
        <f>IF($H1308="","",IF(ROUND($F1308,2)&gt;0,$A1308,IF($D1308="شخصی قاسم","شخصی قاسم",IF($D1308="هزینه","هزینه: "&amp;IF($E1308="","متفرقه",$E1308),IF($C1308="پاس چک","چک پرداختی",IF(OR($B1308="",COUNTIF(AcctCodesA,$B1308)=0),"متفرقه",$B1308))))))</f>
        <v/>
      </c>
      <c r="J1308">
        <f>IF($H1308="","",IF(ROUND($F1308,2)&gt;0,IF($D1308="شخصی قاسم","شخصی قاسم",IF($D1308="هزینه","هزینه: "&amp;IF($E1308="","متفرقه",$E1308),IF(OR($B1308="",COUNTIF(AcctCodesA,$B1308)=0),"متفرقه",$B1308))),$A1308))</f>
        <v/>
      </c>
      <c r="K1308">
        <f>IF($A1308="","",IF(AND($B1308&lt;&gt;"",COUNTIF(AcctCodesA,$B1308)=0),"کد طرف در INFO تعریف نشده",IF(AND($D1308="هزینه",$E1308=""),"هزینه بدون زیرگروه",IF(AND($C1308="پاس چک",OR(Sync!$AJ1308="",COUNTIF(IssueNosA,Sync!$AJ1308)=0)),"شماره چک پاس‌شده معتبر نیست",""))))</f>
        <v/>
      </c>
      <c r="V1308">
        <f>IF($K1308="","",IF(ISNUMBER(Sync!$AK1308),Sync!$AK1308,LEFT(Sync!$AK1308,4)&amp;MID(Sync!$AK1308,6,2)&amp;RIGHT(Sync!$AK1308,2))&amp;"|"&amp;"4"&amp;RIGHT("00000"&amp;1303,5))</f>
        <v/>
      </c>
      <c r="W1308">
        <f>IF($V1308="",0,COUNTIFS($V$6:$V$2005,"&lt;"&amp;$V1308)-COUNTIFS($V$6:$V$2005,"&lt;"&amp;$V1308,$K$6:$K$2005,"")+1)</f>
        <v/>
      </c>
    </row>
    <row r="1309">
      <c r="A1309">
        <f>IF(Sync!$Z1309="","",LEFT(UPPER(TRIM(Sync!$Z1309)),6))</f>
        <v/>
      </c>
      <c r="B1309">
        <f>IF($A1309="","",IF(Sync!$AA1309="","",Sync!$AA1309))</f>
        <v/>
      </c>
      <c r="C1309">
        <f>IF($A1309="","",IF(Sync!$AB1309="","",Sync!$AB1309))</f>
        <v/>
      </c>
      <c r="D1309">
        <f>IF($A1309="","",IF(Sync!$AC1309="","",Sync!$AC1309))</f>
        <v/>
      </c>
      <c r="E1309">
        <f>IF($A1309="","",IF(Sync!$AD1309="","",Sync!$AD1309))</f>
        <v/>
      </c>
      <c r="F1309">
        <f>IF($A1309="","",IF(Sync!$AE1309="",0,Sync!$AE1309))</f>
        <v/>
      </c>
      <c r="G1309">
        <f>IF($A1309="","",IF(Sync!$AF1309="",0,Sync!$AF1309))</f>
        <v/>
      </c>
      <c r="H1309">
        <f>IF(OR($A1309="",ROUND($F1309+$G1309,2)=0),"",$F1309+$G1309)</f>
        <v/>
      </c>
      <c r="I1309">
        <f>IF($H1309="","",IF(ROUND($F1309,2)&gt;0,$A1309,IF($D1309="شخصی قاسم","شخصی قاسم",IF($D1309="هزینه","هزینه: "&amp;IF($E1309="","متفرقه",$E1309),IF($C1309="پاس چک","چک پرداختی",IF(OR($B1309="",COUNTIF(AcctCodesA,$B1309)=0),"متفرقه",$B1309))))))</f>
        <v/>
      </c>
      <c r="J1309">
        <f>IF($H1309="","",IF(ROUND($F1309,2)&gt;0,IF($D1309="شخصی قاسم","شخصی قاسم",IF($D1309="هزینه","هزینه: "&amp;IF($E1309="","متفرقه",$E1309),IF(OR($B1309="",COUNTIF(AcctCodesA,$B1309)=0),"متفرقه",$B1309))),$A1309))</f>
        <v/>
      </c>
      <c r="K1309">
        <f>IF($A1309="","",IF(AND($B1309&lt;&gt;"",COUNTIF(AcctCodesA,$B1309)=0),"کد طرف در INFO تعریف نشده",IF(AND($D1309="هزینه",$E1309=""),"هزینه بدون زیرگروه",IF(AND($C1309="پاس چک",OR(Sync!$AJ1309="",COUNTIF(IssueNosA,Sync!$AJ1309)=0)),"شماره چک پاس‌شده معتبر نیست",""))))</f>
        <v/>
      </c>
      <c r="V1309">
        <f>IF($K1309="","",IF(ISNUMBER(Sync!$AK1309),Sync!$AK1309,LEFT(Sync!$AK1309,4)&amp;MID(Sync!$AK1309,6,2)&amp;RIGHT(Sync!$AK1309,2))&amp;"|"&amp;"4"&amp;RIGHT("00000"&amp;1304,5))</f>
        <v/>
      </c>
      <c r="W1309">
        <f>IF($V1309="",0,COUNTIFS($V$6:$V$2005,"&lt;"&amp;$V1309)-COUNTIFS($V$6:$V$2005,"&lt;"&amp;$V1309,$K$6:$K$2005,"")+1)</f>
        <v/>
      </c>
    </row>
    <row r="1310">
      <c r="A1310">
        <f>IF(Sync!$Z1310="","",LEFT(UPPER(TRIM(Sync!$Z1310)),6))</f>
        <v/>
      </c>
      <c r="B1310">
        <f>IF($A1310="","",IF(Sync!$AA1310="","",Sync!$AA1310))</f>
        <v/>
      </c>
      <c r="C1310">
        <f>IF($A1310="","",IF(Sync!$AB1310="","",Sync!$AB1310))</f>
        <v/>
      </c>
      <c r="D1310">
        <f>IF($A1310="","",IF(Sync!$AC1310="","",Sync!$AC1310))</f>
        <v/>
      </c>
      <c r="E1310">
        <f>IF($A1310="","",IF(Sync!$AD1310="","",Sync!$AD1310))</f>
        <v/>
      </c>
      <c r="F1310">
        <f>IF($A1310="","",IF(Sync!$AE1310="",0,Sync!$AE1310))</f>
        <v/>
      </c>
      <c r="G1310">
        <f>IF($A1310="","",IF(Sync!$AF1310="",0,Sync!$AF1310))</f>
        <v/>
      </c>
      <c r="H1310">
        <f>IF(OR($A1310="",ROUND($F1310+$G1310,2)=0),"",$F1310+$G1310)</f>
        <v/>
      </c>
      <c r="I1310">
        <f>IF($H1310="","",IF(ROUND($F1310,2)&gt;0,$A1310,IF($D1310="شخصی قاسم","شخصی قاسم",IF($D1310="هزینه","هزینه: "&amp;IF($E1310="","متفرقه",$E1310),IF($C1310="پاس چک","چک پرداختی",IF(OR($B1310="",COUNTIF(AcctCodesA,$B1310)=0),"متفرقه",$B1310))))))</f>
        <v/>
      </c>
      <c r="J1310">
        <f>IF($H1310="","",IF(ROUND($F1310,2)&gt;0,IF($D1310="شخصی قاسم","شخصی قاسم",IF($D1310="هزینه","هزینه: "&amp;IF($E1310="","متفرقه",$E1310),IF(OR($B1310="",COUNTIF(AcctCodesA,$B1310)=0),"متفرقه",$B1310))),$A1310))</f>
        <v/>
      </c>
      <c r="K1310">
        <f>IF($A1310="","",IF(AND($B1310&lt;&gt;"",COUNTIF(AcctCodesA,$B1310)=0),"کد طرف در INFO تعریف نشده",IF(AND($D1310="هزینه",$E1310=""),"هزینه بدون زیرگروه",IF(AND($C1310="پاس چک",OR(Sync!$AJ1310="",COUNTIF(IssueNosA,Sync!$AJ1310)=0)),"شماره چک پاس‌شده معتبر نیست",""))))</f>
        <v/>
      </c>
      <c r="V1310">
        <f>IF($K1310="","",IF(ISNUMBER(Sync!$AK1310),Sync!$AK1310,LEFT(Sync!$AK1310,4)&amp;MID(Sync!$AK1310,6,2)&amp;RIGHT(Sync!$AK1310,2))&amp;"|"&amp;"4"&amp;RIGHT("00000"&amp;1305,5))</f>
        <v/>
      </c>
      <c r="W1310">
        <f>IF($V1310="",0,COUNTIFS($V$6:$V$2005,"&lt;"&amp;$V1310)-COUNTIFS($V$6:$V$2005,"&lt;"&amp;$V1310,$K$6:$K$2005,"")+1)</f>
        <v/>
      </c>
    </row>
    <row r="1311">
      <c r="A1311">
        <f>IF(Sync!$Z1311="","",LEFT(UPPER(TRIM(Sync!$Z1311)),6))</f>
        <v/>
      </c>
      <c r="B1311">
        <f>IF($A1311="","",IF(Sync!$AA1311="","",Sync!$AA1311))</f>
        <v/>
      </c>
      <c r="C1311">
        <f>IF($A1311="","",IF(Sync!$AB1311="","",Sync!$AB1311))</f>
        <v/>
      </c>
      <c r="D1311">
        <f>IF($A1311="","",IF(Sync!$AC1311="","",Sync!$AC1311))</f>
        <v/>
      </c>
      <c r="E1311">
        <f>IF($A1311="","",IF(Sync!$AD1311="","",Sync!$AD1311))</f>
        <v/>
      </c>
      <c r="F1311">
        <f>IF($A1311="","",IF(Sync!$AE1311="",0,Sync!$AE1311))</f>
        <v/>
      </c>
      <c r="G1311">
        <f>IF($A1311="","",IF(Sync!$AF1311="",0,Sync!$AF1311))</f>
        <v/>
      </c>
      <c r="H1311">
        <f>IF(OR($A1311="",ROUND($F1311+$G1311,2)=0),"",$F1311+$G1311)</f>
        <v/>
      </c>
      <c r="I1311">
        <f>IF($H1311="","",IF(ROUND($F1311,2)&gt;0,$A1311,IF($D1311="شخصی قاسم","شخصی قاسم",IF($D1311="هزینه","هزینه: "&amp;IF($E1311="","متفرقه",$E1311),IF($C1311="پاس چک","چک پرداختی",IF(OR($B1311="",COUNTIF(AcctCodesA,$B1311)=0),"متفرقه",$B1311))))))</f>
        <v/>
      </c>
      <c r="J1311">
        <f>IF($H1311="","",IF(ROUND($F1311,2)&gt;0,IF($D1311="شخصی قاسم","شخصی قاسم",IF($D1311="هزینه","هزینه: "&amp;IF($E1311="","متفرقه",$E1311),IF(OR($B1311="",COUNTIF(AcctCodesA,$B1311)=0),"متفرقه",$B1311))),$A1311))</f>
        <v/>
      </c>
      <c r="K1311">
        <f>IF($A1311="","",IF(AND($B1311&lt;&gt;"",COUNTIF(AcctCodesA,$B1311)=0),"کد طرف در INFO تعریف نشده",IF(AND($D1311="هزینه",$E1311=""),"هزینه بدون زیرگروه",IF(AND($C1311="پاس چک",OR(Sync!$AJ1311="",COUNTIF(IssueNosA,Sync!$AJ1311)=0)),"شماره چک پاس‌شده معتبر نیست",""))))</f>
        <v/>
      </c>
      <c r="V1311">
        <f>IF($K1311="","",IF(ISNUMBER(Sync!$AK1311),Sync!$AK1311,LEFT(Sync!$AK1311,4)&amp;MID(Sync!$AK1311,6,2)&amp;RIGHT(Sync!$AK1311,2))&amp;"|"&amp;"4"&amp;RIGHT("00000"&amp;1306,5))</f>
        <v/>
      </c>
      <c r="W1311">
        <f>IF($V1311="",0,COUNTIFS($V$6:$V$2005,"&lt;"&amp;$V1311)-COUNTIFS($V$6:$V$2005,"&lt;"&amp;$V1311,$K$6:$K$2005,"")+1)</f>
        <v/>
      </c>
    </row>
    <row r="1312">
      <c r="A1312">
        <f>IF(Sync!$Z1312="","",LEFT(UPPER(TRIM(Sync!$Z1312)),6))</f>
        <v/>
      </c>
      <c r="B1312">
        <f>IF($A1312="","",IF(Sync!$AA1312="","",Sync!$AA1312))</f>
        <v/>
      </c>
      <c r="C1312">
        <f>IF($A1312="","",IF(Sync!$AB1312="","",Sync!$AB1312))</f>
        <v/>
      </c>
      <c r="D1312">
        <f>IF($A1312="","",IF(Sync!$AC1312="","",Sync!$AC1312))</f>
        <v/>
      </c>
      <c r="E1312">
        <f>IF($A1312="","",IF(Sync!$AD1312="","",Sync!$AD1312))</f>
        <v/>
      </c>
      <c r="F1312">
        <f>IF($A1312="","",IF(Sync!$AE1312="",0,Sync!$AE1312))</f>
        <v/>
      </c>
      <c r="G1312">
        <f>IF($A1312="","",IF(Sync!$AF1312="",0,Sync!$AF1312))</f>
        <v/>
      </c>
      <c r="H1312">
        <f>IF(OR($A1312="",ROUND($F1312+$G1312,2)=0),"",$F1312+$G1312)</f>
        <v/>
      </c>
      <c r="I1312">
        <f>IF($H1312="","",IF(ROUND($F1312,2)&gt;0,$A1312,IF($D1312="شخصی قاسم","شخصی قاسم",IF($D1312="هزینه","هزینه: "&amp;IF($E1312="","متفرقه",$E1312),IF($C1312="پاس چک","چک پرداختی",IF(OR($B1312="",COUNTIF(AcctCodesA,$B1312)=0),"متفرقه",$B1312))))))</f>
        <v/>
      </c>
      <c r="J1312">
        <f>IF($H1312="","",IF(ROUND($F1312,2)&gt;0,IF($D1312="شخصی قاسم","شخصی قاسم",IF($D1312="هزینه","هزینه: "&amp;IF($E1312="","متفرقه",$E1312),IF(OR($B1312="",COUNTIF(AcctCodesA,$B1312)=0),"متفرقه",$B1312))),$A1312))</f>
        <v/>
      </c>
      <c r="K1312">
        <f>IF($A1312="","",IF(AND($B1312&lt;&gt;"",COUNTIF(AcctCodesA,$B1312)=0),"کد طرف در INFO تعریف نشده",IF(AND($D1312="هزینه",$E1312=""),"هزینه بدون زیرگروه",IF(AND($C1312="پاس چک",OR(Sync!$AJ1312="",COUNTIF(IssueNosA,Sync!$AJ1312)=0)),"شماره چک پاس‌شده معتبر نیست",""))))</f>
        <v/>
      </c>
      <c r="V1312">
        <f>IF($K1312="","",IF(ISNUMBER(Sync!$AK1312),Sync!$AK1312,LEFT(Sync!$AK1312,4)&amp;MID(Sync!$AK1312,6,2)&amp;RIGHT(Sync!$AK1312,2))&amp;"|"&amp;"4"&amp;RIGHT("00000"&amp;1307,5))</f>
        <v/>
      </c>
      <c r="W1312">
        <f>IF($V1312="",0,COUNTIFS($V$6:$V$2005,"&lt;"&amp;$V1312)-COUNTIFS($V$6:$V$2005,"&lt;"&amp;$V1312,$K$6:$K$2005,"")+1)</f>
        <v/>
      </c>
    </row>
    <row r="1313">
      <c r="A1313">
        <f>IF(Sync!$Z1313="","",LEFT(UPPER(TRIM(Sync!$Z1313)),6))</f>
        <v/>
      </c>
      <c r="B1313">
        <f>IF($A1313="","",IF(Sync!$AA1313="","",Sync!$AA1313))</f>
        <v/>
      </c>
      <c r="C1313">
        <f>IF($A1313="","",IF(Sync!$AB1313="","",Sync!$AB1313))</f>
        <v/>
      </c>
      <c r="D1313">
        <f>IF($A1313="","",IF(Sync!$AC1313="","",Sync!$AC1313))</f>
        <v/>
      </c>
      <c r="E1313">
        <f>IF($A1313="","",IF(Sync!$AD1313="","",Sync!$AD1313))</f>
        <v/>
      </c>
      <c r="F1313">
        <f>IF($A1313="","",IF(Sync!$AE1313="",0,Sync!$AE1313))</f>
        <v/>
      </c>
      <c r="G1313">
        <f>IF($A1313="","",IF(Sync!$AF1313="",0,Sync!$AF1313))</f>
        <v/>
      </c>
      <c r="H1313">
        <f>IF(OR($A1313="",ROUND($F1313+$G1313,2)=0),"",$F1313+$G1313)</f>
        <v/>
      </c>
      <c r="I1313">
        <f>IF($H1313="","",IF(ROUND($F1313,2)&gt;0,$A1313,IF($D1313="شخصی قاسم","شخصی قاسم",IF($D1313="هزینه","هزینه: "&amp;IF($E1313="","متفرقه",$E1313),IF($C1313="پاس چک","چک پرداختی",IF(OR($B1313="",COUNTIF(AcctCodesA,$B1313)=0),"متفرقه",$B1313))))))</f>
        <v/>
      </c>
      <c r="J1313">
        <f>IF($H1313="","",IF(ROUND($F1313,2)&gt;0,IF($D1313="شخصی قاسم","شخصی قاسم",IF($D1313="هزینه","هزینه: "&amp;IF($E1313="","متفرقه",$E1313),IF(OR($B1313="",COUNTIF(AcctCodesA,$B1313)=0),"متفرقه",$B1313))),$A1313))</f>
        <v/>
      </c>
      <c r="K1313">
        <f>IF($A1313="","",IF(AND($B1313&lt;&gt;"",COUNTIF(AcctCodesA,$B1313)=0),"کد طرف در INFO تعریف نشده",IF(AND($D1313="هزینه",$E1313=""),"هزینه بدون زیرگروه",IF(AND($C1313="پاس چک",OR(Sync!$AJ1313="",COUNTIF(IssueNosA,Sync!$AJ1313)=0)),"شماره چک پاس‌شده معتبر نیست",""))))</f>
        <v/>
      </c>
      <c r="V1313">
        <f>IF($K1313="","",IF(ISNUMBER(Sync!$AK1313),Sync!$AK1313,LEFT(Sync!$AK1313,4)&amp;MID(Sync!$AK1313,6,2)&amp;RIGHT(Sync!$AK1313,2))&amp;"|"&amp;"4"&amp;RIGHT("00000"&amp;1308,5))</f>
        <v/>
      </c>
      <c r="W1313">
        <f>IF($V1313="",0,COUNTIFS($V$6:$V$2005,"&lt;"&amp;$V1313)-COUNTIFS($V$6:$V$2005,"&lt;"&amp;$V1313,$K$6:$K$2005,"")+1)</f>
        <v/>
      </c>
    </row>
    <row r="1314">
      <c r="A1314">
        <f>IF(Sync!$Z1314="","",LEFT(UPPER(TRIM(Sync!$Z1314)),6))</f>
        <v/>
      </c>
      <c r="B1314">
        <f>IF($A1314="","",IF(Sync!$AA1314="","",Sync!$AA1314))</f>
        <v/>
      </c>
      <c r="C1314">
        <f>IF($A1314="","",IF(Sync!$AB1314="","",Sync!$AB1314))</f>
        <v/>
      </c>
      <c r="D1314">
        <f>IF($A1314="","",IF(Sync!$AC1314="","",Sync!$AC1314))</f>
        <v/>
      </c>
      <c r="E1314">
        <f>IF($A1314="","",IF(Sync!$AD1314="","",Sync!$AD1314))</f>
        <v/>
      </c>
      <c r="F1314">
        <f>IF($A1314="","",IF(Sync!$AE1314="",0,Sync!$AE1314))</f>
        <v/>
      </c>
      <c r="G1314">
        <f>IF($A1314="","",IF(Sync!$AF1314="",0,Sync!$AF1314))</f>
        <v/>
      </c>
      <c r="H1314">
        <f>IF(OR($A1314="",ROUND($F1314+$G1314,2)=0),"",$F1314+$G1314)</f>
        <v/>
      </c>
      <c r="I1314">
        <f>IF($H1314="","",IF(ROUND($F1314,2)&gt;0,$A1314,IF($D1314="شخصی قاسم","شخصی قاسم",IF($D1314="هزینه","هزینه: "&amp;IF($E1314="","متفرقه",$E1314),IF($C1314="پاس چک","چک پرداختی",IF(OR($B1314="",COUNTIF(AcctCodesA,$B1314)=0),"متفرقه",$B1314))))))</f>
        <v/>
      </c>
      <c r="J1314">
        <f>IF($H1314="","",IF(ROUND($F1314,2)&gt;0,IF($D1314="شخصی قاسم","شخصی قاسم",IF($D1314="هزینه","هزینه: "&amp;IF($E1314="","متفرقه",$E1314),IF(OR($B1314="",COUNTIF(AcctCodesA,$B1314)=0),"متفرقه",$B1314))),$A1314))</f>
        <v/>
      </c>
      <c r="K1314">
        <f>IF($A1314="","",IF(AND($B1314&lt;&gt;"",COUNTIF(AcctCodesA,$B1314)=0),"کد طرف در INFO تعریف نشده",IF(AND($D1314="هزینه",$E1314=""),"هزینه بدون زیرگروه",IF(AND($C1314="پاس چک",OR(Sync!$AJ1314="",COUNTIF(IssueNosA,Sync!$AJ1314)=0)),"شماره چک پاس‌شده معتبر نیست",""))))</f>
        <v/>
      </c>
      <c r="V1314">
        <f>IF($K1314="","",IF(ISNUMBER(Sync!$AK1314),Sync!$AK1314,LEFT(Sync!$AK1314,4)&amp;MID(Sync!$AK1314,6,2)&amp;RIGHT(Sync!$AK1314,2))&amp;"|"&amp;"4"&amp;RIGHT("00000"&amp;1309,5))</f>
        <v/>
      </c>
      <c r="W1314">
        <f>IF($V1314="",0,COUNTIFS($V$6:$V$2005,"&lt;"&amp;$V1314)-COUNTIFS($V$6:$V$2005,"&lt;"&amp;$V1314,$K$6:$K$2005,"")+1)</f>
        <v/>
      </c>
    </row>
    <row r="1315">
      <c r="A1315">
        <f>IF(Sync!$Z1315="","",LEFT(UPPER(TRIM(Sync!$Z1315)),6))</f>
        <v/>
      </c>
      <c r="B1315">
        <f>IF($A1315="","",IF(Sync!$AA1315="","",Sync!$AA1315))</f>
        <v/>
      </c>
      <c r="C1315">
        <f>IF($A1315="","",IF(Sync!$AB1315="","",Sync!$AB1315))</f>
        <v/>
      </c>
      <c r="D1315">
        <f>IF($A1315="","",IF(Sync!$AC1315="","",Sync!$AC1315))</f>
        <v/>
      </c>
      <c r="E1315">
        <f>IF($A1315="","",IF(Sync!$AD1315="","",Sync!$AD1315))</f>
        <v/>
      </c>
      <c r="F1315">
        <f>IF($A1315="","",IF(Sync!$AE1315="",0,Sync!$AE1315))</f>
        <v/>
      </c>
      <c r="G1315">
        <f>IF($A1315="","",IF(Sync!$AF1315="",0,Sync!$AF1315))</f>
        <v/>
      </c>
      <c r="H1315">
        <f>IF(OR($A1315="",ROUND($F1315+$G1315,2)=0),"",$F1315+$G1315)</f>
        <v/>
      </c>
      <c r="I1315">
        <f>IF($H1315="","",IF(ROUND($F1315,2)&gt;0,$A1315,IF($D1315="شخصی قاسم","شخصی قاسم",IF($D1315="هزینه","هزینه: "&amp;IF($E1315="","متفرقه",$E1315),IF($C1315="پاس چک","چک پرداختی",IF(OR($B1315="",COUNTIF(AcctCodesA,$B1315)=0),"متفرقه",$B1315))))))</f>
        <v/>
      </c>
      <c r="J1315">
        <f>IF($H1315="","",IF(ROUND($F1315,2)&gt;0,IF($D1315="شخصی قاسم","شخصی قاسم",IF($D1315="هزینه","هزینه: "&amp;IF($E1315="","متفرقه",$E1315),IF(OR($B1315="",COUNTIF(AcctCodesA,$B1315)=0),"متفرقه",$B1315))),$A1315))</f>
        <v/>
      </c>
      <c r="K1315">
        <f>IF($A1315="","",IF(AND($B1315&lt;&gt;"",COUNTIF(AcctCodesA,$B1315)=0),"کد طرف در INFO تعریف نشده",IF(AND($D1315="هزینه",$E1315=""),"هزینه بدون زیرگروه",IF(AND($C1315="پاس چک",OR(Sync!$AJ1315="",COUNTIF(IssueNosA,Sync!$AJ1315)=0)),"شماره چک پاس‌شده معتبر نیست",""))))</f>
        <v/>
      </c>
      <c r="V1315">
        <f>IF($K1315="","",IF(ISNUMBER(Sync!$AK1315),Sync!$AK1315,LEFT(Sync!$AK1315,4)&amp;MID(Sync!$AK1315,6,2)&amp;RIGHT(Sync!$AK1315,2))&amp;"|"&amp;"4"&amp;RIGHT("00000"&amp;1310,5))</f>
        <v/>
      </c>
      <c r="W1315">
        <f>IF($V1315="",0,COUNTIFS($V$6:$V$2005,"&lt;"&amp;$V1315)-COUNTIFS($V$6:$V$2005,"&lt;"&amp;$V1315,$K$6:$K$2005,"")+1)</f>
        <v/>
      </c>
    </row>
    <row r="1316">
      <c r="A1316">
        <f>IF(Sync!$Z1316="","",LEFT(UPPER(TRIM(Sync!$Z1316)),6))</f>
        <v/>
      </c>
      <c r="B1316">
        <f>IF($A1316="","",IF(Sync!$AA1316="","",Sync!$AA1316))</f>
        <v/>
      </c>
      <c r="C1316">
        <f>IF($A1316="","",IF(Sync!$AB1316="","",Sync!$AB1316))</f>
        <v/>
      </c>
      <c r="D1316">
        <f>IF($A1316="","",IF(Sync!$AC1316="","",Sync!$AC1316))</f>
        <v/>
      </c>
      <c r="E1316">
        <f>IF($A1316="","",IF(Sync!$AD1316="","",Sync!$AD1316))</f>
        <v/>
      </c>
      <c r="F1316">
        <f>IF($A1316="","",IF(Sync!$AE1316="",0,Sync!$AE1316))</f>
        <v/>
      </c>
      <c r="G1316">
        <f>IF($A1316="","",IF(Sync!$AF1316="",0,Sync!$AF1316))</f>
        <v/>
      </c>
      <c r="H1316">
        <f>IF(OR($A1316="",ROUND($F1316+$G1316,2)=0),"",$F1316+$G1316)</f>
        <v/>
      </c>
      <c r="I1316">
        <f>IF($H1316="","",IF(ROUND($F1316,2)&gt;0,$A1316,IF($D1316="شخصی قاسم","شخصی قاسم",IF($D1316="هزینه","هزینه: "&amp;IF($E1316="","متفرقه",$E1316),IF($C1316="پاس چک","چک پرداختی",IF(OR($B1316="",COUNTIF(AcctCodesA,$B1316)=0),"متفرقه",$B1316))))))</f>
        <v/>
      </c>
      <c r="J1316">
        <f>IF($H1316="","",IF(ROUND($F1316,2)&gt;0,IF($D1316="شخصی قاسم","شخصی قاسم",IF($D1316="هزینه","هزینه: "&amp;IF($E1316="","متفرقه",$E1316),IF(OR($B1316="",COUNTIF(AcctCodesA,$B1316)=0),"متفرقه",$B1316))),$A1316))</f>
        <v/>
      </c>
      <c r="K1316">
        <f>IF($A1316="","",IF(AND($B1316&lt;&gt;"",COUNTIF(AcctCodesA,$B1316)=0),"کد طرف در INFO تعریف نشده",IF(AND($D1316="هزینه",$E1316=""),"هزینه بدون زیرگروه",IF(AND($C1316="پاس چک",OR(Sync!$AJ1316="",COUNTIF(IssueNosA,Sync!$AJ1316)=0)),"شماره چک پاس‌شده معتبر نیست",""))))</f>
        <v/>
      </c>
      <c r="V1316">
        <f>IF($K1316="","",IF(ISNUMBER(Sync!$AK1316),Sync!$AK1316,LEFT(Sync!$AK1316,4)&amp;MID(Sync!$AK1316,6,2)&amp;RIGHT(Sync!$AK1316,2))&amp;"|"&amp;"4"&amp;RIGHT("00000"&amp;1311,5))</f>
        <v/>
      </c>
      <c r="W1316">
        <f>IF($V1316="",0,COUNTIFS($V$6:$V$2005,"&lt;"&amp;$V1316)-COUNTIFS($V$6:$V$2005,"&lt;"&amp;$V1316,$K$6:$K$2005,"")+1)</f>
        <v/>
      </c>
    </row>
    <row r="1317">
      <c r="A1317">
        <f>IF(Sync!$Z1317="","",LEFT(UPPER(TRIM(Sync!$Z1317)),6))</f>
        <v/>
      </c>
      <c r="B1317">
        <f>IF($A1317="","",IF(Sync!$AA1317="","",Sync!$AA1317))</f>
        <v/>
      </c>
      <c r="C1317">
        <f>IF($A1317="","",IF(Sync!$AB1317="","",Sync!$AB1317))</f>
        <v/>
      </c>
      <c r="D1317">
        <f>IF($A1317="","",IF(Sync!$AC1317="","",Sync!$AC1317))</f>
        <v/>
      </c>
      <c r="E1317">
        <f>IF($A1317="","",IF(Sync!$AD1317="","",Sync!$AD1317))</f>
        <v/>
      </c>
      <c r="F1317">
        <f>IF($A1317="","",IF(Sync!$AE1317="",0,Sync!$AE1317))</f>
        <v/>
      </c>
      <c r="G1317">
        <f>IF($A1317="","",IF(Sync!$AF1317="",0,Sync!$AF1317))</f>
        <v/>
      </c>
      <c r="H1317">
        <f>IF(OR($A1317="",ROUND($F1317+$G1317,2)=0),"",$F1317+$G1317)</f>
        <v/>
      </c>
      <c r="I1317">
        <f>IF($H1317="","",IF(ROUND($F1317,2)&gt;0,$A1317,IF($D1317="شخصی قاسم","شخصی قاسم",IF($D1317="هزینه","هزینه: "&amp;IF($E1317="","متفرقه",$E1317),IF($C1317="پاس چک","چک پرداختی",IF(OR($B1317="",COUNTIF(AcctCodesA,$B1317)=0),"متفرقه",$B1317))))))</f>
        <v/>
      </c>
      <c r="J1317">
        <f>IF($H1317="","",IF(ROUND($F1317,2)&gt;0,IF($D1317="شخصی قاسم","شخصی قاسم",IF($D1317="هزینه","هزینه: "&amp;IF($E1317="","متفرقه",$E1317),IF(OR($B1317="",COUNTIF(AcctCodesA,$B1317)=0),"متفرقه",$B1317))),$A1317))</f>
        <v/>
      </c>
      <c r="K1317">
        <f>IF($A1317="","",IF(AND($B1317&lt;&gt;"",COUNTIF(AcctCodesA,$B1317)=0),"کد طرف در INFO تعریف نشده",IF(AND($D1317="هزینه",$E1317=""),"هزینه بدون زیرگروه",IF(AND($C1317="پاس چک",OR(Sync!$AJ1317="",COUNTIF(IssueNosA,Sync!$AJ1317)=0)),"شماره چک پاس‌شده معتبر نیست",""))))</f>
        <v/>
      </c>
      <c r="V1317">
        <f>IF($K1317="","",IF(ISNUMBER(Sync!$AK1317),Sync!$AK1317,LEFT(Sync!$AK1317,4)&amp;MID(Sync!$AK1317,6,2)&amp;RIGHT(Sync!$AK1317,2))&amp;"|"&amp;"4"&amp;RIGHT("00000"&amp;1312,5))</f>
        <v/>
      </c>
      <c r="W1317">
        <f>IF($V1317="",0,COUNTIFS($V$6:$V$2005,"&lt;"&amp;$V1317)-COUNTIFS($V$6:$V$2005,"&lt;"&amp;$V1317,$K$6:$K$2005,"")+1)</f>
        <v/>
      </c>
    </row>
    <row r="1318">
      <c r="A1318">
        <f>IF(Sync!$Z1318="","",LEFT(UPPER(TRIM(Sync!$Z1318)),6))</f>
        <v/>
      </c>
      <c r="B1318">
        <f>IF($A1318="","",IF(Sync!$AA1318="","",Sync!$AA1318))</f>
        <v/>
      </c>
      <c r="C1318">
        <f>IF($A1318="","",IF(Sync!$AB1318="","",Sync!$AB1318))</f>
        <v/>
      </c>
      <c r="D1318">
        <f>IF($A1318="","",IF(Sync!$AC1318="","",Sync!$AC1318))</f>
        <v/>
      </c>
      <c r="E1318">
        <f>IF($A1318="","",IF(Sync!$AD1318="","",Sync!$AD1318))</f>
        <v/>
      </c>
      <c r="F1318">
        <f>IF($A1318="","",IF(Sync!$AE1318="",0,Sync!$AE1318))</f>
        <v/>
      </c>
      <c r="G1318">
        <f>IF($A1318="","",IF(Sync!$AF1318="",0,Sync!$AF1318))</f>
        <v/>
      </c>
      <c r="H1318">
        <f>IF(OR($A1318="",ROUND($F1318+$G1318,2)=0),"",$F1318+$G1318)</f>
        <v/>
      </c>
      <c r="I1318">
        <f>IF($H1318="","",IF(ROUND($F1318,2)&gt;0,$A1318,IF($D1318="شخصی قاسم","شخصی قاسم",IF($D1318="هزینه","هزینه: "&amp;IF($E1318="","متفرقه",$E1318),IF($C1318="پاس چک","چک پرداختی",IF(OR($B1318="",COUNTIF(AcctCodesA,$B1318)=0),"متفرقه",$B1318))))))</f>
        <v/>
      </c>
      <c r="J1318">
        <f>IF($H1318="","",IF(ROUND($F1318,2)&gt;0,IF($D1318="شخصی قاسم","شخصی قاسم",IF($D1318="هزینه","هزینه: "&amp;IF($E1318="","متفرقه",$E1318),IF(OR($B1318="",COUNTIF(AcctCodesA,$B1318)=0),"متفرقه",$B1318))),$A1318))</f>
        <v/>
      </c>
      <c r="K1318">
        <f>IF($A1318="","",IF(AND($B1318&lt;&gt;"",COUNTIF(AcctCodesA,$B1318)=0),"کد طرف در INFO تعریف نشده",IF(AND($D1318="هزینه",$E1318=""),"هزینه بدون زیرگروه",IF(AND($C1318="پاس چک",OR(Sync!$AJ1318="",COUNTIF(IssueNosA,Sync!$AJ1318)=0)),"شماره چک پاس‌شده معتبر نیست",""))))</f>
        <v/>
      </c>
      <c r="V1318">
        <f>IF($K1318="","",IF(ISNUMBER(Sync!$AK1318),Sync!$AK1318,LEFT(Sync!$AK1318,4)&amp;MID(Sync!$AK1318,6,2)&amp;RIGHT(Sync!$AK1318,2))&amp;"|"&amp;"4"&amp;RIGHT("00000"&amp;1313,5))</f>
        <v/>
      </c>
      <c r="W1318">
        <f>IF($V1318="",0,COUNTIFS($V$6:$V$2005,"&lt;"&amp;$V1318)-COUNTIFS($V$6:$V$2005,"&lt;"&amp;$V1318,$K$6:$K$2005,"")+1)</f>
        <v/>
      </c>
    </row>
    <row r="1319">
      <c r="A1319">
        <f>IF(Sync!$Z1319="","",LEFT(UPPER(TRIM(Sync!$Z1319)),6))</f>
        <v/>
      </c>
      <c r="B1319">
        <f>IF($A1319="","",IF(Sync!$AA1319="","",Sync!$AA1319))</f>
        <v/>
      </c>
      <c r="C1319">
        <f>IF($A1319="","",IF(Sync!$AB1319="","",Sync!$AB1319))</f>
        <v/>
      </c>
      <c r="D1319">
        <f>IF($A1319="","",IF(Sync!$AC1319="","",Sync!$AC1319))</f>
        <v/>
      </c>
      <c r="E1319">
        <f>IF($A1319="","",IF(Sync!$AD1319="","",Sync!$AD1319))</f>
        <v/>
      </c>
      <c r="F1319">
        <f>IF($A1319="","",IF(Sync!$AE1319="",0,Sync!$AE1319))</f>
        <v/>
      </c>
      <c r="G1319">
        <f>IF($A1319="","",IF(Sync!$AF1319="",0,Sync!$AF1319))</f>
        <v/>
      </c>
      <c r="H1319">
        <f>IF(OR($A1319="",ROUND($F1319+$G1319,2)=0),"",$F1319+$G1319)</f>
        <v/>
      </c>
      <c r="I1319">
        <f>IF($H1319="","",IF(ROUND($F1319,2)&gt;0,$A1319,IF($D1319="شخصی قاسم","شخصی قاسم",IF($D1319="هزینه","هزینه: "&amp;IF($E1319="","متفرقه",$E1319),IF($C1319="پاس چک","چک پرداختی",IF(OR($B1319="",COUNTIF(AcctCodesA,$B1319)=0),"متفرقه",$B1319))))))</f>
        <v/>
      </c>
      <c r="J1319">
        <f>IF($H1319="","",IF(ROUND($F1319,2)&gt;0,IF($D1319="شخصی قاسم","شخصی قاسم",IF($D1319="هزینه","هزینه: "&amp;IF($E1319="","متفرقه",$E1319),IF(OR($B1319="",COUNTIF(AcctCodesA,$B1319)=0),"متفرقه",$B1319))),$A1319))</f>
        <v/>
      </c>
      <c r="K1319">
        <f>IF($A1319="","",IF(AND($B1319&lt;&gt;"",COUNTIF(AcctCodesA,$B1319)=0),"کد طرف در INFO تعریف نشده",IF(AND($D1319="هزینه",$E1319=""),"هزینه بدون زیرگروه",IF(AND($C1319="پاس چک",OR(Sync!$AJ1319="",COUNTIF(IssueNosA,Sync!$AJ1319)=0)),"شماره چک پاس‌شده معتبر نیست",""))))</f>
        <v/>
      </c>
      <c r="V1319">
        <f>IF($K1319="","",IF(ISNUMBER(Sync!$AK1319),Sync!$AK1319,LEFT(Sync!$AK1319,4)&amp;MID(Sync!$AK1319,6,2)&amp;RIGHT(Sync!$AK1319,2))&amp;"|"&amp;"4"&amp;RIGHT("00000"&amp;1314,5))</f>
        <v/>
      </c>
      <c r="W1319">
        <f>IF($V1319="",0,COUNTIFS($V$6:$V$2005,"&lt;"&amp;$V1319)-COUNTIFS($V$6:$V$2005,"&lt;"&amp;$V1319,$K$6:$K$2005,"")+1)</f>
        <v/>
      </c>
    </row>
    <row r="1320">
      <c r="A1320">
        <f>IF(Sync!$Z1320="","",LEFT(UPPER(TRIM(Sync!$Z1320)),6))</f>
        <v/>
      </c>
      <c r="B1320">
        <f>IF($A1320="","",IF(Sync!$AA1320="","",Sync!$AA1320))</f>
        <v/>
      </c>
      <c r="C1320">
        <f>IF($A1320="","",IF(Sync!$AB1320="","",Sync!$AB1320))</f>
        <v/>
      </c>
      <c r="D1320">
        <f>IF($A1320="","",IF(Sync!$AC1320="","",Sync!$AC1320))</f>
        <v/>
      </c>
      <c r="E1320">
        <f>IF($A1320="","",IF(Sync!$AD1320="","",Sync!$AD1320))</f>
        <v/>
      </c>
      <c r="F1320">
        <f>IF($A1320="","",IF(Sync!$AE1320="",0,Sync!$AE1320))</f>
        <v/>
      </c>
      <c r="G1320">
        <f>IF($A1320="","",IF(Sync!$AF1320="",0,Sync!$AF1320))</f>
        <v/>
      </c>
      <c r="H1320">
        <f>IF(OR($A1320="",ROUND($F1320+$G1320,2)=0),"",$F1320+$G1320)</f>
        <v/>
      </c>
      <c r="I1320">
        <f>IF($H1320="","",IF(ROUND($F1320,2)&gt;0,$A1320,IF($D1320="شخصی قاسم","شخصی قاسم",IF($D1320="هزینه","هزینه: "&amp;IF($E1320="","متفرقه",$E1320),IF($C1320="پاس چک","چک پرداختی",IF(OR($B1320="",COUNTIF(AcctCodesA,$B1320)=0),"متفرقه",$B1320))))))</f>
        <v/>
      </c>
      <c r="J1320">
        <f>IF($H1320="","",IF(ROUND($F1320,2)&gt;0,IF($D1320="شخصی قاسم","شخصی قاسم",IF($D1320="هزینه","هزینه: "&amp;IF($E1320="","متفرقه",$E1320),IF(OR($B1320="",COUNTIF(AcctCodesA,$B1320)=0),"متفرقه",$B1320))),$A1320))</f>
        <v/>
      </c>
      <c r="K1320">
        <f>IF($A1320="","",IF(AND($B1320&lt;&gt;"",COUNTIF(AcctCodesA,$B1320)=0),"کد طرف در INFO تعریف نشده",IF(AND($D1320="هزینه",$E1320=""),"هزینه بدون زیرگروه",IF(AND($C1320="پاس چک",OR(Sync!$AJ1320="",COUNTIF(IssueNosA,Sync!$AJ1320)=0)),"شماره چک پاس‌شده معتبر نیست",""))))</f>
        <v/>
      </c>
      <c r="V1320">
        <f>IF($K1320="","",IF(ISNUMBER(Sync!$AK1320),Sync!$AK1320,LEFT(Sync!$AK1320,4)&amp;MID(Sync!$AK1320,6,2)&amp;RIGHT(Sync!$AK1320,2))&amp;"|"&amp;"4"&amp;RIGHT("00000"&amp;1315,5))</f>
        <v/>
      </c>
      <c r="W1320">
        <f>IF($V1320="",0,COUNTIFS($V$6:$V$2005,"&lt;"&amp;$V1320)-COUNTIFS($V$6:$V$2005,"&lt;"&amp;$V1320,$K$6:$K$2005,"")+1)</f>
        <v/>
      </c>
    </row>
    <row r="1321">
      <c r="A1321">
        <f>IF(Sync!$Z1321="","",LEFT(UPPER(TRIM(Sync!$Z1321)),6))</f>
        <v/>
      </c>
      <c r="B1321">
        <f>IF($A1321="","",IF(Sync!$AA1321="","",Sync!$AA1321))</f>
        <v/>
      </c>
      <c r="C1321">
        <f>IF($A1321="","",IF(Sync!$AB1321="","",Sync!$AB1321))</f>
        <v/>
      </c>
      <c r="D1321">
        <f>IF($A1321="","",IF(Sync!$AC1321="","",Sync!$AC1321))</f>
        <v/>
      </c>
      <c r="E1321">
        <f>IF($A1321="","",IF(Sync!$AD1321="","",Sync!$AD1321))</f>
        <v/>
      </c>
      <c r="F1321">
        <f>IF($A1321="","",IF(Sync!$AE1321="",0,Sync!$AE1321))</f>
        <v/>
      </c>
      <c r="G1321">
        <f>IF($A1321="","",IF(Sync!$AF1321="",0,Sync!$AF1321))</f>
        <v/>
      </c>
      <c r="H1321">
        <f>IF(OR($A1321="",ROUND($F1321+$G1321,2)=0),"",$F1321+$G1321)</f>
        <v/>
      </c>
      <c r="I1321">
        <f>IF($H1321="","",IF(ROUND($F1321,2)&gt;0,$A1321,IF($D1321="شخصی قاسم","شخصی قاسم",IF($D1321="هزینه","هزینه: "&amp;IF($E1321="","متفرقه",$E1321),IF($C1321="پاس چک","چک پرداختی",IF(OR($B1321="",COUNTIF(AcctCodesA,$B1321)=0),"متفرقه",$B1321))))))</f>
        <v/>
      </c>
      <c r="J1321">
        <f>IF($H1321="","",IF(ROUND($F1321,2)&gt;0,IF($D1321="شخصی قاسم","شخصی قاسم",IF($D1321="هزینه","هزینه: "&amp;IF($E1321="","متفرقه",$E1321),IF(OR($B1321="",COUNTIF(AcctCodesA,$B1321)=0),"متفرقه",$B1321))),$A1321))</f>
        <v/>
      </c>
      <c r="K1321">
        <f>IF($A1321="","",IF(AND($B1321&lt;&gt;"",COUNTIF(AcctCodesA,$B1321)=0),"کد طرف در INFO تعریف نشده",IF(AND($D1321="هزینه",$E1321=""),"هزینه بدون زیرگروه",IF(AND($C1321="پاس چک",OR(Sync!$AJ1321="",COUNTIF(IssueNosA,Sync!$AJ1321)=0)),"شماره چک پاس‌شده معتبر نیست",""))))</f>
        <v/>
      </c>
      <c r="V1321">
        <f>IF($K1321="","",IF(ISNUMBER(Sync!$AK1321),Sync!$AK1321,LEFT(Sync!$AK1321,4)&amp;MID(Sync!$AK1321,6,2)&amp;RIGHT(Sync!$AK1321,2))&amp;"|"&amp;"4"&amp;RIGHT("00000"&amp;1316,5))</f>
        <v/>
      </c>
      <c r="W1321">
        <f>IF($V1321="",0,COUNTIFS($V$6:$V$2005,"&lt;"&amp;$V1321)-COUNTIFS($V$6:$V$2005,"&lt;"&amp;$V1321,$K$6:$K$2005,"")+1)</f>
        <v/>
      </c>
    </row>
    <row r="1322">
      <c r="A1322">
        <f>IF(Sync!$Z1322="","",LEFT(UPPER(TRIM(Sync!$Z1322)),6))</f>
        <v/>
      </c>
      <c r="B1322">
        <f>IF($A1322="","",IF(Sync!$AA1322="","",Sync!$AA1322))</f>
        <v/>
      </c>
      <c r="C1322">
        <f>IF($A1322="","",IF(Sync!$AB1322="","",Sync!$AB1322))</f>
        <v/>
      </c>
      <c r="D1322">
        <f>IF($A1322="","",IF(Sync!$AC1322="","",Sync!$AC1322))</f>
        <v/>
      </c>
      <c r="E1322">
        <f>IF($A1322="","",IF(Sync!$AD1322="","",Sync!$AD1322))</f>
        <v/>
      </c>
      <c r="F1322">
        <f>IF($A1322="","",IF(Sync!$AE1322="",0,Sync!$AE1322))</f>
        <v/>
      </c>
      <c r="G1322">
        <f>IF($A1322="","",IF(Sync!$AF1322="",0,Sync!$AF1322))</f>
        <v/>
      </c>
      <c r="H1322">
        <f>IF(OR($A1322="",ROUND($F1322+$G1322,2)=0),"",$F1322+$G1322)</f>
        <v/>
      </c>
      <c r="I1322">
        <f>IF($H1322="","",IF(ROUND($F1322,2)&gt;0,$A1322,IF($D1322="شخصی قاسم","شخصی قاسم",IF($D1322="هزینه","هزینه: "&amp;IF($E1322="","متفرقه",$E1322),IF($C1322="پاس چک","چک پرداختی",IF(OR($B1322="",COUNTIF(AcctCodesA,$B1322)=0),"متفرقه",$B1322))))))</f>
        <v/>
      </c>
      <c r="J1322">
        <f>IF($H1322="","",IF(ROUND($F1322,2)&gt;0,IF($D1322="شخصی قاسم","شخصی قاسم",IF($D1322="هزینه","هزینه: "&amp;IF($E1322="","متفرقه",$E1322),IF(OR($B1322="",COUNTIF(AcctCodesA,$B1322)=0),"متفرقه",$B1322))),$A1322))</f>
        <v/>
      </c>
      <c r="K1322">
        <f>IF($A1322="","",IF(AND($B1322&lt;&gt;"",COUNTIF(AcctCodesA,$B1322)=0),"کد طرف در INFO تعریف نشده",IF(AND($D1322="هزینه",$E1322=""),"هزینه بدون زیرگروه",IF(AND($C1322="پاس چک",OR(Sync!$AJ1322="",COUNTIF(IssueNosA,Sync!$AJ1322)=0)),"شماره چک پاس‌شده معتبر نیست",""))))</f>
        <v/>
      </c>
      <c r="V1322">
        <f>IF($K1322="","",IF(ISNUMBER(Sync!$AK1322),Sync!$AK1322,LEFT(Sync!$AK1322,4)&amp;MID(Sync!$AK1322,6,2)&amp;RIGHT(Sync!$AK1322,2))&amp;"|"&amp;"4"&amp;RIGHT("00000"&amp;1317,5))</f>
        <v/>
      </c>
      <c r="W1322">
        <f>IF($V1322="",0,COUNTIFS($V$6:$V$2005,"&lt;"&amp;$V1322)-COUNTIFS($V$6:$V$2005,"&lt;"&amp;$V1322,$K$6:$K$2005,"")+1)</f>
        <v/>
      </c>
    </row>
    <row r="1323">
      <c r="A1323">
        <f>IF(Sync!$Z1323="","",LEFT(UPPER(TRIM(Sync!$Z1323)),6))</f>
        <v/>
      </c>
      <c r="B1323">
        <f>IF($A1323="","",IF(Sync!$AA1323="","",Sync!$AA1323))</f>
        <v/>
      </c>
      <c r="C1323">
        <f>IF($A1323="","",IF(Sync!$AB1323="","",Sync!$AB1323))</f>
        <v/>
      </c>
      <c r="D1323">
        <f>IF($A1323="","",IF(Sync!$AC1323="","",Sync!$AC1323))</f>
        <v/>
      </c>
      <c r="E1323">
        <f>IF($A1323="","",IF(Sync!$AD1323="","",Sync!$AD1323))</f>
        <v/>
      </c>
      <c r="F1323">
        <f>IF($A1323="","",IF(Sync!$AE1323="",0,Sync!$AE1323))</f>
        <v/>
      </c>
      <c r="G1323">
        <f>IF($A1323="","",IF(Sync!$AF1323="",0,Sync!$AF1323))</f>
        <v/>
      </c>
      <c r="H1323">
        <f>IF(OR($A1323="",ROUND($F1323+$G1323,2)=0),"",$F1323+$G1323)</f>
        <v/>
      </c>
      <c r="I1323">
        <f>IF($H1323="","",IF(ROUND($F1323,2)&gt;0,$A1323,IF($D1323="شخصی قاسم","شخصی قاسم",IF($D1323="هزینه","هزینه: "&amp;IF($E1323="","متفرقه",$E1323),IF($C1323="پاس چک","چک پرداختی",IF(OR($B1323="",COUNTIF(AcctCodesA,$B1323)=0),"متفرقه",$B1323))))))</f>
        <v/>
      </c>
      <c r="J1323">
        <f>IF($H1323="","",IF(ROUND($F1323,2)&gt;0,IF($D1323="شخصی قاسم","شخصی قاسم",IF($D1323="هزینه","هزینه: "&amp;IF($E1323="","متفرقه",$E1323),IF(OR($B1323="",COUNTIF(AcctCodesA,$B1323)=0),"متفرقه",$B1323))),$A1323))</f>
        <v/>
      </c>
      <c r="K1323">
        <f>IF($A1323="","",IF(AND($B1323&lt;&gt;"",COUNTIF(AcctCodesA,$B1323)=0),"کد طرف در INFO تعریف نشده",IF(AND($D1323="هزینه",$E1323=""),"هزینه بدون زیرگروه",IF(AND($C1323="پاس چک",OR(Sync!$AJ1323="",COUNTIF(IssueNosA,Sync!$AJ1323)=0)),"شماره چک پاس‌شده معتبر نیست",""))))</f>
        <v/>
      </c>
      <c r="V1323">
        <f>IF($K1323="","",IF(ISNUMBER(Sync!$AK1323),Sync!$AK1323,LEFT(Sync!$AK1323,4)&amp;MID(Sync!$AK1323,6,2)&amp;RIGHT(Sync!$AK1323,2))&amp;"|"&amp;"4"&amp;RIGHT("00000"&amp;1318,5))</f>
        <v/>
      </c>
      <c r="W1323">
        <f>IF($V1323="",0,COUNTIFS($V$6:$V$2005,"&lt;"&amp;$V1323)-COUNTIFS($V$6:$V$2005,"&lt;"&amp;$V1323,$K$6:$K$2005,"")+1)</f>
        <v/>
      </c>
    </row>
    <row r="1324">
      <c r="A1324">
        <f>IF(Sync!$Z1324="","",LEFT(UPPER(TRIM(Sync!$Z1324)),6))</f>
        <v/>
      </c>
      <c r="B1324">
        <f>IF($A1324="","",IF(Sync!$AA1324="","",Sync!$AA1324))</f>
        <v/>
      </c>
      <c r="C1324">
        <f>IF($A1324="","",IF(Sync!$AB1324="","",Sync!$AB1324))</f>
        <v/>
      </c>
      <c r="D1324">
        <f>IF($A1324="","",IF(Sync!$AC1324="","",Sync!$AC1324))</f>
        <v/>
      </c>
      <c r="E1324">
        <f>IF($A1324="","",IF(Sync!$AD1324="","",Sync!$AD1324))</f>
        <v/>
      </c>
      <c r="F1324">
        <f>IF($A1324="","",IF(Sync!$AE1324="",0,Sync!$AE1324))</f>
        <v/>
      </c>
      <c r="G1324">
        <f>IF($A1324="","",IF(Sync!$AF1324="",0,Sync!$AF1324))</f>
        <v/>
      </c>
      <c r="H1324">
        <f>IF(OR($A1324="",ROUND($F1324+$G1324,2)=0),"",$F1324+$G1324)</f>
        <v/>
      </c>
      <c r="I1324">
        <f>IF($H1324="","",IF(ROUND($F1324,2)&gt;0,$A1324,IF($D1324="شخصی قاسم","شخصی قاسم",IF($D1324="هزینه","هزینه: "&amp;IF($E1324="","متفرقه",$E1324),IF($C1324="پاس چک","چک پرداختی",IF(OR($B1324="",COUNTIF(AcctCodesA,$B1324)=0),"متفرقه",$B1324))))))</f>
        <v/>
      </c>
      <c r="J1324">
        <f>IF($H1324="","",IF(ROUND($F1324,2)&gt;0,IF($D1324="شخصی قاسم","شخصی قاسم",IF($D1324="هزینه","هزینه: "&amp;IF($E1324="","متفرقه",$E1324),IF(OR($B1324="",COUNTIF(AcctCodesA,$B1324)=0),"متفرقه",$B1324))),$A1324))</f>
        <v/>
      </c>
      <c r="K1324">
        <f>IF($A1324="","",IF(AND($B1324&lt;&gt;"",COUNTIF(AcctCodesA,$B1324)=0),"کد طرف در INFO تعریف نشده",IF(AND($D1324="هزینه",$E1324=""),"هزینه بدون زیرگروه",IF(AND($C1324="پاس چک",OR(Sync!$AJ1324="",COUNTIF(IssueNosA,Sync!$AJ1324)=0)),"شماره چک پاس‌شده معتبر نیست",""))))</f>
        <v/>
      </c>
      <c r="V1324">
        <f>IF($K1324="","",IF(ISNUMBER(Sync!$AK1324),Sync!$AK1324,LEFT(Sync!$AK1324,4)&amp;MID(Sync!$AK1324,6,2)&amp;RIGHT(Sync!$AK1324,2))&amp;"|"&amp;"4"&amp;RIGHT("00000"&amp;1319,5))</f>
        <v/>
      </c>
      <c r="W1324">
        <f>IF($V1324="",0,COUNTIFS($V$6:$V$2005,"&lt;"&amp;$V1324)-COUNTIFS($V$6:$V$2005,"&lt;"&amp;$V1324,$K$6:$K$2005,"")+1)</f>
        <v/>
      </c>
    </row>
    <row r="1325">
      <c r="A1325">
        <f>IF(Sync!$Z1325="","",LEFT(UPPER(TRIM(Sync!$Z1325)),6))</f>
        <v/>
      </c>
      <c r="B1325">
        <f>IF($A1325="","",IF(Sync!$AA1325="","",Sync!$AA1325))</f>
        <v/>
      </c>
      <c r="C1325">
        <f>IF($A1325="","",IF(Sync!$AB1325="","",Sync!$AB1325))</f>
        <v/>
      </c>
      <c r="D1325">
        <f>IF($A1325="","",IF(Sync!$AC1325="","",Sync!$AC1325))</f>
        <v/>
      </c>
      <c r="E1325">
        <f>IF($A1325="","",IF(Sync!$AD1325="","",Sync!$AD1325))</f>
        <v/>
      </c>
      <c r="F1325">
        <f>IF($A1325="","",IF(Sync!$AE1325="",0,Sync!$AE1325))</f>
        <v/>
      </c>
      <c r="G1325">
        <f>IF($A1325="","",IF(Sync!$AF1325="",0,Sync!$AF1325))</f>
        <v/>
      </c>
      <c r="H1325">
        <f>IF(OR($A1325="",ROUND($F1325+$G1325,2)=0),"",$F1325+$G1325)</f>
        <v/>
      </c>
      <c r="I1325">
        <f>IF($H1325="","",IF(ROUND($F1325,2)&gt;0,$A1325,IF($D1325="شخصی قاسم","شخصی قاسم",IF($D1325="هزینه","هزینه: "&amp;IF($E1325="","متفرقه",$E1325),IF($C1325="پاس چک","چک پرداختی",IF(OR($B1325="",COUNTIF(AcctCodesA,$B1325)=0),"متفرقه",$B1325))))))</f>
        <v/>
      </c>
      <c r="J1325">
        <f>IF($H1325="","",IF(ROUND($F1325,2)&gt;0,IF($D1325="شخصی قاسم","شخصی قاسم",IF($D1325="هزینه","هزینه: "&amp;IF($E1325="","متفرقه",$E1325),IF(OR($B1325="",COUNTIF(AcctCodesA,$B1325)=0),"متفرقه",$B1325))),$A1325))</f>
        <v/>
      </c>
      <c r="K1325">
        <f>IF($A1325="","",IF(AND($B1325&lt;&gt;"",COUNTIF(AcctCodesA,$B1325)=0),"کد طرف در INFO تعریف نشده",IF(AND($D1325="هزینه",$E1325=""),"هزینه بدون زیرگروه",IF(AND($C1325="پاس چک",OR(Sync!$AJ1325="",COUNTIF(IssueNosA,Sync!$AJ1325)=0)),"شماره چک پاس‌شده معتبر نیست",""))))</f>
        <v/>
      </c>
      <c r="V1325">
        <f>IF($K1325="","",IF(ISNUMBER(Sync!$AK1325),Sync!$AK1325,LEFT(Sync!$AK1325,4)&amp;MID(Sync!$AK1325,6,2)&amp;RIGHT(Sync!$AK1325,2))&amp;"|"&amp;"4"&amp;RIGHT("00000"&amp;1320,5))</f>
        <v/>
      </c>
      <c r="W1325">
        <f>IF($V1325="",0,COUNTIFS($V$6:$V$2005,"&lt;"&amp;$V1325)-COUNTIFS($V$6:$V$2005,"&lt;"&amp;$V1325,$K$6:$K$2005,"")+1)</f>
        <v/>
      </c>
    </row>
    <row r="1326">
      <c r="A1326">
        <f>IF(Sync!$Z1326="","",LEFT(UPPER(TRIM(Sync!$Z1326)),6))</f>
        <v/>
      </c>
      <c r="B1326">
        <f>IF($A1326="","",IF(Sync!$AA1326="","",Sync!$AA1326))</f>
        <v/>
      </c>
      <c r="C1326">
        <f>IF($A1326="","",IF(Sync!$AB1326="","",Sync!$AB1326))</f>
        <v/>
      </c>
      <c r="D1326">
        <f>IF($A1326="","",IF(Sync!$AC1326="","",Sync!$AC1326))</f>
        <v/>
      </c>
      <c r="E1326">
        <f>IF($A1326="","",IF(Sync!$AD1326="","",Sync!$AD1326))</f>
        <v/>
      </c>
      <c r="F1326">
        <f>IF($A1326="","",IF(Sync!$AE1326="",0,Sync!$AE1326))</f>
        <v/>
      </c>
      <c r="G1326">
        <f>IF($A1326="","",IF(Sync!$AF1326="",0,Sync!$AF1326))</f>
        <v/>
      </c>
      <c r="H1326">
        <f>IF(OR($A1326="",ROUND($F1326+$G1326,2)=0),"",$F1326+$G1326)</f>
        <v/>
      </c>
      <c r="I1326">
        <f>IF($H1326="","",IF(ROUND($F1326,2)&gt;0,$A1326,IF($D1326="شخصی قاسم","شخصی قاسم",IF($D1326="هزینه","هزینه: "&amp;IF($E1326="","متفرقه",$E1326),IF($C1326="پاس چک","چک پرداختی",IF(OR($B1326="",COUNTIF(AcctCodesA,$B1326)=0),"متفرقه",$B1326))))))</f>
        <v/>
      </c>
      <c r="J1326">
        <f>IF($H1326="","",IF(ROUND($F1326,2)&gt;0,IF($D1326="شخصی قاسم","شخصی قاسم",IF($D1326="هزینه","هزینه: "&amp;IF($E1326="","متفرقه",$E1326),IF(OR($B1326="",COUNTIF(AcctCodesA,$B1326)=0),"متفرقه",$B1326))),$A1326))</f>
        <v/>
      </c>
      <c r="K1326">
        <f>IF($A1326="","",IF(AND($B1326&lt;&gt;"",COUNTIF(AcctCodesA,$B1326)=0),"کد طرف در INFO تعریف نشده",IF(AND($D1326="هزینه",$E1326=""),"هزینه بدون زیرگروه",IF(AND($C1326="پاس چک",OR(Sync!$AJ1326="",COUNTIF(IssueNosA,Sync!$AJ1326)=0)),"شماره چک پاس‌شده معتبر نیست",""))))</f>
        <v/>
      </c>
      <c r="V1326">
        <f>IF($K1326="","",IF(ISNUMBER(Sync!$AK1326),Sync!$AK1326,LEFT(Sync!$AK1326,4)&amp;MID(Sync!$AK1326,6,2)&amp;RIGHT(Sync!$AK1326,2))&amp;"|"&amp;"4"&amp;RIGHT("00000"&amp;1321,5))</f>
        <v/>
      </c>
      <c r="W1326">
        <f>IF($V1326="",0,COUNTIFS($V$6:$V$2005,"&lt;"&amp;$V1326)-COUNTIFS($V$6:$V$2005,"&lt;"&amp;$V1326,$K$6:$K$2005,"")+1)</f>
        <v/>
      </c>
    </row>
    <row r="1327">
      <c r="A1327">
        <f>IF(Sync!$Z1327="","",LEFT(UPPER(TRIM(Sync!$Z1327)),6))</f>
        <v/>
      </c>
      <c r="B1327">
        <f>IF($A1327="","",IF(Sync!$AA1327="","",Sync!$AA1327))</f>
        <v/>
      </c>
      <c r="C1327">
        <f>IF($A1327="","",IF(Sync!$AB1327="","",Sync!$AB1327))</f>
        <v/>
      </c>
      <c r="D1327">
        <f>IF($A1327="","",IF(Sync!$AC1327="","",Sync!$AC1327))</f>
        <v/>
      </c>
      <c r="E1327">
        <f>IF($A1327="","",IF(Sync!$AD1327="","",Sync!$AD1327))</f>
        <v/>
      </c>
      <c r="F1327">
        <f>IF($A1327="","",IF(Sync!$AE1327="",0,Sync!$AE1327))</f>
        <v/>
      </c>
      <c r="G1327">
        <f>IF($A1327="","",IF(Sync!$AF1327="",0,Sync!$AF1327))</f>
        <v/>
      </c>
      <c r="H1327">
        <f>IF(OR($A1327="",ROUND($F1327+$G1327,2)=0),"",$F1327+$G1327)</f>
        <v/>
      </c>
      <c r="I1327">
        <f>IF($H1327="","",IF(ROUND($F1327,2)&gt;0,$A1327,IF($D1327="شخصی قاسم","شخصی قاسم",IF($D1327="هزینه","هزینه: "&amp;IF($E1327="","متفرقه",$E1327),IF($C1327="پاس چک","چک پرداختی",IF(OR($B1327="",COUNTIF(AcctCodesA,$B1327)=0),"متفرقه",$B1327))))))</f>
        <v/>
      </c>
      <c r="J1327">
        <f>IF($H1327="","",IF(ROUND($F1327,2)&gt;0,IF($D1327="شخصی قاسم","شخصی قاسم",IF($D1327="هزینه","هزینه: "&amp;IF($E1327="","متفرقه",$E1327),IF(OR($B1327="",COUNTIF(AcctCodesA,$B1327)=0),"متفرقه",$B1327))),$A1327))</f>
        <v/>
      </c>
      <c r="K1327">
        <f>IF($A1327="","",IF(AND($B1327&lt;&gt;"",COUNTIF(AcctCodesA,$B1327)=0),"کد طرف در INFO تعریف نشده",IF(AND($D1327="هزینه",$E1327=""),"هزینه بدون زیرگروه",IF(AND($C1327="پاس چک",OR(Sync!$AJ1327="",COUNTIF(IssueNosA,Sync!$AJ1327)=0)),"شماره چک پاس‌شده معتبر نیست",""))))</f>
        <v/>
      </c>
      <c r="V1327">
        <f>IF($K1327="","",IF(ISNUMBER(Sync!$AK1327),Sync!$AK1327,LEFT(Sync!$AK1327,4)&amp;MID(Sync!$AK1327,6,2)&amp;RIGHT(Sync!$AK1327,2))&amp;"|"&amp;"4"&amp;RIGHT("00000"&amp;1322,5))</f>
        <v/>
      </c>
      <c r="W1327">
        <f>IF($V1327="",0,COUNTIFS($V$6:$V$2005,"&lt;"&amp;$V1327)-COUNTIFS($V$6:$V$2005,"&lt;"&amp;$V1327,$K$6:$K$2005,"")+1)</f>
        <v/>
      </c>
    </row>
    <row r="1328">
      <c r="A1328">
        <f>IF(Sync!$Z1328="","",LEFT(UPPER(TRIM(Sync!$Z1328)),6))</f>
        <v/>
      </c>
      <c r="B1328">
        <f>IF($A1328="","",IF(Sync!$AA1328="","",Sync!$AA1328))</f>
        <v/>
      </c>
      <c r="C1328">
        <f>IF($A1328="","",IF(Sync!$AB1328="","",Sync!$AB1328))</f>
        <v/>
      </c>
      <c r="D1328">
        <f>IF($A1328="","",IF(Sync!$AC1328="","",Sync!$AC1328))</f>
        <v/>
      </c>
      <c r="E1328">
        <f>IF($A1328="","",IF(Sync!$AD1328="","",Sync!$AD1328))</f>
        <v/>
      </c>
      <c r="F1328">
        <f>IF($A1328="","",IF(Sync!$AE1328="",0,Sync!$AE1328))</f>
        <v/>
      </c>
      <c r="G1328">
        <f>IF($A1328="","",IF(Sync!$AF1328="",0,Sync!$AF1328))</f>
        <v/>
      </c>
      <c r="H1328">
        <f>IF(OR($A1328="",ROUND($F1328+$G1328,2)=0),"",$F1328+$G1328)</f>
        <v/>
      </c>
      <c r="I1328">
        <f>IF($H1328="","",IF(ROUND($F1328,2)&gt;0,$A1328,IF($D1328="شخصی قاسم","شخصی قاسم",IF($D1328="هزینه","هزینه: "&amp;IF($E1328="","متفرقه",$E1328),IF($C1328="پاس چک","چک پرداختی",IF(OR($B1328="",COUNTIF(AcctCodesA,$B1328)=0),"متفرقه",$B1328))))))</f>
        <v/>
      </c>
      <c r="J1328">
        <f>IF($H1328="","",IF(ROUND($F1328,2)&gt;0,IF($D1328="شخصی قاسم","شخصی قاسم",IF($D1328="هزینه","هزینه: "&amp;IF($E1328="","متفرقه",$E1328),IF(OR($B1328="",COUNTIF(AcctCodesA,$B1328)=0),"متفرقه",$B1328))),$A1328))</f>
        <v/>
      </c>
      <c r="K1328">
        <f>IF($A1328="","",IF(AND($B1328&lt;&gt;"",COUNTIF(AcctCodesA,$B1328)=0),"کد طرف در INFO تعریف نشده",IF(AND($D1328="هزینه",$E1328=""),"هزینه بدون زیرگروه",IF(AND($C1328="پاس چک",OR(Sync!$AJ1328="",COUNTIF(IssueNosA,Sync!$AJ1328)=0)),"شماره چک پاس‌شده معتبر نیست",""))))</f>
        <v/>
      </c>
      <c r="V1328">
        <f>IF($K1328="","",IF(ISNUMBER(Sync!$AK1328),Sync!$AK1328,LEFT(Sync!$AK1328,4)&amp;MID(Sync!$AK1328,6,2)&amp;RIGHT(Sync!$AK1328,2))&amp;"|"&amp;"4"&amp;RIGHT("00000"&amp;1323,5))</f>
        <v/>
      </c>
      <c r="W1328">
        <f>IF($V1328="",0,COUNTIFS($V$6:$V$2005,"&lt;"&amp;$V1328)-COUNTIFS($V$6:$V$2005,"&lt;"&amp;$V1328,$K$6:$K$2005,"")+1)</f>
        <v/>
      </c>
    </row>
    <row r="1329">
      <c r="A1329">
        <f>IF(Sync!$Z1329="","",LEFT(UPPER(TRIM(Sync!$Z1329)),6))</f>
        <v/>
      </c>
      <c r="B1329">
        <f>IF($A1329="","",IF(Sync!$AA1329="","",Sync!$AA1329))</f>
        <v/>
      </c>
      <c r="C1329">
        <f>IF($A1329="","",IF(Sync!$AB1329="","",Sync!$AB1329))</f>
        <v/>
      </c>
      <c r="D1329">
        <f>IF($A1329="","",IF(Sync!$AC1329="","",Sync!$AC1329))</f>
        <v/>
      </c>
      <c r="E1329">
        <f>IF($A1329="","",IF(Sync!$AD1329="","",Sync!$AD1329))</f>
        <v/>
      </c>
      <c r="F1329">
        <f>IF($A1329="","",IF(Sync!$AE1329="",0,Sync!$AE1329))</f>
        <v/>
      </c>
      <c r="G1329">
        <f>IF($A1329="","",IF(Sync!$AF1329="",0,Sync!$AF1329))</f>
        <v/>
      </c>
      <c r="H1329">
        <f>IF(OR($A1329="",ROUND($F1329+$G1329,2)=0),"",$F1329+$G1329)</f>
        <v/>
      </c>
      <c r="I1329">
        <f>IF($H1329="","",IF(ROUND($F1329,2)&gt;0,$A1329,IF($D1329="شخصی قاسم","شخصی قاسم",IF($D1329="هزینه","هزینه: "&amp;IF($E1329="","متفرقه",$E1329),IF($C1329="پاس چک","چک پرداختی",IF(OR($B1329="",COUNTIF(AcctCodesA,$B1329)=0),"متفرقه",$B1329))))))</f>
        <v/>
      </c>
      <c r="J1329">
        <f>IF($H1329="","",IF(ROUND($F1329,2)&gt;0,IF($D1329="شخصی قاسم","شخصی قاسم",IF($D1329="هزینه","هزینه: "&amp;IF($E1329="","متفرقه",$E1329),IF(OR($B1329="",COUNTIF(AcctCodesA,$B1329)=0),"متفرقه",$B1329))),$A1329))</f>
        <v/>
      </c>
      <c r="K1329">
        <f>IF($A1329="","",IF(AND($B1329&lt;&gt;"",COUNTIF(AcctCodesA,$B1329)=0),"کد طرف در INFO تعریف نشده",IF(AND($D1329="هزینه",$E1329=""),"هزینه بدون زیرگروه",IF(AND($C1329="پاس چک",OR(Sync!$AJ1329="",COUNTIF(IssueNosA,Sync!$AJ1329)=0)),"شماره چک پاس‌شده معتبر نیست",""))))</f>
        <v/>
      </c>
      <c r="V1329">
        <f>IF($K1329="","",IF(ISNUMBER(Sync!$AK1329),Sync!$AK1329,LEFT(Sync!$AK1329,4)&amp;MID(Sync!$AK1329,6,2)&amp;RIGHT(Sync!$AK1329,2))&amp;"|"&amp;"4"&amp;RIGHT("00000"&amp;1324,5))</f>
        <v/>
      </c>
      <c r="W1329">
        <f>IF($V1329="",0,COUNTIFS($V$6:$V$2005,"&lt;"&amp;$V1329)-COUNTIFS($V$6:$V$2005,"&lt;"&amp;$V1329,$K$6:$K$2005,"")+1)</f>
        <v/>
      </c>
    </row>
    <row r="1330">
      <c r="A1330">
        <f>IF(Sync!$Z1330="","",LEFT(UPPER(TRIM(Sync!$Z1330)),6))</f>
        <v/>
      </c>
      <c r="B1330">
        <f>IF($A1330="","",IF(Sync!$AA1330="","",Sync!$AA1330))</f>
        <v/>
      </c>
      <c r="C1330">
        <f>IF($A1330="","",IF(Sync!$AB1330="","",Sync!$AB1330))</f>
        <v/>
      </c>
      <c r="D1330">
        <f>IF($A1330="","",IF(Sync!$AC1330="","",Sync!$AC1330))</f>
        <v/>
      </c>
      <c r="E1330">
        <f>IF($A1330="","",IF(Sync!$AD1330="","",Sync!$AD1330))</f>
        <v/>
      </c>
      <c r="F1330">
        <f>IF($A1330="","",IF(Sync!$AE1330="",0,Sync!$AE1330))</f>
        <v/>
      </c>
      <c r="G1330">
        <f>IF($A1330="","",IF(Sync!$AF1330="",0,Sync!$AF1330))</f>
        <v/>
      </c>
      <c r="H1330">
        <f>IF(OR($A1330="",ROUND($F1330+$G1330,2)=0),"",$F1330+$G1330)</f>
        <v/>
      </c>
      <c r="I1330">
        <f>IF($H1330="","",IF(ROUND($F1330,2)&gt;0,$A1330,IF($D1330="شخصی قاسم","شخصی قاسم",IF($D1330="هزینه","هزینه: "&amp;IF($E1330="","متفرقه",$E1330),IF($C1330="پاس چک","چک پرداختی",IF(OR($B1330="",COUNTIF(AcctCodesA,$B1330)=0),"متفرقه",$B1330))))))</f>
        <v/>
      </c>
      <c r="J1330">
        <f>IF($H1330="","",IF(ROUND($F1330,2)&gt;0,IF($D1330="شخصی قاسم","شخصی قاسم",IF($D1330="هزینه","هزینه: "&amp;IF($E1330="","متفرقه",$E1330),IF(OR($B1330="",COUNTIF(AcctCodesA,$B1330)=0),"متفرقه",$B1330))),$A1330))</f>
        <v/>
      </c>
      <c r="K1330">
        <f>IF($A1330="","",IF(AND($B1330&lt;&gt;"",COUNTIF(AcctCodesA,$B1330)=0),"کد طرف در INFO تعریف نشده",IF(AND($D1330="هزینه",$E1330=""),"هزینه بدون زیرگروه",IF(AND($C1330="پاس چک",OR(Sync!$AJ1330="",COUNTIF(IssueNosA,Sync!$AJ1330)=0)),"شماره چک پاس‌شده معتبر نیست",""))))</f>
        <v/>
      </c>
      <c r="V1330">
        <f>IF($K1330="","",IF(ISNUMBER(Sync!$AK1330),Sync!$AK1330,LEFT(Sync!$AK1330,4)&amp;MID(Sync!$AK1330,6,2)&amp;RIGHT(Sync!$AK1330,2))&amp;"|"&amp;"4"&amp;RIGHT("00000"&amp;1325,5))</f>
        <v/>
      </c>
      <c r="W1330">
        <f>IF($V1330="",0,COUNTIFS($V$6:$V$2005,"&lt;"&amp;$V1330)-COUNTIFS($V$6:$V$2005,"&lt;"&amp;$V1330,$K$6:$K$2005,"")+1)</f>
        <v/>
      </c>
    </row>
    <row r="1331">
      <c r="A1331">
        <f>IF(Sync!$Z1331="","",LEFT(UPPER(TRIM(Sync!$Z1331)),6))</f>
        <v/>
      </c>
      <c r="B1331">
        <f>IF($A1331="","",IF(Sync!$AA1331="","",Sync!$AA1331))</f>
        <v/>
      </c>
      <c r="C1331">
        <f>IF($A1331="","",IF(Sync!$AB1331="","",Sync!$AB1331))</f>
        <v/>
      </c>
      <c r="D1331">
        <f>IF($A1331="","",IF(Sync!$AC1331="","",Sync!$AC1331))</f>
        <v/>
      </c>
      <c r="E1331">
        <f>IF($A1331="","",IF(Sync!$AD1331="","",Sync!$AD1331))</f>
        <v/>
      </c>
      <c r="F1331">
        <f>IF($A1331="","",IF(Sync!$AE1331="",0,Sync!$AE1331))</f>
        <v/>
      </c>
      <c r="G1331">
        <f>IF($A1331="","",IF(Sync!$AF1331="",0,Sync!$AF1331))</f>
        <v/>
      </c>
      <c r="H1331">
        <f>IF(OR($A1331="",ROUND($F1331+$G1331,2)=0),"",$F1331+$G1331)</f>
        <v/>
      </c>
      <c r="I1331">
        <f>IF($H1331="","",IF(ROUND($F1331,2)&gt;0,$A1331,IF($D1331="شخصی قاسم","شخصی قاسم",IF($D1331="هزینه","هزینه: "&amp;IF($E1331="","متفرقه",$E1331),IF($C1331="پاس چک","چک پرداختی",IF(OR($B1331="",COUNTIF(AcctCodesA,$B1331)=0),"متفرقه",$B1331))))))</f>
        <v/>
      </c>
      <c r="J1331">
        <f>IF($H1331="","",IF(ROUND($F1331,2)&gt;0,IF($D1331="شخصی قاسم","شخصی قاسم",IF($D1331="هزینه","هزینه: "&amp;IF($E1331="","متفرقه",$E1331),IF(OR($B1331="",COUNTIF(AcctCodesA,$B1331)=0),"متفرقه",$B1331))),$A1331))</f>
        <v/>
      </c>
      <c r="K1331">
        <f>IF($A1331="","",IF(AND($B1331&lt;&gt;"",COUNTIF(AcctCodesA,$B1331)=0),"کد طرف در INFO تعریف نشده",IF(AND($D1331="هزینه",$E1331=""),"هزینه بدون زیرگروه",IF(AND($C1331="پاس چک",OR(Sync!$AJ1331="",COUNTIF(IssueNosA,Sync!$AJ1331)=0)),"شماره چک پاس‌شده معتبر نیست",""))))</f>
        <v/>
      </c>
      <c r="V1331">
        <f>IF($K1331="","",IF(ISNUMBER(Sync!$AK1331),Sync!$AK1331,LEFT(Sync!$AK1331,4)&amp;MID(Sync!$AK1331,6,2)&amp;RIGHT(Sync!$AK1331,2))&amp;"|"&amp;"4"&amp;RIGHT("00000"&amp;1326,5))</f>
        <v/>
      </c>
      <c r="W1331">
        <f>IF($V1331="",0,COUNTIFS($V$6:$V$2005,"&lt;"&amp;$V1331)-COUNTIFS($V$6:$V$2005,"&lt;"&amp;$V1331,$K$6:$K$2005,"")+1)</f>
        <v/>
      </c>
    </row>
    <row r="1332">
      <c r="A1332">
        <f>IF(Sync!$Z1332="","",LEFT(UPPER(TRIM(Sync!$Z1332)),6))</f>
        <v/>
      </c>
      <c r="B1332">
        <f>IF($A1332="","",IF(Sync!$AA1332="","",Sync!$AA1332))</f>
        <v/>
      </c>
      <c r="C1332">
        <f>IF($A1332="","",IF(Sync!$AB1332="","",Sync!$AB1332))</f>
        <v/>
      </c>
      <c r="D1332">
        <f>IF($A1332="","",IF(Sync!$AC1332="","",Sync!$AC1332))</f>
        <v/>
      </c>
      <c r="E1332">
        <f>IF($A1332="","",IF(Sync!$AD1332="","",Sync!$AD1332))</f>
        <v/>
      </c>
      <c r="F1332">
        <f>IF($A1332="","",IF(Sync!$AE1332="",0,Sync!$AE1332))</f>
        <v/>
      </c>
      <c r="G1332">
        <f>IF($A1332="","",IF(Sync!$AF1332="",0,Sync!$AF1332))</f>
        <v/>
      </c>
      <c r="H1332">
        <f>IF(OR($A1332="",ROUND($F1332+$G1332,2)=0),"",$F1332+$G1332)</f>
        <v/>
      </c>
      <c r="I1332">
        <f>IF($H1332="","",IF(ROUND($F1332,2)&gt;0,$A1332,IF($D1332="شخصی قاسم","شخصی قاسم",IF($D1332="هزینه","هزینه: "&amp;IF($E1332="","متفرقه",$E1332),IF($C1332="پاس چک","چک پرداختی",IF(OR($B1332="",COUNTIF(AcctCodesA,$B1332)=0),"متفرقه",$B1332))))))</f>
        <v/>
      </c>
      <c r="J1332">
        <f>IF($H1332="","",IF(ROUND($F1332,2)&gt;0,IF($D1332="شخصی قاسم","شخصی قاسم",IF($D1332="هزینه","هزینه: "&amp;IF($E1332="","متفرقه",$E1332),IF(OR($B1332="",COUNTIF(AcctCodesA,$B1332)=0),"متفرقه",$B1332))),$A1332))</f>
        <v/>
      </c>
      <c r="K1332">
        <f>IF($A1332="","",IF(AND($B1332&lt;&gt;"",COUNTIF(AcctCodesA,$B1332)=0),"کد طرف در INFO تعریف نشده",IF(AND($D1332="هزینه",$E1332=""),"هزینه بدون زیرگروه",IF(AND($C1332="پاس چک",OR(Sync!$AJ1332="",COUNTIF(IssueNosA,Sync!$AJ1332)=0)),"شماره چک پاس‌شده معتبر نیست",""))))</f>
        <v/>
      </c>
      <c r="V1332">
        <f>IF($K1332="","",IF(ISNUMBER(Sync!$AK1332),Sync!$AK1332,LEFT(Sync!$AK1332,4)&amp;MID(Sync!$AK1332,6,2)&amp;RIGHT(Sync!$AK1332,2))&amp;"|"&amp;"4"&amp;RIGHT("00000"&amp;1327,5))</f>
        <v/>
      </c>
      <c r="W1332">
        <f>IF($V1332="",0,COUNTIFS($V$6:$V$2005,"&lt;"&amp;$V1332)-COUNTIFS($V$6:$V$2005,"&lt;"&amp;$V1332,$K$6:$K$2005,"")+1)</f>
        <v/>
      </c>
    </row>
    <row r="1333">
      <c r="A1333">
        <f>IF(Sync!$Z1333="","",LEFT(UPPER(TRIM(Sync!$Z1333)),6))</f>
        <v/>
      </c>
      <c r="B1333">
        <f>IF($A1333="","",IF(Sync!$AA1333="","",Sync!$AA1333))</f>
        <v/>
      </c>
      <c r="C1333">
        <f>IF($A1333="","",IF(Sync!$AB1333="","",Sync!$AB1333))</f>
        <v/>
      </c>
      <c r="D1333">
        <f>IF($A1333="","",IF(Sync!$AC1333="","",Sync!$AC1333))</f>
        <v/>
      </c>
      <c r="E1333">
        <f>IF($A1333="","",IF(Sync!$AD1333="","",Sync!$AD1333))</f>
        <v/>
      </c>
      <c r="F1333">
        <f>IF($A1333="","",IF(Sync!$AE1333="",0,Sync!$AE1333))</f>
        <v/>
      </c>
      <c r="G1333">
        <f>IF($A1333="","",IF(Sync!$AF1333="",0,Sync!$AF1333))</f>
        <v/>
      </c>
      <c r="H1333">
        <f>IF(OR($A1333="",ROUND($F1333+$G1333,2)=0),"",$F1333+$G1333)</f>
        <v/>
      </c>
      <c r="I1333">
        <f>IF($H1333="","",IF(ROUND($F1333,2)&gt;0,$A1333,IF($D1333="شخصی قاسم","شخصی قاسم",IF($D1333="هزینه","هزینه: "&amp;IF($E1333="","متفرقه",$E1333),IF($C1333="پاس چک","چک پرداختی",IF(OR($B1333="",COUNTIF(AcctCodesA,$B1333)=0),"متفرقه",$B1333))))))</f>
        <v/>
      </c>
      <c r="J1333">
        <f>IF($H1333="","",IF(ROUND($F1333,2)&gt;0,IF($D1333="شخصی قاسم","شخصی قاسم",IF($D1333="هزینه","هزینه: "&amp;IF($E1333="","متفرقه",$E1333),IF(OR($B1333="",COUNTIF(AcctCodesA,$B1333)=0),"متفرقه",$B1333))),$A1333))</f>
        <v/>
      </c>
      <c r="K1333">
        <f>IF($A1333="","",IF(AND($B1333&lt;&gt;"",COUNTIF(AcctCodesA,$B1333)=0),"کد طرف در INFO تعریف نشده",IF(AND($D1333="هزینه",$E1333=""),"هزینه بدون زیرگروه",IF(AND($C1333="پاس چک",OR(Sync!$AJ1333="",COUNTIF(IssueNosA,Sync!$AJ1333)=0)),"شماره چک پاس‌شده معتبر نیست",""))))</f>
        <v/>
      </c>
      <c r="V1333">
        <f>IF($K1333="","",IF(ISNUMBER(Sync!$AK1333),Sync!$AK1333,LEFT(Sync!$AK1333,4)&amp;MID(Sync!$AK1333,6,2)&amp;RIGHT(Sync!$AK1333,2))&amp;"|"&amp;"4"&amp;RIGHT("00000"&amp;1328,5))</f>
        <v/>
      </c>
      <c r="W1333">
        <f>IF($V1333="",0,COUNTIFS($V$6:$V$2005,"&lt;"&amp;$V1333)-COUNTIFS($V$6:$V$2005,"&lt;"&amp;$V1333,$K$6:$K$2005,"")+1)</f>
        <v/>
      </c>
    </row>
    <row r="1334">
      <c r="A1334">
        <f>IF(Sync!$Z1334="","",LEFT(UPPER(TRIM(Sync!$Z1334)),6))</f>
        <v/>
      </c>
      <c r="B1334">
        <f>IF($A1334="","",IF(Sync!$AA1334="","",Sync!$AA1334))</f>
        <v/>
      </c>
      <c r="C1334">
        <f>IF($A1334="","",IF(Sync!$AB1334="","",Sync!$AB1334))</f>
        <v/>
      </c>
      <c r="D1334">
        <f>IF($A1334="","",IF(Sync!$AC1334="","",Sync!$AC1334))</f>
        <v/>
      </c>
      <c r="E1334">
        <f>IF($A1334="","",IF(Sync!$AD1334="","",Sync!$AD1334))</f>
        <v/>
      </c>
      <c r="F1334">
        <f>IF($A1334="","",IF(Sync!$AE1334="",0,Sync!$AE1334))</f>
        <v/>
      </c>
      <c r="G1334">
        <f>IF($A1334="","",IF(Sync!$AF1334="",0,Sync!$AF1334))</f>
        <v/>
      </c>
      <c r="H1334">
        <f>IF(OR($A1334="",ROUND($F1334+$G1334,2)=0),"",$F1334+$G1334)</f>
        <v/>
      </c>
      <c r="I1334">
        <f>IF($H1334="","",IF(ROUND($F1334,2)&gt;0,$A1334,IF($D1334="شخصی قاسم","شخصی قاسم",IF($D1334="هزینه","هزینه: "&amp;IF($E1334="","متفرقه",$E1334),IF($C1334="پاس چک","چک پرداختی",IF(OR($B1334="",COUNTIF(AcctCodesA,$B1334)=0),"متفرقه",$B1334))))))</f>
        <v/>
      </c>
      <c r="J1334">
        <f>IF($H1334="","",IF(ROUND($F1334,2)&gt;0,IF($D1334="شخصی قاسم","شخصی قاسم",IF($D1334="هزینه","هزینه: "&amp;IF($E1334="","متفرقه",$E1334),IF(OR($B1334="",COUNTIF(AcctCodesA,$B1334)=0),"متفرقه",$B1334))),$A1334))</f>
        <v/>
      </c>
      <c r="K1334">
        <f>IF($A1334="","",IF(AND($B1334&lt;&gt;"",COUNTIF(AcctCodesA,$B1334)=0),"کد طرف در INFO تعریف نشده",IF(AND($D1334="هزینه",$E1334=""),"هزینه بدون زیرگروه",IF(AND($C1334="پاس چک",OR(Sync!$AJ1334="",COUNTIF(IssueNosA,Sync!$AJ1334)=0)),"شماره چک پاس‌شده معتبر نیست",""))))</f>
        <v/>
      </c>
      <c r="V1334">
        <f>IF($K1334="","",IF(ISNUMBER(Sync!$AK1334),Sync!$AK1334,LEFT(Sync!$AK1334,4)&amp;MID(Sync!$AK1334,6,2)&amp;RIGHT(Sync!$AK1334,2))&amp;"|"&amp;"4"&amp;RIGHT("00000"&amp;1329,5))</f>
        <v/>
      </c>
      <c r="W1334">
        <f>IF($V1334="",0,COUNTIFS($V$6:$V$2005,"&lt;"&amp;$V1334)-COUNTIFS($V$6:$V$2005,"&lt;"&amp;$V1334,$K$6:$K$2005,"")+1)</f>
        <v/>
      </c>
    </row>
    <row r="1335">
      <c r="A1335">
        <f>IF(Sync!$Z1335="","",LEFT(UPPER(TRIM(Sync!$Z1335)),6))</f>
        <v/>
      </c>
      <c r="B1335">
        <f>IF($A1335="","",IF(Sync!$AA1335="","",Sync!$AA1335))</f>
        <v/>
      </c>
      <c r="C1335">
        <f>IF($A1335="","",IF(Sync!$AB1335="","",Sync!$AB1335))</f>
        <v/>
      </c>
      <c r="D1335">
        <f>IF($A1335="","",IF(Sync!$AC1335="","",Sync!$AC1335))</f>
        <v/>
      </c>
      <c r="E1335">
        <f>IF($A1335="","",IF(Sync!$AD1335="","",Sync!$AD1335))</f>
        <v/>
      </c>
      <c r="F1335">
        <f>IF($A1335="","",IF(Sync!$AE1335="",0,Sync!$AE1335))</f>
        <v/>
      </c>
      <c r="G1335">
        <f>IF($A1335="","",IF(Sync!$AF1335="",0,Sync!$AF1335))</f>
        <v/>
      </c>
      <c r="H1335">
        <f>IF(OR($A1335="",ROUND($F1335+$G1335,2)=0),"",$F1335+$G1335)</f>
        <v/>
      </c>
      <c r="I1335">
        <f>IF($H1335="","",IF(ROUND($F1335,2)&gt;0,$A1335,IF($D1335="شخصی قاسم","شخصی قاسم",IF($D1335="هزینه","هزینه: "&amp;IF($E1335="","متفرقه",$E1335),IF($C1335="پاس چک","چک پرداختی",IF(OR($B1335="",COUNTIF(AcctCodesA,$B1335)=0),"متفرقه",$B1335))))))</f>
        <v/>
      </c>
      <c r="J1335">
        <f>IF($H1335="","",IF(ROUND($F1335,2)&gt;0,IF($D1335="شخصی قاسم","شخصی قاسم",IF($D1335="هزینه","هزینه: "&amp;IF($E1335="","متفرقه",$E1335),IF(OR($B1335="",COUNTIF(AcctCodesA,$B1335)=0),"متفرقه",$B1335))),$A1335))</f>
        <v/>
      </c>
      <c r="K1335">
        <f>IF($A1335="","",IF(AND($B1335&lt;&gt;"",COUNTIF(AcctCodesA,$B1335)=0),"کد طرف در INFO تعریف نشده",IF(AND($D1335="هزینه",$E1335=""),"هزینه بدون زیرگروه",IF(AND($C1335="پاس چک",OR(Sync!$AJ1335="",COUNTIF(IssueNosA,Sync!$AJ1335)=0)),"شماره چک پاس‌شده معتبر نیست",""))))</f>
        <v/>
      </c>
      <c r="V1335">
        <f>IF($K1335="","",IF(ISNUMBER(Sync!$AK1335),Sync!$AK1335,LEFT(Sync!$AK1335,4)&amp;MID(Sync!$AK1335,6,2)&amp;RIGHT(Sync!$AK1335,2))&amp;"|"&amp;"4"&amp;RIGHT("00000"&amp;1330,5))</f>
        <v/>
      </c>
      <c r="W1335">
        <f>IF($V1335="",0,COUNTIFS($V$6:$V$2005,"&lt;"&amp;$V1335)-COUNTIFS($V$6:$V$2005,"&lt;"&amp;$V1335,$K$6:$K$2005,"")+1)</f>
        <v/>
      </c>
    </row>
    <row r="1336">
      <c r="A1336">
        <f>IF(Sync!$Z1336="","",LEFT(UPPER(TRIM(Sync!$Z1336)),6))</f>
        <v/>
      </c>
      <c r="B1336">
        <f>IF($A1336="","",IF(Sync!$AA1336="","",Sync!$AA1336))</f>
        <v/>
      </c>
      <c r="C1336">
        <f>IF($A1336="","",IF(Sync!$AB1336="","",Sync!$AB1336))</f>
        <v/>
      </c>
      <c r="D1336">
        <f>IF($A1336="","",IF(Sync!$AC1336="","",Sync!$AC1336))</f>
        <v/>
      </c>
      <c r="E1336">
        <f>IF($A1336="","",IF(Sync!$AD1336="","",Sync!$AD1336))</f>
        <v/>
      </c>
      <c r="F1336">
        <f>IF($A1336="","",IF(Sync!$AE1336="",0,Sync!$AE1336))</f>
        <v/>
      </c>
      <c r="G1336">
        <f>IF($A1336="","",IF(Sync!$AF1336="",0,Sync!$AF1336))</f>
        <v/>
      </c>
      <c r="H1336">
        <f>IF(OR($A1336="",ROUND($F1336+$G1336,2)=0),"",$F1336+$G1336)</f>
        <v/>
      </c>
      <c r="I1336">
        <f>IF($H1336="","",IF(ROUND($F1336,2)&gt;0,$A1336,IF($D1336="شخصی قاسم","شخصی قاسم",IF($D1336="هزینه","هزینه: "&amp;IF($E1336="","متفرقه",$E1336),IF($C1336="پاس چک","چک پرداختی",IF(OR($B1336="",COUNTIF(AcctCodesA,$B1336)=0),"متفرقه",$B1336))))))</f>
        <v/>
      </c>
      <c r="J1336">
        <f>IF($H1336="","",IF(ROUND($F1336,2)&gt;0,IF($D1336="شخصی قاسم","شخصی قاسم",IF($D1336="هزینه","هزینه: "&amp;IF($E1336="","متفرقه",$E1336),IF(OR($B1336="",COUNTIF(AcctCodesA,$B1336)=0),"متفرقه",$B1336))),$A1336))</f>
        <v/>
      </c>
      <c r="K1336">
        <f>IF($A1336="","",IF(AND($B1336&lt;&gt;"",COUNTIF(AcctCodesA,$B1336)=0),"کد طرف در INFO تعریف نشده",IF(AND($D1336="هزینه",$E1336=""),"هزینه بدون زیرگروه",IF(AND($C1336="پاس چک",OR(Sync!$AJ1336="",COUNTIF(IssueNosA,Sync!$AJ1336)=0)),"شماره چک پاس‌شده معتبر نیست",""))))</f>
        <v/>
      </c>
      <c r="V1336">
        <f>IF($K1336="","",IF(ISNUMBER(Sync!$AK1336),Sync!$AK1336,LEFT(Sync!$AK1336,4)&amp;MID(Sync!$AK1336,6,2)&amp;RIGHT(Sync!$AK1336,2))&amp;"|"&amp;"4"&amp;RIGHT("00000"&amp;1331,5))</f>
        <v/>
      </c>
      <c r="W1336">
        <f>IF($V1336="",0,COUNTIFS($V$6:$V$2005,"&lt;"&amp;$V1336)-COUNTIFS($V$6:$V$2005,"&lt;"&amp;$V1336,$K$6:$K$2005,"")+1)</f>
        <v/>
      </c>
    </row>
    <row r="1337">
      <c r="A1337">
        <f>IF(Sync!$Z1337="","",LEFT(UPPER(TRIM(Sync!$Z1337)),6))</f>
        <v/>
      </c>
      <c r="B1337">
        <f>IF($A1337="","",IF(Sync!$AA1337="","",Sync!$AA1337))</f>
        <v/>
      </c>
      <c r="C1337">
        <f>IF($A1337="","",IF(Sync!$AB1337="","",Sync!$AB1337))</f>
        <v/>
      </c>
      <c r="D1337">
        <f>IF($A1337="","",IF(Sync!$AC1337="","",Sync!$AC1337))</f>
        <v/>
      </c>
      <c r="E1337">
        <f>IF($A1337="","",IF(Sync!$AD1337="","",Sync!$AD1337))</f>
        <v/>
      </c>
      <c r="F1337">
        <f>IF($A1337="","",IF(Sync!$AE1337="",0,Sync!$AE1337))</f>
        <v/>
      </c>
      <c r="G1337">
        <f>IF($A1337="","",IF(Sync!$AF1337="",0,Sync!$AF1337))</f>
        <v/>
      </c>
      <c r="H1337">
        <f>IF(OR($A1337="",ROUND($F1337+$G1337,2)=0),"",$F1337+$G1337)</f>
        <v/>
      </c>
      <c r="I1337">
        <f>IF($H1337="","",IF(ROUND($F1337,2)&gt;0,$A1337,IF($D1337="شخصی قاسم","شخصی قاسم",IF($D1337="هزینه","هزینه: "&amp;IF($E1337="","متفرقه",$E1337),IF($C1337="پاس چک","چک پرداختی",IF(OR($B1337="",COUNTIF(AcctCodesA,$B1337)=0),"متفرقه",$B1337))))))</f>
        <v/>
      </c>
      <c r="J1337">
        <f>IF($H1337="","",IF(ROUND($F1337,2)&gt;0,IF($D1337="شخصی قاسم","شخصی قاسم",IF($D1337="هزینه","هزینه: "&amp;IF($E1337="","متفرقه",$E1337),IF(OR($B1337="",COUNTIF(AcctCodesA,$B1337)=0),"متفرقه",$B1337))),$A1337))</f>
        <v/>
      </c>
      <c r="K1337">
        <f>IF($A1337="","",IF(AND($B1337&lt;&gt;"",COUNTIF(AcctCodesA,$B1337)=0),"کد طرف در INFO تعریف نشده",IF(AND($D1337="هزینه",$E1337=""),"هزینه بدون زیرگروه",IF(AND($C1337="پاس چک",OR(Sync!$AJ1337="",COUNTIF(IssueNosA,Sync!$AJ1337)=0)),"شماره چک پاس‌شده معتبر نیست",""))))</f>
        <v/>
      </c>
      <c r="V1337">
        <f>IF($K1337="","",IF(ISNUMBER(Sync!$AK1337),Sync!$AK1337,LEFT(Sync!$AK1337,4)&amp;MID(Sync!$AK1337,6,2)&amp;RIGHT(Sync!$AK1337,2))&amp;"|"&amp;"4"&amp;RIGHT("00000"&amp;1332,5))</f>
        <v/>
      </c>
      <c r="W1337">
        <f>IF($V1337="",0,COUNTIFS($V$6:$V$2005,"&lt;"&amp;$V1337)-COUNTIFS($V$6:$V$2005,"&lt;"&amp;$V1337,$K$6:$K$2005,"")+1)</f>
        <v/>
      </c>
    </row>
    <row r="1338">
      <c r="A1338">
        <f>IF(Sync!$Z1338="","",LEFT(UPPER(TRIM(Sync!$Z1338)),6))</f>
        <v/>
      </c>
      <c r="B1338">
        <f>IF($A1338="","",IF(Sync!$AA1338="","",Sync!$AA1338))</f>
        <v/>
      </c>
      <c r="C1338">
        <f>IF($A1338="","",IF(Sync!$AB1338="","",Sync!$AB1338))</f>
        <v/>
      </c>
      <c r="D1338">
        <f>IF($A1338="","",IF(Sync!$AC1338="","",Sync!$AC1338))</f>
        <v/>
      </c>
      <c r="E1338">
        <f>IF($A1338="","",IF(Sync!$AD1338="","",Sync!$AD1338))</f>
        <v/>
      </c>
      <c r="F1338">
        <f>IF($A1338="","",IF(Sync!$AE1338="",0,Sync!$AE1338))</f>
        <v/>
      </c>
      <c r="G1338">
        <f>IF($A1338="","",IF(Sync!$AF1338="",0,Sync!$AF1338))</f>
        <v/>
      </c>
      <c r="H1338">
        <f>IF(OR($A1338="",ROUND($F1338+$G1338,2)=0),"",$F1338+$G1338)</f>
        <v/>
      </c>
      <c r="I1338">
        <f>IF($H1338="","",IF(ROUND($F1338,2)&gt;0,$A1338,IF($D1338="شخصی قاسم","شخصی قاسم",IF($D1338="هزینه","هزینه: "&amp;IF($E1338="","متفرقه",$E1338),IF($C1338="پاس چک","چک پرداختی",IF(OR($B1338="",COUNTIF(AcctCodesA,$B1338)=0),"متفرقه",$B1338))))))</f>
        <v/>
      </c>
      <c r="J1338">
        <f>IF($H1338="","",IF(ROUND($F1338,2)&gt;0,IF($D1338="شخصی قاسم","شخصی قاسم",IF($D1338="هزینه","هزینه: "&amp;IF($E1338="","متفرقه",$E1338),IF(OR($B1338="",COUNTIF(AcctCodesA,$B1338)=0),"متفرقه",$B1338))),$A1338))</f>
        <v/>
      </c>
      <c r="K1338">
        <f>IF($A1338="","",IF(AND($B1338&lt;&gt;"",COUNTIF(AcctCodesA,$B1338)=0),"کد طرف در INFO تعریف نشده",IF(AND($D1338="هزینه",$E1338=""),"هزینه بدون زیرگروه",IF(AND($C1338="پاس چک",OR(Sync!$AJ1338="",COUNTIF(IssueNosA,Sync!$AJ1338)=0)),"شماره چک پاس‌شده معتبر نیست",""))))</f>
        <v/>
      </c>
      <c r="V1338">
        <f>IF($K1338="","",IF(ISNUMBER(Sync!$AK1338),Sync!$AK1338,LEFT(Sync!$AK1338,4)&amp;MID(Sync!$AK1338,6,2)&amp;RIGHT(Sync!$AK1338,2))&amp;"|"&amp;"4"&amp;RIGHT("00000"&amp;1333,5))</f>
        <v/>
      </c>
      <c r="W1338">
        <f>IF($V1338="",0,COUNTIFS($V$6:$V$2005,"&lt;"&amp;$V1338)-COUNTIFS($V$6:$V$2005,"&lt;"&amp;$V1338,$K$6:$K$2005,"")+1)</f>
        <v/>
      </c>
    </row>
    <row r="1339">
      <c r="A1339">
        <f>IF(Sync!$Z1339="","",LEFT(UPPER(TRIM(Sync!$Z1339)),6))</f>
        <v/>
      </c>
      <c r="B1339">
        <f>IF($A1339="","",IF(Sync!$AA1339="","",Sync!$AA1339))</f>
        <v/>
      </c>
      <c r="C1339">
        <f>IF($A1339="","",IF(Sync!$AB1339="","",Sync!$AB1339))</f>
        <v/>
      </c>
      <c r="D1339">
        <f>IF($A1339="","",IF(Sync!$AC1339="","",Sync!$AC1339))</f>
        <v/>
      </c>
      <c r="E1339">
        <f>IF($A1339="","",IF(Sync!$AD1339="","",Sync!$AD1339))</f>
        <v/>
      </c>
      <c r="F1339">
        <f>IF($A1339="","",IF(Sync!$AE1339="",0,Sync!$AE1339))</f>
        <v/>
      </c>
      <c r="G1339">
        <f>IF($A1339="","",IF(Sync!$AF1339="",0,Sync!$AF1339))</f>
        <v/>
      </c>
      <c r="H1339">
        <f>IF(OR($A1339="",ROUND($F1339+$G1339,2)=0),"",$F1339+$G1339)</f>
        <v/>
      </c>
      <c r="I1339">
        <f>IF($H1339="","",IF(ROUND($F1339,2)&gt;0,$A1339,IF($D1339="شخصی قاسم","شخصی قاسم",IF($D1339="هزینه","هزینه: "&amp;IF($E1339="","متفرقه",$E1339),IF($C1339="پاس چک","چک پرداختی",IF(OR($B1339="",COUNTIF(AcctCodesA,$B1339)=0),"متفرقه",$B1339))))))</f>
        <v/>
      </c>
      <c r="J1339">
        <f>IF($H1339="","",IF(ROUND($F1339,2)&gt;0,IF($D1339="شخصی قاسم","شخصی قاسم",IF($D1339="هزینه","هزینه: "&amp;IF($E1339="","متفرقه",$E1339),IF(OR($B1339="",COUNTIF(AcctCodesA,$B1339)=0),"متفرقه",$B1339))),$A1339))</f>
        <v/>
      </c>
      <c r="K1339">
        <f>IF($A1339="","",IF(AND($B1339&lt;&gt;"",COUNTIF(AcctCodesA,$B1339)=0),"کد طرف در INFO تعریف نشده",IF(AND($D1339="هزینه",$E1339=""),"هزینه بدون زیرگروه",IF(AND($C1339="پاس چک",OR(Sync!$AJ1339="",COUNTIF(IssueNosA,Sync!$AJ1339)=0)),"شماره چک پاس‌شده معتبر نیست",""))))</f>
        <v/>
      </c>
      <c r="V1339">
        <f>IF($K1339="","",IF(ISNUMBER(Sync!$AK1339),Sync!$AK1339,LEFT(Sync!$AK1339,4)&amp;MID(Sync!$AK1339,6,2)&amp;RIGHT(Sync!$AK1339,2))&amp;"|"&amp;"4"&amp;RIGHT("00000"&amp;1334,5))</f>
        <v/>
      </c>
      <c r="W1339">
        <f>IF($V1339="",0,COUNTIFS($V$6:$V$2005,"&lt;"&amp;$V1339)-COUNTIFS($V$6:$V$2005,"&lt;"&amp;$V1339,$K$6:$K$2005,"")+1)</f>
        <v/>
      </c>
    </row>
    <row r="1340">
      <c r="A1340">
        <f>IF(Sync!$Z1340="","",LEFT(UPPER(TRIM(Sync!$Z1340)),6))</f>
        <v/>
      </c>
      <c r="B1340">
        <f>IF($A1340="","",IF(Sync!$AA1340="","",Sync!$AA1340))</f>
        <v/>
      </c>
      <c r="C1340">
        <f>IF($A1340="","",IF(Sync!$AB1340="","",Sync!$AB1340))</f>
        <v/>
      </c>
      <c r="D1340">
        <f>IF($A1340="","",IF(Sync!$AC1340="","",Sync!$AC1340))</f>
        <v/>
      </c>
      <c r="E1340">
        <f>IF($A1340="","",IF(Sync!$AD1340="","",Sync!$AD1340))</f>
        <v/>
      </c>
      <c r="F1340">
        <f>IF($A1340="","",IF(Sync!$AE1340="",0,Sync!$AE1340))</f>
        <v/>
      </c>
      <c r="G1340">
        <f>IF($A1340="","",IF(Sync!$AF1340="",0,Sync!$AF1340))</f>
        <v/>
      </c>
      <c r="H1340">
        <f>IF(OR($A1340="",ROUND($F1340+$G1340,2)=0),"",$F1340+$G1340)</f>
        <v/>
      </c>
      <c r="I1340">
        <f>IF($H1340="","",IF(ROUND($F1340,2)&gt;0,$A1340,IF($D1340="شخصی قاسم","شخصی قاسم",IF($D1340="هزینه","هزینه: "&amp;IF($E1340="","متفرقه",$E1340),IF($C1340="پاس چک","چک پرداختی",IF(OR($B1340="",COUNTIF(AcctCodesA,$B1340)=0),"متفرقه",$B1340))))))</f>
        <v/>
      </c>
      <c r="J1340">
        <f>IF($H1340="","",IF(ROUND($F1340,2)&gt;0,IF($D1340="شخصی قاسم","شخصی قاسم",IF($D1340="هزینه","هزینه: "&amp;IF($E1340="","متفرقه",$E1340),IF(OR($B1340="",COUNTIF(AcctCodesA,$B1340)=0),"متفرقه",$B1340))),$A1340))</f>
        <v/>
      </c>
      <c r="K1340">
        <f>IF($A1340="","",IF(AND($B1340&lt;&gt;"",COUNTIF(AcctCodesA,$B1340)=0),"کد طرف در INFO تعریف نشده",IF(AND($D1340="هزینه",$E1340=""),"هزینه بدون زیرگروه",IF(AND($C1340="پاس چک",OR(Sync!$AJ1340="",COUNTIF(IssueNosA,Sync!$AJ1340)=0)),"شماره چک پاس‌شده معتبر نیست",""))))</f>
        <v/>
      </c>
      <c r="V1340">
        <f>IF($K1340="","",IF(ISNUMBER(Sync!$AK1340),Sync!$AK1340,LEFT(Sync!$AK1340,4)&amp;MID(Sync!$AK1340,6,2)&amp;RIGHT(Sync!$AK1340,2))&amp;"|"&amp;"4"&amp;RIGHT("00000"&amp;1335,5))</f>
        <v/>
      </c>
      <c r="W1340">
        <f>IF($V1340="",0,COUNTIFS($V$6:$V$2005,"&lt;"&amp;$V1340)-COUNTIFS($V$6:$V$2005,"&lt;"&amp;$V1340,$K$6:$K$2005,"")+1)</f>
        <v/>
      </c>
    </row>
    <row r="1341">
      <c r="A1341">
        <f>IF(Sync!$Z1341="","",LEFT(UPPER(TRIM(Sync!$Z1341)),6))</f>
        <v/>
      </c>
      <c r="B1341">
        <f>IF($A1341="","",IF(Sync!$AA1341="","",Sync!$AA1341))</f>
        <v/>
      </c>
      <c r="C1341">
        <f>IF($A1341="","",IF(Sync!$AB1341="","",Sync!$AB1341))</f>
        <v/>
      </c>
      <c r="D1341">
        <f>IF($A1341="","",IF(Sync!$AC1341="","",Sync!$AC1341))</f>
        <v/>
      </c>
      <c r="E1341">
        <f>IF($A1341="","",IF(Sync!$AD1341="","",Sync!$AD1341))</f>
        <v/>
      </c>
      <c r="F1341">
        <f>IF($A1341="","",IF(Sync!$AE1341="",0,Sync!$AE1341))</f>
        <v/>
      </c>
      <c r="G1341">
        <f>IF($A1341="","",IF(Sync!$AF1341="",0,Sync!$AF1341))</f>
        <v/>
      </c>
      <c r="H1341">
        <f>IF(OR($A1341="",ROUND($F1341+$G1341,2)=0),"",$F1341+$G1341)</f>
        <v/>
      </c>
      <c r="I1341">
        <f>IF($H1341="","",IF(ROUND($F1341,2)&gt;0,$A1341,IF($D1341="شخصی قاسم","شخصی قاسم",IF($D1341="هزینه","هزینه: "&amp;IF($E1341="","متفرقه",$E1341),IF($C1341="پاس چک","چک پرداختی",IF(OR($B1341="",COUNTIF(AcctCodesA,$B1341)=0),"متفرقه",$B1341))))))</f>
        <v/>
      </c>
      <c r="J1341">
        <f>IF($H1341="","",IF(ROUND($F1341,2)&gt;0,IF($D1341="شخصی قاسم","شخصی قاسم",IF($D1341="هزینه","هزینه: "&amp;IF($E1341="","متفرقه",$E1341),IF(OR($B1341="",COUNTIF(AcctCodesA,$B1341)=0),"متفرقه",$B1341))),$A1341))</f>
        <v/>
      </c>
      <c r="K1341">
        <f>IF($A1341="","",IF(AND($B1341&lt;&gt;"",COUNTIF(AcctCodesA,$B1341)=0),"کد طرف در INFO تعریف نشده",IF(AND($D1341="هزینه",$E1341=""),"هزینه بدون زیرگروه",IF(AND($C1341="پاس چک",OR(Sync!$AJ1341="",COUNTIF(IssueNosA,Sync!$AJ1341)=0)),"شماره چک پاس‌شده معتبر نیست",""))))</f>
        <v/>
      </c>
      <c r="V1341">
        <f>IF($K1341="","",IF(ISNUMBER(Sync!$AK1341),Sync!$AK1341,LEFT(Sync!$AK1341,4)&amp;MID(Sync!$AK1341,6,2)&amp;RIGHT(Sync!$AK1341,2))&amp;"|"&amp;"4"&amp;RIGHT("00000"&amp;1336,5))</f>
        <v/>
      </c>
      <c r="W1341">
        <f>IF($V1341="",0,COUNTIFS($V$6:$V$2005,"&lt;"&amp;$V1341)-COUNTIFS($V$6:$V$2005,"&lt;"&amp;$V1341,$K$6:$K$2005,"")+1)</f>
        <v/>
      </c>
    </row>
    <row r="1342">
      <c r="A1342">
        <f>IF(Sync!$Z1342="","",LEFT(UPPER(TRIM(Sync!$Z1342)),6))</f>
        <v/>
      </c>
      <c r="B1342">
        <f>IF($A1342="","",IF(Sync!$AA1342="","",Sync!$AA1342))</f>
        <v/>
      </c>
      <c r="C1342">
        <f>IF($A1342="","",IF(Sync!$AB1342="","",Sync!$AB1342))</f>
        <v/>
      </c>
      <c r="D1342">
        <f>IF($A1342="","",IF(Sync!$AC1342="","",Sync!$AC1342))</f>
        <v/>
      </c>
      <c r="E1342">
        <f>IF($A1342="","",IF(Sync!$AD1342="","",Sync!$AD1342))</f>
        <v/>
      </c>
      <c r="F1342">
        <f>IF($A1342="","",IF(Sync!$AE1342="",0,Sync!$AE1342))</f>
        <v/>
      </c>
      <c r="G1342">
        <f>IF($A1342="","",IF(Sync!$AF1342="",0,Sync!$AF1342))</f>
        <v/>
      </c>
      <c r="H1342">
        <f>IF(OR($A1342="",ROUND($F1342+$G1342,2)=0),"",$F1342+$G1342)</f>
        <v/>
      </c>
      <c r="I1342">
        <f>IF($H1342="","",IF(ROUND($F1342,2)&gt;0,$A1342,IF($D1342="شخصی قاسم","شخصی قاسم",IF($D1342="هزینه","هزینه: "&amp;IF($E1342="","متفرقه",$E1342),IF($C1342="پاس چک","چک پرداختی",IF(OR($B1342="",COUNTIF(AcctCodesA,$B1342)=0),"متفرقه",$B1342))))))</f>
        <v/>
      </c>
      <c r="J1342">
        <f>IF($H1342="","",IF(ROUND($F1342,2)&gt;0,IF($D1342="شخصی قاسم","شخصی قاسم",IF($D1342="هزینه","هزینه: "&amp;IF($E1342="","متفرقه",$E1342),IF(OR($B1342="",COUNTIF(AcctCodesA,$B1342)=0),"متفرقه",$B1342))),$A1342))</f>
        <v/>
      </c>
      <c r="K1342">
        <f>IF($A1342="","",IF(AND($B1342&lt;&gt;"",COUNTIF(AcctCodesA,$B1342)=0),"کد طرف در INFO تعریف نشده",IF(AND($D1342="هزینه",$E1342=""),"هزینه بدون زیرگروه",IF(AND($C1342="پاس چک",OR(Sync!$AJ1342="",COUNTIF(IssueNosA,Sync!$AJ1342)=0)),"شماره چک پاس‌شده معتبر نیست",""))))</f>
        <v/>
      </c>
      <c r="V1342">
        <f>IF($K1342="","",IF(ISNUMBER(Sync!$AK1342),Sync!$AK1342,LEFT(Sync!$AK1342,4)&amp;MID(Sync!$AK1342,6,2)&amp;RIGHT(Sync!$AK1342,2))&amp;"|"&amp;"4"&amp;RIGHT("00000"&amp;1337,5))</f>
        <v/>
      </c>
      <c r="W1342">
        <f>IF($V1342="",0,COUNTIFS($V$6:$V$2005,"&lt;"&amp;$V1342)-COUNTIFS($V$6:$V$2005,"&lt;"&amp;$V1342,$K$6:$K$2005,"")+1)</f>
        <v/>
      </c>
    </row>
    <row r="1343">
      <c r="A1343">
        <f>IF(Sync!$Z1343="","",LEFT(UPPER(TRIM(Sync!$Z1343)),6))</f>
        <v/>
      </c>
      <c r="B1343">
        <f>IF($A1343="","",IF(Sync!$AA1343="","",Sync!$AA1343))</f>
        <v/>
      </c>
      <c r="C1343">
        <f>IF($A1343="","",IF(Sync!$AB1343="","",Sync!$AB1343))</f>
        <v/>
      </c>
      <c r="D1343">
        <f>IF($A1343="","",IF(Sync!$AC1343="","",Sync!$AC1343))</f>
        <v/>
      </c>
      <c r="E1343">
        <f>IF($A1343="","",IF(Sync!$AD1343="","",Sync!$AD1343))</f>
        <v/>
      </c>
      <c r="F1343">
        <f>IF($A1343="","",IF(Sync!$AE1343="",0,Sync!$AE1343))</f>
        <v/>
      </c>
      <c r="G1343">
        <f>IF($A1343="","",IF(Sync!$AF1343="",0,Sync!$AF1343))</f>
        <v/>
      </c>
      <c r="H1343">
        <f>IF(OR($A1343="",ROUND($F1343+$G1343,2)=0),"",$F1343+$G1343)</f>
        <v/>
      </c>
      <c r="I1343">
        <f>IF($H1343="","",IF(ROUND($F1343,2)&gt;0,$A1343,IF($D1343="شخصی قاسم","شخصی قاسم",IF($D1343="هزینه","هزینه: "&amp;IF($E1343="","متفرقه",$E1343),IF($C1343="پاس چک","چک پرداختی",IF(OR($B1343="",COUNTIF(AcctCodesA,$B1343)=0),"متفرقه",$B1343))))))</f>
        <v/>
      </c>
      <c r="J1343">
        <f>IF($H1343="","",IF(ROUND($F1343,2)&gt;0,IF($D1343="شخصی قاسم","شخصی قاسم",IF($D1343="هزینه","هزینه: "&amp;IF($E1343="","متفرقه",$E1343),IF(OR($B1343="",COUNTIF(AcctCodesA,$B1343)=0),"متفرقه",$B1343))),$A1343))</f>
        <v/>
      </c>
      <c r="K1343">
        <f>IF($A1343="","",IF(AND($B1343&lt;&gt;"",COUNTIF(AcctCodesA,$B1343)=0),"کد طرف در INFO تعریف نشده",IF(AND($D1343="هزینه",$E1343=""),"هزینه بدون زیرگروه",IF(AND($C1343="پاس چک",OR(Sync!$AJ1343="",COUNTIF(IssueNosA,Sync!$AJ1343)=0)),"شماره چک پاس‌شده معتبر نیست",""))))</f>
        <v/>
      </c>
      <c r="V1343">
        <f>IF($K1343="","",IF(ISNUMBER(Sync!$AK1343),Sync!$AK1343,LEFT(Sync!$AK1343,4)&amp;MID(Sync!$AK1343,6,2)&amp;RIGHT(Sync!$AK1343,2))&amp;"|"&amp;"4"&amp;RIGHT("00000"&amp;1338,5))</f>
        <v/>
      </c>
      <c r="W1343">
        <f>IF($V1343="",0,COUNTIFS($V$6:$V$2005,"&lt;"&amp;$V1343)-COUNTIFS($V$6:$V$2005,"&lt;"&amp;$V1343,$K$6:$K$2005,"")+1)</f>
        <v/>
      </c>
    </row>
    <row r="1344">
      <c r="A1344">
        <f>IF(Sync!$Z1344="","",LEFT(UPPER(TRIM(Sync!$Z1344)),6))</f>
        <v/>
      </c>
      <c r="B1344">
        <f>IF($A1344="","",IF(Sync!$AA1344="","",Sync!$AA1344))</f>
        <v/>
      </c>
      <c r="C1344">
        <f>IF($A1344="","",IF(Sync!$AB1344="","",Sync!$AB1344))</f>
        <v/>
      </c>
      <c r="D1344">
        <f>IF($A1344="","",IF(Sync!$AC1344="","",Sync!$AC1344))</f>
        <v/>
      </c>
      <c r="E1344">
        <f>IF($A1344="","",IF(Sync!$AD1344="","",Sync!$AD1344))</f>
        <v/>
      </c>
      <c r="F1344">
        <f>IF($A1344="","",IF(Sync!$AE1344="",0,Sync!$AE1344))</f>
        <v/>
      </c>
      <c r="G1344">
        <f>IF($A1344="","",IF(Sync!$AF1344="",0,Sync!$AF1344))</f>
        <v/>
      </c>
      <c r="H1344">
        <f>IF(OR($A1344="",ROUND($F1344+$G1344,2)=0),"",$F1344+$G1344)</f>
        <v/>
      </c>
      <c r="I1344">
        <f>IF($H1344="","",IF(ROUND($F1344,2)&gt;0,$A1344,IF($D1344="شخصی قاسم","شخصی قاسم",IF($D1344="هزینه","هزینه: "&amp;IF($E1344="","متفرقه",$E1344),IF($C1344="پاس چک","چک پرداختی",IF(OR($B1344="",COUNTIF(AcctCodesA,$B1344)=0),"متفرقه",$B1344))))))</f>
        <v/>
      </c>
      <c r="J1344">
        <f>IF($H1344="","",IF(ROUND($F1344,2)&gt;0,IF($D1344="شخصی قاسم","شخصی قاسم",IF($D1344="هزینه","هزینه: "&amp;IF($E1344="","متفرقه",$E1344),IF(OR($B1344="",COUNTIF(AcctCodesA,$B1344)=0),"متفرقه",$B1344))),$A1344))</f>
        <v/>
      </c>
      <c r="K1344">
        <f>IF($A1344="","",IF(AND($B1344&lt;&gt;"",COUNTIF(AcctCodesA,$B1344)=0),"کد طرف در INFO تعریف نشده",IF(AND($D1344="هزینه",$E1344=""),"هزینه بدون زیرگروه",IF(AND($C1344="پاس چک",OR(Sync!$AJ1344="",COUNTIF(IssueNosA,Sync!$AJ1344)=0)),"شماره چک پاس‌شده معتبر نیست",""))))</f>
        <v/>
      </c>
      <c r="V1344">
        <f>IF($K1344="","",IF(ISNUMBER(Sync!$AK1344),Sync!$AK1344,LEFT(Sync!$AK1344,4)&amp;MID(Sync!$AK1344,6,2)&amp;RIGHT(Sync!$AK1344,2))&amp;"|"&amp;"4"&amp;RIGHT("00000"&amp;1339,5))</f>
        <v/>
      </c>
      <c r="W1344">
        <f>IF($V1344="",0,COUNTIFS($V$6:$V$2005,"&lt;"&amp;$V1344)-COUNTIFS($V$6:$V$2005,"&lt;"&amp;$V1344,$K$6:$K$2005,"")+1)</f>
        <v/>
      </c>
    </row>
    <row r="1345">
      <c r="A1345">
        <f>IF(Sync!$Z1345="","",LEFT(UPPER(TRIM(Sync!$Z1345)),6))</f>
        <v/>
      </c>
      <c r="B1345">
        <f>IF($A1345="","",IF(Sync!$AA1345="","",Sync!$AA1345))</f>
        <v/>
      </c>
      <c r="C1345">
        <f>IF($A1345="","",IF(Sync!$AB1345="","",Sync!$AB1345))</f>
        <v/>
      </c>
      <c r="D1345">
        <f>IF($A1345="","",IF(Sync!$AC1345="","",Sync!$AC1345))</f>
        <v/>
      </c>
      <c r="E1345">
        <f>IF($A1345="","",IF(Sync!$AD1345="","",Sync!$AD1345))</f>
        <v/>
      </c>
      <c r="F1345">
        <f>IF($A1345="","",IF(Sync!$AE1345="",0,Sync!$AE1345))</f>
        <v/>
      </c>
      <c r="G1345">
        <f>IF($A1345="","",IF(Sync!$AF1345="",0,Sync!$AF1345))</f>
        <v/>
      </c>
      <c r="H1345">
        <f>IF(OR($A1345="",ROUND($F1345+$G1345,2)=0),"",$F1345+$G1345)</f>
        <v/>
      </c>
      <c r="I1345">
        <f>IF($H1345="","",IF(ROUND($F1345,2)&gt;0,$A1345,IF($D1345="شخصی قاسم","شخصی قاسم",IF($D1345="هزینه","هزینه: "&amp;IF($E1345="","متفرقه",$E1345),IF($C1345="پاس چک","چک پرداختی",IF(OR($B1345="",COUNTIF(AcctCodesA,$B1345)=0),"متفرقه",$B1345))))))</f>
        <v/>
      </c>
      <c r="J1345">
        <f>IF($H1345="","",IF(ROUND($F1345,2)&gt;0,IF($D1345="شخصی قاسم","شخصی قاسم",IF($D1345="هزینه","هزینه: "&amp;IF($E1345="","متفرقه",$E1345),IF(OR($B1345="",COUNTIF(AcctCodesA,$B1345)=0),"متفرقه",$B1345))),$A1345))</f>
        <v/>
      </c>
      <c r="K1345">
        <f>IF($A1345="","",IF(AND($B1345&lt;&gt;"",COUNTIF(AcctCodesA,$B1345)=0),"کد طرف در INFO تعریف نشده",IF(AND($D1345="هزینه",$E1345=""),"هزینه بدون زیرگروه",IF(AND($C1345="پاس چک",OR(Sync!$AJ1345="",COUNTIF(IssueNosA,Sync!$AJ1345)=0)),"شماره چک پاس‌شده معتبر نیست",""))))</f>
        <v/>
      </c>
      <c r="V1345">
        <f>IF($K1345="","",IF(ISNUMBER(Sync!$AK1345),Sync!$AK1345,LEFT(Sync!$AK1345,4)&amp;MID(Sync!$AK1345,6,2)&amp;RIGHT(Sync!$AK1345,2))&amp;"|"&amp;"4"&amp;RIGHT("00000"&amp;1340,5))</f>
        <v/>
      </c>
      <c r="W1345">
        <f>IF($V1345="",0,COUNTIFS($V$6:$V$2005,"&lt;"&amp;$V1345)-COUNTIFS($V$6:$V$2005,"&lt;"&amp;$V1345,$K$6:$K$2005,"")+1)</f>
        <v/>
      </c>
    </row>
    <row r="1346">
      <c r="A1346">
        <f>IF(Sync!$Z1346="","",LEFT(UPPER(TRIM(Sync!$Z1346)),6))</f>
        <v/>
      </c>
      <c r="B1346">
        <f>IF($A1346="","",IF(Sync!$AA1346="","",Sync!$AA1346))</f>
        <v/>
      </c>
      <c r="C1346">
        <f>IF($A1346="","",IF(Sync!$AB1346="","",Sync!$AB1346))</f>
        <v/>
      </c>
      <c r="D1346">
        <f>IF($A1346="","",IF(Sync!$AC1346="","",Sync!$AC1346))</f>
        <v/>
      </c>
      <c r="E1346">
        <f>IF($A1346="","",IF(Sync!$AD1346="","",Sync!$AD1346))</f>
        <v/>
      </c>
      <c r="F1346">
        <f>IF($A1346="","",IF(Sync!$AE1346="",0,Sync!$AE1346))</f>
        <v/>
      </c>
      <c r="G1346">
        <f>IF($A1346="","",IF(Sync!$AF1346="",0,Sync!$AF1346))</f>
        <v/>
      </c>
      <c r="H1346">
        <f>IF(OR($A1346="",ROUND($F1346+$G1346,2)=0),"",$F1346+$G1346)</f>
        <v/>
      </c>
      <c r="I1346">
        <f>IF($H1346="","",IF(ROUND($F1346,2)&gt;0,$A1346,IF($D1346="شخصی قاسم","شخصی قاسم",IF($D1346="هزینه","هزینه: "&amp;IF($E1346="","متفرقه",$E1346),IF($C1346="پاس چک","چک پرداختی",IF(OR($B1346="",COUNTIF(AcctCodesA,$B1346)=0),"متفرقه",$B1346))))))</f>
        <v/>
      </c>
      <c r="J1346">
        <f>IF($H1346="","",IF(ROUND($F1346,2)&gt;0,IF($D1346="شخصی قاسم","شخصی قاسم",IF($D1346="هزینه","هزینه: "&amp;IF($E1346="","متفرقه",$E1346),IF(OR($B1346="",COUNTIF(AcctCodesA,$B1346)=0),"متفرقه",$B1346))),$A1346))</f>
        <v/>
      </c>
      <c r="K1346">
        <f>IF($A1346="","",IF(AND($B1346&lt;&gt;"",COUNTIF(AcctCodesA,$B1346)=0),"کد طرف در INFO تعریف نشده",IF(AND($D1346="هزینه",$E1346=""),"هزینه بدون زیرگروه",IF(AND($C1346="پاس چک",OR(Sync!$AJ1346="",COUNTIF(IssueNosA,Sync!$AJ1346)=0)),"شماره چک پاس‌شده معتبر نیست",""))))</f>
        <v/>
      </c>
      <c r="V1346">
        <f>IF($K1346="","",IF(ISNUMBER(Sync!$AK1346),Sync!$AK1346,LEFT(Sync!$AK1346,4)&amp;MID(Sync!$AK1346,6,2)&amp;RIGHT(Sync!$AK1346,2))&amp;"|"&amp;"4"&amp;RIGHT("00000"&amp;1341,5))</f>
        <v/>
      </c>
      <c r="W1346">
        <f>IF($V1346="",0,COUNTIFS($V$6:$V$2005,"&lt;"&amp;$V1346)-COUNTIFS($V$6:$V$2005,"&lt;"&amp;$V1346,$K$6:$K$2005,"")+1)</f>
        <v/>
      </c>
    </row>
    <row r="1347">
      <c r="A1347">
        <f>IF(Sync!$Z1347="","",LEFT(UPPER(TRIM(Sync!$Z1347)),6))</f>
        <v/>
      </c>
      <c r="B1347">
        <f>IF($A1347="","",IF(Sync!$AA1347="","",Sync!$AA1347))</f>
        <v/>
      </c>
      <c r="C1347">
        <f>IF($A1347="","",IF(Sync!$AB1347="","",Sync!$AB1347))</f>
        <v/>
      </c>
      <c r="D1347">
        <f>IF($A1347="","",IF(Sync!$AC1347="","",Sync!$AC1347))</f>
        <v/>
      </c>
      <c r="E1347">
        <f>IF($A1347="","",IF(Sync!$AD1347="","",Sync!$AD1347))</f>
        <v/>
      </c>
      <c r="F1347">
        <f>IF($A1347="","",IF(Sync!$AE1347="",0,Sync!$AE1347))</f>
        <v/>
      </c>
      <c r="G1347">
        <f>IF($A1347="","",IF(Sync!$AF1347="",0,Sync!$AF1347))</f>
        <v/>
      </c>
      <c r="H1347">
        <f>IF(OR($A1347="",ROUND($F1347+$G1347,2)=0),"",$F1347+$G1347)</f>
        <v/>
      </c>
      <c r="I1347">
        <f>IF($H1347="","",IF(ROUND($F1347,2)&gt;0,$A1347,IF($D1347="شخصی قاسم","شخصی قاسم",IF($D1347="هزینه","هزینه: "&amp;IF($E1347="","متفرقه",$E1347),IF($C1347="پاس چک","چک پرداختی",IF(OR($B1347="",COUNTIF(AcctCodesA,$B1347)=0),"متفرقه",$B1347))))))</f>
        <v/>
      </c>
      <c r="J1347">
        <f>IF($H1347="","",IF(ROUND($F1347,2)&gt;0,IF($D1347="شخصی قاسم","شخصی قاسم",IF($D1347="هزینه","هزینه: "&amp;IF($E1347="","متفرقه",$E1347),IF(OR($B1347="",COUNTIF(AcctCodesA,$B1347)=0),"متفرقه",$B1347))),$A1347))</f>
        <v/>
      </c>
      <c r="K1347">
        <f>IF($A1347="","",IF(AND($B1347&lt;&gt;"",COUNTIF(AcctCodesA,$B1347)=0),"کد طرف در INFO تعریف نشده",IF(AND($D1347="هزینه",$E1347=""),"هزینه بدون زیرگروه",IF(AND($C1347="پاس چک",OR(Sync!$AJ1347="",COUNTIF(IssueNosA,Sync!$AJ1347)=0)),"شماره چک پاس‌شده معتبر نیست",""))))</f>
        <v/>
      </c>
      <c r="V1347">
        <f>IF($K1347="","",IF(ISNUMBER(Sync!$AK1347),Sync!$AK1347,LEFT(Sync!$AK1347,4)&amp;MID(Sync!$AK1347,6,2)&amp;RIGHT(Sync!$AK1347,2))&amp;"|"&amp;"4"&amp;RIGHT("00000"&amp;1342,5))</f>
        <v/>
      </c>
      <c r="W1347">
        <f>IF($V1347="",0,COUNTIFS($V$6:$V$2005,"&lt;"&amp;$V1347)-COUNTIFS($V$6:$V$2005,"&lt;"&amp;$V1347,$K$6:$K$2005,"")+1)</f>
        <v/>
      </c>
    </row>
    <row r="1348">
      <c r="A1348">
        <f>IF(Sync!$Z1348="","",LEFT(UPPER(TRIM(Sync!$Z1348)),6))</f>
        <v/>
      </c>
      <c r="B1348">
        <f>IF($A1348="","",IF(Sync!$AA1348="","",Sync!$AA1348))</f>
        <v/>
      </c>
      <c r="C1348">
        <f>IF($A1348="","",IF(Sync!$AB1348="","",Sync!$AB1348))</f>
        <v/>
      </c>
      <c r="D1348">
        <f>IF($A1348="","",IF(Sync!$AC1348="","",Sync!$AC1348))</f>
        <v/>
      </c>
      <c r="E1348">
        <f>IF($A1348="","",IF(Sync!$AD1348="","",Sync!$AD1348))</f>
        <v/>
      </c>
      <c r="F1348">
        <f>IF($A1348="","",IF(Sync!$AE1348="",0,Sync!$AE1348))</f>
        <v/>
      </c>
      <c r="G1348">
        <f>IF($A1348="","",IF(Sync!$AF1348="",0,Sync!$AF1348))</f>
        <v/>
      </c>
      <c r="H1348">
        <f>IF(OR($A1348="",ROUND($F1348+$G1348,2)=0),"",$F1348+$G1348)</f>
        <v/>
      </c>
      <c r="I1348">
        <f>IF($H1348="","",IF(ROUND($F1348,2)&gt;0,$A1348,IF($D1348="شخصی قاسم","شخصی قاسم",IF($D1348="هزینه","هزینه: "&amp;IF($E1348="","متفرقه",$E1348),IF($C1348="پاس چک","چک پرداختی",IF(OR($B1348="",COUNTIF(AcctCodesA,$B1348)=0),"متفرقه",$B1348))))))</f>
        <v/>
      </c>
      <c r="J1348">
        <f>IF($H1348="","",IF(ROUND($F1348,2)&gt;0,IF($D1348="شخصی قاسم","شخصی قاسم",IF($D1348="هزینه","هزینه: "&amp;IF($E1348="","متفرقه",$E1348),IF(OR($B1348="",COUNTIF(AcctCodesA,$B1348)=0),"متفرقه",$B1348))),$A1348))</f>
        <v/>
      </c>
      <c r="K1348">
        <f>IF($A1348="","",IF(AND($B1348&lt;&gt;"",COUNTIF(AcctCodesA,$B1348)=0),"کد طرف در INFO تعریف نشده",IF(AND($D1348="هزینه",$E1348=""),"هزینه بدون زیرگروه",IF(AND($C1348="پاس چک",OR(Sync!$AJ1348="",COUNTIF(IssueNosA,Sync!$AJ1348)=0)),"شماره چک پاس‌شده معتبر نیست",""))))</f>
        <v/>
      </c>
      <c r="V1348">
        <f>IF($K1348="","",IF(ISNUMBER(Sync!$AK1348),Sync!$AK1348,LEFT(Sync!$AK1348,4)&amp;MID(Sync!$AK1348,6,2)&amp;RIGHT(Sync!$AK1348,2))&amp;"|"&amp;"4"&amp;RIGHT("00000"&amp;1343,5))</f>
        <v/>
      </c>
      <c r="W1348">
        <f>IF($V1348="",0,COUNTIFS($V$6:$V$2005,"&lt;"&amp;$V1348)-COUNTIFS($V$6:$V$2005,"&lt;"&amp;$V1348,$K$6:$K$2005,"")+1)</f>
        <v/>
      </c>
    </row>
    <row r="1349">
      <c r="A1349">
        <f>IF(Sync!$Z1349="","",LEFT(UPPER(TRIM(Sync!$Z1349)),6))</f>
        <v/>
      </c>
      <c r="B1349">
        <f>IF($A1349="","",IF(Sync!$AA1349="","",Sync!$AA1349))</f>
        <v/>
      </c>
      <c r="C1349">
        <f>IF($A1349="","",IF(Sync!$AB1349="","",Sync!$AB1349))</f>
        <v/>
      </c>
      <c r="D1349">
        <f>IF($A1349="","",IF(Sync!$AC1349="","",Sync!$AC1349))</f>
        <v/>
      </c>
      <c r="E1349">
        <f>IF($A1349="","",IF(Sync!$AD1349="","",Sync!$AD1349))</f>
        <v/>
      </c>
      <c r="F1349">
        <f>IF($A1349="","",IF(Sync!$AE1349="",0,Sync!$AE1349))</f>
        <v/>
      </c>
      <c r="G1349">
        <f>IF($A1349="","",IF(Sync!$AF1349="",0,Sync!$AF1349))</f>
        <v/>
      </c>
      <c r="H1349">
        <f>IF(OR($A1349="",ROUND($F1349+$G1349,2)=0),"",$F1349+$G1349)</f>
        <v/>
      </c>
      <c r="I1349">
        <f>IF($H1349="","",IF(ROUND($F1349,2)&gt;0,$A1349,IF($D1349="شخصی قاسم","شخصی قاسم",IF($D1349="هزینه","هزینه: "&amp;IF($E1349="","متفرقه",$E1349),IF($C1349="پاس چک","چک پرداختی",IF(OR($B1349="",COUNTIF(AcctCodesA,$B1349)=0),"متفرقه",$B1349))))))</f>
        <v/>
      </c>
      <c r="J1349">
        <f>IF($H1349="","",IF(ROUND($F1349,2)&gt;0,IF($D1349="شخصی قاسم","شخصی قاسم",IF($D1349="هزینه","هزینه: "&amp;IF($E1349="","متفرقه",$E1349),IF(OR($B1349="",COUNTIF(AcctCodesA,$B1349)=0),"متفرقه",$B1349))),$A1349))</f>
        <v/>
      </c>
      <c r="K1349">
        <f>IF($A1349="","",IF(AND($B1349&lt;&gt;"",COUNTIF(AcctCodesA,$B1349)=0),"کد طرف در INFO تعریف نشده",IF(AND($D1349="هزینه",$E1349=""),"هزینه بدون زیرگروه",IF(AND($C1349="پاس چک",OR(Sync!$AJ1349="",COUNTIF(IssueNosA,Sync!$AJ1349)=0)),"شماره چک پاس‌شده معتبر نیست",""))))</f>
        <v/>
      </c>
      <c r="V1349">
        <f>IF($K1349="","",IF(ISNUMBER(Sync!$AK1349),Sync!$AK1349,LEFT(Sync!$AK1349,4)&amp;MID(Sync!$AK1349,6,2)&amp;RIGHT(Sync!$AK1349,2))&amp;"|"&amp;"4"&amp;RIGHT("00000"&amp;1344,5))</f>
        <v/>
      </c>
      <c r="W1349">
        <f>IF($V1349="",0,COUNTIFS($V$6:$V$2005,"&lt;"&amp;$V1349)-COUNTIFS($V$6:$V$2005,"&lt;"&amp;$V1349,$K$6:$K$2005,"")+1)</f>
        <v/>
      </c>
    </row>
    <row r="1350">
      <c r="A1350">
        <f>IF(Sync!$Z1350="","",LEFT(UPPER(TRIM(Sync!$Z1350)),6))</f>
        <v/>
      </c>
      <c r="B1350">
        <f>IF($A1350="","",IF(Sync!$AA1350="","",Sync!$AA1350))</f>
        <v/>
      </c>
      <c r="C1350">
        <f>IF($A1350="","",IF(Sync!$AB1350="","",Sync!$AB1350))</f>
        <v/>
      </c>
      <c r="D1350">
        <f>IF($A1350="","",IF(Sync!$AC1350="","",Sync!$AC1350))</f>
        <v/>
      </c>
      <c r="E1350">
        <f>IF($A1350="","",IF(Sync!$AD1350="","",Sync!$AD1350))</f>
        <v/>
      </c>
      <c r="F1350">
        <f>IF($A1350="","",IF(Sync!$AE1350="",0,Sync!$AE1350))</f>
        <v/>
      </c>
      <c r="G1350">
        <f>IF($A1350="","",IF(Sync!$AF1350="",0,Sync!$AF1350))</f>
        <v/>
      </c>
      <c r="H1350">
        <f>IF(OR($A1350="",ROUND($F1350+$G1350,2)=0),"",$F1350+$G1350)</f>
        <v/>
      </c>
      <c r="I1350">
        <f>IF($H1350="","",IF(ROUND($F1350,2)&gt;0,$A1350,IF($D1350="شخصی قاسم","شخصی قاسم",IF($D1350="هزینه","هزینه: "&amp;IF($E1350="","متفرقه",$E1350),IF($C1350="پاس چک","چک پرداختی",IF(OR($B1350="",COUNTIF(AcctCodesA,$B1350)=0),"متفرقه",$B1350))))))</f>
        <v/>
      </c>
      <c r="J1350">
        <f>IF($H1350="","",IF(ROUND($F1350,2)&gt;0,IF($D1350="شخصی قاسم","شخصی قاسم",IF($D1350="هزینه","هزینه: "&amp;IF($E1350="","متفرقه",$E1350),IF(OR($B1350="",COUNTIF(AcctCodesA,$B1350)=0),"متفرقه",$B1350))),$A1350))</f>
        <v/>
      </c>
      <c r="K1350">
        <f>IF($A1350="","",IF(AND($B1350&lt;&gt;"",COUNTIF(AcctCodesA,$B1350)=0),"کد طرف در INFO تعریف نشده",IF(AND($D1350="هزینه",$E1350=""),"هزینه بدون زیرگروه",IF(AND($C1350="پاس چک",OR(Sync!$AJ1350="",COUNTIF(IssueNosA,Sync!$AJ1350)=0)),"شماره چک پاس‌شده معتبر نیست",""))))</f>
        <v/>
      </c>
      <c r="V1350">
        <f>IF($K1350="","",IF(ISNUMBER(Sync!$AK1350),Sync!$AK1350,LEFT(Sync!$AK1350,4)&amp;MID(Sync!$AK1350,6,2)&amp;RIGHT(Sync!$AK1350,2))&amp;"|"&amp;"4"&amp;RIGHT("00000"&amp;1345,5))</f>
        <v/>
      </c>
      <c r="W1350">
        <f>IF($V1350="",0,COUNTIFS($V$6:$V$2005,"&lt;"&amp;$V1350)-COUNTIFS($V$6:$V$2005,"&lt;"&amp;$V1350,$K$6:$K$2005,"")+1)</f>
        <v/>
      </c>
    </row>
    <row r="1351">
      <c r="A1351">
        <f>IF(Sync!$Z1351="","",LEFT(UPPER(TRIM(Sync!$Z1351)),6))</f>
        <v/>
      </c>
      <c r="B1351">
        <f>IF($A1351="","",IF(Sync!$AA1351="","",Sync!$AA1351))</f>
        <v/>
      </c>
      <c r="C1351">
        <f>IF($A1351="","",IF(Sync!$AB1351="","",Sync!$AB1351))</f>
        <v/>
      </c>
      <c r="D1351">
        <f>IF($A1351="","",IF(Sync!$AC1351="","",Sync!$AC1351))</f>
        <v/>
      </c>
      <c r="E1351">
        <f>IF($A1351="","",IF(Sync!$AD1351="","",Sync!$AD1351))</f>
        <v/>
      </c>
      <c r="F1351">
        <f>IF($A1351="","",IF(Sync!$AE1351="",0,Sync!$AE1351))</f>
        <v/>
      </c>
      <c r="G1351">
        <f>IF($A1351="","",IF(Sync!$AF1351="",0,Sync!$AF1351))</f>
        <v/>
      </c>
      <c r="H1351">
        <f>IF(OR($A1351="",ROUND($F1351+$G1351,2)=0),"",$F1351+$G1351)</f>
        <v/>
      </c>
      <c r="I1351">
        <f>IF($H1351="","",IF(ROUND($F1351,2)&gt;0,$A1351,IF($D1351="شخصی قاسم","شخصی قاسم",IF($D1351="هزینه","هزینه: "&amp;IF($E1351="","متفرقه",$E1351),IF($C1351="پاس چک","چک پرداختی",IF(OR($B1351="",COUNTIF(AcctCodesA,$B1351)=0),"متفرقه",$B1351))))))</f>
        <v/>
      </c>
      <c r="J1351">
        <f>IF($H1351="","",IF(ROUND($F1351,2)&gt;0,IF($D1351="شخصی قاسم","شخصی قاسم",IF($D1351="هزینه","هزینه: "&amp;IF($E1351="","متفرقه",$E1351),IF(OR($B1351="",COUNTIF(AcctCodesA,$B1351)=0),"متفرقه",$B1351))),$A1351))</f>
        <v/>
      </c>
      <c r="K1351">
        <f>IF($A1351="","",IF(AND($B1351&lt;&gt;"",COUNTIF(AcctCodesA,$B1351)=0),"کد طرف در INFO تعریف نشده",IF(AND($D1351="هزینه",$E1351=""),"هزینه بدون زیرگروه",IF(AND($C1351="پاس چک",OR(Sync!$AJ1351="",COUNTIF(IssueNosA,Sync!$AJ1351)=0)),"شماره چک پاس‌شده معتبر نیست",""))))</f>
        <v/>
      </c>
      <c r="V1351">
        <f>IF($K1351="","",IF(ISNUMBER(Sync!$AK1351),Sync!$AK1351,LEFT(Sync!$AK1351,4)&amp;MID(Sync!$AK1351,6,2)&amp;RIGHT(Sync!$AK1351,2))&amp;"|"&amp;"4"&amp;RIGHT("00000"&amp;1346,5))</f>
        <v/>
      </c>
      <c r="W1351">
        <f>IF($V1351="",0,COUNTIFS($V$6:$V$2005,"&lt;"&amp;$V1351)-COUNTIFS($V$6:$V$2005,"&lt;"&amp;$V1351,$K$6:$K$2005,"")+1)</f>
        <v/>
      </c>
    </row>
    <row r="1352">
      <c r="A1352">
        <f>IF(Sync!$Z1352="","",LEFT(UPPER(TRIM(Sync!$Z1352)),6))</f>
        <v/>
      </c>
      <c r="B1352">
        <f>IF($A1352="","",IF(Sync!$AA1352="","",Sync!$AA1352))</f>
        <v/>
      </c>
      <c r="C1352">
        <f>IF($A1352="","",IF(Sync!$AB1352="","",Sync!$AB1352))</f>
        <v/>
      </c>
      <c r="D1352">
        <f>IF($A1352="","",IF(Sync!$AC1352="","",Sync!$AC1352))</f>
        <v/>
      </c>
      <c r="E1352">
        <f>IF($A1352="","",IF(Sync!$AD1352="","",Sync!$AD1352))</f>
        <v/>
      </c>
      <c r="F1352">
        <f>IF($A1352="","",IF(Sync!$AE1352="",0,Sync!$AE1352))</f>
        <v/>
      </c>
      <c r="G1352">
        <f>IF($A1352="","",IF(Sync!$AF1352="",0,Sync!$AF1352))</f>
        <v/>
      </c>
      <c r="H1352">
        <f>IF(OR($A1352="",ROUND($F1352+$G1352,2)=0),"",$F1352+$G1352)</f>
        <v/>
      </c>
      <c r="I1352">
        <f>IF($H1352="","",IF(ROUND($F1352,2)&gt;0,$A1352,IF($D1352="شخصی قاسم","شخصی قاسم",IF($D1352="هزینه","هزینه: "&amp;IF($E1352="","متفرقه",$E1352),IF($C1352="پاس چک","چک پرداختی",IF(OR($B1352="",COUNTIF(AcctCodesA,$B1352)=0),"متفرقه",$B1352))))))</f>
        <v/>
      </c>
      <c r="J1352">
        <f>IF($H1352="","",IF(ROUND($F1352,2)&gt;0,IF($D1352="شخصی قاسم","شخصی قاسم",IF($D1352="هزینه","هزینه: "&amp;IF($E1352="","متفرقه",$E1352),IF(OR($B1352="",COUNTIF(AcctCodesA,$B1352)=0),"متفرقه",$B1352))),$A1352))</f>
        <v/>
      </c>
      <c r="K1352">
        <f>IF($A1352="","",IF(AND($B1352&lt;&gt;"",COUNTIF(AcctCodesA,$B1352)=0),"کد طرف در INFO تعریف نشده",IF(AND($D1352="هزینه",$E1352=""),"هزینه بدون زیرگروه",IF(AND($C1352="پاس چک",OR(Sync!$AJ1352="",COUNTIF(IssueNosA,Sync!$AJ1352)=0)),"شماره چک پاس‌شده معتبر نیست",""))))</f>
        <v/>
      </c>
      <c r="V1352">
        <f>IF($K1352="","",IF(ISNUMBER(Sync!$AK1352),Sync!$AK1352,LEFT(Sync!$AK1352,4)&amp;MID(Sync!$AK1352,6,2)&amp;RIGHT(Sync!$AK1352,2))&amp;"|"&amp;"4"&amp;RIGHT("00000"&amp;1347,5))</f>
        <v/>
      </c>
      <c r="W1352">
        <f>IF($V1352="",0,COUNTIFS($V$6:$V$2005,"&lt;"&amp;$V1352)-COUNTIFS($V$6:$V$2005,"&lt;"&amp;$V1352,$K$6:$K$2005,"")+1)</f>
        <v/>
      </c>
    </row>
    <row r="1353">
      <c r="A1353">
        <f>IF(Sync!$Z1353="","",LEFT(UPPER(TRIM(Sync!$Z1353)),6))</f>
        <v/>
      </c>
      <c r="B1353">
        <f>IF($A1353="","",IF(Sync!$AA1353="","",Sync!$AA1353))</f>
        <v/>
      </c>
      <c r="C1353">
        <f>IF($A1353="","",IF(Sync!$AB1353="","",Sync!$AB1353))</f>
        <v/>
      </c>
      <c r="D1353">
        <f>IF($A1353="","",IF(Sync!$AC1353="","",Sync!$AC1353))</f>
        <v/>
      </c>
      <c r="E1353">
        <f>IF($A1353="","",IF(Sync!$AD1353="","",Sync!$AD1353))</f>
        <v/>
      </c>
      <c r="F1353">
        <f>IF($A1353="","",IF(Sync!$AE1353="",0,Sync!$AE1353))</f>
        <v/>
      </c>
      <c r="G1353">
        <f>IF($A1353="","",IF(Sync!$AF1353="",0,Sync!$AF1353))</f>
        <v/>
      </c>
      <c r="H1353">
        <f>IF(OR($A1353="",ROUND($F1353+$G1353,2)=0),"",$F1353+$G1353)</f>
        <v/>
      </c>
      <c r="I1353">
        <f>IF($H1353="","",IF(ROUND($F1353,2)&gt;0,$A1353,IF($D1353="شخصی قاسم","شخصی قاسم",IF($D1353="هزینه","هزینه: "&amp;IF($E1353="","متفرقه",$E1353),IF($C1353="پاس چک","چک پرداختی",IF(OR($B1353="",COUNTIF(AcctCodesA,$B1353)=0),"متفرقه",$B1353))))))</f>
        <v/>
      </c>
      <c r="J1353">
        <f>IF($H1353="","",IF(ROUND($F1353,2)&gt;0,IF($D1353="شخصی قاسم","شخصی قاسم",IF($D1353="هزینه","هزینه: "&amp;IF($E1353="","متفرقه",$E1353),IF(OR($B1353="",COUNTIF(AcctCodesA,$B1353)=0),"متفرقه",$B1353))),$A1353))</f>
        <v/>
      </c>
      <c r="K1353">
        <f>IF($A1353="","",IF(AND($B1353&lt;&gt;"",COUNTIF(AcctCodesA,$B1353)=0),"کد طرف در INFO تعریف نشده",IF(AND($D1353="هزینه",$E1353=""),"هزینه بدون زیرگروه",IF(AND($C1353="پاس چک",OR(Sync!$AJ1353="",COUNTIF(IssueNosA,Sync!$AJ1353)=0)),"شماره چک پاس‌شده معتبر نیست",""))))</f>
        <v/>
      </c>
      <c r="V1353">
        <f>IF($K1353="","",IF(ISNUMBER(Sync!$AK1353),Sync!$AK1353,LEFT(Sync!$AK1353,4)&amp;MID(Sync!$AK1353,6,2)&amp;RIGHT(Sync!$AK1353,2))&amp;"|"&amp;"4"&amp;RIGHT("00000"&amp;1348,5))</f>
        <v/>
      </c>
      <c r="W1353">
        <f>IF($V1353="",0,COUNTIFS($V$6:$V$2005,"&lt;"&amp;$V1353)-COUNTIFS($V$6:$V$2005,"&lt;"&amp;$V1353,$K$6:$K$2005,"")+1)</f>
        <v/>
      </c>
    </row>
    <row r="1354">
      <c r="A1354">
        <f>IF(Sync!$Z1354="","",LEFT(UPPER(TRIM(Sync!$Z1354)),6))</f>
        <v/>
      </c>
      <c r="B1354">
        <f>IF($A1354="","",IF(Sync!$AA1354="","",Sync!$AA1354))</f>
        <v/>
      </c>
      <c r="C1354">
        <f>IF($A1354="","",IF(Sync!$AB1354="","",Sync!$AB1354))</f>
        <v/>
      </c>
      <c r="D1354">
        <f>IF($A1354="","",IF(Sync!$AC1354="","",Sync!$AC1354))</f>
        <v/>
      </c>
      <c r="E1354">
        <f>IF($A1354="","",IF(Sync!$AD1354="","",Sync!$AD1354))</f>
        <v/>
      </c>
      <c r="F1354">
        <f>IF($A1354="","",IF(Sync!$AE1354="",0,Sync!$AE1354))</f>
        <v/>
      </c>
      <c r="G1354">
        <f>IF($A1354="","",IF(Sync!$AF1354="",0,Sync!$AF1354))</f>
        <v/>
      </c>
      <c r="H1354">
        <f>IF(OR($A1354="",ROUND($F1354+$G1354,2)=0),"",$F1354+$G1354)</f>
        <v/>
      </c>
      <c r="I1354">
        <f>IF($H1354="","",IF(ROUND($F1354,2)&gt;0,$A1354,IF($D1354="شخصی قاسم","شخصی قاسم",IF($D1354="هزینه","هزینه: "&amp;IF($E1354="","متفرقه",$E1354),IF($C1354="پاس چک","چک پرداختی",IF(OR($B1354="",COUNTIF(AcctCodesA,$B1354)=0),"متفرقه",$B1354))))))</f>
        <v/>
      </c>
      <c r="J1354">
        <f>IF($H1354="","",IF(ROUND($F1354,2)&gt;0,IF($D1354="شخصی قاسم","شخصی قاسم",IF($D1354="هزینه","هزینه: "&amp;IF($E1354="","متفرقه",$E1354),IF(OR($B1354="",COUNTIF(AcctCodesA,$B1354)=0),"متفرقه",$B1354))),$A1354))</f>
        <v/>
      </c>
      <c r="K1354">
        <f>IF($A1354="","",IF(AND($B1354&lt;&gt;"",COUNTIF(AcctCodesA,$B1354)=0),"کد طرف در INFO تعریف نشده",IF(AND($D1354="هزینه",$E1354=""),"هزینه بدون زیرگروه",IF(AND($C1354="پاس چک",OR(Sync!$AJ1354="",COUNTIF(IssueNosA,Sync!$AJ1354)=0)),"شماره چک پاس‌شده معتبر نیست",""))))</f>
        <v/>
      </c>
      <c r="V1354">
        <f>IF($K1354="","",IF(ISNUMBER(Sync!$AK1354),Sync!$AK1354,LEFT(Sync!$AK1354,4)&amp;MID(Sync!$AK1354,6,2)&amp;RIGHT(Sync!$AK1354,2))&amp;"|"&amp;"4"&amp;RIGHT("00000"&amp;1349,5))</f>
        <v/>
      </c>
      <c r="W1354">
        <f>IF($V1354="",0,COUNTIFS($V$6:$V$2005,"&lt;"&amp;$V1354)-COUNTIFS($V$6:$V$2005,"&lt;"&amp;$V1354,$K$6:$K$2005,"")+1)</f>
        <v/>
      </c>
    </row>
    <row r="1355">
      <c r="A1355">
        <f>IF(Sync!$Z1355="","",LEFT(UPPER(TRIM(Sync!$Z1355)),6))</f>
        <v/>
      </c>
      <c r="B1355">
        <f>IF($A1355="","",IF(Sync!$AA1355="","",Sync!$AA1355))</f>
        <v/>
      </c>
      <c r="C1355">
        <f>IF($A1355="","",IF(Sync!$AB1355="","",Sync!$AB1355))</f>
        <v/>
      </c>
      <c r="D1355">
        <f>IF($A1355="","",IF(Sync!$AC1355="","",Sync!$AC1355))</f>
        <v/>
      </c>
      <c r="E1355">
        <f>IF($A1355="","",IF(Sync!$AD1355="","",Sync!$AD1355))</f>
        <v/>
      </c>
      <c r="F1355">
        <f>IF($A1355="","",IF(Sync!$AE1355="",0,Sync!$AE1355))</f>
        <v/>
      </c>
      <c r="G1355">
        <f>IF($A1355="","",IF(Sync!$AF1355="",0,Sync!$AF1355))</f>
        <v/>
      </c>
      <c r="H1355">
        <f>IF(OR($A1355="",ROUND($F1355+$G1355,2)=0),"",$F1355+$G1355)</f>
        <v/>
      </c>
      <c r="I1355">
        <f>IF($H1355="","",IF(ROUND($F1355,2)&gt;0,$A1355,IF($D1355="شخصی قاسم","شخصی قاسم",IF($D1355="هزینه","هزینه: "&amp;IF($E1355="","متفرقه",$E1355),IF($C1355="پاس چک","چک پرداختی",IF(OR($B1355="",COUNTIF(AcctCodesA,$B1355)=0),"متفرقه",$B1355))))))</f>
        <v/>
      </c>
      <c r="J1355">
        <f>IF($H1355="","",IF(ROUND($F1355,2)&gt;0,IF($D1355="شخصی قاسم","شخصی قاسم",IF($D1355="هزینه","هزینه: "&amp;IF($E1355="","متفرقه",$E1355),IF(OR($B1355="",COUNTIF(AcctCodesA,$B1355)=0),"متفرقه",$B1355))),$A1355))</f>
        <v/>
      </c>
      <c r="K1355">
        <f>IF($A1355="","",IF(AND($B1355&lt;&gt;"",COUNTIF(AcctCodesA,$B1355)=0),"کد طرف در INFO تعریف نشده",IF(AND($D1355="هزینه",$E1355=""),"هزینه بدون زیرگروه",IF(AND($C1355="پاس چک",OR(Sync!$AJ1355="",COUNTIF(IssueNosA,Sync!$AJ1355)=0)),"شماره چک پاس‌شده معتبر نیست",""))))</f>
        <v/>
      </c>
      <c r="V1355">
        <f>IF($K1355="","",IF(ISNUMBER(Sync!$AK1355),Sync!$AK1355,LEFT(Sync!$AK1355,4)&amp;MID(Sync!$AK1355,6,2)&amp;RIGHT(Sync!$AK1355,2))&amp;"|"&amp;"4"&amp;RIGHT("00000"&amp;1350,5))</f>
        <v/>
      </c>
      <c r="W1355">
        <f>IF($V1355="",0,COUNTIFS($V$6:$V$2005,"&lt;"&amp;$V1355)-COUNTIFS($V$6:$V$2005,"&lt;"&amp;$V1355,$K$6:$K$2005,"")+1)</f>
        <v/>
      </c>
    </row>
    <row r="1356">
      <c r="A1356">
        <f>IF(Sync!$Z1356="","",LEFT(UPPER(TRIM(Sync!$Z1356)),6))</f>
        <v/>
      </c>
      <c r="B1356">
        <f>IF($A1356="","",IF(Sync!$AA1356="","",Sync!$AA1356))</f>
        <v/>
      </c>
      <c r="C1356">
        <f>IF($A1356="","",IF(Sync!$AB1356="","",Sync!$AB1356))</f>
        <v/>
      </c>
      <c r="D1356">
        <f>IF($A1356="","",IF(Sync!$AC1356="","",Sync!$AC1356))</f>
        <v/>
      </c>
      <c r="E1356">
        <f>IF($A1356="","",IF(Sync!$AD1356="","",Sync!$AD1356))</f>
        <v/>
      </c>
      <c r="F1356">
        <f>IF($A1356="","",IF(Sync!$AE1356="",0,Sync!$AE1356))</f>
        <v/>
      </c>
      <c r="G1356">
        <f>IF($A1356="","",IF(Sync!$AF1356="",0,Sync!$AF1356))</f>
        <v/>
      </c>
      <c r="H1356">
        <f>IF(OR($A1356="",ROUND($F1356+$G1356,2)=0),"",$F1356+$G1356)</f>
        <v/>
      </c>
      <c r="I1356">
        <f>IF($H1356="","",IF(ROUND($F1356,2)&gt;0,$A1356,IF($D1356="شخصی قاسم","شخصی قاسم",IF($D1356="هزینه","هزینه: "&amp;IF($E1356="","متفرقه",$E1356),IF($C1356="پاس چک","چک پرداختی",IF(OR($B1356="",COUNTIF(AcctCodesA,$B1356)=0),"متفرقه",$B1356))))))</f>
        <v/>
      </c>
      <c r="J1356">
        <f>IF($H1356="","",IF(ROUND($F1356,2)&gt;0,IF($D1356="شخصی قاسم","شخصی قاسم",IF($D1356="هزینه","هزینه: "&amp;IF($E1356="","متفرقه",$E1356),IF(OR($B1356="",COUNTIF(AcctCodesA,$B1356)=0),"متفرقه",$B1356))),$A1356))</f>
        <v/>
      </c>
      <c r="K1356">
        <f>IF($A1356="","",IF(AND($B1356&lt;&gt;"",COUNTIF(AcctCodesA,$B1356)=0),"کد طرف در INFO تعریف نشده",IF(AND($D1356="هزینه",$E1356=""),"هزینه بدون زیرگروه",IF(AND($C1356="پاس چک",OR(Sync!$AJ1356="",COUNTIF(IssueNosA,Sync!$AJ1356)=0)),"شماره چک پاس‌شده معتبر نیست",""))))</f>
        <v/>
      </c>
      <c r="V1356">
        <f>IF($K1356="","",IF(ISNUMBER(Sync!$AK1356),Sync!$AK1356,LEFT(Sync!$AK1356,4)&amp;MID(Sync!$AK1356,6,2)&amp;RIGHT(Sync!$AK1356,2))&amp;"|"&amp;"4"&amp;RIGHT("00000"&amp;1351,5))</f>
        <v/>
      </c>
      <c r="W1356">
        <f>IF($V1356="",0,COUNTIFS($V$6:$V$2005,"&lt;"&amp;$V1356)-COUNTIFS($V$6:$V$2005,"&lt;"&amp;$V1356,$K$6:$K$2005,"")+1)</f>
        <v/>
      </c>
    </row>
    <row r="1357">
      <c r="A1357">
        <f>IF(Sync!$Z1357="","",LEFT(UPPER(TRIM(Sync!$Z1357)),6))</f>
        <v/>
      </c>
      <c r="B1357">
        <f>IF($A1357="","",IF(Sync!$AA1357="","",Sync!$AA1357))</f>
        <v/>
      </c>
      <c r="C1357">
        <f>IF($A1357="","",IF(Sync!$AB1357="","",Sync!$AB1357))</f>
        <v/>
      </c>
      <c r="D1357">
        <f>IF($A1357="","",IF(Sync!$AC1357="","",Sync!$AC1357))</f>
        <v/>
      </c>
      <c r="E1357">
        <f>IF($A1357="","",IF(Sync!$AD1357="","",Sync!$AD1357))</f>
        <v/>
      </c>
      <c r="F1357">
        <f>IF($A1357="","",IF(Sync!$AE1357="",0,Sync!$AE1357))</f>
        <v/>
      </c>
      <c r="G1357">
        <f>IF($A1357="","",IF(Sync!$AF1357="",0,Sync!$AF1357))</f>
        <v/>
      </c>
      <c r="H1357">
        <f>IF(OR($A1357="",ROUND($F1357+$G1357,2)=0),"",$F1357+$G1357)</f>
        <v/>
      </c>
      <c r="I1357">
        <f>IF($H1357="","",IF(ROUND($F1357,2)&gt;0,$A1357,IF($D1357="شخصی قاسم","شخصی قاسم",IF($D1357="هزینه","هزینه: "&amp;IF($E1357="","متفرقه",$E1357),IF($C1357="پاس چک","چک پرداختی",IF(OR($B1357="",COUNTIF(AcctCodesA,$B1357)=0),"متفرقه",$B1357))))))</f>
        <v/>
      </c>
      <c r="J1357">
        <f>IF($H1357="","",IF(ROUND($F1357,2)&gt;0,IF($D1357="شخصی قاسم","شخصی قاسم",IF($D1357="هزینه","هزینه: "&amp;IF($E1357="","متفرقه",$E1357),IF(OR($B1357="",COUNTIF(AcctCodesA,$B1357)=0),"متفرقه",$B1357))),$A1357))</f>
        <v/>
      </c>
      <c r="K1357">
        <f>IF($A1357="","",IF(AND($B1357&lt;&gt;"",COUNTIF(AcctCodesA,$B1357)=0),"کد طرف در INFO تعریف نشده",IF(AND($D1357="هزینه",$E1357=""),"هزینه بدون زیرگروه",IF(AND($C1357="پاس چک",OR(Sync!$AJ1357="",COUNTIF(IssueNosA,Sync!$AJ1357)=0)),"شماره چک پاس‌شده معتبر نیست",""))))</f>
        <v/>
      </c>
      <c r="V1357">
        <f>IF($K1357="","",IF(ISNUMBER(Sync!$AK1357),Sync!$AK1357,LEFT(Sync!$AK1357,4)&amp;MID(Sync!$AK1357,6,2)&amp;RIGHT(Sync!$AK1357,2))&amp;"|"&amp;"4"&amp;RIGHT("00000"&amp;1352,5))</f>
        <v/>
      </c>
      <c r="W1357">
        <f>IF($V1357="",0,COUNTIFS($V$6:$V$2005,"&lt;"&amp;$V1357)-COUNTIFS($V$6:$V$2005,"&lt;"&amp;$V1357,$K$6:$K$2005,"")+1)</f>
        <v/>
      </c>
    </row>
    <row r="1358">
      <c r="A1358">
        <f>IF(Sync!$Z1358="","",LEFT(UPPER(TRIM(Sync!$Z1358)),6))</f>
        <v/>
      </c>
      <c r="B1358">
        <f>IF($A1358="","",IF(Sync!$AA1358="","",Sync!$AA1358))</f>
        <v/>
      </c>
      <c r="C1358">
        <f>IF($A1358="","",IF(Sync!$AB1358="","",Sync!$AB1358))</f>
        <v/>
      </c>
      <c r="D1358">
        <f>IF($A1358="","",IF(Sync!$AC1358="","",Sync!$AC1358))</f>
        <v/>
      </c>
      <c r="E1358">
        <f>IF($A1358="","",IF(Sync!$AD1358="","",Sync!$AD1358))</f>
        <v/>
      </c>
      <c r="F1358">
        <f>IF($A1358="","",IF(Sync!$AE1358="",0,Sync!$AE1358))</f>
        <v/>
      </c>
      <c r="G1358">
        <f>IF($A1358="","",IF(Sync!$AF1358="",0,Sync!$AF1358))</f>
        <v/>
      </c>
      <c r="H1358">
        <f>IF(OR($A1358="",ROUND($F1358+$G1358,2)=0),"",$F1358+$G1358)</f>
        <v/>
      </c>
      <c r="I1358">
        <f>IF($H1358="","",IF(ROUND($F1358,2)&gt;0,$A1358,IF($D1358="شخصی قاسم","شخصی قاسم",IF($D1358="هزینه","هزینه: "&amp;IF($E1358="","متفرقه",$E1358),IF($C1358="پاس چک","چک پرداختی",IF(OR($B1358="",COUNTIF(AcctCodesA,$B1358)=0),"متفرقه",$B1358))))))</f>
        <v/>
      </c>
      <c r="J1358">
        <f>IF($H1358="","",IF(ROUND($F1358,2)&gt;0,IF($D1358="شخصی قاسم","شخصی قاسم",IF($D1358="هزینه","هزینه: "&amp;IF($E1358="","متفرقه",$E1358),IF(OR($B1358="",COUNTIF(AcctCodesA,$B1358)=0),"متفرقه",$B1358))),$A1358))</f>
        <v/>
      </c>
      <c r="K1358">
        <f>IF($A1358="","",IF(AND($B1358&lt;&gt;"",COUNTIF(AcctCodesA,$B1358)=0),"کد طرف در INFO تعریف نشده",IF(AND($D1358="هزینه",$E1358=""),"هزینه بدون زیرگروه",IF(AND($C1358="پاس چک",OR(Sync!$AJ1358="",COUNTIF(IssueNosA,Sync!$AJ1358)=0)),"شماره چک پاس‌شده معتبر نیست",""))))</f>
        <v/>
      </c>
      <c r="V1358">
        <f>IF($K1358="","",IF(ISNUMBER(Sync!$AK1358),Sync!$AK1358,LEFT(Sync!$AK1358,4)&amp;MID(Sync!$AK1358,6,2)&amp;RIGHT(Sync!$AK1358,2))&amp;"|"&amp;"4"&amp;RIGHT("00000"&amp;1353,5))</f>
        <v/>
      </c>
      <c r="W1358">
        <f>IF($V1358="",0,COUNTIFS($V$6:$V$2005,"&lt;"&amp;$V1358)-COUNTIFS($V$6:$V$2005,"&lt;"&amp;$V1358,$K$6:$K$2005,"")+1)</f>
        <v/>
      </c>
    </row>
    <row r="1359">
      <c r="A1359">
        <f>IF(Sync!$Z1359="","",LEFT(UPPER(TRIM(Sync!$Z1359)),6))</f>
        <v/>
      </c>
      <c r="B1359">
        <f>IF($A1359="","",IF(Sync!$AA1359="","",Sync!$AA1359))</f>
        <v/>
      </c>
      <c r="C1359">
        <f>IF($A1359="","",IF(Sync!$AB1359="","",Sync!$AB1359))</f>
        <v/>
      </c>
      <c r="D1359">
        <f>IF($A1359="","",IF(Sync!$AC1359="","",Sync!$AC1359))</f>
        <v/>
      </c>
      <c r="E1359">
        <f>IF($A1359="","",IF(Sync!$AD1359="","",Sync!$AD1359))</f>
        <v/>
      </c>
      <c r="F1359">
        <f>IF($A1359="","",IF(Sync!$AE1359="",0,Sync!$AE1359))</f>
        <v/>
      </c>
      <c r="G1359">
        <f>IF($A1359="","",IF(Sync!$AF1359="",0,Sync!$AF1359))</f>
        <v/>
      </c>
      <c r="H1359">
        <f>IF(OR($A1359="",ROUND($F1359+$G1359,2)=0),"",$F1359+$G1359)</f>
        <v/>
      </c>
      <c r="I1359">
        <f>IF($H1359="","",IF(ROUND($F1359,2)&gt;0,$A1359,IF($D1359="شخصی قاسم","شخصی قاسم",IF($D1359="هزینه","هزینه: "&amp;IF($E1359="","متفرقه",$E1359),IF($C1359="پاس چک","چک پرداختی",IF(OR($B1359="",COUNTIF(AcctCodesA,$B1359)=0),"متفرقه",$B1359))))))</f>
        <v/>
      </c>
      <c r="J1359">
        <f>IF($H1359="","",IF(ROUND($F1359,2)&gt;0,IF($D1359="شخصی قاسم","شخصی قاسم",IF($D1359="هزینه","هزینه: "&amp;IF($E1359="","متفرقه",$E1359),IF(OR($B1359="",COUNTIF(AcctCodesA,$B1359)=0),"متفرقه",$B1359))),$A1359))</f>
        <v/>
      </c>
      <c r="K1359">
        <f>IF($A1359="","",IF(AND($B1359&lt;&gt;"",COUNTIF(AcctCodesA,$B1359)=0),"کد طرف در INFO تعریف نشده",IF(AND($D1359="هزینه",$E1359=""),"هزینه بدون زیرگروه",IF(AND($C1359="پاس چک",OR(Sync!$AJ1359="",COUNTIF(IssueNosA,Sync!$AJ1359)=0)),"شماره چک پاس‌شده معتبر نیست",""))))</f>
        <v/>
      </c>
      <c r="V1359">
        <f>IF($K1359="","",IF(ISNUMBER(Sync!$AK1359),Sync!$AK1359,LEFT(Sync!$AK1359,4)&amp;MID(Sync!$AK1359,6,2)&amp;RIGHT(Sync!$AK1359,2))&amp;"|"&amp;"4"&amp;RIGHT("00000"&amp;1354,5))</f>
        <v/>
      </c>
      <c r="W1359">
        <f>IF($V1359="",0,COUNTIFS($V$6:$V$2005,"&lt;"&amp;$V1359)-COUNTIFS($V$6:$V$2005,"&lt;"&amp;$V1359,$K$6:$K$2005,"")+1)</f>
        <v/>
      </c>
    </row>
    <row r="1360">
      <c r="A1360">
        <f>IF(Sync!$Z1360="","",LEFT(UPPER(TRIM(Sync!$Z1360)),6))</f>
        <v/>
      </c>
      <c r="B1360">
        <f>IF($A1360="","",IF(Sync!$AA1360="","",Sync!$AA1360))</f>
        <v/>
      </c>
      <c r="C1360">
        <f>IF($A1360="","",IF(Sync!$AB1360="","",Sync!$AB1360))</f>
        <v/>
      </c>
      <c r="D1360">
        <f>IF($A1360="","",IF(Sync!$AC1360="","",Sync!$AC1360))</f>
        <v/>
      </c>
      <c r="E1360">
        <f>IF($A1360="","",IF(Sync!$AD1360="","",Sync!$AD1360))</f>
        <v/>
      </c>
      <c r="F1360">
        <f>IF($A1360="","",IF(Sync!$AE1360="",0,Sync!$AE1360))</f>
        <v/>
      </c>
      <c r="G1360">
        <f>IF($A1360="","",IF(Sync!$AF1360="",0,Sync!$AF1360))</f>
        <v/>
      </c>
      <c r="H1360">
        <f>IF(OR($A1360="",ROUND($F1360+$G1360,2)=0),"",$F1360+$G1360)</f>
        <v/>
      </c>
      <c r="I1360">
        <f>IF($H1360="","",IF(ROUND($F1360,2)&gt;0,$A1360,IF($D1360="شخصی قاسم","شخصی قاسم",IF($D1360="هزینه","هزینه: "&amp;IF($E1360="","متفرقه",$E1360),IF($C1360="پاس چک","چک پرداختی",IF(OR($B1360="",COUNTIF(AcctCodesA,$B1360)=0),"متفرقه",$B1360))))))</f>
        <v/>
      </c>
      <c r="J1360">
        <f>IF($H1360="","",IF(ROUND($F1360,2)&gt;0,IF($D1360="شخصی قاسم","شخصی قاسم",IF($D1360="هزینه","هزینه: "&amp;IF($E1360="","متفرقه",$E1360),IF(OR($B1360="",COUNTIF(AcctCodesA,$B1360)=0),"متفرقه",$B1360))),$A1360))</f>
        <v/>
      </c>
      <c r="K1360">
        <f>IF($A1360="","",IF(AND($B1360&lt;&gt;"",COUNTIF(AcctCodesA,$B1360)=0),"کد طرف در INFO تعریف نشده",IF(AND($D1360="هزینه",$E1360=""),"هزینه بدون زیرگروه",IF(AND($C1360="پاس چک",OR(Sync!$AJ1360="",COUNTIF(IssueNosA,Sync!$AJ1360)=0)),"شماره چک پاس‌شده معتبر نیست",""))))</f>
        <v/>
      </c>
      <c r="V1360">
        <f>IF($K1360="","",IF(ISNUMBER(Sync!$AK1360),Sync!$AK1360,LEFT(Sync!$AK1360,4)&amp;MID(Sync!$AK1360,6,2)&amp;RIGHT(Sync!$AK1360,2))&amp;"|"&amp;"4"&amp;RIGHT("00000"&amp;1355,5))</f>
        <v/>
      </c>
      <c r="W1360">
        <f>IF($V1360="",0,COUNTIFS($V$6:$V$2005,"&lt;"&amp;$V1360)-COUNTIFS($V$6:$V$2005,"&lt;"&amp;$V1360,$K$6:$K$2005,"")+1)</f>
        <v/>
      </c>
    </row>
    <row r="1361">
      <c r="A1361">
        <f>IF(Sync!$Z1361="","",LEFT(UPPER(TRIM(Sync!$Z1361)),6))</f>
        <v/>
      </c>
      <c r="B1361">
        <f>IF($A1361="","",IF(Sync!$AA1361="","",Sync!$AA1361))</f>
        <v/>
      </c>
      <c r="C1361">
        <f>IF($A1361="","",IF(Sync!$AB1361="","",Sync!$AB1361))</f>
        <v/>
      </c>
      <c r="D1361">
        <f>IF($A1361="","",IF(Sync!$AC1361="","",Sync!$AC1361))</f>
        <v/>
      </c>
      <c r="E1361">
        <f>IF($A1361="","",IF(Sync!$AD1361="","",Sync!$AD1361))</f>
        <v/>
      </c>
      <c r="F1361">
        <f>IF($A1361="","",IF(Sync!$AE1361="",0,Sync!$AE1361))</f>
        <v/>
      </c>
      <c r="G1361">
        <f>IF($A1361="","",IF(Sync!$AF1361="",0,Sync!$AF1361))</f>
        <v/>
      </c>
      <c r="H1361">
        <f>IF(OR($A1361="",ROUND($F1361+$G1361,2)=0),"",$F1361+$G1361)</f>
        <v/>
      </c>
      <c r="I1361">
        <f>IF($H1361="","",IF(ROUND($F1361,2)&gt;0,$A1361,IF($D1361="شخصی قاسم","شخصی قاسم",IF($D1361="هزینه","هزینه: "&amp;IF($E1361="","متفرقه",$E1361),IF($C1361="پاس چک","چک پرداختی",IF(OR($B1361="",COUNTIF(AcctCodesA,$B1361)=0),"متفرقه",$B1361))))))</f>
        <v/>
      </c>
      <c r="J1361">
        <f>IF($H1361="","",IF(ROUND($F1361,2)&gt;0,IF($D1361="شخصی قاسم","شخصی قاسم",IF($D1361="هزینه","هزینه: "&amp;IF($E1361="","متفرقه",$E1361),IF(OR($B1361="",COUNTIF(AcctCodesA,$B1361)=0),"متفرقه",$B1361))),$A1361))</f>
        <v/>
      </c>
      <c r="K1361">
        <f>IF($A1361="","",IF(AND($B1361&lt;&gt;"",COUNTIF(AcctCodesA,$B1361)=0),"کد طرف در INFO تعریف نشده",IF(AND($D1361="هزینه",$E1361=""),"هزینه بدون زیرگروه",IF(AND($C1361="پاس چک",OR(Sync!$AJ1361="",COUNTIF(IssueNosA,Sync!$AJ1361)=0)),"شماره چک پاس‌شده معتبر نیست",""))))</f>
        <v/>
      </c>
      <c r="V1361">
        <f>IF($K1361="","",IF(ISNUMBER(Sync!$AK1361),Sync!$AK1361,LEFT(Sync!$AK1361,4)&amp;MID(Sync!$AK1361,6,2)&amp;RIGHT(Sync!$AK1361,2))&amp;"|"&amp;"4"&amp;RIGHT("00000"&amp;1356,5))</f>
        <v/>
      </c>
      <c r="W1361">
        <f>IF($V1361="",0,COUNTIFS($V$6:$V$2005,"&lt;"&amp;$V1361)-COUNTIFS($V$6:$V$2005,"&lt;"&amp;$V1361,$K$6:$K$2005,"")+1)</f>
        <v/>
      </c>
    </row>
    <row r="1362">
      <c r="A1362">
        <f>IF(Sync!$Z1362="","",LEFT(UPPER(TRIM(Sync!$Z1362)),6))</f>
        <v/>
      </c>
      <c r="B1362">
        <f>IF($A1362="","",IF(Sync!$AA1362="","",Sync!$AA1362))</f>
        <v/>
      </c>
      <c r="C1362">
        <f>IF($A1362="","",IF(Sync!$AB1362="","",Sync!$AB1362))</f>
        <v/>
      </c>
      <c r="D1362">
        <f>IF($A1362="","",IF(Sync!$AC1362="","",Sync!$AC1362))</f>
        <v/>
      </c>
      <c r="E1362">
        <f>IF($A1362="","",IF(Sync!$AD1362="","",Sync!$AD1362))</f>
        <v/>
      </c>
      <c r="F1362">
        <f>IF($A1362="","",IF(Sync!$AE1362="",0,Sync!$AE1362))</f>
        <v/>
      </c>
      <c r="G1362">
        <f>IF($A1362="","",IF(Sync!$AF1362="",0,Sync!$AF1362))</f>
        <v/>
      </c>
      <c r="H1362">
        <f>IF(OR($A1362="",ROUND($F1362+$G1362,2)=0),"",$F1362+$G1362)</f>
        <v/>
      </c>
      <c r="I1362">
        <f>IF($H1362="","",IF(ROUND($F1362,2)&gt;0,$A1362,IF($D1362="شخصی قاسم","شخصی قاسم",IF($D1362="هزینه","هزینه: "&amp;IF($E1362="","متفرقه",$E1362),IF($C1362="پاس چک","چک پرداختی",IF(OR($B1362="",COUNTIF(AcctCodesA,$B1362)=0),"متفرقه",$B1362))))))</f>
        <v/>
      </c>
      <c r="J1362">
        <f>IF($H1362="","",IF(ROUND($F1362,2)&gt;0,IF($D1362="شخصی قاسم","شخصی قاسم",IF($D1362="هزینه","هزینه: "&amp;IF($E1362="","متفرقه",$E1362),IF(OR($B1362="",COUNTIF(AcctCodesA,$B1362)=0),"متفرقه",$B1362))),$A1362))</f>
        <v/>
      </c>
      <c r="K1362">
        <f>IF($A1362="","",IF(AND($B1362&lt;&gt;"",COUNTIF(AcctCodesA,$B1362)=0),"کد طرف در INFO تعریف نشده",IF(AND($D1362="هزینه",$E1362=""),"هزینه بدون زیرگروه",IF(AND($C1362="پاس چک",OR(Sync!$AJ1362="",COUNTIF(IssueNosA,Sync!$AJ1362)=0)),"شماره چک پاس‌شده معتبر نیست",""))))</f>
        <v/>
      </c>
      <c r="V1362">
        <f>IF($K1362="","",IF(ISNUMBER(Sync!$AK1362),Sync!$AK1362,LEFT(Sync!$AK1362,4)&amp;MID(Sync!$AK1362,6,2)&amp;RIGHT(Sync!$AK1362,2))&amp;"|"&amp;"4"&amp;RIGHT("00000"&amp;1357,5))</f>
        <v/>
      </c>
      <c r="W1362">
        <f>IF($V1362="",0,COUNTIFS($V$6:$V$2005,"&lt;"&amp;$V1362)-COUNTIFS($V$6:$V$2005,"&lt;"&amp;$V1362,$K$6:$K$2005,"")+1)</f>
        <v/>
      </c>
    </row>
    <row r="1363">
      <c r="A1363">
        <f>IF(Sync!$Z1363="","",LEFT(UPPER(TRIM(Sync!$Z1363)),6))</f>
        <v/>
      </c>
      <c r="B1363">
        <f>IF($A1363="","",IF(Sync!$AA1363="","",Sync!$AA1363))</f>
        <v/>
      </c>
      <c r="C1363">
        <f>IF($A1363="","",IF(Sync!$AB1363="","",Sync!$AB1363))</f>
        <v/>
      </c>
      <c r="D1363">
        <f>IF($A1363="","",IF(Sync!$AC1363="","",Sync!$AC1363))</f>
        <v/>
      </c>
      <c r="E1363">
        <f>IF($A1363="","",IF(Sync!$AD1363="","",Sync!$AD1363))</f>
        <v/>
      </c>
      <c r="F1363">
        <f>IF($A1363="","",IF(Sync!$AE1363="",0,Sync!$AE1363))</f>
        <v/>
      </c>
      <c r="G1363">
        <f>IF($A1363="","",IF(Sync!$AF1363="",0,Sync!$AF1363))</f>
        <v/>
      </c>
      <c r="H1363">
        <f>IF(OR($A1363="",ROUND($F1363+$G1363,2)=0),"",$F1363+$G1363)</f>
        <v/>
      </c>
      <c r="I1363">
        <f>IF($H1363="","",IF(ROUND($F1363,2)&gt;0,$A1363,IF($D1363="شخصی قاسم","شخصی قاسم",IF($D1363="هزینه","هزینه: "&amp;IF($E1363="","متفرقه",$E1363),IF($C1363="پاس چک","چک پرداختی",IF(OR($B1363="",COUNTIF(AcctCodesA,$B1363)=0),"متفرقه",$B1363))))))</f>
        <v/>
      </c>
      <c r="J1363">
        <f>IF($H1363="","",IF(ROUND($F1363,2)&gt;0,IF($D1363="شخصی قاسم","شخصی قاسم",IF($D1363="هزینه","هزینه: "&amp;IF($E1363="","متفرقه",$E1363),IF(OR($B1363="",COUNTIF(AcctCodesA,$B1363)=0),"متفرقه",$B1363))),$A1363))</f>
        <v/>
      </c>
      <c r="K1363">
        <f>IF($A1363="","",IF(AND($B1363&lt;&gt;"",COUNTIF(AcctCodesA,$B1363)=0),"کد طرف در INFO تعریف نشده",IF(AND($D1363="هزینه",$E1363=""),"هزینه بدون زیرگروه",IF(AND($C1363="پاس چک",OR(Sync!$AJ1363="",COUNTIF(IssueNosA,Sync!$AJ1363)=0)),"شماره چک پاس‌شده معتبر نیست",""))))</f>
        <v/>
      </c>
      <c r="V1363">
        <f>IF($K1363="","",IF(ISNUMBER(Sync!$AK1363),Sync!$AK1363,LEFT(Sync!$AK1363,4)&amp;MID(Sync!$AK1363,6,2)&amp;RIGHT(Sync!$AK1363,2))&amp;"|"&amp;"4"&amp;RIGHT("00000"&amp;1358,5))</f>
        <v/>
      </c>
      <c r="W1363">
        <f>IF($V1363="",0,COUNTIFS($V$6:$V$2005,"&lt;"&amp;$V1363)-COUNTIFS($V$6:$V$2005,"&lt;"&amp;$V1363,$K$6:$K$2005,"")+1)</f>
        <v/>
      </c>
    </row>
    <row r="1364">
      <c r="A1364">
        <f>IF(Sync!$Z1364="","",LEFT(UPPER(TRIM(Sync!$Z1364)),6))</f>
        <v/>
      </c>
      <c r="B1364">
        <f>IF($A1364="","",IF(Sync!$AA1364="","",Sync!$AA1364))</f>
        <v/>
      </c>
      <c r="C1364">
        <f>IF($A1364="","",IF(Sync!$AB1364="","",Sync!$AB1364))</f>
        <v/>
      </c>
      <c r="D1364">
        <f>IF($A1364="","",IF(Sync!$AC1364="","",Sync!$AC1364))</f>
        <v/>
      </c>
      <c r="E1364">
        <f>IF($A1364="","",IF(Sync!$AD1364="","",Sync!$AD1364))</f>
        <v/>
      </c>
      <c r="F1364">
        <f>IF($A1364="","",IF(Sync!$AE1364="",0,Sync!$AE1364))</f>
        <v/>
      </c>
      <c r="G1364">
        <f>IF($A1364="","",IF(Sync!$AF1364="",0,Sync!$AF1364))</f>
        <v/>
      </c>
      <c r="H1364">
        <f>IF(OR($A1364="",ROUND($F1364+$G1364,2)=0),"",$F1364+$G1364)</f>
        <v/>
      </c>
      <c r="I1364">
        <f>IF($H1364="","",IF(ROUND($F1364,2)&gt;0,$A1364,IF($D1364="شخصی قاسم","شخصی قاسم",IF($D1364="هزینه","هزینه: "&amp;IF($E1364="","متفرقه",$E1364),IF($C1364="پاس چک","چک پرداختی",IF(OR($B1364="",COUNTIF(AcctCodesA,$B1364)=0),"متفرقه",$B1364))))))</f>
        <v/>
      </c>
      <c r="J1364">
        <f>IF($H1364="","",IF(ROUND($F1364,2)&gt;0,IF($D1364="شخصی قاسم","شخصی قاسم",IF($D1364="هزینه","هزینه: "&amp;IF($E1364="","متفرقه",$E1364),IF(OR($B1364="",COUNTIF(AcctCodesA,$B1364)=0),"متفرقه",$B1364))),$A1364))</f>
        <v/>
      </c>
      <c r="K1364">
        <f>IF($A1364="","",IF(AND($B1364&lt;&gt;"",COUNTIF(AcctCodesA,$B1364)=0),"کد طرف در INFO تعریف نشده",IF(AND($D1364="هزینه",$E1364=""),"هزینه بدون زیرگروه",IF(AND($C1364="پاس چک",OR(Sync!$AJ1364="",COUNTIF(IssueNosA,Sync!$AJ1364)=0)),"شماره چک پاس‌شده معتبر نیست",""))))</f>
        <v/>
      </c>
      <c r="V1364">
        <f>IF($K1364="","",IF(ISNUMBER(Sync!$AK1364),Sync!$AK1364,LEFT(Sync!$AK1364,4)&amp;MID(Sync!$AK1364,6,2)&amp;RIGHT(Sync!$AK1364,2))&amp;"|"&amp;"4"&amp;RIGHT("00000"&amp;1359,5))</f>
        <v/>
      </c>
      <c r="W1364">
        <f>IF($V1364="",0,COUNTIFS($V$6:$V$2005,"&lt;"&amp;$V1364)-COUNTIFS($V$6:$V$2005,"&lt;"&amp;$V1364,$K$6:$K$2005,"")+1)</f>
        <v/>
      </c>
    </row>
    <row r="1365">
      <c r="A1365">
        <f>IF(Sync!$Z1365="","",LEFT(UPPER(TRIM(Sync!$Z1365)),6))</f>
        <v/>
      </c>
      <c r="B1365">
        <f>IF($A1365="","",IF(Sync!$AA1365="","",Sync!$AA1365))</f>
        <v/>
      </c>
      <c r="C1365">
        <f>IF($A1365="","",IF(Sync!$AB1365="","",Sync!$AB1365))</f>
        <v/>
      </c>
      <c r="D1365">
        <f>IF($A1365="","",IF(Sync!$AC1365="","",Sync!$AC1365))</f>
        <v/>
      </c>
      <c r="E1365">
        <f>IF($A1365="","",IF(Sync!$AD1365="","",Sync!$AD1365))</f>
        <v/>
      </c>
      <c r="F1365">
        <f>IF($A1365="","",IF(Sync!$AE1365="",0,Sync!$AE1365))</f>
        <v/>
      </c>
      <c r="G1365">
        <f>IF($A1365="","",IF(Sync!$AF1365="",0,Sync!$AF1365))</f>
        <v/>
      </c>
      <c r="H1365">
        <f>IF(OR($A1365="",ROUND($F1365+$G1365,2)=0),"",$F1365+$G1365)</f>
        <v/>
      </c>
      <c r="I1365">
        <f>IF($H1365="","",IF(ROUND($F1365,2)&gt;0,$A1365,IF($D1365="شخصی قاسم","شخصی قاسم",IF($D1365="هزینه","هزینه: "&amp;IF($E1365="","متفرقه",$E1365),IF($C1365="پاس چک","چک پرداختی",IF(OR($B1365="",COUNTIF(AcctCodesA,$B1365)=0),"متفرقه",$B1365))))))</f>
        <v/>
      </c>
      <c r="J1365">
        <f>IF($H1365="","",IF(ROUND($F1365,2)&gt;0,IF($D1365="شخصی قاسم","شخصی قاسم",IF($D1365="هزینه","هزینه: "&amp;IF($E1365="","متفرقه",$E1365),IF(OR($B1365="",COUNTIF(AcctCodesA,$B1365)=0),"متفرقه",$B1365))),$A1365))</f>
        <v/>
      </c>
      <c r="K1365">
        <f>IF($A1365="","",IF(AND($B1365&lt;&gt;"",COUNTIF(AcctCodesA,$B1365)=0),"کد طرف در INFO تعریف نشده",IF(AND($D1365="هزینه",$E1365=""),"هزینه بدون زیرگروه",IF(AND($C1365="پاس چک",OR(Sync!$AJ1365="",COUNTIF(IssueNosA,Sync!$AJ1365)=0)),"شماره چک پاس‌شده معتبر نیست",""))))</f>
        <v/>
      </c>
      <c r="V1365">
        <f>IF($K1365="","",IF(ISNUMBER(Sync!$AK1365),Sync!$AK1365,LEFT(Sync!$AK1365,4)&amp;MID(Sync!$AK1365,6,2)&amp;RIGHT(Sync!$AK1365,2))&amp;"|"&amp;"4"&amp;RIGHT("00000"&amp;1360,5))</f>
        <v/>
      </c>
      <c r="W1365">
        <f>IF($V1365="",0,COUNTIFS($V$6:$V$2005,"&lt;"&amp;$V1365)-COUNTIFS($V$6:$V$2005,"&lt;"&amp;$V1365,$K$6:$K$2005,"")+1)</f>
        <v/>
      </c>
    </row>
    <row r="1366">
      <c r="A1366">
        <f>IF(Sync!$Z1366="","",LEFT(UPPER(TRIM(Sync!$Z1366)),6))</f>
        <v/>
      </c>
      <c r="B1366">
        <f>IF($A1366="","",IF(Sync!$AA1366="","",Sync!$AA1366))</f>
        <v/>
      </c>
      <c r="C1366">
        <f>IF($A1366="","",IF(Sync!$AB1366="","",Sync!$AB1366))</f>
        <v/>
      </c>
      <c r="D1366">
        <f>IF($A1366="","",IF(Sync!$AC1366="","",Sync!$AC1366))</f>
        <v/>
      </c>
      <c r="E1366">
        <f>IF($A1366="","",IF(Sync!$AD1366="","",Sync!$AD1366))</f>
        <v/>
      </c>
      <c r="F1366">
        <f>IF($A1366="","",IF(Sync!$AE1366="",0,Sync!$AE1366))</f>
        <v/>
      </c>
      <c r="G1366">
        <f>IF($A1366="","",IF(Sync!$AF1366="",0,Sync!$AF1366))</f>
        <v/>
      </c>
      <c r="H1366">
        <f>IF(OR($A1366="",ROUND($F1366+$G1366,2)=0),"",$F1366+$G1366)</f>
        <v/>
      </c>
      <c r="I1366">
        <f>IF($H1366="","",IF(ROUND($F1366,2)&gt;0,$A1366,IF($D1366="شخصی قاسم","شخصی قاسم",IF($D1366="هزینه","هزینه: "&amp;IF($E1366="","متفرقه",$E1366),IF($C1366="پاس چک","چک پرداختی",IF(OR($B1366="",COUNTIF(AcctCodesA,$B1366)=0),"متفرقه",$B1366))))))</f>
        <v/>
      </c>
      <c r="J1366">
        <f>IF($H1366="","",IF(ROUND($F1366,2)&gt;0,IF($D1366="شخصی قاسم","شخصی قاسم",IF($D1366="هزینه","هزینه: "&amp;IF($E1366="","متفرقه",$E1366),IF(OR($B1366="",COUNTIF(AcctCodesA,$B1366)=0),"متفرقه",$B1366))),$A1366))</f>
        <v/>
      </c>
      <c r="K1366">
        <f>IF($A1366="","",IF(AND($B1366&lt;&gt;"",COUNTIF(AcctCodesA,$B1366)=0),"کد طرف در INFO تعریف نشده",IF(AND($D1366="هزینه",$E1366=""),"هزینه بدون زیرگروه",IF(AND($C1366="پاس چک",OR(Sync!$AJ1366="",COUNTIF(IssueNosA,Sync!$AJ1366)=0)),"شماره چک پاس‌شده معتبر نیست",""))))</f>
        <v/>
      </c>
      <c r="V1366">
        <f>IF($K1366="","",IF(ISNUMBER(Sync!$AK1366),Sync!$AK1366,LEFT(Sync!$AK1366,4)&amp;MID(Sync!$AK1366,6,2)&amp;RIGHT(Sync!$AK1366,2))&amp;"|"&amp;"4"&amp;RIGHT("00000"&amp;1361,5))</f>
        <v/>
      </c>
      <c r="W1366">
        <f>IF($V1366="",0,COUNTIFS($V$6:$V$2005,"&lt;"&amp;$V1366)-COUNTIFS($V$6:$V$2005,"&lt;"&amp;$V1366,$K$6:$K$2005,"")+1)</f>
        <v/>
      </c>
    </row>
    <row r="1367">
      <c r="A1367">
        <f>IF(Sync!$Z1367="","",LEFT(UPPER(TRIM(Sync!$Z1367)),6))</f>
        <v/>
      </c>
      <c r="B1367">
        <f>IF($A1367="","",IF(Sync!$AA1367="","",Sync!$AA1367))</f>
        <v/>
      </c>
      <c r="C1367">
        <f>IF($A1367="","",IF(Sync!$AB1367="","",Sync!$AB1367))</f>
        <v/>
      </c>
      <c r="D1367">
        <f>IF($A1367="","",IF(Sync!$AC1367="","",Sync!$AC1367))</f>
        <v/>
      </c>
      <c r="E1367">
        <f>IF($A1367="","",IF(Sync!$AD1367="","",Sync!$AD1367))</f>
        <v/>
      </c>
      <c r="F1367">
        <f>IF($A1367="","",IF(Sync!$AE1367="",0,Sync!$AE1367))</f>
        <v/>
      </c>
      <c r="G1367">
        <f>IF($A1367="","",IF(Sync!$AF1367="",0,Sync!$AF1367))</f>
        <v/>
      </c>
      <c r="H1367">
        <f>IF(OR($A1367="",ROUND($F1367+$G1367,2)=0),"",$F1367+$G1367)</f>
        <v/>
      </c>
      <c r="I1367">
        <f>IF($H1367="","",IF(ROUND($F1367,2)&gt;0,$A1367,IF($D1367="شخصی قاسم","شخصی قاسم",IF($D1367="هزینه","هزینه: "&amp;IF($E1367="","متفرقه",$E1367),IF($C1367="پاس چک","چک پرداختی",IF(OR($B1367="",COUNTIF(AcctCodesA,$B1367)=0),"متفرقه",$B1367))))))</f>
        <v/>
      </c>
      <c r="J1367">
        <f>IF($H1367="","",IF(ROUND($F1367,2)&gt;0,IF($D1367="شخصی قاسم","شخصی قاسم",IF($D1367="هزینه","هزینه: "&amp;IF($E1367="","متفرقه",$E1367),IF(OR($B1367="",COUNTIF(AcctCodesA,$B1367)=0),"متفرقه",$B1367))),$A1367))</f>
        <v/>
      </c>
      <c r="K1367">
        <f>IF($A1367="","",IF(AND($B1367&lt;&gt;"",COUNTIF(AcctCodesA,$B1367)=0),"کد طرف در INFO تعریف نشده",IF(AND($D1367="هزینه",$E1367=""),"هزینه بدون زیرگروه",IF(AND($C1367="پاس چک",OR(Sync!$AJ1367="",COUNTIF(IssueNosA,Sync!$AJ1367)=0)),"شماره چک پاس‌شده معتبر نیست",""))))</f>
        <v/>
      </c>
      <c r="V1367">
        <f>IF($K1367="","",IF(ISNUMBER(Sync!$AK1367),Sync!$AK1367,LEFT(Sync!$AK1367,4)&amp;MID(Sync!$AK1367,6,2)&amp;RIGHT(Sync!$AK1367,2))&amp;"|"&amp;"4"&amp;RIGHT("00000"&amp;1362,5))</f>
        <v/>
      </c>
      <c r="W1367">
        <f>IF($V1367="",0,COUNTIFS($V$6:$V$2005,"&lt;"&amp;$V1367)-COUNTIFS($V$6:$V$2005,"&lt;"&amp;$V1367,$K$6:$K$2005,"")+1)</f>
        <v/>
      </c>
    </row>
    <row r="1368">
      <c r="A1368">
        <f>IF(Sync!$Z1368="","",LEFT(UPPER(TRIM(Sync!$Z1368)),6))</f>
        <v/>
      </c>
      <c r="B1368">
        <f>IF($A1368="","",IF(Sync!$AA1368="","",Sync!$AA1368))</f>
        <v/>
      </c>
      <c r="C1368">
        <f>IF($A1368="","",IF(Sync!$AB1368="","",Sync!$AB1368))</f>
        <v/>
      </c>
      <c r="D1368">
        <f>IF($A1368="","",IF(Sync!$AC1368="","",Sync!$AC1368))</f>
        <v/>
      </c>
      <c r="E1368">
        <f>IF($A1368="","",IF(Sync!$AD1368="","",Sync!$AD1368))</f>
        <v/>
      </c>
      <c r="F1368">
        <f>IF($A1368="","",IF(Sync!$AE1368="",0,Sync!$AE1368))</f>
        <v/>
      </c>
      <c r="G1368">
        <f>IF($A1368="","",IF(Sync!$AF1368="",0,Sync!$AF1368))</f>
        <v/>
      </c>
      <c r="H1368">
        <f>IF(OR($A1368="",ROUND($F1368+$G1368,2)=0),"",$F1368+$G1368)</f>
        <v/>
      </c>
      <c r="I1368">
        <f>IF($H1368="","",IF(ROUND($F1368,2)&gt;0,$A1368,IF($D1368="شخصی قاسم","شخصی قاسم",IF($D1368="هزینه","هزینه: "&amp;IF($E1368="","متفرقه",$E1368),IF($C1368="پاس چک","چک پرداختی",IF(OR($B1368="",COUNTIF(AcctCodesA,$B1368)=0),"متفرقه",$B1368))))))</f>
        <v/>
      </c>
      <c r="J1368">
        <f>IF($H1368="","",IF(ROUND($F1368,2)&gt;0,IF($D1368="شخصی قاسم","شخصی قاسم",IF($D1368="هزینه","هزینه: "&amp;IF($E1368="","متفرقه",$E1368),IF(OR($B1368="",COUNTIF(AcctCodesA,$B1368)=0),"متفرقه",$B1368))),$A1368))</f>
        <v/>
      </c>
      <c r="K1368">
        <f>IF($A1368="","",IF(AND($B1368&lt;&gt;"",COUNTIF(AcctCodesA,$B1368)=0),"کد طرف در INFO تعریف نشده",IF(AND($D1368="هزینه",$E1368=""),"هزینه بدون زیرگروه",IF(AND($C1368="پاس چک",OR(Sync!$AJ1368="",COUNTIF(IssueNosA,Sync!$AJ1368)=0)),"شماره چک پاس‌شده معتبر نیست",""))))</f>
        <v/>
      </c>
      <c r="V1368">
        <f>IF($K1368="","",IF(ISNUMBER(Sync!$AK1368),Sync!$AK1368,LEFT(Sync!$AK1368,4)&amp;MID(Sync!$AK1368,6,2)&amp;RIGHT(Sync!$AK1368,2))&amp;"|"&amp;"4"&amp;RIGHT("00000"&amp;1363,5))</f>
        <v/>
      </c>
      <c r="W1368">
        <f>IF($V1368="",0,COUNTIFS($V$6:$V$2005,"&lt;"&amp;$V1368)-COUNTIFS($V$6:$V$2005,"&lt;"&amp;$V1368,$K$6:$K$2005,"")+1)</f>
        <v/>
      </c>
    </row>
    <row r="1369">
      <c r="A1369">
        <f>IF(Sync!$Z1369="","",LEFT(UPPER(TRIM(Sync!$Z1369)),6))</f>
        <v/>
      </c>
      <c r="B1369">
        <f>IF($A1369="","",IF(Sync!$AA1369="","",Sync!$AA1369))</f>
        <v/>
      </c>
      <c r="C1369">
        <f>IF($A1369="","",IF(Sync!$AB1369="","",Sync!$AB1369))</f>
        <v/>
      </c>
      <c r="D1369">
        <f>IF($A1369="","",IF(Sync!$AC1369="","",Sync!$AC1369))</f>
        <v/>
      </c>
      <c r="E1369">
        <f>IF($A1369="","",IF(Sync!$AD1369="","",Sync!$AD1369))</f>
        <v/>
      </c>
      <c r="F1369">
        <f>IF($A1369="","",IF(Sync!$AE1369="",0,Sync!$AE1369))</f>
        <v/>
      </c>
      <c r="G1369">
        <f>IF($A1369="","",IF(Sync!$AF1369="",0,Sync!$AF1369))</f>
        <v/>
      </c>
      <c r="H1369">
        <f>IF(OR($A1369="",ROUND($F1369+$G1369,2)=0),"",$F1369+$G1369)</f>
        <v/>
      </c>
      <c r="I1369">
        <f>IF($H1369="","",IF(ROUND($F1369,2)&gt;0,$A1369,IF($D1369="شخصی قاسم","شخصی قاسم",IF($D1369="هزینه","هزینه: "&amp;IF($E1369="","متفرقه",$E1369),IF($C1369="پاس چک","چک پرداختی",IF(OR($B1369="",COUNTIF(AcctCodesA,$B1369)=0),"متفرقه",$B1369))))))</f>
        <v/>
      </c>
      <c r="J1369">
        <f>IF($H1369="","",IF(ROUND($F1369,2)&gt;0,IF($D1369="شخصی قاسم","شخصی قاسم",IF($D1369="هزینه","هزینه: "&amp;IF($E1369="","متفرقه",$E1369),IF(OR($B1369="",COUNTIF(AcctCodesA,$B1369)=0),"متفرقه",$B1369))),$A1369))</f>
        <v/>
      </c>
      <c r="K1369">
        <f>IF($A1369="","",IF(AND($B1369&lt;&gt;"",COUNTIF(AcctCodesA,$B1369)=0),"کد طرف در INFO تعریف نشده",IF(AND($D1369="هزینه",$E1369=""),"هزینه بدون زیرگروه",IF(AND($C1369="پاس چک",OR(Sync!$AJ1369="",COUNTIF(IssueNosA,Sync!$AJ1369)=0)),"شماره چک پاس‌شده معتبر نیست",""))))</f>
        <v/>
      </c>
      <c r="V1369">
        <f>IF($K1369="","",IF(ISNUMBER(Sync!$AK1369),Sync!$AK1369,LEFT(Sync!$AK1369,4)&amp;MID(Sync!$AK1369,6,2)&amp;RIGHT(Sync!$AK1369,2))&amp;"|"&amp;"4"&amp;RIGHT("00000"&amp;1364,5))</f>
        <v/>
      </c>
      <c r="W1369">
        <f>IF($V1369="",0,COUNTIFS($V$6:$V$2005,"&lt;"&amp;$V1369)-COUNTIFS($V$6:$V$2005,"&lt;"&amp;$V1369,$K$6:$K$2005,"")+1)</f>
        <v/>
      </c>
    </row>
    <row r="1370">
      <c r="A1370">
        <f>IF(Sync!$Z1370="","",LEFT(UPPER(TRIM(Sync!$Z1370)),6))</f>
        <v/>
      </c>
      <c r="B1370">
        <f>IF($A1370="","",IF(Sync!$AA1370="","",Sync!$AA1370))</f>
        <v/>
      </c>
      <c r="C1370">
        <f>IF($A1370="","",IF(Sync!$AB1370="","",Sync!$AB1370))</f>
        <v/>
      </c>
      <c r="D1370">
        <f>IF($A1370="","",IF(Sync!$AC1370="","",Sync!$AC1370))</f>
        <v/>
      </c>
      <c r="E1370">
        <f>IF($A1370="","",IF(Sync!$AD1370="","",Sync!$AD1370))</f>
        <v/>
      </c>
      <c r="F1370">
        <f>IF($A1370="","",IF(Sync!$AE1370="",0,Sync!$AE1370))</f>
        <v/>
      </c>
      <c r="G1370">
        <f>IF($A1370="","",IF(Sync!$AF1370="",0,Sync!$AF1370))</f>
        <v/>
      </c>
      <c r="H1370">
        <f>IF(OR($A1370="",ROUND($F1370+$G1370,2)=0),"",$F1370+$G1370)</f>
        <v/>
      </c>
      <c r="I1370">
        <f>IF($H1370="","",IF(ROUND($F1370,2)&gt;0,$A1370,IF($D1370="شخصی قاسم","شخصی قاسم",IF($D1370="هزینه","هزینه: "&amp;IF($E1370="","متفرقه",$E1370),IF($C1370="پاس چک","چک پرداختی",IF(OR($B1370="",COUNTIF(AcctCodesA,$B1370)=0),"متفرقه",$B1370))))))</f>
        <v/>
      </c>
      <c r="J1370">
        <f>IF($H1370="","",IF(ROUND($F1370,2)&gt;0,IF($D1370="شخصی قاسم","شخصی قاسم",IF($D1370="هزینه","هزینه: "&amp;IF($E1370="","متفرقه",$E1370),IF(OR($B1370="",COUNTIF(AcctCodesA,$B1370)=0),"متفرقه",$B1370))),$A1370))</f>
        <v/>
      </c>
      <c r="K1370">
        <f>IF($A1370="","",IF(AND($B1370&lt;&gt;"",COUNTIF(AcctCodesA,$B1370)=0),"کد طرف در INFO تعریف نشده",IF(AND($D1370="هزینه",$E1370=""),"هزینه بدون زیرگروه",IF(AND($C1370="پاس چک",OR(Sync!$AJ1370="",COUNTIF(IssueNosA,Sync!$AJ1370)=0)),"شماره چک پاس‌شده معتبر نیست",""))))</f>
        <v/>
      </c>
      <c r="V1370">
        <f>IF($K1370="","",IF(ISNUMBER(Sync!$AK1370),Sync!$AK1370,LEFT(Sync!$AK1370,4)&amp;MID(Sync!$AK1370,6,2)&amp;RIGHT(Sync!$AK1370,2))&amp;"|"&amp;"4"&amp;RIGHT("00000"&amp;1365,5))</f>
        <v/>
      </c>
      <c r="W1370">
        <f>IF($V1370="",0,COUNTIFS($V$6:$V$2005,"&lt;"&amp;$V1370)-COUNTIFS($V$6:$V$2005,"&lt;"&amp;$V1370,$K$6:$K$2005,"")+1)</f>
        <v/>
      </c>
    </row>
    <row r="1371">
      <c r="A1371">
        <f>IF(Sync!$Z1371="","",LEFT(UPPER(TRIM(Sync!$Z1371)),6))</f>
        <v/>
      </c>
      <c r="B1371">
        <f>IF($A1371="","",IF(Sync!$AA1371="","",Sync!$AA1371))</f>
        <v/>
      </c>
      <c r="C1371">
        <f>IF($A1371="","",IF(Sync!$AB1371="","",Sync!$AB1371))</f>
        <v/>
      </c>
      <c r="D1371">
        <f>IF($A1371="","",IF(Sync!$AC1371="","",Sync!$AC1371))</f>
        <v/>
      </c>
      <c r="E1371">
        <f>IF($A1371="","",IF(Sync!$AD1371="","",Sync!$AD1371))</f>
        <v/>
      </c>
      <c r="F1371">
        <f>IF($A1371="","",IF(Sync!$AE1371="",0,Sync!$AE1371))</f>
        <v/>
      </c>
      <c r="G1371">
        <f>IF($A1371="","",IF(Sync!$AF1371="",0,Sync!$AF1371))</f>
        <v/>
      </c>
      <c r="H1371">
        <f>IF(OR($A1371="",ROUND($F1371+$G1371,2)=0),"",$F1371+$G1371)</f>
        <v/>
      </c>
      <c r="I1371">
        <f>IF($H1371="","",IF(ROUND($F1371,2)&gt;0,$A1371,IF($D1371="شخصی قاسم","شخصی قاسم",IF($D1371="هزینه","هزینه: "&amp;IF($E1371="","متفرقه",$E1371),IF($C1371="پاس چک","چک پرداختی",IF(OR($B1371="",COUNTIF(AcctCodesA,$B1371)=0),"متفرقه",$B1371))))))</f>
        <v/>
      </c>
      <c r="J1371">
        <f>IF($H1371="","",IF(ROUND($F1371,2)&gt;0,IF($D1371="شخصی قاسم","شخصی قاسم",IF($D1371="هزینه","هزینه: "&amp;IF($E1371="","متفرقه",$E1371),IF(OR($B1371="",COUNTIF(AcctCodesA,$B1371)=0),"متفرقه",$B1371))),$A1371))</f>
        <v/>
      </c>
      <c r="K1371">
        <f>IF($A1371="","",IF(AND($B1371&lt;&gt;"",COUNTIF(AcctCodesA,$B1371)=0),"کد طرف در INFO تعریف نشده",IF(AND($D1371="هزینه",$E1371=""),"هزینه بدون زیرگروه",IF(AND($C1371="پاس چک",OR(Sync!$AJ1371="",COUNTIF(IssueNosA,Sync!$AJ1371)=0)),"شماره چک پاس‌شده معتبر نیست",""))))</f>
        <v/>
      </c>
      <c r="V1371">
        <f>IF($K1371="","",IF(ISNUMBER(Sync!$AK1371),Sync!$AK1371,LEFT(Sync!$AK1371,4)&amp;MID(Sync!$AK1371,6,2)&amp;RIGHT(Sync!$AK1371,2))&amp;"|"&amp;"4"&amp;RIGHT("00000"&amp;1366,5))</f>
        <v/>
      </c>
      <c r="W1371">
        <f>IF($V1371="",0,COUNTIFS($V$6:$V$2005,"&lt;"&amp;$V1371)-COUNTIFS($V$6:$V$2005,"&lt;"&amp;$V1371,$K$6:$K$2005,"")+1)</f>
        <v/>
      </c>
    </row>
    <row r="1372">
      <c r="A1372">
        <f>IF(Sync!$Z1372="","",LEFT(UPPER(TRIM(Sync!$Z1372)),6))</f>
        <v/>
      </c>
      <c r="B1372">
        <f>IF($A1372="","",IF(Sync!$AA1372="","",Sync!$AA1372))</f>
        <v/>
      </c>
      <c r="C1372">
        <f>IF($A1372="","",IF(Sync!$AB1372="","",Sync!$AB1372))</f>
        <v/>
      </c>
      <c r="D1372">
        <f>IF($A1372="","",IF(Sync!$AC1372="","",Sync!$AC1372))</f>
        <v/>
      </c>
      <c r="E1372">
        <f>IF($A1372="","",IF(Sync!$AD1372="","",Sync!$AD1372))</f>
        <v/>
      </c>
      <c r="F1372">
        <f>IF($A1372="","",IF(Sync!$AE1372="",0,Sync!$AE1372))</f>
        <v/>
      </c>
      <c r="G1372">
        <f>IF($A1372="","",IF(Sync!$AF1372="",0,Sync!$AF1372))</f>
        <v/>
      </c>
      <c r="H1372">
        <f>IF(OR($A1372="",ROUND($F1372+$G1372,2)=0),"",$F1372+$G1372)</f>
        <v/>
      </c>
      <c r="I1372">
        <f>IF($H1372="","",IF(ROUND($F1372,2)&gt;0,$A1372,IF($D1372="شخصی قاسم","شخصی قاسم",IF($D1372="هزینه","هزینه: "&amp;IF($E1372="","متفرقه",$E1372),IF($C1372="پاس چک","چک پرداختی",IF(OR($B1372="",COUNTIF(AcctCodesA,$B1372)=0),"متفرقه",$B1372))))))</f>
        <v/>
      </c>
      <c r="J1372">
        <f>IF($H1372="","",IF(ROUND($F1372,2)&gt;0,IF($D1372="شخصی قاسم","شخصی قاسم",IF($D1372="هزینه","هزینه: "&amp;IF($E1372="","متفرقه",$E1372),IF(OR($B1372="",COUNTIF(AcctCodesA,$B1372)=0),"متفرقه",$B1372))),$A1372))</f>
        <v/>
      </c>
      <c r="K1372">
        <f>IF($A1372="","",IF(AND($B1372&lt;&gt;"",COUNTIF(AcctCodesA,$B1372)=0),"کد طرف در INFO تعریف نشده",IF(AND($D1372="هزینه",$E1372=""),"هزینه بدون زیرگروه",IF(AND($C1372="پاس چک",OR(Sync!$AJ1372="",COUNTIF(IssueNosA,Sync!$AJ1372)=0)),"شماره چک پاس‌شده معتبر نیست",""))))</f>
        <v/>
      </c>
      <c r="V1372">
        <f>IF($K1372="","",IF(ISNUMBER(Sync!$AK1372),Sync!$AK1372,LEFT(Sync!$AK1372,4)&amp;MID(Sync!$AK1372,6,2)&amp;RIGHT(Sync!$AK1372,2))&amp;"|"&amp;"4"&amp;RIGHT("00000"&amp;1367,5))</f>
        <v/>
      </c>
      <c r="W1372">
        <f>IF($V1372="",0,COUNTIFS($V$6:$V$2005,"&lt;"&amp;$V1372)-COUNTIFS($V$6:$V$2005,"&lt;"&amp;$V1372,$K$6:$K$2005,"")+1)</f>
        <v/>
      </c>
    </row>
    <row r="1373">
      <c r="A1373">
        <f>IF(Sync!$Z1373="","",LEFT(UPPER(TRIM(Sync!$Z1373)),6))</f>
        <v/>
      </c>
      <c r="B1373">
        <f>IF($A1373="","",IF(Sync!$AA1373="","",Sync!$AA1373))</f>
        <v/>
      </c>
      <c r="C1373">
        <f>IF($A1373="","",IF(Sync!$AB1373="","",Sync!$AB1373))</f>
        <v/>
      </c>
      <c r="D1373">
        <f>IF($A1373="","",IF(Sync!$AC1373="","",Sync!$AC1373))</f>
        <v/>
      </c>
      <c r="E1373">
        <f>IF($A1373="","",IF(Sync!$AD1373="","",Sync!$AD1373))</f>
        <v/>
      </c>
      <c r="F1373">
        <f>IF($A1373="","",IF(Sync!$AE1373="",0,Sync!$AE1373))</f>
        <v/>
      </c>
      <c r="G1373">
        <f>IF($A1373="","",IF(Sync!$AF1373="",0,Sync!$AF1373))</f>
        <v/>
      </c>
      <c r="H1373">
        <f>IF(OR($A1373="",ROUND($F1373+$G1373,2)=0),"",$F1373+$G1373)</f>
        <v/>
      </c>
      <c r="I1373">
        <f>IF($H1373="","",IF(ROUND($F1373,2)&gt;0,$A1373,IF($D1373="شخصی قاسم","شخصی قاسم",IF($D1373="هزینه","هزینه: "&amp;IF($E1373="","متفرقه",$E1373),IF($C1373="پاس چک","چک پرداختی",IF(OR($B1373="",COUNTIF(AcctCodesA,$B1373)=0),"متفرقه",$B1373))))))</f>
        <v/>
      </c>
      <c r="J1373">
        <f>IF($H1373="","",IF(ROUND($F1373,2)&gt;0,IF($D1373="شخصی قاسم","شخصی قاسم",IF($D1373="هزینه","هزینه: "&amp;IF($E1373="","متفرقه",$E1373),IF(OR($B1373="",COUNTIF(AcctCodesA,$B1373)=0),"متفرقه",$B1373))),$A1373))</f>
        <v/>
      </c>
      <c r="K1373">
        <f>IF($A1373="","",IF(AND($B1373&lt;&gt;"",COUNTIF(AcctCodesA,$B1373)=0),"کد طرف در INFO تعریف نشده",IF(AND($D1373="هزینه",$E1373=""),"هزینه بدون زیرگروه",IF(AND($C1373="پاس چک",OR(Sync!$AJ1373="",COUNTIF(IssueNosA,Sync!$AJ1373)=0)),"شماره چک پاس‌شده معتبر نیست",""))))</f>
        <v/>
      </c>
      <c r="V1373">
        <f>IF($K1373="","",IF(ISNUMBER(Sync!$AK1373),Sync!$AK1373,LEFT(Sync!$AK1373,4)&amp;MID(Sync!$AK1373,6,2)&amp;RIGHT(Sync!$AK1373,2))&amp;"|"&amp;"4"&amp;RIGHT("00000"&amp;1368,5))</f>
        <v/>
      </c>
      <c r="W1373">
        <f>IF($V1373="",0,COUNTIFS($V$6:$V$2005,"&lt;"&amp;$V1373)-COUNTIFS($V$6:$V$2005,"&lt;"&amp;$V1373,$K$6:$K$2005,"")+1)</f>
        <v/>
      </c>
    </row>
    <row r="1374">
      <c r="A1374">
        <f>IF(Sync!$Z1374="","",LEFT(UPPER(TRIM(Sync!$Z1374)),6))</f>
        <v/>
      </c>
      <c r="B1374">
        <f>IF($A1374="","",IF(Sync!$AA1374="","",Sync!$AA1374))</f>
        <v/>
      </c>
      <c r="C1374">
        <f>IF($A1374="","",IF(Sync!$AB1374="","",Sync!$AB1374))</f>
        <v/>
      </c>
      <c r="D1374">
        <f>IF($A1374="","",IF(Sync!$AC1374="","",Sync!$AC1374))</f>
        <v/>
      </c>
      <c r="E1374">
        <f>IF($A1374="","",IF(Sync!$AD1374="","",Sync!$AD1374))</f>
        <v/>
      </c>
      <c r="F1374">
        <f>IF($A1374="","",IF(Sync!$AE1374="",0,Sync!$AE1374))</f>
        <v/>
      </c>
      <c r="G1374">
        <f>IF($A1374="","",IF(Sync!$AF1374="",0,Sync!$AF1374))</f>
        <v/>
      </c>
      <c r="H1374">
        <f>IF(OR($A1374="",ROUND($F1374+$G1374,2)=0),"",$F1374+$G1374)</f>
        <v/>
      </c>
      <c r="I1374">
        <f>IF($H1374="","",IF(ROUND($F1374,2)&gt;0,$A1374,IF($D1374="شخصی قاسم","شخصی قاسم",IF($D1374="هزینه","هزینه: "&amp;IF($E1374="","متفرقه",$E1374),IF($C1374="پاس چک","چک پرداختی",IF(OR($B1374="",COUNTIF(AcctCodesA,$B1374)=0),"متفرقه",$B1374))))))</f>
        <v/>
      </c>
      <c r="J1374">
        <f>IF($H1374="","",IF(ROUND($F1374,2)&gt;0,IF($D1374="شخصی قاسم","شخصی قاسم",IF($D1374="هزینه","هزینه: "&amp;IF($E1374="","متفرقه",$E1374),IF(OR($B1374="",COUNTIF(AcctCodesA,$B1374)=0),"متفرقه",$B1374))),$A1374))</f>
        <v/>
      </c>
      <c r="K1374">
        <f>IF($A1374="","",IF(AND($B1374&lt;&gt;"",COUNTIF(AcctCodesA,$B1374)=0),"کد طرف در INFO تعریف نشده",IF(AND($D1374="هزینه",$E1374=""),"هزینه بدون زیرگروه",IF(AND($C1374="پاس چک",OR(Sync!$AJ1374="",COUNTIF(IssueNosA,Sync!$AJ1374)=0)),"شماره چک پاس‌شده معتبر نیست",""))))</f>
        <v/>
      </c>
      <c r="V1374">
        <f>IF($K1374="","",IF(ISNUMBER(Sync!$AK1374),Sync!$AK1374,LEFT(Sync!$AK1374,4)&amp;MID(Sync!$AK1374,6,2)&amp;RIGHT(Sync!$AK1374,2))&amp;"|"&amp;"4"&amp;RIGHT("00000"&amp;1369,5))</f>
        <v/>
      </c>
      <c r="W1374">
        <f>IF($V1374="",0,COUNTIFS($V$6:$V$2005,"&lt;"&amp;$V1374)-COUNTIFS($V$6:$V$2005,"&lt;"&amp;$V1374,$K$6:$K$2005,"")+1)</f>
        <v/>
      </c>
    </row>
    <row r="1375">
      <c r="A1375">
        <f>IF(Sync!$Z1375="","",LEFT(UPPER(TRIM(Sync!$Z1375)),6))</f>
        <v/>
      </c>
      <c r="B1375">
        <f>IF($A1375="","",IF(Sync!$AA1375="","",Sync!$AA1375))</f>
        <v/>
      </c>
      <c r="C1375">
        <f>IF($A1375="","",IF(Sync!$AB1375="","",Sync!$AB1375))</f>
        <v/>
      </c>
      <c r="D1375">
        <f>IF($A1375="","",IF(Sync!$AC1375="","",Sync!$AC1375))</f>
        <v/>
      </c>
      <c r="E1375">
        <f>IF($A1375="","",IF(Sync!$AD1375="","",Sync!$AD1375))</f>
        <v/>
      </c>
      <c r="F1375">
        <f>IF($A1375="","",IF(Sync!$AE1375="",0,Sync!$AE1375))</f>
        <v/>
      </c>
      <c r="G1375">
        <f>IF($A1375="","",IF(Sync!$AF1375="",0,Sync!$AF1375))</f>
        <v/>
      </c>
      <c r="H1375">
        <f>IF(OR($A1375="",ROUND($F1375+$G1375,2)=0),"",$F1375+$G1375)</f>
        <v/>
      </c>
      <c r="I1375">
        <f>IF($H1375="","",IF(ROUND($F1375,2)&gt;0,$A1375,IF($D1375="شخصی قاسم","شخصی قاسم",IF($D1375="هزینه","هزینه: "&amp;IF($E1375="","متفرقه",$E1375),IF($C1375="پاس چک","چک پرداختی",IF(OR($B1375="",COUNTIF(AcctCodesA,$B1375)=0),"متفرقه",$B1375))))))</f>
        <v/>
      </c>
      <c r="J1375">
        <f>IF($H1375="","",IF(ROUND($F1375,2)&gt;0,IF($D1375="شخصی قاسم","شخصی قاسم",IF($D1375="هزینه","هزینه: "&amp;IF($E1375="","متفرقه",$E1375),IF(OR($B1375="",COUNTIF(AcctCodesA,$B1375)=0),"متفرقه",$B1375))),$A1375))</f>
        <v/>
      </c>
      <c r="K1375">
        <f>IF($A1375="","",IF(AND($B1375&lt;&gt;"",COUNTIF(AcctCodesA,$B1375)=0),"کد طرف در INFO تعریف نشده",IF(AND($D1375="هزینه",$E1375=""),"هزینه بدون زیرگروه",IF(AND($C1375="پاس چک",OR(Sync!$AJ1375="",COUNTIF(IssueNosA,Sync!$AJ1375)=0)),"شماره چک پاس‌شده معتبر نیست",""))))</f>
        <v/>
      </c>
      <c r="V1375">
        <f>IF($K1375="","",IF(ISNUMBER(Sync!$AK1375),Sync!$AK1375,LEFT(Sync!$AK1375,4)&amp;MID(Sync!$AK1375,6,2)&amp;RIGHT(Sync!$AK1375,2))&amp;"|"&amp;"4"&amp;RIGHT("00000"&amp;1370,5))</f>
        <v/>
      </c>
      <c r="W1375">
        <f>IF($V1375="",0,COUNTIFS($V$6:$V$2005,"&lt;"&amp;$V1375)-COUNTIFS($V$6:$V$2005,"&lt;"&amp;$V1375,$K$6:$K$2005,"")+1)</f>
        <v/>
      </c>
    </row>
    <row r="1376">
      <c r="A1376">
        <f>IF(Sync!$Z1376="","",LEFT(UPPER(TRIM(Sync!$Z1376)),6))</f>
        <v/>
      </c>
      <c r="B1376">
        <f>IF($A1376="","",IF(Sync!$AA1376="","",Sync!$AA1376))</f>
        <v/>
      </c>
      <c r="C1376">
        <f>IF($A1376="","",IF(Sync!$AB1376="","",Sync!$AB1376))</f>
        <v/>
      </c>
      <c r="D1376">
        <f>IF($A1376="","",IF(Sync!$AC1376="","",Sync!$AC1376))</f>
        <v/>
      </c>
      <c r="E1376">
        <f>IF($A1376="","",IF(Sync!$AD1376="","",Sync!$AD1376))</f>
        <v/>
      </c>
      <c r="F1376">
        <f>IF($A1376="","",IF(Sync!$AE1376="",0,Sync!$AE1376))</f>
        <v/>
      </c>
      <c r="G1376">
        <f>IF($A1376="","",IF(Sync!$AF1376="",0,Sync!$AF1376))</f>
        <v/>
      </c>
      <c r="H1376">
        <f>IF(OR($A1376="",ROUND($F1376+$G1376,2)=0),"",$F1376+$G1376)</f>
        <v/>
      </c>
      <c r="I1376">
        <f>IF($H1376="","",IF(ROUND($F1376,2)&gt;0,$A1376,IF($D1376="شخصی قاسم","شخصی قاسم",IF($D1376="هزینه","هزینه: "&amp;IF($E1376="","متفرقه",$E1376),IF($C1376="پاس چک","چک پرداختی",IF(OR($B1376="",COUNTIF(AcctCodesA,$B1376)=0),"متفرقه",$B1376))))))</f>
        <v/>
      </c>
      <c r="J1376">
        <f>IF($H1376="","",IF(ROUND($F1376,2)&gt;0,IF($D1376="شخصی قاسم","شخصی قاسم",IF($D1376="هزینه","هزینه: "&amp;IF($E1376="","متفرقه",$E1376),IF(OR($B1376="",COUNTIF(AcctCodesA,$B1376)=0),"متفرقه",$B1376))),$A1376))</f>
        <v/>
      </c>
      <c r="K1376">
        <f>IF($A1376="","",IF(AND($B1376&lt;&gt;"",COUNTIF(AcctCodesA,$B1376)=0),"کد طرف در INFO تعریف نشده",IF(AND($D1376="هزینه",$E1376=""),"هزینه بدون زیرگروه",IF(AND($C1376="پاس چک",OR(Sync!$AJ1376="",COUNTIF(IssueNosA,Sync!$AJ1376)=0)),"شماره چک پاس‌شده معتبر نیست",""))))</f>
        <v/>
      </c>
      <c r="V1376">
        <f>IF($K1376="","",IF(ISNUMBER(Sync!$AK1376),Sync!$AK1376,LEFT(Sync!$AK1376,4)&amp;MID(Sync!$AK1376,6,2)&amp;RIGHT(Sync!$AK1376,2))&amp;"|"&amp;"4"&amp;RIGHT("00000"&amp;1371,5))</f>
        <v/>
      </c>
      <c r="W1376">
        <f>IF($V1376="",0,COUNTIFS($V$6:$V$2005,"&lt;"&amp;$V1376)-COUNTIFS($V$6:$V$2005,"&lt;"&amp;$V1376,$K$6:$K$2005,"")+1)</f>
        <v/>
      </c>
    </row>
    <row r="1377">
      <c r="A1377">
        <f>IF(Sync!$Z1377="","",LEFT(UPPER(TRIM(Sync!$Z1377)),6))</f>
        <v/>
      </c>
      <c r="B1377">
        <f>IF($A1377="","",IF(Sync!$AA1377="","",Sync!$AA1377))</f>
        <v/>
      </c>
      <c r="C1377">
        <f>IF($A1377="","",IF(Sync!$AB1377="","",Sync!$AB1377))</f>
        <v/>
      </c>
      <c r="D1377">
        <f>IF($A1377="","",IF(Sync!$AC1377="","",Sync!$AC1377))</f>
        <v/>
      </c>
      <c r="E1377">
        <f>IF($A1377="","",IF(Sync!$AD1377="","",Sync!$AD1377))</f>
        <v/>
      </c>
      <c r="F1377">
        <f>IF($A1377="","",IF(Sync!$AE1377="",0,Sync!$AE1377))</f>
        <v/>
      </c>
      <c r="G1377">
        <f>IF($A1377="","",IF(Sync!$AF1377="",0,Sync!$AF1377))</f>
        <v/>
      </c>
      <c r="H1377">
        <f>IF(OR($A1377="",ROUND($F1377+$G1377,2)=0),"",$F1377+$G1377)</f>
        <v/>
      </c>
      <c r="I1377">
        <f>IF($H1377="","",IF(ROUND($F1377,2)&gt;0,$A1377,IF($D1377="شخصی قاسم","شخصی قاسم",IF($D1377="هزینه","هزینه: "&amp;IF($E1377="","متفرقه",$E1377),IF($C1377="پاس چک","چک پرداختی",IF(OR($B1377="",COUNTIF(AcctCodesA,$B1377)=0),"متفرقه",$B1377))))))</f>
        <v/>
      </c>
      <c r="J1377">
        <f>IF($H1377="","",IF(ROUND($F1377,2)&gt;0,IF($D1377="شخصی قاسم","شخصی قاسم",IF($D1377="هزینه","هزینه: "&amp;IF($E1377="","متفرقه",$E1377),IF(OR($B1377="",COUNTIF(AcctCodesA,$B1377)=0),"متفرقه",$B1377))),$A1377))</f>
        <v/>
      </c>
      <c r="K1377">
        <f>IF($A1377="","",IF(AND($B1377&lt;&gt;"",COUNTIF(AcctCodesA,$B1377)=0),"کد طرف در INFO تعریف نشده",IF(AND($D1377="هزینه",$E1377=""),"هزینه بدون زیرگروه",IF(AND($C1377="پاس چک",OR(Sync!$AJ1377="",COUNTIF(IssueNosA,Sync!$AJ1377)=0)),"شماره چک پاس‌شده معتبر نیست",""))))</f>
        <v/>
      </c>
      <c r="V1377">
        <f>IF($K1377="","",IF(ISNUMBER(Sync!$AK1377),Sync!$AK1377,LEFT(Sync!$AK1377,4)&amp;MID(Sync!$AK1377,6,2)&amp;RIGHT(Sync!$AK1377,2))&amp;"|"&amp;"4"&amp;RIGHT("00000"&amp;1372,5))</f>
        <v/>
      </c>
      <c r="W1377">
        <f>IF($V1377="",0,COUNTIFS($V$6:$V$2005,"&lt;"&amp;$V1377)-COUNTIFS($V$6:$V$2005,"&lt;"&amp;$V1377,$K$6:$K$2005,"")+1)</f>
        <v/>
      </c>
    </row>
    <row r="1378">
      <c r="A1378">
        <f>IF(Sync!$Z1378="","",LEFT(UPPER(TRIM(Sync!$Z1378)),6))</f>
        <v/>
      </c>
      <c r="B1378">
        <f>IF($A1378="","",IF(Sync!$AA1378="","",Sync!$AA1378))</f>
        <v/>
      </c>
      <c r="C1378">
        <f>IF($A1378="","",IF(Sync!$AB1378="","",Sync!$AB1378))</f>
        <v/>
      </c>
      <c r="D1378">
        <f>IF($A1378="","",IF(Sync!$AC1378="","",Sync!$AC1378))</f>
        <v/>
      </c>
      <c r="E1378">
        <f>IF($A1378="","",IF(Sync!$AD1378="","",Sync!$AD1378))</f>
        <v/>
      </c>
      <c r="F1378">
        <f>IF($A1378="","",IF(Sync!$AE1378="",0,Sync!$AE1378))</f>
        <v/>
      </c>
      <c r="G1378">
        <f>IF($A1378="","",IF(Sync!$AF1378="",0,Sync!$AF1378))</f>
        <v/>
      </c>
      <c r="H1378">
        <f>IF(OR($A1378="",ROUND($F1378+$G1378,2)=0),"",$F1378+$G1378)</f>
        <v/>
      </c>
      <c r="I1378">
        <f>IF($H1378="","",IF(ROUND($F1378,2)&gt;0,$A1378,IF($D1378="شخصی قاسم","شخصی قاسم",IF($D1378="هزینه","هزینه: "&amp;IF($E1378="","متفرقه",$E1378),IF($C1378="پاس چک","چک پرداختی",IF(OR($B1378="",COUNTIF(AcctCodesA,$B1378)=0),"متفرقه",$B1378))))))</f>
        <v/>
      </c>
      <c r="J1378">
        <f>IF($H1378="","",IF(ROUND($F1378,2)&gt;0,IF($D1378="شخصی قاسم","شخصی قاسم",IF($D1378="هزینه","هزینه: "&amp;IF($E1378="","متفرقه",$E1378),IF(OR($B1378="",COUNTIF(AcctCodesA,$B1378)=0),"متفرقه",$B1378))),$A1378))</f>
        <v/>
      </c>
      <c r="K1378">
        <f>IF($A1378="","",IF(AND($B1378&lt;&gt;"",COUNTIF(AcctCodesA,$B1378)=0),"کد طرف در INFO تعریف نشده",IF(AND($D1378="هزینه",$E1378=""),"هزینه بدون زیرگروه",IF(AND($C1378="پاس چک",OR(Sync!$AJ1378="",COUNTIF(IssueNosA,Sync!$AJ1378)=0)),"شماره چک پاس‌شده معتبر نیست",""))))</f>
        <v/>
      </c>
      <c r="V1378">
        <f>IF($K1378="","",IF(ISNUMBER(Sync!$AK1378),Sync!$AK1378,LEFT(Sync!$AK1378,4)&amp;MID(Sync!$AK1378,6,2)&amp;RIGHT(Sync!$AK1378,2))&amp;"|"&amp;"4"&amp;RIGHT("00000"&amp;1373,5))</f>
        <v/>
      </c>
      <c r="W1378">
        <f>IF($V1378="",0,COUNTIFS($V$6:$V$2005,"&lt;"&amp;$V1378)-COUNTIFS($V$6:$V$2005,"&lt;"&amp;$V1378,$K$6:$K$2005,"")+1)</f>
        <v/>
      </c>
    </row>
    <row r="1379">
      <c r="A1379">
        <f>IF(Sync!$Z1379="","",LEFT(UPPER(TRIM(Sync!$Z1379)),6))</f>
        <v/>
      </c>
      <c r="B1379">
        <f>IF($A1379="","",IF(Sync!$AA1379="","",Sync!$AA1379))</f>
        <v/>
      </c>
      <c r="C1379">
        <f>IF($A1379="","",IF(Sync!$AB1379="","",Sync!$AB1379))</f>
        <v/>
      </c>
      <c r="D1379">
        <f>IF($A1379="","",IF(Sync!$AC1379="","",Sync!$AC1379))</f>
        <v/>
      </c>
      <c r="E1379">
        <f>IF($A1379="","",IF(Sync!$AD1379="","",Sync!$AD1379))</f>
        <v/>
      </c>
      <c r="F1379">
        <f>IF($A1379="","",IF(Sync!$AE1379="",0,Sync!$AE1379))</f>
        <v/>
      </c>
      <c r="G1379">
        <f>IF($A1379="","",IF(Sync!$AF1379="",0,Sync!$AF1379))</f>
        <v/>
      </c>
      <c r="H1379">
        <f>IF(OR($A1379="",ROUND($F1379+$G1379,2)=0),"",$F1379+$G1379)</f>
        <v/>
      </c>
      <c r="I1379">
        <f>IF($H1379="","",IF(ROUND($F1379,2)&gt;0,$A1379,IF($D1379="شخصی قاسم","شخصی قاسم",IF($D1379="هزینه","هزینه: "&amp;IF($E1379="","متفرقه",$E1379),IF($C1379="پاس چک","چک پرداختی",IF(OR($B1379="",COUNTIF(AcctCodesA,$B1379)=0),"متفرقه",$B1379))))))</f>
        <v/>
      </c>
      <c r="J1379">
        <f>IF($H1379="","",IF(ROUND($F1379,2)&gt;0,IF($D1379="شخصی قاسم","شخصی قاسم",IF($D1379="هزینه","هزینه: "&amp;IF($E1379="","متفرقه",$E1379),IF(OR($B1379="",COUNTIF(AcctCodesA,$B1379)=0),"متفرقه",$B1379))),$A1379))</f>
        <v/>
      </c>
      <c r="K1379">
        <f>IF($A1379="","",IF(AND($B1379&lt;&gt;"",COUNTIF(AcctCodesA,$B1379)=0),"کد طرف در INFO تعریف نشده",IF(AND($D1379="هزینه",$E1379=""),"هزینه بدون زیرگروه",IF(AND($C1379="پاس چک",OR(Sync!$AJ1379="",COUNTIF(IssueNosA,Sync!$AJ1379)=0)),"شماره چک پاس‌شده معتبر نیست",""))))</f>
        <v/>
      </c>
      <c r="V1379">
        <f>IF($K1379="","",IF(ISNUMBER(Sync!$AK1379),Sync!$AK1379,LEFT(Sync!$AK1379,4)&amp;MID(Sync!$AK1379,6,2)&amp;RIGHT(Sync!$AK1379,2))&amp;"|"&amp;"4"&amp;RIGHT("00000"&amp;1374,5))</f>
        <v/>
      </c>
      <c r="W1379">
        <f>IF($V1379="",0,COUNTIFS($V$6:$V$2005,"&lt;"&amp;$V1379)-COUNTIFS($V$6:$V$2005,"&lt;"&amp;$V1379,$K$6:$K$2005,"")+1)</f>
        <v/>
      </c>
    </row>
    <row r="1380">
      <c r="A1380">
        <f>IF(Sync!$Z1380="","",LEFT(UPPER(TRIM(Sync!$Z1380)),6))</f>
        <v/>
      </c>
      <c r="B1380">
        <f>IF($A1380="","",IF(Sync!$AA1380="","",Sync!$AA1380))</f>
        <v/>
      </c>
      <c r="C1380">
        <f>IF($A1380="","",IF(Sync!$AB1380="","",Sync!$AB1380))</f>
        <v/>
      </c>
      <c r="D1380">
        <f>IF($A1380="","",IF(Sync!$AC1380="","",Sync!$AC1380))</f>
        <v/>
      </c>
      <c r="E1380">
        <f>IF($A1380="","",IF(Sync!$AD1380="","",Sync!$AD1380))</f>
        <v/>
      </c>
      <c r="F1380">
        <f>IF($A1380="","",IF(Sync!$AE1380="",0,Sync!$AE1380))</f>
        <v/>
      </c>
      <c r="G1380">
        <f>IF($A1380="","",IF(Sync!$AF1380="",0,Sync!$AF1380))</f>
        <v/>
      </c>
      <c r="H1380">
        <f>IF(OR($A1380="",ROUND($F1380+$G1380,2)=0),"",$F1380+$G1380)</f>
        <v/>
      </c>
      <c r="I1380">
        <f>IF($H1380="","",IF(ROUND($F1380,2)&gt;0,$A1380,IF($D1380="شخصی قاسم","شخصی قاسم",IF($D1380="هزینه","هزینه: "&amp;IF($E1380="","متفرقه",$E1380),IF($C1380="پاس چک","چک پرداختی",IF(OR($B1380="",COUNTIF(AcctCodesA,$B1380)=0),"متفرقه",$B1380))))))</f>
        <v/>
      </c>
      <c r="J1380">
        <f>IF($H1380="","",IF(ROUND($F1380,2)&gt;0,IF($D1380="شخصی قاسم","شخصی قاسم",IF($D1380="هزینه","هزینه: "&amp;IF($E1380="","متفرقه",$E1380),IF(OR($B1380="",COUNTIF(AcctCodesA,$B1380)=0),"متفرقه",$B1380))),$A1380))</f>
        <v/>
      </c>
      <c r="K1380">
        <f>IF($A1380="","",IF(AND($B1380&lt;&gt;"",COUNTIF(AcctCodesA,$B1380)=0),"کد طرف در INFO تعریف نشده",IF(AND($D1380="هزینه",$E1380=""),"هزینه بدون زیرگروه",IF(AND($C1380="پاس چک",OR(Sync!$AJ1380="",COUNTIF(IssueNosA,Sync!$AJ1380)=0)),"شماره چک پاس‌شده معتبر نیست",""))))</f>
        <v/>
      </c>
      <c r="V1380">
        <f>IF($K1380="","",IF(ISNUMBER(Sync!$AK1380),Sync!$AK1380,LEFT(Sync!$AK1380,4)&amp;MID(Sync!$AK1380,6,2)&amp;RIGHT(Sync!$AK1380,2))&amp;"|"&amp;"4"&amp;RIGHT("00000"&amp;1375,5))</f>
        <v/>
      </c>
      <c r="W1380">
        <f>IF($V1380="",0,COUNTIFS($V$6:$V$2005,"&lt;"&amp;$V1380)-COUNTIFS($V$6:$V$2005,"&lt;"&amp;$V1380,$K$6:$K$2005,"")+1)</f>
        <v/>
      </c>
    </row>
    <row r="1381">
      <c r="A1381">
        <f>IF(Sync!$Z1381="","",LEFT(UPPER(TRIM(Sync!$Z1381)),6))</f>
        <v/>
      </c>
      <c r="B1381">
        <f>IF($A1381="","",IF(Sync!$AA1381="","",Sync!$AA1381))</f>
        <v/>
      </c>
      <c r="C1381">
        <f>IF($A1381="","",IF(Sync!$AB1381="","",Sync!$AB1381))</f>
        <v/>
      </c>
      <c r="D1381">
        <f>IF($A1381="","",IF(Sync!$AC1381="","",Sync!$AC1381))</f>
        <v/>
      </c>
      <c r="E1381">
        <f>IF($A1381="","",IF(Sync!$AD1381="","",Sync!$AD1381))</f>
        <v/>
      </c>
      <c r="F1381">
        <f>IF($A1381="","",IF(Sync!$AE1381="",0,Sync!$AE1381))</f>
        <v/>
      </c>
      <c r="G1381">
        <f>IF($A1381="","",IF(Sync!$AF1381="",0,Sync!$AF1381))</f>
        <v/>
      </c>
      <c r="H1381">
        <f>IF(OR($A1381="",ROUND($F1381+$G1381,2)=0),"",$F1381+$G1381)</f>
        <v/>
      </c>
      <c r="I1381">
        <f>IF($H1381="","",IF(ROUND($F1381,2)&gt;0,$A1381,IF($D1381="شخصی قاسم","شخصی قاسم",IF($D1381="هزینه","هزینه: "&amp;IF($E1381="","متفرقه",$E1381),IF($C1381="پاس چک","چک پرداختی",IF(OR($B1381="",COUNTIF(AcctCodesA,$B1381)=0),"متفرقه",$B1381))))))</f>
        <v/>
      </c>
      <c r="J1381">
        <f>IF($H1381="","",IF(ROUND($F1381,2)&gt;0,IF($D1381="شخصی قاسم","شخصی قاسم",IF($D1381="هزینه","هزینه: "&amp;IF($E1381="","متفرقه",$E1381),IF(OR($B1381="",COUNTIF(AcctCodesA,$B1381)=0),"متفرقه",$B1381))),$A1381))</f>
        <v/>
      </c>
      <c r="K1381">
        <f>IF($A1381="","",IF(AND($B1381&lt;&gt;"",COUNTIF(AcctCodesA,$B1381)=0),"کد طرف در INFO تعریف نشده",IF(AND($D1381="هزینه",$E1381=""),"هزینه بدون زیرگروه",IF(AND($C1381="پاس چک",OR(Sync!$AJ1381="",COUNTIF(IssueNosA,Sync!$AJ1381)=0)),"شماره چک پاس‌شده معتبر نیست",""))))</f>
        <v/>
      </c>
      <c r="V1381">
        <f>IF($K1381="","",IF(ISNUMBER(Sync!$AK1381),Sync!$AK1381,LEFT(Sync!$AK1381,4)&amp;MID(Sync!$AK1381,6,2)&amp;RIGHT(Sync!$AK1381,2))&amp;"|"&amp;"4"&amp;RIGHT("00000"&amp;1376,5))</f>
        <v/>
      </c>
      <c r="W1381">
        <f>IF($V1381="",0,COUNTIFS($V$6:$V$2005,"&lt;"&amp;$V1381)-COUNTIFS($V$6:$V$2005,"&lt;"&amp;$V1381,$K$6:$K$2005,"")+1)</f>
        <v/>
      </c>
    </row>
    <row r="1382">
      <c r="A1382">
        <f>IF(Sync!$Z1382="","",LEFT(UPPER(TRIM(Sync!$Z1382)),6))</f>
        <v/>
      </c>
      <c r="B1382">
        <f>IF($A1382="","",IF(Sync!$AA1382="","",Sync!$AA1382))</f>
        <v/>
      </c>
      <c r="C1382">
        <f>IF($A1382="","",IF(Sync!$AB1382="","",Sync!$AB1382))</f>
        <v/>
      </c>
      <c r="D1382">
        <f>IF($A1382="","",IF(Sync!$AC1382="","",Sync!$AC1382))</f>
        <v/>
      </c>
      <c r="E1382">
        <f>IF($A1382="","",IF(Sync!$AD1382="","",Sync!$AD1382))</f>
        <v/>
      </c>
      <c r="F1382">
        <f>IF($A1382="","",IF(Sync!$AE1382="",0,Sync!$AE1382))</f>
        <v/>
      </c>
      <c r="G1382">
        <f>IF($A1382="","",IF(Sync!$AF1382="",0,Sync!$AF1382))</f>
        <v/>
      </c>
      <c r="H1382">
        <f>IF(OR($A1382="",ROUND($F1382+$G1382,2)=0),"",$F1382+$G1382)</f>
        <v/>
      </c>
      <c r="I1382">
        <f>IF($H1382="","",IF(ROUND($F1382,2)&gt;0,$A1382,IF($D1382="شخصی قاسم","شخصی قاسم",IF($D1382="هزینه","هزینه: "&amp;IF($E1382="","متفرقه",$E1382),IF($C1382="پاس چک","چک پرداختی",IF(OR($B1382="",COUNTIF(AcctCodesA,$B1382)=0),"متفرقه",$B1382))))))</f>
        <v/>
      </c>
      <c r="J1382">
        <f>IF($H1382="","",IF(ROUND($F1382,2)&gt;0,IF($D1382="شخصی قاسم","شخصی قاسم",IF($D1382="هزینه","هزینه: "&amp;IF($E1382="","متفرقه",$E1382),IF(OR($B1382="",COUNTIF(AcctCodesA,$B1382)=0),"متفرقه",$B1382))),$A1382))</f>
        <v/>
      </c>
      <c r="K1382">
        <f>IF($A1382="","",IF(AND($B1382&lt;&gt;"",COUNTIF(AcctCodesA,$B1382)=0),"کد طرف در INFO تعریف نشده",IF(AND($D1382="هزینه",$E1382=""),"هزینه بدون زیرگروه",IF(AND($C1382="پاس چک",OR(Sync!$AJ1382="",COUNTIF(IssueNosA,Sync!$AJ1382)=0)),"شماره چک پاس‌شده معتبر نیست",""))))</f>
        <v/>
      </c>
      <c r="V1382">
        <f>IF($K1382="","",IF(ISNUMBER(Sync!$AK1382),Sync!$AK1382,LEFT(Sync!$AK1382,4)&amp;MID(Sync!$AK1382,6,2)&amp;RIGHT(Sync!$AK1382,2))&amp;"|"&amp;"4"&amp;RIGHT("00000"&amp;1377,5))</f>
        <v/>
      </c>
      <c r="W1382">
        <f>IF($V1382="",0,COUNTIFS($V$6:$V$2005,"&lt;"&amp;$V1382)-COUNTIFS($V$6:$V$2005,"&lt;"&amp;$V1382,$K$6:$K$2005,"")+1)</f>
        <v/>
      </c>
    </row>
    <row r="1383">
      <c r="A1383">
        <f>IF(Sync!$Z1383="","",LEFT(UPPER(TRIM(Sync!$Z1383)),6))</f>
        <v/>
      </c>
      <c r="B1383">
        <f>IF($A1383="","",IF(Sync!$AA1383="","",Sync!$AA1383))</f>
        <v/>
      </c>
      <c r="C1383">
        <f>IF($A1383="","",IF(Sync!$AB1383="","",Sync!$AB1383))</f>
        <v/>
      </c>
      <c r="D1383">
        <f>IF($A1383="","",IF(Sync!$AC1383="","",Sync!$AC1383))</f>
        <v/>
      </c>
      <c r="E1383">
        <f>IF($A1383="","",IF(Sync!$AD1383="","",Sync!$AD1383))</f>
        <v/>
      </c>
      <c r="F1383">
        <f>IF($A1383="","",IF(Sync!$AE1383="",0,Sync!$AE1383))</f>
        <v/>
      </c>
      <c r="G1383">
        <f>IF($A1383="","",IF(Sync!$AF1383="",0,Sync!$AF1383))</f>
        <v/>
      </c>
      <c r="H1383">
        <f>IF(OR($A1383="",ROUND($F1383+$G1383,2)=0),"",$F1383+$G1383)</f>
        <v/>
      </c>
      <c r="I1383">
        <f>IF($H1383="","",IF(ROUND($F1383,2)&gt;0,$A1383,IF($D1383="شخصی قاسم","شخصی قاسم",IF($D1383="هزینه","هزینه: "&amp;IF($E1383="","متفرقه",$E1383),IF($C1383="پاس چک","چک پرداختی",IF(OR($B1383="",COUNTIF(AcctCodesA,$B1383)=0),"متفرقه",$B1383))))))</f>
        <v/>
      </c>
      <c r="J1383">
        <f>IF($H1383="","",IF(ROUND($F1383,2)&gt;0,IF($D1383="شخصی قاسم","شخصی قاسم",IF($D1383="هزینه","هزینه: "&amp;IF($E1383="","متفرقه",$E1383),IF(OR($B1383="",COUNTIF(AcctCodesA,$B1383)=0),"متفرقه",$B1383))),$A1383))</f>
        <v/>
      </c>
      <c r="K1383">
        <f>IF($A1383="","",IF(AND($B1383&lt;&gt;"",COUNTIF(AcctCodesA,$B1383)=0),"کد طرف در INFO تعریف نشده",IF(AND($D1383="هزینه",$E1383=""),"هزینه بدون زیرگروه",IF(AND($C1383="پاس چک",OR(Sync!$AJ1383="",COUNTIF(IssueNosA,Sync!$AJ1383)=0)),"شماره چک پاس‌شده معتبر نیست",""))))</f>
        <v/>
      </c>
      <c r="V1383">
        <f>IF($K1383="","",IF(ISNUMBER(Sync!$AK1383),Sync!$AK1383,LEFT(Sync!$AK1383,4)&amp;MID(Sync!$AK1383,6,2)&amp;RIGHT(Sync!$AK1383,2))&amp;"|"&amp;"4"&amp;RIGHT("00000"&amp;1378,5))</f>
        <v/>
      </c>
      <c r="W1383">
        <f>IF($V1383="",0,COUNTIFS($V$6:$V$2005,"&lt;"&amp;$V1383)-COUNTIFS($V$6:$V$2005,"&lt;"&amp;$V1383,$K$6:$K$2005,"")+1)</f>
        <v/>
      </c>
    </row>
    <row r="1384">
      <c r="A1384">
        <f>IF(Sync!$Z1384="","",LEFT(UPPER(TRIM(Sync!$Z1384)),6))</f>
        <v/>
      </c>
      <c r="B1384">
        <f>IF($A1384="","",IF(Sync!$AA1384="","",Sync!$AA1384))</f>
        <v/>
      </c>
      <c r="C1384">
        <f>IF($A1384="","",IF(Sync!$AB1384="","",Sync!$AB1384))</f>
        <v/>
      </c>
      <c r="D1384">
        <f>IF($A1384="","",IF(Sync!$AC1384="","",Sync!$AC1384))</f>
        <v/>
      </c>
      <c r="E1384">
        <f>IF($A1384="","",IF(Sync!$AD1384="","",Sync!$AD1384))</f>
        <v/>
      </c>
      <c r="F1384">
        <f>IF($A1384="","",IF(Sync!$AE1384="",0,Sync!$AE1384))</f>
        <v/>
      </c>
      <c r="G1384">
        <f>IF($A1384="","",IF(Sync!$AF1384="",0,Sync!$AF1384))</f>
        <v/>
      </c>
      <c r="H1384">
        <f>IF(OR($A1384="",ROUND($F1384+$G1384,2)=0),"",$F1384+$G1384)</f>
        <v/>
      </c>
      <c r="I1384">
        <f>IF($H1384="","",IF(ROUND($F1384,2)&gt;0,$A1384,IF($D1384="شخصی قاسم","شخصی قاسم",IF($D1384="هزینه","هزینه: "&amp;IF($E1384="","متفرقه",$E1384),IF($C1384="پاس چک","چک پرداختی",IF(OR($B1384="",COUNTIF(AcctCodesA,$B1384)=0),"متفرقه",$B1384))))))</f>
        <v/>
      </c>
      <c r="J1384">
        <f>IF($H1384="","",IF(ROUND($F1384,2)&gt;0,IF($D1384="شخصی قاسم","شخصی قاسم",IF($D1384="هزینه","هزینه: "&amp;IF($E1384="","متفرقه",$E1384),IF(OR($B1384="",COUNTIF(AcctCodesA,$B1384)=0),"متفرقه",$B1384))),$A1384))</f>
        <v/>
      </c>
      <c r="K1384">
        <f>IF($A1384="","",IF(AND($B1384&lt;&gt;"",COUNTIF(AcctCodesA,$B1384)=0),"کد طرف در INFO تعریف نشده",IF(AND($D1384="هزینه",$E1384=""),"هزینه بدون زیرگروه",IF(AND($C1384="پاس چک",OR(Sync!$AJ1384="",COUNTIF(IssueNosA,Sync!$AJ1384)=0)),"شماره چک پاس‌شده معتبر نیست",""))))</f>
        <v/>
      </c>
      <c r="V1384">
        <f>IF($K1384="","",IF(ISNUMBER(Sync!$AK1384),Sync!$AK1384,LEFT(Sync!$AK1384,4)&amp;MID(Sync!$AK1384,6,2)&amp;RIGHT(Sync!$AK1384,2))&amp;"|"&amp;"4"&amp;RIGHT("00000"&amp;1379,5))</f>
        <v/>
      </c>
      <c r="W1384">
        <f>IF($V1384="",0,COUNTIFS($V$6:$V$2005,"&lt;"&amp;$V1384)-COUNTIFS($V$6:$V$2005,"&lt;"&amp;$V1384,$K$6:$K$2005,"")+1)</f>
        <v/>
      </c>
    </row>
    <row r="1385">
      <c r="A1385">
        <f>IF(Sync!$Z1385="","",LEFT(UPPER(TRIM(Sync!$Z1385)),6))</f>
        <v/>
      </c>
      <c r="B1385">
        <f>IF($A1385="","",IF(Sync!$AA1385="","",Sync!$AA1385))</f>
        <v/>
      </c>
      <c r="C1385">
        <f>IF($A1385="","",IF(Sync!$AB1385="","",Sync!$AB1385))</f>
        <v/>
      </c>
      <c r="D1385">
        <f>IF($A1385="","",IF(Sync!$AC1385="","",Sync!$AC1385))</f>
        <v/>
      </c>
      <c r="E1385">
        <f>IF($A1385="","",IF(Sync!$AD1385="","",Sync!$AD1385))</f>
        <v/>
      </c>
      <c r="F1385">
        <f>IF($A1385="","",IF(Sync!$AE1385="",0,Sync!$AE1385))</f>
        <v/>
      </c>
      <c r="G1385">
        <f>IF($A1385="","",IF(Sync!$AF1385="",0,Sync!$AF1385))</f>
        <v/>
      </c>
      <c r="H1385">
        <f>IF(OR($A1385="",ROUND($F1385+$G1385,2)=0),"",$F1385+$G1385)</f>
        <v/>
      </c>
      <c r="I1385">
        <f>IF($H1385="","",IF(ROUND($F1385,2)&gt;0,$A1385,IF($D1385="شخصی قاسم","شخصی قاسم",IF($D1385="هزینه","هزینه: "&amp;IF($E1385="","متفرقه",$E1385),IF($C1385="پاس چک","چک پرداختی",IF(OR($B1385="",COUNTIF(AcctCodesA,$B1385)=0),"متفرقه",$B1385))))))</f>
        <v/>
      </c>
      <c r="J1385">
        <f>IF($H1385="","",IF(ROUND($F1385,2)&gt;0,IF($D1385="شخصی قاسم","شخصی قاسم",IF($D1385="هزینه","هزینه: "&amp;IF($E1385="","متفرقه",$E1385),IF(OR($B1385="",COUNTIF(AcctCodesA,$B1385)=0),"متفرقه",$B1385))),$A1385))</f>
        <v/>
      </c>
      <c r="K1385">
        <f>IF($A1385="","",IF(AND($B1385&lt;&gt;"",COUNTIF(AcctCodesA,$B1385)=0),"کد طرف در INFO تعریف نشده",IF(AND($D1385="هزینه",$E1385=""),"هزینه بدون زیرگروه",IF(AND($C1385="پاس چک",OR(Sync!$AJ1385="",COUNTIF(IssueNosA,Sync!$AJ1385)=0)),"شماره چک پاس‌شده معتبر نیست",""))))</f>
        <v/>
      </c>
      <c r="V1385">
        <f>IF($K1385="","",IF(ISNUMBER(Sync!$AK1385),Sync!$AK1385,LEFT(Sync!$AK1385,4)&amp;MID(Sync!$AK1385,6,2)&amp;RIGHT(Sync!$AK1385,2))&amp;"|"&amp;"4"&amp;RIGHT("00000"&amp;1380,5))</f>
        <v/>
      </c>
      <c r="W1385">
        <f>IF($V1385="",0,COUNTIFS($V$6:$V$2005,"&lt;"&amp;$V1385)-COUNTIFS($V$6:$V$2005,"&lt;"&amp;$V1385,$K$6:$K$2005,"")+1)</f>
        <v/>
      </c>
    </row>
    <row r="1386">
      <c r="A1386">
        <f>IF(Sync!$Z1386="","",LEFT(UPPER(TRIM(Sync!$Z1386)),6))</f>
        <v/>
      </c>
      <c r="B1386">
        <f>IF($A1386="","",IF(Sync!$AA1386="","",Sync!$AA1386))</f>
        <v/>
      </c>
      <c r="C1386">
        <f>IF($A1386="","",IF(Sync!$AB1386="","",Sync!$AB1386))</f>
        <v/>
      </c>
      <c r="D1386">
        <f>IF($A1386="","",IF(Sync!$AC1386="","",Sync!$AC1386))</f>
        <v/>
      </c>
      <c r="E1386">
        <f>IF($A1386="","",IF(Sync!$AD1386="","",Sync!$AD1386))</f>
        <v/>
      </c>
      <c r="F1386">
        <f>IF($A1386="","",IF(Sync!$AE1386="",0,Sync!$AE1386))</f>
        <v/>
      </c>
      <c r="G1386">
        <f>IF($A1386="","",IF(Sync!$AF1386="",0,Sync!$AF1386))</f>
        <v/>
      </c>
      <c r="H1386">
        <f>IF(OR($A1386="",ROUND($F1386+$G1386,2)=0),"",$F1386+$G1386)</f>
        <v/>
      </c>
      <c r="I1386">
        <f>IF($H1386="","",IF(ROUND($F1386,2)&gt;0,$A1386,IF($D1386="شخصی قاسم","شخصی قاسم",IF($D1386="هزینه","هزینه: "&amp;IF($E1386="","متفرقه",$E1386),IF($C1386="پاس چک","چک پرداختی",IF(OR($B1386="",COUNTIF(AcctCodesA,$B1386)=0),"متفرقه",$B1386))))))</f>
        <v/>
      </c>
      <c r="J1386">
        <f>IF($H1386="","",IF(ROUND($F1386,2)&gt;0,IF($D1386="شخصی قاسم","شخصی قاسم",IF($D1386="هزینه","هزینه: "&amp;IF($E1386="","متفرقه",$E1386),IF(OR($B1386="",COUNTIF(AcctCodesA,$B1386)=0),"متفرقه",$B1386))),$A1386))</f>
        <v/>
      </c>
      <c r="K1386">
        <f>IF($A1386="","",IF(AND($B1386&lt;&gt;"",COUNTIF(AcctCodesA,$B1386)=0),"کد طرف در INFO تعریف نشده",IF(AND($D1386="هزینه",$E1386=""),"هزینه بدون زیرگروه",IF(AND($C1386="پاس چک",OR(Sync!$AJ1386="",COUNTIF(IssueNosA,Sync!$AJ1386)=0)),"شماره چک پاس‌شده معتبر نیست",""))))</f>
        <v/>
      </c>
      <c r="V1386">
        <f>IF($K1386="","",IF(ISNUMBER(Sync!$AK1386),Sync!$AK1386,LEFT(Sync!$AK1386,4)&amp;MID(Sync!$AK1386,6,2)&amp;RIGHT(Sync!$AK1386,2))&amp;"|"&amp;"4"&amp;RIGHT("00000"&amp;1381,5))</f>
        <v/>
      </c>
      <c r="W1386">
        <f>IF($V1386="",0,COUNTIFS($V$6:$V$2005,"&lt;"&amp;$V1386)-COUNTIFS($V$6:$V$2005,"&lt;"&amp;$V1386,$K$6:$K$2005,"")+1)</f>
        <v/>
      </c>
    </row>
    <row r="1387">
      <c r="A1387">
        <f>IF(Sync!$Z1387="","",LEFT(UPPER(TRIM(Sync!$Z1387)),6))</f>
        <v/>
      </c>
      <c r="B1387">
        <f>IF($A1387="","",IF(Sync!$AA1387="","",Sync!$AA1387))</f>
        <v/>
      </c>
      <c r="C1387">
        <f>IF($A1387="","",IF(Sync!$AB1387="","",Sync!$AB1387))</f>
        <v/>
      </c>
      <c r="D1387">
        <f>IF($A1387="","",IF(Sync!$AC1387="","",Sync!$AC1387))</f>
        <v/>
      </c>
      <c r="E1387">
        <f>IF($A1387="","",IF(Sync!$AD1387="","",Sync!$AD1387))</f>
        <v/>
      </c>
      <c r="F1387">
        <f>IF($A1387="","",IF(Sync!$AE1387="",0,Sync!$AE1387))</f>
        <v/>
      </c>
      <c r="G1387">
        <f>IF($A1387="","",IF(Sync!$AF1387="",0,Sync!$AF1387))</f>
        <v/>
      </c>
      <c r="H1387">
        <f>IF(OR($A1387="",ROUND($F1387+$G1387,2)=0),"",$F1387+$G1387)</f>
        <v/>
      </c>
      <c r="I1387">
        <f>IF($H1387="","",IF(ROUND($F1387,2)&gt;0,$A1387,IF($D1387="شخصی قاسم","شخصی قاسم",IF($D1387="هزینه","هزینه: "&amp;IF($E1387="","متفرقه",$E1387),IF($C1387="پاس چک","چک پرداختی",IF(OR($B1387="",COUNTIF(AcctCodesA,$B1387)=0),"متفرقه",$B1387))))))</f>
        <v/>
      </c>
      <c r="J1387">
        <f>IF($H1387="","",IF(ROUND($F1387,2)&gt;0,IF($D1387="شخصی قاسم","شخصی قاسم",IF($D1387="هزینه","هزینه: "&amp;IF($E1387="","متفرقه",$E1387),IF(OR($B1387="",COUNTIF(AcctCodesA,$B1387)=0),"متفرقه",$B1387))),$A1387))</f>
        <v/>
      </c>
      <c r="K1387">
        <f>IF($A1387="","",IF(AND($B1387&lt;&gt;"",COUNTIF(AcctCodesA,$B1387)=0),"کد طرف در INFO تعریف نشده",IF(AND($D1387="هزینه",$E1387=""),"هزینه بدون زیرگروه",IF(AND($C1387="پاس چک",OR(Sync!$AJ1387="",COUNTIF(IssueNosA,Sync!$AJ1387)=0)),"شماره چک پاس‌شده معتبر نیست",""))))</f>
        <v/>
      </c>
      <c r="V1387">
        <f>IF($K1387="","",IF(ISNUMBER(Sync!$AK1387),Sync!$AK1387,LEFT(Sync!$AK1387,4)&amp;MID(Sync!$AK1387,6,2)&amp;RIGHT(Sync!$AK1387,2))&amp;"|"&amp;"4"&amp;RIGHT("00000"&amp;1382,5))</f>
        <v/>
      </c>
      <c r="W1387">
        <f>IF($V1387="",0,COUNTIFS($V$6:$V$2005,"&lt;"&amp;$V1387)-COUNTIFS($V$6:$V$2005,"&lt;"&amp;$V1387,$K$6:$K$2005,"")+1)</f>
        <v/>
      </c>
    </row>
    <row r="1388">
      <c r="A1388">
        <f>IF(Sync!$Z1388="","",LEFT(UPPER(TRIM(Sync!$Z1388)),6))</f>
        <v/>
      </c>
      <c r="B1388">
        <f>IF($A1388="","",IF(Sync!$AA1388="","",Sync!$AA1388))</f>
        <v/>
      </c>
      <c r="C1388">
        <f>IF($A1388="","",IF(Sync!$AB1388="","",Sync!$AB1388))</f>
        <v/>
      </c>
      <c r="D1388">
        <f>IF($A1388="","",IF(Sync!$AC1388="","",Sync!$AC1388))</f>
        <v/>
      </c>
      <c r="E1388">
        <f>IF($A1388="","",IF(Sync!$AD1388="","",Sync!$AD1388))</f>
        <v/>
      </c>
      <c r="F1388">
        <f>IF($A1388="","",IF(Sync!$AE1388="",0,Sync!$AE1388))</f>
        <v/>
      </c>
      <c r="G1388">
        <f>IF($A1388="","",IF(Sync!$AF1388="",0,Sync!$AF1388))</f>
        <v/>
      </c>
      <c r="H1388">
        <f>IF(OR($A1388="",ROUND($F1388+$G1388,2)=0),"",$F1388+$G1388)</f>
        <v/>
      </c>
      <c r="I1388">
        <f>IF($H1388="","",IF(ROUND($F1388,2)&gt;0,$A1388,IF($D1388="شخصی قاسم","شخصی قاسم",IF($D1388="هزینه","هزینه: "&amp;IF($E1388="","متفرقه",$E1388),IF($C1388="پاس چک","چک پرداختی",IF(OR($B1388="",COUNTIF(AcctCodesA,$B1388)=0),"متفرقه",$B1388))))))</f>
        <v/>
      </c>
      <c r="J1388">
        <f>IF($H1388="","",IF(ROUND($F1388,2)&gt;0,IF($D1388="شخصی قاسم","شخصی قاسم",IF($D1388="هزینه","هزینه: "&amp;IF($E1388="","متفرقه",$E1388),IF(OR($B1388="",COUNTIF(AcctCodesA,$B1388)=0),"متفرقه",$B1388))),$A1388))</f>
        <v/>
      </c>
      <c r="K1388">
        <f>IF($A1388="","",IF(AND($B1388&lt;&gt;"",COUNTIF(AcctCodesA,$B1388)=0),"کد طرف در INFO تعریف نشده",IF(AND($D1388="هزینه",$E1388=""),"هزینه بدون زیرگروه",IF(AND($C1388="پاس چک",OR(Sync!$AJ1388="",COUNTIF(IssueNosA,Sync!$AJ1388)=0)),"شماره چک پاس‌شده معتبر نیست",""))))</f>
        <v/>
      </c>
      <c r="V1388">
        <f>IF($K1388="","",IF(ISNUMBER(Sync!$AK1388),Sync!$AK1388,LEFT(Sync!$AK1388,4)&amp;MID(Sync!$AK1388,6,2)&amp;RIGHT(Sync!$AK1388,2))&amp;"|"&amp;"4"&amp;RIGHT("00000"&amp;1383,5))</f>
        <v/>
      </c>
      <c r="W1388">
        <f>IF($V1388="",0,COUNTIFS($V$6:$V$2005,"&lt;"&amp;$V1388)-COUNTIFS($V$6:$V$2005,"&lt;"&amp;$V1388,$K$6:$K$2005,"")+1)</f>
        <v/>
      </c>
    </row>
    <row r="1389">
      <c r="A1389">
        <f>IF(Sync!$Z1389="","",LEFT(UPPER(TRIM(Sync!$Z1389)),6))</f>
        <v/>
      </c>
      <c r="B1389">
        <f>IF($A1389="","",IF(Sync!$AA1389="","",Sync!$AA1389))</f>
        <v/>
      </c>
      <c r="C1389">
        <f>IF($A1389="","",IF(Sync!$AB1389="","",Sync!$AB1389))</f>
        <v/>
      </c>
      <c r="D1389">
        <f>IF($A1389="","",IF(Sync!$AC1389="","",Sync!$AC1389))</f>
        <v/>
      </c>
      <c r="E1389">
        <f>IF($A1389="","",IF(Sync!$AD1389="","",Sync!$AD1389))</f>
        <v/>
      </c>
      <c r="F1389">
        <f>IF($A1389="","",IF(Sync!$AE1389="",0,Sync!$AE1389))</f>
        <v/>
      </c>
      <c r="G1389">
        <f>IF($A1389="","",IF(Sync!$AF1389="",0,Sync!$AF1389))</f>
        <v/>
      </c>
      <c r="H1389">
        <f>IF(OR($A1389="",ROUND($F1389+$G1389,2)=0),"",$F1389+$G1389)</f>
        <v/>
      </c>
      <c r="I1389">
        <f>IF($H1389="","",IF(ROUND($F1389,2)&gt;0,$A1389,IF($D1389="شخصی قاسم","شخصی قاسم",IF($D1389="هزینه","هزینه: "&amp;IF($E1389="","متفرقه",$E1389),IF($C1389="پاس چک","چک پرداختی",IF(OR($B1389="",COUNTIF(AcctCodesA,$B1389)=0),"متفرقه",$B1389))))))</f>
        <v/>
      </c>
      <c r="J1389">
        <f>IF($H1389="","",IF(ROUND($F1389,2)&gt;0,IF($D1389="شخصی قاسم","شخصی قاسم",IF($D1389="هزینه","هزینه: "&amp;IF($E1389="","متفرقه",$E1389),IF(OR($B1389="",COUNTIF(AcctCodesA,$B1389)=0),"متفرقه",$B1389))),$A1389))</f>
        <v/>
      </c>
      <c r="K1389">
        <f>IF($A1389="","",IF(AND($B1389&lt;&gt;"",COUNTIF(AcctCodesA,$B1389)=0),"کد طرف در INFO تعریف نشده",IF(AND($D1389="هزینه",$E1389=""),"هزینه بدون زیرگروه",IF(AND($C1389="پاس چک",OR(Sync!$AJ1389="",COUNTIF(IssueNosA,Sync!$AJ1389)=0)),"شماره چک پاس‌شده معتبر نیست",""))))</f>
        <v/>
      </c>
      <c r="V1389">
        <f>IF($K1389="","",IF(ISNUMBER(Sync!$AK1389),Sync!$AK1389,LEFT(Sync!$AK1389,4)&amp;MID(Sync!$AK1389,6,2)&amp;RIGHT(Sync!$AK1389,2))&amp;"|"&amp;"4"&amp;RIGHT("00000"&amp;1384,5))</f>
        <v/>
      </c>
      <c r="W1389">
        <f>IF($V1389="",0,COUNTIFS($V$6:$V$2005,"&lt;"&amp;$V1389)-COUNTIFS($V$6:$V$2005,"&lt;"&amp;$V1389,$K$6:$K$2005,"")+1)</f>
        <v/>
      </c>
    </row>
    <row r="1390">
      <c r="A1390">
        <f>IF(Sync!$Z1390="","",LEFT(UPPER(TRIM(Sync!$Z1390)),6))</f>
        <v/>
      </c>
      <c r="B1390">
        <f>IF($A1390="","",IF(Sync!$AA1390="","",Sync!$AA1390))</f>
        <v/>
      </c>
      <c r="C1390">
        <f>IF($A1390="","",IF(Sync!$AB1390="","",Sync!$AB1390))</f>
        <v/>
      </c>
      <c r="D1390">
        <f>IF($A1390="","",IF(Sync!$AC1390="","",Sync!$AC1390))</f>
        <v/>
      </c>
      <c r="E1390">
        <f>IF($A1390="","",IF(Sync!$AD1390="","",Sync!$AD1390))</f>
        <v/>
      </c>
      <c r="F1390">
        <f>IF($A1390="","",IF(Sync!$AE1390="",0,Sync!$AE1390))</f>
        <v/>
      </c>
      <c r="G1390">
        <f>IF($A1390="","",IF(Sync!$AF1390="",0,Sync!$AF1390))</f>
        <v/>
      </c>
      <c r="H1390">
        <f>IF(OR($A1390="",ROUND($F1390+$G1390,2)=0),"",$F1390+$G1390)</f>
        <v/>
      </c>
      <c r="I1390">
        <f>IF($H1390="","",IF(ROUND($F1390,2)&gt;0,$A1390,IF($D1390="شخصی قاسم","شخصی قاسم",IF($D1390="هزینه","هزینه: "&amp;IF($E1390="","متفرقه",$E1390),IF($C1390="پاس چک","چک پرداختی",IF(OR($B1390="",COUNTIF(AcctCodesA,$B1390)=0),"متفرقه",$B1390))))))</f>
        <v/>
      </c>
      <c r="J1390">
        <f>IF($H1390="","",IF(ROUND($F1390,2)&gt;0,IF($D1390="شخصی قاسم","شخصی قاسم",IF($D1390="هزینه","هزینه: "&amp;IF($E1390="","متفرقه",$E1390),IF(OR($B1390="",COUNTIF(AcctCodesA,$B1390)=0),"متفرقه",$B1390))),$A1390))</f>
        <v/>
      </c>
      <c r="K1390">
        <f>IF($A1390="","",IF(AND($B1390&lt;&gt;"",COUNTIF(AcctCodesA,$B1390)=0),"کد طرف در INFO تعریف نشده",IF(AND($D1390="هزینه",$E1390=""),"هزینه بدون زیرگروه",IF(AND($C1390="پاس چک",OR(Sync!$AJ1390="",COUNTIF(IssueNosA,Sync!$AJ1390)=0)),"شماره چک پاس‌شده معتبر نیست",""))))</f>
        <v/>
      </c>
      <c r="V1390">
        <f>IF($K1390="","",IF(ISNUMBER(Sync!$AK1390),Sync!$AK1390,LEFT(Sync!$AK1390,4)&amp;MID(Sync!$AK1390,6,2)&amp;RIGHT(Sync!$AK1390,2))&amp;"|"&amp;"4"&amp;RIGHT("00000"&amp;1385,5))</f>
        <v/>
      </c>
      <c r="W1390">
        <f>IF($V1390="",0,COUNTIFS($V$6:$V$2005,"&lt;"&amp;$V1390)-COUNTIFS($V$6:$V$2005,"&lt;"&amp;$V1390,$K$6:$K$2005,"")+1)</f>
        <v/>
      </c>
    </row>
    <row r="1391">
      <c r="A1391">
        <f>IF(Sync!$Z1391="","",LEFT(UPPER(TRIM(Sync!$Z1391)),6))</f>
        <v/>
      </c>
      <c r="B1391">
        <f>IF($A1391="","",IF(Sync!$AA1391="","",Sync!$AA1391))</f>
        <v/>
      </c>
      <c r="C1391">
        <f>IF($A1391="","",IF(Sync!$AB1391="","",Sync!$AB1391))</f>
        <v/>
      </c>
      <c r="D1391">
        <f>IF($A1391="","",IF(Sync!$AC1391="","",Sync!$AC1391))</f>
        <v/>
      </c>
      <c r="E1391">
        <f>IF($A1391="","",IF(Sync!$AD1391="","",Sync!$AD1391))</f>
        <v/>
      </c>
      <c r="F1391">
        <f>IF($A1391="","",IF(Sync!$AE1391="",0,Sync!$AE1391))</f>
        <v/>
      </c>
      <c r="G1391">
        <f>IF($A1391="","",IF(Sync!$AF1391="",0,Sync!$AF1391))</f>
        <v/>
      </c>
      <c r="H1391">
        <f>IF(OR($A1391="",ROUND($F1391+$G1391,2)=0),"",$F1391+$G1391)</f>
        <v/>
      </c>
      <c r="I1391">
        <f>IF($H1391="","",IF(ROUND($F1391,2)&gt;0,$A1391,IF($D1391="شخصی قاسم","شخصی قاسم",IF($D1391="هزینه","هزینه: "&amp;IF($E1391="","متفرقه",$E1391),IF($C1391="پاس چک","چک پرداختی",IF(OR($B1391="",COUNTIF(AcctCodesA,$B1391)=0),"متفرقه",$B1391))))))</f>
        <v/>
      </c>
      <c r="J1391">
        <f>IF($H1391="","",IF(ROUND($F1391,2)&gt;0,IF($D1391="شخصی قاسم","شخصی قاسم",IF($D1391="هزینه","هزینه: "&amp;IF($E1391="","متفرقه",$E1391),IF(OR($B1391="",COUNTIF(AcctCodesA,$B1391)=0),"متفرقه",$B1391))),$A1391))</f>
        <v/>
      </c>
      <c r="K1391">
        <f>IF($A1391="","",IF(AND($B1391&lt;&gt;"",COUNTIF(AcctCodesA,$B1391)=0),"کد طرف در INFO تعریف نشده",IF(AND($D1391="هزینه",$E1391=""),"هزینه بدون زیرگروه",IF(AND($C1391="پاس چک",OR(Sync!$AJ1391="",COUNTIF(IssueNosA,Sync!$AJ1391)=0)),"شماره چک پاس‌شده معتبر نیست",""))))</f>
        <v/>
      </c>
      <c r="V1391">
        <f>IF($K1391="","",IF(ISNUMBER(Sync!$AK1391),Sync!$AK1391,LEFT(Sync!$AK1391,4)&amp;MID(Sync!$AK1391,6,2)&amp;RIGHT(Sync!$AK1391,2))&amp;"|"&amp;"4"&amp;RIGHT("00000"&amp;1386,5))</f>
        <v/>
      </c>
      <c r="W1391">
        <f>IF($V1391="",0,COUNTIFS($V$6:$V$2005,"&lt;"&amp;$V1391)-COUNTIFS($V$6:$V$2005,"&lt;"&amp;$V1391,$K$6:$K$2005,"")+1)</f>
        <v/>
      </c>
    </row>
    <row r="1392">
      <c r="A1392">
        <f>IF(Sync!$Z1392="","",LEFT(UPPER(TRIM(Sync!$Z1392)),6))</f>
        <v/>
      </c>
      <c r="B1392">
        <f>IF($A1392="","",IF(Sync!$AA1392="","",Sync!$AA1392))</f>
        <v/>
      </c>
      <c r="C1392">
        <f>IF($A1392="","",IF(Sync!$AB1392="","",Sync!$AB1392))</f>
        <v/>
      </c>
      <c r="D1392">
        <f>IF($A1392="","",IF(Sync!$AC1392="","",Sync!$AC1392))</f>
        <v/>
      </c>
      <c r="E1392">
        <f>IF($A1392="","",IF(Sync!$AD1392="","",Sync!$AD1392))</f>
        <v/>
      </c>
      <c r="F1392">
        <f>IF($A1392="","",IF(Sync!$AE1392="",0,Sync!$AE1392))</f>
        <v/>
      </c>
      <c r="G1392">
        <f>IF($A1392="","",IF(Sync!$AF1392="",0,Sync!$AF1392))</f>
        <v/>
      </c>
      <c r="H1392">
        <f>IF(OR($A1392="",ROUND($F1392+$G1392,2)=0),"",$F1392+$G1392)</f>
        <v/>
      </c>
      <c r="I1392">
        <f>IF($H1392="","",IF(ROUND($F1392,2)&gt;0,$A1392,IF($D1392="شخصی قاسم","شخصی قاسم",IF($D1392="هزینه","هزینه: "&amp;IF($E1392="","متفرقه",$E1392),IF($C1392="پاس چک","چک پرداختی",IF(OR($B1392="",COUNTIF(AcctCodesA,$B1392)=0),"متفرقه",$B1392))))))</f>
        <v/>
      </c>
      <c r="J1392">
        <f>IF($H1392="","",IF(ROUND($F1392,2)&gt;0,IF($D1392="شخصی قاسم","شخصی قاسم",IF($D1392="هزینه","هزینه: "&amp;IF($E1392="","متفرقه",$E1392),IF(OR($B1392="",COUNTIF(AcctCodesA,$B1392)=0),"متفرقه",$B1392))),$A1392))</f>
        <v/>
      </c>
      <c r="K1392">
        <f>IF($A1392="","",IF(AND($B1392&lt;&gt;"",COUNTIF(AcctCodesA,$B1392)=0),"کد طرف در INFO تعریف نشده",IF(AND($D1392="هزینه",$E1392=""),"هزینه بدون زیرگروه",IF(AND($C1392="پاس چک",OR(Sync!$AJ1392="",COUNTIF(IssueNosA,Sync!$AJ1392)=0)),"شماره چک پاس‌شده معتبر نیست",""))))</f>
        <v/>
      </c>
      <c r="V1392">
        <f>IF($K1392="","",IF(ISNUMBER(Sync!$AK1392),Sync!$AK1392,LEFT(Sync!$AK1392,4)&amp;MID(Sync!$AK1392,6,2)&amp;RIGHT(Sync!$AK1392,2))&amp;"|"&amp;"4"&amp;RIGHT("00000"&amp;1387,5))</f>
        <v/>
      </c>
      <c r="W1392">
        <f>IF($V1392="",0,COUNTIFS($V$6:$V$2005,"&lt;"&amp;$V1392)-COUNTIFS($V$6:$V$2005,"&lt;"&amp;$V1392,$K$6:$K$2005,"")+1)</f>
        <v/>
      </c>
    </row>
    <row r="1393">
      <c r="A1393">
        <f>IF(Sync!$Z1393="","",LEFT(UPPER(TRIM(Sync!$Z1393)),6))</f>
        <v/>
      </c>
      <c r="B1393">
        <f>IF($A1393="","",IF(Sync!$AA1393="","",Sync!$AA1393))</f>
        <v/>
      </c>
      <c r="C1393">
        <f>IF($A1393="","",IF(Sync!$AB1393="","",Sync!$AB1393))</f>
        <v/>
      </c>
      <c r="D1393">
        <f>IF($A1393="","",IF(Sync!$AC1393="","",Sync!$AC1393))</f>
        <v/>
      </c>
      <c r="E1393">
        <f>IF($A1393="","",IF(Sync!$AD1393="","",Sync!$AD1393))</f>
        <v/>
      </c>
      <c r="F1393">
        <f>IF($A1393="","",IF(Sync!$AE1393="",0,Sync!$AE1393))</f>
        <v/>
      </c>
      <c r="G1393">
        <f>IF($A1393="","",IF(Sync!$AF1393="",0,Sync!$AF1393))</f>
        <v/>
      </c>
      <c r="H1393">
        <f>IF(OR($A1393="",ROUND($F1393+$G1393,2)=0),"",$F1393+$G1393)</f>
        <v/>
      </c>
      <c r="I1393">
        <f>IF($H1393="","",IF(ROUND($F1393,2)&gt;0,$A1393,IF($D1393="شخصی قاسم","شخصی قاسم",IF($D1393="هزینه","هزینه: "&amp;IF($E1393="","متفرقه",$E1393),IF($C1393="پاس چک","چک پرداختی",IF(OR($B1393="",COUNTIF(AcctCodesA,$B1393)=0),"متفرقه",$B1393))))))</f>
        <v/>
      </c>
      <c r="J1393">
        <f>IF($H1393="","",IF(ROUND($F1393,2)&gt;0,IF($D1393="شخصی قاسم","شخصی قاسم",IF($D1393="هزینه","هزینه: "&amp;IF($E1393="","متفرقه",$E1393),IF(OR($B1393="",COUNTIF(AcctCodesA,$B1393)=0),"متفرقه",$B1393))),$A1393))</f>
        <v/>
      </c>
      <c r="K1393">
        <f>IF($A1393="","",IF(AND($B1393&lt;&gt;"",COUNTIF(AcctCodesA,$B1393)=0),"کد طرف در INFO تعریف نشده",IF(AND($D1393="هزینه",$E1393=""),"هزینه بدون زیرگروه",IF(AND($C1393="پاس چک",OR(Sync!$AJ1393="",COUNTIF(IssueNosA,Sync!$AJ1393)=0)),"شماره چک پاس‌شده معتبر نیست",""))))</f>
        <v/>
      </c>
      <c r="V1393">
        <f>IF($K1393="","",IF(ISNUMBER(Sync!$AK1393),Sync!$AK1393,LEFT(Sync!$AK1393,4)&amp;MID(Sync!$AK1393,6,2)&amp;RIGHT(Sync!$AK1393,2))&amp;"|"&amp;"4"&amp;RIGHT("00000"&amp;1388,5))</f>
        <v/>
      </c>
      <c r="W1393">
        <f>IF($V1393="",0,COUNTIFS($V$6:$V$2005,"&lt;"&amp;$V1393)-COUNTIFS($V$6:$V$2005,"&lt;"&amp;$V1393,$K$6:$K$2005,"")+1)</f>
        <v/>
      </c>
    </row>
    <row r="1394">
      <c r="A1394">
        <f>IF(Sync!$Z1394="","",LEFT(UPPER(TRIM(Sync!$Z1394)),6))</f>
        <v/>
      </c>
      <c r="B1394">
        <f>IF($A1394="","",IF(Sync!$AA1394="","",Sync!$AA1394))</f>
        <v/>
      </c>
      <c r="C1394">
        <f>IF($A1394="","",IF(Sync!$AB1394="","",Sync!$AB1394))</f>
        <v/>
      </c>
      <c r="D1394">
        <f>IF($A1394="","",IF(Sync!$AC1394="","",Sync!$AC1394))</f>
        <v/>
      </c>
      <c r="E1394">
        <f>IF($A1394="","",IF(Sync!$AD1394="","",Sync!$AD1394))</f>
        <v/>
      </c>
      <c r="F1394">
        <f>IF($A1394="","",IF(Sync!$AE1394="",0,Sync!$AE1394))</f>
        <v/>
      </c>
      <c r="G1394">
        <f>IF($A1394="","",IF(Sync!$AF1394="",0,Sync!$AF1394))</f>
        <v/>
      </c>
      <c r="H1394">
        <f>IF(OR($A1394="",ROUND($F1394+$G1394,2)=0),"",$F1394+$G1394)</f>
        <v/>
      </c>
      <c r="I1394">
        <f>IF($H1394="","",IF(ROUND($F1394,2)&gt;0,$A1394,IF($D1394="شخصی قاسم","شخصی قاسم",IF($D1394="هزینه","هزینه: "&amp;IF($E1394="","متفرقه",$E1394),IF($C1394="پاس چک","چک پرداختی",IF(OR($B1394="",COUNTIF(AcctCodesA,$B1394)=0),"متفرقه",$B1394))))))</f>
        <v/>
      </c>
      <c r="J1394">
        <f>IF($H1394="","",IF(ROUND($F1394,2)&gt;0,IF($D1394="شخصی قاسم","شخصی قاسم",IF($D1394="هزینه","هزینه: "&amp;IF($E1394="","متفرقه",$E1394),IF(OR($B1394="",COUNTIF(AcctCodesA,$B1394)=0),"متفرقه",$B1394))),$A1394))</f>
        <v/>
      </c>
      <c r="K1394">
        <f>IF($A1394="","",IF(AND($B1394&lt;&gt;"",COUNTIF(AcctCodesA,$B1394)=0),"کد طرف در INFO تعریف نشده",IF(AND($D1394="هزینه",$E1394=""),"هزینه بدون زیرگروه",IF(AND($C1394="پاس چک",OR(Sync!$AJ1394="",COUNTIF(IssueNosA,Sync!$AJ1394)=0)),"شماره چک پاس‌شده معتبر نیست",""))))</f>
        <v/>
      </c>
      <c r="V1394">
        <f>IF($K1394="","",IF(ISNUMBER(Sync!$AK1394),Sync!$AK1394,LEFT(Sync!$AK1394,4)&amp;MID(Sync!$AK1394,6,2)&amp;RIGHT(Sync!$AK1394,2))&amp;"|"&amp;"4"&amp;RIGHT("00000"&amp;1389,5))</f>
        <v/>
      </c>
      <c r="W1394">
        <f>IF($V1394="",0,COUNTIFS($V$6:$V$2005,"&lt;"&amp;$V1394)-COUNTIFS($V$6:$V$2005,"&lt;"&amp;$V1394,$K$6:$K$2005,"")+1)</f>
        <v/>
      </c>
    </row>
    <row r="1395">
      <c r="A1395">
        <f>IF(Sync!$Z1395="","",LEFT(UPPER(TRIM(Sync!$Z1395)),6))</f>
        <v/>
      </c>
      <c r="B1395">
        <f>IF($A1395="","",IF(Sync!$AA1395="","",Sync!$AA1395))</f>
        <v/>
      </c>
      <c r="C1395">
        <f>IF($A1395="","",IF(Sync!$AB1395="","",Sync!$AB1395))</f>
        <v/>
      </c>
      <c r="D1395">
        <f>IF($A1395="","",IF(Sync!$AC1395="","",Sync!$AC1395))</f>
        <v/>
      </c>
      <c r="E1395">
        <f>IF($A1395="","",IF(Sync!$AD1395="","",Sync!$AD1395))</f>
        <v/>
      </c>
      <c r="F1395">
        <f>IF($A1395="","",IF(Sync!$AE1395="",0,Sync!$AE1395))</f>
        <v/>
      </c>
      <c r="G1395">
        <f>IF($A1395="","",IF(Sync!$AF1395="",0,Sync!$AF1395))</f>
        <v/>
      </c>
      <c r="H1395">
        <f>IF(OR($A1395="",ROUND($F1395+$G1395,2)=0),"",$F1395+$G1395)</f>
        <v/>
      </c>
      <c r="I1395">
        <f>IF($H1395="","",IF(ROUND($F1395,2)&gt;0,$A1395,IF($D1395="شخصی قاسم","شخصی قاسم",IF($D1395="هزینه","هزینه: "&amp;IF($E1395="","متفرقه",$E1395),IF($C1395="پاس چک","چک پرداختی",IF(OR($B1395="",COUNTIF(AcctCodesA,$B1395)=0),"متفرقه",$B1395))))))</f>
        <v/>
      </c>
      <c r="J1395">
        <f>IF($H1395="","",IF(ROUND($F1395,2)&gt;0,IF($D1395="شخصی قاسم","شخصی قاسم",IF($D1395="هزینه","هزینه: "&amp;IF($E1395="","متفرقه",$E1395),IF(OR($B1395="",COUNTIF(AcctCodesA,$B1395)=0),"متفرقه",$B1395))),$A1395))</f>
        <v/>
      </c>
      <c r="K1395">
        <f>IF($A1395="","",IF(AND($B1395&lt;&gt;"",COUNTIF(AcctCodesA,$B1395)=0),"کد طرف در INFO تعریف نشده",IF(AND($D1395="هزینه",$E1395=""),"هزینه بدون زیرگروه",IF(AND($C1395="پاس چک",OR(Sync!$AJ1395="",COUNTIF(IssueNosA,Sync!$AJ1395)=0)),"شماره چک پاس‌شده معتبر نیست",""))))</f>
        <v/>
      </c>
      <c r="V1395">
        <f>IF($K1395="","",IF(ISNUMBER(Sync!$AK1395),Sync!$AK1395,LEFT(Sync!$AK1395,4)&amp;MID(Sync!$AK1395,6,2)&amp;RIGHT(Sync!$AK1395,2))&amp;"|"&amp;"4"&amp;RIGHT("00000"&amp;1390,5))</f>
        <v/>
      </c>
      <c r="W1395">
        <f>IF($V1395="",0,COUNTIFS($V$6:$V$2005,"&lt;"&amp;$V1395)-COUNTIFS($V$6:$V$2005,"&lt;"&amp;$V1395,$K$6:$K$2005,"")+1)</f>
        <v/>
      </c>
    </row>
    <row r="1396">
      <c r="A1396">
        <f>IF(Sync!$Z1396="","",LEFT(UPPER(TRIM(Sync!$Z1396)),6))</f>
        <v/>
      </c>
      <c r="B1396">
        <f>IF($A1396="","",IF(Sync!$AA1396="","",Sync!$AA1396))</f>
        <v/>
      </c>
      <c r="C1396">
        <f>IF($A1396="","",IF(Sync!$AB1396="","",Sync!$AB1396))</f>
        <v/>
      </c>
      <c r="D1396">
        <f>IF($A1396="","",IF(Sync!$AC1396="","",Sync!$AC1396))</f>
        <v/>
      </c>
      <c r="E1396">
        <f>IF($A1396="","",IF(Sync!$AD1396="","",Sync!$AD1396))</f>
        <v/>
      </c>
      <c r="F1396">
        <f>IF($A1396="","",IF(Sync!$AE1396="",0,Sync!$AE1396))</f>
        <v/>
      </c>
      <c r="G1396">
        <f>IF($A1396="","",IF(Sync!$AF1396="",0,Sync!$AF1396))</f>
        <v/>
      </c>
      <c r="H1396">
        <f>IF(OR($A1396="",ROUND($F1396+$G1396,2)=0),"",$F1396+$G1396)</f>
        <v/>
      </c>
      <c r="I1396">
        <f>IF($H1396="","",IF(ROUND($F1396,2)&gt;0,$A1396,IF($D1396="شخصی قاسم","شخصی قاسم",IF($D1396="هزینه","هزینه: "&amp;IF($E1396="","متفرقه",$E1396),IF($C1396="پاس چک","چک پرداختی",IF(OR($B1396="",COUNTIF(AcctCodesA,$B1396)=0),"متفرقه",$B1396))))))</f>
        <v/>
      </c>
      <c r="J1396">
        <f>IF($H1396="","",IF(ROUND($F1396,2)&gt;0,IF($D1396="شخصی قاسم","شخصی قاسم",IF($D1396="هزینه","هزینه: "&amp;IF($E1396="","متفرقه",$E1396),IF(OR($B1396="",COUNTIF(AcctCodesA,$B1396)=0),"متفرقه",$B1396))),$A1396))</f>
        <v/>
      </c>
      <c r="K1396">
        <f>IF($A1396="","",IF(AND($B1396&lt;&gt;"",COUNTIF(AcctCodesA,$B1396)=0),"کد طرف در INFO تعریف نشده",IF(AND($D1396="هزینه",$E1396=""),"هزینه بدون زیرگروه",IF(AND($C1396="پاس چک",OR(Sync!$AJ1396="",COUNTIF(IssueNosA,Sync!$AJ1396)=0)),"شماره چک پاس‌شده معتبر نیست",""))))</f>
        <v/>
      </c>
      <c r="V1396">
        <f>IF($K1396="","",IF(ISNUMBER(Sync!$AK1396),Sync!$AK1396,LEFT(Sync!$AK1396,4)&amp;MID(Sync!$AK1396,6,2)&amp;RIGHT(Sync!$AK1396,2))&amp;"|"&amp;"4"&amp;RIGHT("00000"&amp;1391,5))</f>
        <v/>
      </c>
      <c r="W1396">
        <f>IF($V1396="",0,COUNTIFS($V$6:$V$2005,"&lt;"&amp;$V1396)-COUNTIFS($V$6:$V$2005,"&lt;"&amp;$V1396,$K$6:$K$2005,"")+1)</f>
        <v/>
      </c>
    </row>
    <row r="1397">
      <c r="A1397">
        <f>IF(Sync!$Z1397="","",LEFT(UPPER(TRIM(Sync!$Z1397)),6))</f>
        <v/>
      </c>
      <c r="B1397">
        <f>IF($A1397="","",IF(Sync!$AA1397="","",Sync!$AA1397))</f>
        <v/>
      </c>
      <c r="C1397">
        <f>IF($A1397="","",IF(Sync!$AB1397="","",Sync!$AB1397))</f>
        <v/>
      </c>
      <c r="D1397">
        <f>IF($A1397="","",IF(Sync!$AC1397="","",Sync!$AC1397))</f>
        <v/>
      </c>
      <c r="E1397">
        <f>IF($A1397="","",IF(Sync!$AD1397="","",Sync!$AD1397))</f>
        <v/>
      </c>
      <c r="F1397">
        <f>IF($A1397="","",IF(Sync!$AE1397="",0,Sync!$AE1397))</f>
        <v/>
      </c>
      <c r="G1397">
        <f>IF($A1397="","",IF(Sync!$AF1397="",0,Sync!$AF1397))</f>
        <v/>
      </c>
      <c r="H1397">
        <f>IF(OR($A1397="",ROUND($F1397+$G1397,2)=0),"",$F1397+$G1397)</f>
        <v/>
      </c>
      <c r="I1397">
        <f>IF($H1397="","",IF(ROUND($F1397,2)&gt;0,$A1397,IF($D1397="شخصی قاسم","شخصی قاسم",IF($D1397="هزینه","هزینه: "&amp;IF($E1397="","متفرقه",$E1397),IF($C1397="پاس چک","چک پرداختی",IF(OR($B1397="",COUNTIF(AcctCodesA,$B1397)=0),"متفرقه",$B1397))))))</f>
        <v/>
      </c>
      <c r="J1397">
        <f>IF($H1397="","",IF(ROUND($F1397,2)&gt;0,IF($D1397="شخصی قاسم","شخصی قاسم",IF($D1397="هزینه","هزینه: "&amp;IF($E1397="","متفرقه",$E1397),IF(OR($B1397="",COUNTIF(AcctCodesA,$B1397)=0),"متفرقه",$B1397))),$A1397))</f>
        <v/>
      </c>
      <c r="K1397">
        <f>IF($A1397="","",IF(AND($B1397&lt;&gt;"",COUNTIF(AcctCodesA,$B1397)=0),"کد طرف در INFO تعریف نشده",IF(AND($D1397="هزینه",$E1397=""),"هزینه بدون زیرگروه",IF(AND($C1397="پاس چک",OR(Sync!$AJ1397="",COUNTIF(IssueNosA,Sync!$AJ1397)=0)),"شماره چک پاس‌شده معتبر نیست",""))))</f>
        <v/>
      </c>
      <c r="V1397">
        <f>IF($K1397="","",IF(ISNUMBER(Sync!$AK1397),Sync!$AK1397,LEFT(Sync!$AK1397,4)&amp;MID(Sync!$AK1397,6,2)&amp;RIGHT(Sync!$AK1397,2))&amp;"|"&amp;"4"&amp;RIGHT("00000"&amp;1392,5))</f>
        <v/>
      </c>
      <c r="W1397">
        <f>IF($V1397="",0,COUNTIFS($V$6:$V$2005,"&lt;"&amp;$V1397)-COUNTIFS($V$6:$V$2005,"&lt;"&amp;$V1397,$K$6:$K$2005,"")+1)</f>
        <v/>
      </c>
    </row>
    <row r="1398">
      <c r="A1398">
        <f>IF(Sync!$Z1398="","",LEFT(UPPER(TRIM(Sync!$Z1398)),6))</f>
        <v/>
      </c>
      <c r="B1398">
        <f>IF($A1398="","",IF(Sync!$AA1398="","",Sync!$AA1398))</f>
        <v/>
      </c>
      <c r="C1398">
        <f>IF($A1398="","",IF(Sync!$AB1398="","",Sync!$AB1398))</f>
        <v/>
      </c>
      <c r="D1398">
        <f>IF($A1398="","",IF(Sync!$AC1398="","",Sync!$AC1398))</f>
        <v/>
      </c>
      <c r="E1398">
        <f>IF($A1398="","",IF(Sync!$AD1398="","",Sync!$AD1398))</f>
        <v/>
      </c>
      <c r="F1398">
        <f>IF($A1398="","",IF(Sync!$AE1398="",0,Sync!$AE1398))</f>
        <v/>
      </c>
      <c r="G1398">
        <f>IF($A1398="","",IF(Sync!$AF1398="",0,Sync!$AF1398))</f>
        <v/>
      </c>
      <c r="H1398">
        <f>IF(OR($A1398="",ROUND($F1398+$G1398,2)=0),"",$F1398+$G1398)</f>
        <v/>
      </c>
      <c r="I1398">
        <f>IF($H1398="","",IF(ROUND($F1398,2)&gt;0,$A1398,IF($D1398="شخصی قاسم","شخصی قاسم",IF($D1398="هزینه","هزینه: "&amp;IF($E1398="","متفرقه",$E1398),IF($C1398="پاس چک","چک پرداختی",IF(OR($B1398="",COUNTIF(AcctCodesA,$B1398)=0),"متفرقه",$B1398))))))</f>
        <v/>
      </c>
      <c r="J1398">
        <f>IF($H1398="","",IF(ROUND($F1398,2)&gt;0,IF($D1398="شخصی قاسم","شخصی قاسم",IF($D1398="هزینه","هزینه: "&amp;IF($E1398="","متفرقه",$E1398),IF(OR($B1398="",COUNTIF(AcctCodesA,$B1398)=0),"متفرقه",$B1398))),$A1398))</f>
        <v/>
      </c>
      <c r="K1398">
        <f>IF($A1398="","",IF(AND($B1398&lt;&gt;"",COUNTIF(AcctCodesA,$B1398)=0),"کد طرف در INFO تعریف نشده",IF(AND($D1398="هزینه",$E1398=""),"هزینه بدون زیرگروه",IF(AND($C1398="پاس چک",OR(Sync!$AJ1398="",COUNTIF(IssueNosA,Sync!$AJ1398)=0)),"شماره چک پاس‌شده معتبر نیست",""))))</f>
        <v/>
      </c>
      <c r="V1398">
        <f>IF($K1398="","",IF(ISNUMBER(Sync!$AK1398),Sync!$AK1398,LEFT(Sync!$AK1398,4)&amp;MID(Sync!$AK1398,6,2)&amp;RIGHT(Sync!$AK1398,2))&amp;"|"&amp;"4"&amp;RIGHT("00000"&amp;1393,5))</f>
        <v/>
      </c>
      <c r="W1398">
        <f>IF($V1398="",0,COUNTIFS($V$6:$V$2005,"&lt;"&amp;$V1398)-COUNTIFS($V$6:$V$2005,"&lt;"&amp;$V1398,$K$6:$K$2005,"")+1)</f>
        <v/>
      </c>
    </row>
    <row r="1399">
      <c r="A1399">
        <f>IF(Sync!$Z1399="","",LEFT(UPPER(TRIM(Sync!$Z1399)),6))</f>
        <v/>
      </c>
      <c r="B1399">
        <f>IF($A1399="","",IF(Sync!$AA1399="","",Sync!$AA1399))</f>
        <v/>
      </c>
      <c r="C1399">
        <f>IF($A1399="","",IF(Sync!$AB1399="","",Sync!$AB1399))</f>
        <v/>
      </c>
      <c r="D1399">
        <f>IF($A1399="","",IF(Sync!$AC1399="","",Sync!$AC1399))</f>
        <v/>
      </c>
      <c r="E1399">
        <f>IF($A1399="","",IF(Sync!$AD1399="","",Sync!$AD1399))</f>
        <v/>
      </c>
      <c r="F1399">
        <f>IF($A1399="","",IF(Sync!$AE1399="",0,Sync!$AE1399))</f>
        <v/>
      </c>
      <c r="G1399">
        <f>IF($A1399="","",IF(Sync!$AF1399="",0,Sync!$AF1399))</f>
        <v/>
      </c>
      <c r="H1399">
        <f>IF(OR($A1399="",ROUND($F1399+$G1399,2)=0),"",$F1399+$G1399)</f>
        <v/>
      </c>
      <c r="I1399">
        <f>IF($H1399="","",IF(ROUND($F1399,2)&gt;0,$A1399,IF($D1399="شخصی قاسم","شخصی قاسم",IF($D1399="هزینه","هزینه: "&amp;IF($E1399="","متفرقه",$E1399),IF($C1399="پاس چک","چک پرداختی",IF(OR($B1399="",COUNTIF(AcctCodesA,$B1399)=0),"متفرقه",$B1399))))))</f>
        <v/>
      </c>
      <c r="J1399">
        <f>IF($H1399="","",IF(ROUND($F1399,2)&gt;0,IF($D1399="شخصی قاسم","شخصی قاسم",IF($D1399="هزینه","هزینه: "&amp;IF($E1399="","متفرقه",$E1399),IF(OR($B1399="",COUNTIF(AcctCodesA,$B1399)=0),"متفرقه",$B1399))),$A1399))</f>
        <v/>
      </c>
      <c r="K1399">
        <f>IF($A1399="","",IF(AND($B1399&lt;&gt;"",COUNTIF(AcctCodesA,$B1399)=0),"کد طرف در INFO تعریف نشده",IF(AND($D1399="هزینه",$E1399=""),"هزینه بدون زیرگروه",IF(AND($C1399="پاس چک",OR(Sync!$AJ1399="",COUNTIF(IssueNosA,Sync!$AJ1399)=0)),"شماره چک پاس‌شده معتبر نیست",""))))</f>
        <v/>
      </c>
      <c r="V1399">
        <f>IF($K1399="","",IF(ISNUMBER(Sync!$AK1399),Sync!$AK1399,LEFT(Sync!$AK1399,4)&amp;MID(Sync!$AK1399,6,2)&amp;RIGHT(Sync!$AK1399,2))&amp;"|"&amp;"4"&amp;RIGHT("00000"&amp;1394,5))</f>
        <v/>
      </c>
      <c r="W1399">
        <f>IF($V1399="",0,COUNTIFS($V$6:$V$2005,"&lt;"&amp;$V1399)-COUNTIFS($V$6:$V$2005,"&lt;"&amp;$V1399,$K$6:$K$2005,"")+1)</f>
        <v/>
      </c>
    </row>
    <row r="1400">
      <c r="A1400">
        <f>IF(Sync!$Z1400="","",LEFT(UPPER(TRIM(Sync!$Z1400)),6))</f>
        <v/>
      </c>
      <c r="B1400">
        <f>IF($A1400="","",IF(Sync!$AA1400="","",Sync!$AA1400))</f>
        <v/>
      </c>
      <c r="C1400">
        <f>IF($A1400="","",IF(Sync!$AB1400="","",Sync!$AB1400))</f>
        <v/>
      </c>
      <c r="D1400">
        <f>IF($A1400="","",IF(Sync!$AC1400="","",Sync!$AC1400))</f>
        <v/>
      </c>
      <c r="E1400">
        <f>IF($A1400="","",IF(Sync!$AD1400="","",Sync!$AD1400))</f>
        <v/>
      </c>
      <c r="F1400">
        <f>IF($A1400="","",IF(Sync!$AE1400="",0,Sync!$AE1400))</f>
        <v/>
      </c>
      <c r="G1400">
        <f>IF($A1400="","",IF(Sync!$AF1400="",0,Sync!$AF1400))</f>
        <v/>
      </c>
      <c r="H1400">
        <f>IF(OR($A1400="",ROUND($F1400+$G1400,2)=0),"",$F1400+$G1400)</f>
        <v/>
      </c>
      <c r="I1400">
        <f>IF($H1400="","",IF(ROUND($F1400,2)&gt;0,$A1400,IF($D1400="شخصی قاسم","شخصی قاسم",IF($D1400="هزینه","هزینه: "&amp;IF($E1400="","متفرقه",$E1400),IF($C1400="پاس چک","چک پرداختی",IF(OR($B1400="",COUNTIF(AcctCodesA,$B1400)=0),"متفرقه",$B1400))))))</f>
        <v/>
      </c>
      <c r="J1400">
        <f>IF($H1400="","",IF(ROUND($F1400,2)&gt;0,IF($D1400="شخصی قاسم","شخصی قاسم",IF($D1400="هزینه","هزینه: "&amp;IF($E1400="","متفرقه",$E1400),IF(OR($B1400="",COUNTIF(AcctCodesA,$B1400)=0),"متفرقه",$B1400))),$A1400))</f>
        <v/>
      </c>
      <c r="K1400">
        <f>IF($A1400="","",IF(AND($B1400&lt;&gt;"",COUNTIF(AcctCodesA,$B1400)=0),"کد طرف در INFO تعریف نشده",IF(AND($D1400="هزینه",$E1400=""),"هزینه بدون زیرگروه",IF(AND($C1400="پاس چک",OR(Sync!$AJ1400="",COUNTIF(IssueNosA,Sync!$AJ1400)=0)),"شماره چک پاس‌شده معتبر نیست",""))))</f>
        <v/>
      </c>
      <c r="V1400">
        <f>IF($K1400="","",IF(ISNUMBER(Sync!$AK1400),Sync!$AK1400,LEFT(Sync!$AK1400,4)&amp;MID(Sync!$AK1400,6,2)&amp;RIGHT(Sync!$AK1400,2))&amp;"|"&amp;"4"&amp;RIGHT("00000"&amp;1395,5))</f>
        <v/>
      </c>
      <c r="W1400">
        <f>IF($V1400="",0,COUNTIFS($V$6:$V$2005,"&lt;"&amp;$V1400)-COUNTIFS($V$6:$V$2005,"&lt;"&amp;$V1400,$K$6:$K$2005,"")+1)</f>
        <v/>
      </c>
    </row>
    <row r="1401">
      <c r="A1401">
        <f>IF(Sync!$Z1401="","",LEFT(UPPER(TRIM(Sync!$Z1401)),6))</f>
        <v/>
      </c>
      <c r="B1401">
        <f>IF($A1401="","",IF(Sync!$AA1401="","",Sync!$AA1401))</f>
        <v/>
      </c>
      <c r="C1401">
        <f>IF($A1401="","",IF(Sync!$AB1401="","",Sync!$AB1401))</f>
        <v/>
      </c>
      <c r="D1401">
        <f>IF($A1401="","",IF(Sync!$AC1401="","",Sync!$AC1401))</f>
        <v/>
      </c>
      <c r="E1401">
        <f>IF($A1401="","",IF(Sync!$AD1401="","",Sync!$AD1401))</f>
        <v/>
      </c>
      <c r="F1401">
        <f>IF($A1401="","",IF(Sync!$AE1401="",0,Sync!$AE1401))</f>
        <v/>
      </c>
      <c r="G1401">
        <f>IF($A1401="","",IF(Sync!$AF1401="",0,Sync!$AF1401))</f>
        <v/>
      </c>
      <c r="H1401">
        <f>IF(OR($A1401="",ROUND($F1401+$G1401,2)=0),"",$F1401+$G1401)</f>
        <v/>
      </c>
      <c r="I1401">
        <f>IF($H1401="","",IF(ROUND($F1401,2)&gt;0,$A1401,IF($D1401="شخصی قاسم","شخصی قاسم",IF($D1401="هزینه","هزینه: "&amp;IF($E1401="","متفرقه",$E1401),IF($C1401="پاس چک","چک پرداختی",IF(OR($B1401="",COUNTIF(AcctCodesA,$B1401)=0),"متفرقه",$B1401))))))</f>
        <v/>
      </c>
      <c r="J1401">
        <f>IF($H1401="","",IF(ROUND($F1401,2)&gt;0,IF($D1401="شخصی قاسم","شخصی قاسم",IF($D1401="هزینه","هزینه: "&amp;IF($E1401="","متفرقه",$E1401),IF(OR($B1401="",COUNTIF(AcctCodesA,$B1401)=0),"متفرقه",$B1401))),$A1401))</f>
        <v/>
      </c>
      <c r="K1401">
        <f>IF($A1401="","",IF(AND($B1401&lt;&gt;"",COUNTIF(AcctCodesA,$B1401)=0),"کد طرف در INFO تعریف نشده",IF(AND($D1401="هزینه",$E1401=""),"هزینه بدون زیرگروه",IF(AND($C1401="پاس چک",OR(Sync!$AJ1401="",COUNTIF(IssueNosA,Sync!$AJ1401)=0)),"شماره چک پاس‌شده معتبر نیست",""))))</f>
        <v/>
      </c>
      <c r="V1401">
        <f>IF($K1401="","",IF(ISNUMBER(Sync!$AK1401),Sync!$AK1401,LEFT(Sync!$AK1401,4)&amp;MID(Sync!$AK1401,6,2)&amp;RIGHT(Sync!$AK1401,2))&amp;"|"&amp;"4"&amp;RIGHT("00000"&amp;1396,5))</f>
        <v/>
      </c>
      <c r="W1401">
        <f>IF($V1401="",0,COUNTIFS($V$6:$V$2005,"&lt;"&amp;$V1401)-COUNTIFS($V$6:$V$2005,"&lt;"&amp;$V1401,$K$6:$K$2005,"")+1)</f>
        <v/>
      </c>
    </row>
    <row r="1402">
      <c r="A1402">
        <f>IF(Sync!$Z1402="","",LEFT(UPPER(TRIM(Sync!$Z1402)),6))</f>
        <v/>
      </c>
      <c r="B1402">
        <f>IF($A1402="","",IF(Sync!$AA1402="","",Sync!$AA1402))</f>
        <v/>
      </c>
      <c r="C1402">
        <f>IF($A1402="","",IF(Sync!$AB1402="","",Sync!$AB1402))</f>
        <v/>
      </c>
      <c r="D1402">
        <f>IF($A1402="","",IF(Sync!$AC1402="","",Sync!$AC1402))</f>
        <v/>
      </c>
      <c r="E1402">
        <f>IF($A1402="","",IF(Sync!$AD1402="","",Sync!$AD1402))</f>
        <v/>
      </c>
      <c r="F1402">
        <f>IF($A1402="","",IF(Sync!$AE1402="",0,Sync!$AE1402))</f>
        <v/>
      </c>
      <c r="G1402">
        <f>IF($A1402="","",IF(Sync!$AF1402="",0,Sync!$AF1402))</f>
        <v/>
      </c>
      <c r="H1402">
        <f>IF(OR($A1402="",ROUND($F1402+$G1402,2)=0),"",$F1402+$G1402)</f>
        <v/>
      </c>
      <c r="I1402">
        <f>IF($H1402="","",IF(ROUND($F1402,2)&gt;0,$A1402,IF($D1402="شخصی قاسم","شخصی قاسم",IF($D1402="هزینه","هزینه: "&amp;IF($E1402="","متفرقه",$E1402),IF($C1402="پاس چک","چک پرداختی",IF(OR($B1402="",COUNTIF(AcctCodesA,$B1402)=0),"متفرقه",$B1402))))))</f>
        <v/>
      </c>
      <c r="J1402">
        <f>IF($H1402="","",IF(ROUND($F1402,2)&gt;0,IF($D1402="شخصی قاسم","شخصی قاسم",IF($D1402="هزینه","هزینه: "&amp;IF($E1402="","متفرقه",$E1402),IF(OR($B1402="",COUNTIF(AcctCodesA,$B1402)=0),"متفرقه",$B1402))),$A1402))</f>
        <v/>
      </c>
      <c r="K1402">
        <f>IF($A1402="","",IF(AND($B1402&lt;&gt;"",COUNTIF(AcctCodesA,$B1402)=0),"کد طرف در INFO تعریف نشده",IF(AND($D1402="هزینه",$E1402=""),"هزینه بدون زیرگروه",IF(AND($C1402="پاس چک",OR(Sync!$AJ1402="",COUNTIF(IssueNosA,Sync!$AJ1402)=0)),"شماره چک پاس‌شده معتبر نیست",""))))</f>
        <v/>
      </c>
      <c r="V1402">
        <f>IF($K1402="","",IF(ISNUMBER(Sync!$AK1402),Sync!$AK1402,LEFT(Sync!$AK1402,4)&amp;MID(Sync!$AK1402,6,2)&amp;RIGHT(Sync!$AK1402,2))&amp;"|"&amp;"4"&amp;RIGHT("00000"&amp;1397,5))</f>
        <v/>
      </c>
      <c r="W1402">
        <f>IF($V1402="",0,COUNTIFS($V$6:$V$2005,"&lt;"&amp;$V1402)-COUNTIFS($V$6:$V$2005,"&lt;"&amp;$V1402,$K$6:$K$2005,"")+1)</f>
        <v/>
      </c>
    </row>
    <row r="1403">
      <c r="A1403">
        <f>IF(Sync!$Z1403="","",LEFT(UPPER(TRIM(Sync!$Z1403)),6))</f>
        <v/>
      </c>
      <c r="B1403">
        <f>IF($A1403="","",IF(Sync!$AA1403="","",Sync!$AA1403))</f>
        <v/>
      </c>
      <c r="C1403">
        <f>IF($A1403="","",IF(Sync!$AB1403="","",Sync!$AB1403))</f>
        <v/>
      </c>
      <c r="D1403">
        <f>IF($A1403="","",IF(Sync!$AC1403="","",Sync!$AC1403))</f>
        <v/>
      </c>
      <c r="E1403">
        <f>IF($A1403="","",IF(Sync!$AD1403="","",Sync!$AD1403))</f>
        <v/>
      </c>
      <c r="F1403">
        <f>IF($A1403="","",IF(Sync!$AE1403="",0,Sync!$AE1403))</f>
        <v/>
      </c>
      <c r="G1403">
        <f>IF($A1403="","",IF(Sync!$AF1403="",0,Sync!$AF1403))</f>
        <v/>
      </c>
      <c r="H1403">
        <f>IF(OR($A1403="",ROUND($F1403+$G1403,2)=0),"",$F1403+$G1403)</f>
        <v/>
      </c>
      <c r="I1403">
        <f>IF($H1403="","",IF(ROUND($F1403,2)&gt;0,$A1403,IF($D1403="شخصی قاسم","شخصی قاسم",IF($D1403="هزینه","هزینه: "&amp;IF($E1403="","متفرقه",$E1403),IF($C1403="پاس چک","چک پرداختی",IF(OR($B1403="",COUNTIF(AcctCodesA,$B1403)=0),"متفرقه",$B1403))))))</f>
        <v/>
      </c>
      <c r="J1403">
        <f>IF($H1403="","",IF(ROUND($F1403,2)&gt;0,IF($D1403="شخصی قاسم","شخصی قاسم",IF($D1403="هزینه","هزینه: "&amp;IF($E1403="","متفرقه",$E1403),IF(OR($B1403="",COUNTIF(AcctCodesA,$B1403)=0),"متفرقه",$B1403))),$A1403))</f>
        <v/>
      </c>
      <c r="K1403">
        <f>IF($A1403="","",IF(AND($B1403&lt;&gt;"",COUNTIF(AcctCodesA,$B1403)=0),"کد طرف در INFO تعریف نشده",IF(AND($D1403="هزینه",$E1403=""),"هزینه بدون زیرگروه",IF(AND($C1403="پاس چک",OR(Sync!$AJ1403="",COUNTIF(IssueNosA,Sync!$AJ1403)=0)),"شماره چک پاس‌شده معتبر نیست",""))))</f>
        <v/>
      </c>
      <c r="V1403">
        <f>IF($K1403="","",IF(ISNUMBER(Sync!$AK1403),Sync!$AK1403,LEFT(Sync!$AK1403,4)&amp;MID(Sync!$AK1403,6,2)&amp;RIGHT(Sync!$AK1403,2))&amp;"|"&amp;"4"&amp;RIGHT("00000"&amp;1398,5))</f>
        <v/>
      </c>
      <c r="W1403">
        <f>IF($V1403="",0,COUNTIFS($V$6:$V$2005,"&lt;"&amp;$V1403)-COUNTIFS($V$6:$V$2005,"&lt;"&amp;$V1403,$K$6:$K$2005,"")+1)</f>
        <v/>
      </c>
    </row>
    <row r="1404">
      <c r="A1404">
        <f>IF(Sync!$Z1404="","",LEFT(UPPER(TRIM(Sync!$Z1404)),6))</f>
        <v/>
      </c>
      <c r="B1404">
        <f>IF($A1404="","",IF(Sync!$AA1404="","",Sync!$AA1404))</f>
        <v/>
      </c>
      <c r="C1404">
        <f>IF($A1404="","",IF(Sync!$AB1404="","",Sync!$AB1404))</f>
        <v/>
      </c>
      <c r="D1404">
        <f>IF($A1404="","",IF(Sync!$AC1404="","",Sync!$AC1404))</f>
        <v/>
      </c>
      <c r="E1404">
        <f>IF($A1404="","",IF(Sync!$AD1404="","",Sync!$AD1404))</f>
        <v/>
      </c>
      <c r="F1404">
        <f>IF($A1404="","",IF(Sync!$AE1404="",0,Sync!$AE1404))</f>
        <v/>
      </c>
      <c r="G1404">
        <f>IF($A1404="","",IF(Sync!$AF1404="",0,Sync!$AF1404))</f>
        <v/>
      </c>
      <c r="H1404">
        <f>IF(OR($A1404="",ROUND($F1404+$G1404,2)=0),"",$F1404+$G1404)</f>
        <v/>
      </c>
      <c r="I1404">
        <f>IF($H1404="","",IF(ROUND($F1404,2)&gt;0,$A1404,IF($D1404="شخصی قاسم","شخصی قاسم",IF($D1404="هزینه","هزینه: "&amp;IF($E1404="","متفرقه",$E1404),IF($C1404="پاس چک","چک پرداختی",IF(OR($B1404="",COUNTIF(AcctCodesA,$B1404)=0),"متفرقه",$B1404))))))</f>
        <v/>
      </c>
      <c r="J1404">
        <f>IF($H1404="","",IF(ROUND($F1404,2)&gt;0,IF($D1404="شخصی قاسم","شخصی قاسم",IF($D1404="هزینه","هزینه: "&amp;IF($E1404="","متفرقه",$E1404),IF(OR($B1404="",COUNTIF(AcctCodesA,$B1404)=0),"متفرقه",$B1404))),$A1404))</f>
        <v/>
      </c>
      <c r="K1404">
        <f>IF($A1404="","",IF(AND($B1404&lt;&gt;"",COUNTIF(AcctCodesA,$B1404)=0),"کد طرف در INFO تعریف نشده",IF(AND($D1404="هزینه",$E1404=""),"هزینه بدون زیرگروه",IF(AND($C1404="پاس چک",OR(Sync!$AJ1404="",COUNTIF(IssueNosA,Sync!$AJ1404)=0)),"شماره چک پاس‌شده معتبر نیست",""))))</f>
        <v/>
      </c>
      <c r="V1404">
        <f>IF($K1404="","",IF(ISNUMBER(Sync!$AK1404),Sync!$AK1404,LEFT(Sync!$AK1404,4)&amp;MID(Sync!$AK1404,6,2)&amp;RIGHT(Sync!$AK1404,2))&amp;"|"&amp;"4"&amp;RIGHT("00000"&amp;1399,5))</f>
        <v/>
      </c>
      <c r="W1404">
        <f>IF($V1404="",0,COUNTIFS($V$6:$V$2005,"&lt;"&amp;$V1404)-COUNTIFS($V$6:$V$2005,"&lt;"&amp;$V1404,$K$6:$K$2005,"")+1)</f>
        <v/>
      </c>
    </row>
    <row r="1405">
      <c r="A1405">
        <f>IF(Sync!$Z1405="","",LEFT(UPPER(TRIM(Sync!$Z1405)),6))</f>
        <v/>
      </c>
      <c r="B1405">
        <f>IF($A1405="","",IF(Sync!$AA1405="","",Sync!$AA1405))</f>
        <v/>
      </c>
      <c r="C1405">
        <f>IF($A1405="","",IF(Sync!$AB1405="","",Sync!$AB1405))</f>
        <v/>
      </c>
      <c r="D1405">
        <f>IF($A1405="","",IF(Sync!$AC1405="","",Sync!$AC1405))</f>
        <v/>
      </c>
      <c r="E1405">
        <f>IF($A1405="","",IF(Sync!$AD1405="","",Sync!$AD1405))</f>
        <v/>
      </c>
      <c r="F1405">
        <f>IF($A1405="","",IF(Sync!$AE1405="",0,Sync!$AE1405))</f>
        <v/>
      </c>
      <c r="G1405">
        <f>IF($A1405="","",IF(Sync!$AF1405="",0,Sync!$AF1405))</f>
        <v/>
      </c>
      <c r="H1405">
        <f>IF(OR($A1405="",ROUND($F1405+$G1405,2)=0),"",$F1405+$G1405)</f>
        <v/>
      </c>
      <c r="I1405">
        <f>IF($H1405="","",IF(ROUND($F1405,2)&gt;0,$A1405,IF($D1405="شخصی قاسم","شخصی قاسم",IF($D1405="هزینه","هزینه: "&amp;IF($E1405="","متفرقه",$E1405),IF($C1405="پاس چک","چک پرداختی",IF(OR($B1405="",COUNTIF(AcctCodesA,$B1405)=0),"متفرقه",$B1405))))))</f>
        <v/>
      </c>
      <c r="J1405">
        <f>IF($H1405="","",IF(ROUND($F1405,2)&gt;0,IF($D1405="شخصی قاسم","شخصی قاسم",IF($D1405="هزینه","هزینه: "&amp;IF($E1405="","متفرقه",$E1405),IF(OR($B1405="",COUNTIF(AcctCodesA,$B1405)=0),"متفرقه",$B1405))),$A1405))</f>
        <v/>
      </c>
      <c r="K1405">
        <f>IF($A1405="","",IF(AND($B1405&lt;&gt;"",COUNTIF(AcctCodesA,$B1405)=0),"کد طرف در INFO تعریف نشده",IF(AND($D1405="هزینه",$E1405=""),"هزینه بدون زیرگروه",IF(AND($C1405="پاس چک",OR(Sync!$AJ1405="",COUNTIF(IssueNosA,Sync!$AJ1405)=0)),"شماره چک پاس‌شده معتبر نیست",""))))</f>
        <v/>
      </c>
      <c r="V1405">
        <f>IF($K1405="","",IF(ISNUMBER(Sync!$AK1405),Sync!$AK1405,LEFT(Sync!$AK1405,4)&amp;MID(Sync!$AK1405,6,2)&amp;RIGHT(Sync!$AK1405,2))&amp;"|"&amp;"4"&amp;RIGHT("00000"&amp;1400,5))</f>
        <v/>
      </c>
      <c r="W1405">
        <f>IF($V1405="",0,COUNTIFS($V$6:$V$2005,"&lt;"&amp;$V1405)-COUNTIFS($V$6:$V$2005,"&lt;"&amp;$V1405,$K$6:$K$2005,"")+1)</f>
        <v/>
      </c>
    </row>
    <row r="1406">
      <c r="A1406">
        <f>IF(Sync!$Z1406="","",LEFT(UPPER(TRIM(Sync!$Z1406)),6))</f>
        <v/>
      </c>
      <c r="B1406">
        <f>IF($A1406="","",IF(Sync!$AA1406="","",Sync!$AA1406))</f>
        <v/>
      </c>
      <c r="C1406">
        <f>IF($A1406="","",IF(Sync!$AB1406="","",Sync!$AB1406))</f>
        <v/>
      </c>
      <c r="D1406">
        <f>IF($A1406="","",IF(Sync!$AC1406="","",Sync!$AC1406))</f>
        <v/>
      </c>
      <c r="E1406">
        <f>IF($A1406="","",IF(Sync!$AD1406="","",Sync!$AD1406))</f>
        <v/>
      </c>
      <c r="F1406">
        <f>IF($A1406="","",IF(Sync!$AE1406="",0,Sync!$AE1406))</f>
        <v/>
      </c>
      <c r="G1406">
        <f>IF($A1406="","",IF(Sync!$AF1406="",0,Sync!$AF1406))</f>
        <v/>
      </c>
      <c r="H1406">
        <f>IF(OR($A1406="",ROUND($F1406+$G1406,2)=0),"",$F1406+$G1406)</f>
        <v/>
      </c>
      <c r="I1406">
        <f>IF($H1406="","",IF(ROUND($F1406,2)&gt;0,$A1406,IF($D1406="شخصی قاسم","شخصی قاسم",IF($D1406="هزینه","هزینه: "&amp;IF($E1406="","متفرقه",$E1406),IF($C1406="پاس چک","چک پرداختی",IF(OR($B1406="",COUNTIF(AcctCodesA,$B1406)=0),"متفرقه",$B1406))))))</f>
        <v/>
      </c>
      <c r="J1406">
        <f>IF($H1406="","",IF(ROUND($F1406,2)&gt;0,IF($D1406="شخصی قاسم","شخصی قاسم",IF($D1406="هزینه","هزینه: "&amp;IF($E1406="","متفرقه",$E1406),IF(OR($B1406="",COUNTIF(AcctCodesA,$B1406)=0),"متفرقه",$B1406))),$A1406))</f>
        <v/>
      </c>
      <c r="K1406">
        <f>IF($A1406="","",IF(AND($B1406&lt;&gt;"",COUNTIF(AcctCodesA,$B1406)=0),"کد طرف در INFO تعریف نشده",IF(AND($D1406="هزینه",$E1406=""),"هزینه بدون زیرگروه",IF(AND($C1406="پاس چک",OR(Sync!$AJ1406="",COUNTIF(IssueNosA,Sync!$AJ1406)=0)),"شماره چک پاس‌شده معتبر نیست",""))))</f>
        <v/>
      </c>
      <c r="V1406">
        <f>IF($K1406="","",IF(ISNUMBER(Sync!$AK1406),Sync!$AK1406,LEFT(Sync!$AK1406,4)&amp;MID(Sync!$AK1406,6,2)&amp;RIGHT(Sync!$AK1406,2))&amp;"|"&amp;"4"&amp;RIGHT("00000"&amp;1401,5))</f>
        <v/>
      </c>
      <c r="W1406">
        <f>IF($V1406="",0,COUNTIFS($V$6:$V$2005,"&lt;"&amp;$V1406)-COUNTIFS($V$6:$V$2005,"&lt;"&amp;$V1406,$K$6:$K$2005,"")+1)</f>
        <v/>
      </c>
    </row>
    <row r="1407">
      <c r="A1407">
        <f>IF(Sync!$Z1407="","",LEFT(UPPER(TRIM(Sync!$Z1407)),6))</f>
        <v/>
      </c>
      <c r="B1407">
        <f>IF($A1407="","",IF(Sync!$AA1407="","",Sync!$AA1407))</f>
        <v/>
      </c>
      <c r="C1407">
        <f>IF($A1407="","",IF(Sync!$AB1407="","",Sync!$AB1407))</f>
        <v/>
      </c>
      <c r="D1407">
        <f>IF($A1407="","",IF(Sync!$AC1407="","",Sync!$AC1407))</f>
        <v/>
      </c>
      <c r="E1407">
        <f>IF($A1407="","",IF(Sync!$AD1407="","",Sync!$AD1407))</f>
        <v/>
      </c>
      <c r="F1407">
        <f>IF($A1407="","",IF(Sync!$AE1407="",0,Sync!$AE1407))</f>
        <v/>
      </c>
      <c r="G1407">
        <f>IF($A1407="","",IF(Sync!$AF1407="",0,Sync!$AF1407))</f>
        <v/>
      </c>
      <c r="H1407">
        <f>IF(OR($A1407="",ROUND($F1407+$G1407,2)=0),"",$F1407+$G1407)</f>
        <v/>
      </c>
      <c r="I1407">
        <f>IF($H1407="","",IF(ROUND($F1407,2)&gt;0,$A1407,IF($D1407="شخصی قاسم","شخصی قاسم",IF($D1407="هزینه","هزینه: "&amp;IF($E1407="","متفرقه",$E1407),IF($C1407="پاس چک","چک پرداختی",IF(OR($B1407="",COUNTIF(AcctCodesA,$B1407)=0),"متفرقه",$B1407))))))</f>
        <v/>
      </c>
      <c r="J1407">
        <f>IF($H1407="","",IF(ROUND($F1407,2)&gt;0,IF($D1407="شخصی قاسم","شخصی قاسم",IF($D1407="هزینه","هزینه: "&amp;IF($E1407="","متفرقه",$E1407),IF(OR($B1407="",COUNTIF(AcctCodesA,$B1407)=0),"متفرقه",$B1407))),$A1407))</f>
        <v/>
      </c>
      <c r="K1407">
        <f>IF($A1407="","",IF(AND($B1407&lt;&gt;"",COUNTIF(AcctCodesA,$B1407)=0),"کد طرف در INFO تعریف نشده",IF(AND($D1407="هزینه",$E1407=""),"هزینه بدون زیرگروه",IF(AND($C1407="پاس چک",OR(Sync!$AJ1407="",COUNTIF(IssueNosA,Sync!$AJ1407)=0)),"شماره چک پاس‌شده معتبر نیست",""))))</f>
        <v/>
      </c>
      <c r="V1407">
        <f>IF($K1407="","",IF(ISNUMBER(Sync!$AK1407),Sync!$AK1407,LEFT(Sync!$AK1407,4)&amp;MID(Sync!$AK1407,6,2)&amp;RIGHT(Sync!$AK1407,2))&amp;"|"&amp;"4"&amp;RIGHT("00000"&amp;1402,5))</f>
        <v/>
      </c>
      <c r="W1407">
        <f>IF($V1407="",0,COUNTIFS($V$6:$V$2005,"&lt;"&amp;$V1407)-COUNTIFS($V$6:$V$2005,"&lt;"&amp;$V1407,$K$6:$K$2005,"")+1)</f>
        <v/>
      </c>
    </row>
    <row r="1408">
      <c r="A1408">
        <f>IF(Sync!$Z1408="","",LEFT(UPPER(TRIM(Sync!$Z1408)),6))</f>
        <v/>
      </c>
      <c r="B1408">
        <f>IF($A1408="","",IF(Sync!$AA1408="","",Sync!$AA1408))</f>
        <v/>
      </c>
      <c r="C1408">
        <f>IF($A1408="","",IF(Sync!$AB1408="","",Sync!$AB1408))</f>
        <v/>
      </c>
      <c r="D1408">
        <f>IF($A1408="","",IF(Sync!$AC1408="","",Sync!$AC1408))</f>
        <v/>
      </c>
      <c r="E1408">
        <f>IF($A1408="","",IF(Sync!$AD1408="","",Sync!$AD1408))</f>
        <v/>
      </c>
      <c r="F1408">
        <f>IF($A1408="","",IF(Sync!$AE1408="",0,Sync!$AE1408))</f>
        <v/>
      </c>
      <c r="G1408">
        <f>IF($A1408="","",IF(Sync!$AF1408="",0,Sync!$AF1408))</f>
        <v/>
      </c>
      <c r="H1408">
        <f>IF(OR($A1408="",ROUND($F1408+$G1408,2)=0),"",$F1408+$G1408)</f>
        <v/>
      </c>
      <c r="I1408">
        <f>IF($H1408="","",IF(ROUND($F1408,2)&gt;0,$A1408,IF($D1408="شخصی قاسم","شخصی قاسم",IF($D1408="هزینه","هزینه: "&amp;IF($E1408="","متفرقه",$E1408),IF($C1408="پاس چک","چک پرداختی",IF(OR($B1408="",COUNTIF(AcctCodesA,$B1408)=0),"متفرقه",$B1408))))))</f>
        <v/>
      </c>
      <c r="J1408">
        <f>IF($H1408="","",IF(ROUND($F1408,2)&gt;0,IF($D1408="شخصی قاسم","شخصی قاسم",IF($D1408="هزینه","هزینه: "&amp;IF($E1408="","متفرقه",$E1408),IF(OR($B1408="",COUNTIF(AcctCodesA,$B1408)=0),"متفرقه",$B1408))),$A1408))</f>
        <v/>
      </c>
      <c r="K1408">
        <f>IF($A1408="","",IF(AND($B1408&lt;&gt;"",COUNTIF(AcctCodesA,$B1408)=0),"کد طرف در INFO تعریف نشده",IF(AND($D1408="هزینه",$E1408=""),"هزینه بدون زیرگروه",IF(AND($C1408="پاس چک",OR(Sync!$AJ1408="",COUNTIF(IssueNosA,Sync!$AJ1408)=0)),"شماره چک پاس‌شده معتبر نیست",""))))</f>
        <v/>
      </c>
      <c r="V1408">
        <f>IF($K1408="","",IF(ISNUMBER(Sync!$AK1408),Sync!$AK1408,LEFT(Sync!$AK1408,4)&amp;MID(Sync!$AK1408,6,2)&amp;RIGHT(Sync!$AK1408,2))&amp;"|"&amp;"4"&amp;RIGHT("00000"&amp;1403,5))</f>
        <v/>
      </c>
      <c r="W1408">
        <f>IF($V1408="",0,COUNTIFS($V$6:$V$2005,"&lt;"&amp;$V1408)-COUNTIFS($V$6:$V$2005,"&lt;"&amp;$V1408,$K$6:$K$2005,"")+1)</f>
        <v/>
      </c>
    </row>
    <row r="1409">
      <c r="A1409">
        <f>IF(Sync!$Z1409="","",LEFT(UPPER(TRIM(Sync!$Z1409)),6))</f>
        <v/>
      </c>
      <c r="B1409">
        <f>IF($A1409="","",IF(Sync!$AA1409="","",Sync!$AA1409))</f>
        <v/>
      </c>
      <c r="C1409">
        <f>IF($A1409="","",IF(Sync!$AB1409="","",Sync!$AB1409))</f>
        <v/>
      </c>
      <c r="D1409">
        <f>IF($A1409="","",IF(Sync!$AC1409="","",Sync!$AC1409))</f>
        <v/>
      </c>
      <c r="E1409">
        <f>IF($A1409="","",IF(Sync!$AD1409="","",Sync!$AD1409))</f>
        <v/>
      </c>
      <c r="F1409">
        <f>IF($A1409="","",IF(Sync!$AE1409="",0,Sync!$AE1409))</f>
        <v/>
      </c>
      <c r="G1409">
        <f>IF($A1409="","",IF(Sync!$AF1409="",0,Sync!$AF1409))</f>
        <v/>
      </c>
      <c r="H1409">
        <f>IF(OR($A1409="",ROUND($F1409+$G1409,2)=0),"",$F1409+$G1409)</f>
        <v/>
      </c>
      <c r="I1409">
        <f>IF($H1409="","",IF(ROUND($F1409,2)&gt;0,$A1409,IF($D1409="شخصی قاسم","شخصی قاسم",IF($D1409="هزینه","هزینه: "&amp;IF($E1409="","متفرقه",$E1409),IF($C1409="پاس چک","چک پرداختی",IF(OR($B1409="",COUNTIF(AcctCodesA,$B1409)=0),"متفرقه",$B1409))))))</f>
        <v/>
      </c>
      <c r="J1409">
        <f>IF($H1409="","",IF(ROUND($F1409,2)&gt;0,IF($D1409="شخصی قاسم","شخصی قاسم",IF($D1409="هزینه","هزینه: "&amp;IF($E1409="","متفرقه",$E1409),IF(OR($B1409="",COUNTIF(AcctCodesA,$B1409)=0),"متفرقه",$B1409))),$A1409))</f>
        <v/>
      </c>
      <c r="K1409">
        <f>IF($A1409="","",IF(AND($B1409&lt;&gt;"",COUNTIF(AcctCodesA,$B1409)=0),"کد طرف در INFO تعریف نشده",IF(AND($D1409="هزینه",$E1409=""),"هزینه بدون زیرگروه",IF(AND($C1409="پاس چک",OR(Sync!$AJ1409="",COUNTIF(IssueNosA,Sync!$AJ1409)=0)),"شماره چک پاس‌شده معتبر نیست",""))))</f>
        <v/>
      </c>
      <c r="V1409">
        <f>IF($K1409="","",IF(ISNUMBER(Sync!$AK1409),Sync!$AK1409,LEFT(Sync!$AK1409,4)&amp;MID(Sync!$AK1409,6,2)&amp;RIGHT(Sync!$AK1409,2))&amp;"|"&amp;"4"&amp;RIGHT("00000"&amp;1404,5))</f>
        <v/>
      </c>
      <c r="W1409">
        <f>IF($V1409="",0,COUNTIFS($V$6:$V$2005,"&lt;"&amp;$V1409)-COUNTIFS($V$6:$V$2005,"&lt;"&amp;$V1409,$K$6:$K$2005,"")+1)</f>
        <v/>
      </c>
    </row>
    <row r="1410">
      <c r="A1410">
        <f>IF(Sync!$Z1410="","",LEFT(UPPER(TRIM(Sync!$Z1410)),6))</f>
        <v/>
      </c>
      <c r="B1410">
        <f>IF($A1410="","",IF(Sync!$AA1410="","",Sync!$AA1410))</f>
        <v/>
      </c>
      <c r="C1410">
        <f>IF($A1410="","",IF(Sync!$AB1410="","",Sync!$AB1410))</f>
        <v/>
      </c>
      <c r="D1410">
        <f>IF($A1410="","",IF(Sync!$AC1410="","",Sync!$AC1410))</f>
        <v/>
      </c>
      <c r="E1410">
        <f>IF($A1410="","",IF(Sync!$AD1410="","",Sync!$AD1410))</f>
        <v/>
      </c>
      <c r="F1410">
        <f>IF($A1410="","",IF(Sync!$AE1410="",0,Sync!$AE1410))</f>
        <v/>
      </c>
      <c r="G1410">
        <f>IF($A1410="","",IF(Sync!$AF1410="",0,Sync!$AF1410))</f>
        <v/>
      </c>
      <c r="H1410">
        <f>IF(OR($A1410="",ROUND($F1410+$G1410,2)=0),"",$F1410+$G1410)</f>
        <v/>
      </c>
      <c r="I1410">
        <f>IF($H1410="","",IF(ROUND($F1410,2)&gt;0,$A1410,IF($D1410="شخصی قاسم","شخصی قاسم",IF($D1410="هزینه","هزینه: "&amp;IF($E1410="","متفرقه",$E1410),IF($C1410="پاس چک","چک پرداختی",IF(OR($B1410="",COUNTIF(AcctCodesA,$B1410)=0),"متفرقه",$B1410))))))</f>
        <v/>
      </c>
      <c r="J1410">
        <f>IF($H1410="","",IF(ROUND($F1410,2)&gt;0,IF($D1410="شخصی قاسم","شخصی قاسم",IF($D1410="هزینه","هزینه: "&amp;IF($E1410="","متفرقه",$E1410),IF(OR($B1410="",COUNTIF(AcctCodesA,$B1410)=0),"متفرقه",$B1410))),$A1410))</f>
        <v/>
      </c>
      <c r="K1410">
        <f>IF($A1410="","",IF(AND($B1410&lt;&gt;"",COUNTIF(AcctCodesA,$B1410)=0),"کد طرف در INFO تعریف نشده",IF(AND($D1410="هزینه",$E1410=""),"هزینه بدون زیرگروه",IF(AND($C1410="پاس چک",OR(Sync!$AJ1410="",COUNTIF(IssueNosA,Sync!$AJ1410)=0)),"شماره چک پاس‌شده معتبر نیست",""))))</f>
        <v/>
      </c>
      <c r="V1410">
        <f>IF($K1410="","",IF(ISNUMBER(Sync!$AK1410),Sync!$AK1410,LEFT(Sync!$AK1410,4)&amp;MID(Sync!$AK1410,6,2)&amp;RIGHT(Sync!$AK1410,2))&amp;"|"&amp;"4"&amp;RIGHT("00000"&amp;1405,5))</f>
        <v/>
      </c>
      <c r="W1410">
        <f>IF($V1410="",0,COUNTIFS($V$6:$V$2005,"&lt;"&amp;$V1410)-COUNTIFS($V$6:$V$2005,"&lt;"&amp;$V1410,$K$6:$K$2005,"")+1)</f>
        <v/>
      </c>
    </row>
    <row r="1411">
      <c r="A1411">
        <f>IF(Sync!$Z1411="","",LEFT(UPPER(TRIM(Sync!$Z1411)),6))</f>
        <v/>
      </c>
      <c r="B1411">
        <f>IF($A1411="","",IF(Sync!$AA1411="","",Sync!$AA1411))</f>
        <v/>
      </c>
      <c r="C1411">
        <f>IF($A1411="","",IF(Sync!$AB1411="","",Sync!$AB1411))</f>
        <v/>
      </c>
      <c r="D1411">
        <f>IF($A1411="","",IF(Sync!$AC1411="","",Sync!$AC1411))</f>
        <v/>
      </c>
      <c r="E1411">
        <f>IF($A1411="","",IF(Sync!$AD1411="","",Sync!$AD1411))</f>
        <v/>
      </c>
      <c r="F1411">
        <f>IF($A1411="","",IF(Sync!$AE1411="",0,Sync!$AE1411))</f>
        <v/>
      </c>
      <c r="G1411">
        <f>IF($A1411="","",IF(Sync!$AF1411="",0,Sync!$AF1411))</f>
        <v/>
      </c>
      <c r="H1411">
        <f>IF(OR($A1411="",ROUND($F1411+$G1411,2)=0),"",$F1411+$G1411)</f>
        <v/>
      </c>
      <c r="I1411">
        <f>IF($H1411="","",IF(ROUND($F1411,2)&gt;0,$A1411,IF($D1411="شخصی قاسم","شخصی قاسم",IF($D1411="هزینه","هزینه: "&amp;IF($E1411="","متفرقه",$E1411),IF($C1411="پاس چک","چک پرداختی",IF(OR($B1411="",COUNTIF(AcctCodesA,$B1411)=0),"متفرقه",$B1411))))))</f>
        <v/>
      </c>
      <c r="J1411">
        <f>IF($H1411="","",IF(ROUND($F1411,2)&gt;0,IF($D1411="شخصی قاسم","شخصی قاسم",IF($D1411="هزینه","هزینه: "&amp;IF($E1411="","متفرقه",$E1411),IF(OR($B1411="",COUNTIF(AcctCodesA,$B1411)=0),"متفرقه",$B1411))),$A1411))</f>
        <v/>
      </c>
      <c r="K1411">
        <f>IF($A1411="","",IF(AND($B1411&lt;&gt;"",COUNTIF(AcctCodesA,$B1411)=0),"کد طرف در INFO تعریف نشده",IF(AND($D1411="هزینه",$E1411=""),"هزینه بدون زیرگروه",IF(AND($C1411="پاس چک",OR(Sync!$AJ1411="",COUNTIF(IssueNosA,Sync!$AJ1411)=0)),"شماره چک پاس‌شده معتبر نیست",""))))</f>
        <v/>
      </c>
      <c r="V1411">
        <f>IF($K1411="","",IF(ISNUMBER(Sync!$AK1411),Sync!$AK1411,LEFT(Sync!$AK1411,4)&amp;MID(Sync!$AK1411,6,2)&amp;RIGHT(Sync!$AK1411,2))&amp;"|"&amp;"4"&amp;RIGHT("00000"&amp;1406,5))</f>
        <v/>
      </c>
      <c r="W1411">
        <f>IF($V1411="",0,COUNTIFS($V$6:$V$2005,"&lt;"&amp;$V1411)-COUNTIFS($V$6:$V$2005,"&lt;"&amp;$V1411,$K$6:$K$2005,"")+1)</f>
        <v/>
      </c>
    </row>
    <row r="1412">
      <c r="A1412">
        <f>IF(Sync!$Z1412="","",LEFT(UPPER(TRIM(Sync!$Z1412)),6))</f>
        <v/>
      </c>
      <c r="B1412">
        <f>IF($A1412="","",IF(Sync!$AA1412="","",Sync!$AA1412))</f>
        <v/>
      </c>
      <c r="C1412">
        <f>IF($A1412="","",IF(Sync!$AB1412="","",Sync!$AB1412))</f>
        <v/>
      </c>
      <c r="D1412">
        <f>IF($A1412="","",IF(Sync!$AC1412="","",Sync!$AC1412))</f>
        <v/>
      </c>
      <c r="E1412">
        <f>IF($A1412="","",IF(Sync!$AD1412="","",Sync!$AD1412))</f>
        <v/>
      </c>
      <c r="F1412">
        <f>IF($A1412="","",IF(Sync!$AE1412="",0,Sync!$AE1412))</f>
        <v/>
      </c>
      <c r="G1412">
        <f>IF($A1412="","",IF(Sync!$AF1412="",0,Sync!$AF1412))</f>
        <v/>
      </c>
      <c r="H1412">
        <f>IF(OR($A1412="",ROUND($F1412+$G1412,2)=0),"",$F1412+$G1412)</f>
        <v/>
      </c>
      <c r="I1412">
        <f>IF($H1412="","",IF(ROUND($F1412,2)&gt;0,$A1412,IF($D1412="شخصی قاسم","شخصی قاسم",IF($D1412="هزینه","هزینه: "&amp;IF($E1412="","متفرقه",$E1412),IF($C1412="پاس چک","چک پرداختی",IF(OR($B1412="",COUNTIF(AcctCodesA,$B1412)=0),"متفرقه",$B1412))))))</f>
        <v/>
      </c>
      <c r="J1412">
        <f>IF($H1412="","",IF(ROUND($F1412,2)&gt;0,IF($D1412="شخصی قاسم","شخصی قاسم",IF($D1412="هزینه","هزینه: "&amp;IF($E1412="","متفرقه",$E1412),IF(OR($B1412="",COUNTIF(AcctCodesA,$B1412)=0),"متفرقه",$B1412))),$A1412))</f>
        <v/>
      </c>
      <c r="K1412">
        <f>IF($A1412="","",IF(AND($B1412&lt;&gt;"",COUNTIF(AcctCodesA,$B1412)=0),"کد طرف در INFO تعریف نشده",IF(AND($D1412="هزینه",$E1412=""),"هزینه بدون زیرگروه",IF(AND($C1412="پاس چک",OR(Sync!$AJ1412="",COUNTIF(IssueNosA,Sync!$AJ1412)=0)),"شماره چک پاس‌شده معتبر نیست",""))))</f>
        <v/>
      </c>
      <c r="V1412">
        <f>IF($K1412="","",IF(ISNUMBER(Sync!$AK1412),Sync!$AK1412,LEFT(Sync!$AK1412,4)&amp;MID(Sync!$AK1412,6,2)&amp;RIGHT(Sync!$AK1412,2))&amp;"|"&amp;"4"&amp;RIGHT("00000"&amp;1407,5))</f>
        <v/>
      </c>
      <c r="W1412">
        <f>IF($V1412="",0,COUNTIFS($V$6:$V$2005,"&lt;"&amp;$V1412)-COUNTIFS($V$6:$V$2005,"&lt;"&amp;$V1412,$K$6:$K$2005,"")+1)</f>
        <v/>
      </c>
    </row>
    <row r="1413">
      <c r="A1413">
        <f>IF(Sync!$Z1413="","",LEFT(UPPER(TRIM(Sync!$Z1413)),6))</f>
        <v/>
      </c>
      <c r="B1413">
        <f>IF($A1413="","",IF(Sync!$AA1413="","",Sync!$AA1413))</f>
        <v/>
      </c>
      <c r="C1413">
        <f>IF($A1413="","",IF(Sync!$AB1413="","",Sync!$AB1413))</f>
        <v/>
      </c>
      <c r="D1413">
        <f>IF($A1413="","",IF(Sync!$AC1413="","",Sync!$AC1413))</f>
        <v/>
      </c>
      <c r="E1413">
        <f>IF($A1413="","",IF(Sync!$AD1413="","",Sync!$AD1413))</f>
        <v/>
      </c>
      <c r="F1413">
        <f>IF($A1413="","",IF(Sync!$AE1413="",0,Sync!$AE1413))</f>
        <v/>
      </c>
      <c r="G1413">
        <f>IF($A1413="","",IF(Sync!$AF1413="",0,Sync!$AF1413))</f>
        <v/>
      </c>
      <c r="H1413">
        <f>IF(OR($A1413="",ROUND($F1413+$G1413,2)=0),"",$F1413+$G1413)</f>
        <v/>
      </c>
      <c r="I1413">
        <f>IF($H1413="","",IF(ROUND($F1413,2)&gt;0,$A1413,IF($D1413="شخصی قاسم","شخصی قاسم",IF($D1413="هزینه","هزینه: "&amp;IF($E1413="","متفرقه",$E1413),IF($C1413="پاس چک","چک پرداختی",IF(OR($B1413="",COUNTIF(AcctCodesA,$B1413)=0),"متفرقه",$B1413))))))</f>
        <v/>
      </c>
      <c r="J1413">
        <f>IF($H1413="","",IF(ROUND($F1413,2)&gt;0,IF($D1413="شخصی قاسم","شخصی قاسم",IF($D1413="هزینه","هزینه: "&amp;IF($E1413="","متفرقه",$E1413),IF(OR($B1413="",COUNTIF(AcctCodesA,$B1413)=0),"متفرقه",$B1413))),$A1413))</f>
        <v/>
      </c>
      <c r="K1413">
        <f>IF($A1413="","",IF(AND($B1413&lt;&gt;"",COUNTIF(AcctCodesA,$B1413)=0),"کد طرف در INFO تعریف نشده",IF(AND($D1413="هزینه",$E1413=""),"هزینه بدون زیرگروه",IF(AND($C1413="پاس چک",OR(Sync!$AJ1413="",COUNTIF(IssueNosA,Sync!$AJ1413)=0)),"شماره چک پاس‌شده معتبر نیست",""))))</f>
        <v/>
      </c>
      <c r="V1413">
        <f>IF($K1413="","",IF(ISNUMBER(Sync!$AK1413),Sync!$AK1413,LEFT(Sync!$AK1413,4)&amp;MID(Sync!$AK1413,6,2)&amp;RIGHT(Sync!$AK1413,2))&amp;"|"&amp;"4"&amp;RIGHT("00000"&amp;1408,5))</f>
        <v/>
      </c>
      <c r="W1413">
        <f>IF($V1413="",0,COUNTIFS($V$6:$V$2005,"&lt;"&amp;$V1413)-COUNTIFS($V$6:$V$2005,"&lt;"&amp;$V1413,$K$6:$K$2005,"")+1)</f>
        <v/>
      </c>
    </row>
    <row r="1414">
      <c r="A1414">
        <f>IF(Sync!$Z1414="","",LEFT(UPPER(TRIM(Sync!$Z1414)),6))</f>
        <v/>
      </c>
      <c r="B1414">
        <f>IF($A1414="","",IF(Sync!$AA1414="","",Sync!$AA1414))</f>
        <v/>
      </c>
      <c r="C1414">
        <f>IF($A1414="","",IF(Sync!$AB1414="","",Sync!$AB1414))</f>
        <v/>
      </c>
      <c r="D1414">
        <f>IF($A1414="","",IF(Sync!$AC1414="","",Sync!$AC1414))</f>
        <v/>
      </c>
      <c r="E1414">
        <f>IF($A1414="","",IF(Sync!$AD1414="","",Sync!$AD1414))</f>
        <v/>
      </c>
      <c r="F1414">
        <f>IF($A1414="","",IF(Sync!$AE1414="",0,Sync!$AE1414))</f>
        <v/>
      </c>
      <c r="G1414">
        <f>IF($A1414="","",IF(Sync!$AF1414="",0,Sync!$AF1414))</f>
        <v/>
      </c>
      <c r="H1414">
        <f>IF(OR($A1414="",ROUND($F1414+$G1414,2)=0),"",$F1414+$G1414)</f>
        <v/>
      </c>
      <c r="I1414">
        <f>IF($H1414="","",IF(ROUND($F1414,2)&gt;0,$A1414,IF($D1414="شخصی قاسم","شخصی قاسم",IF($D1414="هزینه","هزینه: "&amp;IF($E1414="","متفرقه",$E1414),IF($C1414="پاس چک","چک پرداختی",IF(OR($B1414="",COUNTIF(AcctCodesA,$B1414)=0),"متفرقه",$B1414))))))</f>
        <v/>
      </c>
      <c r="J1414">
        <f>IF($H1414="","",IF(ROUND($F1414,2)&gt;0,IF($D1414="شخصی قاسم","شخصی قاسم",IF($D1414="هزینه","هزینه: "&amp;IF($E1414="","متفرقه",$E1414),IF(OR($B1414="",COUNTIF(AcctCodesA,$B1414)=0),"متفرقه",$B1414))),$A1414))</f>
        <v/>
      </c>
      <c r="K1414">
        <f>IF($A1414="","",IF(AND($B1414&lt;&gt;"",COUNTIF(AcctCodesA,$B1414)=0),"کد طرف در INFO تعریف نشده",IF(AND($D1414="هزینه",$E1414=""),"هزینه بدون زیرگروه",IF(AND($C1414="پاس چک",OR(Sync!$AJ1414="",COUNTIF(IssueNosA,Sync!$AJ1414)=0)),"شماره چک پاس‌شده معتبر نیست",""))))</f>
        <v/>
      </c>
      <c r="V1414">
        <f>IF($K1414="","",IF(ISNUMBER(Sync!$AK1414),Sync!$AK1414,LEFT(Sync!$AK1414,4)&amp;MID(Sync!$AK1414,6,2)&amp;RIGHT(Sync!$AK1414,2))&amp;"|"&amp;"4"&amp;RIGHT("00000"&amp;1409,5))</f>
        <v/>
      </c>
      <c r="W1414">
        <f>IF($V1414="",0,COUNTIFS($V$6:$V$2005,"&lt;"&amp;$V1414)-COUNTIFS($V$6:$V$2005,"&lt;"&amp;$V1414,$K$6:$K$2005,"")+1)</f>
        <v/>
      </c>
    </row>
    <row r="1415">
      <c r="A1415">
        <f>IF(Sync!$Z1415="","",LEFT(UPPER(TRIM(Sync!$Z1415)),6))</f>
        <v/>
      </c>
      <c r="B1415">
        <f>IF($A1415="","",IF(Sync!$AA1415="","",Sync!$AA1415))</f>
        <v/>
      </c>
      <c r="C1415">
        <f>IF($A1415="","",IF(Sync!$AB1415="","",Sync!$AB1415))</f>
        <v/>
      </c>
      <c r="D1415">
        <f>IF($A1415="","",IF(Sync!$AC1415="","",Sync!$AC1415))</f>
        <v/>
      </c>
      <c r="E1415">
        <f>IF($A1415="","",IF(Sync!$AD1415="","",Sync!$AD1415))</f>
        <v/>
      </c>
      <c r="F1415">
        <f>IF($A1415="","",IF(Sync!$AE1415="",0,Sync!$AE1415))</f>
        <v/>
      </c>
      <c r="G1415">
        <f>IF($A1415="","",IF(Sync!$AF1415="",0,Sync!$AF1415))</f>
        <v/>
      </c>
      <c r="H1415">
        <f>IF(OR($A1415="",ROUND($F1415+$G1415,2)=0),"",$F1415+$G1415)</f>
        <v/>
      </c>
      <c r="I1415">
        <f>IF($H1415="","",IF(ROUND($F1415,2)&gt;0,$A1415,IF($D1415="شخصی قاسم","شخصی قاسم",IF($D1415="هزینه","هزینه: "&amp;IF($E1415="","متفرقه",$E1415),IF($C1415="پاس چک","چک پرداختی",IF(OR($B1415="",COUNTIF(AcctCodesA,$B1415)=0),"متفرقه",$B1415))))))</f>
        <v/>
      </c>
      <c r="J1415">
        <f>IF($H1415="","",IF(ROUND($F1415,2)&gt;0,IF($D1415="شخصی قاسم","شخصی قاسم",IF($D1415="هزینه","هزینه: "&amp;IF($E1415="","متفرقه",$E1415),IF(OR($B1415="",COUNTIF(AcctCodesA,$B1415)=0),"متفرقه",$B1415))),$A1415))</f>
        <v/>
      </c>
      <c r="K1415">
        <f>IF($A1415="","",IF(AND($B1415&lt;&gt;"",COUNTIF(AcctCodesA,$B1415)=0),"کد طرف در INFO تعریف نشده",IF(AND($D1415="هزینه",$E1415=""),"هزینه بدون زیرگروه",IF(AND($C1415="پاس چک",OR(Sync!$AJ1415="",COUNTIF(IssueNosA,Sync!$AJ1415)=0)),"شماره چک پاس‌شده معتبر نیست",""))))</f>
        <v/>
      </c>
      <c r="V1415">
        <f>IF($K1415="","",IF(ISNUMBER(Sync!$AK1415),Sync!$AK1415,LEFT(Sync!$AK1415,4)&amp;MID(Sync!$AK1415,6,2)&amp;RIGHT(Sync!$AK1415,2))&amp;"|"&amp;"4"&amp;RIGHT("00000"&amp;1410,5))</f>
        <v/>
      </c>
      <c r="W1415">
        <f>IF($V1415="",0,COUNTIFS($V$6:$V$2005,"&lt;"&amp;$V1415)-COUNTIFS($V$6:$V$2005,"&lt;"&amp;$V1415,$K$6:$K$2005,"")+1)</f>
        <v/>
      </c>
    </row>
    <row r="1416">
      <c r="A1416">
        <f>IF(Sync!$Z1416="","",LEFT(UPPER(TRIM(Sync!$Z1416)),6))</f>
        <v/>
      </c>
      <c r="B1416">
        <f>IF($A1416="","",IF(Sync!$AA1416="","",Sync!$AA1416))</f>
        <v/>
      </c>
      <c r="C1416">
        <f>IF($A1416="","",IF(Sync!$AB1416="","",Sync!$AB1416))</f>
        <v/>
      </c>
      <c r="D1416">
        <f>IF($A1416="","",IF(Sync!$AC1416="","",Sync!$AC1416))</f>
        <v/>
      </c>
      <c r="E1416">
        <f>IF($A1416="","",IF(Sync!$AD1416="","",Sync!$AD1416))</f>
        <v/>
      </c>
      <c r="F1416">
        <f>IF($A1416="","",IF(Sync!$AE1416="",0,Sync!$AE1416))</f>
        <v/>
      </c>
      <c r="G1416">
        <f>IF($A1416="","",IF(Sync!$AF1416="",0,Sync!$AF1416))</f>
        <v/>
      </c>
      <c r="H1416">
        <f>IF(OR($A1416="",ROUND($F1416+$G1416,2)=0),"",$F1416+$G1416)</f>
        <v/>
      </c>
      <c r="I1416">
        <f>IF($H1416="","",IF(ROUND($F1416,2)&gt;0,$A1416,IF($D1416="شخصی قاسم","شخصی قاسم",IF($D1416="هزینه","هزینه: "&amp;IF($E1416="","متفرقه",$E1416),IF($C1416="پاس چک","چک پرداختی",IF(OR($B1416="",COUNTIF(AcctCodesA,$B1416)=0),"متفرقه",$B1416))))))</f>
        <v/>
      </c>
      <c r="J1416">
        <f>IF($H1416="","",IF(ROUND($F1416,2)&gt;0,IF($D1416="شخصی قاسم","شخصی قاسم",IF($D1416="هزینه","هزینه: "&amp;IF($E1416="","متفرقه",$E1416),IF(OR($B1416="",COUNTIF(AcctCodesA,$B1416)=0),"متفرقه",$B1416))),$A1416))</f>
        <v/>
      </c>
      <c r="K1416">
        <f>IF($A1416="","",IF(AND($B1416&lt;&gt;"",COUNTIF(AcctCodesA,$B1416)=0),"کد طرف در INFO تعریف نشده",IF(AND($D1416="هزینه",$E1416=""),"هزینه بدون زیرگروه",IF(AND($C1416="پاس چک",OR(Sync!$AJ1416="",COUNTIF(IssueNosA,Sync!$AJ1416)=0)),"شماره چک پاس‌شده معتبر نیست",""))))</f>
        <v/>
      </c>
      <c r="V1416">
        <f>IF($K1416="","",IF(ISNUMBER(Sync!$AK1416),Sync!$AK1416,LEFT(Sync!$AK1416,4)&amp;MID(Sync!$AK1416,6,2)&amp;RIGHT(Sync!$AK1416,2))&amp;"|"&amp;"4"&amp;RIGHT("00000"&amp;1411,5))</f>
        <v/>
      </c>
      <c r="W1416">
        <f>IF($V1416="",0,COUNTIFS($V$6:$V$2005,"&lt;"&amp;$V1416)-COUNTIFS($V$6:$V$2005,"&lt;"&amp;$V1416,$K$6:$K$2005,"")+1)</f>
        <v/>
      </c>
    </row>
    <row r="1417">
      <c r="A1417">
        <f>IF(Sync!$Z1417="","",LEFT(UPPER(TRIM(Sync!$Z1417)),6))</f>
        <v/>
      </c>
      <c r="B1417">
        <f>IF($A1417="","",IF(Sync!$AA1417="","",Sync!$AA1417))</f>
        <v/>
      </c>
      <c r="C1417">
        <f>IF($A1417="","",IF(Sync!$AB1417="","",Sync!$AB1417))</f>
        <v/>
      </c>
      <c r="D1417">
        <f>IF($A1417="","",IF(Sync!$AC1417="","",Sync!$AC1417))</f>
        <v/>
      </c>
      <c r="E1417">
        <f>IF($A1417="","",IF(Sync!$AD1417="","",Sync!$AD1417))</f>
        <v/>
      </c>
      <c r="F1417">
        <f>IF($A1417="","",IF(Sync!$AE1417="",0,Sync!$AE1417))</f>
        <v/>
      </c>
      <c r="G1417">
        <f>IF($A1417="","",IF(Sync!$AF1417="",0,Sync!$AF1417))</f>
        <v/>
      </c>
      <c r="H1417">
        <f>IF(OR($A1417="",ROUND($F1417+$G1417,2)=0),"",$F1417+$G1417)</f>
        <v/>
      </c>
      <c r="I1417">
        <f>IF($H1417="","",IF(ROUND($F1417,2)&gt;0,$A1417,IF($D1417="شخصی قاسم","شخصی قاسم",IF($D1417="هزینه","هزینه: "&amp;IF($E1417="","متفرقه",$E1417),IF($C1417="پاس چک","چک پرداختی",IF(OR($B1417="",COUNTIF(AcctCodesA,$B1417)=0),"متفرقه",$B1417))))))</f>
        <v/>
      </c>
      <c r="J1417">
        <f>IF($H1417="","",IF(ROUND($F1417,2)&gt;0,IF($D1417="شخصی قاسم","شخصی قاسم",IF($D1417="هزینه","هزینه: "&amp;IF($E1417="","متفرقه",$E1417),IF(OR($B1417="",COUNTIF(AcctCodesA,$B1417)=0),"متفرقه",$B1417))),$A1417))</f>
        <v/>
      </c>
      <c r="K1417">
        <f>IF($A1417="","",IF(AND($B1417&lt;&gt;"",COUNTIF(AcctCodesA,$B1417)=0),"کد طرف در INFO تعریف نشده",IF(AND($D1417="هزینه",$E1417=""),"هزینه بدون زیرگروه",IF(AND($C1417="پاس چک",OR(Sync!$AJ1417="",COUNTIF(IssueNosA,Sync!$AJ1417)=0)),"شماره چک پاس‌شده معتبر نیست",""))))</f>
        <v/>
      </c>
      <c r="V1417">
        <f>IF($K1417="","",IF(ISNUMBER(Sync!$AK1417),Sync!$AK1417,LEFT(Sync!$AK1417,4)&amp;MID(Sync!$AK1417,6,2)&amp;RIGHT(Sync!$AK1417,2))&amp;"|"&amp;"4"&amp;RIGHT("00000"&amp;1412,5))</f>
        <v/>
      </c>
      <c r="W1417">
        <f>IF($V1417="",0,COUNTIFS($V$6:$V$2005,"&lt;"&amp;$V1417)-COUNTIFS($V$6:$V$2005,"&lt;"&amp;$V1417,$K$6:$K$2005,"")+1)</f>
        <v/>
      </c>
    </row>
    <row r="1418">
      <c r="A1418">
        <f>IF(Sync!$Z1418="","",LEFT(UPPER(TRIM(Sync!$Z1418)),6))</f>
        <v/>
      </c>
      <c r="B1418">
        <f>IF($A1418="","",IF(Sync!$AA1418="","",Sync!$AA1418))</f>
        <v/>
      </c>
      <c r="C1418">
        <f>IF($A1418="","",IF(Sync!$AB1418="","",Sync!$AB1418))</f>
        <v/>
      </c>
      <c r="D1418">
        <f>IF($A1418="","",IF(Sync!$AC1418="","",Sync!$AC1418))</f>
        <v/>
      </c>
      <c r="E1418">
        <f>IF($A1418="","",IF(Sync!$AD1418="","",Sync!$AD1418))</f>
        <v/>
      </c>
      <c r="F1418">
        <f>IF($A1418="","",IF(Sync!$AE1418="",0,Sync!$AE1418))</f>
        <v/>
      </c>
      <c r="G1418">
        <f>IF($A1418="","",IF(Sync!$AF1418="",0,Sync!$AF1418))</f>
        <v/>
      </c>
      <c r="H1418">
        <f>IF(OR($A1418="",ROUND($F1418+$G1418,2)=0),"",$F1418+$G1418)</f>
        <v/>
      </c>
      <c r="I1418">
        <f>IF($H1418="","",IF(ROUND($F1418,2)&gt;0,$A1418,IF($D1418="شخصی قاسم","شخصی قاسم",IF($D1418="هزینه","هزینه: "&amp;IF($E1418="","متفرقه",$E1418),IF($C1418="پاس چک","چک پرداختی",IF(OR($B1418="",COUNTIF(AcctCodesA,$B1418)=0),"متفرقه",$B1418))))))</f>
        <v/>
      </c>
      <c r="J1418">
        <f>IF($H1418="","",IF(ROUND($F1418,2)&gt;0,IF($D1418="شخصی قاسم","شخصی قاسم",IF($D1418="هزینه","هزینه: "&amp;IF($E1418="","متفرقه",$E1418),IF(OR($B1418="",COUNTIF(AcctCodesA,$B1418)=0),"متفرقه",$B1418))),$A1418))</f>
        <v/>
      </c>
      <c r="K1418">
        <f>IF($A1418="","",IF(AND($B1418&lt;&gt;"",COUNTIF(AcctCodesA,$B1418)=0),"کد طرف در INFO تعریف نشده",IF(AND($D1418="هزینه",$E1418=""),"هزینه بدون زیرگروه",IF(AND($C1418="پاس چک",OR(Sync!$AJ1418="",COUNTIF(IssueNosA,Sync!$AJ1418)=0)),"شماره چک پاس‌شده معتبر نیست",""))))</f>
        <v/>
      </c>
      <c r="V1418">
        <f>IF($K1418="","",IF(ISNUMBER(Sync!$AK1418),Sync!$AK1418,LEFT(Sync!$AK1418,4)&amp;MID(Sync!$AK1418,6,2)&amp;RIGHT(Sync!$AK1418,2))&amp;"|"&amp;"4"&amp;RIGHT("00000"&amp;1413,5))</f>
        <v/>
      </c>
      <c r="W1418">
        <f>IF($V1418="",0,COUNTIFS($V$6:$V$2005,"&lt;"&amp;$V1418)-COUNTIFS($V$6:$V$2005,"&lt;"&amp;$V1418,$K$6:$K$2005,"")+1)</f>
        <v/>
      </c>
    </row>
    <row r="1419">
      <c r="A1419">
        <f>IF(Sync!$Z1419="","",LEFT(UPPER(TRIM(Sync!$Z1419)),6))</f>
        <v/>
      </c>
      <c r="B1419">
        <f>IF($A1419="","",IF(Sync!$AA1419="","",Sync!$AA1419))</f>
        <v/>
      </c>
      <c r="C1419">
        <f>IF($A1419="","",IF(Sync!$AB1419="","",Sync!$AB1419))</f>
        <v/>
      </c>
      <c r="D1419">
        <f>IF($A1419="","",IF(Sync!$AC1419="","",Sync!$AC1419))</f>
        <v/>
      </c>
      <c r="E1419">
        <f>IF($A1419="","",IF(Sync!$AD1419="","",Sync!$AD1419))</f>
        <v/>
      </c>
      <c r="F1419">
        <f>IF($A1419="","",IF(Sync!$AE1419="",0,Sync!$AE1419))</f>
        <v/>
      </c>
      <c r="G1419">
        <f>IF($A1419="","",IF(Sync!$AF1419="",0,Sync!$AF1419))</f>
        <v/>
      </c>
      <c r="H1419">
        <f>IF(OR($A1419="",ROUND($F1419+$G1419,2)=0),"",$F1419+$G1419)</f>
        <v/>
      </c>
      <c r="I1419">
        <f>IF($H1419="","",IF(ROUND($F1419,2)&gt;0,$A1419,IF($D1419="شخصی قاسم","شخصی قاسم",IF($D1419="هزینه","هزینه: "&amp;IF($E1419="","متفرقه",$E1419),IF($C1419="پاس چک","چک پرداختی",IF(OR($B1419="",COUNTIF(AcctCodesA,$B1419)=0),"متفرقه",$B1419))))))</f>
        <v/>
      </c>
      <c r="J1419">
        <f>IF($H1419="","",IF(ROUND($F1419,2)&gt;0,IF($D1419="شخصی قاسم","شخصی قاسم",IF($D1419="هزینه","هزینه: "&amp;IF($E1419="","متفرقه",$E1419),IF(OR($B1419="",COUNTIF(AcctCodesA,$B1419)=0),"متفرقه",$B1419))),$A1419))</f>
        <v/>
      </c>
      <c r="K1419">
        <f>IF($A1419="","",IF(AND($B1419&lt;&gt;"",COUNTIF(AcctCodesA,$B1419)=0),"کد طرف در INFO تعریف نشده",IF(AND($D1419="هزینه",$E1419=""),"هزینه بدون زیرگروه",IF(AND($C1419="پاس چک",OR(Sync!$AJ1419="",COUNTIF(IssueNosA,Sync!$AJ1419)=0)),"شماره چک پاس‌شده معتبر نیست",""))))</f>
        <v/>
      </c>
      <c r="V1419">
        <f>IF($K1419="","",IF(ISNUMBER(Sync!$AK1419),Sync!$AK1419,LEFT(Sync!$AK1419,4)&amp;MID(Sync!$AK1419,6,2)&amp;RIGHT(Sync!$AK1419,2))&amp;"|"&amp;"4"&amp;RIGHT("00000"&amp;1414,5))</f>
        <v/>
      </c>
      <c r="W1419">
        <f>IF($V1419="",0,COUNTIFS($V$6:$V$2005,"&lt;"&amp;$V1419)-COUNTIFS($V$6:$V$2005,"&lt;"&amp;$V1419,$K$6:$K$2005,"")+1)</f>
        <v/>
      </c>
    </row>
    <row r="1420">
      <c r="A1420">
        <f>IF(Sync!$Z1420="","",LEFT(UPPER(TRIM(Sync!$Z1420)),6))</f>
        <v/>
      </c>
      <c r="B1420">
        <f>IF($A1420="","",IF(Sync!$AA1420="","",Sync!$AA1420))</f>
        <v/>
      </c>
      <c r="C1420">
        <f>IF($A1420="","",IF(Sync!$AB1420="","",Sync!$AB1420))</f>
        <v/>
      </c>
      <c r="D1420">
        <f>IF($A1420="","",IF(Sync!$AC1420="","",Sync!$AC1420))</f>
        <v/>
      </c>
      <c r="E1420">
        <f>IF($A1420="","",IF(Sync!$AD1420="","",Sync!$AD1420))</f>
        <v/>
      </c>
      <c r="F1420">
        <f>IF($A1420="","",IF(Sync!$AE1420="",0,Sync!$AE1420))</f>
        <v/>
      </c>
      <c r="G1420">
        <f>IF($A1420="","",IF(Sync!$AF1420="",0,Sync!$AF1420))</f>
        <v/>
      </c>
      <c r="H1420">
        <f>IF(OR($A1420="",ROUND($F1420+$G1420,2)=0),"",$F1420+$G1420)</f>
        <v/>
      </c>
      <c r="I1420">
        <f>IF($H1420="","",IF(ROUND($F1420,2)&gt;0,$A1420,IF($D1420="شخصی قاسم","شخصی قاسم",IF($D1420="هزینه","هزینه: "&amp;IF($E1420="","متفرقه",$E1420),IF($C1420="پاس چک","چک پرداختی",IF(OR($B1420="",COUNTIF(AcctCodesA,$B1420)=0),"متفرقه",$B1420))))))</f>
        <v/>
      </c>
      <c r="J1420">
        <f>IF($H1420="","",IF(ROUND($F1420,2)&gt;0,IF($D1420="شخصی قاسم","شخصی قاسم",IF($D1420="هزینه","هزینه: "&amp;IF($E1420="","متفرقه",$E1420),IF(OR($B1420="",COUNTIF(AcctCodesA,$B1420)=0),"متفرقه",$B1420))),$A1420))</f>
        <v/>
      </c>
      <c r="K1420">
        <f>IF($A1420="","",IF(AND($B1420&lt;&gt;"",COUNTIF(AcctCodesA,$B1420)=0),"کد طرف در INFO تعریف نشده",IF(AND($D1420="هزینه",$E1420=""),"هزینه بدون زیرگروه",IF(AND($C1420="پاس چک",OR(Sync!$AJ1420="",COUNTIF(IssueNosA,Sync!$AJ1420)=0)),"شماره چک پاس‌شده معتبر نیست",""))))</f>
        <v/>
      </c>
      <c r="V1420">
        <f>IF($K1420="","",IF(ISNUMBER(Sync!$AK1420),Sync!$AK1420,LEFT(Sync!$AK1420,4)&amp;MID(Sync!$AK1420,6,2)&amp;RIGHT(Sync!$AK1420,2))&amp;"|"&amp;"4"&amp;RIGHT("00000"&amp;1415,5))</f>
        <v/>
      </c>
      <c r="W1420">
        <f>IF($V1420="",0,COUNTIFS($V$6:$V$2005,"&lt;"&amp;$V1420)-COUNTIFS($V$6:$V$2005,"&lt;"&amp;$V1420,$K$6:$K$2005,"")+1)</f>
        <v/>
      </c>
    </row>
    <row r="1421">
      <c r="A1421">
        <f>IF(Sync!$Z1421="","",LEFT(UPPER(TRIM(Sync!$Z1421)),6))</f>
        <v/>
      </c>
      <c r="B1421">
        <f>IF($A1421="","",IF(Sync!$AA1421="","",Sync!$AA1421))</f>
        <v/>
      </c>
      <c r="C1421">
        <f>IF($A1421="","",IF(Sync!$AB1421="","",Sync!$AB1421))</f>
        <v/>
      </c>
      <c r="D1421">
        <f>IF($A1421="","",IF(Sync!$AC1421="","",Sync!$AC1421))</f>
        <v/>
      </c>
      <c r="E1421">
        <f>IF($A1421="","",IF(Sync!$AD1421="","",Sync!$AD1421))</f>
        <v/>
      </c>
      <c r="F1421">
        <f>IF($A1421="","",IF(Sync!$AE1421="",0,Sync!$AE1421))</f>
        <v/>
      </c>
      <c r="G1421">
        <f>IF($A1421="","",IF(Sync!$AF1421="",0,Sync!$AF1421))</f>
        <v/>
      </c>
      <c r="H1421">
        <f>IF(OR($A1421="",ROUND($F1421+$G1421,2)=0),"",$F1421+$G1421)</f>
        <v/>
      </c>
      <c r="I1421">
        <f>IF($H1421="","",IF(ROUND($F1421,2)&gt;0,$A1421,IF($D1421="شخصی قاسم","شخصی قاسم",IF($D1421="هزینه","هزینه: "&amp;IF($E1421="","متفرقه",$E1421),IF($C1421="پاس چک","چک پرداختی",IF(OR($B1421="",COUNTIF(AcctCodesA,$B1421)=0),"متفرقه",$B1421))))))</f>
        <v/>
      </c>
      <c r="J1421">
        <f>IF($H1421="","",IF(ROUND($F1421,2)&gt;0,IF($D1421="شخصی قاسم","شخصی قاسم",IF($D1421="هزینه","هزینه: "&amp;IF($E1421="","متفرقه",$E1421),IF(OR($B1421="",COUNTIF(AcctCodesA,$B1421)=0),"متفرقه",$B1421))),$A1421))</f>
        <v/>
      </c>
      <c r="K1421">
        <f>IF($A1421="","",IF(AND($B1421&lt;&gt;"",COUNTIF(AcctCodesA,$B1421)=0),"کد طرف در INFO تعریف نشده",IF(AND($D1421="هزینه",$E1421=""),"هزینه بدون زیرگروه",IF(AND($C1421="پاس چک",OR(Sync!$AJ1421="",COUNTIF(IssueNosA,Sync!$AJ1421)=0)),"شماره چک پاس‌شده معتبر نیست",""))))</f>
        <v/>
      </c>
      <c r="V1421">
        <f>IF($K1421="","",IF(ISNUMBER(Sync!$AK1421),Sync!$AK1421,LEFT(Sync!$AK1421,4)&amp;MID(Sync!$AK1421,6,2)&amp;RIGHT(Sync!$AK1421,2))&amp;"|"&amp;"4"&amp;RIGHT("00000"&amp;1416,5))</f>
        <v/>
      </c>
      <c r="W1421">
        <f>IF($V1421="",0,COUNTIFS($V$6:$V$2005,"&lt;"&amp;$V1421)-COUNTIFS($V$6:$V$2005,"&lt;"&amp;$V1421,$K$6:$K$2005,"")+1)</f>
        <v/>
      </c>
    </row>
    <row r="1422">
      <c r="A1422">
        <f>IF(Sync!$Z1422="","",LEFT(UPPER(TRIM(Sync!$Z1422)),6))</f>
        <v/>
      </c>
      <c r="B1422">
        <f>IF($A1422="","",IF(Sync!$AA1422="","",Sync!$AA1422))</f>
        <v/>
      </c>
      <c r="C1422">
        <f>IF($A1422="","",IF(Sync!$AB1422="","",Sync!$AB1422))</f>
        <v/>
      </c>
      <c r="D1422">
        <f>IF($A1422="","",IF(Sync!$AC1422="","",Sync!$AC1422))</f>
        <v/>
      </c>
      <c r="E1422">
        <f>IF($A1422="","",IF(Sync!$AD1422="","",Sync!$AD1422))</f>
        <v/>
      </c>
      <c r="F1422">
        <f>IF($A1422="","",IF(Sync!$AE1422="",0,Sync!$AE1422))</f>
        <v/>
      </c>
      <c r="G1422">
        <f>IF($A1422="","",IF(Sync!$AF1422="",0,Sync!$AF1422))</f>
        <v/>
      </c>
      <c r="H1422">
        <f>IF(OR($A1422="",ROUND($F1422+$G1422,2)=0),"",$F1422+$G1422)</f>
        <v/>
      </c>
      <c r="I1422">
        <f>IF($H1422="","",IF(ROUND($F1422,2)&gt;0,$A1422,IF($D1422="شخصی قاسم","شخصی قاسم",IF($D1422="هزینه","هزینه: "&amp;IF($E1422="","متفرقه",$E1422),IF($C1422="پاس چک","چک پرداختی",IF(OR($B1422="",COUNTIF(AcctCodesA,$B1422)=0),"متفرقه",$B1422))))))</f>
        <v/>
      </c>
      <c r="J1422">
        <f>IF($H1422="","",IF(ROUND($F1422,2)&gt;0,IF($D1422="شخصی قاسم","شخصی قاسم",IF($D1422="هزینه","هزینه: "&amp;IF($E1422="","متفرقه",$E1422),IF(OR($B1422="",COUNTIF(AcctCodesA,$B1422)=0),"متفرقه",$B1422))),$A1422))</f>
        <v/>
      </c>
      <c r="K1422">
        <f>IF($A1422="","",IF(AND($B1422&lt;&gt;"",COUNTIF(AcctCodesA,$B1422)=0),"کد طرف در INFO تعریف نشده",IF(AND($D1422="هزینه",$E1422=""),"هزینه بدون زیرگروه",IF(AND($C1422="پاس چک",OR(Sync!$AJ1422="",COUNTIF(IssueNosA,Sync!$AJ1422)=0)),"شماره چک پاس‌شده معتبر نیست",""))))</f>
        <v/>
      </c>
      <c r="V1422">
        <f>IF($K1422="","",IF(ISNUMBER(Sync!$AK1422),Sync!$AK1422,LEFT(Sync!$AK1422,4)&amp;MID(Sync!$AK1422,6,2)&amp;RIGHT(Sync!$AK1422,2))&amp;"|"&amp;"4"&amp;RIGHT("00000"&amp;1417,5))</f>
        <v/>
      </c>
      <c r="W1422">
        <f>IF($V1422="",0,COUNTIFS($V$6:$V$2005,"&lt;"&amp;$V1422)-COUNTIFS($V$6:$V$2005,"&lt;"&amp;$V1422,$K$6:$K$2005,"")+1)</f>
        <v/>
      </c>
    </row>
    <row r="1423">
      <c r="A1423">
        <f>IF(Sync!$Z1423="","",LEFT(UPPER(TRIM(Sync!$Z1423)),6))</f>
        <v/>
      </c>
      <c r="B1423">
        <f>IF($A1423="","",IF(Sync!$AA1423="","",Sync!$AA1423))</f>
        <v/>
      </c>
      <c r="C1423">
        <f>IF($A1423="","",IF(Sync!$AB1423="","",Sync!$AB1423))</f>
        <v/>
      </c>
      <c r="D1423">
        <f>IF($A1423="","",IF(Sync!$AC1423="","",Sync!$AC1423))</f>
        <v/>
      </c>
      <c r="E1423">
        <f>IF($A1423="","",IF(Sync!$AD1423="","",Sync!$AD1423))</f>
        <v/>
      </c>
      <c r="F1423">
        <f>IF($A1423="","",IF(Sync!$AE1423="",0,Sync!$AE1423))</f>
        <v/>
      </c>
      <c r="G1423">
        <f>IF($A1423="","",IF(Sync!$AF1423="",0,Sync!$AF1423))</f>
        <v/>
      </c>
      <c r="H1423">
        <f>IF(OR($A1423="",ROUND($F1423+$G1423,2)=0),"",$F1423+$G1423)</f>
        <v/>
      </c>
      <c r="I1423">
        <f>IF($H1423="","",IF(ROUND($F1423,2)&gt;0,$A1423,IF($D1423="شخصی قاسم","شخصی قاسم",IF($D1423="هزینه","هزینه: "&amp;IF($E1423="","متفرقه",$E1423),IF($C1423="پاس چک","چک پرداختی",IF(OR($B1423="",COUNTIF(AcctCodesA,$B1423)=0),"متفرقه",$B1423))))))</f>
        <v/>
      </c>
      <c r="J1423">
        <f>IF($H1423="","",IF(ROUND($F1423,2)&gt;0,IF($D1423="شخصی قاسم","شخصی قاسم",IF($D1423="هزینه","هزینه: "&amp;IF($E1423="","متفرقه",$E1423),IF(OR($B1423="",COUNTIF(AcctCodesA,$B1423)=0),"متفرقه",$B1423))),$A1423))</f>
        <v/>
      </c>
      <c r="K1423">
        <f>IF($A1423="","",IF(AND($B1423&lt;&gt;"",COUNTIF(AcctCodesA,$B1423)=0),"کد طرف در INFO تعریف نشده",IF(AND($D1423="هزینه",$E1423=""),"هزینه بدون زیرگروه",IF(AND($C1423="پاس چک",OR(Sync!$AJ1423="",COUNTIF(IssueNosA,Sync!$AJ1423)=0)),"شماره چک پاس‌شده معتبر نیست",""))))</f>
        <v/>
      </c>
      <c r="V1423">
        <f>IF($K1423="","",IF(ISNUMBER(Sync!$AK1423),Sync!$AK1423,LEFT(Sync!$AK1423,4)&amp;MID(Sync!$AK1423,6,2)&amp;RIGHT(Sync!$AK1423,2))&amp;"|"&amp;"4"&amp;RIGHT("00000"&amp;1418,5))</f>
        <v/>
      </c>
      <c r="W1423">
        <f>IF($V1423="",0,COUNTIFS($V$6:$V$2005,"&lt;"&amp;$V1423)-COUNTIFS($V$6:$V$2005,"&lt;"&amp;$V1423,$K$6:$K$2005,"")+1)</f>
        <v/>
      </c>
    </row>
    <row r="1424">
      <c r="A1424">
        <f>IF(Sync!$Z1424="","",LEFT(UPPER(TRIM(Sync!$Z1424)),6))</f>
        <v/>
      </c>
      <c r="B1424">
        <f>IF($A1424="","",IF(Sync!$AA1424="","",Sync!$AA1424))</f>
        <v/>
      </c>
      <c r="C1424">
        <f>IF($A1424="","",IF(Sync!$AB1424="","",Sync!$AB1424))</f>
        <v/>
      </c>
      <c r="D1424">
        <f>IF($A1424="","",IF(Sync!$AC1424="","",Sync!$AC1424))</f>
        <v/>
      </c>
      <c r="E1424">
        <f>IF($A1424="","",IF(Sync!$AD1424="","",Sync!$AD1424))</f>
        <v/>
      </c>
      <c r="F1424">
        <f>IF($A1424="","",IF(Sync!$AE1424="",0,Sync!$AE1424))</f>
        <v/>
      </c>
      <c r="G1424">
        <f>IF($A1424="","",IF(Sync!$AF1424="",0,Sync!$AF1424))</f>
        <v/>
      </c>
      <c r="H1424">
        <f>IF(OR($A1424="",ROUND($F1424+$G1424,2)=0),"",$F1424+$G1424)</f>
        <v/>
      </c>
      <c r="I1424">
        <f>IF($H1424="","",IF(ROUND($F1424,2)&gt;0,$A1424,IF($D1424="شخصی قاسم","شخصی قاسم",IF($D1424="هزینه","هزینه: "&amp;IF($E1424="","متفرقه",$E1424),IF($C1424="پاس چک","چک پرداختی",IF(OR($B1424="",COUNTIF(AcctCodesA,$B1424)=0),"متفرقه",$B1424))))))</f>
        <v/>
      </c>
      <c r="J1424">
        <f>IF($H1424="","",IF(ROUND($F1424,2)&gt;0,IF($D1424="شخصی قاسم","شخصی قاسم",IF($D1424="هزینه","هزینه: "&amp;IF($E1424="","متفرقه",$E1424),IF(OR($B1424="",COUNTIF(AcctCodesA,$B1424)=0),"متفرقه",$B1424))),$A1424))</f>
        <v/>
      </c>
      <c r="K1424">
        <f>IF($A1424="","",IF(AND($B1424&lt;&gt;"",COUNTIF(AcctCodesA,$B1424)=0),"کد طرف در INFO تعریف نشده",IF(AND($D1424="هزینه",$E1424=""),"هزینه بدون زیرگروه",IF(AND($C1424="پاس چک",OR(Sync!$AJ1424="",COUNTIF(IssueNosA,Sync!$AJ1424)=0)),"شماره چک پاس‌شده معتبر نیست",""))))</f>
        <v/>
      </c>
      <c r="V1424">
        <f>IF($K1424="","",IF(ISNUMBER(Sync!$AK1424),Sync!$AK1424,LEFT(Sync!$AK1424,4)&amp;MID(Sync!$AK1424,6,2)&amp;RIGHT(Sync!$AK1424,2))&amp;"|"&amp;"4"&amp;RIGHT("00000"&amp;1419,5))</f>
        <v/>
      </c>
      <c r="W1424">
        <f>IF($V1424="",0,COUNTIFS($V$6:$V$2005,"&lt;"&amp;$V1424)-COUNTIFS($V$6:$V$2005,"&lt;"&amp;$V1424,$K$6:$K$2005,"")+1)</f>
        <v/>
      </c>
    </row>
    <row r="1425">
      <c r="A1425">
        <f>IF(Sync!$Z1425="","",LEFT(UPPER(TRIM(Sync!$Z1425)),6))</f>
        <v/>
      </c>
      <c r="B1425">
        <f>IF($A1425="","",IF(Sync!$AA1425="","",Sync!$AA1425))</f>
        <v/>
      </c>
      <c r="C1425">
        <f>IF($A1425="","",IF(Sync!$AB1425="","",Sync!$AB1425))</f>
        <v/>
      </c>
      <c r="D1425">
        <f>IF($A1425="","",IF(Sync!$AC1425="","",Sync!$AC1425))</f>
        <v/>
      </c>
      <c r="E1425">
        <f>IF($A1425="","",IF(Sync!$AD1425="","",Sync!$AD1425))</f>
        <v/>
      </c>
      <c r="F1425">
        <f>IF($A1425="","",IF(Sync!$AE1425="",0,Sync!$AE1425))</f>
        <v/>
      </c>
      <c r="G1425">
        <f>IF($A1425="","",IF(Sync!$AF1425="",0,Sync!$AF1425))</f>
        <v/>
      </c>
      <c r="H1425">
        <f>IF(OR($A1425="",ROUND($F1425+$G1425,2)=0),"",$F1425+$G1425)</f>
        <v/>
      </c>
      <c r="I1425">
        <f>IF($H1425="","",IF(ROUND($F1425,2)&gt;0,$A1425,IF($D1425="شخصی قاسم","شخصی قاسم",IF($D1425="هزینه","هزینه: "&amp;IF($E1425="","متفرقه",$E1425),IF($C1425="پاس چک","چک پرداختی",IF(OR($B1425="",COUNTIF(AcctCodesA,$B1425)=0),"متفرقه",$B1425))))))</f>
        <v/>
      </c>
      <c r="J1425">
        <f>IF($H1425="","",IF(ROUND($F1425,2)&gt;0,IF($D1425="شخصی قاسم","شخصی قاسم",IF($D1425="هزینه","هزینه: "&amp;IF($E1425="","متفرقه",$E1425),IF(OR($B1425="",COUNTIF(AcctCodesA,$B1425)=0),"متفرقه",$B1425))),$A1425))</f>
        <v/>
      </c>
      <c r="K1425">
        <f>IF($A1425="","",IF(AND($B1425&lt;&gt;"",COUNTIF(AcctCodesA,$B1425)=0),"کد طرف در INFO تعریف نشده",IF(AND($D1425="هزینه",$E1425=""),"هزینه بدون زیرگروه",IF(AND($C1425="پاس چک",OR(Sync!$AJ1425="",COUNTIF(IssueNosA,Sync!$AJ1425)=0)),"شماره چک پاس‌شده معتبر نیست",""))))</f>
        <v/>
      </c>
      <c r="V1425">
        <f>IF($K1425="","",IF(ISNUMBER(Sync!$AK1425),Sync!$AK1425,LEFT(Sync!$AK1425,4)&amp;MID(Sync!$AK1425,6,2)&amp;RIGHT(Sync!$AK1425,2))&amp;"|"&amp;"4"&amp;RIGHT("00000"&amp;1420,5))</f>
        <v/>
      </c>
      <c r="W1425">
        <f>IF($V1425="",0,COUNTIFS($V$6:$V$2005,"&lt;"&amp;$V1425)-COUNTIFS($V$6:$V$2005,"&lt;"&amp;$V1425,$K$6:$K$2005,"")+1)</f>
        <v/>
      </c>
    </row>
    <row r="1426">
      <c r="A1426">
        <f>IF(Sync!$Z1426="","",LEFT(UPPER(TRIM(Sync!$Z1426)),6))</f>
        <v/>
      </c>
      <c r="B1426">
        <f>IF($A1426="","",IF(Sync!$AA1426="","",Sync!$AA1426))</f>
        <v/>
      </c>
      <c r="C1426">
        <f>IF($A1426="","",IF(Sync!$AB1426="","",Sync!$AB1426))</f>
        <v/>
      </c>
      <c r="D1426">
        <f>IF($A1426="","",IF(Sync!$AC1426="","",Sync!$AC1426))</f>
        <v/>
      </c>
      <c r="E1426">
        <f>IF($A1426="","",IF(Sync!$AD1426="","",Sync!$AD1426))</f>
        <v/>
      </c>
      <c r="F1426">
        <f>IF($A1426="","",IF(Sync!$AE1426="",0,Sync!$AE1426))</f>
        <v/>
      </c>
      <c r="G1426">
        <f>IF($A1426="","",IF(Sync!$AF1426="",0,Sync!$AF1426))</f>
        <v/>
      </c>
      <c r="H1426">
        <f>IF(OR($A1426="",ROUND($F1426+$G1426,2)=0),"",$F1426+$G1426)</f>
        <v/>
      </c>
      <c r="I1426">
        <f>IF($H1426="","",IF(ROUND($F1426,2)&gt;0,$A1426,IF($D1426="شخصی قاسم","شخصی قاسم",IF($D1426="هزینه","هزینه: "&amp;IF($E1426="","متفرقه",$E1426),IF($C1426="پاس چک","چک پرداختی",IF(OR($B1426="",COUNTIF(AcctCodesA,$B1426)=0),"متفرقه",$B1426))))))</f>
        <v/>
      </c>
      <c r="J1426">
        <f>IF($H1426="","",IF(ROUND($F1426,2)&gt;0,IF($D1426="شخصی قاسم","شخصی قاسم",IF($D1426="هزینه","هزینه: "&amp;IF($E1426="","متفرقه",$E1426),IF(OR($B1426="",COUNTIF(AcctCodesA,$B1426)=0),"متفرقه",$B1426))),$A1426))</f>
        <v/>
      </c>
      <c r="K1426">
        <f>IF($A1426="","",IF(AND($B1426&lt;&gt;"",COUNTIF(AcctCodesA,$B1426)=0),"کد طرف در INFO تعریف نشده",IF(AND($D1426="هزینه",$E1426=""),"هزینه بدون زیرگروه",IF(AND($C1426="پاس چک",OR(Sync!$AJ1426="",COUNTIF(IssueNosA,Sync!$AJ1426)=0)),"شماره چک پاس‌شده معتبر نیست",""))))</f>
        <v/>
      </c>
      <c r="V1426">
        <f>IF($K1426="","",IF(ISNUMBER(Sync!$AK1426),Sync!$AK1426,LEFT(Sync!$AK1426,4)&amp;MID(Sync!$AK1426,6,2)&amp;RIGHT(Sync!$AK1426,2))&amp;"|"&amp;"4"&amp;RIGHT("00000"&amp;1421,5))</f>
        <v/>
      </c>
      <c r="W1426">
        <f>IF($V1426="",0,COUNTIFS($V$6:$V$2005,"&lt;"&amp;$V1426)-COUNTIFS($V$6:$V$2005,"&lt;"&amp;$V1426,$K$6:$K$2005,"")+1)</f>
        <v/>
      </c>
    </row>
    <row r="1427">
      <c r="A1427">
        <f>IF(Sync!$Z1427="","",LEFT(UPPER(TRIM(Sync!$Z1427)),6))</f>
        <v/>
      </c>
      <c r="B1427">
        <f>IF($A1427="","",IF(Sync!$AA1427="","",Sync!$AA1427))</f>
        <v/>
      </c>
      <c r="C1427">
        <f>IF($A1427="","",IF(Sync!$AB1427="","",Sync!$AB1427))</f>
        <v/>
      </c>
      <c r="D1427">
        <f>IF($A1427="","",IF(Sync!$AC1427="","",Sync!$AC1427))</f>
        <v/>
      </c>
      <c r="E1427">
        <f>IF($A1427="","",IF(Sync!$AD1427="","",Sync!$AD1427))</f>
        <v/>
      </c>
      <c r="F1427">
        <f>IF($A1427="","",IF(Sync!$AE1427="",0,Sync!$AE1427))</f>
        <v/>
      </c>
      <c r="G1427">
        <f>IF($A1427="","",IF(Sync!$AF1427="",0,Sync!$AF1427))</f>
        <v/>
      </c>
      <c r="H1427">
        <f>IF(OR($A1427="",ROUND($F1427+$G1427,2)=0),"",$F1427+$G1427)</f>
        <v/>
      </c>
      <c r="I1427">
        <f>IF($H1427="","",IF(ROUND($F1427,2)&gt;0,$A1427,IF($D1427="شخصی قاسم","شخصی قاسم",IF($D1427="هزینه","هزینه: "&amp;IF($E1427="","متفرقه",$E1427),IF($C1427="پاس چک","چک پرداختی",IF(OR($B1427="",COUNTIF(AcctCodesA,$B1427)=0),"متفرقه",$B1427))))))</f>
        <v/>
      </c>
      <c r="J1427">
        <f>IF($H1427="","",IF(ROUND($F1427,2)&gt;0,IF($D1427="شخصی قاسم","شخصی قاسم",IF($D1427="هزینه","هزینه: "&amp;IF($E1427="","متفرقه",$E1427),IF(OR($B1427="",COUNTIF(AcctCodesA,$B1427)=0),"متفرقه",$B1427))),$A1427))</f>
        <v/>
      </c>
      <c r="K1427">
        <f>IF($A1427="","",IF(AND($B1427&lt;&gt;"",COUNTIF(AcctCodesA,$B1427)=0),"کد طرف در INFO تعریف نشده",IF(AND($D1427="هزینه",$E1427=""),"هزینه بدون زیرگروه",IF(AND($C1427="پاس چک",OR(Sync!$AJ1427="",COUNTIF(IssueNosA,Sync!$AJ1427)=0)),"شماره چک پاس‌شده معتبر نیست",""))))</f>
        <v/>
      </c>
      <c r="V1427">
        <f>IF($K1427="","",IF(ISNUMBER(Sync!$AK1427),Sync!$AK1427,LEFT(Sync!$AK1427,4)&amp;MID(Sync!$AK1427,6,2)&amp;RIGHT(Sync!$AK1427,2))&amp;"|"&amp;"4"&amp;RIGHT("00000"&amp;1422,5))</f>
        <v/>
      </c>
      <c r="W1427">
        <f>IF($V1427="",0,COUNTIFS($V$6:$V$2005,"&lt;"&amp;$V1427)-COUNTIFS($V$6:$V$2005,"&lt;"&amp;$V1427,$K$6:$K$2005,"")+1)</f>
        <v/>
      </c>
    </row>
    <row r="1428">
      <c r="A1428">
        <f>IF(Sync!$Z1428="","",LEFT(UPPER(TRIM(Sync!$Z1428)),6))</f>
        <v/>
      </c>
      <c r="B1428">
        <f>IF($A1428="","",IF(Sync!$AA1428="","",Sync!$AA1428))</f>
        <v/>
      </c>
      <c r="C1428">
        <f>IF($A1428="","",IF(Sync!$AB1428="","",Sync!$AB1428))</f>
        <v/>
      </c>
      <c r="D1428">
        <f>IF($A1428="","",IF(Sync!$AC1428="","",Sync!$AC1428))</f>
        <v/>
      </c>
      <c r="E1428">
        <f>IF($A1428="","",IF(Sync!$AD1428="","",Sync!$AD1428))</f>
        <v/>
      </c>
      <c r="F1428">
        <f>IF($A1428="","",IF(Sync!$AE1428="",0,Sync!$AE1428))</f>
        <v/>
      </c>
      <c r="G1428">
        <f>IF($A1428="","",IF(Sync!$AF1428="",0,Sync!$AF1428))</f>
        <v/>
      </c>
      <c r="H1428">
        <f>IF(OR($A1428="",ROUND($F1428+$G1428,2)=0),"",$F1428+$G1428)</f>
        <v/>
      </c>
      <c r="I1428">
        <f>IF($H1428="","",IF(ROUND($F1428,2)&gt;0,$A1428,IF($D1428="شخصی قاسم","شخصی قاسم",IF($D1428="هزینه","هزینه: "&amp;IF($E1428="","متفرقه",$E1428),IF($C1428="پاس چک","چک پرداختی",IF(OR($B1428="",COUNTIF(AcctCodesA,$B1428)=0),"متفرقه",$B1428))))))</f>
        <v/>
      </c>
      <c r="J1428">
        <f>IF($H1428="","",IF(ROUND($F1428,2)&gt;0,IF($D1428="شخصی قاسم","شخصی قاسم",IF($D1428="هزینه","هزینه: "&amp;IF($E1428="","متفرقه",$E1428),IF(OR($B1428="",COUNTIF(AcctCodesA,$B1428)=0),"متفرقه",$B1428))),$A1428))</f>
        <v/>
      </c>
      <c r="K1428">
        <f>IF($A1428="","",IF(AND($B1428&lt;&gt;"",COUNTIF(AcctCodesA,$B1428)=0),"کد طرف در INFO تعریف نشده",IF(AND($D1428="هزینه",$E1428=""),"هزینه بدون زیرگروه",IF(AND($C1428="پاس چک",OR(Sync!$AJ1428="",COUNTIF(IssueNosA,Sync!$AJ1428)=0)),"شماره چک پاس‌شده معتبر نیست",""))))</f>
        <v/>
      </c>
      <c r="V1428">
        <f>IF($K1428="","",IF(ISNUMBER(Sync!$AK1428),Sync!$AK1428,LEFT(Sync!$AK1428,4)&amp;MID(Sync!$AK1428,6,2)&amp;RIGHT(Sync!$AK1428,2))&amp;"|"&amp;"4"&amp;RIGHT("00000"&amp;1423,5))</f>
        <v/>
      </c>
      <c r="W1428">
        <f>IF($V1428="",0,COUNTIFS($V$6:$V$2005,"&lt;"&amp;$V1428)-COUNTIFS($V$6:$V$2005,"&lt;"&amp;$V1428,$K$6:$K$2005,"")+1)</f>
        <v/>
      </c>
    </row>
    <row r="1429">
      <c r="A1429">
        <f>IF(Sync!$Z1429="","",LEFT(UPPER(TRIM(Sync!$Z1429)),6))</f>
        <v/>
      </c>
      <c r="B1429">
        <f>IF($A1429="","",IF(Sync!$AA1429="","",Sync!$AA1429))</f>
        <v/>
      </c>
      <c r="C1429">
        <f>IF($A1429="","",IF(Sync!$AB1429="","",Sync!$AB1429))</f>
        <v/>
      </c>
      <c r="D1429">
        <f>IF($A1429="","",IF(Sync!$AC1429="","",Sync!$AC1429))</f>
        <v/>
      </c>
      <c r="E1429">
        <f>IF($A1429="","",IF(Sync!$AD1429="","",Sync!$AD1429))</f>
        <v/>
      </c>
      <c r="F1429">
        <f>IF($A1429="","",IF(Sync!$AE1429="",0,Sync!$AE1429))</f>
        <v/>
      </c>
      <c r="G1429">
        <f>IF($A1429="","",IF(Sync!$AF1429="",0,Sync!$AF1429))</f>
        <v/>
      </c>
      <c r="H1429">
        <f>IF(OR($A1429="",ROUND($F1429+$G1429,2)=0),"",$F1429+$G1429)</f>
        <v/>
      </c>
      <c r="I1429">
        <f>IF($H1429="","",IF(ROUND($F1429,2)&gt;0,$A1429,IF($D1429="شخصی قاسم","شخصی قاسم",IF($D1429="هزینه","هزینه: "&amp;IF($E1429="","متفرقه",$E1429),IF($C1429="پاس چک","چک پرداختی",IF(OR($B1429="",COUNTIF(AcctCodesA,$B1429)=0),"متفرقه",$B1429))))))</f>
        <v/>
      </c>
      <c r="J1429">
        <f>IF($H1429="","",IF(ROUND($F1429,2)&gt;0,IF($D1429="شخصی قاسم","شخصی قاسم",IF($D1429="هزینه","هزینه: "&amp;IF($E1429="","متفرقه",$E1429),IF(OR($B1429="",COUNTIF(AcctCodesA,$B1429)=0),"متفرقه",$B1429))),$A1429))</f>
        <v/>
      </c>
      <c r="K1429">
        <f>IF($A1429="","",IF(AND($B1429&lt;&gt;"",COUNTIF(AcctCodesA,$B1429)=0),"کد طرف در INFO تعریف نشده",IF(AND($D1429="هزینه",$E1429=""),"هزینه بدون زیرگروه",IF(AND($C1429="پاس چک",OR(Sync!$AJ1429="",COUNTIF(IssueNosA,Sync!$AJ1429)=0)),"شماره چک پاس‌شده معتبر نیست",""))))</f>
        <v/>
      </c>
      <c r="V1429">
        <f>IF($K1429="","",IF(ISNUMBER(Sync!$AK1429),Sync!$AK1429,LEFT(Sync!$AK1429,4)&amp;MID(Sync!$AK1429,6,2)&amp;RIGHT(Sync!$AK1429,2))&amp;"|"&amp;"4"&amp;RIGHT("00000"&amp;1424,5))</f>
        <v/>
      </c>
      <c r="W1429">
        <f>IF($V1429="",0,COUNTIFS($V$6:$V$2005,"&lt;"&amp;$V1429)-COUNTIFS($V$6:$V$2005,"&lt;"&amp;$V1429,$K$6:$K$2005,"")+1)</f>
        <v/>
      </c>
    </row>
    <row r="1430">
      <c r="A1430">
        <f>IF(Sync!$Z1430="","",LEFT(UPPER(TRIM(Sync!$Z1430)),6))</f>
        <v/>
      </c>
      <c r="B1430">
        <f>IF($A1430="","",IF(Sync!$AA1430="","",Sync!$AA1430))</f>
        <v/>
      </c>
      <c r="C1430">
        <f>IF($A1430="","",IF(Sync!$AB1430="","",Sync!$AB1430))</f>
        <v/>
      </c>
      <c r="D1430">
        <f>IF($A1430="","",IF(Sync!$AC1430="","",Sync!$AC1430))</f>
        <v/>
      </c>
      <c r="E1430">
        <f>IF($A1430="","",IF(Sync!$AD1430="","",Sync!$AD1430))</f>
        <v/>
      </c>
      <c r="F1430">
        <f>IF($A1430="","",IF(Sync!$AE1430="",0,Sync!$AE1430))</f>
        <v/>
      </c>
      <c r="G1430">
        <f>IF($A1430="","",IF(Sync!$AF1430="",0,Sync!$AF1430))</f>
        <v/>
      </c>
      <c r="H1430">
        <f>IF(OR($A1430="",ROUND($F1430+$G1430,2)=0),"",$F1430+$G1430)</f>
        <v/>
      </c>
      <c r="I1430">
        <f>IF($H1430="","",IF(ROUND($F1430,2)&gt;0,$A1430,IF($D1430="شخصی قاسم","شخصی قاسم",IF($D1430="هزینه","هزینه: "&amp;IF($E1430="","متفرقه",$E1430),IF($C1430="پاس چک","چک پرداختی",IF(OR($B1430="",COUNTIF(AcctCodesA,$B1430)=0),"متفرقه",$B1430))))))</f>
        <v/>
      </c>
      <c r="J1430">
        <f>IF($H1430="","",IF(ROUND($F1430,2)&gt;0,IF($D1430="شخصی قاسم","شخصی قاسم",IF($D1430="هزینه","هزینه: "&amp;IF($E1430="","متفرقه",$E1430),IF(OR($B1430="",COUNTIF(AcctCodesA,$B1430)=0),"متفرقه",$B1430))),$A1430))</f>
        <v/>
      </c>
      <c r="K1430">
        <f>IF($A1430="","",IF(AND($B1430&lt;&gt;"",COUNTIF(AcctCodesA,$B1430)=0),"کد طرف در INFO تعریف نشده",IF(AND($D1430="هزینه",$E1430=""),"هزینه بدون زیرگروه",IF(AND($C1430="پاس چک",OR(Sync!$AJ1430="",COUNTIF(IssueNosA,Sync!$AJ1430)=0)),"شماره چک پاس‌شده معتبر نیست",""))))</f>
        <v/>
      </c>
      <c r="V1430">
        <f>IF($K1430="","",IF(ISNUMBER(Sync!$AK1430),Sync!$AK1430,LEFT(Sync!$AK1430,4)&amp;MID(Sync!$AK1430,6,2)&amp;RIGHT(Sync!$AK1430,2))&amp;"|"&amp;"4"&amp;RIGHT("00000"&amp;1425,5))</f>
        <v/>
      </c>
      <c r="W1430">
        <f>IF($V1430="",0,COUNTIFS($V$6:$V$2005,"&lt;"&amp;$V1430)-COUNTIFS($V$6:$V$2005,"&lt;"&amp;$V1430,$K$6:$K$2005,"")+1)</f>
        <v/>
      </c>
    </row>
    <row r="1431">
      <c r="A1431">
        <f>IF(Sync!$Z1431="","",LEFT(UPPER(TRIM(Sync!$Z1431)),6))</f>
        <v/>
      </c>
      <c r="B1431">
        <f>IF($A1431="","",IF(Sync!$AA1431="","",Sync!$AA1431))</f>
        <v/>
      </c>
      <c r="C1431">
        <f>IF($A1431="","",IF(Sync!$AB1431="","",Sync!$AB1431))</f>
        <v/>
      </c>
      <c r="D1431">
        <f>IF($A1431="","",IF(Sync!$AC1431="","",Sync!$AC1431))</f>
        <v/>
      </c>
      <c r="E1431">
        <f>IF($A1431="","",IF(Sync!$AD1431="","",Sync!$AD1431))</f>
        <v/>
      </c>
      <c r="F1431">
        <f>IF($A1431="","",IF(Sync!$AE1431="",0,Sync!$AE1431))</f>
        <v/>
      </c>
      <c r="G1431">
        <f>IF($A1431="","",IF(Sync!$AF1431="",0,Sync!$AF1431))</f>
        <v/>
      </c>
      <c r="H1431">
        <f>IF(OR($A1431="",ROUND($F1431+$G1431,2)=0),"",$F1431+$G1431)</f>
        <v/>
      </c>
      <c r="I1431">
        <f>IF($H1431="","",IF(ROUND($F1431,2)&gt;0,$A1431,IF($D1431="شخصی قاسم","شخصی قاسم",IF($D1431="هزینه","هزینه: "&amp;IF($E1431="","متفرقه",$E1431),IF($C1431="پاس چک","چک پرداختی",IF(OR($B1431="",COUNTIF(AcctCodesA,$B1431)=0),"متفرقه",$B1431))))))</f>
        <v/>
      </c>
      <c r="J1431">
        <f>IF($H1431="","",IF(ROUND($F1431,2)&gt;0,IF($D1431="شخصی قاسم","شخصی قاسم",IF($D1431="هزینه","هزینه: "&amp;IF($E1431="","متفرقه",$E1431),IF(OR($B1431="",COUNTIF(AcctCodesA,$B1431)=0),"متفرقه",$B1431))),$A1431))</f>
        <v/>
      </c>
      <c r="K1431">
        <f>IF($A1431="","",IF(AND($B1431&lt;&gt;"",COUNTIF(AcctCodesA,$B1431)=0),"کد طرف در INFO تعریف نشده",IF(AND($D1431="هزینه",$E1431=""),"هزینه بدون زیرگروه",IF(AND($C1431="پاس چک",OR(Sync!$AJ1431="",COUNTIF(IssueNosA,Sync!$AJ1431)=0)),"شماره چک پاس‌شده معتبر نیست",""))))</f>
        <v/>
      </c>
      <c r="V1431">
        <f>IF($K1431="","",IF(ISNUMBER(Sync!$AK1431),Sync!$AK1431,LEFT(Sync!$AK1431,4)&amp;MID(Sync!$AK1431,6,2)&amp;RIGHT(Sync!$AK1431,2))&amp;"|"&amp;"4"&amp;RIGHT("00000"&amp;1426,5))</f>
        <v/>
      </c>
      <c r="W1431">
        <f>IF($V1431="",0,COUNTIFS($V$6:$V$2005,"&lt;"&amp;$V1431)-COUNTIFS($V$6:$V$2005,"&lt;"&amp;$V1431,$K$6:$K$2005,"")+1)</f>
        <v/>
      </c>
    </row>
    <row r="1432">
      <c r="A1432">
        <f>IF(Sync!$Z1432="","",LEFT(UPPER(TRIM(Sync!$Z1432)),6))</f>
        <v/>
      </c>
      <c r="B1432">
        <f>IF($A1432="","",IF(Sync!$AA1432="","",Sync!$AA1432))</f>
        <v/>
      </c>
      <c r="C1432">
        <f>IF($A1432="","",IF(Sync!$AB1432="","",Sync!$AB1432))</f>
        <v/>
      </c>
      <c r="D1432">
        <f>IF($A1432="","",IF(Sync!$AC1432="","",Sync!$AC1432))</f>
        <v/>
      </c>
      <c r="E1432">
        <f>IF($A1432="","",IF(Sync!$AD1432="","",Sync!$AD1432))</f>
        <v/>
      </c>
      <c r="F1432">
        <f>IF($A1432="","",IF(Sync!$AE1432="",0,Sync!$AE1432))</f>
        <v/>
      </c>
      <c r="G1432">
        <f>IF($A1432="","",IF(Sync!$AF1432="",0,Sync!$AF1432))</f>
        <v/>
      </c>
      <c r="H1432">
        <f>IF(OR($A1432="",ROUND($F1432+$G1432,2)=0),"",$F1432+$G1432)</f>
        <v/>
      </c>
      <c r="I1432">
        <f>IF($H1432="","",IF(ROUND($F1432,2)&gt;0,$A1432,IF($D1432="شخصی قاسم","شخصی قاسم",IF($D1432="هزینه","هزینه: "&amp;IF($E1432="","متفرقه",$E1432),IF($C1432="پاس چک","چک پرداختی",IF(OR($B1432="",COUNTIF(AcctCodesA,$B1432)=0),"متفرقه",$B1432))))))</f>
        <v/>
      </c>
      <c r="J1432">
        <f>IF($H1432="","",IF(ROUND($F1432,2)&gt;0,IF($D1432="شخصی قاسم","شخصی قاسم",IF($D1432="هزینه","هزینه: "&amp;IF($E1432="","متفرقه",$E1432),IF(OR($B1432="",COUNTIF(AcctCodesA,$B1432)=0),"متفرقه",$B1432))),$A1432))</f>
        <v/>
      </c>
      <c r="K1432">
        <f>IF($A1432="","",IF(AND($B1432&lt;&gt;"",COUNTIF(AcctCodesA,$B1432)=0),"کد طرف در INFO تعریف نشده",IF(AND($D1432="هزینه",$E1432=""),"هزینه بدون زیرگروه",IF(AND($C1432="پاس چک",OR(Sync!$AJ1432="",COUNTIF(IssueNosA,Sync!$AJ1432)=0)),"شماره چک پاس‌شده معتبر نیست",""))))</f>
        <v/>
      </c>
      <c r="V1432">
        <f>IF($K1432="","",IF(ISNUMBER(Sync!$AK1432),Sync!$AK1432,LEFT(Sync!$AK1432,4)&amp;MID(Sync!$AK1432,6,2)&amp;RIGHT(Sync!$AK1432,2))&amp;"|"&amp;"4"&amp;RIGHT("00000"&amp;1427,5))</f>
        <v/>
      </c>
      <c r="W1432">
        <f>IF($V1432="",0,COUNTIFS($V$6:$V$2005,"&lt;"&amp;$V1432)-COUNTIFS($V$6:$V$2005,"&lt;"&amp;$V1432,$K$6:$K$2005,"")+1)</f>
        <v/>
      </c>
    </row>
    <row r="1433">
      <c r="A1433">
        <f>IF(Sync!$Z1433="","",LEFT(UPPER(TRIM(Sync!$Z1433)),6))</f>
        <v/>
      </c>
      <c r="B1433">
        <f>IF($A1433="","",IF(Sync!$AA1433="","",Sync!$AA1433))</f>
        <v/>
      </c>
      <c r="C1433">
        <f>IF($A1433="","",IF(Sync!$AB1433="","",Sync!$AB1433))</f>
        <v/>
      </c>
      <c r="D1433">
        <f>IF($A1433="","",IF(Sync!$AC1433="","",Sync!$AC1433))</f>
        <v/>
      </c>
      <c r="E1433">
        <f>IF($A1433="","",IF(Sync!$AD1433="","",Sync!$AD1433))</f>
        <v/>
      </c>
      <c r="F1433">
        <f>IF($A1433="","",IF(Sync!$AE1433="",0,Sync!$AE1433))</f>
        <v/>
      </c>
      <c r="G1433">
        <f>IF($A1433="","",IF(Sync!$AF1433="",0,Sync!$AF1433))</f>
        <v/>
      </c>
      <c r="H1433">
        <f>IF(OR($A1433="",ROUND($F1433+$G1433,2)=0),"",$F1433+$G1433)</f>
        <v/>
      </c>
      <c r="I1433">
        <f>IF($H1433="","",IF(ROUND($F1433,2)&gt;0,$A1433,IF($D1433="شخصی قاسم","شخصی قاسم",IF($D1433="هزینه","هزینه: "&amp;IF($E1433="","متفرقه",$E1433),IF($C1433="پاس چک","چک پرداختی",IF(OR($B1433="",COUNTIF(AcctCodesA,$B1433)=0),"متفرقه",$B1433))))))</f>
        <v/>
      </c>
      <c r="J1433">
        <f>IF($H1433="","",IF(ROUND($F1433,2)&gt;0,IF($D1433="شخصی قاسم","شخصی قاسم",IF($D1433="هزینه","هزینه: "&amp;IF($E1433="","متفرقه",$E1433),IF(OR($B1433="",COUNTIF(AcctCodesA,$B1433)=0),"متفرقه",$B1433))),$A1433))</f>
        <v/>
      </c>
      <c r="K1433">
        <f>IF($A1433="","",IF(AND($B1433&lt;&gt;"",COUNTIF(AcctCodesA,$B1433)=0),"کد طرف در INFO تعریف نشده",IF(AND($D1433="هزینه",$E1433=""),"هزینه بدون زیرگروه",IF(AND($C1433="پاس چک",OR(Sync!$AJ1433="",COUNTIF(IssueNosA,Sync!$AJ1433)=0)),"شماره چک پاس‌شده معتبر نیست",""))))</f>
        <v/>
      </c>
      <c r="V1433">
        <f>IF($K1433="","",IF(ISNUMBER(Sync!$AK1433),Sync!$AK1433,LEFT(Sync!$AK1433,4)&amp;MID(Sync!$AK1433,6,2)&amp;RIGHT(Sync!$AK1433,2))&amp;"|"&amp;"4"&amp;RIGHT("00000"&amp;1428,5))</f>
        <v/>
      </c>
      <c r="W1433">
        <f>IF($V1433="",0,COUNTIFS($V$6:$V$2005,"&lt;"&amp;$V1433)-COUNTIFS($V$6:$V$2005,"&lt;"&amp;$V1433,$K$6:$K$2005,"")+1)</f>
        <v/>
      </c>
    </row>
    <row r="1434">
      <c r="A1434">
        <f>IF(Sync!$Z1434="","",LEFT(UPPER(TRIM(Sync!$Z1434)),6))</f>
        <v/>
      </c>
      <c r="B1434">
        <f>IF($A1434="","",IF(Sync!$AA1434="","",Sync!$AA1434))</f>
        <v/>
      </c>
      <c r="C1434">
        <f>IF($A1434="","",IF(Sync!$AB1434="","",Sync!$AB1434))</f>
        <v/>
      </c>
      <c r="D1434">
        <f>IF($A1434="","",IF(Sync!$AC1434="","",Sync!$AC1434))</f>
        <v/>
      </c>
      <c r="E1434">
        <f>IF($A1434="","",IF(Sync!$AD1434="","",Sync!$AD1434))</f>
        <v/>
      </c>
      <c r="F1434">
        <f>IF($A1434="","",IF(Sync!$AE1434="",0,Sync!$AE1434))</f>
        <v/>
      </c>
      <c r="G1434">
        <f>IF($A1434="","",IF(Sync!$AF1434="",0,Sync!$AF1434))</f>
        <v/>
      </c>
      <c r="H1434">
        <f>IF(OR($A1434="",ROUND($F1434+$G1434,2)=0),"",$F1434+$G1434)</f>
        <v/>
      </c>
      <c r="I1434">
        <f>IF($H1434="","",IF(ROUND($F1434,2)&gt;0,$A1434,IF($D1434="شخصی قاسم","شخصی قاسم",IF($D1434="هزینه","هزینه: "&amp;IF($E1434="","متفرقه",$E1434),IF($C1434="پاس چک","چک پرداختی",IF(OR($B1434="",COUNTIF(AcctCodesA,$B1434)=0),"متفرقه",$B1434))))))</f>
        <v/>
      </c>
      <c r="J1434">
        <f>IF($H1434="","",IF(ROUND($F1434,2)&gt;0,IF($D1434="شخصی قاسم","شخصی قاسم",IF($D1434="هزینه","هزینه: "&amp;IF($E1434="","متفرقه",$E1434),IF(OR($B1434="",COUNTIF(AcctCodesA,$B1434)=0),"متفرقه",$B1434))),$A1434))</f>
        <v/>
      </c>
      <c r="K1434">
        <f>IF($A1434="","",IF(AND($B1434&lt;&gt;"",COUNTIF(AcctCodesA,$B1434)=0),"کد طرف در INFO تعریف نشده",IF(AND($D1434="هزینه",$E1434=""),"هزینه بدون زیرگروه",IF(AND($C1434="پاس چک",OR(Sync!$AJ1434="",COUNTIF(IssueNosA,Sync!$AJ1434)=0)),"شماره چک پاس‌شده معتبر نیست",""))))</f>
        <v/>
      </c>
      <c r="V1434">
        <f>IF($K1434="","",IF(ISNUMBER(Sync!$AK1434),Sync!$AK1434,LEFT(Sync!$AK1434,4)&amp;MID(Sync!$AK1434,6,2)&amp;RIGHT(Sync!$AK1434,2))&amp;"|"&amp;"4"&amp;RIGHT("00000"&amp;1429,5))</f>
        <v/>
      </c>
      <c r="W1434">
        <f>IF($V1434="",0,COUNTIFS($V$6:$V$2005,"&lt;"&amp;$V1434)-COUNTIFS($V$6:$V$2005,"&lt;"&amp;$V1434,$K$6:$K$2005,"")+1)</f>
        <v/>
      </c>
    </row>
    <row r="1435">
      <c r="A1435">
        <f>IF(Sync!$Z1435="","",LEFT(UPPER(TRIM(Sync!$Z1435)),6))</f>
        <v/>
      </c>
      <c r="B1435">
        <f>IF($A1435="","",IF(Sync!$AA1435="","",Sync!$AA1435))</f>
        <v/>
      </c>
      <c r="C1435">
        <f>IF($A1435="","",IF(Sync!$AB1435="","",Sync!$AB1435))</f>
        <v/>
      </c>
      <c r="D1435">
        <f>IF($A1435="","",IF(Sync!$AC1435="","",Sync!$AC1435))</f>
        <v/>
      </c>
      <c r="E1435">
        <f>IF($A1435="","",IF(Sync!$AD1435="","",Sync!$AD1435))</f>
        <v/>
      </c>
      <c r="F1435">
        <f>IF($A1435="","",IF(Sync!$AE1435="",0,Sync!$AE1435))</f>
        <v/>
      </c>
      <c r="G1435">
        <f>IF($A1435="","",IF(Sync!$AF1435="",0,Sync!$AF1435))</f>
        <v/>
      </c>
      <c r="H1435">
        <f>IF(OR($A1435="",ROUND($F1435+$G1435,2)=0),"",$F1435+$G1435)</f>
        <v/>
      </c>
      <c r="I1435">
        <f>IF($H1435="","",IF(ROUND($F1435,2)&gt;0,$A1435,IF($D1435="شخصی قاسم","شخصی قاسم",IF($D1435="هزینه","هزینه: "&amp;IF($E1435="","متفرقه",$E1435),IF($C1435="پاس چک","چک پرداختی",IF(OR($B1435="",COUNTIF(AcctCodesA,$B1435)=0),"متفرقه",$B1435))))))</f>
        <v/>
      </c>
      <c r="J1435">
        <f>IF($H1435="","",IF(ROUND($F1435,2)&gt;0,IF($D1435="شخصی قاسم","شخصی قاسم",IF($D1435="هزینه","هزینه: "&amp;IF($E1435="","متفرقه",$E1435),IF(OR($B1435="",COUNTIF(AcctCodesA,$B1435)=0),"متفرقه",$B1435))),$A1435))</f>
        <v/>
      </c>
      <c r="K1435">
        <f>IF($A1435="","",IF(AND($B1435&lt;&gt;"",COUNTIF(AcctCodesA,$B1435)=0),"کد طرف در INFO تعریف نشده",IF(AND($D1435="هزینه",$E1435=""),"هزینه بدون زیرگروه",IF(AND($C1435="پاس چک",OR(Sync!$AJ1435="",COUNTIF(IssueNosA,Sync!$AJ1435)=0)),"شماره چک پاس‌شده معتبر نیست",""))))</f>
        <v/>
      </c>
      <c r="V1435">
        <f>IF($K1435="","",IF(ISNUMBER(Sync!$AK1435),Sync!$AK1435,LEFT(Sync!$AK1435,4)&amp;MID(Sync!$AK1435,6,2)&amp;RIGHT(Sync!$AK1435,2))&amp;"|"&amp;"4"&amp;RIGHT("00000"&amp;1430,5))</f>
        <v/>
      </c>
      <c r="W1435">
        <f>IF($V1435="",0,COUNTIFS($V$6:$V$2005,"&lt;"&amp;$V1435)-COUNTIFS($V$6:$V$2005,"&lt;"&amp;$V1435,$K$6:$K$2005,"")+1)</f>
        <v/>
      </c>
    </row>
    <row r="1436">
      <c r="A1436">
        <f>IF(Sync!$Z1436="","",LEFT(UPPER(TRIM(Sync!$Z1436)),6))</f>
        <v/>
      </c>
      <c r="B1436">
        <f>IF($A1436="","",IF(Sync!$AA1436="","",Sync!$AA1436))</f>
        <v/>
      </c>
      <c r="C1436">
        <f>IF($A1436="","",IF(Sync!$AB1436="","",Sync!$AB1436))</f>
        <v/>
      </c>
      <c r="D1436">
        <f>IF($A1436="","",IF(Sync!$AC1436="","",Sync!$AC1436))</f>
        <v/>
      </c>
      <c r="E1436">
        <f>IF($A1436="","",IF(Sync!$AD1436="","",Sync!$AD1436))</f>
        <v/>
      </c>
      <c r="F1436">
        <f>IF($A1436="","",IF(Sync!$AE1436="",0,Sync!$AE1436))</f>
        <v/>
      </c>
      <c r="G1436">
        <f>IF($A1436="","",IF(Sync!$AF1436="",0,Sync!$AF1436))</f>
        <v/>
      </c>
      <c r="H1436">
        <f>IF(OR($A1436="",ROUND($F1436+$G1436,2)=0),"",$F1436+$G1436)</f>
        <v/>
      </c>
      <c r="I1436">
        <f>IF($H1436="","",IF(ROUND($F1436,2)&gt;0,$A1436,IF($D1436="شخصی قاسم","شخصی قاسم",IF($D1436="هزینه","هزینه: "&amp;IF($E1436="","متفرقه",$E1436),IF($C1436="پاس چک","چک پرداختی",IF(OR($B1436="",COUNTIF(AcctCodesA,$B1436)=0),"متفرقه",$B1436))))))</f>
        <v/>
      </c>
      <c r="J1436">
        <f>IF($H1436="","",IF(ROUND($F1436,2)&gt;0,IF($D1436="شخصی قاسم","شخصی قاسم",IF($D1436="هزینه","هزینه: "&amp;IF($E1436="","متفرقه",$E1436),IF(OR($B1436="",COUNTIF(AcctCodesA,$B1436)=0),"متفرقه",$B1436))),$A1436))</f>
        <v/>
      </c>
      <c r="K1436">
        <f>IF($A1436="","",IF(AND($B1436&lt;&gt;"",COUNTIF(AcctCodesA,$B1436)=0),"کد طرف در INFO تعریف نشده",IF(AND($D1436="هزینه",$E1436=""),"هزینه بدون زیرگروه",IF(AND($C1436="پاس چک",OR(Sync!$AJ1436="",COUNTIF(IssueNosA,Sync!$AJ1436)=0)),"شماره چک پاس‌شده معتبر نیست",""))))</f>
        <v/>
      </c>
      <c r="V1436">
        <f>IF($K1436="","",IF(ISNUMBER(Sync!$AK1436),Sync!$AK1436,LEFT(Sync!$AK1436,4)&amp;MID(Sync!$AK1436,6,2)&amp;RIGHT(Sync!$AK1436,2))&amp;"|"&amp;"4"&amp;RIGHT("00000"&amp;1431,5))</f>
        <v/>
      </c>
      <c r="W1436">
        <f>IF($V1436="",0,COUNTIFS($V$6:$V$2005,"&lt;"&amp;$V1436)-COUNTIFS($V$6:$V$2005,"&lt;"&amp;$V1436,$K$6:$K$2005,"")+1)</f>
        <v/>
      </c>
    </row>
    <row r="1437">
      <c r="A1437">
        <f>IF(Sync!$Z1437="","",LEFT(UPPER(TRIM(Sync!$Z1437)),6))</f>
        <v/>
      </c>
      <c r="B1437">
        <f>IF($A1437="","",IF(Sync!$AA1437="","",Sync!$AA1437))</f>
        <v/>
      </c>
      <c r="C1437">
        <f>IF($A1437="","",IF(Sync!$AB1437="","",Sync!$AB1437))</f>
        <v/>
      </c>
      <c r="D1437">
        <f>IF($A1437="","",IF(Sync!$AC1437="","",Sync!$AC1437))</f>
        <v/>
      </c>
      <c r="E1437">
        <f>IF($A1437="","",IF(Sync!$AD1437="","",Sync!$AD1437))</f>
        <v/>
      </c>
      <c r="F1437">
        <f>IF($A1437="","",IF(Sync!$AE1437="",0,Sync!$AE1437))</f>
        <v/>
      </c>
      <c r="G1437">
        <f>IF($A1437="","",IF(Sync!$AF1437="",0,Sync!$AF1437))</f>
        <v/>
      </c>
      <c r="H1437">
        <f>IF(OR($A1437="",ROUND($F1437+$G1437,2)=0),"",$F1437+$G1437)</f>
        <v/>
      </c>
      <c r="I1437">
        <f>IF($H1437="","",IF(ROUND($F1437,2)&gt;0,$A1437,IF($D1437="شخصی قاسم","شخصی قاسم",IF($D1437="هزینه","هزینه: "&amp;IF($E1437="","متفرقه",$E1437),IF($C1437="پاس چک","چک پرداختی",IF(OR($B1437="",COUNTIF(AcctCodesA,$B1437)=0),"متفرقه",$B1437))))))</f>
        <v/>
      </c>
      <c r="J1437">
        <f>IF($H1437="","",IF(ROUND($F1437,2)&gt;0,IF($D1437="شخصی قاسم","شخصی قاسم",IF($D1437="هزینه","هزینه: "&amp;IF($E1437="","متفرقه",$E1437),IF(OR($B1437="",COUNTIF(AcctCodesA,$B1437)=0),"متفرقه",$B1437))),$A1437))</f>
        <v/>
      </c>
      <c r="K1437">
        <f>IF($A1437="","",IF(AND($B1437&lt;&gt;"",COUNTIF(AcctCodesA,$B1437)=0),"کد طرف در INFO تعریف نشده",IF(AND($D1437="هزینه",$E1437=""),"هزینه بدون زیرگروه",IF(AND($C1437="پاس چک",OR(Sync!$AJ1437="",COUNTIF(IssueNosA,Sync!$AJ1437)=0)),"شماره چک پاس‌شده معتبر نیست",""))))</f>
        <v/>
      </c>
      <c r="V1437">
        <f>IF($K1437="","",IF(ISNUMBER(Sync!$AK1437),Sync!$AK1437,LEFT(Sync!$AK1437,4)&amp;MID(Sync!$AK1437,6,2)&amp;RIGHT(Sync!$AK1437,2))&amp;"|"&amp;"4"&amp;RIGHT("00000"&amp;1432,5))</f>
        <v/>
      </c>
      <c r="W1437">
        <f>IF($V1437="",0,COUNTIFS($V$6:$V$2005,"&lt;"&amp;$V1437)-COUNTIFS($V$6:$V$2005,"&lt;"&amp;$V1437,$K$6:$K$2005,"")+1)</f>
        <v/>
      </c>
    </row>
    <row r="1438">
      <c r="A1438">
        <f>IF(Sync!$Z1438="","",LEFT(UPPER(TRIM(Sync!$Z1438)),6))</f>
        <v/>
      </c>
      <c r="B1438">
        <f>IF($A1438="","",IF(Sync!$AA1438="","",Sync!$AA1438))</f>
        <v/>
      </c>
      <c r="C1438">
        <f>IF($A1438="","",IF(Sync!$AB1438="","",Sync!$AB1438))</f>
        <v/>
      </c>
      <c r="D1438">
        <f>IF($A1438="","",IF(Sync!$AC1438="","",Sync!$AC1438))</f>
        <v/>
      </c>
      <c r="E1438">
        <f>IF($A1438="","",IF(Sync!$AD1438="","",Sync!$AD1438))</f>
        <v/>
      </c>
      <c r="F1438">
        <f>IF($A1438="","",IF(Sync!$AE1438="",0,Sync!$AE1438))</f>
        <v/>
      </c>
      <c r="G1438">
        <f>IF($A1438="","",IF(Sync!$AF1438="",0,Sync!$AF1438))</f>
        <v/>
      </c>
      <c r="H1438">
        <f>IF(OR($A1438="",ROUND($F1438+$G1438,2)=0),"",$F1438+$G1438)</f>
        <v/>
      </c>
      <c r="I1438">
        <f>IF($H1438="","",IF(ROUND($F1438,2)&gt;0,$A1438,IF($D1438="شخصی قاسم","شخصی قاسم",IF($D1438="هزینه","هزینه: "&amp;IF($E1438="","متفرقه",$E1438),IF($C1438="پاس چک","چک پرداختی",IF(OR($B1438="",COUNTIF(AcctCodesA,$B1438)=0),"متفرقه",$B1438))))))</f>
        <v/>
      </c>
      <c r="J1438">
        <f>IF($H1438="","",IF(ROUND($F1438,2)&gt;0,IF($D1438="شخصی قاسم","شخصی قاسم",IF($D1438="هزینه","هزینه: "&amp;IF($E1438="","متفرقه",$E1438),IF(OR($B1438="",COUNTIF(AcctCodesA,$B1438)=0),"متفرقه",$B1438))),$A1438))</f>
        <v/>
      </c>
      <c r="K1438">
        <f>IF($A1438="","",IF(AND($B1438&lt;&gt;"",COUNTIF(AcctCodesA,$B1438)=0),"کد طرف در INFO تعریف نشده",IF(AND($D1438="هزینه",$E1438=""),"هزینه بدون زیرگروه",IF(AND($C1438="پاس چک",OR(Sync!$AJ1438="",COUNTIF(IssueNosA,Sync!$AJ1438)=0)),"شماره چک پاس‌شده معتبر نیست",""))))</f>
        <v/>
      </c>
      <c r="V1438">
        <f>IF($K1438="","",IF(ISNUMBER(Sync!$AK1438),Sync!$AK1438,LEFT(Sync!$AK1438,4)&amp;MID(Sync!$AK1438,6,2)&amp;RIGHT(Sync!$AK1438,2))&amp;"|"&amp;"4"&amp;RIGHT("00000"&amp;1433,5))</f>
        <v/>
      </c>
      <c r="W1438">
        <f>IF($V1438="",0,COUNTIFS($V$6:$V$2005,"&lt;"&amp;$V1438)-COUNTIFS($V$6:$V$2005,"&lt;"&amp;$V1438,$K$6:$K$2005,"")+1)</f>
        <v/>
      </c>
    </row>
    <row r="1439">
      <c r="A1439">
        <f>IF(Sync!$Z1439="","",LEFT(UPPER(TRIM(Sync!$Z1439)),6))</f>
        <v/>
      </c>
      <c r="B1439">
        <f>IF($A1439="","",IF(Sync!$AA1439="","",Sync!$AA1439))</f>
        <v/>
      </c>
      <c r="C1439">
        <f>IF($A1439="","",IF(Sync!$AB1439="","",Sync!$AB1439))</f>
        <v/>
      </c>
      <c r="D1439">
        <f>IF($A1439="","",IF(Sync!$AC1439="","",Sync!$AC1439))</f>
        <v/>
      </c>
      <c r="E1439">
        <f>IF($A1439="","",IF(Sync!$AD1439="","",Sync!$AD1439))</f>
        <v/>
      </c>
      <c r="F1439">
        <f>IF($A1439="","",IF(Sync!$AE1439="",0,Sync!$AE1439))</f>
        <v/>
      </c>
      <c r="G1439">
        <f>IF($A1439="","",IF(Sync!$AF1439="",0,Sync!$AF1439))</f>
        <v/>
      </c>
      <c r="H1439">
        <f>IF(OR($A1439="",ROUND($F1439+$G1439,2)=0),"",$F1439+$G1439)</f>
        <v/>
      </c>
      <c r="I1439">
        <f>IF($H1439="","",IF(ROUND($F1439,2)&gt;0,$A1439,IF($D1439="شخصی قاسم","شخصی قاسم",IF($D1439="هزینه","هزینه: "&amp;IF($E1439="","متفرقه",$E1439),IF($C1439="پاس چک","چک پرداختی",IF(OR($B1439="",COUNTIF(AcctCodesA,$B1439)=0),"متفرقه",$B1439))))))</f>
        <v/>
      </c>
      <c r="J1439">
        <f>IF($H1439="","",IF(ROUND($F1439,2)&gt;0,IF($D1439="شخصی قاسم","شخصی قاسم",IF($D1439="هزینه","هزینه: "&amp;IF($E1439="","متفرقه",$E1439),IF(OR($B1439="",COUNTIF(AcctCodesA,$B1439)=0),"متفرقه",$B1439))),$A1439))</f>
        <v/>
      </c>
      <c r="K1439">
        <f>IF($A1439="","",IF(AND($B1439&lt;&gt;"",COUNTIF(AcctCodesA,$B1439)=0),"کد طرف در INFO تعریف نشده",IF(AND($D1439="هزینه",$E1439=""),"هزینه بدون زیرگروه",IF(AND($C1439="پاس چک",OR(Sync!$AJ1439="",COUNTIF(IssueNosA,Sync!$AJ1439)=0)),"شماره چک پاس‌شده معتبر نیست",""))))</f>
        <v/>
      </c>
      <c r="V1439">
        <f>IF($K1439="","",IF(ISNUMBER(Sync!$AK1439),Sync!$AK1439,LEFT(Sync!$AK1439,4)&amp;MID(Sync!$AK1439,6,2)&amp;RIGHT(Sync!$AK1439,2))&amp;"|"&amp;"4"&amp;RIGHT("00000"&amp;1434,5))</f>
        <v/>
      </c>
      <c r="W1439">
        <f>IF($V1439="",0,COUNTIFS($V$6:$V$2005,"&lt;"&amp;$V1439)-COUNTIFS($V$6:$V$2005,"&lt;"&amp;$V1439,$K$6:$K$2005,"")+1)</f>
        <v/>
      </c>
    </row>
    <row r="1440">
      <c r="A1440">
        <f>IF(Sync!$Z1440="","",LEFT(UPPER(TRIM(Sync!$Z1440)),6))</f>
        <v/>
      </c>
      <c r="B1440">
        <f>IF($A1440="","",IF(Sync!$AA1440="","",Sync!$AA1440))</f>
        <v/>
      </c>
      <c r="C1440">
        <f>IF($A1440="","",IF(Sync!$AB1440="","",Sync!$AB1440))</f>
        <v/>
      </c>
      <c r="D1440">
        <f>IF($A1440="","",IF(Sync!$AC1440="","",Sync!$AC1440))</f>
        <v/>
      </c>
      <c r="E1440">
        <f>IF($A1440="","",IF(Sync!$AD1440="","",Sync!$AD1440))</f>
        <v/>
      </c>
      <c r="F1440">
        <f>IF($A1440="","",IF(Sync!$AE1440="",0,Sync!$AE1440))</f>
        <v/>
      </c>
      <c r="G1440">
        <f>IF($A1440="","",IF(Sync!$AF1440="",0,Sync!$AF1440))</f>
        <v/>
      </c>
      <c r="H1440">
        <f>IF(OR($A1440="",ROUND($F1440+$G1440,2)=0),"",$F1440+$G1440)</f>
        <v/>
      </c>
      <c r="I1440">
        <f>IF($H1440="","",IF(ROUND($F1440,2)&gt;0,$A1440,IF($D1440="شخصی قاسم","شخصی قاسم",IF($D1440="هزینه","هزینه: "&amp;IF($E1440="","متفرقه",$E1440),IF($C1440="پاس چک","چک پرداختی",IF(OR($B1440="",COUNTIF(AcctCodesA,$B1440)=0),"متفرقه",$B1440))))))</f>
        <v/>
      </c>
      <c r="J1440">
        <f>IF($H1440="","",IF(ROUND($F1440,2)&gt;0,IF($D1440="شخصی قاسم","شخصی قاسم",IF($D1440="هزینه","هزینه: "&amp;IF($E1440="","متفرقه",$E1440),IF(OR($B1440="",COUNTIF(AcctCodesA,$B1440)=0),"متفرقه",$B1440))),$A1440))</f>
        <v/>
      </c>
      <c r="K1440">
        <f>IF($A1440="","",IF(AND($B1440&lt;&gt;"",COUNTIF(AcctCodesA,$B1440)=0),"کد طرف در INFO تعریف نشده",IF(AND($D1440="هزینه",$E1440=""),"هزینه بدون زیرگروه",IF(AND($C1440="پاس چک",OR(Sync!$AJ1440="",COUNTIF(IssueNosA,Sync!$AJ1440)=0)),"شماره چک پاس‌شده معتبر نیست",""))))</f>
        <v/>
      </c>
      <c r="V1440">
        <f>IF($K1440="","",IF(ISNUMBER(Sync!$AK1440),Sync!$AK1440,LEFT(Sync!$AK1440,4)&amp;MID(Sync!$AK1440,6,2)&amp;RIGHT(Sync!$AK1440,2))&amp;"|"&amp;"4"&amp;RIGHT("00000"&amp;1435,5))</f>
        <v/>
      </c>
      <c r="W1440">
        <f>IF($V1440="",0,COUNTIFS($V$6:$V$2005,"&lt;"&amp;$V1440)-COUNTIFS($V$6:$V$2005,"&lt;"&amp;$V1440,$K$6:$K$2005,"")+1)</f>
        <v/>
      </c>
    </row>
    <row r="1441">
      <c r="A1441">
        <f>IF(Sync!$Z1441="","",LEFT(UPPER(TRIM(Sync!$Z1441)),6))</f>
        <v/>
      </c>
      <c r="B1441">
        <f>IF($A1441="","",IF(Sync!$AA1441="","",Sync!$AA1441))</f>
        <v/>
      </c>
      <c r="C1441">
        <f>IF($A1441="","",IF(Sync!$AB1441="","",Sync!$AB1441))</f>
        <v/>
      </c>
      <c r="D1441">
        <f>IF($A1441="","",IF(Sync!$AC1441="","",Sync!$AC1441))</f>
        <v/>
      </c>
      <c r="E1441">
        <f>IF($A1441="","",IF(Sync!$AD1441="","",Sync!$AD1441))</f>
        <v/>
      </c>
      <c r="F1441">
        <f>IF($A1441="","",IF(Sync!$AE1441="",0,Sync!$AE1441))</f>
        <v/>
      </c>
      <c r="G1441">
        <f>IF($A1441="","",IF(Sync!$AF1441="",0,Sync!$AF1441))</f>
        <v/>
      </c>
      <c r="H1441">
        <f>IF(OR($A1441="",ROUND($F1441+$G1441,2)=0),"",$F1441+$G1441)</f>
        <v/>
      </c>
      <c r="I1441">
        <f>IF($H1441="","",IF(ROUND($F1441,2)&gt;0,$A1441,IF($D1441="شخصی قاسم","شخصی قاسم",IF($D1441="هزینه","هزینه: "&amp;IF($E1441="","متفرقه",$E1441),IF($C1441="پاس چک","چک پرداختی",IF(OR($B1441="",COUNTIF(AcctCodesA,$B1441)=0),"متفرقه",$B1441))))))</f>
        <v/>
      </c>
      <c r="J1441">
        <f>IF($H1441="","",IF(ROUND($F1441,2)&gt;0,IF($D1441="شخصی قاسم","شخصی قاسم",IF($D1441="هزینه","هزینه: "&amp;IF($E1441="","متفرقه",$E1441),IF(OR($B1441="",COUNTIF(AcctCodesA,$B1441)=0),"متفرقه",$B1441))),$A1441))</f>
        <v/>
      </c>
      <c r="K1441">
        <f>IF($A1441="","",IF(AND($B1441&lt;&gt;"",COUNTIF(AcctCodesA,$B1441)=0),"کد طرف در INFO تعریف نشده",IF(AND($D1441="هزینه",$E1441=""),"هزینه بدون زیرگروه",IF(AND($C1441="پاس چک",OR(Sync!$AJ1441="",COUNTIF(IssueNosA,Sync!$AJ1441)=0)),"شماره چک پاس‌شده معتبر نیست",""))))</f>
        <v/>
      </c>
      <c r="V1441">
        <f>IF($K1441="","",IF(ISNUMBER(Sync!$AK1441),Sync!$AK1441,LEFT(Sync!$AK1441,4)&amp;MID(Sync!$AK1441,6,2)&amp;RIGHT(Sync!$AK1441,2))&amp;"|"&amp;"4"&amp;RIGHT("00000"&amp;1436,5))</f>
        <v/>
      </c>
      <c r="W1441">
        <f>IF($V1441="",0,COUNTIFS($V$6:$V$2005,"&lt;"&amp;$V1441)-COUNTIFS($V$6:$V$2005,"&lt;"&amp;$V1441,$K$6:$K$2005,"")+1)</f>
        <v/>
      </c>
    </row>
    <row r="1442">
      <c r="A1442">
        <f>IF(Sync!$Z1442="","",LEFT(UPPER(TRIM(Sync!$Z1442)),6))</f>
        <v/>
      </c>
      <c r="B1442">
        <f>IF($A1442="","",IF(Sync!$AA1442="","",Sync!$AA1442))</f>
        <v/>
      </c>
      <c r="C1442">
        <f>IF($A1442="","",IF(Sync!$AB1442="","",Sync!$AB1442))</f>
        <v/>
      </c>
      <c r="D1442">
        <f>IF($A1442="","",IF(Sync!$AC1442="","",Sync!$AC1442))</f>
        <v/>
      </c>
      <c r="E1442">
        <f>IF($A1442="","",IF(Sync!$AD1442="","",Sync!$AD1442))</f>
        <v/>
      </c>
      <c r="F1442">
        <f>IF($A1442="","",IF(Sync!$AE1442="",0,Sync!$AE1442))</f>
        <v/>
      </c>
      <c r="G1442">
        <f>IF($A1442="","",IF(Sync!$AF1442="",0,Sync!$AF1442))</f>
        <v/>
      </c>
      <c r="H1442">
        <f>IF(OR($A1442="",ROUND($F1442+$G1442,2)=0),"",$F1442+$G1442)</f>
        <v/>
      </c>
      <c r="I1442">
        <f>IF($H1442="","",IF(ROUND($F1442,2)&gt;0,$A1442,IF($D1442="شخصی قاسم","شخصی قاسم",IF($D1442="هزینه","هزینه: "&amp;IF($E1442="","متفرقه",$E1442),IF($C1442="پاس چک","چک پرداختی",IF(OR($B1442="",COUNTIF(AcctCodesA,$B1442)=0),"متفرقه",$B1442))))))</f>
        <v/>
      </c>
      <c r="J1442">
        <f>IF($H1442="","",IF(ROUND($F1442,2)&gt;0,IF($D1442="شخصی قاسم","شخصی قاسم",IF($D1442="هزینه","هزینه: "&amp;IF($E1442="","متفرقه",$E1442),IF(OR($B1442="",COUNTIF(AcctCodesA,$B1442)=0),"متفرقه",$B1442))),$A1442))</f>
        <v/>
      </c>
      <c r="K1442">
        <f>IF($A1442="","",IF(AND($B1442&lt;&gt;"",COUNTIF(AcctCodesA,$B1442)=0),"کد طرف در INFO تعریف نشده",IF(AND($D1442="هزینه",$E1442=""),"هزینه بدون زیرگروه",IF(AND($C1442="پاس چک",OR(Sync!$AJ1442="",COUNTIF(IssueNosA,Sync!$AJ1442)=0)),"شماره چک پاس‌شده معتبر نیست",""))))</f>
        <v/>
      </c>
      <c r="V1442">
        <f>IF($K1442="","",IF(ISNUMBER(Sync!$AK1442),Sync!$AK1442,LEFT(Sync!$AK1442,4)&amp;MID(Sync!$AK1442,6,2)&amp;RIGHT(Sync!$AK1442,2))&amp;"|"&amp;"4"&amp;RIGHT("00000"&amp;1437,5))</f>
        <v/>
      </c>
      <c r="W1442">
        <f>IF($V1442="",0,COUNTIFS($V$6:$V$2005,"&lt;"&amp;$V1442)-COUNTIFS($V$6:$V$2005,"&lt;"&amp;$V1442,$K$6:$K$2005,"")+1)</f>
        <v/>
      </c>
    </row>
    <row r="1443">
      <c r="A1443">
        <f>IF(Sync!$Z1443="","",LEFT(UPPER(TRIM(Sync!$Z1443)),6))</f>
        <v/>
      </c>
      <c r="B1443">
        <f>IF($A1443="","",IF(Sync!$AA1443="","",Sync!$AA1443))</f>
        <v/>
      </c>
      <c r="C1443">
        <f>IF($A1443="","",IF(Sync!$AB1443="","",Sync!$AB1443))</f>
        <v/>
      </c>
      <c r="D1443">
        <f>IF($A1443="","",IF(Sync!$AC1443="","",Sync!$AC1443))</f>
        <v/>
      </c>
      <c r="E1443">
        <f>IF($A1443="","",IF(Sync!$AD1443="","",Sync!$AD1443))</f>
        <v/>
      </c>
      <c r="F1443">
        <f>IF($A1443="","",IF(Sync!$AE1443="",0,Sync!$AE1443))</f>
        <v/>
      </c>
      <c r="G1443">
        <f>IF($A1443="","",IF(Sync!$AF1443="",0,Sync!$AF1443))</f>
        <v/>
      </c>
      <c r="H1443">
        <f>IF(OR($A1443="",ROUND($F1443+$G1443,2)=0),"",$F1443+$G1443)</f>
        <v/>
      </c>
      <c r="I1443">
        <f>IF($H1443="","",IF(ROUND($F1443,2)&gt;0,$A1443,IF($D1443="شخصی قاسم","شخصی قاسم",IF($D1443="هزینه","هزینه: "&amp;IF($E1443="","متفرقه",$E1443),IF($C1443="پاس چک","چک پرداختی",IF(OR($B1443="",COUNTIF(AcctCodesA,$B1443)=0),"متفرقه",$B1443))))))</f>
        <v/>
      </c>
      <c r="J1443">
        <f>IF($H1443="","",IF(ROUND($F1443,2)&gt;0,IF($D1443="شخصی قاسم","شخصی قاسم",IF($D1443="هزینه","هزینه: "&amp;IF($E1443="","متفرقه",$E1443),IF(OR($B1443="",COUNTIF(AcctCodesA,$B1443)=0),"متفرقه",$B1443))),$A1443))</f>
        <v/>
      </c>
      <c r="K1443">
        <f>IF($A1443="","",IF(AND($B1443&lt;&gt;"",COUNTIF(AcctCodesA,$B1443)=0),"کد طرف در INFO تعریف نشده",IF(AND($D1443="هزینه",$E1443=""),"هزینه بدون زیرگروه",IF(AND($C1443="پاس چک",OR(Sync!$AJ1443="",COUNTIF(IssueNosA,Sync!$AJ1443)=0)),"شماره چک پاس‌شده معتبر نیست",""))))</f>
        <v/>
      </c>
      <c r="V1443">
        <f>IF($K1443="","",IF(ISNUMBER(Sync!$AK1443),Sync!$AK1443,LEFT(Sync!$AK1443,4)&amp;MID(Sync!$AK1443,6,2)&amp;RIGHT(Sync!$AK1443,2))&amp;"|"&amp;"4"&amp;RIGHT("00000"&amp;1438,5))</f>
        <v/>
      </c>
      <c r="W1443">
        <f>IF($V1443="",0,COUNTIFS($V$6:$V$2005,"&lt;"&amp;$V1443)-COUNTIFS($V$6:$V$2005,"&lt;"&amp;$V1443,$K$6:$K$2005,"")+1)</f>
        <v/>
      </c>
    </row>
    <row r="1444">
      <c r="A1444">
        <f>IF(Sync!$Z1444="","",LEFT(UPPER(TRIM(Sync!$Z1444)),6))</f>
        <v/>
      </c>
      <c r="B1444">
        <f>IF($A1444="","",IF(Sync!$AA1444="","",Sync!$AA1444))</f>
        <v/>
      </c>
      <c r="C1444">
        <f>IF($A1444="","",IF(Sync!$AB1444="","",Sync!$AB1444))</f>
        <v/>
      </c>
      <c r="D1444">
        <f>IF($A1444="","",IF(Sync!$AC1444="","",Sync!$AC1444))</f>
        <v/>
      </c>
      <c r="E1444">
        <f>IF($A1444="","",IF(Sync!$AD1444="","",Sync!$AD1444))</f>
        <v/>
      </c>
      <c r="F1444">
        <f>IF($A1444="","",IF(Sync!$AE1444="",0,Sync!$AE1444))</f>
        <v/>
      </c>
      <c r="G1444">
        <f>IF($A1444="","",IF(Sync!$AF1444="",0,Sync!$AF1444))</f>
        <v/>
      </c>
      <c r="H1444">
        <f>IF(OR($A1444="",ROUND($F1444+$G1444,2)=0),"",$F1444+$G1444)</f>
        <v/>
      </c>
      <c r="I1444">
        <f>IF($H1444="","",IF(ROUND($F1444,2)&gt;0,$A1444,IF($D1444="شخصی قاسم","شخصی قاسم",IF($D1444="هزینه","هزینه: "&amp;IF($E1444="","متفرقه",$E1444),IF($C1444="پاس چک","چک پرداختی",IF(OR($B1444="",COUNTIF(AcctCodesA,$B1444)=0),"متفرقه",$B1444))))))</f>
        <v/>
      </c>
      <c r="J1444">
        <f>IF($H1444="","",IF(ROUND($F1444,2)&gt;0,IF($D1444="شخصی قاسم","شخصی قاسم",IF($D1444="هزینه","هزینه: "&amp;IF($E1444="","متفرقه",$E1444),IF(OR($B1444="",COUNTIF(AcctCodesA,$B1444)=0),"متفرقه",$B1444))),$A1444))</f>
        <v/>
      </c>
      <c r="K1444">
        <f>IF($A1444="","",IF(AND($B1444&lt;&gt;"",COUNTIF(AcctCodesA,$B1444)=0),"کد طرف در INFO تعریف نشده",IF(AND($D1444="هزینه",$E1444=""),"هزینه بدون زیرگروه",IF(AND($C1444="پاس چک",OR(Sync!$AJ1444="",COUNTIF(IssueNosA,Sync!$AJ1444)=0)),"شماره چک پاس‌شده معتبر نیست",""))))</f>
        <v/>
      </c>
      <c r="V1444">
        <f>IF($K1444="","",IF(ISNUMBER(Sync!$AK1444),Sync!$AK1444,LEFT(Sync!$AK1444,4)&amp;MID(Sync!$AK1444,6,2)&amp;RIGHT(Sync!$AK1444,2))&amp;"|"&amp;"4"&amp;RIGHT("00000"&amp;1439,5))</f>
        <v/>
      </c>
      <c r="W1444">
        <f>IF($V1444="",0,COUNTIFS($V$6:$V$2005,"&lt;"&amp;$V1444)-COUNTIFS($V$6:$V$2005,"&lt;"&amp;$V1444,$K$6:$K$2005,"")+1)</f>
        <v/>
      </c>
    </row>
    <row r="1445">
      <c r="A1445">
        <f>IF(Sync!$Z1445="","",LEFT(UPPER(TRIM(Sync!$Z1445)),6))</f>
        <v/>
      </c>
      <c r="B1445">
        <f>IF($A1445="","",IF(Sync!$AA1445="","",Sync!$AA1445))</f>
        <v/>
      </c>
      <c r="C1445">
        <f>IF($A1445="","",IF(Sync!$AB1445="","",Sync!$AB1445))</f>
        <v/>
      </c>
      <c r="D1445">
        <f>IF($A1445="","",IF(Sync!$AC1445="","",Sync!$AC1445))</f>
        <v/>
      </c>
      <c r="E1445">
        <f>IF($A1445="","",IF(Sync!$AD1445="","",Sync!$AD1445))</f>
        <v/>
      </c>
      <c r="F1445">
        <f>IF($A1445="","",IF(Sync!$AE1445="",0,Sync!$AE1445))</f>
        <v/>
      </c>
      <c r="G1445">
        <f>IF($A1445="","",IF(Sync!$AF1445="",0,Sync!$AF1445))</f>
        <v/>
      </c>
      <c r="H1445">
        <f>IF(OR($A1445="",ROUND($F1445+$G1445,2)=0),"",$F1445+$G1445)</f>
        <v/>
      </c>
      <c r="I1445">
        <f>IF($H1445="","",IF(ROUND($F1445,2)&gt;0,$A1445,IF($D1445="شخصی قاسم","شخصی قاسم",IF($D1445="هزینه","هزینه: "&amp;IF($E1445="","متفرقه",$E1445),IF($C1445="پاس چک","چک پرداختی",IF(OR($B1445="",COUNTIF(AcctCodesA,$B1445)=0),"متفرقه",$B1445))))))</f>
        <v/>
      </c>
      <c r="J1445">
        <f>IF($H1445="","",IF(ROUND($F1445,2)&gt;0,IF($D1445="شخصی قاسم","شخصی قاسم",IF($D1445="هزینه","هزینه: "&amp;IF($E1445="","متفرقه",$E1445),IF(OR($B1445="",COUNTIF(AcctCodesA,$B1445)=0),"متفرقه",$B1445))),$A1445))</f>
        <v/>
      </c>
      <c r="K1445">
        <f>IF($A1445="","",IF(AND($B1445&lt;&gt;"",COUNTIF(AcctCodesA,$B1445)=0),"کد طرف در INFO تعریف نشده",IF(AND($D1445="هزینه",$E1445=""),"هزینه بدون زیرگروه",IF(AND($C1445="پاس چک",OR(Sync!$AJ1445="",COUNTIF(IssueNosA,Sync!$AJ1445)=0)),"شماره چک پاس‌شده معتبر نیست",""))))</f>
        <v/>
      </c>
      <c r="V1445">
        <f>IF($K1445="","",IF(ISNUMBER(Sync!$AK1445),Sync!$AK1445,LEFT(Sync!$AK1445,4)&amp;MID(Sync!$AK1445,6,2)&amp;RIGHT(Sync!$AK1445,2))&amp;"|"&amp;"4"&amp;RIGHT("00000"&amp;1440,5))</f>
        <v/>
      </c>
      <c r="W1445">
        <f>IF($V1445="",0,COUNTIFS($V$6:$V$2005,"&lt;"&amp;$V1445)-COUNTIFS($V$6:$V$2005,"&lt;"&amp;$V1445,$K$6:$K$2005,"")+1)</f>
        <v/>
      </c>
    </row>
    <row r="1446">
      <c r="A1446">
        <f>IF(Sync!$Z1446="","",LEFT(UPPER(TRIM(Sync!$Z1446)),6))</f>
        <v/>
      </c>
      <c r="B1446">
        <f>IF($A1446="","",IF(Sync!$AA1446="","",Sync!$AA1446))</f>
        <v/>
      </c>
      <c r="C1446">
        <f>IF($A1446="","",IF(Sync!$AB1446="","",Sync!$AB1446))</f>
        <v/>
      </c>
      <c r="D1446">
        <f>IF($A1446="","",IF(Sync!$AC1446="","",Sync!$AC1446))</f>
        <v/>
      </c>
      <c r="E1446">
        <f>IF($A1446="","",IF(Sync!$AD1446="","",Sync!$AD1446))</f>
        <v/>
      </c>
      <c r="F1446">
        <f>IF($A1446="","",IF(Sync!$AE1446="",0,Sync!$AE1446))</f>
        <v/>
      </c>
      <c r="G1446">
        <f>IF($A1446="","",IF(Sync!$AF1446="",0,Sync!$AF1446))</f>
        <v/>
      </c>
      <c r="H1446">
        <f>IF(OR($A1446="",ROUND($F1446+$G1446,2)=0),"",$F1446+$G1446)</f>
        <v/>
      </c>
      <c r="I1446">
        <f>IF($H1446="","",IF(ROUND($F1446,2)&gt;0,$A1446,IF($D1446="شخصی قاسم","شخصی قاسم",IF($D1446="هزینه","هزینه: "&amp;IF($E1446="","متفرقه",$E1446),IF($C1446="پاس چک","چک پرداختی",IF(OR($B1446="",COUNTIF(AcctCodesA,$B1446)=0),"متفرقه",$B1446))))))</f>
        <v/>
      </c>
      <c r="J1446">
        <f>IF($H1446="","",IF(ROUND($F1446,2)&gt;0,IF($D1446="شخصی قاسم","شخصی قاسم",IF($D1446="هزینه","هزینه: "&amp;IF($E1446="","متفرقه",$E1446),IF(OR($B1446="",COUNTIF(AcctCodesA,$B1446)=0),"متفرقه",$B1446))),$A1446))</f>
        <v/>
      </c>
      <c r="K1446">
        <f>IF($A1446="","",IF(AND($B1446&lt;&gt;"",COUNTIF(AcctCodesA,$B1446)=0),"کد طرف در INFO تعریف نشده",IF(AND($D1446="هزینه",$E1446=""),"هزینه بدون زیرگروه",IF(AND($C1446="پاس چک",OR(Sync!$AJ1446="",COUNTIF(IssueNosA,Sync!$AJ1446)=0)),"شماره چک پاس‌شده معتبر نیست",""))))</f>
        <v/>
      </c>
      <c r="V1446">
        <f>IF($K1446="","",IF(ISNUMBER(Sync!$AK1446),Sync!$AK1446,LEFT(Sync!$AK1446,4)&amp;MID(Sync!$AK1446,6,2)&amp;RIGHT(Sync!$AK1446,2))&amp;"|"&amp;"4"&amp;RIGHT("00000"&amp;1441,5))</f>
        <v/>
      </c>
      <c r="W1446">
        <f>IF($V1446="",0,COUNTIFS($V$6:$V$2005,"&lt;"&amp;$V1446)-COUNTIFS($V$6:$V$2005,"&lt;"&amp;$V1446,$K$6:$K$2005,"")+1)</f>
        <v/>
      </c>
    </row>
    <row r="1447">
      <c r="A1447">
        <f>IF(Sync!$Z1447="","",LEFT(UPPER(TRIM(Sync!$Z1447)),6))</f>
        <v/>
      </c>
      <c r="B1447">
        <f>IF($A1447="","",IF(Sync!$AA1447="","",Sync!$AA1447))</f>
        <v/>
      </c>
      <c r="C1447">
        <f>IF($A1447="","",IF(Sync!$AB1447="","",Sync!$AB1447))</f>
        <v/>
      </c>
      <c r="D1447">
        <f>IF($A1447="","",IF(Sync!$AC1447="","",Sync!$AC1447))</f>
        <v/>
      </c>
      <c r="E1447">
        <f>IF($A1447="","",IF(Sync!$AD1447="","",Sync!$AD1447))</f>
        <v/>
      </c>
      <c r="F1447">
        <f>IF($A1447="","",IF(Sync!$AE1447="",0,Sync!$AE1447))</f>
        <v/>
      </c>
      <c r="G1447">
        <f>IF($A1447="","",IF(Sync!$AF1447="",0,Sync!$AF1447))</f>
        <v/>
      </c>
      <c r="H1447">
        <f>IF(OR($A1447="",ROUND($F1447+$G1447,2)=0),"",$F1447+$G1447)</f>
        <v/>
      </c>
      <c r="I1447">
        <f>IF($H1447="","",IF(ROUND($F1447,2)&gt;0,$A1447,IF($D1447="شخصی قاسم","شخصی قاسم",IF($D1447="هزینه","هزینه: "&amp;IF($E1447="","متفرقه",$E1447),IF($C1447="پاس چک","چک پرداختی",IF(OR($B1447="",COUNTIF(AcctCodesA,$B1447)=0),"متفرقه",$B1447))))))</f>
        <v/>
      </c>
      <c r="J1447">
        <f>IF($H1447="","",IF(ROUND($F1447,2)&gt;0,IF($D1447="شخصی قاسم","شخصی قاسم",IF($D1447="هزینه","هزینه: "&amp;IF($E1447="","متفرقه",$E1447),IF(OR($B1447="",COUNTIF(AcctCodesA,$B1447)=0),"متفرقه",$B1447))),$A1447))</f>
        <v/>
      </c>
      <c r="K1447">
        <f>IF($A1447="","",IF(AND($B1447&lt;&gt;"",COUNTIF(AcctCodesA,$B1447)=0),"کد طرف در INFO تعریف نشده",IF(AND($D1447="هزینه",$E1447=""),"هزینه بدون زیرگروه",IF(AND($C1447="پاس چک",OR(Sync!$AJ1447="",COUNTIF(IssueNosA,Sync!$AJ1447)=0)),"شماره چک پاس‌شده معتبر نیست",""))))</f>
        <v/>
      </c>
      <c r="V1447">
        <f>IF($K1447="","",IF(ISNUMBER(Sync!$AK1447),Sync!$AK1447,LEFT(Sync!$AK1447,4)&amp;MID(Sync!$AK1447,6,2)&amp;RIGHT(Sync!$AK1447,2))&amp;"|"&amp;"4"&amp;RIGHT("00000"&amp;1442,5))</f>
        <v/>
      </c>
      <c r="W1447">
        <f>IF($V1447="",0,COUNTIFS($V$6:$V$2005,"&lt;"&amp;$V1447)-COUNTIFS($V$6:$V$2005,"&lt;"&amp;$V1447,$K$6:$K$2005,"")+1)</f>
        <v/>
      </c>
    </row>
    <row r="1448">
      <c r="A1448">
        <f>IF(Sync!$Z1448="","",LEFT(UPPER(TRIM(Sync!$Z1448)),6))</f>
        <v/>
      </c>
      <c r="B1448">
        <f>IF($A1448="","",IF(Sync!$AA1448="","",Sync!$AA1448))</f>
        <v/>
      </c>
      <c r="C1448">
        <f>IF($A1448="","",IF(Sync!$AB1448="","",Sync!$AB1448))</f>
        <v/>
      </c>
      <c r="D1448">
        <f>IF($A1448="","",IF(Sync!$AC1448="","",Sync!$AC1448))</f>
        <v/>
      </c>
      <c r="E1448">
        <f>IF($A1448="","",IF(Sync!$AD1448="","",Sync!$AD1448))</f>
        <v/>
      </c>
      <c r="F1448">
        <f>IF($A1448="","",IF(Sync!$AE1448="",0,Sync!$AE1448))</f>
        <v/>
      </c>
      <c r="G1448">
        <f>IF($A1448="","",IF(Sync!$AF1448="",0,Sync!$AF1448))</f>
        <v/>
      </c>
      <c r="H1448">
        <f>IF(OR($A1448="",ROUND($F1448+$G1448,2)=0),"",$F1448+$G1448)</f>
        <v/>
      </c>
      <c r="I1448">
        <f>IF($H1448="","",IF(ROUND($F1448,2)&gt;0,$A1448,IF($D1448="شخصی قاسم","شخصی قاسم",IF($D1448="هزینه","هزینه: "&amp;IF($E1448="","متفرقه",$E1448),IF($C1448="پاس چک","چک پرداختی",IF(OR($B1448="",COUNTIF(AcctCodesA,$B1448)=0),"متفرقه",$B1448))))))</f>
        <v/>
      </c>
      <c r="J1448">
        <f>IF($H1448="","",IF(ROUND($F1448,2)&gt;0,IF($D1448="شخصی قاسم","شخصی قاسم",IF($D1448="هزینه","هزینه: "&amp;IF($E1448="","متفرقه",$E1448),IF(OR($B1448="",COUNTIF(AcctCodesA,$B1448)=0),"متفرقه",$B1448))),$A1448))</f>
        <v/>
      </c>
      <c r="K1448">
        <f>IF($A1448="","",IF(AND($B1448&lt;&gt;"",COUNTIF(AcctCodesA,$B1448)=0),"کد طرف در INFO تعریف نشده",IF(AND($D1448="هزینه",$E1448=""),"هزینه بدون زیرگروه",IF(AND($C1448="پاس چک",OR(Sync!$AJ1448="",COUNTIF(IssueNosA,Sync!$AJ1448)=0)),"شماره چک پاس‌شده معتبر نیست",""))))</f>
        <v/>
      </c>
      <c r="V1448">
        <f>IF($K1448="","",IF(ISNUMBER(Sync!$AK1448),Sync!$AK1448,LEFT(Sync!$AK1448,4)&amp;MID(Sync!$AK1448,6,2)&amp;RIGHT(Sync!$AK1448,2))&amp;"|"&amp;"4"&amp;RIGHT("00000"&amp;1443,5))</f>
        <v/>
      </c>
      <c r="W1448">
        <f>IF($V1448="",0,COUNTIFS($V$6:$V$2005,"&lt;"&amp;$V1448)-COUNTIFS($V$6:$V$2005,"&lt;"&amp;$V1448,$K$6:$K$2005,"")+1)</f>
        <v/>
      </c>
    </row>
    <row r="1449">
      <c r="A1449">
        <f>IF(Sync!$Z1449="","",LEFT(UPPER(TRIM(Sync!$Z1449)),6))</f>
        <v/>
      </c>
      <c r="B1449">
        <f>IF($A1449="","",IF(Sync!$AA1449="","",Sync!$AA1449))</f>
        <v/>
      </c>
      <c r="C1449">
        <f>IF($A1449="","",IF(Sync!$AB1449="","",Sync!$AB1449))</f>
        <v/>
      </c>
      <c r="D1449">
        <f>IF($A1449="","",IF(Sync!$AC1449="","",Sync!$AC1449))</f>
        <v/>
      </c>
      <c r="E1449">
        <f>IF($A1449="","",IF(Sync!$AD1449="","",Sync!$AD1449))</f>
        <v/>
      </c>
      <c r="F1449">
        <f>IF($A1449="","",IF(Sync!$AE1449="",0,Sync!$AE1449))</f>
        <v/>
      </c>
      <c r="G1449">
        <f>IF($A1449="","",IF(Sync!$AF1449="",0,Sync!$AF1449))</f>
        <v/>
      </c>
      <c r="H1449">
        <f>IF(OR($A1449="",ROUND($F1449+$G1449,2)=0),"",$F1449+$G1449)</f>
        <v/>
      </c>
      <c r="I1449">
        <f>IF($H1449="","",IF(ROUND($F1449,2)&gt;0,$A1449,IF($D1449="شخصی قاسم","شخصی قاسم",IF($D1449="هزینه","هزینه: "&amp;IF($E1449="","متفرقه",$E1449),IF($C1449="پاس چک","چک پرداختی",IF(OR($B1449="",COUNTIF(AcctCodesA,$B1449)=0),"متفرقه",$B1449))))))</f>
        <v/>
      </c>
      <c r="J1449">
        <f>IF($H1449="","",IF(ROUND($F1449,2)&gt;0,IF($D1449="شخصی قاسم","شخصی قاسم",IF($D1449="هزینه","هزینه: "&amp;IF($E1449="","متفرقه",$E1449),IF(OR($B1449="",COUNTIF(AcctCodesA,$B1449)=0),"متفرقه",$B1449))),$A1449))</f>
        <v/>
      </c>
      <c r="K1449">
        <f>IF($A1449="","",IF(AND($B1449&lt;&gt;"",COUNTIF(AcctCodesA,$B1449)=0),"کد طرف در INFO تعریف نشده",IF(AND($D1449="هزینه",$E1449=""),"هزینه بدون زیرگروه",IF(AND($C1449="پاس چک",OR(Sync!$AJ1449="",COUNTIF(IssueNosA,Sync!$AJ1449)=0)),"شماره چک پاس‌شده معتبر نیست",""))))</f>
        <v/>
      </c>
      <c r="V1449">
        <f>IF($K1449="","",IF(ISNUMBER(Sync!$AK1449),Sync!$AK1449,LEFT(Sync!$AK1449,4)&amp;MID(Sync!$AK1449,6,2)&amp;RIGHT(Sync!$AK1449,2))&amp;"|"&amp;"4"&amp;RIGHT("00000"&amp;1444,5))</f>
        <v/>
      </c>
      <c r="W1449">
        <f>IF($V1449="",0,COUNTIFS($V$6:$V$2005,"&lt;"&amp;$V1449)-COUNTIFS($V$6:$V$2005,"&lt;"&amp;$V1449,$K$6:$K$2005,"")+1)</f>
        <v/>
      </c>
    </row>
    <row r="1450">
      <c r="A1450">
        <f>IF(Sync!$Z1450="","",LEFT(UPPER(TRIM(Sync!$Z1450)),6))</f>
        <v/>
      </c>
      <c r="B1450">
        <f>IF($A1450="","",IF(Sync!$AA1450="","",Sync!$AA1450))</f>
        <v/>
      </c>
      <c r="C1450">
        <f>IF($A1450="","",IF(Sync!$AB1450="","",Sync!$AB1450))</f>
        <v/>
      </c>
      <c r="D1450">
        <f>IF($A1450="","",IF(Sync!$AC1450="","",Sync!$AC1450))</f>
        <v/>
      </c>
      <c r="E1450">
        <f>IF($A1450="","",IF(Sync!$AD1450="","",Sync!$AD1450))</f>
        <v/>
      </c>
      <c r="F1450">
        <f>IF($A1450="","",IF(Sync!$AE1450="",0,Sync!$AE1450))</f>
        <v/>
      </c>
      <c r="G1450">
        <f>IF($A1450="","",IF(Sync!$AF1450="",0,Sync!$AF1450))</f>
        <v/>
      </c>
      <c r="H1450">
        <f>IF(OR($A1450="",ROUND($F1450+$G1450,2)=0),"",$F1450+$G1450)</f>
        <v/>
      </c>
      <c r="I1450">
        <f>IF($H1450="","",IF(ROUND($F1450,2)&gt;0,$A1450,IF($D1450="شخصی قاسم","شخصی قاسم",IF($D1450="هزینه","هزینه: "&amp;IF($E1450="","متفرقه",$E1450),IF($C1450="پاس چک","چک پرداختی",IF(OR($B1450="",COUNTIF(AcctCodesA,$B1450)=0),"متفرقه",$B1450))))))</f>
        <v/>
      </c>
      <c r="J1450">
        <f>IF($H1450="","",IF(ROUND($F1450,2)&gt;0,IF($D1450="شخصی قاسم","شخصی قاسم",IF($D1450="هزینه","هزینه: "&amp;IF($E1450="","متفرقه",$E1450),IF(OR($B1450="",COUNTIF(AcctCodesA,$B1450)=0),"متفرقه",$B1450))),$A1450))</f>
        <v/>
      </c>
      <c r="K1450">
        <f>IF($A1450="","",IF(AND($B1450&lt;&gt;"",COUNTIF(AcctCodesA,$B1450)=0),"کد طرف در INFO تعریف نشده",IF(AND($D1450="هزینه",$E1450=""),"هزینه بدون زیرگروه",IF(AND($C1450="پاس چک",OR(Sync!$AJ1450="",COUNTIF(IssueNosA,Sync!$AJ1450)=0)),"شماره چک پاس‌شده معتبر نیست",""))))</f>
        <v/>
      </c>
      <c r="V1450">
        <f>IF($K1450="","",IF(ISNUMBER(Sync!$AK1450),Sync!$AK1450,LEFT(Sync!$AK1450,4)&amp;MID(Sync!$AK1450,6,2)&amp;RIGHT(Sync!$AK1450,2))&amp;"|"&amp;"4"&amp;RIGHT("00000"&amp;1445,5))</f>
        <v/>
      </c>
      <c r="W1450">
        <f>IF($V1450="",0,COUNTIFS($V$6:$V$2005,"&lt;"&amp;$V1450)-COUNTIFS($V$6:$V$2005,"&lt;"&amp;$V1450,$K$6:$K$2005,"")+1)</f>
        <v/>
      </c>
    </row>
    <row r="1451">
      <c r="A1451">
        <f>IF(Sync!$Z1451="","",LEFT(UPPER(TRIM(Sync!$Z1451)),6))</f>
        <v/>
      </c>
      <c r="B1451">
        <f>IF($A1451="","",IF(Sync!$AA1451="","",Sync!$AA1451))</f>
        <v/>
      </c>
      <c r="C1451">
        <f>IF($A1451="","",IF(Sync!$AB1451="","",Sync!$AB1451))</f>
        <v/>
      </c>
      <c r="D1451">
        <f>IF($A1451="","",IF(Sync!$AC1451="","",Sync!$AC1451))</f>
        <v/>
      </c>
      <c r="E1451">
        <f>IF($A1451="","",IF(Sync!$AD1451="","",Sync!$AD1451))</f>
        <v/>
      </c>
      <c r="F1451">
        <f>IF($A1451="","",IF(Sync!$AE1451="",0,Sync!$AE1451))</f>
        <v/>
      </c>
      <c r="G1451">
        <f>IF($A1451="","",IF(Sync!$AF1451="",0,Sync!$AF1451))</f>
        <v/>
      </c>
      <c r="H1451">
        <f>IF(OR($A1451="",ROUND($F1451+$G1451,2)=0),"",$F1451+$G1451)</f>
        <v/>
      </c>
      <c r="I1451">
        <f>IF($H1451="","",IF(ROUND($F1451,2)&gt;0,$A1451,IF($D1451="شخصی قاسم","شخصی قاسم",IF($D1451="هزینه","هزینه: "&amp;IF($E1451="","متفرقه",$E1451),IF($C1451="پاس چک","چک پرداختی",IF(OR($B1451="",COUNTIF(AcctCodesA,$B1451)=0),"متفرقه",$B1451))))))</f>
        <v/>
      </c>
      <c r="J1451">
        <f>IF($H1451="","",IF(ROUND($F1451,2)&gt;0,IF($D1451="شخصی قاسم","شخصی قاسم",IF($D1451="هزینه","هزینه: "&amp;IF($E1451="","متفرقه",$E1451),IF(OR($B1451="",COUNTIF(AcctCodesA,$B1451)=0),"متفرقه",$B1451))),$A1451))</f>
        <v/>
      </c>
      <c r="K1451">
        <f>IF($A1451="","",IF(AND($B1451&lt;&gt;"",COUNTIF(AcctCodesA,$B1451)=0),"کد طرف در INFO تعریف نشده",IF(AND($D1451="هزینه",$E1451=""),"هزینه بدون زیرگروه",IF(AND($C1451="پاس چک",OR(Sync!$AJ1451="",COUNTIF(IssueNosA,Sync!$AJ1451)=0)),"شماره چک پاس‌شده معتبر نیست",""))))</f>
        <v/>
      </c>
      <c r="V1451">
        <f>IF($K1451="","",IF(ISNUMBER(Sync!$AK1451),Sync!$AK1451,LEFT(Sync!$AK1451,4)&amp;MID(Sync!$AK1451,6,2)&amp;RIGHT(Sync!$AK1451,2))&amp;"|"&amp;"4"&amp;RIGHT("00000"&amp;1446,5))</f>
        <v/>
      </c>
      <c r="W1451">
        <f>IF($V1451="",0,COUNTIFS($V$6:$V$2005,"&lt;"&amp;$V1451)-COUNTIFS($V$6:$V$2005,"&lt;"&amp;$V1451,$K$6:$K$2005,"")+1)</f>
        <v/>
      </c>
    </row>
    <row r="1452">
      <c r="A1452">
        <f>IF(Sync!$Z1452="","",LEFT(UPPER(TRIM(Sync!$Z1452)),6))</f>
        <v/>
      </c>
      <c r="B1452">
        <f>IF($A1452="","",IF(Sync!$AA1452="","",Sync!$AA1452))</f>
        <v/>
      </c>
      <c r="C1452">
        <f>IF($A1452="","",IF(Sync!$AB1452="","",Sync!$AB1452))</f>
        <v/>
      </c>
      <c r="D1452">
        <f>IF($A1452="","",IF(Sync!$AC1452="","",Sync!$AC1452))</f>
        <v/>
      </c>
      <c r="E1452">
        <f>IF($A1452="","",IF(Sync!$AD1452="","",Sync!$AD1452))</f>
        <v/>
      </c>
      <c r="F1452">
        <f>IF($A1452="","",IF(Sync!$AE1452="",0,Sync!$AE1452))</f>
        <v/>
      </c>
      <c r="G1452">
        <f>IF($A1452="","",IF(Sync!$AF1452="",0,Sync!$AF1452))</f>
        <v/>
      </c>
      <c r="H1452">
        <f>IF(OR($A1452="",ROUND($F1452+$G1452,2)=0),"",$F1452+$G1452)</f>
        <v/>
      </c>
      <c r="I1452">
        <f>IF($H1452="","",IF(ROUND($F1452,2)&gt;0,$A1452,IF($D1452="شخصی قاسم","شخصی قاسم",IF($D1452="هزینه","هزینه: "&amp;IF($E1452="","متفرقه",$E1452),IF($C1452="پاس چک","چک پرداختی",IF(OR($B1452="",COUNTIF(AcctCodesA,$B1452)=0),"متفرقه",$B1452))))))</f>
        <v/>
      </c>
      <c r="J1452">
        <f>IF($H1452="","",IF(ROUND($F1452,2)&gt;0,IF($D1452="شخصی قاسم","شخصی قاسم",IF($D1452="هزینه","هزینه: "&amp;IF($E1452="","متفرقه",$E1452),IF(OR($B1452="",COUNTIF(AcctCodesA,$B1452)=0),"متفرقه",$B1452))),$A1452))</f>
        <v/>
      </c>
      <c r="K1452">
        <f>IF($A1452="","",IF(AND($B1452&lt;&gt;"",COUNTIF(AcctCodesA,$B1452)=0),"کد طرف در INFO تعریف نشده",IF(AND($D1452="هزینه",$E1452=""),"هزینه بدون زیرگروه",IF(AND($C1452="پاس چک",OR(Sync!$AJ1452="",COUNTIF(IssueNosA,Sync!$AJ1452)=0)),"شماره چک پاس‌شده معتبر نیست",""))))</f>
        <v/>
      </c>
      <c r="V1452">
        <f>IF($K1452="","",IF(ISNUMBER(Sync!$AK1452),Sync!$AK1452,LEFT(Sync!$AK1452,4)&amp;MID(Sync!$AK1452,6,2)&amp;RIGHT(Sync!$AK1452,2))&amp;"|"&amp;"4"&amp;RIGHT("00000"&amp;1447,5))</f>
        <v/>
      </c>
      <c r="W1452">
        <f>IF($V1452="",0,COUNTIFS($V$6:$V$2005,"&lt;"&amp;$V1452)-COUNTIFS($V$6:$V$2005,"&lt;"&amp;$V1452,$K$6:$K$2005,"")+1)</f>
        <v/>
      </c>
    </row>
    <row r="1453">
      <c r="A1453">
        <f>IF(Sync!$Z1453="","",LEFT(UPPER(TRIM(Sync!$Z1453)),6))</f>
        <v/>
      </c>
      <c r="B1453">
        <f>IF($A1453="","",IF(Sync!$AA1453="","",Sync!$AA1453))</f>
        <v/>
      </c>
      <c r="C1453">
        <f>IF($A1453="","",IF(Sync!$AB1453="","",Sync!$AB1453))</f>
        <v/>
      </c>
      <c r="D1453">
        <f>IF($A1453="","",IF(Sync!$AC1453="","",Sync!$AC1453))</f>
        <v/>
      </c>
      <c r="E1453">
        <f>IF($A1453="","",IF(Sync!$AD1453="","",Sync!$AD1453))</f>
        <v/>
      </c>
      <c r="F1453">
        <f>IF($A1453="","",IF(Sync!$AE1453="",0,Sync!$AE1453))</f>
        <v/>
      </c>
      <c r="G1453">
        <f>IF($A1453="","",IF(Sync!$AF1453="",0,Sync!$AF1453))</f>
        <v/>
      </c>
      <c r="H1453">
        <f>IF(OR($A1453="",ROUND($F1453+$G1453,2)=0),"",$F1453+$G1453)</f>
        <v/>
      </c>
      <c r="I1453">
        <f>IF($H1453="","",IF(ROUND($F1453,2)&gt;0,$A1453,IF($D1453="شخصی قاسم","شخصی قاسم",IF($D1453="هزینه","هزینه: "&amp;IF($E1453="","متفرقه",$E1453),IF($C1453="پاس چک","چک پرداختی",IF(OR($B1453="",COUNTIF(AcctCodesA,$B1453)=0),"متفرقه",$B1453))))))</f>
        <v/>
      </c>
      <c r="J1453">
        <f>IF($H1453="","",IF(ROUND($F1453,2)&gt;0,IF($D1453="شخصی قاسم","شخصی قاسم",IF($D1453="هزینه","هزینه: "&amp;IF($E1453="","متفرقه",$E1453),IF(OR($B1453="",COUNTIF(AcctCodesA,$B1453)=0),"متفرقه",$B1453))),$A1453))</f>
        <v/>
      </c>
      <c r="K1453">
        <f>IF($A1453="","",IF(AND($B1453&lt;&gt;"",COUNTIF(AcctCodesA,$B1453)=0),"کد طرف در INFO تعریف نشده",IF(AND($D1453="هزینه",$E1453=""),"هزینه بدون زیرگروه",IF(AND($C1453="پاس چک",OR(Sync!$AJ1453="",COUNTIF(IssueNosA,Sync!$AJ1453)=0)),"شماره چک پاس‌شده معتبر نیست",""))))</f>
        <v/>
      </c>
      <c r="V1453">
        <f>IF($K1453="","",IF(ISNUMBER(Sync!$AK1453),Sync!$AK1453,LEFT(Sync!$AK1453,4)&amp;MID(Sync!$AK1453,6,2)&amp;RIGHT(Sync!$AK1453,2))&amp;"|"&amp;"4"&amp;RIGHT("00000"&amp;1448,5))</f>
        <v/>
      </c>
      <c r="W1453">
        <f>IF($V1453="",0,COUNTIFS($V$6:$V$2005,"&lt;"&amp;$V1453)-COUNTIFS($V$6:$V$2005,"&lt;"&amp;$V1453,$K$6:$K$2005,"")+1)</f>
        <v/>
      </c>
    </row>
    <row r="1454">
      <c r="A1454">
        <f>IF(Sync!$Z1454="","",LEFT(UPPER(TRIM(Sync!$Z1454)),6))</f>
        <v/>
      </c>
      <c r="B1454">
        <f>IF($A1454="","",IF(Sync!$AA1454="","",Sync!$AA1454))</f>
        <v/>
      </c>
      <c r="C1454">
        <f>IF($A1454="","",IF(Sync!$AB1454="","",Sync!$AB1454))</f>
        <v/>
      </c>
      <c r="D1454">
        <f>IF($A1454="","",IF(Sync!$AC1454="","",Sync!$AC1454))</f>
        <v/>
      </c>
      <c r="E1454">
        <f>IF($A1454="","",IF(Sync!$AD1454="","",Sync!$AD1454))</f>
        <v/>
      </c>
      <c r="F1454">
        <f>IF($A1454="","",IF(Sync!$AE1454="",0,Sync!$AE1454))</f>
        <v/>
      </c>
      <c r="G1454">
        <f>IF($A1454="","",IF(Sync!$AF1454="",0,Sync!$AF1454))</f>
        <v/>
      </c>
      <c r="H1454">
        <f>IF(OR($A1454="",ROUND($F1454+$G1454,2)=0),"",$F1454+$G1454)</f>
        <v/>
      </c>
      <c r="I1454">
        <f>IF($H1454="","",IF(ROUND($F1454,2)&gt;0,$A1454,IF($D1454="شخصی قاسم","شخصی قاسم",IF($D1454="هزینه","هزینه: "&amp;IF($E1454="","متفرقه",$E1454),IF($C1454="پاس چک","چک پرداختی",IF(OR($B1454="",COUNTIF(AcctCodesA,$B1454)=0),"متفرقه",$B1454))))))</f>
        <v/>
      </c>
      <c r="J1454">
        <f>IF($H1454="","",IF(ROUND($F1454,2)&gt;0,IF($D1454="شخصی قاسم","شخصی قاسم",IF($D1454="هزینه","هزینه: "&amp;IF($E1454="","متفرقه",$E1454),IF(OR($B1454="",COUNTIF(AcctCodesA,$B1454)=0),"متفرقه",$B1454))),$A1454))</f>
        <v/>
      </c>
      <c r="K1454">
        <f>IF($A1454="","",IF(AND($B1454&lt;&gt;"",COUNTIF(AcctCodesA,$B1454)=0),"کد طرف در INFO تعریف نشده",IF(AND($D1454="هزینه",$E1454=""),"هزینه بدون زیرگروه",IF(AND($C1454="پاس چک",OR(Sync!$AJ1454="",COUNTIF(IssueNosA,Sync!$AJ1454)=0)),"شماره چک پاس‌شده معتبر نیست",""))))</f>
        <v/>
      </c>
      <c r="V1454">
        <f>IF($K1454="","",IF(ISNUMBER(Sync!$AK1454),Sync!$AK1454,LEFT(Sync!$AK1454,4)&amp;MID(Sync!$AK1454,6,2)&amp;RIGHT(Sync!$AK1454,2))&amp;"|"&amp;"4"&amp;RIGHT("00000"&amp;1449,5))</f>
        <v/>
      </c>
      <c r="W1454">
        <f>IF($V1454="",0,COUNTIFS($V$6:$V$2005,"&lt;"&amp;$V1454)-COUNTIFS($V$6:$V$2005,"&lt;"&amp;$V1454,$K$6:$K$2005,"")+1)</f>
        <v/>
      </c>
    </row>
    <row r="1455">
      <c r="A1455">
        <f>IF(Sync!$Z1455="","",LEFT(UPPER(TRIM(Sync!$Z1455)),6))</f>
        <v/>
      </c>
      <c r="B1455">
        <f>IF($A1455="","",IF(Sync!$AA1455="","",Sync!$AA1455))</f>
        <v/>
      </c>
      <c r="C1455">
        <f>IF($A1455="","",IF(Sync!$AB1455="","",Sync!$AB1455))</f>
        <v/>
      </c>
      <c r="D1455">
        <f>IF($A1455="","",IF(Sync!$AC1455="","",Sync!$AC1455))</f>
        <v/>
      </c>
      <c r="E1455">
        <f>IF($A1455="","",IF(Sync!$AD1455="","",Sync!$AD1455))</f>
        <v/>
      </c>
      <c r="F1455">
        <f>IF($A1455="","",IF(Sync!$AE1455="",0,Sync!$AE1455))</f>
        <v/>
      </c>
      <c r="G1455">
        <f>IF($A1455="","",IF(Sync!$AF1455="",0,Sync!$AF1455))</f>
        <v/>
      </c>
      <c r="H1455">
        <f>IF(OR($A1455="",ROUND($F1455+$G1455,2)=0),"",$F1455+$G1455)</f>
        <v/>
      </c>
      <c r="I1455">
        <f>IF($H1455="","",IF(ROUND($F1455,2)&gt;0,$A1455,IF($D1455="شخصی قاسم","شخصی قاسم",IF($D1455="هزینه","هزینه: "&amp;IF($E1455="","متفرقه",$E1455),IF($C1455="پاس چک","چک پرداختی",IF(OR($B1455="",COUNTIF(AcctCodesA,$B1455)=0),"متفرقه",$B1455))))))</f>
        <v/>
      </c>
      <c r="J1455">
        <f>IF($H1455="","",IF(ROUND($F1455,2)&gt;0,IF($D1455="شخصی قاسم","شخصی قاسم",IF($D1455="هزینه","هزینه: "&amp;IF($E1455="","متفرقه",$E1455),IF(OR($B1455="",COUNTIF(AcctCodesA,$B1455)=0),"متفرقه",$B1455))),$A1455))</f>
        <v/>
      </c>
      <c r="K1455">
        <f>IF($A1455="","",IF(AND($B1455&lt;&gt;"",COUNTIF(AcctCodesA,$B1455)=0),"کد طرف در INFO تعریف نشده",IF(AND($D1455="هزینه",$E1455=""),"هزینه بدون زیرگروه",IF(AND($C1455="پاس چک",OR(Sync!$AJ1455="",COUNTIF(IssueNosA,Sync!$AJ1455)=0)),"شماره چک پاس‌شده معتبر نیست",""))))</f>
        <v/>
      </c>
      <c r="V1455">
        <f>IF($K1455="","",IF(ISNUMBER(Sync!$AK1455),Sync!$AK1455,LEFT(Sync!$AK1455,4)&amp;MID(Sync!$AK1455,6,2)&amp;RIGHT(Sync!$AK1455,2))&amp;"|"&amp;"4"&amp;RIGHT("00000"&amp;1450,5))</f>
        <v/>
      </c>
      <c r="W1455">
        <f>IF($V1455="",0,COUNTIFS($V$6:$V$2005,"&lt;"&amp;$V1455)-COUNTIFS($V$6:$V$2005,"&lt;"&amp;$V1455,$K$6:$K$2005,"")+1)</f>
        <v/>
      </c>
    </row>
    <row r="1456">
      <c r="A1456">
        <f>IF(Sync!$Z1456="","",LEFT(UPPER(TRIM(Sync!$Z1456)),6))</f>
        <v/>
      </c>
      <c r="B1456">
        <f>IF($A1456="","",IF(Sync!$AA1456="","",Sync!$AA1456))</f>
        <v/>
      </c>
      <c r="C1456">
        <f>IF($A1456="","",IF(Sync!$AB1456="","",Sync!$AB1456))</f>
        <v/>
      </c>
      <c r="D1456">
        <f>IF($A1456="","",IF(Sync!$AC1456="","",Sync!$AC1456))</f>
        <v/>
      </c>
      <c r="E1456">
        <f>IF($A1456="","",IF(Sync!$AD1456="","",Sync!$AD1456))</f>
        <v/>
      </c>
      <c r="F1456">
        <f>IF($A1456="","",IF(Sync!$AE1456="",0,Sync!$AE1456))</f>
        <v/>
      </c>
      <c r="G1456">
        <f>IF($A1456="","",IF(Sync!$AF1456="",0,Sync!$AF1456))</f>
        <v/>
      </c>
      <c r="H1456">
        <f>IF(OR($A1456="",ROUND($F1456+$G1456,2)=0),"",$F1456+$G1456)</f>
        <v/>
      </c>
      <c r="I1456">
        <f>IF($H1456="","",IF(ROUND($F1456,2)&gt;0,$A1456,IF($D1456="شخصی قاسم","شخصی قاسم",IF($D1456="هزینه","هزینه: "&amp;IF($E1456="","متفرقه",$E1456),IF($C1456="پاس چک","چک پرداختی",IF(OR($B1456="",COUNTIF(AcctCodesA,$B1456)=0),"متفرقه",$B1456))))))</f>
        <v/>
      </c>
      <c r="J1456">
        <f>IF($H1456="","",IF(ROUND($F1456,2)&gt;0,IF($D1456="شخصی قاسم","شخصی قاسم",IF($D1456="هزینه","هزینه: "&amp;IF($E1456="","متفرقه",$E1456),IF(OR($B1456="",COUNTIF(AcctCodesA,$B1456)=0),"متفرقه",$B1456))),$A1456))</f>
        <v/>
      </c>
      <c r="K1456">
        <f>IF($A1456="","",IF(AND($B1456&lt;&gt;"",COUNTIF(AcctCodesA,$B1456)=0),"کد طرف در INFO تعریف نشده",IF(AND($D1456="هزینه",$E1456=""),"هزینه بدون زیرگروه",IF(AND($C1456="پاس چک",OR(Sync!$AJ1456="",COUNTIF(IssueNosA,Sync!$AJ1456)=0)),"شماره چک پاس‌شده معتبر نیست",""))))</f>
        <v/>
      </c>
      <c r="V1456">
        <f>IF($K1456="","",IF(ISNUMBER(Sync!$AK1456),Sync!$AK1456,LEFT(Sync!$AK1456,4)&amp;MID(Sync!$AK1456,6,2)&amp;RIGHT(Sync!$AK1456,2))&amp;"|"&amp;"4"&amp;RIGHT("00000"&amp;1451,5))</f>
        <v/>
      </c>
      <c r="W1456">
        <f>IF($V1456="",0,COUNTIFS($V$6:$V$2005,"&lt;"&amp;$V1456)-COUNTIFS($V$6:$V$2005,"&lt;"&amp;$V1456,$K$6:$K$2005,"")+1)</f>
        <v/>
      </c>
    </row>
    <row r="1457">
      <c r="A1457">
        <f>IF(Sync!$Z1457="","",LEFT(UPPER(TRIM(Sync!$Z1457)),6))</f>
        <v/>
      </c>
      <c r="B1457">
        <f>IF($A1457="","",IF(Sync!$AA1457="","",Sync!$AA1457))</f>
        <v/>
      </c>
      <c r="C1457">
        <f>IF($A1457="","",IF(Sync!$AB1457="","",Sync!$AB1457))</f>
        <v/>
      </c>
      <c r="D1457">
        <f>IF($A1457="","",IF(Sync!$AC1457="","",Sync!$AC1457))</f>
        <v/>
      </c>
      <c r="E1457">
        <f>IF($A1457="","",IF(Sync!$AD1457="","",Sync!$AD1457))</f>
        <v/>
      </c>
      <c r="F1457">
        <f>IF($A1457="","",IF(Sync!$AE1457="",0,Sync!$AE1457))</f>
        <v/>
      </c>
      <c r="G1457">
        <f>IF($A1457="","",IF(Sync!$AF1457="",0,Sync!$AF1457))</f>
        <v/>
      </c>
      <c r="H1457">
        <f>IF(OR($A1457="",ROUND($F1457+$G1457,2)=0),"",$F1457+$G1457)</f>
        <v/>
      </c>
      <c r="I1457">
        <f>IF($H1457="","",IF(ROUND($F1457,2)&gt;0,$A1457,IF($D1457="شخصی قاسم","شخصی قاسم",IF($D1457="هزینه","هزینه: "&amp;IF($E1457="","متفرقه",$E1457),IF($C1457="پاس چک","چک پرداختی",IF(OR($B1457="",COUNTIF(AcctCodesA,$B1457)=0),"متفرقه",$B1457))))))</f>
        <v/>
      </c>
      <c r="J1457">
        <f>IF($H1457="","",IF(ROUND($F1457,2)&gt;0,IF($D1457="شخصی قاسم","شخصی قاسم",IF($D1457="هزینه","هزینه: "&amp;IF($E1457="","متفرقه",$E1457),IF(OR($B1457="",COUNTIF(AcctCodesA,$B1457)=0),"متفرقه",$B1457))),$A1457))</f>
        <v/>
      </c>
      <c r="K1457">
        <f>IF($A1457="","",IF(AND($B1457&lt;&gt;"",COUNTIF(AcctCodesA,$B1457)=0),"کد طرف در INFO تعریف نشده",IF(AND($D1457="هزینه",$E1457=""),"هزینه بدون زیرگروه",IF(AND($C1457="پاس چک",OR(Sync!$AJ1457="",COUNTIF(IssueNosA,Sync!$AJ1457)=0)),"شماره چک پاس‌شده معتبر نیست",""))))</f>
        <v/>
      </c>
      <c r="V1457">
        <f>IF($K1457="","",IF(ISNUMBER(Sync!$AK1457),Sync!$AK1457,LEFT(Sync!$AK1457,4)&amp;MID(Sync!$AK1457,6,2)&amp;RIGHT(Sync!$AK1457,2))&amp;"|"&amp;"4"&amp;RIGHT("00000"&amp;1452,5))</f>
        <v/>
      </c>
      <c r="W1457">
        <f>IF($V1457="",0,COUNTIFS($V$6:$V$2005,"&lt;"&amp;$V1457)-COUNTIFS($V$6:$V$2005,"&lt;"&amp;$V1457,$K$6:$K$2005,"")+1)</f>
        <v/>
      </c>
    </row>
    <row r="1458">
      <c r="A1458">
        <f>IF(Sync!$Z1458="","",LEFT(UPPER(TRIM(Sync!$Z1458)),6))</f>
        <v/>
      </c>
      <c r="B1458">
        <f>IF($A1458="","",IF(Sync!$AA1458="","",Sync!$AA1458))</f>
        <v/>
      </c>
      <c r="C1458">
        <f>IF($A1458="","",IF(Sync!$AB1458="","",Sync!$AB1458))</f>
        <v/>
      </c>
      <c r="D1458">
        <f>IF($A1458="","",IF(Sync!$AC1458="","",Sync!$AC1458))</f>
        <v/>
      </c>
      <c r="E1458">
        <f>IF($A1458="","",IF(Sync!$AD1458="","",Sync!$AD1458))</f>
        <v/>
      </c>
      <c r="F1458">
        <f>IF($A1458="","",IF(Sync!$AE1458="",0,Sync!$AE1458))</f>
        <v/>
      </c>
      <c r="G1458">
        <f>IF($A1458="","",IF(Sync!$AF1458="",0,Sync!$AF1458))</f>
        <v/>
      </c>
      <c r="H1458">
        <f>IF(OR($A1458="",ROUND($F1458+$G1458,2)=0),"",$F1458+$G1458)</f>
        <v/>
      </c>
      <c r="I1458">
        <f>IF($H1458="","",IF(ROUND($F1458,2)&gt;0,$A1458,IF($D1458="شخصی قاسم","شخصی قاسم",IF($D1458="هزینه","هزینه: "&amp;IF($E1458="","متفرقه",$E1458),IF($C1458="پاس چک","چک پرداختی",IF(OR($B1458="",COUNTIF(AcctCodesA,$B1458)=0),"متفرقه",$B1458))))))</f>
        <v/>
      </c>
      <c r="J1458">
        <f>IF($H1458="","",IF(ROUND($F1458,2)&gt;0,IF($D1458="شخصی قاسم","شخصی قاسم",IF($D1458="هزینه","هزینه: "&amp;IF($E1458="","متفرقه",$E1458),IF(OR($B1458="",COUNTIF(AcctCodesA,$B1458)=0),"متفرقه",$B1458))),$A1458))</f>
        <v/>
      </c>
      <c r="K1458">
        <f>IF($A1458="","",IF(AND($B1458&lt;&gt;"",COUNTIF(AcctCodesA,$B1458)=0),"کد طرف در INFO تعریف نشده",IF(AND($D1458="هزینه",$E1458=""),"هزینه بدون زیرگروه",IF(AND($C1458="پاس چک",OR(Sync!$AJ1458="",COUNTIF(IssueNosA,Sync!$AJ1458)=0)),"شماره چک پاس‌شده معتبر نیست",""))))</f>
        <v/>
      </c>
      <c r="V1458">
        <f>IF($K1458="","",IF(ISNUMBER(Sync!$AK1458),Sync!$AK1458,LEFT(Sync!$AK1458,4)&amp;MID(Sync!$AK1458,6,2)&amp;RIGHT(Sync!$AK1458,2))&amp;"|"&amp;"4"&amp;RIGHT("00000"&amp;1453,5))</f>
        <v/>
      </c>
      <c r="W1458">
        <f>IF($V1458="",0,COUNTIFS($V$6:$V$2005,"&lt;"&amp;$V1458)-COUNTIFS($V$6:$V$2005,"&lt;"&amp;$V1458,$K$6:$K$2005,"")+1)</f>
        <v/>
      </c>
    </row>
    <row r="1459">
      <c r="A1459">
        <f>IF(Sync!$Z1459="","",LEFT(UPPER(TRIM(Sync!$Z1459)),6))</f>
        <v/>
      </c>
      <c r="B1459">
        <f>IF($A1459="","",IF(Sync!$AA1459="","",Sync!$AA1459))</f>
        <v/>
      </c>
      <c r="C1459">
        <f>IF($A1459="","",IF(Sync!$AB1459="","",Sync!$AB1459))</f>
        <v/>
      </c>
      <c r="D1459">
        <f>IF($A1459="","",IF(Sync!$AC1459="","",Sync!$AC1459))</f>
        <v/>
      </c>
      <c r="E1459">
        <f>IF($A1459="","",IF(Sync!$AD1459="","",Sync!$AD1459))</f>
        <v/>
      </c>
      <c r="F1459">
        <f>IF($A1459="","",IF(Sync!$AE1459="",0,Sync!$AE1459))</f>
        <v/>
      </c>
      <c r="G1459">
        <f>IF($A1459="","",IF(Sync!$AF1459="",0,Sync!$AF1459))</f>
        <v/>
      </c>
      <c r="H1459">
        <f>IF(OR($A1459="",ROUND($F1459+$G1459,2)=0),"",$F1459+$G1459)</f>
        <v/>
      </c>
      <c r="I1459">
        <f>IF($H1459="","",IF(ROUND($F1459,2)&gt;0,$A1459,IF($D1459="شخصی قاسم","شخصی قاسم",IF($D1459="هزینه","هزینه: "&amp;IF($E1459="","متفرقه",$E1459),IF($C1459="پاس چک","چک پرداختی",IF(OR($B1459="",COUNTIF(AcctCodesA,$B1459)=0),"متفرقه",$B1459))))))</f>
        <v/>
      </c>
      <c r="J1459">
        <f>IF($H1459="","",IF(ROUND($F1459,2)&gt;0,IF($D1459="شخصی قاسم","شخصی قاسم",IF($D1459="هزینه","هزینه: "&amp;IF($E1459="","متفرقه",$E1459),IF(OR($B1459="",COUNTIF(AcctCodesA,$B1459)=0),"متفرقه",$B1459))),$A1459))</f>
        <v/>
      </c>
      <c r="K1459">
        <f>IF($A1459="","",IF(AND($B1459&lt;&gt;"",COUNTIF(AcctCodesA,$B1459)=0),"کد طرف در INFO تعریف نشده",IF(AND($D1459="هزینه",$E1459=""),"هزینه بدون زیرگروه",IF(AND($C1459="پاس چک",OR(Sync!$AJ1459="",COUNTIF(IssueNosA,Sync!$AJ1459)=0)),"شماره چک پاس‌شده معتبر نیست",""))))</f>
        <v/>
      </c>
      <c r="V1459">
        <f>IF($K1459="","",IF(ISNUMBER(Sync!$AK1459),Sync!$AK1459,LEFT(Sync!$AK1459,4)&amp;MID(Sync!$AK1459,6,2)&amp;RIGHT(Sync!$AK1459,2))&amp;"|"&amp;"4"&amp;RIGHT("00000"&amp;1454,5))</f>
        <v/>
      </c>
      <c r="W1459">
        <f>IF($V1459="",0,COUNTIFS($V$6:$V$2005,"&lt;"&amp;$V1459)-COUNTIFS($V$6:$V$2005,"&lt;"&amp;$V1459,$K$6:$K$2005,"")+1)</f>
        <v/>
      </c>
    </row>
    <row r="1460">
      <c r="A1460">
        <f>IF(Sync!$Z1460="","",LEFT(UPPER(TRIM(Sync!$Z1460)),6))</f>
        <v/>
      </c>
      <c r="B1460">
        <f>IF($A1460="","",IF(Sync!$AA1460="","",Sync!$AA1460))</f>
        <v/>
      </c>
      <c r="C1460">
        <f>IF($A1460="","",IF(Sync!$AB1460="","",Sync!$AB1460))</f>
        <v/>
      </c>
      <c r="D1460">
        <f>IF($A1460="","",IF(Sync!$AC1460="","",Sync!$AC1460))</f>
        <v/>
      </c>
      <c r="E1460">
        <f>IF($A1460="","",IF(Sync!$AD1460="","",Sync!$AD1460))</f>
        <v/>
      </c>
      <c r="F1460">
        <f>IF($A1460="","",IF(Sync!$AE1460="",0,Sync!$AE1460))</f>
        <v/>
      </c>
      <c r="G1460">
        <f>IF($A1460="","",IF(Sync!$AF1460="",0,Sync!$AF1460))</f>
        <v/>
      </c>
      <c r="H1460">
        <f>IF(OR($A1460="",ROUND($F1460+$G1460,2)=0),"",$F1460+$G1460)</f>
        <v/>
      </c>
      <c r="I1460">
        <f>IF($H1460="","",IF(ROUND($F1460,2)&gt;0,$A1460,IF($D1460="شخصی قاسم","شخصی قاسم",IF($D1460="هزینه","هزینه: "&amp;IF($E1460="","متفرقه",$E1460),IF($C1460="پاس چک","چک پرداختی",IF(OR($B1460="",COUNTIF(AcctCodesA,$B1460)=0),"متفرقه",$B1460))))))</f>
        <v/>
      </c>
      <c r="J1460">
        <f>IF($H1460="","",IF(ROUND($F1460,2)&gt;0,IF($D1460="شخصی قاسم","شخصی قاسم",IF($D1460="هزینه","هزینه: "&amp;IF($E1460="","متفرقه",$E1460),IF(OR($B1460="",COUNTIF(AcctCodesA,$B1460)=0),"متفرقه",$B1460))),$A1460))</f>
        <v/>
      </c>
      <c r="K1460">
        <f>IF($A1460="","",IF(AND($B1460&lt;&gt;"",COUNTIF(AcctCodesA,$B1460)=0),"کد طرف در INFO تعریف نشده",IF(AND($D1460="هزینه",$E1460=""),"هزینه بدون زیرگروه",IF(AND($C1460="پاس چک",OR(Sync!$AJ1460="",COUNTIF(IssueNosA,Sync!$AJ1460)=0)),"شماره چک پاس‌شده معتبر نیست",""))))</f>
        <v/>
      </c>
      <c r="V1460">
        <f>IF($K1460="","",IF(ISNUMBER(Sync!$AK1460),Sync!$AK1460,LEFT(Sync!$AK1460,4)&amp;MID(Sync!$AK1460,6,2)&amp;RIGHT(Sync!$AK1460,2))&amp;"|"&amp;"4"&amp;RIGHT("00000"&amp;1455,5))</f>
        <v/>
      </c>
      <c r="W1460">
        <f>IF($V1460="",0,COUNTIFS($V$6:$V$2005,"&lt;"&amp;$V1460)-COUNTIFS($V$6:$V$2005,"&lt;"&amp;$V1460,$K$6:$K$2005,"")+1)</f>
        <v/>
      </c>
    </row>
    <row r="1461">
      <c r="A1461">
        <f>IF(Sync!$Z1461="","",LEFT(UPPER(TRIM(Sync!$Z1461)),6))</f>
        <v/>
      </c>
      <c r="B1461">
        <f>IF($A1461="","",IF(Sync!$AA1461="","",Sync!$AA1461))</f>
        <v/>
      </c>
      <c r="C1461">
        <f>IF($A1461="","",IF(Sync!$AB1461="","",Sync!$AB1461))</f>
        <v/>
      </c>
      <c r="D1461">
        <f>IF($A1461="","",IF(Sync!$AC1461="","",Sync!$AC1461))</f>
        <v/>
      </c>
      <c r="E1461">
        <f>IF($A1461="","",IF(Sync!$AD1461="","",Sync!$AD1461))</f>
        <v/>
      </c>
      <c r="F1461">
        <f>IF($A1461="","",IF(Sync!$AE1461="",0,Sync!$AE1461))</f>
        <v/>
      </c>
      <c r="G1461">
        <f>IF($A1461="","",IF(Sync!$AF1461="",0,Sync!$AF1461))</f>
        <v/>
      </c>
      <c r="H1461">
        <f>IF(OR($A1461="",ROUND($F1461+$G1461,2)=0),"",$F1461+$G1461)</f>
        <v/>
      </c>
      <c r="I1461">
        <f>IF($H1461="","",IF(ROUND($F1461,2)&gt;0,$A1461,IF($D1461="شخصی قاسم","شخصی قاسم",IF($D1461="هزینه","هزینه: "&amp;IF($E1461="","متفرقه",$E1461),IF($C1461="پاس چک","چک پرداختی",IF(OR($B1461="",COUNTIF(AcctCodesA,$B1461)=0),"متفرقه",$B1461))))))</f>
        <v/>
      </c>
      <c r="J1461">
        <f>IF($H1461="","",IF(ROUND($F1461,2)&gt;0,IF($D1461="شخصی قاسم","شخصی قاسم",IF($D1461="هزینه","هزینه: "&amp;IF($E1461="","متفرقه",$E1461),IF(OR($B1461="",COUNTIF(AcctCodesA,$B1461)=0),"متفرقه",$B1461))),$A1461))</f>
        <v/>
      </c>
      <c r="K1461">
        <f>IF($A1461="","",IF(AND($B1461&lt;&gt;"",COUNTIF(AcctCodesA,$B1461)=0),"کد طرف در INFO تعریف نشده",IF(AND($D1461="هزینه",$E1461=""),"هزینه بدون زیرگروه",IF(AND($C1461="پاس چک",OR(Sync!$AJ1461="",COUNTIF(IssueNosA,Sync!$AJ1461)=0)),"شماره چک پاس‌شده معتبر نیست",""))))</f>
        <v/>
      </c>
      <c r="V1461">
        <f>IF($K1461="","",IF(ISNUMBER(Sync!$AK1461),Sync!$AK1461,LEFT(Sync!$AK1461,4)&amp;MID(Sync!$AK1461,6,2)&amp;RIGHT(Sync!$AK1461,2))&amp;"|"&amp;"4"&amp;RIGHT("00000"&amp;1456,5))</f>
        <v/>
      </c>
      <c r="W1461">
        <f>IF($V1461="",0,COUNTIFS($V$6:$V$2005,"&lt;"&amp;$V1461)-COUNTIFS($V$6:$V$2005,"&lt;"&amp;$V1461,$K$6:$K$2005,"")+1)</f>
        <v/>
      </c>
    </row>
    <row r="1462">
      <c r="A1462">
        <f>IF(Sync!$Z1462="","",LEFT(UPPER(TRIM(Sync!$Z1462)),6))</f>
        <v/>
      </c>
      <c r="B1462">
        <f>IF($A1462="","",IF(Sync!$AA1462="","",Sync!$AA1462))</f>
        <v/>
      </c>
      <c r="C1462">
        <f>IF($A1462="","",IF(Sync!$AB1462="","",Sync!$AB1462))</f>
        <v/>
      </c>
      <c r="D1462">
        <f>IF($A1462="","",IF(Sync!$AC1462="","",Sync!$AC1462))</f>
        <v/>
      </c>
      <c r="E1462">
        <f>IF($A1462="","",IF(Sync!$AD1462="","",Sync!$AD1462))</f>
        <v/>
      </c>
      <c r="F1462">
        <f>IF($A1462="","",IF(Sync!$AE1462="",0,Sync!$AE1462))</f>
        <v/>
      </c>
      <c r="G1462">
        <f>IF($A1462="","",IF(Sync!$AF1462="",0,Sync!$AF1462))</f>
        <v/>
      </c>
      <c r="H1462">
        <f>IF(OR($A1462="",ROUND($F1462+$G1462,2)=0),"",$F1462+$G1462)</f>
        <v/>
      </c>
      <c r="I1462">
        <f>IF($H1462="","",IF(ROUND($F1462,2)&gt;0,$A1462,IF($D1462="شخصی قاسم","شخصی قاسم",IF($D1462="هزینه","هزینه: "&amp;IF($E1462="","متفرقه",$E1462),IF($C1462="پاس چک","چک پرداختی",IF(OR($B1462="",COUNTIF(AcctCodesA,$B1462)=0),"متفرقه",$B1462))))))</f>
        <v/>
      </c>
      <c r="J1462">
        <f>IF($H1462="","",IF(ROUND($F1462,2)&gt;0,IF($D1462="شخصی قاسم","شخصی قاسم",IF($D1462="هزینه","هزینه: "&amp;IF($E1462="","متفرقه",$E1462),IF(OR($B1462="",COUNTIF(AcctCodesA,$B1462)=0),"متفرقه",$B1462))),$A1462))</f>
        <v/>
      </c>
      <c r="K1462">
        <f>IF($A1462="","",IF(AND($B1462&lt;&gt;"",COUNTIF(AcctCodesA,$B1462)=0),"کد طرف در INFO تعریف نشده",IF(AND($D1462="هزینه",$E1462=""),"هزینه بدون زیرگروه",IF(AND($C1462="پاس چک",OR(Sync!$AJ1462="",COUNTIF(IssueNosA,Sync!$AJ1462)=0)),"شماره چک پاس‌شده معتبر نیست",""))))</f>
        <v/>
      </c>
      <c r="V1462">
        <f>IF($K1462="","",IF(ISNUMBER(Sync!$AK1462),Sync!$AK1462,LEFT(Sync!$AK1462,4)&amp;MID(Sync!$AK1462,6,2)&amp;RIGHT(Sync!$AK1462,2))&amp;"|"&amp;"4"&amp;RIGHT("00000"&amp;1457,5))</f>
        <v/>
      </c>
      <c r="W1462">
        <f>IF($V1462="",0,COUNTIFS($V$6:$V$2005,"&lt;"&amp;$V1462)-COUNTIFS($V$6:$V$2005,"&lt;"&amp;$V1462,$K$6:$K$2005,"")+1)</f>
        <v/>
      </c>
    </row>
    <row r="1463">
      <c r="A1463">
        <f>IF(Sync!$Z1463="","",LEFT(UPPER(TRIM(Sync!$Z1463)),6))</f>
        <v/>
      </c>
      <c r="B1463">
        <f>IF($A1463="","",IF(Sync!$AA1463="","",Sync!$AA1463))</f>
        <v/>
      </c>
      <c r="C1463">
        <f>IF($A1463="","",IF(Sync!$AB1463="","",Sync!$AB1463))</f>
        <v/>
      </c>
      <c r="D1463">
        <f>IF($A1463="","",IF(Sync!$AC1463="","",Sync!$AC1463))</f>
        <v/>
      </c>
      <c r="E1463">
        <f>IF($A1463="","",IF(Sync!$AD1463="","",Sync!$AD1463))</f>
        <v/>
      </c>
      <c r="F1463">
        <f>IF($A1463="","",IF(Sync!$AE1463="",0,Sync!$AE1463))</f>
        <v/>
      </c>
      <c r="G1463">
        <f>IF($A1463="","",IF(Sync!$AF1463="",0,Sync!$AF1463))</f>
        <v/>
      </c>
      <c r="H1463">
        <f>IF(OR($A1463="",ROUND($F1463+$G1463,2)=0),"",$F1463+$G1463)</f>
        <v/>
      </c>
      <c r="I1463">
        <f>IF($H1463="","",IF(ROUND($F1463,2)&gt;0,$A1463,IF($D1463="شخصی قاسم","شخصی قاسم",IF($D1463="هزینه","هزینه: "&amp;IF($E1463="","متفرقه",$E1463),IF($C1463="پاس چک","چک پرداختی",IF(OR($B1463="",COUNTIF(AcctCodesA,$B1463)=0),"متفرقه",$B1463))))))</f>
        <v/>
      </c>
      <c r="J1463">
        <f>IF($H1463="","",IF(ROUND($F1463,2)&gt;0,IF($D1463="شخصی قاسم","شخصی قاسم",IF($D1463="هزینه","هزینه: "&amp;IF($E1463="","متفرقه",$E1463),IF(OR($B1463="",COUNTIF(AcctCodesA,$B1463)=0),"متفرقه",$B1463))),$A1463))</f>
        <v/>
      </c>
      <c r="K1463">
        <f>IF($A1463="","",IF(AND($B1463&lt;&gt;"",COUNTIF(AcctCodesA,$B1463)=0),"کد طرف در INFO تعریف نشده",IF(AND($D1463="هزینه",$E1463=""),"هزینه بدون زیرگروه",IF(AND($C1463="پاس چک",OR(Sync!$AJ1463="",COUNTIF(IssueNosA,Sync!$AJ1463)=0)),"شماره چک پاس‌شده معتبر نیست",""))))</f>
        <v/>
      </c>
      <c r="V1463">
        <f>IF($K1463="","",IF(ISNUMBER(Sync!$AK1463),Sync!$AK1463,LEFT(Sync!$AK1463,4)&amp;MID(Sync!$AK1463,6,2)&amp;RIGHT(Sync!$AK1463,2))&amp;"|"&amp;"4"&amp;RIGHT("00000"&amp;1458,5))</f>
        <v/>
      </c>
      <c r="W1463">
        <f>IF($V1463="",0,COUNTIFS($V$6:$V$2005,"&lt;"&amp;$V1463)-COUNTIFS($V$6:$V$2005,"&lt;"&amp;$V1463,$K$6:$K$2005,"")+1)</f>
        <v/>
      </c>
    </row>
    <row r="1464">
      <c r="A1464">
        <f>IF(Sync!$Z1464="","",LEFT(UPPER(TRIM(Sync!$Z1464)),6))</f>
        <v/>
      </c>
      <c r="B1464">
        <f>IF($A1464="","",IF(Sync!$AA1464="","",Sync!$AA1464))</f>
        <v/>
      </c>
      <c r="C1464">
        <f>IF($A1464="","",IF(Sync!$AB1464="","",Sync!$AB1464))</f>
        <v/>
      </c>
      <c r="D1464">
        <f>IF($A1464="","",IF(Sync!$AC1464="","",Sync!$AC1464))</f>
        <v/>
      </c>
      <c r="E1464">
        <f>IF($A1464="","",IF(Sync!$AD1464="","",Sync!$AD1464))</f>
        <v/>
      </c>
      <c r="F1464">
        <f>IF($A1464="","",IF(Sync!$AE1464="",0,Sync!$AE1464))</f>
        <v/>
      </c>
      <c r="G1464">
        <f>IF($A1464="","",IF(Sync!$AF1464="",0,Sync!$AF1464))</f>
        <v/>
      </c>
      <c r="H1464">
        <f>IF(OR($A1464="",ROUND($F1464+$G1464,2)=0),"",$F1464+$G1464)</f>
        <v/>
      </c>
      <c r="I1464">
        <f>IF($H1464="","",IF(ROUND($F1464,2)&gt;0,$A1464,IF($D1464="شخصی قاسم","شخصی قاسم",IF($D1464="هزینه","هزینه: "&amp;IF($E1464="","متفرقه",$E1464),IF($C1464="پاس چک","چک پرداختی",IF(OR($B1464="",COUNTIF(AcctCodesA,$B1464)=0),"متفرقه",$B1464))))))</f>
        <v/>
      </c>
      <c r="J1464">
        <f>IF($H1464="","",IF(ROUND($F1464,2)&gt;0,IF($D1464="شخصی قاسم","شخصی قاسم",IF($D1464="هزینه","هزینه: "&amp;IF($E1464="","متفرقه",$E1464),IF(OR($B1464="",COUNTIF(AcctCodesA,$B1464)=0),"متفرقه",$B1464))),$A1464))</f>
        <v/>
      </c>
      <c r="K1464">
        <f>IF($A1464="","",IF(AND($B1464&lt;&gt;"",COUNTIF(AcctCodesA,$B1464)=0),"کد طرف در INFO تعریف نشده",IF(AND($D1464="هزینه",$E1464=""),"هزینه بدون زیرگروه",IF(AND($C1464="پاس چک",OR(Sync!$AJ1464="",COUNTIF(IssueNosA,Sync!$AJ1464)=0)),"شماره چک پاس‌شده معتبر نیست",""))))</f>
        <v/>
      </c>
      <c r="V1464">
        <f>IF($K1464="","",IF(ISNUMBER(Sync!$AK1464),Sync!$AK1464,LEFT(Sync!$AK1464,4)&amp;MID(Sync!$AK1464,6,2)&amp;RIGHT(Sync!$AK1464,2))&amp;"|"&amp;"4"&amp;RIGHT("00000"&amp;1459,5))</f>
        <v/>
      </c>
      <c r="W1464">
        <f>IF($V1464="",0,COUNTIFS($V$6:$V$2005,"&lt;"&amp;$V1464)-COUNTIFS($V$6:$V$2005,"&lt;"&amp;$V1464,$K$6:$K$2005,"")+1)</f>
        <v/>
      </c>
    </row>
    <row r="1465">
      <c r="A1465">
        <f>IF(Sync!$Z1465="","",LEFT(UPPER(TRIM(Sync!$Z1465)),6))</f>
        <v/>
      </c>
      <c r="B1465">
        <f>IF($A1465="","",IF(Sync!$AA1465="","",Sync!$AA1465))</f>
        <v/>
      </c>
      <c r="C1465">
        <f>IF($A1465="","",IF(Sync!$AB1465="","",Sync!$AB1465))</f>
        <v/>
      </c>
      <c r="D1465">
        <f>IF($A1465="","",IF(Sync!$AC1465="","",Sync!$AC1465))</f>
        <v/>
      </c>
      <c r="E1465">
        <f>IF($A1465="","",IF(Sync!$AD1465="","",Sync!$AD1465))</f>
        <v/>
      </c>
      <c r="F1465">
        <f>IF($A1465="","",IF(Sync!$AE1465="",0,Sync!$AE1465))</f>
        <v/>
      </c>
      <c r="G1465">
        <f>IF($A1465="","",IF(Sync!$AF1465="",0,Sync!$AF1465))</f>
        <v/>
      </c>
      <c r="H1465">
        <f>IF(OR($A1465="",ROUND($F1465+$G1465,2)=0),"",$F1465+$G1465)</f>
        <v/>
      </c>
      <c r="I1465">
        <f>IF($H1465="","",IF(ROUND($F1465,2)&gt;0,$A1465,IF($D1465="شخصی قاسم","شخصی قاسم",IF($D1465="هزینه","هزینه: "&amp;IF($E1465="","متفرقه",$E1465),IF($C1465="پاس چک","چک پرداختی",IF(OR($B1465="",COUNTIF(AcctCodesA,$B1465)=0),"متفرقه",$B1465))))))</f>
        <v/>
      </c>
      <c r="J1465">
        <f>IF($H1465="","",IF(ROUND($F1465,2)&gt;0,IF($D1465="شخصی قاسم","شخصی قاسم",IF($D1465="هزینه","هزینه: "&amp;IF($E1465="","متفرقه",$E1465),IF(OR($B1465="",COUNTIF(AcctCodesA,$B1465)=0),"متفرقه",$B1465))),$A1465))</f>
        <v/>
      </c>
      <c r="K1465">
        <f>IF($A1465="","",IF(AND($B1465&lt;&gt;"",COUNTIF(AcctCodesA,$B1465)=0),"کد طرف در INFO تعریف نشده",IF(AND($D1465="هزینه",$E1465=""),"هزینه بدون زیرگروه",IF(AND($C1465="پاس چک",OR(Sync!$AJ1465="",COUNTIF(IssueNosA,Sync!$AJ1465)=0)),"شماره چک پاس‌شده معتبر نیست",""))))</f>
        <v/>
      </c>
      <c r="V1465">
        <f>IF($K1465="","",IF(ISNUMBER(Sync!$AK1465),Sync!$AK1465,LEFT(Sync!$AK1465,4)&amp;MID(Sync!$AK1465,6,2)&amp;RIGHT(Sync!$AK1465,2))&amp;"|"&amp;"4"&amp;RIGHT("00000"&amp;1460,5))</f>
        <v/>
      </c>
      <c r="W1465">
        <f>IF($V1465="",0,COUNTIFS($V$6:$V$2005,"&lt;"&amp;$V1465)-COUNTIFS($V$6:$V$2005,"&lt;"&amp;$V1465,$K$6:$K$2005,"")+1)</f>
        <v/>
      </c>
    </row>
    <row r="1466">
      <c r="A1466">
        <f>IF(Sync!$Z1466="","",LEFT(UPPER(TRIM(Sync!$Z1466)),6))</f>
        <v/>
      </c>
      <c r="B1466">
        <f>IF($A1466="","",IF(Sync!$AA1466="","",Sync!$AA1466))</f>
        <v/>
      </c>
      <c r="C1466">
        <f>IF($A1466="","",IF(Sync!$AB1466="","",Sync!$AB1466))</f>
        <v/>
      </c>
      <c r="D1466">
        <f>IF($A1466="","",IF(Sync!$AC1466="","",Sync!$AC1466))</f>
        <v/>
      </c>
      <c r="E1466">
        <f>IF($A1466="","",IF(Sync!$AD1466="","",Sync!$AD1466))</f>
        <v/>
      </c>
      <c r="F1466">
        <f>IF($A1466="","",IF(Sync!$AE1466="",0,Sync!$AE1466))</f>
        <v/>
      </c>
      <c r="G1466">
        <f>IF($A1466="","",IF(Sync!$AF1466="",0,Sync!$AF1466))</f>
        <v/>
      </c>
      <c r="H1466">
        <f>IF(OR($A1466="",ROUND($F1466+$G1466,2)=0),"",$F1466+$G1466)</f>
        <v/>
      </c>
      <c r="I1466">
        <f>IF($H1466="","",IF(ROUND($F1466,2)&gt;0,$A1466,IF($D1466="شخصی قاسم","شخصی قاسم",IF($D1466="هزینه","هزینه: "&amp;IF($E1466="","متفرقه",$E1466),IF($C1466="پاس چک","چک پرداختی",IF(OR($B1466="",COUNTIF(AcctCodesA,$B1466)=0),"متفرقه",$B1466))))))</f>
        <v/>
      </c>
      <c r="J1466">
        <f>IF($H1466="","",IF(ROUND($F1466,2)&gt;0,IF($D1466="شخصی قاسم","شخصی قاسم",IF($D1466="هزینه","هزینه: "&amp;IF($E1466="","متفرقه",$E1466),IF(OR($B1466="",COUNTIF(AcctCodesA,$B1466)=0),"متفرقه",$B1466))),$A1466))</f>
        <v/>
      </c>
      <c r="K1466">
        <f>IF($A1466="","",IF(AND($B1466&lt;&gt;"",COUNTIF(AcctCodesA,$B1466)=0),"کد طرف در INFO تعریف نشده",IF(AND($D1466="هزینه",$E1466=""),"هزینه بدون زیرگروه",IF(AND($C1466="پاس چک",OR(Sync!$AJ1466="",COUNTIF(IssueNosA,Sync!$AJ1466)=0)),"شماره چک پاس‌شده معتبر نیست",""))))</f>
        <v/>
      </c>
      <c r="V1466">
        <f>IF($K1466="","",IF(ISNUMBER(Sync!$AK1466),Sync!$AK1466,LEFT(Sync!$AK1466,4)&amp;MID(Sync!$AK1466,6,2)&amp;RIGHT(Sync!$AK1466,2))&amp;"|"&amp;"4"&amp;RIGHT("00000"&amp;1461,5))</f>
        <v/>
      </c>
      <c r="W1466">
        <f>IF($V1466="",0,COUNTIFS($V$6:$V$2005,"&lt;"&amp;$V1466)-COUNTIFS($V$6:$V$2005,"&lt;"&amp;$V1466,$K$6:$K$2005,"")+1)</f>
        <v/>
      </c>
    </row>
    <row r="1467">
      <c r="A1467">
        <f>IF(Sync!$Z1467="","",LEFT(UPPER(TRIM(Sync!$Z1467)),6))</f>
        <v/>
      </c>
      <c r="B1467">
        <f>IF($A1467="","",IF(Sync!$AA1467="","",Sync!$AA1467))</f>
        <v/>
      </c>
      <c r="C1467">
        <f>IF($A1467="","",IF(Sync!$AB1467="","",Sync!$AB1467))</f>
        <v/>
      </c>
      <c r="D1467">
        <f>IF($A1467="","",IF(Sync!$AC1467="","",Sync!$AC1467))</f>
        <v/>
      </c>
      <c r="E1467">
        <f>IF($A1467="","",IF(Sync!$AD1467="","",Sync!$AD1467))</f>
        <v/>
      </c>
      <c r="F1467">
        <f>IF($A1467="","",IF(Sync!$AE1467="",0,Sync!$AE1467))</f>
        <v/>
      </c>
      <c r="G1467">
        <f>IF($A1467="","",IF(Sync!$AF1467="",0,Sync!$AF1467))</f>
        <v/>
      </c>
      <c r="H1467">
        <f>IF(OR($A1467="",ROUND($F1467+$G1467,2)=0),"",$F1467+$G1467)</f>
        <v/>
      </c>
      <c r="I1467">
        <f>IF($H1467="","",IF(ROUND($F1467,2)&gt;0,$A1467,IF($D1467="شخصی قاسم","شخصی قاسم",IF($D1467="هزینه","هزینه: "&amp;IF($E1467="","متفرقه",$E1467),IF($C1467="پاس چک","چک پرداختی",IF(OR($B1467="",COUNTIF(AcctCodesA,$B1467)=0),"متفرقه",$B1467))))))</f>
        <v/>
      </c>
      <c r="J1467">
        <f>IF($H1467="","",IF(ROUND($F1467,2)&gt;0,IF($D1467="شخصی قاسم","شخصی قاسم",IF($D1467="هزینه","هزینه: "&amp;IF($E1467="","متفرقه",$E1467),IF(OR($B1467="",COUNTIF(AcctCodesA,$B1467)=0),"متفرقه",$B1467))),$A1467))</f>
        <v/>
      </c>
      <c r="K1467">
        <f>IF($A1467="","",IF(AND($B1467&lt;&gt;"",COUNTIF(AcctCodesA,$B1467)=0),"کد طرف در INFO تعریف نشده",IF(AND($D1467="هزینه",$E1467=""),"هزینه بدون زیرگروه",IF(AND($C1467="پاس چک",OR(Sync!$AJ1467="",COUNTIF(IssueNosA,Sync!$AJ1467)=0)),"شماره چک پاس‌شده معتبر نیست",""))))</f>
        <v/>
      </c>
      <c r="V1467">
        <f>IF($K1467="","",IF(ISNUMBER(Sync!$AK1467),Sync!$AK1467,LEFT(Sync!$AK1467,4)&amp;MID(Sync!$AK1467,6,2)&amp;RIGHT(Sync!$AK1467,2))&amp;"|"&amp;"4"&amp;RIGHT("00000"&amp;1462,5))</f>
        <v/>
      </c>
      <c r="W1467">
        <f>IF($V1467="",0,COUNTIFS($V$6:$V$2005,"&lt;"&amp;$V1467)-COUNTIFS($V$6:$V$2005,"&lt;"&amp;$V1467,$K$6:$K$2005,"")+1)</f>
        <v/>
      </c>
    </row>
    <row r="1468">
      <c r="A1468">
        <f>IF(Sync!$Z1468="","",LEFT(UPPER(TRIM(Sync!$Z1468)),6))</f>
        <v/>
      </c>
      <c r="B1468">
        <f>IF($A1468="","",IF(Sync!$AA1468="","",Sync!$AA1468))</f>
        <v/>
      </c>
      <c r="C1468">
        <f>IF($A1468="","",IF(Sync!$AB1468="","",Sync!$AB1468))</f>
        <v/>
      </c>
      <c r="D1468">
        <f>IF($A1468="","",IF(Sync!$AC1468="","",Sync!$AC1468))</f>
        <v/>
      </c>
      <c r="E1468">
        <f>IF($A1468="","",IF(Sync!$AD1468="","",Sync!$AD1468))</f>
        <v/>
      </c>
      <c r="F1468">
        <f>IF($A1468="","",IF(Sync!$AE1468="",0,Sync!$AE1468))</f>
        <v/>
      </c>
      <c r="G1468">
        <f>IF($A1468="","",IF(Sync!$AF1468="",0,Sync!$AF1468))</f>
        <v/>
      </c>
      <c r="H1468">
        <f>IF(OR($A1468="",ROUND($F1468+$G1468,2)=0),"",$F1468+$G1468)</f>
        <v/>
      </c>
      <c r="I1468">
        <f>IF($H1468="","",IF(ROUND($F1468,2)&gt;0,$A1468,IF($D1468="شخصی قاسم","شخصی قاسم",IF($D1468="هزینه","هزینه: "&amp;IF($E1468="","متفرقه",$E1468),IF($C1468="پاس چک","چک پرداختی",IF(OR($B1468="",COUNTIF(AcctCodesA,$B1468)=0),"متفرقه",$B1468))))))</f>
        <v/>
      </c>
      <c r="J1468">
        <f>IF($H1468="","",IF(ROUND($F1468,2)&gt;0,IF($D1468="شخصی قاسم","شخصی قاسم",IF($D1468="هزینه","هزینه: "&amp;IF($E1468="","متفرقه",$E1468),IF(OR($B1468="",COUNTIF(AcctCodesA,$B1468)=0),"متفرقه",$B1468))),$A1468))</f>
        <v/>
      </c>
      <c r="K1468">
        <f>IF($A1468="","",IF(AND($B1468&lt;&gt;"",COUNTIF(AcctCodesA,$B1468)=0),"کد طرف در INFO تعریف نشده",IF(AND($D1468="هزینه",$E1468=""),"هزینه بدون زیرگروه",IF(AND($C1468="پاس چک",OR(Sync!$AJ1468="",COUNTIF(IssueNosA,Sync!$AJ1468)=0)),"شماره چک پاس‌شده معتبر نیست",""))))</f>
        <v/>
      </c>
      <c r="V1468">
        <f>IF($K1468="","",IF(ISNUMBER(Sync!$AK1468),Sync!$AK1468,LEFT(Sync!$AK1468,4)&amp;MID(Sync!$AK1468,6,2)&amp;RIGHT(Sync!$AK1468,2))&amp;"|"&amp;"4"&amp;RIGHT("00000"&amp;1463,5))</f>
        <v/>
      </c>
      <c r="W1468">
        <f>IF($V1468="",0,COUNTIFS($V$6:$V$2005,"&lt;"&amp;$V1468)-COUNTIFS($V$6:$V$2005,"&lt;"&amp;$V1468,$K$6:$K$2005,"")+1)</f>
        <v/>
      </c>
    </row>
    <row r="1469">
      <c r="A1469">
        <f>IF(Sync!$Z1469="","",LEFT(UPPER(TRIM(Sync!$Z1469)),6))</f>
        <v/>
      </c>
      <c r="B1469">
        <f>IF($A1469="","",IF(Sync!$AA1469="","",Sync!$AA1469))</f>
        <v/>
      </c>
      <c r="C1469">
        <f>IF($A1469="","",IF(Sync!$AB1469="","",Sync!$AB1469))</f>
        <v/>
      </c>
      <c r="D1469">
        <f>IF($A1469="","",IF(Sync!$AC1469="","",Sync!$AC1469))</f>
        <v/>
      </c>
      <c r="E1469">
        <f>IF($A1469="","",IF(Sync!$AD1469="","",Sync!$AD1469))</f>
        <v/>
      </c>
      <c r="F1469">
        <f>IF($A1469="","",IF(Sync!$AE1469="",0,Sync!$AE1469))</f>
        <v/>
      </c>
      <c r="G1469">
        <f>IF($A1469="","",IF(Sync!$AF1469="",0,Sync!$AF1469))</f>
        <v/>
      </c>
      <c r="H1469">
        <f>IF(OR($A1469="",ROUND($F1469+$G1469,2)=0),"",$F1469+$G1469)</f>
        <v/>
      </c>
      <c r="I1469">
        <f>IF($H1469="","",IF(ROUND($F1469,2)&gt;0,$A1469,IF($D1469="شخصی قاسم","شخصی قاسم",IF($D1469="هزینه","هزینه: "&amp;IF($E1469="","متفرقه",$E1469),IF($C1469="پاس چک","چک پرداختی",IF(OR($B1469="",COUNTIF(AcctCodesA,$B1469)=0),"متفرقه",$B1469))))))</f>
        <v/>
      </c>
      <c r="J1469">
        <f>IF($H1469="","",IF(ROUND($F1469,2)&gt;0,IF($D1469="شخصی قاسم","شخصی قاسم",IF($D1469="هزینه","هزینه: "&amp;IF($E1469="","متفرقه",$E1469),IF(OR($B1469="",COUNTIF(AcctCodesA,$B1469)=0),"متفرقه",$B1469))),$A1469))</f>
        <v/>
      </c>
      <c r="K1469">
        <f>IF($A1469="","",IF(AND($B1469&lt;&gt;"",COUNTIF(AcctCodesA,$B1469)=0),"کد طرف در INFO تعریف نشده",IF(AND($D1469="هزینه",$E1469=""),"هزینه بدون زیرگروه",IF(AND($C1469="پاس چک",OR(Sync!$AJ1469="",COUNTIF(IssueNosA,Sync!$AJ1469)=0)),"شماره چک پاس‌شده معتبر نیست",""))))</f>
        <v/>
      </c>
      <c r="V1469">
        <f>IF($K1469="","",IF(ISNUMBER(Sync!$AK1469),Sync!$AK1469,LEFT(Sync!$AK1469,4)&amp;MID(Sync!$AK1469,6,2)&amp;RIGHT(Sync!$AK1469,2))&amp;"|"&amp;"4"&amp;RIGHT("00000"&amp;1464,5))</f>
        <v/>
      </c>
      <c r="W1469">
        <f>IF($V1469="",0,COUNTIFS($V$6:$V$2005,"&lt;"&amp;$V1469)-COUNTIFS($V$6:$V$2005,"&lt;"&amp;$V1469,$K$6:$K$2005,"")+1)</f>
        <v/>
      </c>
    </row>
    <row r="1470">
      <c r="A1470">
        <f>IF(Sync!$Z1470="","",LEFT(UPPER(TRIM(Sync!$Z1470)),6))</f>
        <v/>
      </c>
      <c r="B1470">
        <f>IF($A1470="","",IF(Sync!$AA1470="","",Sync!$AA1470))</f>
        <v/>
      </c>
      <c r="C1470">
        <f>IF($A1470="","",IF(Sync!$AB1470="","",Sync!$AB1470))</f>
        <v/>
      </c>
      <c r="D1470">
        <f>IF($A1470="","",IF(Sync!$AC1470="","",Sync!$AC1470))</f>
        <v/>
      </c>
      <c r="E1470">
        <f>IF($A1470="","",IF(Sync!$AD1470="","",Sync!$AD1470))</f>
        <v/>
      </c>
      <c r="F1470">
        <f>IF($A1470="","",IF(Sync!$AE1470="",0,Sync!$AE1470))</f>
        <v/>
      </c>
      <c r="G1470">
        <f>IF($A1470="","",IF(Sync!$AF1470="",0,Sync!$AF1470))</f>
        <v/>
      </c>
      <c r="H1470">
        <f>IF(OR($A1470="",ROUND($F1470+$G1470,2)=0),"",$F1470+$G1470)</f>
        <v/>
      </c>
      <c r="I1470">
        <f>IF($H1470="","",IF(ROUND($F1470,2)&gt;0,$A1470,IF($D1470="شخصی قاسم","شخصی قاسم",IF($D1470="هزینه","هزینه: "&amp;IF($E1470="","متفرقه",$E1470),IF($C1470="پاس چک","چک پرداختی",IF(OR($B1470="",COUNTIF(AcctCodesA,$B1470)=0),"متفرقه",$B1470))))))</f>
        <v/>
      </c>
      <c r="J1470">
        <f>IF($H1470="","",IF(ROUND($F1470,2)&gt;0,IF($D1470="شخصی قاسم","شخصی قاسم",IF($D1470="هزینه","هزینه: "&amp;IF($E1470="","متفرقه",$E1470),IF(OR($B1470="",COUNTIF(AcctCodesA,$B1470)=0),"متفرقه",$B1470))),$A1470))</f>
        <v/>
      </c>
      <c r="K1470">
        <f>IF($A1470="","",IF(AND($B1470&lt;&gt;"",COUNTIF(AcctCodesA,$B1470)=0),"کد طرف در INFO تعریف نشده",IF(AND($D1470="هزینه",$E1470=""),"هزینه بدون زیرگروه",IF(AND($C1470="پاس چک",OR(Sync!$AJ1470="",COUNTIF(IssueNosA,Sync!$AJ1470)=0)),"شماره چک پاس‌شده معتبر نیست",""))))</f>
        <v/>
      </c>
      <c r="V1470">
        <f>IF($K1470="","",IF(ISNUMBER(Sync!$AK1470),Sync!$AK1470,LEFT(Sync!$AK1470,4)&amp;MID(Sync!$AK1470,6,2)&amp;RIGHT(Sync!$AK1470,2))&amp;"|"&amp;"4"&amp;RIGHT("00000"&amp;1465,5))</f>
        <v/>
      </c>
      <c r="W1470">
        <f>IF($V1470="",0,COUNTIFS($V$6:$V$2005,"&lt;"&amp;$V1470)-COUNTIFS($V$6:$V$2005,"&lt;"&amp;$V1470,$K$6:$K$2005,"")+1)</f>
        <v/>
      </c>
    </row>
    <row r="1471">
      <c r="A1471">
        <f>IF(Sync!$Z1471="","",LEFT(UPPER(TRIM(Sync!$Z1471)),6))</f>
        <v/>
      </c>
      <c r="B1471">
        <f>IF($A1471="","",IF(Sync!$AA1471="","",Sync!$AA1471))</f>
        <v/>
      </c>
      <c r="C1471">
        <f>IF($A1471="","",IF(Sync!$AB1471="","",Sync!$AB1471))</f>
        <v/>
      </c>
      <c r="D1471">
        <f>IF($A1471="","",IF(Sync!$AC1471="","",Sync!$AC1471))</f>
        <v/>
      </c>
      <c r="E1471">
        <f>IF($A1471="","",IF(Sync!$AD1471="","",Sync!$AD1471))</f>
        <v/>
      </c>
      <c r="F1471">
        <f>IF($A1471="","",IF(Sync!$AE1471="",0,Sync!$AE1471))</f>
        <v/>
      </c>
      <c r="G1471">
        <f>IF($A1471="","",IF(Sync!$AF1471="",0,Sync!$AF1471))</f>
        <v/>
      </c>
      <c r="H1471">
        <f>IF(OR($A1471="",ROUND($F1471+$G1471,2)=0),"",$F1471+$G1471)</f>
        <v/>
      </c>
      <c r="I1471">
        <f>IF($H1471="","",IF(ROUND($F1471,2)&gt;0,$A1471,IF($D1471="شخصی قاسم","شخصی قاسم",IF($D1471="هزینه","هزینه: "&amp;IF($E1471="","متفرقه",$E1471),IF($C1471="پاس چک","چک پرداختی",IF(OR($B1471="",COUNTIF(AcctCodesA,$B1471)=0),"متفرقه",$B1471))))))</f>
        <v/>
      </c>
      <c r="J1471">
        <f>IF($H1471="","",IF(ROUND($F1471,2)&gt;0,IF($D1471="شخصی قاسم","شخصی قاسم",IF($D1471="هزینه","هزینه: "&amp;IF($E1471="","متفرقه",$E1471),IF(OR($B1471="",COUNTIF(AcctCodesA,$B1471)=0),"متفرقه",$B1471))),$A1471))</f>
        <v/>
      </c>
      <c r="K1471">
        <f>IF($A1471="","",IF(AND($B1471&lt;&gt;"",COUNTIF(AcctCodesA,$B1471)=0),"کد طرف در INFO تعریف نشده",IF(AND($D1471="هزینه",$E1471=""),"هزینه بدون زیرگروه",IF(AND($C1471="پاس چک",OR(Sync!$AJ1471="",COUNTIF(IssueNosA,Sync!$AJ1471)=0)),"شماره چک پاس‌شده معتبر نیست",""))))</f>
        <v/>
      </c>
      <c r="V1471">
        <f>IF($K1471="","",IF(ISNUMBER(Sync!$AK1471),Sync!$AK1471,LEFT(Sync!$AK1471,4)&amp;MID(Sync!$AK1471,6,2)&amp;RIGHT(Sync!$AK1471,2))&amp;"|"&amp;"4"&amp;RIGHT("00000"&amp;1466,5))</f>
        <v/>
      </c>
      <c r="W1471">
        <f>IF($V1471="",0,COUNTIFS($V$6:$V$2005,"&lt;"&amp;$V1471)-COUNTIFS($V$6:$V$2005,"&lt;"&amp;$V1471,$K$6:$K$2005,"")+1)</f>
        <v/>
      </c>
    </row>
    <row r="1472">
      <c r="A1472">
        <f>IF(Sync!$Z1472="","",LEFT(UPPER(TRIM(Sync!$Z1472)),6))</f>
        <v/>
      </c>
      <c r="B1472">
        <f>IF($A1472="","",IF(Sync!$AA1472="","",Sync!$AA1472))</f>
        <v/>
      </c>
      <c r="C1472">
        <f>IF($A1472="","",IF(Sync!$AB1472="","",Sync!$AB1472))</f>
        <v/>
      </c>
      <c r="D1472">
        <f>IF($A1472="","",IF(Sync!$AC1472="","",Sync!$AC1472))</f>
        <v/>
      </c>
      <c r="E1472">
        <f>IF($A1472="","",IF(Sync!$AD1472="","",Sync!$AD1472))</f>
        <v/>
      </c>
      <c r="F1472">
        <f>IF($A1472="","",IF(Sync!$AE1472="",0,Sync!$AE1472))</f>
        <v/>
      </c>
      <c r="G1472">
        <f>IF($A1472="","",IF(Sync!$AF1472="",0,Sync!$AF1472))</f>
        <v/>
      </c>
      <c r="H1472">
        <f>IF(OR($A1472="",ROUND($F1472+$G1472,2)=0),"",$F1472+$G1472)</f>
        <v/>
      </c>
      <c r="I1472">
        <f>IF($H1472="","",IF(ROUND($F1472,2)&gt;0,$A1472,IF($D1472="شخصی قاسم","شخصی قاسم",IF($D1472="هزینه","هزینه: "&amp;IF($E1472="","متفرقه",$E1472),IF($C1472="پاس چک","چک پرداختی",IF(OR($B1472="",COUNTIF(AcctCodesA,$B1472)=0),"متفرقه",$B1472))))))</f>
        <v/>
      </c>
      <c r="J1472">
        <f>IF($H1472="","",IF(ROUND($F1472,2)&gt;0,IF($D1472="شخصی قاسم","شخصی قاسم",IF($D1472="هزینه","هزینه: "&amp;IF($E1472="","متفرقه",$E1472),IF(OR($B1472="",COUNTIF(AcctCodesA,$B1472)=0),"متفرقه",$B1472))),$A1472))</f>
        <v/>
      </c>
      <c r="K1472">
        <f>IF($A1472="","",IF(AND($B1472&lt;&gt;"",COUNTIF(AcctCodesA,$B1472)=0),"کد طرف در INFO تعریف نشده",IF(AND($D1472="هزینه",$E1472=""),"هزینه بدون زیرگروه",IF(AND($C1472="پاس چک",OR(Sync!$AJ1472="",COUNTIF(IssueNosA,Sync!$AJ1472)=0)),"شماره چک پاس‌شده معتبر نیست",""))))</f>
        <v/>
      </c>
      <c r="V1472">
        <f>IF($K1472="","",IF(ISNUMBER(Sync!$AK1472),Sync!$AK1472,LEFT(Sync!$AK1472,4)&amp;MID(Sync!$AK1472,6,2)&amp;RIGHT(Sync!$AK1472,2))&amp;"|"&amp;"4"&amp;RIGHT("00000"&amp;1467,5))</f>
        <v/>
      </c>
      <c r="W1472">
        <f>IF($V1472="",0,COUNTIFS($V$6:$V$2005,"&lt;"&amp;$V1472)-COUNTIFS($V$6:$V$2005,"&lt;"&amp;$V1472,$K$6:$K$2005,"")+1)</f>
        <v/>
      </c>
    </row>
    <row r="1473">
      <c r="A1473">
        <f>IF(Sync!$Z1473="","",LEFT(UPPER(TRIM(Sync!$Z1473)),6))</f>
        <v/>
      </c>
      <c r="B1473">
        <f>IF($A1473="","",IF(Sync!$AA1473="","",Sync!$AA1473))</f>
        <v/>
      </c>
      <c r="C1473">
        <f>IF($A1473="","",IF(Sync!$AB1473="","",Sync!$AB1473))</f>
        <v/>
      </c>
      <c r="D1473">
        <f>IF($A1473="","",IF(Sync!$AC1473="","",Sync!$AC1473))</f>
        <v/>
      </c>
      <c r="E1473">
        <f>IF($A1473="","",IF(Sync!$AD1473="","",Sync!$AD1473))</f>
        <v/>
      </c>
      <c r="F1473">
        <f>IF($A1473="","",IF(Sync!$AE1473="",0,Sync!$AE1473))</f>
        <v/>
      </c>
      <c r="G1473">
        <f>IF($A1473="","",IF(Sync!$AF1473="",0,Sync!$AF1473))</f>
        <v/>
      </c>
      <c r="H1473">
        <f>IF(OR($A1473="",ROUND($F1473+$G1473,2)=0),"",$F1473+$G1473)</f>
        <v/>
      </c>
      <c r="I1473">
        <f>IF($H1473="","",IF(ROUND($F1473,2)&gt;0,$A1473,IF($D1473="شخصی قاسم","شخصی قاسم",IF($D1473="هزینه","هزینه: "&amp;IF($E1473="","متفرقه",$E1473),IF($C1473="پاس چک","چک پرداختی",IF(OR($B1473="",COUNTIF(AcctCodesA,$B1473)=0),"متفرقه",$B1473))))))</f>
        <v/>
      </c>
      <c r="J1473">
        <f>IF($H1473="","",IF(ROUND($F1473,2)&gt;0,IF($D1473="شخصی قاسم","شخصی قاسم",IF($D1473="هزینه","هزینه: "&amp;IF($E1473="","متفرقه",$E1473),IF(OR($B1473="",COUNTIF(AcctCodesA,$B1473)=0),"متفرقه",$B1473))),$A1473))</f>
        <v/>
      </c>
      <c r="K1473">
        <f>IF($A1473="","",IF(AND($B1473&lt;&gt;"",COUNTIF(AcctCodesA,$B1473)=0),"کد طرف در INFO تعریف نشده",IF(AND($D1473="هزینه",$E1473=""),"هزینه بدون زیرگروه",IF(AND($C1473="پاس چک",OR(Sync!$AJ1473="",COUNTIF(IssueNosA,Sync!$AJ1473)=0)),"شماره چک پاس‌شده معتبر نیست",""))))</f>
        <v/>
      </c>
      <c r="V1473">
        <f>IF($K1473="","",IF(ISNUMBER(Sync!$AK1473),Sync!$AK1473,LEFT(Sync!$AK1473,4)&amp;MID(Sync!$AK1473,6,2)&amp;RIGHT(Sync!$AK1473,2))&amp;"|"&amp;"4"&amp;RIGHT("00000"&amp;1468,5))</f>
        <v/>
      </c>
      <c r="W1473">
        <f>IF($V1473="",0,COUNTIFS($V$6:$V$2005,"&lt;"&amp;$V1473)-COUNTIFS($V$6:$V$2005,"&lt;"&amp;$V1473,$K$6:$K$2005,"")+1)</f>
        <v/>
      </c>
    </row>
    <row r="1474">
      <c r="A1474">
        <f>IF(Sync!$Z1474="","",LEFT(UPPER(TRIM(Sync!$Z1474)),6))</f>
        <v/>
      </c>
      <c r="B1474">
        <f>IF($A1474="","",IF(Sync!$AA1474="","",Sync!$AA1474))</f>
        <v/>
      </c>
      <c r="C1474">
        <f>IF($A1474="","",IF(Sync!$AB1474="","",Sync!$AB1474))</f>
        <v/>
      </c>
      <c r="D1474">
        <f>IF($A1474="","",IF(Sync!$AC1474="","",Sync!$AC1474))</f>
        <v/>
      </c>
      <c r="E1474">
        <f>IF($A1474="","",IF(Sync!$AD1474="","",Sync!$AD1474))</f>
        <v/>
      </c>
      <c r="F1474">
        <f>IF($A1474="","",IF(Sync!$AE1474="",0,Sync!$AE1474))</f>
        <v/>
      </c>
      <c r="G1474">
        <f>IF($A1474="","",IF(Sync!$AF1474="",0,Sync!$AF1474))</f>
        <v/>
      </c>
      <c r="H1474">
        <f>IF(OR($A1474="",ROUND($F1474+$G1474,2)=0),"",$F1474+$G1474)</f>
        <v/>
      </c>
      <c r="I1474">
        <f>IF($H1474="","",IF(ROUND($F1474,2)&gt;0,$A1474,IF($D1474="شخصی قاسم","شخصی قاسم",IF($D1474="هزینه","هزینه: "&amp;IF($E1474="","متفرقه",$E1474),IF($C1474="پاس چک","چک پرداختی",IF(OR($B1474="",COUNTIF(AcctCodesA,$B1474)=0),"متفرقه",$B1474))))))</f>
        <v/>
      </c>
      <c r="J1474">
        <f>IF($H1474="","",IF(ROUND($F1474,2)&gt;0,IF($D1474="شخصی قاسم","شخصی قاسم",IF($D1474="هزینه","هزینه: "&amp;IF($E1474="","متفرقه",$E1474),IF(OR($B1474="",COUNTIF(AcctCodesA,$B1474)=0),"متفرقه",$B1474))),$A1474))</f>
        <v/>
      </c>
      <c r="K1474">
        <f>IF($A1474="","",IF(AND($B1474&lt;&gt;"",COUNTIF(AcctCodesA,$B1474)=0),"کد طرف در INFO تعریف نشده",IF(AND($D1474="هزینه",$E1474=""),"هزینه بدون زیرگروه",IF(AND($C1474="پاس چک",OR(Sync!$AJ1474="",COUNTIF(IssueNosA,Sync!$AJ1474)=0)),"شماره چک پاس‌شده معتبر نیست",""))))</f>
        <v/>
      </c>
      <c r="V1474">
        <f>IF($K1474="","",IF(ISNUMBER(Sync!$AK1474),Sync!$AK1474,LEFT(Sync!$AK1474,4)&amp;MID(Sync!$AK1474,6,2)&amp;RIGHT(Sync!$AK1474,2))&amp;"|"&amp;"4"&amp;RIGHT("00000"&amp;1469,5))</f>
        <v/>
      </c>
      <c r="W1474">
        <f>IF($V1474="",0,COUNTIFS($V$6:$V$2005,"&lt;"&amp;$V1474)-COUNTIFS($V$6:$V$2005,"&lt;"&amp;$V1474,$K$6:$K$2005,"")+1)</f>
        <v/>
      </c>
    </row>
    <row r="1475">
      <c r="A1475">
        <f>IF(Sync!$Z1475="","",LEFT(UPPER(TRIM(Sync!$Z1475)),6))</f>
        <v/>
      </c>
      <c r="B1475">
        <f>IF($A1475="","",IF(Sync!$AA1475="","",Sync!$AA1475))</f>
        <v/>
      </c>
      <c r="C1475">
        <f>IF($A1475="","",IF(Sync!$AB1475="","",Sync!$AB1475))</f>
        <v/>
      </c>
      <c r="D1475">
        <f>IF($A1475="","",IF(Sync!$AC1475="","",Sync!$AC1475))</f>
        <v/>
      </c>
      <c r="E1475">
        <f>IF($A1475="","",IF(Sync!$AD1475="","",Sync!$AD1475))</f>
        <v/>
      </c>
      <c r="F1475">
        <f>IF($A1475="","",IF(Sync!$AE1475="",0,Sync!$AE1475))</f>
        <v/>
      </c>
      <c r="G1475">
        <f>IF($A1475="","",IF(Sync!$AF1475="",0,Sync!$AF1475))</f>
        <v/>
      </c>
      <c r="H1475">
        <f>IF(OR($A1475="",ROUND($F1475+$G1475,2)=0),"",$F1475+$G1475)</f>
        <v/>
      </c>
      <c r="I1475">
        <f>IF($H1475="","",IF(ROUND($F1475,2)&gt;0,$A1475,IF($D1475="شخصی قاسم","شخصی قاسم",IF($D1475="هزینه","هزینه: "&amp;IF($E1475="","متفرقه",$E1475),IF($C1475="پاس چک","چک پرداختی",IF(OR($B1475="",COUNTIF(AcctCodesA,$B1475)=0),"متفرقه",$B1475))))))</f>
        <v/>
      </c>
      <c r="J1475">
        <f>IF($H1475="","",IF(ROUND($F1475,2)&gt;0,IF($D1475="شخصی قاسم","شخصی قاسم",IF($D1475="هزینه","هزینه: "&amp;IF($E1475="","متفرقه",$E1475),IF(OR($B1475="",COUNTIF(AcctCodesA,$B1475)=0),"متفرقه",$B1475))),$A1475))</f>
        <v/>
      </c>
      <c r="K1475">
        <f>IF($A1475="","",IF(AND($B1475&lt;&gt;"",COUNTIF(AcctCodesA,$B1475)=0),"کد طرف در INFO تعریف نشده",IF(AND($D1475="هزینه",$E1475=""),"هزینه بدون زیرگروه",IF(AND($C1475="پاس چک",OR(Sync!$AJ1475="",COUNTIF(IssueNosA,Sync!$AJ1475)=0)),"شماره چک پاس‌شده معتبر نیست",""))))</f>
        <v/>
      </c>
      <c r="V1475">
        <f>IF($K1475="","",IF(ISNUMBER(Sync!$AK1475),Sync!$AK1475,LEFT(Sync!$AK1475,4)&amp;MID(Sync!$AK1475,6,2)&amp;RIGHT(Sync!$AK1475,2))&amp;"|"&amp;"4"&amp;RIGHT("00000"&amp;1470,5))</f>
        <v/>
      </c>
      <c r="W1475">
        <f>IF($V1475="",0,COUNTIFS($V$6:$V$2005,"&lt;"&amp;$V1475)-COUNTIFS($V$6:$V$2005,"&lt;"&amp;$V1475,$K$6:$K$2005,"")+1)</f>
        <v/>
      </c>
    </row>
    <row r="1476">
      <c r="A1476">
        <f>IF(Sync!$Z1476="","",LEFT(UPPER(TRIM(Sync!$Z1476)),6))</f>
        <v/>
      </c>
      <c r="B1476">
        <f>IF($A1476="","",IF(Sync!$AA1476="","",Sync!$AA1476))</f>
        <v/>
      </c>
      <c r="C1476">
        <f>IF($A1476="","",IF(Sync!$AB1476="","",Sync!$AB1476))</f>
        <v/>
      </c>
      <c r="D1476">
        <f>IF($A1476="","",IF(Sync!$AC1476="","",Sync!$AC1476))</f>
        <v/>
      </c>
      <c r="E1476">
        <f>IF($A1476="","",IF(Sync!$AD1476="","",Sync!$AD1476))</f>
        <v/>
      </c>
      <c r="F1476">
        <f>IF($A1476="","",IF(Sync!$AE1476="",0,Sync!$AE1476))</f>
        <v/>
      </c>
      <c r="G1476">
        <f>IF($A1476="","",IF(Sync!$AF1476="",0,Sync!$AF1476))</f>
        <v/>
      </c>
      <c r="H1476">
        <f>IF(OR($A1476="",ROUND($F1476+$G1476,2)=0),"",$F1476+$G1476)</f>
        <v/>
      </c>
      <c r="I1476">
        <f>IF($H1476="","",IF(ROUND($F1476,2)&gt;0,$A1476,IF($D1476="شخصی قاسم","شخصی قاسم",IF($D1476="هزینه","هزینه: "&amp;IF($E1476="","متفرقه",$E1476),IF($C1476="پاس چک","چک پرداختی",IF(OR($B1476="",COUNTIF(AcctCodesA,$B1476)=0),"متفرقه",$B1476))))))</f>
        <v/>
      </c>
      <c r="J1476">
        <f>IF($H1476="","",IF(ROUND($F1476,2)&gt;0,IF($D1476="شخصی قاسم","شخصی قاسم",IF($D1476="هزینه","هزینه: "&amp;IF($E1476="","متفرقه",$E1476),IF(OR($B1476="",COUNTIF(AcctCodesA,$B1476)=0),"متفرقه",$B1476))),$A1476))</f>
        <v/>
      </c>
      <c r="K1476">
        <f>IF($A1476="","",IF(AND($B1476&lt;&gt;"",COUNTIF(AcctCodesA,$B1476)=0),"کد طرف در INFO تعریف نشده",IF(AND($D1476="هزینه",$E1476=""),"هزینه بدون زیرگروه",IF(AND($C1476="پاس چک",OR(Sync!$AJ1476="",COUNTIF(IssueNosA,Sync!$AJ1476)=0)),"شماره چک پاس‌شده معتبر نیست",""))))</f>
        <v/>
      </c>
      <c r="V1476">
        <f>IF($K1476="","",IF(ISNUMBER(Sync!$AK1476),Sync!$AK1476,LEFT(Sync!$AK1476,4)&amp;MID(Sync!$AK1476,6,2)&amp;RIGHT(Sync!$AK1476,2))&amp;"|"&amp;"4"&amp;RIGHT("00000"&amp;1471,5))</f>
        <v/>
      </c>
      <c r="W1476">
        <f>IF($V1476="",0,COUNTIFS($V$6:$V$2005,"&lt;"&amp;$V1476)-COUNTIFS($V$6:$V$2005,"&lt;"&amp;$V1476,$K$6:$K$2005,"")+1)</f>
        <v/>
      </c>
    </row>
    <row r="1477">
      <c r="A1477">
        <f>IF(Sync!$Z1477="","",LEFT(UPPER(TRIM(Sync!$Z1477)),6))</f>
        <v/>
      </c>
      <c r="B1477">
        <f>IF($A1477="","",IF(Sync!$AA1477="","",Sync!$AA1477))</f>
        <v/>
      </c>
      <c r="C1477">
        <f>IF($A1477="","",IF(Sync!$AB1477="","",Sync!$AB1477))</f>
        <v/>
      </c>
      <c r="D1477">
        <f>IF($A1477="","",IF(Sync!$AC1477="","",Sync!$AC1477))</f>
        <v/>
      </c>
      <c r="E1477">
        <f>IF($A1477="","",IF(Sync!$AD1477="","",Sync!$AD1477))</f>
        <v/>
      </c>
      <c r="F1477">
        <f>IF($A1477="","",IF(Sync!$AE1477="",0,Sync!$AE1477))</f>
        <v/>
      </c>
      <c r="G1477">
        <f>IF($A1477="","",IF(Sync!$AF1477="",0,Sync!$AF1477))</f>
        <v/>
      </c>
      <c r="H1477">
        <f>IF(OR($A1477="",ROUND($F1477+$G1477,2)=0),"",$F1477+$G1477)</f>
        <v/>
      </c>
      <c r="I1477">
        <f>IF($H1477="","",IF(ROUND($F1477,2)&gt;0,$A1477,IF($D1477="شخصی قاسم","شخصی قاسم",IF($D1477="هزینه","هزینه: "&amp;IF($E1477="","متفرقه",$E1477),IF($C1477="پاس چک","چک پرداختی",IF(OR($B1477="",COUNTIF(AcctCodesA,$B1477)=0),"متفرقه",$B1477))))))</f>
        <v/>
      </c>
      <c r="J1477">
        <f>IF($H1477="","",IF(ROUND($F1477,2)&gt;0,IF($D1477="شخصی قاسم","شخصی قاسم",IF($D1477="هزینه","هزینه: "&amp;IF($E1477="","متفرقه",$E1477),IF(OR($B1477="",COUNTIF(AcctCodesA,$B1477)=0),"متفرقه",$B1477))),$A1477))</f>
        <v/>
      </c>
      <c r="K1477">
        <f>IF($A1477="","",IF(AND($B1477&lt;&gt;"",COUNTIF(AcctCodesA,$B1477)=0),"کد طرف در INFO تعریف نشده",IF(AND($D1477="هزینه",$E1477=""),"هزینه بدون زیرگروه",IF(AND($C1477="پاس چک",OR(Sync!$AJ1477="",COUNTIF(IssueNosA,Sync!$AJ1477)=0)),"شماره چک پاس‌شده معتبر نیست",""))))</f>
        <v/>
      </c>
      <c r="V1477">
        <f>IF($K1477="","",IF(ISNUMBER(Sync!$AK1477),Sync!$AK1477,LEFT(Sync!$AK1477,4)&amp;MID(Sync!$AK1477,6,2)&amp;RIGHT(Sync!$AK1477,2))&amp;"|"&amp;"4"&amp;RIGHT("00000"&amp;1472,5))</f>
        <v/>
      </c>
      <c r="W1477">
        <f>IF($V1477="",0,COUNTIFS($V$6:$V$2005,"&lt;"&amp;$V1477)-COUNTIFS($V$6:$V$2005,"&lt;"&amp;$V1477,$K$6:$K$2005,"")+1)</f>
        <v/>
      </c>
    </row>
    <row r="1478">
      <c r="A1478">
        <f>IF(Sync!$Z1478="","",LEFT(UPPER(TRIM(Sync!$Z1478)),6))</f>
        <v/>
      </c>
      <c r="B1478">
        <f>IF($A1478="","",IF(Sync!$AA1478="","",Sync!$AA1478))</f>
        <v/>
      </c>
      <c r="C1478">
        <f>IF($A1478="","",IF(Sync!$AB1478="","",Sync!$AB1478))</f>
        <v/>
      </c>
      <c r="D1478">
        <f>IF($A1478="","",IF(Sync!$AC1478="","",Sync!$AC1478))</f>
        <v/>
      </c>
      <c r="E1478">
        <f>IF($A1478="","",IF(Sync!$AD1478="","",Sync!$AD1478))</f>
        <v/>
      </c>
      <c r="F1478">
        <f>IF($A1478="","",IF(Sync!$AE1478="",0,Sync!$AE1478))</f>
        <v/>
      </c>
      <c r="G1478">
        <f>IF($A1478="","",IF(Sync!$AF1478="",0,Sync!$AF1478))</f>
        <v/>
      </c>
      <c r="H1478">
        <f>IF(OR($A1478="",ROUND($F1478+$G1478,2)=0),"",$F1478+$G1478)</f>
        <v/>
      </c>
      <c r="I1478">
        <f>IF($H1478="","",IF(ROUND($F1478,2)&gt;0,$A1478,IF($D1478="شخصی قاسم","شخصی قاسم",IF($D1478="هزینه","هزینه: "&amp;IF($E1478="","متفرقه",$E1478),IF($C1478="پاس چک","چک پرداختی",IF(OR($B1478="",COUNTIF(AcctCodesA,$B1478)=0),"متفرقه",$B1478))))))</f>
        <v/>
      </c>
      <c r="J1478">
        <f>IF($H1478="","",IF(ROUND($F1478,2)&gt;0,IF($D1478="شخصی قاسم","شخصی قاسم",IF($D1478="هزینه","هزینه: "&amp;IF($E1478="","متفرقه",$E1478),IF(OR($B1478="",COUNTIF(AcctCodesA,$B1478)=0),"متفرقه",$B1478))),$A1478))</f>
        <v/>
      </c>
      <c r="K1478">
        <f>IF($A1478="","",IF(AND($B1478&lt;&gt;"",COUNTIF(AcctCodesA,$B1478)=0),"کد طرف در INFO تعریف نشده",IF(AND($D1478="هزینه",$E1478=""),"هزینه بدون زیرگروه",IF(AND($C1478="پاس چک",OR(Sync!$AJ1478="",COUNTIF(IssueNosA,Sync!$AJ1478)=0)),"شماره چک پاس‌شده معتبر نیست",""))))</f>
        <v/>
      </c>
      <c r="V1478">
        <f>IF($K1478="","",IF(ISNUMBER(Sync!$AK1478),Sync!$AK1478,LEFT(Sync!$AK1478,4)&amp;MID(Sync!$AK1478,6,2)&amp;RIGHT(Sync!$AK1478,2))&amp;"|"&amp;"4"&amp;RIGHT("00000"&amp;1473,5))</f>
        <v/>
      </c>
      <c r="W1478">
        <f>IF($V1478="",0,COUNTIFS($V$6:$V$2005,"&lt;"&amp;$V1478)-COUNTIFS($V$6:$V$2005,"&lt;"&amp;$V1478,$K$6:$K$2005,"")+1)</f>
        <v/>
      </c>
    </row>
    <row r="1479">
      <c r="A1479">
        <f>IF(Sync!$Z1479="","",LEFT(UPPER(TRIM(Sync!$Z1479)),6))</f>
        <v/>
      </c>
      <c r="B1479">
        <f>IF($A1479="","",IF(Sync!$AA1479="","",Sync!$AA1479))</f>
        <v/>
      </c>
      <c r="C1479">
        <f>IF($A1479="","",IF(Sync!$AB1479="","",Sync!$AB1479))</f>
        <v/>
      </c>
      <c r="D1479">
        <f>IF($A1479="","",IF(Sync!$AC1479="","",Sync!$AC1479))</f>
        <v/>
      </c>
      <c r="E1479">
        <f>IF($A1479="","",IF(Sync!$AD1479="","",Sync!$AD1479))</f>
        <v/>
      </c>
      <c r="F1479">
        <f>IF($A1479="","",IF(Sync!$AE1479="",0,Sync!$AE1479))</f>
        <v/>
      </c>
      <c r="G1479">
        <f>IF($A1479="","",IF(Sync!$AF1479="",0,Sync!$AF1479))</f>
        <v/>
      </c>
      <c r="H1479">
        <f>IF(OR($A1479="",ROUND($F1479+$G1479,2)=0),"",$F1479+$G1479)</f>
        <v/>
      </c>
      <c r="I1479">
        <f>IF($H1479="","",IF(ROUND($F1479,2)&gt;0,$A1479,IF($D1479="شخصی قاسم","شخصی قاسم",IF($D1479="هزینه","هزینه: "&amp;IF($E1479="","متفرقه",$E1479),IF($C1479="پاس چک","چک پرداختی",IF(OR($B1479="",COUNTIF(AcctCodesA,$B1479)=0),"متفرقه",$B1479))))))</f>
        <v/>
      </c>
      <c r="J1479">
        <f>IF($H1479="","",IF(ROUND($F1479,2)&gt;0,IF($D1479="شخصی قاسم","شخصی قاسم",IF($D1479="هزینه","هزینه: "&amp;IF($E1479="","متفرقه",$E1479),IF(OR($B1479="",COUNTIF(AcctCodesA,$B1479)=0),"متفرقه",$B1479))),$A1479))</f>
        <v/>
      </c>
      <c r="K1479">
        <f>IF($A1479="","",IF(AND($B1479&lt;&gt;"",COUNTIF(AcctCodesA,$B1479)=0),"کد طرف در INFO تعریف نشده",IF(AND($D1479="هزینه",$E1479=""),"هزینه بدون زیرگروه",IF(AND($C1479="پاس چک",OR(Sync!$AJ1479="",COUNTIF(IssueNosA,Sync!$AJ1479)=0)),"شماره چک پاس‌شده معتبر نیست",""))))</f>
        <v/>
      </c>
      <c r="V1479">
        <f>IF($K1479="","",IF(ISNUMBER(Sync!$AK1479),Sync!$AK1479,LEFT(Sync!$AK1479,4)&amp;MID(Sync!$AK1479,6,2)&amp;RIGHT(Sync!$AK1479,2))&amp;"|"&amp;"4"&amp;RIGHT("00000"&amp;1474,5))</f>
        <v/>
      </c>
      <c r="W1479">
        <f>IF($V1479="",0,COUNTIFS($V$6:$V$2005,"&lt;"&amp;$V1479)-COUNTIFS($V$6:$V$2005,"&lt;"&amp;$V1479,$K$6:$K$2005,"")+1)</f>
        <v/>
      </c>
    </row>
    <row r="1480">
      <c r="A1480">
        <f>IF(Sync!$Z1480="","",LEFT(UPPER(TRIM(Sync!$Z1480)),6))</f>
        <v/>
      </c>
      <c r="B1480">
        <f>IF($A1480="","",IF(Sync!$AA1480="","",Sync!$AA1480))</f>
        <v/>
      </c>
      <c r="C1480">
        <f>IF($A1480="","",IF(Sync!$AB1480="","",Sync!$AB1480))</f>
        <v/>
      </c>
      <c r="D1480">
        <f>IF($A1480="","",IF(Sync!$AC1480="","",Sync!$AC1480))</f>
        <v/>
      </c>
      <c r="E1480">
        <f>IF($A1480="","",IF(Sync!$AD1480="","",Sync!$AD1480))</f>
        <v/>
      </c>
      <c r="F1480">
        <f>IF($A1480="","",IF(Sync!$AE1480="",0,Sync!$AE1480))</f>
        <v/>
      </c>
      <c r="G1480">
        <f>IF($A1480="","",IF(Sync!$AF1480="",0,Sync!$AF1480))</f>
        <v/>
      </c>
      <c r="H1480">
        <f>IF(OR($A1480="",ROUND($F1480+$G1480,2)=0),"",$F1480+$G1480)</f>
        <v/>
      </c>
      <c r="I1480">
        <f>IF($H1480="","",IF(ROUND($F1480,2)&gt;0,$A1480,IF($D1480="شخصی قاسم","شخصی قاسم",IF($D1480="هزینه","هزینه: "&amp;IF($E1480="","متفرقه",$E1480),IF($C1480="پاس چک","چک پرداختی",IF(OR($B1480="",COUNTIF(AcctCodesA,$B1480)=0),"متفرقه",$B1480))))))</f>
        <v/>
      </c>
      <c r="J1480">
        <f>IF($H1480="","",IF(ROUND($F1480,2)&gt;0,IF($D1480="شخصی قاسم","شخصی قاسم",IF($D1480="هزینه","هزینه: "&amp;IF($E1480="","متفرقه",$E1480),IF(OR($B1480="",COUNTIF(AcctCodesA,$B1480)=0),"متفرقه",$B1480))),$A1480))</f>
        <v/>
      </c>
      <c r="K1480">
        <f>IF($A1480="","",IF(AND($B1480&lt;&gt;"",COUNTIF(AcctCodesA,$B1480)=0),"کد طرف در INFO تعریف نشده",IF(AND($D1480="هزینه",$E1480=""),"هزینه بدون زیرگروه",IF(AND($C1480="پاس چک",OR(Sync!$AJ1480="",COUNTIF(IssueNosA,Sync!$AJ1480)=0)),"شماره چک پاس‌شده معتبر نیست",""))))</f>
        <v/>
      </c>
      <c r="V1480">
        <f>IF($K1480="","",IF(ISNUMBER(Sync!$AK1480),Sync!$AK1480,LEFT(Sync!$AK1480,4)&amp;MID(Sync!$AK1480,6,2)&amp;RIGHT(Sync!$AK1480,2))&amp;"|"&amp;"4"&amp;RIGHT("00000"&amp;1475,5))</f>
        <v/>
      </c>
      <c r="W1480">
        <f>IF($V1480="",0,COUNTIFS($V$6:$V$2005,"&lt;"&amp;$V1480)-COUNTIFS($V$6:$V$2005,"&lt;"&amp;$V1480,$K$6:$K$2005,"")+1)</f>
        <v/>
      </c>
    </row>
    <row r="1481">
      <c r="A1481">
        <f>IF(Sync!$Z1481="","",LEFT(UPPER(TRIM(Sync!$Z1481)),6))</f>
        <v/>
      </c>
      <c r="B1481">
        <f>IF($A1481="","",IF(Sync!$AA1481="","",Sync!$AA1481))</f>
        <v/>
      </c>
      <c r="C1481">
        <f>IF($A1481="","",IF(Sync!$AB1481="","",Sync!$AB1481))</f>
        <v/>
      </c>
      <c r="D1481">
        <f>IF($A1481="","",IF(Sync!$AC1481="","",Sync!$AC1481))</f>
        <v/>
      </c>
      <c r="E1481">
        <f>IF($A1481="","",IF(Sync!$AD1481="","",Sync!$AD1481))</f>
        <v/>
      </c>
      <c r="F1481">
        <f>IF($A1481="","",IF(Sync!$AE1481="",0,Sync!$AE1481))</f>
        <v/>
      </c>
      <c r="G1481">
        <f>IF($A1481="","",IF(Sync!$AF1481="",0,Sync!$AF1481))</f>
        <v/>
      </c>
      <c r="H1481">
        <f>IF(OR($A1481="",ROUND($F1481+$G1481,2)=0),"",$F1481+$G1481)</f>
        <v/>
      </c>
      <c r="I1481">
        <f>IF($H1481="","",IF(ROUND($F1481,2)&gt;0,$A1481,IF($D1481="شخصی قاسم","شخصی قاسم",IF($D1481="هزینه","هزینه: "&amp;IF($E1481="","متفرقه",$E1481),IF($C1481="پاس چک","چک پرداختی",IF(OR($B1481="",COUNTIF(AcctCodesA,$B1481)=0),"متفرقه",$B1481))))))</f>
        <v/>
      </c>
      <c r="J1481">
        <f>IF($H1481="","",IF(ROUND($F1481,2)&gt;0,IF($D1481="شخصی قاسم","شخصی قاسم",IF($D1481="هزینه","هزینه: "&amp;IF($E1481="","متفرقه",$E1481),IF(OR($B1481="",COUNTIF(AcctCodesA,$B1481)=0),"متفرقه",$B1481))),$A1481))</f>
        <v/>
      </c>
      <c r="K1481">
        <f>IF($A1481="","",IF(AND($B1481&lt;&gt;"",COUNTIF(AcctCodesA,$B1481)=0),"کد طرف در INFO تعریف نشده",IF(AND($D1481="هزینه",$E1481=""),"هزینه بدون زیرگروه",IF(AND($C1481="پاس چک",OR(Sync!$AJ1481="",COUNTIF(IssueNosA,Sync!$AJ1481)=0)),"شماره چک پاس‌شده معتبر نیست",""))))</f>
        <v/>
      </c>
      <c r="V1481">
        <f>IF($K1481="","",IF(ISNUMBER(Sync!$AK1481),Sync!$AK1481,LEFT(Sync!$AK1481,4)&amp;MID(Sync!$AK1481,6,2)&amp;RIGHT(Sync!$AK1481,2))&amp;"|"&amp;"4"&amp;RIGHT("00000"&amp;1476,5))</f>
        <v/>
      </c>
      <c r="W1481">
        <f>IF($V1481="",0,COUNTIFS($V$6:$V$2005,"&lt;"&amp;$V1481)-COUNTIFS($V$6:$V$2005,"&lt;"&amp;$V1481,$K$6:$K$2005,"")+1)</f>
        <v/>
      </c>
    </row>
    <row r="1482">
      <c r="A1482">
        <f>IF(Sync!$Z1482="","",LEFT(UPPER(TRIM(Sync!$Z1482)),6))</f>
        <v/>
      </c>
      <c r="B1482">
        <f>IF($A1482="","",IF(Sync!$AA1482="","",Sync!$AA1482))</f>
        <v/>
      </c>
      <c r="C1482">
        <f>IF($A1482="","",IF(Sync!$AB1482="","",Sync!$AB1482))</f>
        <v/>
      </c>
      <c r="D1482">
        <f>IF($A1482="","",IF(Sync!$AC1482="","",Sync!$AC1482))</f>
        <v/>
      </c>
      <c r="E1482">
        <f>IF($A1482="","",IF(Sync!$AD1482="","",Sync!$AD1482))</f>
        <v/>
      </c>
      <c r="F1482">
        <f>IF($A1482="","",IF(Sync!$AE1482="",0,Sync!$AE1482))</f>
        <v/>
      </c>
      <c r="G1482">
        <f>IF($A1482="","",IF(Sync!$AF1482="",0,Sync!$AF1482))</f>
        <v/>
      </c>
      <c r="H1482">
        <f>IF(OR($A1482="",ROUND($F1482+$G1482,2)=0),"",$F1482+$G1482)</f>
        <v/>
      </c>
      <c r="I1482">
        <f>IF($H1482="","",IF(ROUND($F1482,2)&gt;0,$A1482,IF($D1482="شخصی قاسم","شخصی قاسم",IF($D1482="هزینه","هزینه: "&amp;IF($E1482="","متفرقه",$E1482),IF($C1482="پاس چک","چک پرداختی",IF(OR($B1482="",COUNTIF(AcctCodesA,$B1482)=0),"متفرقه",$B1482))))))</f>
        <v/>
      </c>
      <c r="J1482">
        <f>IF($H1482="","",IF(ROUND($F1482,2)&gt;0,IF($D1482="شخصی قاسم","شخصی قاسم",IF($D1482="هزینه","هزینه: "&amp;IF($E1482="","متفرقه",$E1482),IF(OR($B1482="",COUNTIF(AcctCodesA,$B1482)=0),"متفرقه",$B1482))),$A1482))</f>
        <v/>
      </c>
      <c r="K1482">
        <f>IF($A1482="","",IF(AND($B1482&lt;&gt;"",COUNTIF(AcctCodesA,$B1482)=0),"کد طرف در INFO تعریف نشده",IF(AND($D1482="هزینه",$E1482=""),"هزینه بدون زیرگروه",IF(AND($C1482="پاس چک",OR(Sync!$AJ1482="",COUNTIF(IssueNosA,Sync!$AJ1482)=0)),"شماره چک پاس‌شده معتبر نیست",""))))</f>
        <v/>
      </c>
      <c r="V1482">
        <f>IF($K1482="","",IF(ISNUMBER(Sync!$AK1482),Sync!$AK1482,LEFT(Sync!$AK1482,4)&amp;MID(Sync!$AK1482,6,2)&amp;RIGHT(Sync!$AK1482,2))&amp;"|"&amp;"4"&amp;RIGHT("00000"&amp;1477,5))</f>
        <v/>
      </c>
      <c r="W1482">
        <f>IF($V1482="",0,COUNTIFS($V$6:$V$2005,"&lt;"&amp;$V1482)-COUNTIFS($V$6:$V$2005,"&lt;"&amp;$V1482,$K$6:$K$2005,"")+1)</f>
        <v/>
      </c>
    </row>
    <row r="1483">
      <c r="A1483">
        <f>IF(Sync!$Z1483="","",LEFT(UPPER(TRIM(Sync!$Z1483)),6))</f>
        <v/>
      </c>
      <c r="B1483">
        <f>IF($A1483="","",IF(Sync!$AA1483="","",Sync!$AA1483))</f>
        <v/>
      </c>
      <c r="C1483">
        <f>IF($A1483="","",IF(Sync!$AB1483="","",Sync!$AB1483))</f>
        <v/>
      </c>
      <c r="D1483">
        <f>IF($A1483="","",IF(Sync!$AC1483="","",Sync!$AC1483))</f>
        <v/>
      </c>
      <c r="E1483">
        <f>IF($A1483="","",IF(Sync!$AD1483="","",Sync!$AD1483))</f>
        <v/>
      </c>
      <c r="F1483">
        <f>IF($A1483="","",IF(Sync!$AE1483="",0,Sync!$AE1483))</f>
        <v/>
      </c>
      <c r="G1483">
        <f>IF($A1483="","",IF(Sync!$AF1483="",0,Sync!$AF1483))</f>
        <v/>
      </c>
      <c r="H1483">
        <f>IF(OR($A1483="",ROUND($F1483+$G1483,2)=0),"",$F1483+$G1483)</f>
        <v/>
      </c>
      <c r="I1483">
        <f>IF($H1483="","",IF(ROUND($F1483,2)&gt;0,$A1483,IF($D1483="شخصی قاسم","شخصی قاسم",IF($D1483="هزینه","هزینه: "&amp;IF($E1483="","متفرقه",$E1483),IF($C1483="پاس چک","چک پرداختی",IF(OR($B1483="",COUNTIF(AcctCodesA,$B1483)=0),"متفرقه",$B1483))))))</f>
        <v/>
      </c>
      <c r="J1483">
        <f>IF($H1483="","",IF(ROUND($F1483,2)&gt;0,IF($D1483="شخصی قاسم","شخصی قاسم",IF($D1483="هزینه","هزینه: "&amp;IF($E1483="","متفرقه",$E1483),IF(OR($B1483="",COUNTIF(AcctCodesA,$B1483)=0),"متفرقه",$B1483))),$A1483))</f>
        <v/>
      </c>
      <c r="K1483">
        <f>IF($A1483="","",IF(AND($B1483&lt;&gt;"",COUNTIF(AcctCodesA,$B1483)=0),"کد طرف در INFO تعریف نشده",IF(AND($D1483="هزینه",$E1483=""),"هزینه بدون زیرگروه",IF(AND($C1483="پاس چک",OR(Sync!$AJ1483="",COUNTIF(IssueNosA,Sync!$AJ1483)=0)),"شماره چک پاس‌شده معتبر نیست",""))))</f>
        <v/>
      </c>
      <c r="V1483">
        <f>IF($K1483="","",IF(ISNUMBER(Sync!$AK1483),Sync!$AK1483,LEFT(Sync!$AK1483,4)&amp;MID(Sync!$AK1483,6,2)&amp;RIGHT(Sync!$AK1483,2))&amp;"|"&amp;"4"&amp;RIGHT("00000"&amp;1478,5))</f>
        <v/>
      </c>
      <c r="W1483">
        <f>IF($V1483="",0,COUNTIFS($V$6:$V$2005,"&lt;"&amp;$V1483)-COUNTIFS($V$6:$V$2005,"&lt;"&amp;$V1483,$K$6:$K$2005,"")+1)</f>
        <v/>
      </c>
    </row>
    <row r="1484">
      <c r="A1484">
        <f>IF(Sync!$Z1484="","",LEFT(UPPER(TRIM(Sync!$Z1484)),6))</f>
        <v/>
      </c>
      <c r="B1484">
        <f>IF($A1484="","",IF(Sync!$AA1484="","",Sync!$AA1484))</f>
        <v/>
      </c>
      <c r="C1484">
        <f>IF($A1484="","",IF(Sync!$AB1484="","",Sync!$AB1484))</f>
        <v/>
      </c>
      <c r="D1484">
        <f>IF($A1484="","",IF(Sync!$AC1484="","",Sync!$AC1484))</f>
        <v/>
      </c>
      <c r="E1484">
        <f>IF($A1484="","",IF(Sync!$AD1484="","",Sync!$AD1484))</f>
        <v/>
      </c>
      <c r="F1484">
        <f>IF($A1484="","",IF(Sync!$AE1484="",0,Sync!$AE1484))</f>
        <v/>
      </c>
      <c r="G1484">
        <f>IF($A1484="","",IF(Sync!$AF1484="",0,Sync!$AF1484))</f>
        <v/>
      </c>
      <c r="H1484">
        <f>IF(OR($A1484="",ROUND($F1484+$G1484,2)=0),"",$F1484+$G1484)</f>
        <v/>
      </c>
      <c r="I1484">
        <f>IF($H1484="","",IF(ROUND($F1484,2)&gt;0,$A1484,IF($D1484="شخصی قاسم","شخصی قاسم",IF($D1484="هزینه","هزینه: "&amp;IF($E1484="","متفرقه",$E1484),IF($C1484="پاس چک","چک پرداختی",IF(OR($B1484="",COUNTIF(AcctCodesA,$B1484)=0),"متفرقه",$B1484))))))</f>
        <v/>
      </c>
      <c r="J1484">
        <f>IF($H1484="","",IF(ROUND($F1484,2)&gt;0,IF($D1484="شخصی قاسم","شخصی قاسم",IF($D1484="هزینه","هزینه: "&amp;IF($E1484="","متفرقه",$E1484),IF(OR($B1484="",COUNTIF(AcctCodesA,$B1484)=0),"متفرقه",$B1484))),$A1484))</f>
        <v/>
      </c>
      <c r="K1484">
        <f>IF($A1484="","",IF(AND($B1484&lt;&gt;"",COUNTIF(AcctCodesA,$B1484)=0),"کد طرف در INFO تعریف نشده",IF(AND($D1484="هزینه",$E1484=""),"هزینه بدون زیرگروه",IF(AND($C1484="پاس چک",OR(Sync!$AJ1484="",COUNTIF(IssueNosA,Sync!$AJ1484)=0)),"شماره چک پاس‌شده معتبر نیست",""))))</f>
        <v/>
      </c>
      <c r="V1484">
        <f>IF($K1484="","",IF(ISNUMBER(Sync!$AK1484),Sync!$AK1484,LEFT(Sync!$AK1484,4)&amp;MID(Sync!$AK1484,6,2)&amp;RIGHT(Sync!$AK1484,2))&amp;"|"&amp;"4"&amp;RIGHT("00000"&amp;1479,5))</f>
        <v/>
      </c>
      <c r="W1484">
        <f>IF($V1484="",0,COUNTIFS($V$6:$V$2005,"&lt;"&amp;$V1484)-COUNTIFS($V$6:$V$2005,"&lt;"&amp;$V1484,$K$6:$K$2005,"")+1)</f>
        <v/>
      </c>
    </row>
    <row r="1485">
      <c r="A1485">
        <f>IF(Sync!$Z1485="","",LEFT(UPPER(TRIM(Sync!$Z1485)),6))</f>
        <v/>
      </c>
      <c r="B1485">
        <f>IF($A1485="","",IF(Sync!$AA1485="","",Sync!$AA1485))</f>
        <v/>
      </c>
      <c r="C1485">
        <f>IF($A1485="","",IF(Sync!$AB1485="","",Sync!$AB1485))</f>
        <v/>
      </c>
      <c r="D1485">
        <f>IF($A1485="","",IF(Sync!$AC1485="","",Sync!$AC1485))</f>
        <v/>
      </c>
      <c r="E1485">
        <f>IF($A1485="","",IF(Sync!$AD1485="","",Sync!$AD1485))</f>
        <v/>
      </c>
      <c r="F1485">
        <f>IF($A1485="","",IF(Sync!$AE1485="",0,Sync!$AE1485))</f>
        <v/>
      </c>
      <c r="G1485">
        <f>IF($A1485="","",IF(Sync!$AF1485="",0,Sync!$AF1485))</f>
        <v/>
      </c>
      <c r="H1485">
        <f>IF(OR($A1485="",ROUND($F1485+$G1485,2)=0),"",$F1485+$G1485)</f>
        <v/>
      </c>
      <c r="I1485">
        <f>IF($H1485="","",IF(ROUND($F1485,2)&gt;0,$A1485,IF($D1485="شخصی قاسم","شخصی قاسم",IF($D1485="هزینه","هزینه: "&amp;IF($E1485="","متفرقه",$E1485),IF($C1485="پاس چک","چک پرداختی",IF(OR($B1485="",COUNTIF(AcctCodesA,$B1485)=0),"متفرقه",$B1485))))))</f>
        <v/>
      </c>
      <c r="J1485">
        <f>IF($H1485="","",IF(ROUND($F1485,2)&gt;0,IF($D1485="شخصی قاسم","شخصی قاسم",IF($D1485="هزینه","هزینه: "&amp;IF($E1485="","متفرقه",$E1485),IF(OR($B1485="",COUNTIF(AcctCodesA,$B1485)=0),"متفرقه",$B1485))),$A1485))</f>
        <v/>
      </c>
      <c r="K1485">
        <f>IF($A1485="","",IF(AND($B1485&lt;&gt;"",COUNTIF(AcctCodesA,$B1485)=0),"کد طرف در INFO تعریف نشده",IF(AND($D1485="هزینه",$E1485=""),"هزینه بدون زیرگروه",IF(AND($C1485="پاس چک",OR(Sync!$AJ1485="",COUNTIF(IssueNosA,Sync!$AJ1485)=0)),"شماره چک پاس‌شده معتبر نیست",""))))</f>
        <v/>
      </c>
      <c r="V1485">
        <f>IF($K1485="","",IF(ISNUMBER(Sync!$AK1485),Sync!$AK1485,LEFT(Sync!$AK1485,4)&amp;MID(Sync!$AK1485,6,2)&amp;RIGHT(Sync!$AK1485,2))&amp;"|"&amp;"4"&amp;RIGHT("00000"&amp;1480,5))</f>
        <v/>
      </c>
      <c r="W1485">
        <f>IF($V1485="",0,COUNTIFS($V$6:$V$2005,"&lt;"&amp;$V1485)-COUNTIFS($V$6:$V$2005,"&lt;"&amp;$V1485,$K$6:$K$2005,"")+1)</f>
        <v/>
      </c>
    </row>
    <row r="1486">
      <c r="A1486">
        <f>IF(Sync!$Z1486="","",LEFT(UPPER(TRIM(Sync!$Z1486)),6))</f>
        <v/>
      </c>
      <c r="B1486">
        <f>IF($A1486="","",IF(Sync!$AA1486="","",Sync!$AA1486))</f>
        <v/>
      </c>
      <c r="C1486">
        <f>IF($A1486="","",IF(Sync!$AB1486="","",Sync!$AB1486))</f>
        <v/>
      </c>
      <c r="D1486">
        <f>IF($A1486="","",IF(Sync!$AC1486="","",Sync!$AC1486))</f>
        <v/>
      </c>
      <c r="E1486">
        <f>IF($A1486="","",IF(Sync!$AD1486="","",Sync!$AD1486))</f>
        <v/>
      </c>
      <c r="F1486">
        <f>IF($A1486="","",IF(Sync!$AE1486="",0,Sync!$AE1486))</f>
        <v/>
      </c>
      <c r="G1486">
        <f>IF($A1486="","",IF(Sync!$AF1486="",0,Sync!$AF1486))</f>
        <v/>
      </c>
      <c r="H1486">
        <f>IF(OR($A1486="",ROUND($F1486+$G1486,2)=0),"",$F1486+$G1486)</f>
        <v/>
      </c>
      <c r="I1486">
        <f>IF($H1486="","",IF(ROUND($F1486,2)&gt;0,$A1486,IF($D1486="شخصی قاسم","شخصی قاسم",IF($D1486="هزینه","هزینه: "&amp;IF($E1486="","متفرقه",$E1486),IF($C1486="پاس چک","چک پرداختی",IF(OR($B1486="",COUNTIF(AcctCodesA,$B1486)=0),"متفرقه",$B1486))))))</f>
        <v/>
      </c>
      <c r="J1486">
        <f>IF($H1486="","",IF(ROUND($F1486,2)&gt;0,IF($D1486="شخصی قاسم","شخصی قاسم",IF($D1486="هزینه","هزینه: "&amp;IF($E1486="","متفرقه",$E1486),IF(OR($B1486="",COUNTIF(AcctCodesA,$B1486)=0),"متفرقه",$B1486))),$A1486))</f>
        <v/>
      </c>
      <c r="K1486">
        <f>IF($A1486="","",IF(AND($B1486&lt;&gt;"",COUNTIF(AcctCodesA,$B1486)=0),"کد طرف در INFO تعریف نشده",IF(AND($D1486="هزینه",$E1486=""),"هزینه بدون زیرگروه",IF(AND($C1486="پاس چک",OR(Sync!$AJ1486="",COUNTIF(IssueNosA,Sync!$AJ1486)=0)),"شماره چک پاس‌شده معتبر نیست",""))))</f>
        <v/>
      </c>
      <c r="V1486">
        <f>IF($K1486="","",IF(ISNUMBER(Sync!$AK1486),Sync!$AK1486,LEFT(Sync!$AK1486,4)&amp;MID(Sync!$AK1486,6,2)&amp;RIGHT(Sync!$AK1486,2))&amp;"|"&amp;"4"&amp;RIGHT("00000"&amp;1481,5))</f>
        <v/>
      </c>
      <c r="W1486">
        <f>IF($V1486="",0,COUNTIFS($V$6:$V$2005,"&lt;"&amp;$V1486)-COUNTIFS($V$6:$V$2005,"&lt;"&amp;$V1486,$K$6:$K$2005,"")+1)</f>
        <v/>
      </c>
    </row>
    <row r="1487">
      <c r="A1487">
        <f>IF(Sync!$Z1487="","",LEFT(UPPER(TRIM(Sync!$Z1487)),6))</f>
        <v/>
      </c>
      <c r="B1487">
        <f>IF($A1487="","",IF(Sync!$AA1487="","",Sync!$AA1487))</f>
        <v/>
      </c>
      <c r="C1487">
        <f>IF($A1487="","",IF(Sync!$AB1487="","",Sync!$AB1487))</f>
        <v/>
      </c>
      <c r="D1487">
        <f>IF($A1487="","",IF(Sync!$AC1487="","",Sync!$AC1487))</f>
        <v/>
      </c>
      <c r="E1487">
        <f>IF($A1487="","",IF(Sync!$AD1487="","",Sync!$AD1487))</f>
        <v/>
      </c>
      <c r="F1487">
        <f>IF($A1487="","",IF(Sync!$AE1487="",0,Sync!$AE1487))</f>
        <v/>
      </c>
      <c r="G1487">
        <f>IF($A1487="","",IF(Sync!$AF1487="",0,Sync!$AF1487))</f>
        <v/>
      </c>
      <c r="H1487">
        <f>IF(OR($A1487="",ROUND($F1487+$G1487,2)=0),"",$F1487+$G1487)</f>
        <v/>
      </c>
      <c r="I1487">
        <f>IF($H1487="","",IF(ROUND($F1487,2)&gt;0,$A1487,IF($D1487="شخصی قاسم","شخصی قاسم",IF($D1487="هزینه","هزینه: "&amp;IF($E1487="","متفرقه",$E1487),IF($C1487="پاس چک","چک پرداختی",IF(OR($B1487="",COUNTIF(AcctCodesA,$B1487)=0),"متفرقه",$B1487))))))</f>
        <v/>
      </c>
      <c r="J1487">
        <f>IF($H1487="","",IF(ROUND($F1487,2)&gt;0,IF($D1487="شخصی قاسم","شخصی قاسم",IF($D1487="هزینه","هزینه: "&amp;IF($E1487="","متفرقه",$E1487),IF(OR($B1487="",COUNTIF(AcctCodesA,$B1487)=0),"متفرقه",$B1487))),$A1487))</f>
        <v/>
      </c>
      <c r="K1487">
        <f>IF($A1487="","",IF(AND($B1487&lt;&gt;"",COUNTIF(AcctCodesA,$B1487)=0),"کد طرف در INFO تعریف نشده",IF(AND($D1487="هزینه",$E1487=""),"هزینه بدون زیرگروه",IF(AND($C1487="پاس چک",OR(Sync!$AJ1487="",COUNTIF(IssueNosA,Sync!$AJ1487)=0)),"شماره چک پاس‌شده معتبر نیست",""))))</f>
        <v/>
      </c>
      <c r="V1487">
        <f>IF($K1487="","",IF(ISNUMBER(Sync!$AK1487),Sync!$AK1487,LEFT(Sync!$AK1487,4)&amp;MID(Sync!$AK1487,6,2)&amp;RIGHT(Sync!$AK1487,2))&amp;"|"&amp;"4"&amp;RIGHT("00000"&amp;1482,5))</f>
        <v/>
      </c>
      <c r="W1487">
        <f>IF($V1487="",0,COUNTIFS($V$6:$V$2005,"&lt;"&amp;$V1487)-COUNTIFS($V$6:$V$2005,"&lt;"&amp;$V1487,$K$6:$K$2005,"")+1)</f>
        <v/>
      </c>
    </row>
    <row r="1488">
      <c r="A1488">
        <f>IF(Sync!$Z1488="","",LEFT(UPPER(TRIM(Sync!$Z1488)),6))</f>
        <v/>
      </c>
      <c r="B1488">
        <f>IF($A1488="","",IF(Sync!$AA1488="","",Sync!$AA1488))</f>
        <v/>
      </c>
      <c r="C1488">
        <f>IF($A1488="","",IF(Sync!$AB1488="","",Sync!$AB1488))</f>
        <v/>
      </c>
      <c r="D1488">
        <f>IF($A1488="","",IF(Sync!$AC1488="","",Sync!$AC1488))</f>
        <v/>
      </c>
      <c r="E1488">
        <f>IF($A1488="","",IF(Sync!$AD1488="","",Sync!$AD1488))</f>
        <v/>
      </c>
      <c r="F1488">
        <f>IF($A1488="","",IF(Sync!$AE1488="",0,Sync!$AE1488))</f>
        <v/>
      </c>
      <c r="G1488">
        <f>IF($A1488="","",IF(Sync!$AF1488="",0,Sync!$AF1488))</f>
        <v/>
      </c>
      <c r="H1488">
        <f>IF(OR($A1488="",ROUND($F1488+$G1488,2)=0),"",$F1488+$G1488)</f>
        <v/>
      </c>
      <c r="I1488">
        <f>IF($H1488="","",IF(ROUND($F1488,2)&gt;0,$A1488,IF($D1488="شخصی قاسم","شخصی قاسم",IF($D1488="هزینه","هزینه: "&amp;IF($E1488="","متفرقه",$E1488),IF($C1488="پاس چک","چک پرداختی",IF(OR($B1488="",COUNTIF(AcctCodesA,$B1488)=0),"متفرقه",$B1488))))))</f>
        <v/>
      </c>
      <c r="J1488">
        <f>IF($H1488="","",IF(ROUND($F1488,2)&gt;0,IF($D1488="شخصی قاسم","شخصی قاسم",IF($D1488="هزینه","هزینه: "&amp;IF($E1488="","متفرقه",$E1488),IF(OR($B1488="",COUNTIF(AcctCodesA,$B1488)=0),"متفرقه",$B1488))),$A1488))</f>
        <v/>
      </c>
      <c r="K1488">
        <f>IF($A1488="","",IF(AND($B1488&lt;&gt;"",COUNTIF(AcctCodesA,$B1488)=0),"کد طرف در INFO تعریف نشده",IF(AND($D1488="هزینه",$E1488=""),"هزینه بدون زیرگروه",IF(AND($C1488="پاس چک",OR(Sync!$AJ1488="",COUNTIF(IssueNosA,Sync!$AJ1488)=0)),"شماره چک پاس‌شده معتبر نیست",""))))</f>
        <v/>
      </c>
      <c r="V1488">
        <f>IF($K1488="","",IF(ISNUMBER(Sync!$AK1488),Sync!$AK1488,LEFT(Sync!$AK1488,4)&amp;MID(Sync!$AK1488,6,2)&amp;RIGHT(Sync!$AK1488,2))&amp;"|"&amp;"4"&amp;RIGHT("00000"&amp;1483,5))</f>
        <v/>
      </c>
      <c r="W1488">
        <f>IF($V1488="",0,COUNTIFS($V$6:$V$2005,"&lt;"&amp;$V1488)-COUNTIFS($V$6:$V$2005,"&lt;"&amp;$V1488,$K$6:$K$2005,"")+1)</f>
        <v/>
      </c>
    </row>
    <row r="1489">
      <c r="A1489">
        <f>IF(Sync!$Z1489="","",LEFT(UPPER(TRIM(Sync!$Z1489)),6))</f>
        <v/>
      </c>
      <c r="B1489">
        <f>IF($A1489="","",IF(Sync!$AA1489="","",Sync!$AA1489))</f>
        <v/>
      </c>
      <c r="C1489">
        <f>IF($A1489="","",IF(Sync!$AB1489="","",Sync!$AB1489))</f>
        <v/>
      </c>
      <c r="D1489">
        <f>IF($A1489="","",IF(Sync!$AC1489="","",Sync!$AC1489))</f>
        <v/>
      </c>
      <c r="E1489">
        <f>IF($A1489="","",IF(Sync!$AD1489="","",Sync!$AD1489))</f>
        <v/>
      </c>
      <c r="F1489">
        <f>IF($A1489="","",IF(Sync!$AE1489="",0,Sync!$AE1489))</f>
        <v/>
      </c>
      <c r="G1489">
        <f>IF($A1489="","",IF(Sync!$AF1489="",0,Sync!$AF1489))</f>
        <v/>
      </c>
      <c r="H1489">
        <f>IF(OR($A1489="",ROUND($F1489+$G1489,2)=0),"",$F1489+$G1489)</f>
        <v/>
      </c>
      <c r="I1489">
        <f>IF($H1489="","",IF(ROUND($F1489,2)&gt;0,$A1489,IF($D1489="شخصی قاسم","شخصی قاسم",IF($D1489="هزینه","هزینه: "&amp;IF($E1489="","متفرقه",$E1489),IF($C1489="پاس چک","چک پرداختی",IF(OR($B1489="",COUNTIF(AcctCodesA,$B1489)=0),"متفرقه",$B1489))))))</f>
        <v/>
      </c>
      <c r="J1489">
        <f>IF($H1489="","",IF(ROUND($F1489,2)&gt;0,IF($D1489="شخصی قاسم","شخصی قاسم",IF($D1489="هزینه","هزینه: "&amp;IF($E1489="","متفرقه",$E1489),IF(OR($B1489="",COUNTIF(AcctCodesA,$B1489)=0),"متفرقه",$B1489))),$A1489))</f>
        <v/>
      </c>
      <c r="K1489">
        <f>IF($A1489="","",IF(AND($B1489&lt;&gt;"",COUNTIF(AcctCodesA,$B1489)=0),"کد طرف در INFO تعریف نشده",IF(AND($D1489="هزینه",$E1489=""),"هزینه بدون زیرگروه",IF(AND($C1489="پاس چک",OR(Sync!$AJ1489="",COUNTIF(IssueNosA,Sync!$AJ1489)=0)),"شماره چک پاس‌شده معتبر نیست",""))))</f>
        <v/>
      </c>
      <c r="V1489">
        <f>IF($K1489="","",IF(ISNUMBER(Sync!$AK1489),Sync!$AK1489,LEFT(Sync!$AK1489,4)&amp;MID(Sync!$AK1489,6,2)&amp;RIGHT(Sync!$AK1489,2))&amp;"|"&amp;"4"&amp;RIGHT("00000"&amp;1484,5))</f>
        <v/>
      </c>
      <c r="W1489">
        <f>IF($V1489="",0,COUNTIFS($V$6:$V$2005,"&lt;"&amp;$V1489)-COUNTIFS($V$6:$V$2005,"&lt;"&amp;$V1489,$K$6:$K$2005,"")+1)</f>
        <v/>
      </c>
    </row>
    <row r="1490">
      <c r="A1490">
        <f>IF(Sync!$Z1490="","",LEFT(UPPER(TRIM(Sync!$Z1490)),6))</f>
        <v/>
      </c>
      <c r="B1490">
        <f>IF($A1490="","",IF(Sync!$AA1490="","",Sync!$AA1490))</f>
        <v/>
      </c>
      <c r="C1490">
        <f>IF($A1490="","",IF(Sync!$AB1490="","",Sync!$AB1490))</f>
        <v/>
      </c>
      <c r="D1490">
        <f>IF($A1490="","",IF(Sync!$AC1490="","",Sync!$AC1490))</f>
        <v/>
      </c>
      <c r="E1490">
        <f>IF($A1490="","",IF(Sync!$AD1490="","",Sync!$AD1490))</f>
        <v/>
      </c>
      <c r="F1490">
        <f>IF($A1490="","",IF(Sync!$AE1490="",0,Sync!$AE1490))</f>
        <v/>
      </c>
      <c r="G1490">
        <f>IF($A1490="","",IF(Sync!$AF1490="",0,Sync!$AF1490))</f>
        <v/>
      </c>
      <c r="H1490">
        <f>IF(OR($A1490="",ROUND($F1490+$G1490,2)=0),"",$F1490+$G1490)</f>
        <v/>
      </c>
      <c r="I1490">
        <f>IF($H1490="","",IF(ROUND($F1490,2)&gt;0,$A1490,IF($D1490="شخصی قاسم","شخصی قاسم",IF($D1490="هزینه","هزینه: "&amp;IF($E1490="","متفرقه",$E1490),IF($C1490="پاس چک","چک پرداختی",IF(OR($B1490="",COUNTIF(AcctCodesA,$B1490)=0),"متفرقه",$B1490))))))</f>
        <v/>
      </c>
      <c r="J1490">
        <f>IF($H1490="","",IF(ROUND($F1490,2)&gt;0,IF($D1490="شخصی قاسم","شخصی قاسم",IF($D1490="هزینه","هزینه: "&amp;IF($E1490="","متفرقه",$E1490),IF(OR($B1490="",COUNTIF(AcctCodesA,$B1490)=0),"متفرقه",$B1490))),$A1490))</f>
        <v/>
      </c>
      <c r="K1490">
        <f>IF($A1490="","",IF(AND($B1490&lt;&gt;"",COUNTIF(AcctCodesA,$B1490)=0),"کد طرف در INFO تعریف نشده",IF(AND($D1490="هزینه",$E1490=""),"هزینه بدون زیرگروه",IF(AND($C1490="پاس چک",OR(Sync!$AJ1490="",COUNTIF(IssueNosA,Sync!$AJ1490)=0)),"شماره چک پاس‌شده معتبر نیست",""))))</f>
        <v/>
      </c>
      <c r="V1490">
        <f>IF($K1490="","",IF(ISNUMBER(Sync!$AK1490),Sync!$AK1490,LEFT(Sync!$AK1490,4)&amp;MID(Sync!$AK1490,6,2)&amp;RIGHT(Sync!$AK1490,2))&amp;"|"&amp;"4"&amp;RIGHT("00000"&amp;1485,5))</f>
        <v/>
      </c>
      <c r="W1490">
        <f>IF($V1490="",0,COUNTIFS($V$6:$V$2005,"&lt;"&amp;$V1490)-COUNTIFS($V$6:$V$2005,"&lt;"&amp;$V1490,$K$6:$K$2005,"")+1)</f>
        <v/>
      </c>
    </row>
    <row r="1491">
      <c r="A1491">
        <f>IF(Sync!$Z1491="","",LEFT(UPPER(TRIM(Sync!$Z1491)),6))</f>
        <v/>
      </c>
      <c r="B1491">
        <f>IF($A1491="","",IF(Sync!$AA1491="","",Sync!$AA1491))</f>
        <v/>
      </c>
      <c r="C1491">
        <f>IF($A1491="","",IF(Sync!$AB1491="","",Sync!$AB1491))</f>
        <v/>
      </c>
      <c r="D1491">
        <f>IF($A1491="","",IF(Sync!$AC1491="","",Sync!$AC1491))</f>
        <v/>
      </c>
      <c r="E1491">
        <f>IF($A1491="","",IF(Sync!$AD1491="","",Sync!$AD1491))</f>
        <v/>
      </c>
      <c r="F1491">
        <f>IF($A1491="","",IF(Sync!$AE1491="",0,Sync!$AE1491))</f>
        <v/>
      </c>
      <c r="G1491">
        <f>IF($A1491="","",IF(Sync!$AF1491="",0,Sync!$AF1491))</f>
        <v/>
      </c>
      <c r="H1491">
        <f>IF(OR($A1491="",ROUND($F1491+$G1491,2)=0),"",$F1491+$G1491)</f>
        <v/>
      </c>
      <c r="I1491">
        <f>IF($H1491="","",IF(ROUND($F1491,2)&gt;0,$A1491,IF($D1491="شخصی قاسم","شخصی قاسم",IF($D1491="هزینه","هزینه: "&amp;IF($E1491="","متفرقه",$E1491),IF($C1491="پاس چک","چک پرداختی",IF(OR($B1491="",COUNTIF(AcctCodesA,$B1491)=0),"متفرقه",$B1491))))))</f>
        <v/>
      </c>
      <c r="J1491">
        <f>IF($H1491="","",IF(ROUND($F1491,2)&gt;0,IF($D1491="شخصی قاسم","شخصی قاسم",IF($D1491="هزینه","هزینه: "&amp;IF($E1491="","متفرقه",$E1491),IF(OR($B1491="",COUNTIF(AcctCodesA,$B1491)=0),"متفرقه",$B1491))),$A1491))</f>
        <v/>
      </c>
      <c r="K1491">
        <f>IF($A1491="","",IF(AND($B1491&lt;&gt;"",COUNTIF(AcctCodesA,$B1491)=0),"کد طرف در INFO تعریف نشده",IF(AND($D1491="هزینه",$E1491=""),"هزینه بدون زیرگروه",IF(AND($C1491="پاس چک",OR(Sync!$AJ1491="",COUNTIF(IssueNosA,Sync!$AJ1491)=0)),"شماره چک پاس‌شده معتبر نیست",""))))</f>
        <v/>
      </c>
      <c r="V1491">
        <f>IF($K1491="","",IF(ISNUMBER(Sync!$AK1491),Sync!$AK1491,LEFT(Sync!$AK1491,4)&amp;MID(Sync!$AK1491,6,2)&amp;RIGHT(Sync!$AK1491,2))&amp;"|"&amp;"4"&amp;RIGHT("00000"&amp;1486,5))</f>
        <v/>
      </c>
      <c r="W1491">
        <f>IF($V1491="",0,COUNTIFS($V$6:$V$2005,"&lt;"&amp;$V1491)-COUNTIFS($V$6:$V$2005,"&lt;"&amp;$V1491,$K$6:$K$2005,"")+1)</f>
        <v/>
      </c>
    </row>
    <row r="1492">
      <c r="A1492">
        <f>IF(Sync!$Z1492="","",LEFT(UPPER(TRIM(Sync!$Z1492)),6))</f>
        <v/>
      </c>
      <c r="B1492">
        <f>IF($A1492="","",IF(Sync!$AA1492="","",Sync!$AA1492))</f>
        <v/>
      </c>
      <c r="C1492">
        <f>IF($A1492="","",IF(Sync!$AB1492="","",Sync!$AB1492))</f>
        <v/>
      </c>
      <c r="D1492">
        <f>IF($A1492="","",IF(Sync!$AC1492="","",Sync!$AC1492))</f>
        <v/>
      </c>
      <c r="E1492">
        <f>IF($A1492="","",IF(Sync!$AD1492="","",Sync!$AD1492))</f>
        <v/>
      </c>
      <c r="F1492">
        <f>IF($A1492="","",IF(Sync!$AE1492="",0,Sync!$AE1492))</f>
        <v/>
      </c>
      <c r="G1492">
        <f>IF($A1492="","",IF(Sync!$AF1492="",0,Sync!$AF1492))</f>
        <v/>
      </c>
      <c r="H1492">
        <f>IF(OR($A1492="",ROUND($F1492+$G1492,2)=0),"",$F1492+$G1492)</f>
        <v/>
      </c>
      <c r="I1492">
        <f>IF($H1492="","",IF(ROUND($F1492,2)&gt;0,$A1492,IF($D1492="شخصی قاسم","شخصی قاسم",IF($D1492="هزینه","هزینه: "&amp;IF($E1492="","متفرقه",$E1492),IF($C1492="پاس چک","چک پرداختی",IF(OR($B1492="",COUNTIF(AcctCodesA,$B1492)=0),"متفرقه",$B1492))))))</f>
        <v/>
      </c>
      <c r="J1492">
        <f>IF($H1492="","",IF(ROUND($F1492,2)&gt;0,IF($D1492="شخصی قاسم","شخصی قاسم",IF($D1492="هزینه","هزینه: "&amp;IF($E1492="","متفرقه",$E1492),IF(OR($B1492="",COUNTIF(AcctCodesA,$B1492)=0),"متفرقه",$B1492))),$A1492))</f>
        <v/>
      </c>
      <c r="K1492">
        <f>IF($A1492="","",IF(AND($B1492&lt;&gt;"",COUNTIF(AcctCodesA,$B1492)=0),"کد طرف در INFO تعریف نشده",IF(AND($D1492="هزینه",$E1492=""),"هزینه بدون زیرگروه",IF(AND($C1492="پاس چک",OR(Sync!$AJ1492="",COUNTIF(IssueNosA,Sync!$AJ1492)=0)),"شماره چک پاس‌شده معتبر نیست",""))))</f>
        <v/>
      </c>
      <c r="V1492">
        <f>IF($K1492="","",IF(ISNUMBER(Sync!$AK1492),Sync!$AK1492,LEFT(Sync!$AK1492,4)&amp;MID(Sync!$AK1492,6,2)&amp;RIGHT(Sync!$AK1492,2))&amp;"|"&amp;"4"&amp;RIGHT("00000"&amp;1487,5))</f>
        <v/>
      </c>
      <c r="W1492">
        <f>IF($V1492="",0,COUNTIFS($V$6:$V$2005,"&lt;"&amp;$V1492)-COUNTIFS($V$6:$V$2005,"&lt;"&amp;$V1492,$K$6:$K$2005,"")+1)</f>
        <v/>
      </c>
    </row>
    <row r="1493">
      <c r="A1493">
        <f>IF(Sync!$Z1493="","",LEFT(UPPER(TRIM(Sync!$Z1493)),6))</f>
        <v/>
      </c>
      <c r="B1493">
        <f>IF($A1493="","",IF(Sync!$AA1493="","",Sync!$AA1493))</f>
        <v/>
      </c>
      <c r="C1493">
        <f>IF($A1493="","",IF(Sync!$AB1493="","",Sync!$AB1493))</f>
        <v/>
      </c>
      <c r="D1493">
        <f>IF($A1493="","",IF(Sync!$AC1493="","",Sync!$AC1493))</f>
        <v/>
      </c>
      <c r="E1493">
        <f>IF($A1493="","",IF(Sync!$AD1493="","",Sync!$AD1493))</f>
        <v/>
      </c>
      <c r="F1493">
        <f>IF($A1493="","",IF(Sync!$AE1493="",0,Sync!$AE1493))</f>
        <v/>
      </c>
      <c r="G1493">
        <f>IF($A1493="","",IF(Sync!$AF1493="",0,Sync!$AF1493))</f>
        <v/>
      </c>
      <c r="H1493">
        <f>IF(OR($A1493="",ROUND($F1493+$G1493,2)=0),"",$F1493+$G1493)</f>
        <v/>
      </c>
      <c r="I1493">
        <f>IF($H1493="","",IF(ROUND($F1493,2)&gt;0,$A1493,IF($D1493="شخصی قاسم","شخصی قاسم",IF($D1493="هزینه","هزینه: "&amp;IF($E1493="","متفرقه",$E1493),IF($C1493="پاس چک","چک پرداختی",IF(OR($B1493="",COUNTIF(AcctCodesA,$B1493)=0),"متفرقه",$B1493))))))</f>
        <v/>
      </c>
      <c r="J1493">
        <f>IF($H1493="","",IF(ROUND($F1493,2)&gt;0,IF($D1493="شخصی قاسم","شخصی قاسم",IF($D1493="هزینه","هزینه: "&amp;IF($E1493="","متفرقه",$E1493),IF(OR($B1493="",COUNTIF(AcctCodesA,$B1493)=0),"متفرقه",$B1493))),$A1493))</f>
        <v/>
      </c>
      <c r="K1493">
        <f>IF($A1493="","",IF(AND($B1493&lt;&gt;"",COUNTIF(AcctCodesA,$B1493)=0),"کد طرف در INFO تعریف نشده",IF(AND($D1493="هزینه",$E1493=""),"هزینه بدون زیرگروه",IF(AND($C1493="پاس چک",OR(Sync!$AJ1493="",COUNTIF(IssueNosA,Sync!$AJ1493)=0)),"شماره چک پاس‌شده معتبر نیست",""))))</f>
        <v/>
      </c>
      <c r="V1493">
        <f>IF($K1493="","",IF(ISNUMBER(Sync!$AK1493),Sync!$AK1493,LEFT(Sync!$AK1493,4)&amp;MID(Sync!$AK1493,6,2)&amp;RIGHT(Sync!$AK1493,2))&amp;"|"&amp;"4"&amp;RIGHT("00000"&amp;1488,5))</f>
        <v/>
      </c>
      <c r="W1493">
        <f>IF($V1493="",0,COUNTIFS($V$6:$V$2005,"&lt;"&amp;$V1493)-COUNTIFS($V$6:$V$2005,"&lt;"&amp;$V1493,$K$6:$K$2005,"")+1)</f>
        <v/>
      </c>
    </row>
    <row r="1494">
      <c r="A1494">
        <f>IF(Sync!$Z1494="","",LEFT(UPPER(TRIM(Sync!$Z1494)),6))</f>
        <v/>
      </c>
      <c r="B1494">
        <f>IF($A1494="","",IF(Sync!$AA1494="","",Sync!$AA1494))</f>
        <v/>
      </c>
      <c r="C1494">
        <f>IF($A1494="","",IF(Sync!$AB1494="","",Sync!$AB1494))</f>
        <v/>
      </c>
      <c r="D1494">
        <f>IF($A1494="","",IF(Sync!$AC1494="","",Sync!$AC1494))</f>
        <v/>
      </c>
      <c r="E1494">
        <f>IF($A1494="","",IF(Sync!$AD1494="","",Sync!$AD1494))</f>
        <v/>
      </c>
      <c r="F1494">
        <f>IF($A1494="","",IF(Sync!$AE1494="",0,Sync!$AE1494))</f>
        <v/>
      </c>
      <c r="G1494">
        <f>IF($A1494="","",IF(Sync!$AF1494="",0,Sync!$AF1494))</f>
        <v/>
      </c>
      <c r="H1494">
        <f>IF(OR($A1494="",ROUND($F1494+$G1494,2)=0),"",$F1494+$G1494)</f>
        <v/>
      </c>
      <c r="I1494">
        <f>IF($H1494="","",IF(ROUND($F1494,2)&gt;0,$A1494,IF($D1494="شخصی قاسم","شخصی قاسم",IF($D1494="هزینه","هزینه: "&amp;IF($E1494="","متفرقه",$E1494),IF($C1494="پاس چک","چک پرداختی",IF(OR($B1494="",COUNTIF(AcctCodesA,$B1494)=0),"متفرقه",$B1494))))))</f>
        <v/>
      </c>
      <c r="J1494">
        <f>IF($H1494="","",IF(ROUND($F1494,2)&gt;0,IF($D1494="شخصی قاسم","شخصی قاسم",IF($D1494="هزینه","هزینه: "&amp;IF($E1494="","متفرقه",$E1494),IF(OR($B1494="",COUNTIF(AcctCodesA,$B1494)=0),"متفرقه",$B1494))),$A1494))</f>
        <v/>
      </c>
      <c r="K1494">
        <f>IF($A1494="","",IF(AND($B1494&lt;&gt;"",COUNTIF(AcctCodesA,$B1494)=0),"کد طرف در INFO تعریف نشده",IF(AND($D1494="هزینه",$E1494=""),"هزینه بدون زیرگروه",IF(AND($C1494="پاس چک",OR(Sync!$AJ1494="",COUNTIF(IssueNosA,Sync!$AJ1494)=0)),"شماره چک پاس‌شده معتبر نیست",""))))</f>
        <v/>
      </c>
      <c r="V1494">
        <f>IF($K1494="","",IF(ISNUMBER(Sync!$AK1494),Sync!$AK1494,LEFT(Sync!$AK1494,4)&amp;MID(Sync!$AK1494,6,2)&amp;RIGHT(Sync!$AK1494,2))&amp;"|"&amp;"4"&amp;RIGHT("00000"&amp;1489,5))</f>
        <v/>
      </c>
      <c r="W1494">
        <f>IF($V1494="",0,COUNTIFS($V$6:$V$2005,"&lt;"&amp;$V1494)-COUNTIFS($V$6:$V$2005,"&lt;"&amp;$V1494,$K$6:$K$2005,"")+1)</f>
        <v/>
      </c>
    </row>
    <row r="1495">
      <c r="A1495">
        <f>IF(Sync!$Z1495="","",LEFT(UPPER(TRIM(Sync!$Z1495)),6))</f>
        <v/>
      </c>
      <c r="B1495">
        <f>IF($A1495="","",IF(Sync!$AA1495="","",Sync!$AA1495))</f>
        <v/>
      </c>
      <c r="C1495">
        <f>IF($A1495="","",IF(Sync!$AB1495="","",Sync!$AB1495))</f>
        <v/>
      </c>
      <c r="D1495">
        <f>IF($A1495="","",IF(Sync!$AC1495="","",Sync!$AC1495))</f>
        <v/>
      </c>
      <c r="E1495">
        <f>IF($A1495="","",IF(Sync!$AD1495="","",Sync!$AD1495))</f>
        <v/>
      </c>
      <c r="F1495">
        <f>IF($A1495="","",IF(Sync!$AE1495="",0,Sync!$AE1495))</f>
        <v/>
      </c>
      <c r="G1495">
        <f>IF($A1495="","",IF(Sync!$AF1495="",0,Sync!$AF1495))</f>
        <v/>
      </c>
      <c r="H1495">
        <f>IF(OR($A1495="",ROUND($F1495+$G1495,2)=0),"",$F1495+$G1495)</f>
        <v/>
      </c>
      <c r="I1495">
        <f>IF($H1495="","",IF(ROUND($F1495,2)&gt;0,$A1495,IF($D1495="شخصی قاسم","شخصی قاسم",IF($D1495="هزینه","هزینه: "&amp;IF($E1495="","متفرقه",$E1495),IF($C1495="پاس چک","چک پرداختی",IF(OR($B1495="",COUNTIF(AcctCodesA,$B1495)=0),"متفرقه",$B1495))))))</f>
        <v/>
      </c>
      <c r="J1495">
        <f>IF($H1495="","",IF(ROUND($F1495,2)&gt;0,IF($D1495="شخصی قاسم","شخصی قاسم",IF($D1495="هزینه","هزینه: "&amp;IF($E1495="","متفرقه",$E1495),IF(OR($B1495="",COUNTIF(AcctCodesA,$B1495)=0),"متفرقه",$B1495))),$A1495))</f>
        <v/>
      </c>
      <c r="K1495">
        <f>IF($A1495="","",IF(AND($B1495&lt;&gt;"",COUNTIF(AcctCodesA,$B1495)=0),"کد طرف در INFO تعریف نشده",IF(AND($D1495="هزینه",$E1495=""),"هزینه بدون زیرگروه",IF(AND($C1495="پاس چک",OR(Sync!$AJ1495="",COUNTIF(IssueNosA,Sync!$AJ1495)=0)),"شماره چک پاس‌شده معتبر نیست",""))))</f>
        <v/>
      </c>
      <c r="V1495">
        <f>IF($K1495="","",IF(ISNUMBER(Sync!$AK1495),Sync!$AK1495,LEFT(Sync!$AK1495,4)&amp;MID(Sync!$AK1495,6,2)&amp;RIGHT(Sync!$AK1495,2))&amp;"|"&amp;"4"&amp;RIGHT("00000"&amp;1490,5))</f>
        <v/>
      </c>
      <c r="W1495">
        <f>IF($V1495="",0,COUNTIFS($V$6:$V$2005,"&lt;"&amp;$V1495)-COUNTIFS($V$6:$V$2005,"&lt;"&amp;$V1495,$K$6:$K$2005,"")+1)</f>
        <v/>
      </c>
    </row>
    <row r="1496">
      <c r="A1496">
        <f>IF(Sync!$Z1496="","",LEFT(UPPER(TRIM(Sync!$Z1496)),6))</f>
        <v/>
      </c>
      <c r="B1496">
        <f>IF($A1496="","",IF(Sync!$AA1496="","",Sync!$AA1496))</f>
        <v/>
      </c>
      <c r="C1496">
        <f>IF($A1496="","",IF(Sync!$AB1496="","",Sync!$AB1496))</f>
        <v/>
      </c>
      <c r="D1496">
        <f>IF($A1496="","",IF(Sync!$AC1496="","",Sync!$AC1496))</f>
        <v/>
      </c>
      <c r="E1496">
        <f>IF($A1496="","",IF(Sync!$AD1496="","",Sync!$AD1496))</f>
        <v/>
      </c>
      <c r="F1496">
        <f>IF($A1496="","",IF(Sync!$AE1496="",0,Sync!$AE1496))</f>
        <v/>
      </c>
      <c r="G1496">
        <f>IF($A1496="","",IF(Sync!$AF1496="",0,Sync!$AF1496))</f>
        <v/>
      </c>
      <c r="H1496">
        <f>IF(OR($A1496="",ROUND($F1496+$G1496,2)=0),"",$F1496+$G1496)</f>
        <v/>
      </c>
      <c r="I1496">
        <f>IF($H1496="","",IF(ROUND($F1496,2)&gt;0,$A1496,IF($D1496="شخصی قاسم","شخصی قاسم",IF($D1496="هزینه","هزینه: "&amp;IF($E1496="","متفرقه",$E1496),IF($C1496="پاس چک","چک پرداختی",IF(OR($B1496="",COUNTIF(AcctCodesA,$B1496)=0),"متفرقه",$B1496))))))</f>
        <v/>
      </c>
      <c r="J1496">
        <f>IF($H1496="","",IF(ROUND($F1496,2)&gt;0,IF($D1496="شخصی قاسم","شخصی قاسم",IF($D1496="هزینه","هزینه: "&amp;IF($E1496="","متفرقه",$E1496),IF(OR($B1496="",COUNTIF(AcctCodesA,$B1496)=0),"متفرقه",$B1496))),$A1496))</f>
        <v/>
      </c>
      <c r="K1496">
        <f>IF($A1496="","",IF(AND($B1496&lt;&gt;"",COUNTIF(AcctCodesA,$B1496)=0),"کد طرف در INFO تعریف نشده",IF(AND($D1496="هزینه",$E1496=""),"هزینه بدون زیرگروه",IF(AND($C1496="پاس چک",OR(Sync!$AJ1496="",COUNTIF(IssueNosA,Sync!$AJ1496)=0)),"شماره چک پاس‌شده معتبر نیست",""))))</f>
        <v/>
      </c>
      <c r="V1496">
        <f>IF($K1496="","",IF(ISNUMBER(Sync!$AK1496),Sync!$AK1496,LEFT(Sync!$AK1496,4)&amp;MID(Sync!$AK1496,6,2)&amp;RIGHT(Sync!$AK1496,2))&amp;"|"&amp;"4"&amp;RIGHT("00000"&amp;1491,5))</f>
        <v/>
      </c>
      <c r="W1496">
        <f>IF($V1496="",0,COUNTIFS($V$6:$V$2005,"&lt;"&amp;$V1496)-COUNTIFS($V$6:$V$2005,"&lt;"&amp;$V1496,$K$6:$K$2005,"")+1)</f>
        <v/>
      </c>
    </row>
    <row r="1497">
      <c r="A1497">
        <f>IF(Sync!$Z1497="","",LEFT(UPPER(TRIM(Sync!$Z1497)),6))</f>
        <v/>
      </c>
      <c r="B1497">
        <f>IF($A1497="","",IF(Sync!$AA1497="","",Sync!$AA1497))</f>
        <v/>
      </c>
      <c r="C1497">
        <f>IF($A1497="","",IF(Sync!$AB1497="","",Sync!$AB1497))</f>
        <v/>
      </c>
      <c r="D1497">
        <f>IF($A1497="","",IF(Sync!$AC1497="","",Sync!$AC1497))</f>
        <v/>
      </c>
      <c r="E1497">
        <f>IF($A1497="","",IF(Sync!$AD1497="","",Sync!$AD1497))</f>
        <v/>
      </c>
      <c r="F1497">
        <f>IF($A1497="","",IF(Sync!$AE1497="",0,Sync!$AE1497))</f>
        <v/>
      </c>
      <c r="G1497">
        <f>IF($A1497="","",IF(Sync!$AF1497="",0,Sync!$AF1497))</f>
        <v/>
      </c>
      <c r="H1497">
        <f>IF(OR($A1497="",ROUND($F1497+$G1497,2)=0),"",$F1497+$G1497)</f>
        <v/>
      </c>
      <c r="I1497">
        <f>IF($H1497="","",IF(ROUND($F1497,2)&gt;0,$A1497,IF($D1497="شخصی قاسم","شخصی قاسم",IF($D1497="هزینه","هزینه: "&amp;IF($E1497="","متفرقه",$E1497),IF($C1497="پاس چک","چک پرداختی",IF(OR($B1497="",COUNTIF(AcctCodesA,$B1497)=0),"متفرقه",$B1497))))))</f>
        <v/>
      </c>
      <c r="J1497">
        <f>IF($H1497="","",IF(ROUND($F1497,2)&gt;0,IF($D1497="شخصی قاسم","شخصی قاسم",IF($D1497="هزینه","هزینه: "&amp;IF($E1497="","متفرقه",$E1497),IF(OR($B1497="",COUNTIF(AcctCodesA,$B1497)=0),"متفرقه",$B1497))),$A1497))</f>
        <v/>
      </c>
      <c r="K1497">
        <f>IF($A1497="","",IF(AND($B1497&lt;&gt;"",COUNTIF(AcctCodesA,$B1497)=0),"کد طرف در INFO تعریف نشده",IF(AND($D1497="هزینه",$E1497=""),"هزینه بدون زیرگروه",IF(AND($C1497="پاس چک",OR(Sync!$AJ1497="",COUNTIF(IssueNosA,Sync!$AJ1497)=0)),"شماره چک پاس‌شده معتبر نیست",""))))</f>
        <v/>
      </c>
      <c r="V1497">
        <f>IF($K1497="","",IF(ISNUMBER(Sync!$AK1497),Sync!$AK1497,LEFT(Sync!$AK1497,4)&amp;MID(Sync!$AK1497,6,2)&amp;RIGHT(Sync!$AK1497,2))&amp;"|"&amp;"4"&amp;RIGHT("00000"&amp;1492,5))</f>
        <v/>
      </c>
      <c r="W1497">
        <f>IF($V1497="",0,COUNTIFS($V$6:$V$2005,"&lt;"&amp;$V1497)-COUNTIFS($V$6:$V$2005,"&lt;"&amp;$V1497,$K$6:$K$2005,"")+1)</f>
        <v/>
      </c>
    </row>
    <row r="1498">
      <c r="A1498">
        <f>IF(Sync!$Z1498="","",LEFT(UPPER(TRIM(Sync!$Z1498)),6))</f>
        <v/>
      </c>
      <c r="B1498">
        <f>IF($A1498="","",IF(Sync!$AA1498="","",Sync!$AA1498))</f>
        <v/>
      </c>
      <c r="C1498">
        <f>IF($A1498="","",IF(Sync!$AB1498="","",Sync!$AB1498))</f>
        <v/>
      </c>
      <c r="D1498">
        <f>IF($A1498="","",IF(Sync!$AC1498="","",Sync!$AC1498))</f>
        <v/>
      </c>
      <c r="E1498">
        <f>IF($A1498="","",IF(Sync!$AD1498="","",Sync!$AD1498))</f>
        <v/>
      </c>
      <c r="F1498">
        <f>IF($A1498="","",IF(Sync!$AE1498="",0,Sync!$AE1498))</f>
        <v/>
      </c>
      <c r="G1498">
        <f>IF($A1498="","",IF(Sync!$AF1498="",0,Sync!$AF1498))</f>
        <v/>
      </c>
      <c r="H1498">
        <f>IF(OR($A1498="",ROUND($F1498+$G1498,2)=0),"",$F1498+$G1498)</f>
        <v/>
      </c>
      <c r="I1498">
        <f>IF($H1498="","",IF(ROUND($F1498,2)&gt;0,$A1498,IF($D1498="شخصی قاسم","شخصی قاسم",IF($D1498="هزینه","هزینه: "&amp;IF($E1498="","متفرقه",$E1498),IF($C1498="پاس چک","چک پرداختی",IF(OR($B1498="",COUNTIF(AcctCodesA,$B1498)=0),"متفرقه",$B1498))))))</f>
        <v/>
      </c>
      <c r="J1498">
        <f>IF($H1498="","",IF(ROUND($F1498,2)&gt;0,IF($D1498="شخصی قاسم","شخصی قاسم",IF($D1498="هزینه","هزینه: "&amp;IF($E1498="","متفرقه",$E1498),IF(OR($B1498="",COUNTIF(AcctCodesA,$B1498)=0),"متفرقه",$B1498))),$A1498))</f>
        <v/>
      </c>
      <c r="K1498">
        <f>IF($A1498="","",IF(AND($B1498&lt;&gt;"",COUNTIF(AcctCodesA,$B1498)=0),"کد طرف در INFO تعریف نشده",IF(AND($D1498="هزینه",$E1498=""),"هزینه بدون زیرگروه",IF(AND($C1498="پاس چک",OR(Sync!$AJ1498="",COUNTIF(IssueNosA,Sync!$AJ1498)=0)),"شماره چک پاس‌شده معتبر نیست",""))))</f>
        <v/>
      </c>
      <c r="V1498">
        <f>IF($K1498="","",IF(ISNUMBER(Sync!$AK1498),Sync!$AK1498,LEFT(Sync!$AK1498,4)&amp;MID(Sync!$AK1498,6,2)&amp;RIGHT(Sync!$AK1498,2))&amp;"|"&amp;"4"&amp;RIGHT("00000"&amp;1493,5))</f>
        <v/>
      </c>
      <c r="W1498">
        <f>IF($V1498="",0,COUNTIFS($V$6:$V$2005,"&lt;"&amp;$V1498)-COUNTIFS($V$6:$V$2005,"&lt;"&amp;$V1498,$K$6:$K$2005,"")+1)</f>
        <v/>
      </c>
    </row>
    <row r="1499">
      <c r="A1499">
        <f>IF(Sync!$Z1499="","",LEFT(UPPER(TRIM(Sync!$Z1499)),6))</f>
        <v/>
      </c>
      <c r="B1499">
        <f>IF($A1499="","",IF(Sync!$AA1499="","",Sync!$AA1499))</f>
        <v/>
      </c>
      <c r="C1499">
        <f>IF($A1499="","",IF(Sync!$AB1499="","",Sync!$AB1499))</f>
        <v/>
      </c>
      <c r="D1499">
        <f>IF($A1499="","",IF(Sync!$AC1499="","",Sync!$AC1499))</f>
        <v/>
      </c>
      <c r="E1499">
        <f>IF($A1499="","",IF(Sync!$AD1499="","",Sync!$AD1499))</f>
        <v/>
      </c>
      <c r="F1499">
        <f>IF($A1499="","",IF(Sync!$AE1499="",0,Sync!$AE1499))</f>
        <v/>
      </c>
      <c r="G1499">
        <f>IF($A1499="","",IF(Sync!$AF1499="",0,Sync!$AF1499))</f>
        <v/>
      </c>
      <c r="H1499">
        <f>IF(OR($A1499="",ROUND($F1499+$G1499,2)=0),"",$F1499+$G1499)</f>
        <v/>
      </c>
      <c r="I1499">
        <f>IF($H1499="","",IF(ROUND($F1499,2)&gt;0,$A1499,IF($D1499="شخصی قاسم","شخصی قاسم",IF($D1499="هزینه","هزینه: "&amp;IF($E1499="","متفرقه",$E1499),IF($C1499="پاس چک","چک پرداختی",IF(OR($B1499="",COUNTIF(AcctCodesA,$B1499)=0),"متفرقه",$B1499))))))</f>
        <v/>
      </c>
      <c r="J1499">
        <f>IF($H1499="","",IF(ROUND($F1499,2)&gt;0,IF($D1499="شخصی قاسم","شخصی قاسم",IF($D1499="هزینه","هزینه: "&amp;IF($E1499="","متفرقه",$E1499),IF(OR($B1499="",COUNTIF(AcctCodesA,$B1499)=0),"متفرقه",$B1499))),$A1499))</f>
        <v/>
      </c>
      <c r="K1499">
        <f>IF($A1499="","",IF(AND($B1499&lt;&gt;"",COUNTIF(AcctCodesA,$B1499)=0),"کد طرف در INFO تعریف نشده",IF(AND($D1499="هزینه",$E1499=""),"هزینه بدون زیرگروه",IF(AND($C1499="پاس چک",OR(Sync!$AJ1499="",COUNTIF(IssueNosA,Sync!$AJ1499)=0)),"شماره چک پاس‌شده معتبر نیست",""))))</f>
        <v/>
      </c>
      <c r="V1499">
        <f>IF($K1499="","",IF(ISNUMBER(Sync!$AK1499),Sync!$AK1499,LEFT(Sync!$AK1499,4)&amp;MID(Sync!$AK1499,6,2)&amp;RIGHT(Sync!$AK1499,2))&amp;"|"&amp;"4"&amp;RIGHT("00000"&amp;1494,5))</f>
        <v/>
      </c>
      <c r="W1499">
        <f>IF($V1499="",0,COUNTIFS($V$6:$V$2005,"&lt;"&amp;$V1499)-COUNTIFS($V$6:$V$2005,"&lt;"&amp;$V1499,$K$6:$K$2005,"")+1)</f>
        <v/>
      </c>
    </row>
    <row r="1500">
      <c r="A1500">
        <f>IF(Sync!$Z1500="","",LEFT(UPPER(TRIM(Sync!$Z1500)),6))</f>
        <v/>
      </c>
      <c r="B1500">
        <f>IF($A1500="","",IF(Sync!$AA1500="","",Sync!$AA1500))</f>
        <v/>
      </c>
      <c r="C1500">
        <f>IF($A1500="","",IF(Sync!$AB1500="","",Sync!$AB1500))</f>
        <v/>
      </c>
      <c r="D1500">
        <f>IF($A1500="","",IF(Sync!$AC1500="","",Sync!$AC1500))</f>
        <v/>
      </c>
      <c r="E1500">
        <f>IF($A1500="","",IF(Sync!$AD1500="","",Sync!$AD1500))</f>
        <v/>
      </c>
      <c r="F1500">
        <f>IF($A1500="","",IF(Sync!$AE1500="",0,Sync!$AE1500))</f>
        <v/>
      </c>
      <c r="G1500">
        <f>IF($A1500="","",IF(Sync!$AF1500="",0,Sync!$AF1500))</f>
        <v/>
      </c>
      <c r="H1500">
        <f>IF(OR($A1500="",ROUND($F1500+$G1500,2)=0),"",$F1500+$G1500)</f>
        <v/>
      </c>
      <c r="I1500">
        <f>IF($H1500="","",IF(ROUND($F1500,2)&gt;0,$A1500,IF($D1500="شخصی قاسم","شخصی قاسم",IF($D1500="هزینه","هزینه: "&amp;IF($E1500="","متفرقه",$E1500),IF($C1500="پاس چک","چک پرداختی",IF(OR($B1500="",COUNTIF(AcctCodesA,$B1500)=0),"متفرقه",$B1500))))))</f>
        <v/>
      </c>
      <c r="J1500">
        <f>IF($H1500="","",IF(ROUND($F1500,2)&gt;0,IF($D1500="شخصی قاسم","شخصی قاسم",IF($D1500="هزینه","هزینه: "&amp;IF($E1500="","متفرقه",$E1500),IF(OR($B1500="",COUNTIF(AcctCodesA,$B1500)=0),"متفرقه",$B1500))),$A1500))</f>
        <v/>
      </c>
      <c r="K1500">
        <f>IF($A1500="","",IF(AND($B1500&lt;&gt;"",COUNTIF(AcctCodesA,$B1500)=0),"کد طرف در INFO تعریف نشده",IF(AND($D1500="هزینه",$E1500=""),"هزینه بدون زیرگروه",IF(AND($C1500="پاس چک",OR(Sync!$AJ1500="",COUNTIF(IssueNosA,Sync!$AJ1500)=0)),"شماره چک پاس‌شده معتبر نیست",""))))</f>
        <v/>
      </c>
      <c r="V1500">
        <f>IF($K1500="","",IF(ISNUMBER(Sync!$AK1500),Sync!$AK1500,LEFT(Sync!$AK1500,4)&amp;MID(Sync!$AK1500,6,2)&amp;RIGHT(Sync!$AK1500,2))&amp;"|"&amp;"4"&amp;RIGHT("00000"&amp;1495,5))</f>
        <v/>
      </c>
      <c r="W1500">
        <f>IF($V1500="",0,COUNTIFS($V$6:$V$2005,"&lt;"&amp;$V1500)-COUNTIFS($V$6:$V$2005,"&lt;"&amp;$V1500,$K$6:$K$2005,"")+1)</f>
        <v/>
      </c>
    </row>
    <row r="1501">
      <c r="A1501">
        <f>IF(Sync!$Z1501="","",LEFT(UPPER(TRIM(Sync!$Z1501)),6))</f>
        <v/>
      </c>
      <c r="B1501">
        <f>IF($A1501="","",IF(Sync!$AA1501="","",Sync!$AA1501))</f>
        <v/>
      </c>
      <c r="C1501">
        <f>IF($A1501="","",IF(Sync!$AB1501="","",Sync!$AB1501))</f>
        <v/>
      </c>
      <c r="D1501">
        <f>IF($A1501="","",IF(Sync!$AC1501="","",Sync!$AC1501))</f>
        <v/>
      </c>
      <c r="E1501">
        <f>IF($A1501="","",IF(Sync!$AD1501="","",Sync!$AD1501))</f>
        <v/>
      </c>
      <c r="F1501">
        <f>IF($A1501="","",IF(Sync!$AE1501="",0,Sync!$AE1501))</f>
        <v/>
      </c>
      <c r="G1501">
        <f>IF($A1501="","",IF(Sync!$AF1501="",0,Sync!$AF1501))</f>
        <v/>
      </c>
      <c r="H1501">
        <f>IF(OR($A1501="",ROUND($F1501+$G1501,2)=0),"",$F1501+$G1501)</f>
        <v/>
      </c>
      <c r="I1501">
        <f>IF($H1501="","",IF(ROUND($F1501,2)&gt;0,$A1501,IF($D1501="شخصی قاسم","شخصی قاسم",IF($D1501="هزینه","هزینه: "&amp;IF($E1501="","متفرقه",$E1501),IF($C1501="پاس چک","چک پرداختی",IF(OR($B1501="",COUNTIF(AcctCodesA,$B1501)=0),"متفرقه",$B1501))))))</f>
        <v/>
      </c>
      <c r="J1501">
        <f>IF($H1501="","",IF(ROUND($F1501,2)&gt;0,IF($D1501="شخصی قاسم","شخصی قاسم",IF($D1501="هزینه","هزینه: "&amp;IF($E1501="","متفرقه",$E1501),IF(OR($B1501="",COUNTIF(AcctCodesA,$B1501)=0),"متفرقه",$B1501))),$A1501))</f>
        <v/>
      </c>
      <c r="K1501">
        <f>IF($A1501="","",IF(AND($B1501&lt;&gt;"",COUNTIF(AcctCodesA,$B1501)=0),"کد طرف در INFO تعریف نشده",IF(AND($D1501="هزینه",$E1501=""),"هزینه بدون زیرگروه",IF(AND($C1501="پاس چک",OR(Sync!$AJ1501="",COUNTIF(IssueNosA,Sync!$AJ1501)=0)),"شماره چک پاس‌شده معتبر نیست",""))))</f>
        <v/>
      </c>
      <c r="V1501">
        <f>IF($K1501="","",IF(ISNUMBER(Sync!$AK1501),Sync!$AK1501,LEFT(Sync!$AK1501,4)&amp;MID(Sync!$AK1501,6,2)&amp;RIGHT(Sync!$AK1501,2))&amp;"|"&amp;"4"&amp;RIGHT("00000"&amp;1496,5))</f>
        <v/>
      </c>
      <c r="W1501">
        <f>IF($V1501="",0,COUNTIFS($V$6:$V$2005,"&lt;"&amp;$V1501)-COUNTIFS($V$6:$V$2005,"&lt;"&amp;$V1501,$K$6:$K$2005,"")+1)</f>
        <v/>
      </c>
    </row>
    <row r="1502">
      <c r="A1502">
        <f>IF(Sync!$Z1502="","",LEFT(UPPER(TRIM(Sync!$Z1502)),6))</f>
        <v/>
      </c>
      <c r="B1502">
        <f>IF($A1502="","",IF(Sync!$AA1502="","",Sync!$AA1502))</f>
        <v/>
      </c>
      <c r="C1502">
        <f>IF($A1502="","",IF(Sync!$AB1502="","",Sync!$AB1502))</f>
        <v/>
      </c>
      <c r="D1502">
        <f>IF($A1502="","",IF(Sync!$AC1502="","",Sync!$AC1502))</f>
        <v/>
      </c>
      <c r="E1502">
        <f>IF($A1502="","",IF(Sync!$AD1502="","",Sync!$AD1502))</f>
        <v/>
      </c>
      <c r="F1502">
        <f>IF($A1502="","",IF(Sync!$AE1502="",0,Sync!$AE1502))</f>
        <v/>
      </c>
      <c r="G1502">
        <f>IF($A1502="","",IF(Sync!$AF1502="",0,Sync!$AF1502))</f>
        <v/>
      </c>
      <c r="H1502">
        <f>IF(OR($A1502="",ROUND($F1502+$G1502,2)=0),"",$F1502+$G1502)</f>
        <v/>
      </c>
      <c r="I1502">
        <f>IF($H1502="","",IF(ROUND($F1502,2)&gt;0,$A1502,IF($D1502="شخصی قاسم","شخصی قاسم",IF($D1502="هزینه","هزینه: "&amp;IF($E1502="","متفرقه",$E1502),IF($C1502="پاس چک","چک پرداختی",IF(OR($B1502="",COUNTIF(AcctCodesA,$B1502)=0),"متفرقه",$B1502))))))</f>
        <v/>
      </c>
      <c r="J1502">
        <f>IF($H1502="","",IF(ROUND($F1502,2)&gt;0,IF($D1502="شخصی قاسم","شخصی قاسم",IF($D1502="هزینه","هزینه: "&amp;IF($E1502="","متفرقه",$E1502),IF(OR($B1502="",COUNTIF(AcctCodesA,$B1502)=0),"متفرقه",$B1502))),$A1502))</f>
        <v/>
      </c>
      <c r="K1502">
        <f>IF($A1502="","",IF(AND($B1502&lt;&gt;"",COUNTIF(AcctCodesA,$B1502)=0),"کد طرف در INFO تعریف نشده",IF(AND($D1502="هزینه",$E1502=""),"هزینه بدون زیرگروه",IF(AND($C1502="پاس چک",OR(Sync!$AJ1502="",COUNTIF(IssueNosA,Sync!$AJ1502)=0)),"شماره چک پاس‌شده معتبر نیست",""))))</f>
        <v/>
      </c>
      <c r="V1502">
        <f>IF($K1502="","",IF(ISNUMBER(Sync!$AK1502),Sync!$AK1502,LEFT(Sync!$AK1502,4)&amp;MID(Sync!$AK1502,6,2)&amp;RIGHT(Sync!$AK1502,2))&amp;"|"&amp;"4"&amp;RIGHT("00000"&amp;1497,5))</f>
        <v/>
      </c>
      <c r="W1502">
        <f>IF($V1502="",0,COUNTIFS($V$6:$V$2005,"&lt;"&amp;$V1502)-COUNTIFS($V$6:$V$2005,"&lt;"&amp;$V1502,$K$6:$K$2005,"")+1)</f>
        <v/>
      </c>
    </row>
    <row r="1503">
      <c r="A1503">
        <f>IF(Sync!$Z1503="","",LEFT(UPPER(TRIM(Sync!$Z1503)),6))</f>
        <v/>
      </c>
      <c r="B1503">
        <f>IF($A1503="","",IF(Sync!$AA1503="","",Sync!$AA1503))</f>
        <v/>
      </c>
      <c r="C1503">
        <f>IF($A1503="","",IF(Sync!$AB1503="","",Sync!$AB1503))</f>
        <v/>
      </c>
      <c r="D1503">
        <f>IF($A1503="","",IF(Sync!$AC1503="","",Sync!$AC1503))</f>
        <v/>
      </c>
      <c r="E1503">
        <f>IF($A1503="","",IF(Sync!$AD1503="","",Sync!$AD1503))</f>
        <v/>
      </c>
      <c r="F1503">
        <f>IF($A1503="","",IF(Sync!$AE1503="",0,Sync!$AE1503))</f>
        <v/>
      </c>
      <c r="G1503">
        <f>IF($A1503="","",IF(Sync!$AF1503="",0,Sync!$AF1503))</f>
        <v/>
      </c>
      <c r="H1503">
        <f>IF(OR($A1503="",ROUND($F1503+$G1503,2)=0),"",$F1503+$G1503)</f>
        <v/>
      </c>
      <c r="I1503">
        <f>IF($H1503="","",IF(ROUND($F1503,2)&gt;0,$A1503,IF($D1503="شخصی قاسم","شخصی قاسم",IF($D1503="هزینه","هزینه: "&amp;IF($E1503="","متفرقه",$E1503),IF($C1503="پاس چک","چک پرداختی",IF(OR($B1503="",COUNTIF(AcctCodesA,$B1503)=0),"متفرقه",$B1503))))))</f>
        <v/>
      </c>
      <c r="J1503">
        <f>IF($H1503="","",IF(ROUND($F1503,2)&gt;0,IF($D1503="شخصی قاسم","شخصی قاسم",IF($D1503="هزینه","هزینه: "&amp;IF($E1503="","متفرقه",$E1503),IF(OR($B1503="",COUNTIF(AcctCodesA,$B1503)=0),"متفرقه",$B1503))),$A1503))</f>
        <v/>
      </c>
      <c r="K1503">
        <f>IF($A1503="","",IF(AND($B1503&lt;&gt;"",COUNTIF(AcctCodesA,$B1503)=0),"کد طرف در INFO تعریف نشده",IF(AND($D1503="هزینه",$E1503=""),"هزینه بدون زیرگروه",IF(AND($C1503="پاس چک",OR(Sync!$AJ1503="",COUNTIF(IssueNosA,Sync!$AJ1503)=0)),"شماره چک پاس‌شده معتبر نیست",""))))</f>
        <v/>
      </c>
      <c r="V1503">
        <f>IF($K1503="","",IF(ISNUMBER(Sync!$AK1503),Sync!$AK1503,LEFT(Sync!$AK1503,4)&amp;MID(Sync!$AK1503,6,2)&amp;RIGHT(Sync!$AK1503,2))&amp;"|"&amp;"4"&amp;RIGHT("00000"&amp;1498,5))</f>
        <v/>
      </c>
      <c r="W1503">
        <f>IF($V1503="",0,COUNTIFS($V$6:$V$2005,"&lt;"&amp;$V1503)-COUNTIFS($V$6:$V$2005,"&lt;"&amp;$V1503,$K$6:$K$2005,"")+1)</f>
        <v/>
      </c>
    </row>
    <row r="1504">
      <c r="A1504">
        <f>IF(Sync!$Z1504="","",LEFT(UPPER(TRIM(Sync!$Z1504)),6))</f>
        <v/>
      </c>
      <c r="B1504">
        <f>IF($A1504="","",IF(Sync!$AA1504="","",Sync!$AA1504))</f>
        <v/>
      </c>
      <c r="C1504">
        <f>IF($A1504="","",IF(Sync!$AB1504="","",Sync!$AB1504))</f>
        <v/>
      </c>
      <c r="D1504">
        <f>IF($A1504="","",IF(Sync!$AC1504="","",Sync!$AC1504))</f>
        <v/>
      </c>
      <c r="E1504">
        <f>IF($A1504="","",IF(Sync!$AD1504="","",Sync!$AD1504))</f>
        <v/>
      </c>
      <c r="F1504">
        <f>IF($A1504="","",IF(Sync!$AE1504="",0,Sync!$AE1504))</f>
        <v/>
      </c>
      <c r="G1504">
        <f>IF($A1504="","",IF(Sync!$AF1504="",0,Sync!$AF1504))</f>
        <v/>
      </c>
      <c r="H1504">
        <f>IF(OR($A1504="",ROUND($F1504+$G1504,2)=0),"",$F1504+$G1504)</f>
        <v/>
      </c>
      <c r="I1504">
        <f>IF($H1504="","",IF(ROUND($F1504,2)&gt;0,$A1504,IF($D1504="شخصی قاسم","شخصی قاسم",IF($D1504="هزینه","هزینه: "&amp;IF($E1504="","متفرقه",$E1504),IF($C1504="پاس چک","چک پرداختی",IF(OR($B1504="",COUNTIF(AcctCodesA,$B1504)=0),"متفرقه",$B1504))))))</f>
        <v/>
      </c>
      <c r="J1504">
        <f>IF($H1504="","",IF(ROUND($F1504,2)&gt;0,IF($D1504="شخصی قاسم","شخصی قاسم",IF($D1504="هزینه","هزینه: "&amp;IF($E1504="","متفرقه",$E1504),IF(OR($B1504="",COUNTIF(AcctCodesA,$B1504)=0),"متفرقه",$B1504))),$A1504))</f>
        <v/>
      </c>
      <c r="K1504">
        <f>IF($A1504="","",IF(AND($B1504&lt;&gt;"",COUNTIF(AcctCodesA,$B1504)=0),"کد طرف در INFO تعریف نشده",IF(AND($D1504="هزینه",$E1504=""),"هزینه بدون زیرگروه",IF(AND($C1504="پاس چک",OR(Sync!$AJ1504="",COUNTIF(IssueNosA,Sync!$AJ1504)=0)),"شماره چک پاس‌شده معتبر نیست",""))))</f>
        <v/>
      </c>
      <c r="V1504">
        <f>IF($K1504="","",IF(ISNUMBER(Sync!$AK1504),Sync!$AK1504,LEFT(Sync!$AK1504,4)&amp;MID(Sync!$AK1504,6,2)&amp;RIGHT(Sync!$AK1504,2))&amp;"|"&amp;"4"&amp;RIGHT("00000"&amp;1499,5))</f>
        <v/>
      </c>
      <c r="W1504">
        <f>IF($V1504="",0,COUNTIFS($V$6:$V$2005,"&lt;"&amp;$V1504)-COUNTIFS($V$6:$V$2005,"&lt;"&amp;$V1504,$K$6:$K$2005,"")+1)</f>
        <v/>
      </c>
    </row>
    <row r="1505">
      <c r="A1505">
        <f>IF(Sync!$Z1505="","",LEFT(UPPER(TRIM(Sync!$Z1505)),6))</f>
        <v/>
      </c>
      <c r="B1505">
        <f>IF($A1505="","",IF(Sync!$AA1505="","",Sync!$AA1505))</f>
        <v/>
      </c>
      <c r="C1505">
        <f>IF($A1505="","",IF(Sync!$AB1505="","",Sync!$AB1505))</f>
        <v/>
      </c>
      <c r="D1505">
        <f>IF($A1505="","",IF(Sync!$AC1505="","",Sync!$AC1505))</f>
        <v/>
      </c>
      <c r="E1505">
        <f>IF($A1505="","",IF(Sync!$AD1505="","",Sync!$AD1505))</f>
        <v/>
      </c>
      <c r="F1505">
        <f>IF($A1505="","",IF(Sync!$AE1505="",0,Sync!$AE1505))</f>
        <v/>
      </c>
      <c r="G1505">
        <f>IF($A1505="","",IF(Sync!$AF1505="",0,Sync!$AF1505))</f>
        <v/>
      </c>
      <c r="H1505">
        <f>IF(OR($A1505="",ROUND($F1505+$G1505,2)=0),"",$F1505+$G1505)</f>
        <v/>
      </c>
      <c r="I1505">
        <f>IF($H1505="","",IF(ROUND($F1505,2)&gt;0,$A1505,IF($D1505="شخصی قاسم","شخصی قاسم",IF($D1505="هزینه","هزینه: "&amp;IF($E1505="","متفرقه",$E1505),IF($C1505="پاس چک","چک پرداختی",IF(OR($B1505="",COUNTIF(AcctCodesA,$B1505)=0),"متفرقه",$B1505))))))</f>
        <v/>
      </c>
      <c r="J1505">
        <f>IF($H1505="","",IF(ROUND($F1505,2)&gt;0,IF($D1505="شخصی قاسم","شخصی قاسم",IF($D1505="هزینه","هزینه: "&amp;IF($E1505="","متفرقه",$E1505),IF(OR($B1505="",COUNTIF(AcctCodesA,$B1505)=0),"متفرقه",$B1505))),$A1505))</f>
        <v/>
      </c>
      <c r="K1505">
        <f>IF($A1505="","",IF(AND($B1505&lt;&gt;"",COUNTIF(AcctCodesA,$B1505)=0),"کد طرف در INFO تعریف نشده",IF(AND($D1505="هزینه",$E1505=""),"هزینه بدون زیرگروه",IF(AND($C1505="پاس چک",OR(Sync!$AJ1505="",COUNTIF(IssueNosA,Sync!$AJ1505)=0)),"شماره چک پاس‌شده معتبر نیست",""))))</f>
        <v/>
      </c>
      <c r="V1505">
        <f>IF($K1505="","",IF(ISNUMBER(Sync!$AK1505),Sync!$AK1505,LEFT(Sync!$AK1505,4)&amp;MID(Sync!$AK1505,6,2)&amp;RIGHT(Sync!$AK1505,2))&amp;"|"&amp;"4"&amp;RIGHT("00000"&amp;1500,5))</f>
        <v/>
      </c>
      <c r="W1505">
        <f>IF($V1505="",0,COUNTIFS($V$6:$V$2005,"&lt;"&amp;$V1505)-COUNTIFS($V$6:$V$2005,"&lt;"&amp;$V1505,$K$6:$K$2005,"")+1)</f>
        <v/>
      </c>
    </row>
    <row r="1506">
      <c r="A1506">
        <f>IF(Sync!$Z1506="","",LEFT(UPPER(TRIM(Sync!$Z1506)),6))</f>
        <v/>
      </c>
      <c r="B1506">
        <f>IF($A1506="","",IF(Sync!$AA1506="","",Sync!$AA1506))</f>
        <v/>
      </c>
      <c r="C1506">
        <f>IF($A1506="","",IF(Sync!$AB1506="","",Sync!$AB1506))</f>
        <v/>
      </c>
      <c r="D1506">
        <f>IF($A1506="","",IF(Sync!$AC1506="","",Sync!$AC1506))</f>
        <v/>
      </c>
      <c r="E1506">
        <f>IF($A1506="","",IF(Sync!$AD1506="","",Sync!$AD1506))</f>
        <v/>
      </c>
      <c r="F1506">
        <f>IF($A1506="","",IF(Sync!$AE1506="",0,Sync!$AE1506))</f>
        <v/>
      </c>
      <c r="G1506">
        <f>IF($A1506="","",IF(Sync!$AF1506="",0,Sync!$AF1506))</f>
        <v/>
      </c>
      <c r="H1506">
        <f>IF(OR($A1506="",ROUND($F1506+$G1506,2)=0),"",$F1506+$G1506)</f>
        <v/>
      </c>
      <c r="I1506">
        <f>IF($H1506="","",IF(ROUND($F1506,2)&gt;0,$A1506,IF($D1506="شخصی قاسم","شخصی قاسم",IF($D1506="هزینه","هزینه: "&amp;IF($E1506="","متفرقه",$E1506),IF($C1506="پاس چک","چک پرداختی",IF(OR($B1506="",COUNTIF(AcctCodesA,$B1506)=0),"متفرقه",$B1506))))))</f>
        <v/>
      </c>
      <c r="J1506">
        <f>IF($H1506="","",IF(ROUND($F1506,2)&gt;0,IF($D1506="شخصی قاسم","شخصی قاسم",IF($D1506="هزینه","هزینه: "&amp;IF($E1506="","متفرقه",$E1506),IF(OR($B1506="",COUNTIF(AcctCodesA,$B1506)=0),"متفرقه",$B1506))),$A1506))</f>
        <v/>
      </c>
      <c r="K1506">
        <f>IF($A1506="","",IF(AND($B1506&lt;&gt;"",COUNTIF(AcctCodesA,$B1506)=0),"کد طرف در INFO تعریف نشده",IF(AND($D1506="هزینه",$E1506=""),"هزینه بدون زیرگروه",IF(AND($C1506="پاس چک",OR(Sync!$AJ1506="",COUNTIF(IssueNosA,Sync!$AJ1506)=0)),"شماره چک پاس‌شده معتبر نیست",""))))</f>
        <v/>
      </c>
      <c r="V1506">
        <f>IF($K1506="","",IF(ISNUMBER(Sync!$AK1506),Sync!$AK1506,LEFT(Sync!$AK1506,4)&amp;MID(Sync!$AK1506,6,2)&amp;RIGHT(Sync!$AK1506,2))&amp;"|"&amp;"4"&amp;RIGHT("00000"&amp;1501,5))</f>
        <v/>
      </c>
      <c r="W1506">
        <f>IF($V1506="",0,COUNTIFS($V$6:$V$2005,"&lt;"&amp;$V1506)-COUNTIFS($V$6:$V$2005,"&lt;"&amp;$V1506,$K$6:$K$2005,"")+1)</f>
        <v/>
      </c>
    </row>
    <row r="1507">
      <c r="A1507">
        <f>IF(Sync!$Z1507="","",LEFT(UPPER(TRIM(Sync!$Z1507)),6))</f>
        <v/>
      </c>
      <c r="B1507">
        <f>IF($A1507="","",IF(Sync!$AA1507="","",Sync!$AA1507))</f>
        <v/>
      </c>
      <c r="C1507">
        <f>IF($A1507="","",IF(Sync!$AB1507="","",Sync!$AB1507))</f>
        <v/>
      </c>
      <c r="D1507">
        <f>IF($A1507="","",IF(Sync!$AC1507="","",Sync!$AC1507))</f>
        <v/>
      </c>
      <c r="E1507">
        <f>IF($A1507="","",IF(Sync!$AD1507="","",Sync!$AD1507))</f>
        <v/>
      </c>
      <c r="F1507">
        <f>IF($A1507="","",IF(Sync!$AE1507="",0,Sync!$AE1507))</f>
        <v/>
      </c>
      <c r="G1507">
        <f>IF($A1507="","",IF(Sync!$AF1507="",0,Sync!$AF1507))</f>
        <v/>
      </c>
      <c r="H1507">
        <f>IF(OR($A1507="",ROUND($F1507+$G1507,2)=0),"",$F1507+$G1507)</f>
        <v/>
      </c>
      <c r="I1507">
        <f>IF($H1507="","",IF(ROUND($F1507,2)&gt;0,$A1507,IF($D1507="شخصی قاسم","شخصی قاسم",IF($D1507="هزینه","هزینه: "&amp;IF($E1507="","متفرقه",$E1507),IF($C1507="پاس چک","چک پرداختی",IF(OR($B1507="",COUNTIF(AcctCodesA,$B1507)=0),"متفرقه",$B1507))))))</f>
        <v/>
      </c>
      <c r="J1507">
        <f>IF($H1507="","",IF(ROUND($F1507,2)&gt;0,IF($D1507="شخصی قاسم","شخصی قاسم",IF($D1507="هزینه","هزینه: "&amp;IF($E1507="","متفرقه",$E1507),IF(OR($B1507="",COUNTIF(AcctCodesA,$B1507)=0),"متفرقه",$B1507))),$A1507))</f>
        <v/>
      </c>
      <c r="K1507">
        <f>IF($A1507="","",IF(AND($B1507&lt;&gt;"",COUNTIF(AcctCodesA,$B1507)=0),"کد طرف در INFO تعریف نشده",IF(AND($D1507="هزینه",$E1507=""),"هزینه بدون زیرگروه",IF(AND($C1507="پاس چک",OR(Sync!$AJ1507="",COUNTIF(IssueNosA,Sync!$AJ1507)=0)),"شماره چک پاس‌شده معتبر نیست",""))))</f>
        <v/>
      </c>
      <c r="V1507">
        <f>IF($K1507="","",IF(ISNUMBER(Sync!$AK1507),Sync!$AK1507,LEFT(Sync!$AK1507,4)&amp;MID(Sync!$AK1507,6,2)&amp;RIGHT(Sync!$AK1507,2))&amp;"|"&amp;"4"&amp;RIGHT("00000"&amp;1502,5))</f>
        <v/>
      </c>
      <c r="W1507">
        <f>IF($V1507="",0,COUNTIFS($V$6:$V$2005,"&lt;"&amp;$V1507)-COUNTIFS($V$6:$V$2005,"&lt;"&amp;$V1507,$K$6:$K$2005,"")+1)</f>
        <v/>
      </c>
    </row>
    <row r="1508">
      <c r="A1508">
        <f>IF(Sync!$Z1508="","",LEFT(UPPER(TRIM(Sync!$Z1508)),6))</f>
        <v/>
      </c>
      <c r="B1508">
        <f>IF($A1508="","",IF(Sync!$AA1508="","",Sync!$AA1508))</f>
        <v/>
      </c>
      <c r="C1508">
        <f>IF($A1508="","",IF(Sync!$AB1508="","",Sync!$AB1508))</f>
        <v/>
      </c>
      <c r="D1508">
        <f>IF($A1508="","",IF(Sync!$AC1508="","",Sync!$AC1508))</f>
        <v/>
      </c>
      <c r="E1508">
        <f>IF($A1508="","",IF(Sync!$AD1508="","",Sync!$AD1508))</f>
        <v/>
      </c>
      <c r="F1508">
        <f>IF($A1508="","",IF(Sync!$AE1508="",0,Sync!$AE1508))</f>
        <v/>
      </c>
      <c r="G1508">
        <f>IF($A1508="","",IF(Sync!$AF1508="",0,Sync!$AF1508))</f>
        <v/>
      </c>
      <c r="H1508">
        <f>IF(OR($A1508="",ROUND($F1508+$G1508,2)=0),"",$F1508+$G1508)</f>
        <v/>
      </c>
      <c r="I1508">
        <f>IF($H1508="","",IF(ROUND($F1508,2)&gt;0,$A1508,IF($D1508="شخصی قاسم","شخصی قاسم",IF($D1508="هزینه","هزینه: "&amp;IF($E1508="","متفرقه",$E1508),IF($C1508="پاس چک","چک پرداختی",IF(OR($B1508="",COUNTIF(AcctCodesA,$B1508)=0),"متفرقه",$B1508))))))</f>
        <v/>
      </c>
      <c r="J1508">
        <f>IF($H1508="","",IF(ROUND($F1508,2)&gt;0,IF($D1508="شخصی قاسم","شخصی قاسم",IF($D1508="هزینه","هزینه: "&amp;IF($E1508="","متفرقه",$E1508),IF(OR($B1508="",COUNTIF(AcctCodesA,$B1508)=0),"متفرقه",$B1508))),$A1508))</f>
        <v/>
      </c>
      <c r="K1508">
        <f>IF($A1508="","",IF(AND($B1508&lt;&gt;"",COUNTIF(AcctCodesA,$B1508)=0),"کد طرف در INFO تعریف نشده",IF(AND($D1508="هزینه",$E1508=""),"هزینه بدون زیرگروه",IF(AND($C1508="پاس چک",OR(Sync!$AJ1508="",COUNTIF(IssueNosA,Sync!$AJ1508)=0)),"شماره چک پاس‌شده معتبر نیست",""))))</f>
        <v/>
      </c>
      <c r="V1508">
        <f>IF($K1508="","",IF(ISNUMBER(Sync!$AK1508),Sync!$AK1508,LEFT(Sync!$AK1508,4)&amp;MID(Sync!$AK1508,6,2)&amp;RIGHT(Sync!$AK1508,2))&amp;"|"&amp;"4"&amp;RIGHT("00000"&amp;1503,5))</f>
        <v/>
      </c>
      <c r="W1508">
        <f>IF($V1508="",0,COUNTIFS($V$6:$V$2005,"&lt;"&amp;$V1508)-COUNTIFS($V$6:$V$2005,"&lt;"&amp;$V1508,$K$6:$K$2005,"")+1)</f>
        <v/>
      </c>
    </row>
    <row r="1509">
      <c r="A1509">
        <f>IF(Sync!$Z1509="","",LEFT(UPPER(TRIM(Sync!$Z1509)),6))</f>
        <v/>
      </c>
      <c r="B1509">
        <f>IF($A1509="","",IF(Sync!$AA1509="","",Sync!$AA1509))</f>
        <v/>
      </c>
      <c r="C1509">
        <f>IF($A1509="","",IF(Sync!$AB1509="","",Sync!$AB1509))</f>
        <v/>
      </c>
      <c r="D1509">
        <f>IF($A1509="","",IF(Sync!$AC1509="","",Sync!$AC1509))</f>
        <v/>
      </c>
      <c r="E1509">
        <f>IF($A1509="","",IF(Sync!$AD1509="","",Sync!$AD1509))</f>
        <v/>
      </c>
      <c r="F1509">
        <f>IF($A1509="","",IF(Sync!$AE1509="",0,Sync!$AE1509))</f>
        <v/>
      </c>
      <c r="G1509">
        <f>IF($A1509="","",IF(Sync!$AF1509="",0,Sync!$AF1509))</f>
        <v/>
      </c>
      <c r="H1509">
        <f>IF(OR($A1509="",ROUND($F1509+$G1509,2)=0),"",$F1509+$G1509)</f>
        <v/>
      </c>
      <c r="I1509">
        <f>IF($H1509="","",IF(ROUND($F1509,2)&gt;0,$A1509,IF($D1509="شخصی قاسم","شخصی قاسم",IF($D1509="هزینه","هزینه: "&amp;IF($E1509="","متفرقه",$E1509),IF($C1509="پاس چک","چک پرداختی",IF(OR($B1509="",COUNTIF(AcctCodesA,$B1509)=0),"متفرقه",$B1509))))))</f>
        <v/>
      </c>
      <c r="J1509">
        <f>IF($H1509="","",IF(ROUND($F1509,2)&gt;0,IF($D1509="شخصی قاسم","شخصی قاسم",IF($D1509="هزینه","هزینه: "&amp;IF($E1509="","متفرقه",$E1509),IF(OR($B1509="",COUNTIF(AcctCodesA,$B1509)=0),"متفرقه",$B1509))),$A1509))</f>
        <v/>
      </c>
      <c r="K1509">
        <f>IF($A1509="","",IF(AND($B1509&lt;&gt;"",COUNTIF(AcctCodesA,$B1509)=0),"کد طرف در INFO تعریف نشده",IF(AND($D1509="هزینه",$E1509=""),"هزینه بدون زیرگروه",IF(AND($C1509="پاس چک",OR(Sync!$AJ1509="",COUNTIF(IssueNosA,Sync!$AJ1509)=0)),"شماره چک پاس‌شده معتبر نیست",""))))</f>
        <v/>
      </c>
      <c r="V1509">
        <f>IF($K1509="","",IF(ISNUMBER(Sync!$AK1509),Sync!$AK1509,LEFT(Sync!$AK1509,4)&amp;MID(Sync!$AK1509,6,2)&amp;RIGHT(Sync!$AK1509,2))&amp;"|"&amp;"4"&amp;RIGHT("00000"&amp;1504,5))</f>
        <v/>
      </c>
      <c r="W1509">
        <f>IF($V1509="",0,COUNTIFS($V$6:$V$2005,"&lt;"&amp;$V1509)-COUNTIFS($V$6:$V$2005,"&lt;"&amp;$V1509,$K$6:$K$2005,"")+1)</f>
        <v/>
      </c>
    </row>
    <row r="1510">
      <c r="A1510">
        <f>IF(Sync!$Z1510="","",LEFT(UPPER(TRIM(Sync!$Z1510)),6))</f>
        <v/>
      </c>
      <c r="B1510">
        <f>IF($A1510="","",IF(Sync!$AA1510="","",Sync!$AA1510))</f>
        <v/>
      </c>
      <c r="C1510">
        <f>IF($A1510="","",IF(Sync!$AB1510="","",Sync!$AB1510))</f>
        <v/>
      </c>
      <c r="D1510">
        <f>IF($A1510="","",IF(Sync!$AC1510="","",Sync!$AC1510))</f>
        <v/>
      </c>
      <c r="E1510">
        <f>IF($A1510="","",IF(Sync!$AD1510="","",Sync!$AD1510))</f>
        <v/>
      </c>
      <c r="F1510">
        <f>IF($A1510="","",IF(Sync!$AE1510="",0,Sync!$AE1510))</f>
        <v/>
      </c>
      <c r="G1510">
        <f>IF($A1510="","",IF(Sync!$AF1510="",0,Sync!$AF1510))</f>
        <v/>
      </c>
      <c r="H1510">
        <f>IF(OR($A1510="",ROUND($F1510+$G1510,2)=0),"",$F1510+$G1510)</f>
        <v/>
      </c>
      <c r="I1510">
        <f>IF($H1510="","",IF(ROUND($F1510,2)&gt;0,$A1510,IF($D1510="شخصی قاسم","شخصی قاسم",IF($D1510="هزینه","هزینه: "&amp;IF($E1510="","متفرقه",$E1510),IF($C1510="پاس چک","چک پرداختی",IF(OR($B1510="",COUNTIF(AcctCodesA,$B1510)=0),"متفرقه",$B1510))))))</f>
        <v/>
      </c>
      <c r="J1510">
        <f>IF($H1510="","",IF(ROUND($F1510,2)&gt;0,IF($D1510="شخصی قاسم","شخصی قاسم",IF($D1510="هزینه","هزینه: "&amp;IF($E1510="","متفرقه",$E1510),IF(OR($B1510="",COUNTIF(AcctCodesA,$B1510)=0),"متفرقه",$B1510))),$A1510))</f>
        <v/>
      </c>
      <c r="K1510">
        <f>IF($A1510="","",IF(AND($B1510&lt;&gt;"",COUNTIF(AcctCodesA,$B1510)=0),"کد طرف در INFO تعریف نشده",IF(AND($D1510="هزینه",$E1510=""),"هزینه بدون زیرگروه",IF(AND($C1510="پاس چک",OR(Sync!$AJ1510="",COUNTIF(IssueNosA,Sync!$AJ1510)=0)),"شماره چک پاس‌شده معتبر نیست",""))))</f>
        <v/>
      </c>
      <c r="V1510">
        <f>IF($K1510="","",IF(ISNUMBER(Sync!$AK1510),Sync!$AK1510,LEFT(Sync!$AK1510,4)&amp;MID(Sync!$AK1510,6,2)&amp;RIGHT(Sync!$AK1510,2))&amp;"|"&amp;"4"&amp;RIGHT("00000"&amp;1505,5))</f>
        <v/>
      </c>
      <c r="W1510">
        <f>IF($V1510="",0,COUNTIFS($V$6:$V$2005,"&lt;"&amp;$V1510)-COUNTIFS($V$6:$V$2005,"&lt;"&amp;$V1510,$K$6:$K$2005,"")+1)</f>
        <v/>
      </c>
    </row>
    <row r="1511">
      <c r="A1511">
        <f>IF(Sync!$Z1511="","",LEFT(UPPER(TRIM(Sync!$Z1511)),6))</f>
        <v/>
      </c>
      <c r="B1511">
        <f>IF($A1511="","",IF(Sync!$AA1511="","",Sync!$AA1511))</f>
        <v/>
      </c>
      <c r="C1511">
        <f>IF($A1511="","",IF(Sync!$AB1511="","",Sync!$AB1511))</f>
        <v/>
      </c>
      <c r="D1511">
        <f>IF($A1511="","",IF(Sync!$AC1511="","",Sync!$AC1511))</f>
        <v/>
      </c>
      <c r="E1511">
        <f>IF($A1511="","",IF(Sync!$AD1511="","",Sync!$AD1511))</f>
        <v/>
      </c>
      <c r="F1511">
        <f>IF($A1511="","",IF(Sync!$AE1511="",0,Sync!$AE1511))</f>
        <v/>
      </c>
      <c r="G1511">
        <f>IF($A1511="","",IF(Sync!$AF1511="",0,Sync!$AF1511))</f>
        <v/>
      </c>
      <c r="H1511">
        <f>IF(OR($A1511="",ROUND($F1511+$G1511,2)=0),"",$F1511+$G1511)</f>
        <v/>
      </c>
      <c r="I1511">
        <f>IF($H1511="","",IF(ROUND($F1511,2)&gt;0,$A1511,IF($D1511="شخصی قاسم","شخصی قاسم",IF($D1511="هزینه","هزینه: "&amp;IF($E1511="","متفرقه",$E1511),IF($C1511="پاس چک","چک پرداختی",IF(OR($B1511="",COUNTIF(AcctCodesA,$B1511)=0),"متفرقه",$B1511))))))</f>
        <v/>
      </c>
      <c r="J1511">
        <f>IF($H1511="","",IF(ROUND($F1511,2)&gt;0,IF($D1511="شخصی قاسم","شخصی قاسم",IF($D1511="هزینه","هزینه: "&amp;IF($E1511="","متفرقه",$E1511),IF(OR($B1511="",COUNTIF(AcctCodesA,$B1511)=0),"متفرقه",$B1511))),$A1511))</f>
        <v/>
      </c>
      <c r="K1511">
        <f>IF($A1511="","",IF(AND($B1511&lt;&gt;"",COUNTIF(AcctCodesA,$B1511)=0),"کد طرف در INFO تعریف نشده",IF(AND($D1511="هزینه",$E1511=""),"هزینه بدون زیرگروه",IF(AND($C1511="پاس چک",OR(Sync!$AJ1511="",COUNTIF(IssueNosA,Sync!$AJ1511)=0)),"شماره چک پاس‌شده معتبر نیست",""))))</f>
        <v/>
      </c>
      <c r="V1511">
        <f>IF($K1511="","",IF(ISNUMBER(Sync!$AK1511),Sync!$AK1511,LEFT(Sync!$AK1511,4)&amp;MID(Sync!$AK1511,6,2)&amp;RIGHT(Sync!$AK1511,2))&amp;"|"&amp;"4"&amp;RIGHT("00000"&amp;1506,5))</f>
        <v/>
      </c>
      <c r="W1511">
        <f>IF($V1511="",0,COUNTIFS($V$6:$V$2005,"&lt;"&amp;$V1511)-COUNTIFS($V$6:$V$2005,"&lt;"&amp;$V1511,$K$6:$K$2005,"")+1)</f>
        <v/>
      </c>
    </row>
    <row r="1512">
      <c r="A1512">
        <f>IF(Sync!$Z1512="","",LEFT(UPPER(TRIM(Sync!$Z1512)),6))</f>
        <v/>
      </c>
      <c r="B1512">
        <f>IF($A1512="","",IF(Sync!$AA1512="","",Sync!$AA1512))</f>
        <v/>
      </c>
      <c r="C1512">
        <f>IF($A1512="","",IF(Sync!$AB1512="","",Sync!$AB1512))</f>
        <v/>
      </c>
      <c r="D1512">
        <f>IF($A1512="","",IF(Sync!$AC1512="","",Sync!$AC1512))</f>
        <v/>
      </c>
      <c r="E1512">
        <f>IF($A1512="","",IF(Sync!$AD1512="","",Sync!$AD1512))</f>
        <v/>
      </c>
      <c r="F1512">
        <f>IF($A1512="","",IF(Sync!$AE1512="",0,Sync!$AE1512))</f>
        <v/>
      </c>
      <c r="G1512">
        <f>IF($A1512="","",IF(Sync!$AF1512="",0,Sync!$AF1512))</f>
        <v/>
      </c>
      <c r="H1512">
        <f>IF(OR($A1512="",ROUND($F1512+$G1512,2)=0),"",$F1512+$G1512)</f>
        <v/>
      </c>
      <c r="I1512">
        <f>IF($H1512="","",IF(ROUND($F1512,2)&gt;0,$A1512,IF($D1512="شخصی قاسم","شخصی قاسم",IF($D1512="هزینه","هزینه: "&amp;IF($E1512="","متفرقه",$E1512),IF($C1512="پاس چک","چک پرداختی",IF(OR($B1512="",COUNTIF(AcctCodesA,$B1512)=0),"متفرقه",$B1512))))))</f>
        <v/>
      </c>
      <c r="J1512">
        <f>IF($H1512="","",IF(ROUND($F1512,2)&gt;0,IF($D1512="شخصی قاسم","شخصی قاسم",IF($D1512="هزینه","هزینه: "&amp;IF($E1512="","متفرقه",$E1512),IF(OR($B1512="",COUNTIF(AcctCodesA,$B1512)=0),"متفرقه",$B1512))),$A1512))</f>
        <v/>
      </c>
      <c r="K1512">
        <f>IF($A1512="","",IF(AND($B1512&lt;&gt;"",COUNTIF(AcctCodesA,$B1512)=0),"کد طرف در INFO تعریف نشده",IF(AND($D1512="هزینه",$E1512=""),"هزینه بدون زیرگروه",IF(AND($C1512="پاس چک",OR(Sync!$AJ1512="",COUNTIF(IssueNosA,Sync!$AJ1512)=0)),"شماره چک پاس‌شده معتبر نیست",""))))</f>
        <v/>
      </c>
      <c r="V1512">
        <f>IF($K1512="","",IF(ISNUMBER(Sync!$AK1512),Sync!$AK1512,LEFT(Sync!$AK1512,4)&amp;MID(Sync!$AK1512,6,2)&amp;RIGHT(Sync!$AK1512,2))&amp;"|"&amp;"4"&amp;RIGHT("00000"&amp;1507,5))</f>
        <v/>
      </c>
      <c r="W1512">
        <f>IF($V1512="",0,COUNTIFS($V$6:$V$2005,"&lt;"&amp;$V1512)-COUNTIFS($V$6:$V$2005,"&lt;"&amp;$V1512,$K$6:$K$2005,"")+1)</f>
        <v/>
      </c>
    </row>
    <row r="1513">
      <c r="A1513">
        <f>IF(Sync!$Z1513="","",LEFT(UPPER(TRIM(Sync!$Z1513)),6))</f>
        <v/>
      </c>
      <c r="B1513">
        <f>IF($A1513="","",IF(Sync!$AA1513="","",Sync!$AA1513))</f>
        <v/>
      </c>
      <c r="C1513">
        <f>IF($A1513="","",IF(Sync!$AB1513="","",Sync!$AB1513))</f>
        <v/>
      </c>
      <c r="D1513">
        <f>IF($A1513="","",IF(Sync!$AC1513="","",Sync!$AC1513))</f>
        <v/>
      </c>
      <c r="E1513">
        <f>IF($A1513="","",IF(Sync!$AD1513="","",Sync!$AD1513))</f>
        <v/>
      </c>
      <c r="F1513">
        <f>IF($A1513="","",IF(Sync!$AE1513="",0,Sync!$AE1513))</f>
        <v/>
      </c>
      <c r="G1513">
        <f>IF($A1513="","",IF(Sync!$AF1513="",0,Sync!$AF1513))</f>
        <v/>
      </c>
      <c r="H1513">
        <f>IF(OR($A1513="",ROUND($F1513+$G1513,2)=0),"",$F1513+$G1513)</f>
        <v/>
      </c>
      <c r="I1513">
        <f>IF($H1513="","",IF(ROUND($F1513,2)&gt;0,$A1513,IF($D1513="شخصی قاسم","شخصی قاسم",IF($D1513="هزینه","هزینه: "&amp;IF($E1513="","متفرقه",$E1513),IF($C1513="پاس چک","چک پرداختی",IF(OR($B1513="",COUNTIF(AcctCodesA,$B1513)=0),"متفرقه",$B1513))))))</f>
        <v/>
      </c>
      <c r="J1513">
        <f>IF($H1513="","",IF(ROUND($F1513,2)&gt;0,IF($D1513="شخصی قاسم","شخصی قاسم",IF($D1513="هزینه","هزینه: "&amp;IF($E1513="","متفرقه",$E1513),IF(OR($B1513="",COUNTIF(AcctCodesA,$B1513)=0),"متفرقه",$B1513))),$A1513))</f>
        <v/>
      </c>
      <c r="K1513">
        <f>IF($A1513="","",IF(AND($B1513&lt;&gt;"",COUNTIF(AcctCodesA,$B1513)=0),"کد طرف در INFO تعریف نشده",IF(AND($D1513="هزینه",$E1513=""),"هزینه بدون زیرگروه",IF(AND($C1513="پاس چک",OR(Sync!$AJ1513="",COUNTIF(IssueNosA,Sync!$AJ1513)=0)),"شماره چک پاس‌شده معتبر نیست",""))))</f>
        <v/>
      </c>
      <c r="V1513">
        <f>IF($K1513="","",IF(ISNUMBER(Sync!$AK1513),Sync!$AK1513,LEFT(Sync!$AK1513,4)&amp;MID(Sync!$AK1513,6,2)&amp;RIGHT(Sync!$AK1513,2))&amp;"|"&amp;"4"&amp;RIGHT("00000"&amp;1508,5))</f>
        <v/>
      </c>
      <c r="W1513">
        <f>IF($V1513="",0,COUNTIFS($V$6:$V$2005,"&lt;"&amp;$V1513)-COUNTIFS($V$6:$V$2005,"&lt;"&amp;$V1513,$K$6:$K$2005,"")+1)</f>
        <v/>
      </c>
    </row>
    <row r="1514">
      <c r="A1514">
        <f>IF(Sync!$Z1514="","",LEFT(UPPER(TRIM(Sync!$Z1514)),6))</f>
        <v/>
      </c>
      <c r="B1514">
        <f>IF($A1514="","",IF(Sync!$AA1514="","",Sync!$AA1514))</f>
        <v/>
      </c>
      <c r="C1514">
        <f>IF($A1514="","",IF(Sync!$AB1514="","",Sync!$AB1514))</f>
        <v/>
      </c>
      <c r="D1514">
        <f>IF($A1514="","",IF(Sync!$AC1514="","",Sync!$AC1514))</f>
        <v/>
      </c>
      <c r="E1514">
        <f>IF($A1514="","",IF(Sync!$AD1514="","",Sync!$AD1514))</f>
        <v/>
      </c>
      <c r="F1514">
        <f>IF($A1514="","",IF(Sync!$AE1514="",0,Sync!$AE1514))</f>
        <v/>
      </c>
      <c r="G1514">
        <f>IF($A1514="","",IF(Sync!$AF1514="",0,Sync!$AF1514))</f>
        <v/>
      </c>
      <c r="H1514">
        <f>IF(OR($A1514="",ROUND($F1514+$G1514,2)=0),"",$F1514+$G1514)</f>
        <v/>
      </c>
      <c r="I1514">
        <f>IF($H1514="","",IF(ROUND($F1514,2)&gt;0,$A1514,IF($D1514="شخصی قاسم","شخصی قاسم",IF($D1514="هزینه","هزینه: "&amp;IF($E1514="","متفرقه",$E1514),IF($C1514="پاس چک","چک پرداختی",IF(OR($B1514="",COUNTIF(AcctCodesA,$B1514)=0),"متفرقه",$B1514))))))</f>
        <v/>
      </c>
      <c r="J1514">
        <f>IF($H1514="","",IF(ROUND($F1514,2)&gt;0,IF($D1514="شخصی قاسم","شخصی قاسم",IF($D1514="هزینه","هزینه: "&amp;IF($E1514="","متفرقه",$E1514),IF(OR($B1514="",COUNTIF(AcctCodesA,$B1514)=0),"متفرقه",$B1514))),$A1514))</f>
        <v/>
      </c>
      <c r="K1514">
        <f>IF($A1514="","",IF(AND($B1514&lt;&gt;"",COUNTIF(AcctCodesA,$B1514)=0),"کد طرف در INFO تعریف نشده",IF(AND($D1514="هزینه",$E1514=""),"هزینه بدون زیرگروه",IF(AND($C1514="پاس چک",OR(Sync!$AJ1514="",COUNTIF(IssueNosA,Sync!$AJ1514)=0)),"شماره چک پاس‌شده معتبر نیست",""))))</f>
        <v/>
      </c>
      <c r="V1514">
        <f>IF($K1514="","",IF(ISNUMBER(Sync!$AK1514),Sync!$AK1514,LEFT(Sync!$AK1514,4)&amp;MID(Sync!$AK1514,6,2)&amp;RIGHT(Sync!$AK1514,2))&amp;"|"&amp;"4"&amp;RIGHT("00000"&amp;1509,5))</f>
        <v/>
      </c>
      <c r="W1514">
        <f>IF($V1514="",0,COUNTIFS($V$6:$V$2005,"&lt;"&amp;$V1514)-COUNTIFS($V$6:$V$2005,"&lt;"&amp;$V1514,$K$6:$K$2005,"")+1)</f>
        <v/>
      </c>
    </row>
    <row r="1515">
      <c r="A1515">
        <f>IF(Sync!$Z1515="","",LEFT(UPPER(TRIM(Sync!$Z1515)),6))</f>
        <v/>
      </c>
      <c r="B1515">
        <f>IF($A1515="","",IF(Sync!$AA1515="","",Sync!$AA1515))</f>
        <v/>
      </c>
      <c r="C1515">
        <f>IF($A1515="","",IF(Sync!$AB1515="","",Sync!$AB1515))</f>
        <v/>
      </c>
      <c r="D1515">
        <f>IF($A1515="","",IF(Sync!$AC1515="","",Sync!$AC1515))</f>
        <v/>
      </c>
      <c r="E1515">
        <f>IF($A1515="","",IF(Sync!$AD1515="","",Sync!$AD1515))</f>
        <v/>
      </c>
      <c r="F1515">
        <f>IF($A1515="","",IF(Sync!$AE1515="",0,Sync!$AE1515))</f>
        <v/>
      </c>
      <c r="G1515">
        <f>IF($A1515="","",IF(Sync!$AF1515="",0,Sync!$AF1515))</f>
        <v/>
      </c>
      <c r="H1515">
        <f>IF(OR($A1515="",ROUND($F1515+$G1515,2)=0),"",$F1515+$G1515)</f>
        <v/>
      </c>
      <c r="I1515">
        <f>IF($H1515="","",IF(ROUND($F1515,2)&gt;0,$A1515,IF($D1515="شخصی قاسم","شخصی قاسم",IF($D1515="هزینه","هزینه: "&amp;IF($E1515="","متفرقه",$E1515),IF($C1515="پاس چک","چک پرداختی",IF(OR($B1515="",COUNTIF(AcctCodesA,$B1515)=0),"متفرقه",$B1515))))))</f>
        <v/>
      </c>
      <c r="J1515">
        <f>IF($H1515="","",IF(ROUND($F1515,2)&gt;0,IF($D1515="شخصی قاسم","شخصی قاسم",IF($D1515="هزینه","هزینه: "&amp;IF($E1515="","متفرقه",$E1515),IF(OR($B1515="",COUNTIF(AcctCodesA,$B1515)=0),"متفرقه",$B1515))),$A1515))</f>
        <v/>
      </c>
      <c r="K1515">
        <f>IF($A1515="","",IF(AND($B1515&lt;&gt;"",COUNTIF(AcctCodesA,$B1515)=0),"کد طرف در INFO تعریف نشده",IF(AND($D1515="هزینه",$E1515=""),"هزینه بدون زیرگروه",IF(AND($C1515="پاس چک",OR(Sync!$AJ1515="",COUNTIF(IssueNosA,Sync!$AJ1515)=0)),"شماره چک پاس‌شده معتبر نیست",""))))</f>
        <v/>
      </c>
      <c r="V1515">
        <f>IF($K1515="","",IF(ISNUMBER(Sync!$AK1515),Sync!$AK1515,LEFT(Sync!$AK1515,4)&amp;MID(Sync!$AK1515,6,2)&amp;RIGHT(Sync!$AK1515,2))&amp;"|"&amp;"4"&amp;RIGHT("00000"&amp;1510,5))</f>
        <v/>
      </c>
      <c r="W1515">
        <f>IF($V1515="",0,COUNTIFS($V$6:$V$2005,"&lt;"&amp;$V1515)-COUNTIFS($V$6:$V$2005,"&lt;"&amp;$V1515,$K$6:$K$2005,"")+1)</f>
        <v/>
      </c>
    </row>
    <row r="1516">
      <c r="A1516">
        <f>IF(Sync!$Z1516="","",LEFT(UPPER(TRIM(Sync!$Z1516)),6))</f>
        <v/>
      </c>
      <c r="B1516">
        <f>IF($A1516="","",IF(Sync!$AA1516="","",Sync!$AA1516))</f>
        <v/>
      </c>
      <c r="C1516">
        <f>IF($A1516="","",IF(Sync!$AB1516="","",Sync!$AB1516))</f>
        <v/>
      </c>
      <c r="D1516">
        <f>IF($A1516="","",IF(Sync!$AC1516="","",Sync!$AC1516))</f>
        <v/>
      </c>
      <c r="E1516">
        <f>IF($A1516="","",IF(Sync!$AD1516="","",Sync!$AD1516))</f>
        <v/>
      </c>
      <c r="F1516">
        <f>IF($A1516="","",IF(Sync!$AE1516="",0,Sync!$AE1516))</f>
        <v/>
      </c>
      <c r="G1516">
        <f>IF($A1516="","",IF(Sync!$AF1516="",0,Sync!$AF1516))</f>
        <v/>
      </c>
      <c r="H1516">
        <f>IF(OR($A1516="",ROUND($F1516+$G1516,2)=0),"",$F1516+$G1516)</f>
        <v/>
      </c>
      <c r="I1516">
        <f>IF($H1516="","",IF(ROUND($F1516,2)&gt;0,$A1516,IF($D1516="شخصی قاسم","شخصی قاسم",IF($D1516="هزینه","هزینه: "&amp;IF($E1516="","متفرقه",$E1516),IF($C1516="پاس چک","چک پرداختی",IF(OR($B1516="",COUNTIF(AcctCodesA,$B1516)=0),"متفرقه",$B1516))))))</f>
        <v/>
      </c>
      <c r="J1516">
        <f>IF($H1516="","",IF(ROUND($F1516,2)&gt;0,IF($D1516="شخصی قاسم","شخصی قاسم",IF($D1516="هزینه","هزینه: "&amp;IF($E1516="","متفرقه",$E1516),IF(OR($B1516="",COUNTIF(AcctCodesA,$B1516)=0),"متفرقه",$B1516))),$A1516))</f>
        <v/>
      </c>
      <c r="K1516">
        <f>IF($A1516="","",IF(AND($B1516&lt;&gt;"",COUNTIF(AcctCodesA,$B1516)=0),"کد طرف در INFO تعریف نشده",IF(AND($D1516="هزینه",$E1516=""),"هزینه بدون زیرگروه",IF(AND($C1516="پاس چک",OR(Sync!$AJ1516="",COUNTIF(IssueNosA,Sync!$AJ1516)=0)),"شماره چک پاس‌شده معتبر نیست",""))))</f>
        <v/>
      </c>
      <c r="V1516">
        <f>IF($K1516="","",IF(ISNUMBER(Sync!$AK1516),Sync!$AK1516,LEFT(Sync!$AK1516,4)&amp;MID(Sync!$AK1516,6,2)&amp;RIGHT(Sync!$AK1516,2))&amp;"|"&amp;"4"&amp;RIGHT("00000"&amp;1511,5))</f>
        <v/>
      </c>
      <c r="W1516">
        <f>IF($V1516="",0,COUNTIFS($V$6:$V$2005,"&lt;"&amp;$V1516)-COUNTIFS($V$6:$V$2005,"&lt;"&amp;$V1516,$K$6:$K$2005,"")+1)</f>
        <v/>
      </c>
    </row>
    <row r="1517">
      <c r="A1517">
        <f>IF(Sync!$Z1517="","",LEFT(UPPER(TRIM(Sync!$Z1517)),6))</f>
        <v/>
      </c>
      <c r="B1517">
        <f>IF($A1517="","",IF(Sync!$AA1517="","",Sync!$AA1517))</f>
        <v/>
      </c>
      <c r="C1517">
        <f>IF($A1517="","",IF(Sync!$AB1517="","",Sync!$AB1517))</f>
        <v/>
      </c>
      <c r="D1517">
        <f>IF($A1517="","",IF(Sync!$AC1517="","",Sync!$AC1517))</f>
        <v/>
      </c>
      <c r="E1517">
        <f>IF($A1517="","",IF(Sync!$AD1517="","",Sync!$AD1517))</f>
        <v/>
      </c>
      <c r="F1517">
        <f>IF($A1517="","",IF(Sync!$AE1517="",0,Sync!$AE1517))</f>
        <v/>
      </c>
      <c r="G1517">
        <f>IF($A1517="","",IF(Sync!$AF1517="",0,Sync!$AF1517))</f>
        <v/>
      </c>
      <c r="H1517">
        <f>IF(OR($A1517="",ROUND($F1517+$G1517,2)=0),"",$F1517+$G1517)</f>
        <v/>
      </c>
      <c r="I1517">
        <f>IF($H1517="","",IF(ROUND($F1517,2)&gt;0,$A1517,IF($D1517="شخصی قاسم","شخصی قاسم",IF($D1517="هزینه","هزینه: "&amp;IF($E1517="","متفرقه",$E1517),IF($C1517="پاس چک","چک پرداختی",IF(OR($B1517="",COUNTIF(AcctCodesA,$B1517)=0),"متفرقه",$B1517))))))</f>
        <v/>
      </c>
      <c r="J1517">
        <f>IF($H1517="","",IF(ROUND($F1517,2)&gt;0,IF($D1517="شخصی قاسم","شخصی قاسم",IF($D1517="هزینه","هزینه: "&amp;IF($E1517="","متفرقه",$E1517),IF(OR($B1517="",COUNTIF(AcctCodesA,$B1517)=0),"متفرقه",$B1517))),$A1517))</f>
        <v/>
      </c>
      <c r="K1517">
        <f>IF($A1517="","",IF(AND($B1517&lt;&gt;"",COUNTIF(AcctCodesA,$B1517)=0),"کد طرف در INFO تعریف نشده",IF(AND($D1517="هزینه",$E1517=""),"هزینه بدون زیرگروه",IF(AND($C1517="پاس چک",OR(Sync!$AJ1517="",COUNTIF(IssueNosA,Sync!$AJ1517)=0)),"شماره چک پاس‌شده معتبر نیست",""))))</f>
        <v/>
      </c>
      <c r="V1517">
        <f>IF($K1517="","",IF(ISNUMBER(Sync!$AK1517),Sync!$AK1517,LEFT(Sync!$AK1517,4)&amp;MID(Sync!$AK1517,6,2)&amp;RIGHT(Sync!$AK1517,2))&amp;"|"&amp;"4"&amp;RIGHT("00000"&amp;1512,5))</f>
        <v/>
      </c>
      <c r="W1517">
        <f>IF($V1517="",0,COUNTIFS($V$6:$V$2005,"&lt;"&amp;$V1517)-COUNTIFS($V$6:$V$2005,"&lt;"&amp;$V1517,$K$6:$K$2005,"")+1)</f>
        <v/>
      </c>
    </row>
    <row r="1518">
      <c r="A1518">
        <f>IF(Sync!$Z1518="","",LEFT(UPPER(TRIM(Sync!$Z1518)),6))</f>
        <v/>
      </c>
      <c r="B1518">
        <f>IF($A1518="","",IF(Sync!$AA1518="","",Sync!$AA1518))</f>
        <v/>
      </c>
      <c r="C1518">
        <f>IF($A1518="","",IF(Sync!$AB1518="","",Sync!$AB1518))</f>
        <v/>
      </c>
      <c r="D1518">
        <f>IF($A1518="","",IF(Sync!$AC1518="","",Sync!$AC1518))</f>
        <v/>
      </c>
      <c r="E1518">
        <f>IF($A1518="","",IF(Sync!$AD1518="","",Sync!$AD1518))</f>
        <v/>
      </c>
      <c r="F1518">
        <f>IF($A1518="","",IF(Sync!$AE1518="",0,Sync!$AE1518))</f>
        <v/>
      </c>
      <c r="G1518">
        <f>IF($A1518="","",IF(Sync!$AF1518="",0,Sync!$AF1518))</f>
        <v/>
      </c>
      <c r="H1518">
        <f>IF(OR($A1518="",ROUND($F1518+$G1518,2)=0),"",$F1518+$G1518)</f>
        <v/>
      </c>
      <c r="I1518">
        <f>IF($H1518="","",IF(ROUND($F1518,2)&gt;0,$A1518,IF($D1518="شخصی قاسم","شخصی قاسم",IF($D1518="هزینه","هزینه: "&amp;IF($E1518="","متفرقه",$E1518),IF($C1518="پاس چک","چک پرداختی",IF(OR($B1518="",COUNTIF(AcctCodesA,$B1518)=0),"متفرقه",$B1518))))))</f>
        <v/>
      </c>
      <c r="J1518">
        <f>IF($H1518="","",IF(ROUND($F1518,2)&gt;0,IF($D1518="شخصی قاسم","شخصی قاسم",IF($D1518="هزینه","هزینه: "&amp;IF($E1518="","متفرقه",$E1518),IF(OR($B1518="",COUNTIF(AcctCodesA,$B1518)=0),"متفرقه",$B1518))),$A1518))</f>
        <v/>
      </c>
      <c r="K1518">
        <f>IF($A1518="","",IF(AND($B1518&lt;&gt;"",COUNTIF(AcctCodesA,$B1518)=0),"کد طرف در INFO تعریف نشده",IF(AND($D1518="هزینه",$E1518=""),"هزینه بدون زیرگروه",IF(AND($C1518="پاس چک",OR(Sync!$AJ1518="",COUNTIF(IssueNosA,Sync!$AJ1518)=0)),"شماره چک پاس‌شده معتبر نیست",""))))</f>
        <v/>
      </c>
      <c r="V1518">
        <f>IF($K1518="","",IF(ISNUMBER(Sync!$AK1518),Sync!$AK1518,LEFT(Sync!$AK1518,4)&amp;MID(Sync!$AK1518,6,2)&amp;RIGHT(Sync!$AK1518,2))&amp;"|"&amp;"4"&amp;RIGHT("00000"&amp;1513,5))</f>
        <v/>
      </c>
      <c r="W1518">
        <f>IF($V1518="",0,COUNTIFS($V$6:$V$2005,"&lt;"&amp;$V1518)-COUNTIFS($V$6:$V$2005,"&lt;"&amp;$V1518,$K$6:$K$2005,"")+1)</f>
        <v/>
      </c>
    </row>
    <row r="1519">
      <c r="A1519">
        <f>IF(Sync!$Z1519="","",LEFT(UPPER(TRIM(Sync!$Z1519)),6))</f>
        <v/>
      </c>
      <c r="B1519">
        <f>IF($A1519="","",IF(Sync!$AA1519="","",Sync!$AA1519))</f>
        <v/>
      </c>
      <c r="C1519">
        <f>IF($A1519="","",IF(Sync!$AB1519="","",Sync!$AB1519))</f>
        <v/>
      </c>
      <c r="D1519">
        <f>IF($A1519="","",IF(Sync!$AC1519="","",Sync!$AC1519))</f>
        <v/>
      </c>
      <c r="E1519">
        <f>IF($A1519="","",IF(Sync!$AD1519="","",Sync!$AD1519))</f>
        <v/>
      </c>
      <c r="F1519">
        <f>IF($A1519="","",IF(Sync!$AE1519="",0,Sync!$AE1519))</f>
        <v/>
      </c>
      <c r="G1519">
        <f>IF($A1519="","",IF(Sync!$AF1519="",0,Sync!$AF1519))</f>
        <v/>
      </c>
      <c r="H1519">
        <f>IF(OR($A1519="",ROUND($F1519+$G1519,2)=0),"",$F1519+$G1519)</f>
        <v/>
      </c>
      <c r="I1519">
        <f>IF($H1519="","",IF(ROUND($F1519,2)&gt;0,$A1519,IF($D1519="شخصی قاسم","شخصی قاسم",IF($D1519="هزینه","هزینه: "&amp;IF($E1519="","متفرقه",$E1519),IF($C1519="پاس چک","چک پرداختی",IF(OR($B1519="",COUNTIF(AcctCodesA,$B1519)=0),"متفرقه",$B1519))))))</f>
        <v/>
      </c>
      <c r="J1519">
        <f>IF($H1519="","",IF(ROUND($F1519,2)&gt;0,IF($D1519="شخصی قاسم","شخصی قاسم",IF($D1519="هزینه","هزینه: "&amp;IF($E1519="","متفرقه",$E1519),IF(OR($B1519="",COUNTIF(AcctCodesA,$B1519)=0),"متفرقه",$B1519))),$A1519))</f>
        <v/>
      </c>
      <c r="K1519">
        <f>IF($A1519="","",IF(AND($B1519&lt;&gt;"",COUNTIF(AcctCodesA,$B1519)=0),"کد طرف در INFO تعریف نشده",IF(AND($D1519="هزینه",$E1519=""),"هزینه بدون زیرگروه",IF(AND($C1519="پاس چک",OR(Sync!$AJ1519="",COUNTIF(IssueNosA,Sync!$AJ1519)=0)),"شماره چک پاس‌شده معتبر نیست",""))))</f>
        <v/>
      </c>
      <c r="V1519">
        <f>IF($K1519="","",IF(ISNUMBER(Sync!$AK1519),Sync!$AK1519,LEFT(Sync!$AK1519,4)&amp;MID(Sync!$AK1519,6,2)&amp;RIGHT(Sync!$AK1519,2))&amp;"|"&amp;"4"&amp;RIGHT("00000"&amp;1514,5))</f>
        <v/>
      </c>
      <c r="W1519">
        <f>IF($V1519="",0,COUNTIFS($V$6:$V$2005,"&lt;"&amp;$V1519)-COUNTIFS($V$6:$V$2005,"&lt;"&amp;$V1519,$K$6:$K$2005,"")+1)</f>
        <v/>
      </c>
    </row>
    <row r="1520">
      <c r="A1520">
        <f>IF(Sync!$Z1520="","",LEFT(UPPER(TRIM(Sync!$Z1520)),6))</f>
        <v/>
      </c>
      <c r="B1520">
        <f>IF($A1520="","",IF(Sync!$AA1520="","",Sync!$AA1520))</f>
        <v/>
      </c>
      <c r="C1520">
        <f>IF($A1520="","",IF(Sync!$AB1520="","",Sync!$AB1520))</f>
        <v/>
      </c>
      <c r="D1520">
        <f>IF($A1520="","",IF(Sync!$AC1520="","",Sync!$AC1520))</f>
        <v/>
      </c>
      <c r="E1520">
        <f>IF($A1520="","",IF(Sync!$AD1520="","",Sync!$AD1520))</f>
        <v/>
      </c>
      <c r="F1520">
        <f>IF($A1520="","",IF(Sync!$AE1520="",0,Sync!$AE1520))</f>
        <v/>
      </c>
      <c r="G1520">
        <f>IF($A1520="","",IF(Sync!$AF1520="",0,Sync!$AF1520))</f>
        <v/>
      </c>
      <c r="H1520">
        <f>IF(OR($A1520="",ROUND($F1520+$G1520,2)=0),"",$F1520+$G1520)</f>
        <v/>
      </c>
      <c r="I1520">
        <f>IF($H1520="","",IF(ROUND($F1520,2)&gt;0,$A1520,IF($D1520="شخصی قاسم","شخصی قاسم",IF($D1520="هزینه","هزینه: "&amp;IF($E1520="","متفرقه",$E1520),IF($C1520="پاس چک","چک پرداختی",IF(OR($B1520="",COUNTIF(AcctCodesA,$B1520)=0),"متفرقه",$B1520))))))</f>
        <v/>
      </c>
      <c r="J1520">
        <f>IF($H1520="","",IF(ROUND($F1520,2)&gt;0,IF($D1520="شخصی قاسم","شخصی قاسم",IF($D1520="هزینه","هزینه: "&amp;IF($E1520="","متفرقه",$E1520),IF(OR($B1520="",COUNTIF(AcctCodesA,$B1520)=0),"متفرقه",$B1520))),$A1520))</f>
        <v/>
      </c>
      <c r="K1520">
        <f>IF($A1520="","",IF(AND($B1520&lt;&gt;"",COUNTIF(AcctCodesA,$B1520)=0),"کد طرف در INFO تعریف نشده",IF(AND($D1520="هزینه",$E1520=""),"هزینه بدون زیرگروه",IF(AND($C1520="پاس چک",OR(Sync!$AJ1520="",COUNTIF(IssueNosA,Sync!$AJ1520)=0)),"شماره چک پاس‌شده معتبر نیست",""))))</f>
        <v/>
      </c>
      <c r="V1520">
        <f>IF($K1520="","",IF(ISNUMBER(Sync!$AK1520),Sync!$AK1520,LEFT(Sync!$AK1520,4)&amp;MID(Sync!$AK1520,6,2)&amp;RIGHT(Sync!$AK1520,2))&amp;"|"&amp;"4"&amp;RIGHT("00000"&amp;1515,5))</f>
        <v/>
      </c>
      <c r="W1520">
        <f>IF($V1520="",0,COUNTIFS($V$6:$V$2005,"&lt;"&amp;$V1520)-COUNTIFS($V$6:$V$2005,"&lt;"&amp;$V1520,$K$6:$K$2005,"")+1)</f>
        <v/>
      </c>
    </row>
    <row r="1521">
      <c r="A1521">
        <f>IF(Sync!$Z1521="","",LEFT(UPPER(TRIM(Sync!$Z1521)),6))</f>
        <v/>
      </c>
      <c r="B1521">
        <f>IF($A1521="","",IF(Sync!$AA1521="","",Sync!$AA1521))</f>
        <v/>
      </c>
      <c r="C1521">
        <f>IF($A1521="","",IF(Sync!$AB1521="","",Sync!$AB1521))</f>
        <v/>
      </c>
      <c r="D1521">
        <f>IF($A1521="","",IF(Sync!$AC1521="","",Sync!$AC1521))</f>
        <v/>
      </c>
      <c r="E1521">
        <f>IF($A1521="","",IF(Sync!$AD1521="","",Sync!$AD1521))</f>
        <v/>
      </c>
      <c r="F1521">
        <f>IF($A1521="","",IF(Sync!$AE1521="",0,Sync!$AE1521))</f>
        <v/>
      </c>
      <c r="G1521">
        <f>IF($A1521="","",IF(Sync!$AF1521="",0,Sync!$AF1521))</f>
        <v/>
      </c>
      <c r="H1521">
        <f>IF(OR($A1521="",ROUND($F1521+$G1521,2)=0),"",$F1521+$G1521)</f>
        <v/>
      </c>
      <c r="I1521">
        <f>IF($H1521="","",IF(ROUND($F1521,2)&gt;0,$A1521,IF($D1521="شخصی قاسم","شخصی قاسم",IF($D1521="هزینه","هزینه: "&amp;IF($E1521="","متفرقه",$E1521),IF($C1521="پاس چک","چک پرداختی",IF(OR($B1521="",COUNTIF(AcctCodesA,$B1521)=0),"متفرقه",$B1521))))))</f>
        <v/>
      </c>
      <c r="J1521">
        <f>IF($H1521="","",IF(ROUND($F1521,2)&gt;0,IF($D1521="شخصی قاسم","شخصی قاسم",IF($D1521="هزینه","هزینه: "&amp;IF($E1521="","متفرقه",$E1521),IF(OR($B1521="",COUNTIF(AcctCodesA,$B1521)=0),"متفرقه",$B1521))),$A1521))</f>
        <v/>
      </c>
      <c r="K1521">
        <f>IF($A1521="","",IF(AND($B1521&lt;&gt;"",COUNTIF(AcctCodesA,$B1521)=0),"کد طرف در INFO تعریف نشده",IF(AND($D1521="هزینه",$E1521=""),"هزینه بدون زیرگروه",IF(AND($C1521="پاس چک",OR(Sync!$AJ1521="",COUNTIF(IssueNosA,Sync!$AJ1521)=0)),"شماره چک پاس‌شده معتبر نیست",""))))</f>
        <v/>
      </c>
      <c r="V1521">
        <f>IF($K1521="","",IF(ISNUMBER(Sync!$AK1521),Sync!$AK1521,LEFT(Sync!$AK1521,4)&amp;MID(Sync!$AK1521,6,2)&amp;RIGHT(Sync!$AK1521,2))&amp;"|"&amp;"4"&amp;RIGHT("00000"&amp;1516,5))</f>
        <v/>
      </c>
      <c r="W1521">
        <f>IF($V1521="",0,COUNTIFS($V$6:$V$2005,"&lt;"&amp;$V1521)-COUNTIFS($V$6:$V$2005,"&lt;"&amp;$V1521,$K$6:$K$2005,"")+1)</f>
        <v/>
      </c>
    </row>
    <row r="1522">
      <c r="A1522">
        <f>IF(Sync!$Z1522="","",LEFT(UPPER(TRIM(Sync!$Z1522)),6))</f>
        <v/>
      </c>
      <c r="B1522">
        <f>IF($A1522="","",IF(Sync!$AA1522="","",Sync!$AA1522))</f>
        <v/>
      </c>
      <c r="C1522">
        <f>IF($A1522="","",IF(Sync!$AB1522="","",Sync!$AB1522))</f>
        <v/>
      </c>
      <c r="D1522">
        <f>IF($A1522="","",IF(Sync!$AC1522="","",Sync!$AC1522))</f>
        <v/>
      </c>
      <c r="E1522">
        <f>IF($A1522="","",IF(Sync!$AD1522="","",Sync!$AD1522))</f>
        <v/>
      </c>
      <c r="F1522">
        <f>IF($A1522="","",IF(Sync!$AE1522="",0,Sync!$AE1522))</f>
        <v/>
      </c>
      <c r="G1522">
        <f>IF($A1522="","",IF(Sync!$AF1522="",0,Sync!$AF1522))</f>
        <v/>
      </c>
      <c r="H1522">
        <f>IF(OR($A1522="",ROUND($F1522+$G1522,2)=0),"",$F1522+$G1522)</f>
        <v/>
      </c>
      <c r="I1522">
        <f>IF($H1522="","",IF(ROUND($F1522,2)&gt;0,$A1522,IF($D1522="شخصی قاسم","شخصی قاسم",IF($D1522="هزینه","هزینه: "&amp;IF($E1522="","متفرقه",$E1522),IF($C1522="پاس چک","چک پرداختی",IF(OR($B1522="",COUNTIF(AcctCodesA,$B1522)=0),"متفرقه",$B1522))))))</f>
        <v/>
      </c>
      <c r="J1522">
        <f>IF($H1522="","",IF(ROUND($F1522,2)&gt;0,IF($D1522="شخصی قاسم","شخصی قاسم",IF($D1522="هزینه","هزینه: "&amp;IF($E1522="","متفرقه",$E1522),IF(OR($B1522="",COUNTIF(AcctCodesA,$B1522)=0),"متفرقه",$B1522))),$A1522))</f>
        <v/>
      </c>
      <c r="K1522">
        <f>IF($A1522="","",IF(AND($B1522&lt;&gt;"",COUNTIF(AcctCodesA,$B1522)=0),"کد طرف در INFO تعریف نشده",IF(AND($D1522="هزینه",$E1522=""),"هزینه بدون زیرگروه",IF(AND($C1522="پاس چک",OR(Sync!$AJ1522="",COUNTIF(IssueNosA,Sync!$AJ1522)=0)),"شماره چک پاس‌شده معتبر نیست",""))))</f>
        <v/>
      </c>
      <c r="V1522">
        <f>IF($K1522="","",IF(ISNUMBER(Sync!$AK1522),Sync!$AK1522,LEFT(Sync!$AK1522,4)&amp;MID(Sync!$AK1522,6,2)&amp;RIGHT(Sync!$AK1522,2))&amp;"|"&amp;"4"&amp;RIGHT("00000"&amp;1517,5))</f>
        <v/>
      </c>
      <c r="W1522">
        <f>IF($V1522="",0,COUNTIFS($V$6:$V$2005,"&lt;"&amp;$V1522)-COUNTIFS($V$6:$V$2005,"&lt;"&amp;$V1522,$K$6:$K$2005,"")+1)</f>
        <v/>
      </c>
    </row>
    <row r="1523">
      <c r="A1523">
        <f>IF(Sync!$Z1523="","",LEFT(UPPER(TRIM(Sync!$Z1523)),6))</f>
        <v/>
      </c>
      <c r="B1523">
        <f>IF($A1523="","",IF(Sync!$AA1523="","",Sync!$AA1523))</f>
        <v/>
      </c>
      <c r="C1523">
        <f>IF($A1523="","",IF(Sync!$AB1523="","",Sync!$AB1523))</f>
        <v/>
      </c>
      <c r="D1523">
        <f>IF($A1523="","",IF(Sync!$AC1523="","",Sync!$AC1523))</f>
        <v/>
      </c>
      <c r="E1523">
        <f>IF($A1523="","",IF(Sync!$AD1523="","",Sync!$AD1523))</f>
        <v/>
      </c>
      <c r="F1523">
        <f>IF($A1523="","",IF(Sync!$AE1523="",0,Sync!$AE1523))</f>
        <v/>
      </c>
      <c r="G1523">
        <f>IF($A1523="","",IF(Sync!$AF1523="",0,Sync!$AF1523))</f>
        <v/>
      </c>
      <c r="H1523">
        <f>IF(OR($A1523="",ROUND($F1523+$G1523,2)=0),"",$F1523+$G1523)</f>
        <v/>
      </c>
      <c r="I1523">
        <f>IF($H1523="","",IF(ROUND($F1523,2)&gt;0,$A1523,IF($D1523="شخصی قاسم","شخصی قاسم",IF($D1523="هزینه","هزینه: "&amp;IF($E1523="","متفرقه",$E1523),IF($C1523="پاس چک","چک پرداختی",IF(OR($B1523="",COUNTIF(AcctCodesA,$B1523)=0),"متفرقه",$B1523))))))</f>
        <v/>
      </c>
      <c r="J1523">
        <f>IF($H1523="","",IF(ROUND($F1523,2)&gt;0,IF($D1523="شخصی قاسم","شخصی قاسم",IF($D1523="هزینه","هزینه: "&amp;IF($E1523="","متفرقه",$E1523),IF(OR($B1523="",COUNTIF(AcctCodesA,$B1523)=0),"متفرقه",$B1523))),$A1523))</f>
        <v/>
      </c>
      <c r="K1523">
        <f>IF($A1523="","",IF(AND($B1523&lt;&gt;"",COUNTIF(AcctCodesA,$B1523)=0),"کد طرف در INFO تعریف نشده",IF(AND($D1523="هزینه",$E1523=""),"هزینه بدون زیرگروه",IF(AND($C1523="پاس چک",OR(Sync!$AJ1523="",COUNTIF(IssueNosA,Sync!$AJ1523)=0)),"شماره چک پاس‌شده معتبر نیست",""))))</f>
        <v/>
      </c>
      <c r="V1523">
        <f>IF($K1523="","",IF(ISNUMBER(Sync!$AK1523),Sync!$AK1523,LEFT(Sync!$AK1523,4)&amp;MID(Sync!$AK1523,6,2)&amp;RIGHT(Sync!$AK1523,2))&amp;"|"&amp;"4"&amp;RIGHT("00000"&amp;1518,5))</f>
        <v/>
      </c>
      <c r="W1523">
        <f>IF($V1523="",0,COUNTIFS($V$6:$V$2005,"&lt;"&amp;$V1523)-COUNTIFS($V$6:$V$2005,"&lt;"&amp;$V1523,$K$6:$K$2005,"")+1)</f>
        <v/>
      </c>
    </row>
    <row r="1524">
      <c r="A1524">
        <f>IF(Sync!$Z1524="","",LEFT(UPPER(TRIM(Sync!$Z1524)),6))</f>
        <v/>
      </c>
      <c r="B1524">
        <f>IF($A1524="","",IF(Sync!$AA1524="","",Sync!$AA1524))</f>
        <v/>
      </c>
      <c r="C1524">
        <f>IF($A1524="","",IF(Sync!$AB1524="","",Sync!$AB1524))</f>
        <v/>
      </c>
      <c r="D1524">
        <f>IF($A1524="","",IF(Sync!$AC1524="","",Sync!$AC1524))</f>
        <v/>
      </c>
      <c r="E1524">
        <f>IF($A1524="","",IF(Sync!$AD1524="","",Sync!$AD1524))</f>
        <v/>
      </c>
      <c r="F1524">
        <f>IF($A1524="","",IF(Sync!$AE1524="",0,Sync!$AE1524))</f>
        <v/>
      </c>
      <c r="G1524">
        <f>IF($A1524="","",IF(Sync!$AF1524="",0,Sync!$AF1524))</f>
        <v/>
      </c>
      <c r="H1524">
        <f>IF(OR($A1524="",ROUND($F1524+$G1524,2)=0),"",$F1524+$G1524)</f>
        <v/>
      </c>
      <c r="I1524">
        <f>IF($H1524="","",IF(ROUND($F1524,2)&gt;0,$A1524,IF($D1524="شخصی قاسم","شخصی قاسم",IF($D1524="هزینه","هزینه: "&amp;IF($E1524="","متفرقه",$E1524),IF($C1524="پاس چک","چک پرداختی",IF(OR($B1524="",COUNTIF(AcctCodesA,$B1524)=0),"متفرقه",$B1524))))))</f>
        <v/>
      </c>
      <c r="J1524">
        <f>IF($H1524="","",IF(ROUND($F1524,2)&gt;0,IF($D1524="شخصی قاسم","شخصی قاسم",IF($D1524="هزینه","هزینه: "&amp;IF($E1524="","متفرقه",$E1524),IF(OR($B1524="",COUNTIF(AcctCodesA,$B1524)=0),"متفرقه",$B1524))),$A1524))</f>
        <v/>
      </c>
      <c r="K1524">
        <f>IF($A1524="","",IF(AND($B1524&lt;&gt;"",COUNTIF(AcctCodesA,$B1524)=0),"کد طرف در INFO تعریف نشده",IF(AND($D1524="هزینه",$E1524=""),"هزینه بدون زیرگروه",IF(AND($C1524="پاس چک",OR(Sync!$AJ1524="",COUNTIF(IssueNosA,Sync!$AJ1524)=0)),"شماره چک پاس‌شده معتبر نیست",""))))</f>
        <v/>
      </c>
      <c r="V1524">
        <f>IF($K1524="","",IF(ISNUMBER(Sync!$AK1524),Sync!$AK1524,LEFT(Sync!$AK1524,4)&amp;MID(Sync!$AK1524,6,2)&amp;RIGHT(Sync!$AK1524,2))&amp;"|"&amp;"4"&amp;RIGHT("00000"&amp;1519,5))</f>
        <v/>
      </c>
      <c r="W1524">
        <f>IF($V1524="",0,COUNTIFS($V$6:$V$2005,"&lt;"&amp;$V1524)-COUNTIFS($V$6:$V$2005,"&lt;"&amp;$V1524,$K$6:$K$2005,"")+1)</f>
        <v/>
      </c>
    </row>
    <row r="1525">
      <c r="A1525">
        <f>IF(Sync!$Z1525="","",LEFT(UPPER(TRIM(Sync!$Z1525)),6))</f>
        <v/>
      </c>
      <c r="B1525">
        <f>IF($A1525="","",IF(Sync!$AA1525="","",Sync!$AA1525))</f>
        <v/>
      </c>
      <c r="C1525">
        <f>IF($A1525="","",IF(Sync!$AB1525="","",Sync!$AB1525))</f>
        <v/>
      </c>
      <c r="D1525">
        <f>IF($A1525="","",IF(Sync!$AC1525="","",Sync!$AC1525))</f>
        <v/>
      </c>
      <c r="E1525">
        <f>IF($A1525="","",IF(Sync!$AD1525="","",Sync!$AD1525))</f>
        <v/>
      </c>
      <c r="F1525">
        <f>IF($A1525="","",IF(Sync!$AE1525="",0,Sync!$AE1525))</f>
        <v/>
      </c>
      <c r="G1525">
        <f>IF($A1525="","",IF(Sync!$AF1525="",0,Sync!$AF1525))</f>
        <v/>
      </c>
      <c r="H1525">
        <f>IF(OR($A1525="",ROUND($F1525+$G1525,2)=0),"",$F1525+$G1525)</f>
        <v/>
      </c>
      <c r="I1525">
        <f>IF($H1525="","",IF(ROUND($F1525,2)&gt;0,$A1525,IF($D1525="شخصی قاسم","شخصی قاسم",IF($D1525="هزینه","هزینه: "&amp;IF($E1525="","متفرقه",$E1525),IF($C1525="پاس چک","چک پرداختی",IF(OR($B1525="",COUNTIF(AcctCodesA,$B1525)=0),"متفرقه",$B1525))))))</f>
        <v/>
      </c>
      <c r="J1525">
        <f>IF($H1525="","",IF(ROUND($F1525,2)&gt;0,IF($D1525="شخصی قاسم","شخصی قاسم",IF($D1525="هزینه","هزینه: "&amp;IF($E1525="","متفرقه",$E1525),IF(OR($B1525="",COUNTIF(AcctCodesA,$B1525)=0),"متفرقه",$B1525))),$A1525))</f>
        <v/>
      </c>
      <c r="K1525">
        <f>IF($A1525="","",IF(AND($B1525&lt;&gt;"",COUNTIF(AcctCodesA,$B1525)=0),"کد طرف در INFO تعریف نشده",IF(AND($D1525="هزینه",$E1525=""),"هزینه بدون زیرگروه",IF(AND($C1525="پاس چک",OR(Sync!$AJ1525="",COUNTIF(IssueNosA,Sync!$AJ1525)=0)),"شماره چک پاس‌شده معتبر نیست",""))))</f>
        <v/>
      </c>
      <c r="V1525">
        <f>IF($K1525="","",IF(ISNUMBER(Sync!$AK1525),Sync!$AK1525,LEFT(Sync!$AK1525,4)&amp;MID(Sync!$AK1525,6,2)&amp;RIGHT(Sync!$AK1525,2))&amp;"|"&amp;"4"&amp;RIGHT("00000"&amp;1520,5))</f>
        <v/>
      </c>
      <c r="W1525">
        <f>IF($V1525="",0,COUNTIFS($V$6:$V$2005,"&lt;"&amp;$V1525)-COUNTIFS($V$6:$V$2005,"&lt;"&amp;$V1525,$K$6:$K$2005,"")+1)</f>
        <v/>
      </c>
    </row>
    <row r="1526">
      <c r="A1526">
        <f>IF(Sync!$Z1526="","",LEFT(UPPER(TRIM(Sync!$Z1526)),6))</f>
        <v/>
      </c>
      <c r="B1526">
        <f>IF($A1526="","",IF(Sync!$AA1526="","",Sync!$AA1526))</f>
        <v/>
      </c>
      <c r="C1526">
        <f>IF($A1526="","",IF(Sync!$AB1526="","",Sync!$AB1526))</f>
        <v/>
      </c>
      <c r="D1526">
        <f>IF($A1526="","",IF(Sync!$AC1526="","",Sync!$AC1526))</f>
        <v/>
      </c>
      <c r="E1526">
        <f>IF($A1526="","",IF(Sync!$AD1526="","",Sync!$AD1526))</f>
        <v/>
      </c>
      <c r="F1526">
        <f>IF($A1526="","",IF(Sync!$AE1526="",0,Sync!$AE1526))</f>
        <v/>
      </c>
      <c r="G1526">
        <f>IF($A1526="","",IF(Sync!$AF1526="",0,Sync!$AF1526))</f>
        <v/>
      </c>
      <c r="H1526">
        <f>IF(OR($A1526="",ROUND($F1526+$G1526,2)=0),"",$F1526+$G1526)</f>
        <v/>
      </c>
      <c r="I1526">
        <f>IF($H1526="","",IF(ROUND($F1526,2)&gt;0,$A1526,IF($D1526="شخصی قاسم","شخصی قاسم",IF($D1526="هزینه","هزینه: "&amp;IF($E1526="","متفرقه",$E1526),IF($C1526="پاس چک","چک پرداختی",IF(OR($B1526="",COUNTIF(AcctCodesA,$B1526)=0),"متفرقه",$B1526))))))</f>
        <v/>
      </c>
      <c r="J1526">
        <f>IF($H1526="","",IF(ROUND($F1526,2)&gt;0,IF($D1526="شخصی قاسم","شخصی قاسم",IF($D1526="هزینه","هزینه: "&amp;IF($E1526="","متفرقه",$E1526),IF(OR($B1526="",COUNTIF(AcctCodesA,$B1526)=0),"متفرقه",$B1526))),$A1526))</f>
        <v/>
      </c>
      <c r="K1526">
        <f>IF($A1526="","",IF(AND($B1526&lt;&gt;"",COUNTIF(AcctCodesA,$B1526)=0),"کد طرف در INFO تعریف نشده",IF(AND($D1526="هزینه",$E1526=""),"هزینه بدون زیرگروه",IF(AND($C1526="پاس چک",OR(Sync!$AJ1526="",COUNTIF(IssueNosA,Sync!$AJ1526)=0)),"شماره چک پاس‌شده معتبر نیست",""))))</f>
        <v/>
      </c>
      <c r="V1526">
        <f>IF($K1526="","",IF(ISNUMBER(Sync!$AK1526),Sync!$AK1526,LEFT(Sync!$AK1526,4)&amp;MID(Sync!$AK1526,6,2)&amp;RIGHT(Sync!$AK1526,2))&amp;"|"&amp;"4"&amp;RIGHT("00000"&amp;1521,5))</f>
        <v/>
      </c>
      <c r="W1526">
        <f>IF($V1526="",0,COUNTIFS($V$6:$V$2005,"&lt;"&amp;$V1526)-COUNTIFS($V$6:$V$2005,"&lt;"&amp;$V1526,$K$6:$K$2005,"")+1)</f>
        <v/>
      </c>
    </row>
    <row r="1527">
      <c r="A1527">
        <f>IF(Sync!$Z1527="","",LEFT(UPPER(TRIM(Sync!$Z1527)),6))</f>
        <v/>
      </c>
      <c r="B1527">
        <f>IF($A1527="","",IF(Sync!$AA1527="","",Sync!$AA1527))</f>
        <v/>
      </c>
      <c r="C1527">
        <f>IF($A1527="","",IF(Sync!$AB1527="","",Sync!$AB1527))</f>
        <v/>
      </c>
      <c r="D1527">
        <f>IF($A1527="","",IF(Sync!$AC1527="","",Sync!$AC1527))</f>
        <v/>
      </c>
      <c r="E1527">
        <f>IF($A1527="","",IF(Sync!$AD1527="","",Sync!$AD1527))</f>
        <v/>
      </c>
      <c r="F1527">
        <f>IF($A1527="","",IF(Sync!$AE1527="",0,Sync!$AE1527))</f>
        <v/>
      </c>
      <c r="G1527">
        <f>IF($A1527="","",IF(Sync!$AF1527="",0,Sync!$AF1527))</f>
        <v/>
      </c>
      <c r="H1527">
        <f>IF(OR($A1527="",ROUND($F1527+$G1527,2)=0),"",$F1527+$G1527)</f>
        <v/>
      </c>
      <c r="I1527">
        <f>IF($H1527="","",IF(ROUND($F1527,2)&gt;0,$A1527,IF($D1527="شخصی قاسم","شخصی قاسم",IF($D1527="هزینه","هزینه: "&amp;IF($E1527="","متفرقه",$E1527),IF($C1527="پاس چک","چک پرداختی",IF(OR($B1527="",COUNTIF(AcctCodesA,$B1527)=0),"متفرقه",$B1527))))))</f>
        <v/>
      </c>
      <c r="J1527">
        <f>IF($H1527="","",IF(ROUND($F1527,2)&gt;0,IF($D1527="شخصی قاسم","شخصی قاسم",IF($D1527="هزینه","هزینه: "&amp;IF($E1527="","متفرقه",$E1527),IF(OR($B1527="",COUNTIF(AcctCodesA,$B1527)=0),"متفرقه",$B1527))),$A1527))</f>
        <v/>
      </c>
      <c r="K1527">
        <f>IF($A1527="","",IF(AND($B1527&lt;&gt;"",COUNTIF(AcctCodesA,$B1527)=0),"کد طرف در INFO تعریف نشده",IF(AND($D1527="هزینه",$E1527=""),"هزینه بدون زیرگروه",IF(AND($C1527="پاس چک",OR(Sync!$AJ1527="",COUNTIF(IssueNosA,Sync!$AJ1527)=0)),"شماره چک پاس‌شده معتبر نیست",""))))</f>
        <v/>
      </c>
      <c r="V1527">
        <f>IF($K1527="","",IF(ISNUMBER(Sync!$AK1527),Sync!$AK1527,LEFT(Sync!$AK1527,4)&amp;MID(Sync!$AK1527,6,2)&amp;RIGHT(Sync!$AK1527,2))&amp;"|"&amp;"4"&amp;RIGHT("00000"&amp;1522,5))</f>
        <v/>
      </c>
      <c r="W1527">
        <f>IF($V1527="",0,COUNTIFS($V$6:$V$2005,"&lt;"&amp;$V1527)-COUNTIFS($V$6:$V$2005,"&lt;"&amp;$V1527,$K$6:$K$2005,"")+1)</f>
        <v/>
      </c>
    </row>
    <row r="1528">
      <c r="A1528">
        <f>IF(Sync!$Z1528="","",LEFT(UPPER(TRIM(Sync!$Z1528)),6))</f>
        <v/>
      </c>
      <c r="B1528">
        <f>IF($A1528="","",IF(Sync!$AA1528="","",Sync!$AA1528))</f>
        <v/>
      </c>
      <c r="C1528">
        <f>IF($A1528="","",IF(Sync!$AB1528="","",Sync!$AB1528))</f>
        <v/>
      </c>
      <c r="D1528">
        <f>IF($A1528="","",IF(Sync!$AC1528="","",Sync!$AC1528))</f>
        <v/>
      </c>
      <c r="E1528">
        <f>IF($A1528="","",IF(Sync!$AD1528="","",Sync!$AD1528))</f>
        <v/>
      </c>
      <c r="F1528">
        <f>IF($A1528="","",IF(Sync!$AE1528="",0,Sync!$AE1528))</f>
        <v/>
      </c>
      <c r="G1528">
        <f>IF($A1528="","",IF(Sync!$AF1528="",0,Sync!$AF1528))</f>
        <v/>
      </c>
      <c r="H1528">
        <f>IF(OR($A1528="",ROUND($F1528+$G1528,2)=0),"",$F1528+$G1528)</f>
        <v/>
      </c>
      <c r="I1528">
        <f>IF($H1528="","",IF(ROUND($F1528,2)&gt;0,$A1528,IF($D1528="شخصی قاسم","شخصی قاسم",IF($D1528="هزینه","هزینه: "&amp;IF($E1528="","متفرقه",$E1528),IF($C1528="پاس چک","چک پرداختی",IF(OR($B1528="",COUNTIF(AcctCodesA,$B1528)=0),"متفرقه",$B1528))))))</f>
        <v/>
      </c>
      <c r="J1528">
        <f>IF($H1528="","",IF(ROUND($F1528,2)&gt;0,IF($D1528="شخصی قاسم","شخصی قاسم",IF($D1528="هزینه","هزینه: "&amp;IF($E1528="","متفرقه",$E1528),IF(OR($B1528="",COUNTIF(AcctCodesA,$B1528)=0),"متفرقه",$B1528))),$A1528))</f>
        <v/>
      </c>
      <c r="K1528">
        <f>IF($A1528="","",IF(AND($B1528&lt;&gt;"",COUNTIF(AcctCodesA,$B1528)=0),"کد طرف در INFO تعریف نشده",IF(AND($D1528="هزینه",$E1528=""),"هزینه بدون زیرگروه",IF(AND($C1528="پاس چک",OR(Sync!$AJ1528="",COUNTIF(IssueNosA,Sync!$AJ1528)=0)),"شماره چک پاس‌شده معتبر نیست",""))))</f>
        <v/>
      </c>
      <c r="V1528">
        <f>IF($K1528="","",IF(ISNUMBER(Sync!$AK1528),Sync!$AK1528,LEFT(Sync!$AK1528,4)&amp;MID(Sync!$AK1528,6,2)&amp;RIGHT(Sync!$AK1528,2))&amp;"|"&amp;"4"&amp;RIGHT("00000"&amp;1523,5))</f>
        <v/>
      </c>
      <c r="W1528">
        <f>IF($V1528="",0,COUNTIFS($V$6:$V$2005,"&lt;"&amp;$V1528)-COUNTIFS($V$6:$V$2005,"&lt;"&amp;$V1528,$K$6:$K$2005,"")+1)</f>
        <v/>
      </c>
    </row>
    <row r="1529">
      <c r="A1529">
        <f>IF(Sync!$Z1529="","",LEFT(UPPER(TRIM(Sync!$Z1529)),6))</f>
        <v/>
      </c>
      <c r="B1529">
        <f>IF($A1529="","",IF(Sync!$AA1529="","",Sync!$AA1529))</f>
        <v/>
      </c>
      <c r="C1529">
        <f>IF($A1529="","",IF(Sync!$AB1529="","",Sync!$AB1529))</f>
        <v/>
      </c>
      <c r="D1529">
        <f>IF($A1529="","",IF(Sync!$AC1529="","",Sync!$AC1529))</f>
        <v/>
      </c>
      <c r="E1529">
        <f>IF($A1529="","",IF(Sync!$AD1529="","",Sync!$AD1529))</f>
        <v/>
      </c>
      <c r="F1529">
        <f>IF($A1529="","",IF(Sync!$AE1529="",0,Sync!$AE1529))</f>
        <v/>
      </c>
      <c r="G1529">
        <f>IF($A1529="","",IF(Sync!$AF1529="",0,Sync!$AF1529))</f>
        <v/>
      </c>
      <c r="H1529">
        <f>IF(OR($A1529="",ROUND($F1529+$G1529,2)=0),"",$F1529+$G1529)</f>
        <v/>
      </c>
      <c r="I1529">
        <f>IF($H1529="","",IF(ROUND($F1529,2)&gt;0,$A1529,IF($D1529="شخصی قاسم","شخصی قاسم",IF($D1529="هزینه","هزینه: "&amp;IF($E1529="","متفرقه",$E1529),IF($C1529="پاس چک","چک پرداختی",IF(OR($B1529="",COUNTIF(AcctCodesA,$B1529)=0),"متفرقه",$B1529))))))</f>
        <v/>
      </c>
      <c r="J1529">
        <f>IF($H1529="","",IF(ROUND($F1529,2)&gt;0,IF($D1529="شخصی قاسم","شخصی قاسم",IF($D1529="هزینه","هزینه: "&amp;IF($E1529="","متفرقه",$E1529),IF(OR($B1529="",COUNTIF(AcctCodesA,$B1529)=0),"متفرقه",$B1529))),$A1529))</f>
        <v/>
      </c>
      <c r="K1529">
        <f>IF($A1529="","",IF(AND($B1529&lt;&gt;"",COUNTIF(AcctCodesA,$B1529)=0),"کد طرف در INFO تعریف نشده",IF(AND($D1529="هزینه",$E1529=""),"هزینه بدون زیرگروه",IF(AND($C1529="پاس چک",OR(Sync!$AJ1529="",COUNTIF(IssueNosA,Sync!$AJ1529)=0)),"شماره چک پاس‌شده معتبر نیست",""))))</f>
        <v/>
      </c>
      <c r="V1529">
        <f>IF($K1529="","",IF(ISNUMBER(Sync!$AK1529),Sync!$AK1529,LEFT(Sync!$AK1529,4)&amp;MID(Sync!$AK1529,6,2)&amp;RIGHT(Sync!$AK1529,2))&amp;"|"&amp;"4"&amp;RIGHT("00000"&amp;1524,5))</f>
        <v/>
      </c>
      <c r="W1529">
        <f>IF($V1529="",0,COUNTIFS($V$6:$V$2005,"&lt;"&amp;$V1529)-COUNTIFS($V$6:$V$2005,"&lt;"&amp;$V1529,$K$6:$K$2005,"")+1)</f>
        <v/>
      </c>
    </row>
    <row r="1530">
      <c r="A1530">
        <f>IF(Sync!$Z1530="","",LEFT(UPPER(TRIM(Sync!$Z1530)),6))</f>
        <v/>
      </c>
      <c r="B1530">
        <f>IF($A1530="","",IF(Sync!$AA1530="","",Sync!$AA1530))</f>
        <v/>
      </c>
      <c r="C1530">
        <f>IF($A1530="","",IF(Sync!$AB1530="","",Sync!$AB1530))</f>
        <v/>
      </c>
      <c r="D1530">
        <f>IF($A1530="","",IF(Sync!$AC1530="","",Sync!$AC1530))</f>
        <v/>
      </c>
      <c r="E1530">
        <f>IF($A1530="","",IF(Sync!$AD1530="","",Sync!$AD1530))</f>
        <v/>
      </c>
      <c r="F1530">
        <f>IF($A1530="","",IF(Sync!$AE1530="",0,Sync!$AE1530))</f>
        <v/>
      </c>
      <c r="G1530">
        <f>IF($A1530="","",IF(Sync!$AF1530="",0,Sync!$AF1530))</f>
        <v/>
      </c>
      <c r="H1530">
        <f>IF(OR($A1530="",ROUND($F1530+$G1530,2)=0),"",$F1530+$G1530)</f>
        <v/>
      </c>
      <c r="I1530">
        <f>IF($H1530="","",IF(ROUND($F1530,2)&gt;0,$A1530,IF($D1530="شخصی قاسم","شخصی قاسم",IF($D1530="هزینه","هزینه: "&amp;IF($E1530="","متفرقه",$E1530),IF($C1530="پاس چک","چک پرداختی",IF(OR($B1530="",COUNTIF(AcctCodesA,$B1530)=0),"متفرقه",$B1530))))))</f>
        <v/>
      </c>
      <c r="J1530">
        <f>IF($H1530="","",IF(ROUND($F1530,2)&gt;0,IF($D1530="شخصی قاسم","شخصی قاسم",IF($D1530="هزینه","هزینه: "&amp;IF($E1530="","متفرقه",$E1530),IF(OR($B1530="",COUNTIF(AcctCodesA,$B1530)=0),"متفرقه",$B1530))),$A1530))</f>
        <v/>
      </c>
      <c r="K1530">
        <f>IF($A1530="","",IF(AND($B1530&lt;&gt;"",COUNTIF(AcctCodesA,$B1530)=0),"کد طرف در INFO تعریف نشده",IF(AND($D1530="هزینه",$E1530=""),"هزینه بدون زیرگروه",IF(AND($C1530="پاس چک",OR(Sync!$AJ1530="",COUNTIF(IssueNosA,Sync!$AJ1530)=0)),"شماره چک پاس‌شده معتبر نیست",""))))</f>
        <v/>
      </c>
      <c r="V1530">
        <f>IF($K1530="","",IF(ISNUMBER(Sync!$AK1530),Sync!$AK1530,LEFT(Sync!$AK1530,4)&amp;MID(Sync!$AK1530,6,2)&amp;RIGHT(Sync!$AK1530,2))&amp;"|"&amp;"4"&amp;RIGHT("00000"&amp;1525,5))</f>
        <v/>
      </c>
      <c r="W1530">
        <f>IF($V1530="",0,COUNTIFS($V$6:$V$2005,"&lt;"&amp;$V1530)-COUNTIFS($V$6:$V$2005,"&lt;"&amp;$V1530,$K$6:$K$2005,"")+1)</f>
        <v/>
      </c>
    </row>
    <row r="1531">
      <c r="A1531">
        <f>IF(Sync!$Z1531="","",LEFT(UPPER(TRIM(Sync!$Z1531)),6))</f>
        <v/>
      </c>
      <c r="B1531">
        <f>IF($A1531="","",IF(Sync!$AA1531="","",Sync!$AA1531))</f>
        <v/>
      </c>
      <c r="C1531">
        <f>IF($A1531="","",IF(Sync!$AB1531="","",Sync!$AB1531))</f>
        <v/>
      </c>
      <c r="D1531">
        <f>IF($A1531="","",IF(Sync!$AC1531="","",Sync!$AC1531))</f>
        <v/>
      </c>
      <c r="E1531">
        <f>IF($A1531="","",IF(Sync!$AD1531="","",Sync!$AD1531))</f>
        <v/>
      </c>
      <c r="F1531">
        <f>IF($A1531="","",IF(Sync!$AE1531="",0,Sync!$AE1531))</f>
        <v/>
      </c>
      <c r="G1531">
        <f>IF($A1531="","",IF(Sync!$AF1531="",0,Sync!$AF1531))</f>
        <v/>
      </c>
      <c r="H1531">
        <f>IF(OR($A1531="",ROUND($F1531+$G1531,2)=0),"",$F1531+$G1531)</f>
        <v/>
      </c>
      <c r="I1531">
        <f>IF($H1531="","",IF(ROUND($F1531,2)&gt;0,$A1531,IF($D1531="شخصی قاسم","شخصی قاسم",IF($D1531="هزینه","هزینه: "&amp;IF($E1531="","متفرقه",$E1531),IF($C1531="پاس چک","چک پرداختی",IF(OR($B1531="",COUNTIF(AcctCodesA,$B1531)=0),"متفرقه",$B1531))))))</f>
        <v/>
      </c>
      <c r="J1531">
        <f>IF($H1531="","",IF(ROUND($F1531,2)&gt;0,IF($D1531="شخصی قاسم","شخصی قاسم",IF($D1531="هزینه","هزینه: "&amp;IF($E1531="","متفرقه",$E1531),IF(OR($B1531="",COUNTIF(AcctCodesA,$B1531)=0),"متفرقه",$B1531))),$A1531))</f>
        <v/>
      </c>
      <c r="K1531">
        <f>IF($A1531="","",IF(AND($B1531&lt;&gt;"",COUNTIF(AcctCodesA,$B1531)=0),"کد طرف در INFO تعریف نشده",IF(AND($D1531="هزینه",$E1531=""),"هزینه بدون زیرگروه",IF(AND($C1531="پاس چک",OR(Sync!$AJ1531="",COUNTIF(IssueNosA,Sync!$AJ1531)=0)),"شماره چک پاس‌شده معتبر نیست",""))))</f>
        <v/>
      </c>
      <c r="V1531">
        <f>IF($K1531="","",IF(ISNUMBER(Sync!$AK1531),Sync!$AK1531,LEFT(Sync!$AK1531,4)&amp;MID(Sync!$AK1531,6,2)&amp;RIGHT(Sync!$AK1531,2))&amp;"|"&amp;"4"&amp;RIGHT("00000"&amp;1526,5))</f>
        <v/>
      </c>
      <c r="W1531">
        <f>IF($V1531="",0,COUNTIFS($V$6:$V$2005,"&lt;"&amp;$V1531)-COUNTIFS($V$6:$V$2005,"&lt;"&amp;$V1531,$K$6:$K$2005,"")+1)</f>
        <v/>
      </c>
    </row>
    <row r="1532">
      <c r="A1532">
        <f>IF(Sync!$Z1532="","",LEFT(UPPER(TRIM(Sync!$Z1532)),6))</f>
        <v/>
      </c>
      <c r="B1532">
        <f>IF($A1532="","",IF(Sync!$AA1532="","",Sync!$AA1532))</f>
        <v/>
      </c>
      <c r="C1532">
        <f>IF($A1532="","",IF(Sync!$AB1532="","",Sync!$AB1532))</f>
        <v/>
      </c>
      <c r="D1532">
        <f>IF($A1532="","",IF(Sync!$AC1532="","",Sync!$AC1532))</f>
        <v/>
      </c>
      <c r="E1532">
        <f>IF($A1532="","",IF(Sync!$AD1532="","",Sync!$AD1532))</f>
        <v/>
      </c>
      <c r="F1532">
        <f>IF($A1532="","",IF(Sync!$AE1532="",0,Sync!$AE1532))</f>
        <v/>
      </c>
      <c r="G1532">
        <f>IF($A1532="","",IF(Sync!$AF1532="",0,Sync!$AF1532))</f>
        <v/>
      </c>
      <c r="H1532">
        <f>IF(OR($A1532="",ROUND($F1532+$G1532,2)=0),"",$F1532+$G1532)</f>
        <v/>
      </c>
      <c r="I1532">
        <f>IF($H1532="","",IF(ROUND($F1532,2)&gt;0,$A1532,IF($D1532="شخصی قاسم","شخصی قاسم",IF($D1532="هزینه","هزینه: "&amp;IF($E1532="","متفرقه",$E1532),IF($C1532="پاس چک","چک پرداختی",IF(OR($B1532="",COUNTIF(AcctCodesA,$B1532)=0),"متفرقه",$B1532))))))</f>
        <v/>
      </c>
      <c r="J1532">
        <f>IF($H1532="","",IF(ROUND($F1532,2)&gt;0,IF($D1532="شخصی قاسم","شخصی قاسم",IF($D1532="هزینه","هزینه: "&amp;IF($E1532="","متفرقه",$E1532),IF(OR($B1532="",COUNTIF(AcctCodesA,$B1532)=0),"متفرقه",$B1532))),$A1532))</f>
        <v/>
      </c>
      <c r="K1532">
        <f>IF($A1532="","",IF(AND($B1532&lt;&gt;"",COUNTIF(AcctCodesA,$B1532)=0),"کد طرف در INFO تعریف نشده",IF(AND($D1532="هزینه",$E1532=""),"هزینه بدون زیرگروه",IF(AND($C1532="پاس چک",OR(Sync!$AJ1532="",COUNTIF(IssueNosA,Sync!$AJ1532)=0)),"شماره چک پاس‌شده معتبر نیست",""))))</f>
        <v/>
      </c>
      <c r="V1532">
        <f>IF($K1532="","",IF(ISNUMBER(Sync!$AK1532),Sync!$AK1532,LEFT(Sync!$AK1532,4)&amp;MID(Sync!$AK1532,6,2)&amp;RIGHT(Sync!$AK1532,2))&amp;"|"&amp;"4"&amp;RIGHT("00000"&amp;1527,5))</f>
        <v/>
      </c>
      <c r="W1532">
        <f>IF($V1532="",0,COUNTIFS($V$6:$V$2005,"&lt;"&amp;$V1532)-COUNTIFS($V$6:$V$2005,"&lt;"&amp;$V1532,$K$6:$K$2005,"")+1)</f>
        <v/>
      </c>
    </row>
    <row r="1533">
      <c r="A1533">
        <f>IF(Sync!$Z1533="","",LEFT(UPPER(TRIM(Sync!$Z1533)),6))</f>
        <v/>
      </c>
      <c r="B1533">
        <f>IF($A1533="","",IF(Sync!$AA1533="","",Sync!$AA1533))</f>
        <v/>
      </c>
      <c r="C1533">
        <f>IF($A1533="","",IF(Sync!$AB1533="","",Sync!$AB1533))</f>
        <v/>
      </c>
      <c r="D1533">
        <f>IF($A1533="","",IF(Sync!$AC1533="","",Sync!$AC1533))</f>
        <v/>
      </c>
      <c r="E1533">
        <f>IF($A1533="","",IF(Sync!$AD1533="","",Sync!$AD1533))</f>
        <v/>
      </c>
      <c r="F1533">
        <f>IF($A1533="","",IF(Sync!$AE1533="",0,Sync!$AE1533))</f>
        <v/>
      </c>
      <c r="G1533">
        <f>IF($A1533="","",IF(Sync!$AF1533="",0,Sync!$AF1533))</f>
        <v/>
      </c>
      <c r="H1533">
        <f>IF(OR($A1533="",ROUND($F1533+$G1533,2)=0),"",$F1533+$G1533)</f>
        <v/>
      </c>
      <c r="I1533">
        <f>IF($H1533="","",IF(ROUND($F1533,2)&gt;0,$A1533,IF($D1533="شخصی قاسم","شخصی قاسم",IF($D1533="هزینه","هزینه: "&amp;IF($E1533="","متفرقه",$E1533),IF($C1533="پاس چک","چک پرداختی",IF(OR($B1533="",COUNTIF(AcctCodesA,$B1533)=0),"متفرقه",$B1533))))))</f>
        <v/>
      </c>
      <c r="J1533">
        <f>IF($H1533="","",IF(ROUND($F1533,2)&gt;0,IF($D1533="شخصی قاسم","شخصی قاسم",IF($D1533="هزینه","هزینه: "&amp;IF($E1533="","متفرقه",$E1533),IF(OR($B1533="",COUNTIF(AcctCodesA,$B1533)=0),"متفرقه",$B1533))),$A1533))</f>
        <v/>
      </c>
      <c r="K1533">
        <f>IF($A1533="","",IF(AND($B1533&lt;&gt;"",COUNTIF(AcctCodesA,$B1533)=0),"کد طرف در INFO تعریف نشده",IF(AND($D1533="هزینه",$E1533=""),"هزینه بدون زیرگروه",IF(AND($C1533="پاس چک",OR(Sync!$AJ1533="",COUNTIF(IssueNosA,Sync!$AJ1533)=0)),"شماره چک پاس‌شده معتبر نیست",""))))</f>
        <v/>
      </c>
      <c r="V1533">
        <f>IF($K1533="","",IF(ISNUMBER(Sync!$AK1533),Sync!$AK1533,LEFT(Sync!$AK1533,4)&amp;MID(Sync!$AK1533,6,2)&amp;RIGHT(Sync!$AK1533,2))&amp;"|"&amp;"4"&amp;RIGHT("00000"&amp;1528,5))</f>
        <v/>
      </c>
      <c r="W1533">
        <f>IF($V1533="",0,COUNTIFS($V$6:$V$2005,"&lt;"&amp;$V1533)-COUNTIFS($V$6:$V$2005,"&lt;"&amp;$V1533,$K$6:$K$2005,"")+1)</f>
        <v/>
      </c>
    </row>
    <row r="1534">
      <c r="A1534">
        <f>IF(Sync!$Z1534="","",LEFT(UPPER(TRIM(Sync!$Z1534)),6))</f>
        <v/>
      </c>
      <c r="B1534">
        <f>IF($A1534="","",IF(Sync!$AA1534="","",Sync!$AA1534))</f>
        <v/>
      </c>
      <c r="C1534">
        <f>IF($A1534="","",IF(Sync!$AB1534="","",Sync!$AB1534))</f>
        <v/>
      </c>
      <c r="D1534">
        <f>IF($A1534="","",IF(Sync!$AC1534="","",Sync!$AC1534))</f>
        <v/>
      </c>
      <c r="E1534">
        <f>IF($A1534="","",IF(Sync!$AD1534="","",Sync!$AD1534))</f>
        <v/>
      </c>
      <c r="F1534">
        <f>IF($A1534="","",IF(Sync!$AE1534="",0,Sync!$AE1534))</f>
        <v/>
      </c>
      <c r="G1534">
        <f>IF($A1534="","",IF(Sync!$AF1534="",0,Sync!$AF1534))</f>
        <v/>
      </c>
      <c r="H1534">
        <f>IF(OR($A1534="",ROUND($F1534+$G1534,2)=0),"",$F1534+$G1534)</f>
        <v/>
      </c>
      <c r="I1534">
        <f>IF($H1534="","",IF(ROUND($F1534,2)&gt;0,$A1534,IF($D1534="شخصی قاسم","شخصی قاسم",IF($D1534="هزینه","هزینه: "&amp;IF($E1534="","متفرقه",$E1534),IF($C1534="پاس چک","چک پرداختی",IF(OR($B1534="",COUNTIF(AcctCodesA,$B1534)=0),"متفرقه",$B1534))))))</f>
        <v/>
      </c>
      <c r="J1534">
        <f>IF($H1534="","",IF(ROUND($F1534,2)&gt;0,IF($D1534="شخصی قاسم","شخصی قاسم",IF($D1534="هزینه","هزینه: "&amp;IF($E1534="","متفرقه",$E1534),IF(OR($B1534="",COUNTIF(AcctCodesA,$B1534)=0),"متفرقه",$B1534))),$A1534))</f>
        <v/>
      </c>
      <c r="K1534">
        <f>IF($A1534="","",IF(AND($B1534&lt;&gt;"",COUNTIF(AcctCodesA,$B1534)=0),"کد طرف در INFO تعریف نشده",IF(AND($D1534="هزینه",$E1534=""),"هزینه بدون زیرگروه",IF(AND($C1534="پاس چک",OR(Sync!$AJ1534="",COUNTIF(IssueNosA,Sync!$AJ1534)=0)),"شماره چک پاس‌شده معتبر نیست",""))))</f>
        <v/>
      </c>
      <c r="V1534">
        <f>IF($K1534="","",IF(ISNUMBER(Sync!$AK1534),Sync!$AK1534,LEFT(Sync!$AK1534,4)&amp;MID(Sync!$AK1534,6,2)&amp;RIGHT(Sync!$AK1534,2))&amp;"|"&amp;"4"&amp;RIGHT("00000"&amp;1529,5))</f>
        <v/>
      </c>
      <c r="W1534">
        <f>IF($V1534="",0,COUNTIFS($V$6:$V$2005,"&lt;"&amp;$V1534)-COUNTIFS($V$6:$V$2005,"&lt;"&amp;$V1534,$K$6:$K$2005,"")+1)</f>
        <v/>
      </c>
    </row>
    <row r="1535">
      <c r="A1535">
        <f>IF(Sync!$Z1535="","",LEFT(UPPER(TRIM(Sync!$Z1535)),6))</f>
        <v/>
      </c>
      <c r="B1535">
        <f>IF($A1535="","",IF(Sync!$AA1535="","",Sync!$AA1535))</f>
        <v/>
      </c>
      <c r="C1535">
        <f>IF($A1535="","",IF(Sync!$AB1535="","",Sync!$AB1535))</f>
        <v/>
      </c>
      <c r="D1535">
        <f>IF($A1535="","",IF(Sync!$AC1535="","",Sync!$AC1535))</f>
        <v/>
      </c>
      <c r="E1535">
        <f>IF($A1535="","",IF(Sync!$AD1535="","",Sync!$AD1535))</f>
        <v/>
      </c>
      <c r="F1535">
        <f>IF($A1535="","",IF(Sync!$AE1535="",0,Sync!$AE1535))</f>
        <v/>
      </c>
      <c r="G1535">
        <f>IF($A1535="","",IF(Sync!$AF1535="",0,Sync!$AF1535))</f>
        <v/>
      </c>
      <c r="H1535">
        <f>IF(OR($A1535="",ROUND($F1535+$G1535,2)=0),"",$F1535+$G1535)</f>
        <v/>
      </c>
      <c r="I1535">
        <f>IF($H1535="","",IF(ROUND($F1535,2)&gt;0,$A1535,IF($D1535="شخصی قاسم","شخصی قاسم",IF($D1535="هزینه","هزینه: "&amp;IF($E1535="","متفرقه",$E1535),IF($C1535="پاس چک","چک پرداختی",IF(OR($B1535="",COUNTIF(AcctCodesA,$B1535)=0),"متفرقه",$B1535))))))</f>
        <v/>
      </c>
      <c r="J1535">
        <f>IF($H1535="","",IF(ROUND($F1535,2)&gt;0,IF($D1535="شخصی قاسم","شخصی قاسم",IF($D1535="هزینه","هزینه: "&amp;IF($E1535="","متفرقه",$E1535),IF(OR($B1535="",COUNTIF(AcctCodesA,$B1535)=0),"متفرقه",$B1535))),$A1535))</f>
        <v/>
      </c>
      <c r="K1535">
        <f>IF($A1535="","",IF(AND($B1535&lt;&gt;"",COUNTIF(AcctCodesA,$B1535)=0),"کد طرف در INFO تعریف نشده",IF(AND($D1535="هزینه",$E1535=""),"هزینه بدون زیرگروه",IF(AND($C1535="پاس چک",OR(Sync!$AJ1535="",COUNTIF(IssueNosA,Sync!$AJ1535)=0)),"شماره چک پاس‌شده معتبر نیست",""))))</f>
        <v/>
      </c>
      <c r="V1535">
        <f>IF($K1535="","",IF(ISNUMBER(Sync!$AK1535),Sync!$AK1535,LEFT(Sync!$AK1535,4)&amp;MID(Sync!$AK1535,6,2)&amp;RIGHT(Sync!$AK1535,2))&amp;"|"&amp;"4"&amp;RIGHT("00000"&amp;1530,5))</f>
        <v/>
      </c>
      <c r="W1535">
        <f>IF($V1535="",0,COUNTIFS($V$6:$V$2005,"&lt;"&amp;$V1535)-COUNTIFS($V$6:$V$2005,"&lt;"&amp;$V1535,$K$6:$K$2005,"")+1)</f>
        <v/>
      </c>
    </row>
    <row r="1536">
      <c r="A1536">
        <f>IF(Sync!$Z1536="","",LEFT(UPPER(TRIM(Sync!$Z1536)),6))</f>
        <v/>
      </c>
      <c r="B1536">
        <f>IF($A1536="","",IF(Sync!$AA1536="","",Sync!$AA1536))</f>
        <v/>
      </c>
      <c r="C1536">
        <f>IF($A1536="","",IF(Sync!$AB1536="","",Sync!$AB1536))</f>
        <v/>
      </c>
      <c r="D1536">
        <f>IF($A1536="","",IF(Sync!$AC1536="","",Sync!$AC1536))</f>
        <v/>
      </c>
      <c r="E1536">
        <f>IF($A1536="","",IF(Sync!$AD1536="","",Sync!$AD1536))</f>
        <v/>
      </c>
      <c r="F1536">
        <f>IF($A1536="","",IF(Sync!$AE1536="",0,Sync!$AE1536))</f>
        <v/>
      </c>
      <c r="G1536">
        <f>IF($A1536="","",IF(Sync!$AF1536="",0,Sync!$AF1536))</f>
        <v/>
      </c>
      <c r="H1536">
        <f>IF(OR($A1536="",ROUND($F1536+$G1536,2)=0),"",$F1536+$G1536)</f>
        <v/>
      </c>
      <c r="I1536">
        <f>IF($H1536="","",IF(ROUND($F1536,2)&gt;0,$A1536,IF($D1536="شخصی قاسم","شخصی قاسم",IF($D1536="هزینه","هزینه: "&amp;IF($E1536="","متفرقه",$E1536),IF($C1536="پاس چک","چک پرداختی",IF(OR($B1536="",COUNTIF(AcctCodesA,$B1536)=0),"متفرقه",$B1536))))))</f>
        <v/>
      </c>
      <c r="J1536">
        <f>IF($H1536="","",IF(ROUND($F1536,2)&gt;0,IF($D1536="شخصی قاسم","شخصی قاسم",IF($D1536="هزینه","هزینه: "&amp;IF($E1536="","متفرقه",$E1536),IF(OR($B1536="",COUNTIF(AcctCodesA,$B1536)=0),"متفرقه",$B1536))),$A1536))</f>
        <v/>
      </c>
      <c r="K1536">
        <f>IF($A1536="","",IF(AND($B1536&lt;&gt;"",COUNTIF(AcctCodesA,$B1536)=0),"کد طرف در INFO تعریف نشده",IF(AND($D1536="هزینه",$E1536=""),"هزینه بدون زیرگروه",IF(AND($C1536="پاس چک",OR(Sync!$AJ1536="",COUNTIF(IssueNosA,Sync!$AJ1536)=0)),"شماره چک پاس‌شده معتبر نیست",""))))</f>
        <v/>
      </c>
      <c r="V1536">
        <f>IF($K1536="","",IF(ISNUMBER(Sync!$AK1536),Sync!$AK1536,LEFT(Sync!$AK1536,4)&amp;MID(Sync!$AK1536,6,2)&amp;RIGHT(Sync!$AK1536,2))&amp;"|"&amp;"4"&amp;RIGHT("00000"&amp;1531,5))</f>
        <v/>
      </c>
      <c r="W1536">
        <f>IF($V1536="",0,COUNTIFS($V$6:$V$2005,"&lt;"&amp;$V1536)-COUNTIFS($V$6:$V$2005,"&lt;"&amp;$V1536,$K$6:$K$2005,"")+1)</f>
        <v/>
      </c>
    </row>
    <row r="1537">
      <c r="A1537">
        <f>IF(Sync!$Z1537="","",LEFT(UPPER(TRIM(Sync!$Z1537)),6))</f>
        <v/>
      </c>
      <c r="B1537">
        <f>IF($A1537="","",IF(Sync!$AA1537="","",Sync!$AA1537))</f>
        <v/>
      </c>
      <c r="C1537">
        <f>IF($A1537="","",IF(Sync!$AB1537="","",Sync!$AB1537))</f>
        <v/>
      </c>
      <c r="D1537">
        <f>IF($A1537="","",IF(Sync!$AC1537="","",Sync!$AC1537))</f>
        <v/>
      </c>
      <c r="E1537">
        <f>IF($A1537="","",IF(Sync!$AD1537="","",Sync!$AD1537))</f>
        <v/>
      </c>
      <c r="F1537">
        <f>IF($A1537="","",IF(Sync!$AE1537="",0,Sync!$AE1537))</f>
        <v/>
      </c>
      <c r="G1537">
        <f>IF($A1537="","",IF(Sync!$AF1537="",0,Sync!$AF1537))</f>
        <v/>
      </c>
      <c r="H1537">
        <f>IF(OR($A1537="",ROUND($F1537+$G1537,2)=0),"",$F1537+$G1537)</f>
        <v/>
      </c>
      <c r="I1537">
        <f>IF($H1537="","",IF(ROUND($F1537,2)&gt;0,$A1537,IF($D1537="شخصی قاسم","شخصی قاسم",IF($D1537="هزینه","هزینه: "&amp;IF($E1537="","متفرقه",$E1537),IF($C1537="پاس چک","چک پرداختی",IF(OR($B1537="",COUNTIF(AcctCodesA,$B1537)=0),"متفرقه",$B1537))))))</f>
        <v/>
      </c>
      <c r="J1537">
        <f>IF($H1537="","",IF(ROUND($F1537,2)&gt;0,IF($D1537="شخصی قاسم","شخصی قاسم",IF($D1537="هزینه","هزینه: "&amp;IF($E1537="","متفرقه",$E1537),IF(OR($B1537="",COUNTIF(AcctCodesA,$B1537)=0),"متفرقه",$B1537))),$A1537))</f>
        <v/>
      </c>
      <c r="K1537">
        <f>IF($A1537="","",IF(AND($B1537&lt;&gt;"",COUNTIF(AcctCodesA,$B1537)=0),"کد طرف در INFO تعریف نشده",IF(AND($D1537="هزینه",$E1537=""),"هزینه بدون زیرگروه",IF(AND($C1537="پاس چک",OR(Sync!$AJ1537="",COUNTIF(IssueNosA,Sync!$AJ1537)=0)),"شماره چک پاس‌شده معتبر نیست",""))))</f>
        <v/>
      </c>
      <c r="V1537">
        <f>IF($K1537="","",IF(ISNUMBER(Sync!$AK1537),Sync!$AK1537,LEFT(Sync!$AK1537,4)&amp;MID(Sync!$AK1537,6,2)&amp;RIGHT(Sync!$AK1537,2))&amp;"|"&amp;"4"&amp;RIGHT("00000"&amp;1532,5))</f>
        <v/>
      </c>
      <c r="W1537">
        <f>IF($V1537="",0,COUNTIFS($V$6:$V$2005,"&lt;"&amp;$V1537)-COUNTIFS($V$6:$V$2005,"&lt;"&amp;$V1537,$K$6:$K$2005,"")+1)</f>
        <v/>
      </c>
    </row>
    <row r="1538">
      <c r="A1538">
        <f>IF(Sync!$Z1538="","",LEFT(UPPER(TRIM(Sync!$Z1538)),6))</f>
        <v/>
      </c>
      <c r="B1538">
        <f>IF($A1538="","",IF(Sync!$AA1538="","",Sync!$AA1538))</f>
        <v/>
      </c>
      <c r="C1538">
        <f>IF($A1538="","",IF(Sync!$AB1538="","",Sync!$AB1538))</f>
        <v/>
      </c>
      <c r="D1538">
        <f>IF($A1538="","",IF(Sync!$AC1538="","",Sync!$AC1538))</f>
        <v/>
      </c>
      <c r="E1538">
        <f>IF($A1538="","",IF(Sync!$AD1538="","",Sync!$AD1538))</f>
        <v/>
      </c>
      <c r="F1538">
        <f>IF($A1538="","",IF(Sync!$AE1538="",0,Sync!$AE1538))</f>
        <v/>
      </c>
      <c r="G1538">
        <f>IF($A1538="","",IF(Sync!$AF1538="",0,Sync!$AF1538))</f>
        <v/>
      </c>
      <c r="H1538">
        <f>IF(OR($A1538="",ROUND($F1538+$G1538,2)=0),"",$F1538+$G1538)</f>
        <v/>
      </c>
      <c r="I1538">
        <f>IF($H1538="","",IF(ROUND($F1538,2)&gt;0,$A1538,IF($D1538="شخصی قاسم","شخصی قاسم",IF($D1538="هزینه","هزینه: "&amp;IF($E1538="","متفرقه",$E1538),IF($C1538="پاس چک","چک پرداختی",IF(OR($B1538="",COUNTIF(AcctCodesA,$B1538)=0),"متفرقه",$B1538))))))</f>
        <v/>
      </c>
      <c r="J1538">
        <f>IF($H1538="","",IF(ROUND($F1538,2)&gt;0,IF($D1538="شخصی قاسم","شخصی قاسم",IF($D1538="هزینه","هزینه: "&amp;IF($E1538="","متفرقه",$E1538),IF(OR($B1538="",COUNTIF(AcctCodesA,$B1538)=0),"متفرقه",$B1538))),$A1538))</f>
        <v/>
      </c>
      <c r="K1538">
        <f>IF($A1538="","",IF(AND($B1538&lt;&gt;"",COUNTIF(AcctCodesA,$B1538)=0),"کد طرف در INFO تعریف نشده",IF(AND($D1538="هزینه",$E1538=""),"هزینه بدون زیرگروه",IF(AND($C1538="پاس چک",OR(Sync!$AJ1538="",COUNTIF(IssueNosA,Sync!$AJ1538)=0)),"شماره چک پاس‌شده معتبر نیست",""))))</f>
        <v/>
      </c>
      <c r="V1538">
        <f>IF($K1538="","",IF(ISNUMBER(Sync!$AK1538),Sync!$AK1538,LEFT(Sync!$AK1538,4)&amp;MID(Sync!$AK1538,6,2)&amp;RIGHT(Sync!$AK1538,2))&amp;"|"&amp;"4"&amp;RIGHT("00000"&amp;1533,5))</f>
        <v/>
      </c>
      <c r="W1538">
        <f>IF($V1538="",0,COUNTIFS($V$6:$V$2005,"&lt;"&amp;$V1538)-COUNTIFS($V$6:$V$2005,"&lt;"&amp;$V1538,$K$6:$K$2005,"")+1)</f>
        <v/>
      </c>
    </row>
    <row r="1539">
      <c r="A1539">
        <f>IF(Sync!$Z1539="","",LEFT(UPPER(TRIM(Sync!$Z1539)),6))</f>
        <v/>
      </c>
      <c r="B1539">
        <f>IF($A1539="","",IF(Sync!$AA1539="","",Sync!$AA1539))</f>
        <v/>
      </c>
      <c r="C1539">
        <f>IF($A1539="","",IF(Sync!$AB1539="","",Sync!$AB1539))</f>
        <v/>
      </c>
      <c r="D1539">
        <f>IF($A1539="","",IF(Sync!$AC1539="","",Sync!$AC1539))</f>
        <v/>
      </c>
      <c r="E1539">
        <f>IF($A1539="","",IF(Sync!$AD1539="","",Sync!$AD1539))</f>
        <v/>
      </c>
      <c r="F1539">
        <f>IF($A1539="","",IF(Sync!$AE1539="",0,Sync!$AE1539))</f>
        <v/>
      </c>
      <c r="G1539">
        <f>IF($A1539="","",IF(Sync!$AF1539="",0,Sync!$AF1539))</f>
        <v/>
      </c>
      <c r="H1539">
        <f>IF(OR($A1539="",ROUND($F1539+$G1539,2)=0),"",$F1539+$G1539)</f>
        <v/>
      </c>
      <c r="I1539">
        <f>IF($H1539="","",IF(ROUND($F1539,2)&gt;0,$A1539,IF($D1539="شخصی قاسم","شخصی قاسم",IF($D1539="هزینه","هزینه: "&amp;IF($E1539="","متفرقه",$E1539),IF($C1539="پاس چک","چک پرداختی",IF(OR($B1539="",COUNTIF(AcctCodesA,$B1539)=0),"متفرقه",$B1539))))))</f>
        <v/>
      </c>
      <c r="J1539">
        <f>IF($H1539="","",IF(ROUND($F1539,2)&gt;0,IF($D1539="شخصی قاسم","شخصی قاسم",IF($D1539="هزینه","هزینه: "&amp;IF($E1539="","متفرقه",$E1539),IF(OR($B1539="",COUNTIF(AcctCodesA,$B1539)=0),"متفرقه",$B1539))),$A1539))</f>
        <v/>
      </c>
      <c r="K1539">
        <f>IF($A1539="","",IF(AND($B1539&lt;&gt;"",COUNTIF(AcctCodesA,$B1539)=0),"کد طرف در INFO تعریف نشده",IF(AND($D1539="هزینه",$E1539=""),"هزینه بدون زیرگروه",IF(AND($C1539="پاس چک",OR(Sync!$AJ1539="",COUNTIF(IssueNosA,Sync!$AJ1539)=0)),"شماره چک پاس‌شده معتبر نیست",""))))</f>
        <v/>
      </c>
      <c r="V1539">
        <f>IF($K1539="","",IF(ISNUMBER(Sync!$AK1539),Sync!$AK1539,LEFT(Sync!$AK1539,4)&amp;MID(Sync!$AK1539,6,2)&amp;RIGHT(Sync!$AK1539,2))&amp;"|"&amp;"4"&amp;RIGHT("00000"&amp;1534,5))</f>
        <v/>
      </c>
      <c r="W1539">
        <f>IF($V1539="",0,COUNTIFS($V$6:$V$2005,"&lt;"&amp;$V1539)-COUNTIFS($V$6:$V$2005,"&lt;"&amp;$V1539,$K$6:$K$2005,"")+1)</f>
        <v/>
      </c>
    </row>
    <row r="1540">
      <c r="A1540">
        <f>IF(Sync!$Z1540="","",LEFT(UPPER(TRIM(Sync!$Z1540)),6))</f>
        <v/>
      </c>
      <c r="B1540">
        <f>IF($A1540="","",IF(Sync!$AA1540="","",Sync!$AA1540))</f>
        <v/>
      </c>
      <c r="C1540">
        <f>IF($A1540="","",IF(Sync!$AB1540="","",Sync!$AB1540))</f>
        <v/>
      </c>
      <c r="D1540">
        <f>IF($A1540="","",IF(Sync!$AC1540="","",Sync!$AC1540))</f>
        <v/>
      </c>
      <c r="E1540">
        <f>IF($A1540="","",IF(Sync!$AD1540="","",Sync!$AD1540))</f>
        <v/>
      </c>
      <c r="F1540">
        <f>IF($A1540="","",IF(Sync!$AE1540="",0,Sync!$AE1540))</f>
        <v/>
      </c>
      <c r="G1540">
        <f>IF($A1540="","",IF(Sync!$AF1540="",0,Sync!$AF1540))</f>
        <v/>
      </c>
      <c r="H1540">
        <f>IF(OR($A1540="",ROUND($F1540+$G1540,2)=0),"",$F1540+$G1540)</f>
        <v/>
      </c>
      <c r="I1540">
        <f>IF($H1540="","",IF(ROUND($F1540,2)&gt;0,$A1540,IF($D1540="شخصی قاسم","شخصی قاسم",IF($D1540="هزینه","هزینه: "&amp;IF($E1540="","متفرقه",$E1540),IF($C1540="پاس چک","چک پرداختی",IF(OR($B1540="",COUNTIF(AcctCodesA,$B1540)=0),"متفرقه",$B1540))))))</f>
        <v/>
      </c>
      <c r="J1540">
        <f>IF($H1540="","",IF(ROUND($F1540,2)&gt;0,IF($D1540="شخصی قاسم","شخصی قاسم",IF($D1540="هزینه","هزینه: "&amp;IF($E1540="","متفرقه",$E1540),IF(OR($B1540="",COUNTIF(AcctCodesA,$B1540)=0),"متفرقه",$B1540))),$A1540))</f>
        <v/>
      </c>
      <c r="K1540">
        <f>IF($A1540="","",IF(AND($B1540&lt;&gt;"",COUNTIF(AcctCodesA,$B1540)=0),"کد طرف در INFO تعریف نشده",IF(AND($D1540="هزینه",$E1540=""),"هزینه بدون زیرگروه",IF(AND($C1540="پاس چک",OR(Sync!$AJ1540="",COUNTIF(IssueNosA,Sync!$AJ1540)=0)),"شماره چک پاس‌شده معتبر نیست",""))))</f>
        <v/>
      </c>
      <c r="V1540">
        <f>IF($K1540="","",IF(ISNUMBER(Sync!$AK1540),Sync!$AK1540,LEFT(Sync!$AK1540,4)&amp;MID(Sync!$AK1540,6,2)&amp;RIGHT(Sync!$AK1540,2))&amp;"|"&amp;"4"&amp;RIGHT("00000"&amp;1535,5))</f>
        <v/>
      </c>
      <c r="W1540">
        <f>IF($V1540="",0,COUNTIFS($V$6:$V$2005,"&lt;"&amp;$V1540)-COUNTIFS($V$6:$V$2005,"&lt;"&amp;$V1540,$K$6:$K$2005,"")+1)</f>
        <v/>
      </c>
    </row>
    <row r="1541">
      <c r="A1541">
        <f>IF(Sync!$Z1541="","",LEFT(UPPER(TRIM(Sync!$Z1541)),6))</f>
        <v/>
      </c>
      <c r="B1541">
        <f>IF($A1541="","",IF(Sync!$AA1541="","",Sync!$AA1541))</f>
        <v/>
      </c>
      <c r="C1541">
        <f>IF($A1541="","",IF(Sync!$AB1541="","",Sync!$AB1541))</f>
        <v/>
      </c>
      <c r="D1541">
        <f>IF($A1541="","",IF(Sync!$AC1541="","",Sync!$AC1541))</f>
        <v/>
      </c>
      <c r="E1541">
        <f>IF($A1541="","",IF(Sync!$AD1541="","",Sync!$AD1541))</f>
        <v/>
      </c>
      <c r="F1541">
        <f>IF($A1541="","",IF(Sync!$AE1541="",0,Sync!$AE1541))</f>
        <v/>
      </c>
      <c r="G1541">
        <f>IF($A1541="","",IF(Sync!$AF1541="",0,Sync!$AF1541))</f>
        <v/>
      </c>
      <c r="H1541">
        <f>IF(OR($A1541="",ROUND($F1541+$G1541,2)=0),"",$F1541+$G1541)</f>
        <v/>
      </c>
      <c r="I1541">
        <f>IF($H1541="","",IF(ROUND($F1541,2)&gt;0,$A1541,IF($D1541="شخصی قاسم","شخصی قاسم",IF($D1541="هزینه","هزینه: "&amp;IF($E1541="","متفرقه",$E1541),IF($C1541="پاس چک","چک پرداختی",IF(OR($B1541="",COUNTIF(AcctCodesA,$B1541)=0),"متفرقه",$B1541))))))</f>
        <v/>
      </c>
      <c r="J1541">
        <f>IF($H1541="","",IF(ROUND($F1541,2)&gt;0,IF($D1541="شخصی قاسم","شخصی قاسم",IF($D1541="هزینه","هزینه: "&amp;IF($E1541="","متفرقه",$E1541),IF(OR($B1541="",COUNTIF(AcctCodesA,$B1541)=0),"متفرقه",$B1541))),$A1541))</f>
        <v/>
      </c>
      <c r="K1541">
        <f>IF($A1541="","",IF(AND($B1541&lt;&gt;"",COUNTIF(AcctCodesA,$B1541)=0),"کد طرف در INFO تعریف نشده",IF(AND($D1541="هزینه",$E1541=""),"هزینه بدون زیرگروه",IF(AND($C1541="پاس چک",OR(Sync!$AJ1541="",COUNTIF(IssueNosA,Sync!$AJ1541)=0)),"شماره چک پاس‌شده معتبر نیست",""))))</f>
        <v/>
      </c>
      <c r="V1541">
        <f>IF($K1541="","",IF(ISNUMBER(Sync!$AK1541),Sync!$AK1541,LEFT(Sync!$AK1541,4)&amp;MID(Sync!$AK1541,6,2)&amp;RIGHT(Sync!$AK1541,2))&amp;"|"&amp;"4"&amp;RIGHT("00000"&amp;1536,5))</f>
        <v/>
      </c>
      <c r="W1541">
        <f>IF($V1541="",0,COUNTIFS($V$6:$V$2005,"&lt;"&amp;$V1541)-COUNTIFS($V$6:$V$2005,"&lt;"&amp;$V1541,$K$6:$K$2005,"")+1)</f>
        <v/>
      </c>
    </row>
    <row r="1542">
      <c r="A1542">
        <f>IF(Sync!$Z1542="","",LEFT(UPPER(TRIM(Sync!$Z1542)),6))</f>
        <v/>
      </c>
      <c r="B1542">
        <f>IF($A1542="","",IF(Sync!$AA1542="","",Sync!$AA1542))</f>
        <v/>
      </c>
      <c r="C1542">
        <f>IF($A1542="","",IF(Sync!$AB1542="","",Sync!$AB1542))</f>
        <v/>
      </c>
      <c r="D1542">
        <f>IF($A1542="","",IF(Sync!$AC1542="","",Sync!$AC1542))</f>
        <v/>
      </c>
      <c r="E1542">
        <f>IF($A1542="","",IF(Sync!$AD1542="","",Sync!$AD1542))</f>
        <v/>
      </c>
      <c r="F1542">
        <f>IF($A1542="","",IF(Sync!$AE1542="",0,Sync!$AE1542))</f>
        <v/>
      </c>
      <c r="G1542">
        <f>IF($A1542="","",IF(Sync!$AF1542="",0,Sync!$AF1542))</f>
        <v/>
      </c>
      <c r="H1542">
        <f>IF(OR($A1542="",ROUND($F1542+$G1542,2)=0),"",$F1542+$G1542)</f>
        <v/>
      </c>
      <c r="I1542">
        <f>IF($H1542="","",IF(ROUND($F1542,2)&gt;0,$A1542,IF($D1542="شخصی قاسم","شخصی قاسم",IF($D1542="هزینه","هزینه: "&amp;IF($E1542="","متفرقه",$E1542),IF($C1542="پاس چک","چک پرداختی",IF(OR($B1542="",COUNTIF(AcctCodesA,$B1542)=0),"متفرقه",$B1542))))))</f>
        <v/>
      </c>
      <c r="J1542">
        <f>IF($H1542="","",IF(ROUND($F1542,2)&gt;0,IF($D1542="شخصی قاسم","شخصی قاسم",IF($D1542="هزینه","هزینه: "&amp;IF($E1542="","متفرقه",$E1542),IF(OR($B1542="",COUNTIF(AcctCodesA,$B1542)=0),"متفرقه",$B1542))),$A1542))</f>
        <v/>
      </c>
      <c r="K1542">
        <f>IF($A1542="","",IF(AND($B1542&lt;&gt;"",COUNTIF(AcctCodesA,$B1542)=0),"کد طرف در INFO تعریف نشده",IF(AND($D1542="هزینه",$E1542=""),"هزینه بدون زیرگروه",IF(AND($C1542="پاس چک",OR(Sync!$AJ1542="",COUNTIF(IssueNosA,Sync!$AJ1542)=0)),"شماره چک پاس‌شده معتبر نیست",""))))</f>
        <v/>
      </c>
      <c r="V1542">
        <f>IF($K1542="","",IF(ISNUMBER(Sync!$AK1542),Sync!$AK1542,LEFT(Sync!$AK1542,4)&amp;MID(Sync!$AK1542,6,2)&amp;RIGHT(Sync!$AK1542,2))&amp;"|"&amp;"4"&amp;RIGHT("00000"&amp;1537,5))</f>
        <v/>
      </c>
      <c r="W1542">
        <f>IF($V1542="",0,COUNTIFS($V$6:$V$2005,"&lt;"&amp;$V1542)-COUNTIFS($V$6:$V$2005,"&lt;"&amp;$V1542,$K$6:$K$2005,"")+1)</f>
        <v/>
      </c>
    </row>
    <row r="1543">
      <c r="A1543">
        <f>IF(Sync!$Z1543="","",LEFT(UPPER(TRIM(Sync!$Z1543)),6))</f>
        <v/>
      </c>
      <c r="B1543">
        <f>IF($A1543="","",IF(Sync!$AA1543="","",Sync!$AA1543))</f>
        <v/>
      </c>
      <c r="C1543">
        <f>IF($A1543="","",IF(Sync!$AB1543="","",Sync!$AB1543))</f>
        <v/>
      </c>
      <c r="D1543">
        <f>IF($A1543="","",IF(Sync!$AC1543="","",Sync!$AC1543))</f>
        <v/>
      </c>
      <c r="E1543">
        <f>IF($A1543="","",IF(Sync!$AD1543="","",Sync!$AD1543))</f>
        <v/>
      </c>
      <c r="F1543">
        <f>IF($A1543="","",IF(Sync!$AE1543="",0,Sync!$AE1543))</f>
        <v/>
      </c>
      <c r="G1543">
        <f>IF($A1543="","",IF(Sync!$AF1543="",0,Sync!$AF1543))</f>
        <v/>
      </c>
      <c r="H1543">
        <f>IF(OR($A1543="",ROUND($F1543+$G1543,2)=0),"",$F1543+$G1543)</f>
        <v/>
      </c>
      <c r="I1543">
        <f>IF($H1543="","",IF(ROUND($F1543,2)&gt;0,$A1543,IF($D1543="شخصی قاسم","شخصی قاسم",IF($D1543="هزینه","هزینه: "&amp;IF($E1543="","متفرقه",$E1543),IF($C1543="پاس چک","چک پرداختی",IF(OR($B1543="",COUNTIF(AcctCodesA,$B1543)=0),"متفرقه",$B1543))))))</f>
        <v/>
      </c>
      <c r="J1543">
        <f>IF($H1543="","",IF(ROUND($F1543,2)&gt;0,IF($D1543="شخصی قاسم","شخصی قاسم",IF($D1543="هزینه","هزینه: "&amp;IF($E1543="","متفرقه",$E1543),IF(OR($B1543="",COUNTIF(AcctCodesA,$B1543)=0),"متفرقه",$B1543))),$A1543))</f>
        <v/>
      </c>
      <c r="K1543">
        <f>IF($A1543="","",IF(AND($B1543&lt;&gt;"",COUNTIF(AcctCodesA,$B1543)=0),"کد طرف در INFO تعریف نشده",IF(AND($D1543="هزینه",$E1543=""),"هزینه بدون زیرگروه",IF(AND($C1543="پاس چک",OR(Sync!$AJ1543="",COUNTIF(IssueNosA,Sync!$AJ1543)=0)),"شماره چک پاس‌شده معتبر نیست",""))))</f>
        <v/>
      </c>
      <c r="V1543">
        <f>IF($K1543="","",IF(ISNUMBER(Sync!$AK1543),Sync!$AK1543,LEFT(Sync!$AK1543,4)&amp;MID(Sync!$AK1543,6,2)&amp;RIGHT(Sync!$AK1543,2))&amp;"|"&amp;"4"&amp;RIGHT("00000"&amp;1538,5))</f>
        <v/>
      </c>
      <c r="W1543">
        <f>IF($V1543="",0,COUNTIFS($V$6:$V$2005,"&lt;"&amp;$V1543)-COUNTIFS($V$6:$V$2005,"&lt;"&amp;$V1543,$K$6:$K$2005,"")+1)</f>
        <v/>
      </c>
    </row>
    <row r="1544">
      <c r="A1544">
        <f>IF(Sync!$Z1544="","",LEFT(UPPER(TRIM(Sync!$Z1544)),6))</f>
        <v/>
      </c>
      <c r="B1544">
        <f>IF($A1544="","",IF(Sync!$AA1544="","",Sync!$AA1544))</f>
        <v/>
      </c>
      <c r="C1544">
        <f>IF($A1544="","",IF(Sync!$AB1544="","",Sync!$AB1544))</f>
        <v/>
      </c>
      <c r="D1544">
        <f>IF($A1544="","",IF(Sync!$AC1544="","",Sync!$AC1544))</f>
        <v/>
      </c>
      <c r="E1544">
        <f>IF($A1544="","",IF(Sync!$AD1544="","",Sync!$AD1544))</f>
        <v/>
      </c>
      <c r="F1544">
        <f>IF($A1544="","",IF(Sync!$AE1544="",0,Sync!$AE1544))</f>
        <v/>
      </c>
      <c r="G1544">
        <f>IF($A1544="","",IF(Sync!$AF1544="",0,Sync!$AF1544))</f>
        <v/>
      </c>
      <c r="H1544">
        <f>IF(OR($A1544="",ROUND($F1544+$G1544,2)=0),"",$F1544+$G1544)</f>
        <v/>
      </c>
      <c r="I1544">
        <f>IF($H1544="","",IF(ROUND($F1544,2)&gt;0,$A1544,IF($D1544="شخصی قاسم","شخصی قاسم",IF($D1544="هزینه","هزینه: "&amp;IF($E1544="","متفرقه",$E1544),IF($C1544="پاس چک","چک پرداختی",IF(OR($B1544="",COUNTIF(AcctCodesA,$B1544)=0),"متفرقه",$B1544))))))</f>
        <v/>
      </c>
      <c r="J1544">
        <f>IF($H1544="","",IF(ROUND($F1544,2)&gt;0,IF($D1544="شخصی قاسم","شخصی قاسم",IF($D1544="هزینه","هزینه: "&amp;IF($E1544="","متفرقه",$E1544),IF(OR($B1544="",COUNTIF(AcctCodesA,$B1544)=0),"متفرقه",$B1544))),$A1544))</f>
        <v/>
      </c>
      <c r="K1544">
        <f>IF($A1544="","",IF(AND($B1544&lt;&gt;"",COUNTIF(AcctCodesA,$B1544)=0),"کد طرف در INFO تعریف نشده",IF(AND($D1544="هزینه",$E1544=""),"هزینه بدون زیرگروه",IF(AND($C1544="پاس چک",OR(Sync!$AJ1544="",COUNTIF(IssueNosA,Sync!$AJ1544)=0)),"شماره چک پاس‌شده معتبر نیست",""))))</f>
        <v/>
      </c>
      <c r="V1544">
        <f>IF($K1544="","",IF(ISNUMBER(Sync!$AK1544),Sync!$AK1544,LEFT(Sync!$AK1544,4)&amp;MID(Sync!$AK1544,6,2)&amp;RIGHT(Sync!$AK1544,2))&amp;"|"&amp;"4"&amp;RIGHT("00000"&amp;1539,5))</f>
        <v/>
      </c>
      <c r="W1544">
        <f>IF($V1544="",0,COUNTIFS($V$6:$V$2005,"&lt;"&amp;$V1544)-COUNTIFS($V$6:$V$2005,"&lt;"&amp;$V1544,$K$6:$K$2005,"")+1)</f>
        <v/>
      </c>
    </row>
    <row r="1545">
      <c r="A1545">
        <f>IF(Sync!$Z1545="","",LEFT(UPPER(TRIM(Sync!$Z1545)),6))</f>
        <v/>
      </c>
      <c r="B1545">
        <f>IF($A1545="","",IF(Sync!$AA1545="","",Sync!$AA1545))</f>
        <v/>
      </c>
      <c r="C1545">
        <f>IF($A1545="","",IF(Sync!$AB1545="","",Sync!$AB1545))</f>
        <v/>
      </c>
      <c r="D1545">
        <f>IF($A1545="","",IF(Sync!$AC1545="","",Sync!$AC1545))</f>
        <v/>
      </c>
      <c r="E1545">
        <f>IF($A1545="","",IF(Sync!$AD1545="","",Sync!$AD1545))</f>
        <v/>
      </c>
      <c r="F1545">
        <f>IF($A1545="","",IF(Sync!$AE1545="",0,Sync!$AE1545))</f>
        <v/>
      </c>
      <c r="G1545">
        <f>IF($A1545="","",IF(Sync!$AF1545="",0,Sync!$AF1545))</f>
        <v/>
      </c>
      <c r="H1545">
        <f>IF(OR($A1545="",ROUND($F1545+$G1545,2)=0),"",$F1545+$G1545)</f>
        <v/>
      </c>
      <c r="I1545">
        <f>IF($H1545="","",IF(ROUND($F1545,2)&gt;0,$A1545,IF($D1545="شخصی قاسم","شخصی قاسم",IF($D1545="هزینه","هزینه: "&amp;IF($E1545="","متفرقه",$E1545),IF($C1545="پاس چک","چک پرداختی",IF(OR($B1545="",COUNTIF(AcctCodesA,$B1545)=0),"متفرقه",$B1545))))))</f>
        <v/>
      </c>
      <c r="J1545">
        <f>IF($H1545="","",IF(ROUND($F1545,2)&gt;0,IF($D1545="شخصی قاسم","شخصی قاسم",IF($D1545="هزینه","هزینه: "&amp;IF($E1545="","متفرقه",$E1545),IF(OR($B1545="",COUNTIF(AcctCodesA,$B1545)=0),"متفرقه",$B1545))),$A1545))</f>
        <v/>
      </c>
      <c r="K1545">
        <f>IF($A1545="","",IF(AND($B1545&lt;&gt;"",COUNTIF(AcctCodesA,$B1545)=0),"کد طرف در INFO تعریف نشده",IF(AND($D1545="هزینه",$E1545=""),"هزینه بدون زیرگروه",IF(AND($C1545="پاس چک",OR(Sync!$AJ1545="",COUNTIF(IssueNosA,Sync!$AJ1545)=0)),"شماره چک پاس‌شده معتبر نیست",""))))</f>
        <v/>
      </c>
      <c r="V1545">
        <f>IF($K1545="","",IF(ISNUMBER(Sync!$AK1545),Sync!$AK1545,LEFT(Sync!$AK1545,4)&amp;MID(Sync!$AK1545,6,2)&amp;RIGHT(Sync!$AK1545,2))&amp;"|"&amp;"4"&amp;RIGHT("00000"&amp;1540,5))</f>
        <v/>
      </c>
      <c r="W1545">
        <f>IF($V1545="",0,COUNTIFS($V$6:$V$2005,"&lt;"&amp;$V1545)-COUNTIFS($V$6:$V$2005,"&lt;"&amp;$V1545,$K$6:$K$2005,"")+1)</f>
        <v/>
      </c>
    </row>
    <row r="1546">
      <c r="A1546">
        <f>IF(Sync!$Z1546="","",LEFT(UPPER(TRIM(Sync!$Z1546)),6))</f>
        <v/>
      </c>
      <c r="B1546">
        <f>IF($A1546="","",IF(Sync!$AA1546="","",Sync!$AA1546))</f>
        <v/>
      </c>
      <c r="C1546">
        <f>IF($A1546="","",IF(Sync!$AB1546="","",Sync!$AB1546))</f>
        <v/>
      </c>
      <c r="D1546">
        <f>IF($A1546="","",IF(Sync!$AC1546="","",Sync!$AC1546))</f>
        <v/>
      </c>
      <c r="E1546">
        <f>IF($A1546="","",IF(Sync!$AD1546="","",Sync!$AD1546))</f>
        <v/>
      </c>
      <c r="F1546">
        <f>IF($A1546="","",IF(Sync!$AE1546="",0,Sync!$AE1546))</f>
        <v/>
      </c>
      <c r="G1546">
        <f>IF($A1546="","",IF(Sync!$AF1546="",0,Sync!$AF1546))</f>
        <v/>
      </c>
      <c r="H1546">
        <f>IF(OR($A1546="",ROUND($F1546+$G1546,2)=0),"",$F1546+$G1546)</f>
        <v/>
      </c>
      <c r="I1546">
        <f>IF($H1546="","",IF(ROUND($F1546,2)&gt;0,$A1546,IF($D1546="شخصی قاسم","شخصی قاسم",IF($D1546="هزینه","هزینه: "&amp;IF($E1546="","متفرقه",$E1546),IF($C1546="پاس چک","چک پرداختی",IF(OR($B1546="",COUNTIF(AcctCodesA,$B1546)=0),"متفرقه",$B1546))))))</f>
        <v/>
      </c>
      <c r="J1546">
        <f>IF($H1546="","",IF(ROUND($F1546,2)&gt;0,IF($D1546="شخصی قاسم","شخصی قاسم",IF($D1546="هزینه","هزینه: "&amp;IF($E1546="","متفرقه",$E1546),IF(OR($B1546="",COUNTIF(AcctCodesA,$B1546)=0),"متفرقه",$B1546))),$A1546))</f>
        <v/>
      </c>
      <c r="K1546">
        <f>IF($A1546="","",IF(AND($B1546&lt;&gt;"",COUNTIF(AcctCodesA,$B1546)=0),"کد طرف در INFO تعریف نشده",IF(AND($D1546="هزینه",$E1546=""),"هزینه بدون زیرگروه",IF(AND($C1546="پاس چک",OR(Sync!$AJ1546="",COUNTIF(IssueNosA,Sync!$AJ1546)=0)),"شماره چک پاس‌شده معتبر نیست",""))))</f>
        <v/>
      </c>
      <c r="V1546">
        <f>IF($K1546="","",IF(ISNUMBER(Sync!$AK1546),Sync!$AK1546,LEFT(Sync!$AK1546,4)&amp;MID(Sync!$AK1546,6,2)&amp;RIGHT(Sync!$AK1546,2))&amp;"|"&amp;"4"&amp;RIGHT("00000"&amp;1541,5))</f>
        <v/>
      </c>
      <c r="W1546">
        <f>IF($V1546="",0,COUNTIFS($V$6:$V$2005,"&lt;"&amp;$V1546)-COUNTIFS($V$6:$V$2005,"&lt;"&amp;$V1546,$K$6:$K$2005,"")+1)</f>
        <v/>
      </c>
    </row>
    <row r="1547">
      <c r="A1547">
        <f>IF(Sync!$Z1547="","",LEFT(UPPER(TRIM(Sync!$Z1547)),6))</f>
        <v/>
      </c>
      <c r="B1547">
        <f>IF($A1547="","",IF(Sync!$AA1547="","",Sync!$AA1547))</f>
        <v/>
      </c>
      <c r="C1547">
        <f>IF($A1547="","",IF(Sync!$AB1547="","",Sync!$AB1547))</f>
        <v/>
      </c>
      <c r="D1547">
        <f>IF($A1547="","",IF(Sync!$AC1547="","",Sync!$AC1547))</f>
        <v/>
      </c>
      <c r="E1547">
        <f>IF($A1547="","",IF(Sync!$AD1547="","",Sync!$AD1547))</f>
        <v/>
      </c>
      <c r="F1547">
        <f>IF($A1547="","",IF(Sync!$AE1547="",0,Sync!$AE1547))</f>
        <v/>
      </c>
      <c r="G1547">
        <f>IF($A1547="","",IF(Sync!$AF1547="",0,Sync!$AF1547))</f>
        <v/>
      </c>
      <c r="H1547">
        <f>IF(OR($A1547="",ROUND($F1547+$G1547,2)=0),"",$F1547+$G1547)</f>
        <v/>
      </c>
      <c r="I1547">
        <f>IF($H1547="","",IF(ROUND($F1547,2)&gt;0,$A1547,IF($D1547="شخصی قاسم","شخصی قاسم",IF($D1547="هزینه","هزینه: "&amp;IF($E1547="","متفرقه",$E1547),IF($C1547="پاس چک","چک پرداختی",IF(OR($B1547="",COUNTIF(AcctCodesA,$B1547)=0),"متفرقه",$B1547))))))</f>
        <v/>
      </c>
      <c r="J1547">
        <f>IF($H1547="","",IF(ROUND($F1547,2)&gt;0,IF($D1547="شخصی قاسم","شخصی قاسم",IF($D1547="هزینه","هزینه: "&amp;IF($E1547="","متفرقه",$E1547),IF(OR($B1547="",COUNTIF(AcctCodesA,$B1547)=0),"متفرقه",$B1547))),$A1547))</f>
        <v/>
      </c>
      <c r="K1547">
        <f>IF($A1547="","",IF(AND($B1547&lt;&gt;"",COUNTIF(AcctCodesA,$B1547)=0),"کد طرف در INFO تعریف نشده",IF(AND($D1547="هزینه",$E1547=""),"هزینه بدون زیرگروه",IF(AND($C1547="پاس چک",OR(Sync!$AJ1547="",COUNTIF(IssueNosA,Sync!$AJ1547)=0)),"شماره چک پاس‌شده معتبر نیست",""))))</f>
        <v/>
      </c>
      <c r="V1547">
        <f>IF($K1547="","",IF(ISNUMBER(Sync!$AK1547),Sync!$AK1547,LEFT(Sync!$AK1547,4)&amp;MID(Sync!$AK1547,6,2)&amp;RIGHT(Sync!$AK1547,2))&amp;"|"&amp;"4"&amp;RIGHT("00000"&amp;1542,5))</f>
        <v/>
      </c>
      <c r="W1547">
        <f>IF($V1547="",0,COUNTIFS($V$6:$V$2005,"&lt;"&amp;$V1547)-COUNTIFS($V$6:$V$2005,"&lt;"&amp;$V1547,$K$6:$K$2005,"")+1)</f>
        <v/>
      </c>
    </row>
    <row r="1548">
      <c r="A1548">
        <f>IF(Sync!$Z1548="","",LEFT(UPPER(TRIM(Sync!$Z1548)),6))</f>
        <v/>
      </c>
      <c r="B1548">
        <f>IF($A1548="","",IF(Sync!$AA1548="","",Sync!$AA1548))</f>
        <v/>
      </c>
      <c r="C1548">
        <f>IF($A1548="","",IF(Sync!$AB1548="","",Sync!$AB1548))</f>
        <v/>
      </c>
      <c r="D1548">
        <f>IF($A1548="","",IF(Sync!$AC1548="","",Sync!$AC1548))</f>
        <v/>
      </c>
      <c r="E1548">
        <f>IF($A1548="","",IF(Sync!$AD1548="","",Sync!$AD1548))</f>
        <v/>
      </c>
      <c r="F1548">
        <f>IF($A1548="","",IF(Sync!$AE1548="",0,Sync!$AE1548))</f>
        <v/>
      </c>
      <c r="G1548">
        <f>IF($A1548="","",IF(Sync!$AF1548="",0,Sync!$AF1548))</f>
        <v/>
      </c>
      <c r="H1548">
        <f>IF(OR($A1548="",ROUND($F1548+$G1548,2)=0),"",$F1548+$G1548)</f>
        <v/>
      </c>
      <c r="I1548">
        <f>IF($H1548="","",IF(ROUND($F1548,2)&gt;0,$A1548,IF($D1548="شخصی قاسم","شخصی قاسم",IF($D1548="هزینه","هزینه: "&amp;IF($E1548="","متفرقه",$E1548),IF($C1548="پاس چک","چک پرداختی",IF(OR($B1548="",COUNTIF(AcctCodesA,$B1548)=0),"متفرقه",$B1548))))))</f>
        <v/>
      </c>
      <c r="J1548">
        <f>IF($H1548="","",IF(ROUND($F1548,2)&gt;0,IF($D1548="شخصی قاسم","شخصی قاسم",IF($D1548="هزینه","هزینه: "&amp;IF($E1548="","متفرقه",$E1548),IF(OR($B1548="",COUNTIF(AcctCodesA,$B1548)=0),"متفرقه",$B1548))),$A1548))</f>
        <v/>
      </c>
      <c r="K1548">
        <f>IF($A1548="","",IF(AND($B1548&lt;&gt;"",COUNTIF(AcctCodesA,$B1548)=0),"کد طرف در INFO تعریف نشده",IF(AND($D1548="هزینه",$E1548=""),"هزینه بدون زیرگروه",IF(AND($C1548="پاس چک",OR(Sync!$AJ1548="",COUNTIF(IssueNosA,Sync!$AJ1548)=0)),"شماره چک پاس‌شده معتبر نیست",""))))</f>
        <v/>
      </c>
      <c r="V1548">
        <f>IF($K1548="","",IF(ISNUMBER(Sync!$AK1548),Sync!$AK1548,LEFT(Sync!$AK1548,4)&amp;MID(Sync!$AK1548,6,2)&amp;RIGHT(Sync!$AK1548,2))&amp;"|"&amp;"4"&amp;RIGHT("00000"&amp;1543,5))</f>
        <v/>
      </c>
      <c r="W1548">
        <f>IF($V1548="",0,COUNTIFS($V$6:$V$2005,"&lt;"&amp;$V1548)-COUNTIFS($V$6:$V$2005,"&lt;"&amp;$V1548,$K$6:$K$2005,"")+1)</f>
        <v/>
      </c>
    </row>
    <row r="1549">
      <c r="A1549">
        <f>IF(Sync!$Z1549="","",LEFT(UPPER(TRIM(Sync!$Z1549)),6))</f>
        <v/>
      </c>
      <c r="B1549">
        <f>IF($A1549="","",IF(Sync!$AA1549="","",Sync!$AA1549))</f>
        <v/>
      </c>
      <c r="C1549">
        <f>IF($A1549="","",IF(Sync!$AB1549="","",Sync!$AB1549))</f>
        <v/>
      </c>
      <c r="D1549">
        <f>IF($A1549="","",IF(Sync!$AC1549="","",Sync!$AC1549))</f>
        <v/>
      </c>
      <c r="E1549">
        <f>IF($A1549="","",IF(Sync!$AD1549="","",Sync!$AD1549))</f>
        <v/>
      </c>
      <c r="F1549">
        <f>IF($A1549="","",IF(Sync!$AE1549="",0,Sync!$AE1549))</f>
        <v/>
      </c>
      <c r="G1549">
        <f>IF($A1549="","",IF(Sync!$AF1549="",0,Sync!$AF1549))</f>
        <v/>
      </c>
      <c r="H1549">
        <f>IF(OR($A1549="",ROUND($F1549+$G1549,2)=0),"",$F1549+$G1549)</f>
        <v/>
      </c>
      <c r="I1549">
        <f>IF($H1549="","",IF(ROUND($F1549,2)&gt;0,$A1549,IF($D1549="شخصی قاسم","شخصی قاسم",IF($D1549="هزینه","هزینه: "&amp;IF($E1549="","متفرقه",$E1549),IF($C1549="پاس چک","چک پرداختی",IF(OR($B1549="",COUNTIF(AcctCodesA,$B1549)=0),"متفرقه",$B1549))))))</f>
        <v/>
      </c>
      <c r="J1549">
        <f>IF($H1549="","",IF(ROUND($F1549,2)&gt;0,IF($D1549="شخصی قاسم","شخصی قاسم",IF($D1549="هزینه","هزینه: "&amp;IF($E1549="","متفرقه",$E1549),IF(OR($B1549="",COUNTIF(AcctCodesA,$B1549)=0),"متفرقه",$B1549))),$A1549))</f>
        <v/>
      </c>
      <c r="K1549">
        <f>IF($A1549="","",IF(AND($B1549&lt;&gt;"",COUNTIF(AcctCodesA,$B1549)=0),"کد طرف در INFO تعریف نشده",IF(AND($D1549="هزینه",$E1549=""),"هزینه بدون زیرگروه",IF(AND($C1549="پاس چک",OR(Sync!$AJ1549="",COUNTIF(IssueNosA,Sync!$AJ1549)=0)),"شماره چک پاس‌شده معتبر نیست",""))))</f>
        <v/>
      </c>
      <c r="V1549">
        <f>IF($K1549="","",IF(ISNUMBER(Sync!$AK1549),Sync!$AK1549,LEFT(Sync!$AK1549,4)&amp;MID(Sync!$AK1549,6,2)&amp;RIGHT(Sync!$AK1549,2))&amp;"|"&amp;"4"&amp;RIGHT("00000"&amp;1544,5))</f>
        <v/>
      </c>
      <c r="W1549">
        <f>IF($V1549="",0,COUNTIFS($V$6:$V$2005,"&lt;"&amp;$V1549)-COUNTIFS($V$6:$V$2005,"&lt;"&amp;$V1549,$K$6:$K$2005,"")+1)</f>
        <v/>
      </c>
    </row>
    <row r="1550">
      <c r="A1550">
        <f>IF(Sync!$Z1550="","",LEFT(UPPER(TRIM(Sync!$Z1550)),6))</f>
        <v/>
      </c>
      <c r="B1550">
        <f>IF($A1550="","",IF(Sync!$AA1550="","",Sync!$AA1550))</f>
        <v/>
      </c>
      <c r="C1550">
        <f>IF($A1550="","",IF(Sync!$AB1550="","",Sync!$AB1550))</f>
        <v/>
      </c>
      <c r="D1550">
        <f>IF($A1550="","",IF(Sync!$AC1550="","",Sync!$AC1550))</f>
        <v/>
      </c>
      <c r="E1550">
        <f>IF($A1550="","",IF(Sync!$AD1550="","",Sync!$AD1550))</f>
        <v/>
      </c>
      <c r="F1550">
        <f>IF($A1550="","",IF(Sync!$AE1550="",0,Sync!$AE1550))</f>
        <v/>
      </c>
      <c r="G1550">
        <f>IF($A1550="","",IF(Sync!$AF1550="",0,Sync!$AF1550))</f>
        <v/>
      </c>
      <c r="H1550">
        <f>IF(OR($A1550="",ROUND($F1550+$G1550,2)=0),"",$F1550+$G1550)</f>
        <v/>
      </c>
      <c r="I1550">
        <f>IF($H1550="","",IF(ROUND($F1550,2)&gt;0,$A1550,IF($D1550="شخصی قاسم","شخصی قاسم",IF($D1550="هزینه","هزینه: "&amp;IF($E1550="","متفرقه",$E1550),IF($C1550="پاس چک","چک پرداختی",IF(OR($B1550="",COUNTIF(AcctCodesA,$B1550)=0),"متفرقه",$B1550))))))</f>
        <v/>
      </c>
      <c r="J1550">
        <f>IF($H1550="","",IF(ROUND($F1550,2)&gt;0,IF($D1550="شخصی قاسم","شخصی قاسم",IF($D1550="هزینه","هزینه: "&amp;IF($E1550="","متفرقه",$E1550),IF(OR($B1550="",COUNTIF(AcctCodesA,$B1550)=0),"متفرقه",$B1550))),$A1550))</f>
        <v/>
      </c>
      <c r="K1550">
        <f>IF($A1550="","",IF(AND($B1550&lt;&gt;"",COUNTIF(AcctCodesA,$B1550)=0),"کد طرف در INFO تعریف نشده",IF(AND($D1550="هزینه",$E1550=""),"هزینه بدون زیرگروه",IF(AND($C1550="پاس چک",OR(Sync!$AJ1550="",COUNTIF(IssueNosA,Sync!$AJ1550)=0)),"شماره چک پاس‌شده معتبر نیست",""))))</f>
        <v/>
      </c>
      <c r="V1550">
        <f>IF($K1550="","",IF(ISNUMBER(Sync!$AK1550),Sync!$AK1550,LEFT(Sync!$AK1550,4)&amp;MID(Sync!$AK1550,6,2)&amp;RIGHT(Sync!$AK1550,2))&amp;"|"&amp;"4"&amp;RIGHT("00000"&amp;1545,5))</f>
        <v/>
      </c>
      <c r="W1550">
        <f>IF($V1550="",0,COUNTIFS($V$6:$V$2005,"&lt;"&amp;$V1550)-COUNTIFS($V$6:$V$2005,"&lt;"&amp;$V1550,$K$6:$K$2005,"")+1)</f>
        <v/>
      </c>
    </row>
    <row r="1551">
      <c r="A1551">
        <f>IF(Sync!$Z1551="","",LEFT(UPPER(TRIM(Sync!$Z1551)),6))</f>
        <v/>
      </c>
      <c r="B1551">
        <f>IF($A1551="","",IF(Sync!$AA1551="","",Sync!$AA1551))</f>
        <v/>
      </c>
      <c r="C1551">
        <f>IF($A1551="","",IF(Sync!$AB1551="","",Sync!$AB1551))</f>
        <v/>
      </c>
      <c r="D1551">
        <f>IF($A1551="","",IF(Sync!$AC1551="","",Sync!$AC1551))</f>
        <v/>
      </c>
      <c r="E1551">
        <f>IF($A1551="","",IF(Sync!$AD1551="","",Sync!$AD1551))</f>
        <v/>
      </c>
      <c r="F1551">
        <f>IF($A1551="","",IF(Sync!$AE1551="",0,Sync!$AE1551))</f>
        <v/>
      </c>
      <c r="G1551">
        <f>IF($A1551="","",IF(Sync!$AF1551="",0,Sync!$AF1551))</f>
        <v/>
      </c>
      <c r="H1551">
        <f>IF(OR($A1551="",ROUND($F1551+$G1551,2)=0),"",$F1551+$G1551)</f>
        <v/>
      </c>
      <c r="I1551">
        <f>IF($H1551="","",IF(ROUND($F1551,2)&gt;0,$A1551,IF($D1551="شخصی قاسم","شخصی قاسم",IF($D1551="هزینه","هزینه: "&amp;IF($E1551="","متفرقه",$E1551),IF($C1551="پاس چک","چک پرداختی",IF(OR($B1551="",COUNTIF(AcctCodesA,$B1551)=0),"متفرقه",$B1551))))))</f>
        <v/>
      </c>
      <c r="J1551">
        <f>IF($H1551="","",IF(ROUND($F1551,2)&gt;0,IF($D1551="شخصی قاسم","شخصی قاسم",IF($D1551="هزینه","هزینه: "&amp;IF($E1551="","متفرقه",$E1551),IF(OR($B1551="",COUNTIF(AcctCodesA,$B1551)=0),"متفرقه",$B1551))),$A1551))</f>
        <v/>
      </c>
      <c r="K1551">
        <f>IF($A1551="","",IF(AND($B1551&lt;&gt;"",COUNTIF(AcctCodesA,$B1551)=0),"کد طرف در INFO تعریف نشده",IF(AND($D1551="هزینه",$E1551=""),"هزینه بدون زیرگروه",IF(AND($C1551="پاس چک",OR(Sync!$AJ1551="",COUNTIF(IssueNosA,Sync!$AJ1551)=0)),"شماره چک پاس‌شده معتبر نیست",""))))</f>
        <v/>
      </c>
      <c r="V1551">
        <f>IF($K1551="","",IF(ISNUMBER(Sync!$AK1551),Sync!$AK1551,LEFT(Sync!$AK1551,4)&amp;MID(Sync!$AK1551,6,2)&amp;RIGHT(Sync!$AK1551,2))&amp;"|"&amp;"4"&amp;RIGHT("00000"&amp;1546,5))</f>
        <v/>
      </c>
      <c r="W1551">
        <f>IF($V1551="",0,COUNTIFS($V$6:$V$2005,"&lt;"&amp;$V1551)-COUNTIFS($V$6:$V$2005,"&lt;"&amp;$V1551,$K$6:$K$2005,"")+1)</f>
        <v/>
      </c>
    </row>
    <row r="1552">
      <c r="A1552">
        <f>IF(Sync!$Z1552="","",LEFT(UPPER(TRIM(Sync!$Z1552)),6))</f>
        <v/>
      </c>
      <c r="B1552">
        <f>IF($A1552="","",IF(Sync!$AA1552="","",Sync!$AA1552))</f>
        <v/>
      </c>
      <c r="C1552">
        <f>IF($A1552="","",IF(Sync!$AB1552="","",Sync!$AB1552))</f>
        <v/>
      </c>
      <c r="D1552">
        <f>IF($A1552="","",IF(Sync!$AC1552="","",Sync!$AC1552))</f>
        <v/>
      </c>
      <c r="E1552">
        <f>IF($A1552="","",IF(Sync!$AD1552="","",Sync!$AD1552))</f>
        <v/>
      </c>
      <c r="F1552">
        <f>IF($A1552="","",IF(Sync!$AE1552="",0,Sync!$AE1552))</f>
        <v/>
      </c>
      <c r="G1552">
        <f>IF($A1552="","",IF(Sync!$AF1552="",0,Sync!$AF1552))</f>
        <v/>
      </c>
      <c r="H1552">
        <f>IF(OR($A1552="",ROUND($F1552+$G1552,2)=0),"",$F1552+$G1552)</f>
        <v/>
      </c>
      <c r="I1552">
        <f>IF($H1552="","",IF(ROUND($F1552,2)&gt;0,$A1552,IF($D1552="شخصی قاسم","شخصی قاسم",IF($D1552="هزینه","هزینه: "&amp;IF($E1552="","متفرقه",$E1552),IF($C1552="پاس چک","چک پرداختی",IF(OR($B1552="",COUNTIF(AcctCodesA,$B1552)=0),"متفرقه",$B1552))))))</f>
        <v/>
      </c>
      <c r="J1552">
        <f>IF($H1552="","",IF(ROUND($F1552,2)&gt;0,IF($D1552="شخصی قاسم","شخصی قاسم",IF($D1552="هزینه","هزینه: "&amp;IF($E1552="","متفرقه",$E1552),IF(OR($B1552="",COUNTIF(AcctCodesA,$B1552)=0),"متفرقه",$B1552))),$A1552))</f>
        <v/>
      </c>
      <c r="K1552">
        <f>IF($A1552="","",IF(AND($B1552&lt;&gt;"",COUNTIF(AcctCodesA,$B1552)=0),"کد طرف در INFO تعریف نشده",IF(AND($D1552="هزینه",$E1552=""),"هزینه بدون زیرگروه",IF(AND($C1552="پاس چک",OR(Sync!$AJ1552="",COUNTIF(IssueNosA,Sync!$AJ1552)=0)),"شماره چک پاس‌شده معتبر نیست",""))))</f>
        <v/>
      </c>
      <c r="V1552">
        <f>IF($K1552="","",IF(ISNUMBER(Sync!$AK1552),Sync!$AK1552,LEFT(Sync!$AK1552,4)&amp;MID(Sync!$AK1552,6,2)&amp;RIGHT(Sync!$AK1552,2))&amp;"|"&amp;"4"&amp;RIGHT("00000"&amp;1547,5))</f>
        <v/>
      </c>
      <c r="W1552">
        <f>IF($V1552="",0,COUNTIFS($V$6:$V$2005,"&lt;"&amp;$V1552)-COUNTIFS($V$6:$V$2005,"&lt;"&amp;$V1552,$K$6:$K$2005,"")+1)</f>
        <v/>
      </c>
    </row>
    <row r="1553">
      <c r="A1553">
        <f>IF(Sync!$Z1553="","",LEFT(UPPER(TRIM(Sync!$Z1553)),6))</f>
        <v/>
      </c>
      <c r="B1553">
        <f>IF($A1553="","",IF(Sync!$AA1553="","",Sync!$AA1553))</f>
        <v/>
      </c>
      <c r="C1553">
        <f>IF($A1553="","",IF(Sync!$AB1553="","",Sync!$AB1553))</f>
        <v/>
      </c>
      <c r="D1553">
        <f>IF($A1553="","",IF(Sync!$AC1553="","",Sync!$AC1553))</f>
        <v/>
      </c>
      <c r="E1553">
        <f>IF($A1553="","",IF(Sync!$AD1553="","",Sync!$AD1553))</f>
        <v/>
      </c>
      <c r="F1553">
        <f>IF($A1553="","",IF(Sync!$AE1553="",0,Sync!$AE1553))</f>
        <v/>
      </c>
      <c r="G1553">
        <f>IF($A1553="","",IF(Sync!$AF1553="",0,Sync!$AF1553))</f>
        <v/>
      </c>
      <c r="H1553">
        <f>IF(OR($A1553="",ROUND($F1553+$G1553,2)=0),"",$F1553+$G1553)</f>
        <v/>
      </c>
      <c r="I1553">
        <f>IF($H1553="","",IF(ROUND($F1553,2)&gt;0,$A1553,IF($D1553="شخصی قاسم","شخصی قاسم",IF($D1553="هزینه","هزینه: "&amp;IF($E1553="","متفرقه",$E1553),IF($C1553="پاس چک","چک پرداختی",IF(OR($B1553="",COUNTIF(AcctCodesA,$B1553)=0),"متفرقه",$B1553))))))</f>
        <v/>
      </c>
      <c r="J1553">
        <f>IF($H1553="","",IF(ROUND($F1553,2)&gt;0,IF($D1553="شخصی قاسم","شخصی قاسم",IF($D1553="هزینه","هزینه: "&amp;IF($E1553="","متفرقه",$E1553),IF(OR($B1553="",COUNTIF(AcctCodesA,$B1553)=0),"متفرقه",$B1553))),$A1553))</f>
        <v/>
      </c>
      <c r="K1553">
        <f>IF($A1553="","",IF(AND($B1553&lt;&gt;"",COUNTIF(AcctCodesA,$B1553)=0),"کد طرف در INFO تعریف نشده",IF(AND($D1553="هزینه",$E1553=""),"هزینه بدون زیرگروه",IF(AND($C1553="پاس چک",OR(Sync!$AJ1553="",COUNTIF(IssueNosA,Sync!$AJ1553)=0)),"شماره چک پاس‌شده معتبر نیست",""))))</f>
        <v/>
      </c>
      <c r="V1553">
        <f>IF($K1553="","",IF(ISNUMBER(Sync!$AK1553),Sync!$AK1553,LEFT(Sync!$AK1553,4)&amp;MID(Sync!$AK1553,6,2)&amp;RIGHT(Sync!$AK1553,2))&amp;"|"&amp;"4"&amp;RIGHT("00000"&amp;1548,5))</f>
        <v/>
      </c>
      <c r="W1553">
        <f>IF($V1553="",0,COUNTIFS($V$6:$V$2005,"&lt;"&amp;$V1553)-COUNTIFS($V$6:$V$2005,"&lt;"&amp;$V1553,$K$6:$K$2005,"")+1)</f>
        <v/>
      </c>
    </row>
    <row r="1554">
      <c r="A1554">
        <f>IF(Sync!$Z1554="","",LEFT(UPPER(TRIM(Sync!$Z1554)),6))</f>
        <v/>
      </c>
      <c r="B1554">
        <f>IF($A1554="","",IF(Sync!$AA1554="","",Sync!$AA1554))</f>
        <v/>
      </c>
      <c r="C1554">
        <f>IF($A1554="","",IF(Sync!$AB1554="","",Sync!$AB1554))</f>
        <v/>
      </c>
      <c r="D1554">
        <f>IF($A1554="","",IF(Sync!$AC1554="","",Sync!$AC1554))</f>
        <v/>
      </c>
      <c r="E1554">
        <f>IF($A1554="","",IF(Sync!$AD1554="","",Sync!$AD1554))</f>
        <v/>
      </c>
      <c r="F1554">
        <f>IF($A1554="","",IF(Sync!$AE1554="",0,Sync!$AE1554))</f>
        <v/>
      </c>
      <c r="G1554">
        <f>IF($A1554="","",IF(Sync!$AF1554="",0,Sync!$AF1554))</f>
        <v/>
      </c>
      <c r="H1554">
        <f>IF(OR($A1554="",ROUND($F1554+$G1554,2)=0),"",$F1554+$G1554)</f>
        <v/>
      </c>
      <c r="I1554">
        <f>IF($H1554="","",IF(ROUND($F1554,2)&gt;0,$A1554,IF($D1554="شخصی قاسم","شخصی قاسم",IF($D1554="هزینه","هزینه: "&amp;IF($E1554="","متفرقه",$E1554),IF($C1554="پاس چک","چک پرداختی",IF(OR($B1554="",COUNTIF(AcctCodesA,$B1554)=0),"متفرقه",$B1554))))))</f>
        <v/>
      </c>
      <c r="J1554">
        <f>IF($H1554="","",IF(ROUND($F1554,2)&gt;0,IF($D1554="شخصی قاسم","شخصی قاسم",IF($D1554="هزینه","هزینه: "&amp;IF($E1554="","متفرقه",$E1554),IF(OR($B1554="",COUNTIF(AcctCodesA,$B1554)=0),"متفرقه",$B1554))),$A1554))</f>
        <v/>
      </c>
      <c r="K1554">
        <f>IF($A1554="","",IF(AND($B1554&lt;&gt;"",COUNTIF(AcctCodesA,$B1554)=0),"کد طرف در INFO تعریف نشده",IF(AND($D1554="هزینه",$E1554=""),"هزینه بدون زیرگروه",IF(AND($C1554="پاس چک",OR(Sync!$AJ1554="",COUNTIF(IssueNosA,Sync!$AJ1554)=0)),"شماره چک پاس‌شده معتبر نیست",""))))</f>
        <v/>
      </c>
      <c r="V1554">
        <f>IF($K1554="","",IF(ISNUMBER(Sync!$AK1554),Sync!$AK1554,LEFT(Sync!$AK1554,4)&amp;MID(Sync!$AK1554,6,2)&amp;RIGHT(Sync!$AK1554,2))&amp;"|"&amp;"4"&amp;RIGHT("00000"&amp;1549,5))</f>
        <v/>
      </c>
      <c r="W1554">
        <f>IF($V1554="",0,COUNTIFS($V$6:$V$2005,"&lt;"&amp;$V1554)-COUNTIFS($V$6:$V$2005,"&lt;"&amp;$V1554,$K$6:$K$2005,"")+1)</f>
        <v/>
      </c>
    </row>
    <row r="1555">
      <c r="A1555">
        <f>IF(Sync!$Z1555="","",LEFT(UPPER(TRIM(Sync!$Z1555)),6))</f>
        <v/>
      </c>
      <c r="B1555">
        <f>IF($A1555="","",IF(Sync!$AA1555="","",Sync!$AA1555))</f>
        <v/>
      </c>
      <c r="C1555">
        <f>IF($A1555="","",IF(Sync!$AB1555="","",Sync!$AB1555))</f>
        <v/>
      </c>
      <c r="D1555">
        <f>IF($A1555="","",IF(Sync!$AC1555="","",Sync!$AC1555))</f>
        <v/>
      </c>
      <c r="E1555">
        <f>IF($A1555="","",IF(Sync!$AD1555="","",Sync!$AD1555))</f>
        <v/>
      </c>
      <c r="F1555">
        <f>IF($A1555="","",IF(Sync!$AE1555="",0,Sync!$AE1555))</f>
        <v/>
      </c>
      <c r="G1555">
        <f>IF($A1555="","",IF(Sync!$AF1555="",0,Sync!$AF1555))</f>
        <v/>
      </c>
      <c r="H1555">
        <f>IF(OR($A1555="",ROUND($F1555+$G1555,2)=0),"",$F1555+$G1555)</f>
        <v/>
      </c>
      <c r="I1555">
        <f>IF($H1555="","",IF(ROUND($F1555,2)&gt;0,$A1555,IF($D1555="شخصی قاسم","شخصی قاسم",IF($D1555="هزینه","هزینه: "&amp;IF($E1555="","متفرقه",$E1555),IF($C1555="پاس چک","چک پرداختی",IF(OR($B1555="",COUNTIF(AcctCodesA,$B1555)=0),"متفرقه",$B1555))))))</f>
        <v/>
      </c>
      <c r="J1555">
        <f>IF($H1555="","",IF(ROUND($F1555,2)&gt;0,IF($D1555="شخصی قاسم","شخصی قاسم",IF($D1555="هزینه","هزینه: "&amp;IF($E1555="","متفرقه",$E1555),IF(OR($B1555="",COUNTIF(AcctCodesA,$B1555)=0),"متفرقه",$B1555))),$A1555))</f>
        <v/>
      </c>
      <c r="K1555">
        <f>IF($A1555="","",IF(AND($B1555&lt;&gt;"",COUNTIF(AcctCodesA,$B1555)=0),"کد طرف در INFO تعریف نشده",IF(AND($D1555="هزینه",$E1555=""),"هزینه بدون زیرگروه",IF(AND($C1555="پاس چک",OR(Sync!$AJ1555="",COUNTIF(IssueNosA,Sync!$AJ1555)=0)),"شماره چک پاس‌شده معتبر نیست",""))))</f>
        <v/>
      </c>
      <c r="V1555">
        <f>IF($K1555="","",IF(ISNUMBER(Sync!$AK1555),Sync!$AK1555,LEFT(Sync!$AK1555,4)&amp;MID(Sync!$AK1555,6,2)&amp;RIGHT(Sync!$AK1555,2))&amp;"|"&amp;"4"&amp;RIGHT("00000"&amp;1550,5))</f>
        <v/>
      </c>
      <c r="W1555">
        <f>IF($V1555="",0,COUNTIFS($V$6:$V$2005,"&lt;"&amp;$V1555)-COUNTIFS($V$6:$V$2005,"&lt;"&amp;$V1555,$K$6:$K$2005,"")+1)</f>
        <v/>
      </c>
    </row>
    <row r="1556">
      <c r="A1556">
        <f>IF(Sync!$Z1556="","",LEFT(UPPER(TRIM(Sync!$Z1556)),6))</f>
        <v/>
      </c>
      <c r="B1556">
        <f>IF($A1556="","",IF(Sync!$AA1556="","",Sync!$AA1556))</f>
        <v/>
      </c>
      <c r="C1556">
        <f>IF($A1556="","",IF(Sync!$AB1556="","",Sync!$AB1556))</f>
        <v/>
      </c>
      <c r="D1556">
        <f>IF($A1556="","",IF(Sync!$AC1556="","",Sync!$AC1556))</f>
        <v/>
      </c>
      <c r="E1556">
        <f>IF($A1556="","",IF(Sync!$AD1556="","",Sync!$AD1556))</f>
        <v/>
      </c>
      <c r="F1556">
        <f>IF($A1556="","",IF(Sync!$AE1556="",0,Sync!$AE1556))</f>
        <v/>
      </c>
      <c r="G1556">
        <f>IF($A1556="","",IF(Sync!$AF1556="",0,Sync!$AF1556))</f>
        <v/>
      </c>
      <c r="H1556">
        <f>IF(OR($A1556="",ROUND($F1556+$G1556,2)=0),"",$F1556+$G1556)</f>
        <v/>
      </c>
      <c r="I1556">
        <f>IF($H1556="","",IF(ROUND($F1556,2)&gt;0,$A1556,IF($D1556="شخصی قاسم","شخصی قاسم",IF($D1556="هزینه","هزینه: "&amp;IF($E1556="","متفرقه",$E1556),IF($C1556="پاس چک","چک پرداختی",IF(OR($B1556="",COUNTIF(AcctCodesA,$B1556)=0),"متفرقه",$B1556))))))</f>
        <v/>
      </c>
      <c r="J1556">
        <f>IF($H1556="","",IF(ROUND($F1556,2)&gt;0,IF($D1556="شخصی قاسم","شخصی قاسم",IF($D1556="هزینه","هزینه: "&amp;IF($E1556="","متفرقه",$E1556),IF(OR($B1556="",COUNTIF(AcctCodesA,$B1556)=0),"متفرقه",$B1556))),$A1556))</f>
        <v/>
      </c>
      <c r="K1556">
        <f>IF($A1556="","",IF(AND($B1556&lt;&gt;"",COUNTIF(AcctCodesA,$B1556)=0),"کد طرف در INFO تعریف نشده",IF(AND($D1556="هزینه",$E1556=""),"هزینه بدون زیرگروه",IF(AND($C1556="پاس چک",OR(Sync!$AJ1556="",COUNTIF(IssueNosA,Sync!$AJ1556)=0)),"شماره چک پاس‌شده معتبر نیست",""))))</f>
        <v/>
      </c>
      <c r="V1556">
        <f>IF($K1556="","",IF(ISNUMBER(Sync!$AK1556),Sync!$AK1556,LEFT(Sync!$AK1556,4)&amp;MID(Sync!$AK1556,6,2)&amp;RIGHT(Sync!$AK1556,2))&amp;"|"&amp;"4"&amp;RIGHT("00000"&amp;1551,5))</f>
        <v/>
      </c>
      <c r="W1556">
        <f>IF($V1556="",0,COUNTIFS($V$6:$V$2005,"&lt;"&amp;$V1556)-COUNTIFS($V$6:$V$2005,"&lt;"&amp;$V1556,$K$6:$K$2005,"")+1)</f>
        <v/>
      </c>
    </row>
    <row r="1557">
      <c r="A1557">
        <f>IF(Sync!$Z1557="","",LEFT(UPPER(TRIM(Sync!$Z1557)),6))</f>
        <v/>
      </c>
      <c r="B1557">
        <f>IF($A1557="","",IF(Sync!$AA1557="","",Sync!$AA1557))</f>
        <v/>
      </c>
      <c r="C1557">
        <f>IF($A1557="","",IF(Sync!$AB1557="","",Sync!$AB1557))</f>
        <v/>
      </c>
      <c r="D1557">
        <f>IF($A1557="","",IF(Sync!$AC1557="","",Sync!$AC1557))</f>
        <v/>
      </c>
      <c r="E1557">
        <f>IF($A1557="","",IF(Sync!$AD1557="","",Sync!$AD1557))</f>
        <v/>
      </c>
      <c r="F1557">
        <f>IF($A1557="","",IF(Sync!$AE1557="",0,Sync!$AE1557))</f>
        <v/>
      </c>
      <c r="G1557">
        <f>IF($A1557="","",IF(Sync!$AF1557="",0,Sync!$AF1557))</f>
        <v/>
      </c>
      <c r="H1557">
        <f>IF(OR($A1557="",ROUND($F1557+$G1557,2)=0),"",$F1557+$G1557)</f>
        <v/>
      </c>
      <c r="I1557">
        <f>IF($H1557="","",IF(ROUND($F1557,2)&gt;0,$A1557,IF($D1557="شخصی قاسم","شخصی قاسم",IF($D1557="هزینه","هزینه: "&amp;IF($E1557="","متفرقه",$E1557),IF($C1557="پاس چک","چک پرداختی",IF(OR($B1557="",COUNTIF(AcctCodesA,$B1557)=0),"متفرقه",$B1557))))))</f>
        <v/>
      </c>
      <c r="J1557">
        <f>IF($H1557="","",IF(ROUND($F1557,2)&gt;0,IF($D1557="شخصی قاسم","شخصی قاسم",IF($D1557="هزینه","هزینه: "&amp;IF($E1557="","متفرقه",$E1557),IF(OR($B1557="",COUNTIF(AcctCodesA,$B1557)=0),"متفرقه",$B1557))),$A1557))</f>
        <v/>
      </c>
      <c r="K1557">
        <f>IF($A1557="","",IF(AND($B1557&lt;&gt;"",COUNTIF(AcctCodesA,$B1557)=0),"کد طرف در INFO تعریف نشده",IF(AND($D1557="هزینه",$E1557=""),"هزینه بدون زیرگروه",IF(AND($C1557="پاس چک",OR(Sync!$AJ1557="",COUNTIF(IssueNosA,Sync!$AJ1557)=0)),"شماره چک پاس‌شده معتبر نیست",""))))</f>
        <v/>
      </c>
      <c r="V1557">
        <f>IF($K1557="","",IF(ISNUMBER(Sync!$AK1557),Sync!$AK1557,LEFT(Sync!$AK1557,4)&amp;MID(Sync!$AK1557,6,2)&amp;RIGHT(Sync!$AK1557,2))&amp;"|"&amp;"4"&amp;RIGHT("00000"&amp;1552,5))</f>
        <v/>
      </c>
      <c r="W1557">
        <f>IF($V1557="",0,COUNTIFS($V$6:$V$2005,"&lt;"&amp;$V1557)-COUNTIFS($V$6:$V$2005,"&lt;"&amp;$V1557,$K$6:$K$2005,"")+1)</f>
        <v/>
      </c>
    </row>
    <row r="1558">
      <c r="A1558">
        <f>IF(Sync!$Z1558="","",LEFT(UPPER(TRIM(Sync!$Z1558)),6))</f>
        <v/>
      </c>
      <c r="B1558">
        <f>IF($A1558="","",IF(Sync!$AA1558="","",Sync!$AA1558))</f>
        <v/>
      </c>
      <c r="C1558">
        <f>IF($A1558="","",IF(Sync!$AB1558="","",Sync!$AB1558))</f>
        <v/>
      </c>
      <c r="D1558">
        <f>IF($A1558="","",IF(Sync!$AC1558="","",Sync!$AC1558))</f>
        <v/>
      </c>
      <c r="E1558">
        <f>IF($A1558="","",IF(Sync!$AD1558="","",Sync!$AD1558))</f>
        <v/>
      </c>
      <c r="F1558">
        <f>IF($A1558="","",IF(Sync!$AE1558="",0,Sync!$AE1558))</f>
        <v/>
      </c>
      <c r="G1558">
        <f>IF($A1558="","",IF(Sync!$AF1558="",0,Sync!$AF1558))</f>
        <v/>
      </c>
      <c r="H1558">
        <f>IF(OR($A1558="",ROUND($F1558+$G1558,2)=0),"",$F1558+$G1558)</f>
        <v/>
      </c>
      <c r="I1558">
        <f>IF($H1558="","",IF(ROUND($F1558,2)&gt;0,$A1558,IF($D1558="شخصی قاسم","شخصی قاسم",IF($D1558="هزینه","هزینه: "&amp;IF($E1558="","متفرقه",$E1558),IF($C1558="پاس چک","چک پرداختی",IF(OR($B1558="",COUNTIF(AcctCodesA,$B1558)=0),"متفرقه",$B1558))))))</f>
        <v/>
      </c>
      <c r="J1558">
        <f>IF($H1558="","",IF(ROUND($F1558,2)&gt;0,IF($D1558="شخصی قاسم","شخصی قاسم",IF($D1558="هزینه","هزینه: "&amp;IF($E1558="","متفرقه",$E1558),IF(OR($B1558="",COUNTIF(AcctCodesA,$B1558)=0),"متفرقه",$B1558))),$A1558))</f>
        <v/>
      </c>
      <c r="K1558">
        <f>IF($A1558="","",IF(AND($B1558&lt;&gt;"",COUNTIF(AcctCodesA,$B1558)=0),"کد طرف در INFO تعریف نشده",IF(AND($D1558="هزینه",$E1558=""),"هزینه بدون زیرگروه",IF(AND($C1558="پاس چک",OR(Sync!$AJ1558="",COUNTIF(IssueNosA,Sync!$AJ1558)=0)),"شماره چک پاس‌شده معتبر نیست",""))))</f>
        <v/>
      </c>
      <c r="V1558">
        <f>IF($K1558="","",IF(ISNUMBER(Sync!$AK1558),Sync!$AK1558,LEFT(Sync!$AK1558,4)&amp;MID(Sync!$AK1558,6,2)&amp;RIGHT(Sync!$AK1558,2))&amp;"|"&amp;"4"&amp;RIGHT("00000"&amp;1553,5))</f>
        <v/>
      </c>
      <c r="W1558">
        <f>IF($V1558="",0,COUNTIFS($V$6:$V$2005,"&lt;"&amp;$V1558)-COUNTIFS($V$6:$V$2005,"&lt;"&amp;$V1558,$K$6:$K$2005,"")+1)</f>
        <v/>
      </c>
    </row>
    <row r="1559">
      <c r="A1559">
        <f>IF(Sync!$Z1559="","",LEFT(UPPER(TRIM(Sync!$Z1559)),6))</f>
        <v/>
      </c>
      <c r="B1559">
        <f>IF($A1559="","",IF(Sync!$AA1559="","",Sync!$AA1559))</f>
        <v/>
      </c>
      <c r="C1559">
        <f>IF($A1559="","",IF(Sync!$AB1559="","",Sync!$AB1559))</f>
        <v/>
      </c>
      <c r="D1559">
        <f>IF($A1559="","",IF(Sync!$AC1559="","",Sync!$AC1559))</f>
        <v/>
      </c>
      <c r="E1559">
        <f>IF($A1559="","",IF(Sync!$AD1559="","",Sync!$AD1559))</f>
        <v/>
      </c>
      <c r="F1559">
        <f>IF($A1559="","",IF(Sync!$AE1559="",0,Sync!$AE1559))</f>
        <v/>
      </c>
      <c r="G1559">
        <f>IF($A1559="","",IF(Sync!$AF1559="",0,Sync!$AF1559))</f>
        <v/>
      </c>
      <c r="H1559">
        <f>IF(OR($A1559="",ROUND($F1559+$G1559,2)=0),"",$F1559+$G1559)</f>
        <v/>
      </c>
      <c r="I1559">
        <f>IF($H1559="","",IF(ROUND($F1559,2)&gt;0,$A1559,IF($D1559="شخصی قاسم","شخصی قاسم",IF($D1559="هزینه","هزینه: "&amp;IF($E1559="","متفرقه",$E1559),IF($C1559="پاس چک","چک پرداختی",IF(OR($B1559="",COUNTIF(AcctCodesA,$B1559)=0),"متفرقه",$B1559))))))</f>
        <v/>
      </c>
      <c r="J1559">
        <f>IF($H1559="","",IF(ROUND($F1559,2)&gt;0,IF($D1559="شخصی قاسم","شخصی قاسم",IF($D1559="هزینه","هزینه: "&amp;IF($E1559="","متفرقه",$E1559),IF(OR($B1559="",COUNTIF(AcctCodesA,$B1559)=0),"متفرقه",$B1559))),$A1559))</f>
        <v/>
      </c>
      <c r="K1559">
        <f>IF($A1559="","",IF(AND($B1559&lt;&gt;"",COUNTIF(AcctCodesA,$B1559)=0),"کد طرف در INFO تعریف نشده",IF(AND($D1559="هزینه",$E1559=""),"هزینه بدون زیرگروه",IF(AND($C1559="پاس چک",OR(Sync!$AJ1559="",COUNTIF(IssueNosA,Sync!$AJ1559)=0)),"شماره چک پاس‌شده معتبر نیست",""))))</f>
        <v/>
      </c>
      <c r="V1559">
        <f>IF($K1559="","",IF(ISNUMBER(Sync!$AK1559),Sync!$AK1559,LEFT(Sync!$AK1559,4)&amp;MID(Sync!$AK1559,6,2)&amp;RIGHT(Sync!$AK1559,2))&amp;"|"&amp;"4"&amp;RIGHT("00000"&amp;1554,5))</f>
        <v/>
      </c>
      <c r="W1559">
        <f>IF($V1559="",0,COUNTIFS($V$6:$V$2005,"&lt;"&amp;$V1559)-COUNTIFS($V$6:$V$2005,"&lt;"&amp;$V1559,$K$6:$K$2005,"")+1)</f>
        <v/>
      </c>
    </row>
    <row r="1560">
      <c r="A1560">
        <f>IF(Sync!$Z1560="","",LEFT(UPPER(TRIM(Sync!$Z1560)),6))</f>
        <v/>
      </c>
      <c r="B1560">
        <f>IF($A1560="","",IF(Sync!$AA1560="","",Sync!$AA1560))</f>
        <v/>
      </c>
      <c r="C1560">
        <f>IF($A1560="","",IF(Sync!$AB1560="","",Sync!$AB1560))</f>
        <v/>
      </c>
      <c r="D1560">
        <f>IF($A1560="","",IF(Sync!$AC1560="","",Sync!$AC1560))</f>
        <v/>
      </c>
      <c r="E1560">
        <f>IF($A1560="","",IF(Sync!$AD1560="","",Sync!$AD1560))</f>
        <v/>
      </c>
      <c r="F1560">
        <f>IF($A1560="","",IF(Sync!$AE1560="",0,Sync!$AE1560))</f>
        <v/>
      </c>
      <c r="G1560">
        <f>IF($A1560="","",IF(Sync!$AF1560="",0,Sync!$AF1560))</f>
        <v/>
      </c>
      <c r="H1560">
        <f>IF(OR($A1560="",ROUND($F1560+$G1560,2)=0),"",$F1560+$G1560)</f>
        <v/>
      </c>
      <c r="I1560">
        <f>IF($H1560="","",IF(ROUND($F1560,2)&gt;0,$A1560,IF($D1560="شخصی قاسم","شخصی قاسم",IF($D1560="هزینه","هزینه: "&amp;IF($E1560="","متفرقه",$E1560),IF($C1560="پاس چک","چک پرداختی",IF(OR($B1560="",COUNTIF(AcctCodesA,$B1560)=0),"متفرقه",$B1560))))))</f>
        <v/>
      </c>
      <c r="J1560">
        <f>IF($H1560="","",IF(ROUND($F1560,2)&gt;0,IF($D1560="شخصی قاسم","شخصی قاسم",IF($D1560="هزینه","هزینه: "&amp;IF($E1560="","متفرقه",$E1560),IF(OR($B1560="",COUNTIF(AcctCodesA,$B1560)=0),"متفرقه",$B1560))),$A1560))</f>
        <v/>
      </c>
      <c r="K1560">
        <f>IF($A1560="","",IF(AND($B1560&lt;&gt;"",COUNTIF(AcctCodesA,$B1560)=0),"کد طرف در INFO تعریف نشده",IF(AND($D1560="هزینه",$E1560=""),"هزینه بدون زیرگروه",IF(AND($C1560="پاس چک",OR(Sync!$AJ1560="",COUNTIF(IssueNosA,Sync!$AJ1560)=0)),"شماره چک پاس‌شده معتبر نیست",""))))</f>
        <v/>
      </c>
      <c r="V1560">
        <f>IF($K1560="","",IF(ISNUMBER(Sync!$AK1560),Sync!$AK1560,LEFT(Sync!$AK1560,4)&amp;MID(Sync!$AK1560,6,2)&amp;RIGHT(Sync!$AK1560,2))&amp;"|"&amp;"4"&amp;RIGHT("00000"&amp;1555,5))</f>
        <v/>
      </c>
      <c r="W1560">
        <f>IF($V1560="",0,COUNTIFS($V$6:$V$2005,"&lt;"&amp;$V1560)-COUNTIFS($V$6:$V$2005,"&lt;"&amp;$V1560,$K$6:$K$2005,"")+1)</f>
        <v/>
      </c>
    </row>
    <row r="1561">
      <c r="A1561">
        <f>IF(Sync!$Z1561="","",LEFT(UPPER(TRIM(Sync!$Z1561)),6))</f>
        <v/>
      </c>
      <c r="B1561">
        <f>IF($A1561="","",IF(Sync!$AA1561="","",Sync!$AA1561))</f>
        <v/>
      </c>
      <c r="C1561">
        <f>IF($A1561="","",IF(Sync!$AB1561="","",Sync!$AB1561))</f>
        <v/>
      </c>
      <c r="D1561">
        <f>IF($A1561="","",IF(Sync!$AC1561="","",Sync!$AC1561))</f>
        <v/>
      </c>
      <c r="E1561">
        <f>IF($A1561="","",IF(Sync!$AD1561="","",Sync!$AD1561))</f>
        <v/>
      </c>
      <c r="F1561">
        <f>IF($A1561="","",IF(Sync!$AE1561="",0,Sync!$AE1561))</f>
        <v/>
      </c>
      <c r="G1561">
        <f>IF($A1561="","",IF(Sync!$AF1561="",0,Sync!$AF1561))</f>
        <v/>
      </c>
      <c r="H1561">
        <f>IF(OR($A1561="",ROUND($F1561+$G1561,2)=0),"",$F1561+$G1561)</f>
        <v/>
      </c>
      <c r="I1561">
        <f>IF($H1561="","",IF(ROUND($F1561,2)&gt;0,$A1561,IF($D1561="شخصی قاسم","شخصی قاسم",IF($D1561="هزینه","هزینه: "&amp;IF($E1561="","متفرقه",$E1561),IF($C1561="پاس چک","چک پرداختی",IF(OR($B1561="",COUNTIF(AcctCodesA,$B1561)=0),"متفرقه",$B1561))))))</f>
        <v/>
      </c>
      <c r="J1561">
        <f>IF($H1561="","",IF(ROUND($F1561,2)&gt;0,IF($D1561="شخصی قاسم","شخصی قاسم",IF($D1561="هزینه","هزینه: "&amp;IF($E1561="","متفرقه",$E1561),IF(OR($B1561="",COUNTIF(AcctCodesA,$B1561)=0),"متفرقه",$B1561))),$A1561))</f>
        <v/>
      </c>
      <c r="K1561">
        <f>IF($A1561="","",IF(AND($B1561&lt;&gt;"",COUNTIF(AcctCodesA,$B1561)=0),"کد طرف در INFO تعریف نشده",IF(AND($D1561="هزینه",$E1561=""),"هزینه بدون زیرگروه",IF(AND($C1561="پاس چک",OR(Sync!$AJ1561="",COUNTIF(IssueNosA,Sync!$AJ1561)=0)),"شماره چک پاس‌شده معتبر نیست",""))))</f>
        <v/>
      </c>
      <c r="V1561">
        <f>IF($K1561="","",IF(ISNUMBER(Sync!$AK1561),Sync!$AK1561,LEFT(Sync!$AK1561,4)&amp;MID(Sync!$AK1561,6,2)&amp;RIGHT(Sync!$AK1561,2))&amp;"|"&amp;"4"&amp;RIGHT("00000"&amp;1556,5))</f>
        <v/>
      </c>
      <c r="W1561">
        <f>IF($V1561="",0,COUNTIFS($V$6:$V$2005,"&lt;"&amp;$V1561)-COUNTIFS($V$6:$V$2005,"&lt;"&amp;$V1561,$K$6:$K$2005,"")+1)</f>
        <v/>
      </c>
    </row>
    <row r="1562">
      <c r="A1562">
        <f>IF(Sync!$Z1562="","",LEFT(UPPER(TRIM(Sync!$Z1562)),6))</f>
        <v/>
      </c>
      <c r="B1562">
        <f>IF($A1562="","",IF(Sync!$AA1562="","",Sync!$AA1562))</f>
        <v/>
      </c>
      <c r="C1562">
        <f>IF($A1562="","",IF(Sync!$AB1562="","",Sync!$AB1562))</f>
        <v/>
      </c>
      <c r="D1562">
        <f>IF($A1562="","",IF(Sync!$AC1562="","",Sync!$AC1562))</f>
        <v/>
      </c>
      <c r="E1562">
        <f>IF($A1562="","",IF(Sync!$AD1562="","",Sync!$AD1562))</f>
        <v/>
      </c>
      <c r="F1562">
        <f>IF($A1562="","",IF(Sync!$AE1562="",0,Sync!$AE1562))</f>
        <v/>
      </c>
      <c r="G1562">
        <f>IF($A1562="","",IF(Sync!$AF1562="",0,Sync!$AF1562))</f>
        <v/>
      </c>
      <c r="H1562">
        <f>IF(OR($A1562="",ROUND($F1562+$G1562,2)=0),"",$F1562+$G1562)</f>
        <v/>
      </c>
      <c r="I1562">
        <f>IF($H1562="","",IF(ROUND($F1562,2)&gt;0,$A1562,IF($D1562="شخصی قاسم","شخصی قاسم",IF($D1562="هزینه","هزینه: "&amp;IF($E1562="","متفرقه",$E1562),IF($C1562="پاس چک","چک پرداختی",IF(OR($B1562="",COUNTIF(AcctCodesA,$B1562)=0),"متفرقه",$B1562))))))</f>
        <v/>
      </c>
      <c r="J1562">
        <f>IF($H1562="","",IF(ROUND($F1562,2)&gt;0,IF($D1562="شخصی قاسم","شخصی قاسم",IF($D1562="هزینه","هزینه: "&amp;IF($E1562="","متفرقه",$E1562),IF(OR($B1562="",COUNTIF(AcctCodesA,$B1562)=0),"متفرقه",$B1562))),$A1562))</f>
        <v/>
      </c>
      <c r="K1562">
        <f>IF($A1562="","",IF(AND($B1562&lt;&gt;"",COUNTIF(AcctCodesA,$B1562)=0),"کد طرف در INFO تعریف نشده",IF(AND($D1562="هزینه",$E1562=""),"هزینه بدون زیرگروه",IF(AND($C1562="پاس چک",OR(Sync!$AJ1562="",COUNTIF(IssueNosA,Sync!$AJ1562)=0)),"شماره چک پاس‌شده معتبر نیست",""))))</f>
        <v/>
      </c>
      <c r="V1562">
        <f>IF($K1562="","",IF(ISNUMBER(Sync!$AK1562),Sync!$AK1562,LEFT(Sync!$AK1562,4)&amp;MID(Sync!$AK1562,6,2)&amp;RIGHT(Sync!$AK1562,2))&amp;"|"&amp;"4"&amp;RIGHT("00000"&amp;1557,5))</f>
        <v/>
      </c>
      <c r="W1562">
        <f>IF($V1562="",0,COUNTIFS($V$6:$V$2005,"&lt;"&amp;$V1562)-COUNTIFS($V$6:$V$2005,"&lt;"&amp;$V1562,$K$6:$K$2005,"")+1)</f>
        <v/>
      </c>
    </row>
    <row r="1563">
      <c r="A1563">
        <f>IF(Sync!$Z1563="","",LEFT(UPPER(TRIM(Sync!$Z1563)),6))</f>
        <v/>
      </c>
      <c r="B1563">
        <f>IF($A1563="","",IF(Sync!$AA1563="","",Sync!$AA1563))</f>
        <v/>
      </c>
      <c r="C1563">
        <f>IF($A1563="","",IF(Sync!$AB1563="","",Sync!$AB1563))</f>
        <v/>
      </c>
      <c r="D1563">
        <f>IF($A1563="","",IF(Sync!$AC1563="","",Sync!$AC1563))</f>
        <v/>
      </c>
      <c r="E1563">
        <f>IF($A1563="","",IF(Sync!$AD1563="","",Sync!$AD1563))</f>
        <v/>
      </c>
      <c r="F1563">
        <f>IF($A1563="","",IF(Sync!$AE1563="",0,Sync!$AE1563))</f>
        <v/>
      </c>
      <c r="G1563">
        <f>IF($A1563="","",IF(Sync!$AF1563="",0,Sync!$AF1563))</f>
        <v/>
      </c>
      <c r="H1563">
        <f>IF(OR($A1563="",ROUND($F1563+$G1563,2)=0),"",$F1563+$G1563)</f>
        <v/>
      </c>
      <c r="I1563">
        <f>IF($H1563="","",IF(ROUND($F1563,2)&gt;0,$A1563,IF($D1563="شخصی قاسم","شخصی قاسم",IF($D1563="هزینه","هزینه: "&amp;IF($E1563="","متفرقه",$E1563),IF($C1563="پاس چک","چک پرداختی",IF(OR($B1563="",COUNTIF(AcctCodesA,$B1563)=0),"متفرقه",$B1563))))))</f>
        <v/>
      </c>
      <c r="J1563">
        <f>IF($H1563="","",IF(ROUND($F1563,2)&gt;0,IF($D1563="شخصی قاسم","شخصی قاسم",IF($D1563="هزینه","هزینه: "&amp;IF($E1563="","متفرقه",$E1563),IF(OR($B1563="",COUNTIF(AcctCodesA,$B1563)=0),"متفرقه",$B1563))),$A1563))</f>
        <v/>
      </c>
      <c r="K1563">
        <f>IF($A1563="","",IF(AND($B1563&lt;&gt;"",COUNTIF(AcctCodesA,$B1563)=0),"کد طرف در INFO تعریف نشده",IF(AND($D1563="هزینه",$E1563=""),"هزینه بدون زیرگروه",IF(AND($C1563="پاس چک",OR(Sync!$AJ1563="",COUNTIF(IssueNosA,Sync!$AJ1563)=0)),"شماره چک پاس‌شده معتبر نیست",""))))</f>
        <v/>
      </c>
      <c r="V1563">
        <f>IF($K1563="","",IF(ISNUMBER(Sync!$AK1563),Sync!$AK1563,LEFT(Sync!$AK1563,4)&amp;MID(Sync!$AK1563,6,2)&amp;RIGHT(Sync!$AK1563,2))&amp;"|"&amp;"4"&amp;RIGHT("00000"&amp;1558,5))</f>
        <v/>
      </c>
      <c r="W1563">
        <f>IF($V1563="",0,COUNTIFS($V$6:$V$2005,"&lt;"&amp;$V1563)-COUNTIFS($V$6:$V$2005,"&lt;"&amp;$V1563,$K$6:$K$2005,"")+1)</f>
        <v/>
      </c>
    </row>
    <row r="1564">
      <c r="A1564">
        <f>IF(Sync!$Z1564="","",LEFT(UPPER(TRIM(Sync!$Z1564)),6))</f>
        <v/>
      </c>
      <c r="B1564">
        <f>IF($A1564="","",IF(Sync!$AA1564="","",Sync!$AA1564))</f>
        <v/>
      </c>
      <c r="C1564">
        <f>IF($A1564="","",IF(Sync!$AB1564="","",Sync!$AB1564))</f>
        <v/>
      </c>
      <c r="D1564">
        <f>IF($A1564="","",IF(Sync!$AC1564="","",Sync!$AC1564))</f>
        <v/>
      </c>
      <c r="E1564">
        <f>IF($A1564="","",IF(Sync!$AD1564="","",Sync!$AD1564))</f>
        <v/>
      </c>
      <c r="F1564">
        <f>IF($A1564="","",IF(Sync!$AE1564="",0,Sync!$AE1564))</f>
        <v/>
      </c>
      <c r="G1564">
        <f>IF($A1564="","",IF(Sync!$AF1564="",0,Sync!$AF1564))</f>
        <v/>
      </c>
      <c r="H1564">
        <f>IF(OR($A1564="",ROUND($F1564+$G1564,2)=0),"",$F1564+$G1564)</f>
        <v/>
      </c>
      <c r="I1564">
        <f>IF($H1564="","",IF(ROUND($F1564,2)&gt;0,$A1564,IF($D1564="شخصی قاسم","شخصی قاسم",IF($D1564="هزینه","هزینه: "&amp;IF($E1564="","متفرقه",$E1564),IF($C1564="پاس چک","چک پرداختی",IF(OR($B1564="",COUNTIF(AcctCodesA,$B1564)=0),"متفرقه",$B1564))))))</f>
        <v/>
      </c>
      <c r="J1564">
        <f>IF($H1564="","",IF(ROUND($F1564,2)&gt;0,IF($D1564="شخصی قاسم","شخصی قاسم",IF($D1564="هزینه","هزینه: "&amp;IF($E1564="","متفرقه",$E1564),IF(OR($B1564="",COUNTIF(AcctCodesA,$B1564)=0),"متفرقه",$B1564))),$A1564))</f>
        <v/>
      </c>
      <c r="K1564">
        <f>IF($A1564="","",IF(AND($B1564&lt;&gt;"",COUNTIF(AcctCodesA,$B1564)=0),"کد طرف در INFO تعریف نشده",IF(AND($D1564="هزینه",$E1564=""),"هزینه بدون زیرگروه",IF(AND($C1564="پاس چک",OR(Sync!$AJ1564="",COUNTIF(IssueNosA,Sync!$AJ1564)=0)),"شماره چک پاس‌شده معتبر نیست",""))))</f>
        <v/>
      </c>
      <c r="V1564">
        <f>IF($K1564="","",IF(ISNUMBER(Sync!$AK1564),Sync!$AK1564,LEFT(Sync!$AK1564,4)&amp;MID(Sync!$AK1564,6,2)&amp;RIGHT(Sync!$AK1564,2))&amp;"|"&amp;"4"&amp;RIGHT("00000"&amp;1559,5))</f>
        <v/>
      </c>
      <c r="W1564">
        <f>IF($V1564="",0,COUNTIFS($V$6:$V$2005,"&lt;"&amp;$V1564)-COUNTIFS($V$6:$V$2005,"&lt;"&amp;$V1564,$K$6:$K$2005,"")+1)</f>
        <v/>
      </c>
    </row>
    <row r="1565">
      <c r="A1565">
        <f>IF(Sync!$Z1565="","",LEFT(UPPER(TRIM(Sync!$Z1565)),6))</f>
        <v/>
      </c>
      <c r="B1565">
        <f>IF($A1565="","",IF(Sync!$AA1565="","",Sync!$AA1565))</f>
        <v/>
      </c>
      <c r="C1565">
        <f>IF($A1565="","",IF(Sync!$AB1565="","",Sync!$AB1565))</f>
        <v/>
      </c>
      <c r="D1565">
        <f>IF($A1565="","",IF(Sync!$AC1565="","",Sync!$AC1565))</f>
        <v/>
      </c>
      <c r="E1565">
        <f>IF($A1565="","",IF(Sync!$AD1565="","",Sync!$AD1565))</f>
        <v/>
      </c>
      <c r="F1565">
        <f>IF($A1565="","",IF(Sync!$AE1565="",0,Sync!$AE1565))</f>
        <v/>
      </c>
      <c r="G1565">
        <f>IF($A1565="","",IF(Sync!$AF1565="",0,Sync!$AF1565))</f>
        <v/>
      </c>
      <c r="H1565">
        <f>IF(OR($A1565="",ROUND($F1565+$G1565,2)=0),"",$F1565+$G1565)</f>
        <v/>
      </c>
      <c r="I1565">
        <f>IF($H1565="","",IF(ROUND($F1565,2)&gt;0,$A1565,IF($D1565="شخصی قاسم","شخصی قاسم",IF($D1565="هزینه","هزینه: "&amp;IF($E1565="","متفرقه",$E1565),IF($C1565="پاس چک","چک پرداختی",IF(OR($B1565="",COUNTIF(AcctCodesA,$B1565)=0),"متفرقه",$B1565))))))</f>
        <v/>
      </c>
      <c r="J1565">
        <f>IF($H1565="","",IF(ROUND($F1565,2)&gt;0,IF($D1565="شخصی قاسم","شخصی قاسم",IF($D1565="هزینه","هزینه: "&amp;IF($E1565="","متفرقه",$E1565),IF(OR($B1565="",COUNTIF(AcctCodesA,$B1565)=0),"متفرقه",$B1565))),$A1565))</f>
        <v/>
      </c>
      <c r="K1565">
        <f>IF($A1565="","",IF(AND($B1565&lt;&gt;"",COUNTIF(AcctCodesA,$B1565)=0),"کد طرف در INFO تعریف نشده",IF(AND($D1565="هزینه",$E1565=""),"هزینه بدون زیرگروه",IF(AND($C1565="پاس چک",OR(Sync!$AJ1565="",COUNTIF(IssueNosA,Sync!$AJ1565)=0)),"شماره چک پاس‌شده معتبر نیست",""))))</f>
        <v/>
      </c>
      <c r="V1565">
        <f>IF($K1565="","",IF(ISNUMBER(Sync!$AK1565),Sync!$AK1565,LEFT(Sync!$AK1565,4)&amp;MID(Sync!$AK1565,6,2)&amp;RIGHT(Sync!$AK1565,2))&amp;"|"&amp;"4"&amp;RIGHT("00000"&amp;1560,5))</f>
        <v/>
      </c>
      <c r="W1565">
        <f>IF($V1565="",0,COUNTIFS($V$6:$V$2005,"&lt;"&amp;$V1565)-COUNTIFS($V$6:$V$2005,"&lt;"&amp;$V1565,$K$6:$K$2005,"")+1)</f>
        <v/>
      </c>
    </row>
    <row r="1566">
      <c r="A1566">
        <f>IF(Sync!$Z1566="","",LEFT(UPPER(TRIM(Sync!$Z1566)),6))</f>
        <v/>
      </c>
      <c r="B1566">
        <f>IF($A1566="","",IF(Sync!$AA1566="","",Sync!$AA1566))</f>
        <v/>
      </c>
      <c r="C1566">
        <f>IF($A1566="","",IF(Sync!$AB1566="","",Sync!$AB1566))</f>
        <v/>
      </c>
      <c r="D1566">
        <f>IF($A1566="","",IF(Sync!$AC1566="","",Sync!$AC1566))</f>
        <v/>
      </c>
      <c r="E1566">
        <f>IF($A1566="","",IF(Sync!$AD1566="","",Sync!$AD1566))</f>
        <v/>
      </c>
      <c r="F1566">
        <f>IF($A1566="","",IF(Sync!$AE1566="",0,Sync!$AE1566))</f>
        <v/>
      </c>
      <c r="G1566">
        <f>IF($A1566="","",IF(Sync!$AF1566="",0,Sync!$AF1566))</f>
        <v/>
      </c>
      <c r="H1566">
        <f>IF(OR($A1566="",ROUND($F1566+$G1566,2)=0),"",$F1566+$G1566)</f>
        <v/>
      </c>
      <c r="I1566">
        <f>IF($H1566="","",IF(ROUND($F1566,2)&gt;0,$A1566,IF($D1566="شخصی قاسم","شخصی قاسم",IF($D1566="هزینه","هزینه: "&amp;IF($E1566="","متفرقه",$E1566),IF($C1566="پاس چک","چک پرداختی",IF(OR($B1566="",COUNTIF(AcctCodesA,$B1566)=0),"متفرقه",$B1566))))))</f>
        <v/>
      </c>
      <c r="J1566">
        <f>IF($H1566="","",IF(ROUND($F1566,2)&gt;0,IF($D1566="شخصی قاسم","شخصی قاسم",IF($D1566="هزینه","هزینه: "&amp;IF($E1566="","متفرقه",$E1566),IF(OR($B1566="",COUNTIF(AcctCodesA,$B1566)=0),"متفرقه",$B1566))),$A1566))</f>
        <v/>
      </c>
      <c r="K1566">
        <f>IF($A1566="","",IF(AND($B1566&lt;&gt;"",COUNTIF(AcctCodesA,$B1566)=0),"کد طرف در INFO تعریف نشده",IF(AND($D1566="هزینه",$E1566=""),"هزینه بدون زیرگروه",IF(AND($C1566="پاس چک",OR(Sync!$AJ1566="",COUNTIF(IssueNosA,Sync!$AJ1566)=0)),"شماره چک پاس‌شده معتبر نیست",""))))</f>
        <v/>
      </c>
      <c r="V1566">
        <f>IF($K1566="","",IF(ISNUMBER(Sync!$AK1566),Sync!$AK1566,LEFT(Sync!$AK1566,4)&amp;MID(Sync!$AK1566,6,2)&amp;RIGHT(Sync!$AK1566,2))&amp;"|"&amp;"4"&amp;RIGHT("00000"&amp;1561,5))</f>
        <v/>
      </c>
      <c r="W1566">
        <f>IF($V1566="",0,COUNTIFS($V$6:$V$2005,"&lt;"&amp;$V1566)-COUNTIFS($V$6:$V$2005,"&lt;"&amp;$V1566,$K$6:$K$2005,"")+1)</f>
        <v/>
      </c>
    </row>
    <row r="1567">
      <c r="A1567">
        <f>IF(Sync!$Z1567="","",LEFT(UPPER(TRIM(Sync!$Z1567)),6))</f>
        <v/>
      </c>
      <c r="B1567">
        <f>IF($A1567="","",IF(Sync!$AA1567="","",Sync!$AA1567))</f>
        <v/>
      </c>
      <c r="C1567">
        <f>IF($A1567="","",IF(Sync!$AB1567="","",Sync!$AB1567))</f>
        <v/>
      </c>
      <c r="D1567">
        <f>IF($A1567="","",IF(Sync!$AC1567="","",Sync!$AC1567))</f>
        <v/>
      </c>
      <c r="E1567">
        <f>IF($A1567="","",IF(Sync!$AD1567="","",Sync!$AD1567))</f>
        <v/>
      </c>
      <c r="F1567">
        <f>IF($A1567="","",IF(Sync!$AE1567="",0,Sync!$AE1567))</f>
        <v/>
      </c>
      <c r="G1567">
        <f>IF($A1567="","",IF(Sync!$AF1567="",0,Sync!$AF1567))</f>
        <v/>
      </c>
      <c r="H1567">
        <f>IF(OR($A1567="",ROUND($F1567+$G1567,2)=0),"",$F1567+$G1567)</f>
        <v/>
      </c>
      <c r="I1567">
        <f>IF($H1567="","",IF(ROUND($F1567,2)&gt;0,$A1567,IF($D1567="شخصی قاسم","شخصی قاسم",IF($D1567="هزینه","هزینه: "&amp;IF($E1567="","متفرقه",$E1567),IF($C1567="پاس چک","چک پرداختی",IF(OR($B1567="",COUNTIF(AcctCodesA,$B1567)=0),"متفرقه",$B1567))))))</f>
        <v/>
      </c>
      <c r="J1567">
        <f>IF($H1567="","",IF(ROUND($F1567,2)&gt;0,IF($D1567="شخصی قاسم","شخصی قاسم",IF($D1567="هزینه","هزینه: "&amp;IF($E1567="","متفرقه",$E1567),IF(OR($B1567="",COUNTIF(AcctCodesA,$B1567)=0),"متفرقه",$B1567))),$A1567))</f>
        <v/>
      </c>
      <c r="K1567">
        <f>IF($A1567="","",IF(AND($B1567&lt;&gt;"",COUNTIF(AcctCodesA,$B1567)=0),"کد طرف در INFO تعریف نشده",IF(AND($D1567="هزینه",$E1567=""),"هزینه بدون زیرگروه",IF(AND($C1567="پاس چک",OR(Sync!$AJ1567="",COUNTIF(IssueNosA,Sync!$AJ1567)=0)),"شماره چک پاس‌شده معتبر نیست",""))))</f>
        <v/>
      </c>
      <c r="V1567">
        <f>IF($K1567="","",IF(ISNUMBER(Sync!$AK1567),Sync!$AK1567,LEFT(Sync!$AK1567,4)&amp;MID(Sync!$AK1567,6,2)&amp;RIGHT(Sync!$AK1567,2))&amp;"|"&amp;"4"&amp;RIGHT("00000"&amp;1562,5))</f>
        <v/>
      </c>
      <c r="W1567">
        <f>IF($V1567="",0,COUNTIFS($V$6:$V$2005,"&lt;"&amp;$V1567)-COUNTIFS($V$6:$V$2005,"&lt;"&amp;$V1567,$K$6:$K$2005,"")+1)</f>
        <v/>
      </c>
    </row>
    <row r="1568">
      <c r="A1568">
        <f>IF(Sync!$Z1568="","",LEFT(UPPER(TRIM(Sync!$Z1568)),6))</f>
        <v/>
      </c>
      <c r="B1568">
        <f>IF($A1568="","",IF(Sync!$AA1568="","",Sync!$AA1568))</f>
        <v/>
      </c>
      <c r="C1568">
        <f>IF($A1568="","",IF(Sync!$AB1568="","",Sync!$AB1568))</f>
        <v/>
      </c>
      <c r="D1568">
        <f>IF($A1568="","",IF(Sync!$AC1568="","",Sync!$AC1568))</f>
        <v/>
      </c>
      <c r="E1568">
        <f>IF($A1568="","",IF(Sync!$AD1568="","",Sync!$AD1568))</f>
        <v/>
      </c>
      <c r="F1568">
        <f>IF($A1568="","",IF(Sync!$AE1568="",0,Sync!$AE1568))</f>
        <v/>
      </c>
      <c r="G1568">
        <f>IF($A1568="","",IF(Sync!$AF1568="",0,Sync!$AF1568))</f>
        <v/>
      </c>
      <c r="H1568">
        <f>IF(OR($A1568="",ROUND($F1568+$G1568,2)=0),"",$F1568+$G1568)</f>
        <v/>
      </c>
      <c r="I1568">
        <f>IF($H1568="","",IF(ROUND($F1568,2)&gt;0,$A1568,IF($D1568="شخصی قاسم","شخصی قاسم",IF($D1568="هزینه","هزینه: "&amp;IF($E1568="","متفرقه",$E1568),IF($C1568="پاس چک","چک پرداختی",IF(OR($B1568="",COUNTIF(AcctCodesA,$B1568)=0),"متفرقه",$B1568))))))</f>
        <v/>
      </c>
      <c r="J1568">
        <f>IF($H1568="","",IF(ROUND($F1568,2)&gt;0,IF($D1568="شخصی قاسم","شخصی قاسم",IF($D1568="هزینه","هزینه: "&amp;IF($E1568="","متفرقه",$E1568),IF(OR($B1568="",COUNTIF(AcctCodesA,$B1568)=0),"متفرقه",$B1568))),$A1568))</f>
        <v/>
      </c>
      <c r="K1568">
        <f>IF($A1568="","",IF(AND($B1568&lt;&gt;"",COUNTIF(AcctCodesA,$B1568)=0),"کد طرف در INFO تعریف نشده",IF(AND($D1568="هزینه",$E1568=""),"هزینه بدون زیرگروه",IF(AND($C1568="پاس چک",OR(Sync!$AJ1568="",COUNTIF(IssueNosA,Sync!$AJ1568)=0)),"شماره چک پاس‌شده معتبر نیست",""))))</f>
        <v/>
      </c>
      <c r="V1568">
        <f>IF($K1568="","",IF(ISNUMBER(Sync!$AK1568),Sync!$AK1568,LEFT(Sync!$AK1568,4)&amp;MID(Sync!$AK1568,6,2)&amp;RIGHT(Sync!$AK1568,2))&amp;"|"&amp;"4"&amp;RIGHT("00000"&amp;1563,5))</f>
        <v/>
      </c>
      <c r="W1568">
        <f>IF($V1568="",0,COUNTIFS($V$6:$V$2005,"&lt;"&amp;$V1568)-COUNTIFS($V$6:$V$2005,"&lt;"&amp;$V1568,$K$6:$K$2005,"")+1)</f>
        <v/>
      </c>
    </row>
    <row r="1569">
      <c r="A1569">
        <f>IF(Sync!$Z1569="","",LEFT(UPPER(TRIM(Sync!$Z1569)),6))</f>
        <v/>
      </c>
      <c r="B1569">
        <f>IF($A1569="","",IF(Sync!$AA1569="","",Sync!$AA1569))</f>
        <v/>
      </c>
      <c r="C1569">
        <f>IF($A1569="","",IF(Sync!$AB1569="","",Sync!$AB1569))</f>
        <v/>
      </c>
      <c r="D1569">
        <f>IF($A1569="","",IF(Sync!$AC1569="","",Sync!$AC1569))</f>
        <v/>
      </c>
      <c r="E1569">
        <f>IF($A1569="","",IF(Sync!$AD1569="","",Sync!$AD1569))</f>
        <v/>
      </c>
      <c r="F1569">
        <f>IF($A1569="","",IF(Sync!$AE1569="",0,Sync!$AE1569))</f>
        <v/>
      </c>
      <c r="G1569">
        <f>IF($A1569="","",IF(Sync!$AF1569="",0,Sync!$AF1569))</f>
        <v/>
      </c>
      <c r="H1569">
        <f>IF(OR($A1569="",ROUND($F1569+$G1569,2)=0),"",$F1569+$G1569)</f>
        <v/>
      </c>
      <c r="I1569">
        <f>IF($H1569="","",IF(ROUND($F1569,2)&gt;0,$A1569,IF($D1569="شخصی قاسم","شخصی قاسم",IF($D1569="هزینه","هزینه: "&amp;IF($E1569="","متفرقه",$E1569),IF($C1569="پاس چک","چک پرداختی",IF(OR($B1569="",COUNTIF(AcctCodesA,$B1569)=0),"متفرقه",$B1569))))))</f>
        <v/>
      </c>
      <c r="J1569">
        <f>IF($H1569="","",IF(ROUND($F1569,2)&gt;0,IF($D1569="شخصی قاسم","شخصی قاسم",IF($D1569="هزینه","هزینه: "&amp;IF($E1569="","متفرقه",$E1569),IF(OR($B1569="",COUNTIF(AcctCodesA,$B1569)=0),"متفرقه",$B1569))),$A1569))</f>
        <v/>
      </c>
      <c r="K1569">
        <f>IF($A1569="","",IF(AND($B1569&lt;&gt;"",COUNTIF(AcctCodesA,$B1569)=0),"کد طرف در INFO تعریف نشده",IF(AND($D1569="هزینه",$E1569=""),"هزینه بدون زیرگروه",IF(AND($C1569="پاس چک",OR(Sync!$AJ1569="",COUNTIF(IssueNosA,Sync!$AJ1569)=0)),"شماره چک پاس‌شده معتبر نیست",""))))</f>
        <v/>
      </c>
      <c r="V1569">
        <f>IF($K1569="","",IF(ISNUMBER(Sync!$AK1569),Sync!$AK1569,LEFT(Sync!$AK1569,4)&amp;MID(Sync!$AK1569,6,2)&amp;RIGHT(Sync!$AK1569,2))&amp;"|"&amp;"4"&amp;RIGHT("00000"&amp;1564,5))</f>
        <v/>
      </c>
      <c r="W1569">
        <f>IF($V1569="",0,COUNTIFS($V$6:$V$2005,"&lt;"&amp;$V1569)-COUNTIFS($V$6:$V$2005,"&lt;"&amp;$V1569,$K$6:$K$2005,"")+1)</f>
        <v/>
      </c>
    </row>
    <row r="1570">
      <c r="A1570">
        <f>IF(Sync!$Z1570="","",LEFT(UPPER(TRIM(Sync!$Z1570)),6))</f>
        <v/>
      </c>
      <c r="B1570">
        <f>IF($A1570="","",IF(Sync!$AA1570="","",Sync!$AA1570))</f>
        <v/>
      </c>
      <c r="C1570">
        <f>IF($A1570="","",IF(Sync!$AB1570="","",Sync!$AB1570))</f>
        <v/>
      </c>
      <c r="D1570">
        <f>IF($A1570="","",IF(Sync!$AC1570="","",Sync!$AC1570))</f>
        <v/>
      </c>
      <c r="E1570">
        <f>IF($A1570="","",IF(Sync!$AD1570="","",Sync!$AD1570))</f>
        <v/>
      </c>
      <c r="F1570">
        <f>IF($A1570="","",IF(Sync!$AE1570="",0,Sync!$AE1570))</f>
        <v/>
      </c>
      <c r="G1570">
        <f>IF($A1570="","",IF(Sync!$AF1570="",0,Sync!$AF1570))</f>
        <v/>
      </c>
      <c r="H1570">
        <f>IF(OR($A1570="",ROUND($F1570+$G1570,2)=0),"",$F1570+$G1570)</f>
        <v/>
      </c>
      <c r="I1570">
        <f>IF($H1570="","",IF(ROUND($F1570,2)&gt;0,$A1570,IF($D1570="شخصی قاسم","شخصی قاسم",IF($D1570="هزینه","هزینه: "&amp;IF($E1570="","متفرقه",$E1570),IF($C1570="پاس چک","چک پرداختی",IF(OR($B1570="",COUNTIF(AcctCodesA,$B1570)=0),"متفرقه",$B1570))))))</f>
        <v/>
      </c>
      <c r="J1570">
        <f>IF($H1570="","",IF(ROUND($F1570,2)&gt;0,IF($D1570="شخصی قاسم","شخصی قاسم",IF($D1570="هزینه","هزینه: "&amp;IF($E1570="","متفرقه",$E1570),IF(OR($B1570="",COUNTIF(AcctCodesA,$B1570)=0),"متفرقه",$B1570))),$A1570))</f>
        <v/>
      </c>
      <c r="K1570">
        <f>IF($A1570="","",IF(AND($B1570&lt;&gt;"",COUNTIF(AcctCodesA,$B1570)=0),"کد طرف در INFO تعریف نشده",IF(AND($D1570="هزینه",$E1570=""),"هزینه بدون زیرگروه",IF(AND($C1570="پاس چک",OR(Sync!$AJ1570="",COUNTIF(IssueNosA,Sync!$AJ1570)=0)),"شماره چک پاس‌شده معتبر نیست",""))))</f>
        <v/>
      </c>
      <c r="V1570">
        <f>IF($K1570="","",IF(ISNUMBER(Sync!$AK1570),Sync!$AK1570,LEFT(Sync!$AK1570,4)&amp;MID(Sync!$AK1570,6,2)&amp;RIGHT(Sync!$AK1570,2))&amp;"|"&amp;"4"&amp;RIGHT("00000"&amp;1565,5))</f>
        <v/>
      </c>
      <c r="W1570">
        <f>IF($V1570="",0,COUNTIFS($V$6:$V$2005,"&lt;"&amp;$V1570)-COUNTIFS($V$6:$V$2005,"&lt;"&amp;$V1570,$K$6:$K$2005,"")+1)</f>
        <v/>
      </c>
    </row>
    <row r="1571">
      <c r="A1571">
        <f>IF(Sync!$Z1571="","",LEFT(UPPER(TRIM(Sync!$Z1571)),6))</f>
        <v/>
      </c>
      <c r="B1571">
        <f>IF($A1571="","",IF(Sync!$AA1571="","",Sync!$AA1571))</f>
        <v/>
      </c>
      <c r="C1571">
        <f>IF($A1571="","",IF(Sync!$AB1571="","",Sync!$AB1571))</f>
        <v/>
      </c>
      <c r="D1571">
        <f>IF($A1571="","",IF(Sync!$AC1571="","",Sync!$AC1571))</f>
        <v/>
      </c>
      <c r="E1571">
        <f>IF($A1571="","",IF(Sync!$AD1571="","",Sync!$AD1571))</f>
        <v/>
      </c>
      <c r="F1571">
        <f>IF($A1571="","",IF(Sync!$AE1571="",0,Sync!$AE1571))</f>
        <v/>
      </c>
      <c r="G1571">
        <f>IF($A1571="","",IF(Sync!$AF1571="",0,Sync!$AF1571))</f>
        <v/>
      </c>
      <c r="H1571">
        <f>IF(OR($A1571="",ROUND($F1571+$G1571,2)=0),"",$F1571+$G1571)</f>
        <v/>
      </c>
      <c r="I1571">
        <f>IF($H1571="","",IF(ROUND($F1571,2)&gt;0,$A1571,IF($D1571="شخصی قاسم","شخصی قاسم",IF($D1571="هزینه","هزینه: "&amp;IF($E1571="","متفرقه",$E1571),IF($C1571="پاس چک","چک پرداختی",IF(OR($B1571="",COUNTIF(AcctCodesA,$B1571)=0),"متفرقه",$B1571))))))</f>
        <v/>
      </c>
      <c r="J1571">
        <f>IF($H1571="","",IF(ROUND($F1571,2)&gt;0,IF($D1571="شخصی قاسم","شخصی قاسم",IF($D1571="هزینه","هزینه: "&amp;IF($E1571="","متفرقه",$E1571),IF(OR($B1571="",COUNTIF(AcctCodesA,$B1571)=0),"متفرقه",$B1571))),$A1571))</f>
        <v/>
      </c>
      <c r="K1571">
        <f>IF($A1571="","",IF(AND($B1571&lt;&gt;"",COUNTIF(AcctCodesA,$B1571)=0),"کد طرف در INFO تعریف نشده",IF(AND($D1571="هزینه",$E1571=""),"هزینه بدون زیرگروه",IF(AND($C1571="پاس چک",OR(Sync!$AJ1571="",COUNTIF(IssueNosA,Sync!$AJ1571)=0)),"شماره چک پاس‌شده معتبر نیست",""))))</f>
        <v/>
      </c>
      <c r="V1571">
        <f>IF($K1571="","",IF(ISNUMBER(Sync!$AK1571),Sync!$AK1571,LEFT(Sync!$AK1571,4)&amp;MID(Sync!$AK1571,6,2)&amp;RIGHT(Sync!$AK1571,2))&amp;"|"&amp;"4"&amp;RIGHT("00000"&amp;1566,5))</f>
        <v/>
      </c>
      <c r="W1571">
        <f>IF($V1571="",0,COUNTIFS($V$6:$V$2005,"&lt;"&amp;$V1571)-COUNTIFS($V$6:$V$2005,"&lt;"&amp;$V1571,$K$6:$K$2005,"")+1)</f>
        <v/>
      </c>
    </row>
    <row r="1572">
      <c r="A1572">
        <f>IF(Sync!$Z1572="","",LEFT(UPPER(TRIM(Sync!$Z1572)),6))</f>
        <v/>
      </c>
      <c r="B1572">
        <f>IF($A1572="","",IF(Sync!$AA1572="","",Sync!$AA1572))</f>
        <v/>
      </c>
      <c r="C1572">
        <f>IF($A1572="","",IF(Sync!$AB1572="","",Sync!$AB1572))</f>
        <v/>
      </c>
      <c r="D1572">
        <f>IF($A1572="","",IF(Sync!$AC1572="","",Sync!$AC1572))</f>
        <v/>
      </c>
      <c r="E1572">
        <f>IF($A1572="","",IF(Sync!$AD1572="","",Sync!$AD1572))</f>
        <v/>
      </c>
      <c r="F1572">
        <f>IF($A1572="","",IF(Sync!$AE1572="",0,Sync!$AE1572))</f>
        <v/>
      </c>
      <c r="G1572">
        <f>IF($A1572="","",IF(Sync!$AF1572="",0,Sync!$AF1572))</f>
        <v/>
      </c>
      <c r="H1572">
        <f>IF(OR($A1572="",ROUND($F1572+$G1572,2)=0),"",$F1572+$G1572)</f>
        <v/>
      </c>
      <c r="I1572">
        <f>IF($H1572="","",IF(ROUND($F1572,2)&gt;0,$A1572,IF($D1572="شخصی قاسم","شخصی قاسم",IF($D1572="هزینه","هزینه: "&amp;IF($E1572="","متفرقه",$E1572),IF($C1572="پاس چک","چک پرداختی",IF(OR($B1572="",COUNTIF(AcctCodesA,$B1572)=0),"متفرقه",$B1572))))))</f>
        <v/>
      </c>
      <c r="J1572">
        <f>IF($H1572="","",IF(ROUND($F1572,2)&gt;0,IF($D1572="شخصی قاسم","شخصی قاسم",IF($D1572="هزینه","هزینه: "&amp;IF($E1572="","متفرقه",$E1572),IF(OR($B1572="",COUNTIF(AcctCodesA,$B1572)=0),"متفرقه",$B1572))),$A1572))</f>
        <v/>
      </c>
      <c r="K1572">
        <f>IF($A1572="","",IF(AND($B1572&lt;&gt;"",COUNTIF(AcctCodesA,$B1572)=0),"کد طرف در INFO تعریف نشده",IF(AND($D1572="هزینه",$E1572=""),"هزینه بدون زیرگروه",IF(AND($C1572="پاس چک",OR(Sync!$AJ1572="",COUNTIF(IssueNosA,Sync!$AJ1572)=0)),"شماره چک پاس‌شده معتبر نیست",""))))</f>
        <v/>
      </c>
      <c r="V1572">
        <f>IF($K1572="","",IF(ISNUMBER(Sync!$AK1572),Sync!$AK1572,LEFT(Sync!$AK1572,4)&amp;MID(Sync!$AK1572,6,2)&amp;RIGHT(Sync!$AK1572,2))&amp;"|"&amp;"4"&amp;RIGHT("00000"&amp;1567,5))</f>
        <v/>
      </c>
      <c r="W1572">
        <f>IF($V1572="",0,COUNTIFS($V$6:$V$2005,"&lt;"&amp;$V1572)-COUNTIFS($V$6:$V$2005,"&lt;"&amp;$V1572,$K$6:$K$2005,"")+1)</f>
        <v/>
      </c>
    </row>
    <row r="1573">
      <c r="A1573">
        <f>IF(Sync!$Z1573="","",LEFT(UPPER(TRIM(Sync!$Z1573)),6))</f>
        <v/>
      </c>
      <c r="B1573">
        <f>IF($A1573="","",IF(Sync!$AA1573="","",Sync!$AA1573))</f>
        <v/>
      </c>
      <c r="C1573">
        <f>IF($A1573="","",IF(Sync!$AB1573="","",Sync!$AB1573))</f>
        <v/>
      </c>
      <c r="D1573">
        <f>IF($A1573="","",IF(Sync!$AC1573="","",Sync!$AC1573))</f>
        <v/>
      </c>
      <c r="E1573">
        <f>IF($A1573="","",IF(Sync!$AD1573="","",Sync!$AD1573))</f>
        <v/>
      </c>
      <c r="F1573">
        <f>IF($A1573="","",IF(Sync!$AE1573="",0,Sync!$AE1573))</f>
        <v/>
      </c>
      <c r="G1573">
        <f>IF($A1573="","",IF(Sync!$AF1573="",0,Sync!$AF1573))</f>
        <v/>
      </c>
      <c r="H1573">
        <f>IF(OR($A1573="",ROUND($F1573+$G1573,2)=0),"",$F1573+$G1573)</f>
        <v/>
      </c>
      <c r="I1573">
        <f>IF($H1573="","",IF(ROUND($F1573,2)&gt;0,$A1573,IF($D1573="شخصی قاسم","شخصی قاسم",IF($D1573="هزینه","هزینه: "&amp;IF($E1573="","متفرقه",$E1573),IF($C1573="پاس چک","چک پرداختی",IF(OR($B1573="",COUNTIF(AcctCodesA,$B1573)=0),"متفرقه",$B1573))))))</f>
        <v/>
      </c>
      <c r="J1573">
        <f>IF($H1573="","",IF(ROUND($F1573,2)&gt;0,IF($D1573="شخصی قاسم","شخصی قاسم",IF($D1573="هزینه","هزینه: "&amp;IF($E1573="","متفرقه",$E1573),IF(OR($B1573="",COUNTIF(AcctCodesA,$B1573)=0),"متفرقه",$B1573))),$A1573))</f>
        <v/>
      </c>
      <c r="K1573">
        <f>IF($A1573="","",IF(AND($B1573&lt;&gt;"",COUNTIF(AcctCodesA,$B1573)=0),"کد طرف در INFO تعریف نشده",IF(AND($D1573="هزینه",$E1573=""),"هزینه بدون زیرگروه",IF(AND($C1573="پاس چک",OR(Sync!$AJ1573="",COUNTIF(IssueNosA,Sync!$AJ1573)=0)),"شماره چک پاس‌شده معتبر نیست",""))))</f>
        <v/>
      </c>
      <c r="V1573">
        <f>IF($K1573="","",IF(ISNUMBER(Sync!$AK1573),Sync!$AK1573,LEFT(Sync!$AK1573,4)&amp;MID(Sync!$AK1573,6,2)&amp;RIGHT(Sync!$AK1573,2))&amp;"|"&amp;"4"&amp;RIGHT("00000"&amp;1568,5))</f>
        <v/>
      </c>
      <c r="W1573">
        <f>IF($V1573="",0,COUNTIFS($V$6:$V$2005,"&lt;"&amp;$V1573)-COUNTIFS($V$6:$V$2005,"&lt;"&amp;$V1573,$K$6:$K$2005,"")+1)</f>
        <v/>
      </c>
    </row>
    <row r="1574">
      <c r="A1574">
        <f>IF(Sync!$Z1574="","",LEFT(UPPER(TRIM(Sync!$Z1574)),6))</f>
        <v/>
      </c>
      <c r="B1574">
        <f>IF($A1574="","",IF(Sync!$AA1574="","",Sync!$AA1574))</f>
        <v/>
      </c>
      <c r="C1574">
        <f>IF($A1574="","",IF(Sync!$AB1574="","",Sync!$AB1574))</f>
        <v/>
      </c>
      <c r="D1574">
        <f>IF($A1574="","",IF(Sync!$AC1574="","",Sync!$AC1574))</f>
        <v/>
      </c>
      <c r="E1574">
        <f>IF($A1574="","",IF(Sync!$AD1574="","",Sync!$AD1574))</f>
        <v/>
      </c>
      <c r="F1574">
        <f>IF($A1574="","",IF(Sync!$AE1574="",0,Sync!$AE1574))</f>
        <v/>
      </c>
      <c r="G1574">
        <f>IF($A1574="","",IF(Sync!$AF1574="",0,Sync!$AF1574))</f>
        <v/>
      </c>
      <c r="H1574">
        <f>IF(OR($A1574="",ROUND($F1574+$G1574,2)=0),"",$F1574+$G1574)</f>
        <v/>
      </c>
      <c r="I1574">
        <f>IF($H1574="","",IF(ROUND($F1574,2)&gt;0,$A1574,IF($D1574="شخصی قاسم","شخصی قاسم",IF($D1574="هزینه","هزینه: "&amp;IF($E1574="","متفرقه",$E1574),IF($C1574="پاس چک","چک پرداختی",IF(OR($B1574="",COUNTIF(AcctCodesA,$B1574)=0),"متفرقه",$B1574))))))</f>
        <v/>
      </c>
      <c r="J1574">
        <f>IF($H1574="","",IF(ROUND($F1574,2)&gt;0,IF($D1574="شخصی قاسم","شخصی قاسم",IF($D1574="هزینه","هزینه: "&amp;IF($E1574="","متفرقه",$E1574),IF(OR($B1574="",COUNTIF(AcctCodesA,$B1574)=0),"متفرقه",$B1574))),$A1574))</f>
        <v/>
      </c>
      <c r="K1574">
        <f>IF($A1574="","",IF(AND($B1574&lt;&gt;"",COUNTIF(AcctCodesA,$B1574)=0),"کد طرف در INFO تعریف نشده",IF(AND($D1574="هزینه",$E1574=""),"هزینه بدون زیرگروه",IF(AND($C1574="پاس چک",OR(Sync!$AJ1574="",COUNTIF(IssueNosA,Sync!$AJ1574)=0)),"شماره چک پاس‌شده معتبر نیست",""))))</f>
        <v/>
      </c>
      <c r="V1574">
        <f>IF($K1574="","",IF(ISNUMBER(Sync!$AK1574),Sync!$AK1574,LEFT(Sync!$AK1574,4)&amp;MID(Sync!$AK1574,6,2)&amp;RIGHT(Sync!$AK1574,2))&amp;"|"&amp;"4"&amp;RIGHT("00000"&amp;1569,5))</f>
        <v/>
      </c>
      <c r="W1574">
        <f>IF($V1574="",0,COUNTIFS($V$6:$V$2005,"&lt;"&amp;$V1574)-COUNTIFS($V$6:$V$2005,"&lt;"&amp;$V1574,$K$6:$K$2005,"")+1)</f>
        <v/>
      </c>
    </row>
    <row r="1575">
      <c r="A1575">
        <f>IF(Sync!$Z1575="","",LEFT(UPPER(TRIM(Sync!$Z1575)),6))</f>
        <v/>
      </c>
      <c r="B1575">
        <f>IF($A1575="","",IF(Sync!$AA1575="","",Sync!$AA1575))</f>
        <v/>
      </c>
      <c r="C1575">
        <f>IF($A1575="","",IF(Sync!$AB1575="","",Sync!$AB1575))</f>
        <v/>
      </c>
      <c r="D1575">
        <f>IF($A1575="","",IF(Sync!$AC1575="","",Sync!$AC1575))</f>
        <v/>
      </c>
      <c r="E1575">
        <f>IF($A1575="","",IF(Sync!$AD1575="","",Sync!$AD1575))</f>
        <v/>
      </c>
      <c r="F1575">
        <f>IF($A1575="","",IF(Sync!$AE1575="",0,Sync!$AE1575))</f>
        <v/>
      </c>
      <c r="G1575">
        <f>IF($A1575="","",IF(Sync!$AF1575="",0,Sync!$AF1575))</f>
        <v/>
      </c>
      <c r="H1575">
        <f>IF(OR($A1575="",ROUND($F1575+$G1575,2)=0),"",$F1575+$G1575)</f>
        <v/>
      </c>
      <c r="I1575">
        <f>IF($H1575="","",IF(ROUND($F1575,2)&gt;0,$A1575,IF($D1575="شخصی قاسم","شخصی قاسم",IF($D1575="هزینه","هزینه: "&amp;IF($E1575="","متفرقه",$E1575),IF($C1575="پاس چک","چک پرداختی",IF(OR($B1575="",COUNTIF(AcctCodesA,$B1575)=0),"متفرقه",$B1575))))))</f>
        <v/>
      </c>
      <c r="J1575">
        <f>IF($H1575="","",IF(ROUND($F1575,2)&gt;0,IF($D1575="شخصی قاسم","شخصی قاسم",IF($D1575="هزینه","هزینه: "&amp;IF($E1575="","متفرقه",$E1575),IF(OR($B1575="",COUNTIF(AcctCodesA,$B1575)=0),"متفرقه",$B1575))),$A1575))</f>
        <v/>
      </c>
      <c r="K1575">
        <f>IF($A1575="","",IF(AND($B1575&lt;&gt;"",COUNTIF(AcctCodesA,$B1575)=0),"کد طرف در INFO تعریف نشده",IF(AND($D1575="هزینه",$E1575=""),"هزینه بدون زیرگروه",IF(AND($C1575="پاس چک",OR(Sync!$AJ1575="",COUNTIF(IssueNosA,Sync!$AJ1575)=0)),"شماره چک پاس‌شده معتبر نیست",""))))</f>
        <v/>
      </c>
      <c r="V1575">
        <f>IF($K1575="","",IF(ISNUMBER(Sync!$AK1575),Sync!$AK1575,LEFT(Sync!$AK1575,4)&amp;MID(Sync!$AK1575,6,2)&amp;RIGHT(Sync!$AK1575,2))&amp;"|"&amp;"4"&amp;RIGHT("00000"&amp;1570,5))</f>
        <v/>
      </c>
      <c r="W1575">
        <f>IF($V1575="",0,COUNTIFS($V$6:$V$2005,"&lt;"&amp;$V1575)-COUNTIFS($V$6:$V$2005,"&lt;"&amp;$V1575,$K$6:$K$2005,"")+1)</f>
        <v/>
      </c>
    </row>
    <row r="1576">
      <c r="A1576">
        <f>IF(Sync!$Z1576="","",LEFT(UPPER(TRIM(Sync!$Z1576)),6))</f>
        <v/>
      </c>
      <c r="B1576">
        <f>IF($A1576="","",IF(Sync!$AA1576="","",Sync!$AA1576))</f>
        <v/>
      </c>
      <c r="C1576">
        <f>IF($A1576="","",IF(Sync!$AB1576="","",Sync!$AB1576))</f>
        <v/>
      </c>
      <c r="D1576">
        <f>IF($A1576="","",IF(Sync!$AC1576="","",Sync!$AC1576))</f>
        <v/>
      </c>
      <c r="E1576">
        <f>IF($A1576="","",IF(Sync!$AD1576="","",Sync!$AD1576))</f>
        <v/>
      </c>
      <c r="F1576">
        <f>IF($A1576="","",IF(Sync!$AE1576="",0,Sync!$AE1576))</f>
        <v/>
      </c>
      <c r="G1576">
        <f>IF($A1576="","",IF(Sync!$AF1576="",0,Sync!$AF1576))</f>
        <v/>
      </c>
      <c r="H1576">
        <f>IF(OR($A1576="",ROUND($F1576+$G1576,2)=0),"",$F1576+$G1576)</f>
        <v/>
      </c>
      <c r="I1576">
        <f>IF($H1576="","",IF(ROUND($F1576,2)&gt;0,$A1576,IF($D1576="شخصی قاسم","شخصی قاسم",IF($D1576="هزینه","هزینه: "&amp;IF($E1576="","متفرقه",$E1576),IF($C1576="پاس چک","چک پرداختی",IF(OR($B1576="",COUNTIF(AcctCodesA,$B1576)=0),"متفرقه",$B1576))))))</f>
        <v/>
      </c>
      <c r="J1576">
        <f>IF($H1576="","",IF(ROUND($F1576,2)&gt;0,IF($D1576="شخصی قاسم","شخصی قاسم",IF($D1576="هزینه","هزینه: "&amp;IF($E1576="","متفرقه",$E1576),IF(OR($B1576="",COUNTIF(AcctCodesA,$B1576)=0),"متفرقه",$B1576))),$A1576))</f>
        <v/>
      </c>
      <c r="K1576">
        <f>IF($A1576="","",IF(AND($B1576&lt;&gt;"",COUNTIF(AcctCodesA,$B1576)=0),"کد طرف در INFO تعریف نشده",IF(AND($D1576="هزینه",$E1576=""),"هزینه بدون زیرگروه",IF(AND($C1576="پاس چک",OR(Sync!$AJ1576="",COUNTIF(IssueNosA,Sync!$AJ1576)=0)),"شماره چک پاس‌شده معتبر نیست",""))))</f>
        <v/>
      </c>
      <c r="V1576">
        <f>IF($K1576="","",IF(ISNUMBER(Sync!$AK1576),Sync!$AK1576,LEFT(Sync!$AK1576,4)&amp;MID(Sync!$AK1576,6,2)&amp;RIGHT(Sync!$AK1576,2))&amp;"|"&amp;"4"&amp;RIGHT("00000"&amp;1571,5))</f>
        <v/>
      </c>
      <c r="W1576">
        <f>IF($V1576="",0,COUNTIFS($V$6:$V$2005,"&lt;"&amp;$V1576)-COUNTIFS($V$6:$V$2005,"&lt;"&amp;$V1576,$K$6:$K$2005,"")+1)</f>
        <v/>
      </c>
    </row>
    <row r="1577">
      <c r="A1577">
        <f>IF(Sync!$Z1577="","",LEFT(UPPER(TRIM(Sync!$Z1577)),6))</f>
        <v/>
      </c>
      <c r="B1577">
        <f>IF($A1577="","",IF(Sync!$AA1577="","",Sync!$AA1577))</f>
        <v/>
      </c>
      <c r="C1577">
        <f>IF($A1577="","",IF(Sync!$AB1577="","",Sync!$AB1577))</f>
        <v/>
      </c>
      <c r="D1577">
        <f>IF($A1577="","",IF(Sync!$AC1577="","",Sync!$AC1577))</f>
        <v/>
      </c>
      <c r="E1577">
        <f>IF($A1577="","",IF(Sync!$AD1577="","",Sync!$AD1577))</f>
        <v/>
      </c>
      <c r="F1577">
        <f>IF($A1577="","",IF(Sync!$AE1577="",0,Sync!$AE1577))</f>
        <v/>
      </c>
      <c r="G1577">
        <f>IF($A1577="","",IF(Sync!$AF1577="",0,Sync!$AF1577))</f>
        <v/>
      </c>
      <c r="H1577">
        <f>IF(OR($A1577="",ROUND($F1577+$G1577,2)=0),"",$F1577+$G1577)</f>
        <v/>
      </c>
      <c r="I1577">
        <f>IF($H1577="","",IF(ROUND($F1577,2)&gt;0,$A1577,IF($D1577="شخصی قاسم","شخصی قاسم",IF($D1577="هزینه","هزینه: "&amp;IF($E1577="","متفرقه",$E1577),IF($C1577="پاس چک","چک پرداختی",IF(OR($B1577="",COUNTIF(AcctCodesA,$B1577)=0),"متفرقه",$B1577))))))</f>
        <v/>
      </c>
      <c r="J1577">
        <f>IF($H1577="","",IF(ROUND($F1577,2)&gt;0,IF($D1577="شخصی قاسم","شخصی قاسم",IF($D1577="هزینه","هزینه: "&amp;IF($E1577="","متفرقه",$E1577),IF(OR($B1577="",COUNTIF(AcctCodesA,$B1577)=0),"متفرقه",$B1577))),$A1577))</f>
        <v/>
      </c>
      <c r="K1577">
        <f>IF($A1577="","",IF(AND($B1577&lt;&gt;"",COUNTIF(AcctCodesA,$B1577)=0),"کد طرف در INFO تعریف نشده",IF(AND($D1577="هزینه",$E1577=""),"هزینه بدون زیرگروه",IF(AND($C1577="پاس چک",OR(Sync!$AJ1577="",COUNTIF(IssueNosA,Sync!$AJ1577)=0)),"شماره چک پاس‌شده معتبر نیست",""))))</f>
        <v/>
      </c>
      <c r="V1577">
        <f>IF($K1577="","",IF(ISNUMBER(Sync!$AK1577),Sync!$AK1577,LEFT(Sync!$AK1577,4)&amp;MID(Sync!$AK1577,6,2)&amp;RIGHT(Sync!$AK1577,2))&amp;"|"&amp;"4"&amp;RIGHT("00000"&amp;1572,5))</f>
        <v/>
      </c>
      <c r="W1577">
        <f>IF($V1577="",0,COUNTIFS($V$6:$V$2005,"&lt;"&amp;$V1577)-COUNTIFS($V$6:$V$2005,"&lt;"&amp;$V1577,$K$6:$K$2005,"")+1)</f>
        <v/>
      </c>
    </row>
    <row r="1578">
      <c r="A1578">
        <f>IF(Sync!$Z1578="","",LEFT(UPPER(TRIM(Sync!$Z1578)),6))</f>
        <v/>
      </c>
      <c r="B1578">
        <f>IF($A1578="","",IF(Sync!$AA1578="","",Sync!$AA1578))</f>
        <v/>
      </c>
      <c r="C1578">
        <f>IF($A1578="","",IF(Sync!$AB1578="","",Sync!$AB1578))</f>
        <v/>
      </c>
      <c r="D1578">
        <f>IF($A1578="","",IF(Sync!$AC1578="","",Sync!$AC1578))</f>
        <v/>
      </c>
      <c r="E1578">
        <f>IF($A1578="","",IF(Sync!$AD1578="","",Sync!$AD1578))</f>
        <v/>
      </c>
      <c r="F1578">
        <f>IF($A1578="","",IF(Sync!$AE1578="",0,Sync!$AE1578))</f>
        <v/>
      </c>
      <c r="G1578">
        <f>IF($A1578="","",IF(Sync!$AF1578="",0,Sync!$AF1578))</f>
        <v/>
      </c>
      <c r="H1578">
        <f>IF(OR($A1578="",ROUND($F1578+$G1578,2)=0),"",$F1578+$G1578)</f>
        <v/>
      </c>
      <c r="I1578">
        <f>IF($H1578="","",IF(ROUND($F1578,2)&gt;0,$A1578,IF($D1578="شخصی قاسم","شخصی قاسم",IF($D1578="هزینه","هزینه: "&amp;IF($E1578="","متفرقه",$E1578),IF($C1578="پاس چک","چک پرداختی",IF(OR($B1578="",COUNTIF(AcctCodesA,$B1578)=0),"متفرقه",$B1578))))))</f>
        <v/>
      </c>
      <c r="J1578">
        <f>IF($H1578="","",IF(ROUND($F1578,2)&gt;0,IF($D1578="شخصی قاسم","شخصی قاسم",IF($D1578="هزینه","هزینه: "&amp;IF($E1578="","متفرقه",$E1578),IF(OR($B1578="",COUNTIF(AcctCodesA,$B1578)=0),"متفرقه",$B1578))),$A1578))</f>
        <v/>
      </c>
      <c r="K1578">
        <f>IF($A1578="","",IF(AND($B1578&lt;&gt;"",COUNTIF(AcctCodesA,$B1578)=0),"کد طرف در INFO تعریف نشده",IF(AND($D1578="هزینه",$E1578=""),"هزینه بدون زیرگروه",IF(AND($C1578="پاس چک",OR(Sync!$AJ1578="",COUNTIF(IssueNosA,Sync!$AJ1578)=0)),"شماره چک پاس‌شده معتبر نیست",""))))</f>
        <v/>
      </c>
      <c r="V1578">
        <f>IF($K1578="","",IF(ISNUMBER(Sync!$AK1578),Sync!$AK1578,LEFT(Sync!$AK1578,4)&amp;MID(Sync!$AK1578,6,2)&amp;RIGHT(Sync!$AK1578,2))&amp;"|"&amp;"4"&amp;RIGHT("00000"&amp;1573,5))</f>
        <v/>
      </c>
      <c r="W1578">
        <f>IF($V1578="",0,COUNTIFS($V$6:$V$2005,"&lt;"&amp;$V1578)-COUNTIFS($V$6:$V$2005,"&lt;"&amp;$V1578,$K$6:$K$2005,"")+1)</f>
        <v/>
      </c>
    </row>
    <row r="1579">
      <c r="A1579">
        <f>IF(Sync!$Z1579="","",LEFT(UPPER(TRIM(Sync!$Z1579)),6))</f>
        <v/>
      </c>
      <c r="B1579">
        <f>IF($A1579="","",IF(Sync!$AA1579="","",Sync!$AA1579))</f>
        <v/>
      </c>
      <c r="C1579">
        <f>IF($A1579="","",IF(Sync!$AB1579="","",Sync!$AB1579))</f>
        <v/>
      </c>
      <c r="D1579">
        <f>IF($A1579="","",IF(Sync!$AC1579="","",Sync!$AC1579))</f>
        <v/>
      </c>
      <c r="E1579">
        <f>IF($A1579="","",IF(Sync!$AD1579="","",Sync!$AD1579))</f>
        <v/>
      </c>
      <c r="F1579">
        <f>IF($A1579="","",IF(Sync!$AE1579="",0,Sync!$AE1579))</f>
        <v/>
      </c>
      <c r="G1579">
        <f>IF($A1579="","",IF(Sync!$AF1579="",0,Sync!$AF1579))</f>
        <v/>
      </c>
      <c r="H1579">
        <f>IF(OR($A1579="",ROUND($F1579+$G1579,2)=0),"",$F1579+$G1579)</f>
        <v/>
      </c>
      <c r="I1579">
        <f>IF($H1579="","",IF(ROUND($F1579,2)&gt;0,$A1579,IF($D1579="شخصی قاسم","شخصی قاسم",IF($D1579="هزینه","هزینه: "&amp;IF($E1579="","متفرقه",$E1579),IF($C1579="پاس چک","چک پرداختی",IF(OR($B1579="",COUNTIF(AcctCodesA,$B1579)=0),"متفرقه",$B1579))))))</f>
        <v/>
      </c>
      <c r="J1579">
        <f>IF($H1579="","",IF(ROUND($F1579,2)&gt;0,IF($D1579="شخصی قاسم","شخصی قاسم",IF($D1579="هزینه","هزینه: "&amp;IF($E1579="","متفرقه",$E1579),IF(OR($B1579="",COUNTIF(AcctCodesA,$B1579)=0),"متفرقه",$B1579))),$A1579))</f>
        <v/>
      </c>
      <c r="K1579">
        <f>IF($A1579="","",IF(AND($B1579&lt;&gt;"",COUNTIF(AcctCodesA,$B1579)=0),"کد طرف در INFO تعریف نشده",IF(AND($D1579="هزینه",$E1579=""),"هزینه بدون زیرگروه",IF(AND($C1579="پاس چک",OR(Sync!$AJ1579="",COUNTIF(IssueNosA,Sync!$AJ1579)=0)),"شماره چک پاس‌شده معتبر نیست",""))))</f>
        <v/>
      </c>
      <c r="V1579">
        <f>IF($K1579="","",IF(ISNUMBER(Sync!$AK1579),Sync!$AK1579,LEFT(Sync!$AK1579,4)&amp;MID(Sync!$AK1579,6,2)&amp;RIGHT(Sync!$AK1579,2))&amp;"|"&amp;"4"&amp;RIGHT("00000"&amp;1574,5))</f>
        <v/>
      </c>
      <c r="W1579">
        <f>IF($V1579="",0,COUNTIFS($V$6:$V$2005,"&lt;"&amp;$V1579)-COUNTIFS($V$6:$V$2005,"&lt;"&amp;$V1579,$K$6:$K$2005,"")+1)</f>
        <v/>
      </c>
    </row>
    <row r="1580">
      <c r="A1580">
        <f>IF(Sync!$Z1580="","",LEFT(UPPER(TRIM(Sync!$Z1580)),6))</f>
        <v/>
      </c>
      <c r="B1580">
        <f>IF($A1580="","",IF(Sync!$AA1580="","",Sync!$AA1580))</f>
        <v/>
      </c>
      <c r="C1580">
        <f>IF($A1580="","",IF(Sync!$AB1580="","",Sync!$AB1580))</f>
        <v/>
      </c>
      <c r="D1580">
        <f>IF($A1580="","",IF(Sync!$AC1580="","",Sync!$AC1580))</f>
        <v/>
      </c>
      <c r="E1580">
        <f>IF($A1580="","",IF(Sync!$AD1580="","",Sync!$AD1580))</f>
        <v/>
      </c>
      <c r="F1580">
        <f>IF($A1580="","",IF(Sync!$AE1580="",0,Sync!$AE1580))</f>
        <v/>
      </c>
      <c r="G1580">
        <f>IF($A1580="","",IF(Sync!$AF1580="",0,Sync!$AF1580))</f>
        <v/>
      </c>
      <c r="H1580">
        <f>IF(OR($A1580="",ROUND($F1580+$G1580,2)=0),"",$F1580+$G1580)</f>
        <v/>
      </c>
      <c r="I1580">
        <f>IF($H1580="","",IF(ROUND($F1580,2)&gt;0,$A1580,IF($D1580="شخصی قاسم","شخصی قاسم",IF($D1580="هزینه","هزینه: "&amp;IF($E1580="","متفرقه",$E1580),IF($C1580="پاس چک","چک پرداختی",IF(OR($B1580="",COUNTIF(AcctCodesA,$B1580)=0),"متفرقه",$B1580))))))</f>
        <v/>
      </c>
      <c r="J1580">
        <f>IF($H1580="","",IF(ROUND($F1580,2)&gt;0,IF($D1580="شخصی قاسم","شخصی قاسم",IF($D1580="هزینه","هزینه: "&amp;IF($E1580="","متفرقه",$E1580),IF(OR($B1580="",COUNTIF(AcctCodesA,$B1580)=0),"متفرقه",$B1580))),$A1580))</f>
        <v/>
      </c>
      <c r="K1580">
        <f>IF($A1580="","",IF(AND($B1580&lt;&gt;"",COUNTIF(AcctCodesA,$B1580)=0),"کد طرف در INFO تعریف نشده",IF(AND($D1580="هزینه",$E1580=""),"هزینه بدون زیرگروه",IF(AND($C1580="پاس چک",OR(Sync!$AJ1580="",COUNTIF(IssueNosA,Sync!$AJ1580)=0)),"شماره چک پاس‌شده معتبر نیست",""))))</f>
        <v/>
      </c>
      <c r="V1580">
        <f>IF($K1580="","",IF(ISNUMBER(Sync!$AK1580),Sync!$AK1580,LEFT(Sync!$AK1580,4)&amp;MID(Sync!$AK1580,6,2)&amp;RIGHT(Sync!$AK1580,2))&amp;"|"&amp;"4"&amp;RIGHT("00000"&amp;1575,5))</f>
        <v/>
      </c>
      <c r="W1580">
        <f>IF($V1580="",0,COUNTIFS($V$6:$V$2005,"&lt;"&amp;$V1580)-COUNTIFS($V$6:$V$2005,"&lt;"&amp;$V1580,$K$6:$K$2005,"")+1)</f>
        <v/>
      </c>
    </row>
    <row r="1581">
      <c r="A1581">
        <f>IF(Sync!$Z1581="","",LEFT(UPPER(TRIM(Sync!$Z1581)),6))</f>
        <v/>
      </c>
      <c r="B1581">
        <f>IF($A1581="","",IF(Sync!$AA1581="","",Sync!$AA1581))</f>
        <v/>
      </c>
      <c r="C1581">
        <f>IF($A1581="","",IF(Sync!$AB1581="","",Sync!$AB1581))</f>
        <v/>
      </c>
      <c r="D1581">
        <f>IF($A1581="","",IF(Sync!$AC1581="","",Sync!$AC1581))</f>
        <v/>
      </c>
      <c r="E1581">
        <f>IF($A1581="","",IF(Sync!$AD1581="","",Sync!$AD1581))</f>
        <v/>
      </c>
      <c r="F1581">
        <f>IF($A1581="","",IF(Sync!$AE1581="",0,Sync!$AE1581))</f>
        <v/>
      </c>
      <c r="G1581">
        <f>IF($A1581="","",IF(Sync!$AF1581="",0,Sync!$AF1581))</f>
        <v/>
      </c>
      <c r="H1581">
        <f>IF(OR($A1581="",ROUND($F1581+$G1581,2)=0),"",$F1581+$G1581)</f>
        <v/>
      </c>
      <c r="I1581">
        <f>IF($H1581="","",IF(ROUND($F1581,2)&gt;0,$A1581,IF($D1581="شخصی قاسم","شخصی قاسم",IF($D1581="هزینه","هزینه: "&amp;IF($E1581="","متفرقه",$E1581),IF($C1581="پاس چک","چک پرداختی",IF(OR($B1581="",COUNTIF(AcctCodesA,$B1581)=0),"متفرقه",$B1581))))))</f>
        <v/>
      </c>
      <c r="J1581">
        <f>IF($H1581="","",IF(ROUND($F1581,2)&gt;0,IF($D1581="شخصی قاسم","شخصی قاسم",IF($D1581="هزینه","هزینه: "&amp;IF($E1581="","متفرقه",$E1581),IF(OR($B1581="",COUNTIF(AcctCodesA,$B1581)=0),"متفرقه",$B1581))),$A1581))</f>
        <v/>
      </c>
      <c r="K1581">
        <f>IF($A1581="","",IF(AND($B1581&lt;&gt;"",COUNTIF(AcctCodesA,$B1581)=0),"کد طرف در INFO تعریف نشده",IF(AND($D1581="هزینه",$E1581=""),"هزینه بدون زیرگروه",IF(AND($C1581="پاس چک",OR(Sync!$AJ1581="",COUNTIF(IssueNosA,Sync!$AJ1581)=0)),"شماره چک پاس‌شده معتبر نیست",""))))</f>
        <v/>
      </c>
      <c r="V1581">
        <f>IF($K1581="","",IF(ISNUMBER(Sync!$AK1581),Sync!$AK1581,LEFT(Sync!$AK1581,4)&amp;MID(Sync!$AK1581,6,2)&amp;RIGHT(Sync!$AK1581,2))&amp;"|"&amp;"4"&amp;RIGHT("00000"&amp;1576,5))</f>
        <v/>
      </c>
      <c r="W1581">
        <f>IF($V1581="",0,COUNTIFS($V$6:$V$2005,"&lt;"&amp;$V1581)-COUNTIFS($V$6:$V$2005,"&lt;"&amp;$V1581,$K$6:$K$2005,"")+1)</f>
        <v/>
      </c>
    </row>
    <row r="1582">
      <c r="A1582">
        <f>IF(Sync!$Z1582="","",LEFT(UPPER(TRIM(Sync!$Z1582)),6))</f>
        <v/>
      </c>
      <c r="B1582">
        <f>IF($A1582="","",IF(Sync!$AA1582="","",Sync!$AA1582))</f>
        <v/>
      </c>
      <c r="C1582">
        <f>IF($A1582="","",IF(Sync!$AB1582="","",Sync!$AB1582))</f>
        <v/>
      </c>
      <c r="D1582">
        <f>IF($A1582="","",IF(Sync!$AC1582="","",Sync!$AC1582))</f>
        <v/>
      </c>
      <c r="E1582">
        <f>IF($A1582="","",IF(Sync!$AD1582="","",Sync!$AD1582))</f>
        <v/>
      </c>
      <c r="F1582">
        <f>IF($A1582="","",IF(Sync!$AE1582="",0,Sync!$AE1582))</f>
        <v/>
      </c>
      <c r="G1582">
        <f>IF($A1582="","",IF(Sync!$AF1582="",0,Sync!$AF1582))</f>
        <v/>
      </c>
      <c r="H1582">
        <f>IF(OR($A1582="",ROUND($F1582+$G1582,2)=0),"",$F1582+$G1582)</f>
        <v/>
      </c>
      <c r="I1582">
        <f>IF($H1582="","",IF(ROUND($F1582,2)&gt;0,$A1582,IF($D1582="شخصی قاسم","شخصی قاسم",IF($D1582="هزینه","هزینه: "&amp;IF($E1582="","متفرقه",$E1582),IF($C1582="پاس چک","چک پرداختی",IF(OR($B1582="",COUNTIF(AcctCodesA,$B1582)=0),"متفرقه",$B1582))))))</f>
        <v/>
      </c>
      <c r="J1582">
        <f>IF($H1582="","",IF(ROUND($F1582,2)&gt;0,IF($D1582="شخصی قاسم","شخصی قاسم",IF($D1582="هزینه","هزینه: "&amp;IF($E1582="","متفرقه",$E1582),IF(OR($B1582="",COUNTIF(AcctCodesA,$B1582)=0),"متفرقه",$B1582))),$A1582))</f>
        <v/>
      </c>
      <c r="K1582">
        <f>IF($A1582="","",IF(AND($B1582&lt;&gt;"",COUNTIF(AcctCodesA,$B1582)=0),"کد طرف در INFO تعریف نشده",IF(AND($D1582="هزینه",$E1582=""),"هزینه بدون زیرگروه",IF(AND($C1582="پاس چک",OR(Sync!$AJ1582="",COUNTIF(IssueNosA,Sync!$AJ1582)=0)),"شماره چک پاس‌شده معتبر نیست",""))))</f>
        <v/>
      </c>
      <c r="V1582">
        <f>IF($K1582="","",IF(ISNUMBER(Sync!$AK1582),Sync!$AK1582,LEFT(Sync!$AK1582,4)&amp;MID(Sync!$AK1582,6,2)&amp;RIGHT(Sync!$AK1582,2))&amp;"|"&amp;"4"&amp;RIGHT("00000"&amp;1577,5))</f>
        <v/>
      </c>
      <c r="W1582">
        <f>IF($V1582="",0,COUNTIFS($V$6:$V$2005,"&lt;"&amp;$V1582)-COUNTIFS($V$6:$V$2005,"&lt;"&amp;$V1582,$K$6:$K$2005,"")+1)</f>
        <v/>
      </c>
    </row>
    <row r="1583">
      <c r="A1583">
        <f>IF(Sync!$Z1583="","",LEFT(UPPER(TRIM(Sync!$Z1583)),6))</f>
        <v/>
      </c>
      <c r="B1583">
        <f>IF($A1583="","",IF(Sync!$AA1583="","",Sync!$AA1583))</f>
        <v/>
      </c>
      <c r="C1583">
        <f>IF($A1583="","",IF(Sync!$AB1583="","",Sync!$AB1583))</f>
        <v/>
      </c>
      <c r="D1583">
        <f>IF($A1583="","",IF(Sync!$AC1583="","",Sync!$AC1583))</f>
        <v/>
      </c>
      <c r="E1583">
        <f>IF($A1583="","",IF(Sync!$AD1583="","",Sync!$AD1583))</f>
        <v/>
      </c>
      <c r="F1583">
        <f>IF($A1583="","",IF(Sync!$AE1583="",0,Sync!$AE1583))</f>
        <v/>
      </c>
      <c r="G1583">
        <f>IF($A1583="","",IF(Sync!$AF1583="",0,Sync!$AF1583))</f>
        <v/>
      </c>
      <c r="H1583">
        <f>IF(OR($A1583="",ROUND($F1583+$G1583,2)=0),"",$F1583+$G1583)</f>
        <v/>
      </c>
      <c r="I1583">
        <f>IF($H1583="","",IF(ROUND($F1583,2)&gt;0,$A1583,IF($D1583="شخصی قاسم","شخصی قاسم",IF($D1583="هزینه","هزینه: "&amp;IF($E1583="","متفرقه",$E1583),IF($C1583="پاس چک","چک پرداختی",IF(OR($B1583="",COUNTIF(AcctCodesA,$B1583)=0),"متفرقه",$B1583))))))</f>
        <v/>
      </c>
      <c r="J1583">
        <f>IF($H1583="","",IF(ROUND($F1583,2)&gt;0,IF($D1583="شخصی قاسم","شخصی قاسم",IF($D1583="هزینه","هزینه: "&amp;IF($E1583="","متفرقه",$E1583),IF(OR($B1583="",COUNTIF(AcctCodesA,$B1583)=0),"متفرقه",$B1583))),$A1583))</f>
        <v/>
      </c>
      <c r="K1583">
        <f>IF($A1583="","",IF(AND($B1583&lt;&gt;"",COUNTIF(AcctCodesA,$B1583)=0),"کد طرف در INFO تعریف نشده",IF(AND($D1583="هزینه",$E1583=""),"هزینه بدون زیرگروه",IF(AND($C1583="پاس چک",OR(Sync!$AJ1583="",COUNTIF(IssueNosA,Sync!$AJ1583)=0)),"شماره چک پاس‌شده معتبر نیست",""))))</f>
        <v/>
      </c>
      <c r="V1583">
        <f>IF($K1583="","",IF(ISNUMBER(Sync!$AK1583),Sync!$AK1583,LEFT(Sync!$AK1583,4)&amp;MID(Sync!$AK1583,6,2)&amp;RIGHT(Sync!$AK1583,2))&amp;"|"&amp;"4"&amp;RIGHT("00000"&amp;1578,5))</f>
        <v/>
      </c>
      <c r="W1583">
        <f>IF($V1583="",0,COUNTIFS($V$6:$V$2005,"&lt;"&amp;$V1583)-COUNTIFS($V$6:$V$2005,"&lt;"&amp;$V1583,$K$6:$K$2005,"")+1)</f>
        <v/>
      </c>
    </row>
    <row r="1584">
      <c r="A1584">
        <f>IF(Sync!$Z1584="","",LEFT(UPPER(TRIM(Sync!$Z1584)),6))</f>
        <v/>
      </c>
      <c r="B1584">
        <f>IF($A1584="","",IF(Sync!$AA1584="","",Sync!$AA1584))</f>
        <v/>
      </c>
      <c r="C1584">
        <f>IF($A1584="","",IF(Sync!$AB1584="","",Sync!$AB1584))</f>
        <v/>
      </c>
      <c r="D1584">
        <f>IF($A1584="","",IF(Sync!$AC1584="","",Sync!$AC1584))</f>
        <v/>
      </c>
      <c r="E1584">
        <f>IF($A1584="","",IF(Sync!$AD1584="","",Sync!$AD1584))</f>
        <v/>
      </c>
      <c r="F1584">
        <f>IF($A1584="","",IF(Sync!$AE1584="",0,Sync!$AE1584))</f>
        <v/>
      </c>
      <c r="G1584">
        <f>IF($A1584="","",IF(Sync!$AF1584="",0,Sync!$AF1584))</f>
        <v/>
      </c>
      <c r="H1584">
        <f>IF(OR($A1584="",ROUND($F1584+$G1584,2)=0),"",$F1584+$G1584)</f>
        <v/>
      </c>
      <c r="I1584">
        <f>IF($H1584="","",IF(ROUND($F1584,2)&gt;0,$A1584,IF($D1584="شخصی قاسم","شخصی قاسم",IF($D1584="هزینه","هزینه: "&amp;IF($E1584="","متفرقه",$E1584),IF($C1584="پاس چک","چک پرداختی",IF(OR($B1584="",COUNTIF(AcctCodesA,$B1584)=0),"متفرقه",$B1584))))))</f>
        <v/>
      </c>
      <c r="J1584">
        <f>IF($H1584="","",IF(ROUND($F1584,2)&gt;0,IF($D1584="شخصی قاسم","شخصی قاسم",IF($D1584="هزینه","هزینه: "&amp;IF($E1584="","متفرقه",$E1584),IF(OR($B1584="",COUNTIF(AcctCodesA,$B1584)=0),"متفرقه",$B1584))),$A1584))</f>
        <v/>
      </c>
      <c r="K1584">
        <f>IF($A1584="","",IF(AND($B1584&lt;&gt;"",COUNTIF(AcctCodesA,$B1584)=0),"کد طرف در INFO تعریف نشده",IF(AND($D1584="هزینه",$E1584=""),"هزینه بدون زیرگروه",IF(AND($C1584="پاس چک",OR(Sync!$AJ1584="",COUNTIF(IssueNosA,Sync!$AJ1584)=0)),"شماره چک پاس‌شده معتبر نیست",""))))</f>
        <v/>
      </c>
      <c r="V1584">
        <f>IF($K1584="","",IF(ISNUMBER(Sync!$AK1584),Sync!$AK1584,LEFT(Sync!$AK1584,4)&amp;MID(Sync!$AK1584,6,2)&amp;RIGHT(Sync!$AK1584,2))&amp;"|"&amp;"4"&amp;RIGHT("00000"&amp;1579,5))</f>
        <v/>
      </c>
      <c r="W1584">
        <f>IF($V1584="",0,COUNTIFS($V$6:$V$2005,"&lt;"&amp;$V1584)-COUNTIFS($V$6:$V$2005,"&lt;"&amp;$V1584,$K$6:$K$2005,"")+1)</f>
        <v/>
      </c>
    </row>
    <row r="1585">
      <c r="A1585">
        <f>IF(Sync!$Z1585="","",LEFT(UPPER(TRIM(Sync!$Z1585)),6))</f>
        <v/>
      </c>
      <c r="B1585">
        <f>IF($A1585="","",IF(Sync!$AA1585="","",Sync!$AA1585))</f>
        <v/>
      </c>
      <c r="C1585">
        <f>IF($A1585="","",IF(Sync!$AB1585="","",Sync!$AB1585))</f>
        <v/>
      </c>
      <c r="D1585">
        <f>IF($A1585="","",IF(Sync!$AC1585="","",Sync!$AC1585))</f>
        <v/>
      </c>
      <c r="E1585">
        <f>IF($A1585="","",IF(Sync!$AD1585="","",Sync!$AD1585))</f>
        <v/>
      </c>
      <c r="F1585">
        <f>IF($A1585="","",IF(Sync!$AE1585="",0,Sync!$AE1585))</f>
        <v/>
      </c>
      <c r="G1585">
        <f>IF($A1585="","",IF(Sync!$AF1585="",0,Sync!$AF1585))</f>
        <v/>
      </c>
      <c r="H1585">
        <f>IF(OR($A1585="",ROUND($F1585+$G1585,2)=0),"",$F1585+$G1585)</f>
        <v/>
      </c>
      <c r="I1585">
        <f>IF($H1585="","",IF(ROUND($F1585,2)&gt;0,$A1585,IF($D1585="شخصی قاسم","شخصی قاسم",IF($D1585="هزینه","هزینه: "&amp;IF($E1585="","متفرقه",$E1585),IF($C1585="پاس چک","چک پرداختی",IF(OR($B1585="",COUNTIF(AcctCodesA,$B1585)=0),"متفرقه",$B1585))))))</f>
        <v/>
      </c>
      <c r="J1585">
        <f>IF($H1585="","",IF(ROUND($F1585,2)&gt;0,IF($D1585="شخصی قاسم","شخصی قاسم",IF($D1585="هزینه","هزینه: "&amp;IF($E1585="","متفرقه",$E1585),IF(OR($B1585="",COUNTIF(AcctCodesA,$B1585)=0),"متفرقه",$B1585))),$A1585))</f>
        <v/>
      </c>
      <c r="K1585">
        <f>IF($A1585="","",IF(AND($B1585&lt;&gt;"",COUNTIF(AcctCodesA,$B1585)=0),"کد طرف در INFO تعریف نشده",IF(AND($D1585="هزینه",$E1585=""),"هزینه بدون زیرگروه",IF(AND($C1585="پاس چک",OR(Sync!$AJ1585="",COUNTIF(IssueNosA,Sync!$AJ1585)=0)),"شماره چک پاس‌شده معتبر نیست",""))))</f>
        <v/>
      </c>
      <c r="V1585">
        <f>IF($K1585="","",IF(ISNUMBER(Sync!$AK1585),Sync!$AK1585,LEFT(Sync!$AK1585,4)&amp;MID(Sync!$AK1585,6,2)&amp;RIGHT(Sync!$AK1585,2))&amp;"|"&amp;"4"&amp;RIGHT("00000"&amp;1580,5))</f>
        <v/>
      </c>
      <c r="W1585">
        <f>IF($V1585="",0,COUNTIFS($V$6:$V$2005,"&lt;"&amp;$V1585)-COUNTIFS($V$6:$V$2005,"&lt;"&amp;$V1585,$K$6:$K$2005,"")+1)</f>
        <v/>
      </c>
    </row>
    <row r="1586">
      <c r="A1586">
        <f>IF(Sync!$Z1586="","",LEFT(UPPER(TRIM(Sync!$Z1586)),6))</f>
        <v/>
      </c>
      <c r="B1586">
        <f>IF($A1586="","",IF(Sync!$AA1586="","",Sync!$AA1586))</f>
        <v/>
      </c>
      <c r="C1586">
        <f>IF($A1586="","",IF(Sync!$AB1586="","",Sync!$AB1586))</f>
        <v/>
      </c>
      <c r="D1586">
        <f>IF($A1586="","",IF(Sync!$AC1586="","",Sync!$AC1586))</f>
        <v/>
      </c>
      <c r="E1586">
        <f>IF($A1586="","",IF(Sync!$AD1586="","",Sync!$AD1586))</f>
        <v/>
      </c>
      <c r="F1586">
        <f>IF($A1586="","",IF(Sync!$AE1586="",0,Sync!$AE1586))</f>
        <v/>
      </c>
      <c r="G1586">
        <f>IF($A1586="","",IF(Sync!$AF1586="",0,Sync!$AF1586))</f>
        <v/>
      </c>
      <c r="H1586">
        <f>IF(OR($A1586="",ROUND($F1586+$G1586,2)=0),"",$F1586+$G1586)</f>
        <v/>
      </c>
      <c r="I1586">
        <f>IF($H1586="","",IF(ROUND($F1586,2)&gt;0,$A1586,IF($D1586="شخصی قاسم","شخصی قاسم",IF($D1586="هزینه","هزینه: "&amp;IF($E1586="","متفرقه",$E1586),IF($C1586="پاس چک","چک پرداختی",IF(OR($B1586="",COUNTIF(AcctCodesA,$B1586)=0),"متفرقه",$B1586))))))</f>
        <v/>
      </c>
      <c r="J1586">
        <f>IF($H1586="","",IF(ROUND($F1586,2)&gt;0,IF($D1586="شخصی قاسم","شخصی قاسم",IF($D1586="هزینه","هزینه: "&amp;IF($E1586="","متفرقه",$E1586),IF(OR($B1586="",COUNTIF(AcctCodesA,$B1586)=0),"متفرقه",$B1586))),$A1586))</f>
        <v/>
      </c>
      <c r="K1586">
        <f>IF($A1586="","",IF(AND($B1586&lt;&gt;"",COUNTIF(AcctCodesA,$B1586)=0),"کد طرف در INFO تعریف نشده",IF(AND($D1586="هزینه",$E1586=""),"هزینه بدون زیرگروه",IF(AND($C1586="پاس چک",OR(Sync!$AJ1586="",COUNTIF(IssueNosA,Sync!$AJ1586)=0)),"شماره چک پاس‌شده معتبر نیست",""))))</f>
        <v/>
      </c>
      <c r="V1586">
        <f>IF($K1586="","",IF(ISNUMBER(Sync!$AK1586),Sync!$AK1586,LEFT(Sync!$AK1586,4)&amp;MID(Sync!$AK1586,6,2)&amp;RIGHT(Sync!$AK1586,2))&amp;"|"&amp;"4"&amp;RIGHT("00000"&amp;1581,5))</f>
        <v/>
      </c>
      <c r="W1586">
        <f>IF($V1586="",0,COUNTIFS($V$6:$V$2005,"&lt;"&amp;$V1586)-COUNTIFS($V$6:$V$2005,"&lt;"&amp;$V1586,$K$6:$K$2005,"")+1)</f>
        <v/>
      </c>
    </row>
    <row r="1587">
      <c r="A1587">
        <f>IF(Sync!$Z1587="","",LEFT(UPPER(TRIM(Sync!$Z1587)),6))</f>
        <v/>
      </c>
      <c r="B1587">
        <f>IF($A1587="","",IF(Sync!$AA1587="","",Sync!$AA1587))</f>
        <v/>
      </c>
      <c r="C1587">
        <f>IF($A1587="","",IF(Sync!$AB1587="","",Sync!$AB1587))</f>
        <v/>
      </c>
      <c r="D1587">
        <f>IF($A1587="","",IF(Sync!$AC1587="","",Sync!$AC1587))</f>
        <v/>
      </c>
      <c r="E1587">
        <f>IF($A1587="","",IF(Sync!$AD1587="","",Sync!$AD1587))</f>
        <v/>
      </c>
      <c r="F1587">
        <f>IF($A1587="","",IF(Sync!$AE1587="",0,Sync!$AE1587))</f>
        <v/>
      </c>
      <c r="G1587">
        <f>IF($A1587="","",IF(Sync!$AF1587="",0,Sync!$AF1587))</f>
        <v/>
      </c>
      <c r="H1587">
        <f>IF(OR($A1587="",ROUND($F1587+$G1587,2)=0),"",$F1587+$G1587)</f>
        <v/>
      </c>
      <c r="I1587">
        <f>IF($H1587="","",IF(ROUND($F1587,2)&gt;0,$A1587,IF($D1587="شخصی قاسم","شخصی قاسم",IF($D1587="هزینه","هزینه: "&amp;IF($E1587="","متفرقه",$E1587),IF($C1587="پاس چک","چک پرداختی",IF(OR($B1587="",COUNTIF(AcctCodesA,$B1587)=0),"متفرقه",$B1587))))))</f>
        <v/>
      </c>
      <c r="J1587">
        <f>IF($H1587="","",IF(ROUND($F1587,2)&gt;0,IF($D1587="شخصی قاسم","شخصی قاسم",IF($D1587="هزینه","هزینه: "&amp;IF($E1587="","متفرقه",$E1587),IF(OR($B1587="",COUNTIF(AcctCodesA,$B1587)=0),"متفرقه",$B1587))),$A1587))</f>
        <v/>
      </c>
      <c r="K1587">
        <f>IF($A1587="","",IF(AND($B1587&lt;&gt;"",COUNTIF(AcctCodesA,$B1587)=0),"کد طرف در INFO تعریف نشده",IF(AND($D1587="هزینه",$E1587=""),"هزینه بدون زیرگروه",IF(AND($C1587="پاس چک",OR(Sync!$AJ1587="",COUNTIF(IssueNosA,Sync!$AJ1587)=0)),"شماره چک پاس‌شده معتبر نیست",""))))</f>
        <v/>
      </c>
      <c r="V1587">
        <f>IF($K1587="","",IF(ISNUMBER(Sync!$AK1587),Sync!$AK1587,LEFT(Sync!$AK1587,4)&amp;MID(Sync!$AK1587,6,2)&amp;RIGHT(Sync!$AK1587,2))&amp;"|"&amp;"4"&amp;RIGHT("00000"&amp;1582,5))</f>
        <v/>
      </c>
      <c r="W1587">
        <f>IF($V1587="",0,COUNTIFS($V$6:$V$2005,"&lt;"&amp;$V1587)-COUNTIFS($V$6:$V$2005,"&lt;"&amp;$V1587,$K$6:$K$2005,"")+1)</f>
        <v/>
      </c>
    </row>
    <row r="1588">
      <c r="A1588">
        <f>IF(Sync!$Z1588="","",LEFT(UPPER(TRIM(Sync!$Z1588)),6))</f>
        <v/>
      </c>
      <c r="B1588">
        <f>IF($A1588="","",IF(Sync!$AA1588="","",Sync!$AA1588))</f>
        <v/>
      </c>
      <c r="C1588">
        <f>IF($A1588="","",IF(Sync!$AB1588="","",Sync!$AB1588))</f>
        <v/>
      </c>
      <c r="D1588">
        <f>IF($A1588="","",IF(Sync!$AC1588="","",Sync!$AC1588))</f>
        <v/>
      </c>
      <c r="E1588">
        <f>IF($A1588="","",IF(Sync!$AD1588="","",Sync!$AD1588))</f>
        <v/>
      </c>
      <c r="F1588">
        <f>IF($A1588="","",IF(Sync!$AE1588="",0,Sync!$AE1588))</f>
        <v/>
      </c>
      <c r="G1588">
        <f>IF($A1588="","",IF(Sync!$AF1588="",0,Sync!$AF1588))</f>
        <v/>
      </c>
      <c r="H1588">
        <f>IF(OR($A1588="",ROUND($F1588+$G1588,2)=0),"",$F1588+$G1588)</f>
        <v/>
      </c>
      <c r="I1588">
        <f>IF($H1588="","",IF(ROUND($F1588,2)&gt;0,$A1588,IF($D1588="شخصی قاسم","شخصی قاسم",IF($D1588="هزینه","هزینه: "&amp;IF($E1588="","متفرقه",$E1588),IF($C1588="پاس چک","چک پرداختی",IF(OR($B1588="",COUNTIF(AcctCodesA,$B1588)=0),"متفرقه",$B1588))))))</f>
        <v/>
      </c>
      <c r="J1588">
        <f>IF($H1588="","",IF(ROUND($F1588,2)&gt;0,IF($D1588="شخصی قاسم","شخصی قاسم",IF($D1588="هزینه","هزینه: "&amp;IF($E1588="","متفرقه",$E1588),IF(OR($B1588="",COUNTIF(AcctCodesA,$B1588)=0),"متفرقه",$B1588))),$A1588))</f>
        <v/>
      </c>
      <c r="K1588">
        <f>IF($A1588="","",IF(AND($B1588&lt;&gt;"",COUNTIF(AcctCodesA,$B1588)=0),"کد طرف در INFO تعریف نشده",IF(AND($D1588="هزینه",$E1588=""),"هزینه بدون زیرگروه",IF(AND($C1588="پاس چک",OR(Sync!$AJ1588="",COUNTIF(IssueNosA,Sync!$AJ1588)=0)),"شماره چک پاس‌شده معتبر نیست",""))))</f>
        <v/>
      </c>
      <c r="V1588">
        <f>IF($K1588="","",IF(ISNUMBER(Sync!$AK1588),Sync!$AK1588,LEFT(Sync!$AK1588,4)&amp;MID(Sync!$AK1588,6,2)&amp;RIGHT(Sync!$AK1588,2))&amp;"|"&amp;"4"&amp;RIGHT("00000"&amp;1583,5))</f>
        <v/>
      </c>
      <c r="W1588">
        <f>IF($V1588="",0,COUNTIFS($V$6:$V$2005,"&lt;"&amp;$V1588)-COUNTIFS($V$6:$V$2005,"&lt;"&amp;$V1588,$K$6:$K$2005,"")+1)</f>
        <v/>
      </c>
    </row>
    <row r="1589">
      <c r="A1589">
        <f>IF(Sync!$Z1589="","",LEFT(UPPER(TRIM(Sync!$Z1589)),6))</f>
        <v/>
      </c>
      <c r="B1589">
        <f>IF($A1589="","",IF(Sync!$AA1589="","",Sync!$AA1589))</f>
        <v/>
      </c>
      <c r="C1589">
        <f>IF($A1589="","",IF(Sync!$AB1589="","",Sync!$AB1589))</f>
        <v/>
      </c>
      <c r="D1589">
        <f>IF($A1589="","",IF(Sync!$AC1589="","",Sync!$AC1589))</f>
        <v/>
      </c>
      <c r="E1589">
        <f>IF($A1589="","",IF(Sync!$AD1589="","",Sync!$AD1589))</f>
        <v/>
      </c>
      <c r="F1589">
        <f>IF($A1589="","",IF(Sync!$AE1589="",0,Sync!$AE1589))</f>
        <v/>
      </c>
      <c r="G1589">
        <f>IF($A1589="","",IF(Sync!$AF1589="",0,Sync!$AF1589))</f>
        <v/>
      </c>
      <c r="H1589">
        <f>IF(OR($A1589="",ROUND($F1589+$G1589,2)=0),"",$F1589+$G1589)</f>
        <v/>
      </c>
      <c r="I1589">
        <f>IF($H1589="","",IF(ROUND($F1589,2)&gt;0,$A1589,IF($D1589="شخصی قاسم","شخصی قاسم",IF($D1589="هزینه","هزینه: "&amp;IF($E1589="","متفرقه",$E1589),IF($C1589="پاس چک","چک پرداختی",IF(OR($B1589="",COUNTIF(AcctCodesA,$B1589)=0),"متفرقه",$B1589))))))</f>
        <v/>
      </c>
      <c r="J1589">
        <f>IF($H1589="","",IF(ROUND($F1589,2)&gt;0,IF($D1589="شخصی قاسم","شخصی قاسم",IF($D1589="هزینه","هزینه: "&amp;IF($E1589="","متفرقه",$E1589),IF(OR($B1589="",COUNTIF(AcctCodesA,$B1589)=0),"متفرقه",$B1589))),$A1589))</f>
        <v/>
      </c>
      <c r="K1589">
        <f>IF($A1589="","",IF(AND($B1589&lt;&gt;"",COUNTIF(AcctCodesA,$B1589)=0),"کد طرف در INFO تعریف نشده",IF(AND($D1589="هزینه",$E1589=""),"هزینه بدون زیرگروه",IF(AND($C1589="پاس چک",OR(Sync!$AJ1589="",COUNTIF(IssueNosA,Sync!$AJ1589)=0)),"شماره چک پاس‌شده معتبر نیست",""))))</f>
        <v/>
      </c>
      <c r="V1589">
        <f>IF($K1589="","",IF(ISNUMBER(Sync!$AK1589),Sync!$AK1589,LEFT(Sync!$AK1589,4)&amp;MID(Sync!$AK1589,6,2)&amp;RIGHT(Sync!$AK1589,2))&amp;"|"&amp;"4"&amp;RIGHT("00000"&amp;1584,5))</f>
        <v/>
      </c>
      <c r="W1589">
        <f>IF($V1589="",0,COUNTIFS($V$6:$V$2005,"&lt;"&amp;$V1589)-COUNTIFS($V$6:$V$2005,"&lt;"&amp;$V1589,$K$6:$K$2005,"")+1)</f>
        <v/>
      </c>
    </row>
    <row r="1590">
      <c r="A1590">
        <f>IF(Sync!$Z1590="","",LEFT(UPPER(TRIM(Sync!$Z1590)),6))</f>
        <v/>
      </c>
      <c r="B1590">
        <f>IF($A1590="","",IF(Sync!$AA1590="","",Sync!$AA1590))</f>
        <v/>
      </c>
      <c r="C1590">
        <f>IF($A1590="","",IF(Sync!$AB1590="","",Sync!$AB1590))</f>
        <v/>
      </c>
      <c r="D1590">
        <f>IF($A1590="","",IF(Sync!$AC1590="","",Sync!$AC1590))</f>
        <v/>
      </c>
      <c r="E1590">
        <f>IF($A1590="","",IF(Sync!$AD1590="","",Sync!$AD1590))</f>
        <v/>
      </c>
      <c r="F1590">
        <f>IF($A1590="","",IF(Sync!$AE1590="",0,Sync!$AE1590))</f>
        <v/>
      </c>
      <c r="G1590">
        <f>IF($A1590="","",IF(Sync!$AF1590="",0,Sync!$AF1590))</f>
        <v/>
      </c>
      <c r="H1590">
        <f>IF(OR($A1590="",ROUND($F1590+$G1590,2)=0),"",$F1590+$G1590)</f>
        <v/>
      </c>
      <c r="I1590">
        <f>IF($H1590="","",IF(ROUND($F1590,2)&gt;0,$A1590,IF($D1590="شخصی قاسم","شخصی قاسم",IF($D1590="هزینه","هزینه: "&amp;IF($E1590="","متفرقه",$E1590),IF($C1590="پاس چک","چک پرداختی",IF(OR($B1590="",COUNTIF(AcctCodesA,$B1590)=0),"متفرقه",$B1590))))))</f>
        <v/>
      </c>
      <c r="J1590">
        <f>IF($H1590="","",IF(ROUND($F1590,2)&gt;0,IF($D1590="شخصی قاسم","شخصی قاسم",IF($D1590="هزینه","هزینه: "&amp;IF($E1590="","متفرقه",$E1590),IF(OR($B1590="",COUNTIF(AcctCodesA,$B1590)=0),"متفرقه",$B1590))),$A1590))</f>
        <v/>
      </c>
      <c r="K1590">
        <f>IF($A1590="","",IF(AND($B1590&lt;&gt;"",COUNTIF(AcctCodesA,$B1590)=0),"کد طرف در INFO تعریف نشده",IF(AND($D1590="هزینه",$E1590=""),"هزینه بدون زیرگروه",IF(AND($C1590="پاس چک",OR(Sync!$AJ1590="",COUNTIF(IssueNosA,Sync!$AJ1590)=0)),"شماره چک پاس‌شده معتبر نیست",""))))</f>
        <v/>
      </c>
      <c r="V1590">
        <f>IF($K1590="","",IF(ISNUMBER(Sync!$AK1590),Sync!$AK1590,LEFT(Sync!$AK1590,4)&amp;MID(Sync!$AK1590,6,2)&amp;RIGHT(Sync!$AK1590,2))&amp;"|"&amp;"4"&amp;RIGHT("00000"&amp;1585,5))</f>
        <v/>
      </c>
      <c r="W1590">
        <f>IF($V1590="",0,COUNTIFS($V$6:$V$2005,"&lt;"&amp;$V1590)-COUNTIFS($V$6:$V$2005,"&lt;"&amp;$V1590,$K$6:$K$2005,"")+1)</f>
        <v/>
      </c>
    </row>
    <row r="1591">
      <c r="A1591">
        <f>IF(Sync!$Z1591="","",LEFT(UPPER(TRIM(Sync!$Z1591)),6))</f>
        <v/>
      </c>
      <c r="B1591">
        <f>IF($A1591="","",IF(Sync!$AA1591="","",Sync!$AA1591))</f>
        <v/>
      </c>
      <c r="C1591">
        <f>IF($A1591="","",IF(Sync!$AB1591="","",Sync!$AB1591))</f>
        <v/>
      </c>
      <c r="D1591">
        <f>IF($A1591="","",IF(Sync!$AC1591="","",Sync!$AC1591))</f>
        <v/>
      </c>
      <c r="E1591">
        <f>IF($A1591="","",IF(Sync!$AD1591="","",Sync!$AD1591))</f>
        <v/>
      </c>
      <c r="F1591">
        <f>IF($A1591="","",IF(Sync!$AE1591="",0,Sync!$AE1591))</f>
        <v/>
      </c>
      <c r="G1591">
        <f>IF($A1591="","",IF(Sync!$AF1591="",0,Sync!$AF1591))</f>
        <v/>
      </c>
      <c r="H1591">
        <f>IF(OR($A1591="",ROUND($F1591+$G1591,2)=0),"",$F1591+$G1591)</f>
        <v/>
      </c>
      <c r="I1591">
        <f>IF($H1591="","",IF(ROUND($F1591,2)&gt;0,$A1591,IF($D1591="شخصی قاسم","شخصی قاسم",IF($D1591="هزینه","هزینه: "&amp;IF($E1591="","متفرقه",$E1591),IF($C1591="پاس چک","چک پرداختی",IF(OR($B1591="",COUNTIF(AcctCodesA,$B1591)=0),"متفرقه",$B1591))))))</f>
        <v/>
      </c>
      <c r="J1591">
        <f>IF($H1591="","",IF(ROUND($F1591,2)&gt;0,IF($D1591="شخصی قاسم","شخصی قاسم",IF($D1591="هزینه","هزینه: "&amp;IF($E1591="","متفرقه",$E1591),IF(OR($B1591="",COUNTIF(AcctCodesA,$B1591)=0),"متفرقه",$B1591))),$A1591))</f>
        <v/>
      </c>
      <c r="K1591">
        <f>IF($A1591="","",IF(AND($B1591&lt;&gt;"",COUNTIF(AcctCodesA,$B1591)=0),"کد طرف در INFO تعریف نشده",IF(AND($D1591="هزینه",$E1591=""),"هزینه بدون زیرگروه",IF(AND($C1591="پاس چک",OR(Sync!$AJ1591="",COUNTIF(IssueNosA,Sync!$AJ1591)=0)),"شماره چک پاس‌شده معتبر نیست",""))))</f>
        <v/>
      </c>
      <c r="V1591">
        <f>IF($K1591="","",IF(ISNUMBER(Sync!$AK1591),Sync!$AK1591,LEFT(Sync!$AK1591,4)&amp;MID(Sync!$AK1591,6,2)&amp;RIGHT(Sync!$AK1591,2))&amp;"|"&amp;"4"&amp;RIGHT("00000"&amp;1586,5))</f>
        <v/>
      </c>
      <c r="W1591">
        <f>IF($V1591="",0,COUNTIFS($V$6:$V$2005,"&lt;"&amp;$V1591)-COUNTIFS($V$6:$V$2005,"&lt;"&amp;$V1591,$K$6:$K$2005,"")+1)</f>
        <v/>
      </c>
    </row>
    <row r="1592">
      <c r="A1592">
        <f>IF(Sync!$Z1592="","",LEFT(UPPER(TRIM(Sync!$Z1592)),6))</f>
        <v/>
      </c>
      <c r="B1592">
        <f>IF($A1592="","",IF(Sync!$AA1592="","",Sync!$AA1592))</f>
        <v/>
      </c>
      <c r="C1592">
        <f>IF($A1592="","",IF(Sync!$AB1592="","",Sync!$AB1592))</f>
        <v/>
      </c>
      <c r="D1592">
        <f>IF($A1592="","",IF(Sync!$AC1592="","",Sync!$AC1592))</f>
        <v/>
      </c>
      <c r="E1592">
        <f>IF($A1592="","",IF(Sync!$AD1592="","",Sync!$AD1592))</f>
        <v/>
      </c>
      <c r="F1592">
        <f>IF($A1592="","",IF(Sync!$AE1592="",0,Sync!$AE1592))</f>
        <v/>
      </c>
      <c r="G1592">
        <f>IF($A1592="","",IF(Sync!$AF1592="",0,Sync!$AF1592))</f>
        <v/>
      </c>
      <c r="H1592">
        <f>IF(OR($A1592="",ROUND($F1592+$G1592,2)=0),"",$F1592+$G1592)</f>
        <v/>
      </c>
      <c r="I1592">
        <f>IF($H1592="","",IF(ROUND($F1592,2)&gt;0,$A1592,IF($D1592="شخصی قاسم","شخصی قاسم",IF($D1592="هزینه","هزینه: "&amp;IF($E1592="","متفرقه",$E1592),IF($C1592="پاس چک","چک پرداختی",IF(OR($B1592="",COUNTIF(AcctCodesA,$B1592)=0),"متفرقه",$B1592))))))</f>
        <v/>
      </c>
      <c r="J1592">
        <f>IF($H1592="","",IF(ROUND($F1592,2)&gt;0,IF($D1592="شخصی قاسم","شخصی قاسم",IF($D1592="هزینه","هزینه: "&amp;IF($E1592="","متفرقه",$E1592),IF(OR($B1592="",COUNTIF(AcctCodesA,$B1592)=0),"متفرقه",$B1592))),$A1592))</f>
        <v/>
      </c>
      <c r="K1592">
        <f>IF($A1592="","",IF(AND($B1592&lt;&gt;"",COUNTIF(AcctCodesA,$B1592)=0),"کد طرف در INFO تعریف نشده",IF(AND($D1592="هزینه",$E1592=""),"هزینه بدون زیرگروه",IF(AND($C1592="پاس چک",OR(Sync!$AJ1592="",COUNTIF(IssueNosA,Sync!$AJ1592)=0)),"شماره چک پاس‌شده معتبر نیست",""))))</f>
        <v/>
      </c>
      <c r="V1592">
        <f>IF($K1592="","",IF(ISNUMBER(Sync!$AK1592),Sync!$AK1592,LEFT(Sync!$AK1592,4)&amp;MID(Sync!$AK1592,6,2)&amp;RIGHT(Sync!$AK1592,2))&amp;"|"&amp;"4"&amp;RIGHT("00000"&amp;1587,5))</f>
        <v/>
      </c>
      <c r="W1592">
        <f>IF($V1592="",0,COUNTIFS($V$6:$V$2005,"&lt;"&amp;$V1592)-COUNTIFS($V$6:$V$2005,"&lt;"&amp;$V1592,$K$6:$K$2005,"")+1)</f>
        <v/>
      </c>
    </row>
    <row r="1593">
      <c r="A1593">
        <f>IF(Sync!$Z1593="","",LEFT(UPPER(TRIM(Sync!$Z1593)),6))</f>
        <v/>
      </c>
      <c r="B1593">
        <f>IF($A1593="","",IF(Sync!$AA1593="","",Sync!$AA1593))</f>
        <v/>
      </c>
      <c r="C1593">
        <f>IF($A1593="","",IF(Sync!$AB1593="","",Sync!$AB1593))</f>
        <v/>
      </c>
      <c r="D1593">
        <f>IF($A1593="","",IF(Sync!$AC1593="","",Sync!$AC1593))</f>
        <v/>
      </c>
      <c r="E1593">
        <f>IF($A1593="","",IF(Sync!$AD1593="","",Sync!$AD1593))</f>
        <v/>
      </c>
      <c r="F1593">
        <f>IF($A1593="","",IF(Sync!$AE1593="",0,Sync!$AE1593))</f>
        <v/>
      </c>
      <c r="G1593">
        <f>IF($A1593="","",IF(Sync!$AF1593="",0,Sync!$AF1593))</f>
        <v/>
      </c>
      <c r="H1593">
        <f>IF(OR($A1593="",ROUND($F1593+$G1593,2)=0),"",$F1593+$G1593)</f>
        <v/>
      </c>
      <c r="I1593">
        <f>IF($H1593="","",IF(ROUND($F1593,2)&gt;0,$A1593,IF($D1593="شخصی قاسم","شخصی قاسم",IF($D1593="هزینه","هزینه: "&amp;IF($E1593="","متفرقه",$E1593),IF($C1593="پاس چک","چک پرداختی",IF(OR($B1593="",COUNTIF(AcctCodesA,$B1593)=0),"متفرقه",$B1593))))))</f>
        <v/>
      </c>
      <c r="J1593">
        <f>IF($H1593="","",IF(ROUND($F1593,2)&gt;0,IF($D1593="شخصی قاسم","شخصی قاسم",IF($D1593="هزینه","هزینه: "&amp;IF($E1593="","متفرقه",$E1593),IF(OR($B1593="",COUNTIF(AcctCodesA,$B1593)=0),"متفرقه",$B1593))),$A1593))</f>
        <v/>
      </c>
      <c r="K1593">
        <f>IF($A1593="","",IF(AND($B1593&lt;&gt;"",COUNTIF(AcctCodesA,$B1593)=0),"کد طرف در INFO تعریف نشده",IF(AND($D1593="هزینه",$E1593=""),"هزینه بدون زیرگروه",IF(AND($C1593="پاس چک",OR(Sync!$AJ1593="",COUNTIF(IssueNosA,Sync!$AJ1593)=0)),"شماره چک پاس‌شده معتبر نیست",""))))</f>
        <v/>
      </c>
      <c r="V1593">
        <f>IF($K1593="","",IF(ISNUMBER(Sync!$AK1593),Sync!$AK1593,LEFT(Sync!$AK1593,4)&amp;MID(Sync!$AK1593,6,2)&amp;RIGHT(Sync!$AK1593,2))&amp;"|"&amp;"4"&amp;RIGHT("00000"&amp;1588,5))</f>
        <v/>
      </c>
      <c r="W1593">
        <f>IF($V1593="",0,COUNTIFS($V$6:$V$2005,"&lt;"&amp;$V1593)-COUNTIFS($V$6:$V$2005,"&lt;"&amp;$V1593,$K$6:$K$2005,"")+1)</f>
        <v/>
      </c>
    </row>
    <row r="1594">
      <c r="A1594">
        <f>IF(Sync!$Z1594="","",LEFT(UPPER(TRIM(Sync!$Z1594)),6))</f>
        <v/>
      </c>
      <c r="B1594">
        <f>IF($A1594="","",IF(Sync!$AA1594="","",Sync!$AA1594))</f>
        <v/>
      </c>
      <c r="C1594">
        <f>IF($A1594="","",IF(Sync!$AB1594="","",Sync!$AB1594))</f>
        <v/>
      </c>
      <c r="D1594">
        <f>IF($A1594="","",IF(Sync!$AC1594="","",Sync!$AC1594))</f>
        <v/>
      </c>
      <c r="E1594">
        <f>IF($A1594="","",IF(Sync!$AD1594="","",Sync!$AD1594))</f>
        <v/>
      </c>
      <c r="F1594">
        <f>IF($A1594="","",IF(Sync!$AE1594="",0,Sync!$AE1594))</f>
        <v/>
      </c>
      <c r="G1594">
        <f>IF($A1594="","",IF(Sync!$AF1594="",0,Sync!$AF1594))</f>
        <v/>
      </c>
      <c r="H1594">
        <f>IF(OR($A1594="",ROUND($F1594+$G1594,2)=0),"",$F1594+$G1594)</f>
        <v/>
      </c>
      <c r="I1594">
        <f>IF($H1594="","",IF(ROUND($F1594,2)&gt;0,$A1594,IF($D1594="شخصی قاسم","شخصی قاسم",IF($D1594="هزینه","هزینه: "&amp;IF($E1594="","متفرقه",$E1594),IF($C1594="پاس چک","چک پرداختی",IF(OR($B1594="",COUNTIF(AcctCodesA,$B1594)=0),"متفرقه",$B1594))))))</f>
        <v/>
      </c>
      <c r="J1594">
        <f>IF($H1594="","",IF(ROUND($F1594,2)&gt;0,IF($D1594="شخصی قاسم","شخصی قاسم",IF($D1594="هزینه","هزینه: "&amp;IF($E1594="","متفرقه",$E1594),IF(OR($B1594="",COUNTIF(AcctCodesA,$B1594)=0),"متفرقه",$B1594))),$A1594))</f>
        <v/>
      </c>
      <c r="K1594">
        <f>IF($A1594="","",IF(AND($B1594&lt;&gt;"",COUNTIF(AcctCodesA,$B1594)=0),"کد طرف در INFO تعریف نشده",IF(AND($D1594="هزینه",$E1594=""),"هزینه بدون زیرگروه",IF(AND($C1594="پاس چک",OR(Sync!$AJ1594="",COUNTIF(IssueNosA,Sync!$AJ1594)=0)),"شماره چک پاس‌شده معتبر نیست",""))))</f>
        <v/>
      </c>
      <c r="V1594">
        <f>IF($K1594="","",IF(ISNUMBER(Sync!$AK1594),Sync!$AK1594,LEFT(Sync!$AK1594,4)&amp;MID(Sync!$AK1594,6,2)&amp;RIGHT(Sync!$AK1594,2))&amp;"|"&amp;"4"&amp;RIGHT("00000"&amp;1589,5))</f>
        <v/>
      </c>
      <c r="W1594">
        <f>IF($V1594="",0,COUNTIFS($V$6:$V$2005,"&lt;"&amp;$V1594)-COUNTIFS($V$6:$V$2005,"&lt;"&amp;$V1594,$K$6:$K$2005,"")+1)</f>
        <v/>
      </c>
    </row>
    <row r="1595">
      <c r="A1595">
        <f>IF(Sync!$Z1595="","",LEFT(UPPER(TRIM(Sync!$Z1595)),6))</f>
        <v/>
      </c>
      <c r="B1595">
        <f>IF($A1595="","",IF(Sync!$AA1595="","",Sync!$AA1595))</f>
        <v/>
      </c>
      <c r="C1595">
        <f>IF($A1595="","",IF(Sync!$AB1595="","",Sync!$AB1595))</f>
        <v/>
      </c>
      <c r="D1595">
        <f>IF($A1595="","",IF(Sync!$AC1595="","",Sync!$AC1595))</f>
        <v/>
      </c>
      <c r="E1595">
        <f>IF($A1595="","",IF(Sync!$AD1595="","",Sync!$AD1595))</f>
        <v/>
      </c>
      <c r="F1595">
        <f>IF($A1595="","",IF(Sync!$AE1595="",0,Sync!$AE1595))</f>
        <v/>
      </c>
      <c r="G1595">
        <f>IF($A1595="","",IF(Sync!$AF1595="",0,Sync!$AF1595))</f>
        <v/>
      </c>
      <c r="H1595">
        <f>IF(OR($A1595="",ROUND($F1595+$G1595,2)=0),"",$F1595+$G1595)</f>
        <v/>
      </c>
      <c r="I1595">
        <f>IF($H1595="","",IF(ROUND($F1595,2)&gt;0,$A1595,IF($D1595="شخصی قاسم","شخصی قاسم",IF($D1595="هزینه","هزینه: "&amp;IF($E1595="","متفرقه",$E1595),IF($C1595="پاس چک","چک پرداختی",IF(OR($B1595="",COUNTIF(AcctCodesA,$B1595)=0),"متفرقه",$B1595))))))</f>
        <v/>
      </c>
      <c r="J1595">
        <f>IF($H1595="","",IF(ROUND($F1595,2)&gt;0,IF($D1595="شخصی قاسم","شخصی قاسم",IF($D1595="هزینه","هزینه: "&amp;IF($E1595="","متفرقه",$E1595),IF(OR($B1595="",COUNTIF(AcctCodesA,$B1595)=0),"متفرقه",$B1595))),$A1595))</f>
        <v/>
      </c>
      <c r="K1595">
        <f>IF($A1595="","",IF(AND($B1595&lt;&gt;"",COUNTIF(AcctCodesA,$B1595)=0),"کد طرف در INFO تعریف نشده",IF(AND($D1595="هزینه",$E1595=""),"هزینه بدون زیرگروه",IF(AND($C1595="پاس چک",OR(Sync!$AJ1595="",COUNTIF(IssueNosA,Sync!$AJ1595)=0)),"شماره چک پاس‌شده معتبر نیست",""))))</f>
        <v/>
      </c>
      <c r="V1595">
        <f>IF($K1595="","",IF(ISNUMBER(Sync!$AK1595),Sync!$AK1595,LEFT(Sync!$AK1595,4)&amp;MID(Sync!$AK1595,6,2)&amp;RIGHT(Sync!$AK1595,2))&amp;"|"&amp;"4"&amp;RIGHT("00000"&amp;1590,5))</f>
        <v/>
      </c>
      <c r="W1595">
        <f>IF($V1595="",0,COUNTIFS($V$6:$V$2005,"&lt;"&amp;$V1595)-COUNTIFS($V$6:$V$2005,"&lt;"&amp;$V1595,$K$6:$K$2005,"")+1)</f>
        <v/>
      </c>
    </row>
    <row r="1596">
      <c r="A1596">
        <f>IF(Sync!$Z1596="","",LEFT(UPPER(TRIM(Sync!$Z1596)),6))</f>
        <v/>
      </c>
      <c r="B1596">
        <f>IF($A1596="","",IF(Sync!$AA1596="","",Sync!$AA1596))</f>
        <v/>
      </c>
      <c r="C1596">
        <f>IF($A1596="","",IF(Sync!$AB1596="","",Sync!$AB1596))</f>
        <v/>
      </c>
      <c r="D1596">
        <f>IF($A1596="","",IF(Sync!$AC1596="","",Sync!$AC1596))</f>
        <v/>
      </c>
      <c r="E1596">
        <f>IF($A1596="","",IF(Sync!$AD1596="","",Sync!$AD1596))</f>
        <v/>
      </c>
      <c r="F1596">
        <f>IF($A1596="","",IF(Sync!$AE1596="",0,Sync!$AE1596))</f>
        <v/>
      </c>
      <c r="G1596">
        <f>IF($A1596="","",IF(Sync!$AF1596="",0,Sync!$AF1596))</f>
        <v/>
      </c>
      <c r="H1596">
        <f>IF(OR($A1596="",ROUND($F1596+$G1596,2)=0),"",$F1596+$G1596)</f>
        <v/>
      </c>
      <c r="I1596">
        <f>IF($H1596="","",IF(ROUND($F1596,2)&gt;0,$A1596,IF($D1596="شخصی قاسم","شخصی قاسم",IF($D1596="هزینه","هزینه: "&amp;IF($E1596="","متفرقه",$E1596),IF($C1596="پاس چک","چک پرداختی",IF(OR($B1596="",COUNTIF(AcctCodesA,$B1596)=0),"متفرقه",$B1596))))))</f>
        <v/>
      </c>
      <c r="J1596">
        <f>IF($H1596="","",IF(ROUND($F1596,2)&gt;0,IF($D1596="شخصی قاسم","شخصی قاسم",IF($D1596="هزینه","هزینه: "&amp;IF($E1596="","متفرقه",$E1596),IF(OR($B1596="",COUNTIF(AcctCodesA,$B1596)=0),"متفرقه",$B1596))),$A1596))</f>
        <v/>
      </c>
      <c r="K1596">
        <f>IF($A1596="","",IF(AND($B1596&lt;&gt;"",COUNTIF(AcctCodesA,$B1596)=0),"کد طرف در INFO تعریف نشده",IF(AND($D1596="هزینه",$E1596=""),"هزینه بدون زیرگروه",IF(AND($C1596="پاس چک",OR(Sync!$AJ1596="",COUNTIF(IssueNosA,Sync!$AJ1596)=0)),"شماره چک پاس‌شده معتبر نیست",""))))</f>
        <v/>
      </c>
      <c r="V1596">
        <f>IF($K1596="","",IF(ISNUMBER(Sync!$AK1596),Sync!$AK1596,LEFT(Sync!$AK1596,4)&amp;MID(Sync!$AK1596,6,2)&amp;RIGHT(Sync!$AK1596,2))&amp;"|"&amp;"4"&amp;RIGHT("00000"&amp;1591,5))</f>
        <v/>
      </c>
      <c r="W1596">
        <f>IF($V1596="",0,COUNTIFS($V$6:$V$2005,"&lt;"&amp;$V1596)-COUNTIFS($V$6:$V$2005,"&lt;"&amp;$V1596,$K$6:$K$2005,"")+1)</f>
        <v/>
      </c>
    </row>
    <row r="1597">
      <c r="A1597">
        <f>IF(Sync!$Z1597="","",LEFT(UPPER(TRIM(Sync!$Z1597)),6))</f>
        <v/>
      </c>
      <c r="B1597">
        <f>IF($A1597="","",IF(Sync!$AA1597="","",Sync!$AA1597))</f>
        <v/>
      </c>
      <c r="C1597">
        <f>IF($A1597="","",IF(Sync!$AB1597="","",Sync!$AB1597))</f>
        <v/>
      </c>
      <c r="D1597">
        <f>IF($A1597="","",IF(Sync!$AC1597="","",Sync!$AC1597))</f>
        <v/>
      </c>
      <c r="E1597">
        <f>IF($A1597="","",IF(Sync!$AD1597="","",Sync!$AD1597))</f>
        <v/>
      </c>
      <c r="F1597">
        <f>IF($A1597="","",IF(Sync!$AE1597="",0,Sync!$AE1597))</f>
        <v/>
      </c>
      <c r="G1597">
        <f>IF($A1597="","",IF(Sync!$AF1597="",0,Sync!$AF1597))</f>
        <v/>
      </c>
      <c r="H1597">
        <f>IF(OR($A1597="",ROUND($F1597+$G1597,2)=0),"",$F1597+$G1597)</f>
        <v/>
      </c>
      <c r="I1597">
        <f>IF($H1597="","",IF(ROUND($F1597,2)&gt;0,$A1597,IF($D1597="شخصی قاسم","شخصی قاسم",IF($D1597="هزینه","هزینه: "&amp;IF($E1597="","متفرقه",$E1597),IF($C1597="پاس چک","چک پرداختی",IF(OR($B1597="",COUNTIF(AcctCodesA,$B1597)=0),"متفرقه",$B1597))))))</f>
        <v/>
      </c>
      <c r="J1597">
        <f>IF($H1597="","",IF(ROUND($F1597,2)&gt;0,IF($D1597="شخصی قاسم","شخصی قاسم",IF($D1597="هزینه","هزینه: "&amp;IF($E1597="","متفرقه",$E1597),IF(OR($B1597="",COUNTIF(AcctCodesA,$B1597)=0),"متفرقه",$B1597))),$A1597))</f>
        <v/>
      </c>
      <c r="K1597">
        <f>IF($A1597="","",IF(AND($B1597&lt;&gt;"",COUNTIF(AcctCodesA,$B1597)=0),"کد طرف در INFO تعریف نشده",IF(AND($D1597="هزینه",$E1597=""),"هزینه بدون زیرگروه",IF(AND($C1597="پاس چک",OR(Sync!$AJ1597="",COUNTIF(IssueNosA,Sync!$AJ1597)=0)),"شماره چک پاس‌شده معتبر نیست",""))))</f>
        <v/>
      </c>
      <c r="V1597">
        <f>IF($K1597="","",IF(ISNUMBER(Sync!$AK1597),Sync!$AK1597,LEFT(Sync!$AK1597,4)&amp;MID(Sync!$AK1597,6,2)&amp;RIGHT(Sync!$AK1597,2))&amp;"|"&amp;"4"&amp;RIGHT("00000"&amp;1592,5))</f>
        <v/>
      </c>
      <c r="W1597">
        <f>IF($V1597="",0,COUNTIFS($V$6:$V$2005,"&lt;"&amp;$V1597)-COUNTIFS($V$6:$V$2005,"&lt;"&amp;$V1597,$K$6:$K$2005,"")+1)</f>
        <v/>
      </c>
    </row>
    <row r="1598">
      <c r="A1598">
        <f>IF(Sync!$Z1598="","",LEFT(UPPER(TRIM(Sync!$Z1598)),6))</f>
        <v/>
      </c>
      <c r="B1598">
        <f>IF($A1598="","",IF(Sync!$AA1598="","",Sync!$AA1598))</f>
        <v/>
      </c>
      <c r="C1598">
        <f>IF($A1598="","",IF(Sync!$AB1598="","",Sync!$AB1598))</f>
        <v/>
      </c>
      <c r="D1598">
        <f>IF($A1598="","",IF(Sync!$AC1598="","",Sync!$AC1598))</f>
        <v/>
      </c>
      <c r="E1598">
        <f>IF($A1598="","",IF(Sync!$AD1598="","",Sync!$AD1598))</f>
        <v/>
      </c>
      <c r="F1598">
        <f>IF($A1598="","",IF(Sync!$AE1598="",0,Sync!$AE1598))</f>
        <v/>
      </c>
      <c r="G1598">
        <f>IF($A1598="","",IF(Sync!$AF1598="",0,Sync!$AF1598))</f>
        <v/>
      </c>
      <c r="H1598">
        <f>IF(OR($A1598="",ROUND($F1598+$G1598,2)=0),"",$F1598+$G1598)</f>
        <v/>
      </c>
      <c r="I1598">
        <f>IF($H1598="","",IF(ROUND($F1598,2)&gt;0,$A1598,IF($D1598="شخصی قاسم","شخصی قاسم",IF($D1598="هزینه","هزینه: "&amp;IF($E1598="","متفرقه",$E1598),IF($C1598="پاس چک","چک پرداختی",IF(OR($B1598="",COUNTIF(AcctCodesA,$B1598)=0),"متفرقه",$B1598))))))</f>
        <v/>
      </c>
      <c r="J1598">
        <f>IF($H1598="","",IF(ROUND($F1598,2)&gt;0,IF($D1598="شخصی قاسم","شخصی قاسم",IF($D1598="هزینه","هزینه: "&amp;IF($E1598="","متفرقه",$E1598),IF(OR($B1598="",COUNTIF(AcctCodesA,$B1598)=0),"متفرقه",$B1598))),$A1598))</f>
        <v/>
      </c>
      <c r="K1598">
        <f>IF($A1598="","",IF(AND($B1598&lt;&gt;"",COUNTIF(AcctCodesA,$B1598)=0),"کد طرف در INFO تعریف نشده",IF(AND($D1598="هزینه",$E1598=""),"هزینه بدون زیرگروه",IF(AND($C1598="پاس چک",OR(Sync!$AJ1598="",COUNTIF(IssueNosA,Sync!$AJ1598)=0)),"شماره چک پاس‌شده معتبر نیست",""))))</f>
        <v/>
      </c>
      <c r="V1598">
        <f>IF($K1598="","",IF(ISNUMBER(Sync!$AK1598),Sync!$AK1598,LEFT(Sync!$AK1598,4)&amp;MID(Sync!$AK1598,6,2)&amp;RIGHT(Sync!$AK1598,2))&amp;"|"&amp;"4"&amp;RIGHT("00000"&amp;1593,5))</f>
        <v/>
      </c>
      <c r="W1598">
        <f>IF($V1598="",0,COUNTIFS($V$6:$V$2005,"&lt;"&amp;$V1598)-COUNTIFS($V$6:$V$2005,"&lt;"&amp;$V1598,$K$6:$K$2005,"")+1)</f>
        <v/>
      </c>
    </row>
    <row r="1599">
      <c r="A1599">
        <f>IF(Sync!$Z1599="","",LEFT(UPPER(TRIM(Sync!$Z1599)),6))</f>
        <v/>
      </c>
      <c r="B1599">
        <f>IF($A1599="","",IF(Sync!$AA1599="","",Sync!$AA1599))</f>
        <v/>
      </c>
      <c r="C1599">
        <f>IF($A1599="","",IF(Sync!$AB1599="","",Sync!$AB1599))</f>
        <v/>
      </c>
      <c r="D1599">
        <f>IF($A1599="","",IF(Sync!$AC1599="","",Sync!$AC1599))</f>
        <v/>
      </c>
      <c r="E1599">
        <f>IF($A1599="","",IF(Sync!$AD1599="","",Sync!$AD1599))</f>
        <v/>
      </c>
      <c r="F1599">
        <f>IF($A1599="","",IF(Sync!$AE1599="",0,Sync!$AE1599))</f>
        <v/>
      </c>
      <c r="G1599">
        <f>IF($A1599="","",IF(Sync!$AF1599="",0,Sync!$AF1599))</f>
        <v/>
      </c>
      <c r="H1599">
        <f>IF(OR($A1599="",ROUND($F1599+$G1599,2)=0),"",$F1599+$G1599)</f>
        <v/>
      </c>
      <c r="I1599">
        <f>IF($H1599="","",IF(ROUND($F1599,2)&gt;0,$A1599,IF($D1599="شخصی قاسم","شخصی قاسم",IF($D1599="هزینه","هزینه: "&amp;IF($E1599="","متفرقه",$E1599),IF($C1599="پاس چک","چک پرداختی",IF(OR($B1599="",COUNTIF(AcctCodesA,$B1599)=0),"متفرقه",$B1599))))))</f>
        <v/>
      </c>
      <c r="J1599">
        <f>IF($H1599="","",IF(ROUND($F1599,2)&gt;0,IF($D1599="شخصی قاسم","شخصی قاسم",IF($D1599="هزینه","هزینه: "&amp;IF($E1599="","متفرقه",$E1599),IF(OR($B1599="",COUNTIF(AcctCodesA,$B1599)=0),"متفرقه",$B1599))),$A1599))</f>
        <v/>
      </c>
      <c r="K1599">
        <f>IF($A1599="","",IF(AND($B1599&lt;&gt;"",COUNTIF(AcctCodesA,$B1599)=0),"کد طرف در INFO تعریف نشده",IF(AND($D1599="هزینه",$E1599=""),"هزینه بدون زیرگروه",IF(AND($C1599="پاس چک",OR(Sync!$AJ1599="",COUNTIF(IssueNosA,Sync!$AJ1599)=0)),"شماره چک پاس‌شده معتبر نیست",""))))</f>
        <v/>
      </c>
      <c r="V1599">
        <f>IF($K1599="","",IF(ISNUMBER(Sync!$AK1599),Sync!$AK1599,LEFT(Sync!$AK1599,4)&amp;MID(Sync!$AK1599,6,2)&amp;RIGHT(Sync!$AK1599,2))&amp;"|"&amp;"4"&amp;RIGHT("00000"&amp;1594,5))</f>
        <v/>
      </c>
      <c r="W1599">
        <f>IF($V1599="",0,COUNTIFS($V$6:$V$2005,"&lt;"&amp;$V1599)-COUNTIFS($V$6:$V$2005,"&lt;"&amp;$V1599,$K$6:$K$2005,"")+1)</f>
        <v/>
      </c>
    </row>
    <row r="1600">
      <c r="A1600">
        <f>IF(Sync!$Z1600="","",LEFT(UPPER(TRIM(Sync!$Z1600)),6))</f>
        <v/>
      </c>
      <c r="B1600">
        <f>IF($A1600="","",IF(Sync!$AA1600="","",Sync!$AA1600))</f>
        <v/>
      </c>
      <c r="C1600">
        <f>IF($A1600="","",IF(Sync!$AB1600="","",Sync!$AB1600))</f>
        <v/>
      </c>
      <c r="D1600">
        <f>IF($A1600="","",IF(Sync!$AC1600="","",Sync!$AC1600))</f>
        <v/>
      </c>
      <c r="E1600">
        <f>IF($A1600="","",IF(Sync!$AD1600="","",Sync!$AD1600))</f>
        <v/>
      </c>
      <c r="F1600">
        <f>IF($A1600="","",IF(Sync!$AE1600="",0,Sync!$AE1600))</f>
        <v/>
      </c>
      <c r="G1600">
        <f>IF($A1600="","",IF(Sync!$AF1600="",0,Sync!$AF1600))</f>
        <v/>
      </c>
      <c r="H1600">
        <f>IF(OR($A1600="",ROUND($F1600+$G1600,2)=0),"",$F1600+$G1600)</f>
        <v/>
      </c>
      <c r="I1600">
        <f>IF($H1600="","",IF(ROUND($F1600,2)&gt;0,$A1600,IF($D1600="شخصی قاسم","شخصی قاسم",IF($D1600="هزینه","هزینه: "&amp;IF($E1600="","متفرقه",$E1600),IF($C1600="پاس چک","چک پرداختی",IF(OR($B1600="",COUNTIF(AcctCodesA,$B1600)=0),"متفرقه",$B1600))))))</f>
        <v/>
      </c>
      <c r="J1600">
        <f>IF($H1600="","",IF(ROUND($F1600,2)&gt;0,IF($D1600="شخصی قاسم","شخصی قاسم",IF($D1600="هزینه","هزینه: "&amp;IF($E1600="","متفرقه",$E1600),IF(OR($B1600="",COUNTIF(AcctCodesA,$B1600)=0),"متفرقه",$B1600))),$A1600))</f>
        <v/>
      </c>
      <c r="K1600">
        <f>IF($A1600="","",IF(AND($B1600&lt;&gt;"",COUNTIF(AcctCodesA,$B1600)=0),"کد طرف در INFO تعریف نشده",IF(AND($D1600="هزینه",$E1600=""),"هزینه بدون زیرگروه",IF(AND($C1600="پاس چک",OR(Sync!$AJ1600="",COUNTIF(IssueNosA,Sync!$AJ1600)=0)),"شماره چک پاس‌شده معتبر نیست",""))))</f>
        <v/>
      </c>
      <c r="V1600">
        <f>IF($K1600="","",IF(ISNUMBER(Sync!$AK1600),Sync!$AK1600,LEFT(Sync!$AK1600,4)&amp;MID(Sync!$AK1600,6,2)&amp;RIGHT(Sync!$AK1600,2))&amp;"|"&amp;"4"&amp;RIGHT("00000"&amp;1595,5))</f>
        <v/>
      </c>
      <c r="W1600">
        <f>IF($V1600="",0,COUNTIFS($V$6:$V$2005,"&lt;"&amp;$V1600)-COUNTIFS($V$6:$V$2005,"&lt;"&amp;$V1600,$K$6:$K$2005,"")+1)</f>
        <v/>
      </c>
    </row>
    <row r="1601">
      <c r="A1601">
        <f>IF(Sync!$Z1601="","",LEFT(UPPER(TRIM(Sync!$Z1601)),6))</f>
        <v/>
      </c>
      <c r="B1601">
        <f>IF($A1601="","",IF(Sync!$AA1601="","",Sync!$AA1601))</f>
        <v/>
      </c>
      <c r="C1601">
        <f>IF($A1601="","",IF(Sync!$AB1601="","",Sync!$AB1601))</f>
        <v/>
      </c>
      <c r="D1601">
        <f>IF($A1601="","",IF(Sync!$AC1601="","",Sync!$AC1601))</f>
        <v/>
      </c>
      <c r="E1601">
        <f>IF($A1601="","",IF(Sync!$AD1601="","",Sync!$AD1601))</f>
        <v/>
      </c>
      <c r="F1601">
        <f>IF($A1601="","",IF(Sync!$AE1601="",0,Sync!$AE1601))</f>
        <v/>
      </c>
      <c r="G1601">
        <f>IF($A1601="","",IF(Sync!$AF1601="",0,Sync!$AF1601))</f>
        <v/>
      </c>
      <c r="H1601">
        <f>IF(OR($A1601="",ROUND($F1601+$G1601,2)=0),"",$F1601+$G1601)</f>
        <v/>
      </c>
      <c r="I1601">
        <f>IF($H1601="","",IF(ROUND($F1601,2)&gt;0,$A1601,IF($D1601="شخصی قاسم","شخصی قاسم",IF($D1601="هزینه","هزینه: "&amp;IF($E1601="","متفرقه",$E1601),IF($C1601="پاس چک","چک پرداختی",IF(OR($B1601="",COUNTIF(AcctCodesA,$B1601)=0),"متفرقه",$B1601))))))</f>
        <v/>
      </c>
      <c r="J1601">
        <f>IF($H1601="","",IF(ROUND($F1601,2)&gt;0,IF($D1601="شخصی قاسم","شخصی قاسم",IF($D1601="هزینه","هزینه: "&amp;IF($E1601="","متفرقه",$E1601),IF(OR($B1601="",COUNTIF(AcctCodesA,$B1601)=0),"متفرقه",$B1601))),$A1601))</f>
        <v/>
      </c>
      <c r="K1601">
        <f>IF($A1601="","",IF(AND($B1601&lt;&gt;"",COUNTIF(AcctCodesA,$B1601)=0),"کد طرف در INFO تعریف نشده",IF(AND($D1601="هزینه",$E1601=""),"هزینه بدون زیرگروه",IF(AND($C1601="پاس چک",OR(Sync!$AJ1601="",COUNTIF(IssueNosA,Sync!$AJ1601)=0)),"شماره چک پاس‌شده معتبر نیست",""))))</f>
        <v/>
      </c>
      <c r="V1601">
        <f>IF($K1601="","",IF(ISNUMBER(Sync!$AK1601),Sync!$AK1601,LEFT(Sync!$AK1601,4)&amp;MID(Sync!$AK1601,6,2)&amp;RIGHT(Sync!$AK1601,2))&amp;"|"&amp;"4"&amp;RIGHT("00000"&amp;1596,5))</f>
        <v/>
      </c>
      <c r="W1601">
        <f>IF($V1601="",0,COUNTIFS($V$6:$V$2005,"&lt;"&amp;$V1601)-COUNTIFS($V$6:$V$2005,"&lt;"&amp;$V1601,$K$6:$K$2005,"")+1)</f>
        <v/>
      </c>
    </row>
    <row r="1602">
      <c r="A1602">
        <f>IF(Sync!$Z1602="","",LEFT(UPPER(TRIM(Sync!$Z1602)),6))</f>
        <v/>
      </c>
      <c r="B1602">
        <f>IF($A1602="","",IF(Sync!$AA1602="","",Sync!$AA1602))</f>
        <v/>
      </c>
      <c r="C1602">
        <f>IF($A1602="","",IF(Sync!$AB1602="","",Sync!$AB1602))</f>
        <v/>
      </c>
      <c r="D1602">
        <f>IF($A1602="","",IF(Sync!$AC1602="","",Sync!$AC1602))</f>
        <v/>
      </c>
      <c r="E1602">
        <f>IF($A1602="","",IF(Sync!$AD1602="","",Sync!$AD1602))</f>
        <v/>
      </c>
      <c r="F1602">
        <f>IF($A1602="","",IF(Sync!$AE1602="",0,Sync!$AE1602))</f>
        <v/>
      </c>
      <c r="G1602">
        <f>IF($A1602="","",IF(Sync!$AF1602="",0,Sync!$AF1602))</f>
        <v/>
      </c>
      <c r="H1602">
        <f>IF(OR($A1602="",ROUND($F1602+$G1602,2)=0),"",$F1602+$G1602)</f>
        <v/>
      </c>
      <c r="I1602">
        <f>IF($H1602="","",IF(ROUND($F1602,2)&gt;0,$A1602,IF($D1602="شخصی قاسم","شخصی قاسم",IF($D1602="هزینه","هزینه: "&amp;IF($E1602="","متفرقه",$E1602),IF($C1602="پاس چک","چک پرداختی",IF(OR($B1602="",COUNTIF(AcctCodesA,$B1602)=0),"متفرقه",$B1602))))))</f>
        <v/>
      </c>
      <c r="J1602">
        <f>IF($H1602="","",IF(ROUND($F1602,2)&gt;0,IF($D1602="شخصی قاسم","شخصی قاسم",IF($D1602="هزینه","هزینه: "&amp;IF($E1602="","متفرقه",$E1602),IF(OR($B1602="",COUNTIF(AcctCodesA,$B1602)=0),"متفرقه",$B1602))),$A1602))</f>
        <v/>
      </c>
      <c r="K1602">
        <f>IF($A1602="","",IF(AND($B1602&lt;&gt;"",COUNTIF(AcctCodesA,$B1602)=0),"کد طرف در INFO تعریف نشده",IF(AND($D1602="هزینه",$E1602=""),"هزینه بدون زیرگروه",IF(AND($C1602="پاس چک",OR(Sync!$AJ1602="",COUNTIF(IssueNosA,Sync!$AJ1602)=0)),"شماره چک پاس‌شده معتبر نیست",""))))</f>
        <v/>
      </c>
      <c r="V1602">
        <f>IF($K1602="","",IF(ISNUMBER(Sync!$AK1602),Sync!$AK1602,LEFT(Sync!$AK1602,4)&amp;MID(Sync!$AK1602,6,2)&amp;RIGHT(Sync!$AK1602,2))&amp;"|"&amp;"4"&amp;RIGHT("00000"&amp;1597,5))</f>
        <v/>
      </c>
      <c r="W1602">
        <f>IF($V1602="",0,COUNTIFS($V$6:$V$2005,"&lt;"&amp;$V1602)-COUNTIFS($V$6:$V$2005,"&lt;"&amp;$V1602,$K$6:$K$2005,"")+1)</f>
        <v/>
      </c>
    </row>
    <row r="1603">
      <c r="A1603">
        <f>IF(Sync!$Z1603="","",LEFT(UPPER(TRIM(Sync!$Z1603)),6))</f>
        <v/>
      </c>
      <c r="B1603">
        <f>IF($A1603="","",IF(Sync!$AA1603="","",Sync!$AA1603))</f>
        <v/>
      </c>
      <c r="C1603">
        <f>IF($A1603="","",IF(Sync!$AB1603="","",Sync!$AB1603))</f>
        <v/>
      </c>
      <c r="D1603">
        <f>IF($A1603="","",IF(Sync!$AC1603="","",Sync!$AC1603))</f>
        <v/>
      </c>
      <c r="E1603">
        <f>IF($A1603="","",IF(Sync!$AD1603="","",Sync!$AD1603))</f>
        <v/>
      </c>
      <c r="F1603">
        <f>IF($A1603="","",IF(Sync!$AE1603="",0,Sync!$AE1603))</f>
        <v/>
      </c>
      <c r="G1603">
        <f>IF($A1603="","",IF(Sync!$AF1603="",0,Sync!$AF1603))</f>
        <v/>
      </c>
      <c r="H1603">
        <f>IF(OR($A1603="",ROUND($F1603+$G1603,2)=0),"",$F1603+$G1603)</f>
        <v/>
      </c>
      <c r="I1603">
        <f>IF($H1603="","",IF(ROUND($F1603,2)&gt;0,$A1603,IF($D1603="شخصی قاسم","شخصی قاسم",IF($D1603="هزینه","هزینه: "&amp;IF($E1603="","متفرقه",$E1603),IF($C1603="پاس چک","چک پرداختی",IF(OR($B1603="",COUNTIF(AcctCodesA,$B1603)=0),"متفرقه",$B1603))))))</f>
        <v/>
      </c>
      <c r="J1603">
        <f>IF($H1603="","",IF(ROUND($F1603,2)&gt;0,IF($D1603="شخصی قاسم","شخصی قاسم",IF($D1603="هزینه","هزینه: "&amp;IF($E1603="","متفرقه",$E1603),IF(OR($B1603="",COUNTIF(AcctCodesA,$B1603)=0),"متفرقه",$B1603))),$A1603))</f>
        <v/>
      </c>
      <c r="K1603">
        <f>IF($A1603="","",IF(AND($B1603&lt;&gt;"",COUNTIF(AcctCodesA,$B1603)=0),"کد طرف در INFO تعریف نشده",IF(AND($D1603="هزینه",$E1603=""),"هزینه بدون زیرگروه",IF(AND($C1603="پاس چک",OR(Sync!$AJ1603="",COUNTIF(IssueNosA,Sync!$AJ1603)=0)),"شماره چک پاس‌شده معتبر نیست",""))))</f>
        <v/>
      </c>
      <c r="V1603">
        <f>IF($K1603="","",IF(ISNUMBER(Sync!$AK1603),Sync!$AK1603,LEFT(Sync!$AK1603,4)&amp;MID(Sync!$AK1603,6,2)&amp;RIGHT(Sync!$AK1603,2))&amp;"|"&amp;"4"&amp;RIGHT("00000"&amp;1598,5))</f>
        <v/>
      </c>
      <c r="W1603">
        <f>IF($V1603="",0,COUNTIFS($V$6:$V$2005,"&lt;"&amp;$V1603)-COUNTIFS($V$6:$V$2005,"&lt;"&amp;$V1603,$K$6:$K$2005,"")+1)</f>
        <v/>
      </c>
    </row>
    <row r="1604">
      <c r="A1604">
        <f>IF(Sync!$Z1604="","",LEFT(UPPER(TRIM(Sync!$Z1604)),6))</f>
        <v/>
      </c>
      <c r="B1604">
        <f>IF($A1604="","",IF(Sync!$AA1604="","",Sync!$AA1604))</f>
        <v/>
      </c>
      <c r="C1604">
        <f>IF($A1604="","",IF(Sync!$AB1604="","",Sync!$AB1604))</f>
        <v/>
      </c>
      <c r="D1604">
        <f>IF($A1604="","",IF(Sync!$AC1604="","",Sync!$AC1604))</f>
        <v/>
      </c>
      <c r="E1604">
        <f>IF($A1604="","",IF(Sync!$AD1604="","",Sync!$AD1604))</f>
        <v/>
      </c>
      <c r="F1604">
        <f>IF($A1604="","",IF(Sync!$AE1604="",0,Sync!$AE1604))</f>
        <v/>
      </c>
      <c r="G1604">
        <f>IF($A1604="","",IF(Sync!$AF1604="",0,Sync!$AF1604))</f>
        <v/>
      </c>
      <c r="H1604">
        <f>IF(OR($A1604="",ROUND($F1604+$G1604,2)=0),"",$F1604+$G1604)</f>
        <v/>
      </c>
      <c r="I1604">
        <f>IF($H1604="","",IF(ROUND($F1604,2)&gt;0,$A1604,IF($D1604="شخصی قاسم","شخصی قاسم",IF($D1604="هزینه","هزینه: "&amp;IF($E1604="","متفرقه",$E1604),IF($C1604="پاس چک","چک پرداختی",IF(OR($B1604="",COUNTIF(AcctCodesA,$B1604)=0),"متفرقه",$B1604))))))</f>
        <v/>
      </c>
      <c r="J1604">
        <f>IF($H1604="","",IF(ROUND($F1604,2)&gt;0,IF($D1604="شخصی قاسم","شخصی قاسم",IF($D1604="هزینه","هزینه: "&amp;IF($E1604="","متفرقه",$E1604),IF(OR($B1604="",COUNTIF(AcctCodesA,$B1604)=0),"متفرقه",$B1604))),$A1604))</f>
        <v/>
      </c>
      <c r="K1604">
        <f>IF($A1604="","",IF(AND($B1604&lt;&gt;"",COUNTIF(AcctCodesA,$B1604)=0),"کد طرف در INFO تعریف نشده",IF(AND($D1604="هزینه",$E1604=""),"هزینه بدون زیرگروه",IF(AND($C1604="پاس چک",OR(Sync!$AJ1604="",COUNTIF(IssueNosA,Sync!$AJ1604)=0)),"شماره چک پاس‌شده معتبر نیست",""))))</f>
        <v/>
      </c>
      <c r="V1604">
        <f>IF($K1604="","",IF(ISNUMBER(Sync!$AK1604),Sync!$AK1604,LEFT(Sync!$AK1604,4)&amp;MID(Sync!$AK1604,6,2)&amp;RIGHT(Sync!$AK1604,2))&amp;"|"&amp;"4"&amp;RIGHT("00000"&amp;1599,5))</f>
        <v/>
      </c>
      <c r="W1604">
        <f>IF($V1604="",0,COUNTIFS($V$6:$V$2005,"&lt;"&amp;$V1604)-COUNTIFS($V$6:$V$2005,"&lt;"&amp;$V1604,$K$6:$K$2005,"")+1)</f>
        <v/>
      </c>
    </row>
    <row r="1605">
      <c r="A1605">
        <f>IF(Sync!$Z1605="","",LEFT(UPPER(TRIM(Sync!$Z1605)),6))</f>
        <v/>
      </c>
      <c r="B1605">
        <f>IF($A1605="","",IF(Sync!$AA1605="","",Sync!$AA1605))</f>
        <v/>
      </c>
      <c r="C1605">
        <f>IF($A1605="","",IF(Sync!$AB1605="","",Sync!$AB1605))</f>
        <v/>
      </c>
      <c r="D1605">
        <f>IF($A1605="","",IF(Sync!$AC1605="","",Sync!$AC1605))</f>
        <v/>
      </c>
      <c r="E1605">
        <f>IF($A1605="","",IF(Sync!$AD1605="","",Sync!$AD1605))</f>
        <v/>
      </c>
      <c r="F1605">
        <f>IF($A1605="","",IF(Sync!$AE1605="",0,Sync!$AE1605))</f>
        <v/>
      </c>
      <c r="G1605">
        <f>IF($A1605="","",IF(Sync!$AF1605="",0,Sync!$AF1605))</f>
        <v/>
      </c>
      <c r="H1605">
        <f>IF(OR($A1605="",ROUND($F1605+$G1605,2)=0),"",$F1605+$G1605)</f>
        <v/>
      </c>
      <c r="I1605">
        <f>IF($H1605="","",IF(ROUND($F1605,2)&gt;0,$A1605,IF($D1605="شخصی قاسم","شخصی قاسم",IF($D1605="هزینه","هزینه: "&amp;IF($E1605="","متفرقه",$E1605),IF($C1605="پاس چک","چک پرداختی",IF(OR($B1605="",COUNTIF(AcctCodesA,$B1605)=0),"متفرقه",$B1605))))))</f>
        <v/>
      </c>
      <c r="J1605">
        <f>IF($H1605="","",IF(ROUND($F1605,2)&gt;0,IF($D1605="شخصی قاسم","شخصی قاسم",IF($D1605="هزینه","هزینه: "&amp;IF($E1605="","متفرقه",$E1605),IF(OR($B1605="",COUNTIF(AcctCodesA,$B1605)=0),"متفرقه",$B1605))),$A1605))</f>
        <v/>
      </c>
      <c r="K1605">
        <f>IF($A1605="","",IF(AND($B1605&lt;&gt;"",COUNTIF(AcctCodesA,$B1605)=0),"کد طرف در INFO تعریف نشده",IF(AND($D1605="هزینه",$E1605=""),"هزینه بدون زیرگروه",IF(AND($C1605="پاس چک",OR(Sync!$AJ1605="",COUNTIF(IssueNosA,Sync!$AJ1605)=0)),"شماره چک پاس‌شده معتبر نیست",""))))</f>
        <v/>
      </c>
      <c r="V1605">
        <f>IF($K1605="","",IF(ISNUMBER(Sync!$AK1605),Sync!$AK1605,LEFT(Sync!$AK1605,4)&amp;MID(Sync!$AK1605,6,2)&amp;RIGHT(Sync!$AK1605,2))&amp;"|"&amp;"4"&amp;RIGHT("00000"&amp;1600,5))</f>
        <v/>
      </c>
      <c r="W1605">
        <f>IF($V1605="",0,COUNTIFS($V$6:$V$2005,"&lt;"&amp;$V1605)-COUNTIFS($V$6:$V$2005,"&lt;"&amp;$V1605,$K$6:$K$2005,"")+1)</f>
        <v/>
      </c>
    </row>
    <row r="1606">
      <c r="A1606">
        <f>IF(Sync!$Z1606="","",LEFT(UPPER(TRIM(Sync!$Z1606)),6))</f>
        <v/>
      </c>
      <c r="B1606">
        <f>IF($A1606="","",IF(Sync!$AA1606="","",Sync!$AA1606))</f>
        <v/>
      </c>
      <c r="C1606">
        <f>IF($A1606="","",IF(Sync!$AB1606="","",Sync!$AB1606))</f>
        <v/>
      </c>
      <c r="D1606">
        <f>IF($A1606="","",IF(Sync!$AC1606="","",Sync!$AC1606))</f>
        <v/>
      </c>
      <c r="E1606">
        <f>IF($A1606="","",IF(Sync!$AD1606="","",Sync!$AD1606))</f>
        <v/>
      </c>
      <c r="F1606">
        <f>IF($A1606="","",IF(Sync!$AE1606="",0,Sync!$AE1606))</f>
        <v/>
      </c>
      <c r="G1606">
        <f>IF($A1606="","",IF(Sync!$AF1606="",0,Sync!$AF1606))</f>
        <v/>
      </c>
      <c r="H1606">
        <f>IF(OR($A1606="",ROUND($F1606+$G1606,2)=0),"",$F1606+$G1606)</f>
        <v/>
      </c>
      <c r="I1606">
        <f>IF($H1606="","",IF(ROUND($F1606,2)&gt;0,$A1606,IF($D1606="شخصی قاسم","شخصی قاسم",IF($D1606="هزینه","هزینه: "&amp;IF($E1606="","متفرقه",$E1606),IF($C1606="پاس چک","چک پرداختی",IF(OR($B1606="",COUNTIF(AcctCodesA,$B1606)=0),"متفرقه",$B1606))))))</f>
        <v/>
      </c>
      <c r="J1606">
        <f>IF($H1606="","",IF(ROUND($F1606,2)&gt;0,IF($D1606="شخصی قاسم","شخصی قاسم",IF($D1606="هزینه","هزینه: "&amp;IF($E1606="","متفرقه",$E1606),IF(OR($B1606="",COUNTIF(AcctCodesA,$B1606)=0),"متفرقه",$B1606))),$A1606))</f>
        <v/>
      </c>
      <c r="K1606">
        <f>IF($A1606="","",IF(AND($B1606&lt;&gt;"",COUNTIF(AcctCodesA,$B1606)=0),"کد طرف در INFO تعریف نشده",IF(AND($D1606="هزینه",$E1606=""),"هزینه بدون زیرگروه",IF(AND($C1606="پاس چک",OR(Sync!$AJ1606="",COUNTIF(IssueNosA,Sync!$AJ1606)=0)),"شماره چک پاس‌شده معتبر نیست",""))))</f>
        <v/>
      </c>
      <c r="V1606">
        <f>IF($K1606="","",IF(ISNUMBER(Sync!$AK1606),Sync!$AK1606,LEFT(Sync!$AK1606,4)&amp;MID(Sync!$AK1606,6,2)&amp;RIGHT(Sync!$AK1606,2))&amp;"|"&amp;"4"&amp;RIGHT("00000"&amp;1601,5))</f>
        <v/>
      </c>
      <c r="W1606">
        <f>IF($V1606="",0,COUNTIFS($V$6:$V$2005,"&lt;"&amp;$V1606)-COUNTIFS($V$6:$V$2005,"&lt;"&amp;$V1606,$K$6:$K$2005,"")+1)</f>
        <v/>
      </c>
    </row>
    <row r="1607">
      <c r="A1607">
        <f>IF(Sync!$Z1607="","",LEFT(UPPER(TRIM(Sync!$Z1607)),6))</f>
        <v/>
      </c>
      <c r="B1607">
        <f>IF($A1607="","",IF(Sync!$AA1607="","",Sync!$AA1607))</f>
        <v/>
      </c>
      <c r="C1607">
        <f>IF($A1607="","",IF(Sync!$AB1607="","",Sync!$AB1607))</f>
        <v/>
      </c>
      <c r="D1607">
        <f>IF($A1607="","",IF(Sync!$AC1607="","",Sync!$AC1607))</f>
        <v/>
      </c>
      <c r="E1607">
        <f>IF($A1607="","",IF(Sync!$AD1607="","",Sync!$AD1607))</f>
        <v/>
      </c>
      <c r="F1607">
        <f>IF($A1607="","",IF(Sync!$AE1607="",0,Sync!$AE1607))</f>
        <v/>
      </c>
      <c r="G1607">
        <f>IF($A1607="","",IF(Sync!$AF1607="",0,Sync!$AF1607))</f>
        <v/>
      </c>
      <c r="H1607">
        <f>IF(OR($A1607="",ROUND($F1607+$G1607,2)=0),"",$F1607+$G1607)</f>
        <v/>
      </c>
      <c r="I1607">
        <f>IF($H1607="","",IF(ROUND($F1607,2)&gt;0,$A1607,IF($D1607="شخصی قاسم","شخصی قاسم",IF($D1607="هزینه","هزینه: "&amp;IF($E1607="","متفرقه",$E1607),IF($C1607="پاس چک","چک پرداختی",IF(OR($B1607="",COUNTIF(AcctCodesA,$B1607)=0),"متفرقه",$B1607))))))</f>
        <v/>
      </c>
      <c r="J1607">
        <f>IF($H1607="","",IF(ROUND($F1607,2)&gt;0,IF($D1607="شخصی قاسم","شخصی قاسم",IF($D1607="هزینه","هزینه: "&amp;IF($E1607="","متفرقه",$E1607),IF(OR($B1607="",COUNTIF(AcctCodesA,$B1607)=0),"متفرقه",$B1607))),$A1607))</f>
        <v/>
      </c>
      <c r="K1607">
        <f>IF($A1607="","",IF(AND($B1607&lt;&gt;"",COUNTIF(AcctCodesA,$B1607)=0),"کد طرف در INFO تعریف نشده",IF(AND($D1607="هزینه",$E1607=""),"هزینه بدون زیرگروه",IF(AND($C1607="پاس چک",OR(Sync!$AJ1607="",COUNTIF(IssueNosA,Sync!$AJ1607)=0)),"شماره چک پاس‌شده معتبر نیست",""))))</f>
        <v/>
      </c>
      <c r="V1607">
        <f>IF($K1607="","",IF(ISNUMBER(Sync!$AK1607),Sync!$AK1607,LEFT(Sync!$AK1607,4)&amp;MID(Sync!$AK1607,6,2)&amp;RIGHT(Sync!$AK1607,2))&amp;"|"&amp;"4"&amp;RIGHT("00000"&amp;1602,5))</f>
        <v/>
      </c>
      <c r="W1607">
        <f>IF($V1607="",0,COUNTIFS($V$6:$V$2005,"&lt;"&amp;$V1607)-COUNTIFS($V$6:$V$2005,"&lt;"&amp;$V1607,$K$6:$K$2005,"")+1)</f>
        <v/>
      </c>
    </row>
    <row r="1608">
      <c r="A1608">
        <f>IF(Sync!$Z1608="","",LEFT(UPPER(TRIM(Sync!$Z1608)),6))</f>
        <v/>
      </c>
      <c r="B1608">
        <f>IF($A1608="","",IF(Sync!$AA1608="","",Sync!$AA1608))</f>
        <v/>
      </c>
      <c r="C1608">
        <f>IF($A1608="","",IF(Sync!$AB1608="","",Sync!$AB1608))</f>
        <v/>
      </c>
      <c r="D1608">
        <f>IF($A1608="","",IF(Sync!$AC1608="","",Sync!$AC1608))</f>
        <v/>
      </c>
      <c r="E1608">
        <f>IF($A1608="","",IF(Sync!$AD1608="","",Sync!$AD1608))</f>
        <v/>
      </c>
      <c r="F1608">
        <f>IF($A1608="","",IF(Sync!$AE1608="",0,Sync!$AE1608))</f>
        <v/>
      </c>
      <c r="G1608">
        <f>IF($A1608="","",IF(Sync!$AF1608="",0,Sync!$AF1608))</f>
        <v/>
      </c>
      <c r="H1608">
        <f>IF(OR($A1608="",ROUND($F1608+$G1608,2)=0),"",$F1608+$G1608)</f>
        <v/>
      </c>
      <c r="I1608">
        <f>IF($H1608="","",IF(ROUND($F1608,2)&gt;0,$A1608,IF($D1608="شخصی قاسم","شخصی قاسم",IF($D1608="هزینه","هزینه: "&amp;IF($E1608="","متفرقه",$E1608),IF($C1608="پاس چک","چک پرداختی",IF(OR($B1608="",COUNTIF(AcctCodesA,$B1608)=0),"متفرقه",$B1608))))))</f>
        <v/>
      </c>
      <c r="J1608">
        <f>IF($H1608="","",IF(ROUND($F1608,2)&gt;0,IF($D1608="شخصی قاسم","شخصی قاسم",IF($D1608="هزینه","هزینه: "&amp;IF($E1608="","متفرقه",$E1608),IF(OR($B1608="",COUNTIF(AcctCodesA,$B1608)=0),"متفرقه",$B1608))),$A1608))</f>
        <v/>
      </c>
      <c r="K1608">
        <f>IF($A1608="","",IF(AND($B1608&lt;&gt;"",COUNTIF(AcctCodesA,$B1608)=0),"کد طرف در INFO تعریف نشده",IF(AND($D1608="هزینه",$E1608=""),"هزینه بدون زیرگروه",IF(AND($C1608="پاس چک",OR(Sync!$AJ1608="",COUNTIF(IssueNosA,Sync!$AJ1608)=0)),"شماره چک پاس‌شده معتبر نیست",""))))</f>
        <v/>
      </c>
      <c r="V1608">
        <f>IF($K1608="","",IF(ISNUMBER(Sync!$AK1608),Sync!$AK1608,LEFT(Sync!$AK1608,4)&amp;MID(Sync!$AK1608,6,2)&amp;RIGHT(Sync!$AK1608,2))&amp;"|"&amp;"4"&amp;RIGHT("00000"&amp;1603,5))</f>
        <v/>
      </c>
      <c r="W1608">
        <f>IF($V1608="",0,COUNTIFS($V$6:$V$2005,"&lt;"&amp;$V1608)-COUNTIFS($V$6:$V$2005,"&lt;"&amp;$V1608,$K$6:$K$2005,"")+1)</f>
        <v/>
      </c>
    </row>
    <row r="1609">
      <c r="A1609">
        <f>IF(Sync!$Z1609="","",LEFT(UPPER(TRIM(Sync!$Z1609)),6))</f>
        <v/>
      </c>
      <c r="B1609">
        <f>IF($A1609="","",IF(Sync!$AA1609="","",Sync!$AA1609))</f>
        <v/>
      </c>
      <c r="C1609">
        <f>IF($A1609="","",IF(Sync!$AB1609="","",Sync!$AB1609))</f>
        <v/>
      </c>
      <c r="D1609">
        <f>IF($A1609="","",IF(Sync!$AC1609="","",Sync!$AC1609))</f>
        <v/>
      </c>
      <c r="E1609">
        <f>IF($A1609="","",IF(Sync!$AD1609="","",Sync!$AD1609))</f>
        <v/>
      </c>
      <c r="F1609">
        <f>IF($A1609="","",IF(Sync!$AE1609="",0,Sync!$AE1609))</f>
        <v/>
      </c>
      <c r="G1609">
        <f>IF($A1609="","",IF(Sync!$AF1609="",0,Sync!$AF1609))</f>
        <v/>
      </c>
      <c r="H1609">
        <f>IF(OR($A1609="",ROUND($F1609+$G1609,2)=0),"",$F1609+$G1609)</f>
        <v/>
      </c>
      <c r="I1609">
        <f>IF($H1609="","",IF(ROUND($F1609,2)&gt;0,$A1609,IF($D1609="شخصی قاسم","شخصی قاسم",IF($D1609="هزینه","هزینه: "&amp;IF($E1609="","متفرقه",$E1609),IF($C1609="پاس چک","چک پرداختی",IF(OR($B1609="",COUNTIF(AcctCodesA,$B1609)=0),"متفرقه",$B1609))))))</f>
        <v/>
      </c>
      <c r="J1609">
        <f>IF($H1609="","",IF(ROUND($F1609,2)&gt;0,IF($D1609="شخصی قاسم","شخصی قاسم",IF($D1609="هزینه","هزینه: "&amp;IF($E1609="","متفرقه",$E1609),IF(OR($B1609="",COUNTIF(AcctCodesA,$B1609)=0),"متفرقه",$B1609))),$A1609))</f>
        <v/>
      </c>
      <c r="K1609">
        <f>IF($A1609="","",IF(AND($B1609&lt;&gt;"",COUNTIF(AcctCodesA,$B1609)=0),"کد طرف در INFO تعریف نشده",IF(AND($D1609="هزینه",$E1609=""),"هزینه بدون زیرگروه",IF(AND($C1609="پاس چک",OR(Sync!$AJ1609="",COUNTIF(IssueNosA,Sync!$AJ1609)=0)),"شماره چک پاس‌شده معتبر نیست",""))))</f>
        <v/>
      </c>
      <c r="V1609">
        <f>IF($K1609="","",IF(ISNUMBER(Sync!$AK1609),Sync!$AK1609,LEFT(Sync!$AK1609,4)&amp;MID(Sync!$AK1609,6,2)&amp;RIGHT(Sync!$AK1609,2))&amp;"|"&amp;"4"&amp;RIGHT("00000"&amp;1604,5))</f>
        <v/>
      </c>
      <c r="W1609">
        <f>IF($V1609="",0,COUNTIFS($V$6:$V$2005,"&lt;"&amp;$V1609)-COUNTIFS($V$6:$V$2005,"&lt;"&amp;$V1609,$K$6:$K$2005,"")+1)</f>
        <v/>
      </c>
    </row>
    <row r="1610">
      <c r="A1610">
        <f>IF(Sync!$Z1610="","",LEFT(UPPER(TRIM(Sync!$Z1610)),6))</f>
        <v/>
      </c>
      <c r="B1610">
        <f>IF($A1610="","",IF(Sync!$AA1610="","",Sync!$AA1610))</f>
        <v/>
      </c>
      <c r="C1610">
        <f>IF($A1610="","",IF(Sync!$AB1610="","",Sync!$AB1610))</f>
        <v/>
      </c>
      <c r="D1610">
        <f>IF($A1610="","",IF(Sync!$AC1610="","",Sync!$AC1610))</f>
        <v/>
      </c>
      <c r="E1610">
        <f>IF($A1610="","",IF(Sync!$AD1610="","",Sync!$AD1610))</f>
        <v/>
      </c>
      <c r="F1610">
        <f>IF($A1610="","",IF(Sync!$AE1610="",0,Sync!$AE1610))</f>
        <v/>
      </c>
      <c r="G1610">
        <f>IF($A1610="","",IF(Sync!$AF1610="",0,Sync!$AF1610))</f>
        <v/>
      </c>
      <c r="H1610">
        <f>IF(OR($A1610="",ROUND($F1610+$G1610,2)=0),"",$F1610+$G1610)</f>
        <v/>
      </c>
      <c r="I1610">
        <f>IF($H1610="","",IF(ROUND($F1610,2)&gt;0,$A1610,IF($D1610="شخصی قاسم","شخصی قاسم",IF($D1610="هزینه","هزینه: "&amp;IF($E1610="","متفرقه",$E1610),IF($C1610="پاس چک","چک پرداختی",IF(OR($B1610="",COUNTIF(AcctCodesA,$B1610)=0),"متفرقه",$B1610))))))</f>
        <v/>
      </c>
      <c r="J1610">
        <f>IF($H1610="","",IF(ROUND($F1610,2)&gt;0,IF($D1610="شخصی قاسم","شخصی قاسم",IF($D1610="هزینه","هزینه: "&amp;IF($E1610="","متفرقه",$E1610),IF(OR($B1610="",COUNTIF(AcctCodesA,$B1610)=0),"متفرقه",$B1610))),$A1610))</f>
        <v/>
      </c>
      <c r="K1610">
        <f>IF($A1610="","",IF(AND($B1610&lt;&gt;"",COUNTIF(AcctCodesA,$B1610)=0),"کد طرف در INFO تعریف نشده",IF(AND($D1610="هزینه",$E1610=""),"هزینه بدون زیرگروه",IF(AND($C1610="پاس چک",OR(Sync!$AJ1610="",COUNTIF(IssueNosA,Sync!$AJ1610)=0)),"شماره چک پاس‌شده معتبر نیست",""))))</f>
        <v/>
      </c>
      <c r="V1610">
        <f>IF($K1610="","",IF(ISNUMBER(Sync!$AK1610),Sync!$AK1610,LEFT(Sync!$AK1610,4)&amp;MID(Sync!$AK1610,6,2)&amp;RIGHT(Sync!$AK1610,2))&amp;"|"&amp;"4"&amp;RIGHT("00000"&amp;1605,5))</f>
        <v/>
      </c>
      <c r="W1610">
        <f>IF($V1610="",0,COUNTIFS($V$6:$V$2005,"&lt;"&amp;$V1610)-COUNTIFS($V$6:$V$2005,"&lt;"&amp;$V1610,$K$6:$K$2005,"")+1)</f>
        <v/>
      </c>
    </row>
    <row r="1611">
      <c r="A1611">
        <f>IF(Sync!$Z1611="","",LEFT(UPPER(TRIM(Sync!$Z1611)),6))</f>
        <v/>
      </c>
      <c r="B1611">
        <f>IF($A1611="","",IF(Sync!$AA1611="","",Sync!$AA1611))</f>
        <v/>
      </c>
      <c r="C1611">
        <f>IF($A1611="","",IF(Sync!$AB1611="","",Sync!$AB1611))</f>
        <v/>
      </c>
      <c r="D1611">
        <f>IF($A1611="","",IF(Sync!$AC1611="","",Sync!$AC1611))</f>
        <v/>
      </c>
      <c r="E1611">
        <f>IF($A1611="","",IF(Sync!$AD1611="","",Sync!$AD1611))</f>
        <v/>
      </c>
      <c r="F1611">
        <f>IF($A1611="","",IF(Sync!$AE1611="",0,Sync!$AE1611))</f>
        <v/>
      </c>
      <c r="G1611">
        <f>IF($A1611="","",IF(Sync!$AF1611="",0,Sync!$AF1611))</f>
        <v/>
      </c>
      <c r="H1611">
        <f>IF(OR($A1611="",ROUND($F1611+$G1611,2)=0),"",$F1611+$G1611)</f>
        <v/>
      </c>
      <c r="I1611">
        <f>IF($H1611="","",IF(ROUND($F1611,2)&gt;0,$A1611,IF($D1611="شخصی قاسم","شخصی قاسم",IF($D1611="هزینه","هزینه: "&amp;IF($E1611="","متفرقه",$E1611),IF($C1611="پاس چک","چک پرداختی",IF(OR($B1611="",COUNTIF(AcctCodesA,$B1611)=0),"متفرقه",$B1611))))))</f>
        <v/>
      </c>
      <c r="J1611">
        <f>IF($H1611="","",IF(ROUND($F1611,2)&gt;0,IF($D1611="شخصی قاسم","شخصی قاسم",IF($D1611="هزینه","هزینه: "&amp;IF($E1611="","متفرقه",$E1611),IF(OR($B1611="",COUNTIF(AcctCodesA,$B1611)=0),"متفرقه",$B1611))),$A1611))</f>
        <v/>
      </c>
      <c r="K1611">
        <f>IF($A1611="","",IF(AND($B1611&lt;&gt;"",COUNTIF(AcctCodesA,$B1611)=0),"کد طرف در INFO تعریف نشده",IF(AND($D1611="هزینه",$E1611=""),"هزینه بدون زیرگروه",IF(AND($C1611="پاس چک",OR(Sync!$AJ1611="",COUNTIF(IssueNosA,Sync!$AJ1611)=0)),"شماره چک پاس‌شده معتبر نیست",""))))</f>
        <v/>
      </c>
      <c r="V1611">
        <f>IF($K1611="","",IF(ISNUMBER(Sync!$AK1611),Sync!$AK1611,LEFT(Sync!$AK1611,4)&amp;MID(Sync!$AK1611,6,2)&amp;RIGHT(Sync!$AK1611,2))&amp;"|"&amp;"4"&amp;RIGHT("00000"&amp;1606,5))</f>
        <v/>
      </c>
      <c r="W1611">
        <f>IF($V1611="",0,COUNTIFS($V$6:$V$2005,"&lt;"&amp;$V1611)-COUNTIFS($V$6:$V$2005,"&lt;"&amp;$V1611,$K$6:$K$2005,"")+1)</f>
        <v/>
      </c>
    </row>
    <row r="1612">
      <c r="A1612">
        <f>IF(Sync!$Z1612="","",LEFT(UPPER(TRIM(Sync!$Z1612)),6))</f>
        <v/>
      </c>
      <c r="B1612">
        <f>IF($A1612="","",IF(Sync!$AA1612="","",Sync!$AA1612))</f>
        <v/>
      </c>
      <c r="C1612">
        <f>IF($A1612="","",IF(Sync!$AB1612="","",Sync!$AB1612))</f>
        <v/>
      </c>
      <c r="D1612">
        <f>IF($A1612="","",IF(Sync!$AC1612="","",Sync!$AC1612))</f>
        <v/>
      </c>
      <c r="E1612">
        <f>IF($A1612="","",IF(Sync!$AD1612="","",Sync!$AD1612))</f>
        <v/>
      </c>
      <c r="F1612">
        <f>IF($A1612="","",IF(Sync!$AE1612="",0,Sync!$AE1612))</f>
        <v/>
      </c>
      <c r="G1612">
        <f>IF($A1612="","",IF(Sync!$AF1612="",0,Sync!$AF1612))</f>
        <v/>
      </c>
      <c r="H1612">
        <f>IF(OR($A1612="",ROUND($F1612+$G1612,2)=0),"",$F1612+$G1612)</f>
        <v/>
      </c>
      <c r="I1612">
        <f>IF($H1612="","",IF(ROUND($F1612,2)&gt;0,$A1612,IF($D1612="شخصی قاسم","شخصی قاسم",IF($D1612="هزینه","هزینه: "&amp;IF($E1612="","متفرقه",$E1612),IF($C1612="پاس چک","چک پرداختی",IF(OR($B1612="",COUNTIF(AcctCodesA,$B1612)=0),"متفرقه",$B1612))))))</f>
        <v/>
      </c>
      <c r="J1612">
        <f>IF($H1612="","",IF(ROUND($F1612,2)&gt;0,IF($D1612="شخصی قاسم","شخصی قاسم",IF($D1612="هزینه","هزینه: "&amp;IF($E1612="","متفرقه",$E1612),IF(OR($B1612="",COUNTIF(AcctCodesA,$B1612)=0),"متفرقه",$B1612))),$A1612))</f>
        <v/>
      </c>
      <c r="K1612">
        <f>IF($A1612="","",IF(AND($B1612&lt;&gt;"",COUNTIF(AcctCodesA,$B1612)=0),"کد طرف در INFO تعریف نشده",IF(AND($D1612="هزینه",$E1612=""),"هزینه بدون زیرگروه",IF(AND($C1612="پاس چک",OR(Sync!$AJ1612="",COUNTIF(IssueNosA,Sync!$AJ1612)=0)),"شماره چک پاس‌شده معتبر نیست",""))))</f>
        <v/>
      </c>
      <c r="V1612">
        <f>IF($K1612="","",IF(ISNUMBER(Sync!$AK1612),Sync!$AK1612,LEFT(Sync!$AK1612,4)&amp;MID(Sync!$AK1612,6,2)&amp;RIGHT(Sync!$AK1612,2))&amp;"|"&amp;"4"&amp;RIGHT("00000"&amp;1607,5))</f>
        <v/>
      </c>
      <c r="W1612">
        <f>IF($V1612="",0,COUNTIFS($V$6:$V$2005,"&lt;"&amp;$V1612)-COUNTIFS($V$6:$V$2005,"&lt;"&amp;$V1612,$K$6:$K$2005,"")+1)</f>
        <v/>
      </c>
    </row>
    <row r="1613">
      <c r="A1613">
        <f>IF(Sync!$Z1613="","",LEFT(UPPER(TRIM(Sync!$Z1613)),6))</f>
        <v/>
      </c>
      <c r="B1613">
        <f>IF($A1613="","",IF(Sync!$AA1613="","",Sync!$AA1613))</f>
        <v/>
      </c>
      <c r="C1613">
        <f>IF($A1613="","",IF(Sync!$AB1613="","",Sync!$AB1613))</f>
        <v/>
      </c>
      <c r="D1613">
        <f>IF($A1613="","",IF(Sync!$AC1613="","",Sync!$AC1613))</f>
        <v/>
      </c>
      <c r="E1613">
        <f>IF($A1613="","",IF(Sync!$AD1613="","",Sync!$AD1613))</f>
        <v/>
      </c>
      <c r="F1613">
        <f>IF($A1613="","",IF(Sync!$AE1613="",0,Sync!$AE1613))</f>
        <v/>
      </c>
      <c r="G1613">
        <f>IF($A1613="","",IF(Sync!$AF1613="",0,Sync!$AF1613))</f>
        <v/>
      </c>
      <c r="H1613">
        <f>IF(OR($A1613="",ROUND($F1613+$G1613,2)=0),"",$F1613+$G1613)</f>
        <v/>
      </c>
      <c r="I1613">
        <f>IF($H1613="","",IF(ROUND($F1613,2)&gt;0,$A1613,IF($D1613="شخصی قاسم","شخصی قاسم",IF($D1613="هزینه","هزینه: "&amp;IF($E1613="","متفرقه",$E1613),IF($C1613="پاس چک","چک پرداختی",IF(OR($B1613="",COUNTIF(AcctCodesA,$B1613)=0),"متفرقه",$B1613))))))</f>
        <v/>
      </c>
      <c r="J1613">
        <f>IF($H1613="","",IF(ROUND($F1613,2)&gt;0,IF($D1613="شخصی قاسم","شخصی قاسم",IF($D1613="هزینه","هزینه: "&amp;IF($E1613="","متفرقه",$E1613),IF(OR($B1613="",COUNTIF(AcctCodesA,$B1613)=0),"متفرقه",$B1613))),$A1613))</f>
        <v/>
      </c>
      <c r="K1613">
        <f>IF($A1613="","",IF(AND($B1613&lt;&gt;"",COUNTIF(AcctCodesA,$B1613)=0),"کد طرف در INFO تعریف نشده",IF(AND($D1613="هزینه",$E1613=""),"هزینه بدون زیرگروه",IF(AND($C1613="پاس چک",OR(Sync!$AJ1613="",COUNTIF(IssueNosA,Sync!$AJ1613)=0)),"شماره چک پاس‌شده معتبر نیست",""))))</f>
        <v/>
      </c>
      <c r="V1613">
        <f>IF($K1613="","",IF(ISNUMBER(Sync!$AK1613),Sync!$AK1613,LEFT(Sync!$AK1613,4)&amp;MID(Sync!$AK1613,6,2)&amp;RIGHT(Sync!$AK1613,2))&amp;"|"&amp;"4"&amp;RIGHT("00000"&amp;1608,5))</f>
        <v/>
      </c>
      <c r="W1613">
        <f>IF($V1613="",0,COUNTIFS($V$6:$V$2005,"&lt;"&amp;$V1613)-COUNTIFS($V$6:$V$2005,"&lt;"&amp;$V1613,$K$6:$K$2005,"")+1)</f>
        <v/>
      </c>
    </row>
    <row r="1614">
      <c r="A1614">
        <f>IF(Sync!$Z1614="","",LEFT(UPPER(TRIM(Sync!$Z1614)),6))</f>
        <v/>
      </c>
      <c r="B1614">
        <f>IF($A1614="","",IF(Sync!$AA1614="","",Sync!$AA1614))</f>
        <v/>
      </c>
      <c r="C1614">
        <f>IF($A1614="","",IF(Sync!$AB1614="","",Sync!$AB1614))</f>
        <v/>
      </c>
      <c r="D1614">
        <f>IF($A1614="","",IF(Sync!$AC1614="","",Sync!$AC1614))</f>
        <v/>
      </c>
      <c r="E1614">
        <f>IF($A1614="","",IF(Sync!$AD1614="","",Sync!$AD1614))</f>
        <v/>
      </c>
      <c r="F1614">
        <f>IF($A1614="","",IF(Sync!$AE1614="",0,Sync!$AE1614))</f>
        <v/>
      </c>
      <c r="G1614">
        <f>IF($A1614="","",IF(Sync!$AF1614="",0,Sync!$AF1614))</f>
        <v/>
      </c>
      <c r="H1614">
        <f>IF(OR($A1614="",ROUND($F1614+$G1614,2)=0),"",$F1614+$G1614)</f>
        <v/>
      </c>
      <c r="I1614">
        <f>IF($H1614="","",IF(ROUND($F1614,2)&gt;0,$A1614,IF($D1614="شخصی قاسم","شخصی قاسم",IF($D1614="هزینه","هزینه: "&amp;IF($E1614="","متفرقه",$E1614),IF($C1614="پاس چک","چک پرداختی",IF(OR($B1614="",COUNTIF(AcctCodesA,$B1614)=0),"متفرقه",$B1614))))))</f>
        <v/>
      </c>
      <c r="J1614">
        <f>IF($H1614="","",IF(ROUND($F1614,2)&gt;0,IF($D1614="شخصی قاسم","شخصی قاسم",IF($D1614="هزینه","هزینه: "&amp;IF($E1614="","متفرقه",$E1614),IF(OR($B1614="",COUNTIF(AcctCodesA,$B1614)=0),"متفرقه",$B1614))),$A1614))</f>
        <v/>
      </c>
      <c r="K1614">
        <f>IF($A1614="","",IF(AND($B1614&lt;&gt;"",COUNTIF(AcctCodesA,$B1614)=0),"کد طرف در INFO تعریف نشده",IF(AND($D1614="هزینه",$E1614=""),"هزینه بدون زیرگروه",IF(AND($C1614="پاس چک",OR(Sync!$AJ1614="",COUNTIF(IssueNosA,Sync!$AJ1614)=0)),"شماره چک پاس‌شده معتبر نیست",""))))</f>
        <v/>
      </c>
      <c r="V1614">
        <f>IF($K1614="","",IF(ISNUMBER(Sync!$AK1614),Sync!$AK1614,LEFT(Sync!$AK1614,4)&amp;MID(Sync!$AK1614,6,2)&amp;RIGHT(Sync!$AK1614,2))&amp;"|"&amp;"4"&amp;RIGHT("00000"&amp;1609,5))</f>
        <v/>
      </c>
      <c r="W1614">
        <f>IF($V1614="",0,COUNTIFS($V$6:$V$2005,"&lt;"&amp;$V1614)-COUNTIFS($V$6:$V$2005,"&lt;"&amp;$V1614,$K$6:$K$2005,"")+1)</f>
        <v/>
      </c>
    </row>
    <row r="1615">
      <c r="A1615">
        <f>IF(Sync!$Z1615="","",LEFT(UPPER(TRIM(Sync!$Z1615)),6))</f>
        <v/>
      </c>
      <c r="B1615">
        <f>IF($A1615="","",IF(Sync!$AA1615="","",Sync!$AA1615))</f>
        <v/>
      </c>
      <c r="C1615">
        <f>IF($A1615="","",IF(Sync!$AB1615="","",Sync!$AB1615))</f>
        <v/>
      </c>
      <c r="D1615">
        <f>IF($A1615="","",IF(Sync!$AC1615="","",Sync!$AC1615))</f>
        <v/>
      </c>
      <c r="E1615">
        <f>IF($A1615="","",IF(Sync!$AD1615="","",Sync!$AD1615))</f>
        <v/>
      </c>
      <c r="F1615">
        <f>IF($A1615="","",IF(Sync!$AE1615="",0,Sync!$AE1615))</f>
        <v/>
      </c>
      <c r="G1615">
        <f>IF($A1615="","",IF(Sync!$AF1615="",0,Sync!$AF1615))</f>
        <v/>
      </c>
      <c r="H1615">
        <f>IF(OR($A1615="",ROUND($F1615+$G1615,2)=0),"",$F1615+$G1615)</f>
        <v/>
      </c>
      <c r="I1615">
        <f>IF($H1615="","",IF(ROUND($F1615,2)&gt;0,$A1615,IF($D1615="شخصی قاسم","شخصی قاسم",IF($D1615="هزینه","هزینه: "&amp;IF($E1615="","متفرقه",$E1615),IF($C1615="پاس چک","چک پرداختی",IF(OR($B1615="",COUNTIF(AcctCodesA,$B1615)=0),"متفرقه",$B1615))))))</f>
        <v/>
      </c>
      <c r="J1615">
        <f>IF($H1615="","",IF(ROUND($F1615,2)&gt;0,IF($D1615="شخصی قاسم","شخصی قاسم",IF($D1615="هزینه","هزینه: "&amp;IF($E1615="","متفرقه",$E1615),IF(OR($B1615="",COUNTIF(AcctCodesA,$B1615)=0),"متفرقه",$B1615))),$A1615))</f>
        <v/>
      </c>
      <c r="K1615">
        <f>IF($A1615="","",IF(AND($B1615&lt;&gt;"",COUNTIF(AcctCodesA,$B1615)=0),"کد طرف در INFO تعریف نشده",IF(AND($D1615="هزینه",$E1615=""),"هزینه بدون زیرگروه",IF(AND($C1615="پاس چک",OR(Sync!$AJ1615="",COUNTIF(IssueNosA,Sync!$AJ1615)=0)),"شماره چک پاس‌شده معتبر نیست",""))))</f>
        <v/>
      </c>
      <c r="V1615">
        <f>IF($K1615="","",IF(ISNUMBER(Sync!$AK1615),Sync!$AK1615,LEFT(Sync!$AK1615,4)&amp;MID(Sync!$AK1615,6,2)&amp;RIGHT(Sync!$AK1615,2))&amp;"|"&amp;"4"&amp;RIGHT("00000"&amp;1610,5))</f>
        <v/>
      </c>
      <c r="W1615">
        <f>IF($V1615="",0,COUNTIFS($V$6:$V$2005,"&lt;"&amp;$V1615)-COUNTIFS($V$6:$V$2005,"&lt;"&amp;$V1615,$K$6:$K$2005,"")+1)</f>
        <v/>
      </c>
    </row>
    <row r="1616">
      <c r="A1616">
        <f>IF(Sync!$Z1616="","",LEFT(UPPER(TRIM(Sync!$Z1616)),6))</f>
        <v/>
      </c>
      <c r="B1616">
        <f>IF($A1616="","",IF(Sync!$AA1616="","",Sync!$AA1616))</f>
        <v/>
      </c>
      <c r="C1616">
        <f>IF($A1616="","",IF(Sync!$AB1616="","",Sync!$AB1616))</f>
        <v/>
      </c>
      <c r="D1616">
        <f>IF($A1616="","",IF(Sync!$AC1616="","",Sync!$AC1616))</f>
        <v/>
      </c>
      <c r="E1616">
        <f>IF($A1616="","",IF(Sync!$AD1616="","",Sync!$AD1616))</f>
        <v/>
      </c>
      <c r="F1616">
        <f>IF($A1616="","",IF(Sync!$AE1616="",0,Sync!$AE1616))</f>
        <v/>
      </c>
      <c r="G1616">
        <f>IF($A1616="","",IF(Sync!$AF1616="",0,Sync!$AF1616))</f>
        <v/>
      </c>
      <c r="H1616">
        <f>IF(OR($A1616="",ROUND($F1616+$G1616,2)=0),"",$F1616+$G1616)</f>
        <v/>
      </c>
      <c r="I1616">
        <f>IF($H1616="","",IF(ROUND($F1616,2)&gt;0,$A1616,IF($D1616="شخصی قاسم","شخصی قاسم",IF($D1616="هزینه","هزینه: "&amp;IF($E1616="","متفرقه",$E1616),IF($C1616="پاس چک","چک پرداختی",IF(OR($B1616="",COUNTIF(AcctCodesA,$B1616)=0),"متفرقه",$B1616))))))</f>
        <v/>
      </c>
      <c r="J1616">
        <f>IF($H1616="","",IF(ROUND($F1616,2)&gt;0,IF($D1616="شخصی قاسم","شخصی قاسم",IF($D1616="هزینه","هزینه: "&amp;IF($E1616="","متفرقه",$E1616),IF(OR($B1616="",COUNTIF(AcctCodesA,$B1616)=0),"متفرقه",$B1616))),$A1616))</f>
        <v/>
      </c>
      <c r="K1616">
        <f>IF($A1616="","",IF(AND($B1616&lt;&gt;"",COUNTIF(AcctCodesA,$B1616)=0),"کد طرف در INFO تعریف نشده",IF(AND($D1616="هزینه",$E1616=""),"هزینه بدون زیرگروه",IF(AND($C1616="پاس چک",OR(Sync!$AJ1616="",COUNTIF(IssueNosA,Sync!$AJ1616)=0)),"شماره چک پاس‌شده معتبر نیست",""))))</f>
        <v/>
      </c>
      <c r="V1616">
        <f>IF($K1616="","",IF(ISNUMBER(Sync!$AK1616),Sync!$AK1616,LEFT(Sync!$AK1616,4)&amp;MID(Sync!$AK1616,6,2)&amp;RIGHT(Sync!$AK1616,2))&amp;"|"&amp;"4"&amp;RIGHT("00000"&amp;1611,5))</f>
        <v/>
      </c>
      <c r="W1616">
        <f>IF($V1616="",0,COUNTIFS($V$6:$V$2005,"&lt;"&amp;$V1616)-COUNTIFS($V$6:$V$2005,"&lt;"&amp;$V1616,$K$6:$K$2005,"")+1)</f>
        <v/>
      </c>
    </row>
    <row r="1617">
      <c r="A1617">
        <f>IF(Sync!$Z1617="","",LEFT(UPPER(TRIM(Sync!$Z1617)),6))</f>
        <v/>
      </c>
      <c r="B1617">
        <f>IF($A1617="","",IF(Sync!$AA1617="","",Sync!$AA1617))</f>
        <v/>
      </c>
      <c r="C1617">
        <f>IF($A1617="","",IF(Sync!$AB1617="","",Sync!$AB1617))</f>
        <v/>
      </c>
      <c r="D1617">
        <f>IF($A1617="","",IF(Sync!$AC1617="","",Sync!$AC1617))</f>
        <v/>
      </c>
      <c r="E1617">
        <f>IF($A1617="","",IF(Sync!$AD1617="","",Sync!$AD1617))</f>
        <v/>
      </c>
      <c r="F1617">
        <f>IF($A1617="","",IF(Sync!$AE1617="",0,Sync!$AE1617))</f>
        <v/>
      </c>
      <c r="G1617">
        <f>IF($A1617="","",IF(Sync!$AF1617="",0,Sync!$AF1617))</f>
        <v/>
      </c>
      <c r="H1617">
        <f>IF(OR($A1617="",ROUND($F1617+$G1617,2)=0),"",$F1617+$G1617)</f>
        <v/>
      </c>
      <c r="I1617">
        <f>IF($H1617="","",IF(ROUND($F1617,2)&gt;0,$A1617,IF($D1617="شخصی قاسم","شخصی قاسم",IF($D1617="هزینه","هزینه: "&amp;IF($E1617="","متفرقه",$E1617),IF($C1617="پاس چک","چک پرداختی",IF(OR($B1617="",COUNTIF(AcctCodesA,$B1617)=0),"متفرقه",$B1617))))))</f>
        <v/>
      </c>
      <c r="J1617">
        <f>IF($H1617="","",IF(ROUND($F1617,2)&gt;0,IF($D1617="شخصی قاسم","شخصی قاسم",IF($D1617="هزینه","هزینه: "&amp;IF($E1617="","متفرقه",$E1617),IF(OR($B1617="",COUNTIF(AcctCodesA,$B1617)=0),"متفرقه",$B1617))),$A1617))</f>
        <v/>
      </c>
      <c r="K1617">
        <f>IF($A1617="","",IF(AND($B1617&lt;&gt;"",COUNTIF(AcctCodesA,$B1617)=0),"کد طرف در INFO تعریف نشده",IF(AND($D1617="هزینه",$E1617=""),"هزینه بدون زیرگروه",IF(AND($C1617="پاس چک",OR(Sync!$AJ1617="",COUNTIF(IssueNosA,Sync!$AJ1617)=0)),"شماره چک پاس‌شده معتبر نیست",""))))</f>
        <v/>
      </c>
      <c r="V1617">
        <f>IF($K1617="","",IF(ISNUMBER(Sync!$AK1617),Sync!$AK1617,LEFT(Sync!$AK1617,4)&amp;MID(Sync!$AK1617,6,2)&amp;RIGHT(Sync!$AK1617,2))&amp;"|"&amp;"4"&amp;RIGHT("00000"&amp;1612,5))</f>
        <v/>
      </c>
      <c r="W1617">
        <f>IF($V1617="",0,COUNTIFS($V$6:$V$2005,"&lt;"&amp;$V1617)-COUNTIFS($V$6:$V$2005,"&lt;"&amp;$V1617,$K$6:$K$2005,"")+1)</f>
        <v/>
      </c>
    </row>
    <row r="1618">
      <c r="A1618">
        <f>IF(Sync!$Z1618="","",LEFT(UPPER(TRIM(Sync!$Z1618)),6))</f>
        <v/>
      </c>
      <c r="B1618">
        <f>IF($A1618="","",IF(Sync!$AA1618="","",Sync!$AA1618))</f>
        <v/>
      </c>
      <c r="C1618">
        <f>IF($A1618="","",IF(Sync!$AB1618="","",Sync!$AB1618))</f>
        <v/>
      </c>
      <c r="D1618">
        <f>IF($A1618="","",IF(Sync!$AC1618="","",Sync!$AC1618))</f>
        <v/>
      </c>
      <c r="E1618">
        <f>IF($A1618="","",IF(Sync!$AD1618="","",Sync!$AD1618))</f>
        <v/>
      </c>
      <c r="F1618">
        <f>IF($A1618="","",IF(Sync!$AE1618="",0,Sync!$AE1618))</f>
        <v/>
      </c>
      <c r="G1618">
        <f>IF($A1618="","",IF(Sync!$AF1618="",0,Sync!$AF1618))</f>
        <v/>
      </c>
      <c r="H1618">
        <f>IF(OR($A1618="",ROUND($F1618+$G1618,2)=0),"",$F1618+$G1618)</f>
        <v/>
      </c>
      <c r="I1618">
        <f>IF($H1618="","",IF(ROUND($F1618,2)&gt;0,$A1618,IF($D1618="شخصی قاسم","شخصی قاسم",IF($D1618="هزینه","هزینه: "&amp;IF($E1618="","متفرقه",$E1618),IF($C1618="پاس چک","چک پرداختی",IF(OR($B1618="",COUNTIF(AcctCodesA,$B1618)=0),"متفرقه",$B1618))))))</f>
        <v/>
      </c>
      <c r="J1618">
        <f>IF($H1618="","",IF(ROUND($F1618,2)&gt;0,IF($D1618="شخصی قاسم","شخصی قاسم",IF($D1618="هزینه","هزینه: "&amp;IF($E1618="","متفرقه",$E1618),IF(OR($B1618="",COUNTIF(AcctCodesA,$B1618)=0),"متفرقه",$B1618))),$A1618))</f>
        <v/>
      </c>
      <c r="K1618">
        <f>IF($A1618="","",IF(AND($B1618&lt;&gt;"",COUNTIF(AcctCodesA,$B1618)=0),"کد طرف در INFO تعریف نشده",IF(AND($D1618="هزینه",$E1618=""),"هزینه بدون زیرگروه",IF(AND($C1618="پاس چک",OR(Sync!$AJ1618="",COUNTIF(IssueNosA,Sync!$AJ1618)=0)),"شماره چک پاس‌شده معتبر نیست",""))))</f>
        <v/>
      </c>
      <c r="V1618">
        <f>IF($K1618="","",IF(ISNUMBER(Sync!$AK1618),Sync!$AK1618,LEFT(Sync!$AK1618,4)&amp;MID(Sync!$AK1618,6,2)&amp;RIGHT(Sync!$AK1618,2))&amp;"|"&amp;"4"&amp;RIGHT("00000"&amp;1613,5))</f>
        <v/>
      </c>
      <c r="W1618">
        <f>IF($V1618="",0,COUNTIFS($V$6:$V$2005,"&lt;"&amp;$V1618)-COUNTIFS($V$6:$V$2005,"&lt;"&amp;$V1618,$K$6:$K$2005,"")+1)</f>
        <v/>
      </c>
    </row>
    <row r="1619">
      <c r="A1619">
        <f>IF(Sync!$Z1619="","",LEFT(UPPER(TRIM(Sync!$Z1619)),6))</f>
        <v/>
      </c>
      <c r="B1619">
        <f>IF($A1619="","",IF(Sync!$AA1619="","",Sync!$AA1619))</f>
        <v/>
      </c>
      <c r="C1619">
        <f>IF($A1619="","",IF(Sync!$AB1619="","",Sync!$AB1619))</f>
        <v/>
      </c>
      <c r="D1619">
        <f>IF($A1619="","",IF(Sync!$AC1619="","",Sync!$AC1619))</f>
        <v/>
      </c>
      <c r="E1619">
        <f>IF($A1619="","",IF(Sync!$AD1619="","",Sync!$AD1619))</f>
        <v/>
      </c>
      <c r="F1619">
        <f>IF($A1619="","",IF(Sync!$AE1619="",0,Sync!$AE1619))</f>
        <v/>
      </c>
      <c r="G1619">
        <f>IF($A1619="","",IF(Sync!$AF1619="",0,Sync!$AF1619))</f>
        <v/>
      </c>
      <c r="H1619">
        <f>IF(OR($A1619="",ROUND($F1619+$G1619,2)=0),"",$F1619+$G1619)</f>
        <v/>
      </c>
      <c r="I1619">
        <f>IF($H1619="","",IF(ROUND($F1619,2)&gt;0,$A1619,IF($D1619="شخصی قاسم","شخصی قاسم",IF($D1619="هزینه","هزینه: "&amp;IF($E1619="","متفرقه",$E1619),IF($C1619="پاس چک","چک پرداختی",IF(OR($B1619="",COUNTIF(AcctCodesA,$B1619)=0),"متفرقه",$B1619))))))</f>
        <v/>
      </c>
      <c r="J1619">
        <f>IF($H1619="","",IF(ROUND($F1619,2)&gt;0,IF($D1619="شخصی قاسم","شخصی قاسم",IF($D1619="هزینه","هزینه: "&amp;IF($E1619="","متفرقه",$E1619),IF(OR($B1619="",COUNTIF(AcctCodesA,$B1619)=0),"متفرقه",$B1619))),$A1619))</f>
        <v/>
      </c>
      <c r="K1619">
        <f>IF($A1619="","",IF(AND($B1619&lt;&gt;"",COUNTIF(AcctCodesA,$B1619)=0),"کد طرف در INFO تعریف نشده",IF(AND($D1619="هزینه",$E1619=""),"هزینه بدون زیرگروه",IF(AND($C1619="پاس چک",OR(Sync!$AJ1619="",COUNTIF(IssueNosA,Sync!$AJ1619)=0)),"شماره چک پاس‌شده معتبر نیست",""))))</f>
        <v/>
      </c>
      <c r="V1619">
        <f>IF($K1619="","",IF(ISNUMBER(Sync!$AK1619),Sync!$AK1619,LEFT(Sync!$AK1619,4)&amp;MID(Sync!$AK1619,6,2)&amp;RIGHT(Sync!$AK1619,2))&amp;"|"&amp;"4"&amp;RIGHT("00000"&amp;1614,5))</f>
        <v/>
      </c>
      <c r="W1619">
        <f>IF($V1619="",0,COUNTIFS($V$6:$V$2005,"&lt;"&amp;$V1619)-COUNTIFS($V$6:$V$2005,"&lt;"&amp;$V1619,$K$6:$K$2005,"")+1)</f>
        <v/>
      </c>
    </row>
    <row r="1620">
      <c r="A1620">
        <f>IF(Sync!$Z1620="","",LEFT(UPPER(TRIM(Sync!$Z1620)),6))</f>
        <v/>
      </c>
      <c r="B1620">
        <f>IF($A1620="","",IF(Sync!$AA1620="","",Sync!$AA1620))</f>
        <v/>
      </c>
      <c r="C1620">
        <f>IF($A1620="","",IF(Sync!$AB1620="","",Sync!$AB1620))</f>
        <v/>
      </c>
      <c r="D1620">
        <f>IF($A1620="","",IF(Sync!$AC1620="","",Sync!$AC1620))</f>
        <v/>
      </c>
      <c r="E1620">
        <f>IF($A1620="","",IF(Sync!$AD1620="","",Sync!$AD1620))</f>
        <v/>
      </c>
      <c r="F1620">
        <f>IF($A1620="","",IF(Sync!$AE1620="",0,Sync!$AE1620))</f>
        <v/>
      </c>
      <c r="G1620">
        <f>IF($A1620="","",IF(Sync!$AF1620="",0,Sync!$AF1620))</f>
        <v/>
      </c>
      <c r="H1620">
        <f>IF(OR($A1620="",ROUND($F1620+$G1620,2)=0),"",$F1620+$G1620)</f>
        <v/>
      </c>
      <c r="I1620">
        <f>IF($H1620="","",IF(ROUND($F1620,2)&gt;0,$A1620,IF($D1620="شخصی قاسم","شخصی قاسم",IF($D1620="هزینه","هزینه: "&amp;IF($E1620="","متفرقه",$E1620),IF($C1620="پاس چک","چک پرداختی",IF(OR($B1620="",COUNTIF(AcctCodesA,$B1620)=0),"متفرقه",$B1620))))))</f>
        <v/>
      </c>
      <c r="J1620">
        <f>IF($H1620="","",IF(ROUND($F1620,2)&gt;0,IF($D1620="شخصی قاسم","شخصی قاسم",IF($D1620="هزینه","هزینه: "&amp;IF($E1620="","متفرقه",$E1620),IF(OR($B1620="",COUNTIF(AcctCodesA,$B1620)=0),"متفرقه",$B1620))),$A1620))</f>
        <v/>
      </c>
      <c r="K1620">
        <f>IF($A1620="","",IF(AND($B1620&lt;&gt;"",COUNTIF(AcctCodesA,$B1620)=0),"کد طرف در INFO تعریف نشده",IF(AND($D1620="هزینه",$E1620=""),"هزینه بدون زیرگروه",IF(AND($C1620="پاس چک",OR(Sync!$AJ1620="",COUNTIF(IssueNosA,Sync!$AJ1620)=0)),"شماره چک پاس‌شده معتبر نیست",""))))</f>
        <v/>
      </c>
      <c r="V1620">
        <f>IF($K1620="","",IF(ISNUMBER(Sync!$AK1620),Sync!$AK1620,LEFT(Sync!$AK1620,4)&amp;MID(Sync!$AK1620,6,2)&amp;RIGHT(Sync!$AK1620,2))&amp;"|"&amp;"4"&amp;RIGHT("00000"&amp;1615,5))</f>
        <v/>
      </c>
      <c r="W1620">
        <f>IF($V1620="",0,COUNTIFS($V$6:$V$2005,"&lt;"&amp;$V1620)-COUNTIFS($V$6:$V$2005,"&lt;"&amp;$V1620,$K$6:$K$2005,"")+1)</f>
        <v/>
      </c>
    </row>
    <row r="1621">
      <c r="A1621">
        <f>IF(Sync!$Z1621="","",LEFT(UPPER(TRIM(Sync!$Z1621)),6))</f>
        <v/>
      </c>
      <c r="B1621">
        <f>IF($A1621="","",IF(Sync!$AA1621="","",Sync!$AA1621))</f>
        <v/>
      </c>
      <c r="C1621">
        <f>IF($A1621="","",IF(Sync!$AB1621="","",Sync!$AB1621))</f>
        <v/>
      </c>
      <c r="D1621">
        <f>IF($A1621="","",IF(Sync!$AC1621="","",Sync!$AC1621))</f>
        <v/>
      </c>
      <c r="E1621">
        <f>IF($A1621="","",IF(Sync!$AD1621="","",Sync!$AD1621))</f>
        <v/>
      </c>
      <c r="F1621">
        <f>IF($A1621="","",IF(Sync!$AE1621="",0,Sync!$AE1621))</f>
        <v/>
      </c>
      <c r="G1621">
        <f>IF($A1621="","",IF(Sync!$AF1621="",0,Sync!$AF1621))</f>
        <v/>
      </c>
      <c r="H1621">
        <f>IF(OR($A1621="",ROUND($F1621+$G1621,2)=0),"",$F1621+$G1621)</f>
        <v/>
      </c>
      <c r="I1621">
        <f>IF($H1621="","",IF(ROUND($F1621,2)&gt;0,$A1621,IF($D1621="شخصی قاسم","شخصی قاسم",IF($D1621="هزینه","هزینه: "&amp;IF($E1621="","متفرقه",$E1621),IF($C1621="پاس چک","چک پرداختی",IF(OR($B1621="",COUNTIF(AcctCodesA,$B1621)=0),"متفرقه",$B1621))))))</f>
        <v/>
      </c>
      <c r="J1621">
        <f>IF($H1621="","",IF(ROUND($F1621,2)&gt;0,IF($D1621="شخصی قاسم","شخصی قاسم",IF($D1621="هزینه","هزینه: "&amp;IF($E1621="","متفرقه",$E1621),IF(OR($B1621="",COUNTIF(AcctCodesA,$B1621)=0),"متفرقه",$B1621))),$A1621))</f>
        <v/>
      </c>
      <c r="K1621">
        <f>IF($A1621="","",IF(AND($B1621&lt;&gt;"",COUNTIF(AcctCodesA,$B1621)=0),"کد طرف در INFO تعریف نشده",IF(AND($D1621="هزینه",$E1621=""),"هزینه بدون زیرگروه",IF(AND($C1621="پاس چک",OR(Sync!$AJ1621="",COUNTIF(IssueNosA,Sync!$AJ1621)=0)),"شماره چک پاس‌شده معتبر نیست",""))))</f>
        <v/>
      </c>
      <c r="V1621">
        <f>IF($K1621="","",IF(ISNUMBER(Sync!$AK1621),Sync!$AK1621,LEFT(Sync!$AK1621,4)&amp;MID(Sync!$AK1621,6,2)&amp;RIGHT(Sync!$AK1621,2))&amp;"|"&amp;"4"&amp;RIGHT("00000"&amp;1616,5))</f>
        <v/>
      </c>
      <c r="W1621">
        <f>IF($V1621="",0,COUNTIFS($V$6:$V$2005,"&lt;"&amp;$V1621)-COUNTIFS($V$6:$V$2005,"&lt;"&amp;$V1621,$K$6:$K$2005,"")+1)</f>
        <v/>
      </c>
    </row>
    <row r="1622">
      <c r="A1622">
        <f>IF(Sync!$Z1622="","",LEFT(UPPER(TRIM(Sync!$Z1622)),6))</f>
        <v/>
      </c>
      <c r="B1622">
        <f>IF($A1622="","",IF(Sync!$AA1622="","",Sync!$AA1622))</f>
        <v/>
      </c>
      <c r="C1622">
        <f>IF($A1622="","",IF(Sync!$AB1622="","",Sync!$AB1622))</f>
        <v/>
      </c>
      <c r="D1622">
        <f>IF($A1622="","",IF(Sync!$AC1622="","",Sync!$AC1622))</f>
        <v/>
      </c>
      <c r="E1622">
        <f>IF($A1622="","",IF(Sync!$AD1622="","",Sync!$AD1622))</f>
        <v/>
      </c>
      <c r="F1622">
        <f>IF($A1622="","",IF(Sync!$AE1622="",0,Sync!$AE1622))</f>
        <v/>
      </c>
      <c r="G1622">
        <f>IF($A1622="","",IF(Sync!$AF1622="",0,Sync!$AF1622))</f>
        <v/>
      </c>
      <c r="H1622">
        <f>IF(OR($A1622="",ROUND($F1622+$G1622,2)=0),"",$F1622+$G1622)</f>
        <v/>
      </c>
      <c r="I1622">
        <f>IF($H1622="","",IF(ROUND($F1622,2)&gt;0,$A1622,IF($D1622="شخصی قاسم","شخصی قاسم",IF($D1622="هزینه","هزینه: "&amp;IF($E1622="","متفرقه",$E1622),IF($C1622="پاس چک","چک پرداختی",IF(OR($B1622="",COUNTIF(AcctCodesA,$B1622)=0),"متفرقه",$B1622))))))</f>
        <v/>
      </c>
      <c r="J1622">
        <f>IF($H1622="","",IF(ROUND($F1622,2)&gt;0,IF($D1622="شخصی قاسم","شخصی قاسم",IF($D1622="هزینه","هزینه: "&amp;IF($E1622="","متفرقه",$E1622),IF(OR($B1622="",COUNTIF(AcctCodesA,$B1622)=0),"متفرقه",$B1622))),$A1622))</f>
        <v/>
      </c>
      <c r="K1622">
        <f>IF($A1622="","",IF(AND($B1622&lt;&gt;"",COUNTIF(AcctCodesA,$B1622)=0),"کد طرف در INFO تعریف نشده",IF(AND($D1622="هزینه",$E1622=""),"هزینه بدون زیرگروه",IF(AND($C1622="پاس چک",OR(Sync!$AJ1622="",COUNTIF(IssueNosA,Sync!$AJ1622)=0)),"شماره چک پاس‌شده معتبر نیست",""))))</f>
        <v/>
      </c>
      <c r="V1622">
        <f>IF($K1622="","",IF(ISNUMBER(Sync!$AK1622),Sync!$AK1622,LEFT(Sync!$AK1622,4)&amp;MID(Sync!$AK1622,6,2)&amp;RIGHT(Sync!$AK1622,2))&amp;"|"&amp;"4"&amp;RIGHT("00000"&amp;1617,5))</f>
        <v/>
      </c>
      <c r="W1622">
        <f>IF($V1622="",0,COUNTIFS($V$6:$V$2005,"&lt;"&amp;$V1622)-COUNTIFS($V$6:$V$2005,"&lt;"&amp;$V1622,$K$6:$K$2005,"")+1)</f>
        <v/>
      </c>
    </row>
    <row r="1623">
      <c r="A1623">
        <f>IF(Sync!$Z1623="","",LEFT(UPPER(TRIM(Sync!$Z1623)),6))</f>
        <v/>
      </c>
      <c r="B1623">
        <f>IF($A1623="","",IF(Sync!$AA1623="","",Sync!$AA1623))</f>
        <v/>
      </c>
      <c r="C1623">
        <f>IF($A1623="","",IF(Sync!$AB1623="","",Sync!$AB1623))</f>
        <v/>
      </c>
      <c r="D1623">
        <f>IF($A1623="","",IF(Sync!$AC1623="","",Sync!$AC1623))</f>
        <v/>
      </c>
      <c r="E1623">
        <f>IF($A1623="","",IF(Sync!$AD1623="","",Sync!$AD1623))</f>
        <v/>
      </c>
      <c r="F1623">
        <f>IF($A1623="","",IF(Sync!$AE1623="",0,Sync!$AE1623))</f>
        <v/>
      </c>
      <c r="G1623">
        <f>IF($A1623="","",IF(Sync!$AF1623="",0,Sync!$AF1623))</f>
        <v/>
      </c>
      <c r="H1623">
        <f>IF(OR($A1623="",ROUND($F1623+$G1623,2)=0),"",$F1623+$G1623)</f>
        <v/>
      </c>
      <c r="I1623">
        <f>IF($H1623="","",IF(ROUND($F1623,2)&gt;0,$A1623,IF($D1623="شخصی قاسم","شخصی قاسم",IF($D1623="هزینه","هزینه: "&amp;IF($E1623="","متفرقه",$E1623),IF($C1623="پاس چک","چک پرداختی",IF(OR($B1623="",COUNTIF(AcctCodesA,$B1623)=0),"متفرقه",$B1623))))))</f>
        <v/>
      </c>
      <c r="J1623">
        <f>IF($H1623="","",IF(ROUND($F1623,2)&gt;0,IF($D1623="شخصی قاسم","شخصی قاسم",IF($D1623="هزینه","هزینه: "&amp;IF($E1623="","متفرقه",$E1623),IF(OR($B1623="",COUNTIF(AcctCodesA,$B1623)=0),"متفرقه",$B1623))),$A1623))</f>
        <v/>
      </c>
      <c r="K1623">
        <f>IF($A1623="","",IF(AND($B1623&lt;&gt;"",COUNTIF(AcctCodesA,$B1623)=0),"کد طرف در INFO تعریف نشده",IF(AND($D1623="هزینه",$E1623=""),"هزینه بدون زیرگروه",IF(AND($C1623="پاس چک",OR(Sync!$AJ1623="",COUNTIF(IssueNosA,Sync!$AJ1623)=0)),"شماره چک پاس‌شده معتبر نیست",""))))</f>
        <v/>
      </c>
      <c r="V1623">
        <f>IF($K1623="","",IF(ISNUMBER(Sync!$AK1623),Sync!$AK1623,LEFT(Sync!$AK1623,4)&amp;MID(Sync!$AK1623,6,2)&amp;RIGHT(Sync!$AK1623,2))&amp;"|"&amp;"4"&amp;RIGHT("00000"&amp;1618,5))</f>
        <v/>
      </c>
      <c r="W1623">
        <f>IF($V1623="",0,COUNTIFS($V$6:$V$2005,"&lt;"&amp;$V1623)-COUNTIFS($V$6:$V$2005,"&lt;"&amp;$V1623,$K$6:$K$2005,"")+1)</f>
        <v/>
      </c>
    </row>
    <row r="1624">
      <c r="A1624">
        <f>IF(Sync!$Z1624="","",LEFT(UPPER(TRIM(Sync!$Z1624)),6))</f>
        <v/>
      </c>
      <c r="B1624">
        <f>IF($A1624="","",IF(Sync!$AA1624="","",Sync!$AA1624))</f>
        <v/>
      </c>
      <c r="C1624">
        <f>IF($A1624="","",IF(Sync!$AB1624="","",Sync!$AB1624))</f>
        <v/>
      </c>
      <c r="D1624">
        <f>IF($A1624="","",IF(Sync!$AC1624="","",Sync!$AC1624))</f>
        <v/>
      </c>
      <c r="E1624">
        <f>IF($A1624="","",IF(Sync!$AD1624="","",Sync!$AD1624))</f>
        <v/>
      </c>
      <c r="F1624">
        <f>IF($A1624="","",IF(Sync!$AE1624="",0,Sync!$AE1624))</f>
        <v/>
      </c>
      <c r="G1624">
        <f>IF($A1624="","",IF(Sync!$AF1624="",0,Sync!$AF1624))</f>
        <v/>
      </c>
      <c r="H1624">
        <f>IF(OR($A1624="",ROUND($F1624+$G1624,2)=0),"",$F1624+$G1624)</f>
        <v/>
      </c>
      <c r="I1624">
        <f>IF($H1624="","",IF(ROUND($F1624,2)&gt;0,$A1624,IF($D1624="شخصی قاسم","شخصی قاسم",IF($D1624="هزینه","هزینه: "&amp;IF($E1624="","متفرقه",$E1624),IF($C1624="پاس چک","چک پرداختی",IF(OR($B1624="",COUNTIF(AcctCodesA,$B1624)=0),"متفرقه",$B1624))))))</f>
        <v/>
      </c>
      <c r="J1624">
        <f>IF($H1624="","",IF(ROUND($F1624,2)&gt;0,IF($D1624="شخصی قاسم","شخصی قاسم",IF($D1624="هزینه","هزینه: "&amp;IF($E1624="","متفرقه",$E1624),IF(OR($B1624="",COUNTIF(AcctCodesA,$B1624)=0),"متفرقه",$B1624))),$A1624))</f>
        <v/>
      </c>
      <c r="K1624">
        <f>IF($A1624="","",IF(AND($B1624&lt;&gt;"",COUNTIF(AcctCodesA,$B1624)=0),"کد طرف در INFO تعریف نشده",IF(AND($D1624="هزینه",$E1624=""),"هزینه بدون زیرگروه",IF(AND($C1624="پاس چک",OR(Sync!$AJ1624="",COUNTIF(IssueNosA,Sync!$AJ1624)=0)),"شماره چک پاس‌شده معتبر نیست",""))))</f>
        <v/>
      </c>
      <c r="V1624">
        <f>IF($K1624="","",IF(ISNUMBER(Sync!$AK1624),Sync!$AK1624,LEFT(Sync!$AK1624,4)&amp;MID(Sync!$AK1624,6,2)&amp;RIGHT(Sync!$AK1624,2))&amp;"|"&amp;"4"&amp;RIGHT("00000"&amp;1619,5))</f>
        <v/>
      </c>
      <c r="W1624">
        <f>IF($V1624="",0,COUNTIFS($V$6:$V$2005,"&lt;"&amp;$V1624)-COUNTIFS($V$6:$V$2005,"&lt;"&amp;$V1624,$K$6:$K$2005,"")+1)</f>
        <v/>
      </c>
    </row>
    <row r="1625">
      <c r="A1625">
        <f>IF(Sync!$Z1625="","",LEFT(UPPER(TRIM(Sync!$Z1625)),6))</f>
        <v/>
      </c>
      <c r="B1625">
        <f>IF($A1625="","",IF(Sync!$AA1625="","",Sync!$AA1625))</f>
        <v/>
      </c>
      <c r="C1625">
        <f>IF($A1625="","",IF(Sync!$AB1625="","",Sync!$AB1625))</f>
        <v/>
      </c>
      <c r="D1625">
        <f>IF($A1625="","",IF(Sync!$AC1625="","",Sync!$AC1625))</f>
        <v/>
      </c>
      <c r="E1625">
        <f>IF($A1625="","",IF(Sync!$AD1625="","",Sync!$AD1625))</f>
        <v/>
      </c>
      <c r="F1625">
        <f>IF($A1625="","",IF(Sync!$AE1625="",0,Sync!$AE1625))</f>
        <v/>
      </c>
      <c r="G1625">
        <f>IF($A1625="","",IF(Sync!$AF1625="",0,Sync!$AF1625))</f>
        <v/>
      </c>
      <c r="H1625">
        <f>IF(OR($A1625="",ROUND($F1625+$G1625,2)=0),"",$F1625+$G1625)</f>
        <v/>
      </c>
      <c r="I1625">
        <f>IF($H1625="","",IF(ROUND($F1625,2)&gt;0,$A1625,IF($D1625="شخصی قاسم","شخصی قاسم",IF($D1625="هزینه","هزینه: "&amp;IF($E1625="","متفرقه",$E1625),IF($C1625="پاس چک","چک پرداختی",IF(OR($B1625="",COUNTIF(AcctCodesA,$B1625)=0),"متفرقه",$B1625))))))</f>
        <v/>
      </c>
      <c r="J1625">
        <f>IF($H1625="","",IF(ROUND($F1625,2)&gt;0,IF($D1625="شخصی قاسم","شخصی قاسم",IF($D1625="هزینه","هزینه: "&amp;IF($E1625="","متفرقه",$E1625),IF(OR($B1625="",COUNTIF(AcctCodesA,$B1625)=0),"متفرقه",$B1625))),$A1625))</f>
        <v/>
      </c>
      <c r="K1625">
        <f>IF($A1625="","",IF(AND($B1625&lt;&gt;"",COUNTIF(AcctCodesA,$B1625)=0),"کد طرف در INFO تعریف نشده",IF(AND($D1625="هزینه",$E1625=""),"هزینه بدون زیرگروه",IF(AND($C1625="پاس چک",OR(Sync!$AJ1625="",COUNTIF(IssueNosA,Sync!$AJ1625)=0)),"شماره چک پاس‌شده معتبر نیست",""))))</f>
        <v/>
      </c>
      <c r="V1625">
        <f>IF($K1625="","",IF(ISNUMBER(Sync!$AK1625),Sync!$AK1625,LEFT(Sync!$AK1625,4)&amp;MID(Sync!$AK1625,6,2)&amp;RIGHT(Sync!$AK1625,2))&amp;"|"&amp;"4"&amp;RIGHT("00000"&amp;1620,5))</f>
        <v/>
      </c>
      <c r="W1625">
        <f>IF($V1625="",0,COUNTIFS($V$6:$V$2005,"&lt;"&amp;$V1625)-COUNTIFS($V$6:$V$2005,"&lt;"&amp;$V1625,$K$6:$K$2005,"")+1)</f>
        <v/>
      </c>
    </row>
    <row r="1626">
      <c r="A1626">
        <f>IF(Sync!$Z1626="","",LEFT(UPPER(TRIM(Sync!$Z1626)),6))</f>
        <v/>
      </c>
      <c r="B1626">
        <f>IF($A1626="","",IF(Sync!$AA1626="","",Sync!$AA1626))</f>
        <v/>
      </c>
      <c r="C1626">
        <f>IF($A1626="","",IF(Sync!$AB1626="","",Sync!$AB1626))</f>
        <v/>
      </c>
      <c r="D1626">
        <f>IF($A1626="","",IF(Sync!$AC1626="","",Sync!$AC1626))</f>
        <v/>
      </c>
      <c r="E1626">
        <f>IF($A1626="","",IF(Sync!$AD1626="","",Sync!$AD1626))</f>
        <v/>
      </c>
      <c r="F1626">
        <f>IF($A1626="","",IF(Sync!$AE1626="",0,Sync!$AE1626))</f>
        <v/>
      </c>
      <c r="G1626">
        <f>IF($A1626="","",IF(Sync!$AF1626="",0,Sync!$AF1626))</f>
        <v/>
      </c>
      <c r="H1626">
        <f>IF(OR($A1626="",ROUND($F1626+$G1626,2)=0),"",$F1626+$G1626)</f>
        <v/>
      </c>
      <c r="I1626">
        <f>IF($H1626="","",IF(ROUND($F1626,2)&gt;0,$A1626,IF($D1626="شخصی قاسم","شخصی قاسم",IF($D1626="هزینه","هزینه: "&amp;IF($E1626="","متفرقه",$E1626),IF($C1626="پاس چک","چک پرداختی",IF(OR($B1626="",COUNTIF(AcctCodesA,$B1626)=0),"متفرقه",$B1626))))))</f>
        <v/>
      </c>
      <c r="J1626">
        <f>IF($H1626="","",IF(ROUND($F1626,2)&gt;0,IF($D1626="شخصی قاسم","شخصی قاسم",IF($D1626="هزینه","هزینه: "&amp;IF($E1626="","متفرقه",$E1626),IF(OR($B1626="",COUNTIF(AcctCodesA,$B1626)=0),"متفرقه",$B1626))),$A1626))</f>
        <v/>
      </c>
      <c r="K1626">
        <f>IF($A1626="","",IF(AND($B1626&lt;&gt;"",COUNTIF(AcctCodesA,$B1626)=0),"کد طرف در INFO تعریف نشده",IF(AND($D1626="هزینه",$E1626=""),"هزینه بدون زیرگروه",IF(AND($C1626="پاس چک",OR(Sync!$AJ1626="",COUNTIF(IssueNosA,Sync!$AJ1626)=0)),"شماره چک پاس‌شده معتبر نیست",""))))</f>
        <v/>
      </c>
      <c r="V1626">
        <f>IF($K1626="","",IF(ISNUMBER(Sync!$AK1626),Sync!$AK1626,LEFT(Sync!$AK1626,4)&amp;MID(Sync!$AK1626,6,2)&amp;RIGHT(Sync!$AK1626,2))&amp;"|"&amp;"4"&amp;RIGHT("00000"&amp;1621,5))</f>
        <v/>
      </c>
      <c r="W1626">
        <f>IF($V1626="",0,COUNTIFS($V$6:$V$2005,"&lt;"&amp;$V1626)-COUNTIFS($V$6:$V$2005,"&lt;"&amp;$V1626,$K$6:$K$2005,"")+1)</f>
        <v/>
      </c>
    </row>
    <row r="1627">
      <c r="A1627">
        <f>IF(Sync!$Z1627="","",LEFT(UPPER(TRIM(Sync!$Z1627)),6))</f>
        <v/>
      </c>
      <c r="B1627">
        <f>IF($A1627="","",IF(Sync!$AA1627="","",Sync!$AA1627))</f>
        <v/>
      </c>
      <c r="C1627">
        <f>IF($A1627="","",IF(Sync!$AB1627="","",Sync!$AB1627))</f>
        <v/>
      </c>
      <c r="D1627">
        <f>IF($A1627="","",IF(Sync!$AC1627="","",Sync!$AC1627))</f>
        <v/>
      </c>
      <c r="E1627">
        <f>IF($A1627="","",IF(Sync!$AD1627="","",Sync!$AD1627))</f>
        <v/>
      </c>
      <c r="F1627">
        <f>IF($A1627="","",IF(Sync!$AE1627="",0,Sync!$AE1627))</f>
        <v/>
      </c>
      <c r="G1627">
        <f>IF($A1627="","",IF(Sync!$AF1627="",0,Sync!$AF1627))</f>
        <v/>
      </c>
      <c r="H1627">
        <f>IF(OR($A1627="",ROUND($F1627+$G1627,2)=0),"",$F1627+$G1627)</f>
        <v/>
      </c>
      <c r="I1627">
        <f>IF($H1627="","",IF(ROUND($F1627,2)&gt;0,$A1627,IF($D1627="شخصی قاسم","شخصی قاسم",IF($D1627="هزینه","هزینه: "&amp;IF($E1627="","متفرقه",$E1627),IF($C1627="پاس چک","چک پرداختی",IF(OR($B1627="",COUNTIF(AcctCodesA,$B1627)=0),"متفرقه",$B1627))))))</f>
        <v/>
      </c>
      <c r="J1627">
        <f>IF($H1627="","",IF(ROUND($F1627,2)&gt;0,IF($D1627="شخصی قاسم","شخصی قاسم",IF($D1627="هزینه","هزینه: "&amp;IF($E1627="","متفرقه",$E1627),IF(OR($B1627="",COUNTIF(AcctCodesA,$B1627)=0),"متفرقه",$B1627))),$A1627))</f>
        <v/>
      </c>
      <c r="K1627">
        <f>IF($A1627="","",IF(AND($B1627&lt;&gt;"",COUNTIF(AcctCodesA,$B1627)=0),"کد طرف در INFO تعریف نشده",IF(AND($D1627="هزینه",$E1627=""),"هزینه بدون زیرگروه",IF(AND($C1627="پاس چک",OR(Sync!$AJ1627="",COUNTIF(IssueNosA,Sync!$AJ1627)=0)),"شماره چک پاس‌شده معتبر نیست",""))))</f>
        <v/>
      </c>
      <c r="V1627">
        <f>IF($K1627="","",IF(ISNUMBER(Sync!$AK1627),Sync!$AK1627,LEFT(Sync!$AK1627,4)&amp;MID(Sync!$AK1627,6,2)&amp;RIGHT(Sync!$AK1627,2))&amp;"|"&amp;"4"&amp;RIGHT("00000"&amp;1622,5))</f>
        <v/>
      </c>
      <c r="W1627">
        <f>IF($V1627="",0,COUNTIFS($V$6:$V$2005,"&lt;"&amp;$V1627)-COUNTIFS($V$6:$V$2005,"&lt;"&amp;$V1627,$K$6:$K$2005,"")+1)</f>
        <v/>
      </c>
    </row>
    <row r="1628">
      <c r="A1628">
        <f>IF(Sync!$Z1628="","",LEFT(UPPER(TRIM(Sync!$Z1628)),6))</f>
        <v/>
      </c>
      <c r="B1628">
        <f>IF($A1628="","",IF(Sync!$AA1628="","",Sync!$AA1628))</f>
        <v/>
      </c>
      <c r="C1628">
        <f>IF($A1628="","",IF(Sync!$AB1628="","",Sync!$AB1628))</f>
        <v/>
      </c>
      <c r="D1628">
        <f>IF($A1628="","",IF(Sync!$AC1628="","",Sync!$AC1628))</f>
        <v/>
      </c>
      <c r="E1628">
        <f>IF($A1628="","",IF(Sync!$AD1628="","",Sync!$AD1628))</f>
        <v/>
      </c>
      <c r="F1628">
        <f>IF($A1628="","",IF(Sync!$AE1628="",0,Sync!$AE1628))</f>
        <v/>
      </c>
      <c r="G1628">
        <f>IF($A1628="","",IF(Sync!$AF1628="",0,Sync!$AF1628))</f>
        <v/>
      </c>
      <c r="H1628">
        <f>IF(OR($A1628="",ROUND($F1628+$G1628,2)=0),"",$F1628+$G1628)</f>
        <v/>
      </c>
      <c r="I1628">
        <f>IF($H1628="","",IF(ROUND($F1628,2)&gt;0,$A1628,IF($D1628="شخصی قاسم","شخصی قاسم",IF($D1628="هزینه","هزینه: "&amp;IF($E1628="","متفرقه",$E1628),IF($C1628="پاس چک","چک پرداختی",IF(OR($B1628="",COUNTIF(AcctCodesA,$B1628)=0),"متفرقه",$B1628))))))</f>
        <v/>
      </c>
      <c r="J1628">
        <f>IF($H1628="","",IF(ROUND($F1628,2)&gt;0,IF($D1628="شخصی قاسم","شخصی قاسم",IF($D1628="هزینه","هزینه: "&amp;IF($E1628="","متفرقه",$E1628),IF(OR($B1628="",COUNTIF(AcctCodesA,$B1628)=0),"متفرقه",$B1628))),$A1628))</f>
        <v/>
      </c>
      <c r="K1628">
        <f>IF($A1628="","",IF(AND($B1628&lt;&gt;"",COUNTIF(AcctCodesA,$B1628)=0),"کد طرف در INFO تعریف نشده",IF(AND($D1628="هزینه",$E1628=""),"هزینه بدون زیرگروه",IF(AND($C1628="پاس چک",OR(Sync!$AJ1628="",COUNTIF(IssueNosA,Sync!$AJ1628)=0)),"شماره چک پاس‌شده معتبر نیست",""))))</f>
        <v/>
      </c>
      <c r="V1628">
        <f>IF($K1628="","",IF(ISNUMBER(Sync!$AK1628),Sync!$AK1628,LEFT(Sync!$AK1628,4)&amp;MID(Sync!$AK1628,6,2)&amp;RIGHT(Sync!$AK1628,2))&amp;"|"&amp;"4"&amp;RIGHT("00000"&amp;1623,5))</f>
        <v/>
      </c>
      <c r="W1628">
        <f>IF($V1628="",0,COUNTIFS($V$6:$V$2005,"&lt;"&amp;$V1628)-COUNTIFS($V$6:$V$2005,"&lt;"&amp;$V1628,$K$6:$K$2005,"")+1)</f>
        <v/>
      </c>
    </row>
    <row r="1629">
      <c r="A1629">
        <f>IF(Sync!$Z1629="","",LEFT(UPPER(TRIM(Sync!$Z1629)),6))</f>
        <v/>
      </c>
      <c r="B1629">
        <f>IF($A1629="","",IF(Sync!$AA1629="","",Sync!$AA1629))</f>
        <v/>
      </c>
      <c r="C1629">
        <f>IF($A1629="","",IF(Sync!$AB1629="","",Sync!$AB1629))</f>
        <v/>
      </c>
      <c r="D1629">
        <f>IF($A1629="","",IF(Sync!$AC1629="","",Sync!$AC1629))</f>
        <v/>
      </c>
      <c r="E1629">
        <f>IF($A1629="","",IF(Sync!$AD1629="","",Sync!$AD1629))</f>
        <v/>
      </c>
      <c r="F1629">
        <f>IF($A1629="","",IF(Sync!$AE1629="",0,Sync!$AE1629))</f>
        <v/>
      </c>
      <c r="G1629">
        <f>IF($A1629="","",IF(Sync!$AF1629="",0,Sync!$AF1629))</f>
        <v/>
      </c>
      <c r="H1629">
        <f>IF(OR($A1629="",ROUND($F1629+$G1629,2)=0),"",$F1629+$G1629)</f>
        <v/>
      </c>
      <c r="I1629">
        <f>IF($H1629="","",IF(ROUND($F1629,2)&gt;0,$A1629,IF($D1629="شخصی قاسم","شخصی قاسم",IF($D1629="هزینه","هزینه: "&amp;IF($E1629="","متفرقه",$E1629),IF($C1629="پاس چک","چک پرداختی",IF(OR($B1629="",COUNTIF(AcctCodesA,$B1629)=0),"متفرقه",$B1629))))))</f>
        <v/>
      </c>
      <c r="J1629">
        <f>IF($H1629="","",IF(ROUND($F1629,2)&gt;0,IF($D1629="شخصی قاسم","شخصی قاسم",IF($D1629="هزینه","هزینه: "&amp;IF($E1629="","متفرقه",$E1629),IF(OR($B1629="",COUNTIF(AcctCodesA,$B1629)=0),"متفرقه",$B1629))),$A1629))</f>
        <v/>
      </c>
      <c r="K1629">
        <f>IF($A1629="","",IF(AND($B1629&lt;&gt;"",COUNTIF(AcctCodesA,$B1629)=0),"کد طرف در INFO تعریف نشده",IF(AND($D1629="هزینه",$E1629=""),"هزینه بدون زیرگروه",IF(AND($C1629="پاس چک",OR(Sync!$AJ1629="",COUNTIF(IssueNosA,Sync!$AJ1629)=0)),"شماره چک پاس‌شده معتبر نیست",""))))</f>
        <v/>
      </c>
      <c r="V1629">
        <f>IF($K1629="","",IF(ISNUMBER(Sync!$AK1629),Sync!$AK1629,LEFT(Sync!$AK1629,4)&amp;MID(Sync!$AK1629,6,2)&amp;RIGHT(Sync!$AK1629,2))&amp;"|"&amp;"4"&amp;RIGHT("00000"&amp;1624,5))</f>
        <v/>
      </c>
      <c r="W1629">
        <f>IF($V1629="",0,COUNTIFS($V$6:$V$2005,"&lt;"&amp;$V1629)-COUNTIFS($V$6:$V$2005,"&lt;"&amp;$V1629,$K$6:$K$2005,"")+1)</f>
        <v/>
      </c>
    </row>
    <row r="1630">
      <c r="A1630">
        <f>IF(Sync!$Z1630="","",LEFT(UPPER(TRIM(Sync!$Z1630)),6))</f>
        <v/>
      </c>
      <c r="B1630">
        <f>IF($A1630="","",IF(Sync!$AA1630="","",Sync!$AA1630))</f>
        <v/>
      </c>
      <c r="C1630">
        <f>IF($A1630="","",IF(Sync!$AB1630="","",Sync!$AB1630))</f>
        <v/>
      </c>
      <c r="D1630">
        <f>IF($A1630="","",IF(Sync!$AC1630="","",Sync!$AC1630))</f>
        <v/>
      </c>
      <c r="E1630">
        <f>IF($A1630="","",IF(Sync!$AD1630="","",Sync!$AD1630))</f>
        <v/>
      </c>
      <c r="F1630">
        <f>IF($A1630="","",IF(Sync!$AE1630="",0,Sync!$AE1630))</f>
        <v/>
      </c>
      <c r="G1630">
        <f>IF($A1630="","",IF(Sync!$AF1630="",0,Sync!$AF1630))</f>
        <v/>
      </c>
      <c r="H1630">
        <f>IF(OR($A1630="",ROUND($F1630+$G1630,2)=0),"",$F1630+$G1630)</f>
        <v/>
      </c>
      <c r="I1630">
        <f>IF($H1630="","",IF(ROUND($F1630,2)&gt;0,$A1630,IF($D1630="شخصی قاسم","شخصی قاسم",IF($D1630="هزینه","هزینه: "&amp;IF($E1630="","متفرقه",$E1630),IF($C1630="پاس چک","چک پرداختی",IF(OR($B1630="",COUNTIF(AcctCodesA,$B1630)=0),"متفرقه",$B1630))))))</f>
        <v/>
      </c>
      <c r="J1630">
        <f>IF($H1630="","",IF(ROUND($F1630,2)&gt;0,IF($D1630="شخصی قاسم","شخصی قاسم",IF($D1630="هزینه","هزینه: "&amp;IF($E1630="","متفرقه",$E1630),IF(OR($B1630="",COUNTIF(AcctCodesA,$B1630)=0),"متفرقه",$B1630))),$A1630))</f>
        <v/>
      </c>
      <c r="K1630">
        <f>IF($A1630="","",IF(AND($B1630&lt;&gt;"",COUNTIF(AcctCodesA,$B1630)=0),"کد طرف در INFO تعریف نشده",IF(AND($D1630="هزینه",$E1630=""),"هزینه بدون زیرگروه",IF(AND($C1630="پاس چک",OR(Sync!$AJ1630="",COUNTIF(IssueNosA,Sync!$AJ1630)=0)),"شماره چک پاس‌شده معتبر نیست",""))))</f>
        <v/>
      </c>
      <c r="V1630">
        <f>IF($K1630="","",IF(ISNUMBER(Sync!$AK1630),Sync!$AK1630,LEFT(Sync!$AK1630,4)&amp;MID(Sync!$AK1630,6,2)&amp;RIGHT(Sync!$AK1630,2))&amp;"|"&amp;"4"&amp;RIGHT("00000"&amp;1625,5))</f>
        <v/>
      </c>
      <c r="W1630">
        <f>IF($V1630="",0,COUNTIFS($V$6:$V$2005,"&lt;"&amp;$V1630)-COUNTIFS($V$6:$V$2005,"&lt;"&amp;$V1630,$K$6:$K$2005,"")+1)</f>
        <v/>
      </c>
    </row>
    <row r="1631">
      <c r="A1631">
        <f>IF(Sync!$Z1631="","",LEFT(UPPER(TRIM(Sync!$Z1631)),6))</f>
        <v/>
      </c>
      <c r="B1631">
        <f>IF($A1631="","",IF(Sync!$AA1631="","",Sync!$AA1631))</f>
        <v/>
      </c>
      <c r="C1631">
        <f>IF($A1631="","",IF(Sync!$AB1631="","",Sync!$AB1631))</f>
        <v/>
      </c>
      <c r="D1631">
        <f>IF($A1631="","",IF(Sync!$AC1631="","",Sync!$AC1631))</f>
        <v/>
      </c>
      <c r="E1631">
        <f>IF($A1631="","",IF(Sync!$AD1631="","",Sync!$AD1631))</f>
        <v/>
      </c>
      <c r="F1631">
        <f>IF($A1631="","",IF(Sync!$AE1631="",0,Sync!$AE1631))</f>
        <v/>
      </c>
      <c r="G1631">
        <f>IF($A1631="","",IF(Sync!$AF1631="",0,Sync!$AF1631))</f>
        <v/>
      </c>
      <c r="H1631">
        <f>IF(OR($A1631="",ROUND($F1631+$G1631,2)=0),"",$F1631+$G1631)</f>
        <v/>
      </c>
      <c r="I1631">
        <f>IF($H1631="","",IF(ROUND($F1631,2)&gt;0,$A1631,IF($D1631="شخصی قاسم","شخصی قاسم",IF($D1631="هزینه","هزینه: "&amp;IF($E1631="","متفرقه",$E1631),IF($C1631="پاس چک","چک پرداختی",IF(OR($B1631="",COUNTIF(AcctCodesA,$B1631)=0),"متفرقه",$B1631))))))</f>
        <v/>
      </c>
      <c r="J1631">
        <f>IF($H1631="","",IF(ROUND($F1631,2)&gt;0,IF($D1631="شخصی قاسم","شخصی قاسم",IF($D1631="هزینه","هزینه: "&amp;IF($E1631="","متفرقه",$E1631),IF(OR($B1631="",COUNTIF(AcctCodesA,$B1631)=0),"متفرقه",$B1631))),$A1631))</f>
        <v/>
      </c>
      <c r="K1631">
        <f>IF($A1631="","",IF(AND($B1631&lt;&gt;"",COUNTIF(AcctCodesA,$B1631)=0),"کد طرف در INFO تعریف نشده",IF(AND($D1631="هزینه",$E1631=""),"هزینه بدون زیرگروه",IF(AND($C1631="پاس چک",OR(Sync!$AJ1631="",COUNTIF(IssueNosA,Sync!$AJ1631)=0)),"شماره چک پاس‌شده معتبر نیست",""))))</f>
        <v/>
      </c>
      <c r="V1631">
        <f>IF($K1631="","",IF(ISNUMBER(Sync!$AK1631),Sync!$AK1631,LEFT(Sync!$AK1631,4)&amp;MID(Sync!$AK1631,6,2)&amp;RIGHT(Sync!$AK1631,2))&amp;"|"&amp;"4"&amp;RIGHT("00000"&amp;1626,5))</f>
        <v/>
      </c>
      <c r="W1631">
        <f>IF($V1631="",0,COUNTIFS($V$6:$V$2005,"&lt;"&amp;$V1631)-COUNTIFS($V$6:$V$2005,"&lt;"&amp;$V1631,$K$6:$K$2005,"")+1)</f>
        <v/>
      </c>
    </row>
    <row r="1632">
      <c r="A1632">
        <f>IF(Sync!$Z1632="","",LEFT(UPPER(TRIM(Sync!$Z1632)),6))</f>
        <v/>
      </c>
      <c r="B1632">
        <f>IF($A1632="","",IF(Sync!$AA1632="","",Sync!$AA1632))</f>
        <v/>
      </c>
      <c r="C1632">
        <f>IF($A1632="","",IF(Sync!$AB1632="","",Sync!$AB1632))</f>
        <v/>
      </c>
      <c r="D1632">
        <f>IF($A1632="","",IF(Sync!$AC1632="","",Sync!$AC1632))</f>
        <v/>
      </c>
      <c r="E1632">
        <f>IF($A1632="","",IF(Sync!$AD1632="","",Sync!$AD1632))</f>
        <v/>
      </c>
      <c r="F1632">
        <f>IF($A1632="","",IF(Sync!$AE1632="",0,Sync!$AE1632))</f>
        <v/>
      </c>
      <c r="G1632">
        <f>IF($A1632="","",IF(Sync!$AF1632="",0,Sync!$AF1632))</f>
        <v/>
      </c>
      <c r="H1632">
        <f>IF(OR($A1632="",ROUND($F1632+$G1632,2)=0),"",$F1632+$G1632)</f>
        <v/>
      </c>
      <c r="I1632">
        <f>IF($H1632="","",IF(ROUND($F1632,2)&gt;0,$A1632,IF($D1632="شخصی قاسم","شخصی قاسم",IF($D1632="هزینه","هزینه: "&amp;IF($E1632="","متفرقه",$E1632),IF($C1632="پاس چک","چک پرداختی",IF(OR($B1632="",COUNTIF(AcctCodesA,$B1632)=0),"متفرقه",$B1632))))))</f>
        <v/>
      </c>
      <c r="J1632">
        <f>IF($H1632="","",IF(ROUND($F1632,2)&gt;0,IF($D1632="شخصی قاسم","شخصی قاسم",IF($D1632="هزینه","هزینه: "&amp;IF($E1632="","متفرقه",$E1632),IF(OR($B1632="",COUNTIF(AcctCodesA,$B1632)=0),"متفرقه",$B1632))),$A1632))</f>
        <v/>
      </c>
      <c r="K1632">
        <f>IF($A1632="","",IF(AND($B1632&lt;&gt;"",COUNTIF(AcctCodesA,$B1632)=0),"کد طرف در INFO تعریف نشده",IF(AND($D1632="هزینه",$E1632=""),"هزینه بدون زیرگروه",IF(AND($C1632="پاس چک",OR(Sync!$AJ1632="",COUNTIF(IssueNosA,Sync!$AJ1632)=0)),"شماره چک پاس‌شده معتبر نیست",""))))</f>
        <v/>
      </c>
      <c r="V1632">
        <f>IF($K1632="","",IF(ISNUMBER(Sync!$AK1632),Sync!$AK1632,LEFT(Sync!$AK1632,4)&amp;MID(Sync!$AK1632,6,2)&amp;RIGHT(Sync!$AK1632,2))&amp;"|"&amp;"4"&amp;RIGHT("00000"&amp;1627,5))</f>
        <v/>
      </c>
      <c r="W1632">
        <f>IF($V1632="",0,COUNTIFS($V$6:$V$2005,"&lt;"&amp;$V1632)-COUNTIFS($V$6:$V$2005,"&lt;"&amp;$V1632,$K$6:$K$2005,"")+1)</f>
        <v/>
      </c>
    </row>
    <row r="1633">
      <c r="A1633">
        <f>IF(Sync!$Z1633="","",LEFT(UPPER(TRIM(Sync!$Z1633)),6))</f>
        <v/>
      </c>
      <c r="B1633">
        <f>IF($A1633="","",IF(Sync!$AA1633="","",Sync!$AA1633))</f>
        <v/>
      </c>
      <c r="C1633">
        <f>IF($A1633="","",IF(Sync!$AB1633="","",Sync!$AB1633))</f>
        <v/>
      </c>
      <c r="D1633">
        <f>IF($A1633="","",IF(Sync!$AC1633="","",Sync!$AC1633))</f>
        <v/>
      </c>
      <c r="E1633">
        <f>IF($A1633="","",IF(Sync!$AD1633="","",Sync!$AD1633))</f>
        <v/>
      </c>
      <c r="F1633">
        <f>IF($A1633="","",IF(Sync!$AE1633="",0,Sync!$AE1633))</f>
        <v/>
      </c>
      <c r="G1633">
        <f>IF($A1633="","",IF(Sync!$AF1633="",0,Sync!$AF1633))</f>
        <v/>
      </c>
      <c r="H1633">
        <f>IF(OR($A1633="",ROUND($F1633+$G1633,2)=0),"",$F1633+$G1633)</f>
        <v/>
      </c>
      <c r="I1633">
        <f>IF($H1633="","",IF(ROUND($F1633,2)&gt;0,$A1633,IF($D1633="شخصی قاسم","شخصی قاسم",IF($D1633="هزینه","هزینه: "&amp;IF($E1633="","متفرقه",$E1633),IF($C1633="پاس چک","چک پرداختی",IF(OR($B1633="",COUNTIF(AcctCodesA,$B1633)=0),"متفرقه",$B1633))))))</f>
        <v/>
      </c>
      <c r="J1633">
        <f>IF($H1633="","",IF(ROUND($F1633,2)&gt;0,IF($D1633="شخصی قاسم","شخصی قاسم",IF($D1633="هزینه","هزینه: "&amp;IF($E1633="","متفرقه",$E1633),IF(OR($B1633="",COUNTIF(AcctCodesA,$B1633)=0),"متفرقه",$B1633))),$A1633))</f>
        <v/>
      </c>
      <c r="K1633">
        <f>IF($A1633="","",IF(AND($B1633&lt;&gt;"",COUNTIF(AcctCodesA,$B1633)=0),"کد طرف در INFO تعریف نشده",IF(AND($D1633="هزینه",$E1633=""),"هزینه بدون زیرگروه",IF(AND($C1633="پاس چک",OR(Sync!$AJ1633="",COUNTIF(IssueNosA,Sync!$AJ1633)=0)),"شماره چک پاس‌شده معتبر نیست",""))))</f>
        <v/>
      </c>
      <c r="V1633">
        <f>IF($K1633="","",IF(ISNUMBER(Sync!$AK1633),Sync!$AK1633,LEFT(Sync!$AK1633,4)&amp;MID(Sync!$AK1633,6,2)&amp;RIGHT(Sync!$AK1633,2))&amp;"|"&amp;"4"&amp;RIGHT("00000"&amp;1628,5))</f>
        <v/>
      </c>
      <c r="W1633">
        <f>IF($V1633="",0,COUNTIFS($V$6:$V$2005,"&lt;"&amp;$V1633)-COUNTIFS($V$6:$V$2005,"&lt;"&amp;$V1633,$K$6:$K$2005,"")+1)</f>
        <v/>
      </c>
    </row>
    <row r="1634">
      <c r="A1634">
        <f>IF(Sync!$Z1634="","",LEFT(UPPER(TRIM(Sync!$Z1634)),6))</f>
        <v/>
      </c>
      <c r="B1634">
        <f>IF($A1634="","",IF(Sync!$AA1634="","",Sync!$AA1634))</f>
        <v/>
      </c>
      <c r="C1634">
        <f>IF($A1634="","",IF(Sync!$AB1634="","",Sync!$AB1634))</f>
        <v/>
      </c>
      <c r="D1634">
        <f>IF($A1634="","",IF(Sync!$AC1634="","",Sync!$AC1634))</f>
        <v/>
      </c>
      <c r="E1634">
        <f>IF($A1634="","",IF(Sync!$AD1634="","",Sync!$AD1634))</f>
        <v/>
      </c>
      <c r="F1634">
        <f>IF($A1634="","",IF(Sync!$AE1634="",0,Sync!$AE1634))</f>
        <v/>
      </c>
      <c r="G1634">
        <f>IF($A1634="","",IF(Sync!$AF1634="",0,Sync!$AF1634))</f>
        <v/>
      </c>
      <c r="H1634">
        <f>IF(OR($A1634="",ROUND($F1634+$G1634,2)=0),"",$F1634+$G1634)</f>
        <v/>
      </c>
      <c r="I1634">
        <f>IF($H1634="","",IF(ROUND($F1634,2)&gt;0,$A1634,IF($D1634="شخصی قاسم","شخصی قاسم",IF($D1634="هزینه","هزینه: "&amp;IF($E1634="","متفرقه",$E1634),IF($C1634="پاس چک","چک پرداختی",IF(OR($B1634="",COUNTIF(AcctCodesA,$B1634)=0),"متفرقه",$B1634))))))</f>
        <v/>
      </c>
      <c r="J1634">
        <f>IF($H1634="","",IF(ROUND($F1634,2)&gt;0,IF($D1634="شخصی قاسم","شخصی قاسم",IF($D1634="هزینه","هزینه: "&amp;IF($E1634="","متفرقه",$E1634),IF(OR($B1634="",COUNTIF(AcctCodesA,$B1634)=0),"متفرقه",$B1634))),$A1634))</f>
        <v/>
      </c>
      <c r="K1634">
        <f>IF($A1634="","",IF(AND($B1634&lt;&gt;"",COUNTIF(AcctCodesA,$B1634)=0),"کد طرف در INFO تعریف نشده",IF(AND($D1634="هزینه",$E1634=""),"هزینه بدون زیرگروه",IF(AND($C1634="پاس چک",OR(Sync!$AJ1634="",COUNTIF(IssueNosA,Sync!$AJ1634)=0)),"شماره چک پاس‌شده معتبر نیست",""))))</f>
        <v/>
      </c>
      <c r="V1634">
        <f>IF($K1634="","",IF(ISNUMBER(Sync!$AK1634),Sync!$AK1634,LEFT(Sync!$AK1634,4)&amp;MID(Sync!$AK1634,6,2)&amp;RIGHT(Sync!$AK1634,2))&amp;"|"&amp;"4"&amp;RIGHT("00000"&amp;1629,5))</f>
        <v/>
      </c>
      <c r="W1634">
        <f>IF($V1634="",0,COUNTIFS($V$6:$V$2005,"&lt;"&amp;$V1634)-COUNTIFS($V$6:$V$2005,"&lt;"&amp;$V1634,$K$6:$K$2005,"")+1)</f>
        <v/>
      </c>
    </row>
    <row r="1635">
      <c r="A1635">
        <f>IF(Sync!$Z1635="","",LEFT(UPPER(TRIM(Sync!$Z1635)),6))</f>
        <v/>
      </c>
      <c r="B1635">
        <f>IF($A1635="","",IF(Sync!$AA1635="","",Sync!$AA1635))</f>
        <v/>
      </c>
      <c r="C1635">
        <f>IF($A1635="","",IF(Sync!$AB1635="","",Sync!$AB1635))</f>
        <v/>
      </c>
      <c r="D1635">
        <f>IF($A1635="","",IF(Sync!$AC1635="","",Sync!$AC1635))</f>
        <v/>
      </c>
      <c r="E1635">
        <f>IF($A1635="","",IF(Sync!$AD1635="","",Sync!$AD1635))</f>
        <v/>
      </c>
      <c r="F1635">
        <f>IF($A1635="","",IF(Sync!$AE1635="",0,Sync!$AE1635))</f>
        <v/>
      </c>
      <c r="G1635">
        <f>IF($A1635="","",IF(Sync!$AF1635="",0,Sync!$AF1635))</f>
        <v/>
      </c>
      <c r="H1635">
        <f>IF(OR($A1635="",ROUND($F1635+$G1635,2)=0),"",$F1635+$G1635)</f>
        <v/>
      </c>
      <c r="I1635">
        <f>IF($H1635="","",IF(ROUND($F1635,2)&gt;0,$A1635,IF($D1635="شخصی قاسم","شخصی قاسم",IF($D1635="هزینه","هزینه: "&amp;IF($E1635="","متفرقه",$E1635),IF($C1635="پاس چک","چک پرداختی",IF(OR($B1635="",COUNTIF(AcctCodesA,$B1635)=0),"متفرقه",$B1635))))))</f>
        <v/>
      </c>
      <c r="J1635">
        <f>IF($H1635="","",IF(ROUND($F1635,2)&gt;0,IF($D1635="شخصی قاسم","شخصی قاسم",IF($D1635="هزینه","هزینه: "&amp;IF($E1635="","متفرقه",$E1635),IF(OR($B1635="",COUNTIF(AcctCodesA,$B1635)=0),"متفرقه",$B1635))),$A1635))</f>
        <v/>
      </c>
      <c r="K1635">
        <f>IF($A1635="","",IF(AND($B1635&lt;&gt;"",COUNTIF(AcctCodesA,$B1635)=0),"کد طرف در INFO تعریف نشده",IF(AND($D1635="هزینه",$E1635=""),"هزینه بدون زیرگروه",IF(AND($C1635="پاس چک",OR(Sync!$AJ1635="",COUNTIF(IssueNosA,Sync!$AJ1635)=0)),"شماره چک پاس‌شده معتبر نیست",""))))</f>
        <v/>
      </c>
      <c r="V1635">
        <f>IF($K1635="","",IF(ISNUMBER(Sync!$AK1635),Sync!$AK1635,LEFT(Sync!$AK1635,4)&amp;MID(Sync!$AK1635,6,2)&amp;RIGHT(Sync!$AK1635,2))&amp;"|"&amp;"4"&amp;RIGHT("00000"&amp;1630,5))</f>
        <v/>
      </c>
      <c r="W1635">
        <f>IF($V1635="",0,COUNTIFS($V$6:$V$2005,"&lt;"&amp;$V1635)-COUNTIFS($V$6:$V$2005,"&lt;"&amp;$V1635,$K$6:$K$2005,"")+1)</f>
        <v/>
      </c>
    </row>
    <row r="1636">
      <c r="A1636">
        <f>IF(Sync!$Z1636="","",LEFT(UPPER(TRIM(Sync!$Z1636)),6))</f>
        <v/>
      </c>
      <c r="B1636">
        <f>IF($A1636="","",IF(Sync!$AA1636="","",Sync!$AA1636))</f>
        <v/>
      </c>
      <c r="C1636">
        <f>IF($A1636="","",IF(Sync!$AB1636="","",Sync!$AB1636))</f>
        <v/>
      </c>
      <c r="D1636">
        <f>IF($A1636="","",IF(Sync!$AC1636="","",Sync!$AC1636))</f>
        <v/>
      </c>
      <c r="E1636">
        <f>IF($A1636="","",IF(Sync!$AD1636="","",Sync!$AD1636))</f>
        <v/>
      </c>
      <c r="F1636">
        <f>IF($A1636="","",IF(Sync!$AE1636="",0,Sync!$AE1636))</f>
        <v/>
      </c>
      <c r="G1636">
        <f>IF($A1636="","",IF(Sync!$AF1636="",0,Sync!$AF1636))</f>
        <v/>
      </c>
      <c r="H1636">
        <f>IF(OR($A1636="",ROUND($F1636+$G1636,2)=0),"",$F1636+$G1636)</f>
        <v/>
      </c>
      <c r="I1636">
        <f>IF($H1636="","",IF(ROUND($F1636,2)&gt;0,$A1636,IF($D1636="شخصی قاسم","شخصی قاسم",IF($D1636="هزینه","هزینه: "&amp;IF($E1636="","متفرقه",$E1636),IF($C1636="پاس چک","چک پرداختی",IF(OR($B1636="",COUNTIF(AcctCodesA,$B1636)=0),"متفرقه",$B1636))))))</f>
        <v/>
      </c>
      <c r="J1636">
        <f>IF($H1636="","",IF(ROUND($F1636,2)&gt;0,IF($D1636="شخصی قاسم","شخصی قاسم",IF($D1636="هزینه","هزینه: "&amp;IF($E1636="","متفرقه",$E1636),IF(OR($B1636="",COUNTIF(AcctCodesA,$B1636)=0),"متفرقه",$B1636))),$A1636))</f>
        <v/>
      </c>
      <c r="K1636">
        <f>IF($A1636="","",IF(AND($B1636&lt;&gt;"",COUNTIF(AcctCodesA,$B1636)=0),"کد طرف در INFO تعریف نشده",IF(AND($D1636="هزینه",$E1636=""),"هزینه بدون زیرگروه",IF(AND($C1636="پاس چک",OR(Sync!$AJ1636="",COUNTIF(IssueNosA,Sync!$AJ1636)=0)),"شماره چک پاس‌شده معتبر نیست",""))))</f>
        <v/>
      </c>
      <c r="V1636">
        <f>IF($K1636="","",IF(ISNUMBER(Sync!$AK1636),Sync!$AK1636,LEFT(Sync!$AK1636,4)&amp;MID(Sync!$AK1636,6,2)&amp;RIGHT(Sync!$AK1636,2))&amp;"|"&amp;"4"&amp;RIGHT("00000"&amp;1631,5))</f>
        <v/>
      </c>
      <c r="W1636">
        <f>IF($V1636="",0,COUNTIFS($V$6:$V$2005,"&lt;"&amp;$V1636)-COUNTIFS($V$6:$V$2005,"&lt;"&amp;$V1636,$K$6:$K$2005,"")+1)</f>
        <v/>
      </c>
    </row>
    <row r="1637">
      <c r="A1637">
        <f>IF(Sync!$Z1637="","",LEFT(UPPER(TRIM(Sync!$Z1637)),6))</f>
        <v/>
      </c>
      <c r="B1637">
        <f>IF($A1637="","",IF(Sync!$AA1637="","",Sync!$AA1637))</f>
        <v/>
      </c>
      <c r="C1637">
        <f>IF($A1637="","",IF(Sync!$AB1637="","",Sync!$AB1637))</f>
        <v/>
      </c>
      <c r="D1637">
        <f>IF($A1637="","",IF(Sync!$AC1637="","",Sync!$AC1637))</f>
        <v/>
      </c>
      <c r="E1637">
        <f>IF($A1637="","",IF(Sync!$AD1637="","",Sync!$AD1637))</f>
        <v/>
      </c>
      <c r="F1637">
        <f>IF($A1637="","",IF(Sync!$AE1637="",0,Sync!$AE1637))</f>
        <v/>
      </c>
      <c r="G1637">
        <f>IF($A1637="","",IF(Sync!$AF1637="",0,Sync!$AF1637))</f>
        <v/>
      </c>
      <c r="H1637">
        <f>IF(OR($A1637="",ROUND($F1637+$G1637,2)=0),"",$F1637+$G1637)</f>
        <v/>
      </c>
      <c r="I1637">
        <f>IF($H1637="","",IF(ROUND($F1637,2)&gt;0,$A1637,IF($D1637="شخصی قاسم","شخصی قاسم",IF($D1637="هزینه","هزینه: "&amp;IF($E1637="","متفرقه",$E1637),IF($C1637="پاس چک","چک پرداختی",IF(OR($B1637="",COUNTIF(AcctCodesA,$B1637)=0),"متفرقه",$B1637))))))</f>
        <v/>
      </c>
      <c r="J1637">
        <f>IF($H1637="","",IF(ROUND($F1637,2)&gt;0,IF($D1637="شخصی قاسم","شخصی قاسم",IF($D1637="هزینه","هزینه: "&amp;IF($E1637="","متفرقه",$E1637),IF(OR($B1637="",COUNTIF(AcctCodesA,$B1637)=0),"متفرقه",$B1637))),$A1637))</f>
        <v/>
      </c>
      <c r="K1637">
        <f>IF($A1637="","",IF(AND($B1637&lt;&gt;"",COUNTIF(AcctCodesA,$B1637)=0),"کد طرف در INFO تعریف نشده",IF(AND($D1637="هزینه",$E1637=""),"هزینه بدون زیرگروه",IF(AND($C1637="پاس چک",OR(Sync!$AJ1637="",COUNTIF(IssueNosA,Sync!$AJ1637)=0)),"شماره چک پاس‌شده معتبر نیست",""))))</f>
        <v/>
      </c>
      <c r="V1637">
        <f>IF($K1637="","",IF(ISNUMBER(Sync!$AK1637),Sync!$AK1637,LEFT(Sync!$AK1637,4)&amp;MID(Sync!$AK1637,6,2)&amp;RIGHT(Sync!$AK1637,2))&amp;"|"&amp;"4"&amp;RIGHT("00000"&amp;1632,5))</f>
        <v/>
      </c>
      <c r="W1637">
        <f>IF($V1637="",0,COUNTIFS($V$6:$V$2005,"&lt;"&amp;$V1637)-COUNTIFS($V$6:$V$2005,"&lt;"&amp;$V1637,$K$6:$K$2005,"")+1)</f>
        <v/>
      </c>
    </row>
    <row r="1638">
      <c r="A1638">
        <f>IF(Sync!$Z1638="","",LEFT(UPPER(TRIM(Sync!$Z1638)),6))</f>
        <v/>
      </c>
      <c r="B1638">
        <f>IF($A1638="","",IF(Sync!$AA1638="","",Sync!$AA1638))</f>
        <v/>
      </c>
      <c r="C1638">
        <f>IF($A1638="","",IF(Sync!$AB1638="","",Sync!$AB1638))</f>
        <v/>
      </c>
      <c r="D1638">
        <f>IF($A1638="","",IF(Sync!$AC1638="","",Sync!$AC1638))</f>
        <v/>
      </c>
      <c r="E1638">
        <f>IF($A1638="","",IF(Sync!$AD1638="","",Sync!$AD1638))</f>
        <v/>
      </c>
      <c r="F1638">
        <f>IF($A1638="","",IF(Sync!$AE1638="",0,Sync!$AE1638))</f>
        <v/>
      </c>
      <c r="G1638">
        <f>IF($A1638="","",IF(Sync!$AF1638="",0,Sync!$AF1638))</f>
        <v/>
      </c>
      <c r="H1638">
        <f>IF(OR($A1638="",ROUND($F1638+$G1638,2)=0),"",$F1638+$G1638)</f>
        <v/>
      </c>
      <c r="I1638">
        <f>IF($H1638="","",IF(ROUND($F1638,2)&gt;0,$A1638,IF($D1638="شخصی قاسم","شخصی قاسم",IF($D1638="هزینه","هزینه: "&amp;IF($E1638="","متفرقه",$E1638),IF($C1638="پاس چک","چک پرداختی",IF(OR($B1638="",COUNTIF(AcctCodesA,$B1638)=0),"متفرقه",$B1638))))))</f>
        <v/>
      </c>
      <c r="J1638">
        <f>IF($H1638="","",IF(ROUND($F1638,2)&gt;0,IF($D1638="شخصی قاسم","شخصی قاسم",IF($D1638="هزینه","هزینه: "&amp;IF($E1638="","متفرقه",$E1638),IF(OR($B1638="",COUNTIF(AcctCodesA,$B1638)=0),"متفرقه",$B1638))),$A1638))</f>
        <v/>
      </c>
      <c r="K1638">
        <f>IF($A1638="","",IF(AND($B1638&lt;&gt;"",COUNTIF(AcctCodesA,$B1638)=0),"کد طرف در INFO تعریف نشده",IF(AND($D1638="هزینه",$E1638=""),"هزینه بدون زیرگروه",IF(AND($C1638="پاس چک",OR(Sync!$AJ1638="",COUNTIF(IssueNosA,Sync!$AJ1638)=0)),"شماره چک پاس‌شده معتبر نیست",""))))</f>
        <v/>
      </c>
      <c r="V1638">
        <f>IF($K1638="","",IF(ISNUMBER(Sync!$AK1638),Sync!$AK1638,LEFT(Sync!$AK1638,4)&amp;MID(Sync!$AK1638,6,2)&amp;RIGHT(Sync!$AK1638,2))&amp;"|"&amp;"4"&amp;RIGHT("00000"&amp;1633,5))</f>
        <v/>
      </c>
      <c r="W1638">
        <f>IF($V1638="",0,COUNTIFS($V$6:$V$2005,"&lt;"&amp;$V1638)-COUNTIFS($V$6:$V$2005,"&lt;"&amp;$V1638,$K$6:$K$2005,"")+1)</f>
        <v/>
      </c>
    </row>
    <row r="1639">
      <c r="A1639">
        <f>IF(Sync!$Z1639="","",LEFT(UPPER(TRIM(Sync!$Z1639)),6))</f>
        <v/>
      </c>
      <c r="B1639">
        <f>IF($A1639="","",IF(Sync!$AA1639="","",Sync!$AA1639))</f>
        <v/>
      </c>
      <c r="C1639">
        <f>IF($A1639="","",IF(Sync!$AB1639="","",Sync!$AB1639))</f>
        <v/>
      </c>
      <c r="D1639">
        <f>IF($A1639="","",IF(Sync!$AC1639="","",Sync!$AC1639))</f>
        <v/>
      </c>
      <c r="E1639">
        <f>IF($A1639="","",IF(Sync!$AD1639="","",Sync!$AD1639))</f>
        <v/>
      </c>
      <c r="F1639">
        <f>IF($A1639="","",IF(Sync!$AE1639="",0,Sync!$AE1639))</f>
        <v/>
      </c>
      <c r="G1639">
        <f>IF($A1639="","",IF(Sync!$AF1639="",0,Sync!$AF1639))</f>
        <v/>
      </c>
      <c r="H1639">
        <f>IF(OR($A1639="",ROUND($F1639+$G1639,2)=0),"",$F1639+$G1639)</f>
        <v/>
      </c>
      <c r="I1639">
        <f>IF($H1639="","",IF(ROUND($F1639,2)&gt;0,$A1639,IF($D1639="شخصی قاسم","شخصی قاسم",IF($D1639="هزینه","هزینه: "&amp;IF($E1639="","متفرقه",$E1639),IF($C1639="پاس چک","چک پرداختی",IF(OR($B1639="",COUNTIF(AcctCodesA,$B1639)=0),"متفرقه",$B1639))))))</f>
        <v/>
      </c>
      <c r="J1639">
        <f>IF($H1639="","",IF(ROUND($F1639,2)&gt;0,IF($D1639="شخصی قاسم","شخصی قاسم",IF($D1639="هزینه","هزینه: "&amp;IF($E1639="","متفرقه",$E1639),IF(OR($B1639="",COUNTIF(AcctCodesA,$B1639)=0),"متفرقه",$B1639))),$A1639))</f>
        <v/>
      </c>
      <c r="K1639">
        <f>IF($A1639="","",IF(AND($B1639&lt;&gt;"",COUNTIF(AcctCodesA,$B1639)=0),"کد طرف در INFO تعریف نشده",IF(AND($D1639="هزینه",$E1639=""),"هزینه بدون زیرگروه",IF(AND($C1639="پاس چک",OR(Sync!$AJ1639="",COUNTIF(IssueNosA,Sync!$AJ1639)=0)),"شماره چک پاس‌شده معتبر نیست",""))))</f>
        <v/>
      </c>
      <c r="V1639">
        <f>IF($K1639="","",IF(ISNUMBER(Sync!$AK1639),Sync!$AK1639,LEFT(Sync!$AK1639,4)&amp;MID(Sync!$AK1639,6,2)&amp;RIGHT(Sync!$AK1639,2))&amp;"|"&amp;"4"&amp;RIGHT("00000"&amp;1634,5))</f>
        <v/>
      </c>
      <c r="W1639">
        <f>IF($V1639="",0,COUNTIFS($V$6:$V$2005,"&lt;"&amp;$V1639)-COUNTIFS($V$6:$V$2005,"&lt;"&amp;$V1639,$K$6:$K$2005,"")+1)</f>
        <v/>
      </c>
    </row>
    <row r="1640">
      <c r="A1640">
        <f>IF(Sync!$Z1640="","",LEFT(UPPER(TRIM(Sync!$Z1640)),6))</f>
        <v/>
      </c>
      <c r="B1640">
        <f>IF($A1640="","",IF(Sync!$AA1640="","",Sync!$AA1640))</f>
        <v/>
      </c>
      <c r="C1640">
        <f>IF($A1640="","",IF(Sync!$AB1640="","",Sync!$AB1640))</f>
        <v/>
      </c>
      <c r="D1640">
        <f>IF($A1640="","",IF(Sync!$AC1640="","",Sync!$AC1640))</f>
        <v/>
      </c>
      <c r="E1640">
        <f>IF($A1640="","",IF(Sync!$AD1640="","",Sync!$AD1640))</f>
        <v/>
      </c>
      <c r="F1640">
        <f>IF($A1640="","",IF(Sync!$AE1640="",0,Sync!$AE1640))</f>
        <v/>
      </c>
      <c r="G1640">
        <f>IF($A1640="","",IF(Sync!$AF1640="",0,Sync!$AF1640))</f>
        <v/>
      </c>
      <c r="H1640">
        <f>IF(OR($A1640="",ROUND($F1640+$G1640,2)=0),"",$F1640+$G1640)</f>
        <v/>
      </c>
      <c r="I1640">
        <f>IF($H1640="","",IF(ROUND($F1640,2)&gt;0,$A1640,IF($D1640="شخصی قاسم","شخصی قاسم",IF($D1640="هزینه","هزینه: "&amp;IF($E1640="","متفرقه",$E1640),IF($C1640="پاس چک","چک پرداختی",IF(OR($B1640="",COUNTIF(AcctCodesA,$B1640)=0),"متفرقه",$B1640))))))</f>
        <v/>
      </c>
      <c r="J1640">
        <f>IF($H1640="","",IF(ROUND($F1640,2)&gt;0,IF($D1640="شخصی قاسم","شخصی قاسم",IF($D1640="هزینه","هزینه: "&amp;IF($E1640="","متفرقه",$E1640),IF(OR($B1640="",COUNTIF(AcctCodesA,$B1640)=0),"متفرقه",$B1640))),$A1640))</f>
        <v/>
      </c>
      <c r="K1640">
        <f>IF($A1640="","",IF(AND($B1640&lt;&gt;"",COUNTIF(AcctCodesA,$B1640)=0),"کد طرف در INFO تعریف نشده",IF(AND($D1640="هزینه",$E1640=""),"هزینه بدون زیرگروه",IF(AND($C1640="پاس چک",OR(Sync!$AJ1640="",COUNTIF(IssueNosA,Sync!$AJ1640)=0)),"شماره چک پاس‌شده معتبر نیست",""))))</f>
        <v/>
      </c>
      <c r="V1640">
        <f>IF($K1640="","",IF(ISNUMBER(Sync!$AK1640),Sync!$AK1640,LEFT(Sync!$AK1640,4)&amp;MID(Sync!$AK1640,6,2)&amp;RIGHT(Sync!$AK1640,2))&amp;"|"&amp;"4"&amp;RIGHT("00000"&amp;1635,5))</f>
        <v/>
      </c>
      <c r="W1640">
        <f>IF($V1640="",0,COUNTIFS($V$6:$V$2005,"&lt;"&amp;$V1640)-COUNTIFS($V$6:$V$2005,"&lt;"&amp;$V1640,$K$6:$K$2005,"")+1)</f>
        <v/>
      </c>
    </row>
    <row r="1641">
      <c r="A1641">
        <f>IF(Sync!$Z1641="","",LEFT(UPPER(TRIM(Sync!$Z1641)),6))</f>
        <v/>
      </c>
      <c r="B1641">
        <f>IF($A1641="","",IF(Sync!$AA1641="","",Sync!$AA1641))</f>
        <v/>
      </c>
      <c r="C1641">
        <f>IF($A1641="","",IF(Sync!$AB1641="","",Sync!$AB1641))</f>
        <v/>
      </c>
      <c r="D1641">
        <f>IF($A1641="","",IF(Sync!$AC1641="","",Sync!$AC1641))</f>
        <v/>
      </c>
      <c r="E1641">
        <f>IF($A1641="","",IF(Sync!$AD1641="","",Sync!$AD1641))</f>
        <v/>
      </c>
      <c r="F1641">
        <f>IF($A1641="","",IF(Sync!$AE1641="",0,Sync!$AE1641))</f>
        <v/>
      </c>
      <c r="G1641">
        <f>IF($A1641="","",IF(Sync!$AF1641="",0,Sync!$AF1641))</f>
        <v/>
      </c>
      <c r="H1641">
        <f>IF(OR($A1641="",ROUND($F1641+$G1641,2)=0),"",$F1641+$G1641)</f>
        <v/>
      </c>
      <c r="I1641">
        <f>IF($H1641="","",IF(ROUND($F1641,2)&gt;0,$A1641,IF($D1641="شخصی قاسم","شخصی قاسم",IF($D1641="هزینه","هزینه: "&amp;IF($E1641="","متفرقه",$E1641),IF($C1641="پاس چک","چک پرداختی",IF(OR($B1641="",COUNTIF(AcctCodesA,$B1641)=0),"متفرقه",$B1641))))))</f>
        <v/>
      </c>
      <c r="J1641">
        <f>IF($H1641="","",IF(ROUND($F1641,2)&gt;0,IF($D1641="شخصی قاسم","شخصی قاسم",IF($D1641="هزینه","هزینه: "&amp;IF($E1641="","متفرقه",$E1641),IF(OR($B1641="",COUNTIF(AcctCodesA,$B1641)=0),"متفرقه",$B1641))),$A1641))</f>
        <v/>
      </c>
      <c r="K1641">
        <f>IF($A1641="","",IF(AND($B1641&lt;&gt;"",COUNTIF(AcctCodesA,$B1641)=0),"کد طرف در INFO تعریف نشده",IF(AND($D1641="هزینه",$E1641=""),"هزینه بدون زیرگروه",IF(AND($C1641="پاس چک",OR(Sync!$AJ1641="",COUNTIF(IssueNosA,Sync!$AJ1641)=0)),"شماره چک پاس‌شده معتبر نیست",""))))</f>
        <v/>
      </c>
      <c r="V1641">
        <f>IF($K1641="","",IF(ISNUMBER(Sync!$AK1641),Sync!$AK1641,LEFT(Sync!$AK1641,4)&amp;MID(Sync!$AK1641,6,2)&amp;RIGHT(Sync!$AK1641,2))&amp;"|"&amp;"4"&amp;RIGHT("00000"&amp;1636,5))</f>
        <v/>
      </c>
      <c r="W1641">
        <f>IF($V1641="",0,COUNTIFS($V$6:$V$2005,"&lt;"&amp;$V1641)-COUNTIFS($V$6:$V$2005,"&lt;"&amp;$V1641,$K$6:$K$2005,"")+1)</f>
        <v/>
      </c>
    </row>
    <row r="1642">
      <c r="A1642">
        <f>IF(Sync!$Z1642="","",LEFT(UPPER(TRIM(Sync!$Z1642)),6))</f>
        <v/>
      </c>
      <c r="B1642">
        <f>IF($A1642="","",IF(Sync!$AA1642="","",Sync!$AA1642))</f>
        <v/>
      </c>
      <c r="C1642">
        <f>IF($A1642="","",IF(Sync!$AB1642="","",Sync!$AB1642))</f>
        <v/>
      </c>
      <c r="D1642">
        <f>IF($A1642="","",IF(Sync!$AC1642="","",Sync!$AC1642))</f>
        <v/>
      </c>
      <c r="E1642">
        <f>IF($A1642="","",IF(Sync!$AD1642="","",Sync!$AD1642))</f>
        <v/>
      </c>
      <c r="F1642">
        <f>IF($A1642="","",IF(Sync!$AE1642="",0,Sync!$AE1642))</f>
        <v/>
      </c>
      <c r="G1642">
        <f>IF($A1642="","",IF(Sync!$AF1642="",0,Sync!$AF1642))</f>
        <v/>
      </c>
      <c r="H1642">
        <f>IF(OR($A1642="",ROUND($F1642+$G1642,2)=0),"",$F1642+$G1642)</f>
        <v/>
      </c>
      <c r="I1642">
        <f>IF($H1642="","",IF(ROUND($F1642,2)&gt;0,$A1642,IF($D1642="شخصی قاسم","شخصی قاسم",IF($D1642="هزینه","هزینه: "&amp;IF($E1642="","متفرقه",$E1642),IF($C1642="پاس چک","چک پرداختی",IF(OR($B1642="",COUNTIF(AcctCodesA,$B1642)=0),"متفرقه",$B1642))))))</f>
        <v/>
      </c>
      <c r="J1642">
        <f>IF($H1642="","",IF(ROUND($F1642,2)&gt;0,IF($D1642="شخصی قاسم","شخصی قاسم",IF($D1642="هزینه","هزینه: "&amp;IF($E1642="","متفرقه",$E1642),IF(OR($B1642="",COUNTIF(AcctCodesA,$B1642)=0),"متفرقه",$B1642))),$A1642))</f>
        <v/>
      </c>
      <c r="K1642">
        <f>IF($A1642="","",IF(AND($B1642&lt;&gt;"",COUNTIF(AcctCodesA,$B1642)=0),"کد طرف در INFO تعریف نشده",IF(AND($D1642="هزینه",$E1642=""),"هزینه بدون زیرگروه",IF(AND($C1642="پاس چک",OR(Sync!$AJ1642="",COUNTIF(IssueNosA,Sync!$AJ1642)=0)),"شماره چک پاس‌شده معتبر نیست",""))))</f>
        <v/>
      </c>
      <c r="V1642">
        <f>IF($K1642="","",IF(ISNUMBER(Sync!$AK1642),Sync!$AK1642,LEFT(Sync!$AK1642,4)&amp;MID(Sync!$AK1642,6,2)&amp;RIGHT(Sync!$AK1642,2))&amp;"|"&amp;"4"&amp;RIGHT("00000"&amp;1637,5))</f>
        <v/>
      </c>
      <c r="W1642">
        <f>IF($V1642="",0,COUNTIFS($V$6:$V$2005,"&lt;"&amp;$V1642)-COUNTIFS($V$6:$V$2005,"&lt;"&amp;$V1642,$K$6:$K$2005,"")+1)</f>
        <v/>
      </c>
    </row>
    <row r="1643">
      <c r="A1643">
        <f>IF(Sync!$Z1643="","",LEFT(UPPER(TRIM(Sync!$Z1643)),6))</f>
        <v/>
      </c>
      <c r="B1643">
        <f>IF($A1643="","",IF(Sync!$AA1643="","",Sync!$AA1643))</f>
        <v/>
      </c>
      <c r="C1643">
        <f>IF($A1643="","",IF(Sync!$AB1643="","",Sync!$AB1643))</f>
        <v/>
      </c>
      <c r="D1643">
        <f>IF($A1643="","",IF(Sync!$AC1643="","",Sync!$AC1643))</f>
        <v/>
      </c>
      <c r="E1643">
        <f>IF($A1643="","",IF(Sync!$AD1643="","",Sync!$AD1643))</f>
        <v/>
      </c>
      <c r="F1643">
        <f>IF($A1643="","",IF(Sync!$AE1643="",0,Sync!$AE1643))</f>
        <v/>
      </c>
      <c r="G1643">
        <f>IF($A1643="","",IF(Sync!$AF1643="",0,Sync!$AF1643))</f>
        <v/>
      </c>
      <c r="H1643">
        <f>IF(OR($A1643="",ROUND($F1643+$G1643,2)=0),"",$F1643+$G1643)</f>
        <v/>
      </c>
      <c r="I1643">
        <f>IF($H1643="","",IF(ROUND($F1643,2)&gt;0,$A1643,IF($D1643="شخصی قاسم","شخصی قاسم",IF($D1643="هزینه","هزینه: "&amp;IF($E1643="","متفرقه",$E1643),IF($C1643="پاس چک","چک پرداختی",IF(OR($B1643="",COUNTIF(AcctCodesA,$B1643)=0),"متفرقه",$B1643))))))</f>
        <v/>
      </c>
      <c r="J1643">
        <f>IF($H1643="","",IF(ROUND($F1643,2)&gt;0,IF($D1643="شخصی قاسم","شخصی قاسم",IF($D1643="هزینه","هزینه: "&amp;IF($E1643="","متفرقه",$E1643),IF(OR($B1643="",COUNTIF(AcctCodesA,$B1643)=0),"متفرقه",$B1643))),$A1643))</f>
        <v/>
      </c>
      <c r="K1643">
        <f>IF($A1643="","",IF(AND($B1643&lt;&gt;"",COUNTIF(AcctCodesA,$B1643)=0),"کد طرف در INFO تعریف نشده",IF(AND($D1643="هزینه",$E1643=""),"هزینه بدون زیرگروه",IF(AND($C1643="پاس چک",OR(Sync!$AJ1643="",COUNTIF(IssueNosA,Sync!$AJ1643)=0)),"شماره چک پاس‌شده معتبر نیست",""))))</f>
        <v/>
      </c>
      <c r="V1643">
        <f>IF($K1643="","",IF(ISNUMBER(Sync!$AK1643),Sync!$AK1643,LEFT(Sync!$AK1643,4)&amp;MID(Sync!$AK1643,6,2)&amp;RIGHT(Sync!$AK1643,2))&amp;"|"&amp;"4"&amp;RIGHT("00000"&amp;1638,5))</f>
        <v/>
      </c>
      <c r="W1643">
        <f>IF($V1643="",0,COUNTIFS($V$6:$V$2005,"&lt;"&amp;$V1643)-COUNTIFS($V$6:$V$2005,"&lt;"&amp;$V1643,$K$6:$K$2005,"")+1)</f>
        <v/>
      </c>
    </row>
    <row r="1644">
      <c r="A1644">
        <f>IF(Sync!$Z1644="","",LEFT(UPPER(TRIM(Sync!$Z1644)),6))</f>
        <v/>
      </c>
      <c r="B1644">
        <f>IF($A1644="","",IF(Sync!$AA1644="","",Sync!$AA1644))</f>
        <v/>
      </c>
      <c r="C1644">
        <f>IF($A1644="","",IF(Sync!$AB1644="","",Sync!$AB1644))</f>
        <v/>
      </c>
      <c r="D1644">
        <f>IF($A1644="","",IF(Sync!$AC1644="","",Sync!$AC1644))</f>
        <v/>
      </c>
      <c r="E1644">
        <f>IF($A1644="","",IF(Sync!$AD1644="","",Sync!$AD1644))</f>
        <v/>
      </c>
      <c r="F1644">
        <f>IF($A1644="","",IF(Sync!$AE1644="",0,Sync!$AE1644))</f>
        <v/>
      </c>
      <c r="G1644">
        <f>IF($A1644="","",IF(Sync!$AF1644="",0,Sync!$AF1644))</f>
        <v/>
      </c>
      <c r="H1644">
        <f>IF(OR($A1644="",ROUND($F1644+$G1644,2)=0),"",$F1644+$G1644)</f>
        <v/>
      </c>
      <c r="I1644">
        <f>IF($H1644="","",IF(ROUND($F1644,2)&gt;0,$A1644,IF($D1644="شخصی قاسم","شخصی قاسم",IF($D1644="هزینه","هزینه: "&amp;IF($E1644="","متفرقه",$E1644),IF($C1644="پاس چک","چک پرداختی",IF(OR($B1644="",COUNTIF(AcctCodesA,$B1644)=0),"متفرقه",$B1644))))))</f>
        <v/>
      </c>
      <c r="J1644">
        <f>IF($H1644="","",IF(ROUND($F1644,2)&gt;0,IF($D1644="شخصی قاسم","شخصی قاسم",IF($D1644="هزینه","هزینه: "&amp;IF($E1644="","متفرقه",$E1644),IF(OR($B1644="",COUNTIF(AcctCodesA,$B1644)=0),"متفرقه",$B1644))),$A1644))</f>
        <v/>
      </c>
      <c r="K1644">
        <f>IF($A1644="","",IF(AND($B1644&lt;&gt;"",COUNTIF(AcctCodesA,$B1644)=0),"کد طرف در INFO تعریف نشده",IF(AND($D1644="هزینه",$E1644=""),"هزینه بدون زیرگروه",IF(AND($C1644="پاس چک",OR(Sync!$AJ1644="",COUNTIF(IssueNosA,Sync!$AJ1644)=0)),"شماره چک پاس‌شده معتبر نیست",""))))</f>
        <v/>
      </c>
      <c r="V1644">
        <f>IF($K1644="","",IF(ISNUMBER(Sync!$AK1644),Sync!$AK1644,LEFT(Sync!$AK1644,4)&amp;MID(Sync!$AK1644,6,2)&amp;RIGHT(Sync!$AK1644,2))&amp;"|"&amp;"4"&amp;RIGHT("00000"&amp;1639,5))</f>
        <v/>
      </c>
      <c r="W1644">
        <f>IF($V1644="",0,COUNTIFS($V$6:$V$2005,"&lt;"&amp;$V1644)-COUNTIFS($V$6:$V$2005,"&lt;"&amp;$V1644,$K$6:$K$2005,"")+1)</f>
        <v/>
      </c>
    </row>
    <row r="1645">
      <c r="A1645">
        <f>IF(Sync!$Z1645="","",LEFT(UPPER(TRIM(Sync!$Z1645)),6))</f>
        <v/>
      </c>
      <c r="B1645">
        <f>IF($A1645="","",IF(Sync!$AA1645="","",Sync!$AA1645))</f>
        <v/>
      </c>
      <c r="C1645">
        <f>IF($A1645="","",IF(Sync!$AB1645="","",Sync!$AB1645))</f>
        <v/>
      </c>
      <c r="D1645">
        <f>IF($A1645="","",IF(Sync!$AC1645="","",Sync!$AC1645))</f>
        <v/>
      </c>
      <c r="E1645">
        <f>IF($A1645="","",IF(Sync!$AD1645="","",Sync!$AD1645))</f>
        <v/>
      </c>
      <c r="F1645">
        <f>IF($A1645="","",IF(Sync!$AE1645="",0,Sync!$AE1645))</f>
        <v/>
      </c>
      <c r="G1645">
        <f>IF($A1645="","",IF(Sync!$AF1645="",0,Sync!$AF1645))</f>
        <v/>
      </c>
      <c r="H1645">
        <f>IF(OR($A1645="",ROUND($F1645+$G1645,2)=0),"",$F1645+$G1645)</f>
        <v/>
      </c>
      <c r="I1645">
        <f>IF($H1645="","",IF(ROUND($F1645,2)&gt;0,$A1645,IF($D1645="شخصی قاسم","شخصی قاسم",IF($D1645="هزینه","هزینه: "&amp;IF($E1645="","متفرقه",$E1645),IF($C1645="پاس چک","چک پرداختی",IF(OR($B1645="",COUNTIF(AcctCodesA,$B1645)=0),"متفرقه",$B1645))))))</f>
        <v/>
      </c>
      <c r="J1645">
        <f>IF($H1645="","",IF(ROUND($F1645,2)&gt;0,IF($D1645="شخصی قاسم","شخصی قاسم",IF($D1645="هزینه","هزینه: "&amp;IF($E1645="","متفرقه",$E1645),IF(OR($B1645="",COUNTIF(AcctCodesA,$B1645)=0),"متفرقه",$B1645))),$A1645))</f>
        <v/>
      </c>
      <c r="K1645">
        <f>IF($A1645="","",IF(AND($B1645&lt;&gt;"",COUNTIF(AcctCodesA,$B1645)=0),"کد طرف در INFO تعریف نشده",IF(AND($D1645="هزینه",$E1645=""),"هزینه بدون زیرگروه",IF(AND($C1645="پاس چک",OR(Sync!$AJ1645="",COUNTIF(IssueNosA,Sync!$AJ1645)=0)),"شماره چک پاس‌شده معتبر نیست",""))))</f>
        <v/>
      </c>
      <c r="V1645">
        <f>IF($K1645="","",IF(ISNUMBER(Sync!$AK1645),Sync!$AK1645,LEFT(Sync!$AK1645,4)&amp;MID(Sync!$AK1645,6,2)&amp;RIGHT(Sync!$AK1645,2))&amp;"|"&amp;"4"&amp;RIGHT("00000"&amp;1640,5))</f>
        <v/>
      </c>
      <c r="W1645">
        <f>IF($V1645="",0,COUNTIFS($V$6:$V$2005,"&lt;"&amp;$V1645)-COUNTIFS($V$6:$V$2005,"&lt;"&amp;$V1645,$K$6:$K$2005,"")+1)</f>
        <v/>
      </c>
    </row>
    <row r="1646">
      <c r="A1646">
        <f>IF(Sync!$Z1646="","",LEFT(UPPER(TRIM(Sync!$Z1646)),6))</f>
        <v/>
      </c>
      <c r="B1646">
        <f>IF($A1646="","",IF(Sync!$AA1646="","",Sync!$AA1646))</f>
        <v/>
      </c>
      <c r="C1646">
        <f>IF($A1646="","",IF(Sync!$AB1646="","",Sync!$AB1646))</f>
        <v/>
      </c>
      <c r="D1646">
        <f>IF($A1646="","",IF(Sync!$AC1646="","",Sync!$AC1646))</f>
        <v/>
      </c>
      <c r="E1646">
        <f>IF($A1646="","",IF(Sync!$AD1646="","",Sync!$AD1646))</f>
        <v/>
      </c>
      <c r="F1646">
        <f>IF($A1646="","",IF(Sync!$AE1646="",0,Sync!$AE1646))</f>
        <v/>
      </c>
      <c r="G1646">
        <f>IF($A1646="","",IF(Sync!$AF1646="",0,Sync!$AF1646))</f>
        <v/>
      </c>
      <c r="H1646">
        <f>IF(OR($A1646="",ROUND($F1646+$G1646,2)=0),"",$F1646+$G1646)</f>
        <v/>
      </c>
      <c r="I1646">
        <f>IF($H1646="","",IF(ROUND($F1646,2)&gt;0,$A1646,IF($D1646="شخصی قاسم","شخصی قاسم",IF($D1646="هزینه","هزینه: "&amp;IF($E1646="","متفرقه",$E1646),IF($C1646="پاس چک","چک پرداختی",IF(OR($B1646="",COUNTIF(AcctCodesA,$B1646)=0),"متفرقه",$B1646))))))</f>
        <v/>
      </c>
      <c r="J1646">
        <f>IF($H1646="","",IF(ROUND($F1646,2)&gt;0,IF($D1646="شخصی قاسم","شخصی قاسم",IF($D1646="هزینه","هزینه: "&amp;IF($E1646="","متفرقه",$E1646),IF(OR($B1646="",COUNTIF(AcctCodesA,$B1646)=0),"متفرقه",$B1646))),$A1646))</f>
        <v/>
      </c>
      <c r="K1646">
        <f>IF($A1646="","",IF(AND($B1646&lt;&gt;"",COUNTIF(AcctCodesA,$B1646)=0),"کد طرف در INFO تعریف نشده",IF(AND($D1646="هزینه",$E1646=""),"هزینه بدون زیرگروه",IF(AND($C1646="پاس چک",OR(Sync!$AJ1646="",COUNTIF(IssueNosA,Sync!$AJ1646)=0)),"شماره چک پاس‌شده معتبر نیست",""))))</f>
        <v/>
      </c>
      <c r="V1646">
        <f>IF($K1646="","",IF(ISNUMBER(Sync!$AK1646),Sync!$AK1646,LEFT(Sync!$AK1646,4)&amp;MID(Sync!$AK1646,6,2)&amp;RIGHT(Sync!$AK1646,2))&amp;"|"&amp;"4"&amp;RIGHT("00000"&amp;1641,5))</f>
        <v/>
      </c>
      <c r="W1646">
        <f>IF($V1646="",0,COUNTIFS($V$6:$V$2005,"&lt;"&amp;$V1646)-COUNTIFS($V$6:$V$2005,"&lt;"&amp;$V1646,$K$6:$K$2005,"")+1)</f>
        <v/>
      </c>
    </row>
    <row r="1647">
      <c r="A1647">
        <f>IF(Sync!$Z1647="","",LEFT(UPPER(TRIM(Sync!$Z1647)),6))</f>
        <v/>
      </c>
      <c r="B1647">
        <f>IF($A1647="","",IF(Sync!$AA1647="","",Sync!$AA1647))</f>
        <v/>
      </c>
      <c r="C1647">
        <f>IF($A1647="","",IF(Sync!$AB1647="","",Sync!$AB1647))</f>
        <v/>
      </c>
      <c r="D1647">
        <f>IF($A1647="","",IF(Sync!$AC1647="","",Sync!$AC1647))</f>
        <v/>
      </c>
      <c r="E1647">
        <f>IF($A1647="","",IF(Sync!$AD1647="","",Sync!$AD1647))</f>
        <v/>
      </c>
      <c r="F1647">
        <f>IF($A1647="","",IF(Sync!$AE1647="",0,Sync!$AE1647))</f>
        <v/>
      </c>
      <c r="G1647">
        <f>IF($A1647="","",IF(Sync!$AF1647="",0,Sync!$AF1647))</f>
        <v/>
      </c>
      <c r="H1647">
        <f>IF(OR($A1647="",ROUND($F1647+$G1647,2)=0),"",$F1647+$G1647)</f>
        <v/>
      </c>
      <c r="I1647">
        <f>IF($H1647="","",IF(ROUND($F1647,2)&gt;0,$A1647,IF($D1647="شخصی قاسم","شخصی قاسم",IF($D1647="هزینه","هزینه: "&amp;IF($E1647="","متفرقه",$E1647),IF($C1647="پاس چک","چک پرداختی",IF(OR($B1647="",COUNTIF(AcctCodesA,$B1647)=0),"متفرقه",$B1647))))))</f>
        <v/>
      </c>
      <c r="J1647">
        <f>IF($H1647="","",IF(ROUND($F1647,2)&gt;0,IF($D1647="شخصی قاسم","شخصی قاسم",IF($D1647="هزینه","هزینه: "&amp;IF($E1647="","متفرقه",$E1647),IF(OR($B1647="",COUNTIF(AcctCodesA,$B1647)=0),"متفرقه",$B1647))),$A1647))</f>
        <v/>
      </c>
      <c r="K1647">
        <f>IF($A1647="","",IF(AND($B1647&lt;&gt;"",COUNTIF(AcctCodesA,$B1647)=0),"کد طرف در INFO تعریف نشده",IF(AND($D1647="هزینه",$E1647=""),"هزینه بدون زیرگروه",IF(AND($C1647="پاس چک",OR(Sync!$AJ1647="",COUNTIF(IssueNosA,Sync!$AJ1647)=0)),"شماره چک پاس‌شده معتبر نیست",""))))</f>
        <v/>
      </c>
      <c r="V1647">
        <f>IF($K1647="","",IF(ISNUMBER(Sync!$AK1647),Sync!$AK1647,LEFT(Sync!$AK1647,4)&amp;MID(Sync!$AK1647,6,2)&amp;RIGHT(Sync!$AK1647,2))&amp;"|"&amp;"4"&amp;RIGHT("00000"&amp;1642,5))</f>
        <v/>
      </c>
      <c r="W1647">
        <f>IF($V1647="",0,COUNTIFS($V$6:$V$2005,"&lt;"&amp;$V1647)-COUNTIFS($V$6:$V$2005,"&lt;"&amp;$V1647,$K$6:$K$2005,"")+1)</f>
        <v/>
      </c>
    </row>
    <row r="1648">
      <c r="A1648">
        <f>IF(Sync!$Z1648="","",LEFT(UPPER(TRIM(Sync!$Z1648)),6))</f>
        <v/>
      </c>
      <c r="B1648">
        <f>IF($A1648="","",IF(Sync!$AA1648="","",Sync!$AA1648))</f>
        <v/>
      </c>
      <c r="C1648">
        <f>IF($A1648="","",IF(Sync!$AB1648="","",Sync!$AB1648))</f>
        <v/>
      </c>
      <c r="D1648">
        <f>IF($A1648="","",IF(Sync!$AC1648="","",Sync!$AC1648))</f>
        <v/>
      </c>
      <c r="E1648">
        <f>IF($A1648="","",IF(Sync!$AD1648="","",Sync!$AD1648))</f>
        <v/>
      </c>
      <c r="F1648">
        <f>IF($A1648="","",IF(Sync!$AE1648="",0,Sync!$AE1648))</f>
        <v/>
      </c>
      <c r="G1648">
        <f>IF($A1648="","",IF(Sync!$AF1648="",0,Sync!$AF1648))</f>
        <v/>
      </c>
      <c r="H1648">
        <f>IF(OR($A1648="",ROUND($F1648+$G1648,2)=0),"",$F1648+$G1648)</f>
        <v/>
      </c>
      <c r="I1648">
        <f>IF($H1648="","",IF(ROUND($F1648,2)&gt;0,$A1648,IF($D1648="شخصی قاسم","شخصی قاسم",IF($D1648="هزینه","هزینه: "&amp;IF($E1648="","متفرقه",$E1648),IF($C1648="پاس چک","چک پرداختی",IF(OR($B1648="",COUNTIF(AcctCodesA,$B1648)=0),"متفرقه",$B1648))))))</f>
        <v/>
      </c>
      <c r="J1648">
        <f>IF($H1648="","",IF(ROUND($F1648,2)&gt;0,IF($D1648="شخصی قاسم","شخصی قاسم",IF($D1648="هزینه","هزینه: "&amp;IF($E1648="","متفرقه",$E1648),IF(OR($B1648="",COUNTIF(AcctCodesA,$B1648)=0),"متفرقه",$B1648))),$A1648))</f>
        <v/>
      </c>
      <c r="K1648">
        <f>IF($A1648="","",IF(AND($B1648&lt;&gt;"",COUNTIF(AcctCodesA,$B1648)=0),"کد طرف در INFO تعریف نشده",IF(AND($D1648="هزینه",$E1648=""),"هزینه بدون زیرگروه",IF(AND($C1648="پاس چک",OR(Sync!$AJ1648="",COUNTIF(IssueNosA,Sync!$AJ1648)=0)),"شماره چک پاس‌شده معتبر نیست",""))))</f>
        <v/>
      </c>
      <c r="V1648">
        <f>IF($K1648="","",IF(ISNUMBER(Sync!$AK1648),Sync!$AK1648,LEFT(Sync!$AK1648,4)&amp;MID(Sync!$AK1648,6,2)&amp;RIGHT(Sync!$AK1648,2))&amp;"|"&amp;"4"&amp;RIGHT("00000"&amp;1643,5))</f>
        <v/>
      </c>
      <c r="W1648">
        <f>IF($V1648="",0,COUNTIFS($V$6:$V$2005,"&lt;"&amp;$V1648)-COUNTIFS($V$6:$V$2005,"&lt;"&amp;$V1648,$K$6:$K$2005,"")+1)</f>
        <v/>
      </c>
    </row>
    <row r="1649">
      <c r="A1649">
        <f>IF(Sync!$Z1649="","",LEFT(UPPER(TRIM(Sync!$Z1649)),6))</f>
        <v/>
      </c>
      <c r="B1649">
        <f>IF($A1649="","",IF(Sync!$AA1649="","",Sync!$AA1649))</f>
        <v/>
      </c>
      <c r="C1649">
        <f>IF($A1649="","",IF(Sync!$AB1649="","",Sync!$AB1649))</f>
        <v/>
      </c>
      <c r="D1649">
        <f>IF($A1649="","",IF(Sync!$AC1649="","",Sync!$AC1649))</f>
        <v/>
      </c>
      <c r="E1649">
        <f>IF($A1649="","",IF(Sync!$AD1649="","",Sync!$AD1649))</f>
        <v/>
      </c>
      <c r="F1649">
        <f>IF($A1649="","",IF(Sync!$AE1649="",0,Sync!$AE1649))</f>
        <v/>
      </c>
      <c r="G1649">
        <f>IF($A1649="","",IF(Sync!$AF1649="",0,Sync!$AF1649))</f>
        <v/>
      </c>
      <c r="H1649">
        <f>IF(OR($A1649="",ROUND($F1649+$G1649,2)=0),"",$F1649+$G1649)</f>
        <v/>
      </c>
      <c r="I1649">
        <f>IF($H1649="","",IF(ROUND($F1649,2)&gt;0,$A1649,IF($D1649="شخصی قاسم","شخصی قاسم",IF($D1649="هزینه","هزینه: "&amp;IF($E1649="","متفرقه",$E1649),IF($C1649="پاس چک","چک پرداختی",IF(OR($B1649="",COUNTIF(AcctCodesA,$B1649)=0),"متفرقه",$B1649))))))</f>
        <v/>
      </c>
      <c r="J1649">
        <f>IF($H1649="","",IF(ROUND($F1649,2)&gt;0,IF($D1649="شخصی قاسم","شخصی قاسم",IF($D1649="هزینه","هزینه: "&amp;IF($E1649="","متفرقه",$E1649),IF(OR($B1649="",COUNTIF(AcctCodesA,$B1649)=0),"متفرقه",$B1649))),$A1649))</f>
        <v/>
      </c>
      <c r="K1649">
        <f>IF($A1649="","",IF(AND($B1649&lt;&gt;"",COUNTIF(AcctCodesA,$B1649)=0),"کد طرف در INFO تعریف نشده",IF(AND($D1649="هزینه",$E1649=""),"هزینه بدون زیرگروه",IF(AND($C1649="پاس چک",OR(Sync!$AJ1649="",COUNTIF(IssueNosA,Sync!$AJ1649)=0)),"شماره چک پاس‌شده معتبر نیست",""))))</f>
        <v/>
      </c>
      <c r="V1649">
        <f>IF($K1649="","",IF(ISNUMBER(Sync!$AK1649),Sync!$AK1649,LEFT(Sync!$AK1649,4)&amp;MID(Sync!$AK1649,6,2)&amp;RIGHT(Sync!$AK1649,2))&amp;"|"&amp;"4"&amp;RIGHT("00000"&amp;1644,5))</f>
        <v/>
      </c>
      <c r="W1649">
        <f>IF($V1649="",0,COUNTIFS($V$6:$V$2005,"&lt;"&amp;$V1649)-COUNTIFS($V$6:$V$2005,"&lt;"&amp;$V1649,$K$6:$K$2005,"")+1)</f>
        <v/>
      </c>
    </row>
    <row r="1650">
      <c r="A1650">
        <f>IF(Sync!$Z1650="","",LEFT(UPPER(TRIM(Sync!$Z1650)),6))</f>
        <v/>
      </c>
      <c r="B1650">
        <f>IF($A1650="","",IF(Sync!$AA1650="","",Sync!$AA1650))</f>
        <v/>
      </c>
      <c r="C1650">
        <f>IF($A1650="","",IF(Sync!$AB1650="","",Sync!$AB1650))</f>
        <v/>
      </c>
      <c r="D1650">
        <f>IF($A1650="","",IF(Sync!$AC1650="","",Sync!$AC1650))</f>
        <v/>
      </c>
      <c r="E1650">
        <f>IF($A1650="","",IF(Sync!$AD1650="","",Sync!$AD1650))</f>
        <v/>
      </c>
      <c r="F1650">
        <f>IF($A1650="","",IF(Sync!$AE1650="",0,Sync!$AE1650))</f>
        <v/>
      </c>
      <c r="G1650">
        <f>IF($A1650="","",IF(Sync!$AF1650="",0,Sync!$AF1650))</f>
        <v/>
      </c>
      <c r="H1650">
        <f>IF(OR($A1650="",ROUND($F1650+$G1650,2)=0),"",$F1650+$G1650)</f>
        <v/>
      </c>
      <c r="I1650">
        <f>IF($H1650="","",IF(ROUND($F1650,2)&gt;0,$A1650,IF($D1650="شخصی قاسم","شخصی قاسم",IF($D1650="هزینه","هزینه: "&amp;IF($E1650="","متفرقه",$E1650),IF($C1650="پاس چک","چک پرداختی",IF(OR($B1650="",COUNTIF(AcctCodesA,$B1650)=0),"متفرقه",$B1650))))))</f>
        <v/>
      </c>
      <c r="J1650">
        <f>IF($H1650="","",IF(ROUND($F1650,2)&gt;0,IF($D1650="شخصی قاسم","شخصی قاسم",IF($D1650="هزینه","هزینه: "&amp;IF($E1650="","متفرقه",$E1650),IF(OR($B1650="",COUNTIF(AcctCodesA,$B1650)=0),"متفرقه",$B1650))),$A1650))</f>
        <v/>
      </c>
      <c r="K1650">
        <f>IF($A1650="","",IF(AND($B1650&lt;&gt;"",COUNTIF(AcctCodesA,$B1650)=0),"کد طرف در INFO تعریف نشده",IF(AND($D1650="هزینه",$E1650=""),"هزینه بدون زیرگروه",IF(AND($C1650="پاس چک",OR(Sync!$AJ1650="",COUNTIF(IssueNosA,Sync!$AJ1650)=0)),"شماره چک پاس‌شده معتبر نیست",""))))</f>
        <v/>
      </c>
      <c r="V1650">
        <f>IF($K1650="","",IF(ISNUMBER(Sync!$AK1650),Sync!$AK1650,LEFT(Sync!$AK1650,4)&amp;MID(Sync!$AK1650,6,2)&amp;RIGHT(Sync!$AK1650,2))&amp;"|"&amp;"4"&amp;RIGHT("00000"&amp;1645,5))</f>
        <v/>
      </c>
      <c r="W1650">
        <f>IF($V1650="",0,COUNTIFS($V$6:$V$2005,"&lt;"&amp;$V1650)-COUNTIFS($V$6:$V$2005,"&lt;"&amp;$V1650,$K$6:$K$2005,"")+1)</f>
        <v/>
      </c>
    </row>
    <row r="1651">
      <c r="A1651">
        <f>IF(Sync!$Z1651="","",LEFT(UPPER(TRIM(Sync!$Z1651)),6))</f>
        <v/>
      </c>
      <c r="B1651">
        <f>IF($A1651="","",IF(Sync!$AA1651="","",Sync!$AA1651))</f>
        <v/>
      </c>
      <c r="C1651">
        <f>IF($A1651="","",IF(Sync!$AB1651="","",Sync!$AB1651))</f>
        <v/>
      </c>
      <c r="D1651">
        <f>IF($A1651="","",IF(Sync!$AC1651="","",Sync!$AC1651))</f>
        <v/>
      </c>
      <c r="E1651">
        <f>IF($A1651="","",IF(Sync!$AD1651="","",Sync!$AD1651))</f>
        <v/>
      </c>
      <c r="F1651">
        <f>IF($A1651="","",IF(Sync!$AE1651="",0,Sync!$AE1651))</f>
        <v/>
      </c>
      <c r="G1651">
        <f>IF($A1651="","",IF(Sync!$AF1651="",0,Sync!$AF1651))</f>
        <v/>
      </c>
      <c r="H1651">
        <f>IF(OR($A1651="",ROUND($F1651+$G1651,2)=0),"",$F1651+$G1651)</f>
        <v/>
      </c>
      <c r="I1651">
        <f>IF($H1651="","",IF(ROUND($F1651,2)&gt;0,$A1651,IF($D1651="شخصی قاسم","شخصی قاسم",IF($D1651="هزینه","هزینه: "&amp;IF($E1651="","متفرقه",$E1651),IF($C1651="پاس چک","چک پرداختی",IF(OR($B1651="",COUNTIF(AcctCodesA,$B1651)=0),"متفرقه",$B1651))))))</f>
        <v/>
      </c>
      <c r="J1651">
        <f>IF($H1651="","",IF(ROUND($F1651,2)&gt;0,IF($D1651="شخصی قاسم","شخصی قاسم",IF($D1651="هزینه","هزینه: "&amp;IF($E1651="","متفرقه",$E1651),IF(OR($B1651="",COUNTIF(AcctCodesA,$B1651)=0),"متفرقه",$B1651))),$A1651))</f>
        <v/>
      </c>
      <c r="K1651">
        <f>IF($A1651="","",IF(AND($B1651&lt;&gt;"",COUNTIF(AcctCodesA,$B1651)=0),"کد طرف در INFO تعریف نشده",IF(AND($D1651="هزینه",$E1651=""),"هزینه بدون زیرگروه",IF(AND($C1651="پاس چک",OR(Sync!$AJ1651="",COUNTIF(IssueNosA,Sync!$AJ1651)=0)),"شماره چک پاس‌شده معتبر نیست",""))))</f>
        <v/>
      </c>
      <c r="V1651">
        <f>IF($K1651="","",IF(ISNUMBER(Sync!$AK1651),Sync!$AK1651,LEFT(Sync!$AK1651,4)&amp;MID(Sync!$AK1651,6,2)&amp;RIGHT(Sync!$AK1651,2))&amp;"|"&amp;"4"&amp;RIGHT("00000"&amp;1646,5))</f>
        <v/>
      </c>
      <c r="W1651">
        <f>IF($V1651="",0,COUNTIFS($V$6:$V$2005,"&lt;"&amp;$V1651)-COUNTIFS($V$6:$V$2005,"&lt;"&amp;$V1651,$K$6:$K$2005,"")+1)</f>
        <v/>
      </c>
    </row>
    <row r="1652">
      <c r="A1652">
        <f>IF(Sync!$Z1652="","",LEFT(UPPER(TRIM(Sync!$Z1652)),6))</f>
        <v/>
      </c>
      <c r="B1652">
        <f>IF($A1652="","",IF(Sync!$AA1652="","",Sync!$AA1652))</f>
        <v/>
      </c>
      <c r="C1652">
        <f>IF($A1652="","",IF(Sync!$AB1652="","",Sync!$AB1652))</f>
        <v/>
      </c>
      <c r="D1652">
        <f>IF($A1652="","",IF(Sync!$AC1652="","",Sync!$AC1652))</f>
        <v/>
      </c>
      <c r="E1652">
        <f>IF($A1652="","",IF(Sync!$AD1652="","",Sync!$AD1652))</f>
        <v/>
      </c>
      <c r="F1652">
        <f>IF($A1652="","",IF(Sync!$AE1652="",0,Sync!$AE1652))</f>
        <v/>
      </c>
      <c r="G1652">
        <f>IF($A1652="","",IF(Sync!$AF1652="",0,Sync!$AF1652))</f>
        <v/>
      </c>
      <c r="H1652">
        <f>IF(OR($A1652="",ROUND($F1652+$G1652,2)=0),"",$F1652+$G1652)</f>
        <v/>
      </c>
      <c r="I1652">
        <f>IF($H1652="","",IF(ROUND($F1652,2)&gt;0,$A1652,IF($D1652="شخصی قاسم","شخصی قاسم",IF($D1652="هزینه","هزینه: "&amp;IF($E1652="","متفرقه",$E1652),IF($C1652="پاس چک","چک پرداختی",IF(OR($B1652="",COUNTIF(AcctCodesA,$B1652)=0),"متفرقه",$B1652))))))</f>
        <v/>
      </c>
      <c r="J1652">
        <f>IF($H1652="","",IF(ROUND($F1652,2)&gt;0,IF($D1652="شخصی قاسم","شخصی قاسم",IF($D1652="هزینه","هزینه: "&amp;IF($E1652="","متفرقه",$E1652),IF(OR($B1652="",COUNTIF(AcctCodesA,$B1652)=0),"متفرقه",$B1652))),$A1652))</f>
        <v/>
      </c>
      <c r="K1652">
        <f>IF($A1652="","",IF(AND($B1652&lt;&gt;"",COUNTIF(AcctCodesA,$B1652)=0),"کد طرف در INFO تعریف نشده",IF(AND($D1652="هزینه",$E1652=""),"هزینه بدون زیرگروه",IF(AND($C1652="پاس چک",OR(Sync!$AJ1652="",COUNTIF(IssueNosA,Sync!$AJ1652)=0)),"شماره چک پاس‌شده معتبر نیست",""))))</f>
        <v/>
      </c>
      <c r="V1652">
        <f>IF($K1652="","",IF(ISNUMBER(Sync!$AK1652),Sync!$AK1652,LEFT(Sync!$AK1652,4)&amp;MID(Sync!$AK1652,6,2)&amp;RIGHT(Sync!$AK1652,2))&amp;"|"&amp;"4"&amp;RIGHT("00000"&amp;1647,5))</f>
        <v/>
      </c>
      <c r="W1652">
        <f>IF($V1652="",0,COUNTIFS($V$6:$V$2005,"&lt;"&amp;$V1652)-COUNTIFS($V$6:$V$2005,"&lt;"&amp;$V1652,$K$6:$K$2005,"")+1)</f>
        <v/>
      </c>
    </row>
    <row r="1653">
      <c r="A1653">
        <f>IF(Sync!$Z1653="","",LEFT(UPPER(TRIM(Sync!$Z1653)),6))</f>
        <v/>
      </c>
      <c r="B1653">
        <f>IF($A1653="","",IF(Sync!$AA1653="","",Sync!$AA1653))</f>
        <v/>
      </c>
      <c r="C1653">
        <f>IF($A1653="","",IF(Sync!$AB1653="","",Sync!$AB1653))</f>
        <v/>
      </c>
      <c r="D1653">
        <f>IF($A1653="","",IF(Sync!$AC1653="","",Sync!$AC1653))</f>
        <v/>
      </c>
      <c r="E1653">
        <f>IF($A1653="","",IF(Sync!$AD1653="","",Sync!$AD1653))</f>
        <v/>
      </c>
      <c r="F1653">
        <f>IF($A1653="","",IF(Sync!$AE1653="",0,Sync!$AE1653))</f>
        <v/>
      </c>
      <c r="G1653">
        <f>IF($A1653="","",IF(Sync!$AF1653="",0,Sync!$AF1653))</f>
        <v/>
      </c>
      <c r="H1653">
        <f>IF(OR($A1653="",ROUND($F1653+$G1653,2)=0),"",$F1653+$G1653)</f>
        <v/>
      </c>
      <c r="I1653">
        <f>IF($H1653="","",IF(ROUND($F1653,2)&gt;0,$A1653,IF($D1653="شخصی قاسم","شخصی قاسم",IF($D1653="هزینه","هزینه: "&amp;IF($E1653="","متفرقه",$E1653),IF($C1653="پاس چک","چک پرداختی",IF(OR($B1653="",COUNTIF(AcctCodesA,$B1653)=0),"متفرقه",$B1653))))))</f>
        <v/>
      </c>
      <c r="J1653">
        <f>IF($H1653="","",IF(ROUND($F1653,2)&gt;0,IF($D1653="شخصی قاسم","شخصی قاسم",IF($D1653="هزینه","هزینه: "&amp;IF($E1653="","متفرقه",$E1653),IF(OR($B1653="",COUNTIF(AcctCodesA,$B1653)=0),"متفرقه",$B1653))),$A1653))</f>
        <v/>
      </c>
      <c r="K1653">
        <f>IF($A1653="","",IF(AND($B1653&lt;&gt;"",COUNTIF(AcctCodesA,$B1653)=0),"کد طرف در INFO تعریف نشده",IF(AND($D1653="هزینه",$E1653=""),"هزینه بدون زیرگروه",IF(AND($C1653="پاس چک",OR(Sync!$AJ1653="",COUNTIF(IssueNosA,Sync!$AJ1653)=0)),"شماره چک پاس‌شده معتبر نیست",""))))</f>
        <v/>
      </c>
      <c r="V1653">
        <f>IF($K1653="","",IF(ISNUMBER(Sync!$AK1653),Sync!$AK1653,LEFT(Sync!$AK1653,4)&amp;MID(Sync!$AK1653,6,2)&amp;RIGHT(Sync!$AK1653,2))&amp;"|"&amp;"4"&amp;RIGHT("00000"&amp;1648,5))</f>
        <v/>
      </c>
      <c r="W1653">
        <f>IF($V1653="",0,COUNTIFS($V$6:$V$2005,"&lt;"&amp;$V1653)-COUNTIFS($V$6:$V$2005,"&lt;"&amp;$V1653,$K$6:$K$2005,"")+1)</f>
        <v/>
      </c>
    </row>
    <row r="1654">
      <c r="A1654">
        <f>IF(Sync!$Z1654="","",LEFT(UPPER(TRIM(Sync!$Z1654)),6))</f>
        <v/>
      </c>
      <c r="B1654">
        <f>IF($A1654="","",IF(Sync!$AA1654="","",Sync!$AA1654))</f>
        <v/>
      </c>
      <c r="C1654">
        <f>IF($A1654="","",IF(Sync!$AB1654="","",Sync!$AB1654))</f>
        <v/>
      </c>
      <c r="D1654">
        <f>IF($A1654="","",IF(Sync!$AC1654="","",Sync!$AC1654))</f>
        <v/>
      </c>
      <c r="E1654">
        <f>IF($A1654="","",IF(Sync!$AD1654="","",Sync!$AD1654))</f>
        <v/>
      </c>
      <c r="F1654">
        <f>IF($A1654="","",IF(Sync!$AE1654="",0,Sync!$AE1654))</f>
        <v/>
      </c>
      <c r="G1654">
        <f>IF($A1654="","",IF(Sync!$AF1654="",0,Sync!$AF1654))</f>
        <v/>
      </c>
      <c r="H1654">
        <f>IF(OR($A1654="",ROUND($F1654+$G1654,2)=0),"",$F1654+$G1654)</f>
        <v/>
      </c>
      <c r="I1654">
        <f>IF($H1654="","",IF(ROUND($F1654,2)&gt;0,$A1654,IF($D1654="شخصی قاسم","شخصی قاسم",IF($D1654="هزینه","هزینه: "&amp;IF($E1654="","متفرقه",$E1654),IF($C1654="پاس چک","چک پرداختی",IF(OR($B1654="",COUNTIF(AcctCodesA,$B1654)=0),"متفرقه",$B1654))))))</f>
        <v/>
      </c>
      <c r="J1654">
        <f>IF($H1654="","",IF(ROUND($F1654,2)&gt;0,IF($D1654="شخصی قاسم","شخصی قاسم",IF($D1654="هزینه","هزینه: "&amp;IF($E1654="","متفرقه",$E1654),IF(OR($B1654="",COUNTIF(AcctCodesA,$B1654)=0),"متفرقه",$B1654))),$A1654))</f>
        <v/>
      </c>
      <c r="K1654">
        <f>IF($A1654="","",IF(AND($B1654&lt;&gt;"",COUNTIF(AcctCodesA,$B1654)=0),"کد طرف در INFO تعریف نشده",IF(AND($D1654="هزینه",$E1654=""),"هزینه بدون زیرگروه",IF(AND($C1654="پاس چک",OR(Sync!$AJ1654="",COUNTIF(IssueNosA,Sync!$AJ1654)=0)),"شماره چک پاس‌شده معتبر نیست",""))))</f>
        <v/>
      </c>
      <c r="V1654">
        <f>IF($K1654="","",IF(ISNUMBER(Sync!$AK1654),Sync!$AK1654,LEFT(Sync!$AK1654,4)&amp;MID(Sync!$AK1654,6,2)&amp;RIGHT(Sync!$AK1654,2))&amp;"|"&amp;"4"&amp;RIGHT("00000"&amp;1649,5))</f>
        <v/>
      </c>
      <c r="W1654">
        <f>IF($V1654="",0,COUNTIFS($V$6:$V$2005,"&lt;"&amp;$V1654)-COUNTIFS($V$6:$V$2005,"&lt;"&amp;$V1654,$K$6:$K$2005,"")+1)</f>
        <v/>
      </c>
    </row>
    <row r="1655">
      <c r="A1655">
        <f>IF(Sync!$Z1655="","",LEFT(UPPER(TRIM(Sync!$Z1655)),6))</f>
        <v/>
      </c>
      <c r="B1655">
        <f>IF($A1655="","",IF(Sync!$AA1655="","",Sync!$AA1655))</f>
        <v/>
      </c>
      <c r="C1655">
        <f>IF($A1655="","",IF(Sync!$AB1655="","",Sync!$AB1655))</f>
        <v/>
      </c>
      <c r="D1655">
        <f>IF($A1655="","",IF(Sync!$AC1655="","",Sync!$AC1655))</f>
        <v/>
      </c>
      <c r="E1655">
        <f>IF($A1655="","",IF(Sync!$AD1655="","",Sync!$AD1655))</f>
        <v/>
      </c>
      <c r="F1655">
        <f>IF($A1655="","",IF(Sync!$AE1655="",0,Sync!$AE1655))</f>
        <v/>
      </c>
      <c r="G1655">
        <f>IF($A1655="","",IF(Sync!$AF1655="",0,Sync!$AF1655))</f>
        <v/>
      </c>
      <c r="H1655">
        <f>IF(OR($A1655="",ROUND($F1655+$G1655,2)=0),"",$F1655+$G1655)</f>
        <v/>
      </c>
      <c r="I1655">
        <f>IF($H1655="","",IF(ROUND($F1655,2)&gt;0,$A1655,IF($D1655="شخصی قاسم","شخصی قاسم",IF($D1655="هزینه","هزینه: "&amp;IF($E1655="","متفرقه",$E1655),IF($C1655="پاس چک","چک پرداختی",IF(OR($B1655="",COUNTIF(AcctCodesA,$B1655)=0),"متفرقه",$B1655))))))</f>
        <v/>
      </c>
      <c r="J1655">
        <f>IF($H1655="","",IF(ROUND($F1655,2)&gt;0,IF($D1655="شخصی قاسم","شخصی قاسم",IF($D1655="هزینه","هزینه: "&amp;IF($E1655="","متفرقه",$E1655),IF(OR($B1655="",COUNTIF(AcctCodesA,$B1655)=0),"متفرقه",$B1655))),$A1655))</f>
        <v/>
      </c>
      <c r="K1655">
        <f>IF($A1655="","",IF(AND($B1655&lt;&gt;"",COUNTIF(AcctCodesA,$B1655)=0),"کد طرف در INFO تعریف نشده",IF(AND($D1655="هزینه",$E1655=""),"هزینه بدون زیرگروه",IF(AND($C1655="پاس چک",OR(Sync!$AJ1655="",COUNTIF(IssueNosA,Sync!$AJ1655)=0)),"شماره چک پاس‌شده معتبر نیست",""))))</f>
        <v/>
      </c>
      <c r="V1655">
        <f>IF($K1655="","",IF(ISNUMBER(Sync!$AK1655),Sync!$AK1655,LEFT(Sync!$AK1655,4)&amp;MID(Sync!$AK1655,6,2)&amp;RIGHT(Sync!$AK1655,2))&amp;"|"&amp;"4"&amp;RIGHT("00000"&amp;1650,5))</f>
        <v/>
      </c>
      <c r="W1655">
        <f>IF($V1655="",0,COUNTIFS($V$6:$V$2005,"&lt;"&amp;$V1655)-COUNTIFS($V$6:$V$2005,"&lt;"&amp;$V1655,$K$6:$K$2005,"")+1)</f>
        <v/>
      </c>
    </row>
    <row r="1656">
      <c r="A1656">
        <f>IF(Sync!$Z1656="","",LEFT(UPPER(TRIM(Sync!$Z1656)),6))</f>
        <v/>
      </c>
      <c r="B1656">
        <f>IF($A1656="","",IF(Sync!$AA1656="","",Sync!$AA1656))</f>
        <v/>
      </c>
      <c r="C1656">
        <f>IF($A1656="","",IF(Sync!$AB1656="","",Sync!$AB1656))</f>
        <v/>
      </c>
      <c r="D1656">
        <f>IF($A1656="","",IF(Sync!$AC1656="","",Sync!$AC1656))</f>
        <v/>
      </c>
      <c r="E1656">
        <f>IF($A1656="","",IF(Sync!$AD1656="","",Sync!$AD1656))</f>
        <v/>
      </c>
      <c r="F1656">
        <f>IF($A1656="","",IF(Sync!$AE1656="",0,Sync!$AE1656))</f>
        <v/>
      </c>
      <c r="G1656">
        <f>IF($A1656="","",IF(Sync!$AF1656="",0,Sync!$AF1656))</f>
        <v/>
      </c>
      <c r="H1656">
        <f>IF(OR($A1656="",ROUND($F1656+$G1656,2)=0),"",$F1656+$G1656)</f>
        <v/>
      </c>
      <c r="I1656">
        <f>IF($H1656="","",IF(ROUND($F1656,2)&gt;0,$A1656,IF($D1656="شخصی قاسم","شخصی قاسم",IF($D1656="هزینه","هزینه: "&amp;IF($E1656="","متفرقه",$E1656),IF($C1656="پاس چک","چک پرداختی",IF(OR($B1656="",COUNTIF(AcctCodesA,$B1656)=0),"متفرقه",$B1656))))))</f>
        <v/>
      </c>
      <c r="J1656">
        <f>IF($H1656="","",IF(ROUND($F1656,2)&gt;0,IF($D1656="شخصی قاسم","شخصی قاسم",IF($D1656="هزینه","هزینه: "&amp;IF($E1656="","متفرقه",$E1656),IF(OR($B1656="",COUNTIF(AcctCodesA,$B1656)=0),"متفرقه",$B1656))),$A1656))</f>
        <v/>
      </c>
      <c r="K1656">
        <f>IF($A1656="","",IF(AND($B1656&lt;&gt;"",COUNTIF(AcctCodesA,$B1656)=0),"کد طرف در INFO تعریف نشده",IF(AND($D1656="هزینه",$E1656=""),"هزینه بدون زیرگروه",IF(AND($C1656="پاس چک",OR(Sync!$AJ1656="",COUNTIF(IssueNosA,Sync!$AJ1656)=0)),"شماره چک پاس‌شده معتبر نیست",""))))</f>
        <v/>
      </c>
      <c r="V1656">
        <f>IF($K1656="","",IF(ISNUMBER(Sync!$AK1656),Sync!$AK1656,LEFT(Sync!$AK1656,4)&amp;MID(Sync!$AK1656,6,2)&amp;RIGHT(Sync!$AK1656,2))&amp;"|"&amp;"4"&amp;RIGHT("00000"&amp;1651,5))</f>
        <v/>
      </c>
      <c r="W1656">
        <f>IF($V1656="",0,COUNTIFS($V$6:$V$2005,"&lt;"&amp;$V1656)-COUNTIFS($V$6:$V$2005,"&lt;"&amp;$V1656,$K$6:$K$2005,"")+1)</f>
        <v/>
      </c>
    </row>
    <row r="1657">
      <c r="A1657">
        <f>IF(Sync!$Z1657="","",LEFT(UPPER(TRIM(Sync!$Z1657)),6))</f>
        <v/>
      </c>
      <c r="B1657">
        <f>IF($A1657="","",IF(Sync!$AA1657="","",Sync!$AA1657))</f>
        <v/>
      </c>
      <c r="C1657">
        <f>IF($A1657="","",IF(Sync!$AB1657="","",Sync!$AB1657))</f>
        <v/>
      </c>
      <c r="D1657">
        <f>IF($A1657="","",IF(Sync!$AC1657="","",Sync!$AC1657))</f>
        <v/>
      </c>
      <c r="E1657">
        <f>IF($A1657="","",IF(Sync!$AD1657="","",Sync!$AD1657))</f>
        <v/>
      </c>
      <c r="F1657">
        <f>IF($A1657="","",IF(Sync!$AE1657="",0,Sync!$AE1657))</f>
        <v/>
      </c>
      <c r="G1657">
        <f>IF($A1657="","",IF(Sync!$AF1657="",0,Sync!$AF1657))</f>
        <v/>
      </c>
      <c r="H1657">
        <f>IF(OR($A1657="",ROUND($F1657+$G1657,2)=0),"",$F1657+$G1657)</f>
        <v/>
      </c>
      <c r="I1657">
        <f>IF($H1657="","",IF(ROUND($F1657,2)&gt;0,$A1657,IF($D1657="شخصی قاسم","شخصی قاسم",IF($D1657="هزینه","هزینه: "&amp;IF($E1657="","متفرقه",$E1657),IF($C1657="پاس چک","چک پرداختی",IF(OR($B1657="",COUNTIF(AcctCodesA,$B1657)=0),"متفرقه",$B1657))))))</f>
        <v/>
      </c>
      <c r="J1657">
        <f>IF($H1657="","",IF(ROUND($F1657,2)&gt;0,IF($D1657="شخصی قاسم","شخصی قاسم",IF($D1657="هزینه","هزینه: "&amp;IF($E1657="","متفرقه",$E1657),IF(OR($B1657="",COUNTIF(AcctCodesA,$B1657)=0),"متفرقه",$B1657))),$A1657))</f>
        <v/>
      </c>
      <c r="K1657">
        <f>IF($A1657="","",IF(AND($B1657&lt;&gt;"",COUNTIF(AcctCodesA,$B1657)=0),"کد طرف در INFO تعریف نشده",IF(AND($D1657="هزینه",$E1657=""),"هزینه بدون زیرگروه",IF(AND($C1657="پاس چک",OR(Sync!$AJ1657="",COUNTIF(IssueNosA,Sync!$AJ1657)=0)),"شماره چک پاس‌شده معتبر نیست",""))))</f>
        <v/>
      </c>
      <c r="V1657">
        <f>IF($K1657="","",IF(ISNUMBER(Sync!$AK1657),Sync!$AK1657,LEFT(Sync!$AK1657,4)&amp;MID(Sync!$AK1657,6,2)&amp;RIGHT(Sync!$AK1657,2))&amp;"|"&amp;"4"&amp;RIGHT("00000"&amp;1652,5))</f>
        <v/>
      </c>
      <c r="W1657">
        <f>IF($V1657="",0,COUNTIFS($V$6:$V$2005,"&lt;"&amp;$V1657)-COUNTIFS($V$6:$V$2005,"&lt;"&amp;$V1657,$K$6:$K$2005,"")+1)</f>
        <v/>
      </c>
    </row>
    <row r="1658">
      <c r="A1658">
        <f>IF(Sync!$Z1658="","",LEFT(UPPER(TRIM(Sync!$Z1658)),6))</f>
        <v/>
      </c>
      <c r="B1658">
        <f>IF($A1658="","",IF(Sync!$AA1658="","",Sync!$AA1658))</f>
        <v/>
      </c>
      <c r="C1658">
        <f>IF($A1658="","",IF(Sync!$AB1658="","",Sync!$AB1658))</f>
        <v/>
      </c>
      <c r="D1658">
        <f>IF($A1658="","",IF(Sync!$AC1658="","",Sync!$AC1658))</f>
        <v/>
      </c>
      <c r="E1658">
        <f>IF($A1658="","",IF(Sync!$AD1658="","",Sync!$AD1658))</f>
        <v/>
      </c>
      <c r="F1658">
        <f>IF($A1658="","",IF(Sync!$AE1658="",0,Sync!$AE1658))</f>
        <v/>
      </c>
      <c r="G1658">
        <f>IF($A1658="","",IF(Sync!$AF1658="",0,Sync!$AF1658))</f>
        <v/>
      </c>
      <c r="H1658">
        <f>IF(OR($A1658="",ROUND($F1658+$G1658,2)=0),"",$F1658+$G1658)</f>
        <v/>
      </c>
      <c r="I1658">
        <f>IF($H1658="","",IF(ROUND($F1658,2)&gt;0,$A1658,IF($D1658="شخصی قاسم","شخصی قاسم",IF($D1658="هزینه","هزینه: "&amp;IF($E1658="","متفرقه",$E1658),IF($C1658="پاس چک","چک پرداختی",IF(OR($B1658="",COUNTIF(AcctCodesA,$B1658)=0),"متفرقه",$B1658))))))</f>
        <v/>
      </c>
      <c r="J1658">
        <f>IF($H1658="","",IF(ROUND($F1658,2)&gt;0,IF($D1658="شخصی قاسم","شخصی قاسم",IF($D1658="هزینه","هزینه: "&amp;IF($E1658="","متفرقه",$E1658),IF(OR($B1658="",COUNTIF(AcctCodesA,$B1658)=0),"متفرقه",$B1658))),$A1658))</f>
        <v/>
      </c>
      <c r="K1658">
        <f>IF($A1658="","",IF(AND($B1658&lt;&gt;"",COUNTIF(AcctCodesA,$B1658)=0),"کد طرف در INFO تعریف نشده",IF(AND($D1658="هزینه",$E1658=""),"هزینه بدون زیرگروه",IF(AND($C1658="پاس چک",OR(Sync!$AJ1658="",COUNTIF(IssueNosA,Sync!$AJ1658)=0)),"شماره چک پاس‌شده معتبر نیست",""))))</f>
        <v/>
      </c>
      <c r="V1658">
        <f>IF($K1658="","",IF(ISNUMBER(Sync!$AK1658),Sync!$AK1658,LEFT(Sync!$AK1658,4)&amp;MID(Sync!$AK1658,6,2)&amp;RIGHT(Sync!$AK1658,2))&amp;"|"&amp;"4"&amp;RIGHT("00000"&amp;1653,5))</f>
        <v/>
      </c>
      <c r="W1658">
        <f>IF($V1658="",0,COUNTIFS($V$6:$V$2005,"&lt;"&amp;$V1658)-COUNTIFS($V$6:$V$2005,"&lt;"&amp;$V1658,$K$6:$K$2005,"")+1)</f>
        <v/>
      </c>
    </row>
    <row r="1659">
      <c r="A1659">
        <f>IF(Sync!$Z1659="","",LEFT(UPPER(TRIM(Sync!$Z1659)),6))</f>
        <v/>
      </c>
      <c r="B1659">
        <f>IF($A1659="","",IF(Sync!$AA1659="","",Sync!$AA1659))</f>
        <v/>
      </c>
      <c r="C1659">
        <f>IF($A1659="","",IF(Sync!$AB1659="","",Sync!$AB1659))</f>
        <v/>
      </c>
      <c r="D1659">
        <f>IF($A1659="","",IF(Sync!$AC1659="","",Sync!$AC1659))</f>
        <v/>
      </c>
      <c r="E1659">
        <f>IF($A1659="","",IF(Sync!$AD1659="","",Sync!$AD1659))</f>
        <v/>
      </c>
      <c r="F1659">
        <f>IF($A1659="","",IF(Sync!$AE1659="",0,Sync!$AE1659))</f>
        <v/>
      </c>
      <c r="G1659">
        <f>IF($A1659="","",IF(Sync!$AF1659="",0,Sync!$AF1659))</f>
        <v/>
      </c>
      <c r="H1659">
        <f>IF(OR($A1659="",ROUND($F1659+$G1659,2)=0),"",$F1659+$G1659)</f>
        <v/>
      </c>
      <c r="I1659">
        <f>IF($H1659="","",IF(ROUND($F1659,2)&gt;0,$A1659,IF($D1659="شخصی قاسم","شخصی قاسم",IF($D1659="هزینه","هزینه: "&amp;IF($E1659="","متفرقه",$E1659),IF($C1659="پاس چک","چک پرداختی",IF(OR($B1659="",COUNTIF(AcctCodesA,$B1659)=0),"متفرقه",$B1659))))))</f>
        <v/>
      </c>
      <c r="J1659">
        <f>IF($H1659="","",IF(ROUND($F1659,2)&gt;0,IF($D1659="شخصی قاسم","شخصی قاسم",IF($D1659="هزینه","هزینه: "&amp;IF($E1659="","متفرقه",$E1659),IF(OR($B1659="",COUNTIF(AcctCodesA,$B1659)=0),"متفرقه",$B1659))),$A1659))</f>
        <v/>
      </c>
      <c r="K1659">
        <f>IF($A1659="","",IF(AND($B1659&lt;&gt;"",COUNTIF(AcctCodesA,$B1659)=0),"کد طرف در INFO تعریف نشده",IF(AND($D1659="هزینه",$E1659=""),"هزینه بدون زیرگروه",IF(AND($C1659="پاس چک",OR(Sync!$AJ1659="",COUNTIF(IssueNosA,Sync!$AJ1659)=0)),"شماره چک پاس‌شده معتبر نیست",""))))</f>
        <v/>
      </c>
      <c r="V1659">
        <f>IF($K1659="","",IF(ISNUMBER(Sync!$AK1659),Sync!$AK1659,LEFT(Sync!$AK1659,4)&amp;MID(Sync!$AK1659,6,2)&amp;RIGHT(Sync!$AK1659,2))&amp;"|"&amp;"4"&amp;RIGHT("00000"&amp;1654,5))</f>
        <v/>
      </c>
      <c r="W1659">
        <f>IF($V1659="",0,COUNTIFS($V$6:$V$2005,"&lt;"&amp;$V1659)-COUNTIFS($V$6:$V$2005,"&lt;"&amp;$V1659,$K$6:$K$2005,"")+1)</f>
        <v/>
      </c>
    </row>
    <row r="1660">
      <c r="A1660">
        <f>IF(Sync!$Z1660="","",LEFT(UPPER(TRIM(Sync!$Z1660)),6))</f>
        <v/>
      </c>
      <c r="B1660">
        <f>IF($A1660="","",IF(Sync!$AA1660="","",Sync!$AA1660))</f>
        <v/>
      </c>
      <c r="C1660">
        <f>IF($A1660="","",IF(Sync!$AB1660="","",Sync!$AB1660))</f>
        <v/>
      </c>
      <c r="D1660">
        <f>IF($A1660="","",IF(Sync!$AC1660="","",Sync!$AC1660))</f>
        <v/>
      </c>
      <c r="E1660">
        <f>IF($A1660="","",IF(Sync!$AD1660="","",Sync!$AD1660))</f>
        <v/>
      </c>
      <c r="F1660">
        <f>IF($A1660="","",IF(Sync!$AE1660="",0,Sync!$AE1660))</f>
        <v/>
      </c>
      <c r="G1660">
        <f>IF($A1660="","",IF(Sync!$AF1660="",0,Sync!$AF1660))</f>
        <v/>
      </c>
      <c r="H1660">
        <f>IF(OR($A1660="",ROUND($F1660+$G1660,2)=0),"",$F1660+$G1660)</f>
        <v/>
      </c>
      <c r="I1660">
        <f>IF($H1660="","",IF(ROUND($F1660,2)&gt;0,$A1660,IF($D1660="شخصی قاسم","شخصی قاسم",IF($D1660="هزینه","هزینه: "&amp;IF($E1660="","متفرقه",$E1660),IF($C1660="پاس چک","چک پرداختی",IF(OR($B1660="",COUNTIF(AcctCodesA,$B1660)=0),"متفرقه",$B1660))))))</f>
        <v/>
      </c>
      <c r="J1660">
        <f>IF($H1660="","",IF(ROUND($F1660,2)&gt;0,IF($D1660="شخصی قاسم","شخصی قاسم",IF($D1660="هزینه","هزینه: "&amp;IF($E1660="","متفرقه",$E1660),IF(OR($B1660="",COUNTIF(AcctCodesA,$B1660)=0),"متفرقه",$B1660))),$A1660))</f>
        <v/>
      </c>
      <c r="K1660">
        <f>IF($A1660="","",IF(AND($B1660&lt;&gt;"",COUNTIF(AcctCodesA,$B1660)=0),"کد طرف در INFO تعریف نشده",IF(AND($D1660="هزینه",$E1660=""),"هزینه بدون زیرگروه",IF(AND($C1660="پاس چک",OR(Sync!$AJ1660="",COUNTIF(IssueNosA,Sync!$AJ1660)=0)),"شماره چک پاس‌شده معتبر نیست",""))))</f>
        <v/>
      </c>
      <c r="V1660">
        <f>IF($K1660="","",IF(ISNUMBER(Sync!$AK1660),Sync!$AK1660,LEFT(Sync!$AK1660,4)&amp;MID(Sync!$AK1660,6,2)&amp;RIGHT(Sync!$AK1660,2))&amp;"|"&amp;"4"&amp;RIGHT("00000"&amp;1655,5))</f>
        <v/>
      </c>
      <c r="W1660">
        <f>IF($V1660="",0,COUNTIFS($V$6:$V$2005,"&lt;"&amp;$V1660)-COUNTIFS($V$6:$V$2005,"&lt;"&amp;$V1660,$K$6:$K$2005,"")+1)</f>
        <v/>
      </c>
    </row>
    <row r="1661">
      <c r="A1661">
        <f>IF(Sync!$Z1661="","",LEFT(UPPER(TRIM(Sync!$Z1661)),6))</f>
        <v/>
      </c>
      <c r="B1661">
        <f>IF($A1661="","",IF(Sync!$AA1661="","",Sync!$AA1661))</f>
        <v/>
      </c>
      <c r="C1661">
        <f>IF($A1661="","",IF(Sync!$AB1661="","",Sync!$AB1661))</f>
        <v/>
      </c>
      <c r="D1661">
        <f>IF($A1661="","",IF(Sync!$AC1661="","",Sync!$AC1661))</f>
        <v/>
      </c>
      <c r="E1661">
        <f>IF($A1661="","",IF(Sync!$AD1661="","",Sync!$AD1661))</f>
        <v/>
      </c>
      <c r="F1661">
        <f>IF($A1661="","",IF(Sync!$AE1661="",0,Sync!$AE1661))</f>
        <v/>
      </c>
      <c r="G1661">
        <f>IF($A1661="","",IF(Sync!$AF1661="",0,Sync!$AF1661))</f>
        <v/>
      </c>
      <c r="H1661">
        <f>IF(OR($A1661="",ROUND($F1661+$G1661,2)=0),"",$F1661+$G1661)</f>
        <v/>
      </c>
      <c r="I1661">
        <f>IF($H1661="","",IF(ROUND($F1661,2)&gt;0,$A1661,IF($D1661="شخصی قاسم","شخصی قاسم",IF($D1661="هزینه","هزینه: "&amp;IF($E1661="","متفرقه",$E1661),IF($C1661="پاس چک","چک پرداختی",IF(OR($B1661="",COUNTIF(AcctCodesA,$B1661)=0),"متفرقه",$B1661))))))</f>
        <v/>
      </c>
      <c r="J1661">
        <f>IF($H1661="","",IF(ROUND($F1661,2)&gt;0,IF($D1661="شخصی قاسم","شخصی قاسم",IF($D1661="هزینه","هزینه: "&amp;IF($E1661="","متفرقه",$E1661),IF(OR($B1661="",COUNTIF(AcctCodesA,$B1661)=0),"متفرقه",$B1661))),$A1661))</f>
        <v/>
      </c>
      <c r="K1661">
        <f>IF($A1661="","",IF(AND($B1661&lt;&gt;"",COUNTIF(AcctCodesA,$B1661)=0),"کد طرف در INFO تعریف نشده",IF(AND($D1661="هزینه",$E1661=""),"هزینه بدون زیرگروه",IF(AND($C1661="پاس چک",OR(Sync!$AJ1661="",COUNTIF(IssueNosA,Sync!$AJ1661)=0)),"شماره چک پاس‌شده معتبر نیست",""))))</f>
        <v/>
      </c>
      <c r="V1661">
        <f>IF($K1661="","",IF(ISNUMBER(Sync!$AK1661),Sync!$AK1661,LEFT(Sync!$AK1661,4)&amp;MID(Sync!$AK1661,6,2)&amp;RIGHT(Sync!$AK1661,2))&amp;"|"&amp;"4"&amp;RIGHT("00000"&amp;1656,5))</f>
        <v/>
      </c>
      <c r="W1661">
        <f>IF($V1661="",0,COUNTIFS($V$6:$V$2005,"&lt;"&amp;$V1661)-COUNTIFS($V$6:$V$2005,"&lt;"&amp;$V1661,$K$6:$K$2005,"")+1)</f>
        <v/>
      </c>
    </row>
    <row r="1662">
      <c r="A1662">
        <f>IF(Sync!$Z1662="","",LEFT(UPPER(TRIM(Sync!$Z1662)),6))</f>
        <v/>
      </c>
      <c r="B1662">
        <f>IF($A1662="","",IF(Sync!$AA1662="","",Sync!$AA1662))</f>
        <v/>
      </c>
      <c r="C1662">
        <f>IF($A1662="","",IF(Sync!$AB1662="","",Sync!$AB1662))</f>
        <v/>
      </c>
      <c r="D1662">
        <f>IF($A1662="","",IF(Sync!$AC1662="","",Sync!$AC1662))</f>
        <v/>
      </c>
      <c r="E1662">
        <f>IF($A1662="","",IF(Sync!$AD1662="","",Sync!$AD1662))</f>
        <v/>
      </c>
      <c r="F1662">
        <f>IF($A1662="","",IF(Sync!$AE1662="",0,Sync!$AE1662))</f>
        <v/>
      </c>
      <c r="G1662">
        <f>IF($A1662="","",IF(Sync!$AF1662="",0,Sync!$AF1662))</f>
        <v/>
      </c>
      <c r="H1662">
        <f>IF(OR($A1662="",ROUND($F1662+$G1662,2)=0),"",$F1662+$G1662)</f>
        <v/>
      </c>
      <c r="I1662">
        <f>IF($H1662="","",IF(ROUND($F1662,2)&gt;0,$A1662,IF($D1662="شخصی قاسم","شخصی قاسم",IF($D1662="هزینه","هزینه: "&amp;IF($E1662="","متفرقه",$E1662),IF($C1662="پاس چک","چک پرداختی",IF(OR($B1662="",COUNTIF(AcctCodesA,$B1662)=0),"متفرقه",$B1662))))))</f>
        <v/>
      </c>
      <c r="J1662">
        <f>IF($H1662="","",IF(ROUND($F1662,2)&gt;0,IF($D1662="شخصی قاسم","شخصی قاسم",IF($D1662="هزینه","هزینه: "&amp;IF($E1662="","متفرقه",$E1662),IF(OR($B1662="",COUNTIF(AcctCodesA,$B1662)=0),"متفرقه",$B1662))),$A1662))</f>
        <v/>
      </c>
      <c r="K1662">
        <f>IF($A1662="","",IF(AND($B1662&lt;&gt;"",COUNTIF(AcctCodesA,$B1662)=0),"کد طرف در INFO تعریف نشده",IF(AND($D1662="هزینه",$E1662=""),"هزینه بدون زیرگروه",IF(AND($C1662="پاس چک",OR(Sync!$AJ1662="",COUNTIF(IssueNosA,Sync!$AJ1662)=0)),"شماره چک پاس‌شده معتبر نیست",""))))</f>
        <v/>
      </c>
      <c r="V1662">
        <f>IF($K1662="","",IF(ISNUMBER(Sync!$AK1662),Sync!$AK1662,LEFT(Sync!$AK1662,4)&amp;MID(Sync!$AK1662,6,2)&amp;RIGHT(Sync!$AK1662,2))&amp;"|"&amp;"4"&amp;RIGHT("00000"&amp;1657,5))</f>
        <v/>
      </c>
      <c r="W1662">
        <f>IF($V1662="",0,COUNTIFS($V$6:$V$2005,"&lt;"&amp;$V1662)-COUNTIFS($V$6:$V$2005,"&lt;"&amp;$V1662,$K$6:$K$2005,"")+1)</f>
        <v/>
      </c>
    </row>
    <row r="1663">
      <c r="A1663">
        <f>IF(Sync!$Z1663="","",LEFT(UPPER(TRIM(Sync!$Z1663)),6))</f>
        <v/>
      </c>
      <c r="B1663">
        <f>IF($A1663="","",IF(Sync!$AA1663="","",Sync!$AA1663))</f>
        <v/>
      </c>
      <c r="C1663">
        <f>IF($A1663="","",IF(Sync!$AB1663="","",Sync!$AB1663))</f>
        <v/>
      </c>
      <c r="D1663">
        <f>IF($A1663="","",IF(Sync!$AC1663="","",Sync!$AC1663))</f>
        <v/>
      </c>
      <c r="E1663">
        <f>IF($A1663="","",IF(Sync!$AD1663="","",Sync!$AD1663))</f>
        <v/>
      </c>
      <c r="F1663">
        <f>IF($A1663="","",IF(Sync!$AE1663="",0,Sync!$AE1663))</f>
        <v/>
      </c>
      <c r="G1663">
        <f>IF($A1663="","",IF(Sync!$AF1663="",0,Sync!$AF1663))</f>
        <v/>
      </c>
      <c r="H1663">
        <f>IF(OR($A1663="",ROUND($F1663+$G1663,2)=0),"",$F1663+$G1663)</f>
        <v/>
      </c>
      <c r="I1663">
        <f>IF($H1663="","",IF(ROUND($F1663,2)&gt;0,$A1663,IF($D1663="شخصی قاسم","شخصی قاسم",IF($D1663="هزینه","هزینه: "&amp;IF($E1663="","متفرقه",$E1663),IF($C1663="پاس چک","چک پرداختی",IF(OR($B1663="",COUNTIF(AcctCodesA,$B1663)=0),"متفرقه",$B1663))))))</f>
        <v/>
      </c>
      <c r="J1663">
        <f>IF($H1663="","",IF(ROUND($F1663,2)&gt;0,IF($D1663="شخصی قاسم","شخصی قاسم",IF($D1663="هزینه","هزینه: "&amp;IF($E1663="","متفرقه",$E1663),IF(OR($B1663="",COUNTIF(AcctCodesA,$B1663)=0),"متفرقه",$B1663))),$A1663))</f>
        <v/>
      </c>
      <c r="K1663">
        <f>IF($A1663="","",IF(AND($B1663&lt;&gt;"",COUNTIF(AcctCodesA,$B1663)=0),"کد طرف در INFO تعریف نشده",IF(AND($D1663="هزینه",$E1663=""),"هزینه بدون زیرگروه",IF(AND($C1663="پاس چک",OR(Sync!$AJ1663="",COUNTIF(IssueNosA,Sync!$AJ1663)=0)),"شماره چک پاس‌شده معتبر نیست",""))))</f>
        <v/>
      </c>
      <c r="V1663">
        <f>IF($K1663="","",IF(ISNUMBER(Sync!$AK1663),Sync!$AK1663,LEFT(Sync!$AK1663,4)&amp;MID(Sync!$AK1663,6,2)&amp;RIGHT(Sync!$AK1663,2))&amp;"|"&amp;"4"&amp;RIGHT("00000"&amp;1658,5))</f>
        <v/>
      </c>
      <c r="W1663">
        <f>IF($V1663="",0,COUNTIFS($V$6:$V$2005,"&lt;"&amp;$V1663)-COUNTIFS($V$6:$V$2005,"&lt;"&amp;$V1663,$K$6:$K$2005,"")+1)</f>
        <v/>
      </c>
    </row>
    <row r="1664">
      <c r="A1664">
        <f>IF(Sync!$Z1664="","",LEFT(UPPER(TRIM(Sync!$Z1664)),6))</f>
        <v/>
      </c>
      <c r="B1664">
        <f>IF($A1664="","",IF(Sync!$AA1664="","",Sync!$AA1664))</f>
        <v/>
      </c>
      <c r="C1664">
        <f>IF($A1664="","",IF(Sync!$AB1664="","",Sync!$AB1664))</f>
        <v/>
      </c>
      <c r="D1664">
        <f>IF($A1664="","",IF(Sync!$AC1664="","",Sync!$AC1664))</f>
        <v/>
      </c>
      <c r="E1664">
        <f>IF($A1664="","",IF(Sync!$AD1664="","",Sync!$AD1664))</f>
        <v/>
      </c>
      <c r="F1664">
        <f>IF($A1664="","",IF(Sync!$AE1664="",0,Sync!$AE1664))</f>
        <v/>
      </c>
      <c r="G1664">
        <f>IF($A1664="","",IF(Sync!$AF1664="",0,Sync!$AF1664))</f>
        <v/>
      </c>
      <c r="H1664">
        <f>IF(OR($A1664="",ROUND($F1664+$G1664,2)=0),"",$F1664+$G1664)</f>
        <v/>
      </c>
      <c r="I1664">
        <f>IF($H1664="","",IF(ROUND($F1664,2)&gt;0,$A1664,IF($D1664="شخصی قاسم","شخصی قاسم",IF($D1664="هزینه","هزینه: "&amp;IF($E1664="","متفرقه",$E1664),IF($C1664="پاس چک","چک پرداختی",IF(OR($B1664="",COUNTIF(AcctCodesA,$B1664)=0),"متفرقه",$B1664))))))</f>
        <v/>
      </c>
      <c r="J1664">
        <f>IF($H1664="","",IF(ROUND($F1664,2)&gt;0,IF($D1664="شخصی قاسم","شخصی قاسم",IF($D1664="هزینه","هزینه: "&amp;IF($E1664="","متفرقه",$E1664),IF(OR($B1664="",COUNTIF(AcctCodesA,$B1664)=0),"متفرقه",$B1664))),$A1664))</f>
        <v/>
      </c>
      <c r="K1664">
        <f>IF($A1664="","",IF(AND($B1664&lt;&gt;"",COUNTIF(AcctCodesA,$B1664)=0),"کد طرف در INFO تعریف نشده",IF(AND($D1664="هزینه",$E1664=""),"هزینه بدون زیرگروه",IF(AND($C1664="پاس چک",OR(Sync!$AJ1664="",COUNTIF(IssueNosA,Sync!$AJ1664)=0)),"شماره چک پاس‌شده معتبر نیست",""))))</f>
        <v/>
      </c>
      <c r="V1664">
        <f>IF($K1664="","",IF(ISNUMBER(Sync!$AK1664),Sync!$AK1664,LEFT(Sync!$AK1664,4)&amp;MID(Sync!$AK1664,6,2)&amp;RIGHT(Sync!$AK1664,2))&amp;"|"&amp;"4"&amp;RIGHT("00000"&amp;1659,5))</f>
        <v/>
      </c>
      <c r="W1664">
        <f>IF($V1664="",0,COUNTIFS($V$6:$V$2005,"&lt;"&amp;$V1664)-COUNTIFS($V$6:$V$2005,"&lt;"&amp;$V1664,$K$6:$K$2005,"")+1)</f>
        <v/>
      </c>
    </row>
    <row r="1665">
      <c r="A1665">
        <f>IF(Sync!$Z1665="","",LEFT(UPPER(TRIM(Sync!$Z1665)),6))</f>
        <v/>
      </c>
      <c r="B1665">
        <f>IF($A1665="","",IF(Sync!$AA1665="","",Sync!$AA1665))</f>
        <v/>
      </c>
      <c r="C1665">
        <f>IF($A1665="","",IF(Sync!$AB1665="","",Sync!$AB1665))</f>
        <v/>
      </c>
      <c r="D1665">
        <f>IF($A1665="","",IF(Sync!$AC1665="","",Sync!$AC1665))</f>
        <v/>
      </c>
      <c r="E1665">
        <f>IF($A1665="","",IF(Sync!$AD1665="","",Sync!$AD1665))</f>
        <v/>
      </c>
      <c r="F1665">
        <f>IF($A1665="","",IF(Sync!$AE1665="",0,Sync!$AE1665))</f>
        <v/>
      </c>
      <c r="G1665">
        <f>IF($A1665="","",IF(Sync!$AF1665="",0,Sync!$AF1665))</f>
        <v/>
      </c>
      <c r="H1665">
        <f>IF(OR($A1665="",ROUND($F1665+$G1665,2)=0),"",$F1665+$G1665)</f>
        <v/>
      </c>
      <c r="I1665">
        <f>IF($H1665="","",IF(ROUND($F1665,2)&gt;0,$A1665,IF($D1665="شخصی قاسم","شخصی قاسم",IF($D1665="هزینه","هزینه: "&amp;IF($E1665="","متفرقه",$E1665),IF($C1665="پاس چک","چک پرداختی",IF(OR($B1665="",COUNTIF(AcctCodesA,$B1665)=0),"متفرقه",$B1665))))))</f>
        <v/>
      </c>
      <c r="J1665">
        <f>IF($H1665="","",IF(ROUND($F1665,2)&gt;0,IF($D1665="شخصی قاسم","شخصی قاسم",IF($D1665="هزینه","هزینه: "&amp;IF($E1665="","متفرقه",$E1665),IF(OR($B1665="",COUNTIF(AcctCodesA,$B1665)=0),"متفرقه",$B1665))),$A1665))</f>
        <v/>
      </c>
      <c r="K1665">
        <f>IF($A1665="","",IF(AND($B1665&lt;&gt;"",COUNTIF(AcctCodesA,$B1665)=0),"کد طرف در INFO تعریف نشده",IF(AND($D1665="هزینه",$E1665=""),"هزینه بدون زیرگروه",IF(AND($C1665="پاس چک",OR(Sync!$AJ1665="",COUNTIF(IssueNosA,Sync!$AJ1665)=0)),"شماره چک پاس‌شده معتبر نیست",""))))</f>
        <v/>
      </c>
      <c r="V1665">
        <f>IF($K1665="","",IF(ISNUMBER(Sync!$AK1665),Sync!$AK1665,LEFT(Sync!$AK1665,4)&amp;MID(Sync!$AK1665,6,2)&amp;RIGHT(Sync!$AK1665,2))&amp;"|"&amp;"4"&amp;RIGHT("00000"&amp;1660,5))</f>
        <v/>
      </c>
      <c r="W1665">
        <f>IF($V1665="",0,COUNTIFS($V$6:$V$2005,"&lt;"&amp;$V1665)-COUNTIFS($V$6:$V$2005,"&lt;"&amp;$V1665,$K$6:$K$2005,"")+1)</f>
        <v/>
      </c>
    </row>
    <row r="1666">
      <c r="A1666">
        <f>IF(Sync!$Z1666="","",LEFT(UPPER(TRIM(Sync!$Z1666)),6))</f>
        <v/>
      </c>
      <c r="B1666">
        <f>IF($A1666="","",IF(Sync!$AA1666="","",Sync!$AA1666))</f>
        <v/>
      </c>
      <c r="C1666">
        <f>IF($A1666="","",IF(Sync!$AB1666="","",Sync!$AB1666))</f>
        <v/>
      </c>
      <c r="D1666">
        <f>IF($A1666="","",IF(Sync!$AC1666="","",Sync!$AC1666))</f>
        <v/>
      </c>
      <c r="E1666">
        <f>IF($A1666="","",IF(Sync!$AD1666="","",Sync!$AD1666))</f>
        <v/>
      </c>
      <c r="F1666">
        <f>IF($A1666="","",IF(Sync!$AE1666="",0,Sync!$AE1666))</f>
        <v/>
      </c>
      <c r="G1666">
        <f>IF($A1666="","",IF(Sync!$AF1666="",0,Sync!$AF1666))</f>
        <v/>
      </c>
      <c r="H1666">
        <f>IF(OR($A1666="",ROUND($F1666+$G1666,2)=0),"",$F1666+$G1666)</f>
        <v/>
      </c>
      <c r="I1666">
        <f>IF($H1666="","",IF(ROUND($F1666,2)&gt;0,$A1666,IF($D1666="شخصی قاسم","شخصی قاسم",IF($D1666="هزینه","هزینه: "&amp;IF($E1666="","متفرقه",$E1666),IF($C1666="پاس چک","چک پرداختی",IF(OR($B1666="",COUNTIF(AcctCodesA,$B1666)=0),"متفرقه",$B1666))))))</f>
        <v/>
      </c>
      <c r="J1666">
        <f>IF($H1666="","",IF(ROUND($F1666,2)&gt;0,IF($D1666="شخصی قاسم","شخصی قاسم",IF($D1666="هزینه","هزینه: "&amp;IF($E1666="","متفرقه",$E1666),IF(OR($B1666="",COUNTIF(AcctCodesA,$B1666)=0),"متفرقه",$B1666))),$A1666))</f>
        <v/>
      </c>
      <c r="K1666">
        <f>IF($A1666="","",IF(AND($B1666&lt;&gt;"",COUNTIF(AcctCodesA,$B1666)=0),"کد طرف در INFO تعریف نشده",IF(AND($D1666="هزینه",$E1666=""),"هزینه بدون زیرگروه",IF(AND($C1666="پاس چک",OR(Sync!$AJ1666="",COUNTIF(IssueNosA,Sync!$AJ1666)=0)),"شماره چک پاس‌شده معتبر نیست",""))))</f>
        <v/>
      </c>
      <c r="V1666">
        <f>IF($K1666="","",IF(ISNUMBER(Sync!$AK1666),Sync!$AK1666,LEFT(Sync!$AK1666,4)&amp;MID(Sync!$AK1666,6,2)&amp;RIGHT(Sync!$AK1666,2))&amp;"|"&amp;"4"&amp;RIGHT("00000"&amp;1661,5))</f>
        <v/>
      </c>
      <c r="W1666">
        <f>IF($V1666="",0,COUNTIFS($V$6:$V$2005,"&lt;"&amp;$V1666)-COUNTIFS($V$6:$V$2005,"&lt;"&amp;$V1666,$K$6:$K$2005,"")+1)</f>
        <v/>
      </c>
    </row>
    <row r="1667">
      <c r="A1667">
        <f>IF(Sync!$Z1667="","",LEFT(UPPER(TRIM(Sync!$Z1667)),6))</f>
        <v/>
      </c>
      <c r="B1667">
        <f>IF($A1667="","",IF(Sync!$AA1667="","",Sync!$AA1667))</f>
        <v/>
      </c>
      <c r="C1667">
        <f>IF($A1667="","",IF(Sync!$AB1667="","",Sync!$AB1667))</f>
        <v/>
      </c>
      <c r="D1667">
        <f>IF($A1667="","",IF(Sync!$AC1667="","",Sync!$AC1667))</f>
        <v/>
      </c>
      <c r="E1667">
        <f>IF($A1667="","",IF(Sync!$AD1667="","",Sync!$AD1667))</f>
        <v/>
      </c>
      <c r="F1667">
        <f>IF($A1667="","",IF(Sync!$AE1667="",0,Sync!$AE1667))</f>
        <v/>
      </c>
      <c r="G1667">
        <f>IF($A1667="","",IF(Sync!$AF1667="",0,Sync!$AF1667))</f>
        <v/>
      </c>
      <c r="H1667">
        <f>IF(OR($A1667="",ROUND($F1667+$G1667,2)=0),"",$F1667+$G1667)</f>
        <v/>
      </c>
      <c r="I1667">
        <f>IF($H1667="","",IF(ROUND($F1667,2)&gt;0,$A1667,IF($D1667="شخصی قاسم","شخصی قاسم",IF($D1667="هزینه","هزینه: "&amp;IF($E1667="","متفرقه",$E1667),IF($C1667="پاس چک","چک پرداختی",IF(OR($B1667="",COUNTIF(AcctCodesA,$B1667)=0),"متفرقه",$B1667))))))</f>
        <v/>
      </c>
      <c r="J1667">
        <f>IF($H1667="","",IF(ROUND($F1667,2)&gt;0,IF($D1667="شخصی قاسم","شخصی قاسم",IF($D1667="هزینه","هزینه: "&amp;IF($E1667="","متفرقه",$E1667),IF(OR($B1667="",COUNTIF(AcctCodesA,$B1667)=0),"متفرقه",$B1667))),$A1667))</f>
        <v/>
      </c>
      <c r="K1667">
        <f>IF($A1667="","",IF(AND($B1667&lt;&gt;"",COUNTIF(AcctCodesA,$B1667)=0),"کد طرف در INFO تعریف نشده",IF(AND($D1667="هزینه",$E1667=""),"هزینه بدون زیرگروه",IF(AND($C1667="پاس چک",OR(Sync!$AJ1667="",COUNTIF(IssueNosA,Sync!$AJ1667)=0)),"شماره چک پاس‌شده معتبر نیست",""))))</f>
        <v/>
      </c>
      <c r="V1667">
        <f>IF($K1667="","",IF(ISNUMBER(Sync!$AK1667),Sync!$AK1667,LEFT(Sync!$AK1667,4)&amp;MID(Sync!$AK1667,6,2)&amp;RIGHT(Sync!$AK1667,2))&amp;"|"&amp;"4"&amp;RIGHT("00000"&amp;1662,5))</f>
        <v/>
      </c>
      <c r="W1667">
        <f>IF($V1667="",0,COUNTIFS($V$6:$V$2005,"&lt;"&amp;$V1667)-COUNTIFS($V$6:$V$2005,"&lt;"&amp;$V1667,$K$6:$K$2005,"")+1)</f>
        <v/>
      </c>
    </row>
    <row r="1668">
      <c r="A1668">
        <f>IF(Sync!$Z1668="","",LEFT(UPPER(TRIM(Sync!$Z1668)),6))</f>
        <v/>
      </c>
      <c r="B1668">
        <f>IF($A1668="","",IF(Sync!$AA1668="","",Sync!$AA1668))</f>
        <v/>
      </c>
      <c r="C1668">
        <f>IF($A1668="","",IF(Sync!$AB1668="","",Sync!$AB1668))</f>
        <v/>
      </c>
      <c r="D1668">
        <f>IF($A1668="","",IF(Sync!$AC1668="","",Sync!$AC1668))</f>
        <v/>
      </c>
      <c r="E1668">
        <f>IF($A1668="","",IF(Sync!$AD1668="","",Sync!$AD1668))</f>
        <v/>
      </c>
      <c r="F1668">
        <f>IF($A1668="","",IF(Sync!$AE1668="",0,Sync!$AE1668))</f>
        <v/>
      </c>
      <c r="G1668">
        <f>IF($A1668="","",IF(Sync!$AF1668="",0,Sync!$AF1668))</f>
        <v/>
      </c>
      <c r="H1668">
        <f>IF(OR($A1668="",ROUND($F1668+$G1668,2)=0),"",$F1668+$G1668)</f>
        <v/>
      </c>
      <c r="I1668">
        <f>IF($H1668="","",IF(ROUND($F1668,2)&gt;0,$A1668,IF($D1668="شخصی قاسم","شخصی قاسم",IF($D1668="هزینه","هزینه: "&amp;IF($E1668="","متفرقه",$E1668),IF($C1668="پاس چک","چک پرداختی",IF(OR($B1668="",COUNTIF(AcctCodesA,$B1668)=0),"متفرقه",$B1668))))))</f>
        <v/>
      </c>
      <c r="J1668">
        <f>IF($H1668="","",IF(ROUND($F1668,2)&gt;0,IF($D1668="شخصی قاسم","شخصی قاسم",IF($D1668="هزینه","هزینه: "&amp;IF($E1668="","متفرقه",$E1668),IF(OR($B1668="",COUNTIF(AcctCodesA,$B1668)=0),"متفرقه",$B1668))),$A1668))</f>
        <v/>
      </c>
      <c r="K1668">
        <f>IF($A1668="","",IF(AND($B1668&lt;&gt;"",COUNTIF(AcctCodesA,$B1668)=0),"کد طرف در INFO تعریف نشده",IF(AND($D1668="هزینه",$E1668=""),"هزینه بدون زیرگروه",IF(AND($C1668="پاس چک",OR(Sync!$AJ1668="",COUNTIF(IssueNosA,Sync!$AJ1668)=0)),"شماره چک پاس‌شده معتبر نیست",""))))</f>
        <v/>
      </c>
      <c r="V1668">
        <f>IF($K1668="","",IF(ISNUMBER(Sync!$AK1668),Sync!$AK1668,LEFT(Sync!$AK1668,4)&amp;MID(Sync!$AK1668,6,2)&amp;RIGHT(Sync!$AK1668,2))&amp;"|"&amp;"4"&amp;RIGHT("00000"&amp;1663,5))</f>
        <v/>
      </c>
      <c r="W1668">
        <f>IF($V1668="",0,COUNTIFS($V$6:$V$2005,"&lt;"&amp;$V1668)-COUNTIFS($V$6:$V$2005,"&lt;"&amp;$V1668,$K$6:$K$2005,"")+1)</f>
        <v/>
      </c>
    </row>
    <row r="1669">
      <c r="A1669">
        <f>IF(Sync!$Z1669="","",LEFT(UPPER(TRIM(Sync!$Z1669)),6))</f>
        <v/>
      </c>
      <c r="B1669">
        <f>IF($A1669="","",IF(Sync!$AA1669="","",Sync!$AA1669))</f>
        <v/>
      </c>
      <c r="C1669">
        <f>IF($A1669="","",IF(Sync!$AB1669="","",Sync!$AB1669))</f>
        <v/>
      </c>
      <c r="D1669">
        <f>IF($A1669="","",IF(Sync!$AC1669="","",Sync!$AC1669))</f>
        <v/>
      </c>
      <c r="E1669">
        <f>IF($A1669="","",IF(Sync!$AD1669="","",Sync!$AD1669))</f>
        <v/>
      </c>
      <c r="F1669">
        <f>IF($A1669="","",IF(Sync!$AE1669="",0,Sync!$AE1669))</f>
        <v/>
      </c>
      <c r="G1669">
        <f>IF($A1669="","",IF(Sync!$AF1669="",0,Sync!$AF1669))</f>
        <v/>
      </c>
      <c r="H1669">
        <f>IF(OR($A1669="",ROUND($F1669+$G1669,2)=0),"",$F1669+$G1669)</f>
        <v/>
      </c>
      <c r="I1669">
        <f>IF($H1669="","",IF(ROUND($F1669,2)&gt;0,$A1669,IF($D1669="شخصی قاسم","شخصی قاسم",IF($D1669="هزینه","هزینه: "&amp;IF($E1669="","متفرقه",$E1669),IF($C1669="پاس چک","چک پرداختی",IF(OR($B1669="",COUNTIF(AcctCodesA,$B1669)=0),"متفرقه",$B1669))))))</f>
        <v/>
      </c>
      <c r="J1669">
        <f>IF($H1669="","",IF(ROUND($F1669,2)&gt;0,IF($D1669="شخصی قاسم","شخصی قاسم",IF($D1669="هزینه","هزینه: "&amp;IF($E1669="","متفرقه",$E1669),IF(OR($B1669="",COUNTIF(AcctCodesA,$B1669)=0),"متفرقه",$B1669))),$A1669))</f>
        <v/>
      </c>
      <c r="K1669">
        <f>IF($A1669="","",IF(AND($B1669&lt;&gt;"",COUNTIF(AcctCodesA,$B1669)=0),"کد طرف در INFO تعریف نشده",IF(AND($D1669="هزینه",$E1669=""),"هزینه بدون زیرگروه",IF(AND($C1669="پاس چک",OR(Sync!$AJ1669="",COUNTIF(IssueNosA,Sync!$AJ1669)=0)),"شماره چک پاس‌شده معتبر نیست",""))))</f>
        <v/>
      </c>
      <c r="V1669">
        <f>IF($K1669="","",IF(ISNUMBER(Sync!$AK1669),Sync!$AK1669,LEFT(Sync!$AK1669,4)&amp;MID(Sync!$AK1669,6,2)&amp;RIGHT(Sync!$AK1669,2))&amp;"|"&amp;"4"&amp;RIGHT("00000"&amp;1664,5))</f>
        <v/>
      </c>
      <c r="W1669">
        <f>IF($V1669="",0,COUNTIFS($V$6:$V$2005,"&lt;"&amp;$V1669)-COUNTIFS($V$6:$V$2005,"&lt;"&amp;$V1669,$K$6:$K$2005,"")+1)</f>
        <v/>
      </c>
    </row>
    <row r="1670">
      <c r="A1670">
        <f>IF(Sync!$Z1670="","",LEFT(UPPER(TRIM(Sync!$Z1670)),6))</f>
        <v/>
      </c>
      <c r="B1670">
        <f>IF($A1670="","",IF(Sync!$AA1670="","",Sync!$AA1670))</f>
        <v/>
      </c>
      <c r="C1670">
        <f>IF($A1670="","",IF(Sync!$AB1670="","",Sync!$AB1670))</f>
        <v/>
      </c>
      <c r="D1670">
        <f>IF($A1670="","",IF(Sync!$AC1670="","",Sync!$AC1670))</f>
        <v/>
      </c>
      <c r="E1670">
        <f>IF($A1670="","",IF(Sync!$AD1670="","",Sync!$AD1670))</f>
        <v/>
      </c>
      <c r="F1670">
        <f>IF($A1670="","",IF(Sync!$AE1670="",0,Sync!$AE1670))</f>
        <v/>
      </c>
      <c r="G1670">
        <f>IF($A1670="","",IF(Sync!$AF1670="",0,Sync!$AF1670))</f>
        <v/>
      </c>
      <c r="H1670">
        <f>IF(OR($A1670="",ROUND($F1670+$G1670,2)=0),"",$F1670+$G1670)</f>
        <v/>
      </c>
      <c r="I1670">
        <f>IF($H1670="","",IF(ROUND($F1670,2)&gt;0,$A1670,IF($D1670="شخصی قاسم","شخصی قاسم",IF($D1670="هزینه","هزینه: "&amp;IF($E1670="","متفرقه",$E1670),IF($C1670="پاس چک","چک پرداختی",IF(OR($B1670="",COUNTIF(AcctCodesA,$B1670)=0),"متفرقه",$B1670))))))</f>
        <v/>
      </c>
      <c r="J1670">
        <f>IF($H1670="","",IF(ROUND($F1670,2)&gt;0,IF($D1670="شخصی قاسم","شخصی قاسم",IF($D1670="هزینه","هزینه: "&amp;IF($E1670="","متفرقه",$E1670),IF(OR($B1670="",COUNTIF(AcctCodesA,$B1670)=0),"متفرقه",$B1670))),$A1670))</f>
        <v/>
      </c>
      <c r="K1670">
        <f>IF($A1670="","",IF(AND($B1670&lt;&gt;"",COUNTIF(AcctCodesA,$B1670)=0),"کد طرف در INFO تعریف نشده",IF(AND($D1670="هزینه",$E1670=""),"هزینه بدون زیرگروه",IF(AND($C1670="پاس چک",OR(Sync!$AJ1670="",COUNTIF(IssueNosA,Sync!$AJ1670)=0)),"شماره چک پاس‌شده معتبر نیست",""))))</f>
        <v/>
      </c>
      <c r="V1670">
        <f>IF($K1670="","",IF(ISNUMBER(Sync!$AK1670),Sync!$AK1670,LEFT(Sync!$AK1670,4)&amp;MID(Sync!$AK1670,6,2)&amp;RIGHT(Sync!$AK1670,2))&amp;"|"&amp;"4"&amp;RIGHT("00000"&amp;1665,5))</f>
        <v/>
      </c>
      <c r="W1670">
        <f>IF($V1670="",0,COUNTIFS($V$6:$V$2005,"&lt;"&amp;$V1670)-COUNTIFS($V$6:$V$2005,"&lt;"&amp;$V1670,$K$6:$K$2005,"")+1)</f>
        <v/>
      </c>
    </row>
    <row r="1671">
      <c r="A1671">
        <f>IF(Sync!$Z1671="","",LEFT(UPPER(TRIM(Sync!$Z1671)),6))</f>
        <v/>
      </c>
      <c r="B1671">
        <f>IF($A1671="","",IF(Sync!$AA1671="","",Sync!$AA1671))</f>
        <v/>
      </c>
      <c r="C1671">
        <f>IF($A1671="","",IF(Sync!$AB1671="","",Sync!$AB1671))</f>
        <v/>
      </c>
      <c r="D1671">
        <f>IF($A1671="","",IF(Sync!$AC1671="","",Sync!$AC1671))</f>
        <v/>
      </c>
      <c r="E1671">
        <f>IF($A1671="","",IF(Sync!$AD1671="","",Sync!$AD1671))</f>
        <v/>
      </c>
      <c r="F1671">
        <f>IF($A1671="","",IF(Sync!$AE1671="",0,Sync!$AE1671))</f>
        <v/>
      </c>
      <c r="G1671">
        <f>IF($A1671="","",IF(Sync!$AF1671="",0,Sync!$AF1671))</f>
        <v/>
      </c>
      <c r="H1671">
        <f>IF(OR($A1671="",ROUND($F1671+$G1671,2)=0),"",$F1671+$G1671)</f>
        <v/>
      </c>
      <c r="I1671">
        <f>IF($H1671="","",IF(ROUND($F1671,2)&gt;0,$A1671,IF($D1671="شخصی قاسم","شخصی قاسم",IF($D1671="هزینه","هزینه: "&amp;IF($E1671="","متفرقه",$E1671),IF($C1671="پاس چک","چک پرداختی",IF(OR($B1671="",COUNTIF(AcctCodesA,$B1671)=0),"متفرقه",$B1671))))))</f>
        <v/>
      </c>
      <c r="J1671">
        <f>IF($H1671="","",IF(ROUND($F1671,2)&gt;0,IF($D1671="شخصی قاسم","شخصی قاسم",IF($D1671="هزینه","هزینه: "&amp;IF($E1671="","متفرقه",$E1671),IF(OR($B1671="",COUNTIF(AcctCodesA,$B1671)=0),"متفرقه",$B1671))),$A1671))</f>
        <v/>
      </c>
      <c r="K1671">
        <f>IF($A1671="","",IF(AND($B1671&lt;&gt;"",COUNTIF(AcctCodesA,$B1671)=0),"کد طرف در INFO تعریف نشده",IF(AND($D1671="هزینه",$E1671=""),"هزینه بدون زیرگروه",IF(AND($C1671="پاس چک",OR(Sync!$AJ1671="",COUNTIF(IssueNosA,Sync!$AJ1671)=0)),"شماره چک پاس‌شده معتبر نیست",""))))</f>
        <v/>
      </c>
      <c r="V1671">
        <f>IF($K1671="","",IF(ISNUMBER(Sync!$AK1671),Sync!$AK1671,LEFT(Sync!$AK1671,4)&amp;MID(Sync!$AK1671,6,2)&amp;RIGHT(Sync!$AK1671,2))&amp;"|"&amp;"4"&amp;RIGHT("00000"&amp;1666,5))</f>
        <v/>
      </c>
      <c r="W1671">
        <f>IF($V1671="",0,COUNTIFS($V$6:$V$2005,"&lt;"&amp;$V1671)-COUNTIFS($V$6:$V$2005,"&lt;"&amp;$V1671,$K$6:$K$2005,"")+1)</f>
        <v/>
      </c>
    </row>
    <row r="1672">
      <c r="A1672">
        <f>IF(Sync!$Z1672="","",LEFT(UPPER(TRIM(Sync!$Z1672)),6))</f>
        <v/>
      </c>
      <c r="B1672">
        <f>IF($A1672="","",IF(Sync!$AA1672="","",Sync!$AA1672))</f>
        <v/>
      </c>
      <c r="C1672">
        <f>IF($A1672="","",IF(Sync!$AB1672="","",Sync!$AB1672))</f>
        <v/>
      </c>
      <c r="D1672">
        <f>IF($A1672="","",IF(Sync!$AC1672="","",Sync!$AC1672))</f>
        <v/>
      </c>
      <c r="E1672">
        <f>IF($A1672="","",IF(Sync!$AD1672="","",Sync!$AD1672))</f>
        <v/>
      </c>
      <c r="F1672">
        <f>IF($A1672="","",IF(Sync!$AE1672="",0,Sync!$AE1672))</f>
        <v/>
      </c>
      <c r="G1672">
        <f>IF($A1672="","",IF(Sync!$AF1672="",0,Sync!$AF1672))</f>
        <v/>
      </c>
      <c r="H1672">
        <f>IF(OR($A1672="",ROUND($F1672+$G1672,2)=0),"",$F1672+$G1672)</f>
        <v/>
      </c>
      <c r="I1672">
        <f>IF($H1672="","",IF(ROUND($F1672,2)&gt;0,$A1672,IF($D1672="شخصی قاسم","شخصی قاسم",IF($D1672="هزینه","هزینه: "&amp;IF($E1672="","متفرقه",$E1672),IF($C1672="پاس چک","چک پرداختی",IF(OR($B1672="",COUNTIF(AcctCodesA,$B1672)=0),"متفرقه",$B1672))))))</f>
        <v/>
      </c>
      <c r="J1672">
        <f>IF($H1672="","",IF(ROUND($F1672,2)&gt;0,IF($D1672="شخصی قاسم","شخصی قاسم",IF($D1672="هزینه","هزینه: "&amp;IF($E1672="","متفرقه",$E1672),IF(OR($B1672="",COUNTIF(AcctCodesA,$B1672)=0),"متفرقه",$B1672))),$A1672))</f>
        <v/>
      </c>
      <c r="K1672">
        <f>IF($A1672="","",IF(AND($B1672&lt;&gt;"",COUNTIF(AcctCodesA,$B1672)=0),"کد طرف در INFO تعریف نشده",IF(AND($D1672="هزینه",$E1672=""),"هزینه بدون زیرگروه",IF(AND($C1672="پاس چک",OR(Sync!$AJ1672="",COUNTIF(IssueNosA,Sync!$AJ1672)=0)),"شماره چک پاس‌شده معتبر نیست",""))))</f>
        <v/>
      </c>
      <c r="V1672">
        <f>IF($K1672="","",IF(ISNUMBER(Sync!$AK1672),Sync!$AK1672,LEFT(Sync!$AK1672,4)&amp;MID(Sync!$AK1672,6,2)&amp;RIGHT(Sync!$AK1672,2))&amp;"|"&amp;"4"&amp;RIGHT("00000"&amp;1667,5))</f>
        <v/>
      </c>
      <c r="W1672">
        <f>IF($V1672="",0,COUNTIFS($V$6:$V$2005,"&lt;"&amp;$V1672)-COUNTIFS($V$6:$V$2005,"&lt;"&amp;$V1672,$K$6:$K$2005,"")+1)</f>
        <v/>
      </c>
    </row>
    <row r="1673">
      <c r="A1673">
        <f>IF(Sync!$Z1673="","",LEFT(UPPER(TRIM(Sync!$Z1673)),6))</f>
        <v/>
      </c>
      <c r="B1673">
        <f>IF($A1673="","",IF(Sync!$AA1673="","",Sync!$AA1673))</f>
        <v/>
      </c>
      <c r="C1673">
        <f>IF($A1673="","",IF(Sync!$AB1673="","",Sync!$AB1673))</f>
        <v/>
      </c>
      <c r="D1673">
        <f>IF($A1673="","",IF(Sync!$AC1673="","",Sync!$AC1673))</f>
        <v/>
      </c>
      <c r="E1673">
        <f>IF($A1673="","",IF(Sync!$AD1673="","",Sync!$AD1673))</f>
        <v/>
      </c>
      <c r="F1673">
        <f>IF($A1673="","",IF(Sync!$AE1673="",0,Sync!$AE1673))</f>
        <v/>
      </c>
      <c r="G1673">
        <f>IF($A1673="","",IF(Sync!$AF1673="",0,Sync!$AF1673))</f>
        <v/>
      </c>
      <c r="H1673">
        <f>IF(OR($A1673="",ROUND($F1673+$G1673,2)=0),"",$F1673+$G1673)</f>
        <v/>
      </c>
      <c r="I1673">
        <f>IF($H1673="","",IF(ROUND($F1673,2)&gt;0,$A1673,IF($D1673="شخصی قاسم","شخصی قاسم",IF($D1673="هزینه","هزینه: "&amp;IF($E1673="","متفرقه",$E1673),IF($C1673="پاس چک","چک پرداختی",IF(OR($B1673="",COUNTIF(AcctCodesA,$B1673)=0),"متفرقه",$B1673))))))</f>
        <v/>
      </c>
      <c r="J1673">
        <f>IF($H1673="","",IF(ROUND($F1673,2)&gt;0,IF($D1673="شخصی قاسم","شخصی قاسم",IF($D1673="هزینه","هزینه: "&amp;IF($E1673="","متفرقه",$E1673),IF(OR($B1673="",COUNTIF(AcctCodesA,$B1673)=0),"متفرقه",$B1673))),$A1673))</f>
        <v/>
      </c>
      <c r="K1673">
        <f>IF($A1673="","",IF(AND($B1673&lt;&gt;"",COUNTIF(AcctCodesA,$B1673)=0),"کد طرف در INFO تعریف نشده",IF(AND($D1673="هزینه",$E1673=""),"هزینه بدون زیرگروه",IF(AND($C1673="پاس چک",OR(Sync!$AJ1673="",COUNTIF(IssueNosA,Sync!$AJ1673)=0)),"شماره چک پاس‌شده معتبر نیست",""))))</f>
        <v/>
      </c>
      <c r="V1673">
        <f>IF($K1673="","",IF(ISNUMBER(Sync!$AK1673),Sync!$AK1673,LEFT(Sync!$AK1673,4)&amp;MID(Sync!$AK1673,6,2)&amp;RIGHT(Sync!$AK1673,2))&amp;"|"&amp;"4"&amp;RIGHT("00000"&amp;1668,5))</f>
        <v/>
      </c>
      <c r="W1673">
        <f>IF($V1673="",0,COUNTIFS($V$6:$V$2005,"&lt;"&amp;$V1673)-COUNTIFS($V$6:$V$2005,"&lt;"&amp;$V1673,$K$6:$K$2005,"")+1)</f>
        <v/>
      </c>
    </row>
    <row r="1674">
      <c r="A1674">
        <f>IF(Sync!$Z1674="","",LEFT(UPPER(TRIM(Sync!$Z1674)),6))</f>
        <v/>
      </c>
      <c r="B1674">
        <f>IF($A1674="","",IF(Sync!$AA1674="","",Sync!$AA1674))</f>
        <v/>
      </c>
      <c r="C1674">
        <f>IF($A1674="","",IF(Sync!$AB1674="","",Sync!$AB1674))</f>
        <v/>
      </c>
      <c r="D1674">
        <f>IF($A1674="","",IF(Sync!$AC1674="","",Sync!$AC1674))</f>
        <v/>
      </c>
      <c r="E1674">
        <f>IF($A1674="","",IF(Sync!$AD1674="","",Sync!$AD1674))</f>
        <v/>
      </c>
      <c r="F1674">
        <f>IF($A1674="","",IF(Sync!$AE1674="",0,Sync!$AE1674))</f>
        <v/>
      </c>
      <c r="G1674">
        <f>IF($A1674="","",IF(Sync!$AF1674="",0,Sync!$AF1674))</f>
        <v/>
      </c>
      <c r="H1674">
        <f>IF(OR($A1674="",ROUND($F1674+$G1674,2)=0),"",$F1674+$G1674)</f>
        <v/>
      </c>
      <c r="I1674">
        <f>IF($H1674="","",IF(ROUND($F1674,2)&gt;0,$A1674,IF($D1674="شخصی قاسم","شخصی قاسم",IF($D1674="هزینه","هزینه: "&amp;IF($E1674="","متفرقه",$E1674),IF($C1674="پاس چک","چک پرداختی",IF(OR($B1674="",COUNTIF(AcctCodesA,$B1674)=0),"متفرقه",$B1674))))))</f>
        <v/>
      </c>
      <c r="J1674">
        <f>IF($H1674="","",IF(ROUND($F1674,2)&gt;0,IF($D1674="شخصی قاسم","شخصی قاسم",IF($D1674="هزینه","هزینه: "&amp;IF($E1674="","متفرقه",$E1674),IF(OR($B1674="",COUNTIF(AcctCodesA,$B1674)=0),"متفرقه",$B1674))),$A1674))</f>
        <v/>
      </c>
      <c r="K1674">
        <f>IF($A1674="","",IF(AND($B1674&lt;&gt;"",COUNTIF(AcctCodesA,$B1674)=0),"کد طرف در INFO تعریف نشده",IF(AND($D1674="هزینه",$E1674=""),"هزینه بدون زیرگروه",IF(AND($C1674="پاس چک",OR(Sync!$AJ1674="",COUNTIF(IssueNosA,Sync!$AJ1674)=0)),"شماره چک پاس‌شده معتبر نیست",""))))</f>
        <v/>
      </c>
      <c r="V1674">
        <f>IF($K1674="","",IF(ISNUMBER(Sync!$AK1674),Sync!$AK1674,LEFT(Sync!$AK1674,4)&amp;MID(Sync!$AK1674,6,2)&amp;RIGHT(Sync!$AK1674,2))&amp;"|"&amp;"4"&amp;RIGHT("00000"&amp;1669,5))</f>
        <v/>
      </c>
      <c r="W1674">
        <f>IF($V1674="",0,COUNTIFS($V$6:$V$2005,"&lt;"&amp;$V1674)-COUNTIFS($V$6:$V$2005,"&lt;"&amp;$V1674,$K$6:$K$2005,"")+1)</f>
        <v/>
      </c>
    </row>
    <row r="1675">
      <c r="A1675">
        <f>IF(Sync!$Z1675="","",LEFT(UPPER(TRIM(Sync!$Z1675)),6))</f>
        <v/>
      </c>
      <c r="B1675">
        <f>IF($A1675="","",IF(Sync!$AA1675="","",Sync!$AA1675))</f>
        <v/>
      </c>
      <c r="C1675">
        <f>IF($A1675="","",IF(Sync!$AB1675="","",Sync!$AB1675))</f>
        <v/>
      </c>
      <c r="D1675">
        <f>IF($A1675="","",IF(Sync!$AC1675="","",Sync!$AC1675))</f>
        <v/>
      </c>
      <c r="E1675">
        <f>IF($A1675="","",IF(Sync!$AD1675="","",Sync!$AD1675))</f>
        <v/>
      </c>
      <c r="F1675">
        <f>IF($A1675="","",IF(Sync!$AE1675="",0,Sync!$AE1675))</f>
        <v/>
      </c>
      <c r="G1675">
        <f>IF($A1675="","",IF(Sync!$AF1675="",0,Sync!$AF1675))</f>
        <v/>
      </c>
      <c r="H1675">
        <f>IF(OR($A1675="",ROUND($F1675+$G1675,2)=0),"",$F1675+$G1675)</f>
        <v/>
      </c>
      <c r="I1675">
        <f>IF($H1675="","",IF(ROUND($F1675,2)&gt;0,$A1675,IF($D1675="شخصی قاسم","شخصی قاسم",IF($D1675="هزینه","هزینه: "&amp;IF($E1675="","متفرقه",$E1675),IF($C1675="پاس چک","چک پرداختی",IF(OR($B1675="",COUNTIF(AcctCodesA,$B1675)=0),"متفرقه",$B1675))))))</f>
        <v/>
      </c>
      <c r="J1675">
        <f>IF($H1675="","",IF(ROUND($F1675,2)&gt;0,IF($D1675="شخصی قاسم","شخصی قاسم",IF($D1675="هزینه","هزینه: "&amp;IF($E1675="","متفرقه",$E1675),IF(OR($B1675="",COUNTIF(AcctCodesA,$B1675)=0),"متفرقه",$B1675))),$A1675))</f>
        <v/>
      </c>
      <c r="K1675">
        <f>IF($A1675="","",IF(AND($B1675&lt;&gt;"",COUNTIF(AcctCodesA,$B1675)=0),"کد طرف در INFO تعریف نشده",IF(AND($D1675="هزینه",$E1675=""),"هزینه بدون زیرگروه",IF(AND($C1675="پاس چک",OR(Sync!$AJ1675="",COUNTIF(IssueNosA,Sync!$AJ1675)=0)),"شماره چک پاس‌شده معتبر نیست",""))))</f>
        <v/>
      </c>
      <c r="V1675">
        <f>IF($K1675="","",IF(ISNUMBER(Sync!$AK1675),Sync!$AK1675,LEFT(Sync!$AK1675,4)&amp;MID(Sync!$AK1675,6,2)&amp;RIGHT(Sync!$AK1675,2))&amp;"|"&amp;"4"&amp;RIGHT("00000"&amp;1670,5))</f>
        <v/>
      </c>
      <c r="W1675">
        <f>IF($V1675="",0,COUNTIFS($V$6:$V$2005,"&lt;"&amp;$V1675)-COUNTIFS($V$6:$V$2005,"&lt;"&amp;$V1675,$K$6:$K$2005,"")+1)</f>
        <v/>
      </c>
    </row>
    <row r="1676">
      <c r="A1676">
        <f>IF(Sync!$Z1676="","",LEFT(UPPER(TRIM(Sync!$Z1676)),6))</f>
        <v/>
      </c>
      <c r="B1676">
        <f>IF($A1676="","",IF(Sync!$AA1676="","",Sync!$AA1676))</f>
        <v/>
      </c>
      <c r="C1676">
        <f>IF($A1676="","",IF(Sync!$AB1676="","",Sync!$AB1676))</f>
        <v/>
      </c>
      <c r="D1676">
        <f>IF($A1676="","",IF(Sync!$AC1676="","",Sync!$AC1676))</f>
        <v/>
      </c>
      <c r="E1676">
        <f>IF($A1676="","",IF(Sync!$AD1676="","",Sync!$AD1676))</f>
        <v/>
      </c>
      <c r="F1676">
        <f>IF($A1676="","",IF(Sync!$AE1676="",0,Sync!$AE1676))</f>
        <v/>
      </c>
      <c r="G1676">
        <f>IF($A1676="","",IF(Sync!$AF1676="",0,Sync!$AF1676))</f>
        <v/>
      </c>
      <c r="H1676">
        <f>IF(OR($A1676="",ROUND($F1676+$G1676,2)=0),"",$F1676+$G1676)</f>
        <v/>
      </c>
      <c r="I1676">
        <f>IF($H1676="","",IF(ROUND($F1676,2)&gt;0,$A1676,IF($D1676="شخصی قاسم","شخصی قاسم",IF($D1676="هزینه","هزینه: "&amp;IF($E1676="","متفرقه",$E1676),IF($C1676="پاس چک","چک پرداختی",IF(OR($B1676="",COUNTIF(AcctCodesA,$B1676)=0),"متفرقه",$B1676))))))</f>
        <v/>
      </c>
      <c r="J1676">
        <f>IF($H1676="","",IF(ROUND($F1676,2)&gt;0,IF($D1676="شخصی قاسم","شخصی قاسم",IF($D1676="هزینه","هزینه: "&amp;IF($E1676="","متفرقه",$E1676),IF(OR($B1676="",COUNTIF(AcctCodesA,$B1676)=0),"متفرقه",$B1676))),$A1676))</f>
        <v/>
      </c>
      <c r="K1676">
        <f>IF($A1676="","",IF(AND($B1676&lt;&gt;"",COUNTIF(AcctCodesA,$B1676)=0),"کد طرف در INFO تعریف نشده",IF(AND($D1676="هزینه",$E1676=""),"هزینه بدون زیرگروه",IF(AND($C1676="پاس چک",OR(Sync!$AJ1676="",COUNTIF(IssueNosA,Sync!$AJ1676)=0)),"شماره چک پاس‌شده معتبر نیست",""))))</f>
        <v/>
      </c>
      <c r="V1676">
        <f>IF($K1676="","",IF(ISNUMBER(Sync!$AK1676),Sync!$AK1676,LEFT(Sync!$AK1676,4)&amp;MID(Sync!$AK1676,6,2)&amp;RIGHT(Sync!$AK1676,2))&amp;"|"&amp;"4"&amp;RIGHT("00000"&amp;1671,5))</f>
        <v/>
      </c>
      <c r="W1676">
        <f>IF($V1676="",0,COUNTIFS($V$6:$V$2005,"&lt;"&amp;$V1676)-COUNTIFS($V$6:$V$2005,"&lt;"&amp;$V1676,$K$6:$K$2005,"")+1)</f>
        <v/>
      </c>
    </row>
    <row r="1677">
      <c r="A1677">
        <f>IF(Sync!$Z1677="","",LEFT(UPPER(TRIM(Sync!$Z1677)),6))</f>
        <v/>
      </c>
      <c r="B1677">
        <f>IF($A1677="","",IF(Sync!$AA1677="","",Sync!$AA1677))</f>
        <v/>
      </c>
      <c r="C1677">
        <f>IF($A1677="","",IF(Sync!$AB1677="","",Sync!$AB1677))</f>
        <v/>
      </c>
      <c r="D1677">
        <f>IF($A1677="","",IF(Sync!$AC1677="","",Sync!$AC1677))</f>
        <v/>
      </c>
      <c r="E1677">
        <f>IF($A1677="","",IF(Sync!$AD1677="","",Sync!$AD1677))</f>
        <v/>
      </c>
      <c r="F1677">
        <f>IF($A1677="","",IF(Sync!$AE1677="",0,Sync!$AE1677))</f>
        <v/>
      </c>
      <c r="G1677">
        <f>IF($A1677="","",IF(Sync!$AF1677="",0,Sync!$AF1677))</f>
        <v/>
      </c>
      <c r="H1677">
        <f>IF(OR($A1677="",ROUND($F1677+$G1677,2)=0),"",$F1677+$G1677)</f>
        <v/>
      </c>
      <c r="I1677">
        <f>IF($H1677="","",IF(ROUND($F1677,2)&gt;0,$A1677,IF($D1677="شخصی قاسم","شخصی قاسم",IF($D1677="هزینه","هزینه: "&amp;IF($E1677="","متفرقه",$E1677),IF($C1677="پاس چک","چک پرداختی",IF(OR($B1677="",COUNTIF(AcctCodesA,$B1677)=0),"متفرقه",$B1677))))))</f>
        <v/>
      </c>
      <c r="J1677">
        <f>IF($H1677="","",IF(ROUND($F1677,2)&gt;0,IF($D1677="شخصی قاسم","شخصی قاسم",IF($D1677="هزینه","هزینه: "&amp;IF($E1677="","متفرقه",$E1677),IF(OR($B1677="",COUNTIF(AcctCodesA,$B1677)=0),"متفرقه",$B1677))),$A1677))</f>
        <v/>
      </c>
      <c r="K1677">
        <f>IF($A1677="","",IF(AND($B1677&lt;&gt;"",COUNTIF(AcctCodesA,$B1677)=0),"کد طرف در INFO تعریف نشده",IF(AND($D1677="هزینه",$E1677=""),"هزینه بدون زیرگروه",IF(AND($C1677="پاس چک",OR(Sync!$AJ1677="",COUNTIF(IssueNosA,Sync!$AJ1677)=0)),"شماره چک پاس‌شده معتبر نیست",""))))</f>
        <v/>
      </c>
      <c r="V1677">
        <f>IF($K1677="","",IF(ISNUMBER(Sync!$AK1677),Sync!$AK1677,LEFT(Sync!$AK1677,4)&amp;MID(Sync!$AK1677,6,2)&amp;RIGHT(Sync!$AK1677,2))&amp;"|"&amp;"4"&amp;RIGHT("00000"&amp;1672,5))</f>
        <v/>
      </c>
      <c r="W1677">
        <f>IF($V1677="",0,COUNTIFS($V$6:$V$2005,"&lt;"&amp;$V1677)-COUNTIFS($V$6:$V$2005,"&lt;"&amp;$V1677,$K$6:$K$2005,"")+1)</f>
        <v/>
      </c>
    </row>
    <row r="1678">
      <c r="A1678">
        <f>IF(Sync!$Z1678="","",LEFT(UPPER(TRIM(Sync!$Z1678)),6))</f>
        <v/>
      </c>
      <c r="B1678">
        <f>IF($A1678="","",IF(Sync!$AA1678="","",Sync!$AA1678))</f>
        <v/>
      </c>
      <c r="C1678">
        <f>IF($A1678="","",IF(Sync!$AB1678="","",Sync!$AB1678))</f>
        <v/>
      </c>
      <c r="D1678">
        <f>IF($A1678="","",IF(Sync!$AC1678="","",Sync!$AC1678))</f>
        <v/>
      </c>
      <c r="E1678">
        <f>IF($A1678="","",IF(Sync!$AD1678="","",Sync!$AD1678))</f>
        <v/>
      </c>
      <c r="F1678">
        <f>IF($A1678="","",IF(Sync!$AE1678="",0,Sync!$AE1678))</f>
        <v/>
      </c>
      <c r="G1678">
        <f>IF($A1678="","",IF(Sync!$AF1678="",0,Sync!$AF1678))</f>
        <v/>
      </c>
      <c r="H1678">
        <f>IF(OR($A1678="",ROUND($F1678+$G1678,2)=0),"",$F1678+$G1678)</f>
        <v/>
      </c>
      <c r="I1678">
        <f>IF($H1678="","",IF(ROUND($F1678,2)&gt;0,$A1678,IF($D1678="شخصی قاسم","شخصی قاسم",IF($D1678="هزینه","هزینه: "&amp;IF($E1678="","متفرقه",$E1678),IF($C1678="پاس چک","چک پرداختی",IF(OR($B1678="",COUNTIF(AcctCodesA,$B1678)=0),"متفرقه",$B1678))))))</f>
        <v/>
      </c>
      <c r="J1678">
        <f>IF($H1678="","",IF(ROUND($F1678,2)&gt;0,IF($D1678="شخصی قاسم","شخصی قاسم",IF($D1678="هزینه","هزینه: "&amp;IF($E1678="","متفرقه",$E1678),IF(OR($B1678="",COUNTIF(AcctCodesA,$B1678)=0),"متفرقه",$B1678))),$A1678))</f>
        <v/>
      </c>
      <c r="K1678">
        <f>IF($A1678="","",IF(AND($B1678&lt;&gt;"",COUNTIF(AcctCodesA,$B1678)=0),"کد طرف در INFO تعریف نشده",IF(AND($D1678="هزینه",$E1678=""),"هزینه بدون زیرگروه",IF(AND($C1678="پاس چک",OR(Sync!$AJ1678="",COUNTIF(IssueNosA,Sync!$AJ1678)=0)),"شماره چک پاس‌شده معتبر نیست",""))))</f>
        <v/>
      </c>
      <c r="V1678">
        <f>IF($K1678="","",IF(ISNUMBER(Sync!$AK1678),Sync!$AK1678,LEFT(Sync!$AK1678,4)&amp;MID(Sync!$AK1678,6,2)&amp;RIGHT(Sync!$AK1678,2))&amp;"|"&amp;"4"&amp;RIGHT("00000"&amp;1673,5))</f>
        <v/>
      </c>
      <c r="W1678">
        <f>IF($V1678="",0,COUNTIFS($V$6:$V$2005,"&lt;"&amp;$V1678)-COUNTIFS($V$6:$V$2005,"&lt;"&amp;$V1678,$K$6:$K$2005,"")+1)</f>
        <v/>
      </c>
    </row>
    <row r="1679">
      <c r="A1679">
        <f>IF(Sync!$Z1679="","",LEFT(UPPER(TRIM(Sync!$Z1679)),6))</f>
        <v/>
      </c>
      <c r="B1679">
        <f>IF($A1679="","",IF(Sync!$AA1679="","",Sync!$AA1679))</f>
        <v/>
      </c>
      <c r="C1679">
        <f>IF($A1679="","",IF(Sync!$AB1679="","",Sync!$AB1679))</f>
        <v/>
      </c>
      <c r="D1679">
        <f>IF($A1679="","",IF(Sync!$AC1679="","",Sync!$AC1679))</f>
        <v/>
      </c>
      <c r="E1679">
        <f>IF($A1679="","",IF(Sync!$AD1679="","",Sync!$AD1679))</f>
        <v/>
      </c>
      <c r="F1679">
        <f>IF($A1679="","",IF(Sync!$AE1679="",0,Sync!$AE1679))</f>
        <v/>
      </c>
      <c r="G1679">
        <f>IF($A1679="","",IF(Sync!$AF1679="",0,Sync!$AF1679))</f>
        <v/>
      </c>
      <c r="H1679">
        <f>IF(OR($A1679="",ROUND($F1679+$G1679,2)=0),"",$F1679+$G1679)</f>
        <v/>
      </c>
      <c r="I1679">
        <f>IF($H1679="","",IF(ROUND($F1679,2)&gt;0,$A1679,IF($D1679="شخصی قاسم","شخصی قاسم",IF($D1679="هزینه","هزینه: "&amp;IF($E1679="","متفرقه",$E1679),IF($C1679="پاس چک","چک پرداختی",IF(OR($B1679="",COUNTIF(AcctCodesA,$B1679)=0),"متفرقه",$B1679))))))</f>
        <v/>
      </c>
      <c r="J1679">
        <f>IF($H1679="","",IF(ROUND($F1679,2)&gt;0,IF($D1679="شخصی قاسم","شخصی قاسم",IF($D1679="هزینه","هزینه: "&amp;IF($E1679="","متفرقه",$E1679),IF(OR($B1679="",COUNTIF(AcctCodesA,$B1679)=0),"متفرقه",$B1679))),$A1679))</f>
        <v/>
      </c>
      <c r="K1679">
        <f>IF($A1679="","",IF(AND($B1679&lt;&gt;"",COUNTIF(AcctCodesA,$B1679)=0),"کد طرف در INFO تعریف نشده",IF(AND($D1679="هزینه",$E1679=""),"هزینه بدون زیرگروه",IF(AND($C1679="پاس چک",OR(Sync!$AJ1679="",COUNTIF(IssueNosA,Sync!$AJ1679)=0)),"شماره چک پاس‌شده معتبر نیست",""))))</f>
        <v/>
      </c>
      <c r="V1679">
        <f>IF($K1679="","",IF(ISNUMBER(Sync!$AK1679),Sync!$AK1679,LEFT(Sync!$AK1679,4)&amp;MID(Sync!$AK1679,6,2)&amp;RIGHT(Sync!$AK1679,2))&amp;"|"&amp;"4"&amp;RIGHT("00000"&amp;1674,5))</f>
        <v/>
      </c>
      <c r="W1679">
        <f>IF($V1679="",0,COUNTIFS($V$6:$V$2005,"&lt;"&amp;$V1679)-COUNTIFS($V$6:$V$2005,"&lt;"&amp;$V1679,$K$6:$K$2005,"")+1)</f>
        <v/>
      </c>
    </row>
    <row r="1680">
      <c r="A1680">
        <f>IF(Sync!$Z1680="","",LEFT(UPPER(TRIM(Sync!$Z1680)),6))</f>
        <v/>
      </c>
      <c r="B1680">
        <f>IF($A1680="","",IF(Sync!$AA1680="","",Sync!$AA1680))</f>
        <v/>
      </c>
      <c r="C1680">
        <f>IF($A1680="","",IF(Sync!$AB1680="","",Sync!$AB1680))</f>
        <v/>
      </c>
      <c r="D1680">
        <f>IF($A1680="","",IF(Sync!$AC1680="","",Sync!$AC1680))</f>
        <v/>
      </c>
      <c r="E1680">
        <f>IF($A1680="","",IF(Sync!$AD1680="","",Sync!$AD1680))</f>
        <v/>
      </c>
      <c r="F1680">
        <f>IF($A1680="","",IF(Sync!$AE1680="",0,Sync!$AE1680))</f>
        <v/>
      </c>
      <c r="G1680">
        <f>IF($A1680="","",IF(Sync!$AF1680="",0,Sync!$AF1680))</f>
        <v/>
      </c>
      <c r="H1680">
        <f>IF(OR($A1680="",ROUND($F1680+$G1680,2)=0),"",$F1680+$G1680)</f>
        <v/>
      </c>
      <c r="I1680">
        <f>IF($H1680="","",IF(ROUND($F1680,2)&gt;0,$A1680,IF($D1680="شخصی قاسم","شخصی قاسم",IF($D1680="هزینه","هزینه: "&amp;IF($E1680="","متفرقه",$E1680),IF($C1680="پاس چک","چک پرداختی",IF(OR($B1680="",COUNTIF(AcctCodesA,$B1680)=0),"متفرقه",$B1680))))))</f>
        <v/>
      </c>
      <c r="J1680">
        <f>IF($H1680="","",IF(ROUND($F1680,2)&gt;0,IF($D1680="شخصی قاسم","شخصی قاسم",IF($D1680="هزینه","هزینه: "&amp;IF($E1680="","متفرقه",$E1680),IF(OR($B1680="",COUNTIF(AcctCodesA,$B1680)=0),"متفرقه",$B1680))),$A1680))</f>
        <v/>
      </c>
      <c r="K1680">
        <f>IF($A1680="","",IF(AND($B1680&lt;&gt;"",COUNTIF(AcctCodesA,$B1680)=0),"کد طرف در INFO تعریف نشده",IF(AND($D1680="هزینه",$E1680=""),"هزینه بدون زیرگروه",IF(AND($C1680="پاس چک",OR(Sync!$AJ1680="",COUNTIF(IssueNosA,Sync!$AJ1680)=0)),"شماره چک پاس‌شده معتبر نیست",""))))</f>
        <v/>
      </c>
      <c r="V1680">
        <f>IF($K1680="","",IF(ISNUMBER(Sync!$AK1680),Sync!$AK1680,LEFT(Sync!$AK1680,4)&amp;MID(Sync!$AK1680,6,2)&amp;RIGHT(Sync!$AK1680,2))&amp;"|"&amp;"4"&amp;RIGHT("00000"&amp;1675,5))</f>
        <v/>
      </c>
      <c r="W1680">
        <f>IF($V1680="",0,COUNTIFS($V$6:$V$2005,"&lt;"&amp;$V1680)-COUNTIFS($V$6:$V$2005,"&lt;"&amp;$V1680,$K$6:$K$2005,"")+1)</f>
        <v/>
      </c>
    </row>
    <row r="1681">
      <c r="A1681">
        <f>IF(Sync!$Z1681="","",LEFT(UPPER(TRIM(Sync!$Z1681)),6))</f>
        <v/>
      </c>
      <c r="B1681">
        <f>IF($A1681="","",IF(Sync!$AA1681="","",Sync!$AA1681))</f>
        <v/>
      </c>
      <c r="C1681">
        <f>IF($A1681="","",IF(Sync!$AB1681="","",Sync!$AB1681))</f>
        <v/>
      </c>
      <c r="D1681">
        <f>IF($A1681="","",IF(Sync!$AC1681="","",Sync!$AC1681))</f>
        <v/>
      </c>
      <c r="E1681">
        <f>IF($A1681="","",IF(Sync!$AD1681="","",Sync!$AD1681))</f>
        <v/>
      </c>
      <c r="F1681">
        <f>IF($A1681="","",IF(Sync!$AE1681="",0,Sync!$AE1681))</f>
        <v/>
      </c>
      <c r="G1681">
        <f>IF($A1681="","",IF(Sync!$AF1681="",0,Sync!$AF1681))</f>
        <v/>
      </c>
      <c r="H1681">
        <f>IF(OR($A1681="",ROUND($F1681+$G1681,2)=0),"",$F1681+$G1681)</f>
        <v/>
      </c>
      <c r="I1681">
        <f>IF($H1681="","",IF(ROUND($F1681,2)&gt;0,$A1681,IF($D1681="شخصی قاسم","شخصی قاسم",IF($D1681="هزینه","هزینه: "&amp;IF($E1681="","متفرقه",$E1681),IF($C1681="پاس چک","چک پرداختی",IF(OR($B1681="",COUNTIF(AcctCodesA,$B1681)=0),"متفرقه",$B1681))))))</f>
        <v/>
      </c>
      <c r="J1681">
        <f>IF($H1681="","",IF(ROUND($F1681,2)&gt;0,IF($D1681="شخصی قاسم","شخصی قاسم",IF($D1681="هزینه","هزینه: "&amp;IF($E1681="","متفرقه",$E1681),IF(OR($B1681="",COUNTIF(AcctCodesA,$B1681)=0),"متفرقه",$B1681))),$A1681))</f>
        <v/>
      </c>
      <c r="K1681">
        <f>IF($A1681="","",IF(AND($B1681&lt;&gt;"",COUNTIF(AcctCodesA,$B1681)=0),"کد طرف در INFO تعریف نشده",IF(AND($D1681="هزینه",$E1681=""),"هزینه بدون زیرگروه",IF(AND($C1681="پاس چک",OR(Sync!$AJ1681="",COUNTIF(IssueNosA,Sync!$AJ1681)=0)),"شماره چک پاس‌شده معتبر نیست",""))))</f>
        <v/>
      </c>
      <c r="V1681">
        <f>IF($K1681="","",IF(ISNUMBER(Sync!$AK1681),Sync!$AK1681,LEFT(Sync!$AK1681,4)&amp;MID(Sync!$AK1681,6,2)&amp;RIGHT(Sync!$AK1681,2))&amp;"|"&amp;"4"&amp;RIGHT("00000"&amp;1676,5))</f>
        <v/>
      </c>
      <c r="W1681">
        <f>IF($V1681="",0,COUNTIFS($V$6:$V$2005,"&lt;"&amp;$V1681)-COUNTIFS($V$6:$V$2005,"&lt;"&amp;$V1681,$K$6:$K$2005,"")+1)</f>
        <v/>
      </c>
    </row>
    <row r="1682">
      <c r="A1682">
        <f>IF(Sync!$Z1682="","",LEFT(UPPER(TRIM(Sync!$Z1682)),6))</f>
        <v/>
      </c>
      <c r="B1682">
        <f>IF($A1682="","",IF(Sync!$AA1682="","",Sync!$AA1682))</f>
        <v/>
      </c>
      <c r="C1682">
        <f>IF($A1682="","",IF(Sync!$AB1682="","",Sync!$AB1682))</f>
        <v/>
      </c>
      <c r="D1682">
        <f>IF($A1682="","",IF(Sync!$AC1682="","",Sync!$AC1682))</f>
        <v/>
      </c>
      <c r="E1682">
        <f>IF($A1682="","",IF(Sync!$AD1682="","",Sync!$AD1682))</f>
        <v/>
      </c>
      <c r="F1682">
        <f>IF($A1682="","",IF(Sync!$AE1682="",0,Sync!$AE1682))</f>
        <v/>
      </c>
      <c r="G1682">
        <f>IF($A1682="","",IF(Sync!$AF1682="",0,Sync!$AF1682))</f>
        <v/>
      </c>
      <c r="H1682">
        <f>IF(OR($A1682="",ROUND($F1682+$G1682,2)=0),"",$F1682+$G1682)</f>
        <v/>
      </c>
      <c r="I1682">
        <f>IF($H1682="","",IF(ROUND($F1682,2)&gt;0,$A1682,IF($D1682="شخصی قاسم","شخصی قاسم",IF($D1682="هزینه","هزینه: "&amp;IF($E1682="","متفرقه",$E1682),IF($C1682="پاس چک","چک پرداختی",IF(OR($B1682="",COUNTIF(AcctCodesA,$B1682)=0),"متفرقه",$B1682))))))</f>
        <v/>
      </c>
      <c r="J1682">
        <f>IF($H1682="","",IF(ROUND($F1682,2)&gt;0,IF($D1682="شخصی قاسم","شخصی قاسم",IF($D1682="هزینه","هزینه: "&amp;IF($E1682="","متفرقه",$E1682),IF(OR($B1682="",COUNTIF(AcctCodesA,$B1682)=0),"متفرقه",$B1682))),$A1682))</f>
        <v/>
      </c>
      <c r="K1682">
        <f>IF($A1682="","",IF(AND($B1682&lt;&gt;"",COUNTIF(AcctCodesA,$B1682)=0),"کد طرف در INFO تعریف نشده",IF(AND($D1682="هزینه",$E1682=""),"هزینه بدون زیرگروه",IF(AND($C1682="پاس چک",OR(Sync!$AJ1682="",COUNTIF(IssueNosA,Sync!$AJ1682)=0)),"شماره چک پاس‌شده معتبر نیست",""))))</f>
        <v/>
      </c>
      <c r="V1682">
        <f>IF($K1682="","",IF(ISNUMBER(Sync!$AK1682),Sync!$AK1682,LEFT(Sync!$AK1682,4)&amp;MID(Sync!$AK1682,6,2)&amp;RIGHT(Sync!$AK1682,2))&amp;"|"&amp;"4"&amp;RIGHT("00000"&amp;1677,5))</f>
        <v/>
      </c>
      <c r="W1682">
        <f>IF($V1682="",0,COUNTIFS($V$6:$V$2005,"&lt;"&amp;$V1682)-COUNTIFS($V$6:$V$2005,"&lt;"&amp;$V1682,$K$6:$K$2005,"")+1)</f>
        <v/>
      </c>
    </row>
    <row r="1683">
      <c r="A1683">
        <f>IF(Sync!$Z1683="","",LEFT(UPPER(TRIM(Sync!$Z1683)),6))</f>
        <v/>
      </c>
      <c r="B1683">
        <f>IF($A1683="","",IF(Sync!$AA1683="","",Sync!$AA1683))</f>
        <v/>
      </c>
      <c r="C1683">
        <f>IF($A1683="","",IF(Sync!$AB1683="","",Sync!$AB1683))</f>
        <v/>
      </c>
      <c r="D1683">
        <f>IF($A1683="","",IF(Sync!$AC1683="","",Sync!$AC1683))</f>
        <v/>
      </c>
      <c r="E1683">
        <f>IF($A1683="","",IF(Sync!$AD1683="","",Sync!$AD1683))</f>
        <v/>
      </c>
      <c r="F1683">
        <f>IF($A1683="","",IF(Sync!$AE1683="",0,Sync!$AE1683))</f>
        <v/>
      </c>
      <c r="G1683">
        <f>IF($A1683="","",IF(Sync!$AF1683="",0,Sync!$AF1683))</f>
        <v/>
      </c>
      <c r="H1683">
        <f>IF(OR($A1683="",ROUND($F1683+$G1683,2)=0),"",$F1683+$G1683)</f>
        <v/>
      </c>
      <c r="I1683">
        <f>IF($H1683="","",IF(ROUND($F1683,2)&gt;0,$A1683,IF($D1683="شخصی قاسم","شخصی قاسم",IF($D1683="هزینه","هزینه: "&amp;IF($E1683="","متفرقه",$E1683),IF($C1683="پاس چک","چک پرداختی",IF(OR($B1683="",COUNTIF(AcctCodesA,$B1683)=0),"متفرقه",$B1683))))))</f>
        <v/>
      </c>
      <c r="J1683">
        <f>IF($H1683="","",IF(ROUND($F1683,2)&gt;0,IF($D1683="شخصی قاسم","شخصی قاسم",IF($D1683="هزینه","هزینه: "&amp;IF($E1683="","متفرقه",$E1683),IF(OR($B1683="",COUNTIF(AcctCodesA,$B1683)=0),"متفرقه",$B1683))),$A1683))</f>
        <v/>
      </c>
      <c r="K1683">
        <f>IF($A1683="","",IF(AND($B1683&lt;&gt;"",COUNTIF(AcctCodesA,$B1683)=0),"کد طرف در INFO تعریف نشده",IF(AND($D1683="هزینه",$E1683=""),"هزینه بدون زیرگروه",IF(AND($C1683="پاس چک",OR(Sync!$AJ1683="",COUNTIF(IssueNosA,Sync!$AJ1683)=0)),"شماره چک پاس‌شده معتبر نیست",""))))</f>
        <v/>
      </c>
      <c r="V1683">
        <f>IF($K1683="","",IF(ISNUMBER(Sync!$AK1683),Sync!$AK1683,LEFT(Sync!$AK1683,4)&amp;MID(Sync!$AK1683,6,2)&amp;RIGHT(Sync!$AK1683,2))&amp;"|"&amp;"4"&amp;RIGHT("00000"&amp;1678,5))</f>
        <v/>
      </c>
      <c r="W1683">
        <f>IF($V1683="",0,COUNTIFS($V$6:$V$2005,"&lt;"&amp;$V1683)-COUNTIFS($V$6:$V$2005,"&lt;"&amp;$V1683,$K$6:$K$2005,"")+1)</f>
        <v/>
      </c>
    </row>
    <row r="1684">
      <c r="A1684">
        <f>IF(Sync!$Z1684="","",LEFT(UPPER(TRIM(Sync!$Z1684)),6))</f>
        <v/>
      </c>
      <c r="B1684">
        <f>IF($A1684="","",IF(Sync!$AA1684="","",Sync!$AA1684))</f>
        <v/>
      </c>
      <c r="C1684">
        <f>IF($A1684="","",IF(Sync!$AB1684="","",Sync!$AB1684))</f>
        <v/>
      </c>
      <c r="D1684">
        <f>IF($A1684="","",IF(Sync!$AC1684="","",Sync!$AC1684))</f>
        <v/>
      </c>
      <c r="E1684">
        <f>IF($A1684="","",IF(Sync!$AD1684="","",Sync!$AD1684))</f>
        <v/>
      </c>
      <c r="F1684">
        <f>IF($A1684="","",IF(Sync!$AE1684="",0,Sync!$AE1684))</f>
        <v/>
      </c>
      <c r="G1684">
        <f>IF($A1684="","",IF(Sync!$AF1684="",0,Sync!$AF1684))</f>
        <v/>
      </c>
      <c r="H1684">
        <f>IF(OR($A1684="",ROUND($F1684+$G1684,2)=0),"",$F1684+$G1684)</f>
        <v/>
      </c>
      <c r="I1684">
        <f>IF($H1684="","",IF(ROUND($F1684,2)&gt;0,$A1684,IF($D1684="شخصی قاسم","شخصی قاسم",IF($D1684="هزینه","هزینه: "&amp;IF($E1684="","متفرقه",$E1684),IF($C1684="پاس چک","چک پرداختی",IF(OR($B1684="",COUNTIF(AcctCodesA,$B1684)=0),"متفرقه",$B1684))))))</f>
        <v/>
      </c>
      <c r="J1684">
        <f>IF($H1684="","",IF(ROUND($F1684,2)&gt;0,IF($D1684="شخصی قاسم","شخصی قاسم",IF($D1684="هزینه","هزینه: "&amp;IF($E1684="","متفرقه",$E1684),IF(OR($B1684="",COUNTIF(AcctCodesA,$B1684)=0),"متفرقه",$B1684))),$A1684))</f>
        <v/>
      </c>
      <c r="K1684">
        <f>IF($A1684="","",IF(AND($B1684&lt;&gt;"",COUNTIF(AcctCodesA,$B1684)=0),"کد طرف در INFO تعریف نشده",IF(AND($D1684="هزینه",$E1684=""),"هزینه بدون زیرگروه",IF(AND($C1684="پاس چک",OR(Sync!$AJ1684="",COUNTIF(IssueNosA,Sync!$AJ1684)=0)),"شماره چک پاس‌شده معتبر نیست",""))))</f>
        <v/>
      </c>
      <c r="V1684">
        <f>IF($K1684="","",IF(ISNUMBER(Sync!$AK1684),Sync!$AK1684,LEFT(Sync!$AK1684,4)&amp;MID(Sync!$AK1684,6,2)&amp;RIGHT(Sync!$AK1684,2))&amp;"|"&amp;"4"&amp;RIGHT("00000"&amp;1679,5))</f>
        <v/>
      </c>
      <c r="W1684">
        <f>IF($V1684="",0,COUNTIFS($V$6:$V$2005,"&lt;"&amp;$V1684)-COUNTIFS($V$6:$V$2005,"&lt;"&amp;$V1684,$K$6:$K$2005,"")+1)</f>
        <v/>
      </c>
    </row>
    <row r="1685">
      <c r="A1685">
        <f>IF(Sync!$Z1685="","",LEFT(UPPER(TRIM(Sync!$Z1685)),6))</f>
        <v/>
      </c>
      <c r="B1685">
        <f>IF($A1685="","",IF(Sync!$AA1685="","",Sync!$AA1685))</f>
        <v/>
      </c>
      <c r="C1685">
        <f>IF($A1685="","",IF(Sync!$AB1685="","",Sync!$AB1685))</f>
        <v/>
      </c>
      <c r="D1685">
        <f>IF($A1685="","",IF(Sync!$AC1685="","",Sync!$AC1685))</f>
        <v/>
      </c>
      <c r="E1685">
        <f>IF($A1685="","",IF(Sync!$AD1685="","",Sync!$AD1685))</f>
        <v/>
      </c>
      <c r="F1685">
        <f>IF($A1685="","",IF(Sync!$AE1685="",0,Sync!$AE1685))</f>
        <v/>
      </c>
      <c r="G1685">
        <f>IF($A1685="","",IF(Sync!$AF1685="",0,Sync!$AF1685))</f>
        <v/>
      </c>
      <c r="H1685">
        <f>IF(OR($A1685="",ROUND($F1685+$G1685,2)=0),"",$F1685+$G1685)</f>
        <v/>
      </c>
      <c r="I1685">
        <f>IF($H1685="","",IF(ROUND($F1685,2)&gt;0,$A1685,IF($D1685="شخصی قاسم","شخصی قاسم",IF($D1685="هزینه","هزینه: "&amp;IF($E1685="","متفرقه",$E1685),IF($C1685="پاس چک","چک پرداختی",IF(OR($B1685="",COUNTIF(AcctCodesA,$B1685)=0),"متفرقه",$B1685))))))</f>
        <v/>
      </c>
      <c r="J1685">
        <f>IF($H1685="","",IF(ROUND($F1685,2)&gt;0,IF($D1685="شخصی قاسم","شخصی قاسم",IF($D1685="هزینه","هزینه: "&amp;IF($E1685="","متفرقه",$E1685),IF(OR($B1685="",COUNTIF(AcctCodesA,$B1685)=0),"متفرقه",$B1685))),$A1685))</f>
        <v/>
      </c>
      <c r="K1685">
        <f>IF($A1685="","",IF(AND($B1685&lt;&gt;"",COUNTIF(AcctCodesA,$B1685)=0),"کد طرف در INFO تعریف نشده",IF(AND($D1685="هزینه",$E1685=""),"هزینه بدون زیرگروه",IF(AND($C1685="پاس چک",OR(Sync!$AJ1685="",COUNTIF(IssueNosA,Sync!$AJ1685)=0)),"شماره چک پاس‌شده معتبر نیست",""))))</f>
        <v/>
      </c>
      <c r="V1685">
        <f>IF($K1685="","",IF(ISNUMBER(Sync!$AK1685),Sync!$AK1685,LEFT(Sync!$AK1685,4)&amp;MID(Sync!$AK1685,6,2)&amp;RIGHT(Sync!$AK1685,2))&amp;"|"&amp;"4"&amp;RIGHT("00000"&amp;1680,5))</f>
        <v/>
      </c>
      <c r="W1685">
        <f>IF($V1685="",0,COUNTIFS($V$6:$V$2005,"&lt;"&amp;$V1685)-COUNTIFS($V$6:$V$2005,"&lt;"&amp;$V1685,$K$6:$K$2005,"")+1)</f>
        <v/>
      </c>
    </row>
    <row r="1686">
      <c r="A1686">
        <f>IF(Sync!$Z1686="","",LEFT(UPPER(TRIM(Sync!$Z1686)),6))</f>
        <v/>
      </c>
      <c r="B1686">
        <f>IF($A1686="","",IF(Sync!$AA1686="","",Sync!$AA1686))</f>
        <v/>
      </c>
      <c r="C1686">
        <f>IF($A1686="","",IF(Sync!$AB1686="","",Sync!$AB1686))</f>
        <v/>
      </c>
      <c r="D1686">
        <f>IF($A1686="","",IF(Sync!$AC1686="","",Sync!$AC1686))</f>
        <v/>
      </c>
      <c r="E1686">
        <f>IF($A1686="","",IF(Sync!$AD1686="","",Sync!$AD1686))</f>
        <v/>
      </c>
      <c r="F1686">
        <f>IF($A1686="","",IF(Sync!$AE1686="",0,Sync!$AE1686))</f>
        <v/>
      </c>
      <c r="G1686">
        <f>IF($A1686="","",IF(Sync!$AF1686="",0,Sync!$AF1686))</f>
        <v/>
      </c>
      <c r="H1686">
        <f>IF(OR($A1686="",ROUND($F1686+$G1686,2)=0),"",$F1686+$G1686)</f>
        <v/>
      </c>
      <c r="I1686">
        <f>IF($H1686="","",IF(ROUND($F1686,2)&gt;0,$A1686,IF($D1686="شخصی قاسم","شخصی قاسم",IF($D1686="هزینه","هزینه: "&amp;IF($E1686="","متفرقه",$E1686),IF($C1686="پاس چک","چک پرداختی",IF(OR($B1686="",COUNTIF(AcctCodesA,$B1686)=0),"متفرقه",$B1686))))))</f>
        <v/>
      </c>
      <c r="J1686">
        <f>IF($H1686="","",IF(ROUND($F1686,2)&gt;0,IF($D1686="شخصی قاسم","شخصی قاسم",IF($D1686="هزینه","هزینه: "&amp;IF($E1686="","متفرقه",$E1686),IF(OR($B1686="",COUNTIF(AcctCodesA,$B1686)=0),"متفرقه",$B1686))),$A1686))</f>
        <v/>
      </c>
      <c r="K1686">
        <f>IF($A1686="","",IF(AND($B1686&lt;&gt;"",COUNTIF(AcctCodesA,$B1686)=0),"کد طرف در INFO تعریف نشده",IF(AND($D1686="هزینه",$E1686=""),"هزینه بدون زیرگروه",IF(AND($C1686="پاس چک",OR(Sync!$AJ1686="",COUNTIF(IssueNosA,Sync!$AJ1686)=0)),"شماره چک پاس‌شده معتبر نیست",""))))</f>
        <v/>
      </c>
      <c r="V1686">
        <f>IF($K1686="","",IF(ISNUMBER(Sync!$AK1686),Sync!$AK1686,LEFT(Sync!$AK1686,4)&amp;MID(Sync!$AK1686,6,2)&amp;RIGHT(Sync!$AK1686,2))&amp;"|"&amp;"4"&amp;RIGHT("00000"&amp;1681,5))</f>
        <v/>
      </c>
      <c r="W1686">
        <f>IF($V1686="",0,COUNTIFS($V$6:$V$2005,"&lt;"&amp;$V1686)-COUNTIFS($V$6:$V$2005,"&lt;"&amp;$V1686,$K$6:$K$2005,"")+1)</f>
        <v/>
      </c>
    </row>
    <row r="1687">
      <c r="A1687">
        <f>IF(Sync!$Z1687="","",LEFT(UPPER(TRIM(Sync!$Z1687)),6))</f>
        <v/>
      </c>
      <c r="B1687">
        <f>IF($A1687="","",IF(Sync!$AA1687="","",Sync!$AA1687))</f>
        <v/>
      </c>
      <c r="C1687">
        <f>IF($A1687="","",IF(Sync!$AB1687="","",Sync!$AB1687))</f>
        <v/>
      </c>
      <c r="D1687">
        <f>IF($A1687="","",IF(Sync!$AC1687="","",Sync!$AC1687))</f>
        <v/>
      </c>
      <c r="E1687">
        <f>IF($A1687="","",IF(Sync!$AD1687="","",Sync!$AD1687))</f>
        <v/>
      </c>
      <c r="F1687">
        <f>IF($A1687="","",IF(Sync!$AE1687="",0,Sync!$AE1687))</f>
        <v/>
      </c>
      <c r="G1687">
        <f>IF($A1687="","",IF(Sync!$AF1687="",0,Sync!$AF1687))</f>
        <v/>
      </c>
      <c r="H1687">
        <f>IF(OR($A1687="",ROUND($F1687+$G1687,2)=0),"",$F1687+$G1687)</f>
        <v/>
      </c>
      <c r="I1687">
        <f>IF($H1687="","",IF(ROUND($F1687,2)&gt;0,$A1687,IF($D1687="شخصی قاسم","شخصی قاسم",IF($D1687="هزینه","هزینه: "&amp;IF($E1687="","متفرقه",$E1687),IF($C1687="پاس چک","چک پرداختی",IF(OR($B1687="",COUNTIF(AcctCodesA,$B1687)=0),"متفرقه",$B1687))))))</f>
        <v/>
      </c>
      <c r="J1687">
        <f>IF($H1687="","",IF(ROUND($F1687,2)&gt;0,IF($D1687="شخصی قاسم","شخصی قاسم",IF($D1687="هزینه","هزینه: "&amp;IF($E1687="","متفرقه",$E1687),IF(OR($B1687="",COUNTIF(AcctCodesA,$B1687)=0),"متفرقه",$B1687))),$A1687))</f>
        <v/>
      </c>
      <c r="K1687">
        <f>IF($A1687="","",IF(AND($B1687&lt;&gt;"",COUNTIF(AcctCodesA,$B1687)=0),"کد طرف در INFO تعریف نشده",IF(AND($D1687="هزینه",$E1687=""),"هزینه بدون زیرگروه",IF(AND($C1687="پاس چک",OR(Sync!$AJ1687="",COUNTIF(IssueNosA,Sync!$AJ1687)=0)),"شماره چک پاس‌شده معتبر نیست",""))))</f>
        <v/>
      </c>
      <c r="V1687">
        <f>IF($K1687="","",IF(ISNUMBER(Sync!$AK1687),Sync!$AK1687,LEFT(Sync!$AK1687,4)&amp;MID(Sync!$AK1687,6,2)&amp;RIGHT(Sync!$AK1687,2))&amp;"|"&amp;"4"&amp;RIGHT("00000"&amp;1682,5))</f>
        <v/>
      </c>
      <c r="W1687">
        <f>IF($V1687="",0,COUNTIFS($V$6:$V$2005,"&lt;"&amp;$V1687)-COUNTIFS($V$6:$V$2005,"&lt;"&amp;$V1687,$K$6:$K$2005,"")+1)</f>
        <v/>
      </c>
    </row>
    <row r="1688">
      <c r="A1688">
        <f>IF(Sync!$Z1688="","",LEFT(UPPER(TRIM(Sync!$Z1688)),6))</f>
        <v/>
      </c>
      <c r="B1688">
        <f>IF($A1688="","",IF(Sync!$AA1688="","",Sync!$AA1688))</f>
        <v/>
      </c>
      <c r="C1688">
        <f>IF($A1688="","",IF(Sync!$AB1688="","",Sync!$AB1688))</f>
        <v/>
      </c>
      <c r="D1688">
        <f>IF($A1688="","",IF(Sync!$AC1688="","",Sync!$AC1688))</f>
        <v/>
      </c>
      <c r="E1688">
        <f>IF($A1688="","",IF(Sync!$AD1688="","",Sync!$AD1688))</f>
        <v/>
      </c>
      <c r="F1688">
        <f>IF($A1688="","",IF(Sync!$AE1688="",0,Sync!$AE1688))</f>
        <v/>
      </c>
      <c r="G1688">
        <f>IF($A1688="","",IF(Sync!$AF1688="",0,Sync!$AF1688))</f>
        <v/>
      </c>
      <c r="H1688">
        <f>IF(OR($A1688="",ROUND($F1688+$G1688,2)=0),"",$F1688+$G1688)</f>
        <v/>
      </c>
      <c r="I1688">
        <f>IF($H1688="","",IF(ROUND($F1688,2)&gt;0,$A1688,IF($D1688="شخصی قاسم","شخصی قاسم",IF($D1688="هزینه","هزینه: "&amp;IF($E1688="","متفرقه",$E1688),IF($C1688="پاس چک","چک پرداختی",IF(OR($B1688="",COUNTIF(AcctCodesA,$B1688)=0),"متفرقه",$B1688))))))</f>
        <v/>
      </c>
      <c r="J1688">
        <f>IF($H1688="","",IF(ROUND($F1688,2)&gt;0,IF($D1688="شخصی قاسم","شخصی قاسم",IF($D1688="هزینه","هزینه: "&amp;IF($E1688="","متفرقه",$E1688),IF(OR($B1688="",COUNTIF(AcctCodesA,$B1688)=0),"متفرقه",$B1688))),$A1688))</f>
        <v/>
      </c>
      <c r="K1688">
        <f>IF($A1688="","",IF(AND($B1688&lt;&gt;"",COUNTIF(AcctCodesA,$B1688)=0),"کد طرف در INFO تعریف نشده",IF(AND($D1688="هزینه",$E1688=""),"هزینه بدون زیرگروه",IF(AND($C1688="پاس چک",OR(Sync!$AJ1688="",COUNTIF(IssueNosA,Sync!$AJ1688)=0)),"شماره چک پاس‌شده معتبر نیست",""))))</f>
        <v/>
      </c>
      <c r="V1688">
        <f>IF($K1688="","",IF(ISNUMBER(Sync!$AK1688),Sync!$AK1688,LEFT(Sync!$AK1688,4)&amp;MID(Sync!$AK1688,6,2)&amp;RIGHT(Sync!$AK1688,2))&amp;"|"&amp;"4"&amp;RIGHT("00000"&amp;1683,5))</f>
        <v/>
      </c>
      <c r="W1688">
        <f>IF($V1688="",0,COUNTIFS($V$6:$V$2005,"&lt;"&amp;$V1688)-COUNTIFS($V$6:$V$2005,"&lt;"&amp;$V1688,$K$6:$K$2005,"")+1)</f>
        <v/>
      </c>
    </row>
    <row r="1689">
      <c r="A1689">
        <f>IF(Sync!$Z1689="","",LEFT(UPPER(TRIM(Sync!$Z1689)),6))</f>
        <v/>
      </c>
      <c r="B1689">
        <f>IF($A1689="","",IF(Sync!$AA1689="","",Sync!$AA1689))</f>
        <v/>
      </c>
      <c r="C1689">
        <f>IF($A1689="","",IF(Sync!$AB1689="","",Sync!$AB1689))</f>
        <v/>
      </c>
      <c r="D1689">
        <f>IF($A1689="","",IF(Sync!$AC1689="","",Sync!$AC1689))</f>
        <v/>
      </c>
      <c r="E1689">
        <f>IF($A1689="","",IF(Sync!$AD1689="","",Sync!$AD1689))</f>
        <v/>
      </c>
      <c r="F1689">
        <f>IF($A1689="","",IF(Sync!$AE1689="",0,Sync!$AE1689))</f>
        <v/>
      </c>
      <c r="G1689">
        <f>IF($A1689="","",IF(Sync!$AF1689="",0,Sync!$AF1689))</f>
        <v/>
      </c>
      <c r="H1689">
        <f>IF(OR($A1689="",ROUND($F1689+$G1689,2)=0),"",$F1689+$G1689)</f>
        <v/>
      </c>
      <c r="I1689">
        <f>IF($H1689="","",IF(ROUND($F1689,2)&gt;0,$A1689,IF($D1689="شخصی قاسم","شخصی قاسم",IF($D1689="هزینه","هزینه: "&amp;IF($E1689="","متفرقه",$E1689),IF($C1689="پاس چک","چک پرداختی",IF(OR($B1689="",COUNTIF(AcctCodesA,$B1689)=0),"متفرقه",$B1689))))))</f>
        <v/>
      </c>
      <c r="J1689">
        <f>IF($H1689="","",IF(ROUND($F1689,2)&gt;0,IF($D1689="شخصی قاسم","شخصی قاسم",IF($D1689="هزینه","هزینه: "&amp;IF($E1689="","متفرقه",$E1689),IF(OR($B1689="",COUNTIF(AcctCodesA,$B1689)=0),"متفرقه",$B1689))),$A1689))</f>
        <v/>
      </c>
      <c r="K1689">
        <f>IF($A1689="","",IF(AND($B1689&lt;&gt;"",COUNTIF(AcctCodesA,$B1689)=0),"کد طرف در INFO تعریف نشده",IF(AND($D1689="هزینه",$E1689=""),"هزینه بدون زیرگروه",IF(AND($C1689="پاس چک",OR(Sync!$AJ1689="",COUNTIF(IssueNosA,Sync!$AJ1689)=0)),"شماره چک پاس‌شده معتبر نیست",""))))</f>
        <v/>
      </c>
      <c r="V1689">
        <f>IF($K1689="","",IF(ISNUMBER(Sync!$AK1689),Sync!$AK1689,LEFT(Sync!$AK1689,4)&amp;MID(Sync!$AK1689,6,2)&amp;RIGHT(Sync!$AK1689,2))&amp;"|"&amp;"4"&amp;RIGHT("00000"&amp;1684,5))</f>
        <v/>
      </c>
      <c r="W1689">
        <f>IF($V1689="",0,COUNTIFS($V$6:$V$2005,"&lt;"&amp;$V1689)-COUNTIFS($V$6:$V$2005,"&lt;"&amp;$V1689,$K$6:$K$2005,"")+1)</f>
        <v/>
      </c>
    </row>
    <row r="1690">
      <c r="A1690">
        <f>IF(Sync!$Z1690="","",LEFT(UPPER(TRIM(Sync!$Z1690)),6))</f>
        <v/>
      </c>
      <c r="B1690">
        <f>IF($A1690="","",IF(Sync!$AA1690="","",Sync!$AA1690))</f>
        <v/>
      </c>
      <c r="C1690">
        <f>IF($A1690="","",IF(Sync!$AB1690="","",Sync!$AB1690))</f>
        <v/>
      </c>
      <c r="D1690">
        <f>IF($A1690="","",IF(Sync!$AC1690="","",Sync!$AC1690))</f>
        <v/>
      </c>
      <c r="E1690">
        <f>IF($A1690="","",IF(Sync!$AD1690="","",Sync!$AD1690))</f>
        <v/>
      </c>
      <c r="F1690">
        <f>IF($A1690="","",IF(Sync!$AE1690="",0,Sync!$AE1690))</f>
        <v/>
      </c>
      <c r="G1690">
        <f>IF($A1690="","",IF(Sync!$AF1690="",0,Sync!$AF1690))</f>
        <v/>
      </c>
      <c r="H1690">
        <f>IF(OR($A1690="",ROUND($F1690+$G1690,2)=0),"",$F1690+$G1690)</f>
        <v/>
      </c>
      <c r="I1690">
        <f>IF($H1690="","",IF(ROUND($F1690,2)&gt;0,$A1690,IF($D1690="شخصی قاسم","شخصی قاسم",IF($D1690="هزینه","هزینه: "&amp;IF($E1690="","متفرقه",$E1690),IF($C1690="پاس چک","چک پرداختی",IF(OR($B1690="",COUNTIF(AcctCodesA,$B1690)=0),"متفرقه",$B1690))))))</f>
        <v/>
      </c>
      <c r="J1690">
        <f>IF($H1690="","",IF(ROUND($F1690,2)&gt;0,IF($D1690="شخصی قاسم","شخصی قاسم",IF($D1690="هزینه","هزینه: "&amp;IF($E1690="","متفرقه",$E1690),IF(OR($B1690="",COUNTIF(AcctCodesA,$B1690)=0),"متفرقه",$B1690))),$A1690))</f>
        <v/>
      </c>
      <c r="K1690">
        <f>IF($A1690="","",IF(AND($B1690&lt;&gt;"",COUNTIF(AcctCodesA,$B1690)=0),"کد طرف در INFO تعریف نشده",IF(AND($D1690="هزینه",$E1690=""),"هزینه بدون زیرگروه",IF(AND($C1690="پاس چک",OR(Sync!$AJ1690="",COUNTIF(IssueNosA,Sync!$AJ1690)=0)),"شماره چک پاس‌شده معتبر نیست",""))))</f>
        <v/>
      </c>
      <c r="V1690">
        <f>IF($K1690="","",IF(ISNUMBER(Sync!$AK1690),Sync!$AK1690,LEFT(Sync!$AK1690,4)&amp;MID(Sync!$AK1690,6,2)&amp;RIGHT(Sync!$AK1690,2))&amp;"|"&amp;"4"&amp;RIGHT("00000"&amp;1685,5))</f>
        <v/>
      </c>
      <c r="W1690">
        <f>IF($V1690="",0,COUNTIFS($V$6:$V$2005,"&lt;"&amp;$V1690)-COUNTIFS($V$6:$V$2005,"&lt;"&amp;$V1690,$K$6:$K$2005,"")+1)</f>
        <v/>
      </c>
    </row>
    <row r="1691">
      <c r="A1691">
        <f>IF(Sync!$Z1691="","",LEFT(UPPER(TRIM(Sync!$Z1691)),6))</f>
        <v/>
      </c>
      <c r="B1691">
        <f>IF($A1691="","",IF(Sync!$AA1691="","",Sync!$AA1691))</f>
        <v/>
      </c>
      <c r="C1691">
        <f>IF($A1691="","",IF(Sync!$AB1691="","",Sync!$AB1691))</f>
        <v/>
      </c>
      <c r="D1691">
        <f>IF($A1691="","",IF(Sync!$AC1691="","",Sync!$AC1691))</f>
        <v/>
      </c>
      <c r="E1691">
        <f>IF($A1691="","",IF(Sync!$AD1691="","",Sync!$AD1691))</f>
        <v/>
      </c>
      <c r="F1691">
        <f>IF($A1691="","",IF(Sync!$AE1691="",0,Sync!$AE1691))</f>
        <v/>
      </c>
      <c r="G1691">
        <f>IF($A1691="","",IF(Sync!$AF1691="",0,Sync!$AF1691))</f>
        <v/>
      </c>
      <c r="H1691">
        <f>IF(OR($A1691="",ROUND($F1691+$G1691,2)=0),"",$F1691+$G1691)</f>
        <v/>
      </c>
      <c r="I1691">
        <f>IF($H1691="","",IF(ROUND($F1691,2)&gt;0,$A1691,IF($D1691="شخصی قاسم","شخصی قاسم",IF($D1691="هزینه","هزینه: "&amp;IF($E1691="","متفرقه",$E1691),IF($C1691="پاس چک","چک پرداختی",IF(OR($B1691="",COUNTIF(AcctCodesA,$B1691)=0),"متفرقه",$B1691))))))</f>
        <v/>
      </c>
      <c r="J1691">
        <f>IF($H1691="","",IF(ROUND($F1691,2)&gt;0,IF($D1691="شخصی قاسم","شخصی قاسم",IF($D1691="هزینه","هزینه: "&amp;IF($E1691="","متفرقه",$E1691),IF(OR($B1691="",COUNTIF(AcctCodesA,$B1691)=0),"متفرقه",$B1691))),$A1691))</f>
        <v/>
      </c>
      <c r="K1691">
        <f>IF($A1691="","",IF(AND($B1691&lt;&gt;"",COUNTIF(AcctCodesA,$B1691)=0),"کد طرف در INFO تعریف نشده",IF(AND($D1691="هزینه",$E1691=""),"هزینه بدون زیرگروه",IF(AND($C1691="پاس چک",OR(Sync!$AJ1691="",COUNTIF(IssueNosA,Sync!$AJ1691)=0)),"شماره چک پاس‌شده معتبر نیست",""))))</f>
        <v/>
      </c>
      <c r="V1691">
        <f>IF($K1691="","",IF(ISNUMBER(Sync!$AK1691),Sync!$AK1691,LEFT(Sync!$AK1691,4)&amp;MID(Sync!$AK1691,6,2)&amp;RIGHT(Sync!$AK1691,2))&amp;"|"&amp;"4"&amp;RIGHT("00000"&amp;1686,5))</f>
        <v/>
      </c>
      <c r="W1691">
        <f>IF($V1691="",0,COUNTIFS($V$6:$V$2005,"&lt;"&amp;$V1691)-COUNTIFS($V$6:$V$2005,"&lt;"&amp;$V1691,$K$6:$K$2005,"")+1)</f>
        <v/>
      </c>
    </row>
    <row r="1692">
      <c r="A1692">
        <f>IF(Sync!$Z1692="","",LEFT(UPPER(TRIM(Sync!$Z1692)),6))</f>
        <v/>
      </c>
      <c r="B1692">
        <f>IF($A1692="","",IF(Sync!$AA1692="","",Sync!$AA1692))</f>
        <v/>
      </c>
      <c r="C1692">
        <f>IF($A1692="","",IF(Sync!$AB1692="","",Sync!$AB1692))</f>
        <v/>
      </c>
      <c r="D1692">
        <f>IF($A1692="","",IF(Sync!$AC1692="","",Sync!$AC1692))</f>
        <v/>
      </c>
      <c r="E1692">
        <f>IF($A1692="","",IF(Sync!$AD1692="","",Sync!$AD1692))</f>
        <v/>
      </c>
      <c r="F1692">
        <f>IF($A1692="","",IF(Sync!$AE1692="",0,Sync!$AE1692))</f>
        <v/>
      </c>
      <c r="G1692">
        <f>IF($A1692="","",IF(Sync!$AF1692="",0,Sync!$AF1692))</f>
        <v/>
      </c>
      <c r="H1692">
        <f>IF(OR($A1692="",ROUND($F1692+$G1692,2)=0),"",$F1692+$G1692)</f>
        <v/>
      </c>
      <c r="I1692">
        <f>IF($H1692="","",IF(ROUND($F1692,2)&gt;0,$A1692,IF($D1692="شخصی قاسم","شخصی قاسم",IF($D1692="هزینه","هزینه: "&amp;IF($E1692="","متفرقه",$E1692),IF($C1692="پاس چک","چک پرداختی",IF(OR($B1692="",COUNTIF(AcctCodesA,$B1692)=0),"متفرقه",$B1692))))))</f>
        <v/>
      </c>
      <c r="J1692">
        <f>IF($H1692="","",IF(ROUND($F1692,2)&gt;0,IF($D1692="شخصی قاسم","شخصی قاسم",IF($D1692="هزینه","هزینه: "&amp;IF($E1692="","متفرقه",$E1692),IF(OR($B1692="",COUNTIF(AcctCodesA,$B1692)=0),"متفرقه",$B1692))),$A1692))</f>
        <v/>
      </c>
      <c r="K1692">
        <f>IF($A1692="","",IF(AND($B1692&lt;&gt;"",COUNTIF(AcctCodesA,$B1692)=0),"کد طرف در INFO تعریف نشده",IF(AND($D1692="هزینه",$E1692=""),"هزینه بدون زیرگروه",IF(AND($C1692="پاس چک",OR(Sync!$AJ1692="",COUNTIF(IssueNosA,Sync!$AJ1692)=0)),"شماره چک پاس‌شده معتبر نیست",""))))</f>
        <v/>
      </c>
      <c r="V1692">
        <f>IF($K1692="","",IF(ISNUMBER(Sync!$AK1692),Sync!$AK1692,LEFT(Sync!$AK1692,4)&amp;MID(Sync!$AK1692,6,2)&amp;RIGHT(Sync!$AK1692,2))&amp;"|"&amp;"4"&amp;RIGHT("00000"&amp;1687,5))</f>
        <v/>
      </c>
      <c r="W1692">
        <f>IF($V1692="",0,COUNTIFS($V$6:$V$2005,"&lt;"&amp;$V1692)-COUNTIFS($V$6:$V$2005,"&lt;"&amp;$V1692,$K$6:$K$2005,"")+1)</f>
        <v/>
      </c>
    </row>
    <row r="1693">
      <c r="A1693">
        <f>IF(Sync!$Z1693="","",LEFT(UPPER(TRIM(Sync!$Z1693)),6))</f>
        <v/>
      </c>
      <c r="B1693">
        <f>IF($A1693="","",IF(Sync!$AA1693="","",Sync!$AA1693))</f>
        <v/>
      </c>
      <c r="C1693">
        <f>IF($A1693="","",IF(Sync!$AB1693="","",Sync!$AB1693))</f>
        <v/>
      </c>
      <c r="D1693">
        <f>IF($A1693="","",IF(Sync!$AC1693="","",Sync!$AC1693))</f>
        <v/>
      </c>
      <c r="E1693">
        <f>IF($A1693="","",IF(Sync!$AD1693="","",Sync!$AD1693))</f>
        <v/>
      </c>
      <c r="F1693">
        <f>IF($A1693="","",IF(Sync!$AE1693="",0,Sync!$AE1693))</f>
        <v/>
      </c>
      <c r="G1693">
        <f>IF($A1693="","",IF(Sync!$AF1693="",0,Sync!$AF1693))</f>
        <v/>
      </c>
      <c r="H1693">
        <f>IF(OR($A1693="",ROUND($F1693+$G1693,2)=0),"",$F1693+$G1693)</f>
        <v/>
      </c>
      <c r="I1693">
        <f>IF($H1693="","",IF(ROUND($F1693,2)&gt;0,$A1693,IF($D1693="شخصی قاسم","شخصی قاسم",IF($D1693="هزینه","هزینه: "&amp;IF($E1693="","متفرقه",$E1693),IF($C1693="پاس چک","چک پرداختی",IF(OR($B1693="",COUNTIF(AcctCodesA,$B1693)=0),"متفرقه",$B1693))))))</f>
        <v/>
      </c>
      <c r="J1693">
        <f>IF($H1693="","",IF(ROUND($F1693,2)&gt;0,IF($D1693="شخصی قاسم","شخصی قاسم",IF($D1693="هزینه","هزینه: "&amp;IF($E1693="","متفرقه",$E1693),IF(OR($B1693="",COUNTIF(AcctCodesA,$B1693)=0),"متفرقه",$B1693))),$A1693))</f>
        <v/>
      </c>
      <c r="K1693">
        <f>IF($A1693="","",IF(AND($B1693&lt;&gt;"",COUNTIF(AcctCodesA,$B1693)=0),"کد طرف در INFO تعریف نشده",IF(AND($D1693="هزینه",$E1693=""),"هزینه بدون زیرگروه",IF(AND($C1693="پاس چک",OR(Sync!$AJ1693="",COUNTIF(IssueNosA,Sync!$AJ1693)=0)),"شماره چک پاس‌شده معتبر نیست",""))))</f>
        <v/>
      </c>
      <c r="V1693">
        <f>IF($K1693="","",IF(ISNUMBER(Sync!$AK1693),Sync!$AK1693,LEFT(Sync!$AK1693,4)&amp;MID(Sync!$AK1693,6,2)&amp;RIGHT(Sync!$AK1693,2))&amp;"|"&amp;"4"&amp;RIGHT("00000"&amp;1688,5))</f>
        <v/>
      </c>
      <c r="W1693">
        <f>IF($V1693="",0,COUNTIFS($V$6:$V$2005,"&lt;"&amp;$V1693)-COUNTIFS($V$6:$V$2005,"&lt;"&amp;$V1693,$K$6:$K$2005,"")+1)</f>
        <v/>
      </c>
    </row>
    <row r="1694">
      <c r="A1694">
        <f>IF(Sync!$Z1694="","",LEFT(UPPER(TRIM(Sync!$Z1694)),6))</f>
        <v/>
      </c>
      <c r="B1694">
        <f>IF($A1694="","",IF(Sync!$AA1694="","",Sync!$AA1694))</f>
        <v/>
      </c>
      <c r="C1694">
        <f>IF($A1694="","",IF(Sync!$AB1694="","",Sync!$AB1694))</f>
        <v/>
      </c>
      <c r="D1694">
        <f>IF($A1694="","",IF(Sync!$AC1694="","",Sync!$AC1694))</f>
        <v/>
      </c>
      <c r="E1694">
        <f>IF($A1694="","",IF(Sync!$AD1694="","",Sync!$AD1694))</f>
        <v/>
      </c>
      <c r="F1694">
        <f>IF($A1694="","",IF(Sync!$AE1694="",0,Sync!$AE1694))</f>
        <v/>
      </c>
      <c r="G1694">
        <f>IF($A1694="","",IF(Sync!$AF1694="",0,Sync!$AF1694))</f>
        <v/>
      </c>
      <c r="H1694">
        <f>IF(OR($A1694="",ROUND($F1694+$G1694,2)=0),"",$F1694+$G1694)</f>
        <v/>
      </c>
      <c r="I1694">
        <f>IF($H1694="","",IF(ROUND($F1694,2)&gt;0,$A1694,IF($D1694="شخصی قاسم","شخصی قاسم",IF($D1694="هزینه","هزینه: "&amp;IF($E1694="","متفرقه",$E1694),IF($C1694="پاس چک","چک پرداختی",IF(OR($B1694="",COUNTIF(AcctCodesA,$B1694)=0),"متفرقه",$B1694))))))</f>
        <v/>
      </c>
      <c r="J1694">
        <f>IF($H1694="","",IF(ROUND($F1694,2)&gt;0,IF($D1694="شخصی قاسم","شخصی قاسم",IF($D1694="هزینه","هزینه: "&amp;IF($E1694="","متفرقه",$E1694),IF(OR($B1694="",COUNTIF(AcctCodesA,$B1694)=0),"متفرقه",$B1694))),$A1694))</f>
        <v/>
      </c>
      <c r="K1694">
        <f>IF($A1694="","",IF(AND($B1694&lt;&gt;"",COUNTIF(AcctCodesA,$B1694)=0),"کد طرف در INFO تعریف نشده",IF(AND($D1694="هزینه",$E1694=""),"هزینه بدون زیرگروه",IF(AND($C1694="پاس چک",OR(Sync!$AJ1694="",COUNTIF(IssueNosA,Sync!$AJ1694)=0)),"شماره چک پاس‌شده معتبر نیست",""))))</f>
        <v/>
      </c>
      <c r="V1694">
        <f>IF($K1694="","",IF(ISNUMBER(Sync!$AK1694),Sync!$AK1694,LEFT(Sync!$AK1694,4)&amp;MID(Sync!$AK1694,6,2)&amp;RIGHT(Sync!$AK1694,2))&amp;"|"&amp;"4"&amp;RIGHT("00000"&amp;1689,5))</f>
        <v/>
      </c>
      <c r="W1694">
        <f>IF($V1694="",0,COUNTIFS($V$6:$V$2005,"&lt;"&amp;$V1694)-COUNTIFS($V$6:$V$2005,"&lt;"&amp;$V1694,$K$6:$K$2005,"")+1)</f>
        <v/>
      </c>
    </row>
    <row r="1695">
      <c r="A1695">
        <f>IF(Sync!$Z1695="","",LEFT(UPPER(TRIM(Sync!$Z1695)),6))</f>
        <v/>
      </c>
      <c r="B1695">
        <f>IF($A1695="","",IF(Sync!$AA1695="","",Sync!$AA1695))</f>
        <v/>
      </c>
      <c r="C1695">
        <f>IF($A1695="","",IF(Sync!$AB1695="","",Sync!$AB1695))</f>
        <v/>
      </c>
      <c r="D1695">
        <f>IF($A1695="","",IF(Sync!$AC1695="","",Sync!$AC1695))</f>
        <v/>
      </c>
      <c r="E1695">
        <f>IF($A1695="","",IF(Sync!$AD1695="","",Sync!$AD1695))</f>
        <v/>
      </c>
      <c r="F1695">
        <f>IF($A1695="","",IF(Sync!$AE1695="",0,Sync!$AE1695))</f>
        <v/>
      </c>
      <c r="G1695">
        <f>IF($A1695="","",IF(Sync!$AF1695="",0,Sync!$AF1695))</f>
        <v/>
      </c>
      <c r="H1695">
        <f>IF(OR($A1695="",ROUND($F1695+$G1695,2)=0),"",$F1695+$G1695)</f>
        <v/>
      </c>
      <c r="I1695">
        <f>IF($H1695="","",IF(ROUND($F1695,2)&gt;0,$A1695,IF($D1695="شخصی قاسم","شخصی قاسم",IF($D1695="هزینه","هزینه: "&amp;IF($E1695="","متفرقه",$E1695),IF($C1695="پاس چک","چک پرداختی",IF(OR($B1695="",COUNTIF(AcctCodesA,$B1695)=0),"متفرقه",$B1695))))))</f>
        <v/>
      </c>
      <c r="J1695">
        <f>IF($H1695="","",IF(ROUND($F1695,2)&gt;0,IF($D1695="شخصی قاسم","شخصی قاسم",IF($D1695="هزینه","هزینه: "&amp;IF($E1695="","متفرقه",$E1695),IF(OR($B1695="",COUNTIF(AcctCodesA,$B1695)=0),"متفرقه",$B1695))),$A1695))</f>
        <v/>
      </c>
      <c r="K1695">
        <f>IF($A1695="","",IF(AND($B1695&lt;&gt;"",COUNTIF(AcctCodesA,$B1695)=0),"کد طرف در INFO تعریف نشده",IF(AND($D1695="هزینه",$E1695=""),"هزینه بدون زیرگروه",IF(AND($C1695="پاس چک",OR(Sync!$AJ1695="",COUNTIF(IssueNosA,Sync!$AJ1695)=0)),"شماره چک پاس‌شده معتبر نیست",""))))</f>
        <v/>
      </c>
      <c r="V1695">
        <f>IF($K1695="","",IF(ISNUMBER(Sync!$AK1695),Sync!$AK1695,LEFT(Sync!$AK1695,4)&amp;MID(Sync!$AK1695,6,2)&amp;RIGHT(Sync!$AK1695,2))&amp;"|"&amp;"4"&amp;RIGHT("00000"&amp;1690,5))</f>
        <v/>
      </c>
      <c r="W1695">
        <f>IF($V1695="",0,COUNTIFS($V$6:$V$2005,"&lt;"&amp;$V1695)-COUNTIFS($V$6:$V$2005,"&lt;"&amp;$V1695,$K$6:$K$2005,"")+1)</f>
        <v/>
      </c>
    </row>
    <row r="1696">
      <c r="A1696">
        <f>IF(Sync!$Z1696="","",LEFT(UPPER(TRIM(Sync!$Z1696)),6))</f>
        <v/>
      </c>
      <c r="B1696">
        <f>IF($A1696="","",IF(Sync!$AA1696="","",Sync!$AA1696))</f>
        <v/>
      </c>
      <c r="C1696">
        <f>IF($A1696="","",IF(Sync!$AB1696="","",Sync!$AB1696))</f>
        <v/>
      </c>
      <c r="D1696">
        <f>IF($A1696="","",IF(Sync!$AC1696="","",Sync!$AC1696))</f>
        <v/>
      </c>
      <c r="E1696">
        <f>IF($A1696="","",IF(Sync!$AD1696="","",Sync!$AD1696))</f>
        <v/>
      </c>
      <c r="F1696">
        <f>IF($A1696="","",IF(Sync!$AE1696="",0,Sync!$AE1696))</f>
        <v/>
      </c>
      <c r="G1696">
        <f>IF($A1696="","",IF(Sync!$AF1696="",0,Sync!$AF1696))</f>
        <v/>
      </c>
      <c r="H1696">
        <f>IF(OR($A1696="",ROUND($F1696+$G1696,2)=0),"",$F1696+$G1696)</f>
        <v/>
      </c>
      <c r="I1696">
        <f>IF($H1696="","",IF(ROUND($F1696,2)&gt;0,$A1696,IF($D1696="شخصی قاسم","شخصی قاسم",IF($D1696="هزینه","هزینه: "&amp;IF($E1696="","متفرقه",$E1696),IF($C1696="پاس چک","چک پرداختی",IF(OR($B1696="",COUNTIF(AcctCodesA,$B1696)=0),"متفرقه",$B1696))))))</f>
        <v/>
      </c>
      <c r="J1696">
        <f>IF($H1696="","",IF(ROUND($F1696,2)&gt;0,IF($D1696="شخصی قاسم","شخصی قاسم",IF($D1696="هزینه","هزینه: "&amp;IF($E1696="","متفرقه",$E1696),IF(OR($B1696="",COUNTIF(AcctCodesA,$B1696)=0),"متفرقه",$B1696))),$A1696))</f>
        <v/>
      </c>
      <c r="K1696">
        <f>IF($A1696="","",IF(AND($B1696&lt;&gt;"",COUNTIF(AcctCodesA,$B1696)=0),"کد طرف در INFO تعریف نشده",IF(AND($D1696="هزینه",$E1696=""),"هزینه بدون زیرگروه",IF(AND($C1696="پاس چک",OR(Sync!$AJ1696="",COUNTIF(IssueNosA,Sync!$AJ1696)=0)),"شماره چک پاس‌شده معتبر نیست",""))))</f>
        <v/>
      </c>
      <c r="V1696">
        <f>IF($K1696="","",IF(ISNUMBER(Sync!$AK1696),Sync!$AK1696,LEFT(Sync!$AK1696,4)&amp;MID(Sync!$AK1696,6,2)&amp;RIGHT(Sync!$AK1696,2))&amp;"|"&amp;"4"&amp;RIGHT("00000"&amp;1691,5))</f>
        <v/>
      </c>
      <c r="W1696">
        <f>IF($V1696="",0,COUNTIFS($V$6:$V$2005,"&lt;"&amp;$V1696)-COUNTIFS($V$6:$V$2005,"&lt;"&amp;$V1696,$K$6:$K$2005,"")+1)</f>
        <v/>
      </c>
    </row>
    <row r="1697">
      <c r="A1697">
        <f>IF(Sync!$Z1697="","",LEFT(UPPER(TRIM(Sync!$Z1697)),6))</f>
        <v/>
      </c>
      <c r="B1697">
        <f>IF($A1697="","",IF(Sync!$AA1697="","",Sync!$AA1697))</f>
        <v/>
      </c>
      <c r="C1697">
        <f>IF($A1697="","",IF(Sync!$AB1697="","",Sync!$AB1697))</f>
        <v/>
      </c>
      <c r="D1697">
        <f>IF($A1697="","",IF(Sync!$AC1697="","",Sync!$AC1697))</f>
        <v/>
      </c>
      <c r="E1697">
        <f>IF($A1697="","",IF(Sync!$AD1697="","",Sync!$AD1697))</f>
        <v/>
      </c>
      <c r="F1697">
        <f>IF($A1697="","",IF(Sync!$AE1697="",0,Sync!$AE1697))</f>
        <v/>
      </c>
      <c r="G1697">
        <f>IF($A1697="","",IF(Sync!$AF1697="",0,Sync!$AF1697))</f>
        <v/>
      </c>
      <c r="H1697">
        <f>IF(OR($A1697="",ROUND($F1697+$G1697,2)=0),"",$F1697+$G1697)</f>
        <v/>
      </c>
      <c r="I1697">
        <f>IF($H1697="","",IF(ROUND($F1697,2)&gt;0,$A1697,IF($D1697="شخصی قاسم","شخصی قاسم",IF($D1697="هزینه","هزینه: "&amp;IF($E1697="","متفرقه",$E1697),IF($C1697="پاس چک","چک پرداختی",IF(OR($B1697="",COUNTIF(AcctCodesA,$B1697)=0),"متفرقه",$B1697))))))</f>
        <v/>
      </c>
      <c r="J1697">
        <f>IF($H1697="","",IF(ROUND($F1697,2)&gt;0,IF($D1697="شخصی قاسم","شخصی قاسم",IF($D1697="هزینه","هزینه: "&amp;IF($E1697="","متفرقه",$E1697),IF(OR($B1697="",COUNTIF(AcctCodesA,$B1697)=0),"متفرقه",$B1697))),$A1697))</f>
        <v/>
      </c>
      <c r="K1697">
        <f>IF($A1697="","",IF(AND($B1697&lt;&gt;"",COUNTIF(AcctCodesA,$B1697)=0),"کد طرف در INFO تعریف نشده",IF(AND($D1697="هزینه",$E1697=""),"هزینه بدون زیرگروه",IF(AND($C1697="پاس چک",OR(Sync!$AJ1697="",COUNTIF(IssueNosA,Sync!$AJ1697)=0)),"شماره چک پاس‌شده معتبر نیست",""))))</f>
        <v/>
      </c>
      <c r="V1697">
        <f>IF($K1697="","",IF(ISNUMBER(Sync!$AK1697),Sync!$AK1697,LEFT(Sync!$AK1697,4)&amp;MID(Sync!$AK1697,6,2)&amp;RIGHT(Sync!$AK1697,2))&amp;"|"&amp;"4"&amp;RIGHT("00000"&amp;1692,5))</f>
        <v/>
      </c>
      <c r="W1697">
        <f>IF($V1697="",0,COUNTIFS($V$6:$V$2005,"&lt;"&amp;$V1697)-COUNTIFS($V$6:$V$2005,"&lt;"&amp;$V1697,$K$6:$K$2005,"")+1)</f>
        <v/>
      </c>
    </row>
    <row r="1698">
      <c r="A1698">
        <f>IF(Sync!$Z1698="","",LEFT(UPPER(TRIM(Sync!$Z1698)),6))</f>
        <v/>
      </c>
      <c r="B1698">
        <f>IF($A1698="","",IF(Sync!$AA1698="","",Sync!$AA1698))</f>
        <v/>
      </c>
      <c r="C1698">
        <f>IF($A1698="","",IF(Sync!$AB1698="","",Sync!$AB1698))</f>
        <v/>
      </c>
      <c r="D1698">
        <f>IF($A1698="","",IF(Sync!$AC1698="","",Sync!$AC1698))</f>
        <v/>
      </c>
      <c r="E1698">
        <f>IF($A1698="","",IF(Sync!$AD1698="","",Sync!$AD1698))</f>
        <v/>
      </c>
      <c r="F1698">
        <f>IF($A1698="","",IF(Sync!$AE1698="",0,Sync!$AE1698))</f>
        <v/>
      </c>
      <c r="G1698">
        <f>IF($A1698="","",IF(Sync!$AF1698="",0,Sync!$AF1698))</f>
        <v/>
      </c>
      <c r="H1698">
        <f>IF(OR($A1698="",ROUND($F1698+$G1698,2)=0),"",$F1698+$G1698)</f>
        <v/>
      </c>
      <c r="I1698">
        <f>IF($H1698="","",IF(ROUND($F1698,2)&gt;0,$A1698,IF($D1698="شخصی قاسم","شخصی قاسم",IF($D1698="هزینه","هزینه: "&amp;IF($E1698="","متفرقه",$E1698),IF($C1698="پاس چک","چک پرداختی",IF(OR($B1698="",COUNTIF(AcctCodesA,$B1698)=0),"متفرقه",$B1698))))))</f>
        <v/>
      </c>
      <c r="J1698">
        <f>IF($H1698="","",IF(ROUND($F1698,2)&gt;0,IF($D1698="شخصی قاسم","شخصی قاسم",IF($D1698="هزینه","هزینه: "&amp;IF($E1698="","متفرقه",$E1698),IF(OR($B1698="",COUNTIF(AcctCodesA,$B1698)=0),"متفرقه",$B1698))),$A1698))</f>
        <v/>
      </c>
      <c r="K1698">
        <f>IF($A1698="","",IF(AND($B1698&lt;&gt;"",COUNTIF(AcctCodesA,$B1698)=0),"کد طرف در INFO تعریف نشده",IF(AND($D1698="هزینه",$E1698=""),"هزینه بدون زیرگروه",IF(AND($C1698="پاس چک",OR(Sync!$AJ1698="",COUNTIF(IssueNosA,Sync!$AJ1698)=0)),"شماره چک پاس‌شده معتبر نیست",""))))</f>
        <v/>
      </c>
      <c r="V1698">
        <f>IF($K1698="","",IF(ISNUMBER(Sync!$AK1698),Sync!$AK1698,LEFT(Sync!$AK1698,4)&amp;MID(Sync!$AK1698,6,2)&amp;RIGHT(Sync!$AK1698,2))&amp;"|"&amp;"4"&amp;RIGHT("00000"&amp;1693,5))</f>
        <v/>
      </c>
      <c r="W1698">
        <f>IF($V1698="",0,COUNTIFS($V$6:$V$2005,"&lt;"&amp;$V1698)-COUNTIFS($V$6:$V$2005,"&lt;"&amp;$V1698,$K$6:$K$2005,"")+1)</f>
        <v/>
      </c>
    </row>
    <row r="1699">
      <c r="A1699">
        <f>IF(Sync!$Z1699="","",LEFT(UPPER(TRIM(Sync!$Z1699)),6))</f>
        <v/>
      </c>
      <c r="B1699">
        <f>IF($A1699="","",IF(Sync!$AA1699="","",Sync!$AA1699))</f>
        <v/>
      </c>
      <c r="C1699">
        <f>IF($A1699="","",IF(Sync!$AB1699="","",Sync!$AB1699))</f>
        <v/>
      </c>
      <c r="D1699">
        <f>IF($A1699="","",IF(Sync!$AC1699="","",Sync!$AC1699))</f>
        <v/>
      </c>
      <c r="E1699">
        <f>IF($A1699="","",IF(Sync!$AD1699="","",Sync!$AD1699))</f>
        <v/>
      </c>
      <c r="F1699">
        <f>IF($A1699="","",IF(Sync!$AE1699="",0,Sync!$AE1699))</f>
        <v/>
      </c>
      <c r="G1699">
        <f>IF($A1699="","",IF(Sync!$AF1699="",0,Sync!$AF1699))</f>
        <v/>
      </c>
      <c r="H1699">
        <f>IF(OR($A1699="",ROUND($F1699+$G1699,2)=0),"",$F1699+$G1699)</f>
        <v/>
      </c>
      <c r="I1699">
        <f>IF($H1699="","",IF(ROUND($F1699,2)&gt;0,$A1699,IF($D1699="شخصی قاسم","شخصی قاسم",IF($D1699="هزینه","هزینه: "&amp;IF($E1699="","متفرقه",$E1699),IF($C1699="پاس چک","چک پرداختی",IF(OR($B1699="",COUNTIF(AcctCodesA,$B1699)=0),"متفرقه",$B1699))))))</f>
        <v/>
      </c>
      <c r="J1699">
        <f>IF($H1699="","",IF(ROUND($F1699,2)&gt;0,IF($D1699="شخصی قاسم","شخصی قاسم",IF($D1699="هزینه","هزینه: "&amp;IF($E1699="","متفرقه",$E1699),IF(OR($B1699="",COUNTIF(AcctCodesA,$B1699)=0),"متفرقه",$B1699))),$A1699))</f>
        <v/>
      </c>
      <c r="K1699">
        <f>IF($A1699="","",IF(AND($B1699&lt;&gt;"",COUNTIF(AcctCodesA,$B1699)=0),"کد طرف در INFO تعریف نشده",IF(AND($D1699="هزینه",$E1699=""),"هزینه بدون زیرگروه",IF(AND($C1699="پاس چک",OR(Sync!$AJ1699="",COUNTIF(IssueNosA,Sync!$AJ1699)=0)),"شماره چک پاس‌شده معتبر نیست",""))))</f>
        <v/>
      </c>
      <c r="V1699">
        <f>IF($K1699="","",IF(ISNUMBER(Sync!$AK1699),Sync!$AK1699,LEFT(Sync!$AK1699,4)&amp;MID(Sync!$AK1699,6,2)&amp;RIGHT(Sync!$AK1699,2))&amp;"|"&amp;"4"&amp;RIGHT("00000"&amp;1694,5))</f>
        <v/>
      </c>
      <c r="W1699">
        <f>IF($V1699="",0,COUNTIFS($V$6:$V$2005,"&lt;"&amp;$V1699)-COUNTIFS($V$6:$V$2005,"&lt;"&amp;$V1699,$K$6:$K$2005,"")+1)</f>
        <v/>
      </c>
    </row>
    <row r="1700">
      <c r="A1700">
        <f>IF(Sync!$Z1700="","",LEFT(UPPER(TRIM(Sync!$Z1700)),6))</f>
        <v/>
      </c>
      <c r="B1700">
        <f>IF($A1700="","",IF(Sync!$AA1700="","",Sync!$AA1700))</f>
        <v/>
      </c>
      <c r="C1700">
        <f>IF($A1700="","",IF(Sync!$AB1700="","",Sync!$AB1700))</f>
        <v/>
      </c>
      <c r="D1700">
        <f>IF($A1700="","",IF(Sync!$AC1700="","",Sync!$AC1700))</f>
        <v/>
      </c>
      <c r="E1700">
        <f>IF($A1700="","",IF(Sync!$AD1700="","",Sync!$AD1700))</f>
        <v/>
      </c>
      <c r="F1700">
        <f>IF($A1700="","",IF(Sync!$AE1700="",0,Sync!$AE1700))</f>
        <v/>
      </c>
      <c r="G1700">
        <f>IF($A1700="","",IF(Sync!$AF1700="",0,Sync!$AF1700))</f>
        <v/>
      </c>
      <c r="H1700">
        <f>IF(OR($A1700="",ROUND($F1700+$G1700,2)=0),"",$F1700+$G1700)</f>
        <v/>
      </c>
      <c r="I1700">
        <f>IF($H1700="","",IF(ROUND($F1700,2)&gt;0,$A1700,IF($D1700="شخصی قاسم","شخصی قاسم",IF($D1700="هزینه","هزینه: "&amp;IF($E1700="","متفرقه",$E1700),IF($C1700="پاس چک","چک پرداختی",IF(OR($B1700="",COUNTIF(AcctCodesA,$B1700)=0),"متفرقه",$B1700))))))</f>
        <v/>
      </c>
      <c r="J1700">
        <f>IF($H1700="","",IF(ROUND($F1700,2)&gt;0,IF($D1700="شخصی قاسم","شخصی قاسم",IF($D1700="هزینه","هزینه: "&amp;IF($E1700="","متفرقه",$E1700),IF(OR($B1700="",COUNTIF(AcctCodesA,$B1700)=0),"متفرقه",$B1700))),$A1700))</f>
        <v/>
      </c>
      <c r="K1700">
        <f>IF($A1700="","",IF(AND($B1700&lt;&gt;"",COUNTIF(AcctCodesA,$B1700)=0),"کد طرف در INFO تعریف نشده",IF(AND($D1700="هزینه",$E1700=""),"هزینه بدون زیرگروه",IF(AND($C1700="پاس چک",OR(Sync!$AJ1700="",COUNTIF(IssueNosA,Sync!$AJ1700)=0)),"شماره چک پاس‌شده معتبر نیست",""))))</f>
        <v/>
      </c>
      <c r="V1700">
        <f>IF($K1700="","",IF(ISNUMBER(Sync!$AK1700),Sync!$AK1700,LEFT(Sync!$AK1700,4)&amp;MID(Sync!$AK1700,6,2)&amp;RIGHT(Sync!$AK1700,2))&amp;"|"&amp;"4"&amp;RIGHT("00000"&amp;1695,5))</f>
        <v/>
      </c>
      <c r="W1700">
        <f>IF($V1700="",0,COUNTIFS($V$6:$V$2005,"&lt;"&amp;$V1700)-COUNTIFS($V$6:$V$2005,"&lt;"&amp;$V1700,$K$6:$K$2005,"")+1)</f>
        <v/>
      </c>
    </row>
    <row r="1701">
      <c r="A1701">
        <f>IF(Sync!$Z1701="","",LEFT(UPPER(TRIM(Sync!$Z1701)),6))</f>
        <v/>
      </c>
      <c r="B1701">
        <f>IF($A1701="","",IF(Sync!$AA1701="","",Sync!$AA1701))</f>
        <v/>
      </c>
      <c r="C1701">
        <f>IF($A1701="","",IF(Sync!$AB1701="","",Sync!$AB1701))</f>
        <v/>
      </c>
      <c r="D1701">
        <f>IF($A1701="","",IF(Sync!$AC1701="","",Sync!$AC1701))</f>
        <v/>
      </c>
      <c r="E1701">
        <f>IF($A1701="","",IF(Sync!$AD1701="","",Sync!$AD1701))</f>
        <v/>
      </c>
      <c r="F1701">
        <f>IF($A1701="","",IF(Sync!$AE1701="",0,Sync!$AE1701))</f>
        <v/>
      </c>
      <c r="G1701">
        <f>IF($A1701="","",IF(Sync!$AF1701="",0,Sync!$AF1701))</f>
        <v/>
      </c>
      <c r="H1701">
        <f>IF(OR($A1701="",ROUND($F1701+$G1701,2)=0),"",$F1701+$G1701)</f>
        <v/>
      </c>
      <c r="I1701">
        <f>IF($H1701="","",IF(ROUND($F1701,2)&gt;0,$A1701,IF($D1701="شخصی قاسم","شخصی قاسم",IF($D1701="هزینه","هزینه: "&amp;IF($E1701="","متفرقه",$E1701),IF($C1701="پاس چک","چک پرداختی",IF(OR($B1701="",COUNTIF(AcctCodesA,$B1701)=0),"متفرقه",$B1701))))))</f>
        <v/>
      </c>
      <c r="J1701">
        <f>IF($H1701="","",IF(ROUND($F1701,2)&gt;0,IF($D1701="شخصی قاسم","شخصی قاسم",IF($D1701="هزینه","هزینه: "&amp;IF($E1701="","متفرقه",$E1701),IF(OR($B1701="",COUNTIF(AcctCodesA,$B1701)=0),"متفرقه",$B1701))),$A1701))</f>
        <v/>
      </c>
      <c r="K1701">
        <f>IF($A1701="","",IF(AND($B1701&lt;&gt;"",COUNTIF(AcctCodesA,$B1701)=0),"کد طرف در INFO تعریف نشده",IF(AND($D1701="هزینه",$E1701=""),"هزینه بدون زیرگروه",IF(AND($C1701="پاس چک",OR(Sync!$AJ1701="",COUNTIF(IssueNosA,Sync!$AJ1701)=0)),"شماره چک پاس‌شده معتبر نیست",""))))</f>
        <v/>
      </c>
      <c r="V1701">
        <f>IF($K1701="","",IF(ISNUMBER(Sync!$AK1701),Sync!$AK1701,LEFT(Sync!$AK1701,4)&amp;MID(Sync!$AK1701,6,2)&amp;RIGHT(Sync!$AK1701,2))&amp;"|"&amp;"4"&amp;RIGHT("00000"&amp;1696,5))</f>
        <v/>
      </c>
      <c r="W1701">
        <f>IF($V1701="",0,COUNTIFS($V$6:$V$2005,"&lt;"&amp;$V1701)-COUNTIFS($V$6:$V$2005,"&lt;"&amp;$V1701,$K$6:$K$2005,"")+1)</f>
        <v/>
      </c>
    </row>
    <row r="1702">
      <c r="A1702">
        <f>IF(Sync!$Z1702="","",LEFT(UPPER(TRIM(Sync!$Z1702)),6))</f>
        <v/>
      </c>
      <c r="B1702">
        <f>IF($A1702="","",IF(Sync!$AA1702="","",Sync!$AA1702))</f>
        <v/>
      </c>
      <c r="C1702">
        <f>IF($A1702="","",IF(Sync!$AB1702="","",Sync!$AB1702))</f>
        <v/>
      </c>
      <c r="D1702">
        <f>IF($A1702="","",IF(Sync!$AC1702="","",Sync!$AC1702))</f>
        <v/>
      </c>
      <c r="E1702">
        <f>IF($A1702="","",IF(Sync!$AD1702="","",Sync!$AD1702))</f>
        <v/>
      </c>
      <c r="F1702">
        <f>IF($A1702="","",IF(Sync!$AE1702="",0,Sync!$AE1702))</f>
        <v/>
      </c>
      <c r="G1702">
        <f>IF($A1702="","",IF(Sync!$AF1702="",0,Sync!$AF1702))</f>
        <v/>
      </c>
      <c r="H1702">
        <f>IF(OR($A1702="",ROUND($F1702+$G1702,2)=0),"",$F1702+$G1702)</f>
        <v/>
      </c>
      <c r="I1702">
        <f>IF($H1702="","",IF(ROUND($F1702,2)&gt;0,$A1702,IF($D1702="شخصی قاسم","شخصی قاسم",IF($D1702="هزینه","هزینه: "&amp;IF($E1702="","متفرقه",$E1702),IF($C1702="پاس چک","چک پرداختی",IF(OR($B1702="",COUNTIF(AcctCodesA,$B1702)=0),"متفرقه",$B1702))))))</f>
        <v/>
      </c>
      <c r="J1702">
        <f>IF($H1702="","",IF(ROUND($F1702,2)&gt;0,IF($D1702="شخصی قاسم","شخصی قاسم",IF($D1702="هزینه","هزینه: "&amp;IF($E1702="","متفرقه",$E1702),IF(OR($B1702="",COUNTIF(AcctCodesA,$B1702)=0),"متفرقه",$B1702))),$A1702))</f>
        <v/>
      </c>
      <c r="K1702">
        <f>IF($A1702="","",IF(AND($B1702&lt;&gt;"",COUNTIF(AcctCodesA,$B1702)=0),"کد طرف در INFO تعریف نشده",IF(AND($D1702="هزینه",$E1702=""),"هزینه بدون زیرگروه",IF(AND($C1702="پاس چک",OR(Sync!$AJ1702="",COUNTIF(IssueNosA,Sync!$AJ1702)=0)),"شماره چک پاس‌شده معتبر نیست",""))))</f>
        <v/>
      </c>
      <c r="V1702">
        <f>IF($K1702="","",IF(ISNUMBER(Sync!$AK1702),Sync!$AK1702,LEFT(Sync!$AK1702,4)&amp;MID(Sync!$AK1702,6,2)&amp;RIGHT(Sync!$AK1702,2))&amp;"|"&amp;"4"&amp;RIGHT("00000"&amp;1697,5))</f>
        <v/>
      </c>
      <c r="W1702">
        <f>IF($V1702="",0,COUNTIFS($V$6:$V$2005,"&lt;"&amp;$V1702)-COUNTIFS($V$6:$V$2005,"&lt;"&amp;$V1702,$K$6:$K$2005,"")+1)</f>
        <v/>
      </c>
    </row>
    <row r="1703">
      <c r="A1703">
        <f>IF(Sync!$Z1703="","",LEFT(UPPER(TRIM(Sync!$Z1703)),6))</f>
        <v/>
      </c>
      <c r="B1703">
        <f>IF($A1703="","",IF(Sync!$AA1703="","",Sync!$AA1703))</f>
        <v/>
      </c>
      <c r="C1703">
        <f>IF($A1703="","",IF(Sync!$AB1703="","",Sync!$AB1703))</f>
        <v/>
      </c>
      <c r="D1703">
        <f>IF($A1703="","",IF(Sync!$AC1703="","",Sync!$AC1703))</f>
        <v/>
      </c>
      <c r="E1703">
        <f>IF($A1703="","",IF(Sync!$AD1703="","",Sync!$AD1703))</f>
        <v/>
      </c>
      <c r="F1703">
        <f>IF($A1703="","",IF(Sync!$AE1703="",0,Sync!$AE1703))</f>
        <v/>
      </c>
      <c r="G1703">
        <f>IF($A1703="","",IF(Sync!$AF1703="",0,Sync!$AF1703))</f>
        <v/>
      </c>
      <c r="H1703">
        <f>IF(OR($A1703="",ROUND($F1703+$G1703,2)=0),"",$F1703+$G1703)</f>
        <v/>
      </c>
      <c r="I1703">
        <f>IF($H1703="","",IF(ROUND($F1703,2)&gt;0,$A1703,IF($D1703="شخصی قاسم","شخصی قاسم",IF($D1703="هزینه","هزینه: "&amp;IF($E1703="","متفرقه",$E1703),IF($C1703="پاس چک","چک پرداختی",IF(OR($B1703="",COUNTIF(AcctCodesA,$B1703)=0),"متفرقه",$B1703))))))</f>
        <v/>
      </c>
      <c r="J1703">
        <f>IF($H1703="","",IF(ROUND($F1703,2)&gt;0,IF($D1703="شخصی قاسم","شخصی قاسم",IF($D1703="هزینه","هزینه: "&amp;IF($E1703="","متفرقه",$E1703),IF(OR($B1703="",COUNTIF(AcctCodesA,$B1703)=0),"متفرقه",$B1703))),$A1703))</f>
        <v/>
      </c>
      <c r="K1703">
        <f>IF($A1703="","",IF(AND($B1703&lt;&gt;"",COUNTIF(AcctCodesA,$B1703)=0),"کد طرف در INFO تعریف نشده",IF(AND($D1703="هزینه",$E1703=""),"هزینه بدون زیرگروه",IF(AND($C1703="پاس چک",OR(Sync!$AJ1703="",COUNTIF(IssueNosA,Sync!$AJ1703)=0)),"شماره چک پاس‌شده معتبر نیست",""))))</f>
        <v/>
      </c>
      <c r="V1703">
        <f>IF($K1703="","",IF(ISNUMBER(Sync!$AK1703),Sync!$AK1703,LEFT(Sync!$AK1703,4)&amp;MID(Sync!$AK1703,6,2)&amp;RIGHT(Sync!$AK1703,2))&amp;"|"&amp;"4"&amp;RIGHT("00000"&amp;1698,5))</f>
        <v/>
      </c>
      <c r="W1703">
        <f>IF($V1703="",0,COUNTIFS($V$6:$V$2005,"&lt;"&amp;$V1703)-COUNTIFS($V$6:$V$2005,"&lt;"&amp;$V1703,$K$6:$K$2005,"")+1)</f>
        <v/>
      </c>
    </row>
    <row r="1704">
      <c r="A1704">
        <f>IF(Sync!$Z1704="","",LEFT(UPPER(TRIM(Sync!$Z1704)),6))</f>
        <v/>
      </c>
      <c r="B1704">
        <f>IF($A1704="","",IF(Sync!$AA1704="","",Sync!$AA1704))</f>
        <v/>
      </c>
      <c r="C1704">
        <f>IF($A1704="","",IF(Sync!$AB1704="","",Sync!$AB1704))</f>
        <v/>
      </c>
      <c r="D1704">
        <f>IF($A1704="","",IF(Sync!$AC1704="","",Sync!$AC1704))</f>
        <v/>
      </c>
      <c r="E1704">
        <f>IF($A1704="","",IF(Sync!$AD1704="","",Sync!$AD1704))</f>
        <v/>
      </c>
      <c r="F1704">
        <f>IF($A1704="","",IF(Sync!$AE1704="",0,Sync!$AE1704))</f>
        <v/>
      </c>
      <c r="G1704">
        <f>IF($A1704="","",IF(Sync!$AF1704="",0,Sync!$AF1704))</f>
        <v/>
      </c>
      <c r="H1704">
        <f>IF(OR($A1704="",ROUND($F1704+$G1704,2)=0),"",$F1704+$G1704)</f>
        <v/>
      </c>
      <c r="I1704">
        <f>IF($H1704="","",IF(ROUND($F1704,2)&gt;0,$A1704,IF($D1704="شخصی قاسم","شخصی قاسم",IF($D1704="هزینه","هزینه: "&amp;IF($E1704="","متفرقه",$E1704),IF($C1704="پاس چک","چک پرداختی",IF(OR($B1704="",COUNTIF(AcctCodesA,$B1704)=0),"متفرقه",$B1704))))))</f>
        <v/>
      </c>
      <c r="J1704">
        <f>IF($H1704="","",IF(ROUND($F1704,2)&gt;0,IF($D1704="شخصی قاسم","شخصی قاسم",IF($D1704="هزینه","هزینه: "&amp;IF($E1704="","متفرقه",$E1704),IF(OR($B1704="",COUNTIF(AcctCodesA,$B1704)=0),"متفرقه",$B1704))),$A1704))</f>
        <v/>
      </c>
      <c r="K1704">
        <f>IF($A1704="","",IF(AND($B1704&lt;&gt;"",COUNTIF(AcctCodesA,$B1704)=0),"کد طرف در INFO تعریف نشده",IF(AND($D1704="هزینه",$E1704=""),"هزینه بدون زیرگروه",IF(AND($C1704="پاس چک",OR(Sync!$AJ1704="",COUNTIF(IssueNosA,Sync!$AJ1704)=0)),"شماره چک پاس‌شده معتبر نیست",""))))</f>
        <v/>
      </c>
      <c r="V1704">
        <f>IF($K1704="","",IF(ISNUMBER(Sync!$AK1704),Sync!$AK1704,LEFT(Sync!$AK1704,4)&amp;MID(Sync!$AK1704,6,2)&amp;RIGHT(Sync!$AK1704,2))&amp;"|"&amp;"4"&amp;RIGHT("00000"&amp;1699,5))</f>
        <v/>
      </c>
      <c r="W1704">
        <f>IF($V1704="",0,COUNTIFS($V$6:$V$2005,"&lt;"&amp;$V1704)-COUNTIFS($V$6:$V$2005,"&lt;"&amp;$V1704,$K$6:$K$2005,"")+1)</f>
        <v/>
      </c>
    </row>
    <row r="1705">
      <c r="A1705">
        <f>IF(Sync!$Z1705="","",LEFT(UPPER(TRIM(Sync!$Z1705)),6))</f>
        <v/>
      </c>
      <c r="B1705">
        <f>IF($A1705="","",IF(Sync!$AA1705="","",Sync!$AA1705))</f>
        <v/>
      </c>
      <c r="C1705">
        <f>IF($A1705="","",IF(Sync!$AB1705="","",Sync!$AB1705))</f>
        <v/>
      </c>
      <c r="D1705">
        <f>IF($A1705="","",IF(Sync!$AC1705="","",Sync!$AC1705))</f>
        <v/>
      </c>
      <c r="E1705">
        <f>IF($A1705="","",IF(Sync!$AD1705="","",Sync!$AD1705))</f>
        <v/>
      </c>
      <c r="F1705">
        <f>IF($A1705="","",IF(Sync!$AE1705="",0,Sync!$AE1705))</f>
        <v/>
      </c>
      <c r="G1705">
        <f>IF($A1705="","",IF(Sync!$AF1705="",0,Sync!$AF1705))</f>
        <v/>
      </c>
      <c r="H1705">
        <f>IF(OR($A1705="",ROUND($F1705+$G1705,2)=0),"",$F1705+$G1705)</f>
        <v/>
      </c>
      <c r="I1705">
        <f>IF($H1705="","",IF(ROUND($F1705,2)&gt;0,$A1705,IF($D1705="شخصی قاسم","شخصی قاسم",IF($D1705="هزینه","هزینه: "&amp;IF($E1705="","متفرقه",$E1705),IF($C1705="پاس چک","چک پرداختی",IF(OR($B1705="",COUNTIF(AcctCodesA,$B1705)=0),"متفرقه",$B1705))))))</f>
        <v/>
      </c>
      <c r="J1705">
        <f>IF($H1705="","",IF(ROUND($F1705,2)&gt;0,IF($D1705="شخصی قاسم","شخصی قاسم",IF($D1705="هزینه","هزینه: "&amp;IF($E1705="","متفرقه",$E1705),IF(OR($B1705="",COUNTIF(AcctCodesA,$B1705)=0),"متفرقه",$B1705))),$A1705))</f>
        <v/>
      </c>
      <c r="K1705">
        <f>IF($A1705="","",IF(AND($B1705&lt;&gt;"",COUNTIF(AcctCodesA,$B1705)=0),"کد طرف در INFO تعریف نشده",IF(AND($D1705="هزینه",$E1705=""),"هزینه بدون زیرگروه",IF(AND($C1705="پاس چک",OR(Sync!$AJ1705="",COUNTIF(IssueNosA,Sync!$AJ1705)=0)),"شماره چک پاس‌شده معتبر نیست",""))))</f>
        <v/>
      </c>
      <c r="V1705">
        <f>IF($K1705="","",IF(ISNUMBER(Sync!$AK1705),Sync!$AK1705,LEFT(Sync!$AK1705,4)&amp;MID(Sync!$AK1705,6,2)&amp;RIGHT(Sync!$AK1705,2))&amp;"|"&amp;"4"&amp;RIGHT("00000"&amp;1700,5))</f>
        <v/>
      </c>
      <c r="W1705">
        <f>IF($V1705="",0,COUNTIFS($V$6:$V$2005,"&lt;"&amp;$V1705)-COUNTIFS($V$6:$V$2005,"&lt;"&amp;$V1705,$K$6:$K$2005,"")+1)</f>
        <v/>
      </c>
    </row>
    <row r="1706">
      <c r="A1706">
        <f>IF(Sync!$Z1706="","",LEFT(UPPER(TRIM(Sync!$Z1706)),6))</f>
        <v/>
      </c>
      <c r="B1706">
        <f>IF($A1706="","",IF(Sync!$AA1706="","",Sync!$AA1706))</f>
        <v/>
      </c>
      <c r="C1706">
        <f>IF($A1706="","",IF(Sync!$AB1706="","",Sync!$AB1706))</f>
        <v/>
      </c>
      <c r="D1706">
        <f>IF($A1706="","",IF(Sync!$AC1706="","",Sync!$AC1706))</f>
        <v/>
      </c>
      <c r="E1706">
        <f>IF($A1706="","",IF(Sync!$AD1706="","",Sync!$AD1706))</f>
        <v/>
      </c>
      <c r="F1706">
        <f>IF($A1706="","",IF(Sync!$AE1706="",0,Sync!$AE1706))</f>
        <v/>
      </c>
      <c r="G1706">
        <f>IF($A1706="","",IF(Sync!$AF1706="",0,Sync!$AF1706))</f>
        <v/>
      </c>
      <c r="H1706">
        <f>IF(OR($A1706="",ROUND($F1706+$G1706,2)=0),"",$F1706+$G1706)</f>
        <v/>
      </c>
      <c r="I1706">
        <f>IF($H1706="","",IF(ROUND($F1706,2)&gt;0,$A1706,IF($D1706="شخصی قاسم","شخصی قاسم",IF($D1706="هزینه","هزینه: "&amp;IF($E1706="","متفرقه",$E1706),IF($C1706="پاس چک","چک پرداختی",IF(OR($B1706="",COUNTIF(AcctCodesA,$B1706)=0),"متفرقه",$B1706))))))</f>
        <v/>
      </c>
      <c r="J1706">
        <f>IF($H1706="","",IF(ROUND($F1706,2)&gt;0,IF($D1706="شخصی قاسم","شخصی قاسم",IF($D1706="هزینه","هزینه: "&amp;IF($E1706="","متفرقه",$E1706),IF(OR($B1706="",COUNTIF(AcctCodesA,$B1706)=0),"متفرقه",$B1706))),$A1706))</f>
        <v/>
      </c>
      <c r="K1706">
        <f>IF($A1706="","",IF(AND($B1706&lt;&gt;"",COUNTIF(AcctCodesA,$B1706)=0),"کد طرف در INFO تعریف نشده",IF(AND($D1706="هزینه",$E1706=""),"هزینه بدون زیرگروه",IF(AND($C1706="پاس چک",OR(Sync!$AJ1706="",COUNTIF(IssueNosA,Sync!$AJ1706)=0)),"شماره چک پاس‌شده معتبر نیست",""))))</f>
        <v/>
      </c>
      <c r="V1706">
        <f>IF($K1706="","",IF(ISNUMBER(Sync!$AK1706),Sync!$AK1706,LEFT(Sync!$AK1706,4)&amp;MID(Sync!$AK1706,6,2)&amp;RIGHT(Sync!$AK1706,2))&amp;"|"&amp;"4"&amp;RIGHT("00000"&amp;1701,5))</f>
        <v/>
      </c>
      <c r="W1706">
        <f>IF($V1706="",0,COUNTIFS($V$6:$V$2005,"&lt;"&amp;$V1706)-COUNTIFS($V$6:$V$2005,"&lt;"&amp;$V1706,$K$6:$K$2005,"")+1)</f>
        <v/>
      </c>
    </row>
    <row r="1707">
      <c r="A1707">
        <f>IF(Sync!$Z1707="","",LEFT(UPPER(TRIM(Sync!$Z1707)),6))</f>
        <v/>
      </c>
      <c r="B1707">
        <f>IF($A1707="","",IF(Sync!$AA1707="","",Sync!$AA1707))</f>
        <v/>
      </c>
      <c r="C1707">
        <f>IF($A1707="","",IF(Sync!$AB1707="","",Sync!$AB1707))</f>
        <v/>
      </c>
      <c r="D1707">
        <f>IF($A1707="","",IF(Sync!$AC1707="","",Sync!$AC1707))</f>
        <v/>
      </c>
      <c r="E1707">
        <f>IF($A1707="","",IF(Sync!$AD1707="","",Sync!$AD1707))</f>
        <v/>
      </c>
      <c r="F1707">
        <f>IF($A1707="","",IF(Sync!$AE1707="",0,Sync!$AE1707))</f>
        <v/>
      </c>
      <c r="G1707">
        <f>IF($A1707="","",IF(Sync!$AF1707="",0,Sync!$AF1707))</f>
        <v/>
      </c>
      <c r="H1707">
        <f>IF(OR($A1707="",ROUND($F1707+$G1707,2)=0),"",$F1707+$G1707)</f>
        <v/>
      </c>
      <c r="I1707">
        <f>IF($H1707="","",IF(ROUND($F1707,2)&gt;0,$A1707,IF($D1707="شخصی قاسم","شخصی قاسم",IF($D1707="هزینه","هزینه: "&amp;IF($E1707="","متفرقه",$E1707),IF($C1707="پاس چک","چک پرداختی",IF(OR($B1707="",COUNTIF(AcctCodesA,$B1707)=0),"متفرقه",$B1707))))))</f>
        <v/>
      </c>
      <c r="J1707">
        <f>IF($H1707="","",IF(ROUND($F1707,2)&gt;0,IF($D1707="شخصی قاسم","شخصی قاسم",IF($D1707="هزینه","هزینه: "&amp;IF($E1707="","متفرقه",$E1707),IF(OR($B1707="",COUNTIF(AcctCodesA,$B1707)=0),"متفرقه",$B1707))),$A1707))</f>
        <v/>
      </c>
      <c r="K1707">
        <f>IF($A1707="","",IF(AND($B1707&lt;&gt;"",COUNTIF(AcctCodesA,$B1707)=0),"کد طرف در INFO تعریف نشده",IF(AND($D1707="هزینه",$E1707=""),"هزینه بدون زیرگروه",IF(AND($C1707="پاس چک",OR(Sync!$AJ1707="",COUNTIF(IssueNosA,Sync!$AJ1707)=0)),"شماره چک پاس‌شده معتبر نیست",""))))</f>
        <v/>
      </c>
      <c r="V1707">
        <f>IF($K1707="","",IF(ISNUMBER(Sync!$AK1707),Sync!$AK1707,LEFT(Sync!$AK1707,4)&amp;MID(Sync!$AK1707,6,2)&amp;RIGHT(Sync!$AK1707,2))&amp;"|"&amp;"4"&amp;RIGHT("00000"&amp;1702,5))</f>
        <v/>
      </c>
      <c r="W1707">
        <f>IF($V1707="",0,COUNTIFS($V$6:$V$2005,"&lt;"&amp;$V1707)-COUNTIFS($V$6:$V$2005,"&lt;"&amp;$V1707,$K$6:$K$2005,"")+1)</f>
        <v/>
      </c>
    </row>
    <row r="1708">
      <c r="A1708">
        <f>IF(Sync!$Z1708="","",LEFT(UPPER(TRIM(Sync!$Z1708)),6))</f>
        <v/>
      </c>
      <c r="B1708">
        <f>IF($A1708="","",IF(Sync!$AA1708="","",Sync!$AA1708))</f>
        <v/>
      </c>
      <c r="C1708">
        <f>IF($A1708="","",IF(Sync!$AB1708="","",Sync!$AB1708))</f>
        <v/>
      </c>
      <c r="D1708">
        <f>IF($A1708="","",IF(Sync!$AC1708="","",Sync!$AC1708))</f>
        <v/>
      </c>
      <c r="E1708">
        <f>IF($A1708="","",IF(Sync!$AD1708="","",Sync!$AD1708))</f>
        <v/>
      </c>
      <c r="F1708">
        <f>IF($A1708="","",IF(Sync!$AE1708="",0,Sync!$AE1708))</f>
        <v/>
      </c>
      <c r="G1708">
        <f>IF($A1708="","",IF(Sync!$AF1708="",0,Sync!$AF1708))</f>
        <v/>
      </c>
      <c r="H1708">
        <f>IF(OR($A1708="",ROUND($F1708+$G1708,2)=0),"",$F1708+$G1708)</f>
        <v/>
      </c>
      <c r="I1708">
        <f>IF($H1708="","",IF(ROUND($F1708,2)&gt;0,$A1708,IF($D1708="شخصی قاسم","شخصی قاسم",IF($D1708="هزینه","هزینه: "&amp;IF($E1708="","متفرقه",$E1708),IF($C1708="پاس چک","چک پرداختی",IF(OR($B1708="",COUNTIF(AcctCodesA,$B1708)=0),"متفرقه",$B1708))))))</f>
        <v/>
      </c>
      <c r="J1708">
        <f>IF($H1708="","",IF(ROUND($F1708,2)&gt;0,IF($D1708="شخصی قاسم","شخصی قاسم",IF($D1708="هزینه","هزینه: "&amp;IF($E1708="","متفرقه",$E1708),IF(OR($B1708="",COUNTIF(AcctCodesA,$B1708)=0),"متفرقه",$B1708))),$A1708))</f>
        <v/>
      </c>
      <c r="K1708">
        <f>IF($A1708="","",IF(AND($B1708&lt;&gt;"",COUNTIF(AcctCodesA,$B1708)=0),"کد طرف در INFO تعریف نشده",IF(AND($D1708="هزینه",$E1708=""),"هزینه بدون زیرگروه",IF(AND($C1708="پاس چک",OR(Sync!$AJ1708="",COUNTIF(IssueNosA,Sync!$AJ1708)=0)),"شماره چک پاس‌شده معتبر نیست",""))))</f>
        <v/>
      </c>
      <c r="V1708">
        <f>IF($K1708="","",IF(ISNUMBER(Sync!$AK1708),Sync!$AK1708,LEFT(Sync!$AK1708,4)&amp;MID(Sync!$AK1708,6,2)&amp;RIGHT(Sync!$AK1708,2))&amp;"|"&amp;"4"&amp;RIGHT("00000"&amp;1703,5))</f>
        <v/>
      </c>
      <c r="W1708">
        <f>IF($V1708="",0,COUNTIFS($V$6:$V$2005,"&lt;"&amp;$V1708)-COUNTIFS($V$6:$V$2005,"&lt;"&amp;$V1708,$K$6:$K$2005,"")+1)</f>
        <v/>
      </c>
    </row>
    <row r="1709">
      <c r="A1709">
        <f>IF(Sync!$Z1709="","",LEFT(UPPER(TRIM(Sync!$Z1709)),6))</f>
        <v/>
      </c>
      <c r="B1709">
        <f>IF($A1709="","",IF(Sync!$AA1709="","",Sync!$AA1709))</f>
        <v/>
      </c>
      <c r="C1709">
        <f>IF($A1709="","",IF(Sync!$AB1709="","",Sync!$AB1709))</f>
        <v/>
      </c>
      <c r="D1709">
        <f>IF($A1709="","",IF(Sync!$AC1709="","",Sync!$AC1709))</f>
        <v/>
      </c>
      <c r="E1709">
        <f>IF($A1709="","",IF(Sync!$AD1709="","",Sync!$AD1709))</f>
        <v/>
      </c>
      <c r="F1709">
        <f>IF($A1709="","",IF(Sync!$AE1709="",0,Sync!$AE1709))</f>
        <v/>
      </c>
      <c r="G1709">
        <f>IF($A1709="","",IF(Sync!$AF1709="",0,Sync!$AF1709))</f>
        <v/>
      </c>
      <c r="H1709">
        <f>IF(OR($A1709="",ROUND($F1709+$G1709,2)=0),"",$F1709+$G1709)</f>
        <v/>
      </c>
      <c r="I1709">
        <f>IF($H1709="","",IF(ROUND($F1709,2)&gt;0,$A1709,IF($D1709="شخصی قاسم","شخصی قاسم",IF($D1709="هزینه","هزینه: "&amp;IF($E1709="","متفرقه",$E1709),IF($C1709="پاس چک","چک پرداختی",IF(OR($B1709="",COUNTIF(AcctCodesA,$B1709)=0),"متفرقه",$B1709))))))</f>
        <v/>
      </c>
      <c r="J1709">
        <f>IF($H1709="","",IF(ROUND($F1709,2)&gt;0,IF($D1709="شخصی قاسم","شخصی قاسم",IF($D1709="هزینه","هزینه: "&amp;IF($E1709="","متفرقه",$E1709),IF(OR($B1709="",COUNTIF(AcctCodesA,$B1709)=0),"متفرقه",$B1709))),$A1709))</f>
        <v/>
      </c>
      <c r="K1709">
        <f>IF($A1709="","",IF(AND($B1709&lt;&gt;"",COUNTIF(AcctCodesA,$B1709)=0),"کد طرف در INFO تعریف نشده",IF(AND($D1709="هزینه",$E1709=""),"هزینه بدون زیرگروه",IF(AND($C1709="پاس چک",OR(Sync!$AJ1709="",COUNTIF(IssueNosA,Sync!$AJ1709)=0)),"شماره چک پاس‌شده معتبر نیست",""))))</f>
        <v/>
      </c>
      <c r="V1709">
        <f>IF($K1709="","",IF(ISNUMBER(Sync!$AK1709),Sync!$AK1709,LEFT(Sync!$AK1709,4)&amp;MID(Sync!$AK1709,6,2)&amp;RIGHT(Sync!$AK1709,2))&amp;"|"&amp;"4"&amp;RIGHT("00000"&amp;1704,5))</f>
        <v/>
      </c>
      <c r="W1709">
        <f>IF($V1709="",0,COUNTIFS($V$6:$V$2005,"&lt;"&amp;$V1709)-COUNTIFS($V$6:$V$2005,"&lt;"&amp;$V1709,$K$6:$K$2005,"")+1)</f>
        <v/>
      </c>
    </row>
    <row r="1710">
      <c r="A1710">
        <f>IF(Sync!$Z1710="","",LEFT(UPPER(TRIM(Sync!$Z1710)),6))</f>
        <v/>
      </c>
      <c r="B1710">
        <f>IF($A1710="","",IF(Sync!$AA1710="","",Sync!$AA1710))</f>
        <v/>
      </c>
      <c r="C1710">
        <f>IF($A1710="","",IF(Sync!$AB1710="","",Sync!$AB1710))</f>
        <v/>
      </c>
      <c r="D1710">
        <f>IF($A1710="","",IF(Sync!$AC1710="","",Sync!$AC1710))</f>
        <v/>
      </c>
      <c r="E1710">
        <f>IF($A1710="","",IF(Sync!$AD1710="","",Sync!$AD1710))</f>
        <v/>
      </c>
      <c r="F1710">
        <f>IF($A1710="","",IF(Sync!$AE1710="",0,Sync!$AE1710))</f>
        <v/>
      </c>
      <c r="G1710">
        <f>IF($A1710="","",IF(Sync!$AF1710="",0,Sync!$AF1710))</f>
        <v/>
      </c>
      <c r="H1710">
        <f>IF(OR($A1710="",ROUND($F1710+$G1710,2)=0),"",$F1710+$G1710)</f>
        <v/>
      </c>
      <c r="I1710">
        <f>IF($H1710="","",IF(ROUND($F1710,2)&gt;0,$A1710,IF($D1710="شخصی قاسم","شخصی قاسم",IF($D1710="هزینه","هزینه: "&amp;IF($E1710="","متفرقه",$E1710),IF($C1710="پاس چک","چک پرداختی",IF(OR($B1710="",COUNTIF(AcctCodesA,$B1710)=0),"متفرقه",$B1710))))))</f>
        <v/>
      </c>
      <c r="J1710">
        <f>IF($H1710="","",IF(ROUND($F1710,2)&gt;0,IF($D1710="شخصی قاسم","شخصی قاسم",IF($D1710="هزینه","هزینه: "&amp;IF($E1710="","متفرقه",$E1710),IF(OR($B1710="",COUNTIF(AcctCodesA,$B1710)=0),"متفرقه",$B1710))),$A1710))</f>
        <v/>
      </c>
      <c r="K1710">
        <f>IF($A1710="","",IF(AND($B1710&lt;&gt;"",COUNTIF(AcctCodesA,$B1710)=0),"کد طرف در INFO تعریف نشده",IF(AND($D1710="هزینه",$E1710=""),"هزینه بدون زیرگروه",IF(AND($C1710="پاس چک",OR(Sync!$AJ1710="",COUNTIF(IssueNosA,Sync!$AJ1710)=0)),"شماره چک پاس‌شده معتبر نیست",""))))</f>
        <v/>
      </c>
      <c r="V1710">
        <f>IF($K1710="","",IF(ISNUMBER(Sync!$AK1710),Sync!$AK1710,LEFT(Sync!$AK1710,4)&amp;MID(Sync!$AK1710,6,2)&amp;RIGHT(Sync!$AK1710,2))&amp;"|"&amp;"4"&amp;RIGHT("00000"&amp;1705,5))</f>
        <v/>
      </c>
      <c r="W1710">
        <f>IF($V1710="",0,COUNTIFS($V$6:$V$2005,"&lt;"&amp;$V1710)-COUNTIFS($V$6:$V$2005,"&lt;"&amp;$V1710,$K$6:$K$2005,"")+1)</f>
        <v/>
      </c>
    </row>
    <row r="1711">
      <c r="A1711">
        <f>IF(Sync!$Z1711="","",LEFT(UPPER(TRIM(Sync!$Z1711)),6))</f>
        <v/>
      </c>
      <c r="B1711">
        <f>IF($A1711="","",IF(Sync!$AA1711="","",Sync!$AA1711))</f>
        <v/>
      </c>
      <c r="C1711">
        <f>IF($A1711="","",IF(Sync!$AB1711="","",Sync!$AB1711))</f>
        <v/>
      </c>
      <c r="D1711">
        <f>IF($A1711="","",IF(Sync!$AC1711="","",Sync!$AC1711))</f>
        <v/>
      </c>
      <c r="E1711">
        <f>IF($A1711="","",IF(Sync!$AD1711="","",Sync!$AD1711))</f>
        <v/>
      </c>
      <c r="F1711">
        <f>IF($A1711="","",IF(Sync!$AE1711="",0,Sync!$AE1711))</f>
        <v/>
      </c>
      <c r="G1711">
        <f>IF($A1711="","",IF(Sync!$AF1711="",0,Sync!$AF1711))</f>
        <v/>
      </c>
      <c r="H1711">
        <f>IF(OR($A1711="",ROUND($F1711+$G1711,2)=0),"",$F1711+$G1711)</f>
        <v/>
      </c>
      <c r="I1711">
        <f>IF($H1711="","",IF(ROUND($F1711,2)&gt;0,$A1711,IF($D1711="شخصی قاسم","شخصی قاسم",IF($D1711="هزینه","هزینه: "&amp;IF($E1711="","متفرقه",$E1711),IF($C1711="پاس چک","چک پرداختی",IF(OR($B1711="",COUNTIF(AcctCodesA,$B1711)=0),"متفرقه",$B1711))))))</f>
        <v/>
      </c>
      <c r="J1711">
        <f>IF($H1711="","",IF(ROUND($F1711,2)&gt;0,IF($D1711="شخصی قاسم","شخصی قاسم",IF($D1711="هزینه","هزینه: "&amp;IF($E1711="","متفرقه",$E1711),IF(OR($B1711="",COUNTIF(AcctCodesA,$B1711)=0),"متفرقه",$B1711))),$A1711))</f>
        <v/>
      </c>
      <c r="K1711">
        <f>IF($A1711="","",IF(AND($B1711&lt;&gt;"",COUNTIF(AcctCodesA,$B1711)=0),"کد طرف در INFO تعریف نشده",IF(AND($D1711="هزینه",$E1711=""),"هزینه بدون زیرگروه",IF(AND($C1711="پاس چک",OR(Sync!$AJ1711="",COUNTIF(IssueNosA,Sync!$AJ1711)=0)),"شماره چک پاس‌شده معتبر نیست",""))))</f>
        <v/>
      </c>
      <c r="V1711">
        <f>IF($K1711="","",IF(ISNUMBER(Sync!$AK1711),Sync!$AK1711,LEFT(Sync!$AK1711,4)&amp;MID(Sync!$AK1711,6,2)&amp;RIGHT(Sync!$AK1711,2))&amp;"|"&amp;"4"&amp;RIGHT("00000"&amp;1706,5))</f>
        <v/>
      </c>
      <c r="W1711">
        <f>IF($V1711="",0,COUNTIFS($V$6:$V$2005,"&lt;"&amp;$V1711)-COUNTIFS($V$6:$V$2005,"&lt;"&amp;$V1711,$K$6:$K$2005,"")+1)</f>
        <v/>
      </c>
    </row>
    <row r="1712">
      <c r="A1712">
        <f>IF(Sync!$Z1712="","",LEFT(UPPER(TRIM(Sync!$Z1712)),6))</f>
        <v/>
      </c>
      <c r="B1712">
        <f>IF($A1712="","",IF(Sync!$AA1712="","",Sync!$AA1712))</f>
        <v/>
      </c>
      <c r="C1712">
        <f>IF($A1712="","",IF(Sync!$AB1712="","",Sync!$AB1712))</f>
        <v/>
      </c>
      <c r="D1712">
        <f>IF($A1712="","",IF(Sync!$AC1712="","",Sync!$AC1712))</f>
        <v/>
      </c>
      <c r="E1712">
        <f>IF($A1712="","",IF(Sync!$AD1712="","",Sync!$AD1712))</f>
        <v/>
      </c>
      <c r="F1712">
        <f>IF($A1712="","",IF(Sync!$AE1712="",0,Sync!$AE1712))</f>
        <v/>
      </c>
      <c r="G1712">
        <f>IF($A1712="","",IF(Sync!$AF1712="",0,Sync!$AF1712))</f>
        <v/>
      </c>
      <c r="H1712">
        <f>IF(OR($A1712="",ROUND($F1712+$G1712,2)=0),"",$F1712+$G1712)</f>
        <v/>
      </c>
      <c r="I1712">
        <f>IF($H1712="","",IF(ROUND($F1712,2)&gt;0,$A1712,IF($D1712="شخصی قاسم","شخصی قاسم",IF($D1712="هزینه","هزینه: "&amp;IF($E1712="","متفرقه",$E1712),IF($C1712="پاس چک","چک پرداختی",IF(OR($B1712="",COUNTIF(AcctCodesA,$B1712)=0),"متفرقه",$B1712))))))</f>
        <v/>
      </c>
      <c r="J1712">
        <f>IF($H1712="","",IF(ROUND($F1712,2)&gt;0,IF($D1712="شخصی قاسم","شخصی قاسم",IF($D1712="هزینه","هزینه: "&amp;IF($E1712="","متفرقه",$E1712),IF(OR($B1712="",COUNTIF(AcctCodesA,$B1712)=0),"متفرقه",$B1712))),$A1712))</f>
        <v/>
      </c>
      <c r="K1712">
        <f>IF($A1712="","",IF(AND($B1712&lt;&gt;"",COUNTIF(AcctCodesA,$B1712)=0),"کد طرف در INFO تعریف نشده",IF(AND($D1712="هزینه",$E1712=""),"هزینه بدون زیرگروه",IF(AND($C1712="پاس چک",OR(Sync!$AJ1712="",COUNTIF(IssueNosA,Sync!$AJ1712)=0)),"شماره چک پاس‌شده معتبر نیست",""))))</f>
        <v/>
      </c>
      <c r="V1712">
        <f>IF($K1712="","",IF(ISNUMBER(Sync!$AK1712),Sync!$AK1712,LEFT(Sync!$AK1712,4)&amp;MID(Sync!$AK1712,6,2)&amp;RIGHT(Sync!$AK1712,2))&amp;"|"&amp;"4"&amp;RIGHT("00000"&amp;1707,5))</f>
        <v/>
      </c>
      <c r="W1712">
        <f>IF($V1712="",0,COUNTIFS($V$6:$V$2005,"&lt;"&amp;$V1712)-COUNTIFS($V$6:$V$2005,"&lt;"&amp;$V1712,$K$6:$K$2005,"")+1)</f>
        <v/>
      </c>
    </row>
    <row r="1713">
      <c r="A1713">
        <f>IF(Sync!$Z1713="","",LEFT(UPPER(TRIM(Sync!$Z1713)),6))</f>
        <v/>
      </c>
      <c r="B1713">
        <f>IF($A1713="","",IF(Sync!$AA1713="","",Sync!$AA1713))</f>
        <v/>
      </c>
      <c r="C1713">
        <f>IF($A1713="","",IF(Sync!$AB1713="","",Sync!$AB1713))</f>
        <v/>
      </c>
      <c r="D1713">
        <f>IF($A1713="","",IF(Sync!$AC1713="","",Sync!$AC1713))</f>
        <v/>
      </c>
      <c r="E1713">
        <f>IF($A1713="","",IF(Sync!$AD1713="","",Sync!$AD1713))</f>
        <v/>
      </c>
      <c r="F1713">
        <f>IF($A1713="","",IF(Sync!$AE1713="",0,Sync!$AE1713))</f>
        <v/>
      </c>
      <c r="G1713">
        <f>IF($A1713="","",IF(Sync!$AF1713="",0,Sync!$AF1713))</f>
        <v/>
      </c>
      <c r="H1713">
        <f>IF(OR($A1713="",ROUND($F1713+$G1713,2)=0),"",$F1713+$G1713)</f>
        <v/>
      </c>
      <c r="I1713">
        <f>IF($H1713="","",IF(ROUND($F1713,2)&gt;0,$A1713,IF($D1713="شخصی قاسم","شخصی قاسم",IF($D1713="هزینه","هزینه: "&amp;IF($E1713="","متفرقه",$E1713),IF($C1713="پاس چک","چک پرداختی",IF(OR($B1713="",COUNTIF(AcctCodesA,$B1713)=0),"متفرقه",$B1713))))))</f>
        <v/>
      </c>
      <c r="J1713">
        <f>IF($H1713="","",IF(ROUND($F1713,2)&gt;0,IF($D1713="شخصی قاسم","شخصی قاسم",IF($D1713="هزینه","هزینه: "&amp;IF($E1713="","متفرقه",$E1713),IF(OR($B1713="",COUNTIF(AcctCodesA,$B1713)=0),"متفرقه",$B1713))),$A1713))</f>
        <v/>
      </c>
      <c r="K1713">
        <f>IF($A1713="","",IF(AND($B1713&lt;&gt;"",COUNTIF(AcctCodesA,$B1713)=0),"کد طرف در INFO تعریف نشده",IF(AND($D1713="هزینه",$E1713=""),"هزینه بدون زیرگروه",IF(AND($C1713="پاس چک",OR(Sync!$AJ1713="",COUNTIF(IssueNosA,Sync!$AJ1713)=0)),"شماره چک پاس‌شده معتبر نیست",""))))</f>
        <v/>
      </c>
      <c r="V1713">
        <f>IF($K1713="","",IF(ISNUMBER(Sync!$AK1713),Sync!$AK1713,LEFT(Sync!$AK1713,4)&amp;MID(Sync!$AK1713,6,2)&amp;RIGHT(Sync!$AK1713,2))&amp;"|"&amp;"4"&amp;RIGHT("00000"&amp;1708,5))</f>
        <v/>
      </c>
      <c r="W1713">
        <f>IF($V1713="",0,COUNTIFS($V$6:$V$2005,"&lt;"&amp;$V1713)-COUNTIFS($V$6:$V$2005,"&lt;"&amp;$V1713,$K$6:$K$2005,"")+1)</f>
        <v/>
      </c>
    </row>
    <row r="1714">
      <c r="A1714">
        <f>IF(Sync!$Z1714="","",LEFT(UPPER(TRIM(Sync!$Z1714)),6))</f>
        <v/>
      </c>
      <c r="B1714">
        <f>IF($A1714="","",IF(Sync!$AA1714="","",Sync!$AA1714))</f>
        <v/>
      </c>
      <c r="C1714">
        <f>IF($A1714="","",IF(Sync!$AB1714="","",Sync!$AB1714))</f>
        <v/>
      </c>
      <c r="D1714">
        <f>IF($A1714="","",IF(Sync!$AC1714="","",Sync!$AC1714))</f>
        <v/>
      </c>
      <c r="E1714">
        <f>IF($A1714="","",IF(Sync!$AD1714="","",Sync!$AD1714))</f>
        <v/>
      </c>
      <c r="F1714">
        <f>IF($A1714="","",IF(Sync!$AE1714="",0,Sync!$AE1714))</f>
        <v/>
      </c>
      <c r="G1714">
        <f>IF($A1714="","",IF(Sync!$AF1714="",0,Sync!$AF1714))</f>
        <v/>
      </c>
      <c r="H1714">
        <f>IF(OR($A1714="",ROUND($F1714+$G1714,2)=0),"",$F1714+$G1714)</f>
        <v/>
      </c>
      <c r="I1714">
        <f>IF($H1714="","",IF(ROUND($F1714,2)&gt;0,$A1714,IF($D1714="شخصی قاسم","شخصی قاسم",IF($D1714="هزینه","هزینه: "&amp;IF($E1714="","متفرقه",$E1714),IF($C1714="پاس چک","چک پرداختی",IF(OR($B1714="",COUNTIF(AcctCodesA,$B1714)=0),"متفرقه",$B1714))))))</f>
        <v/>
      </c>
      <c r="J1714">
        <f>IF($H1714="","",IF(ROUND($F1714,2)&gt;0,IF($D1714="شخصی قاسم","شخصی قاسم",IF($D1714="هزینه","هزینه: "&amp;IF($E1714="","متفرقه",$E1714),IF(OR($B1714="",COUNTIF(AcctCodesA,$B1714)=0),"متفرقه",$B1714))),$A1714))</f>
        <v/>
      </c>
      <c r="K1714">
        <f>IF($A1714="","",IF(AND($B1714&lt;&gt;"",COUNTIF(AcctCodesA,$B1714)=0),"کد طرف در INFO تعریف نشده",IF(AND($D1714="هزینه",$E1714=""),"هزینه بدون زیرگروه",IF(AND($C1714="پاس چک",OR(Sync!$AJ1714="",COUNTIF(IssueNosA,Sync!$AJ1714)=0)),"شماره چک پاس‌شده معتبر نیست",""))))</f>
        <v/>
      </c>
      <c r="V1714">
        <f>IF($K1714="","",IF(ISNUMBER(Sync!$AK1714),Sync!$AK1714,LEFT(Sync!$AK1714,4)&amp;MID(Sync!$AK1714,6,2)&amp;RIGHT(Sync!$AK1714,2))&amp;"|"&amp;"4"&amp;RIGHT("00000"&amp;1709,5))</f>
        <v/>
      </c>
      <c r="W1714">
        <f>IF($V1714="",0,COUNTIFS($V$6:$V$2005,"&lt;"&amp;$V1714)-COUNTIFS($V$6:$V$2005,"&lt;"&amp;$V1714,$K$6:$K$2005,"")+1)</f>
        <v/>
      </c>
    </row>
    <row r="1715">
      <c r="A1715">
        <f>IF(Sync!$Z1715="","",LEFT(UPPER(TRIM(Sync!$Z1715)),6))</f>
        <v/>
      </c>
      <c r="B1715">
        <f>IF($A1715="","",IF(Sync!$AA1715="","",Sync!$AA1715))</f>
        <v/>
      </c>
      <c r="C1715">
        <f>IF($A1715="","",IF(Sync!$AB1715="","",Sync!$AB1715))</f>
        <v/>
      </c>
      <c r="D1715">
        <f>IF($A1715="","",IF(Sync!$AC1715="","",Sync!$AC1715))</f>
        <v/>
      </c>
      <c r="E1715">
        <f>IF($A1715="","",IF(Sync!$AD1715="","",Sync!$AD1715))</f>
        <v/>
      </c>
      <c r="F1715">
        <f>IF($A1715="","",IF(Sync!$AE1715="",0,Sync!$AE1715))</f>
        <v/>
      </c>
      <c r="G1715">
        <f>IF($A1715="","",IF(Sync!$AF1715="",0,Sync!$AF1715))</f>
        <v/>
      </c>
      <c r="H1715">
        <f>IF(OR($A1715="",ROUND($F1715+$G1715,2)=0),"",$F1715+$G1715)</f>
        <v/>
      </c>
      <c r="I1715">
        <f>IF($H1715="","",IF(ROUND($F1715,2)&gt;0,$A1715,IF($D1715="شخصی قاسم","شخصی قاسم",IF($D1715="هزینه","هزینه: "&amp;IF($E1715="","متفرقه",$E1715),IF($C1715="پاس چک","چک پرداختی",IF(OR($B1715="",COUNTIF(AcctCodesA,$B1715)=0),"متفرقه",$B1715))))))</f>
        <v/>
      </c>
      <c r="J1715">
        <f>IF($H1715="","",IF(ROUND($F1715,2)&gt;0,IF($D1715="شخصی قاسم","شخصی قاسم",IF($D1715="هزینه","هزینه: "&amp;IF($E1715="","متفرقه",$E1715),IF(OR($B1715="",COUNTIF(AcctCodesA,$B1715)=0),"متفرقه",$B1715))),$A1715))</f>
        <v/>
      </c>
      <c r="K1715">
        <f>IF($A1715="","",IF(AND($B1715&lt;&gt;"",COUNTIF(AcctCodesA,$B1715)=0),"کد طرف در INFO تعریف نشده",IF(AND($D1715="هزینه",$E1715=""),"هزینه بدون زیرگروه",IF(AND($C1715="پاس چک",OR(Sync!$AJ1715="",COUNTIF(IssueNosA,Sync!$AJ1715)=0)),"شماره چک پاس‌شده معتبر نیست",""))))</f>
        <v/>
      </c>
      <c r="V1715">
        <f>IF($K1715="","",IF(ISNUMBER(Sync!$AK1715),Sync!$AK1715,LEFT(Sync!$AK1715,4)&amp;MID(Sync!$AK1715,6,2)&amp;RIGHT(Sync!$AK1715,2))&amp;"|"&amp;"4"&amp;RIGHT("00000"&amp;1710,5))</f>
        <v/>
      </c>
      <c r="W1715">
        <f>IF($V1715="",0,COUNTIFS($V$6:$V$2005,"&lt;"&amp;$V1715)-COUNTIFS($V$6:$V$2005,"&lt;"&amp;$V1715,$K$6:$K$2005,"")+1)</f>
        <v/>
      </c>
    </row>
    <row r="1716">
      <c r="A1716">
        <f>IF(Sync!$Z1716="","",LEFT(UPPER(TRIM(Sync!$Z1716)),6))</f>
        <v/>
      </c>
      <c r="B1716">
        <f>IF($A1716="","",IF(Sync!$AA1716="","",Sync!$AA1716))</f>
        <v/>
      </c>
      <c r="C1716">
        <f>IF($A1716="","",IF(Sync!$AB1716="","",Sync!$AB1716))</f>
        <v/>
      </c>
      <c r="D1716">
        <f>IF($A1716="","",IF(Sync!$AC1716="","",Sync!$AC1716))</f>
        <v/>
      </c>
      <c r="E1716">
        <f>IF($A1716="","",IF(Sync!$AD1716="","",Sync!$AD1716))</f>
        <v/>
      </c>
      <c r="F1716">
        <f>IF($A1716="","",IF(Sync!$AE1716="",0,Sync!$AE1716))</f>
        <v/>
      </c>
      <c r="G1716">
        <f>IF($A1716="","",IF(Sync!$AF1716="",0,Sync!$AF1716))</f>
        <v/>
      </c>
      <c r="H1716">
        <f>IF(OR($A1716="",ROUND($F1716+$G1716,2)=0),"",$F1716+$G1716)</f>
        <v/>
      </c>
      <c r="I1716">
        <f>IF($H1716="","",IF(ROUND($F1716,2)&gt;0,$A1716,IF($D1716="شخصی قاسم","شخصی قاسم",IF($D1716="هزینه","هزینه: "&amp;IF($E1716="","متفرقه",$E1716),IF($C1716="پاس چک","چک پرداختی",IF(OR($B1716="",COUNTIF(AcctCodesA,$B1716)=0),"متفرقه",$B1716))))))</f>
        <v/>
      </c>
      <c r="J1716">
        <f>IF($H1716="","",IF(ROUND($F1716,2)&gt;0,IF($D1716="شخصی قاسم","شخصی قاسم",IF($D1716="هزینه","هزینه: "&amp;IF($E1716="","متفرقه",$E1716),IF(OR($B1716="",COUNTIF(AcctCodesA,$B1716)=0),"متفرقه",$B1716))),$A1716))</f>
        <v/>
      </c>
      <c r="K1716">
        <f>IF($A1716="","",IF(AND($B1716&lt;&gt;"",COUNTIF(AcctCodesA,$B1716)=0),"کد طرف در INFO تعریف نشده",IF(AND($D1716="هزینه",$E1716=""),"هزینه بدون زیرگروه",IF(AND($C1716="پاس چک",OR(Sync!$AJ1716="",COUNTIF(IssueNosA,Sync!$AJ1716)=0)),"شماره چک پاس‌شده معتبر نیست",""))))</f>
        <v/>
      </c>
      <c r="V1716">
        <f>IF($K1716="","",IF(ISNUMBER(Sync!$AK1716),Sync!$AK1716,LEFT(Sync!$AK1716,4)&amp;MID(Sync!$AK1716,6,2)&amp;RIGHT(Sync!$AK1716,2))&amp;"|"&amp;"4"&amp;RIGHT("00000"&amp;1711,5))</f>
        <v/>
      </c>
      <c r="W1716">
        <f>IF($V1716="",0,COUNTIFS($V$6:$V$2005,"&lt;"&amp;$V1716)-COUNTIFS($V$6:$V$2005,"&lt;"&amp;$V1716,$K$6:$K$2005,"")+1)</f>
        <v/>
      </c>
    </row>
    <row r="1717">
      <c r="A1717">
        <f>IF(Sync!$Z1717="","",LEFT(UPPER(TRIM(Sync!$Z1717)),6))</f>
        <v/>
      </c>
      <c r="B1717">
        <f>IF($A1717="","",IF(Sync!$AA1717="","",Sync!$AA1717))</f>
        <v/>
      </c>
      <c r="C1717">
        <f>IF($A1717="","",IF(Sync!$AB1717="","",Sync!$AB1717))</f>
        <v/>
      </c>
      <c r="D1717">
        <f>IF($A1717="","",IF(Sync!$AC1717="","",Sync!$AC1717))</f>
        <v/>
      </c>
      <c r="E1717">
        <f>IF($A1717="","",IF(Sync!$AD1717="","",Sync!$AD1717))</f>
        <v/>
      </c>
      <c r="F1717">
        <f>IF($A1717="","",IF(Sync!$AE1717="",0,Sync!$AE1717))</f>
        <v/>
      </c>
      <c r="G1717">
        <f>IF($A1717="","",IF(Sync!$AF1717="",0,Sync!$AF1717))</f>
        <v/>
      </c>
      <c r="H1717">
        <f>IF(OR($A1717="",ROUND($F1717+$G1717,2)=0),"",$F1717+$G1717)</f>
        <v/>
      </c>
      <c r="I1717">
        <f>IF($H1717="","",IF(ROUND($F1717,2)&gt;0,$A1717,IF($D1717="شخصی قاسم","شخصی قاسم",IF($D1717="هزینه","هزینه: "&amp;IF($E1717="","متفرقه",$E1717),IF($C1717="پاس چک","چک پرداختی",IF(OR($B1717="",COUNTIF(AcctCodesA,$B1717)=0),"متفرقه",$B1717))))))</f>
        <v/>
      </c>
      <c r="J1717">
        <f>IF($H1717="","",IF(ROUND($F1717,2)&gt;0,IF($D1717="شخصی قاسم","شخصی قاسم",IF($D1717="هزینه","هزینه: "&amp;IF($E1717="","متفرقه",$E1717),IF(OR($B1717="",COUNTIF(AcctCodesA,$B1717)=0),"متفرقه",$B1717))),$A1717))</f>
        <v/>
      </c>
      <c r="K1717">
        <f>IF($A1717="","",IF(AND($B1717&lt;&gt;"",COUNTIF(AcctCodesA,$B1717)=0),"کد طرف در INFO تعریف نشده",IF(AND($D1717="هزینه",$E1717=""),"هزینه بدون زیرگروه",IF(AND($C1717="پاس چک",OR(Sync!$AJ1717="",COUNTIF(IssueNosA,Sync!$AJ1717)=0)),"شماره چک پاس‌شده معتبر نیست",""))))</f>
        <v/>
      </c>
      <c r="V1717">
        <f>IF($K1717="","",IF(ISNUMBER(Sync!$AK1717),Sync!$AK1717,LEFT(Sync!$AK1717,4)&amp;MID(Sync!$AK1717,6,2)&amp;RIGHT(Sync!$AK1717,2))&amp;"|"&amp;"4"&amp;RIGHT("00000"&amp;1712,5))</f>
        <v/>
      </c>
      <c r="W1717">
        <f>IF($V1717="",0,COUNTIFS($V$6:$V$2005,"&lt;"&amp;$V1717)-COUNTIFS($V$6:$V$2005,"&lt;"&amp;$V1717,$K$6:$K$2005,"")+1)</f>
        <v/>
      </c>
    </row>
    <row r="1718">
      <c r="A1718">
        <f>IF(Sync!$Z1718="","",LEFT(UPPER(TRIM(Sync!$Z1718)),6))</f>
        <v/>
      </c>
      <c r="B1718">
        <f>IF($A1718="","",IF(Sync!$AA1718="","",Sync!$AA1718))</f>
        <v/>
      </c>
      <c r="C1718">
        <f>IF($A1718="","",IF(Sync!$AB1718="","",Sync!$AB1718))</f>
        <v/>
      </c>
      <c r="D1718">
        <f>IF($A1718="","",IF(Sync!$AC1718="","",Sync!$AC1718))</f>
        <v/>
      </c>
      <c r="E1718">
        <f>IF($A1718="","",IF(Sync!$AD1718="","",Sync!$AD1718))</f>
        <v/>
      </c>
      <c r="F1718">
        <f>IF($A1718="","",IF(Sync!$AE1718="",0,Sync!$AE1718))</f>
        <v/>
      </c>
      <c r="G1718">
        <f>IF($A1718="","",IF(Sync!$AF1718="",0,Sync!$AF1718))</f>
        <v/>
      </c>
      <c r="H1718">
        <f>IF(OR($A1718="",ROUND($F1718+$G1718,2)=0),"",$F1718+$G1718)</f>
        <v/>
      </c>
      <c r="I1718">
        <f>IF($H1718="","",IF(ROUND($F1718,2)&gt;0,$A1718,IF($D1718="شخصی قاسم","شخصی قاسم",IF($D1718="هزینه","هزینه: "&amp;IF($E1718="","متفرقه",$E1718),IF($C1718="پاس چک","چک پرداختی",IF(OR($B1718="",COUNTIF(AcctCodesA,$B1718)=0),"متفرقه",$B1718))))))</f>
        <v/>
      </c>
      <c r="J1718">
        <f>IF($H1718="","",IF(ROUND($F1718,2)&gt;0,IF($D1718="شخصی قاسم","شخصی قاسم",IF($D1718="هزینه","هزینه: "&amp;IF($E1718="","متفرقه",$E1718),IF(OR($B1718="",COUNTIF(AcctCodesA,$B1718)=0),"متفرقه",$B1718))),$A1718))</f>
        <v/>
      </c>
      <c r="K1718">
        <f>IF($A1718="","",IF(AND($B1718&lt;&gt;"",COUNTIF(AcctCodesA,$B1718)=0),"کد طرف در INFO تعریف نشده",IF(AND($D1718="هزینه",$E1718=""),"هزینه بدون زیرگروه",IF(AND($C1718="پاس چک",OR(Sync!$AJ1718="",COUNTIF(IssueNosA,Sync!$AJ1718)=0)),"شماره چک پاس‌شده معتبر نیست",""))))</f>
        <v/>
      </c>
      <c r="V1718">
        <f>IF($K1718="","",IF(ISNUMBER(Sync!$AK1718),Sync!$AK1718,LEFT(Sync!$AK1718,4)&amp;MID(Sync!$AK1718,6,2)&amp;RIGHT(Sync!$AK1718,2))&amp;"|"&amp;"4"&amp;RIGHT("00000"&amp;1713,5))</f>
        <v/>
      </c>
      <c r="W1718">
        <f>IF($V1718="",0,COUNTIFS($V$6:$V$2005,"&lt;"&amp;$V1718)-COUNTIFS($V$6:$V$2005,"&lt;"&amp;$V1718,$K$6:$K$2005,"")+1)</f>
        <v/>
      </c>
    </row>
    <row r="1719">
      <c r="A1719">
        <f>IF(Sync!$Z1719="","",LEFT(UPPER(TRIM(Sync!$Z1719)),6))</f>
        <v/>
      </c>
      <c r="B1719">
        <f>IF($A1719="","",IF(Sync!$AA1719="","",Sync!$AA1719))</f>
        <v/>
      </c>
      <c r="C1719">
        <f>IF($A1719="","",IF(Sync!$AB1719="","",Sync!$AB1719))</f>
        <v/>
      </c>
      <c r="D1719">
        <f>IF($A1719="","",IF(Sync!$AC1719="","",Sync!$AC1719))</f>
        <v/>
      </c>
      <c r="E1719">
        <f>IF($A1719="","",IF(Sync!$AD1719="","",Sync!$AD1719))</f>
        <v/>
      </c>
      <c r="F1719">
        <f>IF($A1719="","",IF(Sync!$AE1719="",0,Sync!$AE1719))</f>
        <v/>
      </c>
      <c r="G1719">
        <f>IF($A1719="","",IF(Sync!$AF1719="",0,Sync!$AF1719))</f>
        <v/>
      </c>
      <c r="H1719">
        <f>IF(OR($A1719="",ROUND($F1719+$G1719,2)=0),"",$F1719+$G1719)</f>
        <v/>
      </c>
      <c r="I1719">
        <f>IF($H1719="","",IF(ROUND($F1719,2)&gt;0,$A1719,IF($D1719="شخصی قاسم","شخصی قاسم",IF($D1719="هزینه","هزینه: "&amp;IF($E1719="","متفرقه",$E1719),IF($C1719="پاس چک","چک پرداختی",IF(OR($B1719="",COUNTIF(AcctCodesA,$B1719)=0),"متفرقه",$B1719))))))</f>
        <v/>
      </c>
      <c r="J1719">
        <f>IF($H1719="","",IF(ROUND($F1719,2)&gt;0,IF($D1719="شخصی قاسم","شخصی قاسم",IF($D1719="هزینه","هزینه: "&amp;IF($E1719="","متفرقه",$E1719),IF(OR($B1719="",COUNTIF(AcctCodesA,$B1719)=0),"متفرقه",$B1719))),$A1719))</f>
        <v/>
      </c>
      <c r="K1719">
        <f>IF($A1719="","",IF(AND($B1719&lt;&gt;"",COUNTIF(AcctCodesA,$B1719)=0),"کد طرف در INFO تعریف نشده",IF(AND($D1719="هزینه",$E1719=""),"هزینه بدون زیرگروه",IF(AND($C1719="پاس چک",OR(Sync!$AJ1719="",COUNTIF(IssueNosA,Sync!$AJ1719)=0)),"شماره چک پاس‌شده معتبر نیست",""))))</f>
        <v/>
      </c>
      <c r="V1719">
        <f>IF($K1719="","",IF(ISNUMBER(Sync!$AK1719),Sync!$AK1719,LEFT(Sync!$AK1719,4)&amp;MID(Sync!$AK1719,6,2)&amp;RIGHT(Sync!$AK1719,2))&amp;"|"&amp;"4"&amp;RIGHT("00000"&amp;1714,5))</f>
        <v/>
      </c>
      <c r="W1719">
        <f>IF($V1719="",0,COUNTIFS($V$6:$V$2005,"&lt;"&amp;$V1719)-COUNTIFS($V$6:$V$2005,"&lt;"&amp;$V1719,$K$6:$K$2005,"")+1)</f>
        <v/>
      </c>
    </row>
    <row r="1720">
      <c r="A1720">
        <f>IF(Sync!$Z1720="","",LEFT(UPPER(TRIM(Sync!$Z1720)),6))</f>
        <v/>
      </c>
      <c r="B1720">
        <f>IF($A1720="","",IF(Sync!$AA1720="","",Sync!$AA1720))</f>
        <v/>
      </c>
      <c r="C1720">
        <f>IF($A1720="","",IF(Sync!$AB1720="","",Sync!$AB1720))</f>
        <v/>
      </c>
      <c r="D1720">
        <f>IF($A1720="","",IF(Sync!$AC1720="","",Sync!$AC1720))</f>
        <v/>
      </c>
      <c r="E1720">
        <f>IF($A1720="","",IF(Sync!$AD1720="","",Sync!$AD1720))</f>
        <v/>
      </c>
      <c r="F1720">
        <f>IF($A1720="","",IF(Sync!$AE1720="",0,Sync!$AE1720))</f>
        <v/>
      </c>
      <c r="G1720">
        <f>IF($A1720="","",IF(Sync!$AF1720="",0,Sync!$AF1720))</f>
        <v/>
      </c>
      <c r="H1720">
        <f>IF(OR($A1720="",ROUND($F1720+$G1720,2)=0),"",$F1720+$G1720)</f>
        <v/>
      </c>
      <c r="I1720">
        <f>IF($H1720="","",IF(ROUND($F1720,2)&gt;0,$A1720,IF($D1720="شخصی قاسم","شخصی قاسم",IF($D1720="هزینه","هزینه: "&amp;IF($E1720="","متفرقه",$E1720),IF($C1720="پاس چک","چک پرداختی",IF(OR($B1720="",COUNTIF(AcctCodesA,$B1720)=0),"متفرقه",$B1720))))))</f>
        <v/>
      </c>
      <c r="J1720">
        <f>IF($H1720="","",IF(ROUND($F1720,2)&gt;0,IF($D1720="شخصی قاسم","شخصی قاسم",IF($D1720="هزینه","هزینه: "&amp;IF($E1720="","متفرقه",$E1720),IF(OR($B1720="",COUNTIF(AcctCodesA,$B1720)=0),"متفرقه",$B1720))),$A1720))</f>
        <v/>
      </c>
      <c r="K1720">
        <f>IF($A1720="","",IF(AND($B1720&lt;&gt;"",COUNTIF(AcctCodesA,$B1720)=0),"کد طرف در INFO تعریف نشده",IF(AND($D1720="هزینه",$E1720=""),"هزینه بدون زیرگروه",IF(AND($C1720="پاس چک",OR(Sync!$AJ1720="",COUNTIF(IssueNosA,Sync!$AJ1720)=0)),"شماره چک پاس‌شده معتبر نیست",""))))</f>
        <v/>
      </c>
      <c r="V1720">
        <f>IF($K1720="","",IF(ISNUMBER(Sync!$AK1720),Sync!$AK1720,LEFT(Sync!$AK1720,4)&amp;MID(Sync!$AK1720,6,2)&amp;RIGHT(Sync!$AK1720,2))&amp;"|"&amp;"4"&amp;RIGHT("00000"&amp;1715,5))</f>
        <v/>
      </c>
      <c r="W1720">
        <f>IF($V1720="",0,COUNTIFS($V$6:$V$2005,"&lt;"&amp;$V1720)-COUNTIFS($V$6:$V$2005,"&lt;"&amp;$V1720,$K$6:$K$2005,"")+1)</f>
        <v/>
      </c>
    </row>
    <row r="1721">
      <c r="A1721">
        <f>IF(Sync!$Z1721="","",LEFT(UPPER(TRIM(Sync!$Z1721)),6))</f>
        <v/>
      </c>
      <c r="B1721">
        <f>IF($A1721="","",IF(Sync!$AA1721="","",Sync!$AA1721))</f>
        <v/>
      </c>
      <c r="C1721">
        <f>IF($A1721="","",IF(Sync!$AB1721="","",Sync!$AB1721))</f>
        <v/>
      </c>
      <c r="D1721">
        <f>IF($A1721="","",IF(Sync!$AC1721="","",Sync!$AC1721))</f>
        <v/>
      </c>
      <c r="E1721">
        <f>IF($A1721="","",IF(Sync!$AD1721="","",Sync!$AD1721))</f>
        <v/>
      </c>
      <c r="F1721">
        <f>IF($A1721="","",IF(Sync!$AE1721="",0,Sync!$AE1721))</f>
        <v/>
      </c>
      <c r="G1721">
        <f>IF($A1721="","",IF(Sync!$AF1721="",0,Sync!$AF1721))</f>
        <v/>
      </c>
      <c r="H1721">
        <f>IF(OR($A1721="",ROUND($F1721+$G1721,2)=0),"",$F1721+$G1721)</f>
        <v/>
      </c>
      <c r="I1721">
        <f>IF($H1721="","",IF(ROUND($F1721,2)&gt;0,$A1721,IF($D1721="شخصی قاسم","شخصی قاسم",IF($D1721="هزینه","هزینه: "&amp;IF($E1721="","متفرقه",$E1721),IF($C1721="پاس چک","چک پرداختی",IF(OR($B1721="",COUNTIF(AcctCodesA,$B1721)=0),"متفرقه",$B1721))))))</f>
        <v/>
      </c>
      <c r="J1721">
        <f>IF($H1721="","",IF(ROUND($F1721,2)&gt;0,IF($D1721="شخصی قاسم","شخصی قاسم",IF($D1721="هزینه","هزینه: "&amp;IF($E1721="","متفرقه",$E1721),IF(OR($B1721="",COUNTIF(AcctCodesA,$B1721)=0),"متفرقه",$B1721))),$A1721))</f>
        <v/>
      </c>
      <c r="K1721">
        <f>IF($A1721="","",IF(AND($B1721&lt;&gt;"",COUNTIF(AcctCodesA,$B1721)=0),"کد طرف در INFO تعریف نشده",IF(AND($D1721="هزینه",$E1721=""),"هزینه بدون زیرگروه",IF(AND($C1721="پاس چک",OR(Sync!$AJ1721="",COUNTIF(IssueNosA,Sync!$AJ1721)=0)),"شماره چک پاس‌شده معتبر نیست",""))))</f>
        <v/>
      </c>
      <c r="V1721">
        <f>IF($K1721="","",IF(ISNUMBER(Sync!$AK1721),Sync!$AK1721,LEFT(Sync!$AK1721,4)&amp;MID(Sync!$AK1721,6,2)&amp;RIGHT(Sync!$AK1721,2))&amp;"|"&amp;"4"&amp;RIGHT("00000"&amp;1716,5))</f>
        <v/>
      </c>
      <c r="W1721">
        <f>IF($V1721="",0,COUNTIFS($V$6:$V$2005,"&lt;"&amp;$V1721)-COUNTIFS($V$6:$V$2005,"&lt;"&amp;$V1721,$K$6:$K$2005,"")+1)</f>
        <v/>
      </c>
    </row>
    <row r="1722">
      <c r="A1722">
        <f>IF(Sync!$Z1722="","",LEFT(UPPER(TRIM(Sync!$Z1722)),6))</f>
        <v/>
      </c>
      <c r="B1722">
        <f>IF($A1722="","",IF(Sync!$AA1722="","",Sync!$AA1722))</f>
        <v/>
      </c>
      <c r="C1722">
        <f>IF($A1722="","",IF(Sync!$AB1722="","",Sync!$AB1722))</f>
        <v/>
      </c>
      <c r="D1722">
        <f>IF($A1722="","",IF(Sync!$AC1722="","",Sync!$AC1722))</f>
        <v/>
      </c>
      <c r="E1722">
        <f>IF($A1722="","",IF(Sync!$AD1722="","",Sync!$AD1722))</f>
        <v/>
      </c>
      <c r="F1722">
        <f>IF($A1722="","",IF(Sync!$AE1722="",0,Sync!$AE1722))</f>
        <v/>
      </c>
      <c r="G1722">
        <f>IF($A1722="","",IF(Sync!$AF1722="",0,Sync!$AF1722))</f>
        <v/>
      </c>
      <c r="H1722">
        <f>IF(OR($A1722="",ROUND($F1722+$G1722,2)=0),"",$F1722+$G1722)</f>
        <v/>
      </c>
      <c r="I1722">
        <f>IF($H1722="","",IF(ROUND($F1722,2)&gt;0,$A1722,IF($D1722="شخصی قاسم","شخصی قاسم",IF($D1722="هزینه","هزینه: "&amp;IF($E1722="","متفرقه",$E1722),IF($C1722="پاس چک","چک پرداختی",IF(OR($B1722="",COUNTIF(AcctCodesA,$B1722)=0),"متفرقه",$B1722))))))</f>
        <v/>
      </c>
      <c r="J1722">
        <f>IF($H1722="","",IF(ROUND($F1722,2)&gt;0,IF($D1722="شخصی قاسم","شخصی قاسم",IF($D1722="هزینه","هزینه: "&amp;IF($E1722="","متفرقه",$E1722),IF(OR($B1722="",COUNTIF(AcctCodesA,$B1722)=0),"متفرقه",$B1722))),$A1722))</f>
        <v/>
      </c>
      <c r="K1722">
        <f>IF($A1722="","",IF(AND($B1722&lt;&gt;"",COUNTIF(AcctCodesA,$B1722)=0),"کد طرف در INFO تعریف نشده",IF(AND($D1722="هزینه",$E1722=""),"هزینه بدون زیرگروه",IF(AND($C1722="پاس چک",OR(Sync!$AJ1722="",COUNTIF(IssueNosA,Sync!$AJ1722)=0)),"شماره چک پاس‌شده معتبر نیست",""))))</f>
        <v/>
      </c>
      <c r="V1722">
        <f>IF($K1722="","",IF(ISNUMBER(Sync!$AK1722),Sync!$AK1722,LEFT(Sync!$AK1722,4)&amp;MID(Sync!$AK1722,6,2)&amp;RIGHT(Sync!$AK1722,2))&amp;"|"&amp;"4"&amp;RIGHT("00000"&amp;1717,5))</f>
        <v/>
      </c>
      <c r="W1722">
        <f>IF($V1722="",0,COUNTIFS($V$6:$V$2005,"&lt;"&amp;$V1722)-COUNTIFS($V$6:$V$2005,"&lt;"&amp;$V1722,$K$6:$K$2005,"")+1)</f>
        <v/>
      </c>
    </row>
    <row r="1723">
      <c r="A1723">
        <f>IF(Sync!$Z1723="","",LEFT(UPPER(TRIM(Sync!$Z1723)),6))</f>
        <v/>
      </c>
      <c r="B1723">
        <f>IF($A1723="","",IF(Sync!$AA1723="","",Sync!$AA1723))</f>
        <v/>
      </c>
      <c r="C1723">
        <f>IF($A1723="","",IF(Sync!$AB1723="","",Sync!$AB1723))</f>
        <v/>
      </c>
      <c r="D1723">
        <f>IF($A1723="","",IF(Sync!$AC1723="","",Sync!$AC1723))</f>
        <v/>
      </c>
      <c r="E1723">
        <f>IF($A1723="","",IF(Sync!$AD1723="","",Sync!$AD1723))</f>
        <v/>
      </c>
      <c r="F1723">
        <f>IF($A1723="","",IF(Sync!$AE1723="",0,Sync!$AE1723))</f>
        <v/>
      </c>
      <c r="G1723">
        <f>IF($A1723="","",IF(Sync!$AF1723="",0,Sync!$AF1723))</f>
        <v/>
      </c>
      <c r="H1723">
        <f>IF(OR($A1723="",ROUND($F1723+$G1723,2)=0),"",$F1723+$G1723)</f>
        <v/>
      </c>
      <c r="I1723">
        <f>IF($H1723="","",IF(ROUND($F1723,2)&gt;0,$A1723,IF($D1723="شخصی قاسم","شخصی قاسم",IF($D1723="هزینه","هزینه: "&amp;IF($E1723="","متفرقه",$E1723),IF($C1723="پاس چک","چک پرداختی",IF(OR($B1723="",COUNTIF(AcctCodesA,$B1723)=0),"متفرقه",$B1723))))))</f>
        <v/>
      </c>
      <c r="J1723">
        <f>IF($H1723="","",IF(ROUND($F1723,2)&gt;0,IF($D1723="شخصی قاسم","شخصی قاسم",IF($D1723="هزینه","هزینه: "&amp;IF($E1723="","متفرقه",$E1723),IF(OR($B1723="",COUNTIF(AcctCodesA,$B1723)=0),"متفرقه",$B1723))),$A1723))</f>
        <v/>
      </c>
      <c r="K1723">
        <f>IF($A1723="","",IF(AND($B1723&lt;&gt;"",COUNTIF(AcctCodesA,$B1723)=0),"کد طرف در INFO تعریف نشده",IF(AND($D1723="هزینه",$E1723=""),"هزینه بدون زیرگروه",IF(AND($C1723="پاس چک",OR(Sync!$AJ1723="",COUNTIF(IssueNosA,Sync!$AJ1723)=0)),"شماره چک پاس‌شده معتبر نیست",""))))</f>
        <v/>
      </c>
      <c r="V1723">
        <f>IF($K1723="","",IF(ISNUMBER(Sync!$AK1723),Sync!$AK1723,LEFT(Sync!$AK1723,4)&amp;MID(Sync!$AK1723,6,2)&amp;RIGHT(Sync!$AK1723,2))&amp;"|"&amp;"4"&amp;RIGHT("00000"&amp;1718,5))</f>
        <v/>
      </c>
      <c r="W1723">
        <f>IF($V1723="",0,COUNTIFS($V$6:$V$2005,"&lt;"&amp;$V1723)-COUNTIFS($V$6:$V$2005,"&lt;"&amp;$V1723,$K$6:$K$2005,"")+1)</f>
        <v/>
      </c>
    </row>
    <row r="1724">
      <c r="A1724">
        <f>IF(Sync!$Z1724="","",LEFT(UPPER(TRIM(Sync!$Z1724)),6))</f>
        <v/>
      </c>
      <c r="B1724">
        <f>IF($A1724="","",IF(Sync!$AA1724="","",Sync!$AA1724))</f>
        <v/>
      </c>
      <c r="C1724">
        <f>IF($A1724="","",IF(Sync!$AB1724="","",Sync!$AB1724))</f>
        <v/>
      </c>
      <c r="D1724">
        <f>IF($A1724="","",IF(Sync!$AC1724="","",Sync!$AC1724))</f>
        <v/>
      </c>
      <c r="E1724">
        <f>IF($A1724="","",IF(Sync!$AD1724="","",Sync!$AD1724))</f>
        <v/>
      </c>
      <c r="F1724">
        <f>IF($A1724="","",IF(Sync!$AE1724="",0,Sync!$AE1724))</f>
        <v/>
      </c>
      <c r="G1724">
        <f>IF($A1724="","",IF(Sync!$AF1724="",0,Sync!$AF1724))</f>
        <v/>
      </c>
      <c r="H1724">
        <f>IF(OR($A1724="",ROUND($F1724+$G1724,2)=0),"",$F1724+$G1724)</f>
        <v/>
      </c>
      <c r="I1724">
        <f>IF($H1724="","",IF(ROUND($F1724,2)&gt;0,$A1724,IF($D1724="شخصی قاسم","شخصی قاسم",IF($D1724="هزینه","هزینه: "&amp;IF($E1724="","متفرقه",$E1724),IF($C1724="پاس چک","چک پرداختی",IF(OR($B1724="",COUNTIF(AcctCodesA,$B1724)=0),"متفرقه",$B1724))))))</f>
        <v/>
      </c>
      <c r="J1724">
        <f>IF($H1724="","",IF(ROUND($F1724,2)&gt;0,IF($D1724="شخصی قاسم","شخصی قاسم",IF($D1724="هزینه","هزینه: "&amp;IF($E1724="","متفرقه",$E1724),IF(OR($B1724="",COUNTIF(AcctCodesA,$B1724)=0),"متفرقه",$B1724))),$A1724))</f>
        <v/>
      </c>
      <c r="K1724">
        <f>IF($A1724="","",IF(AND($B1724&lt;&gt;"",COUNTIF(AcctCodesA,$B1724)=0),"کد طرف در INFO تعریف نشده",IF(AND($D1724="هزینه",$E1724=""),"هزینه بدون زیرگروه",IF(AND($C1724="پاس چک",OR(Sync!$AJ1724="",COUNTIF(IssueNosA,Sync!$AJ1724)=0)),"شماره چک پاس‌شده معتبر نیست",""))))</f>
        <v/>
      </c>
      <c r="V1724">
        <f>IF($K1724="","",IF(ISNUMBER(Sync!$AK1724),Sync!$AK1724,LEFT(Sync!$AK1724,4)&amp;MID(Sync!$AK1724,6,2)&amp;RIGHT(Sync!$AK1724,2))&amp;"|"&amp;"4"&amp;RIGHT("00000"&amp;1719,5))</f>
        <v/>
      </c>
      <c r="W1724">
        <f>IF($V1724="",0,COUNTIFS($V$6:$V$2005,"&lt;"&amp;$V1724)-COUNTIFS($V$6:$V$2005,"&lt;"&amp;$V1724,$K$6:$K$2005,"")+1)</f>
        <v/>
      </c>
    </row>
    <row r="1725">
      <c r="A1725">
        <f>IF(Sync!$Z1725="","",LEFT(UPPER(TRIM(Sync!$Z1725)),6))</f>
        <v/>
      </c>
      <c r="B1725">
        <f>IF($A1725="","",IF(Sync!$AA1725="","",Sync!$AA1725))</f>
        <v/>
      </c>
      <c r="C1725">
        <f>IF($A1725="","",IF(Sync!$AB1725="","",Sync!$AB1725))</f>
        <v/>
      </c>
      <c r="D1725">
        <f>IF($A1725="","",IF(Sync!$AC1725="","",Sync!$AC1725))</f>
        <v/>
      </c>
      <c r="E1725">
        <f>IF($A1725="","",IF(Sync!$AD1725="","",Sync!$AD1725))</f>
        <v/>
      </c>
      <c r="F1725">
        <f>IF($A1725="","",IF(Sync!$AE1725="",0,Sync!$AE1725))</f>
        <v/>
      </c>
      <c r="G1725">
        <f>IF($A1725="","",IF(Sync!$AF1725="",0,Sync!$AF1725))</f>
        <v/>
      </c>
      <c r="H1725">
        <f>IF(OR($A1725="",ROUND($F1725+$G1725,2)=0),"",$F1725+$G1725)</f>
        <v/>
      </c>
      <c r="I1725">
        <f>IF($H1725="","",IF(ROUND($F1725,2)&gt;0,$A1725,IF($D1725="شخصی قاسم","شخصی قاسم",IF($D1725="هزینه","هزینه: "&amp;IF($E1725="","متفرقه",$E1725),IF($C1725="پاس چک","چک پرداختی",IF(OR($B1725="",COUNTIF(AcctCodesA,$B1725)=0),"متفرقه",$B1725))))))</f>
        <v/>
      </c>
      <c r="J1725">
        <f>IF($H1725="","",IF(ROUND($F1725,2)&gt;0,IF($D1725="شخصی قاسم","شخصی قاسم",IF($D1725="هزینه","هزینه: "&amp;IF($E1725="","متفرقه",$E1725),IF(OR($B1725="",COUNTIF(AcctCodesA,$B1725)=0),"متفرقه",$B1725))),$A1725))</f>
        <v/>
      </c>
      <c r="K1725">
        <f>IF($A1725="","",IF(AND($B1725&lt;&gt;"",COUNTIF(AcctCodesA,$B1725)=0),"کد طرف در INFO تعریف نشده",IF(AND($D1725="هزینه",$E1725=""),"هزینه بدون زیرگروه",IF(AND($C1725="پاس چک",OR(Sync!$AJ1725="",COUNTIF(IssueNosA,Sync!$AJ1725)=0)),"شماره چک پاس‌شده معتبر نیست",""))))</f>
        <v/>
      </c>
      <c r="V1725">
        <f>IF($K1725="","",IF(ISNUMBER(Sync!$AK1725),Sync!$AK1725,LEFT(Sync!$AK1725,4)&amp;MID(Sync!$AK1725,6,2)&amp;RIGHT(Sync!$AK1725,2))&amp;"|"&amp;"4"&amp;RIGHT("00000"&amp;1720,5))</f>
        <v/>
      </c>
      <c r="W1725">
        <f>IF($V1725="",0,COUNTIFS($V$6:$V$2005,"&lt;"&amp;$V1725)-COUNTIFS($V$6:$V$2005,"&lt;"&amp;$V1725,$K$6:$K$2005,"")+1)</f>
        <v/>
      </c>
    </row>
    <row r="1726">
      <c r="A1726">
        <f>IF(Sync!$Z1726="","",LEFT(UPPER(TRIM(Sync!$Z1726)),6))</f>
        <v/>
      </c>
      <c r="B1726">
        <f>IF($A1726="","",IF(Sync!$AA1726="","",Sync!$AA1726))</f>
        <v/>
      </c>
      <c r="C1726">
        <f>IF($A1726="","",IF(Sync!$AB1726="","",Sync!$AB1726))</f>
        <v/>
      </c>
      <c r="D1726">
        <f>IF($A1726="","",IF(Sync!$AC1726="","",Sync!$AC1726))</f>
        <v/>
      </c>
      <c r="E1726">
        <f>IF($A1726="","",IF(Sync!$AD1726="","",Sync!$AD1726))</f>
        <v/>
      </c>
      <c r="F1726">
        <f>IF($A1726="","",IF(Sync!$AE1726="",0,Sync!$AE1726))</f>
        <v/>
      </c>
      <c r="G1726">
        <f>IF($A1726="","",IF(Sync!$AF1726="",0,Sync!$AF1726))</f>
        <v/>
      </c>
      <c r="H1726">
        <f>IF(OR($A1726="",ROUND($F1726+$G1726,2)=0),"",$F1726+$G1726)</f>
        <v/>
      </c>
      <c r="I1726">
        <f>IF($H1726="","",IF(ROUND($F1726,2)&gt;0,$A1726,IF($D1726="شخصی قاسم","شخصی قاسم",IF($D1726="هزینه","هزینه: "&amp;IF($E1726="","متفرقه",$E1726),IF($C1726="پاس چک","چک پرداختی",IF(OR($B1726="",COUNTIF(AcctCodesA,$B1726)=0),"متفرقه",$B1726))))))</f>
        <v/>
      </c>
      <c r="J1726">
        <f>IF($H1726="","",IF(ROUND($F1726,2)&gt;0,IF($D1726="شخصی قاسم","شخصی قاسم",IF($D1726="هزینه","هزینه: "&amp;IF($E1726="","متفرقه",$E1726),IF(OR($B1726="",COUNTIF(AcctCodesA,$B1726)=0),"متفرقه",$B1726))),$A1726))</f>
        <v/>
      </c>
      <c r="K1726">
        <f>IF($A1726="","",IF(AND($B1726&lt;&gt;"",COUNTIF(AcctCodesA,$B1726)=0),"کد طرف در INFO تعریف نشده",IF(AND($D1726="هزینه",$E1726=""),"هزینه بدون زیرگروه",IF(AND($C1726="پاس چک",OR(Sync!$AJ1726="",COUNTIF(IssueNosA,Sync!$AJ1726)=0)),"شماره چک پاس‌شده معتبر نیست",""))))</f>
        <v/>
      </c>
      <c r="V1726">
        <f>IF($K1726="","",IF(ISNUMBER(Sync!$AK1726),Sync!$AK1726,LEFT(Sync!$AK1726,4)&amp;MID(Sync!$AK1726,6,2)&amp;RIGHT(Sync!$AK1726,2))&amp;"|"&amp;"4"&amp;RIGHT("00000"&amp;1721,5))</f>
        <v/>
      </c>
      <c r="W1726">
        <f>IF($V1726="",0,COUNTIFS($V$6:$V$2005,"&lt;"&amp;$V1726)-COUNTIFS($V$6:$V$2005,"&lt;"&amp;$V1726,$K$6:$K$2005,"")+1)</f>
        <v/>
      </c>
    </row>
    <row r="1727">
      <c r="A1727">
        <f>IF(Sync!$Z1727="","",LEFT(UPPER(TRIM(Sync!$Z1727)),6))</f>
        <v/>
      </c>
      <c r="B1727">
        <f>IF($A1727="","",IF(Sync!$AA1727="","",Sync!$AA1727))</f>
        <v/>
      </c>
      <c r="C1727">
        <f>IF($A1727="","",IF(Sync!$AB1727="","",Sync!$AB1727))</f>
        <v/>
      </c>
      <c r="D1727">
        <f>IF($A1727="","",IF(Sync!$AC1727="","",Sync!$AC1727))</f>
        <v/>
      </c>
      <c r="E1727">
        <f>IF($A1727="","",IF(Sync!$AD1727="","",Sync!$AD1727))</f>
        <v/>
      </c>
      <c r="F1727">
        <f>IF($A1727="","",IF(Sync!$AE1727="",0,Sync!$AE1727))</f>
        <v/>
      </c>
      <c r="G1727">
        <f>IF($A1727="","",IF(Sync!$AF1727="",0,Sync!$AF1727))</f>
        <v/>
      </c>
      <c r="H1727">
        <f>IF(OR($A1727="",ROUND($F1727+$G1727,2)=0),"",$F1727+$G1727)</f>
        <v/>
      </c>
      <c r="I1727">
        <f>IF($H1727="","",IF(ROUND($F1727,2)&gt;0,$A1727,IF($D1727="شخصی قاسم","شخصی قاسم",IF($D1727="هزینه","هزینه: "&amp;IF($E1727="","متفرقه",$E1727),IF($C1727="پاس چک","چک پرداختی",IF(OR($B1727="",COUNTIF(AcctCodesA,$B1727)=0),"متفرقه",$B1727))))))</f>
        <v/>
      </c>
      <c r="J1727">
        <f>IF($H1727="","",IF(ROUND($F1727,2)&gt;0,IF($D1727="شخصی قاسم","شخصی قاسم",IF($D1727="هزینه","هزینه: "&amp;IF($E1727="","متفرقه",$E1727),IF(OR($B1727="",COUNTIF(AcctCodesA,$B1727)=0),"متفرقه",$B1727))),$A1727))</f>
        <v/>
      </c>
      <c r="K1727">
        <f>IF($A1727="","",IF(AND($B1727&lt;&gt;"",COUNTIF(AcctCodesA,$B1727)=0),"کد طرف در INFO تعریف نشده",IF(AND($D1727="هزینه",$E1727=""),"هزینه بدون زیرگروه",IF(AND($C1727="پاس چک",OR(Sync!$AJ1727="",COUNTIF(IssueNosA,Sync!$AJ1727)=0)),"شماره چک پاس‌شده معتبر نیست",""))))</f>
        <v/>
      </c>
      <c r="V1727">
        <f>IF($K1727="","",IF(ISNUMBER(Sync!$AK1727),Sync!$AK1727,LEFT(Sync!$AK1727,4)&amp;MID(Sync!$AK1727,6,2)&amp;RIGHT(Sync!$AK1727,2))&amp;"|"&amp;"4"&amp;RIGHT("00000"&amp;1722,5))</f>
        <v/>
      </c>
      <c r="W1727">
        <f>IF($V1727="",0,COUNTIFS($V$6:$V$2005,"&lt;"&amp;$V1727)-COUNTIFS($V$6:$V$2005,"&lt;"&amp;$V1727,$K$6:$K$2005,"")+1)</f>
        <v/>
      </c>
    </row>
    <row r="1728">
      <c r="A1728">
        <f>IF(Sync!$Z1728="","",LEFT(UPPER(TRIM(Sync!$Z1728)),6))</f>
        <v/>
      </c>
      <c r="B1728">
        <f>IF($A1728="","",IF(Sync!$AA1728="","",Sync!$AA1728))</f>
        <v/>
      </c>
      <c r="C1728">
        <f>IF($A1728="","",IF(Sync!$AB1728="","",Sync!$AB1728))</f>
        <v/>
      </c>
      <c r="D1728">
        <f>IF($A1728="","",IF(Sync!$AC1728="","",Sync!$AC1728))</f>
        <v/>
      </c>
      <c r="E1728">
        <f>IF($A1728="","",IF(Sync!$AD1728="","",Sync!$AD1728))</f>
        <v/>
      </c>
      <c r="F1728">
        <f>IF($A1728="","",IF(Sync!$AE1728="",0,Sync!$AE1728))</f>
        <v/>
      </c>
      <c r="G1728">
        <f>IF($A1728="","",IF(Sync!$AF1728="",0,Sync!$AF1728))</f>
        <v/>
      </c>
      <c r="H1728">
        <f>IF(OR($A1728="",ROUND($F1728+$G1728,2)=0),"",$F1728+$G1728)</f>
        <v/>
      </c>
      <c r="I1728">
        <f>IF($H1728="","",IF(ROUND($F1728,2)&gt;0,$A1728,IF($D1728="شخصی قاسم","شخصی قاسم",IF($D1728="هزینه","هزینه: "&amp;IF($E1728="","متفرقه",$E1728),IF($C1728="پاس چک","چک پرداختی",IF(OR($B1728="",COUNTIF(AcctCodesA,$B1728)=0),"متفرقه",$B1728))))))</f>
        <v/>
      </c>
      <c r="J1728">
        <f>IF($H1728="","",IF(ROUND($F1728,2)&gt;0,IF($D1728="شخصی قاسم","شخصی قاسم",IF($D1728="هزینه","هزینه: "&amp;IF($E1728="","متفرقه",$E1728),IF(OR($B1728="",COUNTIF(AcctCodesA,$B1728)=0),"متفرقه",$B1728))),$A1728))</f>
        <v/>
      </c>
      <c r="K1728">
        <f>IF($A1728="","",IF(AND($B1728&lt;&gt;"",COUNTIF(AcctCodesA,$B1728)=0),"کد طرف در INFO تعریف نشده",IF(AND($D1728="هزینه",$E1728=""),"هزینه بدون زیرگروه",IF(AND($C1728="پاس چک",OR(Sync!$AJ1728="",COUNTIF(IssueNosA,Sync!$AJ1728)=0)),"شماره چک پاس‌شده معتبر نیست",""))))</f>
        <v/>
      </c>
      <c r="V1728">
        <f>IF($K1728="","",IF(ISNUMBER(Sync!$AK1728),Sync!$AK1728,LEFT(Sync!$AK1728,4)&amp;MID(Sync!$AK1728,6,2)&amp;RIGHT(Sync!$AK1728,2))&amp;"|"&amp;"4"&amp;RIGHT("00000"&amp;1723,5))</f>
        <v/>
      </c>
      <c r="W1728">
        <f>IF($V1728="",0,COUNTIFS($V$6:$V$2005,"&lt;"&amp;$V1728)-COUNTIFS($V$6:$V$2005,"&lt;"&amp;$V1728,$K$6:$K$2005,"")+1)</f>
        <v/>
      </c>
    </row>
    <row r="1729">
      <c r="A1729">
        <f>IF(Sync!$Z1729="","",LEFT(UPPER(TRIM(Sync!$Z1729)),6))</f>
        <v/>
      </c>
      <c r="B1729">
        <f>IF($A1729="","",IF(Sync!$AA1729="","",Sync!$AA1729))</f>
        <v/>
      </c>
      <c r="C1729">
        <f>IF($A1729="","",IF(Sync!$AB1729="","",Sync!$AB1729))</f>
        <v/>
      </c>
      <c r="D1729">
        <f>IF($A1729="","",IF(Sync!$AC1729="","",Sync!$AC1729))</f>
        <v/>
      </c>
      <c r="E1729">
        <f>IF($A1729="","",IF(Sync!$AD1729="","",Sync!$AD1729))</f>
        <v/>
      </c>
      <c r="F1729">
        <f>IF($A1729="","",IF(Sync!$AE1729="",0,Sync!$AE1729))</f>
        <v/>
      </c>
      <c r="G1729">
        <f>IF($A1729="","",IF(Sync!$AF1729="",0,Sync!$AF1729))</f>
        <v/>
      </c>
      <c r="H1729">
        <f>IF(OR($A1729="",ROUND($F1729+$G1729,2)=0),"",$F1729+$G1729)</f>
        <v/>
      </c>
      <c r="I1729">
        <f>IF($H1729="","",IF(ROUND($F1729,2)&gt;0,$A1729,IF($D1729="شخصی قاسم","شخصی قاسم",IF($D1729="هزینه","هزینه: "&amp;IF($E1729="","متفرقه",$E1729),IF($C1729="پاس چک","چک پرداختی",IF(OR($B1729="",COUNTIF(AcctCodesA,$B1729)=0),"متفرقه",$B1729))))))</f>
        <v/>
      </c>
      <c r="J1729">
        <f>IF($H1729="","",IF(ROUND($F1729,2)&gt;0,IF($D1729="شخصی قاسم","شخصی قاسم",IF($D1729="هزینه","هزینه: "&amp;IF($E1729="","متفرقه",$E1729),IF(OR($B1729="",COUNTIF(AcctCodesA,$B1729)=0),"متفرقه",$B1729))),$A1729))</f>
        <v/>
      </c>
      <c r="K1729">
        <f>IF($A1729="","",IF(AND($B1729&lt;&gt;"",COUNTIF(AcctCodesA,$B1729)=0),"کد طرف در INFO تعریف نشده",IF(AND($D1729="هزینه",$E1729=""),"هزینه بدون زیرگروه",IF(AND($C1729="پاس چک",OR(Sync!$AJ1729="",COUNTIF(IssueNosA,Sync!$AJ1729)=0)),"شماره چک پاس‌شده معتبر نیست",""))))</f>
        <v/>
      </c>
      <c r="V1729">
        <f>IF($K1729="","",IF(ISNUMBER(Sync!$AK1729),Sync!$AK1729,LEFT(Sync!$AK1729,4)&amp;MID(Sync!$AK1729,6,2)&amp;RIGHT(Sync!$AK1729,2))&amp;"|"&amp;"4"&amp;RIGHT("00000"&amp;1724,5))</f>
        <v/>
      </c>
      <c r="W1729">
        <f>IF($V1729="",0,COUNTIFS($V$6:$V$2005,"&lt;"&amp;$V1729)-COUNTIFS($V$6:$V$2005,"&lt;"&amp;$V1729,$K$6:$K$2005,"")+1)</f>
        <v/>
      </c>
    </row>
    <row r="1730">
      <c r="A1730">
        <f>IF(Sync!$Z1730="","",LEFT(UPPER(TRIM(Sync!$Z1730)),6))</f>
        <v/>
      </c>
      <c r="B1730">
        <f>IF($A1730="","",IF(Sync!$AA1730="","",Sync!$AA1730))</f>
        <v/>
      </c>
      <c r="C1730">
        <f>IF($A1730="","",IF(Sync!$AB1730="","",Sync!$AB1730))</f>
        <v/>
      </c>
      <c r="D1730">
        <f>IF($A1730="","",IF(Sync!$AC1730="","",Sync!$AC1730))</f>
        <v/>
      </c>
      <c r="E1730">
        <f>IF($A1730="","",IF(Sync!$AD1730="","",Sync!$AD1730))</f>
        <v/>
      </c>
      <c r="F1730">
        <f>IF($A1730="","",IF(Sync!$AE1730="",0,Sync!$AE1730))</f>
        <v/>
      </c>
      <c r="G1730">
        <f>IF($A1730="","",IF(Sync!$AF1730="",0,Sync!$AF1730))</f>
        <v/>
      </c>
      <c r="H1730">
        <f>IF(OR($A1730="",ROUND($F1730+$G1730,2)=0),"",$F1730+$G1730)</f>
        <v/>
      </c>
      <c r="I1730">
        <f>IF($H1730="","",IF(ROUND($F1730,2)&gt;0,$A1730,IF($D1730="شخصی قاسم","شخصی قاسم",IF($D1730="هزینه","هزینه: "&amp;IF($E1730="","متفرقه",$E1730),IF($C1730="پاس چک","چک پرداختی",IF(OR($B1730="",COUNTIF(AcctCodesA,$B1730)=0),"متفرقه",$B1730))))))</f>
        <v/>
      </c>
      <c r="J1730">
        <f>IF($H1730="","",IF(ROUND($F1730,2)&gt;0,IF($D1730="شخصی قاسم","شخصی قاسم",IF($D1730="هزینه","هزینه: "&amp;IF($E1730="","متفرقه",$E1730),IF(OR($B1730="",COUNTIF(AcctCodesA,$B1730)=0),"متفرقه",$B1730))),$A1730))</f>
        <v/>
      </c>
      <c r="K1730">
        <f>IF($A1730="","",IF(AND($B1730&lt;&gt;"",COUNTIF(AcctCodesA,$B1730)=0),"کد طرف در INFO تعریف نشده",IF(AND($D1730="هزینه",$E1730=""),"هزینه بدون زیرگروه",IF(AND($C1730="پاس چک",OR(Sync!$AJ1730="",COUNTIF(IssueNosA,Sync!$AJ1730)=0)),"شماره چک پاس‌شده معتبر نیست",""))))</f>
        <v/>
      </c>
      <c r="V1730">
        <f>IF($K1730="","",IF(ISNUMBER(Sync!$AK1730),Sync!$AK1730,LEFT(Sync!$AK1730,4)&amp;MID(Sync!$AK1730,6,2)&amp;RIGHT(Sync!$AK1730,2))&amp;"|"&amp;"4"&amp;RIGHT("00000"&amp;1725,5))</f>
        <v/>
      </c>
      <c r="W1730">
        <f>IF($V1730="",0,COUNTIFS($V$6:$V$2005,"&lt;"&amp;$V1730)-COUNTIFS($V$6:$V$2005,"&lt;"&amp;$V1730,$K$6:$K$2005,"")+1)</f>
        <v/>
      </c>
    </row>
    <row r="1731">
      <c r="A1731">
        <f>IF(Sync!$Z1731="","",LEFT(UPPER(TRIM(Sync!$Z1731)),6))</f>
        <v/>
      </c>
      <c r="B1731">
        <f>IF($A1731="","",IF(Sync!$AA1731="","",Sync!$AA1731))</f>
        <v/>
      </c>
      <c r="C1731">
        <f>IF($A1731="","",IF(Sync!$AB1731="","",Sync!$AB1731))</f>
        <v/>
      </c>
      <c r="D1731">
        <f>IF($A1731="","",IF(Sync!$AC1731="","",Sync!$AC1731))</f>
        <v/>
      </c>
      <c r="E1731">
        <f>IF($A1731="","",IF(Sync!$AD1731="","",Sync!$AD1731))</f>
        <v/>
      </c>
      <c r="F1731">
        <f>IF($A1731="","",IF(Sync!$AE1731="",0,Sync!$AE1731))</f>
        <v/>
      </c>
      <c r="G1731">
        <f>IF($A1731="","",IF(Sync!$AF1731="",0,Sync!$AF1731))</f>
        <v/>
      </c>
      <c r="H1731">
        <f>IF(OR($A1731="",ROUND($F1731+$G1731,2)=0),"",$F1731+$G1731)</f>
        <v/>
      </c>
      <c r="I1731">
        <f>IF($H1731="","",IF(ROUND($F1731,2)&gt;0,$A1731,IF($D1731="شخصی قاسم","شخصی قاسم",IF($D1731="هزینه","هزینه: "&amp;IF($E1731="","متفرقه",$E1731),IF($C1731="پاس چک","چک پرداختی",IF(OR($B1731="",COUNTIF(AcctCodesA,$B1731)=0),"متفرقه",$B1731))))))</f>
        <v/>
      </c>
      <c r="J1731">
        <f>IF($H1731="","",IF(ROUND($F1731,2)&gt;0,IF($D1731="شخصی قاسم","شخصی قاسم",IF($D1731="هزینه","هزینه: "&amp;IF($E1731="","متفرقه",$E1731),IF(OR($B1731="",COUNTIF(AcctCodesA,$B1731)=0),"متفرقه",$B1731))),$A1731))</f>
        <v/>
      </c>
      <c r="K1731">
        <f>IF($A1731="","",IF(AND($B1731&lt;&gt;"",COUNTIF(AcctCodesA,$B1731)=0),"کد طرف در INFO تعریف نشده",IF(AND($D1731="هزینه",$E1731=""),"هزینه بدون زیرگروه",IF(AND($C1731="پاس چک",OR(Sync!$AJ1731="",COUNTIF(IssueNosA,Sync!$AJ1731)=0)),"شماره چک پاس‌شده معتبر نیست",""))))</f>
        <v/>
      </c>
      <c r="V1731">
        <f>IF($K1731="","",IF(ISNUMBER(Sync!$AK1731),Sync!$AK1731,LEFT(Sync!$AK1731,4)&amp;MID(Sync!$AK1731,6,2)&amp;RIGHT(Sync!$AK1731,2))&amp;"|"&amp;"4"&amp;RIGHT("00000"&amp;1726,5))</f>
        <v/>
      </c>
      <c r="W1731">
        <f>IF($V1731="",0,COUNTIFS($V$6:$V$2005,"&lt;"&amp;$V1731)-COUNTIFS($V$6:$V$2005,"&lt;"&amp;$V1731,$K$6:$K$2005,"")+1)</f>
        <v/>
      </c>
    </row>
    <row r="1732">
      <c r="A1732">
        <f>IF(Sync!$Z1732="","",LEFT(UPPER(TRIM(Sync!$Z1732)),6))</f>
        <v/>
      </c>
      <c r="B1732">
        <f>IF($A1732="","",IF(Sync!$AA1732="","",Sync!$AA1732))</f>
        <v/>
      </c>
      <c r="C1732">
        <f>IF($A1732="","",IF(Sync!$AB1732="","",Sync!$AB1732))</f>
        <v/>
      </c>
      <c r="D1732">
        <f>IF($A1732="","",IF(Sync!$AC1732="","",Sync!$AC1732))</f>
        <v/>
      </c>
      <c r="E1732">
        <f>IF($A1732="","",IF(Sync!$AD1732="","",Sync!$AD1732))</f>
        <v/>
      </c>
      <c r="F1732">
        <f>IF($A1732="","",IF(Sync!$AE1732="",0,Sync!$AE1732))</f>
        <v/>
      </c>
      <c r="G1732">
        <f>IF($A1732="","",IF(Sync!$AF1732="",0,Sync!$AF1732))</f>
        <v/>
      </c>
      <c r="H1732">
        <f>IF(OR($A1732="",ROUND($F1732+$G1732,2)=0),"",$F1732+$G1732)</f>
        <v/>
      </c>
      <c r="I1732">
        <f>IF($H1732="","",IF(ROUND($F1732,2)&gt;0,$A1732,IF($D1732="شخصی قاسم","شخصی قاسم",IF($D1732="هزینه","هزینه: "&amp;IF($E1732="","متفرقه",$E1732),IF($C1732="پاس چک","چک پرداختی",IF(OR($B1732="",COUNTIF(AcctCodesA,$B1732)=0),"متفرقه",$B1732))))))</f>
        <v/>
      </c>
      <c r="J1732">
        <f>IF($H1732="","",IF(ROUND($F1732,2)&gt;0,IF($D1732="شخصی قاسم","شخصی قاسم",IF($D1732="هزینه","هزینه: "&amp;IF($E1732="","متفرقه",$E1732),IF(OR($B1732="",COUNTIF(AcctCodesA,$B1732)=0),"متفرقه",$B1732))),$A1732))</f>
        <v/>
      </c>
      <c r="K1732">
        <f>IF($A1732="","",IF(AND($B1732&lt;&gt;"",COUNTIF(AcctCodesA,$B1732)=0),"کد طرف در INFO تعریف نشده",IF(AND($D1732="هزینه",$E1732=""),"هزینه بدون زیرگروه",IF(AND($C1732="پاس چک",OR(Sync!$AJ1732="",COUNTIF(IssueNosA,Sync!$AJ1732)=0)),"شماره چک پاس‌شده معتبر نیست",""))))</f>
        <v/>
      </c>
      <c r="V1732">
        <f>IF($K1732="","",IF(ISNUMBER(Sync!$AK1732),Sync!$AK1732,LEFT(Sync!$AK1732,4)&amp;MID(Sync!$AK1732,6,2)&amp;RIGHT(Sync!$AK1732,2))&amp;"|"&amp;"4"&amp;RIGHT("00000"&amp;1727,5))</f>
        <v/>
      </c>
      <c r="W1732">
        <f>IF($V1732="",0,COUNTIFS($V$6:$V$2005,"&lt;"&amp;$V1732)-COUNTIFS($V$6:$V$2005,"&lt;"&amp;$V1732,$K$6:$K$2005,"")+1)</f>
        <v/>
      </c>
    </row>
    <row r="1733">
      <c r="A1733">
        <f>IF(Sync!$Z1733="","",LEFT(UPPER(TRIM(Sync!$Z1733)),6))</f>
        <v/>
      </c>
      <c r="B1733">
        <f>IF($A1733="","",IF(Sync!$AA1733="","",Sync!$AA1733))</f>
        <v/>
      </c>
      <c r="C1733">
        <f>IF($A1733="","",IF(Sync!$AB1733="","",Sync!$AB1733))</f>
        <v/>
      </c>
      <c r="D1733">
        <f>IF($A1733="","",IF(Sync!$AC1733="","",Sync!$AC1733))</f>
        <v/>
      </c>
      <c r="E1733">
        <f>IF($A1733="","",IF(Sync!$AD1733="","",Sync!$AD1733))</f>
        <v/>
      </c>
      <c r="F1733">
        <f>IF($A1733="","",IF(Sync!$AE1733="",0,Sync!$AE1733))</f>
        <v/>
      </c>
      <c r="G1733">
        <f>IF($A1733="","",IF(Sync!$AF1733="",0,Sync!$AF1733))</f>
        <v/>
      </c>
      <c r="H1733">
        <f>IF(OR($A1733="",ROUND($F1733+$G1733,2)=0),"",$F1733+$G1733)</f>
        <v/>
      </c>
      <c r="I1733">
        <f>IF($H1733="","",IF(ROUND($F1733,2)&gt;0,$A1733,IF($D1733="شخصی قاسم","شخصی قاسم",IF($D1733="هزینه","هزینه: "&amp;IF($E1733="","متفرقه",$E1733),IF($C1733="پاس چک","چک پرداختی",IF(OR($B1733="",COUNTIF(AcctCodesA,$B1733)=0),"متفرقه",$B1733))))))</f>
        <v/>
      </c>
      <c r="J1733">
        <f>IF($H1733="","",IF(ROUND($F1733,2)&gt;0,IF($D1733="شخصی قاسم","شخصی قاسم",IF($D1733="هزینه","هزینه: "&amp;IF($E1733="","متفرقه",$E1733),IF(OR($B1733="",COUNTIF(AcctCodesA,$B1733)=0),"متفرقه",$B1733))),$A1733))</f>
        <v/>
      </c>
      <c r="K1733">
        <f>IF($A1733="","",IF(AND($B1733&lt;&gt;"",COUNTIF(AcctCodesA,$B1733)=0),"کد طرف در INFO تعریف نشده",IF(AND($D1733="هزینه",$E1733=""),"هزینه بدون زیرگروه",IF(AND($C1733="پاس چک",OR(Sync!$AJ1733="",COUNTIF(IssueNosA,Sync!$AJ1733)=0)),"شماره چک پاس‌شده معتبر نیست",""))))</f>
        <v/>
      </c>
      <c r="V1733">
        <f>IF($K1733="","",IF(ISNUMBER(Sync!$AK1733),Sync!$AK1733,LEFT(Sync!$AK1733,4)&amp;MID(Sync!$AK1733,6,2)&amp;RIGHT(Sync!$AK1733,2))&amp;"|"&amp;"4"&amp;RIGHT("00000"&amp;1728,5))</f>
        <v/>
      </c>
      <c r="W1733">
        <f>IF($V1733="",0,COUNTIFS($V$6:$V$2005,"&lt;"&amp;$V1733)-COUNTIFS($V$6:$V$2005,"&lt;"&amp;$V1733,$K$6:$K$2005,"")+1)</f>
        <v/>
      </c>
    </row>
    <row r="1734">
      <c r="A1734">
        <f>IF(Sync!$Z1734="","",LEFT(UPPER(TRIM(Sync!$Z1734)),6))</f>
        <v/>
      </c>
      <c r="B1734">
        <f>IF($A1734="","",IF(Sync!$AA1734="","",Sync!$AA1734))</f>
        <v/>
      </c>
      <c r="C1734">
        <f>IF($A1734="","",IF(Sync!$AB1734="","",Sync!$AB1734))</f>
        <v/>
      </c>
      <c r="D1734">
        <f>IF($A1734="","",IF(Sync!$AC1734="","",Sync!$AC1734))</f>
        <v/>
      </c>
      <c r="E1734">
        <f>IF($A1734="","",IF(Sync!$AD1734="","",Sync!$AD1734))</f>
        <v/>
      </c>
      <c r="F1734">
        <f>IF($A1734="","",IF(Sync!$AE1734="",0,Sync!$AE1734))</f>
        <v/>
      </c>
      <c r="G1734">
        <f>IF($A1734="","",IF(Sync!$AF1734="",0,Sync!$AF1734))</f>
        <v/>
      </c>
      <c r="H1734">
        <f>IF(OR($A1734="",ROUND($F1734+$G1734,2)=0),"",$F1734+$G1734)</f>
        <v/>
      </c>
      <c r="I1734">
        <f>IF($H1734="","",IF(ROUND($F1734,2)&gt;0,$A1734,IF($D1734="شخصی قاسم","شخصی قاسم",IF($D1734="هزینه","هزینه: "&amp;IF($E1734="","متفرقه",$E1734),IF($C1734="پاس چک","چک پرداختی",IF(OR($B1734="",COUNTIF(AcctCodesA,$B1734)=0),"متفرقه",$B1734))))))</f>
        <v/>
      </c>
      <c r="J1734">
        <f>IF($H1734="","",IF(ROUND($F1734,2)&gt;0,IF($D1734="شخصی قاسم","شخصی قاسم",IF($D1734="هزینه","هزینه: "&amp;IF($E1734="","متفرقه",$E1734),IF(OR($B1734="",COUNTIF(AcctCodesA,$B1734)=0),"متفرقه",$B1734))),$A1734))</f>
        <v/>
      </c>
      <c r="K1734">
        <f>IF($A1734="","",IF(AND($B1734&lt;&gt;"",COUNTIF(AcctCodesA,$B1734)=0),"کد طرف در INFO تعریف نشده",IF(AND($D1734="هزینه",$E1734=""),"هزینه بدون زیرگروه",IF(AND($C1734="پاس چک",OR(Sync!$AJ1734="",COUNTIF(IssueNosA,Sync!$AJ1734)=0)),"شماره چک پاس‌شده معتبر نیست",""))))</f>
        <v/>
      </c>
      <c r="V1734">
        <f>IF($K1734="","",IF(ISNUMBER(Sync!$AK1734),Sync!$AK1734,LEFT(Sync!$AK1734,4)&amp;MID(Sync!$AK1734,6,2)&amp;RIGHT(Sync!$AK1734,2))&amp;"|"&amp;"4"&amp;RIGHT("00000"&amp;1729,5))</f>
        <v/>
      </c>
      <c r="W1734">
        <f>IF($V1734="",0,COUNTIFS($V$6:$V$2005,"&lt;"&amp;$V1734)-COUNTIFS($V$6:$V$2005,"&lt;"&amp;$V1734,$K$6:$K$2005,"")+1)</f>
        <v/>
      </c>
    </row>
    <row r="1735">
      <c r="A1735">
        <f>IF(Sync!$Z1735="","",LEFT(UPPER(TRIM(Sync!$Z1735)),6))</f>
        <v/>
      </c>
      <c r="B1735">
        <f>IF($A1735="","",IF(Sync!$AA1735="","",Sync!$AA1735))</f>
        <v/>
      </c>
      <c r="C1735">
        <f>IF($A1735="","",IF(Sync!$AB1735="","",Sync!$AB1735))</f>
        <v/>
      </c>
      <c r="D1735">
        <f>IF($A1735="","",IF(Sync!$AC1735="","",Sync!$AC1735))</f>
        <v/>
      </c>
      <c r="E1735">
        <f>IF($A1735="","",IF(Sync!$AD1735="","",Sync!$AD1735))</f>
        <v/>
      </c>
      <c r="F1735">
        <f>IF($A1735="","",IF(Sync!$AE1735="",0,Sync!$AE1735))</f>
        <v/>
      </c>
      <c r="G1735">
        <f>IF($A1735="","",IF(Sync!$AF1735="",0,Sync!$AF1735))</f>
        <v/>
      </c>
      <c r="H1735">
        <f>IF(OR($A1735="",ROUND($F1735+$G1735,2)=0),"",$F1735+$G1735)</f>
        <v/>
      </c>
      <c r="I1735">
        <f>IF($H1735="","",IF(ROUND($F1735,2)&gt;0,$A1735,IF($D1735="شخصی قاسم","شخصی قاسم",IF($D1735="هزینه","هزینه: "&amp;IF($E1735="","متفرقه",$E1735),IF($C1735="پاس چک","چک پرداختی",IF(OR($B1735="",COUNTIF(AcctCodesA,$B1735)=0),"متفرقه",$B1735))))))</f>
        <v/>
      </c>
      <c r="J1735">
        <f>IF($H1735="","",IF(ROUND($F1735,2)&gt;0,IF($D1735="شخصی قاسم","شخصی قاسم",IF($D1735="هزینه","هزینه: "&amp;IF($E1735="","متفرقه",$E1735),IF(OR($B1735="",COUNTIF(AcctCodesA,$B1735)=0),"متفرقه",$B1735))),$A1735))</f>
        <v/>
      </c>
      <c r="K1735">
        <f>IF($A1735="","",IF(AND($B1735&lt;&gt;"",COUNTIF(AcctCodesA,$B1735)=0),"کد طرف در INFO تعریف نشده",IF(AND($D1735="هزینه",$E1735=""),"هزینه بدون زیرگروه",IF(AND($C1735="پاس چک",OR(Sync!$AJ1735="",COUNTIF(IssueNosA,Sync!$AJ1735)=0)),"شماره چک پاس‌شده معتبر نیست",""))))</f>
        <v/>
      </c>
      <c r="V1735">
        <f>IF($K1735="","",IF(ISNUMBER(Sync!$AK1735),Sync!$AK1735,LEFT(Sync!$AK1735,4)&amp;MID(Sync!$AK1735,6,2)&amp;RIGHT(Sync!$AK1735,2))&amp;"|"&amp;"4"&amp;RIGHT("00000"&amp;1730,5))</f>
        <v/>
      </c>
      <c r="W1735">
        <f>IF($V1735="",0,COUNTIFS($V$6:$V$2005,"&lt;"&amp;$V1735)-COUNTIFS($V$6:$V$2005,"&lt;"&amp;$V1735,$K$6:$K$2005,"")+1)</f>
        <v/>
      </c>
    </row>
    <row r="1736">
      <c r="A1736">
        <f>IF(Sync!$Z1736="","",LEFT(UPPER(TRIM(Sync!$Z1736)),6))</f>
        <v/>
      </c>
      <c r="B1736">
        <f>IF($A1736="","",IF(Sync!$AA1736="","",Sync!$AA1736))</f>
        <v/>
      </c>
      <c r="C1736">
        <f>IF($A1736="","",IF(Sync!$AB1736="","",Sync!$AB1736))</f>
        <v/>
      </c>
      <c r="D1736">
        <f>IF($A1736="","",IF(Sync!$AC1736="","",Sync!$AC1736))</f>
        <v/>
      </c>
      <c r="E1736">
        <f>IF($A1736="","",IF(Sync!$AD1736="","",Sync!$AD1736))</f>
        <v/>
      </c>
      <c r="F1736">
        <f>IF($A1736="","",IF(Sync!$AE1736="",0,Sync!$AE1736))</f>
        <v/>
      </c>
      <c r="G1736">
        <f>IF($A1736="","",IF(Sync!$AF1736="",0,Sync!$AF1736))</f>
        <v/>
      </c>
      <c r="H1736">
        <f>IF(OR($A1736="",ROUND($F1736+$G1736,2)=0),"",$F1736+$G1736)</f>
        <v/>
      </c>
      <c r="I1736">
        <f>IF($H1736="","",IF(ROUND($F1736,2)&gt;0,$A1736,IF($D1736="شخصی قاسم","شخصی قاسم",IF($D1736="هزینه","هزینه: "&amp;IF($E1736="","متفرقه",$E1736),IF($C1736="پاس چک","چک پرداختی",IF(OR($B1736="",COUNTIF(AcctCodesA,$B1736)=0),"متفرقه",$B1736))))))</f>
        <v/>
      </c>
      <c r="J1736">
        <f>IF($H1736="","",IF(ROUND($F1736,2)&gt;0,IF($D1736="شخصی قاسم","شخصی قاسم",IF($D1736="هزینه","هزینه: "&amp;IF($E1736="","متفرقه",$E1736),IF(OR($B1736="",COUNTIF(AcctCodesA,$B1736)=0),"متفرقه",$B1736))),$A1736))</f>
        <v/>
      </c>
      <c r="K1736">
        <f>IF($A1736="","",IF(AND($B1736&lt;&gt;"",COUNTIF(AcctCodesA,$B1736)=0),"کد طرف در INFO تعریف نشده",IF(AND($D1736="هزینه",$E1736=""),"هزینه بدون زیرگروه",IF(AND($C1736="پاس چک",OR(Sync!$AJ1736="",COUNTIF(IssueNosA,Sync!$AJ1736)=0)),"شماره چک پاس‌شده معتبر نیست",""))))</f>
        <v/>
      </c>
      <c r="V1736">
        <f>IF($K1736="","",IF(ISNUMBER(Sync!$AK1736),Sync!$AK1736,LEFT(Sync!$AK1736,4)&amp;MID(Sync!$AK1736,6,2)&amp;RIGHT(Sync!$AK1736,2))&amp;"|"&amp;"4"&amp;RIGHT("00000"&amp;1731,5))</f>
        <v/>
      </c>
      <c r="W1736">
        <f>IF($V1736="",0,COUNTIFS($V$6:$V$2005,"&lt;"&amp;$V1736)-COUNTIFS($V$6:$V$2005,"&lt;"&amp;$V1736,$K$6:$K$2005,"")+1)</f>
        <v/>
      </c>
    </row>
    <row r="1737">
      <c r="A1737">
        <f>IF(Sync!$Z1737="","",LEFT(UPPER(TRIM(Sync!$Z1737)),6))</f>
        <v/>
      </c>
      <c r="B1737">
        <f>IF($A1737="","",IF(Sync!$AA1737="","",Sync!$AA1737))</f>
        <v/>
      </c>
      <c r="C1737">
        <f>IF($A1737="","",IF(Sync!$AB1737="","",Sync!$AB1737))</f>
        <v/>
      </c>
      <c r="D1737">
        <f>IF($A1737="","",IF(Sync!$AC1737="","",Sync!$AC1737))</f>
        <v/>
      </c>
      <c r="E1737">
        <f>IF($A1737="","",IF(Sync!$AD1737="","",Sync!$AD1737))</f>
        <v/>
      </c>
      <c r="F1737">
        <f>IF($A1737="","",IF(Sync!$AE1737="",0,Sync!$AE1737))</f>
        <v/>
      </c>
      <c r="G1737">
        <f>IF($A1737="","",IF(Sync!$AF1737="",0,Sync!$AF1737))</f>
        <v/>
      </c>
      <c r="H1737">
        <f>IF(OR($A1737="",ROUND($F1737+$G1737,2)=0),"",$F1737+$G1737)</f>
        <v/>
      </c>
      <c r="I1737">
        <f>IF($H1737="","",IF(ROUND($F1737,2)&gt;0,$A1737,IF($D1737="شخصی قاسم","شخصی قاسم",IF($D1737="هزینه","هزینه: "&amp;IF($E1737="","متفرقه",$E1737),IF($C1737="پاس چک","چک پرداختی",IF(OR($B1737="",COUNTIF(AcctCodesA,$B1737)=0),"متفرقه",$B1737))))))</f>
        <v/>
      </c>
      <c r="J1737">
        <f>IF($H1737="","",IF(ROUND($F1737,2)&gt;0,IF($D1737="شخصی قاسم","شخصی قاسم",IF($D1737="هزینه","هزینه: "&amp;IF($E1737="","متفرقه",$E1737),IF(OR($B1737="",COUNTIF(AcctCodesA,$B1737)=0),"متفرقه",$B1737))),$A1737))</f>
        <v/>
      </c>
      <c r="K1737">
        <f>IF($A1737="","",IF(AND($B1737&lt;&gt;"",COUNTIF(AcctCodesA,$B1737)=0),"کد طرف در INFO تعریف نشده",IF(AND($D1737="هزینه",$E1737=""),"هزینه بدون زیرگروه",IF(AND($C1737="پاس چک",OR(Sync!$AJ1737="",COUNTIF(IssueNosA,Sync!$AJ1737)=0)),"شماره چک پاس‌شده معتبر نیست",""))))</f>
        <v/>
      </c>
      <c r="V1737">
        <f>IF($K1737="","",IF(ISNUMBER(Sync!$AK1737),Sync!$AK1737,LEFT(Sync!$AK1737,4)&amp;MID(Sync!$AK1737,6,2)&amp;RIGHT(Sync!$AK1737,2))&amp;"|"&amp;"4"&amp;RIGHT("00000"&amp;1732,5))</f>
        <v/>
      </c>
      <c r="W1737">
        <f>IF($V1737="",0,COUNTIFS($V$6:$V$2005,"&lt;"&amp;$V1737)-COUNTIFS($V$6:$V$2005,"&lt;"&amp;$V1737,$K$6:$K$2005,"")+1)</f>
        <v/>
      </c>
    </row>
    <row r="1738">
      <c r="A1738">
        <f>IF(Sync!$Z1738="","",LEFT(UPPER(TRIM(Sync!$Z1738)),6))</f>
        <v/>
      </c>
      <c r="B1738">
        <f>IF($A1738="","",IF(Sync!$AA1738="","",Sync!$AA1738))</f>
        <v/>
      </c>
      <c r="C1738">
        <f>IF($A1738="","",IF(Sync!$AB1738="","",Sync!$AB1738))</f>
        <v/>
      </c>
      <c r="D1738">
        <f>IF($A1738="","",IF(Sync!$AC1738="","",Sync!$AC1738))</f>
        <v/>
      </c>
      <c r="E1738">
        <f>IF($A1738="","",IF(Sync!$AD1738="","",Sync!$AD1738))</f>
        <v/>
      </c>
      <c r="F1738">
        <f>IF($A1738="","",IF(Sync!$AE1738="",0,Sync!$AE1738))</f>
        <v/>
      </c>
      <c r="G1738">
        <f>IF($A1738="","",IF(Sync!$AF1738="",0,Sync!$AF1738))</f>
        <v/>
      </c>
      <c r="H1738">
        <f>IF(OR($A1738="",ROUND($F1738+$G1738,2)=0),"",$F1738+$G1738)</f>
        <v/>
      </c>
      <c r="I1738">
        <f>IF($H1738="","",IF(ROUND($F1738,2)&gt;0,$A1738,IF($D1738="شخصی قاسم","شخصی قاسم",IF($D1738="هزینه","هزینه: "&amp;IF($E1738="","متفرقه",$E1738),IF($C1738="پاس چک","چک پرداختی",IF(OR($B1738="",COUNTIF(AcctCodesA,$B1738)=0),"متفرقه",$B1738))))))</f>
        <v/>
      </c>
      <c r="J1738">
        <f>IF($H1738="","",IF(ROUND($F1738,2)&gt;0,IF($D1738="شخصی قاسم","شخصی قاسم",IF($D1738="هزینه","هزینه: "&amp;IF($E1738="","متفرقه",$E1738),IF(OR($B1738="",COUNTIF(AcctCodesA,$B1738)=0),"متفرقه",$B1738))),$A1738))</f>
        <v/>
      </c>
      <c r="K1738">
        <f>IF($A1738="","",IF(AND($B1738&lt;&gt;"",COUNTIF(AcctCodesA,$B1738)=0),"کد طرف در INFO تعریف نشده",IF(AND($D1738="هزینه",$E1738=""),"هزینه بدون زیرگروه",IF(AND($C1738="پاس چک",OR(Sync!$AJ1738="",COUNTIF(IssueNosA,Sync!$AJ1738)=0)),"شماره چک پاس‌شده معتبر نیست",""))))</f>
        <v/>
      </c>
      <c r="V1738">
        <f>IF($K1738="","",IF(ISNUMBER(Sync!$AK1738),Sync!$AK1738,LEFT(Sync!$AK1738,4)&amp;MID(Sync!$AK1738,6,2)&amp;RIGHT(Sync!$AK1738,2))&amp;"|"&amp;"4"&amp;RIGHT("00000"&amp;1733,5))</f>
        <v/>
      </c>
      <c r="W1738">
        <f>IF($V1738="",0,COUNTIFS($V$6:$V$2005,"&lt;"&amp;$V1738)-COUNTIFS($V$6:$V$2005,"&lt;"&amp;$V1738,$K$6:$K$2005,"")+1)</f>
        <v/>
      </c>
    </row>
    <row r="1739">
      <c r="A1739">
        <f>IF(Sync!$Z1739="","",LEFT(UPPER(TRIM(Sync!$Z1739)),6))</f>
        <v/>
      </c>
      <c r="B1739">
        <f>IF($A1739="","",IF(Sync!$AA1739="","",Sync!$AA1739))</f>
        <v/>
      </c>
      <c r="C1739">
        <f>IF($A1739="","",IF(Sync!$AB1739="","",Sync!$AB1739))</f>
        <v/>
      </c>
      <c r="D1739">
        <f>IF($A1739="","",IF(Sync!$AC1739="","",Sync!$AC1739))</f>
        <v/>
      </c>
      <c r="E1739">
        <f>IF($A1739="","",IF(Sync!$AD1739="","",Sync!$AD1739))</f>
        <v/>
      </c>
      <c r="F1739">
        <f>IF($A1739="","",IF(Sync!$AE1739="",0,Sync!$AE1739))</f>
        <v/>
      </c>
      <c r="G1739">
        <f>IF($A1739="","",IF(Sync!$AF1739="",0,Sync!$AF1739))</f>
        <v/>
      </c>
      <c r="H1739">
        <f>IF(OR($A1739="",ROUND($F1739+$G1739,2)=0),"",$F1739+$G1739)</f>
        <v/>
      </c>
      <c r="I1739">
        <f>IF($H1739="","",IF(ROUND($F1739,2)&gt;0,$A1739,IF($D1739="شخصی قاسم","شخصی قاسم",IF($D1739="هزینه","هزینه: "&amp;IF($E1739="","متفرقه",$E1739),IF($C1739="پاس چک","چک پرداختی",IF(OR($B1739="",COUNTIF(AcctCodesA,$B1739)=0),"متفرقه",$B1739))))))</f>
        <v/>
      </c>
      <c r="J1739">
        <f>IF($H1739="","",IF(ROUND($F1739,2)&gt;0,IF($D1739="شخصی قاسم","شخصی قاسم",IF($D1739="هزینه","هزینه: "&amp;IF($E1739="","متفرقه",$E1739),IF(OR($B1739="",COUNTIF(AcctCodesA,$B1739)=0),"متفرقه",$B1739))),$A1739))</f>
        <v/>
      </c>
      <c r="K1739">
        <f>IF($A1739="","",IF(AND($B1739&lt;&gt;"",COUNTIF(AcctCodesA,$B1739)=0),"کد طرف در INFO تعریف نشده",IF(AND($D1739="هزینه",$E1739=""),"هزینه بدون زیرگروه",IF(AND($C1739="پاس چک",OR(Sync!$AJ1739="",COUNTIF(IssueNosA,Sync!$AJ1739)=0)),"شماره چک پاس‌شده معتبر نیست",""))))</f>
        <v/>
      </c>
      <c r="V1739">
        <f>IF($K1739="","",IF(ISNUMBER(Sync!$AK1739),Sync!$AK1739,LEFT(Sync!$AK1739,4)&amp;MID(Sync!$AK1739,6,2)&amp;RIGHT(Sync!$AK1739,2))&amp;"|"&amp;"4"&amp;RIGHT("00000"&amp;1734,5))</f>
        <v/>
      </c>
      <c r="W1739">
        <f>IF($V1739="",0,COUNTIFS($V$6:$V$2005,"&lt;"&amp;$V1739)-COUNTIFS($V$6:$V$2005,"&lt;"&amp;$V1739,$K$6:$K$2005,"")+1)</f>
        <v/>
      </c>
    </row>
    <row r="1740">
      <c r="A1740">
        <f>IF(Sync!$Z1740="","",LEFT(UPPER(TRIM(Sync!$Z1740)),6))</f>
        <v/>
      </c>
      <c r="B1740">
        <f>IF($A1740="","",IF(Sync!$AA1740="","",Sync!$AA1740))</f>
        <v/>
      </c>
      <c r="C1740">
        <f>IF($A1740="","",IF(Sync!$AB1740="","",Sync!$AB1740))</f>
        <v/>
      </c>
      <c r="D1740">
        <f>IF($A1740="","",IF(Sync!$AC1740="","",Sync!$AC1740))</f>
        <v/>
      </c>
      <c r="E1740">
        <f>IF($A1740="","",IF(Sync!$AD1740="","",Sync!$AD1740))</f>
        <v/>
      </c>
      <c r="F1740">
        <f>IF($A1740="","",IF(Sync!$AE1740="",0,Sync!$AE1740))</f>
        <v/>
      </c>
      <c r="G1740">
        <f>IF($A1740="","",IF(Sync!$AF1740="",0,Sync!$AF1740))</f>
        <v/>
      </c>
      <c r="H1740">
        <f>IF(OR($A1740="",ROUND($F1740+$G1740,2)=0),"",$F1740+$G1740)</f>
        <v/>
      </c>
      <c r="I1740">
        <f>IF($H1740="","",IF(ROUND($F1740,2)&gt;0,$A1740,IF($D1740="شخصی قاسم","شخصی قاسم",IF($D1740="هزینه","هزینه: "&amp;IF($E1740="","متفرقه",$E1740),IF($C1740="پاس چک","چک پرداختی",IF(OR($B1740="",COUNTIF(AcctCodesA,$B1740)=0),"متفرقه",$B1740))))))</f>
        <v/>
      </c>
      <c r="J1740">
        <f>IF($H1740="","",IF(ROUND($F1740,2)&gt;0,IF($D1740="شخصی قاسم","شخصی قاسم",IF($D1740="هزینه","هزینه: "&amp;IF($E1740="","متفرقه",$E1740),IF(OR($B1740="",COUNTIF(AcctCodesA,$B1740)=0),"متفرقه",$B1740))),$A1740))</f>
        <v/>
      </c>
      <c r="K1740">
        <f>IF($A1740="","",IF(AND($B1740&lt;&gt;"",COUNTIF(AcctCodesA,$B1740)=0),"کد طرف در INFO تعریف نشده",IF(AND($D1740="هزینه",$E1740=""),"هزینه بدون زیرگروه",IF(AND($C1740="پاس چک",OR(Sync!$AJ1740="",COUNTIF(IssueNosA,Sync!$AJ1740)=0)),"شماره چک پاس‌شده معتبر نیست",""))))</f>
        <v/>
      </c>
      <c r="V1740">
        <f>IF($K1740="","",IF(ISNUMBER(Sync!$AK1740),Sync!$AK1740,LEFT(Sync!$AK1740,4)&amp;MID(Sync!$AK1740,6,2)&amp;RIGHT(Sync!$AK1740,2))&amp;"|"&amp;"4"&amp;RIGHT("00000"&amp;1735,5))</f>
        <v/>
      </c>
      <c r="W1740">
        <f>IF($V1740="",0,COUNTIFS($V$6:$V$2005,"&lt;"&amp;$V1740)-COUNTIFS($V$6:$V$2005,"&lt;"&amp;$V1740,$K$6:$K$2005,"")+1)</f>
        <v/>
      </c>
    </row>
    <row r="1741">
      <c r="A1741">
        <f>IF(Sync!$Z1741="","",LEFT(UPPER(TRIM(Sync!$Z1741)),6))</f>
        <v/>
      </c>
      <c r="B1741">
        <f>IF($A1741="","",IF(Sync!$AA1741="","",Sync!$AA1741))</f>
        <v/>
      </c>
      <c r="C1741">
        <f>IF($A1741="","",IF(Sync!$AB1741="","",Sync!$AB1741))</f>
        <v/>
      </c>
      <c r="D1741">
        <f>IF($A1741="","",IF(Sync!$AC1741="","",Sync!$AC1741))</f>
        <v/>
      </c>
      <c r="E1741">
        <f>IF($A1741="","",IF(Sync!$AD1741="","",Sync!$AD1741))</f>
        <v/>
      </c>
      <c r="F1741">
        <f>IF($A1741="","",IF(Sync!$AE1741="",0,Sync!$AE1741))</f>
        <v/>
      </c>
      <c r="G1741">
        <f>IF($A1741="","",IF(Sync!$AF1741="",0,Sync!$AF1741))</f>
        <v/>
      </c>
      <c r="H1741">
        <f>IF(OR($A1741="",ROUND($F1741+$G1741,2)=0),"",$F1741+$G1741)</f>
        <v/>
      </c>
      <c r="I1741">
        <f>IF($H1741="","",IF(ROUND($F1741,2)&gt;0,$A1741,IF($D1741="شخصی قاسم","شخصی قاسم",IF($D1741="هزینه","هزینه: "&amp;IF($E1741="","متفرقه",$E1741),IF($C1741="پاس چک","چک پرداختی",IF(OR($B1741="",COUNTIF(AcctCodesA,$B1741)=0),"متفرقه",$B1741))))))</f>
        <v/>
      </c>
      <c r="J1741">
        <f>IF($H1741="","",IF(ROUND($F1741,2)&gt;0,IF($D1741="شخصی قاسم","شخصی قاسم",IF($D1741="هزینه","هزینه: "&amp;IF($E1741="","متفرقه",$E1741),IF(OR($B1741="",COUNTIF(AcctCodesA,$B1741)=0),"متفرقه",$B1741))),$A1741))</f>
        <v/>
      </c>
      <c r="K1741">
        <f>IF($A1741="","",IF(AND($B1741&lt;&gt;"",COUNTIF(AcctCodesA,$B1741)=0),"کد طرف در INFO تعریف نشده",IF(AND($D1741="هزینه",$E1741=""),"هزینه بدون زیرگروه",IF(AND($C1741="پاس چک",OR(Sync!$AJ1741="",COUNTIF(IssueNosA,Sync!$AJ1741)=0)),"شماره چک پاس‌شده معتبر نیست",""))))</f>
        <v/>
      </c>
      <c r="V1741">
        <f>IF($K1741="","",IF(ISNUMBER(Sync!$AK1741),Sync!$AK1741,LEFT(Sync!$AK1741,4)&amp;MID(Sync!$AK1741,6,2)&amp;RIGHT(Sync!$AK1741,2))&amp;"|"&amp;"4"&amp;RIGHT("00000"&amp;1736,5))</f>
        <v/>
      </c>
      <c r="W1741">
        <f>IF($V1741="",0,COUNTIFS($V$6:$V$2005,"&lt;"&amp;$V1741)-COUNTIFS($V$6:$V$2005,"&lt;"&amp;$V1741,$K$6:$K$2005,"")+1)</f>
        <v/>
      </c>
    </row>
    <row r="1742">
      <c r="A1742">
        <f>IF(Sync!$Z1742="","",LEFT(UPPER(TRIM(Sync!$Z1742)),6))</f>
        <v/>
      </c>
      <c r="B1742">
        <f>IF($A1742="","",IF(Sync!$AA1742="","",Sync!$AA1742))</f>
        <v/>
      </c>
      <c r="C1742">
        <f>IF($A1742="","",IF(Sync!$AB1742="","",Sync!$AB1742))</f>
        <v/>
      </c>
      <c r="D1742">
        <f>IF($A1742="","",IF(Sync!$AC1742="","",Sync!$AC1742))</f>
        <v/>
      </c>
      <c r="E1742">
        <f>IF($A1742="","",IF(Sync!$AD1742="","",Sync!$AD1742))</f>
        <v/>
      </c>
      <c r="F1742">
        <f>IF($A1742="","",IF(Sync!$AE1742="",0,Sync!$AE1742))</f>
        <v/>
      </c>
      <c r="G1742">
        <f>IF($A1742="","",IF(Sync!$AF1742="",0,Sync!$AF1742))</f>
        <v/>
      </c>
      <c r="H1742">
        <f>IF(OR($A1742="",ROUND($F1742+$G1742,2)=0),"",$F1742+$G1742)</f>
        <v/>
      </c>
      <c r="I1742">
        <f>IF($H1742="","",IF(ROUND($F1742,2)&gt;0,$A1742,IF($D1742="شخصی قاسم","شخصی قاسم",IF($D1742="هزینه","هزینه: "&amp;IF($E1742="","متفرقه",$E1742),IF($C1742="پاس چک","چک پرداختی",IF(OR($B1742="",COUNTIF(AcctCodesA,$B1742)=0),"متفرقه",$B1742))))))</f>
        <v/>
      </c>
      <c r="J1742">
        <f>IF($H1742="","",IF(ROUND($F1742,2)&gt;0,IF($D1742="شخصی قاسم","شخصی قاسم",IF($D1742="هزینه","هزینه: "&amp;IF($E1742="","متفرقه",$E1742),IF(OR($B1742="",COUNTIF(AcctCodesA,$B1742)=0),"متفرقه",$B1742))),$A1742))</f>
        <v/>
      </c>
      <c r="K1742">
        <f>IF($A1742="","",IF(AND($B1742&lt;&gt;"",COUNTIF(AcctCodesA,$B1742)=0),"کد طرف در INFO تعریف نشده",IF(AND($D1742="هزینه",$E1742=""),"هزینه بدون زیرگروه",IF(AND($C1742="پاس چک",OR(Sync!$AJ1742="",COUNTIF(IssueNosA,Sync!$AJ1742)=0)),"شماره چک پاس‌شده معتبر نیست",""))))</f>
        <v/>
      </c>
      <c r="V1742">
        <f>IF($K1742="","",IF(ISNUMBER(Sync!$AK1742),Sync!$AK1742,LEFT(Sync!$AK1742,4)&amp;MID(Sync!$AK1742,6,2)&amp;RIGHT(Sync!$AK1742,2))&amp;"|"&amp;"4"&amp;RIGHT("00000"&amp;1737,5))</f>
        <v/>
      </c>
      <c r="W1742">
        <f>IF($V1742="",0,COUNTIFS($V$6:$V$2005,"&lt;"&amp;$V1742)-COUNTIFS($V$6:$V$2005,"&lt;"&amp;$V1742,$K$6:$K$2005,"")+1)</f>
        <v/>
      </c>
    </row>
    <row r="1743">
      <c r="A1743">
        <f>IF(Sync!$Z1743="","",LEFT(UPPER(TRIM(Sync!$Z1743)),6))</f>
        <v/>
      </c>
      <c r="B1743">
        <f>IF($A1743="","",IF(Sync!$AA1743="","",Sync!$AA1743))</f>
        <v/>
      </c>
      <c r="C1743">
        <f>IF($A1743="","",IF(Sync!$AB1743="","",Sync!$AB1743))</f>
        <v/>
      </c>
      <c r="D1743">
        <f>IF($A1743="","",IF(Sync!$AC1743="","",Sync!$AC1743))</f>
        <v/>
      </c>
      <c r="E1743">
        <f>IF($A1743="","",IF(Sync!$AD1743="","",Sync!$AD1743))</f>
        <v/>
      </c>
      <c r="F1743">
        <f>IF($A1743="","",IF(Sync!$AE1743="",0,Sync!$AE1743))</f>
        <v/>
      </c>
      <c r="G1743">
        <f>IF($A1743="","",IF(Sync!$AF1743="",0,Sync!$AF1743))</f>
        <v/>
      </c>
      <c r="H1743">
        <f>IF(OR($A1743="",ROUND($F1743+$G1743,2)=0),"",$F1743+$G1743)</f>
        <v/>
      </c>
      <c r="I1743">
        <f>IF($H1743="","",IF(ROUND($F1743,2)&gt;0,$A1743,IF($D1743="شخصی قاسم","شخصی قاسم",IF($D1743="هزینه","هزینه: "&amp;IF($E1743="","متفرقه",$E1743),IF($C1743="پاس چک","چک پرداختی",IF(OR($B1743="",COUNTIF(AcctCodesA,$B1743)=0),"متفرقه",$B1743))))))</f>
        <v/>
      </c>
      <c r="J1743">
        <f>IF($H1743="","",IF(ROUND($F1743,2)&gt;0,IF($D1743="شخصی قاسم","شخصی قاسم",IF($D1743="هزینه","هزینه: "&amp;IF($E1743="","متفرقه",$E1743),IF(OR($B1743="",COUNTIF(AcctCodesA,$B1743)=0),"متفرقه",$B1743))),$A1743))</f>
        <v/>
      </c>
      <c r="K1743">
        <f>IF($A1743="","",IF(AND($B1743&lt;&gt;"",COUNTIF(AcctCodesA,$B1743)=0),"کد طرف در INFO تعریف نشده",IF(AND($D1743="هزینه",$E1743=""),"هزینه بدون زیرگروه",IF(AND($C1743="پاس چک",OR(Sync!$AJ1743="",COUNTIF(IssueNosA,Sync!$AJ1743)=0)),"شماره چک پاس‌شده معتبر نیست",""))))</f>
        <v/>
      </c>
      <c r="V1743">
        <f>IF($K1743="","",IF(ISNUMBER(Sync!$AK1743),Sync!$AK1743,LEFT(Sync!$AK1743,4)&amp;MID(Sync!$AK1743,6,2)&amp;RIGHT(Sync!$AK1743,2))&amp;"|"&amp;"4"&amp;RIGHT("00000"&amp;1738,5))</f>
        <v/>
      </c>
      <c r="W1743">
        <f>IF($V1743="",0,COUNTIFS($V$6:$V$2005,"&lt;"&amp;$V1743)-COUNTIFS($V$6:$V$2005,"&lt;"&amp;$V1743,$K$6:$K$2005,"")+1)</f>
        <v/>
      </c>
    </row>
    <row r="1744">
      <c r="A1744">
        <f>IF(Sync!$Z1744="","",LEFT(UPPER(TRIM(Sync!$Z1744)),6))</f>
        <v/>
      </c>
      <c r="B1744">
        <f>IF($A1744="","",IF(Sync!$AA1744="","",Sync!$AA1744))</f>
        <v/>
      </c>
      <c r="C1744">
        <f>IF($A1744="","",IF(Sync!$AB1744="","",Sync!$AB1744))</f>
        <v/>
      </c>
      <c r="D1744">
        <f>IF($A1744="","",IF(Sync!$AC1744="","",Sync!$AC1744))</f>
        <v/>
      </c>
      <c r="E1744">
        <f>IF($A1744="","",IF(Sync!$AD1744="","",Sync!$AD1744))</f>
        <v/>
      </c>
      <c r="F1744">
        <f>IF($A1744="","",IF(Sync!$AE1744="",0,Sync!$AE1744))</f>
        <v/>
      </c>
      <c r="G1744">
        <f>IF($A1744="","",IF(Sync!$AF1744="",0,Sync!$AF1744))</f>
        <v/>
      </c>
      <c r="H1744">
        <f>IF(OR($A1744="",ROUND($F1744+$G1744,2)=0),"",$F1744+$G1744)</f>
        <v/>
      </c>
      <c r="I1744">
        <f>IF($H1744="","",IF(ROUND($F1744,2)&gt;0,$A1744,IF($D1744="شخصی قاسم","شخصی قاسم",IF($D1744="هزینه","هزینه: "&amp;IF($E1744="","متفرقه",$E1744),IF($C1744="پاس چک","چک پرداختی",IF(OR($B1744="",COUNTIF(AcctCodesA,$B1744)=0),"متفرقه",$B1744))))))</f>
        <v/>
      </c>
      <c r="J1744">
        <f>IF($H1744="","",IF(ROUND($F1744,2)&gt;0,IF($D1744="شخصی قاسم","شخصی قاسم",IF($D1744="هزینه","هزینه: "&amp;IF($E1744="","متفرقه",$E1744),IF(OR($B1744="",COUNTIF(AcctCodesA,$B1744)=0),"متفرقه",$B1744))),$A1744))</f>
        <v/>
      </c>
      <c r="K1744">
        <f>IF($A1744="","",IF(AND($B1744&lt;&gt;"",COUNTIF(AcctCodesA,$B1744)=0),"کد طرف در INFO تعریف نشده",IF(AND($D1744="هزینه",$E1744=""),"هزینه بدون زیرگروه",IF(AND($C1744="پاس چک",OR(Sync!$AJ1744="",COUNTIF(IssueNosA,Sync!$AJ1744)=0)),"شماره چک پاس‌شده معتبر نیست",""))))</f>
        <v/>
      </c>
      <c r="V1744">
        <f>IF($K1744="","",IF(ISNUMBER(Sync!$AK1744),Sync!$AK1744,LEFT(Sync!$AK1744,4)&amp;MID(Sync!$AK1744,6,2)&amp;RIGHT(Sync!$AK1744,2))&amp;"|"&amp;"4"&amp;RIGHT("00000"&amp;1739,5))</f>
        <v/>
      </c>
      <c r="W1744">
        <f>IF($V1744="",0,COUNTIFS($V$6:$V$2005,"&lt;"&amp;$V1744)-COUNTIFS($V$6:$V$2005,"&lt;"&amp;$V1744,$K$6:$K$2005,"")+1)</f>
        <v/>
      </c>
    </row>
    <row r="1745">
      <c r="A1745">
        <f>IF(Sync!$Z1745="","",LEFT(UPPER(TRIM(Sync!$Z1745)),6))</f>
        <v/>
      </c>
      <c r="B1745">
        <f>IF($A1745="","",IF(Sync!$AA1745="","",Sync!$AA1745))</f>
        <v/>
      </c>
      <c r="C1745">
        <f>IF($A1745="","",IF(Sync!$AB1745="","",Sync!$AB1745))</f>
        <v/>
      </c>
      <c r="D1745">
        <f>IF($A1745="","",IF(Sync!$AC1745="","",Sync!$AC1745))</f>
        <v/>
      </c>
      <c r="E1745">
        <f>IF($A1745="","",IF(Sync!$AD1745="","",Sync!$AD1745))</f>
        <v/>
      </c>
      <c r="F1745">
        <f>IF($A1745="","",IF(Sync!$AE1745="",0,Sync!$AE1745))</f>
        <v/>
      </c>
      <c r="G1745">
        <f>IF($A1745="","",IF(Sync!$AF1745="",0,Sync!$AF1745))</f>
        <v/>
      </c>
      <c r="H1745">
        <f>IF(OR($A1745="",ROUND($F1745+$G1745,2)=0),"",$F1745+$G1745)</f>
        <v/>
      </c>
      <c r="I1745">
        <f>IF($H1745="","",IF(ROUND($F1745,2)&gt;0,$A1745,IF($D1745="شخصی قاسم","شخصی قاسم",IF($D1745="هزینه","هزینه: "&amp;IF($E1745="","متفرقه",$E1745),IF($C1745="پاس چک","چک پرداختی",IF(OR($B1745="",COUNTIF(AcctCodesA,$B1745)=0),"متفرقه",$B1745))))))</f>
        <v/>
      </c>
      <c r="J1745">
        <f>IF($H1745="","",IF(ROUND($F1745,2)&gt;0,IF($D1745="شخصی قاسم","شخصی قاسم",IF($D1745="هزینه","هزینه: "&amp;IF($E1745="","متفرقه",$E1745),IF(OR($B1745="",COUNTIF(AcctCodesA,$B1745)=0),"متفرقه",$B1745))),$A1745))</f>
        <v/>
      </c>
      <c r="K1745">
        <f>IF($A1745="","",IF(AND($B1745&lt;&gt;"",COUNTIF(AcctCodesA,$B1745)=0),"کد طرف در INFO تعریف نشده",IF(AND($D1745="هزینه",$E1745=""),"هزینه بدون زیرگروه",IF(AND($C1745="پاس چک",OR(Sync!$AJ1745="",COUNTIF(IssueNosA,Sync!$AJ1745)=0)),"شماره چک پاس‌شده معتبر نیست",""))))</f>
        <v/>
      </c>
      <c r="V1745">
        <f>IF($K1745="","",IF(ISNUMBER(Sync!$AK1745),Sync!$AK1745,LEFT(Sync!$AK1745,4)&amp;MID(Sync!$AK1745,6,2)&amp;RIGHT(Sync!$AK1745,2))&amp;"|"&amp;"4"&amp;RIGHT("00000"&amp;1740,5))</f>
        <v/>
      </c>
      <c r="W1745">
        <f>IF($V1745="",0,COUNTIFS($V$6:$V$2005,"&lt;"&amp;$V1745)-COUNTIFS($V$6:$V$2005,"&lt;"&amp;$V1745,$K$6:$K$2005,"")+1)</f>
        <v/>
      </c>
    </row>
    <row r="1746">
      <c r="A1746">
        <f>IF(Sync!$Z1746="","",LEFT(UPPER(TRIM(Sync!$Z1746)),6))</f>
        <v/>
      </c>
      <c r="B1746">
        <f>IF($A1746="","",IF(Sync!$AA1746="","",Sync!$AA1746))</f>
        <v/>
      </c>
      <c r="C1746">
        <f>IF($A1746="","",IF(Sync!$AB1746="","",Sync!$AB1746))</f>
        <v/>
      </c>
      <c r="D1746">
        <f>IF($A1746="","",IF(Sync!$AC1746="","",Sync!$AC1746))</f>
        <v/>
      </c>
      <c r="E1746">
        <f>IF($A1746="","",IF(Sync!$AD1746="","",Sync!$AD1746))</f>
        <v/>
      </c>
      <c r="F1746">
        <f>IF($A1746="","",IF(Sync!$AE1746="",0,Sync!$AE1746))</f>
        <v/>
      </c>
      <c r="G1746">
        <f>IF($A1746="","",IF(Sync!$AF1746="",0,Sync!$AF1746))</f>
        <v/>
      </c>
      <c r="H1746">
        <f>IF(OR($A1746="",ROUND($F1746+$G1746,2)=0),"",$F1746+$G1746)</f>
        <v/>
      </c>
      <c r="I1746">
        <f>IF($H1746="","",IF(ROUND($F1746,2)&gt;0,$A1746,IF($D1746="شخصی قاسم","شخصی قاسم",IF($D1746="هزینه","هزینه: "&amp;IF($E1746="","متفرقه",$E1746),IF($C1746="پاس چک","چک پرداختی",IF(OR($B1746="",COUNTIF(AcctCodesA,$B1746)=0),"متفرقه",$B1746))))))</f>
        <v/>
      </c>
      <c r="J1746">
        <f>IF($H1746="","",IF(ROUND($F1746,2)&gt;0,IF($D1746="شخصی قاسم","شخصی قاسم",IF($D1746="هزینه","هزینه: "&amp;IF($E1746="","متفرقه",$E1746),IF(OR($B1746="",COUNTIF(AcctCodesA,$B1746)=0),"متفرقه",$B1746))),$A1746))</f>
        <v/>
      </c>
      <c r="K1746">
        <f>IF($A1746="","",IF(AND($B1746&lt;&gt;"",COUNTIF(AcctCodesA,$B1746)=0),"کد طرف در INFO تعریف نشده",IF(AND($D1746="هزینه",$E1746=""),"هزینه بدون زیرگروه",IF(AND($C1746="پاس چک",OR(Sync!$AJ1746="",COUNTIF(IssueNosA,Sync!$AJ1746)=0)),"شماره چک پاس‌شده معتبر نیست",""))))</f>
        <v/>
      </c>
      <c r="V1746">
        <f>IF($K1746="","",IF(ISNUMBER(Sync!$AK1746),Sync!$AK1746,LEFT(Sync!$AK1746,4)&amp;MID(Sync!$AK1746,6,2)&amp;RIGHT(Sync!$AK1746,2))&amp;"|"&amp;"4"&amp;RIGHT("00000"&amp;1741,5))</f>
        <v/>
      </c>
      <c r="W1746">
        <f>IF($V1746="",0,COUNTIFS($V$6:$V$2005,"&lt;"&amp;$V1746)-COUNTIFS($V$6:$V$2005,"&lt;"&amp;$V1746,$K$6:$K$2005,"")+1)</f>
        <v/>
      </c>
    </row>
    <row r="1747">
      <c r="A1747">
        <f>IF(Sync!$Z1747="","",LEFT(UPPER(TRIM(Sync!$Z1747)),6))</f>
        <v/>
      </c>
      <c r="B1747">
        <f>IF($A1747="","",IF(Sync!$AA1747="","",Sync!$AA1747))</f>
        <v/>
      </c>
      <c r="C1747">
        <f>IF($A1747="","",IF(Sync!$AB1747="","",Sync!$AB1747))</f>
        <v/>
      </c>
      <c r="D1747">
        <f>IF($A1747="","",IF(Sync!$AC1747="","",Sync!$AC1747))</f>
        <v/>
      </c>
      <c r="E1747">
        <f>IF($A1747="","",IF(Sync!$AD1747="","",Sync!$AD1747))</f>
        <v/>
      </c>
      <c r="F1747">
        <f>IF($A1747="","",IF(Sync!$AE1747="",0,Sync!$AE1747))</f>
        <v/>
      </c>
      <c r="G1747">
        <f>IF($A1747="","",IF(Sync!$AF1747="",0,Sync!$AF1747))</f>
        <v/>
      </c>
      <c r="H1747">
        <f>IF(OR($A1747="",ROUND($F1747+$G1747,2)=0),"",$F1747+$G1747)</f>
        <v/>
      </c>
      <c r="I1747">
        <f>IF($H1747="","",IF(ROUND($F1747,2)&gt;0,$A1747,IF($D1747="شخصی قاسم","شخصی قاسم",IF($D1747="هزینه","هزینه: "&amp;IF($E1747="","متفرقه",$E1747),IF($C1747="پاس چک","چک پرداختی",IF(OR($B1747="",COUNTIF(AcctCodesA,$B1747)=0),"متفرقه",$B1747))))))</f>
        <v/>
      </c>
      <c r="J1747">
        <f>IF($H1747="","",IF(ROUND($F1747,2)&gt;0,IF($D1747="شخصی قاسم","شخصی قاسم",IF($D1747="هزینه","هزینه: "&amp;IF($E1747="","متفرقه",$E1747),IF(OR($B1747="",COUNTIF(AcctCodesA,$B1747)=0),"متفرقه",$B1747))),$A1747))</f>
        <v/>
      </c>
      <c r="K1747">
        <f>IF($A1747="","",IF(AND($B1747&lt;&gt;"",COUNTIF(AcctCodesA,$B1747)=0),"کد طرف در INFO تعریف نشده",IF(AND($D1747="هزینه",$E1747=""),"هزینه بدون زیرگروه",IF(AND($C1747="پاس چک",OR(Sync!$AJ1747="",COUNTIF(IssueNosA,Sync!$AJ1747)=0)),"شماره چک پاس‌شده معتبر نیست",""))))</f>
        <v/>
      </c>
      <c r="V1747">
        <f>IF($K1747="","",IF(ISNUMBER(Sync!$AK1747),Sync!$AK1747,LEFT(Sync!$AK1747,4)&amp;MID(Sync!$AK1747,6,2)&amp;RIGHT(Sync!$AK1747,2))&amp;"|"&amp;"4"&amp;RIGHT("00000"&amp;1742,5))</f>
        <v/>
      </c>
      <c r="W1747">
        <f>IF($V1747="",0,COUNTIFS($V$6:$V$2005,"&lt;"&amp;$V1747)-COUNTIFS($V$6:$V$2005,"&lt;"&amp;$V1747,$K$6:$K$2005,"")+1)</f>
        <v/>
      </c>
    </row>
    <row r="1748">
      <c r="A1748">
        <f>IF(Sync!$Z1748="","",LEFT(UPPER(TRIM(Sync!$Z1748)),6))</f>
        <v/>
      </c>
      <c r="B1748">
        <f>IF($A1748="","",IF(Sync!$AA1748="","",Sync!$AA1748))</f>
        <v/>
      </c>
      <c r="C1748">
        <f>IF($A1748="","",IF(Sync!$AB1748="","",Sync!$AB1748))</f>
        <v/>
      </c>
      <c r="D1748">
        <f>IF($A1748="","",IF(Sync!$AC1748="","",Sync!$AC1748))</f>
        <v/>
      </c>
      <c r="E1748">
        <f>IF($A1748="","",IF(Sync!$AD1748="","",Sync!$AD1748))</f>
        <v/>
      </c>
      <c r="F1748">
        <f>IF($A1748="","",IF(Sync!$AE1748="",0,Sync!$AE1748))</f>
        <v/>
      </c>
      <c r="G1748">
        <f>IF($A1748="","",IF(Sync!$AF1748="",0,Sync!$AF1748))</f>
        <v/>
      </c>
      <c r="H1748">
        <f>IF(OR($A1748="",ROUND($F1748+$G1748,2)=0),"",$F1748+$G1748)</f>
        <v/>
      </c>
      <c r="I1748">
        <f>IF($H1748="","",IF(ROUND($F1748,2)&gt;0,$A1748,IF($D1748="شخصی قاسم","شخصی قاسم",IF($D1748="هزینه","هزینه: "&amp;IF($E1748="","متفرقه",$E1748),IF($C1748="پاس چک","چک پرداختی",IF(OR($B1748="",COUNTIF(AcctCodesA,$B1748)=0),"متفرقه",$B1748))))))</f>
        <v/>
      </c>
      <c r="J1748">
        <f>IF($H1748="","",IF(ROUND($F1748,2)&gt;0,IF($D1748="شخصی قاسم","شخصی قاسم",IF($D1748="هزینه","هزینه: "&amp;IF($E1748="","متفرقه",$E1748),IF(OR($B1748="",COUNTIF(AcctCodesA,$B1748)=0),"متفرقه",$B1748))),$A1748))</f>
        <v/>
      </c>
      <c r="K1748">
        <f>IF($A1748="","",IF(AND($B1748&lt;&gt;"",COUNTIF(AcctCodesA,$B1748)=0),"کد طرف در INFO تعریف نشده",IF(AND($D1748="هزینه",$E1748=""),"هزینه بدون زیرگروه",IF(AND($C1748="پاس چک",OR(Sync!$AJ1748="",COUNTIF(IssueNosA,Sync!$AJ1748)=0)),"شماره چک پاس‌شده معتبر نیست",""))))</f>
        <v/>
      </c>
      <c r="V1748">
        <f>IF($K1748="","",IF(ISNUMBER(Sync!$AK1748),Sync!$AK1748,LEFT(Sync!$AK1748,4)&amp;MID(Sync!$AK1748,6,2)&amp;RIGHT(Sync!$AK1748,2))&amp;"|"&amp;"4"&amp;RIGHT("00000"&amp;1743,5))</f>
        <v/>
      </c>
      <c r="W1748">
        <f>IF($V1748="",0,COUNTIFS($V$6:$V$2005,"&lt;"&amp;$V1748)-COUNTIFS($V$6:$V$2005,"&lt;"&amp;$V1748,$K$6:$K$2005,"")+1)</f>
        <v/>
      </c>
    </row>
    <row r="1749">
      <c r="A1749">
        <f>IF(Sync!$Z1749="","",LEFT(UPPER(TRIM(Sync!$Z1749)),6))</f>
        <v/>
      </c>
      <c r="B1749">
        <f>IF($A1749="","",IF(Sync!$AA1749="","",Sync!$AA1749))</f>
        <v/>
      </c>
      <c r="C1749">
        <f>IF($A1749="","",IF(Sync!$AB1749="","",Sync!$AB1749))</f>
        <v/>
      </c>
      <c r="D1749">
        <f>IF($A1749="","",IF(Sync!$AC1749="","",Sync!$AC1749))</f>
        <v/>
      </c>
      <c r="E1749">
        <f>IF($A1749="","",IF(Sync!$AD1749="","",Sync!$AD1749))</f>
        <v/>
      </c>
      <c r="F1749">
        <f>IF($A1749="","",IF(Sync!$AE1749="",0,Sync!$AE1749))</f>
        <v/>
      </c>
      <c r="G1749">
        <f>IF($A1749="","",IF(Sync!$AF1749="",0,Sync!$AF1749))</f>
        <v/>
      </c>
      <c r="H1749">
        <f>IF(OR($A1749="",ROUND($F1749+$G1749,2)=0),"",$F1749+$G1749)</f>
        <v/>
      </c>
      <c r="I1749">
        <f>IF($H1749="","",IF(ROUND($F1749,2)&gt;0,$A1749,IF($D1749="شخصی قاسم","شخصی قاسم",IF($D1749="هزینه","هزینه: "&amp;IF($E1749="","متفرقه",$E1749),IF($C1749="پاس چک","چک پرداختی",IF(OR($B1749="",COUNTIF(AcctCodesA,$B1749)=0),"متفرقه",$B1749))))))</f>
        <v/>
      </c>
      <c r="J1749">
        <f>IF($H1749="","",IF(ROUND($F1749,2)&gt;0,IF($D1749="شخصی قاسم","شخصی قاسم",IF($D1749="هزینه","هزینه: "&amp;IF($E1749="","متفرقه",$E1749),IF(OR($B1749="",COUNTIF(AcctCodesA,$B1749)=0),"متفرقه",$B1749))),$A1749))</f>
        <v/>
      </c>
      <c r="K1749">
        <f>IF($A1749="","",IF(AND($B1749&lt;&gt;"",COUNTIF(AcctCodesA,$B1749)=0),"کد طرف در INFO تعریف نشده",IF(AND($D1749="هزینه",$E1749=""),"هزینه بدون زیرگروه",IF(AND($C1749="پاس چک",OR(Sync!$AJ1749="",COUNTIF(IssueNosA,Sync!$AJ1749)=0)),"شماره چک پاس‌شده معتبر نیست",""))))</f>
        <v/>
      </c>
      <c r="V1749">
        <f>IF($K1749="","",IF(ISNUMBER(Sync!$AK1749),Sync!$AK1749,LEFT(Sync!$AK1749,4)&amp;MID(Sync!$AK1749,6,2)&amp;RIGHT(Sync!$AK1749,2))&amp;"|"&amp;"4"&amp;RIGHT("00000"&amp;1744,5))</f>
        <v/>
      </c>
      <c r="W1749">
        <f>IF($V1749="",0,COUNTIFS($V$6:$V$2005,"&lt;"&amp;$V1749)-COUNTIFS($V$6:$V$2005,"&lt;"&amp;$V1749,$K$6:$K$2005,"")+1)</f>
        <v/>
      </c>
    </row>
    <row r="1750">
      <c r="A1750">
        <f>IF(Sync!$Z1750="","",LEFT(UPPER(TRIM(Sync!$Z1750)),6))</f>
        <v/>
      </c>
      <c r="B1750">
        <f>IF($A1750="","",IF(Sync!$AA1750="","",Sync!$AA1750))</f>
        <v/>
      </c>
      <c r="C1750">
        <f>IF($A1750="","",IF(Sync!$AB1750="","",Sync!$AB1750))</f>
        <v/>
      </c>
      <c r="D1750">
        <f>IF($A1750="","",IF(Sync!$AC1750="","",Sync!$AC1750))</f>
        <v/>
      </c>
      <c r="E1750">
        <f>IF($A1750="","",IF(Sync!$AD1750="","",Sync!$AD1750))</f>
        <v/>
      </c>
      <c r="F1750">
        <f>IF($A1750="","",IF(Sync!$AE1750="",0,Sync!$AE1750))</f>
        <v/>
      </c>
      <c r="G1750">
        <f>IF($A1750="","",IF(Sync!$AF1750="",0,Sync!$AF1750))</f>
        <v/>
      </c>
      <c r="H1750">
        <f>IF(OR($A1750="",ROUND($F1750+$G1750,2)=0),"",$F1750+$G1750)</f>
        <v/>
      </c>
      <c r="I1750">
        <f>IF($H1750="","",IF(ROUND($F1750,2)&gt;0,$A1750,IF($D1750="شخصی قاسم","شخصی قاسم",IF($D1750="هزینه","هزینه: "&amp;IF($E1750="","متفرقه",$E1750),IF($C1750="پاس چک","چک پرداختی",IF(OR($B1750="",COUNTIF(AcctCodesA,$B1750)=0),"متفرقه",$B1750))))))</f>
        <v/>
      </c>
      <c r="J1750">
        <f>IF($H1750="","",IF(ROUND($F1750,2)&gt;0,IF($D1750="شخصی قاسم","شخصی قاسم",IF($D1750="هزینه","هزینه: "&amp;IF($E1750="","متفرقه",$E1750),IF(OR($B1750="",COUNTIF(AcctCodesA,$B1750)=0),"متفرقه",$B1750))),$A1750))</f>
        <v/>
      </c>
      <c r="K1750">
        <f>IF($A1750="","",IF(AND($B1750&lt;&gt;"",COUNTIF(AcctCodesA,$B1750)=0),"کد طرف در INFO تعریف نشده",IF(AND($D1750="هزینه",$E1750=""),"هزینه بدون زیرگروه",IF(AND($C1750="پاس چک",OR(Sync!$AJ1750="",COUNTIF(IssueNosA,Sync!$AJ1750)=0)),"شماره چک پاس‌شده معتبر نیست",""))))</f>
        <v/>
      </c>
      <c r="V1750">
        <f>IF($K1750="","",IF(ISNUMBER(Sync!$AK1750),Sync!$AK1750,LEFT(Sync!$AK1750,4)&amp;MID(Sync!$AK1750,6,2)&amp;RIGHT(Sync!$AK1750,2))&amp;"|"&amp;"4"&amp;RIGHT("00000"&amp;1745,5))</f>
        <v/>
      </c>
      <c r="W1750">
        <f>IF($V1750="",0,COUNTIFS($V$6:$V$2005,"&lt;"&amp;$V1750)-COUNTIFS($V$6:$V$2005,"&lt;"&amp;$V1750,$K$6:$K$2005,"")+1)</f>
        <v/>
      </c>
    </row>
    <row r="1751">
      <c r="A1751">
        <f>IF(Sync!$Z1751="","",LEFT(UPPER(TRIM(Sync!$Z1751)),6))</f>
        <v/>
      </c>
      <c r="B1751">
        <f>IF($A1751="","",IF(Sync!$AA1751="","",Sync!$AA1751))</f>
        <v/>
      </c>
      <c r="C1751">
        <f>IF($A1751="","",IF(Sync!$AB1751="","",Sync!$AB1751))</f>
        <v/>
      </c>
      <c r="D1751">
        <f>IF($A1751="","",IF(Sync!$AC1751="","",Sync!$AC1751))</f>
        <v/>
      </c>
      <c r="E1751">
        <f>IF($A1751="","",IF(Sync!$AD1751="","",Sync!$AD1751))</f>
        <v/>
      </c>
      <c r="F1751">
        <f>IF($A1751="","",IF(Sync!$AE1751="",0,Sync!$AE1751))</f>
        <v/>
      </c>
      <c r="G1751">
        <f>IF($A1751="","",IF(Sync!$AF1751="",0,Sync!$AF1751))</f>
        <v/>
      </c>
      <c r="H1751">
        <f>IF(OR($A1751="",ROUND($F1751+$G1751,2)=0),"",$F1751+$G1751)</f>
        <v/>
      </c>
      <c r="I1751">
        <f>IF($H1751="","",IF(ROUND($F1751,2)&gt;0,$A1751,IF($D1751="شخصی قاسم","شخصی قاسم",IF($D1751="هزینه","هزینه: "&amp;IF($E1751="","متفرقه",$E1751),IF($C1751="پاس چک","چک پرداختی",IF(OR($B1751="",COUNTIF(AcctCodesA,$B1751)=0),"متفرقه",$B1751))))))</f>
        <v/>
      </c>
      <c r="J1751">
        <f>IF($H1751="","",IF(ROUND($F1751,2)&gt;0,IF($D1751="شخصی قاسم","شخصی قاسم",IF($D1751="هزینه","هزینه: "&amp;IF($E1751="","متفرقه",$E1751),IF(OR($B1751="",COUNTIF(AcctCodesA,$B1751)=0),"متفرقه",$B1751))),$A1751))</f>
        <v/>
      </c>
      <c r="K1751">
        <f>IF($A1751="","",IF(AND($B1751&lt;&gt;"",COUNTIF(AcctCodesA,$B1751)=0),"کد طرف در INFO تعریف نشده",IF(AND($D1751="هزینه",$E1751=""),"هزینه بدون زیرگروه",IF(AND($C1751="پاس چک",OR(Sync!$AJ1751="",COUNTIF(IssueNosA,Sync!$AJ1751)=0)),"شماره چک پاس‌شده معتبر نیست",""))))</f>
        <v/>
      </c>
      <c r="V1751">
        <f>IF($K1751="","",IF(ISNUMBER(Sync!$AK1751),Sync!$AK1751,LEFT(Sync!$AK1751,4)&amp;MID(Sync!$AK1751,6,2)&amp;RIGHT(Sync!$AK1751,2))&amp;"|"&amp;"4"&amp;RIGHT("00000"&amp;1746,5))</f>
        <v/>
      </c>
      <c r="W1751">
        <f>IF($V1751="",0,COUNTIFS($V$6:$V$2005,"&lt;"&amp;$V1751)-COUNTIFS($V$6:$V$2005,"&lt;"&amp;$V1751,$K$6:$K$2005,"")+1)</f>
        <v/>
      </c>
    </row>
    <row r="1752">
      <c r="A1752">
        <f>IF(Sync!$Z1752="","",LEFT(UPPER(TRIM(Sync!$Z1752)),6))</f>
        <v/>
      </c>
      <c r="B1752">
        <f>IF($A1752="","",IF(Sync!$AA1752="","",Sync!$AA1752))</f>
        <v/>
      </c>
      <c r="C1752">
        <f>IF($A1752="","",IF(Sync!$AB1752="","",Sync!$AB1752))</f>
        <v/>
      </c>
      <c r="D1752">
        <f>IF($A1752="","",IF(Sync!$AC1752="","",Sync!$AC1752))</f>
        <v/>
      </c>
      <c r="E1752">
        <f>IF($A1752="","",IF(Sync!$AD1752="","",Sync!$AD1752))</f>
        <v/>
      </c>
      <c r="F1752">
        <f>IF($A1752="","",IF(Sync!$AE1752="",0,Sync!$AE1752))</f>
        <v/>
      </c>
      <c r="G1752">
        <f>IF($A1752="","",IF(Sync!$AF1752="",0,Sync!$AF1752))</f>
        <v/>
      </c>
      <c r="H1752">
        <f>IF(OR($A1752="",ROUND($F1752+$G1752,2)=0),"",$F1752+$G1752)</f>
        <v/>
      </c>
      <c r="I1752">
        <f>IF($H1752="","",IF(ROUND($F1752,2)&gt;0,$A1752,IF($D1752="شخصی قاسم","شخصی قاسم",IF($D1752="هزینه","هزینه: "&amp;IF($E1752="","متفرقه",$E1752),IF($C1752="پاس چک","چک پرداختی",IF(OR($B1752="",COUNTIF(AcctCodesA,$B1752)=0),"متفرقه",$B1752))))))</f>
        <v/>
      </c>
      <c r="J1752">
        <f>IF($H1752="","",IF(ROUND($F1752,2)&gt;0,IF($D1752="شخصی قاسم","شخصی قاسم",IF($D1752="هزینه","هزینه: "&amp;IF($E1752="","متفرقه",$E1752),IF(OR($B1752="",COUNTIF(AcctCodesA,$B1752)=0),"متفرقه",$B1752))),$A1752))</f>
        <v/>
      </c>
      <c r="K1752">
        <f>IF($A1752="","",IF(AND($B1752&lt;&gt;"",COUNTIF(AcctCodesA,$B1752)=0),"کد طرف در INFO تعریف نشده",IF(AND($D1752="هزینه",$E1752=""),"هزینه بدون زیرگروه",IF(AND($C1752="پاس چک",OR(Sync!$AJ1752="",COUNTIF(IssueNosA,Sync!$AJ1752)=0)),"شماره چک پاس‌شده معتبر نیست",""))))</f>
        <v/>
      </c>
      <c r="V1752">
        <f>IF($K1752="","",IF(ISNUMBER(Sync!$AK1752),Sync!$AK1752,LEFT(Sync!$AK1752,4)&amp;MID(Sync!$AK1752,6,2)&amp;RIGHT(Sync!$AK1752,2))&amp;"|"&amp;"4"&amp;RIGHT("00000"&amp;1747,5))</f>
        <v/>
      </c>
      <c r="W1752">
        <f>IF($V1752="",0,COUNTIFS($V$6:$V$2005,"&lt;"&amp;$V1752)-COUNTIFS($V$6:$V$2005,"&lt;"&amp;$V1752,$K$6:$K$2005,"")+1)</f>
        <v/>
      </c>
    </row>
    <row r="1753">
      <c r="A1753">
        <f>IF(Sync!$Z1753="","",LEFT(UPPER(TRIM(Sync!$Z1753)),6))</f>
        <v/>
      </c>
      <c r="B1753">
        <f>IF($A1753="","",IF(Sync!$AA1753="","",Sync!$AA1753))</f>
        <v/>
      </c>
      <c r="C1753">
        <f>IF($A1753="","",IF(Sync!$AB1753="","",Sync!$AB1753))</f>
        <v/>
      </c>
      <c r="D1753">
        <f>IF($A1753="","",IF(Sync!$AC1753="","",Sync!$AC1753))</f>
        <v/>
      </c>
      <c r="E1753">
        <f>IF($A1753="","",IF(Sync!$AD1753="","",Sync!$AD1753))</f>
        <v/>
      </c>
      <c r="F1753">
        <f>IF($A1753="","",IF(Sync!$AE1753="",0,Sync!$AE1753))</f>
        <v/>
      </c>
      <c r="G1753">
        <f>IF($A1753="","",IF(Sync!$AF1753="",0,Sync!$AF1753))</f>
        <v/>
      </c>
      <c r="H1753">
        <f>IF(OR($A1753="",ROUND($F1753+$G1753,2)=0),"",$F1753+$G1753)</f>
        <v/>
      </c>
      <c r="I1753">
        <f>IF($H1753="","",IF(ROUND($F1753,2)&gt;0,$A1753,IF($D1753="شخصی قاسم","شخصی قاسم",IF($D1753="هزینه","هزینه: "&amp;IF($E1753="","متفرقه",$E1753),IF($C1753="پاس چک","چک پرداختی",IF(OR($B1753="",COUNTIF(AcctCodesA,$B1753)=0),"متفرقه",$B1753))))))</f>
        <v/>
      </c>
      <c r="J1753">
        <f>IF($H1753="","",IF(ROUND($F1753,2)&gt;0,IF($D1753="شخصی قاسم","شخصی قاسم",IF($D1753="هزینه","هزینه: "&amp;IF($E1753="","متفرقه",$E1753),IF(OR($B1753="",COUNTIF(AcctCodesA,$B1753)=0),"متفرقه",$B1753))),$A1753))</f>
        <v/>
      </c>
      <c r="K1753">
        <f>IF($A1753="","",IF(AND($B1753&lt;&gt;"",COUNTIF(AcctCodesA,$B1753)=0),"کد طرف در INFO تعریف نشده",IF(AND($D1753="هزینه",$E1753=""),"هزینه بدون زیرگروه",IF(AND($C1753="پاس چک",OR(Sync!$AJ1753="",COUNTIF(IssueNosA,Sync!$AJ1753)=0)),"شماره چک پاس‌شده معتبر نیست",""))))</f>
        <v/>
      </c>
      <c r="V1753">
        <f>IF($K1753="","",IF(ISNUMBER(Sync!$AK1753),Sync!$AK1753,LEFT(Sync!$AK1753,4)&amp;MID(Sync!$AK1753,6,2)&amp;RIGHT(Sync!$AK1753,2))&amp;"|"&amp;"4"&amp;RIGHT("00000"&amp;1748,5))</f>
        <v/>
      </c>
      <c r="W1753">
        <f>IF($V1753="",0,COUNTIFS($V$6:$V$2005,"&lt;"&amp;$V1753)-COUNTIFS($V$6:$V$2005,"&lt;"&amp;$V1753,$K$6:$K$2005,"")+1)</f>
        <v/>
      </c>
    </row>
    <row r="1754">
      <c r="A1754">
        <f>IF(Sync!$Z1754="","",LEFT(UPPER(TRIM(Sync!$Z1754)),6))</f>
        <v/>
      </c>
      <c r="B1754">
        <f>IF($A1754="","",IF(Sync!$AA1754="","",Sync!$AA1754))</f>
        <v/>
      </c>
      <c r="C1754">
        <f>IF($A1754="","",IF(Sync!$AB1754="","",Sync!$AB1754))</f>
        <v/>
      </c>
      <c r="D1754">
        <f>IF($A1754="","",IF(Sync!$AC1754="","",Sync!$AC1754))</f>
        <v/>
      </c>
      <c r="E1754">
        <f>IF($A1754="","",IF(Sync!$AD1754="","",Sync!$AD1754))</f>
        <v/>
      </c>
      <c r="F1754">
        <f>IF($A1754="","",IF(Sync!$AE1754="",0,Sync!$AE1754))</f>
        <v/>
      </c>
      <c r="G1754">
        <f>IF($A1754="","",IF(Sync!$AF1754="",0,Sync!$AF1754))</f>
        <v/>
      </c>
      <c r="H1754">
        <f>IF(OR($A1754="",ROUND($F1754+$G1754,2)=0),"",$F1754+$G1754)</f>
        <v/>
      </c>
      <c r="I1754">
        <f>IF($H1754="","",IF(ROUND($F1754,2)&gt;0,$A1754,IF($D1754="شخصی قاسم","شخصی قاسم",IF($D1754="هزینه","هزینه: "&amp;IF($E1754="","متفرقه",$E1754),IF($C1754="پاس چک","چک پرداختی",IF(OR($B1754="",COUNTIF(AcctCodesA,$B1754)=0),"متفرقه",$B1754))))))</f>
        <v/>
      </c>
      <c r="J1754">
        <f>IF($H1754="","",IF(ROUND($F1754,2)&gt;0,IF($D1754="شخصی قاسم","شخصی قاسم",IF($D1754="هزینه","هزینه: "&amp;IF($E1754="","متفرقه",$E1754),IF(OR($B1754="",COUNTIF(AcctCodesA,$B1754)=0),"متفرقه",$B1754))),$A1754))</f>
        <v/>
      </c>
      <c r="K1754">
        <f>IF($A1754="","",IF(AND($B1754&lt;&gt;"",COUNTIF(AcctCodesA,$B1754)=0),"کد طرف در INFO تعریف نشده",IF(AND($D1754="هزینه",$E1754=""),"هزینه بدون زیرگروه",IF(AND($C1754="پاس چک",OR(Sync!$AJ1754="",COUNTIF(IssueNosA,Sync!$AJ1754)=0)),"شماره چک پاس‌شده معتبر نیست",""))))</f>
        <v/>
      </c>
      <c r="V1754">
        <f>IF($K1754="","",IF(ISNUMBER(Sync!$AK1754),Sync!$AK1754,LEFT(Sync!$AK1754,4)&amp;MID(Sync!$AK1754,6,2)&amp;RIGHT(Sync!$AK1754,2))&amp;"|"&amp;"4"&amp;RIGHT("00000"&amp;1749,5))</f>
        <v/>
      </c>
      <c r="W1754">
        <f>IF($V1754="",0,COUNTIFS($V$6:$V$2005,"&lt;"&amp;$V1754)-COUNTIFS($V$6:$V$2005,"&lt;"&amp;$V1754,$K$6:$K$2005,"")+1)</f>
        <v/>
      </c>
    </row>
    <row r="1755">
      <c r="A1755">
        <f>IF(Sync!$Z1755="","",LEFT(UPPER(TRIM(Sync!$Z1755)),6))</f>
        <v/>
      </c>
      <c r="B1755">
        <f>IF($A1755="","",IF(Sync!$AA1755="","",Sync!$AA1755))</f>
        <v/>
      </c>
      <c r="C1755">
        <f>IF($A1755="","",IF(Sync!$AB1755="","",Sync!$AB1755))</f>
        <v/>
      </c>
      <c r="D1755">
        <f>IF($A1755="","",IF(Sync!$AC1755="","",Sync!$AC1755))</f>
        <v/>
      </c>
      <c r="E1755">
        <f>IF($A1755="","",IF(Sync!$AD1755="","",Sync!$AD1755))</f>
        <v/>
      </c>
      <c r="F1755">
        <f>IF($A1755="","",IF(Sync!$AE1755="",0,Sync!$AE1755))</f>
        <v/>
      </c>
      <c r="G1755">
        <f>IF($A1755="","",IF(Sync!$AF1755="",0,Sync!$AF1755))</f>
        <v/>
      </c>
      <c r="H1755">
        <f>IF(OR($A1755="",ROUND($F1755+$G1755,2)=0),"",$F1755+$G1755)</f>
        <v/>
      </c>
      <c r="I1755">
        <f>IF($H1755="","",IF(ROUND($F1755,2)&gt;0,$A1755,IF($D1755="شخصی قاسم","شخصی قاسم",IF($D1755="هزینه","هزینه: "&amp;IF($E1755="","متفرقه",$E1755),IF($C1755="پاس چک","چک پرداختی",IF(OR($B1755="",COUNTIF(AcctCodesA,$B1755)=0),"متفرقه",$B1755))))))</f>
        <v/>
      </c>
      <c r="J1755">
        <f>IF($H1755="","",IF(ROUND($F1755,2)&gt;0,IF($D1755="شخصی قاسم","شخصی قاسم",IF($D1755="هزینه","هزینه: "&amp;IF($E1755="","متفرقه",$E1755),IF(OR($B1755="",COUNTIF(AcctCodesA,$B1755)=0),"متفرقه",$B1755))),$A1755))</f>
        <v/>
      </c>
      <c r="K1755">
        <f>IF($A1755="","",IF(AND($B1755&lt;&gt;"",COUNTIF(AcctCodesA,$B1755)=0),"کد طرف در INFO تعریف نشده",IF(AND($D1755="هزینه",$E1755=""),"هزینه بدون زیرگروه",IF(AND($C1755="پاس چک",OR(Sync!$AJ1755="",COUNTIF(IssueNosA,Sync!$AJ1755)=0)),"شماره چک پاس‌شده معتبر نیست",""))))</f>
        <v/>
      </c>
      <c r="V1755">
        <f>IF($K1755="","",IF(ISNUMBER(Sync!$AK1755),Sync!$AK1755,LEFT(Sync!$AK1755,4)&amp;MID(Sync!$AK1755,6,2)&amp;RIGHT(Sync!$AK1755,2))&amp;"|"&amp;"4"&amp;RIGHT("00000"&amp;1750,5))</f>
        <v/>
      </c>
      <c r="W1755">
        <f>IF($V1755="",0,COUNTIFS($V$6:$V$2005,"&lt;"&amp;$V1755)-COUNTIFS($V$6:$V$2005,"&lt;"&amp;$V1755,$K$6:$K$2005,"")+1)</f>
        <v/>
      </c>
    </row>
    <row r="1756">
      <c r="A1756">
        <f>IF(Sync!$Z1756="","",LEFT(UPPER(TRIM(Sync!$Z1756)),6))</f>
        <v/>
      </c>
      <c r="B1756">
        <f>IF($A1756="","",IF(Sync!$AA1756="","",Sync!$AA1756))</f>
        <v/>
      </c>
      <c r="C1756">
        <f>IF($A1756="","",IF(Sync!$AB1756="","",Sync!$AB1756))</f>
        <v/>
      </c>
      <c r="D1756">
        <f>IF($A1756="","",IF(Sync!$AC1756="","",Sync!$AC1756))</f>
        <v/>
      </c>
      <c r="E1756">
        <f>IF($A1756="","",IF(Sync!$AD1756="","",Sync!$AD1756))</f>
        <v/>
      </c>
      <c r="F1756">
        <f>IF($A1756="","",IF(Sync!$AE1756="",0,Sync!$AE1756))</f>
        <v/>
      </c>
      <c r="G1756">
        <f>IF($A1756="","",IF(Sync!$AF1756="",0,Sync!$AF1756))</f>
        <v/>
      </c>
      <c r="H1756">
        <f>IF(OR($A1756="",ROUND($F1756+$G1756,2)=0),"",$F1756+$G1756)</f>
        <v/>
      </c>
      <c r="I1756">
        <f>IF($H1756="","",IF(ROUND($F1756,2)&gt;0,$A1756,IF($D1756="شخصی قاسم","شخصی قاسم",IF($D1756="هزینه","هزینه: "&amp;IF($E1756="","متفرقه",$E1756),IF($C1756="پاس چک","چک پرداختی",IF(OR($B1756="",COUNTIF(AcctCodesA,$B1756)=0),"متفرقه",$B1756))))))</f>
        <v/>
      </c>
      <c r="J1756">
        <f>IF($H1756="","",IF(ROUND($F1756,2)&gt;0,IF($D1756="شخصی قاسم","شخصی قاسم",IF($D1756="هزینه","هزینه: "&amp;IF($E1756="","متفرقه",$E1756),IF(OR($B1756="",COUNTIF(AcctCodesA,$B1756)=0),"متفرقه",$B1756))),$A1756))</f>
        <v/>
      </c>
      <c r="K1756">
        <f>IF($A1756="","",IF(AND($B1756&lt;&gt;"",COUNTIF(AcctCodesA,$B1756)=0),"کد طرف در INFO تعریف نشده",IF(AND($D1756="هزینه",$E1756=""),"هزینه بدون زیرگروه",IF(AND($C1756="پاس چک",OR(Sync!$AJ1756="",COUNTIF(IssueNosA,Sync!$AJ1756)=0)),"شماره چک پاس‌شده معتبر نیست",""))))</f>
        <v/>
      </c>
      <c r="V1756">
        <f>IF($K1756="","",IF(ISNUMBER(Sync!$AK1756),Sync!$AK1756,LEFT(Sync!$AK1756,4)&amp;MID(Sync!$AK1756,6,2)&amp;RIGHT(Sync!$AK1756,2))&amp;"|"&amp;"4"&amp;RIGHT("00000"&amp;1751,5))</f>
        <v/>
      </c>
      <c r="W1756">
        <f>IF($V1756="",0,COUNTIFS($V$6:$V$2005,"&lt;"&amp;$V1756)-COUNTIFS($V$6:$V$2005,"&lt;"&amp;$V1756,$K$6:$K$2005,"")+1)</f>
        <v/>
      </c>
    </row>
    <row r="1757">
      <c r="A1757">
        <f>IF(Sync!$Z1757="","",LEFT(UPPER(TRIM(Sync!$Z1757)),6))</f>
        <v/>
      </c>
      <c r="B1757">
        <f>IF($A1757="","",IF(Sync!$AA1757="","",Sync!$AA1757))</f>
        <v/>
      </c>
      <c r="C1757">
        <f>IF($A1757="","",IF(Sync!$AB1757="","",Sync!$AB1757))</f>
        <v/>
      </c>
      <c r="D1757">
        <f>IF($A1757="","",IF(Sync!$AC1757="","",Sync!$AC1757))</f>
        <v/>
      </c>
      <c r="E1757">
        <f>IF($A1757="","",IF(Sync!$AD1757="","",Sync!$AD1757))</f>
        <v/>
      </c>
      <c r="F1757">
        <f>IF($A1757="","",IF(Sync!$AE1757="",0,Sync!$AE1757))</f>
        <v/>
      </c>
      <c r="G1757">
        <f>IF($A1757="","",IF(Sync!$AF1757="",0,Sync!$AF1757))</f>
        <v/>
      </c>
      <c r="H1757">
        <f>IF(OR($A1757="",ROUND($F1757+$G1757,2)=0),"",$F1757+$G1757)</f>
        <v/>
      </c>
      <c r="I1757">
        <f>IF($H1757="","",IF(ROUND($F1757,2)&gt;0,$A1757,IF($D1757="شخصی قاسم","شخصی قاسم",IF($D1757="هزینه","هزینه: "&amp;IF($E1757="","متفرقه",$E1757),IF($C1757="پاس چک","چک پرداختی",IF(OR($B1757="",COUNTIF(AcctCodesA,$B1757)=0),"متفرقه",$B1757))))))</f>
        <v/>
      </c>
      <c r="J1757">
        <f>IF($H1757="","",IF(ROUND($F1757,2)&gt;0,IF($D1757="شخصی قاسم","شخصی قاسم",IF($D1757="هزینه","هزینه: "&amp;IF($E1757="","متفرقه",$E1757),IF(OR($B1757="",COUNTIF(AcctCodesA,$B1757)=0),"متفرقه",$B1757))),$A1757))</f>
        <v/>
      </c>
      <c r="K1757">
        <f>IF($A1757="","",IF(AND($B1757&lt;&gt;"",COUNTIF(AcctCodesA,$B1757)=0),"کد طرف در INFO تعریف نشده",IF(AND($D1757="هزینه",$E1757=""),"هزینه بدون زیرگروه",IF(AND($C1757="پاس چک",OR(Sync!$AJ1757="",COUNTIF(IssueNosA,Sync!$AJ1757)=0)),"شماره چک پاس‌شده معتبر نیست",""))))</f>
        <v/>
      </c>
      <c r="V1757">
        <f>IF($K1757="","",IF(ISNUMBER(Sync!$AK1757),Sync!$AK1757,LEFT(Sync!$AK1757,4)&amp;MID(Sync!$AK1757,6,2)&amp;RIGHT(Sync!$AK1757,2))&amp;"|"&amp;"4"&amp;RIGHT("00000"&amp;1752,5))</f>
        <v/>
      </c>
      <c r="W1757">
        <f>IF($V1757="",0,COUNTIFS($V$6:$V$2005,"&lt;"&amp;$V1757)-COUNTIFS($V$6:$V$2005,"&lt;"&amp;$V1757,$K$6:$K$2005,"")+1)</f>
        <v/>
      </c>
    </row>
    <row r="1758">
      <c r="A1758">
        <f>IF(Sync!$Z1758="","",LEFT(UPPER(TRIM(Sync!$Z1758)),6))</f>
        <v/>
      </c>
      <c r="B1758">
        <f>IF($A1758="","",IF(Sync!$AA1758="","",Sync!$AA1758))</f>
        <v/>
      </c>
      <c r="C1758">
        <f>IF($A1758="","",IF(Sync!$AB1758="","",Sync!$AB1758))</f>
        <v/>
      </c>
      <c r="D1758">
        <f>IF($A1758="","",IF(Sync!$AC1758="","",Sync!$AC1758))</f>
        <v/>
      </c>
      <c r="E1758">
        <f>IF($A1758="","",IF(Sync!$AD1758="","",Sync!$AD1758))</f>
        <v/>
      </c>
      <c r="F1758">
        <f>IF($A1758="","",IF(Sync!$AE1758="",0,Sync!$AE1758))</f>
        <v/>
      </c>
      <c r="G1758">
        <f>IF($A1758="","",IF(Sync!$AF1758="",0,Sync!$AF1758))</f>
        <v/>
      </c>
      <c r="H1758">
        <f>IF(OR($A1758="",ROUND($F1758+$G1758,2)=0),"",$F1758+$G1758)</f>
        <v/>
      </c>
      <c r="I1758">
        <f>IF($H1758="","",IF(ROUND($F1758,2)&gt;0,$A1758,IF($D1758="شخصی قاسم","شخصی قاسم",IF($D1758="هزینه","هزینه: "&amp;IF($E1758="","متفرقه",$E1758),IF($C1758="پاس چک","چک پرداختی",IF(OR($B1758="",COUNTIF(AcctCodesA,$B1758)=0),"متفرقه",$B1758))))))</f>
        <v/>
      </c>
      <c r="J1758">
        <f>IF($H1758="","",IF(ROUND($F1758,2)&gt;0,IF($D1758="شخصی قاسم","شخصی قاسم",IF($D1758="هزینه","هزینه: "&amp;IF($E1758="","متفرقه",$E1758),IF(OR($B1758="",COUNTIF(AcctCodesA,$B1758)=0),"متفرقه",$B1758))),$A1758))</f>
        <v/>
      </c>
      <c r="K1758">
        <f>IF($A1758="","",IF(AND($B1758&lt;&gt;"",COUNTIF(AcctCodesA,$B1758)=0),"کد طرف در INFO تعریف نشده",IF(AND($D1758="هزینه",$E1758=""),"هزینه بدون زیرگروه",IF(AND($C1758="پاس چک",OR(Sync!$AJ1758="",COUNTIF(IssueNosA,Sync!$AJ1758)=0)),"شماره چک پاس‌شده معتبر نیست",""))))</f>
        <v/>
      </c>
      <c r="V1758">
        <f>IF($K1758="","",IF(ISNUMBER(Sync!$AK1758),Sync!$AK1758,LEFT(Sync!$AK1758,4)&amp;MID(Sync!$AK1758,6,2)&amp;RIGHT(Sync!$AK1758,2))&amp;"|"&amp;"4"&amp;RIGHT("00000"&amp;1753,5))</f>
        <v/>
      </c>
      <c r="W1758">
        <f>IF($V1758="",0,COUNTIFS($V$6:$V$2005,"&lt;"&amp;$V1758)-COUNTIFS($V$6:$V$2005,"&lt;"&amp;$V1758,$K$6:$K$2005,"")+1)</f>
        <v/>
      </c>
    </row>
    <row r="1759">
      <c r="A1759">
        <f>IF(Sync!$Z1759="","",LEFT(UPPER(TRIM(Sync!$Z1759)),6))</f>
        <v/>
      </c>
      <c r="B1759">
        <f>IF($A1759="","",IF(Sync!$AA1759="","",Sync!$AA1759))</f>
        <v/>
      </c>
      <c r="C1759">
        <f>IF($A1759="","",IF(Sync!$AB1759="","",Sync!$AB1759))</f>
        <v/>
      </c>
      <c r="D1759">
        <f>IF($A1759="","",IF(Sync!$AC1759="","",Sync!$AC1759))</f>
        <v/>
      </c>
      <c r="E1759">
        <f>IF($A1759="","",IF(Sync!$AD1759="","",Sync!$AD1759))</f>
        <v/>
      </c>
      <c r="F1759">
        <f>IF($A1759="","",IF(Sync!$AE1759="",0,Sync!$AE1759))</f>
        <v/>
      </c>
      <c r="G1759">
        <f>IF($A1759="","",IF(Sync!$AF1759="",0,Sync!$AF1759))</f>
        <v/>
      </c>
      <c r="H1759">
        <f>IF(OR($A1759="",ROUND($F1759+$G1759,2)=0),"",$F1759+$G1759)</f>
        <v/>
      </c>
      <c r="I1759">
        <f>IF($H1759="","",IF(ROUND($F1759,2)&gt;0,$A1759,IF($D1759="شخصی قاسم","شخصی قاسم",IF($D1759="هزینه","هزینه: "&amp;IF($E1759="","متفرقه",$E1759),IF($C1759="پاس چک","چک پرداختی",IF(OR($B1759="",COUNTIF(AcctCodesA,$B1759)=0),"متفرقه",$B1759))))))</f>
        <v/>
      </c>
      <c r="J1759">
        <f>IF($H1759="","",IF(ROUND($F1759,2)&gt;0,IF($D1759="شخصی قاسم","شخصی قاسم",IF($D1759="هزینه","هزینه: "&amp;IF($E1759="","متفرقه",$E1759),IF(OR($B1759="",COUNTIF(AcctCodesA,$B1759)=0),"متفرقه",$B1759))),$A1759))</f>
        <v/>
      </c>
      <c r="K1759">
        <f>IF($A1759="","",IF(AND($B1759&lt;&gt;"",COUNTIF(AcctCodesA,$B1759)=0),"کد طرف در INFO تعریف نشده",IF(AND($D1759="هزینه",$E1759=""),"هزینه بدون زیرگروه",IF(AND($C1759="پاس چک",OR(Sync!$AJ1759="",COUNTIF(IssueNosA,Sync!$AJ1759)=0)),"شماره چک پاس‌شده معتبر نیست",""))))</f>
        <v/>
      </c>
      <c r="V1759">
        <f>IF($K1759="","",IF(ISNUMBER(Sync!$AK1759),Sync!$AK1759,LEFT(Sync!$AK1759,4)&amp;MID(Sync!$AK1759,6,2)&amp;RIGHT(Sync!$AK1759,2))&amp;"|"&amp;"4"&amp;RIGHT("00000"&amp;1754,5))</f>
        <v/>
      </c>
      <c r="W1759">
        <f>IF($V1759="",0,COUNTIFS($V$6:$V$2005,"&lt;"&amp;$V1759)-COUNTIFS($V$6:$V$2005,"&lt;"&amp;$V1759,$K$6:$K$2005,"")+1)</f>
        <v/>
      </c>
    </row>
    <row r="1760">
      <c r="A1760">
        <f>IF(Sync!$Z1760="","",LEFT(UPPER(TRIM(Sync!$Z1760)),6))</f>
        <v/>
      </c>
      <c r="B1760">
        <f>IF($A1760="","",IF(Sync!$AA1760="","",Sync!$AA1760))</f>
        <v/>
      </c>
      <c r="C1760">
        <f>IF($A1760="","",IF(Sync!$AB1760="","",Sync!$AB1760))</f>
        <v/>
      </c>
      <c r="D1760">
        <f>IF($A1760="","",IF(Sync!$AC1760="","",Sync!$AC1760))</f>
        <v/>
      </c>
      <c r="E1760">
        <f>IF($A1760="","",IF(Sync!$AD1760="","",Sync!$AD1760))</f>
        <v/>
      </c>
      <c r="F1760">
        <f>IF($A1760="","",IF(Sync!$AE1760="",0,Sync!$AE1760))</f>
        <v/>
      </c>
      <c r="G1760">
        <f>IF($A1760="","",IF(Sync!$AF1760="",0,Sync!$AF1760))</f>
        <v/>
      </c>
      <c r="H1760">
        <f>IF(OR($A1760="",ROUND($F1760+$G1760,2)=0),"",$F1760+$G1760)</f>
        <v/>
      </c>
      <c r="I1760">
        <f>IF($H1760="","",IF(ROUND($F1760,2)&gt;0,$A1760,IF($D1760="شخصی قاسم","شخصی قاسم",IF($D1760="هزینه","هزینه: "&amp;IF($E1760="","متفرقه",$E1760),IF($C1760="پاس چک","چک پرداختی",IF(OR($B1760="",COUNTIF(AcctCodesA,$B1760)=0),"متفرقه",$B1760))))))</f>
        <v/>
      </c>
      <c r="J1760">
        <f>IF($H1760="","",IF(ROUND($F1760,2)&gt;0,IF($D1760="شخصی قاسم","شخصی قاسم",IF($D1760="هزینه","هزینه: "&amp;IF($E1760="","متفرقه",$E1760),IF(OR($B1760="",COUNTIF(AcctCodesA,$B1760)=0),"متفرقه",$B1760))),$A1760))</f>
        <v/>
      </c>
      <c r="K1760">
        <f>IF($A1760="","",IF(AND($B1760&lt;&gt;"",COUNTIF(AcctCodesA,$B1760)=0),"کد طرف در INFO تعریف نشده",IF(AND($D1760="هزینه",$E1760=""),"هزینه بدون زیرگروه",IF(AND($C1760="پاس چک",OR(Sync!$AJ1760="",COUNTIF(IssueNosA,Sync!$AJ1760)=0)),"شماره چک پاس‌شده معتبر نیست",""))))</f>
        <v/>
      </c>
      <c r="V1760">
        <f>IF($K1760="","",IF(ISNUMBER(Sync!$AK1760),Sync!$AK1760,LEFT(Sync!$AK1760,4)&amp;MID(Sync!$AK1760,6,2)&amp;RIGHT(Sync!$AK1760,2))&amp;"|"&amp;"4"&amp;RIGHT("00000"&amp;1755,5))</f>
        <v/>
      </c>
      <c r="W1760">
        <f>IF($V1760="",0,COUNTIFS($V$6:$V$2005,"&lt;"&amp;$V1760)-COUNTIFS($V$6:$V$2005,"&lt;"&amp;$V1760,$K$6:$K$2005,"")+1)</f>
        <v/>
      </c>
    </row>
    <row r="1761">
      <c r="A1761">
        <f>IF(Sync!$Z1761="","",LEFT(UPPER(TRIM(Sync!$Z1761)),6))</f>
        <v/>
      </c>
      <c r="B1761">
        <f>IF($A1761="","",IF(Sync!$AA1761="","",Sync!$AA1761))</f>
        <v/>
      </c>
      <c r="C1761">
        <f>IF($A1761="","",IF(Sync!$AB1761="","",Sync!$AB1761))</f>
        <v/>
      </c>
      <c r="D1761">
        <f>IF($A1761="","",IF(Sync!$AC1761="","",Sync!$AC1761))</f>
        <v/>
      </c>
      <c r="E1761">
        <f>IF($A1761="","",IF(Sync!$AD1761="","",Sync!$AD1761))</f>
        <v/>
      </c>
      <c r="F1761">
        <f>IF($A1761="","",IF(Sync!$AE1761="",0,Sync!$AE1761))</f>
        <v/>
      </c>
      <c r="G1761">
        <f>IF($A1761="","",IF(Sync!$AF1761="",0,Sync!$AF1761))</f>
        <v/>
      </c>
      <c r="H1761">
        <f>IF(OR($A1761="",ROUND($F1761+$G1761,2)=0),"",$F1761+$G1761)</f>
        <v/>
      </c>
      <c r="I1761">
        <f>IF($H1761="","",IF(ROUND($F1761,2)&gt;0,$A1761,IF($D1761="شخصی قاسم","شخصی قاسم",IF($D1761="هزینه","هزینه: "&amp;IF($E1761="","متفرقه",$E1761),IF($C1761="پاس چک","چک پرداختی",IF(OR($B1761="",COUNTIF(AcctCodesA,$B1761)=0),"متفرقه",$B1761))))))</f>
        <v/>
      </c>
      <c r="J1761">
        <f>IF($H1761="","",IF(ROUND($F1761,2)&gt;0,IF($D1761="شخصی قاسم","شخصی قاسم",IF($D1761="هزینه","هزینه: "&amp;IF($E1761="","متفرقه",$E1761),IF(OR($B1761="",COUNTIF(AcctCodesA,$B1761)=0),"متفرقه",$B1761))),$A1761))</f>
        <v/>
      </c>
      <c r="K1761">
        <f>IF($A1761="","",IF(AND($B1761&lt;&gt;"",COUNTIF(AcctCodesA,$B1761)=0),"کد طرف در INFO تعریف نشده",IF(AND($D1761="هزینه",$E1761=""),"هزینه بدون زیرگروه",IF(AND($C1761="پاس چک",OR(Sync!$AJ1761="",COUNTIF(IssueNosA,Sync!$AJ1761)=0)),"شماره چک پاس‌شده معتبر نیست",""))))</f>
        <v/>
      </c>
      <c r="V1761">
        <f>IF($K1761="","",IF(ISNUMBER(Sync!$AK1761),Sync!$AK1761,LEFT(Sync!$AK1761,4)&amp;MID(Sync!$AK1761,6,2)&amp;RIGHT(Sync!$AK1761,2))&amp;"|"&amp;"4"&amp;RIGHT("00000"&amp;1756,5))</f>
        <v/>
      </c>
      <c r="W1761">
        <f>IF($V1761="",0,COUNTIFS($V$6:$V$2005,"&lt;"&amp;$V1761)-COUNTIFS($V$6:$V$2005,"&lt;"&amp;$V1761,$K$6:$K$2005,"")+1)</f>
        <v/>
      </c>
    </row>
    <row r="1762">
      <c r="A1762">
        <f>IF(Sync!$Z1762="","",LEFT(UPPER(TRIM(Sync!$Z1762)),6))</f>
        <v/>
      </c>
      <c r="B1762">
        <f>IF($A1762="","",IF(Sync!$AA1762="","",Sync!$AA1762))</f>
        <v/>
      </c>
      <c r="C1762">
        <f>IF($A1762="","",IF(Sync!$AB1762="","",Sync!$AB1762))</f>
        <v/>
      </c>
      <c r="D1762">
        <f>IF($A1762="","",IF(Sync!$AC1762="","",Sync!$AC1762))</f>
        <v/>
      </c>
      <c r="E1762">
        <f>IF($A1762="","",IF(Sync!$AD1762="","",Sync!$AD1762))</f>
        <v/>
      </c>
      <c r="F1762">
        <f>IF($A1762="","",IF(Sync!$AE1762="",0,Sync!$AE1762))</f>
        <v/>
      </c>
      <c r="G1762">
        <f>IF($A1762="","",IF(Sync!$AF1762="",0,Sync!$AF1762))</f>
        <v/>
      </c>
      <c r="H1762">
        <f>IF(OR($A1762="",ROUND($F1762+$G1762,2)=0),"",$F1762+$G1762)</f>
        <v/>
      </c>
      <c r="I1762">
        <f>IF($H1762="","",IF(ROUND($F1762,2)&gt;0,$A1762,IF($D1762="شخصی قاسم","شخصی قاسم",IF($D1762="هزینه","هزینه: "&amp;IF($E1762="","متفرقه",$E1762),IF($C1762="پاس چک","چک پرداختی",IF(OR($B1762="",COUNTIF(AcctCodesA,$B1762)=0),"متفرقه",$B1762))))))</f>
        <v/>
      </c>
      <c r="J1762">
        <f>IF($H1762="","",IF(ROUND($F1762,2)&gt;0,IF($D1762="شخصی قاسم","شخصی قاسم",IF($D1762="هزینه","هزینه: "&amp;IF($E1762="","متفرقه",$E1762),IF(OR($B1762="",COUNTIF(AcctCodesA,$B1762)=0),"متفرقه",$B1762))),$A1762))</f>
        <v/>
      </c>
      <c r="K1762">
        <f>IF($A1762="","",IF(AND($B1762&lt;&gt;"",COUNTIF(AcctCodesA,$B1762)=0),"کد طرف در INFO تعریف نشده",IF(AND($D1762="هزینه",$E1762=""),"هزینه بدون زیرگروه",IF(AND($C1762="پاس چک",OR(Sync!$AJ1762="",COUNTIF(IssueNosA,Sync!$AJ1762)=0)),"شماره چک پاس‌شده معتبر نیست",""))))</f>
        <v/>
      </c>
      <c r="V1762">
        <f>IF($K1762="","",IF(ISNUMBER(Sync!$AK1762),Sync!$AK1762,LEFT(Sync!$AK1762,4)&amp;MID(Sync!$AK1762,6,2)&amp;RIGHT(Sync!$AK1762,2))&amp;"|"&amp;"4"&amp;RIGHT("00000"&amp;1757,5))</f>
        <v/>
      </c>
      <c r="W1762">
        <f>IF($V1762="",0,COUNTIFS($V$6:$V$2005,"&lt;"&amp;$V1762)-COUNTIFS($V$6:$V$2005,"&lt;"&amp;$V1762,$K$6:$K$2005,"")+1)</f>
        <v/>
      </c>
    </row>
    <row r="1763">
      <c r="A1763">
        <f>IF(Sync!$Z1763="","",LEFT(UPPER(TRIM(Sync!$Z1763)),6))</f>
        <v/>
      </c>
      <c r="B1763">
        <f>IF($A1763="","",IF(Sync!$AA1763="","",Sync!$AA1763))</f>
        <v/>
      </c>
      <c r="C1763">
        <f>IF($A1763="","",IF(Sync!$AB1763="","",Sync!$AB1763))</f>
        <v/>
      </c>
      <c r="D1763">
        <f>IF($A1763="","",IF(Sync!$AC1763="","",Sync!$AC1763))</f>
        <v/>
      </c>
      <c r="E1763">
        <f>IF($A1763="","",IF(Sync!$AD1763="","",Sync!$AD1763))</f>
        <v/>
      </c>
      <c r="F1763">
        <f>IF($A1763="","",IF(Sync!$AE1763="",0,Sync!$AE1763))</f>
        <v/>
      </c>
      <c r="G1763">
        <f>IF($A1763="","",IF(Sync!$AF1763="",0,Sync!$AF1763))</f>
        <v/>
      </c>
      <c r="H1763">
        <f>IF(OR($A1763="",ROUND($F1763+$G1763,2)=0),"",$F1763+$G1763)</f>
        <v/>
      </c>
      <c r="I1763">
        <f>IF($H1763="","",IF(ROUND($F1763,2)&gt;0,$A1763,IF($D1763="شخصی قاسم","شخصی قاسم",IF($D1763="هزینه","هزینه: "&amp;IF($E1763="","متفرقه",$E1763),IF($C1763="پاس چک","چک پرداختی",IF(OR($B1763="",COUNTIF(AcctCodesA,$B1763)=0),"متفرقه",$B1763))))))</f>
        <v/>
      </c>
      <c r="J1763">
        <f>IF($H1763="","",IF(ROUND($F1763,2)&gt;0,IF($D1763="شخصی قاسم","شخصی قاسم",IF($D1763="هزینه","هزینه: "&amp;IF($E1763="","متفرقه",$E1763),IF(OR($B1763="",COUNTIF(AcctCodesA,$B1763)=0),"متفرقه",$B1763))),$A1763))</f>
        <v/>
      </c>
      <c r="K1763">
        <f>IF($A1763="","",IF(AND($B1763&lt;&gt;"",COUNTIF(AcctCodesA,$B1763)=0),"کد طرف در INFO تعریف نشده",IF(AND($D1763="هزینه",$E1763=""),"هزینه بدون زیرگروه",IF(AND($C1763="پاس چک",OR(Sync!$AJ1763="",COUNTIF(IssueNosA,Sync!$AJ1763)=0)),"شماره چک پاس‌شده معتبر نیست",""))))</f>
        <v/>
      </c>
      <c r="V1763">
        <f>IF($K1763="","",IF(ISNUMBER(Sync!$AK1763),Sync!$AK1763,LEFT(Sync!$AK1763,4)&amp;MID(Sync!$AK1763,6,2)&amp;RIGHT(Sync!$AK1763,2))&amp;"|"&amp;"4"&amp;RIGHT("00000"&amp;1758,5))</f>
        <v/>
      </c>
      <c r="W1763">
        <f>IF($V1763="",0,COUNTIFS($V$6:$V$2005,"&lt;"&amp;$V1763)-COUNTIFS($V$6:$V$2005,"&lt;"&amp;$V1763,$K$6:$K$2005,"")+1)</f>
        <v/>
      </c>
    </row>
    <row r="1764">
      <c r="A1764">
        <f>IF(Sync!$Z1764="","",LEFT(UPPER(TRIM(Sync!$Z1764)),6))</f>
        <v/>
      </c>
      <c r="B1764">
        <f>IF($A1764="","",IF(Sync!$AA1764="","",Sync!$AA1764))</f>
        <v/>
      </c>
      <c r="C1764">
        <f>IF($A1764="","",IF(Sync!$AB1764="","",Sync!$AB1764))</f>
        <v/>
      </c>
      <c r="D1764">
        <f>IF($A1764="","",IF(Sync!$AC1764="","",Sync!$AC1764))</f>
        <v/>
      </c>
      <c r="E1764">
        <f>IF($A1764="","",IF(Sync!$AD1764="","",Sync!$AD1764))</f>
        <v/>
      </c>
      <c r="F1764">
        <f>IF($A1764="","",IF(Sync!$AE1764="",0,Sync!$AE1764))</f>
        <v/>
      </c>
      <c r="G1764">
        <f>IF($A1764="","",IF(Sync!$AF1764="",0,Sync!$AF1764))</f>
        <v/>
      </c>
      <c r="H1764">
        <f>IF(OR($A1764="",ROUND($F1764+$G1764,2)=0),"",$F1764+$G1764)</f>
        <v/>
      </c>
      <c r="I1764">
        <f>IF($H1764="","",IF(ROUND($F1764,2)&gt;0,$A1764,IF($D1764="شخصی قاسم","شخصی قاسم",IF($D1764="هزینه","هزینه: "&amp;IF($E1764="","متفرقه",$E1764),IF($C1764="پاس چک","چک پرداختی",IF(OR($B1764="",COUNTIF(AcctCodesA,$B1764)=0),"متفرقه",$B1764))))))</f>
        <v/>
      </c>
      <c r="J1764">
        <f>IF($H1764="","",IF(ROUND($F1764,2)&gt;0,IF($D1764="شخصی قاسم","شخصی قاسم",IF($D1764="هزینه","هزینه: "&amp;IF($E1764="","متفرقه",$E1764),IF(OR($B1764="",COUNTIF(AcctCodesA,$B1764)=0),"متفرقه",$B1764))),$A1764))</f>
        <v/>
      </c>
      <c r="K1764">
        <f>IF($A1764="","",IF(AND($B1764&lt;&gt;"",COUNTIF(AcctCodesA,$B1764)=0),"کد طرف در INFO تعریف نشده",IF(AND($D1764="هزینه",$E1764=""),"هزینه بدون زیرگروه",IF(AND($C1764="پاس چک",OR(Sync!$AJ1764="",COUNTIF(IssueNosA,Sync!$AJ1764)=0)),"شماره چک پاس‌شده معتبر نیست",""))))</f>
        <v/>
      </c>
      <c r="V1764">
        <f>IF($K1764="","",IF(ISNUMBER(Sync!$AK1764),Sync!$AK1764,LEFT(Sync!$AK1764,4)&amp;MID(Sync!$AK1764,6,2)&amp;RIGHT(Sync!$AK1764,2))&amp;"|"&amp;"4"&amp;RIGHT("00000"&amp;1759,5))</f>
        <v/>
      </c>
      <c r="W1764">
        <f>IF($V1764="",0,COUNTIFS($V$6:$V$2005,"&lt;"&amp;$V1764)-COUNTIFS($V$6:$V$2005,"&lt;"&amp;$V1764,$K$6:$K$2005,"")+1)</f>
        <v/>
      </c>
    </row>
    <row r="1765">
      <c r="A1765">
        <f>IF(Sync!$Z1765="","",LEFT(UPPER(TRIM(Sync!$Z1765)),6))</f>
        <v/>
      </c>
      <c r="B1765">
        <f>IF($A1765="","",IF(Sync!$AA1765="","",Sync!$AA1765))</f>
        <v/>
      </c>
      <c r="C1765">
        <f>IF($A1765="","",IF(Sync!$AB1765="","",Sync!$AB1765))</f>
        <v/>
      </c>
      <c r="D1765">
        <f>IF($A1765="","",IF(Sync!$AC1765="","",Sync!$AC1765))</f>
        <v/>
      </c>
      <c r="E1765">
        <f>IF($A1765="","",IF(Sync!$AD1765="","",Sync!$AD1765))</f>
        <v/>
      </c>
      <c r="F1765">
        <f>IF($A1765="","",IF(Sync!$AE1765="",0,Sync!$AE1765))</f>
        <v/>
      </c>
      <c r="G1765">
        <f>IF($A1765="","",IF(Sync!$AF1765="",0,Sync!$AF1765))</f>
        <v/>
      </c>
      <c r="H1765">
        <f>IF(OR($A1765="",ROUND($F1765+$G1765,2)=0),"",$F1765+$G1765)</f>
        <v/>
      </c>
      <c r="I1765">
        <f>IF($H1765="","",IF(ROUND($F1765,2)&gt;0,$A1765,IF($D1765="شخصی قاسم","شخصی قاسم",IF($D1765="هزینه","هزینه: "&amp;IF($E1765="","متفرقه",$E1765),IF($C1765="پاس چک","چک پرداختی",IF(OR($B1765="",COUNTIF(AcctCodesA,$B1765)=0),"متفرقه",$B1765))))))</f>
        <v/>
      </c>
      <c r="J1765">
        <f>IF($H1765="","",IF(ROUND($F1765,2)&gt;0,IF($D1765="شخصی قاسم","شخصی قاسم",IF($D1765="هزینه","هزینه: "&amp;IF($E1765="","متفرقه",$E1765),IF(OR($B1765="",COUNTIF(AcctCodesA,$B1765)=0),"متفرقه",$B1765))),$A1765))</f>
        <v/>
      </c>
      <c r="K1765">
        <f>IF($A1765="","",IF(AND($B1765&lt;&gt;"",COUNTIF(AcctCodesA,$B1765)=0),"کد طرف در INFO تعریف نشده",IF(AND($D1765="هزینه",$E1765=""),"هزینه بدون زیرگروه",IF(AND($C1765="پاس چک",OR(Sync!$AJ1765="",COUNTIF(IssueNosA,Sync!$AJ1765)=0)),"شماره چک پاس‌شده معتبر نیست",""))))</f>
        <v/>
      </c>
      <c r="V1765">
        <f>IF($K1765="","",IF(ISNUMBER(Sync!$AK1765),Sync!$AK1765,LEFT(Sync!$AK1765,4)&amp;MID(Sync!$AK1765,6,2)&amp;RIGHT(Sync!$AK1765,2))&amp;"|"&amp;"4"&amp;RIGHT("00000"&amp;1760,5))</f>
        <v/>
      </c>
      <c r="W1765">
        <f>IF($V1765="",0,COUNTIFS($V$6:$V$2005,"&lt;"&amp;$V1765)-COUNTIFS($V$6:$V$2005,"&lt;"&amp;$V1765,$K$6:$K$2005,"")+1)</f>
        <v/>
      </c>
    </row>
    <row r="1766">
      <c r="A1766">
        <f>IF(Sync!$Z1766="","",LEFT(UPPER(TRIM(Sync!$Z1766)),6))</f>
        <v/>
      </c>
      <c r="B1766">
        <f>IF($A1766="","",IF(Sync!$AA1766="","",Sync!$AA1766))</f>
        <v/>
      </c>
      <c r="C1766">
        <f>IF($A1766="","",IF(Sync!$AB1766="","",Sync!$AB1766))</f>
        <v/>
      </c>
      <c r="D1766">
        <f>IF($A1766="","",IF(Sync!$AC1766="","",Sync!$AC1766))</f>
        <v/>
      </c>
      <c r="E1766">
        <f>IF($A1766="","",IF(Sync!$AD1766="","",Sync!$AD1766))</f>
        <v/>
      </c>
      <c r="F1766">
        <f>IF($A1766="","",IF(Sync!$AE1766="",0,Sync!$AE1766))</f>
        <v/>
      </c>
      <c r="G1766">
        <f>IF($A1766="","",IF(Sync!$AF1766="",0,Sync!$AF1766))</f>
        <v/>
      </c>
      <c r="H1766">
        <f>IF(OR($A1766="",ROUND($F1766+$G1766,2)=0),"",$F1766+$G1766)</f>
        <v/>
      </c>
      <c r="I1766">
        <f>IF($H1766="","",IF(ROUND($F1766,2)&gt;0,$A1766,IF($D1766="شخصی قاسم","شخصی قاسم",IF($D1766="هزینه","هزینه: "&amp;IF($E1766="","متفرقه",$E1766),IF($C1766="پاس چک","چک پرداختی",IF(OR($B1766="",COUNTIF(AcctCodesA,$B1766)=0),"متفرقه",$B1766))))))</f>
        <v/>
      </c>
      <c r="J1766">
        <f>IF($H1766="","",IF(ROUND($F1766,2)&gt;0,IF($D1766="شخصی قاسم","شخصی قاسم",IF($D1766="هزینه","هزینه: "&amp;IF($E1766="","متفرقه",$E1766),IF(OR($B1766="",COUNTIF(AcctCodesA,$B1766)=0),"متفرقه",$B1766))),$A1766))</f>
        <v/>
      </c>
      <c r="K1766">
        <f>IF($A1766="","",IF(AND($B1766&lt;&gt;"",COUNTIF(AcctCodesA,$B1766)=0),"کد طرف در INFO تعریف نشده",IF(AND($D1766="هزینه",$E1766=""),"هزینه بدون زیرگروه",IF(AND($C1766="پاس چک",OR(Sync!$AJ1766="",COUNTIF(IssueNosA,Sync!$AJ1766)=0)),"شماره چک پاس‌شده معتبر نیست",""))))</f>
        <v/>
      </c>
      <c r="V1766">
        <f>IF($K1766="","",IF(ISNUMBER(Sync!$AK1766),Sync!$AK1766,LEFT(Sync!$AK1766,4)&amp;MID(Sync!$AK1766,6,2)&amp;RIGHT(Sync!$AK1766,2))&amp;"|"&amp;"4"&amp;RIGHT("00000"&amp;1761,5))</f>
        <v/>
      </c>
      <c r="W1766">
        <f>IF($V1766="",0,COUNTIFS($V$6:$V$2005,"&lt;"&amp;$V1766)-COUNTIFS($V$6:$V$2005,"&lt;"&amp;$V1766,$K$6:$K$2005,"")+1)</f>
        <v/>
      </c>
    </row>
    <row r="1767">
      <c r="A1767">
        <f>IF(Sync!$Z1767="","",LEFT(UPPER(TRIM(Sync!$Z1767)),6))</f>
        <v/>
      </c>
      <c r="B1767">
        <f>IF($A1767="","",IF(Sync!$AA1767="","",Sync!$AA1767))</f>
        <v/>
      </c>
      <c r="C1767">
        <f>IF($A1767="","",IF(Sync!$AB1767="","",Sync!$AB1767))</f>
        <v/>
      </c>
      <c r="D1767">
        <f>IF($A1767="","",IF(Sync!$AC1767="","",Sync!$AC1767))</f>
        <v/>
      </c>
      <c r="E1767">
        <f>IF($A1767="","",IF(Sync!$AD1767="","",Sync!$AD1767))</f>
        <v/>
      </c>
      <c r="F1767">
        <f>IF($A1767="","",IF(Sync!$AE1767="",0,Sync!$AE1767))</f>
        <v/>
      </c>
      <c r="G1767">
        <f>IF($A1767="","",IF(Sync!$AF1767="",0,Sync!$AF1767))</f>
        <v/>
      </c>
      <c r="H1767">
        <f>IF(OR($A1767="",ROUND($F1767+$G1767,2)=0),"",$F1767+$G1767)</f>
        <v/>
      </c>
      <c r="I1767">
        <f>IF($H1767="","",IF(ROUND($F1767,2)&gt;0,$A1767,IF($D1767="شخصی قاسم","شخصی قاسم",IF($D1767="هزینه","هزینه: "&amp;IF($E1767="","متفرقه",$E1767),IF($C1767="پاس چک","چک پرداختی",IF(OR($B1767="",COUNTIF(AcctCodesA,$B1767)=0),"متفرقه",$B1767))))))</f>
        <v/>
      </c>
      <c r="J1767">
        <f>IF($H1767="","",IF(ROUND($F1767,2)&gt;0,IF($D1767="شخصی قاسم","شخصی قاسم",IF($D1767="هزینه","هزینه: "&amp;IF($E1767="","متفرقه",$E1767),IF(OR($B1767="",COUNTIF(AcctCodesA,$B1767)=0),"متفرقه",$B1767))),$A1767))</f>
        <v/>
      </c>
      <c r="K1767">
        <f>IF($A1767="","",IF(AND($B1767&lt;&gt;"",COUNTIF(AcctCodesA,$B1767)=0),"کد طرف در INFO تعریف نشده",IF(AND($D1767="هزینه",$E1767=""),"هزینه بدون زیرگروه",IF(AND($C1767="پاس چک",OR(Sync!$AJ1767="",COUNTIF(IssueNosA,Sync!$AJ1767)=0)),"شماره چک پاس‌شده معتبر نیست",""))))</f>
        <v/>
      </c>
      <c r="V1767">
        <f>IF($K1767="","",IF(ISNUMBER(Sync!$AK1767),Sync!$AK1767,LEFT(Sync!$AK1767,4)&amp;MID(Sync!$AK1767,6,2)&amp;RIGHT(Sync!$AK1767,2))&amp;"|"&amp;"4"&amp;RIGHT("00000"&amp;1762,5))</f>
        <v/>
      </c>
      <c r="W1767">
        <f>IF($V1767="",0,COUNTIFS($V$6:$V$2005,"&lt;"&amp;$V1767)-COUNTIFS($V$6:$V$2005,"&lt;"&amp;$V1767,$K$6:$K$2005,"")+1)</f>
        <v/>
      </c>
    </row>
    <row r="1768">
      <c r="A1768">
        <f>IF(Sync!$Z1768="","",LEFT(UPPER(TRIM(Sync!$Z1768)),6))</f>
        <v/>
      </c>
      <c r="B1768">
        <f>IF($A1768="","",IF(Sync!$AA1768="","",Sync!$AA1768))</f>
        <v/>
      </c>
      <c r="C1768">
        <f>IF($A1768="","",IF(Sync!$AB1768="","",Sync!$AB1768))</f>
        <v/>
      </c>
      <c r="D1768">
        <f>IF($A1768="","",IF(Sync!$AC1768="","",Sync!$AC1768))</f>
        <v/>
      </c>
      <c r="E1768">
        <f>IF($A1768="","",IF(Sync!$AD1768="","",Sync!$AD1768))</f>
        <v/>
      </c>
      <c r="F1768">
        <f>IF($A1768="","",IF(Sync!$AE1768="",0,Sync!$AE1768))</f>
        <v/>
      </c>
      <c r="G1768">
        <f>IF($A1768="","",IF(Sync!$AF1768="",0,Sync!$AF1768))</f>
        <v/>
      </c>
      <c r="H1768">
        <f>IF(OR($A1768="",ROUND($F1768+$G1768,2)=0),"",$F1768+$G1768)</f>
        <v/>
      </c>
      <c r="I1768">
        <f>IF($H1768="","",IF(ROUND($F1768,2)&gt;0,$A1768,IF($D1768="شخصی قاسم","شخصی قاسم",IF($D1768="هزینه","هزینه: "&amp;IF($E1768="","متفرقه",$E1768),IF($C1768="پاس چک","چک پرداختی",IF(OR($B1768="",COUNTIF(AcctCodesA,$B1768)=0),"متفرقه",$B1768))))))</f>
        <v/>
      </c>
      <c r="J1768">
        <f>IF($H1768="","",IF(ROUND($F1768,2)&gt;0,IF($D1768="شخصی قاسم","شخصی قاسم",IF($D1768="هزینه","هزینه: "&amp;IF($E1768="","متفرقه",$E1768),IF(OR($B1768="",COUNTIF(AcctCodesA,$B1768)=0),"متفرقه",$B1768))),$A1768))</f>
        <v/>
      </c>
      <c r="K1768">
        <f>IF($A1768="","",IF(AND($B1768&lt;&gt;"",COUNTIF(AcctCodesA,$B1768)=0),"کد طرف در INFO تعریف نشده",IF(AND($D1768="هزینه",$E1768=""),"هزینه بدون زیرگروه",IF(AND($C1768="پاس چک",OR(Sync!$AJ1768="",COUNTIF(IssueNosA,Sync!$AJ1768)=0)),"شماره چک پاس‌شده معتبر نیست",""))))</f>
        <v/>
      </c>
      <c r="V1768">
        <f>IF($K1768="","",IF(ISNUMBER(Sync!$AK1768),Sync!$AK1768,LEFT(Sync!$AK1768,4)&amp;MID(Sync!$AK1768,6,2)&amp;RIGHT(Sync!$AK1768,2))&amp;"|"&amp;"4"&amp;RIGHT("00000"&amp;1763,5))</f>
        <v/>
      </c>
      <c r="W1768">
        <f>IF($V1768="",0,COUNTIFS($V$6:$V$2005,"&lt;"&amp;$V1768)-COUNTIFS($V$6:$V$2005,"&lt;"&amp;$V1768,$K$6:$K$2005,"")+1)</f>
        <v/>
      </c>
    </row>
    <row r="1769">
      <c r="A1769">
        <f>IF(Sync!$Z1769="","",LEFT(UPPER(TRIM(Sync!$Z1769)),6))</f>
        <v/>
      </c>
      <c r="B1769">
        <f>IF($A1769="","",IF(Sync!$AA1769="","",Sync!$AA1769))</f>
        <v/>
      </c>
      <c r="C1769">
        <f>IF($A1769="","",IF(Sync!$AB1769="","",Sync!$AB1769))</f>
        <v/>
      </c>
      <c r="D1769">
        <f>IF($A1769="","",IF(Sync!$AC1769="","",Sync!$AC1769))</f>
        <v/>
      </c>
      <c r="E1769">
        <f>IF($A1769="","",IF(Sync!$AD1769="","",Sync!$AD1769))</f>
        <v/>
      </c>
      <c r="F1769">
        <f>IF($A1769="","",IF(Sync!$AE1769="",0,Sync!$AE1769))</f>
        <v/>
      </c>
      <c r="G1769">
        <f>IF($A1769="","",IF(Sync!$AF1769="",0,Sync!$AF1769))</f>
        <v/>
      </c>
      <c r="H1769">
        <f>IF(OR($A1769="",ROUND($F1769+$G1769,2)=0),"",$F1769+$G1769)</f>
        <v/>
      </c>
      <c r="I1769">
        <f>IF($H1769="","",IF(ROUND($F1769,2)&gt;0,$A1769,IF($D1769="شخصی قاسم","شخصی قاسم",IF($D1769="هزینه","هزینه: "&amp;IF($E1769="","متفرقه",$E1769),IF($C1769="پاس چک","چک پرداختی",IF(OR($B1769="",COUNTIF(AcctCodesA,$B1769)=0),"متفرقه",$B1769))))))</f>
        <v/>
      </c>
      <c r="J1769">
        <f>IF($H1769="","",IF(ROUND($F1769,2)&gt;0,IF($D1769="شخصی قاسم","شخصی قاسم",IF($D1769="هزینه","هزینه: "&amp;IF($E1769="","متفرقه",$E1769),IF(OR($B1769="",COUNTIF(AcctCodesA,$B1769)=0),"متفرقه",$B1769))),$A1769))</f>
        <v/>
      </c>
      <c r="K1769">
        <f>IF($A1769="","",IF(AND($B1769&lt;&gt;"",COUNTIF(AcctCodesA,$B1769)=0),"کد طرف در INFO تعریف نشده",IF(AND($D1769="هزینه",$E1769=""),"هزینه بدون زیرگروه",IF(AND($C1769="پاس چک",OR(Sync!$AJ1769="",COUNTIF(IssueNosA,Sync!$AJ1769)=0)),"شماره چک پاس‌شده معتبر نیست",""))))</f>
        <v/>
      </c>
      <c r="V1769">
        <f>IF($K1769="","",IF(ISNUMBER(Sync!$AK1769),Sync!$AK1769,LEFT(Sync!$AK1769,4)&amp;MID(Sync!$AK1769,6,2)&amp;RIGHT(Sync!$AK1769,2))&amp;"|"&amp;"4"&amp;RIGHT("00000"&amp;1764,5))</f>
        <v/>
      </c>
      <c r="W1769">
        <f>IF($V1769="",0,COUNTIFS($V$6:$V$2005,"&lt;"&amp;$V1769)-COUNTIFS($V$6:$V$2005,"&lt;"&amp;$V1769,$K$6:$K$2005,"")+1)</f>
        <v/>
      </c>
    </row>
    <row r="1770">
      <c r="A1770">
        <f>IF(Sync!$Z1770="","",LEFT(UPPER(TRIM(Sync!$Z1770)),6))</f>
        <v/>
      </c>
      <c r="B1770">
        <f>IF($A1770="","",IF(Sync!$AA1770="","",Sync!$AA1770))</f>
        <v/>
      </c>
      <c r="C1770">
        <f>IF($A1770="","",IF(Sync!$AB1770="","",Sync!$AB1770))</f>
        <v/>
      </c>
      <c r="D1770">
        <f>IF($A1770="","",IF(Sync!$AC1770="","",Sync!$AC1770))</f>
        <v/>
      </c>
      <c r="E1770">
        <f>IF($A1770="","",IF(Sync!$AD1770="","",Sync!$AD1770))</f>
        <v/>
      </c>
      <c r="F1770">
        <f>IF($A1770="","",IF(Sync!$AE1770="",0,Sync!$AE1770))</f>
        <v/>
      </c>
      <c r="G1770">
        <f>IF($A1770="","",IF(Sync!$AF1770="",0,Sync!$AF1770))</f>
        <v/>
      </c>
      <c r="H1770">
        <f>IF(OR($A1770="",ROUND($F1770+$G1770,2)=0),"",$F1770+$G1770)</f>
        <v/>
      </c>
      <c r="I1770">
        <f>IF($H1770="","",IF(ROUND($F1770,2)&gt;0,$A1770,IF($D1770="شخصی قاسم","شخصی قاسم",IF($D1770="هزینه","هزینه: "&amp;IF($E1770="","متفرقه",$E1770),IF($C1770="پاس چک","چک پرداختی",IF(OR($B1770="",COUNTIF(AcctCodesA,$B1770)=0),"متفرقه",$B1770))))))</f>
        <v/>
      </c>
      <c r="J1770">
        <f>IF($H1770="","",IF(ROUND($F1770,2)&gt;0,IF($D1770="شخصی قاسم","شخصی قاسم",IF($D1770="هزینه","هزینه: "&amp;IF($E1770="","متفرقه",$E1770),IF(OR($B1770="",COUNTIF(AcctCodesA,$B1770)=0),"متفرقه",$B1770))),$A1770))</f>
        <v/>
      </c>
      <c r="K1770">
        <f>IF($A1770="","",IF(AND($B1770&lt;&gt;"",COUNTIF(AcctCodesA,$B1770)=0),"کد طرف در INFO تعریف نشده",IF(AND($D1770="هزینه",$E1770=""),"هزینه بدون زیرگروه",IF(AND($C1770="پاس چک",OR(Sync!$AJ1770="",COUNTIF(IssueNosA,Sync!$AJ1770)=0)),"شماره چک پاس‌شده معتبر نیست",""))))</f>
        <v/>
      </c>
      <c r="V1770">
        <f>IF($K1770="","",IF(ISNUMBER(Sync!$AK1770),Sync!$AK1770,LEFT(Sync!$AK1770,4)&amp;MID(Sync!$AK1770,6,2)&amp;RIGHT(Sync!$AK1770,2))&amp;"|"&amp;"4"&amp;RIGHT("00000"&amp;1765,5))</f>
        <v/>
      </c>
      <c r="W1770">
        <f>IF($V1770="",0,COUNTIFS($V$6:$V$2005,"&lt;"&amp;$V1770)-COUNTIFS($V$6:$V$2005,"&lt;"&amp;$V1770,$K$6:$K$2005,"")+1)</f>
        <v/>
      </c>
    </row>
    <row r="1771">
      <c r="A1771">
        <f>IF(Sync!$Z1771="","",LEFT(UPPER(TRIM(Sync!$Z1771)),6))</f>
        <v/>
      </c>
      <c r="B1771">
        <f>IF($A1771="","",IF(Sync!$AA1771="","",Sync!$AA1771))</f>
        <v/>
      </c>
      <c r="C1771">
        <f>IF($A1771="","",IF(Sync!$AB1771="","",Sync!$AB1771))</f>
        <v/>
      </c>
      <c r="D1771">
        <f>IF($A1771="","",IF(Sync!$AC1771="","",Sync!$AC1771))</f>
        <v/>
      </c>
      <c r="E1771">
        <f>IF($A1771="","",IF(Sync!$AD1771="","",Sync!$AD1771))</f>
        <v/>
      </c>
      <c r="F1771">
        <f>IF($A1771="","",IF(Sync!$AE1771="",0,Sync!$AE1771))</f>
        <v/>
      </c>
      <c r="G1771">
        <f>IF($A1771="","",IF(Sync!$AF1771="",0,Sync!$AF1771))</f>
        <v/>
      </c>
      <c r="H1771">
        <f>IF(OR($A1771="",ROUND($F1771+$G1771,2)=0),"",$F1771+$G1771)</f>
        <v/>
      </c>
      <c r="I1771">
        <f>IF($H1771="","",IF(ROUND($F1771,2)&gt;0,$A1771,IF($D1771="شخصی قاسم","شخصی قاسم",IF($D1771="هزینه","هزینه: "&amp;IF($E1771="","متفرقه",$E1771),IF($C1771="پاس چک","چک پرداختی",IF(OR($B1771="",COUNTIF(AcctCodesA,$B1771)=0),"متفرقه",$B1771))))))</f>
        <v/>
      </c>
      <c r="J1771">
        <f>IF($H1771="","",IF(ROUND($F1771,2)&gt;0,IF($D1771="شخصی قاسم","شخصی قاسم",IF($D1771="هزینه","هزینه: "&amp;IF($E1771="","متفرقه",$E1771),IF(OR($B1771="",COUNTIF(AcctCodesA,$B1771)=0),"متفرقه",$B1771))),$A1771))</f>
        <v/>
      </c>
      <c r="K1771">
        <f>IF($A1771="","",IF(AND($B1771&lt;&gt;"",COUNTIF(AcctCodesA,$B1771)=0),"کد طرف در INFO تعریف نشده",IF(AND($D1771="هزینه",$E1771=""),"هزینه بدون زیرگروه",IF(AND($C1771="پاس چک",OR(Sync!$AJ1771="",COUNTIF(IssueNosA,Sync!$AJ1771)=0)),"شماره چک پاس‌شده معتبر نیست",""))))</f>
        <v/>
      </c>
      <c r="V1771">
        <f>IF($K1771="","",IF(ISNUMBER(Sync!$AK1771),Sync!$AK1771,LEFT(Sync!$AK1771,4)&amp;MID(Sync!$AK1771,6,2)&amp;RIGHT(Sync!$AK1771,2))&amp;"|"&amp;"4"&amp;RIGHT("00000"&amp;1766,5))</f>
        <v/>
      </c>
      <c r="W1771">
        <f>IF($V1771="",0,COUNTIFS($V$6:$V$2005,"&lt;"&amp;$V1771)-COUNTIFS($V$6:$V$2005,"&lt;"&amp;$V1771,$K$6:$K$2005,"")+1)</f>
        <v/>
      </c>
    </row>
    <row r="1772">
      <c r="A1772">
        <f>IF(Sync!$Z1772="","",LEFT(UPPER(TRIM(Sync!$Z1772)),6))</f>
        <v/>
      </c>
      <c r="B1772">
        <f>IF($A1772="","",IF(Sync!$AA1772="","",Sync!$AA1772))</f>
        <v/>
      </c>
      <c r="C1772">
        <f>IF($A1772="","",IF(Sync!$AB1772="","",Sync!$AB1772))</f>
        <v/>
      </c>
      <c r="D1772">
        <f>IF($A1772="","",IF(Sync!$AC1772="","",Sync!$AC1772))</f>
        <v/>
      </c>
      <c r="E1772">
        <f>IF($A1772="","",IF(Sync!$AD1772="","",Sync!$AD1772))</f>
        <v/>
      </c>
      <c r="F1772">
        <f>IF($A1772="","",IF(Sync!$AE1772="",0,Sync!$AE1772))</f>
        <v/>
      </c>
      <c r="G1772">
        <f>IF($A1772="","",IF(Sync!$AF1772="",0,Sync!$AF1772))</f>
        <v/>
      </c>
      <c r="H1772">
        <f>IF(OR($A1772="",ROUND($F1772+$G1772,2)=0),"",$F1772+$G1772)</f>
        <v/>
      </c>
      <c r="I1772">
        <f>IF($H1772="","",IF(ROUND($F1772,2)&gt;0,$A1772,IF($D1772="شخصی قاسم","شخصی قاسم",IF($D1772="هزینه","هزینه: "&amp;IF($E1772="","متفرقه",$E1772),IF($C1772="پاس چک","چک پرداختی",IF(OR($B1772="",COUNTIF(AcctCodesA,$B1772)=0),"متفرقه",$B1772))))))</f>
        <v/>
      </c>
      <c r="J1772">
        <f>IF($H1772="","",IF(ROUND($F1772,2)&gt;0,IF($D1772="شخصی قاسم","شخصی قاسم",IF($D1772="هزینه","هزینه: "&amp;IF($E1772="","متفرقه",$E1772),IF(OR($B1772="",COUNTIF(AcctCodesA,$B1772)=0),"متفرقه",$B1772))),$A1772))</f>
        <v/>
      </c>
      <c r="K1772">
        <f>IF($A1772="","",IF(AND($B1772&lt;&gt;"",COUNTIF(AcctCodesA,$B1772)=0),"کد طرف در INFO تعریف نشده",IF(AND($D1772="هزینه",$E1772=""),"هزینه بدون زیرگروه",IF(AND($C1772="پاس چک",OR(Sync!$AJ1772="",COUNTIF(IssueNosA,Sync!$AJ1772)=0)),"شماره چک پاس‌شده معتبر نیست",""))))</f>
        <v/>
      </c>
      <c r="V1772">
        <f>IF($K1772="","",IF(ISNUMBER(Sync!$AK1772),Sync!$AK1772,LEFT(Sync!$AK1772,4)&amp;MID(Sync!$AK1772,6,2)&amp;RIGHT(Sync!$AK1772,2))&amp;"|"&amp;"4"&amp;RIGHT("00000"&amp;1767,5))</f>
        <v/>
      </c>
      <c r="W1772">
        <f>IF($V1772="",0,COUNTIFS($V$6:$V$2005,"&lt;"&amp;$V1772)-COUNTIFS($V$6:$V$2005,"&lt;"&amp;$V1772,$K$6:$K$2005,"")+1)</f>
        <v/>
      </c>
    </row>
    <row r="1773">
      <c r="A1773">
        <f>IF(Sync!$Z1773="","",LEFT(UPPER(TRIM(Sync!$Z1773)),6))</f>
        <v/>
      </c>
      <c r="B1773">
        <f>IF($A1773="","",IF(Sync!$AA1773="","",Sync!$AA1773))</f>
        <v/>
      </c>
      <c r="C1773">
        <f>IF($A1773="","",IF(Sync!$AB1773="","",Sync!$AB1773))</f>
        <v/>
      </c>
      <c r="D1773">
        <f>IF($A1773="","",IF(Sync!$AC1773="","",Sync!$AC1773))</f>
        <v/>
      </c>
      <c r="E1773">
        <f>IF($A1773="","",IF(Sync!$AD1773="","",Sync!$AD1773))</f>
        <v/>
      </c>
      <c r="F1773">
        <f>IF($A1773="","",IF(Sync!$AE1773="",0,Sync!$AE1773))</f>
        <v/>
      </c>
      <c r="G1773">
        <f>IF($A1773="","",IF(Sync!$AF1773="",0,Sync!$AF1773))</f>
        <v/>
      </c>
      <c r="H1773">
        <f>IF(OR($A1773="",ROUND($F1773+$G1773,2)=0),"",$F1773+$G1773)</f>
        <v/>
      </c>
      <c r="I1773">
        <f>IF($H1773="","",IF(ROUND($F1773,2)&gt;0,$A1773,IF($D1773="شخصی قاسم","شخصی قاسم",IF($D1773="هزینه","هزینه: "&amp;IF($E1773="","متفرقه",$E1773),IF($C1773="پاس چک","چک پرداختی",IF(OR($B1773="",COUNTIF(AcctCodesA,$B1773)=0),"متفرقه",$B1773))))))</f>
        <v/>
      </c>
      <c r="J1773">
        <f>IF($H1773="","",IF(ROUND($F1773,2)&gt;0,IF($D1773="شخصی قاسم","شخصی قاسم",IF($D1773="هزینه","هزینه: "&amp;IF($E1773="","متفرقه",$E1773),IF(OR($B1773="",COUNTIF(AcctCodesA,$B1773)=0),"متفرقه",$B1773))),$A1773))</f>
        <v/>
      </c>
      <c r="K1773">
        <f>IF($A1773="","",IF(AND($B1773&lt;&gt;"",COUNTIF(AcctCodesA,$B1773)=0),"کد طرف در INFO تعریف نشده",IF(AND($D1773="هزینه",$E1773=""),"هزینه بدون زیرگروه",IF(AND($C1773="پاس چک",OR(Sync!$AJ1773="",COUNTIF(IssueNosA,Sync!$AJ1773)=0)),"شماره چک پاس‌شده معتبر نیست",""))))</f>
        <v/>
      </c>
      <c r="V1773">
        <f>IF($K1773="","",IF(ISNUMBER(Sync!$AK1773),Sync!$AK1773,LEFT(Sync!$AK1773,4)&amp;MID(Sync!$AK1773,6,2)&amp;RIGHT(Sync!$AK1773,2))&amp;"|"&amp;"4"&amp;RIGHT("00000"&amp;1768,5))</f>
        <v/>
      </c>
      <c r="W1773">
        <f>IF($V1773="",0,COUNTIFS($V$6:$V$2005,"&lt;"&amp;$V1773)-COUNTIFS($V$6:$V$2005,"&lt;"&amp;$V1773,$K$6:$K$2005,"")+1)</f>
        <v/>
      </c>
    </row>
    <row r="1774">
      <c r="A1774">
        <f>IF(Sync!$Z1774="","",LEFT(UPPER(TRIM(Sync!$Z1774)),6))</f>
        <v/>
      </c>
      <c r="B1774">
        <f>IF($A1774="","",IF(Sync!$AA1774="","",Sync!$AA1774))</f>
        <v/>
      </c>
      <c r="C1774">
        <f>IF($A1774="","",IF(Sync!$AB1774="","",Sync!$AB1774))</f>
        <v/>
      </c>
      <c r="D1774">
        <f>IF($A1774="","",IF(Sync!$AC1774="","",Sync!$AC1774))</f>
        <v/>
      </c>
      <c r="E1774">
        <f>IF($A1774="","",IF(Sync!$AD1774="","",Sync!$AD1774))</f>
        <v/>
      </c>
      <c r="F1774">
        <f>IF($A1774="","",IF(Sync!$AE1774="",0,Sync!$AE1774))</f>
        <v/>
      </c>
      <c r="G1774">
        <f>IF($A1774="","",IF(Sync!$AF1774="",0,Sync!$AF1774))</f>
        <v/>
      </c>
      <c r="H1774">
        <f>IF(OR($A1774="",ROUND($F1774+$G1774,2)=0),"",$F1774+$G1774)</f>
        <v/>
      </c>
      <c r="I1774">
        <f>IF($H1774="","",IF(ROUND($F1774,2)&gt;0,$A1774,IF($D1774="شخصی قاسم","شخصی قاسم",IF($D1774="هزینه","هزینه: "&amp;IF($E1774="","متفرقه",$E1774),IF($C1774="پاس چک","چک پرداختی",IF(OR($B1774="",COUNTIF(AcctCodesA,$B1774)=0),"متفرقه",$B1774))))))</f>
        <v/>
      </c>
      <c r="J1774">
        <f>IF($H1774="","",IF(ROUND($F1774,2)&gt;0,IF($D1774="شخصی قاسم","شخصی قاسم",IF($D1774="هزینه","هزینه: "&amp;IF($E1774="","متفرقه",$E1774),IF(OR($B1774="",COUNTIF(AcctCodesA,$B1774)=0),"متفرقه",$B1774))),$A1774))</f>
        <v/>
      </c>
      <c r="K1774">
        <f>IF($A1774="","",IF(AND($B1774&lt;&gt;"",COUNTIF(AcctCodesA,$B1774)=0),"کد طرف در INFO تعریف نشده",IF(AND($D1774="هزینه",$E1774=""),"هزینه بدون زیرگروه",IF(AND($C1774="پاس چک",OR(Sync!$AJ1774="",COUNTIF(IssueNosA,Sync!$AJ1774)=0)),"شماره چک پاس‌شده معتبر نیست",""))))</f>
        <v/>
      </c>
      <c r="V1774">
        <f>IF($K1774="","",IF(ISNUMBER(Sync!$AK1774),Sync!$AK1774,LEFT(Sync!$AK1774,4)&amp;MID(Sync!$AK1774,6,2)&amp;RIGHT(Sync!$AK1774,2))&amp;"|"&amp;"4"&amp;RIGHT("00000"&amp;1769,5))</f>
        <v/>
      </c>
      <c r="W1774">
        <f>IF($V1774="",0,COUNTIFS($V$6:$V$2005,"&lt;"&amp;$V1774)-COUNTIFS($V$6:$V$2005,"&lt;"&amp;$V1774,$K$6:$K$2005,"")+1)</f>
        <v/>
      </c>
    </row>
    <row r="1775">
      <c r="A1775">
        <f>IF(Sync!$Z1775="","",LEFT(UPPER(TRIM(Sync!$Z1775)),6))</f>
        <v/>
      </c>
      <c r="B1775">
        <f>IF($A1775="","",IF(Sync!$AA1775="","",Sync!$AA1775))</f>
        <v/>
      </c>
      <c r="C1775">
        <f>IF($A1775="","",IF(Sync!$AB1775="","",Sync!$AB1775))</f>
        <v/>
      </c>
      <c r="D1775">
        <f>IF($A1775="","",IF(Sync!$AC1775="","",Sync!$AC1775))</f>
        <v/>
      </c>
      <c r="E1775">
        <f>IF($A1775="","",IF(Sync!$AD1775="","",Sync!$AD1775))</f>
        <v/>
      </c>
      <c r="F1775">
        <f>IF($A1775="","",IF(Sync!$AE1775="",0,Sync!$AE1775))</f>
        <v/>
      </c>
      <c r="G1775">
        <f>IF($A1775="","",IF(Sync!$AF1775="",0,Sync!$AF1775))</f>
        <v/>
      </c>
      <c r="H1775">
        <f>IF(OR($A1775="",ROUND($F1775+$G1775,2)=0),"",$F1775+$G1775)</f>
        <v/>
      </c>
      <c r="I1775">
        <f>IF($H1775="","",IF(ROUND($F1775,2)&gt;0,$A1775,IF($D1775="شخصی قاسم","شخصی قاسم",IF($D1775="هزینه","هزینه: "&amp;IF($E1775="","متفرقه",$E1775),IF($C1775="پاس چک","چک پرداختی",IF(OR($B1775="",COUNTIF(AcctCodesA,$B1775)=0),"متفرقه",$B1775))))))</f>
        <v/>
      </c>
      <c r="J1775">
        <f>IF($H1775="","",IF(ROUND($F1775,2)&gt;0,IF($D1775="شخصی قاسم","شخصی قاسم",IF($D1775="هزینه","هزینه: "&amp;IF($E1775="","متفرقه",$E1775),IF(OR($B1775="",COUNTIF(AcctCodesA,$B1775)=0),"متفرقه",$B1775))),$A1775))</f>
        <v/>
      </c>
      <c r="K1775">
        <f>IF($A1775="","",IF(AND($B1775&lt;&gt;"",COUNTIF(AcctCodesA,$B1775)=0),"کد طرف در INFO تعریف نشده",IF(AND($D1775="هزینه",$E1775=""),"هزینه بدون زیرگروه",IF(AND($C1775="پاس چک",OR(Sync!$AJ1775="",COUNTIF(IssueNosA,Sync!$AJ1775)=0)),"شماره چک پاس‌شده معتبر نیست",""))))</f>
        <v/>
      </c>
      <c r="V1775">
        <f>IF($K1775="","",IF(ISNUMBER(Sync!$AK1775),Sync!$AK1775,LEFT(Sync!$AK1775,4)&amp;MID(Sync!$AK1775,6,2)&amp;RIGHT(Sync!$AK1775,2))&amp;"|"&amp;"4"&amp;RIGHT("00000"&amp;1770,5))</f>
        <v/>
      </c>
      <c r="W1775">
        <f>IF($V1775="",0,COUNTIFS($V$6:$V$2005,"&lt;"&amp;$V1775)-COUNTIFS($V$6:$V$2005,"&lt;"&amp;$V1775,$K$6:$K$2005,"")+1)</f>
        <v/>
      </c>
    </row>
    <row r="1776">
      <c r="A1776">
        <f>IF(Sync!$Z1776="","",LEFT(UPPER(TRIM(Sync!$Z1776)),6))</f>
        <v/>
      </c>
      <c r="B1776">
        <f>IF($A1776="","",IF(Sync!$AA1776="","",Sync!$AA1776))</f>
        <v/>
      </c>
      <c r="C1776">
        <f>IF($A1776="","",IF(Sync!$AB1776="","",Sync!$AB1776))</f>
        <v/>
      </c>
      <c r="D1776">
        <f>IF($A1776="","",IF(Sync!$AC1776="","",Sync!$AC1776))</f>
        <v/>
      </c>
      <c r="E1776">
        <f>IF($A1776="","",IF(Sync!$AD1776="","",Sync!$AD1776))</f>
        <v/>
      </c>
      <c r="F1776">
        <f>IF($A1776="","",IF(Sync!$AE1776="",0,Sync!$AE1776))</f>
        <v/>
      </c>
      <c r="G1776">
        <f>IF($A1776="","",IF(Sync!$AF1776="",0,Sync!$AF1776))</f>
        <v/>
      </c>
      <c r="H1776">
        <f>IF(OR($A1776="",ROUND($F1776+$G1776,2)=0),"",$F1776+$G1776)</f>
        <v/>
      </c>
      <c r="I1776">
        <f>IF($H1776="","",IF(ROUND($F1776,2)&gt;0,$A1776,IF($D1776="شخصی قاسم","شخصی قاسم",IF($D1776="هزینه","هزینه: "&amp;IF($E1776="","متفرقه",$E1776),IF($C1776="پاس چک","چک پرداختی",IF(OR($B1776="",COUNTIF(AcctCodesA,$B1776)=0),"متفرقه",$B1776))))))</f>
        <v/>
      </c>
      <c r="J1776">
        <f>IF($H1776="","",IF(ROUND($F1776,2)&gt;0,IF($D1776="شخصی قاسم","شخصی قاسم",IF($D1776="هزینه","هزینه: "&amp;IF($E1776="","متفرقه",$E1776),IF(OR($B1776="",COUNTIF(AcctCodesA,$B1776)=0),"متفرقه",$B1776))),$A1776))</f>
        <v/>
      </c>
      <c r="K1776">
        <f>IF($A1776="","",IF(AND($B1776&lt;&gt;"",COUNTIF(AcctCodesA,$B1776)=0),"کد طرف در INFO تعریف نشده",IF(AND($D1776="هزینه",$E1776=""),"هزینه بدون زیرگروه",IF(AND($C1776="پاس چک",OR(Sync!$AJ1776="",COUNTIF(IssueNosA,Sync!$AJ1776)=0)),"شماره چک پاس‌شده معتبر نیست",""))))</f>
        <v/>
      </c>
      <c r="V1776">
        <f>IF($K1776="","",IF(ISNUMBER(Sync!$AK1776),Sync!$AK1776,LEFT(Sync!$AK1776,4)&amp;MID(Sync!$AK1776,6,2)&amp;RIGHT(Sync!$AK1776,2))&amp;"|"&amp;"4"&amp;RIGHT("00000"&amp;1771,5))</f>
        <v/>
      </c>
      <c r="W1776">
        <f>IF($V1776="",0,COUNTIFS($V$6:$V$2005,"&lt;"&amp;$V1776)-COUNTIFS($V$6:$V$2005,"&lt;"&amp;$V1776,$K$6:$K$2005,"")+1)</f>
        <v/>
      </c>
    </row>
    <row r="1777">
      <c r="A1777">
        <f>IF(Sync!$Z1777="","",LEFT(UPPER(TRIM(Sync!$Z1777)),6))</f>
        <v/>
      </c>
      <c r="B1777">
        <f>IF($A1777="","",IF(Sync!$AA1777="","",Sync!$AA1777))</f>
        <v/>
      </c>
      <c r="C1777">
        <f>IF($A1777="","",IF(Sync!$AB1777="","",Sync!$AB1777))</f>
        <v/>
      </c>
      <c r="D1777">
        <f>IF($A1777="","",IF(Sync!$AC1777="","",Sync!$AC1777))</f>
        <v/>
      </c>
      <c r="E1777">
        <f>IF($A1777="","",IF(Sync!$AD1777="","",Sync!$AD1777))</f>
        <v/>
      </c>
      <c r="F1777">
        <f>IF($A1777="","",IF(Sync!$AE1777="",0,Sync!$AE1777))</f>
        <v/>
      </c>
      <c r="G1777">
        <f>IF($A1777="","",IF(Sync!$AF1777="",0,Sync!$AF1777))</f>
        <v/>
      </c>
      <c r="H1777">
        <f>IF(OR($A1777="",ROUND($F1777+$G1777,2)=0),"",$F1777+$G1777)</f>
        <v/>
      </c>
      <c r="I1777">
        <f>IF($H1777="","",IF(ROUND($F1777,2)&gt;0,$A1777,IF($D1777="شخصی قاسم","شخصی قاسم",IF($D1777="هزینه","هزینه: "&amp;IF($E1777="","متفرقه",$E1777),IF($C1777="پاس چک","چک پرداختی",IF(OR($B1777="",COUNTIF(AcctCodesA,$B1777)=0),"متفرقه",$B1777))))))</f>
        <v/>
      </c>
      <c r="J1777">
        <f>IF($H1777="","",IF(ROUND($F1777,2)&gt;0,IF($D1777="شخصی قاسم","شخصی قاسم",IF($D1777="هزینه","هزینه: "&amp;IF($E1777="","متفرقه",$E1777),IF(OR($B1777="",COUNTIF(AcctCodesA,$B1777)=0),"متفرقه",$B1777))),$A1777))</f>
        <v/>
      </c>
      <c r="K1777">
        <f>IF($A1777="","",IF(AND($B1777&lt;&gt;"",COUNTIF(AcctCodesA,$B1777)=0),"کد طرف در INFO تعریف نشده",IF(AND($D1777="هزینه",$E1777=""),"هزینه بدون زیرگروه",IF(AND($C1777="پاس چک",OR(Sync!$AJ1777="",COUNTIF(IssueNosA,Sync!$AJ1777)=0)),"شماره چک پاس‌شده معتبر نیست",""))))</f>
        <v/>
      </c>
      <c r="V1777">
        <f>IF($K1777="","",IF(ISNUMBER(Sync!$AK1777),Sync!$AK1777,LEFT(Sync!$AK1777,4)&amp;MID(Sync!$AK1777,6,2)&amp;RIGHT(Sync!$AK1777,2))&amp;"|"&amp;"4"&amp;RIGHT("00000"&amp;1772,5))</f>
        <v/>
      </c>
      <c r="W1777">
        <f>IF($V1777="",0,COUNTIFS($V$6:$V$2005,"&lt;"&amp;$V1777)-COUNTIFS($V$6:$V$2005,"&lt;"&amp;$V1777,$K$6:$K$2005,"")+1)</f>
        <v/>
      </c>
    </row>
    <row r="1778">
      <c r="A1778">
        <f>IF(Sync!$Z1778="","",LEFT(UPPER(TRIM(Sync!$Z1778)),6))</f>
        <v/>
      </c>
      <c r="B1778">
        <f>IF($A1778="","",IF(Sync!$AA1778="","",Sync!$AA1778))</f>
        <v/>
      </c>
      <c r="C1778">
        <f>IF($A1778="","",IF(Sync!$AB1778="","",Sync!$AB1778))</f>
        <v/>
      </c>
      <c r="D1778">
        <f>IF($A1778="","",IF(Sync!$AC1778="","",Sync!$AC1778))</f>
        <v/>
      </c>
      <c r="E1778">
        <f>IF($A1778="","",IF(Sync!$AD1778="","",Sync!$AD1778))</f>
        <v/>
      </c>
      <c r="F1778">
        <f>IF($A1778="","",IF(Sync!$AE1778="",0,Sync!$AE1778))</f>
        <v/>
      </c>
      <c r="G1778">
        <f>IF($A1778="","",IF(Sync!$AF1778="",0,Sync!$AF1778))</f>
        <v/>
      </c>
      <c r="H1778">
        <f>IF(OR($A1778="",ROUND($F1778+$G1778,2)=0),"",$F1778+$G1778)</f>
        <v/>
      </c>
      <c r="I1778">
        <f>IF($H1778="","",IF(ROUND($F1778,2)&gt;0,$A1778,IF($D1778="شخصی قاسم","شخصی قاسم",IF($D1778="هزینه","هزینه: "&amp;IF($E1778="","متفرقه",$E1778),IF($C1778="پاس چک","چک پرداختی",IF(OR($B1778="",COUNTIF(AcctCodesA,$B1778)=0),"متفرقه",$B1778))))))</f>
        <v/>
      </c>
      <c r="J1778">
        <f>IF($H1778="","",IF(ROUND($F1778,2)&gt;0,IF($D1778="شخصی قاسم","شخصی قاسم",IF($D1778="هزینه","هزینه: "&amp;IF($E1778="","متفرقه",$E1778),IF(OR($B1778="",COUNTIF(AcctCodesA,$B1778)=0),"متفرقه",$B1778))),$A1778))</f>
        <v/>
      </c>
      <c r="K1778">
        <f>IF($A1778="","",IF(AND($B1778&lt;&gt;"",COUNTIF(AcctCodesA,$B1778)=0),"کد طرف در INFO تعریف نشده",IF(AND($D1778="هزینه",$E1778=""),"هزینه بدون زیرگروه",IF(AND($C1778="پاس چک",OR(Sync!$AJ1778="",COUNTIF(IssueNosA,Sync!$AJ1778)=0)),"شماره چک پاس‌شده معتبر نیست",""))))</f>
        <v/>
      </c>
      <c r="V1778">
        <f>IF($K1778="","",IF(ISNUMBER(Sync!$AK1778),Sync!$AK1778,LEFT(Sync!$AK1778,4)&amp;MID(Sync!$AK1778,6,2)&amp;RIGHT(Sync!$AK1778,2))&amp;"|"&amp;"4"&amp;RIGHT("00000"&amp;1773,5))</f>
        <v/>
      </c>
      <c r="W1778">
        <f>IF($V1778="",0,COUNTIFS($V$6:$V$2005,"&lt;"&amp;$V1778)-COUNTIFS($V$6:$V$2005,"&lt;"&amp;$V1778,$K$6:$K$2005,"")+1)</f>
        <v/>
      </c>
    </row>
    <row r="1779">
      <c r="A1779">
        <f>IF(Sync!$Z1779="","",LEFT(UPPER(TRIM(Sync!$Z1779)),6))</f>
        <v/>
      </c>
      <c r="B1779">
        <f>IF($A1779="","",IF(Sync!$AA1779="","",Sync!$AA1779))</f>
        <v/>
      </c>
      <c r="C1779">
        <f>IF($A1779="","",IF(Sync!$AB1779="","",Sync!$AB1779))</f>
        <v/>
      </c>
      <c r="D1779">
        <f>IF($A1779="","",IF(Sync!$AC1779="","",Sync!$AC1779))</f>
        <v/>
      </c>
      <c r="E1779">
        <f>IF($A1779="","",IF(Sync!$AD1779="","",Sync!$AD1779))</f>
        <v/>
      </c>
      <c r="F1779">
        <f>IF($A1779="","",IF(Sync!$AE1779="",0,Sync!$AE1779))</f>
        <v/>
      </c>
      <c r="G1779">
        <f>IF($A1779="","",IF(Sync!$AF1779="",0,Sync!$AF1779))</f>
        <v/>
      </c>
      <c r="H1779">
        <f>IF(OR($A1779="",ROUND($F1779+$G1779,2)=0),"",$F1779+$G1779)</f>
        <v/>
      </c>
      <c r="I1779">
        <f>IF($H1779="","",IF(ROUND($F1779,2)&gt;0,$A1779,IF($D1779="شخصی قاسم","شخصی قاسم",IF($D1779="هزینه","هزینه: "&amp;IF($E1779="","متفرقه",$E1779),IF($C1779="پاس چک","چک پرداختی",IF(OR($B1779="",COUNTIF(AcctCodesA,$B1779)=0),"متفرقه",$B1779))))))</f>
        <v/>
      </c>
      <c r="J1779">
        <f>IF($H1779="","",IF(ROUND($F1779,2)&gt;0,IF($D1779="شخصی قاسم","شخصی قاسم",IF($D1779="هزینه","هزینه: "&amp;IF($E1779="","متفرقه",$E1779),IF(OR($B1779="",COUNTIF(AcctCodesA,$B1779)=0),"متفرقه",$B1779))),$A1779))</f>
        <v/>
      </c>
      <c r="K1779">
        <f>IF($A1779="","",IF(AND($B1779&lt;&gt;"",COUNTIF(AcctCodesA,$B1779)=0),"کد طرف در INFO تعریف نشده",IF(AND($D1779="هزینه",$E1779=""),"هزینه بدون زیرگروه",IF(AND($C1779="پاس چک",OR(Sync!$AJ1779="",COUNTIF(IssueNosA,Sync!$AJ1779)=0)),"شماره چک پاس‌شده معتبر نیست",""))))</f>
        <v/>
      </c>
      <c r="V1779">
        <f>IF($K1779="","",IF(ISNUMBER(Sync!$AK1779),Sync!$AK1779,LEFT(Sync!$AK1779,4)&amp;MID(Sync!$AK1779,6,2)&amp;RIGHT(Sync!$AK1779,2))&amp;"|"&amp;"4"&amp;RIGHT("00000"&amp;1774,5))</f>
        <v/>
      </c>
      <c r="W1779">
        <f>IF($V1779="",0,COUNTIFS($V$6:$V$2005,"&lt;"&amp;$V1779)-COUNTIFS($V$6:$V$2005,"&lt;"&amp;$V1779,$K$6:$K$2005,"")+1)</f>
        <v/>
      </c>
    </row>
    <row r="1780">
      <c r="A1780">
        <f>IF(Sync!$Z1780="","",LEFT(UPPER(TRIM(Sync!$Z1780)),6))</f>
        <v/>
      </c>
      <c r="B1780">
        <f>IF($A1780="","",IF(Sync!$AA1780="","",Sync!$AA1780))</f>
        <v/>
      </c>
      <c r="C1780">
        <f>IF($A1780="","",IF(Sync!$AB1780="","",Sync!$AB1780))</f>
        <v/>
      </c>
      <c r="D1780">
        <f>IF($A1780="","",IF(Sync!$AC1780="","",Sync!$AC1780))</f>
        <v/>
      </c>
      <c r="E1780">
        <f>IF($A1780="","",IF(Sync!$AD1780="","",Sync!$AD1780))</f>
        <v/>
      </c>
      <c r="F1780">
        <f>IF($A1780="","",IF(Sync!$AE1780="",0,Sync!$AE1780))</f>
        <v/>
      </c>
      <c r="G1780">
        <f>IF($A1780="","",IF(Sync!$AF1780="",0,Sync!$AF1780))</f>
        <v/>
      </c>
      <c r="H1780">
        <f>IF(OR($A1780="",ROUND($F1780+$G1780,2)=0),"",$F1780+$G1780)</f>
        <v/>
      </c>
      <c r="I1780">
        <f>IF($H1780="","",IF(ROUND($F1780,2)&gt;0,$A1780,IF($D1780="شخصی قاسم","شخصی قاسم",IF($D1780="هزینه","هزینه: "&amp;IF($E1780="","متفرقه",$E1780),IF($C1780="پاس چک","چک پرداختی",IF(OR($B1780="",COUNTIF(AcctCodesA,$B1780)=0),"متفرقه",$B1780))))))</f>
        <v/>
      </c>
      <c r="J1780">
        <f>IF($H1780="","",IF(ROUND($F1780,2)&gt;0,IF($D1780="شخصی قاسم","شخصی قاسم",IF($D1780="هزینه","هزینه: "&amp;IF($E1780="","متفرقه",$E1780),IF(OR($B1780="",COUNTIF(AcctCodesA,$B1780)=0),"متفرقه",$B1780))),$A1780))</f>
        <v/>
      </c>
      <c r="K1780">
        <f>IF($A1780="","",IF(AND($B1780&lt;&gt;"",COUNTIF(AcctCodesA,$B1780)=0),"کد طرف در INFO تعریف نشده",IF(AND($D1780="هزینه",$E1780=""),"هزینه بدون زیرگروه",IF(AND($C1780="پاس چک",OR(Sync!$AJ1780="",COUNTIF(IssueNosA,Sync!$AJ1780)=0)),"شماره چک پاس‌شده معتبر نیست",""))))</f>
        <v/>
      </c>
      <c r="V1780">
        <f>IF($K1780="","",IF(ISNUMBER(Sync!$AK1780),Sync!$AK1780,LEFT(Sync!$AK1780,4)&amp;MID(Sync!$AK1780,6,2)&amp;RIGHT(Sync!$AK1780,2))&amp;"|"&amp;"4"&amp;RIGHT("00000"&amp;1775,5))</f>
        <v/>
      </c>
      <c r="W1780">
        <f>IF($V1780="",0,COUNTIFS($V$6:$V$2005,"&lt;"&amp;$V1780)-COUNTIFS($V$6:$V$2005,"&lt;"&amp;$V1780,$K$6:$K$2005,"")+1)</f>
        <v/>
      </c>
    </row>
    <row r="1781">
      <c r="A1781">
        <f>IF(Sync!$Z1781="","",LEFT(UPPER(TRIM(Sync!$Z1781)),6))</f>
        <v/>
      </c>
      <c r="B1781">
        <f>IF($A1781="","",IF(Sync!$AA1781="","",Sync!$AA1781))</f>
        <v/>
      </c>
      <c r="C1781">
        <f>IF($A1781="","",IF(Sync!$AB1781="","",Sync!$AB1781))</f>
        <v/>
      </c>
      <c r="D1781">
        <f>IF($A1781="","",IF(Sync!$AC1781="","",Sync!$AC1781))</f>
        <v/>
      </c>
      <c r="E1781">
        <f>IF($A1781="","",IF(Sync!$AD1781="","",Sync!$AD1781))</f>
        <v/>
      </c>
      <c r="F1781">
        <f>IF($A1781="","",IF(Sync!$AE1781="",0,Sync!$AE1781))</f>
        <v/>
      </c>
      <c r="G1781">
        <f>IF($A1781="","",IF(Sync!$AF1781="",0,Sync!$AF1781))</f>
        <v/>
      </c>
      <c r="H1781">
        <f>IF(OR($A1781="",ROUND($F1781+$G1781,2)=0),"",$F1781+$G1781)</f>
        <v/>
      </c>
      <c r="I1781">
        <f>IF($H1781="","",IF(ROUND($F1781,2)&gt;0,$A1781,IF($D1781="شخصی قاسم","شخصی قاسم",IF($D1781="هزینه","هزینه: "&amp;IF($E1781="","متفرقه",$E1781),IF($C1781="پاس چک","چک پرداختی",IF(OR($B1781="",COUNTIF(AcctCodesA,$B1781)=0),"متفرقه",$B1781))))))</f>
        <v/>
      </c>
      <c r="J1781">
        <f>IF($H1781="","",IF(ROUND($F1781,2)&gt;0,IF($D1781="شخصی قاسم","شخصی قاسم",IF($D1781="هزینه","هزینه: "&amp;IF($E1781="","متفرقه",$E1781),IF(OR($B1781="",COUNTIF(AcctCodesA,$B1781)=0),"متفرقه",$B1781))),$A1781))</f>
        <v/>
      </c>
      <c r="K1781">
        <f>IF($A1781="","",IF(AND($B1781&lt;&gt;"",COUNTIF(AcctCodesA,$B1781)=0),"کد طرف در INFO تعریف نشده",IF(AND($D1781="هزینه",$E1781=""),"هزینه بدون زیرگروه",IF(AND($C1781="پاس چک",OR(Sync!$AJ1781="",COUNTIF(IssueNosA,Sync!$AJ1781)=0)),"شماره چک پاس‌شده معتبر نیست",""))))</f>
        <v/>
      </c>
      <c r="V1781">
        <f>IF($K1781="","",IF(ISNUMBER(Sync!$AK1781),Sync!$AK1781,LEFT(Sync!$AK1781,4)&amp;MID(Sync!$AK1781,6,2)&amp;RIGHT(Sync!$AK1781,2))&amp;"|"&amp;"4"&amp;RIGHT("00000"&amp;1776,5))</f>
        <v/>
      </c>
      <c r="W1781">
        <f>IF($V1781="",0,COUNTIFS($V$6:$V$2005,"&lt;"&amp;$V1781)-COUNTIFS($V$6:$V$2005,"&lt;"&amp;$V1781,$K$6:$K$2005,"")+1)</f>
        <v/>
      </c>
    </row>
    <row r="1782">
      <c r="A1782">
        <f>IF(Sync!$Z1782="","",LEFT(UPPER(TRIM(Sync!$Z1782)),6))</f>
        <v/>
      </c>
      <c r="B1782">
        <f>IF($A1782="","",IF(Sync!$AA1782="","",Sync!$AA1782))</f>
        <v/>
      </c>
      <c r="C1782">
        <f>IF($A1782="","",IF(Sync!$AB1782="","",Sync!$AB1782))</f>
        <v/>
      </c>
      <c r="D1782">
        <f>IF($A1782="","",IF(Sync!$AC1782="","",Sync!$AC1782))</f>
        <v/>
      </c>
      <c r="E1782">
        <f>IF($A1782="","",IF(Sync!$AD1782="","",Sync!$AD1782))</f>
        <v/>
      </c>
      <c r="F1782">
        <f>IF($A1782="","",IF(Sync!$AE1782="",0,Sync!$AE1782))</f>
        <v/>
      </c>
      <c r="G1782">
        <f>IF($A1782="","",IF(Sync!$AF1782="",0,Sync!$AF1782))</f>
        <v/>
      </c>
      <c r="H1782">
        <f>IF(OR($A1782="",ROUND($F1782+$G1782,2)=0),"",$F1782+$G1782)</f>
        <v/>
      </c>
      <c r="I1782">
        <f>IF($H1782="","",IF(ROUND($F1782,2)&gt;0,$A1782,IF($D1782="شخصی قاسم","شخصی قاسم",IF($D1782="هزینه","هزینه: "&amp;IF($E1782="","متفرقه",$E1782),IF($C1782="پاس چک","چک پرداختی",IF(OR($B1782="",COUNTIF(AcctCodesA,$B1782)=0),"متفرقه",$B1782))))))</f>
        <v/>
      </c>
      <c r="J1782">
        <f>IF($H1782="","",IF(ROUND($F1782,2)&gt;0,IF($D1782="شخصی قاسم","شخصی قاسم",IF($D1782="هزینه","هزینه: "&amp;IF($E1782="","متفرقه",$E1782),IF(OR($B1782="",COUNTIF(AcctCodesA,$B1782)=0),"متفرقه",$B1782))),$A1782))</f>
        <v/>
      </c>
      <c r="K1782">
        <f>IF($A1782="","",IF(AND($B1782&lt;&gt;"",COUNTIF(AcctCodesA,$B1782)=0),"کد طرف در INFO تعریف نشده",IF(AND($D1782="هزینه",$E1782=""),"هزینه بدون زیرگروه",IF(AND($C1782="پاس چک",OR(Sync!$AJ1782="",COUNTIF(IssueNosA,Sync!$AJ1782)=0)),"شماره چک پاس‌شده معتبر نیست",""))))</f>
        <v/>
      </c>
      <c r="V1782">
        <f>IF($K1782="","",IF(ISNUMBER(Sync!$AK1782),Sync!$AK1782,LEFT(Sync!$AK1782,4)&amp;MID(Sync!$AK1782,6,2)&amp;RIGHT(Sync!$AK1782,2))&amp;"|"&amp;"4"&amp;RIGHT("00000"&amp;1777,5))</f>
        <v/>
      </c>
      <c r="W1782">
        <f>IF($V1782="",0,COUNTIFS($V$6:$V$2005,"&lt;"&amp;$V1782)-COUNTIFS($V$6:$V$2005,"&lt;"&amp;$V1782,$K$6:$K$2005,"")+1)</f>
        <v/>
      </c>
    </row>
    <row r="1783">
      <c r="A1783">
        <f>IF(Sync!$Z1783="","",LEFT(UPPER(TRIM(Sync!$Z1783)),6))</f>
        <v/>
      </c>
      <c r="B1783">
        <f>IF($A1783="","",IF(Sync!$AA1783="","",Sync!$AA1783))</f>
        <v/>
      </c>
      <c r="C1783">
        <f>IF($A1783="","",IF(Sync!$AB1783="","",Sync!$AB1783))</f>
        <v/>
      </c>
      <c r="D1783">
        <f>IF($A1783="","",IF(Sync!$AC1783="","",Sync!$AC1783))</f>
        <v/>
      </c>
      <c r="E1783">
        <f>IF($A1783="","",IF(Sync!$AD1783="","",Sync!$AD1783))</f>
        <v/>
      </c>
      <c r="F1783">
        <f>IF($A1783="","",IF(Sync!$AE1783="",0,Sync!$AE1783))</f>
        <v/>
      </c>
      <c r="G1783">
        <f>IF($A1783="","",IF(Sync!$AF1783="",0,Sync!$AF1783))</f>
        <v/>
      </c>
      <c r="H1783">
        <f>IF(OR($A1783="",ROUND($F1783+$G1783,2)=0),"",$F1783+$G1783)</f>
        <v/>
      </c>
      <c r="I1783">
        <f>IF($H1783="","",IF(ROUND($F1783,2)&gt;0,$A1783,IF($D1783="شخصی قاسم","شخصی قاسم",IF($D1783="هزینه","هزینه: "&amp;IF($E1783="","متفرقه",$E1783),IF($C1783="پاس چک","چک پرداختی",IF(OR($B1783="",COUNTIF(AcctCodesA,$B1783)=0),"متفرقه",$B1783))))))</f>
        <v/>
      </c>
      <c r="J1783">
        <f>IF($H1783="","",IF(ROUND($F1783,2)&gt;0,IF($D1783="شخصی قاسم","شخصی قاسم",IF($D1783="هزینه","هزینه: "&amp;IF($E1783="","متفرقه",$E1783),IF(OR($B1783="",COUNTIF(AcctCodesA,$B1783)=0),"متفرقه",$B1783))),$A1783))</f>
        <v/>
      </c>
      <c r="K1783">
        <f>IF($A1783="","",IF(AND($B1783&lt;&gt;"",COUNTIF(AcctCodesA,$B1783)=0),"کد طرف در INFO تعریف نشده",IF(AND($D1783="هزینه",$E1783=""),"هزینه بدون زیرگروه",IF(AND($C1783="پاس چک",OR(Sync!$AJ1783="",COUNTIF(IssueNosA,Sync!$AJ1783)=0)),"شماره چک پاس‌شده معتبر نیست",""))))</f>
        <v/>
      </c>
      <c r="V1783">
        <f>IF($K1783="","",IF(ISNUMBER(Sync!$AK1783),Sync!$AK1783,LEFT(Sync!$AK1783,4)&amp;MID(Sync!$AK1783,6,2)&amp;RIGHT(Sync!$AK1783,2))&amp;"|"&amp;"4"&amp;RIGHT("00000"&amp;1778,5))</f>
        <v/>
      </c>
      <c r="W1783">
        <f>IF($V1783="",0,COUNTIFS($V$6:$V$2005,"&lt;"&amp;$V1783)-COUNTIFS($V$6:$V$2005,"&lt;"&amp;$V1783,$K$6:$K$2005,"")+1)</f>
        <v/>
      </c>
    </row>
    <row r="1784">
      <c r="A1784">
        <f>IF(Sync!$Z1784="","",LEFT(UPPER(TRIM(Sync!$Z1784)),6))</f>
        <v/>
      </c>
      <c r="B1784">
        <f>IF($A1784="","",IF(Sync!$AA1784="","",Sync!$AA1784))</f>
        <v/>
      </c>
      <c r="C1784">
        <f>IF($A1784="","",IF(Sync!$AB1784="","",Sync!$AB1784))</f>
        <v/>
      </c>
      <c r="D1784">
        <f>IF($A1784="","",IF(Sync!$AC1784="","",Sync!$AC1784))</f>
        <v/>
      </c>
      <c r="E1784">
        <f>IF($A1784="","",IF(Sync!$AD1784="","",Sync!$AD1784))</f>
        <v/>
      </c>
      <c r="F1784">
        <f>IF($A1784="","",IF(Sync!$AE1784="",0,Sync!$AE1784))</f>
        <v/>
      </c>
      <c r="G1784">
        <f>IF($A1784="","",IF(Sync!$AF1784="",0,Sync!$AF1784))</f>
        <v/>
      </c>
      <c r="H1784">
        <f>IF(OR($A1784="",ROUND($F1784+$G1784,2)=0),"",$F1784+$G1784)</f>
        <v/>
      </c>
      <c r="I1784">
        <f>IF($H1784="","",IF(ROUND($F1784,2)&gt;0,$A1784,IF($D1784="شخصی قاسم","شخصی قاسم",IF($D1784="هزینه","هزینه: "&amp;IF($E1784="","متفرقه",$E1784),IF($C1784="پاس چک","چک پرداختی",IF(OR($B1784="",COUNTIF(AcctCodesA,$B1784)=0),"متفرقه",$B1784))))))</f>
        <v/>
      </c>
      <c r="J1784">
        <f>IF($H1784="","",IF(ROUND($F1784,2)&gt;0,IF($D1784="شخصی قاسم","شخصی قاسم",IF($D1784="هزینه","هزینه: "&amp;IF($E1784="","متفرقه",$E1784),IF(OR($B1784="",COUNTIF(AcctCodesA,$B1784)=0),"متفرقه",$B1784))),$A1784))</f>
        <v/>
      </c>
      <c r="K1784">
        <f>IF($A1784="","",IF(AND($B1784&lt;&gt;"",COUNTIF(AcctCodesA,$B1784)=0),"کد طرف در INFO تعریف نشده",IF(AND($D1784="هزینه",$E1784=""),"هزینه بدون زیرگروه",IF(AND($C1784="پاس چک",OR(Sync!$AJ1784="",COUNTIF(IssueNosA,Sync!$AJ1784)=0)),"شماره چک پاس‌شده معتبر نیست",""))))</f>
        <v/>
      </c>
      <c r="V1784">
        <f>IF($K1784="","",IF(ISNUMBER(Sync!$AK1784),Sync!$AK1784,LEFT(Sync!$AK1784,4)&amp;MID(Sync!$AK1784,6,2)&amp;RIGHT(Sync!$AK1784,2))&amp;"|"&amp;"4"&amp;RIGHT("00000"&amp;1779,5))</f>
        <v/>
      </c>
      <c r="W1784">
        <f>IF($V1784="",0,COUNTIFS($V$6:$V$2005,"&lt;"&amp;$V1784)-COUNTIFS($V$6:$V$2005,"&lt;"&amp;$V1784,$K$6:$K$2005,"")+1)</f>
        <v/>
      </c>
    </row>
    <row r="1785">
      <c r="A1785">
        <f>IF(Sync!$Z1785="","",LEFT(UPPER(TRIM(Sync!$Z1785)),6))</f>
        <v/>
      </c>
      <c r="B1785">
        <f>IF($A1785="","",IF(Sync!$AA1785="","",Sync!$AA1785))</f>
        <v/>
      </c>
      <c r="C1785">
        <f>IF($A1785="","",IF(Sync!$AB1785="","",Sync!$AB1785))</f>
        <v/>
      </c>
      <c r="D1785">
        <f>IF($A1785="","",IF(Sync!$AC1785="","",Sync!$AC1785))</f>
        <v/>
      </c>
      <c r="E1785">
        <f>IF($A1785="","",IF(Sync!$AD1785="","",Sync!$AD1785))</f>
        <v/>
      </c>
      <c r="F1785">
        <f>IF($A1785="","",IF(Sync!$AE1785="",0,Sync!$AE1785))</f>
        <v/>
      </c>
      <c r="G1785">
        <f>IF($A1785="","",IF(Sync!$AF1785="",0,Sync!$AF1785))</f>
        <v/>
      </c>
      <c r="H1785">
        <f>IF(OR($A1785="",ROUND($F1785+$G1785,2)=0),"",$F1785+$G1785)</f>
        <v/>
      </c>
      <c r="I1785">
        <f>IF($H1785="","",IF(ROUND($F1785,2)&gt;0,$A1785,IF($D1785="شخصی قاسم","شخصی قاسم",IF($D1785="هزینه","هزینه: "&amp;IF($E1785="","متفرقه",$E1785),IF($C1785="پاس چک","چک پرداختی",IF(OR($B1785="",COUNTIF(AcctCodesA,$B1785)=0),"متفرقه",$B1785))))))</f>
        <v/>
      </c>
      <c r="J1785">
        <f>IF($H1785="","",IF(ROUND($F1785,2)&gt;0,IF($D1785="شخصی قاسم","شخصی قاسم",IF($D1785="هزینه","هزینه: "&amp;IF($E1785="","متفرقه",$E1785),IF(OR($B1785="",COUNTIF(AcctCodesA,$B1785)=0),"متفرقه",$B1785))),$A1785))</f>
        <v/>
      </c>
      <c r="K1785">
        <f>IF($A1785="","",IF(AND($B1785&lt;&gt;"",COUNTIF(AcctCodesA,$B1785)=0),"کد طرف در INFO تعریف نشده",IF(AND($D1785="هزینه",$E1785=""),"هزینه بدون زیرگروه",IF(AND($C1785="پاس چک",OR(Sync!$AJ1785="",COUNTIF(IssueNosA,Sync!$AJ1785)=0)),"شماره چک پاس‌شده معتبر نیست",""))))</f>
        <v/>
      </c>
      <c r="V1785">
        <f>IF($K1785="","",IF(ISNUMBER(Sync!$AK1785),Sync!$AK1785,LEFT(Sync!$AK1785,4)&amp;MID(Sync!$AK1785,6,2)&amp;RIGHT(Sync!$AK1785,2))&amp;"|"&amp;"4"&amp;RIGHT("00000"&amp;1780,5))</f>
        <v/>
      </c>
      <c r="W1785">
        <f>IF($V1785="",0,COUNTIFS($V$6:$V$2005,"&lt;"&amp;$V1785)-COUNTIFS($V$6:$V$2005,"&lt;"&amp;$V1785,$K$6:$K$2005,"")+1)</f>
        <v/>
      </c>
    </row>
    <row r="1786">
      <c r="A1786">
        <f>IF(Sync!$Z1786="","",LEFT(UPPER(TRIM(Sync!$Z1786)),6))</f>
        <v/>
      </c>
      <c r="B1786">
        <f>IF($A1786="","",IF(Sync!$AA1786="","",Sync!$AA1786))</f>
        <v/>
      </c>
      <c r="C1786">
        <f>IF($A1786="","",IF(Sync!$AB1786="","",Sync!$AB1786))</f>
        <v/>
      </c>
      <c r="D1786">
        <f>IF($A1786="","",IF(Sync!$AC1786="","",Sync!$AC1786))</f>
        <v/>
      </c>
      <c r="E1786">
        <f>IF($A1786="","",IF(Sync!$AD1786="","",Sync!$AD1786))</f>
        <v/>
      </c>
      <c r="F1786">
        <f>IF($A1786="","",IF(Sync!$AE1786="",0,Sync!$AE1786))</f>
        <v/>
      </c>
      <c r="G1786">
        <f>IF($A1786="","",IF(Sync!$AF1786="",0,Sync!$AF1786))</f>
        <v/>
      </c>
      <c r="H1786">
        <f>IF(OR($A1786="",ROUND($F1786+$G1786,2)=0),"",$F1786+$G1786)</f>
        <v/>
      </c>
      <c r="I1786">
        <f>IF($H1786="","",IF(ROUND($F1786,2)&gt;0,$A1786,IF($D1786="شخصی قاسم","شخصی قاسم",IF($D1786="هزینه","هزینه: "&amp;IF($E1786="","متفرقه",$E1786),IF($C1786="پاس چک","چک پرداختی",IF(OR($B1786="",COUNTIF(AcctCodesA,$B1786)=0),"متفرقه",$B1786))))))</f>
        <v/>
      </c>
      <c r="J1786">
        <f>IF($H1786="","",IF(ROUND($F1786,2)&gt;0,IF($D1786="شخصی قاسم","شخصی قاسم",IF($D1786="هزینه","هزینه: "&amp;IF($E1786="","متفرقه",$E1786),IF(OR($B1786="",COUNTIF(AcctCodesA,$B1786)=0),"متفرقه",$B1786))),$A1786))</f>
        <v/>
      </c>
      <c r="K1786">
        <f>IF($A1786="","",IF(AND($B1786&lt;&gt;"",COUNTIF(AcctCodesA,$B1786)=0),"کد طرف در INFO تعریف نشده",IF(AND($D1786="هزینه",$E1786=""),"هزینه بدون زیرگروه",IF(AND($C1786="پاس چک",OR(Sync!$AJ1786="",COUNTIF(IssueNosA,Sync!$AJ1786)=0)),"شماره چک پاس‌شده معتبر نیست",""))))</f>
        <v/>
      </c>
      <c r="V1786">
        <f>IF($K1786="","",IF(ISNUMBER(Sync!$AK1786),Sync!$AK1786,LEFT(Sync!$AK1786,4)&amp;MID(Sync!$AK1786,6,2)&amp;RIGHT(Sync!$AK1786,2))&amp;"|"&amp;"4"&amp;RIGHT("00000"&amp;1781,5))</f>
        <v/>
      </c>
      <c r="W1786">
        <f>IF($V1786="",0,COUNTIFS($V$6:$V$2005,"&lt;"&amp;$V1786)-COUNTIFS($V$6:$V$2005,"&lt;"&amp;$V1786,$K$6:$K$2005,"")+1)</f>
        <v/>
      </c>
    </row>
    <row r="1787">
      <c r="A1787">
        <f>IF(Sync!$Z1787="","",LEFT(UPPER(TRIM(Sync!$Z1787)),6))</f>
        <v/>
      </c>
      <c r="B1787">
        <f>IF($A1787="","",IF(Sync!$AA1787="","",Sync!$AA1787))</f>
        <v/>
      </c>
      <c r="C1787">
        <f>IF($A1787="","",IF(Sync!$AB1787="","",Sync!$AB1787))</f>
        <v/>
      </c>
      <c r="D1787">
        <f>IF($A1787="","",IF(Sync!$AC1787="","",Sync!$AC1787))</f>
        <v/>
      </c>
      <c r="E1787">
        <f>IF($A1787="","",IF(Sync!$AD1787="","",Sync!$AD1787))</f>
        <v/>
      </c>
      <c r="F1787">
        <f>IF($A1787="","",IF(Sync!$AE1787="",0,Sync!$AE1787))</f>
        <v/>
      </c>
      <c r="G1787">
        <f>IF($A1787="","",IF(Sync!$AF1787="",0,Sync!$AF1787))</f>
        <v/>
      </c>
      <c r="H1787">
        <f>IF(OR($A1787="",ROUND($F1787+$G1787,2)=0),"",$F1787+$G1787)</f>
        <v/>
      </c>
      <c r="I1787">
        <f>IF($H1787="","",IF(ROUND($F1787,2)&gt;0,$A1787,IF($D1787="شخصی قاسم","شخصی قاسم",IF($D1787="هزینه","هزینه: "&amp;IF($E1787="","متفرقه",$E1787),IF($C1787="پاس چک","چک پرداختی",IF(OR($B1787="",COUNTIF(AcctCodesA,$B1787)=0),"متفرقه",$B1787))))))</f>
        <v/>
      </c>
      <c r="J1787">
        <f>IF($H1787="","",IF(ROUND($F1787,2)&gt;0,IF($D1787="شخصی قاسم","شخصی قاسم",IF($D1787="هزینه","هزینه: "&amp;IF($E1787="","متفرقه",$E1787),IF(OR($B1787="",COUNTIF(AcctCodesA,$B1787)=0),"متفرقه",$B1787))),$A1787))</f>
        <v/>
      </c>
      <c r="K1787">
        <f>IF($A1787="","",IF(AND($B1787&lt;&gt;"",COUNTIF(AcctCodesA,$B1787)=0),"کد طرف در INFO تعریف نشده",IF(AND($D1787="هزینه",$E1787=""),"هزینه بدون زیرگروه",IF(AND($C1787="پاس چک",OR(Sync!$AJ1787="",COUNTIF(IssueNosA,Sync!$AJ1787)=0)),"شماره چک پاس‌شده معتبر نیست",""))))</f>
        <v/>
      </c>
      <c r="V1787">
        <f>IF($K1787="","",IF(ISNUMBER(Sync!$AK1787),Sync!$AK1787,LEFT(Sync!$AK1787,4)&amp;MID(Sync!$AK1787,6,2)&amp;RIGHT(Sync!$AK1787,2))&amp;"|"&amp;"4"&amp;RIGHT("00000"&amp;1782,5))</f>
        <v/>
      </c>
      <c r="W1787">
        <f>IF($V1787="",0,COUNTIFS($V$6:$V$2005,"&lt;"&amp;$V1787)-COUNTIFS($V$6:$V$2005,"&lt;"&amp;$V1787,$K$6:$K$2005,"")+1)</f>
        <v/>
      </c>
    </row>
    <row r="1788">
      <c r="A1788">
        <f>IF(Sync!$Z1788="","",LEFT(UPPER(TRIM(Sync!$Z1788)),6))</f>
        <v/>
      </c>
      <c r="B1788">
        <f>IF($A1788="","",IF(Sync!$AA1788="","",Sync!$AA1788))</f>
        <v/>
      </c>
      <c r="C1788">
        <f>IF($A1788="","",IF(Sync!$AB1788="","",Sync!$AB1788))</f>
        <v/>
      </c>
      <c r="D1788">
        <f>IF($A1788="","",IF(Sync!$AC1788="","",Sync!$AC1788))</f>
        <v/>
      </c>
      <c r="E1788">
        <f>IF($A1788="","",IF(Sync!$AD1788="","",Sync!$AD1788))</f>
        <v/>
      </c>
      <c r="F1788">
        <f>IF($A1788="","",IF(Sync!$AE1788="",0,Sync!$AE1788))</f>
        <v/>
      </c>
      <c r="G1788">
        <f>IF($A1788="","",IF(Sync!$AF1788="",0,Sync!$AF1788))</f>
        <v/>
      </c>
      <c r="H1788">
        <f>IF(OR($A1788="",ROUND($F1788+$G1788,2)=0),"",$F1788+$G1788)</f>
        <v/>
      </c>
      <c r="I1788">
        <f>IF($H1788="","",IF(ROUND($F1788,2)&gt;0,$A1788,IF($D1788="شخصی قاسم","شخصی قاسم",IF($D1788="هزینه","هزینه: "&amp;IF($E1788="","متفرقه",$E1788),IF($C1788="پاس چک","چک پرداختی",IF(OR($B1788="",COUNTIF(AcctCodesA,$B1788)=0),"متفرقه",$B1788))))))</f>
        <v/>
      </c>
      <c r="J1788">
        <f>IF($H1788="","",IF(ROUND($F1788,2)&gt;0,IF($D1788="شخصی قاسم","شخصی قاسم",IF($D1788="هزینه","هزینه: "&amp;IF($E1788="","متفرقه",$E1788),IF(OR($B1788="",COUNTIF(AcctCodesA,$B1788)=0),"متفرقه",$B1788))),$A1788))</f>
        <v/>
      </c>
      <c r="K1788">
        <f>IF($A1788="","",IF(AND($B1788&lt;&gt;"",COUNTIF(AcctCodesA,$B1788)=0),"کد طرف در INFO تعریف نشده",IF(AND($D1788="هزینه",$E1788=""),"هزینه بدون زیرگروه",IF(AND($C1788="پاس چک",OR(Sync!$AJ1788="",COUNTIF(IssueNosA,Sync!$AJ1788)=0)),"شماره چک پاس‌شده معتبر نیست",""))))</f>
        <v/>
      </c>
      <c r="V1788">
        <f>IF($K1788="","",IF(ISNUMBER(Sync!$AK1788),Sync!$AK1788,LEFT(Sync!$AK1788,4)&amp;MID(Sync!$AK1788,6,2)&amp;RIGHT(Sync!$AK1788,2))&amp;"|"&amp;"4"&amp;RIGHT("00000"&amp;1783,5))</f>
        <v/>
      </c>
      <c r="W1788">
        <f>IF($V1788="",0,COUNTIFS($V$6:$V$2005,"&lt;"&amp;$V1788)-COUNTIFS($V$6:$V$2005,"&lt;"&amp;$V1788,$K$6:$K$2005,"")+1)</f>
        <v/>
      </c>
    </row>
    <row r="1789">
      <c r="A1789">
        <f>IF(Sync!$Z1789="","",LEFT(UPPER(TRIM(Sync!$Z1789)),6))</f>
        <v/>
      </c>
      <c r="B1789">
        <f>IF($A1789="","",IF(Sync!$AA1789="","",Sync!$AA1789))</f>
        <v/>
      </c>
      <c r="C1789">
        <f>IF($A1789="","",IF(Sync!$AB1789="","",Sync!$AB1789))</f>
        <v/>
      </c>
      <c r="D1789">
        <f>IF($A1789="","",IF(Sync!$AC1789="","",Sync!$AC1789))</f>
        <v/>
      </c>
      <c r="E1789">
        <f>IF($A1789="","",IF(Sync!$AD1789="","",Sync!$AD1789))</f>
        <v/>
      </c>
      <c r="F1789">
        <f>IF($A1789="","",IF(Sync!$AE1789="",0,Sync!$AE1789))</f>
        <v/>
      </c>
      <c r="G1789">
        <f>IF($A1789="","",IF(Sync!$AF1789="",0,Sync!$AF1789))</f>
        <v/>
      </c>
      <c r="H1789">
        <f>IF(OR($A1789="",ROUND($F1789+$G1789,2)=0),"",$F1789+$G1789)</f>
        <v/>
      </c>
      <c r="I1789">
        <f>IF($H1789="","",IF(ROUND($F1789,2)&gt;0,$A1789,IF($D1789="شخصی قاسم","شخصی قاسم",IF($D1789="هزینه","هزینه: "&amp;IF($E1789="","متفرقه",$E1789),IF($C1789="پاس چک","چک پرداختی",IF(OR($B1789="",COUNTIF(AcctCodesA,$B1789)=0),"متفرقه",$B1789))))))</f>
        <v/>
      </c>
      <c r="J1789">
        <f>IF($H1789="","",IF(ROUND($F1789,2)&gt;0,IF($D1789="شخصی قاسم","شخصی قاسم",IF($D1789="هزینه","هزینه: "&amp;IF($E1789="","متفرقه",$E1789),IF(OR($B1789="",COUNTIF(AcctCodesA,$B1789)=0),"متفرقه",$B1789))),$A1789))</f>
        <v/>
      </c>
      <c r="K1789">
        <f>IF($A1789="","",IF(AND($B1789&lt;&gt;"",COUNTIF(AcctCodesA,$B1789)=0),"کد طرف در INFO تعریف نشده",IF(AND($D1789="هزینه",$E1789=""),"هزینه بدون زیرگروه",IF(AND($C1789="پاس چک",OR(Sync!$AJ1789="",COUNTIF(IssueNosA,Sync!$AJ1789)=0)),"شماره چک پاس‌شده معتبر نیست",""))))</f>
        <v/>
      </c>
      <c r="V1789">
        <f>IF($K1789="","",IF(ISNUMBER(Sync!$AK1789),Sync!$AK1789,LEFT(Sync!$AK1789,4)&amp;MID(Sync!$AK1789,6,2)&amp;RIGHT(Sync!$AK1789,2))&amp;"|"&amp;"4"&amp;RIGHT("00000"&amp;1784,5))</f>
        <v/>
      </c>
      <c r="W1789">
        <f>IF($V1789="",0,COUNTIFS($V$6:$V$2005,"&lt;"&amp;$V1789)-COUNTIFS($V$6:$V$2005,"&lt;"&amp;$V1789,$K$6:$K$2005,"")+1)</f>
        <v/>
      </c>
    </row>
    <row r="1790">
      <c r="A1790">
        <f>IF(Sync!$Z1790="","",LEFT(UPPER(TRIM(Sync!$Z1790)),6))</f>
        <v/>
      </c>
      <c r="B1790">
        <f>IF($A1790="","",IF(Sync!$AA1790="","",Sync!$AA1790))</f>
        <v/>
      </c>
      <c r="C1790">
        <f>IF($A1790="","",IF(Sync!$AB1790="","",Sync!$AB1790))</f>
        <v/>
      </c>
      <c r="D1790">
        <f>IF($A1790="","",IF(Sync!$AC1790="","",Sync!$AC1790))</f>
        <v/>
      </c>
      <c r="E1790">
        <f>IF($A1790="","",IF(Sync!$AD1790="","",Sync!$AD1790))</f>
        <v/>
      </c>
      <c r="F1790">
        <f>IF($A1790="","",IF(Sync!$AE1790="",0,Sync!$AE1790))</f>
        <v/>
      </c>
      <c r="G1790">
        <f>IF($A1790="","",IF(Sync!$AF1790="",0,Sync!$AF1790))</f>
        <v/>
      </c>
      <c r="H1790">
        <f>IF(OR($A1790="",ROUND($F1790+$G1790,2)=0),"",$F1790+$G1790)</f>
        <v/>
      </c>
      <c r="I1790">
        <f>IF($H1790="","",IF(ROUND($F1790,2)&gt;0,$A1790,IF($D1790="شخصی قاسم","شخصی قاسم",IF($D1790="هزینه","هزینه: "&amp;IF($E1790="","متفرقه",$E1790),IF($C1790="پاس چک","چک پرداختی",IF(OR($B1790="",COUNTIF(AcctCodesA,$B1790)=0),"متفرقه",$B1790))))))</f>
        <v/>
      </c>
      <c r="J1790">
        <f>IF($H1790="","",IF(ROUND($F1790,2)&gt;0,IF($D1790="شخصی قاسم","شخصی قاسم",IF($D1790="هزینه","هزینه: "&amp;IF($E1790="","متفرقه",$E1790),IF(OR($B1790="",COUNTIF(AcctCodesA,$B1790)=0),"متفرقه",$B1790))),$A1790))</f>
        <v/>
      </c>
      <c r="K1790">
        <f>IF($A1790="","",IF(AND($B1790&lt;&gt;"",COUNTIF(AcctCodesA,$B1790)=0),"کد طرف در INFO تعریف نشده",IF(AND($D1790="هزینه",$E1790=""),"هزینه بدون زیرگروه",IF(AND($C1790="پاس چک",OR(Sync!$AJ1790="",COUNTIF(IssueNosA,Sync!$AJ1790)=0)),"شماره چک پاس‌شده معتبر نیست",""))))</f>
        <v/>
      </c>
      <c r="V1790">
        <f>IF($K1790="","",IF(ISNUMBER(Sync!$AK1790),Sync!$AK1790,LEFT(Sync!$AK1790,4)&amp;MID(Sync!$AK1790,6,2)&amp;RIGHT(Sync!$AK1790,2))&amp;"|"&amp;"4"&amp;RIGHT("00000"&amp;1785,5))</f>
        <v/>
      </c>
      <c r="W1790">
        <f>IF($V1790="",0,COUNTIFS($V$6:$V$2005,"&lt;"&amp;$V1790)-COUNTIFS($V$6:$V$2005,"&lt;"&amp;$V1790,$K$6:$K$2005,"")+1)</f>
        <v/>
      </c>
    </row>
    <row r="1791">
      <c r="A1791">
        <f>IF(Sync!$Z1791="","",LEFT(UPPER(TRIM(Sync!$Z1791)),6))</f>
        <v/>
      </c>
      <c r="B1791">
        <f>IF($A1791="","",IF(Sync!$AA1791="","",Sync!$AA1791))</f>
        <v/>
      </c>
      <c r="C1791">
        <f>IF($A1791="","",IF(Sync!$AB1791="","",Sync!$AB1791))</f>
        <v/>
      </c>
      <c r="D1791">
        <f>IF($A1791="","",IF(Sync!$AC1791="","",Sync!$AC1791))</f>
        <v/>
      </c>
      <c r="E1791">
        <f>IF($A1791="","",IF(Sync!$AD1791="","",Sync!$AD1791))</f>
        <v/>
      </c>
      <c r="F1791">
        <f>IF($A1791="","",IF(Sync!$AE1791="",0,Sync!$AE1791))</f>
        <v/>
      </c>
      <c r="G1791">
        <f>IF($A1791="","",IF(Sync!$AF1791="",0,Sync!$AF1791))</f>
        <v/>
      </c>
      <c r="H1791">
        <f>IF(OR($A1791="",ROUND($F1791+$G1791,2)=0),"",$F1791+$G1791)</f>
        <v/>
      </c>
      <c r="I1791">
        <f>IF($H1791="","",IF(ROUND($F1791,2)&gt;0,$A1791,IF($D1791="شخصی قاسم","شخصی قاسم",IF($D1791="هزینه","هزینه: "&amp;IF($E1791="","متفرقه",$E1791),IF($C1791="پاس چک","چک پرداختی",IF(OR($B1791="",COUNTIF(AcctCodesA,$B1791)=0),"متفرقه",$B1791))))))</f>
        <v/>
      </c>
      <c r="J1791">
        <f>IF($H1791="","",IF(ROUND($F1791,2)&gt;0,IF($D1791="شخصی قاسم","شخصی قاسم",IF($D1791="هزینه","هزینه: "&amp;IF($E1791="","متفرقه",$E1791),IF(OR($B1791="",COUNTIF(AcctCodesA,$B1791)=0),"متفرقه",$B1791))),$A1791))</f>
        <v/>
      </c>
      <c r="K1791">
        <f>IF($A1791="","",IF(AND($B1791&lt;&gt;"",COUNTIF(AcctCodesA,$B1791)=0),"کد طرف در INFO تعریف نشده",IF(AND($D1791="هزینه",$E1791=""),"هزینه بدون زیرگروه",IF(AND($C1791="پاس چک",OR(Sync!$AJ1791="",COUNTIF(IssueNosA,Sync!$AJ1791)=0)),"شماره چک پاس‌شده معتبر نیست",""))))</f>
        <v/>
      </c>
      <c r="V1791">
        <f>IF($K1791="","",IF(ISNUMBER(Sync!$AK1791),Sync!$AK1791,LEFT(Sync!$AK1791,4)&amp;MID(Sync!$AK1791,6,2)&amp;RIGHT(Sync!$AK1791,2))&amp;"|"&amp;"4"&amp;RIGHT("00000"&amp;1786,5))</f>
        <v/>
      </c>
      <c r="W1791">
        <f>IF($V1791="",0,COUNTIFS($V$6:$V$2005,"&lt;"&amp;$V1791)-COUNTIFS($V$6:$V$2005,"&lt;"&amp;$V1791,$K$6:$K$2005,"")+1)</f>
        <v/>
      </c>
    </row>
    <row r="1792">
      <c r="A1792">
        <f>IF(Sync!$Z1792="","",LEFT(UPPER(TRIM(Sync!$Z1792)),6))</f>
        <v/>
      </c>
      <c r="B1792">
        <f>IF($A1792="","",IF(Sync!$AA1792="","",Sync!$AA1792))</f>
        <v/>
      </c>
      <c r="C1792">
        <f>IF($A1792="","",IF(Sync!$AB1792="","",Sync!$AB1792))</f>
        <v/>
      </c>
      <c r="D1792">
        <f>IF($A1792="","",IF(Sync!$AC1792="","",Sync!$AC1792))</f>
        <v/>
      </c>
      <c r="E1792">
        <f>IF($A1792="","",IF(Sync!$AD1792="","",Sync!$AD1792))</f>
        <v/>
      </c>
      <c r="F1792">
        <f>IF($A1792="","",IF(Sync!$AE1792="",0,Sync!$AE1792))</f>
        <v/>
      </c>
      <c r="G1792">
        <f>IF($A1792="","",IF(Sync!$AF1792="",0,Sync!$AF1792))</f>
        <v/>
      </c>
      <c r="H1792">
        <f>IF(OR($A1792="",ROUND($F1792+$G1792,2)=0),"",$F1792+$G1792)</f>
        <v/>
      </c>
      <c r="I1792">
        <f>IF($H1792="","",IF(ROUND($F1792,2)&gt;0,$A1792,IF($D1792="شخصی قاسم","شخصی قاسم",IF($D1792="هزینه","هزینه: "&amp;IF($E1792="","متفرقه",$E1792),IF($C1792="پاس چک","چک پرداختی",IF(OR($B1792="",COUNTIF(AcctCodesA,$B1792)=0),"متفرقه",$B1792))))))</f>
        <v/>
      </c>
      <c r="J1792">
        <f>IF($H1792="","",IF(ROUND($F1792,2)&gt;0,IF($D1792="شخصی قاسم","شخصی قاسم",IF($D1792="هزینه","هزینه: "&amp;IF($E1792="","متفرقه",$E1792),IF(OR($B1792="",COUNTIF(AcctCodesA,$B1792)=0),"متفرقه",$B1792))),$A1792))</f>
        <v/>
      </c>
      <c r="K1792">
        <f>IF($A1792="","",IF(AND($B1792&lt;&gt;"",COUNTIF(AcctCodesA,$B1792)=0),"کد طرف در INFO تعریف نشده",IF(AND($D1792="هزینه",$E1792=""),"هزینه بدون زیرگروه",IF(AND($C1792="پاس چک",OR(Sync!$AJ1792="",COUNTIF(IssueNosA,Sync!$AJ1792)=0)),"شماره چک پاس‌شده معتبر نیست",""))))</f>
        <v/>
      </c>
      <c r="V1792">
        <f>IF($K1792="","",IF(ISNUMBER(Sync!$AK1792),Sync!$AK1792,LEFT(Sync!$AK1792,4)&amp;MID(Sync!$AK1792,6,2)&amp;RIGHT(Sync!$AK1792,2))&amp;"|"&amp;"4"&amp;RIGHT("00000"&amp;1787,5))</f>
        <v/>
      </c>
      <c r="W1792">
        <f>IF($V1792="",0,COUNTIFS($V$6:$V$2005,"&lt;"&amp;$V1792)-COUNTIFS($V$6:$V$2005,"&lt;"&amp;$V1792,$K$6:$K$2005,"")+1)</f>
        <v/>
      </c>
    </row>
    <row r="1793">
      <c r="A1793">
        <f>IF(Sync!$Z1793="","",LEFT(UPPER(TRIM(Sync!$Z1793)),6))</f>
        <v/>
      </c>
      <c r="B1793">
        <f>IF($A1793="","",IF(Sync!$AA1793="","",Sync!$AA1793))</f>
        <v/>
      </c>
      <c r="C1793">
        <f>IF($A1793="","",IF(Sync!$AB1793="","",Sync!$AB1793))</f>
        <v/>
      </c>
      <c r="D1793">
        <f>IF($A1793="","",IF(Sync!$AC1793="","",Sync!$AC1793))</f>
        <v/>
      </c>
      <c r="E1793">
        <f>IF($A1793="","",IF(Sync!$AD1793="","",Sync!$AD1793))</f>
        <v/>
      </c>
      <c r="F1793">
        <f>IF($A1793="","",IF(Sync!$AE1793="",0,Sync!$AE1793))</f>
        <v/>
      </c>
      <c r="G1793">
        <f>IF($A1793="","",IF(Sync!$AF1793="",0,Sync!$AF1793))</f>
        <v/>
      </c>
      <c r="H1793">
        <f>IF(OR($A1793="",ROUND($F1793+$G1793,2)=0),"",$F1793+$G1793)</f>
        <v/>
      </c>
      <c r="I1793">
        <f>IF($H1793="","",IF(ROUND($F1793,2)&gt;0,$A1793,IF($D1793="شخصی قاسم","شخصی قاسم",IF($D1793="هزینه","هزینه: "&amp;IF($E1793="","متفرقه",$E1793),IF($C1793="پاس چک","چک پرداختی",IF(OR($B1793="",COUNTIF(AcctCodesA,$B1793)=0),"متفرقه",$B1793))))))</f>
        <v/>
      </c>
      <c r="J1793">
        <f>IF($H1793="","",IF(ROUND($F1793,2)&gt;0,IF($D1793="شخصی قاسم","شخصی قاسم",IF($D1793="هزینه","هزینه: "&amp;IF($E1793="","متفرقه",$E1793),IF(OR($B1793="",COUNTIF(AcctCodesA,$B1793)=0),"متفرقه",$B1793))),$A1793))</f>
        <v/>
      </c>
      <c r="K1793">
        <f>IF($A1793="","",IF(AND($B1793&lt;&gt;"",COUNTIF(AcctCodesA,$B1793)=0),"کد طرف در INFO تعریف نشده",IF(AND($D1793="هزینه",$E1793=""),"هزینه بدون زیرگروه",IF(AND($C1793="پاس چک",OR(Sync!$AJ1793="",COUNTIF(IssueNosA,Sync!$AJ1793)=0)),"شماره چک پاس‌شده معتبر نیست",""))))</f>
        <v/>
      </c>
      <c r="V1793">
        <f>IF($K1793="","",IF(ISNUMBER(Sync!$AK1793),Sync!$AK1793,LEFT(Sync!$AK1793,4)&amp;MID(Sync!$AK1793,6,2)&amp;RIGHT(Sync!$AK1793,2))&amp;"|"&amp;"4"&amp;RIGHT("00000"&amp;1788,5))</f>
        <v/>
      </c>
      <c r="W1793">
        <f>IF($V1793="",0,COUNTIFS($V$6:$V$2005,"&lt;"&amp;$V1793)-COUNTIFS($V$6:$V$2005,"&lt;"&amp;$V1793,$K$6:$K$2005,"")+1)</f>
        <v/>
      </c>
    </row>
    <row r="1794">
      <c r="A1794">
        <f>IF(Sync!$Z1794="","",LEFT(UPPER(TRIM(Sync!$Z1794)),6))</f>
        <v/>
      </c>
      <c r="B1794">
        <f>IF($A1794="","",IF(Sync!$AA1794="","",Sync!$AA1794))</f>
        <v/>
      </c>
      <c r="C1794">
        <f>IF($A1794="","",IF(Sync!$AB1794="","",Sync!$AB1794))</f>
        <v/>
      </c>
      <c r="D1794">
        <f>IF($A1794="","",IF(Sync!$AC1794="","",Sync!$AC1794))</f>
        <v/>
      </c>
      <c r="E1794">
        <f>IF($A1794="","",IF(Sync!$AD1794="","",Sync!$AD1794))</f>
        <v/>
      </c>
      <c r="F1794">
        <f>IF($A1794="","",IF(Sync!$AE1794="",0,Sync!$AE1794))</f>
        <v/>
      </c>
      <c r="G1794">
        <f>IF($A1794="","",IF(Sync!$AF1794="",0,Sync!$AF1794))</f>
        <v/>
      </c>
      <c r="H1794">
        <f>IF(OR($A1794="",ROUND($F1794+$G1794,2)=0),"",$F1794+$G1794)</f>
        <v/>
      </c>
      <c r="I1794">
        <f>IF($H1794="","",IF(ROUND($F1794,2)&gt;0,$A1794,IF($D1794="شخصی قاسم","شخصی قاسم",IF($D1794="هزینه","هزینه: "&amp;IF($E1794="","متفرقه",$E1794),IF($C1794="پاس چک","چک پرداختی",IF(OR($B1794="",COUNTIF(AcctCodesA,$B1794)=0),"متفرقه",$B1794))))))</f>
        <v/>
      </c>
      <c r="J1794">
        <f>IF($H1794="","",IF(ROUND($F1794,2)&gt;0,IF($D1794="شخصی قاسم","شخصی قاسم",IF($D1794="هزینه","هزینه: "&amp;IF($E1794="","متفرقه",$E1794),IF(OR($B1794="",COUNTIF(AcctCodesA,$B1794)=0),"متفرقه",$B1794))),$A1794))</f>
        <v/>
      </c>
      <c r="K1794">
        <f>IF($A1794="","",IF(AND($B1794&lt;&gt;"",COUNTIF(AcctCodesA,$B1794)=0),"کد طرف در INFO تعریف نشده",IF(AND($D1794="هزینه",$E1794=""),"هزینه بدون زیرگروه",IF(AND($C1794="پاس چک",OR(Sync!$AJ1794="",COUNTIF(IssueNosA,Sync!$AJ1794)=0)),"شماره چک پاس‌شده معتبر نیست",""))))</f>
        <v/>
      </c>
      <c r="V1794">
        <f>IF($K1794="","",IF(ISNUMBER(Sync!$AK1794),Sync!$AK1794,LEFT(Sync!$AK1794,4)&amp;MID(Sync!$AK1794,6,2)&amp;RIGHT(Sync!$AK1794,2))&amp;"|"&amp;"4"&amp;RIGHT("00000"&amp;1789,5))</f>
        <v/>
      </c>
      <c r="W1794">
        <f>IF($V1794="",0,COUNTIFS($V$6:$V$2005,"&lt;"&amp;$V1794)-COUNTIFS($V$6:$V$2005,"&lt;"&amp;$V1794,$K$6:$K$2005,"")+1)</f>
        <v/>
      </c>
    </row>
    <row r="1795">
      <c r="A1795">
        <f>IF(Sync!$Z1795="","",LEFT(UPPER(TRIM(Sync!$Z1795)),6))</f>
        <v/>
      </c>
      <c r="B1795">
        <f>IF($A1795="","",IF(Sync!$AA1795="","",Sync!$AA1795))</f>
        <v/>
      </c>
      <c r="C1795">
        <f>IF($A1795="","",IF(Sync!$AB1795="","",Sync!$AB1795))</f>
        <v/>
      </c>
      <c r="D1795">
        <f>IF($A1795="","",IF(Sync!$AC1795="","",Sync!$AC1795))</f>
        <v/>
      </c>
      <c r="E1795">
        <f>IF($A1795="","",IF(Sync!$AD1795="","",Sync!$AD1795))</f>
        <v/>
      </c>
      <c r="F1795">
        <f>IF($A1795="","",IF(Sync!$AE1795="",0,Sync!$AE1795))</f>
        <v/>
      </c>
      <c r="G1795">
        <f>IF($A1795="","",IF(Sync!$AF1795="",0,Sync!$AF1795))</f>
        <v/>
      </c>
      <c r="H1795">
        <f>IF(OR($A1795="",ROUND($F1795+$G1795,2)=0),"",$F1795+$G1795)</f>
        <v/>
      </c>
      <c r="I1795">
        <f>IF($H1795="","",IF(ROUND($F1795,2)&gt;0,$A1795,IF($D1795="شخصی قاسم","شخصی قاسم",IF($D1795="هزینه","هزینه: "&amp;IF($E1795="","متفرقه",$E1795),IF($C1795="پاس چک","چک پرداختی",IF(OR($B1795="",COUNTIF(AcctCodesA,$B1795)=0),"متفرقه",$B1795))))))</f>
        <v/>
      </c>
      <c r="J1795">
        <f>IF($H1795="","",IF(ROUND($F1795,2)&gt;0,IF($D1795="شخصی قاسم","شخصی قاسم",IF($D1795="هزینه","هزینه: "&amp;IF($E1795="","متفرقه",$E1795),IF(OR($B1795="",COUNTIF(AcctCodesA,$B1795)=0),"متفرقه",$B1795))),$A1795))</f>
        <v/>
      </c>
      <c r="K1795">
        <f>IF($A1795="","",IF(AND($B1795&lt;&gt;"",COUNTIF(AcctCodesA,$B1795)=0),"کد طرف در INFO تعریف نشده",IF(AND($D1795="هزینه",$E1795=""),"هزینه بدون زیرگروه",IF(AND($C1795="پاس چک",OR(Sync!$AJ1795="",COUNTIF(IssueNosA,Sync!$AJ1795)=0)),"شماره چک پاس‌شده معتبر نیست",""))))</f>
        <v/>
      </c>
      <c r="V1795">
        <f>IF($K1795="","",IF(ISNUMBER(Sync!$AK1795),Sync!$AK1795,LEFT(Sync!$AK1795,4)&amp;MID(Sync!$AK1795,6,2)&amp;RIGHT(Sync!$AK1795,2))&amp;"|"&amp;"4"&amp;RIGHT("00000"&amp;1790,5))</f>
        <v/>
      </c>
      <c r="W1795">
        <f>IF($V1795="",0,COUNTIFS($V$6:$V$2005,"&lt;"&amp;$V1795)-COUNTIFS($V$6:$V$2005,"&lt;"&amp;$V1795,$K$6:$K$2005,"")+1)</f>
        <v/>
      </c>
    </row>
    <row r="1796">
      <c r="A1796">
        <f>IF(Sync!$Z1796="","",LEFT(UPPER(TRIM(Sync!$Z1796)),6))</f>
        <v/>
      </c>
      <c r="B1796">
        <f>IF($A1796="","",IF(Sync!$AA1796="","",Sync!$AA1796))</f>
        <v/>
      </c>
      <c r="C1796">
        <f>IF($A1796="","",IF(Sync!$AB1796="","",Sync!$AB1796))</f>
        <v/>
      </c>
      <c r="D1796">
        <f>IF($A1796="","",IF(Sync!$AC1796="","",Sync!$AC1796))</f>
        <v/>
      </c>
      <c r="E1796">
        <f>IF($A1796="","",IF(Sync!$AD1796="","",Sync!$AD1796))</f>
        <v/>
      </c>
      <c r="F1796">
        <f>IF($A1796="","",IF(Sync!$AE1796="",0,Sync!$AE1796))</f>
        <v/>
      </c>
      <c r="G1796">
        <f>IF($A1796="","",IF(Sync!$AF1796="",0,Sync!$AF1796))</f>
        <v/>
      </c>
      <c r="H1796">
        <f>IF(OR($A1796="",ROUND($F1796+$G1796,2)=0),"",$F1796+$G1796)</f>
        <v/>
      </c>
      <c r="I1796">
        <f>IF($H1796="","",IF(ROUND($F1796,2)&gt;0,$A1796,IF($D1796="شخصی قاسم","شخصی قاسم",IF($D1796="هزینه","هزینه: "&amp;IF($E1796="","متفرقه",$E1796),IF($C1796="پاس چک","چک پرداختی",IF(OR($B1796="",COUNTIF(AcctCodesA,$B1796)=0),"متفرقه",$B1796))))))</f>
        <v/>
      </c>
      <c r="J1796">
        <f>IF($H1796="","",IF(ROUND($F1796,2)&gt;0,IF($D1796="شخصی قاسم","شخصی قاسم",IF($D1796="هزینه","هزینه: "&amp;IF($E1796="","متفرقه",$E1796),IF(OR($B1796="",COUNTIF(AcctCodesA,$B1796)=0),"متفرقه",$B1796))),$A1796))</f>
        <v/>
      </c>
      <c r="K1796">
        <f>IF($A1796="","",IF(AND($B1796&lt;&gt;"",COUNTIF(AcctCodesA,$B1796)=0),"کد طرف در INFO تعریف نشده",IF(AND($D1796="هزینه",$E1796=""),"هزینه بدون زیرگروه",IF(AND($C1796="پاس چک",OR(Sync!$AJ1796="",COUNTIF(IssueNosA,Sync!$AJ1796)=0)),"شماره چک پاس‌شده معتبر نیست",""))))</f>
        <v/>
      </c>
      <c r="V1796">
        <f>IF($K1796="","",IF(ISNUMBER(Sync!$AK1796),Sync!$AK1796,LEFT(Sync!$AK1796,4)&amp;MID(Sync!$AK1796,6,2)&amp;RIGHT(Sync!$AK1796,2))&amp;"|"&amp;"4"&amp;RIGHT("00000"&amp;1791,5))</f>
        <v/>
      </c>
      <c r="W1796">
        <f>IF($V1796="",0,COUNTIFS($V$6:$V$2005,"&lt;"&amp;$V1796)-COUNTIFS($V$6:$V$2005,"&lt;"&amp;$V1796,$K$6:$K$2005,"")+1)</f>
        <v/>
      </c>
    </row>
    <row r="1797">
      <c r="A1797">
        <f>IF(Sync!$Z1797="","",LEFT(UPPER(TRIM(Sync!$Z1797)),6))</f>
        <v/>
      </c>
      <c r="B1797">
        <f>IF($A1797="","",IF(Sync!$AA1797="","",Sync!$AA1797))</f>
        <v/>
      </c>
      <c r="C1797">
        <f>IF($A1797="","",IF(Sync!$AB1797="","",Sync!$AB1797))</f>
        <v/>
      </c>
      <c r="D1797">
        <f>IF($A1797="","",IF(Sync!$AC1797="","",Sync!$AC1797))</f>
        <v/>
      </c>
      <c r="E1797">
        <f>IF($A1797="","",IF(Sync!$AD1797="","",Sync!$AD1797))</f>
        <v/>
      </c>
      <c r="F1797">
        <f>IF($A1797="","",IF(Sync!$AE1797="",0,Sync!$AE1797))</f>
        <v/>
      </c>
      <c r="G1797">
        <f>IF($A1797="","",IF(Sync!$AF1797="",0,Sync!$AF1797))</f>
        <v/>
      </c>
      <c r="H1797">
        <f>IF(OR($A1797="",ROUND($F1797+$G1797,2)=0),"",$F1797+$G1797)</f>
        <v/>
      </c>
      <c r="I1797">
        <f>IF($H1797="","",IF(ROUND($F1797,2)&gt;0,$A1797,IF($D1797="شخصی قاسم","شخصی قاسم",IF($D1797="هزینه","هزینه: "&amp;IF($E1797="","متفرقه",$E1797),IF($C1797="پاس چک","چک پرداختی",IF(OR($B1797="",COUNTIF(AcctCodesA,$B1797)=0),"متفرقه",$B1797))))))</f>
        <v/>
      </c>
      <c r="J1797">
        <f>IF($H1797="","",IF(ROUND($F1797,2)&gt;0,IF($D1797="شخصی قاسم","شخصی قاسم",IF($D1797="هزینه","هزینه: "&amp;IF($E1797="","متفرقه",$E1797),IF(OR($B1797="",COUNTIF(AcctCodesA,$B1797)=0),"متفرقه",$B1797))),$A1797))</f>
        <v/>
      </c>
      <c r="K1797">
        <f>IF($A1797="","",IF(AND($B1797&lt;&gt;"",COUNTIF(AcctCodesA,$B1797)=0),"کد طرف در INFO تعریف نشده",IF(AND($D1797="هزینه",$E1797=""),"هزینه بدون زیرگروه",IF(AND($C1797="پاس چک",OR(Sync!$AJ1797="",COUNTIF(IssueNosA,Sync!$AJ1797)=0)),"شماره چک پاس‌شده معتبر نیست",""))))</f>
        <v/>
      </c>
      <c r="V1797">
        <f>IF($K1797="","",IF(ISNUMBER(Sync!$AK1797),Sync!$AK1797,LEFT(Sync!$AK1797,4)&amp;MID(Sync!$AK1797,6,2)&amp;RIGHT(Sync!$AK1797,2))&amp;"|"&amp;"4"&amp;RIGHT("00000"&amp;1792,5))</f>
        <v/>
      </c>
      <c r="W1797">
        <f>IF($V1797="",0,COUNTIFS($V$6:$V$2005,"&lt;"&amp;$V1797)-COUNTIFS($V$6:$V$2005,"&lt;"&amp;$V1797,$K$6:$K$2005,"")+1)</f>
        <v/>
      </c>
    </row>
    <row r="1798">
      <c r="A1798">
        <f>IF(Sync!$Z1798="","",LEFT(UPPER(TRIM(Sync!$Z1798)),6))</f>
        <v/>
      </c>
      <c r="B1798">
        <f>IF($A1798="","",IF(Sync!$AA1798="","",Sync!$AA1798))</f>
        <v/>
      </c>
      <c r="C1798">
        <f>IF($A1798="","",IF(Sync!$AB1798="","",Sync!$AB1798))</f>
        <v/>
      </c>
      <c r="D1798">
        <f>IF($A1798="","",IF(Sync!$AC1798="","",Sync!$AC1798))</f>
        <v/>
      </c>
      <c r="E1798">
        <f>IF($A1798="","",IF(Sync!$AD1798="","",Sync!$AD1798))</f>
        <v/>
      </c>
      <c r="F1798">
        <f>IF($A1798="","",IF(Sync!$AE1798="",0,Sync!$AE1798))</f>
        <v/>
      </c>
      <c r="G1798">
        <f>IF($A1798="","",IF(Sync!$AF1798="",0,Sync!$AF1798))</f>
        <v/>
      </c>
      <c r="H1798">
        <f>IF(OR($A1798="",ROUND($F1798+$G1798,2)=0),"",$F1798+$G1798)</f>
        <v/>
      </c>
      <c r="I1798">
        <f>IF($H1798="","",IF(ROUND($F1798,2)&gt;0,$A1798,IF($D1798="شخصی قاسم","شخصی قاسم",IF($D1798="هزینه","هزینه: "&amp;IF($E1798="","متفرقه",$E1798),IF($C1798="پاس چک","چک پرداختی",IF(OR($B1798="",COUNTIF(AcctCodesA,$B1798)=0),"متفرقه",$B1798))))))</f>
        <v/>
      </c>
      <c r="J1798">
        <f>IF($H1798="","",IF(ROUND($F1798,2)&gt;0,IF($D1798="شخصی قاسم","شخصی قاسم",IF($D1798="هزینه","هزینه: "&amp;IF($E1798="","متفرقه",$E1798),IF(OR($B1798="",COUNTIF(AcctCodesA,$B1798)=0),"متفرقه",$B1798))),$A1798))</f>
        <v/>
      </c>
      <c r="K1798">
        <f>IF($A1798="","",IF(AND($B1798&lt;&gt;"",COUNTIF(AcctCodesA,$B1798)=0),"کد طرف در INFO تعریف نشده",IF(AND($D1798="هزینه",$E1798=""),"هزینه بدون زیرگروه",IF(AND($C1798="پاس چک",OR(Sync!$AJ1798="",COUNTIF(IssueNosA,Sync!$AJ1798)=0)),"شماره چک پاس‌شده معتبر نیست",""))))</f>
        <v/>
      </c>
      <c r="V1798">
        <f>IF($K1798="","",IF(ISNUMBER(Sync!$AK1798),Sync!$AK1798,LEFT(Sync!$AK1798,4)&amp;MID(Sync!$AK1798,6,2)&amp;RIGHT(Sync!$AK1798,2))&amp;"|"&amp;"4"&amp;RIGHT("00000"&amp;1793,5))</f>
        <v/>
      </c>
      <c r="W1798">
        <f>IF($V1798="",0,COUNTIFS($V$6:$V$2005,"&lt;"&amp;$V1798)-COUNTIFS($V$6:$V$2005,"&lt;"&amp;$V1798,$K$6:$K$2005,"")+1)</f>
        <v/>
      </c>
    </row>
    <row r="1799">
      <c r="A1799">
        <f>IF(Sync!$Z1799="","",LEFT(UPPER(TRIM(Sync!$Z1799)),6))</f>
        <v/>
      </c>
      <c r="B1799">
        <f>IF($A1799="","",IF(Sync!$AA1799="","",Sync!$AA1799))</f>
        <v/>
      </c>
      <c r="C1799">
        <f>IF($A1799="","",IF(Sync!$AB1799="","",Sync!$AB1799))</f>
        <v/>
      </c>
      <c r="D1799">
        <f>IF($A1799="","",IF(Sync!$AC1799="","",Sync!$AC1799))</f>
        <v/>
      </c>
      <c r="E1799">
        <f>IF($A1799="","",IF(Sync!$AD1799="","",Sync!$AD1799))</f>
        <v/>
      </c>
      <c r="F1799">
        <f>IF($A1799="","",IF(Sync!$AE1799="",0,Sync!$AE1799))</f>
        <v/>
      </c>
      <c r="G1799">
        <f>IF($A1799="","",IF(Sync!$AF1799="",0,Sync!$AF1799))</f>
        <v/>
      </c>
      <c r="H1799">
        <f>IF(OR($A1799="",ROUND($F1799+$G1799,2)=0),"",$F1799+$G1799)</f>
        <v/>
      </c>
      <c r="I1799">
        <f>IF($H1799="","",IF(ROUND($F1799,2)&gt;0,$A1799,IF($D1799="شخصی قاسم","شخصی قاسم",IF($D1799="هزینه","هزینه: "&amp;IF($E1799="","متفرقه",$E1799),IF($C1799="پاس چک","چک پرداختی",IF(OR($B1799="",COUNTIF(AcctCodesA,$B1799)=0),"متفرقه",$B1799))))))</f>
        <v/>
      </c>
      <c r="J1799">
        <f>IF($H1799="","",IF(ROUND($F1799,2)&gt;0,IF($D1799="شخصی قاسم","شخصی قاسم",IF($D1799="هزینه","هزینه: "&amp;IF($E1799="","متفرقه",$E1799),IF(OR($B1799="",COUNTIF(AcctCodesA,$B1799)=0),"متفرقه",$B1799))),$A1799))</f>
        <v/>
      </c>
      <c r="K1799">
        <f>IF($A1799="","",IF(AND($B1799&lt;&gt;"",COUNTIF(AcctCodesA,$B1799)=0),"کد طرف در INFO تعریف نشده",IF(AND($D1799="هزینه",$E1799=""),"هزینه بدون زیرگروه",IF(AND($C1799="پاس چک",OR(Sync!$AJ1799="",COUNTIF(IssueNosA,Sync!$AJ1799)=0)),"شماره چک پاس‌شده معتبر نیست",""))))</f>
        <v/>
      </c>
      <c r="V1799">
        <f>IF($K1799="","",IF(ISNUMBER(Sync!$AK1799),Sync!$AK1799,LEFT(Sync!$AK1799,4)&amp;MID(Sync!$AK1799,6,2)&amp;RIGHT(Sync!$AK1799,2))&amp;"|"&amp;"4"&amp;RIGHT("00000"&amp;1794,5))</f>
        <v/>
      </c>
      <c r="W1799">
        <f>IF($V1799="",0,COUNTIFS($V$6:$V$2005,"&lt;"&amp;$V1799)-COUNTIFS($V$6:$V$2005,"&lt;"&amp;$V1799,$K$6:$K$2005,"")+1)</f>
        <v/>
      </c>
    </row>
    <row r="1800">
      <c r="A1800">
        <f>IF(Sync!$Z1800="","",LEFT(UPPER(TRIM(Sync!$Z1800)),6))</f>
        <v/>
      </c>
      <c r="B1800">
        <f>IF($A1800="","",IF(Sync!$AA1800="","",Sync!$AA1800))</f>
        <v/>
      </c>
      <c r="C1800">
        <f>IF($A1800="","",IF(Sync!$AB1800="","",Sync!$AB1800))</f>
        <v/>
      </c>
      <c r="D1800">
        <f>IF($A1800="","",IF(Sync!$AC1800="","",Sync!$AC1800))</f>
        <v/>
      </c>
      <c r="E1800">
        <f>IF($A1800="","",IF(Sync!$AD1800="","",Sync!$AD1800))</f>
        <v/>
      </c>
      <c r="F1800">
        <f>IF($A1800="","",IF(Sync!$AE1800="",0,Sync!$AE1800))</f>
        <v/>
      </c>
      <c r="G1800">
        <f>IF($A1800="","",IF(Sync!$AF1800="",0,Sync!$AF1800))</f>
        <v/>
      </c>
      <c r="H1800">
        <f>IF(OR($A1800="",ROUND($F1800+$G1800,2)=0),"",$F1800+$G1800)</f>
        <v/>
      </c>
      <c r="I1800">
        <f>IF($H1800="","",IF(ROUND($F1800,2)&gt;0,$A1800,IF($D1800="شخصی قاسم","شخصی قاسم",IF($D1800="هزینه","هزینه: "&amp;IF($E1800="","متفرقه",$E1800),IF($C1800="پاس چک","چک پرداختی",IF(OR($B1800="",COUNTIF(AcctCodesA,$B1800)=0),"متفرقه",$B1800))))))</f>
        <v/>
      </c>
      <c r="J1800">
        <f>IF($H1800="","",IF(ROUND($F1800,2)&gt;0,IF($D1800="شخصی قاسم","شخصی قاسم",IF($D1800="هزینه","هزینه: "&amp;IF($E1800="","متفرقه",$E1800),IF(OR($B1800="",COUNTIF(AcctCodesA,$B1800)=0),"متفرقه",$B1800))),$A1800))</f>
        <v/>
      </c>
      <c r="K1800">
        <f>IF($A1800="","",IF(AND($B1800&lt;&gt;"",COUNTIF(AcctCodesA,$B1800)=0),"کد طرف در INFO تعریف نشده",IF(AND($D1800="هزینه",$E1800=""),"هزینه بدون زیرگروه",IF(AND($C1800="پاس چک",OR(Sync!$AJ1800="",COUNTIF(IssueNosA,Sync!$AJ1800)=0)),"شماره چک پاس‌شده معتبر نیست",""))))</f>
        <v/>
      </c>
      <c r="V1800">
        <f>IF($K1800="","",IF(ISNUMBER(Sync!$AK1800),Sync!$AK1800,LEFT(Sync!$AK1800,4)&amp;MID(Sync!$AK1800,6,2)&amp;RIGHT(Sync!$AK1800,2))&amp;"|"&amp;"4"&amp;RIGHT("00000"&amp;1795,5))</f>
        <v/>
      </c>
      <c r="W1800">
        <f>IF($V1800="",0,COUNTIFS($V$6:$V$2005,"&lt;"&amp;$V1800)-COUNTIFS($V$6:$V$2005,"&lt;"&amp;$V1800,$K$6:$K$2005,"")+1)</f>
        <v/>
      </c>
    </row>
    <row r="1801">
      <c r="A1801">
        <f>IF(Sync!$Z1801="","",LEFT(UPPER(TRIM(Sync!$Z1801)),6))</f>
        <v/>
      </c>
      <c r="B1801">
        <f>IF($A1801="","",IF(Sync!$AA1801="","",Sync!$AA1801))</f>
        <v/>
      </c>
      <c r="C1801">
        <f>IF($A1801="","",IF(Sync!$AB1801="","",Sync!$AB1801))</f>
        <v/>
      </c>
      <c r="D1801">
        <f>IF($A1801="","",IF(Sync!$AC1801="","",Sync!$AC1801))</f>
        <v/>
      </c>
      <c r="E1801">
        <f>IF($A1801="","",IF(Sync!$AD1801="","",Sync!$AD1801))</f>
        <v/>
      </c>
      <c r="F1801">
        <f>IF($A1801="","",IF(Sync!$AE1801="",0,Sync!$AE1801))</f>
        <v/>
      </c>
      <c r="G1801">
        <f>IF($A1801="","",IF(Sync!$AF1801="",0,Sync!$AF1801))</f>
        <v/>
      </c>
      <c r="H1801">
        <f>IF(OR($A1801="",ROUND($F1801+$G1801,2)=0),"",$F1801+$G1801)</f>
        <v/>
      </c>
      <c r="I1801">
        <f>IF($H1801="","",IF(ROUND($F1801,2)&gt;0,$A1801,IF($D1801="شخصی قاسم","شخصی قاسم",IF($D1801="هزینه","هزینه: "&amp;IF($E1801="","متفرقه",$E1801),IF($C1801="پاس چک","چک پرداختی",IF(OR($B1801="",COUNTIF(AcctCodesA,$B1801)=0),"متفرقه",$B1801))))))</f>
        <v/>
      </c>
      <c r="J1801">
        <f>IF($H1801="","",IF(ROUND($F1801,2)&gt;0,IF($D1801="شخصی قاسم","شخصی قاسم",IF($D1801="هزینه","هزینه: "&amp;IF($E1801="","متفرقه",$E1801),IF(OR($B1801="",COUNTIF(AcctCodesA,$B1801)=0),"متفرقه",$B1801))),$A1801))</f>
        <v/>
      </c>
      <c r="K1801">
        <f>IF($A1801="","",IF(AND($B1801&lt;&gt;"",COUNTIF(AcctCodesA,$B1801)=0),"کد طرف در INFO تعریف نشده",IF(AND($D1801="هزینه",$E1801=""),"هزینه بدون زیرگروه",IF(AND($C1801="پاس چک",OR(Sync!$AJ1801="",COUNTIF(IssueNosA,Sync!$AJ1801)=0)),"شماره چک پاس‌شده معتبر نیست",""))))</f>
        <v/>
      </c>
      <c r="V1801">
        <f>IF($K1801="","",IF(ISNUMBER(Sync!$AK1801),Sync!$AK1801,LEFT(Sync!$AK1801,4)&amp;MID(Sync!$AK1801,6,2)&amp;RIGHT(Sync!$AK1801,2))&amp;"|"&amp;"4"&amp;RIGHT("00000"&amp;1796,5))</f>
        <v/>
      </c>
      <c r="W1801">
        <f>IF($V1801="",0,COUNTIFS($V$6:$V$2005,"&lt;"&amp;$V1801)-COUNTIFS($V$6:$V$2005,"&lt;"&amp;$V1801,$K$6:$K$2005,"")+1)</f>
        <v/>
      </c>
    </row>
    <row r="1802">
      <c r="A1802">
        <f>IF(Sync!$Z1802="","",LEFT(UPPER(TRIM(Sync!$Z1802)),6))</f>
        <v/>
      </c>
      <c r="B1802">
        <f>IF($A1802="","",IF(Sync!$AA1802="","",Sync!$AA1802))</f>
        <v/>
      </c>
      <c r="C1802">
        <f>IF($A1802="","",IF(Sync!$AB1802="","",Sync!$AB1802))</f>
        <v/>
      </c>
      <c r="D1802">
        <f>IF($A1802="","",IF(Sync!$AC1802="","",Sync!$AC1802))</f>
        <v/>
      </c>
      <c r="E1802">
        <f>IF($A1802="","",IF(Sync!$AD1802="","",Sync!$AD1802))</f>
        <v/>
      </c>
      <c r="F1802">
        <f>IF($A1802="","",IF(Sync!$AE1802="",0,Sync!$AE1802))</f>
        <v/>
      </c>
      <c r="G1802">
        <f>IF($A1802="","",IF(Sync!$AF1802="",0,Sync!$AF1802))</f>
        <v/>
      </c>
      <c r="H1802">
        <f>IF(OR($A1802="",ROUND($F1802+$G1802,2)=0),"",$F1802+$G1802)</f>
        <v/>
      </c>
      <c r="I1802">
        <f>IF($H1802="","",IF(ROUND($F1802,2)&gt;0,$A1802,IF($D1802="شخصی قاسم","شخصی قاسم",IF($D1802="هزینه","هزینه: "&amp;IF($E1802="","متفرقه",$E1802),IF($C1802="پاس چک","چک پرداختی",IF(OR($B1802="",COUNTIF(AcctCodesA,$B1802)=0),"متفرقه",$B1802))))))</f>
        <v/>
      </c>
      <c r="J1802">
        <f>IF($H1802="","",IF(ROUND($F1802,2)&gt;0,IF($D1802="شخصی قاسم","شخصی قاسم",IF($D1802="هزینه","هزینه: "&amp;IF($E1802="","متفرقه",$E1802),IF(OR($B1802="",COUNTIF(AcctCodesA,$B1802)=0),"متفرقه",$B1802))),$A1802))</f>
        <v/>
      </c>
      <c r="K1802">
        <f>IF($A1802="","",IF(AND($B1802&lt;&gt;"",COUNTIF(AcctCodesA,$B1802)=0),"کد طرف در INFO تعریف نشده",IF(AND($D1802="هزینه",$E1802=""),"هزینه بدون زیرگروه",IF(AND($C1802="پاس چک",OR(Sync!$AJ1802="",COUNTIF(IssueNosA,Sync!$AJ1802)=0)),"شماره چک پاس‌شده معتبر نیست",""))))</f>
        <v/>
      </c>
      <c r="V1802">
        <f>IF($K1802="","",IF(ISNUMBER(Sync!$AK1802),Sync!$AK1802,LEFT(Sync!$AK1802,4)&amp;MID(Sync!$AK1802,6,2)&amp;RIGHT(Sync!$AK1802,2))&amp;"|"&amp;"4"&amp;RIGHT("00000"&amp;1797,5))</f>
        <v/>
      </c>
      <c r="W1802">
        <f>IF($V1802="",0,COUNTIFS($V$6:$V$2005,"&lt;"&amp;$V1802)-COUNTIFS($V$6:$V$2005,"&lt;"&amp;$V1802,$K$6:$K$2005,"")+1)</f>
        <v/>
      </c>
    </row>
    <row r="1803">
      <c r="A1803">
        <f>IF(Sync!$Z1803="","",LEFT(UPPER(TRIM(Sync!$Z1803)),6))</f>
        <v/>
      </c>
      <c r="B1803">
        <f>IF($A1803="","",IF(Sync!$AA1803="","",Sync!$AA1803))</f>
        <v/>
      </c>
      <c r="C1803">
        <f>IF($A1803="","",IF(Sync!$AB1803="","",Sync!$AB1803))</f>
        <v/>
      </c>
      <c r="D1803">
        <f>IF($A1803="","",IF(Sync!$AC1803="","",Sync!$AC1803))</f>
        <v/>
      </c>
      <c r="E1803">
        <f>IF($A1803="","",IF(Sync!$AD1803="","",Sync!$AD1803))</f>
        <v/>
      </c>
      <c r="F1803">
        <f>IF($A1803="","",IF(Sync!$AE1803="",0,Sync!$AE1803))</f>
        <v/>
      </c>
      <c r="G1803">
        <f>IF($A1803="","",IF(Sync!$AF1803="",0,Sync!$AF1803))</f>
        <v/>
      </c>
      <c r="H1803">
        <f>IF(OR($A1803="",ROUND($F1803+$G1803,2)=0),"",$F1803+$G1803)</f>
        <v/>
      </c>
      <c r="I1803">
        <f>IF($H1803="","",IF(ROUND($F1803,2)&gt;0,$A1803,IF($D1803="شخصی قاسم","شخصی قاسم",IF($D1803="هزینه","هزینه: "&amp;IF($E1803="","متفرقه",$E1803),IF($C1803="پاس چک","چک پرداختی",IF(OR($B1803="",COUNTIF(AcctCodesA,$B1803)=0),"متفرقه",$B1803))))))</f>
        <v/>
      </c>
      <c r="J1803">
        <f>IF($H1803="","",IF(ROUND($F1803,2)&gt;0,IF($D1803="شخصی قاسم","شخصی قاسم",IF($D1803="هزینه","هزینه: "&amp;IF($E1803="","متفرقه",$E1803),IF(OR($B1803="",COUNTIF(AcctCodesA,$B1803)=0),"متفرقه",$B1803))),$A1803))</f>
        <v/>
      </c>
      <c r="K1803">
        <f>IF($A1803="","",IF(AND($B1803&lt;&gt;"",COUNTIF(AcctCodesA,$B1803)=0),"کد طرف در INFO تعریف نشده",IF(AND($D1803="هزینه",$E1803=""),"هزینه بدون زیرگروه",IF(AND($C1803="پاس چک",OR(Sync!$AJ1803="",COUNTIF(IssueNosA,Sync!$AJ1803)=0)),"شماره چک پاس‌شده معتبر نیست",""))))</f>
        <v/>
      </c>
      <c r="V1803">
        <f>IF($K1803="","",IF(ISNUMBER(Sync!$AK1803),Sync!$AK1803,LEFT(Sync!$AK1803,4)&amp;MID(Sync!$AK1803,6,2)&amp;RIGHT(Sync!$AK1803,2))&amp;"|"&amp;"4"&amp;RIGHT("00000"&amp;1798,5))</f>
        <v/>
      </c>
      <c r="W1803">
        <f>IF($V1803="",0,COUNTIFS($V$6:$V$2005,"&lt;"&amp;$V1803)-COUNTIFS($V$6:$V$2005,"&lt;"&amp;$V1803,$K$6:$K$2005,"")+1)</f>
        <v/>
      </c>
    </row>
    <row r="1804">
      <c r="A1804">
        <f>IF(Sync!$Z1804="","",LEFT(UPPER(TRIM(Sync!$Z1804)),6))</f>
        <v/>
      </c>
      <c r="B1804">
        <f>IF($A1804="","",IF(Sync!$AA1804="","",Sync!$AA1804))</f>
        <v/>
      </c>
      <c r="C1804">
        <f>IF($A1804="","",IF(Sync!$AB1804="","",Sync!$AB1804))</f>
        <v/>
      </c>
      <c r="D1804">
        <f>IF($A1804="","",IF(Sync!$AC1804="","",Sync!$AC1804))</f>
        <v/>
      </c>
      <c r="E1804">
        <f>IF($A1804="","",IF(Sync!$AD1804="","",Sync!$AD1804))</f>
        <v/>
      </c>
      <c r="F1804">
        <f>IF($A1804="","",IF(Sync!$AE1804="",0,Sync!$AE1804))</f>
        <v/>
      </c>
      <c r="G1804">
        <f>IF($A1804="","",IF(Sync!$AF1804="",0,Sync!$AF1804))</f>
        <v/>
      </c>
      <c r="H1804">
        <f>IF(OR($A1804="",ROUND($F1804+$G1804,2)=0),"",$F1804+$G1804)</f>
        <v/>
      </c>
      <c r="I1804">
        <f>IF($H1804="","",IF(ROUND($F1804,2)&gt;0,$A1804,IF($D1804="شخصی قاسم","شخصی قاسم",IF($D1804="هزینه","هزینه: "&amp;IF($E1804="","متفرقه",$E1804),IF($C1804="پاس چک","چک پرداختی",IF(OR($B1804="",COUNTIF(AcctCodesA,$B1804)=0),"متفرقه",$B1804))))))</f>
        <v/>
      </c>
      <c r="J1804">
        <f>IF($H1804="","",IF(ROUND($F1804,2)&gt;0,IF($D1804="شخصی قاسم","شخصی قاسم",IF($D1804="هزینه","هزینه: "&amp;IF($E1804="","متفرقه",$E1804),IF(OR($B1804="",COUNTIF(AcctCodesA,$B1804)=0),"متفرقه",$B1804))),$A1804))</f>
        <v/>
      </c>
      <c r="K1804">
        <f>IF($A1804="","",IF(AND($B1804&lt;&gt;"",COUNTIF(AcctCodesA,$B1804)=0),"کد طرف در INFO تعریف نشده",IF(AND($D1804="هزینه",$E1804=""),"هزینه بدون زیرگروه",IF(AND($C1804="پاس چک",OR(Sync!$AJ1804="",COUNTIF(IssueNosA,Sync!$AJ1804)=0)),"شماره چک پاس‌شده معتبر نیست",""))))</f>
        <v/>
      </c>
      <c r="V1804">
        <f>IF($K1804="","",IF(ISNUMBER(Sync!$AK1804),Sync!$AK1804,LEFT(Sync!$AK1804,4)&amp;MID(Sync!$AK1804,6,2)&amp;RIGHT(Sync!$AK1804,2))&amp;"|"&amp;"4"&amp;RIGHT("00000"&amp;1799,5))</f>
        <v/>
      </c>
      <c r="W1804">
        <f>IF($V1804="",0,COUNTIFS($V$6:$V$2005,"&lt;"&amp;$V1804)-COUNTIFS($V$6:$V$2005,"&lt;"&amp;$V1804,$K$6:$K$2005,"")+1)</f>
        <v/>
      </c>
    </row>
    <row r="1805">
      <c r="A1805">
        <f>IF(Sync!$Z1805="","",LEFT(UPPER(TRIM(Sync!$Z1805)),6))</f>
        <v/>
      </c>
      <c r="B1805">
        <f>IF($A1805="","",IF(Sync!$AA1805="","",Sync!$AA1805))</f>
        <v/>
      </c>
      <c r="C1805">
        <f>IF($A1805="","",IF(Sync!$AB1805="","",Sync!$AB1805))</f>
        <v/>
      </c>
      <c r="D1805">
        <f>IF($A1805="","",IF(Sync!$AC1805="","",Sync!$AC1805))</f>
        <v/>
      </c>
      <c r="E1805">
        <f>IF($A1805="","",IF(Sync!$AD1805="","",Sync!$AD1805))</f>
        <v/>
      </c>
      <c r="F1805">
        <f>IF($A1805="","",IF(Sync!$AE1805="",0,Sync!$AE1805))</f>
        <v/>
      </c>
      <c r="G1805">
        <f>IF($A1805="","",IF(Sync!$AF1805="",0,Sync!$AF1805))</f>
        <v/>
      </c>
      <c r="H1805">
        <f>IF(OR($A1805="",ROUND($F1805+$G1805,2)=0),"",$F1805+$G1805)</f>
        <v/>
      </c>
      <c r="I1805">
        <f>IF($H1805="","",IF(ROUND($F1805,2)&gt;0,$A1805,IF($D1805="شخصی قاسم","شخصی قاسم",IF($D1805="هزینه","هزینه: "&amp;IF($E1805="","متفرقه",$E1805),IF($C1805="پاس چک","چک پرداختی",IF(OR($B1805="",COUNTIF(AcctCodesA,$B1805)=0),"متفرقه",$B1805))))))</f>
        <v/>
      </c>
      <c r="J1805">
        <f>IF($H1805="","",IF(ROUND($F1805,2)&gt;0,IF($D1805="شخصی قاسم","شخصی قاسم",IF($D1805="هزینه","هزینه: "&amp;IF($E1805="","متفرقه",$E1805),IF(OR($B1805="",COUNTIF(AcctCodesA,$B1805)=0),"متفرقه",$B1805))),$A1805))</f>
        <v/>
      </c>
      <c r="K1805">
        <f>IF($A1805="","",IF(AND($B1805&lt;&gt;"",COUNTIF(AcctCodesA,$B1805)=0),"کد طرف در INFO تعریف نشده",IF(AND($D1805="هزینه",$E1805=""),"هزینه بدون زیرگروه",IF(AND($C1805="پاس چک",OR(Sync!$AJ1805="",COUNTIF(IssueNosA,Sync!$AJ1805)=0)),"شماره چک پاس‌شده معتبر نیست",""))))</f>
        <v/>
      </c>
      <c r="V1805">
        <f>IF($K1805="","",IF(ISNUMBER(Sync!$AK1805),Sync!$AK1805,LEFT(Sync!$AK1805,4)&amp;MID(Sync!$AK1805,6,2)&amp;RIGHT(Sync!$AK1805,2))&amp;"|"&amp;"4"&amp;RIGHT("00000"&amp;1800,5))</f>
        <v/>
      </c>
      <c r="W1805">
        <f>IF($V1805="",0,COUNTIFS($V$6:$V$2005,"&lt;"&amp;$V1805)-COUNTIFS($V$6:$V$2005,"&lt;"&amp;$V1805,$K$6:$K$2005,"")+1)</f>
        <v/>
      </c>
    </row>
    <row r="1806">
      <c r="A1806">
        <f>IF(Sync!$Z1806="","",LEFT(UPPER(TRIM(Sync!$Z1806)),6))</f>
        <v/>
      </c>
      <c r="B1806">
        <f>IF($A1806="","",IF(Sync!$AA1806="","",Sync!$AA1806))</f>
        <v/>
      </c>
      <c r="C1806">
        <f>IF($A1806="","",IF(Sync!$AB1806="","",Sync!$AB1806))</f>
        <v/>
      </c>
      <c r="D1806">
        <f>IF($A1806="","",IF(Sync!$AC1806="","",Sync!$AC1806))</f>
        <v/>
      </c>
      <c r="E1806">
        <f>IF($A1806="","",IF(Sync!$AD1806="","",Sync!$AD1806))</f>
        <v/>
      </c>
      <c r="F1806">
        <f>IF($A1806="","",IF(Sync!$AE1806="",0,Sync!$AE1806))</f>
        <v/>
      </c>
      <c r="G1806">
        <f>IF($A1806="","",IF(Sync!$AF1806="",0,Sync!$AF1806))</f>
        <v/>
      </c>
      <c r="H1806">
        <f>IF(OR($A1806="",ROUND($F1806+$G1806,2)=0),"",$F1806+$G1806)</f>
        <v/>
      </c>
      <c r="I1806">
        <f>IF($H1806="","",IF(ROUND($F1806,2)&gt;0,$A1806,IF($D1806="شخصی قاسم","شخصی قاسم",IF($D1806="هزینه","هزینه: "&amp;IF($E1806="","متفرقه",$E1806),IF($C1806="پاس چک","چک پرداختی",IF(OR($B1806="",COUNTIF(AcctCodesA,$B1806)=0),"متفرقه",$B1806))))))</f>
        <v/>
      </c>
      <c r="J1806">
        <f>IF($H1806="","",IF(ROUND($F1806,2)&gt;0,IF($D1806="شخصی قاسم","شخصی قاسم",IF($D1806="هزینه","هزینه: "&amp;IF($E1806="","متفرقه",$E1806),IF(OR($B1806="",COUNTIF(AcctCodesA,$B1806)=0),"متفرقه",$B1806))),$A1806))</f>
        <v/>
      </c>
      <c r="K1806">
        <f>IF($A1806="","",IF(AND($B1806&lt;&gt;"",COUNTIF(AcctCodesA,$B1806)=0),"کد طرف در INFO تعریف نشده",IF(AND($D1806="هزینه",$E1806=""),"هزینه بدون زیرگروه",IF(AND($C1806="پاس چک",OR(Sync!$AJ1806="",COUNTIF(IssueNosA,Sync!$AJ1806)=0)),"شماره چک پاس‌شده معتبر نیست",""))))</f>
        <v/>
      </c>
      <c r="V1806">
        <f>IF($K1806="","",IF(ISNUMBER(Sync!$AK1806),Sync!$AK1806,LEFT(Sync!$AK1806,4)&amp;MID(Sync!$AK1806,6,2)&amp;RIGHT(Sync!$AK1806,2))&amp;"|"&amp;"4"&amp;RIGHT("00000"&amp;1801,5))</f>
        <v/>
      </c>
      <c r="W1806">
        <f>IF($V1806="",0,COUNTIFS($V$6:$V$2005,"&lt;"&amp;$V1806)-COUNTIFS($V$6:$V$2005,"&lt;"&amp;$V1806,$K$6:$K$2005,"")+1)</f>
        <v/>
      </c>
    </row>
    <row r="1807">
      <c r="A1807">
        <f>IF(Sync!$Z1807="","",LEFT(UPPER(TRIM(Sync!$Z1807)),6))</f>
        <v/>
      </c>
      <c r="B1807">
        <f>IF($A1807="","",IF(Sync!$AA1807="","",Sync!$AA1807))</f>
        <v/>
      </c>
      <c r="C1807">
        <f>IF($A1807="","",IF(Sync!$AB1807="","",Sync!$AB1807))</f>
        <v/>
      </c>
      <c r="D1807">
        <f>IF($A1807="","",IF(Sync!$AC1807="","",Sync!$AC1807))</f>
        <v/>
      </c>
      <c r="E1807">
        <f>IF($A1807="","",IF(Sync!$AD1807="","",Sync!$AD1807))</f>
        <v/>
      </c>
      <c r="F1807">
        <f>IF($A1807="","",IF(Sync!$AE1807="",0,Sync!$AE1807))</f>
        <v/>
      </c>
      <c r="G1807">
        <f>IF($A1807="","",IF(Sync!$AF1807="",0,Sync!$AF1807))</f>
        <v/>
      </c>
      <c r="H1807">
        <f>IF(OR($A1807="",ROUND($F1807+$G1807,2)=0),"",$F1807+$G1807)</f>
        <v/>
      </c>
      <c r="I1807">
        <f>IF($H1807="","",IF(ROUND($F1807,2)&gt;0,$A1807,IF($D1807="شخصی قاسم","شخصی قاسم",IF($D1807="هزینه","هزینه: "&amp;IF($E1807="","متفرقه",$E1807),IF($C1807="پاس چک","چک پرداختی",IF(OR($B1807="",COUNTIF(AcctCodesA,$B1807)=0),"متفرقه",$B1807))))))</f>
        <v/>
      </c>
      <c r="J1807">
        <f>IF($H1807="","",IF(ROUND($F1807,2)&gt;0,IF($D1807="شخصی قاسم","شخصی قاسم",IF($D1807="هزینه","هزینه: "&amp;IF($E1807="","متفرقه",$E1807),IF(OR($B1807="",COUNTIF(AcctCodesA,$B1807)=0),"متفرقه",$B1807))),$A1807))</f>
        <v/>
      </c>
      <c r="K1807">
        <f>IF($A1807="","",IF(AND($B1807&lt;&gt;"",COUNTIF(AcctCodesA,$B1807)=0),"کد طرف در INFO تعریف نشده",IF(AND($D1807="هزینه",$E1807=""),"هزینه بدون زیرگروه",IF(AND($C1807="پاس چک",OR(Sync!$AJ1807="",COUNTIF(IssueNosA,Sync!$AJ1807)=0)),"شماره چک پاس‌شده معتبر نیست",""))))</f>
        <v/>
      </c>
      <c r="V1807">
        <f>IF($K1807="","",IF(ISNUMBER(Sync!$AK1807),Sync!$AK1807,LEFT(Sync!$AK1807,4)&amp;MID(Sync!$AK1807,6,2)&amp;RIGHT(Sync!$AK1807,2))&amp;"|"&amp;"4"&amp;RIGHT("00000"&amp;1802,5))</f>
        <v/>
      </c>
      <c r="W1807">
        <f>IF($V1807="",0,COUNTIFS($V$6:$V$2005,"&lt;"&amp;$V1807)-COUNTIFS($V$6:$V$2005,"&lt;"&amp;$V1807,$K$6:$K$2005,"")+1)</f>
        <v/>
      </c>
    </row>
    <row r="1808">
      <c r="A1808">
        <f>IF(Sync!$Z1808="","",LEFT(UPPER(TRIM(Sync!$Z1808)),6))</f>
        <v/>
      </c>
      <c r="B1808">
        <f>IF($A1808="","",IF(Sync!$AA1808="","",Sync!$AA1808))</f>
        <v/>
      </c>
      <c r="C1808">
        <f>IF($A1808="","",IF(Sync!$AB1808="","",Sync!$AB1808))</f>
        <v/>
      </c>
      <c r="D1808">
        <f>IF($A1808="","",IF(Sync!$AC1808="","",Sync!$AC1808))</f>
        <v/>
      </c>
      <c r="E1808">
        <f>IF($A1808="","",IF(Sync!$AD1808="","",Sync!$AD1808))</f>
        <v/>
      </c>
      <c r="F1808">
        <f>IF($A1808="","",IF(Sync!$AE1808="",0,Sync!$AE1808))</f>
        <v/>
      </c>
      <c r="G1808">
        <f>IF($A1808="","",IF(Sync!$AF1808="",0,Sync!$AF1808))</f>
        <v/>
      </c>
      <c r="H1808">
        <f>IF(OR($A1808="",ROUND($F1808+$G1808,2)=0),"",$F1808+$G1808)</f>
        <v/>
      </c>
      <c r="I1808">
        <f>IF($H1808="","",IF(ROUND($F1808,2)&gt;0,$A1808,IF($D1808="شخصی قاسم","شخصی قاسم",IF($D1808="هزینه","هزینه: "&amp;IF($E1808="","متفرقه",$E1808),IF($C1808="پاس چک","چک پرداختی",IF(OR($B1808="",COUNTIF(AcctCodesA,$B1808)=0),"متفرقه",$B1808))))))</f>
        <v/>
      </c>
      <c r="J1808">
        <f>IF($H1808="","",IF(ROUND($F1808,2)&gt;0,IF($D1808="شخصی قاسم","شخصی قاسم",IF($D1808="هزینه","هزینه: "&amp;IF($E1808="","متفرقه",$E1808),IF(OR($B1808="",COUNTIF(AcctCodesA,$B1808)=0),"متفرقه",$B1808))),$A1808))</f>
        <v/>
      </c>
      <c r="K1808">
        <f>IF($A1808="","",IF(AND($B1808&lt;&gt;"",COUNTIF(AcctCodesA,$B1808)=0),"کد طرف در INFO تعریف نشده",IF(AND($D1808="هزینه",$E1808=""),"هزینه بدون زیرگروه",IF(AND($C1808="پاس چک",OR(Sync!$AJ1808="",COUNTIF(IssueNosA,Sync!$AJ1808)=0)),"شماره چک پاس‌شده معتبر نیست",""))))</f>
        <v/>
      </c>
      <c r="V1808">
        <f>IF($K1808="","",IF(ISNUMBER(Sync!$AK1808),Sync!$AK1808,LEFT(Sync!$AK1808,4)&amp;MID(Sync!$AK1808,6,2)&amp;RIGHT(Sync!$AK1808,2))&amp;"|"&amp;"4"&amp;RIGHT("00000"&amp;1803,5))</f>
        <v/>
      </c>
      <c r="W1808">
        <f>IF($V1808="",0,COUNTIFS($V$6:$V$2005,"&lt;"&amp;$V1808)-COUNTIFS($V$6:$V$2005,"&lt;"&amp;$V1808,$K$6:$K$2005,"")+1)</f>
        <v/>
      </c>
    </row>
    <row r="1809">
      <c r="A1809">
        <f>IF(Sync!$Z1809="","",LEFT(UPPER(TRIM(Sync!$Z1809)),6))</f>
        <v/>
      </c>
      <c r="B1809">
        <f>IF($A1809="","",IF(Sync!$AA1809="","",Sync!$AA1809))</f>
        <v/>
      </c>
      <c r="C1809">
        <f>IF($A1809="","",IF(Sync!$AB1809="","",Sync!$AB1809))</f>
        <v/>
      </c>
      <c r="D1809">
        <f>IF($A1809="","",IF(Sync!$AC1809="","",Sync!$AC1809))</f>
        <v/>
      </c>
      <c r="E1809">
        <f>IF($A1809="","",IF(Sync!$AD1809="","",Sync!$AD1809))</f>
        <v/>
      </c>
      <c r="F1809">
        <f>IF($A1809="","",IF(Sync!$AE1809="",0,Sync!$AE1809))</f>
        <v/>
      </c>
      <c r="G1809">
        <f>IF($A1809="","",IF(Sync!$AF1809="",0,Sync!$AF1809))</f>
        <v/>
      </c>
      <c r="H1809">
        <f>IF(OR($A1809="",ROUND($F1809+$G1809,2)=0),"",$F1809+$G1809)</f>
        <v/>
      </c>
      <c r="I1809">
        <f>IF($H1809="","",IF(ROUND($F1809,2)&gt;0,$A1809,IF($D1809="شخصی قاسم","شخصی قاسم",IF($D1809="هزینه","هزینه: "&amp;IF($E1809="","متفرقه",$E1809),IF($C1809="پاس چک","چک پرداختی",IF(OR($B1809="",COUNTIF(AcctCodesA,$B1809)=0),"متفرقه",$B1809))))))</f>
        <v/>
      </c>
      <c r="J1809">
        <f>IF($H1809="","",IF(ROUND($F1809,2)&gt;0,IF($D1809="شخصی قاسم","شخصی قاسم",IF($D1809="هزینه","هزینه: "&amp;IF($E1809="","متفرقه",$E1809),IF(OR($B1809="",COUNTIF(AcctCodesA,$B1809)=0),"متفرقه",$B1809))),$A1809))</f>
        <v/>
      </c>
      <c r="K1809">
        <f>IF($A1809="","",IF(AND($B1809&lt;&gt;"",COUNTIF(AcctCodesA,$B1809)=0),"کد طرف در INFO تعریف نشده",IF(AND($D1809="هزینه",$E1809=""),"هزینه بدون زیرگروه",IF(AND($C1809="پاس چک",OR(Sync!$AJ1809="",COUNTIF(IssueNosA,Sync!$AJ1809)=0)),"شماره چک پاس‌شده معتبر نیست",""))))</f>
        <v/>
      </c>
      <c r="V1809">
        <f>IF($K1809="","",IF(ISNUMBER(Sync!$AK1809),Sync!$AK1809,LEFT(Sync!$AK1809,4)&amp;MID(Sync!$AK1809,6,2)&amp;RIGHT(Sync!$AK1809,2))&amp;"|"&amp;"4"&amp;RIGHT("00000"&amp;1804,5))</f>
        <v/>
      </c>
      <c r="W1809">
        <f>IF($V1809="",0,COUNTIFS($V$6:$V$2005,"&lt;"&amp;$V1809)-COUNTIFS($V$6:$V$2005,"&lt;"&amp;$V1809,$K$6:$K$2005,"")+1)</f>
        <v/>
      </c>
    </row>
    <row r="1810">
      <c r="A1810">
        <f>IF(Sync!$Z1810="","",LEFT(UPPER(TRIM(Sync!$Z1810)),6))</f>
        <v/>
      </c>
      <c r="B1810">
        <f>IF($A1810="","",IF(Sync!$AA1810="","",Sync!$AA1810))</f>
        <v/>
      </c>
      <c r="C1810">
        <f>IF($A1810="","",IF(Sync!$AB1810="","",Sync!$AB1810))</f>
        <v/>
      </c>
      <c r="D1810">
        <f>IF($A1810="","",IF(Sync!$AC1810="","",Sync!$AC1810))</f>
        <v/>
      </c>
      <c r="E1810">
        <f>IF($A1810="","",IF(Sync!$AD1810="","",Sync!$AD1810))</f>
        <v/>
      </c>
      <c r="F1810">
        <f>IF($A1810="","",IF(Sync!$AE1810="",0,Sync!$AE1810))</f>
        <v/>
      </c>
      <c r="G1810">
        <f>IF($A1810="","",IF(Sync!$AF1810="",0,Sync!$AF1810))</f>
        <v/>
      </c>
      <c r="H1810">
        <f>IF(OR($A1810="",ROUND($F1810+$G1810,2)=0),"",$F1810+$G1810)</f>
        <v/>
      </c>
      <c r="I1810">
        <f>IF($H1810="","",IF(ROUND($F1810,2)&gt;0,$A1810,IF($D1810="شخصی قاسم","شخصی قاسم",IF($D1810="هزینه","هزینه: "&amp;IF($E1810="","متفرقه",$E1810),IF($C1810="پاس چک","چک پرداختی",IF(OR($B1810="",COUNTIF(AcctCodesA,$B1810)=0),"متفرقه",$B1810))))))</f>
        <v/>
      </c>
      <c r="J1810">
        <f>IF($H1810="","",IF(ROUND($F1810,2)&gt;0,IF($D1810="شخصی قاسم","شخصی قاسم",IF($D1810="هزینه","هزینه: "&amp;IF($E1810="","متفرقه",$E1810),IF(OR($B1810="",COUNTIF(AcctCodesA,$B1810)=0),"متفرقه",$B1810))),$A1810))</f>
        <v/>
      </c>
      <c r="K1810">
        <f>IF($A1810="","",IF(AND($B1810&lt;&gt;"",COUNTIF(AcctCodesA,$B1810)=0),"کد طرف در INFO تعریف نشده",IF(AND($D1810="هزینه",$E1810=""),"هزینه بدون زیرگروه",IF(AND($C1810="پاس چک",OR(Sync!$AJ1810="",COUNTIF(IssueNosA,Sync!$AJ1810)=0)),"شماره چک پاس‌شده معتبر نیست",""))))</f>
        <v/>
      </c>
      <c r="V1810">
        <f>IF($K1810="","",IF(ISNUMBER(Sync!$AK1810),Sync!$AK1810,LEFT(Sync!$AK1810,4)&amp;MID(Sync!$AK1810,6,2)&amp;RIGHT(Sync!$AK1810,2))&amp;"|"&amp;"4"&amp;RIGHT("00000"&amp;1805,5))</f>
        <v/>
      </c>
      <c r="W1810">
        <f>IF($V1810="",0,COUNTIFS($V$6:$V$2005,"&lt;"&amp;$V1810)-COUNTIFS($V$6:$V$2005,"&lt;"&amp;$V1810,$K$6:$K$2005,"")+1)</f>
        <v/>
      </c>
    </row>
    <row r="1811">
      <c r="A1811">
        <f>IF(Sync!$Z1811="","",LEFT(UPPER(TRIM(Sync!$Z1811)),6))</f>
        <v/>
      </c>
      <c r="B1811">
        <f>IF($A1811="","",IF(Sync!$AA1811="","",Sync!$AA1811))</f>
        <v/>
      </c>
      <c r="C1811">
        <f>IF($A1811="","",IF(Sync!$AB1811="","",Sync!$AB1811))</f>
        <v/>
      </c>
      <c r="D1811">
        <f>IF($A1811="","",IF(Sync!$AC1811="","",Sync!$AC1811))</f>
        <v/>
      </c>
      <c r="E1811">
        <f>IF($A1811="","",IF(Sync!$AD1811="","",Sync!$AD1811))</f>
        <v/>
      </c>
      <c r="F1811">
        <f>IF($A1811="","",IF(Sync!$AE1811="",0,Sync!$AE1811))</f>
        <v/>
      </c>
      <c r="G1811">
        <f>IF($A1811="","",IF(Sync!$AF1811="",0,Sync!$AF1811))</f>
        <v/>
      </c>
      <c r="H1811">
        <f>IF(OR($A1811="",ROUND($F1811+$G1811,2)=0),"",$F1811+$G1811)</f>
        <v/>
      </c>
      <c r="I1811">
        <f>IF($H1811="","",IF(ROUND($F1811,2)&gt;0,$A1811,IF($D1811="شخصی قاسم","شخصی قاسم",IF($D1811="هزینه","هزینه: "&amp;IF($E1811="","متفرقه",$E1811),IF($C1811="پاس چک","چک پرداختی",IF(OR($B1811="",COUNTIF(AcctCodesA,$B1811)=0),"متفرقه",$B1811))))))</f>
        <v/>
      </c>
      <c r="J1811">
        <f>IF($H1811="","",IF(ROUND($F1811,2)&gt;0,IF($D1811="شخصی قاسم","شخصی قاسم",IF($D1811="هزینه","هزینه: "&amp;IF($E1811="","متفرقه",$E1811),IF(OR($B1811="",COUNTIF(AcctCodesA,$B1811)=0),"متفرقه",$B1811))),$A1811))</f>
        <v/>
      </c>
      <c r="K1811">
        <f>IF($A1811="","",IF(AND($B1811&lt;&gt;"",COUNTIF(AcctCodesA,$B1811)=0),"کد طرف در INFO تعریف نشده",IF(AND($D1811="هزینه",$E1811=""),"هزینه بدون زیرگروه",IF(AND($C1811="پاس چک",OR(Sync!$AJ1811="",COUNTIF(IssueNosA,Sync!$AJ1811)=0)),"شماره چک پاس‌شده معتبر نیست",""))))</f>
        <v/>
      </c>
      <c r="V1811">
        <f>IF($K1811="","",IF(ISNUMBER(Sync!$AK1811),Sync!$AK1811,LEFT(Sync!$AK1811,4)&amp;MID(Sync!$AK1811,6,2)&amp;RIGHT(Sync!$AK1811,2))&amp;"|"&amp;"4"&amp;RIGHT("00000"&amp;1806,5))</f>
        <v/>
      </c>
      <c r="W1811">
        <f>IF($V1811="",0,COUNTIFS($V$6:$V$2005,"&lt;"&amp;$V1811)-COUNTIFS($V$6:$V$2005,"&lt;"&amp;$V1811,$K$6:$K$2005,"")+1)</f>
        <v/>
      </c>
    </row>
    <row r="1812">
      <c r="A1812">
        <f>IF(Sync!$Z1812="","",LEFT(UPPER(TRIM(Sync!$Z1812)),6))</f>
        <v/>
      </c>
      <c r="B1812">
        <f>IF($A1812="","",IF(Sync!$AA1812="","",Sync!$AA1812))</f>
        <v/>
      </c>
      <c r="C1812">
        <f>IF($A1812="","",IF(Sync!$AB1812="","",Sync!$AB1812))</f>
        <v/>
      </c>
      <c r="D1812">
        <f>IF($A1812="","",IF(Sync!$AC1812="","",Sync!$AC1812))</f>
        <v/>
      </c>
      <c r="E1812">
        <f>IF($A1812="","",IF(Sync!$AD1812="","",Sync!$AD1812))</f>
        <v/>
      </c>
      <c r="F1812">
        <f>IF($A1812="","",IF(Sync!$AE1812="",0,Sync!$AE1812))</f>
        <v/>
      </c>
      <c r="G1812">
        <f>IF($A1812="","",IF(Sync!$AF1812="",0,Sync!$AF1812))</f>
        <v/>
      </c>
      <c r="H1812">
        <f>IF(OR($A1812="",ROUND($F1812+$G1812,2)=0),"",$F1812+$G1812)</f>
        <v/>
      </c>
      <c r="I1812">
        <f>IF($H1812="","",IF(ROUND($F1812,2)&gt;0,$A1812,IF($D1812="شخصی قاسم","شخصی قاسم",IF($D1812="هزینه","هزینه: "&amp;IF($E1812="","متفرقه",$E1812),IF($C1812="پاس چک","چک پرداختی",IF(OR($B1812="",COUNTIF(AcctCodesA,$B1812)=0),"متفرقه",$B1812))))))</f>
        <v/>
      </c>
      <c r="J1812">
        <f>IF($H1812="","",IF(ROUND($F1812,2)&gt;0,IF($D1812="شخصی قاسم","شخصی قاسم",IF($D1812="هزینه","هزینه: "&amp;IF($E1812="","متفرقه",$E1812),IF(OR($B1812="",COUNTIF(AcctCodesA,$B1812)=0),"متفرقه",$B1812))),$A1812))</f>
        <v/>
      </c>
      <c r="K1812">
        <f>IF($A1812="","",IF(AND($B1812&lt;&gt;"",COUNTIF(AcctCodesA,$B1812)=0),"کد طرف در INFO تعریف نشده",IF(AND($D1812="هزینه",$E1812=""),"هزینه بدون زیرگروه",IF(AND($C1812="پاس چک",OR(Sync!$AJ1812="",COUNTIF(IssueNosA,Sync!$AJ1812)=0)),"شماره چک پاس‌شده معتبر نیست",""))))</f>
        <v/>
      </c>
      <c r="V1812">
        <f>IF($K1812="","",IF(ISNUMBER(Sync!$AK1812),Sync!$AK1812,LEFT(Sync!$AK1812,4)&amp;MID(Sync!$AK1812,6,2)&amp;RIGHT(Sync!$AK1812,2))&amp;"|"&amp;"4"&amp;RIGHT("00000"&amp;1807,5))</f>
        <v/>
      </c>
      <c r="W1812">
        <f>IF($V1812="",0,COUNTIFS($V$6:$V$2005,"&lt;"&amp;$V1812)-COUNTIFS($V$6:$V$2005,"&lt;"&amp;$V1812,$K$6:$K$2005,"")+1)</f>
        <v/>
      </c>
    </row>
    <row r="1813">
      <c r="A1813">
        <f>IF(Sync!$Z1813="","",LEFT(UPPER(TRIM(Sync!$Z1813)),6))</f>
        <v/>
      </c>
      <c r="B1813">
        <f>IF($A1813="","",IF(Sync!$AA1813="","",Sync!$AA1813))</f>
        <v/>
      </c>
      <c r="C1813">
        <f>IF($A1813="","",IF(Sync!$AB1813="","",Sync!$AB1813))</f>
        <v/>
      </c>
      <c r="D1813">
        <f>IF($A1813="","",IF(Sync!$AC1813="","",Sync!$AC1813))</f>
        <v/>
      </c>
      <c r="E1813">
        <f>IF($A1813="","",IF(Sync!$AD1813="","",Sync!$AD1813))</f>
        <v/>
      </c>
      <c r="F1813">
        <f>IF($A1813="","",IF(Sync!$AE1813="",0,Sync!$AE1813))</f>
        <v/>
      </c>
      <c r="G1813">
        <f>IF($A1813="","",IF(Sync!$AF1813="",0,Sync!$AF1813))</f>
        <v/>
      </c>
      <c r="H1813">
        <f>IF(OR($A1813="",ROUND($F1813+$G1813,2)=0),"",$F1813+$G1813)</f>
        <v/>
      </c>
      <c r="I1813">
        <f>IF($H1813="","",IF(ROUND($F1813,2)&gt;0,$A1813,IF($D1813="شخصی قاسم","شخصی قاسم",IF($D1813="هزینه","هزینه: "&amp;IF($E1813="","متفرقه",$E1813),IF($C1813="پاس چک","چک پرداختی",IF(OR($B1813="",COUNTIF(AcctCodesA,$B1813)=0),"متفرقه",$B1813))))))</f>
        <v/>
      </c>
      <c r="J1813">
        <f>IF($H1813="","",IF(ROUND($F1813,2)&gt;0,IF($D1813="شخصی قاسم","شخصی قاسم",IF($D1813="هزینه","هزینه: "&amp;IF($E1813="","متفرقه",$E1813),IF(OR($B1813="",COUNTIF(AcctCodesA,$B1813)=0),"متفرقه",$B1813))),$A1813))</f>
        <v/>
      </c>
      <c r="K1813">
        <f>IF($A1813="","",IF(AND($B1813&lt;&gt;"",COUNTIF(AcctCodesA,$B1813)=0),"کد طرف در INFO تعریف نشده",IF(AND($D1813="هزینه",$E1813=""),"هزینه بدون زیرگروه",IF(AND($C1813="پاس چک",OR(Sync!$AJ1813="",COUNTIF(IssueNosA,Sync!$AJ1813)=0)),"شماره چک پاس‌شده معتبر نیست",""))))</f>
        <v/>
      </c>
      <c r="V1813">
        <f>IF($K1813="","",IF(ISNUMBER(Sync!$AK1813),Sync!$AK1813,LEFT(Sync!$AK1813,4)&amp;MID(Sync!$AK1813,6,2)&amp;RIGHT(Sync!$AK1813,2))&amp;"|"&amp;"4"&amp;RIGHT("00000"&amp;1808,5))</f>
        <v/>
      </c>
      <c r="W1813">
        <f>IF($V1813="",0,COUNTIFS($V$6:$V$2005,"&lt;"&amp;$V1813)-COUNTIFS($V$6:$V$2005,"&lt;"&amp;$V1813,$K$6:$K$2005,"")+1)</f>
        <v/>
      </c>
    </row>
    <row r="1814">
      <c r="A1814">
        <f>IF(Sync!$Z1814="","",LEFT(UPPER(TRIM(Sync!$Z1814)),6))</f>
        <v/>
      </c>
      <c r="B1814">
        <f>IF($A1814="","",IF(Sync!$AA1814="","",Sync!$AA1814))</f>
        <v/>
      </c>
      <c r="C1814">
        <f>IF($A1814="","",IF(Sync!$AB1814="","",Sync!$AB1814))</f>
        <v/>
      </c>
      <c r="D1814">
        <f>IF($A1814="","",IF(Sync!$AC1814="","",Sync!$AC1814))</f>
        <v/>
      </c>
      <c r="E1814">
        <f>IF($A1814="","",IF(Sync!$AD1814="","",Sync!$AD1814))</f>
        <v/>
      </c>
      <c r="F1814">
        <f>IF($A1814="","",IF(Sync!$AE1814="",0,Sync!$AE1814))</f>
        <v/>
      </c>
      <c r="G1814">
        <f>IF($A1814="","",IF(Sync!$AF1814="",0,Sync!$AF1814))</f>
        <v/>
      </c>
      <c r="H1814">
        <f>IF(OR($A1814="",ROUND($F1814+$G1814,2)=0),"",$F1814+$G1814)</f>
        <v/>
      </c>
      <c r="I1814">
        <f>IF($H1814="","",IF(ROUND($F1814,2)&gt;0,$A1814,IF($D1814="شخصی قاسم","شخصی قاسم",IF($D1814="هزینه","هزینه: "&amp;IF($E1814="","متفرقه",$E1814),IF($C1814="پاس چک","چک پرداختی",IF(OR($B1814="",COUNTIF(AcctCodesA,$B1814)=0),"متفرقه",$B1814))))))</f>
        <v/>
      </c>
      <c r="J1814">
        <f>IF($H1814="","",IF(ROUND($F1814,2)&gt;0,IF($D1814="شخصی قاسم","شخصی قاسم",IF($D1814="هزینه","هزینه: "&amp;IF($E1814="","متفرقه",$E1814),IF(OR($B1814="",COUNTIF(AcctCodesA,$B1814)=0),"متفرقه",$B1814))),$A1814))</f>
        <v/>
      </c>
      <c r="K1814">
        <f>IF($A1814="","",IF(AND($B1814&lt;&gt;"",COUNTIF(AcctCodesA,$B1814)=0),"کد طرف در INFO تعریف نشده",IF(AND($D1814="هزینه",$E1814=""),"هزینه بدون زیرگروه",IF(AND($C1814="پاس چک",OR(Sync!$AJ1814="",COUNTIF(IssueNosA,Sync!$AJ1814)=0)),"شماره چک پاس‌شده معتبر نیست",""))))</f>
        <v/>
      </c>
      <c r="V1814">
        <f>IF($K1814="","",IF(ISNUMBER(Sync!$AK1814),Sync!$AK1814,LEFT(Sync!$AK1814,4)&amp;MID(Sync!$AK1814,6,2)&amp;RIGHT(Sync!$AK1814,2))&amp;"|"&amp;"4"&amp;RIGHT("00000"&amp;1809,5))</f>
        <v/>
      </c>
      <c r="W1814">
        <f>IF($V1814="",0,COUNTIFS($V$6:$V$2005,"&lt;"&amp;$V1814)-COUNTIFS($V$6:$V$2005,"&lt;"&amp;$V1814,$K$6:$K$2005,"")+1)</f>
        <v/>
      </c>
    </row>
    <row r="1815">
      <c r="A1815">
        <f>IF(Sync!$Z1815="","",LEFT(UPPER(TRIM(Sync!$Z1815)),6))</f>
        <v/>
      </c>
      <c r="B1815">
        <f>IF($A1815="","",IF(Sync!$AA1815="","",Sync!$AA1815))</f>
        <v/>
      </c>
      <c r="C1815">
        <f>IF($A1815="","",IF(Sync!$AB1815="","",Sync!$AB1815))</f>
        <v/>
      </c>
      <c r="D1815">
        <f>IF($A1815="","",IF(Sync!$AC1815="","",Sync!$AC1815))</f>
        <v/>
      </c>
      <c r="E1815">
        <f>IF($A1815="","",IF(Sync!$AD1815="","",Sync!$AD1815))</f>
        <v/>
      </c>
      <c r="F1815">
        <f>IF($A1815="","",IF(Sync!$AE1815="",0,Sync!$AE1815))</f>
        <v/>
      </c>
      <c r="G1815">
        <f>IF($A1815="","",IF(Sync!$AF1815="",0,Sync!$AF1815))</f>
        <v/>
      </c>
      <c r="H1815">
        <f>IF(OR($A1815="",ROUND($F1815+$G1815,2)=0),"",$F1815+$G1815)</f>
        <v/>
      </c>
      <c r="I1815">
        <f>IF($H1815="","",IF(ROUND($F1815,2)&gt;0,$A1815,IF($D1815="شخصی قاسم","شخصی قاسم",IF($D1815="هزینه","هزینه: "&amp;IF($E1815="","متفرقه",$E1815),IF($C1815="پاس چک","چک پرداختی",IF(OR($B1815="",COUNTIF(AcctCodesA,$B1815)=0),"متفرقه",$B1815))))))</f>
        <v/>
      </c>
      <c r="J1815">
        <f>IF($H1815="","",IF(ROUND($F1815,2)&gt;0,IF($D1815="شخصی قاسم","شخصی قاسم",IF($D1815="هزینه","هزینه: "&amp;IF($E1815="","متفرقه",$E1815),IF(OR($B1815="",COUNTIF(AcctCodesA,$B1815)=0),"متفرقه",$B1815))),$A1815))</f>
        <v/>
      </c>
      <c r="K1815">
        <f>IF($A1815="","",IF(AND($B1815&lt;&gt;"",COUNTIF(AcctCodesA,$B1815)=0),"کد طرف در INFO تعریف نشده",IF(AND($D1815="هزینه",$E1815=""),"هزینه بدون زیرگروه",IF(AND($C1815="پاس چک",OR(Sync!$AJ1815="",COUNTIF(IssueNosA,Sync!$AJ1815)=0)),"شماره چک پاس‌شده معتبر نیست",""))))</f>
        <v/>
      </c>
      <c r="V1815">
        <f>IF($K1815="","",IF(ISNUMBER(Sync!$AK1815),Sync!$AK1815,LEFT(Sync!$AK1815,4)&amp;MID(Sync!$AK1815,6,2)&amp;RIGHT(Sync!$AK1815,2))&amp;"|"&amp;"4"&amp;RIGHT("00000"&amp;1810,5))</f>
        <v/>
      </c>
      <c r="W1815">
        <f>IF($V1815="",0,COUNTIFS($V$6:$V$2005,"&lt;"&amp;$V1815)-COUNTIFS($V$6:$V$2005,"&lt;"&amp;$V1815,$K$6:$K$2005,"")+1)</f>
        <v/>
      </c>
    </row>
    <row r="1816">
      <c r="A1816">
        <f>IF(Sync!$Z1816="","",LEFT(UPPER(TRIM(Sync!$Z1816)),6))</f>
        <v/>
      </c>
      <c r="B1816">
        <f>IF($A1816="","",IF(Sync!$AA1816="","",Sync!$AA1816))</f>
        <v/>
      </c>
      <c r="C1816">
        <f>IF($A1816="","",IF(Sync!$AB1816="","",Sync!$AB1816))</f>
        <v/>
      </c>
      <c r="D1816">
        <f>IF($A1816="","",IF(Sync!$AC1816="","",Sync!$AC1816))</f>
        <v/>
      </c>
      <c r="E1816">
        <f>IF($A1816="","",IF(Sync!$AD1816="","",Sync!$AD1816))</f>
        <v/>
      </c>
      <c r="F1816">
        <f>IF($A1816="","",IF(Sync!$AE1816="",0,Sync!$AE1816))</f>
        <v/>
      </c>
      <c r="G1816">
        <f>IF($A1816="","",IF(Sync!$AF1816="",0,Sync!$AF1816))</f>
        <v/>
      </c>
      <c r="H1816">
        <f>IF(OR($A1816="",ROUND($F1816+$G1816,2)=0),"",$F1816+$G1816)</f>
        <v/>
      </c>
      <c r="I1816">
        <f>IF($H1816="","",IF(ROUND($F1816,2)&gt;0,$A1816,IF($D1816="شخصی قاسم","شخصی قاسم",IF($D1816="هزینه","هزینه: "&amp;IF($E1816="","متفرقه",$E1816),IF($C1816="پاس چک","چک پرداختی",IF(OR($B1816="",COUNTIF(AcctCodesA,$B1816)=0),"متفرقه",$B1816))))))</f>
        <v/>
      </c>
      <c r="J1816">
        <f>IF($H1816="","",IF(ROUND($F1816,2)&gt;0,IF($D1816="شخصی قاسم","شخصی قاسم",IF($D1816="هزینه","هزینه: "&amp;IF($E1816="","متفرقه",$E1816),IF(OR($B1816="",COUNTIF(AcctCodesA,$B1816)=0),"متفرقه",$B1816))),$A1816))</f>
        <v/>
      </c>
      <c r="K1816">
        <f>IF($A1816="","",IF(AND($B1816&lt;&gt;"",COUNTIF(AcctCodesA,$B1816)=0),"کد طرف در INFO تعریف نشده",IF(AND($D1816="هزینه",$E1816=""),"هزینه بدون زیرگروه",IF(AND($C1816="پاس چک",OR(Sync!$AJ1816="",COUNTIF(IssueNosA,Sync!$AJ1816)=0)),"شماره چک پاس‌شده معتبر نیست",""))))</f>
        <v/>
      </c>
      <c r="V1816">
        <f>IF($K1816="","",IF(ISNUMBER(Sync!$AK1816),Sync!$AK1816,LEFT(Sync!$AK1816,4)&amp;MID(Sync!$AK1816,6,2)&amp;RIGHT(Sync!$AK1816,2))&amp;"|"&amp;"4"&amp;RIGHT("00000"&amp;1811,5))</f>
        <v/>
      </c>
      <c r="W1816">
        <f>IF($V1816="",0,COUNTIFS($V$6:$V$2005,"&lt;"&amp;$V1816)-COUNTIFS($V$6:$V$2005,"&lt;"&amp;$V1816,$K$6:$K$2005,"")+1)</f>
        <v/>
      </c>
    </row>
    <row r="1817">
      <c r="A1817">
        <f>IF(Sync!$Z1817="","",LEFT(UPPER(TRIM(Sync!$Z1817)),6))</f>
        <v/>
      </c>
      <c r="B1817">
        <f>IF($A1817="","",IF(Sync!$AA1817="","",Sync!$AA1817))</f>
        <v/>
      </c>
      <c r="C1817">
        <f>IF($A1817="","",IF(Sync!$AB1817="","",Sync!$AB1817))</f>
        <v/>
      </c>
      <c r="D1817">
        <f>IF($A1817="","",IF(Sync!$AC1817="","",Sync!$AC1817))</f>
        <v/>
      </c>
      <c r="E1817">
        <f>IF($A1817="","",IF(Sync!$AD1817="","",Sync!$AD1817))</f>
        <v/>
      </c>
      <c r="F1817">
        <f>IF($A1817="","",IF(Sync!$AE1817="",0,Sync!$AE1817))</f>
        <v/>
      </c>
      <c r="G1817">
        <f>IF($A1817="","",IF(Sync!$AF1817="",0,Sync!$AF1817))</f>
        <v/>
      </c>
      <c r="H1817">
        <f>IF(OR($A1817="",ROUND($F1817+$G1817,2)=0),"",$F1817+$G1817)</f>
        <v/>
      </c>
      <c r="I1817">
        <f>IF($H1817="","",IF(ROUND($F1817,2)&gt;0,$A1817,IF($D1817="شخصی قاسم","شخصی قاسم",IF($D1817="هزینه","هزینه: "&amp;IF($E1817="","متفرقه",$E1817),IF($C1817="پاس چک","چک پرداختی",IF(OR($B1817="",COUNTIF(AcctCodesA,$B1817)=0),"متفرقه",$B1817))))))</f>
        <v/>
      </c>
      <c r="J1817">
        <f>IF($H1817="","",IF(ROUND($F1817,2)&gt;0,IF($D1817="شخصی قاسم","شخصی قاسم",IF($D1817="هزینه","هزینه: "&amp;IF($E1817="","متفرقه",$E1817),IF(OR($B1817="",COUNTIF(AcctCodesA,$B1817)=0),"متفرقه",$B1817))),$A1817))</f>
        <v/>
      </c>
      <c r="K1817">
        <f>IF($A1817="","",IF(AND($B1817&lt;&gt;"",COUNTIF(AcctCodesA,$B1817)=0),"کد طرف در INFO تعریف نشده",IF(AND($D1817="هزینه",$E1817=""),"هزینه بدون زیرگروه",IF(AND($C1817="پاس چک",OR(Sync!$AJ1817="",COUNTIF(IssueNosA,Sync!$AJ1817)=0)),"شماره چک پاس‌شده معتبر نیست",""))))</f>
        <v/>
      </c>
      <c r="V1817">
        <f>IF($K1817="","",IF(ISNUMBER(Sync!$AK1817),Sync!$AK1817,LEFT(Sync!$AK1817,4)&amp;MID(Sync!$AK1817,6,2)&amp;RIGHT(Sync!$AK1817,2))&amp;"|"&amp;"4"&amp;RIGHT("00000"&amp;1812,5))</f>
        <v/>
      </c>
      <c r="W1817">
        <f>IF($V1817="",0,COUNTIFS($V$6:$V$2005,"&lt;"&amp;$V1817)-COUNTIFS($V$6:$V$2005,"&lt;"&amp;$V1817,$K$6:$K$2005,"")+1)</f>
        <v/>
      </c>
    </row>
    <row r="1818">
      <c r="A1818">
        <f>IF(Sync!$Z1818="","",LEFT(UPPER(TRIM(Sync!$Z1818)),6))</f>
        <v/>
      </c>
      <c r="B1818">
        <f>IF($A1818="","",IF(Sync!$AA1818="","",Sync!$AA1818))</f>
        <v/>
      </c>
      <c r="C1818">
        <f>IF($A1818="","",IF(Sync!$AB1818="","",Sync!$AB1818))</f>
        <v/>
      </c>
      <c r="D1818">
        <f>IF($A1818="","",IF(Sync!$AC1818="","",Sync!$AC1818))</f>
        <v/>
      </c>
      <c r="E1818">
        <f>IF($A1818="","",IF(Sync!$AD1818="","",Sync!$AD1818))</f>
        <v/>
      </c>
      <c r="F1818">
        <f>IF($A1818="","",IF(Sync!$AE1818="",0,Sync!$AE1818))</f>
        <v/>
      </c>
      <c r="G1818">
        <f>IF($A1818="","",IF(Sync!$AF1818="",0,Sync!$AF1818))</f>
        <v/>
      </c>
      <c r="H1818">
        <f>IF(OR($A1818="",ROUND($F1818+$G1818,2)=0),"",$F1818+$G1818)</f>
        <v/>
      </c>
      <c r="I1818">
        <f>IF($H1818="","",IF(ROUND($F1818,2)&gt;0,$A1818,IF($D1818="شخصی قاسم","شخصی قاسم",IF($D1818="هزینه","هزینه: "&amp;IF($E1818="","متفرقه",$E1818),IF($C1818="پاس چک","چک پرداختی",IF(OR($B1818="",COUNTIF(AcctCodesA,$B1818)=0),"متفرقه",$B1818))))))</f>
        <v/>
      </c>
      <c r="J1818">
        <f>IF($H1818="","",IF(ROUND($F1818,2)&gt;0,IF($D1818="شخصی قاسم","شخصی قاسم",IF($D1818="هزینه","هزینه: "&amp;IF($E1818="","متفرقه",$E1818),IF(OR($B1818="",COUNTIF(AcctCodesA,$B1818)=0),"متفرقه",$B1818))),$A1818))</f>
        <v/>
      </c>
      <c r="K1818">
        <f>IF($A1818="","",IF(AND($B1818&lt;&gt;"",COUNTIF(AcctCodesA,$B1818)=0),"کد طرف در INFO تعریف نشده",IF(AND($D1818="هزینه",$E1818=""),"هزینه بدون زیرگروه",IF(AND($C1818="پاس چک",OR(Sync!$AJ1818="",COUNTIF(IssueNosA,Sync!$AJ1818)=0)),"شماره چک پاس‌شده معتبر نیست",""))))</f>
        <v/>
      </c>
      <c r="V1818">
        <f>IF($K1818="","",IF(ISNUMBER(Sync!$AK1818),Sync!$AK1818,LEFT(Sync!$AK1818,4)&amp;MID(Sync!$AK1818,6,2)&amp;RIGHT(Sync!$AK1818,2))&amp;"|"&amp;"4"&amp;RIGHT("00000"&amp;1813,5))</f>
        <v/>
      </c>
      <c r="W1818">
        <f>IF($V1818="",0,COUNTIFS($V$6:$V$2005,"&lt;"&amp;$V1818)-COUNTIFS($V$6:$V$2005,"&lt;"&amp;$V1818,$K$6:$K$2005,"")+1)</f>
        <v/>
      </c>
    </row>
    <row r="1819">
      <c r="A1819">
        <f>IF(Sync!$Z1819="","",LEFT(UPPER(TRIM(Sync!$Z1819)),6))</f>
        <v/>
      </c>
      <c r="B1819">
        <f>IF($A1819="","",IF(Sync!$AA1819="","",Sync!$AA1819))</f>
        <v/>
      </c>
      <c r="C1819">
        <f>IF($A1819="","",IF(Sync!$AB1819="","",Sync!$AB1819))</f>
        <v/>
      </c>
      <c r="D1819">
        <f>IF($A1819="","",IF(Sync!$AC1819="","",Sync!$AC1819))</f>
        <v/>
      </c>
      <c r="E1819">
        <f>IF($A1819="","",IF(Sync!$AD1819="","",Sync!$AD1819))</f>
        <v/>
      </c>
      <c r="F1819">
        <f>IF($A1819="","",IF(Sync!$AE1819="",0,Sync!$AE1819))</f>
        <v/>
      </c>
      <c r="G1819">
        <f>IF($A1819="","",IF(Sync!$AF1819="",0,Sync!$AF1819))</f>
        <v/>
      </c>
      <c r="H1819">
        <f>IF(OR($A1819="",ROUND($F1819+$G1819,2)=0),"",$F1819+$G1819)</f>
        <v/>
      </c>
      <c r="I1819">
        <f>IF($H1819="","",IF(ROUND($F1819,2)&gt;0,$A1819,IF($D1819="شخصی قاسم","شخصی قاسم",IF($D1819="هزینه","هزینه: "&amp;IF($E1819="","متفرقه",$E1819),IF($C1819="پاس چک","چک پرداختی",IF(OR($B1819="",COUNTIF(AcctCodesA,$B1819)=0),"متفرقه",$B1819))))))</f>
        <v/>
      </c>
      <c r="J1819">
        <f>IF($H1819="","",IF(ROUND($F1819,2)&gt;0,IF($D1819="شخصی قاسم","شخصی قاسم",IF($D1819="هزینه","هزینه: "&amp;IF($E1819="","متفرقه",$E1819),IF(OR($B1819="",COUNTIF(AcctCodesA,$B1819)=0),"متفرقه",$B1819))),$A1819))</f>
        <v/>
      </c>
      <c r="K1819">
        <f>IF($A1819="","",IF(AND($B1819&lt;&gt;"",COUNTIF(AcctCodesA,$B1819)=0),"کد طرف در INFO تعریف نشده",IF(AND($D1819="هزینه",$E1819=""),"هزینه بدون زیرگروه",IF(AND($C1819="پاس چک",OR(Sync!$AJ1819="",COUNTIF(IssueNosA,Sync!$AJ1819)=0)),"شماره چک پاس‌شده معتبر نیست",""))))</f>
        <v/>
      </c>
      <c r="V1819">
        <f>IF($K1819="","",IF(ISNUMBER(Sync!$AK1819),Sync!$AK1819,LEFT(Sync!$AK1819,4)&amp;MID(Sync!$AK1819,6,2)&amp;RIGHT(Sync!$AK1819,2))&amp;"|"&amp;"4"&amp;RIGHT("00000"&amp;1814,5))</f>
        <v/>
      </c>
      <c r="W1819">
        <f>IF($V1819="",0,COUNTIFS($V$6:$V$2005,"&lt;"&amp;$V1819)-COUNTIFS($V$6:$V$2005,"&lt;"&amp;$V1819,$K$6:$K$2005,"")+1)</f>
        <v/>
      </c>
    </row>
    <row r="1820">
      <c r="A1820">
        <f>IF(Sync!$Z1820="","",LEFT(UPPER(TRIM(Sync!$Z1820)),6))</f>
        <v/>
      </c>
      <c r="B1820">
        <f>IF($A1820="","",IF(Sync!$AA1820="","",Sync!$AA1820))</f>
        <v/>
      </c>
      <c r="C1820">
        <f>IF($A1820="","",IF(Sync!$AB1820="","",Sync!$AB1820))</f>
        <v/>
      </c>
      <c r="D1820">
        <f>IF($A1820="","",IF(Sync!$AC1820="","",Sync!$AC1820))</f>
        <v/>
      </c>
      <c r="E1820">
        <f>IF($A1820="","",IF(Sync!$AD1820="","",Sync!$AD1820))</f>
        <v/>
      </c>
      <c r="F1820">
        <f>IF($A1820="","",IF(Sync!$AE1820="",0,Sync!$AE1820))</f>
        <v/>
      </c>
      <c r="G1820">
        <f>IF($A1820="","",IF(Sync!$AF1820="",0,Sync!$AF1820))</f>
        <v/>
      </c>
      <c r="H1820">
        <f>IF(OR($A1820="",ROUND($F1820+$G1820,2)=0),"",$F1820+$G1820)</f>
        <v/>
      </c>
      <c r="I1820">
        <f>IF($H1820="","",IF(ROUND($F1820,2)&gt;0,$A1820,IF($D1820="شخصی قاسم","شخصی قاسم",IF($D1820="هزینه","هزینه: "&amp;IF($E1820="","متفرقه",$E1820),IF($C1820="پاس چک","چک پرداختی",IF(OR($B1820="",COUNTIF(AcctCodesA,$B1820)=0),"متفرقه",$B1820))))))</f>
        <v/>
      </c>
      <c r="J1820">
        <f>IF($H1820="","",IF(ROUND($F1820,2)&gt;0,IF($D1820="شخصی قاسم","شخصی قاسم",IF($D1820="هزینه","هزینه: "&amp;IF($E1820="","متفرقه",$E1820),IF(OR($B1820="",COUNTIF(AcctCodesA,$B1820)=0),"متفرقه",$B1820))),$A1820))</f>
        <v/>
      </c>
      <c r="K1820">
        <f>IF($A1820="","",IF(AND($B1820&lt;&gt;"",COUNTIF(AcctCodesA,$B1820)=0),"کد طرف در INFO تعریف نشده",IF(AND($D1820="هزینه",$E1820=""),"هزینه بدون زیرگروه",IF(AND($C1820="پاس چک",OR(Sync!$AJ1820="",COUNTIF(IssueNosA,Sync!$AJ1820)=0)),"شماره چک پاس‌شده معتبر نیست",""))))</f>
        <v/>
      </c>
      <c r="V1820">
        <f>IF($K1820="","",IF(ISNUMBER(Sync!$AK1820),Sync!$AK1820,LEFT(Sync!$AK1820,4)&amp;MID(Sync!$AK1820,6,2)&amp;RIGHT(Sync!$AK1820,2))&amp;"|"&amp;"4"&amp;RIGHT("00000"&amp;1815,5))</f>
        <v/>
      </c>
      <c r="W1820">
        <f>IF($V1820="",0,COUNTIFS($V$6:$V$2005,"&lt;"&amp;$V1820)-COUNTIFS($V$6:$V$2005,"&lt;"&amp;$V1820,$K$6:$K$2005,"")+1)</f>
        <v/>
      </c>
    </row>
    <row r="1821">
      <c r="A1821">
        <f>IF(Sync!$Z1821="","",LEFT(UPPER(TRIM(Sync!$Z1821)),6))</f>
        <v/>
      </c>
      <c r="B1821">
        <f>IF($A1821="","",IF(Sync!$AA1821="","",Sync!$AA1821))</f>
        <v/>
      </c>
      <c r="C1821">
        <f>IF($A1821="","",IF(Sync!$AB1821="","",Sync!$AB1821))</f>
        <v/>
      </c>
      <c r="D1821">
        <f>IF($A1821="","",IF(Sync!$AC1821="","",Sync!$AC1821))</f>
        <v/>
      </c>
      <c r="E1821">
        <f>IF($A1821="","",IF(Sync!$AD1821="","",Sync!$AD1821))</f>
        <v/>
      </c>
      <c r="F1821">
        <f>IF($A1821="","",IF(Sync!$AE1821="",0,Sync!$AE1821))</f>
        <v/>
      </c>
      <c r="G1821">
        <f>IF($A1821="","",IF(Sync!$AF1821="",0,Sync!$AF1821))</f>
        <v/>
      </c>
      <c r="H1821">
        <f>IF(OR($A1821="",ROUND($F1821+$G1821,2)=0),"",$F1821+$G1821)</f>
        <v/>
      </c>
      <c r="I1821">
        <f>IF($H1821="","",IF(ROUND($F1821,2)&gt;0,$A1821,IF($D1821="شخصی قاسم","شخصی قاسم",IF($D1821="هزینه","هزینه: "&amp;IF($E1821="","متفرقه",$E1821),IF($C1821="پاس چک","چک پرداختی",IF(OR($B1821="",COUNTIF(AcctCodesA,$B1821)=0),"متفرقه",$B1821))))))</f>
        <v/>
      </c>
      <c r="J1821">
        <f>IF($H1821="","",IF(ROUND($F1821,2)&gt;0,IF($D1821="شخصی قاسم","شخصی قاسم",IF($D1821="هزینه","هزینه: "&amp;IF($E1821="","متفرقه",$E1821),IF(OR($B1821="",COUNTIF(AcctCodesA,$B1821)=0),"متفرقه",$B1821))),$A1821))</f>
        <v/>
      </c>
      <c r="K1821">
        <f>IF($A1821="","",IF(AND($B1821&lt;&gt;"",COUNTIF(AcctCodesA,$B1821)=0),"کد طرف در INFO تعریف نشده",IF(AND($D1821="هزینه",$E1821=""),"هزینه بدون زیرگروه",IF(AND($C1821="پاس چک",OR(Sync!$AJ1821="",COUNTIF(IssueNosA,Sync!$AJ1821)=0)),"شماره چک پاس‌شده معتبر نیست",""))))</f>
        <v/>
      </c>
      <c r="V1821">
        <f>IF($K1821="","",IF(ISNUMBER(Sync!$AK1821),Sync!$AK1821,LEFT(Sync!$AK1821,4)&amp;MID(Sync!$AK1821,6,2)&amp;RIGHT(Sync!$AK1821,2))&amp;"|"&amp;"4"&amp;RIGHT("00000"&amp;1816,5))</f>
        <v/>
      </c>
      <c r="W1821">
        <f>IF($V1821="",0,COUNTIFS($V$6:$V$2005,"&lt;"&amp;$V1821)-COUNTIFS($V$6:$V$2005,"&lt;"&amp;$V1821,$K$6:$K$2005,"")+1)</f>
        <v/>
      </c>
    </row>
    <row r="1822">
      <c r="A1822">
        <f>IF(Sync!$Z1822="","",LEFT(UPPER(TRIM(Sync!$Z1822)),6))</f>
        <v/>
      </c>
      <c r="B1822">
        <f>IF($A1822="","",IF(Sync!$AA1822="","",Sync!$AA1822))</f>
        <v/>
      </c>
      <c r="C1822">
        <f>IF($A1822="","",IF(Sync!$AB1822="","",Sync!$AB1822))</f>
        <v/>
      </c>
      <c r="D1822">
        <f>IF($A1822="","",IF(Sync!$AC1822="","",Sync!$AC1822))</f>
        <v/>
      </c>
      <c r="E1822">
        <f>IF($A1822="","",IF(Sync!$AD1822="","",Sync!$AD1822))</f>
        <v/>
      </c>
      <c r="F1822">
        <f>IF($A1822="","",IF(Sync!$AE1822="",0,Sync!$AE1822))</f>
        <v/>
      </c>
      <c r="G1822">
        <f>IF($A1822="","",IF(Sync!$AF1822="",0,Sync!$AF1822))</f>
        <v/>
      </c>
      <c r="H1822">
        <f>IF(OR($A1822="",ROUND($F1822+$G1822,2)=0),"",$F1822+$G1822)</f>
        <v/>
      </c>
      <c r="I1822">
        <f>IF($H1822="","",IF(ROUND($F1822,2)&gt;0,$A1822,IF($D1822="شخصی قاسم","شخصی قاسم",IF($D1822="هزینه","هزینه: "&amp;IF($E1822="","متفرقه",$E1822),IF($C1822="پاس چک","چک پرداختی",IF(OR($B1822="",COUNTIF(AcctCodesA,$B1822)=0),"متفرقه",$B1822))))))</f>
        <v/>
      </c>
      <c r="J1822">
        <f>IF($H1822="","",IF(ROUND($F1822,2)&gt;0,IF($D1822="شخصی قاسم","شخصی قاسم",IF($D1822="هزینه","هزینه: "&amp;IF($E1822="","متفرقه",$E1822),IF(OR($B1822="",COUNTIF(AcctCodesA,$B1822)=0),"متفرقه",$B1822))),$A1822))</f>
        <v/>
      </c>
      <c r="K1822">
        <f>IF($A1822="","",IF(AND($B1822&lt;&gt;"",COUNTIF(AcctCodesA,$B1822)=0),"کد طرف در INFO تعریف نشده",IF(AND($D1822="هزینه",$E1822=""),"هزینه بدون زیرگروه",IF(AND($C1822="پاس چک",OR(Sync!$AJ1822="",COUNTIF(IssueNosA,Sync!$AJ1822)=0)),"شماره چک پاس‌شده معتبر نیست",""))))</f>
        <v/>
      </c>
      <c r="V1822">
        <f>IF($K1822="","",IF(ISNUMBER(Sync!$AK1822),Sync!$AK1822,LEFT(Sync!$AK1822,4)&amp;MID(Sync!$AK1822,6,2)&amp;RIGHT(Sync!$AK1822,2))&amp;"|"&amp;"4"&amp;RIGHT("00000"&amp;1817,5))</f>
        <v/>
      </c>
      <c r="W1822">
        <f>IF($V1822="",0,COUNTIFS($V$6:$V$2005,"&lt;"&amp;$V1822)-COUNTIFS($V$6:$V$2005,"&lt;"&amp;$V1822,$K$6:$K$2005,"")+1)</f>
        <v/>
      </c>
    </row>
    <row r="1823">
      <c r="A1823">
        <f>IF(Sync!$Z1823="","",LEFT(UPPER(TRIM(Sync!$Z1823)),6))</f>
        <v/>
      </c>
      <c r="B1823">
        <f>IF($A1823="","",IF(Sync!$AA1823="","",Sync!$AA1823))</f>
        <v/>
      </c>
      <c r="C1823">
        <f>IF($A1823="","",IF(Sync!$AB1823="","",Sync!$AB1823))</f>
        <v/>
      </c>
      <c r="D1823">
        <f>IF($A1823="","",IF(Sync!$AC1823="","",Sync!$AC1823))</f>
        <v/>
      </c>
      <c r="E1823">
        <f>IF($A1823="","",IF(Sync!$AD1823="","",Sync!$AD1823))</f>
        <v/>
      </c>
      <c r="F1823">
        <f>IF($A1823="","",IF(Sync!$AE1823="",0,Sync!$AE1823))</f>
        <v/>
      </c>
      <c r="G1823">
        <f>IF($A1823="","",IF(Sync!$AF1823="",0,Sync!$AF1823))</f>
        <v/>
      </c>
      <c r="H1823">
        <f>IF(OR($A1823="",ROUND($F1823+$G1823,2)=0),"",$F1823+$G1823)</f>
        <v/>
      </c>
      <c r="I1823">
        <f>IF($H1823="","",IF(ROUND($F1823,2)&gt;0,$A1823,IF($D1823="شخصی قاسم","شخصی قاسم",IF($D1823="هزینه","هزینه: "&amp;IF($E1823="","متفرقه",$E1823),IF($C1823="پاس چک","چک پرداختی",IF(OR($B1823="",COUNTIF(AcctCodesA,$B1823)=0),"متفرقه",$B1823))))))</f>
        <v/>
      </c>
      <c r="J1823">
        <f>IF($H1823="","",IF(ROUND($F1823,2)&gt;0,IF($D1823="شخصی قاسم","شخصی قاسم",IF($D1823="هزینه","هزینه: "&amp;IF($E1823="","متفرقه",$E1823),IF(OR($B1823="",COUNTIF(AcctCodesA,$B1823)=0),"متفرقه",$B1823))),$A1823))</f>
        <v/>
      </c>
      <c r="K1823">
        <f>IF($A1823="","",IF(AND($B1823&lt;&gt;"",COUNTIF(AcctCodesA,$B1823)=0),"کد طرف در INFO تعریف نشده",IF(AND($D1823="هزینه",$E1823=""),"هزینه بدون زیرگروه",IF(AND($C1823="پاس چک",OR(Sync!$AJ1823="",COUNTIF(IssueNosA,Sync!$AJ1823)=0)),"شماره چک پاس‌شده معتبر نیست",""))))</f>
        <v/>
      </c>
      <c r="V1823">
        <f>IF($K1823="","",IF(ISNUMBER(Sync!$AK1823),Sync!$AK1823,LEFT(Sync!$AK1823,4)&amp;MID(Sync!$AK1823,6,2)&amp;RIGHT(Sync!$AK1823,2))&amp;"|"&amp;"4"&amp;RIGHT("00000"&amp;1818,5))</f>
        <v/>
      </c>
      <c r="W1823">
        <f>IF($V1823="",0,COUNTIFS($V$6:$V$2005,"&lt;"&amp;$V1823)-COUNTIFS($V$6:$V$2005,"&lt;"&amp;$V1823,$K$6:$K$2005,"")+1)</f>
        <v/>
      </c>
    </row>
    <row r="1824">
      <c r="A1824">
        <f>IF(Sync!$Z1824="","",LEFT(UPPER(TRIM(Sync!$Z1824)),6))</f>
        <v/>
      </c>
      <c r="B1824">
        <f>IF($A1824="","",IF(Sync!$AA1824="","",Sync!$AA1824))</f>
        <v/>
      </c>
      <c r="C1824">
        <f>IF($A1824="","",IF(Sync!$AB1824="","",Sync!$AB1824))</f>
        <v/>
      </c>
      <c r="D1824">
        <f>IF($A1824="","",IF(Sync!$AC1824="","",Sync!$AC1824))</f>
        <v/>
      </c>
      <c r="E1824">
        <f>IF($A1824="","",IF(Sync!$AD1824="","",Sync!$AD1824))</f>
        <v/>
      </c>
      <c r="F1824">
        <f>IF($A1824="","",IF(Sync!$AE1824="",0,Sync!$AE1824))</f>
        <v/>
      </c>
      <c r="G1824">
        <f>IF($A1824="","",IF(Sync!$AF1824="",0,Sync!$AF1824))</f>
        <v/>
      </c>
      <c r="H1824">
        <f>IF(OR($A1824="",ROUND($F1824+$G1824,2)=0),"",$F1824+$G1824)</f>
        <v/>
      </c>
      <c r="I1824">
        <f>IF($H1824="","",IF(ROUND($F1824,2)&gt;0,$A1824,IF($D1824="شخصی قاسم","شخصی قاسم",IF($D1824="هزینه","هزینه: "&amp;IF($E1824="","متفرقه",$E1824),IF($C1824="پاس چک","چک پرداختی",IF(OR($B1824="",COUNTIF(AcctCodesA,$B1824)=0),"متفرقه",$B1824))))))</f>
        <v/>
      </c>
      <c r="J1824">
        <f>IF($H1824="","",IF(ROUND($F1824,2)&gt;0,IF($D1824="شخصی قاسم","شخصی قاسم",IF($D1824="هزینه","هزینه: "&amp;IF($E1824="","متفرقه",$E1824),IF(OR($B1824="",COUNTIF(AcctCodesA,$B1824)=0),"متفرقه",$B1824))),$A1824))</f>
        <v/>
      </c>
      <c r="K1824">
        <f>IF($A1824="","",IF(AND($B1824&lt;&gt;"",COUNTIF(AcctCodesA,$B1824)=0),"کد طرف در INFO تعریف نشده",IF(AND($D1824="هزینه",$E1824=""),"هزینه بدون زیرگروه",IF(AND($C1824="پاس چک",OR(Sync!$AJ1824="",COUNTIF(IssueNosA,Sync!$AJ1824)=0)),"شماره چک پاس‌شده معتبر نیست",""))))</f>
        <v/>
      </c>
      <c r="V1824">
        <f>IF($K1824="","",IF(ISNUMBER(Sync!$AK1824),Sync!$AK1824,LEFT(Sync!$AK1824,4)&amp;MID(Sync!$AK1824,6,2)&amp;RIGHT(Sync!$AK1824,2))&amp;"|"&amp;"4"&amp;RIGHT("00000"&amp;1819,5))</f>
        <v/>
      </c>
      <c r="W1824">
        <f>IF($V1824="",0,COUNTIFS($V$6:$V$2005,"&lt;"&amp;$V1824)-COUNTIFS($V$6:$V$2005,"&lt;"&amp;$V1824,$K$6:$K$2005,"")+1)</f>
        <v/>
      </c>
    </row>
    <row r="1825">
      <c r="A1825">
        <f>IF(Sync!$Z1825="","",LEFT(UPPER(TRIM(Sync!$Z1825)),6))</f>
        <v/>
      </c>
      <c r="B1825">
        <f>IF($A1825="","",IF(Sync!$AA1825="","",Sync!$AA1825))</f>
        <v/>
      </c>
      <c r="C1825">
        <f>IF($A1825="","",IF(Sync!$AB1825="","",Sync!$AB1825))</f>
        <v/>
      </c>
      <c r="D1825">
        <f>IF($A1825="","",IF(Sync!$AC1825="","",Sync!$AC1825))</f>
        <v/>
      </c>
      <c r="E1825">
        <f>IF($A1825="","",IF(Sync!$AD1825="","",Sync!$AD1825))</f>
        <v/>
      </c>
      <c r="F1825">
        <f>IF($A1825="","",IF(Sync!$AE1825="",0,Sync!$AE1825))</f>
        <v/>
      </c>
      <c r="G1825">
        <f>IF($A1825="","",IF(Sync!$AF1825="",0,Sync!$AF1825))</f>
        <v/>
      </c>
      <c r="H1825">
        <f>IF(OR($A1825="",ROUND($F1825+$G1825,2)=0),"",$F1825+$G1825)</f>
        <v/>
      </c>
      <c r="I1825">
        <f>IF($H1825="","",IF(ROUND($F1825,2)&gt;0,$A1825,IF($D1825="شخصی قاسم","شخصی قاسم",IF($D1825="هزینه","هزینه: "&amp;IF($E1825="","متفرقه",$E1825),IF($C1825="پاس چک","چک پرداختی",IF(OR($B1825="",COUNTIF(AcctCodesA,$B1825)=0),"متفرقه",$B1825))))))</f>
        <v/>
      </c>
      <c r="J1825">
        <f>IF($H1825="","",IF(ROUND($F1825,2)&gt;0,IF($D1825="شخصی قاسم","شخصی قاسم",IF($D1825="هزینه","هزینه: "&amp;IF($E1825="","متفرقه",$E1825),IF(OR($B1825="",COUNTIF(AcctCodesA,$B1825)=0),"متفرقه",$B1825))),$A1825))</f>
        <v/>
      </c>
      <c r="K1825">
        <f>IF($A1825="","",IF(AND($B1825&lt;&gt;"",COUNTIF(AcctCodesA,$B1825)=0),"کد طرف در INFO تعریف نشده",IF(AND($D1825="هزینه",$E1825=""),"هزینه بدون زیرگروه",IF(AND($C1825="پاس چک",OR(Sync!$AJ1825="",COUNTIF(IssueNosA,Sync!$AJ1825)=0)),"شماره چک پاس‌شده معتبر نیست",""))))</f>
        <v/>
      </c>
      <c r="V1825">
        <f>IF($K1825="","",IF(ISNUMBER(Sync!$AK1825),Sync!$AK1825,LEFT(Sync!$AK1825,4)&amp;MID(Sync!$AK1825,6,2)&amp;RIGHT(Sync!$AK1825,2))&amp;"|"&amp;"4"&amp;RIGHT("00000"&amp;1820,5))</f>
        <v/>
      </c>
      <c r="W1825">
        <f>IF($V1825="",0,COUNTIFS($V$6:$V$2005,"&lt;"&amp;$V1825)-COUNTIFS($V$6:$V$2005,"&lt;"&amp;$V1825,$K$6:$K$2005,"")+1)</f>
        <v/>
      </c>
    </row>
    <row r="1826">
      <c r="A1826">
        <f>IF(Sync!$Z1826="","",LEFT(UPPER(TRIM(Sync!$Z1826)),6))</f>
        <v/>
      </c>
      <c r="B1826">
        <f>IF($A1826="","",IF(Sync!$AA1826="","",Sync!$AA1826))</f>
        <v/>
      </c>
      <c r="C1826">
        <f>IF($A1826="","",IF(Sync!$AB1826="","",Sync!$AB1826))</f>
        <v/>
      </c>
      <c r="D1826">
        <f>IF($A1826="","",IF(Sync!$AC1826="","",Sync!$AC1826))</f>
        <v/>
      </c>
      <c r="E1826">
        <f>IF($A1826="","",IF(Sync!$AD1826="","",Sync!$AD1826))</f>
        <v/>
      </c>
      <c r="F1826">
        <f>IF($A1826="","",IF(Sync!$AE1826="",0,Sync!$AE1826))</f>
        <v/>
      </c>
      <c r="G1826">
        <f>IF($A1826="","",IF(Sync!$AF1826="",0,Sync!$AF1826))</f>
        <v/>
      </c>
      <c r="H1826">
        <f>IF(OR($A1826="",ROUND($F1826+$G1826,2)=0),"",$F1826+$G1826)</f>
        <v/>
      </c>
      <c r="I1826">
        <f>IF($H1826="","",IF(ROUND($F1826,2)&gt;0,$A1826,IF($D1826="شخصی قاسم","شخصی قاسم",IF($D1826="هزینه","هزینه: "&amp;IF($E1826="","متفرقه",$E1826),IF($C1826="پاس چک","چک پرداختی",IF(OR($B1826="",COUNTIF(AcctCodesA,$B1826)=0),"متفرقه",$B1826))))))</f>
        <v/>
      </c>
      <c r="J1826">
        <f>IF($H1826="","",IF(ROUND($F1826,2)&gt;0,IF($D1826="شخصی قاسم","شخصی قاسم",IF($D1826="هزینه","هزینه: "&amp;IF($E1826="","متفرقه",$E1826),IF(OR($B1826="",COUNTIF(AcctCodesA,$B1826)=0),"متفرقه",$B1826))),$A1826))</f>
        <v/>
      </c>
      <c r="K1826">
        <f>IF($A1826="","",IF(AND($B1826&lt;&gt;"",COUNTIF(AcctCodesA,$B1826)=0),"کد طرف در INFO تعریف نشده",IF(AND($D1826="هزینه",$E1826=""),"هزینه بدون زیرگروه",IF(AND($C1826="پاس چک",OR(Sync!$AJ1826="",COUNTIF(IssueNosA,Sync!$AJ1826)=0)),"شماره چک پاس‌شده معتبر نیست",""))))</f>
        <v/>
      </c>
      <c r="V1826">
        <f>IF($K1826="","",IF(ISNUMBER(Sync!$AK1826),Sync!$AK1826,LEFT(Sync!$AK1826,4)&amp;MID(Sync!$AK1826,6,2)&amp;RIGHT(Sync!$AK1826,2))&amp;"|"&amp;"4"&amp;RIGHT("00000"&amp;1821,5))</f>
        <v/>
      </c>
      <c r="W1826">
        <f>IF($V1826="",0,COUNTIFS($V$6:$V$2005,"&lt;"&amp;$V1826)-COUNTIFS($V$6:$V$2005,"&lt;"&amp;$V1826,$K$6:$K$2005,"")+1)</f>
        <v/>
      </c>
    </row>
    <row r="1827">
      <c r="A1827">
        <f>IF(Sync!$Z1827="","",LEFT(UPPER(TRIM(Sync!$Z1827)),6))</f>
        <v/>
      </c>
      <c r="B1827">
        <f>IF($A1827="","",IF(Sync!$AA1827="","",Sync!$AA1827))</f>
        <v/>
      </c>
      <c r="C1827">
        <f>IF($A1827="","",IF(Sync!$AB1827="","",Sync!$AB1827))</f>
        <v/>
      </c>
      <c r="D1827">
        <f>IF($A1827="","",IF(Sync!$AC1827="","",Sync!$AC1827))</f>
        <v/>
      </c>
      <c r="E1827">
        <f>IF($A1827="","",IF(Sync!$AD1827="","",Sync!$AD1827))</f>
        <v/>
      </c>
      <c r="F1827">
        <f>IF($A1827="","",IF(Sync!$AE1827="",0,Sync!$AE1827))</f>
        <v/>
      </c>
      <c r="G1827">
        <f>IF($A1827="","",IF(Sync!$AF1827="",0,Sync!$AF1827))</f>
        <v/>
      </c>
      <c r="H1827">
        <f>IF(OR($A1827="",ROUND($F1827+$G1827,2)=0),"",$F1827+$G1827)</f>
        <v/>
      </c>
      <c r="I1827">
        <f>IF($H1827="","",IF(ROUND($F1827,2)&gt;0,$A1827,IF($D1827="شخصی قاسم","شخصی قاسم",IF($D1827="هزینه","هزینه: "&amp;IF($E1827="","متفرقه",$E1827),IF($C1827="پاس چک","چک پرداختی",IF(OR($B1827="",COUNTIF(AcctCodesA,$B1827)=0),"متفرقه",$B1827))))))</f>
        <v/>
      </c>
      <c r="J1827">
        <f>IF($H1827="","",IF(ROUND($F1827,2)&gt;0,IF($D1827="شخصی قاسم","شخصی قاسم",IF($D1827="هزینه","هزینه: "&amp;IF($E1827="","متفرقه",$E1827),IF(OR($B1827="",COUNTIF(AcctCodesA,$B1827)=0),"متفرقه",$B1827))),$A1827))</f>
        <v/>
      </c>
      <c r="K1827">
        <f>IF($A1827="","",IF(AND($B1827&lt;&gt;"",COUNTIF(AcctCodesA,$B1827)=0),"کد طرف در INFO تعریف نشده",IF(AND($D1827="هزینه",$E1827=""),"هزینه بدون زیرگروه",IF(AND($C1827="پاس چک",OR(Sync!$AJ1827="",COUNTIF(IssueNosA,Sync!$AJ1827)=0)),"شماره چک پاس‌شده معتبر نیست",""))))</f>
        <v/>
      </c>
      <c r="V1827">
        <f>IF($K1827="","",IF(ISNUMBER(Sync!$AK1827),Sync!$AK1827,LEFT(Sync!$AK1827,4)&amp;MID(Sync!$AK1827,6,2)&amp;RIGHT(Sync!$AK1827,2))&amp;"|"&amp;"4"&amp;RIGHT("00000"&amp;1822,5))</f>
        <v/>
      </c>
      <c r="W1827">
        <f>IF($V1827="",0,COUNTIFS($V$6:$V$2005,"&lt;"&amp;$V1827)-COUNTIFS($V$6:$V$2005,"&lt;"&amp;$V1827,$K$6:$K$2005,"")+1)</f>
        <v/>
      </c>
    </row>
    <row r="1828">
      <c r="A1828">
        <f>IF(Sync!$Z1828="","",LEFT(UPPER(TRIM(Sync!$Z1828)),6))</f>
        <v/>
      </c>
      <c r="B1828">
        <f>IF($A1828="","",IF(Sync!$AA1828="","",Sync!$AA1828))</f>
        <v/>
      </c>
      <c r="C1828">
        <f>IF($A1828="","",IF(Sync!$AB1828="","",Sync!$AB1828))</f>
        <v/>
      </c>
      <c r="D1828">
        <f>IF($A1828="","",IF(Sync!$AC1828="","",Sync!$AC1828))</f>
        <v/>
      </c>
      <c r="E1828">
        <f>IF($A1828="","",IF(Sync!$AD1828="","",Sync!$AD1828))</f>
        <v/>
      </c>
      <c r="F1828">
        <f>IF($A1828="","",IF(Sync!$AE1828="",0,Sync!$AE1828))</f>
        <v/>
      </c>
      <c r="G1828">
        <f>IF($A1828="","",IF(Sync!$AF1828="",0,Sync!$AF1828))</f>
        <v/>
      </c>
      <c r="H1828">
        <f>IF(OR($A1828="",ROUND($F1828+$G1828,2)=0),"",$F1828+$G1828)</f>
        <v/>
      </c>
      <c r="I1828">
        <f>IF($H1828="","",IF(ROUND($F1828,2)&gt;0,$A1828,IF($D1828="شخصی قاسم","شخصی قاسم",IF($D1828="هزینه","هزینه: "&amp;IF($E1828="","متفرقه",$E1828),IF($C1828="پاس چک","چک پرداختی",IF(OR($B1828="",COUNTIF(AcctCodesA,$B1828)=0),"متفرقه",$B1828))))))</f>
        <v/>
      </c>
      <c r="J1828">
        <f>IF($H1828="","",IF(ROUND($F1828,2)&gt;0,IF($D1828="شخصی قاسم","شخصی قاسم",IF($D1828="هزینه","هزینه: "&amp;IF($E1828="","متفرقه",$E1828),IF(OR($B1828="",COUNTIF(AcctCodesA,$B1828)=0),"متفرقه",$B1828))),$A1828))</f>
        <v/>
      </c>
      <c r="K1828">
        <f>IF($A1828="","",IF(AND($B1828&lt;&gt;"",COUNTIF(AcctCodesA,$B1828)=0),"کد طرف در INFO تعریف نشده",IF(AND($D1828="هزینه",$E1828=""),"هزینه بدون زیرگروه",IF(AND($C1828="پاس چک",OR(Sync!$AJ1828="",COUNTIF(IssueNosA,Sync!$AJ1828)=0)),"شماره چک پاس‌شده معتبر نیست",""))))</f>
        <v/>
      </c>
      <c r="V1828">
        <f>IF($K1828="","",IF(ISNUMBER(Sync!$AK1828),Sync!$AK1828,LEFT(Sync!$AK1828,4)&amp;MID(Sync!$AK1828,6,2)&amp;RIGHT(Sync!$AK1828,2))&amp;"|"&amp;"4"&amp;RIGHT("00000"&amp;1823,5))</f>
        <v/>
      </c>
      <c r="W1828">
        <f>IF($V1828="",0,COUNTIFS($V$6:$V$2005,"&lt;"&amp;$V1828)-COUNTIFS($V$6:$V$2005,"&lt;"&amp;$V1828,$K$6:$K$2005,"")+1)</f>
        <v/>
      </c>
    </row>
    <row r="1829">
      <c r="A1829">
        <f>IF(Sync!$Z1829="","",LEFT(UPPER(TRIM(Sync!$Z1829)),6))</f>
        <v/>
      </c>
      <c r="B1829">
        <f>IF($A1829="","",IF(Sync!$AA1829="","",Sync!$AA1829))</f>
        <v/>
      </c>
      <c r="C1829">
        <f>IF($A1829="","",IF(Sync!$AB1829="","",Sync!$AB1829))</f>
        <v/>
      </c>
      <c r="D1829">
        <f>IF($A1829="","",IF(Sync!$AC1829="","",Sync!$AC1829))</f>
        <v/>
      </c>
      <c r="E1829">
        <f>IF($A1829="","",IF(Sync!$AD1829="","",Sync!$AD1829))</f>
        <v/>
      </c>
      <c r="F1829">
        <f>IF($A1829="","",IF(Sync!$AE1829="",0,Sync!$AE1829))</f>
        <v/>
      </c>
      <c r="G1829">
        <f>IF($A1829="","",IF(Sync!$AF1829="",0,Sync!$AF1829))</f>
        <v/>
      </c>
      <c r="H1829">
        <f>IF(OR($A1829="",ROUND($F1829+$G1829,2)=0),"",$F1829+$G1829)</f>
        <v/>
      </c>
      <c r="I1829">
        <f>IF($H1829="","",IF(ROUND($F1829,2)&gt;0,$A1829,IF($D1829="شخصی قاسم","شخصی قاسم",IF($D1829="هزینه","هزینه: "&amp;IF($E1829="","متفرقه",$E1829),IF($C1829="پاس چک","چک پرداختی",IF(OR($B1829="",COUNTIF(AcctCodesA,$B1829)=0),"متفرقه",$B1829))))))</f>
        <v/>
      </c>
      <c r="J1829">
        <f>IF($H1829="","",IF(ROUND($F1829,2)&gt;0,IF($D1829="شخصی قاسم","شخصی قاسم",IF($D1829="هزینه","هزینه: "&amp;IF($E1829="","متفرقه",$E1829),IF(OR($B1829="",COUNTIF(AcctCodesA,$B1829)=0),"متفرقه",$B1829))),$A1829))</f>
        <v/>
      </c>
      <c r="K1829">
        <f>IF($A1829="","",IF(AND($B1829&lt;&gt;"",COUNTIF(AcctCodesA,$B1829)=0),"کد طرف در INFO تعریف نشده",IF(AND($D1829="هزینه",$E1829=""),"هزینه بدون زیرگروه",IF(AND($C1829="پاس چک",OR(Sync!$AJ1829="",COUNTIF(IssueNosA,Sync!$AJ1829)=0)),"شماره چک پاس‌شده معتبر نیست",""))))</f>
        <v/>
      </c>
      <c r="V1829">
        <f>IF($K1829="","",IF(ISNUMBER(Sync!$AK1829),Sync!$AK1829,LEFT(Sync!$AK1829,4)&amp;MID(Sync!$AK1829,6,2)&amp;RIGHT(Sync!$AK1829,2))&amp;"|"&amp;"4"&amp;RIGHT("00000"&amp;1824,5))</f>
        <v/>
      </c>
      <c r="W1829">
        <f>IF($V1829="",0,COUNTIFS($V$6:$V$2005,"&lt;"&amp;$V1829)-COUNTIFS($V$6:$V$2005,"&lt;"&amp;$V1829,$K$6:$K$2005,"")+1)</f>
        <v/>
      </c>
    </row>
    <row r="1830">
      <c r="A1830">
        <f>IF(Sync!$Z1830="","",LEFT(UPPER(TRIM(Sync!$Z1830)),6))</f>
        <v/>
      </c>
      <c r="B1830">
        <f>IF($A1830="","",IF(Sync!$AA1830="","",Sync!$AA1830))</f>
        <v/>
      </c>
      <c r="C1830">
        <f>IF($A1830="","",IF(Sync!$AB1830="","",Sync!$AB1830))</f>
        <v/>
      </c>
      <c r="D1830">
        <f>IF($A1830="","",IF(Sync!$AC1830="","",Sync!$AC1830))</f>
        <v/>
      </c>
      <c r="E1830">
        <f>IF($A1830="","",IF(Sync!$AD1830="","",Sync!$AD1830))</f>
        <v/>
      </c>
      <c r="F1830">
        <f>IF($A1830="","",IF(Sync!$AE1830="",0,Sync!$AE1830))</f>
        <v/>
      </c>
      <c r="G1830">
        <f>IF($A1830="","",IF(Sync!$AF1830="",0,Sync!$AF1830))</f>
        <v/>
      </c>
      <c r="H1830">
        <f>IF(OR($A1830="",ROUND($F1830+$G1830,2)=0),"",$F1830+$G1830)</f>
        <v/>
      </c>
      <c r="I1830">
        <f>IF($H1830="","",IF(ROUND($F1830,2)&gt;0,$A1830,IF($D1830="شخصی قاسم","شخصی قاسم",IF($D1830="هزینه","هزینه: "&amp;IF($E1830="","متفرقه",$E1830),IF($C1830="پاس چک","چک پرداختی",IF(OR($B1830="",COUNTIF(AcctCodesA,$B1830)=0),"متفرقه",$B1830))))))</f>
        <v/>
      </c>
      <c r="J1830">
        <f>IF($H1830="","",IF(ROUND($F1830,2)&gt;0,IF($D1830="شخصی قاسم","شخصی قاسم",IF($D1830="هزینه","هزینه: "&amp;IF($E1830="","متفرقه",$E1830),IF(OR($B1830="",COUNTIF(AcctCodesA,$B1830)=0),"متفرقه",$B1830))),$A1830))</f>
        <v/>
      </c>
      <c r="K1830">
        <f>IF($A1830="","",IF(AND($B1830&lt;&gt;"",COUNTIF(AcctCodesA,$B1830)=0),"کد طرف در INFO تعریف نشده",IF(AND($D1830="هزینه",$E1830=""),"هزینه بدون زیرگروه",IF(AND($C1830="پاس چک",OR(Sync!$AJ1830="",COUNTIF(IssueNosA,Sync!$AJ1830)=0)),"شماره چک پاس‌شده معتبر نیست",""))))</f>
        <v/>
      </c>
      <c r="V1830">
        <f>IF($K1830="","",IF(ISNUMBER(Sync!$AK1830),Sync!$AK1830,LEFT(Sync!$AK1830,4)&amp;MID(Sync!$AK1830,6,2)&amp;RIGHT(Sync!$AK1830,2))&amp;"|"&amp;"4"&amp;RIGHT("00000"&amp;1825,5))</f>
        <v/>
      </c>
      <c r="W1830">
        <f>IF($V1830="",0,COUNTIFS($V$6:$V$2005,"&lt;"&amp;$V1830)-COUNTIFS($V$6:$V$2005,"&lt;"&amp;$V1830,$K$6:$K$2005,"")+1)</f>
        <v/>
      </c>
    </row>
    <row r="1831">
      <c r="A1831">
        <f>IF(Sync!$Z1831="","",LEFT(UPPER(TRIM(Sync!$Z1831)),6))</f>
        <v/>
      </c>
      <c r="B1831">
        <f>IF($A1831="","",IF(Sync!$AA1831="","",Sync!$AA1831))</f>
        <v/>
      </c>
      <c r="C1831">
        <f>IF($A1831="","",IF(Sync!$AB1831="","",Sync!$AB1831))</f>
        <v/>
      </c>
      <c r="D1831">
        <f>IF($A1831="","",IF(Sync!$AC1831="","",Sync!$AC1831))</f>
        <v/>
      </c>
      <c r="E1831">
        <f>IF($A1831="","",IF(Sync!$AD1831="","",Sync!$AD1831))</f>
        <v/>
      </c>
      <c r="F1831">
        <f>IF($A1831="","",IF(Sync!$AE1831="",0,Sync!$AE1831))</f>
        <v/>
      </c>
      <c r="G1831">
        <f>IF($A1831="","",IF(Sync!$AF1831="",0,Sync!$AF1831))</f>
        <v/>
      </c>
      <c r="H1831">
        <f>IF(OR($A1831="",ROUND($F1831+$G1831,2)=0),"",$F1831+$G1831)</f>
        <v/>
      </c>
      <c r="I1831">
        <f>IF($H1831="","",IF(ROUND($F1831,2)&gt;0,$A1831,IF($D1831="شخصی قاسم","شخصی قاسم",IF($D1831="هزینه","هزینه: "&amp;IF($E1831="","متفرقه",$E1831),IF($C1831="پاس چک","چک پرداختی",IF(OR($B1831="",COUNTIF(AcctCodesA,$B1831)=0),"متفرقه",$B1831))))))</f>
        <v/>
      </c>
      <c r="J1831">
        <f>IF($H1831="","",IF(ROUND($F1831,2)&gt;0,IF($D1831="شخصی قاسم","شخصی قاسم",IF($D1831="هزینه","هزینه: "&amp;IF($E1831="","متفرقه",$E1831),IF(OR($B1831="",COUNTIF(AcctCodesA,$B1831)=0),"متفرقه",$B1831))),$A1831))</f>
        <v/>
      </c>
      <c r="K1831">
        <f>IF($A1831="","",IF(AND($B1831&lt;&gt;"",COUNTIF(AcctCodesA,$B1831)=0),"کد طرف در INFO تعریف نشده",IF(AND($D1831="هزینه",$E1831=""),"هزینه بدون زیرگروه",IF(AND($C1831="پاس چک",OR(Sync!$AJ1831="",COUNTIF(IssueNosA,Sync!$AJ1831)=0)),"شماره چک پاس‌شده معتبر نیست",""))))</f>
        <v/>
      </c>
      <c r="V1831">
        <f>IF($K1831="","",IF(ISNUMBER(Sync!$AK1831),Sync!$AK1831,LEFT(Sync!$AK1831,4)&amp;MID(Sync!$AK1831,6,2)&amp;RIGHT(Sync!$AK1831,2))&amp;"|"&amp;"4"&amp;RIGHT("00000"&amp;1826,5))</f>
        <v/>
      </c>
      <c r="W1831">
        <f>IF($V1831="",0,COUNTIFS($V$6:$V$2005,"&lt;"&amp;$V1831)-COUNTIFS($V$6:$V$2005,"&lt;"&amp;$V1831,$K$6:$K$2005,"")+1)</f>
        <v/>
      </c>
    </row>
    <row r="1832">
      <c r="A1832">
        <f>IF(Sync!$Z1832="","",LEFT(UPPER(TRIM(Sync!$Z1832)),6))</f>
        <v/>
      </c>
      <c r="B1832">
        <f>IF($A1832="","",IF(Sync!$AA1832="","",Sync!$AA1832))</f>
        <v/>
      </c>
      <c r="C1832">
        <f>IF($A1832="","",IF(Sync!$AB1832="","",Sync!$AB1832))</f>
        <v/>
      </c>
      <c r="D1832">
        <f>IF($A1832="","",IF(Sync!$AC1832="","",Sync!$AC1832))</f>
        <v/>
      </c>
      <c r="E1832">
        <f>IF($A1832="","",IF(Sync!$AD1832="","",Sync!$AD1832))</f>
        <v/>
      </c>
      <c r="F1832">
        <f>IF($A1832="","",IF(Sync!$AE1832="",0,Sync!$AE1832))</f>
        <v/>
      </c>
      <c r="G1832">
        <f>IF($A1832="","",IF(Sync!$AF1832="",0,Sync!$AF1832))</f>
        <v/>
      </c>
      <c r="H1832">
        <f>IF(OR($A1832="",ROUND($F1832+$G1832,2)=0),"",$F1832+$G1832)</f>
        <v/>
      </c>
      <c r="I1832">
        <f>IF($H1832="","",IF(ROUND($F1832,2)&gt;0,$A1832,IF($D1832="شخصی قاسم","شخصی قاسم",IF($D1832="هزینه","هزینه: "&amp;IF($E1832="","متفرقه",$E1832),IF($C1832="پاس چک","چک پرداختی",IF(OR($B1832="",COUNTIF(AcctCodesA,$B1832)=0),"متفرقه",$B1832))))))</f>
        <v/>
      </c>
      <c r="J1832">
        <f>IF($H1832="","",IF(ROUND($F1832,2)&gt;0,IF($D1832="شخصی قاسم","شخصی قاسم",IF($D1832="هزینه","هزینه: "&amp;IF($E1832="","متفرقه",$E1832),IF(OR($B1832="",COUNTIF(AcctCodesA,$B1832)=0),"متفرقه",$B1832))),$A1832))</f>
        <v/>
      </c>
      <c r="K1832">
        <f>IF($A1832="","",IF(AND($B1832&lt;&gt;"",COUNTIF(AcctCodesA,$B1832)=0),"کد طرف در INFO تعریف نشده",IF(AND($D1832="هزینه",$E1832=""),"هزینه بدون زیرگروه",IF(AND($C1832="پاس چک",OR(Sync!$AJ1832="",COUNTIF(IssueNosA,Sync!$AJ1832)=0)),"شماره چک پاس‌شده معتبر نیست",""))))</f>
        <v/>
      </c>
      <c r="V1832">
        <f>IF($K1832="","",IF(ISNUMBER(Sync!$AK1832),Sync!$AK1832,LEFT(Sync!$AK1832,4)&amp;MID(Sync!$AK1832,6,2)&amp;RIGHT(Sync!$AK1832,2))&amp;"|"&amp;"4"&amp;RIGHT("00000"&amp;1827,5))</f>
        <v/>
      </c>
      <c r="W1832">
        <f>IF($V1832="",0,COUNTIFS($V$6:$V$2005,"&lt;"&amp;$V1832)-COUNTIFS($V$6:$V$2005,"&lt;"&amp;$V1832,$K$6:$K$2005,"")+1)</f>
        <v/>
      </c>
    </row>
    <row r="1833">
      <c r="A1833">
        <f>IF(Sync!$Z1833="","",LEFT(UPPER(TRIM(Sync!$Z1833)),6))</f>
        <v/>
      </c>
      <c r="B1833">
        <f>IF($A1833="","",IF(Sync!$AA1833="","",Sync!$AA1833))</f>
        <v/>
      </c>
      <c r="C1833">
        <f>IF($A1833="","",IF(Sync!$AB1833="","",Sync!$AB1833))</f>
        <v/>
      </c>
      <c r="D1833">
        <f>IF($A1833="","",IF(Sync!$AC1833="","",Sync!$AC1833))</f>
        <v/>
      </c>
      <c r="E1833">
        <f>IF($A1833="","",IF(Sync!$AD1833="","",Sync!$AD1833))</f>
        <v/>
      </c>
      <c r="F1833">
        <f>IF($A1833="","",IF(Sync!$AE1833="",0,Sync!$AE1833))</f>
        <v/>
      </c>
      <c r="G1833">
        <f>IF($A1833="","",IF(Sync!$AF1833="",0,Sync!$AF1833))</f>
        <v/>
      </c>
      <c r="H1833">
        <f>IF(OR($A1833="",ROUND($F1833+$G1833,2)=0),"",$F1833+$G1833)</f>
        <v/>
      </c>
      <c r="I1833">
        <f>IF($H1833="","",IF(ROUND($F1833,2)&gt;0,$A1833,IF($D1833="شخصی قاسم","شخصی قاسم",IF($D1833="هزینه","هزینه: "&amp;IF($E1833="","متفرقه",$E1833),IF($C1833="پاس چک","چک پرداختی",IF(OR($B1833="",COUNTIF(AcctCodesA,$B1833)=0),"متفرقه",$B1833))))))</f>
        <v/>
      </c>
      <c r="J1833">
        <f>IF($H1833="","",IF(ROUND($F1833,2)&gt;0,IF($D1833="شخصی قاسم","شخصی قاسم",IF($D1833="هزینه","هزینه: "&amp;IF($E1833="","متفرقه",$E1833),IF(OR($B1833="",COUNTIF(AcctCodesA,$B1833)=0),"متفرقه",$B1833))),$A1833))</f>
        <v/>
      </c>
      <c r="K1833">
        <f>IF($A1833="","",IF(AND($B1833&lt;&gt;"",COUNTIF(AcctCodesA,$B1833)=0),"کد طرف در INFO تعریف نشده",IF(AND($D1833="هزینه",$E1833=""),"هزینه بدون زیرگروه",IF(AND($C1833="پاس چک",OR(Sync!$AJ1833="",COUNTIF(IssueNosA,Sync!$AJ1833)=0)),"شماره چک پاس‌شده معتبر نیست",""))))</f>
        <v/>
      </c>
      <c r="V1833">
        <f>IF($K1833="","",IF(ISNUMBER(Sync!$AK1833),Sync!$AK1833,LEFT(Sync!$AK1833,4)&amp;MID(Sync!$AK1833,6,2)&amp;RIGHT(Sync!$AK1833,2))&amp;"|"&amp;"4"&amp;RIGHT("00000"&amp;1828,5))</f>
        <v/>
      </c>
      <c r="W1833">
        <f>IF($V1833="",0,COUNTIFS($V$6:$V$2005,"&lt;"&amp;$V1833)-COUNTIFS($V$6:$V$2005,"&lt;"&amp;$V1833,$K$6:$K$2005,"")+1)</f>
        <v/>
      </c>
    </row>
    <row r="1834">
      <c r="A1834">
        <f>IF(Sync!$Z1834="","",LEFT(UPPER(TRIM(Sync!$Z1834)),6))</f>
        <v/>
      </c>
      <c r="B1834">
        <f>IF($A1834="","",IF(Sync!$AA1834="","",Sync!$AA1834))</f>
        <v/>
      </c>
      <c r="C1834">
        <f>IF($A1834="","",IF(Sync!$AB1834="","",Sync!$AB1834))</f>
        <v/>
      </c>
      <c r="D1834">
        <f>IF($A1834="","",IF(Sync!$AC1834="","",Sync!$AC1834))</f>
        <v/>
      </c>
      <c r="E1834">
        <f>IF($A1834="","",IF(Sync!$AD1834="","",Sync!$AD1834))</f>
        <v/>
      </c>
      <c r="F1834">
        <f>IF($A1834="","",IF(Sync!$AE1834="",0,Sync!$AE1834))</f>
        <v/>
      </c>
      <c r="G1834">
        <f>IF($A1834="","",IF(Sync!$AF1834="",0,Sync!$AF1834))</f>
        <v/>
      </c>
      <c r="H1834">
        <f>IF(OR($A1834="",ROUND($F1834+$G1834,2)=0),"",$F1834+$G1834)</f>
        <v/>
      </c>
      <c r="I1834">
        <f>IF($H1834="","",IF(ROUND($F1834,2)&gt;0,$A1834,IF($D1834="شخصی قاسم","شخصی قاسم",IF($D1834="هزینه","هزینه: "&amp;IF($E1834="","متفرقه",$E1834),IF($C1834="پاس چک","چک پرداختی",IF(OR($B1834="",COUNTIF(AcctCodesA,$B1834)=0),"متفرقه",$B1834))))))</f>
        <v/>
      </c>
      <c r="J1834">
        <f>IF($H1834="","",IF(ROUND($F1834,2)&gt;0,IF($D1834="شخصی قاسم","شخصی قاسم",IF($D1834="هزینه","هزینه: "&amp;IF($E1834="","متفرقه",$E1834),IF(OR($B1834="",COUNTIF(AcctCodesA,$B1834)=0),"متفرقه",$B1834))),$A1834))</f>
        <v/>
      </c>
      <c r="K1834">
        <f>IF($A1834="","",IF(AND($B1834&lt;&gt;"",COUNTIF(AcctCodesA,$B1834)=0),"کد طرف در INFO تعریف نشده",IF(AND($D1834="هزینه",$E1834=""),"هزینه بدون زیرگروه",IF(AND($C1834="پاس چک",OR(Sync!$AJ1834="",COUNTIF(IssueNosA,Sync!$AJ1834)=0)),"شماره چک پاس‌شده معتبر نیست",""))))</f>
        <v/>
      </c>
      <c r="V1834">
        <f>IF($K1834="","",IF(ISNUMBER(Sync!$AK1834),Sync!$AK1834,LEFT(Sync!$AK1834,4)&amp;MID(Sync!$AK1834,6,2)&amp;RIGHT(Sync!$AK1834,2))&amp;"|"&amp;"4"&amp;RIGHT("00000"&amp;1829,5))</f>
        <v/>
      </c>
      <c r="W1834">
        <f>IF($V1834="",0,COUNTIFS($V$6:$V$2005,"&lt;"&amp;$V1834)-COUNTIFS($V$6:$V$2005,"&lt;"&amp;$V1834,$K$6:$K$2005,"")+1)</f>
        <v/>
      </c>
    </row>
    <row r="1835">
      <c r="A1835">
        <f>IF(Sync!$Z1835="","",LEFT(UPPER(TRIM(Sync!$Z1835)),6))</f>
        <v/>
      </c>
      <c r="B1835">
        <f>IF($A1835="","",IF(Sync!$AA1835="","",Sync!$AA1835))</f>
        <v/>
      </c>
      <c r="C1835">
        <f>IF($A1835="","",IF(Sync!$AB1835="","",Sync!$AB1835))</f>
        <v/>
      </c>
      <c r="D1835">
        <f>IF($A1835="","",IF(Sync!$AC1835="","",Sync!$AC1835))</f>
        <v/>
      </c>
      <c r="E1835">
        <f>IF($A1835="","",IF(Sync!$AD1835="","",Sync!$AD1835))</f>
        <v/>
      </c>
      <c r="F1835">
        <f>IF($A1835="","",IF(Sync!$AE1835="",0,Sync!$AE1835))</f>
        <v/>
      </c>
      <c r="G1835">
        <f>IF($A1835="","",IF(Sync!$AF1835="",0,Sync!$AF1835))</f>
        <v/>
      </c>
      <c r="H1835">
        <f>IF(OR($A1835="",ROUND($F1835+$G1835,2)=0),"",$F1835+$G1835)</f>
        <v/>
      </c>
      <c r="I1835">
        <f>IF($H1835="","",IF(ROUND($F1835,2)&gt;0,$A1835,IF($D1835="شخصی قاسم","شخصی قاسم",IF($D1835="هزینه","هزینه: "&amp;IF($E1835="","متفرقه",$E1835),IF($C1835="پاس چک","چک پرداختی",IF(OR($B1835="",COUNTIF(AcctCodesA,$B1835)=0),"متفرقه",$B1835))))))</f>
        <v/>
      </c>
      <c r="J1835">
        <f>IF($H1835="","",IF(ROUND($F1835,2)&gt;0,IF($D1835="شخصی قاسم","شخصی قاسم",IF($D1835="هزینه","هزینه: "&amp;IF($E1835="","متفرقه",$E1835),IF(OR($B1835="",COUNTIF(AcctCodesA,$B1835)=0),"متفرقه",$B1835))),$A1835))</f>
        <v/>
      </c>
      <c r="K1835">
        <f>IF($A1835="","",IF(AND($B1835&lt;&gt;"",COUNTIF(AcctCodesA,$B1835)=0),"کد طرف در INFO تعریف نشده",IF(AND($D1835="هزینه",$E1835=""),"هزینه بدون زیرگروه",IF(AND($C1835="پاس چک",OR(Sync!$AJ1835="",COUNTIF(IssueNosA,Sync!$AJ1835)=0)),"شماره چک پاس‌شده معتبر نیست",""))))</f>
        <v/>
      </c>
      <c r="V1835">
        <f>IF($K1835="","",IF(ISNUMBER(Sync!$AK1835),Sync!$AK1835,LEFT(Sync!$AK1835,4)&amp;MID(Sync!$AK1835,6,2)&amp;RIGHT(Sync!$AK1835,2))&amp;"|"&amp;"4"&amp;RIGHT("00000"&amp;1830,5))</f>
        <v/>
      </c>
      <c r="W1835">
        <f>IF($V1835="",0,COUNTIFS($V$6:$V$2005,"&lt;"&amp;$V1835)-COUNTIFS($V$6:$V$2005,"&lt;"&amp;$V1835,$K$6:$K$2005,"")+1)</f>
        <v/>
      </c>
    </row>
    <row r="1836">
      <c r="A1836">
        <f>IF(Sync!$Z1836="","",LEFT(UPPER(TRIM(Sync!$Z1836)),6))</f>
        <v/>
      </c>
      <c r="B1836">
        <f>IF($A1836="","",IF(Sync!$AA1836="","",Sync!$AA1836))</f>
        <v/>
      </c>
      <c r="C1836">
        <f>IF($A1836="","",IF(Sync!$AB1836="","",Sync!$AB1836))</f>
        <v/>
      </c>
      <c r="D1836">
        <f>IF($A1836="","",IF(Sync!$AC1836="","",Sync!$AC1836))</f>
        <v/>
      </c>
      <c r="E1836">
        <f>IF($A1836="","",IF(Sync!$AD1836="","",Sync!$AD1836))</f>
        <v/>
      </c>
      <c r="F1836">
        <f>IF($A1836="","",IF(Sync!$AE1836="",0,Sync!$AE1836))</f>
        <v/>
      </c>
      <c r="G1836">
        <f>IF($A1836="","",IF(Sync!$AF1836="",0,Sync!$AF1836))</f>
        <v/>
      </c>
      <c r="H1836">
        <f>IF(OR($A1836="",ROUND($F1836+$G1836,2)=0),"",$F1836+$G1836)</f>
        <v/>
      </c>
      <c r="I1836">
        <f>IF($H1836="","",IF(ROUND($F1836,2)&gt;0,$A1836,IF($D1836="شخصی قاسم","شخصی قاسم",IF($D1836="هزینه","هزینه: "&amp;IF($E1836="","متفرقه",$E1836),IF($C1836="پاس چک","چک پرداختی",IF(OR($B1836="",COUNTIF(AcctCodesA,$B1836)=0),"متفرقه",$B1836))))))</f>
        <v/>
      </c>
      <c r="J1836">
        <f>IF($H1836="","",IF(ROUND($F1836,2)&gt;0,IF($D1836="شخصی قاسم","شخصی قاسم",IF($D1836="هزینه","هزینه: "&amp;IF($E1836="","متفرقه",$E1836),IF(OR($B1836="",COUNTIF(AcctCodesA,$B1836)=0),"متفرقه",$B1836))),$A1836))</f>
        <v/>
      </c>
      <c r="K1836">
        <f>IF($A1836="","",IF(AND($B1836&lt;&gt;"",COUNTIF(AcctCodesA,$B1836)=0),"کد طرف در INFO تعریف نشده",IF(AND($D1836="هزینه",$E1836=""),"هزینه بدون زیرگروه",IF(AND($C1836="پاس چک",OR(Sync!$AJ1836="",COUNTIF(IssueNosA,Sync!$AJ1836)=0)),"شماره چک پاس‌شده معتبر نیست",""))))</f>
        <v/>
      </c>
      <c r="V1836">
        <f>IF($K1836="","",IF(ISNUMBER(Sync!$AK1836),Sync!$AK1836,LEFT(Sync!$AK1836,4)&amp;MID(Sync!$AK1836,6,2)&amp;RIGHT(Sync!$AK1836,2))&amp;"|"&amp;"4"&amp;RIGHT("00000"&amp;1831,5))</f>
        <v/>
      </c>
      <c r="W1836">
        <f>IF($V1836="",0,COUNTIFS($V$6:$V$2005,"&lt;"&amp;$V1836)-COUNTIFS($V$6:$V$2005,"&lt;"&amp;$V1836,$K$6:$K$2005,"")+1)</f>
        <v/>
      </c>
    </row>
    <row r="1837">
      <c r="A1837">
        <f>IF(Sync!$Z1837="","",LEFT(UPPER(TRIM(Sync!$Z1837)),6))</f>
        <v/>
      </c>
      <c r="B1837">
        <f>IF($A1837="","",IF(Sync!$AA1837="","",Sync!$AA1837))</f>
        <v/>
      </c>
      <c r="C1837">
        <f>IF($A1837="","",IF(Sync!$AB1837="","",Sync!$AB1837))</f>
        <v/>
      </c>
      <c r="D1837">
        <f>IF($A1837="","",IF(Sync!$AC1837="","",Sync!$AC1837))</f>
        <v/>
      </c>
      <c r="E1837">
        <f>IF($A1837="","",IF(Sync!$AD1837="","",Sync!$AD1837))</f>
        <v/>
      </c>
      <c r="F1837">
        <f>IF($A1837="","",IF(Sync!$AE1837="",0,Sync!$AE1837))</f>
        <v/>
      </c>
      <c r="G1837">
        <f>IF($A1837="","",IF(Sync!$AF1837="",0,Sync!$AF1837))</f>
        <v/>
      </c>
      <c r="H1837">
        <f>IF(OR($A1837="",ROUND($F1837+$G1837,2)=0),"",$F1837+$G1837)</f>
        <v/>
      </c>
      <c r="I1837">
        <f>IF($H1837="","",IF(ROUND($F1837,2)&gt;0,$A1837,IF($D1837="شخصی قاسم","شخصی قاسم",IF($D1837="هزینه","هزینه: "&amp;IF($E1837="","متفرقه",$E1837),IF($C1837="پاس چک","چک پرداختی",IF(OR($B1837="",COUNTIF(AcctCodesA,$B1837)=0),"متفرقه",$B1837))))))</f>
        <v/>
      </c>
      <c r="J1837">
        <f>IF($H1837="","",IF(ROUND($F1837,2)&gt;0,IF($D1837="شخصی قاسم","شخصی قاسم",IF($D1837="هزینه","هزینه: "&amp;IF($E1837="","متفرقه",$E1837),IF(OR($B1837="",COUNTIF(AcctCodesA,$B1837)=0),"متفرقه",$B1837))),$A1837))</f>
        <v/>
      </c>
      <c r="K1837">
        <f>IF($A1837="","",IF(AND($B1837&lt;&gt;"",COUNTIF(AcctCodesA,$B1837)=0),"کد طرف در INFO تعریف نشده",IF(AND($D1837="هزینه",$E1837=""),"هزینه بدون زیرگروه",IF(AND($C1837="پاس چک",OR(Sync!$AJ1837="",COUNTIF(IssueNosA,Sync!$AJ1837)=0)),"شماره چک پاس‌شده معتبر نیست",""))))</f>
        <v/>
      </c>
      <c r="V1837">
        <f>IF($K1837="","",IF(ISNUMBER(Sync!$AK1837),Sync!$AK1837,LEFT(Sync!$AK1837,4)&amp;MID(Sync!$AK1837,6,2)&amp;RIGHT(Sync!$AK1837,2))&amp;"|"&amp;"4"&amp;RIGHT("00000"&amp;1832,5))</f>
        <v/>
      </c>
      <c r="W1837">
        <f>IF($V1837="",0,COUNTIFS($V$6:$V$2005,"&lt;"&amp;$V1837)-COUNTIFS($V$6:$V$2005,"&lt;"&amp;$V1837,$K$6:$K$2005,"")+1)</f>
        <v/>
      </c>
    </row>
    <row r="1838">
      <c r="A1838">
        <f>IF(Sync!$Z1838="","",LEFT(UPPER(TRIM(Sync!$Z1838)),6))</f>
        <v/>
      </c>
      <c r="B1838">
        <f>IF($A1838="","",IF(Sync!$AA1838="","",Sync!$AA1838))</f>
        <v/>
      </c>
      <c r="C1838">
        <f>IF($A1838="","",IF(Sync!$AB1838="","",Sync!$AB1838))</f>
        <v/>
      </c>
      <c r="D1838">
        <f>IF($A1838="","",IF(Sync!$AC1838="","",Sync!$AC1838))</f>
        <v/>
      </c>
      <c r="E1838">
        <f>IF($A1838="","",IF(Sync!$AD1838="","",Sync!$AD1838))</f>
        <v/>
      </c>
      <c r="F1838">
        <f>IF($A1838="","",IF(Sync!$AE1838="",0,Sync!$AE1838))</f>
        <v/>
      </c>
      <c r="G1838">
        <f>IF($A1838="","",IF(Sync!$AF1838="",0,Sync!$AF1838))</f>
        <v/>
      </c>
      <c r="H1838">
        <f>IF(OR($A1838="",ROUND($F1838+$G1838,2)=0),"",$F1838+$G1838)</f>
        <v/>
      </c>
      <c r="I1838">
        <f>IF($H1838="","",IF(ROUND($F1838,2)&gt;0,$A1838,IF($D1838="شخصی قاسم","شخصی قاسم",IF($D1838="هزینه","هزینه: "&amp;IF($E1838="","متفرقه",$E1838),IF($C1838="پاس چک","چک پرداختی",IF(OR($B1838="",COUNTIF(AcctCodesA,$B1838)=0),"متفرقه",$B1838))))))</f>
        <v/>
      </c>
      <c r="J1838">
        <f>IF($H1838="","",IF(ROUND($F1838,2)&gt;0,IF($D1838="شخصی قاسم","شخصی قاسم",IF($D1838="هزینه","هزینه: "&amp;IF($E1838="","متفرقه",$E1838),IF(OR($B1838="",COUNTIF(AcctCodesA,$B1838)=0),"متفرقه",$B1838))),$A1838))</f>
        <v/>
      </c>
      <c r="K1838">
        <f>IF($A1838="","",IF(AND($B1838&lt;&gt;"",COUNTIF(AcctCodesA,$B1838)=0),"کد طرف در INFO تعریف نشده",IF(AND($D1838="هزینه",$E1838=""),"هزینه بدون زیرگروه",IF(AND($C1838="پاس چک",OR(Sync!$AJ1838="",COUNTIF(IssueNosA,Sync!$AJ1838)=0)),"شماره چک پاس‌شده معتبر نیست",""))))</f>
        <v/>
      </c>
      <c r="V1838">
        <f>IF($K1838="","",IF(ISNUMBER(Sync!$AK1838),Sync!$AK1838,LEFT(Sync!$AK1838,4)&amp;MID(Sync!$AK1838,6,2)&amp;RIGHT(Sync!$AK1838,2))&amp;"|"&amp;"4"&amp;RIGHT("00000"&amp;1833,5))</f>
        <v/>
      </c>
      <c r="W1838">
        <f>IF($V1838="",0,COUNTIFS($V$6:$V$2005,"&lt;"&amp;$V1838)-COUNTIFS($V$6:$V$2005,"&lt;"&amp;$V1838,$K$6:$K$2005,"")+1)</f>
        <v/>
      </c>
    </row>
    <row r="1839">
      <c r="A1839">
        <f>IF(Sync!$Z1839="","",LEFT(UPPER(TRIM(Sync!$Z1839)),6))</f>
        <v/>
      </c>
      <c r="B1839">
        <f>IF($A1839="","",IF(Sync!$AA1839="","",Sync!$AA1839))</f>
        <v/>
      </c>
      <c r="C1839">
        <f>IF($A1839="","",IF(Sync!$AB1839="","",Sync!$AB1839))</f>
        <v/>
      </c>
      <c r="D1839">
        <f>IF($A1839="","",IF(Sync!$AC1839="","",Sync!$AC1839))</f>
        <v/>
      </c>
      <c r="E1839">
        <f>IF($A1839="","",IF(Sync!$AD1839="","",Sync!$AD1839))</f>
        <v/>
      </c>
      <c r="F1839">
        <f>IF($A1839="","",IF(Sync!$AE1839="",0,Sync!$AE1839))</f>
        <v/>
      </c>
      <c r="G1839">
        <f>IF($A1839="","",IF(Sync!$AF1839="",0,Sync!$AF1839))</f>
        <v/>
      </c>
      <c r="H1839">
        <f>IF(OR($A1839="",ROUND($F1839+$G1839,2)=0),"",$F1839+$G1839)</f>
        <v/>
      </c>
      <c r="I1839">
        <f>IF($H1839="","",IF(ROUND($F1839,2)&gt;0,$A1839,IF($D1839="شخصی قاسم","شخصی قاسم",IF($D1839="هزینه","هزینه: "&amp;IF($E1839="","متفرقه",$E1839),IF($C1839="پاس چک","چک پرداختی",IF(OR($B1839="",COUNTIF(AcctCodesA,$B1839)=0),"متفرقه",$B1839))))))</f>
        <v/>
      </c>
      <c r="J1839">
        <f>IF($H1839="","",IF(ROUND($F1839,2)&gt;0,IF($D1839="شخصی قاسم","شخصی قاسم",IF($D1839="هزینه","هزینه: "&amp;IF($E1839="","متفرقه",$E1839),IF(OR($B1839="",COUNTIF(AcctCodesA,$B1839)=0),"متفرقه",$B1839))),$A1839))</f>
        <v/>
      </c>
      <c r="K1839">
        <f>IF($A1839="","",IF(AND($B1839&lt;&gt;"",COUNTIF(AcctCodesA,$B1839)=0),"کد طرف در INFO تعریف نشده",IF(AND($D1839="هزینه",$E1839=""),"هزینه بدون زیرگروه",IF(AND($C1839="پاس چک",OR(Sync!$AJ1839="",COUNTIF(IssueNosA,Sync!$AJ1839)=0)),"شماره چک پاس‌شده معتبر نیست",""))))</f>
        <v/>
      </c>
      <c r="V1839">
        <f>IF($K1839="","",IF(ISNUMBER(Sync!$AK1839),Sync!$AK1839,LEFT(Sync!$AK1839,4)&amp;MID(Sync!$AK1839,6,2)&amp;RIGHT(Sync!$AK1839,2))&amp;"|"&amp;"4"&amp;RIGHT("00000"&amp;1834,5))</f>
        <v/>
      </c>
      <c r="W1839">
        <f>IF($V1839="",0,COUNTIFS($V$6:$V$2005,"&lt;"&amp;$V1839)-COUNTIFS($V$6:$V$2005,"&lt;"&amp;$V1839,$K$6:$K$2005,"")+1)</f>
        <v/>
      </c>
    </row>
    <row r="1840">
      <c r="A1840">
        <f>IF(Sync!$Z1840="","",LEFT(UPPER(TRIM(Sync!$Z1840)),6))</f>
        <v/>
      </c>
      <c r="B1840">
        <f>IF($A1840="","",IF(Sync!$AA1840="","",Sync!$AA1840))</f>
        <v/>
      </c>
      <c r="C1840">
        <f>IF($A1840="","",IF(Sync!$AB1840="","",Sync!$AB1840))</f>
        <v/>
      </c>
      <c r="D1840">
        <f>IF($A1840="","",IF(Sync!$AC1840="","",Sync!$AC1840))</f>
        <v/>
      </c>
      <c r="E1840">
        <f>IF($A1840="","",IF(Sync!$AD1840="","",Sync!$AD1840))</f>
        <v/>
      </c>
      <c r="F1840">
        <f>IF($A1840="","",IF(Sync!$AE1840="",0,Sync!$AE1840))</f>
        <v/>
      </c>
      <c r="G1840">
        <f>IF($A1840="","",IF(Sync!$AF1840="",0,Sync!$AF1840))</f>
        <v/>
      </c>
      <c r="H1840">
        <f>IF(OR($A1840="",ROUND($F1840+$G1840,2)=0),"",$F1840+$G1840)</f>
        <v/>
      </c>
      <c r="I1840">
        <f>IF($H1840="","",IF(ROUND($F1840,2)&gt;0,$A1840,IF($D1840="شخصی قاسم","شخصی قاسم",IF($D1840="هزینه","هزینه: "&amp;IF($E1840="","متفرقه",$E1840),IF($C1840="پاس چک","چک پرداختی",IF(OR($B1840="",COUNTIF(AcctCodesA,$B1840)=0),"متفرقه",$B1840))))))</f>
        <v/>
      </c>
      <c r="J1840">
        <f>IF($H1840="","",IF(ROUND($F1840,2)&gt;0,IF($D1840="شخصی قاسم","شخصی قاسم",IF($D1840="هزینه","هزینه: "&amp;IF($E1840="","متفرقه",$E1840),IF(OR($B1840="",COUNTIF(AcctCodesA,$B1840)=0),"متفرقه",$B1840))),$A1840))</f>
        <v/>
      </c>
      <c r="K1840">
        <f>IF($A1840="","",IF(AND($B1840&lt;&gt;"",COUNTIF(AcctCodesA,$B1840)=0),"کد طرف در INFO تعریف نشده",IF(AND($D1840="هزینه",$E1840=""),"هزینه بدون زیرگروه",IF(AND($C1840="پاس چک",OR(Sync!$AJ1840="",COUNTIF(IssueNosA,Sync!$AJ1840)=0)),"شماره چک پاس‌شده معتبر نیست",""))))</f>
        <v/>
      </c>
      <c r="V1840">
        <f>IF($K1840="","",IF(ISNUMBER(Sync!$AK1840),Sync!$AK1840,LEFT(Sync!$AK1840,4)&amp;MID(Sync!$AK1840,6,2)&amp;RIGHT(Sync!$AK1840,2))&amp;"|"&amp;"4"&amp;RIGHT("00000"&amp;1835,5))</f>
        <v/>
      </c>
      <c r="W1840">
        <f>IF($V1840="",0,COUNTIFS($V$6:$V$2005,"&lt;"&amp;$V1840)-COUNTIFS($V$6:$V$2005,"&lt;"&amp;$V1840,$K$6:$K$2005,"")+1)</f>
        <v/>
      </c>
    </row>
    <row r="1841">
      <c r="A1841">
        <f>IF(Sync!$Z1841="","",LEFT(UPPER(TRIM(Sync!$Z1841)),6))</f>
        <v/>
      </c>
      <c r="B1841">
        <f>IF($A1841="","",IF(Sync!$AA1841="","",Sync!$AA1841))</f>
        <v/>
      </c>
      <c r="C1841">
        <f>IF($A1841="","",IF(Sync!$AB1841="","",Sync!$AB1841))</f>
        <v/>
      </c>
      <c r="D1841">
        <f>IF($A1841="","",IF(Sync!$AC1841="","",Sync!$AC1841))</f>
        <v/>
      </c>
      <c r="E1841">
        <f>IF($A1841="","",IF(Sync!$AD1841="","",Sync!$AD1841))</f>
        <v/>
      </c>
      <c r="F1841">
        <f>IF($A1841="","",IF(Sync!$AE1841="",0,Sync!$AE1841))</f>
        <v/>
      </c>
      <c r="G1841">
        <f>IF($A1841="","",IF(Sync!$AF1841="",0,Sync!$AF1841))</f>
        <v/>
      </c>
      <c r="H1841">
        <f>IF(OR($A1841="",ROUND($F1841+$G1841,2)=0),"",$F1841+$G1841)</f>
        <v/>
      </c>
      <c r="I1841">
        <f>IF($H1841="","",IF(ROUND($F1841,2)&gt;0,$A1841,IF($D1841="شخصی قاسم","شخصی قاسم",IF($D1841="هزینه","هزینه: "&amp;IF($E1841="","متفرقه",$E1841),IF($C1841="پاس چک","چک پرداختی",IF(OR($B1841="",COUNTIF(AcctCodesA,$B1841)=0),"متفرقه",$B1841))))))</f>
        <v/>
      </c>
      <c r="J1841">
        <f>IF($H1841="","",IF(ROUND($F1841,2)&gt;0,IF($D1841="شخصی قاسم","شخصی قاسم",IF($D1841="هزینه","هزینه: "&amp;IF($E1841="","متفرقه",$E1841),IF(OR($B1841="",COUNTIF(AcctCodesA,$B1841)=0),"متفرقه",$B1841))),$A1841))</f>
        <v/>
      </c>
      <c r="K1841">
        <f>IF($A1841="","",IF(AND($B1841&lt;&gt;"",COUNTIF(AcctCodesA,$B1841)=0),"کد طرف در INFO تعریف نشده",IF(AND($D1841="هزینه",$E1841=""),"هزینه بدون زیرگروه",IF(AND($C1841="پاس چک",OR(Sync!$AJ1841="",COUNTIF(IssueNosA,Sync!$AJ1841)=0)),"شماره چک پاس‌شده معتبر نیست",""))))</f>
        <v/>
      </c>
      <c r="V1841">
        <f>IF($K1841="","",IF(ISNUMBER(Sync!$AK1841),Sync!$AK1841,LEFT(Sync!$AK1841,4)&amp;MID(Sync!$AK1841,6,2)&amp;RIGHT(Sync!$AK1841,2))&amp;"|"&amp;"4"&amp;RIGHT("00000"&amp;1836,5))</f>
        <v/>
      </c>
      <c r="W1841">
        <f>IF($V1841="",0,COUNTIFS($V$6:$V$2005,"&lt;"&amp;$V1841)-COUNTIFS($V$6:$V$2005,"&lt;"&amp;$V1841,$K$6:$K$2005,"")+1)</f>
        <v/>
      </c>
    </row>
    <row r="1842">
      <c r="A1842">
        <f>IF(Sync!$Z1842="","",LEFT(UPPER(TRIM(Sync!$Z1842)),6))</f>
        <v/>
      </c>
      <c r="B1842">
        <f>IF($A1842="","",IF(Sync!$AA1842="","",Sync!$AA1842))</f>
        <v/>
      </c>
      <c r="C1842">
        <f>IF($A1842="","",IF(Sync!$AB1842="","",Sync!$AB1842))</f>
        <v/>
      </c>
      <c r="D1842">
        <f>IF($A1842="","",IF(Sync!$AC1842="","",Sync!$AC1842))</f>
        <v/>
      </c>
      <c r="E1842">
        <f>IF($A1842="","",IF(Sync!$AD1842="","",Sync!$AD1842))</f>
        <v/>
      </c>
      <c r="F1842">
        <f>IF($A1842="","",IF(Sync!$AE1842="",0,Sync!$AE1842))</f>
        <v/>
      </c>
      <c r="G1842">
        <f>IF($A1842="","",IF(Sync!$AF1842="",0,Sync!$AF1842))</f>
        <v/>
      </c>
      <c r="H1842">
        <f>IF(OR($A1842="",ROUND($F1842+$G1842,2)=0),"",$F1842+$G1842)</f>
        <v/>
      </c>
      <c r="I1842">
        <f>IF($H1842="","",IF(ROUND($F1842,2)&gt;0,$A1842,IF($D1842="شخصی قاسم","شخصی قاسم",IF($D1842="هزینه","هزینه: "&amp;IF($E1842="","متفرقه",$E1842),IF($C1842="پاس چک","چک پرداختی",IF(OR($B1842="",COUNTIF(AcctCodesA,$B1842)=0),"متفرقه",$B1842))))))</f>
        <v/>
      </c>
      <c r="J1842">
        <f>IF($H1842="","",IF(ROUND($F1842,2)&gt;0,IF($D1842="شخصی قاسم","شخصی قاسم",IF($D1842="هزینه","هزینه: "&amp;IF($E1842="","متفرقه",$E1842),IF(OR($B1842="",COUNTIF(AcctCodesA,$B1842)=0),"متفرقه",$B1842))),$A1842))</f>
        <v/>
      </c>
      <c r="K1842">
        <f>IF($A1842="","",IF(AND($B1842&lt;&gt;"",COUNTIF(AcctCodesA,$B1842)=0),"کد طرف در INFO تعریف نشده",IF(AND($D1842="هزینه",$E1842=""),"هزینه بدون زیرگروه",IF(AND($C1842="پاس چک",OR(Sync!$AJ1842="",COUNTIF(IssueNosA,Sync!$AJ1842)=0)),"شماره چک پاس‌شده معتبر نیست",""))))</f>
        <v/>
      </c>
      <c r="V1842">
        <f>IF($K1842="","",IF(ISNUMBER(Sync!$AK1842),Sync!$AK1842,LEFT(Sync!$AK1842,4)&amp;MID(Sync!$AK1842,6,2)&amp;RIGHT(Sync!$AK1842,2))&amp;"|"&amp;"4"&amp;RIGHT("00000"&amp;1837,5))</f>
        <v/>
      </c>
      <c r="W1842">
        <f>IF($V1842="",0,COUNTIFS($V$6:$V$2005,"&lt;"&amp;$V1842)-COUNTIFS($V$6:$V$2005,"&lt;"&amp;$V1842,$K$6:$K$2005,"")+1)</f>
        <v/>
      </c>
    </row>
    <row r="1843">
      <c r="A1843">
        <f>IF(Sync!$Z1843="","",LEFT(UPPER(TRIM(Sync!$Z1843)),6))</f>
        <v/>
      </c>
      <c r="B1843">
        <f>IF($A1843="","",IF(Sync!$AA1843="","",Sync!$AA1843))</f>
        <v/>
      </c>
      <c r="C1843">
        <f>IF($A1843="","",IF(Sync!$AB1843="","",Sync!$AB1843))</f>
        <v/>
      </c>
      <c r="D1843">
        <f>IF($A1843="","",IF(Sync!$AC1843="","",Sync!$AC1843))</f>
        <v/>
      </c>
      <c r="E1843">
        <f>IF($A1843="","",IF(Sync!$AD1843="","",Sync!$AD1843))</f>
        <v/>
      </c>
      <c r="F1843">
        <f>IF($A1843="","",IF(Sync!$AE1843="",0,Sync!$AE1843))</f>
        <v/>
      </c>
      <c r="G1843">
        <f>IF($A1843="","",IF(Sync!$AF1843="",0,Sync!$AF1843))</f>
        <v/>
      </c>
      <c r="H1843">
        <f>IF(OR($A1843="",ROUND($F1843+$G1843,2)=0),"",$F1843+$G1843)</f>
        <v/>
      </c>
      <c r="I1843">
        <f>IF($H1843="","",IF(ROUND($F1843,2)&gt;0,$A1843,IF($D1843="شخصی قاسم","شخصی قاسم",IF($D1843="هزینه","هزینه: "&amp;IF($E1843="","متفرقه",$E1843),IF($C1843="پاس چک","چک پرداختی",IF(OR($B1843="",COUNTIF(AcctCodesA,$B1843)=0),"متفرقه",$B1843))))))</f>
        <v/>
      </c>
      <c r="J1843">
        <f>IF($H1843="","",IF(ROUND($F1843,2)&gt;0,IF($D1843="شخصی قاسم","شخصی قاسم",IF($D1843="هزینه","هزینه: "&amp;IF($E1843="","متفرقه",$E1843),IF(OR($B1843="",COUNTIF(AcctCodesA,$B1843)=0),"متفرقه",$B1843))),$A1843))</f>
        <v/>
      </c>
      <c r="K1843">
        <f>IF($A1843="","",IF(AND($B1843&lt;&gt;"",COUNTIF(AcctCodesA,$B1843)=0),"کد طرف در INFO تعریف نشده",IF(AND($D1843="هزینه",$E1843=""),"هزینه بدون زیرگروه",IF(AND($C1843="پاس چک",OR(Sync!$AJ1843="",COUNTIF(IssueNosA,Sync!$AJ1843)=0)),"شماره چک پاس‌شده معتبر نیست",""))))</f>
        <v/>
      </c>
      <c r="V1843">
        <f>IF($K1843="","",IF(ISNUMBER(Sync!$AK1843),Sync!$AK1843,LEFT(Sync!$AK1843,4)&amp;MID(Sync!$AK1843,6,2)&amp;RIGHT(Sync!$AK1843,2))&amp;"|"&amp;"4"&amp;RIGHT("00000"&amp;1838,5))</f>
        <v/>
      </c>
      <c r="W1843">
        <f>IF($V1843="",0,COUNTIFS($V$6:$V$2005,"&lt;"&amp;$V1843)-COUNTIFS($V$6:$V$2005,"&lt;"&amp;$V1843,$K$6:$K$2005,"")+1)</f>
        <v/>
      </c>
    </row>
    <row r="1844">
      <c r="A1844">
        <f>IF(Sync!$Z1844="","",LEFT(UPPER(TRIM(Sync!$Z1844)),6))</f>
        <v/>
      </c>
      <c r="B1844">
        <f>IF($A1844="","",IF(Sync!$AA1844="","",Sync!$AA1844))</f>
        <v/>
      </c>
      <c r="C1844">
        <f>IF($A1844="","",IF(Sync!$AB1844="","",Sync!$AB1844))</f>
        <v/>
      </c>
      <c r="D1844">
        <f>IF($A1844="","",IF(Sync!$AC1844="","",Sync!$AC1844))</f>
        <v/>
      </c>
      <c r="E1844">
        <f>IF($A1844="","",IF(Sync!$AD1844="","",Sync!$AD1844))</f>
        <v/>
      </c>
      <c r="F1844">
        <f>IF($A1844="","",IF(Sync!$AE1844="",0,Sync!$AE1844))</f>
        <v/>
      </c>
      <c r="G1844">
        <f>IF($A1844="","",IF(Sync!$AF1844="",0,Sync!$AF1844))</f>
        <v/>
      </c>
      <c r="H1844">
        <f>IF(OR($A1844="",ROUND($F1844+$G1844,2)=0),"",$F1844+$G1844)</f>
        <v/>
      </c>
      <c r="I1844">
        <f>IF($H1844="","",IF(ROUND($F1844,2)&gt;0,$A1844,IF($D1844="شخصی قاسم","شخصی قاسم",IF($D1844="هزینه","هزینه: "&amp;IF($E1844="","متفرقه",$E1844),IF($C1844="پاس چک","چک پرداختی",IF(OR($B1844="",COUNTIF(AcctCodesA,$B1844)=0),"متفرقه",$B1844))))))</f>
        <v/>
      </c>
      <c r="J1844">
        <f>IF($H1844="","",IF(ROUND($F1844,2)&gt;0,IF($D1844="شخصی قاسم","شخصی قاسم",IF($D1844="هزینه","هزینه: "&amp;IF($E1844="","متفرقه",$E1844),IF(OR($B1844="",COUNTIF(AcctCodesA,$B1844)=0),"متفرقه",$B1844))),$A1844))</f>
        <v/>
      </c>
      <c r="K1844">
        <f>IF($A1844="","",IF(AND($B1844&lt;&gt;"",COUNTIF(AcctCodesA,$B1844)=0),"کد طرف در INFO تعریف نشده",IF(AND($D1844="هزینه",$E1844=""),"هزینه بدون زیرگروه",IF(AND($C1844="پاس چک",OR(Sync!$AJ1844="",COUNTIF(IssueNosA,Sync!$AJ1844)=0)),"شماره چک پاس‌شده معتبر نیست",""))))</f>
        <v/>
      </c>
      <c r="V1844">
        <f>IF($K1844="","",IF(ISNUMBER(Sync!$AK1844),Sync!$AK1844,LEFT(Sync!$AK1844,4)&amp;MID(Sync!$AK1844,6,2)&amp;RIGHT(Sync!$AK1844,2))&amp;"|"&amp;"4"&amp;RIGHT("00000"&amp;1839,5))</f>
        <v/>
      </c>
      <c r="W1844">
        <f>IF($V1844="",0,COUNTIFS($V$6:$V$2005,"&lt;"&amp;$V1844)-COUNTIFS($V$6:$V$2005,"&lt;"&amp;$V1844,$K$6:$K$2005,"")+1)</f>
        <v/>
      </c>
    </row>
    <row r="1845">
      <c r="A1845">
        <f>IF(Sync!$Z1845="","",LEFT(UPPER(TRIM(Sync!$Z1845)),6))</f>
        <v/>
      </c>
      <c r="B1845">
        <f>IF($A1845="","",IF(Sync!$AA1845="","",Sync!$AA1845))</f>
        <v/>
      </c>
      <c r="C1845">
        <f>IF($A1845="","",IF(Sync!$AB1845="","",Sync!$AB1845))</f>
        <v/>
      </c>
      <c r="D1845">
        <f>IF($A1845="","",IF(Sync!$AC1845="","",Sync!$AC1845))</f>
        <v/>
      </c>
      <c r="E1845">
        <f>IF($A1845="","",IF(Sync!$AD1845="","",Sync!$AD1845))</f>
        <v/>
      </c>
      <c r="F1845">
        <f>IF($A1845="","",IF(Sync!$AE1845="",0,Sync!$AE1845))</f>
        <v/>
      </c>
      <c r="G1845">
        <f>IF($A1845="","",IF(Sync!$AF1845="",0,Sync!$AF1845))</f>
        <v/>
      </c>
      <c r="H1845">
        <f>IF(OR($A1845="",ROUND($F1845+$G1845,2)=0),"",$F1845+$G1845)</f>
        <v/>
      </c>
      <c r="I1845">
        <f>IF($H1845="","",IF(ROUND($F1845,2)&gt;0,$A1845,IF($D1845="شخصی قاسم","شخصی قاسم",IF($D1845="هزینه","هزینه: "&amp;IF($E1845="","متفرقه",$E1845),IF($C1845="پاس چک","چک پرداختی",IF(OR($B1845="",COUNTIF(AcctCodesA,$B1845)=0),"متفرقه",$B1845))))))</f>
        <v/>
      </c>
      <c r="J1845">
        <f>IF($H1845="","",IF(ROUND($F1845,2)&gt;0,IF($D1845="شخصی قاسم","شخصی قاسم",IF($D1845="هزینه","هزینه: "&amp;IF($E1845="","متفرقه",$E1845),IF(OR($B1845="",COUNTIF(AcctCodesA,$B1845)=0),"متفرقه",$B1845))),$A1845))</f>
        <v/>
      </c>
      <c r="K1845">
        <f>IF($A1845="","",IF(AND($B1845&lt;&gt;"",COUNTIF(AcctCodesA,$B1845)=0),"کد طرف در INFO تعریف نشده",IF(AND($D1845="هزینه",$E1845=""),"هزینه بدون زیرگروه",IF(AND($C1845="پاس چک",OR(Sync!$AJ1845="",COUNTIF(IssueNosA,Sync!$AJ1845)=0)),"شماره چک پاس‌شده معتبر نیست",""))))</f>
        <v/>
      </c>
      <c r="V1845">
        <f>IF($K1845="","",IF(ISNUMBER(Sync!$AK1845),Sync!$AK1845,LEFT(Sync!$AK1845,4)&amp;MID(Sync!$AK1845,6,2)&amp;RIGHT(Sync!$AK1845,2))&amp;"|"&amp;"4"&amp;RIGHT("00000"&amp;1840,5))</f>
        <v/>
      </c>
      <c r="W1845">
        <f>IF($V1845="",0,COUNTIFS($V$6:$V$2005,"&lt;"&amp;$V1845)-COUNTIFS($V$6:$V$2005,"&lt;"&amp;$V1845,$K$6:$K$2005,"")+1)</f>
        <v/>
      </c>
    </row>
    <row r="1846">
      <c r="A1846">
        <f>IF(Sync!$Z1846="","",LEFT(UPPER(TRIM(Sync!$Z1846)),6))</f>
        <v/>
      </c>
      <c r="B1846">
        <f>IF($A1846="","",IF(Sync!$AA1846="","",Sync!$AA1846))</f>
        <v/>
      </c>
      <c r="C1846">
        <f>IF($A1846="","",IF(Sync!$AB1846="","",Sync!$AB1846))</f>
        <v/>
      </c>
      <c r="D1846">
        <f>IF($A1846="","",IF(Sync!$AC1846="","",Sync!$AC1846))</f>
        <v/>
      </c>
      <c r="E1846">
        <f>IF($A1846="","",IF(Sync!$AD1846="","",Sync!$AD1846))</f>
        <v/>
      </c>
      <c r="F1846">
        <f>IF($A1846="","",IF(Sync!$AE1846="",0,Sync!$AE1846))</f>
        <v/>
      </c>
      <c r="G1846">
        <f>IF($A1846="","",IF(Sync!$AF1846="",0,Sync!$AF1846))</f>
        <v/>
      </c>
      <c r="H1846">
        <f>IF(OR($A1846="",ROUND($F1846+$G1846,2)=0),"",$F1846+$G1846)</f>
        <v/>
      </c>
      <c r="I1846">
        <f>IF($H1846="","",IF(ROUND($F1846,2)&gt;0,$A1846,IF($D1846="شخصی قاسم","شخصی قاسم",IF($D1846="هزینه","هزینه: "&amp;IF($E1846="","متفرقه",$E1846),IF($C1846="پاس چک","چک پرداختی",IF(OR($B1846="",COUNTIF(AcctCodesA,$B1846)=0),"متفرقه",$B1846))))))</f>
        <v/>
      </c>
      <c r="J1846">
        <f>IF($H1846="","",IF(ROUND($F1846,2)&gt;0,IF($D1846="شخصی قاسم","شخصی قاسم",IF($D1846="هزینه","هزینه: "&amp;IF($E1846="","متفرقه",$E1846),IF(OR($B1846="",COUNTIF(AcctCodesA,$B1846)=0),"متفرقه",$B1846))),$A1846))</f>
        <v/>
      </c>
      <c r="K1846">
        <f>IF($A1846="","",IF(AND($B1846&lt;&gt;"",COUNTIF(AcctCodesA,$B1846)=0),"کد طرف در INFO تعریف نشده",IF(AND($D1846="هزینه",$E1846=""),"هزینه بدون زیرگروه",IF(AND($C1846="پاس چک",OR(Sync!$AJ1846="",COUNTIF(IssueNosA,Sync!$AJ1846)=0)),"شماره چک پاس‌شده معتبر نیست",""))))</f>
        <v/>
      </c>
      <c r="V1846">
        <f>IF($K1846="","",IF(ISNUMBER(Sync!$AK1846),Sync!$AK1846,LEFT(Sync!$AK1846,4)&amp;MID(Sync!$AK1846,6,2)&amp;RIGHT(Sync!$AK1846,2))&amp;"|"&amp;"4"&amp;RIGHT("00000"&amp;1841,5))</f>
        <v/>
      </c>
      <c r="W1846">
        <f>IF($V1846="",0,COUNTIFS($V$6:$V$2005,"&lt;"&amp;$V1846)-COUNTIFS($V$6:$V$2005,"&lt;"&amp;$V1846,$K$6:$K$2005,"")+1)</f>
        <v/>
      </c>
    </row>
    <row r="1847">
      <c r="A1847">
        <f>IF(Sync!$Z1847="","",LEFT(UPPER(TRIM(Sync!$Z1847)),6))</f>
        <v/>
      </c>
      <c r="B1847">
        <f>IF($A1847="","",IF(Sync!$AA1847="","",Sync!$AA1847))</f>
        <v/>
      </c>
      <c r="C1847">
        <f>IF($A1847="","",IF(Sync!$AB1847="","",Sync!$AB1847))</f>
        <v/>
      </c>
      <c r="D1847">
        <f>IF($A1847="","",IF(Sync!$AC1847="","",Sync!$AC1847))</f>
        <v/>
      </c>
      <c r="E1847">
        <f>IF($A1847="","",IF(Sync!$AD1847="","",Sync!$AD1847))</f>
        <v/>
      </c>
      <c r="F1847">
        <f>IF($A1847="","",IF(Sync!$AE1847="",0,Sync!$AE1847))</f>
        <v/>
      </c>
      <c r="G1847">
        <f>IF($A1847="","",IF(Sync!$AF1847="",0,Sync!$AF1847))</f>
        <v/>
      </c>
      <c r="H1847">
        <f>IF(OR($A1847="",ROUND($F1847+$G1847,2)=0),"",$F1847+$G1847)</f>
        <v/>
      </c>
      <c r="I1847">
        <f>IF($H1847="","",IF(ROUND($F1847,2)&gt;0,$A1847,IF($D1847="شخصی قاسم","شخصی قاسم",IF($D1847="هزینه","هزینه: "&amp;IF($E1847="","متفرقه",$E1847),IF($C1847="پاس چک","چک پرداختی",IF(OR($B1847="",COUNTIF(AcctCodesA,$B1847)=0),"متفرقه",$B1847))))))</f>
        <v/>
      </c>
      <c r="J1847">
        <f>IF($H1847="","",IF(ROUND($F1847,2)&gt;0,IF($D1847="شخصی قاسم","شخصی قاسم",IF($D1847="هزینه","هزینه: "&amp;IF($E1847="","متفرقه",$E1847),IF(OR($B1847="",COUNTIF(AcctCodesA,$B1847)=0),"متفرقه",$B1847))),$A1847))</f>
        <v/>
      </c>
      <c r="K1847">
        <f>IF($A1847="","",IF(AND($B1847&lt;&gt;"",COUNTIF(AcctCodesA,$B1847)=0),"کد طرف در INFO تعریف نشده",IF(AND($D1847="هزینه",$E1847=""),"هزینه بدون زیرگروه",IF(AND($C1847="پاس چک",OR(Sync!$AJ1847="",COUNTIF(IssueNosA,Sync!$AJ1847)=0)),"شماره چک پاس‌شده معتبر نیست",""))))</f>
        <v/>
      </c>
      <c r="V1847">
        <f>IF($K1847="","",IF(ISNUMBER(Sync!$AK1847),Sync!$AK1847,LEFT(Sync!$AK1847,4)&amp;MID(Sync!$AK1847,6,2)&amp;RIGHT(Sync!$AK1847,2))&amp;"|"&amp;"4"&amp;RIGHT("00000"&amp;1842,5))</f>
        <v/>
      </c>
      <c r="W1847">
        <f>IF($V1847="",0,COUNTIFS($V$6:$V$2005,"&lt;"&amp;$V1847)-COUNTIFS($V$6:$V$2005,"&lt;"&amp;$V1847,$K$6:$K$2005,"")+1)</f>
        <v/>
      </c>
    </row>
    <row r="1848">
      <c r="A1848">
        <f>IF(Sync!$Z1848="","",LEFT(UPPER(TRIM(Sync!$Z1848)),6))</f>
        <v/>
      </c>
      <c r="B1848">
        <f>IF($A1848="","",IF(Sync!$AA1848="","",Sync!$AA1848))</f>
        <v/>
      </c>
      <c r="C1848">
        <f>IF($A1848="","",IF(Sync!$AB1848="","",Sync!$AB1848))</f>
        <v/>
      </c>
      <c r="D1848">
        <f>IF($A1848="","",IF(Sync!$AC1848="","",Sync!$AC1848))</f>
        <v/>
      </c>
      <c r="E1848">
        <f>IF($A1848="","",IF(Sync!$AD1848="","",Sync!$AD1848))</f>
        <v/>
      </c>
      <c r="F1848">
        <f>IF($A1848="","",IF(Sync!$AE1848="",0,Sync!$AE1848))</f>
        <v/>
      </c>
      <c r="G1848">
        <f>IF($A1848="","",IF(Sync!$AF1848="",0,Sync!$AF1848))</f>
        <v/>
      </c>
      <c r="H1848">
        <f>IF(OR($A1848="",ROUND($F1848+$G1848,2)=0),"",$F1848+$G1848)</f>
        <v/>
      </c>
      <c r="I1848">
        <f>IF($H1848="","",IF(ROUND($F1848,2)&gt;0,$A1848,IF($D1848="شخصی قاسم","شخصی قاسم",IF($D1848="هزینه","هزینه: "&amp;IF($E1848="","متفرقه",$E1848),IF($C1848="پاس چک","چک پرداختی",IF(OR($B1848="",COUNTIF(AcctCodesA,$B1848)=0),"متفرقه",$B1848))))))</f>
        <v/>
      </c>
      <c r="J1848">
        <f>IF($H1848="","",IF(ROUND($F1848,2)&gt;0,IF($D1848="شخصی قاسم","شخصی قاسم",IF($D1848="هزینه","هزینه: "&amp;IF($E1848="","متفرقه",$E1848),IF(OR($B1848="",COUNTIF(AcctCodesA,$B1848)=0),"متفرقه",$B1848))),$A1848))</f>
        <v/>
      </c>
      <c r="K1848">
        <f>IF($A1848="","",IF(AND($B1848&lt;&gt;"",COUNTIF(AcctCodesA,$B1848)=0),"کد طرف در INFO تعریف نشده",IF(AND($D1848="هزینه",$E1848=""),"هزینه بدون زیرگروه",IF(AND($C1848="پاس چک",OR(Sync!$AJ1848="",COUNTIF(IssueNosA,Sync!$AJ1848)=0)),"شماره چک پاس‌شده معتبر نیست",""))))</f>
        <v/>
      </c>
      <c r="V1848">
        <f>IF($K1848="","",IF(ISNUMBER(Sync!$AK1848),Sync!$AK1848,LEFT(Sync!$AK1848,4)&amp;MID(Sync!$AK1848,6,2)&amp;RIGHT(Sync!$AK1848,2))&amp;"|"&amp;"4"&amp;RIGHT("00000"&amp;1843,5))</f>
        <v/>
      </c>
      <c r="W1848">
        <f>IF($V1848="",0,COUNTIFS($V$6:$V$2005,"&lt;"&amp;$V1848)-COUNTIFS($V$6:$V$2005,"&lt;"&amp;$V1848,$K$6:$K$2005,"")+1)</f>
        <v/>
      </c>
    </row>
    <row r="1849">
      <c r="A1849">
        <f>IF(Sync!$Z1849="","",LEFT(UPPER(TRIM(Sync!$Z1849)),6))</f>
        <v/>
      </c>
      <c r="B1849">
        <f>IF($A1849="","",IF(Sync!$AA1849="","",Sync!$AA1849))</f>
        <v/>
      </c>
      <c r="C1849">
        <f>IF($A1849="","",IF(Sync!$AB1849="","",Sync!$AB1849))</f>
        <v/>
      </c>
      <c r="D1849">
        <f>IF($A1849="","",IF(Sync!$AC1849="","",Sync!$AC1849))</f>
        <v/>
      </c>
      <c r="E1849">
        <f>IF($A1849="","",IF(Sync!$AD1849="","",Sync!$AD1849))</f>
        <v/>
      </c>
      <c r="F1849">
        <f>IF($A1849="","",IF(Sync!$AE1849="",0,Sync!$AE1849))</f>
        <v/>
      </c>
      <c r="G1849">
        <f>IF($A1849="","",IF(Sync!$AF1849="",0,Sync!$AF1849))</f>
        <v/>
      </c>
      <c r="H1849">
        <f>IF(OR($A1849="",ROUND($F1849+$G1849,2)=0),"",$F1849+$G1849)</f>
        <v/>
      </c>
      <c r="I1849">
        <f>IF($H1849="","",IF(ROUND($F1849,2)&gt;0,$A1849,IF($D1849="شخصی قاسم","شخصی قاسم",IF($D1849="هزینه","هزینه: "&amp;IF($E1849="","متفرقه",$E1849),IF($C1849="پاس چک","چک پرداختی",IF(OR($B1849="",COUNTIF(AcctCodesA,$B1849)=0),"متفرقه",$B1849))))))</f>
        <v/>
      </c>
      <c r="J1849">
        <f>IF($H1849="","",IF(ROUND($F1849,2)&gt;0,IF($D1849="شخصی قاسم","شخصی قاسم",IF($D1849="هزینه","هزینه: "&amp;IF($E1849="","متفرقه",$E1849),IF(OR($B1849="",COUNTIF(AcctCodesA,$B1849)=0),"متفرقه",$B1849))),$A1849))</f>
        <v/>
      </c>
      <c r="K1849">
        <f>IF($A1849="","",IF(AND($B1849&lt;&gt;"",COUNTIF(AcctCodesA,$B1849)=0),"کد طرف در INFO تعریف نشده",IF(AND($D1849="هزینه",$E1849=""),"هزینه بدون زیرگروه",IF(AND($C1849="پاس چک",OR(Sync!$AJ1849="",COUNTIF(IssueNosA,Sync!$AJ1849)=0)),"شماره چک پاس‌شده معتبر نیست",""))))</f>
        <v/>
      </c>
      <c r="V1849">
        <f>IF($K1849="","",IF(ISNUMBER(Sync!$AK1849),Sync!$AK1849,LEFT(Sync!$AK1849,4)&amp;MID(Sync!$AK1849,6,2)&amp;RIGHT(Sync!$AK1849,2))&amp;"|"&amp;"4"&amp;RIGHT("00000"&amp;1844,5))</f>
        <v/>
      </c>
      <c r="W1849">
        <f>IF($V1849="",0,COUNTIFS($V$6:$V$2005,"&lt;"&amp;$V1849)-COUNTIFS($V$6:$V$2005,"&lt;"&amp;$V1849,$K$6:$K$2005,"")+1)</f>
        <v/>
      </c>
    </row>
    <row r="1850">
      <c r="A1850">
        <f>IF(Sync!$Z1850="","",LEFT(UPPER(TRIM(Sync!$Z1850)),6))</f>
        <v/>
      </c>
      <c r="B1850">
        <f>IF($A1850="","",IF(Sync!$AA1850="","",Sync!$AA1850))</f>
        <v/>
      </c>
      <c r="C1850">
        <f>IF($A1850="","",IF(Sync!$AB1850="","",Sync!$AB1850))</f>
        <v/>
      </c>
      <c r="D1850">
        <f>IF($A1850="","",IF(Sync!$AC1850="","",Sync!$AC1850))</f>
        <v/>
      </c>
      <c r="E1850">
        <f>IF($A1850="","",IF(Sync!$AD1850="","",Sync!$AD1850))</f>
        <v/>
      </c>
      <c r="F1850">
        <f>IF($A1850="","",IF(Sync!$AE1850="",0,Sync!$AE1850))</f>
        <v/>
      </c>
      <c r="G1850">
        <f>IF($A1850="","",IF(Sync!$AF1850="",0,Sync!$AF1850))</f>
        <v/>
      </c>
      <c r="H1850">
        <f>IF(OR($A1850="",ROUND($F1850+$G1850,2)=0),"",$F1850+$G1850)</f>
        <v/>
      </c>
      <c r="I1850">
        <f>IF($H1850="","",IF(ROUND($F1850,2)&gt;0,$A1850,IF($D1850="شخصی قاسم","شخصی قاسم",IF($D1850="هزینه","هزینه: "&amp;IF($E1850="","متفرقه",$E1850),IF($C1850="پاس چک","چک پرداختی",IF(OR($B1850="",COUNTIF(AcctCodesA,$B1850)=0),"متفرقه",$B1850))))))</f>
        <v/>
      </c>
      <c r="J1850">
        <f>IF($H1850="","",IF(ROUND($F1850,2)&gt;0,IF($D1850="شخصی قاسم","شخصی قاسم",IF($D1850="هزینه","هزینه: "&amp;IF($E1850="","متفرقه",$E1850),IF(OR($B1850="",COUNTIF(AcctCodesA,$B1850)=0),"متفرقه",$B1850))),$A1850))</f>
        <v/>
      </c>
      <c r="K1850">
        <f>IF($A1850="","",IF(AND($B1850&lt;&gt;"",COUNTIF(AcctCodesA,$B1850)=0),"کد طرف در INFO تعریف نشده",IF(AND($D1850="هزینه",$E1850=""),"هزینه بدون زیرگروه",IF(AND($C1850="پاس چک",OR(Sync!$AJ1850="",COUNTIF(IssueNosA,Sync!$AJ1850)=0)),"شماره چک پاس‌شده معتبر نیست",""))))</f>
        <v/>
      </c>
      <c r="V1850">
        <f>IF($K1850="","",IF(ISNUMBER(Sync!$AK1850),Sync!$AK1850,LEFT(Sync!$AK1850,4)&amp;MID(Sync!$AK1850,6,2)&amp;RIGHT(Sync!$AK1850,2))&amp;"|"&amp;"4"&amp;RIGHT("00000"&amp;1845,5))</f>
        <v/>
      </c>
      <c r="W1850">
        <f>IF($V1850="",0,COUNTIFS($V$6:$V$2005,"&lt;"&amp;$V1850)-COUNTIFS($V$6:$V$2005,"&lt;"&amp;$V1850,$K$6:$K$2005,"")+1)</f>
        <v/>
      </c>
    </row>
    <row r="1851">
      <c r="A1851">
        <f>IF(Sync!$Z1851="","",LEFT(UPPER(TRIM(Sync!$Z1851)),6))</f>
        <v/>
      </c>
      <c r="B1851">
        <f>IF($A1851="","",IF(Sync!$AA1851="","",Sync!$AA1851))</f>
        <v/>
      </c>
      <c r="C1851">
        <f>IF($A1851="","",IF(Sync!$AB1851="","",Sync!$AB1851))</f>
        <v/>
      </c>
      <c r="D1851">
        <f>IF($A1851="","",IF(Sync!$AC1851="","",Sync!$AC1851))</f>
        <v/>
      </c>
      <c r="E1851">
        <f>IF($A1851="","",IF(Sync!$AD1851="","",Sync!$AD1851))</f>
        <v/>
      </c>
      <c r="F1851">
        <f>IF($A1851="","",IF(Sync!$AE1851="",0,Sync!$AE1851))</f>
        <v/>
      </c>
      <c r="G1851">
        <f>IF($A1851="","",IF(Sync!$AF1851="",0,Sync!$AF1851))</f>
        <v/>
      </c>
      <c r="H1851">
        <f>IF(OR($A1851="",ROUND($F1851+$G1851,2)=0),"",$F1851+$G1851)</f>
        <v/>
      </c>
      <c r="I1851">
        <f>IF($H1851="","",IF(ROUND($F1851,2)&gt;0,$A1851,IF($D1851="شخصی قاسم","شخصی قاسم",IF($D1851="هزینه","هزینه: "&amp;IF($E1851="","متفرقه",$E1851),IF($C1851="پاس چک","چک پرداختی",IF(OR($B1851="",COUNTIF(AcctCodesA,$B1851)=0),"متفرقه",$B1851))))))</f>
        <v/>
      </c>
      <c r="J1851">
        <f>IF($H1851="","",IF(ROUND($F1851,2)&gt;0,IF($D1851="شخصی قاسم","شخصی قاسم",IF($D1851="هزینه","هزینه: "&amp;IF($E1851="","متفرقه",$E1851),IF(OR($B1851="",COUNTIF(AcctCodesA,$B1851)=0),"متفرقه",$B1851))),$A1851))</f>
        <v/>
      </c>
      <c r="K1851">
        <f>IF($A1851="","",IF(AND($B1851&lt;&gt;"",COUNTIF(AcctCodesA,$B1851)=0),"کد طرف در INFO تعریف نشده",IF(AND($D1851="هزینه",$E1851=""),"هزینه بدون زیرگروه",IF(AND($C1851="پاس چک",OR(Sync!$AJ1851="",COUNTIF(IssueNosA,Sync!$AJ1851)=0)),"شماره چک پاس‌شده معتبر نیست",""))))</f>
        <v/>
      </c>
      <c r="V1851">
        <f>IF($K1851="","",IF(ISNUMBER(Sync!$AK1851),Sync!$AK1851,LEFT(Sync!$AK1851,4)&amp;MID(Sync!$AK1851,6,2)&amp;RIGHT(Sync!$AK1851,2))&amp;"|"&amp;"4"&amp;RIGHT("00000"&amp;1846,5))</f>
        <v/>
      </c>
      <c r="W1851">
        <f>IF($V1851="",0,COUNTIFS($V$6:$V$2005,"&lt;"&amp;$V1851)-COUNTIFS($V$6:$V$2005,"&lt;"&amp;$V1851,$K$6:$K$2005,"")+1)</f>
        <v/>
      </c>
    </row>
    <row r="1852">
      <c r="A1852">
        <f>IF(Sync!$Z1852="","",LEFT(UPPER(TRIM(Sync!$Z1852)),6))</f>
        <v/>
      </c>
      <c r="B1852">
        <f>IF($A1852="","",IF(Sync!$AA1852="","",Sync!$AA1852))</f>
        <v/>
      </c>
      <c r="C1852">
        <f>IF($A1852="","",IF(Sync!$AB1852="","",Sync!$AB1852))</f>
        <v/>
      </c>
      <c r="D1852">
        <f>IF($A1852="","",IF(Sync!$AC1852="","",Sync!$AC1852))</f>
        <v/>
      </c>
      <c r="E1852">
        <f>IF($A1852="","",IF(Sync!$AD1852="","",Sync!$AD1852))</f>
        <v/>
      </c>
      <c r="F1852">
        <f>IF($A1852="","",IF(Sync!$AE1852="",0,Sync!$AE1852))</f>
        <v/>
      </c>
      <c r="G1852">
        <f>IF($A1852="","",IF(Sync!$AF1852="",0,Sync!$AF1852))</f>
        <v/>
      </c>
      <c r="H1852">
        <f>IF(OR($A1852="",ROUND($F1852+$G1852,2)=0),"",$F1852+$G1852)</f>
        <v/>
      </c>
      <c r="I1852">
        <f>IF($H1852="","",IF(ROUND($F1852,2)&gt;0,$A1852,IF($D1852="شخصی قاسم","شخصی قاسم",IF($D1852="هزینه","هزینه: "&amp;IF($E1852="","متفرقه",$E1852),IF($C1852="پاس چک","چک پرداختی",IF(OR($B1852="",COUNTIF(AcctCodesA,$B1852)=0),"متفرقه",$B1852))))))</f>
        <v/>
      </c>
      <c r="J1852">
        <f>IF($H1852="","",IF(ROUND($F1852,2)&gt;0,IF($D1852="شخصی قاسم","شخصی قاسم",IF($D1852="هزینه","هزینه: "&amp;IF($E1852="","متفرقه",$E1852),IF(OR($B1852="",COUNTIF(AcctCodesA,$B1852)=0),"متفرقه",$B1852))),$A1852))</f>
        <v/>
      </c>
      <c r="K1852">
        <f>IF($A1852="","",IF(AND($B1852&lt;&gt;"",COUNTIF(AcctCodesA,$B1852)=0),"کد طرف در INFO تعریف نشده",IF(AND($D1852="هزینه",$E1852=""),"هزینه بدون زیرگروه",IF(AND($C1852="پاس چک",OR(Sync!$AJ1852="",COUNTIF(IssueNosA,Sync!$AJ1852)=0)),"شماره چک پاس‌شده معتبر نیست",""))))</f>
        <v/>
      </c>
      <c r="V1852">
        <f>IF($K1852="","",IF(ISNUMBER(Sync!$AK1852),Sync!$AK1852,LEFT(Sync!$AK1852,4)&amp;MID(Sync!$AK1852,6,2)&amp;RIGHT(Sync!$AK1852,2))&amp;"|"&amp;"4"&amp;RIGHT("00000"&amp;1847,5))</f>
        <v/>
      </c>
      <c r="W1852">
        <f>IF($V1852="",0,COUNTIFS($V$6:$V$2005,"&lt;"&amp;$V1852)-COUNTIFS($V$6:$V$2005,"&lt;"&amp;$V1852,$K$6:$K$2005,"")+1)</f>
        <v/>
      </c>
    </row>
    <row r="1853">
      <c r="A1853">
        <f>IF(Sync!$Z1853="","",LEFT(UPPER(TRIM(Sync!$Z1853)),6))</f>
        <v/>
      </c>
      <c r="B1853">
        <f>IF($A1853="","",IF(Sync!$AA1853="","",Sync!$AA1853))</f>
        <v/>
      </c>
      <c r="C1853">
        <f>IF($A1853="","",IF(Sync!$AB1853="","",Sync!$AB1853))</f>
        <v/>
      </c>
      <c r="D1853">
        <f>IF($A1853="","",IF(Sync!$AC1853="","",Sync!$AC1853))</f>
        <v/>
      </c>
      <c r="E1853">
        <f>IF($A1853="","",IF(Sync!$AD1853="","",Sync!$AD1853))</f>
        <v/>
      </c>
      <c r="F1853">
        <f>IF($A1853="","",IF(Sync!$AE1853="",0,Sync!$AE1853))</f>
        <v/>
      </c>
      <c r="G1853">
        <f>IF($A1853="","",IF(Sync!$AF1853="",0,Sync!$AF1853))</f>
        <v/>
      </c>
      <c r="H1853">
        <f>IF(OR($A1853="",ROUND($F1853+$G1853,2)=0),"",$F1853+$G1853)</f>
        <v/>
      </c>
      <c r="I1853">
        <f>IF($H1853="","",IF(ROUND($F1853,2)&gt;0,$A1853,IF($D1853="شخصی قاسم","شخصی قاسم",IF($D1853="هزینه","هزینه: "&amp;IF($E1853="","متفرقه",$E1853),IF($C1853="پاس چک","چک پرداختی",IF(OR($B1853="",COUNTIF(AcctCodesA,$B1853)=0),"متفرقه",$B1853))))))</f>
        <v/>
      </c>
      <c r="J1853">
        <f>IF($H1853="","",IF(ROUND($F1853,2)&gt;0,IF($D1853="شخصی قاسم","شخصی قاسم",IF($D1853="هزینه","هزینه: "&amp;IF($E1853="","متفرقه",$E1853),IF(OR($B1853="",COUNTIF(AcctCodesA,$B1853)=0),"متفرقه",$B1853))),$A1853))</f>
        <v/>
      </c>
      <c r="K1853">
        <f>IF($A1853="","",IF(AND($B1853&lt;&gt;"",COUNTIF(AcctCodesA,$B1853)=0),"کد طرف در INFO تعریف نشده",IF(AND($D1853="هزینه",$E1853=""),"هزینه بدون زیرگروه",IF(AND($C1853="پاس چک",OR(Sync!$AJ1853="",COUNTIF(IssueNosA,Sync!$AJ1853)=0)),"شماره چک پاس‌شده معتبر نیست",""))))</f>
        <v/>
      </c>
      <c r="V1853">
        <f>IF($K1853="","",IF(ISNUMBER(Sync!$AK1853),Sync!$AK1853,LEFT(Sync!$AK1853,4)&amp;MID(Sync!$AK1853,6,2)&amp;RIGHT(Sync!$AK1853,2))&amp;"|"&amp;"4"&amp;RIGHT("00000"&amp;1848,5))</f>
        <v/>
      </c>
      <c r="W1853">
        <f>IF($V1853="",0,COUNTIFS($V$6:$V$2005,"&lt;"&amp;$V1853)-COUNTIFS($V$6:$V$2005,"&lt;"&amp;$V1853,$K$6:$K$2005,"")+1)</f>
        <v/>
      </c>
    </row>
    <row r="1854">
      <c r="A1854">
        <f>IF(Sync!$Z1854="","",LEFT(UPPER(TRIM(Sync!$Z1854)),6))</f>
        <v/>
      </c>
      <c r="B1854">
        <f>IF($A1854="","",IF(Sync!$AA1854="","",Sync!$AA1854))</f>
        <v/>
      </c>
      <c r="C1854">
        <f>IF($A1854="","",IF(Sync!$AB1854="","",Sync!$AB1854))</f>
        <v/>
      </c>
      <c r="D1854">
        <f>IF($A1854="","",IF(Sync!$AC1854="","",Sync!$AC1854))</f>
        <v/>
      </c>
      <c r="E1854">
        <f>IF($A1854="","",IF(Sync!$AD1854="","",Sync!$AD1854))</f>
        <v/>
      </c>
      <c r="F1854">
        <f>IF($A1854="","",IF(Sync!$AE1854="",0,Sync!$AE1854))</f>
        <v/>
      </c>
      <c r="G1854">
        <f>IF($A1854="","",IF(Sync!$AF1854="",0,Sync!$AF1854))</f>
        <v/>
      </c>
      <c r="H1854">
        <f>IF(OR($A1854="",ROUND($F1854+$G1854,2)=0),"",$F1854+$G1854)</f>
        <v/>
      </c>
      <c r="I1854">
        <f>IF($H1854="","",IF(ROUND($F1854,2)&gt;0,$A1854,IF($D1854="شخصی قاسم","شخصی قاسم",IF($D1854="هزینه","هزینه: "&amp;IF($E1854="","متفرقه",$E1854),IF($C1854="پاس چک","چک پرداختی",IF(OR($B1854="",COUNTIF(AcctCodesA,$B1854)=0),"متفرقه",$B1854))))))</f>
        <v/>
      </c>
      <c r="J1854">
        <f>IF($H1854="","",IF(ROUND($F1854,2)&gt;0,IF($D1854="شخصی قاسم","شخصی قاسم",IF($D1854="هزینه","هزینه: "&amp;IF($E1854="","متفرقه",$E1854),IF(OR($B1854="",COUNTIF(AcctCodesA,$B1854)=0),"متفرقه",$B1854))),$A1854))</f>
        <v/>
      </c>
      <c r="K1854">
        <f>IF($A1854="","",IF(AND($B1854&lt;&gt;"",COUNTIF(AcctCodesA,$B1854)=0),"کد طرف در INFO تعریف نشده",IF(AND($D1854="هزینه",$E1854=""),"هزینه بدون زیرگروه",IF(AND($C1854="پاس چک",OR(Sync!$AJ1854="",COUNTIF(IssueNosA,Sync!$AJ1854)=0)),"شماره چک پاس‌شده معتبر نیست",""))))</f>
        <v/>
      </c>
      <c r="V1854">
        <f>IF($K1854="","",IF(ISNUMBER(Sync!$AK1854),Sync!$AK1854,LEFT(Sync!$AK1854,4)&amp;MID(Sync!$AK1854,6,2)&amp;RIGHT(Sync!$AK1854,2))&amp;"|"&amp;"4"&amp;RIGHT("00000"&amp;1849,5))</f>
        <v/>
      </c>
      <c r="W1854">
        <f>IF($V1854="",0,COUNTIFS($V$6:$V$2005,"&lt;"&amp;$V1854)-COUNTIFS($V$6:$V$2005,"&lt;"&amp;$V1854,$K$6:$K$2005,"")+1)</f>
        <v/>
      </c>
    </row>
    <row r="1855">
      <c r="A1855">
        <f>IF(Sync!$Z1855="","",LEFT(UPPER(TRIM(Sync!$Z1855)),6))</f>
        <v/>
      </c>
      <c r="B1855">
        <f>IF($A1855="","",IF(Sync!$AA1855="","",Sync!$AA1855))</f>
        <v/>
      </c>
      <c r="C1855">
        <f>IF($A1855="","",IF(Sync!$AB1855="","",Sync!$AB1855))</f>
        <v/>
      </c>
      <c r="D1855">
        <f>IF($A1855="","",IF(Sync!$AC1855="","",Sync!$AC1855))</f>
        <v/>
      </c>
      <c r="E1855">
        <f>IF($A1855="","",IF(Sync!$AD1855="","",Sync!$AD1855))</f>
        <v/>
      </c>
      <c r="F1855">
        <f>IF($A1855="","",IF(Sync!$AE1855="",0,Sync!$AE1855))</f>
        <v/>
      </c>
      <c r="G1855">
        <f>IF($A1855="","",IF(Sync!$AF1855="",0,Sync!$AF1855))</f>
        <v/>
      </c>
      <c r="H1855">
        <f>IF(OR($A1855="",ROUND($F1855+$G1855,2)=0),"",$F1855+$G1855)</f>
        <v/>
      </c>
      <c r="I1855">
        <f>IF($H1855="","",IF(ROUND($F1855,2)&gt;0,$A1855,IF($D1855="شخصی قاسم","شخصی قاسم",IF($D1855="هزینه","هزینه: "&amp;IF($E1855="","متفرقه",$E1855),IF($C1855="پاس چک","چک پرداختی",IF(OR($B1855="",COUNTIF(AcctCodesA,$B1855)=0),"متفرقه",$B1855))))))</f>
        <v/>
      </c>
      <c r="J1855">
        <f>IF($H1855="","",IF(ROUND($F1855,2)&gt;0,IF($D1855="شخصی قاسم","شخصی قاسم",IF($D1855="هزینه","هزینه: "&amp;IF($E1855="","متفرقه",$E1855),IF(OR($B1855="",COUNTIF(AcctCodesA,$B1855)=0),"متفرقه",$B1855))),$A1855))</f>
        <v/>
      </c>
      <c r="K1855">
        <f>IF($A1855="","",IF(AND($B1855&lt;&gt;"",COUNTIF(AcctCodesA,$B1855)=0),"کد طرف در INFO تعریف نشده",IF(AND($D1855="هزینه",$E1855=""),"هزینه بدون زیرگروه",IF(AND($C1855="پاس چک",OR(Sync!$AJ1855="",COUNTIF(IssueNosA,Sync!$AJ1855)=0)),"شماره چک پاس‌شده معتبر نیست",""))))</f>
        <v/>
      </c>
      <c r="V1855">
        <f>IF($K1855="","",IF(ISNUMBER(Sync!$AK1855),Sync!$AK1855,LEFT(Sync!$AK1855,4)&amp;MID(Sync!$AK1855,6,2)&amp;RIGHT(Sync!$AK1855,2))&amp;"|"&amp;"4"&amp;RIGHT("00000"&amp;1850,5))</f>
        <v/>
      </c>
      <c r="W1855">
        <f>IF($V1855="",0,COUNTIFS($V$6:$V$2005,"&lt;"&amp;$V1855)-COUNTIFS($V$6:$V$2005,"&lt;"&amp;$V1855,$K$6:$K$2005,"")+1)</f>
        <v/>
      </c>
    </row>
    <row r="1856">
      <c r="A1856">
        <f>IF(Sync!$Z1856="","",LEFT(UPPER(TRIM(Sync!$Z1856)),6))</f>
        <v/>
      </c>
      <c r="B1856">
        <f>IF($A1856="","",IF(Sync!$AA1856="","",Sync!$AA1856))</f>
        <v/>
      </c>
      <c r="C1856">
        <f>IF($A1856="","",IF(Sync!$AB1856="","",Sync!$AB1856))</f>
        <v/>
      </c>
      <c r="D1856">
        <f>IF($A1856="","",IF(Sync!$AC1856="","",Sync!$AC1856))</f>
        <v/>
      </c>
      <c r="E1856">
        <f>IF($A1856="","",IF(Sync!$AD1856="","",Sync!$AD1856))</f>
        <v/>
      </c>
      <c r="F1856">
        <f>IF($A1856="","",IF(Sync!$AE1856="",0,Sync!$AE1856))</f>
        <v/>
      </c>
      <c r="G1856">
        <f>IF($A1856="","",IF(Sync!$AF1856="",0,Sync!$AF1856))</f>
        <v/>
      </c>
      <c r="H1856">
        <f>IF(OR($A1856="",ROUND($F1856+$G1856,2)=0),"",$F1856+$G1856)</f>
        <v/>
      </c>
      <c r="I1856">
        <f>IF($H1856="","",IF(ROUND($F1856,2)&gt;0,$A1856,IF($D1856="شخصی قاسم","شخصی قاسم",IF($D1856="هزینه","هزینه: "&amp;IF($E1856="","متفرقه",$E1856),IF($C1856="پاس چک","چک پرداختی",IF(OR($B1856="",COUNTIF(AcctCodesA,$B1856)=0),"متفرقه",$B1856))))))</f>
        <v/>
      </c>
      <c r="J1856">
        <f>IF($H1856="","",IF(ROUND($F1856,2)&gt;0,IF($D1856="شخصی قاسم","شخصی قاسم",IF($D1856="هزینه","هزینه: "&amp;IF($E1856="","متفرقه",$E1856),IF(OR($B1856="",COUNTIF(AcctCodesA,$B1856)=0),"متفرقه",$B1856))),$A1856))</f>
        <v/>
      </c>
      <c r="K1856">
        <f>IF($A1856="","",IF(AND($B1856&lt;&gt;"",COUNTIF(AcctCodesA,$B1856)=0),"کد طرف در INFO تعریف نشده",IF(AND($D1856="هزینه",$E1856=""),"هزینه بدون زیرگروه",IF(AND($C1856="پاس چک",OR(Sync!$AJ1856="",COUNTIF(IssueNosA,Sync!$AJ1856)=0)),"شماره چک پاس‌شده معتبر نیست",""))))</f>
        <v/>
      </c>
      <c r="V1856">
        <f>IF($K1856="","",IF(ISNUMBER(Sync!$AK1856),Sync!$AK1856,LEFT(Sync!$AK1856,4)&amp;MID(Sync!$AK1856,6,2)&amp;RIGHT(Sync!$AK1856,2))&amp;"|"&amp;"4"&amp;RIGHT("00000"&amp;1851,5))</f>
        <v/>
      </c>
      <c r="W1856">
        <f>IF($V1856="",0,COUNTIFS($V$6:$V$2005,"&lt;"&amp;$V1856)-COUNTIFS($V$6:$V$2005,"&lt;"&amp;$V1856,$K$6:$K$2005,"")+1)</f>
        <v/>
      </c>
    </row>
    <row r="1857">
      <c r="A1857">
        <f>IF(Sync!$Z1857="","",LEFT(UPPER(TRIM(Sync!$Z1857)),6))</f>
        <v/>
      </c>
      <c r="B1857">
        <f>IF($A1857="","",IF(Sync!$AA1857="","",Sync!$AA1857))</f>
        <v/>
      </c>
      <c r="C1857">
        <f>IF($A1857="","",IF(Sync!$AB1857="","",Sync!$AB1857))</f>
        <v/>
      </c>
      <c r="D1857">
        <f>IF($A1857="","",IF(Sync!$AC1857="","",Sync!$AC1857))</f>
        <v/>
      </c>
      <c r="E1857">
        <f>IF($A1857="","",IF(Sync!$AD1857="","",Sync!$AD1857))</f>
        <v/>
      </c>
      <c r="F1857">
        <f>IF($A1857="","",IF(Sync!$AE1857="",0,Sync!$AE1857))</f>
        <v/>
      </c>
      <c r="G1857">
        <f>IF($A1857="","",IF(Sync!$AF1857="",0,Sync!$AF1857))</f>
        <v/>
      </c>
      <c r="H1857">
        <f>IF(OR($A1857="",ROUND($F1857+$G1857,2)=0),"",$F1857+$G1857)</f>
        <v/>
      </c>
      <c r="I1857">
        <f>IF($H1857="","",IF(ROUND($F1857,2)&gt;0,$A1857,IF($D1857="شخصی قاسم","شخصی قاسم",IF($D1857="هزینه","هزینه: "&amp;IF($E1857="","متفرقه",$E1857),IF($C1857="پاس چک","چک پرداختی",IF(OR($B1857="",COUNTIF(AcctCodesA,$B1857)=0),"متفرقه",$B1857))))))</f>
        <v/>
      </c>
      <c r="J1857">
        <f>IF($H1857="","",IF(ROUND($F1857,2)&gt;0,IF($D1857="شخصی قاسم","شخصی قاسم",IF($D1857="هزینه","هزینه: "&amp;IF($E1857="","متفرقه",$E1857),IF(OR($B1857="",COUNTIF(AcctCodesA,$B1857)=0),"متفرقه",$B1857))),$A1857))</f>
        <v/>
      </c>
      <c r="K1857">
        <f>IF($A1857="","",IF(AND($B1857&lt;&gt;"",COUNTIF(AcctCodesA,$B1857)=0),"کد طرف در INFO تعریف نشده",IF(AND($D1857="هزینه",$E1857=""),"هزینه بدون زیرگروه",IF(AND($C1857="پاس چک",OR(Sync!$AJ1857="",COUNTIF(IssueNosA,Sync!$AJ1857)=0)),"شماره چک پاس‌شده معتبر نیست",""))))</f>
        <v/>
      </c>
      <c r="V1857">
        <f>IF($K1857="","",IF(ISNUMBER(Sync!$AK1857),Sync!$AK1857,LEFT(Sync!$AK1857,4)&amp;MID(Sync!$AK1857,6,2)&amp;RIGHT(Sync!$AK1857,2))&amp;"|"&amp;"4"&amp;RIGHT("00000"&amp;1852,5))</f>
        <v/>
      </c>
      <c r="W1857">
        <f>IF($V1857="",0,COUNTIFS($V$6:$V$2005,"&lt;"&amp;$V1857)-COUNTIFS($V$6:$V$2005,"&lt;"&amp;$V1857,$K$6:$K$2005,"")+1)</f>
        <v/>
      </c>
    </row>
    <row r="1858">
      <c r="A1858">
        <f>IF(Sync!$Z1858="","",LEFT(UPPER(TRIM(Sync!$Z1858)),6))</f>
        <v/>
      </c>
      <c r="B1858">
        <f>IF($A1858="","",IF(Sync!$AA1858="","",Sync!$AA1858))</f>
        <v/>
      </c>
      <c r="C1858">
        <f>IF($A1858="","",IF(Sync!$AB1858="","",Sync!$AB1858))</f>
        <v/>
      </c>
      <c r="D1858">
        <f>IF($A1858="","",IF(Sync!$AC1858="","",Sync!$AC1858))</f>
        <v/>
      </c>
      <c r="E1858">
        <f>IF($A1858="","",IF(Sync!$AD1858="","",Sync!$AD1858))</f>
        <v/>
      </c>
      <c r="F1858">
        <f>IF($A1858="","",IF(Sync!$AE1858="",0,Sync!$AE1858))</f>
        <v/>
      </c>
      <c r="G1858">
        <f>IF($A1858="","",IF(Sync!$AF1858="",0,Sync!$AF1858))</f>
        <v/>
      </c>
      <c r="H1858">
        <f>IF(OR($A1858="",ROUND($F1858+$G1858,2)=0),"",$F1858+$G1858)</f>
        <v/>
      </c>
      <c r="I1858">
        <f>IF($H1858="","",IF(ROUND($F1858,2)&gt;0,$A1858,IF($D1858="شخصی قاسم","شخصی قاسم",IF($D1858="هزینه","هزینه: "&amp;IF($E1858="","متفرقه",$E1858),IF($C1858="پاس چک","چک پرداختی",IF(OR($B1858="",COUNTIF(AcctCodesA,$B1858)=0),"متفرقه",$B1858))))))</f>
        <v/>
      </c>
      <c r="J1858">
        <f>IF($H1858="","",IF(ROUND($F1858,2)&gt;0,IF($D1858="شخصی قاسم","شخصی قاسم",IF($D1858="هزینه","هزینه: "&amp;IF($E1858="","متفرقه",$E1858),IF(OR($B1858="",COUNTIF(AcctCodesA,$B1858)=0),"متفرقه",$B1858))),$A1858))</f>
        <v/>
      </c>
      <c r="K1858">
        <f>IF($A1858="","",IF(AND($B1858&lt;&gt;"",COUNTIF(AcctCodesA,$B1858)=0),"کد طرف در INFO تعریف نشده",IF(AND($D1858="هزینه",$E1858=""),"هزینه بدون زیرگروه",IF(AND($C1858="پاس چک",OR(Sync!$AJ1858="",COUNTIF(IssueNosA,Sync!$AJ1858)=0)),"شماره چک پاس‌شده معتبر نیست",""))))</f>
        <v/>
      </c>
      <c r="V1858">
        <f>IF($K1858="","",IF(ISNUMBER(Sync!$AK1858),Sync!$AK1858,LEFT(Sync!$AK1858,4)&amp;MID(Sync!$AK1858,6,2)&amp;RIGHT(Sync!$AK1858,2))&amp;"|"&amp;"4"&amp;RIGHT("00000"&amp;1853,5))</f>
        <v/>
      </c>
      <c r="W1858">
        <f>IF($V1858="",0,COUNTIFS($V$6:$V$2005,"&lt;"&amp;$V1858)-COUNTIFS($V$6:$V$2005,"&lt;"&amp;$V1858,$K$6:$K$2005,"")+1)</f>
        <v/>
      </c>
    </row>
    <row r="1859">
      <c r="A1859">
        <f>IF(Sync!$Z1859="","",LEFT(UPPER(TRIM(Sync!$Z1859)),6))</f>
        <v/>
      </c>
      <c r="B1859">
        <f>IF($A1859="","",IF(Sync!$AA1859="","",Sync!$AA1859))</f>
        <v/>
      </c>
      <c r="C1859">
        <f>IF($A1859="","",IF(Sync!$AB1859="","",Sync!$AB1859))</f>
        <v/>
      </c>
      <c r="D1859">
        <f>IF($A1859="","",IF(Sync!$AC1859="","",Sync!$AC1859))</f>
        <v/>
      </c>
      <c r="E1859">
        <f>IF($A1859="","",IF(Sync!$AD1859="","",Sync!$AD1859))</f>
        <v/>
      </c>
      <c r="F1859">
        <f>IF($A1859="","",IF(Sync!$AE1859="",0,Sync!$AE1859))</f>
        <v/>
      </c>
      <c r="G1859">
        <f>IF($A1859="","",IF(Sync!$AF1859="",0,Sync!$AF1859))</f>
        <v/>
      </c>
      <c r="H1859">
        <f>IF(OR($A1859="",ROUND($F1859+$G1859,2)=0),"",$F1859+$G1859)</f>
        <v/>
      </c>
      <c r="I1859">
        <f>IF($H1859="","",IF(ROUND($F1859,2)&gt;0,$A1859,IF($D1859="شخصی قاسم","شخصی قاسم",IF($D1859="هزینه","هزینه: "&amp;IF($E1859="","متفرقه",$E1859),IF($C1859="پاس چک","چک پرداختی",IF(OR($B1859="",COUNTIF(AcctCodesA,$B1859)=0),"متفرقه",$B1859))))))</f>
        <v/>
      </c>
      <c r="J1859">
        <f>IF($H1859="","",IF(ROUND($F1859,2)&gt;0,IF($D1859="شخصی قاسم","شخصی قاسم",IF($D1859="هزینه","هزینه: "&amp;IF($E1859="","متفرقه",$E1859),IF(OR($B1859="",COUNTIF(AcctCodesA,$B1859)=0),"متفرقه",$B1859))),$A1859))</f>
        <v/>
      </c>
      <c r="K1859">
        <f>IF($A1859="","",IF(AND($B1859&lt;&gt;"",COUNTIF(AcctCodesA,$B1859)=0),"کد طرف در INFO تعریف نشده",IF(AND($D1859="هزینه",$E1859=""),"هزینه بدون زیرگروه",IF(AND($C1859="پاس چک",OR(Sync!$AJ1859="",COUNTIF(IssueNosA,Sync!$AJ1859)=0)),"شماره چک پاس‌شده معتبر نیست",""))))</f>
        <v/>
      </c>
      <c r="V1859">
        <f>IF($K1859="","",IF(ISNUMBER(Sync!$AK1859),Sync!$AK1859,LEFT(Sync!$AK1859,4)&amp;MID(Sync!$AK1859,6,2)&amp;RIGHT(Sync!$AK1859,2))&amp;"|"&amp;"4"&amp;RIGHT("00000"&amp;1854,5))</f>
        <v/>
      </c>
      <c r="W1859">
        <f>IF($V1859="",0,COUNTIFS($V$6:$V$2005,"&lt;"&amp;$V1859)-COUNTIFS($V$6:$V$2005,"&lt;"&amp;$V1859,$K$6:$K$2005,"")+1)</f>
        <v/>
      </c>
    </row>
    <row r="1860">
      <c r="A1860">
        <f>IF(Sync!$Z1860="","",LEFT(UPPER(TRIM(Sync!$Z1860)),6))</f>
        <v/>
      </c>
      <c r="B1860">
        <f>IF($A1860="","",IF(Sync!$AA1860="","",Sync!$AA1860))</f>
        <v/>
      </c>
      <c r="C1860">
        <f>IF($A1860="","",IF(Sync!$AB1860="","",Sync!$AB1860))</f>
        <v/>
      </c>
      <c r="D1860">
        <f>IF($A1860="","",IF(Sync!$AC1860="","",Sync!$AC1860))</f>
        <v/>
      </c>
      <c r="E1860">
        <f>IF($A1860="","",IF(Sync!$AD1860="","",Sync!$AD1860))</f>
        <v/>
      </c>
      <c r="F1860">
        <f>IF($A1860="","",IF(Sync!$AE1860="",0,Sync!$AE1860))</f>
        <v/>
      </c>
      <c r="G1860">
        <f>IF($A1860="","",IF(Sync!$AF1860="",0,Sync!$AF1860))</f>
        <v/>
      </c>
      <c r="H1860">
        <f>IF(OR($A1860="",ROUND($F1860+$G1860,2)=0),"",$F1860+$G1860)</f>
        <v/>
      </c>
      <c r="I1860">
        <f>IF($H1860="","",IF(ROUND($F1860,2)&gt;0,$A1860,IF($D1860="شخصی قاسم","شخصی قاسم",IF($D1860="هزینه","هزینه: "&amp;IF($E1860="","متفرقه",$E1860),IF($C1860="پاس چک","چک پرداختی",IF(OR($B1860="",COUNTIF(AcctCodesA,$B1860)=0),"متفرقه",$B1860))))))</f>
        <v/>
      </c>
      <c r="J1860">
        <f>IF($H1860="","",IF(ROUND($F1860,2)&gt;0,IF($D1860="شخصی قاسم","شخصی قاسم",IF($D1860="هزینه","هزینه: "&amp;IF($E1860="","متفرقه",$E1860),IF(OR($B1860="",COUNTIF(AcctCodesA,$B1860)=0),"متفرقه",$B1860))),$A1860))</f>
        <v/>
      </c>
      <c r="K1860">
        <f>IF($A1860="","",IF(AND($B1860&lt;&gt;"",COUNTIF(AcctCodesA,$B1860)=0),"کد طرف در INFO تعریف نشده",IF(AND($D1860="هزینه",$E1860=""),"هزینه بدون زیرگروه",IF(AND($C1860="پاس چک",OR(Sync!$AJ1860="",COUNTIF(IssueNosA,Sync!$AJ1860)=0)),"شماره چک پاس‌شده معتبر نیست",""))))</f>
        <v/>
      </c>
      <c r="V1860">
        <f>IF($K1860="","",IF(ISNUMBER(Sync!$AK1860),Sync!$AK1860,LEFT(Sync!$AK1860,4)&amp;MID(Sync!$AK1860,6,2)&amp;RIGHT(Sync!$AK1860,2))&amp;"|"&amp;"4"&amp;RIGHT("00000"&amp;1855,5))</f>
        <v/>
      </c>
      <c r="W1860">
        <f>IF($V1860="",0,COUNTIFS($V$6:$V$2005,"&lt;"&amp;$V1860)-COUNTIFS($V$6:$V$2005,"&lt;"&amp;$V1860,$K$6:$K$2005,"")+1)</f>
        <v/>
      </c>
    </row>
    <row r="1861">
      <c r="A1861">
        <f>IF(Sync!$Z1861="","",LEFT(UPPER(TRIM(Sync!$Z1861)),6))</f>
        <v/>
      </c>
      <c r="B1861">
        <f>IF($A1861="","",IF(Sync!$AA1861="","",Sync!$AA1861))</f>
        <v/>
      </c>
      <c r="C1861">
        <f>IF($A1861="","",IF(Sync!$AB1861="","",Sync!$AB1861))</f>
        <v/>
      </c>
      <c r="D1861">
        <f>IF($A1861="","",IF(Sync!$AC1861="","",Sync!$AC1861))</f>
        <v/>
      </c>
      <c r="E1861">
        <f>IF($A1861="","",IF(Sync!$AD1861="","",Sync!$AD1861))</f>
        <v/>
      </c>
      <c r="F1861">
        <f>IF($A1861="","",IF(Sync!$AE1861="",0,Sync!$AE1861))</f>
        <v/>
      </c>
      <c r="G1861">
        <f>IF($A1861="","",IF(Sync!$AF1861="",0,Sync!$AF1861))</f>
        <v/>
      </c>
      <c r="H1861">
        <f>IF(OR($A1861="",ROUND($F1861+$G1861,2)=0),"",$F1861+$G1861)</f>
        <v/>
      </c>
      <c r="I1861">
        <f>IF($H1861="","",IF(ROUND($F1861,2)&gt;0,$A1861,IF($D1861="شخصی قاسم","شخصی قاسم",IF($D1861="هزینه","هزینه: "&amp;IF($E1861="","متفرقه",$E1861),IF($C1861="پاس چک","چک پرداختی",IF(OR($B1861="",COUNTIF(AcctCodesA,$B1861)=0),"متفرقه",$B1861))))))</f>
        <v/>
      </c>
      <c r="J1861">
        <f>IF($H1861="","",IF(ROUND($F1861,2)&gt;0,IF($D1861="شخصی قاسم","شخصی قاسم",IF($D1861="هزینه","هزینه: "&amp;IF($E1861="","متفرقه",$E1861),IF(OR($B1861="",COUNTIF(AcctCodesA,$B1861)=0),"متفرقه",$B1861))),$A1861))</f>
        <v/>
      </c>
      <c r="K1861">
        <f>IF($A1861="","",IF(AND($B1861&lt;&gt;"",COUNTIF(AcctCodesA,$B1861)=0),"کد طرف در INFO تعریف نشده",IF(AND($D1861="هزینه",$E1861=""),"هزینه بدون زیرگروه",IF(AND($C1861="پاس چک",OR(Sync!$AJ1861="",COUNTIF(IssueNosA,Sync!$AJ1861)=0)),"شماره چک پاس‌شده معتبر نیست",""))))</f>
        <v/>
      </c>
      <c r="V1861">
        <f>IF($K1861="","",IF(ISNUMBER(Sync!$AK1861),Sync!$AK1861,LEFT(Sync!$AK1861,4)&amp;MID(Sync!$AK1861,6,2)&amp;RIGHT(Sync!$AK1861,2))&amp;"|"&amp;"4"&amp;RIGHT("00000"&amp;1856,5))</f>
        <v/>
      </c>
      <c r="W1861">
        <f>IF($V1861="",0,COUNTIFS($V$6:$V$2005,"&lt;"&amp;$V1861)-COUNTIFS($V$6:$V$2005,"&lt;"&amp;$V1861,$K$6:$K$2005,"")+1)</f>
        <v/>
      </c>
    </row>
    <row r="1862">
      <c r="A1862">
        <f>IF(Sync!$Z1862="","",LEFT(UPPER(TRIM(Sync!$Z1862)),6))</f>
        <v/>
      </c>
      <c r="B1862">
        <f>IF($A1862="","",IF(Sync!$AA1862="","",Sync!$AA1862))</f>
        <v/>
      </c>
      <c r="C1862">
        <f>IF($A1862="","",IF(Sync!$AB1862="","",Sync!$AB1862))</f>
        <v/>
      </c>
      <c r="D1862">
        <f>IF($A1862="","",IF(Sync!$AC1862="","",Sync!$AC1862))</f>
        <v/>
      </c>
      <c r="E1862">
        <f>IF($A1862="","",IF(Sync!$AD1862="","",Sync!$AD1862))</f>
        <v/>
      </c>
      <c r="F1862">
        <f>IF($A1862="","",IF(Sync!$AE1862="",0,Sync!$AE1862))</f>
        <v/>
      </c>
      <c r="G1862">
        <f>IF($A1862="","",IF(Sync!$AF1862="",0,Sync!$AF1862))</f>
        <v/>
      </c>
      <c r="H1862">
        <f>IF(OR($A1862="",ROUND($F1862+$G1862,2)=0),"",$F1862+$G1862)</f>
        <v/>
      </c>
      <c r="I1862">
        <f>IF($H1862="","",IF(ROUND($F1862,2)&gt;0,$A1862,IF($D1862="شخصی قاسم","شخصی قاسم",IF($D1862="هزینه","هزینه: "&amp;IF($E1862="","متفرقه",$E1862),IF($C1862="پاس چک","چک پرداختی",IF(OR($B1862="",COUNTIF(AcctCodesA,$B1862)=0),"متفرقه",$B1862))))))</f>
        <v/>
      </c>
      <c r="J1862">
        <f>IF($H1862="","",IF(ROUND($F1862,2)&gt;0,IF($D1862="شخصی قاسم","شخصی قاسم",IF($D1862="هزینه","هزینه: "&amp;IF($E1862="","متفرقه",$E1862),IF(OR($B1862="",COUNTIF(AcctCodesA,$B1862)=0),"متفرقه",$B1862))),$A1862))</f>
        <v/>
      </c>
      <c r="K1862">
        <f>IF($A1862="","",IF(AND($B1862&lt;&gt;"",COUNTIF(AcctCodesA,$B1862)=0),"کد طرف در INFO تعریف نشده",IF(AND($D1862="هزینه",$E1862=""),"هزینه بدون زیرگروه",IF(AND($C1862="پاس چک",OR(Sync!$AJ1862="",COUNTIF(IssueNosA,Sync!$AJ1862)=0)),"شماره چک پاس‌شده معتبر نیست",""))))</f>
        <v/>
      </c>
      <c r="V1862">
        <f>IF($K1862="","",IF(ISNUMBER(Sync!$AK1862),Sync!$AK1862,LEFT(Sync!$AK1862,4)&amp;MID(Sync!$AK1862,6,2)&amp;RIGHT(Sync!$AK1862,2))&amp;"|"&amp;"4"&amp;RIGHT("00000"&amp;1857,5))</f>
        <v/>
      </c>
      <c r="W1862">
        <f>IF($V1862="",0,COUNTIFS($V$6:$V$2005,"&lt;"&amp;$V1862)-COUNTIFS($V$6:$V$2005,"&lt;"&amp;$V1862,$K$6:$K$2005,"")+1)</f>
        <v/>
      </c>
    </row>
    <row r="1863">
      <c r="A1863">
        <f>IF(Sync!$Z1863="","",LEFT(UPPER(TRIM(Sync!$Z1863)),6))</f>
        <v/>
      </c>
      <c r="B1863">
        <f>IF($A1863="","",IF(Sync!$AA1863="","",Sync!$AA1863))</f>
        <v/>
      </c>
      <c r="C1863">
        <f>IF($A1863="","",IF(Sync!$AB1863="","",Sync!$AB1863))</f>
        <v/>
      </c>
      <c r="D1863">
        <f>IF($A1863="","",IF(Sync!$AC1863="","",Sync!$AC1863))</f>
        <v/>
      </c>
      <c r="E1863">
        <f>IF($A1863="","",IF(Sync!$AD1863="","",Sync!$AD1863))</f>
        <v/>
      </c>
      <c r="F1863">
        <f>IF($A1863="","",IF(Sync!$AE1863="",0,Sync!$AE1863))</f>
        <v/>
      </c>
      <c r="G1863">
        <f>IF($A1863="","",IF(Sync!$AF1863="",0,Sync!$AF1863))</f>
        <v/>
      </c>
      <c r="H1863">
        <f>IF(OR($A1863="",ROUND($F1863+$G1863,2)=0),"",$F1863+$G1863)</f>
        <v/>
      </c>
      <c r="I1863">
        <f>IF($H1863="","",IF(ROUND($F1863,2)&gt;0,$A1863,IF($D1863="شخصی قاسم","شخصی قاسم",IF($D1863="هزینه","هزینه: "&amp;IF($E1863="","متفرقه",$E1863),IF($C1863="پاس چک","چک پرداختی",IF(OR($B1863="",COUNTIF(AcctCodesA,$B1863)=0),"متفرقه",$B1863))))))</f>
        <v/>
      </c>
      <c r="J1863">
        <f>IF($H1863="","",IF(ROUND($F1863,2)&gt;0,IF($D1863="شخصی قاسم","شخصی قاسم",IF($D1863="هزینه","هزینه: "&amp;IF($E1863="","متفرقه",$E1863),IF(OR($B1863="",COUNTIF(AcctCodesA,$B1863)=0),"متفرقه",$B1863))),$A1863))</f>
        <v/>
      </c>
      <c r="K1863">
        <f>IF($A1863="","",IF(AND($B1863&lt;&gt;"",COUNTIF(AcctCodesA,$B1863)=0),"کد طرف در INFO تعریف نشده",IF(AND($D1863="هزینه",$E1863=""),"هزینه بدون زیرگروه",IF(AND($C1863="پاس چک",OR(Sync!$AJ1863="",COUNTIF(IssueNosA,Sync!$AJ1863)=0)),"شماره چک پاس‌شده معتبر نیست",""))))</f>
        <v/>
      </c>
      <c r="V1863">
        <f>IF($K1863="","",IF(ISNUMBER(Sync!$AK1863),Sync!$AK1863,LEFT(Sync!$AK1863,4)&amp;MID(Sync!$AK1863,6,2)&amp;RIGHT(Sync!$AK1863,2))&amp;"|"&amp;"4"&amp;RIGHT("00000"&amp;1858,5))</f>
        <v/>
      </c>
      <c r="W1863">
        <f>IF($V1863="",0,COUNTIFS($V$6:$V$2005,"&lt;"&amp;$V1863)-COUNTIFS($V$6:$V$2005,"&lt;"&amp;$V1863,$K$6:$K$2005,"")+1)</f>
        <v/>
      </c>
    </row>
    <row r="1864">
      <c r="A1864">
        <f>IF(Sync!$Z1864="","",LEFT(UPPER(TRIM(Sync!$Z1864)),6))</f>
        <v/>
      </c>
      <c r="B1864">
        <f>IF($A1864="","",IF(Sync!$AA1864="","",Sync!$AA1864))</f>
        <v/>
      </c>
      <c r="C1864">
        <f>IF($A1864="","",IF(Sync!$AB1864="","",Sync!$AB1864))</f>
        <v/>
      </c>
      <c r="D1864">
        <f>IF($A1864="","",IF(Sync!$AC1864="","",Sync!$AC1864))</f>
        <v/>
      </c>
      <c r="E1864">
        <f>IF($A1864="","",IF(Sync!$AD1864="","",Sync!$AD1864))</f>
        <v/>
      </c>
      <c r="F1864">
        <f>IF($A1864="","",IF(Sync!$AE1864="",0,Sync!$AE1864))</f>
        <v/>
      </c>
      <c r="G1864">
        <f>IF($A1864="","",IF(Sync!$AF1864="",0,Sync!$AF1864))</f>
        <v/>
      </c>
      <c r="H1864">
        <f>IF(OR($A1864="",ROUND($F1864+$G1864,2)=0),"",$F1864+$G1864)</f>
        <v/>
      </c>
      <c r="I1864">
        <f>IF($H1864="","",IF(ROUND($F1864,2)&gt;0,$A1864,IF($D1864="شخصی قاسم","شخصی قاسم",IF($D1864="هزینه","هزینه: "&amp;IF($E1864="","متفرقه",$E1864),IF($C1864="پاس چک","چک پرداختی",IF(OR($B1864="",COUNTIF(AcctCodesA,$B1864)=0),"متفرقه",$B1864))))))</f>
        <v/>
      </c>
      <c r="J1864">
        <f>IF($H1864="","",IF(ROUND($F1864,2)&gt;0,IF($D1864="شخصی قاسم","شخصی قاسم",IF($D1864="هزینه","هزینه: "&amp;IF($E1864="","متفرقه",$E1864),IF(OR($B1864="",COUNTIF(AcctCodesA,$B1864)=0),"متفرقه",$B1864))),$A1864))</f>
        <v/>
      </c>
      <c r="K1864">
        <f>IF($A1864="","",IF(AND($B1864&lt;&gt;"",COUNTIF(AcctCodesA,$B1864)=0),"کد طرف در INFO تعریف نشده",IF(AND($D1864="هزینه",$E1864=""),"هزینه بدون زیرگروه",IF(AND($C1864="پاس چک",OR(Sync!$AJ1864="",COUNTIF(IssueNosA,Sync!$AJ1864)=0)),"شماره چک پاس‌شده معتبر نیست",""))))</f>
        <v/>
      </c>
      <c r="V1864">
        <f>IF($K1864="","",IF(ISNUMBER(Sync!$AK1864),Sync!$AK1864,LEFT(Sync!$AK1864,4)&amp;MID(Sync!$AK1864,6,2)&amp;RIGHT(Sync!$AK1864,2))&amp;"|"&amp;"4"&amp;RIGHT("00000"&amp;1859,5))</f>
        <v/>
      </c>
      <c r="W1864">
        <f>IF($V1864="",0,COUNTIFS($V$6:$V$2005,"&lt;"&amp;$V1864)-COUNTIFS($V$6:$V$2005,"&lt;"&amp;$V1864,$K$6:$K$2005,"")+1)</f>
        <v/>
      </c>
    </row>
    <row r="1865">
      <c r="A1865">
        <f>IF(Sync!$Z1865="","",LEFT(UPPER(TRIM(Sync!$Z1865)),6))</f>
        <v/>
      </c>
      <c r="B1865">
        <f>IF($A1865="","",IF(Sync!$AA1865="","",Sync!$AA1865))</f>
        <v/>
      </c>
      <c r="C1865">
        <f>IF($A1865="","",IF(Sync!$AB1865="","",Sync!$AB1865))</f>
        <v/>
      </c>
      <c r="D1865">
        <f>IF($A1865="","",IF(Sync!$AC1865="","",Sync!$AC1865))</f>
        <v/>
      </c>
      <c r="E1865">
        <f>IF($A1865="","",IF(Sync!$AD1865="","",Sync!$AD1865))</f>
        <v/>
      </c>
      <c r="F1865">
        <f>IF($A1865="","",IF(Sync!$AE1865="",0,Sync!$AE1865))</f>
        <v/>
      </c>
      <c r="G1865">
        <f>IF($A1865="","",IF(Sync!$AF1865="",0,Sync!$AF1865))</f>
        <v/>
      </c>
      <c r="H1865">
        <f>IF(OR($A1865="",ROUND($F1865+$G1865,2)=0),"",$F1865+$G1865)</f>
        <v/>
      </c>
      <c r="I1865">
        <f>IF($H1865="","",IF(ROUND($F1865,2)&gt;0,$A1865,IF($D1865="شخصی قاسم","شخصی قاسم",IF($D1865="هزینه","هزینه: "&amp;IF($E1865="","متفرقه",$E1865),IF($C1865="پاس چک","چک پرداختی",IF(OR($B1865="",COUNTIF(AcctCodesA,$B1865)=0),"متفرقه",$B1865))))))</f>
        <v/>
      </c>
      <c r="J1865">
        <f>IF($H1865="","",IF(ROUND($F1865,2)&gt;0,IF($D1865="شخصی قاسم","شخصی قاسم",IF($D1865="هزینه","هزینه: "&amp;IF($E1865="","متفرقه",$E1865),IF(OR($B1865="",COUNTIF(AcctCodesA,$B1865)=0),"متفرقه",$B1865))),$A1865))</f>
        <v/>
      </c>
      <c r="K1865">
        <f>IF($A1865="","",IF(AND($B1865&lt;&gt;"",COUNTIF(AcctCodesA,$B1865)=0),"کد طرف در INFO تعریف نشده",IF(AND($D1865="هزینه",$E1865=""),"هزینه بدون زیرگروه",IF(AND($C1865="پاس چک",OR(Sync!$AJ1865="",COUNTIF(IssueNosA,Sync!$AJ1865)=0)),"شماره چک پاس‌شده معتبر نیست",""))))</f>
        <v/>
      </c>
      <c r="V1865">
        <f>IF($K1865="","",IF(ISNUMBER(Sync!$AK1865),Sync!$AK1865,LEFT(Sync!$AK1865,4)&amp;MID(Sync!$AK1865,6,2)&amp;RIGHT(Sync!$AK1865,2))&amp;"|"&amp;"4"&amp;RIGHT("00000"&amp;1860,5))</f>
        <v/>
      </c>
      <c r="W1865">
        <f>IF($V1865="",0,COUNTIFS($V$6:$V$2005,"&lt;"&amp;$V1865)-COUNTIFS($V$6:$V$2005,"&lt;"&amp;$V1865,$K$6:$K$2005,"")+1)</f>
        <v/>
      </c>
    </row>
    <row r="1866">
      <c r="A1866">
        <f>IF(Sync!$Z1866="","",LEFT(UPPER(TRIM(Sync!$Z1866)),6))</f>
        <v/>
      </c>
      <c r="B1866">
        <f>IF($A1866="","",IF(Sync!$AA1866="","",Sync!$AA1866))</f>
        <v/>
      </c>
      <c r="C1866">
        <f>IF($A1866="","",IF(Sync!$AB1866="","",Sync!$AB1866))</f>
        <v/>
      </c>
      <c r="D1866">
        <f>IF($A1866="","",IF(Sync!$AC1866="","",Sync!$AC1866))</f>
        <v/>
      </c>
      <c r="E1866">
        <f>IF($A1866="","",IF(Sync!$AD1866="","",Sync!$AD1866))</f>
        <v/>
      </c>
      <c r="F1866">
        <f>IF($A1866="","",IF(Sync!$AE1866="",0,Sync!$AE1866))</f>
        <v/>
      </c>
      <c r="G1866">
        <f>IF($A1866="","",IF(Sync!$AF1866="",0,Sync!$AF1866))</f>
        <v/>
      </c>
      <c r="H1866">
        <f>IF(OR($A1866="",ROUND($F1866+$G1866,2)=0),"",$F1866+$G1866)</f>
        <v/>
      </c>
      <c r="I1866">
        <f>IF($H1866="","",IF(ROUND($F1866,2)&gt;0,$A1866,IF($D1866="شخصی قاسم","شخصی قاسم",IF($D1866="هزینه","هزینه: "&amp;IF($E1866="","متفرقه",$E1866),IF($C1866="پاس چک","چک پرداختی",IF(OR($B1866="",COUNTIF(AcctCodesA,$B1866)=0),"متفرقه",$B1866))))))</f>
        <v/>
      </c>
      <c r="J1866">
        <f>IF($H1866="","",IF(ROUND($F1866,2)&gt;0,IF($D1866="شخصی قاسم","شخصی قاسم",IF($D1866="هزینه","هزینه: "&amp;IF($E1866="","متفرقه",$E1866),IF(OR($B1866="",COUNTIF(AcctCodesA,$B1866)=0),"متفرقه",$B1866))),$A1866))</f>
        <v/>
      </c>
      <c r="K1866">
        <f>IF($A1866="","",IF(AND($B1866&lt;&gt;"",COUNTIF(AcctCodesA,$B1866)=0),"کد طرف در INFO تعریف نشده",IF(AND($D1866="هزینه",$E1866=""),"هزینه بدون زیرگروه",IF(AND($C1866="پاس چک",OR(Sync!$AJ1866="",COUNTIF(IssueNosA,Sync!$AJ1866)=0)),"شماره چک پاس‌شده معتبر نیست",""))))</f>
        <v/>
      </c>
      <c r="V1866">
        <f>IF($K1866="","",IF(ISNUMBER(Sync!$AK1866),Sync!$AK1866,LEFT(Sync!$AK1866,4)&amp;MID(Sync!$AK1866,6,2)&amp;RIGHT(Sync!$AK1866,2))&amp;"|"&amp;"4"&amp;RIGHT("00000"&amp;1861,5))</f>
        <v/>
      </c>
      <c r="W1866">
        <f>IF($V1866="",0,COUNTIFS($V$6:$V$2005,"&lt;"&amp;$V1866)-COUNTIFS($V$6:$V$2005,"&lt;"&amp;$V1866,$K$6:$K$2005,"")+1)</f>
        <v/>
      </c>
    </row>
    <row r="1867">
      <c r="A1867">
        <f>IF(Sync!$Z1867="","",LEFT(UPPER(TRIM(Sync!$Z1867)),6))</f>
        <v/>
      </c>
      <c r="B1867">
        <f>IF($A1867="","",IF(Sync!$AA1867="","",Sync!$AA1867))</f>
        <v/>
      </c>
      <c r="C1867">
        <f>IF($A1867="","",IF(Sync!$AB1867="","",Sync!$AB1867))</f>
        <v/>
      </c>
      <c r="D1867">
        <f>IF($A1867="","",IF(Sync!$AC1867="","",Sync!$AC1867))</f>
        <v/>
      </c>
      <c r="E1867">
        <f>IF($A1867="","",IF(Sync!$AD1867="","",Sync!$AD1867))</f>
        <v/>
      </c>
      <c r="F1867">
        <f>IF($A1867="","",IF(Sync!$AE1867="",0,Sync!$AE1867))</f>
        <v/>
      </c>
      <c r="G1867">
        <f>IF($A1867="","",IF(Sync!$AF1867="",0,Sync!$AF1867))</f>
        <v/>
      </c>
      <c r="H1867">
        <f>IF(OR($A1867="",ROUND($F1867+$G1867,2)=0),"",$F1867+$G1867)</f>
        <v/>
      </c>
      <c r="I1867">
        <f>IF($H1867="","",IF(ROUND($F1867,2)&gt;0,$A1867,IF($D1867="شخصی قاسم","شخصی قاسم",IF($D1867="هزینه","هزینه: "&amp;IF($E1867="","متفرقه",$E1867),IF($C1867="پاس چک","چک پرداختی",IF(OR($B1867="",COUNTIF(AcctCodesA,$B1867)=0),"متفرقه",$B1867))))))</f>
        <v/>
      </c>
      <c r="J1867">
        <f>IF($H1867="","",IF(ROUND($F1867,2)&gt;0,IF($D1867="شخصی قاسم","شخصی قاسم",IF($D1867="هزینه","هزینه: "&amp;IF($E1867="","متفرقه",$E1867),IF(OR($B1867="",COUNTIF(AcctCodesA,$B1867)=0),"متفرقه",$B1867))),$A1867))</f>
        <v/>
      </c>
      <c r="K1867">
        <f>IF($A1867="","",IF(AND($B1867&lt;&gt;"",COUNTIF(AcctCodesA,$B1867)=0),"کد طرف در INFO تعریف نشده",IF(AND($D1867="هزینه",$E1867=""),"هزینه بدون زیرگروه",IF(AND($C1867="پاس چک",OR(Sync!$AJ1867="",COUNTIF(IssueNosA,Sync!$AJ1867)=0)),"شماره چک پاس‌شده معتبر نیست",""))))</f>
        <v/>
      </c>
      <c r="V1867">
        <f>IF($K1867="","",IF(ISNUMBER(Sync!$AK1867),Sync!$AK1867,LEFT(Sync!$AK1867,4)&amp;MID(Sync!$AK1867,6,2)&amp;RIGHT(Sync!$AK1867,2))&amp;"|"&amp;"4"&amp;RIGHT("00000"&amp;1862,5))</f>
        <v/>
      </c>
      <c r="W1867">
        <f>IF($V1867="",0,COUNTIFS($V$6:$V$2005,"&lt;"&amp;$V1867)-COUNTIFS($V$6:$V$2005,"&lt;"&amp;$V1867,$K$6:$K$2005,"")+1)</f>
        <v/>
      </c>
    </row>
    <row r="1868">
      <c r="A1868">
        <f>IF(Sync!$Z1868="","",LEFT(UPPER(TRIM(Sync!$Z1868)),6))</f>
        <v/>
      </c>
      <c r="B1868">
        <f>IF($A1868="","",IF(Sync!$AA1868="","",Sync!$AA1868))</f>
        <v/>
      </c>
      <c r="C1868">
        <f>IF($A1868="","",IF(Sync!$AB1868="","",Sync!$AB1868))</f>
        <v/>
      </c>
      <c r="D1868">
        <f>IF($A1868="","",IF(Sync!$AC1868="","",Sync!$AC1868))</f>
        <v/>
      </c>
      <c r="E1868">
        <f>IF($A1868="","",IF(Sync!$AD1868="","",Sync!$AD1868))</f>
        <v/>
      </c>
      <c r="F1868">
        <f>IF($A1868="","",IF(Sync!$AE1868="",0,Sync!$AE1868))</f>
        <v/>
      </c>
      <c r="G1868">
        <f>IF($A1868="","",IF(Sync!$AF1868="",0,Sync!$AF1868))</f>
        <v/>
      </c>
      <c r="H1868">
        <f>IF(OR($A1868="",ROUND($F1868+$G1868,2)=0),"",$F1868+$G1868)</f>
        <v/>
      </c>
      <c r="I1868">
        <f>IF($H1868="","",IF(ROUND($F1868,2)&gt;0,$A1868,IF($D1868="شخصی قاسم","شخصی قاسم",IF($D1868="هزینه","هزینه: "&amp;IF($E1868="","متفرقه",$E1868),IF($C1868="پاس چک","چک پرداختی",IF(OR($B1868="",COUNTIF(AcctCodesA,$B1868)=0),"متفرقه",$B1868))))))</f>
        <v/>
      </c>
      <c r="J1868">
        <f>IF($H1868="","",IF(ROUND($F1868,2)&gt;0,IF($D1868="شخصی قاسم","شخصی قاسم",IF($D1868="هزینه","هزینه: "&amp;IF($E1868="","متفرقه",$E1868),IF(OR($B1868="",COUNTIF(AcctCodesA,$B1868)=0),"متفرقه",$B1868))),$A1868))</f>
        <v/>
      </c>
      <c r="K1868">
        <f>IF($A1868="","",IF(AND($B1868&lt;&gt;"",COUNTIF(AcctCodesA,$B1868)=0),"کد طرف در INFO تعریف نشده",IF(AND($D1868="هزینه",$E1868=""),"هزینه بدون زیرگروه",IF(AND($C1868="پاس چک",OR(Sync!$AJ1868="",COUNTIF(IssueNosA,Sync!$AJ1868)=0)),"شماره چک پاس‌شده معتبر نیست",""))))</f>
        <v/>
      </c>
      <c r="V1868">
        <f>IF($K1868="","",IF(ISNUMBER(Sync!$AK1868),Sync!$AK1868,LEFT(Sync!$AK1868,4)&amp;MID(Sync!$AK1868,6,2)&amp;RIGHT(Sync!$AK1868,2))&amp;"|"&amp;"4"&amp;RIGHT("00000"&amp;1863,5))</f>
        <v/>
      </c>
      <c r="W1868">
        <f>IF($V1868="",0,COUNTIFS($V$6:$V$2005,"&lt;"&amp;$V1868)-COUNTIFS($V$6:$V$2005,"&lt;"&amp;$V1868,$K$6:$K$2005,"")+1)</f>
        <v/>
      </c>
    </row>
    <row r="1869">
      <c r="A1869">
        <f>IF(Sync!$Z1869="","",LEFT(UPPER(TRIM(Sync!$Z1869)),6))</f>
        <v/>
      </c>
      <c r="B1869">
        <f>IF($A1869="","",IF(Sync!$AA1869="","",Sync!$AA1869))</f>
        <v/>
      </c>
      <c r="C1869">
        <f>IF($A1869="","",IF(Sync!$AB1869="","",Sync!$AB1869))</f>
        <v/>
      </c>
      <c r="D1869">
        <f>IF($A1869="","",IF(Sync!$AC1869="","",Sync!$AC1869))</f>
        <v/>
      </c>
      <c r="E1869">
        <f>IF($A1869="","",IF(Sync!$AD1869="","",Sync!$AD1869))</f>
        <v/>
      </c>
      <c r="F1869">
        <f>IF($A1869="","",IF(Sync!$AE1869="",0,Sync!$AE1869))</f>
        <v/>
      </c>
      <c r="G1869">
        <f>IF($A1869="","",IF(Sync!$AF1869="",0,Sync!$AF1869))</f>
        <v/>
      </c>
      <c r="H1869">
        <f>IF(OR($A1869="",ROUND($F1869+$G1869,2)=0),"",$F1869+$G1869)</f>
        <v/>
      </c>
      <c r="I1869">
        <f>IF($H1869="","",IF(ROUND($F1869,2)&gt;0,$A1869,IF($D1869="شخصی قاسم","شخصی قاسم",IF($D1869="هزینه","هزینه: "&amp;IF($E1869="","متفرقه",$E1869),IF($C1869="پاس چک","چک پرداختی",IF(OR($B1869="",COUNTIF(AcctCodesA,$B1869)=0),"متفرقه",$B1869))))))</f>
        <v/>
      </c>
      <c r="J1869">
        <f>IF($H1869="","",IF(ROUND($F1869,2)&gt;0,IF($D1869="شخصی قاسم","شخصی قاسم",IF($D1869="هزینه","هزینه: "&amp;IF($E1869="","متفرقه",$E1869),IF(OR($B1869="",COUNTIF(AcctCodesA,$B1869)=0),"متفرقه",$B1869))),$A1869))</f>
        <v/>
      </c>
      <c r="K1869">
        <f>IF($A1869="","",IF(AND($B1869&lt;&gt;"",COUNTIF(AcctCodesA,$B1869)=0),"کد طرف در INFO تعریف نشده",IF(AND($D1869="هزینه",$E1869=""),"هزینه بدون زیرگروه",IF(AND($C1869="پاس چک",OR(Sync!$AJ1869="",COUNTIF(IssueNosA,Sync!$AJ1869)=0)),"شماره چک پاس‌شده معتبر نیست",""))))</f>
        <v/>
      </c>
      <c r="V1869">
        <f>IF($K1869="","",IF(ISNUMBER(Sync!$AK1869),Sync!$AK1869,LEFT(Sync!$AK1869,4)&amp;MID(Sync!$AK1869,6,2)&amp;RIGHT(Sync!$AK1869,2))&amp;"|"&amp;"4"&amp;RIGHT("00000"&amp;1864,5))</f>
        <v/>
      </c>
      <c r="W1869">
        <f>IF($V1869="",0,COUNTIFS($V$6:$V$2005,"&lt;"&amp;$V1869)-COUNTIFS($V$6:$V$2005,"&lt;"&amp;$V1869,$K$6:$K$2005,"")+1)</f>
        <v/>
      </c>
    </row>
    <row r="1870">
      <c r="A1870">
        <f>IF(Sync!$Z1870="","",LEFT(UPPER(TRIM(Sync!$Z1870)),6))</f>
        <v/>
      </c>
      <c r="B1870">
        <f>IF($A1870="","",IF(Sync!$AA1870="","",Sync!$AA1870))</f>
        <v/>
      </c>
      <c r="C1870">
        <f>IF($A1870="","",IF(Sync!$AB1870="","",Sync!$AB1870))</f>
        <v/>
      </c>
      <c r="D1870">
        <f>IF($A1870="","",IF(Sync!$AC1870="","",Sync!$AC1870))</f>
        <v/>
      </c>
      <c r="E1870">
        <f>IF($A1870="","",IF(Sync!$AD1870="","",Sync!$AD1870))</f>
        <v/>
      </c>
      <c r="F1870">
        <f>IF($A1870="","",IF(Sync!$AE1870="",0,Sync!$AE1870))</f>
        <v/>
      </c>
      <c r="G1870">
        <f>IF($A1870="","",IF(Sync!$AF1870="",0,Sync!$AF1870))</f>
        <v/>
      </c>
      <c r="H1870">
        <f>IF(OR($A1870="",ROUND($F1870+$G1870,2)=0),"",$F1870+$G1870)</f>
        <v/>
      </c>
      <c r="I1870">
        <f>IF($H1870="","",IF(ROUND($F1870,2)&gt;0,$A1870,IF($D1870="شخصی قاسم","شخصی قاسم",IF($D1870="هزینه","هزینه: "&amp;IF($E1870="","متفرقه",$E1870),IF($C1870="پاس چک","چک پرداختی",IF(OR($B1870="",COUNTIF(AcctCodesA,$B1870)=0),"متفرقه",$B1870))))))</f>
        <v/>
      </c>
      <c r="J1870">
        <f>IF($H1870="","",IF(ROUND($F1870,2)&gt;0,IF($D1870="شخصی قاسم","شخصی قاسم",IF($D1870="هزینه","هزینه: "&amp;IF($E1870="","متفرقه",$E1870),IF(OR($B1870="",COUNTIF(AcctCodesA,$B1870)=0),"متفرقه",$B1870))),$A1870))</f>
        <v/>
      </c>
      <c r="K1870">
        <f>IF($A1870="","",IF(AND($B1870&lt;&gt;"",COUNTIF(AcctCodesA,$B1870)=0),"کد طرف در INFO تعریف نشده",IF(AND($D1870="هزینه",$E1870=""),"هزینه بدون زیرگروه",IF(AND($C1870="پاس چک",OR(Sync!$AJ1870="",COUNTIF(IssueNosA,Sync!$AJ1870)=0)),"شماره چک پاس‌شده معتبر نیست",""))))</f>
        <v/>
      </c>
      <c r="V1870">
        <f>IF($K1870="","",IF(ISNUMBER(Sync!$AK1870),Sync!$AK1870,LEFT(Sync!$AK1870,4)&amp;MID(Sync!$AK1870,6,2)&amp;RIGHT(Sync!$AK1870,2))&amp;"|"&amp;"4"&amp;RIGHT("00000"&amp;1865,5))</f>
        <v/>
      </c>
      <c r="W1870">
        <f>IF($V1870="",0,COUNTIFS($V$6:$V$2005,"&lt;"&amp;$V1870)-COUNTIFS($V$6:$V$2005,"&lt;"&amp;$V1870,$K$6:$K$2005,"")+1)</f>
        <v/>
      </c>
    </row>
    <row r="1871">
      <c r="A1871">
        <f>IF(Sync!$Z1871="","",LEFT(UPPER(TRIM(Sync!$Z1871)),6))</f>
        <v/>
      </c>
      <c r="B1871">
        <f>IF($A1871="","",IF(Sync!$AA1871="","",Sync!$AA1871))</f>
        <v/>
      </c>
      <c r="C1871">
        <f>IF($A1871="","",IF(Sync!$AB1871="","",Sync!$AB1871))</f>
        <v/>
      </c>
      <c r="D1871">
        <f>IF($A1871="","",IF(Sync!$AC1871="","",Sync!$AC1871))</f>
        <v/>
      </c>
      <c r="E1871">
        <f>IF($A1871="","",IF(Sync!$AD1871="","",Sync!$AD1871))</f>
        <v/>
      </c>
      <c r="F1871">
        <f>IF($A1871="","",IF(Sync!$AE1871="",0,Sync!$AE1871))</f>
        <v/>
      </c>
      <c r="G1871">
        <f>IF($A1871="","",IF(Sync!$AF1871="",0,Sync!$AF1871))</f>
        <v/>
      </c>
      <c r="H1871">
        <f>IF(OR($A1871="",ROUND($F1871+$G1871,2)=0),"",$F1871+$G1871)</f>
        <v/>
      </c>
      <c r="I1871">
        <f>IF($H1871="","",IF(ROUND($F1871,2)&gt;0,$A1871,IF($D1871="شخصی قاسم","شخصی قاسم",IF($D1871="هزینه","هزینه: "&amp;IF($E1871="","متفرقه",$E1871),IF($C1871="پاس چک","چک پرداختی",IF(OR($B1871="",COUNTIF(AcctCodesA,$B1871)=0),"متفرقه",$B1871))))))</f>
        <v/>
      </c>
      <c r="J1871">
        <f>IF($H1871="","",IF(ROUND($F1871,2)&gt;0,IF($D1871="شخصی قاسم","شخصی قاسم",IF($D1871="هزینه","هزینه: "&amp;IF($E1871="","متفرقه",$E1871),IF(OR($B1871="",COUNTIF(AcctCodesA,$B1871)=0),"متفرقه",$B1871))),$A1871))</f>
        <v/>
      </c>
      <c r="K1871">
        <f>IF($A1871="","",IF(AND($B1871&lt;&gt;"",COUNTIF(AcctCodesA,$B1871)=0),"کد طرف در INFO تعریف نشده",IF(AND($D1871="هزینه",$E1871=""),"هزینه بدون زیرگروه",IF(AND($C1871="پاس چک",OR(Sync!$AJ1871="",COUNTIF(IssueNosA,Sync!$AJ1871)=0)),"شماره چک پاس‌شده معتبر نیست",""))))</f>
        <v/>
      </c>
      <c r="V1871">
        <f>IF($K1871="","",IF(ISNUMBER(Sync!$AK1871),Sync!$AK1871,LEFT(Sync!$AK1871,4)&amp;MID(Sync!$AK1871,6,2)&amp;RIGHT(Sync!$AK1871,2))&amp;"|"&amp;"4"&amp;RIGHT("00000"&amp;1866,5))</f>
        <v/>
      </c>
      <c r="W1871">
        <f>IF($V1871="",0,COUNTIFS($V$6:$V$2005,"&lt;"&amp;$V1871)-COUNTIFS($V$6:$V$2005,"&lt;"&amp;$V1871,$K$6:$K$2005,"")+1)</f>
        <v/>
      </c>
    </row>
    <row r="1872">
      <c r="A1872">
        <f>IF(Sync!$Z1872="","",LEFT(UPPER(TRIM(Sync!$Z1872)),6))</f>
        <v/>
      </c>
      <c r="B1872">
        <f>IF($A1872="","",IF(Sync!$AA1872="","",Sync!$AA1872))</f>
        <v/>
      </c>
      <c r="C1872">
        <f>IF($A1872="","",IF(Sync!$AB1872="","",Sync!$AB1872))</f>
        <v/>
      </c>
      <c r="D1872">
        <f>IF($A1872="","",IF(Sync!$AC1872="","",Sync!$AC1872))</f>
        <v/>
      </c>
      <c r="E1872">
        <f>IF($A1872="","",IF(Sync!$AD1872="","",Sync!$AD1872))</f>
        <v/>
      </c>
      <c r="F1872">
        <f>IF($A1872="","",IF(Sync!$AE1872="",0,Sync!$AE1872))</f>
        <v/>
      </c>
      <c r="G1872">
        <f>IF($A1872="","",IF(Sync!$AF1872="",0,Sync!$AF1872))</f>
        <v/>
      </c>
      <c r="H1872">
        <f>IF(OR($A1872="",ROUND($F1872+$G1872,2)=0),"",$F1872+$G1872)</f>
        <v/>
      </c>
      <c r="I1872">
        <f>IF($H1872="","",IF(ROUND($F1872,2)&gt;0,$A1872,IF($D1872="شخصی قاسم","شخصی قاسم",IF($D1872="هزینه","هزینه: "&amp;IF($E1872="","متفرقه",$E1872),IF($C1872="پاس چک","چک پرداختی",IF(OR($B1872="",COUNTIF(AcctCodesA,$B1872)=0),"متفرقه",$B1872))))))</f>
        <v/>
      </c>
      <c r="J1872">
        <f>IF($H1872="","",IF(ROUND($F1872,2)&gt;0,IF($D1872="شخصی قاسم","شخصی قاسم",IF($D1872="هزینه","هزینه: "&amp;IF($E1872="","متفرقه",$E1872),IF(OR($B1872="",COUNTIF(AcctCodesA,$B1872)=0),"متفرقه",$B1872))),$A1872))</f>
        <v/>
      </c>
      <c r="K1872">
        <f>IF($A1872="","",IF(AND($B1872&lt;&gt;"",COUNTIF(AcctCodesA,$B1872)=0),"کد طرف در INFO تعریف نشده",IF(AND($D1872="هزینه",$E1872=""),"هزینه بدون زیرگروه",IF(AND($C1872="پاس چک",OR(Sync!$AJ1872="",COUNTIF(IssueNosA,Sync!$AJ1872)=0)),"شماره چک پاس‌شده معتبر نیست",""))))</f>
        <v/>
      </c>
      <c r="V1872">
        <f>IF($K1872="","",IF(ISNUMBER(Sync!$AK1872),Sync!$AK1872,LEFT(Sync!$AK1872,4)&amp;MID(Sync!$AK1872,6,2)&amp;RIGHT(Sync!$AK1872,2))&amp;"|"&amp;"4"&amp;RIGHT("00000"&amp;1867,5))</f>
        <v/>
      </c>
      <c r="W1872">
        <f>IF($V1872="",0,COUNTIFS($V$6:$V$2005,"&lt;"&amp;$V1872)-COUNTIFS($V$6:$V$2005,"&lt;"&amp;$V1872,$K$6:$K$2005,"")+1)</f>
        <v/>
      </c>
    </row>
    <row r="1873">
      <c r="A1873">
        <f>IF(Sync!$Z1873="","",LEFT(UPPER(TRIM(Sync!$Z1873)),6))</f>
        <v/>
      </c>
      <c r="B1873">
        <f>IF($A1873="","",IF(Sync!$AA1873="","",Sync!$AA1873))</f>
        <v/>
      </c>
      <c r="C1873">
        <f>IF($A1873="","",IF(Sync!$AB1873="","",Sync!$AB1873))</f>
        <v/>
      </c>
      <c r="D1873">
        <f>IF($A1873="","",IF(Sync!$AC1873="","",Sync!$AC1873))</f>
        <v/>
      </c>
      <c r="E1873">
        <f>IF($A1873="","",IF(Sync!$AD1873="","",Sync!$AD1873))</f>
        <v/>
      </c>
      <c r="F1873">
        <f>IF($A1873="","",IF(Sync!$AE1873="",0,Sync!$AE1873))</f>
        <v/>
      </c>
      <c r="G1873">
        <f>IF($A1873="","",IF(Sync!$AF1873="",0,Sync!$AF1873))</f>
        <v/>
      </c>
      <c r="H1873">
        <f>IF(OR($A1873="",ROUND($F1873+$G1873,2)=0),"",$F1873+$G1873)</f>
        <v/>
      </c>
      <c r="I1873">
        <f>IF($H1873="","",IF(ROUND($F1873,2)&gt;0,$A1873,IF($D1873="شخصی قاسم","شخصی قاسم",IF($D1873="هزینه","هزینه: "&amp;IF($E1873="","متفرقه",$E1873),IF($C1873="پاس چک","چک پرداختی",IF(OR($B1873="",COUNTIF(AcctCodesA,$B1873)=0),"متفرقه",$B1873))))))</f>
        <v/>
      </c>
      <c r="J1873">
        <f>IF($H1873="","",IF(ROUND($F1873,2)&gt;0,IF($D1873="شخصی قاسم","شخصی قاسم",IF($D1873="هزینه","هزینه: "&amp;IF($E1873="","متفرقه",$E1873),IF(OR($B1873="",COUNTIF(AcctCodesA,$B1873)=0),"متفرقه",$B1873))),$A1873))</f>
        <v/>
      </c>
      <c r="K1873">
        <f>IF($A1873="","",IF(AND($B1873&lt;&gt;"",COUNTIF(AcctCodesA,$B1873)=0),"کد طرف در INFO تعریف نشده",IF(AND($D1873="هزینه",$E1873=""),"هزینه بدون زیرگروه",IF(AND($C1873="پاس چک",OR(Sync!$AJ1873="",COUNTIF(IssueNosA,Sync!$AJ1873)=0)),"شماره چک پاس‌شده معتبر نیست",""))))</f>
        <v/>
      </c>
      <c r="V1873">
        <f>IF($K1873="","",IF(ISNUMBER(Sync!$AK1873),Sync!$AK1873,LEFT(Sync!$AK1873,4)&amp;MID(Sync!$AK1873,6,2)&amp;RIGHT(Sync!$AK1873,2))&amp;"|"&amp;"4"&amp;RIGHT("00000"&amp;1868,5))</f>
        <v/>
      </c>
      <c r="W1873">
        <f>IF($V1873="",0,COUNTIFS($V$6:$V$2005,"&lt;"&amp;$V1873)-COUNTIFS($V$6:$V$2005,"&lt;"&amp;$V1873,$K$6:$K$2005,"")+1)</f>
        <v/>
      </c>
    </row>
    <row r="1874">
      <c r="A1874">
        <f>IF(Sync!$Z1874="","",LEFT(UPPER(TRIM(Sync!$Z1874)),6))</f>
        <v/>
      </c>
      <c r="B1874">
        <f>IF($A1874="","",IF(Sync!$AA1874="","",Sync!$AA1874))</f>
        <v/>
      </c>
      <c r="C1874">
        <f>IF($A1874="","",IF(Sync!$AB1874="","",Sync!$AB1874))</f>
        <v/>
      </c>
      <c r="D1874">
        <f>IF($A1874="","",IF(Sync!$AC1874="","",Sync!$AC1874))</f>
        <v/>
      </c>
      <c r="E1874">
        <f>IF($A1874="","",IF(Sync!$AD1874="","",Sync!$AD1874))</f>
        <v/>
      </c>
      <c r="F1874">
        <f>IF($A1874="","",IF(Sync!$AE1874="",0,Sync!$AE1874))</f>
        <v/>
      </c>
      <c r="G1874">
        <f>IF($A1874="","",IF(Sync!$AF1874="",0,Sync!$AF1874))</f>
        <v/>
      </c>
      <c r="H1874">
        <f>IF(OR($A1874="",ROUND($F1874+$G1874,2)=0),"",$F1874+$G1874)</f>
        <v/>
      </c>
      <c r="I1874">
        <f>IF($H1874="","",IF(ROUND($F1874,2)&gt;0,$A1874,IF($D1874="شخصی قاسم","شخصی قاسم",IF($D1874="هزینه","هزینه: "&amp;IF($E1874="","متفرقه",$E1874),IF($C1874="پاس چک","چک پرداختی",IF(OR($B1874="",COUNTIF(AcctCodesA,$B1874)=0),"متفرقه",$B1874))))))</f>
        <v/>
      </c>
      <c r="J1874">
        <f>IF($H1874="","",IF(ROUND($F1874,2)&gt;0,IF($D1874="شخصی قاسم","شخصی قاسم",IF($D1874="هزینه","هزینه: "&amp;IF($E1874="","متفرقه",$E1874),IF(OR($B1874="",COUNTIF(AcctCodesA,$B1874)=0),"متفرقه",$B1874))),$A1874))</f>
        <v/>
      </c>
      <c r="K1874">
        <f>IF($A1874="","",IF(AND($B1874&lt;&gt;"",COUNTIF(AcctCodesA,$B1874)=0),"کد طرف در INFO تعریف نشده",IF(AND($D1874="هزینه",$E1874=""),"هزینه بدون زیرگروه",IF(AND($C1874="پاس چک",OR(Sync!$AJ1874="",COUNTIF(IssueNosA,Sync!$AJ1874)=0)),"شماره چک پاس‌شده معتبر نیست",""))))</f>
        <v/>
      </c>
      <c r="V1874">
        <f>IF($K1874="","",IF(ISNUMBER(Sync!$AK1874),Sync!$AK1874,LEFT(Sync!$AK1874,4)&amp;MID(Sync!$AK1874,6,2)&amp;RIGHT(Sync!$AK1874,2))&amp;"|"&amp;"4"&amp;RIGHT("00000"&amp;1869,5))</f>
        <v/>
      </c>
      <c r="W1874">
        <f>IF($V1874="",0,COUNTIFS($V$6:$V$2005,"&lt;"&amp;$V1874)-COUNTIFS($V$6:$V$2005,"&lt;"&amp;$V1874,$K$6:$K$2005,"")+1)</f>
        <v/>
      </c>
    </row>
    <row r="1875">
      <c r="A1875">
        <f>IF(Sync!$Z1875="","",LEFT(UPPER(TRIM(Sync!$Z1875)),6))</f>
        <v/>
      </c>
      <c r="B1875">
        <f>IF($A1875="","",IF(Sync!$AA1875="","",Sync!$AA1875))</f>
        <v/>
      </c>
      <c r="C1875">
        <f>IF($A1875="","",IF(Sync!$AB1875="","",Sync!$AB1875))</f>
        <v/>
      </c>
      <c r="D1875">
        <f>IF($A1875="","",IF(Sync!$AC1875="","",Sync!$AC1875))</f>
        <v/>
      </c>
      <c r="E1875">
        <f>IF($A1875="","",IF(Sync!$AD1875="","",Sync!$AD1875))</f>
        <v/>
      </c>
      <c r="F1875">
        <f>IF($A1875="","",IF(Sync!$AE1875="",0,Sync!$AE1875))</f>
        <v/>
      </c>
      <c r="G1875">
        <f>IF($A1875="","",IF(Sync!$AF1875="",0,Sync!$AF1875))</f>
        <v/>
      </c>
      <c r="H1875">
        <f>IF(OR($A1875="",ROUND($F1875+$G1875,2)=0),"",$F1875+$G1875)</f>
        <v/>
      </c>
      <c r="I1875">
        <f>IF($H1875="","",IF(ROUND($F1875,2)&gt;0,$A1875,IF($D1875="شخصی قاسم","شخصی قاسم",IF($D1875="هزینه","هزینه: "&amp;IF($E1875="","متفرقه",$E1875),IF($C1875="پاس چک","چک پرداختی",IF(OR($B1875="",COUNTIF(AcctCodesA,$B1875)=0),"متفرقه",$B1875))))))</f>
        <v/>
      </c>
      <c r="J1875">
        <f>IF($H1875="","",IF(ROUND($F1875,2)&gt;0,IF($D1875="شخصی قاسم","شخصی قاسم",IF($D1875="هزینه","هزینه: "&amp;IF($E1875="","متفرقه",$E1875),IF(OR($B1875="",COUNTIF(AcctCodesA,$B1875)=0),"متفرقه",$B1875))),$A1875))</f>
        <v/>
      </c>
      <c r="K1875">
        <f>IF($A1875="","",IF(AND($B1875&lt;&gt;"",COUNTIF(AcctCodesA,$B1875)=0),"کد طرف در INFO تعریف نشده",IF(AND($D1875="هزینه",$E1875=""),"هزینه بدون زیرگروه",IF(AND($C1875="پاس چک",OR(Sync!$AJ1875="",COUNTIF(IssueNosA,Sync!$AJ1875)=0)),"شماره چک پاس‌شده معتبر نیست",""))))</f>
        <v/>
      </c>
      <c r="V1875">
        <f>IF($K1875="","",IF(ISNUMBER(Sync!$AK1875),Sync!$AK1875,LEFT(Sync!$AK1875,4)&amp;MID(Sync!$AK1875,6,2)&amp;RIGHT(Sync!$AK1875,2))&amp;"|"&amp;"4"&amp;RIGHT("00000"&amp;1870,5))</f>
        <v/>
      </c>
      <c r="W1875">
        <f>IF($V1875="",0,COUNTIFS($V$6:$V$2005,"&lt;"&amp;$V1875)-COUNTIFS($V$6:$V$2005,"&lt;"&amp;$V1875,$K$6:$K$2005,"")+1)</f>
        <v/>
      </c>
    </row>
    <row r="1876">
      <c r="A1876">
        <f>IF(Sync!$Z1876="","",LEFT(UPPER(TRIM(Sync!$Z1876)),6))</f>
        <v/>
      </c>
      <c r="B1876">
        <f>IF($A1876="","",IF(Sync!$AA1876="","",Sync!$AA1876))</f>
        <v/>
      </c>
      <c r="C1876">
        <f>IF($A1876="","",IF(Sync!$AB1876="","",Sync!$AB1876))</f>
        <v/>
      </c>
      <c r="D1876">
        <f>IF($A1876="","",IF(Sync!$AC1876="","",Sync!$AC1876))</f>
        <v/>
      </c>
      <c r="E1876">
        <f>IF($A1876="","",IF(Sync!$AD1876="","",Sync!$AD1876))</f>
        <v/>
      </c>
      <c r="F1876">
        <f>IF($A1876="","",IF(Sync!$AE1876="",0,Sync!$AE1876))</f>
        <v/>
      </c>
      <c r="G1876">
        <f>IF($A1876="","",IF(Sync!$AF1876="",0,Sync!$AF1876))</f>
        <v/>
      </c>
      <c r="H1876">
        <f>IF(OR($A1876="",ROUND($F1876+$G1876,2)=0),"",$F1876+$G1876)</f>
        <v/>
      </c>
      <c r="I1876">
        <f>IF($H1876="","",IF(ROUND($F1876,2)&gt;0,$A1876,IF($D1876="شخصی قاسم","شخصی قاسم",IF($D1876="هزینه","هزینه: "&amp;IF($E1876="","متفرقه",$E1876),IF($C1876="پاس چک","چک پرداختی",IF(OR($B1876="",COUNTIF(AcctCodesA,$B1876)=0),"متفرقه",$B1876))))))</f>
        <v/>
      </c>
      <c r="J1876">
        <f>IF($H1876="","",IF(ROUND($F1876,2)&gt;0,IF($D1876="شخصی قاسم","شخصی قاسم",IF($D1876="هزینه","هزینه: "&amp;IF($E1876="","متفرقه",$E1876),IF(OR($B1876="",COUNTIF(AcctCodesA,$B1876)=0),"متفرقه",$B1876))),$A1876))</f>
        <v/>
      </c>
      <c r="K1876">
        <f>IF($A1876="","",IF(AND($B1876&lt;&gt;"",COUNTIF(AcctCodesA,$B1876)=0),"کد طرف در INFO تعریف نشده",IF(AND($D1876="هزینه",$E1876=""),"هزینه بدون زیرگروه",IF(AND($C1876="پاس چک",OR(Sync!$AJ1876="",COUNTIF(IssueNosA,Sync!$AJ1876)=0)),"شماره چک پاس‌شده معتبر نیست",""))))</f>
        <v/>
      </c>
      <c r="V1876">
        <f>IF($K1876="","",IF(ISNUMBER(Sync!$AK1876),Sync!$AK1876,LEFT(Sync!$AK1876,4)&amp;MID(Sync!$AK1876,6,2)&amp;RIGHT(Sync!$AK1876,2))&amp;"|"&amp;"4"&amp;RIGHT("00000"&amp;1871,5))</f>
        <v/>
      </c>
      <c r="W1876">
        <f>IF($V1876="",0,COUNTIFS($V$6:$V$2005,"&lt;"&amp;$V1876)-COUNTIFS($V$6:$V$2005,"&lt;"&amp;$V1876,$K$6:$K$2005,"")+1)</f>
        <v/>
      </c>
    </row>
    <row r="1877">
      <c r="A1877">
        <f>IF(Sync!$Z1877="","",LEFT(UPPER(TRIM(Sync!$Z1877)),6))</f>
        <v/>
      </c>
      <c r="B1877">
        <f>IF($A1877="","",IF(Sync!$AA1877="","",Sync!$AA1877))</f>
        <v/>
      </c>
      <c r="C1877">
        <f>IF($A1877="","",IF(Sync!$AB1877="","",Sync!$AB1877))</f>
        <v/>
      </c>
      <c r="D1877">
        <f>IF($A1877="","",IF(Sync!$AC1877="","",Sync!$AC1877))</f>
        <v/>
      </c>
      <c r="E1877">
        <f>IF($A1877="","",IF(Sync!$AD1877="","",Sync!$AD1877))</f>
        <v/>
      </c>
      <c r="F1877">
        <f>IF($A1877="","",IF(Sync!$AE1877="",0,Sync!$AE1877))</f>
        <v/>
      </c>
      <c r="G1877">
        <f>IF($A1877="","",IF(Sync!$AF1877="",0,Sync!$AF1877))</f>
        <v/>
      </c>
      <c r="H1877">
        <f>IF(OR($A1877="",ROUND($F1877+$G1877,2)=0),"",$F1877+$G1877)</f>
        <v/>
      </c>
      <c r="I1877">
        <f>IF($H1877="","",IF(ROUND($F1877,2)&gt;0,$A1877,IF($D1877="شخصی قاسم","شخصی قاسم",IF($D1877="هزینه","هزینه: "&amp;IF($E1877="","متفرقه",$E1877),IF($C1877="پاس چک","چک پرداختی",IF(OR($B1877="",COUNTIF(AcctCodesA,$B1877)=0),"متفرقه",$B1877))))))</f>
        <v/>
      </c>
      <c r="J1877">
        <f>IF($H1877="","",IF(ROUND($F1877,2)&gt;0,IF($D1877="شخصی قاسم","شخصی قاسم",IF($D1877="هزینه","هزینه: "&amp;IF($E1877="","متفرقه",$E1877),IF(OR($B1877="",COUNTIF(AcctCodesA,$B1877)=0),"متفرقه",$B1877))),$A1877))</f>
        <v/>
      </c>
      <c r="K1877">
        <f>IF($A1877="","",IF(AND($B1877&lt;&gt;"",COUNTIF(AcctCodesA,$B1877)=0),"کد طرف در INFO تعریف نشده",IF(AND($D1877="هزینه",$E1877=""),"هزینه بدون زیرگروه",IF(AND($C1877="پاس چک",OR(Sync!$AJ1877="",COUNTIF(IssueNosA,Sync!$AJ1877)=0)),"شماره چک پاس‌شده معتبر نیست",""))))</f>
        <v/>
      </c>
      <c r="V1877">
        <f>IF($K1877="","",IF(ISNUMBER(Sync!$AK1877),Sync!$AK1877,LEFT(Sync!$AK1877,4)&amp;MID(Sync!$AK1877,6,2)&amp;RIGHT(Sync!$AK1877,2))&amp;"|"&amp;"4"&amp;RIGHT("00000"&amp;1872,5))</f>
        <v/>
      </c>
      <c r="W1877">
        <f>IF($V1877="",0,COUNTIFS($V$6:$V$2005,"&lt;"&amp;$V1877)-COUNTIFS($V$6:$V$2005,"&lt;"&amp;$V1877,$K$6:$K$2005,"")+1)</f>
        <v/>
      </c>
    </row>
    <row r="1878">
      <c r="A1878">
        <f>IF(Sync!$Z1878="","",LEFT(UPPER(TRIM(Sync!$Z1878)),6))</f>
        <v/>
      </c>
      <c r="B1878">
        <f>IF($A1878="","",IF(Sync!$AA1878="","",Sync!$AA1878))</f>
        <v/>
      </c>
      <c r="C1878">
        <f>IF($A1878="","",IF(Sync!$AB1878="","",Sync!$AB1878))</f>
        <v/>
      </c>
      <c r="D1878">
        <f>IF($A1878="","",IF(Sync!$AC1878="","",Sync!$AC1878))</f>
        <v/>
      </c>
      <c r="E1878">
        <f>IF($A1878="","",IF(Sync!$AD1878="","",Sync!$AD1878))</f>
        <v/>
      </c>
      <c r="F1878">
        <f>IF($A1878="","",IF(Sync!$AE1878="",0,Sync!$AE1878))</f>
        <v/>
      </c>
      <c r="G1878">
        <f>IF($A1878="","",IF(Sync!$AF1878="",0,Sync!$AF1878))</f>
        <v/>
      </c>
      <c r="H1878">
        <f>IF(OR($A1878="",ROUND($F1878+$G1878,2)=0),"",$F1878+$G1878)</f>
        <v/>
      </c>
      <c r="I1878">
        <f>IF($H1878="","",IF(ROUND($F1878,2)&gt;0,$A1878,IF($D1878="شخصی قاسم","شخصی قاسم",IF($D1878="هزینه","هزینه: "&amp;IF($E1878="","متفرقه",$E1878),IF($C1878="پاس چک","چک پرداختی",IF(OR($B1878="",COUNTIF(AcctCodesA,$B1878)=0),"متفرقه",$B1878))))))</f>
        <v/>
      </c>
      <c r="J1878">
        <f>IF($H1878="","",IF(ROUND($F1878,2)&gt;0,IF($D1878="شخصی قاسم","شخصی قاسم",IF($D1878="هزینه","هزینه: "&amp;IF($E1878="","متفرقه",$E1878),IF(OR($B1878="",COUNTIF(AcctCodesA,$B1878)=0),"متفرقه",$B1878))),$A1878))</f>
        <v/>
      </c>
      <c r="K1878">
        <f>IF($A1878="","",IF(AND($B1878&lt;&gt;"",COUNTIF(AcctCodesA,$B1878)=0),"کد طرف در INFO تعریف نشده",IF(AND($D1878="هزینه",$E1878=""),"هزینه بدون زیرگروه",IF(AND($C1878="پاس چک",OR(Sync!$AJ1878="",COUNTIF(IssueNosA,Sync!$AJ1878)=0)),"شماره چک پاس‌شده معتبر نیست",""))))</f>
        <v/>
      </c>
      <c r="V1878">
        <f>IF($K1878="","",IF(ISNUMBER(Sync!$AK1878),Sync!$AK1878,LEFT(Sync!$AK1878,4)&amp;MID(Sync!$AK1878,6,2)&amp;RIGHT(Sync!$AK1878,2))&amp;"|"&amp;"4"&amp;RIGHT("00000"&amp;1873,5))</f>
        <v/>
      </c>
      <c r="W1878">
        <f>IF($V1878="",0,COUNTIFS($V$6:$V$2005,"&lt;"&amp;$V1878)-COUNTIFS($V$6:$V$2005,"&lt;"&amp;$V1878,$K$6:$K$2005,"")+1)</f>
        <v/>
      </c>
    </row>
    <row r="1879">
      <c r="A1879">
        <f>IF(Sync!$Z1879="","",LEFT(UPPER(TRIM(Sync!$Z1879)),6))</f>
        <v/>
      </c>
      <c r="B1879">
        <f>IF($A1879="","",IF(Sync!$AA1879="","",Sync!$AA1879))</f>
        <v/>
      </c>
      <c r="C1879">
        <f>IF($A1879="","",IF(Sync!$AB1879="","",Sync!$AB1879))</f>
        <v/>
      </c>
      <c r="D1879">
        <f>IF($A1879="","",IF(Sync!$AC1879="","",Sync!$AC1879))</f>
        <v/>
      </c>
      <c r="E1879">
        <f>IF($A1879="","",IF(Sync!$AD1879="","",Sync!$AD1879))</f>
        <v/>
      </c>
      <c r="F1879">
        <f>IF($A1879="","",IF(Sync!$AE1879="",0,Sync!$AE1879))</f>
        <v/>
      </c>
      <c r="G1879">
        <f>IF($A1879="","",IF(Sync!$AF1879="",0,Sync!$AF1879))</f>
        <v/>
      </c>
      <c r="H1879">
        <f>IF(OR($A1879="",ROUND($F1879+$G1879,2)=0),"",$F1879+$G1879)</f>
        <v/>
      </c>
      <c r="I1879">
        <f>IF($H1879="","",IF(ROUND($F1879,2)&gt;0,$A1879,IF($D1879="شخصی قاسم","شخصی قاسم",IF($D1879="هزینه","هزینه: "&amp;IF($E1879="","متفرقه",$E1879),IF($C1879="پاس چک","چک پرداختی",IF(OR($B1879="",COUNTIF(AcctCodesA,$B1879)=0),"متفرقه",$B1879))))))</f>
        <v/>
      </c>
      <c r="J1879">
        <f>IF($H1879="","",IF(ROUND($F1879,2)&gt;0,IF($D1879="شخصی قاسم","شخصی قاسم",IF($D1879="هزینه","هزینه: "&amp;IF($E1879="","متفرقه",$E1879),IF(OR($B1879="",COUNTIF(AcctCodesA,$B1879)=0),"متفرقه",$B1879))),$A1879))</f>
        <v/>
      </c>
      <c r="K1879">
        <f>IF($A1879="","",IF(AND($B1879&lt;&gt;"",COUNTIF(AcctCodesA,$B1879)=0),"کد طرف در INFO تعریف نشده",IF(AND($D1879="هزینه",$E1879=""),"هزینه بدون زیرگروه",IF(AND($C1879="پاس چک",OR(Sync!$AJ1879="",COUNTIF(IssueNosA,Sync!$AJ1879)=0)),"شماره چک پاس‌شده معتبر نیست",""))))</f>
        <v/>
      </c>
      <c r="V1879">
        <f>IF($K1879="","",IF(ISNUMBER(Sync!$AK1879),Sync!$AK1879,LEFT(Sync!$AK1879,4)&amp;MID(Sync!$AK1879,6,2)&amp;RIGHT(Sync!$AK1879,2))&amp;"|"&amp;"4"&amp;RIGHT("00000"&amp;1874,5))</f>
        <v/>
      </c>
      <c r="W1879">
        <f>IF($V1879="",0,COUNTIFS($V$6:$V$2005,"&lt;"&amp;$V1879)-COUNTIFS($V$6:$V$2005,"&lt;"&amp;$V1879,$K$6:$K$2005,"")+1)</f>
        <v/>
      </c>
    </row>
    <row r="1880">
      <c r="A1880">
        <f>IF(Sync!$Z1880="","",LEFT(UPPER(TRIM(Sync!$Z1880)),6))</f>
        <v/>
      </c>
      <c r="B1880">
        <f>IF($A1880="","",IF(Sync!$AA1880="","",Sync!$AA1880))</f>
        <v/>
      </c>
      <c r="C1880">
        <f>IF($A1880="","",IF(Sync!$AB1880="","",Sync!$AB1880))</f>
        <v/>
      </c>
      <c r="D1880">
        <f>IF($A1880="","",IF(Sync!$AC1880="","",Sync!$AC1880))</f>
        <v/>
      </c>
      <c r="E1880">
        <f>IF($A1880="","",IF(Sync!$AD1880="","",Sync!$AD1880))</f>
        <v/>
      </c>
      <c r="F1880">
        <f>IF($A1880="","",IF(Sync!$AE1880="",0,Sync!$AE1880))</f>
        <v/>
      </c>
      <c r="G1880">
        <f>IF($A1880="","",IF(Sync!$AF1880="",0,Sync!$AF1880))</f>
        <v/>
      </c>
      <c r="H1880">
        <f>IF(OR($A1880="",ROUND($F1880+$G1880,2)=0),"",$F1880+$G1880)</f>
        <v/>
      </c>
      <c r="I1880">
        <f>IF($H1880="","",IF(ROUND($F1880,2)&gt;0,$A1880,IF($D1880="شخصی قاسم","شخصی قاسم",IF($D1880="هزینه","هزینه: "&amp;IF($E1880="","متفرقه",$E1880),IF($C1880="پاس چک","چک پرداختی",IF(OR($B1880="",COUNTIF(AcctCodesA,$B1880)=0),"متفرقه",$B1880))))))</f>
        <v/>
      </c>
      <c r="J1880">
        <f>IF($H1880="","",IF(ROUND($F1880,2)&gt;0,IF($D1880="شخصی قاسم","شخصی قاسم",IF($D1880="هزینه","هزینه: "&amp;IF($E1880="","متفرقه",$E1880),IF(OR($B1880="",COUNTIF(AcctCodesA,$B1880)=0),"متفرقه",$B1880))),$A1880))</f>
        <v/>
      </c>
      <c r="K1880">
        <f>IF($A1880="","",IF(AND($B1880&lt;&gt;"",COUNTIF(AcctCodesA,$B1880)=0),"کد طرف در INFO تعریف نشده",IF(AND($D1880="هزینه",$E1880=""),"هزینه بدون زیرگروه",IF(AND($C1880="پاس چک",OR(Sync!$AJ1880="",COUNTIF(IssueNosA,Sync!$AJ1880)=0)),"شماره چک پاس‌شده معتبر نیست",""))))</f>
        <v/>
      </c>
      <c r="V1880">
        <f>IF($K1880="","",IF(ISNUMBER(Sync!$AK1880),Sync!$AK1880,LEFT(Sync!$AK1880,4)&amp;MID(Sync!$AK1880,6,2)&amp;RIGHT(Sync!$AK1880,2))&amp;"|"&amp;"4"&amp;RIGHT("00000"&amp;1875,5))</f>
        <v/>
      </c>
      <c r="W1880">
        <f>IF($V1880="",0,COUNTIFS($V$6:$V$2005,"&lt;"&amp;$V1880)-COUNTIFS($V$6:$V$2005,"&lt;"&amp;$V1880,$K$6:$K$2005,"")+1)</f>
        <v/>
      </c>
    </row>
    <row r="1881">
      <c r="A1881">
        <f>IF(Sync!$Z1881="","",LEFT(UPPER(TRIM(Sync!$Z1881)),6))</f>
        <v/>
      </c>
      <c r="B1881">
        <f>IF($A1881="","",IF(Sync!$AA1881="","",Sync!$AA1881))</f>
        <v/>
      </c>
      <c r="C1881">
        <f>IF($A1881="","",IF(Sync!$AB1881="","",Sync!$AB1881))</f>
        <v/>
      </c>
      <c r="D1881">
        <f>IF($A1881="","",IF(Sync!$AC1881="","",Sync!$AC1881))</f>
        <v/>
      </c>
      <c r="E1881">
        <f>IF($A1881="","",IF(Sync!$AD1881="","",Sync!$AD1881))</f>
        <v/>
      </c>
      <c r="F1881">
        <f>IF($A1881="","",IF(Sync!$AE1881="",0,Sync!$AE1881))</f>
        <v/>
      </c>
      <c r="G1881">
        <f>IF($A1881="","",IF(Sync!$AF1881="",0,Sync!$AF1881))</f>
        <v/>
      </c>
      <c r="H1881">
        <f>IF(OR($A1881="",ROUND($F1881+$G1881,2)=0),"",$F1881+$G1881)</f>
        <v/>
      </c>
      <c r="I1881">
        <f>IF($H1881="","",IF(ROUND($F1881,2)&gt;0,$A1881,IF($D1881="شخصی قاسم","شخصی قاسم",IF($D1881="هزینه","هزینه: "&amp;IF($E1881="","متفرقه",$E1881),IF($C1881="پاس چک","چک پرداختی",IF(OR($B1881="",COUNTIF(AcctCodesA,$B1881)=0),"متفرقه",$B1881))))))</f>
        <v/>
      </c>
      <c r="J1881">
        <f>IF($H1881="","",IF(ROUND($F1881,2)&gt;0,IF($D1881="شخصی قاسم","شخصی قاسم",IF($D1881="هزینه","هزینه: "&amp;IF($E1881="","متفرقه",$E1881),IF(OR($B1881="",COUNTIF(AcctCodesA,$B1881)=0),"متفرقه",$B1881))),$A1881))</f>
        <v/>
      </c>
      <c r="K1881">
        <f>IF($A1881="","",IF(AND($B1881&lt;&gt;"",COUNTIF(AcctCodesA,$B1881)=0),"کد طرف در INFO تعریف نشده",IF(AND($D1881="هزینه",$E1881=""),"هزینه بدون زیرگروه",IF(AND($C1881="پاس چک",OR(Sync!$AJ1881="",COUNTIF(IssueNosA,Sync!$AJ1881)=0)),"شماره چک پاس‌شده معتبر نیست",""))))</f>
        <v/>
      </c>
      <c r="V1881">
        <f>IF($K1881="","",IF(ISNUMBER(Sync!$AK1881),Sync!$AK1881,LEFT(Sync!$AK1881,4)&amp;MID(Sync!$AK1881,6,2)&amp;RIGHT(Sync!$AK1881,2))&amp;"|"&amp;"4"&amp;RIGHT("00000"&amp;1876,5))</f>
        <v/>
      </c>
      <c r="W1881">
        <f>IF($V1881="",0,COUNTIFS($V$6:$V$2005,"&lt;"&amp;$V1881)-COUNTIFS($V$6:$V$2005,"&lt;"&amp;$V1881,$K$6:$K$2005,"")+1)</f>
        <v/>
      </c>
    </row>
    <row r="1882">
      <c r="A1882">
        <f>IF(Sync!$Z1882="","",LEFT(UPPER(TRIM(Sync!$Z1882)),6))</f>
        <v/>
      </c>
      <c r="B1882">
        <f>IF($A1882="","",IF(Sync!$AA1882="","",Sync!$AA1882))</f>
        <v/>
      </c>
      <c r="C1882">
        <f>IF($A1882="","",IF(Sync!$AB1882="","",Sync!$AB1882))</f>
        <v/>
      </c>
      <c r="D1882">
        <f>IF($A1882="","",IF(Sync!$AC1882="","",Sync!$AC1882))</f>
        <v/>
      </c>
      <c r="E1882">
        <f>IF($A1882="","",IF(Sync!$AD1882="","",Sync!$AD1882))</f>
        <v/>
      </c>
      <c r="F1882">
        <f>IF($A1882="","",IF(Sync!$AE1882="",0,Sync!$AE1882))</f>
        <v/>
      </c>
      <c r="G1882">
        <f>IF($A1882="","",IF(Sync!$AF1882="",0,Sync!$AF1882))</f>
        <v/>
      </c>
      <c r="H1882">
        <f>IF(OR($A1882="",ROUND($F1882+$G1882,2)=0),"",$F1882+$G1882)</f>
        <v/>
      </c>
      <c r="I1882">
        <f>IF($H1882="","",IF(ROUND($F1882,2)&gt;0,$A1882,IF($D1882="شخصی قاسم","شخصی قاسم",IF($D1882="هزینه","هزینه: "&amp;IF($E1882="","متفرقه",$E1882),IF($C1882="پاس چک","چک پرداختی",IF(OR($B1882="",COUNTIF(AcctCodesA,$B1882)=0),"متفرقه",$B1882))))))</f>
        <v/>
      </c>
      <c r="J1882">
        <f>IF($H1882="","",IF(ROUND($F1882,2)&gt;0,IF($D1882="شخصی قاسم","شخصی قاسم",IF($D1882="هزینه","هزینه: "&amp;IF($E1882="","متفرقه",$E1882),IF(OR($B1882="",COUNTIF(AcctCodesA,$B1882)=0),"متفرقه",$B1882))),$A1882))</f>
        <v/>
      </c>
      <c r="K1882">
        <f>IF($A1882="","",IF(AND($B1882&lt;&gt;"",COUNTIF(AcctCodesA,$B1882)=0),"کد طرف در INFO تعریف نشده",IF(AND($D1882="هزینه",$E1882=""),"هزینه بدون زیرگروه",IF(AND($C1882="پاس چک",OR(Sync!$AJ1882="",COUNTIF(IssueNosA,Sync!$AJ1882)=0)),"شماره چک پاس‌شده معتبر نیست",""))))</f>
        <v/>
      </c>
      <c r="V1882">
        <f>IF($K1882="","",IF(ISNUMBER(Sync!$AK1882),Sync!$AK1882,LEFT(Sync!$AK1882,4)&amp;MID(Sync!$AK1882,6,2)&amp;RIGHT(Sync!$AK1882,2))&amp;"|"&amp;"4"&amp;RIGHT("00000"&amp;1877,5))</f>
        <v/>
      </c>
      <c r="W1882">
        <f>IF($V1882="",0,COUNTIFS($V$6:$V$2005,"&lt;"&amp;$V1882)-COUNTIFS($V$6:$V$2005,"&lt;"&amp;$V1882,$K$6:$K$2005,"")+1)</f>
        <v/>
      </c>
    </row>
    <row r="1883">
      <c r="A1883">
        <f>IF(Sync!$Z1883="","",LEFT(UPPER(TRIM(Sync!$Z1883)),6))</f>
        <v/>
      </c>
      <c r="B1883">
        <f>IF($A1883="","",IF(Sync!$AA1883="","",Sync!$AA1883))</f>
        <v/>
      </c>
      <c r="C1883">
        <f>IF($A1883="","",IF(Sync!$AB1883="","",Sync!$AB1883))</f>
        <v/>
      </c>
      <c r="D1883">
        <f>IF($A1883="","",IF(Sync!$AC1883="","",Sync!$AC1883))</f>
        <v/>
      </c>
      <c r="E1883">
        <f>IF($A1883="","",IF(Sync!$AD1883="","",Sync!$AD1883))</f>
        <v/>
      </c>
      <c r="F1883">
        <f>IF($A1883="","",IF(Sync!$AE1883="",0,Sync!$AE1883))</f>
        <v/>
      </c>
      <c r="G1883">
        <f>IF($A1883="","",IF(Sync!$AF1883="",0,Sync!$AF1883))</f>
        <v/>
      </c>
      <c r="H1883">
        <f>IF(OR($A1883="",ROUND($F1883+$G1883,2)=0),"",$F1883+$G1883)</f>
        <v/>
      </c>
      <c r="I1883">
        <f>IF($H1883="","",IF(ROUND($F1883,2)&gt;0,$A1883,IF($D1883="شخصی قاسم","شخصی قاسم",IF($D1883="هزینه","هزینه: "&amp;IF($E1883="","متفرقه",$E1883),IF($C1883="پاس چک","چک پرداختی",IF(OR($B1883="",COUNTIF(AcctCodesA,$B1883)=0),"متفرقه",$B1883))))))</f>
        <v/>
      </c>
      <c r="J1883">
        <f>IF($H1883="","",IF(ROUND($F1883,2)&gt;0,IF($D1883="شخصی قاسم","شخصی قاسم",IF($D1883="هزینه","هزینه: "&amp;IF($E1883="","متفرقه",$E1883),IF(OR($B1883="",COUNTIF(AcctCodesA,$B1883)=0),"متفرقه",$B1883))),$A1883))</f>
        <v/>
      </c>
      <c r="K1883">
        <f>IF($A1883="","",IF(AND($B1883&lt;&gt;"",COUNTIF(AcctCodesA,$B1883)=0),"کد طرف در INFO تعریف نشده",IF(AND($D1883="هزینه",$E1883=""),"هزینه بدون زیرگروه",IF(AND($C1883="پاس چک",OR(Sync!$AJ1883="",COUNTIF(IssueNosA,Sync!$AJ1883)=0)),"شماره چک پاس‌شده معتبر نیست",""))))</f>
        <v/>
      </c>
      <c r="V1883">
        <f>IF($K1883="","",IF(ISNUMBER(Sync!$AK1883),Sync!$AK1883,LEFT(Sync!$AK1883,4)&amp;MID(Sync!$AK1883,6,2)&amp;RIGHT(Sync!$AK1883,2))&amp;"|"&amp;"4"&amp;RIGHT("00000"&amp;1878,5))</f>
        <v/>
      </c>
      <c r="W1883">
        <f>IF($V1883="",0,COUNTIFS($V$6:$V$2005,"&lt;"&amp;$V1883)-COUNTIFS($V$6:$V$2005,"&lt;"&amp;$V1883,$K$6:$K$2005,"")+1)</f>
        <v/>
      </c>
    </row>
    <row r="1884">
      <c r="A1884">
        <f>IF(Sync!$Z1884="","",LEFT(UPPER(TRIM(Sync!$Z1884)),6))</f>
        <v/>
      </c>
      <c r="B1884">
        <f>IF($A1884="","",IF(Sync!$AA1884="","",Sync!$AA1884))</f>
        <v/>
      </c>
      <c r="C1884">
        <f>IF($A1884="","",IF(Sync!$AB1884="","",Sync!$AB1884))</f>
        <v/>
      </c>
      <c r="D1884">
        <f>IF($A1884="","",IF(Sync!$AC1884="","",Sync!$AC1884))</f>
        <v/>
      </c>
      <c r="E1884">
        <f>IF($A1884="","",IF(Sync!$AD1884="","",Sync!$AD1884))</f>
        <v/>
      </c>
      <c r="F1884">
        <f>IF($A1884="","",IF(Sync!$AE1884="",0,Sync!$AE1884))</f>
        <v/>
      </c>
      <c r="G1884">
        <f>IF($A1884="","",IF(Sync!$AF1884="",0,Sync!$AF1884))</f>
        <v/>
      </c>
      <c r="H1884">
        <f>IF(OR($A1884="",ROUND($F1884+$G1884,2)=0),"",$F1884+$G1884)</f>
        <v/>
      </c>
      <c r="I1884">
        <f>IF($H1884="","",IF(ROUND($F1884,2)&gt;0,$A1884,IF($D1884="شخصی قاسم","شخصی قاسم",IF($D1884="هزینه","هزینه: "&amp;IF($E1884="","متفرقه",$E1884),IF($C1884="پاس چک","چک پرداختی",IF(OR($B1884="",COUNTIF(AcctCodesA,$B1884)=0),"متفرقه",$B1884))))))</f>
        <v/>
      </c>
      <c r="J1884">
        <f>IF($H1884="","",IF(ROUND($F1884,2)&gt;0,IF($D1884="شخصی قاسم","شخصی قاسم",IF($D1884="هزینه","هزینه: "&amp;IF($E1884="","متفرقه",$E1884),IF(OR($B1884="",COUNTIF(AcctCodesA,$B1884)=0),"متفرقه",$B1884))),$A1884))</f>
        <v/>
      </c>
      <c r="K1884">
        <f>IF($A1884="","",IF(AND($B1884&lt;&gt;"",COUNTIF(AcctCodesA,$B1884)=0),"کد طرف در INFO تعریف نشده",IF(AND($D1884="هزینه",$E1884=""),"هزینه بدون زیرگروه",IF(AND($C1884="پاس چک",OR(Sync!$AJ1884="",COUNTIF(IssueNosA,Sync!$AJ1884)=0)),"شماره چک پاس‌شده معتبر نیست",""))))</f>
        <v/>
      </c>
      <c r="V1884">
        <f>IF($K1884="","",IF(ISNUMBER(Sync!$AK1884),Sync!$AK1884,LEFT(Sync!$AK1884,4)&amp;MID(Sync!$AK1884,6,2)&amp;RIGHT(Sync!$AK1884,2))&amp;"|"&amp;"4"&amp;RIGHT("00000"&amp;1879,5))</f>
        <v/>
      </c>
      <c r="W1884">
        <f>IF($V1884="",0,COUNTIFS($V$6:$V$2005,"&lt;"&amp;$V1884)-COUNTIFS($V$6:$V$2005,"&lt;"&amp;$V1884,$K$6:$K$2005,"")+1)</f>
        <v/>
      </c>
    </row>
    <row r="1885">
      <c r="A1885">
        <f>IF(Sync!$Z1885="","",LEFT(UPPER(TRIM(Sync!$Z1885)),6))</f>
        <v/>
      </c>
      <c r="B1885">
        <f>IF($A1885="","",IF(Sync!$AA1885="","",Sync!$AA1885))</f>
        <v/>
      </c>
      <c r="C1885">
        <f>IF($A1885="","",IF(Sync!$AB1885="","",Sync!$AB1885))</f>
        <v/>
      </c>
      <c r="D1885">
        <f>IF($A1885="","",IF(Sync!$AC1885="","",Sync!$AC1885))</f>
        <v/>
      </c>
      <c r="E1885">
        <f>IF($A1885="","",IF(Sync!$AD1885="","",Sync!$AD1885))</f>
        <v/>
      </c>
      <c r="F1885">
        <f>IF($A1885="","",IF(Sync!$AE1885="",0,Sync!$AE1885))</f>
        <v/>
      </c>
      <c r="G1885">
        <f>IF($A1885="","",IF(Sync!$AF1885="",0,Sync!$AF1885))</f>
        <v/>
      </c>
      <c r="H1885">
        <f>IF(OR($A1885="",ROUND($F1885+$G1885,2)=0),"",$F1885+$G1885)</f>
        <v/>
      </c>
      <c r="I1885">
        <f>IF($H1885="","",IF(ROUND($F1885,2)&gt;0,$A1885,IF($D1885="شخصی قاسم","شخصی قاسم",IF($D1885="هزینه","هزینه: "&amp;IF($E1885="","متفرقه",$E1885),IF($C1885="پاس چک","چک پرداختی",IF(OR($B1885="",COUNTIF(AcctCodesA,$B1885)=0),"متفرقه",$B1885))))))</f>
        <v/>
      </c>
      <c r="J1885">
        <f>IF($H1885="","",IF(ROUND($F1885,2)&gt;0,IF($D1885="شخصی قاسم","شخصی قاسم",IF($D1885="هزینه","هزینه: "&amp;IF($E1885="","متفرقه",$E1885),IF(OR($B1885="",COUNTIF(AcctCodesA,$B1885)=0),"متفرقه",$B1885))),$A1885))</f>
        <v/>
      </c>
      <c r="K1885">
        <f>IF($A1885="","",IF(AND($B1885&lt;&gt;"",COUNTIF(AcctCodesA,$B1885)=0),"کد طرف در INFO تعریف نشده",IF(AND($D1885="هزینه",$E1885=""),"هزینه بدون زیرگروه",IF(AND($C1885="پاس چک",OR(Sync!$AJ1885="",COUNTIF(IssueNosA,Sync!$AJ1885)=0)),"شماره چک پاس‌شده معتبر نیست",""))))</f>
        <v/>
      </c>
      <c r="V1885">
        <f>IF($K1885="","",IF(ISNUMBER(Sync!$AK1885),Sync!$AK1885,LEFT(Sync!$AK1885,4)&amp;MID(Sync!$AK1885,6,2)&amp;RIGHT(Sync!$AK1885,2))&amp;"|"&amp;"4"&amp;RIGHT("00000"&amp;1880,5))</f>
        <v/>
      </c>
      <c r="W1885">
        <f>IF($V1885="",0,COUNTIFS($V$6:$V$2005,"&lt;"&amp;$V1885)-COUNTIFS($V$6:$V$2005,"&lt;"&amp;$V1885,$K$6:$K$2005,"")+1)</f>
        <v/>
      </c>
    </row>
    <row r="1886">
      <c r="A1886">
        <f>IF(Sync!$Z1886="","",LEFT(UPPER(TRIM(Sync!$Z1886)),6))</f>
        <v/>
      </c>
      <c r="B1886">
        <f>IF($A1886="","",IF(Sync!$AA1886="","",Sync!$AA1886))</f>
        <v/>
      </c>
      <c r="C1886">
        <f>IF($A1886="","",IF(Sync!$AB1886="","",Sync!$AB1886))</f>
        <v/>
      </c>
      <c r="D1886">
        <f>IF($A1886="","",IF(Sync!$AC1886="","",Sync!$AC1886))</f>
        <v/>
      </c>
      <c r="E1886">
        <f>IF($A1886="","",IF(Sync!$AD1886="","",Sync!$AD1886))</f>
        <v/>
      </c>
      <c r="F1886">
        <f>IF($A1886="","",IF(Sync!$AE1886="",0,Sync!$AE1886))</f>
        <v/>
      </c>
      <c r="G1886">
        <f>IF($A1886="","",IF(Sync!$AF1886="",0,Sync!$AF1886))</f>
        <v/>
      </c>
      <c r="H1886">
        <f>IF(OR($A1886="",ROUND($F1886+$G1886,2)=0),"",$F1886+$G1886)</f>
        <v/>
      </c>
      <c r="I1886">
        <f>IF($H1886="","",IF(ROUND($F1886,2)&gt;0,$A1886,IF($D1886="شخصی قاسم","شخصی قاسم",IF($D1886="هزینه","هزینه: "&amp;IF($E1886="","متفرقه",$E1886),IF($C1886="پاس چک","چک پرداختی",IF(OR($B1886="",COUNTIF(AcctCodesA,$B1886)=0),"متفرقه",$B1886))))))</f>
        <v/>
      </c>
      <c r="J1886">
        <f>IF($H1886="","",IF(ROUND($F1886,2)&gt;0,IF($D1886="شخصی قاسم","شخصی قاسم",IF($D1886="هزینه","هزینه: "&amp;IF($E1886="","متفرقه",$E1886),IF(OR($B1886="",COUNTIF(AcctCodesA,$B1886)=0),"متفرقه",$B1886))),$A1886))</f>
        <v/>
      </c>
      <c r="K1886">
        <f>IF($A1886="","",IF(AND($B1886&lt;&gt;"",COUNTIF(AcctCodesA,$B1886)=0),"کد طرف در INFO تعریف نشده",IF(AND($D1886="هزینه",$E1886=""),"هزینه بدون زیرگروه",IF(AND($C1886="پاس چک",OR(Sync!$AJ1886="",COUNTIF(IssueNosA,Sync!$AJ1886)=0)),"شماره چک پاس‌شده معتبر نیست",""))))</f>
        <v/>
      </c>
      <c r="V1886">
        <f>IF($K1886="","",IF(ISNUMBER(Sync!$AK1886),Sync!$AK1886,LEFT(Sync!$AK1886,4)&amp;MID(Sync!$AK1886,6,2)&amp;RIGHT(Sync!$AK1886,2))&amp;"|"&amp;"4"&amp;RIGHT("00000"&amp;1881,5))</f>
        <v/>
      </c>
      <c r="W1886">
        <f>IF($V1886="",0,COUNTIFS($V$6:$V$2005,"&lt;"&amp;$V1886)-COUNTIFS($V$6:$V$2005,"&lt;"&amp;$V1886,$K$6:$K$2005,"")+1)</f>
        <v/>
      </c>
    </row>
    <row r="1887">
      <c r="A1887">
        <f>IF(Sync!$Z1887="","",LEFT(UPPER(TRIM(Sync!$Z1887)),6))</f>
        <v/>
      </c>
      <c r="B1887">
        <f>IF($A1887="","",IF(Sync!$AA1887="","",Sync!$AA1887))</f>
        <v/>
      </c>
      <c r="C1887">
        <f>IF($A1887="","",IF(Sync!$AB1887="","",Sync!$AB1887))</f>
        <v/>
      </c>
      <c r="D1887">
        <f>IF($A1887="","",IF(Sync!$AC1887="","",Sync!$AC1887))</f>
        <v/>
      </c>
      <c r="E1887">
        <f>IF($A1887="","",IF(Sync!$AD1887="","",Sync!$AD1887))</f>
        <v/>
      </c>
      <c r="F1887">
        <f>IF($A1887="","",IF(Sync!$AE1887="",0,Sync!$AE1887))</f>
        <v/>
      </c>
      <c r="G1887">
        <f>IF($A1887="","",IF(Sync!$AF1887="",0,Sync!$AF1887))</f>
        <v/>
      </c>
      <c r="H1887">
        <f>IF(OR($A1887="",ROUND($F1887+$G1887,2)=0),"",$F1887+$G1887)</f>
        <v/>
      </c>
      <c r="I1887">
        <f>IF($H1887="","",IF(ROUND($F1887,2)&gt;0,$A1887,IF($D1887="شخصی قاسم","شخصی قاسم",IF($D1887="هزینه","هزینه: "&amp;IF($E1887="","متفرقه",$E1887),IF($C1887="پاس چک","چک پرداختی",IF(OR($B1887="",COUNTIF(AcctCodesA,$B1887)=0),"متفرقه",$B1887))))))</f>
        <v/>
      </c>
      <c r="J1887">
        <f>IF($H1887="","",IF(ROUND($F1887,2)&gt;0,IF($D1887="شخصی قاسم","شخصی قاسم",IF($D1887="هزینه","هزینه: "&amp;IF($E1887="","متفرقه",$E1887),IF(OR($B1887="",COUNTIF(AcctCodesA,$B1887)=0),"متفرقه",$B1887))),$A1887))</f>
        <v/>
      </c>
      <c r="K1887">
        <f>IF($A1887="","",IF(AND($B1887&lt;&gt;"",COUNTIF(AcctCodesA,$B1887)=0),"کد طرف در INFO تعریف نشده",IF(AND($D1887="هزینه",$E1887=""),"هزینه بدون زیرگروه",IF(AND($C1887="پاس چک",OR(Sync!$AJ1887="",COUNTIF(IssueNosA,Sync!$AJ1887)=0)),"شماره چک پاس‌شده معتبر نیست",""))))</f>
        <v/>
      </c>
      <c r="V1887">
        <f>IF($K1887="","",IF(ISNUMBER(Sync!$AK1887),Sync!$AK1887,LEFT(Sync!$AK1887,4)&amp;MID(Sync!$AK1887,6,2)&amp;RIGHT(Sync!$AK1887,2))&amp;"|"&amp;"4"&amp;RIGHT("00000"&amp;1882,5))</f>
        <v/>
      </c>
      <c r="W1887">
        <f>IF($V1887="",0,COUNTIFS($V$6:$V$2005,"&lt;"&amp;$V1887)-COUNTIFS($V$6:$V$2005,"&lt;"&amp;$V1887,$K$6:$K$2005,"")+1)</f>
        <v/>
      </c>
    </row>
    <row r="1888">
      <c r="A1888">
        <f>IF(Sync!$Z1888="","",LEFT(UPPER(TRIM(Sync!$Z1888)),6))</f>
        <v/>
      </c>
      <c r="B1888">
        <f>IF($A1888="","",IF(Sync!$AA1888="","",Sync!$AA1888))</f>
        <v/>
      </c>
      <c r="C1888">
        <f>IF($A1888="","",IF(Sync!$AB1888="","",Sync!$AB1888))</f>
        <v/>
      </c>
      <c r="D1888">
        <f>IF($A1888="","",IF(Sync!$AC1888="","",Sync!$AC1888))</f>
        <v/>
      </c>
      <c r="E1888">
        <f>IF($A1888="","",IF(Sync!$AD1888="","",Sync!$AD1888))</f>
        <v/>
      </c>
      <c r="F1888">
        <f>IF($A1888="","",IF(Sync!$AE1888="",0,Sync!$AE1888))</f>
        <v/>
      </c>
      <c r="G1888">
        <f>IF($A1888="","",IF(Sync!$AF1888="",0,Sync!$AF1888))</f>
        <v/>
      </c>
      <c r="H1888">
        <f>IF(OR($A1888="",ROUND($F1888+$G1888,2)=0),"",$F1888+$G1888)</f>
        <v/>
      </c>
      <c r="I1888">
        <f>IF($H1888="","",IF(ROUND($F1888,2)&gt;0,$A1888,IF($D1888="شخصی قاسم","شخصی قاسم",IF($D1888="هزینه","هزینه: "&amp;IF($E1888="","متفرقه",$E1888),IF($C1888="پاس چک","چک پرداختی",IF(OR($B1888="",COUNTIF(AcctCodesA,$B1888)=0),"متفرقه",$B1888))))))</f>
        <v/>
      </c>
      <c r="J1888">
        <f>IF($H1888="","",IF(ROUND($F1888,2)&gt;0,IF($D1888="شخصی قاسم","شخصی قاسم",IF($D1888="هزینه","هزینه: "&amp;IF($E1888="","متفرقه",$E1888),IF(OR($B1888="",COUNTIF(AcctCodesA,$B1888)=0),"متفرقه",$B1888))),$A1888))</f>
        <v/>
      </c>
      <c r="K1888">
        <f>IF($A1888="","",IF(AND($B1888&lt;&gt;"",COUNTIF(AcctCodesA,$B1888)=0),"کد طرف در INFO تعریف نشده",IF(AND($D1888="هزینه",$E1888=""),"هزینه بدون زیرگروه",IF(AND($C1888="پاس چک",OR(Sync!$AJ1888="",COUNTIF(IssueNosA,Sync!$AJ1888)=0)),"شماره چک پاس‌شده معتبر نیست",""))))</f>
        <v/>
      </c>
      <c r="V1888">
        <f>IF($K1888="","",IF(ISNUMBER(Sync!$AK1888),Sync!$AK1888,LEFT(Sync!$AK1888,4)&amp;MID(Sync!$AK1888,6,2)&amp;RIGHT(Sync!$AK1888,2))&amp;"|"&amp;"4"&amp;RIGHT("00000"&amp;1883,5))</f>
        <v/>
      </c>
      <c r="W1888">
        <f>IF($V1888="",0,COUNTIFS($V$6:$V$2005,"&lt;"&amp;$V1888)-COUNTIFS($V$6:$V$2005,"&lt;"&amp;$V1888,$K$6:$K$2005,"")+1)</f>
        <v/>
      </c>
    </row>
    <row r="1889">
      <c r="A1889">
        <f>IF(Sync!$Z1889="","",LEFT(UPPER(TRIM(Sync!$Z1889)),6))</f>
        <v/>
      </c>
      <c r="B1889">
        <f>IF($A1889="","",IF(Sync!$AA1889="","",Sync!$AA1889))</f>
        <v/>
      </c>
      <c r="C1889">
        <f>IF($A1889="","",IF(Sync!$AB1889="","",Sync!$AB1889))</f>
        <v/>
      </c>
      <c r="D1889">
        <f>IF($A1889="","",IF(Sync!$AC1889="","",Sync!$AC1889))</f>
        <v/>
      </c>
      <c r="E1889">
        <f>IF($A1889="","",IF(Sync!$AD1889="","",Sync!$AD1889))</f>
        <v/>
      </c>
      <c r="F1889">
        <f>IF($A1889="","",IF(Sync!$AE1889="",0,Sync!$AE1889))</f>
        <v/>
      </c>
      <c r="G1889">
        <f>IF($A1889="","",IF(Sync!$AF1889="",0,Sync!$AF1889))</f>
        <v/>
      </c>
      <c r="H1889">
        <f>IF(OR($A1889="",ROUND($F1889+$G1889,2)=0),"",$F1889+$G1889)</f>
        <v/>
      </c>
      <c r="I1889">
        <f>IF($H1889="","",IF(ROUND($F1889,2)&gt;0,$A1889,IF($D1889="شخصی قاسم","شخصی قاسم",IF($D1889="هزینه","هزینه: "&amp;IF($E1889="","متفرقه",$E1889),IF($C1889="پاس چک","چک پرداختی",IF(OR($B1889="",COUNTIF(AcctCodesA,$B1889)=0),"متفرقه",$B1889))))))</f>
        <v/>
      </c>
      <c r="J1889">
        <f>IF($H1889="","",IF(ROUND($F1889,2)&gt;0,IF($D1889="شخصی قاسم","شخصی قاسم",IF($D1889="هزینه","هزینه: "&amp;IF($E1889="","متفرقه",$E1889),IF(OR($B1889="",COUNTIF(AcctCodesA,$B1889)=0),"متفرقه",$B1889))),$A1889))</f>
        <v/>
      </c>
      <c r="K1889">
        <f>IF($A1889="","",IF(AND($B1889&lt;&gt;"",COUNTIF(AcctCodesA,$B1889)=0),"کد طرف در INFO تعریف نشده",IF(AND($D1889="هزینه",$E1889=""),"هزینه بدون زیرگروه",IF(AND($C1889="پاس چک",OR(Sync!$AJ1889="",COUNTIF(IssueNosA,Sync!$AJ1889)=0)),"شماره چک پاس‌شده معتبر نیست",""))))</f>
        <v/>
      </c>
      <c r="V1889">
        <f>IF($K1889="","",IF(ISNUMBER(Sync!$AK1889),Sync!$AK1889,LEFT(Sync!$AK1889,4)&amp;MID(Sync!$AK1889,6,2)&amp;RIGHT(Sync!$AK1889,2))&amp;"|"&amp;"4"&amp;RIGHT("00000"&amp;1884,5))</f>
        <v/>
      </c>
      <c r="W1889">
        <f>IF($V1889="",0,COUNTIFS($V$6:$V$2005,"&lt;"&amp;$V1889)-COUNTIFS($V$6:$V$2005,"&lt;"&amp;$V1889,$K$6:$K$2005,"")+1)</f>
        <v/>
      </c>
    </row>
    <row r="1890">
      <c r="A1890">
        <f>IF(Sync!$Z1890="","",LEFT(UPPER(TRIM(Sync!$Z1890)),6))</f>
        <v/>
      </c>
      <c r="B1890">
        <f>IF($A1890="","",IF(Sync!$AA1890="","",Sync!$AA1890))</f>
        <v/>
      </c>
      <c r="C1890">
        <f>IF($A1890="","",IF(Sync!$AB1890="","",Sync!$AB1890))</f>
        <v/>
      </c>
      <c r="D1890">
        <f>IF($A1890="","",IF(Sync!$AC1890="","",Sync!$AC1890))</f>
        <v/>
      </c>
      <c r="E1890">
        <f>IF($A1890="","",IF(Sync!$AD1890="","",Sync!$AD1890))</f>
        <v/>
      </c>
      <c r="F1890">
        <f>IF($A1890="","",IF(Sync!$AE1890="",0,Sync!$AE1890))</f>
        <v/>
      </c>
      <c r="G1890">
        <f>IF($A1890="","",IF(Sync!$AF1890="",0,Sync!$AF1890))</f>
        <v/>
      </c>
      <c r="H1890">
        <f>IF(OR($A1890="",ROUND($F1890+$G1890,2)=0),"",$F1890+$G1890)</f>
        <v/>
      </c>
      <c r="I1890">
        <f>IF($H1890="","",IF(ROUND($F1890,2)&gt;0,$A1890,IF($D1890="شخصی قاسم","شخصی قاسم",IF($D1890="هزینه","هزینه: "&amp;IF($E1890="","متفرقه",$E1890),IF($C1890="پاس چک","چک پرداختی",IF(OR($B1890="",COUNTIF(AcctCodesA,$B1890)=0),"متفرقه",$B1890))))))</f>
        <v/>
      </c>
      <c r="J1890">
        <f>IF($H1890="","",IF(ROUND($F1890,2)&gt;0,IF($D1890="شخصی قاسم","شخصی قاسم",IF($D1890="هزینه","هزینه: "&amp;IF($E1890="","متفرقه",$E1890),IF(OR($B1890="",COUNTIF(AcctCodesA,$B1890)=0),"متفرقه",$B1890))),$A1890))</f>
        <v/>
      </c>
      <c r="K1890">
        <f>IF($A1890="","",IF(AND($B1890&lt;&gt;"",COUNTIF(AcctCodesA,$B1890)=0),"کد طرف در INFO تعریف نشده",IF(AND($D1890="هزینه",$E1890=""),"هزینه بدون زیرگروه",IF(AND($C1890="پاس چک",OR(Sync!$AJ1890="",COUNTIF(IssueNosA,Sync!$AJ1890)=0)),"شماره چک پاس‌شده معتبر نیست",""))))</f>
        <v/>
      </c>
      <c r="V1890">
        <f>IF($K1890="","",IF(ISNUMBER(Sync!$AK1890),Sync!$AK1890,LEFT(Sync!$AK1890,4)&amp;MID(Sync!$AK1890,6,2)&amp;RIGHT(Sync!$AK1890,2))&amp;"|"&amp;"4"&amp;RIGHT("00000"&amp;1885,5))</f>
        <v/>
      </c>
      <c r="W1890">
        <f>IF($V1890="",0,COUNTIFS($V$6:$V$2005,"&lt;"&amp;$V1890)-COUNTIFS($V$6:$V$2005,"&lt;"&amp;$V1890,$K$6:$K$2005,"")+1)</f>
        <v/>
      </c>
    </row>
    <row r="1891">
      <c r="A1891">
        <f>IF(Sync!$Z1891="","",LEFT(UPPER(TRIM(Sync!$Z1891)),6))</f>
        <v/>
      </c>
      <c r="B1891">
        <f>IF($A1891="","",IF(Sync!$AA1891="","",Sync!$AA1891))</f>
        <v/>
      </c>
      <c r="C1891">
        <f>IF($A1891="","",IF(Sync!$AB1891="","",Sync!$AB1891))</f>
        <v/>
      </c>
      <c r="D1891">
        <f>IF($A1891="","",IF(Sync!$AC1891="","",Sync!$AC1891))</f>
        <v/>
      </c>
      <c r="E1891">
        <f>IF($A1891="","",IF(Sync!$AD1891="","",Sync!$AD1891))</f>
        <v/>
      </c>
      <c r="F1891">
        <f>IF($A1891="","",IF(Sync!$AE1891="",0,Sync!$AE1891))</f>
        <v/>
      </c>
      <c r="G1891">
        <f>IF($A1891="","",IF(Sync!$AF1891="",0,Sync!$AF1891))</f>
        <v/>
      </c>
      <c r="H1891">
        <f>IF(OR($A1891="",ROUND($F1891+$G1891,2)=0),"",$F1891+$G1891)</f>
        <v/>
      </c>
      <c r="I1891">
        <f>IF($H1891="","",IF(ROUND($F1891,2)&gt;0,$A1891,IF($D1891="شخصی قاسم","شخصی قاسم",IF($D1891="هزینه","هزینه: "&amp;IF($E1891="","متفرقه",$E1891),IF($C1891="پاس چک","چک پرداختی",IF(OR($B1891="",COUNTIF(AcctCodesA,$B1891)=0),"متفرقه",$B1891))))))</f>
        <v/>
      </c>
      <c r="J1891">
        <f>IF($H1891="","",IF(ROUND($F1891,2)&gt;0,IF($D1891="شخصی قاسم","شخصی قاسم",IF($D1891="هزینه","هزینه: "&amp;IF($E1891="","متفرقه",$E1891),IF(OR($B1891="",COUNTIF(AcctCodesA,$B1891)=0),"متفرقه",$B1891))),$A1891))</f>
        <v/>
      </c>
      <c r="K1891">
        <f>IF($A1891="","",IF(AND($B1891&lt;&gt;"",COUNTIF(AcctCodesA,$B1891)=0),"کد طرف در INFO تعریف نشده",IF(AND($D1891="هزینه",$E1891=""),"هزینه بدون زیرگروه",IF(AND($C1891="پاس چک",OR(Sync!$AJ1891="",COUNTIF(IssueNosA,Sync!$AJ1891)=0)),"شماره چک پاس‌شده معتبر نیست",""))))</f>
        <v/>
      </c>
      <c r="V1891">
        <f>IF($K1891="","",IF(ISNUMBER(Sync!$AK1891),Sync!$AK1891,LEFT(Sync!$AK1891,4)&amp;MID(Sync!$AK1891,6,2)&amp;RIGHT(Sync!$AK1891,2))&amp;"|"&amp;"4"&amp;RIGHT("00000"&amp;1886,5))</f>
        <v/>
      </c>
      <c r="W1891">
        <f>IF($V1891="",0,COUNTIFS($V$6:$V$2005,"&lt;"&amp;$V1891)-COUNTIFS($V$6:$V$2005,"&lt;"&amp;$V1891,$K$6:$K$2005,"")+1)</f>
        <v/>
      </c>
    </row>
    <row r="1892">
      <c r="A1892">
        <f>IF(Sync!$Z1892="","",LEFT(UPPER(TRIM(Sync!$Z1892)),6))</f>
        <v/>
      </c>
      <c r="B1892">
        <f>IF($A1892="","",IF(Sync!$AA1892="","",Sync!$AA1892))</f>
        <v/>
      </c>
      <c r="C1892">
        <f>IF($A1892="","",IF(Sync!$AB1892="","",Sync!$AB1892))</f>
        <v/>
      </c>
      <c r="D1892">
        <f>IF($A1892="","",IF(Sync!$AC1892="","",Sync!$AC1892))</f>
        <v/>
      </c>
      <c r="E1892">
        <f>IF($A1892="","",IF(Sync!$AD1892="","",Sync!$AD1892))</f>
        <v/>
      </c>
      <c r="F1892">
        <f>IF($A1892="","",IF(Sync!$AE1892="",0,Sync!$AE1892))</f>
        <v/>
      </c>
      <c r="G1892">
        <f>IF($A1892="","",IF(Sync!$AF1892="",0,Sync!$AF1892))</f>
        <v/>
      </c>
      <c r="H1892">
        <f>IF(OR($A1892="",ROUND($F1892+$G1892,2)=0),"",$F1892+$G1892)</f>
        <v/>
      </c>
      <c r="I1892">
        <f>IF($H1892="","",IF(ROUND($F1892,2)&gt;0,$A1892,IF($D1892="شخصی قاسم","شخصی قاسم",IF($D1892="هزینه","هزینه: "&amp;IF($E1892="","متفرقه",$E1892),IF($C1892="پاس چک","چک پرداختی",IF(OR($B1892="",COUNTIF(AcctCodesA,$B1892)=0),"متفرقه",$B1892))))))</f>
        <v/>
      </c>
      <c r="J1892">
        <f>IF($H1892="","",IF(ROUND($F1892,2)&gt;0,IF($D1892="شخصی قاسم","شخصی قاسم",IF($D1892="هزینه","هزینه: "&amp;IF($E1892="","متفرقه",$E1892),IF(OR($B1892="",COUNTIF(AcctCodesA,$B1892)=0),"متفرقه",$B1892))),$A1892))</f>
        <v/>
      </c>
      <c r="K1892">
        <f>IF($A1892="","",IF(AND($B1892&lt;&gt;"",COUNTIF(AcctCodesA,$B1892)=0),"کد طرف در INFO تعریف نشده",IF(AND($D1892="هزینه",$E1892=""),"هزینه بدون زیرگروه",IF(AND($C1892="پاس چک",OR(Sync!$AJ1892="",COUNTIF(IssueNosA,Sync!$AJ1892)=0)),"شماره چک پاس‌شده معتبر نیست",""))))</f>
        <v/>
      </c>
      <c r="V1892">
        <f>IF($K1892="","",IF(ISNUMBER(Sync!$AK1892),Sync!$AK1892,LEFT(Sync!$AK1892,4)&amp;MID(Sync!$AK1892,6,2)&amp;RIGHT(Sync!$AK1892,2))&amp;"|"&amp;"4"&amp;RIGHT("00000"&amp;1887,5))</f>
        <v/>
      </c>
      <c r="W1892">
        <f>IF($V1892="",0,COUNTIFS($V$6:$V$2005,"&lt;"&amp;$V1892)-COUNTIFS($V$6:$V$2005,"&lt;"&amp;$V1892,$K$6:$K$2005,"")+1)</f>
        <v/>
      </c>
    </row>
    <row r="1893">
      <c r="A1893">
        <f>IF(Sync!$Z1893="","",LEFT(UPPER(TRIM(Sync!$Z1893)),6))</f>
        <v/>
      </c>
      <c r="B1893">
        <f>IF($A1893="","",IF(Sync!$AA1893="","",Sync!$AA1893))</f>
        <v/>
      </c>
      <c r="C1893">
        <f>IF($A1893="","",IF(Sync!$AB1893="","",Sync!$AB1893))</f>
        <v/>
      </c>
      <c r="D1893">
        <f>IF($A1893="","",IF(Sync!$AC1893="","",Sync!$AC1893))</f>
        <v/>
      </c>
      <c r="E1893">
        <f>IF($A1893="","",IF(Sync!$AD1893="","",Sync!$AD1893))</f>
        <v/>
      </c>
      <c r="F1893">
        <f>IF($A1893="","",IF(Sync!$AE1893="",0,Sync!$AE1893))</f>
        <v/>
      </c>
      <c r="G1893">
        <f>IF($A1893="","",IF(Sync!$AF1893="",0,Sync!$AF1893))</f>
        <v/>
      </c>
      <c r="H1893">
        <f>IF(OR($A1893="",ROUND($F1893+$G1893,2)=0),"",$F1893+$G1893)</f>
        <v/>
      </c>
      <c r="I1893">
        <f>IF($H1893="","",IF(ROUND($F1893,2)&gt;0,$A1893,IF($D1893="شخصی قاسم","شخصی قاسم",IF($D1893="هزینه","هزینه: "&amp;IF($E1893="","متفرقه",$E1893),IF($C1893="پاس چک","چک پرداختی",IF(OR($B1893="",COUNTIF(AcctCodesA,$B1893)=0),"متفرقه",$B1893))))))</f>
        <v/>
      </c>
      <c r="J1893">
        <f>IF($H1893="","",IF(ROUND($F1893,2)&gt;0,IF($D1893="شخصی قاسم","شخصی قاسم",IF($D1893="هزینه","هزینه: "&amp;IF($E1893="","متفرقه",$E1893),IF(OR($B1893="",COUNTIF(AcctCodesA,$B1893)=0),"متفرقه",$B1893))),$A1893))</f>
        <v/>
      </c>
      <c r="K1893">
        <f>IF($A1893="","",IF(AND($B1893&lt;&gt;"",COUNTIF(AcctCodesA,$B1893)=0),"کد طرف در INFO تعریف نشده",IF(AND($D1893="هزینه",$E1893=""),"هزینه بدون زیرگروه",IF(AND($C1893="پاس چک",OR(Sync!$AJ1893="",COUNTIF(IssueNosA,Sync!$AJ1893)=0)),"شماره چک پاس‌شده معتبر نیست",""))))</f>
        <v/>
      </c>
      <c r="V1893">
        <f>IF($K1893="","",IF(ISNUMBER(Sync!$AK1893),Sync!$AK1893,LEFT(Sync!$AK1893,4)&amp;MID(Sync!$AK1893,6,2)&amp;RIGHT(Sync!$AK1893,2))&amp;"|"&amp;"4"&amp;RIGHT("00000"&amp;1888,5))</f>
        <v/>
      </c>
      <c r="W1893">
        <f>IF($V1893="",0,COUNTIFS($V$6:$V$2005,"&lt;"&amp;$V1893)-COUNTIFS($V$6:$V$2005,"&lt;"&amp;$V1893,$K$6:$K$2005,"")+1)</f>
        <v/>
      </c>
    </row>
    <row r="1894">
      <c r="A1894">
        <f>IF(Sync!$Z1894="","",LEFT(UPPER(TRIM(Sync!$Z1894)),6))</f>
        <v/>
      </c>
      <c r="B1894">
        <f>IF($A1894="","",IF(Sync!$AA1894="","",Sync!$AA1894))</f>
        <v/>
      </c>
      <c r="C1894">
        <f>IF($A1894="","",IF(Sync!$AB1894="","",Sync!$AB1894))</f>
        <v/>
      </c>
      <c r="D1894">
        <f>IF($A1894="","",IF(Sync!$AC1894="","",Sync!$AC1894))</f>
        <v/>
      </c>
      <c r="E1894">
        <f>IF($A1894="","",IF(Sync!$AD1894="","",Sync!$AD1894))</f>
        <v/>
      </c>
      <c r="F1894">
        <f>IF($A1894="","",IF(Sync!$AE1894="",0,Sync!$AE1894))</f>
        <v/>
      </c>
      <c r="G1894">
        <f>IF($A1894="","",IF(Sync!$AF1894="",0,Sync!$AF1894))</f>
        <v/>
      </c>
      <c r="H1894">
        <f>IF(OR($A1894="",ROUND($F1894+$G1894,2)=0),"",$F1894+$G1894)</f>
        <v/>
      </c>
      <c r="I1894">
        <f>IF($H1894="","",IF(ROUND($F1894,2)&gt;0,$A1894,IF($D1894="شخصی قاسم","شخصی قاسم",IF($D1894="هزینه","هزینه: "&amp;IF($E1894="","متفرقه",$E1894),IF($C1894="پاس چک","چک پرداختی",IF(OR($B1894="",COUNTIF(AcctCodesA,$B1894)=0),"متفرقه",$B1894))))))</f>
        <v/>
      </c>
      <c r="J1894">
        <f>IF($H1894="","",IF(ROUND($F1894,2)&gt;0,IF($D1894="شخصی قاسم","شخصی قاسم",IF($D1894="هزینه","هزینه: "&amp;IF($E1894="","متفرقه",$E1894),IF(OR($B1894="",COUNTIF(AcctCodesA,$B1894)=0),"متفرقه",$B1894))),$A1894))</f>
        <v/>
      </c>
      <c r="K1894">
        <f>IF($A1894="","",IF(AND($B1894&lt;&gt;"",COUNTIF(AcctCodesA,$B1894)=0),"کد طرف در INFO تعریف نشده",IF(AND($D1894="هزینه",$E1894=""),"هزینه بدون زیرگروه",IF(AND($C1894="پاس چک",OR(Sync!$AJ1894="",COUNTIF(IssueNosA,Sync!$AJ1894)=0)),"شماره چک پاس‌شده معتبر نیست",""))))</f>
        <v/>
      </c>
      <c r="V1894">
        <f>IF($K1894="","",IF(ISNUMBER(Sync!$AK1894),Sync!$AK1894,LEFT(Sync!$AK1894,4)&amp;MID(Sync!$AK1894,6,2)&amp;RIGHT(Sync!$AK1894,2))&amp;"|"&amp;"4"&amp;RIGHT("00000"&amp;1889,5))</f>
        <v/>
      </c>
      <c r="W1894">
        <f>IF($V1894="",0,COUNTIFS($V$6:$V$2005,"&lt;"&amp;$V1894)-COUNTIFS($V$6:$V$2005,"&lt;"&amp;$V1894,$K$6:$K$2005,"")+1)</f>
        <v/>
      </c>
    </row>
    <row r="1895">
      <c r="A1895">
        <f>IF(Sync!$Z1895="","",LEFT(UPPER(TRIM(Sync!$Z1895)),6))</f>
        <v/>
      </c>
      <c r="B1895">
        <f>IF($A1895="","",IF(Sync!$AA1895="","",Sync!$AA1895))</f>
        <v/>
      </c>
      <c r="C1895">
        <f>IF($A1895="","",IF(Sync!$AB1895="","",Sync!$AB1895))</f>
        <v/>
      </c>
      <c r="D1895">
        <f>IF($A1895="","",IF(Sync!$AC1895="","",Sync!$AC1895))</f>
        <v/>
      </c>
      <c r="E1895">
        <f>IF($A1895="","",IF(Sync!$AD1895="","",Sync!$AD1895))</f>
        <v/>
      </c>
      <c r="F1895">
        <f>IF($A1895="","",IF(Sync!$AE1895="",0,Sync!$AE1895))</f>
        <v/>
      </c>
      <c r="G1895">
        <f>IF($A1895="","",IF(Sync!$AF1895="",0,Sync!$AF1895))</f>
        <v/>
      </c>
      <c r="H1895">
        <f>IF(OR($A1895="",ROUND($F1895+$G1895,2)=0),"",$F1895+$G1895)</f>
        <v/>
      </c>
      <c r="I1895">
        <f>IF($H1895="","",IF(ROUND($F1895,2)&gt;0,$A1895,IF($D1895="شخصی قاسم","شخصی قاسم",IF($D1895="هزینه","هزینه: "&amp;IF($E1895="","متفرقه",$E1895),IF($C1895="پاس چک","چک پرداختی",IF(OR($B1895="",COUNTIF(AcctCodesA,$B1895)=0),"متفرقه",$B1895))))))</f>
        <v/>
      </c>
      <c r="J1895">
        <f>IF($H1895="","",IF(ROUND($F1895,2)&gt;0,IF($D1895="شخصی قاسم","شخصی قاسم",IF($D1895="هزینه","هزینه: "&amp;IF($E1895="","متفرقه",$E1895),IF(OR($B1895="",COUNTIF(AcctCodesA,$B1895)=0),"متفرقه",$B1895))),$A1895))</f>
        <v/>
      </c>
      <c r="K1895">
        <f>IF($A1895="","",IF(AND($B1895&lt;&gt;"",COUNTIF(AcctCodesA,$B1895)=0),"کد طرف در INFO تعریف نشده",IF(AND($D1895="هزینه",$E1895=""),"هزینه بدون زیرگروه",IF(AND($C1895="پاس چک",OR(Sync!$AJ1895="",COUNTIF(IssueNosA,Sync!$AJ1895)=0)),"شماره چک پاس‌شده معتبر نیست",""))))</f>
        <v/>
      </c>
      <c r="V1895">
        <f>IF($K1895="","",IF(ISNUMBER(Sync!$AK1895),Sync!$AK1895,LEFT(Sync!$AK1895,4)&amp;MID(Sync!$AK1895,6,2)&amp;RIGHT(Sync!$AK1895,2))&amp;"|"&amp;"4"&amp;RIGHT("00000"&amp;1890,5))</f>
        <v/>
      </c>
      <c r="W1895">
        <f>IF($V1895="",0,COUNTIFS($V$6:$V$2005,"&lt;"&amp;$V1895)-COUNTIFS($V$6:$V$2005,"&lt;"&amp;$V1895,$K$6:$K$2005,"")+1)</f>
        <v/>
      </c>
    </row>
    <row r="1896">
      <c r="A1896">
        <f>IF(Sync!$Z1896="","",LEFT(UPPER(TRIM(Sync!$Z1896)),6))</f>
        <v/>
      </c>
      <c r="B1896">
        <f>IF($A1896="","",IF(Sync!$AA1896="","",Sync!$AA1896))</f>
        <v/>
      </c>
      <c r="C1896">
        <f>IF($A1896="","",IF(Sync!$AB1896="","",Sync!$AB1896))</f>
        <v/>
      </c>
      <c r="D1896">
        <f>IF($A1896="","",IF(Sync!$AC1896="","",Sync!$AC1896))</f>
        <v/>
      </c>
      <c r="E1896">
        <f>IF($A1896="","",IF(Sync!$AD1896="","",Sync!$AD1896))</f>
        <v/>
      </c>
      <c r="F1896">
        <f>IF($A1896="","",IF(Sync!$AE1896="",0,Sync!$AE1896))</f>
        <v/>
      </c>
      <c r="G1896">
        <f>IF($A1896="","",IF(Sync!$AF1896="",0,Sync!$AF1896))</f>
        <v/>
      </c>
      <c r="H1896">
        <f>IF(OR($A1896="",ROUND($F1896+$G1896,2)=0),"",$F1896+$G1896)</f>
        <v/>
      </c>
      <c r="I1896">
        <f>IF($H1896="","",IF(ROUND($F1896,2)&gt;0,$A1896,IF($D1896="شخصی قاسم","شخصی قاسم",IF($D1896="هزینه","هزینه: "&amp;IF($E1896="","متفرقه",$E1896),IF($C1896="پاس چک","چک پرداختی",IF(OR($B1896="",COUNTIF(AcctCodesA,$B1896)=0),"متفرقه",$B1896))))))</f>
        <v/>
      </c>
      <c r="J1896">
        <f>IF($H1896="","",IF(ROUND($F1896,2)&gt;0,IF($D1896="شخصی قاسم","شخصی قاسم",IF($D1896="هزینه","هزینه: "&amp;IF($E1896="","متفرقه",$E1896),IF(OR($B1896="",COUNTIF(AcctCodesA,$B1896)=0),"متفرقه",$B1896))),$A1896))</f>
        <v/>
      </c>
      <c r="K1896">
        <f>IF($A1896="","",IF(AND($B1896&lt;&gt;"",COUNTIF(AcctCodesA,$B1896)=0),"کد طرف در INFO تعریف نشده",IF(AND($D1896="هزینه",$E1896=""),"هزینه بدون زیرگروه",IF(AND($C1896="پاس چک",OR(Sync!$AJ1896="",COUNTIF(IssueNosA,Sync!$AJ1896)=0)),"شماره چک پاس‌شده معتبر نیست",""))))</f>
        <v/>
      </c>
      <c r="V1896">
        <f>IF($K1896="","",IF(ISNUMBER(Sync!$AK1896),Sync!$AK1896,LEFT(Sync!$AK1896,4)&amp;MID(Sync!$AK1896,6,2)&amp;RIGHT(Sync!$AK1896,2))&amp;"|"&amp;"4"&amp;RIGHT("00000"&amp;1891,5))</f>
        <v/>
      </c>
      <c r="W1896">
        <f>IF($V1896="",0,COUNTIFS($V$6:$V$2005,"&lt;"&amp;$V1896)-COUNTIFS($V$6:$V$2005,"&lt;"&amp;$V1896,$K$6:$K$2005,"")+1)</f>
        <v/>
      </c>
    </row>
    <row r="1897">
      <c r="A1897">
        <f>IF(Sync!$Z1897="","",LEFT(UPPER(TRIM(Sync!$Z1897)),6))</f>
        <v/>
      </c>
      <c r="B1897">
        <f>IF($A1897="","",IF(Sync!$AA1897="","",Sync!$AA1897))</f>
        <v/>
      </c>
      <c r="C1897">
        <f>IF($A1897="","",IF(Sync!$AB1897="","",Sync!$AB1897))</f>
        <v/>
      </c>
      <c r="D1897">
        <f>IF($A1897="","",IF(Sync!$AC1897="","",Sync!$AC1897))</f>
        <v/>
      </c>
      <c r="E1897">
        <f>IF($A1897="","",IF(Sync!$AD1897="","",Sync!$AD1897))</f>
        <v/>
      </c>
      <c r="F1897">
        <f>IF($A1897="","",IF(Sync!$AE1897="",0,Sync!$AE1897))</f>
        <v/>
      </c>
      <c r="G1897">
        <f>IF($A1897="","",IF(Sync!$AF1897="",0,Sync!$AF1897))</f>
        <v/>
      </c>
      <c r="H1897">
        <f>IF(OR($A1897="",ROUND($F1897+$G1897,2)=0),"",$F1897+$G1897)</f>
        <v/>
      </c>
      <c r="I1897">
        <f>IF($H1897="","",IF(ROUND($F1897,2)&gt;0,$A1897,IF($D1897="شخصی قاسم","شخصی قاسم",IF($D1897="هزینه","هزینه: "&amp;IF($E1897="","متفرقه",$E1897),IF($C1897="پاس چک","چک پرداختی",IF(OR($B1897="",COUNTIF(AcctCodesA,$B1897)=0),"متفرقه",$B1897))))))</f>
        <v/>
      </c>
      <c r="J1897">
        <f>IF($H1897="","",IF(ROUND($F1897,2)&gt;0,IF($D1897="شخصی قاسم","شخصی قاسم",IF($D1897="هزینه","هزینه: "&amp;IF($E1897="","متفرقه",$E1897),IF(OR($B1897="",COUNTIF(AcctCodesA,$B1897)=0),"متفرقه",$B1897))),$A1897))</f>
        <v/>
      </c>
      <c r="K1897">
        <f>IF($A1897="","",IF(AND($B1897&lt;&gt;"",COUNTIF(AcctCodesA,$B1897)=0),"کد طرف در INFO تعریف نشده",IF(AND($D1897="هزینه",$E1897=""),"هزینه بدون زیرگروه",IF(AND($C1897="پاس چک",OR(Sync!$AJ1897="",COUNTIF(IssueNosA,Sync!$AJ1897)=0)),"شماره چک پاس‌شده معتبر نیست",""))))</f>
        <v/>
      </c>
      <c r="V1897">
        <f>IF($K1897="","",IF(ISNUMBER(Sync!$AK1897),Sync!$AK1897,LEFT(Sync!$AK1897,4)&amp;MID(Sync!$AK1897,6,2)&amp;RIGHT(Sync!$AK1897,2))&amp;"|"&amp;"4"&amp;RIGHT("00000"&amp;1892,5))</f>
        <v/>
      </c>
      <c r="W1897">
        <f>IF($V1897="",0,COUNTIFS($V$6:$V$2005,"&lt;"&amp;$V1897)-COUNTIFS($V$6:$V$2005,"&lt;"&amp;$V1897,$K$6:$K$2005,"")+1)</f>
        <v/>
      </c>
    </row>
    <row r="1898">
      <c r="A1898">
        <f>IF(Sync!$Z1898="","",LEFT(UPPER(TRIM(Sync!$Z1898)),6))</f>
        <v/>
      </c>
      <c r="B1898">
        <f>IF($A1898="","",IF(Sync!$AA1898="","",Sync!$AA1898))</f>
        <v/>
      </c>
      <c r="C1898">
        <f>IF($A1898="","",IF(Sync!$AB1898="","",Sync!$AB1898))</f>
        <v/>
      </c>
      <c r="D1898">
        <f>IF($A1898="","",IF(Sync!$AC1898="","",Sync!$AC1898))</f>
        <v/>
      </c>
      <c r="E1898">
        <f>IF($A1898="","",IF(Sync!$AD1898="","",Sync!$AD1898))</f>
        <v/>
      </c>
      <c r="F1898">
        <f>IF($A1898="","",IF(Sync!$AE1898="",0,Sync!$AE1898))</f>
        <v/>
      </c>
      <c r="G1898">
        <f>IF($A1898="","",IF(Sync!$AF1898="",0,Sync!$AF1898))</f>
        <v/>
      </c>
      <c r="H1898">
        <f>IF(OR($A1898="",ROUND($F1898+$G1898,2)=0),"",$F1898+$G1898)</f>
        <v/>
      </c>
      <c r="I1898">
        <f>IF($H1898="","",IF(ROUND($F1898,2)&gt;0,$A1898,IF($D1898="شخصی قاسم","شخصی قاسم",IF($D1898="هزینه","هزینه: "&amp;IF($E1898="","متفرقه",$E1898),IF($C1898="پاس چک","چک پرداختی",IF(OR($B1898="",COUNTIF(AcctCodesA,$B1898)=0),"متفرقه",$B1898))))))</f>
        <v/>
      </c>
      <c r="J1898">
        <f>IF($H1898="","",IF(ROUND($F1898,2)&gt;0,IF($D1898="شخصی قاسم","شخصی قاسم",IF($D1898="هزینه","هزینه: "&amp;IF($E1898="","متفرقه",$E1898),IF(OR($B1898="",COUNTIF(AcctCodesA,$B1898)=0),"متفرقه",$B1898))),$A1898))</f>
        <v/>
      </c>
      <c r="K1898">
        <f>IF($A1898="","",IF(AND($B1898&lt;&gt;"",COUNTIF(AcctCodesA,$B1898)=0),"کد طرف در INFO تعریف نشده",IF(AND($D1898="هزینه",$E1898=""),"هزینه بدون زیرگروه",IF(AND($C1898="پاس چک",OR(Sync!$AJ1898="",COUNTIF(IssueNosA,Sync!$AJ1898)=0)),"شماره چک پاس‌شده معتبر نیست",""))))</f>
        <v/>
      </c>
      <c r="V1898">
        <f>IF($K1898="","",IF(ISNUMBER(Sync!$AK1898),Sync!$AK1898,LEFT(Sync!$AK1898,4)&amp;MID(Sync!$AK1898,6,2)&amp;RIGHT(Sync!$AK1898,2))&amp;"|"&amp;"4"&amp;RIGHT("00000"&amp;1893,5))</f>
        <v/>
      </c>
      <c r="W1898">
        <f>IF($V1898="",0,COUNTIFS($V$6:$V$2005,"&lt;"&amp;$V1898)-COUNTIFS($V$6:$V$2005,"&lt;"&amp;$V1898,$K$6:$K$2005,"")+1)</f>
        <v/>
      </c>
    </row>
    <row r="1899">
      <c r="A1899">
        <f>IF(Sync!$Z1899="","",LEFT(UPPER(TRIM(Sync!$Z1899)),6))</f>
        <v/>
      </c>
      <c r="B1899">
        <f>IF($A1899="","",IF(Sync!$AA1899="","",Sync!$AA1899))</f>
        <v/>
      </c>
      <c r="C1899">
        <f>IF($A1899="","",IF(Sync!$AB1899="","",Sync!$AB1899))</f>
        <v/>
      </c>
      <c r="D1899">
        <f>IF($A1899="","",IF(Sync!$AC1899="","",Sync!$AC1899))</f>
        <v/>
      </c>
      <c r="E1899">
        <f>IF($A1899="","",IF(Sync!$AD1899="","",Sync!$AD1899))</f>
        <v/>
      </c>
      <c r="F1899">
        <f>IF($A1899="","",IF(Sync!$AE1899="",0,Sync!$AE1899))</f>
        <v/>
      </c>
      <c r="G1899">
        <f>IF($A1899="","",IF(Sync!$AF1899="",0,Sync!$AF1899))</f>
        <v/>
      </c>
      <c r="H1899">
        <f>IF(OR($A1899="",ROUND($F1899+$G1899,2)=0),"",$F1899+$G1899)</f>
        <v/>
      </c>
      <c r="I1899">
        <f>IF($H1899="","",IF(ROUND($F1899,2)&gt;0,$A1899,IF($D1899="شخصی قاسم","شخصی قاسم",IF($D1899="هزینه","هزینه: "&amp;IF($E1899="","متفرقه",$E1899),IF($C1899="پاس چک","چک پرداختی",IF(OR($B1899="",COUNTIF(AcctCodesA,$B1899)=0),"متفرقه",$B1899))))))</f>
        <v/>
      </c>
      <c r="J1899">
        <f>IF($H1899="","",IF(ROUND($F1899,2)&gt;0,IF($D1899="شخصی قاسم","شخصی قاسم",IF($D1899="هزینه","هزینه: "&amp;IF($E1899="","متفرقه",$E1899),IF(OR($B1899="",COUNTIF(AcctCodesA,$B1899)=0),"متفرقه",$B1899))),$A1899))</f>
        <v/>
      </c>
      <c r="K1899">
        <f>IF($A1899="","",IF(AND($B1899&lt;&gt;"",COUNTIF(AcctCodesA,$B1899)=0),"کد طرف در INFO تعریف نشده",IF(AND($D1899="هزینه",$E1899=""),"هزینه بدون زیرگروه",IF(AND($C1899="پاس چک",OR(Sync!$AJ1899="",COUNTIF(IssueNosA,Sync!$AJ1899)=0)),"شماره چک پاس‌شده معتبر نیست",""))))</f>
        <v/>
      </c>
      <c r="V1899">
        <f>IF($K1899="","",IF(ISNUMBER(Sync!$AK1899),Sync!$AK1899,LEFT(Sync!$AK1899,4)&amp;MID(Sync!$AK1899,6,2)&amp;RIGHT(Sync!$AK1899,2))&amp;"|"&amp;"4"&amp;RIGHT("00000"&amp;1894,5))</f>
        <v/>
      </c>
      <c r="W1899">
        <f>IF($V1899="",0,COUNTIFS($V$6:$V$2005,"&lt;"&amp;$V1899)-COUNTIFS($V$6:$V$2005,"&lt;"&amp;$V1899,$K$6:$K$2005,"")+1)</f>
        <v/>
      </c>
    </row>
    <row r="1900">
      <c r="A1900">
        <f>IF(Sync!$Z1900="","",LEFT(UPPER(TRIM(Sync!$Z1900)),6))</f>
        <v/>
      </c>
      <c r="B1900">
        <f>IF($A1900="","",IF(Sync!$AA1900="","",Sync!$AA1900))</f>
        <v/>
      </c>
      <c r="C1900">
        <f>IF($A1900="","",IF(Sync!$AB1900="","",Sync!$AB1900))</f>
        <v/>
      </c>
      <c r="D1900">
        <f>IF($A1900="","",IF(Sync!$AC1900="","",Sync!$AC1900))</f>
        <v/>
      </c>
      <c r="E1900">
        <f>IF($A1900="","",IF(Sync!$AD1900="","",Sync!$AD1900))</f>
        <v/>
      </c>
      <c r="F1900">
        <f>IF($A1900="","",IF(Sync!$AE1900="",0,Sync!$AE1900))</f>
        <v/>
      </c>
      <c r="G1900">
        <f>IF($A1900="","",IF(Sync!$AF1900="",0,Sync!$AF1900))</f>
        <v/>
      </c>
      <c r="H1900">
        <f>IF(OR($A1900="",ROUND($F1900+$G1900,2)=0),"",$F1900+$G1900)</f>
        <v/>
      </c>
      <c r="I1900">
        <f>IF($H1900="","",IF(ROUND($F1900,2)&gt;0,$A1900,IF($D1900="شخصی قاسم","شخصی قاسم",IF($D1900="هزینه","هزینه: "&amp;IF($E1900="","متفرقه",$E1900),IF($C1900="پاس چک","چک پرداختی",IF(OR($B1900="",COUNTIF(AcctCodesA,$B1900)=0),"متفرقه",$B1900))))))</f>
        <v/>
      </c>
      <c r="J1900">
        <f>IF($H1900="","",IF(ROUND($F1900,2)&gt;0,IF($D1900="شخصی قاسم","شخصی قاسم",IF($D1900="هزینه","هزینه: "&amp;IF($E1900="","متفرقه",$E1900),IF(OR($B1900="",COUNTIF(AcctCodesA,$B1900)=0),"متفرقه",$B1900))),$A1900))</f>
        <v/>
      </c>
      <c r="K1900">
        <f>IF($A1900="","",IF(AND($B1900&lt;&gt;"",COUNTIF(AcctCodesA,$B1900)=0),"کد طرف در INFO تعریف نشده",IF(AND($D1900="هزینه",$E1900=""),"هزینه بدون زیرگروه",IF(AND($C1900="پاس چک",OR(Sync!$AJ1900="",COUNTIF(IssueNosA,Sync!$AJ1900)=0)),"شماره چک پاس‌شده معتبر نیست",""))))</f>
        <v/>
      </c>
      <c r="V1900">
        <f>IF($K1900="","",IF(ISNUMBER(Sync!$AK1900),Sync!$AK1900,LEFT(Sync!$AK1900,4)&amp;MID(Sync!$AK1900,6,2)&amp;RIGHT(Sync!$AK1900,2))&amp;"|"&amp;"4"&amp;RIGHT("00000"&amp;1895,5))</f>
        <v/>
      </c>
      <c r="W1900">
        <f>IF($V1900="",0,COUNTIFS($V$6:$V$2005,"&lt;"&amp;$V1900)-COUNTIFS($V$6:$V$2005,"&lt;"&amp;$V1900,$K$6:$K$2005,"")+1)</f>
        <v/>
      </c>
    </row>
    <row r="1901">
      <c r="A1901">
        <f>IF(Sync!$Z1901="","",LEFT(UPPER(TRIM(Sync!$Z1901)),6))</f>
        <v/>
      </c>
      <c r="B1901">
        <f>IF($A1901="","",IF(Sync!$AA1901="","",Sync!$AA1901))</f>
        <v/>
      </c>
      <c r="C1901">
        <f>IF($A1901="","",IF(Sync!$AB1901="","",Sync!$AB1901))</f>
        <v/>
      </c>
      <c r="D1901">
        <f>IF($A1901="","",IF(Sync!$AC1901="","",Sync!$AC1901))</f>
        <v/>
      </c>
      <c r="E1901">
        <f>IF($A1901="","",IF(Sync!$AD1901="","",Sync!$AD1901))</f>
        <v/>
      </c>
      <c r="F1901">
        <f>IF($A1901="","",IF(Sync!$AE1901="",0,Sync!$AE1901))</f>
        <v/>
      </c>
      <c r="G1901">
        <f>IF($A1901="","",IF(Sync!$AF1901="",0,Sync!$AF1901))</f>
        <v/>
      </c>
      <c r="H1901">
        <f>IF(OR($A1901="",ROUND($F1901+$G1901,2)=0),"",$F1901+$G1901)</f>
        <v/>
      </c>
      <c r="I1901">
        <f>IF($H1901="","",IF(ROUND($F1901,2)&gt;0,$A1901,IF($D1901="شخصی قاسم","شخصی قاسم",IF($D1901="هزینه","هزینه: "&amp;IF($E1901="","متفرقه",$E1901),IF($C1901="پاس چک","چک پرداختی",IF(OR($B1901="",COUNTIF(AcctCodesA,$B1901)=0),"متفرقه",$B1901))))))</f>
        <v/>
      </c>
      <c r="J1901">
        <f>IF($H1901="","",IF(ROUND($F1901,2)&gt;0,IF($D1901="شخصی قاسم","شخصی قاسم",IF($D1901="هزینه","هزینه: "&amp;IF($E1901="","متفرقه",$E1901),IF(OR($B1901="",COUNTIF(AcctCodesA,$B1901)=0),"متفرقه",$B1901))),$A1901))</f>
        <v/>
      </c>
      <c r="K1901">
        <f>IF($A1901="","",IF(AND($B1901&lt;&gt;"",COUNTIF(AcctCodesA,$B1901)=0),"کد طرف در INFO تعریف نشده",IF(AND($D1901="هزینه",$E1901=""),"هزینه بدون زیرگروه",IF(AND($C1901="پاس چک",OR(Sync!$AJ1901="",COUNTIF(IssueNosA,Sync!$AJ1901)=0)),"شماره چک پاس‌شده معتبر نیست",""))))</f>
        <v/>
      </c>
      <c r="V1901">
        <f>IF($K1901="","",IF(ISNUMBER(Sync!$AK1901),Sync!$AK1901,LEFT(Sync!$AK1901,4)&amp;MID(Sync!$AK1901,6,2)&amp;RIGHT(Sync!$AK1901,2))&amp;"|"&amp;"4"&amp;RIGHT("00000"&amp;1896,5))</f>
        <v/>
      </c>
      <c r="W1901">
        <f>IF($V1901="",0,COUNTIFS($V$6:$V$2005,"&lt;"&amp;$V1901)-COUNTIFS($V$6:$V$2005,"&lt;"&amp;$V1901,$K$6:$K$2005,"")+1)</f>
        <v/>
      </c>
    </row>
    <row r="1902">
      <c r="A1902">
        <f>IF(Sync!$Z1902="","",LEFT(UPPER(TRIM(Sync!$Z1902)),6))</f>
        <v/>
      </c>
      <c r="B1902">
        <f>IF($A1902="","",IF(Sync!$AA1902="","",Sync!$AA1902))</f>
        <v/>
      </c>
      <c r="C1902">
        <f>IF($A1902="","",IF(Sync!$AB1902="","",Sync!$AB1902))</f>
        <v/>
      </c>
      <c r="D1902">
        <f>IF($A1902="","",IF(Sync!$AC1902="","",Sync!$AC1902))</f>
        <v/>
      </c>
      <c r="E1902">
        <f>IF($A1902="","",IF(Sync!$AD1902="","",Sync!$AD1902))</f>
        <v/>
      </c>
      <c r="F1902">
        <f>IF($A1902="","",IF(Sync!$AE1902="",0,Sync!$AE1902))</f>
        <v/>
      </c>
      <c r="G1902">
        <f>IF($A1902="","",IF(Sync!$AF1902="",0,Sync!$AF1902))</f>
        <v/>
      </c>
      <c r="H1902">
        <f>IF(OR($A1902="",ROUND($F1902+$G1902,2)=0),"",$F1902+$G1902)</f>
        <v/>
      </c>
      <c r="I1902">
        <f>IF($H1902="","",IF(ROUND($F1902,2)&gt;0,$A1902,IF($D1902="شخصی قاسم","شخصی قاسم",IF($D1902="هزینه","هزینه: "&amp;IF($E1902="","متفرقه",$E1902),IF($C1902="پاس چک","چک پرداختی",IF(OR($B1902="",COUNTIF(AcctCodesA,$B1902)=0),"متفرقه",$B1902))))))</f>
        <v/>
      </c>
      <c r="J1902">
        <f>IF($H1902="","",IF(ROUND($F1902,2)&gt;0,IF($D1902="شخصی قاسم","شخصی قاسم",IF($D1902="هزینه","هزینه: "&amp;IF($E1902="","متفرقه",$E1902),IF(OR($B1902="",COUNTIF(AcctCodesA,$B1902)=0),"متفرقه",$B1902))),$A1902))</f>
        <v/>
      </c>
      <c r="K1902">
        <f>IF($A1902="","",IF(AND($B1902&lt;&gt;"",COUNTIF(AcctCodesA,$B1902)=0),"کد طرف در INFO تعریف نشده",IF(AND($D1902="هزینه",$E1902=""),"هزینه بدون زیرگروه",IF(AND($C1902="پاس چک",OR(Sync!$AJ1902="",COUNTIF(IssueNosA,Sync!$AJ1902)=0)),"شماره چک پاس‌شده معتبر نیست",""))))</f>
        <v/>
      </c>
      <c r="V1902">
        <f>IF($K1902="","",IF(ISNUMBER(Sync!$AK1902),Sync!$AK1902,LEFT(Sync!$AK1902,4)&amp;MID(Sync!$AK1902,6,2)&amp;RIGHT(Sync!$AK1902,2))&amp;"|"&amp;"4"&amp;RIGHT("00000"&amp;1897,5))</f>
        <v/>
      </c>
      <c r="W1902">
        <f>IF($V1902="",0,COUNTIFS($V$6:$V$2005,"&lt;"&amp;$V1902)-COUNTIFS($V$6:$V$2005,"&lt;"&amp;$V1902,$K$6:$K$2005,"")+1)</f>
        <v/>
      </c>
    </row>
    <row r="1903">
      <c r="A1903">
        <f>IF(Sync!$Z1903="","",LEFT(UPPER(TRIM(Sync!$Z1903)),6))</f>
        <v/>
      </c>
      <c r="B1903">
        <f>IF($A1903="","",IF(Sync!$AA1903="","",Sync!$AA1903))</f>
        <v/>
      </c>
      <c r="C1903">
        <f>IF($A1903="","",IF(Sync!$AB1903="","",Sync!$AB1903))</f>
        <v/>
      </c>
      <c r="D1903">
        <f>IF($A1903="","",IF(Sync!$AC1903="","",Sync!$AC1903))</f>
        <v/>
      </c>
      <c r="E1903">
        <f>IF($A1903="","",IF(Sync!$AD1903="","",Sync!$AD1903))</f>
        <v/>
      </c>
      <c r="F1903">
        <f>IF($A1903="","",IF(Sync!$AE1903="",0,Sync!$AE1903))</f>
        <v/>
      </c>
      <c r="G1903">
        <f>IF($A1903="","",IF(Sync!$AF1903="",0,Sync!$AF1903))</f>
        <v/>
      </c>
      <c r="H1903">
        <f>IF(OR($A1903="",ROUND($F1903+$G1903,2)=0),"",$F1903+$G1903)</f>
        <v/>
      </c>
      <c r="I1903">
        <f>IF($H1903="","",IF(ROUND($F1903,2)&gt;0,$A1903,IF($D1903="شخصی قاسم","شخصی قاسم",IF($D1903="هزینه","هزینه: "&amp;IF($E1903="","متفرقه",$E1903),IF($C1903="پاس چک","چک پرداختی",IF(OR($B1903="",COUNTIF(AcctCodesA,$B1903)=0),"متفرقه",$B1903))))))</f>
        <v/>
      </c>
      <c r="J1903">
        <f>IF($H1903="","",IF(ROUND($F1903,2)&gt;0,IF($D1903="شخصی قاسم","شخصی قاسم",IF($D1903="هزینه","هزینه: "&amp;IF($E1903="","متفرقه",$E1903),IF(OR($B1903="",COUNTIF(AcctCodesA,$B1903)=0),"متفرقه",$B1903))),$A1903))</f>
        <v/>
      </c>
      <c r="K1903">
        <f>IF($A1903="","",IF(AND($B1903&lt;&gt;"",COUNTIF(AcctCodesA,$B1903)=0),"کد طرف در INFO تعریف نشده",IF(AND($D1903="هزینه",$E1903=""),"هزینه بدون زیرگروه",IF(AND($C1903="پاس چک",OR(Sync!$AJ1903="",COUNTIF(IssueNosA,Sync!$AJ1903)=0)),"شماره چک پاس‌شده معتبر نیست",""))))</f>
        <v/>
      </c>
      <c r="V1903">
        <f>IF($K1903="","",IF(ISNUMBER(Sync!$AK1903),Sync!$AK1903,LEFT(Sync!$AK1903,4)&amp;MID(Sync!$AK1903,6,2)&amp;RIGHT(Sync!$AK1903,2))&amp;"|"&amp;"4"&amp;RIGHT("00000"&amp;1898,5))</f>
        <v/>
      </c>
      <c r="W1903">
        <f>IF($V1903="",0,COUNTIFS($V$6:$V$2005,"&lt;"&amp;$V1903)-COUNTIFS($V$6:$V$2005,"&lt;"&amp;$V1903,$K$6:$K$2005,"")+1)</f>
        <v/>
      </c>
    </row>
    <row r="1904">
      <c r="A1904">
        <f>IF(Sync!$Z1904="","",LEFT(UPPER(TRIM(Sync!$Z1904)),6))</f>
        <v/>
      </c>
      <c r="B1904">
        <f>IF($A1904="","",IF(Sync!$AA1904="","",Sync!$AA1904))</f>
        <v/>
      </c>
      <c r="C1904">
        <f>IF($A1904="","",IF(Sync!$AB1904="","",Sync!$AB1904))</f>
        <v/>
      </c>
      <c r="D1904">
        <f>IF($A1904="","",IF(Sync!$AC1904="","",Sync!$AC1904))</f>
        <v/>
      </c>
      <c r="E1904">
        <f>IF($A1904="","",IF(Sync!$AD1904="","",Sync!$AD1904))</f>
        <v/>
      </c>
      <c r="F1904">
        <f>IF($A1904="","",IF(Sync!$AE1904="",0,Sync!$AE1904))</f>
        <v/>
      </c>
      <c r="G1904">
        <f>IF($A1904="","",IF(Sync!$AF1904="",0,Sync!$AF1904))</f>
        <v/>
      </c>
      <c r="H1904">
        <f>IF(OR($A1904="",ROUND($F1904+$G1904,2)=0),"",$F1904+$G1904)</f>
        <v/>
      </c>
      <c r="I1904">
        <f>IF($H1904="","",IF(ROUND($F1904,2)&gt;0,$A1904,IF($D1904="شخصی قاسم","شخصی قاسم",IF($D1904="هزینه","هزینه: "&amp;IF($E1904="","متفرقه",$E1904),IF($C1904="پاس چک","چک پرداختی",IF(OR($B1904="",COUNTIF(AcctCodesA,$B1904)=0),"متفرقه",$B1904))))))</f>
        <v/>
      </c>
      <c r="J1904">
        <f>IF($H1904="","",IF(ROUND($F1904,2)&gt;0,IF($D1904="شخصی قاسم","شخصی قاسم",IF($D1904="هزینه","هزینه: "&amp;IF($E1904="","متفرقه",$E1904),IF(OR($B1904="",COUNTIF(AcctCodesA,$B1904)=0),"متفرقه",$B1904))),$A1904))</f>
        <v/>
      </c>
      <c r="K1904">
        <f>IF($A1904="","",IF(AND($B1904&lt;&gt;"",COUNTIF(AcctCodesA,$B1904)=0),"کد طرف در INFO تعریف نشده",IF(AND($D1904="هزینه",$E1904=""),"هزینه بدون زیرگروه",IF(AND($C1904="پاس چک",OR(Sync!$AJ1904="",COUNTIF(IssueNosA,Sync!$AJ1904)=0)),"شماره چک پاس‌شده معتبر نیست",""))))</f>
        <v/>
      </c>
      <c r="V1904">
        <f>IF($K1904="","",IF(ISNUMBER(Sync!$AK1904),Sync!$AK1904,LEFT(Sync!$AK1904,4)&amp;MID(Sync!$AK1904,6,2)&amp;RIGHT(Sync!$AK1904,2))&amp;"|"&amp;"4"&amp;RIGHT("00000"&amp;1899,5))</f>
        <v/>
      </c>
      <c r="W1904">
        <f>IF($V1904="",0,COUNTIFS($V$6:$V$2005,"&lt;"&amp;$V1904)-COUNTIFS($V$6:$V$2005,"&lt;"&amp;$V1904,$K$6:$K$2005,"")+1)</f>
        <v/>
      </c>
    </row>
    <row r="1905">
      <c r="A1905">
        <f>IF(Sync!$Z1905="","",LEFT(UPPER(TRIM(Sync!$Z1905)),6))</f>
        <v/>
      </c>
      <c r="B1905">
        <f>IF($A1905="","",IF(Sync!$AA1905="","",Sync!$AA1905))</f>
        <v/>
      </c>
      <c r="C1905">
        <f>IF($A1905="","",IF(Sync!$AB1905="","",Sync!$AB1905))</f>
        <v/>
      </c>
      <c r="D1905">
        <f>IF($A1905="","",IF(Sync!$AC1905="","",Sync!$AC1905))</f>
        <v/>
      </c>
      <c r="E1905">
        <f>IF($A1905="","",IF(Sync!$AD1905="","",Sync!$AD1905))</f>
        <v/>
      </c>
      <c r="F1905">
        <f>IF($A1905="","",IF(Sync!$AE1905="",0,Sync!$AE1905))</f>
        <v/>
      </c>
      <c r="G1905">
        <f>IF($A1905="","",IF(Sync!$AF1905="",0,Sync!$AF1905))</f>
        <v/>
      </c>
      <c r="H1905">
        <f>IF(OR($A1905="",ROUND($F1905+$G1905,2)=0),"",$F1905+$G1905)</f>
        <v/>
      </c>
      <c r="I1905">
        <f>IF($H1905="","",IF(ROUND($F1905,2)&gt;0,$A1905,IF($D1905="شخصی قاسم","شخصی قاسم",IF($D1905="هزینه","هزینه: "&amp;IF($E1905="","متفرقه",$E1905),IF($C1905="پاس چک","چک پرداختی",IF(OR($B1905="",COUNTIF(AcctCodesA,$B1905)=0),"متفرقه",$B1905))))))</f>
        <v/>
      </c>
      <c r="J1905">
        <f>IF($H1905="","",IF(ROUND($F1905,2)&gt;0,IF($D1905="شخصی قاسم","شخصی قاسم",IF($D1905="هزینه","هزینه: "&amp;IF($E1905="","متفرقه",$E1905),IF(OR($B1905="",COUNTIF(AcctCodesA,$B1905)=0),"متفرقه",$B1905))),$A1905))</f>
        <v/>
      </c>
      <c r="K1905">
        <f>IF($A1905="","",IF(AND($B1905&lt;&gt;"",COUNTIF(AcctCodesA,$B1905)=0),"کد طرف در INFO تعریف نشده",IF(AND($D1905="هزینه",$E1905=""),"هزینه بدون زیرگروه",IF(AND($C1905="پاس چک",OR(Sync!$AJ1905="",COUNTIF(IssueNosA,Sync!$AJ1905)=0)),"شماره چک پاس‌شده معتبر نیست",""))))</f>
        <v/>
      </c>
      <c r="V1905">
        <f>IF($K1905="","",IF(ISNUMBER(Sync!$AK1905),Sync!$AK1905,LEFT(Sync!$AK1905,4)&amp;MID(Sync!$AK1905,6,2)&amp;RIGHT(Sync!$AK1905,2))&amp;"|"&amp;"4"&amp;RIGHT("00000"&amp;1900,5))</f>
        <v/>
      </c>
      <c r="W1905">
        <f>IF($V1905="",0,COUNTIFS($V$6:$V$2005,"&lt;"&amp;$V1905)-COUNTIFS($V$6:$V$2005,"&lt;"&amp;$V1905,$K$6:$K$2005,"")+1)</f>
        <v/>
      </c>
    </row>
    <row r="1906">
      <c r="A1906">
        <f>IF(Sync!$Z1906="","",LEFT(UPPER(TRIM(Sync!$Z1906)),6))</f>
        <v/>
      </c>
      <c r="B1906">
        <f>IF($A1906="","",IF(Sync!$AA1906="","",Sync!$AA1906))</f>
        <v/>
      </c>
      <c r="C1906">
        <f>IF($A1906="","",IF(Sync!$AB1906="","",Sync!$AB1906))</f>
        <v/>
      </c>
      <c r="D1906">
        <f>IF($A1906="","",IF(Sync!$AC1906="","",Sync!$AC1906))</f>
        <v/>
      </c>
      <c r="E1906">
        <f>IF($A1906="","",IF(Sync!$AD1906="","",Sync!$AD1906))</f>
        <v/>
      </c>
      <c r="F1906">
        <f>IF($A1906="","",IF(Sync!$AE1906="",0,Sync!$AE1906))</f>
        <v/>
      </c>
      <c r="G1906">
        <f>IF($A1906="","",IF(Sync!$AF1906="",0,Sync!$AF1906))</f>
        <v/>
      </c>
      <c r="H1906">
        <f>IF(OR($A1906="",ROUND($F1906+$G1906,2)=0),"",$F1906+$G1906)</f>
        <v/>
      </c>
      <c r="I1906">
        <f>IF($H1906="","",IF(ROUND($F1906,2)&gt;0,$A1906,IF($D1906="شخصی قاسم","شخصی قاسم",IF($D1906="هزینه","هزینه: "&amp;IF($E1906="","متفرقه",$E1906),IF($C1906="پاس چک","چک پرداختی",IF(OR($B1906="",COUNTIF(AcctCodesA,$B1906)=0),"متفرقه",$B1906))))))</f>
        <v/>
      </c>
      <c r="J1906">
        <f>IF($H1906="","",IF(ROUND($F1906,2)&gt;0,IF($D1906="شخصی قاسم","شخصی قاسم",IF($D1906="هزینه","هزینه: "&amp;IF($E1906="","متفرقه",$E1906),IF(OR($B1906="",COUNTIF(AcctCodesA,$B1906)=0),"متفرقه",$B1906))),$A1906))</f>
        <v/>
      </c>
      <c r="K1906">
        <f>IF($A1906="","",IF(AND($B1906&lt;&gt;"",COUNTIF(AcctCodesA,$B1906)=0),"کد طرف در INFO تعریف نشده",IF(AND($D1906="هزینه",$E1906=""),"هزینه بدون زیرگروه",IF(AND($C1906="پاس چک",OR(Sync!$AJ1906="",COUNTIF(IssueNosA,Sync!$AJ1906)=0)),"شماره چک پاس‌شده معتبر نیست",""))))</f>
        <v/>
      </c>
      <c r="V1906">
        <f>IF($K1906="","",IF(ISNUMBER(Sync!$AK1906),Sync!$AK1906,LEFT(Sync!$AK1906,4)&amp;MID(Sync!$AK1906,6,2)&amp;RIGHT(Sync!$AK1906,2))&amp;"|"&amp;"4"&amp;RIGHT("00000"&amp;1901,5))</f>
        <v/>
      </c>
      <c r="W1906">
        <f>IF($V1906="",0,COUNTIFS($V$6:$V$2005,"&lt;"&amp;$V1906)-COUNTIFS($V$6:$V$2005,"&lt;"&amp;$V1906,$K$6:$K$2005,"")+1)</f>
        <v/>
      </c>
    </row>
    <row r="1907">
      <c r="A1907">
        <f>IF(Sync!$Z1907="","",LEFT(UPPER(TRIM(Sync!$Z1907)),6))</f>
        <v/>
      </c>
      <c r="B1907">
        <f>IF($A1907="","",IF(Sync!$AA1907="","",Sync!$AA1907))</f>
        <v/>
      </c>
      <c r="C1907">
        <f>IF($A1907="","",IF(Sync!$AB1907="","",Sync!$AB1907))</f>
        <v/>
      </c>
      <c r="D1907">
        <f>IF($A1907="","",IF(Sync!$AC1907="","",Sync!$AC1907))</f>
        <v/>
      </c>
      <c r="E1907">
        <f>IF($A1907="","",IF(Sync!$AD1907="","",Sync!$AD1907))</f>
        <v/>
      </c>
      <c r="F1907">
        <f>IF($A1907="","",IF(Sync!$AE1907="",0,Sync!$AE1907))</f>
        <v/>
      </c>
      <c r="G1907">
        <f>IF($A1907="","",IF(Sync!$AF1907="",0,Sync!$AF1907))</f>
        <v/>
      </c>
      <c r="H1907">
        <f>IF(OR($A1907="",ROUND($F1907+$G1907,2)=0),"",$F1907+$G1907)</f>
        <v/>
      </c>
      <c r="I1907">
        <f>IF($H1907="","",IF(ROUND($F1907,2)&gt;0,$A1907,IF($D1907="شخصی قاسم","شخصی قاسم",IF($D1907="هزینه","هزینه: "&amp;IF($E1907="","متفرقه",$E1907),IF($C1907="پاس چک","چک پرداختی",IF(OR($B1907="",COUNTIF(AcctCodesA,$B1907)=0),"متفرقه",$B1907))))))</f>
        <v/>
      </c>
      <c r="J1907">
        <f>IF($H1907="","",IF(ROUND($F1907,2)&gt;0,IF($D1907="شخصی قاسم","شخصی قاسم",IF($D1907="هزینه","هزینه: "&amp;IF($E1907="","متفرقه",$E1907),IF(OR($B1907="",COUNTIF(AcctCodesA,$B1907)=0),"متفرقه",$B1907))),$A1907))</f>
        <v/>
      </c>
      <c r="K1907">
        <f>IF($A1907="","",IF(AND($B1907&lt;&gt;"",COUNTIF(AcctCodesA,$B1907)=0),"کد طرف در INFO تعریف نشده",IF(AND($D1907="هزینه",$E1907=""),"هزینه بدون زیرگروه",IF(AND($C1907="پاس چک",OR(Sync!$AJ1907="",COUNTIF(IssueNosA,Sync!$AJ1907)=0)),"شماره چک پاس‌شده معتبر نیست",""))))</f>
        <v/>
      </c>
      <c r="V1907">
        <f>IF($K1907="","",IF(ISNUMBER(Sync!$AK1907),Sync!$AK1907,LEFT(Sync!$AK1907,4)&amp;MID(Sync!$AK1907,6,2)&amp;RIGHT(Sync!$AK1907,2))&amp;"|"&amp;"4"&amp;RIGHT("00000"&amp;1902,5))</f>
        <v/>
      </c>
      <c r="W1907">
        <f>IF($V1907="",0,COUNTIFS($V$6:$V$2005,"&lt;"&amp;$V1907)-COUNTIFS($V$6:$V$2005,"&lt;"&amp;$V1907,$K$6:$K$2005,"")+1)</f>
        <v/>
      </c>
    </row>
    <row r="1908">
      <c r="A1908">
        <f>IF(Sync!$Z1908="","",LEFT(UPPER(TRIM(Sync!$Z1908)),6))</f>
        <v/>
      </c>
      <c r="B1908">
        <f>IF($A1908="","",IF(Sync!$AA1908="","",Sync!$AA1908))</f>
        <v/>
      </c>
      <c r="C1908">
        <f>IF($A1908="","",IF(Sync!$AB1908="","",Sync!$AB1908))</f>
        <v/>
      </c>
      <c r="D1908">
        <f>IF($A1908="","",IF(Sync!$AC1908="","",Sync!$AC1908))</f>
        <v/>
      </c>
      <c r="E1908">
        <f>IF($A1908="","",IF(Sync!$AD1908="","",Sync!$AD1908))</f>
        <v/>
      </c>
      <c r="F1908">
        <f>IF($A1908="","",IF(Sync!$AE1908="",0,Sync!$AE1908))</f>
        <v/>
      </c>
      <c r="G1908">
        <f>IF($A1908="","",IF(Sync!$AF1908="",0,Sync!$AF1908))</f>
        <v/>
      </c>
      <c r="H1908">
        <f>IF(OR($A1908="",ROUND($F1908+$G1908,2)=0),"",$F1908+$G1908)</f>
        <v/>
      </c>
      <c r="I1908">
        <f>IF($H1908="","",IF(ROUND($F1908,2)&gt;0,$A1908,IF($D1908="شخصی قاسم","شخصی قاسم",IF($D1908="هزینه","هزینه: "&amp;IF($E1908="","متفرقه",$E1908),IF($C1908="پاس چک","چک پرداختی",IF(OR($B1908="",COUNTIF(AcctCodesA,$B1908)=0),"متفرقه",$B1908))))))</f>
        <v/>
      </c>
      <c r="J1908">
        <f>IF($H1908="","",IF(ROUND($F1908,2)&gt;0,IF($D1908="شخصی قاسم","شخصی قاسم",IF($D1908="هزینه","هزینه: "&amp;IF($E1908="","متفرقه",$E1908),IF(OR($B1908="",COUNTIF(AcctCodesA,$B1908)=0),"متفرقه",$B1908))),$A1908))</f>
        <v/>
      </c>
      <c r="K1908">
        <f>IF($A1908="","",IF(AND($B1908&lt;&gt;"",COUNTIF(AcctCodesA,$B1908)=0),"کد طرف در INFO تعریف نشده",IF(AND($D1908="هزینه",$E1908=""),"هزینه بدون زیرگروه",IF(AND($C1908="پاس چک",OR(Sync!$AJ1908="",COUNTIF(IssueNosA,Sync!$AJ1908)=0)),"شماره چک پاس‌شده معتبر نیست",""))))</f>
        <v/>
      </c>
      <c r="V1908">
        <f>IF($K1908="","",IF(ISNUMBER(Sync!$AK1908),Sync!$AK1908,LEFT(Sync!$AK1908,4)&amp;MID(Sync!$AK1908,6,2)&amp;RIGHT(Sync!$AK1908,2))&amp;"|"&amp;"4"&amp;RIGHT("00000"&amp;1903,5))</f>
        <v/>
      </c>
      <c r="W1908">
        <f>IF($V1908="",0,COUNTIFS($V$6:$V$2005,"&lt;"&amp;$V1908)-COUNTIFS($V$6:$V$2005,"&lt;"&amp;$V1908,$K$6:$K$2005,"")+1)</f>
        <v/>
      </c>
    </row>
    <row r="1909">
      <c r="A1909">
        <f>IF(Sync!$Z1909="","",LEFT(UPPER(TRIM(Sync!$Z1909)),6))</f>
        <v/>
      </c>
      <c r="B1909">
        <f>IF($A1909="","",IF(Sync!$AA1909="","",Sync!$AA1909))</f>
        <v/>
      </c>
      <c r="C1909">
        <f>IF($A1909="","",IF(Sync!$AB1909="","",Sync!$AB1909))</f>
        <v/>
      </c>
      <c r="D1909">
        <f>IF($A1909="","",IF(Sync!$AC1909="","",Sync!$AC1909))</f>
        <v/>
      </c>
      <c r="E1909">
        <f>IF($A1909="","",IF(Sync!$AD1909="","",Sync!$AD1909))</f>
        <v/>
      </c>
      <c r="F1909">
        <f>IF($A1909="","",IF(Sync!$AE1909="",0,Sync!$AE1909))</f>
        <v/>
      </c>
      <c r="G1909">
        <f>IF($A1909="","",IF(Sync!$AF1909="",0,Sync!$AF1909))</f>
        <v/>
      </c>
      <c r="H1909">
        <f>IF(OR($A1909="",ROUND($F1909+$G1909,2)=0),"",$F1909+$G1909)</f>
        <v/>
      </c>
      <c r="I1909">
        <f>IF($H1909="","",IF(ROUND($F1909,2)&gt;0,$A1909,IF($D1909="شخصی قاسم","شخصی قاسم",IF($D1909="هزینه","هزینه: "&amp;IF($E1909="","متفرقه",$E1909),IF($C1909="پاس چک","چک پرداختی",IF(OR($B1909="",COUNTIF(AcctCodesA,$B1909)=0),"متفرقه",$B1909))))))</f>
        <v/>
      </c>
      <c r="J1909">
        <f>IF($H1909="","",IF(ROUND($F1909,2)&gt;0,IF($D1909="شخصی قاسم","شخصی قاسم",IF($D1909="هزینه","هزینه: "&amp;IF($E1909="","متفرقه",$E1909),IF(OR($B1909="",COUNTIF(AcctCodesA,$B1909)=0),"متفرقه",$B1909))),$A1909))</f>
        <v/>
      </c>
      <c r="K1909">
        <f>IF($A1909="","",IF(AND($B1909&lt;&gt;"",COUNTIF(AcctCodesA,$B1909)=0),"کد طرف در INFO تعریف نشده",IF(AND($D1909="هزینه",$E1909=""),"هزینه بدون زیرگروه",IF(AND($C1909="پاس چک",OR(Sync!$AJ1909="",COUNTIF(IssueNosA,Sync!$AJ1909)=0)),"شماره چک پاس‌شده معتبر نیست",""))))</f>
        <v/>
      </c>
      <c r="V1909">
        <f>IF($K1909="","",IF(ISNUMBER(Sync!$AK1909),Sync!$AK1909,LEFT(Sync!$AK1909,4)&amp;MID(Sync!$AK1909,6,2)&amp;RIGHT(Sync!$AK1909,2))&amp;"|"&amp;"4"&amp;RIGHT("00000"&amp;1904,5))</f>
        <v/>
      </c>
      <c r="W1909">
        <f>IF($V1909="",0,COUNTIFS($V$6:$V$2005,"&lt;"&amp;$V1909)-COUNTIFS($V$6:$V$2005,"&lt;"&amp;$V1909,$K$6:$K$2005,"")+1)</f>
        <v/>
      </c>
    </row>
    <row r="1910">
      <c r="A1910">
        <f>IF(Sync!$Z1910="","",LEFT(UPPER(TRIM(Sync!$Z1910)),6))</f>
        <v/>
      </c>
      <c r="B1910">
        <f>IF($A1910="","",IF(Sync!$AA1910="","",Sync!$AA1910))</f>
        <v/>
      </c>
      <c r="C1910">
        <f>IF($A1910="","",IF(Sync!$AB1910="","",Sync!$AB1910))</f>
        <v/>
      </c>
      <c r="D1910">
        <f>IF($A1910="","",IF(Sync!$AC1910="","",Sync!$AC1910))</f>
        <v/>
      </c>
      <c r="E1910">
        <f>IF($A1910="","",IF(Sync!$AD1910="","",Sync!$AD1910))</f>
        <v/>
      </c>
      <c r="F1910">
        <f>IF($A1910="","",IF(Sync!$AE1910="",0,Sync!$AE1910))</f>
        <v/>
      </c>
      <c r="G1910">
        <f>IF($A1910="","",IF(Sync!$AF1910="",0,Sync!$AF1910))</f>
        <v/>
      </c>
      <c r="H1910">
        <f>IF(OR($A1910="",ROUND($F1910+$G1910,2)=0),"",$F1910+$G1910)</f>
        <v/>
      </c>
      <c r="I1910">
        <f>IF($H1910="","",IF(ROUND($F1910,2)&gt;0,$A1910,IF($D1910="شخصی قاسم","شخصی قاسم",IF($D1910="هزینه","هزینه: "&amp;IF($E1910="","متفرقه",$E1910),IF($C1910="پاس چک","چک پرداختی",IF(OR($B1910="",COUNTIF(AcctCodesA,$B1910)=0),"متفرقه",$B1910))))))</f>
        <v/>
      </c>
      <c r="J1910">
        <f>IF($H1910="","",IF(ROUND($F1910,2)&gt;0,IF($D1910="شخصی قاسم","شخصی قاسم",IF($D1910="هزینه","هزینه: "&amp;IF($E1910="","متفرقه",$E1910),IF(OR($B1910="",COUNTIF(AcctCodesA,$B1910)=0),"متفرقه",$B1910))),$A1910))</f>
        <v/>
      </c>
      <c r="K1910">
        <f>IF($A1910="","",IF(AND($B1910&lt;&gt;"",COUNTIF(AcctCodesA,$B1910)=0),"کد طرف در INFO تعریف نشده",IF(AND($D1910="هزینه",$E1910=""),"هزینه بدون زیرگروه",IF(AND($C1910="پاس چک",OR(Sync!$AJ1910="",COUNTIF(IssueNosA,Sync!$AJ1910)=0)),"شماره چک پاس‌شده معتبر نیست",""))))</f>
        <v/>
      </c>
      <c r="V1910">
        <f>IF($K1910="","",IF(ISNUMBER(Sync!$AK1910),Sync!$AK1910,LEFT(Sync!$AK1910,4)&amp;MID(Sync!$AK1910,6,2)&amp;RIGHT(Sync!$AK1910,2))&amp;"|"&amp;"4"&amp;RIGHT("00000"&amp;1905,5))</f>
        <v/>
      </c>
      <c r="W1910">
        <f>IF($V1910="",0,COUNTIFS($V$6:$V$2005,"&lt;"&amp;$V1910)-COUNTIFS($V$6:$V$2005,"&lt;"&amp;$V1910,$K$6:$K$2005,"")+1)</f>
        <v/>
      </c>
    </row>
    <row r="1911">
      <c r="A1911">
        <f>IF(Sync!$Z1911="","",LEFT(UPPER(TRIM(Sync!$Z1911)),6))</f>
        <v/>
      </c>
      <c r="B1911">
        <f>IF($A1911="","",IF(Sync!$AA1911="","",Sync!$AA1911))</f>
        <v/>
      </c>
      <c r="C1911">
        <f>IF($A1911="","",IF(Sync!$AB1911="","",Sync!$AB1911))</f>
        <v/>
      </c>
      <c r="D1911">
        <f>IF($A1911="","",IF(Sync!$AC1911="","",Sync!$AC1911))</f>
        <v/>
      </c>
      <c r="E1911">
        <f>IF($A1911="","",IF(Sync!$AD1911="","",Sync!$AD1911))</f>
        <v/>
      </c>
      <c r="F1911">
        <f>IF($A1911="","",IF(Sync!$AE1911="",0,Sync!$AE1911))</f>
        <v/>
      </c>
      <c r="G1911">
        <f>IF($A1911="","",IF(Sync!$AF1911="",0,Sync!$AF1911))</f>
        <v/>
      </c>
      <c r="H1911">
        <f>IF(OR($A1911="",ROUND($F1911+$G1911,2)=0),"",$F1911+$G1911)</f>
        <v/>
      </c>
      <c r="I1911">
        <f>IF($H1911="","",IF(ROUND($F1911,2)&gt;0,$A1911,IF($D1911="شخصی قاسم","شخصی قاسم",IF($D1911="هزینه","هزینه: "&amp;IF($E1911="","متفرقه",$E1911),IF($C1911="پاس چک","چک پرداختی",IF(OR($B1911="",COUNTIF(AcctCodesA,$B1911)=0),"متفرقه",$B1911))))))</f>
        <v/>
      </c>
      <c r="J1911">
        <f>IF($H1911="","",IF(ROUND($F1911,2)&gt;0,IF($D1911="شخصی قاسم","شخصی قاسم",IF($D1911="هزینه","هزینه: "&amp;IF($E1911="","متفرقه",$E1911),IF(OR($B1911="",COUNTIF(AcctCodesA,$B1911)=0),"متفرقه",$B1911))),$A1911))</f>
        <v/>
      </c>
      <c r="K1911">
        <f>IF($A1911="","",IF(AND($B1911&lt;&gt;"",COUNTIF(AcctCodesA,$B1911)=0),"کد طرف در INFO تعریف نشده",IF(AND($D1911="هزینه",$E1911=""),"هزینه بدون زیرگروه",IF(AND($C1911="پاس چک",OR(Sync!$AJ1911="",COUNTIF(IssueNosA,Sync!$AJ1911)=0)),"شماره چک پاس‌شده معتبر نیست",""))))</f>
        <v/>
      </c>
      <c r="V1911">
        <f>IF($K1911="","",IF(ISNUMBER(Sync!$AK1911),Sync!$AK1911,LEFT(Sync!$AK1911,4)&amp;MID(Sync!$AK1911,6,2)&amp;RIGHT(Sync!$AK1911,2))&amp;"|"&amp;"4"&amp;RIGHT("00000"&amp;1906,5))</f>
        <v/>
      </c>
      <c r="W1911">
        <f>IF($V1911="",0,COUNTIFS($V$6:$V$2005,"&lt;"&amp;$V1911)-COUNTIFS($V$6:$V$2005,"&lt;"&amp;$V1911,$K$6:$K$2005,"")+1)</f>
        <v/>
      </c>
    </row>
    <row r="1912">
      <c r="A1912">
        <f>IF(Sync!$Z1912="","",LEFT(UPPER(TRIM(Sync!$Z1912)),6))</f>
        <v/>
      </c>
      <c r="B1912">
        <f>IF($A1912="","",IF(Sync!$AA1912="","",Sync!$AA1912))</f>
        <v/>
      </c>
      <c r="C1912">
        <f>IF($A1912="","",IF(Sync!$AB1912="","",Sync!$AB1912))</f>
        <v/>
      </c>
      <c r="D1912">
        <f>IF($A1912="","",IF(Sync!$AC1912="","",Sync!$AC1912))</f>
        <v/>
      </c>
      <c r="E1912">
        <f>IF($A1912="","",IF(Sync!$AD1912="","",Sync!$AD1912))</f>
        <v/>
      </c>
      <c r="F1912">
        <f>IF($A1912="","",IF(Sync!$AE1912="",0,Sync!$AE1912))</f>
        <v/>
      </c>
      <c r="G1912">
        <f>IF($A1912="","",IF(Sync!$AF1912="",0,Sync!$AF1912))</f>
        <v/>
      </c>
      <c r="H1912">
        <f>IF(OR($A1912="",ROUND($F1912+$G1912,2)=0),"",$F1912+$G1912)</f>
        <v/>
      </c>
      <c r="I1912">
        <f>IF($H1912="","",IF(ROUND($F1912,2)&gt;0,$A1912,IF($D1912="شخصی قاسم","شخصی قاسم",IF($D1912="هزینه","هزینه: "&amp;IF($E1912="","متفرقه",$E1912),IF($C1912="پاس چک","چک پرداختی",IF(OR($B1912="",COUNTIF(AcctCodesA,$B1912)=0),"متفرقه",$B1912))))))</f>
        <v/>
      </c>
      <c r="J1912">
        <f>IF($H1912="","",IF(ROUND($F1912,2)&gt;0,IF($D1912="شخصی قاسم","شخصی قاسم",IF($D1912="هزینه","هزینه: "&amp;IF($E1912="","متفرقه",$E1912),IF(OR($B1912="",COUNTIF(AcctCodesA,$B1912)=0),"متفرقه",$B1912))),$A1912))</f>
        <v/>
      </c>
      <c r="K1912">
        <f>IF($A1912="","",IF(AND($B1912&lt;&gt;"",COUNTIF(AcctCodesA,$B1912)=0),"کد طرف در INFO تعریف نشده",IF(AND($D1912="هزینه",$E1912=""),"هزینه بدون زیرگروه",IF(AND($C1912="پاس چک",OR(Sync!$AJ1912="",COUNTIF(IssueNosA,Sync!$AJ1912)=0)),"شماره چک پاس‌شده معتبر نیست",""))))</f>
        <v/>
      </c>
      <c r="V1912">
        <f>IF($K1912="","",IF(ISNUMBER(Sync!$AK1912),Sync!$AK1912,LEFT(Sync!$AK1912,4)&amp;MID(Sync!$AK1912,6,2)&amp;RIGHT(Sync!$AK1912,2))&amp;"|"&amp;"4"&amp;RIGHT("00000"&amp;1907,5))</f>
        <v/>
      </c>
      <c r="W1912">
        <f>IF($V1912="",0,COUNTIFS($V$6:$V$2005,"&lt;"&amp;$V1912)-COUNTIFS($V$6:$V$2005,"&lt;"&amp;$V1912,$K$6:$K$2005,"")+1)</f>
        <v/>
      </c>
    </row>
    <row r="1913">
      <c r="A1913">
        <f>IF(Sync!$Z1913="","",LEFT(UPPER(TRIM(Sync!$Z1913)),6))</f>
        <v/>
      </c>
      <c r="B1913">
        <f>IF($A1913="","",IF(Sync!$AA1913="","",Sync!$AA1913))</f>
        <v/>
      </c>
      <c r="C1913">
        <f>IF($A1913="","",IF(Sync!$AB1913="","",Sync!$AB1913))</f>
        <v/>
      </c>
      <c r="D1913">
        <f>IF($A1913="","",IF(Sync!$AC1913="","",Sync!$AC1913))</f>
        <v/>
      </c>
      <c r="E1913">
        <f>IF($A1913="","",IF(Sync!$AD1913="","",Sync!$AD1913))</f>
        <v/>
      </c>
      <c r="F1913">
        <f>IF($A1913="","",IF(Sync!$AE1913="",0,Sync!$AE1913))</f>
        <v/>
      </c>
      <c r="G1913">
        <f>IF($A1913="","",IF(Sync!$AF1913="",0,Sync!$AF1913))</f>
        <v/>
      </c>
      <c r="H1913">
        <f>IF(OR($A1913="",ROUND($F1913+$G1913,2)=0),"",$F1913+$G1913)</f>
        <v/>
      </c>
      <c r="I1913">
        <f>IF($H1913="","",IF(ROUND($F1913,2)&gt;0,$A1913,IF($D1913="شخصی قاسم","شخصی قاسم",IF($D1913="هزینه","هزینه: "&amp;IF($E1913="","متفرقه",$E1913),IF($C1913="پاس چک","چک پرداختی",IF(OR($B1913="",COUNTIF(AcctCodesA,$B1913)=0),"متفرقه",$B1913))))))</f>
        <v/>
      </c>
      <c r="J1913">
        <f>IF($H1913="","",IF(ROUND($F1913,2)&gt;0,IF($D1913="شخصی قاسم","شخصی قاسم",IF($D1913="هزینه","هزینه: "&amp;IF($E1913="","متفرقه",$E1913),IF(OR($B1913="",COUNTIF(AcctCodesA,$B1913)=0),"متفرقه",$B1913))),$A1913))</f>
        <v/>
      </c>
      <c r="K1913">
        <f>IF($A1913="","",IF(AND($B1913&lt;&gt;"",COUNTIF(AcctCodesA,$B1913)=0),"کد طرف در INFO تعریف نشده",IF(AND($D1913="هزینه",$E1913=""),"هزینه بدون زیرگروه",IF(AND($C1913="پاس چک",OR(Sync!$AJ1913="",COUNTIF(IssueNosA,Sync!$AJ1913)=0)),"شماره چک پاس‌شده معتبر نیست",""))))</f>
        <v/>
      </c>
      <c r="V1913">
        <f>IF($K1913="","",IF(ISNUMBER(Sync!$AK1913),Sync!$AK1913,LEFT(Sync!$AK1913,4)&amp;MID(Sync!$AK1913,6,2)&amp;RIGHT(Sync!$AK1913,2))&amp;"|"&amp;"4"&amp;RIGHT("00000"&amp;1908,5))</f>
        <v/>
      </c>
      <c r="W1913">
        <f>IF($V1913="",0,COUNTIFS($V$6:$V$2005,"&lt;"&amp;$V1913)-COUNTIFS($V$6:$V$2005,"&lt;"&amp;$V1913,$K$6:$K$2005,"")+1)</f>
        <v/>
      </c>
    </row>
    <row r="1914">
      <c r="A1914">
        <f>IF(Sync!$Z1914="","",LEFT(UPPER(TRIM(Sync!$Z1914)),6))</f>
        <v/>
      </c>
      <c r="B1914">
        <f>IF($A1914="","",IF(Sync!$AA1914="","",Sync!$AA1914))</f>
        <v/>
      </c>
      <c r="C1914">
        <f>IF($A1914="","",IF(Sync!$AB1914="","",Sync!$AB1914))</f>
        <v/>
      </c>
      <c r="D1914">
        <f>IF($A1914="","",IF(Sync!$AC1914="","",Sync!$AC1914))</f>
        <v/>
      </c>
      <c r="E1914">
        <f>IF($A1914="","",IF(Sync!$AD1914="","",Sync!$AD1914))</f>
        <v/>
      </c>
      <c r="F1914">
        <f>IF($A1914="","",IF(Sync!$AE1914="",0,Sync!$AE1914))</f>
        <v/>
      </c>
      <c r="G1914">
        <f>IF($A1914="","",IF(Sync!$AF1914="",0,Sync!$AF1914))</f>
        <v/>
      </c>
      <c r="H1914">
        <f>IF(OR($A1914="",ROUND($F1914+$G1914,2)=0),"",$F1914+$G1914)</f>
        <v/>
      </c>
      <c r="I1914">
        <f>IF($H1914="","",IF(ROUND($F1914,2)&gt;0,$A1914,IF($D1914="شخصی قاسم","شخصی قاسم",IF($D1914="هزینه","هزینه: "&amp;IF($E1914="","متفرقه",$E1914),IF($C1914="پاس چک","چک پرداختی",IF(OR($B1914="",COUNTIF(AcctCodesA,$B1914)=0),"متفرقه",$B1914))))))</f>
        <v/>
      </c>
      <c r="J1914">
        <f>IF($H1914="","",IF(ROUND($F1914,2)&gt;0,IF($D1914="شخصی قاسم","شخصی قاسم",IF($D1914="هزینه","هزینه: "&amp;IF($E1914="","متفرقه",$E1914),IF(OR($B1914="",COUNTIF(AcctCodesA,$B1914)=0),"متفرقه",$B1914))),$A1914))</f>
        <v/>
      </c>
      <c r="K1914">
        <f>IF($A1914="","",IF(AND($B1914&lt;&gt;"",COUNTIF(AcctCodesA,$B1914)=0),"کد طرف در INFO تعریف نشده",IF(AND($D1914="هزینه",$E1914=""),"هزینه بدون زیرگروه",IF(AND($C1914="پاس چک",OR(Sync!$AJ1914="",COUNTIF(IssueNosA,Sync!$AJ1914)=0)),"شماره چک پاس‌شده معتبر نیست",""))))</f>
        <v/>
      </c>
      <c r="V1914">
        <f>IF($K1914="","",IF(ISNUMBER(Sync!$AK1914),Sync!$AK1914,LEFT(Sync!$AK1914,4)&amp;MID(Sync!$AK1914,6,2)&amp;RIGHT(Sync!$AK1914,2))&amp;"|"&amp;"4"&amp;RIGHT("00000"&amp;1909,5))</f>
        <v/>
      </c>
      <c r="W1914">
        <f>IF($V1914="",0,COUNTIFS($V$6:$V$2005,"&lt;"&amp;$V1914)-COUNTIFS($V$6:$V$2005,"&lt;"&amp;$V1914,$K$6:$K$2005,"")+1)</f>
        <v/>
      </c>
    </row>
    <row r="1915">
      <c r="A1915">
        <f>IF(Sync!$Z1915="","",LEFT(UPPER(TRIM(Sync!$Z1915)),6))</f>
        <v/>
      </c>
      <c r="B1915">
        <f>IF($A1915="","",IF(Sync!$AA1915="","",Sync!$AA1915))</f>
        <v/>
      </c>
      <c r="C1915">
        <f>IF($A1915="","",IF(Sync!$AB1915="","",Sync!$AB1915))</f>
        <v/>
      </c>
      <c r="D1915">
        <f>IF($A1915="","",IF(Sync!$AC1915="","",Sync!$AC1915))</f>
        <v/>
      </c>
      <c r="E1915">
        <f>IF($A1915="","",IF(Sync!$AD1915="","",Sync!$AD1915))</f>
        <v/>
      </c>
      <c r="F1915">
        <f>IF($A1915="","",IF(Sync!$AE1915="",0,Sync!$AE1915))</f>
        <v/>
      </c>
      <c r="G1915">
        <f>IF($A1915="","",IF(Sync!$AF1915="",0,Sync!$AF1915))</f>
        <v/>
      </c>
      <c r="H1915">
        <f>IF(OR($A1915="",ROUND($F1915+$G1915,2)=0),"",$F1915+$G1915)</f>
        <v/>
      </c>
      <c r="I1915">
        <f>IF($H1915="","",IF(ROUND($F1915,2)&gt;0,$A1915,IF($D1915="شخصی قاسم","شخصی قاسم",IF($D1915="هزینه","هزینه: "&amp;IF($E1915="","متفرقه",$E1915),IF($C1915="پاس چک","چک پرداختی",IF(OR($B1915="",COUNTIF(AcctCodesA,$B1915)=0),"متفرقه",$B1915))))))</f>
        <v/>
      </c>
      <c r="J1915">
        <f>IF($H1915="","",IF(ROUND($F1915,2)&gt;0,IF($D1915="شخصی قاسم","شخصی قاسم",IF($D1915="هزینه","هزینه: "&amp;IF($E1915="","متفرقه",$E1915),IF(OR($B1915="",COUNTIF(AcctCodesA,$B1915)=0),"متفرقه",$B1915))),$A1915))</f>
        <v/>
      </c>
      <c r="K1915">
        <f>IF($A1915="","",IF(AND($B1915&lt;&gt;"",COUNTIF(AcctCodesA,$B1915)=0),"کد طرف در INFO تعریف نشده",IF(AND($D1915="هزینه",$E1915=""),"هزینه بدون زیرگروه",IF(AND($C1915="پاس چک",OR(Sync!$AJ1915="",COUNTIF(IssueNosA,Sync!$AJ1915)=0)),"شماره چک پاس‌شده معتبر نیست",""))))</f>
        <v/>
      </c>
      <c r="V1915">
        <f>IF($K1915="","",IF(ISNUMBER(Sync!$AK1915),Sync!$AK1915,LEFT(Sync!$AK1915,4)&amp;MID(Sync!$AK1915,6,2)&amp;RIGHT(Sync!$AK1915,2))&amp;"|"&amp;"4"&amp;RIGHT("00000"&amp;1910,5))</f>
        <v/>
      </c>
      <c r="W1915">
        <f>IF($V1915="",0,COUNTIFS($V$6:$V$2005,"&lt;"&amp;$V1915)-COUNTIFS($V$6:$V$2005,"&lt;"&amp;$V1915,$K$6:$K$2005,"")+1)</f>
        <v/>
      </c>
    </row>
    <row r="1916">
      <c r="A1916">
        <f>IF(Sync!$Z1916="","",LEFT(UPPER(TRIM(Sync!$Z1916)),6))</f>
        <v/>
      </c>
      <c r="B1916">
        <f>IF($A1916="","",IF(Sync!$AA1916="","",Sync!$AA1916))</f>
        <v/>
      </c>
      <c r="C1916">
        <f>IF($A1916="","",IF(Sync!$AB1916="","",Sync!$AB1916))</f>
        <v/>
      </c>
      <c r="D1916">
        <f>IF($A1916="","",IF(Sync!$AC1916="","",Sync!$AC1916))</f>
        <v/>
      </c>
      <c r="E1916">
        <f>IF($A1916="","",IF(Sync!$AD1916="","",Sync!$AD1916))</f>
        <v/>
      </c>
      <c r="F1916">
        <f>IF($A1916="","",IF(Sync!$AE1916="",0,Sync!$AE1916))</f>
        <v/>
      </c>
      <c r="G1916">
        <f>IF($A1916="","",IF(Sync!$AF1916="",0,Sync!$AF1916))</f>
        <v/>
      </c>
      <c r="H1916">
        <f>IF(OR($A1916="",ROUND($F1916+$G1916,2)=0),"",$F1916+$G1916)</f>
        <v/>
      </c>
      <c r="I1916">
        <f>IF($H1916="","",IF(ROUND($F1916,2)&gt;0,$A1916,IF($D1916="شخصی قاسم","شخصی قاسم",IF($D1916="هزینه","هزینه: "&amp;IF($E1916="","متفرقه",$E1916),IF($C1916="پاس چک","چک پرداختی",IF(OR($B1916="",COUNTIF(AcctCodesA,$B1916)=0),"متفرقه",$B1916))))))</f>
        <v/>
      </c>
      <c r="J1916">
        <f>IF($H1916="","",IF(ROUND($F1916,2)&gt;0,IF($D1916="شخصی قاسم","شخصی قاسم",IF($D1916="هزینه","هزینه: "&amp;IF($E1916="","متفرقه",$E1916),IF(OR($B1916="",COUNTIF(AcctCodesA,$B1916)=0),"متفرقه",$B1916))),$A1916))</f>
        <v/>
      </c>
      <c r="K1916">
        <f>IF($A1916="","",IF(AND($B1916&lt;&gt;"",COUNTIF(AcctCodesA,$B1916)=0),"کد طرف در INFO تعریف نشده",IF(AND($D1916="هزینه",$E1916=""),"هزینه بدون زیرگروه",IF(AND($C1916="پاس چک",OR(Sync!$AJ1916="",COUNTIF(IssueNosA,Sync!$AJ1916)=0)),"شماره چک پاس‌شده معتبر نیست",""))))</f>
        <v/>
      </c>
      <c r="V1916">
        <f>IF($K1916="","",IF(ISNUMBER(Sync!$AK1916),Sync!$AK1916,LEFT(Sync!$AK1916,4)&amp;MID(Sync!$AK1916,6,2)&amp;RIGHT(Sync!$AK1916,2))&amp;"|"&amp;"4"&amp;RIGHT("00000"&amp;1911,5))</f>
        <v/>
      </c>
      <c r="W1916">
        <f>IF($V1916="",0,COUNTIFS($V$6:$V$2005,"&lt;"&amp;$V1916)-COUNTIFS($V$6:$V$2005,"&lt;"&amp;$V1916,$K$6:$K$2005,"")+1)</f>
        <v/>
      </c>
    </row>
    <row r="1917">
      <c r="A1917">
        <f>IF(Sync!$Z1917="","",LEFT(UPPER(TRIM(Sync!$Z1917)),6))</f>
        <v/>
      </c>
      <c r="B1917">
        <f>IF($A1917="","",IF(Sync!$AA1917="","",Sync!$AA1917))</f>
        <v/>
      </c>
      <c r="C1917">
        <f>IF($A1917="","",IF(Sync!$AB1917="","",Sync!$AB1917))</f>
        <v/>
      </c>
      <c r="D1917">
        <f>IF($A1917="","",IF(Sync!$AC1917="","",Sync!$AC1917))</f>
        <v/>
      </c>
      <c r="E1917">
        <f>IF($A1917="","",IF(Sync!$AD1917="","",Sync!$AD1917))</f>
        <v/>
      </c>
      <c r="F1917">
        <f>IF($A1917="","",IF(Sync!$AE1917="",0,Sync!$AE1917))</f>
        <v/>
      </c>
      <c r="G1917">
        <f>IF($A1917="","",IF(Sync!$AF1917="",0,Sync!$AF1917))</f>
        <v/>
      </c>
      <c r="H1917">
        <f>IF(OR($A1917="",ROUND($F1917+$G1917,2)=0),"",$F1917+$G1917)</f>
        <v/>
      </c>
      <c r="I1917">
        <f>IF($H1917="","",IF(ROUND($F1917,2)&gt;0,$A1917,IF($D1917="شخصی قاسم","شخصی قاسم",IF($D1917="هزینه","هزینه: "&amp;IF($E1917="","متفرقه",$E1917),IF($C1917="پاس چک","چک پرداختی",IF(OR($B1917="",COUNTIF(AcctCodesA,$B1917)=0),"متفرقه",$B1917))))))</f>
        <v/>
      </c>
      <c r="J1917">
        <f>IF($H1917="","",IF(ROUND($F1917,2)&gt;0,IF($D1917="شخصی قاسم","شخصی قاسم",IF($D1917="هزینه","هزینه: "&amp;IF($E1917="","متفرقه",$E1917),IF(OR($B1917="",COUNTIF(AcctCodesA,$B1917)=0),"متفرقه",$B1917))),$A1917))</f>
        <v/>
      </c>
      <c r="K1917">
        <f>IF($A1917="","",IF(AND($B1917&lt;&gt;"",COUNTIF(AcctCodesA,$B1917)=0),"کد طرف در INFO تعریف نشده",IF(AND($D1917="هزینه",$E1917=""),"هزینه بدون زیرگروه",IF(AND($C1917="پاس چک",OR(Sync!$AJ1917="",COUNTIF(IssueNosA,Sync!$AJ1917)=0)),"شماره چک پاس‌شده معتبر نیست",""))))</f>
        <v/>
      </c>
      <c r="V1917">
        <f>IF($K1917="","",IF(ISNUMBER(Sync!$AK1917),Sync!$AK1917,LEFT(Sync!$AK1917,4)&amp;MID(Sync!$AK1917,6,2)&amp;RIGHT(Sync!$AK1917,2))&amp;"|"&amp;"4"&amp;RIGHT("00000"&amp;1912,5))</f>
        <v/>
      </c>
      <c r="W1917">
        <f>IF($V1917="",0,COUNTIFS($V$6:$V$2005,"&lt;"&amp;$V1917)-COUNTIFS($V$6:$V$2005,"&lt;"&amp;$V1917,$K$6:$K$2005,"")+1)</f>
        <v/>
      </c>
    </row>
    <row r="1918">
      <c r="A1918">
        <f>IF(Sync!$Z1918="","",LEFT(UPPER(TRIM(Sync!$Z1918)),6))</f>
        <v/>
      </c>
      <c r="B1918">
        <f>IF($A1918="","",IF(Sync!$AA1918="","",Sync!$AA1918))</f>
        <v/>
      </c>
      <c r="C1918">
        <f>IF($A1918="","",IF(Sync!$AB1918="","",Sync!$AB1918))</f>
        <v/>
      </c>
      <c r="D1918">
        <f>IF($A1918="","",IF(Sync!$AC1918="","",Sync!$AC1918))</f>
        <v/>
      </c>
      <c r="E1918">
        <f>IF($A1918="","",IF(Sync!$AD1918="","",Sync!$AD1918))</f>
        <v/>
      </c>
      <c r="F1918">
        <f>IF($A1918="","",IF(Sync!$AE1918="",0,Sync!$AE1918))</f>
        <v/>
      </c>
      <c r="G1918">
        <f>IF($A1918="","",IF(Sync!$AF1918="",0,Sync!$AF1918))</f>
        <v/>
      </c>
      <c r="H1918">
        <f>IF(OR($A1918="",ROUND($F1918+$G1918,2)=0),"",$F1918+$G1918)</f>
        <v/>
      </c>
      <c r="I1918">
        <f>IF($H1918="","",IF(ROUND($F1918,2)&gt;0,$A1918,IF($D1918="شخصی قاسم","شخصی قاسم",IF($D1918="هزینه","هزینه: "&amp;IF($E1918="","متفرقه",$E1918),IF($C1918="پاس چک","چک پرداختی",IF(OR($B1918="",COUNTIF(AcctCodesA,$B1918)=0),"متفرقه",$B1918))))))</f>
        <v/>
      </c>
      <c r="J1918">
        <f>IF($H1918="","",IF(ROUND($F1918,2)&gt;0,IF($D1918="شخصی قاسم","شخصی قاسم",IF($D1918="هزینه","هزینه: "&amp;IF($E1918="","متفرقه",$E1918),IF(OR($B1918="",COUNTIF(AcctCodesA,$B1918)=0),"متفرقه",$B1918))),$A1918))</f>
        <v/>
      </c>
      <c r="K1918">
        <f>IF($A1918="","",IF(AND($B1918&lt;&gt;"",COUNTIF(AcctCodesA,$B1918)=0),"کد طرف در INFO تعریف نشده",IF(AND($D1918="هزینه",$E1918=""),"هزینه بدون زیرگروه",IF(AND($C1918="پاس چک",OR(Sync!$AJ1918="",COUNTIF(IssueNosA,Sync!$AJ1918)=0)),"شماره چک پاس‌شده معتبر نیست",""))))</f>
        <v/>
      </c>
      <c r="V1918">
        <f>IF($K1918="","",IF(ISNUMBER(Sync!$AK1918),Sync!$AK1918,LEFT(Sync!$AK1918,4)&amp;MID(Sync!$AK1918,6,2)&amp;RIGHT(Sync!$AK1918,2))&amp;"|"&amp;"4"&amp;RIGHT("00000"&amp;1913,5))</f>
        <v/>
      </c>
      <c r="W1918">
        <f>IF($V1918="",0,COUNTIFS($V$6:$V$2005,"&lt;"&amp;$V1918)-COUNTIFS($V$6:$V$2005,"&lt;"&amp;$V1918,$K$6:$K$2005,"")+1)</f>
        <v/>
      </c>
    </row>
    <row r="1919">
      <c r="A1919">
        <f>IF(Sync!$Z1919="","",LEFT(UPPER(TRIM(Sync!$Z1919)),6))</f>
        <v/>
      </c>
      <c r="B1919">
        <f>IF($A1919="","",IF(Sync!$AA1919="","",Sync!$AA1919))</f>
        <v/>
      </c>
      <c r="C1919">
        <f>IF($A1919="","",IF(Sync!$AB1919="","",Sync!$AB1919))</f>
        <v/>
      </c>
      <c r="D1919">
        <f>IF($A1919="","",IF(Sync!$AC1919="","",Sync!$AC1919))</f>
        <v/>
      </c>
      <c r="E1919">
        <f>IF($A1919="","",IF(Sync!$AD1919="","",Sync!$AD1919))</f>
        <v/>
      </c>
      <c r="F1919">
        <f>IF($A1919="","",IF(Sync!$AE1919="",0,Sync!$AE1919))</f>
        <v/>
      </c>
      <c r="G1919">
        <f>IF($A1919="","",IF(Sync!$AF1919="",0,Sync!$AF1919))</f>
        <v/>
      </c>
      <c r="H1919">
        <f>IF(OR($A1919="",ROUND($F1919+$G1919,2)=0),"",$F1919+$G1919)</f>
        <v/>
      </c>
      <c r="I1919">
        <f>IF($H1919="","",IF(ROUND($F1919,2)&gt;0,$A1919,IF($D1919="شخصی قاسم","شخصی قاسم",IF($D1919="هزینه","هزینه: "&amp;IF($E1919="","متفرقه",$E1919),IF($C1919="پاس چک","چک پرداختی",IF(OR($B1919="",COUNTIF(AcctCodesA,$B1919)=0),"متفرقه",$B1919))))))</f>
        <v/>
      </c>
      <c r="J1919">
        <f>IF($H1919="","",IF(ROUND($F1919,2)&gt;0,IF($D1919="شخصی قاسم","شخصی قاسم",IF($D1919="هزینه","هزینه: "&amp;IF($E1919="","متفرقه",$E1919),IF(OR($B1919="",COUNTIF(AcctCodesA,$B1919)=0),"متفرقه",$B1919))),$A1919))</f>
        <v/>
      </c>
      <c r="K1919">
        <f>IF($A1919="","",IF(AND($B1919&lt;&gt;"",COUNTIF(AcctCodesA,$B1919)=0),"کد طرف در INFO تعریف نشده",IF(AND($D1919="هزینه",$E1919=""),"هزینه بدون زیرگروه",IF(AND($C1919="پاس چک",OR(Sync!$AJ1919="",COUNTIF(IssueNosA,Sync!$AJ1919)=0)),"شماره چک پاس‌شده معتبر نیست",""))))</f>
        <v/>
      </c>
      <c r="V1919">
        <f>IF($K1919="","",IF(ISNUMBER(Sync!$AK1919),Sync!$AK1919,LEFT(Sync!$AK1919,4)&amp;MID(Sync!$AK1919,6,2)&amp;RIGHT(Sync!$AK1919,2))&amp;"|"&amp;"4"&amp;RIGHT("00000"&amp;1914,5))</f>
        <v/>
      </c>
      <c r="W1919">
        <f>IF($V1919="",0,COUNTIFS($V$6:$V$2005,"&lt;"&amp;$V1919)-COUNTIFS($V$6:$V$2005,"&lt;"&amp;$V1919,$K$6:$K$2005,"")+1)</f>
        <v/>
      </c>
    </row>
    <row r="1920">
      <c r="A1920">
        <f>IF(Sync!$Z1920="","",LEFT(UPPER(TRIM(Sync!$Z1920)),6))</f>
        <v/>
      </c>
      <c r="B1920">
        <f>IF($A1920="","",IF(Sync!$AA1920="","",Sync!$AA1920))</f>
        <v/>
      </c>
      <c r="C1920">
        <f>IF($A1920="","",IF(Sync!$AB1920="","",Sync!$AB1920))</f>
        <v/>
      </c>
      <c r="D1920">
        <f>IF($A1920="","",IF(Sync!$AC1920="","",Sync!$AC1920))</f>
        <v/>
      </c>
      <c r="E1920">
        <f>IF($A1920="","",IF(Sync!$AD1920="","",Sync!$AD1920))</f>
        <v/>
      </c>
      <c r="F1920">
        <f>IF($A1920="","",IF(Sync!$AE1920="",0,Sync!$AE1920))</f>
        <v/>
      </c>
      <c r="G1920">
        <f>IF($A1920="","",IF(Sync!$AF1920="",0,Sync!$AF1920))</f>
        <v/>
      </c>
      <c r="H1920">
        <f>IF(OR($A1920="",ROUND($F1920+$G1920,2)=0),"",$F1920+$G1920)</f>
        <v/>
      </c>
      <c r="I1920">
        <f>IF($H1920="","",IF(ROUND($F1920,2)&gt;0,$A1920,IF($D1920="شخصی قاسم","شخصی قاسم",IF($D1920="هزینه","هزینه: "&amp;IF($E1920="","متفرقه",$E1920),IF($C1920="پاس چک","چک پرداختی",IF(OR($B1920="",COUNTIF(AcctCodesA,$B1920)=0),"متفرقه",$B1920))))))</f>
        <v/>
      </c>
      <c r="J1920">
        <f>IF($H1920="","",IF(ROUND($F1920,2)&gt;0,IF($D1920="شخصی قاسم","شخصی قاسم",IF($D1920="هزینه","هزینه: "&amp;IF($E1920="","متفرقه",$E1920),IF(OR($B1920="",COUNTIF(AcctCodesA,$B1920)=0),"متفرقه",$B1920))),$A1920))</f>
        <v/>
      </c>
      <c r="K1920">
        <f>IF($A1920="","",IF(AND($B1920&lt;&gt;"",COUNTIF(AcctCodesA,$B1920)=0),"کد طرف در INFO تعریف نشده",IF(AND($D1920="هزینه",$E1920=""),"هزینه بدون زیرگروه",IF(AND($C1920="پاس چک",OR(Sync!$AJ1920="",COUNTIF(IssueNosA,Sync!$AJ1920)=0)),"شماره چک پاس‌شده معتبر نیست",""))))</f>
        <v/>
      </c>
      <c r="V1920">
        <f>IF($K1920="","",IF(ISNUMBER(Sync!$AK1920),Sync!$AK1920,LEFT(Sync!$AK1920,4)&amp;MID(Sync!$AK1920,6,2)&amp;RIGHT(Sync!$AK1920,2))&amp;"|"&amp;"4"&amp;RIGHT("00000"&amp;1915,5))</f>
        <v/>
      </c>
      <c r="W1920">
        <f>IF($V1920="",0,COUNTIFS($V$6:$V$2005,"&lt;"&amp;$V1920)-COUNTIFS($V$6:$V$2005,"&lt;"&amp;$V1920,$K$6:$K$2005,"")+1)</f>
        <v/>
      </c>
    </row>
    <row r="1921">
      <c r="A1921">
        <f>IF(Sync!$Z1921="","",LEFT(UPPER(TRIM(Sync!$Z1921)),6))</f>
        <v/>
      </c>
      <c r="B1921">
        <f>IF($A1921="","",IF(Sync!$AA1921="","",Sync!$AA1921))</f>
        <v/>
      </c>
      <c r="C1921">
        <f>IF($A1921="","",IF(Sync!$AB1921="","",Sync!$AB1921))</f>
        <v/>
      </c>
      <c r="D1921">
        <f>IF($A1921="","",IF(Sync!$AC1921="","",Sync!$AC1921))</f>
        <v/>
      </c>
      <c r="E1921">
        <f>IF($A1921="","",IF(Sync!$AD1921="","",Sync!$AD1921))</f>
        <v/>
      </c>
      <c r="F1921">
        <f>IF($A1921="","",IF(Sync!$AE1921="",0,Sync!$AE1921))</f>
        <v/>
      </c>
      <c r="G1921">
        <f>IF($A1921="","",IF(Sync!$AF1921="",0,Sync!$AF1921))</f>
        <v/>
      </c>
      <c r="H1921">
        <f>IF(OR($A1921="",ROUND($F1921+$G1921,2)=0),"",$F1921+$G1921)</f>
        <v/>
      </c>
      <c r="I1921">
        <f>IF($H1921="","",IF(ROUND($F1921,2)&gt;0,$A1921,IF($D1921="شخصی قاسم","شخصی قاسم",IF($D1921="هزینه","هزینه: "&amp;IF($E1921="","متفرقه",$E1921),IF($C1921="پاس چک","چک پرداختی",IF(OR($B1921="",COUNTIF(AcctCodesA,$B1921)=0),"متفرقه",$B1921))))))</f>
        <v/>
      </c>
      <c r="J1921">
        <f>IF($H1921="","",IF(ROUND($F1921,2)&gt;0,IF($D1921="شخصی قاسم","شخصی قاسم",IF($D1921="هزینه","هزینه: "&amp;IF($E1921="","متفرقه",$E1921),IF(OR($B1921="",COUNTIF(AcctCodesA,$B1921)=0),"متفرقه",$B1921))),$A1921))</f>
        <v/>
      </c>
      <c r="K1921">
        <f>IF($A1921="","",IF(AND($B1921&lt;&gt;"",COUNTIF(AcctCodesA,$B1921)=0),"کد طرف در INFO تعریف نشده",IF(AND($D1921="هزینه",$E1921=""),"هزینه بدون زیرگروه",IF(AND($C1921="پاس چک",OR(Sync!$AJ1921="",COUNTIF(IssueNosA,Sync!$AJ1921)=0)),"شماره چک پاس‌شده معتبر نیست",""))))</f>
        <v/>
      </c>
      <c r="V1921">
        <f>IF($K1921="","",IF(ISNUMBER(Sync!$AK1921),Sync!$AK1921,LEFT(Sync!$AK1921,4)&amp;MID(Sync!$AK1921,6,2)&amp;RIGHT(Sync!$AK1921,2))&amp;"|"&amp;"4"&amp;RIGHT("00000"&amp;1916,5))</f>
        <v/>
      </c>
      <c r="W1921">
        <f>IF($V1921="",0,COUNTIFS($V$6:$V$2005,"&lt;"&amp;$V1921)-COUNTIFS($V$6:$V$2005,"&lt;"&amp;$V1921,$K$6:$K$2005,"")+1)</f>
        <v/>
      </c>
    </row>
    <row r="1922">
      <c r="A1922">
        <f>IF(Sync!$Z1922="","",LEFT(UPPER(TRIM(Sync!$Z1922)),6))</f>
        <v/>
      </c>
      <c r="B1922">
        <f>IF($A1922="","",IF(Sync!$AA1922="","",Sync!$AA1922))</f>
        <v/>
      </c>
      <c r="C1922">
        <f>IF($A1922="","",IF(Sync!$AB1922="","",Sync!$AB1922))</f>
        <v/>
      </c>
      <c r="D1922">
        <f>IF($A1922="","",IF(Sync!$AC1922="","",Sync!$AC1922))</f>
        <v/>
      </c>
      <c r="E1922">
        <f>IF($A1922="","",IF(Sync!$AD1922="","",Sync!$AD1922))</f>
        <v/>
      </c>
      <c r="F1922">
        <f>IF($A1922="","",IF(Sync!$AE1922="",0,Sync!$AE1922))</f>
        <v/>
      </c>
      <c r="G1922">
        <f>IF($A1922="","",IF(Sync!$AF1922="",0,Sync!$AF1922))</f>
        <v/>
      </c>
      <c r="H1922">
        <f>IF(OR($A1922="",ROUND($F1922+$G1922,2)=0),"",$F1922+$G1922)</f>
        <v/>
      </c>
      <c r="I1922">
        <f>IF($H1922="","",IF(ROUND($F1922,2)&gt;0,$A1922,IF($D1922="شخصی قاسم","شخصی قاسم",IF($D1922="هزینه","هزینه: "&amp;IF($E1922="","متفرقه",$E1922),IF($C1922="پاس چک","چک پرداختی",IF(OR($B1922="",COUNTIF(AcctCodesA,$B1922)=0),"متفرقه",$B1922))))))</f>
        <v/>
      </c>
      <c r="J1922">
        <f>IF($H1922="","",IF(ROUND($F1922,2)&gt;0,IF($D1922="شخصی قاسم","شخصی قاسم",IF($D1922="هزینه","هزینه: "&amp;IF($E1922="","متفرقه",$E1922),IF(OR($B1922="",COUNTIF(AcctCodesA,$B1922)=0),"متفرقه",$B1922))),$A1922))</f>
        <v/>
      </c>
      <c r="K1922">
        <f>IF($A1922="","",IF(AND($B1922&lt;&gt;"",COUNTIF(AcctCodesA,$B1922)=0),"کد طرف در INFO تعریف نشده",IF(AND($D1922="هزینه",$E1922=""),"هزینه بدون زیرگروه",IF(AND($C1922="پاس چک",OR(Sync!$AJ1922="",COUNTIF(IssueNosA,Sync!$AJ1922)=0)),"شماره چک پاس‌شده معتبر نیست",""))))</f>
        <v/>
      </c>
      <c r="V1922">
        <f>IF($K1922="","",IF(ISNUMBER(Sync!$AK1922),Sync!$AK1922,LEFT(Sync!$AK1922,4)&amp;MID(Sync!$AK1922,6,2)&amp;RIGHT(Sync!$AK1922,2))&amp;"|"&amp;"4"&amp;RIGHT("00000"&amp;1917,5))</f>
        <v/>
      </c>
      <c r="W1922">
        <f>IF($V1922="",0,COUNTIFS($V$6:$V$2005,"&lt;"&amp;$V1922)-COUNTIFS($V$6:$V$2005,"&lt;"&amp;$V1922,$K$6:$K$2005,"")+1)</f>
        <v/>
      </c>
    </row>
    <row r="1923">
      <c r="A1923">
        <f>IF(Sync!$Z1923="","",LEFT(UPPER(TRIM(Sync!$Z1923)),6))</f>
        <v/>
      </c>
      <c r="B1923">
        <f>IF($A1923="","",IF(Sync!$AA1923="","",Sync!$AA1923))</f>
        <v/>
      </c>
      <c r="C1923">
        <f>IF($A1923="","",IF(Sync!$AB1923="","",Sync!$AB1923))</f>
        <v/>
      </c>
      <c r="D1923">
        <f>IF($A1923="","",IF(Sync!$AC1923="","",Sync!$AC1923))</f>
        <v/>
      </c>
      <c r="E1923">
        <f>IF($A1923="","",IF(Sync!$AD1923="","",Sync!$AD1923))</f>
        <v/>
      </c>
      <c r="F1923">
        <f>IF($A1923="","",IF(Sync!$AE1923="",0,Sync!$AE1923))</f>
        <v/>
      </c>
      <c r="G1923">
        <f>IF($A1923="","",IF(Sync!$AF1923="",0,Sync!$AF1923))</f>
        <v/>
      </c>
      <c r="H1923">
        <f>IF(OR($A1923="",ROUND($F1923+$G1923,2)=0),"",$F1923+$G1923)</f>
        <v/>
      </c>
      <c r="I1923">
        <f>IF($H1923="","",IF(ROUND($F1923,2)&gt;0,$A1923,IF($D1923="شخصی قاسم","شخصی قاسم",IF($D1923="هزینه","هزینه: "&amp;IF($E1923="","متفرقه",$E1923),IF($C1923="پاس چک","چک پرداختی",IF(OR($B1923="",COUNTIF(AcctCodesA,$B1923)=0),"متفرقه",$B1923))))))</f>
        <v/>
      </c>
      <c r="J1923">
        <f>IF($H1923="","",IF(ROUND($F1923,2)&gt;0,IF($D1923="شخصی قاسم","شخصی قاسم",IF($D1923="هزینه","هزینه: "&amp;IF($E1923="","متفرقه",$E1923),IF(OR($B1923="",COUNTIF(AcctCodesA,$B1923)=0),"متفرقه",$B1923))),$A1923))</f>
        <v/>
      </c>
      <c r="K1923">
        <f>IF($A1923="","",IF(AND($B1923&lt;&gt;"",COUNTIF(AcctCodesA,$B1923)=0),"کد طرف در INFO تعریف نشده",IF(AND($D1923="هزینه",$E1923=""),"هزینه بدون زیرگروه",IF(AND($C1923="پاس چک",OR(Sync!$AJ1923="",COUNTIF(IssueNosA,Sync!$AJ1923)=0)),"شماره چک پاس‌شده معتبر نیست",""))))</f>
        <v/>
      </c>
      <c r="V1923">
        <f>IF($K1923="","",IF(ISNUMBER(Sync!$AK1923),Sync!$AK1923,LEFT(Sync!$AK1923,4)&amp;MID(Sync!$AK1923,6,2)&amp;RIGHT(Sync!$AK1923,2))&amp;"|"&amp;"4"&amp;RIGHT("00000"&amp;1918,5))</f>
        <v/>
      </c>
      <c r="W1923">
        <f>IF($V1923="",0,COUNTIFS($V$6:$V$2005,"&lt;"&amp;$V1923)-COUNTIFS($V$6:$V$2005,"&lt;"&amp;$V1923,$K$6:$K$2005,"")+1)</f>
        <v/>
      </c>
    </row>
    <row r="1924">
      <c r="A1924">
        <f>IF(Sync!$Z1924="","",LEFT(UPPER(TRIM(Sync!$Z1924)),6))</f>
        <v/>
      </c>
      <c r="B1924">
        <f>IF($A1924="","",IF(Sync!$AA1924="","",Sync!$AA1924))</f>
        <v/>
      </c>
      <c r="C1924">
        <f>IF($A1924="","",IF(Sync!$AB1924="","",Sync!$AB1924))</f>
        <v/>
      </c>
      <c r="D1924">
        <f>IF($A1924="","",IF(Sync!$AC1924="","",Sync!$AC1924))</f>
        <v/>
      </c>
      <c r="E1924">
        <f>IF($A1924="","",IF(Sync!$AD1924="","",Sync!$AD1924))</f>
        <v/>
      </c>
      <c r="F1924">
        <f>IF($A1924="","",IF(Sync!$AE1924="",0,Sync!$AE1924))</f>
        <v/>
      </c>
      <c r="G1924">
        <f>IF($A1924="","",IF(Sync!$AF1924="",0,Sync!$AF1924))</f>
        <v/>
      </c>
      <c r="H1924">
        <f>IF(OR($A1924="",ROUND($F1924+$G1924,2)=0),"",$F1924+$G1924)</f>
        <v/>
      </c>
      <c r="I1924">
        <f>IF($H1924="","",IF(ROUND($F1924,2)&gt;0,$A1924,IF($D1924="شخصی قاسم","شخصی قاسم",IF($D1924="هزینه","هزینه: "&amp;IF($E1924="","متفرقه",$E1924),IF($C1924="پاس چک","چک پرداختی",IF(OR($B1924="",COUNTIF(AcctCodesA,$B1924)=0),"متفرقه",$B1924))))))</f>
        <v/>
      </c>
      <c r="J1924">
        <f>IF($H1924="","",IF(ROUND($F1924,2)&gt;0,IF($D1924="شخصی قاسم","شخصی قاسم",IF($D1924="هزینه","هزینه: "&amp;IF($E1924="","متفرقه",$E1924),IF(OR($B1924="",COUNTIF(AcctCodesA,$B1924)=0),"متفرقه",$B1924))),$A1924))</f>
        <v/>
      </c>
      <c r="K1924">
        <f>IF($A1924="","",IF(AND($B1924&lt;&gt;"",COUNTIF(AcctCodesA,$B1924)=0),"کد طرف در INFO تعریف نشده",IF(AND($D1924="هزینه",$E1924=""),"هزینه بدون زیرگروه",IF(AND($C1924="پاس چک",OR(Sync!$AJ1924="",COUNTIF(IssueNosA,Sync!$AJ1924)=0)),"شماره چک پاس‌شده معتبر نیست",""))))</f>
        <v/>
      </c>
      <c r="V1924">
        <f>IF($K1924="","",IF(ISNUMBER(Sync!$AK1924),Sync!$AK1924,LEFT(Sync!$AK1924,4)&amp;MID(Sync!$AK1924,6,2)&amp;RIGHT(Sync!$AK1924,2))&amp;"|"&amp;"4"&amp;RIGHT("00000"&amp;1919,5))</f>
        <v/>
      </c>
      <c r="W1924">
        <f>IF($V1924="",0,COUNTIFS($V$6:$V$2005,"&lt;"&amp;$V1924)-COUNTIFS($V$6:$V$2005,"&lt;"&amp;$V1924,$K$6:$K$2005,"")+1)</f>
        <v/>
      </c>
    </row>
    <row r="1925">
      <c r="A1925">
        <f>IF(Sync!$Z1925="","",LEFT(UPPER(TRIM(Sync!$Z1925)),6))</f>
        <v/>
      </c>
      <c r="B1925">
        <f>IF($A1925="","",IF(Sync!$AA1925="","",Sync!$AA1925))</f>
        <v/>
      </c>
      <c r="C1925">
        <f>IF($A1925="","",IF(Sync!$AB1925="","",Sync!$AB1925))</f>
        <v/>
      </c>
      <c r="D1925">
        <f>IF($A1925="","",IF(Sync!$AC1925="","",Sync!$AC1925))</f>
        <v/>
      </c>
      <c r="E1925">
        <f>IF($A1925="","",IF(Sync!$AD1925="","",Sync!$AD1925))</f>
        <v/>
      </c>
      <c r="F1925">
        <f>IF($A1925="","",IF(Sync!$AE1925="",0,Sync!$AE1925))</f>
        <v/>
      </c>
      <c r="G1925">
        <f>IF($A1925="","",IF(Sync!$AF1925="",0,Sync!$AF1925))</f>
        <v/>
      </c>
      <c r="H1925">
        <f>IF(OR($A1925="",ROUND($F1925+$G1925,2)=0),"",$F1925+$G1925)</f>
        <v/>
      </c>
      <c r="I1925">
        <f>IF($H1925="","",IF(ROUND($F1925,2)&gt;0,$A1925,IF($D1925="شخصی قاسم","شخصی قاسم",IF($D1925="هزینه","هزینه: "&amp;IF($E1925="","متفرقه",$E1925),IF($C1925="پاس چک","چک پرداختی",IF(OR($B1925="",COUNTIF(AcctCodesA,$B1925)=0),"متفرقه",$B1925))))))</f>
        <v/>
      </c>
      <c r="J1925">
        <f>IF($H1925="","",IF(ROUND($F1925,2)&gt;0,IF($D1925="شخصی قاسم","شخصی قاسم",IF($D1925="هزینه","هزینه: "&amp;IF($E1925="","متفرقه",$E1925),IF(OR($B1925="",COUNTIF(AcctCodesA,$B1925)=0),"متفرقه",$B1925))),$A1925))</f>
        <v/>
      </c>
      <c r="K1925">
        <f>IF($A1925="","",IF(AND($B1925&lt;&gt;"",COUNTIF(AcctCodesA,$B1925)=0),"کد طرف در INFO تعریف نشده",IF(AND($D1925="هزینه",$E1925=""),"هزینه بدون زیرگروه",IF(AND($C1925="پاس چک",OR(Sync!$AJ1925="",COUNTIF(IssueNosA,Sync!$AJ1925)=0)),"شماره چک پاس‌شده معتبر نیست",""))))</f>
        <v/>
      </c>
      <c r="V1925">
        <f>IF($K1925="","",IF(ISNUMBER(Sync!$AK1925),Sync!$AK1925,LEFT(Sync!$AK1925,4)&amp;MID(Sync!$AK1925,6,2)&amp;RIGHT(Sync!$AK1925,2))&amp;"|"&amp;"4"&amp;RIGHT("00000"&amp;1920,5))</f>
        <v/>
      </c>
      <c r="W1925">
        <f>IF($V1925="",0,COUNTIFS($V$6:$V$2005,"&lt;"&amp;$V1925)-COUNTIFS($V$6:$V$2005,"&lt;"&amp;$V1925,$K$6:$K$2005,"")+1)</f>
        <v/>
      </c>
    </row>
    <row r="1926">
      <c r="A1926">
        <f>IF(Sync!$Z1926="","",LEFT(UPPER(TRIM(Sync!$Z1926)),6))</f>
        <v/>
      </c>
      <c r="B1926">
        <f>IF($A1926="","",IF(Sync!$AA1926="","",Sync!$AA1926))</f>
        <v/>
      </c>
      <c r="C1926">
        <f>IF($A1926="","",IF(Sync!$AB1926="","",Sync!$AB1926))</f>
        <v/>
      </c>
      <c r="D1926">
        <f>IF($A1926="","",IF(Sync!$AC1926="","",Sync!$AC1926))</f>
        <v/>
      </c>
      <c r="E1926">
        <f>IF($A1926="","",IF(Sync!$AD1926="","",Sync!$AD1926))</f>
        <v/>
      </c>
      <c r="F1926">
        <f>IF($A1926="","",IF(Sync!$AE1926="",0,Sync!$AE1926))</f>
        <v/>
      </c>
      <c r="G1926">
        <f>IF($A1926="","",IF(Sync!$AF1926="",0,Sync!$AF1926))</f>
        <v/>
      </c>
      <c r="H1926">
        <f>IF(OR($A1926="",ROUND($F1926+$G1926,2)=0),"",$F1926+$G1926)</f>
        <v/>
      </c>
      <c r="I1926">
        <f>IF($H1926="","",IF(ROUND($F1926,2)&gt;0,$A1926,IF($D1926="شخصی قاسم","شخصی قاسم",IF($D1926="هزینه","هزینه: "&amp;IF($E1926="","متفرقه",$E1926),IF($C1926="پاس چک","چک پرداختی",IF(OR($B1926="",COUNTIF(AcctCodesA,$B1926)=0),"متفرقه",$B1926))))))</f>
        <v/>
      </c>
      <c r="J1926">
        <f>IF($H1926="","",IF(ROUND($F1926,2)&gt;0,IF($D1926="شخصی قاسم","شخصی قاسم",IF($D1926="هزینه","هزینه: "&amp;IF($E1926="","متفرقه",$E1926),IF(OR($B1926="",COUNTIF(AcctCodesA,$B1926)=0),"متفرقه",$B1926))),$A1926))</f>
        <v/>
      </c>
      <c r="K1926">
        <f>IF($A1926="","",IF(AND($B1926&lt;&gt;"",COUNTIF(AcctCodesA,$B1926)=0),"کد طرف در INFO تعریف نشده",IF(AND($D1926="هزینه",$E1926=""),"هزینه بدون زیرگروه",IF(AND($C1926="پاس چک",OR(Sync!$AJ1926="",COUNTIF(IssueNosA,Sync!$AJ1926)=0)),"شماره چک پاس‌شده معتبر نیست",""))))</f>
        <v/>
      </c>
      <c r="V1926">
        <f>IF($K1926="","",IF(ISNUMBER(Sync!$AK1926),Sync!$AK1926,LEFT(Sync!$AK1926,4)&amp;MID(Sync!$AK1926,6,2)&amp;RIGHT(Sync!$AK1926,2))&amp;"|"&amp;"4"&amp;RIGHT("00000"&amp;1921,5))</f>
        <v/>
      </c>
      <c r="W1926">
        <f>IF($V1926="",0,COUNTIFS($V$6:$V$2005,"&lt;"&amp;$V1926)-COUNTIFS($V$6:$V$2005,"&lt;"&amp;$V1926,$K$6:$K$2005,"")+1)</f>
        <v/>
      </c>
    </row>
    <row r="1927">
      <c r="A1927">
        <f>IF(Sync!$Z1927="","",LEFT(UPPER(TRIM(Sync!$Z1927)),6))</f>
        <v/>
      </c>
      <c r="B1927">
        <f>IF($A1927="","",IF(Sync!$AA1927="","",Sync!$AA1927))</f>
        <v/>
      </c>
      <c r="C1927">
        <f>IF($A1927="","",IF(Sync!$AB1927="","",Sync!$AB1927))</f>
        <v/>
      </c>
      <c r="D1927">
        <f>IF($A1927="","",IF(Sync!$AC1927="","",Sync!$AC1927))</f>
        <v/>
      </c>
      <c r="E1927">
        <f>IF($A1927="","",IF(Sync!$AD1927="","",Sync!$AD1927))</f>
        <v/>
      </c>
      <c r="F1927">
        <f>IF($A1927="","",IF(Sync!$AE1927="",0,Sync!$AE1927))</f>
        <v/>
      </c>
      <c r="G1927">
        <f>IF($A1927="","",IF(Sync!$AF1927="",0,Sync!$AF1927))</f>
        <v/>
      </c>
      <c r="H1927">
        <f>IF(OR($A1927="",ROUND($F1927+$G1927,2)=0),"",$F1927+$G1927)</f>
        <v/>
      </c>
      <c r="I1927">
        <f>IF($H1927="","",IF(ROUND($F1927,2)&gt;0,$A1927,IF($D1927="شخصی قاسم","شخصی قاسم",IF($D1927="هزینه","هزینه: "&amp;IF($E1927="","متفرقه",$E1927),IF($C1927="پاس چک","چک پرداختی",IF(OR($B1927="",COUNTIF(AcctCodesA,$B1927)=0),"متفرقه",$B1927))))))</f>
        <v/>
      </c>
      <c r="J1927">
        <f>IF($H1927="","",IF(ROUND($F1927,2)&gt;0,IF($D1927="شخصی قاسم","شخصی قاسم",IF($D1927="هزینه","هزینه: "&amp;IF($E1927="","متفرقه",$E1927),IF(OR($B1927="",COUNTIF(AcctCodesA,$B1927)=0),"متفرقه",$B1927))),$A1927))</f>
        <v/>
      </c>
      <c r="K1927">
        <f>IF($A1927="","",IF(AND($B1927&lt;&gt;"",COUNTIF(AcctCodesA,$B1927)=0),"کد طرف در INFO تعریف نشده",IF(AND($D1927="هزینه",$E1927=""),"هزینه بدون زیرگروه",IF(AND($C1927="پاس چک",OR(Sync!$AJ1927="",COUNTIF(IssueNosA,Sync!$AJ1927)=0)),"شماره چک پاس‌شده معتبر نیست",""))))</f>
        <v/>
      </c>
      <c r="V1927">
        <f>IF($K1927="","",IF(ISNUMBER(Sync!$AK1927),Sync!$AK1927,LEFT(Sync!$AK1927,4)&amp;MID(Sync!$AK1927,6,2)&amp;RIGHT(Sync!$AK1927,2))&amp;"|"&amp;"4"&amp;RIGHT("00000"&amp;1922,5))</f>
        <v/>
      </c>
      <c r="W1927">
        <f>IF($V1927="",0,COUNTIFS($V$6:$V$2005,"&lt;"&amp;$V1927)-COUNTIFS($V$6:$V$2005,"&lt;"&amp;$V1927,$K$6:$K$2005,"")+1)</f>
        <v/>
      </c>
    </row>
    <row r="1928">
      <c r="A1928">
        <f>IF(Sync!$Z1928="","",LEFT(UPPER(TRIM(Sync!$Z1928)),6))</f>
        <v/>
      </c>
      <c r="B1928">
        <f>IF($A1928="","",IF(Sync!$AA1928="","",Sync!$AA1928))</f>
        <v/>
      </c>
      <c r="C1928">
        <f>IF($A1928="","",IF(Sync!$AB1928="","",Sync!$AB1928))</f>
        <v/>
      </c>
      <c r="D1928">
        <f>IF($A1928="","",IF(Sync!$AC1928="","",Sync!$AC1928))</f>
        <v/>
      </c>
      <c r="E1928">
        <f>IF($A1928="","",IF(Sync!$AD1928="","",Sync!$AD1928))</f>
        <v/>
      </c>
      <c r="F1928">
        <f>IF($A1928="","",IF(Sync!$AE1928="",0,Sync!$AE1928))</f>
        <v/>
      </c>
      <c r="G1928">
        <f>IF($A1928="","",IF(Sync!$AF1928="",0,Sync!$AF1928))</f>
        <v/>
      </c>
      <c r="H1928">
        <f>IF(OR($A1928="",ROUND($F1928+$G1928,2)=0),"",$F1928+$G1928)</f>
        <v/>
      </c>
      <c r="I1928">
        <f>IF($H1928="","",IF(ROUND($F1928,2)&gt;0,$A1928,IF($D1928="شخصی قاسم","شخصی قاسم",IF($D1928="هزینه","هزینه: "&amp;IF($E1928="","متفرقه",$E1928),IF($C1928="پاس چک","چک پرداختی",IF(OR($B1928="",COUNTIF(AcctCodesA,$B1928)=0),"متفرقه",$B1928))))))</f>
        <v/>
      </c>
      <c r="J1928">
        <f>IF($H1928="","",IF(ROUND($F1928,2)&gt;0,IF($D1928="شخصی قاسم","شخصی قاسم",IF($D1928="هزینه","هزینه: "&amp;IF($E1928="","متفرقه",$E1928),IF(OR($B1928="",COUNTIF(AcctCodesA,$B1928)=0),"متفرقه",$B1928))),$A1928))</f>
        <v/>
      </c>
      <c r="K1928">
        <f>IF($A1928="","",IF(AND($B1928&lt;&gt;"",COUNTIF(AcctCodesA,$B1928)=0),"کد طرف در INFO تعریف نشده",IF(AND($D1928="هزینه",$E1928=""),"هزینه بدون زیرگروه",IF(AND($C1928="پاس چک",OR(Sync!$AJ1928="",COUNTIF(IssueNosA,Sync!$AJ1928)=0)),"شماره چک پاس‌شده معتبر نیست",""))))</f>
        <v/>
      </c>
      <c r="V1928">
        <f>IF($K1928="","",IF(ISNUMBER(Sync!$AK1928),Sync!$AK1928,LEFT(Sync!$AK1928,4)&amp;MID(Sync!$AK1928,6,2)&amp;RIGHT(Sync!$AK1928,2))&amp;"|"&amp;"4"&amp;RIGHT("00000"&amp;1923,5))</f>
        <v/>
      </c>
      <c r="W1928">
        <f>IF($V1928="",0,COUNTIFS($V$6:$V$2005,"&lt;"&amp;$V1928)-COUNTIFS($V$6:$V$2005,"&lt;"&amp;$V1928,$K$6:$K$2005,"")+1)</f>
        <v/>
      </c>
    </row>
    <row r="1929">
      <c r="A1929">
        <f>IF(Sync!$Z1929="","",LEFT(UPPER(TRIM(Sync!$Z1929)),6))</f>
        <v/>
      </c>
      <c r="B1929">
        <f>IF($A1929="","",IF(Sync!$AA1929="","",Sync!$AA1929))</f>
        <v/>
      </c>
      <c r="C1929">
        <f>IF($A1929="","",IF(Sync!$AB1929="","",Sync!$AB1929))</f>
        <v/>
      </c>
      <c r="D1929">
        <f>IF($A1929="","",IF(Sync!$AC1929="","",Sync!$AC1929))</f>
        <v/>
      </c>
      <c r="E1929">
        <f>IF($A1929="","",IF(Sync!$AD1929="","",Sync!$AD1929))</f>
        <v/>
      </c>
      <c r="F1929">
        <f>IF($A1929="","",IF(Sync!$AE1929="",0,Sync!$AE1929))</f>
        <v/>
      </c>
      <c r="G1929">
        <f>IF($A1929="","",IF(Sync!$AF1929="",0,Sync!$AF1929))</f>
        <v/>
      </c>
      <c r="H1929">
        <f>IF(OR($A1929="",ROUND($F1929+$G1929,2)=0),"",$F1929+$G1929)</f>
        <v/>
      </c>
      <c r="I1929">
        <f>IF($H1929="","",IF(ROUND($F1929,2)&gt;0,$A1929,IF($D1929="شخصی قاسم","شخصی قاسم",IF($D1929="هزینه","هزینه: "&amp;IF($E1929="","متفرقه",$E1929),IF($C1929="پاس چک","چک پرداختی",IF(OR($B1929="",COUNTIF(AcctCodesA,$B1929)=0),"متفرقه",$B1929))))))</f>
        <v/>
      </c>
      <c r="J1929">
        <f>IF($H1929="","",IF(ROUND($F1929,2)&gt;0,IF($D1929="شخصی قاسم","شخصی قاسم",IF($D1929="هزینه","هزینه: "&amp;IF($E1929="","متفرقه",$E1929),IF(OR($B1929="",COUNTIF(AcctCodesA,$B1929)=0),"متفرقه",$B1929))),$A1929))</f>
        <v/>
      </c>
      <c r="K1929">
        <f>IF($A1929="","",IF(AND($B1929&lt;&gt;"",COUNTIF(AcctCodesA,$B1929)=0),"کد طرف در INFO تعریف نشده",IF(AND($D1929="هزینه",$E1929=""),"هزینه بدون زیرگروه",IF(AND($C1929="پاس چک",OR(Sync!$AJ1929="",COUNTIF(IssueNosA,Sync!$AJ1929)=0)),"شماره چک پاس‌شده معتبر نیست",""))))</f>
        <v/>
      </c>
      <c r="V1929">
        <f>IF($K1929="","",IF(ISNUMBER(Sync!$AK1929),Sync!$AK1929,LEFT(Sync!$AK1929,4)&amp;MID(Sync!$AK1929,6,2)&amp;RIGHT(Sync!$AK1929,2))&amp;"|"&amp;"4"&amp;RIGHT("00000"&amp;1924,5))</f>
        <v/>
      </c>
      <c r="W1929">
        <f>IF($V1929="",0,COUNTIFS($V$6:$V$2005,"&lt;"&amp;$V1929)-COUNTIFS($V$6:$V$2005,"&lt;"&amp;$V1929,$K$6:$K$2005,"")+1)</f>
        <v/>
      </c>
    </row>
    <row r="1930">
      <c r="A1930">
        <f>IF(Sync!$Z1930="","",LEFT(UPPER(TRIM(Sync!$Z1930)),6))</f>
        <v/>
      </c>
      <c r="B1930">
        <f>IF($A1930="","",IF(Sync!$AA1930="","",Sync!$AA1930))</f>
        <v/>
      </c>
      <c r="C1930">
        <f>IF($A1930="","",IF(Sync!$AB1930="","",Sync!$AB1930))</f>
        <v/>
      </c>
      <c r="D1930">
        <f>IF($A1930="","",IF(Sync!$AC1930="","",Sync!$AC1930))</f>
        <v/>
      </c>
      <c r="E1930">
        <f>IF($A1930="","",IF(Sync!$AD1930="","",Sync!$AD1930))</f>
        <v/>
      </c>
      <c r="F1930">
        <f>IF($A1930="","",IF(Sync!$AE1930="",0,Sync!$AE1930))</f>
        <v/>
      </c>
      <c r="G1930">
        <f>IF($A1930="","",IF(Sync!$AF1930="",0,Sync!$AF1930))</f>
        <v/>
      </c>
      <c r="H1930">
        <f>IF(OR($A1930="",ROUND($F1930+$G1930,2)=0),"",$F1930+$G1930)</f>
        <v/>
      </c>
      <c r="I1930">
        <f>IF($H1930="","",IF(ROUND($F1930,2)&gt;0,$A1930,IF($D1930="شخصی قاسم","شخصی قاسم",IF($D1930="هزینه","هزینه: "&amp;IF($E1930="","متفرقه",$E1930),IF($C1930="پاس چک","چک پرداختی",IF(OR($B1930="",COUNTIF(AcctCodesA,$B1930)=0),"متفرقه",$B1930))))))</f>
        <v/>
      </c>
      <c r="J1930">
        <f>IF($H1930="","",IF(ROUND($F1930,2)&gt;0,IF($D1930="شخصی قاسم","شخصی قاسم",IF($D1930="هزینه","هزینه: "&amp;IF($E1930="","متفرقه",$E1930),IF(OR($B1930="",COUNTIF(AcctCodesA,$B1930)=0),"متفرقه",$B1930))),$A1930))</f>
        <v/>
      </c>
      <c r="K1930">
        <f>IF($A1930="","",IF(AND($B1930&lt;&gt;"",COUNTIF(AcctCodesA,$B1930)=0),"کد طرف در INFO تعریف نشده",IF(AND($D1930="هزینه",$E1930=""),"هزینه بدون زیرگروه",IF(AND($C1930="پاس چک",OR(Sync!$AJ1930="",COUNTIF(IssueNosA,Sync!$AJ1930)=0)),"شماره چک پاس‌شده معتبر نیست",""))))</f>
        <v/>
      </c>
      <c r="V1930">
        <f>IF($K1930="","",IF(ISNUMBER(Sync!$AK1930),Sync!$AK1930,LEFT(Sync!$AK1930,4)&amp;MID(Sync!$AK1930,6,2)&amp;RIGHT(Sync!$AK1930,2))&amp;"|"&amp;"4"&amp;RIGHT("00000"&amp;1925,5))</f>
        <v/>
      </c>
      <c r="W1930">
        <f>IF($V1930="",0,COUNTIFS($V$6:$V$2005,"&lt;"&amp;$V1930)-COUNTIFS($V$6:$V$2005,"&lt;"&amp;$V1930,$K$6:$K$2005,"")+1)</f>
        <v/>
      </c>
    </row>
    <row r="1931">
      <c r="A1931">
        <f>IF(Sync!$Z1931="","",LEFT(UPPER(TRIM(Sync!$Z1931)),6))</f>
        <v/>
      </c>
      <c r="B1931">
        <f>IF($A1931="","",IF(Sync!$AA1931="","",Sync!$AA1931))</f>
        <v/>
      </c>
      <c r="C1931">
        <f>IF($A1931="","",IF(Sync!$AB1931="","",Sync!$AB1931))</f>
        <v/>
      </c>
      <c r="D1931">
        <f>IF($A1931="","",IF(Sync!$AC1931="","",Sync!$AC1931))</f>
        <v/>
      </c>
      <c r="E1931">
        <f>IF($A1931="","",IF(Sync!$AD1931="","",Sync!$AD1931))</f>
        <v/>
      </c>
      <c r="F1931">
        <f>IF($A1931="","",IF(Sync!$AE1931="",0,Sync!$AE1931))</f>
        <v/>
      </c>
      <c r="G1931">
        <f>IF($A1931="","",IF(Sync!$AF1931="",0,Sync!$AF1931))</f>
        <v/>
      </c>
      <c r="H1931">
        <f>IF(OR($A1931="",ROUND($F1931+$G1931,2)=0),"",$F1931+$G1931)</f>
        <v/>
      </c>
      <c r="I1931">
        <f>IF($H1931="","",IF(ROUND($F1931,2)&gt;0,$A1931,IF($D1931="شخصی قاسم","شخصی قاسم",IF($D1931="هزینه","هزینه: "&amp;IF($E1931="","متفرقه",$E1931),IF($C1931="پاس چک","چک پرداختی",IF(OR($B1931="",COUNTIF(AcctCodesA,$B1931)=0),"متفرقه",$B1931))))))</f>
        <v/>
      </c>
      <c r="J1931">
        <f>IF($H1931="","",IF(ROUND($F1931,2)&gt;0,IF($D1931="شخصی قاسم","شخصی قاسم",IF($D1931="هزینه","هزینه: "&amp;IF($E1931="","متفرقه",$E1931),IF(OR($B1931="",COUNTIF(AcctCodesA,$B1931)=0),"متفرقه",$B1931))),$A1931))</f>
        <v/>
      </c>
      <c r="K1931">
        <f>IF($A1931="","",IF(AND($B1931&lt;&gt;"",COUNTIF(AcctCodesA,$B1931)=0),"کد طرف در INFO تعریف نشده",IF(AND($D1931="هزینه",$E1931=""),"هزینه بدون زیرگروه",IF(AND($C1931="پاس چک",OR(Sync!$AJ1931="",COUNTIF(IssueNosA,Sync!$AJ1931)=0)),"شماره چک پاس‌شده معتبر نیست",""))))</f>
        <v/>
      </c>
      <c r="V1931">
        <f>IF($K1931="","",IF(ISNUMBER(Sync!$AK1931),Sync!$AK1931,LEFT(Sync!$AK1931,4)&amp;MID(Sync!$AK1931,6,2)&amp;RIGHT(Sync!$AK1931,2))&amp;"|"&amp;"4"&amp;RIGHT("00000"&amp;1926,5))</f>
        <v/>
      </c>
      <c r="W1931">
        <f>IF($V1931="",0,COUNTIFS($V$6:$V$2005,"&lt;"&amp;$V1931)-COUNTIFS($V$6:$V$2005,"&lt;"&amp;$V1931,$K$6:$K$2005,"")+1)</f>
        <v/>
      </c>
    </row>
    <row r="1932">
      <c r="A1932">
        <f>IF(Sync!$Z1932="","",LEFT(UPPER(TRIM(Sync!$Z1932)),6))</f>
        <v/>
      </c>
      <c r="B1932">
        <f>IF($A1932="","",IF(Sync!$AA1932="","",Sync!$AA1932))</f>
        <v/>
      </c>
      <c r="C1932">
        <f>IF($A1932="","",IF(Sync!$AB1932="","",Sync!$AB1932))</f>
        <v/>
      </c>
      <c r="D1932">
        <f>IF($A1932="","",IF(Sync!$AC1932="","",Sync!$AC1932))</f>
        <v/>
      </c>
      <c r="E1932">
        <f>IF($A1932="","",IF(Sync!$AD1932="","",Sync!$AD1932))</f>
        <v/>
      </c>
      <c r="F1932">
        <f>IF($A1932="","",IF(Sync!$AE1932="",0,Sync!$AE1932))</f>
        <v/>
      </c>
      <c r="G1932">
        <f>IF($A1932="","",IF(Sync!$AF1932="",0,Sync!$AF1932))</f>
        <v/>
      </c>
      <c r="H1932">
        <f>IF(OR($A1932="",ROUND($F1932+$G1932,2)=0),"",$F1932+$G1932)</f>
        <v/>
      </c>
      <c r="I1932">
        <f>IF($H1932="","",IF(ROUND($F1932,2)&gt;0,$A1932,IF($D1932="شخصی قاسم","شخصی قاسم",IF($D1932="هزینه","هزینه: "&amp;IF($E1932="","متفرقه",$E1932),IF($C1932="پاس چک","چک پرداختی",IF(OR($B1932="",COUNTIF(AcctCodesA,$B1932)=0),"متفرقه",$B1932))))))</f>
        <v/>
      </c>
      <c r="J1932">
        <f>IF($H1932="","",IF(ROUND($F1932,2)&gt;0,IF($D1932="شخصی قاسم","شخصی قاسم",IF($D1932="هزینه","هزینه: "&amp;IF($E1932="","متفرقه",$E1932),IF(OR($B1932="",COUNTIF(AcctCodesA,$B1932)=0),"متفرقه",$B1932))),$A1932))</f>
        <v/>
      </c>
      <c r="K1932">
        <f>IF($A1932="","",IF(AND($B1932&lt;&gt;"",COUNTIF(AcctCodesA,$B1932)=0),"کد طرف در INFO تعریف نشده",IF(AND($D1932="هزینه",$E1932=""),"هزینه بدون زیرگروه",IF(AND($C1932="پاس چک",OR(Sync!$AJ1932="",COUNTIF(IssueNosA,Sync!$AJ1932)=0)),"شماره چک پاس‌شده معتبر نیست",""))))</f>
        <v/>
      </c>
      <c r="V1932">
        <f>IF($K1932="","",IF(ISNUMBER(Sync!$AK1932),Sync!$AK1932,LEFT(Sync!$AK1932,4)&amp;MID(Sync!$AK1932,6,2)&amp;RIGHT(Sync!$AK1932,2))&amp;"|"&amp;"4"&amp;RIGHT("00000"&amp;1927,5))</f>
        <v/>
      </c>
      <c r="W1932">
        <f>IF($V1932="",0,COUNTIFS($V$6:$V$2005,"&lt;"&amp;$V1932)-COUNTIFS($V$6:$V$2005,"&lt;"&amp;$V1932,$K$6:$K$2005,"")+1)</f>
        <v/>
      </c>
    </row>
    <row r="1933">
      <c r="A1933">
        <f>IF(Sync!$Z1933="","",LEFT(UPPER(TRIM(Sync!$Z1933)),6))</f>
        <v/>
      </c>
      <c r="B1933">
        <f>IF($A1933="","",IF(Sync!$AA1933="","",Sync!$AA1933))</f>
        <v/>
      </c>
      <c r="C1933">
        <f>IF($A1933="","",IF(Sync!$AB1933="","",Sync!$AB1933))</f>
        <v/>
      </c>
      <c r="D1933">
        <f>IF($A1933="","",IF(Sync!$AC1933="","",Sync!$AC1933))</f>
        <v/>
      </c>
      <c r="E1933">
        <f>IF($A1933="","",IF(Sync!$AD1933="","",Sync!$AD1933))</f>
        <v/>
      </c>
      <c r="F1933">
        <f>IF($A1933="","",IF(Sync!$AE1933="",0,Sync!$AE1933))</f>
        <v/>
      </c>
      <c r="G1933">
        <f>IF($A1933="","",IF(Sync!$AF1933="",0,Sync!$AF1933))</f>
        <v/>
      </c>
      <c r="H1933">
        <f>IF(OR($A1933="",ROUND($F1933+$G1933,2)=0),"",$F1933+$G1933)</f>
        <v/>
      </c>
      <c r="I1933">
        <f>IF($H1933="","",IF(ROUND($F1933,2)&gt;0,$A1933,IF($D1933="شخصی قاسم","شخصی قاسم",IF($D1933="هزینه","هزینه: "&amp;IF($E1933="","متفرقه",$E1933),IF($C1933="پاس چک","چک پرداختی",IF(OR($B1933="",COUNTIF(AcctCodesA,$B1933)=0),"متفرقه",$B1933))))))</f>
        <v/>
      </c>
      <c r="J1933">
        <f>IF($H1933="","",IF(ROUND($F1933,2)&gt;0,IF($D1933="شخصی قاسم","شخصی قاسم",IF($D1933="هزینه","هزینه: "&amp;IF($E1933="","متفرقه",$E1933),IF(OR($B1933="",COUNTIF(AcctCodesA,$B1933)=0),"متفرقه",$B1933))),$A1933))</f>
        <v/>
      </c>
      <c r="K1933">
        <f>IF($A1933="","",IF(AND($B1933&lt;&gt;"",COUNTIF(AcctCodesA,$B1933)=0),"کد طرف در INFO تعریف نشده",IF(AND($D1933="هزینه",$E1933=""),"هزینه بدون زیرگروه",IF(AND($C1933="پاس چک",OR(Sync!$AJ1933="",COUNTIF(IssueNosA,Sync!$AJ1933)=0)),"شماره چک پاس‌شده معتبر نیست",""))))</f>
        <v/>
      </c>
      <c r="V1933">
        <f>IF($K1933="","",IF(ISNUMBER(Sync!$AK1933),Sync!$AK1933,LEFT(Sync!$AK1933,4)&amp;MID(Sync!$AK1933,6,2)&amp;RIGHT(Sync!$AK1933,2))&amp;"|"&amp;"4"&amp;RIGHT("00000"&amp;1928,5))</f>
        <v/>
      </c>
      <c r="W1933">
        <f>IF($V1933="",0,COUNTIFS($V$6:$V$2005,"&lt;"&amp;$V1933)-COUNTIFS($V$6:$V$2005,"&lt;"&amp;$V1933,$K$6:$K$2005,"")+1)</f>
        <v/>
      </c>
    </row>
    <row r="1934">
      <c r="A1934">
        <f>IF(Sync!$Z1934="","",LEFT(UPPER(TRIM(Sync!$Z1934)),6))</f>
        <v/>
      </c>
      <c r="B1934">
        <f>IF($A1934="","",IF(Sync!$AA1934="","",Sync!$AA1934))</f>
        <v/>
      </c>
      <c r="C1934">
        <f>IF($A1934="","",IF(Sync!$AB1934="","",Sync!$AB1934))</f>
        <v/>
      </c>
      <c r="D1934">
        <f>IF($A1934="","",IF(Sync!$AC1934="","",Sync!$AC1934))</f>
        <v/>
      </c>
      <c r="E1934">
        <f>IF($A1934="","",IF(Sync!$AD1934="","",Sync!$AD1934))</f>
        <v/>
      </c>
      <c r="F1934">
        <f>IF($A1934="","",IF(Sync!$AE1934="",0,Sync!$AE1934))</f>
        <v/>
      </c>
      <c r="G1934">
        <f>IF($A1934="","",IF(Sync!$AF1934="",0,Sync!$AF1934))</f>
        <v/>
      </c>
      <c r="H1934">
        <f>IF(OR($A1934="",ROUND($F1934+$G1934,2)=0),"",$F1934+$G1934)</f>
        <v/>
      </c>
      <c r="I1934">
        <f>IF($H1934="","",IF(ROUND($F1934,2)&gt;0,$A1934,IF($D1934="شخصی قاسم","شخصی قاسم",IF($D1934="هزینه","هزینه: "&amp;IF($E1934="","متفرقه",$E1934),IF($C1934="پاس چک","چک پرداختی",IF(OR($B1934="",COUNTIF(AcctCodesA,$B1934)=0),"متفرقه",$B1934))))))</f>
        <v/>
      </c>
      <c r="J1934">
        <f>IF($H1934="","",IF(ROUND($F1934,2)&gt;0,IF($D1934="شخصی قاسم","شخصی قاسم",IF($D1934="هزینه","هزینه: "&amp;IF($E1934="","متفرقه",$E1934),IF(OR($B1934="",COUNTIF(AcctCodesA,$B1934)=0),"متفرقه",$B1934))),$A1934))</f>
        <v/>
      </c>
      <c r="K1934">
        <f>IF($A1934="","",IF(AND($B1934&lt;&gt;"",COUNTIF(AcctCodesA,$B1934)=0),"کد طرف در INFO تعریف نشده",IF(AND($D1934="هزینه",$E1934=""),"هزینه بدون زیرگروه",IF(AND($C1934="پاس چک",OR(Sync!$AJ1934="",COUNTIF(IssueNosA,Sync!$AJ1934)=0)),"شماره چک پاس‌شده معتبر نیست",""))))</f>
        <v/>
      </c>
      <c r="V1934">
        <f>IF($K1934="","",IF(ISNUMBER(Sync!$AK1934),Sync!$AK1934,LEFT(Sync!$AK1934,4)&amp;MID(Sync!$AK1934,6,2)&amp;RIGHT(Sync!$AK1934,2))&amp;"|"&amp;"4"&amp;RIGHT("00000"&amp;1929,5))</f>
        <v/>
      </c>
      <c r="W1934">
        <f>IF($V1934="",0,COUNTIFS($V$6:$V$2005,"&lt;"&amp;$V1934)-COUNTIFS($V$6:$V$2005,"&lt;"&amp;$V1934,$K$6:$K$2005,"")+1)</f>
        <v/>
      </c>
    </row>
    <row r="1935">
      <c r="A1935">
        <f>IF(Sync!$Z1935="","",LEFT(UPPER(TRIM(Sync!$Z1935)),6))</f>
        <v/>
      </c>
      <c r="B1935">
        <f>IF($A1935="","",IF(Sync!$AA1935="","",Sync!$AA1935))</f>
        <v/>
      </c>
      <c r="C1935">
        <f>IF($A1935="","",IF(Sync!$AB1935="","",Sync!$AB1935))</f>
        <v/>
      </c>
      <c r="D1935">
        <f>IF($A1935="","",IF(Sync!$AC1935="","",Sync!$AC1935))</f>
        <v/>
      </c>
      <c r="E1935">
        <f>IF($A1935="","",IF(Sync!$AD1935="","",Sync!$AD1935))</f>
        <v/>
      </c>
      <c r="F1935">
        <f>IF($A1935="","",IF(Sync!$AE1935="",0,Sync!$AE1935))</f>
        <v/>
      </c>
      <c r="G1935">
        <f>IF($A1935="","",IF(Sync!$AF1935="",0,Sync!$AF1935))</f>
        <v/>
      </c>
      <c r="H1935">
        <f>IF(OR($A1935="",ROUND($F1935+$G1935,2)=0),"",$F1935+$G1935)</f>
        <v/>
      </c>
      <c r="I1935">
        <f>IF($H1935="","",IF(ROUND($F1935,2)&gt;0,$A1935,IF($D1935="شخصی قاسم","شخصی قاسم",IF($D1935="هزینه","هزینه: "&amp;IF($E1935="","متفرقه",$E1935),IF($C1935="پاس چک","چک پرداختی",IF(OR($B1935="",COUNTIF(AcctCodesA,$B1935)=0),"متفرقه",$B1935))))))</f>
        <v/>
      </c>
      <c r="J1935">
        <f>IF($H1935="","",IF(ROUND($F1935,2)&gt;0,IF($D1935="شخصی قاسم","شخصی قاسم",IF($D1935="هزینه","هزینه: "&amp;IF($E1935="","متفرقه",$E1935),IF(OR($B1935="",COUNTIF(AcctCodesA,$B1935)=0),"متفرقه",$B1935))),$A1935))</f>
        <v/>
      </c>
      <c r="K1935">
        <f>IF($A1935="","",IF(AND($B1935&lt;&gt;"",COUNTIF(AcctCodesA,$B1935)=0),"کد طرف در INFO تعریف نشده",IF(AND($D1935="هزینه",$E1935=""),"هزینه بدون زیرگروه",IF(AND($C1935="پاس چک",OR(Sync!$AJ1935="",COUNTIF(IssueNosA,Sync!$AJ1935)=0)),"شماره چک پاس‌شده معتبر نیست",""))))</f>
        <v/>
      </c>
      <c r="V1935">
        <f>IF($K1935="","",IF(ISNUMBER(Sync!$AK1935),Sync!$AK1935,LEFT(Sync!$AK1935,4)&amp;MID(Sync!$AK1935,6,2)&amp;RIGHT(Sync!$AK1935,2))&amp;"|"&amp;"4"&amp;RIGHT("00000"&amp;1930,5))</f>
        <v/>
      </c>
      <c r="W1935">
        <f>IF($V1935="",0,COUNTIFS($V$6:$V$2005,"&lt;"&amp;$V1935)-COUNTIFS($V$6:$V$2005,"&lt;"&amp;$V1935,$K$6:$K$2005,"")+1)</f>
        <v/>
      </c>
    </row>
    <row r="1936">
      <c r="A1936">
        <f>IF(Sync!$Z1936="","",LEFT(UPPER(TRIM(Sync!$Z1936)),6))</f>
        <v/>
      </c>
      <c r="B1936">
        <f>IF($A1936="","",IF(Sync!$AA1936="","",Sync!$AA1936))</f>
        <v/>
      </c>
      <c r="C1936">
        <f>IF($A1936="","",IF(Sync!$AB1936="","",Sync!$AB1936))</f>
        <v/>
      </c>
      <c r="D1936">
        <f>IF($A1936="","",IF(Sync!$AC1936="","",Sync!$AC1936))</f>
        <v/>
      </c>
      <c r="E1936">
        <f>IF($A1936="","",IF(Sync!$AD1936="","",Sync!$AD1936))</f>
        <v/>
      </c>
      <c r="F1936">
        <f>IF($A1936="","",IF(Sync!$AE1936="",0,Sync!$AE1936))</f>
        <v/>
      </c>
      <c r="G1936">
        <f>IF($A1936="","",IF(Sync!$AF1936="",0,Sync!$AF1936))</f>
        <v/>
      </c>
      <c r="H1936">
        <f>IF(OR($A1936="",ROUND($F1936+$G1936,2)=0),"",$F1936+$G1936)</f>
        <v/>
      </c>
      <c r="I1936">
        <f>IF($H1936="","",IF(ROUND($F1936,2)&gt;0,$A1936,IF($D1936="شخصی قاسم","شخصی قاسم",IF($D1936="هزینه","هزینه: "&amp;IF($E1936="","متفرقه",$E1936),IF($C1936="پاس چک","چک پرداختی",IF(OR($B1936="",COUNTIF(AcctCodesA,$B1936)=0),"متفرقه",$B1936))))))</f>
        <v/>
      </c>
      <c r="J1936">
        <f>IF($H1936="","",IF(ROUND($F1936,2)&gt;0,IF($D1936="شخصی قاسم","شخصی قاسم",IF($D1936="هزینه","هزینه: "&amp;IF($E1936="","متفرقه",$E1936),IF(OR($B1936="",COUNTIF(AcctCodesA,$B1936)=0),"متفرقه",$B1936))),$A1936))</f>
        <v/>
      </c>
      <c r="K1936">
        <f>IF($A1936="","",IF(AND($B1936&lt;&gt;"",COUNTIF(AcctCodesA,$B1936)=0),"کد طرف در INFO تعریف نشده",IF(AND($D1936="هزینه",$E1936=""),"هزینه بدون زیرگروه",IF(AND($C1936="پاس چک",OR(Sync!$AJ1936="",COUNTIF(IssueNosA,Sync!$AJ1936)=0)),"شماره چک پاس‌شده معتبر نیست",""))))</f>
        <v/>
      </c>
      <c r="V1936">
        <f>IF($K1936="","",IF(ISNUMBER(Sync!$AK1936),Sync!$AK1936,LEFT(Sync!$AK1936,4)&amp;MID(Sync!$AK1936,6,2)&amp;RIGHT(Sync!$AK1936,2))&amp;"|"&amp;"4"&amp;RIGHT("00000"&amp;1931,5))</f>
        <v/>
      </c>
      <c r="W1936">
        <f>IF($V1936="",0,COUNTIFS($V$6:$V$2005,"&lt;"&amp;$V1936)-COUNTIFS($V$6:$V$2005,"&lt;"&amp;$V1936,$K$6:$K$2005,"")+1)</f>
        <v/>
      </c>
    </row>
    <row r="1937">
      <c r="A1937">
        <f>IF(Sync!$Z1937="","",LEFT(UPPER(TRIM(Sync!$Z1937)),6))</f>
        <v/>
      </c>
      <c r="B1937">
        <f>IF($A1937="","",IF(Sync!$AA1937="","",Sync!$AA1937))</f>
        <v/>
      </c>
      <c r="C1937">
        <f>IF($A1937="","",IF(Sync!$AB1937="","",Sync!$AB1937))</f>
        <v/>
      </c>
      <c r="D1937">
        <f>IF($A1937="","",IF(Sync!$AC1937="","",Sync!$AC1937))</f>
        <v/>
      </c>
      <c r="E1937">
        <f>IF($A1937="","",IF(Sync!$AD1937="","",Sync!$AD1937))</f>
        <v/>
      </c>
      <c r="F1937">
        <f>IF($A1937="","",IF(Sync!$AE1937="",0,Sync!$AE1937))</f>
        <v/>
      </c>
      <c r="G1937">
        <f>IF($A1937="","",IF(Sync!$AF1937="",0,Sync!$AF1937))</f>
        <v/>
      </c>
      <c r="H1937">
        <f>IF(OR($A1937="",ROUND($F1937+$G1937,2)=0),"",$F1937+$G1937)</f>
        <v/>
      </c>
      <c r="I1937">
        <f>IF($H1937="","",IF(ROUND($F1937,2)&gt;0,$A1937,IF($D1937="شخصی قاسم","شخصی قاسم",IF($D1937="هزینه","هزینه: "&amp;IF($E1937="","متفرقه",$E1937),IF($C1937="پاس چک","چک پرداختی",IF(OR($B1937="",COUNTIF(AcctCodesA,$B1937)=0),"متفرقه",$B1937))))))</f>
        <v/>
      </c>
      <c r="J1937">
        <f>IF($H1937="","",IF(ROUND($F1937,2)&gt;0,IF($D1937="شخصی قاسم","شخصی قاسم",IF($D1937="هزینه","هزینه: "&amp;IF($E1937="","متفرقه",$E1937),IF(OR($B1937="",COUNTIF(AcctCodesA,$B1937)=0),"متفرقه",$B1937))),$A1937))</f>
        <v/>
      </c>
      <c r="K1937">
        <f>IF($A1937="","",IF(AND($B1937&lt;&gt;"",COUNTIF(AcctCodesA,$B1937)=0),"کد طرف در INFO تعریف نشده",IF(AND($D1937="هزینه",$E1937=""),"هزینه بدون زیرگروه",IF(AND($C1937="پاس چک",OR(Sync!$AJ1937="",COUNTIF(IssueNosA,Sync!$AJ1937)=0)),"شماره چک پاس‌شده معتبر نیست",""))))</f>
        <v/>
      </c>
      <c r="V1937">
        <f>IF($K1937="","",IF(ISNUMBER(Sync!$AK1937),Sync!$AK1937,LEFT(Sync!$AK1937,4)&amp;MID(Sync!$AK1937,6,2)&amp;RIGHT(Sync!$AK1937,2))&amp;"|"&amp;"4"&amp;RIGHT("00000"&amp;1932,5))</f>
        <v/>
      </c>
      <c r="W1937">
        <f>IF($V1937="",0,COUNTIFS($V$6:$V$2005,"&lt;"&amp;$V1937)-COUNTIFS($V$6:$V$2005,"&lt;"&amp;$V1937,$K$6:$K$2005,"")+1)</f>
        <v/>
      </c>
    </row>
    <row r="1938">
      <c r="A1938">
        <f>IF(Sync!$Z1938="","",LEFT(UPPER(TRIM(Sync!$Z1938)),6))</f>
        <v/>
      </c>
      <c r="B1938">
        <f>IF($A1938="","",IF(Sync!$AA1938="","",Sync!$AA1938))</f>
        <v/>
      </c>
      <c r="C1938">
        <f>IF($A1938="","",IF(Sync!$AB1938="","",Sync!$AB1938))</f>
        <v/>
      </c>
      <c r="D1938">
        <f>IF($A1938="","",IF(Sync!$AC1938="","",Sync!$AC1938))</f>
        <v/>
      </c>
      <c r="E1938">
        <f>IF($A1938="","",IF(Sync!$AD1938="","",Sync!$AD1938))</f>
        <v/>
      </c>
      <c r="F1938">
        <f>IF($A1938="","",IF(Sync!$AE1938="",0,Sync!$AE1938))</f>
        <v/>
      </c>
      <c r="G1938">
        <f>IF($A1938="","",IF(Sync!$AF1938="",0,Sync!$AF1938))</f>
        <v/>
      </c>
      <c r="H1938">
        <f>IF(OR($A1938="",ROUND($F1938+$G1938,2)=0),"",$F1938+$G1938)</f>
        <v/>
      </c>
      <c r="I1938">
        <f>IF($H1938="","",IF(ROUND($F1938,2)&gt;0,$A1938,IF($D1938="شخصی قاسم","شخصی قاسم",IF($D1938="هزینه","هزینه: "&amp;IF($E1938="","متفرقه",$E1938),IF($C1938="پاس چک","چک پرداختی",IF(OR($B1938="",COUNTIF(AcctCodesA,$B1938)=0),"متفرقه",$B1938))))))</f>
        <v/>
      </c>
      <c r="J1938">
        <f>IF($H1938="","",IF(ROUND($F1938,2)&gt;0,IF($D1938="شخصی قاسم","شخصی قاسم",IF($D1938="هزینه","هزینه: "&amp;IF($E1938="","متفرقه",$E1938),IF(OR($B1938="",COUNTIF(AcctCodesA,$B1938)=0),"متفرقه",$B1938))),$A1938))</f>
        <v/>
      </c>
      <c r="K1938">
        <f>IF($A1938="","",IF(AND($B1938&lt;&gt;"",COUNTIF(AcctCodesA,$B1938)=0),"کد طرف در INFO تعریف نشده",IF(AND($D1938="هزینه",$E1938=""),"هزینه بدون زیرگروه",IF(AND($C1938="پاس چک",OR(Sync!$AJ1938="",COUNTIF(IssueNosA,Sync!$AJ1938)=0)),"شماره چک پاس‌شده معتبر نیست",""))))</f>
        <v/>
      </c>
      <c r="V1938">
        <f>IF($K1938="","",IF(ISNUMBER(Sync!$AK1938),Sync!$AK1938,LEFT(Sync!$AK1938,4)&amp;MID(Sync!$AK1938,6,2)&amp;RIGHT(Sync!$AK1938,2))&amp;"|"&amp;"4"&amp;RIGHT("00000"&amp;1933,5))</f>
        <v/>
      </c>
      <c r="W1938">
        <f>IF($V1938="",0,COUNTIFS($V$6:$V$2005,"&lt;"&amp;$V1938)-COUNTIFS($V$6:$V$2005,"&lt;"&amp;$V1938,$K$6:$K$2005,"")+1)</f>
        <v/>
      </c>
    </row>
    <row r="1939">
      <c r="A1939">
        <f>IF(Sync!$Z1939="","",LEFT(UPPER(TRIM(Sync!$Z1939)),6))</f>
        <v/>
      </c>
      <c r="B1939">
        <f>IF($A1939="","",IF(Sync!$AA1939="","",Sync!$AA1939))</f>
        <v/>
      </c>
      <c r="C1939">
        <f>IF($A1939="","",IF(Sync!$AB1939="","",Sync!$AB1939))</f>
        <v/>
      </c>
      <c r="D1939">
        <f>IF($A1939="","",IF(Sync!$AC1939="","",Sync!$AC1939))</f>
        <v/>
      </c>
      <c r="E1939">
        <f>IF($A1939="","",IF(Sync!$AD1939="","",Sync!$AD1939))</f>
        <v/>
      </c>
      <c r="F1939">
        <f>IF($A1939="","",IF(Sync!$AE1939="",0,Sync!$AE1939))</f>
        <v/>
      </c>
      <c r="G1939">
        <f>IF($A1939="","",IF(Sync!$AF1939="",0,Sync!$AF1939))</f>
        <v/>
      </c>
      <c r="H1939">
        <f>IF(OR($A1939="",ROUND($F1939+$G1939,2)=0),"",$F1939+$G1939)</f>
        <v/>
      </c>
      <c r="I1939">
        <f>IF($H1939="","",IF(ROUND($F1939,2)&gt;0,$A1939,IF($D1939="شخصی قاسم","شخصی قاسم",IF($D1939="هزینه","هزینه: "&amp;IF($E1939="","متفرقه",$E1939),IF($C1939="پاس چک","چک پرداختی",IF(OR($B1939="",COUNTIF(AcctCodesA,$B1939)=0),"متفرقه",$B1939))))))</f>
        <v/>
      </c>
      <c r="J1939">
        <f>IF($H1939="","",IF(ROUND($F1939,2)&gt;0,IF($D1939="شخصی قاسم","شخصی قاسم",IF($D1939="هزینه","هزینه: "&amp;IF($E1939="","متفرقه",$E1939),IF(OR($B1939="",COUNTIF(AcctCodesA,$B1939)=0),"متفرقه",$B1939))),$A1939))</f>
        <v/>
      </c>
      <c r="K1939">
        <f>IF($A1939="","",IF(AND($B1939&lt;&gt;"",COUNTIF(AcctCodesA,$B1939)=0),"کد طرف در INFO تعریف نشده",IF(AND($D1939="هزینه",$E1939=""),"هزینه بدون زیرگروه",IF(AND($C1939="پاس چک",OR(Sync!$AJ1939="",COUNTIF(IssueNosA,Sync!$AJ1939)=0)),"شماره چک پاس‌شده معتبر نیست",""))))</f>
        <v/>
      </c>
      <c r="V1939">
        <f>IF($K1939="","",IF(ISNUMBER(Sync!$AK1939),Sync!$AK1939,LEFT(Sync!$AK1939,4)&amp;MID(Sync!$AK1939,6,2)&amp;RIGHT(Sync!$AK1939,2))&amp;"|"&amp;"4"&amp;RIGHT("00000"&amp;1934,5))</f>
        <v/>
      </c>
      <c r="W1939">
        <f>IF($V1939="",0,COUNTIFS($V$6:$V$2005,"&lt;"&amp;$V1939)-COUNTIFS($V$6:$V$2005,"&lt;"&amp;$V1939,$K$6:$K$2005,"")+1)</f>
        <v/>
      </c>
    </row>
    <row r="1940">
      <c r="A1940">
        <f>IF(Sync!$Z1940="","",LEFT(UPPER(TRIM(Sync!$Z1940)),6))</f>
        <v/>
      </c>
      <c r="B1940">
        <f>IF($A1940="","",IF(Sync!$AA1940="","",Sync!$AA1940))</f>
        <v/>
      </c>
      <c r="C1940">
        <f>IF($A1940="","",IF(Sync!$AB1940="","",Sync!$AB1940))</f>
        <v/>
      </c>
      <c r="D1940">
        <f>IF($A1940="","",IF(Sync!$AC1940="","",Sync!$AC1940))</f>
        <v/>
      </c>
      <c r="E1940">
        <f>IF($A1940="","",IF(Sync!$AD1940="","",Sync!$AD1940))</f>
        <v/>
      </c>
      <c r="F1940">
        <f>IF($A1940="","",IF(Sync!$AE1940="",0,Sync!$AE1940))</f>
        <v/>
      </c>
      <c r="G1940">
        <f>IF($A1940="","",IF(Sync!$AF1940="",0,Sync!$AF1940))</f>
        <v/>
      </c>
      <c r="H1940">
        <f>IF(OR($A1940="",ROUND($F1940+$G1940,2)=0),"",$F1940+$G1940)</f>
        <v/>
      </c>
      <c r="I1940">
        <f>IF($H1940="","",IF(ROUND($F1940,2)&gt;0,$A1940,IF($D1940="شخصی قاسم","شخصی قاسم",IF($D1940="هزینه","هزینه: "&amp;IF($E1940="","متفرقه",$E1940),IF($C1940="پاس چک","چک پرداختی",IF(OR($B1940="",COUNTIF(AcctCodesA,$B1940)=0),"متفرقه",$B1940))))))</f>
        <v/>
      </c>
      <c r="J1940">
        <f>IF($H1940="","",IF(ROUND($F1940,2)&gt;0,IF($D1940="شخصی قاسم","شخصی قاسم",IF($D1940="هزینه","هزینه: "&amp;IF($E1940="","متفرقه",$E1940),IF(OR($B1940="",COUNTIF(AcctCodesA,$B1940)=0),"متفرقه",$B1940))),$A1940))</f>
        <v/>
      </c>
      <c r="K1940">
        <f>IF($A1940="","",IF(AND($B1940&lt;&gt;"",COUNTIF(AcctCodesA,$B1940)=0),"کد طرف در INFO تعریف نشده",IF(AND($D1940="هزینه",$E1940=""),"هزینه بدون زیرگروه",IF(AND($C1940="پاس چک",OR(Sync!$AJ1940="",COUNTIF(IssueNosA,Sync!$AJ1940)=0)),"شماره چک پاس‌شده معتبر نیست",""))))</f>
        <v/>
      </c>
      <c r="V1940">
        <f>IF($K1940="","",IF(ISNUMBER(Sync!$AK1940),Sync!$AK1940,LEFT(Sync!$AK1940,4)&amp;MID(Sync!$AK1940,6,2)&amp;RIGHT(Sync!$AK1940,2))&amp;"|"&amp;"4"&amp;RIGHT("00000"&amp;1935,5))</f>
        <v/>
      </c>
      <c r="W1940">
        <f>IF($V1940="",0,COUNTIFS($V$6:$V$2005,"&lt;"&amp;$V1940)-COUNTIFS($V$6:$V$2005,"&lt;"&amp;$V1940,$K$6:$K$2005,"")+1)</f>
        <v/>
      </c>
    </row>
    <row r="1941">
      <c r="A1941">
        <f>IF(Sync!$Z1941="","",LEFT(UPPER(TRIM(Sync!$Z1941)),6))</f>
        <v/>
      </c>
      <c r="B1941">
        <f>IF($A1941="","",IF(Sync!$AA1941="","",Sync!$AA1941))</f>
        <v/>
      </c>
      <c r="C1941">
        <f>IF($A1941="","",IF(Sync!$AB1941="","",Sync!$AB1941))</f>
        <v/>
      </c>
      <c r="D1941">
        <f>IF($A1941="","",IF(Sync!$AC1941="","",Sync!$AC1941))</f>
        <v/>
      </c>
      <c r="E1941">
        <f>IF($A1941="","",IF(Sync!$AD1941="","",Sync!$AD1941))</f>
        <v/>
      </c>
      <c r="F1941">
        <f>IF($A1941="","",IF(Sync!$AE1941="",0,Sync!$AE1941))</f>
        <v/>
      </c>
      <c r="G1941">
        <f>IF($A1941="","",IF(Sync!$AF1941="",0,Sync!$AF1941))</f>
        <v/>
      </c>
      <c r="H1941">
        <f>IF(OR($A1941="",ROUND($F1941+$G1941,2)=0),"",$F1941+$G1941)</f>
        <v/>
      </c>
      <c r="I1941">
        <f>IF($H1941="","",IF(ROUND($F1941,2)&gt;0,$A1941,IF($D1941="شخصی قاسم","شخصی قاسم",IF($D1941="هزینه","هزینه: "&amp;IF($E1941="","متفرقه",$E1941),IF($C1941="پاس چک","چک پرداختی",IF(OR($B1941="",COUNTIF(AcctCodesA,$B1941)=0),"متفرقه",$B1941))))))</f>
        <v/>
      </c>
      <c r="J1941">
        <f>IF($H1941="","",IF(ROUND($F1941,2)&gt;0,IF($D1941="شخصی قاسم","شخصی قاسم",IF($D1941="هزینه","هزینه: "&amp;IF($E1941="","متفرقه",$E1941),IF(OR($B1941="",COUNTIF(AcctCodesA,$B1941)=0),"متفرقه",$B1941))),$A1941))</f>
        <v/>
      </c>
      <c r="K1941">
        <f>IF($A1941="","",IF(AND($B1941&lt;&gt;"",COUNTIF(AcctCodesA,$B1941)=0),"کد طرف در INFO تعریف نشده",IF(AND($D1941="هزینه",$E1941=""),"هزینه بدون زیرگروه",IF(AND($C1941="پاس چک",OR(Sync!$AJ1941="",COUNTIF(IssueNosA,Sync!$AJ1941)=0)),"شماره چک پاس‌شده معتبر نیست",""))))</f>
        <v/>
      </c>
      <c r="V1941">
        <f>IF($K1941="","",IF(ISNUMBER(Sync!$AK1941),Sync!$AK1941,LEFT(Sync!$AK1941,4)&amp;MID(Sync!$AK1941,6,2)&amp;RIGHT(Sync!$AK1941,2))&amp;"|"&amp;"4"&amp;RIGHT("00000"&amp;1936,5))</f>
        <v/>
      </c>
      <c r="W1941">
        <f>IF($V1941="",0,COUNTIFS($V$6:$V$2005,"&lt;"&amp;$V1941)-COUNTIFS($V$6:$V$2005,"&lt;"&amp;$V1941,$K$6:$K$2005,"")+1)</f>
        <v/>
      </c>
    </row>
    <row r="1942">
      <c r="A1942">
        <f>IF(Sync!$Z1942="","",LEFT(UPPER(TRIM(Sync!$Z1942)),6))</f>
        <v/>
      </c>
      <c r="B1942">
        <f>IF($A1942="","",IF(Sync!$AA1942="","",Sync!$AA1942))</f>
        <v/>
      </c>
      <c r="C1942">
        <f>IF($A1942="","",IF(Sync!$AB1942="","",Sync!$AB1942))</f>
        <v/>
      </c>
      <c r="D1942">
        <f>IF($A1942="","",IF(Sync!$AC1942="","",Sync!$AC1942))</f>
        <v/>
      </c>
      <c r="E1942">
        <f>IF($A1942="","",IF(Sync!$AD1942="","",Sync!$AD1942))</f>
        <v/>
      </c>
      <c r="F1942">
        <f>IF($A1942="","",IF(Sync!$AE1942="",0,Sync!$AE1942))</f>
        <v/>
      </c>
      <c r="G1942">
        <f>IF($A1942="","",IF(Sync!$AF1942="",0,Sync!$AF1942))</f>
        <v/>
      </c>
      <c r="H1942">
        <f>IF(OR($A1942="",ROUND($F1942+$G1942,2)=0),"",$F1942+$G1942)</f>
        <v/>
      </c>
      <c r="I1942">
        <f>IF($H1942="","",IF(ROUND($F1942,2)&gt;0,$A1942,IF($D1942="شخصی قاسم","شخصی قاسم",IF($D1942="هزینه","هزینه: "&amp;IF($E1942="","متفرقه",$E1942),IF($C1942="پاس چک","چک پرداختی",IF(OR($B1942="",COUNTIF(AcctCodesA,$B1942)=0),"متفرقه",$B1942))))))</f>
        <v/>
      </c>
      <c r="J1942">
        <f>IF($H1942="","",IF(ROUND($F1942,2)&gt;0,IF($D1942="شخصی قاسم","شخصی قاسم",IF($D1942="هزینه","هزینه: "&amp;IF($E1942="","متفرقه",$E1942),IF(OR($B1942="",COUNTIF(AcctCodesA,$B1942)=0),"متفرقه",$B1942))),$A1942))</f>
        <v/>
      </c>
      <c r="K1942">
        <f>IF($A1942="","",IF(AND($B1942&lt;&gt;"",COUNTIF(AcctCodesA,$B1942)=0),"کد طرف در INFO تعریف نشده",IF(AND($D1942="هزینه",$E1942=""),"هزینه بدون زیرگروه",IF(AND($C1942="پاس چک",OR(Sync!$AJ1942="",COUNTIF(IssueNosA,Sync!$AJ1942)=0)),"شماره چک پاس‌شده معتبر نیست",""))))</f>
        <v/>
      </c>
      <c r="V1942">
        <f>IF($K1942="","",IF(ISNUMBER(Sync!$AK1942),Sync!$AK1942,LEFT(Sync!$AK1942,4)&amp;MID(Sync!$AK1942,6,2)&amp;RIGHT(Sync!$AK1942,2))&amp;"|"&amp;"4"&amp;RIGHT("00000"&amp;1937,5))</f>
        <v/>
      </c>
      <c r="W1942">
        <f>IF($V1942="",0,COUNTIFS($V$6:$V$2005,"&lt;"&amp;$V1942)-COUNTIFS($V$6:$V$2005,"&lt;"&amp;$V1942,$K$6:$K$2005,"")+1)</f>
        <v/>
      </c>
    </row>
    <row r="1943">
      <c r="A1943">
        <f>IF(Sync!$Z1943="","",LEFT(UPPER(TRIM(Sync!$Z1943)),6))</f>
        <v/>
      </c>
      <c r="B1943">
        <f>IF($A1943="","",IF(Sync!$AA1943="","",Sync!$AA1943))</f>
        <v/>
      </c>
      <c r="C1943">
        <f>IF($A1943="","",IF(Sync!$AB1943="","",Sync!$AB1943))</f>
        <v/>
      </c>
      <c r="D1943">
        <f>IF($A1943="","",IF(Sync!$AC1943="","",Sync!$AC1943))</f>
        <v/>
      </c>
      <c r="E1943">
        <f>IF($A1943="","",IF(Sync!$AD1943="","",Sync!$AD1943))</f>
        <v/>
      </c>
      <c r="F1943">
        <f>IF($A1943="","",IF(Sync!$AE1943="",0,Sync!$AE1943))</f>
        <v/>
      </c>
      <c r="G1943">
        <f>IF($A1943="","",IF(Sync!$AF1943="",0,Sync!$AF1943))</f>
        <v/>
      </c>
      <c r="H1943">
        <f>IF(OR($A1943="",ROUND($F1943+$G1943,2)=0),"",$F1943+$G1943)</f>
        <v/>
      </c>
      <c r="I1943">
        <f>IF($H1943="","",IF(ROUND($F1943,2)&gt;0,$A1943,IF($D1943="شخصی قاسم","شخصی قاسم",IF($D1943="هزینه","هزینه: "&amp;IF($E1943="","متفرقه",$E1943),IF($C1943="پاس چک","چک پرداختی",IF(OR($B1943="",COUNTIF(AcctCodesA,$B1943)=0),"متفرقه",$B1943))))))</f>
        <v/>
      </c>
      <c r="J1943">
        <f>IF($H1943="","",IF(ROUND($F1943,2)&gt;0,IF($D1943="شخصی قاسم","شخصی قاسم",IF($D1943="هزینه","هزینه: "&amp;IF($E1943="","متفرقه",$E1943),IF(OR($B1943="",COUNTIF(AcctCodesA,$B1943)=0),"متفرقه",$B1943))),$A1943))</f>
        <v/>
      </c>
      <c r="K1943">
        <f>IF($A1943="","",IF(AND($B1943&lt;&gt;"",COUNTIF(AcctCodesA,$B1943)=0),"کد طرف در INFO تعریف نشده",IF(AND($D1943="هزینه",$E1943=""),"هزینه بدون زیرگروه",IF(AND($C1943="پاس چک",OR(Sync!$AJ1943="",COUNTIF(IssueNosA,Sync!$AJ1943)=0)),"شماره چک پاس‌شده معتبر نیست",""))))</f>
        <v/>
      </c>
      <c r="V1943">
        <f>IF($K1943="","",IF(ISNUMBER(Sync!$AK1943),Sync!$AK1943,LEFT(Sync!$AK1943,4)&amp;MID(Sync!$AK1943,6,2)&amp;RIGHT(Sync!$AK1943,2))&amp;"|"&amp;"4"&amp;RIGHT("00000"&amp;1938,5))</f>
        <v/>
      </c>
      <c r="W1943">
        <f>IF($V1943="",0,COUNTIFS($V$6:$V$2005,"&lt;"&amp;$V1943)-COUNTIFS($V$6:$V$2005,"&lt;"&amp;$V1943,$K$6:$K$2005,"")+1)</f>
        <v/>
      </c>
    </row>
    <row r="1944">
      <c r="A1944">
        <f>IF(Sync!$Z1944="","",LEFT(UPPER(TRIM(Sync!$Z1944)),6))</f>
        <v/>
      </c>
      <c r="B1944">
        <f>IF($A1944="","",IF(Sync!$AA1944="","",Sync!$AA1944))</f>
        <v/>
      </c>
      <c r="C1944">
        <f>IF($A1944="","",IF(Sync!$AB1944="","",Sync!$AB1944))</f>
        <v/>
      </c>
      <c r="D1944">
        <f>IF($A1944="","",IF(Sync!$AC1944="","",Sync!$AC1944))</f>
        <v/>
      </c>
      <c r="E1944">
        <f>IF($A1944="","",IF(Sync!$AD1944="","",Sync!$AD1944))</f>
        <v/>
      </c>
      <c r="F1944">
        <f>IF($A1944="","",IF(Sync!$AE1944="",0,Sync!$AE1944))</f>
        <v/>
      </c>
      <c r="G1944">
        <f>IF($A1944="","",IF(Sync!$AF1944="",0,Sync!$AF1944))</f>
        <v/>
      </c>
      <c r="H1944">
        <f>IF(OR($A1944="",ROUND($F1944+$G1944,2)=0),"",$F1944+$G1944)</f>
        <v/>
      </c>
      <c r="I1944">
        <f>IF($H1944="","",IF(ROUND($F1944,2)&gt;0,$A1944,IF($D1944="شخصی قاسم","شخصی قاسم",IF($D1944="هزینه","هزینه: "&amp;IF($E1944="","متفرقه",$E1944),IF($C1944="پاس چک","چک پرداختی",IF(OR($B1944="",COUNTIF(AcctCodesA,$B1944)=0),"متفرقه",$B1944))))))</f>
        <v/>
      </c>
      <c r="J1944">
        <f>IF($H1944="","",IF(ROUND($F1944,2)&gt;0,IF($D1944="شخصی قاسم","شخصی قاسم",IF($D1944="هزینه","هزینه: "&amp;IF($E1944="","متفرقه",$E1944),IF(OR($B1944="",COUNTIF(AcctCodesA,$B1944)=0),"متفرقه",$B1944))),$A1944))</f>
        <v/>
      </c>
      <c r="K1944">
        <f>IF($A1944="","",IF(AND($B1944&lt;&gt;"",COUNTIF(AcctCodesA,$B1944)=0),"کد طرف در INFO تعریف نشده",IF(AND($D1944="هزینه",$E1944=""),"هزینه بدون زیرگروه",IF(AND($C1944="پاس چک",OR(Sync!$AJ1944="",COUNTIF(IssueNosA,Sync!$AJ1944)=0)),"شماره چک پاس‌شده معتبر نیست",""))))</f>
        <v/>
      </c>
      <c r="V1944">
        <f>IF($K1944="","",IF(ISNUMBER(Sync!$AK1944),Sync!$AK1944,LEFT(Sync!$AK1944,4)&amp;MID(Sync!$AK1944,6,2)&amp;RIGHT(Sync!$AK1944,2))&amp;"|"&amp;"4"&amp;RIGHT("00000"&amp;1939,5))</f>
        <v/>
      </c>
      <c r="W1944">
        <f>IF($V1944="",0,COUNTIFS($V$6:$V$2005,"&lt;"&amp;$V1944)-COUNTIFS($V$6:$V$2005,"&lt;"&amp;$V1944,$K$6:$K$2005,"")+1)</f>
        <v/>
      </c>
    </row>
    <row r="1945">
      <c r="A1945">
        <f>IF(Sync!$Z1945="","",LEFT(UPPER(TRIM(Sync!$Z1945)),6))</f>
        <v/>
      </c>
      <c r="B1945">
        <f>IF($A1945="","",IF(Sync!$AA1945="","",Sync!$AA1945))</f>
        <v/>
      </c>
      <c r="C1945">
        <f>IF($A1945="","",IF(Sync!$AB1945="","",Sync!$AB1945))</f>
        <v/>
      </c>
      <c r="D1945">
        <f>IF($A1945="","",IF(Sync!$AC1945="","",Sync!$AC1945))</f>
        <v/>
      </c>
      <c r="E1945">
        <f>IF($A1945="","",IF(Sync!$AD1945="","",Sync!$AD1945))</f>
        <v/>
      </c>
      <c r="F1945">
        <f>IF($A1945="","",IF(Sync!$AE1945="",0,Sync!$AE1945))</f>
        <v/>
      </c>
      <c r="G1945">
        <f>IF($A1945="","",IF(Sync!$AF1945="",0,Sync!$AF1945))</f>
        <v/>
      </c>
      <c r="H1945">
        <f>IF(OR($A1945="",ROUND($F1945+$G1945,2)=0),"",$F1945+$G1945)</f>
        <v/>
      </c>
      <c r="I1945">
        <f>IF($H1945="","",IF(ROUND($F1945,2)&gt;0,$A1945,IF($D1945="شخصی قاسم","شخصی قاسم",IF($D1945="هزینه","هزینه: "&amp;IF($E1945="","متفرقه",$E1945),IF($C1945="پاس چک","چک پرداختی",IF(OR($B1945="",COUNTIF(AcctCodesA,$B1945)=0),"متفرقه",$B1945))))))</f>
        <v/>
      </c>
      <c r="J1945">
        <f>IF($H1945="","",IF(ROUND($F1945,2)&gt;0,IF($D1945="شخصی قاسم","شخصی قاسم",IF($D1945="هزینه","هزینه: "&amp;IF($E1945="","متفرقه",$E1945),IF(OR($B1945="",COUNTIF(AcctCodesA,$B1945)=0),"متفرقه",$B1945))),$A1945))</f>
        <v/>
      </c>
      <c r="K1945">
        <f>IF($A1945="","",IF(AND($B1945&lt;&gt;"",COUNTIF(AcctCodesA,$B1945)=0),"کد طرف در INFO تعریف نشده",IF(AND($D1945="هزینه",$E1945=""),"هزینه بدون زیرگروه",IF(AND($C1945="پاس چک",OR(Sync!$AJ1945="",COUNTIF(IssueNosA,Sync!$AJ1945)=0)),"شماره چک پاس‌شده معتبر نیست",""))))</f>
        <v/>
      </c>
      <c r="V1945">
        <f>IF($K1945="","",IF(ISNUMBER(Sync!$AK1945),Sync!$AK1945,LEFT(Sync!$AK1945,4)&amp;MID(Sync!$AK1945,6,2)&amp;RIGHT(Sync!$AK1945,2))&amp;"|"&amp;"4"&amp;RIGHT("00000"&amp;1940,5))</f>
        <v/>
      </c>
      <c r="W1945">
        <f>IF($V1945="",0,COUNTIFS($V$6:$V$2005,"&lt;"&amp;$V1945)-COUNTIFS($V$6:$V$2005,"&lt;"&amp;$V1945,$K$6:$K$2005,"")+1)</f>
        <v/>
      </c>
    </row>
    <row r="1946">
      <c r="A1946">
        <f>IF(Sync!$Z1946="","",LEFT(UPPER(TRIM(Sync!$Z1946)),6))</f>
        <v/>
      </c>
      <c r="B1946">
        <f>IF($A1946="","",IF(Sync!$AA1946="","",Sync!$AA1946))</f>
        <v/>
      </c>
      <c r="C1946">
        <f>IF($A1946="","",IF(Sync!$AB1946="","",Sync!$AB1946))</f>
        <v/>
      </c>
      <c r="D1946">
        <f>IF($A1946="","",IF(Sync!$AC1946="","",Sync!$AC1946))</f>
        <v/>
      </c>
      <c r="E1946">
        <f>IF($A1946="","",IF(Sync!$AD1946="","",Sync!$AD1946))</f>
        <v/>
      </c>
      <c r="F1946">
        <f>IF($A1946="","",IF(Sync!$AE1946="",0,Sync!$AE1946))</f>
        <v/>
      </c>
      <c r="G1946">
        <f>IF($A1946="","",IF(Sync!$AF1946="",0,Sync!$AF1946))</f>
        <v/>
      </c>
      <c r="H1946">
        <f>IF(OR($A1946="",ROUND($F1946+$G1946,2)=0),"",$F1946+$G1946)</f>
        <v/>
      </c>
      <c r="I1946">
        <f>IF($H1946="","",IF(ROUND($F1946,2)&gt;0,$A1946,IF($D1946="شخصی قاسم","شخصی قاسم",IF($D1946="هزینه","هزینه: "&amp;IF($E1946="","متفرقه",$E1946),IF($C1946="پاس چک","چک پرداختی",IF(OR($B1946="",COUNTIF(AcctCodesA,$B1946)=0),"متفرقه",$B1946))))))</f>
        <v/>
      </c>
      <c r="J1946">
        <f>IF($H1946="","",IF(ROUND($F1946,2)&gt;0,IF($D1946="شخصی قاسم","شخصی قاسم",IF($D1946="هزینه","هزینه: "&amp;IF($E1946="","متفرقه",$E1946),IF(OR($B1946="",COUNTIF(AcctCodesA,$B1946)=0),"متفرقه",$B1946))),$A1946))</f>
        <v/>
      </c>
      <c r="K1946">
        <f>IF($A1946="","",IF(AND($B1946&lt;&gt;"",COUNTIF(AcctCodesA,$B1946)=0),"کد طرف در INFO تعریف نشده",IF(AND($D1946="هزینه",$E1946=""),"هزینه بدون زیرگروه",IF(AND($C1946="پاس چک",OR(Sync!$AJ1946="",COUNTIF(IssueNosA,Sync!$AJ1946)=0)),"شماره چک پاس‌شده معتبر نیست",""))))</f>
        <v/>
      </c>
      <c r="V1946">
        <f>IF($K1946="","",IF(ISNUMBER(Sync!$AK1946),Sync!$AK1946,LEFT(Sync!$AK1946,4)&amp;MID(Sync!$AK1946,6,2)&amp;RIGHT(Sync!$AK1946,2))&amp;"|"&amp;"4"&amp;RIGHT("00000"&amp;1941,5))</f>
        <v/>
      </c>
      <c r="W1946">
        <f>IF($V1946="",0,COUNTIFS($V$6:$V$2005,"&lt;"&amp;$V1946)-COUNTIFS($V$6:$V$2005,"&lt;"&amp;$V1946,$K$6:$K$2005,"")+1)</f>
        <v/>
      </c>
    </row>
    <row r="1947">
      <c r="A1947">
        <f>IF(Sync!$Z1947="","",LEFT(UPPER(TRIM(Sync!$Z1947)),6))</f>
        <v/>
      </c>
      <c r="B1947">
        <f>IF($A1947="","",IF(Sync!$AA1947="","",Sync!$AA1947))</f>
        <v/>
      </c>
      <c r="C1947">
        <f>IF($A1947="","",IF(Sync!$AB1947="","",Sync!$AB1947))</f>
        <v/>
      </c>
      <c r="D1947">
        <f>IF($A1947="","",IF(Sync!$AC1947="","",Sync!$AC1947))</f>
        <v/>
      </c>
      <c r="E1947">
        <f>IF($A1947="","",IF(Sync!$AD1947="","",Sync!$AD1947))</f>
        <v/>
      </c>
      <c r="F1947">
        <f>IF($A1947="","",IF(Sync!$AE1947="",0,Sync!$AE1947))</f>
        <v/>
      </c>
      <c r="G1947">
        <f>IF($A1947="","",IF(Sync!$AF1947="",0,Sync!$AF1947))</f>
        <v/>
      </c>
      <c r="H1947">
        <f>IF(OR($A1947="",ROUND($F1947+$G1947,2)=0),"",$F1947+$G1947)</f>
        <v/>
      </c>
      <c r="I1947">
        <f>IF($H1947="","",IF(ROUND($F1947,2)&gt;0,$A1947,IF($D1947="شخصی قاسم","شخصی قاسم",IF($D1947="هزینه","هزینه: "&amp;IF($E1947="","متفرقه",$E1947),IF($C1947="پاس چک","چک پرداختی",IF(OR($B1947="",COUNTIF(AcctCodesA,$B1947)=0),"متفرقه",$B1947))))))</f>
        <v/>
      </c>
      <c r="J1947">
        <f>IF($H1947="","",IF(ROUND($F1947,2)&gt;0,IF($D1947="شخصی قاسم","شخصی قاسم",IF($D1947="هزینه","هزینه: "&amp;IF($E1947="","متفرقه",$E1947),IF(OR($B1947="",COUNTIF(AcctCodesA,$B1947)=0),"متفرقه",$B1947))),$A1947))</f>
        <v/>
      </c>
      <c r="K1947">
        <f>IF($A1947="","",IF(AND($B1947&lt;&gt;"",COUNTIF(AcctCodesA,$B1947)=0),"کد طرف در INFO تعریف نشده",IF(AND($D1947="هزینه",$E1947=""),"هزینه بدون زیرگروه",IF(AND($C1947="پاس چک",OR(Sync!$AJ1947="",COUNTIF(IssueNosA,Sync!$AJ1947)=0)),"شماره چک پاس‌شده معتبر نیست",""))))</f>
        <v/>
      </c>
      <c r="V1947">
        <f>IF($K1947="","",IF(ISNUMBER(Sync!$AK1947),Sync!$AK1947,LEFT(Sync!$AK1947,4)&amp;MID(Sync!$AK1947,6,2)&amp;RIGHT(Sync!$AK1947,2))&amp;"|"&amp;"4"&amp;RIGHT("00000"&amp;1942,5))</f>
        <v/>
      </c>
      <c r="W1947">
        <f>IF($V1947="",0,COUNTIFS($V$6:$V$2005,"&lt;"&amp;$V1947)-COUNTIFS($V$6:$V$2005,"&lt;"&amp;$V1947,$K$6:$K$2005,"")+1)</f>
        <v/>
      </c>
    </row>
    <row r="1948">
      <c r="A1948">
        <f>IF(Sync!$Z1948="","",LEFT(UPPER(TRIM(Sync!$Z1948)),6))</f>
        <v/>
      </c>
      <c r="B1948">
        <f>IF($A1948="","",IF(Sync!$AA1948="","",Sync!$AA1948))</f>
        <v/>
      </c>
      <c r="C1948">
        <f>IF($A1948="","",IF(Sync!$AB1948="","",Sync!$AB1948))</f>
        <v/>
      </c>
      <c r="D1948">
        <f>IF($A1948="","",IF(Sync!$AC1948="","",Sync!$AC1948))</f>
        <v/>
      </c>
      <c r="E1948">
        <f>IF($A1948="","",IF(Sync!$AD1948="","",Sync!$AD1948))</f>
        <v/>
      </c>
      <c r="F1948">
        <f>IF($A1948="","",IF(Sync!$AE1948="",0,Sync!$AE1948))</f>
        <v/>
      </c>
      <c r="G1948">
        <f>IF($A1948="","",IF(Sync!$AF1948="",0,Sync!$AF1948))</f>
        <v/>
      </c>
      <c r="H1948">
        <f>IF(OR($A1948="",ROUND($F1948+$G1948,2)=0),"",$F1948+$G1948)</f>
        <v/>
      </c>
      <c r="I1948">
        <f>IF($H1948="","",IF(ROUND($F1948,2)&gt;0,$A1948,IF($D1948="شخصی قاسم","شخصی قاسم",IF($D1948="هزینه","هزینه: "&amp;IF($E1948="","متفرقه",$E1948),IF($C1948="پاس چک","چک پرداختی",IF(OR($B1948="",COUNTIF(AcctCodesA,$B1948)=0),"متفرقه",$B1948))))))</f>
        <v/>
      </c>
      <c r="J1948">
        <f>IF($H1948="","",IF(ROUND($F1948,2)&gt;0,IF($D1948="شخصی قاسم","شخصی قاسم",IF($D1948="هزینه","هزینه: "&amp;IF($E1948="","متفرقه",$E1948),IF(OR($B1948="",COUNTIF(AcctCodesA,$B1948)=0),"متفرقه",$B1948))),$A1948))</f>
        <v/>
      </c>
      <c r="K1948">
        <f>IF($A1948="","",IF(AND($B1948&lt;&gt;"",COUNTIF(AcctCodesA,$B1948)=0),"کد طرف در INFO تعریف نشده",IF(AND($D1948="هزینه",$E1948=""),"هزینه بدون زیرگروه",IF(AND($C1948="پاس چک",OR(Sync!$AJ1948="",COUNTIF(IssueNosA,Sync!$AJ1948)=0)),"شماره چک پاس‌شده معتبر نیست",""))))</f>
        <v/>
      </c>
      <c r="V1948">
        <f>IF($K1948="","",IF(ISNUMBER(Sync!$AK1948),Sync!$AK1948,LEFT(Sync!$AK1948,4)&amp;MID(Sync!$AK1948,6,2)&amp;RIGHT(Sync!$AK1948,2))&amp;"|"&amp;"4"&amp;RIGHT("00000"&amp;1943,5))</f>
        <v/>
      </c>
      <c r="W1948">
        <f>IF($V1948="",0,COUNTIFS($V$6:$V$2005,"&lt;"&amp;$V1948)-COUNTIFS($V$6:$V$2005,"&lt;"&amp;$V1948,$K$6:$K$2005,"")+1)</f>
        <v/>
      </c>
    </row>
    <row r="1949">
      <c r="A1949">
        <f>IF(Sync!$Z1949="","",LEFT(UPPER(TRIM(Sync!$Z1949)),6))</f>
        <v/>
      </c>
      <c r="B1949">
        <f>IF($A1949="","",IF(Sync!$AA1949="","",Sync!$AA1949))</f>
        <v/>
      </c>
      <c r="C1949">
        <f>IF($A1949="","",IF(Sync!$AB1949="","",Sync!$AB1949))</f>
        <v/>
      </c>
      <c r="D1949">
        <f>IF($A1949="","",IF(Sync!$AC1949="","",Sync!$AC1949))</f>
        <v/>
      </c>
      <c r="E1949">
        <f>IF($A1949="","",IF(Sync!$AD1949="","",Sync!$AD1949))</f>
        <v/>
      </c>
      <c r="F1949">
        <f>IF($A1949="","",IF(Sync!$AE1949="",0,Sync!$AE1949))</f>
        <v/>
      </c>
      <c r="G1949">
        <f>IF($A1949="","",IF(Sync!$AF1949="",0,Sync!$AF1949))</f>
        <v/>
      </c>
      <c r="H1949">
        <f>IF(OR($A1949="",ROUND($F1949+$G1949,2)=0),"",$F1949+$G1949)</f>
        <v/>
      </c>
      <c r="I1949">
        <f>IF($H1949="","",IF(ROUND($F1949,2)&gt;0,$A1949,IF($D1949="شخصی قاسم","شخصی قاسم",IF($D1949="هزینه","هزینه: "&amp;IF($E1949="","متفرقه",$E1949),IF($C1949="پاس چک","چک پرداختی",IF(OR($B1949="",COUNTIF(AcctCodesA,$B1949)=0),"متفرقه",$B1949))))))</f>
        <v/>
      </c>
      <c r="J1949">
        <f>IF($H1949="","",IF(ROUND($F1949,2)&gt;0,IF($D1949="شخصی قاسم","شخصی قاسم",IF($D1949="هزینه","هزینه: "&amp;IF($E1949="","متفرقه",$E1949),IF(OR($B1949="",COUNTIF(AcctCodesA,$B1949)=0),"متفرقه",$B1949))),$A1949))</f>
        <v/>
      </c>
      <c r="K1949">
        <f>IF($A1949="","",IF(AND($B1949&lt;&gt;"",COUNTIF(AcctCodesA,$B1949)=0),"کد طرف در INFO تعریف نشده",IF(AND($D1949="هزینه",$E1949=""),"هزینه بدون زیرگروه",IF(AND($C1949="پاس چک",OR(Sync!$AJ1949="",COUNTIF(IssueNosA,Sync!$AJ1949)=0)),"شماره چک پاس‌شده معتبر نیست",""))))</f>
        <v/>
      </c>
      <c r="V1949">
        <f>IF($K1949="","",IF(ISNUMBER(Sync!$AK1949),Sync!$AK1949,LEFT(Sync!$AK1949,4)&amp;MID(Sync!$AK1949,6,2)&amp;RIGHT(Sync!$AK1949,2))&amp;"|"&amp;"4"&amp;RIGHT("00000"&amp;1944,5))</f>
        <v/>
      </c>
      <c r="W1949">
        <f>IF($V1949="",0,COUNTIFS($V$6:$V$2005,"&lt;"&amp;$V1949)-COUNTIFS($V$6:$V$2005,"&lt;"&amp;$V1949,$K$6:$K$2005,"")+1)</f>
        <v/>
      </c>
    </row>
    <row r="1950">
      <c r="A1950">
        <f>IF(Sync!$Z1950="","",LEFT(UPPER(TRIM(Sync!$Z1950)),6))</f>
        <v/>
      </c>
      <c r="B1950">
        <f>IF($A1950="","",IF(Sync!$AA1950="","",Sync!$AA1950))</f>
        <v/>
      </c>
      <c r="C1950">
        <f>IF($A1950="","",IF(Sync!$AB1950="","",Sync!$AB1950))</f>
        <v/>
      </c>
      <c r="D1950">
        <f>IF($A1950="","",IF(Sync!$AC1950="","",Sync!$AC1950))</f>
        <v/>
      </c>
      <c r="E1950">
        <f>IF($A1950="","",IF(Sync!$AD1950="","",Sync!$AD1950))</f>
        <v/>
      </c>
      <c r="F1950">
        <f>IF($A1950="","",IF(Sync!$AE1950="",0,Sync!$AE1950))</f>
        <v/>
      </c>
      <c r="G1950">
        <f>IF($A1950="","",IF(Sync!$AF1950="",0,Sync!$AF1950))</f>
        <v/>
      </c>
      <c r="H1950">
        <f>IF(OR($A1950="",ROUND($F1950+$G1950,2)=0),"",$F1950+$G1950)</f>
        <v/>
      </c>
      <c r="I1950">
        <f>IF($H1950="","",IF(ROUND($F1950,2)&gt;0,$A1950,IF($D1950="شخصی قاسم","شخصی قاسم",IF($D1950="هزینه","هزینه: "&amp;IF($E1950="","متفرقه",$E1950),IF($C1950="پاس چک","چک پرداختی",IF(OR($B1950="",COUNTIF(AcctCodesA,$B1950)=0),"متفرقه",$B1950))))))</f>
        <v/>
      </c>
      <c r="J1950">
        <f>IF($H1950="","",IF(ROUND($F1950,2)&gt;0,IF($D1950="شخصی قاسم","شخصی قاسم",IF($D1950="هزینه","هزینه: "&amp;IF($E1950="","متفرقه",$E1950),IF(OR($B1950="",COUNTIF(AcctCodesA,$B1950)=0),"متفرقه",$B1950))),$A1950))</f>
        <v/>
      </c>
      <c r="K1950">
        <f>IF($A1950="","",IF(AND($B1950&lt;&gt;"",COUNTIF(AcctCodesA,$B1950)=0),"کد طرف در INFO تعریف نشده",IF(AND($D1950="هزینه",$E1950=""),"هزینه بدون زیرگروه",IF(AND($C1950="پاس چک",OR(Sync!$AJ1950="",COUNTIF(IssueNosA,Sync!$AJ1950)=0)),"شماره چک پاس‌شده معتبر نیست",""))))</f>
        <v/>
      </c>
      <c r="V1950">
        <f>IF($K1950="","",IF(ISNUMBER(Sync!$AK1950),Sync!$AK1950,LEFT(Sync!$AK1950,4)&amp;MID(Sync!$AK1950,6,2)&amp;RIGHT(Sync!$AK1950,2))&amp;"|"&amp;"4"&amp;RIGHT("00000"&amp;1945,5))</f>
        <v/>
      </c>
      <c r="W1950">
        <f>IF($V1950="",0,COUNTIFS($V$6:$V$2005,"&lt;"&amp;$V1950)-COUNTIFS($V$6:$V$2005,"&lt;"&amp;$V1950,$K$6:$K$2005,"")+1)</f>
        <v/>
      </c>
    </row>
    <row r="1951">
      <c r="A1951">
        <f>IF(Sync!$Z1951="","",LEFT(UPPER(TRIM(Sync!$Z1951)),6))</f>
        <v/>
      </c>
      <c r="B1951">
        <f>IF($A1951="","",IF(Sync!$AA1951="","",Sync!$AA1951))</f>
        <v/>
      </c>
      <c r="C1951">
        <f>IF($A1951="","",IF(Sync!$AB1951="","",Sync!$AB1951))</f>
        <v/>
      </c>
      <c r="D1951">
        <f>IF($A1951="","",IF(Sync!$AC1951="","",Sync!$AC1951))</f>
        <v/>
      </c>
      <c r="E1951">
        <f>IF($A1951="","",IF(Sync!$AD1951="","",Sync!$AD1951))</f>
        <v/>
      </c>
      <c r="F1951">
        <f>IF($A1951="","",IF(Sync!$AE1951="",0,Sync!$AE1951))</f>
        <v/>
      </c>
      <c r="G1951">
        <f>IF($A1951="","",IF(Sync!$AF1951="",0,Sync!$AF1951))</f>
        <v/>
      </c>
      <c r="H1951">
        <f>IF(OR($A1951="",ROUND($F1951+$G1951,2)=0),"",$F1951+$G1951)</f>
        <v/>
      </c>
      <c r="I1951">
        <f>IF($H1951="","",IF(ROUND($F1951,2)&gt;0,$A1951,IF($D1951="شخصی قاسم","شخصی قاسم",IF($D1951="هزینه","هزینه: "&amp;IF($E1951="","متفرقه",$E1951),IF($C1951="پاس چک","چک پرداختی",IF(OR($B1951="",COUNTIF(AcctCodesA,$B1951)=0),"متفرقه",$B1951))))))</f>
        <v/>
      </c>
      <c r="J1951">
        <f>IF($H1951="","",IF(ROUND($F1951,2)&gt;0,IF($D1951="شخصی قاسم","شخصی قاسم",IF($D1951="هزینه","هزینه: "&amp;IF($E1951="","متفرقه",$E1951),IF(OR($B1951="",COUNTIF(AcctCodesA,$B1951)=0),"متفرقه",$B1951))),$A1951))</f>
        <v/>
      </c>
      <c r="K1951">
        <f>IF($A1951="","",IF(AND($B1951&lt;&gt;"",COUNTIF(AcctCodesA,$B1951)=0),"کد طرف در INFO تعریف نشده",IF(AND($D1951="هزینه",$E1951=""),"هزینه بدون زیرگروه",IF(AND($C1951="پاس چک",OR(Sync!$AJ1951="",COUNTIF(IssueNosA,Sync!$AJ1951)=0)),"شماره چک پاس‌شده معتبر نیست",""))))</f>
        <v/>
      </c>
      <c r="V1951">
        <f>IF($K1951="","",IF(ISNUMBER(Sync!$AK1951),Sync!$AK1951,LEFT(Sync!$AK1951,4)&amp;MID(Sync!$AK1951,6,2)&amp;RIGHT(Sync!$AK1951,2))&amp;"|"&amp;"4"&amp;RIGHT("00000"&amp;1946,5))</f>
        <v/>
      </c>
      <c r="W1951">
        <f>IF($V1951="",0,COUNTIFS($V$6:$V$2005,"&lt;"&amp;$V1951)-COUNTIFS($V$6:$V$2005,"&lt;"&amp;$V1951,$K$6:$K$2005,"")+1)</f>
        <v/>
      </c>
    </row>
    <row r="1952">
      <c r="A1952">
        <f>IF(Sync!$Z1952="","",LEFT(UPPER(TRIM(Sync!$Z1952)),6))</f>
        <v/>
      </c>
      <c r="B1952">
        <f>IF($A1952="","",IF(Sync!$AA1952="","",Sync!$AA1952))</f>
        <v/>
      </c>
      <c r="C1952">
        <f>IF($A1952="","",IF(Sync!$AB1952="","",Sync!$AB1952))</f>
        <v/>
      </c>
      <c r="D1952">
        <f>IF($A1952="","",IF(Sync!$AC1952="","",Sync!$AC1952))</f>
        <v/>
      </c>
      <c r="E1952">
        <f>IF($A1952="","",IF(Sync!$AD1952="","",Sync!$AD1952))</f>
        <v/>
      </c>
      <c r="F1952">
        <f>IF($A1952="","",IF(Sync!$AE1952="",0,Sync!$AE1952))</f>
        <v/>
      </c>
      <c r="G1952">
        <f>IF($A1952="","",IF(Sync!$AF1952="",0,Sync!$AF1952))</f>
        <v/>
      </c>
      <c r="H1952">
        <f>IF(OR($A1952="",ROUND($F1952+$G1952,2)=0),"",$F1952+$G1952)</f>
        <v/>
      </c>
      <c r="I1952">
        <f>IF($H1952="","",IF(ROUND($F1952,2)&gt;0,$A1952,IF($D1952="شخصی قاسم","شخصی قاسم",IF($D1952="هزینه","هزینه: "&amp;IF($E1952="","متفرقه",$E1952),IF($C1952="پاس چک","چک پرداختی",IF(OR($B1952="",COUNTIF(AcctCodesA,$B1952)=0),"متفرقه",$B1952))))))</f>
        <v/>
      </c>
      <c r="J1952">
        <f>IF($H1952="","",IF(ROUND($F1952,2)&gt;0,IF($D1952="شخصی قاسم","شخصی قاسم",IF($D1952="هزینه","هزینه: "&amp;IF($E1952="","متفرقه",$E1952),IF(OR($B1952="",COUNTIF(AcctCodesA,$B1952)=0),"متفرقه",$B1952))),$A1952))</f>
        <v/>
      </c>
      <c r="K1952">
        <f>IF($A1952="","",IF(AND($B1952&lt;&gt;"",COUNTIF(AcctCodesA,$B1952)=0),"کد طرف در INFO تعریف نشده",IF(AND($D1952="هزینه",$E1952=""),"هزینه بدون زیرگروه",IF(AND($C1952="پاس چک",OR(Sync!$AJ1952="",COUNTIF(IssueNosA,Sync!$AJ1952)=0)),"شماره چک پاس‌شده معتبر نیست",""))))</f>
        <v/>
      </c>
      <c r="V1952">
        <f>IF($K1952="","",IF(ISNUMBER(Sync!$AK1952),Sync!$AK1952,LEFT(Sync!$AK1952,4)&amp;MID(Sync!$AK1952,6,2)&amp;RIGHT(Sync!$AK1952,2))&amp;"|"&amp;"4"&amp;RIGHT("00000"&amp;1947,5))</f>
        <v/>
      </c>
      <c r="W1952">
        <f>IF($V1952="",0,COUNTIFS($V$6:$V$2005,"&lt;"&amp;$V1952)-COUNTIFS($V$6:$V$2005,"&lt;"&amp;$V1952,$K$6:$K$2005,"")+1)</f>
        <v/>
      </c>
    </row>
    <row r="1953">
      <c r="A1953">
        <f>IF(Sync!$Z1953="","",LEFT(UPPER(TRIM(Sync!$Z1953)),6))</f>
        <v/>
      </c>
      <c r="B1953">
        <f>IF($A1953="","",IF(Sync!$AA1953="","",Sync!$AA1953))</f>
        <v/>
      </c>
      <c r="C1953">
        <f>IF($A1953="","",IF(Sync!$AB1953="","",Sync!$AB1953))</f>
        <v/>
      </c>
      <c r="D1953">
        <f>IF($A1953="","",IF(Sync!$AC1953="","",Sync!$AC1953))</f>
        <v/>
      </c>
      <c r="E1953">
        <f>IF($A1953="","",IF(Sync!$AD1953="","",Sync!$AD1953))</f>
        <v/>
      </c>
      <c r="F1953">
        <f>IF($A1953="","",IF(Sync!$AE1953="",0,Sync!$AE1953))</f>
        <v/>
      </c>
      <c r="G1953">
        <f>IF($A1953="","",IF(Sync!$AF1953="",0,Sync!$AF1953))</f>
        <v/>
      </c>
      <c r="H1953">
        <f>IF(OR($A1953="",ROUND($F1953+$G1953,2)=0),"",$F1953+$G1953)</f>
        <v/>
      </c>
      <c r="I1953">
        <f>IF($H1953="","",IF(ROUND($F1953,2)&gt;0,$A1953,IF($D1953="شخصی قاسم","شخصی قاسم",IF($D1953="هزینه","هزینه: "&amp;IF($E1953="","متفرقه",$E1953),IF($C1953="پاس چک","چک پرداختی",IF(OR($B1953="",COUNTIF(AcctCodesA,$B1953)=0),"متفرقه",$B1953))))))</f>
        <v/>
      </c>
      <c r="J1953">
        <f>IF($H1953="","",IF(ROUND($F1953,2)&gt;0,IF($D1953="شخصی قاسم","شخصی قاسم",IF($D1953="هزینه","هزینه: "&amp;IF($E1953="","متفرقه",$E1953),IF(OR($B1953="",COUNTIF(AcctCodesA,$B1953)=0),"متفرقه",$B1953))),$A1953))</f>
        <v/>
      </c>
      <c r="K1953">
        <f>IF($A1953="","",IF(AND($B1953&lt;&gt;"",COUNTIF(AcctCodesA,$B1953)=0),"کد طرف در INFO تعریف نشده",IF(AND($D1953="هزینه",$E1953=""),"هزینه بدون زیرگروه",IF(AND($C1953="پاس چک",OR(Sync!$AJ1953="",COUNTIF(IssueNosA,Sync!$AJ1953)=0)),"شماره چک پاس‌شده معتبر نیست",""))))</f>
        <v/>
      </c>
      <c r="V1953">
        <f>IF($K1953="","",IF(ISNUMBER(Sync!$AK1953),Sync!$AK1953,LEFT(Sync!$AK1953,4)&amp;MID(Sync!$AK1953,6,2)&amp;RIGHT(Sync!$AK1953,2))&amp;"|"&amp;"4"&amp;RIGHT("00000"&amp;1948,5))</f>
        <v/>
      </c>
      <c r="W1953">
        <f>IF($V1953="",0,COUNTIFS($V$6:$V$2005,"&lt;"&amp;$V1953)-COUNTIFS($V$6:$V$2005,"&lt;"&amp;$V1953,$K$6:$K$2005,"")+1)</f>
        <v/>
      </c>
    </row>
    <row r="1954">
      <c r="A1954">
        <f>IF(Sync!$Z1954="","",LEFT(UPPER(TRIM(Sync!$Z1954)),6))</f>
        <v/>
      </c>
      <c r="B1954">
        <f>IF($A1954="","",IF(Sync!$AA1954="","",Sync!$AA1954))</f>
        <v/>
      </c>
      <c r="C1954">
        <f>IF($A1954="","",IF(Sync!$AB1954="","",Sync!$AB1954))</f>
        <v/>
      </c>
      <c r="D1954">
        <f>IF($A1954="","",IF(Sync!$AC1954="","",Sync!$AC1954))</f>
        <v/>
      </c>
      <c r="E1954">
        <f>IF($A1954="","",IF(Sync!$AD1954="","",Sync!$AD1954))</f>
        <v/>
      </c>
      <c r="F1954">
        <f>IF($A1954="","",IF(Sync!$AE1954="",0,Sync!$AE1954))</f>
        <v/>
      </c>
      <c r="G1954">
        <f>IF($A1954="","",IF(Sync!$AF1954="",0,Sync!$AF1954))</f>
        <v/>
      </c>
      <c r="H1954">
        <f>IF(OR($A1954="",ROUND($F1954+$G1954,2)=0),"",$F1954+$G1954)</f>
        <v/>
      </c>
      <c r="I1954">
        <f>IF($H1954="","",IF(ROUND($F1954,2)&gt;0,$A1954,IF($D1954="شخصی قاسم","شخصی قاسم",IF($D1954="هزینه","هزینه: "&amp;IF($E1954="","متفرقه",$E1954),IF($C1954="پاس چک","چک پرداختی",IF(OR($B1954="",COUNTIF(AcctCodesA,$B1954)=0),"متفرقه",$B1954))))))</f>
        <v/>
      </c>
      <c r="J1954">
        <f>IF($H1954="","",IF(ROUND($F1954,2)&gt;0,IF($D1954="شخصی قاسم","شخصی قاسم",IF($D1954="هزینه","هزینه: "&amp;IF($E1954="","متفرقه",$E1954),IF(OR($B1954="",COUNTIF(AcctCodesA,$B1954)=0),"متفرقه",$B1954))),$A1954))</f>
        <v/>
      </c>
      <c r="K1954">
        <f>IF($A1954="","",IF(AND($B1954&lt;&gt;"",COUNTIF(AcctCodesA,$B1954)=0),"کد طرف در INFO تعریف نشده",IF(AND($D1954="هزینه",$E1954=""),"هزینه بدون زیرگروه",IF(AND($C1954="پاس چک",OR(Sync!$AJ1954="",COUNTIF(IssueNosA,Sync!$AJ1954)=0)),"شماره چک پاس‌شده معتبر نیست",""))))</f>
        <v/>
      </c>
      <c r="V1954">
        <f>IF($K1954="","",IF(ISNUMBER(Sync!$AK1954),Sync!$AK1954,LEFT(Sync!$AK1954,4)&amp;MID(Sync!$AK1954,6,2)&amp;RIGHT(Sync!$AK1954,2))&amp;"|"&amp;"4"&amp;RIGHT("00000"&amp;1949,5))</f>
        <v/>
      </c>
      <c r="W1954">
        <f>IF($V1954="",0,COUNTIFS($V$6:$V$2005,"&lt;"&amp;$V1954)-COUNTIFS($V$6:$V$2005,"&lt;"&amp;$V1954,$K$6:$K$2005,"")+1)</f>
        <v/>
      </c>
    </row>
    <row r="1955">
      <c r="A1955">
        <f>IF(Sync!$Z1955="","",LEFT(UPPER(TRIM(Sync!$Z1955)),6))</f>
        <v/>
      </c>
      <c r="B1955">
        <f>IF($A1955="","",IF(Sync!$AA1955="","",Sync!$AA1955))</f>
        <v/>
      </c>
      <c r="C1955">
        <f>IF($A1955="","",IF(Sync!$AB1955="","",Sync!$AB1955))</f>
        <v/>
      </c>
      <c r="D1955">
        <f>IF($A1955="","",IF(Sync!$AC1955="","",Sync!$AC1955))</f>
        <v/>
      </c>
      <c r="E1955">
        <f>IF($A1955="","",IF(Sync!$AD1955="","",Sync!$AD1955))</f>
        <v/>
      </c>
      <c r="F1955">
        <f>IF($A1955="","",IF(Sync!$AE1955="",0,Sync!$AE1955))</f>
        <v/>
      </c>
      <c r="G1955">
        <f>IF($A1955="","",IF(Sync!$AF1955="",0,Sync!$AF1955))</f>
        <v/>
      </c>
      <c r="H1955">
        <f>IF(OR($A1955="",ROUND($F1955+$G1955,2)=0),"",$F1955+$G1955)</f>
        <v/>
      </c>
      <c r="I1955">
        <f>IF($H1955="","",IF(ROUND($F1955,2)&gt;0,$A1955,IF($D1955="شخصی قاسم","شخصی قاسم",IF($D1955="هزینه","هزینه: "&amp;IF($E1955="","متفرقه",$E1955),IF($C1955="پاس چک","چک پرداختی",IF(OR($B1955="",COUNTIF(AcctCodesA,$B1955)=0),"متفرقه",$B1955))))))</f>
        <v/>
      </c>
      <c r="J1955">
        <f>IF($H1955="","",IF(ROUND($F1955,2)&gt;0,IF($D1955="شخصی قاسم","شخصی قاسم",IF($D1955="هزینه","هزینه: "&amp;IF($E1955="","متفرقه",$E1955),IF(OR($B1955="",COUNTIF(AcctCodesA,$B1955)=0),"متفرقه",$B1955))),$A1955))</f>
        <v/>
      </c>
      <c r="K1955">
        <f>IF($A1955="","",IF(AND($B1955&lt;&gt;"",COUNTIF(AcctCodesA,$B1955)=0),"کد طرف در INFO تعریف نشده",IF(AND($D1955="هزینه",$E1955=""),"هزینه بدون زیرگروه",IF(AND($C1955="پاس چک",OR(Sync!$AJ1955="",COUNTIF(IssueNosA,Sync!$AJ1955)=0)),"شماره چک پاس‌شده معتبر نیست",""))))</f>
        <v/>
      </c>
      <c r="V1955">
        <f>IF($K1955="","",IF(ISNUMBER(Sync!$AK1955),Sync!$AK1955,LEFT(Sync!$AK1955,4)&amp;MID(Sync!$AK1955,6,2)&amp;RIGHT(Sync!$AK1955,2))&amp;"|"&amp;"4"&amp;RIGHT("00000"&amp;1950,5))</f>
        <v/>
      </c>
      <c r="W1955">
        <f>IF($V1955="",0,COUNTIFS($V$6:$V$2005,"&lt;"&amp;$V1955)-COUNTIFS($V$6:$V$2005,"&lt;"&amp;$V1955,$K$6:$K$2005,"")+1)</f>
        <v/>
      </c>
    </row>
    <row r="1956">
      <c r="A1956">
        <f>IF(Sync!$Z1956="","",LEFT(UPPER(TRIM(Sync!$Z1956)),6))</f>
        <v/>
      </c>
      <c r="B1956">
        <f>IF($A1956="","",IF(Sync!$AA1956="","",Sync!$AA1956))</f>
        <v/>
      </c>
      <c r="C1956">
        <f>IF($A1956="","",IF(Sync!$AB1956="","",Sync!$AB1956))</f>
        <v/>
      </c>
      <c r="D1956">
        <f>IF($A1956="","",IF(Sync!$AC1956="","",Sync!$AC1956))</f>
        <v/>
      </c>
      <c r="E1956">
        <f>IF($A1956="","",IF(Sync!$AD1956="","",Sync!$AD1956))</f>
        <v/>
      </c>
      <c r="F1956">
        <f>IF($A1956="","",IF(Sync!$AE1956="",0,Sync!$AE1956))</f>
        <v/>
      </c>
      <c r="G1956">
        <f>IF($A1956="","",IF(Sync!$AF1956="",0,Sync!$AF1956))</f>
        <v/>
      </c>
      <c r="H1956">
        <f>IF(OR($A1956="",ROUND($F1956+$G1956,2)=0),"",$F1956+$G1956)</f>
        <v/>
      </c>
      <c r="I1956">
        <f>IF($H1956="","",IF(ROUND($F1956,2)&gt;0,$A1956,IF($D1956="شخصی قاسم","شخصی قاسم",IF($D1956="هزینه","هزینه: "&amp;IF($E1956="","متفرقه",$E1956),IF($C1956="پاس چک","چک پرداختی",IF(OR($B1956="",COUNTIF(AcctCodesA,$B1956)=0),"متفرقه",$B1956))))))</f>
        <v/>
      </c>
      <c r="J1956">
        <f>IF($H1956="","",IF(ROUND($F1956,2)&gt;0,IF($D1956="شخصی قاسم","شخصی قاسم",IF($D1956="هزینه","هزینه: "&amp;IF($E1956="","متفرقه",$E1956),IF(OR($B1956="",COUNTIF(AcctCodesA,$B1956)=0),"متفرقه",$B1956))),$A1956))</f>
        <v/>
      </c>
      <c r="K1956">
        <f>IF($A1956="","",IF(AND($B1956&lt;&gt;"",COUNTIF(AcctCodesA,$B1956)=0),"کد طرف در INFO تعریف نشده",IF(AND($D1956="هزینه",$E1956=""),"هزینه بدون زیرگروه",IF(AND($C1956="پاس چک",OR(Sync!$AJ1956="",COUNTIF(IssueNosA,Sync!$AJ1956)=0)),"شماره چک پاس‌شده معتبر نیست",""))))</f>
        <v/>
      </c>
      <c r="V1956">
        <f>IF($K1956="","",IF(ISNUMBER(Sync!$AK1956),Sync!$AK1956,LEFT(Sync!$AK1956,4)&amp;MID(Sync!$AK1956,6,2)&amp;RIGHT(Sync!$AK1956,2))&amp;"|"&amp;"4"&amp;RIGHT("00000"&amp;1951,5))</f>
        <v/>
      </c>
      <c r="W1956">
        <f>IF($V1956="",0,COUNTIFS($V$6:$V$2005,"&lt;"&amp;$V1956)-COUNTIFS($V$6:$V$2005,"&lt;"&amp;$V1956,$K$6:$K$2005,"")+1)</f>
        <v/>
      </c>
    </row>
    <row r="1957">
      <c r="A1957">
        <f>IF(Sync!$Z1957="","",LEFT(UPPER(TRIM(Sync!$Z1957)),6))</f>
        <v/>
      </c>
      <c r="B1957">
        <f>IF($A1957="","",IF(Sync!$AA1957="","",Sync!$AA1957))</f>
        <v/>
      </c>
      <c r="C1957">
        <f>IF($A1957="","",IF(Sync!$AB1957="","",Sync!$AB1957))</f>
        <v/>
      </c>
      <c r="D1957">
        <f>IF($A1957="","",IF(Sync!$AC1957="","",Sync!$AC1957))</f>
        <v/>
      </c>
      <c r="E1957">
        <f>IF($A1957="","",IF(Sync!$AD1957="","",Sync!$AD1957))</f>
        <v/>
      </c>
      <c r="F1957">
        <f>IF($A1957="","",IF(Sync!$AE1957="",0,Sync!$AE1957))</f>
        <v/>
      </c>
      <c r="G1957">
        <f>IF($A1957="","",IF(Sync!$AF1957="",0,Sync!$AF1957))</f>
        <v/>
      </c>
      <c r="H1957">
        <f>IF(OR($A1957="",ROUND($F1957+$G1957,2)=0),"",$F1957+$G1957)</f>
        <v/>
      </c>
      <c r="I1957">
        <f>IF($H1957="","",IF(ROUND($F1957,2)&gt;0,$A1957,IF($D1957="شخصی قاسم","شخصی قاسم",IF($D1957="هزینه","هزینه: "&amp;IF($E1957="","متفرقه",$E1957),IF($C1957="پاس چک","چک پرداختی",IF(OR($B1957="",COUNTIF(AcctCodesA,$B1957)=0),"متفرقه",$B1957))))))</f>
        <v/>
      </c>
      <c r="J1957">
        <f>IF($H1957="","",IF(ROUND($F1957,2)&gt;0,IF($D1957="شخصی قاسم","شخصی قاسم",IF($D1957="هزینه","هزینه: "&amp;IF($E1957="","متفرقه",$E1957),IF(OR($B1957="",COUNTIF(AcctCodesA,$B1957)=0),"متفرقه",$B1957))),$A1957))</f>
        <v/>
      </c>
      <c r="K1957">
        <f>IF($A1957="","",IF(AND($B1957&lt;&gt;"",COUNTIF(AcctCodesA,$B1957)=0),"کد طرف در INFO تعریف نشده",IF(AND($D1957="هزینه",$E1957=""),"هزینه بدون زیرگروه",IF(AND($C1957="پاس چک",OR(Sync!$AJ1957="",COUNTIF(IssueNosA,Sync!$AJ1957)=0)),"شماره چک پاس‌شده معتبر نیست",""))))</f>
        <v/>
      </c>
      <c r="V1957">
        <f>IF($K1957="","",IF(ISNUMBER(Sync!$AK1957),Sync!$AK1957,LEFT(Sync!$AK1957,4)&amp;MID(Sync!$AK1957,6,2)&amp;RIGHT(Sync!$AK1957,2))&amp;"|"&amp;"4"&amp;RIGHT("00000"&amp;1952,5))</f>
        <v/>
      </c>
      <c r="W1957">
        <f>IF($V1957="",0,COUNTIFS($V$6:$V$2005,"&lt;"&amp;$V1957)-COUNTIFS($V$6:$V$2005,"&lt;"&amp;$V1957,$K$6:$K$2005,"")+1)</f>
        <v/>
      </c>
    </row>
    <row r="1958">
      <c r="A1958">
        <f>IF(Sync!$Z1958="","",LEFT(UPPER(TRIM(Sync!$Z1958)),6))</f>
        <v/>
      </c>
      <c r="B1958">
        <f>IF($A1958="","",IF(Sync!$AA1958="","",Sync!$AA1958))</f>
        <v/>
      </c>
      <c r="C1958">
        <f>IF($A1958="","",IF(Sync!$AB1958="","",Sync!$AB1958))</f>
        <v/>
      </c>
      <c r="D1958">
        <f>IF($A1958="","",IF(Sync!$AC1958="","",Sync!$AC1958))</f>
        <v/>
      </c>
      <c r="E1958">
        <f>IF($A1958="","",IF(Sync!$AD1958="","",Sync!$AD1958))</f>
        <v/>
      </c>
      <c r="F1958">
        <f>IF($A1958="","",IF(Sync!$AE1958="",0,Sync!$AE1958))</f>
        <v/>
      </c>
      <c r="G1958">
        <f>IF($A1958="","",IF(Sync!$AF1958="",0,Sync!$AF1958))</f>
        <v/>
      </c>
      <c r="H1958">
        <f>IF(OR($A1958="",ROUND($F1958+$G1958,2)=0),"",$F1958+$G1958)</f>
        <v/>
      </c>
      <c r="I1958">
        <f>IF($H1958="","",IF(ROUND($F1958,2)&gt;0,$A1958,IF($D1958="شخصی قاسم","شخصی قاسم",IF($D1958="هزینه","هزینه: "&amp;IF($E1958="","متفرقه",$E1958),IF($C1958="پاس چک","چک پرداختی",IF(OR($B1958="",COUNTIF(AcctCodesA,$B1958)=0),"متفرقه",$B1958))))))</f>
        <v/>
      </c>
      <c r="J1958">
        <f>IF($H1958="","",IF(ROUND($F1958,2)&gt;0,IF($D1958="شخصی قاسم","شخصی قاسم",IF($D1958="هزینه","هزینه: "&amp;IF($E1958="","متفرقه",$E1958),IF(OR($B1958="",COUNTIF(AcctCodesA,$B1958)=0),"متفرقه",$B1958))),$A1958))</f>
        <v/>
      </c>
      <c r="K1958">
        <f>IF($A1958="","",IF(AND($B1958&lt;&gt;"",COUNTIF(AcctCodesA,$B1958)=0),"کد طرف در INFO تعریف نشده",IF(AND($D1958="هزینه",$E1958=""),"هزینه بدون زیرگروه",IF(AND($C1958="پاس چک",OR(Sync!$AJ1958="",COUNTIF(IssueNosA,Sync!$AJ1958)=0)),"شماره چک پاس‌شده معتبر نیست",""))))</f>
        <v/>
      </c>
      <c r="V1958">
        <f>IF($K1958="","",IF(ISNUMBER(Sync!$AK1958),Sync!$AK1958,LEFT(Sync!$AK1958,4)&amp;MID(Sync!$AK1958,6,2)&amp;RIGHT(Sync!$AK1958,2))&amp;"|"&amp;"4"&amp;RIGHT("00000"&amp;1953,5))</f>
        <v/>
      </c>
      <c r="W1958">
        <f>IF($V1958="",0,COUNTIFS($V$6:$V$2005,"&lt;"&amp;$V1958)-COUNTIFS($V$6:$V$2005,"&lt;"&amp;$V1958,$K$6:$K$2005,"")+1)</f>
        <v/>
      </c>
    </row>
    <row r="1959">
      <c r="A1959">
        <f>IF(Sync!$Z1959="","",LEFT(UPPER(TRIM(Sync!$Z1959)),6))</f>
        <v/>
      </c>
      <c r="B1959">
        <f>IF($A1959="","",IF(Sync!$AA1959="","",Sync!$AA1959))</f>
        <v/>
      </c>
      <c r="C1959">
        <f>IF($A1959="","",IF(Sync!$AB1959="","",Sync!$AB1959))</f>
        <v/>
      </c>
      <c r="D1959">
        <f>IF($A1959="","",IF(Sync!$AC1959="","",Sync!$AC1959))</f>
        <v/>
      </c>
      <c r="E1959">
        <f>IF($A1959="","",IF(Sync!$AD1959="","",Sync!$AD1959))</f>
        <v/>
      </c>
      <c r="F1959">
        <f>IF($A1959="","",IF(Sync!$AE1959="",0,Sync!$AE1959))</f>
        <v/>
      </c>
      <c r="G1959">
        <f>IF($A1959="","",IF(Sync!$AF1959="",0,Sync!$AF1959))</f>
        <v/>
      </c>
      <c r="H1959">
        <f>IF(OR($A1959="",ROUND($F1959+$G1959,2)=0),"",$F1959+$G1959)</f>
        <v/>
      </c>
      <c r="I1959">
        <f>IF($H1959="","",IF(ROUND($F1959,2)&gt;0,$A1959,IF($D1959="شخصی قاسم","شخصی قاسم",IF($D1959="هزینه","هزینه: "&amp;IF($E1959="","متفرقه",$E1959),IF($C1959="پاس چک","چک پرداختی",IF(OR($B1959="",COUNTIF(AcctCodesA,$B1959)=0),"متفرقه",$B1959))))))</f>
        <v/>
      </c>
      <c r="J1959">
        <f>IF($H1959="","",IF(ROUND($F1959,2)&gt;0,IF($D1959="شخصی قاسم","شخصی قاسم",IF($D1959="هزینه","هزینه: "&amp;IF($E1959="","متفرقه",$E1959),IF(OR($B1959="",COUNTIF(AcctCodesA,$B1959)=0),"متفرقه",$B1959))),$A1959))</f>
        <v/>
      </c>
      <c r="K1959">
        <f>IF($A1959="","",IF(AND($B1959&lt;&gt;"",COUNTIF(AcctCodesA,$B1959)=0),"کد طرف در INFO تعریف نشده",IF(AND($D1959="هزینه",$E1959=""),"هزینه بدون زیرگروه",IF(AND($C1959="پاس چک",OR(Sync!$AJ1959="",COUNTIF(IssueNosA,Sync!$AJ1959)=0)),"شماره چک پاس‌شده معتبر نیست",""))))</f>
        <v/>
      </c>
      <c r="V1959">
        <f>IF($K1959="","",IF(ISNUMBER(Sync!$AK1959),Sync!$AK1959,LEFT(Sync!$AK1959,4)&amp;MID(Sync!$AK1959,6,2)&amp;RIGHT(Sync!$AK1959,2))&amp;"|"&amp;"4"&amp;RIGHT("00000"&amp;1954,5))</f>
        <v/>
      </c>
      <c r="W1959">
        <f>IF($V1959="",0,COUNTIFS($V$6:$V$2005,"&lt;"&amp;$V1959)-COUNTIFS($V$6:$V$2005,"&lt;"&amp;$V1959,$K$6:$K$2005,"")+1)</f>
        <v/>
      </c>
    </row>
    <row r="1960">
      <c r="A1960">
        <f>IF(Sync!$Z1960="","",LEFT(UPPER(TRIM(Sync!$Z1960)),6))</f>
        <v/>
      </c>
      <c r="B1960">
        <f>IF($A1960="","",IF(Sync!$AA1960="","",Sync!$AA1960))</f>
        <v/>
      </c>
      <c r="C1960">
        <f>IF($A1960="","",IF(Sync!$AB1960="","",Sync!$AB1960))</f>
        <v/>
      </c>
      <c r="D1960">
        <f>IF($A1960="","",IF(Sync!$AC1960="","",Sync!$AC1960))</f>
        <v/>
      </c>
      <c r="E1960">
        <f>IF($A1960="","",IF(Sync!$AD1960="","",Sync!$AD1960))</f>
        <v/>
      </c>
      <c r="F1960">
        <f>IF($A1960="","",IF(Sync!$AE1960="",0,Sync!$AE1960))</f>
        <v/>
      </c>
      <c r="G1960">
        <f>IF($A1960="","",IF(Sync!$AF1960="",0,Sync!$AF1960))</f>
        <v/>
      </c>
      <c r="H1960">
        <f>IF(OR($A1960="",ROUND($F1960+$G1960,2)=0),"",$F1960+$G1960)</f>
        <v/>
      </c>
      <c r="I1960">
        <f>IF($H1960="","",IF(ROUND($F1960,2)&gt;0,$A1960,IF($D1960="شخصی قاسم","شخصی قاسم",IF($D1960="هزینه","هزینه: "&amp;IF($E1960="","متفرقه",$E1960),IF($C1960="پاس چک","چک پرداختی",IF(OR($B1960="",COUNTIF(AcctCodesA,$B1960)=0),"متفرقه",$B1960))))))</f>
        <v/>
      </c>
      <c r="J1960">
        <f>IF($H1960="","",IF(ROUND($F1960,2)&gt;0,IF($D1960="شخصی قاسم","شخصی قاسم",IF($D1960="هزینه","هزینه: "&amp;IF($E1960="","متفرقه",$E1960),IF(OR($B1960="",COUNTIF(AcctCodesA,$B1960)=0),"متفرقه",$B1960))),$A1960))</f>
        <v/>
      </c>
      <c r="K1960">
        <f>IF($A1960="","",IF(AND($B1960&lt;&gt;"",COUNTIF(AcctCodesA,$B1960)=0),"کد طرف در INFO تعریف نشده",IF(AND($D1960="هزینه",$E1960=""),"هزینه بدون زیرگروه",IF(AND($C1960="پاس چک",OR(Sync!$AJ1960="",COUNTIF(IssueNosA,Sync!$AJ1960)=0)),"شماره چک پاس‌شده معتبر نیست",""))))</f>
        <v/>
      </c>
      <c r="V1960">
        <f>IF($K1960="","",IF(ISNUMBER(Sync!$AK1960),Sync!$AK1960,LEFT(Sync!$AK1960,4)&amp;MID(Sync!$AK1960,6,2)&amp;RIGHT(Sync!$AK1960,2))&amp;"|"&amp;"4"&amp;RIGHT("00000"&amp;1955,5))</f>
        <v/>
      </c>
      <c r="W1960">
        <f>IF($V1960="",0,COUNTIFS($V$6:$V$2005,"&lt;"&amp;$V1960)-COUNTIFS($V$6:$V$2005,"&lt;"&amp;$V1960,$K$6:$K$2005,"")+1)</f>
        <v/>
      </c>
    </row>
    <row r="1961">
      <c r="A1961">
        <f>IF(Sync!$Z1961="","",LEFT(UPPER(TRIM(Sync!$Z1961)),6))</f>
        <v/>
      </c>
      <c r="B1961">
        <f>IF($A1961="","",IF(Sync!$AA1961="","",Sync!$AA1961))</f>
        <v/>
      </c>
      <c r="C1961">
        <f>IF($A1961="","",IF(Sync!$AB1961="","",Sync!$AB1961))</f>
        <v/>
      </c>
      <c r="D1961">
        <f>IF($A1961="","",IF(Sync!$AC1961="","",Sync!$AC1961))</f>
        <v/>
      </c>
      <c r="E1961">
        <f>IF($A1961="","",IF(Sync!$AD1961="","",Sync!$AD1961))</f>
        <v/>
      </c>
      <c r="F1961">
        <f>IF($A1961="","",IF(Sync!$AE1961="",0,Sync!$AE1961))</f>
        <v/>
      </c>
      <c r="G1961">
        <f>IF($A1961="","",IF(Sync!$AF1961="",0,Sync!$AF1961))</f>
        <v/>
      </c>
      <c r="H1961">
        <f>IF(OR($A1961="",ROUND($F1961+$G1961,2)=0),"",$F1961+$G1961)</f>
        <v/>
      </c>
      <c r="I1961">
        <f>IF($H1961="","",IF(ROUND($F1961,2)&gt;0,$A1961,IF($D1961="شخصی قاسم","شخصی قاسم",IF($D1961="هزینه","هزینه: "&amp;IF($E1961="","متفرقه",$E1961),IF($C1961="پاس چک","چک پرداختی",IF(OR($B1961="",COUNTIF(AcctCodesA,$B1961)=0),"متفرقه",$B1961))))))</f>
        <v/>
      </c>
      <c r="J1961">
        <f>IF($H1961="","",IF(ROUND($F1961,2)&gt;0,IF($D1961="شخصی قاسم","شخصی قاسم",IF($D1961="هزینه","هزینه: "&amp;IF($E1961="","متفرقه",$E1961),IF(OR($B1961="",COUNTIF(AcctCodesA,$B1961)=0),"متفرقه",$B1961))),$A1961))</f>
        <v/>
      </c>
      <c r="K1961">
        <f>IF($A1961="","",IF(AND($B1961&lt;&gt;"",COUNTIF(AcctCodesA,$B1961)=0),"کد طرف در INFO تعریف نشده",IF(AND($D1961="هزینه",$E1961=""),"هزینه بدون زیرگروه",IF(AND($C1961="پاس چک",OR(Sync!$AJ1961="",COUNTIF(IssueNosA,Sync!$AJ1961)=0)),"شماره چک پاس‌شده معتبر نیست",""))))</f>
        <v/>
      </c>
      <c r="V1961">
        <f>IF($K1961="","",IF(ISNUMBER(Sync!$AK1961),Sync!$AK1961,LEFT(Sync!$AK1961,4)&amp;MID(Sync!$AK1961,6,2)&amp;RIGHT(Sync!$AK1961,2))&amp;"|"&amp;"4"&amp;RIGHT("00000"&amp;1956,5))</f>
        <v/>
      </c>
      <c r="W1961">
        <f>IF($V1961="",0,COUNTIFS($V$6:$V$2005,"&lt;"&amp;$V1961)-COUNTIFS($V$6:$V$2005,"&lt;"&amp;$V1961,$K$6:$K$2005,"")+1)</f>
        <v/>
      </c>
    </row>
    <row r="1962">
      <c r="A1962">
        <f>IF(Sync!$Z1962="","",LEFT(UPPER(TRIM(Sync!$Z1962)),6))</f>
        <v/>
      </c>
      <c r="B1962">
        <f>IF($A1962="","",IF(Sync!$AA1962="","",Sync!$AA1962))</f>
        <v/>
      </c>
      <c r="C1962">
        <f>IF($A1962="","",IF(Sync!$AB1962="","",Sync!$AB1962))</f>
        <v/>
      </c>
      <c r="D1962">
        <f>IF($A1962="","",IF(Sync!$AC1962="","",Sync!$AC1962))</f>
        <v/>
      </c>
      <c r="E1962">
        <f>IF($A1962="","",IF(Sync!$AD1962="","",Sync!$AD1962))</f>
        <v/>
      </c>
      <c r="F1962">
        <f>IF($A1962="","",IF(Sync!$AE1962="",0,Sync!$AE1962))</f>
        <v/>
      </c>
      <c r="G1962">
        <f>IF($A1962="","",IF(Sync!$AF1962="",0,Sync!$AF1962))</f>
        <v/>
      </c>
      <c r="H1962">
        <f>IF(OR($A1962="",ROUND($F1962+$G1962,2)=0),"",$F1962+$G1962)</f>
        <v/>
      </c>
      <c r="I1962">
        <f>IF($H1962="","",IF(ROUND($F1962,2)&gt;0,$A1962,IF($D1962="شخصی قاسم","شخصی قاسم",IF($D1962="هزینه","هزینه: "&amp;IF($E1962="","متفرقه",$E1962),IF($C1962="پاس چک","چک پرداختی",IF(OR($B1962="",COUNTIF(AcctCodesA,$B1962)=0),"متفرقه",$B1962))))))</f>
        <v/>
      </c>
      <c r="J1962">
        <f>IF($H1962="","",IF(ROUND($F1962,2)&gt;0,IF($D1962="شخصی قاسم","شخصی قاسم",IF($D1962="هزینه","هزینه: "&amp;IF($E1962="","متفرقه",$E1962),IF(OR($B1962="",COUNTIF(AcctCodesA,$B1962)=0),"متفرقه",$B1962))),$A1962))</f>
        <v/>
      </c>
      <c r="K1962">
        <f>IF($A1962="","",IF(AND($B1962&lt;&gt;"",COUNTIF(AcctCodesA,$B1962)=0),"کد طرف در INFO تعریف نشده",IF(AND($D1962="هزینه",$E1962=""),"هزینه بدون زیرگروه",IF(AND($C1962="پاس چک",OR(Sync!$AJ1962="",COUNTIF(IssueNosA,Sync!$AJ1962)=0)),"شماره چک پاس‌شده معتبر نیست",""))))</f>
        <v/>
      </c>
      <c r="V1962">
        <f>IF($K1962="","",IF(ISNUMBER(Sync!$AK1962),Sync!$AK1962,LEFT(Sync!$AK1962,4)&amp;MID(Sync!$AK1962,6,2)&amp;RIGHT(Sync!$AK1962,2))&amp;"|"&amp;"4"&amp;RIGHT("00000"&amp;1957,5))</f>
        <v/>
      </c>
      <c r="W1962">
        <f>IF($V1962="",0,COUNTIFS($V$6:$V$2005,"&lt;"&amp;$V1962)-COUNTIFS($V$6:$V$2005,"&lt;"&amp;$V1962,$K$6:$K$2005,"")+1)</f>
        <v/>
      </c>
    </row>
    <row r="1963">
      <c r="A1963">
        <f>IF(Sync!$Z1963="","",LEFT(UPPER(TRIM(Sync!$Z1963)),6))</f>
        <v/>
      </c>
      <c r="B1963">
        <f>IF($A1963="","",IF(Sync!$AA1963="","",Sync!$AA1963))</f>
        <v/>
      </c>
      <c r="C1963">
        <f>IF($A1963="","",IF(Sync!$AB1963="","",Sync!$AB1963))</f>
        <v/>
      </c>
      <c r="D1963">
        <f>IF($A1963="","",IF(Sync!$AC1963="","",Sync!$AC1963))</f>
        <v/>
      </c>
      <c r="E1963">
        <f>IF($A1963="","",IF(Sync!$AD1963="","",Sync!$AD1963))</f>
        <v/>
      </c>
      <c r="F1963">
        <f>IF($A1963="","",IF(Sync!$AE1963="",0,Sync!$AE1963))</f>
        <v/>
      </c>
      <c r="G1963">
        <f>IF($A1963="","",IF(Sync!$AF1963="",0,Sync!$AF1963))</f>
        <v/>
      </c>
      <c r="H1963">
        <f>IF(OR($A1963="",ROUND($F1963+$G1963,2)=0),"",$F1963+$G1963)</f>
        <v/>
      </c>
      <c r="I1963">
        <f>IF($H1963="","",IF(ROUND($F1963,2)&gt;0,$A1963,IF($D1963="شخصی قاسم","شخصی قاسم",IF($D1963="هزینه","هزینه: "&amp;IF($E1963="","متفرقه",$E1963),IF($C1963="پاس چک","چک پرداختی",IF(OR($B1963="",COUNTIF(AcctCodesA,$B1963)=0),"متفرقه",$B1963))))))</f>
        <v/>
      </c>
      <c r="J1963">
        <f>IF($H1963="","",IF(ROUND($F1963,2)&gt;0,IF($D1963="شخصی قاسم","شخصی قاسم",IF($D1963="هزینه","هزینه: "&amp;IF($E1963="","متفرقه",$E1963),IF(OR($B1963="",COUNTIF(AcctCodesA,$B1963)=0),"متفرقه",$B1963))),$A1963))</f>
        <v/>
      </c>
      <c r="K1963">
        <f>IF($A1963="","",IF(AND($B1963&lt;&gt;"",COUNTIF(AcctCodesA,$B1963)=0),"کد طرف در INFO تعریف نشده",IF(AND($D1963="هزینه",$E1963=""),"هزینه بدون زیرگروه",IF(AND($C1963="پاس چک",OR(Sync!$AJ1963="",COUNTIF(IssueNosA,Sync!$AJ1963)=0)),"شماره چک پاس‌شده معتبر نیست",""))))</f>
        <v/>
      </c>
      <c r="V1963">
        <f>IF($K1963="","",IF(ISNUMBER(Sync!$AK1963),Sync!$AK1963,LEFT(Sync!$AK1963,4)&amp;MID(Sync!$AK1963,6,2)&amp;RIGHT(Sync!$AK1963,2))&amp;"|"&amp;"4"&amp;RIGHT("00000"&amp;1958,5))</f>
        <v/>
      </c>
      <c r="W1963">
        <f>IF($V1963="",0,COUNTIFS($V$6:$V$2005,"&lt;"&amp;$V1963)-COUNTIFS($V$6:$V$2005,"&lt;"&amp;$V1963,$K$6:$K$2005,"")+1)</f>
        <v/>
      </c>
    </row>
    <row r="1964">
      <c r="A1964">
        <f>IF(Sync!$Z1964="","",LEFT(UPPER(TRIM(Sync!$Z1964)),6))</f>
        <v/>
      </c>
      <c r="B1964">
        <f>IF($A1964="","",IF(Sync!$AA1964="","",Sync!$AA1964))</f>
        <v/>
      </c>
      <c r="C1964">
        <f>IF($A1964="","",IF(Sync!$AB1964="","",Sync!$AB1964))</f>
        <v/>
      </c>
      <c r="D1964">
        <f>IF($A1964="","",IF(Sync!$AC1964="","",Sync!$AC1964))</f>
        <v/>
      </c>
      <c r="E1964">
        <f>IF($A1964="","",IF(Sync!$AD1964="","",Sync!$AD1964))</f>
        <v/>
      </c>
      <c r="F1964">
        <f>IF($A1964="","",IF(Sync!$AE1964="",0,Sync!$AE1964))</f>
        <v/>
      </c>
      <c r="G1964">
        <f>IF($A1964="","",IF(Sync!$AF1964="",0,Sync!$AF1964))</f>
        <v/>
      </c>
      <c r="H1964">
        <f>IF(OR($A1964="",ROUND($F1964+$G1964,2)=0),"",$F1964+$G1964)</f>
        <v/>
      </c>
      <c r="I1964">
        <f>IF($H1964="","",IF(ROUND($F1964,2)&gt;0,$A1964,IF($D1964="شخصی قاسم","شخصی قاسم",IF($D1964="هزینه","هزینه: "&amp;IF($E1964="","متفرقه",$E1964),IF($C1964="پاس چک","چک پرداختی",IF(OR($B1964="",COUNTIF(AcctCodesA,$B1964)=0),"متفرقه",$B1964))))))</f>
        <v/>
      </c>
      <c r="J1964">
        <f>IF($H1964="","",IF(ROUND($F1964,2)&gt;0,IF($D1964="شخصی قاسم","شخصی قاسم",IF($D1964="هزینه","هزینه: "&amp;IF($E1964="","متفرقه",$E1964),IF(OR($B1964="",COUNTIF(AcctCodesA,$B1964)=0),"متفرقه",$B1964))),$A1964))</f>
        <v/>
      </c>
      <c r="K1964">
        <f>IF($A1964="","",IF(AND($B1964&lt;&gt;"",COUNTIF(AcctCodesA,$B1964)=0),"کد طرف در INFO تعریف نشده",IF(AND($D1964="هزینه",$E1964=""),"هزینه بدون زیرگروه",IF(AND($C1964="پاس چک",OR(Sync!$AJ1964="",COUNTIF(IssueNosA,Sync!$AJ1964)=0)),"شماره چک پاس‌شده معتبر نیست",""))))</f>
        <v/>
      </c>
      <c r="V1964">
        <f>IF($K1964="","",IF(ISNUMBER(Sync!$AK1964),Sync!$AK1964,LEFT(Sync!$AK1964,4)&amp;MID(Sync!$AK1964,6,2)&amp;RIGHT(Sync!$AK1964,2))&amp;"|"&amp;"4"&amp;RIGHT("00000"&amp;1959,5))</f>
        <v/>
      </c>
      <c r="W1964">
        <f>IF($V1964="",0,COUNTIFS($V$6:$V$2005,"&lt;"&amp;$V1964)-COUNTIFS($V$6:$V$2005,"&lt;"&amp;$V1964,$K$6:$K$2005,"")+1)</f>
        <v/>
      </c>
    </row>
    <row r="1965">
      <c r="A1965">
        <f>IF(Sync!$Z1965="","",LEFT(UPPER(TRIM(Sync!$Z1965)),6))</f>
        <v/>
      </c>
      <c r="B1965">
        <f>IF($A1965="","",IF(Sync!$AA1965="","",Sync!$AA1965))</f>
        <v/>
      </c>
      <c r="C1965">
        <f>IF($A1965="","",IF(Sync!$AB1965="","",Sync!$AB1965))</f>
        <v/>
      </c>
      <c r="D1965">
        <f>IF($A1965="","",IF(Sync!$AC1965="","",Sync!$AC1965))</f>
        <v/>
      </c>
      <c r="E1965">
        <f>IF($A1965="","",IF(Sync!$AD1965="","",Sync!$AD1965))</f>
        <v/>
      </c>
      <c r="F1965">
        <f>IF($A1965="","",IF(Sync!$AE1965="",0,Sync!$AE1965))</f>
        <v/>
      </c>
      <c r="G1965">
        <f>IF($A1965="","",IF(Sync!$AF1965="",0,Sync!$AF1965))</f>
        <v/>
      </c>
      <c r="H1965">
        <f>IF(OR($A1965="",ROUND($F1965+$G1965,2)=0),"",$F1965+$G1965)</f>
        <v/>
      </c>
      <c r="I1965">
        <f>IF($H1965="","",IF(ROUND($F1965,2)&gt;0,$A1965,IF($D1965="شخصی قاسم","شخصی قاسم",IF($D1965="هزینه","هزینه: "&amp;IF($E1965="","متفرقه",$E1965),IF($C1965="پاس چک","چک پرداختی",IF(OR($B1965="",COUNTIF(AcctCodesA,$B1965)=0),"متفرقه",$B1965))))))</f>
        <v/>
      </c>
      <c r="J1965">
        <f>IF($H1965="","",IF(ROUND($F1965,2)&gt;0,IF($D1965="شخصی قاسم","شخصی قاسم",IF($D1965="هزینه","هزینه: "&amp;IF($E1965="","متفرقه",$E1965),IF(OR($B1965="",COUNTIF(AcctCodesA,$B1965)=0),"متفرقه",$B1965))),$A1965))</f>
        <v/>
      </c>
      <c r="K1965">
        <f>IF($A1965="","",IF(AND($B1965&lt;&gt;"",COUNTIF(AcctCodesA,$B1965)=0),"کد طرف در INFO تعریف نشده",IF(AND($D1965="هزینه",$E1965=""),"هزینه بدون زیرگروه",IF(AND($C1965="پاس چک",OR(Sync!$AJ1965="",COUNTIF(IssueNosA,Sync!$AJ1965)=0)),"شماره چک پاس‌شده معتبر نیست",""))))</f>
        <v/>
      </c>
      <c r="V1965">
        <f>IF($K1965="","",IF(ISNUMBER(Sync!$AK1965),Sync!$AK1965,LEFT(Sync!$AK1965,4)&amp;MID(Sync!$AK1965,6,2)&amp;RIGHT(Sync!$AK1965,2))&amp;"|"&amp;"4"&amp;RIGHT("00000"&amp;1960,5))</f>
        <v/>
      </c>
      <c r="W1965">
        <f>IF($V1965="",0,COUNTIFS($V$6:$V$2005,"&lt;"&amp;$V1965)-COUNTIFS($V$6:$V$2005,"&lt;"&amp;$V1965,$K$6:$K$2005,"")+1)</f>
        <v/>
      </c>
    </row>
    <row r="1966">
      <c r="A1966">
        <f>IF(Sync!$Z1966="","",LEFT(UPPER(TRIM(Sync!$Z1966)),6))</f>
        <v/>
      </c>
      <c r="B1966">
        <f>IF($A1966="","",IF(Sync!$AA1966="","",Sync!$AA1966))</f>
        <v/>
      </c>
      <c r="C1966">
        <f>IF($A1966="","",IF(Sync!$AB1966="","",Sync!$AB1966))</f>
        <v/>
      </c>
      <c r="D1966">
        <f>IF($A1966="","",IF(Sync!$AC1966="","",Sync!$AC1966))</f>
        <v/>
      </c>
      <c r="E1966">
        <f>IF($A1966="","",IF(Sync!$AD1966="","",Sync!$AD1966))</f>
        <v/>
      </c>
      <c r="F1966">
        <f>IF($A1966="","",IF(Sync!$AE1966="",0,Sync!$AE1966))</f>
        <v/>
      </c>
      <c r="G1966">
        <f>IF($A1966="","",IF(Sync!$AF1966="",0,Sync!$AF1966))</f>
        <v/>
      </c>
      <c r="H1966">
        <f>IF(OR($A1966="",ROUND($F1966+$G1966,2)=0),"",$F1966+$G1966)</f>
        <v/>
      </c>
      <c r="I1966">
        <f>IF($H1966="","",IF(ROUND($F1966,2)&gt;0,$A1966,IF($D1966="شخصی قاسم","شخصی قاسم",IF($D1966="هزینه","هزینه: "&amp;IF($E1966="","متفرقه",$E1966),IF($C1966="پاس چک","چک پرداختی",IF(OR($B1966="",COUNTIF(AcctCodesA,$B1966)=0),"متفرقه",$B1966))))))</f>
        <v/>
      </c>
      <c r="J1966">
        <f>IF($H1966="","",IF(ROUND($F1966,2)&gt;0,IF($D1966="شخصی قاسم","شخصی قاسم",IF($D1966="هزینه","هزینه: "&amp;IF($E1966="","متفرقه",$E1966),IF(OR($B1966="",COUNTIF(AcctCodesA,$B1966)=0),"متفرقه",$B1966))),$A1966))</f>
        <v/>
      </c>
      <c r="K1966">
        <f>IF($A1966="","",IF(AND($B1966&lt;&gt;"",COUNTIF(AcctCodesA,$B1966)=0),"کد طرف در INFO تعریف نشده",IF(AND($D1966="هزینه",$E1966=""),"هزینه بدون زیرگروه",IF(AND($C1966="پاس چک",OR(Sync!$AJ1966="",COUNTIF(IssueNosA,Sync!$AJ1966)=0)),"شماره چک پاس‌شده معتبر نیست",""))))</f>
        <v/>
      </c>
      <c r="V1966">
        <f>IF($K1966="","",IF(ISNUMBER(Sync!$AK1966),Sync!$AK1966,LEFT(Sync!$AK1966,4)&amp;MID(Sync!$AK1966,6,2)&amp;RIGHT(Sync!$AK1966,2))&amp;"|"&amp;"4"&amp;RIGHT("00000"&amp;1961,5))</f>
        <v/>
      </c>
      <c r="W1966">
        <f>IF($V1966="",0,COUNTIFS($V$6:$V$2005,"&lt;"&amp;$V1966)-COUNTIFS($V$6:$V$2005,"&lt;"&amp;$V1966,$K$6:$K$2005,"")+1)</f>
        <v/>
      </c>
    </row>
    <row r="1967">
      <c r="A1967">
        <f>IF(Sync!$Z1967="","",LEFT(UPPER(TRIM(Sync!$Z1967)),6))</f>
        <v/>
      </c>
      <c r="B1967">
        <f>IF($A1967="","",IF(Sync!$AA1967="","",Sync!$AA1967))</f>
        <v/>
      </c>
      <c r="C1967">
        <f>IF($A1967="","",IF(Sync!$AB1967="","",Sync!$AB1967))</f>
        <v/>
      </c>
      <c r="D1967">
        <f>IF($A1967="","",IF(Sync!$AC1967="","",Sync!$AC1967))</f>
        <v/>
      </c>
      <c r="E1967">
        <f>IF($A1967="","",IF(Sync!$AD1967="","",Sync!$AD1967))</f>
        <v/>
      </c>
      <c r="F1967">
        <f>IF($A1967="","",IF(Sync!$AE1967="",0,Sync!$AE1967))</f>
        <v/>
      </c>
      <c r="G1967">
        <f>IF($A1967="","",IF(Sync!$AF1967="",0,Sync!$AF1967))</f>
        <v/>
      </c>
      <c r="H1967">
        <f>IF(OR($A1967="",ROUND($F1967+$G1967,2)=0),"",$F1967+$G1967)</f>
        <v/>
      </c>
      <c r="I1967">
        <f>IF($H1967="","",IF(ROUND($F1967,2)&gt;0,$A1967,IF($D1967="شخصی قاسم","شخصی قاسم",IF($D1967="هزینه","هزینه: "&amp;IF($E1967="","متفرقه",$E1967),IF($C1967="پاس چک","چک پرداختی",IF(OR($B1967="",COUNTIF(AcctCodesA,$B1967)=0),"متفرقه",$B1967))))))</f>
        <v/>
      </c>
      <c r="J1967">
        <f>IF($H1967="","",IF(ROUND($F1967,2)&gt;0,IF($D1967="شخصی قاسم","شخصی قاسم",IF($D1967="هزینه","هزینه: "&amp;IF($E1967="","متفرقه",$E1967),IF(OR($B1967="",COUNTIF(AcctCodesA,$B1967)=0),"متفرقه",$B1967))),$A1967))</f>
        <v/>
      </c>
      <c r="K1967">
        <f>IF($A1967="","",IF(AND($B1967&lt;&gt;"",COUNTIF(AcctCodesA,$B1967)=0),"کد طرف در INFO تعریف نشده",IF(AND($D1967="هزینه",$E1967=""),"هزینه بدون زیرگروه",IF(AND($C1967="پاس چک",OR(Sync!$AJ1967="",COUNTIF(IssueNosA,Sync!$AJ1967)=0)),"شماره چک پاس‌شده معتبر نیست",""))))</f>
        <v/>
      </c>
      <c r="V1967">
        <f>IF($K1967="","",IF(ISNUMBER(Sync!$AK1967),Sync!$AK1967,LEFT(Sync!$AK1967,4)&amp;MID(Sync!$AK1967,6,2)&amp;RIGHT(Sync!$AK1967,2))&amp;"|"&amp;"4"&amp;RIGHT("00000"&amp;1962,5))</f>
        <v/>
      </c>
      <c r="W1967">
        <f>IF($V1967="",0,COUNTIFS($V$6:$V$2005,"&lt;"&amp;$V1967)-COUNTIFS($V$6:$V$2005,"&lt;"&amp;$V1967,$K$6:$K$2005,"")+1)</f>
        <v/>
      </c>
    </row>
    <row r="1968">
      <c r="A1968">
        <f>IF(Sync!$Z1968="","",LEFT(UPPER(TRIM(Sync!$Z1968)),6))</f>
        <v/>
      </c>
      <c r="B1968">
        <f>IF($A1968="","",IF(Sync!$AA1968="","",Sync!$AA1968))</f>
        <v/>
      </c>
      <c r="C1968">
        <f>IF($A1968="","",IF(Sync!$AB1968="","",Sync!$AB1968))</f>
        <v/>
      </c>
      <c r="D1968">
        <f>IF($A1968="","",IF(Sync!$AC1968="","",Sync!$AC1968))</f>
        <v/>
      </c>
      <c r="E1968">
        <f>IF($A1968="","",IF(Sync!$AD1968="","",Sync!$AD1968))</f>
        <v/>
      </c>
      <c r="F1968">
        <f>IF($A1968="","",IF(Sync!$AE1968="",0,Sync!$AE1968))</f>
        <v/>
      </c>
      <c r="G1968">
        <f>IF($A1968="","",IF(Sync!$AF1968="",0,Sync!$AF1968))</f>
        <v/>
      </c>
      <c r="H1968">
        <f>IF(OR($A1968="",ROUND($F1968+$G1968,2)=0),"",$F1968+$G1968)</f>
        <v/>
      </c>
      <c r="I1968">
        <f>IF($H1968="","",IF(ROUND($F1968,2)&gt;0,$A1968,IF($D1968="شخصی قاسم","شخصی قاسم",IF($D1968="هزینه","هزینه: "&amp;IF($E1968="","متفرقه",$E1968),IF($C1968="پاس چک","چک پرداختی",IF(OR($B1968="",COUNTIF(AcctCodesA,$B1968)=0),"متفرقه",$B1968))))))</f>
        <v/>
      </c>
      <c r="J1968">
        <f>IF($H1968="","",IF(ROUND($F1968,2)&gt;0,IF($D1968="شخصی قاسم","شخصی قاسم",IF($D1968="هزینه","هزینه: "&amp;IF($E1968="","متفرقه",$E1968),IF(OR($B1968="",COUNTIF(AcctCodesA,$B1968)=0),"متفرقه",$B1968))),$A1968))</f>
        <v/>
      </c>
      <c r="K1968">
        <f>IF($A1968="","",IF(AND($B1968&lt;&gt;"",COUNTIF(AcctCodesA,$B1968)=0),"کد طرف در INFO تعریف نشده",IF(AND($D1968="هزینه",$E1968=""),"هزینه بدون زیرگروه",IF(AND($C1968="پاس چک",OR(Sync!$AJ1968="",COUNTIF(IssueNosA,Sync!$AJ1968)=0)),"شماره چک پاس‌شده معتبر نیست",""))))</f>
        <v/>
      </c>
      <c r="V1968">
        <f>IF($K1968="","",IF(ISNUMBER(Sync!$AK1968),Sync!$AK1968,LEFT(Sync!$AK1968,4)&amp;MID(Sync!$AK1968,6,2)&amp;RIGHT(Sync!$AK1968,2))&amp;"|"&amp;"4"&amp;RIGHT("00000"&amp;1963,5))</f>
        <v/>
      </c>
      <c r="W1968">
        <f>IF($V1968="",0,COUNTIFS($V$6:$V$2005,"&lt;"&amp;$V1968)-COUNTIFS($V$6:$V$2005,"&lt;"&amp;$V1968,$K$6:$K$2005,"")+1)</f>
        <v/>
      </c>
    </row>
    <row r="1969">
      <c r="A1969">
        <f>IF(Sync!$Z1969="","",LEFT(UPPER(TRIM(Sync!$Z1969)),6))</f>
        <v/>
      </c>
      <c r="B1969">
        <f>IF($A1969="","",IF(Sync!$AA1969="","",Sync!$AA1969))</f>
        <v/>
      </c>
      <c r="C1969">
        <f>IF($A1969="","",IF(Sync!$AB1969="","",Sync!$AB1969))</f>
        <v/>
      </c>
      <c r="D1969">
        <f>IF($A1969="","",IF(Sync!$AC1969="","",Sync!$AC1969))</f>
        <v/>
      </c>
      <c r="E1969">
        <f>IF($A1969="","",IF(Sync!$AD1969="","",Sync!$AD1969))</f>
        <v/>
      </c>
      <c r="F1969">
        <f>IF($A1969="","",IF(Sync!$AE1969="",0,Sync!$AE1969))</f>
        <v/>
      </c>
      <c r="G1969">
        <f>IF($A1969="","",IF(Sync!$AF1969="",0,Sync!$AF1969))</f>
        <v/>
      </c>
      <c r="H1969">
        <f>IF(OR($A1969="",ROUND($F1969+$G1969,2)=0),"",$F1969+$G1969)</f>
        <v/>
      </c>
      <c r="I1969">
        <f>IF($H1969="","",IF(ROUND($F1969,2)&gt;0,$A1969,IF($D1969="شخصی قاسم","شخصی قاسم",IF($D1969="هزینه","هزینه: "&amp;IF($E1969="","متفرقه",$E1969),IF($C1969="پاس چک","چک پرداختی",IF(OR($B1969="",COUNTIF(AcctCodesA,$B1969)=0),"متفرقه",$B1969))))))</f>
        <v/>
      </c>
      <c r="J1969">
        <f>IF($H1969="","",IF(ROUND($F1969,2)&gt;0,IF($D1969="شخصی قاسم","شخصی قاسم",IF($D1969="هزینه","هزینه: "&amp;IF($E1969="","متفرقه",$E1969),IF(OR($B1969="",COUNTIF(AcctCodesA,$B1969)=0),"متفرقه",$B1969))),$A1969))</f>
        <v/>
      </c>
      <c r="K1969">
        <f>IF($A1969="","",IF(AND($B1969&lt;&gt;"",COUNTIF(AcctCodesA,$B1969)=0),"کد طرف در INFO تعریف نشده",IF(AND($D1969="هزینه",$E1969=""),"هزینه بدون زیرگروه",IF(AND($C1969="پاس چک",OR(Sync!$AJ1969="",COUNTIF(IssueNosA,Sync!$AJ1969)=0)),"شماره چک پاس‌شده معتبر نیست",""))))</f>
        <v/>
      </c>
      <c r="V1969">
        <f>IF($K1969="","",IF(ISNUMBER(Sync!$AK1969),Sync!$AK1969,LEFT(Sync!$AK1969,4)&amp;MID(Sync!$AK1969,6,2)&amp;RIGHT(Sync!$AK1969,2))&amp;"|"&amp;"4"&amp;RIGHT("00000"&amp;1964,5))</f>
        <v/>
      </c>
      <c r="W1969">
        <f>IF($V1969="",0,COUNTIFS($V$6:$V$2005,"&lt;"&amp;$V1969)-COUNTIFS($V$6:$V$2005,"&lt;"&amp;$V1969,$K$6:$K$2005,"")+1)</f>
        <v/>
      </c>
    </row>
    <row r="1970">
      <c r="A1970">
        <f>IF(Sync!$Z1970="","",LEFT(UPPER(TRIM(Sync!$Z1970)),6))</f>
        <v/>
      </c>
      <c r="B1970">
        <f>IF($A1970="","",IF(Sync!$AA1970="","",Sync!$AA1970))</f>
        <v/>
      </c>
      <c r="C1970">
        <f>IF($A1970="","",IF(Sync!$AB1970="","",Sync!$AB1970))</f>
        <v/>
      </c>
      <c r="D1970">
        <f>IF($A1970="","",IF(Sync!$AC1970="","",Sync!$AC1970))</f>
        <v/>
      </c>
      <c r="E1970">
        <f>IF($A1970="","",IF(Sync!$AD1970="","",Sync!$AD1970))</f>
        <v/>
      </c>
      <c r="F1970">
        <f>IF($A1970="","",IF(Sync!$AE1970="",0,Sync!$AE1970))</f>
        <v/>
      </c>
      <c r="G1970">
        <f>IF($A1970="","",IF(Sync!$AF1970="",0,Sync!$AF1970))</f>
        <v/>
      </c>
      <c r="H1970">
        <f>IF(OR($A1970="",ROUND($F1970+$G1970,2)=0),"",$F1970+$G1970)</f>
        <v/>
      </c>
      <c r="I1970">
        <f>IF($H1970="","",IF(ROUND($F1970,2)&gt;0,$A1970,IF($D1970="شخصی قاسم","شخصی قاسم",IF($D1970="هزینه","هزینه: "&amp;IF($E1970="","متفرقه",$E1970),IF($C1970="پاس چک","چک پرداختی",IF(OR($B1970="",COUNTIF(AcctCodesA,$B1970)=0),"متفرقه",$B1970))))))</f>
        <v/>
      </c>
      <c r="J1970">
        <f>IF($H1970="","",IF(ROUND($F1970,2)&gt;0,IF($D1970="شخصی قاسم","شخصی قاسم",IF($D1970="هزینه","هزینه: "&amp;IF($E1970="","متفرقه",$E1970),IF(OR($B1970="",COUNTIF(AcctCodesA,$B1970)=0),"متفرقه",$B1970))),$A1970))</f>
        <v/>
      </c>
      <c r="K1970">
        <f>IF($A1970="","",IF(AND($B1970&lt;&gt;"",COUNTIF(AcctCodesA,$B1970)=0),"کد طرف در INFO تعریف نشده",IF(AND($D1970="هزینه",$E1970=""),"هزینه بدون زیرگروه",IF(AND($C1970="پاس چک",OR(Sync!$AJ1970="",COUNTIF(IssueNosA,Sync!$AJ1970)=0)),"شماره چک پاس‌شده معتبر نیست",""))))</f>
        <v/>
      </c>
      <c r="V1970">
        <f>IF($K1970="","",IF(ISNUMBER(Sync!$AK1970),Sync!$AK1970,LEFT(Sync!$AK1970,4)&amp;MID(Sync!$AK1970,6,2)&amp;RIGHT(Sync!$AK1970,2))&amp;"|"&amp;"4"&amp;RIGHT("00000"&amp;1965,5))</f>
        <v/>
      </c>
      <c r="W1970">
        <f>IF($V1970="",0,COUNTIFS($V$6:$V$2005,"&lt;"&amp;$V1970)-COUNTIFS($V$6:$V$2005,"&lt;"&amp;$V1970,$K$6:$K$2005,"")+1)</f>
        <v/>
      </c>
    </row>
    <row r="1971">
      <c r="A1971">
        <f>IF(Sync!$Z1971="","",LEFT(UPPER(TRIM(Sync!$Z1971)),6))</f>
        <v/>
      </c>
      <c r="B1971">
        <f>IF($A1971="","",IF(Sync!$AA1971="","",Sync!$AA1971))</f>
        <v/>
      </c>
      <c r="C1971">
        <f>IF($A1971="","",IF(Sync!$AB1971="","",Sync!$AB1971))</f>
        <v/>
      </c>
      <c r="D1971">
        <f>IF($A1971="","",IF(Sync!$AC1971="","",Sync!$AC1971))</f>
        <v/>
      </c>
      <c r="E1971">
        <f>IF($A1971="","",IF(Sync!$AD1971="","",Sync!$AD1971))</f>
        <v/>
      </c>
      <c r="F1971">
        <f>IF($A1971="","",IF(Sync!$AE1971="",0,Sync!$AE1971))</f>
        <v/>
      </c>
      <c r="G1971">
        <f>IF($A1971="","",IF(Sync!$AF1971="",0,Sync!$AF1971))</f>
        <v/>
      </c>
      <c r="H1971">
        <f>IF(OR($A1971="",ROUND($F1971+$G1971,2)=0),"",$F1971+$G1971)</f>
        <v/>
      </c>
      <c r="I1971">
        <f>IF($H1971="","",IF(ROUND($F1971,2)&gt;0,$A1971,IF($D1971="شخصی قاسم","شخصی قاسم",IF($D1971="هزینه","هزینه: "&amp;IF($E1971="","متفرقه",$E1971),IF($C1971="پاس چک","چک پرداختی",IF(OR($B1971="",COUNTIF(AcctCodesA,$B1971)=0),"متفرقه",$B1971))))))</f>
        <v/>
      </c>
      <c r="J1971">
        <f>IF($H1971="","",IF(ROUND($F1971,2)&gt;0,IF($D1971="شخصی قاسم","شخصی قاسم",IF($D1971="هزینه","هزینه: "&amp;IF($E1971="","متفرقه",$E1971),IF(OR($B1971="",COUNTIF(AcctCodesA,$B1971)=0),"متفرقه",$B1971))),$A1971))</f>
        <v/>
      </c>
      <c r="K1971">
        <f>IF($A1971="","",IF(AND($B1971&lt;&gt;"",COUNTIF(AcctCodesA,$B1971)=0),"کد طرف در INFO تعریف نشده",IF(AND($D1971="هزینه",$E1971=""),"هزینه بدون زیرگروه",IF(AND($C1971="پاس چک",OR(Sync!$AJ1971="",COUNTIF(IssueNosA,Sync!$AJ1971)=0)),"شماره چک پاس‌شده معتبر نیست",""))))</f>
        <v/>
      </c>
      <c r="V1971">
        <f>IF($K1971="","",IF(ISNUMBER(Sync!$AK1971),Sync!$AK1971,LEFT(Sync!$AK1971,4)&amp;MID(Sync!$AK1971,6,2)&amp;RIGHT(Sync!$AK1971,2))&amp;"|"&amp;"4"&amp;RIGHT("00000"&amp;1966,5))</f>
        <v/>
      </c>
      <c r="W1971">
        <f>IF($V1971="",0,COUNTIFS($V$6:$V$2005,"&lt;"&amp;$V1971)-COUNTIFS($V$6:$V$2005,"&lt;"&amp;$V1971,$K$6:$K$2005,"")+1)</f>
        <v/>
      </c>
    </row>
    <row r="1972">
      <c r="A1972">
        <f>IF(Sync!$Z1972="","",LEFT(UPPER(TRIM(Sync!$Z1972)),6))</f>
        <v/>
      </c>
      <c r="B1972">
        <f>IF($A1972="","",IF(Sync!$AA1972="","",Sync!$AA1972))</f>
        <v/>
      </c>
      <c r="C1972">
        <f>IF($A1972="","",IF(Sync!$AB1972="","",Sync!$AB1972))</f>
        <v/>
      </c>
      <c r="D1972">
        <f>IF($A1972="","",IF(Sync!$AC1972="","",Sync!$AC1972))</f>
        <v/>
      </c>
      <c r="E1972">
        <f>IF($A1972="","",IF(Sync!$AD1972="","",Sync!$AD1972))</f>
        <v/>
      </c>
      <c r="F1972">
        <f>IF($A1972="","",IF(Sync!$AE1972="",0,Sync!$AE1972))</f>
        <v/>
      </c>
      <c r="G1972">
        <f>IF($A1972="","",IF(Sync!$AF1972="",0,Sync!$AF1972))</f>
        <v/>
      </c>
      <c r="H1972">
        <f>IF(OR($A1972="",ROUND($F1972+$G1972,2)=0),"",$F1972+$G1972)</f>
        <v/>
      </c>
      <c r="I1972">
        <f>IF($H1972="","",IF(ROUND($F1972,2)&gt;0,$A1972,IF($D1972="شخصی قاسم","شخصی قاسم",IF($D1972="هزینه","هزینه: "&amp;IF($E1972="","متفرقه",$E1972),IF($C1972="پاس چک","چک پرداختی",IF(OR($B1972="",COUNTIF(AcctCodesA,$B1972)=0),"متفرقه",$B1972))))))</f>
        <v/>
      </c>
      <c r="J1972">
        <f>IF($H1972="","",IF(ROUND($F1972,2)&gt;0,IF($D1972="شخصی قاسم","شخصی قاسم",IF($D1972="هزینه","هزینه: "&amp;IF($E1972="","متفرقه",$E1972),IF(OR($B1972="",COUNTIF(AcctCodesA,$B1972)=0),"متفرقه",$B1972))),$A1972))</f>
        <v/>
      </c>
      <c r="K1972">
        <f>IF($A1972="","",IF(AND($B1972&lt;&gt;"",COUNTIF(AcctCodesA,$B1972)=0),"کد طرف در INFO تعریف نشده",IF(AND($D1972="هزینه",$E1972=""),"هزینه بدون زیرگروه",IF(AND($C1972="پاس چک",OR(Sync!$AJ1972="",COUNTIF(IssueNosA,Sync!$AJ1972)=0)),"شماره چک پاس‌شده معتبر نیست",""))))</f>
        <v/>
      </c>
      <c r="V1972">
        <f>IF($K1972="","",IF(ISNUMBER(Sync!$AK1972),Sync!$AK1972,LEFT(Sync!$AK1972,4)&amp;MID(Sync!$AK1972,6,2)&amp;RIGHT(Sync!$AK1972,2))&amp;"|"&amp;"4"&amp;RIGHT("00000"&amp;1967,5))</f>
        <v/>
      </c>
      <c r="W1972">
        <f>IF($V1972="",0,COUNTIFS($V$6:$V$2005,"&lt;"&amp;$V1972)-COUNTIFS($V$6:$V$2005,"&lt;"&amp;$V1972,$K$6:$K$2005,"")+1)</f>
        <v/>
      </c>
    </row>
    <row r="1973">
      <c r="A1973">
        <f>IF(Sync!$Z1973="","",LEFT(UPPER(TRIM(Sync!$Z1973)),6))</f>
        <v/>
      </c>
      <c r="B1973">
        <f>IF($A1973="","",IF(Sync!$AA1973="","",Sync!$AA1973))</f>
        <v/>
      </c>
      <c r="C1973">
        <f>IF($A1973="","",IF(Sync!$AB1973="","",Sync!$AB1973))</f>
        <v/>
      </c>
      <c r="D1973">
        <f>IF($A1973="","",IF(Sync!$AC1973="","",Sync!$AC1973))</f>
        <v/>
      </c>
      <c r="E1973">
        <f>IF($A1973="","",IF(Sync!$AD1973="","",Sync!$AD1973))</f>
        <v/>
      </c>
      <c r="F1973">
        <f>IF($A1973="","",IF(Sync!$AE1973="",0,Sync!$AE1973))</f>
        <v/>
      </c>
      <c r="G1973">
        <f>IF($A1973="","",IF(Sync!$AF1973="",0,Sync!$AF1973))</f>
        <v/>
      </c>
      <c r="H1973">
        <f>IF(OR($A1973="",ROUND($F1973+$G1973,2)=0),"",$F1973+$G1973)</f>
        <v/>
      </c>
      <c r="I1973">
        <f>IF($H1973="","",IF(ROUND($F1973,2)&gt;0,$A1973,IF($D1973="شخصی قاسم","شخصی قاسم",IF($D1973="هزینه","هزینه: "&amp;IF($E1973="","متفرقه",$E1973),IF($C1973="پاس چک","چک پرداختی",IF(OR($B1973="",COUNTIF(AcctCodesA,$B1973)=0),"متفرقه",$B1973))))))</f>
        <v/>
      </c>
      <c r="J1973">
        <f>IF($H1973="","",IF(ROUND($F1973,2)&gt;0,IF($D1973="شخصی قاسم","شخصی قاسم",IF($D1973="هزینه","هزینه: "&amp;IF($E1973="","متفرقه",$E1973),IF(OR($B1973="",COUNTIF(AcctCodesA,$B1973)=0),"متفرقه",$B1973))),$A1973))</f>
        <v/>
      </c>
      <c r="K1973">
        <f>IF($A1973="","",IF(AND($B1973&lt;&gt;"",COUNTIF(AcctCodesA,$B1973)=0),"کد طرف در INFO تعریف نشده",IF(AND($D1973="هزینه",$E1973=""),"هزینه بدون زیرگروه",IF(AND($C1973="پاس چک",OR(Sync!$AJ1973="",COUNTIF(IssueNosA,Sync!$AJ1973)=0)),"شماره چک پاس‌شده معتبر نیست",""))))</f>
        <v/>
      </c>
      <c r="V1973">
        <f>IF($K1973="","",IF(ISNUMBER(Sync!$AK1973),Sync!$AK1973,LEFT(Sync!$AK1973,4)&amp;MID(Sync!$AK1973,6,2)&amp;RIGHT(Sync!$AK1973,2))&amp;"|"&amp;"4"&amp;RIGHT("00000"&amp;1968,5))</f>
        <v/>
      </c>
      <c r="W1973">
        <f>IF($V1973="",0,COUNTIFS($V$6:$V$2005,"&lt;"&amp;$V1973)-COUNTIFS($V$6:$V$2005,"&lt;"&amp;$V1973,$K$6:$K$2005,"")+1)</f>
        <v/>
      </c>
    </row>
    <row r="1974">
      <c r="A1974">
        <f>IF(Sync!$Z1974="","",LEFT(UPPER(TRIM(Sync!$Z1974)),6))</f>
        <v/>
      </c>
      <c r="B1974">
        <f>IF($A1974="","",IF(Sync!$AA1974="","",Sync!$AA1974))</f>
        <v/>
      </c>
      <c r="C1974">
        <f>IF($A1974="","",IF(Sync!$AB1974="","",Sync!$AB1974))</f>
        <v/>
      </c>
      <c r="D1974">
        <f>IF($A1974="","",IF(Sync!$AC1974="","",Sync!$AC1974))</f>
        <v/>
      </c>
      <c r="E1974">
        <f>IF($A1974="","",IF(Sync!$AD1974="","",Sync!$AD1974))</f>
        <v/>
      </c>
      <c r="F1974">
        <f>IF($A1974="","",IF(Sync!$AE1974="",0,Sync!$AE1974))</f>
        <v/>
      </c>
      <c r="G1974">
        <f>IF($A1974="","",IF(Sync!$AF1974="",0,Sync!$AF1974))</f>
        <v/>
      </c>
      <c r="H1974">
        <f>IF(OR($A1974="",ROUND($F1974+$G1974,2)=0),"",$F1974+$G1974)</f>
        <v/>
      </c>
      <c r="I1974">
        <f>IF($H1974="","",IF(ROUND($F1974,2)&gt;0,$A1974,IF($D1974="شخصی قاسم","شخصی قاسم",IF($D1974="هزینه","هزینه: "&amp;IF($E1974="","متفرقه",$E1974),IF($C1974="پاس چک","چک پرداختی",IF(OR($B1974="",COUNTIF(AcctCodesA,$B1974)=0),"متفرقه",$B1974))))))</f>
        <v/>
      </c>
      <c r="J1974">
        <f>IF($H1974="","",IF(ROUND($F1974,2)&gt;0,IF($D1974="شخصی قاسم","شخصی قاسم",IF($D1974="هزینه","هزینه: "&amp;IF($E1974="","متفرقه",$E1974),IF(OR($B1974="",COUNTIF(AcctCodesA,$B1974)=0),"متفرقه",$B1974))),$A1974))</f>
        <v/>
      </c>
      <c r="K1974">
        <f>IF($A1974="","",IF(AND($B1974&lt;&gt;"",COUNTIF(AcctCodesA,$B1974)=0),"کد طرف در INFO تعریف نشده",IF(AND($D1974="هزینه",$E1974=""),"هزینه بدون زیرگروه",IF(AND($C1974="پاس چک",OR(Sync!$AJ1974="",COUNTIF(IssueNosA,Sync!$AJ1974)=0)),"شماره چک پاس‌شده معتبر نیست",""))))</f>
        <v/>
      </c>
      <c r="V1974">
        <f>IF($K1974="","",IF(ISNUMBER(Sync!$AK1974),Sync!$AK1974,LEFT(Sync!$AK1974,4)&amp;MID(Sync!$AK1974,6,2)&amp;RIGHT(Sync!$AK1974,2))&amp;"|"&amp;"4"&amp;RIGHT("00000"&amp;1969,5))</f>
        <v/>
      </c>
      <c r="W1974">
        <f>IF($V1974="",0,COUNTIFS($V$6:$V$2005,"&lt;"&amp;$V1974)-COUNTIFS($V$6:$V$2005,"&lt;"&amp;$V1974,$K$6:$K$2005,"")+1)</f>
        <v/>
      </c>
    </row>
    <row r="1975">
      <c r="A1975">
        <f>IF(Sync!$Z1975="","",LEFT(UPPER(TRIM(Sync!$Z1975)),6))</f>
        <v/>
      </c>
      <c r="B1975">
        <f>IF($A1975="","",IF(Sync!$AA1975="","",Sync!$AA1975))</f>
        <v/>
      </c>
      <c r="C1975">
        <f>IF($A1975="","",IF(Sync!$AB1975="","",Sync!$AB1975))</f>
        <v/>
      </c>
      <c r="D1975">
        <f>IF($A1975="","",IF(Sync!$AC1975="","",Sync!$AC1975))</f>
        <v/>
      </c>
      <c r="E1975">
        <f>IF($A1975="","",IF(Sync!$AD1975="","",Sync!$AD1975))</f>
        <v/>
      </c>
      <c r="F1975">
        <f>IF($A1975="","",IF(Sync!$AE1975="",0,Sync!$AE1975))</f>
        <v/>
      </c>
      <c r="G1975">
        <f>IF($A1975="","",IF(Sync!$AF1975="",0,Sync!$AF1975))</f>
        <v/>
      </c>
      <c r="H1975">
        <f>IF(OR($A1975="",ROUND($F1975+$G1975,2)=0),"",$F1975+$G1975)</f>
        <v/>
      </c>
      <c r="I1975">
        <f>IF($H1975="","",IF(ROUND($F1975,2)&gt;0,$A1975,IF($D1975="شخصی قاسم","شخصی قاسم",IF($D1975="هزینه","هزینه: "&amp;IF($E1975="","متفرقه",$E1975),IF($C1975="پاس چک","چک پرداختی",IF(OR($B1975="",COUNTIF(AcctCodesA,$B1975)=0),"متفرقه",$B1975))))))</f>
        <v/>
      </c>
      <c r="J1975">
        <f>IF($H1975="","",IF(ROUND($F1975,2)&gt;0,IF($D1975="شخصی قاسم","شخصی قاسم",IF($D1975="هزینه","هزینه: "&amp;IF($E1975="","متفرقه",$E1975),IF(OR($B1975="",COUNTIF(AcctCodesA,$B1975)=0),"متفرقه",$B1975))),$A1975))</f>
        <v/>
      </c>
      <c r="K1975">
        <f>IF($A1975="","",IF(AND($B1975&lt;&gt;"",COUNTIF(AcctCodesA,$B1975)=0),"کد طرف در INFO تعریف نشده",IF(AND($D1975="هزینه",$E1975=""),"هزینه بدون زیرگروه",IF(AND($C1975="پاس چک",OR(Sync!$AJ1975="",COUNTIF(IssueNosA,Sync!$AJ1975)=0)),"شماره چک پاس‌شده معتبر نیست",""))))</f>
        <v/>
      </c>
      <c r="V1975">
        <f>IF($K1975="","",IF(ISNUMBER(Sync!$AK1975),Sync!$AK1975,LEFT(Sync!$AK1975,4)&amp;MID(Sync!$AK1975,6,2)&amp;RIGHT(Sync!$AK1975,2))&amp;"|"&amp;"4"&amp;RIGHT("00000"&amp;1970,5))</f>
        <v/>
      </c>
      <c r="W1975">
        <f>IF($V1975="",0,COUNTIFS($V$6:$V$2005,"&lt;"&amp;$V1975)-COUNTIFS($V$6:$V$2005,"&lt;"&amp;$V1975,$K$6:$K$2005,"")+1)</f>
        <v/>
      </c>
    </row>
    <row r="1976">
      <c r="A1976">
        <f>IF(Sync!$Z1976="","",LEFT(UPPER(TRIM(Sync!$Z1976)),6))</f>
        <v/>
      </c>
      <c r="B1976">
        <f>IF($A1976="","",IF(Sync!$AA1976="","",Sync!$AA1976))</f>
        <v/>
      </c>
      <c r="C1976">
        <f>IF($A1976="","",IF(Sync!$AB1976="","",Sync!$AB1976))</f>
        <v/>
      </c>
      <c r="D1976">
        <f>IF($A1976="","",IF(Sync!$AC1976="","",Sync!$AC1976))</f>
        <v/>
      </c>
      <c r="E1976">
        <f>IF($A1976="","",IF(Sync!$AD1976="","",Sync!$AD1976))</f>
        <v/>
      </c>
      <c r="F1976">
        <f>IF($A1976="","",IF(Sync!$AE1976="",0,Sync!$AE1976))</f>
        <v/>
      </c>
      <c r="G1976">
        <f>IF($A1976="","",IF(Sync!$AF1976="",0,Sync!$AF1976))</f>
        <v/>
      </c>
      <c r="H1976">
        <f>IF(OR($A1976="",ROUND($F1976+$G1976,2)=0),"",$F1976+$G1976)</f>
        <v/>
      </c>
      <c r="I1976">
        <f>IF($H1976="","",IF(ROUND($F1976,2)&gt;0,$A1976,IF($D1976="شخصی قاسم","شخصی قاسم",IF($D1976="هزینه","هزینه: "&amp;IF($E1976="","متفرقه",$E1976),IF($C1976="پاس چک","چک پرداختی",IF(OR($B1976="",COUNTIF(AcctCodesA,$B1976)=0),"متفرقه",$B1976))))))</f>
        <v/>
      </c>
      <c r="J1976">
        <f>IF($H1976="","",IF(ROUND($F1976,2)&gt;0,IF($D1976="شخصی قاسم","شخصی قاسم",IF($D1976="هزینه","هزینه: "&amp;IF($E1976="","متفرقه",$E1976),IF(OR($B1976="",COUNTIF(AcctCodesA,$B1976)=0),"متفرقه",$B1976))),$A1976))</f>
        <v/>
      </c>
      <c r="K1976">
        <f>IF($A1976="","",IF(AND($B1976&lt;&gt;"",COUNTIF(AcctCodesA,$B1976)=0),"کد طرف در INFO تعریف نشده",IF(AND($D1976="هزینه",$E1976=""),"هزینه بدون زیرگروه",IF(AND($C1976="پاس چک",OR(Sync!$AJ1976="",COUNTIF(IssueNosA,Sync!$AJ1976)=0)),"شماره چک پاس‌شده معتبر نیست",""))))</f>
        <v/>
      </c>
      <c r="V1976">
        <f>IF($K1976="","",IF(ISNUMBER(Sync!$AK1976),Sync!$AK1976,LEFT(Sync!$AK1976,4)&amp;MID(Sync!$AK1976,6,2)&amp;RIGHT(Sync!$AK1976,2))&amp;"|"&amp;"4"&amp;RIGHT("00000"&amp;1971,5))</f>
        <v/>
      </c>
      <c r="W1976">
        <f>IF($V1976="",0,COUNTIFS($V$6:$V$2005,"&lt;"&amp;$V1976)-COUNTIFS($V$6:$V$2005,"&lt;"&amp;$V1976,$K$6:$K$2005,"")+1)</f>
        <v/>
      </c>
    </row>
    <row r="1977">
      <c r="A1977">
        <f>IF(Sync!$Z1977="","",LEFT(UPPER(TRIM(Sync!$Z1977)),6))</f>
        <v/>
      </c>
      <c r="B1977">
        <f>IF($A1977="","",IF(Sync!$AA1977="","",Sync!$AA1977))</f>
        <v/>
      </c>
      <c r="C1977">
        <f>IF($A1977="","",IF(Sync!$AB1977="","",Sync!$AB1977))</f>
        <v/>
      </c>
      <c r="D1977">
        <f>IF($A1977="","",IF(Sync!$AC1977="","",Sync!$AC1977))</f>
        <v/>
      </c>
      <c r="E1977">
        <f>IF($A1977="","",IF(Sync!$AD1977="","",Sync!$AD1977))</f>
        <v/>
      </c>
      <c r="F1977">
        <f>IF($A1977="","",IF(Sync!$AE1977="",0,Sync!$AE1977))</f>
        <v/>
      </c>
      <c r="G1977">
        <f>IF($A1977="","",IF(Sync!$AF1977="",0,Sync!$AF1977))</f>
        <v/>
      </c>
      <c r="H1977">
        <f>IF(OR($A1977="",ROUND($F1977+$G1977,2)=0),"",$F1977+$G1977)</f>
        <v/>
      </c>
      <c r="I1977">
        <f>IF($H1977="","",IF(ROUND($F1977,2)&gt;0,$A1977,IF($D1977="شخصی قاسم","شخصی قاسم",IF($D1977="هزینه","هزینه: "&amp;IF($E1977="","متفرقه",$E1977),IF($C1977="پاس چک","چک پرداختی",IF(OR($B1977="",COUNTIF(AcctCodesA,$B1977)=0),"متفرقه",$B1977))))))</f>
        <v/>
      </c>
      <c r="J1977">
        <f>IF($H1977="","",IF(ROUND($F1977,2)&gt;0,IF($D1977="شخصی قاسم","شخصی قاسم",IF($D1977="هزینه","هزینه: "&amp;IF($E1977="","متفرقه",$E1977),IF(OR($B1977="",COUNTIF(AcctCodesA,$B1977)=0),"متفرقه",$B1977))),$A1977))</f>
        <v/>
      </c>
      <c r="K1977">
        <f>IF($A1977="","",IF(AND($B1977&lt;&gt;"",COUNTIF(AcctCodesA,$B1977)=0),"کد طرف در INFO تعریف نشده",IF(AND($D1977="هزینه",$E1977=""),"هزینه بدون زیرگروه",IF(AND($C1977="پاس چک",OR(Sync!$AJ1977="",COUNTIF(IssueNosA,Sync!$AJ1977)=0)),"شماره چک پاس‌شده معتبر نیست",""))))</f>
        <v/>
      </c>
      <c r="V1977">
        <f>IF($K1977="","",IF(ISNUMBER(Sync!$AK1977),Sync!$AK1977,LEFT(Sync!$AK1977,4)&amp;MID(Sync!$AK1977,6,2)&amp;RIGHT(Sync!$AK1977,2))&amp;"|"&amp;"4"&amp;RIGHT("00000"&amp;1972,5))</f>
        <v/>
      </c>
      <c r="W1977">
        <f>IF($V1977="",0,COUNTIFS($V$6:$V$2005,"&lt;"&amp;$V1977)-COUNTIFS($V$6:$V$2005,"&lt;"&amp;$V1977,$K$6:$K$2005,"")+1)</f>
        <v/>
      </c>
    </row>
    <row r="1978">
      <c r="A1978">
        <f>IF(Sync!$Z1978="","",LEFT(UPPER(TRIM(Sync!$Z1978)),6))</f>
        <v/>
      </c>
      <c r="B1978">
        <f>IF($A1978="","",IF(Sync!$AA1978="","",Sync!$AA1978))</f>
        <v/>
      </c>
      <c r="C1978">
        <f>IF($A1978="","",IF(Sync!$AB1978="","",Sync!$AB1978))</f>
        <v/>
      </c>
      <c r="D1978">
        <f>IF($A1978="","",IF(Sync!$AC1978="","",Sync!$AC1978))</f>
        <v/>
      </c>
      <c r="E1978">
        <f>IF($A1978="","",IF(Sync!$AD1978="","",Sync!$AD1978))</f>
        <v/>
      </c>
      <c r="F1978">
        <f>IF($A1978="","",IF(Sync!$AE1978="",0,Sync!$AE1978))</f>
        <v/>
      </c>
      <c r="G1978">
        <f>IF($A1978="","",IF(Sync!$AF1978="",0,Sync!$AF1978))</f>
        <v/>
      </c>
      <c r="H1978">
        <f>IF(OR($A1978="",ROUND($F1978+$G1978,2)=0),"",$F1978+$G1978)</f>
        <v/>
      </c>
      <c r="I1978">
        <f>IF($H1978="","",IF(ROUND($F1978,2)&gt;0,$A1978,IF($D1978="شخصی قاسم","شخصی قاسم",IF($D1978="هزینه","هزینه: "&amp;IF($E1978="","متفرقه",$E1978),IF($C1978="پاس چک","چک پرداختی",IF(OR($B1978="",COUNTIF(AcctCodesA,$B1978)=0),"متفرقه",$B1978))))))</f>
        <v/>
      </c>
      <c r="J1978">
        <f>IF($H1978="","",IF(ROUND($F1978,2)&gt;0,IF($D1978="شخصی قاسم","شخصی قاسم",IF($D1978="هزینه","هزینه: "&amp;IF($E1978="","متفرقه",$E1978),IF(OR($B1978="",COUNTIF(AcctCodesA,$B1978)=0),"متفرقه",$B1978))),$A1978))</f>
        <v/>
      </c>
      <c r="K1978">
        <f>IF($A1978="","",IF(AND($B1978&lt;&gt;"",COUNTIF(AcctCodesA,$B1978)=0),"کد طرف در INFO تعریف نشده",IF(AND($D1978="هزینه",$E1978=""),"هزینه بدون زیرگروه",IF(AND($C1978="پاس چک",OR(Sync!$AJ1978="",COUNTIF(IssueNosA,Sync!$AJ1978)=0)),"شماره چک پاس‌شده معتبر نیست",""))))</f>
        <v/>
      </c>
      <c r="V1978">
        <f>IF($K1978="","",IF(ISNUMBER(Sync!$AK1978),Sync!$AK1978,LEFT(Sync!$AK1978,4)&amp;MID(Sync!$AK1978,6,2)&amp;RIGHT(Sync!$AK1978,2))&amp;"|"&amp;"4"&amp;RIGHT("00000"&amp;1973,5))</f>
        <v/>
      </c>
      <c r="W1978">
        <f>IF($V1978="",0,COUNTIFS($V$6:$V$2005,"&lt;"&amp;$V1978)-COUNTIFS($V$6:$V$2005,"&lt;"&amp;$V1978,$K$6:$K$2005,"")+1)</f>
        <v/>
      </c>
    </row>
    <row r="1979">
      <c r="A1979">
        <f>IF(Sync!$Z1979="","",LEFT(UPPER(TRIM(Sync!$Z1979)),6))</f>
        <v/>
      </c>
      <c r="B1979">
        <f>IF($A1979="","",IF(Sync!$AA1979="","",Sync!$AA1979))</f>
        <v/>
      </c>
      <c r="C1979">
        <f>IF($A1979="","",IF(Sync!$AB1979="","",Sync!$AB1979))</f>
        <v/>
      </c>
      <c r="D1979">
        <f>IF($A1979="","",IF(Sync!$AC1979="","",Sync!$AC1979))</f>
        <v/>
      </c>
      <c r="E1979">
        <f>IF($A1979="","",IF(Sync!$AD1979="","",Sync!$AD1979))</f>
        <v/>
      </c>
      <c r="F1979">
        <f>IF($A1979="","",IF(Sync!$AE1979="",0,Sync!$AE1979))</f>
        <v/>
      </c>
      <c r="G1979">
        <f>IF($A1979="","",IF(Sync!$AF1979="",0,Sync!$AF1979))</f>
        <v/>
      </c>
      <c r="H1979">
        <f>IF(OR($A1979="",ROUND($F1979+$G1979,2)=0),"",$F1979+$G1979)</f>
        <v/>
      </c>
      <c r="I1979">
        <f>IF($H1979="","",IF(ROUND($F1979,2)&gt;0,$A1979,IF($D1979="شخصی قاسم","شخصی قاسم",IF($D1979="هزینه","هزینه: "&amp;IF($E1979="","متفرقه",$E1979),IF($C1979="پاس چک","چک پرداختی",IF(OR($B1979="",COUNTIF(AcctCodesA,$B1979)=0),"متفرقه",$B1979))))))</f>
        <v/>
      </c>
      <c r="J1979">
        <f>IF($H1979="","",IF(ROUND($F1979,2)&gt;0,IF($D1979="شخصی قاسم","شخصی قاسم",IF($D1979="هزینه","هزینه: "&amp;IF($E1979="","متفرقه",$E1979),IF(OR($B1979="",COUNTIF(AcctCodesA,$B1979)=0),"متفرقه",$B1979))),$A1979))</f>
        <v/>
      </c>
      <c r="K1979">
        <f>IF($A1979="","",IF(AND($B1979&lt;&gt;"",COUNTIF(AcctCodesA,$B1979)=0),"کد طرف در INFO تعریف نشده",IF(AND($D1979="هزینه",$E1979=""),"هزینه بدون زیرگروه",IF(AND($C1979="پاس چک",OR(Sync!$AJ1979="",COUNTIF(IssueNosA,Sync!$AJ1979)=0)),"شماره چک پاس‌شده معتبر نیست",""))))</f>
        <v/>
      </c>
      <c r="V1979">
        <f>IF($K1979="","",IF(ISNUMBER(Sync!$AK1979),Sync!$AK1979,LEFT(Sync!$AK1979,4)&amp;MID(Sync!$AK1979,6,2)&amp;RIGHT(Sync!$AK1979,2))&amp;"|"&amp;"4"&amp;RIGHT("00000"&amp;1974,5))</f>
        <v/>
      </c>
      <c r="W1979">
        <f>IF($V1979="",0,COUNTIFS($V$6:$V$2005,"&lt;"&amp;$V1979)-COUNTIFS($V$6:$V$2005,"&lt;"&amp;$V1979,$K$6:$K$2005,"")+1)</f>
        <v/>
      </c>
    </row>
    <row r="1980">
      <c r="A1980">
        <f>IF(Sync!$Z1980="","",LEFT(UPPER(TRIM(Sync!$Z1980)),6))</f>
        <v/>
      </c>
      <c r="B1980">
        <f>IF($A1980="","",IF(Sync!$AA1980="","",Sync!$AA1980))</f>
        <v/>
      </c>
      <c r="C1980">
        <f>IF($A1980="","",IF(Sync!$AB1980="","",Sync!$AB1980))</f>
        <v/>
      </c>
      <c r="D1980">
        <f>IF($A1980="","",IF(Sync!$AC1980="","",Sync!$AC1980))</f>
        <v/>
      </c>
      <c r="E1980">
        <f>IF($A1980="","",IF(Sync!$AD1980="","",Sync!$AD1980))</f>
        <v/>
      </c>
      <c r="F1980">
        <f>IF($A1980="","",IF(Sync!$AE1980="",0,Sync!$AE1980))</f>
        <v/>
      </c>
      <c r="G1980">
        <f>IF($A1980="","",IF(Sync!$AF1980="",0,Sync!$AF1980))</f>
        <v/>
      </c>
      <c r="H1980">
        <f>IF(OR($A1980="",ROUND($F1980+$G1980,2)=0),"",$F1980+$G1980)</f>
        <v/>
      </c>
      <c r="I1980">
        <f>IF($H1980="","",IF(ROUND($F1980,2)&gt;0,$A1980,IF($D1980="شخصی قاسم","شخصی قاسم",IF($D1980="هزینه","هزینه: "&amp;IF($E1980="","متفرقه",$E1980),IF($C1980="پاس چک","چک پرداختی",IF(OR($B1980="",COUNTIF(AcctCodesA,$B1980)=0),"متفرقه",$B1980))))))</f>
        <v/>
      </c>
      <c r="J1980">
        <f>IF($H1980="","",IF(ROUND($F1980,2)&gt;0,IF($D1980="شخصی قاسم","شخصی قاسم",IF($D1980="هزینه","هزینه: "&amp;IF($E1980="","متفرقه",$E1980),IF(OR($B1980="",COUNTIF(AcctCodesA,$B1980)=0),"متفرقه",$B1980))),$A1980))</f>
        <v/>
      </c>
      <c r="K1980">
        <f>IF($A1980="","",IF(AND($B1980&lt;&gt;"",COUNTIF(AcctCodesA,$B1980)=0),"کد طرف در INFO تعریف نشده",IF(AND($D1980="هزینه",$E1980=""),"هزینه بدون زیرگروه",IF(AND($C1980="پاس چک",OR(Sync!$AJ1980="",COUNTIF(IssueNosA,Sync!$AJ1980)=0)),"شماره چک پاس‌شده معتبر نیست",""))))</f>
        <v/>
      </c>
      <c r="V1980">
        <f>IF($K1980="","",IF(ISNUMBER(Sync!$AK1980),Sync!$AK1980,LEFT(Sync!$AK1980,4)&amp;MID(Sync!$AK1980,6,2)&amp;RIGHT(Sync!$AK1980,2))&amp;"|"&amp;"4"&amp;RIGHT("00000"&amp;1975,5))</f>
        <v/>
      </c>
      <c r="W1980">
        <f>IF($V1980="",0,COUNTIFS($V$6:$V$2005,"&lt;"&amp;$V1980)-COUNTIFS($V$6:$V$2005,"&lt;"&amp;$V1980,$K$6:$K$2005,"")+1)</f>
        <v/>
      </c>
    </row>
    <row r="1981">
      <c r="A1981">
        <f>IF(Sync!$Z1981="","",LEFT(UPPER(TRIM(Sync!$Z1981)),6))</f>
        <v/>
      </c>
      <c r="B1981">
        <f>IF($A1981="","",IF(Sync!$AA1981="","",Sync!$AA1981))</f>
        <v/>
      </c>
      <c r="C1981">
        <f>IF($A1981="","",IF(Sync!$AB1981="","",Sync!$AB1981))</f>
        <v/>
      </c>
      <c r="D1981">
        <f>IF($A1981="","",IF(Sync!$AC1981="","",Sync!$AC1981))</f>
        <v/>
      </c>
      <c r="E1981">
        <f>IF($A1981="","",IF(Sync!$AD1981="","",Sync!$AD1981))</f>
        <v/>
      </c>
      <c r="F1981">
        <f>IF($A1981="","",IF(Sync!$AE1981="",0,Sync!$AE1981))</f>
        <v/>
      </c>
      <c r="G1981">
        <f>IF($A1981="","",IF(Sync!$AF1981="",0,Sync!$AF1981))</f>
        <v/>
      </c>
      <c r="H1981">
        <f>IF(OR($A1981="",ROUND($F1981+$G1981,2)=0),"",$F1981+$G1981)</f>
        <v/>
      </c>
      <c r="I1981">
        <f>IF($H1981="","",IF(ROUND($F1981,2)&gt;0,$A1981,IF($D1981="شخصی قاسم","شخصی قاسم",IF($D1981="هزینه","هزینه: "&amp;IF($E1981="","متفرقه",$E1981),IF($C1981="پاس چک","چک پرداختی",IF(OR($B1981="",COUNTIF(AcctCodesA,$B1981)=0),"متفرقه",$B1981))))))</f>
        <v/>
      </c>
      <c r="J1981">
        <f>IF($H1981="","",IF(ROUND($F1981,2)&gt;0,IF($D1981="شخصی قاسم","شخصی قاسم",IF($D1981="هزینه","هزینه: "&amp;IF($E1981="","متفرقه",$E1981),IF(OR($B1981="",COUNTIF(AcctCodesA,$B1981)=0),"متفرقه",$B1981))),$A1981))</f>
        <v/>
      </c>
      <c r="K1981">
        <f>IF($A1981="","",IF(AND($B1981&lt;&gt;"",COUNTIF(AcctCodesA,$B1981)=0),"کد طرف در INFO تعریف نشده",IF(AND($D1981="هزینه",$E1981=""),"هزینه بدون زیرگروه",IF(AND($C1981="پاس چک",OR(Sync!$AJ1981="",COUNTIF(IssueNosA,Sync!$AJ1981)=0)),"شماره چک پاس‌شده معتبر نیست",""))))</f>
        <v/>
      </c>
      <c r="V1981">
        <f>IF($K1981="","",IF(ISNUMBER(Sync!$AK1981),Sync!$AK1981,LEFT(Sync!$AK1981,4)&amp;MID(Sync!$AK1981,6,2)&amp;RIGHT(Sync!$AK1981,2))&amp;"|"&amp;"4"&amp;RIGHT("00000"&amp;1976,5))</f>
        <v/>
      </c>
      <c r="W1981">
        <f>IF($V1981="",0,COUNTIFS($V$6:$V$2005,"&lt;"&amp;$V1981)-COUNTIFS($V$6:$V$2005,"&lt;"&amp;$V1981,$K$6:$K$2005,"")+1)</f>
        <v/>
      </c>
    </row>
    <row r="1982">
      <c r="A1982">
        <f>IF(Sync!$Z1982="","",LEFT(UPPER(TRIM(Sync!$Z1982)),6))</f>
        <v/>
      </c>
      <c r="B1982">
        <f>IF($A1982="","",IF(Sync!$AA1982="","",Sync!$AA1982))</f>
        <v/>
      </c>
      <c r="C1982">
        <f>IF($A1982="","",IF(Sync!$AB1982="","",Sync!$AB1982))</f>
        <v/>
      </c>
      <c r="D1982">
        <f>IF($A1982="","",IF(Sync!$AC1982="","",Sync!$AC1982))</f>
        <v/>
      </c>
      <c r="E1982">
        <f>IF($A1982="","",IF(Sync!$AD1982="","",Sync!$AD1982))</f>
        <v/>
      </c>
      <c r="F1982">
        <f>IF($A1982="","",IF(Sync!$AE1982="",0,Sync!$AE1982))</f>
        <v/>
      </c>
      <c r="G1982">
        <f>IF($A1982="","",IF(Sync!$AF1982="",0,Sync!$AF1982))</f>
        <v/>
      </c>
      <c r="H1982">
        <f>IF(OR($A1982="",ROUND($F1982+$G1982,2)=0),"",$F1982+$G1982)</f>
        <v/>
      </c>
      <c r="I1982">
        <f>IF($H1982="","",IF(ROUND($F1982,2)&gt;0,$A1982,IF($D1982="شخصی قاسم","شخصی قاسم",IF($D1982="هزینه","هزینه: "&amp;IF($E1982="","متفرقه",$E1982),IF($C1982="پاس چک","چک پرداختی",IF(OR($B1982="",COUNTIF(AcctCodesA,$B1982)=0),"متفرقه",$B1982))))))</f>
        <v/>
      </c>
      <c r="J1982">
        <f>IF($H1982="","",IF(ROUND($F1982,2)&gt;0,IF($D1982="شخصی قاسم","شخصی قاسم",IF($D1982="هزینه","هزینه: "&amp;IF($E1982="","متفرقه",$E1982),IF(OR($B1982="",COUNTIF(AcctCodesA,$B1982)=0),"متفرقه",$B1982))),$A1982))</f>
        <v/>
      </c>
      <c r="K1982">
        <f>IF($A1982="","",IF(AND($B1982&lt;&gt;"",COUNTIF(AcctCodesA,$B1982)=0),"کد طرف در INFO تعریف نشده",IF(AND($D1982="هزینه",$E1982=""),"هزینه بدون زیرگروه",IF(AND($C1982="پاس چک",OR(Sync!$AJ1982="",COUNTIF(IssueNosA,Sync!$AJ1982)=0)),"شماره چک پاس‌شده معتبر نیست",""))))</f>
        <v/>
      </c>
      <c r="V1982">
        <f>IF($K1982="","",IF(ISNUMBER(Sync!$AK1982),Sync!$AK1982,LEFT(Sync!$AK1982,4)&amp;MID(Sync!$AK1982,6,2)&amp;RIGHT(Sync!$AK1982,2))&amp;"|"&amp;"4"&amp;RIGHT("00000"&amp;1977,5))</f>
        <v/>
      </c>
      <c r="W1982">
        <f>IF($V1982="",0,COUNTIFS($V$6:$V$2005,"&lt;"&amp;$V1982)-COUNTIFS($V$6:$V$2005,"&lt;"&amp;$V1982,$K$6:$K$2005,"")+1)</f>
        <v/>
      </c>
    </row>
    <row r="1983">
      <c r="A1983">
        <f>IF(Sync!$Z1983="","",LEFT(UPPER(TRIM(Sync!$Z1983)),6))</f>
        <v/>
      </c>
      <c r="B1983">
        <f>IF($A1983="","",IF(Sync!$AA1983="","",Sync!$AA1983))</f>
        <v/>
      </c>
      <c r="C1983">
        <f>IF($A1983="","",IF(Sync!$AB1983="","",Sync!$AB1983))</f>
        <v/>
      </c>
      <c r="D1983">
        <f>IF($A1983="","",IF(Sync!$AC1983="","",Sync!$AC1983))</f>
        <v/>
      </c>
      <c r="E1983">
        <f>IF($A1983="","",IF(Sync!$AD1983="","",Sync!$AD1983))</f>
        <v/>
      </c>
      <c r="F1983">
        <f>IF($A1983="","",IF(Sync!$AE1983="",0,Sync!$AE1983))</f>
        <v/>
      </c>
      <c r="G1983">
        <f>IF($A1983="","",IF(Sync!$AF1983="",0,Sync!$AF1983))</f>
        <v/>
      </c>
      <c r="H1983">
        <f>IF(OR($A1983="",ROUND($F1983+$G1983,2)=0),"",$F1983+$G1983)</f>
        <v/>
      </c>
      <c r="I1983">
        <f>IF($H1983="","",IF(ROUND($F1983,2)&gt;0,$A1983,IF($D1983="شخصی قاسم","شخصی قاسم",IF($D1983="هزینه","هزینه: "&amp;IF($E1983="","متفرقه",$E1983),IF($C1983="پاس چک","چک پرداختی",IF(OR($B1983="",COUNTIF(AcctCodesA,$B1983)=0),"متفرقه",$B1983))))))</f>
        <v/>
      </c>
      <c r="J1983">
        <f>IF($H1983="","",IF(ROUND($F1983,2)&gt;0,IF($D1983="شخصی قاسم","شخصی قاسم",IF($D1983="هزینه","هزینه: "&amp;IF($E1983="","متفرقه",$E1983),IF(OR($B1983="",COUNTIF(AcctCodesA,$B1983)=0),"متفرقه",$B1983))),$A1983))</f>
        <v/>
      </c>
      <c r="K1983">
        <f>IF($A1983="","",IF(AND($B1983&lt;&gt;"",COUNTIF(AcctCodesA,$B1983)=0),"کد طرف در INFO تعریف نشده",IF(AND($D1983="هزینه",$E1983=""),"هزینه بدون زیرگروه",IF(AND($C1983="پاس چک",OR(Sync!$AJ1983="",COUNTIF(IssueNosA,Sync!$AJ1983)=0)),"شماره چک پاس‌شده معتبر نیست",""))))</f>
        <v/>
      </c>
      <c r="V1983">
        <f>IF($K1983="","",IF(ISNUMBER(Sync!$AK1983),Sync!$AK1983,LEFT(Sync!$AK1983,4)&amp;MID(Sync!$AK1983,6,2)&amp;RIGHT(Sync!$AK1983,2))&amp;"|"&amp;"4"&amp;RIGHT("00000"&amp;1978,5))</f>
        <v/>
      </c>
      <c r="W1983">
        <f>IF($V1983="",0,COUNTIFS($V$6:$V$2005,"&lt;"&amp;$V1983)-COUNTIFS($V$6:$V$2005,"&lt;"&amp;$V1983,$K$6:$K$2005,"")+1)</f>
        <v/>
      </c>
    </row>
    <row r="1984">
      <c r="A1984">
        <f>IF(Sync!$Z1984="","",LEFT(UPPER(TRIM(Sync!$Z1984)),6))</f>
        <v/>
      </c>
      <c r="B1984">
        <f>IF($A1984="","",IF(Sync!$AA1984="","",Sync!$AA1984))</f>
        <v/>
      </c>
      <c r="C1984">
        <f>IF($A1984="","",IF(Sync!$AB1984="","",Sync!$AB1984))</f>
        <v/>
      </c>
      <c r="D1984">
        <f>IF($A1984="","",IF(Sync!$AC1984="","",Sync!$AC1984))</f>
        <v/>
      </c>
      <c r="E1984">
        <f>IF($A1984="","",IF(Sync!$AD1984="","",Sync!$AD1984))</f>
        <v/>
      </c>
      <c r="F1984">
        <f>IF($A1984="","",IF(Sync!$AE1984="",0,Sync!$AE1984))</f>
        <v/>
      </c>
      <c r="G1984">
        <f>IF($A1984="","",IF(Sync!$AF1984="",0,Sync!$AF1984))</f>
        <v/>
      </c>
      <c r="H1984">
        <f>IF(OR($A1984="",ROUND($F1984+$G1984,2)=0),"",$F1984+$G1984)</f>
        <v/>
      </c>
      <c r="I1984">
        <f>IF($H1984="","",IF(ROUND($F1984,2)&gt;0,$A1984,IF($D1984="شخصی قاسم","شخصی قاسم",IF($D1984="هزینه","هزینه: "&amp;IF($E1984="","متفرقه",$E1984),IF($C1984="پاس چک","چک پرداختی",IF(OR($B1984="",COUNTIF(AcctCodesA,$B1984)=0),"متفرقه",$B1984))))))</f>
        <v/>
      </c>
      <c r="J1984">
        <f>IF($H1984="","",IF(ROUND($F1984,2)&gt;0,IF($D1984="شخصی قاسم","شخصی قاسم",IF($D1984="هزینه","هزینه: "&amp;IF($E1984="","متفرقه",$E1984),IF(OR($B1984="",COUNTIF(AcctCodesA,$B1984)=0),"متفرقه",$B1984))),$A1984))</f>
        <v/>
      </c>
      <c r="K1984">
        <f>IF($A1984="","",IF(AND($B1984&lt;&gt;"",COUNTIF(AcctCodesA,$B1984)=0),"کد طرف در INFO تعریف نشده",IF(AND($D1984="هزینه",$E1984=""),"هزینه بدون زیرگروه",IF(AND($C1984="پاس چک",OR(Sync!$AJ1984="",COUNTIF(IssueNosA,Sync!$AJ1984)=0)),"شماره چک پاس‌شده معتبر نیست",""))))</f>
        <v/>
      </c>
      <c r="V1984">
        <f>IF($K1984="","",IF(ISNUMBER(Sync!$AK1984),Sync!$AK1984,LEFT(Sync!$AK1984,4)&amp;MID(Sync!$AK1984,6,2)&amp;RIGHT(Sync!$AK1984,2))&amp;"|"&amp;"4"&amp;RIGHT("00000"&amp;1979,5))</f>
        <v/>
      </c>
      <c r="W1984">
        <f>IF($V1984="",0,COUNTIFS($V$6:$V$2005,"&lt;"&amp;$V1984)-COUNTIFS($V$6:$V$2005,"&lt;"&amp;$V1984,$K$6:$K$2005,"")+1)</f>
        <v/>
      </c>
    </row>
    <row r="1985">
      <c r="A1985">
        <f>IF(Sync!$Z1985="","",LEFT(UPPER(TRIM(Sync!$Z1985)),6))</f>
        <v/>
      </c>
      <c r="B1985">
        <f>IF($A1985="","",IF(Sync!$AA1985="","",Sync!$AA1985))</f>
        <v/>
      </c>
      <c r="C1985">
        <f>IF($A1985="","",IF(Sync!$AB1985="","",Sync!$AB1985))</f>
        <v/>
      </c>
      <c r="D1985">
        <f>IF($A1985="","",IF(Sync!$AC1985="","",Sync!$AC1985))</f>
        <v/>
      </c>
      <c r="E1985">
        <f>IF($A1985="","",IF(Sync!$AD1985="","",Sync!$AD1985))</f>
        <v/>
      </c>
      <c r="F1985">
        <f>IF($A1985="","",IF(Sync!$AE1985="",0,Sync!$AE1985))</f>
        <v/>
      </c>
      <c r="G1985">
        <f>IF($A1985="","",IF(Sync!$AF1985="",0,Sync!$AF1985))</f>
        <v/>
      </c>
      <c r="H1985">
        <f>IF(OR($A1985="",ROUND($F1985+$G1985,2)=0),"",$F1985+$G1985)</f>
        <v/>
      </c>
      <c r="I1985">
        <f>IF($H1985="","",IF(ROUND($F1985,2)&gt;0,$A1985,IF($D1985="شخصی قاسم","شخصی قاسم",IF($D1985="هزینه","هزینه: "&amp;IF($E1985="","متفرقه",$E1985),IF($C1985="پاس چک","چک پرداختی",IF(OR($B1985="",COUNTIF(AcctCodesA,$B1985)=0),"متفرقه",$B1985))))))</f>
        <v/>
      </c>
      <c r="J1985">
        <f>IF($H1985="","",IF(ROUND($F1985,2)&gt;0,IF($D1985="شخصی قاسم","شخصی قاسم",IF($D1985="هزینه","هزینه: "&amp;IF($E1985="","متفرقه",$E1985),IF(OR($B1985="",COUNTIF(AcctCodesA,$B1985)=0),"متفرقه",$B1985))),$A1985))</f>
        <v/>
      </c>
      <c r="K1985">
        <f>IF($A1985="","",IF(AND($B1985&lt;&gt;"",COUNTIF(AcctCodesA,$B1985)=0),"کد طرف در INFO تعریف نشده",IF(AND($D1985="هزینه",$E1985=""),"هزینه بدون زیرگروه",IF(AND($C1985="پاس چک",OR(Sync!$AJ1985="",COUNTIF(IssueNosA,Sync!$AJ1985)=0)),"شماره چک پاس‌شده معتبر نیست",""))))</f>
        <v/>
      </c>
      <c r="V1985">
        <f>IF($K1985="","",IF(ISNUMBER(Sync!$AK1985),Sync!$AK1985,LEFT(Sync!$AK1985,4)&amp;MID(Sync!$AK1985,6,2)&amp;RIGHT(Sync!$AK1985,2))&amp;"|"&amp;"4"&amp;RIGHT("00000"&amp;1980,5))</f>
        <v/>
      </c>
      <c r="W1985">
        <f>IF($V1985="",0,COUNTIFS($V$6:$V$2005,"&lt;"&amp;$V1985)-COUNTIFS($V$6:$V$2005,"&lt;"&amp;$V1985,$K$6:$K$2005,"")+1)</f>
        <v/>
      </c>
    </row>
    <row r="1986">
      <c r="A1986">
        <f>IF(Sync!$Z1986="","",LEFT(UPPER(TRIM(Sync!$Z1986)),6))</f>
        <v/>
      </c>
      <c r="B1986">
        <f>IF($A1986="","",IF(Sync!$AA1986="","",Sync!$AA1986))</f>
        <v/>
      </c>
      <c r="C1986">
        <f>IF($A1986="","",IF(Sync!$AB1986="","",Sync!$AB1986))</f>
        <v/>
      </c>
      <c r="D1986">
        <f>IF($A1986="","",IF(Sync!$AC1986="","",Sync!$AC1986))</f>
        <v/>
      </c>
      <c r="E1986">
        <f>IF($A1986="","",IF(Sync!$AD1986="","",Sync!$AD1986))</f>
        <v/>
      </c>
      <c r="F1986">
        <f>IF($A1986="","",IF(Sync!$AE1986="",0,Sync!$AE1986))</f>
        <v/>
      </c>
      <c r="G1986">
        <f>IF($A1986="","",IF(Sync!$AF1986="",0,Sync!$AF1986))</f>
        <v/>
      </c>
      <c r="H1986">
        <f>IF(OR($A1986="",ROUND($F1986+$G1986,2)=0),"",$F1986+$G1986)</f>
        <v/>
      </c>
      <c r="I1986">
        <f>IF($H1986="","",IF(ROUND($F1986,2)&gt;0,$A1986,IF($D1986="شخصی قاسم","شخصی قاسم",IF($D1986="هزینه","هزینه: "&amp;IF($E1986="","متفرقه",$E1986),IF($C1986="پاس چک","چک پرداختی",IF(OR($B1986="",COUNTIF(AcctCodesA,$B1986)=0),"متفرقه",$B1986))))))</f>
        <v/>
      </c>
      <c r="J1986">
        <f>IF($H1986="","",IF(ROUND($F1986,2)&gt;0,IF($D1986="شخصی قاسم","شخصی قاسم",IF($D1986="هزینه","هزینه: "&amp;IF($E1986="","متفرقه",$E1986),IF(OR($B1986="",COUNTIF(AcctCodesA,$B1986)=0),"متفرقه",$B1986))),$A1986))</f>
        <v/>
      </c>
      <c r="K1986">
        <f>IF($A1986="","",IF(AND($B1986&lt;&gt;"",COUNTIF(AcctCodesA,$B1986)=0),"کد طرف در INFO تعریف نشده",IF(AND($D1986="هزینه",$E1986=""),"هزینه بدون زیرگروه",IF(AND($C1986="پاس چک",OR(Sync!$AJ1986="",COUNTIF(IssueNosA,Sync!$AJ1986)=0)),"شماره چک پاس‌شده معتبر نیست",""))))</f>
        <v/>
      </c>
      <c r="V1986">
        <f>IF($K1986="","",IF(ISNUMBER(Sync!$AK1986),Sync!$AK1986,LEFT(Sync!$AK1986,4)&amp;MID(Sync!$AK1986,6,2)&amp;RIGHT(Sync!$AK1986,2))&amp;"|"&amp;"4"&amp;RIGHT("00000"&amp;1981,5))</f>
        <v/>
      </c>
      <c r="W1986">
        <f>IF($V1986="",0,COUNTIFS($V$6:$V$2005,"&lt;"&amp;$V1986)-COUNTIFS($V$6:$V$2005,"&lt;"&amp;$V1986,$K$6:$K$2005,"")+1)</f>
        <v/>
      </c>
    </row>
    <row r="1987">
      <c r="A1987">
        <f>IF(Sync!$Z1987="","",LEFT(UPPER(TRIM(Sync!$Z1987)),6))</f>
        <v/>
      </c>
      <c r="B1987">
        <f>IF($A1987="","",IF(Sync!$AA1987="","",Sync!$AA1987))</f>
        <v/>
      </c>
      <c r="C1987">
        <f>IF($A1987="","",IF(Sync!$AB1987="","",Sync!$AB1987))</f>
        <v/>
      </c>
      <c r="D1987">
        <f>IF($A1987="","",IF(Sync!$AC1987="","",Sync!$AC1987))</f>
        <v/>
      </c>
      <c r="E1987">
        <f>IF($A1987="","",IF(Sync!$AD1987="","",Sync!$AD1987))</f>
        <v/>
      </c>
      <c r="F1987">
        <f>IF($A1987="","",IF(Sync!$AE1987="",0,Sync!$AE1987))</f>
        <v/>
      </c>
      <c r="G1987">
        <f>IF($A1987="","",IF(Sync!$AF1987="",0,Sync!$AF1987))</f>
        <v/>
      </c>
      <c r="H1987">
        <f>IF(OR($A1987="",ROUND($F1987+$G1987,2)=0),"",$F1987+$G1987)</f>
        <v/>
      </c>
      <c r="I1987">
        <f>IF($H1987="","",IF(ROUND($F1987,2)&gt;0,$A1987,IF($D1987="شخصی قاسم","شخصی قاسم",IF($D1987="هزینه","هزینه: "&amp;IF($E1987="","متفرقه",$E1987),IF($C1987="پاس چک","چک پرداختی",IF(OR($B1987="",COUNTIF(AcctCodesA,$B1987)=0),"متفرقه",$B1987))))))</f>
        <v/>
      </c>
      <c r="J1987">
        <f>IF($H1987="","",IF(ROUND($F1987,2)&gt;0,IF($D1987="شخصی قاسم","شخصی قاسم",IF($D1987="هزینه","هزینه: "&amp;IF($E1987="","متفرقه",$E1987),IF(OR($B1987="",COUNTIF(AcctCodesA,$B1987)=0),"متفرقه",$B1987))),$A1987))</f>
        <v/>
      </c>
      <c r="K1987">
        <f>IF($A1987="","",IF(AND($B1987&lt;&gt;"",COUNTIF(AcctCodesA,$B1987)=0),"کد طرف در INFO تعریف نشده",IF(AND($D1987="هزینه",$E1987=""),"هزینه بدون زیرگروه",IF(AND($C1987="پاس چک",OR(Sync!$AJ1987="",COUNTIF(IssueNosA,Sync!$AJ1987)=0)),"شماره چک پاس‌شده معتبر نیست",""))))</f>
        <v/>
      </c>
      <c r="V1987">
        <f>IF($K1987="","",IF(ISNUMBER(Sync!$AK1987),Sync!$AK1987,LEFT(Sync!$AK1987,4)&amp;MID(Sync!$AK1987,6,2)&amp;RIGHT(Sync!$AK1987,2))&amp;"|"&amp;"4"&amp;RIGHT("00000"&amp;1982,5))</f>
        <v/>
      </c>
      <c r="W1987">
        <f>IF($V1987="",0,COUNTIFS($V$6:$V$2005,"&lt;"&amp;$V1987)-COUNTIFS($V$6:$V$2005,"&lt;"&amp;$V1987,$K$6:$K$2005,"")+1)</f>
        <v/>
      </c>
    </row>
    <row r="1988">
      <c r="A1988">
        <f>IF(Sync!$Z1988="","",LEFT(UPPER(TRIM(Sync!$Z1988)),6))</f>
        <v/>
      </c>
      <c r="B1988">
        <f>IF($A1988="","",IF(Sync!$AA1988="","",Sync!$AA1988))</f>
        <v/>
      </c>
      <c r="C1988">
        <f>IF($A1988="","",IF(Sync!$AB1988="","",Sync!$AB1988))</f>
        <v/>
      </c>
      <c r="D1988">
        <f>IF($A1988="","",IF(Sync!$AC1988="","",Sync!$AC1988))</f>
        <v/>
      </c>
      <c r="E1988">
        <f>IF($A1988="","",IF(Sync!$AD1988="","",Sync!$AD1988))</f>
        <v/>
      </c>
      <c r="F1988">
        <f>IF($A1988="","",IF(Sync!$AE1988="",0,Sync!$AE1988))</f>
        <v/>
      </c>
      <c r="G1988">
        <f>IF($A1988="","",IF(Sync!$AF1988="",0,Sync!$AF1988))</f>
        <v/>
      </c>
      <c r="H1988">
        <f>IF(OR($A1988="",ROUND($F1988+$G1988,2)=0),"",$F1988+$G1988)</f>
        <v/>
      </c>
      <c r="I1988">
        <f>IF($H1988="","",IF(ROUND($F1988,2)&gt;0,$A1988,IF($D1988="شخصی قاسم","شخصی قاسم",IF($D1988="هزینه","هزینه: "&amp;IF($E1988="","متفرقه",$E1988),IF($C1988="پاس چک","چک پرداختی",IF(OR($B1988="",COUNTIF(AcctCodesA,$B1988)=0),"متفرقه",$B1988))))))</f>
        <v/>
      </c>
      <c r="J1988">
        <f>IF($H1988="","",IF(ROUND($F1988,2)&gt;0,IF($D1988="شخصی قاسم","شخصی قاسم",IF($D1988="هزینه","هزینه: "&amp;IF($E1988="","متفرقه",$E1988),IF(OR($B1988="",COUNTIF(AcctCodesA,$B1988)=0),"متفرقه",$B1988))),$A1988))</f>
        <v/>
      </c>
      <c r="K1988">
        <f>IF($A1988="","",IF(AND($B1988&lt;&gt;"",COUNTIF(AcctCodesA,$B1988)=0),"کد طرف در INFO تعریف نشده",IF(AND($D1988="هزینه",$E1988=""),"هزینه بدون زیرگروه",IF(AND($C1988="پاس چک",OR(Sync!$AJ1988="",COUNTIF(IssueNosA,Sync!$AJ1988)=0)),"شماره چک پاس‌شده معتبر نیست",""))))</f>
        <v/>
      </c>
      <c r="V1988">
        <f>IF($K1988="","",IF(ISNUMBER(Sync!$AK1988),Sync!$AK1988,LEFT(Sync!$AK1988,4)&amp;MID(Sync!$AK1988,6,2)&amp;RIGHT(Sync!$AK1988,2))&amp;"|"&amp;"4"&amp;RIGHT("00000"&amp;1983,5))</f>
        <v/>
      </c>
      <c r="W1988">
        <f>IF($V1988="",0,COUNTIFS($V$6:$V$2005,"&lt;"&amp;$V1988)-COUNTIFS($V$6:$V$2005,"&lt;"&amp;$V1988,$K$6:$K$2005,"")+1)</f>
        <v/>
      </c>
    </row>
    <row r="1989">
      <c r="A1989">
        <f>IF(Sync!$Z1989="","",LEFT(UPPER(TRIM(Sync!$Z1989)),6))</f>
        <v/>
      </c>
      <c r="B1989">
        <f>IF($A1989="","",IF(Sync!$AA1989="","",Sync!$AA1989))</f>
        <v/>
      </c>
      <c r="C1989">
        <f>IF($A1989="","",IF(Sync!$AB1989="","",Sync!$AB1989))</f>
        <v/>
      </c>
      <c r="D1989">
        <f>IF($A1989="","",IF(Sync!$AC1989="","",Sync!$AC1989))</f>
        <v/>
      </c>
      <c r="E1989">
        <f>IF($A1989="","",IF(Sync!$AD1989="","",Sync!$AD1989))</f>
        <v/>
      </c>
      <c r="F1989">
        <f>IF($A1989="","",IF(Sync!$AE1989="",0,Sync!$AE1989))</f>
        <v/>
      </c>
      <c r="G1989">
        <f>IF($A1989="","",IF(Sync!$AF1989="",0,Sync!$AF1989))</f>
        <v/>
      </c>
      <c r="H1989">
        <f>IF(OR($A1989="",ROUND($F1989+$G1989,2)=0),"",$F1989+$G1989)</f>
        <v/>
      </c>
      <c r="I1989">
        <f>IF($H1989="","",IF(ROUND($F1989,2)&gt;0,$A1989,IF($D1989="شخصی قاسم","شخصی قاسم",IF($D1989="هزینه","هزینه: "&amp;IF($E1989="","متفرقه",$E1989),IF($C1989="پاس چک","چک پرداختی",IF(OR($B1989="",COUNTIF(AcctCodesA,$B1989)=0),"متفرقه",$B1989))))))</f>
        <v/>
      </c>
      <c r="J1989">
        <f>IF($H1989="","",IF(ROUND($F1989,2)&gt;0,IF($D1989="شخصی قاسم","شخصی قاسم",IF($D1989="هزینه","هزینه: "&amp;IF($E1989="","متفرقه",$E1989),IF(OR($B1989="",COUNTIF(AcctCodesA,$B1989)=0),"متفرقه",$B1989))),$A1989))</f>
        <v/>
      </c>
      <c r="K1989">
        <f>IF($A1989="","",IF(AND($B1989&lt;&gt;"",COUNTIF(AcctCodesA,$B1989)=0),"کد طرف در INFO تعریف نشده",IF(AND($D1989="هزینه",$E1989=""),"هزینه بدون زیرگروه",IF(AND($C1989="پاس چک",OR(Sync!$AJ1989="",COUNTIF(IssueNosA,Sync!$AJ1989)=0)),"شماره چک پاس‌شده معتبر نیست",""))))</f>
        <v/>
      </c>
      <c r="V1989">
        <f>IF($K1989="","",IF(ISNUMBER(Sync!$AK1989),Sync!$AK1989,LEFT(Sync!$AK1989,4)&amp;MID(Sync!$AK1989,6,2)&amp;RIGHT(Sync!$AK1989,2))&amp;"|"&amp;"4"&amp;RIGHT("00000"&amp;1984,5))</f>
        <v/>
      </c>
      <c r="W1989">
        <f>IF($V1989="",0,COUNTIFS($V$6:$V$2005,"&lt;"&amp;$V1989)-COUNTIFS($V$6:$V$2005,"&lt;"&amp;$V1989,$K$6:$K$2005,"")+1)</f>
        <v/>
      </c>
    </row>
    <row r="1990">
      <c r="A1990">
        <f>IF(Sync!$Z1990="","",LEFT(UPPER(TRIM(Sync!$Z1990)),6))</f>
        <v/>
      </c>
      <c r="B1990">
        <f>IF($A1990="","",IF(Sync!$AA1990="","",Sync!$AA1990))</f>
        <v/>
      </c>
      <c r="C1990">
        <f>IF($A1990="","",IF(Sync!$AB1990="","",Sync!$AB1990))</f>
        <v/>
      </c>
      <c r="D1990">
        <f>IF($A1990="","",IF(Sync!$AC1990="","",Sync!$AC1990))</f>
        <v/>
      </c>
      <c r="E1990">
        <f>IF($A1990="","",IF(Sync!$AD1990="","",Sync!$AD1990))</f>
        <v/>
      </c>
      <c r="F1990">
        <f>IF($A1990="","",IF(Sync!$AE1990="",0,Sync!$AE1990))</f>
        <v/>
      </c>
      <c r="G1990">
        <f>IF($A1990="","",IF(Sync!$AF1990="",0,Sync!$AF1990))</f>
        <v/>
      </c>
      <c r="H1990">
        <f>IF(OR($A1990="",ROUND($F1990+$G1990,2)=0),"",$F1990+$G1990)</f>
        <v/>
      </c>
      <c r="I1990">
        <f>IF($H1990="","",IF(ROUND($F1990,2)&gt;0,$A1990,IF($D1990="شخصی قاسم","شخصی قاسم",IF($D1990="هزینه","هزینه: "&amp;IF($E1990="","متفرقه",$E1990),IF($C1990="پاس چک","چک پرداختی",IF(OR($B1990="",COUNTIF(AcctCodesA,$B1990)=0),"متفرقه",$B1990))))))</f>
        <v/>
      </c>
      <c r="J1990">
        <f>IF($H1990="","",IF(ROUND($F1990,2)&gt;0,IF($D1990="شخصی قاسم","شخصی قاسم",IF($D1990="هزینه","هزینه: "&amp;IF($E1990="","متفرقه",$E1990),IF(OR($B1990="",COUNTIF(AcctCodesA,$B1990)=0),"متفرقه",$B1990))),$A1990))</f>
        <v/>
      </c>
      <c r="K1990">
        <f>IF($A1990="","",IF(AND($B1990&lt;&gt;"",COUNTIF(AcctCodesA,$B1990)=0),"کد طرف در INFO تعریف نشده",IF(AND($D1990="هزینه",$E1990=""),"هزینه بدون زیرگروه",IF(AND($C1990="پاس چک",OR(Sync!$AJ1990="",COUNTIF(IssueNosA,Sync!$AJ1990)=0)),"شماره چک پاس‌شده معتبر نیست",""))))</f>
        <v/>
      </c>
      <c r="V1990">
        <f>IF($K1990="","",IF(ISNUMBER(Sync!$AK1990),Sync!$AK1990,LEFT(Sync!$AK1990,4)&amp;MID(Sync!$AK1990,6,2)&amp;RIGHT(Sync!$AK1990,2))&amp;"|"&amp;"4"&amp;RIGHT("00000"&amp;1985,5))</f>
        <v/>
      </c>
      <c r="W1990">
        <f>IF($V1990="",0,COUNTIFS($V$6:$V$2005,"&lt;"&amp;$V1990)-COUNTIFS($V$6:$V$2005,"&lt;"&amp;$V1990,$K$6:$K$2005,"")+1)</f>
        <v/>
      </c>
    </row>
    <row r="1991">
      <c r="A1991">
        <f>IF(Sync!$Z1991="","",LEFT(UPPER(TRIM(Sync!$Z1991)),6))</f>
        <v/>
      </c>
      <c r="B1991">
        <f>IF($A1991="","",IF(Sync!$AA1991="","",Sync!$AA1991))</f>
        <v/>
      </c>
      <c r="C1991">
        <f>IF($A1991="","",IF(Sync!$AB1991="","",Sync!$AB1991))</f>
        <v/>
      </c>
      <c r="D1991">
        <f>IF($A1991="","",IF(Sync!$AC1991="","",Sync!$AC1991))</f>
        <v/>
      </c>
      <c r="E1991">
        <f>IF($A1991="","",IF(Sync!$AD1991="","",Sync!$AD1991))</f>
        <v/>
      </c>
      <c r="F1991">
        <f>IF($A1991="","",IF(Sync!$AE1991="",0,Sync!$AE1991))</f>
        <v/>
      </c>
      <c r="G1991">
        <f>IF($A1991="","",IF(Sync!$AF1991="",0,Sync!$AF1991))</f>
        <v/>
      </c>
      <c r="H1991">
        <f>IF(OR($A1991="",ROUND($F1991+$G1991,2)=0),"",$F1991+$G1991)</f>
        <v/>
      </c>
      <c r="I1991">
        <f>IF($H1991="","",IF(ROUND($F1991,2)&gt;0,$A1991,IF($D1991="شخصی قاسم","شخصی قاسم",IF($D1991="هزینه","هزینه: "&amp;IF($E1991="","متفرقه",$E1991),IF($C1991="پاس چک","چک پرداختی",IF(OR($B1991="",COUNTIF(AcctCodesA,$B1991)=0),"متفرقه",$B1991))))))</f>
        <v/>
      </c>
      <c r="J1991">
        <f>IF($H1991="","",IF(ROUND($F1991,2)&gt;0,IF($D1991="شخصی قاسم","شخصی قاسم",IF($D1991="هزینه","هزینه: "&amp;IF($E1991="","متفرقه",$E1991),IF(OR($B1991="",COUNTIF(AcctCodesA,$B1991)=0),"متفرقه",$B1991))),$A1991))</f>
        <v/>
      </c>
      <c r="K1991">
        <f>IF($A1991="","",IF(AND($B1991&lt;&gt;"",COUNTIF(AcctCodesA,$B1991)=0),"کد طرف در INFO تعریف نشده",IF(AND($D1991="هزینه",$E1991=""),"هزینه بدون زیرگروه",IF(AND($C1991="پاس چک",OR(Sync!$AJ1991="",COUNTIF(IssueNosA,Sync!$AJ1991)=0)),"شماره چک پاس‌شده معتبر نیست",""))))</f>
        <v/>
      </c>
      <c r="V1991">
        <f>IF($K1991="","",IF(ISNUMBER(Sync!$AK1991),Sync!$AK1991,LEFT(Sync!$AK1991,4)&amp;MID(Sync!$AK1991,6,2)&amp;RIGHT(Sync!$AK1991,2))&amp;"|"&amp;"4"&amp;RIGHT("00000"&amp;1986,5))</f>
        <v/>
      </c>
      <c r="W1991">
        <f>IF($V1991="",0,COUNTIFS($V$6:$V$2005,"&lt;"&amp;$V1991)-COUNTIFS($V$6:$V$2005,"&lt;"&amp;$V1991,$K$6:$K$2005,"")+1)</f>
        <v/>
      </c>
    </row>
    <row r="1992">
      <c r="A1992">
        <f>IF(Sync!$Z1992="","",LEFT(UPPER(TRIM(Sync!$Z1992)),6))</f>
        <v/>
      </c>
      <c r="B1992">
        <f>IF($A1992="","",IF(Sync!$AA1992="","",Sync!$AA1992))</f>
        <v/>
      </c>
      <c r="C1992">
        <f>IF($A1992="","",IF(Sync!$AB1992="","",Sync!$AB1992))</f>
        <v/>
      </c>
      <c r="D1992">
        <f>IF($A1992="","",IF(Sync!$AC1992="","",Sync!$AC1992))</f>
        <v/>
      </c>
      <c r="E1992">
        <f>IF($A1992="","",IF(Sync!$AD1992="","",Sync!$AD1992))</f>
        <v/>
      </c>
      <c r="F1992">
        <f>IF($A1992="","",IF(Sync!$AE1992="",0,Sync!$AE1992))</f>
        <v/>
      </c>
      <c r="G1992">
        <f>IF($A1992="","",IF(Sync!$AF1992="",0,Sync!$AF1992))</f>
        <v/>
      </c>
      <c r="H1992">
        <f>IF(OR($A1992="",ROUND($F1992+$G1992,2)=0),"",$F1992+$G1992)</f>
        <v/>
      </c>
      <c r="I1992">
        <f>IF($H1992="","",IF(ROUND($F1992,2)&gt;0,$A1992,IF($D1992="شخصی قاسم","شخصی قاسم",IF($D1992="هزینه","هزینه: "&amp;IF($E1992="","متفرقه",$E1992),IF($C1992="پاس چک","چک پرداختی",IF(OR($B1992="",COUNTIF(AcctCodesA,$B1992)=0),"متفرقه",$B1992))))))</f>
        <v/>
      </c>
      <c r="J1992">
        <f>IF($H1992="","",IF(ROUND($F1992,2)&gt;0,IF($D1992="شخصی قاسم","شخصی قاسم",IF($D1992="هزینه","هزینه: "&amp;IF($E1992="","متفرقه",$E1992),IF(OR($B1992="",COUNTIF(AcctCodesA,$B1992)=0),"متفرقه",$B1992))),$A1992))</f>
        <v/>
      </c>
      <c r="K1992">
        <f>IF($A1992="","",IF(AND($B1992&lt;&gt;"",COUNTIF(AcctCodesA,$B1992)=0),"کد طرف در INFO تعریف نشده",IF(AND($D1992="هزینه",$E1992=""),"هزینه بدون زیرگروه",IF(AND($C1992="پاس چک",OR(Sync!$AJ1992="",COUNTIF(IssueNosA,Sync!$AJ1992)=0)),"شماره چک پاس‌شده معتبر نیست",""))))</f>
        <v/>
      </c>
      <c r="V1992">
        <f>IF($K1992="","",IF(ISNUMBER(Sync!$AK1992),Sync!$AK1992,LEFT(Sync!$AK1992,4)&amp;MID(Sync!$AK1992,6,2)&amp;RIGHT(Sync!$AK1992,2))&amp;"|"&amp;"4"&amp;RIGHT("00000"&amp;1987,5))</f>
        <v/>
      </c>
      <c r="W1992">
        <f>IF($V1992="",0,COUNTIFS($V$6:$V$2005,"&lt;"&amp;$V1992)-COUNTIFS($V$6:$V$2005,"&lt;"&amp;$V1992,$K$6:$K$2005,"")+1)</f>
        <v/>
      </c>
    </row>
    <row r="1993">
      <c r="A1993">
        <f>IF(Sync!$Z1993="","",LEFT(UPPER(TRIM(Sync!$Z1993)),6))</f>
        <v/>
      </c>
      <c r="B1993">
        <f>IF($A1993="","",IF(Sync!$AA1993="","",Sync!$AA1993))</f>
        <v/>
      </c>
      <c r="C1993">
        <f>IF($A1993="","",IF(Sync!$AB1993="","",Sync!$AB1993))</f>
        <v/>
      </c>
      <c r="D1993">
        <f>IF($A1993="","",IF(Sync!$AC1993="","",Sync!$AC1993))</f>
        <v/>
      </c>
      <c r="E1993">
        <f>IF($A1993="","",IF(Sync!$AD1993="","",Sync!$AD1993))</f>
        <v/>
      </c>
      <c r="F1993">
        <f>IF($A1993="","",IF(Sync!$AE1993="",0,Sync!$AE1993))</f>
        <v/>
      </c>
      <c r="G1993">
        <f>IF($A1993="","",IF(Sync!$AF1993="",0,Sync!$AF1993))</f>
        <v/>
      </c>
      <c r="H1993">
        <f>IF(OR($A1993="",ROUND($F1993+$G1993,2)=0),"",$F1993+$G1993)</f>
        <v/>
      </c>
      <c r="I1993">
        <f>IF($H1993="","",IF(ROUND($F1993,2)&gt;0,$A1993,IF($D1993="شخصی قاسم","شخصی قاسم",IF($D1993="هزینه","هزینه: "&amp;IF($E1993="","متفرقه",$E1993),IF($C1993="پاس چک","چک پرداختی",IF(OR($B1993="",COUNTIF(AcctCodesA,$B1993)=0),"متفرقه",$B1993))))))</f>
        <v/>
      </c>
      <c r="J1993">
        <f>IF($H1993="","",IF(ROUND($F1993,2)&gt;0,IF($D1993="شخصی قاسم","شخصی قاسم",IF($D1993="هزینه","هزینه: "&amp;IF($E1993="","متفرقه",$E1993),IF(OR($B1993="",COUNTIF(AcctCodesA,$B1993)=0),"متفرقه",$B1993))),$A1993))</f>
        <v/>
      </c>
      <c r="K1993">
        <f>IF($A1993="","",IF(AND($B1993&lt;&gt;"",COUNTIF(AcctCodesA,$B1993)=0),"کد طرف در INFO تعریف نشده",IF(AND($D1993="هزینه",$E1993=""),"هزینه بدون زیرگروه",IF(AND($C1993="پاس چک",OR(Sync!$AJ1993="",COUNTIF(IssueNosA,Sync!$AJ1993)=0)),"شماره چک پاس‌شده معتبر نیست",""))))</f>
        <v/>
      </c>
      <c r="V1993">
        <f>IF($K1993="","",IF(ISNUMBER(Sync!$AK1993),Sync!$AK1993,LEFT(Sync!$AK1993,4)&amp;MID(Sync!$AK1993,6,2)&amp;RIGHT(Sync!$AK1993,2))&amp;"|"&amp;"4"&amp;RIGHT("00000"&amp;1988,5))</f>
        <v/>
      </c>
      <c r="W1993">
        <f>IF($V1993="",0,COUNTIFS($V$6:$V$2005,"&lt;"&amp;$V1993)-COUNTIFS($V$6:$V$2005,"&lt;"&amp;$V1993,$K$6:$K$2005,"")+1)</f>
        <v/>
      </c>
    </row>
    <row r="1994">
      <c r="A1994">
        <f>IF(Sync!$Z1994="","",LEFT(UPPER(TRIM(Sync!$Z1994)),6))</f>
        <v/>
      </c>
      <c r="B1994">
        <f>IF($A1994="","",IF(Sync!$AA1994="","",Sync!$AA1994))</f>
        <v/>
      </c>
      <c r="C1994">
        <f>IF($A1994="","",IF(Sync!$AB1994="","",Sync!$AB1994))</f>
        <v/>
      </c>
      <c r="D1994">
        <f>IF($A1994="","",IF(Sync!$AC1994="","",Sync!$AC1994))</f>
        <v/>
      </c>
      <c r="E1994">
        <f>IF($A1994="","",IF(Sync!$AD1994="","",Sync!$AD1994))</f>
        <v/>
      </c>
      <c r="F1994">
        <f>IF($A1994="","",IF(Sync!$AE1994="",0,Sync!$AE1994))</f>
        <v/>
      </c>
      <c r="G1994">
        <f>IF($A1994="","",IF(Sync!$AF1994="",0,Sync!$AF1994))</f>
        <v/>
      </c>
      <c r="H1994">
        <f>IF(OR($A1994="",ROUND($F1994+$G1994,2)=0),"",$F1994+$G1994)</f>
        <v/>
      </c>
      <c r="I1994">
        <f>IF($H1994="","",IF(ROUND($F1994,2)&gt;0,$A1994,IF($D1994="شخصی قاسم","شخصی قاسم",IF($D1994="هزینه","هزینه: "&amp;IF($E1994="","متفرقه",$E1994),IF($C1994="پاس چک","چک پرداختی",IF(OR($B1994="",COUNTIF(AcctCodesA,$B1994)=0),"متفرقه",$B1994))))))</f>
        <v/>
      </c>
      <c r="J1994">
        <f>IF($H1994="","",IF(ROUND($F1994,2)&gt;0,IF($D1994="شخصی قاسم","شخصی قاسم",IF($D1994="هزینه","هزینه: "&amp;IF($E1994="","متفرقه",$E1994),IF(OR($B1994="",COUNTIF(AcctCodesA,$B1994)=0),"متفرقه",$B1994))),$A1994))</f>
        <v/>
      </c>
      <c r="K1994">
        <f>IF($A1994="","",IF(AND($B1994&lt;&gt;"",COUNTIF(AcctCodesA,$B1994)=0),"کد طرف در INFO تعریف نشده",IF(AND($D1994="هزینه",$E1994=""),"هزینه بدون زیرگروه",IF(AND($C1994="پاس چک",OR(Sync!$AJ1994="",COUNTIF(IssueNosA,Sync!$AJ1994)=0)),"شماره چک پاس‌شده معتبر نیست",""))))</f>
        <v/>
      </c>
      <c r="V1994">
        <f>IF($K1994="","",IF(ISNUMBER(Sync!$AK1994),Sync!$AK1994,LEFT(Sync!$AK1994,4)&amp;MID(Sync!$AK1994,6,2)&amp;RIGHT(Sync!$AK1994,2))&amp;"|"&amp;"4"&amp;RIGHT("00000"&amp;1989,5))</f>
        <v/>
      </c>
      <c r="W1994">
        <f>IF($V1994="",0,COUNTIFS($V$6:$V$2005,"&lt;"&amp;$V1994)-COUNTIFS($V$6:$V$2005,"&lt;"&amp;$V1994,$K$6:$K$2005,"")+1)</f>
        <v/>
      </c>
    </row>
    <row r="1995">
      <c r="A1995">
        <f>IF(Sync!$Z1995="","",LEFT(UPPER(TRIM(Sync!$Z1995)),6))</f>
        <v/>
      </c>
      <c r="B1995">
        <f>IF($A1995="","",IF(Sync!$AA1995="","",Sync!$AA1995))</f>
        <v/>
      </c>
      <c r="C1995">
        <f>IF($A1995="","",IF(Sync!$AB1995="","",Sync!$AB1995))</f>
        <v/>
      </c>
      <c r="D1995">
        <f>IF($A1995="","",IF(Sync!$AC1995="","",Sync!$AC1995))</f>
        <v/>
      </c>
      <c r="E1995">
        <f>IF($A1995="","",IF(Sync!$AD1995="","",Sync!$AD1995))</f>
        <v/>
      </c>
      <c r="F1995">
        <f>IF($A1995="","",IF(Sync!$AE1995="",0,Sync!$AE1995))</f>
        <v/>
      </c>
      <c r="G1995">
        <f>IF($A1995="","",IF(Sync!$AF1995="",0,Sync!$AF1995))</f>
        <v/>
      </c>
      <c r="H1995">
        <f>IF(OR($A1995="",ROUND($F1995+$G1995,2)=0),"",$F1995+$G1995)</f>
        <v/>
      </c>
      <c r="I1995">
        <f>IF($H1995="","",IF(ROUND($F1995,2)&gt;0,$A1995,IF($D1995="شخصی قاسم","شخصی قاسم",IF($D1995="هزینه","هزینه: "&amp;IF($E1995="","متفرقه",$E1995),IF($C1995="پاس چک","چک پرداختی",IF(OR($B1995="",COUNTIF(AcctCodesA,$B1995)=0),"متفرقه",$B1995))))))</f>
        <v/>
      </c>
      <c r="J1995">
        <f>IF($H1995="","",IF(ROUND($F1995,2)&gt;0,IF($D1995="شخصی قاسم","شخصی قاسم",IF($D1995="هزینه","هزینه: "&amp;IF($E1995="","متفرقه",$E1995),IF(OR($B1995="",COUNTIF(AcctCodesA,$B1995)=0),"متفرقه",$B1995))),$A1995))</f>
        <v/>
      </c>
      <c r="K1995">
        <f>IF($A1995="","",IF(AND($B1995&lt;&gt;"",COUNTIF(AcctCodesA,$B1995)=0),"کد طرف در INFO تعریف نشده",IF(AND($D1995="هزینه",$E1995=""),"هزینه بدون زیرگروه",IF(AND($C1995="پاس چک",OR(Sync!$AJ1995="",COUNTIF(IssueNosA,Sync!$AJ1995)=0)),"شماره چک پاس‌شده معتبر نیست",""))))</f>
        <v/>
      </c>
      <c r="V1995">
        <f>IF($K1995="","",IF(ISNUMBER(Sync!$AK1995),Sync!$AK1995,LEFT(Sync!$AK1995,4)&amp;MID(Sync!$AK1995,6,2)&amp;RIGHT(Sync!$AK1995,2))&amp;"|"&amp;"4"&amp;RIGHT("00000"&amp;1990,5))</f>
        <v/>
      </c>
      <c r="W1995">
        <f>IF($V1995="",0,COUNTIFS($V$6:$V$2005,"&lt;"&amp;$V1995)-COUNTIFS($V$6:$V$2005,"&lt;"&amp;$V1995,$K$6:$K$2005,"")+1)</f>
        <v/>
      </c>
    </row>
    <row r="1996">
      <c r="A1996">
        <f>IF(Sync!$Z1996="","",LEFT(UPPER(TRIM(Sync!$Z1996)),6))</f>
        <v/>
      </c>
      <c r="B1996">
        <f>IF($A1996="","",IF(Sync!$AA1996="","",Sync!$AA1996))</f>
        <v/>
      </c>
      <c r="C1996">
        <f>IF($A1996="","",IF(Sync!$AB1996="","",Sync!$AB1996))</f>
        <v/>
      </c>
      <c r="D1996">
        <f>IF($A1996="","",IF(Sync!$AC1996="","",Sync!$AC1996))</f>
        <v/>
      </c>
      <c r="E1996">
        <f>IF($A1996="","",IF(Sync!$AD1996="","",Sync!$AD1996))</f>
        <v/>
      </c>
      <c r="F1996">
        <f>IF($A1996="","",IF(Sync!$AE1996="",0,Sync!$AE1996))</f>
        <v/>
      </c>
      <c r="G1996">
        <f>IF($A1996="","",IF(Sync!$AF1996="",0,Sync!$AF1996))</f>
        <v/>
      </c>
      <c r="H1996">
        <f>IF(OR($A1996="",ROUND($F1996+$G1996,2)=0),"",$F1996+$G1996)</f>
        <v/>
      </c>
      <c r="I1996">
        <f>IF($H1996="","",IF(ROUND($F1996,2)&gt;0,$A1996,IF($D1996="شخصی قاسم","شخصی قاسم",IF($D1996="هزینه","هزینه: "&amp;IF($E1996="","متفرقه",$E1996),IF($C1996="پاس چک","چک پرداختی",IF(OR($B1996="",COUNTIF(AcctCodesA,$B1996)=0),"متفرقه",$B1996))))))</f>
        <v/>
      </c>
      <c r="J1996">
        <f>IF($H1996="","",IF(ROUND($F1996,2)&gt;0,IF($D1996="شخصی قاسم","شخصی قاسم",IF($D1996="هزینه","هزینه: "&amp;IF($E1996="","متفرقه",$E1996),IF(OR($B1996="",COUNTIF(AcctCodesA,$B1996)=0),"متفرقه",$B1996))),$A1996))</f>
        <v/>
      </c>
      <c r="K1996">
        <f>IF($A1996="","",IF(AND($B1996&lt;&gt;"",COUNTIF(AcctCodesA,$B1996)=0),"کد طرف در INFO تعریف نشده",IF(AND($D1996="هزینه",$E1996=""),"هزینه بدون زیرگروه",IF(AND($C1996="پاس چک",OR(Sync!$AJ1996="",COUNTIF(IssueNosA,Sync!$AJ1996)=0)),"شماره چک پاس‌شده معتبر نیست",""))))</f>
        <v/>
      </c>
      <c r="V1996">
        <f>IF($K1996="","",IF(ISNUMBER(Sync!$AK1996),Sync!$AK1996,LEFT(Sync!$AK1996,4)&amp;MID(Sync!$AK1996,6,2)&amp;RIGHT(Sync!$AK1996,2))&amp;"|"&amp;"4"&amp;RIGHT("00000"&amp;1991,5))</f>
        <v/>
      </c>
      <c r="W1996">
        <f>IF($V1996="",0,COUNTIFS($V$6:$V$2005,"&lt;"&amp;$V1996)-COUNTIFS($V$6:$V$2005,"&lt;"&amp;$V1996,$K$6:$K$2005,"")+1)</f>
        <v/>
      </c>
    </row>
    <row r="1997">
      <c r="A1997">
        <f>IF(Sync!$Z1997="","",LEFT(UPPER(TRIM(Sync!$Z1997)),6))</f>
        <v/>
      </c>
      <c r="B1997">
        <f>IF($A1997="","",IF(Sync!$AA1997="","",Sync!$AA1997))</f>
        <v/>
      </c>
      <c r="C1997">
        <f>IF($A1997="","",IF(Sync!$AB1997="","",Sync!$AB1997))</f>
        <v/>
      </c>
      <c r="D1997">
        <f>IF($A1997="","",IF(Sync!$AC1997="","",Sync!$AC1997))</f>
        <v/>
      </c>
      <c r="E1997">
        <f>IF($A1997="","",IF(Sync!$AD1997="","",Sync!$AD1997))</f>
        <v/>
      </c>
      <c r="F1997">
        <f>IF($A1997="","",IF(Sync!$AE1997="",0,Sync!$AE1997))</f>
        <v/>
      </c>
      <c r="G1997">
        <f>IF($A1997="","",IF(Sync!$AF1997="",0,Sync!$AF1997))</f>
        <v/>
      </c>
      <c r="H1997">
        <f>IF(OR($A1997="",ROUND($F1997+$G1997,2)=0),"",$F1997+$G1997)</f>
        <v/>
      </c>
      <c r="I1997">
        <f>IF($H1997="","",IF(ROUND($F1997,2)&gt;0,$A1997,IF($D1997="شخصی قاسم","شخصی قاسم",IF($D1997="هزینه","هزینه: "&amp;IF($E1997="","متفرقه",$E1997),IF($C1997="پاس چک","چک پرداختی",IF(OR($B1997="",COUNTIF(AcctCodesA,$B1997)=0),"متفرقه",$B1997))))))</f>
        <v/>
      </c>
      <c r="J1997">
        <f>IF($H1997="","",IF(ROUND($F1997,2)&gt;0,IF($D1997="شخصی قاسم","شخصی قاسم",IF($D1997="هزینه","هزینه: "&amp;IF($E1997="","متفرقه",$E1997),IF(OR($B1997="",COUNTIF(AcctCodesA,$B1997)=0),"متفرقه",$B1997))),$A1997))</f>
        <v/>
      </c>
      <c r="K1997">
        <f>IF($A1997="","",IF(AND($B1997&lt;&gt;"",COUNTIF(AcctCodesA,$B1997)=0),"کد طرف در INFO تعریف نشده",IF(AND($D1997="هزینه",$E1997=""),"هزینه بدون زیرگروه",IF(AND($C1997="پاس چک",OR(Sync!$AJ1997="",COUNTIF(IssueNosA,Sync!$AJ1997)=0)),"شماره چک پاس‌شده معتبر نیست",""))))</f>
        <v/>
      </c>
      <c r="V1997">
        <f>IF($K1997="","",IF(ISNUMBER(Sync!$AK1997),Sync!$AK1997,LEFT(Sync!$AK1997,4)&amp;MID(Sync!$AK1997,6,2)&amp;RIGHT(Sync!$AK1997,2))&amp;"|"&amp;"4"&amp;RIGHT("00000"&amp;1992,5))</f>
        <v/>
      </c>
      <c r="W1997">
        <f>IF($V1997="",0,COUNTIFS($V$6:$V$2005,"&lt;"&amp;$V1997)-COUNTIFS($V$6:$V$2005,"&lt;"&amp;$V1997,$K$6:$K$2005,"")+1)</f>
        <v/>
      </c>
    </row>
    <row r="1998">
      <c r="A1998">
        <f>IF(Sync!$Z1998="","",LEFT(UPPER(TRIM(Sync!$Z1998)),6))</f>
        <v/>
      </c>
      <c r="B1998">
        <f>IF($A1998="","",IF(Sync!$AA1998="","",Sync!$AA1998))</f>
        <v/>
      </c>
      <c r="C1998">
        <f>IF($A1998="","",IF(Sync!$AB1998="","",Sync!$AB1998))</f>
        <v/>
      </c>
      <c r="D1998">
        <f>IF($A1998="","",IF(Sync!$AC1998="","",Sync!$AC1998))</f>
        <v/>
      </c>
      <c r="E1998">
        <f>IF($A1998="","",IF(Sync!$AD1998="","",Sync!$AD1998))</f>
        <v/>
      </c>
      <c r="F1998">
        <f>IF($A1998="","",IF(Sync!$AE1998="",0,Sync!$AE1998))</f>
        <v/>
      </c>
      <c r="G1998">
        <f>IF($A1998="","",IF(Sync!$AF1998="",0,Sync!$AF1998))</f>
        <v/>
      </c>
      <c r="H1998">
        <f>IF(OR($A1998="",ROUND($F1998+$G1998,2)=0),"",$F1998+$G1998)</f>
        <v/>
      </c>
      <c r="I1998">
        <f>IF($H1998="","",IF(ROUND($F1998,2)&gt;0,$A1998,IF($D1998="شخصی قاسم","شخصی قاسم",IF($D1998="هزینه","هزینه: "&amp;IF($E1998="","متفرقه",$E1998),IF($C1998="پاس چک","چک پرداختی",IF(OR($B1998="",COUNTIF(AcctCodesA,$B1998)=0),"متفرقه",$B1998))))))</f>
        <v/>
      </c>
      <c r="J1998">
        <f>IF($H1998="","",IF(ROUND($F1998,2)&gt;0,IF($D1998="شخصی قاسم","شخصی قاسم",IF($D1998="هزینه","هزینه: "&amp;IF($E1998="","متفرقه",$E1998),IF(OR($B1998="",COUNTIF(AcctCodesA,$B1998)=0),"متفرقه",$B1998))),$A1998))</f>
        <v/>
      </c>
      <c r="K1998">
        <f>IF($A1998="","",IF(AND($B1998&lt;&gt;"",COUNTIF(AcctCodesA,$B1998)=0),"کد طرف در INFO تعریف نشده",IF(AND($D1998="هزینه",$E1998=""),"هزینه بدون زیرگروه",IF(AND($C1998="پاس چک",OR(Sync!$AJ1998="",COUNTIF(IssueNosA,Sync!$AJ1998)=0)),"شماره چک پاس‌شده معتبر نیست",""))))</f>
        <v/>
      </c>
      <c r="V1998">
        <f>IF($K1998="","",IF(ISNUMBER(Sync!$AK1998),Sync!$AK1998,LEFT(Sync!$AK1998,4)&amp;MID(Sync!$AK1998,6,2)&amp;RIGHT(Sync!$AK1998,2))&amp;"|"&amp;"4"&amp;RIGHT("00000"&amp;1993,5))</f>
        <v/>
      </c>
      <c r="W1998">
        <f>IF($V1998="",0,COUNTIFS($V$6:$V$2005,"&lt;"&amp;$V1998)-COUNTIFS($V$6:$V$2005,"&lt;"&amp;$V1998,$K$6:$K$2005,"")+1)</f>
        <v/>
      </c>
    </row>
    <row r="1999">
      <c r="A1999">
        <f>IF(Sync!$Z1999="","",LEFT(UPPER(TRIM(Sync!$Z1999)),6))</f>
        <v/>
      </c>
      <c r="B1999">
        <f>IF($A1999="","",IF(Sync!$AA1999="","",Sync!$AA1999))</f>
        <v/>
      </c>
      <c r="C1999">
        <f>IF($A1999="","",IF(Sync!$AB1999="","",Sync!$AB1999))</f>
        <v/>
      </c>
      <c r="D1999">
        <f>IF($A1999="","",IF(Sync!$AC1999="","",Sync!$AC1999))</f>
        <v/>
      </c>
      <c r="E1999">
        <f>IF($A1999="","",IF(Sync!$AD1999="","",Sync!$AD1999))</f>
        <v/>
      </c>
      <c r="F1999">
        <f>IF($A1999="","",IF(Sync!$AE1999="",0,Sync!$AE1999))</f>
        <v/>
      </c>
      <c r="G1999">
        <f>IF($A1999="","",IF(Sync!$AF1999="",0,Sync!$AF1999))</f>
        <v/>
      </c>
      <c r="H1999">
        <f>IF(OR($A1999="",ROUND($F1999+$G1999,2)=0),"",$F1999+$G1999)</f>
        <v/>
      </c>
      <c r="I1999">
        <f>IF($H1999="","",IF(ROUND($F1999,2)&gt;0,$A1999,IF($D1999="شخصی قاسم","شخصی قاسم",IF($D1999="هزینه","هزینه: "&amp;IF($E1999="","متفرقه",$E1999),IF($C1999="پاس چک","چک پرداختی",IF(OR($B1999="",COUNTIF(AcctCodesA,$B1999)=0),"متفرقه",$B1999))))))</f>
        <v/>
      </c>
      <c r="J1999">
        <f>IF($H1999="","",IF(ROUND($F1999,2)&gt;0,IF($D1999="شخصی قاسم","شخصی قاسم",IF($D1999="هزینه","هزینه: "&amp;IF($E1999="","متفرقه",$E1999),IF(OR($B1999="",COUNTIF(AcctCodesA,$B1999)=0),"متفرقه",$B1999))),$A1999))</f>
        <v/>
      </c>
      <c r="K1999">
        <f>IF($A1999="","",IF(AND($B1999&lt;&gt;"",COUNTIF(AcctCodesA,$B1999)=0),"کد طرف در INFO تعریف نشده",IF(AND($D1999="هزینه",$E1999=""),"هزینه بدون زیرگروه",IF(AND($C1999="پاس چک",OR(Sync!$AJ1999="",COUNTIF(IssueNosA,Sync!$AJ1999)=0)),"شماره چک پاس‌شده معتبر نیست",""))))</f>
        <v/>
      </c>
      <c r="V1999">
        <f>IF($K1999="","",IF(ISNUMBER(Sync!$AK1999),Sync!$AK1999,LEFT(Sync!$AK1999,4)&amp;MID(Sync!$AK1999,6,2)&amp;RIGHT(Sync!$AK1999,2))&amp;"|"&amp;"4"&amp;RIGHT("00000"&amp;1994,5))</f>
        <v/>
      </c>
      <c r="W1999">
        <f>IF($V1999="",0,COUNTIFS($V$6:$V$2005,"&lt;"&amp;$V1999)-COUNTIFS($V$6:$V$2005,"&lt;"&amp;$V1999,$K$6:$K$2005,"")+1)</f>
        <v/>
      </c>
    </row>
    <row r="2000">
      <c r="A2000">
        <f>IF(Sync!$Z2000="","",LEFT(UPPER(TRIM(Sync!$Z2000)),6))</f>
        <v/>
      </c>
      <c r="B2000">
        <f>IF($A2000="","",IF(Sync!$AA2000="","",Sync!$AA2000))</f>
        <v/>
      </c>
      <c r="C2000">
        <f>IF($A2000="","",IF(Sync!$AB2000="","",Sync!$AB2000))</f>
        <v/>
      </c>
      <c r="D2000">
        <f>IF($A2000="","",IF(Sync!$AC2000="","",Sync!$AC2000))</f>
        <v/>
      </c>
      <c r="E2000">
        <f>IF($A2000="","",IF(Sync!$AD2000="","",Sync!$AD2000))</f>
        <v/>
      </c>
      <c r="F2000">
        <f>IF($A2000="","",IF(Sync!$AE2000="",0,Sync!$AE2000))</f>
        <v/>
      </c>
      <c r="G2000">
        <f>IF($A2000="","",IF(Sync!$AF2000="",0,Sync!$AF2000))</f>
        <v/>
      </c>
      <c r="H2000">
        <f>IF(OR($A2000="",ROUND($F2000+$G2000,2)=0),"",$F2000+$G2000)</f>
        <v/>
      </c>
      <c r="I2000">
        <f>IF($H2000="","",IF(ROUND($F2000,2)&gt;0,$A2000,IF($D2000="شخصی قاسم","شخصی قاسم",IF($D2000="هزینه","هزینه: "&amp;IF($E2000="","متفرقه",$E2000),IF($C2000="پاس چک","چک پرداختی",IF(OR($B2000="",COUNTIF(AcctCodesA,$B2000)=0),"متفرقه",$B2000))))))</f>
        <v/>
      </c>
      <c r="J2000">
        <f>IF($H2000="","",IF(ROUND($F2000,2)&gt;0,IF($D2000="شخصی قاسم","شخصی قاسم",IF($D2000="هزینه","هزینه: "&amp;IF($E2000="","متفرقه",$E2000),IF(OR($B2000="",COUNTIF(AcctCodesA,$B2000)=0),"متفرقه",$B2000))),$A2000))</f>
        <v/>
      </c>
      <c r="K2000">
        <f>IF($A2000="","",IF(AND($B2000&lt;&gt;"",COUNTIF(AcctCodesA,$B2000)=0),"کد طرف در INFO تعریف نشده",IF(AND($D2000="هزینه",$E2000=""),"هزینه بدون زیرگروه",IF(AND($C2000="پاس چک",OR(Sync!$AJ2000="",COUNTIF(IssueNosA,Sync!$AJ2000)=0)),"شماره چک پاس‌شده معتبر نیست",""))))</f>
        <v/>
      </c>
      <c r="V2000">
        <f>IF($K2000="","",IF(ISNUMBER(Sync!$AK2000),Sync!$AK2000,LEFT(Sync!$AK2000,4)&amp;MID(Sync!$AK2000,6,2)&amp;RIGHT(Sync!$AK2000,2))&amp;"|"&amp;"4"&amp;RIGHT("00000"&amp;1995,5))</f>
        <v/>
      </c>
      <c r="W2000">
        <f>IF($V2000="",0,COUNTIFS($V$6:$V$2005,"&lt;"&amp;$V2000)-COUNTIFS($V$6:$V$2005,"&lt;"&amp;$V2000,$K$6:$K$2005,"")+1)</f>
        <v/>
      </c>
    </row>
    <row r="2001">
      <c r="A2001">
        <f>IF(Sync!$Z2001="","",LEFT(UPPER(TRIM(Sync!$Z2001)),6))</f>
        <v/>
      </c>
      <c r="B2001">
        <f>IF($A2001="","",IF(Sync!$AA2001="","",Sync!$AA2001))</f>
        <v/>
      </c>
      <c r="C2001">
        <f>IF($A2001="","",IF(Sync!$AB2001="","",Sync!$AB2001))</f>
        <v/>
      </c>
      <c r="D2001">
        <f>IF($A2001="","",IF(Sync!$AC2001="","",Sync!$AC2001))</f>
        <v/>
      </c>
      <c r="E2001">
        <f>IF($A2001="","",IF(Sync!$AD2001="","",Sync!$AD2001))</f>
        <v/>
      </c>
      <c r="F2001">
        <f>IF($A2001="","",IF(Sync!$AE2001="",0,Sync!$AE2001))</f>
        <v/>
      </c>
      <c r="G2001">
        <f>IF($A2001="","",IF(Sync!$AF2001="",0,Sync!$AF2001))</f>
        <v/>
      </c>
      <c r="H2001">
        <f>IF(OR($A2001="",ROUND($F2001+$G2001,2)=0),"",$F2001+$G2001)</f>
        <v/>
      </c>
      <c r="I2001">
        <f>IF($H2001="","",IF(ROUND($F2001,2)&gt;0,$A2001,IF($D2001="شخصی قاسم","شخصی قاسم",IF($D2001="هزینه","هزینه: "&amp;IF($E2001="","متفرقه",$E2001),IF($C2001="پاس چک","چک پرداختی",IF(OR($B2001="",COUNTIF(AcctCodesA,$B2001)=0),"متفرقه",$B2001))))))</f>
        <v/>
      </c>
      <c r="J2001">
        <f>IF($H2001="","",IF(ROUND($F2001,2)&gt;0,IF($D2001="شخصی قاسم","شخصی قاسم",IF($D2001="هزینه","هزینه: "&amp;IF($E2001="","متفرقه",$E2001),IF(OR($B2001="",COUNTIF(AcctCodesA,$B2001)=0),"متفرقه",$B2001))),$A2001))</f>
        <v/>
      </c>
      <c r="K2001">
        <f>IF($A2001="","",IF(AND($B2001&lt;&gt;"",COUNTIF(AcctCodesA,$B2001)=0),"کد طرف در INFO تعریف نشده",IF(AND($D2001="هزینه",$E2001=""),"هزینه بدون زیرگروه",IF(AND($C2001="پاس چک",OR(Sync!$AJ2001="",COUNTIF(IssueNosA,Sync!$AJ2001)=0)),"شماره چک پاس‌شده معتبر نیست",""))))</f>
        <v/>
      </c>
      <c r="V2001">
        <f>IF($K2001="","",IF(ISNUMBER(Sync!$AK2001),Sync!$AK2001,LEFT(Sync!$AK2001,4)&amp;MID(Sync!$AK2001,6,2)&amp;RIGHT(Sync!$AK2001,2))&amp;"|"&amp;"4"&amp;RIGHT("00000"&amp;1996,5))</f>
        <v/>
      </c>
      <c r="W2001">
        <f>IF($V2001="",0,COUNTIFS($V$6:$V$2005,"&lt;"&amp;$V2001)-COUNTIFS($V$6:$V$2005,"&lt;"&amp;$V2001,$K$6:$K$2005,"")+1)</f>
        <v/>
      </c>
    </row>
    <row r="2002">
      <c r="A2002">
        <f>IF(Sync!$Z2002="","",LEFT(UPPER(TRIM(Sync!$Z2002)),6))</f>
        <v/>
      </c>
      <c r="B2002">
        <f>IF($A2002="","",IF(Sync!$AA2002="","",Sync!$AA2002))</f>
        <v/>
      </c>
      <c r="C2002">
        <f>IF($A2002="","",IF(Sync!$AB2002="","",Sync!$AB2002))</f>
        <v/>
      </c>
      <c r="D2002">
        <f>IF($A2002="","",IF(Sync!$AC2002="","",Sync!$AC2002))</f>
        <v/>
      </c>
      <c r="E2002">
        <f>IF($A2002="","",IF(Sync!$AD2002="","",Sync!$AD2002))</f>
        <v/>
      </c>
      <c r="F2002">
        <f>IF($A2002="","",IF(Sync!$AE2002="",0,Sync!$AE2002))</f>
        <v/>
      </c>
      <c r="G2002">
        <f>IF($A2002="","",IF(Sync!$AF2002="",0,Sync!$AF2002))</f>
        <v/>
      </c>
      <c r="H2002">
        <f>IF(OR($A2002="",ROUND($F2002+$G2002,2)=0),"",$F2002+$G2002)</f>
        <v/>
      </c>
      <c r="I2002">
        <f>IF($H2002="","",IF(ROUND($F2002,2)&gt;0,$A2002,IF($D2002="شخصی قاسم","شخصی قاسم",IF($D2002="هزینه","هزینه: "&amp;IF($E2002="","متفرقه",$E2002),IF($C2002="پاس چک","چک پرداختی",IF(OR($B2002="",COUNTIF(AcctCodesA,$B2002)=0),"متفرقه",$B2002))))))</f>
        <v/>
      </c>
      <c r="J2002">
        <f>IF($H2002="","",IF(ROUND($F2002,2)&gt;0,IF($D2002="شخصی قاسم","شخصی قاسم",IF($D2002="هزینه","هزینه: "&amp;IF($E2002="","متفرقه",$E2002),IF(OR($B2002="",COUNTIF(AcctCodesA,$B2002)=0),"متفرقه",$B2002))),$A2002))</f>
        <v/>
      </c>
      <c r="K2002">
        <f>IF($A2002="","",IF(AND($B2002&lt;&gt;"",COUNTIF(AcctCodesA,$B2002)=0),"کد طرف در INFO تعریف نشده",IF(AND($D2002="هزینه",$E2002=""),"هزینه بدون زیرگروه",IF(AND($C2002="پاس چک",OR(Sync!$AJ2002="",COUNTIF(IssueNosA,Sync!$AJ2002)=0)),"شماره چک پاس‌شده معتبر نیست",""))))</f>
        <v/>
      </c>
      <c r="V2002">
        <f>IF($K2002="","",IF(ISNUMBER(Sync!$AK2002),Sync!$AK2002,LEFT(Sync!$AK2002,4)&amp;MID(Sync!$AK2002,6,2)&amp;RIGHT(Sync!$AK2002,2))&amp;"|"&amp;"4"&amp;RIGHT("00000"&amp;1997,5))</f>
        <v/>
      </c>
      <c r="W2002">
        <f>IF($V2002="",0,COUNTIFS($V$6:$V$2005,"&lt;"&amp;$V2002)-COUNTIFS($V$6:$V$2005,"&lt;"&amp;$V2002,$K$6:$K$2005,"")+1)</f>
        <v/>
      </c>
    </row>
    <row r="2003">
      <c r="A2003">
        <f>IF(Sync!$Z2003="","",LEFT(UPPER(TRIM(Sync!$Z2003)),6))</f>
        <v/>
      </c>
      <c r="B2003">
        <f>IF($A2003="","",IF(Sync!$AA2003="","",Sync!$AA2003))</f>
        <v/>
      </c>
      <c r="C2003">
        <f>IF($A2003="","",IF(Sync!$AB2003="","",Sync!$AB2003))</f>
        <v/>
      </c>
      <c r="D2003">
        <f>IF($A2003="","",IF(Sync!$AC2003="","",Sync!$AC2003))</f>
        <v/>
      </c>
      <c r="E2003">
        <f>IF($A2003="","",IF(Sync!$AD2003="","",Sync!$AD2003))</f>
        <v/>
      </c>
      <c r="F2003">
        <f>IF($A2003="","",IF(Sync!$AE2003="",0,Sync!$AE2003))</f>
        <v/>
      </c>
      <c r="G2003">
        <f>IF($A2003="","",IF(Sync!$AF2003="",0,Sync!$AF2003))</f>
        <v/>
      </c>
      <c r="H2003">
        <f>IF(OR($A2003="",ROUND($F2003+$G2003,2)=0),"",$F2003+$G2003)</f>
        <v/>
      </c>
      <c r="I2003">
        <f>IF($H2003="","",IF(ROUND($F2003,2)&gt;0,$A2003,IF($D2003="شخصی قاسم","شخصی قاسم",IF($D2003="هزینه","هزینه: "&amp;IF($E2003="","متفرقه",$E2003),IF($C2003="پاس چک","چک پرداختی",IF(OR($B2003="",COUNTIF(AcctCodesA,$B2003)=0),"متفرقه",$B2003))))))</f>
        <v/>
      </c>
      <c r="J2003">
        <f>IF($H2003="","",IF(ROUND($F2003,2)&gt;0,IF($D2003="شخصی قاسم","شخصی قاسم",IF($D2003="هزینه","هزینه: "&amp;IF($E2003="","متفرقه",$E2003),IF(OR($B2003="",COUNTIF(AcctCodesA,$B2003)=0),"متفرقه",$B2003))),$A2003))</f>
        <v/>
      </c>
      <c r="K2003">
        <f>IF($A2003="","",IF(AND($B2003&lt;&gt;"",COUNTIF(AcctCodesA,$B2003)=0),"کد طرف در INFO تعریف نشده",IF(AND($D2003="هزینه",$E2003=""),"هزینه بدون زیرگروه",IF(AND($C2003="پاس چک",OR(Sync!$AJ2003="",COUNTIF(IssueNosA,Sync!$AJ2003)=0)),"شماره چک پاس‌شده معتبر نیست",""))))</f>
        <v/>
      </c>
      <c r="V2003">
        <f>IF($K2003="","",IF(ISNUMBER(Sync!$AK2003),Sync!$AK2003,LEFT(Sync!$AK2003,4)&amp;MID(Sync!$AK2003,6,2)&amp;RIGHT(Sync!$AK2003,2))&amp;"|"&amp;"4"&amp;RIGHT("00000"&amp;1998,5))</f>
        <v/>
      </c>
      <c r="W2003">
        <f>IF($V2003="",0,COUNTIFS($V$6:$V$2005,"&lt;"&amp;$V2003)-COUNTIFS($V$6:$V$2005,"&lt;"&amp;$V2003,$K$6:$K$2005,"")+1)</f>
        <v/>
      </c>
    </row>
    <row r="2004">
      <c r="A2004">
        <f>IF(Sync!$Z2004="","",LEFT(UPPER(TRIM(Sync!$Z2004)),6))</f>
        <v/>
      </c>
      <c r="B2004">
        <f>IF($A2004="","",IF(Sync!$AA2004="","",Sync!$AA2004))</f>
        <v/>
      </c>
      <c r="C2004">
        <f>IF($A2004="","",IF(Sync!$AB2004="","",Sync!$AB2004))</f>
        <v/>
      </c>
      <c r="D2004">
        <f>IF($A2004="","",IF(Sync!$AC2004="","",Sync!$AC2004))</f>
        <v/>
      </c>
      <c r="E2004">
        <f>IF($A2004="","",IF(Sync!$AD2004="","",Sync!$AD2004))</f>
        <v/>
      </c>
      <c r="F2004">
        <f>IF($A2004="","",IF(Sync!$AE2004="",0,Sync!$AE2004))</f>
        <v/>
      </c>
      <c r="G2004">
        <f>IF($A2004="","",IF(Sync!$AF2004="",0,Sync!$AF2004))</f>
        <v/>
      </c>
      <c r="H2004">
        <f>IF(OR($A2004="",ROUND($F2004+$G2004,2)=0),"",$F2004+$G2004)</f>
        <v/>
      </c>
      <c r="I2004">
        <f>IF($H2004="","",IF(ROUND($F2004,2)&gt;0,$A2004,IF($D2004="شخصی قاسم","شخصی قاسم",IF($D2004="هزینه","هزینه: "&amp;IF($E2004="","متفرقه",$E2004),IF($C2004="پاس چک","چک پرداختی",IF(OR($B2004="",COUNTIF(AcctCodesA,$B2004)=0),"متفرقه",$B2004))))))</f>
        <v/>
      </c>
      <c r="J2004">
        <f>IF($H2004="","",IF(ROUND($F2004,2)&gt;0,IF($D2004="شخصی قاسم","شخصی قاسم",IF($D2004="هزینه","هزینه: "&amp;IF($E2004="","متفرقه",$E2004),IF(OR($B2004="",COUNTIF(AcctCodesA,$B2004)=0),"متفرقه",$B2004))),$A2004))</f>
        <v/>
      </c>
      <c r="K2004">
        <f>IF($A2004="","",IF(AND($B2004&lt;&gt;"",COUNTIF(AcctCodesA,$B2004)=0),"کد طرف در INFO تعریف نشده",IF(AND($D2004="هزینه",$E2004=""),"هزینه بدون زیرگروه",IF(AND($C2004="پاس چک",OR(Sync!$AJ2004="",COUNTIF(IssueNosA,Sync!$AJ2004)=0)),"شماره چک پاس‌شده معتبر نیست",""))))</f>
        <v/>
      </c>
      <c r="V2004">
        <f>IF($K2004="","",IF(ISNUMBER(Sync!$AK2004),Sync!$AK2004,LEFT(Sync!$AK2004,4)&amp;MID(Sync!$AK2004,6,2)&amp;RIGHT(Sync!$AK2004,2))&amp;"|"&amp;"4"&amp;RIGHT("00000"&amp;1999,5))</f>
        <v/>
      </c>
      <c r="W2004">
        <f>IF($V2004="",0,COUNTIFS($V$6:$V$2005,"&lt;"&amp;$V2004)-COUNTIFS($V$6:$V$2005,"&lt;"&amp;$V2004,$K$6:$K$2005,"")+1)</f>
        <v/>
      </c>
    </row>
    <row r="2005">
      <c r="A2005">
        <f>IF(Sync!$Z2005="","",LEFT(UPPER(TRIM(Sync!$Z2005)),6))</f>
        <v/>
      </c>
      <c r="B2005">
        <f>IF($A2005="","",IF(Sync!$AA2005="","",Sync!$AA2005))</f>
        <v/>
      </c>
      <c r="C2005">
        <f>IF($A2005="","",IF(Sync!$AB2005="","",Sync!$AB2005))</f>
        <v/>
      </c>
      <c r="D2005">
        <f>IF($A2005="","",IF(Sync!$AC2005="","",Sync!$AC2005))</f>
        <v/>
      </c>
      <c r="E2005">
        <f>IF($A2005="","",IF(Sync!$AD2005="","",Sync!$AD2005))</f>
        <v/>
      </c>
      <c r="F2005">
        <f>IF($A2005="","",IF(Sync!$AE2005="",0,Sync!$AE2005))</f>
        <v/>
      </c>
      <c r="G2005">
        <f>IF($A2005="","",IF(Sync!$AF2005="",0,Sync!$AF2005))</f>
        <v/>
      </c>
      <c r="H2005">
        <f>IF(OR($A2005="",ROUND($F2005+$G2005,2)=0),"",$F2005+$G2005)</f>
        <v/>
      </c>
      <c r="I2005">
        <f>IF($H2005="","",IF(ROUND($F2005,2)&gt;0,$A2005,IF($D2005="شخصی قاسم","شخصی قاسم",IF($D2005="هزینه","هزینه: "&amp;IF($E2005="","متفرقه",$E2005),IF($C2005="پاس چک","چک پرداختی",IF(OR($B2005="",COUNTIF(AcctCodesA,$B2005)=0),"متفرقه",$B2005))))))</f>
        <v/>
      </c>
      <c r="J2005">
        <f>IF($H2005="","",IF(ROUND($F2005,2)&gt;0,IF($D2005="شخصی قاسم","شخصی قاسم",IF($D2005="هزینه","هزینه: "&amp;IF($E2005="","متفرقه",$E2005),IF(OR($B2005="",COUNTIF(AcctCodesA,$B2005)=0),"متفرقه",$B2005))),$A2005))</f>
        <v/>
      </c>
      <c r="K2005">
        <f>IF($A2005="","",IF(AND($B2005&lt;&gt;"",COUNTIF(AcctCodesA,$B2005)=0),"کد طرف در INFO تعریف نشده",IF(AND($D2005="هزینه",$E2005=""),"هزینه بدون زیرگروه",IF(AND($C2005="پاس چک",OR(Sync!$AJ2005="",COUNTIF(IssueNosA,Sync!$AJ2005)=0)),"شماره چک پاس‌شده معتبر نیست",""))))</f>
        <v/>
      </c>
      <c r="V2005">
        <f>IF($K2005="","",IF(ISNUMBER(Sync!$AK2005),Sync!$AK2005,LEFT(Sync!$AK2005,4)&amp;MID(Sync!$AK2005,6,2)&amp;RIGHT(Sync!$AK2005,2))&amp;"|"&amp;"4"&amp;RIGHT("00000"&amp;2000,5))</f>
        <v/>
      </c>
      <c r="W2005">
        <f>IF($V2005="",0,COUNTIFS($V$6:$V$2005,"&lt;"&amp;$V2005)-COUNTIFS($V$6:$V$2005,"&lt;"&amp;$V2005,$K$6:$K$2005,"")+1)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39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56" t="inlineStr">
        <is>
          <t>راهنمای فایل مالی (Accounting.xlsx)</t>
        </is>
      </c>
      <c r="B3" s="56" t="n"/>
      <c r="C3" s="56" t="n"/>
      <c r="D3" s="56" t="n"/>
      <c r="E3" s="56" t="n"/>
      <c r="F3" s="56" t="n"/>
      <c r="G3" s="56" t="n"/>
      <c r="H3" s="56" t="n"/>
    </row>
    <row r="5" ht="19" customHeight="1">
      <c r="A5" s="57" t="inlineStr">
        <is>
          <t>۱) این فایل چیست؟</t>
        </is>
      </c>
      <c r="B5" s="57" t="n"/>
      <c r="C5" s="57" t="n"/>
      <c r="D5" s="57" t="n"/>
      <c r="E5" s="57" t="n"/>
      <c r="F5" s="57" t="n"/>
      <c r="G5" s="57" t="n"/>
      <c r="H5" s="57" t="n"/>
    </row>
    <row r="6" ht="17" customHeight="1">
      <c r="A6" s="58" t="inlineStr">
        <is>
          <t>• تراز آزمایشی و ترازنامه خودکار — بدون هیچ ورود داده‌ای.</t>
        </is>
      </c>
      <c r="B6" s="58" t="n"/>
      <c r="C6" s="58" t="n"/>
      <c r="D6" s="58" t="n"/>
      <c r="E6" s="58" t="n"/>
      <c r="F6" s="58" t="n"/>
      <c r="G6" s="58" t="n"/>
      <c r="H6" s="58" t="n"/>
    </row>
    <row r="7" ht="17" customHeight="1">
      <c r="A7" s="59" t="inlineStr">
        <is>
          <t>• بدهکار/بستانکار هر تراکنش خودکار از روی بانک، گروه اصلی، زیرگروه و نوع تراکنش تشخیص داده می‌شود (طبق انتخاب شما).</t>
        </is>
      </c>
      <c r="B7" s="59" t="n"/>
      <c r="C7" s="59" t="n"/>
      <c r="D7" s="59" t="n"/>
      <c r="E7" s="59" t="n"/>
      <c r="F7" s="59" t="n"/>
      <c r="G7" s="59" t="n"/>
      <c r="H7" s="59" t="n"/>
    </row>
    <row r="8" ht="17" customHeight="1">
      <c r="A8" s="58" t="inlineStr">
        <is>
          <t>• منابع: Transactions.xlsx (تراکنش‌ها) + Cheques.xlsx (صدور چک‌ها) + INFO.xlsx (بانک‌ها، حساب‌ها، زیرگروه‌ها).</t>
        </is>
      </c>
      <c r="B8" s="58" t="n"/>
      <c r="C8" s="58" t="n"/>
      <c r="D8" s="58" t="n"/>
      <c r="E8" s="58" t="n"/>
      <c r="F8" s="58" t="n"/>
      <c r="G8" s="58" t="n"/>
      <c r="H8" s="58" t="n"/>
    </row>
    <row r="10" ht="19" customHeight="1">
      <c r="A10" s="57" t="inlineStr">
        <is>
          <t>۲) قواعد تشخیص خودکار بدهکار/بستانکار</t>
        </is>
      </c>
      <c r="B10" s="57" t="n"/>
      <c r="C10" s="57" t="n"/>
      <c r="D10" s="57" t="n"/>
      <c r="E10" s="57" t="n"/>
      <c r="F10" s="57" t="n"/>
      <c r="G10" s="57" t="n"/>
      <c r="H10" s="57" t="n"/>
    </row>
    <row r="11" ht="17" customHeight="1">
      <c r="A11" s="58" t="inlineStr">
        <is>
          <t>• واریز: بدهکار بانک / بستانکار طرف حساب — مگر گروه «هزینه» (برگشت هزینه): بستانکار «هزینه: زیرگروه».</t>
        </is>
      </c>
      <c r="B11" s="58" t="n"/>
      <c r="C11" s="58" t="n"/>
      <c r="D11" s="58" t="n"/>
      <c r="E11" s="58" t="n"/>
      <c r="F11" s="58" t="n"/>
      <c r="G11" s="58" t="n"/>
      <c r="H11" s="58" t="n"/>
    </row>
    <row r="12" ht="17" customHeight="1">
      <c r="A12" s="59" t="inlineStr">
        <is>
          <t>• برداشت: بستانکار بانک / بدهکار طرف حساب — مگر گروه «هزینه»: بدهکار «هزینه: زیرگروه» — مگر نوع «پاس چک»: بدهکار «اسناد چک پرداختی».</t>
        </is>
      </c>
      <c r="B12" s="59" t="n"/>
      <c r="C12" s="59" t="n"/>
      <c r="D12" s="59" t="n"/>
      <c r="E12" s="59" t="n"/>
      <c r="F12" s="59" t="n"/>
      <c r="G12" s="59" t="n"/>
      <c r="H12" s="59" t="n"/>
    </row>
    <row r="13" ht="17" customHeight="1">
      <c r="A13" s="58" t="inlineStr">
        <is>
          <t>• صدور چک: بدهکار ذی‌نفع / بستانکار «اسناد چک پرداختی» — پاس شدن چک: بدهکار اسناد / بستانکار بانک.</t>
        </is>
      </c>
      <c r="B13" s="58" t="n"/>
      <c r="C13" s="58" t="n"/>
      <c r="D13" s="58" t="n"/>
      <c r="E13" s="58" t="n"/>
      <c r="F13" s="58" t="n"/>
      <c r="G13" s="58" t="n"/>
      <c r="H13" s="58" t="n"/>
    </row>
    <row r="14" ht="17" customHeight="1">
      <c r="A14" s="59" t="inlineStr">
        <is>
          <t>• گروه «شخصی قاسم» خارج از حساب‌های شرکت است؛ برای توازن در تراز می‌آید ولی در ترازنامه فقط به‌عنوان کسر از حقوق نمایش داده می‌شود.</t>
        </is>
      </c>
      <c r="B14" s="59" t="n"/>
      <c r="C14" s="59" t="n"/>
      <c r="D14" s="59" t="n"/>
      <c r="E14" s="59" t="n"/>
      <c r="F14" s="59" t="n"/>
      <c r="G14" s="59" t="n"/>
      <c r="H14" s="59" t="n"/>
    </row>
    <row r="16" ht="19" customHeight="1">
      <c r="A16" s="57" t="inlineStr">
        <is>
          <t>۳) شیت Trial — تراز آزمایشی</t>
        </is>
      </c>
      <c r="B16" s="57" t="n"/>
      <c r="C16" s="57" t="n"/>
      <c r="D16" s="57" t="n"/>
      <c r="E16" s="57" t="n"/>
      <c r="F16" s="57" t="n"/>
      <c r="G16" s="57" t="n"/>
      <c r="H16" s="57" t="n"/>
    </row>
    <row r="17" ht="17" customHeight="1">
      <c r="A17" s="58" t="inlineStr">
        <is>
          <t>• همه حساب‌ها: بانک‌ها (با مانده اولیه) | اسناد چک | افتتاحیه | متفرقه | اشخاص | «هزینه: زیرگروه»ها + شخصی قاسم.</t>
        </is>
      </c>
      <c r="B17" s="58" t="n"/>
      <c r="C17" s="58" t="n"/>
      <c r="D17" s="58" t="n"/>
      <c r="E17" s="58" t="n"/>
      <c r="F17" s="58" t="n"/>
      <c r="G17" s="58" t="n"/>
      <c r="H17" s="58" t="n"/>
    </row>
    <row r="18" ht="17" customHeight="1">
      <c r="A18" s="59" t="inlineStr">
        <is>
          <t>• هر حساب: جمع بدهکار، جمع بستانکار، مانده و وضعیت — ردیف آخر جمع کل و کنترل √ تراز.</t>
        </is>
      </c>
      <c r="B18" s="59" t="n"/>
      <c r="C18" s="59" t="n"/>
      <c r="D18" s="59" t="n"/>
      <c r="E18" s="59" t="n"/>
      <c r="F18" s="59" t="n"/>
      <c r="G18" s="59" t="n"/>
      <c r="H18" s="59" t="n"/>
    </row>
    <row r="20" ht="19" customHeight="1">
      <c r="A20" s="57" t="inlineStr">
        <is>
          <t>۴) شیت Balance — ترازنامه گزارشی</t>
        </is>
      </c>
      <c r="B20" s="57" t="n"/>
      <c r="C20" s="57" t="n"/>
      <c r="D20" s="57" t="n"/>
      <c r="E20" s="57" t="n"/>
      <c r="F20" s="57" t="n"/>
      <c r="G20" s="57" t="n"/>
      <c r="H20" s="57" t="n"/>
    </row>
    <row r="21" ht="17" customHeight="1">
      <c r="A21" s="58" t="inlineStr">
        <is>
          <t>• ستون‌ها: کد طبقه | مبلغ | درصد از جمع هر بخش | دوره قبل (دستی — برای ترازنامه تطبیقی) | اختلاف با دوره قبل.</t>
        </is>
      </c>
      <c r="B21" s="58" t="n"/>
      <c r="C21" s="58" t="n"/>
      <c r="D21" s="58" t="n"/>
      <c r="E21" s="58" t="n"/>
      <c r="F21" s="58" t="n"/>
      <c r="G21" s="58" t="n"/>
      <c r="H21" s="58" t="n"/>
    </row>
    <row r="22" ht="17" customHeight="1">
      <c r="A22" s="59" t="inlineStr">
        <is>
          <t>• دارایی‌ها (نقد + طلب + دارایی ثابت F…) | بدهی‌ها (دیون + چک پاس‌نشده + وام L… + متفرقه) | حقوق (افتتاحیه + سرمایه CAP… − هزینه‌ها − شخصی).</t>
        </is>
      </c>
      <c r="B22" s="59" t="n"/>
      <c r="C22" s="59" t="n"/>
      <c r="D22" s="59" t="n"/>
      <c r="E22" s="59" t="n"/>
      <c r="F22" s="59" t="n"/>
      <c r="G22" s="59" t="n"/>
      <c r="H22" s="59" t="n"/>
    </row>
    <row r="23" ht="17" customHeight="1">
      <c r="A23" s="58" t="inlineStr">
        <is>
          <t>• کارت «نسبت جاری» = (نقد + طلب) ÷ بدهی کوتاه‌مدت (بدون وام) — شاخص علمی توان پرداخت بدهی‌های نزدیک.</t>
        </is>
      </c>
      <c r="B23" s="58" t="n"/>
      <c r="C23" s="58" t="n"/>
      <c r="D23" s="58" t="n"/>
      <c r="E23" s="58" t="n"/>
      <c r="F23" s="58" t="n"/>
      <c r="G23" s="58" t="n"/>
      <c r="H23" s="58" t="n"/>
    </row>
    <row r="24" ht="17" customHeight="1">
      <c r="A24" s="59" t="inlineStr">
        <is>
          <t>• واریزهای فروش تا تطبیق با فاکتورها، در مانده بستانکار اشخاص (پیش‌دریافت) دیده می‌شوند.</t>
        </is>
      </c>
      <c r="B24" s="59" t="n"/>
      <c r="C24" s="59" t="n"/>
      <c r="D24" s="59" t="n"/>
      <c r="E24" s="59" t="n"/>
      <c r="F24" s="59" t="n"/>
      <c r="G24" s="59" t="n"/>
      <c r="H24" s="59" t="n"/>
    </row>
    <row r="26" ht="19" customHeight="1">
      <c r="A26" s="57" t="inlineStr">
        <is>
          <t>۵) شیت BalanceClassic — ترازنامه کلاسیک دوستونه</t>
        </is>
      </c>
      <c r="B26" s="57" t="n"/>
      <c r="C26" s="57" t="n"/>
      <c r="D26" s="57" t="n"/>
      <c r="E26" s="57" t="n"/>
      <c r="F26" s="57" t="n"/>
      <c r="G26" s="57" t="n"/>
      <c r="H26" s="57" t="n"/>
    </row>
    <row r="27" ht="17" customHeight="1">
      <c r="A27" s="58" t="inlineStr">
        <is>
          <t>• سبک سنتی: دارایی‌ها یک سمت، بدهی‌ها و حقوق صاحبان سمت دیگر — جمع دو سمت باید برابر باشد (کنترل √).</t>
        </is>
      </c>
      <c r="B27" s="58" t="n"/>
      <c r="C27" s="58" t="n"/>
      <c r="D27" s="58" t="n"/>
      <c r="E27" s="58" t="n"/>
      <c r="F27" s="58" t="n"/>
      <c r="G27" s="58" t="n"/>
      <c r="H27" s="58" t="n"/>
    </row>
    <row r="28" ht="17" customHeight="1">
      <c r="A28" s="59" t="inlineStr">
        <is>
          <t>• برای ارائه به مدیر یا حسابدار سنتی‌گرا؛ همان ارقام Balance با چیدمان دوستونه.</t>
        </is>
      </c>
      <c r="B28" s="59" t="n"/>
      <c r="C28" s="59" t="n"/>
      <c r="D28" s="59" t="n"/>
      <c r="E28" s="59" t="n"/>
      <c r="F28" s="59" t="n"/>
      <c r="G28" s="59" t="n"/>
      <c r="H28" s="59" t="n"/>
    </row>
    <row r="30" ht="19" customHeight="1">
      <c r="A30" s="57" t="inlineStr">
        <is>
          <t>۶) شیت Control — کنترل و اعتبارسنجی</t>
        </is>
      </c>
      <c r="B30" s="57" t="n"/>
      <c r="C30" s="57" t="n"/>
      <c r="D30" s="57" t="n"/>
      <c r="E30" s="57" t="n"/>
      <c r="F30" s="57" t="n"/>
      <c r="G30" s="57" t="n"/>
      <c r="H30" s="57" t="n"/>
    </row>
    <row r="31" ht="17" customHeight="1">
      <c r="A31" s="58" t="inlineStr">
        <is>
          <t>• فهرست خودکار موارد تعریف‌نشده یا نیازمند تعریف: کد طرف ناشناس، هزینه بدون زیرگروه، «پاس چک» با شماره‌ی خارج از دفتر، چک با ذی‌نفع ناشناس — با تاریخ، بانک و مبلغ.</t>
        </is>
      </c>
      <c r="B31" s="58" t="n"/>
      <c r="C31" s="58" t="n"/>
      <c r="D31" s="58" t="n"/>
      <c r="E31" s="58" t="n"/>
      <c r="F31" s="58" t="n"/>
      <c r="G31" s="58" t="n"/>
      <c r="H31" s="58" t="n"/>
    </row>
    <row r="32" ht="17" customHeight="1">
      <c r="A32" s="59" t="inlineStr">
        <is>
          <t>• مانده «متفرقه» (در انتظار تعریف) هم اینجا نشان داده می‌شود؛ تا تعریف نشود، در بدهی‌های ترازنامه می‌ماند.</t>
        </is>
      </c>
      <c r="B32" s="59" t="n"/>
      <c r="C32" s="59" t="n"/>
      <c r="D32" s="59" t="n"/>
      <c r="E32" s="59" t="n"/>
      <c r="F32" s="59" t="n"/>
      <c r="G32" s="59" t="n"/>
      <c r="H32" s="59" t="n"/>
    </row>
    <row r="34" ht="19" customHeight="1">
      <c r="A34" s="57" t="inlineStr">
        <is>
          <t>۷) شیت Learn — آموزش</t>
        </is>
      </c>
      <c r="B34" s="57" t="n"/>
      <c r="C34" s="57" t="n"/>
      <c r="D34" s="57" t="n"/>
      <c r="E34" s="57" t="n"/>
      <c r="F34" s="57" t="n"/>
      <c r="G34" s="57" t="n"/>
      <c r="H34" s="57" t="n"/>
    </row>
    <row r="35" ht="17" customHeight="1">
      <c r="A35" s="58" t="inlineStr">
        <is>
          <t>• مفاهیم پایه حسابداری، سناریوهای ثبت (از رخداد تا ترازنامه)، جدول کامل کدگذاری و نقشه ارتباط ۹ فایل — برای آموزش و مرور.</t>
        </is>
      </c>
      <c r="B35" s="58" t="n"/>
      <c r="C35" s="58" t="n"/>
      <c r="D35" s="58" t="n"/>
      <c r="E35" s="58" t="n"/>
      <c r="F35" s="58" t="n"/>
      <c r="G35" s="58" t="n"/>
      <c r="H35" s="58" t="n"/>
    </row>
    <row r="37" ht="19" customHeight="1">
      <c r="A37" s="57" t="inlineStr">
        <is>
          <t>۸) اتصال‌ها</t>
        </is>
      </c>
      <c r="B37" s="57" t="n"/>
      <c r="C37" s="57" t="n"/>
      <c r="D37" s="57" t="n"/>
      <c r="E37" s="57" t="n"/>
      <c r="F37" s="57" t="n"/>
      <c r="G37" s="57" t="n"/>
      <c r="H37" s="57" t="n"/>
    </row>
    <row r="38" ht="17" customHeight="1">
      <c r="A38" s="58" t="inlineStr">
        <is>
          <t>• این فایل، Transactions.xlsx، Cheques.xlsx و INFO.xlsx همیشه در یک پوشه باشند.</t>
        </is>
      </c>
      <c r="B38" s="58" t="n"/>
      <c r="C38" s="58" t="n"/>
      <c r="D38" s="58" t="n"/>
      <c r="E38" s="58" t="n"/>
      <c r="F38" s="58" t="n"/>
      <c r="G38" s="58" t="n"/>
      <c r="H38" s="58" t="n"/>
    </row>
    <row r="39" ht="17" customHeight="1">
      <c r="A39" s="59" t="inlineStr">
        <is>
          <t>• پس از تغییر منابع: Data ← Edit Links ← Update Values.</t>
        </is>
      </c>
      <c r="B39" s="59" t="n"/>
      <c r="C39" s="59" t="n"/>
      <c r="D39" s="59" t="n"/>
      <c r="E39" s="59" t="n"/>
      <c r="F39" s="59" t="n"/>
      <c r="G39" s="59" t="n"/>
      <c r="H39" s="59" t="n"/>
    </row>
  </sheetData>
  <mergeCells count="31">
    <mergeCell ref="A30:H30"/>
    <mergeCell ref="A39:H39"/>
    <mergeCell ref="A24:H24"/>
    <mergeCell ref="A11:H11"/>
    <mergeCell ref="A1:H1"/>
    <mergeCell ref="A6:H6"/>
    <mergeCell ref="A7:H7"/>
    <mergeCell ref="A16:H16"/>
    <mergeCell ref="A37:H37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32:H32"/>
    <mergeCell ref="A8:H8"/>
    <mergeCell ref="A22:H22"/>
    <mergeCell ref="A17:H17"/>
    <mergeCell ref="A35:H35"/>
    <mergeCell ref="A20:H20"/>
    <mergeCell ref="A38:H38"/>
    <mergeCell ref="A10:H10"/>
    <mergeCell ref="A28:H28"/>
    <mergeCell ref="A13:H13"/>
    <mergeCell ref="A31:H31"/>
    <mergeCell ref="A34:H34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مالی&amp;R&amp;"Tahoma"&amp;8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Accounting — تراز آزمایشی و ترازنامه</dc:title>
  <dcterms:created xsi:type="dcterms:W3CDTF">2026-10-05T19:49:48Z</dcterms:created>
  <dcterms:modified xsi:type="dcterms:W3CDTF">2026-10-05T19:49:50Z</dcterms:modified>
</cp:coreProperties>
</file>